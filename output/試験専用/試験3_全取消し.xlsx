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実績" sheetId="2" state="visible" r:id="rId4"/>
    <sheet name="前日確定" sheetId="3" state="visible" r:id="rId5"/>
    <sheet name="変更・キャンセル" sheetId="4" state="visible" r:id="rId6"/>
    <sheet name="入渠" sheetId="5" state="visible" r:id="rId7"/>
    <sheet name="他港作業" sheetId="6" state="visible" r:id="rId8"/>
    <sheet name="他社配置" sheetId="7" state="visible" r:id="rId9"/>
    <sheet name="標準時間" sheetId="8" state="visible" r:id="rId10"/>
    <sheet name="マスター" sheetId="9" state="visible" r:id="rId11"/>
    <sheet name="集計" sheetId="10" state="visible" r:id="rId12"/>
    <sheet name="_計算" sheetId="11" state="hidden" r:id="rId13"/>
    <sheet name="_計算2" sheetId="12" state="hidden" r:id="rId14"/>
  </sheets>
  <definedNames>
    <definedName function="false" hidden="false" name="会社リスト" vbProcedure="false">OFFSET(マスター!$Q$6,0,0,MAX(1,COUNTA(マスター!$Q$6:$Q$45)),1)</definedName>
    <definedName function="false" hidden="false" name="作業リスト" vbProcedure="false">前日確定!$B$26:$B$45</definedName>
    <definedName function="false" hidden="false" name="基地港リスト" vbProcedure="false">OFFSET(マスター!$V$6,0,0,MAX(1,COUNTA(マスター!$V$6:$V$25)),1)</definedName>
    <definedName function="false" hidden="false" name="船名リスト" vbProcedure="false">OFFSET(マスター!$A$6,0,0,MAX(1,COUNTA(マスター!$A$6:$A$125)),1)</definedName>
    <definedName function="false" hidden="false" name="選択_会社区分" vbProcedure="false">OFFSET(マスター!$AN$6,0,0,MAX(1,COUNTA(マスター!$AN$6:$AN$25)),1)</definedName>
    <definedName function="false" hidden="false" name="選択_作業内容" vbProcedure="false">OFFSET(マスター!$AJ$6,0,0,MAX(1,COUNTA(マスター!$AJ$6:$AJ$25)),1)</definedName>
    <definedName function="false" hidden="false" name="選択_出勤" vbProcedure="false">OFFSET(マスター!$AQ$6,0,0,MAX(1,COUNTA(マスター!$AQ$6:$AQ$25)),1)</definedName>
    <definedName function="false" hidden="false" name="選択_取消時点" vbProcedure="false">OFFSET(マスター!$AF$6,0,0,MAX(1,COUNTA(マスター!$AF$6:$AF$25)),1)</definedName>
    <definedName function="false" hidden="false" name="選択_呼出理由" vbProcedure="false">OFFSET(マスター!$AI$6,0,0,MAX(1,COUNTA(マスター!$AI$6:$AI$25)),1)</definedName>
    <definedName function="false" hidden="false" name="選択_対応可否" vbProcedure="false">OFFSET(マスター!$AR$6,0,0,MAX(1,COUNTA(マスター!$AR$6:$AR$25)),1)</definedName>
    <definedName function="false" hidden="false" name="選択_日確認" vbProcedure="false">OFFSET(マスター!$AO$6,0,0,MAX(1,COUNTA(マスター!$AO$6:$AO$25)),1)</definedName>
    <definedName function="false" hidden="false" name="選択_時刻基準" vbProcedure="false">OFFSET(マスター!$AK$6,0,0,MAX(1,COUNTA(マスター!$AK$6:$AK$25)),1)</definedName>
    <definedName function="false" hidden="false" name="選択_時刻確認" vbProcedure="false">OFFSET(マスター!$AM$6,0,0,MAX(1,COUNTA(マスター!$AM$6:$AM$25)),1)</definedName>
    <definedName function="false" hidden="false" name="選択_時間調整" vbProcedure="false">OFFSET(マスター!$AH$6,0,0,MAX(1,COUNTA(マスター!$AH$6:$AH$25)),1)</definedName>
    <definedName function="false" hidden="false" name="選択_照合" vbProcedure="false">OFFSET(マスター!$AE$6,0,0,MAX(1,COUNTA(マスター!$AE$6:$AE$25)),1)</definedName>
    <definedName function="false" hidden="false" name="選択_理由" vbProcedure="false">OFFSET(マスター!$AG$6,0,0,MAX(1,COUNTA(マスター!$AG$6:$AG$25)),1)</definedName>
    <definedName function="false" hidden="false" name="選択_確認状況" vbProcedure="false">OFFSET(マスター!$AD$6,0,0,MAX(1,COUNTA(マスター!$AD$6:$AD$25)),1)</definedName>
    <definedName function="false" hidden="false" name="選択_種類" vbProcedure="false">OFFSET(マスター!$AL$6,0,0,MAX(1,COUNTA(マスター!$AL$6:$AL$25)),1)</definedName>
    <definedName function="false" hidden="false" name="選択_高炉区分" vbProcedure="false">OFFSET(マスター!$AP$6,0,0,MAX(1,COUNTA(マスター!$AP$6:$AP$25)),1)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<sst xmlns="http://schemas.openxmlformats.org/spreadsheetml/2006/main" count="890" uniqueCount="568">
  <si>
    <r>
      <rPr>
        <b val="true"/>
        <sz val="16"/>
        <rFont val="WenQuanYi Zen Hei"/>
        <family val="2"/>
      </rPr>
      <t xml:space="preserve">八幡地区 常駐体制検証 入力試作 </t>
    </r>
    <r>
      <rPr>
        <b val="true"/>
        <sz val="16"/>
        <rFont val="游ゴシック"/>
        <family val="0"/>
        <charset val="1"/>
      </rPr>
      <t xml:space="preserve">v01</t>
    </r>
  </si>
  <si>
    <t xml:space="preserve">目的</t>
  </si>
  <si>
    <r>
      <rPr>
        <sz val="10"/>
        <rFont val="WenQuanYi Zen Hei"/>
        <family val="2"/>
      </rPr>
      <t xml:space="preserve">製鉄曳船の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隻と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隻で対応の差を説明するための基礎データを集めます。この試作は、入力と集計のつながりを試すためのものです。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隻の必要性を証明するものではありません。</t>
    </r>
  </si>
  <si>
    <t xml:space="preserve">対象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</si>
  <si>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年度のうち、同時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隻以上の候補日 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</t>
    </r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月</t>
    </r>
    <r>
      <rPr>
        <sz val="10"/>
        <rFont val="游ゴシック"/>
        <family val="0"/>
        <charset val="1"/>
      </rPr>
      <t xml:space="preserve">03</t>
    </r>
    <r>
      <rPr>
        <sz val="10"/>
        <rFont val="WenQuanYi Zen Hei"/>
        <family val="2"/>
      </rPr>
      <t xml:space="preserve">日 の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日分（実績</t>
    </r>
    <r>
      <rPr>
        <sz val="10"/>
        <rFont val="游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行・</t>
    </r>
    <r>
      <rPr>
        <sz val="10"/>
        <rFont val="游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作業）。元帳の時刻は「候補・時刻要確認」です。</t>
    </r>
  </si>
  <si>
    <t xml:space="preserve">最初の操作</t>
  </si>
  <si>
    <r>
      <rPr>
        <sz val="10"/>
        <rFont val="WenQuanYi Zen Hei"/>
        <family val="2"/>
      </rPr>
      <t xml:space="preserve">下の青い文字を押すと、最初の入力欄（前日確定シート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：根拠の予定表）へ移動します。</t>
    </r>
  </si>
  <si>
    <t xml:space="preserve">入力の順番</t>
  </si>
  <si>
    <t xml:space="preserve">①前日確定 → ②変更・キャンセル → ③入渠・他港作業・他社配置 → ④標準時間。船名や会社が選択肢にないときは、先にマスターへ追加します。</t>
  </si>
  <si>
    <t xml:space="preserve">担当者</t>
  </si>
  <si>
    <t xml:space="preserve">前日確定・変更・キャンセル・製鉄曳船の入渠・八幡タグの標準時間：上田さん／西日本海運の他港作業・入渠・標準時間：西日本海運担当者／他社配置：分かる範囲で上田さん</t>
  </si>
  <si>
    <t xml:space="preserve">色の意味</t>
  </si>
  <si>
    <t xml:space="preserve">薄い黄色＝入力する欄（見出しに【入力】）／薄い灰色＝自動表示（見出しに【自動】）。灰色の欄は入力しません。</t>
  </si>
  <si>
    <t xml:space="preserve">選び方</t>
  </si>
  <si>
    <t xml:space="preserve">船名・会社・理由などはセルを選ぶと出る▼の一覧から選びます。○の欄は▼から○を選びます。ボタンやマクロは使っていません。</t>
  </si>
  <si>
    <t xml:space="preserve">未確認の意味</t>
  </si>
  <si>
    <t xml:space="preserve">資料で確かめられていないことです。推測で埋めず「未確認」のまま残します。確認できたら「確認済み」に変えます。他社の対応可否が空欄の船も未確認です。</t>
  </si>
  <si>
    <t xml:space="preserve">再入力しない</t>
  </si>
  <si>
    <t xml:space="preserve">本船名・タグ名・実績時刻は元帳から自動表示します。作業番号の入力は不要で、作業は▼の一覧から選びます。</t>
  </si>
  <si>
    <t xml:space="preserve">前日確定と変更</t>
  </si>
  <si>
    <r>
      <rPr>
        <sz val="10"/>
        <rFont val="WenQuanYi Zen Hei"/>
        <family val="2"/>
      </rPr>
      <t xml:space="preserve">前日最終の予定は「前日確定」に入れ、変更があっても上書きしません。変更は「変更・キャンセル」に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行追加します。翌日にかかる時刻は日付も入れます（例：</t>
    </r>
    <r>
      <rPr>
        <sz val="10"/>
        <rFont val="游ゴシック"/>
        <family val="0"/>
        <charset val="1"/>
      </rPr>
      <t xml:space="preserve">2025/12/7 0:30</t>
    </r>
    <r>
      <rPr>
        <sz val="10"/>
        <rFont val="WenQuanYi Zen Hei"/>
        <family val="2"/>
      </rPr>
      <t xml:space="preserve">）。</t>
    </r>
  </si>
  <si>
    <t xml:space="preserve">実績のない取消し</t>
  </si>
  <si>
    <t xml:space="preserve">予定表にあって元帳にない作業は、「前日確定」の下の空き行に本船名などを入れて追加し、「変更・キャンセル」で選んで取消しを入力します。全作業が取り消された日も、前日の手配と実際の出勤を残せます。</t>
  </si>
  <si>
    <t xml:space="preserve">安瀬・高炉原料</t>
  </si>
  <si>
    <t xml:space="preserve">安瀬は若松との按分配船で、応援とは別に数えます。高炉原料を除いた集計は、全作業の集計とは別に表示します（品名の区分はマスターで設定。初期値は要確認）。</t>
  </si>
  <si>
    <t xml:space="preserve">集計</t>
  </si>
  <si>
    <t xml:space="preserve">「集計」シートで、作業予定タグ数・出勤手配隻数・実際の出勤・実績の同時稼働・供給可能船を別々に表示します。同時に必要な隻数は代表事例で別に確認します。</t>
  </si>
  <si>
    <t xml:space="preserve">▶ 最初の入力へ移動（前日確定 C7）</t>
  </si>
  <si>
    <r>
      <rPr>
        <sz val="10"/>
        <rFont val="WenQuanYi Zen Hei"/>
        <family val="2"/>
      </rPr>
      <t xml:space="preserve">対象日の前日最終の予定表のファイル名・版を入力します（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年度分は資料一式に含まれていないため、上田さんの照合で入力）。</t>
    </r>
  </si>
  <si>
    <t xml:space="preserve">色見本</t>
  </si>
  <si>
    <t xml:space="preserve">入力する欄【入力】</t>
  </si>
  <si>
    <t xml:space="preserve">自動表示の欄【自動】</t>
  </si>
  <si>
    <t xml:space="preserve">シートの役割</t>
  </si>
  <si>
    <t xml:space="preserve">実績</t>
  </si>
  <si>
    <t xml:space="preserve">元帳の取り込み（見るだけ）</t>
  </si>
  <si>
    <t xml:space="preserve">前日確定</t>
  </si>
  <si>
    <t xml:space="preserve">前日最終の予定・予定タグ・翌日の出勤手配と実際の出勤</t>
  </si>
  <si>
    <t xml:space="preserve">変更・キャンセル</t>
  </si>
  <si>
    <t xml:space="preserve">日ごとの変更確認、休船からの呼出、変更・取消しの記録</t>
  </si>
  <si>
    <t xml:space="preserve">入渠</t>
  </si>
  <si>
    <t xml:space="preserve">作業に使えない期間</t>
  </si>
  <si>
    <t xml:space="preserve">他港作業</t>
  </si>
  <si>
    <t xml:space="preserve">西日本海運の全他港作業</t>
  </si>
  <si>
    <t xml:space="preserve">他社配置</t>
  </si>
  <si>
    <t xml:space="preserve">若松・関門等の他社の体制と依頼への対応可否</t>
  </si>
  <si>
    <t xml:space="preserve">標準時間</t>
  </si>
  <si>
    <t xml:space="preserve">基地発～基地着の見込み時間</t>
  </si>
  <si>
    <t xml:space="preserve">マスター</t>
  </si>
  <si>
    <t xml:space="preserve">会社・船名・基地港・品名・選択肢の追加</t>
  </si>
  <si>
    <t xml:space="preserve">対比結果・供給可能船・不足情報（自動）</t>
  </si>
  <si>
    <t xml:space="preserve">実績（元帳から自動表示・再入力しない）</t>
  </si>
  <si>
    <r>
      <rPr>
        <sz val="10"/>
        <rFont val="WenQuanYi Zen Hei"/>
        <family val="2"/>
      </rPr>
      <t xml:space="preserve">誰が：全員が見るだけ　何を見て：元帳「作業実績</t>
    </r>
    <r>
      <rPr>
        <sz val="10"/>
        <rFont val="游ゴシック"/>
        <family val="0"/>
        <charset val="1"/>
      </rPr>
      <t xml:space="preserve">R6.4</t>
    </r>
    <r>
      <rPr>
        <sz val="10"/>
        <rFont val="WenQuanYi Zen Hei"/>
        <family val="2"/>
      </rPr>
      <t xml:space="preserve">～」シート「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年度」　どこへ：入力欄はありません（休船からの呼出は「変更・キャンセル」で最初に対応した作業を選びます）</t>
    </r>
  </si>
  <si>
    <r>
      <rPr>
        <sz val="10"/>
        <color rgb="FF595959"/>
        <rFont val="WenQuanYi Zen Hei"/>
        <family val="2"/>
      </rPr>
      <t xml:space="preserve">対象日 </t>
    </r>
    <r>
      <rPr>
        <sz val="10"/>
        <color rgb="FF595959"/>
        <rFont val="游ゴシック"/>
        <family val="0"/>
        <charset val="1"/>
      </rPr>
      <t xml:space="preserve">2025/11/03</t>
    </r>
    <r>
      <rPr>
        <sz val="10"/>
        <color rgb="FF595959"/>
        <rFont val="WenQuanYi Zen Hei"/>
        <family val="2"/>
      </rPr>
      <t xml:space="preserve">（前日から日をまたいで続く作業も表示）。時刻は元帳の「作業時間」で、基地発・基地着かは未確認のため「候補・時刻要確認」。集計先：「集計」「前日確定」「変更・キャンセル」</t>
    </r>
  </si>
  <si>
    <t xml:space="preserve">作業キー【自動】</t>
  </si>
  <si>
    <t xml:space="preserve">作業の表示名【自動】</t>
  </si>
  <si>
    <t xml:space="preserve">作業の先頭行【自動】</t>
  </si>
  <si>
    <t xml:space="preserve">作業日【自動】</t>
  </si>
  <si>
    <t xml:space="preserve">元帳の行番号【自動】</t>
  </si>
  <si>
    <r>
      <rPr>
        <b val="true"/>
        <sz val="10"/>
        <rFont val="WenQuanYi Zen Hei"/>
        <family val="2"/>
      </rPr>
      <t xml:space="preserve">元帳</t>
    </r>
    <r>
      <rPr>
        <b val="true"/>
        <sz val="10"/>
        <rFont val="游ゴシック"/>
        <family val="0"/>
        <charset val="1"/>
      </rPr>
      <t xml:space="preserve">No</t>
    </r>
    <r>
      <rPr>
        <b val="true"/>
        <sz val="10"/>
        <rFont val="WenQuanYi Zen Hei"/>
        <family val="2"/>
      </rPr>
      <t xml:space="preserve">【自動】</t>
    </r>
  </si>
  <si>
    <t xml:space="preserve">本船名【自動】</t>
  </si>
  <si>
    <r>
      <rPr>
        <b val="true"/>
        <sz val="10"/>
        <rFont val="游ゴシック"/>
        <family val="0"/>
        <charset val="1"/>
      </rPr>
      <t xml:space="preserve">G/T</t>
    </r>
    <r>
      <rPr>
        <b val="true"/>
        <sz val="10"/>
        <rFont val="WenQuanYi Zen Hei"/>
        <family val="2"/>
      </rPr>
      <t xml:space="preserve">【自動】</t>
    </r>
  </si>
  <si>
    <t xml:space="preserve">代理店（参考・会社判定に使わない）【自動】</t>
  </si>
  <si>
    <t xml:space="preserve">入出転【自動】</t>
  </si>
  <si>
    <r>
      <rPr>
        <b val="true"/>
        <sz val="10"/>
        <rFont val="WenQuanYi Zen Hei"/>
        <family val="2"/>
      </rPr>
      <t xml:space="preserve">六</t>
    </r>
    <r>
      <rPr>
        <b val="true"/>
        <sz val="10"/>
        <rFont val="游ゴシック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部【自動】</t>
    </r>
  </si>
  <si>
    <t xml:space="preserve">バース【自動】</t>
  </si>
  <si>
    <t xml:space="preserve">品名【自動】</t>
  </si>
  <si>
    <t xml:space="preserve">予定時間（元帳・定義未確認）【自動】</t>
  </si>
  <si>
    <t xml:space="preserve">作業開始（元帳）【自動】</t>
  </si>
  <si>
    <t xml:space="preserve">作業終了（元帳）【自動】</t>
  </si>
  <si>
    <t xml:space="preserve">終了が翌日【自動】</t>
  </si>
  <si>
    <t xml:space="preserve">タグ（元帳の記号）【自動】</t>
  </si>
  <si>
    <r>
      <rPr>
        <b val="true"/>
        <sz val="10"/>
        <rFont val="游ゴシック"/>
        <family val="0"/>
        <charset val="1"/>
      </rPr>
      <t xml:space="preserve">S</t>
    </r>
    <r>
      <rPr>
        <b val="true"/>
        <sz val="10"/>
        <rFont val="WenQuanYi Zen Hei"/>
        <family val="2"/>
      </rPr>
      <t xml:space="preserve">列の記号（参考）【自動】</t>
    </r>
  </si>
  <si>
    <r>
      <rPr>
        <b val="true"/>
        <sz val="10"/>
        <rFont val="WenQuanYi Zen Hei"/>
        <family val="2"/>
      </rPr>
      <t xml:space="preserve">備考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（元帳）【自動】</t>
    </r>
  </si>
  <si>
    <t xml:space="preserve">取消しの記載【自動】</t>
  </si>
  <si>
    <t xml:space="preserve">時刻の扱い【自動】</t>
  </si>
  <si>
    <t xml:space="preserve">集計船名【自動】</t>
  </si>
  <si>
    <t xml:space="preserve">会社【自動】</t>
  </si>
  <si>
    <t xml:space="preserve">会社区分【自動】</t>
  </si>
  <si>
    <t xml:space="preserve">船名・会社の確認状況【自動】</t>
  </si>
  <si>
    <t xml:space="preserve">船の種類【自動】</t>
  </si>
  <si>
    <t xml:space="preserve">安瀬の扱い【自動】</t>
  </si>
  <si>
    <r>
      <rPr>
        <b val="true"/>
        <sz val="10"/>
        <rFont val="WenQuanYi Zen Hei"/>
        <family val="2"/>
      </rPr>
      <t xml:space="preserve">作業区分（</t>
    </r>
    <r>
      <rPr>
        <b val="true"/>
        <sz val="10"/>
        <rFont val="游ゴシック"/>
        <family val="0"/>
        <charset val="1"/>
      </rPr>
      <t xml:space="preserve">LNG</t>
    </r>
    <r>
      <rPr>
        <b val="true"/>
        <sz val="10"/>
        <rFont val="WenQuanYi Zen Hei"/>
        <family val="2"/>
      </rPr>
      <t xml:space="preserve">入港・出港・警戒を区別）【自動】</t>
    </r>
  </si>
  <si>
    <t xml:space="preserve">高炉原料区分【自動】</t>
  </si>
  <si>
    <t xml:space="preserve">開始日時【自動】</t>
  </si>
  <si>
    <t xml:space="preserve">終了日時【自動】</t>
  </si>
  <si>
    <t xml:space="preserve">前日からの継続【自動】</t>
  </si>
  <si>
    <t xml:space="preserve">重複の警告【自動】</t>
  </si>
  <si>
    <t xml:space="preserve">開始（分）【自動】</t>
  </si>
  <si>
    <t xml:space="preserve">終了（分）【自動】</t>
  </si>
  <si>
    <t xml:space="preserve">同時稼働に含む【自動】</t>
  </si>
  <si>
    <t xml:space="preserve">高炉原料を除く集計に含む【自動】</t>
  </si>
  <si>
    <t xml:space="preserve">作業の開始（分）【自動】</t>
  </si>
  <si>
    <t xml:space="preserve">作業の終了（分）【自動】</t>
  </si>
  <si>
    <t xml:space="preserve">（この日の実績はありません）</t>
  </si>
  <si>
    <t xml:space="preserve">前日確定（対象日の前日最終の予定表と翌日の出勤手配）</t>
  </si>
  <si>
    <r>
      <rPr>
        <sz val="10"/>
        <rFont val="WenQuanYi Zen Hei"/>
        <family val="2"/>
      </rPr>
      <t xml:space="preserve">誰が：上田　何を見て：対象日の前日に翌日の出勤を手配した最終の作業予定表　どこへ：①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～</t>
    </r>
    <r>
      <rPr>
        <sz val="10"/>
        <rFont val="游ゴシック"/>
        <family val="0"/>
        <charset val="1"/>
      </rPr>
      <t xml:space="preserve">C10</t>
    </r>
    <r>
      <rPr>
        <sz val="10"/>
        <rFont val="WenQuanYi Zen Hei"/>
        <family val="2"/>
      </rPr>
      <t xml:space="preserve">　②出勤手配（</t>
    </r>
    <r>
      <rPr>
        <sz val="10"/>
        <rFont val="游ゴシック"/>
        <family val="0"/>
        <charset val="1"/>
      </rPr>
      <t xml:space="preserve">B14</t>
    </r>
    <r>
      <rPr>
        <sz val="10"/>
        <rFont val="WenQuanYi Zen Hei"/>
        <family val="2"/>
      </rPr>
      <t xml:space="preserve">～）　③作業ごとの予定（</t>
    </r>
    <r>
      <rPr>
        <sz val="10"/>
        <rFont val="游ゴシック"/>
        <family val="0"/>
        <charset val="1"/>
      </rPr>
      <t xml:space="preserve">J</t>
    </r>
    <r>
      <rPr>
        <sz val="10"/>
        <rFont val="WenQuanYi Zen Hei"/>
        <family val="2"/>
      </rPr>
      <t xml:space="preserve">列～</t>
    </r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列）。予定表にあって実績にない作業は下の空き行へ追加</t>
    </r>
  </si>
  <si>
    <t xml:space="preserve">集計先：「集計」の予定・出勤手配、「変更・キャンセル」の変更前の時刻・タグ。ここに入れた前日最終の値は変更があっても上書きしません。</t>
  </si>
  <si>
    <t xml:space="preserve">■ 対象日の予定表</t>
  </si>
  <si>
    <t xml:space="preserve">対象日【自動（取込時に設定）】</t>
  </si>
  <si>
    <t xml:space="preserve">根拠の予定表（ファイル名・版）【入力】</t>
  </si>
  <si>
    <r>
      <rPr>
        <sz val="10"/>
        <rFont val="WenQuanYi Zen Hei"/>
        <family val="2"/>
      </rPr>
      <t xml:space="preserve">【試験】架空の予定表（</t>
    </r>
    <r>
      <rPr>
        <sz val="10"/>
        <rFont val="游ゴシック"/>
        <family val="0"/>
        <charset val="1"/>
      </rPr>
      <t xml:space="preserve">11/2</t>
    </r>
    <r>
      <rPr>
        <sz val="10"/>
        <rFont val="WenQuanYi Zen Hei"/>
        <family val="2"/>
      </rPr>
      <t xml:space="preserve">作成）</t>
    </r>
  </si>
  <si>
    <r>
      <rPr>
        <b val="true"/>
        <sz val="10"/>
        <color rgb="FFC00000"/>
        <rFont val="WenQuanYi Zen Hei"/>
        <family val="2"/>
      </rPr>
      <t xml:space="preserve">◀ 最初の入力はここ（対象日の前日最終の予定表のファイル名・版。</t>
    </r>
    <r>
      <rPr>
        <b val="true"/>
        <sz val="10"/>
        <color rgb="FFC00000"/>
        <rFont val="游ゴシック"/>
        <family val="0"/>
        <charset val="1"/>
      </rPr>
      <t xml:space="preserve">2025</t>
    </r>
    <r>
      <rPr>
        <b val="true"/>
        <sz val="10"/>
        <color rgb="FFC00000"/>
        <rFont val="WenQuanYi Zen Hei"/>
        <family val="2"/>
      </rPr>
      <t xml:space="preserve">年度分は本一式に含まれていないため、上田さんの照合で入力）</t>
    </r>
  </si>
  <si>
    <t xml:space="preserve">予定表の確定時点（日時）【入力】</t>
  </si>
  <si>
    <t xml:space="preserve">照合した人【入力】</t>
  </si>
  <si>
    <t xml:space="preserve">照合の状況【入力・選択】</t>
  </si>
  <si>
    <t xml:space="preserve">予定表と照合済み</t>
  </si>
  <si>
    <t xml:space="preserve">■ 翌日の出勤手配（対象日の前日に手配した船）と、実際に出勤・待機したか</t>
  </si>
  <si>
    <t xml:space="preserve">No</t>
  </si>
  <si>
    <t xml:space="preserve">船名【入力・選択】</t>
  </si>
  <si>
    <t xml:space="preserve">基地港【自動】</t>
  </si>
  <si>
    <t xml:space="preserve">手配した日時【入力】</t>
  </si>
  <si>
    <t xml:space="preserve">実際の出勤・待機【入力・選択】</t>
  </si>
  <si>
    <t xml:space="preserve">情報元【入力】</t>
  </si>
  <si>
    <t xml:space="preserve">T</t>
  </si>
  <si>
    <t xml:space="preserve">出勤して待機</t>
  </si>
  <si>
    <t xml:space="preserve">S</t>
  </si>
  <si>
    <t xml:space="preserve">Y</t>
  </si>
  <si>
    <t xml:space="preserve">出勤取消し</t>
  </si>
  <si>
    <t xml:space="preserve">M</t>
  </si>
  <si>
    <t xml:space="preserve">出勤手配隻数【自動】</t>
  </si>
  <si>
    <t xml:space="preserve">実際に出勤した隻数【自動】</t>
  </si>
  <si>
    <t xml:space="preserve">■ 作業ごとの前日最終予定（実績の作業は自動表示。予定表にだけある作業は下の空き行へ追加）</t>
  </si>
  <si>
    <t xml:space="preserve">区分【自動】</t>
  </si>
  <si>
    <t xml:space="preserve">本船名【自動／予定のみは入力】</t>
  </si>
  <si>
    <t xml:space="preserve">入出転【自動／予定のみは入力】</t>
  </si>
  <si>
    <t xml:space="preserve">バース【自動／予定のみは入力】</t>
  </si>
  <si>
    <t xml:space="preserve">実績のタグ（元帳）【自動】</t>
  </si>
  <si>
    <t xml:space="preserve">実績タグ数【自動】</t>
  </si>
  <si>
    <t xml:space="preserve">元帳の予定時間（参考・前日確定とは限らない）【自動】</t>
  </si>
  <si>
    <t xml:space="preserve">前日最終の予定時刻【入力】（翌日は日付も）</t>
  </si>
  <si>
    <t xml:space="preserve">予定タグ①【入力・選択】</t>
  </si>
  <si>
    <t xml:space="preserve">予定タグ②【入力・選択】</t>
  </si>
  <si>
    <t xml:space="preserve">予定タグ③【入力・選択】</t>
  </si>
  <si>
    <t xml:space="preserve">予定タグ④【入力・選択】</t>
  </si>
  <si>
    <t xml:space="preserve">予定タグ⑤【入力・選択】</t>
  </si>
  <si>
    <t xml:space="preserve">予定タグ⑥【入力・選択】</t>
  </si>
  <si>
    <t xml:space="preserve">予定タグ数【自動】</t>
  </si>
  <si>
    <t xml:space="preserve">予定タグ（まとめ）【自動】</t>
  </si>
  <si>
    <t xml:space="preserve">備考【入力】</t>
  </si>
  <si>
    <t xml:space="preserve">変更回数【自動】</t>
  </si>
  <si>
    <t xml:space="preserve">変更後の最終日時【自動】</t>
  </si>
  <si>
    <t xml:space="preserve">取消し【自動】</t>
  </si>
  <si>
    <t xml:space="preserve">前日確定の日時【自動】</t>
  </si>
  <si>
    <r>
      <rPr>
        <sz val="10"/>
        <rFont val="WenQuanYi Zen Hei"/>
        <family val="2"/>
      </rPr>
      <t xml:space="preserve">試験船</t>
    </r>
    <r>
      <rPr>
        <sz val="10"/>
        <rFont val="游ゴシック"/>
        <family val="0"/>
        <charset val="1"/>
      </rPr>
      <t xml:space="preserve">P</t>
    </r>
  </si>
  <si>
    <t xml:space="preserve">入</t>
  </si>
  <si>
    <t xml:space="preserve">N4</t>
  </si>
  <si>
    <r>
      <rPr>
        <sz val="10"/>
        <rFont val="WenQuanYi Zen Hei"/>
        <family val="2"/>
      </rPr>
      <t xml:space="preserve">試験船</t>
    </r>
    <r>
      <rPr>
        <sz val="10"/>
        <rFont val="游ゴシック"/>
        <family val="0"/>
        <charset val="1"/>
      </rPr>
      <t xml:space="preserve">Q</t>
    </r>
  </si>
  <si>
    <t xml:space="preserve">出</t>
  </si>
  <si>
    <t xml:space="preserve">N5</t>
  </si>
  <si>
    <r>
      <rPr>
        <b val="true"/>
        <sz val="14"/>
        <rFont val="WenQuanYi Zen Hei"/>
        <family val="2"/>
      </rPr>
      <t xml:space="preserve">変更・キャンセル（全作業。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回の変更を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行。前日確定は上書きしない）</t>
    </r>
  </si>
  <si>
    <r>
      <rPr>
        <sz val="10"/>
        <rFont val="WenQuanYi Zen Hei"/>
        <family val="2"/>
      </rPr>
      <t xml:space="preserve">誰が：上田　何を見て：当日の変更連絡・変更分の予定表・配船記録　どこへ：①日ごとの確認（</t>
    </r>
    <r>
      <rPr>
        <sz val="10"/>
        <rFont val="游ゴシック"/>
        <family val="0"/>
        <charset val="1"/>
      </rPr>
      <t xml:space="preserve">A7</t>
    </r>
    <r>
      <rPr>
        <sz val="10"/>
        <rFont val="WenQuanYi Zen Hei"/>
        <family val="2"/>
      </rPr>
      <t xml:space="preserve">～）②休船からの呼出（</t>
    </r>
    <r>
      <rPr>
        <sz val="10"/>
        <rFont val="游ゴシック"/>
        <family val="0"/>
        <charset val="1"/>
      </rPr>
      <t xml:space="preserve">A15</t>
    </r>
    <r>
      <rPr>
        <sz val="10"/>
        <rFont val="WenQuanYi Zen Hei"/>
        <family val="2"/>
      </rPr>
      <t xml:space="preserve">～）③変更の記録（</t>
    </r>
    <r>
      <rPr>
        <sz val="10"/>
        <rFont val="游ゴシック"/>
        <family val="0"/>
        <charset val="1"/>
      </rPr>
      <t xml:space="preserve">A26</t>
    </r>
    <r>
      <rPr>
        <sz val="10"/>
        <rFont val="WenQuanYi Zen Hei"/>
        <family val="2"/>
      </rPr>
      <t xml:space="preserve">～で作業を選ぶ）。実績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隻未満の日・全船休航の日も①へ入力</t>
    </r>
  </si>
  <si>
    <t xml:space="preserve">集計先：「前日確定」の変更回数・最終日時・取消し、「集計」の変更・取消し・呼出。実績のない取消しは「前日確定」の下の空き行へ作業を追加してから選びます。</t>
  </si>
  <si>
    <t xml:space="preserve">■ 日ごとの変更確認（変更なしと確認できた日と未確認の日を区別）</t>
  </si>
  <si>
    <t xml:space="preserve">日付【入力】</t>
  </si>
  <si>
    <t xml:space="preserve">その日の変更確認【入力・選択】</t>
  </si>
  <si>
    <t xml:space="preserve">全船休航【入力・○】</t>
  </si>
  <si>
    <t xml:space="preserve">実績の最大同時稼働（候補）【自動】</t>
  </si>
  <si>
    <t xml:space="preserve">確認者【入力】</t>
  </si>
  <si>
    <t xml:space="preserve">変更あり（下の表に入力）</t>
  </si>
  <si>
    <t xml:space="preserve">○</t>
  </si>
  <si>
    <r>
      <rPr>
        <b val="true"/>
        <sz val="11"/>
        <color rgb="FF1F4E79"/>
        <rFont val="WenQuanYi Zen Hei"/>
        <family val="2"/>
      </rPr>
      <t xml:space="preserve">■ 休船からの呼出（製鉄曳船・西日本海運。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隻ごとに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行。同じ船の同じ呼出は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回と数える）</t>
    </r>
  </si>
  <si>
    <t xml:space="preserve">呼出した船【入力・選択】</t>
  </si>
  <si>
    <t xml:space="preserve">呼出日時【入力】</t>
  </si>
  <si>
    <t xml:space="preserve">最初に対応した作業【入力・選択】</t>
  </si>
  <si>
    <t xml:space="preserve">呼出の理由【入力・選択】</t>
  </si>
  <si>
    <t xml:space="preserve">確認状況【入力・選択】</t>
  </si>
  <si>
    <t xml:space="preserve">同一呼出の判定【自動】</t>
  </si>
  <si>
    <t xml:space="preserve">対象会社の判定【自動】</t>
  </si>
  <si>
    <t xml:space="preserve">その日の従事作業数【自動】</t>
  </si>
  <si>
    <r>
      <rPr>
        <b val="true"/>
        <sz val="11"/>
        <color rgb="FF1F4E79"/>
        <rFont val="WenQuanYi Zen Hei"/>
        <family val="2"/>
      </rPr>
      <t xml:space="preserve">■ 変更・キャンセルの記録（作業を選ぶと本船名・前日確定・変更前が自動表示。</t>
    </r>
    <r>
      <rPr>
        <b val="true"/>
        <sz val="11"/>
        <color rgb="FF1F4E79"/>
        <rFont val="游ゴシック"/>
        <family val="0"/>
        <charset val="1"/>
      </rPr>
      <t xml:space="preserve">2</t>
    </r>
    <r>
      <rPr>
        <b val="true"/>
        <sz val="11"/>
        <color rgb="FF1F4E79"/>
        <rFont val="WenQuanYi Zen Hei"/>
        <family val="2"/>
      </rPr>
      <t xml:space="preserve">回目以降の変更も同じ作業を選んで行を追加）</t>
    </r>
  </si>
  <si>
    <t xml:space="preserve">作業の選択【入力・選択】</t>
  </si>
  <si>
    <t xml:space="preserve">何回目の変更【自動】</t>
  </si>
  <si>
    <t xml:space="preserve">前日確定のタグ【自動】</t>
  </si>
  <si>
    <t xml:space="preserve">連絡日時【入力】</t>
  </si>
  <si>
    <t xml:space="preserve">連絡元【入力】</t>
  </si>
  <si>
    <t xml:space="preserve">変更前の日時【自動】</t>
  </si>
  <si>
    <t xml:space="preserve">変更後の時刻【入力】（翌日は日付も）</t>
  </si>
  <si>
    <t xml:space="preserve">変更前のタグ【自動】</t>
  </si>
  <si>
    <t xml:space="preserve">変更後のタグ①【入力・選択】</t>
  </si>
  <si>
    <t xml:space="preserve">変更後のタグ②【入力・選択】</t>
  </si>
  <si>
    <t xml:space="preserve">変更後のタグ③【入力・選択】</t>
  </si>
  <si>
    <t xml:space="preserve">変更後のタグ④【入力・選択】</t>
  </si>
  <si>
    <t xml:space="preserve">変更後のタグ⑤【入力・選択】</t>
  </si>
  <si>
    <t xml:space="preserve">変更後のタグ⑥【入力・選択】</t>
  </si>
  <si>
    <t xml:space="preserve">取消し【入力・○】</t>
  </si>
  <si>
    <t xml:space="preserve">取消しの時点【入力・選択】</t>
  </si>
  <si>
    <t xml:space="preserve">理由【入力・選択】</t>
  </si>
  <si>
    <t xml:space="preserve">理由の詳細【入力】</t>
  </si>
  <si>
    <t xml:space="preserve">時間調整【入力・選択】</t>
  </si>
  <si>
    <t xml:space="preserve">時間調整の内容【入力】</t>
  </si>
  <si>
    <t xml:space="preserve">照合キー【自動】</t>
  </si>
  <si>
    <t xml:space="preserve">変更後の日時（有効）【自動】</t>
  </si>
  <si>
    <t xml:space="preserve">変更後のタグ（有効）【自動】</t>
  </si>
  <si>
    <t xml:space="preserve">前回の照合キー【自動】</t>
  </si>
  <si>
    <r>
      <rPr>
        <sz val="10"/>
        <rFont val="游ゴシック"/>
        <family val="0"/>
        <charset val="1"/>
      </rPr>
      <t xml:space="preserve">11/03 </t>
    </r>
    <r>
      <rPr>
        <sz val="10"/>
        <rFont val="WenQuanYi Zen Hei"/>
        <family val="2"/>
      </rPr>
      <t xml:space="preserve">予定のみ</t>
    </r>
    <r>
      <rPr>
        <sz val="10"/>
        <rFont val="游ゴシック"/>
        <family val="0"/>
        <charset val="1"/>
      </rPr>
      <t xml:space="preserve">#01 08:00 </t>
    </r>
    <r>
      <rPr>
        <sz val="10"/>
        <rFont val="WenQuanYi Zen Hei"/>
        <family val="2"/>
      </rPr>
      <t xml:space="preserve">入 試験船</t>
    </r>
    <r>
      <rPr>
        <sz val="10"/>
        <rFont val="游ゴシック"/>
        <family val="0"/>
        <charset val="1"/>
      </rPr>
      <t xml:space="preserve">P</t>
    </r>
  </si>
  <si>
    <t xml:space="preserve">当日・基地発前</t>
  </si>
  <si>
    <t xml:space="preserve">強風・荒天</t>
  </si>
  <si>
    <r>
      <rPr>
        <sz val="10"/>
        <rFont val="游ゴシック"/>
        <family val="0"/>
        <charset val="1"/>
      </rPr>
      <t xml:space="preserve">11/03 </t>
    </r>
    <r>
      <rPr>
        <sz val="10"/>
        <rFont val="WenQuanYi Zen Hei"/>
        <family val="2"/>
      </rPr>
      <t xml:space="preserve">予定のみ</t>
    </r>
    <r>
      <rPr>
        <sz val="10"/>
        <rFont val="游ゴシック"/>
        <family val="0"/>
        <charset val="1"/>
      </rPr>
      <t xml:space="preserve">#02 13:00 </t>
    </r>
    <r>
      <rPr>
        <sz val="10"/>
        <rFont val="WenQuanYi Zen Hei"/>
        <family val="2"/>
      </rPr>
      <t xml:space="preserve">出 試験船</t>
    </r>
    <r>
      <rPr>
        <sz val="10"/>
        <rFont val="游ゴシック"/>
        <family val="0"/>
        <charset val="1"/>
      </rPr>
      <t xml:space="preserve">Q</t>
    </r>
  </si>
  <si>
    <t xml:space="preserve">入渠（作業に使えない期間）</t>
  </si>
  <si>
    <r>
      <rPr>
        <sz val="10"/>
        <rFont val="WenQuanYi Zen Hei"/>
        <family val="2"/>
      </rPr>
      <t xml:space="preserve">誰が：上田（製鉄曳船）・西日本海運担当者（西日本海運）、他社は分かる範囲　何を見て：入渠の記録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隻・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</t>
    </r>
  </si>
  <si>
    <t xml:space="preserve">集計先：「集計」の入渠で使えない船数・供給可能船の確認</t>
  </si>
  <si>
    <t xml:space="preserve">入渠開始日【入力】</t>
  </si>
  <si>
    <t xml:space="preserve">作業復帰日【入力】</t>
  </si>
  <si>
    <t xml:space="preserve">対象日に使えない【自動】</t>
  </si>
  <si>
    <t xml:space="preserve">他港作業（西日本海運の全他港作業。関豊丸・長豊丸に限定しない）</t>
  </si>
  <si>
    <r>
      <rPr>
        <sz val="10"/>
        <rFont val="WenQuanYi Zen Hei"/>
        <family val="2"/>
      </rPr>
      <t xml:space="preserve">誰が：西日本海運担当者　何を見て：西日本海運の作業記録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作業ごとに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行。実時刻が分からない場合は「時刻の確認状況」で区別</t>
    </r>
  </si>
  <si>
    <t xml:space="preserve">集計先：「集計」の他港作業で拘束された船数・供給可能船の確認</t>
  </si>
  <si>
    <t xml:space="preserve">作業港【入力】</t>
  </si>
  <si>
    <t xml:space="preserve">基地発日時【入力】</t>
  </si>
  <si>
    <t xml:space="preserve">基地着日時【入力】</t>
  </si>
  <si>
    <t xml:space="preserve">時刻の確認状況【入力・選択】</t>
  </si>
  <si>
    <t xml:space="preserve">対象日に拘束【自動】</t>
  </si>
  <si>
    <t xml:space="preserve">会社の確認【自動】</t>
  </si>
  <si>
    <r>
      <rPr>
        <b val="true"/>
        <sz val="10"/>
        <rFont val="WenQuanYi Zen Hei"/>
        <family val="2"/>
      </rPr>
      <t xml:space="preserve">基地発（対象日</t>
    </r>
    <r>
      <rPr>
        <b val="true"/>
        <sz val="10"/>
        <rFont val="游ゴシック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時からの分）【自動】</t>
    </r>
  </si>
  <si>
    <t xml:space="preserve">基地着（分）【自動】</t>
  </si>
  <si>
    <t xml:space="preserve">他社配置（若松・関門等の他社の体制）</t>
  </si>
  <si>
    <r>
      <rPr>
        <sz val="10"/>
        <rFont val="WenQuanYi Zen Hei"/>
        <family val="2"/>
      </rPr>
      <t xml:space="preserve">誰が：上田（分かる範囲）　何を見て：他社の配置・入渠・他港作業・応援依頼への回答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行。依頼への対応可否が分からなければ空欄（＝未確認）</t>
    </r>
  </si>
  <si>
    <r>
      <rPr>
        <sz val="10"/>
        <color rgb="FF595959"/>
        <rFont val="WenQuanYi Zen Hei"/>
        <family val="2"/>
      </rPr>
      <t xml:space="preserve">集計先：「集計」の他社配置・供給可能船の確認。対応可否が空欄の船は供給可能に数えません。</t>
    </r>
    <r>
      <rPr>
        <sz val="10"/>
        <color rgb="FF595959"/>
        <rFont val="游ゴシック"/>
        <family val="0"/>
        <charset val="1"/>
      </rPr>
      <t xml:space="preserve">2025</t>
    </r>
    <r>
      <rPr>
        <sz val="10"/>
        <color rgb="FF595959"/>
        <rFont val="WenQuanYi Zen Hei"/>
        <family val="2"/>
      </rPr>
      <t xml:space="preserve">年の配置は将来の応援確約ではありません。</t>
    </r>
  </si>
  <si>
    <t xml:space="preserve">会社【入力・選択】</t>
  </si>
  <si>
    <t xml:space="preserve">配置港【入力】</t>
  </si>
  <si>
    <t xml:space="preserve">対象期間の開始日【入力】</t>
  </si>
  <si>
    <t xml:space="preserve">対象期間の終了日【入力】</t>
  </si>
  <si>
    <t xml:space="preserve">依頼への対応可否【入力・選択】（空欄＝未確認）</t>
  </si>
  <si>
    <t xml:space="preserve">入渠・他港拘束（分かれば）【入力】</t>
  </si>
  <si>
    <t xml:space="preserve">確認日【入力】</t>
  </si>
  <si>
    <t xml:space="preserve">対象日に配置【自動】</t>
  </si>
  <si>
    <t xml:space="preserve">船名と会社の一致【自動】</t>
  </si>
  <si>
    <t xml:space="preserve">標準時間（基地発から基地着までの見込み）</t>
  </si>
  <si>
    <r>
      <rPr>
        <sz val="10"/>
        <rFont val="WenQuanYi Zen Hei"/>
        <family val="2"/>
      </rPr>
      <t xml:space="preserve">誰が：八幡タグ＝上田、西日本海運タグ＝西日本海運担当者　何を見て：運航の実態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から会社・基地港・バース・作業内容ごとに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行（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入港・出港・警戒は分ける）</t>
    </r>
  </si>
  <si>
    <t xml:space="preserve">集計先：今後の標準時間による推計（実測とは区別して表示）。右の上田資料の目安は起点が未確認のため参考表示のみ。</t>
  </si>
  <si>
    <r>
      <rPr>
        <b val="true"/>
        <sz val="10"/>
        <rFont val="WenQuanYi Zen Hei"/>
        <family val="2"/>
      </rPr>
      <t xml:space="preserve">参考：上田資料「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作業平均使用曳船隻数・曳船拘束時間集計」（基地出発～基地帰着の目安と記載。基地港・起点の詳細は未確認。入力欄ではありません）</t>
    </r>
  </si>
  <si>
    <t xml:space="preserve">基地港【入力・選択】</t>
  </si>
  <si>
    <t xml:space="preserve">バース【入力】</t>
  </si>
  <si>
    <t xml:space="preserve">作業内容【入力・選択】</t>
  </si>
  <si>
    <t xml:space="preserve">予定時刻の基準【入力・選択】</t>
  </si>
  <si>
    <t xml:space="preserve">基地から現場への移動（分）【入力】</t>
  </si>
  <si>
    <t xml:space="preserve">作業（分）【入力】</t>
  </si>
  <si>
    <t xml:space="preserve">帰航（分）【入力】</t>
  </si>
  <si>
    <t xml:space="preserve">合計（分）【自動】</t>
  </si>
  <si>
    <t xml:space="preserve">適用開始日【入力】</t>
  </si>
  <si>
    <t xml:space="preserve">適用終了日【入力】</t>
  </si>
  <si>
    <t xml:space="preserve">区分</t>
  </si>
  <si>
    <t xml:space="preserve">平均使用隻数</t>
  </si>
  <si>
    <t xml:space="preserve">標準的な拘束時間</t>
  </si>
  <si>
    <t xml:space="preserve">最大の拘束時間</t>
  </si>
  <si>
    <t xml:space="preserve">LNG</t>
  </si>
  <si>
    <r>
      <rPr>
        <sz val="10"/>
        <rFont val="游ゴシック"/>
        <family val="0"/>
        <charset val="1"/>
      </rPr>
      <t xml:space="preserve">5.0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</si>
  <si>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5.0H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4.0H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</si>
  <si>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6.0H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2.5H</t>
    </r>
  </si>
  <si>
    <t xml:space="preserve">副原料</t>
  </si>
  <si>
    <r>
      <rPr>
        <sz val="10"/>
        <rFont val="游ゴシック"/>
        <family val="0"/>
        <charset val="1"/>
      </rPr>
      <t xml:space="preserve">1.8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</si>
  <si>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</si>
  <si>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</si>
  <si>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t xml:space="preserve">安瀬石炭</t>
  </si>
  <si>
    <r>
      <rPr>
        <sz val="10"/>
        <rFont val="游ゴシック"/>
        <family val="0"/>
        <charset val="1"/>
      </rPr>
      <t xml:space="preserve">3.6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</si>
  <si>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／部埼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</si>
  <si>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4.5H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</si>
  <si>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内浦</t>
  </si>
  <si>
    <r>
      <rPr>
        <sz val="10"/>
        <rFont val="游ゴシック"/>
        <family val="0"/>
        <charset val="1"/>
      </rPr>
      <t xml:space="preserve">1.7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</si>
  <si>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1.5H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</si>
  <si>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</si>
  <si>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八幡</t>
  </si>
  <si>
    <r>
      <rPr>
        <sz val="10"/>
        <rFont val="游ゴシック"/>
        <family val="0"/>
        <charset val="1"/>
      </rPr>
      <t xml:space="preserve">1.9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</si>
  <si>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1.5H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</si>
  <si>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</si>
  <si>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鋼材シフト（日本製鉄作業）</t>
  </si>
  <si>
    <r>
      <rPr>
        <sz val="10"/>
        <rFont val="游ゴシック"/>
        <family val="0"/>
        <charset val="1"/>
      </rPr>
      <t xml:space="preserve">2.0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</si>
  <si>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</si>
  <si>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2.5H</t>
    </r>
  </si>
  <si>
    <t xml:space="preserve">マスター（会社・船名・基地港・品名・選択肢）</t>
  </si>
  <si>
    <t xml:space="preserve">誰が：上田・各担当者　何を見て：要目表・元帳・予定表　どこへ：各表の最後の行の下の空き行へ追加（空行を空けずに続けて入力）</t>
  </si>
  <si>
    <r>
      <rPr>
        <sz val="10"/>
        <color rgb="FF595959"/>
        <rFont val="WenQuanYi Zen Hei"/>
        <family val="2"/>
      </rPr>
      <t xml:space="preserve">集計先：全シートの選択肢（▼）、実績の会社判定、集計の会社別・供給可能船・高炉原料を除く集計。正式船名を入れると同じ船として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隻に数えます。</t>
    </r>
  </si>
  <si>
    <r>
      <rPr>
        <sz val="10"/>
        <color rgb="FFC00000"/>
        <rFont val="WenQuanYi Zen Hei"/>
        <family val="2"/>
      </rPr>
      <t xml:space="preserve">※ 船は正式船名が分かるまで元帳の記号のまま使います。「常駐側の供給数に数える」は、同じ船を二重に数えないため、現在は元帳で使われている記号（</t>
    </r>
    <r>
      <rPr>
        <sz val="10"/>
        <color rgb="FFC00000"/>
        <rFont val="游ゴシック"/>
        <family val="0"/>
        <charset val="1"/>
      </rPr>
      <t xml:space="preserve">T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S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Y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M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P</t>
    </r>
    <r>
      <rPr>
        <sz val="10"/>
        <color rgb="FFC00000"/>
        <rFont val="WenQuanYi Zen Hei"/>
        <family val="2"/>
      </rPr>
      <t xml:space="preserve">・関・長）に○を付けています。グリーンシッピングの応援船が</t>
    </r>
    <r>
      <rPr>
        <sz val="10"/>
        <color rgb="FFC00000"/>
        <rFont val="游ゴシック"/>
        <family val="0"/>
        <charset val="1"/>
      </rPr>
      <t xml:space="preserve">4</t>
    </r>
    <r>
      <rPr>
        <sz val="10"/>
        <color rgb="FFC00000"/>
        <rFont val="WenQuanYi Zen Hei"/>
        <family val="2"/>
      </rPr>
      <t xml:space="preserve">隻あった場合は、船名を確認のうえ空き行へ追加してください。</t>
    </r>
  </si>
  <si>
    <t xml:space="preserve">※ 会社・基地港・品名を追加すると、選択肢と「集計」へ反映されます。品名の高炉原料区分は初期値で要確認です。</t>
  </si>
  <si>
    <t xml:space="preserve">選択名（元帳・予定表の表記）【入力】</t>
  </si>
  <si>
    <t xml:space="preserve">正式船名【入力】</t>
  </si>
  <si>
    <t xml:space="preserve">船の種類【入力・選択】</t>
  </si>
  <si>
    <t xml:space="preserve">常駐側の供給数に数える【入力・○】</t>
  </si>
  <si>
    <t xml:space="preserve">対象日に有効【自動】</t>
  </si>
  <si>
    <t xml:space="preserve">照合名【自動】</t>
  </si>
  <si>
    <t xml:space="preserve">同一船の先頭【自動】</t>
  </si>
  <si>
    <t xml:space="preserve">会社名【入力】</t>
  </si>
  <si>
    <t xml:space="preserve">会社区分【入力・選択】</t>
  </si>
  <si>
    <t xml:space="preserve">基地港【入力】</t>
  </si>
  <si>
    <t xml:space="preserve">品名（元帳の表記）【入力】</t>
  </si>
  <si>
    <t xml:space="preserve">高炉原料区分【入力・選択】</t>
  </si>
  <si>
    <t xml:space="preserve">安瀬（按分配船）【入力・○】</t>
  </si>
  <si>
    <t xml:space="preserve">確認状況【入力】</t>
  </si>
  <si>
    <t xml:space="preserve">照合の状況【入力】</t>
  </si>
  <si>
    <t xml:space="preserve">取消しの時点【入力】</t>
  </si>
  <si>
    <t xml:space="preserve">変更・取消しの理由【入力】</t>
  </si>
  <si>
    <t xml:space="preserve">時間調整【入力】</t>
  </si>
  <si>
    <t xml:space="preserve">呼出の理由【入力】</t>
  </si>
  <si>
    <t xml:space="preserve">作業内容【入力】</t>
  </si>
  <si>
    <t xml:space="preserve">予定時刻の基準【入力】</t>
  </si>
  <si>
    <t xml:space="preserve">船の種類【入力】</t>
  </si>
  <si>
    <t xml:space="preserve">時刻の確認状況【入力】</t>
  </si>
  <si>
    <t xml:space="preserve">会社区分【入力】</t>
  </si>
  <si>
    <t xml:space="preserve">その日の変更確認【入力】</t>
  </si>
  <si>
    <t xml:space="preserve">高炉原料区分【入力】</t>
  </si>
  <si>
    <t xml:space="preserve">実際の出勤・待機【入力】</t>
  </si>
  <si>
    <t xml:space="preserve">依頼への対応可否【入力】</t>
  </si>
  <si>
    <t xml:space="preserve">八幡丸</t>
  </si>
  <si>
    <t xml:space="preserve">製鉄曳船</t>
  </si>
  <si>
    <t xml:space="preserve">タグ</t>
  </si>
  <si>
    <t xml:space="preserve">未確認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</si>
  <si>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</si>
  <si>
    <t xml:space="preserve">要確認（基地港・元帳記号との対応）</t>
  </si>
  <si>
    <t xml:space="preserve">確認済み</t>
  </si>
  <si>
    <t xml:space="preserve">門司港</t>
  </si>
  <si>
    <t xml:space="preserve">鋼材</t>
  </si>
  <si>
    <t xml:space="preserve">高炉原料以外</t>
  </si>
  <si>
    <t xml:space="preserve">初期値（要確認）</t>
  </si>
  <si>
    <t xml:space="preserve">前日</t>
  </si>
  <si>
    <t xml:space="preserve">あり</t>
  </si>
  <si>
    <t xml:space="preserve">常駐船が他作業で不足</t>
  </si>
  <si>
    <t xml:space="preserve">入港</t>
  </si>
  <si>
    <r>
      <rPr>
        <sz val="10"/>
        <rFont val="WenQuanYi Zen Hei"/>
        <family val="2"/>
      </rPr>
      <t xml:space="preserve">本船</t>
    </r>
    <r>
      <rPr>
        <sz val="10"/>
        <rFont val="游ゴシック"/>
        <family val="0"/>
        <charset val="1"/>
      </rPr>
      <t xml:space="preserve">POB</t>
    </r>
  </si>
  <si>
    <t xml:space="preserve">実時刻</t>
  </si>
  <si>
    <t xml:space="preserve">高炉原料</t>
  </si>
  <si>
    <t xml:space="preserve">可</t>
  </si>
  <si>
    <t xml:space="preserve">鐵豊丸</t>
  </si>
  <si>
    <t xml:space="preserve">西日本海運</t>
  </si>
  <si>
    <t xml:space="preserve">戸畑</t>
  </si>
  <si>
    <t xml:space="preserve">視界不良</t>
  </si>
  <si>
    <t xml:space="preserve">なし</t>
  </si>
  <si>
    <t xml:space="preserve">入渠中の船の代わり</t>
  </si>
  <si>
    <t xml:space="preserve">出港</t>
  </si>
  <si>
    <t xml:space="preserve">着岸</t>
  </si>
  <si>
    <t xml:space="preserve">通船・警戒船</t>
  </si>
  <si>
    <t xml:space="preserve">予定・推定</t>
  </si>
  <si>
    <t xml:space="preserve">変更なしと確認済み</t>
  </si>
  <si>
    <t xml:space="preserve">出勤して作業</t>
  </si>
  <si>
    <t xml:space="preserve">不可</t>
  </si>
  <si>
    <t xml:space="preserve">新豊丸</t>
  </si>
  <si>
    <t xml:space="preserve">シーゲートコーポレーション</t>
  </si>
  <si>
    <t xml:space="preserve">他社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</si>
  <si>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／要目表</t>
    </r>
    <r>
      <rPr>
        <sz val="10"/>
        <rFont val="游ゴシック"/>
        <family val="0"/>
        <charset val="1"/>
      </rPr>
      <t xml:space="preserve">2026.8</t>
    </r>
  </si>
  <si>
    <t xml:space="preserve">鉱石</t>
  </si>
  <si>
    <t xml:space="preserve">要確認（正式船名・会社）</t>
  </si>
  <si>
    <t xml:space="preserve">予定表に記載なし</t>
  </si>
  <si>
    <t xml:space="preserve">当日・基地発後</t>
  </si>
  <si>
    <t xml:space="preserve">本船都合</t>
  </si>
  <si>
    <t xml:space="preserve">不明</t>
  </si>
  <si>
    <t xml:space="preserve">他港作業中の船の代わり</t>
  </si>
  <si>
    <t xml:space="preserve">転錨・シフト</t>
  </si>
  <si>
    <t xml:space="preserve">離岸</t>
  </si>
  <si>
    <t xml:space="preserve">八豊丸</t>
  </si>
  <si>
    <t xml:space="preserve">グリーンシッピング</t>
  </si>
  <si>
    <t xml:space="preserve">若松</t>
  </si>
  <si>
    <t xml:space="preserve">石炭</t>
  </si>
  <si>
    <t xml:space="preserve">初期値（要確認）。発電用等の区別は未確認</t>
  </si>
  <si>
    <t xml:space="preserve">予定表なし</t>
  </si>
  <si>
    <t xml:space="preserve">荷役都合</t>
  </si>
  <si>
    <t xml:space="preserve">乗組員の出勤手配の不足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</si>
  <si>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</t>
    </r>
  </si>
  <si>
    <t xml:space="preserve">作業開始</t>
  </si>
  <si>
    <t xml:space="preserve">松豊丸</t>
  </si>
  <si>
    <t xml:space="preserve">日鉄物流</t>
  </si>
  <si>
    <t xml:space="preserve">支給炭</t>
  </si>
  <si>
    <r>
      <rPr>
        <sz val="10"/>
        <rFont val="WenQuanYi Zen Hei"/>
        <family val="2"/>
      </rPr>
      <t xml:space="preserve">既存集計の安瀬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と支給炭入港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が一致（要確認）</t>
    </r>
  </si>
  <si>
    <t xml:space="preserve">要確認（元帳記号との対応）</t>
  </si>
  <si>
    <t xml:space="preserve">代理店・荷主都合</t>
  </si>
  <si>
    <t xml:space="preserve">その他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</si>
  <si>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出港</t>
    </r>
  </si>
  <si>
    <t xml:space="preserve">基地発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</si>
  <si>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年度の記号。会社は既存集計（西日本</t>
    </r>
    <r>
      <rPr>
        <sz val="10"/>
        <rFont val="游ゴシック"/>
        <family val="0"/>
        <charset val="1"/>
      </rPr>
      <t xml:space="preserve">G 2,744</t>
    </r>
    <r>
      <rPr>
        <sz val="10"/>
        <rFont val="WenQuanYi Zen Hei"/>
        <family val="2"/>
      </rPr>
      <t xml:space="preserve">）との照合上の扱い</t>
    </r>
  </si>
  <si>
    <t xml:space="preserve">春風海運</t>
  </si>
  <si>
    <t xml:space="preserve">将来の取扱い未確認</t>
  </si>
  <si>
    <r>
      <rPr>
        <sz val="10"/>
        <rFont val="WenQuanYi Zen Hei"/>
        <family val="2"/>
      </rPr>
      <t xml:space="preserve">要確認（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年度の所属）</t>
    </r>
  </si>
  <si>
    <t xml:space="preserve">バース都合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</si>
  <si>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警戒</t>
    </r>
  </si>
  <si>
    <t xml:space="preserve">同上</t>
  </si>
  <si>
    <t xml:space="preserve">矢野海運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</si>
  <si>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（船名は未確認）</t>
    </r>
  </si>
  <si>
    <t xml:space="preserve">内航</t>
  </si>
  <si>
    <t xml:space="preserve">要確認（種類・会社）</t>
  </si>
  <si>
    <t xml:space="preserve">タグの都合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</si>
  <si>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</t>
    </r>
  </si>
  <si>
    <t xml:space="preserve">洞海マリン</t>
  </si>
  <si>
    <t xml:space="preserve">福島海運</t>
  </si>
  <si>
    <t xml:space="preserve">P</t>
  </si>
  <si>
    <t xml:space="preserve">関豊丸</t>
  </si>
  <si>
    <t xml:space="preserve">長豊丸</t>
  </si>
  <si>
    <t xml:space="preserve">関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</si>
  <si>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年度の記号。会社は既存集計との照合上の扱い</t>
    </r>
  </si>
  <si>
    <t xml:space="preserve">長</t>
  </si>
  <si>
    <t xml:space="preserve">かざし丸</t>
  </si>
  <si>
    <r>
      <rPr>
        <sz val="10"/>
        <rFont val="WenQuanYi Zen Hei"/>
        <family val="2"/>
      </rPr>
      <t xml:space="preserve">要目表</t>
    </r>
    <r>
      <rPr>
        <sz val="10"/>
        <rFont val="游ゴシック"/>
        <family val="0"/>
        <charset val="1"/>
      </rPr>
      <t xml:space="preserve">2026.8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年度の所属は未確認）</t>
    </r>
  </si>
  <si>
    <t xml:space="preserve">鷲羽丸</t>
  </si>
  <si>
    <r>
      <rPr>
        <sz val="10"/>
        <rFont val="WenQuanYi Zen Hei"/>
        <family val="2"/>
      </rPr>
      <t xml:space="preserve">むさし丸</t>
    </r>
    <r>
      <rPr>
        <sz val="10"/>
        <rFont val="游ゴシック"/>
        <family val="0"/>
        <charset val="1"/>
      </rPr>
      <t xml:space="preserve">2</t>
    </r>
  </si>
  <si>
    <t xml:space="preserve">かなで</t>
  </si>
  <si>
    <t xml:space="preserve">かいせい</t>
  </si>
  <si>
    <t xml:space="preserve">春風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</si>
  <si>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（ユーザー指定）</t>
    </r>
  </si>
  <si>
    <t xml:space="preserve">栄春</t>
  </si>
  <si>
    <t xml:space="preserve">双美</t>
  </si>
  <si>
    <t xml:space="preserve">春幸</t>
  </si>
  <si>
    <t xml:space="preserve">さくら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</si>
  <si>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列「洞」は参考。会社は推定しない）</t>
    </r>
  </si>
  <si>
    <t xml:space="preserve">みさき</t>
  </si>
  <si>
    <t xml:space="preserve">竜山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</si>
  <si>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列「矢」は参考。会社は推定しない）</t>
    </r>
  </si>
  <si>
    <t xml:space="preserve">竜峰</t>
  </si>
  <si>
    <t xml:space="preserve">竜昇</t>
  </si>
  <si>
    <t xml:space="preserve">竜海</t>
  </si>
  <si>
    <t xml:space="preserve">慶鳳丸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</si>
  <si>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</t>
    </r>
  </si>
  <si>
    <t xml:space="preserve">秀豊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</si>
  <si>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年度（秀豊丸と同一船かは未確認）</t>
    </r>
  </si>
  <si>
    <t xml:space="preserve">秀豊丸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</si>
  <si>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年度（秀豊と同一船かは未確認）</t>
    </r>
  </si>
  <si>
    <t xml:space="preserve">まんじゅ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</si>
  <si>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年度。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エスコートのみ・時刻空欄。既存集計では除外とみられる</t>
    </r>
  </si>
  <si>
    <t xml:space="preserve">せいじゅ</t>
  </si>
  <si>
    <r>
      <rPr>
        <b val="true"/>
        <sz val="14"/>
        <rFont val="WenQuanYi Zen Hei"/>
        <family val="2"/>
      </rPr>
      <t xml:space="preserve">集計（自動表示。入力できるのは </t>
    </r>
    <r>
      <rPr>
        <b val="true"/>
        <sz val="14"/>
        <rFont val="游ゴシック"/>
        <family val="0"/>
        <charset val="1"/>
      </rPr>
      <t xml:space="preserve">C7 </t>
    </r>
    <r>
      <rPr>
        <b val="true"/>
        <sz val="14"/>
        <rFont val="WenQuanYi Zen Hei"/>
        <family val="2"/>
      </rPr>
      <t xml:space="preserve">の確認する時刻だけ）</t>
    </r>
  </si>
  <si>
    <r>
      <rPr>
        <sz val="10"/>
        <rFont val="WenQuanYi Zen Hei"/>
        <family val="2"/>
      </rPr>
      <t xml:space="preserve">誰が：全員が見る　何を見て：各シートの入力結果　どこへ：入力欄は 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（供給可能船を確認する時刻。空欄なら最大同時の時刻）のみ</t>
    </r>
  </si>
  <si>
    <r>
      <rPr>
        <sz val="10"/>
        <color rgb="FF595959"/>
        <rFont val="WenQuanYi Zen Hei"/>
        <family val="2"/>
      </rPr>
      <t xml:space="preserve">この試作は入力と集計のつながりを試すものです。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隻と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隻の比較の結論や、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隻の必要性を示すものではありません。</t>
    </r>
  </si>
  <si>
    <t xml:space="preserve">対象日</t>
  </si>
  <si>
    <r>
      <rPr>
        <sz val="10"/>
        <color rgb="FF595959"/>
        <rFont val="WenQuanYi Zen Hei"/>
        <family val="2"/>
      </rPr>
      <t xml:space="preserve">取込時に設定（実績が</t>
    </r>
    <r>
      <rPr>
        <sz val="10"/>
        <color rgb="FF595959"/>
        <rFont val="游ゴシック"/>
        <family val="0"/>
        <charset val="1"/>
      </rPr>
      <t xml:space="preserve">0</t>
    </r>
    <r>
      <rPr>
        <sz val="10"/>
        <color rgb="FF595959"/>
        <rFont val="WenQuanYi Zen Hei"/>
        <family val="2"/>
      </rPr>
      <t xml:space="preserve">件の日も保持）</t>
    </r>
  </si>
  <si>
    <t xml:space="preserve">時刻の扱い</t>
  </si>
  <si>
    <t xml:space="preserve">候補・時刻要確認</t>
  </si>
  <si>
    <t xml:space="preserve">元帳の作業時間が基地発・基地着か未確認のため、同時稼働は候補</t>
  </si>
  <si>
    <t xml:space="preserve">供給可能船を確認する時刻【入力】</t>
  </si>
  <si>
    <t xml:space="preserve">空欄なら最大同時の時刻（右の「供給可能船の確認」へ反映）</t>
  </si>
  <si>
    <t xml:space="preserve">■ 実績（元帳）</t>
  </si>
  <si>
    <t xml:space="preserve">■ 時間帯別の最大同時稼働（候補）</t>
  </si>
  <si>
    <t xml:space="preserve">■ 供給可能船の確認（確認する時刻に、入渠中・他港作業中・作業中・未確認の船を除く）</t>
  </si>
  <si>
    <t xml:space="preserve">作業件数</t>
  </si>
  <si>
    <r>
      <rPr>
        <sz val="10"/>
        <color rgb="FF595959"/>
        <rFont val="WenQuanYi Zen Hei"/>
        <family val="2"/>
      </rPr>
      <t xml:space="preserve">元帳の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作業（タグ別行ではない）</t>
    </r>
  </si>
  <si>
    <t xml:space="preserve">時台</t>
  </si>
  <si>
    <t xml:space="preserve">全体【自動】</t>
  </si>
  <si>
    <t xml:space="preserve">本船作業数【自動】</t>
  </si>
  <si>
    <t xml:space="preserve">製鉄曳船（要確認）【自動】</t>
  </si>
  <si>
    <t xml:space="preserve">西日本海運【自動】</t>
  </si>
  <si>
    <t xml:space="preserve">高炉原料を除く【自動】</t>
  </si>
  <si>
    <t xml:space="preserve">確認する時刻【自動】</t>
  </si>
  <si>
    <t xml:space="preserve">延べタグ（タグ欄の行数）</t>
  </si>
  <si>
    <t xml:space="preserve">取消し記載の行も含む</t>
  </si>
  <si>
    <r>
      <rPr>
        <sz val="10"/>
        <rFont val="游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時</t>
    </r>
  </si>
  <si>
    <t xml:space="preserve">供給可能（待機）</t>
  </si>
  <si>
    <t xml:space="preserve">うち取消しの記載がある行</t>
  </si>
  <si>
    <t xml:space="preserve">同時稼働には含めない</t>
  </si>
  <si>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時</t>
    </r>
  </si>
  <si>
    <t xml:space="preserve">供給可能（他社・対応可）</t>
  </si>
  <si>
    <t xml:space="preserve">うち時刻がない行</t>
  </si>
  <si>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時</t>
    </r>
  </si>
  <si>
    <t xml:space="preserve">作業中</t>
  </si>
  <si>
    <t xml:space="preserve">同時稼働に含めた行</t>
  </si>
  <si>
    <t xml:space="preserve">取消し・時刻なし・通船等を除く</t>
  </si>
  <si>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時</t>
    </r>
  </si>
  <si>
    <t xml:space="preserve">入渠中</t>
  </si>
  <si>
    <t xml:space="preserve">最大同時稼働隻数（候補）</t>
  </si>
  <si>
    <r>
      <rPr>
        <sz val="10"/>
        <color rgb="FF595959"/>
        <rFont val="WenQuanYi Zen Hei"/>
        <family val="2"/>
      </rPr>
      <t xml:space="preserve">同じ船は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隻。複数本船の作業を重ねた</t>
    </r>
    <r>
      <rPr>
        <sz val="10"/>
        <color rgb="FF595959"/>
        <rFont val="游ゴシック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分刻みの最大</t>
    </r>
  </si>
  <si>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時</t>
    </r>
  </si>
  <si>
    <t xml:space="preserve">他港作業中</t>
  </si>
  <si>
    <t xml:space="preserve">最初にその隻数となった時刻</t>
  </si>
  <si>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時</t>
    </r>
  </si>
  <si>
    <t xml:space="preserve">対応不可</t>
  </si>
  <si>
    <t xml:space="preserve">その時刻に作業中の本船作業数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</si>
  <si>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本船だけで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隻以上か、複数本船の重なりかを区別</t>
    </r>
  </si>
  <si>
    <r>
      <rPr>
        <sz val="10"/>
        <rFont val="游ゴシック"/>
        <family val="0"/>
        <charset val="1"/>
      </rPr>
      <t xml:space="preserve">6</t>
    </r>
    <r>
      <rPr>
        <sz val="10"/>
        <rFont val="WenQuanYi Zen Hei"/>
        <family val="2"/>
      </rPr>
      <t xml:space="preserve">時</t>
    </r>
  </si>
  <si>
    <t xml:space="preserve">未確認（他社の対応可否が空欄）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</si>
  <si>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</si>
  <si>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時</t>
    </r>
  </si>
  <si>
    <t xml:space="preserve">未確認（会社未確認）</t>
  </si>
  <si>
    <t xml:space="preserve">　うち複数本船の重なり（分）</t>
  </si>
  <si>
    <r>
      <rPr>
        <sz val="10"/>
        <rFont val="游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時</t>
    </r>
  </si>
  <si>
    <t xml:space="preserve">対象外（記号との対応未確認）</t>
  </si>
  <si>
    <r>
      <rPr>
        <sz val="10"/>
        <rFont val="WenQuanYi Zen Hei"/>
        <family val="2"/>
      </rPr>
      <t xml:space="preserve">　うち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本船のみ（分）</t>
    </r>
  </si>
  <si>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時</t>
    </r>
  </si>
  <si>
    <t xml:space="preserve">対象外（通船・警戒船）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</si>
  <si>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</si>
  <si>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10</t>
    </r>
    <r>
      <rPr>
        <sz val="10"/>
        <rFont val="WenQuanYi Zen Hei"/>
        <family val="2"/>
      </rPr>
      <t xml:space="preserve">時</t>
    </r>
  </si>
  <si>
    <t xml:space="preserve">※ 常駐側は、マスターで「常駐側の供給数に数える」に○の船。他社は「他社配置」で対応可否が「可」の船だけを供給可能に数え、空欄は未確認。乗組員の出勤は別（前日確定）。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</si>
  <si>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</si>
  <si>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時</t>
    </r>
  </si>
  <si>
    <t xml:space="preserve">船（集計船名）【自動】</t>
  </si>
  <si>
    <t xml:space="preserve">状態【自動】</t>
  </si>
  <si>
    <t xml:space="preserve">製鉄曳船（会社要確認）の最大同時</t>
  </si>
  <si>
    <t xml:space="preserve">マスターで会社区分が「製鉄曳船」の船</t>
  </si>
  <si>
    <r>
      <rPr>
        <sz val="10"/>
        <rFont val="游ゴシック"/>
        <family val="0"/>
        <charset val="1"/>
      </rPr>
      <t xml:space="preserve">12</t>
    </r>
    <r>
      <rPr>
        <sz val="10"/>
        <rFont val="WenQuanYi Zen Hei"/>
        <family val="2"/>
      </rPr>
      <t xml:space="preserve">時</t>
    </r>
  </si>
  <si>
    <t xml:space="preserve">西日本海運の最大同時</t>
  </si>
  <si>
    <r>
      <rPr>
        <sz val="10"/>
        <rFont val="游ゴシック"/>
        <family val="0"/>
        <charset val="1"/>
      </rPr>
      <t xml:space="preserve">13</t>
    </r>
    <r>
      <rPr>
        <sz val="10"/>
        <rFont val="WenQuanYi Zen Hei"/>
        <family val="2"/>
      </rPr>
      <t xml:space="preserve">時</t>
    </r>
  </si>
  <si>
    <t xml:space="preserve">重複配船の警告がある行</t>
  </si>
  <si>
    <t xml:space="preserve">同じ船が同じ時間に別作業</t>
  </si>
  <si>
    <r>
      <rPr>
        <sz val="10"/>
        <rFont val="游ゴシック"/>
        <family val="0"/>
        <charset val="1"/>
      </rPr>
      <t xml:space="preserve">14</t>
    </r>
    <r>
      <rPr>
        <sz val="10"/>
        <rFont val="WenQuanYi Zen Hei"/>
        <family val="2"/>
      </rPr>
      <t xml:space="preserve">時</t>
    </r>
  </si>
  <si>
    <t xml:space="preserve">同一記録の重複がある行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</si>
  <si>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隻として数えている</t>
    </r>
  </si>
  <si>
    <r>
      <rPr>
        <sz val="10"/>
        <rFont val="游ゴシック"/>
        <family val="0"/>
        <charset val="1"/>
      </rPr>
      <t xml:space="preserve">15</t>
    </r>
    <r>
      <rPr>
        <sz val="10"/>
        <rFont val="WenQuanYi Zen Hei"/>
        <family val="2"/>
      </rPr>
      <t xml:space="preserve">時</t>
    </r>
  </si>
  <si>
    <t xml:space="preserve">マスター未登録の行</t>
  </si>
  <si>
    <t xml:space="preserve">マスターへ追加すると解消</t>
  </si>
  <si>
    <r>
      <rPr>
        <sz val="10"/>
        <rFont val="游ゴシック"/>
        <family val="0"/>
        <charset val="1"/>
      </rPr>
      <t xml:space="preserve">16</t>
    </r>
    <r>
      <rPr>
        <sz val="10"/>
        <rFont val="WenQuanYi Zen Hei"/>
        <family val="2"/>
      </rPr>
      <t xml:space="preserve">時</t>
    </r>
  </si>
  <si>
    <t xml:space="preserve">船名・会社が確認済みでない行</t>
  </si>
  <si>
    <t xml:space="preserve">未確認として残している</t>
  </si>
  <si>
    <r>
      <rPr>
        <sz val="10"/>
        <rFont val="游ゴシック"/>
        <family val="0"/>
        <charset val="1"/>
      </rPr>
      <t xml:space="preserve">17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</si>
  <si>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18</t>
    </r>
    <r>
      <rPr>
        <sz val="10"/>
        <rFont val="WenQuanYi Zen Hei"/>
        <family val="2"/>
      </rPr>
      <t xml:space="preserve">時</t>
    </r>
  </si>
  <si>
    <t xml:space="preserve">■ 高炉原料を除いた集計（全作業の集計とは別に表示）</t>
  </si>
  <si>
    <r>
      <rPr>
        <sz val="10"/>
        <rFont val="游ゴシック"/>
        <family val="0"/>
        <charset val="1"/>
      </rPr>
      <t xml:space="preserve">19</t>
    </r>
    <r>
      <rPr>
        <sz val="10"/>
        <rFont val="WenQuanYi Zen Hei"/>
        <family val="2"/>
      </rPr>
      <t xml:space="preserve">時</t>
    </r>
  </si>
  <si>
    <t xml:space="preserve">全作業：延べタグ</t>
  </si>
  <si>
    <r>
      <rPr>
        <sz val="10"/>
        <rFont val="游ゴシック"/>
        <family val="0"/>
        <charset val="1"/>
      </rPr>
      <t xml:space="preserve">20</t>
    </r>
    <r>
      <rPr>
        <sz val="10"/>
        <rFont val="WenQuanYi Zen Hei"/>
        <family val="2"/>
      </rPr>
      <t xml:space="preserve">時</t>
    </r>
  </si>
  <si>
    <t xml:space="preserve">高炉原料を除く：延べタグ</t>
  </si>
  <si>
    <t xml:space="preserve">マスターの品名で「高炉原料」の行を除く</t>
  </si>
  <si>
    <r>
      <rPr>
        <sz val="10"/>
        <rFont val="游ゴシック"/>
        <family val="0"/>
        <charset val="1"/>
      </rPr>
      <t xml:space="preserve">21</t>
    </r>
    <r>
      <rPr>
        <sz val="10"/>
        <rFont val="WenQuanYi Zen Hei"/>
        <family val="2"/>
      </rPr>
      <t xml:space="preserve">時</t>
    </r>
  </si>
  <si>
    <t xml:space="preserve">　うち高炉原料区分が未確認の行</t>
  </si>
  <si>
    <t xml:space="preserve">除外していない。将来の扱いは別ケースで確認</t>
  </si>
  <si>
    <r>
      <rPr>
        <sz val="10"/>
        <rFont val="游ゴシック"/>
        <family val="0"/>
        <charset val="1"/>
      </rPr>
      <t xml:space="preserve">22</t>
    </r>
    <r>
      <rPr>
        <sz val="10"/>
        <rFont val="WenQuanYi Zen Hei"/>
        <family val="2"/>
      </rPr>
      <t xml:space="preserve">時</t>
    </r>
  </si>
  <si>
    <t xml:space="preserve">全作業：最大同時稼働（候補）</t>
  </si>
  <si>
    <r>
      <rPr>
        <sz val="10"/>
        <rFont val="游ゴシック"/>
        <family val="0"/>
        <charset val="1"/>
      </rPr>
      <t xml:space="preserve">23</t>
    </r>
    <r>
      <rPr>
        <sz val="10"/>
        <rFont val="WenQuanYi Zen Hei"/>
        <family val="2"/>
      </rPr>
      <t xml:space="preserve">時</t>
    </r>
  </si>
  <si>
    <t xml:space="preserve">高炉原料を除く：最大同時稼働（候補）</t>
  </si>
  <si>
    <t xml:space="preserve">■ 会社区分別（実績）</t>
  </si>
  <si>
    <t xml:space="preserve">■ 会社別（マスターの会社一覧から自動）</t>
  </si>
  <si>
    <t xml:space="preserve">延べタグ【自動】</t>
  </si>
  <si>
    <t xml:space="preserve">稼働した船数【自動】</t>
  </si>
  <si>
    <t xml:space="preserve">マスター未登録</t>
  </si>
  <si>
    <t xml:space="preserve">—</t>
  </si>
  <si>
    <t xml:space="preserve">安瀬候補のタグ（按分配船・応援に含めない）</t>
  </si>
  <si>
    <t xml:space="preserve">品名マスターで安瀬に○の品名（要確認）</t>
  </si>
  <si>
    <t xml:space="preserve">応援候補のタグ（他社・会社未確認。安瀬候補を除く）</t>
  </si>
  <si>
    <t xml:space="preserve">実績で参加していないことを「応援不可」とは扱わない</t>
  </si>
  <si>
    <t xml:space="preserve">■ 予定・出勤手配・同時稼働（それぞれ別の数値）</t>
  </si>
  <si>
    <t xml:space="preserve">前日確定の照合状況</t>
  </si>
  <si>
    <t xml:space="preserve">前日最終の予定時刻を入力した作業数</t>
  </si>
  <si>
    <t xml:space="preserve">予定のみ（実績なし）の作業数</t>
  </si>
  <si>
    <t xml:space="preserve">作業予定タグ数（前日確定・延べ）</t>
  </si>
  <si>
    <t xml:space="preserve">予定タグの船数（重複を除く）</t>
  </si>
  <si>
    <t xml:space="preserve">翌日の出勤手配隻数（前日）</t>
  </si>
  <si>
    <t xml:space="preserve">実際に出勤・待機した隻数</t>
  </si>
  <si>
    <t xml:space="preserve">前日の手配とは別に入力</t>
  </si>
  <si>
    <t xml:space="preserve">実作業の延べタグ（実績）</t>
  </si>
  <si>
    <t xml:space="preserve">取消し記載の行を除く</t>
  </si>
  <si>
    <t xml:space="preserve">実績の最大同時稼働（候補）</t>
  </si>
  <si>
    <t xml:space="preserve">同時に必要な隻数</t>
  </si>
  <si>
    <t xml:space="preserve">未入力（代表事例で別途確認）</t>
  </si>
  <si>
    <r>
      <rPr>
        <sz val="10"/>
        <color rgb="FF595959"/>
        <rFont val="WenQuanYi Zen Hei"/>
        <family val="2"/>
      </rPr>
      <t xml:space="preserve">予定上の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隻出勤は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隻同時必要の証明ではない</t>
    </r>
  </si>
  <si>
    <t xml:space="preserve">■ 変更・キャンセル</t>
  </si>
  <si>
    <t xml:space="preserve">対象日の変更確認</t>
  </si>
  <si>
    <t xml:space="preserve">全船休航</t>
  </si>
  <si>
    <t xml:space="preserve">変更記録の行数</t>
  </si>
  <si>
    <t xml:space="preserve">変更のあった作業数</t>
  </si>
  <si>
    <t xml:space="preserve">取消しになった作業数</t>
  </si>
  <si>
    <t xml:space="preserve">うち基地発後の取消し（記録数）</t>
  </si>
  <si>
    <t xml:space="preserve">実拘束あり。実施作業へは数えない</t>
  </si>
  <si>
    <t xml:space="preserve">時間調整ありの記録</t>
  </si>
  <si>
    <r>
      <rPr>
        <sz val="10"/>
        <rFont val="WenQuanYi Zen Hei"/>
        <family val="2"/>
      </rPr>
      <t xml:space="preserve">休船からの呼出回数（同一呼出は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回）</t>
    </r>
  </si>
  <si>
    <t xml:space="preserve">呼出実績＝常駐船腹の不足とは限らない</t>
  </si>
  <si>
    <t xml:space="preserve">呼出した船のその日の従事作業数（合計）</t>
  </si>
  <si>
    <r>
      <rPr>
        <sz val="10"/>
        <color rgb="FF595959"/>
        <rFont val="WenQuanYi Zen Hei"/>
        <family val="2"/>
      </rPr>
      <t xml:space="preserve">呼出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回で複数作業に従事した場合も作業ごとに数える</t>
    </r>
  </si>
  <si>
    <t xml:space="preserve">　うち乗組員の出勤手配の不足による呼出</t>
  </si>
  <si>
    <t xml:space="preserve">船体の不足と区別</t>
  </si>
  <si>
    <t xml:space="preserve">呼出の対象外の会社の記録</t>
  </si>
  <si>
    <t xml:space="preserve">■ 使えない船・拘束・他社配置（対象日）</t>
  </si>
  <si>
    <t xml:space="preserve">入渠で使えない船数</t>
  </si>
  <si>
    <t xml:space="preserve">他港作業で拘束された船数（対象日中）</t>
  </si>
  <si>
    <t xml:space="preserve">他社配置の記録数</t>
  </si>
  <si>
    <t xml:space="preserve">配置の記録であり応援の確約ではない</t>
  </si>
  <si>
    <t xml:space="preserve">会社未確認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</si>
  <si>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列にまとめる。取消し・時刻なし・通船等を除く全作業。</t>
    </r>
  </si>
  <si>
    <t xml:space="preserve">会社区分</t>
  </si>
  <si>
    <t xml:space="preserve">集計船名</t>
  </si>
  <si>
    <t xml:space="preserve">当日稼働</t>
  </si>
  <si>
    <t xml:space="preserve">分</t>
  </si>
  <si>
    <t xml:space="preserve">時刻</t>
  </si>
  <si>
    <t xml:space="preserve">全体の同時隻数</t>
  </si>
  <si>
    <t xml:space="preserve">作業中の本船作業数</t>
  </si>
  <si>
    <t xml:space="preserve">製鉄曳船（会社要確認）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</si>
  <si>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列にまとめる。さらに高炉原料区分が「高炉原料」の行を除く。</t>
    </r>
  </si>
  <si>
    <t xml:space="preserve">同時隻数（高炉原料を除く）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</si>
</sst>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m/dd"/>
    <numFmt numFmtId="166" formatCode="yyyy/mm/dd\ hh:mm"/>
    <numFmt numFmtId="167" formatCode="hh:mm"/>
    <numFmt numFmtId="168" formatCode="[&lt;1]hh:mm;m/d\ hh:mm"/>
    <numFmt numFmtId="169" formatCode="m/d\ hh:mm"/>
    <numFmt numFmtId="170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6"/>
      <name val="游ゴシック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游ゴシック"/>
      <family val="0"/>
      <charset val="1"/>
    </font>
    <font>
      <b val="true"/>
      <u val="single"/>
      <sz val="12"/>
      <color rgb="FF0563C1"/>
      <name val="游ゴシック"/>
      <family val="0"/>
      <charset val="1"/>
    </font>
    <font>
      <sz val="11"/>
      <color theme="1"/>
      <name val="WenQuanYi Zen Hei"/>
      <family val="2"/>
    </font>
    <font>
      <u val="single"/>
      <sz val="10"/>
      <color rgb="FF0563C1"/>
      <name val="WenQuanYi Zen Hei"/>
      <family val="2"/>
    </font>
    <font>
      <b val="true"/>
      <sz val="14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游ゴシック"/>
      <family val="0"/>
      <charset val="1"/>
    </font>
    <font>
      <b val="true"/>
      <sz val="10"/>
      <name val="游ゴシック"/>
      <family val="0"/>
      <charset val="1"/>
    </font>
    <font>
      <b val="true"/>
      <sz val="11"/>
      <color rgb="FF1F4E79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10"/>
      <color rgb="FFC00000"/>
      <name val="游ゴシック"/>
      <family val="0"/>
      <charset val="1"/>
    </font>
    <font>
      <b val="true"/>
      <sz val="14"/>
      <name val="游ゴシック"/>
      <family val="0"/>
      <charset val="1"/>
    </font>
    <font>
      <b val="true"/>
      <sz val="11"/>
      <color rgb="FF1F4E79"/>
      <name val="游ゴシック"/>
      <family val="0"/>
      <charset val="1"/>
    </font>
    <font>
      <sz val="10"/>
      <color rgb="FFC00000"/>
      <name val="WenQuanYi Zen Hei"/>
      <family val="2"/>
    </font>
    <font>
      <sz val="10"/>
      <color rgb="FFC00000"/>
      <name val="游ゴシック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BFBFBF"/>
        <bgColor rgb="FFCCCCFF"/>
      </patternFill>
    </fill>
    <fill>
      <patternFill patternType="solid">
        <fgColor rgb="FFFFE97F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7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20.85" hidden="false" customHeight="false" outlineLevel="0" collapsed="false">
      <c r="B1" s="1" t="s">
        <v>0</v>
      </c>
    </row>
    <row r="3" customFormat="false" ht="30" hidden="false" customHeight="true" outlineLevel="0" collapsed="false">
      <c r="B3" s="2" t="s">
        <v>1</v>
      </c>
      <c r="C3" s="3" t="s">
        <v>2</v>
      </c>
    </row>
    <row r="4" customFormat="false" ht="30" hidden="false" customHeight="true" outlineLevel="0" collapsed="false">
      <c r="B4" s="2" t="s">
        <v>3</v>
      </c>
      <c r="C4" s="3" t="s">
        <v>4</v>
      </c>
    </row>
    <row r="5" customFormat="false" ht="30" hidden="false" customHeight="true" outlineLevel="0" collapsed="false">
      <c r="B5" s="2" t="s">
        <v>5</v>
      </c>
      <c r="C5" s="3" t="s">
        <v>6</v>
      </c>
    </row>
    <row r="6" customFormat="false" ht="30" hidden="false" customHeight="true" outlineLevel="0" collapsed="false">
      <c r="B6" s="2" t="s">
        <v>7</v>
      </c>
      <c r="C6" s="3" t="s">
        <v>8</v>
      </c>
    </row>
    <row r="7" customFormat="false" ht="30" hidden="false" customHeight="true" outlineLevel="0" collapsed="false">
      <c r="B7" s="2" t="s">
        <v>9</v>
      </c>
      <c r="C7" s="3" t="s">
        <v>10</v>
      </c>
    </row>
    <row r="8" customFormat="false" ht="30" hidden="false" customHeight="true" outlineLevel="0" collapsed="false">
      <c r="B8" s="2" t="s">
        <v>11</v>
      </c>
      <c r="C8" s="3" t="s">
        <v>12</v>
      </c>
    </row>
    <row r="9" customFormat="false" ht="30" hidden="false" customHeight="true" outlineLevel="0" collapsed="false">
      <c r="B9" s="2" t="s">
        <v>13</v>
      </c>
      <c r="C9" s="3" t="s">
        <v>14</v>
      </c>
    </row>
    <row r="10" customFormat="false" ht="30" hidden="false" customHeight="true" outlineLevel="0" collapsed="false">
      <c r="B10" s="2" t="s">
        <v>15</v>
      </c>
      <c r="C10" s="3" t="s">
        <v>16</v>
      </c>
    </row>
    <row r="11" customFormat="false" ht="30" hidden="false" customHeight="true" outlineLevel="0" collapsed="false">
      <c r="B11" s="2" t="s">
        <v>17</v>
      </c>
      <c r="C11" s="3" t="s">
        <v>18</v>
      </c>
    </row>
    <row r="12" customFormat="false" ht="30" hidden="false" customHeight="true" outlineLevel="0" collapsed="false">
      <c r="B12" s="2" t="s">
        <v>19</v>
      </c>
      <c r="C12" s="3" t="s">
        <v>20</v>
      </c>
    </row>
    <row r="13" customFormat="false" ht="30" hidden="false" customHeight="true" outlineLevel="0" collapsed="false">
      <c r="B13" s="2" t="s">
        <v>21</v>
      </c>
      <c r="C13" s="3" t="s">
        <v>22</v>
      </c>
    </row>
    <row r="14" customFormat="false" ht="30" hidden="false" customHeight="true" outlineLevel="0" collapsed="false">
      <c r="B14" s="2" t="s">
        <v>23</v>
      </c>
      <c r="C14" s="3" t="s">
        <v>24</v>
      </c>
    </row>
    <row r="15" customFormat="false" ht="30" hidden="false" customHeight="true" outlineLevel="0" collapsed="false">
      <c r="B15" s="2" t="s">
        <v>25</v>
      </c>
      <c r="C15" s="3" t="s">
        <v>26</v>
      </c>
    </row>
    <row r="17" customFormat="false" ht="16.4" hidden="false" customHeight="false" outlineLevel="0" collapsed="false">
      <c r="B17" s="4" t="s">
        <v>27</v>
      </c>
      <c r="C17" s="5" t="s">
        <v>28</v>
      </c>
    </row>
    <row r="19" customFormat="false" ht="15" hidden="false" customHeight="false" outlineLevel="0" collapsed="false">
      <c r="B19" s="6" t="s">
        <v>29</v>
      </c>
      <c r="C19" s="7" t="s">
        <v>30</v>
      </c>
    </row>
    <row r="20" customFormat="false" ht="15" hidden="false" customHeight="false" outlineLevel="0" collapsed="false">
      <c r="C20" s="8" t="s">
        <v>31</v>
      </c>
    </row>
    <row r="22" customFormat="false" ht="15" hidden="false" customHeight="false" outlineLevel="0" collapsed="false">
      <c r="B22" s="6" t="s">
        <v>32</v>
      </c>
    </row>
    <row r="23" customFormat="false" ht="15" hidden="false" customHeight="false" outlineLevel="0" collapsed="false">
      <c r="B23" s="9" t="s">
        <v>33</v>
      </c>
      <c r="C23" s="5" t="s">
        <v>34</v>
      </c>
    </row>
    <row r="24" customFormat="false" ht="15" hidden="false" customHeight="false" outlineLevel="0" collapsed="false">
      <c r="B24" s="9" t="s">
        <v>35</v>
      </c>
      <c r="C24" s="5" t="s">
        <v>36</v>
      </c>
    </row>
    <row r="25" customFormat="false" ht="15" hidden="false" customHeight="false" outlineLevel="0" collapsed="false">
      <c r="B25" s="9" t="s">
        <v>37</v>
      </c>
      <c r="C25" s="5" t="s">
        <v>38</v>
      </c>
    </row>
    <row r="26" customFormat="false" ht="15" hidden="false" customHeight="false" outlineLevel="0" collapsed="false">
      <c r="B26" s="9" t="s">
        <v>39</v>
      </c>
      <c r="C26" s="5" t="s">
        <v>40</v>
      </c>
    </row>
    <row r="27" customFormat="false" ht="15" hidden="false" customHeight="false" outlineLevel="0" collapsed="false">
      <c r="B27" s="9" t="s">
        <v>41</v>
      </c>
      <c r="C27" s="5" t="s">
        <v>42</v>
      </c>
    </row>
    <row r="28" customFormat="false" ht="15" hidden="false" customHeight="false" outlineLevel="0" collapsed="false">
      <c r="B28" s="9" t="s">
        <v>43</v>
      </c>
      <c r="C28" s="5" t="s">
        <v>44</v>
      </c>
    </row>
    <row r="29" customFormat="false" ht="15" hidden="false" customHeight="false" outlineLevel="0" collapsed="false">
      <c r="B29" s="9" t="s">
        <v>45</v>
      </c>
      <c r="C29" s="5" t="s">
        <v>46</v>
      </c>
    </row>
    <row r="30" customFormat="false" ht="15" hidden="false" customHeight="false" outlineLevel="0" collapsed="false">
      <c r="B30" s="9" t="s">
        <v>47</v>
      </c>
      <c r="C30" s="5" t="s">
        <v>48</v>
      </c>
    </row>
    <row r="31" customFormat="false" ht="15" hidden="false" customHeight="false" outlineLevel="0" collapsed="false">
      <c r="B31" s="9" t="s">
        <v>25</v>
      </c>
      <c r="C31" s="5" t="s">
        <v>49</v>
      </c>
    </row>
  </sheetData>
  <hyperlinks>
    <hyperlink ref="B17" location="'前日確定'!C7" display="▶ 最初の入力へ移動（前日確定 C7）"/>
    <hyperlink ref="B23" location="'実績'!A1" display="実績"/>
    <hyperlink ref="B24" location="'前日確定'!A1" display="前日確定"/>
    <hyperlink ref="B25" location="'変更・キャンセル'!A1" display="変更・キャンセル"/>
    <hyperlink ref="B26" location="'入渠'!A1" display="入渠"/>
    <hyperlink ref="B27" location="'他港作業'!A1" display="他港作業"/>
    <hyperlink ref="B28" location="'他社配置'!A1" display="他社配置"/>
    <hyperlink ref="B29" location="'標準時間'!A1" display="標準時間"/>
    <hyperlink ref="B30" location="'マスター'!A1" display="マスター"/>
    <hyperlink ref="B31" location="'集計'!A1" display="集計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5"/>
    <col collapsed="false" customWidth="true" hidden="false" outlineLevel="0" max="13" min="12" style="0" width="8"/>
    <col collapsed="false" customWidth="true" hidden="false" outlineLevel="0" max="14" min="14" style="0" width="9"/>
    <col collapsed="false" customWidth="true" hidden="false" outlineLevel="0" max="16" min="15" style="0" width="8"/>
    <col collapsed="false" customWidth="true" hidden="false" outlineLevel="0" max="17" min="17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5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9"/>
    <col collapsed="false" customWidth="true" hidden="false" outlineLevel="0" max="26" min="26" style="0" width="16"/>
    <col collapsed="false" customWidth="true" hidden="false" outlineLevel="0" max="27" min="27" style="0" width="8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0" min="30" style="0" width="10"/>
    <col collapsed="false" customWidth="true" hidden="false" outlineLevel="0" max="32" min="31" style="0" width="13"/>
    <col collapsed="false" customWidth="true" hidden="false" outlineLevel="0" max="33" min="33" style="0" width="10"/>
    <col collapsed="false" customWidth="true" hidden="false" outlineLevel="0" max="34" min="34" style="0" width="24"/>
    <col collapsed="false" customWidth="true" hidden="true" outlineLevel="0" max="40" min="35" style="0" width="6"/>
  </cols>
  <sheetData>
    <row r="1" customFormat="false" ht="17.35" hidden="false" customHeight="false" outlineLevel="0" collapsed="false">
      <c r="A1" s="10" t="s">
        <v>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customFormat="false" ht="15" hidden="false" customHeight="false" outlineLevel="0" collapsed="false">
      <c r="A2" s="12" t="s">
        <v>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customFormat="false" ht="15" hidden="false" customHeight="false" outlineLevel="0" collapsed="false">
      <c r="A3" s="13" t="s">
        <v>52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customFormat="false" ht="69.75" hidden="false" customHeight="true" outlineLevel="0" collapsed="false">
      <c r="A5" s="14" t="s">
        <v>53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  <c r="G5" s="14" t="s">
        <v>59</v>
      </c>
      <c r="H5" s="15" t="s">
        <v>60</v>
      </c>
      <c r="I5" s="14" t="s">
        <v>61</v>
      </c>
      <c r="J5" s="14" t="s">
        <v>62</v>
      </c>
      <c r="K5" s="14" t="s">
        <v>63</v>
      </c>
      <c r="L5" s="14" t="s">
        <v>64</v>
      </c>
      <c r="M5" s="14" t="s">
        <v>65</v>
      </c>
      <c r="N5" s="14" t="s">
        <v>66</v>
      </c>
      <c r="O5" s="14" t="s">
        <v>67</v>
      </c>
      <c r="P5" s="14" t="s">
        <v>68</v>
      </c>
      <c r="Q5" s="14" t="s">
        <v>69</v>
      </c>
      <c r="R5" s="14" t="s">
        <v>70</v>
      </c>
      <c r="S5" s="15" t="s">
        <v>71</v>
      </c>
      <c r="T5" s="14" t="s">
        <v>72</v>
      </c>
      <c r="U5" s="14" t="s">
        <v>73</v>
      </c>
      <c r="V5" s="14" t="s">
        <v>74</v>
      </c>
      <c r="W5" s="14" t="s">
        <v>75</v>
      </c>
      <c r="X5" s="14" t="s">
        <v>76</v>
      </c>
      <c r="Y5" s="14" t="s">
        <v>77</v>
      </c>
      <c r="Z5" s="14" t="s">
        <v>78</v>
      </c>
      <c r="AA5" s="14" t="s">
        <v>79</v>
      </c>
      <c r="AB5" s="14" t="s">
        <v>80</v>
      </c>
      <c r="AC5" s="14" t="s">
        <v>81</v>
      </c>
      <c r="AD5" s="14" t="s">
        <v>82</v>
      </c>
      <c r="AE5" s="14" t="s">
        <v>83</v>
      </c>
      <c r="AF5" s="14" t="s">
        <v>84</v>
      </c>
      <c r="AG5" s="14" t="s">
        <v>85</v>
      </c>
      <c r="AH5" s="14" t="s">
        <v>86</v>
      </c>
      <c r="AI5" s="14" t="s">
        <v>87</v>
      </c>
      <c r="AJ5" s="14" t="s">
        <v>88</v>
      </c>
      <c r="AK5" s="14" t="s">
        <v>89</v>
      </c>
      <c r="AL5" s="14" t="s">
        <v>90</v>
      </c>
      <c r="AM5" s="14" t="s">
        <v>91</v>
      </c>
      <c r="AN5" s="14" t="s">
        <v>92</v>
      </c>
    </row>
    <row r="6" customFormat="false" ht="15" hidden="false" customHeight="false" outlineLevel="0" collapsed="false">
      <c r="A6" s="16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5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6" min="11" style="0" width="8"/>
    <col collapsed="false" customWidth="true" hidden="false" outlineLevel="0" max="17" min="17" style="0" width="6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1"/>
    <col collapsed="false" customWidth="true" hidden="false" outlineLevel="0" max="23" min="23" style="0" width="6"/>
    <col collapsed="false" customWidth="true" hidden="false" outlineLevel="0" max="24" min="24" style="0" width="10"/>
    <col collapsed="false" customWidth="true" hidden="false" outlineLevel="0" max="25" min="25" style="0" width="11"/>
  </cols>
  <sheetData>
    <row r="1" customFormat="false" ht="17.35" hidden="false" customHeight="false" outlineLevel="0" collapsed="false">
      <c r="A1" s="10" t="s">
        <v>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95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96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17" t="s">
        <v>97</v>
      </c>
    </row>
    <row r="6" customFormat="false" ht="15" hidden="false" customHeight="false" outlineLevel="0" collapsed="false">
      <c r="A6" s="18" t="s">
        <v>98</v>
      </c>
      <c r="B6" s="18"/>
      <c r="C6" s="19" t="n">
        <v>45964</v>
      </c>
      <c r="D6" s="19"/>
      <c r="E6" s="19"/>
    </row>
    <row r="7" customFormat="false" ht="15" hidden="false" customHeight="false" outlineLevel="0" collapsed="false">
      <c r="A7" s="18" t="s">
        <v>99</v>
      </c>
      <c r="B7" s="18"/>
      <c r="C7" s="20" t="s">
        <v>100</v>
      </c>
      <c r="D7" s="20"/>
      <c r="E7" s="20"/>
      <c r="F7" s="21" t="s">
        <v>101</v>
      </c>
    </row>
    <row r="8" customFormat="false" ht="15" hidden="false" customHeight="false" outlineLevel="0" collapsed="false">
      <c r="A8" s="18" t="s">
        <v>102</v>
      </c>
      <c r="B8" s="18"/>
      <c r="C8" s="22" t="n">
        <v>45963.6666666667</v>
      </c>
      <c r="D8" s="22"/>
      <c r="E8" s="22"/>
    </row>
    <row r="9" customFormat="false" ht="15" hidden="false" customHeight="false" outlineLevel="0" collapsed="false">
      <c r="A9" s="18" t="s">
        <v>103</v>
      </c>
      <c r="B9" s="18"/>
      <c r="C9" s="20"/>
      <c r="D9" s="20"/>
      <c r="E9" s="20"/>
    </row>
    <row r="10" customFormat="false" ht="15" hidden="false" customHeight="false" outlineLevel="0" collapsed="false">
      <c r="A10" s="18" t="s">
        <v>104</v>
      </c>
      <c r="B10" s="18"/>
      <c r="C10" s="20" t="s">
        <v>105</v>
      </c>
      <c r="D10" s="20"/>
      <c r="E10" s="20"/>
    </row>
    <row r="12" customFormat="false" ht="15" hidden="false" customHeight="false" outlineLevel="0" collapsed="false">
      <c r="A12" s="17" t="s">
        <v>106</v>
      </c>
    </row>
    <row r="13" customFormat="false" ht="39.55" hidden="false" customHeight="false" outlineLevel="0" collapsed="false">
      <c r="A13" s="15" t="s">
        <v>107</v>
      </c>
      <c r="B13" s="23" t="s">
        <v>108</v>
      </c>
      <c r="C13" s="14" t="s">
        <v>76</v>
      </c>
      <c r="D13" s="14" t="s">
        <v>109</v>
      </c>
      <c r="E13" s="23" t="s">
        <v>110</v>
      </c>
      <c r="F13" s="23" t="s">
        <v>111</v>
      </c>
      <c r="G13" s="23" t="s">
        <v>112</v>
      </c>
    </row>
    <row r="14" customFormat="false" ht="15" hidden="false" customHeight="false" outlineLevel="0" collapsed="false">
      <c r="A14" s="24" t="n">
        <v>1</v>
      </c>
      <c r="B14" s="25" t="s">
        <v>113</v>
      </c>
      <c r="C14" s="24" t="str">
        <f aca="false">IF(B14="","",IFERROR(IF(IFERROR(INDEX(マスター!$C$6:$C$125,MATCH(B14,マスター!$N$6:$N$125,0)),NA())="","未確認",IFERROR(INDEX(マスター!$C$6:$C$125,MATCH(B14,マスター!$N$6:$N$125,0)),NA())),"マスター未登録"))</f>
        <v>製鉄曳船</v>
      </c>
      <c r="D14" s="24" t="str">
        <f aca="false">IF(B14="","",IFERROR(IF(IFERROR(INDEX(マスター!$E$6:$E$125,MATCH(B14,マスター!$N$6:$N$125,0)),NA())="","未確認",IFERROR(INDEX(マスター!$E$6:$E$125,MATCH(B14,マスター!$N$6:$N$125,0)),NA())),"マスター未登録"))</f>
        <v>未確認</v>
      </c>
      <c r="E14" s="22" t="n">
        <v>45963.6875</v>
      </c>
      <c r="F14" s="20" t="s">
        <v>114</v>
      </c>
      <c r="G14" s="25"/>
    </row>
    <row r="15" customFormat="false" ht="15" hidden="false" customHeight="false" outlineLevel="0" collapsed="false">
      <c r="A15" s="24" t="n">
        <v>2</v>
      </c>
      <c r="B15" s="25" t="s">
        <v>115</v>
      </c>
      <c r="C15" s="24" t="str">
        <f aca="false">IF(B15="","",IFERROR(IF(IFERROR(INDEX(マスター!$C$6:$C$125,MATCH(B15,マスター!$N$6:$N$125,0)),NA())="","未確認",IFERROR(INDEX(マスター!$C$6:$C$125,MATCH(B15,マスター!$N$6:$N$125,0)),NA())),"マスター未登録"))</f>
        <v>製鉄曳船</v>
      </c>
      <c r="D15" s="24" t="str">
        <f aca="false">IF(B15="","",IFERROR(IF(IFERROR(INDEX(マスター!$E$6:$E$125,MATCH(B15,マスター!$N$6:$N$125,0)),NA())="","未確認",IFERROR(INDEX(マスター!$E$6:$E$125,MATCH(B15,マスター!$N$6:$N$125,0)),NA())),"マスター未登録"))</f>
        <v>未確認</v>
      </c>
      <c r="E15" s="22" t="n">
        <v>45963.6875</v>
      </c>
      <c r="F15" s="20" t="s">
        <v>114</v>
      </c>
      <c r="G15" s="25"/>
    </row>
    <row r="16" customFormat="false" ht="15" hidden="false" customHeight="false" outlineLevel="0" collapsed="false">
      <c r="A16" s="24" t="n">
        <v>3</v>
      </c>
      <c r="B16" s="25" t="s">
        <v>116</v>
      </c>
      <c r="C16" s="24" t="str">
        <f aca="false">IF(B16="","",IFERROR(IF(IFERROR(INDEX(マスター!$C$6:$C$125,MATCH(B16,マスター!$N$6:$N$125,0)),NA())="","未確認",IFERROR(INDEX(マスター!$C$6:$C$125,MATCH(B16,マスター!$N$6:$N$125,0)),NA())),"マスター未登録"))</f>
        <v>製鉄曳船</v>
      </c>
      <c r="D16" s="24" t="str">
        <f aca="false">IF(B16="","",IFERROR(IF(IFERROR(INDEX(マスター!$E$6:$E$125,MATCH(B16,マスター!$N$6:$N$125,0)),NA())="","未確認",IFERROR(INDEX(マスター!$E$6:$E$125,MATCH(B16,マスター!$N$6:$N$125,0)),NA())),"マスター未登録"))</f>
        <v>未確認</v>
      </c>
      <c r="E16" s="22" t="n">
        <v>45963.6875</v>
      </c>
      <c r="F16" s="20" t="s">
        <v>117</v>
      </c>
      <c r="G16" s="25"/>
    </row>
    <row r="17" customFormat="false" ht="15" hidden="false" customHeight="false" outlineLevel="0" collapsed="false">
      <c r="A17" s="24" t="n">
        <v>4</v>
      </c>
      <c r="B17" s="25" t="s">
        <v>118</v>
      </c>
      <c r="C17" s="24" t="str">
        <f aca="false">IF(B17="","",IFERROR(IF(IFERROR(INDEX(マスター!$C$6:$C$125,MATCH(B17,マスター!$N$6:$N$125,0)),NA())="","未確認",IFERROR(INDEX(マスター!$C$6:$C$125,MATCH(B17,マスター!$N$6:$N$125,0)),NA())),"マスター未登録"))</f>
        <v>製鉄曳船</v>
      </c>
      <c r="D17" s="24" t="str">
        <f aca="false">IF(B17="","",IFERROR(IF(IFERROR(INDEX(マスター!$E$6:$E$125,MATCH(B17,マスター!$N$6:$N$125,0)),NA())="","未確認",IFERROR(INDEX(マスター!$E$6:$E$125,MATCH(B17,マスター!$N$6:$N$125,0)),NA())),"マスター未登録"))</f>
        <v>未確認</v>
      </c>
      <c r="E17" s="22" t="n">
        <v>45963.6875</v>
      </c>
      <c r="F17" s="20" t="s">
        <v>117</v>
      </c>
      <c r="G17" s="25"/>
    </row>
    <row r="18" customFormat="false" ht="15" hidden="false" customHeight="false" outlineLevel="0" collapsed="false">
      <c r="A18" s="24" t="n">
        <v>5</v>
      </c>
      <c r="B18" s="25"/>
      <c r="C18" s="24" t="str">
        <f aca="false">IF(B18="","",IFERROR(IF(IFERROR(INDEX(マスター!$C$6:$C$125,MATCH(B18,マスター!$N$6:$N$125,0)),NA())="","未確認",IFERROR(INDEX(マスター!$C$6:$C$125,MATCH(B18,マスター!$N$6:$N$125,0)),NA())),"マスター未登録"))</f>
        <v/>
      </c>
      <c r="D18" s="24" t="str">
        <f aca="false">IF(B18="","",IFERROR(IF(IFERROR(INDEX(マスター!$E$6:$E$125,MATCH(B18,マスター!$N$6:$N$125,0)),NA())="","未確認",IFERROR(INDEX(マスター!$E$6:$E$125,MATCH(B18,マスター!$N$6:$N$125,0)),NA())),"マスター未登録"))</f>
        <v/>
      </c>
      <c r="E18" s="22"/>
      <c r="F18" s="20"/>
      <c r="G18" s="25"/>
    </row>
    <row r="19" customFormat="false" ht="15" hidden="false" customHeight="false" outlineLevel="0" collapsed="false">
      <c r="A19" s="24" t="n">
        <v>6</v>
      </c>
      <c r="B19" s="25"/>
      <c r="C19" s="24" t="str">
        <f aca="false">IF(B19="","",IFERROR(IF(IFERROR(INDEX(マスター!$C$6:$C$125,MATCH(B19,マスター!$N$6:$N$125,0)),NA())="","未確認",IFERROR(INDEX(マスター!$C$6:$C$125,MATCH(B19,マスター!$N$6:$N$125,0)),NA())),"マスター未登録"))</f>
        <v/>
      </c>
      <c r="D19" s="24" t="str">
        <f aca="false">IF(B19="","",IFERROR(IF(IFERROR(INDEX(マスター!$E$6:$E$125,MATCH(B19,マスター!$N$6:$N$125,0)),NA())="","未確認",IFERROR(INDEX(マスター!$E$6:$E$125,MATCH(B19,マスター!$N$6:$N$125,0)),NA())),"マスター未登録"))</f>
        <v/>
      </c>
      <c r="E19" s="22"/>
      <c r="F19" s="20"/>
      <c r="G19" s="25"/>
    </row>
    <row r="20" customFormat="false" ht="15" hidden="false" customHeight="false" outlineLevel="0" collapsed="false">
      <c r="A20" s="24" t="n">
        <v>7</v>
      </c>
      <c r="B20" s="25"/>
      <c r="C20" s="24" t="str">
        <f aca="false">IF(B20="","",IFERROR(IF(IFERROR(INDEX(マスター!$C$6:$C$125,MATCH(B20,マスター!$N$6:$N$125,0)),NA())="","未確認",IFERROR(INDEX(マスター!$C$6:$C$125,MATCH(B20,マスター!$N$6:$N$125,0)),NA())),"マスター未登録"))</f>
        <v/>
      </c>
      <c r="D20" s="24" t="str">
        <f aca="false">IF(B20="","",IFERROR(IF(IFERROR(INDEX(マスター!$E$6:$E$125,MATCH(B20,マスター!$N$6:$N$125,0)),NA())="","未確認",IFERROR(INDEX(マスター!$E$6:$E$125,MATCH(B20,マスター!$N$6:$N$125,0)),NA())),"マスター未登録"))</f>
        <v/>
      </c>
      <c r="E20" s="22"/>
      <c r="F20" s="20"/>
      <c r="G20" s="25"/>
    </row>
    <row r="21" customFormat="false" ht="15" hidden="false" customHeight="false" outlineLevel="0" collapsed="false">
      <c r="A21" s="24" t="n">
        <v>8</v>
      </c>
      <c r="B21" s="25"/>
      <c r="C21" s="24" t="str">
        <f aca="false">IF(B21="","",IFERROR(IF(IFERROR(INDEX(マスター!$C$6:$C$125,MATCH(B21,マスター!$N$6:$N$125,0)),NA())="","未確認",IFERROR(INDEX(マスター!$C$6:$C$125,MATCH(B21,マスター!$N$6:$N$125,0)),NA())),"マスター未登録"))</f>
        <v/>
      </c>
      <c r="D21" s="24" t="str">
        <f aca="false">IF(B21="","",IFERROR(IF(IFERROR(INDEX(マスター!$E$6:$E$125,MATCH(B21,マスター!$N$6:$N$125,0)),NA())="","未確認",IFERROR(INDEX(マスター!$E$6:$E$125,MATCH(B21,マスター!$N$6:$N$125,0)),NA())),"マスター未登録"))</f>
        <v/>
      </c>
      <c r="E21" s="22"/>
      <c r="F21" s="20"/>
      <c r="G21" s="25"/>
    </row>
    <row r="22" customFormat="false" ht="15" hidden="false" customHeight="false" outlineLevel="0" collapsed="false">
      <c r="A22" s="18" t="s">
        <v>119</v>
      </c>
      <c r="B22" s="18"/>
      <c r="C22" s="24" t="n">
        <f aca="false">IF(COUNTA(B14:B21)=0,0,SUMPRODUCT((B14:B21&lt;&gt;"")/COUNTIF(B14:B21,B14:B21&amp;"")))</f>
        <v>4</v>
      </c>
    </row>
    <row r="23" customFormat="false" ht="15" hidden="false" customHeight="false" outlineLevel="0" collapsed="false">
      <c r="A23" s="18" t="s">
        <v>120</v>
      </c>
      <c r="B23" s="18"/>
      <c r="C23" s="24" t="n">
        <f aca="false">IF(COUNTA(B14:B21)=0,0,SUMPRODUCT((B14:B21&lt;&gt;"")*(LEFT(F14:F21,4)="出勤して")/COUNTIF(B14:B21,B14:B21&amp;"")))</f>
        <v>2</v>
      </c>
    </row>
    <row r="24" customFormat="false" ht="15" hidden="false" customHeight="false" outlineLevel="0" collapsed="false">
      <c r="A24" s="17" t="s">
        <v>121</v>
      </c>
    </row>
    <row r="25" customFormat="false" ht="60" hidden="false" customHeight="true" outlineLevel="0" collapsed="false">
      <c r="A25" s="14" t="s">
        <v>122</v>
      </c>
      <c r="B25" s="14" t="s">
        <v>54</v>
      </c>
      <c r="C25" s="14" t="s">
        <v>53</v>
      </c>
      <c r="D25" s="14" t="s">
        <v>123</v>
      </c>
      <c r="E25" s="14" t="s">
        <v>124</v>
      </c>
      <c r="F25" s="14" t="s">
        <v>125</v>
      </c>
      <c r="G25" s="14" t="s">
        <v>126</v>
      </c>
      <c r="H25" s="14" t="s">
        <v>127</v>
      </c>
      <c r="I25" s="14" t="s">
        <v>128</v>
      </c>
      <c r="J25" s="23" t="s">
        <v>129</v>
      </c>
      <c r="K25" s="23" t="s">
        <v>130</v>
      </c>
      <c r="L25" s="23" t="s">
        <v>131</v>
      </c>
      <c r="M25" s="23" t="s">
        <v>132</v>
      </c>
      <c r="N25" s="23" t="s">
        <v>133</v>
      </c>
      <c r="O25" s="23" t="s">
        <v>134</v>
      </c>
      <c r="P25" s="23" t="s">
        <v>135</v>
      </c>
      <c r="Q25" s="14" t="s">
        <v>136</v>
      </c>
      <c r="R25" s="14" t="s">
        <v>137</v>
      </c>
      <c r="S25" s="23" t="s">
        <v>104</v>
      </c>
      <c r="T25" s="23" t="s">
        <v>138</v>
      </c>
      <c r="U25" s="14" t="s">
        <v>139</v>
      </c>
      <c r="V25" s="14" t="s">
        <v>140</v>
      </c>
      <c r="W25" s="14" t="s">
        <v>141</v>
      </c>
      <c r="X25" s="14" t="s">
        <v>56</v>
      </c>
      <c r="Y25" s="14" t="s">
        <v>142</v>
      </c>
    </row>
    <row r="26" customFormat="false" ht="15" hidden="false" customHeight="false" outlineLevel="0" collapsed="false">
      <c r="A26" s="24" t="str">
        <f aca="false">IF(D26="","","予定のみ")</f>
        <v>予定のみ</v>
      </c>
      <c r="B26" s="24" t="str">
        <f aca="false">IF(D26="","","11/03 予定のみ#01 "&amp;IF(J26="","--:--",TEXT(J26,"hh:mm"))&amp;" "&amp;E26&amp;" "&amp;D26)</f>
        <v>11/03 予定のみ#01 08:00 入 試験船P</v>
      </c>
      <c r="C26" s="24" t="str">
        <f aca="false">IF(D26="","","2025-11-03予定のみ#01")</f>
        <v>2025-11-03予定のみ#01</v>
      </c>
      <c r="D26" s="20" t="s">
        <v>143</v>
      </c>
      <c r="E26" s="20" t="s">
        <v>144</v>
      </c>
      <c r="F26" s="25" t="s">
        <v>145</v>
      </c>
      <c r="G26" s="24" t="str">
        <f aca="false">IF(D26="","","（実績なし）")</f>
        <v>（実績なし）</v>
      </c>
      <c r="H26" s="24" t="n">
        <f aca="false">IF(C26="","",COUNTIF(実績!$A$6:$A$505,C26))</f>
        <v>0</v>
      </c>
      <c r="I26" s="26"/>
      <c r="J26" s="27" t="n">
        <v>0.333333333333333</v>
      </c>
      <c r="K26" s="25" t="s">
        <v>113</v>
      </c>
      <c r="L26" s="25" t="s">
        <v>115</v>
      </c>
      <c r="M26" s="25" t="s">
        <v>116</v>
      </c>
      <c r="N26" s="25" t="s">
        <v>118</v>
      </c>
      <c r="O26" s="25"/>
      <c r="P26" s="25"/>
      <c r="Q26" s="24" t="n">
        <f aca="false">IF(C26="","",COUNTA(K26:P26))</f>
        <v>4</v>
      </c>
      <c r="R26" s="24" t="str">
        <f aca="false">_xlfn.TEXTJOIN("・",TRUE(),K26:P26)</f>
        <v>T・S・Y・M</v>
      </c>
      <c r="S26" s="20" t="s">
        <v>105</v>
      </c>
      <c r="T26" s="20"/>
      <c r="U26" s="24" t="n">
        <f aca="false">IF(C26="","",COUNTIF(変更・キャンセル!$B$26:$B$85,C26))</f>
        <v>1</v>
      </c>
      <c r="V26" s="28" t="n">
        <f aca="false">IF(OR(C26="",U26=0),"",INDEX(変更・キャンセル!$AA$26:$AA$85,MATCH(C26&amp;"#"&amp;U26,変更・キャンセル!$Z$26:$Z$85,0)))</f>
        <v>45964.3333333333</v>
      </c>
      <c r="W26" s="24" t="str">
        <f aca="false">IF(C26="","",IF(COUNTIFS(変更・キャンセル!$B$26:$B$85,C26,変更・キャンセル!$R$26:$R$85,"○")&gt;0,"○",""))</f>
        <v>○</v>
      </c>
      <c r="X26" s="19" t="n">
        <f aca="false">IF(D26="","",$C$6)</f>
        <v>45964</v>
      </c>
      <c r="Y26" s="28" t="n">
        <f aca="false">IF(OR(C26="",J26=""),"",IF(J26&lt;1,X26+J26,J26))</f>
        <v>45964.3333333333</v>
      </c>
    </row>
    <row r="27" customFormat="false" ht="15" hidden="false" customHeight="false" outlineLevel="0" collapsed="false">
      <c r="A27" s="24" t="str">
        <f aca="false">IF(D27="","","予定のみ")</f>
        <v>予定のみ</v>
      </c>
      <c r="B27" s="24" t="str">
        <f aca="false">IF(D27="","","11/03 予定のみ#02 "&amp;IF(J27="","--:--",TEXT(J27,"hh:mm"))&amp;" "&amp;E27&amp;" "&amp;D27)</f>
        <v>11/03 予定のみ#02 13:00 出 試験船Q</v>
      </c>
      <c r="C27" s="24" t="str">
        <f aca="false">IF(D27="","","2025-11-03予定のみ#02")</f>
        <v>2025-11-03予定のみ#02</v>
      </c>
      <c r="D27" s="20" t="s">
        <v>146</v>
      </c>
      <c r="E27" s="20" t="s">
        <v>147</v>
      </c>
      <c r="F27" s="25" t="s">
        <v>148</v>
      </c>
      <c r="G27" s="24" t="str">
        <f aca="false">IF(D27="","","（実績なし）")</f>
        <v>（実績なし）</v>
      </c>
      <c r="H27" s="24" t="n">
        <f aca="false">IF(C27="","",COUNTIF(実績!$A$6:$A$505,C27))</f>
        <v>0</v>
      </c>
      <c r="I27" s="26"/>
      <c r="J27" s="27" t="n">
        <v>0.541666666666667</v>
      </c>
      <c r="K27" s="25" t="s">
        <v>113</v>
      </c>
      <c r="L27" s="25" t="s">
        <v>115</v>
      </c>
      <c r="M27" s="25"/>
      <c r="N27" s="25"/>
      <c r="O27" s="25"/>
      <c r="P27" s="25"/>
      <c r="Q27" s="24" t="n">
        <f aca="false">IF(C27="","",COUNTA(K27:P27))</f>
        <v>2</v>
      </c>
      <c r="R27" s="24" t="str">
        <f aca="false">_xlfn.TEXTJOIN("・",TRUE(),K27:P27)</f>
        <v>T・S</v>
      </c>
      <c r="S27" s="20" t="s">
        <v>105</v>
      </c>
      <c r="T27" s="20"/>
      <c r="U27" s="24" t="n">
        <f aca="false">IF(C27="","",COUNTIF(変更・キャンセル!$B$26:$B$85,C27))</f>
        <v>1</v>
      </c>
      <c r="V27" s="28" t="n">
        <f aca="false">IF(OR(C27="",U27=0),"",INDEX(変更・キャンセル!$AA$26:$AA$85,MATCH(C27&amp;"#"&amp;U27,変更・キャンセル!$Z$26:$Z$85,0)))</f>
        <v>45964.5416666667</v>
      </c>
      <c r="W27" s="24" t="str">
        <f aca="false">IF(C27="","",IF(COUNTIFS(変更・キャンセル!$B$26:$B$85,C27,変更・キャンセル!$R$26:$R$85,"○")&gt;0,"○",""))</f>
        <v>○</v>
      </c>
      <c r="X27" s="19" t="n">
        <f aca="false">IF(D27="","",$C$6)</f>
        <v>45964</v>
      </c>
      <c r="Y27" s="28" t="n">
        <f aca="false">IF(OR(C27="",J27=""),"",IF(J27&lt;1,X27+J27,J27))</f>
        <v>45964.5416666667</v>
      </c>
    </row>
    <row r="28" customFormat="false" ht="15" hidden="false" customHeight="false" outlineLevel="0" collapsed="false">
      <c r="A28" s="24" t="str">
        <f aca="false">IF(D28="","","予定のみ")</f>
        <v/>
      </c>
      <c r="B28" s="24" t="str">
        <f aca="false">IF(D28="","","11/03 予定のみ#03 "&amp;IF(J28="","--:--",TEXT(J28,"hh:mm"))&amp;" "&amp;E28&amp;" "&amp;D28)</f>
        <v/>
      </c>
      <c r="C28" s="24" t="str">
        <f aca="false">IF(D28="","","2025-11-03予定のみ#03")</f>
        <v/>
      </c>
      <c r="D28" s="20"/>
      <c r="E28" s="20"/>
      <c r="F28" s="20"/>
      <c r="G28" s="24" t="str">
        <f aca="false">IF(D28="","","（実績なし）")</f>
        <v/>
      </c>
      <c r="H28" s="24" t="str">
        <f aca="false">IF(C28="","",COUNTIF(実績!$A$6:$A$505,C28))</f>
        <v/>
      </c>
      <c r="I28" s="26"/>
      <c r="J28" s="27"/>
      <c r="K28" s="25"/>
      <c r="L28" s="25"/>
      <c r="M28" s="25"/>
      <c r="N28" s="25"/>
      <c r="O28" s="25"/>
      <c r="P28" s="25"/>
      <c r="Q28" s="24" t="str">
        <f aca="false">IF(C28="","",COUNTA(K28:P28))</f>
        <v/>
      </c>
      <c r="R28" s="24" t="str">
        <f aca="false">_xlfn.TEXTJOIN("・",TRUE(),K28:P28)</f>
        <v/>
      </c>
      <c r="S28" s="20"/>
      <c r="T28" s="20"/>
      <c r="U28" s="24" t="str">
        <f aca="false">IF(C28="","",COUNTIF(変更・キャンセル!$B$26:$B$85,C28))</f>
        <v/>
      </c>
      <c r="V28" s="28" t="str">
        <f aca="false">IF(OR(C28="",U28=0),"",INDEX(変更・キャンセル!$AA$26:$AA$85,MATCH(C28&amp;"#"&amp;U28,変更・キャンセル!$Z$26:$Z$85,0)))</f>
        <v/>
      </c>
      <c r="W28" s="24" t="str">
        <f aca="false">IF(C28="","",IF(COUNTIFS(変更・キャンセル!$B$26:$B$85,C28,変更・キャンセル!$R$26:$R$85,"○")&gt;0,"○",""))</f>
        <v/>
      </c>
      <c r="X28" s="19" t="str">
        <f aca="false">IF(D28="","",$C$6)</f>
        <v/>
      </c>
      <c r="Y28" s="28" t="str">
        <f aca="false">IF(OR(C28="",J28=""),"",IF(J28&lt;1,X28+J28,J28))</f>
        <v/>
      </c>
    </row>
    <row r="29" customFormat="false" ht="15" hidden="false" customHeight="false" outlineLevel="0" collapsed="false">
      <c r="A29" s="24" t="str">
        <f aca="false">IF(D29="","","予定のみ")</f>
        <v/>
      </c>
      <c r="B29" s="24" t="str">
        <f aca="false">IF(D29="","","11/03 予定のみ#04 "&amp;IF(J29="","--:--",TEXT(J29,"hh:mm"))&amp;" "&amp;E29&amp;" "&amp;D29)</f>
        <v/>
      </c>
      <c r="C29" s="24" t="str">
        <f aca="false">IF(D29="","","2025-11-03予定のみ#04")</f>
        <v/>
      </c>
      <c r="D29" s="20"/>
      <c r="E29" s="20"/>
      <c r="F29" s="20"/>
      <c r="G29" s="24" t="str">
        <f aca="false">IF(D29="","","（実績なし）")</f>
        <v/>
      </c>
      <c r="H29" s="24" t="str">
        <f aca="false">IF(C29="","",COUNTIF(実績!$A$6:$A$505,C29))</f>
        <v/>
      </c>
      <c r="I29" s="26"/>
      <c r="J29" s="27"/>
      <c r="K29" s="25"/>
      <c r="L29" s="25"/>
      <c r="M29" s="25"/>
      <c r="N29" s="25"/>
      <c r="O29" s="25"/>
      <c r="P29" s="25"/>
      <c r="Q29" s="24" t="str">
        <f aca="false">IF(C29="","",COUNTA(K29:P29))</f>
        <v/>
      </c>
      <c r="R29" s="24" t="str">
        <f aca="false">_xlfn.TEXTJOIN("・",TRUE(),K29:P29)</f>
        <v/>
      </c>
      <c r="S29" s="20"/>
      <c r="T29" s="20"/>
      <c r="U29" s="24" t="str">
        <f aca="false">IF(C29="","",COUNTIF(変更・キャンセル!$B$26:$B$85,C29))</f>
        <v/>
      </c>
      <c r="V29" s="28" t="str">
        <f aca="false">IF(OR(C29="",U29=0),"",INDEX(変更・キャンセル!$AA$26:$AA$85,MATCH(C29&amp;"#"&amp;U29,変更・キャンセル!$Z$26:$Z$85,0)))</f>
        <v/>
      </c>
      <c r="W29" s="24" t="str">
        <f aca="false">IF(C29="","",IF(COUNTIFS(変更・キャンセル!$B$26:$B$85,C29,変更・キャンセル!$R$26:$R$85,"○")&gt;0,"○",""))</f>
        <v/>
      </c>
      <c r="X29" s="19" t="str">
        <f aca="false">IF(D29="","",$C$6)</f>
        <v/>
      </c>
      <c r="Y29" s="28" t="str">
        <f aca="false">IF(OR(C29="",J29=""),"",IF(J29&lt;1,X29+J29,J29))</f>
        <v/>
      </c>
    </row>
    <row r="30" customFormat="false" ht="15" hidden="false" customHeight="false" outlineLevel="0" collapsed="false">
      <c r="A30" s="24" t="str">
        <f aca="false">IF(D30="","","予定のみ")</f>
        <v/>
      </c>
      <c r="B30" s="24" t="str">
        <f aca="false">IF(D30="","","11/03 予定のみ#05 "&amp;IF(J30="","--:--",TEXT(J30,"hh:mm"))&amp;" "&amp;E30&amp;" "&amp;D30)</f>
        <v/>
      </c>
      <c r="C30" s="24" t="str">
        <f aca="false">IF(D30="","","2025-11-03予定のみ#05")</f>
        <v/>
      </c>
      <c r="D30" s="20"/>
      <c r="E30" s="20"/>
      <c r="F30" s="20"/>
      <c r="G30" s="24" t="str">
        <f aca="false">IF(D30="","","（実績なし）")</f>
        <v/>
      </c>
      <c r="H30" s="24" t="str">
        <f aca="false">IF(C30="","",COUNTIF(実績!$A$6:$A$505,C30))</f>
        <v/>
      </c>
      <c r="I30" s="26"/>
      <c r="J30" s="27"/>
      <c r="K30" s="25"/>
      <c r="L30" s="25"/>
      <c r="M30" s="25"/>
      <c r="N30" s="25"/>
      <c r="O30" s="25"/>
      <c r="P30" s="25"/>
      <c r="Q30" s="24" t="str">
        <f aca="false">IF(C30="","",COUNTA(K30:P30))</f>
        <v/>
      </c>
      <c r="R30" s="24" t="str">
        <f aca="false">_xlfn.TEXTJOIN("・",TRUE(),K30:P30)</f>
        <v/>
      </c>
      <c r="S30" s="20"/>
      <c r="T30" s="20"/>
      <c r="U30" s="24" t="str">
        <f aca="false">IF(C30="","",COUNTIF(変更・キャンセル!$B$26:$B$85,C30))</f>
        <v/>
      </c>
      <c r="V30" s="28" t="str">
        <f aca="false">IF(OR(C30="",U30=0),"",INDEX(変更・キャンセル!$AA$26:$AA$85,MATCH(C30&amp;"#"&amp;U30,変更・キャンセル!$Z$26:$Z$85,0)))</f>
        <v/>
      </c>
      <c r="W30" s="24" t="str">
        <f aca="false">IF(C30="","",IF(COUNTIFS(変更・キャンセル!$B$26:$B$85,C30,変更・キャンセル!$R$26:$R$85,"○")&gt;0,"○",""))</f>
        <v/>
      </c>
      <c r="X30" s="19" t="str">
        <f aca="false">IF(D30="","",$C$6)</f>
        <v/>
      </c>
      <c r="Y30" s="28" t="str">
        <f aca="false">IF(OR(C30="",J30=""),"",IF(J30&lt;1,X30+J30,J30))</f>
        <v/>
      </c>
    </row>
    <row r="31" customFormat="false" ht="15" hidden="false" customHeight="false" outlineLevel="0" collapsed="false">
      <c r="A31" s="24" t="str">
        <f aca="false">IF(D31="","","予定のみ")</f>
        <v/>
      </c>
      <c r="B31" s="24" t="str">
        <f aca="false">IF(D31="","","11/03 予定のみ#06 "&amp;IF(J31="","--:--",TEXT(J31,"hh:mm"))&amp;" "&amp;E31&amp;" "&amp;D31)</f>
        <v/>
      </c>
      <c r="C31" s="24" t="str">
        <f aca="false">IF(D31="","","2025-11-03予定のみ#06")</f>
        <v/>
      </c>
      <c r="D31" s="20"/>
      <c r="E31" s="20"/>
      <c r="F31" s="20"/>
      <c r="G31" s="24" t="str">
        <f aca="false">IF(D31="","","（実績なし）")</f>
        <v/>
      </c>
      <c r="H31" s="24" t="str">
        <f aca="false">IF(C31="","",COUNTIF(実績!$A$6:$A$505,C31))</f>
        <v/>
      </c>
      <c r="I31" s="26"/>
      <c r="J31" s="27"/>
      <c r="K31" s="25"/>
      <c r="L31" s="25"/>
      <c r="M31" s="25"/>
      <c r="N31" s="25"/>
      <c r="O31" s="25"/>
      <c r="P31" s="25"/>
      <c r="Q31" s="24" t="str">
        <f aca="false">IF(C31="","",COUNTA(K31:P31))</f>
        <v/>
      </c>
      <c r="R31" s="24" t="str">
        <f aca="false">_xlfn.TEXTJOIN("・",TRUE(),K31:P31)</f>
        <v/>
      </c>
      <c r="S31" s="20"/>
      <c r="T31" s="20"/>
      <c r="U31" s="24" t="str">
        <f aca="false">IF(C31="","",COUNTIF(変更・キャンセル!$B$26:$B$85,C31))</f>
        <v/>
      </c>
      <c r="V31" s="28" t="str">
        <f aca="false">IF(OR(C31="",U31=0),"",INDEX(変更・キャンセル!$AA$26:$AA$85,MATCH(C31&amp;"#"&amp;U31,変更・キャンセル!$Z$26:$Z$85,0)))</f>
        <v/>
      </c>
      <c r="W31" s="24" t="str">
        <f aca="false">IF(C31="","",IF(COUNTIFS(変更・キャンセル!$B$26:$B$85,C31,変更・キャンセル!$R$26:$R$85,"○")&gt;0,"○",""))</f>
        <v/>
      </c>
      <c r="X31" s="19" t="str">
        <f aca="false">IF(D31="","",$C$6)</f>
        <v/>
      </c>
      <c r="Y31" s="28" t="str">
        <f aca="false">IF(OR(C31="",J31=""),"",IF(J31&lt;1,X31+J31,J31))</f>
        <v/>
      </c>
    </row>
    <row r="32" customFormat="false" ht="15" hidden="false" customHeight="false" outlineLevel="0" collapsed="false">
      <c r="A32" s="24" t="str">
        <f aca="false">IF(D32="","","予定のみ")</f>
        <v/>
      </c>
      <c r="B32" s="24" t="str">
        <f aca="false">IF(D32="","","11/03 予定のみ#07 "&amp;IF(J32="","--:--",TEXT(J32,"hh:mm"))&amp;" "&amp;E32&amp;" "&amp;D32)</f>
        <v/>
      </c>
      <c r="C32" s="24" t="str">
        <f aca="false">IF(D32="","","2025-11-03予定のみ#07")</f>
        <v/>
      </c>
      <c r="D32" s="20"/>
      <c r="E32" s="20"/>
      <c r="F32" s="20"/>
      <c r="G32" s="24" t="str">
        <f aca="false">IF(D32="","","（実績なし）")</f>
        <v/>
      </c>
      <c r="H32" s="24" t="str">
        <f aca="false">IF(C32="","",COUNTIF(実績!$A$6:$A$505,C32))</f>
        <v/>
      </c>
      <c r="I32" s="26"/>
      <c r="J32" s="27"/>
      <c r="K32" s="25"/>
      <c r="L32" s="25"/>
      <c r="M32" s="25"/>
      <c r="N32" s="25"/>
      <c r="O32" s="25"/>
      <c r="P32" s="25"/>
      <c r="Q32" s="24" t="str">
        <f aca="false">IF(C32="","",COUNTA(K32:P32))</f>
        <v/>
      </c>
      <c r="R32" s="24" t="str">
        <f aca="false">_xlfn.TEXTJOIN("・",TRUE(),K32:P32)</f>
        <v/>
      </c>
      <c r="S32" s="20"/>
      <c r="T32" s="20"/>
      <c r="U32" s="24" t="str">
        <f aca="false">IF(C32="","",COUNTIF(変更・キャンセル!$B$26:$B$85,C32))</f>
        <v/>
      </c>
      <c r="V32" s="28" t="str">
        <f aca="false">IF(OR(C32="",U32=0),"",INDEX(変更・キャンセル!$AA$26:$AA$85,MATCH(C32&amp;"#"&amp;U32,変更・キャンセル!$Z$26:$Z$85,0)))</f>
        <v/>
      </c>
      <c r="W32" s="24" t="str">
        <f aca="false">IF(C32="","",IF(COUNTIFS(変更・キャンセル!$B$26:$B$85,C32,変更・キャンセル!$R$26:$R$85,"○")&gt;0,"○",""))</f>
        <v/>
      </c>
      <c r="X32" s="19" t="str">
        <f aca="false">IF(D32="","",$C$6)</f>
        <v/>
      </c>
      <c r="Y32" s="28" t="str">
        <f aca="false">IF(OR(C32="",J32=""),"",IF(J32&lt;1,X32+J32,J32))</f>
        <v/>
      </c>
    </row>
    <row r="33" customFormat="false" ht="15" hidden="false" customHeight="false" outlineLevel="0" collapsed="false">
      <c r="A33" s="24" t="str">
        <f aca="false">IF(D33="","","予定のみ")</f>
        <v/>
      </c>
      <c r="B33" s="24" t="str">
        <f aca="false">IF(D33="","","11/03 予定のみ#08 "&amp;IF(J33="","--:--",TEXT(J33,"hh:mm"))&amp;" "&amp;E33&amp;" "&amp;D33)</f>
        <v/>
      </c>
      <c r="C33" s="24" t="str">
        <f aca="false">IF(D33="","","2025-11-03予定のみ#08")</f>
        <v/>
      </c>
      <c r="D33" s="20"/>
      <c r="E33" s="20"/>
      <c r="F33" s="20"/>
      <c r="G33" s="24" t="str">
        <f aca="false">IF(D33="","","（実績なし）")</f>
        <v/>
      </c>
      <c r="H33" s="24" t="str">
        <f aca="false">IF(C33="","",COUNTIF(実績!$A$6:$A$505,C33))</f>
        <v/>
      </c>
      <c r="I33" s="26"/>
      <c r="J33" s="27"/>
      <c r="K33" s="25"/>
      <c r="L33" s="25"/>
      <c r="M33" s="25"/>
      <c r="N33" s="25"/>
      <c r="O33" s="25"/>
      <c r="P33" s="25"/>
      <c r="Q33" s="24" t="str">
        <f aca="false">IF(C33="","",COUNTA(K33:P33))</f>
        <v/>
      </c>
      <c r="R33" s="24" t="str">
        <f aca="false">_xlfn.TEXTJOIN("・",TRUE(),K33:P33)</f>
        <v/>
      </c>
      <c r="S33" s="20"/>
      <c r="T33" s="20"/>
      <c r="U33" s="24" t="str">
        <f aca="false">IF(C33="","",COUNTIF(変更・キャンセル!$B$26:$B$85,C33))</f>
        <v/>
      </c>
      <c r="V33" s="28" t="str">
        <f aca="false">IF(OR(C33="",U33=0),"",INDEX(変更・キャンセル!$AA$26:$AA$85,MATCH(C33&amp;"#"&amp;U33,変更・キャンセル!$Z$26:$Z$85,0)))</f>
        <v/>
      </c>
      <c r="W33" s="24" t="str">
        <f aca="false">IF(C33="","",IF(COUNTIFS(変更・キャンセル!$B$26:$B$85,C33,変更・キャンセル!$R$26:$R$85,"○")&gt;0,"○",""))</f>
        <v/>
      </c>
      <c r="X33" s="19" t="str">
        <f aca="false">IF(D33="","",$C$6)</f>
        <v/>
      </c>
      <c r="Y33" s="28" t="str">
        <f aca="false">IF(OR(C33="",J33=""),"",IF(J33&lt;1,X33+J33,J33))</f>
        <v/>
      </c>
    </row>
    <row r="34" customFormat="false" ht="15" hidden="false" customHeight="false" outlineLevel="0" collapsed="false">
      <c r="A34" s="24" t="str">
        <f aca="false">IF(D34="","","予定のみ")</f>
        <v/>
      </c>
      <c r="B34" s="24" t="str">
        <f aca="false">IF(D34="","","11/03 予定のみ#09 "&amp;IF(J34="","--:--",TEXT(J34,"hh:mm"))&amp;" "&amp;E34&amp;" "&amp;D34)</f>
        <v/>
      </c>
      <c r="C34" s="24" t="str">
        <f aca="false">IF(D34="","","2025-11-03予定のみ#09")</f>
        <v/>
      </c>
      <c r="D34" s="20"/>
      <c r="E34" s="20"/>
      <c r="F34" s="20"/>
      <c r="G34" s="24" t="str">
        <f aca="false">IF(D34="","","（実績なし）")</f>
        <v/>
      </c>
      <c r="H34" s="24" t="str">
        <f aca="false">IF(C34="","",COUNTIF(実績!$A$6:$A$505,C34))</f>
        <v/>
      </c>
      <c r="I34" s="26"/>
      <c r="J34" s="27"/>
      <c r="K34" s="25"/>
      <c r="L34" s="25"/>
      <c r="M34" s="25"/>
      <c r="N34" s="25"/>
      <c r="O34" s="25"/>
      <c r="P34" s="25"/>
      <c r="Q34" s="24" t="str">
        <f aca="false">IF(C34="","",COUNTA(K34:P34))</f>
        <v/>
      </c>
      <c r="R34" s="24" t="str">
        <f aca="false">_xlfn.TEXTJOIN("・",TRUE(),K34:P34)</f>
        <v/>
      </c>
      <c r="S34" s="20"/>
      <c r="T34" s="20"/>
      <c r="U34" s="24" t="str">
        <f aca="false">IF(C34="","",COUNTIF(変更・キャンセル!$B$26:$B$85,C34))</f>
        <v/>
      </c>
      <c r="V34" s="28" t="str">
        <f aca="false">IF(OR(C34="",U34=0),"",INDEX(変更・キャンセル!$AA$26:$AA$85,MATCH(C34&amp;"#"&amp;U34,変更・キャンセル!$Z$26:$Z$85,0)))</f>
        <v/>
      </c>
      <c r="W34" s="24" t="str">
        <f aca="false">IF(C34="","",IF(COUNTIFS(変更・キャンセル!$B$26:$B$85,C34,変更・キャンセル!$R$26:$R$85,"○")&gt;0,"○",""))</f>
        <v/>
      </c>
      <c r="X34" s="19" t="str">
        <f aca="false">IF(D34="","",$C$6)</f>
        <v/>
      </c>
      <c r="Y34" s="28" t="str">
        <f aca="false">IF(OR(C34="",J34=""),"",IF(J34&lt;1,X34+J34,J34))</f>
        <v/>
      </c>
    </row>
    <row r="35" customFormat="false" ht="15" hidden="false" customHeight="false" outlineLevel="0" collapsed="false">
      <c r="A35" s="24" t="str">
        <f aca="false">IF(D35="","","予定のみ")</f>
        <v/>
      </c>
      <c r="B35" s="24" t="str">
        <f aca="false">IF(D35="","","11/03 予定のみ#10 "&amp;IF(J35="","--:--",TEXT(J35,"hh:mm"))&amp;" "&amp;E35&amp;" "&amp;D35)</f>
        <v/>
      </c>
      <c r="C35" s="24" t="str">
        <f aca="false">IF(D35="","","2025-11-03予定のみ#10")</f>
        <v/>
      </c>
      <c r="D35" s="20"/>
      <c r="E35" s="20"/>
      <c r="F35" s="20"/>
      <c r="G35" s="24" t="str">
        <f aca="false">IF(D35="","","（実績なし）")</f>
        <v/>
      </c>
      <c r="H35" s="24" t="str">
        <f aca="false">IF(C35="","",COUNTIF(実績!$A$6:$A$505,C35))</f>
        <v/>
      </c>
      <c r="I35" s="26"/>
      <c r="J35" s="27"/>
      <c r="K35" s="25"/>
      <c r="L35" s="25"/>
      <c r="M35" s="25"/>
      <c r="N35" s="25"/>
      <c r="O35" s="25"/>
      <c r="P35" s="25"/>
      <c r="Q35" s="24" t="str">
        <f aca="false">IF(C35="","",COUNTA(K35:P35))</f>
        <v/>
      </c>
      <c r="R35" s="24" t="str">
        <f aca="false">_xlfn.TEXTJOIN("・",TRUE(),K35:P35)</f>
        <v/>
      </c>
      <c r="S35" s="20"/>
      <c r="T35" s="20"/>
      <c r="U35" s="24" t="str">
        <f aca="false">IF(C35="","",COUNTIF(変更・キャンセル!$B$26:$B$85,C35))</f>
        <v/>
      </c>
      <c r="V35" s="28" t="str">
        <f aca="false">IF(OR(C35="",U35=0),"",INDEX(変更・キャンセル!$AA$26:$AA$85,MATCH(C35&amp;"#"&amp;U35,変更・キャンセル!$Z$26:$Z$85,0)))</f>
        <v/>
      </c>
      <c r="W35" s="24" t="str">
        <f aca="false">IF(C35="","",IF(COUNTIFS(変更・キャンセル!$B$26:$B$85,C35,変更・キャンセル!$R$26:$R$85,"○")&gt;0,"○",""))</f>
        <v/>
      </c>
      <c r="X35" s="19" t="str">
        <f aca="false">IF(D35="","",$C$6)</f>
        <v/>
      </c>
      <c r="Y35" s="28" t="str">
        <f aca="false">IF(OR(C35="",J35=""),"",IF(J35&lt;1,X35+J35,J35))</f>
        <v/>
      </c>
    </row>
    <row r="36" customFormat="false" ht="15" hidden="false" customHeight="false" outlineLevel="0" collapsed="false">
      <c r="A36" s="24" t="str">
        <f aca="false">IF(D36="","","予定のみ")</f>
        <v/>
      </c>
      <c r="B36" s="24" t="str">
        <f aca="false">IF(D36="","","11/03 予定のみ#11 "&amp;IF(J36="","--:--",TEXT(J36,"hh:mm"))&amp;" "&amp;E36&amp;" "&amp;D36)</f>
        <v/>
      </c>
      <c r="C36" s="24" t="str">
        <f aca="false">IF(D36="","","2025-11-03予定のみ#11")</f>
        <v/>
      </c>
      <c r="D36" s="20"/>
      <c r="E36" s="20"/>
      <c r="F36" s="20"/>
      <c r="G36" s="24" t="str">
        <f aca="false">IF(D36="","","（実績なし）")</f>
        <v/>
      </c>
      <c r="H36" s="24" t="str">
        <f aca="false">IF(C36="","",COUNTIF(実績!$A$6:$A$505,C36))</f>
        <v/>
      </c>
      <c r="I36" s="26"/>
      <c r="J36" s="27"/>
      <c r="K36" s="25"/>
      <c r="L36" s="25"/>
      <c r="M36" s="25"/>
      <c r="N36" s="25"/>
      <c r="O36" s="25"/>
      <c r="P36" s="25"/>
      <c r="Q36" s="24" t="str">
        <f aca="false">IF(C36="","",COUNTA(K36:P36))</f>
        <v/>
      </c>
      <c r="R36" s="24" t="str">
        <f aca="false">_xlfn.TEXTJOIN("・",TRUE(),K36:P36)</f>
        <v/>
      </c>
      <c r="S36" s="20"/>
      <c r="T36" s="20"/>
      <c r="U36" s="24" t="str">
        <f aca="false">IF(C36="","",COUNTIF(変更・キャンセル!$B$26:$B$85,C36))</f>
        <v/>
      </c>
      <c r="V36" s="28" t="str">
        <f aca="false">IF(OR(C36="",U36=0),"",INDEX(変更・キャンセル!$AA$26:$AA$85,MATCH(C36&amp;"#"&amp;U36,変更・キャンセル!$Z$26:$Z$85,0)))</f>
        <v/>
      </c>
      <c r="W36" s="24" t="str">
        <f aca="false">IF(C36="","",IF(COUNTIFS(変更・キャンセル!$B$26:$B$85,C36,変更・キャンセル!$R$26:$R$85,"○")&gt;0,"○",""))</f>
        <v/>
      </c>
      <c r="X36" s="19" t="str">
        <f aca="false">IF(D36="","",$C$6)</f>
        <v/>
      </c>
      <c r="Y36" s="28" t="str">
        <f aca="false">IF(OR(C36="",J36=""),"",IF(J36&lt;1,X36+J36,J36))</f>
        <v/>
      </c>
    </row>
    <row r="37" customFormat="false" ht="15" hidden="false" customHeight="false" outlineLevel="0" collapsed="false">
      <c r="A37" s="24" t="str">
        <f aca="false">IF(D37="","","予定のみ")</f>
        <v/>
      </c>
      <c r="B37" s="24" t="str">
        <f aca="false">IF(D37="","","11/03 予定のみ#12 "&amp;IF(J37="","--:--",TEXT(J37,"hh:mm"))&amp;" "&amp;E37&amp;" "&amp;D37)</f>
        <v/>
      </c>
      <c r="C37" s="24" t="str">
        <f aca="false">IF(D37="","","2025-11-03予定のみ#12")</f>
        <v/>
      </c>
      <c r="D37" s="20"/>
      <c r="E37" s="20"/>
      <c r="F37" s="20"/>
      <c r="G37" s="24" t="str">
        <f aca="false">IF(D37="","","（実績なし）")</f>
        <v/>
      </c>
      <c r="H37" s="24" t="str">
        <f aca="false">IF(C37="","",COUNTIF(実績!$A$6:$A$505,C37))</f>
        <v/>
      </c>
      <c r="I37" s="26"/>
      <c r="J37" s="27"/>
      <c r="K37" s="25"/>
      <c r="L37" s="25"/>
      <c r="M37" s="25"/>
      <c r="N37" s="25"/>
      <c r="O37" s="25"/>
      <c r="P37" s="25"/>
      <c r="Q37" s="24" t="str">
        <f aca="false">IF(C37="","",COUNTA(K37:P37))</f>
        <v/>
      </c>
      <c r="R37" s="24" t="str">
        <f aca="false">_xlfn.TEXTJOIN("・",TRUE(),K37:P37)</f>
        <v/>
      </c>
      <c r="S37" s="20"/>
      <c r="T37" s="20"/>
      <c r="U37" s="24" t="str">
        <f aca="false">IF(C37="","",COUNTIF(変更・キャンセル!$B$26:$B$85,C37))</f>
        <v/>
      </c>
      <c r="V37" s="28" t="str">
        <f aca="false">IF(OR(C37="",U37=0),"",INDEX(変更・キャンセル!$AA$26:$AA$85,MATCH(C37&amp;"#"&amp;U37,変更・キャンセル!$Z$26:$Z$85,0)))</f>
        <v/>
      </c>
      <c r="W37" s="24" t="str">
        <f aca="false">IF(C37="","",IF(COUNTIFS(変更・キャンセル!$B$26:$B$85,C37,変更・キャンセル!$R$26:$R$85,"○")&gt;0,"○",""))</f>
        <v/>
      </c>
      <c r="X37" s="19" t="str">
        <f aca="false">IF(D37="","",$C$6)</f>
        <v/>
      </c>
      <c r="Y37" s="28" t="str">
        <f aca="false">IF(OR(C37="",J37=""),"",IF(J37&lt;1,X37+J37,J37))</f>
        <v/>
      </c>
    </row>
    <row r="38" customFormat="false" ht="15" hidden="false" customHeight="false" outlineLevel="0" collapsed="false">
      <c r="A38" s="24" t="str">
        <f aca="false">IF(D38="","","予定のみ")</f>
        <v/>
      </c>
      <c r="B38" s="24" t="str">
        <f aca="false">IF(D38="","","11/03 予定のみ#13 "&amp;IF(J38="","--:--",TEXT(J38,"hh:mm"))&amp;" "&amp;E38&amp;" "&amp;D38)</f>
        <v/>
      </c>
      <c r="C38" s="24" t="str">
        <f aca="false">IF(D38="","","2025-11-03予定のみ#13")</f>
        <v/>
      </c>
      <c r="D38" s="20"/>
      <c r="E38" s="20"/>
      <c r="F38" s="20"/>
      <c r="G38" s="24" t="str">
        <f aca="false">IF(D38="","","（実績なし）")</f>
        <v/>
      </c>
      <c r="H38" s="24" t="str">
        <f aca="false">IF(C38="","",COUNTIF(実績!$A$6:$A$505,C38))</f>
        <v/>
      </c>
      <c r="I38" s="26"/>
      <c r="J38" s="27"/>
      <c r="K38" s="25"/>
      <c r="L38" s="25"/>
      <c r="M38" s="25"/>
      <c r="N38" s="25"/>
      <c r="O38" s="25"/>
      <c r="P38" s="25"/>
      <c r="Q38" s="24" t="str">
        <f aca="false">IF(C38="","",COUNTA(K38:P38))</f>
        <v/>
      </c>
      <c r="R38" s="24" t="str">
        <f aca="false">_xlfn.TEXTJOIN("・",TRUE(),K38:P38)</f>
        <v/>
      </c>
      <c r="S38" s="20"/>
      <c r="T38" s="20"/>
      <c r="U38" s="24" t="str">
        <f aca="false">IF(C38="","",COUNTIF(変更・キャンセル!$B$26:$B$85,C38))</f>
        <v/>
      </c>
      <c r="V38" s="28" t="str">
        <f aca="false">IF(OR(C38="",U38=0),"",INDEX(変更・キャンセル!$AA$26:$AA$85,MATCH(C38&amp;"#"&amp;U38,変更・キャンセル!$Z$26:$Z$85,0)))</f>
        <v/>
      </c>
      <c r="W38" s="24" t="str">
        <f aca="false">IF(C38="","",IF(COUNTIFS(変更・キャンセル!$B$26:$B$85,C38,変更・キャンセル!$R$26:$R$85,"○")&gt;0,"○",""))</f>
        <v/>
      </c>
      <c r="X38" s="19" t="str">
        <f aca="false">IF(D38="","",$C$6)</f>
        <v/>
      </c>
      <c r="Y38" s="28" t="str">
        <f aca="false">IF(OR(C38="",J38=""),"",IF(J38&lt;1,X38+J38,J38))</f>
        <v/>
      </c>
    </row>
    <row r="39" customFormat="false" ht="15" hidden="false" customHeight="false" outlineLevel="0" collapsed="false">
      <c r="A39" s="24" t="str">
        <f aca="false">IF(D39="","","予定のみ")</f>
        <v/>
      </c>
      <c r="B39" s="24" t="str">
        <f aca="false">IF(D39="","","11/03 予定のみ#14 "&amp;IF(J39="","--:--",TEXT(J39,"hh:mm"))&amp;" "&amp;E39&amp;" "&amp;D39)</f>
        <v/>
      </c>
      <c r="C39" s="24" t="str">
        <f aca="false">IF(D39="","","2025-11-03予定のみ#14")</f>
        <v/>
      </c>
      <c r="D39" s="20"/>
      <c r="E39" s="20"/>
      <c r="F39" s="20"/>
      <c r="G39" s="24" t="str">
        <f aca="false">IF(D39="","","（実績なし）")</f>
        <v/>
      </c>
      <c r="H39" s="24" t="str">
        <f aca="false">IF(C39="","",COUNTIF(実績!$A$6:$A$505,C39))</f>
        <v/>
      </c>
      <c r="I39" s="26"/>
      <c r="J39" s="27"/>
      <c r="K39" s="25"/>
      <c r="L39" s="25"/>
      <c r="M39" s="25"/>
      <c r="N39" s="25"/>
      <c r="O39" s="25"/>
      <c r="P39" s="25"/>
      <c r="Q39" s="24" t="str">
        <f aca="false">IF(C39="","",COUNTA(K39:P39))</f>
        <v/>
      </c>
      <c r="R39" s="24" t="str">
        <f aca="false">_xlfn.TEXTJOIN("・",TRUE(),K39:P39)</f>
        <v/>
      </c>
      <c r="S39" s="20"/>
      <c r="T39" s="20"/>
      <c r="U39" s="24" t="str">
        <f aca="false">IF(C39="","",COUNTIF(変更・キャンセル!$B$26:$B$85,C39))</f>
        <v/>
      </c>
      <c r="V39" s="28" t="str">
        <f aca="false">IF(OR(C39="",U39=0),"",INDEX(変更・キャンセル!$AA$26:$AA$85,MATCH(C39&amp;"#"&amp;U39,変更・キャンセル!$Z$26:$Z$85,0)))</f>
        <v/>
      </c>
      <c r="W39" s="24" t="str">
        <f aca="false">IF(C39="","",IF(COUNTIFS(変更・キャンセル!$B$26:$B$85,C39,変更・キャンセル!$R$26:$R$85,"○")&gt;0,"○",""))</f>
        <v/>
      </c>
      <c r="X39" s="19" t="str">
        <f aca="false">IF(D39="","",$C$6)</f>
        <v/>
      </c>
      <c r="Y39" s="28" t="str">
        <f aca="false">IF(OR(C39="",J39=""),"",IF(J39&lt;1,X39+J39,J39))</f>
        <v/>
      </c>
    </row>
    <row r="40" customFormat="false" ht="15" hidden="false" customHeight="false" outlineLevel="0" collapsed="false">
      <c r="A40" s="24" t="str">
        <f aca="false">IF(D40="","","予定のみ")</f>
        <v/>
      </c>
      <c r="B40" s="24" t="str">
        <f aca="false">IF(D40="","","11/03 予定のみ#15 "&amp;IF(J40="","--:--",TEXT(J40,"hh:mm"))&amp;" "&amp;E40&amp;" "&amp;D40)</f>
        <v/>
      </c>
      <c r="C40" s="24" t="str">
        <f aca="false">IF(D40="","","2025-11-03予定のみ#15")</f>
        <v/>
      </c>
      <c r="D40" s="20"/>
      <c r="E40" s="20"/>
      <c r="F40" s="20"/>
      <c r="G40" s="24" t="str">
        <f aca="false">IF(D40="","","（実績なし）")</f>
        <v/>
      </c>
      <c r="H40" s="24" t="str">
        <f aca="false">IF(C40="","",COUNTIF(実績!$A$6:$A$505,C40))</f>
        <v/>
      </c>
      <c r="I40" s="26"/>
      <c r="J40" s="27"/>
      <c r="K40" s="25"/>
      <c r="L40" s="25"/>
      <c r="M40" s="25"/>
      <c r="N40" s="25"/>
      <c r="O40" s="25"/>
      <c r="P40" s="25"/>
      <c r="Q40" s="24" t="str">
        <f aca="false">IF(C40="","",COUNTA(K40:P40))</f>
        <v/>
      </c>
      <c r="R40" s="24" t="str">
        <f aca="false">_xlfn.TEXTJOIN("・",TRUE(),K40:P40)</f>
        <v/>
      </c>
      <c r="S40" s="20"/>
      <c r="T40" s="20"/>
      <c r="U40" s="24" t="str">
        <f aca="false">IF(C40="","",COUNTIF(変更・キャンセル!$B$26:$B$85,C40))</f>
        <v/>
      </c>
      <c r="V40" s="28" t="str">
        <f aca="false">IF(OR(C40="",U40=0),"",INDEX(変更・キャンセル!$AA$26:$AA$85,MATCH(C40&amp;"#"&amp;U40,変更・キャンセル!$Z$26:$Z$85,0)))</f>
        <v/>
      </c>
      <c r="W40" s="24" t="str">
        <f aca="false">IF(C40="","",IF(COUNTIFS(変更・キャンセル!$B$26:$B$85,C40,変更・キャンセル!$R$26:$R$85,"○")&gt;0,"○",""))</f>
        <v/>
      </c>
      <c r="X40" s="19" t="str">
        <f aca="false">IF(D40="","",$C$6)</f>
        <v/>
      </c>
      <c r="Y40" s="28" t="str">
        <f aca="false">IF(OR(C40="",J40=""),"",IF(J40&lt;1,X40+J40,J40))</f>
        <v/>
      </c>
    </row>
    <row r="41" customFormat="false" ht="15" hidden="false" customHeight="false" outlineLevel="0" collapsed="false">
      <c r="A41" s="24" t="str">
        <f aca="false">IF(D41="","","予定のみ")</f>
        <v/>
      </c>
      <c r="B41" s="24" t="str">
        <f aca="false">IF(D41="","","11/03 予定のみ#16 "&amp;IF(J41="","--:--",TEXT(J41,"hh:mm"))&amp;" "&amp;E41&amp;" "&amp;D41)</f>
        <v/>
      </c>
      <c r="C41" s="24" t="str">
        <f aca="false">IF(D41="","","2025-11-03予定のみ#16")</f>
        <v/>
      </c>
      <c r="D41" s="20"/>
      <c r="E41" s="20"/>
      <c r="F41" s="20"/>
      <c r="G41" s="24" t="str">
        <f aca="false">IF(D41="","","（実績なし）")</f>
        <v/>
      </c>
      <c r="H41" s="24" t="str">
        <f aca="false">IF(C41="","",COUNTIF(実績!$A$6:$A$505,C41))</f>
        <v/>
      </c>
      <c r="I41" s="26"/>
      <c r="J41" s="27"/>
      <c r="K41" s="25"/>
      <c r="L41" s="25"/>
      <c r="M41" s="25"/>
      <c r="N41" s="25"/>
      <c r="O41" s="25"/>
      <c r="P41" s="25"/>
      <c r="Q41" s="24" t="str">
        <f aca="false">IF(C41="","",COUNTA(K41:P41))</f>
        <v/>
      </c>
      <c r="R41" s="24" t="str">
        <f aca="false">_xlfn.TEXTJOIN("・",TRUE(),K41:P41)</f>
        <v/>
      </c>
      <c r="S41" s="20"/>
      <c r="T41" s="20"/>
      <c r="U41" s="24" t="str">
        <f aca="false">IF(C41="","",COUNTIF(変更・キャンセル!$B$26:$B$85,C41))</f>
        <v/>
      </c>
      <c r="V41" s="28" t="str">
        <f aca="false">IF(OR(C41="",U41=0),"",INDEX(変更・キャンセル!$AA$26:$AA$85,MATCH(C41&amp;"#"&amp;U41,変更・キャンセル!$Z$26:$Z$85,0)))</f>
        <v/>
      </c>
      <c r="W41" s="24" t="str">
        <f aca="false">IF(C41="","",IF(COUNTIFS(変更・キャンセル!$B$26:$B$85,C41,変更・キャンセル!$R$26:$R$85,"○")&gt;0,"○",""))</f>
        <v/>
      </c>
      <c r="X41" s="19" t="str">
        <f aca="false">IF(D41="","",$C$6)</f>
        <v/>
      </c>
      <c r="Y41" s="28" t="str">
        <f aca="false">IF(OR(C41="",J41=""),"",IF(J41&lt;1,X41+J41,J41))</f>
        <v/>
      </c>
    </row>
    <row r="42" customFormat="false" ht="15" hidden="false" customHeight="false" outlineLevel="0" collapsed="false">
      <c r="A42" s="24" t="str">
        <f aca="false">IF(D42="","","予定のみ")</f>
        <v/>
      </c>
      <c r="B42" s="24" t="str">
        <f aca="false">IF(D42="","","11/03 予定のみ#17 "&amp;IF(J42="","--:--",TEXT(J42,"hh:mm"))&amp;" "&amp;E42&amp;" "&amp;D42)</f>
        <v/>
      </c>
      <c r="C42" s="24" t="str">
        <f aca="false">IF(D42="","","2025-11-03予定のみ#17")</f>
        <v/>
      </c>
      <c r="D42" s="20"/>
      <c r="E42" s="20"/>
      <c r="F42" s="20"/>
      <c r="G42" s="24" t="str">
        <f aca="false">IF(D42="","","（実績なし）")</f>
        <v/>
      </c>
      <c r="H42" s="24" t="str">
        <f aca="false">IF(C42="","",COUNTIF(実績!$A$6:$A$505,C42))</f>
        <v/>
      </c>
      <c r="I42" s="26"/>
      <c r="J42" s="27"/>
      <c r="K42" s="25"/>
      <c r="L42" s="25"/>
      <c r="M42" s="25"/>
      <c r="N42" s="25"/>
      <c r="O42" s="25"/>
      <c r="P42" s="25"/>
      <c r="Q42" s="24" t="str">
        <f aca="false">IF(C42="","",COUNTA(K42:P42))</f>
        <v/>
      </c>
      <c r="R42" s="24" t="str">
        <f aca="false">_xlfn.TEXTJOIN("・",TRUE(),K42:P42)</f>
        <v/>
      </c>
      <c r="S42" s="20"/>
      <c r="T42" s="20"/>
      <c r="U42" s="24" t="str">
        <f aca="false">IF(C42="","",COUNTIF(変更・キャンセル!$B$26:$B$85,C42))</f>
        <v/>
      </c>
      <c r="V42" s="28" t="str">
        <f aca="false">IF(OR(C42="",U42=0),"",INDEX(変更・キャンセル!$AA$26:$AA$85,MATCH(C42&amp;"#"&amp;U42,変更・キャンセル!$Z$26:$Z$85,0)))</f>
        <v/>
      </c>
      <c r="W42" s="24" t="str">
        <f aca="false">IF(C42="","",IF(COUNTIFS(変更・キャンセル!$B$26:$B$85,C42,変更・キャンセル!$R$26:$R$85,"○")&gt;0,"○",""))</f>
        <v/>
      </c>
      <c r="X42" s="19" t="str">
        <f aca="false">IF(D42="","",$C$6)</f>
        <v/>
      </c>
      <c r="Y42" s="28" t="str">
        <f aca="false">IF(OR(C42="",J42=""),"",IF(J42&lt;1,X42+J42,J42))</f>
        <v/>
      </c>
    </row>
    <row r="43" customFormat="false" ht="15" hidden="false" customHeight="false" outlineLevel="0" collapsed="false">
      <c r="A43" s="24" t="str">
        <f aca="false">IF(D43="","","予定のみ")</f>
        <v/>
      </c>
      <c r="B43" s="24" t="str">
        <f aca="false">IF(D43="","","11/03 予定のみ#18 "&amp;IF(J43="","--:--",TEXT(J43,"hh:mm"))&amp;" "&amp;E43&amp;" "&amp;D43)</f>
        <v/>
      </c>
      <c r="C43" s="24" t="str">
        <f aca="false">IF(D43="","","2025-11-03予定のみ#18")</f>
        <v/>
      </c>
      <c r="D43" s="20"/>
      <c r="E43" s="20"/>
      <c r="F43" s="20"/>
      <c r="G43" s="24" t="str">
        <f aca="false">IF(D43="","","（実績なし）")</f>
        <v/>
      </c>
      <c r="H43" s="24" t="str">
        <f aca="false">IF(C43="","",COUNTIF(実績!$A$6:$A$505,C43))</f>
        <v/>
      </c>
      <c r="I43" s="26"/>
      <c r="J43" s="27"/>
      <c r="K43" s="25"/>
      <c r="L43" s="25"/>
      <c r="M43" s="25"/>
      <c r="N43" s="25"/>
      <c r="O43" s="25"/>
      <c r="P43" s="25"/>
      <c r="Q43" s="24" t="str">
        <f aca="false">IF(C43="","",COUNTA(K43:P43))</f>
        <v/>
      </c>
      <c r="R43" s="24" t="str">
        <f aca="false">_xlfn.TEXTJOIN("・",TRUE(),K43:P43)</f>
        <v/>
      </c>
      <c r="S43" s="20"/>
      <c r="T43" s="20"/>
      <c r="U43" s="24" t="str">
        <f aca="false">IF(C43="","",COUNTIF(変更・キャンセル!$B$26:$B$85,C43))</f>
        <v/>
      </c>
      <c r="V43" s="28" t="str">
        <f aca="false">IF(OR(C43="",U43=0),"",INDEX(変更・キャンセル!$AA$26:$AA$85,MATCH(C43&amp;"#"&amp;U43,変更・キャンセル!$Z$26:$Z$85,0)))</f>
        <v/>
      </c>
      <c r="W43" s="24" t="str">
        <f aca="false">IF(C43="","",IF(COUNTIFS(変更・キャンセル!$B$26:$B$85,C43,変更・キャンセル!$R$26:$R$85,"○")&gt;0,"○",""))</f>
        <v/>
      </c>
      <c r="X43" s="19" t="str">
        <f aca="false">IF(D43="","",$C$6)</f>
        <v/>
      </c>
      <c r="Y43" s="28" t="str">
        <f aca="false">IF(OR(C43="",J43=""),"",IF(J43&lt;1,X43+J43,J43))</f>
        <v/>
      </c>
    </row>
    <row r="44" customFormat="false" ht="15" hidden="false" customHeight="false" outlineLevel="0" collapsed="false">
      <c r="A44" s="24" t="str">
        <f aca="false">IF(D44="","","予定のみ")</f>
        <v/>
      </c>
      <c r="B44" s="24" t="str">
        <f aca="false">IF(D44="","","11/03 予定のみ#19 "&amp;IF(J44="","--:--",TEXT(J44,"hh:mm"))&amp;" "&amp;E44&amp;" "&amp;D44)</f>
        <v/>
      </c>
      <c r="C44" s="24" t="str">
        <f aca="false">IF(D44="","","2025-11-03予定のみ#19")</f>
        <v/>
      </c>
      <c r="D44" s="20"/>
      <c r="E44" s="20"/>
      <c r="F44" s="20"/>
      <c r="G44" s="24" t="str">
        <f aca="false">IF(D44="","","（実績なし）")</f>
        <v/>
      </c>
      <c r="H44" s="24" t="str">
        <f aca="false">IF(C44="","",COUNTIF(実績!$A$6:$A$505,C44))</f>
        <v/>
      </c>
      <c r="I44" s="26"/>
      <c r="J44" s="27"/>
      <c r="K44" s="25"/>
      <c r="L44" s="25"/>
      <c r="M44" s="25"/>
      <c r="N44" s="25"/>
      <c r="O44" s="25"/>
      <c r="P44" s="25"/>
      <c r="Q44" s="24" t="str">
        <f aca="false">IF(C44="","",COUNTA(K44:P44))</f>
        <v/>
      </c>
      <c r="R44" s="24" t="str">
        <f aca="false">_xlfn.TEXTJOIN("・",TRUE(),K44:P44)</f>
        <v/>
      </c>
      <c r="S44" s="20"/>
      <c r="T44" s="20"/>
      <c r="U44" s="24" t="str">
        <f aca="false">IF(C44="","",COUNTIF(変更・キャンセル!$B$26:$B$85,C44))</f>
        <v/>
      </c>
      <c r="V44" s="28" t="str">
        <f aca="false">IF(OR(C44="",U44=0),"",INDEX(変更・キャンセル!$AA$26:$AA$85,MATCH(C44&amp;"#"&amp;U44,変更・キャンセル!$Z$26:$Z$85,0)))</f>
        <v/>
      </c>
      <c r="W44" s="24" t="str">
        <f aca="false">IF(C44="","",IF(COUNTIFS(変更・キャンセル!$B$26:$B$85,C44,変更・キャンセル!$R$26:$R$85,"○")&gt;0,"○",""))</f>
        <v/>
      </c>
      <c r="X44" s="19" t="str">
        <f aca="false">IF(D44="","",$C$6)</f>
        <v/>
      </c>
      <c r="Y44" s="28" t="str">
        <f aca="false">IF(OR(C44="",J44=""),"",IF(J44&lt;1,X44+J44,J44))</f>
        <v/>
      </c>
    </row>
    <row r="45" customFormat="false" ht="15" hidden="false" customHeight="false" outlineLevel="0" collapsed="false">
      <c r="A45" s="24" t="str">
        <f aca="false">IF(D45="","","予定のみ")</f>
        <v/>
      </c>
      <c r="B45" s="24" t="str">
        <f aca="false">IF(D45="","","11/03 予定のみ#20 "&amp;IF(J45="","--:--",TEXT(J45,"hh:mm"))&amp;" "&amp;E45&amp;" "&amp;D45)</f>
        <v/>
      </c>
      <c r="C45" s="24" t="str">
        <f aca="false">IF(D45="","","2025-11-03予定のみ#20")</f>
        <v/>
      </c>
      <c r="D45" s="20"/>
      <c r="E45" s="20"/>
      <c r="F45" s="20"/>
      <c r="G45" s="24" t="str">
        <f aca="false">IF(D45="","","（実績なし）")</f>
        <v/>
      </c>
      <c r="H45" s="24" t="str">
        <f aca="false">IF(C45="","",COUNTIF(実績!$A$6:$A$505,C45))</f>
        <v/>
      </c>
      <c r="I45" s="26"/>
      <c r="J45" s="27"/>
      <c r="K45" s="25"/>
      <c r="L45" s="25"/>
      <c r="M45" s="25"/>
      <c r="N45" s="25"/>
      <c r="O45" s="25"/>
      <c r="P45" s="25"/>
      <c r="Q45" s="24" t="str">
        <f aca="false">IF(C45="","",COUNTA(K45:P45))</f>
        <v/>
      </c>
      <c r="R45" s="24" t="str">
        <f aca="false">_xlfn.TEXTJOIN("・",TRUE(),K45:P45)</f>
        <v/>
      </c>
      <c r="S45" s="20"/>
      <c r="T45" s="20"/>
      <c r="U45" s="24" t="str">
        <f aca="false">IF(C45="","",COUNTIF(変更・キャンセル!$B$26:$B$85,C45))</f>
        <v/>
      </c>
      <c r="V45" s="28" t="str">
        <f aca="false">IF(OR(C45="",U45=0),"",INDEX(変更・キャンセル!$AA$26:$AA$85,MATCH(C45&amp;"#"&amp;U45,変更・キャンセル!$Z$26:$Z$85,0)))</f>
        <v/>
      </c>
      <c r="W45" s="24" t="str">
        <f aca="false">IF(C45="","",IF(COUNTIFS(変更・キャンセル!$B$26:$B$85,C45,変更・キャンセル!$R$26:$R$85,"○")&gt;0,"○",""))</f>
        <v/>
      </c>
      <c r="X45" s="19" t="str">
        <f aca="false">IF(D45="","",$C$6)</f>
        <v/>
      </c>
      <c r="Y45" s="28" t="str">
        <f aca="false">IF(OR(C45="",J45=""),"",IF(J45&lt;1,X45+J45,J45))</f>
        <v/>
      </c>
    </row>
  </sheetData>
  <mergeCells count="12"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22:B22"/>
    <mergeCell ref="A23:B23"/>
  </mergeCells>
  <dataValidations count="6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10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B14:B21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前日の手配とは別に、実際に出勤・待機したかを選びます" showDropDown="false" showErrorMessage="false" showInputMessage="true" sqref="F14:F21" type="list">
      <formula1>選択_出勤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予定表の曳船名をマスターの船名から選びます" showDropDown="false" showErrorMessage="false" showInputMessage="true" sqref="K26:P4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45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26:E45" type="list">
      <formula1>"入,出,転,エスコート,当直,その他"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10" min="8" style="0" width="10"/>
    <col collapsed="false" customWidth="true" hidden="false" outlineLevel="0" max="11" min="11" style="0" width="14"/>
    <col collapsed="false" customWidth="true" hidden="false" outlineLevel="0" max="17" min="12" style="0" width="8"/>
    <col collapsed="false" customWidth="true" hidden="false" outlineLevel="0" max="18" min="18" style="0" width="6"/>
    <col collapsed="false" customWidth="true" hidden="false" outlineLevel="0" max="20" min="19" style="0" width="11"/>
    <col collapsed="false" customWidth="true" hidden="false" outlineLevel="0" max="21" min="21" style="0" width="14"/>
    <col collapsed="false" customWidth="true" hidden="false" outlineLevel="0" max="22" min="22" style="0" width="7"/>
    <col collapsed="false" customWidth="true" hidden="false" outlineLevel="0" max="23" min="23" style="0" width="14"/>
    <col collapsed="false" customWidth="true" hidden="false" outlineLevel="0" max="24" min="24" style="0" width="12"/>
    <col collapsed="false" customWidth="true" hidden="false" outlineLevel="0" max="25" min="25" style="0" width="8"/>
    <col collapsed="false" customWidth="true" hidden="true" outlineLevel="0" max="26" min="26" style="0" width="8"/>
    <col collapsed="false" customWidth="true" hidden="true" outlineLevel="0" max="27" min="27" style="0" width="10"/>
    <col collapsed="false" customWidth="true" hidden="true" outlineLevel="0" max="30" min="28" style="0" width="8"/>
  </cols>
  <sheetData>
    <row r="1" customFormat="false" ht="19.4" hidden="false" customHeight="false" outlineLevel="0" collapsed="false">
      <c r="A1" s="10" t="s">
        <v>149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150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151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17" t="s">
        <v>152</v>
      </c>
    </row>
    <row r="6" customFormat="false" ht="77.6" hidden="false" customHeight="false" outlineLevel="0" collapsed="false">
      <c r="A6" s="23" t="s">
        <v>153</v>
      </c>
      <c r="B6" s="23" t="s">
        <v>154</v>
      </c>
      <c r="C6" s="23" t="s">
        <v>155</v>
      </c>
      <c r="D6" s="14" t="s">
        <v>156</v>
      </c>
      <c r="E6" s="23" t="s">
        <v>112</v>
      </c>
      <c r="F6" s="23" t="s">
        <v>157</v>
      </c>
    </row>
    <row r="7" customFormat="false" ht="15" hidden="false" customHeight="false" outlineLevel="0" collapsed="false">
      <c r="A7" s="29" t="n">
        <v>45964</v>
      </c>
      <c r="B7" s="20" t="s">
        <v>158</v>
      </c>
      <c r="C7" s="25" t="s">
        <v>159</v>
      </c>
      <c r="D7" s="24" t="n">
        <f aca="false">IF(A7="","",IF(A7=集計!$C$5,集計!$C$14,"この試作では対象日のみ計算"))</f>
        <v>0</v>
      </c>
      <c r="E7" s="20"/>
      <c r="F7" s="20"/>
    </row>
    <row r="8" customFormat="false" ht="15" hidden="false" customHeight="false" outlineLevel="0" collapsed="false">
      <c r="A8" s="29"/>
      <c r="B8" s="20"/>
      <c r="C8" s="25"/>
      <c r="D8" s="24" t="str">
        <f aca="false">IF(A8="","",IF(A8=集計!$C$5,集計!$C$14,"この試作では対象日のみ計算"))</f>
        <v/>
      </c>
      <c r="E8" s="20"/>
      <c r="F8" s="20"/>
    </row>
    <row r="9" customFormat="false" ht="15" hidden="false" customHeight="false" outlineLevel="0" collapsed="false">
      <c r="A9" s="29"/>
      <c r="B9" s="20"/>
      <c r="C9" s="25"/>
      <c r="D9" s="24" t="str">
        <f aca="false">IF(A9="","",IF(A9=集計!$C$5,集計!$C$14,"この試作では対象日のみ計算"))</f>
        <v/>
      </c>
      <c r="E9" s="20"/>
      <c r="F9" s="20"/>
    </row>
    <row r="10" customFormat="false" ht="15" hidden="false" customHeight="false" outlineLevel="0" collapsed="false">
      <c r="A10" s="29"/>
      <c r="B10" s="20"/>
      <c r="C10" s="25"/>
      <c r="D10" s="24" t="str">
        <f aca="false">IF(A10="","",IF(A10=集計!$C$5,集計!$C$14,"この試作では対象日のみ計算"))</f>
        <v/>
      </c>
      <c r="E10" s="20"/>
      <c r="F10" s="20"/>
    </row>
    <row r="11" customFormat="false" ht="15" hidden="false" customHeight="false" outlineLevel="0" collapsed="false">
      <c r="A11" s="29"/>
      <c r="B11" s="20"/>
      <c r="C11" s="25"/>
      <c r="D11" s="24" t="str">
        <f aca="false">IF(A11="","",IF(A11=集計!$C$5,集計!$C$14,"この試作では対象日のみ計算"))</f>
        <v/>
      </c>
      <c r="E11" s="20"/>
      <c r="F11" s="20"/>
    </row>
    <row r="13" customFormat="false" ht="15" hidden="false" customHeight="false" outlineLevel="0" collapsed="false">
      <c r="A13" s="17" t="s">
        <v>160</v>
      </c>
    </row>
    <row r="14" customFormat="false" ht="77.6" hidden="false" customHeight="false" outlineLevel="0" collapsed="false">
      <c r="A14" s="23" t="s">
        <v>161</v>
      </c>
      <c r="B14" s="14" t="s">
        <v>76</v>
      </c>
      <c r="C14" s="23" t="s">
        <v>162</v>
      </c>
      <c r="D14" s="23" t="s">
        <v>163</v>
      </c>
      <c r="E14" s="23" t="s">
        <v>164</v>
      </c>
      <c r="F14" s="23" t="s">
        <v>112</v>
      </c>
      <c r="G14" s="23" t="s">
        <v>165</v>
      </c>
      <c r="H14" s="14" t="s">
        <v>166</v>
      </c>
      <c r="I14" s="14" t="s">
        <v>167</v>
      </c>
      <c r="J14" s="14" t="s">
        <v>168</v>
      </c>
    </row>
    <row r="15" customFormat="false" ht="15" hidden="false" customHeight="false" outlineLevel="0" collapsed="false">
      <c r="A15" s="25"/>
      <c r="B15" s="24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2"/>
      <c r="D15" s="25"/>
      <c r="E15" s="25"/>
      <c r="F15" s="20"/>
      <c r="G15" s="25"/>
      <c r="H15" s="24" t="str">
        <f aca="false">IF(A15="","",IF(COUNTIFS(A$15:A15,A15,C$15:C15,C15)&gt;1,"同一呼出（1回と数える）",""))</f>
        <v/>
      </c>
      <c r="I15" s="24" t="str">
        <f aca="false">IF(A15="","",IF(OR(B15="製鉄曳船",B15="西日本海運"),"","製鉄曳船・西日本海運以外の船です"))</f>
        <v/>
      </c>
      <c r="J15" s="24" t="str">
        <f aca="false">IF(A15="","",SUMPRODUCT((実績!$W$6:$W$505=IFERROR(INDEX(マスター!$K$6:$K$125,MATCH(A15,マスター!$N$6:$N$125,0)),A15))/COUNTIFS(実績!$A$6:$A$505,実績!$A$6:$A$505&amp;"",実績!$W$6:$W$505,実績!$W$6:$W$505&amp;"")))</f>
        <v/>
      </c>
    </row>
    <row r="16" customFormat="false" ht="15" hidden="false" customHeight="false" outlineLevel="0" collapsed="false">
      <c r="A16" s="25"/>
      <c r="B16" s="24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2"/>
      <c r="D16" s="25"/>
      <c r="E16" s="25"/>
      <c r="F16" s="20"/>
      <c r="G16" s="25"/>
      <c r="H16" s="24" t="str">
        <f aca="false">IF(A16="","",IF(COUNTIFS(A$15:A16,A16,C$15:C16,C16)&gt;1,"同一呼出（1回と数える）",""))</f>
        <v/>
      </c>
      <c r="I16" s="24" t="str">
        <f aca="false">IF(A16="","",IF(OR(B16="製鉄曳船",B16="西日本海運"),"","製鉄曳船・西日本海運以外の船です"))</f>
        <v/>
      </c>
      <c r="J16" s="24" t="str">
        <f aca="false">IF(A16="","",SUMPRODUCT((実績!$W$6:$W$505=IFERROR(INDEX(マスター!$K$6:$K$125,MATCH(A16,マスター!$N$6:$N$125,0)),A16))/COUNTIFS(実績!$A$6:$A$505,実績!$A$6:$A$505&amp;"",実績!$W$6:$W$505,実績!$W$6:$W$505&amp;"")))</f>
        <v/>
      </c>
    </row>
    <row r="17" customFormat="false" ht="15" hidden="false" customHeight="false" outlineLevel="0" collapsed="false">
      <c r="A17" s="25"/>
      <c r="B17" s="24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2"/>
      <c r="D17" s="25"/>
      <c r="E17" s="25"/>
      <c r="F17" s="20"/>
      <c r="G17" s="25"/>
      <c r="H17" s="24" t="str">
        <f aca="false">IF(A17="","",IF(COUNTIFS(A$15:A17,A17,C$15:C17,C17)&gt;1,"同一呼出（1回と数える）",""))</f>
        <v/>
      </c>
      <c r="I17" s="24" t="str">
        <f aca="false">IF(A17="","",IF(OR(B17="製鉄曳船",B17="西日本海運"),"","製鉄曳船・西日本海運以外の船です"))</f>
        <v/>
      </c>
      <c r="J17" s="24" t="str">
        <f aca="false">IF(A17="","",SUMPRODUCT((実績!$W$6:$W$505=IFERROR(INDEX(マスター!$K$6:$K$125,MATCH(A17,マスター!$N$6:$N$125,0)),A17))/COUNTIFS(実績!$A$6:$A$505,実績!$A$6:$A$505&amp;"",実績!$W$6:$W$505,実績!$W$6:$W$505&amp;"")))</f>
        <v/>
      </c>
    </row>
    <row r="18" customFormat="false" ht="15" hidden="false" customHeight="false" outlineLevel="0" collapsed="false">
      <c r="A18" s="25"/>
      <c r="B18" s="24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2"/>
      <c r="D18" s="25"/>
      <c r="E18" s="25"/>
      <c r="F18" s="20"/>
      <c r="G18" s="25"/>
      <c r="H18" s="24" t="str">
        <f aca="false">IF(A18="","",IF(COUNTIFS(A$15:A18,A18,C$15:C18,C18)&gt;1,"同一呼出（1回と数える）",""))</f>
        <v/>
      </c>
      <c r="I18" s="24" t="str">
        <f aca="false">IF(A18="","",IF(OR(B18="製鉄曳船",B18="西日本海運"),"","製鉄曳船・西日本海運以外の船です"))</f>
        <v/>
      </c>
      <c r="J18" s="24" t="str">
        <f aca="false">IF(A18="","",SUMPRODUCT((実績!$W$6:$W$505=IFERROR(INDEX(マスター!$K$6:$K$125,MATCH(A18,マスター!$N$6:$N$125,0)),A18))/COUNTIFS(実績!$A$6:$A$505,実績!$A$6:$A$505&amp;"",実績!$W$6:$W$505,実績!$W$6:$W$505&amp;"")))</f>
        <v/>
      </c>
    </row>
    <row r="19" customFormat="false" ht="15" hidden="false" customHeight="false" outlineLevel="0" collapsed="false">
      <c r="A19" s="25"/>
      <c r="B19" s="24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2"/>
      <c r="D19" s="25"/>
      <c r="E19" s="25"/>
      <c r="F19" s="20"/>
      <c r="G19" s="25"/>
      <c r="H19" s="24" t="str">
        <f aca="false">IF(A19="","",IF(COUNTIFS(A$15:A19,A19,C$15:C19,C19)&gt;1,"同一呼出（1回と数える）",""))</f>
        <v/>
      </c>
      <c r="I19" s="24" t="str">
        <f aca="false">IF(A19="","",IF(OR(B19="製鉄曳船",B19="西日本海運"),"","製鉄曳船・西日本海運以外の船です"))</f>
        <v/>
      </c>
      <c r="J19" s="24" t="str">
        <f aca="false">IF(A19="","",SUMPRODUCT((実績!$W$6:$W$505=IFERROR(INDEX(マスター!$K$6:$K$125,MATCH(A19,マスター!$N$6:$N$125,0)),A19))/COUNTIFS(実績!$A$6:$A$505,実績!$A$6:$A$505&amp;"",実績!$W$6:$W$505,実績!$W$6:$W$505&amp;"")))</f>
        <v/>
      </c>
    </row>
    <row r="20" customFormat="false" ht="15" hidden="false" customHeight="false" outlineLevel="0" collapsed="false">
      <c r="A20" s="25"/>
      <c r="B20" s="24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2"/>
      <c r="D20" s="25"/>
      <c r="E20" s="25"/>
      <c r="F20" s="20"/>
      <c r="G20" s="25"/>
      <c r="H20" s="24" t="str">
        <f aca="false">IF(A20="","",IF(COUNTIFS(A$15:A20,A20,C$15:C20,C20)&gt;1,"同一呼出（1回と数える）",""))</f>
        <v/>
      </c>
      <c r="I20" s="24" t="str">
        <f aca="false">IF(A20="","",IF(OR(B20="製鉄曳船",B20="西日本海運"),"","製鉄曳船・西日本海運以外の船です"))</f>
        <v/>
      </c>
      <c r="J20" s="24" t="str">
        <f aca="false">IF(A20="","",SUMPRODUCT((実績!$W$6:$W$505=IFERROR(INDEX(マスター!$K$6:$K$125,MATCH(A20,マスター!$N$6:$N$125,0)),A20))/COUNTIFS(実績!$A$6:$A$505,実績!$A$6:$A$505&amp;"",実績!$W$6:$W$505,実績!$W$6:$W$505&amp;"")))</f>
        <v/>
      </c>
    </row>
    <row r="21" customFormat="false" ht="15" hidden="false" customHeight="false" outlineLevel="0" collapsed="false">
      <c r="A21" s="25"/>
      <c r="B21" s="24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2"/>
      <c r="D21" s="25"/>
      <c r="E21" s="25"/>
      <c r="F21" s="20"/>
      <c r="G21" s="25"/>
      <c r="H21" s="24" t="str">
        <f aca="false">IF(A21="","",IF(COUNTIFS(A$15:A21,A21,C$15:C21,C21)&gt;1,"同一呼出（1回と数える）",""))</f>
        <v/>
      </c>
      <c r="I21" s="24" t="str">
        <f aca="false">IF(A21="","",IF(OR(B21="製鉄曳船",B21="西日本海運"),"","製鉄曳船・西日本海運以外の船です"))</f>
        <v/>
      </c>
      <c r="J21" s="24" t="str">
        <f aca="false">IF(A21="","",SUMPRODUCT((実績!$W$6:$W$505=IFERROR(INDEX(マスター!$K$6:$K$125,MATCH(A21,マスター!$N$6:$N$125,0)),A21))/COUNTIFS(実績!$A$6:$A$505,実績!$A$6:$A$505&amp;"",実績!$W$6:$W$505,実績!$W$6:$W$505&amp;"")))</f>
        <v/>
      </c>
    </row>
    <row r="22" customFormat="false" ht="15" hidden="false" customHeight="false" outlineLevel="0" collapsed="false">
      <c r="A22" s="25"/>
      <c r="B22" s="24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2"/>
      <c r="D22" s="25"/>
      <c r="E22" s="25"/>
      <c r="F22" s="20"/>
      <c r="G22" s="25"/>
      <c r="H22" s="24" t="str">
        <f aca="false">IF(A22="","",IF(COUNTIFS(A$15:A22,A22,C$15:C22,C22)&gt;1,"同一呼出（1回と数える）",""))</f>
        <v/>
      </c>
      <c r="I22" s="24" t="str">
        <f aca="false">IF(A22="","",IF(OR(B22="製鉄曳船",B22="西日本海運"),"","製鉄曳船・西日本海運以外の船です"))</f>
        <v/>
      </c>
      <c r="J22" s="24" t="str">
        <f aca="false">IF(A22="","",SUMPRODUCT((実績!$W$6:$W$505=IFERROR(INDEX(マスター!$K$6:$K$125,MATCH(A22,マスター!$N$6:$N$125,0)),A22))/COUNTIFS(実績!$A$6:$A$505,実績!$A$6:$A$505&amp;"",実績!$W$6:$W$505,実績!$W$6:$W$505&amp;"")))</f>
        <v/>
      </c>
    </row>
    <row r="24" customFormat="false" ht="15" hidden="false" customHeight="false" outlineLevel="0" collapsed="false">
      <c r="A24" s="17" t="s">
        <v>169</v>
      </c>
    </row>
    <row r="25" customFormat="false" ht="60" hidden="false" customHeight="true" outlineLevel="0" collapsed="false">
      <c r="A25" s="23" t="s">
        <v>170</v>
      </c>
      <c r="B25" s="14" t="s">
        <v>53</v>
      </c>
      <c r="C25" s="14" t="s">
        <v>59</v>
      </c>
      <c r="D25" s="14" t="s">
        <v>171</v>
      </c>
      <c r="E25" s="14" t="s">
        <v>142</v>
      </c>
      <c r="F25" s="14" t="s">
        <v>172</v>
      </c>
      <c r="G25" s="23" t="s">
        <v>173</v>
      </c>
      <c r="H25" s="23" t="s">
        <v>174</v>
      </c>
      <c r="I25" s="14" t="s">
        <v>175</v>
      </c>
      <c r="J25" s="23" t="s">
        <v>176</v>
      </c>
      <c r="K25" s="14" t="s">
        <v>177</v>
      </c>
      <c r="L25" s="23" t="s">
        <v>178</v>
      </c>
      <c r="M25" s="23" t="s">
        <v>179</v>
      </c>
      <c r="N25" s="23" t="s">
        <v>180</v>
      </c>
      <c r="O25" s="23" t="s">
        <v>181</v>
      </c>
      <c r="P25" s="23" t="s">
        <v>182</v>
      </c>
      <c r="Q25" s="23" t="s">
        <v>183</v>
      </c>
      <c r="R25" s="23" t="s">
        <v>184</v>
      </c>
      <c r="S25" s="23" t="s">
        <v>185</v>
      </c>
      <c r="T25" s="23" t="s">
        <v>186</v>
      </c>
      <c r="U25" s="23" t="s">
        <v>187</v>
      </c>
      <c r="V25" s="23" t="s">
        <v>188</v>
      </c>
      <c r="W25" s="23" t="s">
        <v>189</v>
      </c>
      <c r="X25" s="23" t="s">
        <v>112</v>
      </c>
      <c r="Y25" s="23" t="s">
        <v>157</v>
      </c>
      <c r="Z25" s="14" t="s">
        <v>190</v>
      </c>
      <c r="AA25" s="14" t="s">
        <v>191</v>
      </c>
      <c r="AB25" s="14" t="s">
        <v>192</v>
      </c>
      <c r="AC25" s="14" t="s">
        <v>193</v>
      </c>
      <c r="AD25" s="14" t="s">
        <v>56</v>
      </c>
    </row>
    <row r="26" customFormat="false" ht="15" hidden="false" customHeight="false" outlineLevel="0" collapsed="false">
      <c r="A26" s="25" t="s">
        <v>194</v>
      </c>
      <c r="B26" s="24" t="str">
        <f aca="false">IF(A26="","",IFERROR(INDEX(前日確定!$C$26:$C$45,MATCH(A26,前日確定!$B$26:$B$45,0)),"作業が見つかりません"))</f>
        <v>2025-11-03予定のみ#01</v>
      </c>
      <c r="C26" s="24" t="str">
        <f aca="false">IF(A26="","",IFERROR(INDEX(前日確定!$D$26:$D$45,MATCH(A26,前日確定!$B$26:$B$45,0)),""))</f>
        <v>試験船P</v>
      </c>
      <c r="D26" s="24" t="n">
        <f aca="false">IF(B26="","",COUNTIF(B$26:B26,B26))</f>
        <v>1</v>
      </c>
      <c r="E26" s="28" t="n">
        <f aca="false">IF(A26="","",IFERROR(IF(INDEX(前日確定!$Y$26:$Y$45,MATCH(A26,前日確定!$B$26:$B$45,0))="","",INDEX(前日確定!$Y$26:$Y$45,MATCH(A26,前日確定!$B$26:$B$45,0))),""))</f>
        <v>45964.3333333333</v>
      </c>
      <c r="F26" s="24" t="str">
        <f aca="false">IF(A26="","",IFERROR(INDEX(前日確定!$R$26:$R$45,MATCH(A26,前日確定!$B$26:$B$45,0)),""))</f>
        <v>T・S・Y・M</v>
      </c>
      <c r="G26" s="22" t="n">
        <v>45964.2083333333</v>
      </c>
      <c r="H26" s="20"/>
      <c r="I26" s="28" t="n">
        <f aca="false">IF(A26="","",E26)</f>
        <v>45964.3333333333</v>
      </c>
      <c r="J26" s="27"/>
      <c r="K26" s="24" t="str">
        <f aca="false">IF(A26="","",F26)</f>
        <v>T・S・Y・M</v>
      </c>
      <c r="L26" s="25"/>
      <c r="M26" s="25"/>
      <c r="N26" s="25"/>
      <c r="O26" s="25"/>
      <c r="P26" s="25"/>
      <c r="Q26" s="25"/>
      <c r="R26" s="25" t="s">
        <v>159</v>
      </c>
      <c r="S26" s="20" t="s">
        <v>195</v>
      </c>
      <c r="T26" s="20" t="s">
        <v>196</v>
      </c>
      <c r="U26" s="20"/>
      <c r="V26" s="25"/>
      <c r="W26" s="20"/>
      <c r="X26" s="20"/>
      <c r="Y26" s="20"/>
      <c r="Z26" s="24" t="str">
        <f aca="false">IF(B26="","",B26&amp;"#"&amp;D26)</f>
        <v>2025-11-03予定のみ#01#1</v>
      </c>
      <c r="AA26" s="28" t="n">
        <f aca="false">IF(A26="","",IF(J26="",I26,IF(J26&lt;1,AD26+J26,J26)))</f>
        <v>45964.3333333333</v>
      </c>
      <c r="AB26" s="24" t="str">
        <f aca="false">IF(A26="","",IF(COUNTA(L26:Q26)=0,K26,_xlfn.TEXTJOIN("・",TRUE(),L26:Q26)))</f>
        <v>T・S・Y・M</v>
      </c>
      <c r="AC26" s="24" t="str">
        <f aca="false">IF(B26="","",B26&amp;"#"&amp;(D26-1))</f>
        <v>2025-11-03予定のみ#01#0</v>
      </c>
      <c r="AD26" s="19" t="n">
        <f aca="false">IF(A26="","",IFERROR(INDEX(前日確定!$X$26:$X$45,MATCH(A26,前日確定!$B$26:$B$45,0)),""))</f>
        <v>45964</v>
      </c>
    </row>
    <row r="27" customFormat="false" ht="15" hidden="false" customHeight="false" outlineLevel="0" collapsed="false">
      <c r="A27" s="25" t="s">
        <v>197</v>
      </c>
      <c r="B27" s="24" t="str">
        <f aca="false">IF(A27="","",IFERROR(INDEX(前日確定!$C$26:$C$45,MATCH(A27,前日確定!$B$26:$B$45,0)),"作業が見つかりません"))</f>
        <v>2025-11-03予定のみ#02</v>
      </c>
      <c r="C27" s="24" t="str">
        <f aca="false">IF(A27="","",IFERROR(INDEX(前日確定!$D$26:$D$45,MATCH(A27,前日確定!$B$26:$B$45,0)),""))</f>
        <v>試験船Q</v>
      </c>
      <c r="D27" s="24" t="n">
        <f aca="false">IF(B27="","",COUNTIF(B$26:B27,B27))</f>
        <v>1</v>
      </c>
      <c r="E27" s="28" t="n">
        <f aca="false">IF(A27="","",IFERROR(IF(INDEX(前日確定!$Y$26:$Y$45,MATCH(A27,前日確定!$B$26:$B$45,0))="","",INDEX(前日確定!$Y$26:$Y$45,MATCH(A27,前日確定!$B$26:$B$45,0))),""))</f>
        <v>45964.5416666667</v>
      </c>
      <c r="F27" s="24" t="str">
        <f aca="false">IF(A27="","",IFERROR(INDEX(前日確定!$R$26:$R$45,MATCH(A27,前日確定!$B$26:$B$45,0)),""))</f>
        <v>T・S</v>
      </c>
      <c r="G27" s="22" t="n">
        <v>45964.2083333333</v>
      </c>
      <c r="H27" s="20"/>
      <c r="I27" s="28" t="n">
        <f aca="false">IF(A27="","",IF(D27=1,E27,IFERROR(INDEX($AA$26:$AA$26,MATCH(AC27,$Z$26:$Z$26,0)),"")))</f>
        <v>45964.5416666667</v>
      </c>
      <c r="J27" s="27"/>
      <c r="K27" s="24" t="str">
        <f aca="false">IF(A27="","",IF(D27=1,F27,IFERROR(INDEX($AB$26:$AB$26,MATCH(AC27,$Z$26:$Z$26,0)),"")))</f>
        <v>T・S</v>
      </c>
      <c r="L27" s="25"/>
      <c r="M27" s="25"/>
      <c r="N27" s="25"/>
      <c r="O27" s="25"/>
      <c r="P27" s="25"/>
      <c r="Q27" s="25"/>
      <c r="R27" s="25" t="s">
        <v>159</v>
      </c>
      <c r="S27" s="20" t="s">
        <v>195</v>
      </c>
      <c r="T27" s="20" t="s">
        <v>196</v>
      </c>
      <c r="U27" s="20"/>
      <c r="V27" s="25"/>
      <c r="W27" s="20"/>
      <c r="X27" s="20"/>
      <c r="Y27" s="20"/>
      <c r="Z27" s="24" t="str">
        <f aca="false">IF(B27="","",B27&amp;"#"&amp;D27)</f>
        <v>2025-11-03予定のみ#02#1</v>
      </c>
      <c r="AA27" s="28" t="n">
        <f aca="false">IF(A27="","",IF(J27="",I27,IF(J27&lt;1,AD27+J27,J27)))</f>
        <v>45964.5416666667</v>
      </c>
      <c r="AB27" s="24" t="str">
        <f aca="false">IF(A27="","",IF(COUNTA(L27:Q27)=0,K27,_xlfn.TEXTJOIN("・",TRUE(),L27:Q27)))</f>
        <v>T・S</v>
      </c>
      <c r="AC27" s="24" t="str">
        <f aca="false">IF(B27="","",B27&amp;"#"&amp;(D27-1))</f>
        <v>2025-11-03予定のみ#02#0</v>
      </c>
      <c r="AD27" s="19" t="n">
        <f aca="false">IF(A27="","",IFERROR(INDEX(前日確定!$X$26:$X$45,MATCH(A27,前日確定!$B$26:$B$45,0)),""))</f>
        <v>45964</v>
      </c>
    </row>
    <row r="28" customFormat="false" ht="15" hidden="false" customHeight="false" outlineLevel="0" collapsed="false">
      <c r="A28" s="25"/>
      <c r="B28" s="24" t="str">
        <f aca="false">IF(A28="","",IFERROR(INDEX(前日確定!$C$26:$C$45,MATCH(A28,前日確定!$B$26:$B$45,0)),"作業が見つかりません"))</f>
        <v/>
      </c>
      <c r="C28" s="24" t="str">
        <f aca="false">IF(A28="","",IFERROR(INDEX(前日確定!$D$26:$D$45,MATCH(A28,前日確定!$B$26:$B$45,0)),""))</f>
        <v/>
      </c>
      <c r="D28" s="24" t="str">
        <f aca="false">IF(B28="","",COUNTIF(B$26:B28,B28))</f>
        <v/>
      </c>
      <c r="E28" s="28" t="str">
        <f aca="false">IF(A28="","",IFERROR(IF(INDEX(前日確定!$Y$26:$Y$45,MATCH(A28,前日確定!$B$26:$B$45,0))="","",INDEX(前日確定!$Y$26:$Y$45,MATCH(A28,前日確定!$B$26:$B$45,0))),""))</f>
        <v/>
      </c>
      <c r="F28" s="24" t="str">
        <f aca="false">IF(A28="","",IFERROR(INDEX(前日確定!$R$26:$R$45,MATCH(A28,前日確定!$B$26:$B$45,0)),""))</f>
        <v/>
      </c>
      <c r="G28" s="22"/>
      <c r="H28" s="20"/>
      <c r="I28" s="28" t="str">
        <f aca="false">IF(A28="","",IF(D28=1,E28,IFERROR(INDEX($AA$26:$AA$27,MATCH(AC28,$Z$26:$Z$27,0)),"")))</f>
        <v/>
      </c>
      <c r="J28" s="27"/>
      <c r="K28" s="24" t="str">
        <f aca="false">IF(A28="","",IF(D28=1,F28,IFERROR(INDEX($AB$26:$AB$27,MATCH(AC28,$Z$26:$Z$27,0)),"")))</f>
        <v/>
      </c>
      <c r="L28" s="25"/>
      <c r="M28" s="25"/>
      <c r="N28" s="25"/>
      <c r="O28" s="25"/>
      <c r="P28" s="25"/>
      <c r="Q28" s="25"/>
      <c r="R28" s="25"/>
      <c r="S28" s="20"/>
      <c r="T28" s="20"/>
      <c r="U28" s="20"/>
      <c r="V28" s="25"/>
      <c r="W28" s="20"/>
      <c r="X28" s="20"/>
      <c r="Y28" s="20"/>
      <c r="Z28" s="24" t="str">
        <f aca="false">IF(B28="","",B28&amp;"#"&amp;D28)</f>
        <v/>
      </c>
      <c r="AA28" s="28" t="str">
        <f aca="false">IF(A28="","",IF(J28="",I28,IF(J28&lt;1,AD28+J28,J28)))</f>
        <v/>
      </c>
      <c r="AB28" s="24" t="str">
        <f aca="false">IF(A28="","",IF(COUNTA(L28:Q28)=0,K28,_xlfn.TEXTJOIN("・",TRUE(),L28:Q28)))</f>
        <v/>
      </c>
      <c r="AC28" s="24" t="str">
        <f aca="false">IF(B28="","",B28&amp;"#"&amp;(D28-1))</f>
        <v/>
      </c>
      <c r="AD28" s="19" t="str">
        <f aca="false">IF(A28="","",IFERROR(INDEX(前日確定!$X$26:$X$45,MATCH(A28,前日確定!$B$26:$B$45,0)),""))</f>
        <v/>
      </c>
    </row>
    <row r="29" customFormat="false" ht="15" hidden="false" customHeight="false" outlineLevel="0" collapsed="false">
      <c r="A29" s="25"/>
      <c r="B29" s="24" t="str">
        <f aca="false">IF(A29="","",IFERROR(INDEX(前日確定!$C$26:$C$45,MATCH(A29,前日確定!$B$26:$B$45,0)),"作業が見つかりません"))</f>
        <v/>
      </c>
      <c r="C29" s="24" t="str">
        <f aca="false">IF(A29="","",IFERROR(INDEX(前日確定!$D$26:$D$45,MATCH(A29,前日確定!$B$26:$B$45,0)),""))</f>
        <v/>
      </c>
      <c r="D29" s="24" t="str">
        <f aca="false">IF(B29="","",COUNTIF(B$26:B29,B29))</f>
        <v/>
      </c>
      <c r="E29" s="28" t="str">
        <f aca="false">IF(A29="","",IFERROR(IF(INDEX(前日確定!$Y$26:$Y$45,MATCH(A29,前日確定!$B$26:$B$45,0))="","",INDEX(前日確定!$Y$26:$Y$45,MATCH(A29,前日確定!$B$26:$B$45,0))),""))</f>
        <v/>
      </c>
      <c r="F29" s="24" t="str">
        <f aca="false">IF(A29="","",IFERROR(INDEX(前日確定!$R$26:$R$45,MATCH(A29,前日確定!$B$26:$B$45,0)),""))</f>
        <v/>
      </c>
      <c r="G29" s="22"/>
      <c r="H29" s="20"/>
      <c r="I29" s="28" t="str">
        <f aca="false">IF(A29="","",IF(D29=1,E29,IFERROR(INDEX($AA$26:$AA$28,MATCH(AC29,$Z$26:$Z$28,0)),"")))</f>
        <v/>
      </c>
      <c r="J29" s="27"/>
      <c r="K29" s="24" t="str">
        <f aca="false">IF(A29="","",IF(D29=1,F29,IFERROR(INDEX($AB$26:$AB$28,MATCH(AC29,$Z$26:$Z$28,0)),"")))</f>
        <v/>
      </c>
      <c r="L29" s="25"/>
      <c r="M29" s="25"/>
      <c r="N29" s="25"/>
      <c r="O29" s="25"/>
      <c r="P29" s="25"/>
      <c r="Q29" s="25"/>
      <c r="R29" s="25"/>
      <c r="S29" s="20"/>
      <c r="T29" s="20"/>
      <c r="U29" s="20"/>
      <c r="V29" s="25"/>
      <c r="W29" s="20"/>
      <c r="X29" s="20"/>
      <c r="Y29" s="20"/>
      <c r="Z29" s="24" t="str">
        <f aca="false">IF(B29="","",B29&amp;"#"&amp;D29)</f>
        <v/>
      </c>
      <c r="AA29" s="28" t="str">
        <f aca="false">IF(A29="","",IF(J29="",I29,IF(J29&lt;1,AD29+J29,J29)))</f>
        <v/>
      </c>
      <c r="AB29" s="24" t="str">
        <f aca="false">IF(A29="","",IF(COUNTA(L29:Q29)=0,K29,_xlfn.TEXTJOIN("・",TRUE(),L29:Q29)))</f>
        <v/>
      </c>
      <c r="AC29" s="24" t="str">
        <f aca="false">IF(B29="","",B29&amp;"#"&amp;(D29-1))</f>
        <v/>
      </c>
      <c r="AD29" s="19" t="str">
        <f aca="false">IF(A29="","",IFERROR(INDEX(前日確定!$X$26:$X$45,MATCH(A29,前日確定!$B$26:$B$45,0)),""))</f>
        <v/>
      </c>
    </row>
    <row r="30" customFormat="false" ht="15" hidden="false" customHeight="false" outlineLevel="0" collapsed="false">
      <c r="A30" s="25"/>
      <c r="B30" s="24" t="str">
        <f aca="false">IF(A30="","",IFERROR(INDEX(前日確定!$C$26:$C$45,MATCH(A30,前日確定!$B$26:$B$45,0)),"作業が見つかりません"))</f>
        <v/>
      </c>
      <c r="C30" s="24" t="str">
        <f aca="false">IF(A30="","",IFERROR(INDEX(前日確定!$D$26:$D$45,MATCH(A30,前日確定!$B$26:$B$45,0)),""))</f>
        <v/>
      </c>
      <c r="D30" s="24" t="str">
        <f aca="false">IF(B30="","",COUNTIF(B$26:B30,B30))</f>
        <v/>
      </c>
      <c r="E30" s="28" t="str">
        <f aca="false">IF(A30="","",IFERROR(IF(INDEX(前日確定!$Y$26:$Y$45,MATCH(A30,前日確定!$B$26:$B$45,0))="","",INDEX(前日確定!$Y$26:$Y$45,MATCH(A30,前日確定!$B$26:$B$45,0))),""))</f>
        <v/>
      </c>
      <c r="F30" s="24" t="str">
        <f aca="false">IF(A30="","",IFERROR(INDEX(前日確定!$R$26:$R$45,MATCH(A30,前日確定!$B$26:$B$45,0)),""))</f>
        <v/>
      </c>
      <c r="G30" s="22"/>
      <c r="H30" s="20"/>
      <c r="I30" s="28" t="str">
        <f aca="false">IF(A30="","",IF(D30=1,E30,IFERROR(INDEX($AA$26:$AA$29,MATCH(AC30,$Z$26:$Z$29,0)),"")))</f>
        <v/>
      </c>
      <c r="J30" s="27"/>
      <c r="K30" s="24" t="str">
        <f aca="false">IF(A30="","",IF(D30=1,F30,IFERROR(INDEX($AB$26:$AB$29,MATCH(AC30,$Z$26:$Z$29,0)),"")))</f>
        <v/>
      </c>
      <c r="L30" s="25"/>
      <c r="M30" s="25"/>
      <c r="N30" s="25"/>
      <c r="O30" s="25"/>
      <c r="P30" s="25"/>
      <c r="Q30" s="25"/>
      <c r="R30" s="25"/>
      <c r="S30" s="20"/>
      <c r="T30" s="20"/>
      <c r="U30" s="20"/>
      <c r="V30" s="25"/>
      <c r="W30" s="20"/>
      <c r="X30" s="20"/>
      <c r="Y30" s="20"/>
      <c r="Z30" s="24" t="str">
        <f aca="false">IF(B30="","",B30&amp;"#"&amp;D30)</f>
        <v/>
      </c>
      <c r="AA30" s="28" t="str">
        <f aca="false">IF(A30="","",IF(J30="",I30,IF(J30&lt;1,AD30+J30,J30)))</f>
        <v/>
      </c>
      <c r="AB30" s="24" t="str">
        <f aca="false">IF(A30="","",IF(COUNTA(L30:Q30)=0,K30,_xlfn.TEXTJOIN("・",TRUE(),L30:Q30)))</f>
        <v/>
      </c>
      <c r="AC30" s="24" t="str">
        <f aca="false">IF(B30="","",B30&amp;"#"&amp;(D30-1))</f>
        <v/>
      </c>
      <c r="AD30" s="19" t="str">
        <f aca="false">IF(A30="","",IFERROR(INDEX(前日確定!$X$26:$X$45,MATCH(A30,前日確定!$B$26:$B$45,0)),""))</f>
        <v/>
      </c>
    </row>
    <row r="31" customFormat="false" ht="15" hidden="false" customHeight="false" outlineLevel="0" collapsed="false">
      <c r="A31" s="25"/>
      <c r="B31" s="24" t="str">
        <f aca="false">IF(A31="","",IFERROR(INDEX(前日確定!$C$26:$C$45,MATCH(A31,前日確定!$B$26:$B$45,0)),"作業が見つかりません"))</f>
        <v/>
      </c>
      <c r="C31" s="24" t="str">
        <f aca="false">IF(A31="","",IFERROR(INDEX(前日確定!$D$26:$D$45,MATCH(A31,前日確定!$B$26:$B$45,0)),""))</f>
        <v/>
      </c>
      <c r="D31" s="24" t="str">
        <f aca="false">IF(B31="","",COUNTIF(B$26:B31,B31))</f>
        <v/>
      </c>
      <c r="E31" s="28" t="str">
        <f aca="false">IF(A31="","",IFERROR(IF(INDEX(前日確定!$Y$26:$Y$45,MATCH(A31,前日確定!$B$26:$B$45,0))="","",INDEX(前日確定!$Y$26:$Y$45,MATCH(A31,前日確定!$B$26:$B$45,0))),""))</f>
        <v/>
      </c>
      <c r="F31" s="24" t="str">
        <f aca="false">IF(A31="","",IFERROR(INDEX(前日確定!$R$26:$R$45,MATCH(A31,前日確定!$B$26:$B$45,0)),""))</f>
        <v/>
      </c>
      <c r="G31" s="22"/>
      <c r="H31" s="20"/>
      <c r="I31" s="28" t="str">
        <f aca="false">IF(A31="","",IF(D31=1,E31,IFERROR(INDEX($AA$26:$AA$30,MATCH(AC31,$Z$26:$Z$30,0)),"")))</f>
        <v/>
      </c>
      <c r="J31" s="27"/>
      <c r="K31" s="24" t="str">
        <f aca="false">IF(A31="","",IF(D31=1,F31,IFERROR(INDEX($AB$26:$AB$30,MATCH(AC31,$Z$26:$Z$30,0)),"")))</f>
        <v/>
      </c>
      <c r="L31" s="25"/>
      <c r="M31" s="25"/>
      <c r="N31" s="25"/>
      <c r="O31" s="25"/>
      <c r="P31" s="25"/>
      <c r="Q31" s="25"/>
      <c r="R31" s="25"/>
      <c r="S31" s="20"/>
      <c r="T31" s="20"/>
      <c r="U31" s="20"/>
      <c r="V31" s="25"/>
      <c r="W31" s="20"/>
      <c r="X31" s="20"/>
      <c r="Y31" s="20"/>
      <c r="Z31" s="24" t="str">
        <f aca="false">IF(B31="","",B31&amp;"#"&amp;D31)</f>
        <v/>
      </c>
      <c r="AA31" s="28" t="str">
        <f aca="false">IF(A31="","",IF(J31="",I31,IF(J31&lt;1,AD31+J31,J31)))</f>
        <v/>
      </c>
      <c r="AB31" s="24" t="str">
        <f aca="false">IF(A31="","",IF(COUNTA(L31:Q31)=0,K31,_xlfn.TEXTJOIN("・",TRUE(),L31:Q31)))</f>
        <v/>
      </c>
      <c r="AC31" s="24" t="str">
        <f aca="false">IF(B31="","",B31&amp;"#"&amp;(D31-1))</f>
        <v/>
      </c>
      <c r="AD31" s="19" t="str">
        <f aca="false">IF(A31="","",IFERROR(INDEX(前日確定!$X$26:$X$45,MATCH(A31,前日確定!$B$26:$B$45,0)),""))</f>
        <v/>
      </c>
    </row>
    <row r="32" customFormat="false" ht="15" hidden="false" customHeight="false" outlineLevel="0" collapsed="false">
      <c r="A32" s="25"/>
      <c r="B32" s="24" t="str">
        <f aca="false">IF(A32="","",IFERROR(INDEX(前日確定!$C$26:$C$45,MATCH(A32,前日確定!$B$26:$B$45,0)),"作業が見つかりません"))</f>
        <v/>
      </c>
      <c r="C32" s="24" t="str">
        <f aca="false">IF(A32="","",IFERROR(INDEX(前日確定!$D$26:$D$45,MATCH(A32,前日確定!$B$26:$B$45,0)),""))</f>
        <v/>
      </c>
      <c r="D32" s="24" t="str">
        <f aca="false">IF(B32="","",COUNTIF(B$26:B32,B32))</f>
        <v/>
      </c>
      <c r="E32" s="28" t="str">
        <f aca="false">IF(A32="","",IFERROR(IF(INDEX(前日確定!$Y$26:$Y$45,MATCH(A32,前日確定!$B$26:$B$45,0))="","",INDEX(前日確定!$Y$26:$Y$45,MATCH(A32,前日確定!$B$26:$B$45,0))),""))</f>
        <v/>
      </c>
      <c r="F32" s="24" t="str">
        <f aca="false">IF(A32="","",IFERROR(INDEX(前日確定!$R$26:$R$45,MATCH(A32,前日確定!$B$26:$B$45,0)),""))</f>
        <v/>
      </c>
      <c r="G32" s="22"/>
      <c r="H32" s="20"/>
      <c r="I32" s="28" t="str">
        <f aca="false">IF(A32="","",IF(D32=1,E32,IFERROR(INDEX($AA$26:$AA$31,MATCH(AC32,$Z$26:$Z$31,0)),"")))</f>
        <v/>
      </c>
      <c r="J32" s="27"/>
      <c r="K32" s="24" t="str">
        <f aca="false">IF(A32="","",IF(D32=1,F32,IFERROR(INDEX($AB$26:$AB$31,MATCH(AC32,$Z$26:$Z$31,0)),"")))</f>
        <v/>
      </c>
      <c r="L32" s="25"/>
      <c r="M32" s="25"/>
      <c r="N32" s="25"/>
      <c r="O32" s="25"/>
      <c r="P32" s="25"/>
      <c r="Q32" s="25"/>
      <c r="R32" s="25"/>
      <c r="S32" s="20"/>
      <c r="T32" s="20"/>
      <c r="U32" s="20"/>
      <c r="V32" s="25"/>
      <c r="W32" s="20"/>
      <c r="X32" s="20"/>
      <c r="Y32" s="20"/>
      <c r="Z32" s="24" t="str">
        <f aca="false">IF(B32="","",B32&amp;"#"&amp;D32)</f>
        <v/>
      </c>
      <c r="AA32" s="28" t="str">
        <f aca="false">IF(A32="","",IF(J32="",I32,IF(J32&lt;1,AD32+J32,J32)))</f>
        <v/>
      </c>
      <c r="AB32" s="24" t="str">
        <f aca="false">IF(A32="","",IF(COUNTA(L32:Q32)=0,K32,_xlfn.TEXTJOIN("・",TRUE(),L32:Q32)))</f>
        <v/>
      </c>
      <c r="AC32" s="24" t="str">
        <f aca="false">IF(B32="","",B32&amp;"#"&amp;(D32-1))</f>
        <v/>
      </c>
      <c r="AD32" s="19" t="str">
        <f aca="false">IF(A32="","",IFERROR(INDEX(前日確定!$X$26:$X$45,MATCH(A32,前日確定!$B$26:$B$45,0)),""))</f>
        <v/>
      </c>
    </row>
    <row r="33" customFormat="false" ht="15" hidden="false" customHeight="false" outlineLevel="0" collapsed="false">
      <c r="A33" s="25"/>
      <c r="B33" s="24" t="str">
        <f aca="false">IF(A33="","",IFERROR(INDEX(前日確定!$C$26:$C$45,MATCH(A33,前日確定!$B$26:$B$45,0)),"作業が見つかりません"))</f>
        <v/>
      </c>
      <c r="C33" s="24" t="str">
        <f aca="false">IF(A33="","",IFERROR(INDEX(前日確定!$D$26:$D$45,MATCH(A33,前日確定!$B$26:$B$45,0)),""))</f>
        <v/>
      </c>
      <c r="D33" s="24" t="str">
        <f aca="false">IF(B33="","",COUNTIF(B$26:B33,B33))</f>
        <v/>
      </c>
      <c r="E33" s="28" t="str">
        <f aca="false">IF(A33="","",IFERROR(IF(INDEX(前日確定!$Y$26:$Y$45,MATCH(A33,前日確定!$B$26:$B$45,0))="","",INDEX(前日確定!$Y$26:$Y$45,MATCH(A33,前日確定!$B$26:$B$45,0))),""))</f>
        <v/>
      </c>
      <c r="F33" s="24" t="str">
        <f aca="false">IF(A33="","",IFERROR(INDEX(前日確定!$R$26:$R$45,MATCH(A33,前日確定!$B$26:$B$45,0)),""))</f>
        <v/>
      </c>
      <c r="G33" s="22"/>
      <c r="H33" s="20"/>
      <c r="I33" s="28" t="str">
        <f aca="false">IF(A33="","",IF(D33=1,E33,IFERROR(INDEX($AA$26:$AA$32,MATCH(AC33,$Z$26:$Z$32,0)),"")))</f>
        <v/>
      </c>
      <c r="J33" s="27"/>
      <c r="K33" s="24" t="str">
        <f aca="false">IF(A33="","",IF(D33=1,F33,IFERROR(INDEX($AB$26:$AB$32,MATCH(AC33,$Z$26:$Z$32,0)),"")))</f>
        <v/>
      </c>
      <c r="L33" s="25"/>
      <c r="M33" s="25"/>
      <c r="N33" s="25"/>
      <c r="O33" s="25"/>
      <c r="P33" s="25"/>
      <c r="Q33" s="25"/>
      <c r="R33" s="25"/>
      <c r="S33" s="20"/>
      <c r="T33" s="20"/>
      <c r="U33" s="20"/>
      <c r="V33" s="25"/>
      <c r="W33" s="20"/>
      <c r="X33" s="20"/>
      <c r="Y33" s="20"/>
      <c r="Z33" s="24" t="str">
        <f aca="false">IF(B33="","",B33&amp;"#"&amp;D33)</f>
        <v/>
      </c>
      <c r="AA33" s="28" t="str">
        <f aca="false">IF(A33="","",IF(J33="",I33,IF(J33&lt;1,AD33+J33,J33)))</f>
        <v/>
      </c>
      <c r="AB33" s="24" t="str">
        <f aca="false">IF(A33="","",IF(COUNTA(L33:Q33)=0,K33,_xlfn.TEXTJOIN("・",TRUE(),L33:Q33)))</f>
        <v/>
      </c>
      <c r="AC33" s="24" t="str">
        <f aca="false">IF(B33="","",B33&amp;"#"&amp;(D33-1))</f>
        <v/>
      </c>
      <c r="AD33" s="19" t="str">
        <f aca="false">IF(A33="","",IFERROR(INDEX(前日確定!$X$26:$X$45,MATCH(A33,前日確定!$B$26:$B$45,0)),""))</f>
        <v/>
      </c>
    </row>
    <row r="34" customFormat="false" ht="15" hidden="false" customHeight="false" outlineLevel="0" collapsed="false">
      <c r="A34" s="25"/>
      <c r="B34" s="24" t="str">
        <f aca="false">IF(A34="","",IFERROR(INDEX(前日確定!$C$26:$C$45,MATCH(A34,前日確定!$B$26:$B$45,0)),"作業が見つかりません"))</f>
        <v/>
      </c>
      <c r="C34" s="24" t="str">
        <f aca="false">IF(A34="","",IFERROR(INDEX(前日確定!$D$26:$D$45,MATCH(A34,前日確定!$B$26:$B$45,0)),""))</f>
        <v/>
      </c>
      <c r="D34" s="24" t="str">
        <f aca="false">IF(B34="","",COUNTIF(B$26:B34,B34))</f>
        <v/>
      </c>
      <c r="E34" s="28" t="str">
        <f aca="false">IF(A34="","",IFERROR(IF(INDEX(前日確定!$Y$26:$Y$45,MATCH(A34,前日確定!$B$26:$B$45,0))="","",INDEX(前日確定!$Y$26:$Y$45,MATCH(A34,前日確定!$B$26:$B$45,0))),""))</f>
        <v/>
      </c>
      <c r="F34" s="24" t="str">
        <f aca="false">IF(A34="","",IFERROR(INDEX(前日確定!$R$26:$R$45,MATCH(A34,前日確定!$B$26:$B$45,0)),""))</f>
        <v/>
      </c>
      <c r="G34" s="22"/>
      <c r="H34" s="20"/>
      <c r="I34" s="28" t="str">
        <f aca="false">IF(A34="","",IF(D34=1,E34,IFERROR(INDEX($AA$26:$AA$33,MATCH(AC34,$Z$26:$Z$33,0)),"")))</f>
        <v/>
      </c>
      <c r="J34" s="27"/>
      <c r="K34" s="24" t="str">
        <f aca="false">IF(A34="","",IF(D34=1,F34,IFERROR(INDEX($AB$26:$AB$33,MATCH(AC34,$Z$26:$Z$33,0)),"")))</f>
        <v/>
      </c>
      <c r="L34" s="25"/>
      <c r="M34" s="25"/>
      <c r="N34" s="25"/>
      <c r="O34" s="25"/>
      <c r="P34" s="25"/>
      <c r="Q34" s="25"/>
      <c r="R34" s="25"/>
      <c r="S34" s="20"/>
      <c r="T34" s="20"/>
      <c r="U34" s="20"/>
      <c r="V34" s="25"/>
      <c r="W34" s="20"/>
      <c r="X34" s="20"/>
      <c r="Y34" s="20"/>
      <c r="Z34" s="24" t="str">
        <f aca="false">IF(B34="","",B34&amp;"#"&amp;D34)</f>
        <v/>
      </c>
      <c r="AA34" s="28" t="str">
        <f aca="false">IF(A34="","",IF(J34="",I34,IF(J34&lt;1,AD34+J34,J34)))</f>
        <v/>
      </c>
      <c r="AB34" s="24" t="str">
        <f aca="false">IF(A34="","",IF(COUNTA(L34:Q34)=0,K34,_xlfn.TEXTJOIN("・",TRUE(),L34:Q34)))</f>
        <v/>
      </c>
      <c r="AC34" s="24" t="str">
        <f aca="false">IF(B34="","",B34&amp;"#"&amp;(D34-1))</f>
        <v/>
      </c>
      <c r="AD34" s="19" t="str">
        <f aca="false">IF(A34="","",IFERROR(INDEX(前日確定!$X$26:$X$45,MATCH(A34,前日確定!$B$26:$B$45,0)),""))</f>
        <v/>
      </c>
    </row>
    <row r="35" customFormat="false" ht="15" hidden="false" customHeight="false" outlineLevel="0" collapsed="false">
      <c r="A35" s="25"/>
      <c r="B35" s="24" t="str">
        <f aca="false">IF(A35="","",IFERROR(INDEX(前日確定!$C$26:$C$45,MATCH(A35,前日確定!$B$26:$B$45,0)),"作業が見つかりません"))</f>
        <v/>
      </c>
      <c r="C35" s="24" t="str">
        <f aca="false">IF(A35="","",IFERROR(INDEX(前日確定!$D$26:$D$45,MATCH(A35,前日確定!$B$26:$B$45,0)),""))</f>
        <v/>
      </c>
      <c r="D35" s="24" t="str">
        <f aca="false">IF(B35="","",COUNTIF(B$26:B35,B35))</f>
        <v/>
      </c>
      <c r="E35" s="28" t="str">
        <f aca="false">IF(A35="","",IFERROR(IF(INDEX(前日確定!$Y$26:$Y$45,MATCH(A35,前日確定!$B$26:$B$45,0))="","",INDEX(前日確定!$Y$26:$Y$45,MATCH(A35,前日確定!$B$26:$B$45,0))),""))</f>
        <v/>
      </c>
      <c r="F35" s="24" t="str">
        <f aca="false">IF(A35="","",IFERROR(INDEX(前日確定!$R$26:$R$45,MATCH(A35,前日確定!$B$26:$B$45,0)),""))</f>
        <v/>
      </c>
      <c r="G35" s="22"/>
      <c r="H35" s="20"/>
      <c r="I35" s="28" t="str">
        <f aca="false">IF(A35="","",IF(D35=1,E35,IFERROR(INDEX($AA$26:$AA$34,MATCH(AC35,$Z$26:$Z$34,0)),"")))</f>
        <v/>
      </c>
      <c r="J35" s="27"/>
      <c r="K35" s="24" t="str">
        <f aca="false">IF(A35="","",IF(D35=1,F35,IFERROR(INDEX($AB$26:$AB$34,MATCH(AC35,$Z$26:$Z$34,0)),"")))</f>
        <v/>
      </c>
      <c r="L35" s="25"/>
      <c r="M35" s="25"/>
      <c r="N35" s="25"/>
      <c r="O35" s="25"/>
      <c r="P35" s="25"/>
      <c r="Q35" s="25"/>
      <c r="R35" s="25"/>
      <c r="S35" s="20"/>
      <c r="T35" s="20"/>
      <c r="U35" s="20"/>
      <c r="V35" s="25"/>
      <c r="W35" s="20"/>
      <c r="X35" s="20"/>
      <c r="Y35" s="20"/>
      <c r="Z35" s="24" t="str">
        <f aca="false">IF(B35="","",B35&amp;"#"&amp;D35)</f>
        <v/>
      </c>
      <c r="AA35" s="28" t="str">
        <f aca="false">IF(A35="","",IF(J35="",I35,IF(J35&lt;1,AD35+J35,J35)))</f>
        <v/>
      </c>
      <c r="AB35" s="24" t="str">
        <f aca="false">IF(A35="","",IF(COUNTA(L35:Q35)=0,K35,_xlfn.TEXTJOIN("・",TRUE(),L35:Q35)))</f>
        <v/>
      </c>
      <c r="AC35" s="24" t="str">
        <f aca="false">IF(B35="","",B35&amp;"#"&amp;(D35-1))</f>
        <v/>
      </c>
      <c r="AD35" s="19" t="str">
        <f aca="false">IF(A35="","",IFERROR(INDEX(前日確定!$X$26:$X$45,MATCH(A35,前日確定!$B$26:$B$45,0)),""))</f>
        <v/>
      </c>
    </row>
    <row r="36" customFormat="false" ht="15" hidden="false" customHeight="false" outlineLevel="0" collapsed="false">
      <c r="A36" s="25"/>
      <c r="B36" s="24" t="str">
        <f aca="false">IF(A36="","",IFERROR(INDEX(前日確定!$C$26:$C$45,MATCH(A36,前日確定!$B$26:$B$45,0)),"作業が見つかりません"))</f>
        <v/>
      </c>
      <c r="C36" s="24" t="str">
        <f aca="false">IF(A36="","",IFERROR(INDEX(前日確定!$D$26:$D$45,MATCH(A36,前日確定!$B$26:$B$45,0)),""))</f>
        <v/>
      </c>
      <c r="D36" s="24" t="str">
        <f aca="false">IF(B36="","",COUNTIF(B$26:B36,B36))</f>
        <v/>
      </c>
      <c r="E36" s="28" t="str">
        <f aca="false">IF(A36="","",IFERROR(IF(INDEX(前日確定!$Y$26:$Y$45,MATCH(A36,前日確定!$B$26:$B$45,0))="","",INDEX(前日確定!$Y$26:$Y$45,MATCH(A36,前日確定!$B$26:$B$45,0))),""))</f>
        <v/>
      </c>
      <c r="F36" s="24" t="str">
        <f aca="false">IF(A36="","",IFERROR(INDEX(前日確定!$R$26:$R$45,MATCH(A36,前日確定!$B$26:$B$45,0)),""))</f>
        <v/>
      </c>
      <c r="G36" s="22"/>
      <c r="H36" s="20"/>
      <c r="I36" s="28" t="str">
        <f aca="false">IF(A36="","",IF(D36=1,E36,IFERROR(INDEX($AA$26:$AA$35,MATCH(AC36,$Z$26:$Z$35,0)),"")))</f>
        <v/>
      </c>
      <c r="J36" s="27"/>
      <c r="K36" s="24" t="str">
        <f aca="false">IF(A36="","",IF(D36=1,F36,IFERROR(INDEX($AB$26:$AB$35,MATCH(AC36,$Z$26:$Z$35,0)),"")))</f>
        <v/>
      </c>
      <c r="L36" s="25"/>
      <c r="M36" s="25"/>
      <c r="N36" s="25"/>
      <c r="O36" s="25"/>
      <c r="P36" s="25"/>
      <c r="Q36" s="25"/>
      <c r="R36" s="25"/>
      <c r="S36" s="20"/>
      <c r="T36" s="20"/>
      <c r="U36" s="20"/>
      <c r="V36" s="25"/>
      <c r="W36" s="20"/>
      <c r="X36" s="20"/>
      <c r="Y36" s="20"/>
      <c r="Z36" s="24" t="str">
        <f aca="false">IF(B36="","",B36&amp;"#"&amp;D36)</f>
        <v/>
      </c>
      <c r="AA36" s="28" t="str">
        <f aca="false">IF(A36="","",IF(J36="",I36,IF(J36&lt;1,AD36+J36,J36)))</f>
        <v/>
      </c>
      <c r="AB36" s="24" t="str">
        <f aca="false">IF(A36="","",IF(COUNTA(L36:Q36)=0,K36,_xlfn.TEXTJOIN("・",TRUE(),L36:Q36)))</f>
        <v/>
      </c>
      <c r="AC36" s="24" t="str">
        <f aca="false">IF(B36="","",B36&amp;"#"&amp;(D36-1))</f>
        <v/>
      </c>
      <c r="AD36" s="19" t="str">
        <f aca="false">IF(A36="","",IFERROR(INDEX(前日確定!$X$26:$X$45,MATCH(A36,前日確定!$B$26:$B$45,0)),""))</f>
        <v/>
      </c>
    </row>
    <row r="37" customFormat="false" ht="15" hidden="false" customHeight="false" outlineLevel="0" collapsed="false">
      <c r="A37" s="25"/>
      <c r="B37" s="24" t="str">
        <f aca="false">IF(A37="","",IFERROR(INDEX(前日確定!$C$26:$C$45,MATCH(A37,前日確定!$B$26:$B$45,0)),"作業が見つかりません"))</f>
        <v/>
      </c>
      <c r="C37" s="24" t="str">
        <f aca="false">IF(A37="","",IFERROR(INDEX(前日確定!$D$26:$D$45,MATCH(A37,前日確定!$B$26:$B$45,0)),""))</f>
        <v/>
      </c>
      <c r="D37" s="24" t="str">
        <f aca="false">IF(B37="","",COUNTIF(B$26:B37,B37))</f>
        <v/>
      </c>
      <c r="E37" s="28" t="str">
        <f aca="false">IF(A37="","",IFERROR(IF(INDEX(前日確定!$Y$26:$Y$45,MATCH(A37,前日確定!$B$26:$B$45,0))="","",INDEX(前日確定!$Y$26:$Y$45,MATCH(A37,前日確定!$B$26:$B$45,0))),""))</f>
        <v/>
      </c>
      <c r="F37" s="24" t="str">
        <f aca="false">IF(A37="","",IFERROR(INDEX(前日確定!$R$26:$R$45,MATCH(A37,前日確定!$B$26:$B$45,0)),""))</f>
        <v/>
      </c>
      <c r="G37" s="22"/>
      <c r="H37" s="20"/>
      <c r="I37" s="28" t="str">
        <f aca="false">IF(A37="","",IF(D37=1,E37,IFERROR(INDEX($AA$26:$AA$36,MATCH(AC37,$Z$26:$Z$36,0)),"")))</f>
        <v/>
      </c>
      <c r="J37" s="27"/>
      <c r="K37" s="24" t="str">
        <f aca="false">IF(A37="","",IF(D37=1,F37,IFERROR(INDEX($AB$26:$AB$36,MATCH(AC37,$Z$26:$Z$36,0)),"")))</f>
        <v/>
      </c>
      <c r="L37" s="25"/>
      <c r="M37" s="25"/>
      <c r="N37" s="25"/>
      <c r="O37" s="25"/>
      <c r="P37" s="25"/>
      <c r="Q37" s="25"/>
      <c r="R37" s="25"/>
      <c r="S37" s="20"/>
      <c r="T37" s="20"/>
      <c r="U37" s="20"/>
      <c r="V37" s="25"/>
      <c r="W37" s="20"/>
      <c r="X37" s="20"/>
      <c r="Y37" s="20"/>
      <c r="Z37" s="24" t="str">
        <f aca="false">IF(B37="","",B37&amp;"#"&amp;D37)</f>
        <v/>
      </c>
      <c r="AA37" s="28" t="str">
        <f aca="false">IF(A37="","",IF(J37="",I37,IF(J37&lt;1,AD37+J37,J37)))</f>
        <v/>
      </c>
      <c r="AB37" s="24" t="str">
        <f aca="false">IF(A37="","",IF(COUNTA(L37:Q37)=0,K37,_xlfn.TEXTJOIN("・",TRUE(),L37:Q37)))</f>
        <v/>
      </c>
      <c r="AC37" s="24" t="str">
        <f aca="false">IF(B37="","",B37&amp;"#"&amp;(D37-1))</f>
        <v/>
      </c>
      <c r="AD37" s="19" t="str">
        <f aca="false">IF(A37="","",IFERROR(INDEX(前日確定!$X$26:$X$45,MATCH(A37,前日確定!$B$26:$B$45,0)),""))</f>
        <v/>
      </c>
    </row>
    <row r="38" customFormat="false" ht="15" hidden="false" customHeight="false" outlineLevel="0" collapsed="false">
      <c r="A38" s="25"/>
      <c r="B38" s="24" t="str">
        <f aca="false">IF(A38="","",IFERROR(INDEX(前日確定!$C$26:$C$45,MATCH(A38,前日確定!$B$26:$B$45,0)),"作業が見つかりません"))</f>
        <v/>
      </c>
      <c r="C38" s="24" t="str">
        <f aca="false">IF(A38="","",IFERROR(INDEX(前日確定!$D$26:$D$45,MATCH(A38,前日確定!$B$26:$B$45,0)),""))</f>
        <v/>
      </c>
      <c r="D38" s="24" t="str">
        <f aca="false">IF(B38="","",COUNTIF(B$26:B38,B38))</f>
        <v/>
      </c>
      <c r="E38" s="28" t="str">
        <f aca="false">IF(A38="","",IFERROR(IF(INDEX(前日確定!$Y$26:$Y$45,MATCH(A38,前日確定!$B$26:$B$45,0))="","",INDEX(前日確定!$Y$26:$Y$45,MATCH(A38,前日確定!$B$26:$B$45,0))),""))</f>
        <v/>
      </c>
      <c r="F38" s="24" t="str">
        <f aca="false">IF(A38="","",IFERROR(INDEX(前日確定!$R$26:$R$45,MATCH(A38,前日確定!$B$26:$B$45,0)),""))</f>
        <v/>
      </c>
      <c r="G38" s="22"/>
      <c r="H38" s="20"/>
      <c r="I38" s="28" t="str">
        <f aca="false">IF(A38="","",IF(D38=1,E38,IFERROR(INDEX($AA$26:$AA$37,MATCH(AC38,$Z$26:$Z$37,0)),"")))</f>
        <v/>
      </c>
      <c r="J38" s="27"/>
      <c r="K38" s="24" t="str">
        <f aca="false">IF(A38="","",IF(D38=1,F38,IFERROR(INDEX($AB$26:$AB$37,MATCH(AC38,$Z$26:$Z$37,0)),"")))</f>
        <v/>
      </c>
      <c r="L38" s="25"/>
      <c r="M38" s="25"/>
      <c r="N38" s="25"/>
      <c r="O38" s="25"/>
      <c r="P38" s="25"/>
      <c r="Q38" s="25"/>
      <c r="R38" s="25"/>
      <c r="S38" s="20"/>
      <c r="T38" s="20"/>
      <c r="U38" s="20"/>
      <c r="V38" s="25"/>
      <c r="W38" s="20"/>
      <c r="X38" s="20"/>
      <c r="Y38" s="20"/>
      <c r="Z38" s="24" t="str">
        <f aca="false">IF(B38="","",B38&amp;"#"&amp;D38)</f>
        <v/>
      </c>
      <c r="AA38" s="28" t="str">
        <f aca="false">IF(A38="","",IF(J38="",I38,IF(J38&lt;1,AD38+J38,J38)))</f>
        <v/>
      </c>
      <c r="AB38" s="24" t="str">
        <f aca="false">IF(A38="","",IF(COUNTA(L38:Q38)=0,K38,_xlfn.TEXTJOIN("・",TRUE(),L38:Q38)))</f>
        <v/>
      </c>
      <c r="AC38" s="24" t="str">
        <f aca="false">IF(B38="","",B38&amp;"#"&amp;(D38-1))</f>
        <v/>
      </c>
      <c r="AD38" s="19" t="str">
        <f aca="false">IF(A38="","",IFERROR(INDEX(前日確定!$X$26:$X$45,MATCH(A38,前日確定!$B$26:$B$45,0)),""))</f>
        <v/>
      </c>
    </row>
    <row r="39" customFormat="false" ht="15" hidden="false" customHeight="false" outlineLevel="0" collapsed="false">
      <c r="A39" s="25"/>
      <c r="B39" s="24" t="str">
        <f aca="false">IF(A39="","",IFERROR(INDEX(前日確定!$C$26:$C$45,MATCH(A39,前日確定!$B$26:$B$45,0)),"作業が見つかりません"))</f>
        <v/>
      </c>
      <c r="C39" s="24" t="str">
        <f aca="false">IF(A39="","",IFERROR(INDEX(前日確定!$D$26:$D$45,MATCH(A39,前日確定!$B$26:$B$45,0)),""))</f>
        <v/>
      </c>
      <c r="D39" s="24" t="str">
        <f aca="false">IF(B39="","",COUNTIF(B$26:B39,B39))</f>
        <v/>
      </c>
      <c r="E39" s="28" t="str">
        <f aca="false">IF(A39="","",IFERROR(IF(INDEX(前日確定!$Y$26:$Y$45,MATCH(A39,前日確定!$B$26:$B$45,0))="","",INDEX(前日確定!$Y$26:$Y$45,MATCH(A39,前日確定!$B$26:$B$45,0))),""))</f>
        <v/>
      </c>
      <c r="F39" s="24" t="str">
        <f aca="false">IF(A39="","",IFERROR(INDEX(前日確定!$R$26:$R$45,MATCH(A39,前日確定!$B$26:$B$45,0)),""))</f>
        <v/>
      </c>
      <c r="G39" s="22"/>
      <c r="H39" s="20"/>
      <c r="I39" s="28" t="str">
        <f aca="false">IF(A39="","",IF(D39=1,E39,IFERROR(INDEX($AA$26:$AA$38,MATCH(AC39,$Z$26:$Z$38,0)),"")))</f>
        <v/>
      </c>
      <c r="J39" s="27"/>
      <c r="K39" s="24" t="str">
        <f aca="false">IF(A39="","",IF(D39=1,F39,IFERROR(INDEX($AB$26:$AB$38,MATCH(AC39,$Z$26:$Z$38,0)),"")))</f>
        <v/>
      </c>
      <c r="L39" s="25"/>
      <c r="M39" s="25"/>
      <c r="N39" s="25"/>
      <c r="O39" s="25"/>
      <c r="P39" s="25"/>
      <c r="Q39" s="25"/>
      <c r="R39" s="25"/>
      <c r="S39" s="20"/>
      <c r="T39" s="20"/>
      <c r="U39" s="20"/>
      <c r="V39" s="25"/>
      <c r="W39" s="20"/>
      <c r="X39" s="20"/>
      <c r="Y39" s="20"/>
      <c r="Z39" s="24" t="str">
        <f aca="false">IF(B39="","",B39&amp;"#"&amp;D39)</f>
        <v/>
      </c>
      <c r="AA39" s="28" t="str">
        <f aca="false">IF(A39="","",IF(J39="",I39,IF(J39&lt;1,AD39+J39,J39)))</f>
        <v/>
      </c>
      <c r="AB39" s="24" t="str">
        <f aca="false">IF(A39="","",IF(COUNTA(L39:Q39)=0,K39,_xlfn.TEXTJOIN("・",TRUE(),L39:Q39)))</f>
        <v/>
      </c>
      <c r="AC39" s="24" t="str">
        <f aca="false">IF(B39="","",B39&amp;"#"&amp;(D39-1))</f>
        <v/>
      </c>
      <c r="AD39" s="19" t="str">
        <f aca="false">IF(A39="","",IFERROR(INDEX(前日確定!$X$26:$X$45,MATCH(A39,前日確定!$B$26:$B$45,0)),""))</f>
        <v/>
      </c>
    </row>
    <row r="40" customFormat="false" ht="15" hidden="false" customHeight="false" outlineLevel="0" collapsed="false">
      <c r="A40" s="25"/>
      <c r="B40" s="24" t="str">
        <f aca="false">IF(A40="","",IFERROR(INDEX(前日確定!$C$26:$C$45,MATCH(A40,前日確定!$B$26:$B$45,0)),"作業が見つかりません"))</f>
        <v/>
      </c>
      <c r="C40" s="24" t="str">
        <f aca="false">IF(A40="","",IFERROR(INDEX(前日確定!$D$26:$D$45,MATCH(A40,前日確定!$B$26:$B$45,0)),""))</f>
        <v/>
      </c>
      <c r="D40" s="24" t="str">
        <f aca="false">IF(B40="","",COUNTIF(B$26:B40,B40))</f>
        <v/>
      </c>
      <c r="E40" s="28" t="str">
        <f aca="false">IF(A40="","",IFERROR(IF(INDEX(前日確定!$Y$26:$Y$45,MATCH(A40,前日確定!$B$26:$B$45,0))="","",INDEX(前日確定!$Y$26:$Y$45,MATCH(A40,前日確定!$B$26:$B$45,0))),""))</f>
        <v/>
      </c>
      <c r="F40" s="24" t="str">
        <f aca="false">IF(A40="","",IFERROR(INDEX(前日確定!$R$26:$R$45,MATCH(A40,前日確定!$B$26:$B$45,0)),""))</f>
        <v/>
      </c>
      <c r="G40" s="22"/>
      <c r="H40" s="20"/>
      <c r="I40" s="28" t="str">
        <f aca="false">IF(A40="","",IF(D40=1,E40,IFERROR(INDEX($AA$26:$AA$39,MATCH(AC40,$Z$26:$Z$39,0)),"")))</f>
        <v/>
      </c>
      <c r="J40" s="27"/>
      <c r="K40" s="24" t="str">
        <f aca="false">IF(A40="","",IF(D40=1,F40,IFERROR(INDEX($AB$26:$AB$39,MATCH(AC40,$Z$26:$Z$39,0)),"")))</f>
        <v/>
      </c>
      <c r="L40" s="25"/>
      <c r="M40" s="25"/>
      <c r="N40" s="25"/>
      <c r="O40" s="25"/>
      <c r="P40" s="25"/>
      <c r="Q40" s="25"/>
      <c r="R40" s="25"/>
      <c r="S40" s="20"/>
      <c r="T40" s="20"/>
      <c r="U40" s="20"/>
      <c r="V40" s="25"/>
      <c r="W40" s="20"/>
      <c r="X40" s="20"/>
      <c r="Y40" s="20"/>
      <c r="Z40" s="24" t="str">
        <f aca="false">IF(B40="","",B40&amp;"#"&amp;D40)</f>
        <v/>
      </c>
      <c r="AA40" s="28" t="str">
        <f aca="false">IF(A40="","",IF(J40="",I40,IF(J40&lt;1,AD40+J40,J40)))</f>
        <v/>
      </c>
      <c r="AB40" s="24" t="str">
        <f aca="false">IF(A40="","",IF(COUNTA(L40:Q40)=0,K40,_xlfn.TEXTJOIN("・",TRUE(),L40:Q40)))</f>
        <v/>
      </c>
      <c r="AC40" s="24" t="str">
        <f aca="false">IF(B40="","",B40&amp;"#"&amp;(D40-1))</f>
        <v/>
      </c>
      <c r="AD40" s="19" t="str">
        <f aca="false">IF(A40="","",IFERROR(INDEX(前日確定!$X$26:$X$45,MATCH(A40,前日確定!$B$26:$B$45,0)),""))</f>
        <v/>
      </c>
    </row>
    <row r="41" customFormat="false" ht="15" hidden="false" customHeight="false" outlineLevel="0" collapsed="false">
      <c r="A41" s="25"/>
      <c r="B41" s="24" t="str">
        <f aca="false">IF(A41="","",IFERROR(INDEX(前日確定!$C$26:$C$45,MATCH(A41,前日確定!$B$26:$B$45,0)),"作業が見つかりません"))</f>
        <v/>
      </c>
      <c r="C41" s="24" t="str">
        <f aca="false">IF(A41="","",IFERROR(INDEX(前日確定!$D$26:$D$45,MATCH(A41,前日確定!$B$26:$B$45,0)),""))</f>
        <v/>
      </c>
      <c r="D41" s="24" t="str">
        <f aca="false">IF(B41="","",COUNTIF(B$26:B41,B41))</f>
        <v/>
      </c>
      <c r="E41" s="28" t="str">
        <f aca="false">IF(A41="","",IFERROR(IF(INDEX(前日確定!$Y$26:$Y$45,MATCH(A41,前日確定!$B$26:$B$45,0))="","",INDEX(前日確定!$Y$26:$Y$45,MATCH(A41,前日確定!$B$26:$B$45,0))),""))</f>
        <v/>
      </c>
      <c r="F41" s="24" t="str">
        <f aca="false">IF(A41="","",IFERROR(INDEX(前日確定!$R$26:$R$45,MATCH(A41,前日確定!$B$26:$B$45,0)),""))</f>
        <v/>
      </c>
      <c r="G41" s="22"/>
      <c r="H41" s="20"/>
      <c r="I41" s="28" t="str">
        <f aca="false">IF(A41="","",IF(D41=1,E41,IFERROR(INDEX($AA$26:$AA$40,MATCH(AC41,$Z$26:$Z$40,0)),"")))</f>
        <v/>
      </c>
      <c r="J41" s="27"/>
      <c r="K41" s="24" t="str">
        <f aca="false">IF(A41="","",IF(D41=1,F41,IFERROR(INDEX($AB$26:$AB$40,MATCH(AC41,$Z$26:$Z$40,0)),"")))</f>
        <v/>
      </c>
      <c r="L41" s="25"/>
      <c r="M41" s="25"/>
      <c r="N41" s="25"/>
      <c r="O41" s="25"/>
      <c r="P41" s="25"/>
      <c r="Q41" s="25"/>
      <c r="R41" s="25"/>
      <c r="S41" s="20"/>
      <c r="T41" s="20"/>
      <c r="U41" s="20"/>
      <c r="V41" s="25"/>
      <c r="W41" s="20"/>
      <c r="X41" s="20"/>
      <c r="Y41" s="20"/>
      <c r="Z41" s="24" t="str">
        <f aca="false">IF(B41="","",B41&amp;"#"&amp;D41)</f>
        <v/>
      </c>
      <c r="AA41" s="28" t="str">
        <f aca="false">IF(A41="","",IF(J41="",I41,IF(J41&lt;1,AD41+J41,J41)))</f>
        <v/>
      </c>
      <c r="AB41" s="24" t="str">
        <f aca="false">IF(A41="","",IF(COUNTA(L41:Q41)=0,K41,_xlfn.TEXTJOIN("・",TRUE(),L41:Q41)))</f>
        <v/>
      </c>
      <c r="AC41" s="24" t="str">
        <f aca="false">IF(B41="","",B41&amp;"#"&amp;(D41-1))</f>
        <v/>
      </c>
      <c r="AD41" s="19" t="str">
        <f aca="false">IF(A41="","",IFERROR(INDEX(前日確定!$X$26:$X$45,MATCH(A41,前日確定!$B$26:$B$45,0)),""))</f>
        <v/>
      </c>
    </row>
    <row r="42" customFormat="false" ht="15" hidden="false" customHeight="false" outlineLevel="0" collapsed="false">
      <c r="A42" s="25"/>
      <c r="B42" s="24" t="str">
        <f aca="false">IF(A42="","",IFERROR(INDEX(前日確定!$C$26:$C$45,MATCH(A42,前日確定!$B$26:$B$45,0)),"作業が見つかりません"))</f>
        <v/>
      </c>
      <c r="C42" s="24" t="str">
        <f aca="false">IF(A42="","",IFERROR(INDEX(前日確定!$D$26:$D$45,MATCH(A42,前日確定!$B$26:$B$45,0)),""))</f>
        <v/>
      </c>
      <c r="D42" s="24" t="str">
        <f aca="false">IF(B42="","",COUNTIF(B$26:B42,B42))</f>
        <v/>
      </c>
      <c r="E42" s="28" t="str">
        <f aca="false">IF(A42="","",IFERROR(IF(INDEX(前日確定!$Y$26:$Y$45,MATCH(A42,前日確定!$B$26:$B$45,0))="","",INDEX(前日確定!$Y$26:$Y$45,MATCH(A42,前日確定!$B$26:$B$45,0))),""))</f>
        <v/>
      </c>
      <c r="F42" s="24" t="str">
        <f aca="false">IF(A42="","",IFERROR(INDEX(前日確定!$R$26:$R$45,MATCH(A42,前日確定!$B$26:$B$45,0)),""))</f>
        <v/>
      </c>
      <c r="G42" s="22"/>
      <c r="H42" s="20"/>
      <c r="I42" s="28" t="str">
        <f aca="false">IF(A42="","",IF(D42=1,E42,IFERROR(INDEX($AA$26:$AA$41,MATCH(AC42,$Z$26:$Z$41,0)),"")))</f>
        <v/>
      </c>
      <c r="J42" s="27"/>
      <c r="K42" s="24" t="str">
        <f aca="false">IF(A42="","",IF(D42=1,F42,IFERROR(INDEX($AB$26:$AB$41,MATCH(AC42,$Z$26:$Z$41,0)),"")))</f>
        <v/>
      </c>
      <c r="L42" s="25"/>
      <c r="M42" s="25"/>
      <c r="N42" s="25"/>
      <c r="O42" s="25"/>
      <c r="P42" s="25"/>
      <c r="Q42" s="25"/>
      <c r="R42" s="25"/>
      <c r="S42" s="20"/>
      <c r="T42" s="20"/>
      <c r="U42" s="20"/>
      <c r="V42" s="25"/>
      <c r="W42" s="20"/>
      <c r="X42" s="20"/>
      <c r="Y42" s="20"/>
      <c r="Z42" s="24" t="str">
        <f aca="false">IF(B42="","",B42&amp;"#"&amp;D42)</f>
        <v/>
      </c>
      <c r="AA42" s="28" t="str">
        <f aca="false">IF(A42="","",IF(J42="",I42,IF(J42&lt;1,AD42+J42,J42)))</f>
        <v/>
      </c>
      <c r="AB42" s="24" t="str">
        <f aca="false">IF(A42="","",IF(COUNTA(L42:Q42)=0,K42,_xlfn.TEXTJOIN("・",TRUE(),L42:Q42)))</f>
        <v/>
      </c>
      <c r="AC42" s="24" t="str">
        <f aca="false">IF(B42="","",B42&amp;"#"&amp;(D42-1))</f>
        <v/>
      </c>
      <c r="AD42" s="19" t="str">
        <f aca="false">IF(A42="","",IFERROR(INDEX(前日確定!$X$26:$X$45,MATCH(A42,前日確定!$B$26:$B$45,0)),""))</f>
        <v/>
      </c>
    </row>
    <row r="43" customFormat="false" ht="15" hidden="false" customHeight="false" outlineLevel="0" collapsed="false">
      <c r="A43" s="25"/>
      <c r="B43" s="24" t="str">
        <f aca="false">IF(A43="","",IFERROR(INDEX(前日確定!$C$26:$C$45,MATCH(A43,前日確定!$B$26:$B$45,0)),"作業が見つかりません"))</f>
        <v/>
      </c>
      <c r="C43" s="24" t="str">
        <f aca="false">IF(A43="","",IFERROR(INDEX(前日確定!$D$26:$D$45,MATCH(A43,前日確定!$B$26:$B$45,0)),""))</f>
        <v/>
      </c>
      <c r="D43" s="24" t="str">
        <f aca="false">IF(B43="","",COUNTIF(B$26:B43,B43))</f>
        <v/>
      </c>
      <c r="E43" s="28" t="str">
        <f aca="false">IF(A43="","",IFERROR(IF(INDEX(前日確定!$Y$26:$Y$45,MATCH(A43,前日確定!$B$26:$B$45,0))="","",INDEX(前日確定!$Y$26:$Y$45,MATCH(A43,前日確定!$B$26:$B$45,0))),""))</f>
        <v/>
      </c>
      <c r="F43" s="24" t="str">
        <f aca="false">IF(A43="","",IFERROR(INDEX(前日確定!$R$26:$R$45,MATCH(A43,前日確定!$B$26:$B$45,0)),""))</f>
        <v/>
      </c>
      <c r="G43" s="22"/>
      <c r="H43" s="20"/>
      <c r="I43" s="28" t="str">
        <f aca="false">IF(A43="","",IF(D43=1,E43,IFERROR(INDEX($AA$26:$AA$42,MATCH(AC43,$Z$26:$Z$42,0)),"")))</f>
        <v/>
      </c>
      <c r="J43" s="27"/>
      <c r="K43" s="24" t="str">
        <f aca="false">IF(A43="","",IF(D43=1,F43,IFERROR(INDEX($AB$26:$AB$42,MATCH(AC43,$Z$26:$Z$42,0)),"")))</f>
        <v/>
      </c>
      <c r="L43" s="25"/>
      <c r="M43" s="25"/>
      <c r="N43" s="25"/>
      <c r="O43" s="25"/>
      <c r="P43" s="25"/>
      <c r="Q43" s="25"/>
      <c r="R43" s="25"/>
      <c r="S43" s="20"/>
      <c r="T43" s="20"/>
      <c r="U43" s="20"/>
      <c r="V43" s="25"/>
      <c r="W43" s="20"/>
      <c r="X43" s="20"/>
      <c r="Y43" s="20"/>
      <c r="Z43" s="24" t="str">
        <f aca="false">IF(B43="","",B43&amp;"#"&amp;D43)</f>
        <v/>
      </c>
      <c r="AA43" s="28" t="str">
        <f aca="false">IF(A43="","",IF(J43="",I43,IF(J43&lt;1,AD43+J43,J43)))</f>
        <v/>
      </c>
      <c r="AB43" s="24" t="str">
        <f aca="false">IF(A43="","",IF(COUNTA(L43:Q43)=0,K43,_xlfn.TEXTJOIN("・",TRUE(),L43:Q43)))</f>
        <v/>
      </c>
      <c r="AC43" s="24" t="str">
        <f aca="false">IF(B43="","",B43&amp;"#"&amp;(D43-1))</f>
        <v/>
      </c>
      <c r="AD43" s="19" t="str">
        <f aca="false">IF(A43="","",IFERROR(INDEX(前日確定!$X$26:$X$45,MATCH(A43,前日確定!$B$26:$B$45,0)),""))</f>
        <v/>
      </c>
    </row>
    <row r="44" customFormat="false" ht="15" hidden="false" customHeight="false" outlineLevel="0" collapsed="false">
      <c r="A44" s="25"/>
      <c r="B44" s="24" t="str">
        <f aca="false">IF(A44="","",IFERROR(INDEX(前日確定!$C$26:$C$45,MATCH(A44,前日確定!$B$26:$B$45,0)),"作業が見つかりません"))</f>
        <v/>
      </c>
      <c r="C44" s="24" t="str">
        <f aca="false">IF(A44="","",IFERROR(INDEX(前日確定!$D$26:$D$45,MATCH(A44,前日確定!$B$26:$B$45,0)),""))</f>
        <v/>
      </c>
      <c r="D44" s="24" t="str">
        <f aca="false">IF(B44="","",COUNTIF(B$26:B44,B44))</f>
        <v/>
      </c>
      <c r="E44" s="28" t="str">
        <f aca="false">IF(A44="","",IFERROR(IF(INDEX(前日確定!$Y$26:$Y$45,MATCH(A44,前日確定!$B$26:$B$45,0))="","",INDEX(前日確定!$Y$26:$Y$45,MATCH(A44,前日確定!$B$26:$B$45,0))),""))</f>
        <v/>
      </c>
      <c r="F44" s="24" t="str">
        <f aca="false">IF(A44="","",IFERROR(INDEX(前日確定!$R$26:$R$45,MATCH(A44,前日確定!$B$26:$B$45,0)),""))</f>
        <v/>
      </c>
      <c r="G44" s="22"/>
      <c r="H44" s="20"/>
      <c r="I44" s="28" t="str">
        <f aca="false">IF(A44="","",IF(D44=1,E44,IFERROR(INDEX($AA$26:$AA$43,MATCH(AC44,$Z$26:$Z$43,0)),"")))</f>
        <v/>
      </c>
      <c r="J44" s="27"/>
      <c r="K44" s="24" t="str">
        <f aca="false">IF(A44="","",IF(D44=1,F44,IFERROR(INDEX($AB$26:$AB$43,MATCH(AC44,$Z$26:$Z$43,0)),"")))</f>
        <v/>
      </c>
      <c r="L44" s="25"/>
      <c r="M44" s="25"/>
      <c r="N44" s="25"/>
      <c r="O44" s="25"/>
      <c r="P44" s="25"/>
      <c r="Q44" s="25"/>
      <c r="R44" s="25"/>
      <c r="S44" s="20"/>
      <c r="T44" s="20"/>
      <c r="U44" s="20"/>
      <c r="V44" s="25"/>
      <c r="W44" s="20"/>
      <c r="X44" s="20"/>
      <c r="Y44" s="20"/>
      <c r="Z44" s="24" t="str">
        <f aca="false">IF(B44="","",B44&amp;"#"&amp;D44)</f>
        <v/>
      </c>
      <c r="AA44" s="28" t="str">
        <f aca="false">IF(A44="","",IF(J44="",I44,IF(J44&lt;1,AD44+J44,J44)))</f>
        <v/>
      </c>
      <c r="AB44" s="24" t="str">
        <f aca="false">IF(A44="","",IF(COUNTA(L44:Q44)=0,K44,_xlfn.TEXTJOIN("・",TRUE(),L44:Q44)))</f>
        <v/>
      </c>
      <c r="AC44" s="24" t="str">
        <f aca="false">IF(B44="","",B44&amp;"#"&amp;(D44-1))</f>
        <v/>
      </c>
      <c r="AD44" s="19" t="str">
        <f aca="false">IF(A44="","",IFERROR(INDEX(前日確定!$X$26:$X$45,MATCH(A44,前日確定!$B$26:$B$45,0)),""))</f>
        <v/>
      </c>
    </row>
    <row r="45" customFormat="false" ht="15" hidden="false" customHeight="false" outlineLevel="0" collapsed="false">
      <c r="A45" s="25"/>
      <c r="B45" s="24" t="str">
        <f aca="false">IF(A45="","",IFERROR(INDEX(前日確定!$C$26:$C$45,MATCH(A45,前日確定!$B$26:$B$45,0)),"作業が見つかりません"))</f>
        <v/>
      </c>
      <c r="C45" s="24" t="str">
        <f aca="false">IF(A45="","",IFERROR(INDEX(前日確定!$D$26:$D$45,MATCH(A45,前日確定!$B$26:$B$45,0)),""))</f>
        <v/>
      </c>
      <c r="D45" s="24" t="str">
        <f aca="false">IF(B45="","",COUNTIF(B$26:B45,B45))</f>
        <v/>
      </c>
      <c r="E45" s="28" t="str">
        <f aca="false">IF(A45="","",IFERROR(IF(INDEX(前日確定!$Y$26:$Y$45,MATCH(A45,前日確定!$B$26:$B$45,0))="","",INDEX(前日確定!$Y$26:$Y$45,MATCH(A45,前日確定!$B$26:$B$45,0))),""))</f>
        <v/>
      </c>
      <c r="F45" s="24" t="str">
        <f aca="false">IF(A45="","",IFERROR(INDEX(前日確定!$R$26:$R$45,MATCH(A45,前日確定!$B$26:$B$45,0)),""))</f>
        <v/>
      </c>
      <c r="G45" s="22"/>
      <c r="H45" s="20"/>
      <c r="I45" s="28" t="str">
        <f aca="false">IF(A45="","",IF(D45=1,E45,IFERROR(INDEX($AA$26:$AA$44,MATCH(AC45,$Z$26:$Z$44,0)),"")))</f>
        <v/>
      </c>
      <c r="J45" s="27"/>
      <c r="K45" s="24" t="str">
        <f aca="false">IF(A45="","",IF(D45=1,F45,IFERROR(INDEX($AB$26:$AB$44,MATCH(AC45,$Z$26:$Z$44,0)),"")))</f>
        <v/>
      </c>
      <c r="L45" s="25"/>
      <c r="M45" s="25"/>
      <c r="N45" s="25"/>
      <c r="O45" s="25"/>
      <c r="P45" s="25"/>
      <c r="Q45" s="25"/>
      <c r="R45" s="25"/>
      <c r="S45" s="20"/>
      <c r="T45" s="20"/>
      <c r="U45" s="20"/>
      <c r="V45" s="25"/>
      <c r="W45" s="20"/>
      <c r="X45" s="20"/>
      <c r="Y45" s="20"/>
      <c r="Z45" s="24" t="str">
        <f aca="false">IF(B45="","",B45&amp;"#"&amp;D45)</f>
        <v/>
      </c>
      <c r="AA45" s="28" t="str">
        <f aca="false">IF(A45="","",IF(J45="",I45,IF(J45&lt;1,AD45+J45,J45)))</f>
        <v/>
      </c>
      <c r="AB45" s="24" t="str">
        <f aca="false">IF(A45="","",IF(COUNTA(L45:Q45)=0,K45,_xlfn.TEXTJOIN("・",TRUE(),L45:Q45)))</f>
        <v/>
      </c>
      <c r="AC45" s="24" t="str">
        <f aca="false">IF(B45="","",B45&amp;"#"&amp;(D45-1))</f>
        <v/>
      </c>
      <c r="AD45" s="19" t="str">
        <f aca="false">IF(A45="","",IFERROR(INDEX(前日確定!$X$26:$X$45,MATCH(A45,前日確定!$B$26:$B$45,0)),""))</f>
        <v/>
      </c>
    </row>
    <row r="46" customFormat="false" ht="15" hidden="false" customHeight="false" outlineLevel="0" collapsed="false">
      <c r="A46" s="25"/>
      <c r="B46" s="24" t="str">
        <f aca="false">IF(A46="","",IFERROR(INDEX(前日確定!$C$26:$C$45,MATCH(A46,前日確定!$B$26:$B$45,0)),"作業が見つかりません"))</f>
        <v/>
      </c>
      <c r="C46" s="24" t="str">
        <f aca="false">IF(A46="","",IFERROR(INDEX(前日確定!$D$26:$D$45,MATCH(A46,前日確定!$B$26:$B$45,0)),""))</f>
        <v/>
      </c>
      <c r="D46" s="24" t="str">
        <f aca="false">IF(B46="","",COUNTIF(B$26:B46,B46))</f>
        <v/>
      </c>
      <c r="E46" s="28" t="str">
        <f aca="false">IF(A46="","",IFERROR(IF(INDEX(前日確定!$Y$26:$Y$45,MATCH(A46,前日確定!$B$26:$B$45,0))="","",INDEX(前日確定!$Y$26:$Y$45,MATCH(A46,前日確定!$B$26:$B$45,0))),""))</f>
        <v/>
      </c>
      <c r="F46" s="24" t="str">
        <f aca="false">IF(A46="","",IFERROR(INDEX(前日確定!$R$26:$R$45,MATCH(A46,前日確定!$B$26:$B$45,0)),""))</f>
        <v/>
      </c>
      <c r="G46" s="22"/>
      <c r="H46" s="20"/>
      <c r="I46" s="28" t="str">
        <f aca="false">IF(A46="","",IF(D46=1,E46,IFERROR(INDEX($AA$26:$AA$45,MATCH(AC46,$Z$26:$Z$45,0)),"")))</f>
        <v/>
      </c>
      <c r="J46" s="27"/>
      <c r="K46" s="24" t="str">
        <f aca="false">IF(A46="","",IF(D46=1,F46,IFERROR(INDEX($AB$26:$AB$45,MATCH(AC46,$Z$26:$Z$45,0)),"")))</f>
        <v/>
      </c>
      <c r="L46" s="25"/>
      <c r="M46" s="25"/>
      <c r="N46" s="25"/>
      <c r="O46" s="25"/>
      <c r="P46" s="25"/>
      <c r="Q46" s="25"/>
      <c r="R46" s="25"/>
      <c r="S46" s="20"/>
      <c r="T46" s="20"/>
      <c r="U46" s="20"/>
      <c r="V46" s="25"/>
      <c r="W46" s="20"/>
      <c r="X46" s="20"/>
      <c r="Y46" s="20"/>
      <c r="Z46" s="24" t="str">
        <f aca="false">IF(B46="","",B46&amp;"#"&amp;D46)</f>
        <v/>
      </c>
      <c r="AA46" s="28" t="str">
        <f aca="false">IF(A46="","",IF(J46="",I46,IF(J46&lt;1,AD46+J46,J46)))</f>
        <v/>
      </c>
      <c r="AB46" s="24" t="str">
        <f aca="false">IF(A46="","",IF(COUNTA(L46:Q46)=0,K46,_xlfn.TEXTJOIN("・",TRUE(),L46:Q46)))</f>
        <v/>
      </c>
      <c r="AC46" s="24" t="str">
        <f aca="false">IF(B46="","",B46&amp;"#"&amp;(D46-1))</f>
        <v/>
      </c>
      <c r="AD46" s="19" t="str">
        <f aca="false">IF(A46="","",IFERROR(INDEX(前日確定!$X$26:$X$45,MATCH(A46,前日確定!$B$26:$B$45,0)),""))</f>
        <v/>
      </c>
    </row>
    <row r="47" customFormat="false" ht="15" hidden="false" customHeight="false" outlineLevel="0" collapsed="false">
      <c r="A47" s="25"/>
      <c r="B47" s="24" t="str">
        <f aca="false">IF(A47="","",IFERROR(INDEX(前日確定!$C$26:$C$45,MATCH(A47,前日確定!$B$26:$B$45,0)),"作業が見つかりません"))</f>
        <v/>
      </c>
      <c r="C47" s="24" t="str">
        <f aca="false">IF(A47="","",IFERROR(INDEX(前日確定!$D$26:$D$45,MATCH(A47,前日確定!$B$26:$B$45,0)),""))</f>
        <v/>
      </c>
      <c r="D47" s="24" t="str">
        <f aca="false">IF(B47="","",COUNTIF(B$26:B47,B47))</f>
        <v/>
      </c>
      <c r="E47" s="28" t="str">
        <f aca="false">IF(A47="","",IFERROR(IF(INDEX(前日確定!$Y$26:$Y$45,MATCH(A47,前日確定!$B$26:$B$45,0))="","",INDEX(前日確定!$Y$26:$Y$45,MATCH(A47,前日確定!$B$26:$B$45,0))),""))</f>
        <v/>
      </c>
      <c r="F47" s="24" t="str">
        <f aca="false">IF(A47="","",IFERROR(INDEX(前日確定!$R$26:$R$45,MATCH(A47,前日確定!$B$26:$B$45,0)),""))</f>
        <v/>
      </c>
      <c r="G47" s="22"/>
      <c r="H47" s="20"/>
      <c r="I47" s="28" t="str">
        <f aca="false">IF(A47="","",IF(D47=1,E47,IFERROR(INDEX($AA$26:$AA$46,MATCH(AC47,$Z$26:$Z$46,0)),"")))</f>
        <v/>
      </c>
      <c r="J47" s="27"/>
      <c r="K47" s="24" t="str">
        <f aca="false">IF(A47="","",IF(D47=1,F47,IFERROR(INDEX($AB$26:$AB$46,MATCH(AC47,$Z$26:$Z$46,0)),"")))</f>
        <v/>
      </c>
      <c r="L47" s="25"/>
      <c r="M47" s="25"/>
      <c r="N47" s="25"/>
      <c r="O47" s="25"/>
      <c r="P47" s="25"/>
      <c r="Q47" s="25"/>
      <c r="R47" s="25"/>
      <c r="S47" s="20"/>
      <c r="T47" s="20"/>
      <c r="U47" s="20"/>
      <c r="V47" s="25"/>
      <c r="W47" s="20"/>
      <c r="X47" s="20"/>
      <c r="Y47" s="20"/>
      <c r="Z47" s="24" t="str">
        <f aca="false">IF(B47="","",B47&amp;"#"&amp;D47)</f>
        <v/>
      </c>
      <c r="AA47" s="28" t="str">
        <f aca="false">IF(A47="","",IF(J47="",I47,IF(J47&lt;1,AD47+J47,J47)))</f>
        <v/>
      </c>
      <c r="AB47" s="24" t="str">
        <f aca="false">IF(A47="","",IF(COUNTA(L47:Q47)=0,K47,_xlfn.TEXTJOIN("・",TRUE(),L47:Q47)))</f>
        <v/>
      </c>
      <c r="AC47" s="24" t="str">
        <f aca="false">IF(B47="","",B47&amp;"#"&amp;(D47-1))</f>
        <v/>
      </c>
      <c r="AD47" s="19" t="str">
        <f aca="false">IF(A47="","",IFERROR(INDEX(前日確定!$X$26:$X$45,MATCH(A47,前日確定!$B$26:$B$45,0)),""))</f>
        <v/>
      </c>
    </row>
    <row r="48" customFormat="false" ht="15" hidden="false" customHeight="false" outlineLevel="0" collapsed="false">
      <c r="A48" s="25"/>
      <c r="B48" s="24" t="str">
        <f aca="false">IF(A48="","",IFERROR(INDEX(前日確定!$C$26:$C$45,MATCH(A48,前日確定!$B$26:$B$45,0)),"作業が見つかりません"))</f>
        <v/>
      </c>
      <c r="C48" s="24" t="str">
        <f aca="false">IF(A48="","",IFERROR(INDEX(前日確定!$D$26:$D$45,MATCH(A48,前日確定!$B$26:$B$45,0)),""))</f>
        <v/>
      </c>
      <c r="D48" s="24" t="str">
        <f aca="false">IF(B48="","",COUNTIF(B$26:B48,B48))</f>
        <v/>
      </c>
      <c r="E48" s="28" t="str">
        <f aca="false">IF(A48="","",IFERROR(IF(INDEX(前日確定!$Y$26:$Y$45,MATCH(A48,前日確定!$B$26:$B$45,0))="","",INDEX(前日確定!$Y$26:$Y$45,MATCH(A48,前日確定!$B$26:$B$45,0))),""))</f>
        <v/>
      </c>
      <c r="F48" s="24" t="str">
        <f aca="false">IF(A48="","",IFERROR(INDEX(前日確定!$R$26:$R$45,MATCH(A48,前日確定!$B$26:$B$45,0)),""))</f>
        <v/>
      </c>
      <c r="G48" s="22"/>
      <c r="H48" s="20"/>
      <c r="I48" s="28" t="str">
        <f aca="false">IF(A48="","",IF(D48=1,E48,IFERROR(INDEX($AA$26:$AA$47,MATCH(AC48,$Z$26:$Z$47,0)),"")))</f>
        <v/>
      </c>
      <c r="J48" s="27"/>
      <c r="K48" s="24" t="str">
        <f aca="false">IF(A48="","",IF(D48=1,F48,IFERROR(INDEX($AB$26:$AB$47,MATCH(AC48,$Z$26:$Z$47,0)),"")))</f>
        <v/>
      </c>
      <c r="L48" s="25"/>
      <c r="M48" s="25"/>
      <c r="N48" s="25"/>
      <c r="O48" s="25"/>
      <c r="P48" s="25"/>
      <c r="Q48" s="25"/>
      <c r="R48" s="25"/>
      <c r="S48" s="20"/>
      <c r="T48" s="20"/>
      <c r="U48" s="20"/>
      <c r="V48" s="25"/>
      <c r="W48" s="20"/>
      <c r="X48" s="20"/>
      <c r="Y48" s="20"/>
      <c r="Z48" s="24" t="str">
        <f aca="false">IF(B48="","",B48&amp;"#"&amp;D48)</f>
        <v/>
      </c>
      <c r="AA48" s="28" t="str">
        <f aca="false">IF(A48="","",IF(J48="",I48,IF(J48&lt;1,AD48+J48,J48)))</f>
        <v/>
      </c>
      <c r="AB48" s="24" t="str">
        <f aca="false">IF(A48="","",IF(COUNTA(L48:Q48)=0,K48,_xlfn.TEXTJOIN("・",TRUE(),L48:Q48)))</f>
        <v/>
      </c>
      <c r="AC48" s="24" t="str">
        <f aca="false">IF(B48="","",B48&amp;"#"&amp;(D48-1))</f>
        <v/>
      </c>
      <c r="AD48" s="19" t="str">
        <f aca="false">IF(A48="","",IFERROR(INDEX(前日確定!$X$26:$X$45,MATCH(A48,前日確定!$B$26:$B$45,0)),""))</f>
        <v/>
      </c>
    </row>
    <row r="49" customFormat="false" ht="15" hidden="false" customHeight="false" outlineLevel="0" collapsed="false">
      <c r="A49" s="25"/>
      <c r="B49" s="24" t="str">
        <f aca="false">IF(A49="","",IFERROR(INDEX(前日確定!$C$26:$C$45,MATCH(A49,前日確定!$B$26:$B$45,0)),"作業が見つかりません"))</f>
        <v/>
      </c>
      <c r="C49" s="24" t="str">
        <f aca="false">IF(A49="","",IFERROR(INDEX(前日確定!$D$26:$D$45,MATCH(A49,前日確定!$B$26:$B$45,0)),""))</f>
        <v/>
      </c>
      <c r="D49" s="24" t="str">
        <f aca="false">IF(B49="","",COUNTIF(B$26:B49,B49))</f>
        <v/>
      </c>
      <c r="E49" s="28" t="str">
        <f aca="false">IF(A49="","",IFERROR(IF(INDEX(前日確定!$Y$26:$Y$45,MATCH(A49,前日確定!$B$26:$B$45,0))="","",INDEX(前日確定!$Y$26:$Y$45,MATCH(A49,前日確定!$B$26:$B$45,0))),""))</f>
        <v/>
      </c>
      <c r="F49" s="24" t="str">
        <f aca="false">IF(A49="","",IFERROR(INDEX(前日確定!$R$26:$R$45,MATCH(A49,前日確定!$B$26:$B$45,0)),""))</f>
        <v/>
      </c>
      <c r="G49" s="22"/>
      <c r="H49" s="20"/>
      <c r="I49" s="28" t="str">
        <f aca="false">IF(A49="","",IF(D49=1,E49,IFERROR(INDEX($AA$26:$AA$48,MATCH(AC49,$Z$26:$Z$48,0)),"")))</f>
        <v/>
      </c>
      <c r="J49" s="27"/>
      <c r="K49" s="24" t="str">
        <f aca="false">IF(A49="","",IF(D49=1,F49,IFERROR(INDEX($AB$26:$AB$48,MATCH(AC49,$Z$26:$Z$48,0)),"")))</f>
        <v/>
      </c>
      <c r="L49" s="25"/>
      <c r="M49" s="25"/>
      <c r="N49" s="25"/>
      <c r="O49" s="25"/>
      <c r="P49" s="25"/>
      <c r="Q49" s="25"/>
      <c r="R49" s="25"/>
      <c r="S49" s="20"/>
      <c r="T49" s="20"/>
      <c r="U49" s="20"/>
      <c r="V49" s="25"/>
      <c r="W49" s="20"/>
      <c r="X49" s="20"/>
      <c r="Y49" s="20"/>
      <c r="Z49" s="24" t="str">
        <f aca="false">IF(B49="","",B49&amp;"#"&amp;D49)</f>
        <v/>
      </c>
      <c r="AA49" s="28" t="str">
        <f aca="false">IF(A49="","",IF(J49="",I49,IF(J49&lt;1,AD49+J49,J49)))</f>
        <v/>
      </c>
      <c r="AB49" s="24" t="str">
        <f aca="false">IF(A49="","",IF(COUNTA(L49:Q49)=0,K49,_xlfn.TEXTJOIN("・",TRUE(),L49:Q49)))</f>
        <v/>
      </c>
      <c r="AC49" s="24" t="str">
        <f aca="false">IF(B49="","",B49&amp;"#"&amp;(D49-1))</f>
        <v/>
      </c>
      <c r="AD49" s="19" t="str">
        <f aca="false">IF(A49="","",IFERROR(INDEX(前日確定!$X$26:$X$45,MATCH(A49,前日確定!$B$26:$B$45,0)),""))</f>
        <v/>
      </c>
    </row>
    <row r="50" customFormat="false" ht="15" hidden="false" customHeight="false" outlineLevel="0" collapsed="false">
      <c r="A50" s="25"/>
      <c r="B50" s="24" t="str">
        <f aca="false">IF(A50="","",IFERROR(INDEX(前日確定!$C$26:$C$45,MATCH(A50,前日確定!$B$26:$B$45,0)),"作業が見つかりません"))</f>
        <v/>
      </c>
      <c r="C50" s="24" t="str">
        <f aca="false">IF(A50="","",IFERROR(INDEX(前日確定!$D$26:$D$45,MATCH(A50,前日確定!$B$26:$B$45,0)),""))</f>
        <v/>
      </c>
      <c r="D50" s="24" t="str">
        <f aca="false">IF(B50="","",COUNTIF(B$26:B50,B50))</f>
        <v/>
      </c>
      <c r="E50" s="28" t="str">
        <f aca="false">IF(A50="","",IFERROR(IF(INDEX(前日確定!$Y$26:$Y$45,MATCH(A50,前日確定!$B$26:$B$45,0))="","",INDEX(前日確定!$Y$26:$Y$45,MATCH(A50,前日確定!$B$26:$B$45,0))),""))</f>
        <v/>
      </c>
      <c r="F50" s="24" t="str">
        <f aca="false">IF(A50="","",IFERROR(INDEX(前日確定!$R$26:$R$45,MATCH(A50,前日確定!$B$26:$B$45,0)),""))</f>
        <v/>
      </c>
      <c r="G50" s="22"/>
      <c r="H50" s="20"/>
      <c r="I50" s="28" t="str">
        <f aca="false">IF(A50="","",IF(D50=1,E50,IFERROR(INDEX($AA$26:$AA$49,MATCH(AC50,$Z$26:$Z$49,0)),"")))</f>
        <v/>
      </c>
      <c r="J50" s="27"/>
      <c r="K50" s="24" t="str">
        <f aca="false">IF(A50="","",IF(D50=1,F50,IFERROR(INDEX($AB$26:$AB$49,MATCH(AC50,$Z$26:$Z$49,0)),"")))</f>
        <v/>
      </c>
      <c r="L50" s="25"/>
      <c r="M50" s="25"/>
      <c r="N50" s="25"/>
      <c r="O50" s="25"/>
      <c r="P50" s="25"/>
      <c r="Q50" s="25"/>
      <c r="R50" s="25"/>
      <c r="S50" s="20"/>
      <c r="T50" s="20"/>
      <c r="U50" s="20"/>
      <c r="V50" s="25"/>
      <c r="W50" s="20"/>
      <c r="X50" s="20"/>
      <c r="Y50" s="20"/>
      <c r="Z50" s="24" t="str">
        <f aca="false">IF(B50="","",B50&amp;"#"&amp;D50)</f>
        <v/>
      </c>
      <c r="AA50" s="28" t="str">
        <f aca="false">IF(A50="","",IF(J50="",I50,IF(J50&lt;1,AD50+J50,J50)))</f>
        <v/>
      </c>
      <c r="AB50" s="24" t="str">
        <f aca="false">IF(A50="","",IF(COUNTA(L50:Q50)=0,K50,_xlfn.TEXTJOIN("・",TRUE(),L50:Q50)))</f>
        <v/>
      </c>
      <c r="AC50" s="24" t="str">
        <f aca="false">IF(B50="","",B50&amp;"#"&amp;(D50-1))</f>
        <v/>
      </c>
      <c r="AD50" s="19" t="str">
        <f aca="false">IF(A50="","",IFERROR(INDEX(前日確定!$X$26:$X$45,MATCH(A50,前日確定!$B$26:$B$45,0)),""))</f>
        <v/>
      </c>
    </row>
    <row r="51" customFormat="false" ht="15" hidden="false" customHeight="false" outlineLevel="0" collapsed="false">
      <c r="A51" s="25"/>
      <c r="B51" s="24" t="str">
        <f aca="false">IF(A51="","",IFERROR(INDEX(前日確定!$C$26:$C$45,MATCH(A51,前日確定!$B$26:$B$45,0)),"作業が見つかりません"))</f>
        <v/>
      </c>
      <c r="C51" s="24" t="str">
        <f aca="false">IF(A51="","",IFERROR(INDEX(前日確定!$D$26:$D$45,MATCH(A51,前日確定!$B$26:$B$45,0)),""))</f>
        <v/>
      </c>
      <c r="D51" s="24" t="str">
        <f aca="false">IF(B51="","",COUNTIF(B$26:B51,B51))</f>
        <v/>
      </c>
      <c r="E51" s="28" t="str">
        <f aca="false">IF(A51="","",IFERROR(IF(INDEX(前日確定!$Y$26:$Y$45,MATCH(A51,前日確定!$B$26:$B$45,0))="","",INDEX(前日確定!$Y$26:$Y$45,MATCH(A51,前日確定!$B$26:$B$45,0))),""))</f>
        <v/>
      </c>
      <c r="F51" s="24" t="str">
        <f aca="false">IF(A51="","",IFERROR(INDEX(前日確定!$R$26:$R$45,MATCH(A51,前日確定!$B$26:$B$45,0)),""))</f>
        <v/>
      </c>
      <c r="G51" s="22"/>
      <c r="H51" s="20"/>
      <c r="I51" s="28" t="str">
        <f aca="false">IF(A51="","",IF(D51=1,E51,IFERROR(INDEX($AA$26:$AA$50,MATCH(AC51,$Z$26:$Z$50,0)),"")))</f>
        <v/>
      </c>
      <c r="J51" s="27"/>
      <c r="K51" s="24" t="str">
        <f aca="false">IF(A51="","",IF(D51=1,F51,IFERROR(INDEX($AB$26:$AB$50,MATCH(AC51,$Z$26:$Z$50,0)),"")))</f>
        <v/>
      </c>
      <c r="L51" s="25"/>
      <c r="M51" s="25"/>
      <c r="N51" s="25"/>
      <c r="O51" s="25"/>
      <c r="P51" s="25"/>
      <c r="Q51" s="25"/>
      <c r="R51" s="25"/>
      <c r="S51" s="20"/>
      <c r="T51" s="20"/>
      <c r="U51" s="20"/>
      <c r="V51" s="25"/>
      <c r="W51" s="20"/>
      <c r="X51" s="20"/>
      <c r="Y51" s="20"/>
      <c r="Z51" s="24" t="str">
        <f aca="false">IF(B51="","",B51&amp;"#"&amp;D51)</f>
        <v/>
      </c>
      <c r="AA51" s="28" t="str">
        <f aca="false">IF(A51="","",IF(J51="",I51,IF(J51&lt;1,AD51+J51,J51)))</f>
        <v/>
      </c>
      <c r="AB51" s="24" t="str">
        <f aca="false">IF(A51="","",IF(COUNTA(L51:Q51)=0,K51,_xlfn.TEXTJOIN("・",TRUE(),L51:Q51)))</f>
        <v/>
      </c>
      <c r="AC51" s="24" t="str">
        <f aca="false">IF(B51="","",B51&amp;"#"&amp;(D51-1))</f>
        <v/>
      </c>
      <c r="AD51" s="19" t="str">
        <f aca="false">IF(A51="","",IFERROR(INDEX(前日確定!$X$26:$X$45,MATCH(A51,前日確定!$B$26:$B$45,0)),""))</f>
        <v/>
      </c>
    </row>
    <row r="52" customFormat="false" ht="15" hidden="false" customHeight="false" outlineLevel="0" collapsed="false">
      <c r="A52" s="25"/>
      <c r="B52" s="24" t="str">
        <f aca="false">IF(A52="","",IFERROR(INDEX(前日確定!$C$26:$C$45,MATCH(A52,前日確定!$B$26:$B$45,0)),"作業が見つかりません"))</f>
        <v/>
      </c>
      <c r="C52" s="24" t="str">
        <f aca="false">IF(A52="","",IFERROR(INDEX(前日確定!$D$26:$D$45,MATCH(A52,前日確定!$B$26:$B$45,0)),""))</f>
        <v/>
      </c>
      <c r="D52" s="24" t="str">
        <f aca="false">IF(B52="","",COUNTIF(B$26:B52,B52))</f>
        <v/>
      </c>
      <c r="E52" s="28" t="str">
        <f aca="false">IF(A52="","",IFERROR(IF(INDEX(前日確定!$Y$26:$Y$45,MATCH(A52,前日確定!$B$26:$B$45,0))="","",INDEX(前日確定!$Y$26:$Y$45,MATCH(A52,前日確定!$B$26:$B$45,0))),""))</f>
        <v/>
      </c>
      <c r="F52" s="24" t="str">
        <f aca="false">IF(A52="","",IFERROR(INDEX(前日確定!$R$26:$R$45,MATCH(A52,前日確定!$B$26:$B$45,0)),""))</f>
        <v/>
      </c>
      <c r="G52" s="22"/>
      <c r="H52" s="20"/>
      <c r="I52" s="28" t="str">
        <f aca="false">IF(A52="","",IF(D52=1,E52,IFERROR(INDEX($AA$26:$AA$51,MATCH(AC52,$Z$26:$Z$51,0)),"")))</f>
        <v/>
      </c>
      <c r="J52" s="27"/>
      <c r="K52" s="24" t="str">
        <f aca="false">IF(A52="","",IF(D52=1,F52,IFERROR(INDEX($AB$26:$AB$51,MATCH(AC52,$Z$26:$Z$51,0)),"")))</f>
        <v/>
      </c>
      <c r="L52" s="25"/>
      <c r="M52" s="25"/>
      <c r="N52" s="25"/>
      <c r="O52" s="25"/>
      <c r="P52" s="25"/>
      <c r="Q52" s="25"/>
      <c r="R52" s="25"/>
      <c r="S52" s="20"/>
      <c r="T52" s="20"/>
      <c r="U52" s="20"/>
      <c r="V52" s="25"/>
      <c r="W52" s="20"/>
      <c r="X52" s="20"/>
      <c r="Y52" s="20"/>
      <c r="Z52" s="24" t="str">
        <f aca="false">IF(B52="","",B52&amp;"#"&amp;D52)</f>
        <v/>
      </c>
      <c r="AA52" s="28" t="str">
        <f aca="false">IF(A52="","",IF(J52="",I52,IF(J52&lt;1,AD52+J52,J52)))</f>
        <v/>
      </c>
      <c r="AB52" s="24" t="str">
        <f aca="false">IF(A52="","",IF(COUNTA(L52:Q52)=0,K52,_xlfn.TEXTJOIN("・",TRUE(),L52:Q52)))</f>
        <v/>
      </c>
      <c r="AC52" s="24" t="str">
        <f aca="false">IF(B52="","",B52&amp;"#"&amp;(D52-1))</f>
        <v/>
      </c>
      <c r="AD52" s="19" t="str">
        <f aca="false">IF(A52="","",IFERROR(INDEX(前日確定!$X$26:$X$45,MATCH(A52,前日確定!$B$26:$B$45,0)),""))</f>
        <v/>
      </c>
    </row>
    <row r="53" customFormat="false" ht="15" hidden="false" customHeight="false" outlineLevel="0" collapsed="false">
      <c r="A53" s="25"/>
      <c r="B53" s="24" t="str">
        <f aca="false">IF(A53="","",IFERROR(INDEX(前日確定!$C$26:$C$45,MATCH(A53,前日確定!$B$26:$B$45,0)),"作業が見つかりません"))</f>
        <v/>
      </c>
      <c r="C53" s="24" t="str">
        <f aca="false">IF(A53="","",IFERROR(INDEX(前日確定!$D$26:$D$45,MATCH(A53,前日確定!$B$26:$B$45,0)),""))</f>
        <v/>
      </c>
      <c r="D53" s="24" t="str">
        <f aca="false">IF(B53="","",COUNTIF(B$26:B53,B53))</f>
        <v/>
      </c>
      <c r="E53" s="28" t="str">
        <f aca="false">IF(A53="","",IFERROR(IF(INDEX(前日確定!$Y$26:$Y$45,MATCH(A53,前日確定!$B$26:$B$45,0))="","",INDEX(前日確定!$Y$26:$Y$45,MATCH(A53,前日確定!$B$26:$B$45,0))),""))</f>
        <v/>
      </c>
      <c r="F53" s="24" t="str">
        <f aca="false">IF(A53="","",IFERROR(INDEX(前日確定!$R$26:$R$45,MATCH(A53,前日確定!$B$26:$B$45,0)),""))</f>
        <v/>
      </c>
      <c r="G53" s="22"/>
      <c r="H53" s="20"/>
      <c r="I53" s="28" t="str">
        <f aca="false">IF(A53="","",IF(D53=1,E53,IFERROR(INDEX($AA$26:$AA$52,MATCH(AC53,$Z$26:$Z$52,0)),"")))</f>
        <v/>
      </c>
      <c r="J53" s="27"/>
      <c r="K53" s="24" t="str">
        <f aca="false">IF(A53="","",IF(D53=1,F53,IFERROR(INDEX($AB$26:$AB$52,MATCH(AC53,$Z$26:$Z$52,0)),"")))</f>
        <v/>
      </c>
      <c r="L53" s="25"/>
      <c r="M53" s="25"/>
      <c r="N53" s="25"/>
      <c r="O53" s="25"/>
      <c r="P53" s="25"/>
      <c r="Q53" s="25"/>
      <c r="R53" s="25"/>
      <c r="S53" s="20"/>
      <c r="T53" s="20"/>
      <c r="U53" s="20"/>
      <c r="V53" s="25"/>
      <c r="W53" s="20"/>
      <c r="X53" s="20"/>
      <c r="Y53" s="20"/>
      <c r="Z53" s="24" t="str">
        <f aca="false">IF(B53="","",B53&amp;"#"&amp;D53)</f>
        <v/>
      </c>
      <c r="AA53" s="28" t="str">
        <f aca="false">IF(A53="","",IF(J53="",I53,IF(J53&lt;1,AD53+J53,J53)))</f>
        <v/>
      </c>
      <c r="AB53" s="24" t="str">
        <f aca="false">IF(A53="","",IF(COUNTA(L53:Q53)=0,K53,_xlfn.TEXTJOIN("・",TRUE(),L53:Q53)))</f>
        <v/>
      </c>
      <c r="AC53" s="24" t="str">
        <f aca="false">IF(B53="","",B53&amp;"#"&amp;(D53-1))</f>
        <v/>
      </c>
      <c r="AD53" s="19" t="str">
        <f aca="false">IF(A53="","",IFERROR(INDEX(前日確定!$X$26:$X$45,MATCH(A53,前日確定!$B$26:$B$45,0)),""))</f>
        <v/>
      </c>
    </row>
    <row r="54" customFormat="false" ht="15" hidden="false" customHeight="false" outlineLevel="0" collapsed="false">
      <c r="A54" s="25"/>
      <c r="B54" s="24" t="str">
        <f aca="false">IF(A54="","",IFERROR(INDEX(前日確定!$C$26:$C$45,MATCH(A54,前日確定!$B$26:$B$45,0)),"作業が見つかりません"))</f>
        <v/>
      </c>
      <c r="C54" s="24" t="str">
        <f aca="false">IF(A54="","",IFERROR(INDEX(前日確定!$D$26:$D$45,MATCH(A54,前日確定!$B$26:$B$45,0)),""))</f>
        <v/>
      </c>
      <c r="D54" s="24" t="str">
        <f aca="false">IF(B54="","",COUNTIF(B$26:B54,B54))</f>
        <v/>
      </c>
      <c r="E54" s="28" t="str">
        <f aca="false">IF(A54="","",IFERROR(IF(INDEX(前日確定!$Y$26:$Y$45,MATCH(A54,前日確定!$B$26:$B$45,0))="","",INDEX(前日確定!$Y$26:$Y$45,MATCH(A54,前日確定!$B$26:$B$45,0))),""))</f>
        <v/>
      </c>
      <c r="F54" s="24" t="str">
        <f aca="false">IF(A54="","",IFERROR(INDEX(前日確定!$R$26:$R$45,MATCH(A54,前日確定!$B$26:$B$45,0)),""))</f>
        <v/>
      </c>
      <c r="G54" s="22"/>
      <c r="H54" s="20"/>
      <c r="I54" s="28" t="str">
        <f aca="false">IF(A54="","",IF(D54=1,E54,IFERROR(INDEX($AA$26:$AA$53,MATCH(AC54,$Z$26:$Z$53,0)),"")))</f>
        <v/>
      </c>
      <c r="J54" s="27"/>
      <c r="K54" s="24" t="str">
        <f aca="false">IF(A54="","",IF(D54=1,F54,IFERROR(INDEX($AB$26:$AB$53,MATCH(AC54,$Z$26:$Z$53,0)),"")))</f>
        <v/>
      </c>
      <c r="L54" s="25"/>
      <c r="M54" s="25"/>
      <c r="N54" s="25"/>
      <c r="O54" s="25"/>
      <c r="P54" s="25"/>
      <c r="Q54" s="25"/>
      <c r="R54" s="25"/>
      <c r="S54" s="20"/>
      <c r="T54" s="20"/>
      <c r="U54" s="20"/>
      <c r="V54" s="25"/>
      <c r="W54" s="20"/>
      <c r="X54" s="20"/>
      <c r="Y54" s="20"/>
      <c r="Z54" s="24" t="str">
        <f aca="false">IF(B54="","",B54&amp;"#"&amp;D54)</f>
        <v/>
      </c>
      <c r="AA54" s="28" t="str">
        <f aca="false">IF(A54="","",IF(J54="",I54,IF(J54&lt;1,AD54+J54,J54)))</f>
        <v/>
      </c>
      <c r="AB54" s="24" t="str">
        <f aca="false">IF(A54="","",IF(COUNTA(L54:Q54)=0,K54,_xlfn.TEXTJOIN("・",TRUE(),L54:Q54)))</f>
        <v/>
      </c>
      <c r="AC54" s="24" t="str">
        <f aca="false">IF(B54="","",B54&amp;"#"&amp;(D54-1))</f>
        <v/>
      </c>
      <c r="AD54" s="19" t="str">
        <f aca="false">IF(A54="","",IFERROR(INDEX(前日確定!$X$26:$X$45,MATCH(A54,前日確定!$B$26:$B$45,0)),""))</f>
        <v/>
      </c>
    </row>
    <row r="55" customFormat="false" ht="15" hidden="false" customHeight="false" outlineLevel="0" collapsed="false">
      <c r="A55" s="25"/>
      <c r="B55" s="24" t="str">
        <f aca="false">IF(A55="","",IFERROR(INDEX(前日確定!$C$26:$C$45,MATCH(A55,前日確定!$B$26:$B$45,0)),"作業が見つかりません"))</f>
        <v/>
      </c>
      <c r="C55" s="24" t="str">
        <f aca="false">IF(A55="","",IFERROR(INDEX(前日確定!$D$26:$D$45,MATCH(A55,前日確定!$B$26:$B$45,0)),""))</f>
        <v/>
      </c>
      <c r="D55" s="24" t="str">
        <f aca="false">IF(B55="","",COUNTIF(B$26:B55,B55))</f>
        <v/>
      </c>
      <c r="E55" s="28" t="str">
        <f aca="false">IF(A55="","",IFERROR(IF(INDEX(前日確定!$Y$26:$Y$45,MATCH(A55,前日確定!$B$26:$B$45,0))="","",INDEX(前日確定!$Y$26:$Y$45,MATCH(A55,前日確定!$B$26:$B$45,0))),""))</f>
        <v/>
      </c>
      <c r="F55" s="24" t="str">
        <f aca="false">IF(A55="","",IFERROR(INDEX(前日確定!$R$26:$R$45,MATCH(A55,前日確定!$B$26:$B$45,0)),""))</f>
        <v/>
      </c>
      <c r="G55" s="22"/>
      <c r="H55" s="20"/>
      <c r="I55" s="28" t="str">
        <f aca="false">IF(A55="","",IF(D55=1,E55,IFERROR(INDEX($AA$26:$AA$54,MATCH(AC55,$Z$26:$Z$54,0)),"")))</f>
        <v/>
      </c>
      <c r="J55" s="27"/>
      <c r="K55" s="24" t="str">
        <f aca="false">IF(A55="","",IF(D55=1,F55,IFERROR(INDEX($AB$26:$AB$54,MATCH(AC55,$Z$26:$Z$54,0)),"")))</f>
        <v/>
      </c>
      <c r="L55" s="25"/>
      <c r="M55" s="25"/>
      <c r="N55" s="25"/>
      <c r="O55" s="25"/>
      <c r="P55" s="25"/>
      <c r="Q55" s="25"/>
      <c r="R55" s="25"/>
      <c r="S55" s="20"/>
      <c r="T55" s="20"/>
      <c r="U55" s="20"/>
      <c r="V55" s="25"/>
      <c r="W55" s="20"/>
      <c r="X55" s="20"/>
      <c r="Y55" s="20"/>
      <c r="Z55" s="24" t="str">
        <f aca="false">IF(B55="","",B55&amp;"#"&amp;D55)</f>
        <v/>
      </c>
      <c r="AA55" s="28" t="str">
        <f aca="false">IF(A55="","",IF(J55="",I55,IF(J55&lt;1,AD55+J55,J55)))</f>
        <v/>
      </c>
      <c r="AB55" s="24" t="str">
        <f aca="false">IF(A55="","",IF(COUNTA(L55:Q55)=0,K55,_xlfn.TEXTJOIN("・",TRUE(),L55:Q55)))</f>
        <v/>
      </c>
      <c r="AC55" s="24" t="str">
        <f aca="false">IF(B55="","",B55&amp;"#"&amp;(D55-1))</f>
        <v/>
      </c>
      <c r="AD55" s="19" t="str">
        <f aca="false">IF(A55="","",IFERROR(INDEX(前日確定!$X$26:$X$45,MATCH(A55,前日確定!$B$26:$B$45,0)),""))</f>
        <v/>
      </c>
    </row>
    <row r="56" customFormat="false" ht="15" hidden="false" customHeight="false" outlineLevel="0" collapsed="false">
      <c r="A56" s="25"/>
      <c r="B56" s="24" t="str">
        <f aca="false">IF(A56="","",IFERROR(INDEX(前日確定!$C$26:$C$45,MATCH(A56,前日確定!$B$26:$B$45,0)),"作業が見つかりません"))</f>
        <v/>
      </c>
      <c r="C56" s="24" t="str">
        <f aca="false">IF(A56="","",IFERROR(INDEX(前日確定!$D$26:$D$45,MATCH(A56,前日確定!$B$26:$B$45,0)),""))</f>
        <v/>
      </c>
      <c r="D56" s="24" t="str">
        <f aca="false">IF(B56="","",COUNTIF(B$26:B56,B56))</f>
        <v/>
      </c>
      <c r="E56" s="28" t="str">
        <f aca="false">IF(A56="","",IFERROR(IF(INDEX(前日確定!$Y$26:$Y$45,MATCH(A56,前日確定!$B$26:$B$45,0))="","",INDEX(前日確定!$Y$26:$Y$45,MATCH(A56,前日確定!$B$26:$B$45,0))),""))</f>
        <v/>
      </c>
      <c r="F56" s="24" t="str">
        <f aca="false">IF(A56="","",IFERROR(INDEX(前日確定!$R$26:$R$45,MATCH(A56,前日確定!$B$26:$B$45,0)),""))</f>
        <v/>
      </c>
      <c r="G56" s="22"/>
      <c r="H56" s="20"/>
      <c r="I56" s="28" t="str">
        <f aca="false">IF(A56="","",IF(D56=1,E56,IFERROR(INDEX($AA$26:$AA$55,MATCH(AC56,$Z$26:$Z$55,0)),"")))</f>
        <v/>
      </c>
      <c r="J56" s="27"/>
      <c r="K56" s="24" t="str">
        <f aca="false">IF(A56="","",IF(D56=1,F56,IFERROR(INDEX($AB$26:$AB$55,MATCH(AC56,$Z$26:$Z$55,0)),"")))</f>
        <v/>
      </c>
      <c r="L56" s="25"/>
      <c r="M56" s="25"/>
      <c r="N56" s="25"/>
      <c r="O56" s="25"/>
      <c r="P56" s="25"/>
      <c r="Q56" s="25"/>
      <c r="R56" s="25"/>
      <c r="S56" s="20"/>
      <c r="T56" s="20"/>
      <c r="U56" s="20"/>
      <c r="V56" s="25"/>
      <c r="W56" s="20"/>
      <c r="X56" s="20"/>
      <c r="Y56" s="20"/>
      <c r="Z56" s="24" t="str">
        <f aca="false">IF(B56="","",B56&amp;"#"&amp;D56)</f>
        <v/>
      </c>
      <c r="AA56" s="28" t="str">
        <f aca="false">IF(A56="","",IF(J56="",I56,IF(J56&lt;1,AD56+J56,J56)))</f>
        <v/>
      </c>
      <c r="AB56" s="24" t="str">
        <f aca="false">IF(A56="","",IF(COUNTA(L56:Q56)=0,K56,_xlfn.TEXTJOIN("・",TRUE(),L56:Q56)))</f>
        <v/>
      </c>
      <c r="AC56" s="24" t="str">
        <f aca="false">IF(B56="","",B56&amp;"#"&amp;(D56-1))</f>
        <v/>
      </c>
      <c r="AD56" s="19" t="str">
        <f aca="false">IF(A56="","",IFERROR(INDEX(前日確定!$X$26:$X$45,MATCH(A56,前日確定!$B$26:$B$45,0)),""))</f>
        <v/>
      </c>
    </row>
    <row r="57" customFormat="false" ht="15" hidden="false" customHeight="false" outlineLevel="0" collapsed="false">
      <c r="A57" s="25"/>
      <c r="B57" s="24" t="str">
        <f aca="false">IF(A57="","",IFERROR(INDEX(前日確定!$C$26:$C$45,MATCH(A57,前日確定!$B$26:$B$45,0)),"作業が見つかりません"))</f>
        <v/>
      </c>
      <c r="C57" s="24" t="str">
        <f aca="false">IF(A57="","",IFERROR(INDEX(前日確定!$D$26:$D$45,MATCH(A57,前日確定!$B$26:$B$45,0)),""))</f>
        <v/>
      </c>
      <c r="D57" s="24" t="str">
        <f aca="false">IF(B57="","",COUNTIF(B$26:B57,B57))</f>
        <v/>
      </c>
      <c r="E57" s="28" t="str">
        <f aca="false">IF(A57="","",IFERROR(IF(INDEX(前日確定!$Y$26:$Y$45,MATCH(A57,前日確定!$B$26:$B$45,0))="","",INDEX(前日確定!$Y$26:$Y$45,MATCH(A57,前日確定!$B$26:$B$45,0))),""))</f>
        <v/>
      </c>
      <c r="F57" s="24" t="str">
        <f aca="false">IF(A57="","",IFERROR(INDEX(前日確定!$R$26:$R$45,MATCH(A57,前日確定!$B$26:$B$45,0)),""))</f>
        <v/>
      </c>
      <c r="G57" s="22"/>
      <c r="H57" s="20"/>
      <c r="I57" s="28" t="str">
        <f aca="false">IF(A57="","",IF(D57=1,E57,IFERROR(INDEX($AA$26:$AA$56,MATCH(AC57,$Z$26:$Z$56,0)),"")))</f>
        <v/>
      </c>
      <c r="J57" s="27"/>
      <c r="K57" s="24" t="str">
        <f aca="false">IF(A57="","",IF(D57=1,F57,IFERROR(INDEX($AB$26:$AB$56,MATCH(AC57,$Z$26:$Z$56,0)),"")))</f>
        <v/>
      </c>
      <c r="L57" s="25"/>
      <c r="M57" s="25"/>
      <c r="N57" s="25"/>
      <c r="O57" s="25"/>
      <c r="P57" s="25"/>
      <c r="Q57" s="25"/>
      <c r="R57" s="25"/>
      <c r="S57" s="20"/>
      <c r="T57" s="20"/>
      <c r="U57" s="20"/>
      <c r="V57" s="25"/>
      <c r="W57" s="20"/>
      <c r="X57" s="20"/>
      <c r="Y57" s="20"/>
      <c r="Z57" s="24" t="str">
        <f aca="false">IF(B57="","",B57&amp;"#"&amp;D57)</f>
        <v/>
      </c>
      <c r="AA57" s="28" t="str">
        <f aca="false">IF(A57="","",IF(J57="",I57,IF(J57&lt;1,AD57+J57,J57)))</f>
        <v/>
      </c>
      <c r="AB57" s="24" t="str">
        <f aca="false">IF(A57="","",IF(COUNTA(L57:Q57)=0,K57,_xlfn.TEXTJOIN("・",TRUE(),L57:Q57)))</f>
        <v/>
      </c>
      <c r="AC57" s="24" t="str">
        <f aca="false">IF(B57="","",B57&amp;"#"&amp;(D57-1))</f>
        <v/>
      </c>
      <c r="AD57" s="19" t="str">
        <f aca="false">IF(A57="","",IFERROR(INDEX(前日確定!$X$26:$X$45,MATCH(A57,前日確定!$B$26:$B$45,0)),""))</f>
        <v/>
      </c>
    </row>
    <row r="58" customFormat="false" ht="15" hidden="false" customHeight="false" outlineLevel="0" collapsed="false">
      <c r="A58" s="25"/>
      <c r="B58" s="24" t="str">
        <f aca="false">IF(A58="","",IFERROR(INDEX(前日確定!$C$26:$C$45,MATCH(A58,前日確定!$B$26:$B$45,0)),"作業が見つかりません"))</f>
        <v/>
      </c>
      <c r="C58" s="24" t="str">
        <f aca="false">IF(A58="","",IFERROR(INDEX(前日確定!$D$26:$D$45,MATCH(A58,前日確定!$B$26:$B$45,0)),""))</f>
        <v/>
      </c>
      <c r="D58" s="24" t="str">
        <f aca="false">IF(B58="","",COUNTIF(B$26:B58,B58))</f>
        <v/>
      </c>
      <c r="E58" s="28" t="str">
        <f aca="false">IF(A58="","",IFERROR(IF(INDEX(前日確定!$Y$26:$Y$45,MATCH(A58,前日確定!$B$26:$B$45,0))="","",INDEX(前日確定!$Y$26:$Y$45,MATCH(A58,前日確定!$B$26:$B$45,0))),""))</f>
        <v/>
      </c>
      <c r="F58" s="24" t="str">
        <f aca="false">IF(A58="","",IFERROR(INDEX(前日確定!$R$26:$R$45,MATCH(A58,前日確定!$B$26:$B$45,0)),""))</f>
        <v/>
      </c>
      <c r="G58" s="22"/>
      <c r="H58" s="20"/>
      <c r="I58" s="28" t="str">
        <f aca="false">IF(A58="","",IF(D58=1,E58,IFERROR(INDEX($AA$26:$AA$57,MATCH(AC58,$Z$26:$Z$57,0)),"")))</f>
        <v/>
      </c>
      <c r="J58" s="27"/>
      <c r="K58" s="24" t="str">
        <f aca="false">IF(A58="","",IF(D58=1,F58,IFERROR(INDEX($AB$26:$AB$57,MATCH(AC58,$Z$26:$Z$57,0)),"")))</f>
        <v/>
      </c>
      <c r="L58" s="25"/>
      <c r="M58" s="25"/>
      <c r="N58" s="25"/>
      <c r="O58" s="25"/>
      <c r="P58" s="25"/>
      <c r="Q58" s="25"/>
      <c r="R58" s="25"/>
      <c r="S58" s="20"/>
      <c r="T58" s="20"/>
      <c r="U58" s="20"/>
      <c r="V58" s="25"/>
      <c r="W58" s="20"/>
      <c r="X58" s="20"/>
      <c r="Y58" s="20"/>
      <c r="Z58" s="24" t="str">
        <f aca="false">IF(B58="","",B58&amp;"#"&amp;D58)</f>
        <v/>
      </c>
      <c r="AA58" s="28" t="str">
        <f aca="false">IF(A58="","",IF(J58="",I58,IF(J58&lt;1,AD58+J58,J58)))</f>
        <v/>
      </c>
      <c r="AB58" s="24" t="str">
        <f aca="false">IF(A58="","",IF(COUNTA(L58:Q58)=0,K58,_xlfn.TEXTJOIN("・",TRUE(),L58:Q58)))</f>
        <v/>
      </c>
      <c r="AC58" s="24" t="str">
        <f aca="false">IF(B58="","",B58&amp;"#"&amp;(D58-1))</f>
        <v/>
      </c>
      <c r="AD58" s="19" t="str">
        <f aca="false">IF(A58="","",IFERROR(INDEX(前日確定!$X$26:$X$45,MATCH(A58,前日確定!$B$26:$B$45,0)),""))</f>
        <v/>
      </c>
    </row>
    <row r="59" customFormat="false" ht="15" hidden="false" customHeight="false" outlineLevel="0" collapsed="false">
      <c r="A59" s="25"/>
      <c r="B59" s="24" t="str">
        <f aca="false">IF(A59="","",IFERROR(INDEX(前日確定!$C$26:$C$45,MATCH(A59,前日確定!$B$26:$B$45,0)),"作業が見つかりません"))</f>
        <v/>
      </c>
      <c r="C59" s="24" t="str">
        <f aca="false">IF(A59="","",IFERROR(INDEX(前日確定!$D$26:$D$45,MATCH(A59,前日確定!$B$26:$B$45,0)),""))</f>
        <v/>
      </c>
      <c r="D59" s="24" t="str">
        <f aca="false">IF(B59="","",COUNTIF(B$26:B59,B59))</f>
        <v/>
      </c>
      <c r="E59" s="28" t="str">
        <f aca="false">IF(A59="","",IFERROR(IF(INDEX(前日確定!$Y$26:$Y$45,MATCH(A59,前日確定!$B$26:$B$45,0))="","",INDEX(前日確定!$Y$26:$Y$45,MATCH(A59,前日確定!$B$26:$B$45,0))),""))</f>
        <v/>
      </c>
      <c r="F59" s="24" t="str">
        <f aca="false">IF(A59="","",IFERROR(INDEX(前日確定!$R$26:$R$45,MATCH(A59,前日確定!$B$26:$B$45,0)),""))</f>
        <v/>
      </c>
      <c r="G59" s="22"/>
      <c r="H59" s="20"/>
      <c r="I59" s="28" t="str">
        <f aca="false">IF(A59="","",IF(D59=1,E59,IFERROR(INDEX($AA$26:$AA$58,MATCH(AC59,$Z$26:$Z$58,0)),"")))</f>
        <v/>
      </c>
      <c r="J59" s="27"/>
      <c r="K59" s="24" t="str">
        <f aca="false">IF(A59="","",IF(D59=1,F59,IFERROR(INDEX($AB$26:$AB$58,MATCH(AC59,$Z$26:$Z$58,0)),"")))</f>
        <v/>
      </c>
      <c r="L59" s="25"/>
      <c r="M59" s="25"/>
      <c r="N59" s="25"/>
      <c r="O59" s="25"/>
      <c r="P59" s="25"/>
      <c r="Q59" s="25"/>
      <c r="R59" s="25"/>
      <c r="S59" s="20"/>
      <c r="T59" s="20"/>
      <c r="U59" s="20"/>
      <c r="V59" s="25"/>
      <c r="W59" s="20"/>
      <c r="X59" s="20"/>
      <c r="Y59" s="20"/>
      <c r="Z59" s="24" t="str">
        <f aca="false">IF(B59="","",B59&amp;"#"&amp;D59)</f>
        <v/>
      </c>
      <c r="AA59" s="28" t="str">
        <f aca="false">IF(A59="","",IF(J59="",I59,IF(J59&lt;1,AD59+J59,J59)))</f>
        <v/>
      </c>
      <c r="AB59" s="24" t="str">
        <f aca="false">IF(A59="","",IF(COUNTA(L59:Q59)=0,K59,_xlfn.TEXTJOIN("・",TRUE(),L59:Q59)))</f>
        <v/>
      </c>
      <c r="AC59" s="24" t="str">
        <f aca="false">IF(B59="","",B59&amp;"#"&amp;(D59-1))</f>
        <v/>
      </c>
      <c r="AD59" s="19" t="str">
        <f aca="false">IF(A59="","",IFERROR(INDEX(前日確定!$X$26:$X$45,MATCH(A59,前日確定!$B$26:$B$45,0)),""))</f>
        <v/>
      </c>
    </row>
    <row r="60" customFormat="false" ht="15" hidden="false" customHeight="false" outlineLevel="0" collapsed="false">
      <c r="A60" s="25"/>
      <c r="B60" s="24" t="str">
        <f aca="false">IF(A60="","",IFERROR(INDEX(前日確定!$C$26:$C$45,MATCH(A60,前日確定!$B$26:$B$45,0)),"作業が見つかりません"))</f>
        <v/>
      </c>
      <c r="C60" s="24" t="str">
        <f aca="false">IF(A60="","",IFERROR(INDEX(前日確定!$D$26:$D$45,MATCH(A60,前日確定!$B$26:$B$45,0)),""))</f>
        <v/>
      </c>
      <c r="D60" s="24" t="str">
        <f aca="false">IF(B60="","",COUNTIF(B$26:B60,B60))</f>
        <v/>
      </c>
      <c r="E60" s="28" t="str">
        <f aca="false">IF(A60="","",IFERROR(IF(INDEX(前日確定!$Y$26:$Y$45,MATCH(A60,前日確定!$B$26:$B$45,0))="","",INDEX(前日確定!$Y$26:$Y$45,MATCH(A60,前日確定!$B$26:$B$45,0))),""))</f>
        <v/>
      </c>
      <c r="F60" s="24" t="str">
        <f aca="false">IF(A60="","",IFERROR(INDEX(前日確定!$R$26:$R$45,MATCH(A60,前日確定!$B$26:$B$45,0)),""))</f>
        <v/>
      </c>
      <c r="G60" s="22"/>
      <c r="H60" s="20"/>
      <c r="I60" s="28" t="str">
        <f aca="false">IF(A60="","",IF(D60=1,E60,IFERROR(INDEX($AA$26:$AA$59,MATCH(AC60,$Z$26:$Z$59,0)),"")))</f>
        <v/>
      </c>
      <c r="J60" s="27"/>
      <c r="K60" s="24" t="str">
        <f aca="false">IF(A60="","",IF(D60=1,F60,IFERROR(INDEX($AB$26:$AB$59,MATCH(AC60,$Z$26:$Z$59,0)),"")))</f>
        <v/>
      </c>
      <c r="L60" s="25"/>
      <c r="M60" s="25"/>
      <c r="N60" s="25"/>
      <c r="O60" s="25"/>
      <c r="P60" s="25"/>
      <c r="Q60" s="25"/>
      <c r="R60" s="25"/>
      <c r="S60" s="20"/>
      <c r="T60" s="20"/>
      <c r="U60" s="20"/>
      <c r="V60" s="25"/>
      <c r="W60" s="20"/>
      <c r="X60" s="20"/>
      <c r="Y60" s="20"/>
      <c r="Z60" s="24" t="str">
        <f aca="false">IF(B60="","",B60&amp;"#"&amp;D60)</f>
        <v/>
      </c>
      <c r="AA60" s="28" t="str">
        <f aca="false">IF(A60="","",IF(J60="",I60,IF(J60&lt;1,AD60+J60,J60)))</f>
        <v/>
      </c>
      <c r="AB60" s="24" t="str">
        <f aca="false">IF(A60="","",IF(COUNTA(L60:Q60)=0,K60,_xlfn.TEXTJOIN("・",TRUE(),L60:Q60)))</f>
        <v/>
      </c>
      <c r="AC60" s="24" t="str">
        <f aca="false">IF(B60="","",B60&amp;"#"&amp;(D60-1))</f>
        <v/>
      </c>
      <c r="AD60" s="19" t="str">
        <f aca="false">IF(A60="","",IFERROR(INDEX(前日確定!$X$26:$X$45,MATCH(A60,前日確定!$B$26:$B$45,0)),""))</f>
        <v/>
      </c>
    </row>
    <row r="61" customFormat="false" ht="15" hidden="false" customHeight="false" outlineLevel="0" collapsed="false">
      <c r="A61" s="25"/>
      <c r="B61" s="24" t="str">
        <f aca="false">IF(A61="","",IFERROR(INDEX(前日確定!$C$26:$C$45,MATCH(A61,前日確定!$B$26:$B$45,0)),"作業が見つかりません"))</f>
        <v/>
      </c>
      <c r="C61" s="24" t="str">
        <f aca="false">IF(A61="","",IFERROR(INDEX(前日確定!$D$26:$D$45,MATCH(A61,前日確定!$B$26:$B$45,0)),""))</f>
        <v/>
      </c>
      <c r="D61" s="24" t="str">
        <f aca="false">IF(B61="","",COUNTIF(B$26:B61,B61))</f>
        <v/>
      </c>
      <c r="E61" s="28" t="str">
        <f aca="false">IF(A61="","",IFERROR(IF(INDEX(前日確定!$Y$26:$Y$45,MATCH(A61,前日確定!$B$26:$B$45,0))="","",INDEX(前日確定!$Y$26:$Y$45,MATCH(A61,前日確定!$B$26:$B$45,0))),""))</f>
        <v/>
      </c>
      <c r="F61" s="24" t="str">
        <f aca="false">IF(A61="","",IFERROR(INDEX(前日確定!$R$26:$R$45,MATCH(A61,前日確定!$B$26:$B$45,0)),""))</f>
        <v/>
      </c>
      <c r="G61" s="22"/>
      <c r="H61" s="20"/>
      <c r="I61" s="28" t="str">
        <f aca="false">IF(A61="","",IF(D61=1,E61,IFERROR(INDEX($AA$26:$AA$60,MATCH(AC61,$Z$26:$Z$60,0)),"")))</f>
        <v/>
      </c>
      <c r="J61" s="27"/>
      <c r="K61" s="24" t="str">
        <f aca="false">IF(A61="","",IF(D61=1,F61,IFERROR(INDEX($AB$26:$AB$60,MATCH(AC61,$Z$26:$Z$60,0)),"")))</f>
        <v/>
      </c>
      <c r="L61" s="25"/>
      <c r="M61" s="25"/>
      <c r="N61" s="25"/>
      <c r="O61" s="25"/>
      <c r="P61" s="25"/>
      <c r="Q61" s="25"/>
      <c r="R61" s="25"/>
      <c r="S61" s="20"/>
      <c r="T61" s="20"/>
      <c r="U61" s="20"/>
      <c r="V61" s="25"/>
      <c r="W61" s="20"/>
      <c r="X61" s="20"/>
      <c r="Y61" s="20"/>
      <c r="Z61" s="24" t="str">
        <f aca="false">IF(B61="","",B61&amp;"#"&amp;D61)</f>
        <v/>
      </c>
      <c r="AA61" s="28" t="str">
        <f aca="false">IF(A61="","",IF(J61="",I61,IF(J61&lt;1,AD61+J61,J61)))</f>
        <v/>
      </c>
      <c r="AB61" s="24" t="str">
        <f aca="false">IF(A61="","",IF(COUNTA(L61:Q61)=0,K61,_xlfn.TEXTJOIN("・",TRUE(),L61:Q61)))</f>
        <v/>
      </c>
      <c r="AC61" s="24" t="str">
        <f aca="false">IF(B61="","",B61&amp;"#"&amp;(D61-1))</f>
        <v/>
      </c>
      <c r="AD61" s="19" t="str">
        <f aca="false">IF(A61="","",IFERROR(INDEX(前日確定!$X$26:$X$45,MATCH(A61,前日確定!$B$26:$B$45,0)),""))</f>
        <v/>
      </c>
    </row>
    <row r="62" customFormat="false" ht="15" hidden="false" customHeight="false" outlineLevel="0" collapsed="false">
      <c r="A62" s="25"/>
      <c r="B62" s="24" t="str">
        <f aca="false">IF(A62="","",IFERROR(INDEX(前日確定!$C$26:$C$45,MATCH(A62,前日確定!$B$26:$B$45,0)),"作業が見つかりません"))</f>
        <v/>
      </c>
      <c r="C62" s="24" t="str">
        <f aca="false">IF(A62="","",IFERROR(INDEX(前日確定!$D$26:$D$45,MATCH(A62,前日確定!$B$26:$B$45,0)),""))</f>
        <v/>
      </c>
      <c r="D62" s="24" t="str">
        <f aca="false">IF(B62="","",COUNTIF(B$26:B62,B62))</f>
        <v/>
      </c>
      <c r="E62" s="28" t="str">
        <f aca="false">IF(A62="","",IFERROR(IF(INDEX(前日確定!$Y$26:$Y$45,MATCH(A62,前日確定!$B$26:$B$45,0))="","",INDEX(前日確定!$Y$26:$Y$45,MATCH(A62,前日確定!$B$26:$B$45,0))),""))</f>
        <v/>
      </c>
      <c r="F62" s="24" t="str">
        <f aca="false">IF(A62="","",IFERROR(INDEX(前日確定!$R$26:$R$45,MATCH(A62,前日確定!$B$26:$B$45,0)),""))</f>
        <v/>
      </c>
      <c r="G62" s="22"/>
      <c r="H62" s="20"/>
      <c r="I62" s="28" t="str">
        <f aca="false">IF(A62="","",IF(D62=1,E62,IFERROR(INDEX($AA$26:$AA$61,MATCH(AC62,$Z$26:$Z$61,0)),"")))</f>
        <v/>
      </c>
      <c r="J62" s="27"/>
      <c r="K62" s="24" t="str">
        <f aca="false">IF(A62="","",IF(D62=1,F62,IFERROR(INDEX($AB$26:$AB$61,MATCH(AC62,$Z$26:$Z$61,0)),"")))</f>
        <v/>
      </c>
      <c r="L62" s="25"/>
      <c r="M62" s="25"/>
      <c r="N62" s="25"/>
      <c r="O62" s="25"/>
      <c r="P62" s="25"/>
      <c r="Q62" s="25"/>
      <c r="R62" s="25"/>
      <c r="S62" s="20"/>
      <c r="T62" s="20"/>
      <c r="U62" s="20"/>
      <c r="V62" s="25"/>
      <c r="W62" s="20"/>
      <c r="X62" s="20"/>
      <c r="Y62" s="20"/>
      <c r="Z62" s="24" t="str">
        <f aca="false">IF(B62="","",B62&amp;"#"&amp;D62)</f>
        <v/>
      </c>
      <c r="AA62" s="28" t="str">
        <f aca="false">IF(A62="","",IF(J62="",I62,IF(J62&lt;1,AD62+J62,J62)))</f>
        <v/>
      </c>
      <c r="AB62" s="24" t="str">
        <f aca="false">IF(A62="","",IF(COUNTA(L62:Q62)=0,K62,_xlfn.TEXTJOIN("・",TRUE(),L62:Q62)))</f>
        <v/>
      </c>
      <c r="AC62" s="24" t="str">
        <f aca="false">IF(B62="","",B62&amp;"#"&amp;(D62-1))</f>
        <v/>
      </c>
      <c r="AD62" s="19" t="str">
        <f aca="false">IF(A62="","",IFERROR(INDEX(前日確定!$X$26:$X$45,MATCH(A62,前日確定!$B$26:$B$45,0)),""))</f>
        <v/>
      </c>
    </row>
    <row r="63" customFormat="false" ht="15" hidden="false" customHeight="false" outlineLevel="0" collapsed="false">
      <c r="A63" s="25"/>
      <c r="B63" s="24" t="str">
        <f aca="false">IF(A63="","",IFERROR(INDEX(前日確定!$C$26:$C$45,MATCH(A63,前日確定!$B$26:$B$45,0)),"作業が見つかりません"))</f>
        <v/>
      </c>
      <c r="C63" s="24" t="str">
        <f aca="false">IF(A63="","",IFERROR(INDEX(前日確定!$D$26:$D$45,MATCH(A63,前日確定!$B$26:$B$45,0)),""))</f>
        <v/>
      </c>
      <c r="D63" s="24" t="str">
        <f aca="false">IF(B63="","",COUNTIF(B$26:B63,B63))</f>
        <v/>
      </c>
      <c r="E63" s="28" t="str">
        <f aca="false">IF(A63="","",IFERROR(IF(INDEX(前日確定!$Y$26:$Y$45,MATCH(A63,前日確定!$B$26:$B$45,0))="","",INDEX(前日確定!$Y$26:$Y$45,MATCH(A63,前日確定!$B$26:$B$45,0))),""))</f>
        <v/>
      </c>
      <c r="F63" s="24" t="str">
        <f aca="false">IF(A63="","",IFERROR(INDEX(前日確定!$R$26:$R$45,MATCH(A63,前日確定!$B$26:$B$45,0)),""))</f>
        <v/>
      </c>
      <c r="G63" s="22"/>
      <c r="H63" s="20"/>
      <c r="I63" s="28" t="str">
        <f aca="false">IF(A63="","",IF(D63=1,E63,IFERROR(INDEX($AA$26:$AA$62,MATCH(AC63,$Z$26:$Z$62,0)),"")))</f>
        <v/>
      </c>
      <c r="J63" s="27"/>
      <c r="K63" s="24" t="str">
        <f aca="false">IF(A63="","",IF(D63=1,F63,IFERROR(INDEX($AB$26:$AB$62,MATCH(AC63,$Z$26:$Z$62,0)),"")))</f>
        <v/>
      </c>
      <c r="L63" s="25"/>
      <c r="M63" s="25"/>
      <c r="N63" s="25"/>
      <c r="O63" s="25"/>
      <c r="P63" s="25"/>
      <c r="Q63" s="25"/>
      <c r="R63" s="25"/>
      <c r="S63" s="20"/>
      <c r="T63" s="20"/>
      <c r="U63" s="20"/>
      <c r="V63" s="25"/>
      <c r="W63" s="20"/>
      <c r="X63" s="20"/>
      <c r="Y63" s="20"/>
      <c r="Z63" s="24" t="str">
        <f aca="false">IF(B63="","",B63&amp;"#"&amp;D63)</f>
        <v/>
      </c>
      <c r="AA63" s="28" t="str">
        <f aca="false">IF(A63="","",IF(J63="",I63,IF(J63&lt;1,AD63+J63,J63)))</f>
        <v/>
      </c>
      <c r="AB63" s="24" t="str">
        <f aca="false">IF(A63="","",IF(COUNTA(L63:Q63)=0,K63,_xlfn.TEXTJOIN("・",TRUE(),L63:Q63)))</f>
        <v/>
      </c>
      <c r="AC63" s="24" t="str">
        <f aca="false">IF(B63="","",B63&amp;"#"&amp;(D63-1))</f>
        <v/>
      </c>
      <c r="AD63" s="19" t="str">
        <f aca="false">IF(A63="","",IFERROR(INDEX(前日確定!$X$26:$X$45,MATCH(A63,前日確定!$B$26:$B$45,0)),""))</f>
        <v/>
      </c>
    </row>
    <row r="64" customFormat="false" ht="15" hidden="false" customHeight="false" outlineLevel="0" collapsed="false">
      <c r="A64" s="25"/>
      <c r="B64" s="24" t="str">
        <f aca="false">IF(A64="","",IFERROR(INDEX(前日確定!$C$26:$C$45,MATCH(A64,前日確定!$B$26:$B$45,0)),"作業が見つかりません"))</f>
        <v/>
      </c>
      <c r="C64" s="24" t="str">
        <f aca="false">IF(A64="","",IFERROR(INDEX(前日確定!$D$26:$D$45,MATCH(A64,前日確定!$B$26:$B$45,0)),""))</f>
        <v/>
      </c>
      <c r="D64" s="24" t="str">
        <f aca="false">IF(B64="","",COUNTIF(B$26:B64,B64))</f>
        <v/>
      </c>
      <c r="E64" s="28" t="str">
        <f aca="false">IF(A64="","",IFERROR(IF(INDEX(前日確定!$Y$26:$Y$45,MATCH(A64,前日確定!$B$26:$B$45,0))="","",INDEX(前日確定!$Y$26:$Y$45,MATCH(A64,前日確定!$B$26:$B$45,0))),""))</f>
        <v/>
      </c>
      <c r="F64" s="24" t="str">
        <f aca="false">IF(A64="","",IFERROR(INDEX(前日確定!$R$26:$R$45,MATCH(A64,前日確定!$B$26:$B$45,0)),""))</f>
        <v/>
      </c>
      <c r="G64" s="22"/>
      <c r="H64" s="20"/>
      <c r="I64" s="28" t="str">
        <f aca="false">IF(A64="","",IF(D64=1,E64,IFERROR(INDEX($AA$26:$AA$63,MATCH(AC64,$Z$26:$Z$63,0)),"")))</f>
        <v/>
      </c>
      <c r="J64" s="27"/>
      <c r="K64" s="24" t="str">
        <f aca="false">IF(A64="","",IF(D64=1,F64,IFERROR(INDEX($AB$26:$AB$63,MATCH(AC64,$Z$26:$Z$63,0)),"")))</f>
        <v/>
      </c>
      <c r="L64" s="25"/>
      <c r="M64" s="25"/>
      <c r="N64" s="25"/>
      <c r="O64" s="25"/>
      <c r="P64" s="25"/>
      <c r="Q64" s="25"/>
      <c r="R64" s="25"/>
      <c r="S64" s="20"/>
      <c r="T64" s="20"/>
      <c r="U64" s="20"/>
      <c r="V64" s="25"/>
      <c r="W64" s="20"/>
      <c r="X64" s="20"/>
      <c r="Y64" s="20"/>
      <c r="Z64" s="24" t="str">
        <f aca="false">IF(B64="","",B64&amp;"#"&amp;D64)</f>
        <v/>
      </c>
      <c r="AA64" s="28" t="str">
        <f aca="false">IF(A64="","",IF(J64="",I64,IF(J64&lt;1,AD64+J64,J64)))</f>
        <v/>
      </c>
      <c r="AB64" s="24" t="str">
        <f aca="false">IF(A64="","",IF(COUNTA(L64:Q64)=0,K64,_xlfn.TEXTJOIN("・",TRUE(),L64:Q64)))</f>
        <v/>
      </c>
      <c r="AC64" s="24" t="str">
        <f aca="false">IF(B64="","",B64&amp;"#"&amp;(D64-1))</f>
        <v/>
      </c>
      <c r="AD64" s="19" t="str">
        <f aca="false">IF(A64="","",IFERROR(INDEX(前日確定!$X$26:$X$45,MATCH(A64,前日確定!$B$26:$B$45,0)),""))</f>
        <v/>
      </c>
    </row>
    <row r="65" customFormat="false" ht="15" hidden="false" customHeight="false" outlineLevel="0" collapsed="false">
      <c r="A65" s="25"/>
      <c r="B65" s="24" t="str">
        <f aca="false">IF(A65="","",IFERROR(INDEX(前日確定!$C$26:$C$45,MATCH(A65,前日確定!$B$26:$B$45,0)),"作業が見つかりません"))</f>
        <v/>
      </c>
      <c r="C65" s="24" t="str">
        <f aca="false">IF(A65="","",IFERROR(INDEX(前日確定!$D$26:$D$45,MATCH(A65,前日確定!$B$26:$B$45,0)),""))</f>
        <v/>
      </c>
      <c r="D65" s="24" t="str">
        <f aca="false">IF(B65="","",COUNTIF(B$26:B65,B65))</f>
        <v/>
      </c>
      <c r="E65" s="28" t="str">
        <f aca="false">IF(A65="","",IFERROR(IF(INDEX(前日確定!$Y$26:$Y$45,MATCH(A65,前日確定!$B$26:$B$45,0))="","",INDEX(前日確定!$Y$26:$Y$45,MATCH(A65,前日確定!$B$26:$B$45,0))),""))</f>
        <v/>
      </c>
      <c r="F65" s="24" t="str">
        <f aca="false">IF(A65="","",IFERROR(INDEX(前日確定!$R$26:$R$45,MATCH(A65,前日確定!$B$26:$B$45,0)),""))</f>
        <v/>
      </c>
      <c r="G65" s="22"/>
      <c r="H65" s="20"/>
      <c r="I65" s="28" t="str">
        <f aca="false">IF(A65="","",IF(D65=1,E65,IFERROR(INDEX($AA$26:$AA$64,MATCH(AC65,$Z$26:$Z$64,0)),"")))</f>
        <v/>
      </c>
      <c r="J65" s="27"/>
      <c r="K65" s="24" t="str">
        <f aca="false">IF(A65="","",IF(D65=1,F65,IFERROR(INDEX($AB$26:$AB$64,MATCH(AC65,$Z$26:$Z$64,0)),"")))</f>
        <v/>
      </c>
      <c r="L65" s="25"/>
      <c r="M65" s="25"/>
      <c r="N65" s="25"/>
      <c r="O65" s="25"/>
      <c r="P65" s="25"/>
      <c r="Q65" s="25"/>
      <c r="R65" s="25"/>
      <c r="S65" s="20"/>
      <c r="T65" s="20"/>
      <c r="U65" s="20"/>
      <c r="V65" s="25"/>
      <c r="W65" s="20"/>
      <c r="X65" s="20"/>
      <c r="Y65" s="20"/>
      <c r="Z65" s="24" t="str">
        <f aca="false">IF(B65="","",B65&amp;"#"&amp;D65)</f>
        <v/>
      </c>
      <c r="AA65" s="28" t="str">
        <f aca="false">IF(A65="","",IF(J65="",I65,IF(J65&lt;1,AD65+J65,J65)))</f>
        <v/>
      </c>
      <c r="AB65" s="24" t="str">
        <f aca="false">IF(A65="","",IF(COUNTA(L65:Q65)=0,K65,_xlfn.TEXTJOIN("・",TRUE(),L65:Q65)))</f>
        <v/>
      </c>
      <c r="AC65" s="24" t="str">
        <f aca="false">IF(B65="","",B65&amp;"#"&amp;(D65-1))</f>
        <v/>
      </c>
      <c r="AD65" s="19" t="str">
        <f aca="false">IF(A65="","",IFERROR(INDEX(前日確定!$X$26:$X$45,MATCH(A65,前日確定!$B$26:$B$45,0)),""))</f>
        <v/>
      </c>
    </row>
    <row r="66" customFormat="false" ht="15" hidden="false" customHeight="false" outlineLevel="0" collapsed="false">
      <c r="A66" s="25"/>
      <c r="B66" s="24" t="str">
        <f aca="false">IF(A66="","",IFERROR(INDEX(前日確定!$C$26:$C$45,MATCH(A66,前日確定!$B$26:$B$45,0)),"作業が見つかりません"))</f>
        <v/>
      </c>
      <c r="C66" s="24" t="str">
        <f aca="false">IF(A66="","",IFERROR(INDEX(前日確定!$D$26:$D$45,MATCH(A66,前日確定!$B$26:$B$45,0)),""))</f>
        <v/>
      </c>
      <c r="D66" s="24" t="str">
        <f aca="false">IF(B66="","",COUNTIF(B$26:B66,B66))</f>
        <v/>
      </c>
      <c r="E66" s="28" t="str">
        <f aca="false">IF(A66="","",IFERROR(IF(INDEX(前日確定!$Y$26:$Y$45,MATCH(A66,前日確定!$B$26:$B$45,0))="","",INDEX(前日確定!$Y$26:$Y$45,MATCH(A66,前日確定!$B$26:$B$45,0))),""))</f>
        <v/>
      </c>
      <c r="F66" s="24" t="str">
        <f aca="false">IF(A66="","",IFERROR(INDEX(前日確定!$R$26:$R$45,MATCH(A66,前日確定!$B$26:$B$45,0)),""))</f>
        <v/>
      </c>
      <c r="G66" s="22"/>
      <c r="H66" s="20"/>
      <c r="I66" s="28" t="str">
        <f aca="false">IF(A66="","",IF(D66=1,E66,IFERROR(INDEX($AA$26:$AA$65,MATCH(AC66,$Z$26:$Z$65,0)),"")))</f>
        <v/>
      </c>
      <c r="J66" s="27"/>
      <c r="K66" s="24" t="str">
        <f aca="false">IF(A66="","",IF(D66=1,F66,IFERROR(INDEX($AB$26:$AB$65,MATCH(AC66,$Z$26:$Z$65,0)),"")))</f>
        <v/>
      </c>
      <c r="L66" s="25"/>
      <c r="M66" s="25"/>
      <c r="N66" s="25"/>
      <c r="O66" s="25"/>
      <c r="P66" s="25"/>
      <c r="Q66" s="25"/>
      <c r="R66" s="25"/>
      <c r="S66" s="20"/>
      <c r="T66" s="20"/>
      <c r="U66" s="20"/>
      <c r="V66" s="25"/>
      <c r="W66" s="20"/>
      <c r="X66" s="20"/>
      <c r="Y66" s="20"/>
      <c r="Z66" s="24" t="str">
        <f aca="false">IF(B66="","",B66&amp;"#"&amp;D66)</f>
        <v/>
      </c>
      <c r="AA66" s="28" t="str">
        <f aca="false">IF(A66="","",IF(J66="",I66,IF(J66&lt;1,AD66+J66,J66)))</f>
        <v/>
      </c>
      <c r="AB66" s="24" t="str">
        <f aca="false">IF(A66="","",IF(COUNTA(L66:Q66)=0,K66,_xlfn.TEXTJOIN("・",TRUE(),L66:Q66)))</f>
        <v/>
      </c>
      <c r="AC66" s="24" t="str">
        <f aca="false">IF(B66="","",B66&amp;"#"&amp;(D66-1))</f>
        <v/>
      </c>
      <c r="AD66" s="19" t="str">
        <f aca="false">IF(A66="","",IFERROR(INDEX(前日確定!$X$26:$X$45,MATCH(A66,前日確定!$B$26:$B$45,0)),""))</f>
        <v/>
      </c>
    </row>
    <row r="67" customFormat="false" ht="15" hidden="false" customHeight="false" outlineLevel="0" collapsed="false">
      <c r="A67" s="25"/>
      <c r="B67" s="24" t="str">
        <f aca="false">IF(A67="","",IFERROR(INDEX(前日確定!$C$26:$C$45,MATCH(A67,前日確定!$B$26:$B$45,0)),"作業が見つかりません"))</f>
        <v/>
      </c>
      <c r="C67" s="24" t="str">
        <f aca="false">IF(A67="","",IFERROR(INDEX(前日確定!$D$26:$D$45,MATCH(A67,前日確定!$B$26:$B$45,0)),""))</f>
        <v/>
      </c>
      <c r="D67" s="24" t="str">
        <f aca="false">IF(B67="","",COUNTIF(B$26:B67,B67))</f>
        <v/>
      </c>
      <c r="E67" s="28" t="str">
        <f aca="false">IF(A67="","",IFERROR(IF(INDEX(前日確定!$Y$26:$Y$45,MATCH(A67,前日確定!$B$26:$B$45,0))="","",INDEX(前日確定!$Y$26:$Y$45,MATCH(A67,前日確定!$B$26:$B$45,0))),""))</f>
        <v/>
      </c>
      <c r="F67" s="24" t="str">
        <f aca="false">IF(A67="","",IFERROR(INDEX(前日確定!$R$26:$R$45,MATCH(A67,前日確定!$B$26:$B$45,0)),""))</f>
        <v/>
      </c>
      <c r="G67" s="22"/>
      <c r="H67" s="20"/>
      <c r="I67" s="28" t="str">
        <f aca="false">IF(A67="","",IF(D67=1,E67,IFERROR(INDEX($AA$26:$AA$66,MATCH(AC67,$Z$26:$Z$66,0)),"")))</f>
        <v/>
      </c>
      <c r="J67" s="27"/>
      <c r="K67" s="24" t="str">
        <f aca="false">IF(A67="","",IF(D67=1,F67,IFERROR(INDEX($AB$26:$AB$66,MATCH(AC67,$Z$26:$Z$66,0)),"")))</f>
        <v/>
      </c>
      <c r="L67" s="25"/>
      <c r="M67" s="25"/>
      <c r="N67" s="25"/>
      <c r="O67" s="25"/>
      <c r="P67" s="25"/>
      <c r="Q67" s="25"/>
      <c r="R67" s="25"/>
      <c r="S67" s="20"/>
      <c r="T67" s="20"/>
      <c r="U67" s="20"/>
      <c r="V67" s="25"/>
      <c r="W67" s="20"/>
      <c r="X67" s="20"/>
      <c r="Y67" s="20"/>
      <c r="Z67" s="24" t="str">
        <f aca="false">IF(B67="","",B67&amp;"#"&amp;D67)</f>
        <v/>
      </c>
      <c r="AA67" s="28" t="str">
        <f aca="false">IF(A67="","",IF(J67="",I67,IF(J67&lt;1,AD67+J67,J67)))</f>
        <v/>
      </c>
      <c r="AB67" s="24" t="str">
        <f aca="false">IF(A67="","",IF(COUNTA(L67:Q67)=0,K67,_xlfn.TEXTJOIN("・",TRUE(),L67:Q67)))</f>
        <v/>
      </c>
      <c r="AC67" s="24" t="str">
        <f aca="false">IF(B67="","",B67&amp;"#"&amp;(D67-1))</f>
        <v/>
      </c>
      <c r="AD67" s="19" t="str">
        <f aca="false">IF(A67="","",IFERROR(INDEX(前日確定!$X$26:$X$45,MATCH(A67,前日確定!$B$26:$B$45,0)),""))</f>
        <v/>
      </c>
    </row>
    <row r="68" customFormat="false" ht="15" hidden="false" customHeight="false" outlineLevel="0" collapsed="false">
      <c r="A68" s="25"/>
      <c r="B68" s="24" t="str">
        <f aca="false">IF(A68="","",IFERROR(INDEX(前日確定!$C$26:$C$45,MATCH(A68,前日確定!$B$26:$B$45,0)),"作業が見つかりません"))</f>
        <v/>
      </c>
      <c r="C68" s="24" t="str">
        <f aca="false">IF(A68="","",IFERROR(INDEX(前日確定!$D$26:$D$45,MATCH(A68,前日確定!$B$26:$B$45,0)),""))</f>
        <v/>
      </c>
      <c r="D68" s="24" t="str">
        <f aca="false">IF(B68="","",COUNTIF(B$26:B68,B68))</f>
        <v/>
      </c>
      <c r="E68" s="28" t="str">
        <f aca="false">IF(A68="","",IFERROR(IF(INDEX(前日確定!$Y$26:$Y$45,MATCH(A68,前日確定!$B$26:$B$45,0))="","",INDEX(前日確定!$Y$26:$Y$45,MATCH(A68,前日確定!$B$26:$B$45,0))),""))</f>
        <v/>
      </c>
      <c r="F68" s="24" t="str">
        <f aca="false">IF(A68="","",IFERROR(INDEX(前日確定!$R$26:$R$45,MATCH(A68,前日確定!$B$26:$B$45,0)),""))</f>
        <v/>
      </c>
      <c r="G68" s="22"/>
      <c r="H68" s="20"/>
      <c r="I68" s="28" t="str">
        <f aca="false">IF(A68="","",IF(D68=1,E68,IFERROR(INDEX($AA$26:$AA$67,MATCH(AC68,$Z$26:$Z$67,0)),"")))</f>
        <v/>
      </c>
      <c r="J68" s="27"/>
      <c r="K68" s="24" t="str">
        <f aca="false">IF(A68="","",IF(D68=1,F68,IFERROR(INDEX($AB$26:$AB$67,MATCH(AC68,$Z$26:$Z$67,0)),"")))</f>
        <v/>
      </c>
      <c r="L68" s="25"/>
      <c r="M68" s="25"/>
      <c r="N68" s="25"/>
      <c r="O68" s="25"/>
      <c r="P68" s="25"/>
      <c r="Q68" s="25"/>
      <c r="R68" s="25"/>
      <c r="S68" s="20"/>
      <c r="T68" s="20"/>
      <c r="U68" s="20"/>
      <c r="V68" s="25"/>
      <c r="W68" s="20"/>
      <c r="X68" s="20"/>
      <c r="Y68" s="20"/>
      <c r="Z68" s="24" t="str">
        <f aca="false">IF(B68="","",B68&amp;"#"&amp;D68)</f>
        <v/>
      </c>
      <c r="AA68" s="28" t="str">
        <f aca="false">IF(A68="","",IF(J68="",I68,IF(J68&lt;1,AD68+J68,J68)))</f>
        <v/>
      </c>
      <c r="AB68" s="24" t="str">
        <f aca="false">IF(A68="","",IF(COUNTA(L68:Q68)=0,K68,_xlfn.TEXTJOIN("・",TRUE(),L68:Q68)))</f>
        <v/>
      </c>
      <c r="AC68" s="24" t="str">
        <f aca="false">IF(B68="","",B68&amp;"#"&amp;(D68-1))</f>
        <v/>
      </c>
      <c r="AD68" s="19" t="str">
        <f aca="false">IF(A68="","",IFERROR(INDEX(前日確定!$X$26:$X$45,MATCH(A68,前日確定!$B$26:$B$45,0)),""))</f>
        <v/>
      </c>
    </row>
    <row r="69" customFormat="false" ht="15" hidden="false" customHeight="false" outlineLevel="0" collapsed="false">
      <c r="A69" s="25"/>
      <c r="B69" s="24" t="str">
        <f aca="false">IF(A69="","",IFERROR(INDEX(前日確定!$C$26:$C$45,MATCH(A69,前日確定!$B$26:$B$45,0)),"作業が見つかりません"))</f>
        <v/>
      </c>
      <c r="C69" s="24" t="str">
        <f aca="false">IF(A69="","",IFERROR(INDEX(前日確定!$D$26:$D$45,MATCH(A69,前日確定!$B$26:$B$45,0)),""))</f>
        <v/>
      </c>
      <c r="D69" s="24" t="str">
        <f aca="false">IF(B69="","",COUNTIF(B$26:B69,B69))</f>
        <v/>
      </c>
      <c r="E69" s="28" t="str">
        <f aca="false">IF(A69="","",IFERROR(IF(INDEX(前日確定!$Y$26:$Y$45,MATCH(A69,前日確定!$B$26:$B$45,0))="","",INDEX(前日確定!$Y$26:$Y$45,MATCH(A69,前日確定!$B$26:$B$45,0))),""))</f>
        <v/>
      </c>
      <c r="F69" s="24" t="str">
        <f aca="false">IF(A69="","",IFERROR(INDEX(前日確定!$R$26:$R$45,MATCH(A69,前日確定!$B$26:$B$45,0)),""))</f>
        <v/>
      </c>
      <c r="G69" s="22"/>
      <c r="H69" s="20"/>
      <c r="I69" s="28" t="str">
        <f aca="false">IF(A69="","",IF(D69=1,E69,IFERROR(INDEX($AA$26:$AA$68,MATCH(AC69,$Z$26:$Z$68,0)),"")))</f>
        <v/>
      </c>
      <c r="J69" s="27"/>
      <c r="K69" s="24" t="str">
        <f aca="false">IF(A69="","",IF(D69=1,F69,IFERROR(INDEX($AB$26:$AB$68,MATCH(AC69,$Z$26:$Z$68,0)),"")))</f>
        <v/>
      </c>
      <c r="L69" s="25"/>
      <c r="M69" s="25"/>
      <c r="N69" s="25"/>
      <c r="O69" s="25"/>
      <c r="P69" s="25"/>
      <c r="Q69" s="25"/>
      <c r="R69" s="25"/>
      <c r="S69" s="20"/>
      <c r="T69" s="20"/>
      <c r="U69" s="20"/>
      <c r="V69" s="25"/>
      <c r="W69" s="20"/>
      <c r="X69" s="20"/>
      <c r="Y69" s="20"/>
      <c r="Z69" s="24" t="str">
        <f aca="false">IF(B69="","",B69&amp;"#"&amp;D69)</f>
        <v/>
      </c>
      <c r="AA69" s="28" t="str">
        <f aca="false">IF(A69="","",IF(J69="",I69,IF(J69&lt;1,AD69+J69,J69)))</f>
        <v/>
      </c>
      <c r="AB69" s="24" t="str">
        <f aca="false">IF(A69="","",IF(COUNTA(L69:Q69)=0,K69,_xlfn.TEXTJOIN("・",TRUE(),L69:Q69)))</f>
        <v/>
      </c>
      <c r="AC69" s="24" t="str">
        <f aca="false">IF(B69="","",B69&amp;"#"&amp;(D69-1))</f>
        <v/>
      </c>
      <c r="AD69" s="19" t="str">
        <f aca="false">IF(A69="","",IFERROR(INDEX(前日確定!$X$26:$X$45,MATCH(A69,前日確定!$B$26:$B$45,0)),""))</f>
        <v/>
      </c>
    </row>
    <row r="70" customFormat="false" ht="15" hidden="false" customHeight="false" outlineLevel="0" collapsed="false">
      <c r="A70" s="25"/>
      <c r="B70" s="24" t="str">
        <f aca="false">IF(A70="","",IFERROR(INDEX(前日確定!$C$26:$C$45,MATCH(A70,前日確定!$B$26:$B$45,0)),"作業が見つかりません"))</f>
        <v/>
      </c>
      <c r="C70" s="24" t="str">
        <f aca="false">IF(A70="","",IFERROR(INDEX(前日確定!$D$26:$D$45,MATCH(A70,前日確定!$B$26:$B$45,0)),""))</f>
        <v/>
      </c>
      <c r="D70" s="24" t="str">
        <f aca="false">IF(B70="","",COUNTIF(B$26:B70,B70))</f>
        <v/>
      </c>
      <c r="E70" s="28" t="str">
        <f aca="false">IF(A70="","",IFERROR(IF(INDEX(前日確定!$Y$26:$Y$45,MATCH(A70,前日確定!$B$26:$B$45,0))="","",INDEX(前日確定!$Y$26:$Y$45,MATCH(A70,前日確定!$B$26:$B$45,0))),""))</f>
        <v/>
      </c>
      <c r="F70" s="24" t="str">
        <f aca="false">IF(A70="","",IFERROR(INDEX(前日確定!$R$26:$R$45,MATCH(A70,前日確定!$B$26:$B$45,0)),""))</f>
        <v/>
      </c>
      <c r="G70" s="22"/>
      <c r="H70" s="20"/>
      <c r="I70" s="28" t="str">
        <f aca="false">IF(A70="","",IF(D70=1,E70,IFERROR(INDEX($AA$26:$AA$69,MATCH(AC70,$Z$26:$Z$69,0)),"")))</f>
        <v/>
      </c>
      <c r="J70" s="27"/>
      <c r="K70" s="24" t="str">
        <f aca="false">IF(A70="","",IF(D70=1,F70,IFERROR(INDEX($AB$26:$AB$69,MATCH(AC70,$Z$26:$Z$69,0)),"")))</f>
        <v/>
      </c>
      <c r="L70" s="25"/>
      <c r="M70" s="25"/>
      <c r="N70" s="25"/>
      <c r="O70" s="25"/>
      <c r="P70" s="25"/>
      <c r="Q70" s="25"/>
      <c r="R70" s="25"/>
      <c r="S70" s="20"/>
      <c r="T70" s="20"/>
      <c r="U70" s="20"/>
      <c r="V70" s="25"/>
      <c r="W70" s="20"/>
      <c r="X70" s="20"/>
      <c r="Y70" s="20"/>
      <c r="Z70" s="24" t="str">
        <f aca="false">IF(B70="","",B70&amp;"#"&amp;D70)</f>
        <v/>
      </c>
      <c r="AA70" s="28" t="str">
        <f aca="false">IF(A70="","",IF(J70="",I70,IF(J70&lt;1,AD70+J70,J70)))</f>
        <v/>
      </c>
      <c r="AB70" s="24" t="str">
        <f aca="false">IF(A70="","",IF(COUNTA(L70:Q70)=0,K70,_xlfn.TEXTJOIN("・",TRUE(),L70:Q70)))</f>
        <v/>
      </c>
      <c r="AC70" s="24" t="str">
        <f aca="false">IF(B70="","",B70&amp;"#"&amp;(D70-1))</f>
        <v/>
      </c>
      <c r="AD70" s="19" t="str">
        <f aca="false">IF(A70="","",IFERROR(INDEX(前日確定!$X$26:$X$45,MATCH(A70,前日確定!$B$26:$B$45,0)),""))</f>
        <v/>
      </c>
    </row>
    <row r="71" customFormat="false" ht="15" hidden="false" customHeight="false" outlineLevel="0" collapsed="false">
      <c r="A71" s="25"/>
      <c r="B71" s="24" t="str">
        <f aca="false">IF(A71="","",IFERROR(INDEX(前日確定!$C$26:$C$45,MATCH(A71,前日確定!$B$26:$B$45,0)),"作業が見つかりません"))</f>
        <v/>
      </c>
      <c r="C71" s="24" t="str">
        <f aca="false">IF(A71="","",IFERROR(INDEX(前日確定!$D$26:$D$45,MATCH(A71,前日確定!$B$26:$B$45,0)),""))</f>
        <v/>
      </c>
      <c r="D71" s="24" t="str">
        <f aca="false">IF(B71="","",COUNTIF(B$26:B71,B71))</f>
        <v/>
      </c>
      <c r="E71" s="28" t="str">
        <f aca="false">IF(A71="","",IFERROR(IF(INDEX(前日確定!$Y$26:$Y$45,MATCH(A71,前日確定!$B$26:$B$45,0))="","",INDEX(前日確定!$Y$26:$Y$45,MATCH(A71,前日確定!$B$26:$B$45,0))),""))</f>
        <v/>
      </c>
      <c r="F71" s="24" t="str">
        <f aca="false">IF(A71="","",IFERROR(INDEX(前日確定!$R$26:$R$45,MATCH(A71,前日確定!$B$26:$B$45,0)),""))</f>
        <v/>
      </c>
      <c r="G71" s="22"/>
      <c r="H71" s="20"/>
      <c r="I71" s="28" t="str">
        <f aca="false">IF(A71="","",IF(D71=1,E71,IFERROR(INDEX($AA$26:$AA$70,MATCH(AC71,$Z$26:$Z$70,0)),"")))</f>
        <v/>
      </c>
      <c r="J71" s="27"/>
      <c r="K71" s="24" t="str">
        <f aca="false">IF(A71="","",IF(D71=1,F71,IFERROR(INDEX($AB$26:$AB$70,MATCH(AC71,$Z$26:$Z$70,0)),"")))</f>
        <v/>
      </c>
      <c r="L71" s="25"/>
      <c r="M71" s="25"/>
      <c r="N71" s="25"/>
      <c r="O71" s="25"/>
      <c r="P71" s="25"/>
      <c r="Q71" s="25"/>
      <c r="R71" s="25"/>
      <c r="S71" s="20"/>
      <c r="T71" s="20"/>
      <c r="U71" s="20"/>
      <c r="V71" s="25"/>
      <c r="W71" s="20"/>
      <c r="X71" s="20"/>
      <c r="Y71" s="20"/>
      <c r="Z71" s="24" t="str">
        <f aca="false">IF(B71="","",B71&amp;"#"&amp;D71)</f>
        <v/>
      </c>
      <c r="AA71" s="28" t="str">
        <f aca="false">IF(A71="","",IF(J71="",I71,IF(J71&lt;1,AD71+J71,J71)))</f>
        <v/>
      </c>
      <c r="AB71" s="24" t="str">
        <f aca="false">IF(A71="","",IF(COUNTA(L71:Q71)=0,K71,_xlfn.TEXTJOIN("・",TRUE(),L71:Q71)))</f>
        <v/>
      </c>
      <c r="AC71" s="24" t="str">
        <f aca="false">IF(B71="","",B71&amp;"#"&amp;(D71-1))</f>
        <v/>
      </c>
      <c r="AD71" s="19" t="str">
        <f aca="false">IF(A71="","",IFERROR(INDEX(前日確定!$X$26:$X$45,MATCH(A71,前日確定!$B$26:$B$45,0)),""))</f>
        <v/>
      </c>
    </row>
    <row r="72" customFormat="false" ht="15" hidden="false" customHeight="false" outlineLevel="0" collapsed="false">
      <c r="A72" s="25"/>
      <c r="B72" s="24" t="str">
        <f aca="false">IF(A72="","",IFERROR(INDEX(前日確定!$C$26:$C$45,MATCH(A72,前日確定!$B$26:$B$45,0)),"作業が見つかりません"))</f>
        <v/>
      </c>
      <c r="C72" s="24" t="str">
        <f aca="false">IF(A72="","",IFERROR(INDEX(前日確定!$D$26:$D$45,MATCH(A72,前日確定!$B$26:$B$45,0)),""))</f>
        <v/>
      </c>
      <c r="D72" s="24" t="str">
        <f aca="false">IF(B72="","",COUNTIF(B$26:B72,B72))</f>
        <v/>
      </c>
      <c r="E72" s="28" t="str">
        <f aca="false">IF(A72="","",IFERROR(IF(INDEX(前日確定!$Y$26:$Y$45,MATCH(A72,前日確定!$B$26:$B$45,0))="","",INDEX(前日確定!$Y$26:$Y$45,MATCH(A72,前日確定!$B$26:$B$45,0))),""))</f>
        <v/>
      </c>
      <c r="F72" s="24" t="str">
        <f aca="false">IF(A72="","",IFERROR(INDEX(前日確定!$R$26:$R$45,MATCH(A72,前日確定!$B$26:$B$45,0)),""))</f>
        <v/>
      </c>
      <c r="G72" s="22"/>
      <c r="H72" s="20"/>
      <c r="I72" s="28" t="str">
        <f aca="false">IF(A72="","",IF(D72=1,E72,IFERROR(INDEX($AA$26:$AA$71,MATCH(AC72,$Z$26:$Z$71,0)),"")))</f>
        <v/>
      </c>
      <c r="J72" s="27"/>
      <c r="K72" s="24" t="str">
        <f aca="false">IF(A72="","",IF(D72=1,F72,IFERROR(INDEX($AB$26:$AB$71,MATCH(AC72,$Z$26:$Z$71,0)),"")))</f>
        <v/>
      </c>
      <c r="L72" s="25"/>
      <c r="M72" s="25"/>
      <c r="N72" s="25"/>
      <c r="O72" s="25"/>
      <c r="P72" s="25"/>
      <c r="Q72" s="25"/>
      <c r="R72" s="25"/>
      <c r="S72" s="20"/>
      <c r="T72" s="20"/>
      <c r="U72" s="20"/>
      <c r="V72" s="25"/>
      <c r="W72" s="20"/>
      <c r="X72" s="20"/>
      <c r="Y72" s="20"/>
      <c r="Z72" s="24" t="str">
        <f aca="false">IF(B72="","",B72&amp;"#"&amp;D72)</f>
        <v/>
      </c>
      <c r="AA72" s="28" t="str">
        <f aca="false">IF(A72="","",IF(J72="",I72,IF(J72&lt;1,AD72+J72,J72)))</f>
        <v/>
      </c>
      <c r="AB72" s="24" t="str">
        <f aca="false">IF(A72="","",IF(COUNTA(L72:Q72)=0,K72,_xlfn.TEXTJOIN("・",TRUE(),L72:Q72)))</f>
        <v/>
      </c>
      <c r="AC72" s="24" t="str">
        <f aca="false">IF(B72="","",B72&amp;"#"&amp;(D72-1))</f>
        <v/>
      </c>
      <c r="AD72" s="19" t="str">
        <f aca="false">IF(A72="","",IFERROR(INDEX(前日確定!$X$26:$X$45,MATCH(A72,前日確定!$B$26:$B$45,0)),""))</f>
        <v/>
      </c>
    </row>
    <row r="73" customFormat="false" ht="15" hidden="false" customHeight="false" outlineLevel="0" collapsed="false">
      <c r="A73" s="25"/>
      <c r="B73" s="24" t="str">
        <f aca="false">IF(A73="","",IFERROR(INDEX(前日確定!$C$26:$C$45,MATCH(A73,前日確定!$B$26:$B$45,0)),"作業が見つかりません"))</f>
        <v/>
      </c>
      <c r="C73" s="24" t="str">
        <f aca="false">IF(A73="","",IFERROR(INDEX(前日確定!$D$26:$D$45,MATCH(A73,前日確定!$B$26:$B$45,0)),""))</f>
        <v/>
      </c>
      <c r="D73" s="24" t="str">
        <f aca="false">IF(B73="","",COUNTIF(B$26:B73,B73))</f>
        <v/>
      </c>
      <c r="E73" s="28" t="str">
        <f aca="false">IF(A73="","",IFERROR(IF(INDEX(前日確定!$Y$26:$Y$45,MATCH(A73,前日確定!$B$26:$B$45,0))="","",INDEX(前日確定!$Y$26:$Y$45,MATCH(A73,前日確定!$B$26:$B$45,0))),""))</f>
        <v/>
      </c>
      <c r="F73" s="24" t="str">
        <f aca="false">IF(A73="","",IFERROR(INDEX(前日確定!$R$26:$R$45,MATCH(A73,前日確定!$B$26:$B$45,0)),""))</f>
        <v/>
      </c>
      <c r="G73" s="22"/>
      <c r="H73" s="20"/>
      <c r="I73" s="28" t="str">
        <f aca="false">IF(A73="","",IF(D73=1,E73,IFERROR(INDEX($AA$26:$AA$72,MATCH(AC73,$Z$26:$Z$72,0)),"")))</f>
        <v/>
      </c>
      <c r="J73" s="27"/>
      <c r="K73" s="24" t="str">
        <f aca="false">IF(A73="","",IF(D73=1,F73,IFERROR(INDEX($AB$26:$AB$72,MATCH(AC73,$Z$26:$Z$72,0)),"")))</f>
        <v/>
      </c>
      <c r="L73" s="25"/>
      <c r="M73" s="25"/>
      <c r="N73" s="25"/>
      <c r="O73" s="25"/>
      <c r="P73" s="25"/>
      <c r="Q73" s="25"/>
      <c r="R73" s="25"/>
      <c r="S73" s="20"/>
      <c r="T73" s="20"/>
      <c r="U73" s="20"/>
      <c r="V73" s="25"/>
      <c r="W73" s="20"/>
      <c r="X73" s="20"/>
      <c r="Y73" s="20"/>
      <c r="Z73" s="24" t="str">
        <f aca="false">IF(B73="","",B73&amp;"#"&amp;D73)</f>
        <v/>
      </c>
      <c r="AA73" s="28" t="str">
        <f aca="false">IF(A73="","",IF(J73="",I73,IF(J73&lt;1,AD73+J73,J73)))</f>
        <v/>
      </c>
      <c r="AB73" s="24" t="str">
        <f aca="false">IF(A73="","",IF(COUNTA(L73:Q73)=0,K73,_xlfn.TEXTJOIN("・",TRUE(),L73:Q73)))</f>
        <v/>
      </c>
      <c r="AC73" s="24" t="str">
        <f aca="false">IF(B73="","",B73&amp;"#"&amp;(D73-1))</f>
        <v/>
      </c>
      <c r="AD73" s="19" t="str">
        <f aca="false">IF(A73="","",IFERROR(INDEX(前日確定!$X$26:$X$45,MATCH(A73,前日確定!$B$26:$B$45,0)),""))</f>
        <v/>
      </c>
    </row>
    <row r="74" customFormat="false" ht="15" hidden="false" customHeight="false" outlineLevel="0" collapsed="false">
      <c r="A74" s="25"/>
      <c r="B74" s="24" t="str">
        <f aca="false">IF(A74="","",IFERROR(INDEX(前日確定!$C$26:$C$45,MATCH(A74,前日確定!$B$26:$B$45,0)),"作業が見つかりません"))</f>
        <v/>
      </c>
      <c r="C74" s="24" t="str">
        <f aca="false">IF(A74="","",IFERROR(INDEX(前日確定!$D$26:$D$45,MATCH(A74,前日確定!$B$26:$B$45,0)),""))</f>
        <v/>
      </c>
      <c r="D74" s="24" t="str">
        <f aca="false">IF(B74="","",COUNTIF(B$26:B74,B74))</f>
        <v/>
      </c>
      <c r="E74" s="28" t="str">
        <f aca="false">IF(A74="","",IFERROR(IF(INDEX(前日確定!$Y$26:$Y$45,MATCH(A74,前日確定!$B$26:$B$45,0))="","",INDEX(前日確定!$Y$26:$Y$45,MATCH(A74,前日確定!$B$26:$B$45,0))),""))</f>
        <v/>
      </c>
      <c r="F74" s="24" t="str">
        <f aca="false">IF(A74="","",IFERROR(INDEX(前日確定!$R$26:$R$45,MATCH(A74,前日確定!$B$26:$B$45,0)),""))</f>
        <v/>
      </c>
      <c r="G74" s="22"/>
      <c r="H74" s="20"/>
      <c r="I74" s="28" t="str">
        <f aca="false">IF(A74="","",IF(D74=1,E74,IFERROR(INDEX($AA$26:$AA$73,MATCH(AC74,$Z$26:$Z$73,0)),"")))</f>
        <v/>
      </c>
      <c r="J74" s="27"/>
      <c r="K74" s="24" t="str">
        <f aca="false">IF(A74="","",IF(D74=1,F74,IFERROR(INDEX($AB$26:$AB$73,MATCH(AC74,$Z$26:$Z$73,0)),"")))</f>
        <v/>
      </c>
      <c r="L74" s="25"/>
      <c r="M74" s="25"/>
      <c r="N74" s="25"/>
      <c r="O74" s="25"/>
      <c r="P74" s="25"/>
      <c r="Q74" s="25"/>
      <c r="R74" s="25"/>
      <c r="S74" s="20"/>
      <c r="T74" s="20"/>
      <c r="U74" s="20"/>
      <c r="V74" s="25"/>
      <c r="W74" s="20"/>
      <c r="X74" s="20"/>
      <c r="Y74" s="20"/>
      <c r="Z74" s="24" t="str">
        <f aca="false">IF(B74="","",B74&amp;"#"&amp;D74)</f>
        <v/>
      </c>
      <c r="AA74" s="28" t="str">
        <f aca="false">IF(A74="","",IF(J74="",I74,IF(J74&lt;1,AD74+J74,J74)))</f>
        <v/>
      </c>
      <c r="AB74" s="24" t="str">
        <f aca="false">IF(A74="","",IF(COUNTA(L74:Q74)=0,K74,_xlfn.TEXTJOIN("・",TRUE(),L74:Q74)))</f>
        <v/>
      </c>
      <c r="AC74" s="24" t="str">
        <f aca="false">IF(B74="","",B74&amp;"#"&amp;(D74-1))</f>
        <v/>
      </c>
      <c r="AD74" s="19" t="str">
        <f aca="false">IF(A74="","",IFERROR(INDEX(前日確定!$X$26:$X$45,MATCH(A74,前日確定!$B$26:$B$45,0)),""))</f>
        <v/>
      </c>
    </row>
    <row r="75" customFormat="false" ht="15" hidden="false" customHeight="false" outlineLevel="0" collapsed="false">
      <c r="A75" s="25"/>
      <c r="B75" s="24" t="str">
        <f aca="false">IF(A75="","",IFERROR(INDEX(前日確定!$C$26:$C$45,MATCH(A75,前日確定!$B$26:$B$45,0)),"作業が見つかりません"))</f>
        <v/>
      </c>
      <c r="C75" s="24" t="str">
        <f aca="false">IF(A75="","",IFERROR(INDEX(前日確定!$D$26:$D$45,MATCH(A75,前日確定!$B$26:$B$45,0)),""))</f>
        <v/>
      </c>
      <c r="D75" s="24" t="str">
        <f aca="false">IF(B75="","",COUNTIF(B$26:B75,B75))</f>
        <v/>
      </c>
      <c r="E75" s="28" t="str">
        <f aca="false">IF(A75="","",IFERROR(IF(INDEX(前日確定!$Y$26:$Y$45,MATCH(A75,前日確定!$B$26:$B$45,0))="","",INDEX(前日確定!$Y$26:$Y$45,MATCH(A75,前日確定!$B$26:$B$45,0))),""))</f>
        <v/>
      </c>
      <c r="F75" s="24" t="str">
        <f aca="false">IF(A75="","",IFERROR(INDEX(前日確定!$R$26:$R$45,MATCH(A75,前日確定!$B$26:$B$45,0)),""))</f>
        <v/>
      </c>
      <c r="G75" s="22"/>
      <c r="H75" s="20"/>
      <c r="I75" s="28" t="str">
        <f aca="false">IF(A75="","",IF(D75=1,E75,IFERROR(INDEX($AA$26:$AA$74,MATCH(AC75,$Z$26:$Z$74,0)),"")))</f>
        <v/>
      </c>
      <c r="J75" s="27"/>
      <c r="K75" s="24" t="str">
        <f aca="false">IF(A75="","",IF(D75=1,F75,IFERROR(INDEX($AB$26:$AB$74,MATCH(AC75,$Z$26:$Z$74,0)),"")))</f>
        <v/>
      </c>
      <c r="L75" s="25"/>
      <c r="M75" s="25"/>
      <c r="N75" s="25"/>
      <c r="O75" s="25"/>
      <c r="P75" s="25"/>
      <c r="Q75" s="25"/>
      <c r="R75" s="25"/>
      <c r="S75" s="20"/>
      <c r="T75" s="20"/>
      <c r="U75" s="20"/>
      <c r="V75" s="25"/>
      <c r="W75" s="20"/>
      <c r="X75" s="20"/>
      <c r="Y75" s="20"/>
      <c r="Z75" s="24" t="str">
        <f aca="false">IF(B75="","",B75&amp;"#"&amp;D75)</f>
        <v/>
      </c>
      <c r="AA75" s="28" t="str">
        <f aca="false">IF(A75="","",IF(J75="",I75,IF(J75&lt;1,AD75+J75,J75)))</f>
        <v/>
      </c>
      <c r="AB75" s="24" t="str">
        <f aca="false">IF(A75="","",IF(COUNTA(L75:Q75)=0,K75,_xlfn.TEXTJOIN("・",TRUE(),L75:Q75)))</f>
        <v/>
      </c>
      <c r="AC75" s="24" t="str">
        <f aca="false">IF(B75="","",B75&amp;"#"&amp;(D75-1))</f>
        <v/>
      </c>
      <c r="AD75" s="19" t="str">
        <f aca="false">IF(A75="","",IFERROR(INDEX(前日確定!$X$26:$X$45,MATCH(A75,前日確定!$B$26:$B$45,0)),""))</f>
        <v/>
      </c>
    </row>
    <row r="76" customFormat="false" ht="15" hidden="false" customHeight="false" outlineLevel="0" collapsed="false">
      <c r="A76" s="25"/>
      <c r="B76" s="24" t="str">
        <f aca="false">IF(A76="","",IFERROR(INDEX(前日確定!$C$26:$C$45,MATCH(A76,前日確定!$B$26:$B$45,0)),"作業が見つかりません"))</f>
        <v/>
      </c>
      <c r="C76" s="24" t="str">
        <f aca="false">IF(A76="","",IFERROR(INDEX(前日確定!$D$26:$D$45,MATCH(A76,前日確定!$B$26:$B$45,0)),""))</f>
        <v/>
      </c>
      <c r="D76" s="24" t="str">
        <f aca="false">IF(B76="","",COUNTIF(B$26:B76,B76))</f>
        <v/>
      </c>
      <c r="E76" s="28" t="str">
        <f aca="false">IF(A76="","",IFERROR(IF(INDEX(前日確定!$Y$26:$Y$45,MATCH(A76,前日確定!$B$26:$B$45,0))="","",INDEX(前日確定!$Y$26:$Y$45,MATCH(A76,前日確定!$B$26:$B$45,0))),""))</f>
        <v/>
      </c>
      <c r="F76" s="24" t="str">
        <f aca="false">IF(A76="","",IFERROR(INDEX(前日確定!$R$26:$R$45,MATCH(A76,前日確定!$B$26:$B$45,0)),""))</f>
        <v/>
      </c>
      <c r="G76" s="22"/>
      <c r="H76" s="20"/>
      <c r="I76" s="28" t="str">
        <f aca="false">IF(A76="","",IF(D76=1,E76,IFERROR(INDEX($AA$26:$AA$75,MATCH(AC76,$Z$26:$Z$75,0)),"")))</f>
        <v/>
      </c>
      <c r="J76" s="27"/>
      <c r="K76" s="24" t="str">
        <f aca="false">IF(A76="","",IF(D76=1,F76,IFERROR(INDEX($AB$26:$AB$75,MATCH(AC76,$Z$26:$Z$75,0)),"")))</f>
        <v/>
      </c>
      <c r="L76" s="25"/>
      <c r="M76" s="25"/>
      <c r="N76" s="25"/>
      <c r="O76" s="25"/>
      <c r="P76" s="25"/>
      <c r="Q76" s="25"/>
      <c r="R76" s="25"/>
      <c r="S76" s="20"/>
      <c r="T76" s="20"/>
      <c r="U76" s="20"/>
      <c r="V76" s="25"/>
      <c r="W76" s="20"/>
      <c r="X76" s="20"/>
      <c r="Y76" s="20"/>
      <c r="Z76" s="24" t="str">
        <f aca="false">IF(B76="","",B76&amp;"#"&amp;D76)</f>
        <v/>
      </c>
      <c r="AA76" s="28" t="str">
        <f aca="false">IF(A76="","",IF(J76="",I76,IF(J76&lt;1,AD76+J76,J76)))</f>
        <v/>
      </c>
      <c r="AB76" s="24" t="str">
        <f aca="false">IF(A76="","",IF(COUNTA(L76:Q76)=0,K76,_xlfn.TEXTJOIN("・",TRUE(),L76:Q76)))</f>
        <v/>
      </c>
      <c r="AC76" s="24" t="str">
        <f aca="false">IF(B76="","",B76&amp;"#"&amp;(D76-1))</f>
        <v/>
      </c>
      <c r="AD76" s="19" t="str">
        <f aca="false">IF(A76="","",IFERROR(INDEX(前日確定!$X$26:$X$45,MATCH(A76,前日確定!$B$26:$B$45,0)),""))</f>
        <v/>
      </c>
    </row>
    <row r="77" customFormat="false" ht="15" hidden="false" customHeight="false" outlineLevel="0" collapsed="false">
      <c r="A77" s="25"/>
      <c r="B77" s="24" t="str">
        <f aca="false">IF(A77="","",IFERROR(INDEX(前日確定!$C$26:$C$45,MATCH(A77,前日確定!$B$26:$B$45,0)),"作業が見つかりません"))</f>
        <v/>
      </c>
      <c r="C77" s="24" t="str">
        <f aca="false">IF(A77="","",IFERROR(INDEX(前日確定!$D$26:$D$45,MATCH(A77,前日確定!$B$26:$B$45,0)),""))</f>
        <v/>
      </c>
      <c r="D77" s="24" t="str">
        <f aca="false">IF(B77="","",COUNTIF(B$26:B77,B77))</f>
        <v/>
      </c>
      <c r="E77" s="28" t="str">
        <f aca="false">IF(A77="","",IFERROR(IF(INDEX(前日確定!$Y$26:$Y$45,MATCH(A77,前日確定!$B$26:$B$45,0))="","",INDEX(前日確定!$Y$26:$Y$45,MATCH(A77,前日確定!$B$26:$B$45,0))),""))</f>
        <v/>
      </c>
      <c r="F77" s="24" t="str">
        <f aca="false">IF(A77="","",IFERROR(INDEX(前日確定!$R$26:$R$45,MATCH(A77,前日確定!$B$26:$B$45,0)),""))</f>
        <v/>
      </c>
      <c r="G77" s="22"/>
      <c r="H77" s="20"/>
      <c r="I77" s="28" t="str">
        <f aca="false">IF(A77="","",IF(D77=1,E77,IFERROR(INDEX($AA$26:$AA$76,MATCH(AC77,$Z$26:$Z$76,0)),"")))</f>
        <v/>
      </c>
      <c r="J77" s="27"/>
      <c r="K77" s="24" t="str">
        <f aca="false">IF(A77="","",IF(D77=1,F77,IFERROR(INDEX($AB$26:$AB$76,MATCH(AC77,$Z$26:$Z$76,0)),"")))</f>
        <v/>
      </c>
      <c r="L77" s="25"/>
      <c r="M77" s="25"/>
      <c r="N77" s="25"/>
      <c r="O77" s="25"/>
      <c r="P77" s="25"/>
      <c r="Q77" s="25"/>
      <c r="R77" s="25"/>
      <c r="S77" s="20"/>
      <c r="T77" s="20"/>
      <c r="U77" s="20"/>
      <c r="V77" s="25"/>
      <c r="W77" s="20"/>
      <c r="X77" s="20"/>
      <c r="Y77" s="20"/>
      <c r="Z77" s="24" t="str">
        <f aca="false">IF(B77="","",B77&amp;"#"&amp;D77)</f>
        <v/>
      </c>
      <c r="AA77" s="28" t="str">
        <f aca="false">IF(A77="","",IF(J77="",I77,IF(J77&lt;1,AD77+J77,J77)))</f>
        <v/>
      </c>
      <c r="AB77" s="24" t="str">
        <f aca="false">IF(A77="","",IF(COUNTA(L77:Q77)=0,K77,_xlfn.TEXTJOIN("・",TRUE(),L77:Q77)))</f>
        <v/>
      </c>
      <c r="AC77" s="24" t="str">
        <f aca="false">IF(B77="","",B77&amp;"#"&amp;(D77-1))</f>
        <v/>
      </c>
      <c r="AD77" s="19" t="str">
        <f aca="false">IF(A77="","",IFERROR(INDEX(前日確定!$X$26:$X$45,MATCH(A77,前日確定!$B$26:$B$45,0)),""))</f>
        <v/>
      </c>
    </row>
    <row r="78" customFormat="false" ht="15" hidden="false" customHeight="false" outlineLevel="0" collapsed="false">
      <c r="A78" s="25"/>
      <c r="B78" s="24" t="str">
        <f aca="false">IF(A78="","",IFERROR(INDEX(前日確定!$C$26:$C$45,MATCH(A78,前日確定!$B$26:$B$45,0)),"作業が見つかりません"))</f>
        <v/>
      </c>
      <c r="C78" s="24" t="str">
        <f aca="false">IF(A78="","",IFERROR(INDEX(前日確定!$D$26:$D$45,MATCH(A78,前日確定!$B$26:$B$45,0)),""))</f>
        <v/>
      </c>
      <c r="D78" s="24" t="str">
        <f aca="false">IF(B78="","",COUNTIF(B$26:B78,B78))</f>
        <v/>
      </c>
      <c r="E78" s="28" t="str">
        <f aca="false">IF(A78="","",IFERROR(IF(INDEX(前日確定!$Y$26:$Y$45,MATCH(A78,前日確定!$B$26:$B$45,0))="","",INDEX(前日確定!$Y$26:$Y$45,MATCH(A78,前日確定!$B$26:$B$45,0))),""))</f>
        <v/>
      </c>
      <c r="F78" s="24" t="str">
        <f aca="false">IF(A78="","",IFERROR(INDEX(前日確定!$R$26:$R$45,MATCH(A78,前日確定!$B$26:$B$45,0)),""))</f>
        <v/>
      </c>
      <c r="G78" s="22"/>
      <c r="H78" s="20"/>
      <c r="I78" s="28" t="str">
        <f aca="false">IF(A78="","",IF(D78=1,E78,IFERROR(INDEX($AA$26:$AA$77,MATCH(AC78,$Z$26:$Z$77,0)),"")))</f>
        <v/>
      </c>
      <c r="J78" s="27"/>
      <c r="K78" s="24" t="str">
        <f aca="false">IF(A78="","",IF(D78=1,F78,IFERROR(INDEX($AB$26:$AB$77,MATCH(AC78,$Z$26:$Z$77,0)),"")))</f>
        <v/>
      </c>
      <c r="L78" s="25"/>
      <c r="M78" s="25"/>
      <c r="N78" s="25"/>
      <c r="O78" s="25"/>
      <c r="P78" s="25"/>
      <c r="Q78" s="25"/>
      <c r="R78" s="25"/>
      <c r="S78" s="20"/>
      <c r="T78" s="20"/>
      <c r="U78" s="20"/>
      <c r="V78" s="25"/>
      <c r="W78" s="20"/>
      <c r="X78" s="20"/>
      <c r="Y78" s="20"/>
      <c r="Z78" s="24" t="str">
        <f aca="false">IF(B78="","",B78&amp;"#"&amp;D78)</f>
        <v/>
      </c>
      <c r="AA78" s="28" t="str">
        <f aca="false">IF(A78="","",IF(J78="",I78,IF(J78&lt;1,AD78+J78,J78)))</f>
        <v/>
      </c>
      <c r="AB78" s="24" t="str">
        <f aca="false">IF(A78="","",IF(COUNTA(L78:Q78)=0,K78,_xlfn.TEXTJOIN("・",TRUE(),L78:Q78)))</f>
        <v/>
      </c>
      <c r="AC78" s="24" t="str">
        <f aca="false">IF(B78="","",B78&amp;"#"&amp;(D78-1))</f>
        <v/>
      </c>
      <c r="AD78" s="19" t="str">
        <f aca="false">IF(A78="","",IFERROR(INDEX(前日確定!$X$26:$X$45,MATCH(A78,前日確定!$B$26:$B$45,0)),""))</f>
        <v/>
      </c>
    </row>
    <row r="79" customFormat="false" ht="15" hidden="false" customHeight="false" outlineLevel="0" collapsed="false">
      <c r="A79" s="25"/>
      <c r="B79" s="24" t="str">
        <f aca="false">IF(A79="","",IFERROR(INDEX(前日確定!$C$26:$C$45,MATCH(A79,前日確定!$B$26:$B$45,0)),"作業が見つかりません"))</f>
        <v/>
      </c>
      <c r="C79" s="24" t="str">
        <f aca="false">IF(A79="","",IFERROR(INDEX(前日確定!$D$26:$D$45,MATCH(A79,前日確定!$B$26:$B$45,0)),""))</f>
        <v/>
      </c>
      <c r="D79" s="24" t="str">
        <f aca="false">IF(B79="","",COUNTIF(B$26:B79,B79))</f>
        <v/>
      </c>
      <c r="E79" s="28" t="str">
        <f aca="false">IF(A79="","",IFERROR(IF(INDEX(前日確定!$Y$26:$Y$45,MATCH(A79,前日確定!$B$26:$B$45,0))="","",INDEX(前日確定!$Y$26:$Y$45,MATCH(A79,前日確定!$B$26:$B$45,0))),""))</f>
        <v/>
      </c>
      <c r="F79" s="24" t="str">
        <f aca="false">IF(A79="","",IFERROR(INDEX(前日確定!$R$26:$R$45,MATCH(A79,前日確定!$B$26:$B$45,0)),""))</f>
        <v/>
      </c>
      <c r="G79" s="22"/>
      <c r="H79" s="20"/>
      <c r="I79" s="28" t="str">
        <f aca="false">IF(A79="","",IF(D79=1,E79,IFERROR(INDEX($AA$26:$AA$78,MATCH(AC79,$Z$26:$Z$78,0)),"")))</f>
        <v/>
      </c>
      <c r="J79" s="27"/>
      <c r="K79" s="24" t="str">
        <f aca="false">IF(A79="","",IF(D79=1,F79,IFERROR(INDEX($AB$26:$AB$78,MATCH(AC79,$Z$26:$Z$78,0)),"")))</f>
        <v/>
      </c>
      <c r="L79" s="25"/>
      <c r="M79" s="25"/>
      <c r="N79" s="25"/>
      <c r="O79" s="25"/>
      <c r="P79" s="25"/>
      <c r="Q79" s="25"/>
      <c r="R79" s="25"/>
      <c r="S79" s="20"/>
      <c r="T79" s="20"/>
      <c r="U79" s="20"/>
      <c r="V79" s="25"/>
      <c r="W79" s="20"/>
      <c r="X79" s="20"/>
      <c r="Y79" s="20"/>
      <c r="Z79" s="24" t="str">
        <f aca="false">IF(B79="","",B79&amp;"#"&amp;D79)</f>
        <v/>
      </c>
      <c r="AA79" s="28" t="str">
        <f aca="false">IF(A79="","",IF(J79="",I79,IF(J79&lt;1,AD79+J79,J79)))</f>
        <v/>
      </c>
      <c r="AB79" s="24" t="str">
        <f aca="false">IF(A79="","",IF(COUNTA(L79:Q79)=0,K79,_xlfn.TEXTJOIN("・",TRUE(),L79:Q79)))</f>
        <v/>
      </c>
      <c r="AC79" s="24" t="str">
        <f aca="false">IF(B79="","",B79&amp;"#"&amp;(D79-1))</f>
        <v/>
      </c>
      <c r="AD79" s="19" t="str">
        <f aca="false">IF(A79="","",IFERROR(INDEX(前日確定!$X$26:$X$45,MATCH(A79,前日確定!$B$26:$B$45,0)),""))</f>
        <v/>
      </c>
    </row>
    <row r="80" customFormat="false" ht="15" hidden="false" customHeight="false" outlineLevel="0" collapsed="false">
      <c r="A80" s="25"/>
      <c r="B80" s="24" t="str">
        <f aca="false">IF(A80="","",IFERROR(INDEX(前日確定!$C$26:$C$45,MATCH(A80,前日確定!$B$26:$B$45,0)),"作業が見つかりません"))</f>
        <v/>
      </c>
      <c r="C80" s="24" t="str">
        <f aca="false">IF(A80="","",IFERROR(INDEX(前日確定!$D$26:$D$45,MATCH(A80,前日確定!$B$26:$B$45,0)),""))</f>
        <v/>
      </c>
      <c r="D80" s="24" t="str">
        <f aca="false">IF(B80="","",COUNTIF(B$26:B80,B80))</f>
        <v/>
      </c>
      <c r="E80" s="28" t="str">
        <f aca="false">IF(A80="","",IFERROR(IF(INDEX(前日確定!$Y$26:$Y$45,MATCH(A80,前日確定!$B$26:$B$45,0))="","",INDEX(前日確定!$Y$26:$Y$45,MATCH(A80,前日確定!$B$26:$B$45,0))),""))</f>
        <v/>
      </c>
      <c r="F80" s="24" t="str">
        <f aca="false">IF(A80="","",IFERROR(INDEX(前日確定!$R$26:$R$45,MATCH(A80,前日確定!$B$26:$B$45,0)),""))</f>
        <v/>
      </c>
      <c r="G80" s="22"/>
      <c r="H80" s="20"/>
      <c r="I80" s="28" t="str">
        <f aca="false">IF(A80="","",IF(D80=1,E80,IFERROR(INDEX($AA$26:$AA$79,MATCH(AC80,$Z$26:$Z$79,0)),"")))</f>
        <v/>
      </c>
      <c r="J80" s="27"/>
      <c r="K80" s="24" t="str">
        <f aca="false">IF(A80="","",IF(D80=1,F80,IFERROR(INDEX($AB$26:$AB$79,MATCH(AC80,$Z$26:$Z$79,0)),"")))</f>
        <v/>
      </c>
      <c r="L80" s="25"/>
      <c r="M80" s="25"/>
      <c r="N80" s="25"/>
      <c r="O80" s="25"/>
      <c r="P80" s="25"/>
      <c r="Q80" s="25"/>
      <c r="R80" s="25"/>
      <c r="S80" s="20"/>
      <c r="T80" s="20"/>
      <c r="U80" s="20"/>
      <c r="V80" s="25"/>
      <c r="W80" s="20"/>
      <c r="X80" s="20"/>
      <c r="Y80" s="20"/>
      <c r="Z80" s="24" t="str">
        <f aca="false">IF(B80="","",B80&amp;"#"&amp;D80)</f>
        <v/>
      </c>
      <c r="AA80" s="28" t="str">
        <f aca="false">IF(A80="","",IF(J80="",I80,IF(J80&lt;1,AD80+J80,J80)))</f>
        <v/>
      </c>
      <c r="AB80" s="24" t="str">
        <f aca="false">IF(A80="","",IF(COUNTA(L80:Q80)=0,K80,_xlfn.TEXTJOIN("・",TRUE(),L80:Q80)))</f>
        <v/>
      </c>
      <c r="AC80" s="24" t="str">
        <f aca="false">IF(B80="","",B80&amp;"#"&amp;(D80-1))</f>
        <v/>
      </c>
      <c r="AD80" s="19" t="str">
        <f aca="false">IF(A80="","",IFERROR(INDEX(前日確定!$X$26:$X$45,MATCH(A80,前日確定!$B$26:$B$45,0)),""))</f>
        <v/>
      </c>
    </row>
    <row r="81" customFormat="false" ht="15" hidden="false" customHeight="false" outlineLevel="0" collapsed="false">
      <c r="A81" s="25"/>
      <c r="B81" s="24" t="str">
        <f aca="false">IF(A81="","",IFERROR(INDEX(前日確定!$C$26:$C$45,MATCH(A81,前日確定!$B$26:$B$45,0)),"作業が見つかりません"))</f>
        <v/>
      </c>
      <c r="C81" s="24" t="str">
        <f aca="false">IF(A81="","",IFERROR(INDEX(前日確定!$D$26:$D$45,MATCH(A81,前日確定!$B$26:$B$45,0)),""))</f>
        <v/>
      </c>
      <c r="D81" s="24" t="str">
        <f aca="false">IF(B81="","",COUNTIF(B$26:B81,B81))</f>
        <v/>
      </c>
      <c r="E81" s="28" t="str">
        <f aca="false">IF(A81="","",IFERROR(IF(INDEX(前日確定!$Y$26:$Y$45,MATCH(A81,前日確定!$B$26:$B$45,0))="","",INDEX(前日確定!$Y$26:$Y$45,MATCH(A81,前日確定!$B$26:$B$45,0))),""))</f>
        <v/>
      </c>
      <c r="F81" s="24" t="str">
        <f aca="false">IF(A81="","",IFERROR(INDEX(前日確定!$R$26:$R$45,MATCH(A81,前日確定!$B$26:$B$45,0)),""))</f>
        <v/>
      </c>
      <c r="G81" s="22"/>
      <c r="H81" s="20"/>
      <c r="I81" s="28" t="str">
        <f aca="false">IF(A81="","",IF(D81=1,E81,IFERROR(INDEX($AA$26:$AA$80,MATCH(AC81,$Z$26:$Z$80,0)),"")))</f>
        <v/>
      </c>
      <c r="J81" s="27"/>
      <c r="K81" s="24" t="str">
        <f aca="false">IF(A81="","",IF(D81=1,F81,IFERROR(INDEX($AB$26:$AB$80,MATCH(AC81,$Z$26:$Z$80,0)),"")))</f>
        <v/>
      </c>
      <c r="L81" s="25"/>
      <c r="M81" s="25"/>
      <c r="N81" s="25"/>
      <c r="O81" s="25"/>
      <c r="P81" s="25"/>
      <c r="Q81" s="25"/>
      <c r="R81" s="25"/>
      <c r="S81" s="20"/>
      <c r="T81" s="20"/>
      <c r="U81" s="20"/>
      <c r="V81" s="25"/>
      <c r="W81" s="20"/>
      <c r="X81" s="20"/>
      <c r="Y81" s="20"/>
      <c r="Z81" s="24" t="str">
        <f aca="false">IF(B81="","",B81&amp;"#"&amp;D81)</f>
        <v/>
      </c>
      <c r="AA81" s="28" t="str">
        <f aca="false">IF(A81="","",IF(J81="",I81,IF(J81&lt;1,AD81+J81,J81)))</f>
        <v/>
      </c>
      <c r="AB81" s="24" t="str">
        <f aca="false">IF(A81="","",IF(COUNTA(L81:Q81)=0,K81,_xlfn.TEXTJOIN("・",TRUE(),L81:Q81)))</f>
        <v/>
      </c>
      <c r="AC81" s="24" t="str">
        <f aca="false">IF(B81="","",B81&amp;"#"&amp;(D81-1))</f>
        <v/>
      </c>
      <c r="AD81" s="19" t="str">
        <f aca="false">IF(A81="","",IFERROR(INDEX(前日確定!$X$26:$X$45,MATCH(A81,前日確定!$B$26:$B$45,0)),""))</f>
        <v/>
      </c>
    </row>
    <row r="82" customFormat="false" ht="15" hidden="false" customHeight="false" outlineLevel="0" collapsed="false">
      <c r="A82" s="25"/>
      <c r="B82" s="24" t="str">
        <f aca="false">IF(A82="","",IFERROR(INDEX(前日確定!$C$26:$C$45,MATCH(A82,前日確定!$B$26:$B$45,0)),"作業が見つかりません"))</f>
        <v/>
      </c>
      <c r="C82" s="24" t="str">
        <f aca="false">IF(A82="","",IFERROR(INDEX(前日確定!$D$26:$D$45,MATCH(A82,前日確定!$B$26:$B$45,0)),""))</f>
        <v/>
      </c>
      <c r="D82" s="24" t="str">
        <f aca="false">IF(B82="","",COUNTIF(B$26:B82,B82))</f>
        <v/>
      </c>
      <c r="E82" s="28" t="str">
        <f aca="false">IF(A82="","",IFERROR(IF(INDEX(前日確定!$Y$26:$Y$45,MATCH(A82,前日確定!$B$26:$B$45,0))="","",INDEX(前日確定!$Y$26:$Y$45,MATCH(A82,前日確定!$B$26:$B$45,0))),""))</f>
        <v/>
      </c>
      <c r="F82" s="24" t="str">
        <f aca="false">IF(A82="","",IFERROR(INDEX(前日確定!$R$26:$R$45,MATCH(A82,前日確定!$B$26:$B$45,0)),""))</f>
        <v/>
      </c>
      <c r="G82" s="22"/>
      <c r="H82" s="20"/>
      <c r="I82" s="28" t="str">
        <f aca="false">IF(A82="","",IF(D82=1,E82,IFERROR(INDEX($AA$26:$AA$81,MATCH(AC82,$Z$26:$Z$81,0)),"")))</f>
        <v/>
      </c>
      <c r="J82" s="27"/>
      <c r="K82" s="24" t="str">
        <f aca="false">IF(A82="","",IF(D82=1,F82,IFERROR(INDEX($AB$26:$AB$81,MATCH(AC82,$Z$26:$Z$81,0)),"")))</f>
        <v/>
      </c>
      <c r="L82" s="25"/>
      <c r="M82" s="25"/>
      <c r="N82" s="25"/>
      <c r="O82" s="25"/>
      <c r="P82" s="25"/>
      <c r="Q82" s="25"/>
      <c r="R82" s="25"/>
      <c r="S82" s="20"/>
      <c r="T82" s="20"/>
      <c r="U82" s="20"/>
      <c r="V82" s="25"/>
      <c r="W82" s="20"/>
      <c r="X82" s="20"/>
      <c r="Y82" s="20"/>
      <c r="Z82" s="24" t="str">
        <f aca="false">IF(B82="","",B82&amp;"#"&amp;D82)</f>
        <v/>
      </c>
      <c r="AA82" s="28" t="str">
        <f aca="false">IF(A82="","",IF(J82="",I82,IF(J82&lt;1,AD82+J82,J82)))</f>
        <v/>
      </c>
      <c r="AB82" s="24" t="str">
        <f aca="false">IF(A82="","",IF(COUNTA(L82:Q82)=0,K82,_xlfn.TEXTJOIN("・",TRUE(),L82:Q82)))</f>
        <v/>
      </c>
      <c r="AC82" s="24" t="str">
        <f aca="false">IF(B82="","",B82&amp;"#"&amp;(D82-1))</f>
        <v/>
      </c>
      <c r="AD82" s="19" t="str">
        <f aca="false">IF(A82="","",IFERROR(INDEX(前日確定!$X$26:$X$45,MATCH(A82,前日確定!$B$26:$B$45,0)),""))</f>
        <v/>
      </c>
    </row>
    <row r="83" customFormat="false" ht="15" hidden="false" customHeight="false" outlineLevel="0" collapsed="false">
      <c r="A83" s="25"/>
      <c r="B83" s="24" t="str">
        <f aca="false">IF(A83="","",IFERROR(INDEX(前日確定!$C$26:$C$45,MATCH(A83,前日確定!$B$26:$B$45,0)),"作業が見つかりません"))</f>
        <v/>
      </c>
      <c r="C83" s="24" t="str">
        <f aca="false">IF(A83="","",IFERROR(INDEX(前日確定!$D$26:$D$45,MATCH(A83,前日確定!$B$26:$B$45,0)),""))</f>
        <v/>
      </c>
      <c r="D83" s="24" t="str">
        <f aca="false">IF(B83="","",COUNTIF(B$26:B83,B83))</f>
        <v/>
      </c>
      <c r="E83" s="28" t="str">
        <f aca="false">IF(A83="","",IFERROR(IF(INDEX(前日確定!$Y$26:$Y$45,MATCH(A83,前日確定!$B$26:$B$45,0))="","",INDEX(前日確定!$Y$26:$Y$45,MATCH(A83,前日確定!$B$26:$B$45,0))),""))</f>
        <v/>
      </c>
      <c r="F83" s="24" t="str">
        <f aca="false">IF(A83="","",IFERROR(INDEX(前日確定!$R$26:$R$45,MATCH(A83,前日確定!$B$26:$B$45,0)),""))</f>
        <v/>
      </c>
      <c r="G83" s="22"/>
      <c r="H83" s="20"/>
      <c r="I83" s="28" t="str">
        <f aca="false">IF(A83="","",IF(D83=1,E83,IFERROR(INDEX($AA$26:$AA$82,MATCH(AC83,$Z$26:$Z$82,0)),"")))</f>
        <v/>
      </c>
      <c r="J83" s="27"/>
      <c r="K83" s="24" t="str">
        <f aca="false">IF(A83="","",IF(D83=1,F83,IFERROR(INDEX($AB$26:$AB$82,MATCH(AC83,$Z$26:$Z$82,0)),"")))</f>
        <v/>
      </c>
      <c r="L83" s="25"/>
      <c r="M83" s="25"/>
      <c r="N83" s="25"/>
      <c r="O83" s="25"/>
      <c r="P83" s="25"/>
      <c r="Q83" s="25"/>
      <c r="R83" s="25"/>
      <c r="S83" s="20"/>
      <c r="T83" s="20"/>
      <c r="U83" s="20"/>
      <c r="V83" s="25"/>
      <c r="W83" s="20"/>
      <c r="X83" s="20"/>
      <c r="Y83" s="20"/>
      <c r="Z83" s="24" t="str">
        <f aca="false">IF(B83="","",B83&amp;"#"&amp;D83)</f>
        <v/>
      </c>
      <c r="AA83" s="28" t="str">
        <f aca="false">IF(A83="","",IF(J83="",I83,IF(J83&lt;1,AD83+J83,J83)))</f>
        <v/>
      </c>
      <c r="AB83" s="24" t="str">
        <f aca="false">IF(A83="","",IF(COUNTA(L83:Q83)=0,K83,_xlfn.TEXTJOIN("・",TRUE(),L83:Q83)))</f>
        <v/>
      </c>
      <c r="AC83" s="24" t="str">
        <f aca="false">IF(B83="","",B83&amp;"#"&amp;(D83-1))</f>
        <v/>
      </c>
      <c r="AD83" s="19" t="str">
        <f aca="false">IF(A83="","",IFERROR(INDEX(前日確定!$X$26:$X$45,MATCH(A83,前日確定!$B$26:$B$45,0)),""))</f>
        <v/>
      </c>
    </row>
    <row r="84" customFormat="false" ht="15" hidden="false" customHeight="false" outlineLevel="0" collapsed="false">
      <c r="A84" s="25"/>
      <c r="B84" s="24" t="str">
        <f aca="false">IF(A84="","",IFERROR(INDEX(前日確定!$C$26:$C$45,MATCH(A84,前日確定!$B$26:$B$45,0)),"作業が見つかりません"))</f>
        <v/>
      </c>
      <c r="C84" s="24" t="str">
        <f aca="false">IF(A84="","",IFERROR(INDEX(前日確定!$D$26:$D$45,MATCH(A84,前日確定!$B$26:$B$45,0)),""))</f>
        <v/>
      </c>
      <c r="D84" s="24" t="str">
        <f aca="false">IF(B84="","",COUNTIF(B$26:B84,B84))</f>
        <v/>
      </c>
      <c r="E84" s="28" t="str">
        <f aca="false">IF(A84="","",IFERROR(IF(INDEX(前日確定!$Y$26:$Y$45,MATCH(A84,前日確定!$B$26:$B$45,0))="","",INDEX(前日確定!$Y$26:$Y$45,MATCH(A84,前日確定!$B$26:$B$45,0))),""))</f>
        <v/>
      </c>
      <c r="F84" s="24" t="str">
        <f aca="false">IF(A84="","",IFERROR(INDEX(前日確定!$R$26:$R$45,MATCH(A84,前日確定!$B$26:$B$45,0)),""))</f>
        <v/>
      </c>
      <c r="G84" s="22"/>
      <c r="H84" s="20"/>
      <c r="I84" s="28" t="str">
        <f aca="false">IF(A84="","",IF(D84=1,E84,IFERROR(INDEX($AA$26:$AA$83,MATCH(AC84,$Z$26:$Z$83,0)),"")))</f>
        <v/>
      </c>
      <c r="J84" s="27"/>
      <c r="K84" s="24" t="str">
        <f aca="false">IF(A84="","",IF(D84=1,F84,IFERROR(INDEX($AB$26:$AB$83,MATCH(AC84,$Z$26:$Z$83,0)),"")))</f>
        <v/>
      </c>
      <c r="L84" s="25"/>
      <c r="M84" s="25"/>
      <c r="N84" s="25"/>
      <c r="O84" s="25"/>
      <c r="P84" s="25"/>
      <c r="Q84" s="25"/>
      <c r="R84" s="25"/>
      <c r="S84" s="20"/>
      <c r="T84" s="20"/>
      <c r="U84" s="20"/>
      <c r="V84" s="25"/>
      <c r="W84" s="20"/>
      <c r="X84" s="20"/>
      <c r="Y84" s="20"/>
      <c r="Z84" s="24" t="str">
        <f aca="false">IF(B84="","",B84&amp;"#"&amp;D84)</f>
        <v/>
      </c>
      <c r="AA84" s="28" t="str">
        <f aca="false">IF(A84="","",IF(J84="",I84,IF(J84&lt;1,AD84+J84,J84)))</f>
        <v/>
      </c>
      <c r="AB84" s="24" t="str">
        <f aca="false">IF(A84="","",IF(COUNTA(L84:Q84)=0,K84,_xlfn.TEXTJOIN("・",TRUE(),L84:Q84)))</f>
        <v/>
      </c>
      <c r="AC84" s="24" t="str">
        <f aca="false">IF(B84="","",B84&amp;"#"&amp;(D84-1))</f>
        <v/>
      </c>
      <c r="AD84" s="19" t="str">
        <f aca="false">IF(A84="","",IFERROR(INDEX(前日確定!$X$26:$X$45,MATCH(A84,前日確定!$B$26:$B$45,0)),""))</f>
        <v/>
      </c>
    </row>
    <row r="85" customFormat="false" ht="15" hidden="false" customHeight="false" outlineLevel="0" collapsed="false">
      <c r="A85" s="25"/>
      <c r="B85" s="24" t="str">
        <f aca="false">IF(A85="","",IFERROR(INDEX(前日確定!$C$26:$C$45,MATCH(A85,前日確定!$B$26:$B$45,0)),"作業が見つかりません"))</f>
        <v/>
      </c>
      <c r="C85" s="24" t="str">
        <f aca="false">IF(A85="","",IFERROR(INDEX(前日確定!$D$26:$D$45,MATCH(A85,前日確定!$B$26:$B$45,0)),""))</f>
        <v/>
      </c>
      <c r="D85" s="24" t="str">
        <f aca="false">IF(B85="","",COUNTIF(B$26:B85,B85))</f>
        <v/>
      </c>
      <c r="E85" s="28" t="str">
        <f aca="false">IF(A85="","",IFERROR(IF(INDEX(前日確定!$Y$26:$Y$45,MATCH(A85,前日確定!$B$26:$B$45,0))="","",INDEX(前日確定!$Y$26:$Y$45,MATCH(A85,前日確定!$B$26:$B$45,0))),""))</f>
        <v/>
      </c>
      <c r="F85" s="24" t="str">
        <f aca="false">IF(A85="","",IFERROR(INDEX(前日確定!$R$26:$R$45,MATCH(A85,前日確定!$B$26:$B$45,0)),""))</f>
        <v/>
      </c>
      <c r="G85" s="22"/>
      <c r="H85" s="20"/>
      <c r="I85" s="28" t="str">
        <f aca="false">IF(A85="","",IF(D85=1,E85,IFERROR(INDEX($AA$26:$AA$84,MATCH(AC85,$Z$26:$Z$84,0)),"")))</f>
        <v/>
      </c>
      <c r="J85" s="27"/>
      <c r="K85" s="24" t="str">
        <f aca="false">IF(A85="","",IF(D85=1,F85,IFERROR(INDEX($AB$26:$AB$84,MATCH(AC85,$Z$26:$Z$84,0)),"")))</f>
        <v/>
      </c>
      <c r="L85" s="25"/>
      <c r="M85" s="25"/>
      <c r="N85" s="25"/>
      <c r="O85" s="25"/>
      <c r="P85" s="25"/>
      <c r="Q85" s="25"/>
      <c r="R85" s="25"/>
      <c r="S85" s="20"/>
      <c r="T85" s="20"/>
      <c r="U85" s="20"/>
      <c r="V85" s="25"/>
      <c r="W85" s="20"/>
      <c r="X85" s="20"/>
      <c r="Y85" s="20"/>
      <c r="Z85" s="24" t="str">
        <f aca="false">IF(B85="","",B85&amp;"#"&amp;D85)</f>
        <v/>
      </c>
      <c r="AA85" s="28" t="str">
        <f aca="false">IF(A85="","",IF(J85="",I85,IF(J85&lt;1,AD85+J85,J85)))</f>
        <v/>
      </c>
      <c r="AB85" s="24" t="str">
        <f aca="false">IF(A85="","",IF(COUNTA(L85:Q85)=0,K85,_xlfn.TEXTJOIN("・",TRUE(),L85:Q85)))</f>
        <v/>
      </c>
      <c r="AC85" s="24" t="str">
        <f aca="false">IF(B85="","",B85&amp;"#"&amp;(D85-1))</f>
        <v/>
      </c>
      <c r="AD85" s="19" t="str">
        <f aca="false">IF(A85="","",IFERROR(INDEX(前日確定!$X$26:$X$45,MATCH(A85,前日確定!$B$26:$B$45,0)),""))</f>
        <v/>
      </c>
    </row>
  </sheetData>
  <dataValidations count="11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7:B11" type="list">
      <formula1>選択_日確認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C7:C11 R26:R8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A15:A22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15:D22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15:E22" type="list">
      <formula1>選択_呼出理由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G15:G22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「前日確定」の作業から選びます" showDropDown="false" showErrorMessage="false" showInputMessage="true" sqref="A26:A85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L26:Q8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85" type="list">
      <formula1>選択_取消時点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26:T85" type="list">
      <formula1>選択_理由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V26:V85" type="list">
      <formula1>選択_時間調整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0" t="s">
        <v>198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false" outlineLevel="0" collapsed="false">
      <c r="A2" s="12" t="s">
        <v>199</v>
      </c>
      <c r="B2" s="11"/>
      <c r="C2" s="11"/>
      <c r="D2" s="11"/>
      <c r="E2" s="11"/>
      <c r="F2" s="11"/>
      <c r="G2" s="11"/>
      <c r="H2" s="11"/>
      <c r="I2" s="11"/>
    </row>
    <row r="3" customFormat="false" ht="15" hidden="false" customHeight="false" outlineLevel="0" collapsed="false">
      <c r="A3" s="13" t="s">
        <v>200</v>
      </c>
      <c r="B3" s="11"/>
      <c r="C3" s="11"/>
      <c r="D3" s="11"/>
      <c r="E3" s="11"/>
      <c r="F3" s="11"/>
      <c r="G3" s="11"/>
      <c r="H3" s="11"/>
      <c r="I3" s="11"/>
    </row>
    <row r="5" customFormat="false" ht="60" hidden="false" customHeight="true" outlineLevel="0" collapsed="false">
      <c r="A5" s="23" t="s">
        <v>108</v>
      </c>
      <c r="B5" s="14" t="s">
        <v>76</v>
      </c>
      <c r="C5" s="23" t="s">
        <v>201</v>
      </c>
      <c r="D5" s="23" t="s">
        <v>202</v>
      </c>
      <c r="E5" s="23" t="s">
        <v>112</v>
      </c>
      <c r="F5" s="23" t="s">
        <v>165</v>
      </c>
      <c r="G5" s="14" t="s">
        <v>203</v>
      </c>
      <c r="H5" s="14" t="s">
        <v>75</v>
      </c>
    </row>
    <row r="6" customFormat="false" ht="15" hidden="false" customHeight="false" outlineLevel="0" collapsed="false">
      <c r="A6" s="25"/>
      <c r="B6" s="24" t="str">
        <f aca="false">IF(A6="","",IFERROR(IF(IFERROR(INDEX(マスター!$C$6:$C$125,MATCH(A6,マスター!$N$6:$N$125,0)),NA())="","未確認",IFERROR(INDEX(マスター!$C$6:$C$125,MATCH(A6,マスター!$N$6:$N$125,0)),NA())),"マスター未登録"))</f>
        <v/>
      </c>
      <c r="C6" s="29"/>
      <c r="D6" s="29"/>
      <c r="E6" s="20"/>
      <c r="F6" s="25"/>
      <c r="G6" s="24" t="str">
        <f aca="false">IF(OR(A6="",C6=""),"",IF(AND(集計!$C$5&gt;=C6,OR(D6="",集計!$C$5&lt;D6)),"○",""))</f>
        <v/>
      </c>
      <c r="H6" s="24" t="str">
        <f aca="false">IF(A6="","",IFERROR(INDEX(マスター!$K$6:$K$125,MATCH(A6,マスター!$N$6:$N$125,0)),A6))</f>
        <v/>
      </c>
    </row>
    <row r="7" customFormat="false" ht="15" hidden="false" customHeight="false" outlineLevel="0" collapsed="false">
      <c r="A7" s="25"/>
      <c r="B7" s="24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29"/>
      <c r="D7" s="29"/>
      <c r="E7" s="20"/>
      <c r="F7" s="25"/>
      <c r="G7" s="24" t="str">
        <f aca="false">IF(OR(A7="",C7=""),"",IF(AND(集計!$C$5&gt;=C7,OR(D7="",集計!$C$5&lt;D7)),"○",""))</f>
        <v/>
      </c>
      <c r="H7" s="24" t="str">
        <f aca="false">IF(A7="","",IFERROR(INDEX(マスター!$K$6:$K$125,MATCH(A7,マスター!$N$6:$N$125,0)),A7))</f>
        <v/>
      </c>
    </row>
    <row r="8" customFormat="false" ht="15" hidden="false" customHeight="false" outlineLevel="0" collapsed="false">
      <c r="A8" s="25"/>
      <c r="B8" s="24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29"/>
      <c r="D8" s="29"/>
      <c r="E8" s="20"/>
      <c r="F8" s="25"/>
      <c r="G8" s="24" t="str">
        <f aca="false">IF(OR(A8="",C8=""),"",IF(AND(集計!$C$5&gt;=C8,OR(D8="",集計!$C$5&lt;D8)),"○",""))</f>
        <v/>
      </c>
      <c r="H8" s="24" t="str">
        <f aca="false">IF(A8="","",IFERROR(INDEX(マスター!$K$6:$K$125,MATCH(A8,マスター!$N$6:$N$125,0)),A8))</f>
        <v/>
      </c>
    </row>
    <row r="9" customFormat="false" ht="15" hidden="false" customHeight="false" outlineLevel="0" collapsed="false">
      <c r="A9" s="25"/>
      <c r="B9" s="24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29"/>
      <c r="D9" s="29"/>
      <c r="E9" s="20"/>
      <c r="F9" s="25"/>
      <c r="G9" s="24" t="str">
        <f aca="false">IF(OR(A9="",C9=""),"",IF(AND(集計!$C$5&gt;=C9,OR(D9="",集計!$C$5&lt;D9)),"○",""))</f>
        <v/>
      </c>
      <c r="H9" s="24" t="str">
        <f aca="false">IF(A9="","",IFERROR(INDEX(マスター!$K$6:$K$125,MATCH(A9,マスター!$N$6:$N$125,0)),A9))</f>
        <v/>
      </c>
    </row>
    <row r="10" customFormat="false" ht="15" hidden="false" customHeight="false" outlineLevel="0" collapsed="false">
      <c r="A10" s="25"/>
      <c r="B10" s="24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29"/>
      <c r="D10" s="29"/>
      <c r="E10" s="20"/>
      <c r="F10" s="25"/>
      <c r="G10" s="24" t="str">
        <f aca="false">IF(OR(A10="",C10=""),"",IF(AND(集計!$C$5&gt;=C10,OR(D10="",集計!$C$5&lt;D10)),"○",""))</f>
        <v/>
      </c>
      <c r="H10" s="24" t="str">
        <f aca="false">IF(A10="","",IFERROR(INDEX(マスター!$K$6:$K$125,MATCH(A10,マスター!$N$6:$N$125,0)),A10))</f>
        <v/>
      </c>
    </row>
    <row r="11" customFormat="false" ht="15" hidden="false" customHeight="false" outlineLevel="0" collapsed="false">
      <c r="A11" s="25"/>
      <c r="B11" s="24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29"/>
      <c r="D11" s="29"/>
      <c r="E11" s="20"/>
      <c r="F11" s="25"/>
      <c r="G11" s="24" t="str">
        <f aca="false">IF(OR(A11="",C11=""),"",IF(AND(集計!$C$5&gt;=C11,OR(D11="",集計!$C$5&lt;D11)),"○",""))</f>
        <v/>
      </c>
      <c r="H11" s="24" t="str">
        <f aca="false">IF(A11="","",IFERROR(INDEX(マスター!$K$6:$K$125,MATCH(A11,マスター!$N$6:$N$125,0)),A11))</f>
        <v/>
      </c>
    </row>
    <row r="12" customFormat="false" ht="15" hidden="false" customHeight="false" outlineLevel="0" collapsed="false">
      <c r="A12" s="25"/>
      <c r="B12" s="24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29"/>
      <c r="D12" s="29"/>
      <c r="E12" s="20"/>
      <c r="F12" s="25"/>
      <c r="G12" s="24" t="str">
        <f aca="false">IF(OR(A12="",C12=""),"",IF(AND(集計!$C$5&gt;=C12,OR(D12="",集計!$C$5&lt;D12)),"○",""))</f>
        <v/>
      </c>
      <c r="H12" s="24" t="str">
        <f aca="false">IF(A12="","",IFERROR(INDEX(マスター!$K$6:$K$125,MATCH(A12,マスター!$N$6:$N$125,0)),A12))</f>
        <v/>
      </c>
    </row>
    <row r="13" customFormat="false" ht="15" hidden="false" customHeight="false" outlineLevel="0" collapsed="false">
      <c r="A13" s="25"/>
      <c r="B13" s="24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29"/>
      <c r="D13" s="29"/>
      <c r="E13" s="20"/>
      <c r="F13" s="25"/>
      <c r="G13" s="24" t="str">
        <f aca="false">IF(OR(A13="",C13=""),"",IF(AND(集計!$C$5&gt;=C13,OR(D13="",集計!$C$5&lt;D13)),"○",""))</f>
        <v/>
      </c>
      <c r="H13" s="24" t="str">
        <f aca="false">IF(A13="","",IFERROR(INDEX(マスター!$K$6:$K$125,MATCH(A13,マスター!$N$6:$N$125,0)),A13))</f>
        <v/>
      </c>
    </row>
    <row r="14" customFormat="false" ht="15" hidden="false" customHeight="false" outlineLevel="0" collapsed="false">
      <c r="A14" s="25"/>
      <c r="B14" s="24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29"/>
      <c r="D14" s="29"/>
      <c r="E14" s="20"/>
      <c r="F14" s="25"/>
      <c r="G14" s="24" t="str">
        <f aca="false">IF(OR(A14="",C14=""),"",IF(AND(集計!$C$5&gt;=C14,OR(D14="",集計!$C$5&lt;D14)),"○",""))</f>
        <v/>
      </c>
      <c r="H14" s="24" t="str">
        <f aca="false">IF(A14="","",IFERROR(INDEX(マスター!$K$6:$K$125,MATCH(A14,マスター!$N$6:$N$125,0)),A14))</f>
        <v/>
      </c>
    </row>
    <row r="15" customFormat="false" ht="15" hidden="false" customHeight="false" outlineLevel="0" collapsed="false">
      <c r="A15" s="25"/>
      <c r="B15" s="24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9"/>
      <c r="D15" s="29"/>
      <c r="E15" s="20"/>
      <c r="F15" s="25"/>
      <c r="G15" s="24" t="str">
        <f aca="false">IF(OR(A15="",C15=""),"",IF(AND(集計!$C$5&gt;=C15,OR(D15="",集計!$C$5&lt;D15)),"○",""))</f>
        <v/>
      </c>
      <c r="H15" s="24" t="str">
        <f aca="false">IF(A15="","",IFERROR(INDEX(マスター!$K$6:$K$125,MATCH(A15,マスター!$N$6:$N$125,0)),A15))</f>
        <v/>
      </c>
    </row>
    <row r="16" customFormat="false" ht="15" hidden="false" customHeight="false" outlineLevel="0" collapsed="false">
      <c r="A16" s="25"/>
      <c r="B16" s="24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9"/>
      <c r="D16" s="29"/>
      <c r="E16" s="20"/>
      <c r="F16" s="25"/>
      <c r="G16" s="24" t="str">
        <f aca="false">IF(OR(A16="",C16=""),"",IF(AND(集計!$C$5&gt;=C16,OR(D16="",集計!$C$5&lt;D16)),"○",""))</f>
        <v/>
      </c>
      <c r="H16" s="24" t="str">
        <f aca="false">IF(A16="","",IFERROR(INDEX(マスター!$K$6:$K$125,MATCH(A16,マスター!$N$6:$N$125,0)),A16))</f>
        <v/>
      </c>
    </row>
    <row r="17" customFormat="false" ht="15" hidden="false" customHeight="false" outlineLevel="0" collapsed="false">
      <c r="A17" s="25"/>
      <c r="B17" s="24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9"/>
      <c r="D17" s="29"/>
      <c r="E17" s="20"/>
      <c r="F17" s="25"/>
      <c r="G17" s="24" t="str">
        <f aca="false">IF(OR(A17="",C17=""),"",IF(AND(集計!$C$5&gt;=C17,OR(D17="",集計!$C$5&lt;D17)),"○",""))</f>
        <v/>
      </c>
      <c r="H17" s="24" t="str">
        <f aca="false">IF(A17="","",IFERROR(INDEX(マスター!$K$6:$K$125,MATCH(A17,マスター!$N$6:$N$125,0)),A17))</f>
        <v/>
      </c>
    </row>
    <row r="18" customFormat="false" ht="15" hidden="false" customHeight="false" outlineLevel="0" collapsed="false">
      <c r="A18" s="25"/>
      <c r="B18" s="24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9"/>
      <c r="D18" s="29"/>
      <c r="E18" s="20"/>
      <c r="F18" s="25"/>
      <c r="G18" s="24" t="str">
        <f aca="false">IF(OR(A18="",C18=""),"",IF(AND(集計!$C$5&gt;=C18,OR(D18="",集計!$C$5&lt;D18)),"○",""))</f>
        <v/>
      </c>
      <c r="H18" s="24" t="str">
        <f aca="false">IF(A18="","",IFERROR(INDEX(マスター!$K$6:$K$125,MATCH(A18,マスター!$N$6:$N$125,0)),A18))</f>
        <v/>
      </c>
    </row>
    <row r="19" customFormat="false" ht="15" hidden="false" customHeight="false" outlineLevel="0" collapsed="false">
      <c r="A19" s="25"/>
      <c r="B19" s="24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9"/>
      <c r="D19" s="29"/>
      <c r="E19" s="20"/>
      <c r="F19" s="25"/>
      <c r="G19" s="24" t="str">
        <f aca="false">IF(OR(A19="",C19=""),"",IF(AND(集計!$C$5&gt;=C19,OR(D19="",集計!$C$5&lt;D19)),"○",""))</f>
        <v/>
      </c>
      <c r="H19" s="24" t="str">
        <f aca="false">IF(A19="","",IFERROR(INDEX(マスター!$K$6:$K$125,MATCH(A19,マスター!$N$6:$N$125,0)),A19))</f>
        <v/>
      </c>
    </row>
    <row r="20" customFormat="false" ht="15" hidden="false" customHeight="false" outlineLevel="0" collapsed="false">
      <c r="A20" s="25"/>
      <c r="B20" s="24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9"/>
      <c r="D20" s="29"/>
      <c r="E20" s="20"/>
      <c r="F20" s="25"/>
      <c r="G20" s="24" t="str">
        <f aca="false">IF(OR(A20="",C20=""),"",IF(AND(集計!$C$5&gt;=C20,OR(D20="",集計!$C$5&lt;D20)),"○",""))</f>
        <v/>
      </c>
      <c r="H20" s="24" t="str">
        <f aca="false">IF(A20="","",IFERROR(INDEX(マスター!$K$6:$K$125,MATCH(A20,マスター!$N$6:$N$125,0)),A20))</f>
        <v/>
      </c>
    </row>
    <row r="21" customFormat="false" ht="15" hidden="false" customHeight="false" outlineLevel="0" collapsed="false">
      <c r="A21" s="25"/>
      <c r="B21" s="24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9"/>
      <c r="D21" s="29"/>
      <c r="E21" s="20"/>
      <c r="F21" s="25"/>
      <c r="G21" s="24" t="str">
        <f aca="false">IF(OR(A21="",C21=""),"",IF(AND(集計!$C$5&gt;=C21,OR(D21="",集計!$C$5&lt;D21)),"○",""))</f>
        <v/>
      </c>
      <c r="H21" s="24" t="str">
        <f aca="false">IF(A21="","",IFERROR(INDEX(マスター!$K$6:$K$125,MATCH(A21,マスター!$N$6:$N$125,0)),A21))</f>
        <v/>
      </c>
    </row>
    <row r="22" customFormat="false" ht="15" hidden="false" customHeight="false" outlineLevel="0" collapsed="false">
      <c r="A22" s="25"/>
      <c r="B22" s="24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9"/>
      <c r="D22" s="29"/>
      <c r="E22" s="20"/>
      <c r="F22" s="25"/>
      <c r="G22" s="24" t="str">
        <f aca="false">IF(OR(A22="",C22=""),"",IF(AND(集計!$C$5&gt;=C22,OR(D22="",集計!$C$5&lt;D22)),"○",""))</f>
        <v/>
      </c>
      <c r="H22" s="24" t="str">
        <f aca="false">IF(A22="","",IFERROR(INDEX(マスター!$K$6:$K$125,MATCH(A22,マスター!$N$6:$N$125,0)),A22))</f>
        <v/>
      </c>
    </row>
    <row r="23" customFormat="false" ht="15" hidden="false" customHeight="false" outlineLevel="0" collapsed="false">
      <c r="A23" s="25"/>
      <c r="B23" s="24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29"/>
      <c r="D23" s="29"/>
      <c r="E23" s="20"/>
      <c r="F23" s="25"/>
      <c r="G23" s="24" t="str">
        <f aca="false">IF(OR(A23="",C23=""),"",IF(AND(集計!$C$5&gt;=C23,OR(D23="",集計!$C$5&lt;D23)),"○",""))</f>
        <v/>
      </c>
      <c r="H23" s="24" t="str">
        <f aca="false">IF(A23="","",IFERROR(INDEX(マスター!$K$6:$K$125,MATCH(A23,マスター!$N$6:$N$125,0)),A23))</f>
        <v/>
      </c>
    </row>
    <row r="24" customFormat="false" ht="15" hidden="false" customHeight="false" outlineLevel="0" collapsed="false">
      <c r="A24" s="25"/>
      <c r="B24" s="24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29"/>
      <c r="D24" s="29"/>
      <c r="E24" s="20"/>
      <c r="F24" s="25"/>
      <c r="G24" s="24" t="str">
        <f aca="false">IF(OR(A24="",C24=""),"",IF(AND(集計!$C$5&gt;=C24,OR(D24="",集計!$C$5&lt;D24)),"○",""))</f>
        <v/>
      </c>
      <c r="H24" s="24" t="str">
        <f aca="false">IF(A24="","",IFERROR(INDEX(マスター!$K$6:$K$125,MATCH(A24,マスター!$N$6:$N$125,0)),A24))</f>
        <v/>
      </c>
    </row>
    <row r="25" customFormat="false" ht="15" hidden="false" customHeight="false" outlineLevel="0" collapsed="false">
      <c r="A25" s="25"/>
      <c r="B25" s="24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29"/>
      <c r="D25" s="29"/>
      <c r="E25" s="20"/>
      <c r="F25" s="25"/>
      <c r="G25" s="24" t="str">
        <f aca="false">IF(OR(A25="",C25=""),"",IF(AND(集計!$C$5&gt;=C25,OR(D25="",集計!$C$5&lt;D25)),"○",""))</f>
        <v/>
      </c>
      <c r="H25" s="24" t="str">
        <f aca="false">IF(A25="","",IFERROR(INDEX(マスター!$K$6:$K$125,MATCH(A25,マスター!$N$6:$N$125,0)),A25))</f>
        <v/>
      </c>
    </row>
    <row r="26" customFormat="false" ht="15" hidden="false" customHeight="false" outlineLevel="0" collapsed="false">
      <c r="A26" s="25"/>
      <c r="B26" s="24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29"/>
      <c r="D26" s="29"/>
      <c r="E26" s="20"/>
      <c r="F26" s="25"/>
      <c r="G26" s="24" t="str">
        <f aca="false">IF(OR(A26="",C26=""),"",IF(AND(集計!$C$5&gt;=C26,OR(D26="",集計!$C$5&lt;D26)),"○",""))</f>
        <v/>
      </c>
      <c r="H26" s="24" t="str">
        <f aca="false">IF(A26="","",IFERROR(INDEX(マスター!$K$6:$K$125,MATCH(A26,マスター!$N$6:$N$125,0)),A26))</f>
        <v/>
      </c>
    </row>
    <row r="27" customFormat="false" ht="15" hidden="false" customHeight="false" outlineLevel="0" collapsed="false">
      <c r="A27" s="25"/>
      <c r="B27" s="24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29"/>
      <c r="D27" s="29"/>
      <c r="E27" s="20"/>
      <c r="F27" s="25"/>
      <c r="G27" s="24" t="str">
        <f aca="false">IF(OR(A27="",C27=""),"",IF(AND(集計!$C$5&gt;=C27,OR(D27="",集計!$C$5&lt;D27)),"○",""))</f>
        <v/>
      </c>
      <c r="H27" s="24" t="str">
        <f aca="false">IF(A27="","",IFERROR(INDEX(マスター!$K$6:$K$125,MATCH(A27,マスター!$N$6:$N$125,0)),A27))</f>
        <v/>
      </c>
    </row>
    <row r="28" customFormat="false" ht="15" hidden="false" customHeight="false" outlineLevel="0" collapsed="false">
      <c r="A28" s="25"/>
      <c r="B28" s="24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29"/>
      <c r="D28" s="29"/>
      <c r="E28" s="20"/>
      <c r="F28" s="25"/>
      <c r="G28" s="24" t="str">
        <f aca="false">IF(OR(A28="",C28=""),"",IF(AND(集計!$C$5&gt;=C28,OR(D28="",集計!$C$5&lt;D28)),"○",""))</f>
        <v/>
      </c>
      <c r="H28" s="24" t="str">
        <f aca="false">IF(A28="","",IFERROR(INDEX(マスター!$K$6:$K$125,MATCH(A28,マスター!$N$6:$N$125,0)),A28))</f>
        <v/>
      </c>
    </row>
    <row r="29" customFormat="false" ht="15" hidden="false" customHeight="false" outlineLevel="0" collapsed="false">
      <c r="A29" s="25"/>
      <c r="B29" s="24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29"/>
      <c r="D29" s="29"/>
      <c r="E29" s="20"/>
      <c r="F29" s="25"/>
      <c r="G29" s="24" t="str">
        <f aca="false">IF(OR(A29="",C29=""),"",IF(AND(集計!$C$5&gt;=C29,OR(D29="",集計!$C$5&lt;D29)),"○",""))</f>
        <v/>
      </c>
      <c r="H29" s="24" t="str">
        <f aca="false">IF(A29="","",IFERROR(INDEX(マスター!$K$6:$K$125,MATCH(A29,マスター!$N$6:$N$125,0)),A29))</f>
        <v/>
      </c>
    </row>
    <row r="30" customFormat="false" ht="15" hidden="false" customHeight="false" outlineLevel="0" collapsed="false">
      <c r="A30" s="25"/>
      <c r="B30" s="24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29"/>
      <c r="D30" s="29"/>
      <c r="E30" s="20"/>
      <c r="F30" s="25"/>
      <c r="G30" s="24" t="str">
        <f aca="false">IF(OR(A30="",C30=""),"",IF(AND(集計!$C$5&gt;=C30,OR(D30="",集計!$C$5&lt;D30)),"○",""))</f>
        <v/>
      </c>
      <c r="H30" s="24" t="str">
        <f aca="false">IF(A30="","",IFERROR(INDEX(マスター!$K$6:$K$125,MATCH(A30,マスター!$N$6:$N$125,0)),A30))</f>
        <v/>
      </c>
    </row>
    <row r="31" customFormat="false" ht="15" hidden="false" customHeight="false" outlineLevel="0" collapsed="false">
      <c r="A31" s="25"/>
      <c r="B31" s="24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29"/>
      <c r="D31" s="29"/>
      <c r="E31" s="20"/>
      <c r="F31" s="25"/>
      <c r="G31" s="24" t="str">
        <f aca="false">IF(OR(A31="",C31=""),"",IF(AND(集計!$C$5&gt;=C31,OR(D31="",集計!$C$5&lt;D31)),"○",""))</f>
        <v/>
      </c>
      <c r="H31" s="24" t="str">
        <f aca="false">IF(A31="","",IFERROR(INDEX(マスター!$K$6:$K$125,MATCH(A31,マスター!$N$6:$N$125,0)),A31))</f>
        <v/>
      </c>
    </row>
    <row r="32" customFormat="false" ht="15" hidden="false" customHeight="false" outlineLevel="0" collapsed="false">
      <c r="A32" s="25"/>
      <c r="B32" s="24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29"/>
      <c r="D32" s="29"/>
      <c r="E32" s="20"/>
      <c r="F32" s="25"/>
      <c r="G32" s="24" t="str">
        <f aca="false">IF(OR(A32="",C32=""),"",IF(AND(集計!$C$5&gt;=C32,OR(D32="",集計!$C$5&lt;D32)),"○",""))</f>
        <v/>
      </c>
      <c r="H32" s="24" t="str">
        <f aca="false">IF(A32="","",IFERROR(INDEX(マスター!$K$6:$K$125,MATCH(A32,マスター!$N$6:$N$125,0)),A32))</f>
        <v/>
      </c>
    </row>
    <row r="33" customFormat="false" ht="15" hidden="false" customHeight="false" outlineLevel="0" collapsed="false">
      <c r="A33" s="25"/>
      <c r="B33" s="24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29"/>
      <c r="D33" s="29"/>
      <c r="E33" s="20"/>
      <c r="F33" s="25"/>
      <c r="G33" s="24" t="str">
        <f aca="false">IF(OR(A33="",C33=""),"",IF(AND(集計!$C$5&gt;=C33,OR(D33="",集計!$C$5&lt;D33)),"○",""))</f>
        <v/>
      </c>
      <c r="H33" s="24" t="str">
        <f aca="false">IF(A33="","",IFERROR(INDEX(マスター!$K$6:$K$125,MATCH(A33,マスター!$N$6:$N$125,0)),A33))</f>
        <v/>
      </c>
    </row>
    <row r="34" customFormat="false" ht="15" hidden="false" customHeight="false" outlineLevel="0" collapsed="false">
      <c r="A34" s="25"/>
      <c r="B34" s="24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29"/>
      <c r="D34" s="29"/>
      <c r="E34" s="20"/>
      <c r="F34" s="25"/>
      <c r="G34" s="24" t="str">
        <f aca="false">IF(OR(A34="",C34=""),"",IF(AND(集計!$C$5&gt;=C34,OR(D34="",集計!$C$5&lt;D34)),"○",""))</f>
        <v/>
      </c>
      <c r="H34" s="24" t="str">
        <f aca="false">IF(A34="","",IFERROR(INDEX(マスター!$K$6:$K$125,MATCH(A34,マスター!$N$6:$N$125,0)),A34))</f>
        <v/>
      </c>
    </row>
    <row r="35" customFormat="false" ht="15" hidden="false" customHeight="false" outlineLevel="0" collapsed="false">
      <c r="A35" s="25"/>
      <c r="B35" s="24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29"/>
      <c r="D35" s="29"/>
      <c r="E35" s="20"/>
      <c r="F35" s="25"/>
      <c r="G35" s="24" t="str">
        <f aca="false">IF(OR(A35="",C35=""),"",IF(AND(集計!$C$5&gt;=C35,OR(D35="",集計!$C$5&lt;D35)),"○",""))</f>
        <v/>
      </c>
      <c r="H35" s="24" t="str">
        <f aca="false">IF(A35="","",IFERROR(INDEX(マスター!$K$6:$K$125,MATCH(A35,マスター!$N$6:$N$125,0)),A35))</f>
        <v/>
      </c>
    </row>
    <row r="36" customFormat="false" ht="15" hidden="false" customHeight="false" outlineLevel="0" collapsed="false">
      <c r="A36" s="25"/>
      <c r="B36" s="24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29"/>
      <c r="D36" s="29"/>
      <c r="E36" s="20"/>
      <c r="F36" s="25"/>
      <c r="G36" s="24" t="str">
        <f aca="false">IF(OR(A36="",C36=""),"",IF(AND(集計!$C$5&gt;=C36,OR(D36="",集計!$C$5&lt;D36)),"○",""))</f>
        <v/>
      </c>
      <c r="H36" s="24" t="str">
        <f aca="false">IF(A36="","",IFERROR(INDEX(マスター!$K$6:$K$125,MATCH(A36,マスター!$N$6:$N$125,0)),A36))</f>
        <v/>
      </c>
    </row>
    <row r="37" customFormat="false" ht="15" hidden="false" customHeight="false" outlineLevel="0" collapsed="false">
      <c r="A37" s="25"/>
      <c r="B37" s="24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29"/>
      <c r="D37" s="29"/>
      <c r="E37" s="20"/>
      <c r="F37" s="25"/>
      <c r="G37" s="24" t="str">
        <f aca="false">IF(OR(A37="",C37=""),"",IF(AND(集計!$C$5&gt;=C37,OR(D37="",集計!$C$5&lt;D37)),"○",""))</f>
        <v/>
      </c>
      <c r="H37" s="24" t="str">
        <f aca="false">IF(A37="","",IFERROR(INDEX(マスター!$K$6:$K$125,MATCH(A37,マスター!$N$6:$N$125,0)),A37))</f>
        <v/>
      </c>
    </row>
    <row r="38" customFormat="false" ht="15" hidden="false" customHeight="false" outlineLevel="0" collapsed="false">
      <c r="A38" s="25"/>
      <c r="B38" s="24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29"/>
      <c r="D38" s="29"/>
      <c r="E38" s="20"/>
      <c r="F38" s="25"/>
      <c r="G38" s="24" t="str">
        <f aca="false">IF(OR(A38="",C38=""),"",IF(AND(集計!$C$5&gt;=C38,OR(D38="",集計!$C$5&lt;D38)),"○",""))</f>
        <v/>
      </c>
      <c r="H38" s="24" t="str">
        <f aca="false">IF(A38="","",IFERROR(INDEX(マスター!$K$6:$K$125,MATCH(A38,マスター!$N$6:$N$125,0)),A38))</f>
        <v/>
      </c>
    </row>
    <row r="39" customFormat="false" ht="15" hidden="false" customHeight="false" outlineLevel="0" collapsed="false">
      <c r="A39" s="25"/>
      <c r="B39" s="24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29"/>
      <c r="D39" s="29"/>
      <c r="E39" s="20"/>
      <c r="F39" s="25"/>
      <c r="G39" s="24" t="str">
        <f aca="false">IF(OR(A39="",C39=""),"",IF(AND(集計!$C$5&gt;=C39,OR(D39="",集計!$C$5&lt;D39)),"○",""))</f>
        <v/>
      </c>
      <c r="H39" s="24" t="str">
        <f aca="false">IF(A39="","",IFERROR(INDEX(マスター!$K$6:$K$125,MATCH(A39,マスター!$N$6:$N$125,0)),A39))</f>
        <v/>
      </c>
    </row>
    <row r="40" customFormat="false" ht="15" hidden="false" customHeight="false" outlineLevel="0" collapsed="false">
      <c r="A40" s="25"/>
      <c r="B40" s="24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29"/>
      <c r="D40" s="29"/>
      <c r="E40" s="20"/>
      <c r="F40" s="25"/>
      <c r="G40" s="24" t="str">
        <f aca="false">IF(OR(A40="",C40=""),"",IF(AND(集計!$C$5&gt;=C40,OR(D40="",集計!$C$5&lt;D40)),"○",""))</f>
        <v/>
      </c>
      <c r="H40" s="24" t="str">
        <f aca="false">IF(A40="","",IFERROR(INDEX(マスター!$K$6:$K$125,MATCH(A40,マスター!$N$6:$N$125,0)),A40))</f>
        <v/>
      </c>
    </row>
    <row r="41" customFormat="false" ht="15" hidden="false" customHeight="false" outlineLevel="0" collapsed="false">
      <c r="A41" s="25"/>
      <c r="B41" s="24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29"/>
      <c r="D41" s="29"/>
      <c r="E41" s="20"/>
      <c r="F41" s="25"/>
      <c r="G41" s="24" t="str">
        <f aca="false">IF(OR(A41="",C41=""),"",IF(AND(集計!$C$5&gt;=C41,OR(D41="",集計!$C$5&lt;D41)),"○",""))</f>
        <v/>
      </c>
      <c r="H41" s="24" t="str">
        <f aca="false">IF(A41="","",IFERROR(INDEX(マスター!$K$6:$K$125,MATCH(A41,マスター!$N$6:$N$125,0)),A41))</f>
        <v/>
      </c>
    </row>
    <row r="42" customFormat="false" ht="15" hidden="false" customHeight="false" outlineLevel="0" collapsed="false">
      <c r="A42" s="25"/>
      <c r="B42" s="24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29"/>
      <c r="D42" s="29"/>
      <c r="E42" s="20"/>
      <c r="F42" s="25"/>
      <c r="G42" s="24" t="str">
        <f aca="false">IF(OR(A42="",C42=""),"",IF(AND(集計!$C$5&gt;=C42,OR(D42="",集計!$C$5&lt;D42)),"○",""))</f>
        <v/>
      </c>
      <c r="H42" s="24" t="str">
        <f aca="false">IF(A42="","",IFERROR(INDEX(マスター!$K$6:$K$125,MATCH(A42,マスター!$N$6:$N$125,0)),A42))</f>
        <v/>
      </c>
    </row>
    <row r="43" customFormat="false" ht="15" hidden="false" customHeight="false" outlineLevel="0" collapsed="false">
      <c r="A43" s="25"/>
      <c r="B43" s="24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29"/>
      <c r="D43" s="29"/>
      <c r="E43" s="20"/>
      <c r="F43" s="25"/>
      <c r="G43" s="24" t="str">
        <f aca="false">IF(OR(A43="",C43=""),"",IF(AND(集計!$C$5&gt;=C43,OR(D43="",集計!$C$5&lt;D43)),"○",""))</f>
        <v/>
      </c>
      <c r="H43" s="24" t="str">
        <f aca="false">IF(A43="","",IFERROR(INDEX(マスター!$K$6:$K$125,MATCH(A43,マスター!$N$6:$N$125,0)),A43))</f>
        <v/>
      </c>
    </row>
    <row r="44" customFormat="false" ht="15" hidden="false" customHeight="false" outlineLevel="0" collapsed="false">
      <c r="A44" s="25"/>
      <c r="B44" s="24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29"/>
      <c r="D44" s="29"/>
      <c r="E44" s="20"/>
      <c r="F44" s="25"/>
      <c r="G44" s="24" t="str">
        <f aca="false">IF(OR(A44="",C44=""),"",IF(AND(集計!$C$5&gt;=C44,OR(D44="",集計!$C$5&lt;D44)),"○",""))</f>
        <v/>
      </c>
      <c r="H44" s="24" t="str">
        <f aca="false">IF(A44="","",IFERROR(INDEX(マスター!$K$6:$K$125,MATCH(A44,マスター!$N$6:$N$125,0)),A44))</f>
        <v/>
      </c>
    </row>
    <row r="45" customFormat="false" ht="15" hidden="false" customHeight="false" outlineLevel="0" collapsed="false">
      <c r="A45" s="25"/>
      <c r="B45" s="24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29"/>
      <c r="D45" s="29"/>
      <c r="E45" s="20"/>
      <c r="F45" s="25"/>
      <c r="G45" s="24" t="str">
        <f aca="false">IF(OR(A45="",C45=""),"",IF(AND(集計!$C$5&gt;=C45,OR(D45="",集計!$C$5&lt;D45)),"○",""))</f>
        <v/>
      </c>
      <c r="H45" s="24" t="str">
        <f aca="false">IF(A45="","",IFERROR(INDEX(マスター!$K$6:$K$125,MATCH(A45,マスター!$N$6:$N$125,0)),A45))</f>
        <v/>
      </c>
    </row>
    <row r="46" customFormat="false" ht="15" hidden="false" customHeight="false" outlineLevel="0" collapsed="false">
      <c r="A46" s="25"/>
      <c r="B46" s="24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29"/>
      <c r="D46" s="29"/>
      <c r="E46" s="20"/>
      <c r="F46" s="25"/>
      <c r="G46" s="24" t="str">
        <f aca="false">IF(OR(A46="",C46=""),"",IF(AND(集計!$C$5&gt;=C46,OR(D46="",集計!$C$5&lt;D46)),"○",""))</f>
        <v/>
      </c>
      <c r="H46" s="24" t="str">
        <f aca="false">IF(A46="","",IFERROR(INDEX(マスター!$K$6:$K$125,MATCH(A46,マスター!$N$6:$N$125,0)),A46))</f>
        <v/>
      </c>
    </row>
    <row r="47" customFormat="false" ht="15" hidden="false" customHeight="false" outlineLevel="0" collapsed="false">
      <c r="A47" s="25"/>
      <c r="B47" s="24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29"/>
      <c r="D47" s="29"/>
      <c r="E47" s="20"/>
      <c r="F47" s="25"/>
      <c r="G47" s="24" t="str">
        <f aca="false">IF(OR(A47="",C47=""),"",IF(AND(集計!$C$5&gt;=C47,OR(D47="",集計!$C$5&lt;D47)),"○",""))</f>
        <v/>
      </c>
      <c r="H47" s="24" t="str">
        <f aca="false">IF(A47="","",IFERROR(INDEX(マスター!$K$6:$K$125,MATCH(A47,マスター!$N$6:$N$125,0)),A47))</f>
        <v/>
      </c>
    </row>
    <row r="48" customFormat="false" ht="15" hidden="false" customHeight="false" outlineLevel="0" collapsed="false">
      <c r="A48" s="25"/>
      <c r="B48" s="24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29"/>
      <c r="D48" s="29"/>
      <c r="E48" s="20"/>
      <c r="F48" s="25"/>
      <c r="G48" s="24" t="str">
        <f aca="false">IF(OR(A48="",C48=""),"",IF(AND(集計!$C$5&gt;=C48,OR(D48="",集計!$C$5&lt;D48)),"○",""))</f>
        <v/>
      </c>
      <c r="H48" s="24" t="str">
        <f aca="false">IF(A48="","",IFERROR(INDEX(マスター!$K$6:$K$125,MATCH(A48,マスター!$N$6:$N$125,0)),A48))</f>
        <v/>
      </c>
    </row>
    <row r="49" customFormat="false" ht="15" hidden="false" customHeight="false" outlineLevel="0" collapsed="false">
      <c r="A49" s="25"/>
      <c r="B49" s="24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29"/>
      <c r="D49" s="29"/>
      <c r="E49" s="20"/>
      <c r="F49" s="25"/>
      <c r="G49" s="24" t="str">
        <f aca="false">IF(OR(A49="",C49=""),"",IF(AND(集計!$C$5&gt;=C49,OR(D49="",集計!$C$5&lt;D49)),"○",""))</f>
        <v/>
      </c>
      <c r="H49" s="24" t="str">
        <f aca="false">IF(A49="","",IFERROR(INDEX(マスター!$K$6:$K$125,MATCH(A49,マスター!$N$6:$N$125,0)),A49))</f>
        <v/>
      </c>
    </row>
    <row r="50" customFormat="false" ht="15" hidden="false" customHeight="false" outlineLevel="0" collapsed="false">
      <c r="A50" s="25"/>
      <c r="B50" s="24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29"/>
      <c r="D50" s="29"/>
      <c r="E50" s="20"/>
      <c r="F50" s="25"/>
      <c r="G50" s="24" t="str">
        <f aca="false">IF(OR(A50="",C50=""),"",IF(AND(集計!$C$5&gt;=C50,OR(D50="",集計!$C$5&lt;D50)),"○",""))</f>
        <v/>
      </c>
      <c r="H50" s="24" t="str">
        <f aca="false">IF(A50="","",IFERROR(INDEX(マスター!$K$6:$K$125,MATCH(A50,マスター!$N$6:$N$125,0)),A50))</f>
        <v/>
      </c>
    </row>
    <row r="51" customFormat="false" ht="15" hidden="false" customHeight="false" outlineLevel="0" collapsed="false">
      <c r="A51" s="25"/>
      <c r="B51" s="24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29"/>
      <c r="D51" s="29"/>
      <c r="E51" s="20"/>
      <c r="F51" s="25"/>
      <c r="G51" s="24" t="str">
        <f aca="false">IF(OR(A51="",C51=""),"",IF(AND(集計!$C$5&gt;=C51,OR(D51="",集計!$C$5&lt;D51)),"○",""))</f>
        <v/>
      </c>
      <c r="H51" s="24" t="str">
        <f aca="false">IF(A51="","",IFERROR(INDEX(マスター!$K$6:$K$125,MATCH(A51,マスター!$N$6:$N$125,0)),A51))</f>
        <v/>
      </c>
    </row>
    <row r="52" customFormat="false" ht="15" hidden="false" customHeight="false" outlineLevel="0" collapsed="false">
      <c r="A52" s="25"/>
      <c r="B52" s="24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29"/>
      <c r="D52" s="29"/>
      <c r="E52" s="20"/>
      <c r="F52" s="25"/>
      <c r="G52" s="24" t="str">
        <f aca="false">IF(OR(A52="",C52=""),"",IF(AND(集計!$C$5&gt;=C52,OR(D52="",集計!$C$5&lt;D52)),"○",""))</f>
        <v/>
      </c>
      <c r="H52" s="24" t="str">
        <f aca="false">IF(A52="","",IFERROR(INDEX(マスター!$K$6:$K$125,MATCH(A52,マスター!$N$6:$N$125,0)),A52))</f>
        <v/>
      </c>
    </row>
    <row r="53" customFormat="false" ht="15" hidden="false" customHeight="false" outlineLevel="0" collapsed="false">
      <c r="A53" s="25"/>
      <c r="B53" s="24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29"/>
      <c r="D53" s="29"/>
      <c r="E53" s="20"/>
      <c r="F53" s="25"/>
      <c r="G53" s="24" t="str">
        <f aca="false">IF(OR(A53="",C53=""),"",IF(AND(集計!$C$5&gt;=C53,OR(D53="",集計!$C$5&lt;D53)),"○",""))</f>
        <v/>
      </c>
      <c r="H53" s="24" t="str">
        <f aca="false">IF(A53="","",IFERROR(INDEX(マスター!$K$6:$K$125,MATCH(A53,マスター!$N$6:$N$125,0)),A53))</f>
        <v/>
      </c>
    </row>
    <row r="54" customFormat="false" ht="15" hidden="false" customHeight="false" outlineLevel="0" collapsed="false">
      <c r="A54" s="25"/>
      <c r="B54" s="24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29"/>
      <c r="D54" s="29"/>
      <c r="E54" s="20"/>
      <c r="F54" s="25"/>
      <c r="G54" s="24" t="str">
        <f aca="false">IF(OR(A54="",C54=""),"",IF(AND(集計!$C$5&gt;=C54,OR(D54="",集計!$C$5&lt;D54)),"○",""))</f>
        <v/>
      </c>
      <c r="H54" s="24" t="str">
        <f aca="false">IF(A54="","",IFERROR(INDEX(マスター!$K$6:$K$125,MATCH(A54,マスター!$N$6:$N$125,0)),A54))</f>
        <v/>
      </c>
    </row>
    <row r="55" customFormat="false" ht="15" hidden="false" customHeight="false" outlineLevel="0" collapsed="false">
      <c r="A55" s="25"/>
      <c r="B55" s="24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29"/>
      <c r="D55" s="29"/>
      <c r="E55" s="20"/>
      <c r="F55" s="25"/>
      <c r="G55" s="24" t="str">
        <f aca="false">IF(OR(A55="",C55=""),"",IF(AND(集計!$C$5&gt;=C55,OR(D55="",集計!$C$5&lt;D55)),"○",""))</f>
        <v/>
      </c>
      <c r="H55" s="24" t="str">
        <f aca="false">IF(A55="","",IFERROR(INDEX(マスター!$K$6:$K$125,MATCH(A55,マスター!$N$6:$N$125,0)),A55))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3" min="12" style="0" width="8"/>
  </cols>
  <sheetData>
    <row r="1" customFormat="false" ht="17.35" hidden="false" customHeight="false" outlineLevel="0" collapsed="false">
      <c r="A1" s="10" t="s">
        <v>204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" hidden="false" customHeight="false" outlineLevel="0" collapsed="false">
      <c r="A2" s="12" t="s">
        <v>205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15" hidden="false" customHeight="false" outlineLevel="0" collapsed="false">
      <c r="A3" s="13" t="s">
        <v>206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customFormat="false" ht="60" hidden="false" customHeight="true" outlineLevel="0" collapsed="false">
      <c r="A5" s="23" t="s">
        <v>108</v>
      </c>
      <c r="B5" s="14" t="s">
        <v>76</v>
      </c>
      <c r="C5" s="23" t="s">
        <v>207</v>
      </c>
      <c r="D5" s="23" t="s">
        <v>208</v>
      </c>
      <c r="E5" s="23" t="s">
        <v>209</v>
      </c>
      <c r="F5" s="23" t="s">
        <v>210</v>
      </c>
      <c r="G5" s="23" t="s">
        <v>112</v>
      </c>
      <c r="H5" s="23" t="s">
        <v>157</v>
      </c>
      <c r="I5" s="14" t="s">
        <v>211</v>
      </c>
      <c r="J5" s="14" t="s">
        <v>212</v>
      </c>
      <c r="K5" s="14" t="s">
        <v>75</v>
      </c>
      <c r="L5" s="14" t="s">
        <v>213</v>
      </c>
      <c r="M5" s="14" t="s">
        <v>214</v>
      </c>
    </row>
    <row r="6" customFormat="false" ht="15" hidden="false" customHeight="false" outlineLevel="0" collapsed="false">
      <c r="A6" s="25"/>
      <c r="B6" s="24" t="str">
        <f aca="false">IF(A6="","",IFERROR(IF(IFERROR(INDEX(マスター!$C$6:$C$125,MATCH(A6,マスター!$N$6:$N$125,0)),NA())="","未確認",IFERROR(INDEX(マスター!$C$6:$C$125,MATCH(A6,マスター!$N$6:$N$125,0)),NA())),"マスター未登録"))</f>
        <v/>
      </c>
      <c r="C6" s="20"/>
      <c r="D6" s="22"/>
      <c r="E6" s="22"/>
      <c r="F6" s="25"/>
      <c r="G6" s="20"/>
      <c r="H6" s="20"/>
      <c r="I6" s="24" t="str">
        <f aca="false">IF(OR(A6="",D6=""),"",IF(AND(D6&lt;集計!$C$5+1,OR(E6="",E6&gt;集計!$C$5)),"○",""))</f>
        <v/>
      </c>
      <c r="J6" s="24" t="str">
        <f aca="false">IF(A6="","",IF(B6="西日本海運","","西日本海運以外の船です（確認してください）"))</f>
        <v/>
      </c>
      <c r="K6" s="24" t="str">
        <f aca="false">IF(A6="","",IFERROR(INDEX(マスター!$K$6:$K$125,MATCH(A6,マスター!$N$6:$N$125,0)),A6))</f>
        <v/>
      </c>
      <c r="L6" s="24" t="str">
        <f aca="false">IF(OR(A6="",D6=""),"",ROUND((D6-集計!$C$5)*1440,0))</f>
        <v/>
      </c>
      <c r="M6" s="24" t="str">
        <f aca="false">IF(OR(A6="",E6=""),"",ROUND((E6-集計!$C$5)*1440,0))</f>
        <v/>
      </c>
    </row>
    <row r="7" customFormat="false" ht="15" hidden="false" customHeight="false" outlineLevel="0" collapsed="false">
      <c r="A7" s="25"/>
      <c r="B7" s="24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20"/>
      <c r="D7" s="22"/>
      <c r="E7" s="22"/>
      <c r="F7" s="25"/>
      <c r="G7" s="20"/>
      <c r="H7" s="20"/>
      <c r="I7" s="24" t="str">
        <f aca="false">IF(OR(A7="",D7=""),"",IF(AND(D7&lt;集計!$C$5+1,OR(E7="",E7&gt;集計!$C$5)),"○",""))</f>
        <v/>
      </c>
      <c r="J7" s="24" t="str">
        <f aca="false">IF(A7="","",IF(B7="西日本海運","","西日本海運以外の船です（確認してください）"))</f>
        <v/>
      </c>
      <c r="K7" s="24" t="str">
        <f aca="false">IF(A7="","",IFERROR(INDEX(マスター!$K$6:$K$125,MATCH(A7,マスター!$N$6:$N$125,0)),A7))</f>
        <v/>
      </c>
      <c r="L7" s="24" t="str">
        <f aca="false">IF(OR(A7="",D7=""),"",ROUND((D7-集計!$C$5)*1440,0))</f>
        <v/>
      </c>
      <c r="M7" s="24" t="str">
        <f aca="false">IF(OR(A7="",E7=""),"",ROUND((E7-集計!$C$5)*1440,0))</f>
        <v/>
      </c>
    </row>
    <row r="8" customFormat="false" ht="15" hidden="false" customHeight="false" outlineLevel="0" collapsed="false">
      <c r="A8" s="25"/>
      <c r="B8" s="24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20"/>
      <c r="D8" s="22"/>
      <c r="E8" s="22"/>
      <c r="F8" s="25"/>
      <c r="G8" s="20"/>
      <c r="H8" s="20"/>
      <c r="I8" s="24" t="str">
        <f aca="false">IF(OR(A8="",D8=""),"",IF(AND(D8&lt;集計!$C$5+1,OR(E8="",E8&gt;集計!$C$5)),"○",""))</f>
        <v/>
      </c>
      <c r="J8" s="24" t="str">
        <f aca="false">IF(A8="","",IF(B8="西日本海運","","西日本海運以外の船です（確認してください）"))</f>
        <v/>
      </c>
      <c r="K8" s="24" t="str">
        <f aca="false">IF(A8="","",IFERROR(INDEX(マスター!$K$6:$K$125,MATCH(A8,マスター!$N$6:$N$125,0)),A8))</f>
        <v/>
      </c>
      <c r="L8" s="24" t="str">
        <f aca="false">IF(OR(A8="",D8=""),"",ROUND((D8-集計!$C$5)*1440,0))</f>
        <v/>
      </c>
      <c r="M8" s="24" t="str">
        <f aca="false">IF(OR(A8="",E8=""),"",ROUND((E8-集計!$C$5)*1440,0))</f>
        <v/>
      </c>
    </row>
    <row r="9" customFormat="false" ht="15" hidden="false" customHeight="false" outlineLevel="0" collapsed="false">
      <c r="A9" s="25"/>
      <c r="B9" s="24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20"/>
      <c r="D9" s="22"/>
      <c r="E9" s="22"/>
      <c r="F9" s="25"/>
      <c r="G9" s="20"/>
      <c r="H9" s="20"/>
      <c r="I9" s="24" t="str">
        <f aca="false">IF(OR(A9="",D9=""),"",IF(AND(D9&lt;集計!$C$5+1,OR(E9="",E9&gt;集計!$C$5)),"○",""))</f>
        <v/>
      </c>
      <c r="J9" s="24" t="str">
        <f aca="false">IF(A9="","",IF(B9="西日本海運","","西日本海運以外の船です（確認してください）"))</f>
        <v/>
      </c>
      <c r="K9" s="24" t="str">
        <f aca="false">IF(A9="","",IFERROR(INDEX(マスター!$K$6:$K$125,MATCH(A9,マスター!$N$6:$N$125,0)),A9))</f>
        <v/>
      </c>
      <c r="L9" s="24" t="str">
        <f aca="false">IF(OR(A9="",D9=""),"",ROUND((D9-集計!$C$5)*1440,0))</f>
        <v/>
      </c>
      <c r="M9" s="24" t="str">
        <f aca="false">IF(OR(A9="",E9=""),"",ROUND((E9-集計!$C$5)*1440,0))</f>
        <v/>
      </c>
    </row>
    <row r="10" customFormat="false" ht="15" hidden="false" customHeight="false" outlineLevel="0" collapsed="false">
      <c r="A10" s="25"/>
      <c r="B10" s="24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20"/>
      <c r="D10" s="22"/>
      <c r="E10" s="22"/>
      <c r="F10" s="25"/>
      <c r="G10" s="20"/>
      <c r="H10" s="20"/>
      <c r="I10" s="24" t="str">
        <f aca="false">IF(OR(A10="",D10=""),"",IF(AND(D10&lt;集計!$C$5+1,OR(E10="",E10&gt;集計!$C$5)),"○",""))</f>
        <v/>
      </c>
      <c r="J10" s="24" t="str">
        <f aca="false">IF(A10="","",IF(B10="西日本海運","","西日本海運以外の船です（確認してください）"))</f>
        <v/>
      </c>
      <c r="K10" s="24" t="str">
        <f aca="false">IF(A10="","",IFERROR(INDEX(マスター!$K$6:$K$125,MATCH(A10,マスター!$N$6:$N$125,0)),A10))</f>
        <v/>
      </c>
      <c r="L10" s="24" t="str">
        <f aca="false">IF(OR(A10="",D10=""),"",ROUND((D10-集計!$C$5)*1440,0))</f>
        <v/>
      </c>
      <c r="M10" s="24" t="str">
        <f aca="false">IF(OR(A10="",E10=""),"",ROUND((E10-集計!$C$5)*1440,0))</f>
        <v/>
      </c>
    </row>
    <row r="11" customFormat="false" ht="15" hidden="false" customHeight="false" outlineLevel="0" collapsed="false">
      <c r="A11" s="25"/>
      <c r="B11" s="24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20"/>
      <c r="D11" s="22"/>
      <c r="E11" s="22"/>
      <c r="F11" s="25"/>
      <c r="G11" s="20"/>
      <c r="H11" s="20"/>
      <c r="I11" s="24" t="str">
        <f aca="false">IF(OR(A11="",D11=""),"",IF(AND(D11&lt;集計!$C$5+1,OR(E11="",E11&gt;集計!$C$5)),"○",""))</f>
        <v/>
      </c>
      <c r="J11" s="24" t="str">
        <f aca="false">IF(A11="","",IF(B11="西日本海運","","西日本海運以外の船です（確認してください）"))</f>
        <v/>
      </c>
      <c r="K11" s="24" t="str">
        <f aca="false">IF(A11="","",IFERROR(INDEX(マスター!$K$6:$K$125,MATCH(A11,マスター!$N$6:$N$125,0)),A11))</f>
        <v/>
      </c>
      <c r="L11" s="24" t="str">
        <f aca="false">IF(OR(A11="",D11=""),"",ROUND((D11-集計!$C$5)*1440,0))</f>
        <v/>
      </c>
      <c r="M11" s="24" t="str">
        <f aca="false">IF(OR(A11="",E11=""),"",ROUND((E11-集計!$C$5)*1440,0))</f>
        <v/>
      </c>
    </row>
    <row r="12" customFormat="false" ht="15" hidden="false" customHeight="false" outlineLevel="0" collapsed="false">
      <c r="A12" s="25"/>
      <c r="B12" s="24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20"/>
      <c r="D12" s="22"/>
      <c r="E12" s="22"/>
      <c r="F12" s="25"/>
      <c r="G12" s="20"/>
      <c r="H12" s="20"/>
      <c r="I12" s="24" t="str">
        <f aca="false">IF(OR(A12="",D12=""),"",IF(AND(D12&lt;集計!$C$5+1,OR(E12="",E12&gt;集計!$C$5)),"○",""))</f>
        <v/>
      </c>
      <c r="J12" s="24" t="str">
        <f aca="false">IF(A12="","",IF(B12="西日本海運","","西日本海運以外の船です（確認してください）"))</f>
        <v/>
      </c>
      <c r="K12" s="24" t="str">
        <f aca="false">IF(A12="","",IFERROR(INDEX(マスター!$K$6:$K$125,MATCH(A12,マスター!$N$6:$N$125,0)),A12))</f>
        <v/>
      </c>
      <c r="L12" s="24" t="str">
        <f aca="false">IF(OR(A12="",D12=""),"",ROUND((D12-集計!$C$5)*1440,0))</f>
        <v/>
      </c>
      <c r="M12" s="24" t="str">
        <f aca="false">IF(OR(A12="",E12=""),"",ROUND((E12-集計!$C$5)*1440,0))</f>
        <v/>
      </c>
    </row>
    <row r="13" customFormat="false" ht="15" hidden="false" customHeight="false" outlineLevel="0" collapsed="false">
      <c r="A13" s="25"/>
      <c r="B13" s="24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20"/>
      <c r="D13" s="22"/>
      <c r="E13" s="22"/>
      <c r="F13" s="25"/>
      <c r="G13" s="20"/>
      <c r="H13" s="20"/>
      <c r="I13" s="24" t="str">
        <f aca="false">IF(OR(A13="",D13=""),"",IF(AND(D13&lt;集計!$C$5+1,OR(E13="",E13&gt;集計!$C$5)),"○",""))</f>
        <v/>
      </c>
      <c r="J13" s="24" t="str">
        <f aca="false">IF(A13="","",IF(B13="西日本海運","","西日本海運以外の船です（確認してください）"))</f>
        <v/>
      </c>
      <c r="K13" s="24" t="str">
        <f aca="false">IF(A13="","",IFERROR(INDEX(マスター!$K$6:$K$125,MATCH(A13,マスター!$N$6:$N$125,0)),A13))</f>
        <v/>
      </c>
      <c r="L13" s="24" t="str">
        <f aca="false">IF(OR(A13="",D13=""),"",ROUND((D13-集計!$C$5)*1440,0))</f>
        <v/>
      </c>
      <c r="M13" s="24" t="str">
        <f aca="false">IF(OR(A13="",E13=""),"",ROUND((E13-集計!$C$5)*1440,0))</f>
        <v/>
      </c>
    </row>
    <row r="14" customFormat="false" ht="15" hidden="false" customHeight="false" outlineLevel="0" collapsed="false">
      <c r="A14" s="25"/>
      <c r="B14" s="24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20"/>
      <c r="D14" s="22"/>
      <c r="E14" s="22"/>
      <c r="F14" s="25"/>
      <c r="G14" s="20"/>
      <c r="H14" s="20"/>
      <c r="I14" s="24" t="str">
        <f aca="false">IF(OR(A14="",D14=""),"",IF(AND(D14&lt;集計!$C$5+1,OR(E14="",E14&gt;集計!$C$5)),"○",""))</f>
        <v/>
      </c>
      <c r="J14" s="24" t="str">
        <f aca="false">IF(A14="","",IF(B14="西日本海運","","西日本海運以外の船です（確認してください）"))</f>
        <v/>
      </c>
      <c r="K14" s="24" t="str">
        <f aca="false">IF(A14="","",IFERROR(INDEX(マスター!$K$6:$K$125,MATCH(A14,マスター!$N$6:$N$125,0)),A14))</f>
        <v/>
      </c>
      <c r="L14" s="24" t="str">
        <f aca="false">IF(OR(A14="",D14=""),"",ROUND((D14-集計!$C$5)*1440,0))</f>
        <v/>
      </c>
      <c r="M14" s="24" t="str">
        <f aca="false">IF(OR(A14="",E14=""),"",ROUND((E14-集計!$C$5)*1440,0))</f>
        <v/>
      </c>
    </row>
    <row r="15" customFormat="false" ht="15" hidden="false" customHeight="false" outlineLevel="0" collapsed="false">
      <c r="A15" s="25"/>
      <c r="B15" s="24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0"/>
      <c r="D15" s="22"/>
      <c r="E15" s="22"/>
      <c r="F15" s="25"/>
      <c r="G15" s="20"/>
      <c r="H15" s="20"/>
      <c r="I15" s="24" t="str">
        <f aca="false">IF(OR(A15="",D15=""),"",IF(AND(D15&lt;集計!$C$5+1,OR(E15="",E15&gt;集計!$C$5)),"○",""))</f>
        <v/>
      </c>
      <c r="J15" s="24" t="str">
        <f aca="false">IF(A15="","",IF(B15="西日本海運","","西日本海運以外の船です（確認してください）"))</f>
        <v/>
      </c>
      <c r="K15" s="24" t="str">
        <f aca="false">IF(A15="","",IFERROR(INDEX(マスター!$K$6:$K$125,MATCH(A15,マスター!$N$6:$N$125,0)),A15))</f>
        <v/>
      </c>
      <c r="L15" s="24" t="str">
        <f aca="false">IF(OR(A15="",D15=""),"",ROUND((D15-集計!$C$5)*1440,0))</f>
        <v/>
      </c>
      <c r="M15" s="24" t="str">
        <f aca="false">IF(OR(A15="",E15=""),"",ROUND((E15-集計!$C$5)*1440,0))</f>
        <v/>
      </c>
    </row>
    <row r="16" customFormat="false" ht="15" hidden="false" customHeight="false" outlineLevel="0" collapsed="false">
      <c r="A16" s="25"/>
      <c r="B16" s="24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0"/>
      <c r="D16" s="22"/>
      <c r="E16" s="22"/>
      <c r="F16" s="25"/>
      <c r="G16" s="20"/>
      <c r="H16" s="20"/>
      <c r="I16" s="24" t="str">
        <f aca="false">IF(OR(A16="",D16=""),"",IF(AND(D16&lt;集計!$C$5+1,OR(E16="",E16&gt;集計!$C$5)),"○",""))</f>
        <v/>
      </c>
      <c r="J16" s="24" t="str">
        <f aca="false">IF(A16="","",IF(B16="西日本海運","","西日本海運以外の船です（確認してください）"))</f>
        <v/>
      </c>
      <c r="K16" s="24" t="str">
        <f aca="false">IF(A16="","",IFERROR(INDEX(マスター!$K$6:$K$125,MATCH(A16,マスター!$N$6:$N$125,0)),A16))</f>
        <v/>
      </c>
      <c r="L16" s="24" t="str">
        <f aca="false">IF(OR(A16="",D16=""),"",ROUND((D16-集計!$C$5)*1440,0))</f>
        <v/>
      </c>
      <c r="M16" s="24" t="str">
        <f aca="false">IF(OR(A16="",E16=""),"",ROUND((E16-集計!$C$5)*1440,0))</f>
        <v/>
      </c>
    </row>
    <row r="17" customFormat="false" ht="15" hidden="false" customHeight="false" outlineLevel="0" collapsed="false">
      <c r="A17" s="25"/>
      <c r="B17" s="24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0"/>
      <c r="D17" s="22"/>
      <c r="E17" s="22"/>
      <c r="F17" s="25"/>
      <c r="G17" s="20"/>
      <c r="H17" s="20"/>
      <c r="I17" s="24" t="str">
        <f aca="false">IF(OR(A17="",D17=""),"",IF(AND(D17&lt;集計!$C$5+1,OR(E17="",E17&gt;集計!$C$5)),"○",""))</f>
        <v/>
      </c>
      <c r="J17" s="24" t="str">
        <f aca="false">IF(A17="","",IF(B17="西日本海運","","西日本海運以外の船です（確認してください）"))</f>
        <v/>
      </c>
      <c r="K17" s="24" t="str">
        <f aca="false">IF(A17="","",IFERROR(INDEX(マスター!$K$6:$K$125,MATCH(A17,マスター!$N$6:$N$125,0)),A17))</f>
        <v/>
      </c>
      <c r="L17" s="24" t="str">
        <f aca="false">IF(OR(A17="",D17=""),"",ROUND((D17-集計!$C$5)*1440,0))</f>
        <v/>
      </c>
      <c r="M17" s="24" t="str">
        <f aca="false">IF(OR(A17="",E17=""),"",ROUND((E17-集計!$C$5)*1440,0))</f>
        <v/>
      </c>
    </row>
    <row r="18" customFormat="false" ht="15" hidden="false" customHeight="false" outlineLevel="0" collapsed="false">
      <c r="A18" s="25"/>
      <c r="B18" s="24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0"/>
      <c r="D18" s="22"/>
      <c r="E18" s="22"/>
      <c r="F18" s="25"/>
      <c r="G18" s="20"/>
      <c r="H18" s="20"/>
      <c r="I18" s="24" t="str">
        <f aca="false">IF(OR(A18="",D18=""),"",IF(AND(D18&lt;集計!$C$5+1,OR(E18="",E18&gt;集計!$C$5)),"○",""))</f>
        <v/>
      </c>
      <c r="J18" s="24" t="str">
        <f aca="false">IF(A18="","",IF(B18="西日本海運","","西日本海運以外の船です（確認してください）"))</f>
        <v/>
      </c>
      <c r="K18" s="24" t="str">
        <f aca="false">IF(A18="","",IFERROR(INDEX(マスター!$K$6:$K$125,MATCH(A18,マスター!$N$6:$N$125,0)),A18))</f>
        <v/>
      </c>
      <c r="L18" s="24" t="str">
        <f aca="false">IF(OR(A18="",D18=""),"",ROUND((D18-集計!$C$5)*1440,0))</f>
        <v/>
      </c>
      <c r="M18" s="24" t="str">
        <f aca="false">IF(OR(A18="",E18=""),"",ROUND((E18-集計!$C$5)*1440,0))</f>
        <v/>
      </c>
    </row>
    <row r="19" customFormat="false" ht="15" hidden="false" customHeight="false" outlineLevel="0" collapsed="false">
      <c r="A19" s="25"/>
      <c r="B19" s="24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0"/>
      <c r="D19" s="22"/>
      <c r="E19" s="22"/>
      <c r="F19" s="25"/>
      <c r="G19" s="20"/>
      <c r="H19" s="20"/>
      <c r="I19" s="24" t="str">
        <f aca="false">IF(OR(A19="",D19=""),"",IF(AND(D19&lt;集計!$C$5+1,OR(E19="",E19&gt;集計!$C$5)),"○",""))</f>
        <v/>
      </c>
      <c r="J19" s="24" t="str">
        <f aca="false">IF(A19="","",IF(B19="西日本海運","","西日本海運以外の船です（確認してください）"))</f>
        <v/>
      </c>
      <c r="K19" s="24" t="str">
        <f aca="false">IF(A19="","",IFERROR(INDEX(マスター!$K$6:$K$125,MATCH(A19,マスター!$N$6:$N$125,0)),A19))</f>
        <v/>
      </c>
      <c r="L19" s="24" t="str">
        <f aca="false">IF(OR(A19="",D19=""),"",ROUND((D19-集計!$C$5)*1440,0))</f>
        <v/>
      </c>
      <c r="M19" s="24" t="str">
        <f aca="false">IF(OR(A19="",E19=""),"",ROUND((E19-集計!$C$5)*1440,0))</f>
        <v/>
      </c>
    </row>
    <row r="20" customFormat="false" ht="15" hidden="false" customHeight="false" outlineLevel="0" collapsed="false">
      <c r="A20" s="25"/>
      <c r="B20" s="24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0"/>
      <c r="D20" s="22"/>
      <c r="E20" s="22"/>
      <c r="F20" s="25"/>
      <c r="G20" s="20"/>
      <c r="H20" s="20"/>
      <c r="I20" s="24" t="str">
        <f aca="false">IF(OR(A20="",D20=""),"",IF(AND(D20&lt;集計!$C$5+1,OR(E20="",E20&gt;集計!$C$5)),"○",""))</f>
        <v/>
      </c>
      <c r="J20" s="24" t="str">
        <f aca="false">IF(A20="","",IF(B20="西日本海運","","西日本海運以外の船です（確認してください）"))</f>
        <v/>
      </c>
      <c r="K20" s="24" t="str">
        <f aca="false">IF(A20="","",IFERROR(INDEX(マスター!$K$6:$K$125,MATCH(A20,マスター!$N$6:$N$125,0)),A20))</f>
        <v/>
      </c>
      <c r="L20" s="24" t="str">
        <f aca="false">IF(OR(A20="",D20=""),"",ROUND((D20-集計!$C$5)*1440,0))</f>
        <v/>
      </c>
      <c r="M20" s="24" t="str">
        <f aca="false">IF(OR(A20="",E20=""),"",ROUND((E20-集計!$C$5)*1440,0))</f>
        <v/>
      </c>
    </row>
    <row r="21" customFormat="false" ht="15" hidden="false" customHeight="false" outlineLevel="0" collapsed="false">
      <c r="A21" s="25"/>
      <c r="B21" s="24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0"/>
      <c r="D21" s="22"/>
      <c r="E21" s="22"/>
      <c r="F21" s="25"/>
      <c r="G21" s="20"/>
      <c r="H21" s="20"/>
      <c r="I21" s="24" t="str">
        <f aca="false">IF(OR(A21="",D21=""),"",IF(AND(D21&lt;集計!$C$5+1,OR(E21="",E21&gt;集計!$C$5)),"○",""))</f>
        <v/>
      </c>
      <c r="J21" s="24" t="str">
        <f aca="false">IF(A21="","",IF(B21="西日本海運","","西日本海運以外の船です（確認してください）"))</f>
        <v/>
      </c>
      <c r="K21" s="24" t="str">
        <f aca="false">IF(A21="","",IFERROR(INDEX(マスター!$K$6:$K$125,MATCH(A21,マスター!$N$6:$N$125,0)),A21))</f>
        <v/>
      </c>
      <c r="L21" s="24" t="str">
        <f aca="false">IF(OR(A21="",D21=""),"",ROUND((D21-集計!$C$5)*1440,0))</f>
        <v/>
      </c>
      <c r="M21" s="24" t="str">
        <f aca="false">IF(OR(A21="",E21=""),"",ROUND((E21-集計!$C$5)*1440,0))</f>
        <v/>
      </c>
    </row>
    <row r="22" customFormat="false" ht="15" hidden="false" customHeight="false" outlineLevel="0" collapsed="false">
      <c r="A22" s="25"/>
      <c r="B22" s="24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0"/>
      <c r="D22" s="22"/>
      <c r="E22" s="22"/>
      <c r="F22" s="25"/>
      <c r="G22" s="20"/>
      <c r="H22" s="20"/>
      <c r="I22" s="24" t="str">
        <f aca="false">IF(OR(A22="",D22=""),"",IF(AND(D22&lt;集計!$C$5+1,OR(E22="",E22&gt;集計!$C$5)),"○",""))</f>
        <v/>
      </c>
      <c r="J22" s="24" t="str">
        <f aca="false">IF(A22="","",IF(B22="西日本海運","","西日本海運以外の船です（確認してください）"))</f>
        <v/>
      </c>
      <c r="K22" s="24" t="str">
        <f aca="false">IF(A22="","",IFERROR(INDEX(マスター!$K$6:$K$125,MATCH(A22,マスター!$N$6:$N$125,0)),A22))</f>
        <v/>
      </c>
      <c r="L22" s="24" t="str">
        <f aca="false">IF(OR(A22="",D22=""),"",ROUND((D22-集計!$C$5)*1440,0))</f>
        <v/>
      </c>
      <c r="M22" s="24" t="str">
        <f aca="false">IF(OR(A22="",E22=""),"",ROUND((E22-集計!$C$5)*1440,0))</f>
        <v/>
      </c>
    </row>
    <row r="23" customFormat="false" ht="15" hidden="false" customHeight="false" outlineLevel="0" collapsed="false">
      <c r="A23" s="25"/>
      <c r="B23" s="24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20"/>
      <c r="D23" s="22"/>
      <c r="E23" s="22"/>
      <c r="F23" s="25"/>
      <c r="G23" s="20"/>
      <c r="H23" s="20"/>
      <c r="I23" s="24" t="str">
        <f aca="false">IF(OR(A23="",D23=""),"",IF(AND(D23&lt;集計!$C$5+1,OR(E23="",E23&gt;集計!$C$5)),"○",""))</f>
        <v/>
      </c>
      <c r="J23" s="24" t="str">
        <f aca="false">IF(A23="","",IF(B23="西日本海運","","西日本海運以外の船です（確認してください）"))</f>
        <v/>
      </c>
      <c r="K23" s="24" t="str">
        <f aca="false">IF(A23="","",IFERROR(INDEX(マスター!$K$6:$K$125,MATCH(A23,マスター!$N$6:$N$125,0)),A23))</f>
        <v/>
      </c>
      <c r="L23" s="24" t="str">
        <f aca="false">IF(OR(A23="",D23=""),"",ROUND((D23-集計!$C$5)*1440,0))</f>
        <v/>
      </c>
      <c r="M23" s="24" t="str">
        <f aca="false">IF(OR(A23="",E23=""),"",ROUND((E23-集計!$C$5)*1440,0))</f>
        <v/>
      </c>
    </row>
    <row r="24" customFormat="false" ht="15" hidden="false" customHeight="false" outlineLevel="0" collapsed="false">
      <c r="A24" s="25"/>
      <c r="B24" s="24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20"/>
      <c r="D24" s="22"/>
      <c r="E24" s="22"/>
      <c r="F24" s="25"/>
      <c r="G24" s="20"/>
      <c r="H24" s="20"/>
      <c r="I24" s="24" t="str">
        <f aca="false">IF(OR(A24="",D24=""),"",IF(AND(D24&lt;集計!$C$5+1,OR(E24="",E24&gt;集計!$C$5)),"○",""))</f>
        <v/>
      </c>
      <c r="J24" s="24" t="str">
        <f aca="false">IF(A24="","",IF(B24="西日本海運","","西日本海運以外の船です（確認してください）"))</f>
        <v/>
      </c>
      <c r="K24" s="24" t="str">
        <f aca="false">IF(A24="","",IFERROR(INDEX(マスター!$K$6:$K$125,MATCH(A24,マスター!$N$6:$N$125,0)),A24))</f>
        <v/>
      </c>
      <c r="L24" s="24" t="str">
        <f aca="false">IF(OR(A24="",D24=""),"",ROUND((D24-集計!$C$5)*1440,0))</f>
        <v/>
      </c>
      <c r="M24" s="24" t="str">
        <f aca="false">IF(OR(A24="",E24=""),"",ROUND((E24-集計!$C$5)*1440,0))</f>
        <v/>
      </c>
    </row>
    <row r="25" customFormat="false" ht="15" hidden="false" customHeight="false" outlineLevel="0" collapsed="false">
      <c r="A25" s="25"/>
      <c r="B25" s="24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20"/>
      <c r="D25" s="22"/>
      <c r="E25" s="22"/>
      <c r="F25" s="25"/>
      <c r="G25" s="20"/>
      <c r="H25" s="20"/>
      <c r="I25" s="24" t="str">
        <f aca="false">IF(OR(A25="",D25=""),"",IF(AND(D25&lt;集計!$C$5+1,OR(E25="",E25&gt;集計!$C$5)),"○",""))</f>
        <v/>
      </c>
      <c r="J25" s="24" t="str">
        <f aca="false">IF(A25="","",IF(B25="西日本海運","","西日本海運以外の船です（確認してください）"))</f>
        <v/>
      </c>
      <c r="K25" s="24" t="str">
        <f aca="false">IF(A25="","",IFERROR(INDEX(マスター!$K$6:$K$125,MATCH(A25,マスター!$N$6:$N$125,0)),A25))</f>
        <v/>
      </c>
      <c r="L25" s="24" t="str">
        <f aca="false">IF(OR(A25="",D25=""),"",ROUND((D25-集計!$C$5)*1440,0))</f>
        <v/>
      </c>
      <c r="M25" s="24" t="str">
        <f aca="false">IF(OR(A25="",E25=""),"",ROUND((E25-集計!$C$5)*1440,0))</f>
        <v/>
      </c>
    </row>
    <row r="26" customFormat="false" ht="15" hidden="false" customHeight="false" outlineLevel="0" collapsed="false">
      <c r="A26" s="25"/>
      <c r="B26" s="24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20"/>
      <c r="D26" s="22"/>
      <c r="E26" s="22"/>
      <c r="F26" s="25"/>
      <c r="G26" s="20"/>
      <c r="H26" s="20"/>
      <c r="I26" s="24" t="str">
        <f aca="false">IF(OR(A26="",D26=""),"",IF(AND(D26&lt;集計!$C$5+1,OR(E26="",E26&gt;集計!$C$5)),"○",""))</f>
        <v/>
      </c>
      <c r="J26" s="24" t="str">
        <f aca="false">IF(A26="","",IF(B26="西日本海運","","西日本海運以外の船です（確認してください）"))</f>
        <v/>
      </c>
      <c r="K26" s="24" t="str">
        <f aca="false">IF(A26="","",IFERROR(INDEX(マスター!$K$6:$K$125,MATCH(A26,マスター!$N$6:$N$125,0)),A26))</f>
        <v/>
      </c>
      <c r="L26" s="24" t="str">
        <f aca="false">IF(OR(A26="",D26=""),"",ROUND((D26-集計!$C$5)*1440,0))</f>
        <v/>
      </c>
      <c r="M26" s="24" t="str">
        <f aca="false">IF(OR(A26="",E26=""),"",ROUND((E26-集計!$C$5)*1440,0))</f>
        <v/>
      </c>
    </row>
    <row r="27" customFormat="false" ht="15" hidden="false" customHeight="false" outlineLevel="0" collapsed="false">
      <c r="A27" s="25"/>
      <c r="B27" s="24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20"/>
      <c r="D27" s="22"/>
      <c r="E27" s="22"/>
      <c r="F27" s="25"/>
      <c r="G27" s="20"/>
      <c r="H27" s="20"/>
      <c r="I27" s="24" t="str">
        <f aca="false">IF(OR(A27="",D27=""),"",IF(AND(D27&lt;集計!$C$5+1,OR(E27="",E27&gt;集計!$C$5)),"○",""))</f>
        <v/>
      </c>
      <c r="J27" s="24" t="str">
        <f aca="false">IF(A27="","",IF(B27="西日本海運","","西日本海運以外の船です（確認してください）"))</f>
        <v/>
      </c>
      <c r="K27" s="24" t="str">
        <f aca="false">IF(A27="","",IFERROR(INDEX(マスター!$K$6:$K$125,MATCH(A27,マスター!$N$6:$N$125,0)),A27))</f>
        <v/>
      </c>
      <c r="L27" s="24" t="str">
        <f aca="false">IF(OR(A27="",D27=""),"",ROUND((D27-集計!$C$5)*1440,0))</f>
        <v/>
      </c>
      <c r="M27" s="24" t="str">
        <f aca="false">IF(OR(A27="",E27=""),"",ROUND((E27-集計!$C$5)*1440,0))</f>
        <v/>
      </c>
    </row>
    <row r="28" customFormat="false" ht="15" hidden="false" customHeight="false" outlineLevel="0" collapsed="false">
      <c r="A28" s="25"/>
      <c r="B28" s="24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20"/>
      <c r="D28" s="22"/>
      <c r="E28" s="22"/>
      <c r="F28" s="25"/>
      <c r="G28" s="20"/>
      <c r="H28" s="20"/>
      <c r="I28" s="24" t="str">
        <f aca="false">IF(OR(A28="",D28=""),"",IF(AND(D28&lt;集計!$C$5+1,OR(E28="",E28&gt;集計!$C$5)),"○",""))</f>
        <v/>
      </c>
      <c r="J28" s="24" t="str">
        <f aca="false">IF(A28="","",IF(B28="西日本海運","","西日本海運以外の船です（確認してください）"))</f>
        <v/>
      </c>
      <c r="K28" s="24" t="str">
        <f aca="false">IF(A28="","",IFERROR(INDEX(マスター!$K$6:$K$125,MATCH(A28,マスター!$N$6:$N$125,0)),A28))</f>
        <v/>
      </c>
      <c r="L28" s="24" t="str">
        <f aca="false">IF(OR(A28="",D28=""),"",ROUND((D28-集計!$C$5)*1440,0))</f>
        <v/>
      </c>
      <c r="M28" s="24" t="str">
        <f aca="false">IF(OR(A28="",E28=""),"",ROUND((E28-集計!$C$5)*1440,0))</f>
        <v/>
      </c>
    </row>
    <row r="29" customFormat="false" ht="15" hidden="false" customHeight="false" outlineLevel="0" collapsed="false">
      <c r="A29" s="25"/>
      <c r="B29" s="24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20"/>
      <c r="D29" s="22"/>
      <c r="E29" s="22"/>
      <c r="F29" s="25"/>
      <c r="G29" s="20"/>
      <c r="H29" s="20"/>
      <c r="I29" s="24" t="str">
        <f aca="false">IF(OR(A29="",D29=""),"",IF(AND(D29&lt;集計!$C$5+1,OR(E29="",E29&gt;集計!$C$5)),"○",""))</f>
        <v/>
      </c>
      <c r="J29" s="24" t="str">
        <f aca="false">IF(A29="","",IF(B29="西日本海運","","西日本海運以外の船です（確認してください）"))</f>
        <v/>
      </c>
      <c r="K29" s="24" t="str">
        <f aca="false">IF(A29="","",IFERROR(INDEX(マスター!$K$6:$K$125,MATCH(A29,マスター!$N$6:$N$125,0)),A29))</f>
        <v/>
      </c>
      <c r="L29" s="24" t="str">
        <f aca="false">IF(OR(A29="",D29=""),"",ROUND((D29-集計!$C$5)*1440,0))</f>
        <v/>
      </c>
      <c r="M29" s="24" t="str">
        <f aca="false">IF(OR(A29="",E29=""),"",ROUND((E29-集計!$C$5)*1440,0))</f>
        <v/>
      </c>
    </row>
    <row r="30" customFormat="false" ht="15" hidden="false" customHeight="false" outlineLevel="0" collapsed="false">
      <c r="A30" s="25"/>
      <c r="B30" s="24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20"/>
      <c r="D30" s="22"/>
      <c r="E30" s="22"/>
      <c r="F30" s="25"/>
      <c r="G30" s="20"/>
      <c r="H30" s="20"/>
      <c r="I30" s="24" t="str">
        <f aca="false">IF(OR(A30="",D30=""),"",IF(AND(D30&lt;集計!$C$5+1,OR(E30="",E30&gt;集計!$C$5)),"○",""))</f>
        <v/>
      </c>
      <c r="J30" s="24" t="str">
        <f aca="false">IF(A30="","",IF(B30="西日本海運","","西日本海運以外の船です（確認してください）"))</f>
        <v/>
      </c>
      <c r="K30" s="24" t="str">
        <f aca="false">IF(A30="","",IFERROR(INDEX(マスター!$K$6:$K$125,MATCH(A30,マスター!$N$6:$N$125,0)),A30))</f>
        <v/>
      </c>
      <c r="L30" s="24" t="str">
        <f aca="false">IF(OR(A30="",D30=""),"",ROUND((D30-集計!$C$5)*1440,0))</f>
        <v/>
      </c>
      <c r="M30" s="24" t="str">
        <f aca="false">IF(OR(A30="",E30=""),"",ROUND((E30-集計!$C$5)*1440,0))</f>
        <v/>
      </c>
    </row>
    <row r="31" customFormat="false" ht="15" hidden="false" customHeight="false" outlineLevel="0" collapsed="false">
      <c r="A31" s="25"/>
      <c r="B31" s="24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20"/>
      <c r="D31" s="22"/>
      <c r="E31" s="22"/>
      <c r="F31" s="25"/>
      <c r="G31" s="20"/>
      <c r="H31" s="20"/>
      <c r="I31" s="24" t="str">
        <f aca="false">IF(OR(A31="",D31=""),"",IF(AND(D31&lt;集計!$C$5+1,OR(E31="",E31&gt;集計!$C$5)),"○",""))</f>
        <v/>
      </c>
      <c r="J31" s="24" t="str">
        <f aca="false">IF(A31="","",IF(B31="西日本海運","","西日本海運以外の船です（確認してください）"))</f>
        <v/>
      </c>
      <c r="K31" s="24" t="str">
        <f aca="false">IF(A31="","",IFERROR(INDEX(マスター!$K$6:$K$125,MATCH(A31,マスター!$N$6:$N$125,0)),A31))</f>
        <v/>
      </c>
      <c r="L31" s="24" t="str">
        <f aca="false">IF(OR(A31="",D31=""),"",ROUND((D31-集計!$C$5)*1440,0))</f>
        <v/>
      </c>
      <c r="M31" s="24" t="str">
        <f aca="false">IF(OR(A31="",E31=""),"",ROUND((E31-集計!$C$5)*1440,0))</f>
        <v/>
      </c>
    </row>
    <row r="32" customFormat="false" ht="15" hidden="false" customHeight="false" outlineLevel="0" collapsed="false">
      <c r="A32" s="25"/>
      <c r="B32" s="24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20"/>
      <c r="D32" s="22"/>
      <c r="E32" s="22"/>
      <c r="F32" s="25"/>
      <c r="G32" s="20"/>
      <c r="H32" s="20"/>
      <c r="I32" s="24" t="str">
        <f aca="false">IF(OR(A32="",D32=""),"",IF(AND(D32&lt;集計!$C$5+1,OR(E32="",E32&gt;集計!$C$5)),"○",""))</f>
        <v/>
      </c>
      <c r="J32" s="24" t="str">
        <f aca="false">IF(A32="","",IF(B32="西日本海運","","西日本海運以外の船です（確認してください）"))</f>
        <v/>
      </c>
      <c r="K32" s="24" t="str">
        <f aca="false">IF(A32="","",IFERROR(INDEX(マスター!$K$6:$K$125,MATCH(A32,マスター!$N$6:$N$125,0)),A32))</f>
        <v/>
      </c>
      <c r="L32" s="24" t="str">
        <f aca="false">IF(OR(A32="",D32=""),"",ROUND((D32-集計!$C$5)*1440,0))</f>
        <v/>
      </c>
      <c r="M32" s="24" t="str">
        <f aca="false">IF(OR(A32="",E32=""),"",ROUND((E32-集計!$C$5)*1440,0))</f>
        <v/>
      </c>
    </row>
    <row r="33" customFormat="false" ht="15" hidden="false" customHeight="false" outlineLevel="0" collapsed="false">
      <c r="A33" s="25"/>
      <c r="B33" s="24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20"/>
      <c r="D33" s="22"/>
      <c r="E33" s="22"/>
      <c r="F33" s="25"/>
      <c r="G33" s="20"/>
      <c r="H33" s="20"/>
      <c r="I33" s="24" t="str">
        <f aca="false">IF(OR(A33="",D33=""),"",IF(AND(D33&lt;集計!$C$5+1,OR(E33="",E33&gt;集計!$C$5)),"○",""))</f>
        <v/>
      </c>
      <c r="J33" s="24" t="str">
        <f aca="false">IF(A33="","",IF(B33="西日本海運","","西日本海運以外の船です（確認してください）"))</f>
        <v/>
      </c>
      <c r="K33" s="24" t="str">
        <f aca="false">IF(A33="","",IFERROR(INDEX(マスター!$K$6:$K$125,MATCH(A33,マスター!$N$6:$N$125,0)),A33))</f>
        <v/>
      </c>
      <c r="L33" s="24" t="str">
        <f aca="false">IF(OR(A33="",D33=""),"",ROUND((D33-集計!$C$5)*1440,0))</f>
        <v/>
      </c>
      <c r="M33" s="24" t="str">
        <f aca="false">IF(OR(A33="",E33=""),"",ROUND((E33-集計!$C$5)*1440,0))</f>
        <v/>
      </c>
    </row>
    <row r="34" customFormat="false" ht="15" hidden="false" customHeight="false" outlineLevel="0" collapsed="false">
      <c r="A34" s="25"/>
      <c r="B34" s="24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20"/>
      <c r="D34" s="22"/>
      <c r="E34" s="22"/>
      <c r="F34" s="25"/>
      <c r="G34" s="20"/>
      <c r="H34" s="20"/>
      <c r="I34" s="24" t="str">
        <f aca="false">IF(OR(A34="",D34=""),"",IF(AND(D34&lt;集計!$C$5+1,OR(E34="",E34&gt;集計!$C$5)),"○",""))</f>
        <v/>
      </c>
      <c r="J34" s="24" t="str">
        <f aca="false">IF(A34="","",IF(B34="西日本海運","","西日本海運以外の船です（確認してください）"))</f>
        <v/>
      </c>
      <c r="K34" s="24" t="str">
        <f aca="false">IF(A34="","",IFERROR(INDEX(マスター!$K$6:$K$125,MATCH(A34,マスター!$N$6:$N$125,0)),A34))</f>
        <v/>
      </c>
      <c r="L34" s="24" t="str">
        <f aca="false">IF(OR(A34="",D34=""),"",ROUND((D34-集計!$C$5)*1440,0))</f>
        <v/>
      </c>
      <c r="M34" s="24" t="str">
        <f aca="false">IF(OR(A34="",E34=""),"",ROUND((E34-集計!$C$5)*1440,0))</f>
        <v/>
      </c>
    </row>
    <row r="35" customFormat="false" ht="15" hidden="false" customHeight="false" outlineLevel="0" collapsed="false">
      <c r="A35" s="25"/>
      <c r="B35" s="24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20"/>
      <c r="D35" s="22"/>
      <c r="E35" s="22"/>
      <c r="F35" s="25"/>
      <c r="G35" s="20"/>
      <c r="H35" s="20"/>
      <c r="I35" s="24" t="str">
        <f aca="false">IF(OR(A35="",D35=""),"",IF(AND(D35&lt;集計!$C$5+1,OR(E35="",E35&gt;集計!$C$5)),"○",""))</f>
        <v/>
      </c>
      <c r="J35" s="24" t="str">
        <f aca="false">IF(A35="","",IF(B35="西日本海運","","西日本海運以外の船です（確認してください）"))</f>
        <v/>
      </c>
      <c r="K35" s="24" t="str">
        <f aca="false">IF(A35="","",IFERROR(INDEX(マスター!$K$6:$K$125,MATCH(A35,マスター!$N$6:$N$125,0)),A35))</f>
        <v/>
      </c>
      <c r="L35" s="24" t="str">
        <f aca="false">IF(OR(A35="",D35=""),"",ROUND((D35-集計!$C$5)*1440,0))</f>
        <v/>
      </c>
      <c r="M35" s="24" t="str">
        <f aca="false">IF(OR(A35="",E35=""),"",ROUND((E35-集計!$C$5)*1440,0))</f>
        <v/>
      </c>
    </row>
    <row r="36" customFormat="false" ht="15" hidden="false" customHeight="false" outlineLevel="0" collapsed="false">
      <c r="A36" s="25"/>
      <c r="B36" s="24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20"/>
      <c r="D36" s="22"/>
      <c r="E36" s="22"/>
      <c r="F36" s="25"/>
      <c r="G36" s="20"/>
      <c r="H36" s="20"/>
      <c r="I36" s="24" t="str">
        <f aca="false">IF(OR(A36="",D36=""),"",IF(AND(D36&lt;集計!$C$5+1,OR(E36="",E36&gt;集計!$C$5)),"○",""))</f>
        <v/>
      </c>
      <c r="J36" s="24" t="str">
        <f aca="false">IF(A36="","",IF(B36="西日本海運","","西日本海運以外の船です（確認してください）"))</f>
        <v/>
      </c>
      <c r="K36" s="24" t="str">
        <f aca="false">IF(A36="","",IFERROR(INDEX(マスター!$K$6:$K$125,MATCH(A36,マスター!$N$6:$N$125,0)),A36))</f>
        <v/>
      </c>
      <c r="L36" s="24" t="str">
        <f aca="false">IF(OR(A36="",D36=""),"",ROUND((D36-集計!$C$5)*1440,0))</f>
        <v/>
      </c>
      <c r="M36" s="24" t="str">
        <f aca="false">IF(OR(A36="",E36=""),"",ROUND((E36-集計!$C$5)*1440,0))</f>
        <v/>
      </c>
    </row>
    <row r="37" customFormat="false" ht="15" hidden="false" customHeight="false" outlineLevel="0" collapsed="false">
      <c r="A37" s="25"/>
      <c r="B37" s="24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20"/>
      <c r="D37" s="22"/>
      <c r="E37" s="22"/>
      <c r="F37" s="25"/>
      <c r="G37" s="20"/>
      <c r="H37" s="20"/>
      <c r="I37" s="24" t="str">
        <f aca="false">IF(OR(A37="",D37=""),"",IF(AND(D37&lt;集計!$C$5+1,OR(E37="",E37&gt;集計!$C$5)),"○",""))</f>
        <v/>
      </c>
      <c r="J37" s="24" t="str">
        <f aca="false">IF(A37="","",IF(B37="西日本海運","","西日本海運以外の船です（確認してください）"))</f>
        <v/>
      </c>
      <c r="K37" s="24" t="str">
        <f aca="false">IF(A37="","",IFERROR(INDEX(マスター!$K$6:$K$125,MATCH(A37,マスター!$N$6:$N$125,0)),A37))</f>
        <v/>
      </c>
      <c r="L37" s="24" t="str">
        <f aca="false">IF(OR(A37="",D37=""),"",ROUND((D37-集計!$C$5)*1440,0))</f>
        <v/>
      </c>
      <c r="M37" s="24" t="str">
        <f aca="false">IF(OR(A37="",E37=""),"",ROUND((E37-集計!$C$5)*1440,0))</f>
        <v/>
      </c>
    </row>
    <row r="38" customFormat="false" ht="15" hidden="false" customHeight="false" outlineLevel="0" collapsed="false">
      <c r="A38" s="25"/>
      <c r="B38" s="24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20"/>
      <c r="D38" s="22"/>
      <c r="E38" s="22"/>
      <c r="F38" s="25"/>
      <c r="G38" s="20"/>
      <c r="H38" s="20"/>
      <c r="I38" s="24" t="str">
        <f aca="false">IF(OR(A38="",D38=""),"",IF(AND(D38&lt;集計!$C$5+1,OR(E38="",E38&gt;集計!$C$5)),"○",""))</f>
        <v/>
      </c>
      <c r="J38" s="24" t="str">
        <f aca="false">IF(A38="","",IF(B38="西日本海運","","西日本海運以外の船です（確認してください）"))</f>
        <v/>
      </c>
      <c r="K38" s="24" t="str">
        <f aca="false">IF(A38="","",IFERROR(INDEX(マスター!$K$6:$K$125,MATCH(A38,マスター!$N$6:$N$125,0)),A38))</f>
        <v/>
      </c>
      <c r="L38" s="24" t="str">
        <f aca="false">IF(OR(A38="",D38=""),"",ROUND((D38-集計!$C$5)*1440,0))</f>
        <v/>
      </c>
      <c r="M38" s="24" t="str">
        <f aca="false">IF(OR(A38="",E38=""),"",ROUND((E38-集計!$C$5)*1440,0))</f>
        <v/>
      </c>
    </row>
    <row r="39" customFormat="false" ht="15" hidden="false" customHeight="false" outlineLevel="0" collapsed="false">
      <c r="A39" s="25"/>
      <c r="B39" s="24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20"/>
      <c r="D39" s="22"/>
      <c r="E39" s="22"/>
      <c r="F39" s="25"/>
      <c r="G39" s="20"/>
      <c r="H39" s="20"/>
      <c r="I39" s="24" t="str">
        <f aca="false">IF(OR(A39="",D39=""),"",IF(AND(D39&lt;集計!$C$5+1,OR(E39="",E39&gt;集計!$C$5)),"○",""))</f>
        <v/>
      </c>
      <c r="J39" s="24" t="str">
        <f aca="false">IF(A39="","",IF(B39="西日本海運","","西日本海運以外の船です（確認してください）"))</f>
        <v/>
      </c>
      <c r="K39" s="24" t="str">
        <f aca="false">IF(A39="","",IFERROR(INDEX(マスター!$K$6:$K$125,MATCH(A39,マスター!$N$6:$N$125,0)),A39))</f>
        <v/>
      </c>
      <c r="L39" s="24" t="str">
        <f aca="false">IF(OR(A39="",D39=""),"",ROUND((D39-集計!$C$5)*1440,0))</f>
        <v/>
      </c>
      <c r="M39" s="24" t="str">
        <f aca="false">IF(OR(A39="",E39=""),"",ROUND((E39-集計!$C$5)*1440,0))</f>
        <v/>
      </c>
    </row>
    <row r="40" customFormat="false" ht="15" hidden="false" customHeight="false" outlineLevel="0" collapsed="false">
      <c r="A40" s="25"/>
      <c r="B40" s="24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20"/>
      <c r="D40" s="22"/>
      <c r="E40" s="22"/>
      <c r="F40" s="25"/>
      <c r="G40" s="20"/>
      <c r="H40" s="20"/>
      <c r="I40" s="24" t="str">
        <f aca="false">IF(OR(A40="",D40=""),"",IF(AND(D40&lt;集計!$C$5+1,OR(E40="",E40&gt;集計!$C$5)),"○",""))</f>
        <v/>
      </c>
      <c r="J40" s="24" t="str">
        <f aca="false">IF(A40="","",IF(B40="西日本海運","","西日本海運以外の船です（確認してください）"))</f>
        <v/>
      </c>
      <c r="K40" s="24" t="str">
        <f aca="false">IF(A40="","",IFERROR(INDEX(マスター!$K$6:$K$125,MATCH(A40,マスター!$N$6:$N$125,0)),A40))</f>
        <v/>
      </c>
      <c r="L40" s="24" t="str">
        <f aca="false">IF(OR(A40="",D40=""),"",ROUND((D40-集計!$C$5)*1440,0))</f>
        <v/>
      </c>
      <c r="M40" s="24" t="str">
        <f aca="false">IF(OR(A40="",E40=""),"",ROUND((E40-集計!$C$5)*1440,0))</f>
        <v/>
      </c>
    </row>
    <row r="41" customFormat="false" ht="15" hidden="false" customHeight="false" outlineLevel="0" collapsed="false">
      <c r="A41" s="25"/>
      <c r="B41" s="24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20"/>
      <c r="D41" s="22"/>
      <c r="E41" s="22"/>
      <c r="F41" s="25"/>
      <c r="G41" s="20"/>
      <c r="H41" s="20"/>
      <c r="I41" s="24" t="str">
        <f aca="false">IF(OR(A41="",D41=""),"",IF(AND(D41&lt;集計!$C$5+1,OR(E41="",E41&gt;集計!$C$5)),"○",""))</f>
        <v/>
      </c>
      <c r="J41" s="24" t="str">
        <f aca="false">IF(A41="","",IF(B41="西日本海運","","西日本海運以外の船です（確認してください）"))</f>
        <v/>
      </c>
      <c r="K41" s="24" t="str">
        <f aca="false">IF(A41="","",IFERROR(INDEX(マスター!$K$6:$K$125,MATCH(A41,マスター!$N$6:$N$125,0)),A41))</f>
        <v/>
      </c>
      <c r="L41" s="24" t="str">
        <f aca="false">IF(OR(A41="",D41=""),"",ROUND((D41-集計!$C$5)*1440,0))</f>
        <v/>
      </c>
      <c r="M41" s="24" t="str">
        <f aca="false">IF(OR(A41="",E41=""),"",ROUND((E41-集計!$C$5)*1440,0))</f>
        <v/>
      </c>
    </row>
    <row r="42" customFormat="false" ht="15" hidden="false" customHeight="false" outlineLevel="0" collapsed="false">
      <c r="A42" s="25"/>
      <c r="B42" s="24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20"/>
      <c r="D42" s="22"/>
      <c r="E42" s="22"/>
      <c r="F42" s="25"/>
      <c r="G42" s="20"/>
      <c r="H42" s="20"/>
      <c r="I42" s="24" t="str">
        <f aca="false">IF(OR(A42="",D42=""),"",IF(AND(D42&lt;集計!$C$5+1,OR(E42="",E42&gt;集計!$C$5)),"○",""))</f>
        <v/>
      </c>
      <c r="J42" s="24" t="str">
        <f aca="false">IF(A42="","",IF(B42="西日本海運","","西日本海運以外の船です（確認してください）"))</f>
        <v/>
      </c>
      <c r="K42" s="24" t="str">
        <f aca="false">IF(A42="","",IFERROR(INDEX(マスター!$K$6:$K$125,MATCH(A42,マスター!$N$6:$N$125,0)),A42))</f>
        <v/>
      </c>
      <c r="L42" s="24" t="str">
        <f aca="false">IF(OR(A42="",D42=""),"",ROUND((D42-集計!$C$5)*1440,0))</f>
        <v/>
      </c>
      <c r="M42" s="24" t="str">
        <f aca="false">IF(OR(A42="",E42=""),"",ROUND((E42-集計!$C$5)*1440,0))</f>
        <v/>
      </c>
    </row>
    <row r="43" customFormat="false" ht="15" hidden="false" customHeight="false" outlineLevel="0" collapsed="false">
      <c r="A43" s="25"/>
      <c r="B43" s="24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20"/>
      <c r="D43" s="22"/>
      <c r="E43" s="22"/>
      <c r="F43" s="25"/>
      <c r="G43" s="20"/>
      <c r="H43" s="20"/>
      <c r="I43" s="24" t="str">
        <f aca="false">IF(OR(A43="",D43=""),"",IF(AND(D43&lt;集計!$C$5+1,OR(E43="",E43&gt;集計!$C$5)),"○",""))</f>
        <v/>
      </c>
      <c r="J43" s="24" t="str">
        <f aca="false">IF(A43="","",IF(B43="西日本海運","","西日本海運以外の船です（確認してください）"))</f>
        <v/>
      </c>
      <c r="K43" s="24" t="str">
        <f aca="false">IF(A43="","",IFERROR(INDEX(マスター!$K$6:$K$125,MATCH(A43,マスター!$N$6:$N$125,0)),A43))</f>
        <v/>
      </c>
      <c r="L43" s="24" t="str">
        <f aca="false">IF(OR(A43="",D43=""),"",ROUND((D43-集計!$C$5)*1440,0))</f>
        <v/>
      </c>
      <c r="M43" s="24" t="str">
        <f aca="false">IF(OR(A43="",E43=""),"",ROUND((E43-集計!$C$5)*1440,0))</f>
        <v/>
      </c>
    </row>
    <row r="44" customFormat="false" ht="15" hidden="false" customHeight="false" outlineLevel="0" collapsed="false">
      <c r="A44" s="25"/>
      <c r="B44" s="24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20"/>
      <c r="D44" s="22"/>
      <c r="E44" s="22"/>
      <c r="F44" s="25"/>
      <c r="G44" s="20"/>
      <c r="H44" s="20"/>
      <c r="I44" s="24" t="str">
        <f aca="false">IF(OR(A44="",D44=""),"",IF(AND(D44&lt;集計!$C$5+1,OR(E44="",E44&gt;集計!$C$5)),"○",""))</f>
        <v/>
      </c>
      <c r="J44" s="24" t="str">
        <f aca="false">IF(A44="","",IF(B44="西日本海運","","西日本海運以外の船です（確認してください）"))</f>
        <v/>
      </c>
      <c r="K44" s="24" t="str">
        <f aca="false">IF(A44="","",IFERROR(INDEX(マスター!$K$6:$K$125,MATCH(A44,マスター!$N$6:$N$125,0)),A44))</f>
        <v/>
      </c>
      <c r="L44" s="24" t="str">
        <f aca="false">IF(OR(A44="",D44=""),"",ROUND((D44-集計!$C$5)*1440,0))</f>
        <v/>
      </c>
      <c r="M44" s="24" t="str">
        <f aca="false">IF(OR(A44="",E44=""),"",ROUND((E44-集計!$C$5)*1440,0))</f>
        <v/>
      </c>
    </row>
    <row r="45" customFormat="false" ht="15" hidden="false" customHeight="false" outlineLevel="0" collapsed="false">
      <c r="A45" s="25"/>
      <c r="B45" s="24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20"/>
      <c r="D45" s="22"/>
      <c r="E45" s="22"/>
      <c r="F45" s="25"/>
      <c r="G45" s="20"/>
      <c r="H45" s="20"/>
      <c r="I45" s="24" t="str">
        <f aca="false">IF(OR(A45="",D45=""),"",IF(AND(D45&lt;集計!$C$5+1,OR(E45="",E45&gt;集計!$C$5)),"○",""))</f>
        <v/>
      </c>
      <c r="J45" s="24" t="str">
        <f aca="false">IF(A45="","",IF(B45="西日本海運","","西日本海運以外の船です（確認してください）"))</f>
        <v/>
      </c>
      <c r="K45" s="24" t="str">
        <f aca="false">IF(A45="","",IFERROR(INDEX(マスター!$K$6:$K$125,MATCH(A45,マスター!$N$6:$N$125,0)),A45))</f>
        <v/>
      </c>
      <c r="L45" s="24" t="str">
        <f aca="false">IF(OR(A45="",D45=""),"",ROUND((D45-集計!$C$5)*1440,0))</f>
        <v/>
      </c>
      <c r="M45" s="24" t="str">
        <f aca="false">IF(OR(A45="",E45=""),"",ROUND((E45-集計!$C$5)*1440,0))</f>
        <v/>
      </c>
    </row>
    <row r="46" customFormat="false" ht="15" hidden="false" customHeight="false" outlineLevel="0" collapsed="false">
      <c r="A46" s="25"/>
      <c r="B46" s="24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20"/>
      <c r="D46" s="22"/>
      <c r="E46" s="22"/>
      <c r="F46" s="25"/>
      <c r="G46" s="20"/>
      <c r="H46" s="20"/>
      <c r="I46" s="24" t="str">
        <f aca="false">IF(OR(A46="",D46=""),"",IF(AND(D46&lt;集計!$C$5+1,OR(E46="",E46&gt;集計!$C$5)),"○",""))</f>
        <v/>
      </c>
      <c r="J46" s="24" t="str">
        <f aca="false">IF(A46="","",IF(B46="西日本海運","","西日本海運以外の船です（確認してください）"))</f>
        <v/>
      </c>
      <c r="K46" s="24" t="str">
        <f aca="false">IF(A46="","",IFERROR(INDEX(マスター!$K$6:$K$125,MATCH(A46,マスター!$N$6:$N$125,0)),A46))</f>
        <v/>
      </c>
      <c r="L46" s="24" t="str">
        <f aca="false">IF(OR(A46="",D46=""),"",ROUND((D46-集計!$C$5)*1440,0))</f>
        <v/>
      </c>
      <c r="M46" s="24" t="str">
        <f aca="false">IF(OR(A46="",E46=""),"",ROUND((E46-集計!$C$5)*1440,0))</f>
        <v/>
      </c>
    </row>
    <row r="47" customFormat="false" ht="15" hidden="false" customHeight="false" outlineLevel="0" collapsed="false">
      <c r="A47" s="25"/>
      <c r="B47" s="24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20"/>
      <c r="D47" s="22"/>
      <c r="E47" s="22"/>
      <c r="F47" s="25"/>
      <c r="G47" s="20"/>
      <c r="H47" s="20"/>
      <c r="I47" s="24" t="str">
        <f aca="false">IF(OR(A47="",D47=""),"",IF(AND(D47&lt;集計!$C$5+1,OR(E47="",E47&gt;集計!$C$5)),"○",""))</f>
        <v/>
      </c>
      <c r="J47" s="24" t="str">
        <f aca="false">IF(A47="","",IF(B47="西日本海運","","西日本海運以外の船です（確認してください）"))</f>
        <v/>
      </c>
      <c r="K47" s="24" t="str">
        <f aca="false">IF(A47="","",IFERROR(INDEX(マスター!$K$6:$K$125,MATCH(A47,マスター!$N$6:$N$125,0)),A47))</f>
        <v/>
      </c>
      <c r="L47" s="24" t="str">
        <f aca="false">IF(OR(A47="",D47=""),"",ROUND((D47-集計!$C$5)*1440,0))</f>
        <v/>
      </c>
      <c r="M47" s="24" t="str">
        <f aca="false">IF(OR(A47="",E47=""),"",ROUND((E47-集計!$C$5)*1440,0))</f>
        <v/>
      </c>
    </row>
    <row r="48" customFormat="false" ht="15" hidden="false" customHeight="false" outlineLevel="0" collapsed="false">
      <c r="A48" s="25"/>
      <c r="B48" s="24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20"/>
      <c r="D48" s="22"/>
      <c r="E48" s="22"/>
      <c r="F48" s="25"/>
      <c r="G48" s="20"/>
      <c r="H48" s="20"/>
      <c r="I48" s="24" t="str">
        <f aca="false">IF(OR(A48="",D48=""),"",IF(AND(D48&lt;集計!$C$5+1,OR(E48="",E48&gt;集計!$C$5)),"○",""))</f>
        <v/>
      </c>
      <c r="J48" s="24" t="str">
        <f aca="false">IF(A48="","",IF(B48="西日本海運","","西日本海運以外の船です（確認してください）"))</f>
        <v/>
      </c>
      <c r="K48" s="24" t="str">
        <f aca="false">IF(A48="","",IFERROR(INDEX(マスター!$K$6:$K$125,MATCH(A48,マスター!$N$6:$N$125,0)),A48))</f>
        <v/>
      </c>
      <c r="L48" s="24" t="str">
        <f aca="false">IF(OR(A48="",D48=""),"",ROUND((D48-集計!$C$5)*1440,0))</f>
        <v/>
      </c>
      <c r="M48" s="24" t="str">
        <f aca="false">IF(OR(A48="",E48=""),"",ROUND((E48-集計!$C$5)*1440,0))</f>
        <v/>
      </c>
    </row>
    <row r="49" customFormat="false" ht="15" hidden="false" customHeight="false" outlineLevel="0" collapsed="false">
      <c r="A49" s="25"/>
      <c r="B49" s="24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20"/>
      <c r="D49" s="22"/>
      <c r="E49" s="22"/>
      <c r="F49" s="25"/>
      <c r="G49" s="20"/>
      <c r="H49" s="20"/>
      <c r="I49" s="24" t="str">
        <f aca="false">IF(OR(A49="",D49=""),"",IF(AND(D49&lt;集計!$C$5+1,OR(E49="",E49&gt;集計!$C$5)),"○",""))</f>
        <v/>
      </c>
      <c r="J49" s="24" t="str">
        <f aca="false">IF(A49="","",IF(B49="西日本海運","","西日本海運以外の船です（確認してください）"))</f>
        <v/>
      </c>
      <c r="K49" s="24" t="str">
        <f aca="false">IF(A49="","",IFERROR(INDEX(マスター!$K$6:$K$125,MATCH(A49,マスター!$N$6:$N$125,0)),A49))</f>
        <v/>
      </c>
      <c r="L49" s="24" t="str">
        <f aca="false">IF(OR(A49="",D49=""),"",ROUND((D49-集計!$C$5)*1440,0))</f>
        <v/>
      </c>
      <c r="M49" s="24" t="str">
        <f aca="false">IF(OR(A49="",E49=""),"",ROUND((E49-集計!$C$5)*1440,0))</f>
        <v/>
      </c>
    </row>
    <row r="50" customFormat="false" ht="15" hidden="false" customHeight="false" outlineLevel="0" collapsed="false">
      <c r="A50" s="25"/>
      <c r="B50" s="24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20"/>
      <c r="D50" s="22"/>
      <c r="E50" s="22"/>
      <c r="F50" s="25"/>
      <c r="G50" s="20"/>
      <c r="H50" s="20"/>
      <c r="I50" s="24" t="str">
        <f aca="false">IF(OR(A50="",D50=""),"",IF(AND(D50&lt;集計!$C$5+1,OR(E50="",E50&gt;集計!$C$5)),"○",""))</f>
        <v/>
      </c>
      <c r="J50" s="24" t="str">
        <f aca="false">IF(A50="","",IF(B50="西日本海運","","西日本海運以外の船です（確認してください）"))</f>
        <v/>
      </c>
      <c r="K50" s="24" t="str">
        <f aca="false">IF(A50="","",IFERROR(INDEX(マスター!$K$6:$K$125,MATCH(A50,マスター!$N$6:$N$125,0)),A50))</f>
        <v/>
      </c>
      <c r="L50" s="24" t="str">
        <f aca="false">IF(OR(A50="",D50=""),"",ROUND((D50-集計!$C$5)*1440,0))</f>
        <v/>
      </c>
      <c r="M50" s="24" t="str">
        <f aca="false">IF(OR(A50="",E50=""),"",ROUND((E50-集計!$C$5)*1440,0))</f>
        <v/>
      </c>
    </row>
    <row r="51" customFormat="false" ht="15" hidden="false" customHeight="false" outlineLevel="0" collapsed="false">
      <c r="A51" s="25"/>
      <c r="B51" s="24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20"/>
      <c r="D51" s="22"/>
      <c r="E51" s="22"/>
      <c r="F51" s="25"/>
      <c r="G51" s="20"/>
      <c r="H51" s="20"/>
      <c r="I51" s="24" t="str">
        <f aca="false">IF(OR(A51="",D51=""),"",IF(AND(D51&lt;集計!$C$5+1,OR(E51="",E51&gt;集計!$C$5)),"○",""))</f>
        <v/>
      </c>
      <c r="J51" s="24" t="str">
        <f aca="false">IF(A51="","",IF(B51="西日本海運","","西日本海運以外の船です（確認してください）"))</f>
        <v/>
      </c>
      <c r="K51" s="24" t="str">
        <f aca="false">IF(A51="","",IFERROR(INDEX(マスター!$K$6:$K$125,MATCH(A51,マスター!$N$6:$N$125,0)),A51))</f>
        <v/>
      </c>
      <c r="L51" s="24" t="str">
        <f aca="false">IF(OR(A51="",D51=""),"",ROUND((D51-集計!$C$5)*1440,0))</f>
        <v/>
      </c>
      <c r="M51" s="24" t="str">
        <f aca="false">IF(OR(A51="",E51=""),"",ROUND((E51-集計!$C$5)*1440,0))</f>
        <v/>
      </c>
    </row>
    <row r="52" customFormat="false" ht="15" hidden="false" customHeight="false" outlineLevel="0" collapsed="false">
      <c r="A52" s="25"/>
      <c r="B52" s="24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20"/>
      <c r="D52" s="22"/>
      <c r="E52" s="22"/>
      <c r="F52" s="25"/>
      <c r="G52" s="20"/>
      <c r="H52" s="20"/>
      <c r="I52" s="24" t="str">
        <f aca="false">IF(OR(A52="",D52=""),"",IF(AND(D52&lt;集計!$C$5+1,OR(E52="",E52&gt;集計!$C$5)),"○",""))</f>
        <v/>
      </c>
      <c r="J52" s="24" t="str">
        <f aca="false">IF(A52="","",IF(B52="西日本海運","","西日本海運以外の船です（確認してください）"))</f>
        <v/>
      </c>
      <c r="K52" s="24" t="str">
        <f aca="false">IF(A52="","",IFERROR(INDEX(マスター!$K$6:$K$125,MATCH(A52,マスター!$N$6:$N$125,0)),A52))</f>
        <v/>
      </c>
      <c r="L52" s="24" t="str">
        <f aca="false">IF(OR(A52="",D52=""),"",ROUND((D52-集計!$C$5)*1440,0))</f>
        <v/>
      </c>
      <c r="M52" s="24" t="str">
        <f aca="false">IF(OR(A52="",E52=""),"",ROUND((E52-集計!$C$5)*1440,0))</f>
        <v/>
      </c>
    </row>
    <row r="53" customFormat="false" ht="15" hidden="false" customHeight="false" outlineLevel="0" collapsed="false">
      <c r="A53" s="25"/>
      <c r="B53" s="24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20"/>
      <c r="D53" s="22"/>
      <c r="E53" s="22"/>
      <c r="F53" s="25"/>
      <c r="G53" s="20"/>
      <c r="H53" s="20"/>
      <c r="I53" s="24" t="str">
        <f aca="false">IF(OR(A53="",D53=""),"",IF(AND(D53&lt;集計!$C$5+1,OR(E53="",E53&gt;集計!$C$5)),"○",""))</f>
        <v/>
      </c>
      <c r="J53" s="24" t="str">
        <f aca="false">IF(A53="","",IF(B53="西日本海運","","西日本海運以外の船です（確認してください）"))</f>
        <v/>
      </c>
      <c r="K53" s="24" t="str">
        <f aca="false">IF(A53="","",IFERROR(INDEX(マスター!$K$6:$K$125,MATCH(A53,マスター!$N$6:$N$125,0)),A53))</f>
        <v/>
      </c>
      <c r="L53" s="24" t="str">
        <f aca="false">IF(OR(A53="",D53=""),"",ROUND((D53-集計!$C$5)*1440,0))</f>
        <v/>
      </c>
      <c r="M53" s="24" t="str">
        <f aca="false">IF(OR(A53="",E53=""),"",ROUND((E53-集計!$C$5)*1440,0))</f>
        <v/>
      </c>
    </row>
    <row r="54" customFormat="false" ht="15" hidden="false" customHeight="false" outlineLevel="0" collapsed="false">
      <c r="A54" s="25"/>
      <c r="B54" s="24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20"/>
      <c r="D54" s="22"/>
      <c r="E54" s="22"/>
      <c r="F54" s="25"/>
      <c r="G54" s="20"/>
      <c r="H54" s="20"/>
      <c r="I54" s="24" t="str">
        <f aca="false">IF(OR(A54="",D54=""),"",IF(AND(D54&lt;集計!$C$5+1,OR(E54="",E54&gt;集計!$C$5)),"○",""))</f>
        <v/>
      </c>
      <c r="J54" s="24" t="str">
        <f aca="false">IF(A54="","",IF(B54="西日本海運","","西日本海運以外の船です（確認してください）"))</f>
        <v/>
      </c>
      <c r="K54" s="24" t="str">
        <f aca="false">IF(A54="","",IFERROR(INDEX(マスター!$K$6:$K$125,MATCH(A54,マスター!$N$6:$N$125,0)),A54))</f>
        <v/>
      </c>
      <c r="L54" s="24" t="str">
        <f aca="false">IF(OR(A54="",D54=""),"",ROUND((D54-集計!$C$5)*1440,0))</f>
        <v/>
      </c>
      <c r="M54" s="24" t="str">
        <f aca="false">IF(OR(A54="",E54=""),"",ROUND((E54-集計!$C$5)*1440,0))</f>
        <v/>
      </c>
    </row>
    <row r="55" customFormat="false" ht="15" hidden="false" customHeight="false" outlineLevel="0" collapsed="false">
      <c r="A55" s="25"/>
      <c r="B55" s="24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20"/>
      <c r="D55" s="22"/>
      <c r="E55" s="22"/>
      <c r="F55" s="25"/>
      <c r="G55" s="20"/>
      <c r="H55" s="20"/>
      <c r="I55" s="24" t="str">
        <f aca="false">IF(OR(A55="",D55=""),"",IF(AND(D55&lt;集計!$C$5+1,OR(E55="",E55&gt;集計!$C$5)),"○",""))</f>
        <v/>
      </c>
      <c r="J55" s="24" t="str">
        <f aca="false">IF(A55="","",IF(B55="西日本海運","","西日本海運以外の船です（確認してください）"))</f>
        <v/>
      </c>
      <c r="K55" s="24" t="str">
        <f aca="false">IF(A55="","",IFERROR(INDEX(マスター!$K$6:$K$125,MATCH(A55,マスター!$N$6:$N$125,0)),A55))</f>
        <v/>
      </c>
      <c r="L55" s="24" t="str">
        <f aca="false">IF(OR(A55="",D55=""),"",ROUND((D55-集計!$C$5)*1440,0))</f>
        <v/>
      </c>
      <c r="M55" s="24" t="str">
        <f aca="false">IF(OR(A55="",E55=""),"",ROUND((E55-集計!$C$5)*1440,0))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選択_時刻確認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8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0" t="s">
        <v>215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customFormat="false" ht="15" hidden="false" customHeight="false" outlineLevel="0" collapsed="false">
      <c r="A2" s="12" t="s">
        <v>216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15" hidden="false" customHeight="false" outlineLevel="0" collapsed="false">
      <c r="A3" s="13" t="s">
        <v>217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customFormat="false" ht="60" hidden="false" customHeight="true" outlineLevel="0" collapsed="false">
      <c r="A5" s="23" t="s">
        <v>218</v>
      </c>
      <c r="B5" s="23" t="s">
        <v>108</v>
      </c>
      <c r="C5" s="23" t="s">
        <v>219</v>
      </c>
      <c r="D5" s="23" t="s">
        <v>220</v>
      </c>
      <c r="E5" s="23" t="s">
        <v>221</v>
      </c>
      <c r="F5" s="23" t="s">
        <v>222</v>
      </c>
      <c r="G5" s="23" t="s">
        <v>223</v>
      </c>
      <c r="H5" s="23" t="s">
        <v>112</v>
      </c>
      <c r="I5" s="23" t="s">
        <v>224</v>
      </c>
      <c r="J5" s="14" t="s">
        <v>225</v>
      </c>
      <c r="K5" s="14" t="s">
        <v>226</v>
      </c>
      <c r="L5" s="14" t="s">
        <v>75</v>
      </c>
    </row>
    <row r="6" customFormat="false" ht="15" hidden="false" customHeight="false" outlineLevel="0" collapsed="false">
      <c r="A6" s="25"/>
      <c r="B6" s="25"/>
      <c r="C6" s="20"/>
      <c r="D6" s="29"/>
      <c r="E6" s="29"/>
      <c r="F6" s="25"/>
      <c r="G6" s="20"/>
      <c r="H6" s="20"/>
      <c r="I6" s="29"/>
      <c r="J6" s="24" t="str">
        <f aca="false">IF(OR(B6="",D6=""),"",IF(AND(集計!$C$5&gt;=D6,OR(E6="",集計!$C$5&lt;=E6)),"○",""))</f>
        <v/>
      </c>
      <c r="K6" s="24" t="str">
        <f aca="false">IF(OR(A6="",B6=""),"",IF(IFERROR(IFERROR(INDEX(マスター!$C$6:$C$125,MATCH(B6,マスター!$N$6:$N$125,0)),NA())&amp;"","")=A6,"","マスターの会社と異なります"))</f>
        <v/>
      </c>
      <c r="L6" s="24" t="str">
        <f aca="false">IF(B6="","",IFERROR(INDEX(マスター!$K$6:$K$125,MATCH(B6,マスター!$N$6:$N$125,0)),B6))</f>
        <v/>
      </c>
    </row>
    <row r="7" customFormat="false" ht="15" hidden="false" customHeight="false" outlineLevel="0" collapsed="false">
      <c r="A7" s="25"/>
      <c r="B7" s="25"/>
      <c r="C7" s="20"/>
      <c r="D7" s="29"/>
      <c r="E7" s="29"/>
      <c r="F7" s="25"/>
      <c r="G7" s="20"/>
      <c r="H7" s="20"/>
      <c r="I7" s="29"/>
      <c r="J7" s="24" t="str">
        <f aca="false">IF(OR(B7="",D7=""),"",IF(AND(集計!$C$5&gt;=D7,OR(E7="",集計!$C$5&lt;=E7)),"○",""))</f>
        <v/>
      </c>
      <c r="K7" s="24" t="str">
        <f aca="false">IF(OR(A7="",B7=""),"",IF(IFERROR(IFERROR(INDEX(マスター!$C$6:$C$125,MATCH(B7,マスター!$N$6:$N$125,0)),NA())&amp;"","")=A7,"","マスターの会社と異なります"))</f>
        <v/>
      </c>
      <c r="L7" s="24" t="str">
        <f aca="false">IF(B7="","",IFERROR(INDEX(マスター!$K$6:$K$125,MATCH(B7,マスター!$N$6:$N$125,0)),B7))</f>
        <v/>
      </c>
    </row>
    <row r="8" customFormat="false" ht="15" hidden="false" customHeight="false" outlineLevel="0" collapsed="false">
      <c r="A8" s="25"/>
      <c r="B8" s="25"/>
      <c r="C8" s="20"/>
      <c r="D8" s="29"/>
      <c r="E8" s="29"/>
      <c r="F8" s="25"/>
      <c r="G8" s="20"/>
      <c r="H8" s="20"/>
      <c r="I8" s="29"/>
      <c r="J8" s="24" t="str">
        <f aca="false">IF(OR(B8="",D8=""),"",IF(AND(集計!$C$5&gt;=D8,OR(E8="",集計!$C$5&lt;=E8)),"○",""))</f>
        <v/>
      </c>
      <c r="K8" s="24" t="str">
        <f aca="false">IF(OR(A8="",B8=""),"",IF(IFERROR(IFERROR(INDEX(マスター!$C$6:$C$125,MATCH(B8,マスター!$N$6:$N$125,0)),NA())&amp;"","")=A8,"","マスターの会社と異なります"))</f>
        <v/>
      </c>
      <c r="L8" s="24" t="str">
        <f aca="false">IF(B8="","",IFERROR(INDEX(マスター!$K$6:$K$125,MATCH(B8,マスター!$N$6:$N$125,0)),B8))</f>
        <v/>
      </c>
    </row>
    <row r="9" customFormat="false" ht="15" hidden="false" customHeight="false" outlineLevel="0" collapsed="false">
      <c r="A9" s="25"/>
      <c r="B9" s="25"/>
      <c r="C9" s="20"/>
      <c r="D9" s="29"/>
      <c r="E9" s="29"/>
      <c r="F9" s="25"/>
      <c r="G9" s="20"/>
      <c r="H9" s="20"/>
      <c r="I9" s="29"/>
      <c r="J9" s="24" t="str">
        <f aca="false">IF(OR(B9="",D9=""),"",IF(AND(集計!$C$5&gt;=D9,OR(E9="",集計!$C$5&lt;=E9)),"○",""))</f>
        <v/>
      </c>
      <c r="K9" s="24" t="str">
        <f aca="false">IF(OR(A9="",B9=""),"",IF(IFERROR(IFERROR(INDEX(マスター!$C$6:$C$125,MATCH(B9,マスター!$N$6:$N$125,0)),NA())&amp;"","")=A9,"","マスターの会社と異なります"))</f>
        <v/>
      </c>
      <c r="L9" s="24" t="str">
        <f aca="false">IF(B9="","",IFERROR(INDEX(マスター!$K$6:$K$125,MATCH(B9,マスター!$N$6:$N$125,0)),B9))</f>
        <v/>
      </c>
    </row>
    <row r="10" customFormat="false" ht="15" hidden="false" customHeight="false" outlineLevel="0" collapsed="false">
      <c r="A10" s="25"/>
      <c r="B10" s="25"/>
      <c r="C10" s="20"/>
      <c r="D10" s="29"/>
      <c r="E10" s="29"/>
      <c r="F10" s="25"/>
      <c r="G10" s="20"/>
      <c r="H10" s="20"/>
      <c r="I10" s="29"/>
      <c r="J10" s="24" t="str">
        <f aca="false">IF(OR(B10="",D10=""),"",IF(AND(集計!$C$5&gt;=D10,OR(E10="",集計!$C$5&lt;=E10)),"○",""))</f>
        <v/>
      </c>
      <c r="K10" s="24" t="str">
        <f aca="false">IF(OR(A10="",B10=""),"",IF(IFERROR(IFERROR(INDEX(マスター!$C$6:$C$125,MATCH(B10,マスター!$N$6:$N$125,0)),NA())&amp;"","")=A10,"","マスターの会社と異なります"))</f>
        <v/>
      </c>
      <c r="L10" s="24" t="str">
        <f aca="false">IF(B10="","",IFERROR(INDEX(マスター!$K$6:$K$125,MATCH(B10,マスター!$N$6:$N$125,0)),B10))</f>
        <v/>
      </c>
    </row>
    <row r="11" customFormat="false" ht="15" hidden="false" customHeight="false" outlineLevel="0" collapsed="false">
      <c r="A11" s="25"/>
      <c r="B11" s="25"/>
      <c r="C11" s="20"/>
      <c r="D11" s="29"/>
      <c r="E11" s="29"/>
      <c r="F11" s="25"/>
      <c r="G11" s="20"/>
      <c r="H11" s="20"/>
      <c r="I11" s="29"/>
      <c r="J11" s="24" t="str">
        <f aca="false">IF(OR(B11="",D11=""),"",IF(AND(集計!$C$5&gt;=D11,OR(E11="",集計!$C$5&lt;=E11)),"○",""))</f>
        <v/>
      </c>
      <c r="K11" s="24" t="str">
        <f aca="false">IF(OR(A11="",B11=""),"",IF(IFERROR(IFERROR(INDEX(マスター!$C$6:$C$125,MATCH(B11,マスター!$N$6:$N$125,0)),NA())&amp;"","")=A11,"","マスターの会社と異なります"))</f>
        <v/>
      </c>
      <c r="L11" s="24" t="str">
        <f aca="false">IF(B11="","",IFERROR(INDEX(マスター!$K$6:$K$125,MATCH(B11,マスター!$N$6:$N$125,0)),B11))</f>
        <v/>
      </c>
    </row>
    <row r="12" customFormat="false" ht="15" hidden="false" customHeight="false" outlineLevel="0" collapsed="false">
      <c r="A12" s="25"/>
      <c r="B12" s="25"/>
      <c r="C12" s="20"/>
      <c r="D12" s="29"/>
      <c r="E12" s="29"/>
      <c r="F12" s="25"/>
      <c r="G12" s="20"/>
      <c r="H12" s="20"/>
      <c r="I12" s="29"/>
      <c r="J12" s="24" t="str">
        <f aca="false">IF(OR(B12="",D12=""),"",IF(AND(集計!$C$5&gt;=D12,OR(E12="",集計!$C$5&lt;=E12)),"○",""))</f>
        <v/>
      </c>
      <c r="K12" s="24" t="str">
        <f aca="false">IF(OR(A12="",B12=""),"",IF(IFERROR(IFERROR(INDEX(マスター!$C$6:$C$125,MATCH(B12,マスター!$N$6:$N$125,0)),NA())&amp;"","")=A12,"","マスターの会社と異なります"))</f>
        <v/>
      </c>
      <c r="L12" s="24" t="str">
        <f aca="false">IF(B12="","",IFERROR(INDEX(マスター!$K$6:$K$125,MATCH(B12,マスター!$N$6:$N$125,0)),B12))</f>
        <v/>
      </c>
    </row>
    <row r="13" customFormat="false" ht="15" hidden="false" customHeight="false" outlineLevel="0" collapsed="false">
      <c r="A13" s="25"/>
      <c r="B13" s="25"/>
      <c r="C13" s="20"/>
      <c r="D13" s="29"/>
      <c r="E13" s="29"/>
      <c r="F13" s="25"/>
      <c r="G13" s="20"/>
      <c r="H13" s="20"/>
      <c r="I13" s="29"/>
      <c r="J13" s="24" t="str">
        <f aca="false">IF(OR(B13="",D13=""),"",IF(AND(集計!$C$5&gt;=D13,OR(E13="",集計!$C$5&lt;=E13)),"○",""))</f>
        <v/>
      </c>
      <c r="K13" s="24" t="str">
        <f aca="false">IF(OR(A13="",B13=""),"",IF(IFERROR(IFERROR(INDEX(マスター!$C$6:$C$125,MATCH(B13,マスター!$N$6:$N$125,0)),NA())&amp;"","")=A13,"","マスターの会社と異なります"))</f>
        <v/>
      </c>
      <c r="L13" s="24" t="str">
        <f aca="false">IF(B13="","",IFERROR(INDEX(マスター!$K$6:$K$125,MATCH(B13,マスター!$N$6:$N$125,0)),B13))</f>
        <v/>
      </c>
    </row>
    <row r="14" customFormat="false" ht="15" hidden="false" customHeight="false" outlineLevel="0" collapsed="false">
      <c r="A14" s="25"/>
      <c r="B14" s="25"/>
      <c r="C14" s="20"/>
      <c r="D14" s="29"/>
      <c r="E14" s="29"/>
      <c r="F14" s="25"/>
      <c r="G14" s="20"/>
      <c r="H14" s="20"/>
      <c r="I14" s="29"/>
      <c r="J14" s="24" t="str">
        <f aca="false">IF(OR(B14="",D14=""),"",IF(AND(集計!$C$5&gt;=D14,OR(E14="",集計!$C$5&lt;=E14)),"○",""))</f>
        <v/>
      </c>
      <c r="K14" s="24" t="str">
        <f aca="false">IF(OR(A14="",B14=""),"",IF(IFERROR(IFERROR(INDEX(マスター!$C$6:$C$125,MATCH(B14,マスター!$N$6:$N$125,0)),NA())&amp;"","")=A14,"","マスターの会社と異なります"))</f>
        <v/>
      </c>
      <c r="L14" s="24" t="str">
        <f aca="false">IF(B14="","",IFERROR(INDEX(マスター!$K$6:$K$125,MATCH(B14,マスター!$N$6:$N$125,0)),B14))</f>
        <v/>
      </c>
    </row>
    <row r="15" customFormat="false" ht="15" hidden="false" customHeight="false" outlineLevel="0" collapsed="false">
      <c r="A15" s="25"/>
      <c r="B15" s="25"/>
      <c r="C15" s="20"/>
      <c r="D15" s="29"/>
      <c r="E15" s="29"/>
      <c r="F15" s="25"/>
      <c r="G15" s="20"/>
      <c r="H15" s="20"/>
      <c r="I15" s="29"/>
      <c r="J15" s="24" t="str">
        <f aca="false">IF(OR(B15="",D15=""),"",IF(AND(集計!$C$5&gt;=D15,OR(E15="",集計!$C$5&lt;=E15)),"○",""))</f>
        <v/>
      </c>
      <c r="K15" s="24" t="str">
        <f aca="false">IF(OR(A15="",B15=""),"",IF(IFERROR(IFERROR(INDEX(マスター!$C$6:$C$125,MATCH(B15,マスター!$N$6:$N$125,0)),NA())&amp;"","")=A15,"","マスターの会社と異なります"))</f>
        <v/>
      </c>
      <c r="L15" s="24" t="str">
        <f aca="false">IF(B15="","",IFERROR(INDEX(マスター!$K$6:$K$125,MATCH(B15,マスター!$N$6:$N$125,0)),B15))</f>
        <v/>
      </c>
    </row>
    <row r="16" customFormat="false" ht="15" hidden="false" customHeight="false" outlineLevel="0" collapsed="false">
      <c r="A16" s="25"/>
      <c r="B16" s="25"/>
      <c r="C16" s="20"/>
      <c r="D16" s="29"/>
      <c r="E16" s="29"/>
      <c r="F16" s="25"/>
      <c r="G16" s="20"/>
      <c r="H16" s="20"/>
      <c r="I16" s="29"/>
      <c r="J16" s="24" t="str">
        <f aca="false">IF(OR(B16="",D16=""),"",IF(AND(集計!$C$5&gt;=D16,OR(E16="",集計!$C$5&lt;=E16)),"○",""))</f>
        <v/>
      </c>
      <c r="K16" s="24" t="str">
        <f aca="false">IF(OR(A16="",B16=""),"",IF(IFERROR(IFERROR(INDEX(マスター!$C$6:$C$125,MATCH(B16,マスター!$N$6:$N$125,0)),NA())&amp;"","")=A16,"","マスターの会社と異なります"))</f>
        <v/>
      </c>
      <c r="L16" s="24" t="str">
        <f aca="false">IF(B16="","",IFERROR(INDEX(マスター!$K$6:$K$125,MATCH(B16,マスター!$N$6:$N$125,0)),B16))</f>
        <v/>
      </c>
    </row>
    <row r="17" customFormat="false" ht="15" hidden="false" customHeight="false" outlineLevel="0" collapsed="false">
      <c r="A17" s="25"/>
      <c r="B17" s="25"/>
      <c r="C17" s="20"/>
      <c r="D17" s="29"/>
      <c r="E17" s="29"/>
      <c r="F17" s="25"/>
      <c r="G17" s="20"/>
      <c r="H17" s="20"/>
      <c r="I17" s="29"/>
      <c r="J17" s="24" t="str">
        <f aca="false">IF(OR(B17="",D17=""),"",IF(AND(集計!$C$5&gt;=D17,OR(E17="",集計!$C$5&lt;=E17)),"○",""))</f>
        <v/>
      </c>
      <c r="K17" s="24" t="str">
        <f aca="false">IF(OR(A17="",B17=""),"",IF(IFERROR(IFERROR(INDEX(マスター!$C$6:$C$125,MATCH(B17,マスター!$N$6:$N$125,0)),NA())&amp;"","")=A17,"","マスターの会社と異なります"))</f>
        <v/>
      </c>
      <c r="L17" s="24" t="str">
        <f aca="false">IF(B17="","",IFERROR(INDEX(マスター!$K$6:$K$125,MATCH(B17,マスター!$N$6:$N$125,0)),B17))</f>
        <v/>
      </c>
    </row>
    <row r="18" customFormat="false" ht="15" hidden="false" customHeight="false" outlineLevel="0" collapsed="false">
      <c r="A18" s="25"/>
      <c r="B18" s="25"/>
      <c r="C18" s="20"/>
      <c r="D18" s="29"/>
      <c r="E18" s="29"/>
      <c r="F18" s="25"/>
      <c r="G18" s="20"/>
      <c r="H18" s="20"/>
      <c r="I18" s="29"/>
      <c r="J18" s="24" t="str">
        <f aca="false">IF(OR(B18="",D18=""),"",IF(AND(集計!$C$5&gt;=D18,OR(E18="",集計!$C$5&lt;=E18)),"○",""))</f>
        <v/>
      </c>
      <c r="K18" s="24" t="str">
        <f aca="false">IF(OR(A18="",B18=""),"",IF(IFERROR(IFERROR(INDEX(マスター!$C$6:$C$125,MATCH(B18,マスター!$N$6:$N$125,0)),NA())&amp;"","")=A18,"","マスターの会社と異なります"))</f>
        <v/>
      </c>
      <c r="L18" s="24" t="str">
        <f aca="false">IF(B18="","",IFERROR(INDEX(マスター!$K$6:$K$125,MATCH(B18,マスター!$N$6:$N$125,0)),B18))</f>
        <v/>
      </c>
    </row>
    <row r="19" customFormat="false" ht="15" hidden="false" customHeight="false" outlineLevel="0" collapsed="false">
      <c r="A19" s="25"/>
      <c r="B19" s="25"/>
      <c r="C19" s="20"/>
      <c r="D19" s="29"/>
      <c r="E19" s="29"/>
      <c r="F19" s="25"/>
      <c r="G19" s="20"/>
      <c r="H19" s="20"/>
      <c r="I19" s="29"/>
      <c r="J19" s="24" t="str">
        <f aca="false">IF(OR(B19="",D19=""),"",IF(AND(集計!$C$5&gt;=D19,OR(E19="",集計!$C$5&lt;=E19)),"○",""))</f>
        <v/>
      </c>
      <c r="K19" s="24" t="str">
        <f aca="false">IF(OR(A19="",B19=""),"",IF(IFERROR(IFERROR(INDEX(マスター!$C$6:$C$125,MATCH(B19,マスター!$N$6:$N$125,0)),NA())&amp;"","")=A19,"","マスターの会社と異なります"))</f>
        <v/>
      </c>
      <c r="L19" s="24" t="str">
        <f aca="false">IF(B19="","",IFERROR(INDEX(マスター!$K$6:$K$125,MATCH(B19,マスター!$N$6:$N$125,0)),B19))</f>
        <v/>
      </c>
    </row>
    <row r="20" customFormat="false" ht="15" hidden="false" customHeight="false" outlineLevel="0" collapsed="false">
      <c r="A20" s="25"/>
      <c r="B20" s="25"/>
      <c r="C20" s="20"/>
      <c r="D20" s="29"/>
      <c r="E20" s="29"/>
      <c r="F20" s="25"/>
      <c r="G20" s="20"/>
      <c r="H20" s="20"/>
      <c r="I20" s="29"/>
      <c r="J20" s="24" t="str">
        <f aca="false">IF(OR(B20="",D20=""),"",IF(AND(集計!$C$5&gt;=D20,OR(E20="",集計!$C$5&lt;=E20)),"○",""))</f>
        <v/>
      </c>
      <c r="K20" s="24" t="str">
        <f aca="false">IF(OR(A20="",B20=""),"",IF(IFERROR(IFERROR(INDEX(マスター!$C$6:$C$125,MATCH(B20,マスター!$N$6:$N$125,0)),NA())&amp;"","")=A20,"","マスターの会社と異なります"))</f>
        <v/>
      </c>
      <c r="L20" s="24" t="str">
        <f aca="false">IF(B20="","",IFERROR(INDEX(マスター!$K$6:$K$125,MATCH(B20,マスター!$N$6:$N$125,0)),B20))</f>
        <v/>
      </c>
    </row>
    <row r="21" customFormat="false" ht="15" hidden="false" customHeight="false" outlineLevel="0" collapsed="false">
      <c r="A21" s="25"/>
      <c r="B21" s="25"/>
      <c r="C21" s="20"/>
      <c r="D21" s="29"/>
      <c r="E21" s="29"/>
      <c r="F21" s="25"/>
      <c r="G21" s="20"/>
      <c r="H21" s="20"/>
      <c r="I21" s="29"/>
      <c r="J21" s="24" t="str">
        <f aca="false">IF(OR(B21="",D21=""),"",IF(AND(集計!$C$5&gt;=D21,OR(E21="",集計!$C$5&lt;=E21)),"○",""))</f>
        <v/>
      </c>
      <c r="K21" s="24" t="str">
        <f aca="false">IF(OR(A21="",B21=""),"",IF(IFERROR(IFERROR(INDEX(マスター!$C$6:$C$125,MATCH(B21,マスター!$N$6:$N$125,0)),NA())&amp;"","")=A21,"","マスターの会社と異なります"))</f>
        <v/>
      </c>
      <c r="L21" s="24" t="str">
        <f aca="false">IF(B21="","",IFERROR(INDEX(マスター!$K$6:$K$125,MATCH(B21,マスター!$N$6:$N$125,0)),B21))</f>
        <v/>
      </c>
    </row>
    <row r="22" customFormat="false" ht="15" hidden="false" customHeight="false" outlineLevel="0" collapsed="false">
      <c r="A22" s="25"/>
      <c r="B22" s="25"/>
      <c r="C22" s="20"/>
      <c r="D22" s="29"/>
      <c r="E22" s="29"/>
      <c r="F22" s="25"/>
      <c r="G22" s="20"/>
      <c r="H22" s="20"/>
      <c r="I22" s="29"/>
      <c r="J22" s="24" t="str">
        <f aca="false">IF(OR(B22="",D22=""),"",IF(AND(集計!$C$5&gt;=D22,OR(E22="",集計!$C$5&lt;=E22)),"○",""))</f>
        <v/>
      </c>
      <c r="K22" s="24" t="str">
        <f aca="false">IF(OR(A22="",B22=""),"",IF(IFERROR(IFERROR(INDEX(マスター!$C$6:$C$125,MATCH(B22,マスター!$N$6:$N$125,0)),NA())&amp;"","")=A22,"","マスターの会社と異なります"))</f>
        <v/>
      </c>
      <c r="L22" s="24" t="str">
        <f aca="false">IF(B22="","",IFERROR(INDEX(マスター!$K$6:$K$125,MATCH(B22,マスター!$N$6:$N$125,0)),B22))</f>
        <v/>
      </c>
    </row>
    <row r="23" customFormat="false" ht="15" hidden="false" customHeight="false" outlineLevel="0" collapsed="false">
      <c r="A23" s="25"/>
      <c r="B23" s="25"/>
      <c r="C23" s="20"/>
      <c r="D23" s="29"/>
      <c r="E23" s="29"/>
      <c r="F23" s="25"/>
      <c r="G23" s="20"/>
      <c r="H23" s="20"/>
      <c r="I23" s="29"/>
      <c r="J23" s="24" t="str">
        <f aca="false">IF(OR(B23="",D23=""),"",IF(AND(集計!$C$5&gt;=D23,OR(E23="",集計!$C$5&lt;=E23)),"○",""))</f>
        <v/>
      </c>
      <c r="K23" s="24" t="str">
        <f aca="false">IF(OR(A23="",B23=""),"",IF(IFERROR(IFERROR(INDEX(マスター!$C$6:$C$125,MATCH(B23,マスター!$N$6:$N$125,0)),NA())&amp;"","")=A23,"","マスターの会社と異なります"))</f>
        <v/>
      </c>
      <c r="L23" s="24" t="str">
        <f aca="false">IF(B23="","",IFERROR(INDEX(マスター!$K$6:$K$125,MATCH(B23,マスター!$N$6:$N$125,0)),B23))</f>
        <v/>
      </c>
    </row>
    <row r="24" customFormat="false" ht="15" hidden="false" customHeight="false" outlineLevel="0" collapsed="false">
      <c r="A24" s="25"/>
      <c r="B24" s="25"/>
      <c r="C24" s="20"/>
      <c r="D24" s="29"/>
      <c r="E24" s="29"/>
      <c r="F24" s="25"/>
      <c r="G24" s="20"/>
      <c r="H24" s="20"/>
      <c r="I24" s="29"/>
      <c r="J24" s="24" t="str">
        <f aca="false">IF(OR(B24="",D24=""),"",IF(AND(集計!$C$5&gt;=D24,OR(E24="",集計!$C$5&lt;=E24)),"○",""))</f>
        <v/>
      </c>
      <c r="K24" s="24" t="str">
        <f aca="false">IF(OR(A24="",B24=""),"",IF(IFERROR(IFERROR(INDEX(マスター!$C$6:$C$125,MATCH(B24,マスター!$N$6:$N$125,0)),NA())&amp;"","")=A24,"","マスターの会社と異なります"))</f>
        <v/>
      </c>
      <c r="L24" s="24" t="str">
        <f aca="false">IF(B24="","",IFERROR(INDEX(マスター!$K$6:$K$125,MATCH(B24,マスター!$N$6:$N$125,0)),B24))</f>
        <v/>
      </c>
    </row>
    <row r="25" customFormat="false" ht="15" hidden="false" customHeight="false" outlineLevel="0" collapsed="false">
      <c r="A25" s="25"/>
      <c r="B25" s="25"/>
      <c r="C25" s="20"/>
      <c r="D25" s="29"/>
      <c r="E25" s="29"/>
      <c r="F25" s="25"/>
      <c r="G25" s="20"/>
      <c r="H25" s="20"/>
      <c r="I25" s="29"/>
      <c r="J25" s="24" t="str">
        <f aca="false">IF(OR(B25="",D25=""),"",IF(AND(集計!$C$5&gt;=D25,OR(E25="",集計!$C$5&lt;=E25)),"○",""))</f>
        <v/>
      </c>
      <c r="K25" s="24" t="str">
        <f aca="false">IF(OR(A25="",B25=""),"",IF(IFERROR(IFERROR(INDEX(マスター!$C$6:$C$125,MATCH(B25,マスター!$N$6:$N$125,0)),NA())&amp;"","")=A25,"","マスターの会社と異なります"))</f>
        <v/>
      </c>
      <c r="L25" s="24" t="str">
        <f aca="false">IF(B25="","",IFERROR(INDEX(マスター!$K$6:$K$125,MATCH(B25,マスター!$N$6:$N$125,0)),B25))</f>
        <v/>
      </c>
    </row>
    <row r="26" customFormat="false" ht="15" hidden="false" customHeight="false" outlineLevel="0" collapsed="false">
      <c r="A26" s="25"/>
      <c r="B26" s="25"/>
      <c r="C26" s="20"/>
      <c r="D26" s="29"/>
      <c r="E26" s="29"/>
      <c r="F26" s="25"/>
      <c r="G26" s="20"/>
      <c r="H26" s="20"/>
      <c r="I26" s="29"/>
      <c r="J26" s="24" t="str">
        <f aca="false">IF(OR(B26="",D26=""),"",IF(AND(集計!$C$5&gt;=D26,OR(E26="",集計!$C$5&lt;=E26)),"○",""))</f>
        <v/>
      </c>
      <c r="K26" s="24" t="str">
        <f aca="false">IF(OR(A26="",B26=""),"",IF(IFERROR(IFERROR(INDEX(マスター!$C$6:$C$125,MATCH(B26,マスター!$N$6:$N$125,0)),NA())&amp;"","")=A26,"","マスターの会社と異なります"))</f>
        <v/>
      </c>
      <c r="L26" s="24" t="str">
        <f aca="false">IF(B26="","",IFERROR(INDEX(マスター!$K$6:$K$125,MATCH(B26,マスター!$N$6:$N$125,0)),B26))</f>
        <v/>
      </c>
    </row>
    <row r="27" customFormat="false" ht="15" hidden="false" customHeight="false" outlineLevel="0" collapsed="false">
      <c r="A27" s="25"/>
      <c r="B27" s="25"/>
      <c r="C27" s="20"/>
      <c r="D27" s="29"/>
      <c r="E27" s="29"/>
      <c r="F27" s="25"/>
      <c r="G27" s="20"/>
      <c r="H27" s="20"/>
      <c r="I27" s="29"/>
      <c r="J27" s="24" t="str">
        <f aca="false">IF(OR(B27="",D27=""),"",IF(AND(集計!$C$5&gt;=D27,OR(E27="",集計!$C$5&lt;=E27)),"○",""))</f>
        <v/>
      </c>
      <c r="K27" s="24" t="str">
        <f aca="false">IF(OR(A27="",B27=""),"",IF(IFERROR(IFERROR(INDEX(マスター!$C$6:$C$125,MATCH(B27,マスター!$N$6:$N$125,0)),NA())&amp;"","")=A27,"","マスターの会社と異なります"))</f>
        <v/>
      </c>
      <c r="L27" s="24" t="str">
        <f aca="false">IF(B27="","",IFERROR(INDEX(マスター!$K$6:$K$125,MATCH(B27,マスター!$N$6:$N$125,0)),B27))</f>
        <v/>
      </c>
    </row>
    <row r="28" customFormat="false" ht="15" hidden="false" customHeight="false" outlineLevel="0" collapsed="false">
      <c r="A28" s="25"/>
      <c r="B28" s="25"/>
      <c r="C28" s="20"/>
      <c r="D28" s="29"/>
      <c r="E28" s="29"/>
      <c r="F28" s="25"/>
      <c r="G28" s="20"/>
      <c r="H28" s="20"/>
      <c r="I28" s="29"/>
      <c r="J28" s="24" t="str">
        <f aca="false">IF(OR(B28="",D28=""),"",IF(AND(集計!$C$5&gt;=D28,OR(E28="",集計!$C$5&lt;=E28)),"○",""))</f>
        <v/>
      </c>
      <c r="K28" s="24" t="str">
        <f aca="false">IF(OR(A28="",B28=""),"",IF(IFERROR(IFERROR(INDEX(マスター!$C$6:$C$125,MATCH(B28,マスター!$N$6:$N$125,0)),NA())&amp;"","")=A28,"","マスターの会社と異なります"))</f>
        <v/>
      </c>
      <c r="L28" s="24" t="str">
        <f aca="false">IF(B28="","",IFERROR(INDEX(マスター!$K$6:$K$125,MATCH(B28,マスター!$N$6:$N$125,0)),B28))</f>
        <v/>
      </c>
    </row>
    <row r="29" customFormat="false" ht="15" hidden="false" customHeight="false" outlineLevel="0" collapsed="false">
      <c r="A29" s="25"/>
      <c r="B29" s="25"/>
      <c r="C29" s="20"/>
      <c r="D29" s="29"/>
      <c r="E29" s="29"/>
      <c r="F29" s="25"/>
      <c r="G29" s="20"/>
      <c r="H29" s="20"/>
      <c r="I29" s="29"/>
      <c r="J29" s="24" t="str">
        <f aca="false">IF(OR(B29="",D29=""),"",IF(AND(集計!$C$5&gt;=D29,OR(E29="",集計!$C$5&lt;=E29)),"○",""))</f>
        <v/>
      </c>
      <c r="K29" s="24" t="str">
        <f aca="false">IF(OR(A29="",B29=""),"",IF(IFERROR(IFERROR(INDEX(マスター!$C$6:$C$125,MATCH(B29,マスター!$N$6:$N$125,0)),NA())&amp;"","")=A29,"","マスターの会社と異なります"))</f>
        <v/>
      </c>
      <c r="L29" s="24" t="str">
        <f aca="false">IF(B29="","",IFERROR(INDEX(マスター!$K$6:$K$125,MATCH(B29,マスター!$N$6:$N$125,0)),B29))</f>
        <v/>
      </c>
    </row>
    <row r="30" customFormat="false" ht="15" hidden="false" customHeight="false" outlineLevel="0" collapsed="false">
      <c r="A30" s="25"/>
      <c r="B30" s="25"/>
      <c r="C30" s="20"/>
      <c r="D30" s="29"/>
      <c r="E30" s="29"/>
      <c r="F30" s="25"/>
      <c r="G30" s="20"/>
      <c r="H30" s="20"/>
      <c r="I30" s="29"/>
      <c r="J30" s="24" t="str">
        <f aca="false">IF(OR(B30="",D30=""),"",IF(AND(集計!$C$5&gt;=D30,OR(E30="",集計!$C$5&lt;=E30)),"○",""))</f>
        <v/>
      </c>
      <c r="K30" s="24" t="str">
        <f aca="false">IF(OR(A30="",B30=""),"",IF(IFERROR(IFERROR(INDEX(マスター!$C$6:$C$125,MATCH(B30,マスター!$N$6:$N$125,0)),NA())&amp;"","")=A30,"","マスターの会社と異なります"))</f>
        <v/>
      </c>
      <c r="L30" s="24" t="str">
        <f aca="false">IF(B30="","",IFERROR(INDEX(マスター!$K$6:$K$125,MATCH(B30,マスター!$N$6:$N$125,0)),B30))</f>
        <v/>
      </c>
    </row>
    <row r="31" customFormat="false" ht="15" hidden="false" customHeight="false" outlineLevel="0" collapsed="false">
      <c r="A31" s="25"/>
      <c r="B31" s="25"/>
      <c r="C31" s="20"/>
      <c r="D31" s="29"/>
      <c r="E31" s="29"/>
      <c r="F31" s="25"/>
      <c r="G31" s="20"/>
      <c r="H31" s="20"/>
      <c r="I31" s="29"/>
      <c r="J31" s="24" t="str">
        <f aca="false">IF(OR(B31="",D31=""),"",IF(AND(集計!$C$5&gt;=D31,OR(E31="",集計!$C$5&lt;=E31)),"○",""))</f>
        <v/>
      </c>
      <c r="K31" s="24" t="str">
        <f aca="false">IF(OR(A31="",B31=""),"",IF(IFERROR(IFERROR(INDEX(マスター!$C$6:$C$125,MATCH(B31,マスター!$N$6:$N$125,0)),NA())&amp;"","")=A31,"","マスターの会社と異なります"))</f>
        <v/>
      </c>
      <c r="L31" s="24" t="str">
        <f aca="false">IF(B31="","",IFERROR(INDEX(マスター!$K$6:$K$125,MATCH(B31,マスター!$N$6:$N$125,0)),B31))</f>
        <v/>
      </c>
    </row>
    <row r="32" customFormat="false" ht="15" hidden="false" customHeight="false" outlineLevel="0" collapsed="false">
      <c r="A32" s="25"/>
      <c r="B32" s="25"/>
      <c r="C32" s="20"/>
      <c r="D32" s="29"/>
      <c r="E32" s="29"/>
      <c r="F32" s="25"/>
      <c r="G32" s="20"/>
      <c r="H32" s="20"/>
      <c r="I32" s="29"/>
      <c r="J32" s="24" t="str">
        <f aca="false">IF(OR(B32="",D32=""),"",IF(AND(集計!$C$5&gt;=D32,OR(E32="",集計!$C$5&lt;=E32)),"○",""))</f>
        <v/>
      </c>
      <c r="K32" s="24" t="str">
        <f aca="false">IF(OR(A32="",B32=""),"",IF(IFERROR(IFERROR(INDEX(マスター!$C$6:$C$125,MATCH(B32,マスター!$N$6:$N$125,0)),NA())&amp;"","")=A32,"","マスターの会社と異なります"))</f>
        <v/>
      </c>
      <c r="L32" s="24" t="str">
        <f aca="false">IF(B32="","",IFERROR(INDEX(マスター!$K$6:$K$125,MATCH(B32,マスター!$N$6:$N$125,0)),B32))</f>
        <v/>
      </c>
    </row>
    <row r="33" customFormat="false" ht="15" hidden="false" customHeight="false" outlineLevel="0" collapsed="false">
      <c r="A33" s="25"/>
      <c r="B33" s="25"/>
      <c r="C33" s="20"/>
      <c r="D33" s="29"/>
      <c r="E33" s="29"/>
      <c r="F33" s="25"/>
      <c r="G33" s="20"/>
      <c r="H33" s="20"/>
      <c r="I33" s="29"/>
      <c r="J33" s="24" t="str">
        <f aca="false">IF(OR(B33="",D33=""),"",IF(AND(集計!$C$5&gt;=D33,OR(E33="",集計!$C$5&lt;=E33)),"○",""))</f>
        <v/>
      </c>
      <c r="K33" s="24" t="str">
        <f aca="false">IF(OR(A33="",B33=""),"",IF(IFERROR(IFERROR(INDEX(マスター!$C$6:$C$125,MATCH(B33,マスター!$N$6:$N$125,0)),NA())&amp;"","")=A33,"","マスターの会社と異なります"))</f>
        <v/>
      </c>
      <c r="L33" s="24" t="str">
        <f aca="false">IF(B33="","",IFERROR(INDEX(マスター!$K$6:$K$125,MATCH(B33,マスター!$N$6:$N$125,0)),B33))</f>
        <v/>
      </c>
    </row>
    <row r="34" customFormat="false" ht="15" hidden="false" customHeight="false" outlineLevel="0" collapsed="false">
      <c r="A34" s="25"/>
      <c r="B34" s="25"/>
      <c r="C34" s="20"/>
      <c r="D34" s="29"/>
      <c r="E34" s="29"/>
      <c r="F34" s="25"/>
      <c r="G34" s="20"/>
      <c r="H34" s="20"/>
      <c r="I34" s="29"/>
      <c r="J34" s="24" t="str">
        <f aca="false">IF(OR(B34="",D34=""),"",IF(AND(集計!$C$5&gt;=D34,OR(E34="",集計!$C$5&lt;=E34)),"○",""))</f>
        <v/>
      </c>
      <c r="K34" s="24" t="str">
        <f aca="false">IF(OR(A34="",B34=""),"",IF(IFERROR(IFERROR(INDEX(マスター!$C$6:$C$125,MATCH(B34,マスター!$N$6:$N$125,0)),NA())&amp;"","")=A34,"","マスターの会社と異なります"))</f>
        <v/>
      </c>
      <c r="L34" s="24" t="str">
        <f aca="false">IF(B34="","",IFERROR(INDEX(マスター!$K$6:$K$125,MATCH(B34,マスター!$N$6:$N$125,0)),B34))</f>
        <v/>
      </c>
    </row>
    <row r="35" customFormat="false" ht="15" hidden="false" customHeight="false" outlineLevel="0" collapsed="false">
      <c r="A35" s="25"/>
      <c r="B35" s="25"/>
      <c r="C35" s="20"/>
      <c r="D35" s="29"/>
      <c r="E35" s="29"/>
      <c r="F35" s="25"/>
      <c r="G35" s="20"/>
      <c r="H35" s="20"/>
      <c r="I35" s="29"/>
      <c r="J35" s="24" t="str">
        <f aca="false">IF(OR(B35="",D35=""),"",IF(AND(集計!$C$5&gt;=D35,OR(E35="",集計!$C$5&lt;=E35)),"○",""))</f>
        <v/>
      </c>
      <c r="K35" s="24" t="str">
        <f aca="false">IF(OR(A35="",B35=""),"",IF(IFERROR(IFERROR(INDEX(マスター!$C$6:$C$125,MATCH(B35,マスター!$N$6:$N$125,0)),NA())&amp;"","")=A35,"","マスターの会社と異なります"))</f>
        <v/>
      </c>
      <c r="L35" s="24" t="str">
        <f aca="false">IF(B35="","",IFERROR(INDEX(マスター!$K$6:$K$125,MATCH(B35,マスター!$N$6:$N$125,0)),B35))</f>
        <v/>
      </c>
    </row>
    <row r="36" customFormat="false" ht="15" hidden="false" customHeight="false" outlineLevel="0" collapsed="false">
      <c r="A36" s="25"/>
      <c r="B36" s="25"/>
      <c r="C36" s="20"/>
      <c r="D36" s="29"/>
      <c r="E36" s="29"/>
      <c r="F36" s="25"/>
      <c r="G36" s="20"/>
      <c r="H36" s="20"/>
      <c r="I36" s="29"/>
      <c r="J36" s="24" t="str">
        <f aca="false">IF(OR(B36="",D36=""),"",IF(AND(集計!$C$5&gt;=D36,OR(E36="",集計!$C$5&lt;=E36)),"○",""))</f>
        <v/>
      </c>
      <c r="K36" s="24" t="str">
        <f aca="false">IF(OR(A36="",B36=""),"",IF(IFERROR(IFERROR(INDEX(マスター!$C$6:$C$125,MATCH(B36,マスター!$N$6:$N$125,0)),NA())&amp;"","")=A36,"","マスターの会社と異なります"))</f>
        <v/>
      </c>
      <c r="L36" s="24" t="str">
        <f aca="false">IF(B36="","",IFERROR(INDEX(マスター!$K$6:$K$125,MATCH(B36,マスター!$N$6:$N$125,0)),B36))</f>
        <v/>
      </c>
    </row>
    <row r="37" customFormat="false" ht="15" hidden="false" customHeight="false" outlineLevel="0" collapsed="false">
      <c r="A37" s="25"/>
      <c r="B37" s="25"/>
      <c r="C37" s="20"/>
      <c r="D37" s="29"/>
      <c r="E37" s="29"/>
      <c r="F37" s="25"/>
      <c r="G37" s="20"/>
      <c r="H37" s="20"/>
      <c r="I37" s="29"/>
      <c r="J37" s="24" t="str">
        <f aca="false">IF(OR(B37="",D37=""),"",IF(AND(集計!$C$5&gt;=D37,OR(E37="",集計!$C$5&lt;=E37)),"○",""))</f>
        <v/>
      </c>
      <c r="K37" s="24" t="str">
        <f aca="false">IF(OR(A37="",B37=""),"",IF(IFERROR(IFERROR(INDEX(マスター!$C$6:$C$125,MATCH(B37,マスター!$N$6:$N$125,0)),NA())&amp;"","")=A37,"","マスターの会社と異なります"))</f>
        <v/>
      </c>
      <c r="L37" s="24" t="str">
        <f aca="false">IF(B37="","",IFERROR(INDEX(マスター!$K$6:$K$125,MATCH(B37,マスター!$N$6:$N$125,0)),B37))</f>
        <v/>
      </c>
    </row>
    <row r="38" customFormat="false" ht="15" hidden="false" customHeight="false" outlineLevel="0" collapsed="false">
      <c r="A38" s="25"/>
      <c r="B38" s="25"/>
      <c r="C38" s="20"/>
      <c r="D38" s="29"/>
      <c r="E38" s="29"/>
      <c r="F38" s="25"/>
      <c r="G38" s="20"/>
      <c r="H38" s="20"/>
      <c r="I38" s="29"/>
      <c r="J38" s="24" t="str">
        <f aca="false">IF(OR(B38="",D38=""),"",IF(AND(集計!$C$5&gt;=D38,OR(E38="",集計!$C$5&lt;=E38)),"○",""))</f>
        <v/>
      </c>
      <c r="K38" s="24" t="str">
        <f aca="false">IF(OR(A38="",B38=""),"",IF(IFERROR(IFERROR(INDEX(マスター!$C$6:$C$125,MATCH(B38,マスター!$N$6:$N$125,0)),NA())&amp;"","")=A38,"","マスターの会社と異なります"))</f>
        <v/>
      </c>
      <c r="L38" s="24" t="str">
        <f aca="false">IF(B38="","",IFERROR(INDEX(マスター!$K$6:$K$125,MATCH(B38,マスター!$N$6:$N$125,0)),B38))</f>
        <v/>
      </c>
    </row>
    <row r="39" customFormat="false" ht="15" hidden="false" customHeight="false" outlineLevel="0" collapsed="false">
      <c r="A39" s="25"/>
      <c r="B39" s="25"/>
      <c r="C39" s="20"/>
      <c r="D39" s="29"/>
      <c r="E39" s="29"/>
      <c r="F39" s="25"/>
      <c r="G39" s="20"/>
      <c r="H39" s="20"/>
      <c r="I39" s="29"/>
      <c r="J39" s="24" t="str">
        <f aca="false">IF(OR(B39="",D39=""),"",IF(AND(集計!$C$5&gt;=D39,OR(E39="",集計!$C$5&lt;=E39)),"○",""))</f>
        <v/>
      </c>
      <c r="K39" s="24" t="str">
        <f aca="false">IF(OR(A39="",B39=""),"",IF(IFERROR(IFERROR(INDEX(マスター!$C$6:$C$125,MATCH(B39,マスター!$N$6:$N$125,0)),NA())&amp;"","")=A39,"","マスターの会社と異なります"))</f>
        <v/>
      </c>
      <c r="L39" s="24" t="str">
        <f aca="false">IF(B39="","",IFERROR(INDEX(マスター!$K$6:$K$125,MATCH(B39,マスター!$N$6:$N$125,0)),B39))</f>
        <v/>
      </c>
    </row>
    <row r="40" customFormat="false" ht="15" hidden="false" customHeight="false" outlineLevel="0" collapsed="false">
      <c r="A40" s="25"/>
      <c r="B40" s="25"/>
      <c r="C40" s="20"/>
      <c r="D40" s="29"/>
      <c r="E40" s="29"/>
      <c r="F40" s="25"/>
      <c r="G40" s="20"/>
      <c r="H40" s="20"/>
      <c r="I40" s="29"/>
      <c r="J40" s="24" t="str">
        <f aca="false">IF(OR(B40="",D40=""),"",IF(AND(集計!$C$5&gt;=D40,OR(E40="",集計!$C$5&lt;=E40)),"○",""))</f>
        <v/>
      </c>
      <c r="K40" s="24" t="str">
        <f aca="false">IF(OR(A40="",B40=""),"",IF(IFERROR(IFERROR(INDEX(マスター!$C$6:$C$125,MATCH(B40,マスター!$N$6:$N$125,0)),NA())&amp;"","")=A40,"","マスターの会社と異なります"))</f>
        <v/>
      </c>
      <c r="L40" s="24" t="str">
        <f aca="false">IF(B40="","",IFERROR(INDEX(マスター!$K$6:$K$125,MATCH(B40,マスター!$N$6:$N$125,0)),B40))</f>
        <v/>
      </c>
    </row>
    <row r="41" customFormat="false" ht="15" hidden="false" customHeight="false" outlineLevel="0" collapsed="false">
      <c r="A41" s="25"/>
      <c r="B41" s="25"/>
      <c r="C41" s="20"/>
      <c r="D41" s="29"/>
      <c r="E41" s="29"/>
      <c r="F41" s="25"/>
      <c r="G41" s="20"/>
      <c r="H41" s="20"/>
      <c r="I41" s="29"/>
      <c r="J41" s="24" t="str">
        <f aca="false">IF(OR(B41="",D41=""),"",IF(AND(集計!$C$5&gt;=D41,OR(E41="",集計!$C$5&lt;=E41)),"○",""))</f>
        <v/>
      </c>
      <c r="K41" s="24" t="str">
        <f aca="false">IF(OR(A41="",B41=""),"",IF(IFERROR(IFERROR(INDEX(マスター!$C$6:$C$125,MATCH(B41,マスター!$N$6:$N$125,0)),NA())&amp;"","")=A41,"","マスターの会社と異なります"))</f>
        <v/>
      </c>
      <c r="L41" s="24" t="str">
        <f aca="false">IF(B41="","",IFERROR(INDEX(マスター!$K$6:$K$125,MATCH(B41,マスター!$N$6:$N$125,0)),B41))</f>
        <v/>
      </c>
    </row>
    <row r="42" customFormat="false" ht="15" hidden="false" customHeight="false" outlineLevel="0" collapsed="false">
      <c r="A42" s="25"/>
      <c r="B42" s="25"/>
      <c r="C42" s="20"/>
      <c r="D42" s="29"/>
      <c r="E42" s="29"/>
      <c r="F42" s="25"/>
      <c r="G42" s="20"/>
      <c r="H42" s="20"/>
      <c r="I42" s="29"/>
      <c r="J42" s="24" t="str">
        <f aca="false">IF(OR(B42="",D42=""),"",IF(AND(集計!$C$5&gt;=D42,OR(E42="",集計!$C$5&lt;=E42)),"○",""))</f>
        <v/>
      </c>
      <c r="K42" s="24" t="str">
        <f aca="false">IF(OR(A42="",B42=""),"",IF(IFERROR(IFERROR(INDEX(マスター!$C$6:$C$125,MATCH(B42,マスター!$N$6:$N$125,0)),NA())&amp;"","")=A42,"","マスターの会社と異なります"))</f>
        <v/>
      </c>
      <c r="L42" s="24" t="str">
        <f aca="false">IF(B42="","",IFERROR(INDEX(マスター!$K$6:$K$125,MATCH(B42,マスター!$N$6:$N$125,0)),B42))</f>
        <v/>
      </c>
    </row>
    <row r="43" customFormat="false" ht="15" hidden="false" customHeight="false" outlineLevel="0" collapsed="false">
      <c r="A43" s="25"/>
      <c r="B43" s="25"/>
      <c r="C43" s="20"/>
      <c r="D43" s="29"/>
      <c r="E43" s="29"/>
      <c r="F43" s="25"/>
      <c r="G43" s="20"/>
      <c r="H43" s="20"/>
      <c r="I43" s="29"/>
      <c r="J43" s="24" t="str">
        <f aca="false">IF(OR(B43="",D43=""),"",IF(AND(集計!$C$5&gt;=D43,OR(E43="",集計!$C$5&lt;=E43)),"○",""))</f>
        <v/>
      </c>
      <c r="K43" s="24" t="str">
        <f aca="false">IF(OR(A43="",B43=""),"",IF(IFERROR(IFERROR(INDEX(マスター!$C$6:$C$125,MATCH(B43,マスター!$N$6:$N$125,0)),NA())&amp;"","")=A43,"","マスターの会社と異なります"))</f>
        <v/>
      </c>
      <c r="L43" s="24" t="str">
        <f aca="false">IF(B43="","",IFERROR(INDEX(マスター!$K$6:$K$125,MATCH(B43,マスター!$N$6:$N$125,0)),B43))</f>
        <v/>
      </c>
    </row>
    <row r="44" customFormat="false" ht="15" hidden="false" customHeight="false" outlineLevel="0" collapsed="false">
      <c r="A44" s="25"/>
      <c r="B44" s="25"/>
      <c r="C44" s="20"/>
      <c r="D44" s="29"/>
      <c r="E44" s="29"/>
      <c r="F44" s="25"/>
      <c r="G44" s="20"/>
      <c r="H44" s="20"/>
      <c r="I44" s="29"/>
      <c r="J44" s="24" t="str">
        <f aca="false">IF(OR(B44="",D44=""),"",IF(AND(集計!$C$5&gt;=D44,OR(E44="",集計!$C$5&lt;=E44)),"○",""))</f>
        <v/>
      </c>
      <c r="K44" s="24" t="str">
        <f aca="false">IF(OR(A44="",B44=""),"",IF(IFERROR(IFERROR(INDEX(マスター!$C$6:$C$125,MATCH(B44,マスター!$N$6:$N$125,0)),NA())&amp;"","")=A44,"","マスターの会社と異なります"))</f>
        <v/>
      </c>
      <c r="L44" s="24" t="str">
        <f aca="false">IF(B44="","",IFERROR(INDEX(マスター!$K$6:$K$125,MATCH(B44,マスター!$N$6:$N$125,0)),B44))</f>
        <v/>
      </c>
    </row>
    <row r="45" customFormat="false" ht="15" hidden="false" customHeight="false" outlineLevel="0" collapsed="false">
      <c r="A45" s="25"/>
      <c r="B45" s="25"/>
      <c r="C45" s="20"/>
      <c r="D45" s="29"/>
      <c r="E45" s="29"/>
      <c r="F45" s="25"/>
      <c r="G45" s="20"/>
      <c r="H45" s="20"/>
      <c r="I45" s="29"/>
      <c r="J45" s="24" t="str">
        <f aca="false">IF(OR(B45="",D45=""),"",IF(AND(集計!$C$5&gt;=D45,OR(E45="",集計!$C$5&lt;=E45)),"○",""))</f>
        <v/>
      </c>
      <c r="K45" s="24" t="str">
        <f aca="false">IF(OR(A45="",B45=""),"",IF(IFERROR(IFERROR(INDEX(マスター!$C$6:$C$125,MATCH(B45,マスター!$N$6:$N$125,0)),NA())&amp;"","")=A45,"","マスターの会社と異なります"))</f>
        <v/>
      </c>
      <c r="L45" s="24" t="str">
        <f aca="false">IF(B45="","",IFERROR(INDEX(マスター!$K$6:$K$125,MATCH(B45,マスター!$N$6:$N$125,0)),B45))</f>
        <v/>
      </c>
    </row>
    <row r="46" customFormat="false" ht="15" hidden="false" customHeight="false" outlineLevel="0" collapsed="false">
      <c r="A46" s="25"/>
      <c r="B46" s="25"/>
      <c r="C46" s="20"/>
      <c r="D46" s="29"/>
      <c r="E46" s="29"/>
      <c r="F46" s="25"/>
      <c r="G46" s="20"/>
      <c r="H46" s="20"/>
      <c r="I46" s="29"/>
      <c r="J46" s="24" t="str">
        <f aca="false">IF(OR(B46="",D46=""),"",IF(AND(集計!$C$5&gt;=D46,OR(E46="",集計!$C$5&lt;=E46)),"○",""))</f>
        <v/>
      </c>
      <c r="K46" s="24" t="str">
        <f aca="false">IF(OR(A46="",B46=""),"",IF(IFERROR(IFERROR(INDEX(マスター!$C$6:$C$125,MATCH(B46,マスター!$N$6:$N$125,0)),NA())&amp;"","")=A46,"","マスターの会社と異なります"))</f>
        <v/>
      </c>
      <c r="L46" s="24" t="str">
        <f aca="false">IF(B46="","",IFERROR(INDEX(マスター!$K$6:$K$125,MATCH(B46,マスター!$N$6:$N$125,0)),B46))</f>
        <v/>
      </c>
    </row>
    <row r="47" customFormat="false" ht="15" hidden="false" customHeight="false" outlineLevel="0" collapsed="false">
      <c r="A47" s="25"/>
      <c r="B47" s="25"/>
      <c r="C47" s="20"/>
      <c r="D47" s="29"/>
      <c r="E47" s="29"/>
      <c r="F47" s="25"/>
      <c r="G47" s="20"/>
      <c r="H47" s="20"/>
      <c r="I47" s="29"/>
      <c r="J47" s="24" t="str">
        <f aca="false">IF(OR(B47="",D47=""),"",IF(AND(集計!$C$5&gt;=D47,OR(E47="",集計!$C$5&lt;=E47)),"○",""))</f>
        <v/>
      </c>
      <c r="K47" s="24" t="str">
        <f aca="false">IF(OR(A47="",B47=""),"",IF(IFERROR(IFERROR(INDEX(マスター!$C$6:$C$125,MATCH(B47,マスター!$N$6:$N$125,0)),NA())&amp;"","")=A47,"","マスターの会社と異なります"))</f>
        <v/>
      </c>
      <c r="L47" s="24" t="str">
        <f aca="false">IF(B47="","",IFERROR(INDEX(マスター!$K$6:$K$125,MATCH(B47,マスター!$N$6:$N$125,0)),B47))</f>
        <v/>
      </c>
    </row>
    <row r="48" customFormat="false" ht="15" hidden="false" customHeight="false" outlineLevel="0" collapsed="false">
      <c r="A48" s="25"/>
      <c r="B48" s="25"/>
      <c r="C48" s="20"/>
      <c r="D48" s="29"/>
      <c r="E48" s="29"/>
      <c r="F48" s="25"/>
      <c r="G48" s="20"/>
      <c r="H48" s="20"/>
      <c r="I48" s="29"/>
      <c r="J48" s="24" t="str">
        <f aca="false">IF(OR(B48="",D48=""),"",IF(AND(集計!$C$5&gt;=D48,OR(E48="",集計!$C$5&lt;=E48)),"○",""))</f>
        <v/>
      </c>
      <c r="K48" s="24" t="str">
        <f aca="false">IF(OR(A48="",B48=""),"",IF(IFERROR(IFERROR(INDEX(マスター!$C$6:$C$125,MATCH(B48,マスター!$N$6:$N$125,0)),NA())&amp;"","")=A48,"","マスターの会社と異なります"))</f>
        <v/>
      </c>
      <c r="L48" s="24" t="str">
        <f aca="false">IF(B48="","",IFERROR(INDEX(マスター!$K$6:$K$125,MATCH(B48,マスター!$N$6:$N$125,0)),B48))</f>
        <v/>
      </c>
    </row>
    <row r="49" customFormat="false" ht="15" hidden="false" customHeight="false" outlineLevel="0" collapsed="false">
      <c r="A49" s="25"/>
      <c r="B49" s="25"/>
      <c r="C49" s="20"/>
      <c r="D49" s="29"/>
      <c r="E49" s="29"/>
      <c r="F49" s="25"/>
      <c r="G49" s="20"/>
      <c r="H49" s="20"/>
      <c r="I49" s="29"/>
      <c r="J49" s="24" t="str">
        <f aca="false">IF(OR(B49="",D49=""),"",IF(AND(集計!$C$5&gt;=D49,OR(E49="",集計!$C$5&lt;=E49)),"○",""))</f>
        <v/>
      </c>
      <c r="K49" s="24" t="str">
        <f aca="false">IF(OR(A49="",B49=""),"",IF(IFERROR(IFERROR(INDEX(マスター!$C$6:$C$125,MATCH(B49,マスター!$N$6:$N$125,0)),NA())&amp;"","")=A49,"","マスターの会社と異なります"))</f>
        <v/>
      </c>
      <c r="L49" s="24" t="str">
        <f aca="false">IF(B49="","",IFERROR(INDEX(マスター!$K$6:$K$125,MATCH(B49,マスター!$N$6:$N$125,0)),B49))</f>
        <v/>
      </c>
    </row>
    <row r="50" customFormat="false" ht="15" hidden="false" customHeight="false" outlineLevel="0" collapsed="false">
      <c r="A50" s="25"/>
      <c r="B50" s="25"/>
      <c r="C50" s="20"/>
      <c r="D50" s="29"/>
      <c r="E50" s="29"/>
      <c r="F50" s="25"/>
      <c r="G50" s="20"/>
      <c r="H50" s="20"/>
      <c r="I50" s="29"/>
      <c r="J50" s="24" t="str">
        <f aca="false">IF(OR(B50="",D50=""),"",IF(AND(集計!$C$5&gt;=D50,OR(E50="",集計!$C$5&lt;=E50)),"○",""))</f>
        <v/>
      </c>
      <c r="K50" s="24" t="str">
        <f aca="false">IF(OR(A50="",B50=""),"",IF(IFERROR(IFERROR(INDEX(マスター!$C$6:$C$125,MATCH(B50,マスター!$N$6:$N$125,0)),NA())&amp;"","")=A50,"","マスターの会社と異なります"))</f>
        <v/>
      </c>
      <c r="L50" s="24" t="str">
        <f aca="false">IF(B50="","",IFERROR(INDEX(マスター!$K$6:$K$125,MATCH(B50,マスター!$N$6:$N$125,0)),B50))</f>
        <v/>
      </c>
    </row>
    <row r="51" customFormat="false" ht="15" hidden="false" customHeight="false" outlineLevel="0" collapsed="false">
      <c r="A51" s="25"/>
      <c r="B51" s="25"/>
      <c r="C51" s="20"/>
      <c r="D51" s="29"/>
      <c r="E51" s="29"/>
      <c r="F51" s="25"/>
      <c r="G51" s="20"/>
      <c r="H51" s="20"/>
      <c r="I51" s="29"/>
      <c r="J51" s="24" t="str">
        <f aca="false">IF(OR(B51="",D51=""),"",IF(AND(集計!$C$5&gt;=D51,OR(E51="",集計!$C$5&lt;=E51)),"○",""))</f>
        <v/>
      </c>
      <c r="K51" s="24" t="str">
        <f aca="false">IF(OR(A51="",B51=""),"",IF(IFERROR(IFERROR(INDEX(マスター!$C$6:$C$125,MATCH(B51,マスター!$N$6:$N$125,0)),NA())&amp;"","")=A51,"","マスターの会社と異なります"))</f>
        <v/>
      </c>
      <c r="L51" s="24" t="str">
        <f aca="false">IF(B51="","",IFERROR(INDEX(マスター!$K$6:$K$125,MATCH(B51,マスター!$N$6:$N$125,0)),B51))</f>
        <v/>
      </c>
    </row>
    <row r="52" customFormat="false" ht="15" hidden="false" customHeight="false" outlineLevel="0" collapsed="false">
      <c r="A52" s="25"/>
      <c r="B52" s="25"/>
      <c r="C52" s="20"/>
      <c r="D52" s="29"/>
      <c r="E52" s="29"/>
      <c r="F52" s="25"/>
      <c r="G52" s="20"/>
      <c r="H52" s="20"/>
      <c r="I52" s="29"/>
      <c r="J52" s="24" t="str">
        <f aca="false">IF(OR(B52="",D52=""),"",IF(AND(集計!$C$5&gt;=D52,OR(E52="",集計!$C$5&lt;=E52)),"○",""))</f>
        <v/>
      </c>
      <c r="K52" s="24" t="str">
        <f aca="false">IF(OR(A52="",B52=""),"",IF(IFERROR(IFERROR(INDEX(マスター!$C$6:$C$125,MATCH(B52,マスター!$N$6:$N$125,0)),NA())&amp;"","")=A52,"","マスターの会社と異なります"))</f>
        <v/>
      </c>
      <c r="L52" s="24" t="str">
        <f aca="false">IF(B52="","",IFERROR(INDEX(マスター!$K$6:$K$125,MATCH(B52,マスター!$N$6:$N$125,0)),B52))</f>
        <v/>
      </c>
    </row>
    <row r="53" customFormat="false" ht="15" hidden="false" customHeight="false" outlineLevel="0" collapsed="false">
      <c r="A53" s="25"/>
      <c r="B53" s="25"/>
      <c r="C53" s="20"/>
      <c r="D53" s="29"/>
      <c r="E53" s="29"/>
      <c r="F53" s="25"/>
      <c r="G53" s="20"/>
      <c r="H53" s="20"/>
      <c r="I53" s="29"/>
      <c r="J53" s="24" t="str">
        <f aca="false">IF(OR(B53="",D53=""),"",IF(AND(集計!$C$5&gt;=D53,OR(E53="",集計!$C$5&lt;=E53)),"○",""))</f>
        <v/>
      </c>
      <c r="K53" s="24" t="str">
        <f aca="false">IF(OR(A53="",B53=""),"",IF(IFERROR(IFERROR(INDEX(マスター!$C$6:$C$125,MATCH(B53,マスター!$N$6:$N$125,0)),NA())&amp;"","")=A53,"","マスターの会社と異なります"))</f>
        <v/>
      </c>
      <c r="L53" s="24" t="str">
        <f aca="false">IF(B53="","",IFERROR(INDEX(マスター!$K$6:$K$125,MATCH(B53,マスター!$N$6:$N$125,0)),B53))</f>
        <v/>
      </c>
    </row>
    <row r="54" customFormat="false" ht="15" hidden="false" customHeight="false" outlineLevel="0" collapsed="false">
      <c r="A54" s="25"/>
      <c r="B54" s="25"/>
      <c r="C54" s="20"/>
      <c r="D54" s="29"/>
      <c r="E54" s="29"/>
      <c r="F54" s="25"/>
      <c r="G54" s="20"/>
      <c r="H54" s="20"/>
      <c r="I54" s="29"/>
      <c r="J54" s="24" t="str">
        <f aca="false">IF(OR(B54="",D54=""),"",IF(AND(集計!$C$5&gt;=D54,OR(E54="",集計!$C$5&lt;=E54)),"○",""))</f>
        <v/>
      </c>
      <c r="K54" s="24" t="str">
        <f aca="false">IF(OR(A54="",B54=""),"",IF(IFERROR(IFERROR(INDEX(マスター!$C$6:$C$125,MATCH(B54,マスター!$N$6:$N$125,0)),NA())&amp;"","")=A54,"","マスターの会社と異なります"))</f>
        <v/>
      </c>
      <c r="L54" s="24" t="str">
        <f aca="false">IF(B54="","",IFERROR(INDEX(マスター!$K$6:$K$125,MATCH(B54,マスター!$N$6:$N$125,0)),B54))</f>
        <v/>
      </c>
    </row>
    <row r="55" customFormat="false" ht="15" hidden="false" customHeight="false" outlineLevel="0" collapsed="false">
      <c r="A55" s="25"/>
      <c r="B55" s="25"/>
      <c r="C55" s="20"/>
      <c r="D55" s="29"/>
      <c r="E55" s="29"/>
      <c r="F55" s="25"/>
      <c r="G55" s="20"/>
      <c r="H55" s="20"/>
      <c r="I55" s="29"/>
      <c r="J55" s="24" t="str">
        <f aca="false">IF(OR(B55="",D55=""),"",IF(AND(集計!$C$5&gt;=D55,OR(E55="",集計!$C$5&lt;=E55)),"○",""))</f>
        <v/>
      </c>
      <c r="K55" s="24" t="str">
        <f aca="false">IF(OR(A55="",B55=""),"",IF(IFERROR(IFERROR(INDEX(マスター!$C$6:$C$125,MATCH(B55,マスター!$N$6:$N$125,0)),NA())&amp;"","")=A55,"","マスターの会社と異なります"))</f>
        <v/>
      </c>
      <c r="L55" s="24" t="str">
        <f aca="false">IF(B55="","",IFERROR(INDEX(マスター!$K$6:$K$125,MATCH(B55,マスター!$N$6:$N$125,0)),B55))</f>
        <v/>
      </c>
    </row>
  </sheetData>
  <dataValidations count="3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可・不可を選びます。分からない場合は空欄（未確認）" showDropDown="false" showErrorMessage="false" showInputMessage="true" sqref="F6:F55" type="list">
      <formula1>選択_対応可否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9" min="7" style="0" width="8"/>
    <col collapsed="false" customWidth="true" hidden="false" outlineLevel="0" max="11" min="10" style="0" width="11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6" min="16" style="0" width="16"/>
    <col collapsed="false" customWidth="true" hidden="false" outlineLevel="0" max="17" min="17" style="0" width="9"/>
    <col collapsed="false" customWidth="true" hidden="false" outlineLevel="0" max="18" min="18" style="0" width="34"/>
    <col collapsed="false" customWidth="true" hidden="false" outlineLevel="0" max="19" min="19" style="0" width="18"/>
  </cols>
  <sheetData>
    <row r="1" customFormat="false" ht="17.35" hidden="false" customHeight="false" outlineLevel="0" collapsed="false">
      <c r="A1" s="10" t="s">
        <v>227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15" hidden="false" customHeight="false" outlineLevel="0" collapsed="false">
      <c r="A2" s="12" t="s">
        <v>228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5" hidden="false" customHeight="false" outlineLevel="0" collapsed="false">
      <c r="A3" s="13" t="s">
        <v>229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customFormat="false" ht="15" hidden="false" customHeight="false" outlineLevel="0" collapsed="false">
      <c r="P4" s="6" t="s">
        <v>230</v>
      </c>
    </row>
    <row r="5" customFormat="false" ht="60" hidden="false" customHeight="true" outlineLevel="0" collapsed="false">
      <c r="A5" s="23" t="s">
        <v>218</v>
      </c>
      <c r="B5" s="23" t="s">
        <v>231</v>
      </c>
      <c r="C5" s="23" t="s">
        <v>232</v>
      </c>
      <c r="D5" s="23" t="s">
        <v>233</v>
      </c>
      <c r="E5" s="23" t="s">
        <v>234</v>
      </c>
      <c r="F5" s="23" t="s">
        <v>235</v>
      </c>
      <c r="G5" s="23" t="s">
        <v>236</v>
      </c>
      <c r="H5" s="23" t="s">
        <v>237</v>
      </c>
      <c r="I5" s="14" t="s">
        <v>238</v>
      </c>
      <c r="J5" s="23" t="s">
        <v>239</v>
      </c>
      <c r="K5" s="23" t="s">
        <v>240</v>
      </c>
      <c r="L5" s="23" t="s">
        <v>157</v>
      </c>
      <c r="M5" s="23" t="s">
        <v>112</v>
      </c>
      <c r="N5" s="23" t="s">
        <v>165</v>
      </c>
      <c r="P5" s="30" t="s">
        <v>241</v>
      </c>
      <c r="Q5" s="30" t="s">
        <v>242</v>
      </c>
      <c r="R5" s="30" t="s">
        <v>243</v>
      </c>
      <c r="S5" s="30" t="s">
        <v>244</v>
      </c>
    </row>
    <row r="6" customFormat="false" ht="15" hidden="false" customHeight="false" outlineLevel="0" collapsed="false">
      <c r="A6" s="25"/>
      <c r="B6" s="25"/>
      <c r="C6" s="20"/>
      <c r="D6" s="25"/>
      <c r="E6" s="25"/>
      <c r="F6" s="20"/>
      <c r="G6" s="20"/>
      <c r="H6" s="20"/>
      <c r="I6" s="24" t="str">
        <f aca="false">IF(COUNT(F6:H6)=0,"",SUM(F6:H6))</f>
        <v/>
      </c>
      <c r="J6" s="29"/>
      <c r="K6" s="29"/>
      <c r="L6" s="20"/>
      <c r="M6" s="20"/>
      <c r="N6" s="25"/>
      <c r="P6" s="31" t="s">
        <v>245</v>
      </c>
      <c r="Q6" s="31" t="s">
        <v>246</v>
      </c>
      <c r="R6" s="32" t="s">
        <v>247</v>
      </c>
      <c r="S6" s="32" t="s">
        <v>248</v>
      </c>
    </row>
    <row r="7" customFormat="false" ht="15" hidden="false" customHeight="false" outlineLevel="0" collapsed="false">
      <c r="A7" s="25"/>
      <c r="B7" s="25"/>
      <c r="C7" s="20"/>
      <c r="D7" s="25"/>
      <c r="E7" s="25"/>
      <c r="F7" s="20"/>
      <c r="G7" s="20"/>
      <c r="H7" s="20"/>
      <c r="I7" s="24" t="str">
        <f aca="false">IF(COUNT(F7:H7)=0,"",SUM(F7:H7))</f>
        <v/>
      </c>
      <c r="J7" s="29"/>
      <c r="K7" s="29"/>
      <c r="L7" s="20"/>
      <c r="M7" s="20"/>
      <c r="N7" s="25"/>
      <c r="P7" s="32" t="s">
        <v>249</v>
      </c>
      <c r="Q7" s="31" t="s">
        <v>250</v>
      </c>
      <c r="R7" s="32" t="s">
        <v>251</v>
      </c>
      <c r="S7" s="32" t="s">
        <v>252</v>
      </c>
    </row>
    <row r="8" customFormat="false" ht="26.85" hidden="false" customHeight="false" outlineLevel="0" collapsed="false">
      <c r="A8" s="25"/>
      <c r="B8" s="25"/>
      <c r="C8" s="20"/>
      <c r="D8" s="25"/>
      <c r="E8" s="25"/>
      <c r="F8" s="20"/>
      <c r="G8" s="20"/>
      <c r="H8" s="20"/>
      <c r="I8" s="24" t="str">
        <f aca="false">IF(COUNT(F8:H8)=0,"",SUM(F8:H8))</f>
        <v/>
      </c>
      <c r="J8" s="29"/>
      <c r="K8" s="29"/>
      <c r="L8" s="20"/>
      <c r="M8" s="20"/>
      <c r="N8" s="25"/>
      <c r="P8" s="32" t="s">
        <v>253</v>
      </c>
      <c r="Q8" s="31" t="s">
        <v>254</v>
      </c>
      <c r="R8" s="32" t="s">
        <v>255</v>
      </c>
      <c r="S8" s="32" t="s">
        <v>256</v>
      </c>
    </row>
    <row r="9" customFormat="false" ht="15" hidden="false" customHeight="false" outlineLevel="0" collapsed="false">
      <c r="A9" s="25"/>
      <c r="B9" s="25"/>
      <c r="C9" s="20"/>
      <c r="D9" s="25"/>
      <c r="E9" s="25"/>
      <c r="F9" s="20"/>
      <c r="G9" s="20"/>
      <c r="H9" s="20"/>
      <c r="I9" s="24" t="str">
        <f aca="false">IF(COUNT(F9:H9)=0,"",SUM(F9:H9))</f>
        <v/>
      </c>
      <c r="J9" s="29"/>
      <c r="K9" s="29"/>
      <c r="L9" s="20"/>
      <c r="M9" s="20"/>
      <c r="N9" s="25"/>
      <c r="P9" s="32" t="s">
        <v>257</v>
      </c>
      <c r="Q9" s="31" t="s">
        <v>258</v>
      </c>
      <c r="R9" s="32" t="s">
        <v>259</v>
      </c>
      <c r="S9" s="32" t="s">
        <v>260</v>
      </c>
    </row>
    <row r="10" customFormat="false" ht="15" hidden="false" customHeight="false" outlineLevel="0" collapsed="false">
      <c r="A10" s="25"/>
      <c r="B10" s="25"/>
      <c r="C10" s="20"/>
      <c r="D10" s="25"/>
      <c r="E10" s="25"/>
      <c r="F10" s="20"/>
      <c r="G10" s="20"/>
      <c r="H10" s="20"/>
      <c r="I10" s="24" t="str">
        <f aca="false">IF(COUNT(F10:H10)=0,"",SUM(F10:H10))</f>
        <v/>
      </c>
      <c r="J10" s="29"/>
      <c r="K10" s="29"/>
      <c r="L10" s="20"/>
      <c r="M10" s="20"/>
      <c r="N10" s="25"/>
      <c r="P10" s="32" t="s">
        <v>261</v>
      </c>
      <c r="Q10" s="31" t="s">
        <v>262</v>
      </c>
      <c r="R10" s="32" t="s">
        <v>263</v>
      </c>
      <c r="S10" s="32" t="s">
        <v>264</v>
      </c>
    </row>
    <row r="11" customFormat="false" ht="26.85" hidden="false" customHeight="false" outlineLevel="0" collapsed="false">
      <c r="A11" s="25"/>
      <c r="B11" s="25"/>
      <c r="C11" s="20"/>
      <c r="D11" s="25"/>
      <c r="E11" s="25"/>
      <c r="F11" s="20"/>
      <c r="G11" s="20"/>
      <c r="H11" s="20"/>
      <c r="I11" s="24" t="str">
        <f aca="false">IF(COUNT(F11:H11)=0,"",SUM(F11:H11))</f>
        <v/>
      </c>
      <c r="J11" s="29"/>
      <c r="K11" s="29"/>
      <c r="L11" s="20"/>
      <c r="M11" s="20"/>
      <c r="N11" s="25"/>
      <c r="P11" s="32" t="s">
        <v>265</v>
      </c>
      <c r="Q11" s="31" t="s">
        <v>266</v>
      </c>
      <c r="R11" s="32" t="s">
        <v>267</v>
      </c>
      <c r="S11" s="32" t="s">
        <v>268</v>
      </c>
    </row>
    <row r="12" customFormat="false" ht="15" hidden="false" customHeight="false" outlineLevel="0" collapsed="false">
      <c r="A12" s="25"/>
      <c r="B12" s="25"/>
      <c r="C12" s="20"/>
      <c r="D12" s="25"/>
      <c r="E12" s="25"/>
      <c r="F12" s="20"/>
      <c r="G12" s="20"/>
      <c r="H12" s="20"/>
      <c r="I12" s="24" t="str">
        <f aca="false">IF(COUNT(F12:H12)=0,"",SUM(F12:H12))</f>
        <v/>
      </c>
      <c r="J12" s="29"/>
      <c r="K12" s="29"/>
      <c r="L12" s="20"/>
      <c r="M12" s="20"/>
      <c r="N12" s="25"/>
    </row>
    <row r="13" customFormat="false" ht="15" hidden="false" customHeight="false" outlineLevel="0" collapsed="false">
      <c r="A13" s="25"/>
      <c r="B13" s="25"/>
      <c r="C13" s="20"/>
      <c r="D13" s="25"/>
      <c r="E13" s="25"/>
      <c r="F13" s="20"/>
      <c r="G13" s="20"/>
      <c r="H13" s="20"/>
      <c r="I13" s="24" t="str">
        <f aca="false">IF(COUNT(F13:H13)=0,"",SUM(F13:H13))</f>
        <v/>
      </c>
      <c r="J13" s="29"/>
      <c r="K13" s="29"/>
      <c r="L13" s="20"/>
      <c r="M13" s="20"/>
      <c r="N13" s="25"/>
    </row>
    <row r="14" customFormat="false" ht="15" hidden="false" customHeight="false" outlineLevel="0" collapsed="false">
      <c r="A14" s="25"/>
      <c r="B14" s="25"/>
      <c r="C14" s="20"/>
      <c r="D14" s="25"/>
      <c r="E14" s="25"/>
      <c r="F14" s="20"/>
      <c r="G14" s="20"/>
      <c r="H14" s="20"/>
      <c r="I14" s="24" t="str">
        <f aca="false">IF(COUNT(F14:H14)=0,"",SUM(F14:H14))</f>
        <v/>
      </c>
      <c r="J14" s="29"/>
      <c r="K14" s="29"/>
      <c r="L14" s="20"/>
      <c r="M14" s="20"/>
      <c r="N14" s="25"/>
    </row>
    <row r="15" customFormat="false" ht="15" hidden="false" customHeight="false" outlineLevel="0" collapsed="false">
      <c r="A15" s="25"/>
      <c r="B15" s="25"/>
      <c r="C15" s="20"/>
      <c r="D15" s="25"/>
      <c r="E15" s="25"/>
      <c r="F15" s="20"/>
      <c r="G15" s="20"/>
      <c r="H15" s="20"/>
      <c r="I15" s="24" t="str">
        <f aca="false">IF(COUNT(F15:H15)=0,"",SUM(F15:H15))</f>
        <v/>
      </c>
      <c r="J15" s="29"/>
      <c r="K15" s="29"/>
      <c r="L15" s="20"/>
      <c r="M15" s="20"/>
      <c r="N15" s="25"/>
    </row>
    <row r="16" customFormat="false" ht="15" hidden="false" customHeight="false" outlineLevel="0" collapsed="false">
      <c r="A16" s="25"/>
      <c r="B16" s="25"/>
      <c r="C16" s="20"/>
      <c r="D16" s="25"/>
      <c r="E16" s="25"/>
      <c r="F16" s="20"/>
      <c r="G16" s="20"/>
      <c r="H16" s="20"/>
      <c r="I16" s="24" t="str">
        <f aca="false">IF(COUNT(F16:H16)=0,"",SUM(F16:H16))</f>
        <v/>
      </c>
      <c r="J16" s="29"/>
      <c r="K16" s="29"/>
      <c r="L16" s="20"/>
      <c r="M16" s="20"/>
      <c r="N16" s="25"/>
    </row>
    <row r="17" customFormat="false" ht="15" hidden="false" customHeight="false" outlineLevel="0" collapsed="false">
      <c r="A17" s="25"/>
      <c r="B17" s="25"/>
      <c r="C17" s="20"/>
      <c r="D17" s="25"/>
      <c r="E17" s="25"/>
      <c r="F17" s="20"/>
      <c r="G17" s="20"/>
      <c r="H17" s="20"/>
      <c r="I17" s="24" t="str">
        <f aca="false">IF(COUNT(F17:H17)=0,"",SUM(F17:H17))</f>
        <v/>
      </c>
      <c r="J17" s="29"/>
      <c r="K17" s="29"/>
      <c r="L17" s="20"/>
      <c r="M17" s="20"/>
      <c r="N17" s="25"/>
    </row>
    <row r="18" customFormat="false" ht="15" hidden="false" customHeight="false" outlineLevel="0" collapsed="false">
      <c r="A18" s="25"/>
      <c r="B18" s="25"/>
      <c r="C18" s="20"/>
      <c r="D18" s="25"/>
      <c r="E18" s="25"/>
      <c r="F18" s="20"/>
      <c r="G18" s="20"/>
      <c r="H18" s="20"/>
      <c r="I18" s="24" t="str">
        <f aca="false">IF(COUNT(F18:H18)=0,"",SUM(F18:H18))</f>
        <v/>
      </c>
      <c r="J18" s="29"/>
      <c r="K18" s="29"/>
      <c r="L18" s="20"/>
      <c r="M18" s="20"/>
      <c r="N18" s="25"/>
    </row>
    <row r="19" customFormat="false" ht="15" hidden="false" customHeight="false" outlineLevel="0" collapsed="false">
      <c r="A19" s="25"/>
      <c r="B19" s="25"/>
      <c r="C19" s="20"/>
      <c r="D19" s="25"/>
      <c r="E19" s="25"/>
      <c r="F19" s="20"/>
      <c r="G19" s="20"/>
      <c r="H19" s="20"/>
      <c r="I19" s="24" t="str">
        <f aca="false">IF(COUNT(F19:H19)=0,"",SUM(F19:H19))</f>
        <v/>
      </c>
      <c r="J19" s="29"/>
      <c r="K19" s="29"/>
      <c r="L19" s="20"/>
      <c r="M19" s="20"/>
      <c r="N19" s="25"/>
    </row>
    <row r="20" customFormat="false" ht="15" hidden="false" customHeight="false" outlineLevel="0" collapsed="false">
      <c r="A20" s="25"/>
      <c r="B20" s="25"/>
      <c r="C20" s="20"/>
      <c r="D20" s="25"/>
      <c r="E20" s="25"/>
      <c r="F20" s="20"/>
      <c r="G20" s="20"/>
      <c r="H20" s="20"/>
      <c r="I20" s="24" t="str">
        <f aca="false">IF(COUNT(F20:H20)=0,"",SUM(F20:H20))</f>
        <v/>
      </c>
      <c r="J20" s="29"/>
      <c r="K20" s="29"/>
      <c r="L20" s="20"/>
      <c r="M20" s="20"/>
      <c r="N20" s="25"/>
    </row>
    <row r="21" customFormat="false" ht="15" hidden="false" customHeight="false" outlineLevel="0" collapsed="false">
      <c r="A21" s="25"/>
      <c r="B21" s="25"/>
      <c r="C21" s="20"/>
      <c r="D21" s="25"/>
      <c r="E21" s="25"/>
      <c r="F21" s="20"/>
      <c r="G21" s="20"/>
      <c r="H21" s="20"/>
      <c r="I21" s="24" t="str">
        <f aca="false">IF(COUNT(F21:H21)=0,"",SUM(F21:H21))</f>
        <v/>
      </c>
      <c r="J21" s="29"/>
      <c r="K21" s="29"/>
      <c r="L21" s="20"/>
      <c r="M21" s="20"/>
      <c r="N21" s="25"/>
    </row>
    <row r="22" customFormat="false" ht="15" hidden="false" customHeight="false" outlineLevel="0" collapsed="false">
      <c r="A22" s="25"/>
      <c r="B22" s="25"/>
      <c r="C22" s="20"/>
      <c r="D22" s="25"/>
      <c r="E22" s="25"/>
      <c r="F22" s="20"/>
      <c r="G22" s="20"/>
      <c r="H22" s="20"/>
      <c r="I22" s="24" t="str">
        <f aca="false">IF(COUNT(F22:H22)=0,"",SUM(F22:H22))</f>
        <v/>
      </c>
      <c r="J22" s="29"/>
      <c r="K22" s="29"/>
      <c r="L22" s="20"/>
      <c r="M22" s="20"/>
      <c r="N22" s="25"/>
    </row>
    <row r="23" customFormat="false" ht="15" hidden="false" customHeight="false" outlineLevel="0" collapsed="false">
      <c r="A23" s="25"/>
      <c r="B23" s="25"/>
      <c r="C23" s="20"/>
      <c r="D23" s="25"/>
      <c r="E23" s="25"/>
      <c r="F23" s="20"/>
      <c r="G23" s="20"/>
      <c r="H23" s="20"/>
      <c r="I23" s="24" t="str">
        <f aca="false">IF(COUNT(F23:H23)=0,"",SUM(F23:H23))</f>
        <v/>
      </c>
      <c r="J23" s="29"/>
      <c r="K23" s="29"/>
      <c r="L23" s="20"/>
      <c r="M23" s="20"/>
      <c r="N23" s="25"/>
    </row>
    <row r="24" customFormat="false" ht="15" hidden="false" customHeight="false" outlineLevel="0" collapsed="false">
      <c r="A24" s="25"/>
      <c r="B24" s="25"/>
      <c r="C24" s="20"/>
      <c r="D24" s="25"/>
      <c r="E24" s="25"/>
      <c r="F24" s="20"/>
      <c r="G24" s="20"/>
      <c r="H24" s="20"/>
      <c r="I24" s="24" t="str">
        <f aca="false">IF(COUNT(F24:H24)=0,"",SUM(F24:H24))</f>
        <v/>
      </c>
      <c r="J24" s="29"/>
      <c r="K24" s="29"/>
      <c r="L24" s="20"/>
      <c r="M24" s="20"/>
      <c r="N24" s="25"/>
    </row>
    <row r="25" customFormat="false" ht="15" hidden="false" customHeight="false" outlineLevel="0" collapsed="false">
      <c r="A25" s="25"/>
      <c r="B25" s="25"/>
      <c r="C25" s="20"/>
      <c r="D25" s="25"/>
      <c r="E25" s="25"/>
      <c r="F25" s="20"/>
      <c r="G25" s="20"/>
      <c r="H25" s="20"/>
      <c r="I25" s="24" t="str">
        <f aca="false">IF(COUNT(F25:H25)=0,"",SUM(F25:H25))</f>
        <v/>
      </c>
      <c r="J25" s="29"/>
      <c r="K25" s="29"/>
      <c r="L25" s="20"/>
      <c r="M25" s="20"/>
      <c r="N25" s="25"/>
    </row>
    <row r="26" customFormat="false" ht="15" hidden="false" customHeight="false" outlineLevel="0" collapsed="false">
      <c r="A26" s="25"/>
      <c r="B26" s="25"/>
      <c r="C26" s="20"/>
      <c r="D26" s="25"/>
      <c r="E26" s="25"/>
      <c r="F26" s="20"/>
      <c r="G26" s="20"/>
      <c r="H26" s="20"/>
      <c r="I26" s="24" t="str">
        <f aca="false">IF(COUNT(F26:H26)=0,"",SUM(F26:H26))</f>
        <v/>
      </c>
      <c r="J26" s="29"/>
      <c r="K26" s="29"/>
      <c r="L26" s="20"/>
      <c r="M26" s="20"/>
      <c r="N26" s="25"/>
    </row>
    <row r="27" customFormat="false" ht="15" hidden="false" customHeight="false" outlineLevel="0" collapsed="false">
      <c r="A27" s="25"/>
      <c r="B27" s="25"/>
      <c r="C27" s="20"/>
      <c r="D27" s="25"/>
      <c r="E27" s="25"/>
      <c r="F27" s="20"/>
      <c r="G27" s="20"/>
      <c r="H27" s="20"/>
      <c r="I27" s="24" t="str">
        <f aca="false">IF(COUNT(F27:H27)=0,"",SUM(F27:H27))</f>
        <v/>
      </c>
      <c r="J27" s="29"/>
      <c r="K27" s="29"/>
      <c r="L27" s="20"/>
      <c r="M27" s="20"/>
      <c r="N27" s="25"/>
    </row>
    <row r="28" customFormat="false" ht="15" hidden="false" customHeight="false" outlineLevel="0" collapsed="false">
      <c r="A28" s="25"/>
      <c r="B28" s="25"/>
      <c r="C28" s="20"/>
      <c r="D28" s="25"/>
      <c r="E28" s="25"/>
      <c r="F28" s="20"/>
      <c r="G28" s="20"/>
      <c r="H28" s="20"/>
      <c r="I28" s="24" t="str">
        <f aca="false">IF(COUNT(F28:H28)=0,"",SUM(F28:H28))</f>
        <v/>
      </c>
      <c r="J28" s="29"/>
      <c r="K28" s="29"/>
      <c r="L28" s="20"/>
      <c r="M28" s="20"/>
      <c r="N28" s="25"/>
    </row>
    <row r="29" customFormat="false" ht="15" hidden="false" customHeight="false" outlineLevel="0" collapsed="false">
      <c r="A29" s="25"/>
      <c r="B29" s="25"/>
      <c r="C29" s="20"/>
      <c r="D29" s="25"/>
      <c r="E29" s="25"/>
      <c r="F29" s="20"/>
      <c r="G29" s="20"/>
      <c r="H29" s="20"/>
      <c r="I29" s="24" t="str">
        <f aca="false">IF(COUNT(F29:H29)=0,"",SUM(F29:H29))</f>
        <v/>
      </c>
      <c r="J29" s="29"/>
      <c r="K29" s="29"/>
      <c r="L29" s="20"/>
      <c r="M29" s="20"/>
      <c r="N29" s="25"/>
    </row>
    <row r="30" customFormat="false" ht="15" hidden="false" customHeight="false" outlineLevel="0" collapsed="false">
      <c r="A30" s="25"/>
      <c r="B30" s="25"/>
      <c r="C30" s="20"/>
      <c r="D30" s="25"/>
      <c r="E30" s="25"/>
      <c r="F30" s="20"/>
      <c r="G30" s="20"/>
      <c r="H30" s="20"/>
      <c r="I30" s="24" t="str">
        <f aca="false">IF(COUNT(F30:H30)=0,"",SUM(F30:H30))</f>
        <v/>
      </c>
      <c r="J30" s="29"/>
      <c r="K30" s="29"/>
      <c r="L30" s="20"/>
      <c r="M30" s="20"/>
      <c r="N30" s="25"/>
    </row>
    <row r="31" customFormat="false" ht="15" hidden="false" customHeight="false" outlineLevel="0" collapsed="false">
      <c r="A31" s="25"/>
      <c r="B31" s="25"/>
      <c r="C31" s="20"/>
      <c r="D31" s="25"/>
      <c r="E31" s="25"/>
      <c r="F31" s="20"/>
      <c r="G31" s="20"/>
      <c r="H31" s="20"/>
      <c r="I31" s="24" t="str">
        <f aca="false">IF(COUNT(F31:H31)=0,"",SUM(F31:H31))</f>
        <v/>
      </c>
      <c r="J31" s="29"/>
      <c r="K31" s="29"/>
      <c r="L31" s="20"/>
      <c r="M31" s="20"/>
      <c r="N31" s="25"/>
    </row>
    <row r="32" customFormat="false" ht="15" hidden="false" customHeight="false" outlineLevel="0" collapsed="false">
      <c r="A32" s="25"/>
      <c r="B32" s="25"/>
      <c r="C32" s="20"/>
      <c r="D32" s="25"/>
      <c r="E32" s="25"/>
      <c r="F32" s="20"/>
      <c r="G32" s="20"/>
      <c r="H32" s="20"/>
      <c r="I32" s="24" t="str">
        <f aca="false">IF(COUNT(F32:H32)=0,"",SUM(F32:H32))</f>
        <v/>
      </c>
      <c r="J32" s="29"/>
      <c r="K32" s="29"/>
      <c r="L32" s="20"/>
      <c r="M32" s="20"/>
      <c r="N32" s="25"/>
    </row>
    <row r="33" customFormat="false" ht="15" hidden="false" customHeight="false" outlineLevel="0" collapsed="false">
      <c r="A33" s="25"/>
      <c r="B33" s="25"/>
      <c r="C33" s="20"/>
      <c r="D33" s="25"/>
      <c r="E33" s="25"/>
      <c r="F33" s="20"/>
      <c r="G33" s="20"/>
      <c r="H33" s="20"/>
      <c r="I33" s="24" t="str">
        <f aca="false">IF(COUNT(F33:H33)=0,"",SUM(F33:H33))</f>
        <v/>
      </c>
      <c r="J33" s="29"/>
      <c r="K33" s="29"/>
      <c r="L33" s="20"/>
      <c r="M33" s="20"/>
      <c r="N33" s="25"/>
    </row>
    <row r="34" customFormat="false" ht="15" hidden="false" customHeight="false" outlineLevel="0" collapsed="false">
      <c r="A34" s="25"/>
      <c r="B34" s="25"/>
      <c r="C34" s="20"/>
      <c r="D34" s="25"/>
      <c r="E34" s="25"/>
      <c r="F34" s="20"/>
      <c r="G34" s="20"/>
      <c r="H34" s="20"/>
      <c r="I34" s="24" t="str">
        <f aca="false">IF(COUNT(F34:H34)=0,"",SUM(F34:H34))</f>
        <v/>
      </c>
      <c r="J34" s="29"/>
      <c r="K34" s="29"/>
      <c r="L34" s="20"/>
      <c r="M34" s="20"/>
      <c r="N34" s="25"/>
    </row>
    <row r="35" customFormat="false" ht="15" hidden="false" customHeight="false" outlineLevel="0" collapsed="false">
      <c r="A35" s="25"/>
      <c r="B35" s="25"/>
      <c r="C35" s="20"/>
      <c r="D35" s="25"/>
      <c r="E35" s="25"/>
      <c r="F35" s="20"/>
      <c r="G35" s="20"/>
      <c r="H35" s="20"/>
      <c r="I35" s="24" t="str">
        <f aca="false">IF(COUNT(F35:H35)=0,"",SUM(F35:H35))</f>
        <v/>
      </c>
      <c r="J35" s="29"/>
      <c r="K35" s="29"/>
      <c r="L35" s="20"/>
      <c r="M35" s="20"/>
      <c r="N35" s="25"/>
    </row>
    <row r="36" customFormat="false" ht="15" hidden="false" customHeight="false" outlineLevel="0" collapsed="false">
      <c r="A36" s="25"/>
      <c r="B36" s="25"/>
      <c r="C36" s="20"/>
      <c r="D36" s="25"/>
      <c r="E36" s="25"/>
      <c r="F36" s="20"/>
      <c r="G36" s="20"/>
      <c r="H36" s="20"/>
      <c r="I36" s="24" t="str">
        <f aca="false">IF(COUNT(F36:H36)=0,"",SUM(F36:H36))</f>
        <v/>
      </c>
      <c r="J36" s="29"/>
      <c r="K36" s="29"/>
      <c r="L36" s="20"/>
      <c r="M36" s="20"/>
      <c r="N36" s="25"/>
    </row>
    <row r="37" customFormat="false" ht="15" hidden="false" customHeight="false" outlineLevel="0" collapsed="false">
      <c r="A37" s="25"/>
      <c r="B37" s="25"/>
      <c r="C37" s="20"/>
      <c r="D37" s="25"/>
      <c r="E37" s="25"/>
      <c r="F37" s="20"/>
      <c r="G37" s="20"/>
      <c r="H37" s="20"/>
      <c r="I37" s="24" t="str">
        <f aca="false">IF(COUNT(F37:H37)=0,"",SUM(F37:H37))</f>
        <v/>
      </c>
      <c r="J37" s="29"/>
      <c r="K37" s="29"/>
      <c r="L37" s="20"/>
      <c r="M37" s="20"/>
      <c r="N37" s="25"/>
    </row>
    <row r="38" customFormat="false" ht="15" hidden="false" customHeight="false" outlineLevel="0" collapsed="false">
      <c r="A38" s="25"/>
      <c r="B38" s="25"/>
      <c r="C38" s="20"/>
      <c r="D38" s="25"/>
      <c r="E38" s="25"/>
      <c r="F38" s="20"/>
      <c r="G38" s="20"/>
      <c r="H38" s="20"/>
      <c r="I38" s="24" t="str">
        <f aca="false">IF(COUNT(F38:H38)=0,"",SUM(F38:H38))</f>
        <v/>
      </c>
      <c r="J38" s="29"/>
      <c r="K38" s="29"/>
      <c r="L38" s="20"/>
      <c r="M38" s="20"/>
      <c r="N38" s="25"/>
    </row>
    <row r="39" customFormat="false" ht="15" hidden="false" customHeight="false" outlineLevel="0" collapsed="false">
      <c r="A39" s="25"/>
      <c r="B39" s="25"/>
      <c r="C39" s="20"/>
      <c r="D39" s="25"/>
      <c r="E39" s="25"/>
      <c r="F39" s="20"/>
      <c r="G39" s="20"/>
      <c r="H39" s="20"/>
      <c r="I39" s="24" t="str">
        <f aca="false">IF(COUNT(F39:H39)=0,"",SUM(F39:H39))</f>
        <v/>
      </c>
      <c r="J39" s="29"/>
      <c r="K39" s="29"/>
      <c r="L39" s="20"/>
      <c r="M39" s="20"/>
      <c r="N39" s="25"/>
    </row>
    <row r="40" customFormat="false" ht="15" hidden="false" customHeight="false" outlineLevel="0" collapsed="false">
      <c r="A40" s="25"/>
      <c r="B40" s="25"/>
      <c r="C40" s="20"/>
      <c r="D40" s="25"/>
      <c r="E40" s="25"/>
      <c r="F40" s="20"/>
      <c r="G40" s="20"/>
      <c r="H40" s="20"/>
      <c r="I40" s="24" t="str">
        <f aca="false">IF(COUNT(F40:H40)=0,"",SUM(F40:H40))</f>
        <v/>
      </c>
      <c r="J40" s="29"/>
      <c r="K40" s="29"/>
      <c r="L40" s="20"/>
      <c r="M40" s="20"/>
      <c r="N40" s="25"/>
    </row>
    <row r="41" customFormat="false" ht="15" hidden="false" customHeight="false" outlineLevel="0" collapsed="false">
      <c r="A41" s="25"/>
      <c r="B41" s="25"/>
      <c r="C41" s="20"/>
      <c r="D41" s="25"/>
      <c r="E41" s="25"/>
      <c r="F41" s="20"/>
      <c r="G41" s="20"/>
      <c r="H41" s="20"/>
      <c r="I41" s="24" t="str">
        <f aca="false">IF(COUNT(F41:H41)=0,"",SUM(F41:H41))</f>
        <v/>
      </c>
      <c r="J41" s="29"/>
      <c r="K41" s="29"/>
      <c r="L41" s="20"/>
      <c r="M41" s="20"/>
      <c r="N41" s="25"/>
    </row>
    <row r="42" customFormat="false" ht="15" hidden="false" customHeight="false" outlineLevel="0" collapsed="false">
      <c r="A42" s="25"/>
      <c r="B42" s="25"/>
      <c r="C42" s="20"/>
      <c r="D42" s="25"/>
      <c r="E42" s="25"/>
      <c r="F42" s="20"/>
      <c r="G42" s="20"/>
      <c r="H42" s="20"/>
      <c r="I42" s="24" t="str">
        <f aca="false">IF(COUNT(F42:H42)=0,"",SUM(F42:H42))</f>
        <v/>
      </c>
      <c r="J42" s="29"/>
      <c r="K42" s="29"/>
      <c r="L42" s="20"/>
      <c r="M42" s="20"/>
      <c r="N42" s="25"/>
    </row>
    <row r="43" customFormat="false" ht="15" hidden="false" customHeight="false" outlineLevel="0" collapsed="false">
      <c r="A43" s="25"/>
      <c r="B43" s="25"/>
      <c r="C43" s="20"/>
      <c r="D43" s="25"/>
      <c r="E43" s="25"/>
      <c r="F43" s="20"/>
      <c r="G43" s="20"/>
      <c r="H43" s="20"/>
      <c r="I43" s="24" t="str">
        <f aca="false">IF(COUNT(F43:H43)=0,"",SUM(F43:H43))</f>
        <v/>
      </c>
      <c r="J43" s="29"/>
      <c r="K43" s="29"/>
      <c r="L43" s="20"/>
      <c r="M43" s="20"/>
      <c r="N43" s="25"/>
    </row>
    <row r="44" customFormat="false" ht="15" hidden="false" customHeight="false" outlineLevel="0" collapsed="false">
      <c r="A44" s="25"/>
      <c r="B44" s="25"/>
      <c r="C44" s="20"/>
      <c r="D44" s="25"/>
      <c r="E44" s="25"/>
      <c r="F44" s="20"/>
      <c r="G44" s="20"/>
      <c r="H44" s="20"/>
      <c r="I44" s="24" t="str">
        <f aca="false">IF(COUNT(F44:H44)=0,"",SUM(F44:H44))</f>
        <v/>
      </c>
      <c r="J44" s="29"/>
      <c r="K44" s="29"/>
      <c r="L44" s="20"/>
      <c r="M44" s="20"/>
      <c r="N44" s="25"/>
    </row>
    <row r="45" customFormat="false" ht="15" hidden="false" customHeight="false" outlineLevel="0" collapsed="false">
      <c r="A45" s="25"/>
      <c r="B45" s="25"/>
      <c r="C45" s="20"/>
      <c r="D45" s="25"/>
      <c r="E45" s="25"/>
      <c r="F45" s="20"/>
      <c r="G45" s="20"/>
      <c r="H45" s="20"/>
      <c r="I45" s="24" t="str">
        <f aca="false">IF(COUNT(F45:H45)=0,"",SUM(F45:H45))</f>
        <v/>
      </c>
      <c r="J45" s="29"/>
      <c r="K45" s="29"/>
      <c r="L45" s="20"/>
      <c r="M45" s="20"/>
      <c r="N45" s="25"/>
    </row>
    <row r="46" customFormat="false" ht="15" hidden="false" customHeight="false" outlineLevel="0" collapsed="false">
      <c r="A46" s="25"/>
      <c r="B46" s="25"/>
      <c r="C46" s="20"/>
      <c r="D46" s="25"/>
      <c r="E46" s="25"/>
      <c r="F46" s="20"/>
      <c r="G46" s="20"/>
      <c r="H46" s="20"/>
      <c r="I46" s="24" t="str">
        <f aca="false">IF(COUNT(F46:H46)=0,"",SUM(F46:H46))</f>
        <v/>
      </c>
      <c r="J46" s="29"/>
      <c r="K46" s="29"/>
      <c r="L46" s="20"/>
      <c r="M46" s="20"/>
      <c r="N46" s="25"/>
    </row>
    <row r="47" customFormat="false" ht="15" hidden="false" customHeight="false" outlineLevel="0" collapsed="false">
      <c r="A47" s="25"/>
      <c r="B47" s="25"/>
      <c r="C47" s="20"/>
      <c r="D47" s="25"/>
      <c r="E47" s="25"/>
      <c r="F47" s="20"/>
      <c r="G47" s="20"/>
      <c r="H47" s="20"/>
      <c r="I47" s="24" t="str">
        <f aca="false">IF(COUNT(F47:H47)=0,"",SUM(F47:H47))</f>
        <v/>
      </c>
      <c r="J47" s="29"/>
      <c r="K47" s="29"/>
      <c r="L47" s="20"/>
      <c r="M47" s="20"/>
      <c r="N47" s="25"/>
    </row>
    <row r="48" customFormat="false" ht="15" hidden="false" customHeight="false" outlineLevel="0" collapsed="false">
      <c r="A48" s="25"/>
      <c r="B48" s="25"/>
      <c r="C48" s="20"/>
      <c r="D48" s="25"/>
      <c r="E48" s="25"/>
      <c r="F48" s="20"/>
      <c r="G48" s="20"/>
      <c r="H48" s="20"/>
      <c r="I48" s="24" t="str">
        <f aca="false">IF(COUNT(F48:H48)=0,"",SUM(F48:H48))</f>
        <v/>
      </c>
      <c r="J48" s="29"/>
      <c r="K48" s="29"/>
      <c r="L48" s="20"/>
      <c r="M48" s="20"/>
      <c r="N48" s="25"/>
    </row>
    <row r="49" customFormat="false" ht="15" hidden="false" customHeight="false" outlineLevel="0" collapsed="false">
      <c r="A49" s="25"/>
      <c r="B49" s="25"/>
      <c r="C49" s="20"/>
      <c r="D49" s="25"/>
      <c r="E49" s="25"/>
      <c r="F49" s="20"/>
      <c r="G49" s="20"/>
      <c r="H49" s="20"/>
      <c r="I49" s="24" t="str">
        <f aca="false">IF(COUNT(F49:H49)=0,"",SUM(F49:H49))</f>
        <v/>
      </c>
      <c r="J49" s="29"/>
      <c r="K49" s="29"/>
      <c r="L49" s="20"/>
      <c r="M49" s="20"/>
      <c r="N49" s="25"/>
    </row>
    <row r="50" customFormat="false" ht="15" hidden="false" customHeight="false" outlineLevel="0" collapsed="false">
      <c r="A50" s="25"/>
      <c r="B50" s="25"/>
      <c r="C50" s="20"/>
      <c r="D50" s="25"/>
      <c r="E50" s="25"/>
      <c r="F50" s="20"/>
      <c r="G50" s="20"/>
      <c r="H50" s="20"/>
      <c r="I50" s="24" t="str">
        <f aca="false">IF(COUNT(F50:H50)=0,"",SUM(F50:H50))</f>
        <v/>
      </c>
      <c r="J50" s="29"/>
      <c r="K50" s="29"/>
      <c r="L50" s="20"/>
      <c r="M50" s="20"/>
      <c r="N50" s="25"/>
    </row>
    <row r="51" customFormat="false" ht="15" hidden="false" customHeight="false" outlineLevel="0" collapsed="false">
      <c r="A51" s="25"/>
      <c r="B51" s="25"/>
      <c r="C51" s="20"/>
      <c r="D51" s="25"/>
      <c r="E51" s="25"/>
      <c r="F51" s="20"/>
      <c r="G51" s="20"/>
      <c r="H51" s="20"/>
      <c r="I51" s="24" t="str">
        <f aca="false">IF(COUNT(F51:H51)=0,"",SUM(F51:H51))</f>
        <v/>
      </c>
      <c r="J51" s="29"/>
      <c r="K51" s="29"/>
      <c r="L51" s="20"/>
      <c r="M51" s="20"/>
      <c r="N51" s="25"/>
    </row>
    <row r="52" customFormat="false" ht="15" hidden="false" customHeight="false" outlineLevel="0" collapsed="false">
      <c r="A52" s="25"/>
      <c r="B52" s="25"/>
      <c r="C52" s="20"/>
      <c r="D52" s="25"/>
      <c r="E52" s="25"/>
      <c r="F52" s="20"/>
      <c r="G52" s="20"/>
      <c r="H52" s="20"/>
      <c r="I52" s="24" t="str">
        <f aca="false">IF(COUNT(F52:H52)=0,"",SUM(F52:H52))</f>
        <v/>
      </c>
      <c r="J52" s="29"/>
      <c r="K52" s="29"/>
      <c r="L52" s="20"/>
      <c r="M52" s="20"/>
      <c r="N52" s="25"/>
    </row>
    <row r="53" customFormat="false" ht="15" hidden="false" customHeight="false" outlineLevel="0" collapsed="false">
      <c r="A53" s="25"/>
      <c r="B53" s="25"/>
      <c r="C53" s="20"/>
      <c r="D53" s="25"/>
      <c r="E53" s="25"/>
      <c r="F53" s="20"/>
      <c r="G53" s="20"/>
      <c r="H53" s="20"/>
      <c r="I53" s="24" t="str">
        <f aca="false">IF(COUNT(F53:H53)=0,"",SUM(F53:H53))</f>
        <v/>
      </c>
      <c r="J53" s="29"/>
      <c r="K53" s="29"/>
      <c r="L53" s="20"/>
      <c r="M53" s="20"/>
      <c r="N53" s="25"/>
    </row>
    <row r="54" customFormat="false" ht="15" hidden="false" customHeight="false" outlineLevel="0" collapsed="false">
      <c r="A54" s="25"/>
      <c r="B54" s="25"/>
      <c r="C54" s="20"/>
      <c r="D54" s="25"/>
      <c r="E54" s="25"/>
      <c r="F54" s="20"/>
      <c r="G54" s="20"/>
      <c r="H54" s="20"/>
      <c r="I54" s="24" t="str">
        <f aca="false">IF(COUNT(F54:H54)=0,"",SUM(F54:H54))</f>
        <v/>
      </c>
      <c r="J54" s="29"/>
      <c r="K54" s="29"/>
      <c r="L54" s="20"/>
      <c r="M54" s="20"/>
      <c r="N54" s="25"/>
    </row>
    <row r="55" customFormat="false" ht="15" hidden="false" customHeight="false" outlineLevel="0" collapsed="false">
      <c r="A55" s="25"/>
      <c r="B55" s="25"/>
      <c r="C55" s="20"/>
      <c r="D55" s="25"/>
      <c r="E55" s="25"/>
      <c r="F55" s="20"/>
      <c r="G55" s="20"/>
      <c r="H55" s="20"/>
      <c r="I55" s="24" t="str">
        <f aca="false">IF(COUNT(F55:H55)=0,"",SUM(F55:H55))</f>
        <v/>
      </c>
      <c r="J55" s="29"/>
      <c r="K55" s="29"/>
      <c r="L55" s="20"/>
      <c r="M55" s="20"/>
      <c r="N55" s="25"/>
    </row>
  </sheetData>
  <dataValidations count="5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55" type="list">
      <formula1>選択_作業内容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55" type="list">
      <formula1>選択_時刻基準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N6:N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6" min="4" style="0" width="9"/>
    <col collapsed="false" customWidth="true" hidden="false" outlineLevel="0" max="8" min="7" style="0" width="11"/>
    <col collapsed="false" customWidth="true" hidden="false" outlineLevel="0" max="9" min="9" style="0" width="28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7"/>
    <col collapsed="false" customWidth="true" hidden="false" outlineLevel="0" max="17" min="17" style="0" width="22"/>
    <col collapsed="false" customWidth="true" hidden="false" outlineLevel="0" max="18" min="18" style="0" width="9"/>
    <col collapsed="false" customWidth="true" hidden="false" outlineLevel="0" max="19" min="19" style="0" width="22"/>
    <col collapsed="false" customWidth="true" hidden="false" outlineLevel="0" max="20" min="20" style="0" width="10"/>
    <col collapsed="false" customWidth="true" hidden="false" outlineLevel="0" max="22" min="22" style="0" width="9"/>
    <col collapsed="false" customWidth="true" hidden="false" outlineLevel="0" max="24" min="24" style="0" width="9"/>
    <col collapsed="false" customWidth="true" hidden="false" outlineLevel="0" max="25" min="25" style="0" width="11"/>
    <col collapsed="false" customWidth="true" hidden="false" outlineLevel="0" max="26" min="26" style="0" width="8"/>
    <col collapsed="false" customWidth="true" hidden="false" outlineLevel="0" max="27" min="27" style="0" width="22"/>
    <col collapsed="false" customWidth="true" hidden="false" outlineLevel="0" max="28" min="28" style="0" width="10"/>
    <col collapsed="false" customWidth="true" hidden="false" outlineLevel="0" max="44" min="30" style="0" width="13"/>
  </cols>
  <sheetData>
    <row r="1" customFormat="false" ht="17.35" hidden="false" customHeight="false" outlineLevel="0" collapsed="false">
      <c r="A1" s="10" t="s">
        <v>269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customFormat="false" ht="15" hidden="false" customHeight="false" outlineLevel="0" collapsed="false">
      <c r="A2" s="12" t="s">
        <v>270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customFormat="false" ht="15" hidden="false" customHeight="false" outlineLevel="0" collapsed="false">
      <c r="A3" s="13" t="s">
        <v>271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customFormat="false" ht="15" hidden="false" customHeight="false" outlineLevel="0" collapsed="false">
      <c r="A4" s="33" t="s">
        <v>272</v>
      </c>
      <c r="Q4" s="33" t="s">
        <v>273</v>
      </c>
    </row>
    <row r="5" customFormat="false" ht="60" hidden="false" customHeight="true" outlineLevel="0" collapsed="false">
      <c r="A5" s="23" t="s">
        <v>274</v>
      </c>
      <c r="B5" s="23" t="s">
        <v>275</v>
      </c>
      <c r="C5" s="23" t="s">
        <v>218</v>
      </c>
      <c r="D5" s="23" t="s">
        <v>276</v>
      </c>
      <c r="E5" s="23" t="s">
        <v>231</v>
      </c>
      <c r="F5" s="23" t="s">
        <v>277</v>
      </c>
      <c r="G5" s="23" t="s">
        <v>239</v>
      </c>
      <c r="H5" s="23" t="s">
        <v>240</v>
      </c>
      <c r="I5" s="23" t="s">
        <v>112</v>
      </c>
      <c r="J5" s="23" t="s">
        <v>165</v>
      </c>
      <c r="K5" s="14" t="s">
        <v>75</v>
      </c>
      <c r="L5" s="14" t="s">
        <v>77</v>
      </c>
      <c r="M5" s="14" t="s">
        <v>278</v>
      </c>
      <c r="N5" s="14" t="s">
        <v>279</v>
      </c>
      <c r="O5" s="14" t="s">
        <v>280</v>
      </c>
      <c r="Q5" s="23" t="s">
        <v>281</v>
      </c>
      <c r="R5" s="23" t="s">
        <v>282</v>
      </c>
      <c r="S5" s="23" t="s">
        <v>112</v>
      </c>
      <c r="T5" s="23" t="s">
        <v>165</v>
      </c>
      <c r="V5" s="23" t="s">
        <v>283</v>
      </c>
      <c r="X5" s="23" t="s">
        <v>284</v>
      </c>
      <c r="Y5" s="23" t="s">
        <v>285</v>
      </c>
      <c r="Z5" s="23" t="s">
        <v>286</v>
      </c>
      <c r="AA5" s="23" t="s">
        <v>112</v>
      </c>
      <c r="AB5" s="23" t="s">
        <v>165</v>
      </c>
      <c r="AD5" s="23" t="s">
        <v>287</v>
      </c>
      <c r="AE5" s="23" t="s">
        <v>288</v>
      </c>
      <c r="AF5" s="23" t="s">
        <v>289</v>
      </c>
      <c r="AG5" s="23" t="s">
        <v>290</v>
      </c>
      <c r="AH5" s="23" t="s">
        <v>291</v>
      </c>
      <c r="AI5" s="23" t="s">
        <v>292</v>
      </c>
      <c r="AJ5" s="23" t="s">
        <v>293</v>
      </c>
      <c r="AK5" s="23" t="s">
        <v>294</v>
      </c>
      <c r="AL5" s="23" t="s">
        <v>295</v>
      </c>
      <c r="AM5" s="23" t="s">
        <v>296</v>
      </c>
      <c r="AN5" s="23" t="s">
        <v>297</v>
      </c>
      <c r="AO5" s="23" t="s">
        <v>298</v>
      </c>
      <c r="AP5" s="23" t="s">
        <v>299</v>
      </c>
      <c r="AQ5" s="23" t="s">
        <v>300</v>
      </c>
      <c r="AR5" s="23" t="s">
        <v>301</v>
      </c>
    </row>
    <row r="6" customFormat="false" ht="15" hidden="false" customHeight="false" outlineLevel="0" collapsed="false">
      <c r="A6" s="20" t="s">
        <v>302</v>
      </c>
      <c r="B6" s="20" t="s">
        <v>302</v>
      </c>
      <c r="C6" s="20" t="s">
        <v>303</v>
      </c>
      <c r="D6" s="20" t="s">
        <v>304</v>
      </c>
      <c r="E6" s="20" t="s">
        <v>305</v>
      </c>
      <c r="F6" s="25"/>
      <c r="G6" s="29"/>
      <c r="H6" s="29"/>
      <c r="I6" s="25" t="s">
        <v>306</v>
      </c>
      <c r="J6" s="20" t="s">
        <v>307</v>
      </c>
      <c r="K6" s="24" t="str">
        <f aca="false">IF(A6="","",IF(B6="",A6,B6))</f>
        <v>八幡丸</v>
      </c>
      <c r="L6" s="24" t="str">
        <f aca="false">IF(A6="","",IF(C6="","未確認",IFERROR(INDEX(マスター!$R$6:$R$45,MATCH(C6,マスター!$Q$6:$Q$45,0)),"未確認")))</f>
        <v>製鉄曳船</v>
      </c>
      <c r="M6" s="24" t="str">
        <f aca="false">IF(A6="","",IF(AND(OR(G6="",G6&lt;=集計!$C$5),OR(H6="",H6&gt;=集計!$C$5)),"○",""))</f>
        <v>○</v>
      </c>
      <c r="N6" s="24" t="str">
        <f aca="false">IF(M6="○",A6,"")</f>
        <v>八幡丸</v>
      </c>
      <c r="O6" s="24" t="str">
        <f aca="false">IF(OR(K6="",M6&lt;&gt;"○"),"",IF(COUNTIFS(K$6:K6,K6,M$6:M6,"○")=1,"○",""))</f>
        <v>○</v>
      </c>
      <c r="Q6" s="20" t="s">
        <v>303</v>
      </c>
      <c r="R6" s="20" t="s">
        <v>303</v>
      </c>
      <c r="S6" s="25" t="s">
        <v>306</v>
      </c>
      <c r="T6" s="20" t="s">
        <v>308</v>
      </c>
      <c r="V6" s="20" t="s">
        <v>309</v>
      </c>
      <c r="X6" s="20" t="s">
        <v>310</v>
      </c>
      <c r="Y6" s="20" t="s">
        <v>311</v>
      </c>
      <c r="Z6" s="25"/>
      <c r="AA6" s="20" t="s">
        <v>312</v>
      </c>
      <c r="AB6" s="20" t="s">
        <v>305</v>
      </c>
      <c r="AD6" s="20" t="s">
        <v>305</v>
      </c>
      <c r="AE6" s="20" t="s">
        <v>305</v>
      </c>
      <c r="AF6" s="20" t="s">
        <v>313</v>
      </c>
      <c r="AG6" s="20" t="s">
        <v>196</v>
      </c>
      <c r="AH6" s="20" t="s">
        <v>314</v>
      </c>
      <c r="AI6" s="20" t="s">
        <v>315</v>
      </c>
      <c r="AJ6" s="20" t="s">
        <v>316</v>
      </c>
      <c r="AK6" s="20" t="s">
        <v>317</v>
      </c>
      <c r="AL6" s="20" t="s">
        <v>304</v>
      </c>
      <c r="AM6" s="20" t="s">
        <v>318</v>
      </c>
      <c r="AN6" s="20" t="s">
        <v>303</v>
      </c>
      <c r="AO6" s="20" t="s">
        <v>305</v>
      </c>
      <c r="AP6" s="20" t="s">
        <v>319</v>
      </c>
      <c r="AQ6" s="20" t="s">
        <v>114</v>
      </c>
      <c r="AR6" s="20" t="s">
        <v>320</v>
      </c>
    </row>
    <row r="7" customFormat="false" ht="15" hidden="false" customHeight="false" outlineLevel="0" collapsed="false">
      <c r="A7" s="20" t="s">
        <v>321</v>
      </c>
      <c r="B7" s="20" t="s">
        <v>321</v>
      </c>
      <c r="C7" s="20" t="s">
        <v>303</v>
      </c>
      <c r="D7" s="20" t="s">
        <v>304</v>
      </c>
      <c r="E7" s="20" t="s">
        <v>305</v>
      </c>
      <c r="F7" s="25"/>
      <c r="G7" s="29"/>
      <c r="H7" s="29"/>
      <c r="I7" s="25" t="s">
        <v>306</v>
      </c>
      <c r="J7" s="20" t="s">
        <v>307</v>
      </c>
      <c r="K7" s="24" t="str">
        <f aca="false">IF(A7="","",IF(B7="",A7,B7))</f>
        <v>鐵豊丸</v>
      </c>
      <c r="L7" s="24" t="str">
        <f aca="false">IF(A7="","",IF(C7="","未確認",IFERROR(INDEX(マスター!$R$6:$R$45,MATCH(C7,マスター!$Q$6:$Q$45,0)),"未確認")))</f>
        <v>製鉄曳船</v>
      </c>
      <c r="M7" s="24" t="str">
        <f aca="false">IF(A7="","",IF(AND(OR(G7="",G7&lt;=集計!$C$5),OR(H7="",H7&gt;=集計!$C$5)),"○",""))</f>
        <v>○</v>
      </c>
      <c r="N7" s="24" t="str">
        <f aca="false">IF(M7="○",A7,"")</f>
        <v>鐵豊丸</v>
      </c>
      <c r="O7" s="24" t="str">
        <f aca="false">IF(OR(K7="",M7&lt;&gt;"○"),"",IF(COUNTIFS(K$6:K7,K7,M$6:M7,"○")=1,"○",""))</f>
        <v>○</v>
      </c>
      <c r="Q7" s="20" t="s">
        <v>322</v>
      </c>
      <c r="R7" s="20" t="s">
        <v>322</v>
      </c>
      <c r="S7" s="25" t="s">
        <v>306</v>
      </c>
      <c r="T7" s="20" t="s">
        <v>308</v>
      </c>
      <c r="V7" s="20" t="s">
        <v>323</v>
      </c>
      <c r="X7" s="25" t="s">
        <v>245</v>
      </c>
      <c r="Y7" s="20" t="s">
        <v>311</v>
      </c>
      <c r="Z7" s="25"/>
      <c r="AA7" s="20" t="s">
        <v>312</v>
      </c>
      <c r="AB7" s="20" t="s">
        <v>305</v>
      </c>
      <c r="AD7" s="20" t="s">
        <v>308</v>
      </c>
      <c r="AE7" s="20" t="s">
        <v>105</v>
      </c>
      <c r="AF7" s="20" t="s">
        <v>195</v>
      </c>
      <c r="AG7" s="20" t="s">
        <v>324</v>
      </c>
      <c r="AH7" s="20" t="s">
        <v>325</v>
      </c>
      <c r="AI7" s="20" t="s">
        <v>326</v>
      </c>
      <c r="AJ7" s="20" t="s">
        <v>327</v>
      </c>
      <c r="AK7" s="20" t="s">
        <v>328</v>
      </c>
      <c r="AL7" s="20" t="s">
        <v>329</v>
      </c>
      <c r="AM7" s="20" t="s">
        <v>330</v>
      </c>
      <c r="AN7" s="20" t="s">
        <v>322</v>
      </c>
      <c r="AO7" s="20" t="s">
        <v>331</v>
      </c>
      <c r="AP7" s="20" t="s">
        <v>311</v>
      </c>
      <c r="AQ7" s="20" t="s">
        <v>332</v>
      </c>
      <c r="AR7" s="20" t="s">
        <v>333</v>
      </c>
    </row>
    <row r="8" customFormat="false" ht="15" hidden="false" customHeight="false" outlineLevel="0" collapsed="false">
      <c r="A8" s="20" t="s">
        <v>334</v>
      </c>
      <c r="B8" s="20" t="s">
        <v>334</v>
      </c>
      <c r="C8" s="20" t="s">
        <v>303</v>
      </c>
      <c r="D8" s="20" t="s">
        <v>304</v>
      </c>
      <c r="E8" s="20" t="s">
        <v>305</v>
      </c>
      <c r="F8" s="25"/>
      <c r="G8" s="29"/>
      <c r="H8" s="29"/>
      <c r="I8" s="25" t="s">
        <v>306</v>
      </c>
      <c r="J8" s="20" t="s">
        <v>307</v>
      </c>
      <c r="K8" s="24" t="str">
        <f aca="false">IF(A8="","",IF(B8="",A8,B8))</f>
        <v>新豊丸</v>
      </c>
      <c r="L8" s="24" t="str">
        <f aca="false">IF(A8="","",IF(C8="","未確認",IFERROR(INDEX(マスター!$R$6:$R$45,MATCH(C8,マスター!$Q$6:$Q$45,0)),"未確認")))</f>
        <v>製鉄曳船</v>
      </c>
      <c r="M8" s="24" t="str">
        <f aca="false">IF(A8="","",IF(AND(OR(G8="",G8&lt;=集計!$C$5),OR(H8="",H8&gt;=集計!$C$5)),"○",""))</f>
        <v>○</v>
      </c>
      <c r="N8" s="24" t="str">
        <f aca="false">IF(M8="○",A8,"")</f>
        <v>新豊丸</v>
      </c>
      <c r="O8" s="24" t="str">
        <f aca="false">IF(OR(K8="",M8&lt;&gt;"○"),"",IF(COUNTIFS(K$6:K8,K8,M$6:M8,"○")=1,"○",""))</f>
        <v>○</v>
      </c>
      <c r="Q8" s="20" t="s">
        <v>335</v>
      </c>
      <c r="R8" s="20" t="s">
        <v>336</v>
      </c>
      <c r="S8" s="25" t="s">
        <v>337</v>
      </c>
      <c r="T8" s="20" t="s">
        <v>305</v>
      </c>
      <c r="V8" s="20" t="s">
        <v>261</v>
      </c>
      <c r="X8" s="20" t="s">
        <v>338</v>
      </c>
      <c r="Y8" s="20" t="s">
        <v>319</v>
      </c>
      <c r="Z8" s="25"/>
      <c r="AA8" s="20" t="s">
        <v>312</v>
      </c>
      <c r="AB8" s="20" t="s">
        <v>305</v>
      </c>
      <c r="AD8" s="20" t="s">
        <v>339</v>
      </c>
      <c r="AE8" s="20" t="s">
        <v>340</v>
      </c>
      <c r="AF8" s="20" t="s">
        <v>341</v>
      </c>
      <c r="AG8" s="20" t="s">
        <v>342</v>
      </c>
      <c r="AH8" s="20" t="s">
        <v>343</v>
      </c>
      <c r="AI8" s="20" t="s">
        <v>344</v>
      </c>
      <c r="AJ8" s="20" t="s">
        <v>345</v>
      </c>
      <c r="AK8" s="20" t="s">
        <v>346</v>
      </c>
      <c r="AL8" s="20" t="s">
        <v>305</v>
      </c>
      <c r="AM8" s="20" t="s">
        <v>343</v>
      </c>
      <c r="AN8" s="20" t="s">
        <v>336</v>
      </c>
      <c r="AO8" s="20" t="s">
        <v>158</v>
      </c>
      <c r="AP8" s="20" t="s">
        <v>305</v>
      </c>
      <c r="AQ8" s="20" t="s">
        <v>117</v>
      </c>
      <c r="AR8" s="20"/>
    </row>
    <row r="9" customFormat="false" ht="15" hidden="false" customHeight="false" outlineLevel="0" collapsed="false">
      <c r="A9" s="20" t="s">
        <v>347</v>
      </c>
      <c r="B9" s="20" t="s">
        <v>347</v>
      </c>
      <c r="C9" s="20" t="s">
        <v>303</v>
      </c>
      <c r="D9" s="20" t="s">
        <v>304</v>
      </c>
      <c r="E9" s="20" t="s">
        <v>305</v>
      </c>
      <c r="F9" s="25"/>
      <c r="G9" s="29"/>
      <c r="H9" s="29"/>
      <c r="I9" s="25" t="s">
        <v>306</v>
      </c>
      <c r="J9" s="20" t="s">
        <v>307</v>
      </c>
      <c r="K9" s="24" t="str">
        <f aca="false">IF(A9="","",IF(B9="",A9,B9))</f>
        <v>八豊丸</v>
      </c>
      <c r="L9" s="24" t="str">
        <f aca="false">IF(A9="","",IF(C9="","未確認",IFERROR(INDEX(マスター!$R$6:$R$45,MATCH(C9,マスター!$Q$6:$Q$45,0)),"未確認")))</f>
        <v>製鉄曳船</v>
      </c>
      <c r="M9" s="24" t="str">
        <f aca="false">IF(A9="","",IF(AND(OR(G9="",G9&lt;=集計!$C$5),OR(H9="",H9&gt;=集計!$C$5)),"○",""))</f>
        <v>○</v>
      </c>
      <c r="N9" s="24" t="str">
        <f aca="false">IF(M9="○",A9,"")</f>
        <v>八豊丸</v>
      </c>
      <c r="O9" s="24" t="str">
        <f aca="false">IF(OR(K9="",M9&lt;&gt;"○"),"",IF(COUNTIFS(K$6:K9,K9,M$6:M9,"○")=1,"○",""))</f>
        <v>○</v>
      </c>
      <c r="Q9" s="20" t="s">
        <v>348</v>
      </c>
      <c r="R9" s="20" t="s">
        <v>336</v>
      </c>
      <c r="S9" s="25" t="s">
        <v>337</v>
      </c>
      <c r="T9" s="20" t="s">
        <v>305</v>
      </c>
      <c r="V9" s="20" t="s">
        <v>349</v>
      </c>
      <c r="X9" s="20" t="s">
        <v>350</v>
      </c>
      <c r="Y9" s="20" t="s">
        <v>319</v>
      </c>
      <c r="Z9" s="25"/>
      <c r="AA9" s="20" t="s">
        <v>351</v>
      </c>
      <c r="AB9" s="20" t="s">
        <v>305</v>
      </c>
      <c r="AD9" s="20" t="s">
        <v>307</v>
      </c>
      <c r="AE9" s="20" t="s">
        <v>352</v>
      </c>
      <c r="AF9" s="20" t="s">
        <v>343</v>
      </c>
      <c r="AG9" s="20" t="s">
        <v>353</v>
      </c>
      <c r="AH9" s="20"/>
      <c r="AI9" s="20" t="s">
        <v>354</v>
      </c>
      <c r="AJ9" s="25" t="s">
        <v>355</v>
      </c>
      <c r="AK9" s="20" t="s">
        <v>356</v>
      </c>
      <c r="AL9" s="20"/>
      <c r="AM9" s="20"/>
      <c r="AN9" s="20" t="s">
        <v>305</v>
      </c>
      <c r="AO9" s="20"/>
      <c r="AP9" s="20"/>
      <c r="AQ9" s="20" t="s">
        <v>343</v>
      </c>
      <c r="AR9" s="20"/>
    </row>
    <row r="10" customFormat="false" ht="15" hidden="false" customHeight="false" outlineLevel="0" collapsed="false">
      <c r="A10" s="20" t="s">
        <v>357</v>
      </c>
      <c r="B10" s="20" t="s">
        <v>357</v>
      </c>
      <c r="C10" s="20" t="s">
        <v>303</v>
      </c>
      <c r="D10" s="20" t="s">
        <v>304</v>
      </c>
      <c r="E10" s="20" t="s">
        <v>305</v>
      </c>
      <c r="F10" s="25"/>
      <c r="G10" s="29"/>
      <c r="H10" s="29"/>
      <c r="I10" s="25" t="s">
        <v>306</v>
      </c>
      <c r="J10" s="20" t="s">
        <v>307</v>
      </c>
      <c r="K10" s="24" t="str">
        <f aca="false">IF(A10="","",IF(B10="",A10,B10))</f>
        <v>松豊丸</v>
      </c>
      <c r="L10" s="24" t="str">
        <f aca="false">IF(A10="","",IF(C10="","未確認",IFERROR(INDEX(マスター!$R$6:$R$45,MATCH(C10,マスター!$Q$6:$Q$45,0)),"未確認")))</f>
        <v>製鉄曳船</v>
      </c>
      <c r="M10" s="24" t="str">
        <f aca="false">IF(A10="","",IF(AND(OR(G10="",G10&lt;=集計!$C$5),OR(H10="",H10&gt;=集計!$C$5)),"○",""))</f>
        <v>○</v>
      </c>
      <c r="N10" s="24" t="str">
        <f aca="false">IF(M10="○",A10,"")</f>
        <v>松豊丸</v>
      </c>
      <c r="O10" s="24" t="str">
        <f aca="false">IF(OR(K10="",M10&lt;&gt;"○"),"",IF(COUNTIFS(K$6:K10,K10,M$6:M10,"○")=1,"○",""))</f>
        <v>○</v>
      </c>
      <c r="Q10" s="20" t="s">
        <v>358</v>
      </c>
      <c r="R10" s="20" t="s">
        <v>336</v>
      </c>
      <c r="S10" s="25" t="s">
        <v>337</v>
      </c>
      <c r="T10" s="20" t="s">
        <v>305</v>
      </c>
      <c r="V10" s="20" t="s">
        <v>305</v>
      </c>
      <c r="X10" s="20" t="s">
        <v>359</v>
      </c>
      <c r="Y10" s="20" t="s">
        <v>305</v>
      </c>
      <c r="Z10" s="25" t="s">
        <v>159</v>
      </c>
      <c r="AA10" s="20" t="s">
        <v>360</v>
      </c>
      <c r="AB10" s="20" t="s">
        <v>305</v>
      </c>
      <c r="AD10" s="20" t="s">
        <v>361</v>
      </c>
      <c r="AE10" s="20"/>
      <c r="AF10" s="20"/>
      <c r="AG10" s="20" t="s">
        <v>362</v>
      </c>
      <c r="AH10" s="20"/>
      <c r="AI10" s="20" t="s">
        <v>363</v>
      </c>
      <c r="AJ10" s="25" t="s">
        <v>364</v>
      </c>
      <c r="AK10" s="20" t="s">
        <v>365</v>
      </c>
      <c r="AL10" s="20"/>
      <c r="AM10" s="20"/>
      <c r="AN10" s="20"/>
      <c r="AO10" s="20"/>
      <c r="AP10" s="20"/>
      <c r="AQ10" s="20"/>
      <c r="AR10" s="20"/>
    </row>
    <row r="11" customFormat="false" ht="15" hidden="false" customHeight="false" outlineLevel="0" collapsed="false">
      <c r="A11" s="25" t="s">
        <v>113</v>
      </c>
      <c r="B11" s="20"/>
      <c r="C11" s="20" t="s">
        <v>303</v>
      </c>
      <c r="D11" s="20" t="s">
        <v>304</v>
      </c>
      <c r="E11" s="20" t="s">
        <v>305</v>
      </c>
      <c r="F11" s="25" t="s">
        <v>159</v>
      </c>
      <c r="G11" s="29"/>
      <c r="H11" s="29"/>
      <c r="I11" s="20" t="s">
        <v>366</v>
      </c>
      <c r="J11" s="20" t="s">
        <v>339</v>
      </c>
      <c r="K11" s="24" t="str">
        <f aca="false">IF(A11="","",IF(B11="",A11,B11))</f>
        <v>T</v>
      </c>
      <c r="L11" s="24" t="str">
        <f aca="false">IF(A11="","",IF(C11="","未確認",IFERROR(INDEX(マスター!$R$6:$R$45,MATCH(C11,マスター!$Q$6:$Q$45,0)),"未確認")))</f>
        <v>製鉄曳船</v>
      </c>
      <c r="M11" s="24" t="str">
        <f aca="false">IF(A11="","",IF(AND(OR(G11="",G11&lt;=集計!$C$5),OR(H11="",H11&gt;=集計!$C$5)),"○",""))</f>
        <v>○</v>
      </c>
      <c r="N11" s="24" t="str">
        <f aca="false">IF(M11="○",A11,"")</f>
        <v>T</v>
      </c>
      <c r="O11" s="24" t="str">
        <f aca="false">IF(OR(K11="",M11&lt;&gt;"○"),"",IF(COUNTIFS(K$6:K11,K11,M$6:M11,"○")=1,"○",""))</f>
        <v>○</v>
      </c>
      <c r="Q11" s="20" t="s">
        <v>367</v>
      </c>
      <c r="R11" s="20" t="s">
        <v>336</v>
      </c>
      <c r="S11" s="25" t="s">
        <v>306</v>
      </c>
      <c r="T11" s="20" t="s">
        <v>308</v>
      </c>
      <c r="V11" s="20"/>
      <c r="X11" s="20" t="s">
        <v>249</v>
      </c>
      <c r="Y11" s="20" t="s">
        <v>305</v>
      </c>
      <c r="Z11" s="25"/>
      <c r="AA11" s="20" t="s">
        <v>368</v>
      </c>
      <c r="AB11" s="20" t="s">
        <v>305</v>
      </c>
      <c r="AD11" s="20" t="s">
        <v>369</v>
      </c>
      <c r="AE11" s="20"/>
      <c r="AF11" s="20"/>
      <c r="AG11" s="20" t="s">
        <v>370</v>
      </c>
      <c r="AH11" s="20"/>
      <c r="AI11" s="20" t="s">
        <v>343</v>
      </c>
      <c r="AJ11" s="25" t="s">
        <v>371</v>
      </c>
      <c r="AK11" s="20" t="s">
        <v>305</v>
      </c>
      <c r="AL11" s="20"/>
      <c r="AM11" s="20"/>
      <c r="AN11" s="20"/>
      <c r="AO11" s="20"/>
      <c r="AP11" s="20"/>
      <c r="AQ11" s="20"/>
      <c r="AR11" s="20"/>
    </row>
    <row r="12" customFormat="false" ht="15" hidden="false" customHeight="false" outlineLevel="0" collapsed="false">
      <c r="A12" s="25" t="s">
        <v>115</v>
      </c>
      <c r="B12" s="20"/>
      <c r="C12" s="20" t="s">
        <v>303</v>
      </c>
      <c r="D12" s="20" t="s">
        <v>304</v>
      </c>
      <c r="E12" s="20" t="s">
        <v>305</v>
      </c>
      <c r="F12" s="25" t="s">
        <v>159</v>
      </c>
      <c r="G12" s="29"/>
      <c r="H12" s="29"/>
      <c r="I12" s="20" t="s">
        <v>372</v>
      </c>
      <c r="J12" s="20" t="s">
        <v>339</v>
      </c>
      <c r="K12" s="24" t="str">
        <f aca="false">IF(A12="","",IF(B12="",A12,B12))</f>
        <v>S</v>
      </c>
      <c r="L12" s="24" t="str">
        <f aca="false">IF(A12="","",IF(C12="","未確認",IFERROR(INDEX(マスター!$R$6:$R$45,MATCH(C12,マスター!$Q$6:$Q$45,0)),"未確認")))</f>
        <v>製鉄曳船</v>
      </c>
      <c r="M12" s="24" t="str">
        <f aca="false">IF(A12="","",IF(AND(OR(G12="",G12&lt;=集計!$C$5),OR(H12="",H12&gt;=集計!$C$5)),"○",""))</f>
        <v>○</v>
      </c>
      <c r="N12" s="24" t="str">
        <f aca="false">IF(M12="○",A12,"")</f>
        <v>S</v>
      </c>
      <c r="O12" s="24" t="str">
        <f aca="false">IF(OR(K12="",M12&lt;&gt;"○"),"",IF(COUNTIFS(K$6:K12,K12,M$6:M12,"○")=1,"○",""))</f>
        <v>○</v>
      </c>
      <c r="Q12" s="20" t="s">
        <v>373</v>
      </c>
      <c r="R12" s="20" t="s">
        <v>336</v>
      </c>
      <c r="S12" s="25" t="s">
        <v>374</v>
      </c>
      <c r="T12" s="20" t="s">
        <v>305</v>
      </c>
      <c r="V12" s="20"/>
      <c r="X12" s="20" t="s">
        <v>375</v>
      </c>
      <c r="Y12" s="20" t="s">
        <v>305</v>
      </c>
      <c r="Z12" s="25"/>
      <c r="AA12" s="20" t="s">
        <v>305</v>
      </c>
      <c r="AB12" s="20" t="s">
        <v>305</v>
      </c>
      <c r="AD12" s="20" t="s">
        <v>376</v>
      </c>
      <c r="AE12" s="20"/>
      <c r="AF12" s="20"/>
      <c r="AG12" s="20" t="s">
        <v>377</v>
      </c>
      <c r="AH12" s="20"/>
      <c r="AI12" s="20"/>
      <c r="AJ12" s="25" t="s">
        <v>378</v>
      </c>
      <c r="AK12" s="20"/>
      <c r="AL12" s="20"/>
      <c r="AM12" s="20"/>
      <c r="AN12" s="20"/>
      <c r="AO12" s="20"/>
      <c r="AP12" s="20"/>
      <c r="AQ12" s="20"/>
      <c r="AR12" s="20"/>
    </row>
    <row r="13" customFormat="false" ht="15" hidden="false" customHeight="false" outlineLevel="0" collapsed="false">
      <c r="A13" s="25" t="s">
        <v>116</v>
      </c>
      <c r="B13" s="20"/>
      <c r="C13" s="20" t="s">
        <v>303</v>
      </c>
      <c r="D13" s="20" t="s">
        <v>304</v>
      </c>
      <c r="E13" s="20" t="s">
        <v>305</v>
      </c>
      <c r="F13" s="25" t="s">
        <v>159</v>
      </c>
      <c r="G13" s="29"/>
      <c r="H13" s="29"/>
      <c r="I13" s="20" t="s">
        <v>372</v>
      </c>
      <c r="J13" s="20" t="s">
        <v>339</v>
      </c>
      <c r="K13" s="24" t="str">
        <f aca="false">IF(A13="","",IF(B13="",A13,B13))</f>
        <v>Y</v>
      </c>
      <c r="L13" s="24" t="str">
        <f aca="false">IF(A13="","",IF(C13="","未確認",IFERROR(INDEX(マスター!$R$6:$R$45,MATCH(C13,マスター!$Q$6:$Q$45,0)),"未確認")))</f>
        <v>製鉄曳船</v>
      </c>
      <c r="M13" s="24" t="str">
        <f aca="false">IF(A13="","",IF(AND(OR(G13="",G13&lt;=集計!$C$5),OR(H13="",H13&gt;=集計!$C$5)),"○",""))</f>
        <v>○</v>
      </c>
      <c r="N13" s="24" t="str">
        <f aca="false">IF(M13="○",A13,"")</f>
        <v>Y</v>
      </c>
      <c r="O13" s="24" t="str">
        <f aca="false">IF(OR(K13="",M13&lt;&gt;"○"),"",IF(COUNTIFS(K$6:K13,K13,M$6:M13,"○")=1,"○",""))</f>
        <v>○</v>
      </c>
      <c r="Q13" s="20" t="s">
        <v>379</v>
      </c>
      <c r="R13" s="20" t="s">
        <v>336</v>
      </c>
      <c r="S13" s="25" t="s">
        <v>374</v>
      </c>
      <c r="T13" s="20" t="s">
        <v>305</v>
      </c>
      <c r="V13" s="20"/>
      <c r="X13" s="20" t="s">
        <v>363</v>
      </c>
      <c r="Y13" s="20" t="s">
        <v>305</v>
      </c>
      <c r="Z13" s="25"/>
      <c r="AA13" s="20" t="s">
        <v>305</v>
      </c>
      <c r="AB13" s="20" t="s">
        <v>305</v>
      </c>
      <c r="AD13" s="20"/>
      <c r="AE13" s="20"/>
      <c r="AF13" s="20"/>
      <c r="AG13" s="20" t="s">
        <v>363</v>
      </c>
      <c r="AH13" s="20"/>
      <c r="AI13" s="20"/>
      <c r="AJ13" s="20" t="s">
        <v>363</v>
      </c>
      <c r="AK13" s="20"/>
      <c r="AL13" s="20"/>
      <c r="AM13" s="20"/>
      <c r="AN13" s="20"/>
      <c r="AO13" s="20"/>
      <c r="AP13" s="20"/>
      <c r="AQ13" s="20"/>
      <c r="AR13" s="20"/>
    </row>
    <row r="14" customFormat="false" ht="15" hidden="false" customHeight="false" outlineLevel="0" collapsed="false">
      <c r="A14" s="25" t="s">
        <v>118</v>
      </c>
      <c r="B14" s="20"/>
      <c r="C14" s="20" t="s">
        <v>303</v>
      </c>
      <c r="D14" s="20" t="s">
        <v>304</v>
      </c>
      <c r="E14" s="20" t="s">
        <v>305</v>
      </c>
      <c r="F14" s="25" t="s">
        <v>159</v>
      </c>
      <c r="G14" s="29"/>
      <c r="H14" s="29"/>
      <c r="I14" s="20" t="s">
        <v>372</v>
      </c>
      <c r="J14" s="20" t="s">
        <v>339</v>
      </c>
      <c r="K14" s="24" t="str">
        <f aca="false">IF(A14="","",IF(B14="",A14,B14))</f>
        <v>M</v>
      </c>
      <c r="L14" s="24" t="str">
        <f aca="false">IF(A14="","",IF(C14="","未確認",IFERROR(INDEX(マスター!$R$6:$R$45,MATCH(C14,マスター!$Q$6:$Q$45,0)),"未確認")))</f>
        <v>製鉄曳船</v>
      </c>
      <c r="M14" s="24" t="str">
        <f aca="false">IF(A14="","",IF(AND(OR(G14="",G14&lt;=集計!$C$5),OR(H14="",H14&gt;=集計!$C$5)),"○",""))</f>
        <v>○</v>
      </c>
      <c r="N14" s="24" t="str">
        <f aca="false">IF(M14="○",A14,"")</f>
        <v>M</v>
      </c>
      <c r="O14" s="24" t="str">
        <f aca="false">IF(OR(K14="",M14&lt;&gt;"○"),"",IF(COUNTIFS(K$6:K14,K14,M$6:M14,"○")=1,"○",""))</f>
        <v>○</v>
      </c>
      <c r="Q14" s="20" t="s">
        <v>380</v>
      </c>
      <c r="R14" s="20" t="s">
        <v>336</v>
      </c>
      <c r="S14" s="25" t="s">
        <v>374</v>
      </c>
      <c r="T14" s="20" t="s">
        <v>305</v>
      </c>
      <c r="V14" s="20"/>
      <c r="X14" s="20"/>
      <c r="Y14" s="20"/>
      <c r="Z14" s="25"/>
      <c r="AA14" s="20"/>
      <c r="AB14" s="20"/>
      <c r="AD14" s="20"/>
      <c r="AE14" s="20"/>
      <c r="AF14" s="20"/>
      <c r="AG14" s="20" t="s">
        <v>343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</row>
    <row r="15" customFormat="false" ht="15" hidden="false" customHeight="false" outlineLevel="0" collapsed="false">
      <c r="A15" s="25" t="s">
        <v>381</v>
      </c>
      <c r="B15" s="20"/>
      <c r="C15" s="20" t="s">
        <v>303</v>
      </c>
      <c r="D15" s="20" t="s">
        <v>304</v>
      </c>
      <c r="E15" s="20" t="s">
        <v>305</v>
      </c>
      <c r="F15" s="25" t="s">
        <v>159</v>
      </c>
      <c r="G15" s="29"/>
      <c r="H15" s="29"/>
      <c r="I15" s="20" t="s">
        <v>372</v>
      </c>
      <c r="J15" s="20" t="s">
        <v>339</v>
      </c>
      <c r="K15" s="24" t="str">
        <f aca="false">IF(A15="","",IF(B15="",A15,B15))</f>
        <v>P</v>
      </c>
      <c r="L15" s="24" t="str">
        <f aca="false">IF(A15="","",IF(C15="","未確認",IFERROR(INDEX(マスター!$R$6:$R$45,MATCH(C15,マスター!$Q$6:$Q$45,0)),"未確認")))</f>
        <v>製鉄曳船</v>
      </c>
      <c r="M15" s="24" t="str">
        <f aca="false">IF(A15="","",IF(AND(OR(G15="",G15&lt;=集計!$C$5),OR(H15="",H15&gt;=集計!$C$5)),"○",""))</f>
        <v>○</v>
      </c>
      <c r="N15" s="24" t="str">
        <f aca="false">IF(M15="○",A15,"")</f>
        <v>P</v>
      </c>
      <c r="O15" s="24" t="str">
        <f aca="false">IF(OR(K15="",M15&lt;&gt;"○"),"",IF(COUNTIFS(K$6:K15,K15,M$6:M15,"○")=1,"○",""))</f>
        <v>○</v>
      </c>
      <c r="Q15" s="20"/>
      <c r="R15" s="20"/>
      <c r="S15" s="20"/>
      <c r="T15" s="20"/>
      <c r="V15" s="20"/>
      <c r="X15" s="20"/>
      <c r="Y15" s="20"/>
      <c r="Z15" s="25"/>
      <c r="AA15" s="20"/>
      <c r="AB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</row>
    <row r="16" customFormat="false" ht="15" hidden="false" customHeight="false" outlineLevel="0" collapsed="false">
      <c r="A16" s="20" t="s">
        <v>382</v>
      </c>
      <c r="B16" s="20" t="s">
        <v>382</v>
      </c>
      <c r="C16" s="20" t="s">
        <v>322</v>
      </c>
      <c r="D16" s="20" t="s">
        <v>304</v>
      </c>
      <c r="E16" s="20" t="s">
        <v>309</v>
      </c>
      <c r="F16" s="25"/>
      <c r="G16" s="29"/>
      <c r="H16" s="29"/>
      <c r="I16" s="25" t="s">
        <v>337</v>
      </c>
      <c r="J16" s="20" t="s">
        <v>361</v>
      </c>
      <c r="K16" s="24" t="str">
        <f aca="false">IF(A16="","",IF(B16="",A16,B16))</f>
        <v>関豊丸</v>
      </c>
      <c r="L16" s="24" t="str">
        <f aca="false">IF(A16="","",IF(C16="","未確認",IFERROR(INDEX(マスター!$R$6:$R$45,MATCH(C16,マスター!$Q$6:$Q$45,0)),"未確認")))</f>
        <v>西日本海運</v>
      </c>
      <c r="M16" s="24" t="str">
        <f aca="false">IF(A16="","",IF(AND(OR(G16="",G16&lt;=集計!$C$5),OR(H16="",H16&gt;=集計!$C$5)),"○",""))</f>
        <v>○</v>
      </c>
      <c r="N16" s="24" t="str">
        <f aca="false">IF(M16="○",A16,"")</f>
        <v>関豊丸</v>
      </c>
      <c r="O16" s="24" t="str">
        <f aca="false">IF(OR(K16="",M16&lt;&gt;"○"),"",IF(COUNTIFS(K$6:K16,K16,M$6:M16,"○")=1,"○",""))</f>
        <v>○</v>
      </c>
      <c r="Q16" s="20"/>
      <c r="R16" s="20"/>
      <c r="S16" s="20"/>
      <c r="T16" s="20"/>
      <c r="V16" s="20"/>
      <c r="X16" s="20"/>
      <c r="Y16" s="20"/>
      <c r="Z16" s="25"/>
      <c r="AA16" s="20"/>
      <c r="AB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</row>
    <row r="17" customFormat="false" ht="15" hidden="false" customHeight="false" outlineLevel="0" collapsed="false">
      <c r="A17" s="20" t="s">
        <v>383</v>
      </c>
      <c r="B17" s="20" t="s">
        <v>383</v>
      </c>
      <c r="C17" s="20" t="s">
        <v>322</v>
      </c>
      <c r="D17" s="20" t="s">
        <v>304</v>
      </c>
      <c r="E17" s="20" t="s">
        <v>309</v>
      </c>
      <c r="F17" s="25"/>
      <c r="G17" s="29"/>
      <c r="H17" s="29"/>
      <c r="I17" s="25" t="s">
        <v>337</v>
      </c>
      <c r="J17" s="20" t="s">
        <v>361</v>
      </c>
      <c r="K17" s="24" t="str">
        <f aca="false">IF(A17="","",IF(B17="",A17,B17))</f>
        <v>長豊丸</v>
      </c>
      <c r="L17" s="24" t="str">
        <f aca="false">IF(A17="","",IF(C17="","未確認",IFERROR(INDEX(マスター!$R$6:$R$45,MATCH(C17,マスター!$Q$6:$Q$45,0)),"未確認")))</f>
        <v>西日本海運</v>
      </c>
      <c r="M17" s="24" t="str">
        <f aca="false">IF(A17="","",IF(AND(OR(G17="",G17&lt;=集計!$C$5),OR(H17="",H17&gt;=集計!$C$5)),"○",""))</f>
        <v>○</v>
      </c>
      <c r="N17" s="24" t="str">
        <f aca="false">IF(M17="○",A17,"")</f>
        <v>長豊丸</v>
      </c>
      <c r="O17" s="24" t="str">
        <f aca="false">IF(OR(K17="",M17&lt;&gt;"○"),"",IF(COUNTIFS(K$6:K17,K17,M$6:M17,"○")=1,"○",""))</f>
        <v>○</v>
      </c>
      <c r="Q17" s="20"/>
      <c r="R17" s="20"/>
      <c r="S17" s="20"/>
      <c r="T17" s="20"/>
      <c r="V17" s="20"/>
      <c r="X17" s="20"/>
      <c r="Y17" s="20"/>
      <c r="Z17" s="25"/>
      <c r="AA17" s="20"/>
      <c r="AB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</row>
    <row r="18" customFormat="false" ht="15" hidden="false" customHeight="false" outlineLevel="0" collapsed="false">
      <c r="A18" s="20" t="s">
        <v>384</v>
      </c>
      <c r="B18" s="20"/>
      <c r="C18" s="20" t="s">
        <v>322</v>
      </c>
      <c r="D18" s="20" t="s">
        <v>304</v>
      </c>
      <c r="E18" s="20" t="s">
        <v>305</v>
      </c>
      <c r="F18" s="25" t="s">
        <v>159</v>
      </c>
      <c r="G18" s="29"/>
      <c r="H18" s="29"/>
      <c r="I18" s="20" t="s">
        <v>385</v>
      </c>
      <c r="J18" s="20" t="s">
        <v>339</v>
      </c>
      <c r="K18" s="24" t="str">
        <f aca="false">IF(A18="","",IF(B18="",A18,B18))</f>
        <v>関</v>
      </c>
      <c r="L18" s="24" t="str">
        <f aca="false">IF(A18="","",IF(C18="","未確認",IFERROR(INDEX(マスター!$R$6:$R$45,MATCH(C18,マスター!$Q$6:$Q$45,0)),"未確認")))</f>
        <v>西日本海運</v>
      </c>
      <c r="M18" s="24" t="str">
        <f aca="false">IF(A18="","",IF(AND(OR(G18="",G18&lt;=集計!$C$5),OR(H18="",H18&gt;=集計!$C$5)),"○",""))</f>
        <v>○</v>
      </c>
      <c r="N18" s="24" t="str">
        <f aca="false">IF(M18="○",A18,"")</f>
        <v>関</v>
      </c>
      <c r="O18" s="24" t="str">
        <f aca="false">IF(OR(K18="",M18&lt;&gt;"○"),"",IF(COUNTIFS(K$6:K18,K18,M$6:M18,"○")=1,"○",""))</f>
        <v>○</v>
      </c>
      <c r="Q18" s="20"/>
      <c r="R18" s="20"/>
      <c r="S18" s="20"/>
      <c r="T18" s="20"/>
      <c r="V18" s="20"/>
      <c r="X18" s="20"/>
      <c r="Y18" s="20"/>
      <c r="Z18" s="25"/>
      <c r="AA18" s="20"/>
      <c r="AB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</row>
    <row r="19" customFormat="false" ht="15" hidden="false" customHeight="false" outlineLevel="0" collapsed="false">
      <c r="A19" s="20" t="s">
        <v>386</v>
      </c>
      <c r="B19" s="20"/>
      <c r="C19" s="20" t="s">
        <v>322</v>
      </c>
      <c r="D19" s="20" t="s">
        <v>304</v>
      </c>
      <c r="E19" s="20" t="s">
        <v>305</v>
      </c>
      <c r="F19" s="25" t="s">
        <v>159</v>
      </c>
      <c r="G19" s="29"/>
      <c r="H19" s="29"/>
      <c r="I19" s="20" t="s">
        <v>372</v>
      </c>
      <c r="J19" s="20" t="s">
        <v>339</v>
      </c>
      <c r="K19" s="24" t="str">
        <f aca="false">IF(A19="","",IF(B19="",A19,B19))</f>
        <v>長</v>
      </c>
      <c r="L19" s="24" t="str">
        <f aca="false">IF(A19="","",IF(C19="","未確認",IFERROR(INDEX(マスター!$R$6:$R$45,MATCH(C19,マスター!$Q$6:$Q$45,0)),"未確認")))</f>
        <v>西日本海運</v>
      </c>
      <c r="M19" s="24" t="str">
        <f aca="false">IF(A19="","",IF(AND(OR(G19="",G19&lt;=集計!$C$5),OR(H19="",H19&gt;=集計!$C$5)),"○",""))</f>
        <v>○</v>
      </c>
      <c r="N19" s="24" t="str">
        <f aca="false">IF(M19="○",A19,"")</f>
        <v>長</v>
      </c>
      <c r="O19" s="24" t="str">
        <f aca="false">IF(OR(K19="",M19&lt;&gt;"○"),"",IF(COUNTIFS(K$6:K19,K19,M$6:M19,"○")=1,"○",""))</f>
        <v>○</v>
      </c>
      <c r="Q19" s="20"/>
      <c r="R19" s="20"/>
      <c r="S19" s="20"/>
      <c r="T19" s="20"/>
      <c r="V19" s="20"/>
      <c r="X19" s="20"/>
      <c r="Y19" s="20"/>
      <c r="Z19" s="25"/>
      <c r="AA19" s="20"/>
      <c r="AB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customFormat="false" ht="15" hidden="false" customHeight="false" outlineLevel="0" collapsed="false">
      <c r="A20" s="20" t="s">
        <v>387</v>
      </c>
      <c r="B20" s="20" t="s">
        <v>387</v>
      </c>
      <c r="C20" s="20" t="s">
        <v>335</v>
      </c>
      <c r="D20" s="20" t="s">
        <v>304</v>
      </c>
      <c r="E20" s="20" t="s">
        <v>309</v>
      </c>
      <c r="F20" s="25"/>
      <c r="G20" s="29"/>
      <c r="H20" s="29"/>
      <c r="I20" s="20" t="s">
        <v>388</v>
      </c>
      <c r="J20" s="20" t="s">
        <v>369</v>
      </c>
      <c r="K20" s="24" t="str">
        <f aca="false">IF(A20="","",IF(B20="",A20,B20))</f>
        <v>かざし丸</v>
      </c>
      <c r="L20" s="24" t="str">
        <f aca="false">IF(A20="","",IF(C20="","未確認",IFERROR(INDEX(マスター!$R$6:$R$45,MATCH(C20,マスター!$Q$6:$Q$45,0)),"未確認")))</f>
        <v>他社</v>
      </c>
      <c r="M20" s="24" t="str">
        <f aca="false">IF(A20="","",IF(AND(OR(G20="",G20&lt;=集計!$C$5),OR(H20="",H20&gt;=集計!$C$5)),"○",""))</f>
        <v>○</v>
      </c>
      <c r="N20" s="24" t="str">
        <f aca="false">IF(M20="○",A20,"")</f>
        <v>かざし丸</v>
      </c>
      <c r="O20" s="24" t="str">
        <f aca="false">IF(OR(K20="",M20&lt;&gt;"○"),"",IF(COUNTIFS(K$6:K20,K20,M$6:M20,"○")=1,"○",""))</f>
        <v>○</v>
      </c>
      <c r="Q20" s="20"/>
      <c r="R20" s="20"/>
      <c r="S20" s="20"/>
      <c r="T20" s="20"/>
      <c r="V20" s="20"/>
      <c r="X20" s="20"/>
      <c r="Y20" s="20"/>
      <c r="Z20" s="25"/>
      <c r="AA20" s="20"/>
      <c r="AB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customFormat="false" ht="15" hidden="false" customHeight="false" outlineLevel="0" collapsed="false">
      <c r="A21" s="20" t="s">
        <v>389</v>
      </c>
      <c r="B21" s="20" t="s">
        <v>389</v>
      </c>
      <c r="C21" s="20" t="s">
        <v>335</v>
      </c>
      <c r="D21" s="20" t="s">
        <v>304</v>
      </c>
      <c r="E21" s="20" t="s">
        <v>309</v>
      </c>
      <c r="F21" s="25"/>
      <c r="G21" s="29"/>
      <c r="H21" s="29"/>
      <c r="I21" s="20" t="s">
        <v>388</v>
      </c>
      <c r="J21" s="20" t="s">
        <v>369</v>
      </c>
      <c r="K21" s="24" t="str">
        <f aca="false">IF(A21="","",IF(B21="",A21,B21))</f>
        <v>鷲羽丸</v>
      </c>
      <c r="L21" s="24" t="str">
        <f aca="false">IF(A21="","",IF(C21="","未確認",IFERROR(INDEX(マスター!$R$6:$R$45,MATCH(C21,マスター!$Q$6:$Q$45,0)),"未確認")))</f>
        <v>他社</v>
      </c>
      <c r="M21" s="24" t="str">
        <f aca="false">IF(A21="","",IF(AND(OR(G21="",G21&lt;=集計!$C$5),OR(H21="",H21&gt;=集計!$C$5)),"○",""))</f>
        <v>○</v>
      </c>
      <c r="N21" s="24" t="str">
        <f aca="false">IF(M21="○",A21,"")</f>
        <v>鷲羽丸</v>
      </c>
      <c r="O21" s="24" t="str">
        <f aca="false">IF(OR(K21="",M21&lt;&gt;"○"),"",IF(COUNTIFS(K$6:K21,K21,M$6:M21,"○")=1,"○",""))</f>
        <v>○</v>
      </c>
      <c r="Q21" s="20"/>
      <c r="R21" s="20"/>
      <c r="S21" s="20"/>
      <c r="T21" s="20"/>
      <c r="V21" s="20"/>
      <c r="X21" s="20"/>
      <c r="Y21" s="20"/>
      <c r="Z21" s="25"/>
      <c r="AA21" s="20"/>
      <c r="AB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</row>
    <row r="22" customFormat="false" ht="15" hidden="false" customHeight="false" outlineLevel="0" collapsed="false">
      <c r="A22" s="20" t="s">
        <v>390</v>
      </c>
      <c r="B22" s="20" t="s">
        <v>390</v>
      </c>
      <c r="C22" s="20" t="s">
        <v>348</v>
      </c>
      <c r="D22" s="20" t="s">
        <v>304</v>
      </c>
      <c r="E22" s="20" t="s">
        <v>309</v>
      </c>
      <c r="F22" s="25"/>
      <c r="G22" s="29"/>
      <c r="H22" s="29"/>
      <c r="I22" s="20" t="s">
        <v>388</v>
      </c>
      <c r="J22" s="20" t="s">
        <v>369</v>
      </c>
      <c r="K22" s="24" t="str">
        <f aca="false">IF(A22="","",IF(B22="",A22,B22))</f>
        <v>むさし丸2</v>
      </c>
      <c r="L22" s="24" t="str">
        <f aca="false">IF(A22="","",IF(C22="","未確認",IFERROR(INDEX(マスター!$R$6:$R$45,MATCH(C22,マスター!$Q$6:$Q$45,0)),"未確認")))</f>
        <v>他社</v>
      </c>
      <c r="M22" s="24" t="str">
        <f aca="false">IF(A22="","",IF(AND(OR(G22="",G22&lt;=集計!$C$5),OR(H22="",H22&gt;=集計!$C$5)),"○",""))</f>
        <v>○</v>
      </c>
      <c r="N22" s="24" t="str">
        <f aca="false">IF(M22="○",A22,"")</f>
        <v>むさし丸2</v>
      </c>
      <c r="O22" s="24" t="str">
        <f aca="false">IF(OR(K22="",M22&lt;&gt;"○"),"",IF(COUNTIFS(K$6:K22,K22,M$6:M22,"○")=1,"○",""))</f>
        <v>○</v>
      </c>
      <c r="Q22" s="20"/>
      <c r="R22" s="20"/>
      <c r="S22" s="20"/>
      <c r="T22" s="20"/>
      <c r="V22" s="20"/>
      <c r="X22" s="20"/>
      <c r="Y22" s="20"/>
      <c r="Z22" s="25"/>
      <c r="AA22" s="20"/>
      <c r="AB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</row>
    <row r="23" customFormat="false" ht="15" hidden="false" customHeight="false" outlineLevel="0" collapsed="false">
      <c r="A23" s="20" t="s">
        <v>391</v>
      </c>
      <c r="B23" s="20" t="s">
        <v>391</v>
      </c>
      <c r="C23" s="20" t="s">
        <v>348</v>
      </c>
      <c r="D23" s="20" t="s">
        <v>304</v>
      </c>
      <c r="E23" s="20" t="s">
        <v>309</v>
      </c>
      <c r="F23" s="25"/>
      <c r="G23" s="29"/>
      <c r="H23" s="29"/>
      <c r="I23" s="20" t="s">
        <v>388</v>
      </c>
      <c r="J23" s="20" t="s">
        <v>369</v>
      </c>
      <c r="K23" s="24" t="str">
        <f aca="false">IF(A23="","",IF(B23="",A23,B23))</f>
        <v>かなで</v>
      </c>
      <c r="L23" s="24" t="str">
        <f aca="false">IF(A23="","",IF(C23="","未確認",IFERROR(INDEX(マスター!$R$6:$R$45,MATCH(C23,マスター!$Q$6:$Q$45,0)),"未確認")))</f>
        <v>他社</v>
      </c>
      <c r="M23" s="24" t="str">
        <f aca="false">IF(A23="","",IF(AND(OR(G23="",G23&lt;=集計!$C$5),OR(H23="",H23&gt;=集計!$C$5)),"○",""))</f>
        <v>○</v>
      </c>
      <c r="N23" s="24" t="str">
        <f aca="false">IF(M23="○",A23,"")</f>
        <v>かなで</v>
      </c>
      <c r="O23" s="24" t="str">
        <f aca="false">IF(OR(K23="",M23&lt;&gt;"○"),"",IF(COUNTIFS(K$6:K23,K23,M$6:M23,"○")=1,"○",""))</f>
        <v>○</v>
      </c>
      <c r="Q23" s="20"/>
      <c r="R23" s="20"/>
      <c r="S23" s="20"/>
      <c r="T23" s="20"/>
      <c r="V23" s="20"/>
      <c r="X23" s="20"/>
      <c r="Y23" s="20"/>
      <c r="Z23" s="25"/>
      <c r="AA23" s="20"/>
      <c r="AB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</row>
    <row r="24" customFormat="false" ht="15" hidden="false" customHeight="false" outlineLevel="0" collapsed="false">
      <c r="A24" s="20" t="s">
        <v>392</v>
      </c>
      <c r="B24" s="20" t="s">
        <v>392</v>
      </c>
      <c r="C24" s="20" t="s">
        <v>358</v>
      </c>
      <c r="D24" s="20" t="s">
        <v>304</v>
      </c>
      <c r="E24" s="20" t="s">
        <v>309</v>
      </c>
      <c r="F24" s="25"/>
      <c r="G24" s="29"/>
      <c r="H24" s="29"/>
      <c r="I24" s="20" t="s">
        <v>388</v>
      </c>
      <c r="J24" s="20" t="s">
        <v>369</v>
      </c>
      <c r="K24" s="24" t="str">
        <f aca="false">IF(A24="","",IF(B24="",A24,B24))</f>
        <v>かいせい</v>
      </c>
      <c r="L24" s="24" t="str">
        <f aca="false">IF(A24="","",IF(C24="","未確認",IFERROR(INDEX(マスター!$R$6:$R$45,MATCH(C24,マスター!$Q$6:$Q$45,0)),"未確認")))</f>
        <v>他社</v>
      </c>
      <c r="M24" s="24" t="str">
        <f aca="false">IF(A24="","",IF(AND(OR(G24="",G24&lt;=集計!$C$5),OR(H24="",H24&gt;=集計!$C$5)),"○",""))</f>
        <v>○</v>
      </c>
      <c r="N24" s="24" t="str">
        <f aca="false">IF(M24="○",A24,"")</f>
        <v>かいせい</v>
      </c>
      <c r="O24" s="24" t="str">
        <f aca="false">IF(OR(K24="",M24&lt;&gt;"○"),"",IF(COUNTIFS(K$6:K24,K24,M$6:M24,"○")=1,"○",""))</f>
        <v>○</v>
      </c>
      <c r="Q24" s="20"/>
      <c r="R24" s="20"/>
      <c r="S24" s="20"/>
      <c r="T24" s="20"/>
      <c r="V24" s="20"/>
      <c r="X24" s="20"/>
      <c r="Y24" s="20"/>
      <c r="Z24" s="25"/>
      <c r="AA24" s="20"/>
      <c r="AB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</row>
    <row r="25" customFormat="false" ht="15" hidden="false" customHeight="false" outlineLevel="0" collapsed="false">
      <c r="A25" s="20" t="s">
        <v>393</v>
      </c>
      <c r="B25" s="20" t="s">
        <v>393</v>
      </c>
      <c r="C25" s="20" t="s">
        <v>367</v>
      </c>
      <c r="D25" s="20" t="s">
        <v>304</v>
      </c>
      <c r="E25" s="20" t="s">
        <v>309</v>
      </c>
      <c r="F25" s="25"/>
      <c r="G25" s="29"/>
      <c r="H25" s="29"/>
      <c r="I25" s="25" t="s">
        <v>394</v>
      </c>
      <c r="J25" s="20" t="s">
        <v>308</v>
      </c>
      <c r="K25" s="24" t="str">
        <f aca="false">IF(A25="","",IF(B25="",A25,B25))</f>
        <v>春風</v>
      </c>
      <c r="L25" s="24" t="str">
        <f aca="false">IF(A25="","",IF(C25="","未確認",IFERROR(INDEX(マスター!$R$6:$R$45,MATCH(C25,マスター!$Q$6:$Q$45,0)),"未確認")))</f>
        <v>他社</v>
      </c>
      <c r="M25" s="24" t="str">
        <f aca="false">IF(A25="","",IF(AND(OR(G25="",G25&lt;=集計!$C$5),OR(H25="",H25&gt;=集計!$C$5)),"○",""))</f>
        <v>○</v>
      </c>
      <c r="N25" s="24" t="str">
        <f aca="false">IF(M25="○",A25,"")</f>
        <v>春風</v>
      </c>
      <c r="O25" s="24" t="str">
        <f aca="false">IF(OR(K25="",M25&lt;&gt;"○"),"",IF(COUNTIFS(K$6:K25,K25,M$6:M25,"○")=1,"○",""))</f>
        <v>○</v>
      </c>
      <c r="Q25" s="20"/>
      <c r="R25" s="20"/>
      <c r="S25" s="20"/>
      <c r="T25" s="20"/>
      <c r="V25" s="20"/>
      <c r="X25" s="20"/>
      <c r="Y25" s="20"/>
      <c r="Z25" s="25"/>
      <c r="AA25" s="20"/>
      <c r="AB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</row>
    <row r="26" customFormat="false" ht="15" hidden="false" customHeight="false" outlineLevel="0" collapsed="false">
      <c r="A26" s="20" t="s">
        <v>395</v>
      </c>
      <c r="B26" s="20" t="s">
        <v>395</v>
      </c>
      <c r="C26" s="20" t="s">
        <v>367</v>
      </c>
      <c r="D26" s="20" t="s">
        <v>304</v>
      </c>
      <c r="E26" s="20" t="s">
        <v>309</v>
      </c>
      <c r="F26" s="25"/>
      <c r="G26" s="29"/>
      <c r="H26" s="29"/>
      <c r="I26" s="25" t="s">
        <v>394</v>
      </c>
      <c r="J26" s="20" t="s">
        <v>308</v>
      </c>
      <c r="K26" s="24" t="str">
        <f aca="false">IF(A26="","",IF(B26="",A26,B26))</f>
        <v>栄春</v>
      </c>
      <c r="L26" s="24" t="str">
        <f aca="false">IF(A26="","",IF(C26="","未確認",IFERROR(INDEX(マスター!$R$6:$R$45,MATCH(C26,マスター!$Q$6:$Q$45,0)),"未確認")))</f>
        <v>他社</v>
      </c>
      <c r="M26" s="24" t="str">
        <f aca="false">IF(A26="","",IF(AND(OR(G26="",G26&lt;=集計!$C$5),OR(H26="",H26&gt;=集計!$C$5)),"○",""))</f>
        <v>○</v>
      </c>
      <c r="N26" s="24" t="str">
        <f aca="false">IF(M26="○",A26,"")</f>
        <v>栄春</v>
      </c>
      <c r="O26" s="24" t="str">
        <f aca="false">IF(OR(K26="",M26&lt;&gt;"○"),"",IF(COUNTIFS(K$6:K26,K26,M$6:M26,"○")=1,"○",""))</f>
        <v>○</v>
      </c>
      <c r="Q26" s="20"/>
      <c r="R26" s="20"/>
      <c r="S26" s="20"/>
      <c r="T26" s="20"/>
    </row>
    <row r="27" customFormat="false" ht="15" hidden="false" customHeight="false" outlineLevel="0" collapsed="false">
      <c r="A27" s="20" t="s">
        <v>396</v>
      </c>
      <c r="B27" s="20" t="s">
        <v>396</v>
      </c>
      <c r="C27" s="20" t="s">
        <v>367</v>
      </c>
      <c r="D27" s="20" t="s">
        <v>304</v>
      </c>
      <c r="E27" s="20" t="s">
        <v>309</v>
      </c>
      <c r="F27" s="25"/>
      <c r="G27" s="29"/>
      <c r="H27" s="29"/>
      <c r="I27" s="25" t="s">
        <v>394</v>
      </c>
      <c r="J27" s="20" t="s">
        <v>308</v>
      </c>
      <c r="K27" s="24" t="str">
        <f aca="false">IF(A27="","",IF(B27="",A27,B27))</f>
        <v>双美</v>
      </c>
      <c r="L27" s="24" t="str">
        <f aca="false">IF(A27="","",IF(C27="","未確認",IFERROR(INDEX(マスター!$R$6:$R$45,MATCH(C27,マスター!$Q$6:$Q$45,0)),"未確認")))</f>
        <v>他社</v>
      </c>
      <c r="M27" s="24" t="str">
        <f aca="false">IF(A27="","",IF(AND(OR(G27="",G27&lt;=集計!$C$5),OR(H27="",H27&gt;=集計!$C$5)),"○",""))</f>
        <v>○</v>
      </c>
      <c r="N27" s="24" t="str">
        <f aca="false">IF(M27="○",A27,"")</f>
        <v>双美</v>
      </c>
      <c r="O27" s="24" t="str">
        <f aca="false">IF(OR(K27="",M27&lt;&gt;"○"),"",IF(COUNTIFS(K$6:K27,K27,M$6:M27,"○")=1,"○",""))</f>
        <v>○</v>
      </c>
      <c r="Q27" s="20"/>
      <c r="R27" s="20"/>
      <c r="S27" s="20"/>
      <c r="T27" s="20"/>
    </row>
    <row r="28" customFormat="false" ht="15" hidden="false" customHeight="false" outlineLevel="0" collapsed="false">
      <c r="A28" s="20" t="s">
        <v>397</v>
      </c>
      <c r="B28" s="20" t="s">
        <v>397</v>
      </c>
      <c r="C28" s="20" t="s">
        <v>367</v>
      </c>
      <c r="D28" s="20" t="s">
        <v>304</v>
      </c>
      <c r="E28" s="20" t="s">
        <v>309</v>
      </c>
      <c r="F28" s="25"/>
      <c r="G28" s="29"/>
      <c r="H28" s="29"/>
      <c r="I28" s="25" t="s">
        <v>394</v>
      </c>
      <c r="J28" s="20" t="s">
        <v>308</v>
      </c>
      <c r="K28" s="24" t="str">
        <f aca="false">IF(A28="","",IF(B28="",A28,B28))</f>
        <v>春幸</v>
      </c>
      <c r="L28" s="24" t="str">
        <f aca="false">IF(A28="","",IF(C28="","未確認",IFERROR(INDEX(マスター!$R$6:$R$45,MATCH(C28,マスター!$Q$6:$Q$45,0)),"未確認")))</f>
        <v>他社</v>
      </c>
      <c r="M28" s="24" t="str">
        <f aca="false">IF(A28="","",IF(AND(OR(G28="",G28&lt;=集計!$C$5),OR(H28="",H28&gt;=集計!$C$5)),"○",""))</f>
        <v>○</v>
      </c>
      <c r="N28" s="24" t="str">
        <f aca="false">IF(M28="○",A28,"")</f>
        <v>春幸</v>
      </c>
      <c r="O28" s="24" t="str">
        <f aca="false">IF(OR(K28="",M28&lt;&gt;"○"),"",IF(COUNTIFS(K$6:K28,K28,M$6:M28,"○")=1,"○",""))</f>
        <v>○</v>
      </c>
      <c r="Q28" s="20"/>
      <c r="R28" s="20"/>
      <c r="S28" s="20"/>
      <c r="T28" s="20"/>
    </row>
    <row r="29" customFormat="false" ht="15" hidden="false" customHeight="false" outlineLevel="0" collapsed="false">
      <c r="A29" s="20" t="s">
        <v>398</v>
      </c>
      <c r="B29" s="20"/>
      <c r="C29" s="20"/>
      <c r="D29" s="20" t="s">
        <v>304</v>
      </c>
      <c r="E29" s="20" t="s">
        <v>305</v>
      </c>
      <c r="F29" s="25"/>
      <c r="G29" s="29"/>
      <c r="H29" s="29"/>
      <c r="I29" s="20" t="s">
        <v>399</v>
      </c>
      <c r="J29" s="20" t="s">
        <v>339</v>
      </c>
      <c r="K29" s="24" t="str">
        <f aca="false">IF(A29="","",IF(B29="",A29,B29))</f>
        <v>さくら</v>
      </c>
      <c r="L29" s="24" t="str">
        <f aca="false">IF(A29="","",IF(C29="","未確認",IFERROR(INDEX(マスター!$R$6:$R$45,MATCH(C29,マスター!$Q$6:$Q$45,0)),"未確認")))</f>
        <v>未確認</v>
      </c>
      <c r="M29" s="24" t="str">
        <f aca="false">IF(A29="","",IF(AND(OR(G29="",G29&lt;=集計!$C$5),OR(H29="",H29&gt;=集計!$C$5)),"○",""))</f>
        <v>○</v>
      </c>
      <c r="N29" s="24" t="str">
        <f aca="false">IF(M29="○",A29,"")</f>
        <v>さくら</v>
      </c>
      <c r="O29" s="24" t="str">
        <f aca="false">IF(OR(K29="",M29&lt;&gt;"○"),"",IF(COUNTIFS(K$6:K29,K29,M$6:M29,"○")=1,"○",""))</f>
        <v>○</v>
      </c>
      <c r="Q29" s="20"/>
      <c r="R29" s="20"/>
      <c r="S29" s="20"/>
      <c r="T29" s="20"/>
    </row>
    <row r="30" customFormat="false" ht="15" hidden="false" customHeight="false" outlineLevel="0" collapsed="false">
      <c r="A30" s="20" t="s">
        <v>400</v>
      </c>
      <c r="B30" s="20"/>
      <c r="C30" s="20"/>
      <c r="D30" s="20" t="s">
        <v>304</v>
      </c>
      <c r="E30" s="20" t="s">
        <v>305</v>
      </c>
      <c r="F30" s="25"/>
      <c r="G30" s="29"/>
      <c r="H30" s="29"/>
      <c r="I30" s="20" t="s">
        <v>399</v>
      </c>
      <c r="J30" s="20" t="s">
        <v>339</v>
      </c>
      <c r="K30" s="24" t="str">
        <f aca="false">IF(A30="","",IF(B30="",A30,B30))</f>
        <v>みさき</v>
      </c>
      <c r="L30" s="24" t="str">
        <f aca="false">IF(A30="","",IF(C30="","未確認",IFERROR(INDEX(マスター!$R$6:$R$45,MATCH(C30,マスター!$Q$6:$Q$45,0)),"未確認")))</f>
        <v>未確認</v>
      </c>
      <c r="M30" s="24" t="str">
        <f aca="false">IF(A30="","",IF(AND(OR(G30="",G30&lt;=集計!$C$5),OR(H30="",H30&gt;=集計!$C$5)),"○",""))</f>
        <v>○</v>
      </c>
      <c r="N30" s="24" t="str">
        <f aca="false">IF(M30="○",A30,"")</f>
        <v>みさき</v>
      </c>
      <c r="O30" s="24" t="str">
        <f aca="false">IF(OR(K30="",M30&lt;&gt;"○"),"",IF(COUNTIFS(K$6:K30,K30,M$6:M30,"○")=1,"○",""))</f>
        <v>○</v>
      </c>
      <c r="Q30" s="20"/>
      <c r="R30" s="20"/>
      <c r="S30" s="20"/>
      <c r="T30" s="20"/>
    </row>
    <row r="31" customFormat="false" ht="15" hidden="false" customHeight="false" outlineLevel="0" collapsed="false">
      <c r="A31" s="20" t="s">
        <v>401</v>
      </c>
      <c r="B31" s="20"/>
      <c r="C31" s="20"/>
      <c r="D31" s="20" t="s">
        <v>304</v>
      </c>
      <c r="E31" s="20" t="s">
        <v>305</v>
      </c>
      <c r="F31" s="25"/>
      <c r="G31" s="29"/>
      <c r="H31" s="29"/>
      <c r="I31" s="20" t="s">
        <v>402</v>
      </c>
      <c r="J31" s="20" t="s">
        <v>339</v>
      </c>
      <c r="K31" s="24" t="str">
        <f aca="false">IF(A31="","",IF(B31="",A31,B31))</f>
        <v>竜山</v>
      </c>
      <c r="L31" s="24" t="str">
        <f aca="false">IF(A31="","",IF(C31="","未確認",IFERROR(INDEX(マスター!$R$6:$R$45,MATCH(C31,マスター!$Q$6:$Q$45,0)),"未確認")))</f>
        <v>未確認</v>
      </c>
      <c r="M31" s="24" t="str">
        <f aca="false">IF(A31="","",IF(AND(OR(G31="",G31&lt;=集計!$C$5),OR(H31="",H31&gt;=集計!$C$5)),"○",""))</f>
        <v>○</v>
      </c>
      <c r="N31" s="24" t="str">
        <f aca="false">IF(M31="○",A31,"")</f>
        <v>竜山</v>
      </c>
      <c r="O31" s="24" t="str">
        <f aca="false">IF(OR(K31="",M31&lt;&gt;"○"),"",IF(COUNTIFS(K$6:K31,K31,M$6:M31,"○")=1,"○",""))</f>
        <v>○</v>
      </c>
      <c r="Q31" s="20"/>
      <c r="R31" s="20"/>
      <c r="S31" s="20"/>
      <c r="T31" s="20"/>
    </row>
    <row r="32" customFormat="false" ht="15" hidden="false" customHeight="false" outlineLevel="0" collapsed="false">
      <c r="A32" s="20" t="s">
        <v>403</v>
      </c>
      <c r="B32" s="20"/>
      <c r="C32" s="20"/>
      <c r="D32" s="20" t="s">
        <v>304</v>
      </c>
      <c r="E32" s="20" t="s">
        <v>305</v>
      </c>
      <c r="F32" s="25"/>
      <c r="G32" s="29"/>
      <c r="H32" s="29"/>
      <c r="I32" s="20" t="s">
        <v>402</v>
      </c>
      <c r="J32" s="20" t="s">
        <v>339</v>
      </c>
      <c r="K32" s="24" t="str">
        <f aca="false">IF(A32="","",IF(B32="",A32,B32))</f>
        <v>竜峰</v>
      </c>
      <c r="L32" s="24" t="str">
        <f aca="false">IF(A32="","",IF(C32="","未確認",IFERROR(INDEX(マスター!$R$6:$R$45,MATCH(C32,マスター!$Q$6:$Q$45,0)),"未確認")))</f>
        <v>未確認</v>
      </c>
      <c r="M32" s="24" t="str">
        <f aca="false">IF(A32="","",IF(AND(OR(G32="",G32&lt;=集計!$C$5),OR(H32="",H32&gt;=集計!$C$5)),"○",""))</f>
        <v>○</v>
      </c>
      <c r="N32" s="24" t="str">
        <f aca="false">IF(M32="○",A32,"")</f>
        <v>竜峰</v>
      </c>
      <c r="O32" s="24" t="str">
        <f aca="false">IF(OR(K32="",M32&lt;&gt;"○"),"",IF(COUNTIFS(K$6:K32,K32,M$6:M32,"○")=1,"○",""))</f>
        <v>○</v>
      </c>
      <c r="Q32" s="20"/>
      <c r="R32" s="20"/>
      <c r="S32" s="20"/>
      <c r="T32" s="20"/>
    </row>
    <row r="33" customFormat="false" ht="15" hidden="false" customHeight="false" outlineLevel="0" collapsed="false">
      <c r="A33" s="20" t="s">
        <v>404</v>
      </c>
      <c r="B33" s="20"/>
      <c r="C33" s="20"/>
      <c r="D33" s="20" t="s">
        <v>304</v>
      </c>
      <c r="E33" s="20" t="s">
        <v>305</v>
      </c>
      <c r="F33" s="25"/>
      <c r="G33" s="29"/>
      <c r="H33" s="29"/>
      <c r="I33" s="20" t="s">
        <v>402</v>
      </c>
      <c r="J33" s="20" t="s">
        <v>339</v>
      </c>
      <c r="K33" s="24" t="str">
        <f aca="false">IF(A33="","",IF(B33="",A33,B33))</f>
        <v>竜昇</v>
      </c>
      <c r="L33" s="24" t="str">
        <f aca="false">IF(A33="","",IF(C33="","未確認",IFERROR(INDEX(マスター!$R$6:$R$45,MATCH(C33,マスター!$Q$6:$Q$45,0)),"未確認")))</f>
        <v>未確認</v>
      </c>
      <c r="M33" s="24" t="str">
        <f aca="false">IF(A33="","",IF(AND(OR(G33="",G33&lt;=集計!$C$5),OR(H33="",H33&gt;=集計!$C$5)),"○",""))</f>
        <v>○</v>
      </c>
      <c r="N33" s="24" t="str">
        <f aca="false">IF(M33="○",A33,"")</f>
        <v>竜昇</v>
      </c>
      <c r="O33" s="24" t="str">
        <f aca="false">IF(OR(K33="",M33&lt;&gt;"○"),"",IF(COUNTIFS(K$6:K33,K33,M$6:M33,"○")=1,"○",""))</f>
        <v>○</v>
      </c>
      <c r="Q33" s="20"/>
      <c r="R33" s="20"/>
      <c r="S33" s="20"/>
      <c r="T33" s="20"/>
    </row>
    <row r="34" customFormat="false" ht="15" hidden="false" customHeight="false" outlineLevel="0" collapsed="false">
      <c r="A34" s="20" t="s">
        <v>405</v>
      </c>
      <c r="B34" s="20"/>
      <c r="C34" s="20"/>
      <c r="D34" s="20" t="s">
        <v>304</v>
      </c>
      <c r="E34" s="20" t="s">
        <v>305</v>
      </c>
      <c r="F34" s="25"/>
      <c r="G34" s="29"/>
      <c r="H34" s="29"/>
      <c r="I34" s="20" t="s">
        <v>402</v>
      </c>
      <c r="J34" s="20" t="s">
        <v>339</v>
      </c>
      <c r="K34" s="24" t="str">
        <f aca="false">IF(A34="","",IF(B34="",A34,B34))</f>
        <v>竜海</v>
      </c>
      <c r="L34" s="24" t="str">
        <f aca="false">IF(A34="","",IF(C34="","未確認",IFERROR(INDEX(マスター!$R$6:$R$45,MATCH(C34,マスター!$Q$6:$Q$45,0)),"未確認")))</f>
        <v>未確認</v>
      </c>
      <c r="M34" s="24" t="str">
        <f aca="false">IF(A34="","",IF(AND(OR(G34="",G34&lt;=集計!$C$5),OR(H34="",H34&gt;=集計!$C$5)),"○",""))</f>
        <v>○</v>
      </c>
      <c r="N34" s="24" t="str">
        <f aca="false">IF(M34="○",A34,"")</f>
        <v>竜海</v>
      </c>
      <c r="O34" s="24" t="str">
        <f aca="false">IF(OR(K34="",M34&lt;&gt;"○"),"",IF(COUNTIFS(K$6:K34,K34,M$6:M34,"○")=1,"○",""))</f>
        <v>○</v>
      </c>
      <c r="Q34" s="20"/>
      <c r="R34" s="20"/>
      <c r="S34" s="20"/>
      <c r="T34" s="20"/>
    </row>
    <row r="35" customFormat="false" ht="15" hidden="false" customHeight="false" outlineLevel="0" collapsed="false">
      <c r="A35" s="20" t="s">
        <v>406</v>
      </c>
      <c r="B35" s="20"/>
      <c r="C35" s="20"/>
      <c r="D35" s="20" t="s">
        <v>304</v>
      </c>
      <c r="E35" s="20" t="s">
        <v>305</v>
      </c>
      <c r="F35" s="25"/>
      <c r="G35" s="29"/>
      <c r="H35" s="29"/>
      <c r="I35" s="20" t="s">
        <v>407</v>
      </c>
      <c r="J35" s="20" t="s">
        <v>339</v>
      </c>
      <c r="K35" s="24" t="str">
        <f aca="false">IF(A35="","",IF(B35="",A35,B35))</f>
        <v>慶鳳丸</v>
      </c>
      <c r="L35" s="24" t="str">
        <f aca="false">IF(A35="","",IF(C35="","未確認",IFERROR(INDEX(マスター!$R$6:$R$45,MATCH(C35,マスター!$Q$6:$Q$45,0)),"未確認")))</f>
        <v>未確認</v>
      </c>
      <c r="M35" s="24" t="str">
        <f aca="false">IF(A35="","",IF(AND(OR(G35="",G35&lt;=集計!$C$5),OR(H35="",H35&gt;=集計!$C$5)),"○",""))</f>
        <v>○</v>
      </c>
      <c r="N35" s="24" t="str">
        <f aca="false">IF(M35="○",A35,"")</f>
        <v>慶鳳丸</v>
      </c>
      <c r="O35" s="24" t="str">
        <f aca="false">IF(OR(K35="",M35&lt;&gt;"○"),"",IF(COUNTIFS(K$6:K35,K35,M$6:M35,"○")=1,"○",""))</f>
        <v>○</v>
      </c>
      <c r="Q35" s="20"/>
      <c r="R35" s="20"/>
      <c r="S35" s="20"/>
      <c r="T35" s="20"/>
    </row>
    <row r="36" customFormat="false" ht="15" hidden="false" customHeight="false" outlineLevel="0" collapsed="false">
      <c r="A36" s="20" t="s">
        <v>408</v>
      </c>
      <c r="B36" s="20"/>
      <c r="C36" s="20"/>
      <c r="D36" s="20" t="s">
        <v>304</v>
      </c>
      <c r="E36" s="20" t="s">
        <v>305</v>
      </c>
      <c r="F36" s="25"/>
      <c r="G36" s="29"/>
      <c r="H36" s="29"/>
      <c r="I36" s="20" t="s">
        <v>409</v>
      </c>
      <c r="J36" s="20" t="s">
        <v>339</v>
      </c>
      <c r="K36" s="24" t="str">
        <f aca="false">IF(A36="","",IF(B36="",A36,B36))</f>
        <v>秀豊</v>
      </c>
      <c r="L36" s="24" t="str">
        <f aca="false">IF(A36="","",IF(C36="","未確認",IFERROR(INDEX(マスター!$R$6:$R$45,MATCH(C36,マスター!$Q$6:$Q$45,0)),"未確認")))</f>
        <v>未確認</v>
      </c>
      <c r="M36" s="24" t="str">
        <f aca="false">IF(A36="","",IF(AND(OR(G36="",G36&lt;=集計!$C$5),OR(H36="",H36&gt;=集計!$C$5)),"○",""))</f>
        <v>○</v>
      </c>
      <c r="N36" s="24" t="str">
        <f aca="false">IF(M36="○",A36,"")</f>
        <v>秀豊</v>
      </c>
      <c r="O36" s="24" t="str">
        <f aca="false">IF(OR(K36="",M36&lt;&gt;"○"),"",IF(COUNTIFS(K$6:K36,K36,M$6:M36,"○")=1,"○",""))</f>
        <v>○</v>
      </c>
      <c r="Q36" s="20"/>
      <c r="R36" s="20"/>
      <c r="S36" s="20"/>
      <c r="T36" s="20"/>
    </row>
    <row r="37" customFormat="false" ht="15" hidden="false" customHeight="false" outlineLevel="0" collapsed="false">
      <c r="A37" s="20" t="s">
        <v>410</v>
      </c>
      <c r="B37" s="20"/>
      <c r="C37" s="20"/>
      <c r="D37" s="20" t="s">
        <v>304</v>
      </c>
      <c r="E37" s="20" t="s">
        <v>305</v>
      </c>
      <c r="F37" s="25"/>
      <c r="G37" s="29"/>
      <c r="H37" s="29"/>
      <c r="I37" s="20" t="s">
        <v>411</v>
      </c>
      <c r="J37" s="20" t="s">
        <v>339</v>
      </c>
      <c r="K37" s="24" t="str">
        <f aca="false">IF(A37="","",IF(B37="",A37,B37))</f>
        <v>秀豊丸</v>
      </c>
      <c r="L37" s="24" t="str">
        <f aca="false">IF(A37="","",IF(C37="","未確認",IFERROR(INDEX(マスター!$R$6:$R$45,MATCH(C37,マスター!$Q$6:$Q$45,0)),"未確認")))</f>
        <v>未確認</v>
      </c>
      <c r="M37" s="24" t="str">
        <f aca="false">IF(A37="","",IF(AND(OR(G37="",G37&lt;=集計!$C$5),OR(H37="",H37&gt;=集計!$C$5)),"○",""))</f>
        <v>○</v>
      </c>
      <c r="N37" s="24" t="str">
        <f aca="false">IF(M37="○",A37,"")</f>
        <v>秀豊丸</v>
      </c>
      <c r="O37" s="24" t="str">
        <f aca="false">IF(OR(K37="",M37&lt;&gt;"○"),"",IF(COUNTIFS(K$6:K37,K37,M$6:M37,"○")=1,"○",""))</f>
        <v>○</v>
      </c>
      <c r="Q37" s="20"/>
      <c r="R37" s="20"/>
      <c r="S37" s="20"/>
      <c r="T37" s="20"/>
    </row>
    <row r="38" customFormat="false" ht="15" hidden="false" customHeight="false" outlineLevel="0" collapsed="false">
      <c r="A38" s="20" t="s">
        <v>412</v>
      </c>
      <c r="B38" s="20"/>
      <c r="C38" s="20"/>
      <c r="D38" s="20" t="s">
        <v>305</v>
      </c>
      <c r="E38" s="20" t="s">
        <v>305</v>
      </c>
      <c r="F38" s="25"/>
      <c r="G38" s="29"/>
      <c r="H38" s="29"/>
      <c r="I38" s="20" t="s">
        <v>413</v>
      </c>
      <c r="J38" s="20" t="s">
        <v>376</v>
      </c>
      <c r="K38" s="24" t="str">
        <f aca="false">IF(A38="","",IF(B38="",A38,B38))</f>
        <v>まんじゅ</v>
      </c>
      <c r="L38" s="24" t="str">
        <f aca="false">IF(A38="","",IF(C38="","未確認",IFERROR(INDEX(マスター!$R$6:$R$45,MATCH(C38,マスター!$Q$6:$Q$45,0)),"未確認")))</f>
        <v>未確認</v>
      </c>
      <c r="M38" s="24" t="str">
        <f aca="false">IF(A38="","",IF(AND(OR(G38="",G38&lt;=集計!$C$5),OR(H38="",H38&gt;=集計!$C$5)),"○",""))</f>
        <v>○</v>
      </c>
      <c r="N38" s="24" t="str">
        <f aca="false">IF(M38="○",A38,"")</f>
        <v>まんじゅ</v>
      </c>
      <c r="O38" s="24" t="str">
        <f aca="false">IF(OR(K38="",M38&lt;&gt;"○"),"",IF(COUNTIFS(K$6:K38,K38,M$6:M38,"○")=1,"○",""))</f>
        <v>○</v>
      </c>
      <c r="Q38" s="20"/>
      <c r="R38" s="20"/>
      <c r="S38" s="20"/>
      <c r="T38" s="20"/>
    </row>
    <row r="39" customFormat="false" ht="15" hidden="false" customHeight="false" outlineLevel="0" collapsed="false">
      <c r="A39" s="20" t="s">
        <v>414</v>
      </c>
      <c r="B39" s="20"/>
      <c r="C39" s="20"/>
      <c r="D39" s="20" t="s">
        <v>305</v>
      </c>
      <c r="E39" s="20" t="s">
        <v>305</v>
      </c>
      <c r="F39" s="25"/>
      <c r="G39" s="29"/>
      <c r="H39" s="29"/>
      <c r="I39" s="20" t="s">
        <v>413</v>
      </c>
      <c r="J39" s="20" t="s">
        <v>376</v>
      </c>
      <c r="K39" s="24" t="str">
        <f aca="false">IF(A39="","",IF(B39="",A39,B39))</f>
        <v>せいじゅ</v>
      </c>
      <c r="L39" s="24" t="str">
        <f aca="false">IF(A39="","",IF(C39="","未確認",IFERROR(INDEX(マスター!$R$6:$R$45,MATCH(C39,マスター!$Q$6:$Q$45,0)),"未確認")))</f>
        <v>未確認</v>
      </c>
      <c r="M39" s="24" t="str">
        <f aca="false">IF(A39="","",IF(AND(OR(G39="",G39&lt;=集計!$C$5),OR(H39="",H39&gt;=集計!$C$5)),"○",""))</f>
        <v>○</v>
      </c>
      <c r="N39" s="24" t="str">
        <f aca="false">IF(M39="○",A39,"")</f>
        <v>せいじゅ</v>
      </c>
      <c r="O39" s="24" t="str">
        <f aca="false">IF(OR(K39="",M39&lt;&gt;"○"),"",IF(COUNTIFS(K$6:K39,K39,M$6:M39,"○")=1,"○",""))</f>
        <v>○</v>
      </c>
      <c r="Q39" s="20"/>
      <c r="R39" s="20"/>
      <c r="S39" s="20"/>
      <c r="T39" s="20"/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5"/>
      <c r="G40" s="29"/>
      <c r="H40" s="29"/>
      <c r="I40" s="20"/>
      <c r="J40" s="20"/>
      <c r="K40" s="24" t="str">
        <f aca="false">IF(A40="","",IF(B40="",A40,B40))</f>
        <v/>
      </c>
      <c r="L40" s="24" t="str">
        <f aca="false">IF(A40="","",IF(C40="","未確認",IFERROR(INDEX(マスター!$R$6:$R$45,MATCH(C40,マスター!$Q$6:$Q$45,0)),"未確認")))</f>
        <v/>
      </c>
      <c r="M40" s="24" t="str">
        <f aca="false">IF(A40="","",IF(AND(OR(G40="",G40&lt;=集計!$C$5),OR(H40="",H40&gt;=集計!$C$5)),"○",""))</f>
        <v/>
      </c>
      <c r="N40" s="24" t="str">
        <f aca="false">IF(M40="○",A40,"")</f>
        <v/>
      </c>
      <c r="O40" s="24" t="str">
        <f aca="false">IF(OR(K40="",M40&lt;&gt;"○"),"",IF(COUNTIFS(K$6:K40,K40,M$6:M40,"○")=1,"○",""))</f>
        <v/>
      </c>
      <c r="Q40" s="20"/>
      <c r="R40" s="20"/>
      <c r="S40" s="20"/>
      <c r="T40" s="20"/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5"/>
      <c r="G41" s="29"/>
      <c r="H41" s="29"/>
      <c r="I41" s="20"/>
      <c r="J41" s="20"/>
      <c r="K41" s="24" t="str">
        <f aca="false">IF(A41="","",IF(B41="",A41,B41))</f>
        <v/>
      </c>
      <c r="L41" s="24" t="str">
        <f aca="false">IF(A41="","",IF(C41="","未確認",IFERROR(INDEX(マスター!$R$6:$R$45,MATCH(C41,マスター!$Q$6:$Q$45,0)),"未確認")))</f>
        <v/>
      </c>
      <c r="M41" s="24" t="str">
        <f aca="false">IF(A41="","",IF(AND(OR(G41="",G41&lt;=集計!$C$5),OR(H41="",H41&gt;=集計!$C$5)),"○",""))</f>
        <v/>
      </c>
      <c r="N41" s="24" t="str">
        <f aca="false">IF(M41="○",A41,"")</f>
        <v/>
      </c>
      <c r="O41" s="24" t="str">
        <f aca="false">IF(OR(K41="",M41&lt;&gt;"○"),"",IF(COUNTIFS(K$6:K41,K41,M$6:M41,"○")=1,"○",""))</f>
        <v/>
      </c>
      <c r="Q41" s="20"/>
      <c r="R41" s="20"/>
      <c r="S41" s="20"/>
      <c r="T41" s="20"/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5"/>
      <c r="G42" s="29"/>
      <c r="H42" s="29"/>
      <c r="I42" s="20"/>
      <c r="J42" s="20"/>
      <c r="K42" s="24" t="str">
        <f aca="false">IF(A42="","",IF(B42="",A42,B42))</f>
        <v/>
      </c>
      <c r="L42" s="24" t="str">
        <f aca="false">IF(A42="","",IF(C42="","未確認",IFERROR(INDEX(マスター!$R$6:$R$45,MATCH(C42,マスター!$Q$6:$Q$45,0)),"未確認")))</f>
        <v/>
      </c>
      <c r="M42" s="24" t="str">
        <f aca="false">IF(A42="","",IF(AND(OR(G42="",G42&lt;=集計!$C$5),OR(H42="",H42&gt;=集計!$C$5)),"○",""))</f>
        <v/>
      </c>
      <c r="N42" s="24" t="str">
        <f aca="false">IF(M42="○",A42,"")</f>
        <v/>
      </c>
      <c r="O42" s="24" t="str">
        <f aca="false">IF(OR(K42="",M42&lt;&gt;"○"),"",IF(COUNTIFS(K$6:K42,K42,M$6:M42,"○")=1,"○",""))</f>
        <v/>
      </c>
      <c r="Q42" s="20"/>
      <c r="R42" s="20"/>
      <c r="S42" s="20"/>
      <c r="T42" s="20"/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5"/>
      <c r="G43" s="29"/>
      <c r="H43" s="29"/>
      <c r="I43" s="20"/>
      <c r="J43" s="20"/>
      <c r="K43" s="24" t="str">
        <f aca="false">IF(A43="","",IF(B43="",A43,B43))</f>
        <v/>
      </c>
      <c r="L43" s="24" t="str">
        <f aca="false">IF(A43="","",IF(C43="","未確認",IFERROR(INDEX(マスター!$R$6:$R$45,MATCH(C43,マスター!$Q$6:$Q$45,0)),"未確認")))</f>
        <v/>
      </c>
      <c r="M43" s="24" t="str">
        <f aca="false">IF(A43="","",IF(AND(OR(G43="",G43&lt;=集計!$C$5),OR(H43="",H43&gt;=集計!$C$5)),"○",""))</f>
        <v/>
      </c>
      <c r="N43" s="24" t="str">
        <f aca="false">IF(M43="○",A43,"")</f>
        <v/>
      </c>
      <c r="O43" s="24" t="str">
        <f aca="false">IF(OR(K43="",M43&lt;&gt;"○"),"",IF(COUNTIFS(K$6:K43,K43,M$6:M43,"○")=1,"○",""))</f>
        <v/>
      </c>
      <c r="Q43" s="20"/>
      <c r="R43" s="20"/>
      <c r="S43" s="20"/>
      <c r="T43" s="20"/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5"/>
      <c r="G44" s="29"/>
      <c r="H44" s="29"/>
      <c r="I44" s="20"/>
      <c r="J44" s="20"/>
      <c r="K44" s="24" t="str">
        <f aca="false">IF(A44="","",IF(B44="",A44,B44))</f>
        <v/>
      </c>
      <c r="L44" s="24" t="str">
        <f aca="false">IF(A44="","",IF(C44="","未確認",IFERROR(INDEX(マスター!$R$6:$R$45,MATCH(C44,マスター!$Q$6:$Q$45,0)),"未確認")))</f>
        <v/>
      </c>
      <c r="M44" s="24" t="str">
        <f aca="false">IF(A44="","",IF(AND(OR(G44="",G44&lt;=集計!$C$5),OR(H44="",H44&gt;=集計!$C$5)),"○",""))</f>
        <v/>
      </c>
      <c r="N44" s="24" t="str">
        <f aca="false">IF(M44="○",A44,"")</f>
        <v/>
      </c>
      <c r="O44" s="24" t="str">
        <f aca="false">IF(OR(K44="",M44&lt;&gt;"○"),"",IF(COUNTIFS(K$6:K44,K44,M$6:M44,"○")=1,"○",""))</f>
        <v/>
      </c>
      <c r="Q44" s="20"/>
      <c r="R44" s="20"/>
      <c r="S44" s="20"/>
      <c r="T44" s="20"/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5"/>
      <c r="G45" s="29"/>
      <c r="H45" s="29"/>
      <c r="I45" s="20"/>
      <c r="J45" s="20"/>
      <c r="K45" s="24" t="str">
        <f aca="false">IF(A45="","",IF(B45="",A45,B45))</f>
        <v/>
      </c>
      <c r="L45" s="24" t="str">
        <f aca="false">IF(A45="","",IF(C45="","未確認",IFERROR(INDEX(マスター!$R$6:$R$45,MATCH(C45,マスター!$Q$6:$Q$45,0)),"未確認")))</f>
        <v/>
      </c>
      <c r="M45" s="24" t="str">
        <f aca="false">IF(A45="","",IF(AND(OR(G45="",G45&lt;=集計!$C$5),OR(H45="",H45&gt;=集計!$C$5)),"○",""))</f>
        <v/>
      </c>
      <c r="N45" s="24" t="str">
        <f aca="false">IF(M45="○",A45,"")</f>
        <v/>
      </c>
      <c r="O45" s="24" t="str">
        <f aca="false">IF(OR(K45="",M45&lt;&gt;"○"),"",IF(COUNTIFS(K$6:K45,K45,M$6:M45,"○")=1,"○",""))</f>
        <v/>
      </c>
      <c r="Q45" s="20"/>
      <c r="R45" s="20"/>
      <c r="S45" s="20"/>
      <c r="T45" s="20"/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5"/>
      <c r="G46" s="29"/>
      <c r="H46" s="29"/>
      <c r="I46" s="20"/>
      <c r="J46" s="20"/>
      <c r="K46" s="24" t="str">
        <f aca="false">IF(A46="","",IF(B46="",A46,B46))</f>
        <v/>
      </c>
      <c r="L46" s="24" t="str">
        <f aca="false">IF(A46="","",IF(C46="","未確認",IFERROR(INDEX(マスター!$R$6:$R$45,MATCH(C46,マスター!$Q$6:$Q$45,0)),"未確認")))</f>
        <v/>
      </c>
      <c r="M46" s="24" t="str">
        <f aca="false">IF(A46="","",IF(AND(OR(G46="",G46&lt;=集計!$C$5),OR(H46="",H46&gt;=集計!$C$5)),"○",""))</f>
        <v/>
      </c>
      <c r="N46" s="24" t="str">
        <f aca="false">IF(M46="○",A46,"")</f>
        <v/>
      </c>
      <c r="O46" s="24" t="str">
        <f aca="false">IF(OR(K46="",M46&lt;&gt;"○"),"",IF(COUNTIFS(K$6:K46,K46,M$6:M46,"○")=1,"○",""))</f>
        <v/>
      </c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5"/>
      <c r="G47" s="29"/>
      <c r="H47" s="29"/>
      <c r="I47" s="20"/>
      <c r="J47" s="20"/>
      <c r="K47" s="24" t="str">
        <f aca="false">IF(A47="","",IF(B47="",A47,B47))</f>
        <v/>
      </c>
      <c r="L47" s="24" t="str">
        <f aca="false">IF(A47="","",IF(C47="","未確認",IFERROR(INDEX(マスター!$R$6:$R$45,MATCH(C47,マスター!$Q$6:$Q$45,0)),"未確認")))</f>
        <v/>
      </c>
      <c r="M47" s="24" t="str">
        <f aca="false">IF(A47="","",IF(AND(OR(G47="",G47&lt;=集計!$C$5),OR(H47="",H47&gt;=集計!$C$5)),"○",""))</f>
        <v/>
      </c>
      <c r="N47" s="24" t="str">
        <f aca="false">IF(M47="○",A47,"")</f>
        <v/>
      </c>
      <c r="O47" s="24" t="str">
        <f aca="false">IF(OR(K47="",M47&lt;&gt;"○"),"",IF(COUNTIFS(K$6:K47,K47,M$6:M47,"○")=1,"○",""))</f>
        <v/>
      </c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5"/>
      <c r="G48" s="29"/>
      <c r="H48" s="29"/>
      <c r="I48" s="20"/>
      <c r="J48" s="20"/>
      <c r="K48" s="24" t="str">
        <f aca="false">IF(A48="","",IF(B48="",A48,B48))</f>
        <v/>
      </c>
      <c r="L48" s="24" t="str">
        <f aca="false">IF(A48="","",IF(C48="","未確認",IFERROR(INDEX(マスター!$R$6:$R$45,MATCH(C48,マスター!$Q$6:$Q$45,0)),"未確認")))</f>
        <v/>
      </c>
      <c r="M48" s="24" t="str">
        <f aca="false">IF(A48="","",IF(AND(OR(G48="",G48&lt;=集計!$C$5),OR(H48="",H48&gt;=集計!$C$5)),"○",""))</f>
        <v/>
      </c>
      <c r="N48" s="24" t="str">
        <f aca="false">IF(M48="○",A48,"")</f>
        <v/>
      </c>
      <c r="O48" s="24" t="str">
        <f aca="false">IF(OR(K48="",M48&lt;&gt;"○"),"",IF(COUNTIFS(K$6:K48,K48,M$6:M48,"○")=1,"○",""))</f>
        <v/>
      </c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5"/>
      <c r="G49" s="29"/>
      <c r="H49" s="29"/>
      <c r="I49" s="20"/>
      <c r="J49" s="20"/>
      <c r="K49" s="24" t="str">
        <f aca="false">IF(A49="","",IF(B49="",A49,B49))</f>
        <v/>
      </c>
      <c r="L49" s="24" t="str">
        <f aca="false">IF(A49="","",IF(C49="","未確認",IFERROR(INDEX(マスター!$R$6:$R$45,MATCH(C49,マスター!$Q$6:$Q$45,0)),"未確認")))</f>
        <v/>
      </c>
      <c r="M49" s="24" t="str">
        <f aca="false">IF(A49="","",IF(AND(OR(G49="",G49&lt;=集計!$C$5),OR(H49="",H49&gt;=集計!$C$5)),"○",""))</f>
        <v/>
      </c>
      <c r="N49" s="24" t="str">
        <f aca="false">IF(M49="○",A49,"")</f>
        <v/>
      </c>
      <c r="O49" s="24" t="str">
        <f aca="false">IF(OR(K49="",M49&lt;&gt;"○"),"",IF(COUNTIFS(K$6:K49,K49,M$6:M49,"○")=1,"○",""))</f>
        <v/>
      </c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5"/>
      <c r="G50" s="29"/>
      <c r="H50" s="29"/>
      <c r="I50" s="20"/>
      <c r="J50" s="20"/>
      <c r="K50" s="24" t="str">
        <f aca="false">IF(A50="","",IF(B50="",A50,B50))</f>
        <v/>
      </c>
      <c r="L50" s="24" t="str">
        <f aca="false">IF(A50="","",IF(C50="","未確認",IFERROR(INDEX(マスター!$R$6:$R$45,MATCH(C50,マスター!$Q$6:$Q$45,0)),"未確認")))</f>
        <v/>
      </c>
      <c r="M50" s="24" t="str">
        <f aca="false">IF(A50="","",IF(AND(OR(G50="",G50&lt;=集計!$C$5),OR(H50="",H50&gt;=集計!$C$5)),"○",""))</f>
        <v/>
      </c>
      <c r="N50" s="24" t="str">
        <f aca="false">IF(M50="○",A50,"")</f>
        <v/>
      </c>
      <c r="O50" s="24" t="str">
        <f aca="false">IF(OR(K50="",M50&lt;&gt;"○"),"",IF(COUNTIFS(K$6:K50,K50,M$6:M50,"○")=1,"○",""))</f>
        <v/>
      </c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5"/>
      <c r="G51" s="29"/>
      <c r="H51" s="29"/>
      <c r="I51" s="20"/>
      <c r="J51" s="20"/>
      <c r="K51" s="24" t="str">
        <f aca="false">IF(A51="","",IF(B51="",A51,B51))</f>
        <v/>
      </c>
      <c r="L51" s="24" t="str">
        <f aca="false">IF(A51="","",IF(C51="","未確認",IFERROR(INDEX(マスター!$R$6:$R$45,MATCH(C51,マスター!$Q$6:$Q$45,0)),"未確認")))</f>
        <v/>
      </c>
      <c r="M51" s="24" t="str">
        <f aca="false">IF(A51="","",IF(AND(OR(G51="",G51&lt;=集計!$C$5),OR(H51="",H51&gt;=集計!$C$5)),"○",""))</f>
        <v/>
      </c>
      <c r="N51" s="24" t="str">
        <f aca="false">IF(M51="○",A51,"")</f>
        <v/>
      </c>
      <c r="O51" s="24" t="str">
        <f aca="false">IF(OR(K51="",M51&lt;&gt;"○"),"",IF(COUNTIFS(K$6:K51,K51,M$6:M51,"○")=1,"○",""))</f>
        <v/>
      </c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5"/>
      <c r="G52" s="29"/>
      <c r="H52" s="29"/>
      <c r="I52" s="20"/>
      <c r="J52" s="20"/>
      <c r="K52" s="24" t="str">
        <f aca="false">IF(A52="","",IF(B52="",A52,B52))</f>
        <v/>
      </c>
      <c r="L52" s="24" t="str">
        <f aca="false">IF(A52="","",IF(C52="","未確認",IFERROR(INDEX(マスター!$R$6:$R$45,MATCH(C52,マスター!$Q$6:$Q$45,0)),"未確認")))</f>
        <v/>
      </c>
      <c r="M52" s="24" t="str">
        <f aca="false">IF(A52="","",IF(AND(OR(G52="",G52&lt;=集計!$C$5),OR(H52="",H52&gt;=集計!$C$5)),"○",""))</f>
        <v/>
      </c>
      <c r="N52" s="24" t="str">
        <f aca="false">IF(M52="○",A52,"")</f>
        <v/>
      </c>
      <c r="O52" s="24" t="str">
        <f aca="false">IF(OR(K52="",M52&lt;&gt;"○"),"",IF(COUNTIFS(K$6:K52,K52,M$6:M52,"○")=1,"○",""))</f>
        <v/>
      </c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5"/>
      <c r="G53" s="29"/>
      <c r="H53" s="29"/>
      <c r="I53" s="20"/>
      <c r="J53" s="20"/>
      <c r="K53" s="24" t="str">
        <f aca="false">IF(A53="","",IF(B53="",A53,B53))</f>
        <v/>
      </c>
      <c r="L53" s="24" t="str">
        <f aca="false">IF(A53="","",IF(C53="","未確認",IFERROR(INDEX(マスター!$R$6:$R$45,MATCH(C53,マスター!$Q$6:$Q$45,0)),"未確認")))</f>
        <v/>
      </c>
      <c r="M53" s="24" t="str">
        <f aca="false">IF(A53="","",IF(AND(OR(G53="",G53&lt;=集計!$C$5),OR(H53="",H53&gt;=集計!$C$5)),"○",""))</f>
        <v/>
      </c>
      <c r="N53" s="24" t="str">
        <f aca="false">IF(M53="○",A53,"")</f>
        <v/>
      </c>
      <c r="O53" s="24" t="str">
        <f aca="false">IF(OR(K53="",M53&lt;&gt;"○"),"",IF(COUNTIFS(K$6:K53,K53,M$6:M53,"○")=1,"○",""))</f>
        <v/>
      </c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5"/>
      <c r="G54" s="29"/>
      <c r="H54" s="29"/>
      <c r="I54" s="20"/>
      <c r="J54" s="20"/>
      <c r="K54" s="24" t="str">
        <f aca="false">IF(A54="","",IF(B54="",A54,B54))</f>
        <v/>
      </c>
      <c r="L54" s="24" t="str">
        <f aca="false">IF(A54="","",IF(C54="","未確認",IFERROR(INDEX(マスター!$R$6:$R$45,MATCH(C54,マスター!$Q$6:$Q$45,0)),"未確認")))</f>
        <v/>
      </c>
      <c r="M54" s="24" t="str">
        <f aca="false">IF(A54="","",IF(AND(OR(G54="",G54&lt;=集計!$C$5),OR(H54="",H54&gt;=集計!$C$5)),"○",""))</f>
        <v/>
      </c>
      <c r="N54" s="24" t="str">
        <f aca="false">IF(M54="○",A54,"")</f>
        <v/>
      </c>
      <c r="O54" s="24" t="str">
        <f aca="false">IF(OR(K54="",M54&lt;&gt;"○"),"",IF(COUNTIFS(K$6:K54,K54,M$6:M54,"○")=1,"○",""))</f>
        <v/>
      </c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5"/>
      <c r="G55" s="29"/>
      <c r="H55" s="29"/>
      <c r="I55" s="20"/>
      <c r="J55" s="20"/>
      <c r="K55" s="24" t="str">
        <f aca="false">IF(A55="","",IF(B55="",A55,B55))</f>
        <v/>
      </c>
      <c r="L55" s="24" t="str">
        <f aca="false">IF(A55="","",IF(C55="","未確認",IFERROR(INDEX(マスター!$R$6:$R$45,MATCH(C55,マスター!$Q$6:$Q$45,0)),"未確認")))</f>
        <v/>
      </c>
      <c r="M55" s="24" t="str">
        <f aca="false">IF(A55="","",IF(AND(OR(G55="",G55&lt;=集計!$C$5),OR(H55="",H55&gt;=集計!$C$5)),"○",""))</f>
        <v/>
      </c>
      <c r="N55" s="24" t="str">
        <f aca="false">IF(M55="○",A55,"")</f>
        <v/>
      </c>
      <c r="O55" s="24" t="str">
        <f aca="false">IF(OR(K55="",M55&lt;&gt;"○"),"",IF(COUNTIFS(K$6:K55,K55,M$6:M55,"○")=1,"○",""))</f>
        <v/>
      </c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5"/>
      <c r="G56" s="29"/>
      <c r="H56" s="29"/>
      <c r="I56" s="20"/>
      <c r="J56" s="20"/>
      <c r="K56" s="24" t="str">
        <f aca="false">IF(A56="","",IF(B56="",A56,B56))</f>
        <v/>
      </c>
      <c r="L56" s="24" t="str">
        <f aca="false">IF(A56="","",IF(C56="","未確認",IFERROR(INDEX(マスター!$R$6:$R$45,MATCH(C56,マスター!$Q$6:$Q$45,0)),"未確認")))</f>
        <v/>
      </c>
      <c r="M56" s="24" t="str">
        <f aca="false">IF(A56="","",IF(AND(OR(G56="",G56&lt;=集計!$C$5),OR(H56="",H56&gt;=集計!$C$5)),"○",""))</f>
        <v/>
      </c>
      <c r="N56" s="24" t="str">
        <f aca="false">IF(M56="○",A56,"")</f>
        <v/>
      </c>
      <c r="O56" s="24" t="str">
        <f aca="false">IF(OR(K56="",M56&lt;&gt;"○"),"",IF(COUNTIFS(K$6:K56,K56,M$6:M56,"○")=1,"○",""))</f>
        <v/>
      </c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5"/>
      <c r="G57" s="29"/>
      <c r="H57" s="29"/>
      <c r="I57" s="20"/>
      <c r="J57" s="20"/>
      <c r="K57" s="24" t="str">
        <f aca="false">IF(A57="","",IF(B57="",A57,B57))</f>
        <v/>
      </c>
      <c r="L57" s="24" t="str">
        <f aca="false">IF(A57="","",IF(C57="","未確認",IFERROR(INDEX(マスター!$R$6:$R$45,MATCH(C57,マスター!$Q$6:$Q$45,0)),"未確認")))</f>
        <v/>
      </c>
      <c r="M57" s="24" t="str">
        <f aca="false">IF(A57="","",IF(AND(OR(G57="",G57&lt;=集計!$C$5),OR(H57="",H57&gt;=集計!$C$5)),"○",""))</f>
        <v/>
      </c>
      <c r="N57" s="24" t="str">
        <f aca="false">IF(M57="○",A57,"")</f>
        <v/>
      </c>
      <c r="O57" s="24" t="str">
        <f aca="false">IF(OR(K57="",M57&lt;&gt;"○"),"",IF(COUNTIFS(K$6:K57,K57,M$6:M57,"○")=1,"○",""))</f>
        <v/>
      </c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5"/>
      <c r="G58" s="29"/>
      <c r="H58" s="29"/>
      <c r="I58" s="20"/>
      <c r="J58" s="20"/>
      <c r="K58" s="24" t="str">
        <f aca="false">IF(A58="","",IF(B58="",A58,B58))</f>
        <v/>
      </c>
      <c r="L58" s="24" t="str">
        <f aca="false">IF(A58="","",IF(C58="","未確認",IFERROR(INDEX(マスター!$R$6:$R$45,MATCH(C58,マスター!$Q$6:$Q$45,0)),"未確認")))</f>
        <v/>
      </c>
      <c r="M58" s="24" t="str">
        <f aca="false">IF(A58="","",IF(AND(OR(G58="",G58&lt;=集計!$C$5),OR(H58="",H58&gt;=集計!$C$5)),"○",""))</f>
        <v/>
      </c>
      <c r="N58" s="24" t="str">
        <f aca="false">IF(M58="○",A58,"")</f>
        <v/>
      </c>
      <c r="O58" s="24" t="str">
        <f aca="false">IF(OR(K58="",M58&lt;&gt;"○"),"",IF(COUNTIFS(K$6:K58,K58,M$6:M58,"○")=1,"○",""))</f>
        <v/>
      </c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5"/>
      <c r="G59" s="29"/>
      <c r="H59" s="29"/>
      <c r="I59" s="20"/>
      <c r="J59" s="20"/>
      <c r="K59" s="24" t="str">
        <f aca="false">IF(A59="","",IF(B59="",A59,B59))</f>
        <v/>
      </c>
      <c r="L59" s="24" t="str">
        <f aca="false">IF(A59="","",IF(C59="","未確認",IFERROR(INDEX(マスター!$R$6:$R$45,MATCH(C59,マスター!$Q$6:$Q$45,0)),"未確認")))</f>
        <v/>
      </c>
      <c r="M59" s="24" t="str">
        <f aca="false">IF(A59="","",IF(AND(OR(G59="",G59&lt;=集計!$C$5),OR(H59="",H59&gt;=集計!$C$5)),"○",""))</f>
        <v/>
      </c>
      <c r="N59" s="24" t="str">
        <f aca="false">IF(M59="○",A59,"")</f>
        <v/>
      </c>
      <c r="O59" s="24" t="str">
        <f aca="false">IF(OR(K59="",M59&lt;&gt;"○"),"",IF(COUNTIFS(K$6:K59,K59,M$6:M59,"○")=1,"○",""))</f>
        <v/>
      </c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5"/>
      <c r="G60" s="29"/>
      <c r="H60" s="29"/>
      <c r="I60" s="20"/>
      <c r="J60" s="20"/>
      <c r="K60" s="24" t="str">
        <f aca="false">IF(A60="","",IF(B60="",A60,B60))</f>
        <v/>
      </c>
      <c r="L60" s="24" t="str">
        <f aca="false">IF(A60="","",IF(C60="","未確認",IFERROR(INDEX(マスター!$R$6:$R$45,MATCH(C60,マスター!$Q$6:$Q$45,0)),"未確認")))</f>
        <v/>
      </c>
      <c r="M60" s="24" t="str">
        <f aca="false">IF(A60="","",IF(AND(OR(G60="",G60&lt;=集計!$C$5),OR(H60="",H60&gt;=集計!$C$5)),"○",""))</f>
        <v/>
      </c>
      <c r="N60" s="24" t="str">
        <f aca="false">IF(M60="○",A60,"")</f>
        <v/>
      </c>
      <c r="O60" s="24" t="str">
        <f aca="false">IF(OR(K60="",M60&lt;&gt;"○"),"",IF(COUNTIFS(K$6:K60,K60,M$6:M60,"○")=1,"○",""))</f>
        <v/>
      </c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5"/>
      <c r="G61" s="29"/>
      <c r="H61" s="29"/>
      <c r="I61" s="20"/>
      <c r="J61" s="20"/>
      <c r="K61" s="24" t="str">
        <f aca="false">IF(A61="","",IF(B61="",A61,B61))</f>
        <v/>
      </c>
      <c r="L61" s="24" t="str">
        <f aca="false">IF(A61="","",IF(C61="","未確認",IFERROR(INDEX(マスター!$R$6:$R$45,MATCH(C61,マスター!$Q$6:$Q$45,0)),"未確認")))</f>
        <v/>
      </c>
      <c r="M61" s="24" t="str">
        <f aca="false">IF(A61="","",IF(AND(OR(G61="",G61&lt;=集計!$C$5),OR(H61="",H61&gt;=集計!$C$5)),"○",""))</f>
        <v/>
      </c>
      <c r="N61" s="24" t="str">
        <f aca="false">IF(M61="○",A61,"")</f>
        <v/>
      </c>
      <c r="O61" s="24" t="str">
        <f aca="false">IF(OR(K61="",M61&lt;&gt;"○"),"",IF(COUNTIFS(K$6:K61,K61,M$6:M61,"○")=1,"○",""))</f>
        <v/>
      </c>
    </row>
    <row r="62" customFormat="false" ht="15" hidden="false" customHeight="false" outlineLevel="0" collapsed="false">
      <c r="A62" s="20"/>
      <c r="B62" s="20"/>
      <c r="C62" s="20"/>
      <c r="D62" s="20"/>
      <c r="E62" s="20"/>
      <c r="F62" s="25"/>
      <c r="G62" s="29"/>
      <c r="H62" s="29"/>
      <c r="I62" s="20"/>
      <c r="J62" s="20"/>
      <c r="K62" s="24" t="str">
        <f aca="false">IF(A62="","",IF(B62="",A62,B62))</f>
        <v/>
      </c>
      <c r="L62" s="24" t="str">
        <f aca="false">IF(A62="","",IF(C62="","未確認",IFERROR(INDEX(マスター!$R$6:$R$45,MATCH(C62,マスター!$Q$6:$Q$45,0)),"未確認")))</f>
        <v/>
      </c>
      <c r="M62" s="24" t="str">
        <f aca="false">IF(A62="","",IF(AND(OR(G62="",G62&lt;=集計!$C$5),OR(H62="",H62&gt;=集計!$C$5)),"○",""))</f>
        <v/>
      </c>
      <c r="N62" s="24" t="str">
        <f aca="false">IF(M62="○",A62,"")</f>
        <v/>
      </c>
      <c r="O62" s="24" t="str">
        <f aca="false">IF(OR(K62="",M62&lt;&gt;"○"),"",IF(COUNTIFS(K$6:K62,K62,M$6:M62,"○")=1,"○",""))</f>
        <v/>
      </c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5"/>
      <c r="G63" s="29"/>
      <c r="H63" s="29"/>
      <c r="I63" s="20"/>
      <c r="J63" s="20"/>
      <c r="K63" s="24" t="str">
        <f aca="false">IF(A63="","",IF(B63="",A63,B63))</f>
        <v/>
      </c>
      <c r="L63" s="24" t="str">
        <f aca="false">IF(A63="","",IF(C63="","未確認",IFERROR(INDEX(マスター!$R$6:$R$45,MATCH(C63,マスター!$Q$6:$Q$45,0)),"未確認")))</f>
        <v/>
      </c>
      <c r="M63" s="24" t="str">
        <f aca="false">IF(A63="","",IF(AND(OR(G63="",G63&lt;=集計!$C$5),OR(H63="",H63&gt;=集計!$C$5)),"○",""))</f>
        <v/>
      </c>
      <c r="N63" s="24" t="str">
        <f aca="false">IF(M63="○",A63,"")</f>
        <v/>
      </c>
      <c r="O63" s="24" t="str">
        <f aca="false">IF(OR(K63="",M63&lt;&gt;"○"),"",IF(COUNTIFS(K$6:K63,K63,M$6:M63,"○")=1,"○",""))</f>
        <v/>
      </c>
    </row>
    <row r="64" customFormat="false" ht="15" hidden="false" customHeight="false" outlineLevel="0" collapsed="false">
      <c r="A64" s="20"/>
      <c r="B64" s="20"/>
      <c r="C64" s="20"/>
      <c r="D64" s="20"/>
      <c r="E64" s="20"/>
      <c r="F64" s="25"/>
      <c r="G64" s="29"/>
      <c r="H64" s="29"/>
      <c r="I64" s="20"/>
      <c r="J64" s="20"/>
      <c r="K64" s="24" t="str">
        <f aca="false">IF(A64="","",IF(B64="",A64,B64))</f>
        <v/>
      </c>
      <c r="L64" s="24" t="str">
        <f aca="false">IF(A64="","",IF(C64="","未確認",IFERROR(INDEX(マスター!$R$6:$R$45,MATCH(C64,マスター!$Q$6:$Q$45,0)),"未確認")))</f>
        <v/>
      </c>
      <c r="M64" s="24" t="str">
        <f aca="false">IF(A64="","",IF(AND(OR(G64="",G64&lt;=集計!$C$5),OR(H64="",H64&gt;=集計!$C$5)),"○",""))</f>
        <v/>
      </c>
      <c r="N64" s="24" t="str">
        <f aca="false">IF(M64="○",A64,"")</f>
        <v/>
      </c>
      <c r="O64" s="24" t="str">
        <f aca="false">IF(OR(K64="",M64&lt;&gt;"○"),"",IF(COUNTIFS(K$6:K64,K64,M$6:M64,"○")=1,"○",""))</f>
        <v/>
      </c>
    </row>
    <row r="65" customFormat="false" ht="15" hidden="false" customHeight="false" outlineLevel="0" collapsed="false">
      <c r="A65" s="20"/>
      <c r="B65" s="20"/>
      <c r="C65" s="20"/>
      <c r="D65" s="20"/>
      <c r="E65" s="20"/>
      <c r="F65" s="25"/>
      <c r="G65" s="29"/>
      <c r="H65" s="29"/>
      <c r="I65" s="20"/>
      <c r="J65" s="20"/>
      <c r="K65" s="24" t="str">
        <f aca="false">IF(A65="","",IF(B65="",A65,B65))</f>
        <v/>
      </c>
      <c r="L65" s="24" t="str">
        <f aca="false">IF(A65="","",IF(C65="","未確認",IFERROR(INDEX(マスター!$R$6:$R$45,MATCH(C65,マスター!$Q$6:$Q$45,0)),"未確認")))</f>
        <v/>
      </c>
      <c r="M65" s="24" t="str">
        <f aca="false">IF(A65="","",IF(AND(OR(G65="",G65&lt;=集計!$C$5),OR(H65="",H65&gt;=集計!$C$5)),"○",""))</f>
        <v/>
      </c>
      <c r="N65" s="24" t="str">
        <f aca="false">IF(M65="○",A65,"")</f>
        <v/>
      </c>
      <c r="O65" s="24" t="str">
        <f aca="false">IF(OR(K65="",M65&lt;&gt;"○"),"",IF(COUNTIFS(K$6:K65,K65,M$6:M65,"○")=1,"○",""))</f>
        <v/>
      </c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5"/>
      <c r="G66" s="29"/>
      <c r="H66" s="29"/>
      <c r="I66" s="20"/>
      <c r="J66" s="20"/>
      <c r="K66" s="24" t="str">
        <f aca="false">IF(A66="","",IF(B66="",A66,B66))</f>
        <v/>
      </c>
      <c r="L66" s="24" t="str">
        <f aca="false">IF(A66="","",IF(C66="","未確認",IFERROR(INDEX(マスター!$R$6:$R$45,MATCH(C66,マスター!$Q$6:$Q$45,0)),"未確認")))</f>
        <v/>
      </c>
      <c r="M66" s="24" t="str">
        <f aca="false">IF(A66="","",IF(AND(OR(G66="",G66&lt;=集計!$C$5),OR(H66="",H66&gt;=集計!$C$5)),"○",""))</f>
        <v/>
      </c>
      <c r="N66" s="24" t="str">
        <f aca="false">IF(M66="○",A66,"")</f>
        <v/>
      </c>
      <c r="O66" s="24" t="str">
        <f aca="false">IF(OR(K66="",M66&lt;&gt;"○"),"",IF(COUNTIFS(K$6:K66,K66,M$6:M66,"○")=1,"○",""))</f>
        <v/>
      </c>
    </row>
    <row r="67" customFormat="false" ht="15" hidden="false" customHeight="false" outlineLevel="0" collapsed="false">
      <c r="A67" s="20"/>
      <c r="B67" s="20"/>
      <c r="C67" s="20"/>
      <c r="D67" s="20"/>
      <c r="E67" s="20"/>
      <c r="F67" s="25"/>
      <c r="G67" s="29"/>
      <c r="H67" s="29"/>
      <c r="I67" s="20"/>
      <c r="J67" s="20"/>
      <c r="K67" s="24" t="str">
        <f aca="false">IF(A67="","",IF(B67="",A67,B67))</f>
        <v/>
      </c>
      <c r="L67" s="24" t="str">
        <f aca="false">IF(A67="","",IF(C67="","未確認",IFERROR(INDEX(マスター!$R$6:$R$45,MATCH(C67,マスター!$Q$6:$Q$45,0)),"未確認")))</f>
        <v/>
      </c>
      <c r="M67" s="24" t="str">
        <f aca="false">IF(A67="","",IF(AND(OR(G67="",G67&lt;=集計!$C$5),OR(H67="",H67&gt;=集計!$C$5)),"○",""))</f>
        <v/>
      </c>
      <c r="N67" s="24" t="str">
        <f aca="false">IF(M67="○",A67,"")</f>
        <v/>
      </c>
      <c r="O67" s="24" t="str">
        <f aca="false">IF(OR(K67="",M67&lt;&gt;"○"),"",IF(COUNTIFS(K$6:K67,K67,M$6:M67,"○")=1,"○",""))</f>
        <v/>
      </c>
    </row>
    <row r="68" customFormat="false" ht="15" hidden="false" customHeight="false" outlineLevel="0" collapsed="false">
      <c r="A68" s="20"/>
      <c r="B68" s="20"/>
      <c r="C68" s="20"/>
      <c r="D68" s="20"/>
      <c r="E68" s="20"/>
      <c r="F68" s="25"/>
      <c r="G68" s="29"/>
      <c r="H68" s="29"/>
      <c r="I68" s="20"/>
      <c r="J68" s="20"/>
      <c r="K68" s="24" t="str">
        <f aca="false">IF(A68="","",IF(B68="",A68,B68))</f>
        <v/>
      </c>
      <c r="L68" s="24" t="str">
        <f aca="false">IF(A68="","",IF(C68="","未確認",IFERROR(INDEX(マスター!$R$6:$R$45,MATCH(C68,マスター!$Q$6:$Q$45,0)),"未確認")))</f>
        <v/>
      </c>
      <c r="M68" s="24" t="str">
        <f aca="false">IF(A68="","",IF(AND(OR(G68="",G68&lt;=集計!$C$5),OR(H68="",H68&gt;=集計!$C$5)),"○",""))</f>
        <v/>
      </c>
      <c r="N68" s="24" t="str">
        <f aca="false">IF(M68="○",A68,"")</f>
        <v/>
      </c>
      <c r="O68" s="24" t="str">
        <f aca="false">IF(OR(K68="",M68&lt;&gt;"○"),"",IF(COUNTIFS(K$6:K68,K68,M$6:M68,"○")=1,"○",""))</f>
        <v/>
      </c>
    </row>
    <row r="69" customFormat="false" ht="15" hidden="false" customHeight="false" outlineLevel="0" collapsed="false">
      <c r="A69" s="20"/>
      <c r="B69" s="20"/>
      <c r="C69" s="20"/>
      <c r="D69" s="20"/>
      <c r="E69" s="20"/>
      <c r="F69" s="25"/>
      <c r="G69" s="29"/>
      <c r="H69" s="29"/>
      <c r="I69" s="20"/>
      <c r="J69" s="20"/>
      <c r="K69" s="24" t="str">
        <f aca="false">IF(A69="","",IF(B69="",A69,B69))</f>
        <v/>
      </c>
      <c r="L69" s="24" t="str">
        <f aca="false">IF(A69="","",IF(C69="","未確認",IFERROR(INDEX(マスター!$R$6:$R$45,MATCH(C69,マスター!$Q$6:$Q$45,0)),"未確認")))</f>
        <v/>
      </c>
      <c r="M69" s="24" t="str">
        <f aca="false">IF(A69="","",IF(AND(OR(G69="",G69&lt;=集計!$C$5),OR(H69="",H69&gt;=集計!$C$5)),"○",""))</f>
        <v/>
      </c>
      <c r="N69" s="24" t="str">
        <f aca="false">IF(M69="○",A69,"")</f>
        <v/>
      </c>
      <c r="O69" s="24" t="str">
        <f aca="false">IF(OR(K69="",M69&lt;&gt;"○"),"",IF(COUNTIFS(K$6:K69,K69,M$6:M69,"○")=1,"○",""))</f>
        <v/>
      </c>
    </row>
    <row r="70" customFormat="false" ht="15" hidden="false" customHeight="false" outlineLevel="0" collapsed="false">
      <c r="A70" s="20"/>
      <c r="B70" s="20"/>
      <c r="C70" s="20"/>
      <c r="D70" s="20"/>
      <c r="E70" s="20"/>
      <c r="F70" s="25"/>
      <c r="G70" s="29"/>
      <c r="H70" s="29"/>
      <c r="I70" s="20"/>
      <c r="J70" s="20"/>
      <c r="K70" s="24" t="str">
        <f aca="false">IF(A70="","",IF(B70="",A70,B70))</f>
        <v/>
      </c>
      <c r="L70" s="24" t="str">
        <f aca="false">IF(A70="","",IF(C70="","未確認",IFERROR(INDEX(マスター!$R$6:$R$45,MATCH(C70,マスター!$Q$6:$Q$45,0)),"未確認")))</f>
        <v/>
      </c>
      <c r="M70" s="24" t="str">
        <f aca="false">IF(A70="","",IF(AND(OR(G70="",G70&lt;=集計!$C$5),OR(H70="",H70&gt;=集計!$C$5)),"○",""))</f>
        <v/>
      </c>
      <c r="N70" s="24" t="str">
        <f aca="false">IF(M70="○",A70,"")</f>
        <v/>
      </c>
      <c r="O70" s="24" t="str">
        <f aca="false">IF(OR(K70="",M70&lt;&gt;"○"),"",IF(COUNTIFS(K$6:K70,K70,M$6:M70,"○")=1,"○",""))</f>
        <v/>
      </c>
    </row>
    <row r="71" customFormat="false" ht="15" hidden="false" customHeight="false" outlineLevel="0" collapsed="false">
      <c r="A71" s="20"/>
      <c r="B71" s="20"/>
      <c r="C71" s="20"/>
      <c r="D71" s="20"/>
      <c r="E71" s="20"/>
      <c r="F71" s="25"/>
      <c r="G71" s="29"/>
      <c r="H71" s="29"/>
      <c r="I71" s="20"/>
      <c r="J71" s="20"/>
      <c r="K71" s="24" t="str">
        <f aca="false">IF(A71="","",IF(B71="",A71,B71))</f>
        <v/>
      </c>
      <c r="L71" s="24" t="str">
        <f aca="false">IF(A71="","",IF(C71="","未確認",IFERROR(INDEX(マスター!$R$6:$R$45,MATCH(C71,マスター!$Q$6:$Q$45,0)),"未確認")))</f>
        <v/>
      </c>
      <c r="M71" s="24" t="str">
        <f aca="false">IF(A71="","",IF(AND(OR(G71="",G71&lt;=集計!$C$5),OR(H71="",H71&gt;=集計!$C$5)),"○",""))</f>
        <v/>
      </c>
      <c r="N71" s="24" t="str">
        <f aca="false">IF(M71="○",A71,"")</f>
        <v/>
      </c>
      <c r="O71" s="24" t="str">
        <f aca="false">IF(OR(K71="",M71&lt;&gt;"○"),"",IF(COUNTIFS(K$6:K71,K71,M$6:M71,"○")=1,"○",""))</f>
        <v/>
      </c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5"/>
      <c r="G72" s="29"/>
      <c r="H72" s="29"/>
      <c r="I72" s="20"/>
      <c r="J72" s="20"/>
      <c r="K72" s="24" t="str">
        <f aca="false">IF(A72="","",IF(B72="",A72,B72))</f>
        <v/>
      </c>
      <c r="L72" s="24" t="str">
        <f aca="false">IF(A72="","",IF(C72="","未確認",IFERROR(INDEX(マスター!$R$6:$R$45,MATCH(C72,マスター!$Q$6:$Q$45,0)),"未確認")))</f>
        <v/>
      </c>
      <c r="M72" s="24" t="str">
        <f aca="false">IF(A72="","",IF(AND(OR(G72="",G72&lt;=集計!$C$5),OR(H72="",H72&gt;=集計!$C$5)),"○",""))</f>
        <v/>
      </c>
      <c r="N72" s="24" t="str">
        <f aca="false">IF(M72="○",A72,"")</f>
        <v/>
      </c>
      <c r="O72" s="24" t="str">
        <f aca="false">IF(OR(K72="",M72&lt;&gt;"○"),"",IF(COUNTIFS(K$6:K72,K72,M$6:M72,"○")=1,"○",""))</f>
        <v/>
      </c>
    </row>
    <row r="73" customFormat="false" ht="15" hidden="false" customHeight="false" outlineLevel="0" collapsed="false">
      <c r="A73" s="20"/>
      <c r="B73" s="20"/>
      <c r="C73" s="20"/>
      <c r="D73" s="20"/>
      <c r="E73" s="20"/>
      <c r="F73" s="25"/>
      <c r="G73" s="29"/>
      <c r="H73" s="29"/>
      <c r="I73" s="20"/>
      <c r="J73" s="20"/>
      <c r="K73" s="24" t="str">
        <f aca="false">IF(A73="","",IF(B73="",A73,B73))</f>
        <v/>
      </c>
      <c r="L73" s="24" t="str">
        <f aca="false">IF(A73="","",IF(C73="","未確認",IFERROR(INDEX(マスター!$R$6:$R$45,MATCH(C73,マスター!$Q$6:$Q$45,0)),"未確認")))</f>
        <v/>
      </c>
      <c r="M73" s="24" t="str">
        <f aca="false">IF(A73="","",IF(AND(OR(G73="",G73&lt;=集計!$C$5),OR(H73="",H73&gt;=集計!$C$5)),"○",""))</f>
        <v/>
      </c>
      <c r="N73" s="24" t="str">
        <f aca="false">IF(M73="○",A73,"")</f>
        <v/>
      </c>
      <c r="O73" s="24" t="str">
        <f aca="false">IF(OR(K73="",M73&lt;&gt;"○"),"",IF(COUNTIFS(K$6:K73,K73,M$6:M73,"○")=1,"○",""))</f>
        <v/>
      </c>
    </row>
    <row r="74" customFormat="false" ht="15" hidden="false" customHeight="false" outlineLevel="0" collapsed="false">
      <c r="A74" s="20"/>
      <c r="B74" s="20"/>
      <c r="C74" s="20"/>
      <c r="D74" s="20"/>
      <c r="E74" s="20"/>
      <c r="F74" s="25"/>
      <c r="G74" s="29"/>
      <c r="H74" s="29"/>
      <c r="I74" s="20"/>
      <c r="J74" s="20"/>
      <c r="K74" s="24" t="str">
        <f aca="false">IF(A74="","",IF(B74="",A74,B74))</f>
        <v/>
      </c>
      <c r="L74" s="24" t="str">
        <f aca="false">IF(A74="","",IF(C74="","未確認",IFERROR(INDEX(マスター!$R$6:$R$45,MATCH(C74,マスター!$Q$6:$Q$45,0)),"未確認")))</f>
        <v/>
      </c>
      <c r="M74" s="24" t="str">
        <f aca="false">IF(A74="","",IF(AND(OR(G74="",G74&lt;=集計!$C$5),OR(H74="",H74&gt;=集計!$C$5)),"○",""))</f>
        <v/>
      </c>
      <c r="N74" s="24" t="str">
        <f aca="false">IF(M74="○",A74,"")</f>
        <v/>
      </c>
      <c r="O74" s="24" t="str">
        <f aca="false">IF(OR(K74="",M74&lt;&gt;"○"),"",IF(COUNTIFS(K$6:K74,K74,M$6:M74,"○")=1,"○",""))</f>
        <v/>
      </c>
    </row>
    <row r="75" customFormat="false" ht="15" hidden="false" customHeight="false" outlineLevel="0" collapsed="false">
      <c r="A75" s="20"/>
      <c r="B75" s="20"/>
      <c r="C75" s="20"/>
      <c r="D75" s="20"/>
      <c r="E75" s="20"/>
      <c r="F75" s="25"/>
      <c r="G75" s="29"/>
      <c r="H75" s="29"/>
      <c r="I75" s="20"/>
      <c r="J75" s="20"/>
      <c r="K75" s="24" t="str">
        <f aca="false">IF(A75="","",IF(B75="",A75,B75))</f>
        <v/>
      </c>
      <c r="L75" s="24" t="str">
        <f aca="false">IF(A75="","",IF(C75="","未確認",IFERROR(INDEX(マスター!$R$6:$R$45,MATCH(C75,マスター!$Q$6:$Q$45,0)),"未確認")))</f>
        <v/>
      </c>
      <c r="M75" s="24" t="str">
        <f aca="false">IF(A75="","",IF(AND(OR(G75="",G75&lt;=集計!$C$5),OR(H75="",H75&gt;=集計!$C$5)),"○",""))</f>
        <v/>
      </c>
      <c r="N75" s="24" t="str">
        <f aca="false">IF(M75="○",A75,"")</f>
        <v/>
      </c>
      <c r="O75" s="24" t="str">
        <f aca="false">IF(OR(K75="",M75&lt;&gt;"○"),"",IF(COUNTIFS(K$6:K75,K75,M$6:M75,"○")=1,"○",""))</f>
        <v/>
      </c>
    </row>
    <row r="76" customFormat="false" ht="15" hidden="false" customHeight="false" outlineLevel="0" collapsed="false">
      <c r="A76" s="20"/>
      <c r="B76" s="20"/>
      <c r="C76" s="20"/>
      <c r="D76" s="20"/>
      <c r="E76" s="20"/>
      <c r="F76" s="25"/>
      <c r="G76" s="29"/>
      <c r="H76" s="29"/>
      <c r="I76" s="20"/>
      <c r="J76" s="20"/>
      <c r="K76" s="24" t="str">
        <f aca="false">IF(A76="","",IF(B76="",A76,B76))</f>
        <v/>
      </c>
      <c r="L76" s="24" t="str">
        <f aca="false">IF(A76="","",IF(C76="","未確認",IFERROR(INDEX(マスター!$R$6:$R$45,MATCH(C76,マスター!$Q$6:$Q$45,0)),"未確認")))</f>
        <v/>
      </c>
      <c r="M76" s="24" t="str">
        <f aca="false">IF(A76="","",IF(AND(OR(G76="",G76&lt;=集計!$C$5),OR(H76="",H76&gt;=集計!$C$5)),"○",""))</f>
        <v/>
      </c>
      <c r="N76" s="24" t="str">
        <f aca="false">IF(M76="○",A76,"")</f>
        <v/>
      </c>
      <c r="O76" s="24" t="str">
        <f aca="false">IF(OR(K76="",M76&lt;&gt;"○"),"",IF(COUNTIFS(K$6:K76,K76,M$6:M76,"○")=1,"○",""))</f>
        <v/>
      </c>
    </row>
    <row r="77" customFormat="false" ht="15" hidden="false" customHeight="false" outlineLevel="0" collapsed="false">
      <c r="A77" s="20"/>
      <c r="B77" s="20"/>
      <c r="C77" s="20"/>
      <c r="D77" s="20"/>
      <c r="E77" s="20"/>
      <c r="F77" s="25"/>
      <c r="G77" s="29"/>
      <c r="H77" s="29"/>
      <c r="I77" s="20"/>
      <c r="J77" s="20"/>
      <c r="K77" s="24" t="str">
        <f aca="false">IF(A77="","",IF(B77="",A77,B77))</f>
        <v/>
      </c>
      <c r="L77" s="24" t="str">
        <f aca="false">IF(A77="","",IF(C77="","未確認",IFERROR(INDEX(マスター!$R$6:$R$45,MATCH(C77,マスター!$Q$6:$Q$45,0)),"未確認")))</f>
        <v/>
      </c>
      <c r="M77" s="24" t="str">
        <f aca="false">IF(A77="","",IF(AND(OR(G77="",G77&lt;=集計!$C$5),OR(H77="",H77&gt;=集計!$C$5)),"○",""))</f>
        <v/>
      </c>
      <c r="N77" s="24" t="str">
        <f aca="false">IF(M77="○",A77,"")</f>
        <v/>
      </c>
      <c r="O77" s="24" t="str">
        <f aca="false">IF(OR(K77="",M77&lt;&gt;"○"),"",IF(COUNTIFS(K$6:K77,K77,M$6:M77,"○")=1,"○",""))</f>
        <v/>
      </c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5"/>
      <c r="G78" s="29"/>
      <c r="H78" s="29"/>
      <c r="I78" s="20"/>
      <c r="J78" s="20"/>
      <c r="K78" s="24" t="str">
        <f aca="false">IF(A78="","",IF(B78="",A78,B78))</f>
        <v/>
      </c>
      <c r="L78" s="24" t="str">
        <f aca="false">IF(A78="","",IF(C78="","未確認",IFERROR(INDEX(マスター!$R$6:$R$45,MATCH(C78,マスター!$Q$6:$Q$45,0)),"未確認")))</f>
        <v/>
      </c>
      <c r="M78" s="24" t="str">
        <f aca="false">IF(A78="","",IF(AND(OR(G78="",G78&lt;=集計!$C$5),OR(H78="",H78&gt;=集計!$C$5)),"○",""))</f>
        <v/>
      </c>
      <c r="N78" s="24" t="str">
        <f aca="false">IF(M78="○",A78,"")</f>
        <v/>
      </c>
      <c r="O78" s="24" t="str">
        <f aca="false">IF(OR(K78="",M78&lt;&gt;"○"),"",IF(COUNTIFS(K$6:K78,K78,M$6:M78,"○")=1,"○",""))</f>
        <v/>
      </c>
    </row>
    <row r="79" customFormat="false" ht="15" hidden="false" customHeight="false" outlineLevel="0" collapsed="false">
      <c r="A79" s="20"/>
      <c r="B79" s="20"/>
      <c r="C79" s="20"/>
      <c r="D79" s="20"/>
      <c r="E79" s="20"/>
      <c r="F79" s="25"/>
      <c r="G79" s="29"/>
      <c r="H79" s="29"/>
      <c r="I79" s="20"/>
      <c r="J79" s="20"/>
      <c r="K79" s="24" t="str">
        <f aca="false">IF(A79="","",IF(B79="",A79,B79))</f>
        <v/>
      </c>
      <c r="L79" s="24" t="str">
        <f aca="false">IF(A79="","",IF(C79="","未確認",IFERROR(INDEX(マスター!$R$6:$R$45,MATCH(C79,マスター!$Q$6:$Q$45,0)),"未確認")))</f>
        <v/>
      </c>
      <c r="M79" s="24" t="str">
        <f aca="false">IF(A79="","",IF(AND(OR(G79="",G79&lt;=集計!$C$5),OR(H79="",H79&gt;=集計!$C$5)),"○",""))</f>
        <v/>
      </c>
      <c r="N79" s="24" t="str">
        <f aca="false">IF(M79="○",A79,"")</f>
        <v/>
      </c>
      <c r="O79" s="24" t="str">
        <f aca="false">IF(OR(K79="",M79&lt;&gt;"○"),"",IF(COUNTIFS(K$6:K79,K79,M$6:M79,"○")=1,"○",""))</f>
        <v/>
      </c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5"/>
      <c r="G80" s="29"/>
      <c r="H80" s="29"/>
      <c r="I80" s="20"/>
      <c r="J80" s="20"/>
      <c r="K80" s="24" t="str">
        <f aca="false">IF(A80="","",IF(B80="",A80,B80))</f>
        <v/>
      </c>
      <c r="L80" s="24" t="str">
        <f aca="false">IF(A80="","",IF(C80="","未確認",IFERROR(INDEX(マスター!$R$6:$R$45,MATCH(C80,マスター!$Q$6:$Q$45,0)),"未確認")))</f>
        <v/>
      </c>
      <c r="M80" s="24" t="str">
        <f aca="false">IF(A80="","",IF(AND(OR(G80="",G80&lt;=集計!$C$5),OR(H80="",H80&gt;=集計!$C$5)),"○",""))</f>
        <v/>
      </c>
      <c r="N80" s="24" t="str">
        <f aca="false">IF(M80="○",A80,"")</f>
        <v/>
      </c>
      <c r="O80" s="24" t="str">
        <f aca="false">IF(OR(K80="",M80&lt;&gt;"○"),"",IF(COUNTIFS(K$6:K80,K80,M$6:M80,"○")=1,"○",""))</f>
        <v/>
      </c>
    </row>
    <row r="81" customFormat="false" ht="15" hidden="false" customHeight="false" outlineLevel="0" collapsed="false">
      <c r="A81" s="20"/>
      <c r="B81" s="20"/>
      <c r="C81" s="20"/>
      <c r="D81" s="20"/>
      <c r="E81" s="20"/>
      <c r="F81" s="25"/>
      <c r="G81" s="29"/>
      <c r="H81" s="29"/>
      <c r="I81" s="20"/>
      <c r="J81" s="20"/>
      <c r="K81" s="24" t="str">
        <f aca="false">IF(A81="","",IF(B81="",A81,B81))</f>
        <v/>
      </c>
      <c r="L81" s="24" t="str">
        <f aca="false">IF(A81="","",IF(C81="","未確認",IFERROR(INDEX(マスター!$R$6:$R$45,MATCH(C81,マスター!$Q$6:$Q$45,0)),"未確認")))</f>
        <v/>
      </c>
      <c r="M81" s="24" t="str">
        <f aca="false">IF(A81="","",IF(AND(OR(G81="",G81&lt;=集計!$C$5),OR(H81="",H81&gt;=集計!$C$5)),"○",""))</f>
        <v/>
      </c>
      <c r="N81" s="24" t="str">
        <f aca="false">IF(M81="○",A81,"")</f>
        <v/>
      </c>
      <c r="O81" s="24" t="str">
        <f aca="false">IF(OR(K81="",M81&lt;&gt;"○"),"",IF(COUNTIFS(K$6:K81,K81,M$6:M81,"○")=1,"○",""))</f>
        <v/>
      </c>
    </row>
    <row r="82" customFormat="false" ht="15" hidden="false" customHeight="false" outlineLevel="0" collapsed="false">
      <c r="A82" s="20"/>
      <c r="B82" s="20"/>
      <c r="C82" s="20"/>
      <c r="D82" s="20"/>
      <c r="E82" s="20"/>
      <c r="F82" s="25"/>
      <c r="G82" s="29"/>
      <c r="H82" s="29"/>
      <c r="I82" s="20"/>
      <c r="J82" s="20"/>
      <c r="K82" s="24" t="str">
        <f aca="false">IF(A82="","",IF(B82="",A82,B82))</f>
        <v/>
      </c>
      <c r="L82" s="24" t="str">
        <f aca="false">IF(A82="","",IF(C82="","未確認",IFERROR(INDEX(マスター!$R$6:$R$45,MATCH(C82,マスター!$Q$6:$Q$45,0)),"未確認")))</f>
        <v/>
      </c>
      <c r="M82" s="24" t="str">
        <f aca="false">IF(A82="","",IF(AND(OR(G82="",G82&lt;=集計!$C$5),OR(H82="",H82&gt;=集計!$C$5)),"○",""))</f>
        <v/>
      </c>
      <c r="N82" s="24" t="str">
        <f aca="false">IF(M82="○",A82,"")</f>
        <v/>
      </c>
      <c r="O82" s="24" t="str">
        <f aca="false">IF(OR(K82="",M82&lt;&gt;"○"),"",IF(COUNTIFS(K$6:K82,K82,M$6:M82,"○")=1,"○",""))</f>
        <v/>
      </c>
    </row>
    <row r="83" customFormat="false" ht="15" hidden="false" customHeight="false" outlineLevel="0" collapsed="false">
      <c r="A83" s="20"/>
      <c r="B83" s="20"/>
      <c r="C83" s="20"/>
      <c r="D83" s="20"/>
      <c r="E83" s="20"/>
      <c r="F83" s="25"/>
      <c r="G83" s="29"/>
      <c r="H83" s="29"/>
      <c r="I83" s="20"/>
      <c r="J83" s="20"/>
      <c r="K83" s="24" t="str">
        <f aca="false">IF(A83="","",IF(B83="",A83,B83))</f>
        <v/>
      </c>
      <c r="L83" s="24" t="str">
        <f aca="false">IF(A83="","",IF(C83="","未確認",IFERROR(INDEX(マスター!$R$6:$R$45,MATCH(C83,マスター!$Q$6:$Q$45,0)),"未確認")))</f>
        <v/>
      </c>
      <c r="M83" s="24" t="str">
        <f aca="false">IF(A83="","",IF(AND(OR(G83="",G83&lt;=集計!$C$5),OR(H83="",H83&gt;=集計!$C$5)),"○",""))</f>
        <v/>
      </c>
      <c r="N83" s="24" t="str">
        <f aca="false">IF(M83="○",A83,"")</f>
        <v/>
      </c>
      <c r="O83" s="24" t="str">
        <f aca="false">IF(OR(K83="",M83&lt;&gt;"○"),"",IF(COUNTIFS(K$6:K83,K83,M$6:M83,"○")=1,"○",""))</f>
        <v/>
      </c>
    </row>
    <row r="84" customFormat="false" ht="15" hidden="false" customHeight="false" outlineLevel="0" collapsed="false">
      <c r="A84" s="20"/>
      <c r="B84" s="20"/>
      <c r="C84" s="20"/>
      <c r="D84" s="20"/>
      <c r="E84" s="20"/>
      <c r="F84" s="25"/>
      <c r="G84" s="29"/>
      <c r="H84" s="29"/>
      <c r="I84" s="20"/>
      <c r="J84" s="20"/>
      <c r="K84" s="24" t="str">
        <f aca="false">IF(A84="","",IF(B84="",A84,B84))</f>
        <v/>
      </c>
      <c r="L84" s="24" t="str">
        <f aca="false">IF(A84="","",IF(C84="","未確認",IFERROR(INDEX(マスター!$R$6:$R$45,MATCH(C84,マスター!$Q$6:$Q$45,0)),"未確認")))</f>
        <v/>
      </c>
      <c r="M84" s="24" t="str">
        <f aca="false">IF(A84="","",IF(AND(OR(G84="",G84&lt;=集計!$C$5),OR(H84="",H84&gt;=集計!$C$5)),"○",""))</f>
        <v/>
      </c>
      <c r="N84" s="24" t="str">
        <f aca="false">IF(M84="○",A84,"")</f>
        <v/>
      </c>
      <c r="O84" s="24" t="str">
        <f aca="false">IF(OR(K84="",M84&lt;&gt;"○"),"",IF(COUNTIFS(K$6:K84,K84,M$6:M84,"○")=1,"○",""))</f>
        <v/>
      </c>
    </row>
    <row r="85" customFormat="false" ht="15" hidden="false" customHeight="false" outlineLevel="0" collapsed="false">
      <c r="A85" s="20"/>
      <c r="B85" s="20"/>
      <c r="C85" s="20"/>
      <c r="D85" s="20"/>
      <c r="E85" s="20"/>
      <c r="F85" s="25"/>
      <c r="G85" s="29"/>
      <c r="H85" s="29"/>
      <c r="I85" s="20"/>
      <c r="J85" s="20"/>
      <c r="K85" s="24" t="str">
        <f aca="false">IF(A85="","",IF(B85="",A85,B85))</f>
        <v/>
      </c>
      <c r="L85" s="24" t="str">
        <f aca="false">IF(A85="","",IF(C85="","未確認",IFERROR(INDEX(マスター!$R$6:$R$45,MATCH(C85,マスター!$Q$6:$Q$45,0)),"未確認")))</f>
        <v/>
      </c>
      <c r="M85" s="24" t="str">
        <f aca="false">IF(A85="","",IF(AND(OR(G85="",G85&lt;=集計!$C$5),OR(H85="",H85&gt;=集計!$C$5)),"○",""))</f>
        <v/>
      </c>
      <c r="N85" s="24" t="str">
        <f aca="false">IF(M85="○",A85,"")</f>
        <v/>
      </c>
      <c r="O85" s="24" t="str">
        <f aca="false">IF(OR(K85="",M85&lt;&gt;"○"),"",IF(COUNTIFS(K$6:K85,K85,M$6:M85,"○")=1,"○",""))</f>
        <v/>
      </c>
    </row>
    <row r="86" customFormat="false" ht="15" hidden="false" customHeight="false" outlineLevel="0" collapsed="false">
      <c r="A86" s="20"/>
      <c r="B86" s="20"/>
      <c r="C86" s="20"/>
      <c r="D86" s="20"/>
      <c r="E86" s="20"/>
      <c r="F86" s="25"/>
      <c r="G86" s="29"/>
      <c r="H86" s="29"/>
      <c r="I86" s="20"/>
      <c r="J86" s="20"/>
      <c r="K86" s="24" t="str">
        <f aca="false">IF(A86="","",IF(B86="",A86,B86))</f>
        <v/>
      </c>
      <c r="L86" s="24" t="str">
        <f aca="false">IF(A86="","",IF(C86="","未確認",IFERROR(INDEX(マスター!$R$6:$R$45,MATCH(C86,マスター!$Q$6:$Q$45,0)),"未確認")))</f>
        <v/>
      </c>
      <c r="M86" s="24" t="str">
        <f aca="false">IF(A86="","",IF(AND(OR(G86="",G86&lt;=集計!$C$5),OR(H86="",H86&gt;=集計!$C$5)),"○",""))</f>
        <v/>
      </c>
      <c r="N86" s="24" t="str">
        <f aca="false">IF(M86="○",A86,"")</f>
        <v/>
      </c>
      <c r="O86" s="24" t="str">
        <f aca="false">IF(OR(K86="",M86&lt;&gt;"○"),"",IF(COUNTIFS(K$6:K86,K86,M$6:M86,"○")=1,"○",""))</f>
        <v/>
      </c>
    </row>
    <row r="87" customFormat="false" ht="15" hidden="false" customHeight="false" outlineLevel="0" collapsed="false">
      <c r="A87" s="20"/>
      <c r="B87" s="20"/>
      <c r="C87" s="20"/>
      <c r="D87" s="20"/>
      <c r="E87" s="20"/>
      <c r="F87" s="25"/>
      <c r="G87" s="29"/>
      <c r="H87" s="29"/>
      <c r="I87" s="20"/>
      <c r="J87" s="20"/>
      <c r="K87" s="24" t="str">
        <f aca="false">IF(A87="","",IF(B87="",A87,B87))</f>
        <v/>
      </c>
      <c r="L87" s="24" t="str">
        <f aca="false">IF(A87="","",IF(C87="","未確認",IFERROR(INDEX(マスター!$R$6:$R$45,MATCH(C87,マスター!$Q$6:$Q$45,0)),"未確認")))</f>
        <v/>
      </c>
      <c r="M87" s="24" t="str">
        <f aca="false">IF(A87="","",IF(AND(OR(G87="",G87&lt;=集計!$C$5),OR(H87="",H87&gt;=集計!$C$5)),"○",""))</f>
        <v/>
      </c>
      <c r="N87" s="24" t="str">
        <f aca="false">IF(M87="○",A87,"")</f>
        <v/>
      </c>
      <c r="O87" s="24" t="str">
        <f aca="false">IF(OR(K87="",M87&lt;&gt;"○"),"",IF(COUNTIFS(K$6:K87,K87,M$6:M87,"○")=1,"○",""))</f>
        <v/>
      </c>
    </row>
    <row r="88" customFormat="false" ht="15" hidden="false" customHeight="false" outlineLevel="0" collapsed="false">
      <c r="A88" s="20"/>
      <c r="B88" s="20"/>
      <c r="C88" s="20"/>
      <c r="D88" s="20"/>
      <c r="E88" s="20"/>
      <c r="F88" s="25"/>
      <c r="G88" s="29"/>
      <c r="H88" s="29"/>
      <c r="I88" s="20"/>
      <c r="J88" s="20"/>
      <c r="K88" s="24" t="str">
        <f aca="false">IF(A88="","",IF(B88="",A88,B88))</f>
        <v/>
      </c>
      <c r="L88" s="24" t="str">
        <f aca="false">IF(A88="","",IF(C88="","未確認",IFERROR(INDEX(マスター!$R$6:$R$45,MATCH(C88,マスター!$Q$6:$Q$45,0)),"未確認")))</f>
        <v/>
      </c>
      <c r="M88" s="24" t="str">
        <f aca="false">IF(A88="","",IF(AND(OR(G88="",G88&lt;=集計!$C$5),OR(H88="",H88&gt;=集計!$C$5)),"○",""))</f>
        <v/>
      </c>
      <c r="N88" s="24" t="str">
        <f aca="false">IF(M88="○",A88,"")</f>
        <v/>
      </c>
      <c r="O88" s="24" t="str">
        <f aca="false">IF(OR(K88="",M88&lt;&gt;"○"),"",IF(COUNTIFS(K$6:K88,K88,M$6:M88,"○")=1,"○",""))</f>
        <v/>
      </c>
    </row>
    <row r="89" customFormat="false" ht="15" hidden="false" customHeight="false" outlineLevel="0" collapsed="false">
      <c r="A89" s="20"/>
      <c r="B89" s="20"/>
      <c r="C89" s="20"/>
      <c r="D89" s="20"/>
      <c r="E89" s="20"/>
      <c r="F89" s="25"/>
      <c r="G89" s="29"/>
      <c r="H89" s="29"/>
      <c r="I89" s="20"/>
      <c r="J89" s="20"/>
      <c r="K89" s="24" t="str">
        <f aca="false">IF(A89="","",IF(B89="",A89,B89))</f>
        <v/>
      </c>
      <c r="L89" s="24" t="str">
        <f aca="false">IF(A89="","",IF(C89="","未確認",IFERROR(INDEX(マスター!$R$6:$R$45,MATCH(C89,マスター!$Q$6:$Q$45,0)),"未確認")))</f>
        <v/>
      </c>
      <c r="M89" s="24" t="str">
        <f aca="false">IF(A89="","",IF(AND(OR(G89="",G89&lt;=集計!$C$5),OR(H89="",H89&gt;=集計!$C$5)),"○",""))</f>
        <v/>
      </c>
      <c r="N89" s="24" t="str">
        <f aca="false">IF(M89="○",A89,"")</f>
        <v/>
      </c>
      <c r="O89" s="24" t="str">
        <f aca="false">IF(OR(K89="",M89&lt;&gt;"○"),"",IF(COUNTIFS(K$6:K89,K89,M$6:M89,"○")=1,"○",""))</f>
        <v/>
      </c>
    </row>
    <row r="90" customFormat="false" ht="15" hidden="false" customHeight="false" outlineLevel="0" collapsed="false">
      <c r="A90" s="20"/>
      <c r="B90" s="20"/>
      <c r="C90" s="20"/>
      <c r="D90" s="20"/>
      <c r="E90" s="20"/>
      <c r="F90" s="25"/>
      <c r="G90" s="29"/>
      <c r="H90" s="29"/>
      <c r="I90" s="20"/>
      <c r="J90" s="20"/>
      <c r="K90" s="24" t="str">
        <f aca="false">IF(A90="","",IF(B90="",A90,B90))</f>
        <v/>
      </c>
      <c r="L90" s="24" t="str">
        <f aca="false">IF(A90="","",IF(C90="","未確認",IFERROR(INDEX(マスター!$R$6:$R$45,MATCH(C90,マスター!$Q$6:$Q$45,0)),"未確認")))</f>
        <v/>
      </c>
      <c r="M90" s="24" t="str">
        <f aca="false">IF(A90="","",IF(AND(OR(G90="",G90&lt;=集計!$C$5),OR(H90="",H90&gt;=集計!$C$5)),"○",""))</f>
        <v/>
      </c>
      <c r="N90" s="24" t="str">
        <f aca="false">IF(M90="○",A90,"")</f>
        <v/>
      </c>
      <c r="O90" s="24" t="str">
        <f aca="false">IF(OR(K90="",M90&lt;&gt;"○"),"",IF(COUNTIFS(K$6:K90,K90,M$6:M90,"○")=1,"○",""))</f>
        <v/>
      </c>
    </row>
    <row r="91" customFormat="false" ht="15" hidden="false" customHeight="false" outlineLevel="0" collapsed="false">
      <c r="A91" s="20"/>
      <c r="B91" s="20"/>
      <c r="C91" s="20"/>
      <c r="D91" s="20"/>
      <c r="E91" s="20"/>
      <c r="F91" s="25"/>
      <c r="G91" s="29"/>
      <c r="H91" s="29"/>
      <c r="I91" s="20"/>
      <c r="J91" s="20"/>
      <c r="K91" s="24" t="str">
        <f aca="false">IF(A91="","",IF(B91="",A91,B91))</f>
        <v/>
      </c>
      <c r="L91" s="24" t="str">
        <f aca="false">IF(A91="","",IF(C91="","未確認",IFERROR(INDEX(マスター!$R$6:$R$45,MATCH(C91,マスター!$Q$6:$Q$45,0)),"未確認")))</f>
        <v/>
      </c>
      <c r="M91" s="24" t="str">
        <f aca="false">IF(A91="","",IF(AND(OR(G91="",G91&lt;=集計!$C$5),OR(H91="",H91&gt;=集計!$C$5)),"○",""))</f>
        <v/>
      </c>
      <c r="N91" s="24" t="str">
        <f aca="false">IF(M91="○",A91,"")</f>
        <v/>
      </c>
      <c r="O91" s="24" t="str">
        <f aca="false">IF(OR(K91="",M91&lt;&gt;"○"),"",IF(COUNTIFS(K$6:K91,K91,M$6:M91,"○")=1,"○",""))</f>
        <v/>
      </c>
    </row>
    <row r="92" customFormat="false" ht="15" hidden="false" customHeight="false" outlineLevel="0" collapsed="false">
      <c r="A92" s="20"/>
      <c r="B92" s="20"/>
      <c r="C92" s="20"/>
      <c r="D92" s="20"/>
      <c r="E92" s="20"/>
      <c r="F92" s="25"/>
      <c r="G92" s="29"/>
      <c r="H92" s="29"/>
      <c r="I92" s="20"/>
      <c r="J92" s="20"/>
      <c r="K92" s="24" t="str">
        <f aca="false">IF(A92="","",IF(B92="",A92,B92))</f>
        <v/>
      </c>
      <c r="L92" s="24" t="str">
        <f aca="false">IF(A92="","",IF(C92="","未確認",IFERROR(INDEX(マスター!$R$6:$R$45,MATCH(C92,マスター!$Q$6:$Q$45,0)),"未確認")))</f>
        <v/>
      </c>
      <c r="M92" s="24" t="str">
        <f aca="false">IF(A92="","",IF(AND(OR(G92="",G92&lt;=集計!$C$5),OR(H92="",H92&gt;=集計!$C$5)),"○",""))</f>
        <v/>
      </c>
      <c r="N92" s="24" t="str">
        <f aca="false">IF(M92="○",A92,"")</f>
        <v/>
      </c>
      <c r="O92" s="24" t="str">
        <f aca="false">IF(OR(K92="",M92&lt;&gt;"○"),"",IF(COUNTIFS(K$6:K92,K92,M$6:M92,"○")=1,"○",""))</f>
        <v/>
      </c>
    </row>
    <row r="93" customFormat="false" ht="15" hidden="false" customHeight="false" outlineLevel="0" collapsed="false">
      <c r="A93" s="20"/>
      <c r="B93" s="20"/>
      <c r="C93" s="20"/>
      <c r="D93" s="20"/>
      <c r="E93" s="20"/>
      <c r="F93" s="25"/>
      <c r="G93" s="29"/>
      <c r="H93" s="29"/>
      <c r="I93" s="20"/>
      <c r="J93" s="20"/>
      <c r="K93" s="24" t="str">
        <f aca="false">IF(A93="","",IF(B93="",A93,B93))</f>
        <v/>
      </c>
      <c r="L93" s="24" t="str">
        <f aca="false">IF(A93="","",IF(C93="","未確認",IFERROR(INDEX(マスター!$R$6:$R$45,MATCH(C93,マスター!$Q$6:$Q$45,0)),"未確認")))</f>
        <v/>
      </c>
      <c r="M93" s="24" t="str">
        <f aca="false">IF(A93="","",IF(AND(OR(G93="",G93&lt;=集計!$C$5),OR(H93="",H93&gt;=集計!$C$5)),"○",""))</f>
        <v/>
      </c>
      <c r="N93" s="24" t="str">
        <f aca="false">IF(M93="○",A93,"")</f>
        <v/>
      </c>
      <c r="O93" s="24" t="str">
        <f aca="false">IF(OR(K93="",M93&lt;&gt;"○"),"",IF(COUNTIFS(K$6:K93,K93,M$6:M93,"○")=1,"○",""))</f>
        <v/>
      </c>
    </row>
    <row r="94" customFormat="false" ht="15" hidden="false" customHeight="false" outlineLevel="0" collapsed="false">
      <c r="A94" s="20"/>
      <c r="B94" s="20"/>
      <c r="C94" s="20"/>
      <c r="D94" s="20"/>
      <c r="E94" s="20"/>
      <c r="F94" s="25"/>
      <c r="G94" s="29"/>
      <c r="H94" s="29"/>
      <c r="I94" s="20"/>
      <c r="J94" s="20"/>
      <c r="K94" s="24" t="str">
        <f aca="false">IF(A94="","",IF(B94="",A94,B94))</f>
        <v/>
      </c>
      <c r="L94" s="24" t="str">
        <f aca="false">IF(A94="","",IF(C94="","未確認",IFERROR(INDEX(マスター!$R$6:$R$45,MATCH(C94,マスター!$Q$6:$Q$45,0)),"未確認")))</f>
        <v/>
      </c>
      <c r="M94" s="24" t="str">
        <f aca="false">IF(A94="","",IF(AND(OR(G94="",G94&lt;=集計!$C$5),OR(H94="",H94&gt;=集計!$C$5)),"○",""))</f>
        <v/>
      </c>
      <c r="N94" s="24" t="str">
        <f aca="false">IF(M94="○",A94,"")</f>
        <v/>
      </c>
      <c r="O94" s="24" t="str">
        <f aca="false">IF(OR(K94="",M94&lt;&gt;"○"),"",IF(COUNTIFS(K$6:K94,K94,M$6:M94,"○")=1,"○",""))</f>
        <v/>
      </c>
    </row>
    <row r="95" customFormat="false" ht="15" hidden="false" customHeight="false" outlineLevel="0" collapsed="false">
      <c r="A95" s="20"/>
      <c r="B95" s="20"/>
      <c r="C95" s="20"/>
      <c r="D95" s="20"/>
      <c r="E95" s="20"/>
      <c r="F95" s="25"/>
      <c r="G95" s="29"/>
      <c r="H95" s="29"/>
      <c r="I95" s="20"/>
      <c r="J95" s="20"/>
      <c r="K95" s="24" t="str">
        <f aca="false">IF(A95="","",IF(B95="",A95,B95))</f>
        <v/>
      </c>
      <c r="L95" s="24" t="str">
        <f aca="false">IF(A95="","",IF(C95="","未確認",IFERROR(INDEX(マスター!$R$6:$R$45,MATCH(C95,マスター!$Q$6:$Q$45,0)),"未確認")))</f>
        <v/>
      </c>
      <c r="M95" s="24" t="str">
        <f aca="false">IF(A95="","",IF(AND(OR(G95="",G95&lt;=集計!$C$5),OR(H95="",H95&gt;=集計!$C$5)),"○",""))</f>
        <v/>
      </c>
      <c r="N95" s="24" t="str">
        <f aca="false">IF(M95="○",A95,"")</f>
        <v/>
      </c>
      <c r="O95" s="24" t="str">
        <f aca="false">IF(OR(K95="",M95&lt;&gt;"○"),"",IF(COUNTIFS(K$6:K95,K95,M$6:M95,"○")=1,"○",""))</f>
        <v/>
      </c>
    </row>
    <row r="96" customFormat="false" ht="15" hidden="false" customHeight="false" outlineLevel="0" collapsed="false">
      <c r="A96" s="20"/>
      <c r="B96" s="20"/>
      <c r="C96" s="20"/>
      <c r="D96" s="20"/>
      <c r="E96" s="20"/>
      <c r="F96" s="25"/>
      <c r="G96" s="29"/>
      <c r="H96" s="29"/>
      <c r="I96" s="20"/>
      <c r="J96" s="20"/>
      <c r="K96" s="24" t="str">
        <f aca="false">IF(A96="","",IF(B96="",A96,B96))</f>
        <v/>
      </c>
      <c r="L96" s="24" t="str">
        <f aca="false">IF(A96="","",IF(C96="","未確認",IFERROR(INDEX(マスター!$R$6:$R$45,MATCH(C96,マスター!$Q$6:$Q$45,0)),"未確認")))</f>
        <v/>
      </c>
      <c r="M96" s="24" t="str">
        <f aca="false">IF(A96="","",IF(AND(OR(G96="",G96&lt;=集計!$C$5),OR(H96="",H96&gt;=集計!$C$5)),"○",""))</f>
        <v/>
      </c>
      <c r="N96" s="24" t="str">
        <f aca="false">IF(M96="○",A96,"")</f>
        <v/>
      </c>
      <c r="O96" s="24" t="str">
        <f aca="false">IF(OR(K96="",M96&lt;&gt;"○"),"",IF(COUNTIFS(K$6:K96,K96,M$6:M96,"○")=1,"○",""))</f>
        <v/>
      </c>
    </row>
    <row r="97" customFormat="false" ht="15" hidden="false" customHeight="false" outlineLevel="0" collapsed="false">
      <c r="A97" s="20"/>
      <c r="B97" s="20"/>
      <c r="C97" s="20"/>
      <c r="D97" s="20"/>
      <c r="E97" s="20"/>
      <c r="F97" s="25"/>
      <c r="G97" s="29"/>
      <c r="H97" s="29"/>
      <c r="I97" s="20"/>
      <c r="J97" s="20"/>
      <c r="K97" s="24" t="str">
        <f aca="false">IF(A97="","",IF(B97="",A97,B97))</f>
        <v/>
      </c>
      <c r="L97" s="24" t="str">
        <f aca="false">IF(A97="","",IF(C97="","未確認",IFERROR(INDEX(マスター!$R$6:$R$45,MATCH(C97,マスター!$Q$6:$Q$45,0)),"未確認")))</f>
        <v/>
      </c>
      <c r="M97" s="24" t="str">
        <f aca="false">IF(A97="","",IF(AND(OR(G97="",G97&lt;=集計!$C$5),OR(H97="",H97&gt;=集計!$C$5)),"○",""))</f>
        <v/>
      </c>
      <c r="N97" s="24" t="str">
        <f aca="false">IF(M97="○",A97,"")</f>
        <v/>
      </c>
      <c r="O97" s="24" t="str">
        <f aca="false">IF(OR(K97="",M97&lt;&gt;"○"),"",IF(COUNTIFS(K$6:K97,K97,M$6:M97,"○")=1,"○",""))</f>
        <v/>
      </c>
    </row>
    <row r="98" customFormat="false" ht="15" hidden="false" customHeight="false" outlineLevel="0" collapsed="false">
      <c r="A98" s="20"/>
      <c r="B98" s="20"/>
      <c r="C98" s="20"/>
      <c r="D98" s="20"/>
      <c r="E98" s="20"/>
      <c r="F98" s="25"/>
      <c r="G98" s="29"/>
      <c r="H98" s="29"/>
      <c r="I98" s="20"/>
      <c r="J98" s="20"/>
      <c r="K98" s="24" t="str">
        <f aca="false">IF(A98="","",IF(B98="",A98,B98))</f>
        <v/>
      </c>
      <c r="L98" s="24" t="str">
        <f aca="false">IF(A98="","",IF(C98="","未確認",IFERROR(INDEX(マスター!$R$6:$R$45,MATCH(C98,マスター!$Q$6:$Q$45,0)),"未確認")))</f>
        <v/>
      </c>
      <c r="M98" s="24" t="str">
        <f aca="false">IF(A98="","",IF(AND(OR(G98="",G98&lt;=集計!$C$5),OR(H98="",H98&gt;=集計!$C$5)),"○",""))</f>
        <v/>
      </c>
      <c r="N98" s="24" t="str">
        <f aca="false">IF(M98="○",A98,"")</f>
        <v/>
      </c>
      <c r="O98" s="24" t="str">
        <f aca="false">IF(OR(K98="",M98&lt;&gt;"○"),"",IF(COUNTIFS(K$6:K98,K98,M$6:M98,"○")=1,"○",""))</f>
        <v/>
      </c>
    </row>
    <row r="99" customFormat="false" ht="15" hidden="false" customHeight="false" outlineLevel="0" collapsed="false">
      <c r="A99" s="20"/>
      <c r="B99" s="20"/>
      <c r="C99" s="20"/>
      <c r="D99" s="20"/>
      <c r="E99" s="20"/>
      <c r="F99" s="25"/>
      <c r="G99" s="29"/>
      <c r="H99" s="29"/>
      <c r="I99" s="20"/>
      <c r="J99" s="20"/>
      <c r="K99" s="24" t="str">
        <f aca="false">IF(A99="","",IF(B99="",A99,B99))</f>
        <v/>
      </c>
      <c r="L99" s="24" t="str">
        <f aca="false">IF(A99="","",IF(C99="","未確認",IFERROR(INDEX(マスター!$R$6:$R$45,MATCH(C99,マスター!$Q$6:$Q$45,0)),"未確認")))</f>
        <v/>
      </c>
      <c r="M99" s="24" t="str">
        <f aca="false">IF(A99="","",IF(AND(OR(G99="",G99&lt;=集計!$C$5),OR(H99="",H99&gt;=集計!$C$5)),"○",""))</f>
        <v/>
      </c>
      <c r="N99" s="24" t="str">
        <f aca="false">IF(M99="○",A99,"")</f>
        <v/>
      </c>
      <c r="O99" s="24" t="str">
        <f aca="false">IF(OR(K99="",M99&lt;&gt;"○"),"",IF(COUNTIFS(K$6:K99,K99,M$6:M99,"○")=1,"○",""))</f>
        <v/>
      </c>
    </row>
    <row r="100" customFormat="false" ht="15" hidden="false" customHeight="false" outlineLevel="0" collapsed="false">
      <c r="A100" s="20"/>
      <c r="B100" s="20"/>
      <c r="C100" s="20"/>
      <c r="D100" s="20"/>
      <c r="E100" s="20"/>
      <c r="F100" s="25"/>
      <c r="G100" s="29"/>
      <c r="H100" s="29"/>
      <c r="I100" s="20"/>
      <c r="J100" s="20"/>
      <c r="K100" s="24" t="str">
        <f aca="false">IF(A100="","",IF(B100="",A100,B100))</f>
        <v/>
      </c>
      <c r="L100" s="24" t="str">
        <f aca="false">IF(A100="","",IF(C100="","未確認",IFERROR(INDEX(マスター!$R$6:$R$45,MATCH(C100,マスター!$Q$6:$Q$45,0)),"未確認")))</f>
        <v/>
      </c>
      <c r="M100" s="24" t="str">
        <f aca="false">IF(A100="","",IF(AND(OR(G100="",G100&lt;=集計!$C$5),OR(H100="",H100&gt;=集計!$C$5)),"○",""))</f>
        <v/>
      </c>
      <c r="N100" s="24" t="str">
        <f aca="false">IF(M100="○",A100,"")</f>
        <v/>
      </c>
      <c r="O100" s="24" t="str">
        <f aca="false">IF(OR(K100="",M100&lt;&gt;"○"),"",IF(COUNTIFS(K$6:K100,K100,M$6:M100,"○")=1,"○",""))</f>
        <v/>
      </c>
    </row>
    <row r="101" customFormat="false" ht="15" hidden="false" customHeight="false" outlineLevel="0" collapsed="false">
      <c r="A101" s="20"/>
      <c r="B101" s="20"/>
      <c r="C101" s="20"/>
      <c r="D101" s="20"/>
      <c r="E101" s="20"/>
      <c r="F101" s="25"/>
      <c r="G101" s="29"/>
      <c r="H101" s="29"/>
      <c r="I101" s="20"/>
      <c r="J101" s="20"/>
      <c r="K101" s="24" t="str">
        <f aca="false">IF(A101="","",IF(B101="",A101,B101))</f>
        <v/>
      </c>
      <c r="L101" s="24" t="str">
        <f aca="false">IF(A101="","",IF(C101="","未確認",IFERROR(INDEX(マスター!$R$6:$R$45,MATCH(C101,マスター!$Q$6:$Q$45,0)),"未確認")))</f>
        <v/>
      </c>
      <c r="M101" s="24" t="str">
        <f aca="false">IF(A101="","",IF(AND(OR(G101="",G101&lt;=集計!$C$5),OR(H101="",H101&gt;=集計!$C$5)),"○",""))</f>
        <v/>
      </c>
      <c r="N101" s="24" t="str">
        <f aca="false">IF(M101="○",A101,"")</f>
        <v/>
      </c>
      <c r="O101" s="24" t="str">
        <f aca="false">IF(OR(K101="",M101&lt;&gt;"○"),"",IF(COUNTIFS(K$6:K101,K101,M$6:M101,"○")=1,"○",""))</f>
        <v/>
      </c>
    </row>
    <row r="102" customFormat="false" ht="15" hidden="false" customHeight="false" outlineLevel="0" collapsed="false">
      <c r="A102" s="20"/>
      <c r="B102" s="20"/>
      <c r="C102" s="20"/>
      <c r="D102" s="20"/>
      <c r="E102" s="20"/>
      <c r="F102" s="25"/>
      <c r="G102" s="29"/>
      <c r="H102" s="29"/>
      <c r="I102" s="20"/>
      <c r="J102" s="20"/>
      <c r="K102" s="24" t="str">
        <f aca="false">IF(A102="","",IF(B102="",A102,B102))</f>
        <v/>
      </c>
      <c r="L102" s="24" t="str">
        <f aca="false">IF(A102="","",IF(C102="","未確認",IFERROR(INDEX(マスター!$R$6:$R$45,MATCH(C102,マスター!$Q$6:$Q$45,0)),"未確認")))</f>
        <v/>
      </c>
      <c r="M102" s="24" t="str">
        <f aca="false">IF(A102="","",IF(AND(OR(G102="",G102&lt;=集計!$C$5),OR(H102="",H102&gt;=集計!$C$5)),"○",""))</f>
        <v/>
      </c>
      <c r="N102" s="24" t="str">
        <f aca="false">IF(M102="○",A102,"")</f>
        <v/>
      </c>
      <c r="O102" s="24" t="str">
        <f aca="false">IF(OR(K102="",M102&lt;&gt;"○"),"",IF(COUNTIFS(K$6:K102,K102,M$6:M102,"○")=1,"○",""))</f>
        <v/>
      </c>
    </row>
    <row r="103" customFormat="false" ht="15" hidden="false" customHeight="false" outlineLevel="0" collapsed="false">
      <c r="A103" s="20"/>
      <c r="B103" s="20"/>
      <c r="C103" s="20"/>
      <c r="D103" s="20"/>
      <c r="E103" s="20"/>
      <c r="F103" s="25"/>
      <c r="G103" s="29"/>
      <c r="H103" s="29"/>
      <c r="I103" s="20"/>
      <c r="J103" s="20"/>
      <c r="K103" s="24" t="str">
        <f aca="false">IF(A103="","",IF(B103="",A103,B103))</f>
        <v/>
      </c>
      <c r="L103" s="24" t="str">
        <f aca="false">IF(A103="","",IF(C103="","未確認",IFERROR(INDEX(マスター!$R$6:$R$45,MATCH(C103,マスター!$Q$6:$Q$45,0)),"未確認")))</f>
        <v/>
      </c>
      <c r="M103" s="24" t="str">
        <f aca="false">IF(A103="","",IF(AND(OR(G103="",G103&lt;=集計!$C$5),OR(H103="",H103&gt;=集計!$C$5)),"○",""))</f>
        <v/>
      </c>
      <c r="N103" s="24" t="str">
        <f aca="false">IF(M103="○",A103,"")</f>
        <v/>
      </c>
      <c r="O103" s="24" t="str">
        <f aca="false">IF(OR(K103="",M103&lt;&gt;"○"),"",IF(COUNTIFS(K$6:K103,K103,M$6:M103,"○")=1,"○",""))</f>
        <v/>
      </c>
    </row>
    <row r="104" customFormat="false" ht="15" hidden="false" customHeight="false" outlineLevel="0" collapsed="false">
      <c r="A104" s="20"/>
      <c r="B104" s="20"/>
      <c r="C104" s="20"/>
      <c r="D104" s="20"/>
      <c r="E104" s="20"/>
      <c r="F104" s="25"/>
      <c r="G104" s="29"/>
      <c r="H104" s="29"/>
      <c r="I104" s="20"/>
      <c r="J104" s="20"/>
      <c r="K104" s="24" t="str">
        <f aca="false">IF(A104="","",IF(B104="",A104,B104))</f>
        <v/>
      </c>
      <c r="L104" s="24" t="str">
        <f aca="false">IF(A104="","",IF(C104="","未確認",IFERROR(INDEX(マスター!$R$6:$R$45,MATCH(C104,マスター!$Q$6:$Q$45,0)),"未確認")))</f>
        <v/>
      </c>
      <c r="M104" s="24" t="str">
        <f aca="false">IF(A104="","",IF(AND(OR(G104="",G104&lt;=集計!$C$5),OR(H104="",H104&gt;=集計!$C$5)),"○",""))</f>
        <v/>
      </c>
      <c r="N104" s="24" t="str">
        <f aca="false">IF(M104="○",A104,"")</f>
        <v/>
      </c>
      <c r="O104" s="24" t="str">
        <f aca="false">IF(OR(K104="",M104&lt;&gt;"○"),"",IF(COUNTIFS(K$6:K104,K104,M$6:M104,"○")=1,"○",""))</f>
        <v/>
      </c>
    </row>
    <row r="105" customFormat="false" ht="15" hidden="false" customHeight="false" outlineLevel="0" collapsed="false">
      <c r="A105" s="20"/>
      <c r="B105" s="20"/>
      <c r="C105" s="20"/>
      <c r="D105" s="20"/>
      <c r="E105" s="20"/>
      <c r="F105" s="25"/>
      <c r="G105" s="29"/>
      <c r="H105" s="29"/>
      <c r="I105" s="20"/>
      <c r="J105" s="20"/>
      <c r="K105" s="24" t="str">
        <f aca="false">IF(A105="","",IF(B105="",A105,B105))</f>
        <v/>
      </c>
      <c r="L105" s="24" t="str">
        <f aca="false">IF(A105="","",IF(C105="","未確認",IFERROR(INDEX(マスター!$R$6:$R$45,MATCH(C105,マスター!$Q$6:$Q$45,0)),"未確認")))</f>
        <v/>
      </c>
      <c r="M105" s="24" t="str">
        <f aca="false">IF(A105="","",IF(AND(OR(G105="",G105&lt;=集計!$C$5),OR(H105="",H105&gt;=集計!$C$5)),"○",""))</f>
        <v/>
      </c>
      <c r="N105" s="24" t="str">
        <f aca="false">IF(M105="○",A105,"")</f>
        <v/>
      </c>
      <c r="O105" s="24" t="str">
        <f aca="false">IF(OR(K105="",M105&lt;&gt;"○"),"",IF(COUNTIFS(K$6:K105,K105,M$6:M105,"○")=1,"○",""))</f>
        <v/>
      </c>
    </row>
    <row r="106" customFormat="false" ht="15" hidden="false" customHeight="false" outlineLevel="0" collapsed="false">
      <c r="A106" s="20"/>
      <c r="B106" s="20"/>
      <c r="C106" s="20"/>
      <c r="D106" s="20"/>
      <c r="E106" s="20"/>
      <c r="F106" s="25"/>
      <c r="G106" s="29"/>
      <c r="H106" s="29"/>
      <c r="I106" s="20"/>
      <c r="J106" s="20"/>
      <c r="K106" s="24" t="str">
        <f aca="false">IF(A106="","",IF(B106="",A106,B106))</f>
        <v/>
      </c>
      <c r="L106" s="24" t="str">
        <f aca="false">IF(A106="","",IF(C106="","未確認",IFERROR(INDEX(マスター!$R$6:$R$45,MATCH(C106,マスター!$Q$6:$Q$45,0)),"未確認")))</f>
        <v/>
      </c>
      <c r="M106" s="24" t="str">
        <f aca="false">IF(A106="","",IF(AND(OR(G106="",G106&lt;=集計!$C$5),OR(H106="",H106&gt;=集計!$C$5)),"○",""))</f>
        <v/>
      </c>
      <c r="N106" s="24" t="str">
        <f aca="false">IF(M106="○",A106,"")</f>
        <v/>
      </c>
      <c r="O106" s="24" t="str">
        <f aca="false">IF(OR(K106="",M106&lt;&gt;"○"),"",IF(COUNTIFS(K$6:K106,K106,M$6:M106,"○")=1,"○",""))</f>
        <v/>
      </c>
    </row>
    <row r="107" customFormat="false" ht="15" hidden="false" customHeight="false" outlineLevel="0" collapsed="false">
      <c r="A107" s="20"/>
      <c r="B107" s="20"/>
      <c r="C107" s="20"/>
      <c r="D107" s="20"/>
      <c r="E107" s="20"/>
      <c r="F107" s="25"/>
      <c r="G107" s="29"/>
      <c r="H107" s="29"/>
      <c r="I107" s="20"/>
      <c r="J107" s="20"/>
      <c r="K107" s="24" t="str">
        <f aca="false">IF(A107="","",IF(B107="",A107,B107))</f>
        <v/>
      </c>
      <c r="L107" s="24" t="str">
        <f aca="false">IF(A107="","",IF(C107="","未確認",IFERROR(INDEX(マスター!$R$6:$R$45,MATCH(C107,マスター!$Q$6:$Q$45,0)),"未確認")))</f>
        <v/>
      </c>
      <c r="M107" s="24" t="str">
        <f aca="false">IF(A107="","",IF(AND(OR(G107="",G107&lt;=集計!$C$5),OR(H107="",H107&gt;=集計!$C$5)),"○",""))</f>
        <v/>
      </c>
      <c r="N107" s="24" t="str">
        <f aca="false">IF(M107="○",A107,"")</f>
        <v/>
      </c>
      <c r="O107" s="24" t="str">
        <f aca="false">IF(OR(K107="",M107&lt;&gt;"○"),"",IF(COUNTIFS(K$6:K107,K107,M$6:M107,"○")=1,"○",""))</f>
        <v/>
      </c>
    </row>
    <row r="108" customFormat="false" ht="15" hidden="false" customHeight="false" outlineLevel="0" collapsed="false">
      <c r="A108" s="20"/>
      <c r="B108" s="20"/>
      <c r="C108" s="20"/>
      <c r="D108" s="20"/>
      <c r="E108" s="20"/>
      <c r="F108" s="25"/>
      <c r="G108" s="29"/>
      <c r="H108" s="29"/>
      <c r="I108" s="20"/>
      <c r="J108" s="20"/>
      <c r="K108" s="24" t="str">
        <f aca="false">IF(A108="","",IF(B108="",A108,B108))</f>
        <v/>
      </c>
      <c r="L108" s="24" t="str">
        <f aca="false">IF(A108="","",IF(C108="","未確認",IFERROR(INDEX(マスター!$R$6:$R$45,MATCH(C108,マスター!$Q$6:$Q$45,0)),"未確認")))</f>
        <v/>
      </c>
      <c r="M108" s="24" t="str">
        <f aca="false">IF(A108="","",IF(AND(OR(G108="",G108&lt;=集計!$C$5),OR(H108="",H108&gt;=集計!$C$5)),"○",""))</f>
        <v/>
      </c>
      <c r="N108" s="24" t="str">
        <f aca="false">IF(M108="○",A108,"")</f>
        <v/>
      </c>
      <c r="O108" s="24" t="str">
        <f aca="false">IF(OR(K108="",M108&lt;&gt;"○"),"",IF(COUNTIFS(K$6:K108,K108,M$6:M108,"○")=1,"○",""))</f>
        <v/>
      </c>
    </row>
    <row r="109" customFormat="false" ht="15" hidden="false" customHeight="false" outlineLevel="0" collapsed="false">
      <c r="A109" s="20"/>
      <c r="B109" s="20"/>
      <c r="C109" s="20"/>
      <c r="D109" s="20"/>
      <c r="E109" s="20"/>
      <c r="F109" s="25"/>
      <c r="G109" s="29"/>
      <c r="H109" s="29"/>
      <c r="I109" s="20"/>
      <c r="J109" s="20"/>
      <c r="K109" s="24" t="str">
        <f aca="false">IF(A109="","",IF(B109="",A109,B109))</f>
        <v/>
      </c>
      <c r="L109" s="24" t="str">
        <f aca="false">IF(A109="","",IF(C109="","未確認",IFERROR(INDEX(マスター!$R$6:$R$45,MATCH(C109,マスター!$Q$6:$Q$45,0)),"未確認")))</f>
        <v/>
      </c>
      <c r="M109" s="24" t="str">
        <f aca="false">IF(A109="","",IF(AND(OR(G109="",G109&lt;=集計!$C$5),OR(H109="",H109&gt;=集計!$C$5)),"○",""))</f>
        <v/>
      </c>
      <c r="N109" s="24" t="str">
        <f aca="false">IF(M109="○",A109,"")</f>
        <v/>
      </c>
      <c r="O109" s="24" t="str">
        <f aca="false">IF(OR(K109="",M109&lt;&gt;"○"),"",IF(COUNTIFS(K$6:K109,K109,M$6:M109,"○")=1,"○",""))</f>
        <v/>
      </c>
    </row>
    <row r="110" customFormat="false" ht="15" hidden="false" customHeight="false" outlineLevel="0" collapsed="false">
      <c r="A110" s="20"/>
      <c r="B110" s="20"/>
      <c r="C110" s="20"/>
      <c r="D110" s="20"/>
      <c r="E110" s="20"/>
      <c r="F110" s="25"/>
      <c r="G110" s="29"/>
      <c r="H110" s="29"/>
      <c r="I110" s="20"/>
      <c r="J110" s="20"/>
      <c r="K110" s="24" t="str">
        <f aca="false">IF(A110="","",IF(B110="",A110,B110))</f>
        <v/>
      </c>
      <c r="L110" s="24" t="str">
        <f aca="false">IF(A110="","",IF(C110="","未確認",IFERROR(INDEX(マスター!$R$6:$R$45,MATCH(C110,マスター!$Q$6:$Q$45,0)),"未確認")))</f>
        <v/>
      </c>
      <c r="M110" s="24" t="str">
        <f aca="false">IF(A110="","",IF(AND(OR(G110="",G110&lt;=集計!$C$5),OR(H110="",H110&gt;=集計!$C$5)),"○",""))</f>
        <v/>
      </c>
      <c r="N110" s="24" t="str">
        <f aca="false">IF(M110="○",A110,"")</f>
        <v/>
      </c>
      <c r="O110" s="24" t="str">
        <f aca="false">IF(OR(K110="",M110&lt;&gt;"○"),"",IF(COUNTIFS(K$6:K110,K110,M$6:M110,"○")=1,"○",""))</f>
        <v/>
      </c>
    </row>
    <row r="111" customFormat="false" ht="15" hidden="false" customHeight="false" outlineLevel="0" collapsed="false">
      <c r="A111" s="20"/>
      <c r="B111" s="20"/>
      <c r="C111" s="20"/>
      <c r="D111" s="20"/>
      <c r="E111" s="20"/>
      <c r="F111" s="25"/>
      <c r="G111" s="29"/>
      <c r="H111" s="29"/>
      <c r="I111" s="20"/>
      <c r="J111" s="20"/>
      <c r="K111" s="24" t="str">
        <f aca="false">IF(A111="","",IF(B111="",A111,B111))</f>
        <v/>
      </c>
      <c r="L111" s="24" t="str">
        <f aca="false">IF(A111="","",IF(C111="","未確認",IFERROR(INDEX(マスター!$R$6:$R$45,MATCH(C111,マスター!$Q$6:$Q$45,0)),"未確認")))</f>
        <v/>
      </c>
      <c r="M111" s="24" t="str">
        <f aca="false">IF(A111="","",IF(AND(OR(G111="",G111&lt;=集計!$C$5),OR(H111="",H111&gt;=集計!$C$5)),"○",""))</f>
        <v/>
      </c>
      <c r="N111" s="24" t="str">
        <f aca="false">IF(M111="○",A111,"")</f>
        <v/>
      </c>
      <c r="O111" s="24" t="str">
        <f aca="false">IF(OR(K111="",M111&lt;&gt;"○"),"",IF(COUNTIFS(K$6:K111,K111,M$6:M111,"○")=1,"○",""))</f>
        <v/>
      </c>
    </row>
    <row r="112" customFormat="false" ht="15" hidden="false" customHeight="false" outlineLevel="0" collapsed="false">
      <c r="A112" s="20"/>
      <c r="B112" s="20"/>
      <c r="C112" s="20"/>
      <c r="D112" s="20"/>
      <c r="E112" s="20"/>
      <c r="F112" s="25"/>
      <c r="G112" s="29"/>
      <c r="H112" s="29"/>
      <c r="I112" s="20"/>
      <c r="J112" s="20"/>
      <c r="K112" s="24" t="str">
        <f aca="false">IF(A112="","",IF(B112="",A112,B112))</f>
        <v/>
      </c>
      <c r="L112" s="24" t="str">
        <f aca="false">IF(A112="","",IF(C112="","未確認",IFERROR(INDEX(マスター!$R$6:$R$45,MATCH(C112,マスター!$Q$6:$Q$45,0)),"未確認")))</f>
        <v/>
      </c>
      <c r="M112" s="24" t="str">
        <f aca="false">IF(A112="","",IF(AND(OR(G112="",G112&lt;=集計!$C$5),OR(H112="",H112&gt;=集計!$C$5)),"○",""))</f>
        <v/>
      </c>
      <c r="N112" s="24" t="str">
        <f aca="false">IF(M112="○",A112,"")</f>
        <v/>
      </c>
      <c r="O112" s="24" t="str">
        <f aca="false">IF(OR(K112="",M112&lt;&gt;"○"),"",IF(COUNTIFS(K$6:K112,K112,M$6:M112,"○")=1,"○",""))</f>
        <v/>
      </c>
    </row>
    <row r="113" customFormat="false" ht="15" hidden="false" customHeight="false" outlineLevel="0" collapsed="false">
      <c r="A113" s="20"/>
      <c r="B113" s="20"/>
      <c r="C113" s="20"/>
      <c r="D113" s="20"/>
      <c r="E113" s="20"/>
      <c r="F113" s="25"/>
      <c r="G113" s="29"/>
      <c r="H113" s="29"/>
      <c r="I113" s="20"/>
      <c r="J113" s="20"/>
      <c r="K113" s="24" t="str">
        <f aca="false">IF(A113="","",IF(B113="",A113,B113))</f>
        <v/>
      </c>
      <c r="L113" s="24" t="str">
        <f aca="false">IF(A113="","",IF(C113="","未確認",IFERROR(INDEX(マスター!$R$6:$R$45,MATCH(C113,マスター!$Q$6:$Q$45,0)),"未確認")))</f>
        <v/>
      </c>
      <c r="M113" s="24" t="str">
        <f aca="false">IF(A113="","",IF(AND(OR(G113="",G113&lt;=集計!$C$5),OR(H113="",H113&gt;=集計!$C$5)),"○",""))</f>
        <v/>
      </c>
      <c r="N113" s="24" t="str">
        <f aca="false">IF(M113="○",A113,"")</f>
        <v/>
      </c>
      <c r="O113" s="24" t="str">
        <f aca="false">IF(OR(K113="",M113&lt;&gt;"○"),"",IF(COUNTIFS(K$6:K113,K113,M$6:M113,"○")=1,"○",""))</f>
        <v/>
      </c>
    </row>
    <row r="114" customFormat="false" ht="15" hidden="false" customHeight="false" outlineLevel="0" collapsed="false">
      <c r="A114" s="20"/>
      <c r="B114" s="20"/>
      <c r="C114" s="20"/>
      <c r="D114" s="20"/>
      <c r="E114" s="20"/>
      <c r="F114" s="25"/>
      <c r="G114" s="29"/>
      <c r="H114" s="29"/>
      <c r="I114" s="20"/>
      <c r="J114" s="20"/>
      <c r="K114" s="24" t="str">
        <f aca="false">IF(A114="","",IF(B114="",A114,B114))</f>
        <v/>
      </c>
      <c r="L114" s="24" t="str">
        <f aca="false">IF(A114="","",IF(C114="","未確認",IFERROR(INDEX(マスター!$R$6:$R$45,MATCH(C114,マスター!$Q$6:$Q$45,0)),"未確認")))</f>
        <v/>
      </c>
      <c r="M114" s="24" t="str">
        <f aca="false">IF(A114="","",IF(AND(OR(G114="",G114&lt;=集計!$C$5),OR(H114="",H114&gt;=集計!$C$5)),"○",""))</f>
        <v/>
      </c>
      <c r="N114" s="24" t="str">
        <f aca="false">IF(M114="○",A114,"")</f>
        <v/>
      </c>
      <c r="O114" s="24" t="str">
        <f aca="false">IF(OR(K114="",M114&lt;&gt;"○"),"",IF(COUNTIFS(K$6:K114,K114,M$6:M114,"○")=1,"○",""))</f>
        <v/>
      </c>
    </row>
    <row r="115" customFormat="false" ht="15" hidden="false" customHeight="false" outlineLevel="0" collapsed="false">
      <c r="A115" s="20"/>
      <c r="B115" s="20"/>
      <c r="C115" s="20"/>
      <c r="D115" s="20"/>
      <c r="E115" s="20"/>
      <c r="F115" s="25"/>
      <c r="G115" s="29"/>
      <c r="H115" s="29"/>
      <c r="I115" s="20"/>
      <c r="J115" s="20"/>
      <c r="K115" s="24" t="str">
        <f aca="false">IF(A115="","",IF(B115="",A115,B115))</f>
        <v/>
      </c>
      <c r="L115" s="24" t="str">
        <f aca="false">IF(A115="","",IF(C115="","未確認",IFERROR(INDEX(マスター!$R$6:$R$45,MATCH(C115,マスター!$Q$6:$Q$45,0)),"未確認")))</f>
        <v/>
      </c>
      <c r="M115" s="24" t="str">
        <f aca="false">IF(A115="","",IF(AND(OR(G115="",G115&lt;=集計!$C$5),OR(H115="",H115&gt;=集計!$C$5)),"○",""))</f>
        <v/>
      </c>
      <c r="N115" s="24" t="str">
        <f aca="false">IF(M115="○",A115,"")</f>
        <v/>
      </c>
      <c r="O115" s="24" t="str">
        <f aca="false">IF(OR(K115="",M115&lt;&gt;"○"),"",IF(COUNTIFS(K$6:K115,K115,M$6:M115,"○")=1,"○",""))</f>
        <v/>
      </c>
    </row>
    <row r="116" customFormat="false" ht="15" hidden="false" customHeight="false" outlineLevel="0" collapsed="false">
      <c r="A116" s="20"/>
      <c r="B116" s="20"/>
      <c r="C116" s="20"/>
      <c r="D116" s="20"/>
      <c r="E116" s="20"/>
      <c r="F116" s="25"/>
      <c r="G116" s="29"/>
      <c r="H116" s="29"/>
      <c r="I116" s="20"/>
      <c r="J116" s="20"/>
      <c r="K116" s="24" t="str">
        <f aca="false">IF(A116="","",IF(B116="",A116,B116))</f>
        <v/>
      </c>
      <c r="L116" s="24" t="str">
        <f aca="false">IF(A116="","",IF(C116="","未確認",IFERROR(INDEX(マスター!$R$6:$R$45,MATCH(C116,マスター!$Q$6:$Q$45,0)),"未確認")))</f>
        <v/>
      </c>
      <c r="M116" s="24" t="str">
        <f aca="false">IF(A116="","",IF(AND(OR(G116="",G116&lt;=集計!$C$5),OR(H116="",H116&gt;=集計!$C$5)),"○",""))</f>
        <v/>
      </c>
      <c r="N116" s="24" t="str">
        <f aca="false">IF(M116="○",A116,"")</f>
        <v/>
      </c>
      <c r="O116" s="24" t="str">
        <f aca="false">IF(OR(K116="",M116&lt;&gt;"○"),"",IF(COUNTIFS(K$6:K116,K116,M$6:M116,"○")=1,"○",""))</f>
        <v/>
      </c>
    </row>
    <row r="117" customFormat="false" ht="15" hidden="false" customHeight="false" outlineLevel="0" collapsed="false">
      <c r="A117" s="20"/>
      <c r="B117" s="20"/>
      <c r="C117" s="20"/>
      <c r="D117" s="20"/>
      <c r="E117" s="20"/>
      <c r="F117" s="25"/>
      <c r="G117" s="29"/>
      <c r="H117" s="29"/>
      <c r="I117" s="20"/>
      <c r="J117" s="20"/>
      <c r="K117" s="24" t="str">
        <f aca="false">IF(A117="","",IF(B117="",A117,B117))</f>
        <v/>
      </c>
      <c r="L117" s="24" t="str">
        <f aca="false">IF(A117="","",IF(C117="","未確認",IFERROR(INDEX(マスター!$R$6:$R$45,MATCH(C117,マスター!$Q$6:$Q$45,0)),"未確認")))</f>
        <v/>
      </c>
      <c r="M117" s="24" t="str">
        <f aca="false">IF(A117="","",IF(AND(OR(G117="",G117&lt;=集計!$C$5),OR(H117="",H117&gt;=集計!$C$5)),"○",""))</f>
        <v/>
      </c>
      <c r="N117" s="24" t="str">
        <f aca="false">IF(M117="○",A117,"")</f>
        <v/>
      </c>
      <c r="O117" s="24" t="str">
        <f aca="false">IF(OR(K117="",M117&lt;&gt;"○"),"",IF(COUNTIFS(K$6:K117,K117,M$6:M117,"○")=1,"○",""))</f>
        <v/>
      </c>
    </row>
    <row r="118" customFormat="false" ht="15" hidden="false" customHeight="false" outlineLevel="0" collapsed="false">
      <c r="A118" s="20"/>
      <c r="B118" s="20"/>
      <c r="C118" s="20"/>
      <c r="D118" s="20"/>
      <c r="E118" s="20"/>
      <c r="F118" s="25"/>
      <c r="G118" s="29"/>
      <c r="H118" s="29"/>
      <c r="I118" s="20"/>
      <c r="J118" s="20"/>
      <c r="K118" s="24" t="str">
        <f aca="false">IF(A118="","",IF(B118="",A118,B118))</f>
        <v/>
      </c>
      <c r="L118" s="24" t="str">
        <f aca="false">IF(A118="","",IF(C118="","未確認",IFERROR(INDEX(マスター!$R$6:$R$45,MATCH(C118,マスター!$Q$6:$Q$45,0)),"未確認")))</f>
        <v/>
      </c>
      <c r="M118" s="24" t="str">
        <f aca="false">IF(A118="","",IF(AND(OR(G118="",G118&lt;=集計!$C$5),OR(H118="",H118&gt;=集計!$C$5)),"○",""))</f>
        <v/>
      </c>
      <c r="N118" s="24" t="str">
        <f aca="false">IF(M118="○",A118,"")</f>
        <v/>
      </c>
      <c r="O118" s="24" t="str">
        <f aca="false">IF(OR(K118="",M118&lt;&gt;"○"),"",IF(COUNTIFS(K$6:K118,K118,M$6:M118,"○")=1,"○",""))</f>
        <v/>
      </c>
    </row>
    <row r="119" customFormat="false" ht="15" hidden="false" customHeight="false" outlineLevel="0" collapsed="false">
      <c r="A119" s="20"/>
      <c r="B119" s="20"/>
      <c r="C119" s="20"/>
      <c r="D119" s="20"/>
      <c r="E119" s="20"/>
      <c r="F119" s="25"/>
      <c r="G119" s="29"/>
      <c r="H119" s="29"/>
      <c r="I119" s="20"/>
      <c r="J119" s="20"/>
      <c r="K119" s="24" t="str">
        <f aca="false">IF(A119="","",IF(B119="",A119,B119))</f>
        <v/>
      </c>
      <c r="L119" s="24" t="str">
        <f aca="false">IF(A119="","",IF(C119="","未確認",IFERROR(INDEX(マスター!$R$6:$R$45,MATCH(C119,マスター!$Q$6:$Q$45,0)),"未確認")))</f>
        <v/>
      </c>
      <c r="M119" s="24" t="str">
        <f aca="false">IF(A119="","",IF(AND(OR(G119="",G119&lt;=集計!$C$5),OR(H119="",H119&gt;=集計!$C$5)),"○",""))</f>
        <v/>
      </c>
      <c r="N119" s="24" t="str">
        <f aca="false">IF(M119="○",A119,"")</f>
        <v/>
      </c>
      <c r="O119" s="24" t="str">
        <f aca="false">IF(OR(K119="",M119&lt;&gt;"○"),"",IF(COUNTIFS(K$6:K119,K119,M$6:M119,"○")=1,"○",""))</f>
        <v/>
      </c>
    </row>
    <row r="120" customFormat="false" ht="15" hidden="false" customHeight="false" outlineLevel="0" collapsed="false">
      <c r="A120" s="20"/>
      <c r="B120" s="20"/>
      <c r="C120" s="20"/>
      <c r="D120" s="20"/>
      <c r="E120" s="20"/>
      <c r="F120" s="25"/>
      <c r="G120" s="29"/>
      <c r="H120" s="29"/>
      <c r="I120" s="20"/>
      <c r="J120" s="20"/>
      <c r="K120" s="24" t="str">
        <f aca="false">IF(A120="","",IF(B120="",A120,B120))</f>
        <v/>
      </c>
      <c r="L120" s="24" t="str">
        <f aca="false">IF(A120="","",IF(C120="","未確認",IFERROR(INDEX(マスター!$R$6:$R$45,MATCH(C120,マスター!$Q$6:$Q$45,0)),"未確認")))</f>
        <v/>
      </c>
      <c r="M120" s="24" t="str">
        <f aca="false">IF(A120="","",IF(AND(OR(G120="",G120&lt;=集計!$C$5),OR(H120="",H120&gt;=集計!$C$5)),"○",""))</f>
        <v/>
      </c>
      <c r="N120" s="24" t="str">
        <f aca="false">IF(M120="○",A120,"")</f>
        <v/>
      </c>
      <c r="O120" s="24" t="str">
        <f aca="false">IF(OR(K120="",M120&lt;&gt;"○"),"",IF(COUNTIFS(K$6:K120,K120,M$6:M120,"○")=1,"○",""))</f>
        <v/>
      </c>
    </row>
    <row r="121" customFormat="false" ht="15" hidden="false" customHeight="false" outlineLevel="0" collapsed="false">
      <c r="A121" s="20"/>
      <c r="B121" s="20"/>
      <c r="C121" s="20"/>
      <c r="D121" s="20"/>
      <c r="E121" s="20"/>
      <c r="F121" s="25"/>
      <c r="G121" s="29"/>
      <c r="H121" s="29"/>
      <c r="I121" s="20"/>
      <c r="J121" s="20"/>
      <c r="K121" s="24" t="str">
        <f aca="false">IF(A121="","",IF(B121="",A121,B121))</f>
        <v/>
      </c>
      <c r="L121" s="24" t="str">
        <f aca="false">IF(A121="","",IF(C121="","未確認",IFERROR(INDEX(マスター!$R$6:$R$45,MATCH(C121,マスター!$Q$6:$Q$45,0)),"未確認")))</f>
        <v/>
      </c>
      <c r="M121" s="24" t="str">
        <f aca="false">IF(A121="","",IF(AND(OR(G121="",G121&lt;=集計!$C$5),OR(H121="",H121&gt;=集計!$C$5)),"○",""))</f>
        <v/>
      </c>
      <c r="N121" s="24" t="str">
        <f aca="false">IF(M121="○",A121,"")</f>
        <v/>
      </c>
      <c r="O121" s="24" t="str">
        <f aca="false">IF(OR(K121="",M121&lt;&gt;"○"),"",IF(COUNTIFS(K$6:K121,K121,M$6:M121,"○")=1,"○",""))</f>
        <v/>
      </c>
    </row>
    <row r="122" customFormat="false" ht="15" hidden="false" customHeight="false" outlineLevel="0" collapsed="false">
      <c r="A122" s="20"/>
      <c r="B122" s="20"/>
      <c r="C122" s="20"/>
      <c r="D122" s="20"/>
      <c r="E122" s="20"/>
      <c r="F122" s="25"/>
      <c r="G122" s="29"/>
      <c r="H122" s="29"/>
      <c r="I122" s="20"/>
      <c r="J122" s="20"/>
      <c r="K122" s="24" t="str">
        <f aca="false">IF(A122="","",IF(B122="",A122,B122))</f>
        <v/>
      </c>
      <c r="L122" s="24" t="str">
        <f aca="false">IF(A122="","",IF(C122="","未確認",IFERROR(INDEX(マスター!$R$6:$R$45,MATCH(C122,マスター!$Q$6:$Q$45,0)),"未確認")))</f>
        <v/>
      </c>
      <c r="M122" s="24" t="str">
        <f aca="false">IF(A122="","",IF(AND(OR(G122="",G122&lt;=集計!$C$5),OR(H122="",H122&gt;=集計!$C$5)),"○",""))</f>
        <v/>
      </c>
      <c r="N122" s="24" t="str">
        <f aca="false">IF(M122="○",A122,"")</f>
        <v/>
      </c>
      <c r="O122" s="24" t="str">
        <f aca="false">IF(OR(K122="",M122&lt;&gt;"○"),"",IF(COUNTIFS(K$6:K122,K122,M$6:M122,"○")=1,"○",""))</f>
        <v/>
      </c>
    </row>
    <row r="123" customFormat="false" ht="15" hidden="false" customHeight="false" outlineLevel="0" collapsed="false">
      <c r="A123" s="20"/>
      <c r="B123" s="20"/>
      <c r="C123" s="20"/>
      <c r="D123" s="20"/>
      <c r="E123" s="20"/>
      <c r="F123" s="25"/>
      <c r="G123" s="29"/>
      <c r="H123" s="29"/>
      <c r="I123" s="20"/>
      <c r="J123" s="20"/>
      <c r="K123" s="24" t="str">
        <f aca="false">IF(A123="","",IF(B123="",A123,B123))</f>
        <v/>
      </c>
      <c r="L123" s="24" t="str">
        <f aca="false">IF(A123="","",IF(C123="","未確認",IFERROR(INDEX(マスター!$R$6:$R$45,MATCH(C123,マスター!$Q$6:$Q$45,0)),"未確認")))</f>
        <v/>
      </c>
      <c r="M123" s="24" t="str">
        <f aca="false">IF(A123="","",IF(AND(OR(G123="",G123&lt;=集計!$C$5),OR(H123="",H123&gt;=集計!$C$5)),"○",""))</f>
        <v/>
      </c>
      <c r="N123" s="24" t="str">
        <f aca="false">IF(M123="○",A123,"")</f>
        <v/>
      </c>
      <c r="O123" s="24" t="str">
        <f aca="false">IF(OR(K123="",M123&lt;&gt;"○"),"",IF(COUNTIFS(K$6:K123,K123,M$6:M123,"○")=1,"○",""))</f>
        <v/>
      </c>
    </row>
    <row r="124" customFormat="false" ht="15" hidden="false" customHeight="false" outlineLevel="0" collapsed="false">
      <c r="A124" s="20"/>
      <c r="B124" s="20"/>
      <c r="C124" s="20"/>
      <c r="D124" s="20"/>
      <c r="E124" s="20"/>
      <c r="F124" s="25"/>
      <c r="G124" s="29"/>
      <c r="H124" s="29"/>
      <c r="I124" s="20"/>
      <c r="J124" s="20"/>
      <c r="K124" s="24" t="str">
        <f aca="false">IF(A124="","",IF(B124="",A124,B124))</f>
        <v/>
      </c>
      <c r="L124" s="24" t="str">
        <f aca="false">IF(A124="","",IF(C124="","未確認",IFERROR(INDEX(マスター!$R$6:$R$45,MATCH(C124,マスター!$Q$6:$Q$45,0)),"未確認")))</f>
        <v/>
      </c>
      <c r="M124" s="24" t="str">
        <f aca="false">IF(A124="","",IF(AND(OR(G124="",G124&lt;=集計!$C$5),OR(H124="",H124&gt;=集計!$C$5)),"○",""))</f>
        <v/>
      </c>
      <c r="N124" s="24" t="str">
        <f aca="false">IF(M124="○",A124,"")</f>
        <v/>
      </c>
      <c r="O124" s="24" t="str">
        <f aca="false">IF(OR(K124="",M124&lt;&gt;"○"),"",IF(COUNTIFS(K$6:K124,K124,M$6:M124,"○")=1,"○",""))</f>
        <v/>
      </c>
    </row>
    <row r="125" customFormat="false" ht="15" hidden="false" customHeight="false" outlineLevel="0" collapsed="false">
      <c r="A125" s="20"/>
      <c r="B125" s="20"/>
      <c r="C125" s="20"/>
      <c r="D125" s="20"/>
      <c r="E125" s="20"/>
      <c r="F125" s="25"/>
      <c r="G125" s="29"/>
      <c r="H125" s="29"/>
      <c r="I125" s="20"/>
      <c r="J125" s="20"/>
      <c r="K125" s="24" t="str">
        <f aca="false">IF(A125="","",IF(B125="",A125,B125))</f>
        <v/>
      </c>
      <c r="L125" s="24" t="str">
        <f aca="false">IF(A125="","",IF(C125="","未確認",IFERROR(INDEX(マスター!$R$6:$R$45,MATCH(C125,マスター!$Q$6:$Q$45,0)),"未確認")))</f>
        <v/>
      </c>
      <c r="M125" s="24" t="str">
        <f aca="false">IF(A125="","",IF(AND(OR(G125="",G125&lt;=集計!$C$5),OR(H125="",H125&gt;=集計!$C$5)),"○",""))</f>
        <v/>
      </c>
      <c r="N125" s="24" t="str">
        <f aca="false">IF(M125="○",A125,"")</f>
        <v/>
      </c>
      <c r="O125" s="24" t="str">
        <f aca="false">IF(OR(K125="",M125&lt;&gt;"○"),"",IF(COUNTIFS(K$6:K125,K125,M$6:M125,"○")=1,"○",""))</f>
        <v/>
      </c>
    </row>
  </sheetData>
  <dataValidations count="9"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F6:F26 Z6:Z25 F27:F12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6:C12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125" type="list">
      <formula1>選択_種類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12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J6:J12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R6:R45" type="list">
      <formula1>選択_会社区分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6:T4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Y6:Y25" type="list">
      <formula1>選択_高炉区分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B6:AB2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2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2"/>
    <col collapsed="false" customWidth="true" hidden="false" outlineLevel="0" max="13" min="13" style="0" width="26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6"/>
  </cols>
  <sheetData>
    <row r="1" customFormat="false" ht="19.4" hidden="false" customHeight="false" outlineLevel="0" collapsed="false">
      <c r="A1" s="10" t="s">
        <v>415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customFormat="false" ht="15" hidden="false" customHeight="false" outlineLevel="0" collapsed="false">
      <c r="A2" s="12" t="s">
        <v>416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customFormat="false" ht="15" hidden="false" customHeight="false" outlineLevel="0" collapsed="false">
      <c r="A3" s="13" t="s">
        <v>417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5" customFormat="false" ht="15" hidden="false" customHeight="false" outlineLevel="0" collapsed="false">
      <c r="B5" s="5" t="s">
        <v>418</v>
      </c>
      <c r="C5" s="19" t="n">
        <f aca="false">前日確定!$C$6</f>
        <v>45964</v>
      </c>
      <c r="D5" s="34" t="s">
        <v>419</v>
      </c>
    </row>
    <row r="6" customFormat="false" ht="15" hidden="false" customHeight="false" outlineLevel="0" collapsed="false">
      <c r="B6" s="5" t="s">
        <v>420</v>
      </c>
      <c r="C6" s="35" t="s">
        <v>421</v>
      </c>
      <c r="D6" s="34" t="s">
        <v>422</v>
      </c>
    </row>
    <row r="7" customFormat="false" ht="15" hidden="false" customHeight="false" outlineLevel="0" collapsed="false">
      <c r="B7" s="5" t="s">
        <v>423</v>
      </c>
      <c r="C7" s="36"/>
      <c r="D7" s="34" t="s">
        <v>424</v>
      </c>
    </row>
    <row r="8" customFormat="false" ht="15" hidden="false" customHeight="false" outlineLevel="0" collapsed="false">
      <c r="B8" s="17" t="s">
        <v>425</v>
      </c>
      <c r="F8" s="17" t="s">
        <v>426</v>
      </c>
      <c r="M8" s="17" t="s">
        <v>427</v>
      </c>
    </row>
    <row r="9" customFormat="false" ht="26.85" hidden="false" customHeight="false" outlineLevel="0" collapsed="false">
      <c r="B9" s="5" t="s">
        <v>428</v>
      </c>
      <c r="C9" s="35" t="n">
        <f aca="false">COUNTIF(実績!$C$6:$C$505,"○")</f>
        <v>0</v>
      </c>
      <c r="D9" s="34" t="s">
        <v>429</v>
      </c>
      <c r="F9" s="14" t="s">
        <v>430</v>
      </c>
      <c r="G9" s="14" t="s">
        <v>431</v>
      </c>
      <c r="H9" s="14" t="s">
        <v>432</v>
      </c>
      <c r="I9" s="14" t="s">
        <v>433</v>
      </c>
      <c r="J9" s="14" t="s">
        <v>434</v>
      </c>
      <c r="K9" s="14" t="s">
        <v>435</v>
      </c>
      <c r="M9" s="14" t="s">
        <v>436</v>
      </c>
      <c r="N9" s="26" t="str">
        <f aca="false">IF(C7&lt;&gt;"",C7,IF(C14=0,"",INDEX(_計算!$B$6:$B$293,MATCH(C14,_計算!$DS$6:$DS$293,0))))</f>
        <v/>
      </c>
      <c r="O9" s="35" t="str">
        <f aca="false">IF(N9="","",ROUND(N9*1440,0))</f>
        <v/>
      </c>
      <c r="P9" s="35" t="n">
        <f aca="false">IF(O9="",1,MIN(288,INT(O9/5)+1))</f>
        <v>1</v>
      </c>
    </row>
    <row r="10" customFormat="false" ht="15" hidden="false" customHeight="false" outlineLevel="0" collapsed="false">
      <c r="B10" s="5" t="s">
        <v>437</v>
      </c>
      <c r="C10" s="35" t="n">
        <f aca="false">COUNTA(実績!$R$6:$R$505)</f>
        <v>0</v>
      </c>
      <c r="D10" s="34" t="s">
        <v>438</v>
      </c>
      <c r="F10" s="24" t="s">
        <v>439</v>
      </c>
      <c r="G10" s="35" t="n">
        <f aca="false">MAX(_計算!DS6:DS17)</f>
        <v>0</v>
      </c>
      <c r="H10" s="35" t="n">
        <f aca="false">MAX(_計算!DT6:DT17)</f>
        <v>0</v>
      </c>
      <c r="I10" s="35" t="n">
        <f aca="false">MAX(_計算!DU6:DU17)</f>
        <v>0</v>
      </c>
      <c r="J10" s="35" t="n">
        <f aca="false">MAX(_計算!DV6:DV17)</f>
        <v>0</v>
      </c>
      <c r="K10" s="35" t="n">
        <f aca="false">MAX(_計算2!DS6:DS17)</f>
        <v>0</v>
      </c>
      <c r="M10" s="35" t="s">
        <v>440</v>
      </c>
      <c r="N10" s="35" t="n">
        <f aca="false">COUNTIF($P$22:$P$141,M10)</f>
        <v>7</v>
      </c>
    </row>
    <row r="11" customFormat="false" ht="15" hidden="false" customHeight="false" outlineLevel="0" collapsed="false">
      <c r="B11" s="5" t="s">
        <v>441</v>
      </c>
      <c r="C11" s="35" t="n">
        <f aca="false">COUNTIF(実績!$U$6:$U$505,"○")</f>
        <v>0</v>
      </c>
      <c r="D11" s="34" t="s">
        <v>442</v>
      </c>
      <c r="F11" s="24" t="s">
        <v>443</v>
      </c>
      <c r="G11" s="35" t="n">
        <f aca="false">MAX(_計算!DS18:DS29)</f>
        <v>0</v>
      </c>
      <c r="H11" s="35" t="n">
        <f aca="false">MAX(_計算!DT18:DT29)</f>
        <v>0</v>
      </c>
      <c r="I11" s="35" t="n">
        <f aca="false">MAX(_計算!DU18:DU29)</f>
        <v>0</v>
      </c>
      <c r="J11" s="35" t="n">
        <f aca="false">MAX(_計算!DV18:DV29)</f>
        <v>0</v>
      </c>
      <c r="K11" s="35" t="n">
        <f aca="false">MAX(_計算2!DS18:DS29)</f>
        <v>0</v>
      </c>
      <c r="M11" s="35" t="s">
        <v>444</v>
      </c>
      <c r="N11" s="35" t="n">
        <f aca="false">COUNTIF($P$22:$P$141,M11)</f>
        <v>0</v>
      </c>
    </row>
    <row r="12" customFormat="false" ht="15" hidden="false" customHeight="false" outlineLevel="0" collapsed="false">
      <c r="B12" s="5" t="s">
        <v>445</v>
      </c>
      <c r="C12" s="35" t="n">
        <f aca="false">COUNTIF(実績!$V$6:$V$505,"時刻なし*")</f>
        <v>0</v>
      </c>
      <c r="D12" s="34" t="s">
        <v>442</v>
      </c>
      <c r="F12" s="24" t="s">
        <v>446</v>
      </c>
      <c r="G12" s="35" t="n">
        <f aca="false">MAX(_計算!DS30:DS41)</f>
        <v>0</v>
      </c>
      <c r="H12" s="35" t="n">
        <f aca="false">MAX(_計算!DT30:DT41)</f>
        <v>0</v>
      </c>
      <c r="I12" s="35" t="n">
        <f aca="false">MAX(_計算!DU30:DU41)</f>
        <v>0</v>
      </c>
      <c r="J12" s="35" t="n">
        <f aca="false">MAX(_計算!DV30:DV41)</f>
        <v>0</v>
      </c>
      <c r="K12" s="35" t="n">
        <f aca="false">MAX(_計算2!DS30:DS41)</f>
        <v>0</v>
      </c>
      <c r="M12" s="35" t="s">
        <v>447</v>
      </c>
      <c r="N12" s="35" t="n">
        <f aca="false">COUNTIF($P$22:$P$141,M12)</f>
        <v>0</v>
      </c>
    </row>
    <row r="13" customFormat="false" ht="15" hidden="false" customHeight="false" outlineLevel="0" collapsed="false">
      <c r="B13" s="5" t="s">
        <v>448</v>
      </c>
      <c r="C13" s="35" t="n">
        <f aca="false">COUNTIF(実績!$AK$6:$AK$505,"○")</f>
        <v>0</v>
      </c>
      <c r="D13" s="34" t="s">
        <v>449</v>
      </c>
      <c r="F13" s="24" t="s">
        <v>450</v>
      </c>
      <c r="G13" s="35" t="n">
        <f aca="false">MAX(_計算!DS42:DS53)</f>
        <v>0</v>
      </c>
      <c r="H13" s="35" t="n">
        <f aca="false">MAX(_計算!DT42:DT53)</f>
        <v>0</v>
      </c>
      <c r="I13" s="35" t="n">
        <f aca="false">MAX(_計算!DU42:DU53)</f>
        <v>0</v>
      </c>
      <c r="J13" s="35" t="n">
        <f aca="false">MAX(_計算!DV42:DV53)</f>
        <v>0</v>
      </c>
      <c r="K13" s="35" t="n">
        <f aca="false">MAX(_計算2!DS42:DS53)</f>
        <v>0</v>
      </c>
      <c r="M13" s="35" t="s">
        <v>451</v>
      </c>
      <c r="N13" s="35" t="n">
        <f aca="false">COUNTIF($P$22:$P$141,M13)</f>
        <v>0</v>
      </c>
    </row>
    <row r="14" customFormat="false" ht="15" hidden="false" customHeight="false" outlineLevel="0" collapsed="false">
      <c r="B14" s="5" t="s">
        <v>452</v>
      </c>
      <c r="C14" s="35" t="n">
        <f aca="false">MAX(_計算!$DS$6:$DS$293)</f>
        <v>0</v>
      </c>
      <c r="D14" s="34" t="s">
        <v>453</v>
      </c>
      <c r="F14" s="24" t="s">
        <v>454</v>
      </c>
      <c r="G14" s="35" t="n">
        <f aca="false">MAX(_計算!DS54:DS65)</f>
        <v>0</v>
      </c>
      <c r="H14" s="35" t="n">
        <f aca="false">MAX(_計算!DT54:DT65)</f>
        <v>0</v>
      </c>
      <c r="I14" s="35" t="n">
        <f aca="false">MAX(_計算!DU54:DU65)</f>
        <v>0</v>
      </c>
      <c r="J14" s="35" t="n">
        <f aca="false">MAX(_計算!DV54:DV65)</f>
        <v>0</v>
      </c>
      <c r="K14" s="35" t="n">
        <f aca="false">MAX(_計算2!DS54:DS65)</f>
        <v>0</v>
      </c>
      <c r="M14" s="35" t="s">
        <v>455</v>
      </c>
      <c r="N14" s="35" t="n">
        <f aca="false">COUNTIF($P$22:$P$141,M14)</f>
        <v>0</v>
      </c>
    </row>
    <row r="15" customFormat="false" ht="15" hidden="false" customHeight="false" outlineLevel="0" collapsed="false">
      <c r="B15" s="5" t="s">
        <v>456</v>
      </c>
      <c r="C15" s="26" t="str">
        <f aca="false">IF(C14=0,"—",INDEX(_計算!$B$6:$B$293,MATCH(C14,_計算!$DS$6:$DS$293,0)))</f>
        <v>—</v>
      </c>
      <c r="F15" s="24" t="s">
        <v>457</v>
      </c>
      <c r="G15" s="35" t="n">
        <f aca="false">MAX(_計算!DS66:DS77)</f>
        <v>0</v>
      </c>
      <c r="H15" s="35" t="n">
        <f aca="false">MAX(_計算!DT66:DT77)</f>
        <v>0</v>
      </c>
      <c r="I15" s="35" t="n">
        <f aca="false">MAX(_計算!DU66:DU77)</f>
        <v>0</v>
      </c>
      <c r="J15" s="35" t="n">
        <f aca="false">MAX(_計算!DV66:DV77)</f>
        <v>0</v>
      </c>
      <c r="K15" s="35" t="n">
        <f aca="false">MAX(_計算2!DS66:DS77)</f>
        <v>0</v>
      </c>
      <c r="M15" s="35" t="s">
        <v>458</v>
      </c>
      <c r="N15" s="35" t="n">
        <f aca="false">COUNTIF($P$22:$P$141,M15)</f>
        <v>0</v>
      </c>
    </row>
    <row r="16" customFormat="false" ht="15" hidden="false" customHeight="false" outlineLevel="0" collapsed="false">
      <c r="B16" s="5" t="s">
        <v>459</v>
      </c>
      <c r="C16" s="35" t="n">
        <f aca="false">IF(C14=0,0,INDEX(_計算!$DT$6:$DT$293,MATCH(C14,_計算!$DS$6:$DS$293,0)))</f>
        <v>0</v>
      </c>
      <c r="D16" s="37" t="s">
        <v>460</v>
      </c>
      <c r="F16" s="24" t="s">
        <v>461</v>
      </c>
      <c r="G16" s="35" t="n">
        <f aca="false">MAX(_計算!DS78:DS89)</f>
        <v>0</v>
      </c>
      <c r="H16" s="35" t="n">
        <f aca="false">MAX(_計算!DT78:DT89)</f>
        <v>0</v>
      </c>
      <c r="I16" s="35" t="n">
        <f aca="false">MAX(_計算!DU78:DU89)</f>
        <v>0</v>
      </c>
      <c r="J16" s="35" t="n">
        <f aca="false">MAX(_計算!DV78:DV89)</f>
        <v>0</v>
      </c>
      <c r="K16" s="35" t="n">
        <f aca="false">MAX(_計算2!DS78:DS89)</f>
        <v>0</v>
      </c>
      <c r="M16" s="35" t="s">
        <v>462</v>
      </c>
      <c r="N16" s="35" t="n">
        <f aca="false">COUNTIF($P$22:$P$141,M16)</f>
        <v>9</v>
      </c>
    </row>
    <row r="17" customFormat="false" ht="15" hidden="false" customHeight="false" outlineLevel="0" collapsed="false">
      <c r="B17" s="5" t="s">
        <v>463</v>
      </c>
      <c r="C17" s="35" t="n">
        <f aca="false">COUNTIF(_計算!$DS$6:$DS$293,"&gt;=3")*5</f>
        <v>0</v>
      </c>
      <c r="F17" s="24" t="s">
        <v>464</v>
      </c>
      <c r="G17" s="35" t="n">
        <f aca="false">MAX(_計算!DS90:DS101)</f>
        <v>0</v>
      </c>
      <c r="H17" s="35" t="n">
        <f aca="false">MAX(_計算!DT90:DT101)</f>
        <v>0</v>
      </c>
      <c r="I17" s="35" t="n">
        <f aca="false">MAX(_計算!DU90:DU101)</f>
        <v>0</v>
      </c>
      <c r="J17" s="35" t="n">
        <f aca="false">MAX(_計算!DV90:DV101)</f>
        <v>0</v>
      </c>
      <c r="K17" s="35" t="n">
        <f aca="false">MAX(_計算2!DS90:DS101)</f>
        <v>0</v>
      </c>
      <c r="M17" s="35" t="s">
        <v>465</v>
      </c>
      <c r="N17" s="35" t="n">
        <f aca="false">COUNTIF($P$22:$P$141,M17)</f>
        <v>11</v>
      </c>
    </row>
    <row r="18" customFormat="false" ht="15" hidden="false" customHeight="false" outlineLevel="0" collapsed="false">
      <c r="B18" s="5" t="s">
        <v>466</v>
      </c>
      <c r="C18" s="35" t="n">
        <f aca="false">SUMPRODUCT((_計算!$DS$6:$DS$293&gt;=3)*(_計算!$DT$6:$DT$293&gt;=2))*5</f>
        <v>0</v>
      </c>
      <c r="F18" s="24" t="s">
        <v>467</v>
      </c>
      <c r="G18" s="35" t="n">
        <f aca="false">MAX(_計算!DS102:DS113)</f>
        <v>0</v>
      </c>
      <c r="H18" s="35" t="n">
        <f aca="false">MAX(_計算!DT102:DT113)</f>
        <v>0</v>
      </c>
      <c r="I18" s="35" t="n">
        <f aca="false">MAX(_計算!DU102:DU113)</f>
        <v>0</v>
      </c>
      <c r="J18" s="35" t="n">
        <f aca="false">MAX(_計算!DV102:DV113)</f>
        <v>0</v>
      </c>
      <c r="K18" s="35" t="n">
        <f aca="false">MAX(_計算2!DS102:DS113)</f>
        <v>0</v>
      </c>
      <c r="M18" s="35" t="s">
        <v>468</v>
      </c>
      <c r="N18" s="35" t="n">
        <f aca="false">COUNTIF($P$22:$P$141,M18)</f>
        <v>7</v>
      </c>
    </row>
    <row r="19" customFormat="false" ht="15" hidden="false" customHeight="false" outlineLevel="0" collapsed="false">
      <c r="B19" s="5" t="s">
        <v>469</v>
      </c>
      <c r="C19" s="35" t="n">
        <f aca="false">SUMPRODUCT((_計算!$DS$6:$DS$293&gt;=3)*(_計算!$DT$6:$DT$293&lt;2))*5</f>
        <v>0</v>
      </c>
      <c r="F19" s="24" t="s">
        <v>470</v>
      </c>
      <c r="G19" s="35" t="n">
        <f aca="false">MAX(_計算!DS114:DS125)</f>
        <v>0</v>
      </c>
      <c r="H19" s="35" t="n">
        <f aca="false">MAX(_計算!DT114:DT125)</f>
        <v>0</v>
      </c>
      <c r="I19" s="35" t="n">
        <f aca="false">MAX(_計算!DU114:DU125)</f>
        <v>0</v>
      </c>
      <c r="J19" s="35" t="n">
        <f aca="false">MAX(_計算!DV114:DV125)</f>
        <v>0</v>
      </c>
      <c r="K19" s="35" t="n">
        <f aca="false">MAX(_計算2!DS114:DS125)</f>
        <v>0</v>
      </c>
      <c r="M19" s="35" t="s">
        <v>471</v>
      </c>
      <c r="N19" s="35" t="n">
        <f aca="false">COUNTIF($P$22:$P$141,M19)</f>
        <v>0</v>
      </c>
    </row>
    <row r="20" customFormat="false" ht="15" hidden="false" customHeight="false" outlineLevel="0" collapsed="false">
      <c r="B20" s="5" t="s">
        <v>472</v>
      </c>
      <c r="C20" s="35" t="n">
        <f aca="false">COUNTIF(_計算!$DS$6:$DS$293,"&gt;=4")*5</f>
        <v>0</v>
      </c>
      <c r="F20" s="24" t="s">
        <v>473</v>
      </c>
      <c r="G20" s="35" t="n">
        <f aca="false">MAX(_計算!DS126:DS137)</f>
        <v>0</v>
      </c>
      <c r="H20" s="35" t="n">
        <f aca="false">MAX(_計算!DT126:DT137)</f>
        <v>0</v>
      </c>
      <c r="I20" s="35" t="n">
        <f aca="false">MAX(_計算!DU126:DU137)</f>
        <v>0</v>
      </c>
      <c r="J20" s="35" t="n">
        <f aca="false">MAX(_計算!DV126:DV137)</f>
        <v>0</v>
      </c>
      <c r="K20" s="35" t="n">
        <f aca="false">MAX(_計算2!DS126:DS137)</f>
        <v>0</v>
      </c>
      <c r="M20" s="34" t="s">
        <v>474</v>
      </c>
    </row>
    <row r="21" customFormat="false" ht="26.85" hidden="false" customHeight="false" outlineLevel="0" collapsed="false">
      <c r="B21" s="5" t="s">
        <v>475</v>
      </c>
      <c r="C21" s="35" t="n">
        <f aca="false">COUNTIF(_計算!$DS$6:$DS$293,"&gt;=5")*5</f>
        <v>0</v>
      </c>
      <c r="F21" s="24" t="s">
        <v>476</v>
      </c>
      <c r="G21" s="35" t="n">
        <f aca="false">MAX(_計算!DS138:DS149)</f>
        <v>0</v>
      </c>
      <c r="H21" s="35" t="n">
        <f aca="false">MAX(_計算!DT138:DT149)</f>
        <v>0</v>
      </c>
      <c r="I21" s="35" t="n">
        <f aca="false">MAX(_計算!DU138:DU149)</f>
        <v>0</v>
      </c>
      <c r="J21" s="35" t="n">
        <f aca="false">MAX(_計算!DV138:DV149)</f>
        <v>0</v>
      </c>
      <c r="K21" s="35" t="n">
        <f aca="false">MAX(_計算2!DS138:DS149)</f>
        <v>0</v>
      </c>
      <c r="M21" s="14" t="s">
        <v>477</v>
      </c>
      <c r="N21" s="14" t="s">
        <v>76</v>
      </c>
      <c r="O21" s="14" t="s">
        <v>77</v>
      </c>
      <c r="P21" s="14" t="s">
        <v>478</v>
      </c>
    </row>
    <row r="22" customFormat="false" ht="15" hidden="false" customHeight="false" outlineLevel="0" collapsed="false">
      <c r="B22" s="5" t="s">
        <v>479</v>
      </c>
      <c r="C22" s="35" t="n">
        <f aca="false">MAX(_計算!$DU$6:$DU$293)</f>
        <v>0</v>
      </c>
      <c r="D22" s="34" t="s">
        <v>480</v>
      </c>
      <c r="F22" s="24" t="s">
        <v>481</v>
      </c>
      <c r="G22" s="35" t="n">
        <f aca="false">MAX(_計算!DS150:DS161)</f>
        <v>0</v>
      </c>
      <c r="H22" s="35" t="n">
        <f aca="false">MAX(_計算!DT150:DT161)</f>
        <v>0</v>
      </c>
      <c r="I22" s="35" t="n">
        <f aca="false">MAX(_計算!DU150:DU161)</f>
        <v>0</v>
      </c>
      <c r="J22" s="35" t="n">
        <f aca="false">MAX(_計算!DV150:DV161)</f>
        <v>0</v>
      </c>
      <c r="K22" s="35" t="n">
        <f aca="false">MAX(_計算2!DS150:DS161)</f>
        <v>0</v>
      </c>
      <c r="M22" s="35" t="str">
        <f aca="false">IF(マスター!$O$6&lt;&gt;"○","",マスター!$K$6)</f>
        <v>八幡丸</v>
      </c>
      <c r="N22" s="35" t="str">
        <f aca="false">IF(M22="","",IF(マスター!$C$6="","未確認",マスター!$C$6))</f>
        <v>製鉄曳船</v>
      </c>
      <c r="O22" s="35" t="str">
        <f aca="false">IF(M22="","",マスター!$L$6)</f>
        <v>製鉄曳船</v>
      </c>
      <c r="P22" s="35" t="str">
        <f aca="false">IF(M22="","",IF(マスター!$D$6="通船・警戒船","対象外（通船・警戒船）",IF(COUNTIFS(入渠!$H$6:$H$55,M22,入渠!$G$6:$G$55,"○")&gt;0,"入渠中",IF(AND($O$9&lt;&gt;"",COUNTIFS(他港作業!$K$6:$K$55,M22,他港作業!$L$6:$L$55,"&lt;="&amp;$O$9,他港作業!$M$6:$M$55,"&gt;"&amp;$O$9)+COUNTIFS(他港作業!$K$6:$K$55,M22,他港作業!$L$6:$L$55,"&lt;="&amp;$O$9,他港作業!$E$6:$E$55,"")&gt;0),"他港作業中",IF(INDEX(_計算!$C$6:$DR$293,$P$9,1)=1,"作業中",IF(O22="未確認","未確認（会社未確認）",IF(OR(O22="製鉄曳船",O22="西日本海運"),IF(マスター!$F$6="○","供給可能（待機）","対象外（記号との対応未確認）"),IF(COUNTIFS(他社配置!$L$6:$L$55,M22,他社配置!$J$6:$J$55,"○",他社配置!$F$6:$F$55,"可")&gt;0,"供給可能（他社・対応可）",IF(COUNTIFS(他社配置!$L$6:$L$55,M22,他社配置!$J$6:$J$55,"○",他社配置!$F$6:$F$55,"不可")&gt;0,"対応不可","未確認（他社の対応可否が空欄）")))))))))</f>
        <v>対象外（記号との対応未確認）</v>
      </c>
    </row>
    <row r="23" customFormat="false" ht="15" hidden="false" customHeight="false" outlineLevel="0" collapsed="false">
      <c r="B23" s="5" t="s">
        <v>482</v>
      </c>
      <c r="C23" s="35" t="n">
        <f aca="false">MAX(_計算!$DV$6:$DV$293)</f>
        <v>0</v>
      </c>
      <c r="F23" s="24" t="s">
        <v>483</v>
      </c>
      <c r="G23" s="35" t="n">
        <f aca="false">MAX(_計算!DS162:DS173)</f>
        <v>0</v>
      </c>
      <c r="H23" s="35" t="n">
        <f aca="false">MAX(_計算!DT162:DT173)</f>
        <v>0</v>
      </c>
      <c r="I23" s="35" t="n">
        <f aca="false">MAX(_計算!DU162:DU173)</f>
        <v>0</v>
      </c>
      <c r="J23" s="35" t="n">
        <f aca="false">MAX(_計算!DV162:DV173)</f>
        <v>0</v>
      </c>
      <c r="K23" s="35" t="n">
        <f aca="false">MAX(_計算2!DS162:DS173)</f>
        <v>0</v>
      </c>
      <c r="M23" s="35" t="str">
        <f aca="false">IF(マスター!$O$7&lt;&gt;"○","",マスター!$K$7)</f>
        <v>鐵豊丸</v>
      </c>
      <c r="N23" s="35" t="str">
        <f aca="false">IF(M23="","",IF(マスター!$C$7="","未確認",マスター!$C$7))</f>
        <v>製鉄曳船</v>
      </c>
      <c r="O23" s="35" t="str">
        <f aca="false">IF(M23="","",マスター!$L$7)</f>
        <v>製鉄曳船</v>
      </c>
      <c r="P23" s="35" t="str">
        <f aca="false">IF(M23="","",IF(マスター!$D$7="通船・警戒船","対象外（通船・警戒船）",IF(COUNTIFS(入渠!$H$6:$H$55,M23,入渠!$G$6:$G$55,"○")&gt;0,"入渠中",IF(AND($O$9&lt;&gt;"",COUNTIFS(他港作業!$K$6:$K$55,M23,他港作業!$L$6:$L$55,"&lt;="&amp;$O$9,他港作業!$M$6:$M$55,"&gt;"&amp;$O$9)+COUNTIFS(他港作業!$K$6:$K$55,M23,他港作業!$L$6:$L$55,"&lt;="&amp;$O$9,他港作業!$E$6:$E$55,"")&gt;0),"他港作業中",IF(INDEX(_計算!$C$6:$DR$293,$P$9,2)=1,"作業中",IF(O23="未確認","未確認（会社未確認）",IF(OR(O23="製鉄曳船",O23="西日本海運"),IF(マスター!$F$7="○","供給可能（待機）","対象外（記号との対応未確認）"),IF(COUNTIFS(他社配置!$L$6:$L$55,M23,他社配置!$J$6:$J$55,"○",他社配置!$F$6:$F$55,"可")&gt;0,"供給可能（他社・対応可）",IF(COUNTIFS(他社配置!$L$6:$L$55,M23,他社配置!$J$6:$J$55,"○",他社配置!$F$6:$F$55,"不可")&gt;0,"対応不可","未確認（他社の対応可否が空欄）")))))))))</f>
        <v>対象外（記号との対応未確認）</v>
      </c>
    </row>
    <row r="24" customFormat="false" ht="15" hidden="false" customHeight="false" outlineLevel="0" collapsed="false">
      <c r="B24" s="5" t="s">
        <v>484</v>
      </c>
      <c r="C24" s="35" t="n">
        <f aca="false">COUNTIF(実績!$AH$6:$AH$505,"重複配船*")</f>
        <v>0</v>
      </c>
      <c r="D24" s="34" t="s">
        <v>485</v>
      </c>
      <c r="F24" s="24" t="s">
        <v>486</v>
      </c>
      <c r="G24" s="35" t="n">
        <f aca="false">MAX(_計算!DS174:DS185)</f>
        <v>0</v>
      </c>
      <c r="H24" s="35" t="n">
        <f aca="false">MAX(_計算!DT174:DT185)</f>
        <v>0</v>
      </c>
      <c r="I24" s="35" t="n">
        <f aca="false">MAX(_計算!DU174:DU185)</f>
        <v>0</v>
      </c>
      <c r="J24" s="35" t="n">
        <f aca="false">MAX(_計算!DV174:DV185)</f>
        <v>0</v>
      </c>
      <c r="K24" s="35" t="n">
        <f aca="false">MAX(_計算2!DS174:DS185)</f>
        <v>0</v>
      </c>
      <c r="M24" s="35" t="str">
        <f aca="false">IF(マスター!$O$8&lt;&gt;"○","",マスター!$K$8)</f>
        <v>新豊丸</v>
      </c>
      <c r="N24" s="35" t="str">
        <f aca="false">IF(M24="","",IF(マスター!$C$8="","未確認",マスター!$C$8))</f>
        <v>製鉄曳船</v>
      </c>
      <c r="O24" s="35" t="str">
        <f aca="false">IF(M24="","",マスター!$L$8)</f>
        <v>製鉄曳船</v>
      </c>
      <c r="P24" s="35" t="str">
        <f aca="false">IF(M24="","",IF(マスター!$D$8="通船・警戒船","対象外（通船・警戒船）",IF(COUNTIFS(入渠!$H$6:$H$55,M24,入渠!$G$6:$G$55,"○")&gt;0,"入渠中",IF(AND($O$9&lt;&gt;"",COUNTIFS(他港作業!$K$6:$K$55,M24,他港作業!$L$6:$L$55,"&lt;="&amp;$O$9,他港作業!$M$6:$M$55,"&gt;"&amp;$O$9)+COUNTIFS(他港作業!$K$6:$K$55,M24,他港作業!$L$6:$L$55,"&lt;="&amp;$O$9,他港作業!$E$6:$E$55,"")&gt;0),"他港作業中",IF(INDEX(_計算!$C$6:$DR$293,$P$9,3)=1,"作業中",IF(O24="未確認","未確認（会社未確認）",IF(OR(O24="製鉄曳船",O24="西日本海運"),IF(マスター!$F$8="○","供給可能（待機）","対象外（記号との対応未確認）"),IF(COUNTIFS(他社配置!$L$6:$L$55,M24,他社配置!$J$6:$J$55,"○",他社配置!$F$6:$F$55,"可")&gt;0,"供給可能（他社・対応可）",IF(COUNTIFS(他社配置!$L$6:$L$55,M24,他社配置!$J$6:$J$55,"○",他社配置!$F$6:$F$55,"不可")&gt;0,"対応不可","未確認（他社の対応可否が空欄）")))))))))</f>
        <v>対象外（記号との対応未確認）</v>
      </c>
    </row>
    <row r="25" customFormat="false" ht="15" hidden="false" customHeight="false" outlineLevel="0" collapsed="false">
      <c r="B25" s="5" t="s">
        <v>487</v>
      </c>
      <c r="C25" s="35" t="n">
        <f aca="false">COUNTIF(実績!$AH$6:$AH$505,"同一記録*")</f>
        <v>0</v>
      </c>
      <c r="D25" s="37" t="s">
        <v>488</v>
      </c>
      <c r="F25" s="24" t="s">
        <v>489</v>
      </c>
      <c r="G25" s="35" t="n">
        <f aca="false">MAX(_計算!DS186:DS197)</f>
        <v>0</v>
      </c>
      <c r="H25" s="35" t="n">
        <f aca="false">MAX(_計算!DT186:DT197)</f>
        <v>0</v>
      </c>
      <c r="I25" s="35" t="n">
        <f aca="false">MAX(_計算!DU186:DU197)</f>
        <v>0</v>
      </c>
      <c r="J25" s="35" t="n">
        <f aca="false">MAX(_計算!DV186:DV197)</f>
        <v>0</v>
      </c>
      <c r="K25" s="35" t="n">
        <f aca="false">MAX(_計算2!DS186:DS197)</f>
        <v>0</v>
      </c>
      <c r="M25" s="35" t="str">
        <f aca="false">IF(マスター!$O$9&lt;&gt;"○","",マスター!$K$9)</f>
        <v>八豊丸</v>
      </c>
      <c r="N25" s="35" t="str">
        <f aca="false">IF(M25="","",IF(マスター!$C$9="","未確認",マスター!$C$9))</f>
        <v>製鉄曳船</v>
      </c>
      <c r="O25" s="35" t="str">
        <f aca="false">IF(M25="","",マスター!$L$9)</f>
        <v>製鉄曳船</v>
      </c>
      <c r="P25" s="35" t="str">
        <f aca="false">IF(M25="","",IF(マスター!$D$9="通船・警戒船","対象外（通船・警戒船）",IF(COUNTIFS(入渠!$H$6:$H$55,M25,入渠!$G$6:$G$55,"○")&gt;0,"入渠中",IF(AND($O$9&lt;&gt;"",COUNTIFS(他港作業!$K$6:$K$55,M25,他港作業!$L$6:$L$55,"&lt;="&amp;$O$9,他港作業!$M$6:$M$55,"&gt;"&amp;$O$9)+COUNTIFS(他港作業!$K$6:$K$55,M25,他港作業!$L$6:$L$55,"&lt;="&amp;$O$9,他港作業!$E$6:$E$55,"")&gt;0),"他港作業中",IF(INDEX(_計算!$C$6:$DR$293,$P$9,4)=1,"作業中",IF(O25="未確認","未確認（会社未確認）",IF(OR(O25="製鉄曳船",O25="西日本海運"),IF(マスター!$F$9="○","供給可能（待機）","対象外（記号との対応未確認）"),IF(COUNTIFS(他社配置!$L$6:$L$55,M25,他社配置!$J$6:$J$55,"○",他社配置!$F$6:$F$55,"可")&gt;0,"供給可能（他社・対応可）",IF(COUNTIFS(他社配置!$L$6:$L$55,M25,他社配置!$J$6:$J$55,"○",他社配置!$F$6:$F$55,"不可")&gt;0,"対応不可","未確認（他社の対応可否が空欄）")))))))))</f>
        <v>対象外（記号との対応未確認）</v>
      </c>
    </row>
    <row r="26" customFormat="false" ht="15" hidden="false" customHeight="false" outlineLevel="0" collapsed="false">
      <c r="B26" s="5" t="s">
        <v>490</v>
      </c>
      <c r="C26" s="35" t="n">
        <f aca="false">COUNTIF(実績!$X$6:$X$505,"マスター未登録")</f>
        <v>0</v>
      </c>
      <c r="D26" s="34" t="s">
        <v>491</v>
      </c>
      <c r="F26" s="24" t="s">
        <v>492</v>
      </c>
      <c r="G26" s="35" t="n">
        <f aca="false">MAX(_計算!DS198:DS209)</f>
        <v>0</v>
      </c>
      <c r="H26" s="35" t="n">
        <f aca="false">MAX(_計算!DT198:DT209)</f>
        <v>0</v>
      </c>
      <c r="I26" s="35" t="n">
        <f aca="false">MAX(_計算!DU198:DU209)</f>
        <v>0</v>
      </c>
      <c r="J26" s="35" t="n">
        <f aca="false">MAX(_計算!DV198:DV209)</f>
        <v>0</v>
      </c>
      <c r="K26" s="35" t="n">
        <f aca="false">MAX(_計算2!DS198:DS209)</f>
        <v>0</v>
      </c>
      <c r="M26" s="35" t="str">
        <f aca="false">IF(マスター!$O$10&lt;&gt;"○","",マスター!$K$10)</f>
        <v>松豊丸</v>
      </c>
      <c r="N26" s="35" t="str">
        <f aca="false">IF(M26="","",IF(マスター!$C$10="","未確認",マスター!$C$10))</f>
        <v>製鉄曳船</v>
      </c>
      <c r="O26" s="35" t="str">
        <f aca="false">IF(M26="","",マスター!$L$10)</f>
        <v>製鉄曳船</v>
      </c>
      <c r="P26" s="35" t="str">
        <f aca="false">IF(M26="","",IF(マスター!$D$10="通船・警戒船","対象外（通船・警戒船）",IF(COUNTIFS(入渠!$H$6:$H$55,M26,入渠!$G$6:$G$55,"○")&gt;0,"入渠中",IF(AND($O$9&lt;&gt;"",COUNTIFS(他港作業!$K$6:$K$55,M26,他港作業!$L$6:$L$55,"&lt;="&amp;$O$9,他港作業!$M$6:$M$55,"&gt;"&amp;$O$9)+COUNTIFS(他港作業!$K$6:$K$55,M26,他港作業!$L$6:$L$55,"&lt;="&amp;$O$9,他港作業!$E$6:$E$55,"")&gt;0),"他港作業中",IF(INDEX(_計算!$C$6:$DR$293,$P$9,5)=1,"作業中",IF(O26="未確認","未確認（会社未確認）",IF(OR(O26="製鉄曳船",O26="西日本海運"),IF(マスター!$F$10="○","供給可能（待機）","対象外（記号との対応未確認）"),IF(COUNTIFS(他社配置!$L$6:$L$55,M26,他社配置!$J$6:$J$55,"○",他社配置!$F$6:$F$55,"可")&gt;0,"供給可能（他社・対応可）",IF(COUNTIFS(他社配置!$L$6:$L$55,M26,他社配置!$J$6:$J$55,"○",他社配置!$F$6:$F$55,"不可")&gt;0,"対応不可","未確認（他社の対応可否が空欄）")))))))))</f>
        <v>対象外（記号との対応未確認）</v>
      </c>
    </row>
    <row r="27" customFormat="false" ht="15" hidden="false" customHeight="false" outlineLevel="0" collapsed="false">
      <c r="B27" s="5" t="s">
        <v>493</v>
      </c>
      <c r="C27" s="35" t="n">
        <f aca="false">COUNTA(実績!$R$6:$R$505)-COUNTIF(実績!$Z$6:$Z$505,"確認済み")</f>
        <v>0</v>
      </c>
      <c r="D27" s="34" t="s">
        <v>494</v>
      </c>
      <c r="F27" s="24" t="s">
        <v>495</v>
      </c>
      <c r="G27" s="35" t="n">
        <f aca="false">MAX(_計算!DS210:DS221)</f>
        <v>0</v>
      </c>
      <c r="H27" s="35" t="n">
        <f aca="false">MAX(_計算!DT210:DT221)</f>
        <v>0</v>
      </c>
      <c r="I27" s="35" t="n">
        <f aca="false">MAX(_計算!DU210:DU221)</f>
        <v>0</v>
      </c>
      <c r="J27" s="35" t="n">
        <f aca="false">MAX(_計算!DV210:DV221)</f>
        <v>0</v>
      </c>
      <c r="K27" s="35" t="n">
        <f aca="false">MAX(_計算2!DS210:DS221)</f>
        <v>0</v>
      </c>
      <c r="M27" s="35" t="str">
        <f aca="false">IF(マスター!$O$11&lt;&gt;"○","",マスター!$K$11)</f>
        <v>T</v>
      </c>
      <c r="N27" s="35" t="str">
        <f aca="false">IF(M27="","",IF(マスター!$C$11="","未確認",マスター!$C$11))</f>
        <v>製鉄曳船</v>
      </c>
      <c r="O27" s="35" t="str">
        <f aca="false">IF(M27="","",マスター!$L$11)</f>
        <v>製鉄曳船</v>
      </c>
      <c r="P27" s="35" t="str">
        <f aca="false">IF(M27="","",IF(マスター!$D$11="通船・警戒船","対象外（通船・警戒船）",IF(COUNTIFS(入渠!$H$6:$H$55,M27,入渠!$G$6:$G$55,"○")&gt;0,"入渠中",IF(AND($O$9&lt;&gt;"",COUNTIFS(他港作業!$K$6:$K$55,M27,他港作業!$L$6:$L$55,"&lt;="&amp;$O$9,他港作業!$M$6:$M$55,"&gt;"&amp;$O$9)+COUNTIFS(他港作業!$K$6:$K$55,M27,他港作業!$L$6:$L$55,"&lt;="&amp;$O$9,他港作業!$E$6:$E$55,"")&gt;0),"他港作業中",IF(INDEX(_計算!$C$6:$DR$293,$P$9,6)=1,"作業中",IF(O27="未確認","未確認（会社未確認）",IF(OR(O27="製鉄曳船",O27="西日本海運"),IF(マスター!$F$11="○","供給可能（待機）","対象外（記号との対応未確認）"),IF(COUNTIFS(他社配置!$L$6:$L$55,M27,他社配置!$J$6:$J$55,"○",他社配置!$F$6:$F$55,"可")&gt;0,"供給可能（他社・対応可）",IF(COUNTIFS(他社配置!$L$6:$L$55,M27,他社配置!$J$6:$J$55,"○",他社配置!$F$6:$F$55,"不可")&gt;0,"対応不可","未確認（他社の対応可否が空欄）")))))))))</f>
        <v>供給可能（待機）</v>
      </c>
    </row>
    <row r="28" customFormat="false" ht="15" hidden="false" customHeight="false" outlineLevel="0" collapsed="false">
      <c r="F28" s="24" t="s">
        <v>496</v>
      </c>
      <c r="G28" s="35" t="n">
        <f aca="false">MAX(_計算!DS222:DS233)</f>
        <v>0</v>
      </c>
      <c r="H28" s="35" t="n">
        <f aca="false">MAX(_計算!DT222:DT233)</f>
        <v>0</v>
      </c>
      <c r="I28" s="35" t="n">
        <f aca="false">MAX(_計算!DU222:DU233)</f>
        <v>0</v>
      </c>
      <c r="J28" s="35" t="n">
        <f aca="false">MAX(_計算!DV222:DV233)</f>
        <v>0</v>
      </c>
      <c r="K28" s="35" t="n">
        <f aca="false">MAX(_計算2!DS222:DS233)</f>
        <v>0</v>
      </c>
      <c r="M28" s="35" t="str">
        <f aca="false">IF(マスター!$O$12&lt;&gt;"○","",マスター!$K$12)</f>
        <v>S</v>
      </c>
      <c r="N28" s="35" t="str">
        <f aca="false">IF(M28="","",IF(マスター!$C$12="","未確認",マスター!$C$12))</f>
        <v>製鉄曳船</v>
      </c>
      <c r="O28" s="35" t="str">
        <f aca="false">IF(M28="","",マスター!$L$12)</f>
        <v>製鉄曳船</v>
      </c>
      <c r="P28" s="35" t="str">
        <f aca="false">IF(M28="","",IF(マスター!$D$12="通船・警戒船","対象外（通船・警戒船）",IF(COUNTIFS(入渠!$H$6:$H$55,M28,入渠!$G$6:$G$55,"○")&gt;0,"入渠中",IF(AND($O$9&lt;&gt;"",COUNTIFS(他港作業!$K$6:$K$55,M28,他港作業!$L$6:$L$55,"&lt;="&amp;$O$9,他港作業!$M$6:$M$55,"&gt;"&amp;$O$9)+COUNTIFS(他港作業!$K$6:$K$55,M28,他港作業!$L$6:$L$55,"&lt;="&amp;$O$9,他港作業!$E$6:$E$55,"")&gt;0),"他港作業中",IF(INDEX(_計算!$C$6:$DR$293,$P$9,7)=1,"作業中",IF(O28="未確認","未確認（会社未確認）",IF(OR(O28="製鉄曳船",O28="西日本海運"),IF(マスター!$F$12="○","供給可能（待機）","対象外（記号との対応未確認）"),IF(COUNTIFS(他社配置!$L$6:$L$55,M28,他社配置!$J$6:$J$55,"○",他社配置!$F$6:$F$55,"可")&gt;0,"供給可能（他社・対応可）",IF(COUNTIFS(他社配置!$L$6:$L$55,M28,他社配置!$J$6:$J$55,"○",他社配置!$F$6:$F$55,"不可")&gt;0,"対応不可","未確認（他社の対応可否が空欄）")))))))))</f>
        <v>供給可能（待機）</v>
      </c>
    </row>
    <row r="29" customFormat="false" ht="15" hidden="false" customHeight="false" outlineLevel="0" collapsed="false">
      <c r="B29" s="17" t="s">
        <v>497</v>
      </c>
      <c r="F29" s="24" t="s">
        <v>498</v>
      </c>
      <c r="G29" s="35" t="n">
        <f aca="false">MAX(_計算!DS234:DS245)</f>
        <v>0</v>
      </c>
      <c r="H29" s="35" t="n">
        <f aca="false">MAX(_計算!DT234:DT245)</f>
        <v>0</v>
      </c>
      <c r="I29" s="35" t="n">
        <f aca="false">MAX(_計算!DU234:DU245)</f>
        <v>0</v>
      </c>
      <c r="J29" s="35" t="n">
        <f aca="false">MAX(_計算!DV234:DV245)</f>
        <v>0</v>
      </c>
      <c r="K29" s="35" t="n">
        <f aca="false">MAX(_計算2!DS234:DS245)</f>
        <v>0</v>
      </c>
      <c r="M29" s="35" t="str">
        <f aca="false">IF(マスター!$O$13&lt;&gt;"○","",マスター!$K$13)</f>
        <v>Y</v>
      </c>
      <c r="N29" s="35" t="str">
        <f aca="false">IF(M29="","",IF(マスター!$C$13="","未確認",マスター!$C$13))</f>
        <v>製鉄曳船</v>
      </c>
      <c r="O29" s="35" t="str">
        <f aca="false">IF(M29="","",マスター!$L$13)</f>
        <v>製鉄曳船</v>
      </c>
      <c r="P29" s="35" t="str">
        <f aca="false">IF(M29="","",IF(マスター!$D$13="通船・警戒船","対象外（通船・警戒船）",IF(COUNTIFS(入渠!$H$6:$H$55,M29,入渠!$G$6:$G$55,"○")&gt;0,"入渠中",IF(AND($O$9&lt;&gt;"",COUNTIFS(他港作業!$K$6:$K$55,M29,他港作業!$L$6:$L$55,"&lt;="&amp;$O$9,他港作業!$M$6:$M$55,"&gt;"&amp;$O$9)+COUNTIFS(他港作業!$K$6:$K$55,M29,他港作業!$L$6:$L$55,"&lt;="&amp;$O$9,他港作業!$E$6:$E$55,"")&gt;0),"他港作業中",IF(INDEX(_計算!$C$6:$DR$293,$P$9,8)=1,"作業中",IF(O29="未確認","未確認（会社未確認）",IF(OR(O29="製鉄曳船",O29="西日本海運"),IF(マスター!$F$13="○","供給可能（待機）","対象外（記号との対応未確認）"),IF(COUNTIFS(他社配置!$L$6:$L$55,M29,他社配置!$J$6:$J$55,"○",他社配置!$F$6:$F$55,"可")&gt;0,"供給可能（他社・対応可）",IF(COUNTIFS(他社配置!$L$6:$L$55,M29,他社配置!$J$6:$J$55,"○",他社配置!$F$6:$F$55,"不可")&gt;0,"対応不可","未確認（他社の対応可否が空欄）")))))))))</f>
        <v>供給可能（待機）</v>
      </c>
    </row>
    <row r="30" customFormat="false" ht="15" hidden="false" customHeight="false" outlineLevel="0" collapsed="false">
      <c r="B30" s="5" t="s">
        <v>499</v>
      </c>
      <c r="C30" s="35" t="n">
        <f aca="false">C10</f>
        <v>0</v>
      </c>
      <c r="F30" s="24" t="s">
        <v>500</v>
      </c>
      <c r="G30" s="35" t="n">
        <f aca="false">MAX(_計算!DS246:DS257)</f>
        <v>0</v>
      </c>
      <c r="H30" s="35" t="n">
        <f aca="false">MAX(_計算!DT246:DT257)</f>
        <v>0</v>
      </c>
      <c r="I30" s="35" t="n">
        <f aca="false">MAX(_計算!DU246:DU257)</f>
        <v>0</v>
      </c>
      <c r="J30" s="35" t="n">
        <f aca="false">MAX(_計算!DV246:DV257)</f>
        <v>0</v>
      </c>
      <c r="K30" s="35" t="n">
        <f aca="false">MAX(_計算2!DS246:DS257)</f>
        <v>0</v>
      </c>
      <c r="M30" s="35" t="str">
        <f aca="false">IF(マスター!$O$14&lt;&gt;"○","",マスター!$K$14)</f>
        <v>M</v>
      </c>
      <c r="N30" s="35" t="str">
        <f aca="false">IF(M30="","",IF(マスター!$C$14="","未確認",マスター!$C$14))</f>
        <v>製鉄曳船</v>
      </c>
      <c r="O30" s="35" t="str">
        <f aca="false">IF(M30="","",マスター!$L$14)</f>
        <v>製鉄曳船</v>
      </c>
      <c r="P30" s="35" t="str">
        <f aca="false">IF(M30="","",IF(マスター!$D$14="通船・警戒船","対象外（通船・警戒船）",IF(COUNTIFS(入渠!$H$6:$H$55,M30,入渠!$G$6:$G$55,"○")&gt;0,"入渠中",IF(AND($O$9&lt;&gt;"",COUNTIFS(他港作業!$K$6:$K$55,M30,他港作業!$L$6:$L$55,"&lt;="&amp;$O$9,他港作業!$M$6:$M$55,"&gt;"&amp;$O$9)+COUNTIFS(他港作業!$K$6:$K$55,M30,他港作業!$L$6:$L$55,"&lt;="&amp;$O$9,他港作業!$E$6:$E$55,"")&gt;0),"他港作業中",IF(INDEX(_計算!$C$6:$DR$293,$P$9,9)=1,"作業中",IF(O30="未確認","未確認（会社未確認）",IF(OR(O30="製鉄曳船",O30="西日本海運"),IF(マスター!$F$14="○","供給可能（待機）","対象外（記号との対応未確認）"),IF(COUNTIFS(他社配置!$L$6:$L$55,M30,他社配置!$J$6:$J$55,"○",他社配置!$F$6:$F$55,"可")&gt;0,"供給可能（他社・対応可）",IF(COUNTIFS(他社配置!$L$6:$L$55,M30,他社配置!$J$6:$J$55,"○",他社配置!$F$6:$F$55,"不可")&gt;0,"対応不可","未確認（他社の対応可否が空欄）")))))))))</f>
        <v>供給可能（待機）</v>
      </c>
    </row>
    <row r="31" customFormat="false" ht="15" hidden="false" customHeight="false" outlineLevel="0" collapsed="false">
      <c r="B31" s="5" t="s">
        <v>501</v>
      </c>
      <c r="C31" s="35" t="n">
        <f aca="false">COUNTIFS(実績!$R$6:$R$505,"&lt;&gt;",実績!$AD$6:$AD$505,"&lt;&gt;高炉原料")</f>
        <v>0</v>
      </c>
      <c r="D31" s="34" t="s">
        <v>502</v>
      </c>
      <c r="F31" s="24" t="s">
        <v>503</v>
      </c>
      <c r="G31" s="35" t="n">
        <f aca="false">MAX(_計算!DS258:DS269)</f>
        <v>0</v>
      </c>
      <c r="H31" s="35" t="n">
        <f aca="false">MAX(_計算!DT258:DT269)</f>
        <v>0</v>
      </c>
      <c r="I31" s="35" t="n">
        <f aca="false">MAX(_計算!DU258:DU269)</f>
        <v>0</v>
      </c>
      <c r="J31" s="35" t="n">
        <f aca="false">MAX(_計算!DV258:DV269)</f>
        <v>0</v>
      </c>
      <c r="K31" s="35" t="n">
        <f aca="false">MAX(_計算2!DS258:DS269)</f>
        <v>0</v>
      </c>
      <c r="M31" s="35" t="str">
        <f aca="false">IF(マスター!$O$15&lt;&gt;"○","",マスター!$K$15)</f>
        <v>P</v>
      </c>
      <c r="N31" s="35" t="str">
        <f aca="false">IF(M31="","",IF(マスター!$C$15="","未確認",マスター!$C$15))</f>
        <v>製鉄曳船</v>
      </c>
      <c r="O31" s="35" t="str">
        <f aca="false">IF(M31="","",マスター!$L$15)</f>
        <v>製鉄曳船</v>
      </c>
      <c r="P31" s="35" t="str">
        <f aca="false">IF(M31="","",IF(マスター!$D$15="通船・警戒船","対象外（通船・警戒船）",IF(COUNTIFS(入渠!$H$6:$H$55,M31,入渠!$G$6:$G$55,"○")&gt;0,"入渠中",IF(AND($O$9&lt;&gt;"",COUNTIFS(他港作業!$K$6:$K$55,M31,他港作業!$L$6:$L$55,"&lt;="&amp;$O$9,他港作業!$M$6:$M$55,"&gt;"&amp;$O$9)+COUNTIFS(他港作業!$K$6:$K$55,M31,他港作業!$L$6:$L$55,"&lt;="&amp;$O$9,他港作業!$E$6:$E$55,"")&gt;0),"他港作業中",IF(INDEX(_計算!$C$6:$DR$293,$P$9,10)=1,"作業中",IF(O31="未確認","未確認（会社未確認）",IF(OR(O31="製鉄曳船",O31="西日本海運"),IF(マスター!$F$15="○","供給可能（待機）","対象外（記号との対応未確認）"),IF(COUNTIFS(他社配置!$L$6:$L$55,M31,他社配置!$J$6:$J$55,"○",他社配置!$F$6:$F$55,"可")&gt;0,"供給可能（他社・対応可）",IF(COUNTIFS(他社配置!$L$6:$L$55,M31,他社配置!$J$6:$J$55,"○",他社配置!$F$6:$F$55,"不可")&gt;0,"対応不可","未確認（他社の対応可否が空欄）")))))))))</f>
        <v>供給可能（待機）</v>
      </c>
    </row>
    <row r="32" customFormat="false" ht="15" hidden="false" customHeight="false" outlineLevel="0" collapsed="false">
      <c r="B32" s="5" t="s">
        <v>504</v>
      </c>
      <c r="C32" s="35" t="n">
        <f aca="false">COUNTIFS(実績!$R$6:$R$505,"&lt;&gt;",実績!$AD$6:$AD$505,"未確認")</f>
        <v>0</v>
      </c>
      <c r="D32" s="34" t="s">
        <v>505</v>
      </c>
      <c r="F32" s="24" t="s">
        <v>506</v>
      </c>
      <c r="G32" s="35" t="n">
        <f aca="false">MAX(_計算!DS270:DS281)</f>
        <v>0</v>
      </c>
      <c r="H32" s="35" t="n">
        <f aca="false">MAX(_計算!DT270:DT281)</f>
        <v>0</v>
      </c>
      <c r="I32" s="35" t="n">
        <f aca="false">MAX(_計算!DU270:DU281)</f>
        <v>0</v>
      </c>
      <c r="J32" s="35" t="n">
        <f aca="false">MAX(_計算!DV270:DV281)</f>
        <v>0</v>
      </c>
      <c r="K32" s="35" t="n">
        <f aca="false">MAX(_計算2!DS270:DS281)</f>
        <v>0</v>
      </c>
      <c r="M32" s="35" t="str">
        <f aca="false">IF(マスター!$O$16&lt;&gt;"○","",マスター!$K$16)</f>
        <v>関豊丸</v>
      </c>
      <c r="N32" s="35" t="str">
        <f aca="false">IF(M32="","",IF(マスター!$C$16="","未確認",マスター!$C$16))</f>
        <v>西日本海運</v>
      </c>
      <c r="O32" s="35" t="str">
        <f aca="false">IF(M32="","",マスター!$L$16)</f>
        <v>西日本海運</v>
      </c>
      <c r="P32" s="35" t="str">
        <f aca="false">IF(M32="","",IF(マスター!$D$16="通船・警戒船","対象外（通船・警戒船）",IF(COUNTIFS(入渠!$H$6:$H$55,M32,入渠!$G$6:$G$55,"○")&gt;0,"入渠中",IF(AND($O$9&lt;&gt;"",COUNTIFS(他港作業!$K$6:$K$55,M32,他港作業!$L$6:$L$55,"&lt;="&amp;$O$9,他港作業!$M$6:$M$55,"&gt;"&amp;$O$9)+COUNTIFS(他港作業!$K$6:$K$55,M32,他港作業!$L$6:$L$55,"&lt;="&amp;$O$9,他港作業!$E$6:$E$55,"")&gt;0),"他港作業中",IF(INDEX(_計算!$C$6:$DR$293,$P$9,11)=1,"作業中",IF(O32="未確認","未確認（会社未確認）",IF(OR(O32="製鉄曳船",O32="西日本海運"),IF(マスター!$F$16="○","供給可能（待機）","対象外（記号との対応未確認）"),IF(COUNTIFS(他社配置!$L$6:$L$55,M32,他社配置!$J$6:$J$55,"○",他社配置!$F$6:$F$55,"可")&gt;0,"供給可能（他社・対応可）",IF(COUNTIFS(他社配置!$L$6:$L$55,M32,他社配置!$J$6:$J$55,"○",他社配置!$F$6:$F$55,"不可")&gt;0,"対応不可","未確認（他社の対応可否が空欄）")))))))))</f>
        <v>対象外（記号との対応未確認）</v>
      </c>
    </row>
    <row r="33" customFormat="false" ht="15" hidden="false" customHeight="false" outlineLevel="0" collapsed="false">
      <c r="B33" s="5" t="s">
        <v>507</v>
      </c>
      <c r="C33" s="35" t="n">
        <f aca="false">C14</f>
        <v>0</v>
      </c>
      <c r="F33" s="24" t="s">
        <v>508</v>
      </c>
      <c r="G33" s="35" t="n">
        <f aca="false">MAX(_計算!DS282:DS293)</f>
        <v>0</v>
      </c>
      <c r="H33" s="35" t="n">
        <f aca="false">MAX(_計算!DT282:DT293)</f>
        <v>0</v>
      </c>
      <c r="I33" s="35" t="n">
        <f aca="false">MAX(_計算!DU282:DU293)</f>
        <v>0</v>
      </c>
      <c r="J33" s="35" t="n">
        <f aca="false">MAX(_計算!DV282:DV293)</f>
        <v>0</v>
      </c>
      <c r="K33" s="35" t="n">
        <f aca="false">MAX(_計算2!DS282:DS293)</f>
        <v>0</v>
      </c>
      <c r="M33" s="35" t="str">
        <f aca="false">IF(マスター!$O$17&lt;&gt;"○","",マスター!$K$17)</f>
        <v>長豊丸</v>
      </c>
      <c r="N33" s="35" t="str">
        <f aca="false">IF(M33="","",IF(マスター!$C$17="","未確認",マスター!$C$17))</f>
        <v>西日本海運</v>
      </c>
      <c r="O33" s="35" t="str">
        <f aca="false">IF(M33="","",マスター!$L$17)</f>
        <v>西日本海運</v>
      </c>
      <c r="P33" s="35" t="str">
        <f aca="false">IF(M33="","",IF(マスター!$D$17="通船・警戒船","対象外（通船・警戒船）",IF(COUNTIFS(入渠!$H$6:$H$55,M33,入渠!$G$6:$G$55,"○")&gt;0,"入渠中",IF(AND($O$9&lt;&gt;"",COUNTIFS(他港作業!$K$6:$K$55,M33,他港作業!$L$6:$L$55,"&lt;="&amp;$O$9,他港作業!$M$6:$M$55,"&gt;"&amp;$O$9)+COUNTIFS(他港作業!$K$6:$K$55,M33,他港作業!$L$6:$L$55,"&lt;="&amp;$O$9,他港作業!$E$6:$E$55,"")&gt;0),"他港作業中",IF(INDEX(_計算!$C$6:$DR$293,$P$9,12)=1,"作業中",IF(O33="未確認","未確認（会社未確認）",IF(OR(O33="製鉄曳船",O33="西日本海運"),IF(マスター!$F$17="○","供給可能（待機）","対象外（記号との対応未確認）"),IF(COUNTIFS(他社配置!$L$6:$L$55,M33,他社配置!$J$6:$J$55,"○",他社配置!$F$6:$F$55,"可")&gt;0,"供給可能（他社・対応可）",IF(COUNTIFS(他社配置!$L$6:$L$55,M33,他社配置!$J$6:$J$55,"○",他社配置!$F$6:$F$55,"不可")&gt;0,"対応不可","未確認（他社の対応可否が空欄）")))))))))</f>
        <v>対象外（記号との対応未確認）</v>
      </c>
    </row>
    <row r="34" customFormat="false" ht="15" hidden="false" customHeight="false" outlineLevel="0" collapsed="false">
      <c r="B34" s="5" t="s">
        <v>509</v>
      </c>
      <c r="C34" s="35" t="n">
        <f aca="false">MAX(_計算2!$DS$6:$DS$293)</f>
        <v>0</v>
      </c>
      <c r="M34" s="35" t="str">
        <f aca="false">IF(マスター!$O$18&lt;&gt;"○","",マスター!$K$18)</f>
        <v>関</v>
      </c>
      <c r="N34" s="35" t="str">
        <f aca="false">IF(M34="","",IF(マスター!$C$18="","未確認",マスター!$C$18))</f>
        <v>西日本海運</v>
      </c>
      <c r="O34" s="35" t="str">
        <f aca="false">IF(M34="","",マスター!$L$18)</f>
        <v>西日本海運</v>
      </c>
      <c r="P34" s="35" t="str">
        <f aca="false">IF(M34="","",IF(マスター!$D$18="通船・警戒船","対象外（通船・警戒船）",IF(COUNTIFS(入渠!$H$6:$H$55,M34,入渠!$G$6:$G$55,"○")&gt;0,"入渠中",IF(AND($O$9&lt;&gt;"",COUNTIFS(他港作業!$K$6:$K$55,M34,他港作業!$L$6:$L$55,"&lt;="&amp;$O$9,他港作業!$M$6:$M$55,"&gt;"&amp;$O$9)+COUNTIFS(他港作業!$K$6:$K$55,M34,他港作業!$L$6:$L$55,"&lt;="&amp;$O$9,他港作業!$E$6:$E$55,"")&gt;0),"他港作業中",IF(INDEX(_計算!$C$6:$DR$293,$P$9,13)=1,"作業中",IF(O34="未確認","未確認（会社未確認）",IF(OR(O34="製鉄曳船",O34="西日本海運"),IF(マスター!$F$18="○","供給可能（待機）","対象外（記号との対応未確認）"),IF(COUNTIFS(他社配置!$L$6:$L$55,M34,他社配置!$J$6:$J$55,"○",他社配置!$F$6:$F$55,"可")&gt;0,"供給可能（他社・対応可）",IF(COUNTIFS(他社配置!$L$6:$L$55,M34,他社配置!$J$6:$J$55,"○",他社配置!$F$6:$F$55,"不可")&gt;0,"対応不可","未確認（他社の対応可否が空欄）")))))))))</f>
        <v>供給可能（待機）</v>
      </c>
    </row>
    <row r="35" customFormat="false" ht="15" hidden="false" customHeight="false" outlineLevel="0" collapsed="false">
      <c r="M35" s="35" t="str">
        <f aca="false">IF(マスター!$O$19&lt;&gt;"○","",マスター!$K$19)</f>
        <v>長</v>
      </c>
      <c r="N35" s="35" t="str">
        <f aca="false">IF(M35="","",IF(マスター!$C$19="","未確認",マスター!$C$19))</f>
        <v>西日本海運</v>
      </c>
      <c r="O35" s="35" t="str">
        <f aca="false">IF(M35="","",マスター!$L$19)</f>
        <v>西日本海運</v>
      </c>
      <c r="P35" s="35" t="str">
        <f aca="false">IF(M35="","",IF(マスター!$D$19="通船・警戒船","対象外（通船・警戒船）",IF(COUNTIFS(入渠!$H$6:$H$55,M35,入渠!$G$6:$G$55,"○")&gt;0,"入渠中",IF(AND($O$9&lt;&gt;"",COUNTIFS(他港作業!$K$6:$K$55,M35,他港作業!$L$6:$L$55,"&lt;="&amp;$O$9,他港作業!$M$6:$M$55,"&gt;"&amp;$O$9)+COUNTIFS(他港作業!$K$6:$K$55,M35,他港作業!$L$6:$L$55,"&lt;="&amp;$O$9,他港作業!$E$6:$E$55,"")&gt;0),"他港作業中",IF(INDEX(_計算!$C$6:$DR$293,$P$9,14)=1,"作業中",IF(O35="未確認","未確認（会社未確認）",IF(OR(O35="製鉄曳船",O35="西日本海運"),IF(マスター!$F$19="○","供給可能（待機）","対象外（記号との対応未確認）"),IF(COUNTIFS(他社配置!$L$6:$L$55,M35,他社配置!$J$6:$J$55,"○",他社配置!$F$6:$F$55,"可")&gt;0,"供給可能（他社・対応可）",IF(COUNTIFS(他社配置!$L$6:$L$55,M35,他社配置!$J$6:$J$55,"○",他社配置!$F$6:$F$55,"不可")&gt;0,"対応不可","未確認（他社の対応可否が空欄）")))))))))</f>
        <v>供給可能（待機）</v>
      </c>
    </row>
    <row r="36" customFormat="false" ht="15" hidden="false" customHeight="false" outlineLevel="0" collapsed="false">
      <c r="B36" s="17" t="s">
        <v>510</v>
      </c>
      <c r="F36" s="17" t="s">
        <v>511</v>
      </c>
      <c r="M36" s="35" t="str">
        <f aca="false">IF(マスター!$O$20&lt;&gt;"○","",マスター!$K$20)</f>
        <v>かざし丸</v>
      </c>
      <c r="N36" s="35" t="str">
        <f aca="false">IF(M36="","",IF(マスター!$C$20="","未確認",マスター!$C$20))</f>
        <v>シーゲートコーポレーション</v>
      </c>
      <c r="O36" s="35" t="str">
        <f aca="false">IF(M36="","",マスター!$L$20)</f>
        <v>他社</v>
      </c>
      <c r="P36" s="35" t="str">
        <f aca="false">IF(M36="","",IF(マスター!$D$20="通船・警戒船","対象外（通船・警戒船）",IF(COUNTIFS(入渠!$H$6:$H$55,M36,入渠!$G$6:$G$55,"○")&gt;0,"入渠中",IF(AND($O$9&lt;&gt;"",COUNTIFS(他港作業!$K$6:$K$55,M36,他港作業!$L$6:$L$55,"&lt;="&amp;$O$9,他港作業!$M$6:$M$55,"&gt;"&amp;$O$9)+COUNTIFS(他港作業!$K$6:$K$55,M36,他港作業!$L$6:$L$55,"&lt;="&amp;$O$9,他港作業!$E$6:$E$55,"")&gt;0),"他港作業中",IF(INDEX(_計算!$C$6:$DR$293,$P$9,15)=1,"作業中",IF(O36="未確認","未確認（会社未確認）",IF(OR(O36="製鉄曳船",O36="西日本海運"),IF(マスター!$F$20="○","供給可能（待機）","対象外（記号との対応未確認）"),IF(COUNTIFS(他社配置!$L$6:$L$55,M36,他社配置!$J$6:$J$55,"○",他社配置!$F$6:$F$55,"可")&gt;0,"供給可能（他社・対応可）",IF(COUNTIFS(他社配置!$L$6:$L$55,M36,他社配置!$J$6:$J$55,"○",他社配置!$F$6:$F$55,"不可")&gt;0,"対応不可","未確認（他社の対応可否が空欄）")))))))))</f>
        <v>未確認（他社の対応可否が空欄）</v>
      </c>
    </row>
    <row r="37" customFormat="false" ht="26.85" hidden="false" customHeight="false" outlineLevel="0" collapsed="false">
      <c r="B37" s="14" t="s">
        <v>77</v>
      </c>
      <c r="C37" s="14" t="s">
        <v>512</v>
      </c>
      <c r="D37" s="14" t="s">
        <v>513</v>
      </c>
      <c r="F37" s="14" t="s">
        <v>76</v>
      </c>
      <c r="G37" s="14" t="s">
        <v>77</v>
      </c>
      <c r="H37" s="14" t="s">
        <v>512</v>
      </c>
      <c r="I37" s="14" t="s">
        <v>513</v>
      </c>
      <c r="M37" s="35" t="str">
        <f aca="false">IF(マスター!$O$21&lt;&gt;"○","",マスター!$K$21)</f>
        <v>鷲羽丸</v>
      </c>
      <c r="N37" s="35" t="str">
        <f aca="false">IF(M37="","",IF(マスター!$C$21="","未確認",マスター!$C$21))</f>
        <v>シーゲートコーポレーション</v>
      </c>
      <c r="O37" s="35" t="str">
        <f aca="false">IF(M37="","",マスター!$L$21)</f>
        <v>他社</v>
      </c>
      <c r="P37" s="35" t="str">
        <f aca="false">IF(M37="","",IF(マスター!$D$21="通船・警戒船","対象外（通船・警戒船）",IF(COUNTIFS(入渠!$H$6:$H$55,M37,入渠!$G$6:$G$55,"○")&gt;0,"入渠中",IF(AND($O$9&lt;&gt;"",COUNTIFS(他港作業!$K$6:$K$55,M37,他港作業!$L$6:$L$55,"&lt;="&amp;$O$9,他港作業!$M$6:$M$55,"&gt;"&amp;$O$9)+COUNTIFS(他港作業!$K$6:$K$55,M37,他港作業!$L$6:$L$55,"&lt;="&amp;$O$9,他港作業!$E$6:$E$55,"")&gt;0),"他港作業中",IF(INDEX(_計算!$C$6:$DR$293,$P$9,16)=1,"作業中",IF(O37="未確認","未確認（会社未確認）",IF(OR(O37="製鉄曳船",O37="西日本海運"),IF(マスター!$F$21="○","供給可能（待機）","対象外（記号との対応未確認）"),IF(COUNTIFS(他社配置!$L$6:$L$55,M37,他社配置!$J$6:$J$55,"○",他社配置!$F$6:$F$55,"可")&gt;0,"供給可能（他社・対応可）",IF(COUNTIFS(他社配置!$L$6:$L$55,M37,他社配置!$J$6:$J$55,"○",他社配置!$F$6:$F$55,"不可")&gt;0,"対応不可","未確認（他社の対応可否が空欄）")))))))))</f>
        <v>未確認（他社の対応可否が空欄）</v>
      </c>
    </row>
    <row r="38" customFormat="false" ht="15" hidden="false" customHeight="false" outlineLevel="0" collapsed="false">
      <c r="B38" s="35" t="s">
        <v>303</v>
      </c>
      <c r="C38" s="35" t="n">
        <f aca="false">COUNTIF(実績!$Y$6:$Y$505,B38)</f>
        <v>0</v>
      </c>
      <c r="D38" s="35" t="n">
        <f aca="false">SUMIF(_計算!$C$2:$DR$2,B38,_計算!$C$4:$DR$4)</f>
        <v>0</v>
      </c>
      <c r="F38" s="35" t="str">
        <f aca="false">IF(マスター!$Q$6="","",マスター!$Q$6)</f>
        <v>製鉄曳船</v>
      </c>
      <c r="G38" s="35" t="str">
        <f aca="false">IF(F38="","",マスター!$R$6)</f>
        <v>製鉄曳船</v>
      </c>
      <c r="H38" s="35" t="n">
        <f aca="false">IF(F38="","",COUNTIF(実績!$X$6:$X$505,F38))</f>
        <v>0</v>
      </c>
      <c r="I38" s="35" t="n">
        <f aca="false">IF(F38="","",SUMIF(_計算!$C$1:$DR$1,F38,_計算!$C$4:$DR$4))</f>
        <v>0</v>
      </c>
      <c r="M38" s="35" t="str">
        <f aca="false">IF(マスター!$O$22&lt;&gt;"○","",マスター!$K$22)</f>
        <v>むさし丸2</v>
      </c>
      <c r="N38" s="35" t="str">
        <f aca="false">IF(M38="","",IF(マスター!$C$22="","未確認",マスター!$C$22))</f>
        <v>グリーンシッピング</v>
      </c>
      <c r="O38" s="35" t="str">
        <f aca="false">IF(M38="","",マスター!$L$22)</f>
        <v>他社</v>
      </c>
      <c r="P38" s="35" t="str">
        <f aca="false">IF(M38="","",IF(マスター!$D$22="通船・警戒船","対象外（通船・警戒船）",IF(COUNTIFS(入渠!$H$6:$H$55,M38,入渠!$G$6:$G$55,"○")&gt;0,"入渠中",IF(AND($O$9&lt;&gt;"",COUNTIFS(他港作業!$K$6:$K$55,M38,他港作業!$L$6:$L$55,"&lt;="&amp;$O$9,他港作業!$M$6:$M$55,"&gt;"&amp;$O$9)+COUNTIFS(他港作業!$K$6:$K$55,M38,他港作業!$L$6:$L$55,"&lt;="&amp;$O$9,他港作業!$E$6:$E$55,"")&gt;0),"他港作業中",IF(INDEX(_計算!$C$6:$DR$293,$P$9,17)=1,"作業中",IF(O38="未確認","未確認（会社未確認）",IF(OR(O38="製鉄曳船",O38="西日本海運"),IF(マスター!$F$22="○","供給可能（待機）","対象外（記号との対応未確認）"),IF(COUNTIFS(他社配置!$L$6:$L$55,M38,他社配置!$J$6:$J$55,"○",他社配置!$F$6:$F$55,"可")&gt;0,"供給可能（他社・対応可）",IF(COUNTIFS(他社配置!$L$6:$L$55,M38,他社配置!$J$6:$J$55,"○",他社配置!$F$6:$F$55,"不可")&gt;0,"対応不可","未確認（他社の対応可否が空欄）")))))))))</f>
        <v>未確認（他社の対応可否が空欄）</v>
      </c>
    </row>
    <row r="39" customFormat="false" ht="15" hidden="false" customHeight="false" outlineLevel="0" collapsed="false">
      <c r="B39" s="35" t="s">
        <v>322</v>
      </c>
      <c r="C39" s="35" t="n">
        <f aca="false">COUNTIF(実績!$Y$6:$Y$505,B39)</f>
        <v>0</v>
      </c>
      <c r="D39" s="35" t="n">
        <f aca="false">SUMIF(_計算!$C$2:$DR$2,B39,_計算!$C$4:$DR$4)</f>
        <v>0</v>
      </c>
      <c r="F39" s="35" t="str">
        <f aca="false">IF(マスター!$Q$7="","",マスター!$Q$7)</f>
        <v>西日本海運</v>
      </c>
      <c r="G39" s="35" t="str">
        <f aca="false">IF(F39="","",マスター!$R$7)</f>
        <v>西日本海運</v>
      </c>
      <c r="H39" s="35" t="n">
        <f aca="false">IF(F39="","",COUNTIF(実績!$X$6:$X$505,F39))</f>
        <v>0</v>
      </c>
      <c r="I39" s="35" t="n">
        <f aca="false">IF(F39="","",SUMIF(_計算!$C$1:$DR$1,F39,_計算!$C$4:$DR$4))</f>
        <v>0</v>
      </c>
      <c r="M39" s="35" t="str">
        <f aca="false">IF(マスター!$O$23&lt;&gt;"○","",マスター!$K$23)</f>
        <v>かなで</v>
      </c>
      <c r="N39" s="35" t="str">
        <f aca="false">IF(M39="","",IF(マスター!$C$23="","未確認",マスター!$C$23))</f>
        <v>グリーンシッピング</v>
      </c>
      <c r="O39" s="35" t="str">
        <f aca="false">IF(M39="","",マスター!$L$23)</f>
        <v>他社</v>
      </c>
      <c r="P39" s="35" t="str">
        <f aca="false">IF(M39="","",IF(マスター!$D$23="通船・警戒船","対象外（通船・警戒船）",IF(COUNTIFS(入渠!$H$6:$H$55,M39,入渠!$G$6:$G$55,"○")&gt;0,"入渠中",IF(AND($O$9&lt;&gt;"",COUNTIFS(他港作業!$K$6:$K$55,M39,他港作業!$L$6:$L$55,"&lt;="&amp;$O$9,他港作業!$M$6:$M$55,"&gt;"&amp;$O$9)+COUNTIFS(他港作業!$K$6:$K$55,M39,他港作業!$L$6:$L$55,"&lt;="&amp;$O$9,他港作業!$E$6:$E$55,"")&gt;0),"他港作業中",IF(INDEX(_計算!$C$6:$DR$293,$P$9,18)=1,"作業中",IF(O39="未確認","未確認（会社未確認）",IF(OR(O39="製鉄曳船",O39="西日本海運"),IF(マスター!$F$23="○","供給可能（待機）","対象外（記号との対応未確認）"),IF(COUNTIFS(他社配置!$L$6:$L$55,M39,他社配置!$J$6:$J$55,"○",他社配置!$F$6:$F$55,"可")&gt;0,"供給可能（他社・対応可）",IF(COUNTIFS(他社配置!$L$6:$L$55,M39,他社配置!$J$6:$J$55,"○",他社配置!$F$6:$F$55,"不可")&gt;0,"対応不可","未確認（他社の対応可否が空欄）")))))))))</f>
        <v>未確認（他社の対応可否が空欄）</v>
      </c>
    </row>
    <row r="40" customFormat="false" ht="15" hidden="false" customHeight="false" outlineLevel="0" collapsed="false">
      <c r="B40" s="35" t="s">
        <v>336</v>
      </c>
      <c r="C40" s="35" t="n">
        <f aca="false">COUNTIF(実績!$Y$6:$Y$505,B40)</f>
        <v>0</v>
      </c>
      <c r="D40" s="35" t="n">
        <f aca="false">SUMIF(_計算!$C$2:$DR$2,B40,_計算!$C$4:$DR$4)</f>
        <v>0</v>
      </c>
      <c r="F40" s="35" t="str">
        <f aca="false">IF(マスター!$Q$8="","",マスター!$Q$8)</f>
        <v>シーゲートコーポレーション</v>
      </c>
      <c r="G40" s="35" t="str">
        <f aca="false">IF(F40="","",マスター!$R$8)</f>
        <v>他社</v>
      </c>
      <c r="H40" s="35" t="n">
        <f aca="false">IF(F40="","",COUNTIF(実績!$X$6:$X$505,F40))</f>
        <v>0</v>
      </c>
      <c r="I40" s="35" t="n">
        <f aca="false">IF(F40="","",SUMIF(_計算!$C$1:$DR$1,F40,_計算!$C$4:$DR$4))</f>
        <v>0</v>
      </c>
      <c r="M40" s="35" t="str">
        <f aca="false">IF(マスター!$O$24&lt;&gt;"○","",マスター!$K$24)</f>
        <v>かいせい</v>
      </c>
      <c r="N40" s="35" t="str">
        <f aca="false">IF(M40="","",IF(マスター!$C$24="","未確認",マスター!$C$24))</f>
        <v>日鉄物流</v>
      </c>
      <c r="O40" s="35" t="str">
        <f aca="false">IF(M40="","",マスター!$L$24)</f>
        <v>他社</v>
      </c>
      <c r="P40" s="35" t="str">
        <f aca="false">IF(M40="","",IF(マスター!$D$24="通船・警戒船","対象外（通船・警戒船）",IF(COUNTIFS(入渠!$H$6:$H$55,M40,入渠!$G$6:$G$55,"○")&gt;0,"入渠中",IF(AND($O$9&lt;&gt;"",COUNTIFS(他港作業!$K$6:$K$55,M40,他港作業!$L$6:$L$55,"&lt;="&amp;$O$9,他港作業!$M$6:$M$55,"&gt;"&amp;$O$9)+COUNTIFS(他港作業!$K$6:$K$55,M40,他港作業!$L$6:$L$55,"&lt;="&amp;$O$9,他港作業!$E$6:$E$55,"")&gt;0),"他港作業中",IF(INDEX(_計算!$C$6:$DR$293,$P$9,19)=1,"作業中",IF(O40="未確認","未確認（会社未確認）",IF(OR(O40="製鉄曳船",O40="西日本海運"),IF(マスター!$F$24="○","供給可能（待機）","対象外（記号との対応未確認）"),IF(COUNTIFS(他社配置!$L$6:$L$55,M40,他社配置!$J$6:$J$55,"○",他社配置!$F$6:$F$55,"可")&gt;0,"供給可能（他社・対応可）",IF(COUNTIFS(他社配置!$L$6:$L$55,M40,他社配置!$J$6:$J$55,"○",他社配置!$F$6:$F$55,"不可")&gt;0,"対応不可","未確認（他社の対応可否が空欄）")))))))))</f>
        <v>未確認（他社の対応可否が空欄）</v>
      </c>
    </row>
    <row r="41" customFormat="false" ht="15" hidden="false" customHeight="false" outlineLevel="0" collapsed="false">
      <c r="B41" s="35" t="s">
        <v>305</v>
      </c>
      <c r="C41" s="35" t="n">
        <f aca="false">COUNTIF(実績!$Y$6:$Y$505,B41)</f>
        <v>0</v>
      </c>
      <c r="D41" s="35" t="n">
        <f aca="false">SUMIF(_計算!$C$2:$DR$2,B41,_計算!$C$4:$DR$4)</f>
        <v>0</v>
      </c>
      <c r="F41" s="35" t="str">
        <f aca="false">IF(マスター!$Q$9="","",マスター!$Q$9)</f>
        <v>グリーンシッピング</v>
      </c>
      <c r="G41" s="35" t="str">
        <f aca="false">IF(F41="","",マスター!$R$9)</f>
        <v>他社</v>
      </c>
      <c r="H41" s="35" t="n">
        <f aca="false">IF(F41="","",COUNTIF(実績!$X$6:$X$505,F41))</f>
        <v>0</v>
      </c>
      <c r="I41" s="35" t="n">
        <f aca="false">IF(F41="","",SUMIF(_計算!$C$1:$DR$1,F41,_計算!$C$4:$DR$4))</f>
        <v>0</v>
      </c>
      <c r="M41" s="35" t="str">
        <f aca="false">IF(マスター!$O$25&lt;&gt;"○","",マスター!$K$25)</f>
        <v>春風</v>
      </c>
      <c r="N41" s="35" t="str">
        <f aca="false">IF(M41="","",IF(マスター!$C$25="","未確認",マスター!$C$25))</f>
        <v>春風海運</v>
      </c>
      <c r="O41" s="35" t="str">
        <f aca="false">IF(M41="","",マスター!$L$25)</f>
        <v>他社</v>
      </c>
      <c r="P41" s="35" t="str">
        <f aca="false">IF(M41="","",IF(マスター!$D$25="通船・警戒船","対象外（通船・警戒船）",IF(COUNTIFS(入渠!$H$6:$H$55,M41,入渠!$G$6:$G$55,"○")&gt;0,"入渠中",IF(AND($O$9&lt;&gt;"",COUNTIFS(他港作業!$K$6:$K$55,M41,他港作業!$L$6:$L$55,"&lt;="&amp;$O$9,他港作業!$M$6:$M$55,"&gt;"&amp;$O$9)+COUNTIFS(他港作業!$K$6:$K$55,M41,他港作業!$L$6:$L$55,"&lt;="&amp;$O$9,他港作業!$E$6:$E$55,"")&gt;0),"他港作業中",IF(INDEX(_計算!$C$6:$DR$293,$P$9,20)=1,"作業中",IF(O41="未確認","未確認（会社未確認）",IF(OR(O41="製鉄曳船",O41="西日本海運"),IF(マスター!$F$25="○","供給可能（待機）","対象外（記号との対応未確認）"),IF(COUNTIFS(他社配置!$L$6:$L$55,M41,他社配置!$J$6:$J$55,"○",他社配置!$F$6:$F$55,"可")&gt;0,"供給可能（他社・対応可）",IF(COUNTIFS(他社配置!$L$6:$L$55,M41,他社配置!$J$6:$J$55,"○",他社配置!$F$6:$F$55,"不可")&gt;0,"対応不可","未確認（他社の対応可否が空欄）")))))))))</f>
        <v>未確認（他社の対応可否が空欄）</v>
      </c>
    </row>
    <row r="42" customFormat="false" ht="15" hidden="false" customHeight="false" outlineLevel="0" collapsed="false">
      <c r="B42" s="35" t="s">
        <v>514</v>
      </c>
      <c r="C42" s="35" t="n">
        <f aca="false">COUNTIF(実績!$Y$6:$Y$505,B42)</f>
        <v>0</v>
      </c>
      <c r="D42" s="24" t="s">
        <v>515</v>
      </c>
      <c r="F42" s="35" t="str">
        <f aca="false">IF(マスター!$Q$10="","",マスター!$Q$10)</f>
        <v>日鉄物流</v>
      </c>
      <c r="G42" s="35" t="str">
        <f aca="false">IF(F42="","",マスター!$R$10)</f>
        <v>他社</v>
      </c>
      <c r="H42" s="35" t="n">
        <f aca="false">IF(F42="","",COUNTIF(実績!$X$6:$X$505,F42))</f>
        <v>0</v>
      </c>
      <c r="I42" s="35" t="n">
        <f aca="false">IF(F42="","",SUMIF(_計算!$C$1:$DR$1,F42,_計算!$C$4:$DR$4))</f>
        <v>0</v>
      </c>
      <c r="M42" s="35" t="str">
        <f aca="false">IF(マスター!$O$26&lt;&gt;"○","",マスター!$K$26)</f>
        <v>栄春</v>
      </c>
      <c r="N42" s="35" t="str">
        <f aca="false">IF(M42="","",IF(マスター!$C$26="","未確認",マスター!$C$26))</f>
        <v>春風海運</v>
      </c>
      <c r="O42" s="35" t="str">
        <f aca="false">IF(M42="","",マスター!$L$26)</f>
        <v>他社</v>
      </c>
      <c r="P42" s="35" t="str">
        <f aca="false">IF(M42="","",IF(マスター!$D$26="通船・警戒船","対象外（通船・警戒船）",IF(COUNTIFS(入渠!$H$6:$H$55,M42,入渠!$G$6:$G$55,"○")&gt;0,"入渠中",IF(AND($O$9&lt;&gt;"",COUNTIFS(他港作業!$K$6:$K$55,M42,他港作業!$L$6:$L$55,"&lt;="&amp;$O$9,他港作業!$M$6:$M$55,"&gt;"&amp;$O$9)+COUNTIFS(他港作業!$K$6:$K$55,M42,他港作業!$L$6:$L$55,"&lt;="&amp;$O$9,他港作業!$E$6:$E$55,"")&gt;0),"他港作業中",IF(INDEX(_計算!$C$6:$DR$293,$P$9,21)=1,"作業中",IF(O42="未確認","未確認（会社未確認）",IF(OR(O42="製鉄曳船",O42="西日本海運"),IF(マスター!$F$26="○","供給可能（待機）","対象外（記号との対応未確認）"),IF(COUNTIFS(他社配置!$L$6:$L$55,M42,他社配置!$J$6:$J$55,"○",他社配置!$F$6:$F$55,"可")&gt;0,"供給可能（他社・対応可）",IF(COUNTIFS(他社配置!$L$6:$L$55,M42,他社配置!$J$6:$J$55,"○",他社配置!$F$6:$F$55,"不可")&gt;0,"対応不可","未確認（他社の対応可否が空欄）")))))))))</f>
        <v>未確認（他社の対応可否が空欄）</v>
      </c>
    </row>
    <row r="43" customFormat="false" ht="15" hidden="false" customHeight="false" outlineLevel="0" collapsed="false">
      <c r="F43" s="35" t="str">
        <f aca="false">IF(マスター!$Q$11="","",マスター!$Q$11)</f>
        <v>春風海運</v>
      </c>
      <c r="G43" s="35" t="str">
        <f aca="false">IF(F43="","",マスター!$R$11)</f>
        <v>他社</v>
      </c>
      <c r="H43" s="35" t="n">
        <f aca="false">IF(F43="","",COUNTIF(実績!$X$6:$X$505,F43))</f>
        <v>0</v>
      </c>
      <c r="I43" s="35" t="n">
        <f aca="false">IF(F43="","",SUMIF(_計算!$C$1:$DR$1,F43,_計算!$C$4:$DR$4))</f>
        <v>0</v>
      </c>
      <c r="M43" s="35" t="str">
        <f aca="false">IF(マスター!$O$27&lt;&gt;"○","",マスター!$K$27)</f>
        <v>双美</v>
      </c>
      <c r="N43" s="35" t="str">
        <f aca="false">IF(M43="","",IF(マスター!$C$27="","未確認",マスター!$C$27))</f>
        <v>春風海運</v>
      </c>
      <c r="O43" s="35" t="str">
        <f aca="false">IF(M43="","",マスター!$L$27)</f>
        <v>他社</v>
      </c>
      <c r="P43" s="35" t="str">
        <f aca="false">IF(M43="","",IF(マスター!$D$27="通船・警戒船","対象外（通船・警戒船）",IF(COUNTIFS(入渠!$H$6:$H$55,M43,入渠!$G$6:$G$55,"○")&gt;0,"入渠中",IF(AND($O$9&lt;&gt;"",COUNTIFS(他港作業!$K$6:$K$55,M43,他港作業!$L$6:$L$55,"&lt;="&amp;$O$9,他港作業!$M$6:$M$55,"&gt;"&amp;$O$9)+COUNTIFS(他港作業!$K$6:$K$55,M43,他港作業!$L$6:$L$55,"&lt;="&amp;$O$9,他港作業!$E$6:$E$55,"")&gt;0),"他港作業中",IF(INDEX(_計算!$C$6:$DR$293,$P$9,22)=1,"作業中",IF(O43="未確認","未確認（会社未確認）",IF(OR(O43="製鉄曳船",O43="西日本海運"),IF(マスター!$F$27="○","供給可能（待機）","対象外（記号との対応未確認）"),IF(COUNTIFS(他社配置!$L$6:$L$55,M43,他社配置!$J$6:$J$55,"○",他社配置!$F$6:$F$55,"可")&gt;0,"供給可能（他社・対応可）",IF(COUNTIFS(他社配置!$L$6:$L$55,M43,他社配置!$J$6:$J$55,"○",他社配置!$F$6:$F$55,"不可")&gt;0,"対応不可","未確認（他社の対応可否が空欄）")))))))))</f>
        <v>未確認（他社の対応可否が空欄）</v>
      </c>
    </row>
    <row r="44" customFormat="false" ht="15" hidden="false" customHeight="false" outlineLevel="0" collapsed="false">
      <c r="B44" s="5" t="s">
        <v>516</v>
      </c>
      <c r="C44" s="35" t="n">
        <f aca="false">COUNTIFS(実績!$AB$6:$AB$505,"安瀬*",実績!$Y$6:$Y$505,"&lt;&gt;製鉄曳船",実績!$Y$6:$Y$505,"&lt;&gt;西日本海運")</f>
        <v>0</v>
      </c>
      <c r="D44" s="34" t="s">
        <v>517</v>
      </c>
      <c r="F44" s="35" t="str">
        <f aca="false">IF(マスター!$Q$12="","",マスター!$Q$12)</f>
        <v>矢野海運</v>
      </c>
      <c r="G44" s="35" t="str">
        <f aca="false">IF(F44="","",マスター!$R$12)</f>
        <v>他社</v>
      </c>
      <c r="H44" s="35" t="n">
        <f aca="false">IF(F44="","",COUNTIF(実績!$X$6:$X$505,F44))</f>
        <v>0</v>
      </c>
      <c r="I44" s="35" t="n">
        <f aca="false">IF(F44="","",SUMIF(_計算!$C$1:$DR$1,F44,_計算!$C$4:$DR$4))</f>
        <v>0</v>
      </c>
      <c r="M44" s="35" t="str">
        <f aca="false">IF(マスター!$O$28&lt;&gt;"○","",マスター!$K$28)</f>
        <v>春幸</v>
      </c>
      <c r="N44" s="35" t="str">
        <f aca="false">IF(M44="","",IF(マスター!$C$28="","未確認",マスター!$C$28))</f>
        <v>春風海運</v>
      </c>
      <c r="O44" s="35" t="str">
        <f aca="false">IF(M44="","",マスター!$L$28)</f>
        <v>他社</v>
      </c>
      <c r="P44" s="35" t="str">
        <f aca="false">IF(M44="","",IF(マスター!$D$28="通船・警戒船","対象外（通船・警戒船）",IF(COUNTIFS(入渠!$H$6:$H$55,M44,入渠!$G$6:$G$55,"○")&gt;0,"入渠中",IF(AND($O$9&lt;&gt;"",COUNTIFS(他港作業!$K$6:$K$55,M44,他港作業!$L$6:$L$55,"&lt;="&amp;$O$9,他港作業!$M$6:$M$55,"&gt;"&amp;$O$9)+COUNTIFS(他港作業!$K$6:$K$55,M44,他港作業!$L$6:$L$55,"&lt;="&amp;$O$9,他港作業!$E$6:$E$55,"")&gt;0),"他港作業中",IF(INDEX(_計算!$C$6:$DR$293,$P$9,23)=1,"作業中",IF(O44="未確認","未確認（会社未確認）",IF(OR(O44="製鉄曳船",O44="西日本海運"),IF(マスター!$F$28="○","供給可能（待機）","対象外（記号との対応未確認）"),IF(COUNTIFS(他社配置!$L$6:$L$55,M44,他社配置!$J$6:$J$55,"○",他社配置!$F$6:$F$55,"可")&gt;0,"供給可能（他社・対応可）",IF(COUNTIFS(他社配置!$L$6:$L$55,M44,他社配置!$J$6:$J$55,"○",他社配置!$F$6:$F$55,"不可")&gt;0,"対応不可","未確認（他社の対応可否が空欄）")))))))))</f>
        <v>未確認（他社の対応可否が空欄）</v>
      </c>
    </row>
    <row r="45" customFormat="false" ht="15" hidden="false" customHeight="false" outlineLevel="0" collapsed="false">
      <c r="B45" s="5" t="s">
        <v>518</v>
      </c>
      <c r="C45" s="35" t="n">
        <f aca="false">COUNTIFS(実績!$AB$6:$AB$505,"",実績!$Y$6:$Y$505,"他社")+COUNTIFS(実績!$AB$6:$AB$505,"",実績!$Y$6:$Y$505,"未確認")</f>
        <v>0</v>
      </c>
      <c r="D45" s="34" t="s">
        <v>519</v>
      </c>
      <c r="F45" s="35" t="str">
        <f aca="false">IF(マスター!$Q$13="","",マスター!$Q$13)</f>
        <v>洞海マリン</v>
      </c>
      <c r="G45" s="35" t="str">
        <f aca="false">IF(F45="","",マスター!$R$13)</f>
        <v>他社</v>
      </c>
      <c r="H45" s="35" t="n">
        <f aca="false">IF(F45="","",COUNTIF(実績!$X$6:$X$505,F45))</f>
        <v>0</v>
      </c>
      <c r="I45" s="35" t="n">
        <f aca="false">IF(F45="","",SUMIF(_計算!$C$1:$DR$1,F45,_計算!$C$4:$DR$4))</f>
        <v>0</v>
      </c>
      <c r="M45" s="35" t="str">
        <f aca="false">IF(マスター!$O$29&lt;&gt;"○","",マスター!$K$29)</f>
        <v>さくら</v>
      </c>
      <c r="N45" s="35" t="str">
        <f aca="false">IF(M45="","",IF(マスター!$C$29="","未確認",マスター!$C$29))</f>
        <v>未確認</v>
      </c>
      <c r="O45" s="35" t="str">
        <f aca="false">IF(M45="","",マスター!$L$29)</f>
        <v>未確認</v>
      </c>
      <c r="P45" s="35" t="str">
        <f aca="false">IF(M45="","",IF(マスター!$D$29="通船・警戒船","対象外（通船・警戒船）",IF(COUNTIFS(入渠!$H$6:$H$55,M45,入渠!$G$6:$G$55,"○")&gt;0,"入渠中",IF(AND($O$9&lt;&gt;"",COUNTIFS(他港作業!$K$6:$K$55,M45,他港作業!$L$6:$L$55,"&lt;="&amp;$O$9,他港作業!$M$6:$M$55,"&gt;"&amp;$O$9)+COUNTIFS(他港作業!$K$6:$K$55,M45,他港作業!$L$6:$L$55,"&lt;="&amp;$O$9,他港作業!$E$6:$E$55,"")&gt;0),"他港作業中",IF(INDEX(_計算!$C$6:$DR$293,$P$9,24)=1,"作業中",IF(O45="未確認","未確認（会社未確認）",IF(OR(O45="製鉄曳船",O45="西日本海運"),IF(マスター!$F$29="○","供給可能（待機）","対象外（記号との対応未確認）"),IF(COUNTIFS(他社配置!$L$6:$L$55,M45,他社配置!$J$6:$J$55,"○",他社配置!$F$6:$F$55,"可")&gt;0,"供給可能（他社・対応可）",IF(COUNTIFS(他社配置!$L$6:$L$55,M45,他社配置!$J$6:$J$55,"○",他社配置!$F$6:$F$55,"不可")&gt;0,"対応不可","未確認（他社の対応可否が空欄）")))))))))</f>
        <v>未確認（会社未確認）</v>
      </c>
    </row>
    <row r="46" customFormat="false" ht="15" hidden="false" customHeight="false" outlineLevel="0" collapsed="false">
      <c r="F46" s="35" t="str">
        <f aca="false">IF(マスター!$Q$14="","",マスター!$Q$14)</f>
        <v>福島海運</v>
      </c>
      <c r="G46" s="35" t="str">
        <f aca="false">IF(F46="","",マスター!$R$14)</f>
        <v>他社</v>
      </c>
      <c r="H46" s="35" t="n">
        <f aca="false">IF(F46="","",COUNTIF(実績!$X$6:$X$505,F46))</f>
        <v>0</v>
      </c>
      <c r="I46" s="35" t="n">
        <f aca="false">IF(F46="","",SUMIF(_計算!$C$1:$DR$1,F46,_計算!$C$4:$DR$4))</f>
        <v>0</v>
      </c>
      <c r="M46" s="35" t="str">
        <f aca="false">IF(マスター!$O$30&lt;&gt;"○","",マスター!$K$30)</f>
        <v>みさき</v>
      </c>
      <c r="N46" s="35" t="str">
        <f aca="false">IF(M46="","",IF(マスター!$C$30="","未確認",マスター!$C$30))</f>
        <v>未確認</v>
      </c>
      <c r="O46" s="35" t="str">
        <f aca="false">IF(M46="","",マスター!$L$30)</f>
        <v>未確認</v>
      </c>
      <c r="P46" s="35" t="str">
        <f aca="false">IF(M46="","",IF(マスター!$D$30="通船・警戒船","対象外（通船・警戒船）",IF(COUNTIFS(入渠!$H$6:$H$55,M46,入渠!$G$6:$G$55,"○")&gt;0,"入渠中",IF(AND($O$9&lt;&gt;"",COUNTIFS(他港作業!$K$6:$K$55,M46,他港作業!$L$6:$L$55,"&lt;="&amp;$O$9,他港作業!$M$6:$M$55,"&gt;"&amp;$O$9)+COUNTIFS(他港作業!$K$6:$K$55,M46,他港作業!$L$6:$L$55,"&lt;="&amp;$O$9,他港作業!$E$6:$E$55,"")&gt;0),"他港作業中",IF(INDEX(_計算!$C$6:$DR$293,$P$9,25)=1,"作業中",IF(O46="未確認","未確認（会社未確認）",IF(OR(O46="製鉄曳船",O46="西日本海運"),IF(マスター!$F$30="○","供給可能（待機）","対象外（記号との対応未確認）"),IF(COUNTIFS(他社配置!$L$6:$L$55,M46,他社配置!$J$6:$J$55,"○",他社配置!$F$6:$F$55,"可")&gt;0,"供給可能（他社・対応可）",IF(COUNTIFS(他社配置!$L$6:$L$55,M46,他社配置!$J$6:$J$55,"○",他社配置!$F$6:$F$55,"不可")&gt;0,"対応不可","未確認（他社の対応可否が空欄）")))))))))</f>
        <v>未確認（会社未確認）</v>
      </c>
    </row>
    <row r="47" customFormat="false" ht="15" hidden="false" customHeight="false" outlineLevel="0" collapsed="false">
      <c r="B47" s="17" t="s">
        <v>520</v>
      </c>
      <c r="F47" s="35" t="str">
        <f aca="false">IF(マスター!$Q$15="","",マスター!$Q$15)</f>
        <v/>
      </c>
      <c r="G47" s="35" t="str">
        <f aca="false">IF(F47="","",マスター!$R$15)</f>
        <v/>
      </c>
      <c r="H47" s="35" t="str">
        <f aca="false">IF(F47="","",COUNTIF(実績!$X$6:$X$505,F47))</f>
        <v/>
      </c>
      <c r="I47" s="35" t="str">
        <f aca="false">IF(F47="","",SUMIF(_計算!$C$1:$DR$1,F47,_計算!$C$4:$DR$4))</f>
        <v/>
      </c>
      <c r="M47" s="35" t="str">
        <f aca="false">IF(マスター!$O$31&lt;&gt;"○","",マスター!$K$31)</f>
        <v>竜山</v>
      </c>
      <c r="N47" s="35" t="str">
        <f aca="false">IF(M47="","",IF(マスター!$C$31="","未確認",マスター!$C$31))</f>
        <v>未確認</v>
      </c>
      <c r="O47" s="35" t="str">
        <f aca="false">IF(M47="","",マスター!$L$31)</f>
        <v>未確認</v>
      </c>
      <c r="P47" s="35" t="str">
        <f aca="false">IF(M47="","",IF(マスター!$D$31="通船・警戒船","対象外（通船・警戒船）",IF(COUNTIFS(入渠!$H$6:$H$55,M47,入渠!$G$6:$G$55,"○")&gt;0,"入渠中",IF(AND($O$9&lt;&gt;"",COUNTIFS(他港作業!$K$6:$K$55,M47,他港作業!$L$6:$L$55,"&lt;="&amp;$O$9,他港作業!$M$6:$M$55,"&gt;"&amp;$O$9)+COUNTIFS(他港作業!$K$6:$K$55,M47,他港作業!$L$6:$L$55,"&lt;="&amp;$O$9,他港作業!$E$6:$E$55,"")&gt;0),"他港作業中",IF(INDEX(_計算!$C$6:$DR$293,$P$9,26)=1,"作業中",IF(O47="未確認","未確認（会社未確認）",IF(OR(O47="製鉄曳船",O47="西日本海運"),IF(マスター!$F$31="○","供給可能（待機）","対象外（記号との対応未確認）"),IF(COUNTIFS(他社配置!$L$6:$L$55,M47,他社配置!$J$6:$J$55,"○",他社配置!$F$6:$F$55,"可")&gt;0,"供給可能（他社・対応可）",IF(COUNTIFS(他社配置!$L$6:$L$55,M47,他社配置!$J$6:$J$55,"○",他社配置!$F$6:$F$55,"不可")&gt;0,"対応不可","未確認（他社の対応可否が空欄）")))))))))</f>
        <v>未確認（会社未確認）</v>
      </c>
    </row>
    <row r="48" customFormat="false" ht="15" hidden="false" customHeight="false" outlineLevel="0" collapsed="false">
      <c r="B48" s="5" t="s">
        <v>521</v>
      </c>
      <c r="C48" s="35" t="str">
        <f aca="false">前日確定!$C$10</f>
        <v>予定表と照合済み</v>
      </c>
      <c r="F48" s="35" t="str">
        <f aca="false">IF(マスター!$Q$16="","",マスター!$Q$16)</f>
        <v/>
      </c>
      <c r="G48" s="35" t="str">
        <f aca="false">IF(F48="","",マスター!$R$16)</f>
        <v/>
      </c>
      <c r="H48" s="35" t="str">
        <f aca="false">IF(F48="","",COUNTIF(実績!$X$6:$X$505,F48))</f>
        <v/>
      </c>
      <c r="I48" s="35" t="str">
        <f aca="false">IF(F48="","",SUMIF(_計算!$C$1:$DR$1,F48,_計算!$C$4:$DR$4))</f>
        <v/>
      </c>
      <c r="M48" s="35" t="str">
        <f aca="false">IF(マスター!$O$32&lt;&gt;"○","",マスター!$K$32)</f>
        <v>竜峰</v>
      </c>
      <c r="N48" s="35" t="str">
        <f aca="false">IF(M48="","",IF(マスター!$C$32="","未確認",マスター!$C$32))</f>
        <v>未確認</v>
      </c>
      <c r="O48" s="35" t="str">
        <f aca="false">IF(M48="","",マスター!$L$32)</f>
        <v>未確認</v>
      </c>
      <c r="P48" s="35" t="str">
        <f aca="false">IF(M48="","",IF(マスター!$D$32="通船・警戒船","対象外（通船・警戒船）",IF(COUNTIFS(入渠!$H$6:$H$55,M48,入渠!$G$6:$G$55,"○")&gt;0,"入渠中",IF(AND($O$9&lt;&gt;"",COUNTIFS(他港作業!$K$6:$K$55,M48,他港作業!$L$6:$L$55,"&lt;="&amp;$O$9,他港作業!$M$6:$M$55,"&gt;"&amp;$O$9)+COUNTIFS(他港作業!$K$6:$K$55,M48,他港作業!$L$6:$L$55,"&lt;="&amp;$O$9,他港作業!$E$6:$E$55,"")&gt;0),"他港作業中",IF(INDEX(_計算!$C$6:$DR$293,$P$9,27)=1,"作業中",IF(O48="未確認","未確認（会社未確認）",IF(OR(O48="製鉄曳船",O48="西日本海運"),IF(マスター!$F$32="○","供給可能（待機）","対象外（記号との対応未確認）"),IF(COUNTIFS(他社配置!$L$6:$L$55,M48,他社配置!$J$6:$J$55,"○",他社配置!$F$6:$F$55,"可")&gt;0,"供給可能（他社・対応可）",IF(COUNTIFS(他社配置!$L$6:$L$55,M48,他社配置!$J$6:$J$55,"○",他社配置!$F$6:$F$55,"不可")&gt;0,"対応不可","未確認（他社の対応可否が空欄）")))))))))</f>
        <v>未確認（会社未確認）</v>
      </c>
    </row>
    <row r="49" customFormat="false" ht="15" hidden="false" customHeight="false" outlineLevel="0" collapsed="false">
      <c r="B49" s="5" t="s">
        <v>522</v>
      </c>
      <c r="C49" s="35" t="n">
        <f aca="false">COUNT(前日確定!$J$26:$J$45)</f>
        <v>2</v>
      </c>
      <c r="F49" s="35" t="str">
        <f aca="false">IF(マスター!$Q$17="","",マスター!$Q$17)</f>
        <v/>
      </c>
      <c r="G49" s="35" t="str">
        <f aca="false">IF(F49="","",マスター!$R$17)</f>
        <v/>
      </c>
      <c r="H49" s="35" t="str">
        <f aca="false">IF(F49="","",COUNTIF(実績!$X$6:$X$505,F49))</f>
        <v/>
      </c>
      <c r="I49" s="35" t="str">
        <f aca="false">IF(F49="","",SUMIF(_計算!$C$1:$DR$1,F49,_計算!$C$4:$DR$4))</f>
        <v/>
      </c>
      <c r="M49" s="35" t="str">
        <f aca="false">IF(マスター!$O$33&lt;&gt;"○","",マスター!$K$33)</f>
        <v>竜昇</v>
      </c>
      <c r="N49" s="35" t="str">
        <f aca="false">IF(M49="","",IF(マスター!$C$33="","未確認",マスター!$C$33))</f>
        <v>未確認</v>
      </c>
      <c r="O49" s="35" t="str">
        <f aca="false">IF(M49="","",マスター!$L$33)</f>
        <v>未確認</v>
      </c>
      <c r="P49" s="35" t="str">
        <f aca="false">IF(M49="","",IF(マスター!$D$33="通船・警戒船","対象外（通船・警戒船）",IF(COUNTIFS(入渠!$H$6:$H$55,M49,入渠!$G$6:$G$55,"○")&gt;0,"入渠中",IF(AND($O$9&lt;&gt;"",COUNTIFS(他港作業!$K$6:$K$55,M49,他港作業!$L$6:$L$55,"&lt;="&amp;$O$9,他港作業!$M$6:$M$55,"&gt;"&amp;$O$9)+COUNTIFS(他港作業!$K$6:$K$55,M49,他港作業!$L$6:$L$55,"&lt;="&amp;$O$9,他港作業!$E$6:$E$55,"")&gt;0),"他港作業中",IF(INDEX(_計算!$C$6:$DR$293,$P$9,28)=1,"作業中",IF(O49="未確認","未確認（会社未確認）",IF(OR(O49="製鉄曳船",O49="西日本海運"),IF(マスター!$F$33="○","供給可能（待機）","対象外（記号との対応未確認）"),IF(COUNTIFS(他社配置!$L$6:$L$55,M49,他社配置!$J$6:$J$55,"○",他社配置!$F$6:$F$55,"可")&gt;0,"供給可能（他社・対応可）",IF(COUNTIFS(他社配置!$L$6:$L$55,M49,他社配置!$J$6:$J$55,"○",他社配置!$F$6:$F$55,"不可")&gt;0,"対応不可","未確認（他社の対応可否が空欄）")))))))))</f>
        <v>未確認（会社未確認）</v>
      </c>
    </row>
    <row r="50" customFormat="false" ht="15" hidden="false" customHeight="false" outlineLevel="0" collapsed="false">
      <c r="B50" s="5" t="s">
        <v>523</v>
      </c>
      <c r="C50" s="35" t="n">
        <f aca="false">COUNTIF(前日確定!$A$26:$A$45,"予定のみ")</f>
        <v>2</v>
      </c>
      <c r="F50" s="35" t="str">
        <f aca="false">IF(マスター!$Q$18="","",マスター!$Q$18)</f>
        <v/>
      </c>
      <c r="G50" s="35" t="str">
        <f aca="false">IF(F50="","",マスター!$R$18)</f>
        <v/>
      </c>
      <c r="H50" s="35" t="str">
        <f aca="false">IF(F50="","",COUNTIF(実績!$X$6:$X$505,F50))</f>
        <v/>
      </c>
      <c r="I50" s="35" t="str">
        <f aca="false">IF(F50="","",SUMIF(_計算!$C$1:$DR$1,F50,_計算!$C$4:$DR$4))</f>
        <v/>
      </c>
      <c r="M50" s="35" t="str">
        <f aca="false">IF(マスター!$O$34&lt;&gt;"○","",マスター!$K$34)</f>
        <v>竜海</v>
      </c>
      <c r="N50" s="35" t="str">
        <f aca="false">IF(M50="","",IF(マスター!$C$34="","未確認",マスター!$C$34))</f>
        <v>未確認</v>
      </c>
      <c r="O50" s="35" t="str">
        <f aca="false">IF(M50="","",マスター!$L$34)</f>
        <v>未確認</v>
      </c>
      <c r="P50" s="35" t="str">
        <f aca="false">IF(M50="","",IF(マスター!$D$34="通船・警戒船","対象外（通船・警戒船）",IF(COUNTIFS(入渠!$H$6:$H$55,M50,入渠!$G$6:$G$55,"○")&gt;0,"入渠中",IF(AND($O$9&lt;&gt;"",COUNTIFS(他港作業!$K$6:$K$55,M50,他港作業!$L$6:$L$55,"&lt;="&amp;$O$9,他港作業!$M$6:$M$55,"&gt;"&amp;$O$9)+COUNTIFS(他港作業!$K$6:$K$55,M50,他港作業!$L$6:$L$55,"&lt;="&amp;$O$9,他港作業!$E$6:$E$55,"")&gt;0),"他港作業中",IF(INDEX(_計算!$C$6:$DR$293,$P$9,29)=1,"作業中",IF(O50="未確認","未確認（会社未確認）",IF(OR(O50="製鉄曳船",O50="西日本海運"),IF(マスター!$F$34="○","供給可能（待機）","対象外（記号との対応未確認）"),IF(COUNTIFS(他社配置!$L$6:$L$55,M50,他社配置!$J$6:$J$55,"○",他社配置!$F$6:$F$55,"可")&gt;0,"供給可能（他社・対応可）",IF(COUNTIFS(他社配置!$L$6:$L$55,M50,他社配置!$J$6:$J$55,"○",他社配置!$F$6:$F$55,"不可")&gt;0,"対応不可","未確認（他社の対応可否が空欄）")))))))))</f>
        <v>未確認（会社未確認）</v>
      </c>
    </row>
    <row r="51" customFormat="false" ht="15" hidden="false" customHeight="false" outlineLevel="0" collapsed="false">
      <c r="B51" s="5" t="s">
        <v>524</v>
      </c>
      <c r="C51" s="35" t="n">
        <f aca="false">SUM(前日確定!$Q$26:$Q$45)</f>
        <v>6</v>
      </c>
      <c r="F51" s="35" t="str">
        <f aca="false">IF(マスター!$Q$19="","",マスター!$Q$19)</f>
        <v/>
      </c>
      <c r="G51" s="35" t="str">
        <f aca="false">IF(F51="","",マスター!$R$19)</f>
        <v/>
      </c>
      <c r="H51" s="35" t="str">
        <f aca="false">IF(F51="","",COUNTIF(実績!$X$6:$X$505,F51))</f>
        <v/>
      </c>
      <c r="I51" s="35" t="str">
        <f aca="false">IF(F51="","",SUMIF(_計算!$C$1:$DR$1,F51,_計算!$C$4:$DR$4))</f>
        <v/>
      </c>
      <c r="M51" s="35" t="str">
        <f aca="false">IF(マスター!$O$35&lt;&gt;"○","",マスター!$K$35)</f>
        <v>慶鳳丸</v>
      </c>
      <c r="N51" s="35" t="str">
        <f aca="false">IF(M51="","",IF(マスター!$C$35="","未確認",マスター!$C$35))</f>
        <v>未確認</v>
      </c>
      <c r="O51" s="35" t="str">
        <f aca="false">IF(M51="","",マスター!$L$35)</f>
        <v>未確認</v>
      </c>
      <c r="P51" s="35" t="str">
        <f aca="false">IF(M51="","",IF(マスター!$D$35="通船・警戒船","対象外（通船・警戒船）",IF(COUNTIFS(入渠!$H$6:$H$55,M51,入渠!$G$6:$G$55,"○")&gt;0,"入渠中",IF(AND($O$9&lt;&gt;"",COUNTIFS(他港作業!$K$6:$K$55,M51,他港作業!$L$6:$L$55,"&lt;="&amp;$O$9,他港作業!$M$6:$M$55,"&gt;"&amp;$O$9)+COUNTIFS(他港作業!$K$6:$K$55,M51,他港作業!$L$6:$L$55,"&lt;="&amp;$O$9,他港作業!$E$6:$E$55,"")&gt;0),"他港作業中",IF(INDEX(_計算!$C$6:$DR$293,$P$9,30)=1,"作業中",IF(O51="未確認","未確認（会社未確認）",IF(OR(O51="製鉄曳船",O51="西日本海運"),IF(マスター!$F$35="○","供給可能（待機）","対象外（記号との対応未確認）"),IF(COUNTIFS(他社配置!$L$6:$L$55,M51,他社配置!$J$6:$J$55,"○",他社配置!$F$6:$F$55,"可")&gt;0,"供給可能（他社・対応可）",IF(COUNTIFS(他社配置!$L$6:$L$55,M51,他社配置!$J$6:$J$55,"○",他社配置!$F$6:$F$55,"不可")&gt;0,"対応不可","未確認（他社の対応可否が空欄）")))))))))</f>
        <v>未確認（会社未確認）</v>
      </c>
    </row>
    <row r="52" customFormat="false" ht="15" hidden="false" customHeight="false" outlineLevel="0" collapsed="false">
      <c r="B52" s="5" t="s">
        <v>525</v>
      </c>
      <c r="C52" s="35" t="n">
        <f aca="false">IF(COUNTA(前日確定!$K$26:$P$45)=0,0,SUMPRODUCT((前日確定!$K$26:$P$45&lt;&gt;"")/COUNTIF(前日確定!$K$26:$P$45,前日確定!$K$26:$P$45&amp;"")))</f>
        <v>4</v>
      </c>
      <c r="F52" s="35" t="str">
        <f aca="false">IF(マスター!$Q$20="","",マスター!$Q$20)</f>
        <v/>
      </c>
      <c r="G52" s="35" t="str">
        <f aca="false">IF(F52="","",マスター!$R$20)</f>
        <v/>
      </c>
      <c r="H52" s="35" t="str">
        <f aca="false">IF(F52="","",COUNTIF(実績!$X$6:$X$505,F52))</f>
        <v/>
      </c>
      <c r="I52" s="35" t="str">
        <f aca="false">IF(F52="","",SUMIF(_計算!$C$1:$DR$1,F52,_計算!$C$4:$DR$4))</f>
        <v/>
      </c>
      <c r="M52" s="35" t="str">
        <f aca="false">IF(マスター!$O$36&lt;&gt;"○","",マスター!$K$36)</f>
        <v>秀豊</v>
      </c>
      <c r="N52" s="35" t="str">
        <f aca="false">IF(M52="","",IF(マスター!$C$36="","未確認",マスター!$C$36))</f>
        <v>未確認</v>
      </c>
      <c r="O52" s="35" t="str">
        <f aca="false">IF(M52="","",マスター!$L$36)</f>
        <v>未確認</v>
      </c>
      <c r="P52" s="35" t="str">
        <f aca="false">IF(M52="","",IF(マスター!$D$36="通船・警戒船","対象外（通船・警戒船）",IF(COUNTIFS(入渠!$H$6:$H$55,M52,入渠!$G$6:$G$55,"○")&gt;0,"入渠中",IF(AND($O$9&lt;&gt;"",COUNTIFS(他港作業!$K$6:$K$55,M52,他港作業!$L$6:$L$55,"&lt;="&amp;$O$9,他港作業!$M$6:$M$55,"&gt;"&amp;$O$9)+COUNTIFS(他港作業!$K$6:$K$55,M52,他港作業!$L$6:$L$55,"&lt;="&amp;$O$9,他港作業!$E$6:$E$55,"")&gt;0),"他港作業中",IF(INDEX(_計算!$C$6:$DR$293,$P$9,31)=1,"作業中",IF(O52="未確認","未確認（会社未確認）",IF(OR(O52="製鉄曳船",O52="西日本海運"),IF(マスター!$F$36="○","供給可能（待機）","対象外（記号との対応未確認）"),IF(COUNTIFS(他社配置!$L$6:$L$55,M52,他社配置!$J$6:$J$55,"○",他社配置!$F$6:$F$55,"可")&gt;0,"供給可能（他社・対応可）",IF(COUNTIFS(他社配置!$L$6:$L$55,M52,他社配置!$J$6:$J$55,"○",他社配置!$F$6:$F$55,"不可")&gt;0,"対応不可","未確認（他社の対応可否が空欄）")))))))))</f>
        <v>未確認（会社未確認）</v>
      </c>
    </row>
    <row r="53" customFormat="false" ht="15" hidden="false" customHeight="false" outlineLevel="0" collapsed="false">
      <c r="B53" s="5" t="s">
        <v>526</v>
      </c>
      <c r="C53" s="35" t="n">
        <f aca="false">前日確定!$C$22</f>
        <v>4</v>
      </c>
      <c r="F53" s="35" t="str">
        <f aca="false">IF(マスター!$Q$21="","",マスター!$Q$21)</f>
        <v/>
      </c>
      <c r="G53" s="35" t="str">
        <f aca="false">IF(F53="","",マスター!$R$21)</f>
        <v/>
      </c>
      <c r="H53" s="35" t="str">
        <f aca="false">IF(F53="","",COUNTIF(実績!$X$6:$X$505,F53))</f>
        <v/>
      </c>
      <c r="I53" s="35" t="str">
        <f aca="false">IF(F53="","",SUMIF(_計算!$C$1:$DR$1,F53,_計算!$C$4:$DR$4))</f>
        <v/>
      </c>
      <c r="M53" s="35" t="str">
        <f aca="false">IF(マスター!$O$37&lt;&gt;"○","",マスター!$K$37)</f>
        <v>秀豊丸</v>
      </c>
      <c r="N53" s="35" t="str">
        <f aca="false">IF(M53="","",IF(マスター!$C$37="","未確認",マスター!$C$37))</f>
        <v>未確認</v>
      </c>
      <c r="O53" s="35" t="str">
        <f aca="false">IF(M53="","",マスター!$L$37)</f>
        <v>未確認</v>
      </c>
      <c r="P53" s="35" t="str">
        <f aca="false">IF(M53="","",IF(マスター!$D$37="通船・警戒船","対象外（通船・警戒船）",IF(COUNTIFS(入渠!$H$6:$H$55,M53,入渠!$G$6:$G$55,"○")&gt;0,"入渠中",IF(AND($O$9&lt;&gt;"",COUNTIFS(他港作業!$K$6:$K$55,M53,他港作業!$L$6:$L$55,"&lt;="&amp;$O$9,他港作業!$M$6:$M$55,"&gt;"&amp;$O$9)+COUNTIFS(他港作業!$K$6:$K$55,M53,他港作業!$L$6:$L$55,"&lt;="&amp;$O$9,他港作業!$E$6:$E$55,"")&gt;0),"他港作業中",IF(INDEX(_計算!$C$6:$DR$293,$P$9,32)=1,"作業中",IF(O53="未確認","未確認（会社未確認）",IF(OR(O53="製鉄曳船",O53="西日本海運"),IF(マスター!$F$37="○","供給可能（待機）","対象外（記号との対応未確認）"),IF(COUNTIFS(他社配置!$L$6:$L$55,M53,他社配置!$J$6:$J$55,"○",他社配置!$F$6:$F$55,"可")&gt;0,"供給可能（他社・対応可）",IF(COUNTIFS(他社配置!$L$6:$L$55,M53,他社配置!$J$6:$J$55,"○",他社配置!$F$6:$F$55,"不可")&gt;0,"対応不可","未確認（他社の対応可否が空欄）")))))))))</f>
        <v>未確認（会社未確認）</v>
      </c>
    </row>
    <row r="54" customFormat="false" ht="15" hidden="false" customHeight="false" outlineLevel="0" collapsed="false">
      <c r="B54" s="5" t="s">
        <v>527</v>
      </c>
      <c r="C54" s="35" t="n">
        <f aca="false">前日確定!$C$23</f>
        <v>2</v>
      </c>
      <c r="D54" s="34" t="s">
        <v>528</v>
      </c>
      <c r="F54" s="35" t="str">
        <f aca="false">IF(マスター!$Q$22="","",マスター!$Q$22)</f>
        <v/>
      </c>
      <c r="G54" s="35" t="str">
        <f aca="false">IF(F54="","",マスター!$R$22)</f>
        <v/>
      </c>
      <c r="H54" s="35" t="str">
        <f aca="false">IF(F54="","",COUNTIF(実績!$X$6:$X$505,F54))</f>
        <v/>
      </c>
      <c r="I54" s="35" t="str">
        <f aca="false">IF(F54="","",SUMIF(_計算!$C$1:$DR$1,F54,_計算!$C$4:$DR$4))</f>
        <v/>
      </c>
      <c r="M54" s="35" t="str">
        <f aca="false">IF(マスター!$O$38&lt;&gt;"○","",マスター!$K$38)</f>
        <v>まんじゅ</v>
      </c>
      <c r="N54" s="35" t="str">
        <f aca="false">IF(M54="","",IF(マスター!$C$38="","未確認",マスター!$C$38))</f>
        <v>未確認</v>
      </c>
      <c r="O54" s="35" t="str">
        <f aca="false">IF(M54="","",マスター!$L$38)</f>
        <v>未確認</v>
      </c>
      <c r="P54" s="35" t="str">
        <f aca="false">IF(M54="","",IF(マスター!$D$38="通船・警戒船","対象外（通船・警戒船）",IF(COUNTIFS(入渠!$H$6:$H$55,M54,入渠!$G$6:$G$55,"○")&gt;0,"入渠中",IF(AND($O$9&lt;&gt;"",COUNTIFS(他港作業!$K$6:$K$55,M54,他港作業!$L$6:$L$55,"&lt;="&amp;$O$9,他港作業!$M$6:$M$55,"&gt;"&amp;$O$9)+COUNTIFS(他港作業!$K$6:$K$55,M54,他港作業!$L$6:$L$55,"&lt;="&amp;$O$9,他港作業!$E$6:$E$55,"")&gt;0),"他港作業中",IF(INDEX(_計算!$C$6:$DR$293,$P$9,33)=1,"作業中",IF(O54="未確認","未確認（会社未確認）",IF(OR(O54="製鉄曳船",O54="西日本海運"),IF(マスター!$F$38="○","供給可能（待機）","対象外（記号との対応未確認）"),IF(COUNTIFS(他社配置!$L$6:$L$55,M54,他社配置!$J$6:$J$55,"○",他社配置!$F$6:$F$55,"可")&gt;0,"供給可能（他社・対応可）",IF(COUNTIFS(他社配置!$L$6:$L$55,M54,他社配置!$J$6:$J$55,"○",他社配置!$F$6:$F$55,"不可")&gt;0,"対応不可","未確認（他社の対応可否が空欄）")))))))))</f>
        <v>未確認（会社未確認）</v>
      </c>
    </row>
    <row r="55" customFormat="false" ht="15" hidden="false" customHeight="false" outlineLevel="0" collapsed="false">
      <c r="B55" s="5" t="s">
        <v>529</v>
      </c>
      <c r="C55" s="35" t="n">
        <f aca="false">C10-C11</f>
        <v>0</v>
      </c>
      <c r="D55" s="34" t="s">
        <v>530</v>
      </c>
      <c r="F55" s="35" t="str">
        <f aca="false">IF(マスター!$Q$23="","",マスター!$Q$23)</f>
        <v/>
      </c>
      <c r="G55" s="35" t="str">
        <f aca="false">IF(F55="","",マスター!$R$23)</f>
        <v/>
      </c>
      <c r="H55" s="35" t="str">
        <f aca="false">IF(F55="","",COUNTIF(実績!$X$6:$X$505,F55))</f>
        <v/>
      </c>
      <c r="I55" s="35" t="str">
        <f aca="false">IF(F55="","",SUMIF(_計算!$C$1:$DR$1,F55,_計算!$C$4:$DR$4))</f>
        <v/>
      </c>
      <c r="M55" s="35" t="str">
        <f aca="false">IF(マスター!$O$39&lt;&gt;"○","",マスター!$K$39)</f>
        <v>せいじゅ</v>
      </c>
      <c r="N55" s="35" t="str">
        <f aca="false">IF(M55="","",IF(マスター!$C$39="","未確認",マスター!$C$39))</f>
        <v>未確認</v>
      </c>
      <c r="O55" s="35" t="str">
        <f aca="false">IF(M55="","",マスター!$L$39)</f>
        <v>未確認</v>
      </c>
      <c r="P55" s="35" t="str">
        <f aca="false">IF(M55="","",IF(マスター!$D$39="通船・警戒船","対象外（通船・警戒船）",IF(COUNTIFS(入渠!$H$6:$H$55,M55,入渠!$G$6:$G$55,"○")&gt;0,"入渠中",IF(AND($O$9&lt;&gt;"",COUNTIFS(他港作業!$K$6:$K$55,M55,他港作業!$L$6:$L$55,"&lt;="&amp;$O$9,他港作業!$M$6:$M$55,"&gt;"&amp;$O$9)+COUNTIFS(他港作業!$K$6:$K$55,M55,他港作業!$L$6:$L$55,"&lt;="&amp;$O$9,他港作業!$E$6:$E$55,"")&gt;0),"他港作業中",IF(INDEX(_計算!$C$6:$DR$293,$P$9,34)=1,"作業中",IF(O55="未確認","未確認（会社未確認）",IF(OR(O55="製鉄曳船",O55="西日本海運"),IF(マスター!$F$39="○","供給可能（待機）","対象外（記号との対応未確認）"),IF(COUNTIFS(他社配置!$L$6:$L$55,M55,他社配置!$J$6:$J$55,"○",他社配置!$F$6:$F$55,"可")&gt;0,"供給可能（他社・対応可）",IF(COUNTIFS(他社配置!$L$6:$L$55,M55,他社配置!$J$6:$J$55,"○",他社配置!$F$6:$F$55,"不可")&gt;0,"対応不可","未確認（他社の対応可否が空欄）")))))))))</f>
        <v>未確認（会社未確認）</v>
      </c>
    </row>
    <row r="56" customFormat="false" ht="15" hidden="false" customHeight="false" outlineLevel="0" collapsed="false">
      <c r="B56" s="5" t="s">
        <v>531</v>
      </c>
      <c r="C56" s="35" t="n">
        <f aca="false">C14</f>
        <v>0</v>
      </c>
      <c r="F56" s="35" t="str">
        <f aca="false">IF(マスター!$Q$24="","",マスター!$Q$24)</f>
        <v/>
      </c>
      <c r="G56" s="35" t="str">
        <f aca="false">IF(F56="","",マスター!$R$24)</f>
        <v/>
      </c>
      <c r="H56" s="35" t="str">
        <f aca="false">IF(F56="","",COUNTIF(実績!$X$6:$X$505,F56))</f>
        <v/>
      </c>
      <c r="I56" s="35" t="str">
        <f aca="false">IF(F56="","",SUMIF(_計算!$C$1:$DR$1,F56,_計算!$C$4:$DR$4))</f>
        <v/>
      </c>
      <c r="M56" s="35" t="str">
        <f aca="false">IF(マスター!$O$40&lt;&gt;"○","",マスター!$K$40)</f>
        <v/>
      </c>
      <c r="N56" s="35" t="str">
        <f aca="false">IF(M56="","",IF(マスター!$C$40="","未確認",マスター!$C$40))</f>
        <v/>
      </c>
      <c r="O56" s="35" t="str">
        <f aca="false">IF(M56="","",マスター!$L$40)</f>
        <v/>
      </c>
      <c r="P56" s="35" t="str">
        <f aca="false">IF(M56="","",IF(マスター!$D$40="通船・警戒船","対象外（通船・警戒船）",IF(COUNTIFS(入渠!$H$6:$H$55,M56,入渠!$G$6:$G$55,"○")&gt;0,"入渠中",IF(AND($O$9&lt;&gt;"",COUNTIFS(他港作業!$K$6:$K$55,M56,他港作業!$L$6:$L$55,"&lt;="&amp;$O$9,他港作業!$M$6:$M$55,"&gt;"&amp;$O$9)+COUNTIFS(他港作業!$K$6:$K$55,M56,他港作業!$L$6:$L$55,"&lt;="&amp;$O$9,他港作業!$E$6:$E$55,"")&gt;0),"他港作業中",IF(INDEX(_計算!$C$6:$DR$293,$P$9,35)=1,"作業中",IF(O56="未確認","未確認（会社未確認）",IF(OR(O56="製鉄曳船",O56="西日本海運"),IF(マスター!$F$40="○","供給可能（待機）","対象外（記号との対応未確認）"),IF(COUNTIFS(他社配置!$L$6:$L$55,M56,他社配置!$J$6:$J$55,"○",他社配置!$F$6:$F$55,"可")&gt;0,"供給可能（他社・対応可）",IF(COUNTIFS(他社配置!$L$6:$L$55,M56,他社配置!$J$6:$J$55,"○",他社配置!$F$6:$F$55,"不可")&gt;0,"対応不可","未確認（他社の対応可否が空欄）")))))))))</f>
        <v/>
      </c>
    </row>
    <row r="57" customFormat="false" ht="15" hidden="false" customHeight="false" outlineLevel="0" collapsed="false">
      <c r="B57" s="5" t="s">
        <v>532</v>
      </c>
      <c r="C57" s="35" t="s">
        <v>533</v>
      </c>
      <c r="D57" s="34" t="s">
        <v>534</v>
      </c>
      <c r="F57" s="35" t="str">
        <f aca="false">IF(マスター!$Q$25="","",マスター!$Q$25)</f>
        <v/>
      </c>
      <c r="G57" s="35" t="str">
        <f aca="false">IF(F57="","",マスター!$R$25)</f>
        <v/>
      </c>
      <c r="H57" s="35" t="str">
        <f aca="false">IF(F57="","",COUNTIF(実績!$X$6:$X$505,F57))</f>
        <v/>
      </c>
      <c r="I57" s="35" t="str">
        <f aca="false">IF(F57="","",SUMIF(_計算!$C$1:$DR$1,F57,_計算!$C$4:$DR$4))</f>
        <v/>
      </c>
      <c r="M57" s="35" t="str">
        <f aca="false">IF(マスター!$O$41&lt;&gt;"○","",マスター!$K$41)</f>
        <v/>
      </c>
      <c r="N57" s="35" t="str">
        <f aca="false">IF(M57="","",IF(マスター!$C$41="","未確認",マスター!$C$41))</f>
        <v/>
      </c>
      <c r="O57" s="35" t="str">
        <f aca="false">IF(M57="","",マスター!$L$41)</f>
        <v/>
      </c>
      <c r="P57" s="35" t="str">
        <f aca="false">IF(M57="","",IF(マスター!$D$41="通船・警戒船","対象外（通船・警戒船）",IF(COUNTIFS(入渠!$H$6:$H$55,M57,入渠!$G$6:$G$55,"○")&gt;0,"入渠中",IF(AND($O$9&lt;&gt;"",COUNTIFS(他港作業!$K$6:$K$55,M57,他港作業!$L$6:$L$55,"&lt;="&amp;$O$9,他港作業!$M$6:$M$55,"&gt;"&amp;$O$9)+COUNTIFS(他港作業!$K$6:$K$55,M57,他港作業!$L$6:$L$55,"&lt;="&amp;$O$9,他港作業!$E$6:$E$55,"")&gt;0),"他港作業中",IF(INDEX(_計算!$C$6:$DR$293,$P$9,36)=1,"作業中",IF(O57="未確認","未確認（会社未確認）",IF(OR(O57="製鉄曳船",O57="西日本海運"),IF(マスター!$F$41="○","供給可能（待機）","対象外（記号との対応未確認）"),IF(COUNTIFS(他社配置!$L$6:$L$55,M57,他社配置!$J$6:$J$55,"○",他社配置!$F$6:$F$55,"可")&gt;0,"供給可能（他社・対応可）",IF(COUNTIFS(他社配置!$L$6:$L$55,M57,他社配置!$J$6:$J$55,"○",他社配置!$F$6:$F$55,"不可")&gt;0,"対応不可","未確認（他社の対応可否が空欄）")))))))))</f>
        <v/>
      </c>
    </row>
    <row r="58" customFormat="false" ht="15" hidden="false" customHeight="false" outlineLevel="0" collapsed="false">
      <c r="F58" s="35" t="str">
        <f aca="false">IF(マスター!$Q$26="","",マスター!$Q$26)</f>
        <v/>
      </c>
      <c r="G58" s="35" t="str">
        <f aca="false">IF(F58="","",マスター!$R$26)</f>
        <v/>
      </c>
      <c r="H58" s="35" t="str">
        <f aca="false">IF(F58="","",COUNTIF(実績!$X$6:$X$505,F58))</f>
        <v/>
      </c>
      <c r="I58" s="35" t="str">
        <f aca="false">IF(F58="","",SUMIF(_計算!$C$1:$DR$1,F58,_計算!$C$4:$DR$4))</f>
        <v/>
      </c>
      <c r="M58" s="35" t="str">
        <f aca="false">IF(マスター!$O$42&lt;&gt;"○","",マスター!$K$42)</f>
        <v/>
      </c>
      <c r="N58" s="35" t="str">
        <f aca="false">IF(M58="","",IF(マスター!$C$42="","未確認",マスター!$C$42))</f>
        <v/>
      </c>
      <c r="O58" s="35" t="str">
        <f aca="false">IF(M58="","",マスター!$L$42)</f>
        <v/>
      </c>
      <c r="P58" s="35" t="str">
        <f aca="false">IF(M58="","",IF(マスター!$D$42="通船・警戒船","対象外（通船・警戒船）",IF(COUNTIFS(入渠!$H$6:$H$55,M58,入渠!$G$6:$G$55,"○")&gt;0,"入渠中",IF(AND($O$9&lt;&gt;"",COUNTIFS(他港作業!$K$6:$K$55,M58,他港作業!$L$6:$L$55,"&lt;="&amp;$O$9,他港作業!$M$6:$M$55,"&gt;"&amp;$O$9)+COUNTIFS(他港作業!$K$6:$K$55,M58,他港作業!$L$6:$L$55,"&lt;="&amp;$O$9,他港作業!$E$6:$E$55,"")&gt;0),"他港作業中",IF(INDEX(_計算!$C$6:$DR$293,$P$9,37)=1,"作業中",IF(O58="未確認","未確認（会社未確認）",IF(OR(O58="製鉄曳船",O58="西日本海運"),IF(マスター!$F$42="○","供給可能（待機）","対象外（記号との対応未確認）"),IF(COUNTIFS(他社配置!$L$6:$L$55,M58,他社配置!$J$6:$J$55,"○",他社配置!$F$6:$F$55,"可")&gt;0,"供給可能（他社・対応可）",IF(COUNTIFS(他社配置!$L$6:$L$55,M58,他社配置!$J$6:$J$55,"○",他社配置!$F$6:$F$55,"不可")&gt;0,"対応不可","未確認（他社の対応可否が空欄）")))))))))</f>
        <v/>
      </c>
    </row>
    <row r="59" customFormat="false" ht="15" hidden="false" customHeight="false" outlineLevel="0" collapsed="false">
      <c r="B59" s="17" t="s">
        <v>535</v>
      </c>
      <c r="F59" s="35" t="str">
        <f aca="false">IF(マスター!$Q$27="","",マスター!$Q$27)</f>
        <v/>
      </c>
      <c r="G59" s="35" t="str">
        <f aca="false">IF(F59="","",マスター!$R$27)</f>
        <v/>
      </c>
      <c r="H59" s="35" t="str">
        <f aca="false">IF(F59="","",COUNTIF(実績!$X$6:$X$505,F59))</f>
        <v/>
      </c>
      <c r="I59" s="35" t="str">
        <f aca="false">IF(F59="","",SUMIF(_計算!$C$1:$DR$1,F59,_計算!$C$4:$DR$4))</f>
        <v/>
      </c>
      <c r="M59" s="35" t="str">
        <f aca="false">IF(マスター!$O$43&lt;&gt;"○","",マスター!$K$43)</f>
        <v/>
      </c>
      <c r="N59" s="35" t="str">
        <f aca="false">IF(M59="","",IF(マスター!$C$43="","未確認",マスター!$C$43))</f>
        <v/>
      </c>
      <c r="O59" s="35" t="str">
        <f aca="false">IF(M59="","",マスター!$L$43)</f>
        <v/>
      </c>
      <c r="P59" s="35" t="str">
        <f aca="false">IF(M59="","",IF(マスター!$D$43="通船・警戒船","対象外（通船・警戒船）",IF(COUNTIFS(入渠!$H$6:$H$55,M59,入渠!$G$6:$G$55,"○")&gt;0,"入渠中",IF(AND($O$9&lt;&gt;"",COUNTIFS(他港作業!$K$6:$K$55,M59,他港作業!$L$6:$L$55,"&lt;="&amp;$O$9,他港作業!$M$6:$M$55,"&gt;"&amp;$O$9)+COUNTIFS(他港作業!$K$6:$K$55,M59,他港作業!$L$6:$L$55,"&lt;="&amp;$O$9,他港作業!$E$6:$E$55,"")&gt;0),"他港作業中",IF(INDEX(_計算!$C$6:$DR$293,$P$9,38)=1,"作業中",IF(O59="未確認","未確認（会社未確認）",IF(OR(O59="製鉄曳船",O59="西日本海運"),IF(マスター!$F$43="○","供給可能（待機）","対象外（記号との対応未確認）"),IF(COUNTIFS(他社配置!$L$6:$L$55,M59,他社配置!$J$6:$J$55,"○",他社配置!$F$6:$F$55,"可")&gt;0,"供給可能（他社・対応可）",IF(COUNTIFS(他社配置!$L$6:$L$55,M59,他社配置!$J$6:$J$55,"○",他社配置!$F$6:$F$55,"不可")&gt;0,"対応不可","未確認（他社の対応可否が空欄）")))))))))</f>
        <v/>
      </c>
    </row>
    <row r="60" customFormat="false" ht="15" hidden="false" customHeight="false" outlineLevel="0" collapsed="false">
      <c r="B60" s="5" t="s">
        <v>536</v>
      </c>
      <c r="C60" s="35" t="str">
        <f aca="false">IFERROR(IF(INDEX(変更・キャンセル!$B$7:$B$11,MATCH(C5,変更・キャンセル!$A$7:$A$11,0))="","未確認",INDEX(変更・キャンセル!$B$7:$B$11,MATCH(C5,変更・キャンセル!$A$7:$A$11,0))),"未入力（未確認）")</f>
        <v>変更あり（下の表に入力）</v>
      </c>
      <c r="F60" s="35" t="str">
        <f aca="false">IF(マスター!$Q$28="","",マスター!$Q$28)</f>
        <v/>
      </c>
      <c r="G60" s="35" t="str">
        <f aca="false">IF(F60="","",マスター!$R$28)</f>
        <v/>
      </c>
      <c r="H60" s="35" t="str">
        <f aca="false">IF(F60="","",COUNTIF(実績!$X$6:$X$505,F60))</f>
        <v/>
      </c>
      <c r="I60" s="35" t="str">
        <f aca="false">IF(F60="","",SUMIF(_計算!$C$1:$DR$1,F60,_計算!$C$4:$DR$4))</f>
        <v/>
      </c>
      <c r="M60" s="35" t="str">
        <f aca="false">IF(マスター!$O$44&lt;&gt;"○","",マスター!$K$44)</f>
        <v/>
      </c>
      <c r="N60" s="35" t="str">
        <f aca="false">IF(M60="","",IF(マスター!$C$44="","未確認",マスター!$C$44))</f>
        <v/>
      </c>
      <c r="O60" s="35" t="str">
        <f aca="false">IF(M60="","",マスター!$L$44)</f>
        <v/>
      </c>
      <c r="P60" s="35" t="str">
        <f aca="false">IF(M60="","",IF(マスター!$D$44="通船・警戒船","対象外（通船・警戒船）",IF(COUNTIFS(入渠!$H$6:$H$55,M60,入渠!$G$6:$G$55,"○")&gt;0,"入渠中",IF(AND($O$9&lt;&gt;"",COUNTIFS(他港作業!$K$6:$K$55,M60,他港作業!$L$6:$L$55,"&lt;="&amp;$O$9,他港作業!$M$6:$M$55,"&gt;"&amp;$O$9)+COUNTIFS(他港作業!$K$6:$K$55,M60,他港作業!$L$6:$L$55,"&lt;="&amp;$O$9,他港作業!$E$6:$E$55,"")&gt;0),"他港作業中",IF(INDEX(_計算!$C$6:$DR$293,$P$9,39)=1,"作業中",IF(O60="未確認","未確認（会社未確認）",IF(OR(O60="製鉄曳船",O60="西日本海運"),IF(マスター!$F$44="○","供給可能（待機）","対象外（記号との対応未確認）"),IF(COUNTIFS(他社配置!$L$6:$L$55,M60,他社配置!$J$6:$J$55,"○",他社配置!$F$6:$F$55,"可")&gt;0,"供給可能（他社・対応可）",IF(COUNTIFS(他社配置!$L$6:$L$55,M60,他社配置!$J$6:$J$55,"○",他社配置!$F$6:$F$55,"不可")&gt;0,"対応不可","未確認（他社の対応可否が空欄）")))))))))</f>
        <v/>
      </c>
    </row>
    <row r="61" customFormat="false" ht="15" hidden="false" customHeight="false" outlineLevel="0" collapsed="false">
      <c r="B61" s="5" t="s">
        <v>537</v>
      </c>
      <c r="C61" s="35" t="str">
        <f aca="false">IFERROR(IF(INDEX(変更・キャンセル!$C$7:$C$11,MATCH(C5,変更・キャンセル!$A$7:$A$11,0))="○","○",""),"")</f>
        <v>○</v>
      </c>
      <c r="F61" s="35" t="str">
        <f aca="false">IF(マスター!$Q$29="","",マスター!$Q$29)</f>
        <v/>
      </c>
      <c r="G61" s="35" t="str">
        <f aca="false">IF(F61="","",マスター!$R$29)</f>
        <v/>
      </c>
      <c r="H61" s="35" t="str">
        <f aca="false">IF(F61="","",COUNTIF(実績!$X$6:$X$505,F61))</f>
        <v/>
      </c>
      <c r="I61" s="35" t="str">
        <f aca="false">IF(F61="","",SUMIF(_計算!$C$1:$DR$1,F61,_計算!$C$4:$DR$4))</f>
        <v/>
      </c>
      <c r="M61" s="35" t="str">
        <f aca="false">IF(マスター!$O$45&lt;&gt;"○","",マスター!$K$45)</f>
        <v/>
      </c>
      <c r="N61" s="35" t="str">
        <f aca="false">IF(M61="","",IF(マスター!$C$45="","未確認",マスター!$C$45))</f>
        <v/>
      </c>
      <c r="O61" s="35" t="str">
        <f aca="false">IF(M61="","",マスター!$L$45)</f>
        <v/>
      </c>
      <c r="P61" s="35" t="str">
        <f aca="false">IF(M61="","",IF(マスター!$D$45="通船・警戒船","対象外（通船・警戒船）",IF(COUNTIFS(入渠!$H$6:$H$55,M61,入渠!$G$6:$G$55,"○")&gt;0,"入渠中",IF(AND($O$9&lt;&gt;"",COUNTIFS(他港作業!$K$6:$K$55,M61,他港作業!$L$6:$L$55,"&lt;="&amp;$O$9,他港作業!$M$6:$M$55,"&gt;"&amp;$O$9)+COUNTIFS(他港作業!$K$6:$K$55,M61,他港作業!$L$6:$L$55,"&lt;="&amp;$O$9,他港作業!$E$6:$E$55,"")&gt;0),"他港作業中",IF(INDEX(_計算!$C$6:$DR$293,$P$9,40)=1,"作業中",IF(O61="未確認","未確認（会社未確認）",IF(OR(O61="製鉄曳船",O61="西日本海運"),IF(マスター!$F$45="○","供給可能（待機）","対象外（記号との対応未確認）"),IF(COUNTIFS(他社配置!$L$6:$L$55,M61,他社配置!$J$6:$J$55,"○",他社配置!$F$6:$F$55,"可")&gt;0,"供給可能（他社・対応可）",IF(COUNTIFS(他社配置!$L$6:$L$55,M61,他社配置!$J$6:$J$55,"○",他社配置!$F$6:$F$55,"不可")&gt;0,"対応不可","未確認（他社の対応可否が空欄）")))))))))</f>
        <v/>
      </c>
    </row>
    <row r="62" customFormat="false" ht="15" hidden="false" customHeight="false" outlineLevel="0" collapsed="false">
      <c r="B62" s="5" t="s">
        <v>538</v>
      </c>
      <c r="C62" s="35" t="n">
        <f aca="false">COUNTA(変更・キャンセル!$A$26:$A$85)</f>
        <v>2</v>
      </c>
      <c r="F62" s="35" t="str">
        <f aca="false">IF(マスター!$Q$30="","",マスター!$Q$30)</f>
        <v/>
      </c>
      <c r="G62" s="35" t="str">
        <f aca="false">IF(F62="","",マスター!$R$30)</f>
        <v/>
      </c>
      <c r="H62" s="35" t="str">
        <f aca="false">IF(F62="","",COUNTIF(実績!$X$6:$X$505,F62))</f>
        <v/>
      </c>
      <c r="I62" s="35" t="str">
        <f aca="false">IF(F62="","",SUMIF(_計算!$C$1:$DR$1,F62,_計算!$C$4:$DR$4))</f>
        <v/>
      </c>
      <c r="M62" s="35" t="str">
        <f aca="false">IF(マスター!$O$46&lt;&gt;"○","",マスター!$K$46)</f>
        <v/>
      </c>
      <c r="N62" s="35" t="str">
        <f aca="false">IF(M62="","",IF(マスター!$C$46="","未確認",マスター!$C$46))</f>
        <v/>
      </c>
      <c r="O62" s="35" t="str">
        <f aca="false">IF(M62="","",マスター!$L$46)</f>
        <v/>
      </c>
      <c r="P62" s="35" t="str">
        <f aca="false">IF(M62="","",IF(マスター!$D$46="通船・警戒船","対象外（通船・警戒船）",IF(COUNTIFS(入渠!$H$6:$H$55,M62,入渠!$G$6:$G$55,"○")&gt;0,"入渠中",IF(AND($O$9&lt;&gt;"",COUNTIFS(他港作業!$K$6:$K$55,M62,他港作業!$L$6:$L$55,"&lt;="&amp;$O$9,他港作業!$M$6:$M$55,"&gt;"&amp;$O$9)+COUNTIFS(他港作業!$K$6:$K$55,M62,他港作業!$L$6:$L$55,"&lt;="&amp;$O$9,他港作業!$E$6:$E$55,"")&gt;0),"他港作業中",IF(INDEX(_計算!$C$6:$DR$293,$P$9,41)=1,"作業中",IF(O62="未確認","未確認（会社未確認）",IF(OR(O62="製鉄曳船",O62="西日本海運"),IF(マスター!$F$46="○","供給可能（待機）","対象外（記号との対応未確認）"),IF(COUNTIFS(他社配置!$L$6:$L$55,M62,他社配置!$J$6:$J$55,"○",他社配置!$F$6:$F$55,"可")&gt;0,"供給可能（他社・対応可）",IF(COUNTIFS(他社配置!$L$6:$L$55,M62,他社配置!$J$6:$J$55,"○",他社配置!$F$6:$F$55,"不可")&gt;0,"対応不可","未確認（他社の対応可否が空欄）")))))))))</f>
        <v/>
      </c>
    </row>
    <row r="63" customFormat="false" ht="15" hidden="false" customHeight="false" outlineLevel="0" collapsed="false">
      <c r="B63" s="5" t="s">
        <v>539</v>
      </c>
      <c r="C63" s="35" t="n">
        <f aca="false">SUMPRODUCT((変更・キャンセル!$B$26:$B$85&lt;&gt;"")/COUNTIF(変更・キャンセル!$B$26:$B$85,変更・キャンセル!$B$26:$B$85&amp;""))</f>
        <v>2</v>
      </c>
      <c r="F63" s="35" t="str">
        <f aca="false">IF(マスター!$Q$31="","",マスター!$Q$31)</f>
        <v/>
      </c>
      <c r="G63" s="35" t="str">
        <f aca="false">IF(F63="","",マスター!$R$31)</f>
        <v/>
      </c>
      <c r="H63" s="35" t="str">
        <f aca="false">IF(F63="","",COUNTIF(実績!$X$6:$X$505,F63))</f>
        <v/>
      </c>
      <c r="I63" s="35" t="str">
        <f aca="false">IF(F63="","",SUMIF(_計算!$C$1:$DR$1,F63,_計算!$C$4:$DR$4))</f>
        <v/>
      </c>
      <c r="M63" s="35" t="str">
        <f aca="false">IF(マスター!$O$47&lt;&gt;"○","",マスター!$K$47)</f>
        <v/>
      </c>
      <c r="N63" s="35" t="str">
        <f aca="false">IF(M63="","",IF(マスター!$C$47="","未確認",マスター!$C$47))</f>
        <v/>
      </c>
      <c r="O63" s="35" t="str">
        <f aca="false">IF(M63="","",マスター!$L$47)</f>
        <v/>
      </c>
      <c r="P63" s="35" t="str">
        <f aca="false">IF(M63="","",IF(マスター!$D$47="通船・警戒船","対象外（通船・警戒船）",IF(COUNTIFS(入渠!$H$6:$H$55,M63,入渠!$G$6:$G$55,"○")&gt;0,"入渠中",IF(AND($O$9&lt;&gt;"",COUNTIFS(他港作業!$K$6:$K$55,M63,他港作業!$L$6:$L$55,"&lt;="&amp;$O$9,他港作業!$M$6:$M$55,"&gt;"&amp;$O$9)+COUNTIFS(他港作業!$K$6:$K$55,M63,他港作業!$L$6:$L$55,"&lt;="&amp;$O$9,他港作業!$E$6:$E$55,"")&gt;0),"他港作業中",IF(INDEX(_計算!$C$6:$DR$293,$P$9,42)=1,"作業中",IF(O63="未確認","未確認（会社未確認）",IF(OR(O63="製鉄曳船",O63="西日本海運"),IF(マスター!$F$47="○","供給可能（待機）","対象外（記号との対応未確認）"),IF(COUNTIFS(他社配置!$L$6:$L$55,M63,他社配置!$J$6:$J$55,"○",他社配置!$F$6:$F$55,"可")&gt;0,"供給可能（他社・対応可）",IF(COUNTIFS(他社配置!$L$6:$L$55,M63,他社配置!$J$6:$J$55,"○",他社配置!$F$6:$F$55,"不可")&gt;0,"対応不可","未確認（他社の対応可否が空欄）")))))))))</f>
        <v/>
      </c>
    </row>
    <row r="64" customFormat="false" ht="15" hidden="false" customHeight="false" outlineLevel="0" collapsed="false">
      <c r="B64" s="5" t="s">
        <v>540</v>
      </c>
      <c r="C64" s="35" t="n">
        <f aca="false">COUNTIF(前日確定!$W$26:$W$45,"○")</f>
        <v>2</v>
      </c>
      <c r="F64" s="35" t="str">
        <f aca="false">IF(マスター!$Q$32="","",マスター!$Q$32)</f>
        <v/>
      </c>
      <c r="G64" s="35" t="str">
        <f aca="false">IF(F64="","",マスター!$R$32)</f>
        <v/>
      </c>
      <c r="H64" s="35" t="str">
        <f aca="false">IF(F64="","",COUNTIF(実績!$X$6:$X$505,F64))</f>
        <v/>
      </c>
      <c r="I64" s="35" t="str">
        <f aca="false">IF(F64="","",SUMIF(_計算!$C$1:$DR$1,F64,_計算!$C$4:$DR$4))</f>
        <v/>
      </c>
      <c r="M64" s="35" t="str">
        <f aca="false">IF(マスター!$O$48&lt;&gt;"○","",マスター!$K$48)</f>
        <v/>
      </c>
      <c r="N64" s="35" t="str">
        <f aca="false">IF(M64="","",IF(マスター!$C$48="","未確認",マスター!$C$48))</f>
        <v/>
      </c>
      <c r="O64" s="35" t="str">
        <f aca="false">IF(M64="","",マスター!$L$48)</f>
        <v/>
      </c>
      <c r="P64" s="35" t="str">
        <f aca="false">IF(M64="","",IF(マスター!$D$48="通船・警戒船","対象外（通船・警戒船）",IF(COUNTIFS(入渠!$H$6:$H$55,M64,入渠!$G$6:$G$55,"○")&gt;0,"入渠中",IF(AND($O$9&lt;&gt;"",COUNTIFS(他港作業!$K$6:$K$55,M64,他港作業!$L$6:$L$55,"&lt;="&amp;$O$9,他港作業!$M$6:$M$55,"&gt;"&amp;$O$9)+COUNTIFS(他港作業!$K$6:$K$55,M64,他港作業!$L$6:$L$55,"&lt;="&amp;$O$9,他港作業!$E$6:$E$55,"")&gt;0),"他港作業中",IF(INDEX(_計算!$C$6:$DR$293,$P$9,43)=1,"作業中",IF(O64="未確認","未確認（会社未確認）",IF(OR(O64="製鉄曳船",O64="西日本海運"),IF(マスター!$F$48="○","供給可能（待機）","対象外（記号との対応未確認）"),IF(COUNTIFS(他社配置!$L$6:$L$55,M64,他社配置!$J$6:$J$55,"○",他社配置!$F$6:$F$55,"可")&gt;0,"供給可能（他社・対応可）",IF(COUNTIFS(他社配置!$L$6:$L$55,M64,他社配置!$J$6:$J$55,"○",他社配置!$F$6:$F$55,"不可")&gt;0,"対応不可","未確認（他社の対応可否が空欄）")))))))))</f>
        <v/>
      </c>
    </row>
    <row r="65" customFormat="false" ht="15" hidden="false" customHeight="false" outlineLevel="0" collapsed="false">
      <c r="B65" s="5" t="s">
        <v>541</v>
      </c>
      <c r="C65" s="35" t="n">
        <f aca="false">COUNTIFS(変更・キャンセル!$R$26:$R$85,"○",変更・キャンセル!$S$26:$S$85,"当日・基地発後")</f>
        <v>0</v>
      </c>
      <c r="D65" s="34" t="s">
        <v>542</v>
      </c>
      <c r="F65" s="35" t="str">
        <f aca="false">IF(マスター!$Q$33="","",マスター!$Q$33)</f>
        <v/>
      </c>
      <c r="G65" s="35" t="str">
        <f aca="false">IF(F65="","",マスター!$R$33)</f>
        <v/>
      </c>
      <c r="H65" s="35" t="str">
        <f aca="false">IF(F65="","",COUNTIF(実績!$X$6:$X$505,F65))</f>
        <v/>
      </c>
      <c r="I65" s="35" t="str">
        <f aca="false">IF(F65="","",SUMIF(_計算!$C$1:$DR$1,F65,_計算!$C$4:$DR$4))</f>
        <v/>
      </c>
      <c r="M65" s="35" t="str">
        <f aca="false">IF(マスター!$O$49&lt;&gt;"○","",マスター!$K$49)</f>
        <v/>
      </c>
      <c r="N65" s="35" t="str">
        <f aca="false">IF(M65="","",IF(マスター!$C$49="","未確認",マスター!$C$49))</f>
        <v/>
      </c>
      <c r="O65" s="35" t="str">
        <f aca="false">IF(M65="","",マスター!$L$49)</f>
        <v/>
      </c>
      <c r="P65" s="35" t="str">
        <f aca="false">IF(M65="","",IF(マスター!$D$49="通船・警戒船","対象外（通船・警戒船）",IF(COUNTIFS(入渠!$H$6:$H$55,M65,入渠!$G$6:$G$55,"○")&gt;0,"入渠中",IF(AND($O$9&lt;&gt;"",COUNTIFS(他港作業!$K$6:$K$55,M65,他港作業!$L$6:$L$55,"&lt;="&amp;$O$9,他港作業!$M$6:$M$55,"&gt;"&amp;$O$9)+COUNTIFS(他港作業!$K$6:$K$55,M65,他港作業!$L$6:$L$55,"&lt;="&amp;$O$9,他港作業!$E$6:$E$55,"")&gt;0),"他港作業中",IF(INDEX(_計算!$C$6:$DR$293,$P$9,44)=1,"作業中",IF(O65="未確認","未確認（会社未確認）",IF(OR(O65="製鉄曳船",O65="西日本海運"),IF(マスター!$F$49="○","供給可能（待機）","対象外（記号との対応未確認）"),IF(COUNTIFS(他社配置!$L$6:$L$55,M65,他社配置!$J$6:$J$55,"○",他社配置!$F$6:$F$55,"可")&gt;0,"供給可能（他社・対応可）",IF(COUNTIFS(他社配置!$L$6:$L$55,M65,他社配置!$J$6:$J$55,"○",他社配置!$F$6:$F$55,"不可")&gt;0,"対応不可","未確認（他社の対応可否が空欄）")))))))))</f>
        <v/>
      </c>
    </row>
    <row r="66" customFormat="false" ht="15" hidden="false" customHeight="false" outlineLevel="0" collapsed="false">
      <c r="B66" s="5" t="s">
        <v>543</v>
      </c>
      <c r="C66" s="35" t="n">
        <f aca="false">COUNTIF(変更・キャンセル!$V$26:$V$85,"あり")</f>
        <v>0</v>
      </c>
      <c r="F66" s="35" t="str">
        <f aca="false">IF(マスター!$Q$34="","",マスター!$Q$34)</f>
        <v/>
      </c>
      <c r="G66" s="35" t="str">
        <f aca="false">IF(F66="","",マスター!$R$34)</f>
        <v/>
      </c>
      <c r="H66" s="35" t="str">
        <f aca="false">IF(F66="","",COUNTIF(実績!$X$6:$X$505,F66))</f>
        <v/>
      </c>
      <c r="I66" s="35" t="str">
        <f aca="false">IF(F66="","",SUMIF(_計算!$C$1:$DR$1,F66,_計算!$C$4:$DR$4))</f>
        <v/>
      </c>
      <c r="M66" s="35" t="str">
        <f aca="false">IF(マスター!$O$50&lt;&gt;"○","",マスター!$K$50)</f>
        <v/>
      </c>
      <c r="N66" s="35" t="str">
        <f aca="false">IF(M66="","",IF(マスター!$C$50="","未確認",マスター!$C$50))</f>
        <v/>
      </c>
      <c r="O66" s="35" t="str">
        <f aca="false">IF(M66="","",マスター!$L$50)</f>
        <v/>
      </c>
      <c r="P66" s="35" t="str">
        <f aca="false">IF(M66="","",IF(マスター!$D$50="通船・警戒船","対象外（通船・警戒船）",IF(COUNTIFS(入渠!$H$6:$H$55,M66,入渠!$G$6:$G$55,"○")&gt;0,"入渠中",IF(AND($O$9&lt;&gt;"",COUNTIFS(他港作業!$K$6:$K$55,M66,他港作業!$L$6:$L$55,"&lt;="&amp;$O$9,他港作業!$M$6:$M$55,"&gt;"&amp;$O$9)+COUNTIFS(他港作業!$K$6:$K$55,M66,他港作業!$L$6:$L$55,"&lt;="&amp;$O$9,他港作業!$E$6:$E$55,"")&gt;0),"他港作業中",IF(INDEX(_計算!$C$6:$DR$293,$P$9,45)=1,"作業中",IF(O66="未確認","未確認（会社未確認）",IF(OR(O66="製鉄曳船",O66="西日本海運"),IF(マスター!$F$50="○","供給可能（待機）","対象外（記号との対応未確認）"),IF(COUNTIFS(他社配置!$L$6:$L$55,M66,他社配置!$J$6:$J$55,"○",他社配置!$F$6:$F$55,"可")&gt;0,"供給可能（他社・対応可）",IF(COUNTIFS(他社配置!$L$6:$L$55,M66,他社配置!$J$6:$J$55,"○",他社配置!$F$6:$F$55,"不可")&gt;0,"対応不可","未確認（他社の対応可否が空欄）")))))))))</f>
        <v/>
      </c>
    </row>
    <row r="67" customFormat="false" ht="15" hidden="false" customHeight="false" outlineLevel="0" collapsed="false">
      <c r="B67" s="5" t="s">
        <v>544</v>
      </c>
      <c r="C67" s="35" t="n">
        <f aca="false">COUNTA(変更・キャンセル!$A$15:$A$22)-COUNTIF(変更・キャンセル!$H$15:$H$22,"同一呼出*")</f>
        <v>0</v>
      </c>
      <c r="D67" s="34" t="s">
        <v>545</v>
      </c>
      <c r="F67" s="35" t="str">
        <f aca="false">IF(マスター!$Q$35="","",マスター!$Q$35)</f>
        <v/>
      </c>
      <c r="G67" s="35" t="str">
        <f aca="false">IF(F67="","",マスター!$R$35)</f>
        <v/>
      </c>
      <c r="H67" s="35" t="str">
        <f aca="false">IF(F67="","",COUNTIF(実績!$X$6:$X$505,F67))</f>
        <v/>
      </c>
      <c r="I67" s="35" t="str">
        <f aca="false">IF(F67="","",SUMIF(_計算!$C$1:$DR$1,F67,_計算!$C$4:$DR$4))</f>
        <v/>
      </c>
      <c r="M67" s="35" t="str">
        <f aca="false">IF(マスター!$O$51&lt;&gt;"○","",マスター!$K$51)</f>
        <v/>
      </c>
      <c r="N67" s="35" t="str">
        <f aca="false">IF(M67="","",IF(マスター!$C$51="","未確認",マスター!$C$51))</f>
        <v/>
      </c>
      <c r="O67" s="35" t="str">
        <f aca="false">IF(M67="","",マスター!$L$51)</f>
        <v/>
      </c>
      <c r="P67" s="35" t="str">
        <f aca="false">IF(M67="","",IF(マスター!$D$51="通船・警戒船","対象外（通船・警戒船）",IF(COUNTIFS(入渠!$H$6:$H$55,M67,入渠!$G$6:$G$55,"○")&gt;0,"入渠中",IF(AND($O$9&lt;&gt;"",COUNTIFS(他港作業!$K$6:$K$55,M67,他港作業!$L$6:$L$55,"&lt;="&amp;$O$9,他港作業!$M$6:$M$55,"&gt;"&amp;$O$9)+COUNTIFS(他港作業!$K$6:$K$55,M67,他港作業!$L$6:$L$55,"&lt;="&amp;$O$9,他港作業!$E$6:$E$55,"")&gt;0),"他港作業中",IF(INDEX(_計算!$C$6:$DR$293,$P$9,46)=1,"作業中",IF(O67="未確認","未確認（会社未確認）",IF(OR(O67="製鉄曳船",O67="西日本海運"),IF(マスター!$F$51="○","供給可能（待機）","対象外（記号との対応未確認）"),IF(COUNTIFS(他社配置!$L$6:$L$55,M67,他社配置!$J$6:$J$55,"○",他社配置!$F$6:$F$55,"可")&gt;0,"供給可能（他社・対応可）",IF(COUNTIFS(他社配置!$L$6:$L$55,M67,他社配置!$J$6:$J$55,"○",他社配置!$F$6:$F$55,"不可")&gt;0,"対応不可","未確認（他社の対応可否が空欄）")))))))))</f>
        <v/>
      </c>
    </row>
    <row r="68" customFormat="false" ht="15" hidden="false" customHeight="false" outlineLevel="0" collapsed="false">
      <c r="B68" s="5" t="s">
        <v>546</v>
      </c>
      <c r="C68" s="35" t="n">
        <f aca="false">SUMIFS(変更・キャンセル!$J$15:$J$22,変更・キャンセル!$A$15:$A$22,"&lt;&gt;",変更・キャンセル!$H$15:$H$22,"")</f>
        <v>0</v>
      </c>
      <c r="D68" s="34" t="s">
        <v>547</v>
      </c>
      <c r="F68" s="35" t="str">
        <f aca="false">IF(マスター!$Q$36="","",マスター!$Q$36)</f>
        <v/>
      </c>
      <c r="G68" s="35" t="str">
        <f aca="false">IF(F68="","",マスター!$R$36)</f>
        <v/>
      </c>
      <c r="H68" s="35" t="str">
        <f aca="false">IF(F68="","",COUNTIF(実績!$X$6:$X$505,F68))</f>
        <v/>
      </c>
      <c r="I68" s="35" t="str">
        <f aca="false">IF(F68="","",SUMIF(_計算!$C$1:$DR$1,F68,_計算!$C$4:$DR$4))</f>
        <v/>
      </c>
      <c r="M68" s="35" t="str">
        <f aca="false">IF(マスター!$O$52&lt;&gt;"○","",マスター!$K$52)</f>
        <v/>
      </c>
      <c r="N68" s="35" t="str">
        <f aca="false">IF(M68="","",IF(マスター!$C$52="","未確認",マスター!$C$52))</f>
        <v/>
      </c>
      <c r="O68" s="35" t="str">
        <f aca="false">IF(M68="","",マスター!$L$52)</f>
        <v/>
      </c>
      <c r="P68" s="35" t="str">
        <f aca="false">IF(M68="","",IF(マスター!$D$52="通船・警戒船","対象外（通船・警戒船）",IF(COUNTIFS(入渠!$H$6:$H$55,M68,入渠!$G$6:$G$55,"○")&gt;0,"入渠中",IF(AND($O$9&lt;&gt;"",COUNTIFS(他港作業!$K$6:$K$55,M68,他港作業!$L$6:$L$55,"&lt;="&amp;$O$9,他港作業!$M$6:$M$55,"&gt;"&amp;$O$9)+COUNTIFS(他港作業!$K$6:$K$55,M68,他港作業!$L$6:$L$55,"&lt;="&amp;$O$9,他港作業!$E$6:$E$55,"")&gt;0),"他港作業中",IF(INDEX(_計算!$C$6:$DR$293,$P$9,47)=1,"作業中",IF(O68="未確認","未確認（会社未確認）",IF(OR(O68="製鉄曳船",O68="西日本海運"),IF(マスター!$F$52="○","供給可能（待機）","対象外（記号との対応未確認）"),IF(COUNTIFS(他社配置!$L$6:$L$55,M68,他社配置!$J$6:$J$55,"○",他社配置!$F$6:$F$55,"可")&gt;0,"供給可能（他社・対応可）",IF(COUNTIFS(他社配置!$L$6:$L$55,M68,他社配置!$J$6:$J$55,"○",他社配置!$F$6:$F$55,"不可")&gt;0,"対応不可","未確認（他社の対応可否が空欄）")))))))))</f>
        <v/>
      </c>
    </row>
    <row r="69" customFormat="false" ht="15" hidden="false" customHeight="false" outlineLevel="0" collapsed="false">
      <c r="B69" s="5" t="s">
        <v>548</v>
      </c>
      <c r="C69" s="35" t="n">
        <f aca="false">COUNTIFS(変更・キャンセル!$E$15:$E$22,"乗組員の出勤手配の不足",変更・キャンセル!$H$15:$H$22,"")</f>
        <v>0</v>
      </c>
      <c r="D69" s="34" t="s">
        <v>549</v>
      </c>
      <c r="F69" s="35" t="str">
        <f aca="false">IF(マスター!$Q$37="","",マスター!$Q$37)</f>
        <v/>
      </c>
      <c r="G69" s="35" t="str">
        <f aca="false">IF(F69="","",マスター!$R$37)</f>
        <v/>
      </c>
      <c r="H69" s="35" t="str">
        <f aca="false">IF(F69="","",COUNTIF(実績!$X$6:$X$505,F69))</f>
        <v/>
      </c>
      <c r="I69" s="35" t="str">
        <f aca="false">IF(F69="","",SUMIF(_計算!$C$1:$DR$1,F69,_計算!$C$4:$DR$4))</f>
        <v/>
      </c>
      <c r="M69" s="35" t="str">
        <f aca="false">IF(マスター!$O$53&lt;&gt;"○","",マスター!$K$53)</f>
        <v/>
      </c>
      <c r="N69" s="35" t="str">
        <f aca="false">IF(M69="","",IF(マスター!$C$53="","未確認",マスター!$C$53))</f>
        <v/>
      </c>
      <c r="O69" s="35" t="str">
        <f aca="false">IF(M69="","",マスター!$L$53)</f>
        <v/>
      </c>
      <c r="P69" s="35" t="str">
        <f aca="false">IF(M69="","",IF(マスター!$D$53="通船・警戒船","対象外（通船・警戒船）",IF(COUNTIFS(入渠!$H$6:$H$55,M69,入渠!$G$6:$G$55,"○")&gt;0,"入渠中",IF(AND($O$9&lt;&gt;"",COUNTIFS(他港作業!$K$6:$K$55,M69,他港作業!$L$6:$L$55,"&lt;="&amp;$O$9,他港作業!$M$6:$M$55,"&gt;"&amp;$O$9)+COUNTIFS(他港作業!$K$6:$K$55,M69,他港作業!$L$6:$L$55,"&lt;="&amp;$O$9,他港作業!$E$6:$E$55,"")&gt;0),"他港作業中",IF(INDEX(_計算!$C$6:$DR$293,$P$9,48)=1,"作業中",IF(O69="未確認","未確認（会社未確認）",IF(OR(O69="製鉄曳船",O69="西日本海運"),IF(マスター!$F$53="○","供給可能（待機）","対象外（記号との対応未確認）"),IF(COUNTIFS(他社配置!$L$6:$L$55,M69,他社配置!$J$6:$J$55,"○",他社配置!$F$6:$F$55,"可")&gt;0,"供給可能（他社・対応可）",IF(COUNTIFS(他社配置!$L$6:$L$55,M69,他社配置!$J$6:$J$55,"○",他社配置!$F$6:$F$55,"不可")&gt;0,"対応不可","未確認（他社の対応可否が空欄）")))))))))</f>
        <v/>
      </c>
    </row>
    <row r="70" customFormat="false" ht="15" hidden="false" customHeight="false" outlineLevel="0" collapsed="false">
      <c r="B70" s="5" t="s">
        <v>550</v>
      </c>
      <c r="C70" s="35" t="n">
        <f aca="false">COUNTIF(変更・キャンセル!$I$15:$I$22,"製鉄曳船*")</f>
        <v>0</v>
      </c>
      <c r="F70" s="35" t="str">
        <f aca="false">IF(マスター!$Q$38="","",マスター!$Q$38)</f>
        <v/>
      </c>
      <c r="G70" s="35" t="str">
        <f aca="false">IF(F70="","",マスター!$R$38)</f>
        <v/>
      </c>
      <c r="H70" s="35" t="str">
        <f aca="false">IF(F70="","",COUNTIF(実績!$X$6:$X$505,F70))</f>
        <v/>
      </c>
      <c r="I70" s="35" t="str">
        <f aca="false">IF(F70="","",SUMIF(_計算!$C$1:$DR$1,F70,_計算!$C$4:$DR$4))</f>
        <v/>
      </c>
      <c r="M70" s="35" t="str">
        <f aca="false">IF(マスター!$O$54&lt;&gt;"○","",マスター!$K$54)</f>
        <v/>
      </c>
      <c r="N70" s="35" t="str">
        <f aca="false">IF(M70="","",IF(マスター!$C$54="","未確認",マスター!$C$54))</f>
        <v/>
      </c>
      <c r="O70" s="35" t="str">
        <f aca="false">IF(M70="","",マスター!$L$54)</f>
        <v/>
      </c>
      <c r="P70" s="35" t="str">
        <f aca="false">IF(M70="","",IF(マスター!$D$54="通船・警戒船","対象外（通船・警戒船）",IF(COUNTIFS(入渠!$H$6:$H$55,M70,入渠!$G$6:$G$55,"○")&gt;0,"入渠中",IF(AND($O$9&lt;&gt;"",COUNTIFS(他港作業!$K$6:$K$55,M70,他港作業!$L$6:$L$55,"&lt;="&amp;$O$9,他港作業!$M$6:$M$55,"&gt;"&amp;$O$9)+COUNTIFS(他港作業!$K$6:$K$55,M70,他港作業!$L$6:$L$55,"&lt;="&amp;$O$9,他港作業!$E$6:$E$55,"")&gt;0),"他港作業中",IF(INDEX(_計算!$C$6:$DR$293,$P$9,49)=1,"作業中",IF(O70="未確認","未確認（会社未確認）",IF(OR(O70="製鉄曳船",O70="西日本海運"),IF(マスター!$F$54="○","供給可能（待機）","対象外（記号との対応未確認）"),IF(COUNTIFS(他社配置!$L$6:$L$55,M70,他社配置!$J$6:$J$55,"○",他社配置!$F$6:$F$55,"可")&gt;0,"供給可能（他社・対応可）",IF(COUNTIFS(他社配置!$L$6:$L$55,M70,他社配置!$J$6:$J$55,"○",他社配置!$F$6:$F$55,"不可")&gt;0,"対応不可","未確認（他社の対応可否が空欄）")))))))))</f>
        <v/>
      </c>
    </row>
    <row r="71" customFormat="false" ht="15" hidden="false" customHeight="false" outlineLevel="0" collapsed="false">
      <c r="F71" s="35" t="str">
        <f aca="false">IF(マスター!$Q$39="","",マスター!$Q$39)</f>
        <v/>
      </c>
      <c r="G71" s="35" t="str">
        <f aca="false">IF(F71="","",マスター!$R$39)</f>
        <v/>
      </c>
      <c r="H71" s="35" t="str">
        <f aca="false">IF(F71="","",COUNTIF(実績!$X$6:$X$505,F71))</f>
        <v/>
      </c>
      <c r="I71" s="35" t="str">
        <f aca="false">IF(F71="","",SUMIF(_計算!$C$1:$DR$1,F71,_計算!$C$4:$DR$4))</f>
        <v/>
      </c>
      <c r="M71" s="35" t="str">
        <f aca="false">IF(マスター!$O$55&lt;&gt;"○","",マスター!$K$55)</f>
        <v/>
      </c>
      <c r="N71" s="35" t="str">
        <f aca="false">IF(M71="","",IF(マスター!$C$55="","未確認",マスター!$C$55))</f>
        <v/>
      </c>
      <c r="O71" s="35" t="str">
        <f aca="false">IF(M71="","",マスター!$L$55)</f>
        <v/>
      </c>
      <c r="P71" s="35" t="str">
        <f aca="false">IF(M71="","",IF(マスター!$D$55="通船・警戒船","対象外（通船・警戒船）",IF(COUNTIFS(入渠!$H$6:$H$55,M71,入渠!$G$6:$G$55,"○")&gt;0,"入渠中",IF(AND($O$9&lt;&gt;"",COUNTIFS(他港作業!$K$6:$K$55,M71,他港作業!$L$6:$L$55,"&lt;="&amp;$O$9,他港作業!$M$6:$M$55,"&gt;"&amp;$O$9)+COUNTIFS(他港作業!$K$6:$K$55,M71,他港作業!$L$6:$L$55,"&lt;="&amp;$O$9,他港作業!$E$6:$E$55,"")&gt;0),"他港作業中",IF(INDEX(_計算!$C$6:$DR$293,$P$9,50)=1,"作業中",IF(O71="未確認","未確認（会社未確認）",IF(OR(O71="製鉄曳船",O71="西日本海運"),IF(マスター!$F$55="○","供給可能（待機）","対象外（記号との対応未確認）"),IF(COUNTIFS(他社配置!$L$6:$L$55,M71,他社配置!$J$6:$J$55,"○",他社配置!$F$6:$F$55,"可")&gt;0,"供給可能（他社・対応可）",IF(COUNTIFS(他社配置!$L$6:$L$55,M71,他社配置!$J$6:$J$55,"○",他社配置!$F$6:$F$55,"不可")&gt;0,"対応不可","未確認（他社の対応可否が空欄）")))))))))</f>
        <v/>
      </c>
    </row>
    <row r="72" customFormat="false" ht="15" hidden="false" customHeight="false" outlineLevel="0" collapsed="false">
      <c r="B72" s="17" t="s">
        <v>551</v>
      </c>
      <c r="F72" s="35" t="str">
        <f aca="false">IF(マスター!$Q$40="","",マスター!$Q$40)</f>
        <v/>
      </c>
      <c r="G72" s="35" t="str">
        <f aca="false">IF(F72="","",マスター!$R$40)</f>
        <v/>
      </c>
      <c r="H72" s="35" t="str">
        <f aca="false">IF(F72="","",COUNTIF(実績!$X$6:$X$505,F72))</f>
        <v/>
      </c>
      <c r="I72" s="35" t="str">
        <f aca="false">IF(F72="","",SUMIF(_計算!$C$1:$DR$1,F72,_計算!$C$4:$DR$4))</f>
        <v/>
      </c>
      <c r="M72" s="35" t="str">
        <f aca="false">IF(マスター!$O$56&lt;&gt;"○","",マスター!$K$56)</f>
        <v/>
      </c>
      <c r="N72" s="35" t="str">
        <f aca="false">IF(M72="","",IF(マスター!$C$56="","未確認",マスター!$C$56))</f>
        <v/>
      </c>
      <c r="O72" s="35" t="str">
        <f aca="false">IF(M72="","",マスター!$L$56)</f>
        <v/>
      </c>
      <c r="P72" s="35" t="str">
        <f aca="false">IF(M72="","",IF(マスター!$D$56="通船・警戒船","対象外（通船・警戒船）",IF(COUNTIFS(入渠!$H$6:$H$55,M72,入渠!$G$6:$G$55,"○")&gt;0,"入渠中",IF(AND($O$9&lt;&gt;"",COUNTIFS(他港作業!$K$6:$K$55,M72,他港作業!$L$6:$L$55,"&lt;="&amp;$O$9,他港作業!$M$6:$M$55,"&gt;"&amp;$O$9)+COUNTIFS(他港作業!$K$6:$K$55,M72,他港作業!$L$6:$L$55,"&lt;="&amp;$O$9,他港作業!$E$6:$E$55,"")&gt;0),"他港作業中",IF(INDEX(_計算!$C$6:$DR$293,$P$9,51)=1,"作業中",IF(O72="未確認","未確認（会社未確認）",IF(OR(O72="製鉄曳船",O72="西日本海運"),IF(マスター!$F$56="○","供給可能（待機）","対象外（記号との対応未確認）"),IF(COUNTIFS(他社配置!$L$6:$L$55,M72,他社配置!$J$6:$J$55,"○",他社配置!$F$6:$F$55,"可")&gt;0,"供給可能（他社・対応可）",IF(COUNTIFS(他社配置!$L$6:$L$55,M72,他社配置!$J$6:$J$55,"○",他社配置!$F$6:$F$55,"不可")&gt;0,"対応不可","未確認（他社の対応可否が空欄）")))))))))</f>
        <v/>
      </c>
    </row>
    <row r="73" customFormat="false" ht="15" hidden="false" customHeight="false" outlineLevel="0" collapsed="false">
      <c r="B73" s="5" t="s">
        <v>552</v>
      </c>
      <c r="C73" s="35" t="n">
        <f aca="false">COUNTIF(入渠!$G$6:$G$55,"○")</f>
        <v>0</v>
      </c>
      <c r="F73" s="35" t="str">
        <f aca="false">IF(マスター!$Q$41="","",マスター!$Q$41)</f>
        <v/>
      </c>
      <c r="G73" s="35" t="str">
        <f aca="false">IF(F73="","",マスター!$R$41)</f>
        <v/>
      </c>
      <c r="H73" s="35" t="str">
        <f aca="false">IF(F73="","",COUNTIF(実績!$X$6:$X$505,F73))</f>
        <v/>
      </c>
      <c r="I73" s="35" t="str">
        <f aca="false">IF(F73="","",SUMIF(_計算!$C$1:$DR$1,F73,_計算!$C$4:$DR$4))</f>
        <v/>
      </c>
      <c r="M73" s="35" t="str">
        <f aca="false">IF(マスター!$O$57&lt;&gt;"○","",マスター!$K$57)</f>
        <v/>
      </c>
      <c r="N73" s="35" t="str">
        <f aca="false">IF(M73="","",IF(マスター!$C$57="","未確認",マスター!$C$57))</f>
        <v/>
      </c>
      <c r="O73" s="35" t="str">
        <f aca="false">IF(M73="","",マスター!$L$57)</f>
        <v/>
      </c>
      <c r="P73" s="35" t="str">
        <f aca="false">IF(M73="","",IF(マスター!$D$57="通船・警戒船","対象外（通船・警戒船）",IF(COUNTIFS(入渠!$H$6:$H$55,M73,入渠!$G$6:$G$55,"○")&gt;0,"入渠中",IF(AND($O$9&lt;&gt;"",COUNTIFS(他港作業!$K$6:$K$55,M73,他港作業!$L$6:$L$55,"&lt;="&amp;$O$9,他港作業!$M$6:$M$55,"&gt;"&amp;$O$9)+COUNTIFS(他港作業!$K$6:$K$55,M73,他港作業!$L$6:$L$55,"&lt;="&amp;$O$9,他港作業!$E$6:$E$55,"")&gt;0),"他港作業中",IF(INDEX(_計算!$C$6:$DR$293,$P$9,52)=1,"作業中",IF(O73="未確認","未確認（会社未確認）",IF(OR(O73="製鉄曳船",O73="西日本海運"),IF(マスター!$F$57="○","供給可能（待機）","対象外（記号との対応未確認）"),IF(COUNTIFS(他社配置!$L$6:$L$55,M73,他社配置!$J$6:$J$55,"○",他社配置!$F$6:$F$55,"可")&gt;0,"供給可能（他社・対応可）",IF(COUNTIFS(他社配置!$L$6:$L$55,M73,他社配置!$J$6:$J$55,"○",他社配置!$F$6:$F$55,"不可")&gt;0,"対応不可","未確認（他社の対応可否が空欄）")))))))))</f>
        <v/>
      </c>
    </row>
    <row r="74" customFormat="false" ht="15" hidden="false" customHeight="false" outlineLevel="0" collapsed="false">
      <c r="B74" s="5" t="s">
        <v>553</v>
      </c>
      <c r="C74" s="35" t="n">
        <f aca="false">COUNTIF(他港作業!$I$6:$I$55,"○")</f>
        <v>0</v>
      </c>
      <c r="F74" s="35" t="str">
        <f aca="false">IF(マスター!$Q$42="","",マスター!$Q$42)</f>
        <v/>
      </c>
      <c r="G74" s="35" t="str">
        <f aca="false">IF(F74="","",マスター!$R$42)</f>
        <v/>
      </c>
      <c r="H74" s="35" t="str">
        <f aca="false">IF(F74="","",COUNTIF(実績!$X$6:$X$505,F74))</f>
        <v/>
      </c>
      <c r="I74" s="35" t="str">
        <f aca="false">IF(F74="","",SUMIF(_計算!$C$1:$DR$1,F74,_計算!$C$4:$DR$4))</f>
        <v/>
      </c>
      <c r="M74" s="35" t="str">
        <f aca="false">IF(マスター!$O$58&lt;&gt;"○","",マスター!$K$58)</f>
        <v/>
      </c>
      <c r="N74" s="35" t="str">
        <f aca="false">IF(M74="","",IF(マスター!$C$58="","未確認",マスター!$C$58))</f>
        <v/>
      </c>
      <c r="O74" s="35" t="str">
        <f aca="false">IF(M74="","",マスター!$L$58)</f>
        <v/>
      </c>
      <c r="P74" s="35" t="str">
        <f aca="false">IF(M74="","",IF(マスター!$D$58="通船・警戒船","対象外（通船・警戒船）",IF(COUNTIFS(入渠!$H$6:$H$55,M74,入渠!$G$6:$G$55,"○")&gt;0,"入渠中",IF(AND($O$9&lt;&gt;"",COUNTIFS(他港作業!$K$6:$K$55,M74,他港作業!$L$6:$L$55,"&lt;="&amp;$O$9,他港作業!$M$6:$M$55,"&gt;"&amp;$O$9)+COUNTIFS(他港作業!$K$6:$K$55,M74,他港作業!$L$6:$L$55,"&lt;="&amp;$O$9,他港作業!$E$6:$E$55,"")&gt;0),"他港作業中",IF(INDEX(_計算!$C$6:$DR$293,$P$9,53)=1,"作業中",IF(O74="未確認","未確認（会社未確認）",IF(OR(O74="製鉄曳船",O74="西日本海運"),IF(マスター!$F$58="○","供給可能（待機）","対象外（記号との対応未確認）"),IF(COUNTIFS(他社配置!$L$6:$L$55,M74,他社配置!$J$6:$J$55,"○",他社配置!$F$6:$F$55,"可")&gt;0,"供給可能（他社・対応可）",IF(COUNTIFS(他社配置!$L$6:$L$55,M74,他社配置!$J$6:$J$55,"○",他社配置!$F$6:$F$55,"不可")&gt;0,"対応不可","未確認（他社の対応可否が空欄）")))))))))</f>
        <v/>
      </c>
    </row>
    <row r="75" customFormat="false" ht="15" hidden="false" customHeight="false" outlineLevel="0" collapsed="false">
      <c r="B75" s="5" t="s">
        <v>554</v>
      </c>
      <c r="C75" s="35" t="n">
        <f aca="false">COUNTIF(他社配置!$J$6:$J$55,"○")</f>
        <v>0</v>
      </c>
      <c r="D75" s="34" t="s">
        <v>555</v>
      </c>
      <c r="F75" s="35" t="str">
        <f aca="false">IF(マスター!$Q$43="","",マスター!$Q$43)</f>
        <v/>
      </c>
      <c r="G75" s="35" t="str">
        <f aca="false">IF(F75="","",マスター!$R$43)</f>
        <v/>
      </c>
      <c r="H75" s="35" t="str">
        <f aca="false">IF(F75="","",COUNTIF(実績!$X$6:$X$505,F75))</f>
        <v/>
      </c>
      <c r="I75" s="35" t="str">
        <f aca="false">IF(F75="","",SUMIF(_計算!$C$1:$DR$1,F75,_計算!$C$4:$DR$4))</f>
        <v/>
      </c>
      <c r="M75" s="35" t="str">
        <f aca="false">IF(マスター!$O$59&lt;&gt;"○","",マスター!$K$59)</f>
        <v/>
      </c>
      <c r="N75" s="35" t="str">
        <f aca="false">IF(M75="","",IF(マスター!$C$59="","未確認",マスター!$C$59))</f>
        <v/>
      </c>
      <c r="O75" s="35" t="str">
        <f aca="false">IF(M75="","",マスター!$L$59)</f>
        <v/>
      </c>
      <c r="P75" s="35" t="str">
        <f aca="false">IF(M75="","",IF(マスター!$D$59="通船・警戒船","対象外（通船・警戒船）",IF(COUNTIFS(入渠!$H$6:$H$55,M75,入渠!$G$6:$G$55,"○")&gt;0,"入渠中",IF(AND($O$9&lt;&gt;"",COUNTIFS(他港作業!$K$6:$K$55,M75,他港作業!$L$6:$L$55,"&lt;="&amp;$O$9,他港作業!$M$6:$M$55,"&gt;"&amp;$O$9)+COUNTIFS(他港作業!$K$6:$K$55,M75,他港作業!$L$6:$L$55,"&lt;="&amp;$O$9,他港作業!$E$6:$E$55,"")&gt;0),"他港作業中",IF(INDEX(_計算!$C$6:$DR$293,$P$9,54)=1,"作業中",IF(O75="未確認","未確認（会社未確認）",IF(OR(O75="製鉄曳船",O75="西日本海運"),IF(マスター!$F$59="○","供給可能（待機）","対象外（記号との対応未確認）"),IF(COUNTIFS(他社配置!$L$6:$L$55,M75,他社配置!$J$6:$J$55,"○",他社配置!$F$6:$F$55,"可")&gt;0,"供給可能（他社・対応可）",IF(COUNTIFS(他社配置!$L$6:$L$55,M75,他社配置!$J$6:$J$55,"○",他社配置!$F$6:$F$55,"不可")&gt;0,"対応不可","未確認（他社の対応可否が空欄）")))))))))</f>
        <v/>
      </c>
    </row>
    <row r="76" customFormat="false" ht="15" hidden="false" customHeight="false" outlineLevel="0" collapsed="false">
      <c r="F76" s="35" t="str">
        <f aca="false">IF(マスター!$Q$44="","",マスター!$Q$44)</f>
        <v/>
      </c>
      <c r="G76" s="35" t="str">
        <f aca="false">IF(F76="","",マスター!$R$44)</f>
        <v/>
      </c>
      <c r="H76" s="35" t="str">
        <f aca="false">IF(F76="","",COUNTIF(実績!$X$6:$X$505,F76))</f>
        <v/>
      </c>
      <c r="I76" s="35" t="str">
        <f aca="false">IF(F76="","",SUMIF(_計算!$C$1:$DR$1,F76,_計算!$C$4:$DR$4))</f>
        <v/>
      </c>
      <c r="M76" s="35" t="str">
        <f aca="false">IF(マスター!$O$60&lt;&gt;"○","",マスター!$K$60)</f>
        <v/>
      </c>
      <c r="N76" s="35" t="str">
        <f aca="false">IF(M76="","",IF(マスター!$C$60="","未確認",マスター!$C$60))</f>
        <v/>
      </c>
      <c r="O76" s="35" t="str">
        <f aca="false">IF(M76="","",マスター!$L$60)</f>
        <v/>
      </c>
      <c r="P76" s="35" t="str">
        <f aca="false">IF(M76="","",IF(マスター!$D$60="通船・警戒船","対象外（通船・警戒船）",IF(COUNTIFS(入渠!$H$6:$H$55,M76,入渠!$G$6:$G$55,"○")&gt;0,"入渠中",IF(AND($O$9&lt;&gt;"",COUNTIFS(他港作業!$K$6:$K$55,M76,他港作業!$L$6:$L$55,"&lt;="&amp;$O$9,他港作業!$M$6:$M$55,"&gt;"&amp;$O$9)+COUNTIFS(他港作業!$K$6:$K$55,M76,他港作業!$L$6:$L$55,"&lt;="&amp;$O$9,他港作業!$E$6:$E$55,"")&gt;0),"他港作業中",IF(INDEX(_計算!$C$6:$DR$293,$P$9,55)=1,"作業中",IF(O76="未確認","未確認（会社未確認）",IF(OR(O76="製鉄曳船",O76="西日本海運"),IF(マスター!$F$60="○","供給可能（待機）","対象外（記号との対応未確認）"),IF(COUNTIFS(他社配置!$L$6:$L$55,M76,他社配置!$J$6:$J$55,"○",他社配置!$F$6:$F$55,"可")&gt;0,"供給可能（他社・対応可）",IF(COUNTIFS(他社配置!$L$6:$L$55,M76,他社配置!$J$6:$J$55,"○",他社配置!$F$6:$F$55,"不可")&gt;0,"対応不可","未確認（他社の対応可否が空欄）")))))))))</f>
        <v/>
      </c>
    </row>
    <row r="77" customFormat="false" ht="15" hidden="false" customHeight="false" outlineLevel="0" collapsed="false">
      <c r="F77" s="35" t="str">
        <f aca="false">IF(マスター!$Q$45="","",マスター!$Q$45)</f>
        <v/>
      </c>
      <c r="G77" s="35" t="str">
        <f aca="false">IF(F77="","",マスター!$R$45)</f>
        <v/>
      </c>
      <c r="H77" s="35" t="str">
        <f aca="false">IF(F77="","",COUNTIF(実績!$X$6:$X$505,F77))</f>
        <v/>
      </c>
      <c r="I77" s="35" t="str">
        <f aca="false">IF(F77="","",SUMIF(_計算!$C$1:$DR$1,F77,_計算!$C$4:$DR$4))</f>
        <v/>
      </c>
      <c r="M77" s="35" t="str">
        <f aca="false">IF(マスター!$O$61&lt;&gt;"○","",マスター!$K$61)</f>
        <v/>
      </c>
      <c r="N77" s="35" t="str">
        <f aca="false">IF(M77="","",IF(マスター!$C$61="","未確認",マスター!$C$61))</f>
        <v/>
      </c>
      <c r="O77" s="35" t="str">
        <f aca="false">IF(M77="","",マスター!$L$61)</f>
        <v/>
      </c>
      <c r="P77" s="35" t="str">
        <f aca="false">IF(M77="","",IF(マスター!$D$61="通船・警戒船","対象外（通船・警戒船）",IF(COUNTIFS(入渠!$H$6:$H$55,M77,入渠!$G$6:$G$55,"○")&gt;0,"入渠中",IF(AND($O$9&lt;&gt;"",COUNTIFS(他港作業!$K$6:$K$55,M77,他港作業!$L$6:$L$55,"&lt;="&amp;$O$9,他港作業!$M$6:$M$55,"&gt;"&amp;$O$9)+COUNTIFS(他港作業!$K$6:$K$55,M77,他港作業!$L$6:$L$55,"&lt;="&amp;$O$9,他港作業!$E$6:$E$55,"")&gt;0),"他港作業中",IF(INDEX(_計算!$C$6:$DR$293,$P$9,56)=1,"作業中",IF(O77="未確認","未確認（会社未確認）",IF(OR(O77="製鉄曳船",O77="西日本海運"),IF(マスター!$F$61="○","供給可能（待機）","対象外（記号との対応未確認）"),IF(COUNTIFS(他社配置!$L$6:$L$55,M77,他社配置!$J$6:$J$55,"○",他社配置!$F$6:$F$55,"可")&gt;0,"供給可能（他社・対応可）",IF(COUNTIFS(他社配置!$L$6:$L$55,M77,他社配置!$J$6:$J$55,"○",他社配置!$F$6:$F$55,"不可")&gt;0,"対応不可","未確認（他社の対応可否が空欄）")))))))))</f>
        <v/>
      </c>
    </row>
    <row r="78" customFormat="false" ht="15" hidden="false" customHeight="false" outlineLevel="0" collapsed="false">
      <c r="F78" s="35" t="s">
        <v>556</v>
      </c>
      <c r="G78" s="35"/>
      <c r="H78" s="35" t="n">
        <f aca="false">COUNTIF(実績!$X$6:$X$505,"未確認")</f>
        <v>0</v>
      </c>
      <c r="I78" s="35" t="n">
        <f aca="false">SUMIF(_計算!$C$1:$DR$1,"未確認",_計算!$C$4:$DR$4)</f>
        <v>0</v>
      </c>
      <c r="M78" s="35" t="str">
        <f aca="false">IF(マスター!$O$62&lt;&gt;"○","",マスター!$K$62)</f>
        <v/>
      </c>
      <c r="N78" s="35" t="str">
        <f aca="false">IF(M78="","",IF(マスター!$C$62="","未確認",マスター!$C$62))</f>
        <v/>
      </c>
      <c r="O78" s="35" t="str">
        <f aca="false">IF(M78="","",マスター!$L$62)</f>
        <v/>
      </c>
      <c r="P78" s="35" t="str">
        <f aca="false">IF(M78="","",IF(マスター!$D$62="通船・警戒船","対象外（通船・警戒船）",IF(COUNTIFS(入渠!$H$6:$H$55,M78,入渠!$G$6:$G$55,"○")&gt;0,"入渠中",IF(AND($O$9&lt;&gt;"",COUNTIFS(他港作業!$K$6:$K$55,M78,他港作業!$L$6:$L$55,"&lt;="&amp;$O$9,他港作業!$M$6:$M$55,"&gt;"&amp;$O$9)+COUNTIFS(他港作業!$K$6:$K$55,M78,他港作業!$L$6:$L$55,"&lt;="&amp;$O$9,他港作業!$E$6:$E$55,"")&gt;0),"他港作業中",IF(INDEX(_計算!$C$6:$DR$293,$P$9,57)=1,"作業中",IF(O78="未確認","未確認（会社未確認）",IF(OR(O78="製鉄曳船",O78="西日本海運"),IF(マスター!$F$62="○","供給可能（待機）","対象外（記号との対応未確認）"),IF(COUNTIFS(他社配置!$L$6:$L$55,M78,他社配置!$J$6:$J$55,"○",他社配置!$F$6:$F$55,"可")&gt;0,"供給可能（他社・対応可）",IF(COUNTIFS(他社配置!$L$6:$L$55,M78,他社配置!$J$6:$J$55,"○",他社配置!$F$6:$F$55,"不可")&gt;0,"対応不可","未確認（他社の対応可否が空欄）")))))))))</f>
        <v/>
      </c>
    </row>
    <row r="79" customFormat="false" ht="15" hidden="false" customHeight="false" outlineLevel="0" collapsed="false">
      <c r="M79" s="35" t="str">
        <f aca="false">IF(マスター!$O$63&lt;&gt;"○","",マスター!$K$63)</f>
        <v/>
      </c>
      <c r="N79" s="35" t="str">
        <f aca="false">IF(M79="","",IF(マスター!$C$63="","未確認",マスター!$C$63))</f>
        <v/>
      </c>
      <c r="O79" s="35" t="str">
        <f aca="false">IF(M79="","",マスター!$L$63)</f>
        <v/>
      </c>
      <c r="P79" s="35" t="str">
        <f aca="false">IF(M79="","",IF(マスター!$D$63="通船・警戒船","対象外（通船・警戒船）",IF(COUNTIFS(入渠!$H$6:$H$55,M79,入渠!$G$6:$G$55,"○")&gt;0,"入渠中",IF(AND($O$9&lt;&gt;"",COUNTIFS(他港作業!$K$6:$K$55,M79,他港作業!$L$6:$L$55,"&lt;="&amp;$O$9,他港作業!$M$6:$M$55,"&gt;"&amp;$O$9)+COUNTIFS(他港作業!$K$6:$K$55,M79,他港作業!$L$6:$L$55,"&lt;="&amp;$O$9,他港作業!$E$6:$E$55,"")&gt;0),"他港作業中",IF(INDEX(_計算!$C$6:$DR$293,$P$9,58)=1,"作業中",IF(O79="未確認","未確認（会社未確認）",IF(OR(O79="製鉄曳船",O79="西日本海運"),IF(マスター!$F$63="○","供給可能（待機）","対象外（記号との対応未確認）"),IF(COUNTIFS(他社配置!$L$6:$L$55,M79,他社配置!$J$6:$J$55,"○",他社配置!$F$6:$F$55,"可")&gt;0,"供給可能（他社・対応可）",IF(COUNTIFS(他社配置!$L$6:$L$55,M79,他社配置!$J$6:$J$55,"○",他社配置!$F$6:$F$55,"不可")&gt;0,"対応不可","未確認（他社の対応可否が空欄）")))))))))</f>
        <v/>
      </c>
    </row>
    <row r="80" customFormat="false" ht="15" hidden="false" customHeight="false" outlineLevel="0" collapsed="false">
      <c r="M80" s="35" t="str">
        <f aca="false">IF(マスター!$O$64&lt;&gt;"○","",マスター!$K$64)</f>
        <v/>
      </c>
      <c r="N80" s="35" t="str">
        <f aca="false">IF(M80="","",IF(マスター!$C$64="","未確認",マスター!$C$64))</f>
        <v/>
      </c>
      <c r="O80" s="35" t="str">
        <f aca="false">IF(M80="","",マスター!$L$64)</f>
        <v/>
      </c>
      <c r="P80" s="35" t="str">
        <f aca="false">IF(M80="","",IF(マスター!$D$64="通船・警戒船","対象外（通船・警戒船）",IF(COUNTIFS(入渠!$H$6:$H$55,M80,入渠!$G$6:$G$55,"○")&gt;0,"入渠中",IF(AND($O$9&lt;&gt;"",COUNTIFS(他港作業!$K$6:$K$55,M80,他港作業!$L$6:$L$55,"&lt;="&amp;$O$9,他港作業!$M$6:$M$55,"&gt;"&amp;$O$9)+COUNTIFS(他港作業!$K$6:$K$55,M80,他港作業!$L$6:$L$55,"&lt;="&amp;$O$9,他港作業!$E$6:$E$55,"")&gt;0),"他港作業中",IF(INDEX(_計算!$C$6:$DR$293,$P$9,59)=1,"作業中",IF(O80="未確認","未確認（会社未確認）",IF(OR(O80="製鉄曳船",O80="西日本海運"),IF(マスター!$F$64="○","供給可能（待機）","対象外（記号との対応未確認）"),IF(COUNTIFS(他社配置!$L$6:$L$55,M80,他社配置!$J$6:$J$55,"○",他社配置!$F$6:$F$55,"可")&gt;0,"供給可能（他社・対応可）",IF(COUNTIFS(他社配置!$L$6:$L$55,M80,他社配置!$J$6:$J$55,"○",他社配置!$F$6:$F$55,"不可")&gt;0,"対応不可","未確認（他社の対応可否が空欄）")))))))))</f>
        <v/>
      </c>
    </row>
    <row r="81" customFormat="false" ht="15" hidden="false" customHeight="false" outlineLevel="0" collapsed="false">
      <c r="M81" s="35" t="str">
        <f aca="false">IF(マスター!$O$65&lt;&gt;"○","",マスター!$K$65)</f>
        <v/>
      </c>
      <c r="N81" s="35" t="str">
        <f aca="false">IF(M81="","",IF(マスター!$C$65="","未確認",マスター!$C$65))</f>
        <v/>
      </c>
      <c r="O81" s="35" t="str">
        <f aca="false">IF(M81="","",マスター!$L$65)</f>
        <v/>
      </c>
      <c r="P81" s="35" t="str">
        <f aca="false">IF(M81="","",IF(マスター!$D$65="通船・警戒船","対象外（通船・警戒船）",IF(COUNTIFS(入渠!$H$6:$H$55,M81,入渠!$G$6:$G$55,"○")&gt;0,"入渠中",IF(AND($O$9&lt;&gt;"",COUNTIFS(他港作業!$K$6:$K$55,M81,他港作業!$L$6:$L$55,"&lt;="&amp;$O$9,他港作業!$M$6:$M$55,"&gt;"&amp;$O$9)+COUNTIFS(他港作業!$K$6:$K$55,M81,他港作業!$L$6:$L$55,"&lt;="&amp;$O$9,他港作業!$E$6:$E$55,"")&gt;0),"他港作業中",IF(INDEX(_計算!$C$6:$DR$293,$P$9,60)=1,"作業中",IF(O81="未確認","未確認（会社未確認）",IF(OR(O81="製鉄曳船",O81="西日本海運"),IF(マスター!$F$65="○","供給可能（待機）","対象外（記号との対応未確認）"),IF(COUNTIFS(他社配置!$L$6:$L$55,M81,他社配置!$J$6:$J$55,"○",他社配置!$F$6:$F$55,"可")&gt;0,"供給可能（他社・対応可）",IF(COUNTIFS(他社配置!$L$6:$L$55,M81,他社配置!$J$6:$J$55,"○",他社配置!$F$6:$F$55,"不可")&gt;0,"対応不可","未確認（他社の対応可否が空欄）")))))))))</f>
        <v/>
      </c>
    </row>
    <row r="82" customFormat="false" ht="15" hidden="false" customHeight="false" outlineLevel="0" collapsed="false">
      <c r="M82" s="35" t="str">
        <f aca="false">IF(マスター!$O$66&lt;&gt;"○","",マスター!$K$66)</f>
        <v/>
      </c>
      <c r="N82" s="35" t="str">
        <f aca="false">IF(M82="","",IF(マスター!$C$66="","未確認",マスター!$C$66))</f>
        <v/>
      </c>
      <c r="O82" s="35" t="str">
        <f aca="false">IF(M82="","",マスター!$L$66)</f>
        <v/>
      </c>
      <c r="P82" s="35" t="str">
        <f aca="false">IF(M82="","",IF(マスター!$D$66="通船・警戒船","対象外（通船・警戒船）",IF(COUNTIFS(入渠!$H$6:$H$55,M82,入渠!$G$6:$G$55,"○")&gt;0,"入渠中",IF(AND($O$9&lt;&gt;"",COUNTIFS(他港作業!$K$6:$K$55,M82,他港作業!$L$6:$L$55,"&lt;="&amp;$O$9,他港作業!$M$6:$M$55,"&gt;"&amp;$O$9)+COUNTIFS(他港作業!$K$6:$K$55,M82,他港作業!$L$6:$L$55,"&lt;="&amp;$O$9,他港作業!$E$6:$E$55,"")&gt;0),"他港作業中",IF(INDEX(_計算!$C$6:$DR$293,$P$9,61)=1,"作業中",IF(O82="未確認","未確認（会社未確認）",IF(OR(O82="製鉄曳船",O82="西日本海運"),IF(マスター!$F$66="○","供給可能（待機）","対象外（記号との対応未確認）"),IF(COUNTIFS(他社配置!$L$6:$L$55,M82,他社配置!$J$6:$J$55,"○",他社配置!$F$6:$F$55,"可")&gt;0,"供給可能（他社・対応可）",IF(COUNTIFS(他社配置!$L$6:$L$55,M82,他社配置!$J$6:$J$55,"○",他社配置!$F$6:$F$55,"不可")&gt;0,"対応不可","未確認（他社の対応可否が空欄）")))))))))</f>
        <v/>
      </c>
    </row>
    <row r="83" customFormat="false" ht="15" hidden="false" customHeight="false" outlineLevel="0" collapsed="false">
      <c r="M83" s="35" t="str">
        <f aca="false">IF(マスター!$O$67&lt;&gt;"○","",マスター!$K$67)</f>
        <v/>
      </c>
      <c r="N83" s="35" t="str">
        <f aca="false">IF(M83="","",IF(マスター!$C$67="","未確認",マスター!$C$67))</f>
        <v/>
      </c>
      <c r="O83" s="35" t="str">
        <f aca="false">IF(M83="","",マスター!$L$67)</f>
        <v/>
      </c>
      <c r="P83" s="35" t="str">
        <f aca="false">IF(M83="","",IF(マスター!$D$67="通船・警戒船","対象外（通船・警戒船）",IF(COUNTIFS(入渠!$H$6:$H$55,M83,入渠!$G$6:$G$55,"○")&gt;0,"入渠中",IF(AND($O$9&lt;&gt;"",COUNTIFS(他港作業!$K$6:$K$55,M83,他港作業!$L$6:$L$55,"&lt;="&amp;$O$9,他港作業!$M$6:$M$55,"&gt;"&amp;$O$9)+COUNTIFS(他港作業!$K$6:$K$55,M83,他港作業!$L$6:$L$55,"&lt;="&amp;$O$9,他港作業!$E$6:$E$55,"")&gt;0),"他港作業中",IF(INDEX(_計算!$C$6:$DR$293,$P$9,62)=1,"作業中",IF(O83="未確認","未確認（会社未確認）",IF(OR(O83="製鉄曳船",O83="西日本海運"),IF(マスター!$F$67="○","供給可能（待機）","対象外（記号との対応未確認）"),IF(COUNTIFS(他社配置!$L$6:$L$55,M83,他社配置!$J$6:$J$55,"○",他社配置!$F$6:$F$55,"可")&gt;0,"供給可能（他社・対応可）",IF(COUNTIFS(他社配置!$L$6:$L$55,M83,他社配置!$J$6:$J$55,"○",他社配置!$F$6:$F$55,"不可")&gt;0,"対応不可","未確認（他社の対応可否が空欄）")))))))))</f>
        <v/>
      </c>
    </row>
    <row r="84" customFormat="false" ht="15" hidden="false" customHeight="false" outlineLevel="0" collapsed="false">
      <c r="M84" s="35" t="str">
        <f aca="false">IF(マスター!$O$68&lt;&gt;"○","",マスター!$K$68)</f>
        <v/>
      </c>
      <c r="N84" s="35" t="str">
        <f aca="false">IF(M84="","",IF(マスター!$C$68="","未確認",マスター!$C$68))</f>
        <v/>
      </c>
      <c r="O84" s="35" t="str">
        <f aca="false">IF(M84="","",マスター!$L$68)</f>
        <v/>
      </c>
      <c r="P84" s="35" t="str">
        <f aca="false">IF(M84="","",IF(マスター!$D$68="通船・警戒船","対象外（通船・警戒船）",IF(COUNTIFS(入渠!$H$6:$H$55,M84,入渠!$G$6:$G$55,"○")&gt;0,"入渠中",IF(AND($O$9&lt;&gt;"",COUNTIFS(他港作業!$K$6:$K$55,M84,他港作業!$L$6:$L$55,"&lt;="&amp;$O$9,他港作業!$M$6:$M$55,"&gt;"&amp;$O$9)+COUNTIFS(他港作業!$K$6:$K$55,M84,他港作業!$L$6:$L$55,"&lt;="&amp;$O$9,他港作業!$E$6:$E$55,"")&gt;0),"他港作業中",IF(INDEX(_計算!$C$6:$DR$293,$P$9,63)=1,"作業中",IF(O84="未確認","未確認（会社未確認）",IF(OR(O84="製鉄曳船",O84="西日本海運"),IF(マスター!$F$68="○","供給可能（待機）","対象外（記号との対応未確認）"),IF(COUNTIFS(他社配置!$L$6:$L$55,M84,他社配置!$J$6:$J$55,"○",他社配置!$F$6:$F$55,"可")&gt;0,"供給可能（他社・対応可）",IF(COUNTIFS(他社配置!$L$6:$L$55,M84,他社配置!$J$6:$J$55,"○",他社配置!$F$6:$F$55,"不可")&gt;0,"対応不可","未確認（他社の対応可否が空欄）")))))))))</f>
        <v/>
      </c>
    </row>
    <row r="85" customFormat="false" ht="15" hidden="false" customHeight="false" outlineLevel="0" collapsed="false">
      <c r="M85" s="35" t="str">
        <f aca="false">IF(マスター!$O$69&lt;&gt;"○","",マスター!$K$69)</f>
        <v/>
      </c>
      <c r="N85" s="35" t="str">
        <f aca="false">IF(M85="","",IF(マスター!$C$69="","未確認",マスター!$C$69))</f>
        <v/>
      </c>
      <c r="O85" s="35" t="str">
        <f aca="false">IF(M85="","",マスター!$L$69)</f>
        <v/>
      </c>
      <c r="P85" s="35" t="str">
        <f aca="false">IF(M85="","",IF(マスター!$D$69="通船・警戒船","対象外（通船・警戒船）",IF(COUNTIFS(入渠!$H$6:$H$55,M85,入渠!$G$6:$G$55,"○")&gt;0,"入渠中",IF(AND($O$9&lt;&gt;"",COUNTIFS(他港作業!$K$6:$K$55,M85,他港作業!$L$6:$L$55,"&lt;="&amp;$O$9,他港作業!$M$6:$M$55,"&gt;"&amp;$O$9)+COUNTIFS(他港作業!$K$6:$K$55,M85,他港作業!$L$6:$L$55,"&lt;="&amp;$O$9,他港作業!$E$6:$E$55,"")&gt;0),"他港作業中",IF(INDEX(_計算!$C$6:$DR$293,$P$9,64)=1,"作業中",IF(O85="未確認","未確認（会社未確認）",IF(OR(O85="製鉄曳船",O85="西日本海運"),IF(マスター!$F$69="○","供給可能（待機）","対象外（記号との対応未確認）"),IF(COUNTIFS(他社配置!$L$6:$L$55,M85,他社配置!$J$6:$J$55,"○",他社配置!$F$6:$F$55,"可")&gt;0,"供給可能（他社・対応可）",IF(COUNTIFS(他社配置!$L$6:$L$55,M85,他社配置!$J$6:$J$55,"○",他社配置!$F$6:$F$55,"不可")&gt;0,"対応不可","未確認（他社の対応可否が空欄）")))))))))</f>
        <v/>
      </c>
    </row>
    <row r="86" customFormat="false" ht="15" hidden="false" customHeight="false" outlineLevel="0" collapsed="false">
      <c r="M86" s="35" t="str">
        <f aca="false">IF(マスター!$O$70&lt;&gt;"○","",マスター!$K$70)</f>
        <v/>
      </c>
      <c r="N86" s="35" t="str">
        <f aca="false">IF(M86="","",IF(マスター!$C$70="","未確認",マスター!$C$70))</f>
        <v/>
      </c>
      <c r="O86" s="35" t="str">
        <f aca="false">IF(M86="","",マスター!$L$70)</f>
        <v/>
      </c>
      <c r="P86" s="35" t="str">
        <f aca="false">IF(M86="","",IF(マスター!$D$70="通船・警戒船","対象外（通船・警戒船）",IF(COUNTIFS(入渠!$H$6:$H$55,M86,入渠!$G$6:$G$55,"○")&gt;0,"入渠中",IF(AND($O$9&lt;&gt;"",COUNTIFS(他港作業!$K$6:$K$55,M86,他港作業!$L$6:$L$55,"&lt;="&amp;$O$9,他港作業!$M$6:$M$55,"&gt;"&amp;$O$9)+COUNTIFS(他港作業!$K$6:$K$55,M86,他港作業!$L$6:$L$55,"&lt;="&amp;$O$9,他港作業!$E$6:$E$55,"")&gt;0),"他港作業中",IF(INDEX(_計算!$C$6:$DR$293,$P$9,65)=1,"作業中",IF(O86="未確認","未確認（会社未確認）",IF(OR(O86="製鉄曳船",O86="西日本海運"),IF(マスター!$F$70="○","供給可能（待機）","対象外（記号との対応未確認）"),IF(COUNTIFS(他社配置!$L$6:$L$55,M86,他社配置!$J$6:$J$55,"○",他社配置!$F$6:$F$55,"可")&gt;0,"供給可能（他社・対応可）",IF(COUNTIFS(他社配置!$L$6:$L$55,M86,他社配置!$J$6:$J$55,"○",他社配置!$F$6:$F$55,"不可")&gt;0,"対応不可","未確認（他社の対応可否が空欄）")))))))))</f>
        <v/>
      </c>
    </row>
    <row r="87" customFormat="false" ht="15" hidden="false" customHeight="false" outlineLevel="0" collapsed="false">
      <c r="M87" s="35" t="str">
        <f aca="false">IF(マスター!$O$71&lt;&gt;"○","",マスター!$K$71)</f>
        <v/>
      </c>
      <c r="N87" s="35" t="str">
        <f aca="false">IF(M87="","",IF(マスター!$C$71="","未確認",マスター!$C$71))</f>
        <v/>
      </c>
      <c r="O87" s="35" t="str">
        <f aca="false">IF(M87="","",マスター!$L$71)</f>
        <v/>
      </c>
      <c r="P87" s="35" t="str">
        <f aca="false">IF(M87="","",IF(マスター!$D$71="通船・警戒船","対象外（通船・警戒船）",IF(COUNTIFS(入渠!$H$6:$H$55,M87,入渠!$G$6:$G$55,"○")&gt;0,"入渠中",IF(AND($O$9&lt;&gt;"",COUNTIFS(他港作業!$K$6:$K$55,M87,他港作業!$L$6:$L$55,"&lt;="&amp;$O$9,他港作業!$M$6:$M$55,"&gt;"&amp;$O$9)+COUNTIFS(他港作業!$K$6:$K$55,M87,他港作業!$L$6:$L$55,"&lt;="&amp;$O$9,他港作業!$E$6:$E$55,"")&gt;0),"他港作業中",IF(INDEX(_計算!$C$6:$DR$293,$P$9,66)=1,"作業中",IF(O87="未確認","未確認（会社未確認）",IF(OR(O87="製鉄曳船",O87="西日本海運"),IF(マスター!$F$71="○","供給可能（待機）","対象外（記号との対応未確認）"),IF(COUNTIFS(他社配置!$L$6:$L$55,M87,他社配置!$J$6:$J$55,"○",他社配置!$F$6:$F$55,"可")&gt;0,"供給可能（他社・対応可）",IF(COUNTIFS(他社配置!$L$6:$L$55,M87,他社配置!$J$6:$J$55,"○",他社配置!$F$6:$F$55,"不可")&gt;0,"対応不可","未確認（他社の対応可否が空欄）")))))))))</f>
        <v/>
      </c>
    </row>
    <row r="88" customFormat="false" ht="15" hidden="false" customHeight="false" outlineLevel="0" collapsed="false">
      <c r="M88" s="35" t="str">
        <f aca="false">IF(マスター!$O$72&lt;&gt;"○","",マスター!$K$72)</f>
        <v/>
      </c>
      <c r="N88" s="35" t="str">
        <f aca="false">IF(M88="","",IF(マスター!$C$72="","未確認",マスター!$C$72))</f>
        <v/>
      </c>
      <c r="O88" s="35" t="str">
        <f aca="false">IF(M88="","",マスター!$L$72)</f>
        <v/>
      </c>
      <c r="P88" s="35" t="str">
        <f aca="false">IF(M88="","",IF(マスター!$D$72="通船・警戒船","対象外（通船・警戒船）",IF(COUNTIFS(入渠!$H$6:$H$55,M88,入渠!$G$6:$G$55,"○")&gt;0,"入渠中",IF(AND($O$9&lt;&gt;"",COUNTIFS(他港作業!$K$6:$K$55,M88,他港作業!$L$6:$L$55,"&lt;="&amp;$O$9,他港作業!$M$6:$M$55,"&gt;"&amp;$O$9)+COUNTIFS(他港作業!$K$6:$K$55,M88,他港作業!$L$6:$L$55,"&lt;="&amp;$O$9,他港作業!$E$6:$E$55,"")&gt;0),"他港作業中",IF(INDEX(_計算!$C$6:$DR$293,$P$9,67)=1,"作業中",IF(O88="未確認","未確認（会社未確認）",IF(OR(O88="製鉄曳船",O88="西日本海運"),IF(マスター!$F$72="○","供給可能（待機）","対象外（記号との対応未確認）"),IF(COUNTIFS(他社配置!$L$6:$L$55,M88,他社配置!$J$6:$J$55,"○",他社配置!$F$6:$F$55,"可")&gt;0,"供給可能（他社・対応可）",IF(COUNTIFS(他社配置!$L$6:$L$55,M88,他社配置!$J$6:$J$55,"○",他社配置!$F$6:$F$55,"不可")&gt;0,"対応不可","未確認（他社の対応可否が空欄）")))))))))</f>
        <v/>
      </c>
    </row>
    <row r="89" customFormat="false" ht="15" hidden="false" customHeight="false" outlineLevel="0" collapsed="false">
      <c r="M89" s="35" t="str">
        <f aca="false">IF(マスター!$O$73&lt;&gt;"○","",マスター!$K$73)</f>
        <v/>
      </c>
      <c r="N89" s="35" t="str">
        <f aca="false">IF(M89="","",IF(マスター!$C$73="","未確認",マスター!$C$73))</f>
        <v/>
      </c>
      <c r="O89" s="35" t="str">
        <f aca="false">IF(M89="","",マスター!$L$73)</f>
        <v/>
      </c>
      <c r="P89" s="35" t="str">
        <f aca="false">IF(M89="","",IF(マスター!$D$73="通船・警戒船","対象外（通船・警戒船）",IF(COUNTIFS(入渠!$H$6:$H$55,M89,入渠!$G$6:$G$55,"○")&gt;0,"入渠中",IF(AND($O$9&lt;&gt;"",COUNTIFS(他港作業!$K$6:$K$55,M89,他港作業!$L$6:$L$55,"&lt;="&amp;$O$9,他港作業!$M$6:$M$55,"&gt;"&amp;$O$9)+COUNTIFS(他港作業!$K$6:$K$55,M89,他港作業!$L$6:$L$55,"&lt;="&amp;$O$9,他港作業!$E$6:$E$55,"")&gt;0),"他港作業中",IF(INDEX(_計算!$C$6:$DR$293,$P$9,68)=1,"作業中",IF(O89="未確認","未確認（会社未確認）",IF(OR(O89="製鉄曳船",O89="西日本海運"),IF(マスター!$F$73="○","供給可能（待機）","対象外（記号との対応未確認）"),IF(COUNTIFS(他社配置!$L$6:$L$55,M89,他社配置!$J$6:$J$55,"○",他社配置!$F$6:$F$55,"可")&gt;0,"供給可能（他社・対応可）",IF(COUNTIFS(他社配置!$L$6:$L$55,M89,他社配置!$J$6:$J$55,"○",他社配置!$F$6:$F$55,"不可")&gt;0,"対応不可","未確認（他社の対応可否が空欄）")))))))))</f>
        <v/>
      </c>
    </row>
    <row r="90" customFormat="false" ht="15" hidden="false" customHeight="false" outlineLevel="0" collapsed="false">
      <c r="M90" s="35" t="str">
        <f aca="false">IF(マスター!$O$74&lt;&gt;"○","",マスター!$K$74)</f>
        <v/>
      </c>
      <c r="N90" s="35" t="str">
        <f aca="false">IF(M90="","",IF(マスター!$C$74="","未確認",マスター!$C$74))</f>
        <v/>
      </c>
      <c r="O90" s="35" t="str">
        <f aca="false">IF(M90="","",マスター!$L$74)</f>
        <v/>
      </c>
      <c r="P90" s="35" t="str">
        <f aca="false">IF(M90="","",IF(マスター!$D$74="通船・警戒船","対象外（通船・警戒船）",IF(COUNTIFS(入渠!$H$6:$H$55,M90,入渠!$G$6:$G$55,"○")&gt;0,"入渠中",IF(AND($O$9&lt;&gt;"",COUNTIFS(他港作業!$K$6:$K$55,M90,他港作業!$L$6:$L$55,"&lt;="&amp;$O$9,他港作業!$M$6:$M$55,"&gt;"&amp;$O$9)+COUNTIFS(他港作業!$K$6:$K$55,M90,他港作業!$L$6:$L$55,"&lt;="&amp;$O$9,他港作業!$E$6:$E$55,"")&gt;0),"他港作業中",IF(INDEX(_計算!$C$6:$DR$293,$P$9,69)=1,"作業中",IF(O90="未確認","未確認（会社未確認）",IF(OR(O90="製鉄曳船",O90="西日本海運"),IF(マスター!$F$74="○","供給可能（待機）","対象外（記号との対応未確認）"),IF(COUNTIFS(他社配置!$L$6:$L$55,M90,他社配置!$J$6:$J$55,"○",他社配置!$F$6:$F$55,"可")&gt;0,"供給可能（他社・対応可）",IF(COUNTIFS(他社配置!$L$6:$L$55,M90,他社配置!$J$6:$J$55,"○",他社配置!$F$6:$F$55,"不可")&gt;0,"対応不可","未確認（他社の対応可否が空欄）")))))))))</f>
        <v/>
      </c>
    </row>
    <row r="91" customFormat="false" ht="15" hidden="false" customHeight="false" outlineLevel="0" collapsed="false">
      <c r="M91" s="35" t="str">
        <f aca="false">IF(マスター!$O$75&lt;&gt;"○","",マスター!$K$75)</f>
        <v/>
      </c>
      <c r="N91" s="35" t="str">
        <f aca="false">IF(M91="","",IF(マスター!$C$75="","未確認",マスター!$C$75))</f>
        <v/>
      </c>
      <c r="O91" s="35" t="str">
        <f aca="false">IF(M91="","",マスター!$L$75)</f>
        <v/>
      </c>
      <c r="P91" s="35" t="str">
        <f aca="false">IF(M91="","",IF(マスター!$D$75="通船・警戒船","対象外（通船・警戒船）",IF(COUNTIFS(入渠!$H$6:$H$55,M91,入渠!$G$6:$G$55,"○")&gt;0,"入渠中",IF(AND($O$9&lt;&gt;"",COUNTIFS(他港作業!$K$6:$K$55,M91,他港作業!$L$6:$L$55,"&lt;="&amp;$O$9,他港作業!$M$6:$M$55,"&gt;"&amp;$O$9)+COUNTIFS(他港作業!$K$6:$K$55,M91,他港作業!$L$6:$L$55,"&lt;="&amp;$O$9,他港作業!$E$6:$E$55,"")&gt;0),"他港作業中",IF(INDEX(_計算!$C$6:$DR$293,$P$9,70)=1,"作業中",IF(O91="未確認","未確認（会社未確認）",IF(OR(O91="製鉄曳船",O91="西日本海運"),IF(マスター!$F$75="○","供給可能（待機）","対象外（記号との対応未確認）"),IF(COUNTIFS(他社配置!$L$6:$L$55,M91,他社配置!$J$6:$J$55,"○",他社配置!$F$6:$F$55,"可")&gt;0,"供給可能（他社・対応可）",IF(COUNTIFS(他社配置!$L$6:$L$55,M91,他社配置!$J$6:$J$55,"○",他社配置!$F$6:$F$55,"不可")&gt;0,"対応不可","未確認（他社の対応可否が空欄）")))))))))</f>
        <v/>
      </c>
    </row>
    <row r="92" customFormat="false" ht="15" hidden="false" customHeight="false" outlineLevel="0" collapsed="false">
      <c r="M92" s="35" t="str">
        <f aca="false">IF(マスター!$O$76&lt;&gt;"○","",マスター!$K$76)</f>
        <v/>
      </c>
      <c r="N92" s="35" t="str">
        <f aca="false">IF(M92="","",IF(マスター!$C$76="","未確認",マスター!$C$76))</f>
        <v/>
      </c>
      <c r="O92" s="35" t="str">
        <f aca="false">IF(M92="","",マスター!$L$76)</f>
        <v/>
      </c>
      <c r="P92" s="35" t="str">
        <f aca="false">IF(M92="","",IF(マスター!$D$76="通船・警戒船","対象外（通船・警戒船）",IF(COUNTIFS(入渠!$H$6:$H$55,M92,入渠!$G$6:$G$55,"○")&gt;0,"入渠中",IF(AND($O$9&lt;&gt;"",COUNTIFS(他港作業!$K$6:$K$55,M92,他港作業!$L$6:$L$55,"&lt;="&amp;$O$9,他港作業!$M$6:$M$55,"&gt;"&amp;$O$9)+COUNTIFS(他港作業!$K$6:$K$55,M92,他港作業!$L$6:$L$55,"&lt;="&amp;$O$9,他港作業!$E$6:$E$55,"")&gt;0),"他港作業中",IF(INDEX(_計算!$C$6:$DR$293,$P$9,71)=1,"作業中",IF(O92="未確認","未確認（会社未確認）",IF(OR(O92="製鉄曳船",O92="西日本海運"),IF(マスター!$F$76="○","供給可能（待機）","対象外（記号との対応未確認）"),IF(COUNTIFS(他社配置!$L$6:$L$55,M92,他社配置!$J$6:$J$55,"○",他社配置!$F$6:$F$55,"可")&gt;0,"供給可能（他社・対応可）",IF(COUNTIFS(他社配置!$L$6:$L$55,M92,他社配置!$J$6:$J$55,"○",他社配置!$F$6:$F$55,"不可")&gt;0,"対応不可","未確認（他社の対応可否が空欄）")))))))))</f>
        <v/>
      </c>
    </row>
    <row r="93" customFormat="false" ht="15" hidden="false" customHeight="false" outlineLevel="0" collapsed="false">
      <c r="M93" s="35" t="str">
        <f aca="false">IF(マスター!$O$77&lt;&gt;"○","",マスター!$K$77)</f>
        <v/>
      </c>
      <c r="N93" s="35" t="str">
        <f aca="false">IF(M93="","",IF(マスター!$C$77="","未確認",マスター!$C$77))</f>
        <v/>
      </c>
      <c r="O93" s="35" t="str">
        <f aca="false">IF(M93="","",マスター!$L$77)</f>
        <v/>
      </c>
      <c r="P93" s="35" t="str">
        <f aca="false">IF(M93="","",IF(マスター!$D$77="通船・警戒船","対象外（通船・警戒船）",IF(COUNTIFS(入渠!$H$6:$H$55,M93,入渠!$G$6:$G$55,"○")&gt;0,"入渠中",IF(AND($O$9&lt;&gt;"",COUNTIFS(他港作業!$K$6:$K$55,M93,他港作業!$L$6:$L$55,"&lt;="&amp;$O$9,他港作業!$M$6:$M$55,"&gt;"&amp;$O$9)+COUNTIFS(他港作業!$K$6:$K$55,M93,他港作業!$L$6:$L$55,"&lt;="&amp;$O$9,他港作業!$E$6:$E$55,"")&gt;0),"他港作業中",IF(INDEX(_計算!$C$6:$DR$293,$P$9,72)=1,"作業中",IF(O93="未確認","未確認（会社未確認）",IF(OR(O93="製鉄曳船",O93="西日本海運"),IF(マスター!$F$77="○","供給可能（待機）","対象外（記号との対応未確認）"),IF(COUNTIFS(他社配置!$L$6:$L$55,M93,他社配置!$J$6:$J$55,"○",他社配置!$F$6:$F$55,"可")&gt;0,"供給可能（他社・対応可）",IF(COUNTIFS(他社配置!$L$6:$L$55,M93,他社配置!$J$6:$J$55,"○",他社配置!$F$6:$F$55,"不可")&gt;0,"対応不可","未確認（他社の対応可否が空欄）")))))))))</f>
        <v/>
      </c>
    </row>
    <row r="94" customFormat="false" ht="15" hidden="false" customHeight="false" outlineLevel="0" collapsed="false">
      <c r="M94" s="35" t="str">
        <f aca="false">IF(マスター!$O$78&lt;&gt;"○","",マスター!$K$78)</f>
        <v/>
      </c>
      <c r="N94" s="35" t="str">
        <f aca="false">IF(M94="","",IF(マスター!$C$78="","未確認",マスター!$C$78))</f>
        <v/>
      </c>
      <c r="O94" s="35" t="str">
        <f aca="false">IF(M94="","",マスター!$L$78)</f>
        <v/>
      </c>
      <c r="P94" s="35" t="str">
        <f aca="false">IF(M94="","",IF(マスター!$D$78="通船・警戒船","対象外（通船・警戒船）",IF(COUNTIFS(入渠!$H$6:$H$55,M94,入渠!$G$6:$G$55,"○")&gt;0,"入渠中",IF(AND($O$9&lt;&gt;"",COUNTIFS(他港作業!$K$6:$K$55,M94,他港作業!$L$6:$L$55,"&lt;="&amp;$O$9,他港作業!$M$6:$M$55,"&gt;"&amp;$O$9)+COUNTIFS(他港作業!$K$6:$K$55,M94,他港作業!$L$6:$L$55,"&lt;="&amp;$O$9,他港作業!$E$6:$E$55,"")&gt;0),"他港作業中",IF(INDEX(_計算!$C$6:$DR$293,$P$9,73)=1,"作業中",IF(O94="未確認","未確認（会社未確認）",IF(OR(O94="製鉄曳船",O94="西日本海運"),IF(マスター!$F$78="○","供給可能（待機）","対象外（記号との対応未確認）"),IF(COUNTIFS(他社配置!$L$6:$L$55,M94,他社配置!$J$6:$J$55,"○",他社配置!$F$6:$F$55,"可")&gt;0,"供給可能（他社・対応可）",IF(COUNTIFS(他社配置!$L$6:$L$55,M94,他社配置!$J$6:$J$55,"○",他社配置!$F$6:$F$55,"不可")&gt;0,"対応不可","未確認（他社の対応可否が空欄）")))))))))</f>
        <v/>
      </c>
    </row>
    <row r="95" customFormat="false" ht="15" hidden="false" customHeight="false" outlineLevel="0" collapsed="false">
      <c r="M95" s="35" t="str">
        <f aca="false">IF(マスター!$O$79&lt;&gt;"○","",マスター!$K$79)</f>
        <v/>
      </c>
      <c r="N95" s="35" t="str">
        <f aca="false">IF(M95="","",IF(マスター!$C$79="","未確認",マスター!$C$79))</f>
        <v/>
      </c>
      <c r="O95" s="35" t="str">
        <f aca="false">IF(M95="","",マスター!$L$79)</f>
        <v/>
      </c>
      <c r="P95" s="35" t="str">
        <f aca="false">IF(M95="","",IF(マスター!$D$79="通船・警戒船","対象外（通船・警戒船）",IF(COUNTIFS(入渠!$H$6:$H$55,M95,入渠!$G$6:$G$55,"○")&gt;0,"入渠中",IF(AND($O$9&lt;&gt;"",COUNTIFS(他港作業!$K$6:$K$55,M95,他港作業!$L$6:$L$55,"&lt;="&amp;$O$9,他港作業!$M$6:$M$55,"&gt;"&amp;$O$9)+COUNTIFS(他港作業!$K$6:$K$55,M95,他港作業!$L$6:$L$55,"&lt;="&amp;$O$9,他港作業!$E$6:$E$55,"")&gt;0),"他港作業中",IF(INDEX(_計算!$C$6:$DR$293,$P$9,74)=1,"作業中",IF(O95="未確認","未確認（会社未確認）",IF(OR(O95="製鉄曳船",O95="西日本海運"),IF(マスター!$F$79="○","供給可能（待機）","対象外（記号との対応未確認）"),IF(COUNTIFS(他社配置!$L$6:$L$55,M95,他社配置!$J$6:$J$55,"○",他社配置!$F$6:$F$55,"可")&gt;0,"供給可能（他社・対応可）",IF(COUNTIFS(他社配置!$L$6:$L$55,M95,他社配置!$J$6:$J$55,"○",他社配置!$F$6:$F$55,"不可")&gt;0,"対応不可","未確認（他社の対応可否が空欄）")))))))))</f>
        <v/>
      </c>
    </row>
    <row r="96" customFormat="false" ht="15" hidden="false" customHeight="false" outlineLevel="0" collapsed="false">
      <c r="M96" s="35" t="str">
        <f aca="false">IF(マスター!$O$80&lt;&gt;"○","",マスター!$K$80)</f>
        <v/>
      </c>
      <c r="N96" s="35" t="str">
        <f aca="false">IF(M96="","",IF(マスター!$C$80="","未確認",マスター!$C$80))</f>
        <v/>
      </c>
      <c r="O96" s="35" t="str">
        <f aca="false">IF(M96="","",マスター!$L$80)</f>
        <v/>
      </c>
      <c r="P96" s="35" t="str">
        <f aca="false">IF(M96="","",IF(マスター!$D$80="通船・警戒船","対象外（通船・警戒船）",IF(COUNTIFS(入渠!$H$6:$H$55,M96,入渠!$G$6:$G$55,"○")&gt;0,"入渠中",IF(AND($O$9&lt;&gt;"",COUNTIFS(他港作業!$K$6:$K$55,M96,他港作業!$L$6:$L$55,"&lt;="&amp;$O$9,他港作業!$M$6:$M$55,"&gt;"&amp;$O$9)+COUNTIFS(他港作業!$K$6:$K$55,M96,他港作業!$L$6:$L$55,"&lt;="&amp;$O$9,他港作業!$E$6:$E$55,"")&gt;0),"他港作業中",IF(INDEX(_計算!$C$6:$DR$293,$P$9,75)=1,"作業中",IF(O96="未確認","未確認（会社未確認）",IF(OR(O96="製鉄曳船",O96="西日本海運"),IF(マスター!$F$80="○","供給可能（待機）","対象外（記号との対応未確認）"),IF(COUNTIFS(他社配置!$L$6:$L$55,M96,他社配置!$J$6:$J$55,"○",他社配置!$F$6:$F$55,"可")&gt;0,"供給可能（他社・対応可）",IF(COUNTIFS(他社配置!$L$6:$L$55,M96,他社配置!$J$6:$J$55,"○",他社配置!$F$6:$F$55,"不可")&gt;0,"対応不可","未確認（他社の対応可否が空欄）")))))))))</f>
        <v/>
      </c>
    </row>
    <row r="97" customFormat="false" ht="15" hidden="false" customHeight="false" outlineLevel="0" collapsed="false">
      <c r="M97" s="35" t="str">
        <f aca="false">IF(マスター!$O$81&lt;&gt;"○","",マスター!$K$81)</f>
        <v/>
      </c>
      <c r="N97" s="35" t="str">
        <f aca="false">IF(M97="","",IF(マスター!$C$81="","未確認",マスター!$C$81))</f>
        <v/>
      </c>
      <c r="O97" s="35" t="str">
        <f aca="false">IF(M97="","",マスター!$L$81)</f>
        <v/>
      </c>
      <c r="P97" s="35" t="str">
        <f aca="false">IF(M97="","",IF(マスター!$D$81="通船・警戒船","対象外（通船・警戒船）",IF(COUNTIFS(入渠!$H$6:$H$55,M97,入渠!$G$6:$G$55,"○")&gt;0,"入渠中",IF(AND($O$9&lt;&gt;"",COUNTIFS(他港作業!$K$6:$K$55,M97,他港作業!$L$6:$L$55,"&lt;="&amp;$O$9,他港作業!$M$6:$M$55,"&gt;"&amp;$O$9)+COUNTIFS(他港作業!$K$6:$K$55,M97,他港作業!$L$6:$L$55,"&lt;="&amp;$O$9,他港作業!$E$6:$E$55,"")&gt;0),"他港作業中",IF(INDEX(_計算!$C$6:$DR$293,$P$9,76)=1,"作業中",IF(O97="未確認","未確認（会社未確認）",IF(OR(O97="製鉄曳船",O97="西日本海運"),IF(マスター!$F$81="○","供給可能（待機）","対象外（記号との対応未確認）"),IF(COUNTIFS(他社配置!$L$6:$L$55,M97,他社配置!$J$6:$J$55,"○",他社配置!$F$6:$F$55,"可")&gt;0,"供給可能（他社・対応可）",IF(COUNTIFS(他社配置!$L$6:$L$55,M97,他社配置!$J$6:$J$55,"○",他社配置!$F$6:$F$55,"不可")&gt;0,"対応不可","未確認（他社の対応可否が空欄）")))))))))</f>
        <v/>
      </c>
    </row>
    <row r="98" customFormat="false" ht="15" hidden="false" customHeight="false" outlineLevel="0" collapsed="false">
      <c r="M98" s="35" t="str">
        <f aca="false">IF(マスター!$O$82&lt;&gt;"○","",マスター!$K$82)</f>
        <v/>
      </c>
      <c r="N98" s="35" t="str">
        <f aca="false">IF(M98="","",IF(マスター!$C$82="","未確認",マスター!$C$82))</f>
        <v/>
      </c>
      <c r="O98" s="35" t="str">
        <f aca="false">IF(M98="","",マスター!$L$82)</f>
        <v/>
      </c>
      <c r="P98" s="35" t="str">
        <f aca="false">IF(M98="","",IF(マスター!$D$82="通船・警戒船","対象外（通船・警戒船）",IF(COUNTIFS(入渠!$H$6:$H$55,M98,入渠!$G$6:$G$55,"○")&gt;0,"入渠中",IF(AND($O$9&lt;&gt;"",COUNTIFS(他港作業!$K$6:$K$55,M98,他港作業!$L$6:$L$55,"&lt;="&amp;$O$9,他港作業!$M$6:$M$55,"&gt;"&amp;$O$9)+COUNTIFS(他港作業!$K$6:$K$55,M98,他港作業!$L$6:$L$55,"&lt;="&amp;$O$9,他港作業!$E$6:$E$55,"")&gt;0),"他港作業中",IF(INDEX(_計算!$C$6:$DR$293,$P$9,77)=1,"作業中",IF(O98="未確認","未確認（会社未確認）",IF(OR(O98="製鉄曳船",O98="西日本海運"),IF(マスター!$F$82="○","供給可能（待機）","対象外（記号との対応未確認）"),IF(COUNTIFS(他社配置!$L$6:$L$55,M98,他社配置!$J$6:$J$55,"○",他社配置!$F$6:$F$55,"可")&gt;0,"供給可能（他社・対応可）",IF(COUNTIFS(他社配置!$L$6:$L$55,M98,他社配置!$J$6:$J$55,"○",他社配置!$F$6:$F$55,"不可")&gt;0,"対応不可","未確認（他社の対応可否が空欄）")))))))))</f>
        <v/>
      </c>
    </row>
    <row r="99" customFormat="false" ht="15" hidden="false" customHeight="false" outlineLevel="0" collapsed="false">
      <c r="M99" s="35" t="str">
        <f aca="false">IF(マスター!$O$83&lt;&gt;"○","",マスター!$K$83)</f>
        <v/>
      </c>
      <c r="N99" s="35" t="str">
        <f aca="false">IF(M99="","",IF(マスター!$C$83="","未確認",マスター!$C$83))</f>
        <v/>
      </c>
      <c r="O99" s="35" t="str">
        <f aca="false">IF(M99="","",マスター!$L$83)</f>
        <v/>
      </c>
      <c r="P99" s="35" t="str">
        <f aca="false">IF(M99="","",IF(マスター!$D$83="通船・警戒船","対象外（通船・警戒船）",IF(COUNTIFS(入渠!$H$6:$H$55,M99,入渠!$G$6:$G$55,"○")&gt;0,"入渠中",IF(AND($O$9&lt;&gt;"",COUNTIFS(他港作業!$K$6:$K$55,M99,他港作業!$L$6:$L$55,"&lt;="&amp;$O$9,他港作業!$M$6:$M$55,"&gt;"&amp;$O$9)+COUNTIFS(他港作業!$K$6:$K$55,M99,他港作業!$L$6:$L$55,"&lt;="&amp;$O$9,他港作業!$E$6:$E$55,"")&gt;0),"他港作業中",IF(INDEX(_計算!$C$6:$DR$293,$P$9,78)=1,"作業中",IF(O99="未確認","未確認（会社未確認）",IF(OR(O99="製鉄曳船",O99="西日本海運"),IF(マスター!$F$83="○","供給可能（待機）","対象外（記号との対応未確認）"),IF(COUNTIFS(他社配置!$L$6:$L$55,M99,他社配置!$J$6:$J$55,"○",他社配置!$F$6:$F$55,"可")&gt;0,"供給可能（他社・対応可）",IF(COUNTIFS(他社配置!$L$6:$L$55,M99,他社配置!$J$6:$J$55,"○",他社配置!$F$6:$F$55,"不可")&gt;0,"対応不可","未確認（他社の対応可否が空欄）")))))))))</f>
        <v/>
      </c>
    </row>
    <row r="100" customFormat="false" ht="15" hidden="false" customHeight="false" outlineLevel="0" collapsed="false">
      <c r="M100" s="35" t="str">
        <f aca="false">IF(マスター!$O$84&lt;&gt;"○","",マスター!$K$84)</f>
        <v/>
      </c>
      <c r="N100" s="35" t="str">
        <f aca="false">IF(M100="","",IF(マスター!$C$84="","未確認",マスター!$C$84))</f>
        <v/>
      </c>
      <c r="O100" s="35" t="str">
        <f aca="false">IF(M100="","",マスター!$L$84)</f>
        <v/>
      </c>
      <c r="P100" s="35" t="str">
        <f aca="false">IF(M100="","",IF(マスター!$D$84="通船・警戒船","対象外（通船・警戒船）",IF(COUNTIFS(入渠!$H$6:$H$55,M100,入渠!$G$6:$G$55,"○")&gt;0,"入渠中",IF(AND($O$9&lt;&gt;"",COUNTIFS(他港作業!$K$6:$K$55,M100,他港作業!$L$6:$L$55,"&lt;="&amp;$O$9,他港作業!$M$6:$M$55,"&gt;"&amp;$O$9)+COUNTIFS(他港作業!$K$6:$K$55,M100,他港作業!$L$6:$L$55,"&lt;="&amp;$O$9,他港作業!$E$6:$E$55,"")&gt;0),"他港作業中",IF(INDEX(_計算!$C$6:$DR$293,$P$9,79)=1,"作業中",IF(O100="未確認","未確認（会社未確認）",IF(OR(O100="製鉄曳船",O100="西日本海運"),IF(マスター!$F$84="○","供給可能（待機）","対象外（記号との対応未確認）"),IF(COUNTIFS(他社配置!$L$6:$L$55,M100,他社配置!$J$6:$J$55,"○",他社配置!$F$6:$F$55,"可")&gt;0,"供給可能（他社・対応可）",IF(COUNTIFS(他社配置!$L$6:$L$55,M100,他社配置!$J$6:$J$55,"○",他社配置!$F$6:$F$55,"不可")&gt;0,"対応不可","未確認（他社の対応可否が空欄）")))))))))</f>
        <v/>
      </c>
    </row>
    <row r="101" customFormat="false" ht="15" hidden="false" customHeight="false" outlineLevel="0" collapsed="false">
      <c r="M101" s="35" t="str">
        <f aca="false">IF(マスター!$O$85&lt;&gt;"○","",マスター!$K$85)</f>
        <v/>
      </c>
      <c r="N101" s="35" t="str">
        <f aca="false">IF(M101="","",IF(マスター!$C$85="","未確認",マスター!$C$85))</f>
        <v/>
      </c>
      <c r="O101" s="35" t="str">
        <f aca="false">IF(M101="","",マスター!$L$85)</f>
        <v/>
      </c>
      <c r="P101" s="35" t="str">
        <f aca="false">IF(M101="","",IF(マスター!$D$85="通船・警戒船","対象外（通船・警戒船）",IF(COUNTIFS(入渠!$H$6:$H$55,M101,入渠!$G$6:$G$55,"○")&gt;0,"入渠中",IF(AND($O$9&lt;&gt;"",COUNTIFS(他港作業!$K$6:$K$55,M101,他港作業!$L$6:$L$55,"&lt;="&amp;$O$9,他港作業!$M$6:$M$55,"&gt;"&amp;$O$9)+COUNTIFS(他港作業!$K$6:$K$55,M101,他港作業!$L$6:$L$55,"&lt;="&amp;$O$9,他港作業!$E$6:$E$55,"")&gt;0),"他港作業中",IF(INDEX(_計算!$C$6:$DR$293,$P$9,80)=1,"作業中",IF(O101="未確認","未確認（会社未確認）",IF(OR(O101="製鉄曳船",O101="西日本海運"),IF(マスター!$F$85="○","供給可能（待機）","対象外（記号との対応未確認）"),IF(COUNTIFS(他社配置!$L$6:$L$55,M101,他社配置!$J$6:$J$55,"○",他社配置!$F$6:$F$55,"可")&gt;0,"供給可能（他社・対応可）",IF(COUNTIFS(他社配置!$L$6:$L$55,M101,他社配置!$J$6:$J$55,"○",他社配置!$F$6:$F$55,"不可")&gt;0,"対応不可","未確認（他社の対応可否が空欄）")))))))))</f>
        <v/>
      </c>
    </row>
    <row r="102" customFormat="false" ht="15" hidden="false" customHeight="false" outlineLevel="0" collapsed="false">
      <c r="M102" s="35" t="str">
        <f aca="false">IF(マスター!$O$86&lt;&gt;"○","",マスター!$K$86)</f>
        <v/>
      </c>
      <c r="N102" s="35" t="str">
        <f aca="false">IF(M102="","",IF(マスター!$C$86="","未確認",マスター!$C$86))</f>
        <v/>
      </c>
      <c r="O102" s="35" t="str">
        <f aca="false">IF(M102="","",マスター!$L$86)</f>
        <v/>
      </c>
      <c r="P102" s="35" t="str">
        <f aca="false">IF(M102="","",IF(マスター!$D$86="通船・警戒船","対象外（通船・警戒船）",IF(COUNTIFS(入渠!$H$6:$H$55,M102,入渠!$G$6:$G$55,"○")&gt;0,"入渠中",IF(AND($O$9&lt;&gt;"",COUNTIFS(他港作業!$K$6:$K$55,M102,他港作業!$L$6:$L$55,"&lt;="&amp;$O$9,他港作業!$M$6:$M$55,"&gt;"&amp;$O$9)+COUNTIFS(他港作業!$K$6:$K$55,M102,他港作業!$L$6:$L$55,"&lt;="&amp;$O$9,他港作業!$E$6:$E$55,"")&gt;0),"他港作業中",IF(INDEX(_計算!$C$6:$DR$293,$P$9,81)=1,"作業中",IF(O102="未確認","未確認（会社未確認）",IF(OR(O102="製鉄曳船",O102="西日本海運"),IF(マスター!$F$86="○","供給可能（待機）","対象外（記号との対応未確認）"),IF(COUNTIFS(他社配置!$L$6:$L$55,M102,他社配置!$J$6:$J$55,"○",他社配置!$F$6:$F$55,"可")&gt;0,"供給可能（他社・対応可）",IF(COUNTIFS(他社配置!$L$6:$L$55,M102,他社配置!$J$6:$J$55,"○",他社配置!$F$6:$F$55,"不可")&gt;0,"対応不可","未確認（他社の対応可否が空欄）")))))))))</f>
        <v/>
      </c>
    </row>
    <row r="103" customFormat="false" ht="15" hidden="false" customHeight="false" outlineLevel="0" collapsed="false">
      <c r="M103" s="35" t="str">
        <f aca="false">IF(マスター!$O$87&lt;&gt;"○","",マスター!$K$87)</f>
        <v/>
      </c>
      <c r="N103" s="35" t="str">
        <f aca="false">IF(M103="","",IF(マスター!$C$87="","未確認",マスター!$C$87))</f>
        <v/>
      </c>
      <c r="O103" s="35" t="str">
        <f aca="false">IF(M103="","",マスター!$L$87)</f>
        <v/>
      </c>
      <c r="P103" s="35" t="str">
        <f aca="false">IF(M103="","",IF(マスター!$D$87="通船・警戒船","対象外（通船・警戒船）",IF(COUNTIFS(入渠!$H$6:$H$55,M103,入渠!$G$6:$G$55,"○")&gt;0,"入渠中",IF(AND($O$9&lt;&gt;"",COUNTIFS(他港作業!$K$6:$K$55,M103,他港作業!$L$6:$L$55,"&lt;="&amp;$O$9,他港作業!$M$6:$M$55,"&gt;"&amp;$O$9)+COUNTIFS(他港作業!$K$6:$K$55,M103,他港作業!$L$6:$L$55,"&lt;="&amp;$O$9,他港作業!$E$6:$E$55,"")&gt;0),"他港作業中",IF(INDEX(_計算!$C$6:$DR$293,$P$9,82)=1,"作業中",IF(O103="未確認","未確認（会社未確認）",IF(OR(O103="製鉄曳船",O103="西日本海運"),IF(マスター!$F$87="○","供給可能（待機）","対象外（記号との対応未確認）"),IF(COUNTIFS(他社配置!$L$6:$L$55,M103,他社配置!$J$6:$J$55,"○",他社配置!$F$6:$F$55,"可")&gt;0,"供給可能（他社・対応可）",IF(COUNTIFS(他社配置!$L$6:$L$55,M103,他社配置!$J$6:$J$55,"○",他社配置!$F$6:$F$55,"不可")&gt;0,"対応不可","未確認（他社の対応可否が空欄）")))))))))</f>
        <v/>
      </c>
    </row>
    <row r="104" customFormat="false" ht="15" hidden="false" customHeight="false" outlineLevel="0" collapsed="false">
      <c r="M104" s="35" t="str">
        <f aca="false">IF(マスター!$O$88&lt;&gt;"○","",マスター!$K$88)</f>
        <v/>
      </c>
      <c r="N104" s="35" t="str">
        <f aca="false">IF(M104="","",IF(マスター!$C$88="","未確認",マスター!$C$88))</f>
        <v/>
      </c>
      <c r="O104" s="35" t="str">
        <f aca="false">IF(M104="","",マスター!$L$88)</f>
        <v/>
      </c>
      <c r="P104" s="35" t="str">
        <f aca="false">IF(M104="","",IF(マスター!$D$88="通船・警戒船","対象外（通船・警戒船）",IF(COUNTIFS(入渠!$H$6:$H$55,M104,入渠!$G$6:$G$55,"○")&gt;0,"入渠中",IF(AND($O$9&lt;&gt;"",COUNTIFS(他港作業!$K$6:$K$55,M104,他港作業!$L$6:$L$55,"&lt;="&amp;$O$9,他港作業!$M$6:$M$55,"&gt;"&amp;$O$9)+COUNTIFS(他港作業!$K$6:$K$55,M104,他港作業!$L$6:$L$55,"&lt;="&amp;$O$9,他港作業!$E$6:$E$55,"")&gt;0),"他港作業中",IF(INDEX(_計算!$C$6:$DR$293,$P$9,83)=1,"作業中",IF(O104="未確認","未確認（会社未確認）",IF(OR(O104="製鉄曳船",O104="西日本海運"),IF(マスター!$F$88="○","供給可能（待機）","対象外（記号との対応未確認）"),IF(COUNTIFS(他社配置!$L$6:$L$55,M104,他社配置!$J$6:$J$55,"○",他社配置!$F$6:$F$55,"可")&gt;0,"供給可能（他社・対応可）",IF(COUNTIFS(他社配置!$L$6:$L$55,M104,他社配置!$J$6:$J$55,"○",他社配置!$F$6:$F$55,"不可")&gt;0,"対応不可","未確認（他社の対応可否が空欄）")))))))))</f>
        <v/>
      </c>
    </row>
    <row r="105" customFormat="false" ht="15" hidden="false" customHeight="false" outlineLevel="0" collapsed="false">
      <c r="M105" s="35" t="str">
        <f aca="false">IF(マスター!$O$89&lt;&gt;"○","",マスター!$K$89)</f>
        <v/>
      </c>
      <c r="N105" s="35" t="str">
        <f aca="false">IF(M105="","",IF(マスター!$C$89="","未確認",マスター!$C$89))</f>
        <v/>
      </c>
      <c r="O105" s="35" t="str">
        <f aca="false">IF(M105="","",マスター!$L$89)</f>
        <v/>
      </c>
      <c r="P105" s="35" t="str">
        <f aca="false">IF(M105="","",IF(マスター!$D$89="通船・警戒船","対象外（通船・警戒船）",IF(COUNTIFS(入渠!$H$6:$H$55,M105,入渠!$G$6:$G$55,"○")&gt;0,"入渠中",IF(AND($O$9&lt;&gt;"",COUNTIFS(他港作業!$K$6:$K$55,M105,他港作業!$L$6:$L$55,"&lt;="&amp;$O$9,他港作業!$M$6:$M$55,"&gt;"&amp;$O$9)+COUNTIFS(他港作業!$K$6:$K$55,M105,他港作業!$L$6:$L$55,"&lt;="&amp;$O$9,他港作業!$E$6:$E$55,"")&gt;0),"他港作業中",IF(INDEX(_計算!$C$6:$DR$293,$P$9,84)=1,"作業中",IF(O105="未確認","未確認（会社未確認）",IF(OR(O105="製鉄曳船",O105="西日本海運"),IF(マスター!$F$89="○","供給可能（待機）","対象外（記号との対応未確認）"),IF(COUNTIFS(他社配置!$L$6:$L$55,M105,他社配置!$J$6:$J$55,"○",他社配置!$F$6:$F$55,"可")&gt;0,"供給可能（他社・対応可）",IF(COUNTIFS(他社配置!$L$6:$L$55,M105,他社配置!$J$6:$J$55,"○",他社配置!$F$6:$F$55,"不可")&gt;0,"対応不可","未確認（他社の対応可否が空欄）")))))))))</f>
        <v/>
      </c>
    </row>
    <row r="106" customFormat="false" ht="15" hidden="false" customHeight="false" outlineLevel="0" collapsed="false">
      <c r="M106" s="35" t="str">
        <f aca="false">IF(マスター!$O$90&lt;&gt;"○","",マスター!$K$90)</f>
        <v/>
      </c>
      <c r="N106" s="35" t="str">
        <f aca="false">IF(M106="","",IF(マスター!$C$90="","未確認",マスター!$C$90))</f>
        <v/>
      </c>
      <c r="O106" s="35" t="str">
        <f aca="false">IF(M106="","",マスター!$L$90)</f>
        <v/>
      </c>
      <c r="P106" s="35" t="str">
        <f aca="false">IF(M106="","",IF(マスター!$D$90="通船・警戒船","対象外（通船・警戒船）",IF(COUNTIFS(入渠!$H$6:$H$55,M106,入渠!$G$6:$G$55,"○")&gt;0,"入渠中",IF(AND($O$9&lt;&gt;"",COUNTIFS(他港作業!$K$6:$K$55,M106,他港作業!$L$6:$L$55,"&lt;="&amp;$O$9,他港作業!$M$6:$M$55,"&gt;"&amp;$O$9)+COUNTIFS(他港作業!$K$6:$K$55,M106,他港作業!$L$6:$L$55,"&lt;="&amp;$O$9,他港作業!$E$6:$E$55,"")&gt;0),"他港作業中",IF(INDEX(_計算!$C$6:$DR$293,$P$9,85)=1,"作業中",IF(O106="未確認","未確認（会社未確認）",IF(OR(O106="製鉄曳船",O106="西日本海運"),IF(マスター!$F$90="○","供給可能（待機）","対象外（記号との対応未確認）"),IF(COUNTIFS(他社配置!$L$6:$L$55,M106,他社配置!$J$6:$J$55,"○",他社配置!$F$6:$F$55,"可")&gt;0,"供給可能（他社・対応可）",IF(COUNTIFS(他社配置!$L$6:$L$55,M106,他社配置!$J$6:$J$55,"○",他社配置!$F$6:$F$55,"不可")&gt;0,"対応不可","未確認（他社の対応可否が空欄）")))))))))</f>
        <v/>
      </c>
    </row>
    <row r="107" customFormat="false" ht="15" hidden="false" customHeight="false" outlineLevel="0" collapsed="false">
      <c r="M107" s="35" t="str">
        <f aca="false">IF(マスター!$O$91&lt;&gt;"○","",マスター!$K$91)</f>
        <v/>
      </c>
      <c r="N107" s="35" t="str">
        <f aca="false">IF(M107="","",IF(マスター!$C$91="","未確認",マスター!$C$91))</f>
        <v/>
      </c>
      <c r="O107" s="35" t="str">
        <f aca="false">IF(M107="","",マスター!$L$91)</f>
        <v/>
      </c>
      <c r="P107" s="35" t="str">
        <f aca="false">IF(M107="","",IF(マスター!$D$91="通船・警戒船","対象外（通船・警戒船）",IF(COUNTIFS(入渠!$H$6:$H$55,M107,入渠!$G$6:$G$55,"○")&gt;0,"入渠中",IF(AND($O$9&lt;&gt;"",COUNTIFS(他港作業!$K$6:$K$55,M107,他港作業!$L$6:$L$55,"&lt;="&amp;$O$9,他港作業!$M$6:$M$55,"&gt;"&amp;$O$9)+COUNTIFS(他港作業!$K$6:$K$55,M107,他港作業!$L$6:$L$55,"&lt;="&amp;$O$9,他港作業!$E$6:$E$55,"")&gt;0),"他港作業中",IF(INDEX(_計算!$C$6:$DR$293,$P$9,86)=1,"作業中",IF(O107="未確認","未確認（会社未確認）",IF(OR(O107="製鉄曳船",O107="西日本海運"),IF(マスター!$F$91="○","供給可能（待機）","対象外（記号との対応未確認）"),IF(COUNTIFS(他社配置!$L$6:$L$55,M107,他社配置!$J$6:$J$55,"○",他社配置!$F$6:$F$55,"可")&gt;0,"供給可能（他社・対応可）",IF(COUNTIFS(他社配置!$L$6:$L$55,M107,他社配置!$J$6:$J$55,"○",他社配置!$F$6:$F$55,"不可")&gt;0,"対応不可","未確認（他社の対応可否が空欄）")))))))))</f>
        <v/>
      </c>
    </row>
    <row r="108" customFormat="false" ht="15" hidden="false" customHeight="false" outlineLevel="0" collapsed="false">
      <c r="M108" s="35" t="str">
        <f aca="false">IF(マスター!$O$92&lt;&gt;"○","",マスター!$K$92)</f>
        <v/>
      </c>
      <c r="N108" s="35" t="str">
        <f aca="false">IF(M108="","",IF(マスター!$C$92="","未確認",マスター!$C$92))</f>
        <v/>
      </c>
      <c r="O108" s="35" t="str">
        <f aca="false">IF(M108="","",マスター!$L$92)</f>
        <v/>
      </c>
      <c r="P108" s="35" t="str">
        <f aca="false">IF(M108="","",IF(マスター!$D$92="通船・警戒船","対象外（通船・警戒船）",IF(COUNTIFS(入渠!$H$6:$H$55,M108,入渠!$G$6:$G$55,"○")&gt;0,"入渠中",IF(AND($O$9&lt;&gt;"",COUNTIFS(他港作業!$K$6:$K$55,M108,他港作業!$L$6:$L$55,"&lt;="&amp;$O$9,他港作業!$M$6:$M$55,"&gt;"&amp;$O$9)+COUNTIFS(他港作業!$K$6:$K$55,M108,他港作業!$L$6:$L$55,"&lt;="&amp;$O$9,他港作業!$E$6:$E$55,"")&gt;0),"他港作業中",IF(INDEX(_計算!$C$6:$DR$293,$P$9,87)=1,"作業中",IF(O108="未確認","未確認（会社未確認）",IF(OR(O108="製鉄曳船",O108="西日本海運"),IF(マスター!$F$92="○","供給可能（待機）","対象外（記号との対応未確認）"),IF(COUNTIFS(他社配置!$L$6:$L$55,M108,他社配置!$J$6:$J$55,"○",他社配置!$F$6:$F$55,"可")&gt;0,"供給可能（他社・対応可）",IF(COUNTIFS(他社配置!$L$6:$L$55,M108,他社配置!$J$6:$J$55,"○",他社配置!$F$6:$F$55,"不可")&gt;0,"対応不可","未確認（他社の対応可否が空欄）")))))))))</f>
        <v/>
      </c>
    </row>
    <row r="109" customFormat="false" ht="15" hidden="false" customHeight="false" outlineLevel="0" collapsed="false">
      <c r="M109" s="35" t="str">
        <f aca="false">IF(マスター!$O$93&lt;&gt;"○","",マスター!$K$93)</f>
        <v/>
      </c>
      <c r="N109" s="35" t="str">
        <f aca="false">IF(M109="","",IF(マスター!$C$93="","未確認",マスター!$C$93))</f>
        <v/>
      </c>
      <c r="O109" s="35" t="str">
        <f aca="false">IF(M109="","",マスター!$L$93)</f>
        <v/>
      </c>
      <c r="P109" s="35" t="str">
        <f aca="false">IF(M109="","",IF(マスター!$D$93="通船・警戒船","対象外（通船・警戒船）",IF(COUNTIFS(入渠!$H$6:$H$55,M109,入渠!$G$6:$G$55,"○")&gt;0,"入渠中",IF(AND($O$9&lt;&gt;"",COUNTIFS(他港作業!$K$6:$K$55,M109,他港作業!$L$6:$L$55,"&lt;="&amp;$O$9,他港作業!$M$6:$M$55,"&gt;"&amp;$O$9)+COUNTIFS(他港作業!$K$6:$K$55,M109,他港作業!$L$6:$L$55,"&lt;="&amp;$O$9,他港作業!$E$6:$E$55,"")&gt;0),"他港作業中",IF(INDEX(_計算!$C$6:$DR$293,$P$9,88)=1,"作業中",IF(O109="未確認","未確認（会社未確認）",IF(OR(O109="製鉄曳船",O109="西日本海運"),IF(マスター!$F$93="○","供給可能（待機）","対象外（記号との対応未確認）"),IF(COUNTIFS(他社配置!$L$6:$L$55,M109,他社配置!$J$6:$J$55,"○",他社配置!$F$6:$F$55,"可")&gt;0,"供給可能（他社・対応可）",IF(COUNTIFS(他社配置!$L$6:$L$55,M109,他社配置!$J$6:$J$55,"○",他社配置!$F$6:$F$55,"不可")&gt;0,"対応不可","未確認（他社の対応可否が空欄）")))))))))</f>
        <v/>
      </c>
    </row>
    <row r="110" customFormat="false" ht="15" hidden="false" customHeight="false" outlineLevel="0" collapsed="false">
      <c r="M110" s="35" t="str">
        <f aca="false">IF(マスター!$O$94&lt;&gt;"○","",マスター!$K$94)</f>
        <v/>
      </c>
      <c r="N110" s="35" t="str">
        <f aca="false">IF(M110="","",IF(マスター!$C$94="","未確認",マスター!$C$94))</f>
        <v/>
      </c>
      <c r="O110" s="35" t="str">
        <f aca="false">IF(M110="","",マスター!$L$94)</f>
        <v/>
      </c>
      <c r="P110" s="35" t="str">
        <f aca="false">IF(M110="","",IF(マスター!$D$94="通船・警戒船","対象外（通船・警戒船）",IF(COUNTIFS(入渠!$H$6:$H$55,M110,入渠!$G$6:$G$55,"○")&gt;0,"入渠中",IF(AND($O$9&lt;&gt;"",COUNTIFS(他港作業!$K$6:$K$55,M110,他港作業!$L$6:$L$55,"&lt;="&amp;$O$9,他港作業!$M$6:$M$55,"&gt;"&amp;$O$9)+COUNTIFS(他港作業!$K$6:$K$55,M110,他港作業!$L$6:$L$55,"&lt;="&amp;$O$9,他港作業!$E$6:$E$55,"")&gt;0),"他港作業中",IF(INDEX(_計算!$C$6:$DR$293,$P$9,89)=1,"作業中",IF(O110="未確認","未確認（会社未確認）",IF(OR(O110="製鉄曳船",O110="西日本海運"),IF(マスター!$F$94="○","供給可能（待機）","対象外（記号との対応未確認）"),IF(COUNTIFS(他社配置!$L$6:$L$55,M110,他社配置!$J$6:$J$55,"○",他社配置!$F$6:$F$55,"可")&gt;0,"供給可能（他社・対応可）",IF(COUNTIFS(他社配置!$L$6:$L$55,M110,他社配置!$J$6:$J$55,"○",他社配置!$F$6:$F$55,"不可")&gt;0,"対応不可","未確認（他社の対応可否が空欄）")))))))))</f>
        <v/>
      </c>
    </row>
    <row r="111" customFormat="false" ht="15" hidden="false" customHeight="false" outlineLevel="0" collapsed="false">
      <c r="M111" s="35" t="str">
        <f aca="false">IF(マスター!$O$95&lt;&gt;"○","",マスター!$K$95)</f>
        <v/>
      </c>
      <c r="N111" s="35" t="str">
        <f aca="false">IF(M111="","",IF(マスター!$C$95="","未確認",マスター!$C$95))</f>
        <v/>
      </c>
      <c r="O111" s="35" t="str">
        <f aca="false">IF(M111="","",マスター!$L$95)</f>
        <v/>
      </c>
      <c r="P111" s="35" t="str">
        <f aca="false">IF(M111="","",IF(マスター!$D$95="通船・警戒船","対象外（通船・警戒船）",IF(COUNTIFS(入渠!$H$6:$H$55,M111,入渠!$G$6:$G$55,"○")&gt;0,"入渠中",IF(AND($O$9&lt;&gt;"",COUNTIFS(他港作業!$K$6:$K$55,M111,他港作業!$L$6:$L$55,"&lt;="&amp;$O$9,他港作業!$M$6:$M$55,"&gt;"&amp;$O$9)+COUNTIFS(他港作業!$K$6:$K$55,M111,他港作業!$L$6:$L$55,"&lt;="&amp;$O$9,他港作業!$E$6:$E$55,"")&gt;0),"他港作業中",IF(INDEX(_計算!$C$6:$DR$293,$P$9,90)=1,"作業中",IF(O111="未確認","未確認（会社未確認）",IF(OR(O111="製鉄曳船",O111="西日本海運"),IF(マスター!$F$95="○","供給可能（待機）","対象外（記号との対応未確認）"),IF(COUNTIFS(他社配置!$L$6:$L$55,M111,他社配置!$J$6:$J$55,"○",他社配置!$F$6:$F$55,"可")&gt;0,"供給可能（他社・対応可）",IF(COUNTIFS(他社配置!$L$6:$L$55,M111,他社配置!$J$6:$J$55,"○",他社配置!$F$6:$F$55,"不可")&gt;0,"対応不可","未確認（他社の対応可否が空欄）")))))))))</f>
        <v/>
      </c>
    </row>
    <row r="112" customFormat="false" ht="15" hidden="false" customHeight="false" outlineLevel="0" collapsed="false">
      <c r="M112" s="35" t="str">
        <f aca="false">IF(マスター!$O$96&lt;&gt;"○","",マスター!$K$96)</f>
        <v/>
      </c>
      <c r="N112" s="35" t="str">
        <f aca="false">IF(M112="","",IF(マスター!$C$96="","未確認",マスター!$C$96))</f>
        <v/>
      </c>
      <c r="O112" s="35" t="str">
        <f aca="false">IF(M112="","",マスター!$L$96)</f>
        <v/>
      </c>
      <c r="P112" s="35" t="str">
        <f aca="false">IF(M112="","",IF(マスター!$D$96="通船・警戒船","対象外（通船・警戒船）",IF(COUNTIFS(入渠!$H$6:$H$55,M112,入渠!$G$6:$G$55,"○")&gt;0,"入渠中",IF(AND($O$9&lt;&gt;"",COUNTIFS(他港作業!$K$6:$K$55,M112,他港作業!$L$6:$L$55,"&lt;="&amp;$O$9,他港作業!$M$6:$M$55,"&gt;"&amp;$O$9)+COUNTIFS(他港作業!$K$6:$K$55,M112,他港作業!$L$6:$L$55,"&lt;="&amp;$O$9,他港作業!$E$6:$E$55,"")&gt;0),"他港作業中",IF(INDEX(_計算!$C$6:$DR$293,$P$9,91)=1,"作業中",IF(O112="未確認","未確認（会社未確認）",IF(OR(O112="製鉄曳船",O112="西日本海運"),IF(マスター!$F$96="○","供給可能（待機）","対象外（記号との対応未確認）"),IF(COUNTIFS(他社配置!$L$6:$L$55,M112,他社配置!$J$6:$J$55,"○",他社配置!$F$6:$F$55,"可")&gt;0,"供給可能（他社・対応可）",IF(COUNTIFS(他社配置!$L$6:$L$55,M112,他社配置!$J$6:$J$55,"○",他社配置!$F$6:$F$55,"不可")&gt;0,"対応不可","未確認（他社の対応可否が空欄）")))))))))</f>
        <v/>
      </c>
    </row>
    <row r="113" customFormat="false" ht="15" hidden="false" customHeight="false" outlineLevel="0" collapsed="false">
      <c r="M113" s="35" t="str">
        <f aca="false">IF(マスター!$O$97&lt;&gt;"○","",マスター!$K$97)</f>
        <v/>
      </c>
      <c r="N113" s="35" t="str">
        <f aca="false">IF(M113="","",IF(マスター!$C$97="","未確認",マスター!$C$97))</f>
        <v/>
      </c>
      <c r="O113" s="35" t="str">
        <f aca="false">IF(M113="","",マスター!$L$97)</f>
        <v/>
      </c>
      <c r="P113" s="35" t="str">
        <f aca="false">IF(M113="","",IF(マスター!$D$97="通船・警戒船","対象外（通船・警戒船）",IF(COUNTIFS(入渠!$H$6:$H$55,M113,入渠!$G$6:$G$55,"○")&gt;0,"入渠中",IF(AND($O$9&lt;&gt;"",COUNTIFS(他港作業!$K$6:$K$55,M113,他港作業!$L$6:$L$55,"&lt;="&amp;$O$9,他港作業!$M$6:$M$55,"&gt;"&amp;$O$9)+COUNTIFS(他港作業!$K$6:$K$55,M113,他港作業!$L$6:$L$55,"&lt;="&amp;$O$9,他港作業!$E$6:$E$55,"")&gt;0),"他港作業中",IF(INDEX(_計算!$C$6:$DR$293,$P$9,92)=1,"作業中",IF(O113="未確認","未確認（会社未確認）",IF(OR(O113="製鉄曳船",O113="西日本海運"),IF(マスター!$F$97="○","供給可能（待機）","対象外（記号との対応未確認）"),IF(COUNTIFS(他社配置!$L$6:$L$55,M113,他社配置!$J$6:$J$55,"○",他社配置!$F$6:$F$55,"可")&gt;0,"供給可能（他社・対応可）",IF(COUNTIFS(他社配置!$L$6:$L$55,M113,他社配置!$J$6:$J$55,"○",他社配置!$F$6:$F$55,"不可")&gt;0,"対応不可","未確認（他社の対応可否が空欄）")))))))))</f>
        <v/>
      </c>
    </row>
    <row r="114" customFormat="false" ht="15" hidden="false" customHeight="false" outlineLevel="0" collapsed="false">
      <c r="M114" s="35" t="str">
        <f aca="false">IF(マスター!$O$98&lt;&gt;"○","",マスター!$K$98)</f>
        <v/>
      </c>
      <c r="N114" s="35" t="str">
        <f aca="false">IF(M114="","",IF(マスター!$C$98="","未確認",マスター!$C$98))</f>
        <v/>
      </c>
      <c r="O114" s="35" t="str">
        <f aca="false">IF(M114="","",マスター!$L$98)</f>
        <v/>
      </c>
      <c r="P114" s="35" t="str">
        <f aca="false">IF(M114="","",IF(マスター!$D$98="通船・警戒船","対象外（通船・警戒船）",IF(COUNTIFS(入渠!$H$6:$H$55,M114,入渠!$G$6:$G$55,"○")&gt;0,"入渠中",IF(AND($O$9&lt;&gt;"",COUNTIFS(他港作業!$K$6:$K$55,M114,他港作業!$L$6:$L$55,"&lt;="&amp;$O$9,他港作業!$M$6:$M$55,"&gt;"&amp;$O$9)+COUNTIFS(他港作業!$K$6:$K$55,M114,他港作業!$L$6:$L$55,"&lt;="&amp;$O$9,他港作業!$E$6:$E$55,"")&gt;0),"他港作業中",IF(INDEX(_計算!$C$6:$DR$293,$P$9,93)=1,"作業中",IF(O114="未確認","未確認（会社未確認）",IF(OR(O114="製鉄曳船",O114="西日本海運"),IF(マスター!$F$98="○","供給可能（待機）","対象外（記号との対応未確認）"),IF(COUNTIFS(他社配置!$L$6:$L$55,M114,他社配置!$J$6:$J$55,"○",他社配置!$F$6:$F$55,"可")&gt;0,"供給可能（他社・対応可）",IF(COUNTIFS(他社配置!$L$6:$L$55,M114,他社配置!$J$6:$J$55,"○",他社配置!$F$6:$F$55,"不可")&gt;0,"対応不可","未確認（他社の対応可否が空欄）")))))))))</f>
        <v/>
      </c>
    </row>
    <row r="115" customFormat="false" ht="15" hidden="false" customHeight="false" outlineLevel="0" collapsed="false">
      <c r="M115" s="35" t="str">
        <f aca="false">IF(マスター!$O$99&lt;&gt;"○","",マスター!$K$99)</f>
        <v/>
      </c>
      <c r="N115" s="35" t="str">
        <f aca="false">IF(M115="","",IF(マスター!$C$99="","未確認",マスター!$C$99))</f>
        <v/>
      </c>
      <c r="O115" s="35" t="str">
        <f aca="false">IF(M115="","",マスター!$L$99)</f>
        <v/>
      </c>
      <c r="P115" s="35" t="str">
        <f aca="false">IF(M115="","",IF(マスター!$D$99="通船・警戒船","対象外（通船・警戒船）",IF(COUNTIFS(入渠!$H$6:$H$55,M115,入渠!$G$6:$G$55,"○")&gt;0,"入渠中",IF(AND($O$9&lt;&gt;"",COUNTIFS(他港作業!$K$6:$K$55,M115,他港作業!$L$6:$L$55,"&lt;="&amp;$O$9,他港作業!$M$6:$M$55,"&gt;"&amp;$O$9)+COUNTIFS(他港作業!$K$6:$K$55,M115,他港作業!$L$6:$L$55,"&lt;="&amp;$O$9,他港作業!$E$6:$E$55,"")&gt;0),"他港作業中",IF(INDEX(_計算!$C$6:$DR$293,$P$9,94)=1,"作業中",IF(O115="未確認","未確認（会社未確認）",IF(OR(O115="製鉄曳船",O115="西日本海運"),IF(マスター!$F$99="○","供給可能（待機）","対象外（記号との対応未確認）"),IF(COUNTIFS(他社配置!$L$6:$L$55,M115,他社配置!$J$6:$J$55,"○",他社配置!$F$6:$F$55,"可")&gt;0,"供給可能（他社・対応可）",IF(COUNTIFS(他社配置!$L$6:$L$55,M115,他社配置!$J$6:$J$55,"○",他社配置!$F$6:$F$55,"不可")&gt;0,"対応不可","未確認（他社の対応可否が空欄）")))))))))</f>
        <v/>
      </c>
    </row>
    <row r="116" customFormat="false" ht="15" hidden="false" customHeight="false" outlineLevel="0" collapsed="false">
      <c r="M116" s="35" t="str">
        <f aca="false">IF(マスター!$O$100&lt;&gt;"○","",マスター!$K$100)</f>
        <v/>
      </c>
      <c r="N116" s="35" t="str">
        <f aca="false">IF(M116="","",IF(マスター!$C$100="","未確認",マスター!$C$100))</f>
        <v/>
      </c>
      <c r="O116" s="35" t="str">
        <f aca="false">IF(M116="","",マスター!$L$100)</f>
        <v/>
      </c>
      <c r="P116" s="35" t="str">
        <f aca="false">IF(M116="","",IF(マスター!$D$100="通船・警戒船","対象外（通船・警戒船）",IF(COUNTIFS(入渠!$H$6:$H$55,M116,入渠!$G$6:$G$55,"○")&gt;0,"入渠中",IF(AND($O$9&lt;&gt;"",COUNTIFS(他港作業!$K$6:$K$55,M116,他港作業!$L$6:$L$55,"&lt;="&amp;$O$9,他港作業!$M$6:$M$55,"&gt;"&amp;$O$9)+COUNTIFS(他港作業!$K$6:$K$55,M116,他港作業!$L$6:$L$55,"&lt;="&amp;$O$9,他港作業!$E$6:$E$55,"")&gt;0),"他港作業中",IF(INDEX(_計算!$C$6:$DR$293,$P$9,95)=1,"作業中",IF(O116="未確認","未確認（会社未確認）",IF(OR(O116="製鉄曳船",O116="西日本海運"),IF(マスター!$F$100="○","供給可能（待機）","対象外（記号との対応未確認）"),IF(COUNTIFS(他社配置!$L$6:$L$55,M116,他社配置!$J$6:$J$55,"○",他社配置!$F$6:$F$55,"可")&gt;0,"供給可能（他社・対応可）",IF(COUNTIFS(他社配置!$L$6:$L$55,M116,他社配置!$J$6:$J$55,"○",他社配置!$F$6:$F$55,"不可")&gt;0,"対応不可","未確認（他社の対応可否が空欄）")))))))))</f>
        <v/>
      </c>
    </row>
    <row r="117" customFormat="false" ht="15" hidden="false" customHeight="false" outlineLevel="0" collapsed="false">
      <c r="M117" s="35" t="str">
        <f aca="false">IF(マスター!$O$101&lt;&gt;"○","",マスター!$K$101)</f>
        <v/>
      </c>
      <c r="N117" s="35" t="str">
        <f aca="false">IF(M117="","",IF(マスター!$C$101="","未確認",マスター!$C$101))</f>
        <v/>
      </c>
      <c r="O117" s="35" t="str">
        <f aca="false">IF(M117="","",マスター!$L$101)</f>
        <v/>
      </c>
      <c r="P117" s="35" t="str">
        <f aca="false">IF(M117="","",IF(マスター!$D$101="通船・警戒船","対象外（通船・警戒船）",IF(COUNTIFS(入渠!$H$6:$H$55,M117,入渠!$G$6:$G$55,"○")&gt;0,"入渠中",IF(AND($O$9&lt;&gt;"",COUNTIFS(他港作業!$K$6:$K$55,M117,他港作業!$L$6:$L$55,"&lt;="&amp;$O$9,他港作業!$M$6:$M$55,"&gt;"&amp;$O$9)+COUNTIFS(他港作業!$K$6:$K$55,M117,他港作業!$L$6:$L$55,"&lt;="&amp;$O$9,他港作業!$E$6:$E$55,"")&gt;0),"他港作業中",IF(INDEX(_計算!$C$6:$DR$293,$P$9,96)=1,"作業中",IF(O117="未確認","未確認（会社未確認）",IF(OR(O117="製鉄曳船",O117="西日本海運"),IF(マスター!$F$101="○","供給可能（待機）","対象外（記号との対応未確認）"),IF(COUNTIFS(他社配置!$L$6:$L$55,M117,他社配置!$J$6:$J$55,"○",他社配置!$F$6:$F$55,"可")&gt;0,"供給可能（他社・対応可）",IF(COUNTIFS(他社配置!$L$6:$L$55,M117,他社配置!$J$6:$J$55,"○",他社配置!$F$6:$F$55,"不可")&gt;0,"対応不可","未確認（他社の対応可否が空欄）")))))))))</f>
        <v/>
      </c>
    </row>
    <row r="118" customFormat="false" ht="15" hidden="false" customHeight="false" outlineLevel="0" collapsed="false">
      <c r="M118" s="35" t="str">
        <f aca="false">IF(マスター!$O$102&lt;&gt;"○","",マスター!$K$102)</f>
        <v/>
      </c>
      <c r="N118" s="35" t="str">
        <f aca="false">IF(M118="","",IF(マスター!$C$102="","未確認",マスター!$C$102))</f>
        <v/>
      </c>
      <c r="O118" s="35" t="str">
        <f aca="false">IF(M118="","",マスター!$L$102)</f>
        <v/>
      </c>
      <c r="P118" s="35" t="str">
        <f aca="false">IF(M118="","",IF(マスター!$D$102="通船・警戒船","対象外（通船・警戒船）",IF(COUNTIFS(入渠!$H$6:$H$55,M118,入渠!$G$6:$G$55,"○")&gt;0,"入渠中",IF(AND($O$9&lt;&gt;"",COUNTIFS(他港作業!$K$6:$K$55,M118,他港作業!$L$6:$L$55,"&lt;="&amp;$O$9,他港作業!$M$6:$M$55,"&gt;"&amp;$O$9)+COUNTIFS(他港作業!$K$6:$K$55,M118,他港作業!$L$6:$L$55,"&lt;="&amp;$O$9,他港作業!$E$6:$E$55,"")&gt;0),"他港作業中",IF(INDEX(_計算!$C$6:$DR$293,$P$9,97)=1,"作業中",IF(O118="未確認","未確認（会社未確認）",IF(OR(O118="製鉄曳船",O118="西日本海運"),IF(マスター!$F$102="○","供給可能（待機）","対象外（記号との対応未確認）"),IF(COUNTIFS(他社配置!$L$6:$L$55,M118,他社配置!$J$6:$J$55,"○",他社配置!$F$6:$F$55,"可")&gt;0,"供給可能（他社・対応可）",IF(COUNTIFS(他社配置!$L$6:$L$55,M118,他社配置!$J$6:$J$55,"○",他社配置!$F$6:$F$55,"不可")&gt;0,"対応不可","未確認（他社の対応可否が空欄）")))))))))</f>
        <v/>
      </c>
    </row>
    <row r="119" customFormat="false" ht="15" hidden="false" customHeight="false" outlineLevel="0" collapsed="false">
      <c r="M119" s="35" t="str">
        <f aca="false">IF(マスター!$O$103&lt;&gt;"○","",マスター!$K$103)</f>
        <v/>
      </c>
      <c r="N119" s="35" t="str">
        <f aca="false">IF(M119="","",IF(マスター!$C$103="","未確認",マスター!$C$103))</f>
        <v/>
      </c>
      <c r="O119" s="35" t="str">
        <f aca="false">IF(M119="","",マスター!$L$103)</f>
        <v/>
      </c>
      <c r="P119" s="35" t="str">
        <f aca="false">IF(M119="","",IF(マスター!$D$103="通船・警戒船","対象外（通船・警戒船）",IF(COUNTIFS(入渠!$H$6:$H$55,M119,入渠!$G$6:$G$55,"○")&gt;0,"入渠中",IF(AND($O$9&lt;&gt;"",COUNTIFS(他港作業!$K$6:$K$55,M119,他港作業!$L$6:$L$55,"&lt;="&amp;$O$9,他港作業!$M$6:$M$55,"&gt;"&amp;$O$9)+COUNTIFS(他港作業!$K$6:$K$55,M119,他港作業!$L$6:$L$55,"&lt;="&amp;$O$9,他港作業!$E$6:$E$55,"")&gt;0),"他港作業中",IF(INDEX(_計算!$C$6:$DR$293,$P$9,98)=1,"作業中",IF(O119="未確認","未確認（会社未確認）",IF(OR(O119="製鉄曳船",O119="西日本海運"),IF(マスター!$F$103="○","供給可能（待機）","対象外（記号との対応未確認）"),IF(COUNTIFS(他社配置!$L$6:$L$55,M119,他社配置!$J$6:$J$55,"○",他社配置!$F$6:$F$55,"可")&gt;0,"供給可能（他社・対応可）",IF(COUNTIFS(他社配置!$L$6:$L$55,M119,他社配置!$J$6:$J$55,"○",他社配置!$F$6:$F$55,"不可")&gt;0,"対応不可","未確認（他社の対応可否が空欄）")))))))))</f>
        <v/>
      </c>
    </row>
    <row r="120" customFormat="false" ht="15" hidden="false" customHeight="false" outlineLevel="0" collapsed="false">
      <c r="M120" s="35" t="str">
        <f aca="false">IF(マスター!$O$104&lt;&gt;"○","",マスター!$K$104)</f>
        <v/>
      </c>
      <c r="N120" s="35" t="str">
        <f aca="false">IF(M120="","",IF(マスター!$C$104="","未確認",マスター!$C$104))</f>
        <v/>
      </c>
      <c r="O120" s="35" t="str">
        <f aca="false">IF(M120="","",マスター!$L$104)</f>
        <v/>
      </c>
      <c r="P120" s="35" t="str">
        <f aca="false">IF(M120="","",IF(マスター!$D$104="通船・警戒船","対象外（通船・警戒船）",IF(COUNTIFS(入渠!$H$6:$H$55,M120,入渠!$G$6:$G$55,"○")&gt;0,"入渠中",IF(AND($O$9&lt;&gt;"",COUNTIFS(他港作業!$K$6:$K$55,M120,他港作業!$L$6:$L$55,"&lt;="&amp;$O$9,他港作業!$M$6:$M$55,"&gt;"&amp;$O$9)+COUNTIFS(他港作業!$K$6:$K$55,M120,他港作業!$L$6:$L$55,"&lt;="&amp;$O$9,他港作業!$E$6:$E$55,"")&gt;0),"他港作業中",IF(INDEX(_計算!$C$6:$DR$293,$P$9,99)=1,"作業中",IF(O120="未確認","未確認（会社未確認）",IF(OR(O120="製鉄曳船",O120="西日本海運"),IF(マスター!$F$104="○","供給可能（待機）","対象外（記号との対応未確認）"),IF(COUNTIFS(他社配置!$L$6:$L$55,M120,他社配置!$J$6:$J$55,"○",他社配置!$F$6:$F$55,"可")&gt;0,"供給可能（他社・対応可）",IF(COUNTIFS(他社配置!$L$6:$L$55,M120,他社配置!$J$6:$J$55,"○",他社配置!$F$6:$F$55,"不可")&gt;0,"対応不可","未確認（他社の対応可否が空欄）")))))))))</f>
        <v/>
      </c>
    </row>
    <row r="121" customFormat="false" ht="15" hidden="false" customHeight="false" outlineLevel="0" collapsed="false">
      <c r="M121" s="35" t="str">
        <f aca="false">IF(マスター!$O$105&lt;&gt;"○","",マスター!$K$105)</f>
        <v/>
      </c>
      <c r="N121" s="35" t="str">
        <f aca="false">IF(M121="","",IF(マスター!$C$105="","未確認",マスター!$C$105))</f>
        <v/>
      </c>
      <c r="O121" s="35" t="str">
        <f aca="false">IF(M121="","",マスター!$L$105)</f>
        <v/>
      </c>
      <c r="P121" s="35" t="str">
        <f aca="false">IF(M121="","",IF(マスター!$D$105="通船・警戒船","対象外（通船・警戒船）",IF(COUNTIFS(入渠!$H$6:$H$55,M121,入渠!$G$6:$G$55,"○")&gt;0,"入渠中",IF(AND($O$9&lt;&gt;"",COUNTIFS(他港作業!$K$6:$K$55,M121,他港作業!$L$6:$L$55,"&lt;="&amp;$O$9,他港作業!$M$6:$M$55,"&gt;"&amp;$O$9)+COUNTIFS(他港作業!$K$6:$K$55,M121,他港作業!$L$6:$L$55,"&lt;="&amp;$O$9,他港作業!$E$6:$E$55,"")&gt;0),"他港作業中",IF(INDEX(_計算!$C$6:$DR$293,$P$9,100)=1,"作業中",IF(O121="未確認","未確認（会社未確認）",IF(OR(O121="製鉄曳船",O121="西日本海運"),IF(マスター!$F$105="○","供給可能（待機）","対象外（記号との対応未確認）"),IF(COUNTIFS(他社配置!$L$6:$L$55,M121,他社配置!$J$6:$J$55,"○",他社配置!$F$6:$F$55,"可")&gt;0,"供給可能（他社・対応可）",IF(COUNTIFS(他社配置!$L$6:$L$55,M121,他社配置!$J$6:$J$55,"○",他社配置!$F$6:$F$55,"不可")&gt;0,"対応不可","未確認（他社の対応可否が空欄）")))))))))</f>
        <v/>
      </c>
    </row>
    <row r="122" customFormat="false" ht="15" hidden="false" customHeight="false" outlineLevel="0" collapsed="false">
      <c r="M122" s="35" t="str">
        <f aca="false">IF(マスター!$O$106&lt;&gt;"○","",マスター!$K$106)</f>
        <v/>
      </c>
      <c r="N122" s="35" t="str">
        <f aca="false">IF(M122="","",IF(マスター!$C$106="","未確認",マスター!$C$106))</f>
        <v/>
      </c>
      <c r="O122" s="35" t="str">
        <f aca="false">IF(M122="","",マスター!$L$106)</f>
        <v/>
      </c>
      <c r="P122" s="35" t="str">
        <f aca="false">IF(M122="","",IF(マスター!$D$106="通船・警戒船","対象外（通船・警戒船）",IF(COUNTIFS(入渠!$H$6:$H$55,M122,入渠!$G$6:$G$55,"○")&gt;0,"入渠中",IF(AND($O$9&lt;&gt;"",COUNTIFS(他港作業!$K$6:$K$55,M122,他港作業!$L$6:$L$55,"&lt;="&amp;$O$9,他港作業!$M$6:$M$55,"&gt;"&amp;$O$9)+COUNTIFS(他港作業!$K$6:$K$55,M122,他港作業!$L$6:$L$55,"&lt;="&amp;$O$9,他港作業!$E$6:$E$55,"")&gt;0),"他港作業中",IF(INDEX(_計算!$C$6:$DR$293,$P$9,101)=1,"作業中",IF(O122="未確認","未確認（会社未確認）",IF(OR(O122="製鉄曳船",O122="西日本海運"),IF(マスター!$F$106="○","供給可能（待機）","対象外（記号との対応未確認）"),IF(COUNTIFS(他社配置!$L$6:$L$55,M122,他社配置!$J$6:$J$55,"○",他社配置!$F$6:$F$55,"可")&gt;0,"供給可能（他社・対応可）",IF(COUNTIFS(他社配置!$L$6:$L$55,M122,他社配置!$J$6:$J$55,"○",他社配置!$F$6:$F$55,"不可")&gt;0,"対応不可","未確認（他社の対応可否が空欄）")))))))))</f>
        <v/>
      </c>
    </row>
    <row r="123" customFormat="false" ht="15" hidden="false" customHeight="false" outlineLevel="0" collapsed="false">
      <c r="M123" s="35" t="str">
        <f aca="false">IF(マスター!$O$107&lt;&gt;"○","",マスター!$K$107)</f>
        <v/>
      </c>
      <c r="N123" s="35" t="str">
        <f aca="false">IF(M123="","",IF(マスター!$C$107="","未確認",マスター!$C$107))</f>
        <v/>
      </c>
      <c r="O123" s="35" t="str">
        <f aca="false">IF(M123="","",マスター!$L$107)</f>
        <v/>
      </c>
      <c r="P123" s="35" t="str">
        <f aca="false">IF(M123="","",IF(マスター!$D$107="通船・警戒船","対象外（通船・警戒船）",IF(COUNTIFS(入渠!$H$6:$H$55,M123,入渠!$G$6:$G$55,"○")&gt;0,"入渠中",IF(AND($O$9&lt;&gt;"",COUNTIFS(他港作業!$K$6:$K$55,M123,他港作業!$L$6:$L$55,"&lt;="&amp;$O$9,他港作業!$M$6:$M$55,"&gt;"&amp;$O$9)+COUNTIFS(他港作業!$K$6:$K$55,M123,他港作業!$L$6:$L$55,"&lt;="&amp;$O$9,他港作業!$E$6:$E$55,"")&gt;0),"他港作業中",IF(INDEX(_計算!$C$6:$DR$293,$P$9,102)=1,"作業中",IF(O123="未確認","未確認（会社未確認）",IF(OR(O123="製鉄曳船",O123="西日本海運"),IF(マスター!$F$107="○","供給可能（待機）","対象外（記号との対応未確認）"),IF(COUNTIFS(他社配置!$L$6:$L$55,M123,他社配置!$J$6:$J$55,"○",他社配置!$F$6:$F$55,"可")&gt;0,"供給可能（他社・対応可）",IF(COUNTIFS(他社配置!$L$6:$L$55,M123,他社配置!$J$6:$J$55,"○",他社配置!$F$6:$F$55,"不可")&gt;0,"対応不可","未確認（他社の対応可否が空欄）")))))))))</f>
        <v/>
      </c>
    </row>
    <row r="124" customFormat="false" ht="15" hidden="false" customHeight="false" outlineLevel="0" collapsed="false">
      <c r="M124" s="35" t="str">
        <f aca="false">IF(マスター!$O$108&lt;&gt;"○","",マスター!$K$108)</f>
        <v/>
      </c>
      <c r="N124" s="35" t="str">
        <f aca="false">IF(M124="","",IF(マスター!$C$108="","未確認",マスター!$C$108))</f>
        <v/>
      </c>
      <c r="O124" s="35" t="str">
        <f aca="false">IF(M124="","",マスター!$L$108)</f>
        <v/>
      </c>
      <c r="P124" s="35" t="str">
        <f aca="false">IF(M124="","",IF(マスター!$D$108="通船・警戒船","対象外（通船・警戒船）",IF(COUNTIFS(入渠!$H$6:$H$55,M124,入渠!$G$6:$G$55,"○")&gt;0,"入渠中",IF(AND($O$9&lt;&gt;"",COUNTIFS(他港作業!$K$6:$K$55,M124,他港作業!$L$6:$L$55,"&lt;="&amp;$O$9,他港作業!$M$6:$M$55,"&gt;"&amp;$O$9)+COUNTIFS(他港作業!$K$6:$K$55,M124,他港作業!$L$6:$L$55,"&lt;="&amp;$O$9,他港作業!$E$6:$E$55,"")&gt;0),"他港作業中",IF(INDEX(_計算!$C$6:$DR$293,$P$9,103)=1,"作業中",IF(O124="未確認","未確認（会社未確認）",IF(OR(O124="製鉄曳船",O124="西日本海運"),IF(マスター!$F$108="○","供給可能（待機）","対象外（記号との対応未確認）"),IF(COUNTIFS(他社配置!$L$6:$L$55,M124,他社配置!$J$6:$J$55,"○",他社配置!$F$6:$F$55,"可")&gt;0,"供給可能（他社・対応可）",IF(COUNTIFS(他社配置!$L$6:$L$55,M124,他社配置!$J$6:$J$55,"○",他社配置!$F$6:$F$55,"不可")&gt;0,"対応不可","未確認（他社の対応可否が空欄）")))))))))</f>
        <v/>
      </c>
    </row>
    <row r="125" customFormat="false" ht="15" hidden="false" customHeight="false" outlineLevel="0" collapsed="false">
      <c r="M125" s="35" t="str">
        <f aca="false">IF(マスター!$O$109&lt;&gt;"○","",マスター!$K$109)</f>
        <v/>
      </c>
      <c r="N125" s="35" t="str">
        <f aca="false">IF(M125="","",IF(マスター!$C$109="","未確認",マスター!$C$109))</f>
        <v/>
      </c>
      <c r="O125" s="35" t="str">
        <f aca="false">IF(M125="","",マスター!$L$109)</f>
        <v/>
      </c>
      <c r="P125" s="35" t="str">
        <f aca="false">IF(M125="","",IF(マスター!$D$109="通船・警戒船","対象外（通船・警戒船）",IF(COUNTIFS(入渠!$H$6:$H$55,M125,入渠!$G$6:$G$55,"○")&gt;0,"入渠中",IF(AND($O$9&lt;&gt;"",COUNTIFS(他港作業!$K$6:$K$55,M125,他港作業!$L$6:$L$55,"&lt;="&amp;$O$9,他港作業!$M$6:$M$55,"&gt;"&amp;$O$9)+COUNTIFS(他港作業!$K$6:$K$55,M125,他港作業!$L$6:$L$55,"&lt;="&amp;$O$9,他港作業!$E$6:$E$55,"")&gt;0),"他港作業中",IF(INDEX(_計算!$C$6:$DR$293,$P$9,104)=1,"作業中",IF(O125="未確認","未確認（会社未確認）",IF(OR(O125="製鉄曳船",O125="西日本海運"),IF(マスター!$F$109="○","供給可能（待機）","対象外（記号との対応未確認）"),IF(COUNTIFS(他社配置!$L$6:$L$55,M125,他社配置!$J$6:$J$55,"○",他社配置!$F$6:$F$55,"可")&gt;0,"供給可能（他社・対応可）",IF(COUNTIFS(他社配置!$L$6:$L$55,M125,他社配置!$J$6:$J$55,"○",他社配置!$F$6:$F$55,"不可")&gt;0,"対応不可","未確認（他社の対応可否が空欄）")))))))))</f>
        <v/>
      </c>
    </row>
    <row r="126" customFormat="false" ht="15" hidden="false" customHeight="false" outlineLevel="0" collapsed="false">
      <c r="M126" s="35" t="str">
        <f aca="false">IF(マスター!$O$110&lt;&gt;"○","",マスター!$K$110)</f>
        <v/>
      </c>
      <c r="N126" s="35" t="str">
        <f aca="false">IF(M126="","",IF(マスター!$C$110="","未確認",マスター!$C$110))</f>
        <v/>
      </c>
      <c r="O126" s="35" t="str">
        <f aca="false">IF(M126="","",マスター!$L$110)</f>
        <v/>
      </c>
      <c r="P126" s="35" t="str">
        <f aca="false">IF(M126="","",IF(マスター!$D$110="通船・警戒船","対象外（通船・警戒船）",IF(COUNTIFS(入渠!$H$6:$H$55,M126,入渠!$G$6:$G$55,"○")&gt;0,"入渠中",IF(AND($O$9&lt;&gt;"",COUNTIFS(他港作業!$K$6:$K$55,M126,他港作業!$L$6:$L$55,"&lt;="&amp;$O$9,他港作業!$M$6:$M$55,"&gt;"&amp;$O$9)+COUNTIFS(他港作業!$K$6:$K$55,M126,他港作業!$L$6:$L$55,"&lt;="&amp;$O$9,他港作業!$E$6:$E$55,"")&gt;0),"他港作業中",IF(INDEX(_計算!$C$6:$DR$293,$P$9,105)=1,"作業中",IF(O126="未確認","未確認（会社未確認）",IF(OR(O126="製鉄曳船",O126="西日本海運"),IF(マスター!$F$110="○","供給可能（待機）","対象外（記号との対応未確認）"),IF(COUNTIFS(他社配置!$L$6:$L$55,M126,他社配置!$J$6:$J$55,"○",他社配置!$F$6:$F$55,"可")&gt;0,"供給可能（他社・対応可）",IF(COUNTIFS(他社配置!$L$6:$L$55,M126,他社配置!$J$6:$J$55,"○",他社配置!$F$6:$F$55,"不可")&gt;0,"対応不可","未確認（他社の対応可否が空欄）")))))))))</f>
        <v/>
      </c>
    </row>
    <row r="127" customFormat="false" ht="15" hidden="false" customHeight="false" outlineLevel="0" collapsed="false">
      <c r="M127" s="35" t="str">
        <f aca="false">IF(マスター!$O$111&lt;&gt;"○","",マスター!$K$111)</f>
        <v/>
      </c>
      <c r="N127" s="35" t="str">
        <f aca="false">IF(M127="","",IF(マスター!$C$111="","未確認",マスター!$C$111))</f>
        <v/>
      </c>
      <c r="O127" s="35" t="str">
        <f aca="false">IF(M127="","",マスター!$L$111)</f>
        <v/>
      </c>
      <c r="P127" s="35" t="str">
        <f aca="false">IF(M127="","",IF(マスター!$D$111="通船・警戒船","対象外（通船・警戒船）",IF(COUNTIFS(入渠!$H$6:$H$55,M127,入渠!$G$6:$G$55,"○")&gt;0,"入渠中",IF(AND($O$9&lt;&gt;"",COUNTIFS(他港作業!$K$6:$K$55,M127,他港作業!$L$6:$L$55,"&lt;="&amp;$O$9,他港作業!$M$6:$M$55,"&gt;"&amp;$O$9)+COUNTIFS(他港作業!$K$6:$K$55,M127,他港作業!$L$6:$L$55,"&lt;="&amp;$O$9,他港作業!$E$6:$E$55,"")&gt;0),"他港作業中",IF(INDEX(_計算!$C$6:$DR$293,$P$9,106)=1,"作業中",IF(O127="未確認","未確認（会社未確認）",IF(OR(O127="製鉄曳船",O127="西日本海運"),IF(マスター!$F$111="○","供給可能（待機）","対象外（記号との対応未確認）"),IF(COUNTIFS(他社配置!$L$6:$L$55,M127,他社配置!$J$6:$J$55,"○",他社配置!$F$6:$F$55,"可")&gt;0,"供給可能（他社・対応可）",IF(COUNTIFS(他社配置!$L$6:$L$55,M127,他社配置!$J$6:$J$55,"○",他社配置!$F$6:$F$55,"不可")&gt;0,"対応不可","未確認（他社の対応可否が空欄）")))))))))</f>
        <v/>
      </c>
    </row>
    <row r="128" customFormat="false" ht="15" hidden="false" customHeight="false" outlineLevel="0" collapsed="false">
      <c r="M128" s="35" t="str">
        <f aca="false">IF(マスター!$O$112&lt;&gt;"○","",マスター!$K$112)</f>
        <v/>
      </c>
      <c r="N128" s="35" t="str">
        <f aca="false">IF(M128="","",IF(マスター!$C$112="","未確認",マスター!$C$112))</f>
        <v/>
      </c>
      <c r="O128" s="35" t="str">
        <f aca="false">IF(M128="","",マスター!$L$112)</f>
        <v/>
      </c>
      <c r="P128" s="35" t="str">
        <f aca="false">IF(M128="","",IF(マスター!$D$112="通船・警戒船","対象外（通船・警戒船）",IF(COUNTIFS(入渠!$H$6:$H$55,M128,入渠!$G$6:$G$55,"○")&gt;0,"入渠中",IF(AND($O$9&lt;&gt;"",COUNTIFS(他港作業!$K$6:$K$55,M128,他港作業!$L$6:$L$55,"&lt;="&amp;$O$9,他港作業!$M$6:$M$55,"&gt;"&amp;$O$9)+COUNTIFS(他港作業!$K$6:$K$55,M128,他港作業!$L$6:$L$55,"&lt;="&amp;$O$9,他港作業!$E$6:$E$55,"")&gt;0),"他港作業中",IF(INDEX(_計算!$C$6:$DR$293,$P$9,107)=1,"作業中",IF(O128="未確認","未確認（会社未確認）",IF(OR(O128="製鉄曳船",O128="西日本海運"),IF(マスター!$F$112="○","供給可能（待機）","対象外（記号との対応未確認）"),IF(COUNTIFS(他社配置!$L$6:$L$55,M128,他社配置!$J$6:$J$55,"○",他社配置!$F$6:$F$55,"可")&gt;0,"供給可能（他社・対応可）",IF(COUNTIFS(他社配置!$L$6:$L$55,M128,他社配置!$J$6:$J$55,"○",他社配置!$F$6:$F$55,"不可")&gt;0,"対応不可","未確認（他社の対応可否が空欄）")))))))))</f>
        <v/>
      </c>
    </row>
    <row r="129" customFormat="false" ht="15" hidden="false" customHeight="false" outlineLevel="0" collapsed="false">
      <c r="M129" s="35" t="str">
        <f aca="false">IF(マスター!$O$113&lt;&gt;"○","",マスター!$K$113)</f>
        <v/>
      </c>
      <c r="N129" s="35" t="str">
        <f aca="false">IF(M129="","",IF(マスター!$C$113="","未確認",マスター!$C$113))</f>
        <v/>
      </c>
      <c r="O129" s="35" t="str">
        <f aca="false">IF(M129="","",マスター!$L$113)</f>
        <v/>
      </c>
      <c r="P129" s="35" t="str">
        <f aca="false">IF(M129="","",IF(マスター!$D$113="通船・警戒船","対象外（通船・警戒船）",IF(COUNTIFS(入渠!$H$6:$H$55,M129,入渠!$G$6:$G$55,"○")&gt;0,"入渠中",IF(AND($O$9&lt;&gt;"",COUNTIFS(他港作業!$K$6:$K$55,M129,他港作業!$L$6:$L$55,"&lt;="&amp;$O$9,他港作業!$M$6:$M$55,"&gt;"&amp;$O$9)+COUNTIFS(他港作業!$K$6:$K$55,M129,他港作業!$L$6:$L$55,"&lt;="&amp;$O$9,他港作業!$E$6:$E$55,"")&gt;0),"他港作業中",IF(INDEX(_計算!$C$6:$DR$293,$P$9,108)=1,"作業中",IF(O129="未確認","未確認（会社未確認）",IF(OR(O129="製鉄曳船",O129="西日本海運"),IF(マスター!$F$113="○","供給可能（待機）","対象外（記号との対応未確認）"),IF(COUNTIFS(他社配置!$L$6:$L$55,M129,他社配置!$J$6:$J$55,"○",他社配置!$F$6:$F$55,"可")&gt;0,"供給可能（他社・対応可）",IF(COUNTIFS(他社配置!$L$6:$L$55,M129,他社配置!$J$6:$J$55,"○",他社配置!$F$6:$F$55,"不可")&gt;0,"対応不可","未確認（他社の対応可否が空欄）")))))))))</f>
        <v/>
      </c>
    </row>
    <row r="130" customFormat="false" ht="15" hidden="false" customHeight="false" outlineLevel="0" collapsed="false">
      <c r="M130" s="35" t="str">
        <f aca="false">IF(マスター!$O$114&lt;&gt;"○","",マスター!$K$114)</f>
        <v/>
      </c>
      <c r="N130" s="35" t="str">
        <f aca="false">IF(M130="","",IF(マスター!$C$114="","未確認",マスター!$C$114))</f>
        <v/>
      </c>
      <c r="O130" s="35" t="str">
        <f aca="false">IF(M130="","",マスター!$L$114)</f>
        <v/>
      </c>
      <c r="P130" s="35" t="str">
        <f aca="false">IF(M130="","",IF(マスター!$D$114="通船・警戒船","対象外（通船・警戒船）",IF(COUNTIFS(入渠!$H$6:$H$55,M130,入渠!$G$6:$G$55,"○")&gt;0,"入渠中",IF(AND($O$9&lt;&gt;"",COUNTIFS(他港作業!$K$6:$K$55,M130,他港作業!$L$6:$L$55,"&lt;="&amp;$O$9,他港作業!$M$6:$M$55,"&gt;"&amp;$O$9)+COUNTIFS(他港作業!$K$6:$K$55,M130,他港作業!$L$6:$L$55,"&lt;="&amp;$O$9,他港作業!$E$6:$E$55,"")&gt;0),"他港作業中",IF(INDEX(_計算!$C$6:$DR$293,$P$9,109)=1,"作業中",IF(O130="未確認","未確認（会社未確認）",IF(OR(O130="製鉄曳船",O130="西日本海運"),IF(マスター!$F$114="○","供給可能（待機）","対象外（記号との対応未確認）"),IF(COUNTIFS(他社配置!$L$6:$L$55,M130,他社配置!$J$6:$J$55,"○",他社配置!$F$6:$F$55,"可")&gt;0,"供給可能（他社・対応可）",IF(COUNTIFS(他社配置!$L$6:$L$55,M130,他社配置!$J$6:$J$55,"○",他社配置!$F$6:$F$55,"不可")&gt;0,"対応不可","未確認（他社の対応可否が空欄）")))))))))</f>
        <v/>
      </c>
    </row>
    <row r="131" customFormat="false" ht="15" hidden="false" customHeight="false" outlineLevel="0" collapsed="false">
      <c r="M131" s="35" t="str">
        <f aca="false">IF(マスター!$O$115&lt;&gt;"○","",マスター!$K$115)</f>
        <v/>
      </c>
      <c r="N131" s="35" t="str">
        <f aca="false">IF(M131="","",IF(マスター!$C$115="","未確認",マスター!$C$115))</f>
        <v/>
      </c>
      <c r="O131" s="35" t="str">
        <f aca="false">IF(M131="","",マスター!$L$115)</f>
        <v/>
      </c>
      <c r="P131" s="35" t="str">
        <f aca="false">IF(M131="","",IF(マスター!$D$115="通船・警戒船","対象外（通船・警戒船）",IF(COUNTIFS(入渠!$H$6:$H$55,M131,入渠!$G$6:$G$55,"○")&gt;0,"入渠中",IF(AND($O$9&lt;&gt;"",COUNTIFS(他港作業!$K$6:$K$55,M131,他港作業!$L$6:$L$55,"&lt;="&amp;$O$9,他港作業!$M$6:$M$55,"&gt;"&amp;$O$9)+COUNTIFS(他港作業!$K$6:$K$55,M131,他港作業!$L$6:$L$55,"&lt;="&amp;$O$9,他港作業!$E$6:$E$55,"")&gt;0),"他港作業中",IF(INDEX(_計算!$C$6:$DR$293,$P$9,110)=1,"作業中",IF(O131="未確認","未確認（会社未確認）",IF(OR(O131="製鉄曳船",O131="西日本海運"),IF(マスター!$F$115="○","供給可能（待機）","対象外（記号との対応未確認）"),IF(COUNTIFS(他社配置!$L$6:$L$55,M131,他社配置!$J$6:$J$55,"○",他社配置!$F$6:$F$55,"可")&gt;0,"供給可能（他社・対応可）",IF(COUNTIFS(他社配置!$L$6:$L$55,M131,他社配置!$J$6:$J$55,"○",他社配置!$F$6:$F$55,"不可")&gt;0,"対応不可","未確認（他社の対応可否が空欄）")))))))))</f>
        <v/>
      </c>
    </row>
    <row r="132" customFormat="false" ht="15" hidden="false" customHeight="false" outlineLevel="0" collapsed="false">
      <c r="M132" s="35" t="str">
        <f aca="false">IF(マスター!$O$116&lt;&gt;"○","",マスター!$K$116)</f>
        <v/>
      </c>
      <c r="N132" s="35" t="str">
        <f aca="false">IF(M132="","",IF(マスター!$C$116="","未確認",マスター!$C$116))</f>
        <v/>
      </c>
      <c r="O132" s="35" t="str">
        <f aca="false">IF(M132="","",マスター!$L$116)</f>
        <v/>
      </c>
      <c r="P132" s="35" t="str">
        <f aca="false">IF(M132="","",IF(マスター!$D$116="通船・警戒船","対象外（通船・警戒船）",IF(COUNTIFS(入渠!$H$6:$H$55,M132,入渠!$G$6:$G$55,"○")&gt;0,"入渠中",IF(AND($O$9&lt;&gt;"",COUNTIFS(他港作業!$K$6:$K$55,M132,他港作業!$L$6:$L$55,"&lt;="&amp;$O$9,他港作業!$M$6:$M$55,"&gt;"&amp;$O$9)+COUNTIFS(他港作業!$K$6:$K$55,M132,他港作業!$L$6:$L$55,"&lt;="&amp;$O$9,他港作業!$E$6:$E$55,"")&gt;0),"他港作業中",IF(INDEX(_計算!$C$6:$DR$293,$P$9,111)=1,"作業中",IF(O132="未確認","未確認（会社未確認）",IF(OR(O132="製鉄曳船",O132="西日本海運"),IF(マスター!$F$116="○","供給可能（待機）","対象外（記号との対応未確認）"),IF(COUNTIFS(他社配置!$L$6:$L$55,M132,他社配置!$J$6:$J$55,"○",他社配置!$F$6:$F$55,"可")&gt;0,"供給可能（他社・対応可）",IF(COUNTIFS(他社配置!$L$6:$L$55,M132,他社配置!$J$6:$J$55,"○",他社配置!$F$6:$F$55,"不可")&gt;0,"対応不可","未確認（他社の対応可否が空欄）")))))))))</f>
        <v/>
      </c>
    </row>
    <row r="133" customFormat="false" ht="15" hidden="false" customHeight="false" outlineLevel="0" collapsed="false">
      <c r="M133" s="35" t="str">
        <f aca="false">IF(マスター!$O$117&lt;&gt;"○","",マスター!$K$117)</f>
        <v/>
      </c>
      <c r="N133" s="35" t="str">
        <f aca="false">IF(M133="","",IF(マスター!$C$117="","未確認",マスター!$C$117))</f>
        <v/>
      </c>
      <c r="O133" s="35" t="str">
        <f aca="false">IF(M133="","",マスター!$L$117)</f>
        <v/>
      </c>
      <c r="P133" s="35" t="str">
        <f aca="false">IF(M133="","",IF(マスター!$D$117="通船・警戒船","対象外（通船・警戒船）",IF(COUNTIFS(入渠!$H$6:$H$55,M133,入渠!$G$6:$G$55,"○")&gt;0,"入渠中",IF(AND($O$9&lt;&gt;"",COUNTIFS(他港作業!$K$6:$K$55,M133,他港作業!$L$6:$L$55,"&lt;="&amp;$O$9,他港作業!$M$6:$M$55,"&gt;"&amp;$O$9)+COUNTIFS(他港作業!$K$6:$K$55,M133,他港作業!$L$6:$L$55,"&lt;="&amp;$O$9,他港作業!$E$6:$E$55,"")&gt;0),"他港作業中",IF(INDEX(_計算!$C$6:$DR$293,$P$9,112)=1,"作業中",IF(O133="未確認","未確認（会社未確認）",IF(OR(O133="製鉄曳船",O133="西日本海運"),IF(マスター!$F$117="○","供給可能（待機）","対象外（記号との対応未確認）"),IF(COUNTIFS(他社配置!$L$6:$L$55,M133,他社配置!$J$6:$J$55,"○",他社配置!$F$6:$F$55,"可")&gt;0,"供給可能（他社・対応可）",IF(COUNTIFS(他社配置!$L$6:$L$55,M133,他社配置!$J$6:$J$55,"○",他社配置!$F$6:$F$55,"不可")&gt;0,"対応不可","未確認（他社の対応可否が空欄）")))))))))</f>
        <v/>
      </c>
    </row>
    <row r="134" customFormat="false" ht="15" hidden="false" customHeight="false" outlineLevel="0" collapsed="false">
      <c r="M134" s="35" t="str">
        <f aca="false">IF(マスター!$O$118&lt;&gt;"○","",マスター!$K$118)</f>
        <v/>
      </c>
      <c r="N134" s="35" t="str">
        <f aca="false">IF(M134="","",IF(マスター!$C$118="","未確認",マスター!$C$118))</f>
        <v/>
      </c>
      <c r="O134" s="35" t="str">
        <f aca="false">IF(M134="","",マスター!$L$118)</f>
        <v/>
      </c>
      <c r="P134" s="35" t="str">
        <f aca="false">IF(M134="","",IF(マスター!$D$118="通船・警戒船","対象外（通船・警戒船）",IF(COUNTIFS(入渠!$H$6:$H$55,M134,入渠!$G$6:$G$55,"○")&gt;0,"入渠中",IF(AND($O$9&lt;&gt;"",COUNTIFS(他港作業!$K$6:$K$55,M134,他港作業!$L$6:$L$55,"&lt;="&amp;$O$9,他港作業!$M$6:$M$55,"&gt;"&amp;$O$9)+COUNTIFS(他港作業!$K$6:$K$55,M134,他港作業!$L$6:$L$55,"&lt;="&amp;$O$9,他港作業!$E$6:$E$55,"")&gt;0),"他港作業中",IF(INDEX(_計算!$C$6:$DR$293,$P$9,113)=1,"作業中",IF(O134="未確認","未確認（会社未確認）",IF(OR(O134="製鉄曳船",O134="西日本海運"),IF(マスター!$F$118="○","供給可能（待機）","対象外（記号との対応未確認）"),IF(COUNTIFS(他社配置!$L$6:$L$55,M134,他社配置!$J$6:$J$55,"○",他社配置!$F$6:$F$55,"可")&gt;0,"供給可能（他社・対応可）",IF(COUNTIFS(他社配置!$L$6:$L$55,M134,他社配置!$J$6:$J$55,"○",他社配置!$F$6:$F$55,"不可")&gt;0,"対応不可","未確認（他社の対応可否が空欄）")))))))))</f>
        <v/>
      </c>
    </row>
    <row r="135" customFormat="false" ht="15" hidden="false" customHeight="false" outlineLevel="0" collapsed="false">
      <c r="M135" s="35" t="str">
        <f aca="false">IF(マスター!$O$119&lt;&gt;"○","",マスター!$K$119)</f>
        <v/>
      </c>
      <c r="N135" s="35" t="str">
        <f aca="false">IF(M135="","",IF(マスター!$C$119="","未確認",マスター!$C$119))</f>
        <v/>
      </c>
      <c r="O135" s="35" t="str">
        <f aca="false">IF(M135="","",マスター!$L$119)</f>
        <v/>
      </c>
      <c r="P135" s="35" t="str">
        <f aca="false">IF(M135="","",IF(マスター!$D$119="通船・警戒船","対象外（通船・警戒船）",IF(COUNTIFS(入渠!$H$6:$H$55,M135,入渠!$G$6:$G$55,"○")&gt;0,"入渠中",IF(AND($O$9&lt;&gt;"",COUNTIFS(他港作業!$K$6:$K$55,M135,他港作業!$L$6:$L$55,"&lt;="&amp;$O$9,他港作業!$M$6:$M$55,"&gt;"&amp;$O$9)+COUNTIFS(他港作業!$K$6:$K$55,M135,他港作業!$L$6:$L$55,"&lt;="&amp;$O$9,他港作業!$E$6:$E$55,"")&gt;0),"他港作業中",IF(INDEX(_計算!$C$6:$DR$293,$P$9,114)=1,"作業中",IF(O135="未確認","未確認（会社未確認）",IF(OR(O135="製鉄曳船",O135="西日本海運"),IF(マスター!$F$119="○","供給可能（待機）","対象外（記号との対応未確認）"),IF(COUNTIFS(他社配置!$L$6:$L$55,M135,他社配置!$J$6:$J$55,"○",他社配置!$F$6:$F$55,"可")&gt;0,"供給可能（他社・対応可）",IF(COUNTIFS(他社配置!$L$6:$L$55,M135,他社配置!$J$6:$J$55,"○",他社配置!$F$6:$F$55,"不可")&gt;0,"対応不可","未確認（他社の対応可否が空欄）")))))))))</f>
        <v/>
      </c>
    </row>
    <row r="136" customFormat="false" ht="15" hidden="false" customHeight="false" outlineLevel="0" collapsed="false">
      <c r="M136" s="35" t="str">
        <f aca="false">IF(マスター!$O$120&lt;&gt;"○","",マスター!$K$120)</f>
        <v/>
      </c>
      <c r="N136" s="35" t="str">
        <f aca="false">IF(M136="","",IF(マスター!$C$120="","未確認",マスター!$C$120))</f>
        <v/>
      </c>
      <c r="O136" s="35" t="str">
        <f aca="false">IF(M136="","",マスター!$L$120)</f>
        <v/>
      </c>
      <c r="P136" s="35" t="str">
        <f aca="false">IF(M136="","",IF(マスター!$D$120="通船・警戒船","対象外（通船・警戒船）",IF(COUNTIFS(入渠!$H$6:$H$55,M136,入渠!$G$6:$G$55,"○")&gt;0,"入渠中",IF(AND($O$9&lt;&gt;"",COUNTIFS(他港作業!$K$6:$K$55,M136,他港作業!$L$6:$L$55,"&lt;="&amp;$O$9,他港作業!$M$6:$M$55,"&gt;"&amp;$O$9)+COUNTIFS(他港作業!$K$6:$K$55,M136,他港作業!$L$6:$L$55,"&lt;="&amp;$O$9,他港作業!$E$6:$E$55,"")&gt;0),"他港作業中",IF(INDEX(_計算!$C$6:$DR$293,$P$9,115)=1,"作業中",IF(O136="未確認","未確認（会社未確認）",IF(OR(O136="製鉄曳船",O136="西日本海運"),IF(マスター!$F$120="○","供給可能（待機）","対象外（記号との対応未確認）"),IF(COUNTIFS(他社配置!$L$6:$L$55,M136,他社配置!$J$6:$J$55,"○",他社配置!$F$6:$F$55,"可")&gt;0,"供給可能（他社・対応可）",IF(COUNTIFS(他社配置!$L$6:$L$55,M136,他社配置!$J$6:$J$55,"○",他社配置!$F$6:$F$55,"不可")&gt;0,"対応不可","未確認（他社の対応可否が空欄）")))))))))</f>
        <v/>
      </c>
    </row>
    <row r="137" customFormat="false" ht="15" hidden="false" customHeight="false" outlineLevel="0" collapsed="false">
      <c r="M137" s="35" t="str">
        <f aca="false">IF(マスター!$O$121&lt;&gt;"○","",マスター!$K$121)</f>
        <v/>
      </c>
      <c r="N137" s="35" t="str">
        <f aca="false">IF(M137="","",IF(マスター!$C$121="","未確認",マスター!$C$121))</f>
        <v/>
      </c>
      <c r="O137" s="35" t="str">
        <f aca="false">IF(M137="","",マスター!$L$121)</f>
        <v/>
      </c>
      <c r="P137" s="35" t="str">
        <f aca="false">IF(M137="","",IF(マスター!$D$121="通船・警戒船","対象外（通船・警戒船）",IF(COUNTIFS(入渠!$H$6:$H$55,M137,入渠!$G$6:$G$55,"○")&gt;0,"入渠中",IF(AND($O$9&lt;&gt;"",COUNTIFS(他港作業!$K$6:$K$55,M137,他港作業!$L$6:$L$55,"&lt;="&amp;$O$9,他港作業!$M$6:$M$55,"&gt;"&amp;$O$9)+COUNTIFS(他港作業!$K$6:$K$55,M137,他港作業!$L$6:$L$55,"&lt;="&amp;$O$9,他港作業!$E$6:$E$55,"")&gt;0),"他港作業中",IF(INDEX(_計算!$C$6:$DR$293,$P$9,116)=1,"作業中",IF(O137="未確認","未確認（会社未確認）",IF(OR(O137="製鉄曳船",O137="西日本海運"),IF(マスター!$F$121="○","供給可能（待機）","対象外（記号との対応未確認）"),IF(COUNTIFS(他社配置!$L$6:$L$55,M137,他社配置!$J$6:$J$55,"○",他社配置!$F$6:$F$55,"可")&gt;0,"供給可能（他社・対応可）",IF(COUNTIFS(他社配置!$L$6:$L$55,M137,他社配置!$J$6:$J$55,"○",他社配置!$F$6:$F$55,"不可")&gt;0,"対応不可","未確認（他社の対応可否が空欄）")))))))))</f>
        <v/>
      </c>
    </row>
    <row r="138" customFormat="false" ht="15" hidden="false" customHeight="false" outlineLevel="0" collapsed="false">
      <c r="M138" s="35" t="str">
        <f aca="false">IF(マスター!$O$122&lt;&gt;"○","",マスター!$K$122)</f>
        <v/>
      </c>
      <c r="N138" s="35" t="str">
        <f aca="false">IF(M138="","",IF(マスター!$C$122="","未確認",マスター!$C$122))</f>
        <v/>
      </c>
      <c r="O138" s="35" t="str">
        <f aca="false">IF(M138="","",マスター!$L$122)</f>
        <v/>
      </c>
      <c r="P138" s="35" t="str">
        <f aca="false">IF(M138="","",IF(マスター!$D$122="通船・警戒船","対象外（通船・警戒船）",IF(COUNTIFS(入渠!$H$6:$H$55,M138,入渠!$G$6:$G$55,"○")&gt;0,"入渠中",IF(AND($O$9&lt;&gt;"",COUNTIFS(他港作業!$K$6:$K$55,M138,他港作業!$L$6:$L$55,"&lt;="&amp;$O$9,他港作業!$M$6:$M$55,"&gt;"&amp;$O$9)+COUNTIFS(他港作業!$K$6:$K$55,M138,他港作業!$L$6:$L$55,"&lt;="&amp;$O$9,他港作業!$E$6:$E$55,"")&gt;0),"他港作業中",IF(INDEX(_計算!$C$6:$DR$293,$P$9,117)=1,"作業中",IF(O138="未確認","未確認（会社未確認）",IF(OR(O138="製鉄曳船",O138="西日本海運"),IF(マスター!$F$122="○","供給可能（待機）","対象外（記号との対応未確認）"),IF(COUNTIFS(他社配置!$L$6:$L$55,M138,他社配置!$J$6:$J$55,"○",他社配置!$F$6:$F$55,"可")&gt;0,"供給可能（他社・対応可）",IF(COUNTIFS(他社配置!$L$6:$L$55,M138,他社配置!$J$6:$J$55,"○",他社配置!$F$6:$F$55,"不可")&gt;0,"対応不可","未確認（他社の対応可否が空欄）")))))))))</f>
        <v/>
      </c>
    </row>
    <row r="139" customFormat="false" ht="15" hidden="false" customHeight="false" outlineLevel="0" collapsed="false">
      <c r="M139" s="35" t="str">
        <f aca="false">IF(マスター!$O$123&lt;&gt;"○","",マスター!$K$123)</f>
        <v/>
      </c>
      <c r="N139" s="35" t="str">
        <f aca="false">IF(M139="","",IF(マスター!$C$123="","未確認",マスター!$C$123))</f>
        <v/>
      </c>
      <c r="O139" s="35" t="str">
        <f aca="false">IF(M139="","",マスター!$L$123)</f>
        <v/>
      </c>
      <c r="P139" s="35" t="str">
        <f aca="false">IF(M139="","",IF(マスター!$D$123="通船・警戒船","対象外（通船・警戒船）",IF(COUNTIFS(入渠!$H$6:$H$55,M139,入渠!$G$6:$G$55,"○")&gt;0,"入渠中",IF(AND($O$9&lt;&gt;"",COUNTIFS(他港作業!$K$6:$K$55,M139,他港作業!$L$6:$L$55,"&lt;="&amp;$O$9,他港作業!$M$6:$M$55,"&gt;"&amp;$O$9)+COUNTIFS(他港作業!$K$6:$K$55,M139,他港作業!$L$6:$L$55,"&lt;="&amp;$O$9,他港作業!$E$6:$E$55,"")&gt;0),"他港作業中",IF(INDEX(_計算!$C$6:$DR$293,$P$9,118)=1,"作業中",IF(O139="未確認","未確認（会社未確認）",IF(OR(O139="製鉄曳船",O139="西日本海運"),IF(マスター!$F$123="○","供給可能（待機）","対象外（記号との対応未確認）"),IF(COUNTIFS(他社配置!$L$6:$L$55,M139,他社配置!$J$6:$J$55,"○",他社配置!$F$6:$F$55,"可")&gt;0,"供給可能（他社・対応可）",IF(COUNTIFS(他社配置!$L$6:$L$55,M139,他社配置!$J$6:$J$55,"○",他社配置!$F$6:$F$55,"不可")&gt;0,"対応不可","未確認（他社の対応可否が空欄）")))))))))</f>
        <v/>
      </c>
    </row>
    <row r="140" customFormat="false" ht="15" hidden="false" customHeight="false" outlineLevel="0" collapsed="false">
      <c r="M140" s="35" t="str">
        <f aca="false">IF(マスター!$O$124&lt;&gt;"○","",マスター!$K$124)</f>
        <v/>
      </c>
      <c r="N140" s="35" t="str">
        <f aca="false">IF(M140="","",IF(マスター!$C$124="","未確認",マスター!$C$124))</f>
        <v/>
      </c>
      <c r="O140" s="35" t="str">
        <f aca="false">IF(M140="","",マスター!$L$124)</f>
        <v/>
      </c>
      <c r="P140" s="35" t="str">
        <f aca="false">IF(M140="","",IF(マスター!$D$124="通船・警戒船","対象外（通船・警戒船）",IF(COUNTIFS(入渠!$H$6:$H$55,M140,入渠!$G$6:$G$55,"○")&gt;0,"入渠中",IF(AND($O$9&lt;&gt;"",COUNTIFS(他港作業!$K$6:$K$55,M140,他港作業!$L$6:$L$55,"&lt;="&amp;$O$9,他港作業!$M$6:$M$55,"&gt;"&amp;$O$9)+COUNTIFS(他港作業!$K$6:$K$55,M140,他港作業!$L$6:$L$55,"&lt;="&amp;$O$9,他港作業!$E$6:$E$55,"")&gt;0),"他港作業中",IF(INDEX(_計算!$C$6:$DR$293,$P$9,119)=1,"作業中",IF(O140="未確認","未確認（会社未確認）",IF(OR(O140="製鉄曳船",O140="西日本海運"),IF(マスター!$F$124="○","供給可能（待機）","対象外（記号との対応未確認）"),IF(COUNTIFS(他社配置!$L$6:$L$55,M140,他社配置!$J$6:$J$55,"○",他社配置!$F$6:$F$55,"可")&gt;0,"供給可能（他社・対応可）",IF(COUNTIFS(他社配置!$L$6:$L$55,M140,他社配置!$J$6:$J$55,"○",他社配置!$F$6:$F$55,"不可")&gt;0,"対応不可","未確認（他社の対応可否が空欄）")))))))))</f>
        <v/>
      </c>
    </row>
    <row r="141" customFormat="false" ht="15" hidden="false" customHeight="false" outlineLevel="0" collapsed="false">
      <c r="M141" s="35" t="str">
        <f aca="false">IF(マスター!$O$125&lt;&gt;"○","",マスター!$K$125)</f>
        <v/>
      </c>
      <c r="N141" s="35" t="str">
        <f aca="false">IF(M141="","",IF(マスター!$C$125="","未確認",マスター!$C$125))</f>
        <v/>
      </c>
      <c r="O141" s="35" t="str">
        <f aca="false">IF(M141="","",マスター!$L$125)</f>
        <v/>
      </c>
      <c r="P141" s="35" t="str">
        <f aca="false">IF(M141="","",IF(マスター!$D$125="通船・警戒船","対象外（通船・警戒船）",IF(COUNTIFS(入渠!$H$6:$H$55,M141,入渠!$G$6:$G$55,"○")&gt;0,"入渠中",IF(AND($O$9&lt;&gt;"",COUNTIFS(他港作業!$K$6:$K$55,M141,他港作業!$L$6:$L$55,"&lt;="&amp;$O$9,他港作業!$M$6:$M$55,"&gt;"&amp;$O$9)+COUNTIFS(他港作業!$K$6:$K$55,M141,他港作業!$L$6:$L$55,"&lt;="&amp;$O$9,他港作業!$E$6:$E$55,"")&gt;0),"他港作業中",IF(INDEX(_計算!$C$6:$DR$293,$P$9,120)=1,"作業中",IF(O141="未確認","未確認（会社未確認）",IF(OR(O141="製鉄曳船",O141="西日本海運"),IF(マスター!$F$125="○","供給可能（待機）","対象外（記号との対応未確認）"),IF(COUNTIFS(他社配置!$L$6:$L$55,M141,他社配置!$J$6:$J$55,"○",他社配置!$F$6:$F$55,"可")&gt;0,"供給可能（他社・対応可）",IF(COUNTIFS(他社配置!$L$6:$L$55,M141,他社配置!$J$6:$J$55,"○",他社配置!$F$6:$F$55,"不可")&gt;0,"対応不可","未確認（他社の対応可否が空欄）"))))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V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6" t="s">
        <v>557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/>
      </c>
      <c r="AL1" s="0" t="str">
        <f aca="false">IF(マスター!$O$41&lt;&gt;"○","",IF(マスター!$C$41="","未確認",マスター!$C$41))</f>
        <v/>
      </c>
      <c r="AM1" s="0" t="str">
        <f aca="false">IF(マスター!$O$42&lt;&gt;"○","",IF(マスター!$C$42="","未確認",マスター!$C$42))</f>
        <v/>
      </c>
      <c r="AN1" s="0" t="str">
        <f aca="false">IF(マスター!$O$43&lt;&gt;"○","",IF(マスター!$C$43="","未確認",マスター!$C$43))</f>
        <v/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16" t="s">
        <v>558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/>
      </c>
      <c r="AL2" s="0" t="str">
        <f aca="false">IF(マスター!$O$41&lt;&gt;"○","",マスター!$L$41)</f>
        <v/>
      </c>
      <c r="AM2" s="0" t="str">
        <f aca="false">IF(マスター!$O$42&lt;&gt;"○","",マスター!$L$42)</f>
        <v/>
      </c>
      <c r="AN2" s="0" t="str">
        <f aca="false">IF(マスター!$O$43&lt;&gt;"○","",マスター!$L$43)</f>
        <v/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16" t="s">
        <v>559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/>
      </c>
      <c r="AL3" s="0" t="str">
        <f aca="false">IF(マスター!$O$41&lt;&gt;"○","",マスター!$K$41)</f>
        <v/>
      </c>
      <c r="AM3" s="0" t="str">
        <f aca="false">IF(マスター!$O$42&lt;&gt;"○","",マスター!$K$42)</f>
        <v/>
      </c>
      <c r="AN3" s="0" t="str">
        <f aca="false">IF(マスター!$O$43&lt;&gt;"○","",マスター!$K$43)</f>
        <v/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16" t="s">
        <v>560</v>
      </c>
      <c r="C4" s="0" t="n">
        <f aca="false">IF(C$3="",0,IF(COUNTIFS(実績!$W$6:$W$505,C$3,実績!$AK$6:$AK$505,"○")&gt;0,1,0))</f>
        <v>0</v>
      </c>
      <c r="D4" s="0" t="n">
        <f aca="false">IF(D$3="",0,IF(COUNTIFS(実績!$W$6:$W$505,D$3,実績!$AK$6:$AK$505,"○")&gt;0,1,0))</f>
        <v>0</v>
      </c>
      <c r="E4" s="0" t="n">
        <f aca="false">IF(E$3="",0,IF(COUNTIFS(実績!$W$6:$W$505,E$3,実績!$AK$6:$AK$505,"○")&gt;0,1,0))</f>
        <v>0</v>
      </c>
      <c r="F4" s="0" t="n">
        <f aca="false">IF(F$3="",0,IF(COUNTIFS(実績!$W$6:$W$505,F$3,実績!$AK$6:$AK$505,"○")&gt;0,1,0))</f>
        <v>0</v>
      </c>
      <c r="G4" s="0" t="n">
        <f aca="false">IF(G$3="",0,IF(COUNTIFS(実績!$W$6:$W$505,G$3,実績!$AK$6:$AK$505,"○")&gt;0,1,0))</f>
        <v>0</v>
      </c>
      <c r="H4" s="0" t="n">
        <f aca="false">IF(H$3="",0,IF(COUNTIFS(実績!$W$6:$W$505,H$3,実績!$AK$6:$AK$505,"○")&gt;0,1,0))</f>
        <v>0</v>
      </c>
      <c r="I4" s="0" t="n">
        <f aca="false">IF(I$3="",0,IF(COUNTIFS(実績!$W$6:$W$505,I$3,実績!$AK$6:$AK$505,"○")&gt;0,1,0))</f>
        <v>0</v>
      </c>
      <c r="J4" s="0" t="n">
        <f aca="false">IF(J$3="",0,IF(COUNTIFS(実績!$W$6:$W$505,J$3,実績!$AK$6:$AK$505,"○")&gt;0,1,0))</f>
        <v>0</v>
      </c>
      <c r="K4" s="0" t="n">
        <f aca="false">IF(K$3="",0,IF(COUNTIFS(実績!$W$6:$W$505,K$3,実績!$AK$6:$AK$505,"○")&gt;0,1,0))</f>
        <v>0</v>
      </c>
      <c r="L4" s="0" t="n">
        <f aca="false">IF(L$3="",0,IF(COUNTIFS(実績!$W$6:$W$505,L$3,実績!$AK$6:$AK$505,"○")&gt;0,1,0))</f>
        <v>0</v>
      </c>
      <c r="M4" s="0" t="n">
        <f aca="false">IF(M$3="",0,IF(COUNTIFS(実績!$W$6:$W$505,M$3,実績!$AK$6:$AK$505,"○")&gt;0,1,0))</f>
        <v>0</v>
      </c>
      <c r="N4" s="0" t="n">
        <f aca="false">IF(N$3="",0,IF(COUNTIFS(実績!$W$6:$W$505,N$3,実績!$AK$6:$AK$505,"○")&gt;0,1,0))</f>
        <v>0</v>
      </c>
      <c r="O4" s="0" t="n">
        <f aca="false">IF(O$3="",0,IF(COUNTIFS(実績!$W$6:$W$505,O$3,実績!$AK$6:$AK$505,"○")&gt;0,1,0))</f>
        <v>0</v>
      </c>
      <c r="P4" s="0" t="n">
        <f aca="false">IF(P$3="",0,IF(COUNTIFS(実績!$W$6:$W$505,P$3,実績!$AK$6:$AK$505,"○")&gt;0,1,0))</f>
        <v>0</v>
      </c>
      <c r="Q4" s="0" t="n">
        <f aca="false">IF(Q$3="",0,IF(COUNTIFS(実績!$W$6:$W$505,Q$3,実績!$AK$6:$AK$505,"○")&gt;0,1,0))</f>
        <v>0</v>
      </c>
      <c r="R4" s="0" t="n">
        <f aca="false">IF(R$3="",0,IF(COUNTIFS(実績!$W$6:$W$505,R$3,実績!$AK$6:$AK$505,"○")&gt;0,1,0))</f>
        <v>0</v>
      </c>
      <c r="S4" s="0" t="n">
        <f aca="false">IF(S$3="",0,IF(COUNTIFS(実績!$W$6:$W$505,S$3,実績!$AK$6:$AK$505,"○")&gt;0,1,0))</f>
        <v>0</v>
      </c>
      <c r="T4" s="0" t="n">
        <f aca="false">IF(T$3="",0,IF(COUNTIFS(実績!$W$6:$W$505,T$3,実績!$AK$6:$AK$505,"○")&gt;0,1,0))</f>
        <v>0</v>
      </c>
      <c r="U4" s="0" t="n">
        <f aca="false">IF(U$3="",0,IF(COUNTIFS(実績!$W$6:$W$505,U$3,実績!$AK$6:$AK$505,"○")&gt;0,1,0))</f>
        <v>0</v>
      </c>
      <c r="V4" s="0" t="n">
        <f aca="false">IF(V$3="",0,IF(COUNTIFS(実績!$W$6:$W$505,V$3,実績!$AK$6:$AK$505,"○")&gt;0,1,0))</f>
        <v>0</v>
      </c>
      <c r="W4" s="0" t="n">
        <f aca="false">IF(W$3="",0,IF(COUNTIFS(実績!$W$6:$W$505,W$3,実績!$AK$6:$AK$505,"○")&gt;0,1,0))</f>
        <v>0</v>
      </c>
      <c r="X4" s="0" t="n">
        <f aca="false">IF(X$3="",0,IF(COUNTIFS(実績!$W$6:$W$505,X$3,実績!$AK$6:$AK$505,"○")&gt;0,1,0))</f>
        <v>0</v>
      </c>
      <c r="Y4" s="0" t="n">
        <f aca="false">IF(Y$3="",0,IF(COUNTIFS(実績!$W$6:$W$505,Y$3,実績!$AK$6:$AK$505,"○")&gt;0,1,0))</f>
        <v>0</v>
      </c>
      <c r="Z4" s="0" t="n">
        <f aca="false">IF(Z$3="",0,IF(COUNTIFS(実績!$W$6:$W$505,Z$3,実績!$AK$6:$AK$505,"○")&gt;0,1,0))</f>
        <v>0</v>
      </c>
      <c r="AA4" s="0" t="n">
        <f aca="false">IF(AA$3="",0,IF(COUNTIFS(実績!$W$6:$W$505,AA$3,実績!$AK$6:$AK$505,"○")&gt;0,1,0))</f>
        <v>0</v>
      </c>
      <c r="AB4" s="0" t="n">
        <f aca="false">IF(AB$3="",0,IF(COUNTIFS(実績!$W$6:$W$505,AB$3,実績!$AK$6:$AK$505,"○")&gt;0,1,0))</f>
        <v>0</v>
      </c>
      <c r="AC4" s="0" t="n">
        <f aca="false">IF(AC$3="",0,IF(COUNTIFS(実績!$W$6:$W$505,AC$3,実績!$AK$6:$AK$505,"○")&gt;0,1,0))</f>
        <v>0</v>
      </c>
      <c r="AD4" s="0" t="n">
        <f aca="false">IF(AD$3="",0,IF(COUNTIFS(実績!$W$6:$W$505,AD$3,実績!$AK$6:$AK$505,"○")&gt;0,1,0))</f>
        <v>0</v>
      </c>
      <c r="AE4" s="0" t="n">
        <f aca="false">IF(AE$3="",0,IF(COUNTIFS(実績!$W$6:$W$505,AE$3,実績!$AK$6:$AK$505,"○")&gt;0,1,0))</f>
        <v>0</v>
      </c>
      <c r="AF4" s="0" t="n">
        <f aca="false">IF(AF$3="",0,IF(COUNTIFS(実績!$W$6:$W$505,AF$3,実績!$AK$6:$AK$505,"○")&gt;0,1,0))</f>
        <v>0</v>
      </c>
      <c r="AG4" s="0" t="n">
        <f aca="false">IF(AG$3="",0,IF(COUNTIFS(実績!$W$6:$W$505,AG$3,実績!$AK$6:$AK$505,"○")&gt;0,1,0))</f>
        <v>0</v>
      </c>
      <c r="AH4" s="0" t="n">
        <f aca="false">IF(AH$3="",0,IF(COUNTIFS(実績!$W$6:$W$505,AH$3,実績!$AK$6:$AK$505,"○")&gt;0,1,0))</f>
        <v>0</v>
      </c>
      <c r="AI4" s="0" t="n">
        <f aca="false">IF(AI$3="",0,IF(COUNTIFS(実績!$W$6:$W$505,AI$3,実績!$AK$6:$AK$505,"○")&gt;0,1,0))</f>
        <v>0</v>
      </c>
      <c r="AJ4" s="0" t="n">
        <f aca="false">IF(AJ$3="",0,IF(COUNTIFS(実績!$W$6:$W$505,AJ$3,実績!$AK$6:$AK$505,"○")&gt;0,1,0))</f>
        <v>0</v>
      </c>
      <c r="AK4" s="0" t="n">
        <f aca="false">IF(AK$3="",0,IF(COUNTIFS(実績!$W$6:$W$505,AK$3,実績!$AK$6:$AK$505,"○")&gt;0,1,0))</f>
        <v>0</v>
      </c>
      <c r="AL4" s="0" t="n">
        <f aca="false">IF(AL$3="",0,IF(COUNTIFS(実績!$W$6:$W$505,AL$3,実績!$AK$6:$AK$505,"○")&gt;0,1,0))</f>
        <v>0</v>
      </c>
      <c r="AM4" s="0" t="n">
        <f aca="false">IF(AM$3="",0,IF(COUNTIFS(実績!$W$6:$W$505,AM$3,実績!$AK$6:$AK$505,"○")&gt;0,1,0))</f>
        <v>0</v>
      </c>
      <c r="AN4" s="0" t="n">
        <f aca="false">IF(AN$3="",0,IF(COUNTIFS(実績!$W$6:$W$505,AN$3,実績!$AK$6:$AK$505,"○")&gt;0,1,0))</f>
        <v>0</v>
      </c>
      <c r="AO4" s="0" t="n">
        <f aca="false">IF(AO$3="",0,IF(COUNTIFS(実績!$W$6:$W$505,AO$3,実績!$AK$6:$AK$505,"○")&gt;0,1,0))</f>
        <v>0</v>
      </c>
      <c r="AP4" s="0" t="n">
        <f aca="false">IF(AP$3="",0,IF(COUNTIFS(実績!$W$6:$W$505,AP$3,実績!$AK$6:$AK$505,"○")&gt;0,1,0))</f>
        <v>0</v>
      </c>
      <c r="AQ4" s="0" t="n">
        <f aca="false">IF(AQ$3="",0,IF(COUNTIFS(実績!$W$6:$W$505,AQ$3,実績!$AK$6:$AK$505,"○")&gt;0,1,0))</f>
        <v>0</v>
      </c>
      <c r="AR4" s="0" t="n">
        <f aca="false">IF(AR$3="",0,IF(COUNTIFS(実績!$W$6:$W$505,AR$3,実績!$AK$6:$AK$505,"○")&gt;0,1,0))</f>
        <v>0</v>
      </c>
      <c r="AS4" s="0" t="n">
        <f aca="false">IF(AS$3="",0,IF(COUNTIFS(実績!$W$6:$W$505,AS$3,実績!$AK$6:$AK$505,"○")&gt;0,1,0))</f>
        <v>0</v>
      </c>
      <c r="AT4" s="0" t="n">
        <f aca="false">IF(AT$3="",0,IF(COUNTIFS(実績!$W$6:$W$505,AT$3,実績!$AK$6:$AK$505,"○")&gt;0,1,0))</f>
        <v>0</v>
      </c>
      <c r="AU4" s="0" t="n">
        <f aca="false">IF(AU$3="",0,IF(COUNTIFS(実績!$W$6:$W$505,AU$3,実績!$AK$6:$AK$505,"○")&gt;0,1,0))</f>
        <v>0</v>
      </c>
      <c r="AV4" s="0" t="n">
        <f aca="false">IF(AV$3="",0,IF(COUNTIFS(実績!$W$6:$W$505,AV$3,実績!$AK$6:$AK$505,"○")&gt;0,1,0))</f>
        <v>0</v>
      </c>
      <c r="AW4" s="0" t="n">
        <f aca="false">IF(AW$3="",0,IF(COUNTIFS(実績!$W$6:$W$505,AW$3,実績!$AK$6:$AK$505,"○")&gt;0,1,0))</f>
        <v>0</v>
      </c>
      <c r="AX4" s="0" t="n">
        <f aca="false">IF(AX$3="",0,IF(COUNTIFS(実績!$W$6:$W$505,AX$3,実績!$AK$6:$AK$505,"○")&gt;0,1,0))</f>
        <v>0</v>
      </c>
      <c r="AY4" s="0" t="n">
        <f aca="false">IF(AY$3="",0,IF(COUNTIFS(実績!$W$6:$W$505,AY$3,実績!$AK$6:$AK$505,"○")&gt;0,1,0))</f>
        <v>0</v>
      </c>
      <c r="AZ4" s="0" t="n">
        <f aca="false">IF(AZ$3="",0,IF(COUNTIFS(実績!$W$6:$W$505,AZ$3,実績!$AK$6:$AK$505,"○")&gt;0,1,0))</f>
        <v>0</v>
      </c>
      <c r="BA4" s="0" t="n">
        <f aca="false">IF(BA$3="",0,IF(COUNTIFS(実績!$W$6:$W$505,BA$3,実績!$AK$6:$AK$505,"○")&gt;0,1,0))</f>
        <v>0</v>
      </c>
      <c r="BB4" s="0" t="n">
        <f aca="false">IF(BB$3="",0,IF(COUNTIFS(実績!$W$6:$W$505,BB$3,実績!$AK$6:$AK$505,"○")&gt;0,1,0))</f>
        <v>0</v>
      </c>
      <c r="BC4" s="0" t="n">
        <f aca="false">IF(BC$3="",0,IF(COUNTIFS(実績!$W$6:$W$505,BC$3,実績!$AK$6:$AK$505,"○")&gt;0,1,0))</f>
        <v>0</v>
      </c>
      <c r="BD4" s="0" t="n">
        <f aca="false">IF(BD$3="",0,IF(COUNTIFS(実績!$W$6:$W$505,BD$3,実績!$AK$6:$AK$505,"○")&gt;0,1,0))</f>
        <v>0</v>
      </c>
      <c r="BE4" s="0" t="n">
        <f aca="false">IF(BE$3="",0,IF(COUNTIFS(実績!$W$6:$W$505,BE$3,実績!$AK$6:$AK$505,"○")&gt;0,1,0))</f>
        <v>0</v>
      </c>
      <c r="BF4" s="0" t="n">
        <f aca="false">IF(BF$3="",0,IF(COUNTIFS(実績!$W$6:$W$505,BF$3,実績!$AK$6:$AK$505,"○")&gt;0,1,0))</f>
        <v>0</v>
      </c>
      <c r="BG4" s="0" t="n">
        <f aca="false">IF(BG$3="",0,IF(COUNTIFS(実績!$W$6:$W$505,BG$3,実績!$AK$6:$AK$505,"○")&gt;0,1,0))</f>
        <v>0</v>
      </c>
      <c r="BH4" s="0" t="n">
        <f aca="false">IF(BH$3="",0,IF(COUNTIFS(実績!$W$6:$W$505,BH$3,実績!$AK$6:$AK$505,"○")&gt;0,1,0))</f>
        <v>0</v>
      </c>
      <c r="BI4" s="0" t="n">
        <f aca="false">IF(BI$3="",0,IF(COUNTIFS(実績!$W$6:$W$505,BI$3,実績!$AK$6:$AK$505,"○")&gt;0,1,0))</f>
        <v>0</v>
      </c>
      <c r="BJ4" s="0" t="n">
        <f aca="false">IF(BJ$3="",0,IF(COUNTIFS(実績!$W$6:$W$505,BJ$3,実績!$AK$6:$AK$505,"○")&gt;0,1,0))</f>
        <v>0</v>
      </c>
      <c r="BK4" s="0" t="n">
        <f aca="false">IF(BK$3="",0,IF(COUNTIFS(実績!$W$6:$W$505,BK$3,実績!$AK$6:$AK$505,"○")&gt;0,1,0))</f>
        <v>0</v>
      </c>
      <c r="BL4" s="0" t="n">
        <f aca="false">IF(BL$3="",0,IF(COUNTIFS(実績!$W$6:$W$505,BL$3,実績!$AK$6:$AK$505,"○")&gt;0,1,0))</f>
        <v>0</v>
      </c>
      <c r="BM4" s="0" t="n">
        <f aca="false">IF(BM$3="",0,IF(COUNTIFS(実績!$W$6:$W$505,BM$3,実績!$AK$6:$AK$505,"○")&gt;0,1,0))</f>
        <v>0</v>
      </c>
      <c r="BN4" s="0" t="n">
        <f aca="false">IF(BN$3="",0,IF(COUNTIFS(実績!$W$6:$W$505,BN$3,実績!$AK$6:$AK$505,"○")&gt;0,1,0))</f>
        <v>0</v>
      </c>
      <c r="BO4" s="0" t="n">
        <f aca="false">IF(BO$3="",0,IF(COUNTIFS(実績!$W$6:$W$505,BO$3,実績!$AK$6:$AK$505,"○")&gt;0,1,0))</f>
        <v>0</v>
      </c>
      <c r="BP4" s="0" t="n">
        <f aca="false">IF(BP$3="",0,IF(COUNTIFS(実績!$W$6:$W$505,BP$3,実績!$AK$6:$AK$505,"○")&gt;0,1,0))</f>
        <v>0</v>
      </c>
      <c r="BQ4" s="0" t="n">
        <f aca="false">IF(BQ$3="",0,IF(COUNTIFS(実績!$W$6:$W$505,BQ$3,実績!$AK$6:$AK$505,"○")&gt;0,1,0))</f>
        <v>0</v>
      </c>
      <c r="BR4" s="0" t="n">
        <f aca="false">IF(BR$3="",0,IF(COUNTIFS(実績!$W$6:$W$505,BR$3,実績!$AK$6:$AK$505,"○")&gt;0,1,0))</f>
        <v>0</v>
      </c>
      <c r="BS4" s="0" t="n">
        <f aca="false">IF(BS$3="",0,IF(COUNTIFS(実績!$W$6:$W$505,BS$3,実績!$AK$6:$AK$505,"○")&gt;0,1,0))</f>
        <v>0</v>
      </c>
      <c r="BT4" s="0" t="n">
        <f aca="false">IF(BT$3="",0,IF(COUNTIFS(実績!$W$6:$W$505,BT$3,実績!$AK$6:$AK$505,"○")&gt;0,1,0))</f>
        <v>0</v>
      </c>
      <c r="BU4" s="0" t="n">
        <f aca="false">IF(BU$3="",0,IF(COUNTIFS(実績!$W$6:$W$505,BU$3,実績!$AK$6:$AK$505,"○")&gt;0,1,0))</f>
        <v>0</v>
      </c>
      <c r="BV4" s="0" t="n">
        <f aca="false">IF(BV$3="",0,IF(COUNTIFS(実績!$W$6:$W$505,BV$3,実績!$AK$6:$AK$505,"○")&gt;0,1,0))</f>
        <v>0</v>
      </c>
      <c r="BW4" s="0" t="n">
        <f aca="false">IF(BW$3="",0,IF(COUNTIFS(実績!$W$6:$W$505,BW$3,実績!$AK$6:$AK$505,"○")&gt;0,1,0))</f>
        <v>0</v>
      </c>
      <c r="BX4" s="0" t="n">
        <f aca="false">IF(BX$3="",0,IF(COUNTIFS(実績!$W$6:$W$505,BX$3,実績!$AK$6:$AK$505,"○")&gt;0,1,0))</f>
        <v>0</v>
      </c>
      <c r="BY4" s="0" t="n">
        <f aca="false">IF(BY$3="",0,IF(COUNTIFS(実績!$W$6:$W$505,BY$3,実績!$AK$6:$AK$505,"○")&gt;0,1,0))</f>
        <v>0</v>
      </c>
      <c r="BZ4" s="0" t="n">
        <f aca="false">IF(BZ$3="",0,IF(COUNTIFS(実績!$W$6:$W$505,BZ$3,実績!$AK$6:$AK$505,"○")&gt;0,1,0))</f>
        <v>0</v>
      </c>
      <c r="CA4" s="0" t="n">
        <f aca="false">IF(CA$3="",0,IF(COUNTIFS(実績!$W$6:$W$505,CA$3,実績!$AK$6:$AK$505,"○")&gt;0,1,0))</f>
        <v>0</v>
      </c>
      <c r="CB4" s="0" t="n">
        <f aca="false">IF(CB$3="",0,IF(COUNTIFS(実績!$W$6:$W$505,CB$3,実績!$AK$6:$AK$505,"○")&gt;0,1,0))</f>
        <v>0</v>
      </c>
      <c r="CC4" s="0" t="n">
        <f aca="false">IF(CC$3="",0,IF(COUNTIFS(実績!$W$6:$W$505,CC$3,実績!$AK$6:$AK$505,"○")&gt;0,1,0))</f>
        <v>0</v>
      </c>
      <c r="CD4" s="0" t="n">
        <f aca="false">IF(CD$3="",0,IF(COUNTIFS(実績!$W$6:$W$505,CD$3,実績!$AK$6:$AK$505,"○")&gt;0,1,0))</f>
        <v>0</v>
      </c>
      <c r="CE4" s="0" t="n">
        <f aca="false">IF(CE$3="",0,IF(COUNTIFS(実績!$W$6:$W$505,CE$3,実績!$AK$6:$AK$505,"○")&gt;0,1,0))</f>
        <v>0</v>
      </c>
      <c r="CF4" s="0" t="n">
        <f aca="false">IF(CF$3="",0,IF(COUNTIFS(実績!$W$6:$W$505,CF$3,実績!$AK$6:$AK$505,"○")&gt;0,1,0))</f>
        <v>0</v>
      </c>
      <c r="CG4" s="0" t="n">
        <f aca="false">IF(CG$3="",0,IF(COUNTIFS(実績!$W$6:$W$505,CG$3,実績!$AK$6:$AK$505,"○")&gt;0,1,0))</f>
        <v>0</v>
      </c>
      <c r="CH4" s="0" t="n">
        <f aca="false">IF(CH$3="",0,IF(COUNTIFS(実績!$W$6:$W$505,CH$3,実績!$AK$6:$AK$505,"○")&gt;0,1,0))</f>
        <v>0</v>
      </c>
      <c r="CI4" s="0" t="n">
        <f aca="false">IF(CI$3="",0,IF(COUNTIFS(実績!$W$6:$W$505,CI$3,実績!$AK$6:$AK$505,"○")&gt;0,1,0))</f>
        <v>0</v>
      </c>
      <c r="CJ4" s="0" t="n">
        <f aca="false">IF(CJ$3="",0,IF(COUNTIFS(実績!$W$6:$W$505,CJ$3,実績!$AK$6:$AK$505,"○")&gt;0,1,0))</f>
        <v>0</v>
      </c>
      <c r="CK4" s="0" t="n">
        <f aca="false">IF(CK$3="",0,IF(COUNTIFS(実績!$W$6:$W$505,CK$3,実績!$AK$6:$AK$505,"○")&gt;0,1,0))</f>
        <v>0</v>
      </c>
      <c r="CL4" s="0" t="n">
        <f aca="false">IF(CL$3="",0,IF(COUNTIFS(実績!$W$6:$W$505,CL$3,実績!$AK$6:$AK$505,"○")&gt;0,1,0))</f>
        <v>0</v>
      </c>
      <c r="CM4" s="0" t="n">
        <f aca="false">IF(CM$3="",0,IF(COUNTIFS(実績!$W$6:$W$505,CM$3,実績!$AK$6:$AK$505,"○")&gt;0,1,0))</f>
        <v>0</v>
      </c>
      <c r="CN4" s="0" t="n">
        <f aca="false">IF(CN$3="",0,IF(COUNTIFS(実績!$W$6:$W$505,CN$3,実績!$AK$6:$AK$505,"○")&gt;0,1,0))</f>
        <v>0</v>
      </c>
      <c r="CO4" s="0" t="n">
        <f aca="false">IF(CO$3="",0,IF(COUNTIFS(実績!$W$6:$W$505,CO$3,実績!$AK$6:$AK$505,"○")&gt;0,1,0))</f>
        <v>0</v>
      </c>
      <c r="CP4" s="0" t="n">
        <f aca="false">IF(CP$3="",0,IF(COUNTIFS(実績!$W$6:$W$505,CP$3,実績!$AK$6:$AK$505,"○")&gt;0,1,0))</f>
        <v>0</v>
      </c>
      <c r="CQ4" s="0" t="n">
        <f aca="false">IF(CQ$3="",0,IF(COUNTIFS(実績!$W$6:$W$505,CQ$3,実績!$AK$6:$AK$505,"○")&gt;0,1,0))</f>
        <v>0</v>
      </c>
      <c r="CR4" s="0" t="n">
        <f aca="false">IF(CR$3="",0,IF(COUNTIFS(実績!$W$6:$W$505,CR$3,実績!$AK$6:$AK$505,"○")&gt;0,1,0))</f>
        <v>0</v>
      </c>
      <c r="CS4" s="0" t="n">
        <f aca="false">IF(CS$3="",0,IF(COUNTIFS(実績!$W$6:$W$505,CS$3,実績!$AK$6:$AK$505,"○")&gt;0,1,0))</f>
        <v>0</v>
      </c>
      <c r="CT4" s="0" t="n">
        <f aca="false">IF(CT$3="",0,IF(COUNTIFS(実績!$W$6:$W$505,CT$3,実績!$AK$6:$AK$505,"○")&gt;0,1,0))</f>
        <v>0</v>
      </c>
      <c r="CU4" s="0" t="n">
        <f aca="false">IF(CU$3="",0,IF(COUNTIFS(実績!$W$6:$W$505,CU$3,実績!$AK$6:$AK$505,"○")&gt;0,1,0))</f>
        <v>0</v>
      </c>
      <c r="CV4" s="0" t="n">
        <f aca="false">IF(CV$3="",0,IF(COUNTIFS(実績!$W$6:$W$505,CV$3,実績!$AK$6:$AK$505,"○")&gt;0,1,0))</f>
        <v>0</v>
      </c>
      <c r="CW4" s="0" t="n">
        <f aca="false">IF(CW$3="",0,IF(COUNTIFS(実績!$W$6:$W$505,CW$3,実績!$AK$6:$AK$505,"○")&gt;0,1,0))</f>
        <v>0</v>
      </c>
      <c r="CX4" s="0" t="n">
        <f aca="false">IF(CX$3="",0,IF(COUNTIFS(実績!$W$6:$W$505,CX$3,実績!$AK$6:$AK$505,"○")&gt;0,1,0))</f>
        <v>0</v>
      </c>
      <c r="CY4" s="0" t="n">
        <f aca="false">IF(CY$3="",0,IF(COUNTIFS(実績!$W$6:$W$505,CY$3,実績!$AK$6:$AK$505,"○")&gt;0,1,0))</f>
        <v>0</v>
      </c>
      <c r="CZ4" s="0" t="n">
        <f aca="false">IF(CZ$3="",0,IF(COUNTIFS(実績!$W$6:$W$505,CZ$3,実績!$AK$6:$AK$505,"○")&gt;0,1,0))</f>
        <v>0</v>
      </c>
      <c r="DA4" s="0" t="n">
        <f aca="false">IF(DA$3="",0,IF(COUNTIFS(実績!$W$6:$W$505,DA$3,実績!$AK$6:$AK$505,"○")&gt;0,1,0))</f>
        <v>0</v>
      </c>
      <c r="DB4" s="0" t="n">
        <f aca="false">IF(DB$3="",0,IF(COUNTIFS(実績!$W$6:$W$505,DB$3,実績!$AK$6:$AK$505,"○")&gt;0,1,0))</f>
        <v>0</v>
      </c>
      <c r="DC4" s="0" t="n">
        <f aca="false">IF(DC$3="",0,IF(COUNTIFS(実績!$W$6:$W$505,DC$3,実績!$AK$6:$AK$505,"○")&gt;0,1,0))</f>
        <v>0</v>
      </c>
      <c r="DD4" s="0" t="n">
        <f aca="false">IF(DD$3="",0,IF(COUNTIFS(実績!$W$6:$W$505,DD$3,実績!$AK$6:$AK$505,"○")&gt;0,1,0))</f>
        <v>0</v>
      </c>
      <c r="DE4" s="0" t="n">
        <f aca="false">IF(DE$3="",0,IF(COUNTIFS(実績!$W$6:$W$505,DE$3,実績!$AK$6:$AK$505,"○")&gt;0,1,0))</f>
        <v>0</v>
      </c>
      <c r="DF4" s="0" t="n">
        <f aca="false">IF(DF$3="",0,IF(COUNTIFS(実績!$W$6:$W$505,DF$3,実績!$AK$6:$AK$505,"○")&gt;0,1,0))</f>
        <v>0</v>
      </c>
      <c r="DG4" s="0" t="n">
        <f aca="false">IF(DG$3="",0,IF(COUNTIFS(実績!$W$6:$W$505,DG$3,実績!$AK$6:$AK$505,"○")&gt;0,1,0))</f>
        <v>0</v>
      </c>
      <c r="DH4" s="0" t="n">
        <f aca="false">IF(DH$3="",0,IF(COUNTIFS(実績!$W$6:$W$505,DH$3,実績!$AK$6:$AK$505,"○")&gt;0,1,0))</f>
        <v>0</v>
      </c>
      <c r="DI4" s="0" t="n">
        <f aca="false">IF(DI$3="",0,IF(COUNTIFS(実績!$W$6:$W$505,DI$3,実績!$AK$6:$AK$505,"○")&gt;0,1,0))</f>
        <v>0</v>
      </c>
      <c r="DJ4" s="0" t="n">
        <f aca="false">IF(DJ$3="",0,IF(COUNTIFS(実績!$W$6:$W$505,DJ$3,実績!$AK$6:$AK$505,"○")&gt;0,1,0))</f>
        <v>0</v>
      </c>
      <c r="DK4" s="0" t="n">
        <f aca="false">IF(DK$3="",0,IF(COUNTIFS(実績!$W$6:$W$505,DK$3,実績!$AK$6:$AK$505,"○")&gt;0,1,0))</f>
        <v>0</v>
      </c>
      <c r="DL4" s="0" t="n">
        <f aca="false">IF(DL$3="",0,IF(COUNTIFS(実績!$W$6:$W$505,DL$3,実績!$AK$6:$AK$505,"○")&gt;0,1,0))</f>
        <v>0</v>
      </c>
      <c r="DM4" s="0" t="n">
        <f aca="false">IF(DM$3="",0,IF(COUNTIFS(実績!$W$6:$W$505,DM$3,実績!$AK$6:$AK$505,"○")&gt;0,1,0))</f>
        <v>0</v>
      </c>
      <c r="DN4" s="0" t="n">
        <f aca="false">IF(DN$3="",0,IF(COUNTIFS(実績!$W$6:$W$505,DN$3,実績!$AK$6:$AK$505,"○")&gt;0,1,0))</f>
        <v>0</v>
      </c>
      <c r="DO4" s="0" t="n">
        <f aca="false">IF(DO$3="",0,IF(COUNTIFS(実績!$W$6:$W$505,DO$3,実績!$AK$6:$AK$505,"○")&gt;0,1,0))</f>
        <v>0</v>
      </c>
      <c r="DP4" s="0" t="n">
        <f aca="false">IF(DP$3="",0,IF(COUNTIFS(実績!$W$6:$W$505,DP$3,実績!$AK$6:$AK$505,"○")&gt;0,1,0))</f>
        <v>0</v>
      </c>
      <c r="DQ4" s="0" t="n">
        <f aca="false">IF(DQ$3="",0,IF(COUNTIFS(実績!$W$6:$W$505,DQ$3,実績!$AK$6:$AK$505,"○")&gt;0,1,0))</f>
        <v>0</v>
      </c>
      <c r="DR4" s="0" t="n">
        <f aca="false">IF(DR$3="",0,IF(COUNTIFS(実績!$W$6:$W$505,DR$3,実績!$AK$6:$AK$505,"○")&gt;0,1,0))</f>
        <v>0</v>
      </c>
    </row>
    <row r="5" customFormat="false" ht="15" hidden="false" customHeight="false" outlineLevel="0" collapsed="false">
      <c r="A5" s="16" t="s">
        <v>561</v>
      </c>
      <c r="B5" s="16" t="s">
        <v>562</v>
      </c>
      <c r="DS5" s="16" t="s">
        <v>563</v>
      </c>
      <c r="DT5" s="16" t="s">
        <v>564</v>
      </c>
      <c r="DU5" s="16" t="s">
        <v>565</v>
      </c>
      <c r="DV5" s="16" t="s">
        <v>322</v>
      </c>
    </row>
    <row r="6" customFormat="false" ht="15" hidden="false" customHeight="false" outlineLevel="0" collapsed="false">
      <c r="A6" s="0" t="n">
        <v>0</v>
      </c>
      <c r="B6" s="38" t="n">
        <f aca="false">A6/1440</f>
        <v>0</v>
      </c>
      <c r="C6" s="39" t="n">
        <f aca="false">IF(C$4=0,0,IF(COUNTIFS(実績!$W$6:$W$505,C$3,実績!$AI$6:$AI$505,"&lt;="&amp;$A6,実績!$AJ$6:$AJ$505,"&gt;"&amp;$A6,実績!$AK$6:$AK$505,"○")&gt;0,1,0))</f>
        <v>0</v>
      </c>
      <c r="D6" s="39" t="n">
        <f aca="false">IF(D$4=0,0,IF(COUNTIFS(実績!$W$6:$W$505,D$3,実績!$AI$6:$AI$505,"&lt;="&amp;$A6,実績!$AJ$6:$AJ$505,"&gt;"&amp;$A6,実績!$AK$6:$AK$505,"○")&gt;0,1,0))</f>
        <v>0</v>
      </c>
      <c r="E6" s="39" t="n">
        <f aca="false">IF(E$4=0,0,IF(COUNTIFS(実績!$W$6:$W$505,E$3,実績!$AI$6:$AI$505,"&lt;="&amp;$A6,実績!$AJ$6:$AJ$505,"&gt;"&amp;$A6,実績!$AK$6:$AK$505,"○")&gt;0,1,0))</f>
        <v>0</v>
      </c>
      <c r="F6" s="39" t="n">
        <f aca="false">IF(F$4=0,0,IF(COUNTIFS(実績!$W$6:$W$505,F$3,実績!$AI$6:$AI$505,"&lt;="&amp;$A6,実績!$AJ$6:$AJ$505,"&gt;"&amp;$A6,実績!$AK$6:$AK$505,"○")&gt;0,1,0))</f>
        <v>0</v>
      </c>
      <c r="G6" s="39" t="n">
        <f aca="false">IF(G$4=0,0,IF(COUNTIFS(実績!$W$6:$W$505,G$3,実績!$AI$6:$AI$505,"&lt;="&amp;$A6,実績!$AJ$6:$AJ$505,"&gt;"&amp;$A6,実績!$AK$6:$AK$505,"○")&gt;0,1,0))</f>
        <v>0</v>
      </c>
      <c r="H6" s="39" t="n">
        <f aca="false">IF(H$4=0,0,IF(COUNTIFS(実績!$W$6:$W$505,H$3,実績!$AI$6:$AI$505,"&lt;="&amp;$A6,実績!$AJ$6:$AJ$505,"&gt;"&amp;$A6,実績!$AK$6:$AK$505,"○")&gt;0,1,0))</f>
        <v>0</v>
      </c>
      <c r="I6" s="39" t="n">
        <f aca="false">IF(I$4=0,0,IF(COUNTIFS(実績!$W$6:$W$505,I$3,実績!$AI$6:$AI$505,"&lt;="&amp;$A6,実績!$AJ$6:$AJ$505,"&gt;"&amp;$A6,実績!$AK$6:$AK$505,"○")&gt;0,1,0))</f>
        <v>0</v>
      </c>
      <c r="J6" s="39" t="n">
        <f aca="false">IF(J$4=0,0,IF(COUNTIFS(実績!$W$6:$W$505,J$3,実績!$AI$6:$AI$505,"&lt;="&amp;$A6,実績!$AJ$6:$AJ$505,"&gt;"&amp;$A6,実績!$AK$6:$AK$505,"○")&gt;0,1,0))</f>
        <v>0</v>
      </c>
      <c r="K6" s="39" t="n">
        <f aca="false">IF(K$4=0,0,IF(COUNTIFS(実績!$W$6:$W$505,K$3,実績!$AI$6:$AI$505,"&lt;="&amp;$A6,実績!$AJ$6:$AJ$505,"&gt;"&amp;$A6,実績!$AK$6:$AK$505,"○")&gt;0,1,0))</f>
        <v>0</v>
      </c>
      <c r="L6" s="39" t="n">
        <f aca="false">IF(L$4=0,0,IF(COUNTIFS(実績!$W$6:$W$505,L$3,実績!$AI$6:$AI$505,"&lt;="&amp;$A6,実績!$AJ$6:$AJ$505,"&gt;"&amp;$A6,実績!$AK$6:$AK$505,"○")&gt;0,1,0))</f>
        <v>0</v>
      </c>
      <c r="M6" s="39" t="n">
        <f aca="false">IF(M$4=0,0,IF(COUNTIFS(実績!$W$6:$W$505,M$3,実績!$AI$6:$AI$505,"&lt;="&amp;$A6,実績!$AJ$6:$AJ$505,"&gt;"&amp;$A6,実績!$AK$6:$AK$505,"○")&gt;0,1,0))</f>
        <v>0</v>
      </c>
      <c r="N6" s="39" t="n">
        <f aca="false">IF(N$4=0,0,IF(COUNTIFS(実績!$W$6:$W$505,N$3,実績!$AI$6:$AI$505,"&lt;="&amp;$A6,実績!$AJ$6:$AJ$505,"&gt;"&amp;$A6,実績!$AK$6:$AK$505,"○")&gt;0,1,0))</f>
        <v>0</v>
      </c>
      <c r="O6" s="39" t="n">
        <f aca="false">IF(O$4=0,0,IF(COUNTIFS(実績!$W$6:$W$505,O$3,実績!$AI$6:$AI$505,"&lt;="&amp;$A6,実績!$AJ$6:$AJ$505,"&gt;"&amp;$A6,実績!$AK$6:$AK$505,"○")&gt;0,1,0))</f>
        <v>0</v>
      </c>
      <c r="P6" s="39" t="n">
        <f aca="false">IF(P$4=0,0,IF(COUNTIFS(実績!$W$6:$W$505,P$3,実績!$AI$6:$AI$505,"&lt;="&amp;$A6,実績!$AJ$6:$AJ$505,"&gt;"&amp;$A6,実績!$AK$6:$AK$505,"○")&gt;0,1,0))</f>
        <v>0</v>
      </c>
      <c r="Q6" s="39" t="n">
        <f aca="false">IF(Q$4=0,0,IF(COUNTIFS(実績!$W$6:$W$505,Q$3,実績!$AI$6:$AI$505,"&lt;="&amp;$A6,実績!$AJ$6:$AJ$505,"&gt;"&amp;$A6,実績!$AK$6:$AK$505,"○")&gt;0,1,0))</f>
        <v>0</v>
      </c>
      <c r="R6" s="39" t="n">
        <f aca="false">IF(R$4=0,0,IF(COUNTIFS(実績!$W$6:$W$505,R$3,実績!$AI$6:$AI$505,"&lt;="&amp;$A6,実績!$AJ$6:$AJ$505,"&gt;"&amp;$A6,実績!$AK$6:$AK$505,"○")&gt;0,1,0))</f>
        <v>0</v>
      </c>
      <c r="S6" s="39" t="n">
        <f aca="false">IF(S$4=0,0,IF(COUNTIFS(実績!$W$6:$W$505,S$3,実績!$AI$6:$AI$505,"&lt;="&amp;$A6,実績!$AJ$6:$AJ$505,"&gt;"&amp;$A6,実績!$AK$6:$AK$505,"○")&gt;0,1,0))</f>
        <v>0</v>
      </c>
      <c r="T6" s="39" t="n">
        <f aca="false">IF(T$4=0,0,IF(COUNTIFS(実績!$W$6:$W$505,T$3,実績!$AI$6:$AI$505,"&lt;="&amp;$A6,実績!$AJ$6:$AJ$505,"&gt;"&amp;$A6,実績!$AK$6:$AK$505,"○")&gt;0,1,0))</f>
        <v>0</v>
      </c>
      <c r="U6" s="39" t="n">
        <f aca="false">IF(U$4=0,0,IF(COUNTIFS(実績!$W$6:$W$505,U$3,実績!$AI$6:$AI$505,"&lt;="&amp;$A6,実績!$AJ$6:$AJ$505,"&gt;"&amp;$A6,実績!$AK$6:$AK$505,"○")&gt;0,1,0))</f>
        <v>0</v>
      </c>
      <c r="V6" s="39" t="n">
        <f aca="false">IF(V$4=0,0,IF(COUNTIFS(実績!$W$6:$W$505,V$3,実績!$AI$6:$AI$505,"&lt;="&amp;$A6,実績!$AJ$6:$AJ$505,"&gt;"&amp;$A6,実績!$AK$6:$AK$505,"○")&gt;0,1,0))</f>
        <v>0</v>
      </c>
      <c r="W6" s="39" t="n">
        <f aca="false">IF(W$4=0,0,IF(COUNTIFS(実績!$W$6:$W$505,W$3,実績!$AI$6:$AI$505,"&lt;="&amp;$A6,実績!$AJ$6:$AJ$505,"&gt;"&amp;$A6,実績!$AK$6:$AK$505,"○")&gt;0,1,0))</f>
        <v>0</v>
      </c>
      <c r="X6" s="39" t="n">
        <f aca="false">IF(X$4=0,0,IF(COUNTIFS(実績!$W$6:$W$505,X$3,実績!$AI$6:$AI$505,"&lt;="&amp;$A6,実績!$AJ$6:$AJ$505,"&gt;"&amp;$A6,実績!$AK$6:$AK$505,"○")&gt;0,1,0))</f>
        <v>0</v>
      </c>
      <c r="Y6" s="39" t="n">
        <f aca="false">IF(Y$4=0,0,IF(COUNTIFS(実績!$W$6:$W$505,Y$3,実績!$AI$6:$AI$505,"&lt;="&amp;$A6,実績!$AJ$6:$AJ$505,"&gt;"&amp;$A6,実績!$AK$6:$AK$505,"○")&gt;0,1,0))</f>
        <v>0</v>
      </c>
      <c r="Z6" s="39" t="n">
        <f aca="false">IF(Z$4=0,0,IF(COUNTIFS(実績!$W$6:$W$505,Z$3,実績!$AI$6:$AI$505,"&lt;="&amp;$A6,実績!$AJ$6:$AJ$505,"&gt;"&amp;$A6,実績!$AK$6:$AK$505,"○")&gt;0,1,0))</f>
        <v>0</v>
      </c>
      <c r="AA6" s="39" t="n">
        <f aca="false">IF(AA$4=0,0,IF(COUNTIFS(実績!$W$6:$W$505,AA$3,実績!$AI$6:$AI$505,"&lt;="&amp;$A6,実績!$AJ$6:$AJ$505,"&gt;"&amp;$A6,実績!$AK$6:$AK$505,"○")&gt;0,1,0))</f>
        <v>0</v>
      </c>
      <c r="AB6" s="39" t="n">
        <f aca="false">IF(AB$4=0,0,IF(COUNTIFS(実績!$W$6:$W$505,AB$3,実績!$AI$6:$AI$505,"&lt;="&amp;$A6,実績!$AJ$6:$AJ$505,"&gt;"&amp;$A6,実績!$AK$6:$AK$505,"○")&gt;0,1,0))</f>
        <v>0</v>
      </c>
      <c r="AC6" s="39" t="n">
        <f aca="false">IF(AC$4=0,0,IF(COUNTIFS(実績!$W$6:$W$505,AC$3,実績!$AI$6:$AI$505,"&lt;="&amp;$A6,実績!$AJ$6:$AJ$505,"&gt;"&amp;$A6,実績!$AK$6:$AK$505,"○")&gt;0,1,0))</f>
        <v>0</v>
      </c>
      <c r="AD6" s="39" t="n">
        <f aca="false">IF(AD$4=0,0,IF(COUNTIFS(実績!$W$6:$W$505,AD$3,実績!$AI$6:$AI$505,"&lt;="&amp;$A6,実績!$AJ$6:$AJ$505,"&gt;"&amp;$A6,実績!$AK$6:$AK$505,"○")&gt;0,1,0))</f>
        <v>0</v>
      </c>
      <c r="AE6" s="39" t="n">
        <f aca="false">IF(AE$4=0,0,IF(COUNTIFS(実績!$W$6:$W$505,AE$3,実績!$AI$6:$AI$505,"&lt;="&amp;$A6,実績!$AJ$6:$AJ$505,"&gt;"&amp;$A6,実績!$AK$6:$AK$505,"○")&gt;0,1,0))</f>
        <v>0</v>
      </c>
      <c r="AF6" s="39" t="n">
        <f aca="false">IF(AF$4=0,0,IF(COUNTIFS(実績!$W$6:$W$505,AF$3,実績!$AI$6:$AI$505,"&lt;="&amp;$A6,実績!$AJ$6:$AJ$505,"&gt;"&amp;$A6,実績!$AK$6:$AK$505,"○")&gt;0,1,0))</f>
        <v>0</v>
      </c>
      <c r="AG6" s="39" t="n">
        <f aca="false">IF(AG$4=0,0,IF(COUNTIFS(実績!$W$6:$W$505,AG$3,実績!$AI$6:$AI$505,"&lt;="&amp;$A6,実績!$AJ$6:$AJ$505,"&gt;"&amp;$A6,実績!$AK$6:$AK$505,"○")&gt;0,1,0))</f>
        <v>0</v>
      </c>
      <c r="AH6" s="39" t="n">
        <f aca="false">IF(AH$4=0,0,IF(COUNTIFS(実績!$W$6:$W$505,AH$3,実績!$AI$6:$AI$505,"&lt;="&amp;$A6,実績!$AJ$6:$AJ$505,"&gt;"&amp;$A6,実績!$AK$6:$AK$505,"○")&gt;0,1,0))</f>
        <v>0</v>
      </c>
      <c r="AI6" s="39" t="n">
        <f aca="false">IF(AI$4=0,0,IF(COUNTIFS(実績!$W$6:$W$505,AI$3,実績!$AI$6:$AI$505,"&lt;="&amp;$A6,実績!$AJ$6:$AJ$505,"&gt;"&amp;$A6,実績!$AK$6:$AK$505,"○")&gt;0,1,0))</f>
        <v>0</v>
      </c>
      <c r="AJ6" s="39" t="n">
        <f aca="false">IF(AJ$4=0,0,IF(COUNTIFS(実績!$W$6:$W$505,AJ$3,実績!$AI$6:$AI$505,"&lt;="&amp;$A6,実績!$AJ$6:$AJ$505,"&gt;"&amp;$A6,実績!$AK$6:$AK$505,"○")&gt;0,1,0))</f>
        <v>0</v>
      </c>
      <c r="AK6" s="39" t="n">
        <f aca="false">IF(AK$4=0,0,IF(COUNTIFS(実績!$W$6:$W$505,AK$3,実績!$AI$6:$AI$505,"&lt;="&amp;$A6,実績!$AJ$6:$AJ$505,"&gt;"&amp;$A6,実績!$AK$6:$AK$505,"○")&gt;0,1,0))</f>
        <v>0</v>
      </c>
      <c r="AL6" s="39" t="n">
        <f aca="false">IF(AL$4=0,0,IF(COUNTIFS(実績!$W$6:$W$505,AL$3,実績!$AI$6:$AI$505,"&lt;="&amp;$A6,実績!$AJ$6:$AJ$505,"&gt;"&amp;$A6,実績!$AK$6:$AK$505,"○")&gt;0,1,0))</f>
        <v>0</v>
      </c>
      <c r="AM6" s="39" t="n">
        <f aca="false">IF(AM$4=0,0,IF(COUNTIFS(実績!$W$6:$W$505,AM$3,実績!$AI$6:$AI$505,"&lt;="&amp;$A6,実績!$AJ$6:$AJ$505,"&gt;"&amp;$A6,実績!$AK$6:$AK$505,"○")&gt;0,1,0))</f>
        <v>0</v>
      </c>
      <c r="AN6" s="39" t="n">
        <f aca="false">IF(AN$4=0,0,IF(COUNTIFS(実績!$W$6:$W$505,AN$3,実績!$AI$6:$AI$505,"&lt;="&amp;$A6,実績!$AJ$6:$AJ$505,"&gt;"&amp;$A6,実績!$AK$6:$AK$505,"○")&gt;0,1,0))</f>
        <v>0</v>
      </c>
      <c r="AO6" s="39" t="n">
        <f aca="false">IF(AO$4=0,0,IF(COUNTIFS(実績!$W$6:$W$505,AO$3,実績!$AI$6:$AI$505,"&lt;="&amp;$A6,実績!$AJ$6:$AJ$505,"&gt;"&amp;$A6,実績!$AK$6:$AK$505,"○")&gt;0,1,0))</f>
        <v>0</v>
      </c>
      <c r="AP6" s="39" t="n">
        <f aca="false">IF(AP$4=0,0,IF(COUNTIFS(実績!$W$6:$W$505,AP$3,実績!$AI$6:$AI$505,"&lt;="&amp;$A6,実績!$AJ$6:$AJ$505,"&gt;"&amp;$A6,実績!$AK$6:$AK$505,"○")&gt;0,1,0))</f>
        <v>0</v>
      </c>
      <c r="AQ6" s="39" t="n">
        <f aca="false">IF(AQ$4=0,0,IF(COUNTIFS(実績!$W$6:$W$505,AQ$3,実績!$AI$6:$AI$505,"&lt;="&amp;$A6,実績!$AJ$6:$AJ$505,"&gt;"&amp;$A6,実績!$AK$6:$AK$505,"○")&gt;0,1,0))</f>
        <v>0</v>
      </c>
      <c r="AR6" s="39" t="n">
        <f aca="false">IF(AR$4=0,0,IF(COUNTIFS(実績!$W$6:$W$505,AR$3,実績!$AI$6:$AI$505,"&lt;="&amp;$A6,実績!$AJ$6:$AJ$505,"&gt;"&amp;$A6,実績!$AK$6:$AK$505,"○")&gt;0,1,0))</f>
        <v>0</v>
      </c>
      <c r="AS6" s="39" t="n">
        <f aca="false">IF(AS$4=0,0,IF(COUNTIFS(実績!$W$6:$W$505,AS$3,実績!$AI$6:$AI$505,"&lt;="&amp;$A6,実績!$AJ$6:$AJ$505,"&gt;"&amp;$A6,実績!$AK$6:$AK$505,"○")&gt;0,1,0))</f>
        <v>0</v>
      </c>
      <c r="AT6" s="39" t="n">
        <f aca="false">IF(AT$4=0,0,IF(COUNTIFS(実績!$W$6:$W$505,AT$3,実績!$AI$6:$AI$505,"&lt;="&amp;$A6,実績!$AJ$6:$AJ$505,"&gt;"&amp;$A6,実績!$AK$6:$AK$505,"○")&gt;0,1,0))</f>
        <v>0</v>
      </c>
      <c r="AU6" s="39" t="n">
        <f aca="false">IF(AU$4=0,0,IF(COUNTIFS(実績!$W$6:$W$505,AU$3,実績!$AI$6:$AI$505,"&lt;="&amp;$A6,実績!$AJ$6:$AJ$505,"&gt;"&amp;$A6,実績!$AK$6:$AK$505,"○")&gt;0,1,0))</f>
        <v>0</v>
      </c>
      <c r="AV6" s="39" t="n">
        <f aca="false">IF(AV$4=0,0,IF(COUNTIFS(実績!$W$6:$W$505,AV$3,実績!$AI$6:$AI$505,"&lt;="&amp;$A6,実績!$AJ$6:$AJ$505,"&gt;"&amp;$A6,実績!$AK$6:$AK$505,"○")&gt;0,1,0))</f>
        <v>0</v>
      </c>
      <c r="AW6" s="39" t="n">
        <f aca="false">IF(AW$4=0,0,IF(COUNTIFS(実績!$W$6:$W$505,AW$3,実績!$AI$6:$AI$505,"&lt;="&amp;$A6,実績!$AJ$6:$AJ$505,"&gt;"&amp;$A6,実績!$AK$6:$AK$505,"○")&gt;0,1,0))</f>
        <v>0</v>
      </c>
      <c r="AX6" s="39" t="n">
        <f aca="false">IF(AX$4=0,0,IF(COUNTIFS(実績!$W$6:$W$505,AX$3,実績!$AI$6:$AI$505,"&lt;="&amp;$A6,実績!$AJ$6:$AJ$505,"&gt;"&amp;$A6,実績!$AK$6:$AK$505,"○")&gt;0,1,0))</f>
        <v>0</v>
      </c>
      <c r="AY6" s="39" t="n">
        <f aca="false">IF(AY$4=0,0,IF(COUNTIFS(実績!$W$6:$W$505,AY$3,実績!$AI$6:$AI$505,"&lt;="&amp;$A6,実績!$AJ$6:$AJ$505,"&gt;"&amp;$A6,実績!$AK$6:$AK$505,"○")&gt;0,1,0))</f>
        <v>0</v>
      </c>
      <c r="AZ6" s="39" t="n">
        <f aca="false">IF(AZ$4=0,0,IF(COUNTIFS(実績!$W$6:$W$505,AZ$3,実績!$AI$6:$AI$505,"&lt;="&amp;$A6,実績!$AJ$6:$AJ$505,"&gt;"&amp;$A6,実績!$AK$6:$AK$505,"○")&gt;0,1,0))</f>
        <v>0</v>
      </c>
      <c r="BA6" s="39" t="n">
        <f aca="false">IF(BA$4=0,0,IF(COUNTIFS(実績!$W$6:$W$505,BA$3,実績!$AI$6:$AI$505,"&lt;="&amp;$A6,実績!$AJ$6:$AJ$505,"&gt;"&amp;$A6,実績!$AK$6:$AK$505,"○")&gt;0,1,0))</f>
        <v>0</v>
      </c>
      <c r="BB6" s="39" t="n">
        <f aca="false">IF(BB$4=0,0,IF(COUNTIFS(実績!$W$6:$W$505,BB$3,実績!$AI$6:$AI$505,"&lt;="&amp;$A6,実績!$AJ$6:$AJ$505,"&gt;"&amp;$A6,実績!$AK$6:$AK$505,"○")&gt;0,1,0))</f>
        <v>0</v>
      </c>
      <c r="BC6" s="39" t="n">
        <f aca="false">IF(BC$4=0,0,IF(COUNTIFS(実績!$W$6:$W$505,BC$3,実績!$AI$6:$AI$505,"&lt;="&amp;$A6,実績!$AJ$6:$AJ$505,"&gt;"&amp;$A6,実績!$AK$6:$AK$505,"○")&gt;0,1,0))</f>
        <v>0</v>
      </c>
      <c r="BD6" s="39" t="n">
        <f aca="false">IF(BD$4=0,0,IF(COUNTIFS(実績!$W$6:$W$505,BD$3,実績!$AI$6:$AI$505,"&lt;="&amp;$A6,実績!$AJ$6:$AJ$505,"&gt;"&amp;$A6,実績!$AK$6:$AK$505,"○")&gt;0,1,0))</f>
        <v>0</v>
      </c>
      <c r="BE6" s="39" t="n">
        <f aca="false">IF(BE$4=0,0,IF(COUNTIFS(実績!$W$6:$W$505,BE$3,実績!$AI$6:$AI$505,"&lt;="&amp;$A6,実績!$AJ$6:$AJ$505,"&gt;"&amp;$A6,実績!$AK$6:$AK$505,"○")&gt;0,1,0))</f>
        <v>0</v>
      </c>
      <c r="BF6" s="39" t="n">
        <f aca="false">IF(BF$4=0,0,IF(COUNTIFS(実績!$W$6:$W$505,BF$3,実績!$AI$6:$AI$505,"&lt;="&amp;$A6,実績!$AJ$6:$AJ$505,"&gt;"&amp;$A6,実績!$AK$6:$AK$505,"○")&gt;0,1,0))</f>
        <v>0</v>
      </c>
      <c r="BG6" s="39" t="n">
        <f aca="false">IF(BG$4=0,0,IF(COUNTIFS(実績!$W$6:$W$505,BG$3,実績!$AI$6:$AI$505,"&lt;="&amp;$A6,実績!$AJ$6:$AJ$505,"&gt;"&amp;$A6,実績!$AK$6:$AK$505,"○")&gt;0,1,0))</f>
        <v>0</v>
      </c>
      <c r="BH6" s="39" t="n">
        <f aca="false">IF(BH$4=0,0,IF(COUNTIFS(実績!$W$6:$W$505,BH$3,実績!$AI$6:$AI$505,"&lt;="&amp;$A6,実績!$AJ$6:$AJ$505,"&gt;"&amp;$A6,実績!$AK$6:$AK$505,"○")&gt;0,1,0))</f>
        <v>0</v>
      </c>
      <c r="BI6" s="39" t="n">
        <f aca="false">IF(BI$4=0,0,IF(COUNTIFS(実績!$W$6:$W$505,BI$3,実績!$AI$6:$AI$505,"&lt;="&amp;$A6,実績!$AJ$6:$AJ$505,"&gt;"&amp;$A6,実績!$AK$6:$AK$505,"○")&gt;0,1,0))</f>
        <v>0</v>
      </c>
      <c r="BJ6" s="39" t="n">
        <f aca="false">IF(BJ$4=0,0,IF(COUNTIFS(実績!$W$6:$W$505,BJ$3,実績!$AI$6:$AI$505,"&lt;="&amp;$A6,実績!$AJ$6:$AJ$505,"&gt;"&amp;$A6,実績!$AK$6:$AK$505,"○")&gt;0,1,0))</f>
        <v>0</v>
      </c>
      <c r="BK6" s="39" t="n">
        <f aca="false">IF(BK$4=0,0,IF(COUNTIFS(実績!$W$6:$W$505,BK$3,実績!$AI$6:$AI$505,"&lt;="&amp;$A6,実績!$AJ$6:$AJ$505,"&gt;"&amp;$A6,実績!$AK$6:$AK$505,"○")&gt;0,1,0))</f>
        <v>0</v>
      </c>
      <c r="BL6" s="39" t="n">
        <f aca="false">IF(BL$4=0,0,IF(COUNTIFS(実績!$W$6:$W$505,BL$3,実績!$AI$6:$AI$505,"&lt;="&amp;$A6,実績!$AJ$6:$AJ$505,"&gt;"&amp;$A6,実績!$AK$6:$AK$505,"○")&gt;0,1,0))</f>
        <v>0</v>
      </c>
      <c r="BM6" s="39" t="n">
        <f aca="false">IF(BM$4=0,0,IF(COUNTIFS(実績!$W$6:$W$505,BM$3,実績!$AI$6:$AI$505,"&lt;="&amp;$A6,実績!$AJ$6:$AJ$505,"&gt;"&amp;$A6,実績!$AK$6:$AK$505,"○")&gt;0,1,0))</f>
        <v>0</v>
      </c>
      <c r="BN6" s="39" t="n">
        <f aca="false">IF(BN$4=0,0,IF(COUNTIFS(実績!$W$6:$W$505,BN$3,実績!$AI$6:$AI$505,"&lt;="&amp;$A6,実績!$AJ$6:$AJ$505,"&gt;"&amp;$A6,実績!$AK$6:$AK$505,"○")&gt;0,1,0))</f>
        <v>0</v>
      </c>
      <c r="BO6" s="39" t="n">
        <f aca="false">IF(BO$4=0,0,IF(COUNTIFS(実績!$W$6:$W$505,BO$3,実績!$AI$6:$AI$505,"&lt;="&amp;$A6,実績!$AJ$6:$AJ$505,"&gt;"&amp;$A6,実績!$AK$6:$AK$505,"○")&gt;0,1,0))</f>
        <v>0</v>
      </c>
      <c r="BP6" s="39" t="n">
        <f aca="false">IF(BP$4=0,0,IF(COUNTIFS(実績!$W$6:$W$505,BP$3,実績!$AI$6:$AI$505,"&lt;="&amp;$A6,実績!$AJ$6:$AJ$505,"&gt;"&amp;$A6,実績!$AK$6:$AK$505,"○")&gt;0,1,0))</f>
        <v>0</v>
      </c>
      <c r="BQ6" s="39" t="n">
        <f aca="false">IF(BQ$4=0,0,IF(COUNTIFS(実績!$W$6:$W$505,BQ$3,実績!$AI$6:$AI$505,"&lt;="&amp;$A6,実績!$AJ$6:$AJ$505,"&gt;"&amp;$A6,実績!$AK$6:$AK$505,"○")&gt;0,1,0))</f>
        <v>0</v>
      </c>
      <c r="BR6" s="39" t="n">
        <f aca="false">IF(BR$4=0,0,IF(COUNTIFS(実績!$W$6:$W$505,BR$3,実績!$AI$6:$AI$505,"&lt;="&amp;$A6,実績!$AJ$6:$AJ$505,"&gt;"&amp;$A6,実績!$AK$6:$AK$505,"○")&gt;0,1,0))</f>
        <v>0</v>
      </c>
      <c r="BS6" s="39" t="n">
        <f aca="false">IF(BS$4=0,0,IF(COUNTIFS(実績!$W$6:$W$505,BS$3,実績!$AI$6:$AI$505,"&lt;="&amp;$A6,実績!$AJ$6:$AJ$505,"&gt;"&amp;$A6,実績!$AK$6:$AK$505,"○")&gt;0,1,0))</f>
        <v>0</v>
      </c>
      <c r="BT6" s="39" t="n">
        <f aca="false">IF(BT$4=0,0,IF(COUNTIFS(実績!$W$6:$W$505,BT$3,実績!$AI$6:$AI$505,"&lt;="&amp;$A6,実績!$AJ$6:$AJ$505,"&gt;"&amp;$A6,実績!$AK$6:$AK$505,"○")&gt;0,1,0))</f>
        <v>0</v>
      </c>
      <c r="BU6" s="39" t="n">
        <f aca="false">IF(BU$4=0,0,IF(COUNTIFS(実績!$W$6:$W$505,BU$3,実績!$AI$6:$AI$505,"&lt;="&amp;$A6,実績!$AJ$6:$AJ$505,"&gt;"&amp;$A6,実績!$AK$6:$AK$505,"○")&gt;0,1,0))</f>
        <v>0</v>
      </c>
      <c r="BV6" s="39" t="n">
        <f aca="false">IF(BV$4=0,0,IF(COUNTIFS(実績!$W$6:$W$505,BV$3,実績!$AI$6:$AI$505,"&lt;="&amp;$A6,実績!$AJ$6:$AJ$505,"&gt;"&amp;$A6,実績!$AK$6:$AK$505,"○")&gt;0,1,0))</f>
        <v>0</v>
      </c>
      <c r="BW6" s="39" t="n">
        <f aca="false">IF(BW$4=0,0,IF(COUNTIFS(実績!$W$6:$W$505,BW$3,実績!$AI$6:$AI$505,"&lt;="&amp;$A6,実績!$AJ$6:$AJ$505,"&gt;"&amp;$A6,実績!$AK$6:$AK$505,"○")&gt;0,1,0))</f>
        <v>0</v>
      </c>
      <c r="BX6" s="39" t="n">
        <f aca="false">IF(BX$4=0,0,IF(COUNTIFS(実績!$W$6:$W$505,BX$3,実績!$AI$6:$AI$505,"&lt;="&amp;$A6,実績!$AJ$6:$AJ$505,"&gt;"&amp;$A6,実績!$AK$6:$AK$505,"○")&gt;0,1,0))</f>
        <v>0</v>
      </c>
      <c r="BY6" s="39" t="n">
        <f aca="false">IF(BY$4=0,0,IF(COUNTIFS(実績!$W$6:$W$505,BY$3,実績!$AI$6:$AI$505,"&lt;="&amp;$A6,実績!$AJ$6:$AJ$505,"&gt;"&amp;$A6,実績!$AK$6:$AK$505,"○")&gt;0,1,0))</f>
        <v>0</v>
      </c>
      <c r="BZ6" s="39" t="n">
        <f aca="false">IF(BZ$4=0,0,IF(COUNTIFS(実績!$W$6:$W$505,BZ$3,実績!$AI$6:$AI$505,"&lt;="&amp;$A6,実績!$AJ$6:$AJ$505,"&gt;"&amp;$A6,実績!$AK$6:$AK$505,"○")&gt;0,1,0))</f>
        <v>0</v>
      </c>
      <c r="CA6" s="39" t="n">
        <f aca="false">IF(CA$4=0,0,IF(COUNTIFS(実績!$W$6:$W$505,CA$3,実績!$AI$6:$AI$505,"&lt;="&amp;$A6,実績!$AJ$6:$AJ$505,"&gt;"&amp;$A6,実績!$AK$6:$AK$505,"○")&gt;0,1,0))</f>
        <v>0</v>
      </c>
      <c r="CB6" s="39" t="n">
        <f aca="false">IF(CB$4=0,0,IF(COUNTIFS(実績!$W$6:$W$505,CB$3,実績!$AI$6:$AI$505,"&lt;="&amp;$A6,実績!$AJ$6:$AJ$505,"&gt;"&amp;$A6,実績!$AK$6:$AK$505,"○")&gt;0,1,0))</f>
        <v>0</v>
      </c>
      <c r="CC6" s="39" t="n">
        <f aca="false">IF(CC$4=0,0,IF(COUNTIFS(実績!$W$6:$W$505,CC$3,実績!$AI$6:$AI$505,"&lt;="&amp;$A6,実績!$AJ$6:$AJ$505,"&gt;"&amp;$A6,実績!$AK$6:$AK$505,"○")&gt;0,1,0))</f>
        <v>0</v>
      </c>
      <c r="CD6" s="39" t="n">
        <f aca="false">IF(CD$4=0,0,IF(COUNTIFS(実績!$W$6:$W$505,CD$3,実績!$AI$6:$AI$505,"&lt;="&amp;$A6,実績!$AJ$6:$AJ$505,"&gt;"&amp;$A6,実績!$AK$6:$AK$505,"○")&gt;0,1,0))</f>
        <v>0</v>
      </c>
      <c r="CE6" s="39" t="n">
        <f aca="false">IF(CE$4=0,0,IF(COUNTIFS(実績!$W$6:$W$505,CE$3,実績!$AI$6:$AI$505,"&lt;="&amp;$A6,実績!$AJ$6:$AJ$505,"&gt;"&amp;$A6,実績!$AK$6:$AK$505,"○")&gt;0,1,0))</f>
        <v>0</v>
      </c>
      <c r="CF6" s="39" t="n">
        <f aca="false">IF(CF$4=0,0,IF(COUNTIFS(実績!$W$6:$W$505,CF$3,実績!$AI$6:$AI$505,"&lt;="&amp;$A6,実績!$AJ$6:$AJ$505,"&gt;"&amp;$A6,実績!$AK$6:$AK$505,"○")&gt;0,1,0))</f>
        <v>0</v>
      </c>
      <c r="CG6" s="39" t="n">
        <f aca="false">IF(CG$4=0,0,IF(COUNTIFS(実績!$W$6:$W$505,CG$3,実績!$AI$6:$AI$505,"&lt;="&amp;$A6,実績!$AJ$6:$AJ$505,"&gt;"&amp;$A6,実績!$AK$6:$AK$505,"○")&gt;0,1,0))</f>
        <v>0</v>
      </c>
      <c r="CH6" s="39" t="n">
        <f aca="false">IF(CH$4=0,0,IF(COUNTIFS(実績!$W$6:$W$505,CH$3,実績!$AI$6:$AI$505,"&lt;="&amp;$A6,実績!$AJ$6:$AJ$505,"&gt;"&amp;$A6,実績!$AK$6:$AK$505,"○")&gt;0,1,0))</f>
        <v>0</v>
      </c>
      <c r="CI6" s="39" t="n">
        <f aca="false">IF(CI$4=0,0,IF(COUNTIFS(実績!$W$6:$W$505,CI$3,実績!$AI$6:$AI$505,"&lt;="&amp;$A6,実績!$AJ$6:$AJ$505,"&gt;"&amp;$A6,実績!$AK$6:$AK$505,"○")&gt;0,1,0))</f>
        <v>0</v>
      </c>
      <c r="CJ6" s="39" t="n">
        <f aca="false">IF(CJ$4=0,0,IF(COUNTIFS(実績!$W$6:$W$505,CJ$3,実績!$AI$6:$AI$505,"&lt;="&amp;$A6,実績!$AJ$6:$AJ$505,"&gt;"&amp;$A6,実績!$AK$6:$AK$505,"○")&gt;0,1,0))</f>
        <v>0</v>
      </c>
      <c r="CK6" s="39" t="n">
        <f aca="false">IF(CK$4=0,0,IF(COUNTIFS(実績!$W$6:$W$505,CK$3,実績!$AI$6:$AI$505,"&lt;="&amp;$A6,実績!$AJ$6:$AJ$505,"&gt;"&amp;$A6,実績!$AK$6:$AK$505,"○")&gt;0,1,0))</f>
        <v>0</v>
      </c>
      <c r="CL6" s="39" t="n">
        <f aca="false">IF(CL$4=0,0,IF(COUNTIFS(実績!$W$6:$W$505,CL$3,実績!$AI$6:$AI$505,"&lt;="&amp;$A6,実績!$AJ$6:$AJ$505,"&gt;"&amp;$A6,実績!$AK$6:$AK$505,"○")&gt;0,1,0))</f>
        <v>0</v>
      </c>
      <c r="CM6" s="39" t="n">
        <f aca="false">IF(CM$4=0,0,IF(COUNTIFS(実績!$W$6:$W$505,CM$3,実績!$AI$6:$AI$505,"&lt;="&amp;$A6,実績!$AJ$6:$AJ$505,"&gt;"&amp;$A6,実績!$AK$6:$AK$505,"○")&gt;0,1,0))</f>
        <v>0</v>
      </c>
      <c r="CN6" s="39" t="n">
        <f aca="false">IF(CN$4=0,0,IF(COUNTIFS(実績!$W$6:$W$505,CN$3,実績!$AI$6:$AI$505,"&lt;="&amp;$A6,実績!$AJ$6:$AJ$505,"&gt;"&amp;$A6,実績!$AK$6:$AK$505,"○")&gt;0,1,0))</f>
        <v>0</v>
      </c>
      <c r="CO6" s="39" t="n">
        <f aca="false">IF(CO$4=0,0,IF(COUNTIFS(実績!$W$6:$W$505,CO$3,実績!$AI$6:$AI$505,"&lt;="&amp;$A6,実績!$AJ$6:$AJ$505,"&gt;"&amp;$A6,実績!$AK$6:$AK$505,"○")&gt;0,1,0))</f>
        <v>0</v>
      </c>
      <c r="CP6" s="39" t="n">
        <f aca="false">IF(CP$4=0,0,IF(COUNTIFS(実績!$W$6:$W$505,CP$3,実績!$AI$6:$AI$505,"&lt;="&amp;$A6,実績!$AJ$6:$AJ$505,"&gt;"&amp;$A6,実績!$AK$6:$AK$505,"○")&gt;0,1,0))</f>
        <v>0</v>
      </c>
      <c r="CQ6" s="39" t="n">
        <f aca="false">IF(CQ$4=0,0,IF(COUNTIFS(実績!$W$6:$W$505,CQ$3,実績!$AI$6:$AI$505,"&lt;="&amp;$A6,実績!$AJ$6:$AJ$505,"&gt;"&amp;$A6,実績!$AK$6:$AK$505,"○")&gt;0,1,0))</f>
        <v>0</v>
      </c>
      <c r="CR6" s="39" t="n">
        <f aca="false">IF(CR$4=0,0,IF(COUNTIFS(実績!$W$6:$W$505,CR$3,実績!$AI$6:$AI$505,"&lt;="&amp;$A6,実績!$AJ$6:$AJ$505,"&gt;"&amp;$A6,実績!$AK$6:$AK$505,"○")&gt;0,1,0))</f>
        <v>0</v>
      </c>
      <c r="CS6" s="39" t="n">
        <f aca="false">IF(CS$4=0,0,IF(COUNTIFS(実績!$W$6:$W$505,CS$3,実績!$AI$6:$AI$505,"&lt;="&amp;$A6,実績!$AJ$6:$AJ$505,"&gt;"&amp;$A6,実績!$AK$6:$AK$505,"○")&gt;0,1,0))</f>
        <v>0</v>
      </c>
      <c r="CT6" s="39" t="n">
        <f aca="false">IF(CT$4=0,0,IF(COUNTIFS(実績!$W$6:$W$505,CT$3,実績!$AI$6:$AI$505,"&lt;="&amp;$A6,実績!$AJ$6:$AJ$505,"&gt;"&amp;$A6,実績!$AK$6:$AK$505,"○")&gt;0,1,0))</f>
        <v>0</v>
      </c>
      <c r="CU6" s="39" t="n">
        <f aca="false">IF(CU$4=0,0,IF(COUNTIFS(実績!$W$6:$W$505,CU$3,実績!$AI$6:$AI$505,"&lt;="&amp;$A6,実績!$AJ$6:$AJ$505,"&gt;"&amp;$A6,実績!$AK$6:$AK$505,"○")&gt;0,1,0))</f>
        <v>0</v>
      </c>
      <c r="CV6" s="39" t="n">
        <f aca="false">IF(CV$4=0,0,IF(COUNTIFS(実績!$W$6:$W$505,CV$3,実績!$AI$6:$AI$505,"&lt;="&amp;$A6,実績!$AJ$6:$AJ$505,"&gt;"&amp;$A6,実績!$AK$6:$AK$505,"○")&gt;0,1,0))</f>
        <v>0</v>
      </c>
      <c r="CW6" s="39" t="n">
        <f aca="false">IF(CW$4=0,0,IF(COUNTIFS(実績!$W$6:$W$505,CW$3,実績!$AI$6:$AI$505,"&lt;="&amp;$A6,実績!$AJ$6:$AJ$505,"&gt;"&amp;$A6,実績!$AK$6:$AK$505,"○")&gt;0,1,0))</f>
        <v>0</v>
      </c>
      <c r="CX6" s="39" t="n">
        <f aca="false">IF(CX$4=0,0,IF(COUNTIFS(実績!$W$6:$W$505,CX$3,実績!$AI$6:$AI$505,"&lt;="&amp;$A6,実績!$AJ$6:$AJ$505,"&gt;"&amp;$A6,実績!$AK$6:$AK$505,"○")&gt;0,1,0))</f>
        <v>0</v>
      </c>
      <c r="CY6" s="39" t="n">
        <f aca="false">IF(CY$4=0,0,IF(COUNTIFS(実績!$W$6:$W$505,CY$3,実績!$AI$6:$AI$505,"&lt;="&amp;$A6,実績!$AJ$6:$AJ$505,"&gt;"&amp;$A6,実績!$AK$6:$AK$505,"○")&gt;0,1,0))</f>
        <v>0</v>
      </c>
      <c r="CZ6" s="39" t="n">
        <f aca="false">IF(CZ$4=0,0,IF(COUNTIFS(実績!$W$6:$W$505,CZ$3,実績!$AI$6:$AI$505,"&lt;="&amp;$A6,実績!$AJ$6:$AJ$505,"&gt;"&amp;$A6,実績!$AK$6:$AK$505,"○")&gt;0,1,0))</f>
        <v>0</v>
      </c>
      <c r="DA6" s="39" t="n">
        <f aca="false">IF(DA$4=0,0,IF(COUNTIFS(実績!$W$6:$W$505,DA$3,実績!$AI$6:$AI$505,"&lt;="&amp;$A6,実績!$AJ$6:$AJ$505,"&gt;"&amp;$A6,実績!$AK$6:$AK$505,"○")&gt;0,1,0))</f>
        <v>0</v>
      </c>
      <c r="DB6" s="39" t="n">
        <f aca="false">IF(DB$4=0,0,IF(COUNTIFS(実績!$W$6:$W$505,DB$3,実績!$AI$6:$AI$505,"&lt;="&amp;$A6,実績!$AJ$6:$AJ$505,"&gt;"&amp;$A6,実績!$AK$6:$AK$505,"○")&gt;0,1,0))</f>
        <v>0</v>
      </c>
      <c r="DC6" s="39" t="n">
        <f aca="false">IF(DC$4=0,0,IF(COUNTIFS(実績!$W$6:$W$505,DC$3,実績!$AI$6:$AI$505,"&lt;="&amp;$A6,実績!$AJ$6:$AJ$505,"&gt;"&amp;$A6,実績!$AK$6:$AK$505,"○")&gt;0,1,0))</f>
        <v>0</v>
      </c>
      <c r="DD6" s="39" t="n">
        <f aca="false">IF(DD$4=0,0,IF(COUNTIFS(実績!$W$6:$W$505,DD$3,実績!$AI$6:$AI$505,"&lt;="&amp;$A6,実績!$AJ$6:$AJ$505,"&gt;"&amp;$A6,実績!$AK$6:$AK$505,"○")&gt;0,1,0))</f>
        <v>0</v>
      </c>
      <c r="DE6" s="39" t="n">
        <f aca="false">IF(DE$4=0,0,IF(COUNTIFS(実績!$W$6:$W$505,DE$3,実績!$AI$6:$AI$505,"&lt;="&amp;$A6,実績!$AJ$6:$AJ$505,"&gt;"&amp;$A6,実績!$AK$6:$AK$505,"○")&gt;0,1,0))</f>
        <v>0</v>
      </c>
      <c r="DF6" s="39" t="n">
        <f aca="false">IF(DF$4=0,0,IF(COUNTIFS(実績!$W$6:$W$505,DF$3,実績!$AI$6:$AI$505,"&lt;="&amp;$A6,実績!$AJ$6:$AJ$505,"&gt;"&amp;$A6,実績!$AK$6:$AK$505,"○")&gt;0,1,0))</f>
        <v>0</v>
      </c>
      <c r="DG6" s="39" t="n">
        <f aca="false">IF(DG$4=0,0,IF(COUNTIFS(実績!$W$6:$W$505,DG$3,実績!$AI$6:$AI$505,"&lt;="&amp;$A6,実績!$AJ$6:$AJ$505,"&gt;"&amp;$A6,実績!$AK$6:$AK$505,"○")&gt;0,1,0))</f>
        <v>0</v>
      </c>
      <c r="DH6" s="39" t="n">
        <f aca="false">IF(DH$4=0,0,IF(COUNTIFS(実績!$W$6:$W$505,DH$3,実績!$AI$6:$AI$505,"&lt;="&amp;$A6,実績!$AJ$6:$AJ$505,"&gt;"&amp;$A6,実績!$AK$6:$AK$505,"○")&gt;0,1,0))</f>
        <v>0</v>
      </c>
      <c r="DI6" s="39" t="n">
        <f aca="false">IF(DI$4=0,0,IF(COUNTIFS(実績!$W$6:$W$505,DI$3,実績!$AI$6:$AI$505,"&lt;="&amp;$A6,実績!$AJ$6:$AJ$505,"&gt;"&amp;$A6,実績!$AK$6:$AK$505,"○")&gt;0,1,0))</f>
        <v>0</v>
      </c>
      <c r="DJ6" s="39" t="n">
        <f aca="false">IF(DJ$4=0,0,IF(COUNTIFS(実績!$W$6:$W$505,DJ$3,実績!$AI$6:$AI$505,"&lt;="&amp;$A6,実績!$AJ$6:$AJ$505,"&gt;"&amp;$A6,実績!$AK$6:$AK$505,"○")&gt;0,1,0))</f>
        <v>0</v>
      </c>
      <c r="DK6" s="39" t="n">
        <f aca="false">IF(DK$4=0,0,IF(COUNTIFS(実績!$W$6:$W$505,DK$3,実績!$AI$6:$AI$505,"&lt;="&amp;$A6,実績!$AJ$6:$AJ$505,"&gt;"&amp;$A6,実績!$AK$6:$AK$505,"○")&gt;0,1,0))</f>
        <v>0</v>
      </c>
      <c r="DL6" s="39" t="n">
        <f aca="false">IF(DL$4=0,0,IF(COUNTIFS(実績!$W$6:$W$505,DL$3,実績!$AI$6:$AI$505,"&lt;="&amp;$A6,実績!$AJ$6:$AJ$505,"&gt;"&amp;$A6,実績!$AK$6:$AK$505,"○")&gt;0,1,0))</f>
        <v>0</v>
      </c>
      <c r="DM6" s="39" t="n">
        <f aca="false">IF(DM$4=0,0,IF(COUNTIFS(実績!$W$6:$W$505,DM$3,実績!$AI$6:$AI$505,"&lt;="&amp;$A6,実績!$AJ$6:$AJ$505,"&gt;"&amp;$A6,実績!$AK$6:$AK$505,"○")&gt;0,1,0))</f>
        <v>0</v>
      </c>
      <c r="DN6" s="39" t="n">
        <f aca="false">IF(DN$4=0,0,IF(COUNTIFS(実績!$W$6:$W$505,DN$3,実績!$AI$6:$AI$505,"&lt;="&amp;$A6,実績!$AJ$6:$AJ$505,"&gt;"&amp;$A6,実績!$AK$6:$AK$505,"○")&gt;0,1,0))</f>
        <v>0</v>
      </c>
      <c r="DO6" s="39" t="n">
        <f aca="false">IF(DO$4=0,0,IF(COUNTIFS(実績!$W$6:$W$505,DO$3,実績!$AI$6:$AI$505,"&lt;="&amp;$A6,実績!$AJ$6:$AJ$505,"&gt;"&amp;$A6,実績!$AK$6:$AK$505,"○")&gt;0,1,0))</f>
        <v>0</v>
      </c>
      <c r="DP6" s="39" t="n">
        <f aca="false">IF(DP$4=0,0,IF(COUNTIFS(実績!$W$6:$W$505,DP$3,実績!$AI$6:$AI$505,"&lt;="&amp;$A6,実績!$AJ$6:$AJ$505,"&gt;"&amp;$A6,実績!$AK$6:$AK$505,"○")&gt;0,1,0))</f>
        <v>0</v>
      </c>
      <c r="DQ6" s="39" t="n">
        <f aca="false">IF(DQ$4=0,0,IF(COUNTIFS(実績!$W$6:$W$505,DQ$3,実績!$AI$6:$AI$505,"&lt;="&amp;$A6,実績!$AJ$6:$AJ$505,"&gt;"&amp;$A6,実績!$AK$6:$AK$505,"○")&gt;0,1,0))</f>
        <v>0</v>
      </c>
      <c r="DR6" s="39" t="n">
        <f aca="false">IF(DR$4=0,0,IF(COUNTIFS(実績!$W$6:$W$505,DR$3,実績!$AI$6:$AI$505,"&lt;="&amp;$A6,実績!$AJ$6:$AJ$505,"&gt;"&amp;$A6,実績!$AK$6:$AK$505,"○")&gt;0,1,0))</f>
        <v>0</v>
      </c>
      <c r="DS6" s="39" t="n">
        <f aca="false">SUM(C6:DR6)</f>
        <v>0</v>
      </c>
      <c r="DT6" s="39" t="n">
        <f aca="false">SUMPRODUCT((実績!$C$6:$C$505="○")*ISNUMBER(実績!$AM$6:$AM$505)*(実績!$AM$6:$AM$505&lt;=$A6)*(実績!$AN$6:$AN$505&gt;$A6))</f>
        <v>0</v>
      </c>
      <c r="DU6" s="39" t="n">
        <f aca="false">SUMIF($C$2:$DR$2,"製鉄曳船",C6:DR6)</f>
        <v>0</v>
      </c>
      <c r="DV6" s="39" t="n">
        <f aca="false">SUMIF($C$2:$DR$2,"西日本海運",C6:DR6)</f>
        <v>0</v>
      </c>
    </row>
    <row r="7" customFormat="false" ht="15" hidden="false" customHeight="false" outlineLevel="0" collapsed="false">
      <c r="A7" s="0" t="n">
        <v>5</v>
      </c>
      <c r="B7" s="38" t="n">
        <f aca="false">A7/1440</f>
        <v>0.00347222222222222</v>
      </c>
      <c r="C7" s="39" t="n">
        <f aca="false">IF(C$4=0,0,IF(COUNTIFS(実績!$W$6:$W$505,C$3,実績!$AI$6:$AI$505,"&lt;="&amp;$A7,実績!$AJ$6:$AJ$505,"&gt;"&amp;$A7,実績!$AK$6:$AK$505,"○")&gt;0,1,0))</f>
        <v>0</v>
      </c>
      <c r="D7" s="39" t="n">
        <f aca="false">IF(D$4=0,0,IF(COUNTIFS(実績!$W$6:$W$505,D$3,実績!$AI$6:$AI$505,"&lt;="&amp;$A7,実績!$AJ$6:$AJ$505,"&gt;"&amp;$A7,実績!$AK$6:$AK$505,"○")&gt;0,1,0))</f>
        <v>0</v>
      </c>
      <c r="E7" s="39" t="n">
        <f aca="false">IF(E$4=0,0,IF(COUNTIFS(実績!$W$6:$W$505,E$3,実績!$AI$6:$AI$505,"&lt;="&amp;$A7,実績!$AJ$6:$AJ$505,"&gt;"&amp;$A7,実績!$AK$6:$AK$505,"○")&gt;0,1,0))</f>
        <v>0</v>
      </c>
      <c r="F7" s="39" t="n">
        <f aca="false">IF(F$4=0,0,IF(COUNTIFS(実績!$W$6:$W$505,F$3,実績!$AI$6:$AI$505,"&lt;="&amp;$A7,実績!$AJ$6:$AJ$505,"&gt;"&amp;$A7,実績!$AK$6:$AK$505,"○")&gt;0,1,0))</f>
        <v>0</v>
      </c>
      <c r="G7" s="39" t="n">
        <f aca="false">IF(G$4=0,0,IF(COUNTIFS(実績!$W$6:$W$505,G$3,実績!$AI$6:$AI$505,"&lt;="&amp;$A7,実績!$AJ$6:$AJ$505,"&gt;"&amp;$A7,実績!$AK$6:$AK$505,"○")&gt;0,1,0))</f>
        <v>0</v>
      </c>
      <c r="H7" s="39" t="n">
        <f aca="false">IF(H$4=0,0,IF(COUNTIFS(実績!$W$6:$W$505,H$3,実績!$AI$6:$AI$505,"&lt;="&amp;$A7,実績!$AJ$6:$AJ$505,"&gt;"&amp;$A7,実績!$AK$6:$AK$505,"○")&gt;0,1,0))</f>
        <v>0</v>
      </c>
      <c r="I7" s="39" t="n">
        <f aca="false">IF(I$4=0,0,IF(COUNTIFS(実績!$W$6:$W$505,I$3,実績!$AI$6:$AI$505,"&lt;="&amp;$A7,実績!$AJ$6:$AJ$505,"&gt;"&amp;$A7,実績!$AK$6:$AK$505,"○")&gt;0,1,0))</f>
        <v>0</v>
      </c>
      <c r="J7" s="39" t="n">
        <f aca="false">IF(J$4=0,0,IF(COUNTIFS(実績!$W$6:$W$505,J$3,実績!$AI$6:$AI$505,"&lt;="&amp;$A7,実績!$AJ$6:$AJ$505,"&gt;"&amp;$A7,実績!$AK$6:$AK$505,"○")&gt;0,1,0))</f>
        <v>0</v>
      </c>
      <c r="K7" s="39" t="n">
        <f aca="false">IF(K$4=0,0,IF(COUNTIFS(実績!$W$6:$W$505,K$3,実績!$AI$6:$AI$505,"&lt;="&amp;$A7,実績!$AJ$6:$AJ$505,"&gt;"&amp;$A7,実績!$AK$6:$AK$505,"○")&gt;0,1,0))</f>
        <v>0</v>
      </c>
      <c r="L7" s="39" t="n">
        <f aca="false">IF(L$4=0,0,IF(COUNTIFS(実績!$W$6:$W$505,L$3,実績!$AI$6:$AI$505,"&lt;="&amp;$A7,実績!$AJ$6:$AJ$505,"&gt;"&amp;$A7,実績!$AK$6:$AK$505,"○")&gt;0,1,0))</f>
        <v>0</v>
      </c>
      <c r="M7" s="39" t="n">
        <f aca="false">IF(M$4=0,0,IF(COUNTIFS(実績!$W$6:$W$505,M$3,実績!$AI$6:$AI$505,"&lt;="&amp;$A7,実績!$AJ$6:$AJ$505,"&gt;"&amp;$A7,実績!$AK$6:$AK$505,"○")&gt;0,1,0))</f>
        <v>0</v>
      </c>
      <c r="N7" s="39" t="n">
        <f aca="false">IF(N$4=0,0,IF(COUNTIFS(実績!$W$6:$W$505,N$3,実績!$AI$6:$AI$505,"&lt;="&amp;$A7,実績!$AJ$6:$AJ$505,"&gt;"&amp;$A7,実績!$AK$6:$AK$505,"○")&gt;0,1,0))</f>
        <v>0</v>
      </c>
      <c r="O7" s="39" t="n">
        <f aca="false">IF(O$4=0,0,IF(COUNTIFS(実績!$W$6:$W$505,O$3,実績!$AI$6:$AI$505,"&lt;="&amp;$A7,実績!$AJ$6:$AJ$505,"&gt;"&amp;$A7,実績!$AK$6:$AK$505,"○")&gt;0,1,0))</f>
        <v>0</v>
      </c>
      <c r="P7" s="39" t="n">
        <f aca="false">IF(P$4=0,0,IF(COUNTIFS(実績!$W$6:$W$505,P$3,実績!$AI$6:$AI$505,"&lt;="&amp;$A7,実績!$AJ$6:$AJ$505,"&gt;"&amp;$A7,実績!$AK$6:$AK$505,"○")&gt;0,1,0))</f>
        <v>0</v>
      </c>
      <c r="Q7" s="39" t="n">
        <f aca="false">IF(Q$4=0,0,IF(COUNTIFS(実績!$W$6:$W$505,Q$3,実績!$AI$6:$AI$505,"&lt;="&amp;$A7,実績!$AJ$6:$AJ$505,"&gt;"&amp;$A7,実績!$AK$6:$AK$505,"○")&gt;0,1,0))</f>
        <v>0</v>
      </c>
      <c r="R7" s="39" t="n">
        <f aca="false">IF(R$4=0,0,IF(COUNTIFS(実績!$W$6:$W$505,R$3,実績!$AI$6:$AI$505,"&lt;="&amp;$A7,実績!$AJ$6:$AJ$505,"&gt;"&amp;$A7,実績!$AK$6:$AK$505,"○")&gt;0,1,0))</f>
        <v>0</v>
      </c>
      <c r="S7" s="39" t="n">
        <f aca="false">IF(S$4=0,0,IF(COUNTIFS(実績!$W$6:$W$505,S$3,実績!$AI$6:$AI$505,"&lt;="&amp;$A7,実績!$AJ$6:$AJ$505,"&gt;"&amp;$A7,実績!$AK$6:$AK$505,"○")&gt;0,1,0))</f>
        <v>0</v>
      </c>
      <c r="T7" s="39" t="n">
        <f aca="false">IF(T$4=0,0,IF(COUNTIFS(実績!$W$6:$W$505,T$3,実績!$AI$6:$AI$505,"&lt;="&amp;$A7,実績!$AJ$6:$AJ$505,"&gt;"&amp;$A7,実績!$AK$6:$AK$505,"○")&gt;0,1,0))</f>
        <v>0</v>
      </c>
      <c r="U7" s="39" t="n">
        <f aca="false">IF(U$4=0,0,IF(COUNTIFS(実績!$W$6:$W$505,U$3,実績!$AI$6:$AI$505,"&lt;="&amp;$A7,実績!$AJ$6:$AJ$505,"&gt;"&amp;$A7,実績!$AK$6:$AK$505,"○")&gt;0,1,0))</f>
        <v>0</v>
      </c>
      <c r="V7" s="39" t="n">
        <f aca="false">IF(V$4=0,0,IF(COUNTIFS(実績!$W$6:$W$505,V$3,実績!$AI$6:$AI$505,"&lt;="&amp;$A7,実績!$AJ$6:$AJ$505,"&gt;"&amp;$A7,実績!$AK$6:$AK$505,"○")&gt;0,1,0))</f>
        <v>0</v>
      </c>
      <c r="W7" s="39" t="n">
        <f aca="false">IF(W$4=0,0,IF(COUNTIFS(実績!$W$6:$W$505,W$3,実績!$AI$6:$AI$505,"&lt;="&amp;$A7,実績!$AJ$6:$AJ$505,"&gt;"&amp;$A7,実績!$AK$6:$AK$505,"○")&gt;0,1,0))</f>
        <v>0</v>
      </c>
      <c r="X7" s="39" t="n">
        <f aca="false">IF(X$4=0,0,IF(COUNTIFS(実績!$W$6:$W$505,X$3,実績!$AI$6:$AI$505,"&lt;="&amp;$A7,実績!$AJ$6:$AJ$505,"&gt;"&amp;$A7,実績!$AK$6:$AK$505,"○")&gt;0,1,0))</f>
        <v>0</v>
      </c>
      <c r="Y7" s="39" t="n">
        <f aca="false">IF(Y$4=0,0,IF(COUNTIFS(実績!$W$6:$W$505,Y$3,実績!$AI$6:$AI$505,"&lt;="&amp;$A7,実績!$AJ$6:$AJ$505,"&gt;"&amp;$A7,実績!$AK$6:$AK$505,"○")&gt;0,1,0))</f>
        <v>0</v>
      </c>
      <c r="Z7" s="39" t="n">
        <f aca="false">IF(Z$4=0,0,IF(COUNTIFS(実績!$W$6:$W$505,Z$3,実績!$AI$6:$AI$505,"&lt;="&amp;$A7,実績!$AJ$6:$AJ$505,"&gt;"&amp;$A7,実績!$AK$6:$AK$505,"○")&gt;0,1,0))</f>
        <v>0</v>
      </c>
      <c r="AA7" s="39" t="n">
        <f aca="false">IF(AA$4=0,0,IF(COUNTIFS(実績!$W$6:$W$505,AA$3,実績!$AI$6:$AI$505,"&lt;="&amp;$A7,実績!$AJ$6:$AJ$505,"&gt;"&amp;$A7,実績!$AK$6:$AK$505,"○")&gt;0,1,0))</f>
        <v>0</v>
      </c>
      <c r="AB7" s="39" t="n">
        <f aca="false">IF(AB$4=0,0,IF(COUNTIFS(実績!$W$6:$W$505,AB$3,実績!$AI$6:$AI$505,"&lt;="&amp;$A7,実績!$AJ$6:$AJ$505,"&gt;"&amp;$A7,実績!$AK$6:$AK$505,"○")&gt;0,1,0))</f>
        <v>0</v>
      </c>
      <c r="AC7" s="39" t="n">
        <f aca="false">IF(AC$4=0,0,IF(COUNTIFS(実績!$W$6:$W$505,AC$3,実績!$AI$6:$AI$505,"&lt;="&amp;$A7,実績!$AJ$6:$AJ$505,"&gt;"&amp;$A7,実績!$AK$6:$AK$505,"○")&gt;0,1,0))</f>
        <v>0</v>
      </c>
      <c r="AD7" s="39" t="n">
        <f aca="false">IF(AD$4=0,0,IF(COUNTIFS(実績!$W$6:$W$505,AD$3,実績!$AI$6:$AI$505,"&lt;="&amp;$A7,実績!$AJ$6:$AJ$505,"&gt;"&amp;$A7,実績!$AK$6:$AK$505,"○")&gt;0,1,0))</f>
        <v>0</v>
      </c>
      <c r="AE7" s="39" t="n">
        <f aca="false">IF(AE$4=0,0,IF(COUNTIFS(実績!$W$6:$W$505,AE$3,実績!$AI$6:$AI$505,"&lt;="&amp;$A7,実績!$AJ$6:$AJ$505,"&gt;"&amp;$A7,実績!$AK$6:$AK$505,"○")&gt;0,1,0))</f>
        <v>0</v>
      </c>
      <c r="AF7" s="39" t="n">
        <f aca="false">IF(AF$4=0,0,IF(COUNTIFS(実績!$W$6:$W$505,AF$3,実績!$AI$6:$AI$505,"&lt;="&amp;$A7,実績!$AJ$6:$AJ$505,"&gt;"&amp;$A7,実績!$AK$6:$AK$505,"○")&gt;0,1,0))</f>
        <v>0</v>
      </c>
      <c r="AG7" s="39" t="n">
        <f aca="false">IF(AG$4=0,0,IF(COUNTIFS(実績!$W$6:$W$505,AG$3,実績!$AI$6:$AI$505,"&lt;="&amp;$A7,実績!$AJ$6:$AJ$505,"&gt;"&amp;$A7,実績!$AK$6:$AK$505,"○")&gt;0,1,0))</f>
        <v>0</v>
      </c>
      <c r="AH7" s="39" t="n">
        <f aca="false">IF(AH$4=0,0,IF(COUNTIFS(実績!$W$6:$W$505,AH$3,実績!$AI$6:$AI$505,"&lt;="&amp;$A7,実績!$AJ$6:$AJ$505,"&gt;"&amp;$A7,実績!$AK$6:$AK$505,"○")&gt;0,1,0))</f>
        <v>0</v>
      </c>
      <c r="AI7" s="39" t="n">
        <f aca="false">IF(AI$4=0,0,IF(COUNTIFS(実績!$W$6:$W$505,AI$3,実績!$AI$6:$AI$505,"&lt;="&amp;$A7,実績!$AJ$6:$AJ$505,"&gt;"&amp;$A7,実績!$AK$6:$AK$505,"○")&gt;0,1,0))</f>
        <v>0</v>
      </c>
      <c r="AJ7" s="39" t="n">
        <f aca="false">IF(AJ$4=0,0,IF(COUNTIFS(実績!$W$6:$W$505,AJ$3,実績!$AI$6:$AI$505,"&lt;="&amp;$A7,実績!$AJ$6:$AJ$505,"&gt;"&amp;$A7,実績!$AK$6:$AK$505,"○")&gt;0,1,0))</f>
        <v>0</v>
      </c>
      <c r="AK7" s="39" t="n">
        <f aca="false">IF(AK$4=0,0,IF(COUNTIFS(実績!$W$6:$W$505,AK$3,実績!$AI$6:$AI$505,"&lt;="&amp;$A7,実績!$AJ$6:$AJ$505,"&gt;"&amp;$A7,実績!$AK$6:$AK$505,"○")&gt;0,1,0))</f>
        <v>0</v>
      </c>
      <c r="AL7" s="39" t="n">
        <f aca="false">IF(AL$4=0,0,IF(COUNTIFS(実績!$W$6:$W$505,AL$3,実績!$AI$6:$AI$505,"&lt;="&amp;$A7,実績!$AJ$6:$AJ$505,"&gt;"&amp;$A7,実績!$AK$6:$AK$505,"○")&gt;0,1,0))</f>
        <v>0</v>
      </c>
      <c r="AM7" s="39" t="n">
        <f aca="false">IF(AM$4=0,0,IF(COUNTIFS(実績!$W$6:$W$505,AM$3,実績!$AI$6:$AI$505,"&lt;="&amp;$A7,実績!$AJ$6:$AJ$505,"&gt;"&amp;$A7,実績!$AK$6:$AK$505,"○")&gt;0,1,0))</f>
        <v>0</v>
      </c>
      <c r="AN7" s="39" t="n">
        <f aca="false">IF(AN$4=0,0,IF(COUNTIFS(実績!$W$6:$W$505,AN$3,実績!$AI$6:$AI$505,"&lt;="&amp;$A7,実績!$AJ$6:$AJ$505,"&gt;"&amp;$A7,実績!$AK$6:$AK$505,"○")&gt;0,1,0))</f>
        <v>0</v>
      </c>
      <c r="AO7" s="39" t="n">
        <f aca="false">IF(AO$4=0,0,IF(COUNTIFS(実績!$W$6:$W$505,AO$3,実績!$AI$6:$AI$505,"&lt;="&amp;$A7,実績!$AJ$6:$AJ$505,"&gt;"&amp;$A7,実績!$AK$6:$AK$505,"○")&gt;0,1,0))</f>
        <v>0</v>
      </c>
      <c r="AP7" s="39" t="n">
        <f aca="false">IF(AP$4=0,0,IF(COUNTIFS(実績!$W$6:$W$505,AP$3,実績!$AI$6:$AI$505,"&lt;="&amp;$A7,実績!$AJ$6:$AJ$505,"&gt;"&amp;$A7,実績!$AK$6:$AK$505,"○")&gt;0,1,0))</f>
        <v>0</v>
      </c>
      <c r="AQ7" s="39" t="n">
        <f aca="false">IF(AQ$4=0,0,IF(COUNTIFS(実績!$W$6:$W$505,AQ$3,実績!$AI$6:$AI$505,"&lt;="&amp;$A7,実績!$AJ$6:$AJ$505,"&gt;"&amp;$A7,実績!$AK$6:$AK$505,"○")&gt;0,1,0))</f>
        <v>0</v>
      </c>
      <c r="AR7" s="39" t="n">
        <f aca="false">IF(AR$4=0,0,IF(COUNTIFS(実績!$W$6:$W$505,AR$3,実績!$AI$6:$AI$505,"&lt;="&amp;$A7,実績!$AJ$6:$AJ$505,"&gt;"&amp;$A7,実績!$AK$6:$AK$505,"○")&gt;0,1,0))</f>
        <v>0</v>
      </c>
      <c r="AS7" s="39" t="n">
        <f aca="false">IF(AS$4=0,0,IF(COUNTIFS(実績!$W$6:$W$505,AS$3,実績!$AI$6:$AI$505,"&lt;="&amp;$A7,実績!$AJ$6:$AJ$505,"&gt;"&amp;$A7,実績!$AK$6:$AK$505,"○")&gt;0,1,0))</f>
        <v>0</v>
      </c>
      <c r="AT7" s="39" t="n">
        <f aca="false">IF(AT$4=0,0,IF(COUNTIFS(実績!$W$6:$W$505,AT$3,実績!$AI$6:$AI$505,"&lt;="&amp;$A7,実績!$AJ$6:$AJ$505,"&gt;"&amp;$A7,実績!$AK$6:$AK$505,"○")&gt;0,1,0))</f>
        <v>0</v>
      </c>
      <c r="AU7" s="39" t="n">
        <f aca="false">IF(AU$4=0,0,IF(COUNTIFS(実績!$W$6:$W$505,AU$3,実績!$AI$6:$AI$505,"&lt;="&amp;$A7,実績!$AJ$6:$AJ$505,"&gt;"&amp;$A7,実績!$AK$6:$AK$505,"○")&gt;0,1,0))</f>
        <v>0</v>
      </c>
      <c r="AV7" s="39" t="n">
        <f aca="false">IF(AV$4=0,0,IF(COUNTIFS(実績!$W$6:$W$505,AV$3,実績!$AI$6:$AI$505,"&lt;="&amp;$A7,実績!$AJ$6:$AJ$505,"&gt;"&amp;$A7,実績!$AK$6:$AK$505,"○")&gt;0,1,0))</f>
        <v>0</v>
      </c>
      <c r="AW7" s="39" t="n">
        <f aca="false">IF(AW$4=0,0,IF(COUNTIFS(実績!$W$6:$W$505,AW$3,実績!$AI$6:$AI$505,"&lt;="&amp;$A7,実績!$AJ$6:$AJ$505,"&gt;"&amp;$A7,実績!$AK$6:$AK$505,"○")&gt;0,1,0))</f>
        <v>0</v>
      </c>
      <c r="AX7" s="39" t="n">
        <f aca="false">IF(AX$4=0,0,IF(COUNTIFS(実績!$W$6:$W$505,AX$3,実績!$AI$6:$AI$505,"&lt;="&amp;$A7,実績!$AJ$6:$AJ$505,"&gt;"&amp;$A7,実績!$AK$6:$AK$505,"○")&gt;0,1,0))</f>
        <v>0</v>
      </c>
      <c r="AY7" s="39" t="n">
        <f aca="false">IF(AY$4=0,0,IF(COUNTIFS(実績!$W$6:$W$505,AY$3,実績!$AI$6:$AI$505,"&lt;="&amp;$A7,実績!$AJ$6:$AJ$505,"&gt;"&amp;$A7,実績!$AK$6:$AK$505,"○")&gt;0,1,0))</f>
        <v>0</v>
      </c>
      <c r="AZ7" s="39" t="n">
        <f aca="false">IF(AZ$4=0,0,IF(COUNTIFS(実績!$W$6:$W$505,AZ$3,実績!$AI$6:$AI$505,"&lt;="&amp;$A7,実績!$AJ$6:$AJ$505,"&gt;"&amp;$A7,実績!$AK$6:$AK$505,"○")&gt;0,1,0))</f>
        <v>0</v>
      </c>
      <c r="BA7" s="39" t="n">
        <f aca="false">IF(BA$4=0,0,IF(COUNTIFS(実績!$W$6:$W$505,BA$3,実績!$AI$6:$AI$505,"&lt;="&amp;$A7,実績!$AJ$6:$AJ$505,"&gt;"&amp;$A7,実績!$AK$6:$AK$505,"○")&gt;0,1,0))</f>
        <v>0</v>
      </c>
      <c r="BB7" s="39" t="n">
        <f aca="false">IF(BB$4=0,0,IF(COUNTIFS(実績!$W$6:$W$505,BB$3,実績!$AI$6:$AI$505,"&lt;="&amp;$A7,実績!$AJ$6:$AJ$505,"&gt;"&amp;$A7,実績!$AK$6:$AK$505,"○")&gt;0,1,0))</f>
        <v>0</v>
      </c>
      <c r="BC7" s="39" t="n">
        <f aca="false">IF(BC$4=0,0,IF(COUNTIFS(実績!$W$6:$W$505,BC$3,実績!$AI$6:$AI$505,"&lt;="&amp;$A7,実績!$AJ$6:$AJ$505,"&gt;"&amp;$A7,実績!$AK$6:$AK$505,"○")&gt;0,1,0))</f>
        <v>0</v>
      </c>
      <c r="BD7" s="39" t="n">
        <f aca="false">IF(BD$4=0,0,IF(COUNTIFS(実績!$W$6:$W$505,BD$3,実績!$AI$6:$AI$505,"&lt;="&amp;$A7,実績!$AJ$6:$AJ$505,"&gt;"&amp;$A7,実績!$AK$6:$AK$505,"○")&gt;0,1,0))</f>
        <v>0</v>
      </c>
      <c r="BE7" s="39" t="n">
        <f aca="false">IF(BE$4=0,0,IF(COUNTIFS(実績!$W$6:$W$505,BE$3,実績!$AI$6:$AI$505,"&lt;="&amp;$A7,実績!$AJ$6:$AJ$505,"&gt;"&amp;$A7,実績!$AK$6:$AK$505,"○")&gt;0,1,0))</f>
        <v>0</v>
      </c>
      <c r="BF7" s="39" t="n">
        <f aca="false">IF(BF$4=0,0,IF(COUNTIFS(実績!$W$6:$W$505,BF$3,実績!$AI$6:$AI$505,"&lt;="&amp;$A7,実績!$AJ$6:$AJ$505,"&gt;"&amp;$A7,実績!$AK$6:$AK$505,"○")&gt;0,1,0))</f>
        <v>0</v>
      </c>
      <c r="BG7" s="39" t="n">
        <f aca="false">IF(BG$4=0,0,IF(COUNTIFS(実績!$W$6:$W$505,BG$3,実績!$AI$6:$AI$505,"&lt;="&amp;$A7,実績!$AJ$6:$AJ$505,"&gt;"&amp;$A7,実績!$AK$6:$AK$505,"○")&gt;0,1,0))</f>
        <v>0</v>
      </c>
      <c r="BH7" s="39" t="n">
        <f aca="false">IF(BH$4=0,0,IF(COUNTIFS(実績!$W$6:$W$505,BH$3,実績!$AI$6:$AI$505,"&lt;="&amp;$A7,実績!$AJ$6:$AJ$505,"&gt;"&amp;$A7,実績!$AK$6:$AK$505,"○")&gt;0,1,0))</f>
        <v>0</v>
      </c>
      <c r="BI7" s="39" t="n">
        <f aca="false">IF(BI$4=0,0,IF(COUNTIFS(実績!$W$6:$W$505,BI$3,実績!$AI$6:$AI$505,"&lt;="&amp;$A7,実績!$AJ$6:$AJ$505,"&gt;"&amp;$A7,実績!$AK$6:$AK$505,"○")&gt;0,1,0))</f>
        <v>0</v>
      </c>
      <c r="BJ7" s="39" t="n">
        <f aca="false">IF(BJ$4=0,0,IF(COUNTIFS(実績!$W$6:$W$505,BJ$3,実績!$AI$6:$AI$505,"&lt;="&amp;$A7,実績!$AJ$6:$AJ$505,"&gt;"&amp;$A7,実績!$AK$6:$AK$505,"○")&gt;0,1,0))</f>
        <v>0</v>
      </c>
      <c r="BK7" s="39" t="n">
        <f aca="false">IF(BK$4=0,0,IF(COUNTIFS(実績!$W$6:$W$505,BK$3,実績!$AI$6:$AI$505,"&lt;="&amp;$A7,実績!$AJ$6:$AJ$505,"&gt;"&amp;$A7,実績!$AK$6:$AK$505,"○")&gt;0,1,0))</f>
        <v>0</v>
      </c>
      <c r="BL7" s="39" t="n">
        <f aca="false">IF(BL$4=0,0,IF(COUNTIFS(実績!$W$6:$W$505,BL$3,実績!$AI$6:$AI$505,"&lt;="&amp;$A7,実績!$AJ$6:$AJ$505,"&gt;"&amp;$A7,実績!$AK$6:$AK$505,"○")&gt;0,1,0))</f>
        <v>0</v>
      </c>
      <c r="BM7" s="39" t="n">
        <f aca="false">IF(BM$4=0,0,IF(COUNTIFS(実績!$W$6:$W$505,BM$3,実績!$AI$6:$AI$505,"&lt;="&amp;$A7,実績!$AJ$6:$AJ$505,"&gt;"&amp;$A7,実績!$AK$6:$AK$505,"○")&gt;0,1,0))</f>
        <v>0</v>
      </c>
      <c r="BN7" s="39" t="n">
        <f aca="false">IF(BN$4=0,0,IF(COUNTIFS(実績!$W$6:$W$505,BN$3,実績!$AI$6:$AI$505,"&lt;="&amp;$A7,実績!$AJ$6:$AJ$505,"&gt;"&amp;$A7,実績!$AK$6:$AK$505,"○")&gt;0,1,0))</f>
        <v>0</v>
      </c>
      <c r="BO7" s="39" t="n">
        <f aca="false">IF(BO$4=0,0,IF(COUNTIFS(実績!$W$6:$W$505,BO$3,実績!$AI$6:$AI$505,"&lt;="&amp;$A7,実績!$AJ$6:$AJ$505,"&gt;"&amp;$A7,実績!$AK$6:$AK$505,"○")&gt;0,1,0))</f>
        <v>0</v>
      </c>
      <c r="BP7" s="39" t="n">
        <f aca="false">IF(BP$4=0,0,IF(COUNTIFS(実績!$W$6:$W$505,BP$3,実績!$AI$6:$AI$505,"&lt;="&amp;$A7,実績!$AJ$6:$AJ$505,"&gt;"&amp;$A7,実績!$AK$6:$AK$505,"○")&gt;0,1,0))</f>
        <v>0</v>
      </c>
      <c r="BQ7" s="39" t="n">
        <f aca="false">IF(BQ$4=0,0,IF(COUNTIFS(実績!$W$6:$W$505,BQ$3,実績!$AI$6:$AI$505,"&lt;="&amp;$A7,実績!$AJ$6:$AJ$505,"&gt;"&amp;$A7,実績!$AK$6:$AK$505,"○")&gt;0,1,0))</f>
        <v>0</v>
      </c>
      <c r="BR7" s="39" t="n">
        <f aca="false">IF(BR$4=0,0,IF(COUNTIFS(実績!$W$6:$W$505,BR$3,実績!$AI$6:$AI$505,"&lt;="&amp;$A7,実績!$AJ$6:$AJ$505,"&gt;"&amp;$A7,実績!$AK$6:$AK$505,"○")&gt;0,1,0))</f>
        <v>0</v>
      </c>
      <c r="BS7" s="39" t="n">
        <f aca="false">IF(BS$4=0,0,IF(COUNTIFS(実績!$W$6:$W$505,BS$3,実績!$AI$6:$AI$505,"&lt;="&amp;$A7,実績!$AJ$6:$AJ$505,"&gt;"&amp;$A7,実績!$AK$6:$AK$505,"○")&gt;0,1,0))</f>
        <v>0</v>
      </c>
      <c r="BT7" s="39" t="n">
        <f aca="false">IF(BT$4=0,0,IF(COUNTIFS(実績!$W$6:$W$505,BT$3,実績!$AI$6:$AI$505,"&lt;="&amp;$A7,実績!$AJ$6:$AJ$505,"&gt;"&amp;$A7,実績!$AK$6:$AK$505,"○")&gt;0,1,0))</f>
        <v>0</v>
      </c>
      <c r="BU7" s="39" t="n">
        <f aca="false">IF(BU$4=0,0,IF(COUNTIFS(実績!$W$6:$W$505,BU$3,実績!$AI$6:$AI$505,"&lt;="&amp;$A7,実績!$AJ$6:$AJ$505,"&gt;"&amp;$A7,実績!$AK$6:$AK$505,"○")&gt;0,1,0))</f>
        <v>0</v>
      </c>
      <c r="BV7" s="39" t="n">
        <f aca="false">IF(BV$4=0,0,IF(COUNTIFS(実績!$W$6:$W$505,BV$3,実績!$AI$6:$AI$505,"&lt;="&amp;$A7,実績!$AJ$6:$AJ$505,"&gt;"&amp;$A7,実績!$AK$6:$AK$505,"○")&gt;0,1,0))</f>
        <v>0</v>
      </c>
      <c r="BW7" s="39" t="n">
        <f aca="false">IF(BW$4=0,0,IF(COUNTIFS(実績!$W$6:$W$505,BW$3,実績!$AI$6:$AI$505,"&lt;="&amp;$A7,実績!$AJ$6:$AJ$505,"&gt;"&amp;$A7,実績!$AK$6:$AK$505,"○")&gt;0,1,0))</f>
        <v>0</v>
      </c>
      <c r="BX7" s="39" t="n">
        <f aca="false">IF(BX$4=0,0,IF(COUNTIFS(実績!$W$6:$W$505,BX$3,実績!$AI$6:$AI$505,"&lt;="&amp;$A7,実績!$AJ$6:$AJ$505,"&gt;"&amp;$A7,実績!$AK$6:$AK$505,"○")&gt;0,1,0))</f>
        <v>0</v>
      </c>
      <c r="BY7" s="39" t="n">
        <f aca="false">IF(BY$4=0,0,IF(COUNTIFS(実績!$W$6:$W$505,BY$3,実績!$AI$6:$AI$505,"&lt;="&amp;$A7,実績!$AJ$6:$AJ$505,"&gt;"&amp;$A7,実績!$AK$6:$AK$505,"○")&gt;0,1,0))</f>
        <v>0</v>
      </c>
      <c r="BZ7" s="39" t="n">
        <f aca="false">IF(BZ$4=0,0,IF(COUNTIFS(実績!$W$6:$W$505,BZ$3,実績!$AI$6:$AI$505,"&lt;="&amp;$A7,実績!$AJ$6:$AJ$505,"&gt;"&amp;$A7,実績!$AK$6:$AK$505,"○")&gt;0,1,0))</f>
        <v>0</v>
      </c>
      <c r="CA7" s="39" t="n">
        <f aca="false">IF(CA$4=0,0,IF(COUNTIFS(実績!$W$6:$W$505,CA$3,実績!$AI$6:$AI$505,"&lt;="&amp;$A7,実績!$AJ$6:$AJ$505,"&gt;"&amp;$A7,実績!$AK$6:$AK$505,"○")&gt;0,1,0))</f>
        <v>0</v>
      </c>
      <c r="CB7" s="39" t="n">
        <f aca="false">IF(CB$4=0,0,IF(COUNTIFS(実績!$W$6:$W$505,CB$3,実績!$AI$6:$AI$505,"&lt;="&amp;$A7,実績!$AJ$6:$AJ$505,"&gt;"&amp;$A7,実績!$AK$6:$AK$505,"○")&gt;0,1,0))</f>
        <v>0</v>
      </c>
      <c r="CC7" s="39" t="n">
        <f aca="false">IF(CC$4=0,0,IF(COUNTIFS(実績!$W$6:$W$505,CC$3,実績!$AI$6:$AI$505,"&lt;="&amp;$A7,実績!$AJ$6:$AJ$505,"&gt;"&amp;$A7,実績!$AK$6:$AK$505,"○")&gt;0,1,0))</f>
        <v>0</v>
      </c>
      <c r="CD7" s="39" t="n">
        <f aca="false">IF(CD$4=0,0,IF(COUNTIFS(実績!$W$6:$W$505,CD$3,実績!$AI$6:$AI$505,"&lt;="&amp;$A7,実績!$AJ$6:$AJ$505,"&gt;"&amp;$A7,実績!$AK$6:$AK$505,"○")&gt;0,1,0))</f>
        <v>0</v>
      </c>
      <c r="CE7" s="39" t="n">
        <f aca="false">IF(CE$4=0,0,IF(COUNTIFS(実績!$W$6:$W$505,CE$3,実績!$AI$6:$AI$505,"&lt;="&amp;$A7,実績!$AJ$6:$AJ$505,"&gt;"&amp;$A7,実績!$AK$6:$AK$505,"○")&gt;0,1,0))</f>
        <v>0</v>
      </c>
      <c r="CF7" s="39" t="n">
        <f aca="false">IF(CF$4=0,0,IF(COUNTIFS(実績!$W$6:$W$505,CF$3,実績!$AI$6:$AI$505,"&lt;="&amp;$A7,実績!$AJ$6:$AJ$505,"&gt;"&amp;$A7,実績!$AK$6:$AK$505,"○")&gt;0,1,0))</f>
        <v>0</v>
      </c>
      <c r="CG7" s="39" t="n">
        <f aca="false">IF(CG$4=0,0,IF(COUNTIFS(実績!$W$6:$W$505,CG$3,実績!$AI$6:$AI$505,"&lt;="&amp;$A7,実績!$AJ$6:$AJ$505,"&gt;"&amp;$A7,実績!$AK$6:$AK$505,"○")&gt;0,1,0))</f>
        <v>0</v>
      </c>
      <c r="CH7" s="39" t="n">
        <f aca="false">IF(CH$4=0,0,IF(COUNTIFS(実績!$W$6:$W$505,CH$3,実績!$AI$6:$AI$505,"&lt;="&amp;$A7,実績!$AJ$6:$AJ$505,"&gt;"&amp;$A7,実績!$AK$6:$AK$505,"○")&gt;0,1,0))</f>
        <v>0</v>
      </c>
      <c r="CI7" s="39" t="n">
        <f aca="false">IF(CI$4=0,0,IF(COUNTIFS(実績!$W$6:$W$505,CI$3,実績!$AI$6:$AI$505,"&lt;="&amp;$A7,実績!$AJ$6:$AJ$505,"&gt;"&amp;$A7,実績!$AK$6:$AK$505,"○")&gt;0,1,0))</f>
        <v>0</v>
      </c>
      <c r="CJ7" s="39" t="n">
        <f aca="false">IF(CJ$4=0,0,IF(COUNTIFS(実績!$W$6:$W$505,CJ$3,実績!$AI$6:$AI$505,"&lt;="&amp;$A7,実績!$AJ$6:$AJ$505,"&gt;"&amp;$A7,実績!$AK$6:$AK$505,"○")&gt;0,1,0))</f>
        <v>0</v>
      </c>
      <c r="CK7" s="39" t="n">
        <f aca="false">IF(CK$4=0,0,IF(COUNTIFS(実績!$W$6:$W$505,CK$3,実績!$AI$6:$AI$505,"&lt;="&amp;$A7,実績!$AJ$6:$AJ$505,"&gt;"&amp;$A7,実績!$AK$6:$AK$505,"○")&gt;0,1,0))</f>
        <v>0</v>
      </c>
      <c r="CL7" s="39" t="n">
        <f aca="false">IF(CL$4=0,0,IF(COUNTIFS(実績!$W$6:$W$505,CL$3,実績!$AI$6:$AI$505,"&lt;="&amp;$A7,実績!$AJ$6:$AJ$505,"&gt;"&amp;$A7,実績!$AK$6:$AK$505,"○")&gt;0,1,0))</f>
        <v>0</v>
      </c>
      <c r="CM7" s="39" t="n">
        <f aca="false">IF(CM$4=0,0,IF(COUNTIFS(実績!$W$6:$W$505,CM$3,実績!$AI$6:$AI$505,"&lt;="&amp;$A7,実績!$AJ$6:$AJ$505,"&gt;"&amp;$A7,実績!$AK$6:$AK$505,"○")&gt;0,1,0))</f>
        <v>0</v>
      </c>
      <c r="CN7" s="39" t="n">
        <f aca="false">IF(CN$4=0,0,IF(COUNTIFS(実績!$W$6:$W$505,CN$3,実績!$AI$6:$AI$505,"&lt;="&amp;$A7,実績!$AJ$6:$AJ$505,"&gt;"&amp;$A7,実績!$AK$6:$AK$505,"○")&gt;0,1,0))</f>
        <v>0</v>
      </c>
      <c r="CO7" s="39" t="n">
        <f aca="false">IF(CO$4=0,0,IF(COUNTIFS(実績!$W$6:$W$505,CO$3,実績!$AI$6:$AI$505,"&lt;="&amp;$A7,実績!$AJ$6:$AJ$505,"&gt;"&amp;$A7,実績!$AK$6:$AK$505,"○")&gt;0,1,0))</f>
        <v>0</v>
      </c>
      <c r="CP7" s="39" t="n">
        <f aca="false">IF(CP$4=0,0,IF(COUNTIFS(実績!$W$6:$W$505,CP$3,実績!$AI$6:$AI$505,"&lt;="&amp;$A7,実績!$AJ$6:$AJ$505,"&gt;"&amp;$A7,実績!$AK$6:$AK$505,"○")&gt;0,1,0))</f>
        <v>0</v>
      </c>
      <c r="CQ7" s="39" t="n">
        <f aca="false">IF(CQ$4=0,0,IF(COUNTIFS(実績!$W$6:$W$505,CQ$3,実績!$AI$6:$AI$505,"&lt;="&amp;$A7,実績!$AJ$6:$AJ$505,"&gt;"&amp;$A7,実績!$AK$6:$AK$505,"○")&gt;0,1,0))</f>
        <v>0</v>
      </c>
      <c r="CR7" s="39" t="n">
        <f aca="false">IF(CR$4=0,0,IF(COUNTIFS(実績!$W$6:$W$505,CR$3,実績!$AI$6:$AI$505,"&lt;="&amp;$A7,実績!$AJ$6:$AJ$505,"&gt;"&amp;$A7,実績!$AK$6:$AK$505,"○")&gt;0,1,0))</f>
        <v>0</v>
      </c>
      <c r="CS7" s="39" t="n">
        <f aca="false">IF(CS$4=0,0,IF(COUNTIFS(実績!$W$6:$W$505,CS$3,実績!$AI$6:$AI$505,"&lt;="&amp;$A7,実績!$AJ$6:$AJ$505,"&gt;"&amp;$A7,実績!$AK$6:$AK$505,"○")&gt;0,1,0))</f>
        <v>0</v>
      </c>
      <c r="CT7" s="39" t="n">
        <f aca="false">IF(CT$4=0,0,IF(COUNTIFS(実績!$W$6:$W$505,CT$3,実績!$AI$6:$AI$505,"&lt;="&amp;$A7,実績!$AJ$6:$AJ$505,"&gt;"&amp;$A7,実績!$AK$6:$AK$505,"○")&gt;0,1,0))</f>
        <v>0</v>
      </c>
      <c r="CU7" s="39" t="n">
        <f aca="false">IF(CU$4=0,0,IF(COUNTIFS(実績!$W$6:$W$505,CU$3,実績!$AI$6:$AI$505,"&lt;="&amp;$A7,実績!$AJ$6:$AJ$505,"&gt;"&amp;$A7,実績!$AK$6:$AK$505,"○")&gt;0,1,0))</f>
        <v>0</v>
      </c>
      <c r="CV7" s="39" t="n">
        <f aca="false">IF(CV$4=0,0,IF(COUNTIFS(実績!$W$6:$W$505,CV$3,実績!$AI$6:$AI$505,"&lt;="&amp;$A7,実績!$AJ$6:$AJ$505,"&gt;"&amp;$A7,実績!$AK$6:$AK$505,"○")&gt;0,1,0))</f>
        <v>0</v>
      </c>
      <c r="CW7" s="39" t="n">
        <f aca="false">IF(CW$4=0,0,IF(COUNTIFS(実績!$W$6:$W$505,CW$3,実績!$AI$6:$AI$505,"&lt;="&amp;$A7,実績!$AJ$6:$AJ$505,"&gt;"&amp;$A7,実績!$AK$6:$AK$505,"○")&gt;0,1,0))</f>
        <v>0</v>
      </c>
      <c r="CX7" s="39" t="n">
        <f aca="false">IF(CX$4=0,0,IF(COUNTIFS(実績!$W$6:$W$505,CX$3,実績!$AI$6:$AI$505,"&lt;="&amp;$A7,実績!$AJ$6:$AJ$505,"&gt;"&amp;$A7,実績!$AK$6:$AK$505,"○")&gt;0,1,0))</f>
        <v>0</v>
      </c>
      <c r="CY7" s="39" t="n">
        <f aca="false">IF(CY$4=0,0,IF(COUNTIFS(実績!$W$6:$W$505,CY$3,実績!$AI$6:$AI$505,"&lt;="&amp;$A7,実績!$AJ$6:$AJ$505,"&gt;"&amp;$A7,実績!$AK$6:$AK$505,"○")&gt;0,1,0))</f>
        <v>0</v>
      </c>
      <c r="CZ7" s="39" t="n">
        <f aca="false">IF(CZ$4=0,0,IF(COUNTIFS(実績!$W$6:$W$505,CZ$3,実績!$AI$6:$AI$505,"&lt;="&amp;$A7,実績!$AJ$6:$AJ$505,"&gt;"&amp;$A7,実績!$AK$6:$AK$505,"○")&gt;0,1,0))</f>
        <v>0</v>
      </c>
      <c r="DA7" s="39" t="n">
        <f aca="false">IF(DA$4=0,0,IF(COUNTIFS(実績!$W$6:$W$505,DA$3,実績!$AI$6:$AI$505,"&lt;="&amp;$A7,実績!$AJ$6:$AJ$505,"&gt;"&amp;$A7,実績!$AK$6:$AK$505,"○")&gt;0,1,0))</f>
        <v>0</v>
      </c>
      <c r="DB7" s="39" t="n">
        <f aca="false">IF(DB$4=0,0,IF(COUNTIFS(実績!$W$6:$W$505,DB$3,実績!$AI$6:$AI$505,"&lt;="&amp;$A7,実績!$AJ$6:$AJ$505,"&gt;"&amp;$A7,実績!$AK$6:$AK$505,"○")&gt;0,1,0))</f>
        <v>0</v>
      </c>
      <c r="DC7" s="39" t="n">
        <f aca="false">IF(DC$4=0,0,IF(COUNTIFS(実績!$W$6:$W$505,DC$3,実績!$AI$6:$AI$505,"&lt;="&amp;$A7,実績!$AJ$6:$AJ$505,"&gt;"&amp;$A7,実績!$AK$6:$AK$505,"○")&gt;0,1,0))</f>
        <v>0</v>
      </c>
      <c r="DD7" s="39" t="n">
        <f aca="false">IF(DD$4=0,0,IF(COUNTIFS(実績!$W$6:$W$505,DD$3,実績!$AI$6:$AI$505,"&lt;="&amp;$A7,実績!$AJ$6:$AJ$505,"&gt;"&amp;$A7,実績!$AK$6:$AK$505,"○")&gt;0,1,0))</f>
        <v>0</v>
      </c>
      <c r="DE7" s="39" t="n">
        <f aca="false">IF(DE$4=0,0,IF(COUNTIFS(実績!$W$6:$W$505,DE$3,実績!$AI$6:$AI$505,"&lt;="&amp;$A7,実績!$AJ$6:$AJ$505,"&gt;"&amp;$A7,実績!$AK$6:$AK$505,"○")&gt;0,1,0))</f>
        <v>0</v>
      </c>
      <c r="DF7" s="39" t="n">
        <f aca="false">IF(DF$4=0,0,IF(COUNTIFS(実績!$W$6:$W$505,DF$3,実績!$AI$6:$AI$505,"&lt;="&amp;$A7,実績!$AJ$6:$AJ$505,"&gt;"&amp;$A7,実績!$AK$6:$AK$505,"○")&gt;0,1,0))</f>
        <v>0</v>
      </c>
      <c r="DG7" s="39" t="n">
        <f aca="false">IF(DG$4=0,0,IF(COUNTIFS(実績!$W$6:$W$505,DG$3,実績!$AI$6:$AI$505,"&lt;="&amp;$A7,実績!$AJ$6:$AJ$505,"&gt;"&amp;$A7,実績!$AK$6:$AK$505,"○")&gt;0,1,0))</f>
        <v>0</v>
      </c>
      <c r="DH7" s="39" t="n">
        <f aca="false">IF(DH$4=0,0,IF(COUNTIFS(実績!$W$6:$W$505,DH$3,実績!$AI$6:$AI$505,"&lt;="&amp;$A7,実績!$AJ$6:$AJ$505,"&gt;"&amp;$A7,実績!$AK$6:$AK$505,"○")&gt;0,1,0))</f>
        <v>0</v>
      </c>
      <c r="DI7" s="39" t="n">
        <f aca="false">IF(DI$4=0,0,IF(COUNTIFS(実績!$W$6:$W$505,DI$3,実績!$AI$6:$AI$505,"&lt;="&amp;$A7,実績!$AJ$6:$AJ$505,"&gt;"&amp;$A7,実績!$AK$6:$AK$505,"○")&gt;0,1,0))</f>
        <v>0</v>
      </c>
      <c r="DJ7" s="39" t="n">
        <f aca="false">IF(DJ$4=0,0,IF(COUNTIFS(実績!$W$6:$W$505,DJ$3,実績!$AI$6:$AI$505,"&lt;="&amp;$A7,実績!$AJ$6:$AJ$505,"&gt;"&amp;$A7,実績!$AK$6:$AK$505,"○")&gt;0,1,0))</f>
        <v>0</v>
      </c>
      <c r="DK7" s="39" t="n">
        <f aca="false">IF(DK$4=0,0,IF(COUNTIFS(実績!$W$6:$W$505,DK$3,実績!$AI$6:$AI$505,"&lt;="&amp;$A7,実績!$AJ$6:$AJ$505,"&gt;"&amp;$A7,実績!$AK$6:$AK$505,"○")&gt;0,1,0))</f>
        <v>0</v>
      </c>
      <c r="DL7" s="39" t="n">
        <f aca="false">IF(DL$4=0,0,IF(COUNTIFS(実績!$W$6:$W$505,DL$3,実績!$AI$6:$AI$505,"&lt;="&amp;$A7,実績!$AJ$6:$AJ$505,"&gt;"&amp;$A7,実績!$AK$6:$AK$505,"○")&gt;0,1,0))</f>
        <v>0</v>
      </c>
      <c r="DM7" s="39" t="n">
        <f aca="false">IF(DM$4=0,0,IF(COUNTIFS(実績!$W$6:$W$505,DM$3,実績!$AI$6:$AI$505,"&lt;="&amp;$A7,実績!$AJ$6:$AJ$505,"&gt;"&amp;$A7,実績!$AK$6:$AK$505,"○")&gt;0,1,0))</f>
        <v>0</v>
      </c>
      <c r="DN7" s="39" t="n">
        <f aca="false">IF(DN$4=0,0,IF(COUNTIFS(実績!$W$6:$W$505,DN$3,実績!$AI$6:$AI$505,"&lt;="&amp;$A7,実績!$AJ$6:$AJ$505,"&gt;"&amp;$A7,実績!$AK$6:$AK$505,"○")&gt;0,1,0))</f>
        <v>0</v>
      </c>
      <c r="DO7" s="39" t="n">
        <f aca="false">IF(DO$4=0,0,IF(COUNTIFS(実績!$W$6:$W$505,DO$3,実績!$AI$6:$AI$505,"&lt;="&amp;$A7,実績!$AJ$6:$AJ$505,"&gt;"&amp;$A7,実績!$AK$6:$AK$505,"○")&gt;0,1,0))</f>
        <v>0</v>
      </c>
      <c r="DP7" s="39" t="n">
        <f aca="false">IF(DP$4=0,0,IF(COUNTIFS(実績!$W$6:$W$505,DP$3,実績!$AI$6:$AI$505,"&lt;="&amp;$A7,実績!$AJ$6:$AJ$505,"&gt;"&amp;$A7,実績!$AK$6:$AK$505,"○")&gt;0,1,0))</f>
        <v>0</v>
      </c>
      <c r="DQ7" s="39" t="n">
        <f aca="false">IF(DQ$4=0,0,IF(COUNTIFS(実績!$W$6:$W$505,DQ$3,実績!$AI$6:$AI$505,"&lt;="&amp;$A7,実績!$AJ$6:$AJ$505,"&gt;"&amp;$A7,実績!$AK$6:$AK$505,"○")&gt;0,1,0))</f>
        <v>0</v>
      </c>
      <c r="DR7" s="39" t="n">
        <f aca="false">IF(DR$4=0,0,IF(COUNTIFS(実績!$W$6:$W$505,DR$3,実績!$AI$6:$AI$505,"&lt;="&amp;$A7,実績!$AJ$6:$AJ$505,"&gt;"&amp;$A7,実績!$AK$6:$AK$505,"○")&gt;0,1,0))</f>
        <v>0</v>
      </c>
      <c r="DS7" s="39" t="n">
        <f aca="false">SUM(C7:DR7)</f>
        <v>0</v>
      </c>
      <c r="DT7" s="39" t="n">
        <f aca="false">SUMPRODUCT((実績!$C$6:$C$505="○")*ISNUMBER(実績!$AM$6:$AM$505)*(実績!$AM$6:$AM$505&lt;=$A7)*(実績!$AN$6:$AN$505&gt;$A7))</f>
        <v>0</v>
      </c>
      <c r="DU7" s="39" t="n">
        <f aca="false">SUMIF($C$2:$DR$2,"製鉄曳船",C7:DR7)</f>
        <v>0</v>
      </c>
      <c r="DV7" s="39" t="n">
        <f aca="false">SUMIF($C$2:$DR$2,"西日本海運",C7:DR7)</f>
        <v>0</v>
      </c>
    </row>
    <row r="8" customFormat="false" ht="15" hidden="false" customHeight="false" outlineLevel="0" collapsed="false">
      <c r="A8" s="0" t="n">
        <v>10</v>
      </c>
      <c r="B8" s="38" t="n">
        <f aca="false">A8/1440</f>
        <v>0.00694444444444444</v>
      </c>
      <c r="C8" s="39" t="n">
        <f aca="false">IF(C$4=0,0,IF(COUNTIFS(実績!$W$6:$W$505,C$3,実績!$AI$6:$AI$505,"&lt;="&amp;$A8,実績!$AJ$6:$AJ$505,"&gt;"&amp;$A8,実績!$AK$6:$AK$505,"○")&gt;0,1,0))</f>
        <v>0</v>
      </c>
      <c r="D8" s="39" t="n">
        <f aca="false">IF(D$4=0,0,IF(COUNTIFS(実績!$W$6:$W$505,D$3,実績!$AI$6:$AI$505,"&lt;="&amp;$A8,実績!$AJ$6:$AJ$505,"&gt;"&amp;$A8,実績!$AK$6:$AK$505,"○")&gt;0,1,0))</f>
        <v>0</v>
      </c>
      <c r="E8" s="39" t="n">
        <f aca="false">IF(E$4=0,0,IF(COUNTIFS(実績!$W$6:$W$505,E$3,実績!$AI$6:$AI$505,"&lt;="&amp;$A8,実績!$AJ$6:$AJ$505,"&gt;"&amp;$A8,実績!$AK$6:$AK$505,"○")&gt;0,1,0))</f>
        <v>0</v>
      </c>
      <c r="F8" s="39" t="n">
        <f aca="false">IF(F$4=0,0,IF(COUNTIFS(実績!$W$6:$W$505,F$3,実績!$AI$6:$AI$505,"&lt;="&amp;$A8,実績!$AJ$6:$AJ$505,"&gt;"&amp;$A8,実績!$AK$6:$AK$505,"○")&gt;0,1,0))</f>
        <v>0</v>
      </c>
      <c r="G8" s="39" t="n">
        <f aca="false">IF(G$4=0,0,IF(COUNTIFS(実績!$W$6:$W$505,G$3,実績!$AI$6:$AI$505,"&lt;="&amp;$A8,実績!$AJ$6:$AJ$505,"&gt;"&amp;$A8,実績!$AK$6:$AK$505,"○")&gt;0,1,0))</f>
        <v>0</v>
      </c>
      <c r="H8" s="39" t="n">
        <f aca="false">IF(H$4=0,0,IF(COUNTIFS(実績!$W$6:$W$505,H$3,実績!$AI$6:$AI$505,"&lt;="&amp;$A8,実績!$AJ$6:$AJ$505,"&gt;"&amp;$A8,実績!$AK$6:$AK$505,"○")&gt;0,1,0))</f>
        <v>0</v>
      </c>
      <c r="I8" s="39" t="n">
        <f aca="false">IF(I$4=0,0,IF(COUNTIFS(実績!$W$6:$W$505,I$3,実績!$AI$6:$AI$505,"&lt;="&amp;$A8,実績!$AJ$6:$AJ$505,"&gt;"&amp;$A8,実績!$AK$6:$AK$505,"○")&gt;0,1,0))</f>
        <v>0</v>
      </c>
      <c r="J8" s="39" t="n">
        <f aca="false">IF(J$4=0,0,IF(COUNTIFS(実績!$W$6:$W$505,J$3,実績!$AI$6:$AI$505,"&lt;="&amp;$A8,実績!$AJ$6:$AJ$505,"&gt;"&amp;$A8,実績!$AK$6:$AK$505,"○")&gt;0,1,0))</f>
        <v>0</v>
      </c>
      <c r="K8" s="39" t="n">
        <f aca="false">IF(K$4=0,0,IF(COUNTIFS(実績!$W$6:$W$505,K$3,実績!$AI$6:$AI$505,"&lt;="&amp;$A8,実績!$AJ$6:$AJ$505,"&gt;"&amp;$A8,実績!$AK$6:$AK$505,"○")&gt;0,1,0))</f>
        <v>0</v>
      </c>
      <c r="L8" s="39" t="n">
        <f aca="false">IF(L$4=0,0,IF(COUNTIFS(実績!$W$6:$W$505,L$3,実績!$AI$6:$AI$505,"&lt;="&amp;$A8,実績!$AJ$6:$AJ$505,"&gt;"&amp;$A8,実績!$AK$6:$AK$505,"○")&gt;0,1,0))</f>
        <v>0</v>
      </c>
      <c r="M8" s="39" t="n">
        <f aca="false">IF(M$4=0,0,IF(COUNTIFS(実績!$W$6:$W$505,M$3,実績!$AI$6:$AI$505,"&lt;="&amp;$A8,実績!$AJ$6:$AJ$505,"&gt;"&amp;$A8,実績!$AK$6:$AK$505,"○")&gt;0,1,0))</f>
        <v>0</v>
      </c>
      <c r="N8" s="39" t="n">
        <f aca="false">IF(N$4=0,0,IF(COUNTIFS(実績!$W$6:$W$505,N$3,実績!$AI$6:$AI$505,"&lt;="&amp;$A8,実績!$AJ$6:$AJ$505,"&gt;"&amp;$A8,実績!$AK$6:$AK$505,"○")&gt;0,1,0))</f>
        <v>0</v>
      </c>
      <c r="O8" s="39" t="n">
        <f aca="false">IF(O$4=0,0,IF(COUNTIFS(実績!$W$6:$W$505,O$3,実績!$AI$6:$AI$505,"&lt;="&amp;$A8,実績!$AJ$6:$AJ$505,"&gt;"&amp;$A8,実績!$AK$6:$AK$505,"○")&gt;0,1,0))</f>
        <v>0</v>
      </c>
      <c r="P8" s="39" t="n">
        <f aca="false">IF(P$4=0,0,IF(COUNTIFS(実績!$W$6:$W$505,P$3,実績!$AI$6:$AI$505,"&lt;="&amp;$A8,実績!$AJ$6:$AJ$505,"&gt;"&amp;$A8,実績!$AK$6:$AK$505,"○")&gt;0,1,0))</f>
        <v>0</v>
      </c>
      <c r="Q8" s="39" t="n">
        <f aca="false">IF(Q$4=0,0,IF(COUNTIFS(実績!$W$6:$W$505,Q$3,実績!$AI$6:$AI$505,"&lt;="&amp;$A8,実績!$AJ$6:$AJ$505,"&gt;"&amp;$A8,実績!$AK$6:$AK$505,"○")&gt;0,1,0))</f>
        <v>0</v>
      </c>
      <c r="R8" s="39" t="n">
        <f aca="false">IF(R$4=0,0,IF(COUNTIFS(実績!$W$6:$W$505,R$3,実績!$AI$6:$AI$505,"&lt;="&amp;$A8,実績!$AJ$6:$AJ$505,"&gt;"&amp;$A8,実績!$AK$6:$AK$505,"○")&gt;0,1,0))</f>
        <v>0</v>
      </c>
      <c r="S8" s="39" t="n">
        <f aca="false">IF(S$4=0,0,IF(COUNTIFS(実績!$W$6:$W$505,S$3,実績!$AI$6:$AI$505,"&lt;="&amp;$A8,実績!$AJ$6:$AJ$505,"&gt;"&amp;$A8,実績!$AK$6:$AK$505,"○")&gt;0,1,0))</f>
        <v>0</v>
      </c>
      <c r="T8" s="39" t="n">
        <f aca="false">IF(T$4=0,0,IF(COUNTIFS(実績!$W$6:$W$505,T$3,実績!$AI$6:$AI$505,"&lt;="&amp;$A8,実績!$AJ$6:$AJ$505,"&gt;"&amp;$A8,実績!$AK$6:$AK$505,"○")&gt;0,1,0))</f>
        <v>0</v>
      </c>
      <c r="U8" s="39" t="n">
        <f aca="false">IF(U$4=0,0,IF(COUNTIFS(実績!$W$6:$W$505,U$3,実績!$AI$6:$AI$505,"&lt;="&amp;$A8,実績!$AJ$6:$AJ$505,"&gt;"&amp;$A8,実績!$AK$6:$AK$505,"○")&gt;0,1,0))</f>
        <v>0</v>
      </c>
      <c r="V8" s="39" t="n">
        <f aca="false">IF(V$4=0,0,IF(COUNTIFS(実績!$W$6:$W$505,V$3,実績!$AI$6:$AI$505,"&lt;="&amp;$A8,実績!$AJ$6:$AJ$505,"&gt;"&amp;$A8,実績!$AK$6:$AK$505,"○")&gt;0,1,0))</f>
        <v>0</v>
      </c>
      <c r="W8" s="39" t="n">
        <f aca="false">IF(W$4=0,0,IF(COUNTIFS(実績!$W$6:$W$505,W$3,実績!$AI$6:$AI$505,"&lt;="&amp;$A8,実績!$AJ$6:$AJ$505,"&gt;"&amp;$A8,実績!$AK$6:$AK$505,"○")&gt;0,1,0))</f>
        <v>0</v>
      </c>
      <c r="X8" s="39" t="n">
        <f aca="false">IF(X$4=0,0,IF(COUNTIFS(実績!$W$6:$W$505,X$3,実績!$AI$6:$AI$505,"&lt;="&amp;$A8,実績!$AJ$6:$AJ$505,"&gt;"&amp;$A8,実績!$AK$6:$AK$505,"○")&gt;0,1,0))</f>
        <v>0</v>
      </c>
      <c r="Y8" s="39" t="n">
        <f aca="false">IF(Y$4=0,0,IF(COUNTIFS(実績!$W$6:$W$505,Y$3,実績!$AI$6:$AI$505,"&lt;="&amp;$A8,実績!$AJ$6:$AJ$505,"&gt;"&amp;$A8,実績!$AK$6:$AK$505,"○")&gt;0,1,0))</f>
        <v>0</v>
      </c>
      <c r="Z8" s="39" t="n">
        <f aca="false">IF(Z$4=0,0,IF(COUNTIFS(実績!$W$6:$W$505,Z$3,実績!$AI$6:$AI$505,"&lt;="&amp;$A8,実績!$AJ$6:$AJ$505,"&gt;"&amp;$A8,実績!$AK$6:$AK$505,"○")&gt;0,1,0))</f>
        <v>0</v>
      </c>
      <c r="AA8" s="39" t="n">
        <f aca="false">IF(AA$4=0,0,IF(COUNTIFS(実績!$W$6:$W$505,AA$3,実績!$AI$6:$AI$505,"&lt;="&amp;$A8,実績!$AJ$6:$AJ$505,"&gt;"&amp;$A8,実績!$AK$6:$AK$505,"○")&gt;0,1,0))</f>
        <v>0</v>
      </c>
      <c r="AB8" s="39" t="n">
        <f aca="false">IF(AB$4=0,0,IF(COUNTIFS(実績!$W$6:$W$505,AB$3,実績!$AI$6:$AI$505,"&lt;="&amp;$A8,実績!$AJ$6:$AJ$505,"&gt;"&amp;$A8,実績!$AK$6:$AK$505,"○")&gt;0,1,0))</f>
        <v>0</v>
      </c>
      <c r="AC8" s="39" t="n">
        <f aca="false">IF(AC$4=0,0,IF(COUNTIFS(実績!$W$6:$W$505,AC$3,実績!$AI$6:$AI$505,"&lt;="&amp;$A8,実績!$AJ$6:$AJ$505,"&gt;"&amp;$A8,実績!$AK$6:$AK$505,"○")&gt;0,1,0))</f>
        <v>0</v>
      </c>
      <c r="AD8" s="39" t="n">
        <f aca="false">IF(AD$4=0,0,IF(COUNTIFS(実績!$W$6:$W$505,AD$3,実績!$AI$6:$AI$505,"&lt;="&amp;$A8,実績!$AJ$6:$AJ$505,"&gt;"&amp;$A8,実績!$AK$6:$AK$505,"○")&gt;0,1,0))</f>
        <v>0</v>
      </c>
      <c r="AE8" s="39" t="n">
        <f aca="false">IF(AE$4=0,0,IF(COUNTIFS(実績!$W$6:$W$505,AE$3,実績!$AI$6:$AI$505,"&lt;="&amp;$A8,実績!$AJ$6:$AJ$505,"&gt;"&amp;$A8,実績!$AK$6:$AK$505,"○")&gt;0,1,0))</f>
        <v>0</v>
      </c>
      <c r="AF8" s="39" t="n">
        <f aca="false">IF(AF$4=0,0,IF(COUNTIFS(実績!$W$6:$W$505,AF$3,実績!$AI$6:$AI$505,"&lt;="&amp;$A8,実績!$AJ$6:$AJ$505,"&gt;"&amp;$A8,実績!$AK$6:$AK$505,"○")&gt;0,1,0))</f>
        <v>0</v>
      </c>
      <c r="AG8" s="39" t="n">
        <f aca="false">IF(AG$4=0,0,IF(COUNTIFS(実績!$W$6:$W$505,AG$3,実績!$AI$6:$AI$505,"&lt;="&amp;$A8,実績!$AJ$6:$AJ$505,"&gt;"&amp;$A8,実績!$AK$6:$AK$505,"○")&gt;0,1,0))</f>
        <v>0</v>
      </c>
      <c r="AH8" s="39" t="n">
        <f aca="false">IF(AH$4=0,0,IF(COUNTIFS(実績!$W$6:$W$505,AH$3,実績!$AI$6:$AI$505,"&lt;="&amp;$A8,実績!$AJ$6:$AJ$505,"&gt;"&amp;$A8,実績!$AK$6:$AK$505,"○")&gt;0,1,0))</f>
        <v>0</v>
      </c>
      <c r="AI8" s="39" t="n">
        <f aca="false">IF(AI$4=0,0,IF(COUNTIFS(実績!$W$6:$W$505,AI$3,実績!$AI$6:$AI$505,"&lt;="&amp;$A8,実績!$AJ$6:$AJ$505,"&gt;"&amp;$A8,実績!$AK$6:$AK$505,"○")&gt;0,1,0))</f>
        <v>0</v>
      </c>
      <c r="AJ8" s="39" t="n">
        <f aca="false">IF(AJ$4=0,0,IF(COUNTIFS(実績!$W$6:$W$505,AJ$3,実績!$AI$6:$AI$505,"&lt;="&amp;$A8,実績!$AJ$6:$AJ$505,"&gt;"&amp;$A8,実績!$AK$6:$AK$505,"○")&gt;0,1,0))</f>
        <v>0</v>
      </c>
      <c r="AK8" s="39" t="n">
        <f aca="false">IF(AK$4=0,0,IF(COUNTIFS(実績!$W$6:$W$505,AK$3,実績!$AI$6:$AI$505,"&lt;="&amp;$A8,実績!$AJ$6:$AJ$505,"&gt;"&amp;$A8,実績!$AK$6:$AK$505,"○")&gt;0,1,0))</f>
        <v>0</v>
      </c>
      <c r="AL8" s="39" t="n">
        <f aca="false">IF(AL$4=0,0,IF(COUNTIFS(実績!$W$6:$W$505,AL$3,実績!$AI$6:$AI$505,"&lt;="&amp;$A8,実績!$AJ$6:$AJ$505,"&gt;"&amp;$A8,実績!$AK$6:$AK$505,"○")&gt;0,1,0))</f>
        <v>0</v>
      </c>
      <c r="AM8" s="39" t="n">
        <f aca="false">IF(AM$4=0,0,IF(COUNTIFS(実績!$W$6:$W$505,AM$3,実績!$AI$6:$AI$505,"&lt;="&amp;$A8,実績!$AJ$6:$AJ$505,"&gt;"&amp;$A8,実績!$AK$6:$AK$505,"○")&gt;0,1,0))</f>
        <v>0</v>
      </c>
      <c r="AN8" s="39" t="n">
        <f aca="false">IF(AN$4=0,0,IF(COUNTIFS(実績!$W$6:$W$505,AN$3,実績!$AI$6:$AI$505,"&lt;="&amp;$A8,実績!$AJ$6:$AJ$505,"&gt;"&amp;$A8,実績!$AK$6:$AK$505,"○")&gt;0,1,0))</f>
        <v>0</v>
      </c>
      <c r="AO8" s="39" t="n">
        <f aca="false">IF(AO$4=0,0,IF(COUNTIFS(実績!$W$6:$W$505,AO$3,実績!$AI$6:$AI$505,"&lt;="&amp;$A8,実績!$AJ$6:$AJ$505,"&gt;"&amp;$A8,実績!$AK$6:$AK$505,"○")&gt;0,1,0))</f>
        <v>0</v>
      </c>
      <c r="AP8" s="39" t="n">
        <f aca="false">IF(AP$4=0,0,IF(COUNTIFS(実績!$W$6:$W$505,AP$3,実績!$AI$6:$AI$505,"&lt;="&amp;$A8,実績!$AJ$6:$AJ$505,"&gt;"&amp;$A8,実績!$AK$6:$AK$505,"○")&gt;0,1,0))</f>
        <v>0</v>
      </c>
      <c r="AQ8" s="39" t="n">
        <f aca="false">IF(AQ$4=0,0,IF(COUNTIFS(実績!$W$6:$W$505,AQ$3,実績!$AI$6:$AI$505,"&lt;="&amp;$A8,実績!$AJ$6:$AJ$505,"&gt;"&amp;$A8,実績!$AK$6:$AK$505,"○")&gt;0,1,0))</f>
        <v>0</v>
      </c>
      <c r="AR8" s="39" t="n">
        <f aca="false">IF(AR$4=0,0,IF(COUNTIFS(実績!$W$6:$W$505,AR$3,実績!$AI$6:$AI$505,"&lt;="&amp;$A8,実績!$AJ$6:$AJ$505,"&gt;"&amp;$A8,実績!$AK$6:$AK$505,"○")&gt;0,1,0))</f>
        <v>0</v>
      </c>
      <c r="AS8" s="39" t="n">
        <f aca="false">IF(AS$4=0,0,IF(COUNTIFS(実績!$W$6:$W$505,AS$3,実績!$AI$6:$AI$505,"&lt;="&amp;$A8,実績!$AJ$6:$AJ$505,"&gt;"&amp;$A8,実績!$AK$6:$AK$505,"○")&gt;0,1,0))</f>
        <v>0</v>
      </c>
      <c r="AT8" s="39" t="n">
        <f aca="false">IF(AT$4=0,0,IF(COUNTIFS(実績!$W$6:$W$505,AT$3,実績!$AI$6:$AI$505,"&lt;="&amp;$A8,実績!$AJ$6:$AJ$505,"&gt;"&amp;$A8,実績!$AK$6:$AK$505,"○")&gt;0,1,0))</f>
        <v>0</v>
      </c>
      <c r="AU8" s="39" t="n">
        <f aca="false">IF(AU$4=0,0,IF(COUNTIFS(実績!$W$6:$W$505,AU$3,実績!$AI$6:$AI$505,"&lt;="&amp;$A8,実績!$AJ$6:$AJ$505,"&gt;"&amp;$A8,実績!$AK$6:$AK$505,"○")&gt;0,1,0))</f>
        <v>0</v>
      </c>
      <c r="AV8" s="39" t="n">
        <f aca="false">IF(AV$4=0,0,IF(COUNTIFS(実績!$W$6:$W$505,AV$3,実績!$AI$6:$AI$505,"&lt;="&amp;$A8,実績!$AJ$6:$AJ$505,"&gt;"&amp;$A8,実績!$AK$6:$AK$505,"○")&gt;0,1,0))</f>
        <v>0</v>
      </c>
      <c r="AW8" s="39" t="n">
        <f aca="false">IF(AW$4=0,0,IF(COUNTIFS(実績!$W$6:$W$505,AW$3,実績!$AI$6:$AI$505,"&lt;="&amp;$A8,実績!$AJ$6:$AJ$505,"&gt;"&amp;$A8,実績!$AK$6:$AK$505,"○")&gt;0,1,0))</f>
        <v>0</v>
      </c>
      <c r="AX8" s="39" t="n">
        <f aca="false">IF(AX$4=0,0,IF(COUNTIFS(実績!$W$6:$W$505,AX$3,実績!$AI$6:$AI$505,"&lt;="&amp;$A8,実績!$AJ$6:$AJ$505,"&gt;"&amp;$A8,実績!$AK$6:$AK$505,"○")&gt;0,1,0))</f>
        <v>0</v>
      </c>
      <c r="AY8" s="39" t="n">
        <f aca="false">IF(AY$4=0,0,IF(COUNTIFS(実績!$W$6:$W$505,AY$3,実績!$AI$6:$AI$505,"&lt;="&amp;$A8,実績!$AJ$6:$AJ$505,"&gt;"&amp;$A8,実績!$AK$6:$AK$505,"○")&gt;0,1,0))</f>
        <v>0</v>
      </c>
      <c r="AZ8" s="39" t="n">
        <f aca="false">IF(AZ$4=0,0,IF(COUNTIFS(実績!$W$6:$W$505,AZ$3,実績!$AI$6:$AI$505,"&lt;="&amp;$A8,実績!$AJ$6:$AJ$505,"&gt;"&amp;$A8,実績!$AK$6:$AK$505,"○")&gt;0,1,0))</f>
        <v>0</v>
      </c>
      <c r="BA8" s="39" t="n">
        <f aca="false">IF(BA$4=0,0,IF(COUNTIFS(実績!$W$6:$W$505,BA$3,実績!$AI$6:$AI$505,"&lt;="&amp;$A8,実績!$AJ$6:$AJ$505,"&gt;"&amp;$A8,実績!$AK$6:$AK$505,"○")&gt;0,1,0))</f>
        <v>0</v>
      </c>
      <c r="BB8" s="39" t="n">
        <f aca="false">IF(BB$4=0,0,IF(COUNTIFS(実績!$W$6:$W$505,BB$3,実績!$AI$6:$AI$505,"&lt;="&amp;$A8,実績!$AJ$6:$AJ$505,"&gt;"&amp;$A8,実績!$AK$6:$AK$505,"○")&gt;0,1,0))</f>
        <v>0</v>
      </c>
      <c r="BC8" s="39" t="n">
        <f aca="false">IF(BC$4=0,0,IF(COUNTIFS(実績!$W$6:$W$505,BC$3,実績!$AI$6:$AI$505,"&lt;="&amp;$A8,実績!$AJ$6:$AJ$505,"&gt;"&amp;$A8,実績!$AK$6:$AK$505,"○")&gt;0,1,0))</f>
        <v>0</v>
      </c>
      <c r="BD8" s="39" t="n">
        <f aca="false">IF(BD$4=0,0,IF(COUNTIFS(実績!$W$6:$W$505,BD$3,実績!$AI$6:$AI$505,"&lt;="&amp;$A8,実績!$AJ$6:$AJ$505,"&gt;"&amp;$A8,実績!$AK$6:$AK$505,"○")&gt;0,1,0))</f>
        <v>0</v>
      </c>
      <c r="BE8" s="39" t="n">
        <f aca="false">IF(BE$4=0,0,IF(COUNTIFS(実績!$W$6:$W$505,BE$3,実績!$AI$6:$AI$505,"&lt;="&amp;$A8,実績!$AJ$6:$AJ$505,"&gt;"&amp;$A8,実績!$AK$6:$AK$505,"○")&gt;0,1,0))</f>
        <v>0</v>
      </c>
      <c r="BF8" s="39" t="n">
        <f aca="false">IF(BF$4=0,0,IF(COUNTIFS(実績!$W$6:$W$505,BF$3,実績!$AI$6:$AI$505,"&lt;="&amp;$A8,実績!$AJ$6:$AJ$505,"&gt;"&amp;$A8,実績!$AK$6:$AK$505,"○")&gt;0,1,0))</f>
        <v>0</v>
      </c>
      <c r="BG8" s="39" t="n">
        <f aca="false">IF(BG$4=0,0,IF(COUNTIFS(実績!$W$6:$W$505,BG$3,実績!$AI$6:$AI$505,"&lt;="&amp;$A8,実績!$AJ$6:$AJ$505,"&gt;"&amp;$A8,実績!$AK$6:$AK$505,"○")&gt;0,1,0))</f>
        <v>0</v>
      </c>
      <c r="BH8" s="39" t="n">
        <f aca="false">IF(BH$4=0,0,IF(COUNTIFS(実績!$W$6:$W$505,BH$3,実績!$AI$6:$AI$505,"&lt;="&amp;$A8,実績!$AJ$6:$AJ$505,"&gt;"&amp;$A8,実績!$AK$6:$AK$505,"○")&gt;0,1,0))</f>
        <v>0</v>
      </c>
      <c r="BI8" s="39" t="n">
        <f aca="false">IF(BI$4=0,0,IF(COUNTIFS(実績!$W$6:$W$505,BI$3,実績!$AI$6:$AI$505,"&lt;="&amp;$A8,実績!$AJ$6:$AJ$505,"&gt;"&amp;$A8,実績!$AK$6:$AK$505,"○")&gt;0,1,0))</f>
        <v>0</v>
      </c>
      <c r="BJ8" s="39" t="n">
        <f aca="false">IF(BJ$4=0,0,IF(COUNTIFS(実績!$W$6:$W$505,BJ$3,実績!$AI$6:$AI$505,"&lt;="&amp;$A8,実績!$AJ$6:$AJ$505,"&gt;"&amp;$A8,実績!$AK$6:$AK$505,"○")&gt;0,1,0))</f>
        <v>0</v>
      </c>
      <c r="BK8" s="39" t="n">
        <f aca="false">IF(BK$4=0,0,IF(COUNTIFS(実績!$W$6:$W$505,BK$3,実績!$AI$6:$AI$505,"&lt;="&amp;$A8,実績!$AJ$6:$AJ$505,"&gt;"&amp;$A8,実績!$AK$6:$AK$505,"○")&gt;0,1,0))</f>
        <v>0</v>
      </c>
      <c r="BL8" s="39" t="n">
        <f aca="false">IF(BL$4=0,0,IF(COUNTIFS(実績!$W$6:$W$505,BL$3,実績!$AI$6:$AI$505,"&lt;="&amp;$A8,実績!$AJ$6:$AJ$505,"&gt;"&amp;$A8,実績!$AK$6:$AK$505,"○")&gt;0,1,0))</f>
        <v>0</v>
      </c>
      <c r="BM8" s="39" t="n">
        <f aca="false">IF(BM$4=0,0,IF(COUNTIFS(実績!$W$6:$W$505,BM$3,実績!$AI$6:$AI$505,"&lt;="&amp;$A8,実績!$AJ$6:$AJ$505,"&gt;"&amp;$A8,実績!$AK$6:$AK$505,"○")&gt;0,1,0))</f>
        <v>0</v>
      </c>
      <c r="BN8" s="39" t="n">
        <f aca="false">IF(BN$4=0,0,IF(COUNTIFS(実績!$W$6:$W$505,BN$3,実績!$AI$6:$AI$505,"&lt;="&amp;$A8,実績!$AJ$6:$AJ$505,"&gt;"&amp;$A8,実績!$AK$6:$AK$505,"○")&gt;0,1,0))</f>
        <v>0</v>
      </c>
      <c r="BO8" s="39" t="n">
        <f aca="false">IF(BO$4=0,0,IF(COUNTIFS(実績!$W$6:$W$505,BO$3,実績!$AI$6:$AI$505,"&lt;="&amp;$A8,実績!$AJ$6:$AJ$505,"&gt;"&amp;$A8,実績!$AK$6:$AK$505,"○")&gt;0,1,0))</f>
        <v>0</v>
      </c>
      <c r="BP8" s="39" t="n">
        <f aca="false">IF(BP$4=0,0,IF(COUNTIFS(実績!$W$6:$W$505,BP$3,実績!$AI$6:$AI$505,"&lt;="&amp;$A8,実績!$AJ$6:$AJ$505,"&gt;"&amp;$A8,実績!$AK$6:$AK$505,"○")&gt;0,1,0))</f>
        <v>0</v>
      </c>
      <c r="BQ8" s="39" t="n">
        <f aca="false">IF(BQ$4=0,0,IF(COUNTIFS(実績!$W$6:$W$505,BQ$3,実績!$AI$6:$AI$505,"&lt;="&amp;$A8,実績!$AJ$6:$AJ$505,"&gt;"&amp;$A8,実績!$AK$6:$AK$505,"○")&gt;0,1,0))</f>
        <v>0</v>
      </c>
      <c r="BR8" s="39" t="n">
        <f aca="false">IF(BR$4=0,0,IF(COUNTIFS(実績!$W$6:$W$505,BR$3,実績!$AI$6:$AI$505,"&lt;="&amp;$A8,実績!$AJ$6:$AJ$505,"&gt;"&amp;$A8,実績!$AK$6:$AK$505,"○")&gt;0,1,0))</f>
        <v>0</v>
      </c>
      <c r="BS8" s="39" t="n">
        <f aca="false">IF(BS$4=0,0,IF(COUNTIFS(実績!$W$6:$W$505,BS$3,実績!$AI$6:$AI$505,"&lt;="&amp;$A8,実績!$AJ$6:$AJ$505,"&gt;"&amp;$A8,実績!$AK$6:$AK$505,"○")&gt;0,1,0))</f>
        <v>0</v>
      </c>
      <c r="BT8" s="39" t="n">
        <f aca="false">IF(BT$4=0,0,IF(COUNTIFS(実績!$W$6:$W$505,BT$3,実績!$AI$6:$AI$505,"&lt;="&amp;$A8,実績!$AJ$6:$AJ$505,"&gt;"&amp;$A8,実績!$AK$6:$AK$505,"○")&gt;0,1,0))</f>
        <v>0</v>
      </c>
      <c r="BU8" s="39" t="n">
        <f aca="false">IF(BU$4=0,0,IF(COUNTIFS(実績!$W$6:$W$505,BU$3,実績!$AI$6:$AI$505,"&lt;="&amp;$A8,実績!$AJ$6:$AJ$505,"&gt;"&amp;$A8,実績!$AK$6:$AK$505,"○")&gt;0,1,0))</f>
        <v>0</v>
      </c>
      <c r="BV8" s="39" t="n">
        <f aca="false">IF(BV$4=0,0,IF(COUNTIFS(実績!$W$6:$W$505,BV$3,実績!$AI$6:$AI$505,"&lt;="&amp;$A8,実績!$AJ$6:$AJ$505,"&gt;"&amp;$A8,実績!$AK$6:$AK$505,"○")&gt;0,1,0))</f>
        <v>0</v>
      </c>
      <c r="BW8" s="39" t="n">
        <f aca="false">IF(BW$4=0,0,IF(COUNTIFS(実績!$W$6:$W$505,BW$3,実績!$AI$6:$AI$505,"&lt;="&amp;$A8,実績!$AJ$6:$AJ$505,"&gt;"&amp;$A8,実績!$AK$6:$AK$505,"○")&gt;0,1,0))</f>
        <v>0</v>
      </c>
      <c r="BX8" s="39" t="n">
        <f aca="false">IF(BX$4=0,0,IF(COUNTIFS(実績!$W$6:$W$505,BX$3,実績!$AI$6:$AI$505,"&lt;="&amp;$A8,実績!$AJ$6:$AJ$505,"&gt;"&amp;$A8,実績!$AK$6:$AK$505,"○")&gt;0,1,0))</f>
        <v>0</v>
      </c>
      <c r="BY8" s="39" t="n">
        <f aca="false">IF(BY$4=0,0,IF(COUNTIFS(実績!$W$6:$W$505,BY$3,実績!$AI$6:$AI$505,"&lt;="&amp;$A8,実績!$AJ$6:$AJ$505,"&gt;"&amp;$A8,実績!$AK$6:$AK$505,"○")&gt;0,1,0))</f>
        <v>0</v>
      </c>
      <c r="BZ8" s="39" t="n">
        <f aca="false">IF(BZ$4=0,0,IF(COUNTIFS(実績!$W$6:$W$505,BZ$3,実績!$AI$6:$AI$505,"&lt;="&amp;$A8,実績!$AJ$6:$AJ$505,"&gt;"&amp;$A8,実績!$AK$6:$AK$505,"○")&gt;0,1,0))</f>
        <v>0</v>
      </c>
      <c r="CA8" s="39" t="n">
        <f aca="false">IF(CA$4=0,0,IF(COUNTIFS(実績!$W$6:$W$505,CA$3,実績!$AI$6:$AI$505,"&lt;="&amp;$A8,実績!$AJ$6:$AJ$505,"&gt;"&amp;$A8,実績!$AK$6:$AK$505,"○")&gt;0,1,0))</f>
        <v>0</v>
      </c>
      <c r="CB8" s="39" t="n">
        <f aca="false">IF(CB$4=0,0,IF(COUNTIFS(実績!$W$6:$W$505,CB$3,実績!$AI$6:$AI$505,"&lt;="&amp;$A8,実績!$AJ$6:$AJ$505,"&gt;"&amp;$A8,実績!$AK$6:$AK$505,"○")&gt;0,1,0))</f>
        <v>0</v>
      </c>
      <c r="CC8" s="39" t="n">
        <f aca="false">IF(CC$4=0,0,IF(COUNTIFS(実績!$W$6:$W$505,CC$3,実績!$AI$6:$AI$505,"&lt;="&amp;$A8,実績!$AJ$6:$AJ$505,"&gt;"&amp;$A8,実績!$AK$6:$AK$505,"○")&gt;0,1,0))</f>
        <v>0</v>
      </c>
      <c r="CD8" s="39" t="n">
        <f aca="false">IF(CD$4=0,0,IF(COUNTIFS(実績!$W$6:$W$505,CD$3,実績!$AI$6:$AI$505,"&lt;="&amp;$A8,実績!$AJ$6:$AJ$505,"&gt;"&amp;$A8,実績!$AK$6:$AK$505,"○")&gt;0,1,0))</f>
        <v>0</v>
      </c>
      <c r="CE8" s="39" t="n">
        <f aca="false">IF(CE$4=0,0,IF(COUNTIFS(実績!$W$6:$W$505,CE$3,実績!$AI$6:$AI$505,"&lt;="&amp;$A8,実績!$AJ$6:$AJ$505,"&gt;"&amp;$A8,実績!$AK$6:$AK$505,"○")&gt;0,1,0))</f>
        <v>0</v>
      </c>
      <c r="CF8" s="39" t="n">
        <f aca="false">IF(CF$4=0,0,IF(COUNTIFS(実績!$W$6:$W$505,CF$3,実績!$AI$6:$AI$505,"&lt;="&amp;$A8,実績!$AJ$6:$AJ$505,"&gt;"&amp;$A8,実績!$AK$6:$AK$505,"○")&gt;0,1,0))</f>
        <v>0</v>
      </c>
      <c r="CG8" s="39" t="n">
        <f aca="false">IF(CG$4=0,0,IF(COUNTIFS(実績!$W$6:$W$505,CG$3,実績!$AI$6:$AI$505,"&lt;="&amp;$A8,実績!$AJ$6:$AJ$505,"&gt;"&amp;$A8,実績!$AK$6:$AK$505,"○")&gt;0,1,0))</f>
        <v>0</v>
      </c>
      <c r="CH8" s="39" t="n">
        <f aca="false">IF(CH$4=0,0,IF(COUNTIFS(実績!$W$6:$W$505,CH$3,実績!$AI$6:$AI$505,"&lt;="&amp;$A8,実績!$AJ$6:$AJ$505,"&gt;"&amp;$A8,実績!$AK$6:$AK$505,"○")&gt;0,1,0))</f>
        <v>0</v>
      </c>
      <c r="CI8" s="39" t="n">
        <f aca="false">IF(CI$4=0,0,IF(COUNTIFS(実績!$W$6:$W$505,CI$3,実績!$AI$6:$AI$505,"&lt;="&amp;$A8,実績!$AJ$6:$AJ$505,"&gt;"&amp;$A8,実績!$AK$6:$AK$505,"○")&gt;0,1,0))</f>
        <v>0</v>
      </c>
      <c r="CJ8" s="39" t="n">
        <f aca="false">IF(CJ$4=0,0,IF(COUNTIFS(実績!$W$6:$W$505,CJ$3,実績!$AI$6:$AI$505,"&lt;="&amp;$A8,実績!$AJ$6:$AJ$505,"&gt;"&amp;$A8,実績!$AK$6:$AK$505,"○")&gt;0,1,0))</f>
        <v>0</v>
      </c>
      <c r="CK8" s="39" t="n">
        <f aca="false">IF(CK$4=0,0,IF(COUNTIFS(実績!$W$6:$W$505,CK$3,実績!$AI$6:$AI$505,"&lt;="&amp;$A8,実績!$AJ$6:$AJ$505,"&gt;"&amp;$A8,実績!$AK$6:$AK$505,"○")&gt;0,1,0))</f>
        <v>0</v>
      </c>
      <c r="CL8" s="39" t="n">
        <f aca="false">IF(CL$4=0,0,IF(COUNTIFS(実績!$W$6:$W$505,CL$3,実績!$AI$6:$AI$505,"&lt;="&amp;$A8,実績!$AJ$6:$AJ$505,"&gt;"&amp;$A8,実績!$AK$6:$AK$505,"○")&gt;0,1,0))</f>
        <v>0</v>
      </c>
      <c r="CM8" s="39" t="n">
        <f aca="false">IF(CM$4=0,0,IF(COUNTIFS(実績!$W$6:$W$505,CM$3,実績!$AI$6:$AI$505,"&lt;="&amp;$A8,実績!$AJ$6:$AJ$505,"&gt;"&amp;$A8,実績!$AK$6:$AK$505,"○")&gt;0,1,0))</f>
        <v>0</v>
      </c>
      <c r="CN8" s="39" t="n">
        <f aca="false">IF(CN$4=0,0,IF(COUNTIFS(実績!$W$6:$W$505,CN$3,実績!$AI$6:$AI$505,"&lt;="&amp;$A8,実績!$AJ$6:$AJ$505,"&gt;"&amp;$A8,実績!$AK$6:$AK$505,"○")&gt;0,1,0))</f>
        <v>0</v>
      </c>
      <c r="CO8" s="39" t="n">
        <f aca="false">IF(CO$4=0,0,IF(COUNTIFS(実績!$W$6:$W$505,CO$3,実績!$AI$6:$AI$505,"&lt;="&amp;$A8,実績!$AJ$6:$AJ$505,"&gt;"&amp;$A8,実績!$AK$6:$AK$505,"○")&gt;0,1,0))</f>
        <v>0</v>
      </c>
      <c r="CP8" s="39" t="n">
        <f aca="false">IF(CP$4=0,0,IF(COUNTIFS(実績!$W$6:$W$505,CP$3,実績!$AI$6:$AI$505,"&lt;="&amp;$A8,実績!$AJ$6:$AJ$505,"&gt;"&amp;$A8,実績!$AK$6:$AK$505,"○")&gt;0,1,0))</f>
        <v>0</v>
      </c>
      <c r="CQ8" s="39" t="n">
        <f aca="false">IF(CQ$4=0,0,IF(COUNTIFS(実績!$W$6:$W$505,CQ$3,実績!$AI$6:$AI$505,"&lt;="&amp;$A8,実績!$AJ$6:$AJ$505,"&gt;"&amp;$A8,実績!$AK$6:$AK$505,"○")&gt;0,1,0))</f>
        <v>0</v>
      </c>
      <c r="CR8" s="39" t="n">
        <f aca="false">IF(CR$4=0,0,IF(COUNTIFS(実績!$W$6:$W$505,CR$3,実績!$AI$6:$AI$505,"&lt;="&amp;$A8,実績!$AJ$6:$AJ$505,"&gt;"&amp;$A8,実績!$AK$6:$AK$505,"○")&gt;0,1,0))</f>
        <v>0</v>
      </c>
      <c r="CS8" s="39" t="n">
        <f aca="false">IF(CS$4=0,0,IF(COUNTIFS(実績!$W$6:$W$505,CS$3,実績!$AI$6:$AI$505,"&lt;="&amp;$A8,実績!$AJ$6:$AJ$505,"&gt;"&amp;$A8,実績!$AK$6:$AK$505,"○")&gt;0,1,0))</f>
        <v>0</v>
      </c>
      <c r="CT8" s="39" t="n">
        <f aca="false">IF(CT$4=0,0,IF(COUNTIFS(実績!$W$6:$W$505,CT$3,実績!$AI$6:$AI$505,"&lt;="&amp;$A8,実績!$AJ$6:$AJ$505,"&gt;"&amp;$A8,実績!$AK$6:$AK$505,"○")&gt;0,1,0))</f>
        <v>0</v>
      </c>
      <c r="CU8" s="39" t="n">
        <f aca="false">IF(CU$4=0,0,IF(COUNTIFS(実績!$W$6:$W$505,CU$3,実績!$AI$6:$AI$505,"&lt;="&amp;$A8,実績!$AJ$6:$AJ$505,"&gt;"&amp;$A8,実績!$AK$6:$AK$505,"○")&gt;0,1,0))</f>
        <v>0</v>
      </c>
      <c r="CV8" s="39" t="n">
        <f aca="false">IF(CV$4=0,0,IF(COUNTIFS(実績!$W$6:$W$505,CV$3,実績!$AI$6:$AI$505,"&lt;="&amp;$A8,実績!$AJ$6:$AJ$505,"&gt;"&amp;$A8,実績!$AK$6:$AK$505,"○")&gt;0,1,0))</f>
        <v>0</v>
      </c>
      <c r="CW8" s="39" t="n">
        <f aca="false">IF(CW$4=0,0,IF(COUNTIFS(実績!$W$6:$W$505,CW$3,実績!$AI$6:$AI$505,"&lt;="&amp;$A8,実績!$AJ$6:$AJ$505,"&gt;"&amp;$A8,実績!$AK$6:$AK$505,"○")&gt;0,1,0))</f>
        <v>0</v>
      </c>
      <c r="CX8" s="39" t="n">
        <f aca="false">IF(CX$4=0,0,IF(COUNTIFS(実績!$W$6:$W$505,CX$3,実績!$AI$6:$AI$505,"&lt;="&amp;$A8,実績!$AJ$6:$AJ$505,"&gt;"&amp;$A8,実績!$AK$6:$AK$505,"○")&gt;0,1,0))</f>
        <v>0</v>
      </c>
      <c r="CY8" s="39" t="n">
        <f aca="false">IF(CY$4=0,0,IF(COUNTIFS(実績!$W$6:$W$505,CY$3,実績!$AI$6:$AI$505,"&lt;="&amp;$A8,実績!$AJ$6:$AJ$505,"&gt;"&amp;$A8,実績!$AK$6:$AK$505,"○")&gt;0,1,0))</f>
        <v>0</v>
      </c>
      <c r="CZ8" s="39" t="n">
        <f aca="false">IF(CZ$4=0,0,IF(COUNTIFS(実績!$W$6:$W$505,CZ$3,実績!$AI$6:$AI$505,"&lt;="&amp;$A8,実績!$AJ$6:$AJ$505,"&gt;"&amp;$A8,実績!$AK$6:$AK$505,"○")&gt;0,1,0))</f>
        <v>0</v>
      </c>
      <c r="DA8" s="39" t="n">
        <f aca="false">IF(DA$4=0,0,IF(COUNTIFS(実績!$W$6:$W$505,DA$3,実績!$AI$6:$AI$505,"&lt;="&amp;$A8,実績!$AJ$6:$AJ$505,"&gt;"&amp;$A8,実績!$AK$6:$AK$505,"○")&gt;0,1,0))</f>
        <v>0</v>
      </c>
      <c r="DB8" s="39" t="n">
        <f aca="false">IF(DB$4=0,0,IF(COUNTIFS(実績!$W$6:$W$505,DB$3,実績!$AI$6:$AI$505,"&lt;="&amp;$A8,実績!$AJ$6:$AJ$505,"&gt;"&amp;$A8,実績!$AK$6:$AK$505,"○")&gt;0,1,0))</f>
        <v>0</v>
      </c>
      <c r="DC8" s="39" t="n">
        <f aca="false">IF(DC$4=0,0,IF(COUNTIFS(実績!$W$6:$W$505,DC$3,実績!$AI$6:$AI$505,"&lt;="&amp;$A8,実績!$AJ$6:$AJ$505,"&gt;"&amp;$A8,実績!$AK$6:$AK$505,"○")&gt;0,1,0))</f>
        <v>0</v>
      </c>
      <c r="DD8" s="39" t="n">
        <f aca="false">IF(DD$4=0,0,IF(COUNTIFS(実績!$W$6:$W$505,DD$3,実績!$AI$6:$AI$505,"&lt;="&amp;$A8,実績!$AJ$6:$AJ$505,"&gt;"&amp;$A8,実績!$AK$6:$AK$505,"○")&gt;0,1,0))</f>
        <v>0</v>
      </c>
      <c r="DE8" s="39" t="n">
        <f aca="false">IF(DE$4=0,0,IF(COUNTIFS(実績!$W$6:$W$505,DE$3,実績!$AI$6:$AI$505,"&lt;="&amp;$A8,実績!$AJ$6:$AJ$505,"&gt;"&amp;$A8,実績!$AK$6:$AK$505,"○")&gt;0,1,0))</f>
        <v>0</v>
      </c>
      <c r="DF8" s="39" t="n">
        <f aca="false">IF(DF$4=0,0,IF(COUNTIFS(実績!$W$6:$W$505,DF$3,実績!$AI$6:$AI$505,"&lt;="&amp;$A8,実績!$AJ$6:$AJ$505,"&gt;"&amp;$A8,実績!$AK$6:$AK$505,"○")&gt;0,1,0))</f>
        <v>0</v>
      </c>
      <c r="DG8" s="39" t="n">
        <f aca="false">IF(DG$4=0,0,IF(COUNTIFS(実績!$W$6:$W$505,DG$3,実績!$AI$6:$AI$505,"&lt;="&amp;$A8,実績!$AJ$6:$AJ$505,"&gt;"&amp;$A8,実績!$AK$6:$AK$505,"○")&gt;0,1,0))</f>
        <v>0</v>
      </c>
      <c r="DH8" s="39" t="n">
        <f aca="false">IF(DH$4=0,0,IF(COUNTIFS(実績!$W$6:$W$505,DH$3,実績!$AI$6:$AI$505,"&lt;="&amp;$A8,実績!$AJ$6:$AJ$505,"&gt;"&amp;$A8,実績!$AK$6:$AK$505,"○")&gt;0,1,0))</f>
        <v>0</v>
      </c>
      <c r="DI8" s="39" t="n">
        <f aca="false">IF(DI$4=0,0,IF(COUNTIFS(実績!$W$6:$W$505,DI$3,実績!$AI$6:$AI$505,"&lt;="&amp;$A8,実績!$AJ$6:$AJ$505,"&gt;"&amp;$A8,実績!$AK$6:$AK$505,"○")&gt;0,1,0))</f>
        <v>0</v>
      </c>
      <c r="DJ8" s="39" t="n">
        <f aca="false">IF(DJ$4=0,0,IF(COUNTIFS(実績!$W$6:$W$505,DJ$3,実績!$AI$6:$AI$505,"&lt;="&amp;$A8,実績!$AJ$6:$AJ$505,"&gt;"&amp;$A8,実績!$AK$6:$AK$505,"○")&gt;0,1,0))</f>
        <v>0</v>
      </c>
      <c r="DK8" s="39" t="n">
        <f aca="false">IF(DK$4=0,0,IF(COUNTIFS(実績!$W$6:$W$505,DK$3,実績!$AI$6:$AI$505,"&lt;="&amp;$A8,実績!$AJ$6:$AJ$505,"&gt;"&amp;$A8,実績!$AK$6:$AK$505,"○")&gt;0,1,0))</f>
        <v>0</v>
      </c>
      <c r="DL8" s="39" t="n">
        <f aca="false">IF(DL$4=0,0,IF(COUNTIFS(実績!$W$6:$W$505,DL$3,実績!$AI$6:$AI$505,"&lt;="&amp;$A8,実績!$AJ$6:$AJ$505,"&gt;"&amp;$A8,実績!$AK$6:$AK$505,"○")&gt;0,1,0))</f>
        <v>0</v>
      </c>
      <c r="DM8" s="39" t="n">
        <f aca="false">IF(DM$4=0,0,IF(COUNTIFS(実績!$W$6:$W$505,DM$3,実績!$AI$6:$AI$505,"&lt;="&amp;$A8,実績!$AJ$6:$AJ$505,"&gt;"&amp;$A8,実績!$AK$6:$AK$505,"○")&gt;0,1,0))</f>
        <v>0</v>
      </c>
      <c r="DN8" s="39" t="n">
        <f aca="false">IF(DN$4=0,0,IF(COUNTIFS(実績!$W$6:$W$505,DN$3,実績!$AI$6:$AI$505,"&lt;="&amp;$A8,実績!$AJ$6:$AJ$505,"&gt;"&amp;$A8,実績!$AK$6:$AK$505,"○")&gt;0,1,0))</f>
        <v>0</v>
      </c>
      <c r="DO8" s="39" t="n">
        <f aca="false">IF(DO$4=0,0,IF(COUNTIFS(実績!$W$6:$W$505,DO$3,実績!$AI$6:$AI$505,"&lt;="&amp;$A8,実績!$AJ$6:$AJ$505,"&gt;"&amp;$A8,実績!$AK$6:$AK$505,"○")&gt;0,1,0))</f>
        <v>0</v>
      </c>
      <c r="DP8" s="39" t="n">
        <f aca="false">IF(DP$4=0,0,IF(COUNTIFS(実績!$W$6:$W$505,DP$3,実績!$AI$6:$AI$505,"&lt;="&amp;$A8,実績!$AJ$6:$AJ$505,"&gt;"&amp;$A8,実績!$AK$6:$AK$505,"○")&gt;0,1,0))</f>
        <v>0</v>
      </c>
      <c r="DQ8" s="39" t="n">
        <f aca="false">IF(DQ$4=0,0,IF(COUNTIFS(実績!$W$6:$W$505,DQ$3,実績!$AI$6:$AI$505,"&lt;="&amp;$A8,実績!$AJ$6:$AJ$505,"&gt;"&amp;$A8,実績!$AK$6:$AK$505,"○")&gt;0,1,0))</f>
        <v>0</v>
      </c>
      <c r="DR8" s="39" t="n">
        <f aca="false">IF(DR$4=0,0,IF(COUNTIFS(実績!$W$6:$W$505,DR$3,実績!$AI$6:$AI$505,"&lt;="&amp;$A8,実績!$AJ$6:$AJ$505,"&gt;"&amp;$A8,実績!$AK$6:$AK$505,"○")&gt;0,1,0))</f>
        <v>0</v>
      </c>
      <c r="DS8" s="39" t="n">
        <f aca="false">SUM(C8:DR8)</f>
        <v>0</v>
      </c>
      <c r="DT8" s="39" t="n">
        <f aca="false">SUMPRODUCT((実績!$C$6:$C$505="○")*ISNUMBER(実績!$AM$6:$AM$505)*(実績!$AM$6:$AM$505&lt;=$A8)*(実績!$AN$6:$AN$505&gt;$A8))</f>
        <v>0</v>
      </c>
      <c r="DU8" s="39" t="n">
        <f aca="false">SUMIF($C$2:$DR$2,"製鉄曳船",C8:DR8)</f>
        <v>0</v>
      </c>
      <c r="DV8" s="39" t="n">
        <f aca="false">SUMIF($C$2:$DR$2,"西日本海運",C8:DR8)</f>
        <v>0</v>
      </c>
    </row>
    <row r="9" customFormat="false" ht="15" hidden="false" customHeight="false" outlineLevel="0" collapsed="false">
      <c r="A9" s="0" t="n">
        <v>15</v>
      </c>
      <c r="B9" s="38" t="n">
        <f aca="false">A9/1440</f>
        <v>0.0104166666666667</v>
      </c>
      <c r="C9" s="39" t="n">
        <f aca="false">IF(C$4=0,0,IF(COUNTIFS(実績!$W$6:$W$505,C$3,実績!$AI$6:$AI$505,"&lt;="&amp;$A9,実績!$AJ$6:$AJ$505,"&gt;"&amp;$A9,実績!$AK$6:$AK$505,"○")&gt;0,1,0))</f>
        <v>0</v>
      </c>
      <c r="D9" s="39" t="n">
        <f aca="false">IF(D$4=0,0,IF(COUNTIFS(実績!$W$6:$W$505,D$3,実績!$AI$6:$AI$505,"&lt;="&amp;$A9,実績!$AJ$6:$AJ$505,"&gt;"&amp;$A9,実績!$AK$6:$AK$505,"○")&gt;0,1,0))</f>
        <v>0</v>
      </c>
      <c r="E9" s="39" t="n">
        <f aca="false">IF(E$4=0,0,IF(COUNTIFS(実績!$W$6:$W$505,E$3,実績!$AI$6:$AI$505,"&lt;="&amp;$A9,実績!$AJ$6:$AJ$505,"&gt;"&amp;$A9,実績!$AK$6:$AK$505,"○")&gt;0,1,0))</f>
        <v>0</v>
      </c>
      <c r="F9" s="39" t="n">
        <f aca="false">IF(F$4=0,0,IF(COUNTIFS(実績!$W$6:$W$505,F$3,実績!$AI$6:$AI$505,"&lt;="&amp;$A9,実績!$AJ$6:$AJ$505,"&gt;"&amp;$A9,実績!$AK$6:$AK$505,"○")&gt;0,1,0))</f>
        <v>0</v>
      </c>
      <c r="G9" s="39" t="n">
        <f aca="false">IF(G$4=0,0,IF(COUNTIFS(実績!$W$6:$W$505,G$3,実績!$AI$6:$AI$505,"&lt;="&amp;$A9,実績!$AJ$6:$AJ$505,"&gt;"&amp;$A9,実績!$AK$6:$AK$505,"○")&gt;0,1,0))</f>
        <v>0</v>
      </c>
      <c r="H9" s="39" t="n">
        <f aca="false">IF(H$4=0,0,IF(COUNTIFS(実績!$W$6:$W$505,H$3,実績!$AI$6:$AI$505,"&lt;="&amp;$A9,実績!$AJ$6:$AJ$505,"&gt;"&amp;$A9,実績!$AK$6:$AK$505,"○")&gt;0,1,0))</f>
        <v>0</v>
      </c>
      <c r="I9" s="39" t="n">
        <f aca="false">IF(I$4=0,0,IF(COUNTIFS(実績!$W$6:$W$505,I$3,実績!$AI$6:$AI$505,"&lt;="&amp;$A9,実績!$AJ$6:$AJ$505,"&gt;"&amp;$A9,実績!$AK$6:$AK$505,"○")&gt;0,1,0))</f>
        <v>0</v>
      </c>
      <c r="J9" s="39" t="n">
        <f aca="false">IF(J$4=0,0,IF(COUNTIFS(実績!$W$6:$W$505,J$3,実績!$AI$6:$AI$505,"&lt;="&amp;$A9,実績!$AJ$6:$AJ$505,"&gt;"&amp;$A9,実績!$AK$6:$AK$505,"○")&gt;0,1,0))</f>
        <v>0</v>
      </c>
      <c r="K9" s="39" t="n">
        <f aca="false">IF(K$4=0,0,IF(COUNTIFS(実績!$W$6:$W$505,K$3,実績!$AI$6:$AI$505,"&lt;="&amp;$A9,実績!$AJ$6:$AJ$505,"&gt;"&amp;$A9,実績!$AK$6:$AK$505,"○")&gt;0,1,0))</f>
        <v>0</v>
      </c>
      <c r="L9" s="39" t="n">
        <f aca="false">IF(L$4=0,0,IF(COUNTIFS(実績!$W$6:$W$505,L$3,実績!$AI$6:$AI$505,"&lt;="&amp;$A9,実績!$AJ$6:$AJ$505,"&gt;"&amp;$A9,実績!$AK$6:$AK$505,"○")&gt;0,1,0))</f>
        <v>0</v>
      </c>
      <c r="M9" s="39" t="n">
        <f aca="false">IF(M$4=0,0,IF(COUNTIFS(実績!$W$6:$W$505,M$3,実績!$AI$6:$AI$505,"&lt;="&amp;$A9,実績!$AJ$6:$AJ$505,"&gt;"&amp;$A9,実績!$AK$6:$AK$505,"○")&gt;0,1,0))</f>
        <v>0</v>
      </c>
      <c r="N9" s="39" t="n">
        <f aca="false">IF(N$4=0,0,IF(COUNTIFS(実績!$W$6:$W$505,N$3,実績!$AI$6:$AI$505,"&lt;="&amp;$A9,実績!$AJ$6:$AJ$505,"&gt;"&amp;$A9,実績!$AK$6:$AK$505,"○")&gt;0,1,0))</f>
        <v>0</v>
      </c>
      <c r="O9" s="39" t="n">
        <f aca="false">IF(O$4=0,0,IF(COUNTIFS(実績!$W$6:$W$505,O$3,実績!$AI$6:$AI$505,"&lt;="&amp;$A9,実績!$AJ$6:$AJ$505,"&gt;"&amp;$A9,実績!$AK$6:$AK$505,"○")&gt;0,1,0))</f>
        <v>0</v>
      </c>
      <c r="P9" s="39" t="n">
        <f aca="false">IF(P$4=0,0,IF(COUNTIFS(実績!$W$6:$W$505,P$3,実績!$AI$6:$AI$505,"&lt;="&amp;$A9,実績!$AJ$6:$AJ$505,"&gt;"&amp;$A9,実績!$AK$6:$AK$505,"○")&gt;0,1,0))</f>
        <v>0</v>
      </c>
      <c r="Q9" s="39" t="n">
        <f aca="false">IF(Q$4=0,0,IF(COUNTIFS(実績!$W$6:$W$505,Q$3,実績!$AI$6:$AI$505,"&lt;="&amp;$A9,実績!$AJ$6:$AJ$505,"&gt;"&amp;$A9,実績!$AK$6:$AK$505,"○")&gt;0,1,0))</f>
        <v>0</v>
      </c>
      <c r="R9" s="39" t="n">
        <f aca="false">IF(R$4=0,0,IF(COUNTIFS(実績!$W$6:$W$505,R$3,実績!$AI$6:$AI$505,"&lt;="&amp;$A9,実績!$AJ$6:$AJ$505,"&gt;"&amp;$A9,実績!$AK$6:$AK$505,"○")&gt;0,1,0))</f>
        <v>0</v>
      </c>
      <c r="S9" s="39" t="n">
        <f aca="false">IF(S$4=0,0,IF(COUNTIFS(実績!$W$6:$W$505,S$3,実績!$AI$6:$AI$505,"&lt;="&amp;$A9,実績!$AJ$6:$AJ$505,"&gt;"&amp;$A9,実績!$AK$6:$AK$505,"○")&gt;0,1,0))</f>
        <v>0</v>
      </c>
      <c r="T9" s="39" t="n">
        <f aca="false">IF(T$4=0,0,IF(COUNTIFS(実績!$W$6:$W$505,T$3,実績!$AI$6:$AI$505,"&lt;="&amp;$A9,実績!$AJ$6:$AJ$505,"&gt;"&amp;$A9,実績!$AK$6:$AK$505,"○")&gt;0,1,0))</f>
        <v>0</v>
      </c>
      <c r="U9" s="39" t="n">
        <f aca="false">IF(U$4=0,0,IF(COUNTIFS(実績!$W$6:$W$505,U$3,実績!$AI$6:$AI$505,"&lt;="&amp;$A9,実績!$AJ$6:$AJ$505,"&gt;"&amp;$A9,実績!$AK$6:$AK$505,"○")&gt;0,1,0))</f>
        <v>0</v>
      </c>
      <c r="V9" s="39" t="n">
        <f aca="false">IF(V$4=0,0,IF(COUNTIFS(実績!$W$6:$W$505,V$3,実績!$AI$6:$AI$505,"&lt;="&amp;$A9,実績!$AJ$6:$AJ$505,"&gt;"&amp;$A9,実績!$AK$6:$AK$505,"○")&gt;0,1,0))</f>
        <v>0</v>
      </c>
      <c r="W9" s="39" t="n">
        <f aca="false">IF(W$4=0,0,IF(COUNTIFS(実績!$W$6:$W$505,W$3,実績!$AI$6:$AI$505,"&lt;="&amp;$A9,実績!$AJ$6:$AJ$505,"&gt;"&amp;$A9,実績!$AK$6:$AK$505,"○")&gt;0,1,0))</f>
        <v>0</v>
      </c>
      <c r="X9" s="39" t="n">
        <f aca="false">IF(X$4=0,0,IF(COUNTIFS(実績!$W$6:$W$505,X$3,実績!$AI$6:$AI$505,"&lt;="&amp;$A9,実績!$AJ$6:$AJ$505,"&gt;"&amp;$A9,実績!$AK$6:$AK$505,"○")&gt;0,1,0))</f>
        <v>0</v>
      </c>
      <c r="Y9" s="39" t="n">
        <f aca="false">IF(Y$4=0,0,IF(COUNTIFS(実績!$W$6:$W$505,Y$3,実績!$AI$6:$AI$505,"&lt;="&amp;$A9,実績!$AJ$6:$AJ$505,"&gt;"&amp;$A9,実績!$AK$6:$AK$505,"○")&gt;0,1,0))</f>
        <v>0</v>
      </c>
      <c r="Z9" s="39" t="n">
        <f aca="false">IF(Z$4=0,0,IF(COUNTIFS(実績!$W$6:$W$505,Z$3,実績!$AI$6:$AI$505,"&lt;="&amp;$A9,実績!$AJ$6:$AJ$505,"&gt;"&amp;$A9,実績!$AK$6:$AK$505,"○")&gt;0,1,0))</f>
        <v>0</v>
      </c>
      <c r="AA9" s="39" t="n">
        <f aca="false">IF(AA$4=0,0,IF(COUNTIFS(実績!$W$6:$W$505,AA$3,実績!$AI$6:$AI$505,"&lt;="&amp;$A9,実績!$AJ$6:$AJ$505,"&gt;"&amp;$A9,実績!$AK$6:$AK$505,"○")&gt;0,1,0))</f>
        <v>0</v>
      </c>
      <c r="AB9" s="39" t="n">
        <f aca="false">IF(AB$4=0,0,IF(COUNTIFS(実績!$W$6:$W$505,AB$3,実績!$AI$6:$AI$505,"&lt;="&amp;$A9,実績!$AJ$6:$AJ$505,"&gt;"&amp;$A9,実績!$AK$6:$AK$505,"○")&gt;0,1,0))</f>
        <v>0</v>
      </c>
      <c r="AC9" s="39" t="n">
        <f aca="false">IF(AC$4=0,0,IF(COUNTIFS(実績!$W$6:$W$505,AC$3,実績!$AI$6:$AI$505,"&lt;="&amp;$A9,実績!$AJ$6:$AJ$505,"&gt;"&amp;$A9,実績!$AK$6:$AK$505,"○")&gt;0,1,0))</f>
        <v>0</v>
      </c>
      <c r="AD9" s="39" t="n">
        <f aca="false">IF(AD$4=0,0,IF(COUNTIFS(実績!$W$6:$W$505,AD$3,実績!$AI$6:$AI$505,"&lt;="&amp;$A9,実績!$AJ$6:$AJ$505,"&gt;"&amp;$A9,実績!$AK$6:$AK$505,"○")&gt;0,1,0))</f>
        <v>0</v>
      </c>
      <c r="AE9" s="39" t="n">
        <f aca="false">IF(AE$4=0,0,IF(COUNTIFS(実績!$W$6:$W$505,AE$3,実績!$AI$6:$AI$505,"&lt;="&amp;$A9,実績!$AJ$6:$AJ$505,"&gt;"&amp;$A9,実績!$AK$6:$AK$505,"○")&gt;0,1,0))</f>
        <v>0</v>
      </c>
      <c r="AF9" s="39" t="n">
        <f aca="false">IF(AF$4=0,0,IF(COUNTIFS(実績!$W$6:$W$505,AF$3,実績!$AI$6:$AI$505,"&lt;="&amp;$A9,実績!$AJ$6:$AJ$505,"&gt;"&amp;$A9,実績!$AK$6:$AK$505,"○")&gt;0,1,0))</f>
        <v>0</v>
      </c>
      <c r="AG9" s="39" t="n">
        <f aca="false">IF(AG$4=0,0,IF(COUNTIFS(実績!$W$6:$W$505,AG$3,実績!$AI$6:$AI$505,"&lt;="&amp;$A9,実績!$AJ$6:$AJ$505,"&gt;"&amp;$A9,実績!$AK$6:$AK$505,"○")&gt;0,1,0))</f>
        <v>0</v>
      </c>
      <c r="AH9" s="39" t="n">
        <f aca="false">IF(AH$4=0,0,IF(COUNTIFS(実績!$W$6:$W$505,AH$3,実績!$AI$6:$AI$505,"&lt;="&amp;$A9,実績!$AJ$6:$AJ$505,"&gt;"&amp;$A9,実績!$AK$6:$AK$505,"○")&gt;0,1,0))</f>
        <v>0</v>
      </c>
      <c r="AI9" s="39" t="n">
        <f aca="false">IF(AI$4=0,0,IF(COUNTIFS(実績!$W$6:$W$505,AI$3,実績!$AI$6:$AI$505,"&lt;="&amp;$A9,実績!$AJ$6:$AJ$505,"&gt;"&amp;$A9,実績!$AK$6:$AK$505,"○")&gt;0,1,0))</f>
        <v>0</v>
      </c>
      <c r="AJ9" s="39" t="n">
        <f aca="false">IF(AJ$4=0,0,IF(COUNTIFS(実績!$W$6:$W$505,AJ$3,実績!$AI$6:$AI$505,"&lt;="&amp;$A9,実績!$AJ$6:$AJ$505,"&gt;"&amp;$A9,実績!$AK$6:$AK$505,"○")&gt;0,1,0))</f>
        <v>0</v>
      </c>
      <c r="AK9" s="39" t="n">
        <f aca="false">IF(AK$4=0,0,IF(COUNTIFS(実績!$W$6:$W$505,AK$3,実績!$AI$6:$AI$505,"&lt;="&amp;$A9,実績!$AJ$6:$AJ$505,"&gt;"&amp;$A9,実績!$AK$6:$AK$505,"○")&gt;0,1,0))</f>
        <v>0</v>
      </c>
      <c r="AL9" s="39" t="n">
        <f aca="false">IF(AL$4=0,0,IF(COUNTIFS(実績!$W$6:$W$505,AL$3,実績!$AI$6:$AI$505,"&lt;="&amp;$A9,実績!$AJ$6:$AJ$505,"&gt;"&amp;$A9,実績!$AK$6:$AK$505,"○")&gt;0,1,0))</f>
        <v>0</v>
      </c>
      <c r="AM9" s="39" t="n">
        <f aca="false">IF(AM$4=0,0,IF(COUNTIFS(実績!$W$6:$W$505,AM$3,実績!$AI$6:$AI$505,"&lt;="&amp;$A9,実績!$AJ$6:$AJ$505,"&gt;"&amp;$A9,実績!$AK$6:$AK$505,"○")&gt;0,1,0))</f>
        <v>0</v>
      </c>
      <c r="AN9" s="39" t="n">
        <f aca="false">IF(AN$4=0,0,IF(COUNTIFS(実績!$W$6:$W$505,AN$3,実績!$AI$6:$AI$505,"&lt;="&amp;$A9,実績!$AJ$6:$AJ$505,"&gt;"&amp;$A9,実績!$AK$6:$AK$505,"○")&gt;0,1,0))</f>
        <v>0</v>
      </c>
      <c r="AO9" s="39" t="n">
        <f aca="false">IF(AO$4=0,0,IF(COUNTIFS(実績!$W$6:$W$505,AO$3,実績!$AI$6:$AI$505,"&lt;="&amp;$A9,実績!$AJ$6:$AJ$505,"&gt;"&amp;$A9,実績!$AK$6:$AK$505,"○")&gt;0,1,0))</f>
        <v>0</v>
      </c>
      <c r="AP9" s="39" t="n">
        <f aca="false">IF(AP$4=0,0,IF(COUNTIFS(実績!$W$6:$W$505,AP$3,実績!$AI$6:$AI$505,"&lt;="&amp;$A9,実績!$AJ$6:$AJ$505,"&gt;"&amp;$A9,実績!$AK$6:$AK$505,"○")&gt;0,1,0))</f>
        <v>0</v>
      </c>
      <c r="AQ9" s="39" t="n">
        <f aca="false">IF(AQ$4=0,0,IF(COUNTIFS(実績!$W$6:$W$505,AQ$3,実績!$AI$6:$AI$505,"&lt;="&amp;$A9,実績!$AJ$6:$AJ$505,"&gt;"&amp;$A9,実績!$AK$6:$AK$505,"○")&gt;0,1,0))</f>
        <v>0</v>
      </c>
      <c r="AR9" s="39" t="n">
        <f aca="false">IF(AR$4=0,0,IF(COUNTIFS(実績!$W$6:$W$505,AR$3,実績!$AI$6:$AI$505,"&lt;="&amp;$A9,実績!$AJ$6:$AJ$505,"&gt;"&amp;$A9,実績!$AK$6:$AK$505,"○")&gt;0,1,0))</f>
        <v>0</v>
      </c>
      <c r="AS9" s="39" t="n">
        <f aca="false">IF(AS$4=0,0,IF(COUNTIFS(実績!$W$6:$W$505,AS$3,実績!$AI$6:$AI$505,"&lt;="&amp;$A9,実績!$AJ$6:$AJ$505,"&gt;"&amp;$A9,実績!$AK$6:$AK$505,"○")&gt;0,1,0))</f>
        <v>0</v>
      </c>
      <c r="AT9" s="39" t="n">
        <f aca="false">IF(AT$4=0,0,IF(COUNTIFS(実績!$W$6:$W$505,AT$3,実績!$AI$6:$AI$505,"&lt;="&amp;$A9,実績!$AJ$6:$AJ$505,"&gt;"&amp;$A9,実績!$AK$6:$AK$505,"○")&gt;0,1,0))</f>
        <v>0</v>
      </c>
      <c r="AU9" s="39" t="n">
        <f aca="false">IF(AU$4=0,0,IF(COUNTIFS(実績!$W$6:$W$505,AU$3,実績!$AI$6:$AI$505,"&lt;="&amp;$A9,実績!$AJ$6:$AJ$505,"&gt;"&amp;$A9,実績!$AK$6:$AK$505,"○")&gt;0,1,0))</f>
        <v>0</v>
      </c>
      <c r="AV9" s="39" t="n">
        <f aca="false">IF(AV$4=0,0,IF(COUNTIFS(実績!$W$6:$W$505,AV$3,実績!$AI$6:$AI$505,"&lt;="&amp;$A9,実績!$AJ$6:$AJ$505,"&gt;"&amp;$A9,実績!$AK$6:$AK$505,"○")&gt;0,1,0))</f>
        <v>0</v>
      </c>
      <c r="AW9" s="39" t="n">
        <f aca="false">IF(AW$4=0,0,IF(COUNTIFS(実績!$W$6:$W$505,AW$3,実績!$AI$6:$AI$505,"&lt;="&amp;$A9,実績!$AJ$6:$AJ$505,"&gt;"&amp;$A9,実績!$AK$6:$AK$505,"○")&gt;0,1,0))</f>
        <v>0</v>
      </c>
      <c r="AX9" s="39" t="n">
        <f aca="false">IF(AX$4=0,0,IF(COUNTIFS(実績!$W$6:$W$505,AX$3,実績!$AI$6:$AI$505,"&lt;="&amp;$A9,実績!$AJ$6:$AJ$505,"&gt;"&amp;$A9,実績!$AK$6:$AK$505,"○")&gt;0,1,0))</f>
        <v>0</v>
      </c>
      <c r="AY9" s="39" t="n">
        <f aca="false">IF(AY$4=0,0,IF(COUNTIFS(実績!$W$6:$W$505,AY$3,実績!$AI$6:$AI$505,"&lt;="&amp;$A9,実績!$AJ$6:$AJ$505,"&gt;"&amp;$A9,実績!$AK$6:$AK$505,"○")&gt;0,1,0))</f>
        <v>0</v>
      </c>
      <c r="AZ9" s="39" t="n">
        <f aca="false">IF(AZ$4=0,0,IF(COUNTIFS(実績!$W$6:$W$505,AZ$3,実績!$AI$6:$AI$505,"&lt;="&amp;$A9,実績!$AJ$6:$AJ$505,"&gt;"&amp;$A9,実績!$AK$6:$AK$505,"○")&gt;0,1,0))</f>
        <v>0</v>
      </c>
      <c r="BA9" s="39" t="n">
        <f aca="false">IF(BA$4=0,0,IF(COUNTIFS(実績!$W$6:$W$505,BA$3,実績!$AI$6:$AI$505,"&lt;="&amp;$A9,実績!$AJ$6:$AJ$505,"&gt;"&amp;$A9,実績!$AK$6:$AK$505,"○")&gt;0,1,0))</f>
        <v>0</v>
      </c>
      <c r="BB9" s="39" t="n">
        <f aca="false">IF(BB$4=0,0,IF(COUNTIFS(実績!$W$6:$W$505,BB$3,実績!$AI$6:$AI$505,"&lt;="&amp;$A9,実績!$AJ$6:$AJ$505,"&gt;"&amp;$A9,実績!$AK$6:$AK$505,"○")&gt;0,1,0))</f>
        <v>0</v>
      </c>
      <c r="BC9" s="39" t="n">
        <f aca="false">IF(BC$4=0,0,IF(COUNTIFS(実績!$W$6:$W$505,BC$3,実績!$AI$6:$AI$505,"&lt;="&amp;$A9,実績!$AJ$6:$AJ$505,"&gt;"&amp;$A9,実績!$AK$6:$AK$505,"○")&gt;0,1,0))</f>
        <v>0</v>
      </c>
      <c r="BD9" s="39" t="n">
        <f aca="false">IF(BD$4=0,0,IF(COUNTIFS(実績!$W$6:$W$505,BD$3,実績!$AI$6:$AI$505,"&lt;="&amp;$A9,実績!$AJ$6:$AJ$505,"&gt;"&amp;$A9,実績!$AK$6:$AK$505,"○")&gt;0,1,0))</f>
        <v>0</v>
      </c>
      <c r="BE9" s="39" t="n">
        <f aca="false">IF(BE$4=0,0,IF(COUNTIFS(実績!$W$6:$W$505,BE$3,実績!$AI$6:$AI$505,"&lt;="&amp;$A9,実績!$AJ$6:$AJ$505,"&gt;"&amp;$A9,実績!$AK$6:$AK$505,"○")&gt;0,1,0))</f>
        <v>0</v>
      </c>
      <c r="BF9" s="39" t="n">
        <f aca="false">IF(BF$4=0,0,IF(COUNTIFS(実績!$W$6:$W$505,BF$3,実績!$AI$6:$AI$505,"&lt;="&amp;$A9,実績!$AJ$6:$AJ$505,"&gt;"&amp;$A9,実績!$AK$6:$AK$505,"○")&gt;0,1,0))</f>
        <v>0</v>
      </c>
      <c r="BG9" s="39" t="n">
        <f aca="false">IF(BG$4=0,0,IF(COUNTIFS(実績!$W$6:$W$505,BG$3,実績!$AI$6:$AI$505,"&lt;="&amp;$A9,実績!$AJ$6:$AJ$505,"&gt;"&amp;$A9,実績!$AK$6:$AK$505,"○")&gt;0,1,0))</f>
        <v>0</v>
      </c>
      <c r="BH9" s="39" t="n">
        <f aca="false">IF(BH$4=0,0,IF(COUNTIFS(実績!$W$6:$W$505,BH$3,実績!$AI$6:$AI$505,"&lt;="&amp;$A9,実績!$AJ$6:$AJ$505,"&gt;"&amp;$A9,実績!$AK$6:$AK$505,"○")&gt;0,1,0))</f>
        <v>0</v>
      </c>
      <c r="BI9" s="39" t="n">
        <f aca="false">IF(BI$4=0,0,IF(COUNTIFS(実績!$W$6:$W$505,BI$3,実績!$AI$6:$AI$505,"&lt;="&amp;$A9,実績!$AJ$6:$AJ$505,"&gt;"&amp;$A9,実績!$AK$6:$AK$505,"○")&gt;0,1,0))</f>
        <v>0</v>
      </c>
      <c r="BJ9" s="39" t="n">
        <f aca="false">IF(BJ$4=0,0,IF(COUNTIFS(実績!$W$6:$W$505,BJ$3,実績!$AI$6:$AI$505,"&lt;="&amp;$A9,実績!$AJ$6:$AJ$505,"&gt;"&amp;$A9,実績!$AK$6:$AK$505,"○")&gt;0,1,0))</f>
        <v>0</v>
      </c>
      <c r="BK9" s="39" t="n">
        <f aca="false">IF(BK$4=0,0,IF(COUNTIFS(実績!$W$6:$W$505,BK$3,実績!$AI$6:$AI$505,"&lt;="&amp;$A9,実績!$AJ$6:$AJ$505,"&gt;"&amp;$A9,実績!$AK$6:$AK$505,"○")&gt;0,1,0))</f>
        <v>0</v>
      </c>
      <c r="BL9" s="39" t="n">
        <f aca="false">IF(BL$4=0,0,IF(COUNTIFS(実績!$W$6:$W$505,BL$3,実績!$AI$6:$AI$505,"&lt;="&amp;$A9,実績!$AJ$6:$AJ$505,"&gt;"&amp;$A9,実績!$AK$6:$AK$505,"○")&gt;0,1,0))</f>
        <v>0</v>
      </c>
      <c r="BM9" s="39" t="n">
        <f aca="false">IF(BM$4=0,0,IF(COUNTIFS(実績!$W$6:$W$505,BM$3,実績!$AI$6:$AI$505,"&lt;="&amp;$A9,実績!$AJ$6:$AJ$505,"&gt;"&amp;$A9,実績!$AK$6:$AK$505,"○")&gt;0,1,0))</f>
        <v>0</v>
      </c>
      <c r="BN9" s="39" t="n">
        <f aca="false">IF(BN$4=0,0,IF(COUNTIFS(実績!$W$6:$W$505,BN$3,実績!$AI$6:$AI$505,"&lt;="&amp;$A9,実績!$AJ$6:$AJ$505,"&gt;"&amp;$A9,実績!$AK$6:$AK$505,"○")&gt;0,1,0))</f>
        <v>0</v>
      </c>
      <c r="BO9" s="39" t="n">
        <f aca="false">IF(BO$4=0,0,IF(COUNTIFS(実績!$W$6:$W$505,BO$3,実績!$AI$6:$AI$505,"&lt;="&amp;$A9,実績!$AJ$6:$AJ$505,"&gt;"&amp;$A9,実績!$AK$6:$AK$505,"○")&gt;0,1,0))</f>
        <v>0</v>
      </c>
      <c r="BP9" s="39" t="n">
        <f aca="false">IF(BP$4=0,0,IF(COUNTIFS(実績!$W$6:$W$505,BP$3,実績!$AI$6:$AI$505,"&lt;="&amp;$A9,実績!$AJ$6:$AJ$505,"&gt;"&amp;$A9,実績!$AK$6:$AK$505,"○")&gt;0,1,0))</f>
        <v>0</v>
      </c>
      <c r="BQ9" s="39" t="n">
        <f aca="false">IF(BQ$4=0,0,IF(COUNTIFS(実績!$W$6:$W$505,BQ$3,実績!$AI$6:$AI$505,"&lt;="&amp;$A9,実績!$AJ$6:$AJ$505,"&gt;"&amp;$A9,実績!$AK$6:$AK$505,"○")&gt;0,1,0))</f>
        <v>0</v>
      </c>
      <c r="BR9" s="39" t="n">
        <f aca="false">IF(BR$4=0,0,IF(COUNTIFS(実績!$W$6:$W$505,BR$3,実績!$AI$6:$AI$505,"&lt;="&amp;$A9,実績!$AJ$6:$AJ$505,"&gt;"&amp;$A9,実績!$AK$6:$AK$505,"○")&gt;0,1,0))</f>
        <v>0</v>
      </c>
      <c r="BS9" s="39" t="n">
        <f aca="false">IF(BS$4=0,0,IF(COUNTIFS(実績!$W$6:$W$505,BS$3,実績!$AI$6:$AI$505,"&lt;="&amp;$A9,実績!$AJ$6:$AJ$505,"&gt;"&amp;$A9,実績!$AK$6:$AK$505,"○")&gt;0,1,0))</f>
        <v>0</v>
      </c>
      <c r="BT9" s="39" t="n">
        <f aca="false">IF(BT$4=0,0,IF(COUNTIFS(実績!$W$6:$W$505,BT$3,実績!$AI$6:$AI$505,"&lt;="&amp;$A9,実績!$AJ$6:$AJ$505,"&gt;"&amp;$A9,実績!$AK$6:$AK$505,"○")&gt;0,1,0))</f>
        <v>0</v>
      </c>
      <c r="BU9" s="39" t="n">
        <f aca="false">IF(BU$4=0,0,IF(COUNTIFS(実績!$W$6:$W$505,BU$3,実績!$AI$6:$AI$505,"&lt;="&amp;$A9,実績!$AJ$6:$AJ$505,"&gt;"&amp;$A9,実績!$AK$6:$AK$505,"○")&gt;0,1,0))</f>
        <v>0</v>
      </c>
      <c r="BV9" s="39" t="n">
        <f aca="false">IF(BV$4=0,0,IF(COUNTIFS(実績!$W$6:$W$505,BV$3,実績!$AI$6:$AI$505,"&lt;="&amp;$A9,実績!$AJ$6:$AJ$505,"&gt;"&amp;$A9,実績!$AK$6:$AK$505,"○")&gt;0,1,0))</f>
        <v>0</v>
      </c>
      <c r="BW9" s="39" t="n">
        <f aca="false">IF(BW$4=0,0,IF(COUNTIFS(実績!$W$6:$W$505,BW$3,実績!$AI$6:$AI$505,"&lt;="&amp;$A9,実績!$AJ$6:$AJ$505,"&gt;"&amp;$A9,実績!$AK$6:$AK$505,"○")&gt;0,1,0))</f>
        <v>0</v>
      </c>
      <c r="BX9" s="39" t="n">
        <f aca="false">IF(BX$4=0,0,IF(COUNTIFS(実績!$W$6:$W$505,BX$3,実績!$AI$6:$AI$505,"&lt;="&amp;$A9,実績!$AJ$6:$AJ$505,"&gt;"&amp;$A9,実績!$AK$6:$AK$505,"○")&gt;0,1,0))</f>
        <v>0</v>
      </c>
      <c r="BY9" s="39" t="n">
        <f aca="false">IF(BY$4=0,0,IF(COUNTIFS(実績!$W$6:$W$505,BY$3,実績!$AI$6:$AI$505,"&lt;="&amp;$A9,実績!$AJ$6:$AJ$505,"&gt;"&amp;$A9,実績!$AK$6:$AK$505,"○")&gt;0,1,0))</f>
        <v>0</v>
      </c>
      <c r="BZ9" s="39" t="n">
        <f aca="false">IF(BZ$4=0,0,IF(COUNTIFS(実績!$W$6:$W$505,BZ$3,実績!$AI$6:$AI$505,"&lt;="&amp;$A9,実績!$AJ$6:$AJ$505,"&gt;"&amp;$A9,実績!$AK$6:$AK$505,"○")&gt;0,1,0))</f>
        <v>0</v>
      </c>
      <c r="CA9" s="39" t="n">
        <f aca="false">IF(CA$4=0,0,IF(COUNTIFS(実績!$W$6:$W$505,CA$3,実績!$AI$6:$AI$505,"&lt;="&amp;$A9,実績!$AJ$6:$AJ$505,"&gt;"&amp;$A9,実績!$AK$6:$AK$505,"○")&gt;0,1,0))</f>
        <v>0</v>
      </c>
      <c r="CB9" s="39" t="n">
        <f aca="false">IF(CB$4=0,0,IF(COUNTIFS(実績!$W$6:$W$505,CB$3,実績!$AI$6:$AI$505,"&lt;="&amp;$A9,実績!$AJ$6:$AJ$505,"&gt;"&amp;$A9,実績!$AK$6:$AK$505,"○")&gt;0,1,0))</f>
        <v>0</v>
      </c>
      <c r="CC9" s="39" t="n">
        <f aca="false">IF(CC$4=0,0,IF(COUNTIFS(実績!$W$6:$W$505,CC$3,実績!$AI$6:$AI$505,"&lt;="&amp;$A9,実績!$AJ$6:$AJ$505,"&gt;"&amp;$A9,実績!$AK$6:$AK$505,"○")&gt;0,1,0))</f>
        <v>0</v>
      </c>
      <c r="CD9" s="39" t="n">
        <f aca="false">IF(CD$4=0,0,IF(COUNTIFS(実績!$W$6:$W$505,CD$3,実績!$AI$6:$AI$505,"&lt;="&amp;$A9,実績!$AJ$6:$AJ$505,"&gt;"&amp;$A9,実績!$AK$6:$AK$505,"○")&gt;0,1,0))</f>
        <v>0</v>
      </c>
      <c r="CE9" s="39" t="n">
        <f aca="false">IF(CE$4=0,0,IF(COUNTIFS(実績!$W$6:$W$505,CE$3,実績!$AI$6:$AI$505,"&lt;="&amp;$A9,実績!$AJ$6:$AJ$505,"&gt;"&amp;$A9,実績!$AK$6:$AK$505,"○")&gt;0,1,0))</f>
        <v>0</v>
      </c>
      <c r="CF9" s="39" t="n">
        <f aca="false">IF(CF$4=0,0,IF(COUNTIFS(実績!$W$6:$W$505,CF$3,実績!$AI$6:$AI$505,"&lt;="&amp;$A9,実績!$AJ$6:$AJ$505,"&gt;"&amp;$A9,実績!$AK$6:$AK$505,"○")&gt;0,1,0))</f>
        <v>0</v>
      </c>
      <c r="CG9" s="39" t="n">
        <f aca="false">IF(CG$4=0,0,IF(COUNTIFS(実績!$W$6:$W$505,CG$3,実績!$AI$6:$AI$505,"&lt;="&amp;$A9,実績!$AJ$6:$AJ$505,"&gt;"&amp;$A9,実績!$AK$6:$AK$505,"○")&gt;0,1,0))</f>
        <v>0</v>
      </c>
      <c r="CH9" s="39" t="n">
        <f aca="false">IF(CH$4=0,0,IF(COUNTIFS(実績!$W$6:$W$505,CH$3,実績!$AI$6:$AI$505,"&lt;="&amp;$A9,実績!$AJ$6:$AJ$505,"&gt;"&amp;$A9,実績!$AK$6:$AK$505,"○")&gt;0,1,0))</f>
        <v>0</v>
      </c>
      <c r="CI9" s="39" t="n">
        <f aca="false">IF(CI$4=0,0,IF(COUNTIFS(実績!$W$6:$W$505,CI$3,実績!$AI$6:$AI$505,"&lt;="&amp;$A9,実績!$AJ$6:$AJ$505,"&gt;"&amp;$A9,実績!$AK$6:$AK$505,"○")&gt;0,1,0))</f>
        <v>0</v>
      </c>
      <c r="CJ9" s="39" t="n">
        <f aca="false">IF(CJ$4=0,0,IF(COUNTIFS(実績!$W$6:$W$505,CJ$3,実績!$AI$6:$AI$505,"&lt;="&amp;$A9,実績!$AJ$6:$AJ$505,"&gt;"&amp;$A9,実績!$AK$6:$AK$505,"○")&gt;0,1,0))</f>
        <v>0</v>
      </c>
      <c r="CK9" s="39" t="n">
        <f aca="false">IF(CK$4=0,0,IF(COUNTIFS(実績!$W$6:$W$505,CK$3,実績!$AI$6:$AI$505,"&lt;="&amp;$A9,実績!$AJ$6:$AJ$505,"&gt;"&amp;$A9,実績!$AK$6:$AK$505,"○")&gt;0,1,0))</f>
        <v>0</v>
      </c>
      <c r="CL9" s="39" t="n">
        <f aca="false">IF(CL$4=0,0,IF(COUNTIFS(実績!$W$6:$W$505,CL$3,実績!$AI$6:$AI$505,"&lt;="&amp;$A9,実績!$AJ$6:$AJ$505,"&gt;"&amp;$A9,実績!$AK$6:$AK$505,"○")&gt;0,1,0))</f>
        <v>0</v>
      </c>
      <c r="CM9" s="39" t="n">
        <f aca="false">IF(CM$4=0,0,IF(COUNTIFS(実績!$W$6:$W$505,CM$3,実績!$AI$6:$AI$505,"&lt;="&amp;$A9,実績!$AJ$6:$AJ$505,"&gt;"&amp;$A9,実績!$AK$6:$AK$505,"○")&gt;0,1,0))</f>
        <v>0</v>
      </c>
      <c r="CN9" s="39" t="n">
        <f aca="false">IF(CN$4=0,0,IF(COUNTIFS(実績!$W$6:$W$505,CN$3,実績!$AI$6:$AI$505,"&lt;="&amp;$A9,実績!$AJ$6:$AJ$505,"&gt;"&amp;$A9,実績!$AK$6:$AK$505,"○")&gt;0,1,0))</f>
        <v>0</v>
      </c>
      <c r="CO9" s="39" t="n">
        <f aca="false">IF(CO$4=0,0,IF(COUNTIFS(実績!$W$6:$W$505,CO$3,実績!$AI$6:$AI$505,"&lt;="&amp;$A9,実績!$AJ$6:$AJ$505,"&gt;"&amp;$A9,実績!$AK$6:$AK$505,"○")&gt;0,1,0))</f>
        <v>0</v>
      </c>
      <c r="CP9" s="39" t="n">
        <f aca="false">IF(CP$4=0,0,IF(COUNTIFS(実績!$W$6:$W$505,CP$3,実績!$AI$6:$AI$505,"&lt;="&amp;$A9,実績!$AJ$6:$AJ$505,"&gt;"&amp;$A9,実績!$AK$6:$AK$505,"○")&gt;0,1,0))</f>
        <v>0</v>
      </c>
      <c r="CQ9" s="39" t="n">
        <f aca="false">IF(CQ$4=0,0,IF(COUNTIFS(実績!$W$6:$W$505,CQ$3,実績!$AI$6:$AI$505,"&lt;="&amp;$A9,実績!$AJ$6:$AJ$505,"&gt;"&amp;$A9,実績!$AK$6:$AK$505,"○")&gt;0,1,0))</f>
        <v>0</v>
      </c>
      <c r="CR9" s="39" t="n">
        <f aca="false">IF(CR$4=0,0,IF(COUNTIFS(実績!$W$6:$W$505,CR$3,実績!$AI$6:$AI$505,"&lt;="&amp;$A9,実績!$AJ$6:$AJ$505,"&gt;"&amp;$A9,実績!$AK$6:$AK$505,"○")&gt;0,1,0))</f>
        <v>0</v>
      </c>
      <c r="CS9" s="39" t="n">
        <f aca="false">IF(CS$4=0,0,IF(COUNTIFS(実績!$W$6:$W$505,CS$3,実績!$AI$6:$AI$505,"&lt;="&amp;$A9,実績!$AJ$6:$AJ$505,"&gt;"&amp;$A9,実績!$AK$6:$AK$505,"○")&gt;0,1,0))</f>
        <v>0</v>
      </c>
      <c r="CT9" s="39" t="n">
        <f aca="false">IF(CT$4=0,0,IF(COUNTIFS(実績!$W$6:$W$505,CT$3,実績!$AI$6:$AI$505,"&lt;="&amp;$A9,実績!$AJ$6:$AJ$505,"&gt;"&amp;$A9,実績!$AK$6:$AK$505,"○")&gt;0,1,0))</f>
        <v>0</v>
      </c>
      <c r="CU9" s="39" t="n">
        <f aca="false">IF(CU$4=0,0,IF(COUNTIFS(実績!$W$6:$W$505,CU$3,実績!$AI$6:$AI$505,"&lt;="&amp;$A9,実績!$AJ$6:$AJ$505,"&gt;"&amp;$A9,実績!$AK$6:$AK$505,"○")&gt;0,1,0))</f>
        <v>0</v>
      </c>
      <c r="CV9" s="39" t="n">
        <f aca="false">IF(CV$4=0,0,IF(COUNTIFS(実績!$W$6:$W$505,CV$3,実績!$AI$6:$AI$505,"&lt;="&amp;$A9,実績!$AJ$6:$AJ$505,"&gt;"&amp;$A9,実績!$AK$6:$AK$505,"○")&gt;0,1,0))</f>
        <v>0</v>
      </c>
      <c r="CW9" s="39" t="n">
        <f aca="false">IF(CW$4=0,0,IF(COUNTIFS(実績!$W$6:$W$505,CW$3,実績!$AI$6:$AI$505,"&lt;="&amp;$A9,実績!$AJ$6:$AJ$505,"&gt;"&amp;$A9,実績!$AK$6:$AK$505,"○")&gt;0,1,0))</f>
        <v>0</v>
      </c>
      <c r="CX9" s="39" t="n">
        <f aca="false">IF(CX$4=0,0,IF(COUNTIFS(実績!$W$6:$W$505,CX$3,実績!$AI$6:$AI$505,"&lt;="&amp;$A9,実績!$AJ$6:$AJ$505,"&gt;"&amp;$A9,実績!$AK$6:$AK$505,"○")&gt;0,1,0))</f>
        <v>0</v>
      </c>
      <c r="CY9" s="39" t="n">
        <f aca="false">IF(CY$4=0,0,IF(COUNTIFS(実績!$W$6:$W$505,CY$3,実績!$AI$6:$AI$505,"&lt;="&amp;$A9,実績!$AJ$6:$AJ$505,"&gt;"&amp;$A9,実績!$AK$6:$AK$505,"○")&gt;0,1,0))</f>
        <v>0</v>
      </c>
      <c r="CZ9" s="39" t="n">
        <f aca="false">IF(CZ$4=0,0,IF(COUNTIFS(実績!$W$6:$W$505,CZ$3,実績!$AI$6:$AI$505,"&lt;="&amp;$A9,実績!$AJ$6:$AJ$505,"&gt;"&amp;$A9,実績!$AK$6:$AK$505,"○")&gt;0,1,0))</f>
        <v>0</v>
      </c>
      <c r="DA9" s="39" t="n">
        <f aca="false">IF(DA$4=0,0,IF(COUNTIFS(実績!$W$6:$W$505,DA$3,実績!$AI$6:$AI$505,"&lt;="&amp;$A9,実績!$AJ$6:$AJ$505,"&gt;"&amp;$A9,実績!$AK$6:$AK$505,"○")&gt;0,1,0))</f>
        <v>0</v>
      </c>
      <c r="DB9" s="39" t="n">
        <f aca="false">IF(DB$4=0,0,IF(COUNTIFS(実績!$W$6:$W$505,DB$3,実績!$AI$6:$AI$505,"&lt;="&amp;$A9,実績!$AJ$6:$AJ$505,"&gt;"&amp;$A9,実績!$AK$6:$AK$505,"○")&gt;0,1,0))</f>
        <v>0</v>
      </c>
      <c r="DC9" s="39" t="n">
        <f aca="false">IF(DC$4=0,0,IF(COUNTIFS(実績!$W$6:$W$505,DC$3,実績!$AI$6:$AI$505,"&lt;="&amp;$A9,実績!$AJ$6:$AJ$505,"&gt;"&amp;$A9,実績!$AK$6:$AK$505,"○")&gt;0,1,0))</f>
        <v>0</v>
      </c>
      <c r="DD9" s="39" t="n">
        <f aca="false">IF(DD$4=0,0,IF(COUNTIFS(実績!$W$6:$W$505,DD$3,実績!$AI$6:$AI$505,"&lt;="&amp;$A9,実績!$AJ$6:$AJ$505,"&gt;"&amp;$A9,実績!$AK$6:$AK$505,"○")&gt;0,1,0))</f>
        <v>0</v>
      </c>
      <c r="DE9" s="39" t="n">
        <f aca="false">IF(DE$4=0,0,IF(COUNTIFS(実績!$W$6:$W$505,DE$3,実績!$AI$6:$AI$505,"&lt;="&amp;$A9,実績!$AJ$6:$AJ$505,"&gt;"&amp;$A9,実績!$AK$6:$AK$505,"○")&gt;0,1,0))</f>
        <v>0</v>
      </c>
      <c r="DF9" s="39" t="n">
        <f aca="false">IF(DF$4=0,0,IF(COUNTIFS(実績!$W$6:$W$505,DF$3,実績!$AI$6:$AI$505,"&lt;="&amp;$A9,実績!$AJ$6:$AJ$505,"&gt;"&amp;$A9,実績!$AK$6:$AK$505,"○")&gt;0,1,0))</f>
        <v>0</v>
      </c>
      <c r="DG9" s="39" t="n">
        <f aca="false">IF(DG$4=0,0,IF(COUNTIFS(実績!$W$6:$W$505,DG$3,実績!$AI$6:$AI$505,"&lt;="&amp;$A9,実績!$AJ$6:$AJ$505,"&gt;"&amp;$A9,実績!$AK$6:$AK$505,"○")&gt;0,1,0))</f>
        <v>0</v>
      </c>
      <c r="DH9" s="39" t="n">
        <f aca="false">IF(DH$4=0,0,IF(COUNTIFS(実績!$W$6:$W$505,DH$3,実績!$AI$6:$AI$505,"&lt;="&amp;$A9,実績!$AJ$6:$AJ$505,"&gt;"&amp;$A9,実績!$AK$6:$AK$505,"○")&gt;0,1,0))</f>
        <v>0</v>
      </c>
      <c r="DI9" s="39" t="n">
        <f aca="false">IF(DI$4=0,0,IF(COUNTIFS(実績!$W$6:$W$505,DI$3,実績!$AI$6:$AI$505,"&lt;="&amp;$A9,実績!$AJ$6:$AJ$505,"&gt;"&amp;$A9,実績!$AK$6:$AK$505,"○")&gt;0,1,0))</f>
        <v>0</v>
      </c>
      <c r="DJ9" s="39" t="n">
        <f aca="false">IF(DJ$4=0,0,IF(COUNTIFS(実績!$W$6:$W$505,DJ$3,実績!$AI$6:$AI$505,"&lt;="&amp;$A9,実績!$AJ$6:$AJ$505,"&gt;"&amp;$A9,実績!$AK$6:$AK$505,"○")&gt;0,1,0))</f>
        <v>0</v>
      </c>
      <c r="DK9" s="39" t="n">
        <f aca="false">IF(DK$4=0,0,IF(COUNTIFS(実績!$W$6:$W$505,DK$3,実績!$AI$6:$AI$505,"&lt;="&amp;$A9,実績!$AJ$6:$AJ$505,"&gt;"&amp;$A9,実績!$AK$6:$AK$505,"○")&gt;0,1,0))</f>
        <v>0</v>
      </c>
      <c r="DL9" s="39" t="n">
        <f aca="false">IF(DL$4=0,0,IF(COUNTIFS(実績!$W$6:$W$505,DL$3,実績!$AI$6:$AI$505,"&lt;="&amp;$A9,実績!$AJ$6:$AJ$505,"&gt;"&amp;$A9,実績!$AK$6:$AK$505,"○")&gt;0,1,0))</f>
        <v>0</v>
      </c>
      <c r="DM9" s="39" t="n">
        <f aca="false">IF(DM$4=0,0,IF(COUNTIFS(実績!$W$6:$W$505,DM$3,実績!$AI$6:$AI$505,"&lt;="&amp;$A9,実績!$AJ$6:$AJ$505,"&gt;"&amp;$A9,実績!$AK$6:$AK$505,"○")&gt;0,1,0))</f>
        <v>0</v>
      </c>
      <c r="DN9" s="39" t="n">
        <f aca="false">IF(DN$4=0,0,IF(COUNTIFS(実績!$W$6:$W$505,DN$3,実績!$AI$6:$AI$505,"&lt;="&amp;$A9,実績!$AJ$6:$AJ$505,"&gt;"&amp;$A9,実績!$AK$6:$AK$505,"○")&gt;0,1,0))</f>
        <v>0</v>
      </c>
      <c r="DO9" s="39" t="n">
        <f aca="false">IF(DO$4=0,0,IF(COUNTIFS(実績!$W$6:$W$505,DO$3,実績!$AI$6:$AI$505,"&lt;="&amp;$A9,実績!$AJ$6:$AJ$505,"&gt;"&amp;$A9,実績!$AK$6:$AK$505,"○")&gt;0,1,0))</f>
        <v>0</v>
      </c>
      <c r="DP9" s="39" t="n">
        <f aca="false">IF(DP$4=0,0,IF(COUNTIFS(実績!$W$6:$W$505,DP$3,実績!$AI$6:$AI$505,"&lt;="&amp;$A9,実績!$AJ$6:$AJ$505,"&gt;"&amp;$A9,実績!$AK$6:$AK$505,"○")&gt;0,1,0))</f>
        <v>0</v>
      </c>
      <c r="DQ9" s="39" t="n">
        <f aca="false">IF(DQ$4=0,0,IF(COUNTIFS(実績!$W$6:$W$505,DQ$3,実績!$AI$6:$AI$505,"&lt;="&amp;$A9,実績!$AJ$6:$AJ$505,"&gt;"&amp;$A9,実績!$AK$6:$AK$505,"○")&gt;0,1,0))</f>
        <v>0</v>
      </c>
      <c r="DR9" s="39" t="n">
        <f aca="false">IF(DR$4=0,0,IF(COUNTIFS(実績!$W$6:$W$505,DR$3,実績!$AI$6:$AI$505,"&lt;="&amp;$A9,実績!$AJ$6:$AJ$505,"&gt;"&amp;$A9,実績!$AK$6:$AK$505,"○")&gt;0,1,0))</f>
        <v>0</v>
      </c>
      <c r="DS9" s="39" t="n">
        <f aca="false">SUM(C9:DR9)</f>
        <v>0</v>
      </c>
      <c r="DT9" s="39" t="n">
        <f aca="false">SUMPRODUCT((実績!$C$6:$C$505="○")*ISNUMBER(実績!$AM$6:$AM$505)*(実績!$AM$6:$AM$505&lt;=$A9)*(実績!$AN$6:$AN$505&gt;$A9))</f>
        <v>0</v>
      </c>
      <c r="DU9" s="39" t="n">
        <f aca="false">SUMIF($C$2:$DR$2,"製鉄曳船",C9:DR9)</f>
        <v>0</v>
      </c>
      <c r="DV9" s="39" t="n">
        <f aca="false">SUMIF($C$2:$DR$2,"西日本海運",C9:DR9)</f>
        <v>0</v>
      </c>
    </row>
    <row r="10" customFormat="false" ht="15" hidden="false" customHeight="false" outlineLevel="0" collapsed="false">
      <c r="A10" s="0" t="n">
        <v>20</v>
      </c>
      <c r="B10" s="38" t="n">
        <f aca="false">A10/1440</f>
        <v>0.0138888888888889</v>
      </c>
      <c r="C10" s="39" t="n">
        <f aca="false">IF(C$4=0,0,IF(COUNTIFS(実績!$W$6:$W$505,C$3,実績!$AI$6:$AI$505,"&lt;="&amp;$A10,実績!$AJ$6:$AJ$505,"&gt;"&amp;$A10,実績!$AK$6:$AK$505,"○")&gt;0,1,0))</f>
        <v>0</v>
      </c>
      <c r="D10" s="39" t="n">
        <f aca="false">IF(D$4=0,0,IF(COUNTIFS(実績!$W$6:$W$505,D$3,実績!$AI$6:$AI$505,"&lt;="&amp;$A10,実績!$AJ$6:$AJ$505,"&gt;"&amp;$A10,実績!$AK$6:$AK$505,"○")&gt;0,1,0))</f>
        <v>0</v>
      </c>
      <c r="E10" s="39" t="n">
        <f aca="false">IF(E$4=0,0,IF(COUNTIFS(実績!$W$6:$W$505,E$3,実績!$AI$6:$AI$505,"&lt;="&amp;$A10,実績!$AJ$6:$AJ$505,"&gt;"&amp;$A10,実績!$AK$6:$AK$505,"○")&gt;0,1,0))</f>
        <v>0</v>
      </c>
      <c r="F10" s="39" t="n">
        <f aca="false">IF(F$4=0,0,IF(COUNTIFS(実績!$W$6:$W$505,F$3,実績!$AI$6:$AI$505,"&lt;="&amp;$A10,実績!$AJ$6:$AJ$505,"&gt;"&amp;$A10,実績!$AK$6:$AK$505,"○")&gt;0,1,0))</f>
        <v>0</v>
      </c>
      <c r="G10" s="39" t="n">
        <f aca="false">IF(G$4=0,0,IF(COUNTIFS(実績!$W$6:$W$505,G$3,実績!$AI$6:$AI$505,"&lt;="&amp;$A10,実績!$AJ$6:$AJ$505,"&gt;"&amp;$A10,実績!$AK$6:$AK$505,"○")&gt;0,1,0))</f>
        <v>0</v>
      </c>
      <c r="H10" s="39" t="n">
        <f aca="false">IF(H$4=0,0,IF(COUNTIFS(実績!$W$6:$W$505,H$3,実績!$AI$6:$AI$505,"&lt;="&amp;$A10,実績!$AJ$6:$AJ$505,"&gt;"&amp;$A10,実績!$AK$6:$AK$505,"○")&gt;0,1,0))</f>
        <v>0</v>
      </c>
      <c r="I10" s="39" t="n">
        <f aca="false">IF(I$4=0,0,IF(COUNTIFS(実績!$W$6:$W$505,I$3,実績!$AI$6:$AI$505,"&lt;="&amp;$A10,実績!$AJ$6:$AJ$505,"&gt;"&amp;$A10,実績!$AK$6:$AK$505,"○")&gt;0,1,0))</f>
        <v>0</v>
      </c>
      <c r="J10" s="39" t="n">
        <f aca="false">IF(J$4=0,0,IF(COUNTIFS(実績!$W$6:$W$505,J$3,実績!$AI$6:$AI$505,"&lt;="&amp;$A10,実績!$AJ$6:$AJ$505,"&gt;"&amp;$A10,実績!$AK$6:$AK$505,"○")&gt;0,1,0))</f>
        <v>0</v>
      </c>
      <c r="K10" s="39" t="n">
        <f aca="false">IF(K$4=0,0,IF(COUNTIFS(実績!$W$6:$W$505,K$3,実績!$AI$6:$AI$505,"&lt;="&amp;$A10,実績!$AJ$6:$AJ$505,"&gt;"&amp;$A10,実績!$AK$6:$AK$505,"○")&gt;0,1,0))</f>
        <v>0</v>
      </c>
      <c r="L10" s="39" t="n">
        <f aca="false">IF(L$4=0,0,IF(COUNTIFS(実績!$W$6:$W$505,L$3,実績!$AI$6:$AI$505,"&lt;="&amp;$A10,実績!$AJ$6:$AJ$505,"&gt;"&amp;$A10,実績!$AK$6:$AK$505,"○")&gt;0,1,0))</f>
        <v>0</v>
      </c>
      <c r="M10" s="39" t="n">
        <f aca="false">IF(M$4=0,0,IF(COUNTIFS(実績!$W$6:$W$505,M$3,実績!$AI$6:$AI$505,"&lt;="&amp;$A10,実績!$AJ$6:$AJ$505,"&gt;"&amp;$A10,実績!$AK$6:$AK$505,"○")&gt;0,1,0))</f>
        <v>0</v>
      </c>
      <c r="N10" s="39" t="n">
        <f aca="false">IF(N$4=0,0,IF(COUNTIFS(実績!$W$6:$W$505,N$3,実績!$AI$6:$AI$505,"&lt;="&amp;$A10,実績!$AJ$6:$AJ$505,"&gt;"&amp;$A10,実績!$AK$6:$AK$505,"○")&gt;0,1,0))</f>
        <v>0</v>
      </c>
      <c r="O10" s="39" t="n">
        <f aca="false">IF(O$4=0,0,IF(COUNTIFS(実績!$W$6:$W$505,O$3,実績!$AI$6:$AI$505,"&lt;="&amp;$A10,実績!$AJ$6:$AJ$505,"&gt;"&amp;$A10,実績!$AK$6:$AK$505,"○")&gt;0,1,0))</f>
        <v>0</v>
      </c>
      <c r="P10" s="39" t="n">
        <f aca="false">IF(P$4=0,0,IF(COUNTIFS(実績!$W$6:$W$505,P$3,実績!$AI$6:$AI$505,"&lt;="&amp;$A10,実績!$AJ$6:$AJ$505,"&gt;"&amp;$A10,実績!$AK$6:$AK$505,"○")&gt;0,1,0))</f>
        <v>0</v>
      </c>
      <c r="Q10" s="39" t="n">
        <f aca="false">IF(Q$4=0,0,IF(COUNTIFS(実績!$W$6:$W$505,Q$3,実績!$AI$6:$AI$505,"&lt;="&amp;$A10,実績!$AJ$6:$AJ$505,"&gt;"&amp;$A10,実績!$AK$6:$AK$505,"○")&gt;0,1,0))</f>
        <v>0</v>
      </c>
      <c r="R10" s="39" t="n">
        <f aca="false">IF(R$4=0,0,IF(COUNTIFS(実績!$W$6:$W$505,R$3,実績!$AI$6:$AI$505,"&lt;="&amp;$A10,実績!$AJ$6:$AJ$505,"&gt;"&amp;$A10,実績!$AK$6:$AK$505,"○")&gt;0,1,0))</f>
        <v>0</v>
      </c>
      <c r="S10" s="39" t="n">
        <f aca="false">IF(S$4=0,0,IF(COUNTIFS(実績!$W$6:$W$505,S$3,実績!$AI$6:$AI$505,"&lt;="&amp;$A10,実績!$AJ$6:$AJ$505,"&gt;"&amp;$A10,実績!$AK$6:$AK$505,"○")&gt;0,1,0))</f>
        <v>0</v>
      </c>
      <c r="T10" s="39" t="n">
        <f aca="false">IF(T$4=0,0,IF(COUNTIFS(実績!$W$6:$W$505,T$3,実績!$AI$6:$AI$505,"&lt;="&amp;$A10,実績!$AJ$6:$AJ$505,"&gt;"&amp;$A10,実績!$AK$6:$AK$505,"○")&gt;0,1,0))</f>
        <v>0</v>
      </c>
      <c r="U10" s="39" t="n">
        <f aca="false">IF(U$4=0,0,IF(COUNTIFS(実績!$W$6:$W$505,U$3,実績!$AI$6:$AI$505,"&lt;="&amp;$A10,実績!$AJ$6:$AJ$505,"&gt;"&amp;$A10,実績!$AK$6:$AK$505,"○")&gt;0,1,0))</f>
        <v>0</v>
      </c>
      <c r="V10" s="39" t="n">
        <f aca="false">IF(V$4=0,0,IF(COUNTIFS(実績!$W$6:$W$505,V$3,実績!$AI$6:$AI$505,"&lt;="&amp;$A10,実績!$AJ$6:$AJ$505,"&gt;"&amp;$A10,実績!$AK$6:$AK$505,"○")&gt;0,1,0))</f>
        <v>0</v>
      </c>
      <c r="W10" s="39" t="n">
        <f aca="false">IF(W$4=0,0,IF(COUNTIFS(実績!$W$6:$W$505,W$3,実績!$AI$6:$AI$505,"&lt;="&amp;$A10,実績!$AJ$6:$AJ$505,"&gt;"&amp;$A10,実績!$AK$6:$AK$505,"○")&gt;0,1,0))</f>
        <v>0</v>
      </c>
      <c r="X10" s="39" t="n">
        <f aca="false">IF(X$4=0,0,IF(COUNTIFS(実績!$W$6:$W$505,X$3,実績!$AI$6:$AI$505,"&lt;="&amp;$A10,実績!$AJ$6:$AJ$505,"&gt;"&amp;$A10,実績!$AK$6:$AK$505,"○")&gt;0,1,0))</f>
        <v>0</v>
      </c>
      <c r="Y10" s="39" t="n">
        <f aca="false">IF(Y$4=0,0,IF(COUNTIFS(実績!$W$6:$W$505,Y$3,実績!$AI$6:$AI$505,"&lt;="&amp;$A10,実績!$AJ$6:$AJ$505,"&gt;"&amp;$A10,実績!$AK$6:$AK$505,"○")&gt;0,1,0))</f>
        <v>0</v>
      </c>
      <c r="Z10" s="39" t="n">
        <f aca="false">IF(Z$4=0,0,IF(COUNTIFS(実績!$W$6:$W$505,Z$3,実績!$AI$6:$AI$505,"&lt;="&amp;$A10,実績!$AJ$6:$AJ$505,"&gt;"&amp;$A10,実績!$AK$6:$AK$505,"○")&gt;0,1,0))</f>
        <v>0</v>
      </c>
      <c r="AA10" s="39" t="n">
        <f aca="false">IF(AA$4=0,0,IF(COUNTIFS(実績!$W$6:$W$505,AA$3,実績!$AI$6:$AI$505,"&lt;="&amp;$A10,実績!$AJ$6:$AJ$505,"&gt;"&amp;$A10,実績!$AK$6:$AK$505,"○")&gt;0,1,0))</f>
        <v>0</v>
      </c>
      <c r="AB10" s="39" t="n">
        <f aca="false">IF(AB$4=0,0,IF(COUNTIFS(実績!$W$6:$W$505,AB$3,実績!$AI$6:$AI$505,"&lt;="&amp;$A10,実績!$AJ$6:$AJ$505,"&gt;"&amp;$A10,実績!$AK$6:$AK$505,"○")&gt;0,1,0))</f>
        <v>0</v>
      </c>
      <c r="AC10" s="39" t="n">
        <f aca="false">IF(AC$4=0,0,IF(COUNTIFS(実績!$W$6:$W$505,AC$3,実績!$AI$6:$AI$505,"&lt;="&amp;$A10,実績!$AJ$6:$AJ$505,"&gt;"&amp;$A10,実績!$AK$6:$AK$505,"○")&gt;0,1,0))</f>
        <v>0</v>
      </c>
      <c r="AD10" s="39" t="n">
        <f aca="false">IF(AD$4=0,0,IF(COUNTIFS(実績!$W$6:$W$505,AD$3,実績!$AI$6:$AI$505,"&lt;="&amp;$A10,実績!$AJ$6:$AJ$505,"&gt;"&amp;$A10,実績!$AK$6:$AK$505,"○")&gt;0,1,0))</f>
        <v>0</v>
      </c>
      <c r="AE10" s="39" t="n">
        <f aca="false">IF(AE$4=0,0,IF(COUNTIFS(実績!$W$6:$W$505,AE$3,実績!$AI$6:$AI$505,"&lt;="&amp;$A10,実績!$AJ$6:$AJ$505,"&gt;"&amp;$A10,実績!$AK$6:$AK$505,"○")&gt;0,1,0))</f>
        <v>0</v>
      </c>
      <c r="AF10" s="39" t="n">
        <f aca="false">IF(AF$4=0,0,IF(COUNTIFS(実績!$W$6:$W$505,AF$3,実績!$AI$6:$AI$505,"&lt;="&amp;$A10,実績!$AJ$6:$AJ$505,"&gt;"&amp;$A10,実績!$AK$6:$AK$505,"○")&gt;0,1,0))</f>
        <v>0</v>
      </c>
      <c r="AG10" s="39" t="n">
        <f aca="false">IF(AG$4=0,0,IF(COUNTIFS(実績!$W$6:$W$505,AG$3,実績!$AI$6:$AI$505,"&lt;="&amp;$A10,実績!$AJ$6:$AJ$505,"&gt;"&amp;$A10,実績!$AK$6:$AK$505,"○")&gt;0,1,0))</f>
        <v>0</v>
      </c>
      <c r="AH10" s="39" t="n">
        <f aca="false">IF(AH$4=0,0,IF(COUNTIFS(実績!$W$6:$W$505,AH$3,実績!$AI$6:$AI$505,"&lt;="&amp;$A10,実績!$AJ$6:$AJ$505,"&gt;"&amp;$A10,実績!$AK$6:$AK$505,"○")&gt;0,1,0))</f>
        <v>0</v>
      </c>
      <c r="AI10" s="39" t="n">
        <f aca="false">IF(AI$4=0,0,IF(COUNTIFS(実績!$W$6:$W$505,AI$3,実績!$AI$6:$AI$505,"&lt;="&amp;$A10,実績!$AJ$6:$AJ$505,"&gt;"&amp;$A10,実績!$AK$6:$AK$505,"○")&gt;0,1,0))</f>
        <v>0</v>
      </c>
      <c r="AJ10" s="39" t="n">
        <f aca="false">IF(AJ$4=0,0,IF(COUNTIFS(実績!$W$6:$W$505,AJ$3,実績!$AI$6:$AI$505,"&lt;="&amp;$A10,実績!$AJ$6:$AJ$505,"&gt;"&amp;$A10,実績!$AK$6:$AK$505,"○")&gt;0,1,0))</f>
        <v>0</v>
      </c>
      <c r="AK10" s="39" t="n">
        <f aca="false">IF(AK$4=0,0,IF(COUNTIFS(実績!$W$6:$W$505,AK$3,実績!$AI$6:$AI$505,"&lt;="&amp;$A10,実績!$AJ$6:$AJ$505,"&gt;"&amp;$A10,実績!$AK$6:$AK$505,"○")&gt;0,1,0))</f>
        <v>0</v>
      </c>
      <c r="AL10" s="39" t="n">
        <f aca="false">IF(AL$4=0,0,IF(COUNTIFS(実績!$W$6:$W$505,AL$3,実績!$AI$6:$AI$505,"&lt;="&amp;$A10,実績!$AJ$6:$AJ$505,"&gt;"&amp;$A10,実績!$AK$6:$AK$505,"○")&gt;0,1,0))</f>
        <v>0</v>
      </c>
      <c r="AM10" s="39" t="n">
        <f aca="false">IF(AM$4=0,0,IF(COUNTIFS(実績!$W$6:$W$505,AM$3,実績!$AI$6:$AI$505,"&lt;="&amp;$A10,実績!$AJ$6:$AJ$505,"&gt;"&amp;$A10,実績!$AK$6:$AK$505,"○")&gt;0,1,0))</f>
        <v>0</v>
      </c>
      <c r="AN10" s="39" t="n">
        <f aca="false">IF(AN$4=0,0,IF(COUNTIFS(実績!$W$6:$W$505,AN$3,実績!$AI$6:$AI$505,"&lt;="&amp;$A10,実績!$AJ$6:$AJ$505,"&gt;"&amp;$A10,実績!$AK$6:$AK$505,"○")&gt;0,1,0))</f>
        <v>0</v>
      </c>
      <c r="AO10" s="39" t="n">
        <f aca="false">IF(AO$4=0,0,IF(COUNTIFS(実績!$W$6:$W$505,AO$3,実績!$AI$6:$AI$505,"&lt;="&amp;$A10,実績!$AJ$6:$AJ$505,"&gt;"&amp;$A10,実績!$AK$6:$AK$505,"○")&gt;0,1,0))</f>
        <v>0</v>
      </c>
      <c r="AP10" s="39" t="n">
        <f aca="false">IF(AP$4=0,0,IF(COUNTIFS(実績!$W$6:$W$505,AP$3,実績!$AI$6:$AI$505,"&lt;="&amp;$A10,実績!$AJ$6:$AJ$505,"&gt;"&amp;$A10,実績!$AK$6:$AK$505,"○")&gt;0,1,0))</f>
        <v>0</v>
      </c>
      <c r="AQ10" s="39" t="n">
        <f aca="false">IF(AQ$4=0,0,IF(COUNTIFS(実績!$W$6:$W$505,AQ$3,実績!$AI$6:$AI$505,"&lt;="&amp;$A10,実績!$AJ$6:$AJ$505,"&gt;"&amp;$A10,実績!$AK$6:$AK$505,"○")&gt;0,1,0))</f>
        <v>0</v>
      </c>
      <c r="AR10" s="39" t="n">
        <f aca="false">IF(AR$4=0,0,IF(COUNTIFS(実績!$W$6:$W$505,AR$3,実績!$AI$6:$AI$505,"&lt;="&amp;$A10,実績!$AJ$6:$AJ$505,"&gt;"&amp;$A10,実績!$AK$6:$AK$505,"○")&gt;0,1,0))</f>
        <v>0</v>
      </c>
      <c r="AS10" s="39" t="n">
        <f aca="false">IF(AS$4=0,0,IF(COUNTIFS(実績!$W$6:$W$505,AS$3,実績!$AI$6:$AI$505,"&lt;="&amp;$A10,実績!$AJ$6:$AJ$505,"&gt;"&amp;$A10,実績!$AK$6:$AK$505,"○")&gt;0,1,0))</f>
        <v>0</v>
      </c>
      <c r="AT10" s="39" t="n">
        <f aca="false">IF(AT$4=0,0,IF(COUNTIFS(実績!$W$6:$W$505,AT$3,実績!$AI$6:$AI$505,"&lt;="&amp;$A10,実績!$AJ$6:$AJ$505,"&gt;"&amp;$A10,実績!$AK$6:$AK$505,"○")&gt;0,1,0))</f>
        <v>0</v>
      </c>
      <c r="AU10" s="39" t="n">
        <f aca="false">IF(AU$4=0,0,IF(COUNTIFS(実績!$W$6:$W$505,AU$3,実績!$AI$6:$AI$505,"&lt;="&amp;$A10,実績!$AJ$6:$AJ$505,"&gt;"&amp;$A10,実績!$AK$6:$AK$505,"○")&gt;0,1,0))</f>
        <v>0</v>
      </c>
      <c r="AV10" s="39" t="n">
        <f aca="false">IF(AV$4=0,0,IF(COUNTIFS(実績!$W$6:$W$505,AV$3,実績!$AI$6:$AI$505,"&lt;="&amp;$A10,実績!$AJ$6:$AJ$505,"&gt;"&amp;$A10,実績!$AK$6:$AK$505,"○")&gt;0,1,0))</f>
        <v>0</v>
      </c>
      <c r="AW10" s="39" t="n">
        <f aca="false">IF(AW$4=0,0,IF(COUNTIFS(実績!$W$6:$W$505,AW$3,実績!$AI$6:$AI$505,"&lt;="&amp;$A10,実績!$AJ$6:$AJ$505,"&gt;"&amp;$A10,実績!$AK$6:$AK$505,"○")&gt;0,1,0))</f>
        <v>0</v>
      </c>
      <c r="AX10" s="39" t="n">
        <f aca="false">IF(AX$4=0,0,IF(COUNTIFS(実績!$W$6:$W$505,AX$3,実績!$AI$6:$AI$505,"&lt;="&amp;$A10,実績!$AJ$6:$AJ$505,"&gt;"&amp;$A10,実績!$AK$6:$AK$505,"○")&gt;0,1,0))</f>
        <v>0</v>
      </c>
      <c r="AY10" s="39" t="n">
        <f aca="false">IF(AY$4=0,0,IF(COUNTIFS(実績!$W$6:$W$505,AY$3,実績!$AI$6:$AI$505,"&lt;="&amp;$A10,実績!$AJ$6:$AJ$505,"&gt;"&amp;$A10,実績!$AK$6:$AK$505,"○")&gt;0,1,0))</f>
        <v>0</v>
      </c>
      <c r="AZ10" s="39" t="n">
        <f aca="false">IF(AZ$4=0,0,IF(COUNTIFS(実績!$W$6:$W$505,AZ$3,実績!$AI$6:$AI$505,"&lt;="&amp;$A10,実績!$AJ$6:$AJ$505,"&gt;"&amp;$A10,実績!$AK$6:$AK$505,"○")&gt;0,1,0))</f>
        <v>0</v>
      </c>
      <c r="BA10" s="39" t="n">
        <f aca="false">IF(BA$4=0,0,IF(COUNTIFS(実績!$W$6:$W$505,BA$3,実績!$AI$6:$AI$505,"&lt;="&amp;$A10,実績!$AJ$6:$AJ$505,"&gt;"&amp;$A10,実績!$AK$6:$AK$505,"○")&gt;0,1,0))</f>
        <v>0</v>
      </c>
      <c r="BB10" s="39" t="n">
        <f aca="false">IF(BB$4=0,0,IF(COUNTIFS(実績!$W$6:$W$505,BB$3,実績!$AI$6:$AI$505,"&lt;="&amp;$A10,実績!$AJ$6:$AJ$505,"&gt;"&amp;$A10,実績!$AK$6:$AK$505,"○")&gt;0,1,0))</f>
        <v>0</v>
      </c>
      <c r="BC10" s="39" t="n">
        <f aca="false">IF(BC$4=0,0,IF(COUNTIFS(実績!$W$6:$W$505,BC$3,実績!$AI$6:$AI$505,"&lt;="&amp;$A10,実績!$AJ$6:$AJ$505,"&gt;"&amp;$A10,実績!$AK$6:$AK$505,"○")&gt;0,1,0))</f>
        <v>0</v>
      </c>
      <c r="BD10" s="39" t="n">
        <f aca="false">IF(BD$4=0,0,IF(COUNTIFS(実績!$W$6:$W$505,BD$3,実績!$AI$6:$AI$505,"&lt;="&amp;$A10,実績!$AJ$6:$AJ$505,"&gt;"&amp;$A10,実績!$AK$6:$AK$505,"○")&gt;0,1,0))</f>
        <v>0</v>
      </c>
      <c r="BE10" s="39" t="n">
        <f aca="false">IF(BE$4=0,0,IF(COUNTIFS(実績!$W$6:$W$505,BE$3,実績!$AI$6:$AI$505,"&lt;="&amp;$A10,実績!$AJ$6:$AJ$505,"&gt;"&amp;$A10,実績!$AK$6:$AK$505,"○")&gt;0,1,0))</f>
        <v>0</v>
      </c>
      <c r="BF10" s="39" t="n">
        <f aca="false">IF(BF$4=0,0,IF(COUNTIFS(実績!$W$6:$W$505,BF$3,実績!$AI$6:$AI$505,"&lt;="&amp;$A10,実績!$AJ$6:$AJ$505,"&gt;"&amp;$A10,実績!$AK$6:$AK$505,"○")&gt;0,1,0))</f>
        <v>0</v>
      </c>
      <c r="BG10" s="39" t="n">
        <f aca="false">IF(BG$4=0,0,IF(COUNTIFS(実績!$W$6:$W$505,BG$3,実績!$AI$6:$AI$505,"&lt;="&amp;$A10,実績!$AJ$6:$AJ$505,"&gt;"&amp;$A10,実績!$AK$6:$AK$505,"○")&gt;0,1,0))</f>
        <v>0</v>
      </c>
      <c r="BH10" s="39" t="n">
        <f aca="false">IF(BH$4=0,0,IF(COUNTIFS(実績!$W$6:$W$505,BH$3,実績!$AI$6:$AI$505,"&lt;="&amp;$A10,実績!$AJ$6:$AJ$505,"&gt;"&amp;$A10,実績!$AK$6:$AK$505,"○")&gt;0,1,0))</f>
        <v>0</v>
      </c>
      <c r="BI10" s="39" t="n">
        <f aca="false">IF(BI$4=0,0,IF(COUNTIFS(実績!$W$6:$W$505,BI$3,実績!$AI$6:$AI$505,"&lt;="&amp;$A10,実績!$AJ$6:$AJ$505,"&gt;"&amp;$A10,実績!$AK$6:$AK$505,"○")&gt;0,1,0))</f>
        <v>0</v>
      </c>
      <c r="BJ10" s="39" t="n">
        <f aca="false">IF(BJ$4=0,0,IF(COUNTIFS(実績!$W$6:$W$505,BJ$3,実績!$AI$6:$AI$505,"&lt;="&amp;$A10,実績!$AJ$6:$AJ$505,"&gt;"&amp;$A10,実績!$AK$6:$AK$505,"○")&gt;0,1,0))</f>
        <v>0</v>
      </c>
      <c r="BK10" s="39" t="n">
        <f aca="false">IF(BK$4=0,0,IF(COUNTIFS(実績!$W$6:$W$505,BK$3,実績!$AI$6:$AI$505,"&lt;="&amp;$A10,実績!$AJ$6:$AJ$505,"&gt;"&amp;$A10,実績!$AK$6:$AK$505,"○")&gt;0,1,0))</f>
        <v>0</v>
      </c>
      <c r="BL10" s="39" t="n">
        <f aca="false">IF(BL$4=0,0,IF(COUNTIFS(実績!$W$6:$W$505,BL$3,実績!$AI$6:$AI$505,"&lt;="&amp;$A10,実績!$AJ$6:$AJ$505,"&gt;"&amp;$A10,実績!$AK$6:$AK$505,"○")&gt;0,1,0))</f>
        <v>0</v>
      </c>
      <c r="BM10" s="39" t="n">
        <f aca="false">IF(BM$4=0,0,IF(COUNTIFS(実績!$W$6:$W$505,BM$3,実績!$AI$6:$AI$505,"&lt;="&amp;$A10,実績!$AJ$6:$AJ$505,"&gt;"&amp;$A10,実績!$AK$6:$AK$505,"○")&gt;0,1,0))</f>
        <v>0</v>
      </c>
      <c r="BN10" s="39" t="n">
        <f aca="false">IF(BN$4=0,0,IF(COUNTIFS(実績!$W$6:$W$505,BN$3,実績!$AI$6:$AI$505,"&lt;="&amp;$A10,実績!$AJ$6:$AJ$505,"&gt;"&amp;$A10,実績!$AK$6:$AK$505,"○")&gt;0,1,0))</f>
        <v>0</v>
      </c>
      <c r="BO10" s="39" t="n">
        <f aca="false">IF(BO$4=0,0,IF(COUNTIFS(実績!$W$6:$W$505,BO$3,実績!$AI$6:$AI$505,"&lt;="&amp;$A10,実績!$AJ$6:$AJ$505,"&gt;"&amp;$A10,実績!$AK$6:$AK$505,"○")&gt;0,1,0))</f>
        <v>0</v>
      </c>
      <c r="BP10" s="39" t="n">
        <f aca="false">IF(BP$4=0,0,IF(COUNTIFS(実績!$W$6:$W$505,BP$3,実績!$AI$6:$AI$505,"&lt;="&amp;$A10,実績!$AJ$6:$AJ$505,"&gt;"&amp;$A10,実績!$AK$6:$AK$505,"○")&gt;0,1,0))</f>
        <v>0</v>
      </c>
      <c r="BQ10" s="39" t="n">
        <f aca="false">IF(BQ$4=0,0,IF(COUNTIFS(実績!$W$6:$W$505,BQ$3,実績!$AI$6:$AI$505,"&lt;="&amp;$A10,実績!$AJ$6:$AJ$505,"&gt;"&amp;$A10,実績!$AK$6:$AK$505,"○")&gt;0,1,0))</f>
        <v>0</v>
      </c>
      <c r="BR10" s="39" t="n">
        <f aca="false">IF(BR$4=0,0,IF(COUNTIFS(実績!$W$6:$W$505,BR$3,実績!$AI$6:$AI$505,"&lt;="&amp;$A10,実績!$AJ$6:$AJ$505,"&gt;"&amp;$A10,実績!$AK$6:$AK$505,"○")&gt;0,1,0))</f>
        <v>0</v>
      </c>
      <c r="BS10" s="39" t="n">
        <f aca="false">IF(BS$4=0,0,IF(COUNTIFS(実績!$W$6:$W$505,BS$3,実績!$AI$6:$AI$505,"&lt;="&amp;$A10,実績!$AJ$6:$AJ$505,"&gt;"&amp;$A10,実績!$AK$6:$AK$505,"○")&gt;0,1,0))</f>
        <v>0</v>
      </c>
      <c r="BT10" s="39" t="n">
        <f aca="false">IF(BT$4=0,0,IF(COUNTIFS(実績!$W$6:$W$505,BT$3,実績!$AI$6:$AI$505,"&lt;="&amp;$A10,実績!$AJ$6:$AJ$505,"&gt;"&amp;$A10,実績!$AK$6:$AK$505,"○")&gt;0,1,0))</f>
        <v>0</v>
      </c>
      <c r="BU10" s="39" t="n">
        <f aca="false">IF(BU$4=0,0,IF(COUNTIFS(実績!$W$6:$W$505,BU$3,実績!$AI$6:$AI$505,"&lt;="&amp;$A10,実績!$AJ$6:$AJ$505,"&gt;"&amp;$A10,実績!$AK$6:$AK$505,"○")&gt;0,1,0))</f>
        <v>0</v>
      </c>
      <c r="BV10" s="39" t="n">
        <f aca="false">IF(BV$4=0,0,IF(COUNTIFS(実績!$W$6:$W$505,BV$3,実績!$AI$6:$AI$505,"&lt;="&amp;$A10,実績!$AJ$6:$AJ$505,"&gt;"&amp;$A10,実績!$AK$6:$AK$505,"○")&gt;0,1,0))</f>
        <v>0</v>
      </c>
      <c r="BW10" s="39" t="n">
        <f aca="false">IF(BW$4=0,0,IF(COUNTIFS(実績!$W$6:$W$505,BW$3,実績!$AI$6:$AI$505,"&lt;="&amp;$A10,実績!$AJ$6:$AJ$505,"&gt;"&amp;$A10,実績!$AK$6:$AK$505,"○")&gt;0,1,0))</f>
        <v>0</v>
      </c>
      <c r="BX10" s="39" t="n">
        <f aca="false">IF(BX$4=0,0,IF(COUNTIFS(実績!$W$6:$W$505,BX$3,実績!$AI$6:$AI$505,"&lt;="&amp;$A10,実績!$AJ$6:$AJ$505,"&gt;"&amp;$A10,実績!$AK$6:$AK$505,"○")&gt;0,1,0))</f>
        <v>0</v>
      </c>
      <c r="BY10" s="39" t="n">
        <f aca="false">IF(BY$4=0,0,IF(COUNTIFS(実績!$W$6:$W$505,BY$3,実績!$AI$6:$AI$505,"&lt;="&amp;$A10,実績!$AJ$6:$AJ$505,"&gt;"&amp;$A10,実績!$AK$6:$AK$505,"○")&gt;0,1,0))</f>
        <v>0</v>
      </c>
      <c r="BZ10" s="39" t="n">
        <f aca="false">IF(BZ$4=0,0,IF(COUNTIFS(実績!$W$6:$W$505,BZ$3,実績!$AI$6:$AI$505,"&lt;="&amp;$A10,実績!$AJ$6:$AJ$505,"&gt;"&amp;$A10,実績!$AK$6:$AK$505,"○")&gt;0,1,0))</f>
        <v>0</v>
      </c>
      <c r="CA10" s="39" t="n">
        <f aca="false">IF(CA$4=0,0,IF(COUNTIFS(実績!$W$6:$W$505,CA$3,実績!$AI$6:$AI$505,"&lt;="&amp;$A10,実績!$AJ$6:$AJ$505,"&gt;"&amp;$A10,実績!$AK$6:$AK$505,"○")&gt;0,1,0))</f>
        <v>0</v>
      </c>
      <c r="CB10" s="39" t="n">
        <f aca="false">IF(CB$4=0,0,IF(COUNTIFS(実績!$W$6:$W$505,CB$3,実績!$AI$6:$AI$505,"&lt;="&amp;$A10,実績!$AJ$6:$AJ$505,"&gt;"&amp;$A10,実績!$AK$6:$AK$505,"○")&gt;0,1,0))</f>
        <v>0</v>
      </c>
      <c r="CC10" s="39" t="n">
        <f aca="false">IF(CC$4=0,0,IF(COUNTIFS(実績!$W$6:$W$505,CC$3,実績!$AI$6:$AI$505,"&lt;="&amp;$A10,実績!$AJ$6:$AJ$505,"&gt;"&amp;$A10,実績!$AK$6:$AK$505,"○")&gt;0,1,0))</f>
        <v>0</v>
      </c>
      <c r="CD10" s="39" t="n">
        <f aca="false">IF(CD$4=0,0,IF(COUNTIFS(実績!$W$6:$W$505,CD$3,実績!$AI$6:$AI$505,"&lt;="&amp;$A10,実績!$AJ$6:$AJ$505,"&gt;"&amp;$A10,実績!$AK$6:$AK$505,"○")&gt;0,1,0))</f>
        <v>0</v>
      </c>
      <c r="CE10" s="39" t="n">
        <f aca="false">IF(CE$4=0,0,IF(COUNTIFS(実績!$W$6:$W$505,CE$3,実績!$AI$6:$AI$505,"&lt;="&amp;$A10,実績!$AJ$6:$AJ$505,"&gt;"&amp;$A10,実績!$AK$6:$AK$505,"○")&gt;0,1,0))</f>
        <v>0</v>
      </c>
      <c r="CF10" s="39" t="n">
        <f aca="false">IF(CF$4=0,0,IF(COUNTIFS(実績!$W$6:$W$505,CF$3,実績!$AI$6:$AI$505,"&lt;="&amp;$A10,実績!$AJ$6:$AJ$505,"&gt;"&amp;$A10,実績!$AK$6:$AK$505,"○")&gt;0,1,0))</f>
        <v>0</v>
      </c>
      <c r="CG10" s="39" t="n">
        <f aca="false">IF(CG$4=0,0,IF(COUNTIFS(実績!$W$6:$W$505,CG$3,実績!$AI$6:$AI$505,"&lt;="&amp;$A10,実績!$AJ$6:$AJ$505,"&gt;"&amp;$A10,実績!$AK$6:$AK$505,"○")&gt;0,1,0))</f>
        <v>0</v>
      </c>
      <c r="CH10" s="39" t="n">
        <f aca="false">IF(CH$4=0,0,IF(COUNTIFS(実績!$W$6:$W$505,CH$3,実績!$AI$6:$AI$505,"&lt;="&amp;$A10,実績!$AJ$6:$AJ$505,"&gt;"&amp;$A10,実績!$AK$6:$AK$505,"○")&gt;0,1,0))</f>
        <v>0</v>
      </c>
      <c r="CI10" s="39" t="n">
        <f aca="false">IF(CI$4=0,0,IF(COUNTIFS(実績!$W$6:$W$505,CI$3,実績!$AI$6:$AI$505,"&lt;="&amp;$A10,実績!$AJ$6:$AJ$505,"&gt;"&amp;$A10,実績!$AK$6:$AK$505,"○")&gt;0,1,0))</f>
        <v>0</v>
      </c>
      <c r="CJ10" s="39" t="n">
        <f aca="false">IF(CJ$4=0,0,IF(COUNTIFS(実績!$W$6:$W$505,CJ$3,実績!$AI$6:$AI$505,"&lt;="&amp;$A10,実績!$AJ$6:$AJ$505,"&gt;"&amp;$A10,実績!$AK$6:$AK$505,"○")&gt;0,1,0))</f>
        <v>0</v>
      </c>
      <c r="CK10" s="39" t="n">
        <f aca="false">IF(CK$4=0,0,IF(COUNTIFS(実績!$W$6:$W$505,CK$3,実績!$AI$6:$AI$505,"&lt;="&amp;$A10,実績!$AJ$6:$AJ$505,"&gt;"&amp;$A10,実績!$AK$6:$AK$505,"○")&gt;0,1,0))</f>
        <v>0</v>
      </c>
      <c r="CL10" s="39" t="n">
        <f aca="false">IF(CL$4=0,0,IF(COUNTIFS(実績!$W$6:$W$505,CL$3,実績!$AI$6:$AI$505,"&lt;="&amp;$A10,実績!$AJ$6:$AJ$505,"&gt;"&amp;$A10,実績!$AK$6:$AK$505,"○")&gt;0,1,0))</f>
        <v>0</v>
      </c>
      <c r="CM10" s="39" t="n">
        <f aca="false">IF(CM$4=0,0,IF(COUNTIFS(実績!$W$6:$W$505,CM$3,実績!$AI$6:$AI$505,"&lt;="&amp;$A10,実績!$AJ$6:$AJ$505,"&gt;"&amp;$A10,実績!$AK$6:$AK$505,"○")&gt;0,1,0))</f>
        <v>0</v>
      </c>
      <c r="CN10" s="39" t="n">
        <f aca="false">IF(CN$4=0,0,IF(COUNTIFS(実績!$W$6:$W$505,CN$3,実績!$AI$6:$AI$505,"&lt;="&amp;$A10,実績!$AJ$6:$AJ$505,"&gt;"&amp;$A10,実績!$AK$6:$AK$505,"○")&gt;0,1,0))</f>
        <v>0</v>
      </c>
      <c r="CO10" s="39" t="n">
        <f aca="false">IF(CO$4=0,0,IF(COUNTIFS(実績!$W$6:$W$505,CO$3,実績!$AI$6:$AI$505,"&lt;="&amp;$A10,実績!$AJ$6:$AJ$505,"&gt;"&amp;$A10,実績!$AK$6:$AK$505,"○")&gt;0,1,0))</f>
        <v>0</v>
      </c>
      <c r="CP10" s="39" t="n">
        <f aca="false">IF(CP$4=0,0,IF(COUNTIFS(実績!$W$6:$W$505,CP$3,実績!$AI$6:$AI$505,"&lt;="&amp;$A10,実績!$AJ$6:$AJ$505,"&gt;"&amp;$A10,実績!$AK$6:$AK$505,"○")&gt;0,1,0))</f>
        <v>0</v>
      </c>
      <c r="CQ10" s="39" t="n">
        <f aca="false">IF(CQ$4=0,0,IF(COUNTIFS(実績!$W$6:$W$505,CQ$3,実績!$AI$6:$AI$505,"&lt;="&amp;$A10,実績!$AJ$6:$AJ$505,"&gt;"&amp;$A10,実績!$AK$6:$AK$505,"○")&gt;0,1,0))</f>
        <v>0</v>
      </c>
      <c r="CR10" s="39" t="n">
        <f aca="false">IF(CR$4=0,0,IF(COUNTIFS(実績!$W$6:$W$505,CR$3,実績!$AI$6:$AI$505,"&lt;="&amp;$A10,実績!$AJ$6:$AJ$505,"&gt;"&amp;$A10,実績!$AK$6:$AK$505,"○")&gt;0,1,0))</f>
        <v>0</v>
      </c>
      <c r="CS10" s="39" t="n">
        <f aca="false">IF(CS$4=0,0,IF(COUNTIFS(実績!$W$6:$W$505,CS$3,実績!$AI$6:$AI$505,"&lt;="&amp;$A10,実績!$AJ$6:$AJ$505,"&gt;"&amp;$A10,実績!$AK$6:$AK$505,"○")&gt;0,1,0))</f>
        <v>0</v>
      </c>
      <c r="CT10" s="39" t="n">
        <f aca="false">IF(CT$4=0,0,IF(COUNTIFS(実績!$W$6:$W$505,CT$3,実績!$AI$6:$AI$505,"&lt;="&amp;$A10,実績!$AJ$6:$AJ$505,"&gt;"&amp;$A10,実績!$AK$6:$AK$505,"○")&gt;0,1,0))</f>
        <v>0</v>
      </c>
      <c r="CU10" s="39" t="n">
        <f aca="false">IF(CU$4=0,0,IF(COUNTIFS(実績!$W$6:$W$505,CU$3,実績!$AI$6:$AI$505,"&lt;="&amp;$A10,実績!$AJ$6:$AJ$505,"&gt;"&amp;$A10,実績!$AK$6:$AK$505,"○")&gt;0,1,0))</f>
        <v>0</v>
      </c>
      <c r="CV10" s="39" t="n">
        <f aca="false">IF(CV$4=0,0,IF(COUNTIFS(実績!$W$6:$W$505,CV$3,実績!$AI$6:$AI$505,"&lt;="&amp;$A10,実績!$AJ$6:$AJ$505,"&gt;"&amp;$A10,実績!$AK$6:$AK$505,"○")&gt;0,1,0))</f>
        <v>0</v>
      </c>
      <c r="CW10" s="39" t="n">
        <f aca="false">IF(CW$4=0,0,IF(COUNTIFS(実績!$W$6:$W$505,CW$3,実績!$AI$6:$AI$505,"&lt;="&amp;$A10,実績!$AJ$6:$AJ$505,"&gt;"&amp;$A10,実績!$AK$6:$AK$505,"○")&gt;0,1,0))</f>
        <v>0</v>
      </c>
      <c r="CX10" s="39" t="n">
        <f aca="false">IF(CX$4=0,0,IF(COUNTIFS(実績!$W$6:$W$505,CX$3,実績!$AI$6:$AI$505,"&lt;="&amp;$A10,実績!$AJ$6:$AJ$505,"&gt;"&amp;$A10,実績!$AK$6:$AK$505,"○")&gt;0,1,0))</f>
        <v>0</v>
      </c>
      <c r="CY10" s="39" t="n">
        <f aca="false">IF(CY$4=0,0,IF(COUNTIFS(実績!$W$6:$W$505,CY$3,実績!$AI$6:$AI$505,"&lt;="&amp;$A10,実績!$AJ$6:$AJ$505,"&gt;"&amp;$A10,実績!$AK$6:$AK$505,"○")&gt;0,1,0))</f>
        <v>0</v>
      </c>
      <c r="CZ10" s="39" t="n">
        <f aca="false">IF(CZ$4=0,0,IF(COUNTIFS(実績!$W$6:$W$505,CZ$3,実績!$AI$6:$AI$505,"&lt;="&amp;$A10,実績!$AJ$6:$AJ$505,"&gt;"&amp;$A10,実績!$AK$6:$AK$505,"○")&gt;0,1,0))</f>
        <v>0</v>
      </c>
      <c r="DA10" s="39" t="n">
        <f aca="false">IF(DA$4=0,0,IF(COUNTIFS(実績!$W$6:$W$505,DA$3,実績!$AI$6:$AI$505,"&lt;="&amp;$A10,実績!$AJ$6:$AJ$505,"&gt;"&amp;$A10,実績!$AK$6:$AK$505,"○")&gt;0,1,0))</f>
        <v>0</v>
      </c>
      <c r="DB10" s="39" t="n">
        <f aca="false">IF(DB$4=0,0,IF(COUNTIFS(実績!$W$6:$W$505,DB$3,実績!$AI$6:$AI$505,"&lt;="&amp;$A10,実績!$AJ$6:$AJ$505,"&gt;"&amp;$A10,実績!$AK$6:$AK$505,"○")&gt;0,1,0))</f>
        <v>0</v>
      </c>
      <c r="DC10" s="39" t="n">
        <f aca="false">IF(DC$4=0,0,IF(COUNTIFS(実績!$W$6:$W$505,DC$3,実績!$AI$6:$AI$505,"&lt;="&amp;$A10,実績!$AJ$6:$AJ$505,"&gt;"&amp;$A10,実績!$AK$6:$AK$505,"○")&gt;0,1,0))</f>
        <v>0</v>
      </c>
      <c r="DD10" s="39" t="n">
        <f aca="false">IF(DD$4=0,0,IF(COUNTIFS(実績!$W$6:$W$505,DD$3,実績!$AI$6:$AI$505,"&lt;="&amp;$A10,実績!$AJ$6:$AJ$505,"&gt;"&amp;$A10,実績!$AK$6:$AK$505,"○")&gt;0,1,0))</f>
        <v>0</v>
      </c>
      <c r="DE10" s="39" t="n">
        <f aca="false">IF(DE$4=0,0,IF(COUNTIFS(実績!$W$6:$W$505,DE$3,実績!$AI$6:$AI$505,"&lt;="&amp;$A10,実績!$AJ$6:$AJ$505,"&gt;"&amp;$A10,実績!$AK$6:$AK$505,"○")&gt;0,1,0))</f>
        <v>0</v>
      </c>
      <c r="DF10" s="39" t="n">
        <f aca="false">IF(DF$4=0,0,IF(COUNTIFS(実績!$W$6:$W$505,DF$3,実績!$AI$6:$AI$505,"&lt;="&amp;$A10,実績!$AJ$6:$AJ$505,"&gt;"&amp;$A10,実績!$AK$6:$AK$505,"○")&gt;0,1,0))</f>
        <v>0</v>
      </c>
      <c r="DG10" s="39" t="n">
        <f aca="false">IF(DG$4=0,0,IF(COUNTIFS(実績!$W$6:$W$505,DG$3,実績!$AI$6:$AI$505,"&lt;="&amp;$A10,実績!$AJ$6:$AJ$505,"&gt;"&amp;$A10,実績!$AK$6:$AK$505,"○")&gt;0,1,0))</f>
        <v>0</v>
      </c>
      <c r="DH10" s="39" t="n">
        <f aca="false">IF(DH$4=0,0,IF(COUNTIFS(実績!$W$6:$W$505,DH$3,実績!$AI$6:$AI$505,"&lt;="&amp;$A10,実績!$AJ$6:$AJ$505,"&gt;"&amp;$A10,実績!$AK$6:$AK$505,"○")&gt;0,1,0))</f>
        <v>0</v>
      </c>
      <c r="DI10" s="39" t="n">
        <f aca="false">IF(DI$4=0,0,IF(COUNTIFS(実績!$W$6:$W$505,DI$3,実績!$AI$6:$AI$505,"&lt;="&amp;$A10,実績!$AJ$6:$AJ$505,"&gt;"&amp;$A10,実績!$AK$6:$AK$505,"○")&gt;0,1,0))</f>
        <v>0</v>
      </c>
      <c r="DJ10" s="39" t="n">
        <f aca="false">IF(DJ$4=0,0,IF(COUNTIFS(実績!$W$6:$W$505,DJ$3,実績!$AI$6:$AI$505,"&lt;="&amp;$A10,実績!$AJ$6:$AJ$505,"&gt;"&amp;$A10,実績!$AK$6:$AK$505,"○")&gt;0,1,0))</f>
        <v>0</v>
      </c>
      <c r="DK10" s="39" t="n">
        <f aca="false">IF(DK$4=0,0,IF(COUNTIFS(実績!$W$6:$W$505,DK$3,実績!$AI$6:$AI$505,"&lt;="&amp;$A10,実績!$AJ$6:$AJ$505,"&gt;"&amp;$A10,実績!$AK$6:$AK$505,"○")&gt;0,1,0))</f>
        <v>0</v>
      </c>
      <c r="DL10" s="39" t="n">
        <f aca="false">IF(DL$4=0,0,IF(COUNTIFS(実績!$W$6:$W$505,DL$3,実績!$AI$6:$AI$505,"&lt;="&amp;$A10,実績!$AJ$6:$AJ$505,"&gt;"&amp;$A10,実績!$AK$6:$AK$505,"○")&gt;0,1,0))</f>
        <v>0</v>
      </c>
      <c r="DM10" s="39" t="n">
        <f aca="false">IF(DM$4=0,0,IF(COUNTIFS(実績!$W$6:$W$505,DM$3,実績!$AI$6:$AI$505,"&lt;="&amp;$A10,実績!$AJ$6:$AJ$505,"&gt;"&amp;$A10,実績!$AK$6:$AK$505,"○")&gt;0,1,0))</f>
        <v>0</v>
      </c>
      <c r="DN10" s="39" t="n">
        <f aca="false">IF(DN$4=0,0,IF(COUNTIFS(実績!$W$6:$W$505,DN$3,実績!$AI$6:$AI$505,"&lt;="&amp;$A10,実績!$AJ$6:$AJ$505,"&gt;"&amp;$A10,実績!$AK$6:$AK$505,"○")&gt;0,1,0))</f>
        <v>0</v>
      </c>
      <c r="DO10" s="39" t="n">
        <f aca="false">IF(DO$4=0,0,IF(COUNTIFS(実績!$W$6:$W$505,DO$3,実績!$AI$6:$AI$505,"&lt;="&amp;$A10,実績!$AJ$6:$AJ$505,"&gt;"&amp;$A10,実績!$AK$6:$AK$505,"○")&gt;0,1,0))</f>
        <v>0</v>
      </c>
      <c r="DP10" s="39" t="n">
        <f aca="false">IF(DP$4=0,0,IF(COUNTIFS(実績!$W$6:$W$505,DP$3,実績!$AI$6:$AI$505,"&lt;="&amp;$A10,実績!$AJ$6:$AJ$505,"&gt;"&amp;$A10,実績!$AK$6:$AK$505,"○")&gt;0,1,0))</f>
        <v>0</v>
      </c>
      <c r="DQ10" s="39" t="n">
        <f aca="false">IF(DQ$4=0,0,IF(COUNTIFS(実績!$W$6:$W$505,DQ$3,実績!$AI$6:$AI$505,"&lt;="&amp;$A10,実績!$AJ$6:$AJ$505,"&gt;"&amp;$A10,実績!$AK$6:$AK$505,"○")&gt;0,1,0))</f>
        <v>0</v>
      </c>
      <c r="DR10" s="39" t="n">
        <f aca="false">IF(DR$4=0,0,IF(COUNTIFS(実績!$W$6:$W$505,DR$3,実績!$AI$6:$AI$505,"&lt;="&amp;$A10,実績!$AJ$6:$AJ$505,"&gt;"&amp;$A10,実績!$AK$6:$AK$505,"○")&gt;0,1,0))</f>
        <v>0</v>
      </c>
      <c r="DS10" s="39" t="n">
        <f aca="false">SUM(C10:DR10)</f>
        <v>0</v>
      </c>
      <c r="DT10" s="39" t="n">
        <f aca="false">SUMPRODUCT((実績!$C$6:$C$505="○")*ISNUMBER(実績!$AM$6:$AM$505)*(実績!$AM$6:$AM$505&lt;=$A10)*(実績!$AN$6:$AN$505&gt;$A10))</f>
        <v>0</v>
      </c>
      <c r="DU10" s="39" t="n">
        <f aca="false">SUMIF($C$2:$DR$2,"製鉄曳船",C10:DR10)</f>
        <v>0</v>
      </c>
      <c r="DV10" s="39" t="n">
        <f aca="false">SUMIF($C$2:$DR$2,"西日本海運",C10:DR10)</f>
        <v>0</v>
      </c>
    </row>
    <row r="11" customFormat="false" ht="15" hidden="false" customHeight="false" outlineLevel="0" collapsed="false">
      <c r="A11" s="0" t="n">
        <v>25</v>
      </c>
      <c r="B11" s="38" t="n">
        <f aca="false">A11/1440</f>
        <v>0.0173611111111111</v>
      </c>
      <c r="C11" s="39" t="n">
        <f aca="false">IF(C$4=0,0,IF(COUNTIFS(実績!$W$6:$W$505,C$3,実績!$AI$6:$AI$505,"&lt;="&amp;$A11,実績!$AJ$6:$AJ$505,"&gt;"&amp;$A11,実績!$AK$6:$AK$505,"○")&gt;0,1,0))</f>
        <v>0</v>
      </c>
      <c r="D11" s="39" t="n">
        <f aca="false">IF(D$4=0,0,IF(COUNTIFS(実績!$W$6:$W$505,D$3,実績!$AI$6:$AI$505,"&lt;="&amp;$A11,実績!$AJ$6:$AJ$505,"&gt;"&amp;$A11,実績!$AK$6:$AK$505,"○")&gt;0,1,0))</f>
        <v>0</v>
      </c>
      <c r="E11" s="39" t="n">
        <f aca="false">IF(E$4=0,0,IF(COUNTIFS(実績!$W$6:$W$505,E$3,実績!$AI$6:$AI$505,"&lt;="&amp;$A11,実績!$AJ$6:$AJ$505,"&gt;"&amp;$A11,実績!$AK$6:$AK$505,"○")&gt;0,1,0))</f>
        <v>0</v>
      </c>
      <c r="F11" s="39" t="n">
        <f aca="false">IF(F$4=0,0,IF(COUNTIFS(実績!$W$6:$W$505,F$3,実績!$AI$6:$AI$505,"&lt;="&amp;$A11,実績!$AJ$6:$AJ$505,"&gt;"&amp;$A11,実績!$AK$6:$AK$505,"○")&gt;0,1,0))</f>
        <v>0</v>
      </c>
      <c r="G11" s="39" t="n">
        <f aca="false">IF(G$4=0,0,IF(COUNTIFS(実績!$W$6:$W$505,G$3,実績!$AI$6:$AI$505,"&lt;="&amp;$A11,実績!$AJ$6:$AJ$505,"&gt;"&amp;$A11,実績!$AK$6:$AK$505,"○")&gt;0,1,0))</f>
        <v>0</v>
      </c>
      <c r="H11" s="39" t="n">
        <f aca="false">IF(H$4=0,0,IF(COUNTIFS(実績!$W$6:$W$505,H$3,実績!$AI$6:$AI$505,"&lt;="&amp;$A11,実績!$AJ$6:$AJ$505,"&gt;"&amp;$A11,実績!$AK$6:$AK$505,"○")&gt;0,1,0))</f>
        <v>0</v>
      </c>
      <c r="I11" s="39" t="n">
        <f aca="false">IF(I$4=0,0,IF(COUNTIFS(実績!$W$6:$W$505,I$3,実績!$AI$6:$AI$505,"&lt;="&amp;$A11,実績!$AJ$6:$AJ$505,"&gt;"&amp;$A11,実績!$AK$6:$AK$505,"○")&gt;0,1,0))</f>
        <v>0</v>
      </c>
      <c r="J11" s="39" t="n">
        <f aca="false">IF(J$4=0,0,IF(COUNTIFS(実績!$W$6:$W$505,J$3,実績!$AI$6:$AI$505,"&lt;="&amp;$A11,実績!$AJ$6:$AJ$505,"&gt;"&amp;$A11,実績!$AK$6:$AK$505,"○")&gt;0,1,0))</f>
        <v>0</v>
      </c>
      <c r="K11" s="39" t="n">
        <f aca="false">IF(K$4=0,0,IF(COUNTIFS(実績!$W$6:$W$505,K$3,実績!$AI$6:$AI$505,"&lt;="&amp;$A11,実績!$AJ$6:$AJ$505,"&gt;"&amp;$A11,実績!$AK$6:$AK$505,"○")&gt;0,1,0))</f>
        <v>0</v>
      </c>
      <c r="L11" s="39" t="n">
        <f aca="false">IF(L$4=0,0,IF(COUNTIFS(実績!$W$6:$W$505,L$3,実績!$AI$6:$AI$505,"&lt;="&amp;$A11,実績!$AJ$6:$AJ$505,"&gt;"&amp;$A11,実績!$AK$6:$AK$505,"○")&gt;0,1,0))</f>
        <v>0</v>
      </c>
      <c r="M11" s="39" t="n">
        <f aca="false">IF(M$4=0,0,IF(COUNTIFS(実績!$W$6:$W$505,M$3,実績!$AI$6:$AI$505,"&lt;="&amp;$A11,実績!$AJ$6:$AJ$505,"&gt;"&amp;$A11,実績!$AK$6:$AK$505,"○")&gt;0,1,0))</f>
        <v>0</v>
      </c>
      <c r="N11" s="39" t="n">
        <f aca="false">IF(N$4=0,0,IF(COUNTIFS(実績!$W$6:$W$505,N$3,実績!$AI$6:$AI$505,"&lt;="&amp;$A11,実績!$AJ$6:$AJ$505,"&gt;"&amp;$A11,実績!$AK$6:$AK$505,"○")&gt;0,1,0))</f>
        <v>0</v>
      </c>
      <c r="O11" s="39" t="n">
        <f aca="false">IF(O$4=0,0,IF(COUNTIFS(実績!$W$6:$W$505,O$3,実績!$AI$6:$AI$505,"&lt;="&amp;$A11,実績!$AJ$6:$AJ$505,"&gt;"&amp;$A11,実績!$AK$6:$AK$505,"○")&gt;0,1,0))</f>
        <v>0</v>
      </c>
      <c r="P11" s="39" t="n">
        <f aca="false">IF(P$4=0,0,IF(COUNTIFS(実績!$W$6:$W$505,P$3,実績!$AI$6:$AI$505,"&lt;="&amp;$A11,実績!$AJ$6:$AJ$505,"&gt;"&amp;$A11,実績!$AK$6:$AK$505,"○")&gt;0,1,0))</f>
        <v>0</v>
      </c>
      <c r="Q11" s="39" t="n">
        <f aca="false">IF(Q$4=0,0,IF(COUNTIFS(実績!$W$6:$W$505,Q$3,実績!$AI$6:$AI$505,"&lt;="&amp;$A11,実績!$AJ$6:$AJ$505,"&gt;"&amp;$A11,実績!$AK$6:$AK$505,"○")&gt;0,1,0))</f>
        <v>0</v>
      </c>
      <c r="R11" s="39" t="n">
        <f aca="false">IF(R$4=0,0,IF(COUNTIFS(実績!$W$6:$W$505,R$3,実績!$AI$6:$AI$505,"&lt;="&amp;$A11,実績!$AJ$6:$AJ$505,"&gt;"&amp;$A11,実績!$AK$6:$AK$505,"○")&gt;0,1,0))</f>
        <v>0</v>
      </c>
      <c r="S11" s="39" t="n">
        <f aca="false">IF(S$4=0,0,IF(COUNTIFS(実績!$W$6:$W$505,S$3,実績!$AI$6:$AI$505,"&lt;="&amp;$A11,実績!$AJ$6:$AJ$505,"&gt;"&amp;$A11,実績!$AK$6:$AK$505,"○")&gt;0,1,0))</f>
        <v>0</v>
      </c>
      <c r="T11" s="39" t="n">
        <f aca="false">IF(T$4=0,0,IF(COUNTIFS(実績!$W$6:$W$505,T$3,実績!$AI$6:$AI$505,"&lt;="&amp;$A11,実績!$AJ$6:$AJ$505,"&gt;"&amp;$A11,実績!$AK$6:$AK$505,"○")&gt;0,1,0))</f>
        <v>0</v>
      </c>
      <c r="U11" s="39" t="n">
        <f aca="false">IF(U$4=0,0,IF(COUNTIFS(実績!$W$6:$W$505,U$3,実績!$AI$6:$AI$505,"&lt;="&amp;$A11,実績!$AJ$6:$AJ$505,"&gt;"&amp;$A11,実績!$AK$6:$AK$505,"○")&gt;0,1,0))</f>
        <v>0</v>
      </c>
      <c r="V11" s="39" t="n">
        <f aca="false">IF(V$4=0,0,IF(COUNTIFS(実績!$W$6:$W$505,V$3,実績!$AI$6:$AI$505,"&lt;="&amp;$A11,実績!$AJ$6:$AJ$505,"&gt;"&amp;$A11,実績!$AK$6:$AK$505,"○")&gt;0,1,0))</f>
        <v>0</v>
      </c>
      <c r="W11" s="39" t="n">
        <f aca="false">IF(W$4=0,0,IF(COUNTIFS(実績!$W$6:$W$505,W$3,実績!$AI$6:$AI$505,"&lt;="&amp;$A11,実績!$AJ$6:$AJ$505,"&gt;"&amp;$A11,実績!$AK$6:$AK$505,"○")&gt;0,1,0))</f>
        <v>0</v>
      </c>
      <c r="X11" s="39" t="n">
        <f aca="false">IF(X$4=0,0,IF(COUNTIFS(実績!$W$6:$W$505,X$3,実績!$AI$6:$AI$505,"&lt;="&amp;$A11,実績!$AJ$6:$AJ$505,"&gt;"&amp;$A11,実績!$AK$6:$AK$505,"○")&gt;0,1,0))</f>
        <v>0</v>
      </c>
      <c r="Y11" s="39" t="n">
        <f aca="false">IF(Y$4=0,0,IF(COUNTIFS(実績!$W$6:$W$505,Y$3,実績!$AI$6:$AI$505,"&lt;="&amp;$A11,実績!$AJ$6:$AJ$505,"&gt;"&amp;$A11,実績!$AK$6:$AK$505,"○")&gt;0,1,0))</f>
        <v>0</v>
      </c>
      <c r="Z11" s="39" t="n">
        <f aca="false">IF(Z$4=0,0,IF(COUNTIFS(実績!$W$6:$W$505,Z$3,実績!$AI$6:$AI$505,"&lt;="&amp;$A11,実績!$AJ$6:$AJ$505,"&gt;"&amp;$A11,実績!$AK$6:$AK$505,"○")&gt;0,1,0))</f>
        <v>0</v>
      </c>
      <c r="AA11" s="39" t="n">
        <f aca="false">IF(AA$4=0,0,IF(COUNTIFS(実績!$W$6:$W$505,AA$3,実績!$AI$6:$AI$505,"&lt;="&amp;$A11,実績!$AJ$6:$AJ$505,"&gt;"&amp;$A11,実績!$AK$6:$AK$505,"○")&gt;0,1,0))</f>
        <v>0</v>
      </c>
      <c r="AB11" s="39" t="n">
        <f aca="false">IF(AB$4=0,0,IF(COUNTIFS(実績!$W$6:$W$505,AB$3,実績!$AI$6:$AI$505,"&lt;="&amp;$A11,実績!$AJ$6:$AJ$505,"&gt;"&amp;$A11,実績!$AK$6:$AK$505,"○")&gt;0,1,0))</f>
        <v>0</v>
      </c>
      <c r="AC11" s="39" t="n">
        <f aca="false">IF(AC$4=0,0,IF(COUNTIFS(実績!$W$6:$W$505,AC$3,実績!$AI$6:$AI$505,"&lt;="&amp;$A11,実績!$AJ$6:$AJ$505,"&gt;"&amp;$A11,実績!$AK$6:$AK$505,"○")&gt;0,1,0))</f>
        <v>0</v>
      </c>
      <c r="AD11" s="39" t="n">
        <f aca="false">IF(AD$4=0,0,IF(COUNTIFS(実績!$W$6:$W$505,AD$3,実績!$AI$6:$AI$505,"&lt;="&amp;$A11,実績!$AJ$6:$AJ$505,"&gt;"&amp;$A11,実績!$AK$6:$AK$505,"○")&gt;0,1,0))</f>
        <v>0</v>
      </c>
      <c r="AE11" s="39" t="n">
        <f aca="false">IF(AE$4=0,0,IF(COUNTIFS(実績!$W$6:$W$505,AE$3,実績!$AI$6:$AI$505,"&lt;="&amp;$A11,実績!$AJ$6:$AJ$505,"&gt;"&amp;$A11,実績!$AK$6:$AK$505,"○")&gt;0,1,0))</f>
        <v>0</v>
      </c>
      <c r="AF11" s="39" t="n">
        <f aca="false">IF(AF$4=0,0,IF(COUNTIFS(実績!$W$6:$W$505,AF$3,実績!$AI$6:$AI$505,"&lt;="&amp;$A11,実績!$AJ$6:$AJ$505,"&gt;"&amp;$A11,実績!$AK$6:$AK$505,"○")&gt;0,1,0))</f>
        <v>0</v>
      </c>
      <c r="AG11" s="39" t="n">
        <f aca="false">IF(AG$4=0,0,IF(COUNTIFS(実績!$W$6:$W$505,AG$3,実績!$AI$6:$AI$505,"&lt;="&amp;$A11,実績!$AJ$6:$AJ$505,"&gt;"&amp;$A11,実績!$AK$6:$AK$505,"○")&gt;0,1,0))</f>
        <v>0</v>
      </c>
      <c r="AH11" s="39" t="n">
        <f aca="false">IF(AH$4=0,0,IF(COUNTIFS(実績!$W$6:$W$505,AH$3,実績!$AI$6:$AI$505,"&lt;="&amp;$A11,実績!$AJ$6:$AJ$505,"&gt;"&amp;$A11,実績!$AK$6:$AK$505,"○")&gt;0,1,0))</f>
        <v>0</v>
      </c>
      <c r="AI11" s="39" t="n">
        <f aca="false">IF(AI$4=0,0,IF(COUNTIFS(実績!$W$6:$W$505,AI$3,実績!$AI$6:$AI$505,"&lt;="&amp;$A11,実績!$AJ$6:$AJ$505,"&gt;"&amp;$A11,実績!$AK$6:$AK$505,"○")&gt;0,1,0))</f>
        <v>0</v>
      </c>
      <c r="AJ11" s="39" t="n">
        <f aca="false">IF(AJ$4=0,0,IF(COUNTIFS(実績!$W$6:$W$505,AJ$3,実績!$AI$6:$AI$505,"&lt;="&amp;$A11,実績!$AJ$6:$AJ$505,"&gt;"&amp;$A11,実績!$AK$6:$AK$505,"○")&gt;0,1,0))</f>
        <v>0</v>
      </c>
      <c r="AK11" s="39" t="n">
        <f aca="false">IF(AK$4=0,0,IF(COUNTIFS(実績!$W$6:$W$505,AK$3,実績!$AI$6:$AI$505,"&lt;="&amp;$A11,実績!$AJ$6:$AJ$505,"&gt;"&amp;$A11,実績!$AK$6:$AK$505,"○")&gt;0,1,0))</f>
        <v>0</v>
      </c>
      <c r="AL11" s="39" t="n">
        <f aca="false">IF(AL$4=0,0,IF(COUNTIFS(実績!$W$6:$W$505,AL$3,実績!$AI$6:$AI$505,"&lt;="&amp;$A11,実績!$AJ$6:$AJ$505,"&gt;"&amp;$A11,実績!$AK$6:$AK$505,"○")&gt;0,1,0))</f>
        <v>0</v>
      </c>
      <c r="AM11" s="39" t="n">
        <f aca="false">IF(AM$4=0,0,IF(COUNTIFS(実績!$W$6:$W$505,AM$3,実績!$AI$6:$AI$505,"&lt;="&amp;$A11,実績!$AJ$6:$AJ$505,"&gt;"&amp;$A11,実績!$AK$6:$AK$505,"○")&gt;0,1,0))</f>
        <v>0</v>
      </c>
      <c r="AN11" s="39" t="n">
        <f aca="false">IF(AN$4=0,0,IF(COUNTIFS(実績!$W$6:$W$505,AN$3,実績!$AI$6:$AI$505,"&lt;="&amp;$A11,実績!$AJ$6:$AJ$505,"&gt;"&amp;$A11,実績!$AK$6:$AK$505,"○")&gt;0,1,0))</f>
        <v>0</v>
      </c>
      <c r="AO11" s="39" t="n">
        <f aca="false">IF(AO$4=0,0,IF(COUNTIFS(実績!$W$6:$W$505,AO$3,実績!$AI$6:$AI$505,"&lt;="&amp;$A11,実績!$AJ$6:$AJ$505,"&gt;"&amp;$A11,実績!$AK$6:$AK$505,"○")&gt;0,1,0))</f>
        <v>0</v>
      </c>
      <c r="AP11" s="39" t="n">
        <f aca="false">IF(AP$4=0,0,IF(COUNTIFS(実績!$W$6:$W$505,AP$3,実績!$AI$6:$AI$505,"&lt;="&amp;$A11,実績!$AJ$6:$AJ$505,"&gt;"&amp;$A11,実績!$AK$6:$AK$505,"○")&gt;0,1,0))</f>
        <v>0</v>
      </c>
      <c r="AQ11" s="39" t="n">
        <f aca="false">IF(AQ$4=0,0,IF(COUNTIFS(実績!$W$6:$W$505,AQ$3,実績!$AI$6:$AI$505,"&lt;="&amp;$A11,実績!$AJ$6:$AJ$505,"&gt;"&amp;$A11,実績!$AK$6:$AK$505,"○")&gt;0,1,0))</f>
        <v>0</v>
      </c>
      <c r="AR11" s="39" t="n">
        <f aca="false">IF(AR$4=0,0,IF(COUNTIFS(実績!$W$6:$W$505,AR$3,実績!$AI$6:$AI$505,"&lt;="&amp;$A11,実績!$AJ$6:$AJ$505,"&gt;"&amp;$A11,実績!$AK$6:$AK$505,"○")&gt;0,1,0))</f>
        <v>0</v>
      </c>
      <c r="AS11" s="39" t="n">
        <f aca="false">IF(AS$4=0,0,IF(COUNTIFS(実績!$W$6:$W$505,AS$3,実績!$AI$6:$AI$505,"&lt;="&amp;$A11,実績!$AJ$6:$AJ$505,"&gt;"&amp;$A11,実績!$AK$6:$AK$505,"○")&gt;0,1,0))</f>
        <v>0</v>
      </c>
      <c r="AT11" s="39" t="n">
        <f aca="false">IF(AT$4=0,0,IF(COUNTIFS(実績!$W$6:$W$505,AT$3,実績!$AI$6:$AI$505,"&lt;="&amp;$A11,実績!$AJ$6:$AJ$505,"&gt;"&amp;$A11,実績!$AK$6:$AK$505,"○")&gt;0,1,0))</f>
        <v>0</v>
      </c>
      <c r="AU11" s="39" t="n">
        <f aca="false">IF(AU$4=0,0,IF(COUNTIFS(実績!$W$6:$W$505,AU$3,実績!$AI$6:$AI$505,"&lt;="&amp;$A11,実績!$AJ$6:$AJ$505,"&gt;"&amp;$A11,実績!$AK$6:$AK$505,"○")&gt;0,1,0))</f>
        <v>0</v>
      </c>
      <c r="AV11" s="39" t="n">
        <f aca="false">IF(AV$4=0,0,IF(COUNTIFS(実績!$W$6:$W$505,AV$3,実績!$AI$6:$AI$505,"&lt;="&amp;$A11,実績!$AJ$6:$AJ$505,"&gt;"&amp;$A11,実績!$AK$6:$AK$505,"○")&gt;0,1,0))</f>
        <v>0</v>
      </c>
      <c r="AW11" s="39" t="n">
        <f aca="false">IF(AW$4=0,0,IF(COUNTIFS(実績!$W$6:$W$505,AW$3,実績!$AI$6:$AI$505,"&lt;="&amp;$A11,実績!$AJ$6:$AJ$505,"&gt;"&amp;$A11,実績!$AK$6:$AK$505,"○")&gt;0,1,0))</f>
        <v>0</v>
      </c>
      <c r="AX11" s="39" t="n">
        <f aca="false">IF(AX$4=0,0,IF(COUNTIFS(実績!$W$6:$W$505,AX$3,実績!$AI$6:$AI$505,"&lt;="&amp;$A11,実績!$AJ$6:$AJ$505,"&gt;"&amp;$A11,実績!$AK$6:$AK$505,"○")&gt;0,1,0))</f>
        <v>0</v>
      </c>
      <c r="AY11" s="39" t="n">
        <f aca="false">IF(AY$4=0,0,IF(COUNTIFS(実績!$W$6:$W$505,AY$3,実績!$AI$6:$AI$505,"&lt;="&amp;$A11,実績!$AJ$6:$AJ$505,"&gt;"&amp;$A11,実績!$AK$6:$AK$505,"○")&gt;0,1,0))</f>
        <v>0</v>
      </c>
      <c r="AZ11" s="39" t="n">
        <f aca="false">IF(AZ$4=0,0,IF(COUNTIFS(実績!$W$6:$W$505,AZ$3,実績!$AI$6:$AI$505,"&lt;="&amp;$A11,実績!$AJ$6:$AJ$505,"&gt;"&amp;$A11,実績!$AK$6:$AK$505,"○")&gt;0,1,0))</f>
        <v>0</v>
      </c>
      <c r="BA11" s="39" t="n">
        <f aca="false">IF(BA$4=0,0,IF(COUNTIFS(実績!$W$6:$W$505,BA$3,実績!$AI$6:$AI$505,"&lt;="&amp;$A11,実績!$AJ$6:$AJ$505,"&gt;"&amp;$A11,実績!$AK$6:$AK$505,"○")&gt;0,1,0))</f>
        <v>0</v>
      </c>
      <c r="BB11" s="39" t="n">
        <f aca="false">IF(BB$4=0,0,IF(COUNTIFS(実績!$W$6:$W$505,BB$3,実績!$AI$6:$AI$505,"&lt;="&amp;$A11,実績!$AJ$6:$AJ$505,"&gt;"&amp;$A11,実績!$AK$6:$AK$505,"○")&gt;0,1,0))</f>
        <v>0</v>
      </c>
      <c r="BC11" s="39" t="n">
        <f aca="false">IF(BC$4=0,0,IF(COUNTIFS(実績!$W$6:$W$505,BC$3,実績!$AI$6:$AI$505,"&lt;="&amp;$A11,実績!$AJ$6:$AJ$505,"&gt;"&amp;$A11,実績!$AK$6:$AK$505,"○")&gt;0,1,0))</f>
        <v>0</v>
      </c>
      <c r="BD11" s="39" t="n">
        <f aca="false">IF(BD$4=0,0,IF(COUNTIFS(実績!$W$6:$W$505,BD$3,実績!$AI$6:$AI$505,"&lt;="&amp;$A11,実績!$AJ$6:$AJ$505,"&gt;"&amp;$A11,実績!$AK$6:$AK$505,"○")&gt;0,1,0))</f>
        <v>0</v>
      </c>
      <c r="BE11" s="39" t="n">
        <f aca="false">IF(BE$4=0,0,IF(COUNTIFS(実績!$W$6:$W$505,BE$3,実績!$AI$6:$AI$505,"&lt;="&amp;$A11,実績!$AJ$6:$AJ$505,"&gt;"&amp;$A11,実績!$AK$6:$AK$505,"○")&gt;0,1,0))</f>
        <v>0</v>
      </c>
      <c r="BF11" s="39" t="n">
        <f aca="false">IF(BF$4=0,0,IF(COUNTIFS(実績!$W$6:$W$505,BF$3,実績!$AI$6:$AI$505,"&lt;="&amp;$A11,実績!$AJ$6:$AJ$505,"&gt;"&amp;$A11,実績!$AK$6:$AK$505,"○")&gt;0,1,0))</f>
        <v>0</v>
      </c>
      <c r="BG11" s="39" t="n">
        <f aca="false">IF(BG$4=0,0,IF(COUNTIFS(実績!$W$6:$W$505,BG$3,実績!$AI$6:$AI$505,"&lt;="&amp;$A11,実績!$AJ$6:$AJ$505,"&gt;"&amp;$A11,実績!$AK$6:$AK$505,"○")&gt;0,1,0))</f>
        <v>0</v>
      </c>
      <c r="BH11" s="39" t="n">
        <f aca="false">IF(BH$4=0,0,IF(COUNTIFS(実績!$W$6:$W$505,BH$3,実績!$AI$6:$AI$505,"&lt;="&amp;$A11,実績!$AJ$6:$AJ$505,"&gt;"&amp;$A11,実績!$AK$6:$AK$505,"○")&gt;0,1,0))</f>
        <v>0</v>
      </c>
      <c r="BI11" s="39" t="n">
        <f aca="false">IF(BI$4=0,0,IF(COUNTIFS(実績!$W$6:$W$505,BI$3,実績!$AI$6:$AI$505,"&lt;="&amp;$A11,実績!$AJ$6:$AJ$505,"&gt;"&amp;$A11,実績!$AK$6:$AK$505,"○")&gt;0,1,0))</f>
        <v>0</v>
      </c>
      <c r="BJ11" s="39" t="n">
        <f aca="false">IF(BJ$4=0,0,IF(COUNTIFS(実績!$W$6:$W$505,BJ$3,実績!$AI$6:$AI$505,"&lt;="&amp;$A11,実績!$AJ$6:$AJ$505,"&gt;"&amp;$A11,実績!$AK$6:$AK$505,"○")&gt;0,1,0))</f>
        <v>0</v>
      </c>
      <c r="BK11" s="39" t="n">
        <f aca="false">IF(BK$4=0,0,IF(COUNTIFS(実績!$W$6:$W$505,BK$3,実績!$AI$6:$AI$505,"&lt;="&amp;$A11,実績!$AJ$6:$AJ$505,"&gt;"&amp;$A11,実績!$AK$6:$AK$505,"○")&gt;0,1,0))</f>
        <v>0</v>
      </c>
      <c r="BL11" s="39" t="n">
        <f aca="false">IF(BL$4=0,0,IF(COUNTIFS(実績!$W$6:$W$505,BL$3,実績!$AI$6:$AI$505,"&lt;="&amp;$A11,実績!$AJ$6:$AJ$505,"&gt;"&amp;$A11,実績!$AK$6:$AK$505,"○")&gt;0,1,0))</f>
        <v>0</v>
      </c>
      <c r="BM11" s="39" t="n">
        <f aca="false">IF(BM$4=0,0,IF(COUNTIFS(実績!$W$6:$W$505,BM$3,実績!$AI$6:$AI$505,"&lt;="&amp;$A11,実績!$AJ$6:$AJ$505,"&gt;"&amp;$A11,実績!$AK$6:$AK$505,"○")&gt;0,1,0))</f>
        <v>0</v>
      </c>
      <c r="BN11" s="39" t="n">
        <f aca="false">IF(BN$4=0,0,IF(COUNTIFS(実績!$W$6:$W$505,BN$3,実績!$AI$6:$AI$505,"&lt;="&amp;$A11,実績!$AJ$6:$AJ$505,"&gt;"&amp;$A11,実績!$AK$6:$AK$505,"○")&gt;0,1,0))</f>
        <v>0</v>
      </c>
      <c r="BO11" s="39" t="n">
        <f aca="false">IF(BO$4=0,0,IF(COUNTIFS(実績!$W$6:$W$505,BO$3,実績!$AI$6:$AI$505,"&lt;="&amp;$A11,実績!$AJ$6:$AJ$505,"&gt;"&amp;$A11,実績!$AK$6:$AK$505,"○")&gt;0,1,0))</f>
        <v>0</v>
      </c>
      <c r="BP11" s="39" t="n">
        <f aca="false">IF(BP$4=0,0,IF(COUNTIFS(実績!$W$6:$W$505,BP$3,実績!$AI$6:$AI$505,"&lt;="&amp;$A11,実績!$AJ$6:$AJ$505,"&gt;"&amp;$A11,実績!$AK$6:$AK$505,"○")&gt;0,1,0))</f>
        <v>0</v>
      </c>
      <c r="BQ11" s="39" t="n">
        <f aca="false">IF(BQ$4=0,0,IF(COUNTIFS(実績!$W$6:$W$505,BQ$3,実績!$AI$6:$AI$505,"&lt;="&amp;$A11,実績!$AJ$6:$AJ$505,"&gt;"&amp;$A11,実績!$AK$6:$AK$505,"○")&gt;0,1,0))</f>
        <v>0</v>
      </c>
      <c r="BR11" s="39" t="n">
        <f aca="false">IF(BR$4=0,0,IF(COUNTIFS(実績!$W$6:$W$505,BR$3,実績!$AI$6:$AI$505,"&lt;="&amp;$A11,実績!$AJ$6:$AJ$505,"&gt;"&amp;$A11,実績!$AK$6:$AK$505,"○")&gt;0,1,0))</f>
        <v>0</v>
      </c>
      <c r="BS11" s="39" t="n">
        <f aca="false">IF(BS$4=0,0,IF(COUNTIFS(実績!$W$6:$W$505,BS$3,実績!$AI$6:$AI$505,"&lt;="&amp;$A11,実績!$AJ$6:$AJ$505,"&gt;"&amp;$A11,実績!$AK$6:$AK$505,"○")&gt;0,1,0))</f>
        <v>0</v>
      </c>
      <c r="BT11" s="39" t="n">
        <f aca="false">IF(BT$4=0,0,IF(COUNTIFS(実績!$W$6:$W$505,BT$3,実績!$AI$6:$AI$505,"&lt;="&amp;$A11,実績!$AJ$6:$AJ$505,"&gt;"&amp;$A11,実績!$AK$6:$AK$505,"○")&gt;0,1,0))</f>
        <v>0</v>
      </c>
      <c r="BU11" s="39" t="n">
        <f aca="false">IF(BU$4=0,0,IF(COUNTIFS(実績!$W$6:$W$505,BU$3,実績!$AI$6:$AI$505,"&lt;="&amp;$A11,実績!$AJ$6:$AJ$505,"&gt;"&amp;$A11,実績!$AK$6:$AK$505,"○")&gt;0,1,0))</f>
        <v>0</v>
      </c>
      <c r="BV11" s="39" t="n">
        <f aca="false">IF(BV$4=0,0,IF(COUNTIFS(実績!$W$6:$W$505,BV$3,実績!$AI$6:$AI$505,"&lt;="&amp;$A11,実績!$AJ$6:$AJ$505,"&gt;"&amp;$A11,実績!$AK$6:$AK$505,"○")&gt;0,1,0))</f>
        <v>0</v>
      </c>
      <c r="BW11" s="39" t="n">
        <f aca="false">IF(BW$4=0,0,IF(COUNTIFS(実績!$W$6:$W$505,BW$3,実績!$AI$6:$AI$505,"&lt;="&amp;$A11,実績!$AJ$6:$AJ$505,"&gt;"&amp;$A11,実績!$AK$6:$AK$505,"○")&gt;0,1,0))</f>
        <v>0</v>
      </c>
      <c r="BX11" s="39" t="n">
        <f aca="false">IF(BX$4=0,0,IF(COUNTIFS(実績!$W$6:$W$505,BX$3,実績!$AI$6:$AI$505,"&lt;="&amp;$A11,実績!$AJ$6:$AJ$505,"&gt;"&amp;$A11,実績!$AK$6:$AK$505,"○")&gt;0,1,0))</f>
        <v>0</v>
      </c>
      <c r="BY11" s="39" t="n">
        <f aca="false">IF(BY$4=0,0,IF(COUNTIFS(実績!$W$6:$W$505,BY$3,実績!$AI$6:$AI$505,"&lt;="&amp;$A11,実績!$AJ$6:$AJ$505,"&gt;"&amp;$A11,実績!$AK$6:$AK$505,"○")&gt;0,1,0))</f>
        <v>0</v>
      </c>
      <c r="BZ11" s="39" t="n">
        <f aca="false">IF(BZ$4=0,0,IF(COUNTIFS(実績!$W$6:$W$505,BZ$3,実績!$AI$6:$AI$505,"&lt;="&amp;$A11,実績!$AJ$6:$AJ$505,"&gt;"&amp;$A11,実績!$AK$6:$AK$505,"○")&gt;0,1,0))</f>
        <v>0</v>
      </c>
      <c r="CA11" s="39" t="n">
        <f aca="false">IF(CA$4=0,0,IF(COUNTIFS(実績!$W$6:$W$505,CA$3,実績!$AI$6:$AI$505,"&lt;="&amp;$A11,実績!$AJ$6:$AJ$505,"&gt;"&amp;$A11,実績!$AK$6:$AK$505,"○")&gt;0,1,0))</f>
        <v>0</v>
      </c>
      <c r="CB11" s="39" t="n">
        <f aca="false">IF(CB$4=0,0,IF(COUNTIFS(実績!$W$6:$W$505,CB$3,実績!$AI$6:$AI$505,"&lt;="&amp;$A11,実績!$AJ$6:$AJ$505,"&gt;"&amp;$A11,実績!$AK$6:$AK$505,"○")&gt;0,1,0))</f>
        <v>0</v>
      </c>
      <c r="CC11" s="39" t="n">
        <f aca="false">IF(CC$4=0,0,IF(COUNTIFS(実績!$W$6:$W$505,CC$3,実績!$AI$6:$AI$505,"&lt;="&amp;$A11,実績!$AJ$6:$AJ$505,"&gt;"&amp;$A11,実績!$AK$6:$AK$505,"○")&gt;0,1,0))</f>
        <v>0</v>
      </c>
      <c r="CD11" s="39" t="n">
        <f aca="false">IF(CD$4=0,0,IF(COUNTIFS(実績!$W$6:$W$505,CD$3,実績!$AI$6:$AI$505,"&lt;="&amp;$A11,実績!$AJ$6:$AJ$505,"&gt;"&amp;$A11,実績!$AK$6:$AK$505,"○")&gt;0,1,0))</f>
        <v>0</v>
      </c>
      <c r="CE11" s="39" t="n">
        <f aca="false">IF(CE$4=0,0,IF(COUNTIFS(実績!$W$6:$W$505,CE$3,実績!$AI$6:$AI$505,"&lt;="&amp;$A11,実績!$AJ$6:$AJ$505,"&gt;"&amp;$A11,実績!$AK$6:$AK$505,"○")&gt;0,1,0))</f>
        <v>0</v>
      </c>
      <c r="CF11" s="39" t="n">
        <f aca="false">IF(CF$4=0,0,IF(COUNTIFS(実績!$W$6:$W$505,CF$3,実績!$AI$6:$AI$505,"&lt;="&amp;$A11,実績!$AJ$6:$AJ$505,"&gt;"&amp;$A11,実績!$AK$6:$AK$505,"○")&gt;0,1,0))</f>
        <v>0</v>
      </c>
      <c r="CG11" s="39" t="n">
        <f aca="false">IF(CG$4=0,0,IF(COUNTIFS(実績!$W$6:$W$505,CG$3,実績!$AI$6:$AI$505,"&lt;="&amp;$A11,実績!$AJ$6:$AJ$505,"&gt;"&amp;$A11,実績!$AK$6:$AK$505,"○")&gt;0,1,0))</f>
        <v>0</v>
      </c>
      <c r="CH11" s="39" t="n">
        <f aca="false">IF(CH$4=0,0,IF(COUNTIFS(実績!$W$6:$W$505,CH$3,実績!$AI$6:$AI$505,"&lt;="&amp;$A11,実績!$AJ$6:$AJ$505,"&gt;"&amp;$A11,実績!$AK$6:$AK$505,"○")&gt;0,1,0))</f>
        <v>0</v>
      </c>
      <c r="CI11" s="39" t="n">
        <f aca="false">IF(CI$4=0,0,IF(COUNTIFS(実績!$W$6:$W$505,CI$3,実績!$AI$6:$AI$505,"&lt;="&amp;$A11,実績!$AJ$6:$AJ$505,"&gt;"&amp;$A11,実績!$AK$6:$AK$505,"○")&gt;0,1,0))</f>
        <v>0</v>
      </c>
      <c r="CJ11" s="39" t="n">
        <f aca="false">IF(CJ$4=0,0,IF(COUNTIFS(実績!$W$6:$W$505,CJ$3,実績!$AI$6:$AI$505,"&lt;="&amp;$A11,実績!$AJ$6:$AJ$505,"&gt;"&amp;$A11,実績!$AK$6:$AK$505,"○")&gt;0,1,0))</f>
        <v>0</v>
      </c>
      <c r="CK11" s="39" t="n">
        <f aca="false">IF(CK$4=0,0,IF(COUNTIFS(実績!$W$6:$W$505,CK$3,実績!$AI$6:$AI$505,"&lt;="&amp;$A11,実績!$AJ$6:$AJ$505,"&gt;"&amp;$A11,実績!$AK$6:$AK$505,"○")&gt;0,1,0))</f>
        <v>0</v>
      </c>
      <c r="CL11" s="39" t="n">
        <f aca="false">IF(CL$4=0,0,IF(COUNTIFS(実績!$W$6:$W$505,CL$3,実績!$AI$6:$AI$505,"&lt;="&amp;$A11,実績!$AJ$6:$AJ$505,"&gt;"&amp;$A11,実績!$AK$6:$AK$505,"○")&gt;0,1,0))</f>
        <v>0</v>
      </c>
      <c r="CM11" s="39" t="n">
        <f aca="false">IF(CM$4=0,0,IF(COUNTIFS(実績!$W$6:$W$505,CM$3,実績!$AI$6:$AI$505,"&lt;="&amp;$A11,実績!$AJ$6:$AJ$505,"&gt;"&amp;$A11,実績!$AK$6:$AK$505,"○")&gt;0,1,0))</f>
        <v>0</v>
      </c>
      <c r="CN11" s="39" t="n">
        <f aca="false">IF(CN$4=0,0,IF(COUNTIFS(実績!$W$6:$W$505,CN$3,実績!$AI$6:$AI$505,"&lt;="&amp;$A11,実績!$AJ$6:$AJ$505,"&gt;"&amp;$A11,実績!$AK$6:$AK$505,"○")&gt;0,1,0))</f>
        <v>0</v>
      </c>
      <c r="CO11" s="39" t="n">
        <f aca="false">IF(CO$4=0,0,IF(COUNTIFS(実績!$W$6:$W$505,CO$3,実績!$AI$6:$AI$505,"&lt;="&amp;$A11,実績!$AJ$6:$AJ$505,"&gt;"&amp;$A11,実績!$AK$6:$AK$505,"○")&gt;0,1,0))</f>
        <v>0</v>
      </c>
      <c r="CP11" s="39" t="n">
        <f aca="false">IF(CP$4=0,0,IF(COUNTIFS(実績!$W$6:$W$505,CP$3,実績!$AI$6:$AI$505,"&lt;="&amp;$A11,実績!$AJ$6:$AJ$505,"&gt;"&amp;$A11,実績!$AK$6:$AK$505,"○")&gt;0,1,0))</f>
        <v>0</v>
      </c>
      <c r="CQ11" s="39" t="n">
        <f aca="false">IF(CQ$4=0,0,IF(COUNTIFS(実績!$W$6:$W$505,CQ$3,実績!$AI$6:$AI$505,"&lt;="&amp;$A11,実績!$AJ$6:$AJ$505,"&gt;"&amp;$A11,実績!$AK$6:$AK$505,"○")&gt;0,1,0))</f>
        <v>0</v>
      </c>
      <c r="CR11" s="39" t="n">
        <f aca="false">IF(CR$4=0,0,IF(COUNTIFS(実績!$W$6:$W$505,CR$3,実績!$AI$6:$AI$505,"&lt;="&amp;$A11,実績!$AJ$6:$AJ$505,"&gt;"&amp;$A11,実績!$AK$6:$AK$505,"○")&gt;0,1,0))</f>
        <v>0</v>
      </c>
      <c r="CS11" s="39" t="n">
        <f aca="false">IF(CS$4=0,0,IF(COUNTIFS(実績!$W$6:$W$505,CS$3,実績!$AI$6:$AI$505,"&lt;="&amp;$A11,実績!$AJ$6:$AJ$505,"&gt;"&amp;$A11,実績!$AK$6:$AK$505,"○")&gt;0,1,0))</f>
        <v>0</v>
      </c>
      <c r="CT11" s="39" t="n">
        <f aca="false">IF(CT$4=0,0,IF(COUNTIFS(実績!$W$6:$W$505,CT$3,実績!$AI$6:$AI$505,"&lt;="&amp;$A11,実績!$AJ$6:$AJ$505,"&gt;"&amp;$A11,実績!$AK$6:$AK$505,"○")&gt;0,1,0))</f>
        <v>0</v>
      </c>
      <c r="CU11" s="39" t="n">
        <f aca="false">IF(CU$4=0,0,IF(COUNTIFS(実績!$W$6:$W$505,CU$3,実績!$AI$6:$AI$505,"&lt;="&amp;$A11,実績!$AJ$6:$AJ$505,"&gt;"&amp;$A11,実績!$AK$6:$AK$505,"○")&gt;0,1,0))</f>
        <v>0</v>
      </c>
      <c r="CV11" s="39" t="n">
        <f aca="false">IF(CV$4=0,0,IF(COUNTIFS(実績!$W$6:$W$505,CV$3,実績!$AI$6:$AI$505,"&lt;="&amp;$A11,実績!$AJ$6:$AJ$505,"&gt;"&amp;$A11,実績!$AK$6:$AK$505,"○")&gt;0,1,0))</f>
        <v>0</v>
      </c>
      <c r="CW11" s="39" t="n">
        <f aca="false">IF(CW$4=0,0,IF(COUNTIFS(実績!$W$6:$W$505,CW$3,実績!$AI$6:$AI$505,"&lt;="&amp;$A11,実績!$AJ$6:$AJ$505,"&gt;"&amp;$A11,実績!$AK$6:$AK$505,"○")&gt;0,1,0))</f>
        <v>0</v>
      </c>
      <c r="CX11" s="39" t="n">
        <f aca="false">IF(CX$4=0,0,IF(COUNTIFS(実績!$W$6:$W$505,CX$3,実績!$AI$6:$AI$505,"&lt;="&amp;$A11,実績!$AJ$6:$AJ$505,"&gt;"&amp;$A11,実績!$AK$6:$AK$505,"○")&gt;0,1,0))</f>
        <v>0</v>
      </c>
      <c r="CY11" s="39" t="n">
        <f aca="false">IF(CY$4=0,0,IF(COUNTIFS(実績!$W$6:$W$505,CY$3,実績!$AI$6:$AI$505,"&lt;="&amp;$A11,実績!$AJ$6:$AJ$505,"&gt;"&amp;$A11,実績!$AK$6:$AK$505,"○")&gt;0,1,0))</f>
        <v>0</v>
      </c>
      <c r="CZ11" s="39" t="n">
        <f aca="false">IF(CZ$4=0,0,IF(COUNTIFS(実績!$W$6:$W$505,CZ$3,実績!$AI$6:$AI$505,"&lt;="&amp;$A11,実績!$AJ$6:$AJ$505,"&gt;"&amp;$A11,実績!$AK$6:$AK$505,"○")&gt;0,1,0))</f>
        <v>0</v>
      </c>
      <c r="DA11" s="39" t="n">
        <f aca="false">IF(DA$4=0,0,IF(COUNTIFS(実績!$W$6:$W$505,DA$3,実績!$AI$6:$AI$505,"&lt;="&amp;$A11,実績!$AJ$6:$AJ$505,"&gt;"&amp;$A11,実績!$AK$6:$AK$505,"○")&gt;0,1,0))</f>
        <v>0</v>
      </c>
      <c r="DB11" s="39" t="n">
        <f aca="false">IF(DB$4=0,0,IF(COUNTIFS(実績!$W$6:$W$505,DB$3,実績!$AI$6:$AI$505,"&lt;="&amp;$A11,実績!$AJ$6:$AJ$505,"&gt;"&amp;$A11,実績!$AK$6:$AK$505,"○")&gt;0,1,0))</f>
        <v>0</v>
      </c>
      <c r="DC11" s="39" t="n">
        <f aca="false">IF(DC$4=0,0,IF(COUNTIFS(実績!$W$6:$W$505,DC$3,実績!$AI$6:$AI$505,"&lt;="&amp;$A11,実績!$AJ$6:$AJ$505,"&gt;"&amp;$A11,実績!$AK$6:$AK$505,"○")&gt;0,1,0))</f>
        <v>0</v>
      </c>
      <c r="DD11" s="39" t="n">
        <f aca="false">IF(DD$4=0,0,IF(COUNTIFS(実績!$W$6:$W$505,DD$3,実績!$AI$6:$AI$505,"&lt;="&amp;$A11,実績!$AJ$6:$AJ$505,"&gt;"&amp;$A11,実績!$AK$6:$AK$505,"○")&gt;0,1,0))</f>
        <v>0</v>
      </c>
      <c r="DE11" s="39" t="n">
        <f aca="false">IF(DE$4=0,0,IF(COUNTIFS(実績!$W$6:$W$505,DE$3,実績!$AI$6:$AI$505,"&lt;="&amp;$A11,実績!$AJ$6:$AJ$505,"&gt;"&amp;$A11,実績!$AK$6:$AK$505,"○")&gt;0,1,0))</f>
        <v>0</v>
      </c>
      <c r="DF11" s="39" t="n">
        <f aca="false">IF(DF$4=0,0,IF(COUNTIFS(実績!$W$6:$W$505,DF$3,実績!$AI$6:$AI$505,"&lt;="&amp;$A11,実績!$AJ$6:$AJ$505,"&gt;"&amp;$A11,実績!$AK$6:$AK$505,"○")&gt;0,1,0))</f>
        <v>0</v>
      </c>
      <c r="DG11" s="39" t="n">
        <f aca="false">IF(DG$4=0,0,IF(COUNTIFS(実績!$W$6:$W$505,DG$3,実績!$AI$6:$AI$505,"&lt;="&amp;$A11,実績!$AJ$6:$AJ$505,"&gt;"&amp;$A11,実績!$AK$6:$AK$505,"○")&gt;0,1,0))</f>
        <v>0</v>
      </c>
      <c r="DH11" s="39" t="n">
        <f aca="false">IF(DH$4=0,0,IF(COUNTIFS(実績!$W$6:$W$505,DH$3,実績!$AI$6:$AI$505,"&lt;="&amp;$A11,実績!$AJ$6:$AJ$505,"&gt;"&amp;$A11,実績!$AK$6:$AK$505,"○")&gt;0,1,0))</f>
        <v>0</v>
      </c>
      <c r="DI11" s="39" t="n">
        <f aca="false">IF(DI$4=0,0,IF(COUNTIFS(実績!$W$6:$W$505,DI$3,実績!$AI$6:$AI$505,"&lt;="&amp;$A11,実績!$AJ$6:$AJ$505,"&gt;"&amp;$A11,実績!$AK$6:$AK$505,"○")&gt;0,1,0))</f>
        <v>0</v>
      </c>
      <c r="DJ11" s="39" t="n">
        <f aca="false">IF(DJ$4=0,0,IF(COUNTIFS(実績!$W$6:$W$505,DJ$3,実績!$AI$6:$AI$505,"&lt;="&amp;$A11,実績!$AJ$6:$AJ$505,"&gt;"&amp;$A11,実績!$AK$6:$AK$505,"○")&gt;0,1,0))</f>
        <v>0</v>
      </c>
      <c r="DK11" s="39" t="n">
        <f aca="false">IF(DK$4=0,0,IF(COUNTIFS(実績!$W$6:$W$505,DK$3,実績!$AI$6:$AI$505,"&lt;="&amp;$A11,実績!$AJ$6:$AJ$505,"&gt;"&amp;$A11,実績!$AK$6:$AK$505,"○")&gt;0,1,0))</f>
        <v>0</v>
      </c>
      <c r="DL11" s="39" t="n">
        <f aca="false">IF(DL$4=0,0,IF(COUNTIFS(実績!$W$6:$W$505,DL$3,実績!$AI$6:$AI$505,"&lt;="&amp;$A11,実績!$AJ$6:$AJ$505,"&gt;"&amp;$A11,実績!$AK$6:$AK$505,"○")&gt;0,1,0))</f>
        <v>0</v>
      </c>
      <c r="DM11" s="39" t="n">
        <f aca="false">IF(DM$4=0,0,IF(COUNTIFS(実績!$W$6:$W$505,DM$3,実績!$AI$6:$AI$505,"&lt;="&amp;$A11,実績!$AJ$6:$AJ$505,"&gt;"&amp;$A11,実績!$AK$6:$AK$505,"○")&gt;0,1,0))</f>
        <v>0</v>
      </c>
      <c r="DN11" s="39" t="n">
        <f aca="false">IF(DN$4=0,0,IF(COUNTIFS(実績!$W$6:$W$505,DN$3,実績!$AI$6:$AI$505,"&lt;="&amp;$A11,実績!$AJ$6:$AJ$505,"&gt;"&amp;$A11,実績!$AK$6:$AK$505,"○")&gt;0,1,0))</f>
        <v>0</v>
      </c>
      <c r="DO11" s="39" t="n">
        <f aca="false">IF(DO$4=0,0,IF(COUNTIFS(実績!$W$6:$W$505,DO$3,実績!$AI$6:$AI$505,"&lt;="&amp;$A11,実績!$AJ$6:$AJ$505,"&gt;"&amp;$A11,実績!$AK$6:$AK$505,"○")&gt;0,1,0))</f>
        <v>0</v>
      </c>
      <c r="DP11" s="39" t="n">
        <f aca="false">IF(DP$4=0,0,IF(COUNTIFS(実績!$W$6:$W$505,DP$3,実績!$AI$6:$AI$505,"&lt;="&amp;$A11,実績!$AJ$6:$AJ$505,"&gt;"&amp;$A11,実績!$AK$6:$AK$505,"○")&gt;0,1,0))</f>
        <v>0</v>
      </c>
      <c r="DQ11" s="39" t="n">
        <f aca="false">IF(DQ$4=0,0,IF(COUNTIFS(実績!$W$6:$W$505,DQ$3,実績!$AI$6:$AI$505,"&lt;="&amp;$A11,実績!$AJ$6:$AJ$505,"&gt;"&amp;$A11,実績!$AK$6:$AK$505,"○")&gt;0,1,0))</f>
        <v>0</v>
      </c>
      <c r="DR11" s="39" t="n">
        <f aca="false">IF(DR$4=0,0,IF(COUNTIFS(実績!$W$6:$W$505,DR$3,実績!$AI$6:$AI$505,"&lt;="&amp;$A11,実績!$AJ$6:$AJ$505,"&gt;"&amp;$A11,実績!$AK$6:$AK$505,"○")&gt;0,1,0))</f>
        <v>0</v>
      </c>
      <c r="DS11" s="39" t="n">
        <f aca="false">SUM(C11:DR11)</f>
        <v>0</v>
      </c>
      <c r="DT11" s="39" t="n">
        <f aca="false">SUMPRODUCT((実績!$C$6:$C$505="○")*ISNUMBER(実績!$AM$6:$AM$505)*(実績!$AM$6:$AM$505&lt;=$A11)*(実績!$AN$6:$AN$505&gt;$A11))</f>
        <v>0</v>
      </c>
      <c r="DU11" s="39" t="n">
        <f aca="false">SUMIF($C$2:$DR$2,"製鉄曳船",C11:DR11)</f>
        <v>0</v>
      </c>
      <c r="DV11" s="39" t="n">
        <f aca="false">SUMIF($C$2:$DR$2,"西日本海運",C11:DR11)</f>
        <v>0</v>
      </c>
    </row>
    <row r="12" customFormat="false" ht="15" hidden="false" customHeight="false" outlineLevel="0" collapsed="false">
      <c r="A12" s="0" t="n">
        <v>30</v>
      </c>
      <c r="B12" s="38" t="n">
        <f aca="false">A12/1440</f>
        <v>0.0208333333333333</v>
      </c>
      <c r="C12" s="39" t="n">
        <f aca="false">IF(C$4=0,0,IF(COUNTIFS(実績!$W$6:$W$505,C$3,実績!$AI$6:$AI$505,"&lt;="&amp;$A12,実績!$AJ$6:$AJ$505,"&gt;"&amp;$A12,実績!$AK$6:$AK$505,"○")&gt;0,1,0))</f>
        <v>0</v>
      </c>
      <c r="D12" s="39" t="n">
        <f aca="false">IF(D$4=0,0,IF(COUNTIFS(実績!$W$6:$W$505,D$3,実績!$AI$6:$AI$505,"&lt;="&amp;$A12,実績!$AJ$6:$AJ$505,"&gt;"&amp;$A12,実績!$AK$6:$AK$505,"○")&gt;0,1,0))</f>
        <v>0</v>
      </c>
      <c r="E12" s="39" t="n">
        <f aca="false">IF(E$4=0,0,IF(COUNTIFS(実績!$W$6:$W$505,E$3,実績!$AI$6:$AI$505,"&lt;="&amp;$A12,実績!$AJ$6:$AJ$505,"&gt;"&amp;$A12,実績!$AK$6:$AK$505,"○")&gt;0,1,0))</f>
        <v>0</v>
      </c>
      <c r="F12" s="39" t="n">
        <f aca="false">IF(F$4=0,0,IF(COUNTIFS(実績!$W$6:$W$505,F$3,実績!$AI$6:$AI$505,"&lt;="&amp;$A12,実績!$AJ$6:$AJ$505,"&gt;"&amp;$A12,実績!$AK$6:$AK$505,"○")&gt;0,1,0))</f>
        <v>0</v>
      </c>
      <c r="G12" s="39" t="n">
        <f aca="false">IF(G$4=0,0,IF(COUNTIFS(実績!$W$6:$W$505,G$3,実績!$AI$6:$AI$505,"&lt;="&amp;$A12,実績!$AJ$6:$AJ$505,"&gt;"&amp;$A12,実績!$AK$6:$AK$505,"○")&gt;0,1,0))</f>
        <v>0</v>
      </c>
      <c r="H12" s="39" t="n">
        <f aca="false">IF(H$4=0,0,IF(COUNTIFS(実績!$W$6:$W$505,H$3,実績!$AI$6:$AI$505,"&lt;="&amp;$A12,実績!$AJ$6:$AJ$505,"&gt;"&amp;$A12,実績!$AK$6:$AK$505,"○")&gt;0,1,0))</f>
        <v>0</v>
      </c>
      <c r="I12" s="39" t="n">
        <f aca="false">IF(I$4=0,0,IF(COUNTIFS(実績!$W$6:$W$505,I$3,実績!$AI$6:$AI$505,"&lt;="&amp;$A12,実績!$AJ$6:$AJ$505,"&gt;"&amp;$A12,実績!$AK$6:$AK$505,"○")&gt;0,1,0))</f>
        <v>0</v>
      </c>
      <c r="J12" s="39" t="n">
        <f aca="false">IF(J$4=0,0,IF(COUNTIFS(実績!$W$6:$W$505,J$3,実績!$AI$6:$AI$505,"&lt;="&amp;$A12,実績!$AJ$6:$AJ$505,"&gt;"&amp;$A12,実績!$AK$6:$AK$505,"○")&gt;0,1,0))</f>
        <v>0</v>
      </c>
      <c r="K12" s="39" t="n">
        <f aca="false">IF(K$4=0,0,IF(COUNTIFS(実績!$W$6:$W$505,K$3,実績!$AI$6:$AI$505,"&lt;="&amp;$A12,実績!$AJ$6:$AJ$505,"&gt;"&amp;$A12,実績!$AK$6:$AK$505,"○")&gt;0,1,0))</f>
        <v>0</v>
      </c>
      <c r="L12" s="39" t="n">
        <f aca="false">IF(L$4=0,0,IF(COUNTIFS(実績!$W$6:$W$505,L$3,実績!$AI$6:$AI$505,"&lt;="&amp;$A12,実績!$AJ$6:$AJ$505,"&gt;"&amp;$A12,実績!$AK$6:$AK$505,"○")&gt;0,1,0))</f>
        <v>0</v>
      </c>
      <c r="M12" s="39" t="n">
        <f aca="false">IF(M$4=0,0,IF(COUNTIFS(実績!$W$6:$W$505,M$3,実績!$AI$6:$AI$505,"&lt;="&amp;$A12,実績!$AJ$6:$AJ$505,"&gt;"&amp;$A12,実績!$AK$6:$AK$505,"○")&gt;0,1,0))</f>
        <v>0</v>
      </c>
      <c r="N12" s="39" t="n">
        <f aca="false">IF(N$4=0,0,IF(COUNTIFS(実績!$W$6:$W$505,N$3,実績!$AI$6:$AI$505,"&lt;="&amp;$A12,実績!$AJ$6:$AJ$505,"&gt;"&amp;$A12,実績!$AK$6:$AK$505,"○")&gt;0,1,0))</f>
        <v>0</v>
      </c>
      <c r="O12" s="39" t="n">
        <f aca="false">IF(O$4=0,0,IF(COUNTIFS(実績!$W$6:$W$505,O$3,実績!$AI$6:$AI$505,"&lt;="&amp;$A12,実績!$AJ$6:$AJ$505,"&gt;"&amp;$A12,実績!$AK$6:$AK$505,"○")&gt;0,1,0))</f>
        <v>0</v>
      </c>
      <c r="P12" s="39" t="n">
        <f aca="false">IF(P$4=0,0,IF(COUNTIFS(実績!$W$6:$W$505,P$3,実績!$AI$6:$AI$505,"&lt;="&amp;$A12,実績!$AJ$6:$AJ$505,"&gt;"&amp;$A12,実績!$AK$6:$AK$505,"○")&gt;0,1,0))</f>
        <v>0</v>
      </c>
      <c r="Q12" s="39" t="n">
        <f aca="false">IF(Q$4=0,0,IF(COUNTIFS(実績!$W$6:$W$505,Q$3,実績!$AI$6:$AI$505,"&lt;="&amp;$A12,実績!$AJ$6:$AJ$505,"&gt;"&amp;$A12,実績!$AK$6:$AK$505,"○")&gt;0,1,0))</f>
        <v>0</v>
      </c>
      <c r="R12" s="39" t="n">
        <f aca="false">IF(R$4=0,0,IF(COUNTIFS(実績!$W$6:$W$505,R$3,実績!$AI$6:$AI$505,"&lt;="&amp;$A12,実績!$AJ$6:$AJ$505,"&gt;"&amp;$A12,実績!$AK$6:$AK$505,"○")&gt;0,1,0))</f>
        <v>0</v>
      </c>
      <c r="S12" s="39" t="n">
        <f aca="false">IF(S$4=0,0,IF(COUNTIFS(実績!$W$6:$W$505,S$3,実績!$AI$6:$AI$505,"&lt;="&amp;$A12,実績!$AJ$6:$AJ$505,"&gt;"&amp;$A12,実績!$AK$6:$AK$505,"○")&gt;0,1,0))</f>
        <v>0</v>
      </c>
      <c r="T12" s="39" t="n">
        <f aca="false">IF(T$4=0,0,IF(COUNTIFS(実績!$W$6:$W$505,T$3,実績!$AI$6:$AI$505,"&lt;="&amp;$A12,実績!$AJ$6:$AJ$505,"&gt;"&amp;$A12,実績!$AK$6:$AK$505,"○")&gt;0,1,0))</f>
        <v>0</v>
      </c>
      <c r="U12" s="39" t="n">
        <f aca="false">IF(U$4=0,0,IF(COUNTIFS(実績!$W$6:$W$505,U$3,実績!$AI$6:$AI$505,"&lt;="&amp;$A12,実績!$AJ$6:$AJ$505,"&gt;"&amp;$A12,実績!$AK$6:$AK$505,"○")&gt;0,1,0))</f>
        <v>0</v>
      </c>
      <c r="V12" s="39" t="n">
        <f aca="false">IF(V$4=0,0,IF(COUNTIFS(実績!$W$6:$W$505,V$3,実績!$AI$6:$AI$505,"&lt;="&amp;$A12,実績!$AJ$6:$AJ$505,"&gt;"&amp;$A12,実績!$AK$6:$AK$505,"○")&gt;0,1,0))</f>
        <v>0</v>
      </c>
      <c r="W12" s="39" t="n">
        <f aca="false">IF(W$4=0,0,IF(COUNTIFS(実績!$W$6:$W$505,W$3,実績!$AI$6:$AI$505,"&lt;="&amp;$A12,実績!$AJ$6:$AJ$505,"&gt;"&amp;$A12,実績!$AK$6:$AK$505,"○")&gt;0,1,0))</f>
        <v>0</v>
      </c>
      <c r="X12" s="39" t="n">
        <f aca="false">IF(X$4=0,0,IF(COUNTIFS(実績!$W$6:$W$505,X$3,実績!$AI$6:$AI$505,"&lt;="&amp;$A12,実績!$AJ$6:$AJ$505,"&gt;"&amp;$A12,実績!$AK$6:$AK$505,"○")&gt;0,1,0))</f>
        <v>0</v>
      </c>
      <c r="Y12" s="39" t="n">
        <f aca="false">IF(Y$4=0,0,IF(COUNTIFS(実績!$W$6:$W$505,Y$3,実績!$AI$6:$AI$505,"&lt;="&amp;$A12,実績!$AJ$6:$AJ$505,"&gt;"&amp;$A12,実績!$AK$6:$AK$505,"○")&gt;0,1,0))</f>
        <v>0</v>
      </c>
      <c r="Z12" s="39" t="n">
        <f aca="false">IF(Z$4=0,0,IF(COUNTIFS(実績!$W$6:$W$505,Z$3,実績!$AI$6:$AI$505,"&lt;="&amp;$A12,実績!$AJ$6:$AJ$505,"&gt;"&amp;$A12,実績!$AK$6:$AK$505,"○")&gt;0,1,0))</f>
        <v>0</v>
      </c>
      <c r="AA12" s="39" t="n">
        <f aca="false">IF(AA$4=0,0,IF(COUNTIFS(実績!$W$6:$W$505,AA$3,実績!$AI$6:$AI$505,"&lt;="&amp;$A12,実績!$AJ$6:$AJ$505,"&gt;"&amp;$A12,実績!$AK$6:$AK$505,"○")&gt;0,1,0))</f>
        <v>0</v>
      </c>
      <c r="AB12" s="39" t="n">
        <f aca="false">IF(AB$4=0,0,IF(COUNTIFS(実績!$W$6:$W$505,AB$3,実績!$AI$6:$AI$505,"&lt;="&amp;$A12,実績!$AJ$6:$AJ$505,"&gt;"&amp;$A12,実績!$AK$6:$AK$505,"○")&gt;0,1,0))</f>
        <v>0</v>
      </c>
      <c r="AC12" s="39" t="n">
        <f aca="false">IF(AC$4=0,0,IF(COUNTIFS(実績!$W$6:$W$505,AC$3,実績!$AI$6:$AI$505,"&lt;="&amp;$A12,実績!$AJ$6:$AJ$505,"&gt;"&amp;$A12,実績!$AK$6:$AK$505,"○")&gt;0,1,0))</f>
        <v>0</v>
      </c>
      <c r="AD12" s="39" t="n">
        <f aca="false">IF(AD$4=0,0,IF(COUNTIFS(実績!$W$6:$W$505,AD$3,実績!$AI$6:$AI$505,"&lt;="&amp;$A12,実績!$AJ$6:$AJ$505,"&gt;"&amp;$A12,実績!$AK$6:$AK$505,"○")&gt;0,1,0))</f>
        <v>0</v>
      </c>
      <c r="AE12" s="39" t="n">
        <f aca="false">IF(AE$4=0,0,IF(COUNTIFS(実績!$W$6:$W$505,AE$3,実績!$AI$6:$AI$505,"&lt;="&amp;$A12,実績!$AJ$6:$AJ$505,"&gt;"&amp;$A12,実績!$AK$6:$AK$505,"○")&gt;0,1,0))</f>
        <v>0</v>
      </c>
      <c r="AF12" s="39" t="n">
        <f aca="false">IF(AF$4=0,0,IF(COUNTIFS(実績!$W$6:$W$505,AF$3,実績!$AI$6:$AI$505,"&lt;="&amp;$A12,実績!$AJ$6:$AJ$505,"&gt;"&amp;$A12,実績!$AK$6:$AK$505,"○")&gt;0,1,0))</f>
        <v>0</v>
      </c>
      <c r="AG12" s="39" t="n">
        <f aca="false">IF(AG$4=0,0,IF(COUNTIFS(実績!$W$6:$W$505,AG$3,実績!$AI$6:$AI$505,"&lt;="&amp;$A12,実績!$AJ$6:$AJ$505,"&gt;"&amp;$A12,実績!$AK$6:$AK$505,"○")&gt;0,1,0))</f>
        <v>0</v>
      </c>
      <c r="AH12" s="39" t="n">
        <f aca="false">IF(AH$4=0,0,IF(COUNTIFS(実績!$W$6:$W$505,AH$3,実績!$AI$6:$AI$505,"&lt;="&amp;$A12,実績!$AJ$6:$AJ$505,"&gt;"&amp;$A12,実績!$AK$6:$AK$505,"○")&gt;0,1,0))</f>
        <v>0</v>
      </c>
      <c r="AI12" s="39" t="n">
        <f aca="false">IF(AI$4=0,0,IF(COUNTIFS(実績!$W$6:$W$505,AI$3,実績!$AI$6:$AI$505,"&lt;="&amp;$A12,実績!$AJ$6:$AJ$505,"&gt;"&amp;$A12,実績!$AK$6:$AK$505,"○")&gt;0,1,0))</f>
        <v>0</v>
      </c>
      <c r="AJ12" s="39" t="n">
        <f aca="false">IF(AJ$4=0,0,IF(COUNTIFS(実績!$W$6:$W$505,AJ$3,実績!$AI$6:$AI$505,"&lt;="&amp;$A12,実績!$AJ$6:$AJ$505,"&gt;"&amp;$A12,実績!$AK$6:$AK$505,"○")&gt;0,1,0))</f>
        <v>0</v>
      </c>
      <c r="AK12" s="39" t="n">
        <f aca="false">IF(AK$4=0,0,IF(COUNTIFS(実績!$W$6:$W$505,AK$3,実績!$AI$6:$AI$505,"&lt;="&amp;$A12,実績!$AJ$6:$AJ$505,"&gt;"&amp;$A12,実績!$AK$6:$AK$505,"○")&gt;0,1,0))</f>
        <v>0</v>
      </c>
      <c r="AL12" s="39" t="n">
        <f aca="false">IF(AL$4=0,0,IF(COUNTIFS(実績!$W$6:$W$505,AL$3,実績!$AI$6:$AI$505,"&lt;="&amp;$A12,実績!$AJ$6:$AJ$505,"&gt;"&amp;$A12,実績!$AK$6:$AK$505,"○")&gt;0,1,0))</f>
        <v>0</v>
      </c>
      <c r="AM12" s="39" t="n">
        <f aca="false">IF(AM$4=0,0,IF(COUNTIFS(実績!$W$6:$W$505,AM$3,実績!$AI$6:$AI$505,"&lt;="&amp;$A12,実績!$AJ$6:$AJ$505,"&gt;"&amp;$A12,実績!$AK$6:$AK$505,"○")&gt;0,1,0))</f>
        <v>0</v>
      </c>
      <c r="AN12" s="39" t="n">
        <f aca="false">IF(AN$4=0,0,IF(COUNTIFS(実績!$W$6:$W$505,AN$3,実績!$AI$6:$AI$505,"&lt;="&amp;$A12,実績!$AJ$6:$AJ$505,"&gt;"&amp;$A12,実績!$AK$6:$AK$505,"○")&gt;0,1,0))</f>
        <v>0</v>
      </c>
      <c r="AO12" s="39" t="n">
        <f aca="false">IF(AO$4=0,0,IF(COUNTIFS(実績!$W$6:$W$505,AO$3,実績!$AI$6:$AI$505,"&lt;="&amp;$A12,実績!$AJ$6:$AJ$505,"&gt;"&amp;$A12,実績!$AK$6:$AK$505,"○")&gt;0,1,0))</f>
        <v>0</v>
      </c>
      <c r="AP12" s="39" t="n">
        <f aca="false">IF(AP$4=0,0,IF(COUNTIFS(実績!$W$6:$W$505,AP$3,実績!$AI$6:$AI$505,"&lt;="&amp;$A12,実績!$AJ$6:$AJ$505,"&gt;"&amp;$A12,実績!$AK$6:$AK$505,"○")&gt;0,1,0))</f>
        <v>0</v>
      </c>
      <c r="AQ12" s="39" t="n">
        <f aca="false">IF(AQ$4=0,0,IF(COUNTIFS(実績!$W$6:$W$505,AQ$3,実績!$AI$6:$AI$505,"&lt;="&amp;$A12,実績!$AJ$6:$AJ$505,"&gt;"&amp;$A12,実績!$AK$6:$AK$505,"○")&gt;0,1,0))</f>
        <v>0</v>
      </c>
      <c r="AR12" s="39" t="n">
        <f aca="false">IF(AR$4=0,0,IF(COUNTIFS(実績!$W$6:$W$505,AR$3,実績!$AI$6:$AI$505,"&lt;="&amp;$A12,実績!$AJ$6:$AJ$505,"&gt;"&amp;$A12,実績!$AK$6:$AK$505,"○")&gt;0,1,0))</f>
        <v>0</v>
      </c>
      <c r="AS12" s="39" t="n">
        <f aca="false">IF(AS$4=0,0,IF(COUNTIFS(実績!$W$6:$W$505,AS$3,実績!$AI$6:$AI$505,"&lt;="&amp;$A12,実績!$AJ$6:$AJ$505,"&gt;"&amp;$A12,実績!$AK$6:$AK$505,"○")&gt;0,1,0))</f>
        <v>0</v>
      </c>
      <c r="AT12" s="39" t="n">
        <f aca="false">IF(AT$4=0,0,IF(COUNTIFS(実績!$W$6:$W$505,AT$3,実績!$AI$6:$AI$505,"&lt;="&amp;$A12,実績!$AJ$6:$AJ$505,"&gt;"&amp;$A12,実績!$AK$6:$AK$505,"○")&gt;0,1,0))</f>
        <v>0</v>
      </c>
      <c r="AU12" s="39" t="n">
        <f aca="false">IF(AU$4=0,0,IF(COUNTIFS(実績!$W$6:$W$505,AU$3,実績!$AI$6:$AI$505,"&lt;="&amp;$A12,実績!$AJ$6:$AJ$505,"&gt;"&amp;$A12,実績!$AK$6:$AK$505,"○")&gt;0,1,0))</f>
        <v>0</v>
      </c>
      <c r="AV12" s="39" t="n">
        <f aca="false">IF(AV$4=0,0,IF(COUNTIFS(実績!$W$6:$W$505,AV$3,実績!$AI$6:$AI$505,"&lt;="&amp;$A12,実績!$AJ$6:$AJ$505,"&gt;"&amp;$A12,実績!$AK$6:$AK$505,"○")&gt;0,1,0))</f>
        <v>0</v>
      </c>
      <c r="AW12" s="39" t="n">
        <f aca="false">IF(AW$4=0,0,IF(COUNTIFS(実績!$W$6:$W$505,AW$3,実績!$AI$6:$AI$505,"&lt;="&amp;$A12,実績!$AJ$6:$AJ$505,"&gt;"&amp;$A12,実績!$AK$6:$AK$505,"○")&gt;0,1,0))</f>
        <v>0</v>
      </c>
      <c r="AX12" s="39" t="n">
        <f aca="false">IF(AX$4=0,0,IF(COUNTIFS(実績!$W$6:$W$505,AX$3,実績!$AI$6:$AI$505,"&lt;="&amp;$A12,実績!$AJ$6:$AJ$505,"&gt;"&amp;$A12,実績!$AK$6:$AK$505,"○")&gt;0,1,0))</f>
        <v>0</v>
      </c>
      <c r="AY12" s="39" t="n">
        <f aca="false">IF(AY$4=0,0,IF(COUNTIFS(実績!$W$6:$W$505,AY$3,実績!$AI$6:$AI$505,"&lt;="&amp;$A12,実績!$AJ$6:$AJ$505,"&gt;"&amp;$A12,実績!$AK$6:$AK$505,"○")&gt;0,1,0))</f>
        <v>0</v>
      </c>
      <c r="AZ12" s="39" t="n">
        <f aca="false">IF(AZ$4=0,0,IF(COUNTIFS(実績!$W$6:$W$505,AZ$3,実績!$AI$6:$AI$505,"&lt;="&amp;$A12,実績!$AJ$6:$AJ$505,"&gt;"&amp;$A12,実績!$AK$6:$AK$505,"○")&gt;0,1,0))</f>
        <v>0</v>
      </c>
      <c r="BA12" s="39" t="n">
        <f aca="false">IF(BA$4=0,0,IF(COUNTIFS(実績!$W$6:$W$505,BA$3,実績!$AI$6:$AI$505,"&lt;="&amp;$A12,実績!$AJ$6:$AJ$505,"&gt;"&amp;$A12,実績!$AK$6:$AK$505,"○")&gt;0,1,0))</f>
        <v>0</v>
      </c>
      <c r="BB12" s="39" t="n">
        <f aca="false">IF(BB$4=0,0,IF(COUNTIFS(実績!$W$6:$W$505,BB$3,実績!$AI$6:$AI$505,"&lt;="&amp;$A12,実績!$AJ$6:$AJ$505,"&gt;"&amp;$A12,実績!$AK$6:$AK$505,"○")&gt;0,1,0))</f>
        <v>0</v>
      </c>
      <c r="BC12" s="39" t="n">
        <f aca="false">IF(BC$4=0,0,IF(COUNTIFS(実績!$W$6:$W$505,BC$3,実績!$AI$6:$AI$505,"&lt;="&amp;$A12,実績!$AJ$6:$AJ$505,"&gt;"&amp;$A12,実績!$AK$6:$AK$505,"○")&gt;0,1,0))</f>
        <v>0</v>
      </c>
      <c r="BD12" s="39" t="n">
        <f aca="false">IF(BD$4=0,0,IF(COUNTIFS(実績!$W$6:$W$505,BD$3,実績!$AI$6:$AI$505,"&lt;="&amp;$A12,実績!$AJ$6:$AJ$505,"&gt;"&amp;$A12,実績!$AK$6:$AK$505,"○")&gt;0,1,0))</f>
        <v>0</v>
      </c>
      <c r="BE12" s="39" t="n">
        <f aca="false">IF(BE$4=0,0,IF(COUNTIFS(実績!$W$6:$W$505,BE$3,実績!$AI$6:$AI$505,"&lt;="&amp;$A12,実績!$AJ$6:$AJ$505,"&gt;"&amp;$A12,実績!$AK$6:$AK$505,"○")&gt;0,1,0))</f>
        <v>0</v>
      </c>
      <c r="BF12" s="39" t="n">
        <f aca="false">IF(BF$4=0,0,IF(COUNTIFS(実績!$W$6:$W$505,BF$3,実績!$AI$6:$AI$505,"&lt;="&amp;$A12,実績!$AJ$6:$AJ$505,"&gt;"&amp;$A12,実績!$AK$6:$AK$505,"○")&gt;0,1,0))</f>
        <v>0</v>
      </c>
      <c r="BG12" s="39" t="n">
        <f aca="false">IF(BG$4=0,0,IF(COUNTIFS(実績!$W$6:$W$505,BG$3,実績!$AI$6:$AI$505,"&lt;="&amp;$A12,実績!$AJ$6:$AJ$505,"&gt;"&amp;$A12,実績!$AK$6:$AK$505,"○")&gt;0,1,0))</f>
        <v>0</v>
      </c>
      <c r="BH12" s="39" t="n">
        <f aca="false">IF(BH$4=0,0,IF(COUNTIFS(実績!$W$6:$W$505,BH$3,実績!$AI$6:$AI$505,"&lt;="&amp;$A12,実績!$AJ$6:$AJ$505,"&gt;"&amp;$A12,実績!$AK$6:$AK$505,"○")&gt;0,1,0))</f>
        <v>0</v>
      </c>
      <c r="BI12" s="39" t="n">
        <f aca="false">IF(BI$4=0,0,IF(COUNTIFS(実績!$W$6:$W$505,BI$3,実績!$AI$6:$AI$505,"&lt;="&amp;$A12,実績!$AJ$6:$AJ$505,"&gt;"&amp;$A12,実績!$AK$6:$AK$505,"○")&gt;0,1,0))</f>
        <v>0</v>
      </c>
      <c r="BJ12" s="39" t="n">
        <f aca="false">IF(BJ$4=0,0,IF(COUNTIFS(実績!$W$6:$W$505,BJ$3,実績!$AI$6:$AI$505,"&lt;="&amp;$A12,実績!$AJ$6:$AJ$505,"&gt;"&amp;$A12,実績!$AK$6:$AK$505,"○")&gt;0,1,0))</f>
        <v>0</v>
      </c>
      <c r="BK12" s="39" t="n">
        <f aca="false">IF(BK$4=0,0,IF(COUNTIFS(実績!$W$6:$W$505,BK$3,実績!$AI$6:$AI$505,"&lt;="&amp;$A12,実績!$AJ$6:$AJ$505,"&gt;"&amp;$A12,実績!$AK$6:$AK$505,"○")&gt;0,1,0))</f>
        <v>0</v>
      </c>
      <c r="BL12" s="39" t="n">
        <f aca="false">IF(BL$4=0,0,IF(COUNTIFS(実績!$W$6:$W$505,BL$3,実績!$AI$6:$AI$505,"&lt;="&amp;$A12,実績!$AJ$6:$AJ$505,"&gt;"&amp;$A12,実績!$AK$6:$AK$505,"○")&gt;0,1,0))</f>
        <v>0</v>
      </c>
      <c r="BM12" s="39" t="n">
        <f aca="false">IF(BM$4=0,0,IF(COUNTIFS(実績!$W$6:$W$505,BM$3,実績!$AI$6:$AI$505,"&lt;="&amp;$A12,実績!$AJ$6:$AJ$505,"&gt;"&amp;$A12,実績!$AK$6:$AK$505,"○")&gt;0,1,0))</f>
        <v>0</v>
      </c>
      <c r="BN12" s="39" t="n">
        <f aca="false">IF(BN$4=0,0,IF(COUNTIFS(実績!$W$6:$W$505,BN$3,実績!$AI$6:$AI$505,"&lt;="&amp;$A12,実績!$AJ$6:$AJ$505,"&gt;"&amp;$A12,実績!$AK$6:$AK$505,"○")&gt;0,1,0))</f>
        <v>0</v>
      </c>
      <c r="BO12" s="39" t="n">
        <f aca="false">IF(BO$4=0,0,IF(COUNTIFS(実績!$W$6:$W$505,BO$3,実績!$AI$6:$AI$505,"&lt;="&amp;$A12,実績!$AJ$6:$AJ$505,"&gt;"&amp;$A12,実績!$AK$6:$AK$505,"○")&gt;0,1,0))</f>
        <v>0</v>
      </c>
      <c r="BP12" s="39" t="n">
        <f aca="false">IF(BP$4=0,0,IF(COUNTIFS(実績!$W$6:$W$505,BP$3,実績!$AI$6:$AI$505,"&lt;="&amp;$A12,実績!$AJ$6:$AJ$505,"&gt;"&amp;$A12,実績!$AK$6:$AK$505,"○")&gt;0,1,0))</f>
        <v>0</v>
      </c>
      <c r="BQ12" s="39" t="n">
        <f aca="false">IF(BQ$4=0,0,IF(COUNTIFS(実績!$W$6:$W$505,BQ$3,実績!$AI$6:$AI$505,"&lt;="&amp;$A12,実績!$AJ$6:$AJ$505,"&gt;"&amp;$A12,実績!$AK$6:$AK$505,"○")&gt;0,1,0))</f>
        <v>0</v>
      </c>
      <c r="BR12" s="39" t="n">
        <f aca="false">IF(BR$4=0,0,IF(COUNTIFS(実績!$W$6:$W$505,BR$3,実績!$AI$6:$AI$505,"&lt;="&amp;$A12,実績!$AJ$6:$AJ$505,"&gt;"&amp;$A12,実績!$AK$6:$AK$505,"○")&gt;0,1,0))</f>
        <v>0</v>
      </c>
      <c r="BS12" s="39" t="n">
        <f aca="false">IF(BS$4=0,0,IF(COUNTIFS(実績!$W$6:$W$505,BS$3,実績!$AI$6:$AI$505,"&lt;="&amp;$A12,実績!$AJ$6:$AJ$505,"&gt;"&amp;$A12,実績!$AK$6:$AK$505,"○")&gt;0,1,0))</f>
        <v>0</v>
      </c>
      <c r="BT12" s="39" t="n">
        <f aca="false">IF(BT$4=0,0,IF(COUNTIFS(実績!$W$6:$W$505,BT$3,実績!$AI$6:$AI$505,"&lt;="&amp;$A12,実績!$AJ$6:$AJ$505,"&gt;"&amp;$A12,実績!$AK$6:$AK$505,"○")&gt;0,1,0))</f>
        <v>0</v>
      </c>
      <c r="BU12" s="39" t="n">
        <f aca="false">IF(BU$4=0,0,IF(COUNTIFS(実績!$W$6:$W$505,BU$3,実績!$AI$6:$AI$505,"&lt;="&amp;$A12,実績!$AJ$6:$AJ$505,"&gt;"&amp;$A12,実績!$AK$6:$AK$505,"○")&gt;0,1,0))</f>
        <v>0</v>
      </c>
      <c r="BV12" s="39" t="n">
        <f aca="false">IF(BV$4=0,0,IF(COUNTIFS(実績!$W$6:$W$505,BV$3,実績!$AI$6:$AI$505,"&lt;="&amp;$A12,実績!$AJ$6:$AJ$505,"&gt;"&amp;$A12,実績!$AK$6:$AK$505,"○")&gt;0,1,0))</f>
        <v>0</v>
      </c>
      <c r="BW12" s="39" t="n">
        <f aca="false">IF(BW$4=0,0,IF(COUNTIFS(実績!$W$6:$W$505,BW$3,実績!$AI$6:$AI$505,"&lt;="&amp;$A12,実績!$AJ$6:$AJ$505,"&gt;"&amp;$A12,実績!$AK$6:$AK$505,"○")&gt;0,1,0))</f>
        <v>0</v>
      </c>
      <c r="BX12" s="39" t="n">
        <f aca="false">IF(BX$4=0,0,IF(COUNTIFS(実績!$W$6:$W$505,BX$3,実績!$AI$6:$AI$505,"&lt;="&amp;$A12,実績!$AJ$6:$AJ$505,"&gt;"&amp;$A12,実績!$AK$6:$AK$505,"○")&gt;0,1,0))</f>
        <v>0</v>
      </c>
      <c r="BY12" s="39" t="n">
        <f aca="false">IF(BY$4=0,0,IF(COUNTIFS(実績!$W$6:$W$505,BY$3,実績!$AI$6:$AI$505,"&lt;="&amp;$A12,実績!$AJ$6:$AJ$505,"&gt;"&amp;$A12,実績!$AK$6:$AK$505,"○")&gt;0,1,0))</f>
        <v>0</v>
      </c>
      <c r="BZ12" s="39" t="n">
        <f aca="false">IF(BZ$4=0,0,IF(COUNTIFS(実績!$W$6:$W$505,BZ$3,実績!$AI$6:$AI$505,"&lt;="&amp;$A12,実績!$AJ$6:$AJ$505,"&gt;"&amp;$A12,実績!$AK$6:$AK$505,"○")&gt;0,1,0))</f>
        <v>0</v>
      </c>
      <c r="CA12" s="39" t="n">
        <f aca="false">IF(CA$4=0,0,IF(COUNTIFS(実績!$W$6:$W$505,CA$3,実績!$AI$6:$AI$505,"&lt;="&amp;$A12,実績!$AJ$6:$AJ$505,"&gt;"&amp;$A12,実績!$AK$6:$AK$505,"○")&gt;0,1,0))</f>
        <v>0</v>
      </c>
      <c r="CB12" s="39" t="n">
        <f aca="false">IF(CB$4=0,0,IF(COUNTIFS(実績!$W$6:$W$505,CB$3,実績!$AI$6:$AI$505,"&lt;="&amp;$A12,実績!$AJ$6:$AJ$505,"&gt;"&amp;$A12,実績!$AK$6:$AK$505,"○")&gt;0,1,0))</f>
        <v>0</v>
      </c>
      <c r="CC12" s="39" t="n">
        <f aca="false">IF(CC$4=0,0,IF(COUNTIFS(実績!$W$6:$W$505,CC$3,実績!$AI$6:$AI$505,"&lt;="&amp;$A12,実績!$AJ$6:$AJ$505,"&gt;"&amp;$A12,実績!$AK$6:$AK$505,"○")&gt;0,1,0))</f>
        <v>0</v>
      </c>
      <c r="CD12" s="39" t="n">
        <f aca="false">IF(CD$4=0,0,IF(COUNTIFS(実績!$W$6:$W$505,CD$3,実績!$AI$6:$AI$505,"&lt;="&amp;$A12,実績!$AJ$6:$AJ$505,"&gt;"&amp;$A12,実績!$AK$6:$AK$505,"○")&gt;0,1,0))</f>
        <v>0</v>
      </c>
      <c r="CE12" s="39" t="n">
        <f aca="false">IF(CE$4=0,0,IF(COUNTIFS(実績!$W$6:$W$505,CE$3,実績!$AI$6:$AI$505,"&lt;="&amp;$A12,実績!$AJ$6:$AJ$505,"&gt;"&amp;$A12,実績!$AK$6:$AK$505,"○")&gt;0,1,0))</f>
        <v>0</v>
      </c>
      <c r="CF12" s="39" t="n">
        <f aca="false">IF(CF$4=0,0,IF(COUNTIFS(実績!$W$6:$W$505,CF$3,実績!$AI$6:$AI$505,"&lt;="&amp;$A12,実績!$AJ$6:$AJ$505,"&gt;"&amp;$A12,実績!$AK$6:$AK$505,"○")&gt;0,1,0))</f>
        <v>0</v>
      </c>
      <c r="CG12" s="39" t="n">
        <f aca="false">IF(CG$4=0,0,IF(COUNTIFS(実績!$W$6:$W$505,CG$3,実績!$AI$6:$AI$505,"&lt;="&amp;$A12,実績!$AJ$6:$AJ$505,"&gt;"&amp;$A12,実績!$AK$6:$AK$505,"○")&gt;0,1,0))</f>
        <v>0</v>
      </c>
      <c r="CH12" s="39" t="n">
        <f aca="false">IF(CH$4=0,0,IF(COUNTIFS(実績!$W$6:$W$505,CH$3,実績!$AI$6:$AI$505,"&lt;="&amp;$A12,実績!$AJ$6:$AJ$505,"&gt;"&amp;$A12,実績!$AK$6:$AK$505,"○")&gt;0,1,0))</f>
        <v>0</v>
      </c>
      <c r="CI12" s="39" t="n">
        <f aca="false">IF(CI$4=0,0,IF(COUNTIFS(実績!$W$6:$W$505,CI$3,実績!$AI$6:$AI$505,"&lt;="&amp;$A12,実績!$AJ$6:$AJ$505,"&gt;"&amp;$A12,実績!$AK$6:$AK$505,"○")&gt;0,1,0))</f>
        <v>0</v>
      </c>
      <c r="CJ12" s="39" t="n">
        <f aca="false">IF(CJ$4=0,0,IF(COUNTIFS(実績!$W$6:$W$505,CJ$3,実績!$AI$6:$AI$505,"&lt;="&amp;$A12,実績!$AJ$6:$AJ$505,"&gt;"&amp;$A12,実績!$AK$6:$AK$505,"○")&gt;0,1,0))</f>
        <v>0</v>
      </c>
      <c r="CK12" s="39" t="n">
        <f aca="false">IF(CK$4=0,0,IF(COUNTIFS(実績!$W$6:$W$505,CK$3,実績!$AI$6:$AI$505,"&lt;="&amp;$A12,実績!$AJ$6:$AJ$505,"&gt;"&amp;$A12,実績!$AK$6:$AK$505,"○")&gt;0,1,0))</f>
        <v>0</v>
      </c>
      <c r="CL12" s="39" t="n">
        <f aca="false">IF(CL$4=0,0,IF(COUNTIFS(実績!$W$6:$W$505,CL$3,実績!$AI$6:$AI$505,"&lt;="&amp;$A12,実績!$AJ$6:$AJ$505,"&gt;"&amp;$A12,実績!$AK$6:$AK$505,"○")&gt;0,1,0))</f>
        <v>0</v>
      </c>
      <c r="CM12" s="39" t="n">
        <f aca="false">IF(CM$4=0,0,IF(COUNTIFS(実績!$W$6:$W$505,CM$3,実績!$AI$6:$AI$505,"&lt;="&amp;$A12,実績!$AJ$6:$AJ$505,"&gt;"&amp;$A12,実績!$AK$6:$AK$505,"○")&gt;0,1,0))</f>
        <v>0</v>
      </c>
      <c r="CN12" s="39" t="n">
        <f aca="false">IF(CN$4=0,0,IF(COUNTIFS(実績!$W$6:$W$505,CN$3,実績!$AI$6:$AI$505,"&lt;="&amp;$A12,実績!$AJ$6:$AJ$505,"&gt;"&amp;$A12,実績!$AK$6:$AK$505,"○")&gt;0,1,0))</f>
        <v>0</v>
      </c>
      <c r="CO12" s="39" t="n">
        <f aca="false">IF(CO$4=0,0,IF(COUNTIFS(実績!$W$6:$W$505,CO$3,実績!$AI$6:$AI$505,"&lt;="&amp;$A12,実績!$AJ$6:$AJ$505,"&gt;"&amp;$A12,実績!$AK$6:$AK$505,"○")&gt;0,1,0))</f>
        <v>0</v>
      </c>
      <c r="CP12" s="39" t="n">
        <f aca="false">IF(CP$4=0,0,IF(COUNTIFS(実績!$W$6:$W$505,CP$3,実績!$AI$6:$AI$505,"&lt;="&amp;$A12,実績!$AJ$6:$AJ$505,"&gt;"&amp;$A12,実績!$AK$6:$AK$505,"○")&gt;0,1,0))</f>
        <v>0</v>
      </c>
      <c r="CQ12" s="39" t="n">
        <f aca="false">IF(CQ$4=0,0,IF(COUNTIFS(実績!$W$6:$W$505,CQ$3,実績!$AI$6:$AI$505,"&lt;="&amp;$A12,実績!$AJ$6:$AJ$505,"&gt;"&amp;$A12,実績!$AK$6:$AK$505,"○")&gt;0,1,0))</f>
        <v>0</v>
      </c>
      <c r="CR12" s="39" t="n">
        <f aca="false">IF(CR$4=0,0,IF(COUNTIFS(実績!$W$6:$W$505,CR$3,実績!$AI$6:$AI$505,"&lt;="&amp;$A12,実績!$AJ$6:$AJ$505,"&gt;"&amp;$A12,実績!$AK$6:$AK$505,"○")&gt;0,1,0))</f>
        <v>0</v>
      </c>
      <c r="CS12" s="39" t="n">
        <f aca="false">IF(CS$4=0,0,IF(COUNTIFS(実績!$W$6:$W$505,CS$3,実績!$AI$6:$AI$505,"&lt;="&amp;$A12,実績!$AJ$6:$AJ$505,"&gt;"&amp;$A12,実績!$AK$6:$AK$505,"○")&gt;0,1,0))</f>
        <v>0</v>
      </c>
      <c r="CT12" s="39" t="n">
        <f aca="false">IF(CT$4=0,0,IF(COUNTIFS(実績!$W$6:$W$505,CT$3,実績!$AI$6:$AI$505,"&lt;="&amp;$A12,実績!$AJ$6:$AJ$505,"&gt;"&amp;$A12,実績!$AK$6:$AK$505,"○")&gt;0,1,0))</f>
        <v>0</v>
      </c>
      <c r="CU12" s="39" t="n">
        <f aca="false">IF(CU$4=0,0,IF(COUNTIFS(実績!$W$6:$W$505,CU$3,実績!$AI$6:$AI$505,"&lt;="&amp;$A12,実績!$AJ$6:$AJ$505,"&gt;"&amp;$A12,実績!$AK$6:$AK$505,"○")&gt;0,1,0))</f>
        <v>0</v>
      </c>
      <c r="CV12" s="39" t="n">
        <f aca="false">IF(CV$4=0,0,IF(COUNTIFS(実績!$W$6:$W$505,CV$3,実績!$AI$6:$AI$505,"&lt;="&amp;$A12,実績!$AJ$6:$AJ$505,"&gt;"&amp;$A12,実績!$AK$6:$AK$505,"○")&gt;0,1,0))</f>
        <v>0</v>
      </c>
      <c r="CW12" s="39" t="n">
        <f aca="false">IF(CW$4=0,0,IF(COUNTIFS(実績!$W$6:$W$505,CW$3,実績!$AI$6:$AI$505,"&lt;="&amp;$A12,実績!$AJ$6:$AJ$505,"&gt;"&amp;$A12,実績!$AK$6:$AK$505,"○")&gt;0,1,0))</f>
        <v>0</v>
      </c>
      <c r="CX12" s="39" t="n">
        <f aca="false">IF(CX$4=0,0,IF(COUNTIFS(実績!$W$6:$W$505,CX$3,実績!$AI$6:$AI$505,"&lt;="&amp;$A12,実績!$AJ$6:$AJ$505,"&gt;"&amp;$A12,実績!$AK$6:$AK$505,"○")&gt;0,1,0))</f>
        <v>0</v>
      </c>
      <c r="CY12" s="39" t="n">
        <f aca="false">IF(CY$4=0,0,IF(COUNTIFS(実績!$W$6:$W$505,CY$3,実績!$AI$6:$AI$505,"&lt;="&amp;$A12,実績!$AJ$6:$AJ$505,"&gt;"&amp;$A12,実績!$AK$6:$AK$505,"○")&gt;0,1,0))</f>
        <v>0</v>
      </c>
      <c r="CZ12" s="39" t="n">
        <f aca="false">IF(CZ$4=0,0,IF(COUNTIFS(実績!$W$6:$W$505,CZ$3,実績!$AI$6:$AI$505,"&lt;="&amp;$A12,実績!$AJ$6:$AJ$505,"&gt;"&amp;$A12,実績!$AK$6:$AK$505,"○")&gt;0,1,0))</f>
        <v>0</v>
      </c>
      <c r="DA12" s="39" t="n">
        <f aca="false">IF(DA$4=0,0,IF(COUNTIFS(実績!$W$6:$W$505,DA$3,実績!$AI$6:$AI$505,"&lt;="&amp;$A12,実績!$AJ$6:$AJ$505,"&gt;"&amp;$A12,実績!$AK$6:$AK$505,"○")&gt;0,1,0))</f>
        <v>0</v>
      </c>
      <c r="DB12" s="39" t="n">
        <f aca="false">IF(DB$4=0,0,IF(COUNTIFS(実績!$W$6:$W$505,DB$3,実績!$AI$6:$AI$505,"&lt;="&amp;$A12,実績!$AJ$6:$AJ$505,"&gt;"&amp;$A12,実績!$AK$6:$AK$505,"○")&gt;0,1,0))</f>
        <v>0</v>
      </c>
      <c r="DC12" s="39" t="n">
        <f aca="false">IF(DC$4=0,0,IF(COUNTIFS(実績!$W$6:$W$505,DC$3,実績!$AI$6:$AI$505,"&lt;="&amp;$A12,実績!$AJ$6:$AJ$505,"&gt;"&amp;$A12,実績!$AK$6:$AK$505,"○")&gt;0,1,0))</f>
        <v>0</v>
      </c>
      <c r="DD12" s="39" t="n">
        <f aca="false">IF(DD$4=0,0,IF(COUNTIFS(実績!$W$6:$W$505,DD$3,実績!$AI$6:$AI$505,"&lt;="&amp;$A12,実績!$AJ$6:$AJ$505,"&gt;"&amp;$A12,実績!$AK$6:$AK$505,"○")&gt;0,1,0))</f>
        <v>0</v>
      </c>
      <c r="DE12" s="39" t="n">
        <f aca="false">IF(DE$4=0,0,IF(COUNTIFS(実績!$W$6:$W$505,DE$3,実績!$AI$6:$AI$505,"&lt;="&amp;$A12,実績!$AJ$6:$AJ$505,"&gt;"&amp;$A12,実績!$AK$6:$AK$505,"○")&gt;0,1,0))</f>
        <v>0</v>
      </c>
      <c r="DF12" s="39" t="n">
        <f aca="false">IF(DF$4=0,0,IF(COUNTIFS(実績!$W$6:$W$505,DF$3,実績!$AI$6:$AI$505,"&lt;="&amp;$A12,実績!$AJ$6:$AJ$505,"&gt;"&amp;$A12,実績!$AK$6:$AK$505,"○")&gt;0,1,0))</f>
        <v>0</v>
      </c>
      <c r="DG12" s="39" t="n">
        <f aca="false">IF(DG$4=0,0,IF(COUNTIFS(実績!$W$6:$W$505,DG$3,実績!$AI$6:$AI$505,"&lt;="&amp;$A12,実績!$AJ$6:$AJ$505,"&gt;"&amp;$A12,実績!$AK$6:$AK$505,"○")&gt;0,1,0))</f>
        <v>0</v>
      </c>
      <c r="DH12" s="39" t="n">
        <f aca="false">IF(DH$4=0,0,IF(COUNTIFS(実績!$W$6:$W$505,DH$3,実績!$AI$6:$AI$505,"&lt;="&amp;$A12,実績!$AJ$6:$AJ$505,"&gt;"&amp;$A12,実績!$AK$6:$AK$505,"○")&gt;0,1,0))</f>
        <v>0</v>
      </c>
      <c r="DI12" s="39" t="n">
        <f aca="false">IF(DI$4=0,0,IF(COUNTIFS(実績!$W$6:$W$505,DI$3,実績!$AI$6:$AI$505,"&lt;="&amp;$A12,実績!$AJ$6:$AJ$505,"&gt;"&amp;$A12,実績!$AK$6:$AK$505,"○")&gt;0,1,0))</f>
        <v>0</v>
      </c>
      <c r="DJ12" s="39" t="n">
        <f aca="false">IF(DJ$4=0,0,IF(COUNTIFS(実績!$W$6:$W$505,DJ$3,実績!$AI$6:$AI$505,"&lt;="&amp;$A12,実績!$AJ$6:$AJ$505,"&gt;"&amp;$A12,実績!$AK$6:$AK$505,"○")&gt;0,1,0))</f>
        <v>0</v>
      </c>
      <c r="DK12" s="39" t="n">
        <f aca="false">IF(DK$4=0,0,IF(COUNTIFS(実績!$W$6:$W$505,DK$3,実績!$AI$6:$AI$505,"&lt;="&amp;$A12,実績!$AJ$6:$AJ$505,"&gt;"&amp;$A12,実績!$AK$6:$AK$505,"○")&gt;0,1,0))</f>
        <v>0</v>
      </c>
      <c r="DL12" s="39" t="n">
        <f aca="false">IF(DL$4=0,0,IF(COUNTIFS(実績!$W$6:$W$505,DL$3,実績!$AI$6:$AI$505,"&lt;="&amp;$A12,実績!$AJ$6:$AJ$505,"&gt;"&amp;$A12,実績!$AK$6:$AK$505,"○")&gt;0,1,0))</f>
        <v>0</v>
      </c>
      <c r="DM12" s="39" t="n">
        <f aca="false">IF(DM$4=0,0,IF(COUNTIFS(実績!$W$6:$W$505,DM$3,実績!$AI$6:$AI$505,"&lt;="&amp;$A12,実績!$AJ$6:$AJ$505,"&gt;"&amp;$A12,実績!$AK$6:$AK$505,"○")&gt;0,1,0))</f>
        <v>0</v>
      </c>
      <c r="DN12" s="39" t="n">
        <f aca="false">IF(DN$4=0,0,IF(COUNTIFS(実績!$W$6:$W$505,DN$3,実績!$AI$6:$AI$505,"&lt;="&amp;$A12,実績!$AJ$6:$AJ$505,"&gt;"&amp;$A12,実績!$AK$6:$AK$505,"○")&gt;0,1,0))</f>
        <v>0</v>
      </c>
      <c r="DO12" s="39" t="n">
        <f aca="false">IF(DO$4=0,0,IF(COUNTIFS(実績!$W$6:$W$505,DO$3,実績!$AI$6:$AI$505,"&lt;="&amp;$A12,実績!$AJ$6:$AJ$505,"&gt;"&amp;$A12,実績!$AK$6:$AK$505,"○")&gt;0,1,0))</f>
        <v>0</v>
      </c>
      <c r="DP12" s="39" t="n">
        <f aca="false">IF(DP$4=0,0,IF(COUNTIFS(実績!$W$6:$W$505,DP$3,実績!$AI$6:$AI$505,"&lt;="&amp;$A12,実績!$AJ$6:$AJ$505,"&gt;"&amp;$A12,実績!$AK$6:$AK$505,"○")&gt;0,1,0))</f>
        <v>0</v>
      </c>
      <c r="DQ12" s="39" t="n">
        <f aca="false">IF(DQ$4=0,0,IF(COUNTIFS(実績!$W$6:$W$505,DQ$3,実績!$AI$6:$AI$505,"&lt;="&amp;$A12,実績!$AJ$6:$AJ$505,"&gt;"&amp;$A12,実績!$AK$6:$AK$505,"○")&gt;0,1,0))</f>
        <v>0</v>
      </c>
      <c r="DR12" s="39" t="n">
        <f aca="false">IF(DR$4=0,0,IF(COUNTIFS(実績!$W$6:$W$505,DR$3,実績!$AI$6:$AI$505,"&lt;="&amp;$A12,実績!$AJ$6:$AJ$505,"&gt;"&amp;$A12,実績!$AK$6:$AK$505,"○")&gt;0,1,0))</f>
        <v>0</v>
      </c>
      <c r="DS12" s="39" t="n">
        <f aca="false">SUM(C12:DR12)</f>
        <v>0</v>
      </c>
      <c r="DT12" s="39" t="n">
        <f aca="false">SUMPRODUCT((実績!$C$6:$C$505="○")*ISNUMBER(実績!$AM$6:$AM$505)*(実績!$AM$6:$AM$505&lt;=$A12)*(実績!$AN$6:$AN$505&gt;$A12))</f>
        <v>0</v>
      </c>
      <c r="DU12" s="39" t="n">
        <f aca="false">SUMIF($C$2:$DR$2,"製鉄曳船",C12:DR12)</f>
        <v>0</v>
      </c>
      <c r="DV12" s="39" t="n">
        <f aca="false">SUMIF($C$2:$DR$2,"西日本海運",C12:DR12)</f>
        <v>0</v>
      </c>
    </row>
    <row r="13" customFormat="false" ht="15" hidden="false" customHeight="false" outlineLevel="0" collapsed="false">
      <c r="A13" s="0" t="n">
        <v>35</v>
      </c>
      <c r="B13" s="38" t="n">
        <f aca="false">A13/1440</f>
        <v>0.0243055555555556</v>
      </c>
      <c r="C13" s="39" t="n">
        <f aca="false">IF(C$4=0,0,IF(COUNTIFS(実績!$W$6:$W$505,C$3,実績!$AI$6:$AI$505,"&lt;="&amp;$A13,実績!$AJ$6:$AJ$505,"&gt;"&amp;$A13,実績!$AK$6:$AK$505,"○")&gt;0,1,0))</f>
        <v>0</v>
      </c>
      <c r="D13" s="39" t="n">
        <f aca="false">IF(D$4=0,0,IF(COUNTIFS(実績!$W$6:$W$505,D$3,実績!$AI$6:$AI$505,"&lt;="&amp;$A13,実績!$AJ$6:$AJ$505,"&gt;"&amp;$A13,実績!$AK$6:$AK$505,"○")&gt;0,1,0))</f>
        <v>0</v>
      </c>
      <c r="E13" s="39" t="n">
        <f aca="false">IF(E$4=0,0,IF(COUNTIFS(実績!$W$6:$W$505,E$3,実績!$AI$6:$AI$505,"&lt;="&amp;$A13,実績!$AJ$6:$AJ$505,"&gt;"&amp;$A13,実績!$AK$6:$AK$505,"○")&gt;0,1,0))</f>
        <v>0</v>
      </c>
      <c r="F13" s="39" t="n">
        <f aca="false">IF(F$4=0,0,IF(COUNTIFS(実績!$W$6:$W$505,F$3,実績!$AI$6:$AI$505,"&lt;="&amp;$A13,実績!$AJ$6:$AJ$505,"&gt;"&amp;$A13,実績!$AK$6:$AK$505,"○")&gt;0,1,0))</f>
        <v>0</v>
      </c>
      <c r="G13" s="39" t="n">
        <f aca="false">IF(G$4=0,0,IF(COUNTIFS(実績!$W$6:$W$505,G$3,実績!$AI$6:$AI$505,"&lt;="&amp;$A13,実績!$AJ$6:$AJ$505,"&gt;"&amp;$A13,実績!$AK$6:$AK$505,"○")&gt;0,1,0))</f>
        <v>0</v>
      </c>
      <c r="H13" s="39" t="n">
        <f aca="false">IF(H$4=0,0,IF(COUNTIFS(実績!$W$6:$W$505,H$3,実績!$AI$6:$AI$505,"&lt;="&amp;$A13,実績!$AJ$6:$AJ$505,"&gt;"&amp;$A13,実績!$AK$6:$AK$505,"○")&gt;0,1,0))</f>
        <v>0</v>
      </c>
      <c r="I13" s="39" t="n">
        <f aca="false">IF(I$4=0,0,IF(COUNTIFS(実績!$W$6:$W$505,I$3,実績!$AI$6:$AI$505,"&lt;="&amp;$A13,実績!$AJ$6:$AJ$505,"&gt;"&amp;$A13,実績!$AK$6:$AK$505,"○")&gt;0,1,0))</f>
        <v>0</v>
      </c>
      <c r="J13" s="39" t="n">
        <f aca="false">IF(J$4=0,0,IF(COUNTIFS(実績!$W$6:$W$505,J$3,実績!$AI$6:$AI$505,"&lt;="&amp;$A13,実績!$AJ$6:$AJ$505,"&gt;"&amp;$A13,実績!$AK$6:$AK$505,"○")&gt;0,1,0))</f>
        <v>0</v>
      </c>
      <c r="K13" s="39" t="n">
        <f aca="false">IF(K$4=0,0,IF(COUNTIFS(実績!$W$6:$W$505,K$3,実績!$AI$6:$AI$505,"&lt;="&amp;$A13,実績!$AJ$6:$AJ$505,"&gt;"&amp;$A13,実績!$AK$6:$AK$505,"○")&gt;0,1,0))</f>
        <v>0</v>
      </c>
      <c r="L13" s="39" t="n">
        <f aca="false">IF(L$4=0,0,IF(COUNTIFS(実績!$W$6:$W$505,L$3,実績!$AI$6:$AI$505,"&lt;="&amp;$A13,実績!$AJ$6:$AJ$505,"&gt;"&amp;$A13,実績!$AK$6:$AK$505,"○")&gt;0,1,0))</f>
        <v>0</v>
      </c>
      <c r="M13" s="39" t="n">
        <f aca="false">IF(M$4=0,0,IF(COUNTIFS(実績!$W$6:$W$505,M$3,実績!$AI$6:$AI$505,"&lt;="&amp;$A13,実績!$AJ$6:$AJ$505,"&gt;"&amp;$A13,実績!$AK$6:$AK$505,"○")&gt;0,1,0))</f>
        <v>0</v>
      </c>
      <c r="N13" s="39" t="n">
        <f aca="false">IF(N$4=0,0,IF(COUNTIFS(実績!$W$6:$W$505,N$3,実績!$AI$6:$AI$505,"&lt;="&amp;$A13,実績!$AJ$6:$AJ$505,"&gt;"&amp;$A13,実績!$AK$6:$AK$505,"○")&gt;0,1,0))</f>
        <v>0</v>
      </c>
      <c r="O13" s="39" t="n">
        <f aca="false">IF(O$4=0,0,IF(COUNTIFS(実績!$W$6:$W$505,O$3,実績!$AI$6:$AI$505,"&lt;="&amp;$A13,実績!$AJ$6:$AJ$505,"&gt;"&amp;$A13,実績!$AK$6:$AK$505,"○")&gt;0,1,0))</f>
        <v>0</v>
      </c>
      <c r="P13" s="39" t="n">
        <f aca="false">IF(P$4=0,0,IF(COUNTIFS(実績!$W$6:$W$505,P$3,実績!$AI$6:$AI$505,"&lt;="&amp;$A13,実績!$AJ$6:$AJ$505,"&gt;"&amp;$A13,実績!$AK$6:$AK$505,"○")&gt;0,1,0))</f>
        <v>0</v>
      </c>
      <c r="Q13" s="39" t="n">
        <f aca="false">IF(Q$4=0,0,IF(COUNTIFS(実績!$W$6:$W$505,Q$3,実績!$AI$6:$AI$505,"&lt;="&amp;$A13,実績!$AJ$6:$AJ$505,"&gt;"&amp;$A13,実績!$AK$6:$AK$505,"○")&gt;0,1,0))</f>
        <v>0</v>
      </c>
      <c r="R13" s="39" t="n">
        <f aca="false">IF(R$4=0,0,IF(COUNTIFS(実績!$W$6:$W$505,R$3,実績!$AI$6:$AI$505,"&lt;="&amp;$A13,実績!$AJ$6:$AJ$505,"&gt;"&amp;$A13,実績!$AK$6:$AK$505,"○")&gt;0,1,0))</f>
        <v>0</v>
      </c>
      <c r="S13" s="39" t="n">
        <f aca="false">IF(S$4=0,0,IF(COUNTIFS(実績!$W$6:$W$505,S$3,実績!$AI$6:$AI$505,"&lt;="&amp;$A13,実績!$AJ$6:$AJ$505,"&gt;"&amp;$A13,実績!$AK$6:$AK$505,"○")&gt;0,1,0))</f>
        <v>0</v>
      </c>
      <c r="T13" s="39" t="n">
        <f aca="false">IF(T$4=0,0,IF(COUNTIFS(実績!$W$6:$W$505,T$3,実績!$AI$6:$AI$505,"&lt;="&amp;$A13,実績!$AJ$6:$AJ$505,"&gt;"&amp;$A13,実績!$AK$6:$AK$505,"○")&gt;0,1,0))</f>
        <v>0</v>
      </c>
      <c r="U13" s="39" t="n">
        <f aca="false">IF(U$4=0,0,IF(COUNTIFS(実績!$W$6:$W$505,U$3,実績!$AI$6:$AI$505,"&lt;="&amp;$A13,実績!$AJ$6:$AJ$505,"&gt;"&amp;$A13,実績!$AK$6:$AK$505,"○")&gt;0,1,0))</f>
        <v>0</v>
      </c>
      <c r="V13" s="39" t="n">
        <f aca="false">IF(V$4=0,0,IF(COUNTIFS(実績!$W$6:$W$505,V$3,実績!$AI$6:$AI$505,"&lt;="&amp;$A13,実績!$AJ$6:$AJ$505,"&gt;"&amp;$A13,実績!$AK$6:$AK$505,"○")&gt;0,1,0))</f>
        <v>0</v>
      </c>
      <c r="W13" s="39" t="n">
        <f aca="false">IF(W$4=0,0,IF(COUNTIFS(実績!$W$6:$W$505,W$3,実績!$AI$6:$AI$505,"&lt;="&amp;$A13,実績!$AJ$6:$AJ$505,"&gt;"&amp;$A13,実績!$AK$6:$AK$505,"○")&gt;0,1,0))</f>
        <v>0</v>
      </c>
      <c r="X13" s="39" t="n">
        <f aca="false">IF(X$4=0,0,IF(COUNTIFS(実績!$W$6:$W$505,X$3,実績!$AI$6:$AI$505,"&lt;="&amp;$A13,実績!$AJ$6:$AJ$505,"&gt;"&amp;$A13,実績!$AK$6:$AK$505,"○")&gt;0,1,0))</f>
        <v>0</v>
      </c>
      <c r="Y13" s="39" t="n">
        <f aca="false">IF(Y$4=0,0,IF(COUNTIFS(実績!$W$6:$W$505,Y$3,実績!$AI$6:$AI$505,"&lt;="&amp;$A13,実績!$AJ$6:$AJ$505,"&gt;"&amp;$A13,実績!$AK$6:$AK$505,"○")&gt;0,1,0))</f>
        <v>0</v>
      </c>
      <c r="Z13" s="39" t="n">
        <f aca="false">IF(Z$4=0,0,IF(COUNTIFS(実績!$W$6:$W$505,Z$3,実績!$AI$6:$AI$505,"&lt;="&amp;$A13,実績!$AJ$6:$AJ$505,"&gt;"&amp;$A13,実績!$AK$6:$AK$505,"○")&gt;0,1,0))</f>
        <v>0</v>
      </c>
      <c r="AA13" s="39" t="n">
        <f aca="false">IF(AA$4=0,0,IF(COUNTIFS(実績!$W$6:$W$505,AA$3,実績!$AI$6:$AI$505,"&lt;="&amp;$A13,実績!$AJ$6:$AJ$505,"&gt;"&amp;$A13,実績!$AK$6:$AK$505,"○")&gt;0,1,0))</f>
        <v>0</v>
      </c>
      <c r="AB13" s="39" t="n">
        <f aca="false">IF(AB$4=0,0,IF(COUNTIFS(実績!$W$6:$W$505,AB$3,実績!$AI$6:$AI$505,"&lt;="&amp;$A13,実績!$AJ$6:$AJ$505,"&gt;"&amp;$A13,実績!$AK$6:$AK$505,"○")&gt;0,1,0))</f>
        <v>0</v>
      </c>
      <c r="AC13" s="39" t="n">
        <f aca="false">IF(AC$4=0,0,IF(COUNTIFS(実績!$W$6:$W$505,AC$3,実績!$AI$6:$AI$505,"&lt;="&amp;$A13,実績!$AJ$6:$AJ$505,"&gt;"&amp;$A13,実績!$AK$6:$AK$505,"○")&gt;0,1,0))</f>
        <v>0</v>
      </c>
      <c r="AD13" s="39" t="n">
        <f aca="false">IF(AD$4=0,0,IF(COUNTIFS(実績!$W$6:$W$505,AD$3,実績!$AI$6:$AI$505,"&lt;="&amp;$A13,実績!$AJ$6:$AJ$505,"&gt;"&amp;$A13,実績!$AK$6:$AK$505,"○")&gt;0,1,0))</f>
        <v>0</v>
      </c>
      <c r="AE13" s="39" t="n">
        <f aca="false">IF(AE$4=0,0,IF(COUNTIFS(実績!$W$6:$W$505,AE$3,実績!$AI$6:$AI$505,"&lt;="&amp;$A13,実績!$AJ$6:$AJ$505,"&gt;"&amp;$A13,実績!$AK$6:$AK$505,"○")&gt;0,1,0))</f>
        <v>0</v>
      </c>
      <c r="AF13" s="39" t="n">
        <f aca="false">IF(AF$4=0,0,IF(COUNTIFS(実績!$W$6:$W$505,AF$3,実績!$AI$6:$AI$505,"&lt;="&amp;$A13,実績!$AJ$6:$AJ$505,"&gt;"&amp;$A13,実績!$AK$6:$AK$505,"○")&gt;0,1,0))</f>
        <v>0</v>
      </c>
      <c r="AG13" s="39" t="n">
        <f aca="false">IF(AG$4=0,0,IF(COUNTIFS(実績!$W$6:$W$505,AG$3,実績!$AI$6:$AI$505,"&lt;="&amp;$A13,実績!$AJ$6:$AJ$505,"&gt;"&amp;$A13,実績!$AK$6:$AK$505,"○")&gt;0,1,0))</f>
        <v>0</v>
      </c>
      <c r="AH13" s="39" t="n">
        <f aca="false">IF(AH$4=0,0,IF(COUNTIFS(実績!$W$6:$W$505,AH$3,実績!$AI$6:$AI$505,"&lt;="&amp;$A13,実績!$AJ$6:$AJ$505,"&gt;"&amp;$A13,実績!$AK$6:$AK$505,"○")&gt;0,1,0))</f>
        <v>0</v>
      </c>
      <c r="AI13" s="39" t="n">
        <f aca="false">IF(AI$4=0,0,IF(COUNTIFS(実績!$W$6:$W$505,AI$3,実績!$AI$6:$AI$505,"&lt;="&amp;$A13,実績!$AJ$6:$AJ$505,"&gt;"&amp;$A13,実績!$AK$6:$AK$505,"○")&gt;0,1,0))</f>
        <v>0</v>
      </c>
      <c r="AJ13" s="39" t="n">
        <f aca="false">IF(AJ$4=0,0,IF(COUNTIFS(実績!$W$6:$W$505,AJ$3,実績!$AI$6:$AI$505,"&lt;="&amp;$A13,実績!$AJ$6:$AJ$505,"&gt;"&amp;$A13,実績!$AK$6:$AK$505,"○")&gt;0,1,0))</f>
        <v>0</v>
      </c>
      <c r="AK13" s="39" t="n">
        <f aca="false">IF(AK$4=0,0,IF(COUNTIFS(実績!$W$6:$W$505,AK$3,実績!$AI$6:$AI$505,"&lt;="&amp;$A13,実績!$AJ$6:$AJ$505,"&gt;"&amp;$A13,実績!$AK$6:$AK$505,"○")&gt;0,1,0))</f>
        <v>0</v>
      </c>
      <c r="AL13" s="39" t="n">
        <f aca="false">IF(AL$4=0,0,IF(COUNTIFS(実績!$W$6:$W$505,AL$3,実績!$AI$6:$AI$505,"&lt;="&amp;$A13,実績!$AJ$6:$AJ$505,"&gt;"&amp;$A13,実績!$AK$6:$AK$505,"○")&gt;0,1,0))</f>
        <v>0</v>
      </c>
      <c r="AM13" s="39" t="n">
        <f aca="false">IF(AM$4=0,0,IF(COUNTIFS(実績!$W$6:$W$505,AM$3,実績!$AI$6:$AI$505,"&lt;="&amp;$A13,実績!$AJ$6:$AJ$505,"&gt;"&amp;$A13,実績!$AK$6:$AK$505,"○")&gt;0,1,0))</f>
        <v>0</v>
      </c>
      <c r="AN13" s="39" t="n">
        <f aca="false">IF(AN$4=0,0,IF(COUNTIFS(実績!$W$6:$W$505,AN$3,実績!$AI$6:$AI$505,"&lt;="&amp;$A13,実績!$AJ$6:$AJ$505,"&gt;"&amp;$A13,実績!$AK$6:$AK$505,"○")&gt;0,1,0))</f>
        <v>0</v>
      </c>
      <c r="AO13" s="39" t="n">
        <f aca="false">IF(AO$4=0,0,IF(COUNTIFS(実績!$W$6:$W$505,AO$3,実績!$AI$6:$AI$505,"&lt;="&amp;$A13,実績!$AJ$6:$AJ$505,"&gt;"&amp;$A13,実績!$AK$6:$AK$505,"○")&gt;0,1,0))</f>
        <v>0</v>
      </c>
      <c r="AP13" s="39" t="n">
        <f aca="false">IF(AP$4=0,0,IF(COUNTIFS(実績!$W$6:$W$505,AP$3,実績!$AI$6:$AI$505,"&lt;="&amp;$A13,実績!$AJ$6:$AJ$505,"&gt;"&amp;$A13,実績!$AK$6:$AK$505,"○")&gt;0,1,0))</f>
        <v>0</v>
      </c>
      <c r="AQ13" s="39" t="n">
        <f aca="false">IF(AQ$4=0,0,IF(COUNTIFS(実績!$W$6:$W$505,AQ$3,実績!$AI$6:$AI$505,"&lt;="&amp;$A13,実績!$AJ$6:$AJ$505,"&gt;"&amp;$A13,実績!$AK$6:$AK$505,"○")&gt;0,1,0))</f>
        <v>0</v>
      </c>
      <c r="AR13" s="39" t="n">
        <f aca="false">IF(AR$4=0,0,IF(COUNTIFS(実績!$W$6:$W$505,AR$3,実績!$AI$6:$AI$505,"&lt;="&amp;$A13,実績!$AJ$6:$AJ$505,"&gt;"&amp;$A13,実績!$AK$6:$AK$505,"○")&gt;0,1,0))</f>
        <v>0</v>
      </c>
      <c r="AS13" s="39" t="n">
        <f aca="false">IF(AS$4=0,0,IF(COUNTIFS(実績!$W$6:$W$505,AS$3,実績!$AI$6:$AI$505,"&lt;="&amp;$A13,実績!$AJ$6:$AJ$505,"&gt;"&amp;$A13,実績!$AK$6:$AK$505,"○")&gt;0,1,0))</f>
        <v>0</v>
      </c>
      <c r="AT13" s="39" t="n">
        <f aca="false">IF(AT$4=0,0,IF(COUNTIFS(実績!$W$6:$W$505,AT$3,実績!$AI$6:$AI$505,"&lt;="&amp;$A13,実績!$AJ$6:$AJ$505,"&gt;"&amp;$A13,実績!$AK$6:$AK$505,"○")&gt;0,1,0))</f>
        <v>0</v>
      </c>
      <c r="AU13" s="39" t="n">
        <f aca="false">IF(AU$4=0,0,IF(COUNTIFS(実績!$W$6:$W$505,AU$3,実績!$AI$6:$AI$505,"&lt;="&amp;$A13,実績!$AJ$6:$AJ$505,"&gt;"&amp;$A13,実績!$AK$6:$AK$505,"○")&gt;0,1,0))</f>
        <v>0</v>
      </c>
      <c r="AV13" s="39" t="n">
        <f aca="false">IF(AV$4=0,0,IF(COUNTIFS(実績!$W$6:$W$505,AV$3,実績!$AI$6:$AI$505,"&lt;="&amp;$A13,実績!$AJ$6:$AJ$505,"&gt;"&amp;$A13,実績!$AK$6:$AK$505,"○")&gt;0,1,0))</f>
        <v>0</v>
      </c>
      <c r="AW13" s="39" t="n">
        <f aca="false">IF(AW$4=0,0,IF(COUNTIFS(実績!$W$6:$W$505,AW$3,実績!$AI$6:$AI$505,"&lt;="&amp;$A13,実績!$AJ$6:$AJ$505,"&gt;"&amp;$A13,実績!$AK$6:$AK$505,"○")&gt;0,1,0))</f>
        <v>0</v>
      </c>
      <c r="AX13" s="39" t="n">
        <f aca="false">IF(AX$4=0,0,IF(COUNTIFS(実績!$W$6:$W$505,AX$3,実績!$AI$6:$AI$505,"&lt;="&amp;$A13,実績!$AJ$6:$AJ$505,"&gt;"&amp;$A13,実績!$AK$6:$AK$505,"○")&gt;0,1,0))</f>
        <v>0</v>
      </c>
      <c r="AY13" s="39" t="n">
        <f aca="false">IF(AY$4=0,0,IF(COUNTIFS(実績!$W$6:$W$505,AY$3,実績!$AI$6:$AI$505,"&lt;="&amp;$A13,実績!$AJ$6:$AJ$505,"&gt;"&amp;$A13,実績!$AK$6:$AK$505,"○")&gt;0,1,0))</f>
        <v>0</v>
      </c>
      <c r="AZ13" s="39" t="n">
        <f aca="false">IF(AZ$4=0,0,IF(COUNTIFS(実績!$W$6:$W$505,AZ$3,実績!$AI$6:$AI$505,"&lt;="&amp;$A13,実績!$AJ$6:$AJ$505,"&gt;"&amp;$A13,実績!$AK$6:$AK$505,"○")&gt;0,1,0))</f>
        <v>0</v>
      </c>
      <c r="BA13" s="39" t="n">
        <f aca="false">IF(BA$4=0,0,IF(COUNTIFS(実績!$W$6:$W$505,BA$3,実績!$AI$6:$AI$505,"&lt;="&amp;$A13,実績!$AJ$6:$AJ$505,"&gt;"&amp;$A13,実績!$AK$6:$AK$505,"○")&gt;0,1,0))</f>
        <v>0</v>
      </c>
      <c r="BB13" s="39" t="n">
        <f aca="false">IF(BB$4=0,0,IF(COUNTIFS(実績!$W$6:$W$505,BB$3,実績!$AI$6:$AI$505,"&lt;="&amp;$A13,実績!$AJ$6:$AJ$505,"&gt;"&amp;$A13,実績!$AK$6:$AK$505,"○")&gt;0,1,0))</f>
        <v>0</v>
      </c>
      <c r="BC13" s="39" t="n">
        <f aca="false">IF(BC$4=0,0,IF(COUNTIFS(実績!$W$6:$W$505,BC$3,実績!$AI$6:$AI$505,"&lt;="&amp;$A13,実績!$AJ$6:$AJ$505,"&gt;"&amp;$A13,実績!$AK$6:$AK$505,"○")&gt;0,1,0))</f>
        <v>0</v>
      </c>
      <c r="BD13" s="39" t="n">
        <f aca="false">IF(BD$4=0,0,IF(COUNTIFS(実績!$W$6:$W$505,BD$3,実績!$AI$6:$AI$505,"&lt;="&amp;$A13,実績!$AJ$6:$AJ$505,"&gt;"&amp;$A13,実績!$AK$6:$AK$505,"○")&gt;0,1,0))</f>
        <v>0</v>
      </c>
      <c r="BE13" s="39" t="n">
        <f aca="false">IF(BE$4=0,0,IF(COUNTIFS(実績!$W$6:$W$505,BE$3,実績!$AI$6:$AI$505,"&lt;="&amp;$A13,実績!$AJ$6:$AJ$505,"&gt;"&amp;$A13,実績!$AK$6:$AK$505,"○")&gt;0,1,0))</f>
        <v>0</v>
      </c>
      <c r="BF13" s="39" t="n">
        <f aca="false">IF(BF$4=0,0,IF(COUNTIFS(実績!$W$6:$W$505,BF$3,実績!$AI$6:$AI$505,"&lt;="&amp;$A13,実績!$AJ$6:$AJ$505,"&gt;"&amp;$A13,実績!$AK$6:$AK$505,"○")&gt;0,1,0))</f>
        <v>0</v>
      </c>
      <c r="BG13" s="39" t="n">
        <f aca="false">IF(BG$4=0,0,IF(COUNTIFS(実績!$W$6:$W$505,BG$3,実績!$AI$6:$AI$505,"&lt;="&amp;$A13,実績!$AJ$6:$AJ$505,"&gt;"&amp;$A13,実績!$AK$6:$AK$505,"○")&gt;0,1,0))</f>
        <v>0</v>
      </c>
      <c r="BH13" s="39" t="n">
        <f aca="false">IF(BH$4=0,0,IF(COUNTIFS(実績!$W$6:$W$505,BH$3,実績!$AI$6:$AI$505,"&lt;="&amp;$A13,実績!$AJ$6:$AJ$505,"&gt;"&amp;$A13,実績!$AK$6:$AK$505,"○")&gt;0,1,0))</f>
        <v>0</v>
      </c>
      <c r="BI13" s="39" t="n">
        <f aca="false">IF(BI$4=0,0,IF(COUNTIFS(実績!$W$6:$W$505,BI$3,実績!$AI$6:$AI$505,"&lt;="&amp;$A13,実績!$AJ$6:$AJ$505,"&gt;"&amp;$A13,実績!$AK$6:$AK$505,"○")&gt;0,1,0))</f>
        <v>0</v>
      </c>
      <c r="BJ13" s="39" t="n">
        <f aca="false">IF(BJ$4=0,0,IF(COUNTIFS(実績!$W$6:$W$505,BJ$3,実績!$AI$6:$AI$505,"&lt;="&amp;$A13,実績!$AJ$6:$AJ$505,"&gt;"&amp;$A13,実績!$AK$6:$AK$505,"○")&gt;0,1,0))</f>
        <v>0</v>
      </c>
      <c r="BK13" s="39" t="n">
        <f aca="false">IF(BK$4=0,0,IF(COUNTIFS(実績!$W$6:$W$505,BK$3,実績!$AI$6:$AI$505,"&lt;="&amp;$A13,実績!$AJ$6:$AJ$505,"&gt;"&amp;$A13,実績!$AK$6:$AK$505,"○")&gt;0,1,0))</f>
        <v>0</v>
      </c>
      <c r="BL13" s="39" t="n">
        <f aca="false">IF(BL$4=0,0,IF(COUNTIFS(実績!$W$6:$W$505,BL$3,実績!$AI$6:$AI$505,"&lt;="&amp;$A13,実績!$AJ$6:$AJ$505,"&gt;"&amp;$A13,実績!$AK$6:$AK$505,"○")&gt;0,1,0))</f>
        <v>0</v>
      </c>
      <c r="BM13" s="39" t="n">
        <f aca="false">IF(BM$4=0,0,IF(COUNTIFS(実績!$W$6:$W$505,BM$3,実績!$AI$6:$AI$505,"&lt;="&amp;$A13,実績!$AJ$6:$AJ$505,"&gt;"&amp;$A13,実績!$AK$6:$AK$505,"○")&gt;0,1,0))</f>
        <v>0</v>
      </c>
      <c r="BN13" s="39" t="n">
        <f aca="false">IF(BN$4=0,0,IF(COUNTIFS(実績!$W$6:$W$505,BN$3,実績!$AI$6:$AI$505,"&lt;="&amp;$A13,実績!$AJ$6:$AJ$505,"&gt;"&amp;$A13,実績!$AK$6:$AK$505,"○")&gt;0,1,0))</f>
        <v>0</v>
      </c>
      <c r="BO13" s="39" t="n">
        <f aca="false">IF(BO$4=0,0,IF(COUNTIFS(実績!$W$6:$W$505,BO$3,実績!$AI$6:$AI$505,"&lt;="&amp;$A13,実績!$AJ$6:$AJ$505,"&gt;"&amp;$A13,実績!$AK$6:$AK$505,"○")&gt;0,1,0))</f>
        <v>0</v>
      </c>
      <c r="BP13" s="39" t="n">
        <f aca="false">IF(BP$4=0,0,IF(COUNTIFS(実績!$W$6:$W$505,BP$3,実績!$AI$6:$AI$505,"&lt;="&amp;$A13,実績!$AJ$6:$AJ$505,"&gt;"&amp;$A13,実績!$AK$6:$AK$505,"○")&gt;0,1,0))</f>
        <v>0</v>
      </c>
      <c r="BQ13" s="39" t="n">
        <f aca="false">IF(BQ$4=0,0,IF(COUNTIFS(実績!$W$6:$W$505,BQ$3,実績!$AI$6:$AI$505,"&lt;="&amp;$A13,実績!$AJ$6:$AJ$505,"&gt;"&amp;$A13,実績!$AK$6:$AK$505,"○")&gt;0,1,0))</f>
        <v>0</v>
      </c>
      <c r="BR13" s="39" t="n">
        <f aca="false">IF(BR$4=0,0,IF(COUNTIFS(実績!$W$6:$W$505,BR$3,実績!$AI$6:$AI$505,"&lt;="&amp;$A13,実績!$AJ$6:$AJ$505,"&gt;"&amp;$A13,実績!$AK$6:$AK$505,"○")&gt;0,1,0))</f>
        <v>0</v>
      </c>
      <c r="BS13" s="39" t="n">
        <f aca="false">IF(BS$4=0,0,IF(COUNTIFS(実績!$W$6:$W$505,BS$3,実績!$AI$6:$AI$505,"&lt;="&amp;$A13,実績!$AJ$6:$AJ$505,"&gt;"&amp;$A13,実績!$AK$6:$AK$505,"○")&gt;0,1,0))</f>
        <v>0</v>
      </c>
      <c r="BT13" s="39" t="n">
        <f aca="false">IF(BT$4=0,0,IF(COUNTIFS(実績!$W$6:$W$505,BT$3,実績!$AI$6:$AI$505,"&lt;="&amp;$A13,実績!$AJ$6:$AJ$505,"&gt;"&amp;$A13,実績!$AK$6:$AK$505,"○")&gt;0,1,0))</f>
        <v>0</v>
      </c>
      <c r="BU13" s="39" t="n">
        <f aca="false">IF(BU$4=0,0,IF(COUNTIFS(実績!$W$6:$W$505,BU$3,実績!$AI$6:$AI$505,"&lt;="&amp;$A13,実績!$AJ$6:$AJ$505,"&gt;"&amp;$A13,実績!$AK$6:$AK$505,"○")&gt;0,1,0))</f>
        <v>0</v>
      </c>
      <c r="BV13" s="39" t="n">
        <f aca="false">IF(BV$4=0,0,IF(COUNTIFS(実績!$W$6:$W$505,BV$3,実績!$AI$6:$AI$505,"&lt;="&amp;$A13,実績!$AJ$6:$AJ$505,"&gt;"&amp;$A13,実績!$AK$6:$AK$505,"○")&gt;0,1,0))</f>
        <v>0</v>
      </c>
      <c r="BW13" s="39" t="n">
        <f aca="false">IF(BW$4=0,0,IF(COUNTIFS(実績!$W$6:$W$505,BW$3,実績!$AI$6:$AI$505,"&lt;="&amp;$A13,実績!$AJ$6:$AJ$505,"&gt;"&amp;$A13,実績!$AK$6:$AK$505,"○")&gt;0,1,0))</f>
        <v>0</v>
      </c>
      <c r="BX13" s="39" t="n">
        <f aca="false">IF(BX$4=0,0,IF(COUNTIFS(実績!$W$6:$W$505,BX$3,実績!$AI$6:$AI$505,"&lt;="&amp;$A13,実績!$AJ$6:$AJ$505,"&gt;"&amp;$A13,実績!$AK$6:$AK$505,"○")&gt;0,1,0))</f>
        <v>0</v>
      </c>
      <c r="BY13" s="39" t="n">
        <f aca="false">IF(BY$4=0,0,IF(COUNTIFS(実績!$W$6:$W$505,BY$3,実績!$AI$6:$AI$505,"&lt;="&amp;$A13,実績!$AJ$6:$AJ$505,"&gt;"&amp;$A13,実績!$AK$6:$AK$505,"○")&gt;0,1,0))</f>
        <v>0</v>
      </c>
      <c r="BZ13" s="39" t="n">
        <f aca="false">IF(BZ$4=0,0,IF(COUNTIFS(実績!$W$6:$W$505,BZ$3,実績!$AI$6:$AI$505,"&lt;="&amp;$A13,実績!$AJ$6:$AJ$505,"&gt;"&amp;$A13,実績!$AK$6:$AK$505,"○")&gt;0,1,0))</f>
        <v>0</v>
      </c>
      <c r="CA13" s="39" t="n">
        <f aca="false">IF(CA$4=0,0,IF(COUNTIFS(実績!$W$6:$W$505,CA$3,実績!$AI$6:$AI$505,"&lt;="&amp;$A13,実績!$AJ$6:$AJ$505,"&gt;"&amp;$A13,実績!$AK$6:$AK$505,"○")&gt;0,1,0))</f>
        <v>0</v>
      </c>
      <c r="CB13" s="39" t="n">
        <f aca="false">IF(CB$4=0,0,IF(COUNTIFS(実績!$W$6:$W$505,CB$3,実績!$AI$6:$AI$505,"&lt;="&amp;$A13,実績!$AJ$6:$AJ$505,"&gt;"&amp;$A13,実績!$AK$6:$AK$505,"○")&gt;0,1,0))</f>
        <v>0</v>
      </c>
      <c r="CC13" s="39" t="n">
        <f aca="false">IF(CC$4=0,0,IF(COUNTIFS(実績!$W$6:$W$505,CC$3,実績!$AI$6:$AI$505,"&lt;="&amp;$A13,実績!$AJ$6:$AJ$505,"&gt;"&amp;$A13,実績!$AK$6:$AK$505,"○")&gt;0,1,0))</f>
        <v>0</v>
      </c>
      <c r="CD13" s="39" t="n">
        <f aca="false">IF(CD$4=0,0,IF(COUNTIFS(実績!$W$6:$W$505,CD$3,実績!$AI$6:$AI$505,"&lt;="&amp;$A13,実績!$AJ$6:$AJ$505,"&gt;"&amp;$A13,実績!$AK$6:$AK$505,"○")&gt;0,1,0))</f>
        <v>0</v>
      </c>
      <c r="CE13" s="39" t="n">
        <f aca="false">IF(CE$4=0,0,IF(COUNTIFS(実績!$W$6:$W$505,CE$3,実績!$AI$6:$AI$505,"&lt;="&amp;$A13,実績!$AJ$6:$AJ$505,"&gt;"&amp;$A13,実績!$AK$6:$AK$505,"○")&gt;0,1,0))</f>
        <v>0</v>
      </c>
      <c r="CF13" s="39" t="n">
        <f aca="false">IF(CF$4=0,0,IF(COUNTIFS(実績!$W$6:$W$505,CF$3,実績!$AI$6:$AI$505,"&lt;="&amp;$A13,実績!$AJ$6:$AJ$505,"&gt;"&amp;$A13,実績!$AK$6:$AK$505,"○")&gt;0,1,0))</f>
        <v>0</v>
      </c>
      <c r="CG13" s="39" t="n">
        <f aca="false">IF(CG$4=0,0,IF(COUNTIFS(実績!$W$6:$W$505,CG$3,実績!$AI$6:$AI$505,"&lt;="&amp;$A13,実績!$AJ$6:$AJ$505,"&gt;"&amp;$A13,実績!$AK$6:$AK$505,"○")&gt;0,1,0))</f>
        <v>0</v>
      </c>
      <c r="CH13" s="39" t="n">
        <f aca="false">IF(CH$4=0,0,IF(COUNTIFS(実績!$W$6:$W$505,CH$3,実績!$AI$6:$AI$505,"&lt;="&amp;$A13,実績!$AJ$6:$AJ$505,"&gt;"&amp;$A13,実績!$AK$6:$AK$505,"○")&gt;0,1,0))</f>
        <v>0</v>
      </c>
      <c r="CI13" s="39" t="n">
        <f aca="false">IF(CI$4=0,0,IF(COUNTIFS(実績!$W$6:$W$505,CI$3,実績!$AI$6:$AI$505,"&lt;="&amp;$A13,実績!$AJ$6:$AJ$505,"&gt;"&amp;$A13,実績!$AK$6:$AK$505,"○")&gt;0,1,0))</f>
        <v>0</v>
      </c>
      <c r="CJ13" s="39" t="n">
        <f aca="false">IF(CJ$4=0,0,IF(COUNTIFS(実績!$W$6:$W$505,CJ$3,実績!$AI$6:$AI$505,"&lt;="&amp;$A13,実績!$AJ$6:$AJ$505,"&gt;"&amp;$A13,実績!$AK$6:$AK$505,"○")&gt;0,1,0))</f>
        <v>0</v>
      </c>
      <c r="CK13" s="39" t="n">
        <f aca="false">IF(CK$4=0,0,IF(COUNTIFS(実績!$W$6:$W$505,CK$3,実績!$AI$6:$AI$505,"&lt;="&amp;$A13,実績!$AJ$6:$AJ$505,"&gt;"&amp;$A13,実績!$AK$6:$AK$505,"○")&gt;0,1,0))</f>
        <v>0</v>
      </c>
      <c r="CL13" s="39" t="n">
        <f aca="false">IF(CL$4=0,0,IF(COUNTIFS(実績!$W$6:$W$505,CL$3,実績!$AI$6:$AI$505,"&lt;="&amp;$A13,実績!$AJ$6:$AJ$505,"&gt;"&amp;$A13,実績!$AK$6:$AK$505,"○")&gt;0,1,0))</f>
        <v>0</v>
      </c>
      <c r="CM13" s="39" t="n">
        <f aca="false">IF(CM$4=0,0,IF(COUNTIFS(実績!$W$6:$W$505,CM$3,実績!$AI$6:$AI$505,"&lt;="&amp;$A13,実績!$AJ$6:$AJ$505,"&gt;"&amp;$A13,実績!$AK$6:$AK$505,"○")&gt;0,1,0))</f>
        <v>0</v>
      </c>
      <c r="CN13" s="39" t="n">
        <f aca="false">IF(CN$4=0,0,IF(COUNTIFS(実績!$W$6:$W$505,CN$3,実績!$AI$6:$AI$505,"&lt;="&amp;$A13,実績!$AJ$6:$AJ$505,"&gt;"&amp;$A13,実績!$AK$6:$AK$505,"○")&gt;0,1,0))</f>
        <v>0</v>
      </c>
      <c r="CO13" s="39" t="n">
        <f aca="false">IF(CO$4=0,0,IF(COUNTIFS(実績!$W$6:$W$505,CO$3,実績!$AI$6:$AI$505,"&lt;="&amp;$A13,実績!$AJ$6:$AJ$505,"&gt;"&amp;$A13,実績!$AK$6:$AK$505,"○")&gt;0,1,0))</f>
        <v>0</v>
      </c>
      <c r="CP13" s="39" t="n">
        <f aca="false">IF(CP$4=0,0,IF(COUNTIFS(実績!$W$6:$W$505,CP$3,実績!$AI$6:$AI$505,"&lt;="&amp;$A13,実績!$AJ$6:$AJ$505,"&gt;"&amp;$A13,実績!$AK$6:$AK$505,"○")&gt;0,1,0))</f>
        <v>0</v>
      </c>
      <c r="CQ13" s="39" t="n">
        <f aca="false">IF(CQ$4=0,0,IF(COUNTIFS(実績!$W$6:$W$505,CQ$3,実績!$AI$6:$AI$505,"&lt;="&amp;$A13,実績!$AJ$6:$AJ$505,"&gt;"&amp;$A13,実績!$AK$6:$AK$505,"○")&gt;0,1,0))</f>
        <v>0</v>
      </c>
      <c r="CR13" s="39" t="n">
        <f aca="false">IF(CR$4=0,0,IF(COUNTIFS(実績!$W$6:$W$505,CR$3,実績!$AI$6:$AI$505,"&lt;="&amp;$A13,実績!$AJ$6:$AJ$505,"&gt;"&amp;$A13,実績!$AK$6:$AK$505,"○")&gt;0,1,0))</f>
        <v>0</v>
      </c>
      <c r="CS13" s="39" t="n">
        <f aca="false">IF(CS$4=0,0,IF(COUNTIFS(実績!$W$6:$W$505,CS$3,実績!$AI$6:$AI$505,"&lt;="&amp;$A13,実績!$AJ$6:$AJ$505,"&gt;"&amp;$A13,実績!$AK$6:$AK$505,"○")&gt;0,1,0))</f>
        <v>0</v>
      </c>
      <c r="CT13" s="39" t="n">
        <f aca="false">IF(CT$4=0,0,IF(COUNTIFS(実績!$W$6:$W$505,CT$3,実績!$AI$6:$AI$505,"&lt;="&amp;$A13,実績!$AJ$6:$AJ$505,"&gt;"&amp;$A13,実績!$AK$6:$AK$505,"○")&gt;0,1,0))</f>
        <v>0</v>
      </c>
      <c r="CU13" s="39" t="n">
        <f aca="false">IF(CU$4=0,0,IF(COUNTIFS(実績!$W$6:$W$505,CU$3,実績!$AI$6:$AI$505,"&lt;="&amp;$A13,実績!$AJ$6:$AJ$505,"&gt;"&amp;$A13,実績!$AK$6:$AK$505,"○")&gt;0,1,0))</f>
        <v>0</v>
      </c>
      <c r="CV13" s="39" t="n">
        <f aca="false">IF(CV$4=0,0,IF(COUNTIFS(実績!$W$6:$W$505,CV$3,実績!$AI$6:$AI$505,"&lt;="&amp;$A13,実績!$AJ$6:$AJ$505,"&gt;"&amp;$A13,実績!$AK$6:$AK$505,"○")&gt;0,1,0))</f>
        <v>0</v>
      </c>
      <c r="CW13" s="39" t="n">
        <f aca="false">IF(CW$4=0,0,IF(COUNTIFS(実績!$W$6:$W$505,CW$3,実績!$AI$6:$AI$505,"&lt;="&amp;$A13,実績!$AJ$6:$AJ$505,"&gt;"&amp;$A13,実績!$AK$6:$AK$505,"○")&gt;0,1,0))</f>
        <v>0</v>
      </c>
      <c r="CX13" s="39" t="n">
        <f aca="false">IF(CX$4=0,0,IF(COUNTIFS(実績!$W$6:$W$505,CX$3,実績!$AI$6:$AI$505,"&lt;="&amp;$A13,実績!$AJ$6:$AJ$505,"&gt;"&amp;$A13,実績!$AK$6:$AK$505,"○")&gt;0,1,0))</f>
        <v>0</v>
      </c>
      <c r="CY13" s="39" t="n">
        <f aca="false">IF(CY$4=0,0,IF(COUNTIFS(実績!$W$6:$W$505,CY$3,実績!$AI$6:$AI$505,"&lt;="&amp;$A13,実績!$AJ$6:$AJ$505,"&gt;"&amp;$A13,実績!$AK$6:$AK$505,"○")&gt;0,1,0))</f>
        <v>0</v>
      </c>
      <c r="CZ13" s="39" t="n">
        <f aca="false">IF(CZ$4=0,0,IF(COUNTIFS(実績!$W$6:$W$505,CZ$3,実績!$AI$6:$AI$505,"&lt;="&amp;$A13,実績!$AJ$6:$AJ$505,"&gt;"&amp;$A13,実績!$AK$6:$AK$505,"○")&gt;0,1,0))</f>
        <v>0</v>
      </c>
      <c r="DA13" s="39" t="n">
        <f aca="false">IF(DA$4=0,0,IF(COUNTIFS(実績!$W$6:$W$505,DA$3,実績!$AI$6:$AI$505,"&lt;="&amp;$A13,実績!$AJ$6:$AJ$505,"&gt;"&amp;$A13,実績!$AK$6:$AK$505,"○")&gt;0,1,0))</f>
        <v>0</v>
      </c>
      <c r="DB13" s="39" t="n">
        <f aca="false">IF(DB$4=0,0,IF(COUNTIFS(実績!$W$6:$W$505,DB$3,実績!$AI$6:$AI$505,"&lt;="&amp;$A13,実績!$AJ$6:$AJ$505,"&gt;"&amp;$A13,実績!$AK$6:$AK$505,"○")&gt;0,1,0))</f>
        <v>0</v>
      </c>
      <c r="DC13" s="39" t="n">
        <f aca="false">IF(DC$4=0,0,IF(COUNTIFS(実績!$W$6:$W$505,DC$3,実績!$AI$6:$AI$505,"&lt;="&amp;$A13,実績!$AJ$6:$AJ$505,"&gt;"&amp;$A13,実績!$AK$6:$AK$505,"○")&gt;0,1,0))</f>
        <v>0</v>
      </c>
      <c r="DD13" s="39" t="n">
        <f aca="false">IF(DD$4=0,0,IF(COUNTIFS(実績!$W$6:$W$505,DD$3,実績!$AI$6:$AI$505,"&lt;="&amp;$A13,実績!$AJ$6:$AJ$505,"&gt;"&amp;$A13,実績!$AK$6:$AK$505,"○")&gt;0,1,0))</f>
        <v>0</v>
      </c>
      <c r="DE13" s="39" t="n">
        <f aca="false">IF(DE$4=0,0,IF(COUNTIFS(実績!$W$6:$W$505,DE$3,実績!$AI$6:$AI$505,"&lt;="&amp;$A13,実績!$AJ$6:$AJ$505,"&gt;"&amp;$A13,実績!$AK$6:$AK$505,"○")&gt;0,1,0))</f>
        <v>0</v>
      </c>
      <c r="DF13" s="39" t="n">
        <f aca="false">IF(DF$4=0,0,IF(COUNTIFS(実績!$W$6:$W$505,DF$3,実績!$AI$6:$AI$505,"&lt;="&amp;$A13,実績!$AJ$6:$AJ$505,"&gt;"&amp;$A13,実績!$AK$6:$AK$505,"○")&gt;0,1,0))</f>
        <v>0</v>
      </c>
      <c r="DG13" s="39" t="n">
        <f aca="false">IF(DG$4=0,0,IF(COUNTIFS(実績!$W$6:$W$505,DG$3,実績!$AI$6:$AI$505,"&lt;="&amp;$A13,実績!$AJ$6:$AJ$505,"&gt;"&amp;$A13,実績!$AK$6:$AK$505,"○")&gt;0,1,0))</f>
        <v>0</v>
      </c>
      <c r="DH13" s="39" t="n">
        <f aca="false">IF(DH$4=0,0,IF(COUNTIFS(実績!$W$6:$W$505,DH$3,実績!$AI$6:$AI$505,"&lt;="&amp;$A13,実績!$AJ$6:$AJ$505,"&gt;"&amp;$A13,実績!$AK$6:$AK$505,"○")&gt;0,1,0))</f>
        <v>0</v>
      </c>
      <c r="DI13" s="39" t="n">
        <f aca="false">IF(DI$4=0,0,IF(COUNTIFS(実績!$W$6:$W$505,DI$3,実績!$AI$6:$AI$505,"&lt;="&amp;$A13,実績!$AJ$6:$AJ$505,"&gt;"&amp;$A13,実績!$AK$6:$AK$505,"○")&gt;0,1,0))</f>
        <v>0</v>
      </c>
      <c r="DJ13" s="39" t="n">
        <f aca="false">IF(DJ$4=0,0,IF(COUNTIFS(実績!$W$6:$W$505,DJ$3,実績!$AI$6:$AI$505,"&lt;="&amp;$A13,実績!$AJ$6:$AJ$505,"&gt;"&amp;$A13,実績!$AK$6:$AK$505,"○")&gt;0,1,0))</f>
        <v>0</v>
      </c>
      <c r="DK13" s="39" t="n">
        <f aca="false">IF(DK$4=0,0,IF(COUNTIFS(実績!$W$6:$W$505,DK$3,実績!$AI$6:$AI$505,"&lt;="&amp;$A13,実績!$AJ$6:$AJ$505,"&gt;"&amp;$A13,実績!$AK$6:$AK$505,"○")&gt;0,1,0))</f>
        <v>0</v>
      </c>
      <c r="DL13" s="39" t="n">
        <f aca="false">IF(DL$4=0,0,IF(COUNTIFS(実績!$W$6:$W$505,DL$3,実績!$AI$6:$AI$505,"&lt;="&amp;$A13,実績!$AJ$6:$AJ$505,"&gt;"&amp;$A13,実績!$AK$6:$AK$505,"○")&gt;0,1,0))</f>
        <v>0</v>
      </c>
      <c r="DM13" s="39" t="n">
        <f aca="false">IF(DM$4=0,0,IF(COUNTIFS(実績!$W$6:$W$505,DM$3,実績!$AI$6:$AI$505,"&lt;="&amp;$A13,実績!$AJ$6:$AJ$505,"&gt;"&amp;$A13,実績!$AK$6:$AK$505,"○")&gt;0,1,0))</f>
        <v>0</v>
      </c>
      <c r="DN13" s="39" t="n">
        <f aca="false">IF(DN$4=0,0,IF(COUNTIFS(実績!$W$6:$W$505,DN$3,実績!$AI$6:$AI$505,"&lt;="&amp;$A13,実績!$AJ$6:$AJ$505,"&gt;"&amp;$A13,実績!$AK$6:$AK$505,"○")&gt;0,1,0))</f>
        <v>0</v>
      </c>
      <c r="DO13" s="39" t="n">
        <f aca="false">IF(DO$4=0,0,IF(COUNTIFS(実績!$W$6:$W$505,DO$3,実績!$AI$6:$AI$505,"&lt;="&amp;$A13,実績!$AJ$6:$AJ$505,"&gt;"&amp;$A13,実績!$AK$6:$AK$505,"○")&gt;0,1,0))</f>
        <v>0</v>
      </c>
      <c r="DP13" s="39" t="n">
        <f aca="false">IF(DP$4=0,0,IF(COUNTIFS(実績!$W$6:$W$505,DP$3,実績!$AI$6:$AI$505,"&lt;="&amp;$A13,実績!$AJ$6:$AJ$505,"&gt;"&amp;$A13,実績!$AK$6:$AK$505,"○")&gt;0,1,0))</f>
        <v>0</v>
      </c>
      <c r="DQ13" s="39" t="n">
        <f aca="false">IF(DQ$4=0,0,IF(COUNTIFS(実績!$W$6:$W$505,DQ$3,実績!$AI$6:$AI$505,"&lt;="&amp;$A13,実績!$AJ$6:$AJ$505,"&gt;"&amp;$A13,実績!$AK$6:$AK$505,"○")&gt;0,1,0))</f>
        <v>0</v>
      </c>
      <c r="DR13" s="39" t="n">
        <f aca="false">IF(DR$4=0,0,IF(COUNTIFS(実績!$W$6:$W$505,DR$3,実績!$AI$6:$AI$505,"&lt;="&amp;$A13,実績!$AJ$6:$AJ$505,"&gt;"&amp;$A13,実績!$AK$6:$AK$505,"○")&gt;0,1,0))</f>
        <v>0</v>
      </c>
      <c r="DS13" s="39" t="n">
        <f aca="false">SUM(C13:DR13)</f>
        <v>0</v>
      </c>
      <c r="DT13" s="39" t="n">
        <f aca="false">SUMPRODUCT((実績!$C$6:$C$505="○")*ISNUMBER(実績!$AM$6:$AM$505)*(実績!$AM$6:$AM$505&lt;=$A13)*(実績!$AN$6:$AN$505&gt;$A13))</f>
        <v>0</v>
      </c>
      <c r="DU13" s="39" t="n">
        <f aca="false">SUMIF($C$2:$DR$2,"製鉄曳船",C13:DR13)</f>
        <v>0</v>
      </c>
      <c r="DV13" s="39" t="n">
        <f aca="false">SUMIF($C$2:$DR$2,"西日本海運",C13:DR13)</f>
        <v>0</v>
      </c>
    </row>
    <row r="14" customFormat="false" ht="15" hidden="false" customHeight="false" outlineLevel="0" collapsed="false">
      <c r="A14" s="0" t="n">
        <v>40</v>
      </c>
      <c r="B14" s="38" t="n">
        <f aca="false">A14/1440</f>
        <v>0.0277777777777778</v>
      </c>
      <c r="C14" s="39" t="n">
        <f aca="false">IF(C$4=0,0,IF(COUNTIFS(実績!$W$6:$W$505,C$3,実績!$AI$6:$AI$505,"&lt;="&amp;$A14,実績!$AJ$6:$AJ$505,"&gt;"&amp;$A14,実績!$AK$6:$AK$505,"○")&gt;0,1,0))</f>
        <v>0</v>
      </c>
      <c r="D14" s="39" t="n">
        <f aca="false">IF(D$4=0,0,IF(COUNTIFS(実績!$W$6:$W$505,D$3,実績!$AI$6:$AI$505,"&lt;="&amp;$A14,実績!$AJ$6:$AJ$505,"&gt;"&amp;$A14,実績!$AK$6:$AK$505,"○")&gt;0,1,0))</f>
        <v>0</v>
      </c>
      <c r="E14" s="39" t="n">
        <f aca="false">IF(E$4=0,0,IF(COUNTIFS(実績!$W$6:$W$505,E$3,実績!$AI$6:$AI$505,"&lt;="&amp;$A14,実績!$AJ$6:$AJ$505,"&gt;"&amp;$A14,実績!$AK$6:$AK$505,"○")&gt;0,1,0))</f>
        <v>0</v>
      </c>
      <c r="F14" s="39" t="n">
        <f aca="false">IF(F$4=0,0,IF(COUNTIFS(実績!$W$6:$W$505,F$3,実績!$AI$6:$AI$505,"&lt;="&amp;$A14,実績!$AJ$6:$AJ$505,"&gt;"&amp;$A14,実績!$AK$6:$AK$505,"○")&gt;0,1,0))</f>
        <v>0</v>
      </c>
      <c r="G14" s="39" t="n">
        <f aca="false">IF(G$4=0,0,IF(COUNTIFS(実績!$W$6:$W$505,G$3,実績!$AI$6:$AI$505,"&lt;="&amp;$A14,実績!$AJ$6:$AJ$505,"&gt;"&amp;$A14,実績!$AK$6:$AK$505,"○")&gt;0,1,0))</f>
        <v>0</v>
      </c>
      <c r="H14" s="39" t="n">
        <f aca="false">IF(H$4=0,0,IF(COUNTIFS(実績!$W$6:$W$505,H$3,実績!$AI$6:$AI$505,"&lt;="&amp;$A14,実績!$AJ$6:$AJ$505,"&gt;"&amp;$A14,実績!$AK$6:$AK$505,"○")&gt;0,1,0))</f>
        <v>0</v>
      </c>
      <c r="I14" s="39" t="n">
        <f aca="false">IF(I$4=0,0,IF(COUNTIFS(実績!$W$6:$W$505,I$3,実績!$AI$6:$AI$505,"&lt;="&amp;$A14,実績!$AJ$6:$AJ$505,"&gt;"&amp;$A14,実績!$AK$6:$AK$505,"○")&gt;0,1,0))</f>
        <v>0</v>
      </c>
      <c r="J14" s="39" t="n">
        <f aca="false">IF(J$4=0,0,IF(COUNTIFS(実績!$W$6:$W$505,J$3,実績!$AI$6:$AI$505,"&lt;="&amp;$A14,実績!$AJ$6:$AJ$505,"&gt;"&amp;$A14,実績!$AK$6:$AK$505,"○")&gt;0,1,0))</f>
        <v>0</v>
      </c>
      <c r="K14" s="39" t="n">
        <f aca="false">IF(K$4=0,0,IF(COUNTIFS(実績!$W$6:$W$505,K$3,実績!$AI$6:$AI$505,"&lt;="&amp;$A14,実績!$AJ$6:$AJ$505,"&gt;"&amp;$A14,実績!$AK$6:$AK$505,"○")&gt;0,1,0))</f>
        <v>0</v>
      </c>
      <c r="L14" s="39" t="n">
        <f aca="false">IF(L$4=0,0,IF(COUNTIFS(実績!$W$6:$W$505,L$3,実績!$AI$6:$AI$505,"&lt;="&amp;$A14,実績!$AJ$6:$AJ$505,"&gt;"&amp;$A14,実績!$AK$6:$AK$505,"○")&gt;0,1,0))</f>
        <v>0</v>
      </c>
      <c r="M14" s="39" t="n">
        <f aca="false">IF(M$4=0,0,IF(COUNTIFS(実績!$W$6:$W$505,M$3,実績!$AI$6:$AI$505,"&lt;="&amp;$A14,実績!$AJ$6:$AJ$505,"&gt;"&amp;$A14,実績!$AK$6:$AK$505,"○")&gt;0,1,0))</f>
        <v>0</v>
      </c>
      <c r="N14" s="39" t="n">
        <f aca="false">IF(N$4=0,0,IF(COUNTIFS(実績!$W$6:$W$505,N$3,実績!$AI$6:$AI$505,"&lt;="&amp;$A14,実績!$AJ$6:$AJ$505,"&gt;"&amp;$A14,実績!$AK$6:$AK$505,"○")&gt;0,1,0))</f>
        <v>0</v>
      </c>
      <c r="O14" s="39" t="n">
        <f aca="false">IF(O$4=0,0,IF(COUNTIFS(実績!$W$6:$W$505,O$3,実績!$AI$6:$AI$505,"&lt;="&amp;$A14,実績!$AJ$6:$AJ$505,"&gt;"&amp;$A14,実績!$AK$6:$AK$505,"○")&gt;0,1,0))</f>
        <v>0</v>
      </c>
      <c r="P14" s="39" t="n">
        <f aca="false">IF(P$4=0,0,IF(COUNTIFS(実績!$W$6:$W$505,P$3,実績!$AI$6:$AI$505,"&lt;="&amp;$A14,実績!$AJ$6:$AJ$505,"&gt;"&amp;$A14,実績!$AK$6:$AK$505,"○")&gt;0,1,0))</f>
        <v>0</v>
      </c>
      <c r="Q14" s="39" t="n">
        <f aca="false">IF(Q$4=0,0,IF(COUNTIFS(実績!$W$6:$W$505,Q$3,実績!$AI$6:$AI$505,"&lt;="&amp;$A14,実績!$AJ$6:$AJ$505,"&gt;"&amp;$A14,実績!$AK$6:$AK$505,"○")&gt;0,1,0))</f>
        <v>0</v>
      </c>
      <c r="R14" s="39" t="n">
        <f aca="false">IF(R$4=0,0,IF(COUNTIFS(実績!$W$6:$W$505,R$3,実績!$AI$6:$AI$505,"&lt;="&amp;$A14,実績!$AJ$6:$AJ$505,"&gt;"&amp;$A14,実績!$AK$6:$AK$505,"○")&gt;0,1,0))</f>
        <v>0</v>
      </c>
      <c r="S14" s="39" t="n">
        <f aca="false">IF(S$4=0,0,IF(COUNTIFS(実績!$W$6:$W$505,S$3,実績!$AI$6:$AI$505,"&lt;="&amp;$A14,実績!$AJ$6:$AJ$505,"&gt;"&amp;$A14,実績!$AK$6:$AK$505,"○")&gt;0,1,0))</f>
        <v>0</v>
      </c>
      <c r="T14" s="39" t="n">
        <f aca="false">IF(T$4=0,0,IF(COUNTIFS(実績!$W$6:$W$505,T$3,実績!$AI$6:$AI$505,"&lt;="&amp;$A14,実績!$AJ$6:$AJ$505,"&gt;"&amp;$A14,実績!$AK$6:$AK$505,"○")&gt;0,1,0))</f>
        <v>0</v>
      </c>
      <c r="U14" s="39" t="n">
        <f aca="false">IF(U$4=0,0,IF(COUNTIFS(実績!$W$6:$W$505,U$3,実績!$AI$6:$AI$505,"&lt;="&amp;$A14,実績!$AJ$6:$AJ$505,"&gt;"&amp;$A14,実績!$AK$6:$AK$505,"○")&gt;0,1,0))</f>
        <v>0</v>
      </c>
      <c r="V14" s="39" t="n">
        <f aca="false">IF(V$4=0,0,IF(COUNTIFS(実績!$W$6:$W$505,V$3,実績!$AI$6:$AI$505,"&lt;="&amp;$A14,実績!$AJ$6:$AJ$505,"&gt;"&amp;$A14,実績!$AK$6:$AK$505,"○")&gt;0,1,0))</f>
        <v>0</v>
      </c>
      <c r="W14" s="39" t="n">
        <f aca="false">IF(W$4=0,0,IF(COUNTIFS(実績!$W$6:$W$505,W$3,実績!$AI$6:$AI$505,"&lt;="&amp;$A14,実績!$AJ$6:$AJ$505,"&gt;"&amp;$A14,実績!$AK$6:$AK$505,"○")&gt;0,1,0))</f>
        <v>0</v>
      </c>
      <c r="X14" s="39" t="n">
        <f aca="false">IF(X$4=0,0,IF(COUNTIFS(実績!$W$6:$W$505,X$3,実績!$AI$6:$AI$505,"&lt;="&amp;$A14,実績!$AJ$6:$AJ$505,"&gt;"&amp;$A14,実績!$AK$6:$AK$505,"○")&gt;0,1,0))</f>
        <v>0</v>
      </c>
      <c r="Y14" s="39" t="n">
        <f aca="false">IF(Y$4=0,0,IF(COUNTIFS(実績!$W$6:$W$505,Y$3,実績!$AI$6:$AI$505,"&lt;="&amp;$A14,実績!$AJ$6:$AJ$505,"&gt;"&amp;$A14,実績!$AK$6:$AK$505,"○")&gt;0,1,0))</f>
        <v>0</v>
      </c>
      <c r="Z14" s="39" t="n">
        <f aca="false">IF(Z$4=0,0,IF(COUNTIFS(実績!$W$6:$W$505,Z$3,実績!$AI$6:$AI$505,"&lt;="&amp;$A14,実績!$AJ$6:$AJ$505,"&gt;"&amp;$A14,実績!$AK$6:$AK$505,"○")&gt;0,1,0))</f>
        <v>0</v>
      </c>
      <c r="AA14" s="39" t="n">
        <f aca="false">IF(AA$4=0,0,IF(COUNTIFS(実績!$W$6:$W$505,AA$3,実績!$AI$6:$AI$505,"&lt;="&amp;$A14,実績!$AJ$6:$AJ$505,"&gt;"&amp;$A14,実績!$AK$6:$AK$505,"○")&gt;0,1,0))</f>
        <v>0</v>
      </c>
      <c r="AB14" s="39" t="n">
        <f aca="false">IF(AB$4=0,0,IF(COUNTIFS(実績!$W$6:$W$505,AB$3,実績!$AI$6:$AI$505,"&lt;="&amp;$A14,実績!$AJ$6:$AJ$505,"&gt;"&amp;$A14,実績!$AK$6:$AK$505,"○")&gt;0,1,0))</f>
        <v>0</v>
      </c>
      <c r="AC14" s="39" t="n">
        <f aca="false">IF(AC$4=0,0,IF(COUNTIFS(実績!$W$6:$W$505,AC$3,実績!$AI$6:$AI$505,"&lt;="&amp;$A14,実績!$AJ$6:$AJ$505,"&gt;"&amp;$A14,実績!$AK$6:$AK$505,"○")&gt;0,1,0))</f>
        <v>0</v>
      </c>
      <c r="AD14" s="39" t="n">
        <f aca="false">IF(AD$4=0,0,IF(COUNTIFS(実績!$W$6:$W$505,AD$3,実績!$AI$6:$AI$505,"&lt;="&amp;$A14,実績!$AJ$6:$AJ$505,"&gt;"&amp;$A14,実績!$AK$6:$AK$505,"○")&gt;0,1,0))</f>
        <v>0</v>
      </c>
      <c r="AE14" s="39" t="n">
        <f aca="false">IF(AE$4=0,0,IF(COUNTIFS(実績!$W$6:$W$505,AE$3,実績!$AI$6:$AI$505,"&lt;="&amp;$A14,実績!$AJ$6:$AJ$505,"&gt;"&amp;$A14,実績!$AK$6:$AK$505,"○")&gt;0,1,0))</f>
        <v>0</v>
      </c>
      <c r="AF14" s="39" t="n">
        <f aca="false">IF(AF$4=0,0,IF(COUNTIFS(実績!$W$6:$W$505,AF$3,実績!$AI$6:$AI$505,"&lt;="&amp;$A14,実績!$AJ$6:$AJ$505,"&gt;"&amp;$A14,実績!$AK$6:$AK$505,"○")&gt;0,1,0))</f>
        <v>0</v>
      </c>
      <c r="AG14" s="39" t="n">
        <f aca="false">IF(AG$4=0,0,IF(COUNTIFS(実績!$W$6:$W$505,AG$3,実績!$AI$6:$AI$505,"&lt;="&amp;$A14,実績!$AJ$6:$AJ$505,"&gt;"&amp;$A14,実績!$AK$6:$AK$505,"○")&gt;0,1,0))</f>
        <v>0</v>
      </c>
      <c r="AH14" s="39" t="n">
        <f aca="false">IF(AH$4=0,0,IF(COUNTIFS(実績!$W$6:$W$505,AH$3,実績!$AI$6:$AI$505,"&lt;="&amp;$A14,実績!$AJ$6:$AJ$505,"&gt;"&amp;$A14,実績!$AK$6:$AK$505,"○")&gt;0,1,0))</f>
        <v>0</v>
      </c>
      <c r="AI14" s="39" t="n">
        <f aca="false">IF(AI$4=0,0,IF(COUNTIFS(実績!$W$6:$W$505,AI$3,実績!$AI$6:$AI$505,"&lt;="&amp;$A14,実績!$AJ$6:$AJ$505,"&gt;"&amp;$A14,実績!$AK$6:$AK$505,"○")&gt;0,1,0))</f>
        <v>0</v>
      </c>
      <c r="AJ14" s="39" t="n">
        <f aca="false">IF(AJ$4=0,0,IF(COUNTIFS(実績!$W$6:$W$505,AJ$3,実績!$AI$6:$AI$505,"&lt;="&amp;$A14,実績!$AJ$6:$AJ$505,"&gt;"&amp;$A14,実績!$AK$6:$AK$505,"○")&gt;0,1,0))</f>
        <v>0</v>
      </c>
      <c r="AK14" s="39" t="n">
        <f aca="false">IF(AK$4=0,0,IF(COUNTIFS(実績!$W$6:$W$505,AK$3,実績!$AI$6:$AI$505,"&lt;="&amp;$A14,実績!$AJ$6:$AJ$505,"&gt;"&amp;$A14,実績!$AK$6:$AK$505,"○")&gt;0,1,0))</f>
        <v>0</v>
      </c>
      <c r="AL14" s="39" t="n">
        <f aca="false">IF(AL$4=0,0,IF(COUNTIFS(実績!$W$6:$W$505,AL$3,実績!$AI$6:$AI$505,"&lt;="&amp;$A14,実績!$AJ$6:$AJ$505,"&gt;"&amp;$A14,実績!$AK$6:$AK$505,"○")&gt;0,1,0))</f>
        <v>0</v>
      </c>
      <c r="AM14" s="39" t="n">
        <f aca="false">IF(AM$4=0,0,IF(COUNTIFS(実績!$W$6:$W$505,AM$3,実績!$AI$6:$AI$505,"&lt;="&amp;$A14,実績!$AJ$6:$AJ$505,"&gt;"&amp;$A14,実績!$AK$6:$AK$505,"○")&gt;0,1,0))</f>
        <v>0</v>
      </c>
      <c r="AN14" s="39" t="n">
        <f aca="false">IF(AN$4=0,0,IF(COUNTIFS(実績!$W$6:$W$505,AN$3,実績!$AI$6:$AI$505,"&lt;="&amp;$A14,実績!$AJ$6:$AJ$505,"&gt;"&amp;$A14,実績!$AK$6:$AK$505,"○")&gt;0,1,0))</f>
        <v>0</v>
      </c>
      <c r="AO14" s="39" t="n">
        <f aca="false">IF(AO$4=0,0,IF(COUNTIFS(実績!$W$6:$W$505,AO$3,実績!$AI$6:$AI$505,"&lt;="&amp;$A14,実績!$AJ$6:$AJ$505,"&gt;"&amp;$A14,実績!$AK$6:$AK$505,"○")&gt;0,1,0))</f>
        <v>0</v>
      </c>
      <c r="AP14" s="39" t="n">
        <f aca="false">IF(AP$4=0,0,IF(COUNTIFS(実績!$W$6:$W$505,AP$3,実績!$AI$6:$AI$505,"&lt;="&amp;$A14,実績!$AJ$6:$AJ$505,"&gt;"&amp;$A14,実績!$AK$6:$AK$505,"○")&gt;0,1,0))</f>
        <v>0</v>
      </c>
      <c r="AQ14" s="39" t="n">
        <f aca="false">IF(AQ$4=0,0,IF(COUNTIFS(実績!$W$6:$W$505,AQ$3,実績!$AI$6:$AI$505,"&lt;="&amp;$A14,実績!$AJ$6:$AJ$505,"&gt;"&amp;$A14,実績!$AK$6:$AK$505,"○")&gt;0,1,0))</f>
        <v>0</v>
      </c>
      <c r="AR14" s="39" t="n">
        <f aca="false">IF(AR$4=0,0,IF(COUNTIFS(実績!$W$6:$W$505,AR$3,実績!$AI$6:$AI$505,"&lt;="&amp;$A14,実績!$AJ$6:$AJ$505,"&gt;"&amp;$A14,実績!$AK$6:$AK$505,"○")&gt;0,1,0))</f>
        <v>0</v>
      </c>
      <c r="AS14" s="39" t="n">
        <f aca="false">IF(AS$4=0,0,IF(COUNTIFS(実績!$W$6:$W$505,AS$3,実績!$AI$6:$AI$505,"&lt;="&amp;$A14,実績!$AJ$6:$AJ$505,"&gt;"&amp;$A14,実績!$AK$6:$AK$505,"○")&gt;0,1,0))</f>
        <v>0</v>
      </c>
      <c r="AT14" s="39" t="n">
        <f aca="false">IF(AT$4=0,0,IF(COUNTIFS(実績!$W$6:$W$505,AT$3,実績!$AI$6:$AI$505,"&lt;="&amp;$A14,実績!$AJ$6:$AJ$505,"&gt;"&amp;$A14,実績!$AK$6:$AK$505,"○")&gt;0,1,0))</f>
        <v>0</v>
      </c>
      <c r="AU14" s="39" t="n">
        <f aca="false">IF(AU$4=0,0,IF(COUNTIFS(実績!$W$6:$W$505,AU$3,実績!$AI$6:$AI$505,"&lt;="&amp;$A14,実績!$AJ$6:$AJ$505,"&gt;"&amp;$A14,実績!$AK$6:$AK$505,"○")&gt;0,1,0))</f>
        <v>0</v>
      </c>
      <c r="AV14" s="39" t="n">
        <f aca="false">IF(AV$4=0,0,IF(COUNTIFS(実績!$W$6:$W$505,AV$3,実績!$AI$6:$AI$505,"&lt;="&amp;$A14,実績!$AJ$6:$AJ$505,"&gt;"&amp;$A14,実績!$AK$6:$AK$505,"○")&gt;0,1,0))</f>
        <v>0</v>
      </c>
      <c r="AW14" s="39" t="n">
        <f aca="false">IF(AW$4=0,0,IF(COUNTIFS(実績!$W$6:$W$505,AW$3,実績!$AI$6:$AI$505,"&lt;="&amp;$A14,実績!$AJ$6:$AJ$505,"&gt;"&amp;$A14,実績!$AK$6:$AK$505,"○")&gt;0,1,0))</f>
        <v>0</v>
      </c>
      <c r="AX14" s="39" t="n">
        <f aca="false">IF(AX$4=0,0,IF(COUNTIFS(実績!$W$6:$W$505,AX$3,実績!$AI$6:$AI$505,"&lt;="&amp;$A14,実績!$AJ$6:$AJ$505,"&gt;"&amp;$A14,実績!$AK$6:$AK$505,"○")&gt;0,1,0))</f>
        <v>0</v>
      </c>
      <c r="AY14" s="39" t="n">
        <f aca="false">IF(AY$4=0,0,IF(COUNTIFS(実績!$W$6:$W$505,AY$3,実績!$AI$6:$AI$505,"&lt;="&amp;$A14,実績!$AJ$6:$AJ$505,"&gt;"&amp;$A14,実績!$AK$6:$AK$505,"○")&gt;0,1,0))</f>
        <v>0</v>
      </c>
      <c r="AZ14" s="39" t="n">
        <f aca="false">IF(AZ$4=0,0,IF(COUNTIFS(実績!$W$6:$W$505,AZ$3,実績!$AI$6:$AI$505,"&lt;="&amp;$A14,実績!$AJ$6:$AJ$505,"&gt;"&amp;$A14,実績!$AK$6:$AK$505,"○")&gt;0,1,0))</f>
        <v>0</v>
      </c>
      <c r="BA14" s="39" t="n">
        <f aca="false">IF(BA$4=0,0,IF(COUNTIFS(実績!$W$6:$W$505,BA$3,実績!$AI$6:$AI$505,"&lt;="&amp;$A14,実績!$AJ$6:$AJ$505,"&gt;"&amp;$A14,実績!$AK$6:$AK$505,"○")&gt;0,1,0))</f>
        <v>0</v>
      </c>
      <c r="BB14" s="39" t="n">
        <f aca="false">IF(BB$4=0,0,IF(COUNTIFS(実績!$W$6:$W$505,BB$3,実績!$AI$6:$AI$505,"&lt;="&amp;$A14,実績!$AJ$6:$AJ$505,"&gt;"&amp;$A14,実績!$AK$6:$AK$505,"○")&gt;0,1,0))</f>
        <v>0</v>
      </c>
      <c r="BC14" s="39" t="n">
        <f aca="false">IF(BC$4=0,0,IF(COUNTIFS(実績!$W$6:$W$505,BC$3,実績!$AI$6:$AI$505,"&lt;="&amp;$A14,実績!$AJ$6:$AJ$505,"&gt;"&amp;$A14,実績!$AK$6:$AK$505,"○")&gt;0,1,0))</f>
        <v>0</v>
      </c>
      <c r="BD14" s="39" t="n">
        <f aca="false">IF(BD$4=0,0,IF(COUNTIFS(実績!$W$6:$W$505,BD$3,実績!$AI$6:$AI$505,"&lt;="&amp;$A14,実績!$AJ$6:$AJ$505,"&gt;"&amp;$A14,実績!$AK$6:$AK$505,"○")&gt;0,1,0))</f>
        <v>0</v>
      </c>
      <c r="BE14" s="39" t="n">
        <f aca="false">IF(BE$4=0,0,IF(COUNTIFS(実績!$W$6:$W$505,BE$3,実績!$AI$6:$AI$505,"&lt;="&amp;$A14,実績!$AJ$6:$AJ$505,"&gt;"&amp;$A14,実績!$AK$6:$AK$505,"○")&gt;0,1,0))</f>
        <v>0</v>
      </c>
      <c r="BF14" s="39" t="n">
        <f aca="false">IF(BF$4=0,0,IF(COUNTIFS(実績!$W$6:$W$505,BF$3,実績!$AI$6:$AI$505,"&lt;="&amp;$A14,実績!$AJ$6:$AJ$505,"&gt;"&amp;$A14,実績!$AK$6:$AK$505,"○")&gt;0,1,0))</f>
        <v>0</v>
      </c>
      <c r="BG14" s="39" t="n">
        <f aca="false">IF(BG$4=0,0,IF(COUNTIFS(実績!$W$6:$W$505,BG$3,実績!$AI$6:$AI$505,"&lt;="&amp;$A14,実績!$AJ$6:$AJ$505,"&gt;"&amp;$A14,実績!$AK$6:$AK$505,"○")&gt;0,1,0))</f>
        <v>0</v>
      </c>
      <c r="BH14" s="39" t="n">
        <f aca="false">IF(BH$4=0,0,IF(COUNTIFS(実績!$W$6:$W$505,BH$3,実績!$AI$6:$AI$505,"&lt;="&amp;$A14,実績!$AJ$6:$AJ$505,"&gt;"&amp;$A14,実績!$AK$6:$AK$505,"○")&gt;0,1,0))</f>
        <v>0</v>
      </c>
      <c r="BI14" s="39" t="n">
        <f aca="false">IF(BI$4=0,0,IF(COUNTIFS(実績!$W$6:$W$505,BI$3,実績!$AI$6:$AI$505,"&lt;="&amp;$A14,実績!$AJ$6:$AJ$505,"&gt;"&amp;$A14,実績!$AK$6:$AK$505,"○")&gt;0,1,0))</f>
        <v>0</v>
      </c>
      <c r="BJ14" s="39" t="n">
        <f aca="false">IF(BJ$4=0,0,IF(COUNTIFS(実績!$W$6:$W$505,BJ$3,実績!$AI$6:$AI$505,"&lt;="&amp;$A14,実績!$AJ$6:$AJ$505,"&gt;"&amp;$A14,実績!$AK$6:$AK$505,"○")&gt;0,1,0))</f>
        <v>0</v>
      </c>
      <c r="BK14" s="39" t="n">
        <f aca="false">IF(BK$4=0,0,IF(COUNTIFS(実績!$W$6:$W$505,BK$3,実績!$AI$6:$AI$505,"&lt;="&amp;$A14,実績!$AJ$6:$AJ$505,"&gt;"&amp;$A14,実績!$AK$6:$AK$505,"○")&gt;0,1,0))</f>
        <v>0</v>
      </c>
      <c r="BL14" s="39" t="n">
        <f aca="false">IF(BL$4=0,0,IF(COUNTIFS(実績!$W$6:$W$505,BL$3,実績!$AI$6:$AI$505,"&lt;="&amp;$A14,実績!$AJ$6:$AJ$505,"&gt;"&amp;$A14,実績!$AK$6:$AK$505,"○")&gt;0,1,0))</f>
        <v>0</v>
      </c>
      <c r="BM14" s="39" t="n">
        <f aca="false">IF(BM$4=0,0,IF(COUNTIFS(実績!$W$6:$W$505,BM$3,実績!$AI$6:$AI$505,"&lt;="&amp;$A14,実績!$AJ$6:$AJ$505,"&gt;"&amp;$A14,実績!$AK$6:$AK$505,"○")&gt;0,1,0))</f>
        <v>0</v>
      </c>
      <c r="BN14" s="39" t="n">
        <f aca="false">IF(BN$4=0,0,IF(COUNTIFS(実績!$W$6:$W$505,BN$3,実績!$AI$6:$AI$505,"&lt;="&amp;$A14,実績!$AJ$6:$AJ$505,"&gt;"&amp;$A14,実績!$AK$6:$AK$505,"○")&gt;0,1,0))</f>
        <v>0</v>
      </c>
      <c r="BO14" s="39" t="n">
        <f aca="false">IF(BO$4=0,0,IF(COUNTIFS(実績!$W$6:$W$505,BO$3,実績!$AI$6:$AI$505,"&lt;="&amp;$A14,実績!$AJ$6:$AJ$505,"&gt;"&amp;$A14,実績!$AK$6:$AK$505,"○")&gt;0,1,0))</f>
        <v>0</v>
      </c>
      <c r="BP14" s="39" t="n">
        <f aca="false">IF(BP$4=0,0,IF(COUNTIFS(実績!$W$6:$W$505,BP$3,実績!$AI$6:$AI$505,"&lt;="&amp;$A14,実績!$AJ$6:$AJ$505,"&gt;"&amp;$A14,実績!$AK$6:$AK$505,"○")&gt;0,1,0))</f>
        <v>0</v>
      </c>
      <c r="BQ14" s="39" t="n">
        <f aca="false">IF(BQ$4=0,0,IF(COUNTIFS(実績!$W$6:$W$505,BQ$3,実績!$AI$6:$AI$505,"&lt;="&amp;$A14,実績!$AJ$6:$AJ$505,"&gt;"&amp;$A14,実績!$AK$6:$AK$505,"○")&gt;0,1,0))</f>
        <v>0</v>
      </c>
      <c r="BR14" s="39" t="n">
        <f aca="false">IF(BR$4=0,0,IF(COUNTIFS(実績!$W$6:$W$505,BR$3,実績!$AI$6:$AI$505,"&lt;="&amp;$A14,実績!$AJ$6:$AJ$505,"&gt;"&amp;$A14,実績!$AK$6:$AK$505,"○")&gt;0,1,0))</f>
        <v>0</v>
      </c>
      <c r="BS14" s="39" t="n">
        <f aca="false">IF(BS$4=0,0,IF(COUNTIFS(実績!$W$6:$W$505,BS$3,実績!$AI$6:$AI$505,"&lt;="&amp;$A14,実績!$AJ$6:$AJ$505,"&gt;"&amp;$A14,実績!$AK$6:$AK$505,"○")&gt;0,1,0))</f>
        <v>0</v>
      </c>
      <c r="BT14" s="39" t="n">
        <f aca="false">IF(BT$4=0,0,IF(COUNTIFS(実績!$W$6:$W$505,BT$3,実績!$AI$6:$AI$505,"&lt;="&amp;$A14,実績!$AJ$6:$AJ$505,"&gt;"&amp;$A14,実績!$AK$6:$AK$505,"○")&gt;0,1,0))</f>
        <v>0</v>
      </c>
      <c r="BU14" s="39" t="n">
        <f aca="false">IF(BU$4=0,0,IF(COUNTIFS(実績!$W$6:$W$505,BU$3,実績!$AI$6:$AI$505,"&lt;="&amp;$A14,実績!$AJ$6:$AJ$505,"&gt;"&amp;$A14,実績!$AK$6:$AK$505,"○")&gt;0,1,0))</f>
        <v>0</v>
      </c>
      <c r="BV14" s="39" t="n">
        <f aca="false">IF(BV$4=0,0,IF(COUNTIFS(実績!$W$6:$W$505,BV$3,実績!$AI$6:$AI$505,"&lt;="&amp;$A14,実績!$AJ$6:$AJ$505,"&gt;"&amp;$A14,実績!$AK$6:$AK$505,"○")&gt;0,1,0))</f>
        <v>0</v>
      </c>
      <c r="BW14" s="39" t="n">
        <f aca="false">IF(BW$4=0,0,IF(COUNTIFS(実績!$W$6:$W$505,BW$3,実績!$AI$6:$AI$505,"&lt;="&amp;$A14,実績!$AJ$6:$AJ$505,"&gt;"&amp;$A14,実績!$AK$6:$AK$505,"○")&gt;0,1,0))</f>
        <v>0</v>
      </c>
      <c r="BX14" s="39" t="n">
        <f aca="false">IF(BX$4=0,0,IF(COUNTIFS(実績!$W$6:$W$505,BX$3,実績!$AI$6:$AI$505,"&lt;="&amp;$A14,実績!$AJ$6:$AJ$505,"&gt;"&amp;$A14,実績!$AK$6:$AK$505,"○")&gt;0,1,0))</f>
        <v>0</v>
      </c>
      <c r="BY14" s="39" t="n">
        <f aca="false">IF(BY$4=0,0,IF(COUNTIFS(実績!$W$6:$W$505,BY$3,実績!$AI$6:$AI$505,"&lt;="&amp;$A14,実績!$AJ$6:$AJ$505,"&gt;"&amp;$A14,実績!$AK$6:$AK$505,"○")&gt;0,1,0))</f>
        <v>0</v>
      </c>
      <c r="BZ14" s="39" t="n">
        <f aca="false">IF(BZ$4=0,0,IF(COUNTIFS(実績!$W$6:$W$505,BZ$3,実績!$AI$6:$AI$505,"&lt;="&amp;$A14,実績!$AJ$6:$AJ$505,"&gt;"&amp;$A14,実績!$AK$6:$AK$505,"○")&gt;0,1,0))</f>
        <v>0</v>
      </c>
      <c r="CA14" s="39" t="n">
        <f aca="false">IF(CA$4=0,0,IF(COUNTIFS(実績!$W$6:$W$505,CA$3,実績!$AI$6:$AI$505,"&lt;="&amp;$A14,実績!$AJ$6:$AJ$505,"&gt;"&amp;$A14,実績!$AK$6:$AK$505,"○")&gt;0,1,0))</f>
        <v>0</v>
      </c>
      <c r="CB14" s="39" t="n">
        <f aca="false">IF(CB$4=0,0,IF(COUNTIFS(実績!$W$6:$W$505,CB$3,実績!$AI$6:$AI$505,"&lt;="&amp;$A14,実績!$AJ$6:$AJ$505,"&gt;"&amp;$A14,実績!$AK$6:$AK$505,"○")&gt;0,1,0))</f>
        <v>0</v>
      </c>
      <c r="CC14" s="39" t="n">
        <f aca="false">IF(CC$4=0,0,IF(COUNTIFS(実績!$W$6:$W$505,CC$3,実績!$AI$6:$AI$505,"&lt;="&amp;$A14,実績!$AJ$6:$AJ$505,"&gt;"&amp;$A14,実績!$AK$6:$AK$505,"○")&gt;0,1,0))</f>
        <v>0</v>
      </c>
      <c r="CD14" s="39" t="n">
        <f aca="false">IF(CD$4=0,0,IF(COUNTIFS(実績!$W$6:$W$505,CD$3,実績!$AI$6:$AI$505,"&lt;="&amp;$A14,実績!$AJ$6:$AJ$505,"&gt;"&amp;$A14,実績!$AK$6:$AK$505,"○")&gt;0,1,0))</f>
        <v>0</v>
      </c>
      <c r="CE14" s="39" t="n">
        <f aca="false">IF(CE$4=0,0,IF(COUNTIFS(実績!$W$6:$W$505,CE$3,実績!$AI$6:$AI$505,"&lt;="&amp;$A14,実績!$AJ$6:$AJ$505,"&gt;"&amp;$A14,実績!$AK$6:$AK$505,"○")&gt;0,1,0))</f>
        <v>0</v>
      </c>
      <c r="CF14" s="39" t="n">
        <f aca="false">IF(CF$4=0,0,IF(COUNTIFS(実績!$W$6:$W$505,CF$3,実績!$AI$6:$AI$505,"&lt;="&amp;$A14,実績!$AJ$6:$AJ$505,"&gt;"&amp;$A14,実績!$AK$6:$AK$505,"○")&gt;0,1,0))</f>
        <v>0</v>
      </c>
      <c r="CG14" s="39" t="n">
        <f aca="false">IF(CG$4=0,0,IF(COUNTIFS(実績!$W$6:$W$505,CG$3,実績!$AI$6:$AI$505,"&lt;="&amp;$A14,実績!$AJ$6:$AJ$505,"&gt;"&amp;$A14,実績!$AK$6:$AK$505,"○")&gt;0,1,0))</f>
        <v>0</v>
      </c>
      <c r="CH14" s="39" t="n">
        <f aca="false">IF(CH$4=0,0,IF(COUNTIFS(実績!$W$6:$W$505,CH$3,実績!$AI$6:$AI$505,"&lt;="&amp;$A14,実績!$AJ$6:$AJ$505,"&gt;"&amp;$A14,実績!$AK$6:$AK$505,"○")&gt;0,1,0))</f>
        <v>0</v>
      </c>
      <c r="CI14" s="39" t="n">
        <f aca="false">IF(CI$4=0,0,IF(COUNTIFS(実績!$W$6:$W$505,CI$3,実績!$AI$6:$AI$505,"&lt;="&amp;$A14,実績!$AJ$6:$AJ$505,"&gt;"&amp;$A14,実績!$AK$6:$AK$505,"○")&gt;0,1,0))</f>
        <v>0</v>
      </c>
      <c r="CJ14" s="39" t="n">
        <f aca="false">IF(CJ$4=0,0,IF(COUNTIFS(実績!$W$6:$W$505,CJ$3,実績!$AI$6:$AI$505,"&lt;="&amp;$A14,実績!$AJ$6:$AJ$505,"&gt;"&amp;$A14,実績!$AK$6:$AK$505,"○")&gt;0,1,0))</f>
        <v>0</v>
      </c>
      <c r="CK14" s="39" t="n">
        <f aca="false">IF(CK$4=0,0,IF(COUNTIFS(実績!$W$6:$W$505,CK$3,実績!$AI$6:$AI$505,"&lt;="&amp;$A14,実績!$AJ$6:$AJ$505,"&gt;"&amp;$A14,実績!$AK$6:$AK$505,"○")&gt;0,1,0))</f>
        <v>0</v>
      </c>
      <c r="CL14" s="39" t="n">
        <f aca="false">IF(CL$4=0,0,IF(COUNTIFS(実績!$W$6:$W$505,CL$3,実績!$AI$6:$AI$505,"&lt;="&amp;$A14,実績!$AJ$6:$AJ$505,"&gt;"&amp;$A14,実績!$AK$6:$AK$505,"○")&gt;0,1,0))</f>
        <v>0</v>
      </c>
      <c r="CM14" s="39" t="n">
        <f aca="false">IF(CM$4=0,0,IF(COUNTIFS(実績!$W$6:$W$505,CM$3,実績!$AI$6:$AI$505,"&lt;="&amp;$A14,実績!$AJ$6:$AJ$505,"&gt;"&amp;$A14,実績!$AK$6:$AK$505,"○")&gt;0,1,0))</f>
        <v>0</v>
      </c>
      <c r="CN14" s="39" t="n">
        <f aca="false">IF(CN$4=0,0,IF(COUNTIFS(実績!$W$6:$W$505,CN$3,実績!$AI$6:$AI$505,"&lt;="&amp;$A14,実績!$AJ$6:$AJ$505,"&gt;"&amp;$A14,実績!$AK$6:$AK$505,"○")&gt;0,1,0))</f>
        <v>0</v>
      </c>
      <c r="CO14" s="39" t="n">
        <f aca="false">IF(CO$4=0,0,IF(COUNTIFS(実績!$W$6:$W$505,CO$3,実績!$AI$6:$AI$505,"&lt;="&amp;$A14,実績!$AJ$6:$AJ$505,"&gt;"&amp;$A14,実績!$AK$6:$AK$505,"○")&gt;0,1,0))</f>
        <v>0</v>
      </c>
      <c r="CP14" s="39" t="n">
        <f aca="false">IF(CP$4=0,0,IF(COUNTIFS(実績!$W$6:$W$505,CP$3,実績!$AI$6:$AI$505,"&lt;="&amp;$A14,実績!$AJ$6:$AJ$505,"&gt;"&amp;$A14,実績!$AK$6:$AK$505,"○")&gt;0,1,0))</f>
        <v>0</v>
      </c>
      <c r="CQ14" s="39" t="n">
        <f aca="false">IF(CQ$4=0,0,IF(COUNTIFS(実績!$W$6:$W$505,CQ$3,実績!$AI$6:$AI$505,"&lt;="&amp;$A14,実績!$AJ$6:$AJ$505,"&gt;"&amp;$A14,実績!$AK$6:$AK$505,"○")&gt;0,1,0))</f>
        <v>0</v>
      </c>
      <c r="CR14" s="39" t="n">
        <f aca="false">IF(CR$4=0,0,IF(COUNTIFS(実績!$W$6:$W$505,CR$3,実績!$AI$6:$AI$505,"&lt;="&amp;$A14,実績!$AJ$6:$AJ$505,"&gt;"&amp;$A14,実績!$AK$6:$AK$505,"○")&gt;0,1,0))</f>
        <v>0</v>
      </c>
      <c r="CS14" s="39" t="n">
        <f aca="false">IF(CS$4=0,0,IF(COUNTIFS(実績!$W$6:$W$505,CS$3,実績!$AI$6:$AI$505,"&lt;="&amp;$A14,実績!$AJ$6:$AJ$505,"&gt;"&amp;$A14,実績!$AK$6:$AK$505,"○")&gt;0,1,0))</f>
        <v>0</v>
      </c>
      <c r="CT14" s="39" t="n">
        <f aca="false">IF(CT$4=0,0,IF(COUNTIFS(実績!$W$6:$W$505,CT$3,実績!$AI$6:$AI$505,"&lt;="&amp;$A14,実績!$AJ$6:$AJ$505,"&gt;"&amp;$A14,実績!$AK$6:$AK$505,"○")&gt;0,1,0))</f>
        <v>0</v>
      </c>
      <c r="CU14" s="39" t="n">
        <f aca="false">IF(CU$4=0,0,IF(COUNTIFS(実績!$W$6:$W$505,CU$3,実績!$AI$6:$AI$505,"&lt;="&amp;$A14,実績!$AJ$6:$AJ$505,"&gt;"&amp;$A14,実績!$AK$6:$AK$505,"○")&gt;0,1,0))</f>
        <v>0</v>
      </c>
      <c r="CV14" s="39" t="n">
        <f aca="false">IF(CV$4=0,0,IF(COUNTIFS(実績!$W$6:$W$505,CV$3,実績!$AI$6:$AI$505,"&lt;="&amp;$A14,実績!$AJ$6:$AJ$505,"&gt;"&amp;$A14,実績!$AK$6:$AK$505,"○")&gt;0,1,0))</f>
        <v>0</v>
      </c>
      <c r="CW14" s="39" t="n">
        <f aca="false">IF(CW$4=0,0,IF(COUNTIFS(実績!$W$6:$W$505,CW$3,実績!$AI$6:$AI$505,"&lt;="&amp;$A14,実績!$AJ$6:$AJ$505,"&gt;"&amp;$A14,実績!$AK$6:$AK$505,"○")&gt;0,1,0))</f>
        <v>0</v>
      </c>
      <c r="CX14" s="39" t="n">
        <f aca="false">IF(CX$4=0,0,IF(COUNTIFS(実績!$W$6:$W$505,CX$3,実績!$AI$6:$AI$505,"&lt;="&amp;$A14,実績!$AJ$6:$AJ$505,"&gt;"&amp;$A14,実績!$AK$6:$AK$505,"○")&gt;0,1,0))</f>
        <v>0</v>
      </c>
      <c r="CY14" s="39" t="n">
        <f aca="false">IF(CY$4=0,0,IF(COUNTIFS(実績!$W$6:$W$505,CY$3,実績!$AI$6:$AI$505,"&lt;="&amp;$A14,実績!$AJ$6:$AJ$505,"&gt;"&amp;$A14,実績!$AK$6:$AK$505,"○")&gt;0,1,0))</f>
        <v>0</v>
      </c>
      <c r="CZ14" s="39" t="n">
        <f aca="false">IF(CZ$4=0,0,IF(COUNTIFS(実績!$W$6:$W$505,CZ$3,実績!$AI$6:$AI$505,"&lt;="&amp;$A14,実績!$AJ$6:$AJ$505,"&gt;"&amp;$A14,実績!$AK$6:$AK$505,"○")&gt;0,1,0))</f>
        <v>0</v>
      </c>
      <c r="DA14" s="39" t="n">
        <f aca="false">IF(DA$4=0,0,IF(COUNTIFS(実績!$W$6:$W$505,DA$3,実績!$AI$6:$AI$505,"&lt;="&amp;$A14,実績!$AJ$6:$AJ$505,"&gt;"&amp;$A14,実績!$AK$6:$AK$505,"○")&gt;0,1,0))</f>
        <v>0</v>
      </c>
      <c r="DB14" s="39" t="n">
        <f aca="false">IF(DB$4=0,0,IF(COUNTIFS(実績!$W$6:$W$505,DB$3,実績!$AI$6:$AI$505,"&lt;="&amp;$A14,実績!$AJ$6:$AJ$505,"&gt;"&amp;$A14,実績!$AK$6:$AK$505,"○")&gt;0,1,0))</f>
        <v>0</v>
      </c>
      <c r="DC14" s="39" t="n">
        <f aca="false">IF(DC$4=0,0,IF(COUNTIFS(実績!$W$6:$W$505,DC$3,実績!$AI$6:$AI$505,"&lt;="&amp;$A14,実績!$AJ$6:$AJ$505,"&gt;"&amp;$A14,実績!$AK$6:$AK$505,"○")&gt;0,1,0))</f>
        <v>0</v>
      </c>
      <c r="DD14" s="39" t="n">
        <f aca="false">IF(DD$4=0,0,IF(COUNTIFS(実績!$W$6:$W$505,DD$3,実績!$AI$6:$AI$505,"&lt;="&amp;$A14,実績!$AJ$6:$AJ$505,"&gt;"&amp;$A14,実績!$AK$6:$AK$505,"○")&gt;0,1,0))</f>
        <v>0</v>
      </c>
      <c r="DE14" s="39" t="n">
        <f aca="false">IF(DE$4=0,0,IF(COUNTIFS(実績!$W$6:$W$505,DE$3,実績!$AI$6:$AI$505,"&lt;="&amp;$A14,実績!$AJ$6:$AJ$505,"&gt;"&amp;$A14,実績!$AK$6:$AK$505,"○")&gt;0,1,0))</f>
        <v>0</v>
      </c>
      <c r="DF14" s="39" t="n">
        <f aca="false">IF(DF$4=0,0,IF(COUNTIFS(実績!$W$6:$W$505,DF$3,実績!$AI$6:$AI$505,"&lt;="&amp;$A14,実績!$AJ$6:$AJ$505,"&gt;"&amp;$A14,実績!$AK$6:$AK$505,"○")&gt;0,1,0))</f>
        <v>0</v>
      </c>
      <c r="DG14" s="39" t="n">
        <f aca="false">IF(DG$4=0,0,IF(COUNTIFS(実績!$W$6:$W$505,DG$3,実績!$AI$6:$AI$505,"&lt;="&amp;$A14,実績!$AJ$6:$AJ$505,"&gt;"&amp;$A14,実績!$AK$6:$AK$505,"○")&gt;0,1,0))</f>
        <v>0</v>
      </c>
      <c r="DH14" s="39" t="n">
        <f aca="false">IF(DH$4=0,0,IF(COUNTIFS(実績!$W$6:$W$505,DH$3,実績!$AI$6:$AI$505,"&lt;="&amp;$A14,実績!$AJ$6:$AJ$505,"&gt;"&amp;$A14,実績!$AK$6:$AK$505,"○")&gt;0,1,0))</f>
        <v>0</v>
      </c>
      <c r="DI14" s="39" t="n">
        <f aca="false">IF(DI$4=0,0,IF(COUNTIFS(実績!$W$6:$W$505,DI$3,実績!$AI$6:$AI$505,"&lt;="&amp;$A14,実績!$AJ$6:$AJ$505,"&gt;"&amp;$A14,実績!$AK$6:$AK$505,"○")&gt;0,1,0))</f>
        <v>0</v>
      </c>
      <c r="DJ14" s="39" t="n">
        <f aca="false">IF(DJ$4=0,0,IF(COUNTIFS(実績!$W$6:$W$505,DJ$3,実績!$AI$6:$AI$505,"&lt;="&amp;$A14,実績!$AJ$6:$AJ$505,"&gt;"&amp;$A14,実績!$AK$6:$AK$505,"○")&gt;0,1,0))</f>
        <v>0</v>
      </c>
      <c r="DK14" s="39" t="n">
        <f aca="false">IF(DK$4=0,0,IF(COUNTIFS(実績!$W$6:$W$505,DK$3,実績!$AI$6:$AI$505,"&lt;="&amp;$A14,実績!$AJ$6:$AJ$505,"&gt;"&amp;$A14,実績!$AK$6:$AK$505,"○")&gt;0,1,0))</f>
        <v>0</v>
      </c>
      <c r="DL14" s="39" t="n">
        <f aca="false">IF(DL$4=0,0,IF(COUNTIFS(実績!$W$6:$W$505,DL$3,実績!$AI$6:$AI$505,"&lt;="&amp;$A14,実績!$AJ$6:$AJ$505,"&gt;"&amp;$A14,実績!$AK$6:$AK$505,"○")&gt;0,1,0))</f>
        <v>0</v>
      </c>
      <c r="DM14" s="39" t="n">
        <f aca="false">IF(DM$4=0,0,IF(COUNTIFS(実績!$W$6:$W$505,DM$3,実績!$AI$6:$AI$505,"&lt;="&amp;$A14,実績!$AJ$6:$AJ$505,"&gt;"&amp;$A14,実績!$AK$6:$AK$505,"○")&gt;0,1,0))</f>
        <v>0</v>
      </c>
      <c r="DN14" s="39" t="n">
        <f aca="false">IF(DN$4=0,0,IF(COUNTIFS(実績!$W$6:$W$505,DN$3,実績!$AI$6:$AI$505,"&lt;="&amp;$A14,実績!$AJ$6:$AJ$505,"&gt;"&amp;$A14,実績!$AK$6:$AK$505,"○")&gt;0,1,0))</f>
        <v>0</v>
      </c>
      <c r="DO14" s="39" t="n">
        <f aca="false">IF(DO$4=0,0,IF(COUNTIFS(実績!$W$6:$W$505,DO$3,実績!$AI$6:$AI$505,"&lt;="&amp;$A14,実績!$AJ$6:$AJ$505,"&gt;"&amp;$A14,実績!$AK$6:$AK$505,"○")&gt;0,1,0))</f>
        <v>0</v>
      </c>
      <c r="DP14" s="39" t="n">
        <f aca="false">IF(DP$4=0,0,IF(COUNTIFS(実績!$W$6:$W$505,DP$3,実績!$AI$6:$AI$505,"&lt;="&amp;$A14,実績!$AJ$6:$AJ$505,"&gt;"&amp;$A14,実績!$AK$6:$AK$505,"○")&gt;0,1,0))</f>
        <v>0</v>
      </c>
      <c r="DQ14" s="39" t="n">
        <f aca="false">IF(DQ$4=0,0,IF(COUNTIFS(実績!$W$6:$W$505,DQ$3,実績!$AI$6:$AI$505,"&lt;="&amp;$A14,実績!$AJ$6:$AJ$505,"&gt;"&amp;$A14,実績!$AK$6:$AK$505,"○")&gt;0,1,0))</f>
        <v>0</v>
      </c>
      <c r="DR14" s="39" t="n">
        <f aca="false">IF(DR$4=0,0,IF(COUNTIFS(実績!$W$6:$W$505,DR$3,実績!$AI$6:$AI$505,"&lt;="&amp;$A14,実績!$AJ$6:$AJ$505,"&gt;"&amp;$A14,実績!$AK$6:$AK$505,"○")&gt;0,1,0))</f>
        <v>0</v>
      </c>
      <c r="DS14" s="39" t="n">
        <f aca="false">SUM(C14:DR14)</f>
        <v>0</v>
      </c>
      <c r="DT14" s="39" t="n">
        <f aca="false">SUMPRODUCT((実績!$C$6:$C$505="○")*ISNUMBER(実績!$AM$6:$AM$505)*(実績!$AM$6:$AM$505&lt;=$A14)*(実績!$AN$6:$AN$505&gt;$A14))</f>
        <v>0</v>
      </c>
      <c r="DU14" s="39" t="n">
        <f aca="false">SUMIF($C$2:$DR$2,"製鉄曳船",C14:DR14)</f>
        <v>0</v>
      </c>
      <c r="DV14" s="39" t="n">
        <f aca="false">SUMIF($C$2:$DR$2,"西日本海運",C14:DR14)</f>
        <v>0</v>
      </c>
    </row>
    <row r="15" customFormat="false" ht="15" hidden="false" customHeight="false" outlineLevel="0" collapsed="false">
      <c r="A15" s="0" t="n">
        <v>45</v>
      </c>
      <c r="B15" s="38" t="n">
        <f aca="false">A15/1440</f>
        <v>0.03125</v>
      </c>
      <c r="C15" s="39" t="n">
        <f aca="false">IF(C$4=0,0,IF(COUNTIFS(実績!$W$6:$W$505,C$3,実績!$AI$6:$AI$505,"&lt;="&amp;$A15,実績!$AJ$6:$AJ$505,"&gt;"&amp;$A15,実績!$AK$6:$AK$505,"○")&gt;0,1,0))</f>
        <v>0</v>
      </c>
      <c r="D15" s="39" t="n">
        <f aca="false">IF(D$4=0,0,IF(COUNTIFS(実績!$W$6:$W$505,D$3,実績!$AI$6:$AI$505,"&lt;="&amp;$A15,実績!$AJ$6:$AJ$505,"&gt;"&amp;$A15,実績!$AK$6:$AK$505,"○")&gt;0,1,0))</f>
        <v>0</v>
      </c>
      <c r="E15" s="39" t="n">
        <f aca="false">IF(E$4=0,0,IF(COUNTIFS(実績!$W$6:$W$505,E$3,実績!$AI$6:$AI$505,"&lt;="&amp;$A15,実績!$AJ$6:$AJ$505,"&gt;"&amp;$A15,実績!$AK$6:$AK$505,"○")&gt;0,1,0))</f>
        <v>0</v>
      </c>
      <c r="F15" s="39" t="n">
        <f aca="false">IF(F$4=0,0,IF(COUNTIFS(実績!$W$6:$W$505,F$3,実績!$AI$6:$AI$505,"&lt;="&amp;$A15,実績!$AJ$6:$AJ$505,"&gt;"&amp;$A15,実績!$AK$6:$AK$505,"○")&gt;0,1,0))</f>
        <v>0</v>
      </c>
      <c r="G15" s="39" t="n">
        <f aca="false">IF(G$4=0,0,IF(COUNTIFS(実績!$W$6:$W$505,G$3,実績!$AI$6:$AI$505,"&lt;="&amp;$A15,実績!$AJ$6:$AJ$505,"&gt;"&amp;$A15,実績!$AK$6:$AK$505,"○")&gt;0,1,0))</f>
        <v>0</v>
      </c>
      <c r="H15" s="39" t="n">
        <f aca="false">IF(H$4=0,0,IF(COUNTIFS(実績!$W$6:$W$505,H$3,実績!$AI$6:$AI$505,"&lt;="&amp;$A15,実績!$AJ$6:$AJ$505,"&gt;"&amp;$A15,実績!$AK$6:$AK$505,"○")&gt;0,1,0))</f>
        <v>0</v>
      </c>
      <c r="I15" s="39" t="n">
        <f aca="false">IF(I$4=0,0,IF(COUNTIFS(実績!$W$6:$W$505,I$3,実績!$AI$6:$AI$505,"&lt;="&amp;$A15,実績!$AJ$6:$AJ$505,"&gt;"&amp;$A15,実績!$AK$6:$AK$505,"○")&gt;0,1,0))</f>
        <v>0</v>
      </c>
      <c r="J15" s="39" t="n">
        <f aca="false">IF(J$4=0,0,IF(COUNTIFS(実績!$W$6:$W$505,J$3,実績!$AI$6:$AI$505,"&lt;="&amp;$A15,実績!$AJ$6:$AJ$505,"&gt;"&amp;$A15,実績!$AK$6:$AK$505,"○")&gt;0,1,0))</f>
        <v>0</v>
      </c>
      <c r="K15" s="39" t="n">
        <f aca="false">IF(K$4=0,0,IF(COUNTIFS(実績!$W$6:$W$505,K$3,実績!$AI$6:$AI$505,"&lt;="&amp;$A15,実績!$AJ$6:$AJ$505,"&gt;"&amp;$A15,実績!$AK$6:$AK$505,"○")&gt;0,1,0))</f>
        <v>0</v>
      </c>
      <c r="L15" s="39" t="n">
        <f aca="false">IF(L$4=0,0,IF(COUNTIFS(実績!$W$6:$W$505,L$3,実績!$AI$6:$AI$505,"&lt;="&amp;$A15,実績!$AJ$6:$AJ$505,"&gt;"&amp;$A15,実績!$AK$6:$AK$505,"○")&gt;0,1,0))</f>
        <v>0</v>
      </c>
      <c r="M15" s="39" t="n">
        <f aca="false">IF(M$4=0,0,IF(COUNTIFS(実績!$W$6:$W$505,M$3,実績!$AI$6:$AI$505,"&lt;="&amp;$A15,実績!$AJ$6:$AJ$505,"&gt;"&amp;$A15,実績!$AK$6:$AK$505,"○")&gt;0,1,0))</f>
        <v>0</v>
      </c>
      <c r="N15" s="39" t="n">
        <f aca="false">IF(N$4=0,0,IF(COUNTIFS(実績!$W$6:$W$505,N$3,実績!$AI$6:$AI$505,"&lt;="&amp;$A15,実績!$AJ$6:$AJ$505,"&gt;"&amp;$A15,実績!$AK$6:$AK$505,"○")&gt;0,1,0))</f>
        <v>0</v>
      </c>
      <c r="O15" s="39" t="n">
        <f aca="false">IF(O$4=0,0,IF(COUNTIFS(実績!$W$6:$W$505,O$3,実績!$AI$6:$AI$505,"&lt;="&amp;$A15,実績!$AJ$6:$AJ$505,"&gt;"&amp;$A15,実績!$AK$6:$AK$505,"○")&gt;0,1,0))</f>
        <v>0</v>
      </c>
      <c r="P15" s="39" t="n">
        <f aca="false">IF(P$4=0,0,IF(COUNTIFS(実績!$W$6:$W$505,P$3,実績!$AI$6:$AI$505,"&lt;="&amp;$A15,実績!$AJ$6:$AJ$505,"&gt;"&amp;$A15,実績!$AK$6:$AK$505,"○")&gt;0,1,0))</f>
        <v>0</v>
      </c>
      <c r="Q15" s="39" t="n">
        <f aca="false">IF(Q$4=0,0,IF(COUNTIFS(実績!$W$6:$W$505,Q$3,実績!$AI$6:$AI$505,"&lt;="&amp;$A15,実績!$AJ$6:$AJ$505,"&gt;"&amp;$A15,実績!$AK$6:$AK$505,"○")&gt;0,1,0))</f>
        <v>0</v>
      </c>
      <c r="R15" s="39" t="n">
        <f aca="false">IF(R$4=0,0,IF(COUNTIFS(実績!$W$6:$W$505,R$3,実績!$AI$6:$AI$505,"&lt;="&amp;$A15,実績!$AJ$6:$AJ$505,"&gt;"&amp;$A15,実績!$AK$6:$AK$505,"○")&gt;0,1,0))</f>
        <v>0</v>
      </c>
      <c r="S15" s="39" t="n">
        <f aca="false">IF(S$4=0,0,IF(COUNTIFS(実績!$W$6:$W$505,S$3,実績!$AI$6:$AI$505,"&lt;="&amp;$A15,実績!$AJ$6:$AJ$505,"&gt;"&amp;$A15,実績!$AK$6:$AK$505,"○")&gt;0,1,0))</f>
        <v>0</v>
      </c>
      <c r="T15" s="39" t="n">
        <f aca="false">IF(T$4=0,0,IF(COUNTIFS(実績!$W$6:$W$505,T$3,実績!$AI$6:$AI$505,"&lt;="&amp;$A15,実績!$AJ$6:$AJ$505,"&gt;"&amp;$A15,実績!$AK$6:$AK$505,"○")&gt;0,1,0))</f>
        <v>0</v>
      </c>
      <c r="U15" s="39" t="n">
        <f aca="false">IF(U$4=0,0,IF(COUNTIFS(実績!$W$6:$W$505,U$3,実績!$AI$6:$AI$505,"&lt;="&amp;$A15,実績!$AJ$6:$AJ$505,"&gt;"&amp;$A15,実績!$AK$6:$AK$505,"○")&gt;0,1,0))</f>
        <v>0</v>
      </c>
      <c r="V15" s="39" t="n">
        <f aca="false">IF(V$4=0,0,IF(COUNTIFS(実績!$W$6:$W$505,V$3,実績!$AI$6:$AI$505,"&lt;="&amp;$A15,実績!$AJ$6:$AJ$505,"&gt;"&amp;$A15,実績!$AK$6:$AK$505,"○")&gt;0,1,0))</f>
        <v>0</v>
      </c>
      <c r="W15" s="39" t="n">
        <f aca="false">IF(W$4=0,0,IF(COUNTIFS(実績!$W$6:$W$505,W$3,実績!$AI$6:$AI$505,"&lt;="&amp;$A15,実績!$AJ$6:$AJ$505,"&gt;"&amp;$A15,実績!$AK$6:$AK$505,"○")&gt;0,1,0))</f>
        <v>0</v>
      </c>
      <c r="X15" s="39" t="n">
        <f aca="false">IF(X$4=0,0,IF(COUNTIFS(実績!$W$6:$W$505,X$3,実績!$AI$6:$AI$505,"&lt;="&amp;$A15,実績!$AJ$6:$AJ$505,"&gt;"&amp;$A15,実績!$AK$6:$AK$505,"○")&gt;0,1,0))</f>
        <v>0</v>
      </c>
      <c r="Y15" s="39" t="n">
        <f aca="false">IF(Y$4=0,0,IF(COUNTIFS(実績!$W$6:$W$505,Y$3,実績!$AI$6:$AI$505,"&lt;="&amp;$A15,実績!$AJ$6:$AJ$505,"&gt;"&amp;$A15,実績!$AK$6:$AK$505,"○")&gt;0,1,0))</f>
        <v>0</v>
      </c>
      <c r="Z15" s="39" t="n">
        <f aca="false">IF(Z$4=0,0,IF(COUNTIFS(実績!$W$6:$W$505,Z$3,実績!$AI$6:$AI$505,"&lt;="&amp;$A15,実績!$AJ$6:$AJ$505,"&gt;"&amp;$A15,実績!$AK$6:$AK$505,"○")&gt;0,1,0))</f>
        <v>0</v>
      </c>
      <c r="AA15" s="39" t="n">
        <f aca="false">IF(AA$4=0,0,IF(COUNTIFS(実績!$W$6:$W$505,AA$3,実績!$AI$6:$AI$505,"&lt;="&amp;$A15,実績!$AJ$6:$AJ$505,"&gt;"&amp;$A15,実績!$AK$6:$AK$505,"○")&gt;0,1,0))</f>
        <v>0</v>
      </c>
      <c r="AB15" s="39" t="n">
        <f aca="false">IF(AB$4=0,0,IF(COUNTIFS(実績!$W$6:$W$505,AB$3,実績!$AI$6:$AI$505,"&lt;="&amp;$A15,実績!$AJ$6:$AJ$505,"&gt;"&amp;$A15,実績!$AK$6:$AK$505,"○")&gt;0,1,0))</f>
        <v>0</v>
      </c>
      <c r="AC15" s="39" t="n">
        <f aca="false">IF(AC$4=0,0,IF(COUNTIFS(実績!$W$6:$W$505,AC$3,実績!$AI$6:$AI$505,"&lt;="&amp;$A15,実績!$AJ$6:$AJ$505,"&gt;"&amp;$A15,実績!$AK$6:$AK$505,"○")&gt;0,1,0))</f>
        <v>0</v>
      </c>
      <c r="AD15" s="39" t="n">
        <f aca="false">IF(AD$4=0,0,IF(COUNTIFS(実績!$W$6:$W$505,AD$3,実績!$AI$6:$AI$505,"&lt;="&amp;$A15,実績!$AJ$6:$AJ$505,"&gt;"&amp;$A15,実績!$AK$6:$AK$505,"○")&gt;0,1,0))</f>
        <v>0</v>
      </c>
      <c r="AE15" s="39" t="n">
        <f aca="false">IF(AE$4=0,0,IF(COUNTIFS(実績!$W$6:$W$505,AE$3,実績!$AI$6:$AI$505,"&lt;="&amp;$A15,実績!$AJ$6:$AJ$505,"&gt;"&amp;$A15,実績!$AK$6:$AK$505,"○")&gt;0,1,0))</f>
        <v>0</v>
      </c>
      <c r="AF15" s="39" t="n">
        <f aca="false">IF(AF$4=0,0,IF(COUNTIFS(実績!$W$6:$W$505,AF$3,実績!$AI$6:$AI$505,"&lt;="&amp;$A15,実績!$AJ$6:$AJ$505,"&gt;"&amp;$A15,実績!$AK$6:$AK$505,"○")&gt;0,1,0))</f>
        <v>0</v>
      </c>
      <c r="AG15" s="39" t="n">
        <f aca="false">IF(AG$4=0,0,IF(COUNTIFS(実績!$W$6:$W$505,AG$3,実績!$AI$6:$AI$505,"&lt;="&amp;$A15,実績!$AJ$6:$AJ$505,"&gt;"&amp;$A15,実績!$AK$6:$AK$505,"○")&gt;0,1,0))</f>
        <v>0</v>
      </c>
      <c r="AH15" s="39" t="n">
        <f aca="false">IF(AH$4=0,0,IF(COUNTIFS(実績!$W$6:$W$505,AH$3,実績!$AI$6:$AI$505,"&lt;="&amp;$A15,実績!$AJ$6:$AJ$505,"&gt;"&amp;$A15,実績!$AK$6:$AK$505,"○")&gt;0,1,0))</f>
        <v>0</v>
      </c>
      <c r="AI15" s="39" t="n">
        <f aca="false">IF(AI$4=0,0,IF(COUNTIFS(実績!$W$6:$W$505,AI$3,実績!$AI$6:$AI$505,"&lt;="&amp;$A15,実績!$AJ$6:$AJ$505,"&gt;"&amp;$A15,実績!$AK$6:$AK$505,"○")&gt;0,1,0))</f>
        <v>0</v>
      </c>
      <c r="AJ15" s="39" t="n">
        <f aca="false">IF(AJ$4=0,0,IF(COUNTIFS(実績!$W$6:$W$505,AJ$3,実績!$AI$6:$AI$505,"&lt;="&amp;$A15,実績!$AJ$6:$AJ$505,"&gt;"&amp;$A15,実績!$AK$6:$AK$505,"○")&gt;0,1,0))</f>
        <v>0</v>
      </c>
      <c r="AK15" s="39" t="n">
        <f aca="false">IF(AK$4=0,0,IF(COUNTIFS(実績!$W$6:$W$505,AK$3,実績!$AI$6:$AI$505,"&lt;="&amp;$A15,実績!$AJ$6:$AJ$505,"&gt;"&amp;$A15,実績!$AK$6:$AK$505,"○")&gt;0,1,0))</f>
        <v>0</v>
      </c>
      <c r="AL15" s="39" t="n">
        <f aca="false">IF(AL$4=0,0,IF(COUNTIFS(実績!$W$6:$W$505,AL$3,実績!$AI$6:$AI$505,"&lt;="&amp;$A15,実績!$AJ$6:$AJ$505,"&gt;"&amp;$A15,実績!$AK$6:$AK$505,"○")&gt;0,1,0))</f>
        <v>0</v>
      </c>
      <c r="AM15" s="39" t="n">
        <f aca="false">IF(AM$4=0,0,IF(COUNTIFS(実績!$W$6:$W$505,AM$3,実績!$AI$6:$AI$505,"&lt;="&amp;$A15,実績!$AJ$6:$AJ$505,"&gt;"&amp;$A15,実績!$AK$6:$AK$505,"○")&gt;0,1,0))</f>
        <v>0</v>
      </c>
      <c r="AN15" s="39" t="n">
        <f aca="false">IF(AN$4=0,0,IF(COUNTIFS(実績!$W$6:$W$505,AN$3,実績!$AI$6:$AI$505,"&lt;="&amp;$A15,実績!$AJ$6:$AJ$505,"&gt;"&amp;$A15,実績!$AK$6:$AK$505,"○")&gt;0,1,0))</f>
        <v>0</v>
      </c>
      <c r="AO15" s="39" t="n">
        <f aca="false">IF(AO$4=0,0,IF(COUNTIFS(実績!$W$6:$W$505,AO$3,実績!$AI$6:$AI$505,"&lt;="&amp;$A15,実績!$AJ$6:$AJ$505,"&gt;"&amp;$A15,実績!$AK$6:$AK$505,"○")&gt;0,1,0))</f>
        <v>0</v>
      </c>
      <c r="AP15" s="39" t="n">
        <f aca="false">IF(AP$4=0,0,IF(COUNTIFS(実績!$W$6:$W$505,AP$3,実績!$AI$6:$AI$505,"&lt;="&amp;$A15,実績!$AJ$6:$AJ$505,"&gt;"&amp;$A15,実績!$AK$6:$AK$505,"○")&gt;0,1,0))</f>
        <v>0</v>
      </c>
      <c r="AQ15" s="39" t="n">
        <f aca="false">IF(AQ$4=0,0,IF(COUNTIFS(実績!$W$6:$W$505,AQ$3,実績!$AI$6:$AI$505,"&lt;="&amp;$A15,実績!$AJ$6:$AJ$505,"&gt;"&amp;$A15,実績!$AK$6:$AK$505,"○")&gt;0,1,0))</f>
        <v>0</v>
      </c>
      <c r="AR15" s="39" t="n">
        <f aca="false">IF(AR$4=0,0,IF(COUNTIFS(実績!$W$6:$W$505,AR$3,実績!$AI$6:$AI$505,"&lt;="&amp;$A15,実績!$AJ$6:$AJ$505,"&gt;"&amp;$A15,実績!$AK$6:$AK$505,"○")&gt;0,1,0))</f>
        <v>0</v>
      </c>
      <c r="AS15" s="39" t="n">
        <f aca="false">IF(AS$4=0,0,IF(COUNTIFS(実績!$W$6:$W$505,AS$3,実績!$AI$6:$AI$505,"&lt;="&amp;$A15,実績!$AJ$6:$AJ$505,"&gt;"&amp;$A15,実績!$AK$6:$AK$505,"○")&gt;0,1,0))</f>
        <v>0</v>
      </c>
      <c r="AT15" s="39" t="n">
        <f aca="false">IF(AT$4=0,0,IF(COUNTIFS(実績!$W$6:$W$505,AT$3,実績!$AI$6:$AI$505,"&lt;="&amp;$A15,実績!$AJ$6:$AJ$505,"&gt;"&amp;$A15,実績!$AK$6:$AK$505,"○")&gt;0,1,0))</f>
        <v>0</v>
      </c>
      <c r="AU15" s="39" t="n">
        <f aca="false">IF(AU$4=0,0,IF(COUNTIFS(実績!$W$6:$W$505,AU$3,実績!$AI$6:$AI$505,"&lt;="&amp;$A15,実績!$AJ$6:$AJ$505,"&gt;"&amp;$A15,実績!$AK$6:$AK$505,"○")&gt;0,1,0))</f>
        <v>0</v>
      </c>
      <c r="AV15" s="39" t="n">
        <f aca="false">IF(AV$4=0,0,IF(COUNTIFS(実績!$W$6:$W$505,AV$3,実績!$AI$6:$AI$505,"&lt;="&amp;$A15,実績!$AJ$6:$AJ$505,"&gt;"&amp;$A15,実績!$AK$6:$AK$505,"○")&gt;0,1,0))</f>
        <v>0</v>
      </c>
      <c r="AW15" s="39" t="n">
        <f aca="false">IF(AW$4=0,0,IF(COUNTIFS(実績!$W$6:$W$505,AW$3,実績!$AI$6:$AI$505,"&lt;="&amp;$A15,実績!$AJ$6:$AJ$505,"&gt;"&amp;$A15,実績!$AK$6:$AK$505,"○")&gt;0,1,0))</f>
        <v>0</v>
      </c>
      <c r="AX15" s="39" t="n">
        <f aca="false">IF(AX$4=0,0,IF(COUNTIFS(実績!$W$6:$W$505,AX$3,実績!$AI$6:$AI$505,"&lt;="&amp;$A15,実績!$AJ$6:$AJ$505,"&gt;"&amp;$A15,実績!$AK$6:$AK$505,"○")&gt;0,1,0))</f>
        <v>0</v>
      </c>
      <c r="AY15" s="39" t="n">
        <f aca="false">IF(AY$4=0,0,IF(COUNTIFS(実績!$W$6:$W$505,AY$3,実績!$AI$6:$AI$505,"&lt;="&amp;$A15,実績!$AJ$6:$AJ$505,"&gt;"&amp;$A15,実績!$AK$6:$AK$505,"○")&gt;0,1,0))</f>
        <v>0</v>
      </c>
      <c r="AZ15" s="39" t="n">
        <f aca="false">IF(AZ$4=0,0,IF(COUNTIFS(実績!$W$6:$W$505,AZ$3,実績!$AI$6:$AI$505,"&lt;="&amp;$A15,実績!$AJ$6:$AJ$505,"&gt;"&amp;$A15,実績!$AK$6:$AK$505,"○")&gt;0,1,0))</f>
        <v>0</v>
      </c>
      <c r="BA15" s="39" t="n">
        <f aca="false">IF(BA$4=0,0,IF(COUNTIFS(実績!$W$6:$W$505,BA$3,実績!$AI$6:$AI$505,"&lt;="&amp;$A15,実績!$AJ$6:$AJ$505,"&gt;"&amp;$A15,実績!$AK$6:$AK$505,"○")&gt;0,1,0))</f>
        <v>0</v>
      </c>
      <c r="BB15" s="39" t="n">
        <f aca="false">IF(BB$4=0,0,IF(COUNTIFS(実績!$W$6:$W$505,BB$3,実績!$AI$6:$AI$505,"&lt;="&amp;$A15,実績!$AJ$6:$AJ$505,"&gt;"&amp;$A15,実績!$AK$6:$AK$505,"○")&gt;0,1,0))</f>
        <v>0</v>
      </c>
      <c r="BC15" s="39" t="n">
        <f aca="false">IF(BC$4=0,0,IF(COUNTIFS(実績!$W$6:$W$505,BC$3,実績!$AI$6:$AI$505,"&lt;="&amp;$A15,実績!$AJ$6:$AJ$505,"&gt;"&amp;$A15,実績!$AK$6:$AK$505,"○")&gt;0,1,0))</f>
        <v>0</v>
      </c>
      <c r="BD15" s="39" t="n">
        <f aca="false">IF(BD$4=0,0,IF(COUNTIFS(実績!$W$6:$W$505,BD$3,実績!$AI$6:$AI$505,"&lt;="&amp;$A15,実績!$AJ$6:$AJ$505,"&gt;"&amp;$A15,実績!$AK$6:$AK$505,"○")&gt;0,1,0))</f>
        <v>0</v>
      </c>
      <c r="BE15" s="39" t="n">
        <f aca="false">IF(BE$4=0,0,IF(COUNTIFS(実績!$W$6:$W$505,BE$3,実績!$AI$6:$AI$505,"&lt;="&amp;$A15,実績!$AJ$6:$AJ$505,"&gt;"&amp;$A15,実績!$AK$6:$AK$505,"○")&gt;0,1,0))</f>
        <v>0</v>
      </c>
      <c r="BF15" s="39" t="n">
        <f aca="false">IF(BF$4=0,0,IF(COUNTIFS(実績!$W$6:$W$505,BF$3,実績!$AI$6:$AI$505,"&lt;="&amp;$A15,実績!$AJ$6:$AJ$505,"&gt;"&amp;$A15,実績!$AK$6:$AK$505,"○")&gt;0,1,0))</f>
        <v>0</v>
      </c>
      <c r="BG15" s="39" t="n">
        <f aca="false">IF(BG$4=0,0,IF(COUNTIFS(実績!$W$6:$W$505,BG$3,実績!$AI$6:$AI$505,"&lt;="&amp;$A15,実績!$AJ$6:$AJ$505,"&gt;"&amp;$A15,実績!$AK$6:$AK$505,"○")&gt;0,1,0))</f>
        <v>0</v>
      </c>
      <c r="BH15" s="39" t="n">
        <f aca="false">IF(BH$4=0,0,IF(COUNTIFS(実績!$W$6:$W$505,BH$3,実績!$AI$6:$AI$505,"&lt;="&amp;$A15,実績!$AJ$6:$AJ$505,"&gt;"&amp;$A15,実績!$AK$6:$AK$505,"○")&gt;0,1,0))</f>
        <v>0</v>
      </c>
      <c r="BI15" s="39" t="n">
        <f aca="false">IF(BI$4=0,0,IF(COUNTIFS(実績!$W$6:$W$505,BI$3,実績!$AI$6:$AI$505,"&lt;="&amp;$A15,実績!$AJ$6:$AJ$505,"&gt;"&amp;$A15,実績!$AK$6:$AK$505,"○")&gt;0,1,0))</f>
        <v>0</v>
      </c>
      <c r="BJ15" s="39" t="n">
        <f aca="false">IF(BJ$4=0,0,IF(COUNTIFS(実績!$W$6:$W$505,BJ$3,実績!$AI$6:$AI$505,"&lt;="&amp;$A15,実績!$AJ$6:$AJ$505,"&gt;"&amp;$A15,実績!$AK$6:$AK$505,"○")&gt;0,1,0))</f>
        <v>0</v>
      </c>
      <c r="BK15" s="39" t="n">
        <f aca="false">IF(BK$4=0,0,IF(COUNTIFS(実績!$W$6:$W$505,BK$3,実績!$AI$6:$AI$505,"&lt;="&amp;$A15,実績!$AJ$6:$AJ$505,"&gt;"&amp;$A15,実績!$AK$6:$AK$505,"○")&gt;0,1,0))</f>
        <v>0</v>
      </c>
      <c r="BL15" s="39" t="n">
        <f aca="false">IF(BL$4=0,0,IF(COUNTIFS(実績!$W$6:$W$505,BL$3,実績!$AI$6:$AI$505,"&lt;="&amp;$A15,実績!$AJ$6:$AJ$505,"&gt;"&amp;$A15,実績!$AK$6:$AK$505,"○")&gt;0,1,0))</f>
        <v>0</v>
      </c>
      <c r="BM15" s="39" t="n">
        <f aca="false">IF(BM$4=0,0,IF(COUNTIFS(実績!$W$6:$W$505,BM$3,実績!$AI$6:$AI$505,"&lt;="&amp;$A15,実績!$AJ$6:$AJ$505,"&gt;"&amp;$A15,実績!$AK$6:$AK$505,"○")&gt;0,1,0))</f>
        <v>0</v>
      </c>
      <c r="BN15" s="39" t="n">
        <f aca="false">IF(BN$4=0,0,IF(COUNTIFS(実績!$W$6:$W$505,BN$3,実績!$AI$6:$AI$505,"&lt;="&amp;$A15,実績!$AJ$6:$AJ$505,"&gt;"&amp;$A15,実績!$AK$6:$AK$505,"○")&gt;0,1,0))</f>
        <v>0</v>
      </c>
      <c r="BO15" s="39" t="n">
        <f aca="false">IF(BO$4=0,0,IF(COUNTIFS(実績!$W$6:$W$505,BO$3,実績!$AI$6:$AI$505,"&lt;="&amp;$A15,実績!$AJ$6:$AJ$505,"&gt;"&amp;$A15,実績!$AK$6:$AK$505,"○")&gt;0,1,0))</f>
        <v>0</v>
      </c>
      <c r="BP15" s="39" t="n">
        <f aca="false">IF(BP$4=0,0,IF(COUNTIFS(実績!$W$6:$W$505,BP$3,実績!$AI$6:$AI$505,"&lt;="&amp;$A15,実績!$AJ$6:$AJ$505,"&gt;"&amp;$A15,実績!$AK$6:$AK$505,"○")&gt;0,1,0))</f>
        <v>0</v>
      </c>
      <c r="BQ15" s="39" t="n">
        <f aca="false">IF(BQ$4=0,0,IF(COUNTIFS(実績!$W$6:$W$505,BQ$3,実績!$AI$6:$AI$505,"&lt;="&amp;$A15,実績!$AJ$6:$AJ$505,"&gt;"&amp;$A15,実績!$AK$6:$AK$505,"○")&gt;0,1,0))</f>
        <v>0</v>
      </c>
      <c r="BR15" s="39" t="n">
        <f aca="false">IF(BR$4=0,0,IF(COUNTIFS(実績!$W$6:$W$505,BR$3,実績!$AI$6:$AI$505,"&lt;="&amp;$A15,実績!$AJ$6:$AJ$505,"&gt;"&amp;$A15,実績!$AK$6:$AK$505,"○")&gt;0,1,0))</f>
        <v>0</v>
      </c>
      <c r="BS15" s="39" t="n">
        <f aca="false">IF(BS$4=0,0,IF(COUNTIFS(実績!$W$6:$W$505,BS$3,実績!$AI$6:$AI$505,"&lt;="&amp;$A15,実績!$AJ$6:$AJ$505,"&gt;"&amp;$A15,実績!$AK$6:$AK$505,"○")&gt;0,1,0))</f>
        <v>0</v>
      </c>
      <c r="BT15" s="39" t="n">
        <f aca="false">IF(BT$4=0,0,IF(COUNTIFS(実績!$W$6:$W$505,BT$3,実績!$AI$6:$AI$505,"&lt;="&amp;$A15,実績!$AJ$6:$AJ$505,"&gt;"&amp;$A15,実績!$AK$6:$AK$505,"○")&gt;0,1,0))</f>
        <v>0</v>
      </c>
      <c r="BU15" s="39" t="n">
        <f aca="false">IF(BU$4=0,0,IF(COUNTIFS(実績!$W$6:$W$505,BU$3,実績!$AI$6:$AI$505,"&lt;="&amp;$A15,実績!$AJ$6:$AJ$505,"&gt;"&amp;$A15,実績!$AK$6:$AK$505,"○")&gt;0,1,0))</f>
        <v>0</v>
      </c>
      <c r="BV15" s="39" t="n">
        <f aca="false">IF(BV$4=0,0,IF(COUNTIFS(実績!$W$6:$W$505,BV$3,実績!$AI$6:$AI$505,"&lt;="&amp;$A15,実績!$AJ$6:$AJ$505,"&gt;"&amp;$A15,実績!$AK$6:$AK$505,"○")&gt;0,1,0))</f>
        <v>0</v>
      </c>
      <c r="BW15" s="39" t="n">
        <f aca="false">IF(BW$4=0,0,IF(COUNTIFS(実績!$W$6:$W$505,BW$3,実績!$AI$6:$AI$505,"&lt;="&amp;$A15,実績!$AJ$6:$AJ$505,"&gt;"&amp;$A15,実績!$AK$6:$AK$505,"○")&gt;0,1,0))</f>
        <v>0</v>
      </c>
      <c r="BX15" s="39" t="n">
        <f aca="false">IF(BX$4=0,0,IF(COUNTIFS(実績!$W$6:$W$505,BX$3,実績!$AI$6:$AI$505,"&lt;="&amp;$A15,実績!$AJ$6:$AJ$505,"&gt;"&amp;$A15,実績!$AK$6:$AK$505,"○")&gt;0,1,0))</f>
        <v>0</v>
      </c>
      <c r="BY15" s="39" t="n">
        <f aca="false">IF(BY$4=0,0,IF(COUNTIFS(実績!$W$6:$W$505,BY$3,実績!$AI$6:$AI$505,"&lt;="&amp;$A15,実績!$AJ$6:$AJ$505,"&gt;"&amp;$A15,実績!$AK$6:$AK$505,"○")&gt;0,1,0))</f>
        <v>0</v>
      </c>
      <c r="BZ15" s="39" t="n">
        <f aca="false">IF(BZ$4=0,0,IF(COUNTIFS(実績!$W$6:$W$505,BZ$3,実績!$AI$6:$AI$505,"&lt;="&amp;$A15,実績!$AJ$6:$AJ$505,"&gt;"&amp;$A15,実績!$AK$6:$AK$505,"○")&gt;0,1,0))</f>
        <v>0</v>
      </c>
      <c r="CA15" s="39" t="n">
        <f aca="false">IF(CA$4=0,0,IF(COUNTIFS(実績!$W$6:$W$505,CA$3,実績!$AI$6:$AI$505,"&lt;="&amp;$A15,実績!$AJ$6:$AJ$505,"&gt;"&amp;$A15,実績!$AK$6:$AK$505,"○")&gt;0,1,0))</f>
        <v>0</v>
      </c>
      <c r="CB15" s="39" t="n">
        <f aca="false">IF(CB$4=0,0,IF(COUNTIFS(実績!$W$6:$W$505,CB$3,実績!$AI$6:$AI$505,"&lt;="&amp;$A15,実績!$AJ$6:$AJ$505,"&gt;"&amp;$A15,実績!$AK$6:$AK$505,"○")&gt;0,1,0))</f>
        <v>0</v>
      </c>
      <c r="CC15" s="39" t="n">
        <f aca="false">IF(CC$4=0,0,IF(COUNTIFS(実績!$W$6:$W$505,CC$3,実績!$AI$6:$AI$505,"&lt;="&amp;$A15,実績!$AJ$6:$AJ$505,"&gt;"&amp;$A15,実績!$AK$6:$AK$505,"○")&gt;0,1,0))</f>
        <v>0</v>
      </c>
      <c r="CD15" s="39" t="n">
        <f aca="false">IF(CD$4=0,0,IF(COUNTIFS(実績!$W$6:$W$505,CD$3,実績!$AI$6:$AI$505,"&lt;="&amp;$A15,実績!$AJ$6:$AJ$505,"&gt;"&amp;$A15,実績!$AK$6:$AK$505,"○")&gt;0,1,0))</f>
        <v>0</v>
      </c>
      <c r="CE15" s="39" t="n">
        <f aca="false">IF(CE$4=0,0,IF(COUNTIFS(実績!$W$6:$W$505,CE$3,実績!$AI$6:$AI$505,"&lt;="&amp;$A15,実績!$AJ$6:$AJ$505,"&gt;"&amp;$A15,実績!$AK$6:$AK$505,"○")&gt;0,1,0))</f>
        <v>0</v>
      </c>
      <c r="CF15" s="39" t="n">
        <f aca="false">IF(CF$4=0,0,IF(COUNTIFS(実績!$W$6:$W$505,CF$3,実績!$AI$6:$AI$505,"&lt;="&amp;$A15,実績!$AJ$6:$AJ$505,"&gt;"&amp;$A15,実績!$AK$6:$AK$505,"○")&gt;0,1,0))</f>
        <v>0</v>
      </c>
      <c r="CG15" s="39" t="n">
        <f aca="false">IF(CG$4=0,0,IF(COUNTIFS(実績!$W$6:$W$505,CG$3,実績!$AI$6:$AI$505,"&lt;="&amp;$A15,実績!$AJ$6:$AJ$505,"&gt;"&amp;$A15,実績!$AK$6:$AK$505,"○")&gt;0,1,0))</f>
        <v>0</v>
      </c>
      <c r="CH15" s="39" t="n">
        <f aca="false">IF(CH$4=0,0,IF(COUNTIFS(実績!$W$6:$W$505,CH$3,実績!$AI$6:$AI$505,"&lt;="&amp;$A15,実績!$AJ$6:$AJ$505,"&gt;"&amp;$A15,実績!$AK$6:$AK$505,"○")&gt;0,1,0))</f>
        <v>0</v>
      </c>
      <c r="CI15" s="39" t="n">
        <f aca="false">IF(CI$4=0,0,IF(COUNTIFS(実績!$W$6:$W$505,CI$3,実績!$AI$6:$AI$505,"&lt;="&amp;$A15,実績!$AJ$6:$AJ$505,"&gt;"&amp;$A15,実績!$AK$6:$AK$505,"○")&gt;0,1,0))</f>
        <v>0</v>
      </c>
      <c r="CJ15" s="39" t="n">
        <f aca="false">IF(CJ$4=0,0,IF(COUNTIFS(実績!$W$6:$W$505,CJ$3,実績!$AI$6:$AI$505,"&lt;="&amp;$A15,実績!$AJ$6:$AJ$505,"&gt;"&amp;$A15,実績!$AK$6:$AK$505,"○")&gt;0,1,0))</f>
        <v>0</v>
      </c>
      <c r="CK15" s="39" t="n">
        <f aca="false">IF(CK$4=0,0,IF(COUNTIFS(実績!$W$6:$W$505,CK$3,実績!$AI$6:$AI$505,"&lt;="&amp;$A15,実績!$AJ$6:$AJ$505,"&gt;"&amp;$A15,実績!$AK$6:$AK$505,"○")&gt;0,1,0))</f>
        <v>0</v>
      </c>
      <c r="CL15" s="39" t="n">
        <f aca="false">IF(CL$4=0,0,IF(COUNTIFS(実績!$W$6:$W$505,CL$3,実績!$AI$6:$AI$505,"&lt;="&amp;$A15,実績!$AJ$6:$AJ$505,"&gt;"&amp;$A15,実績!$AK$6:$AK$505,"○")&gt;0,1,0))</f>
        <v>0</v>
      </c>
      <c r="CM15" s="39" t="n">
        <f aca="false">IF(CM$4=0,0,IF(COUNTIFS(実績!$W$6:$W$505,CM$3,実績!$AI$6:$AI$505,"&lt;="&amp;$A15,実績!$AJ$6:$AJ$505,"&gt;"&amp;$A15,実績!$AK$6:$AK$505,"○")&gt;0,1,0))</f>
        <v>0</v>
      </c>
      <c r="CN15" s="39" t="n">
        <f aca="false">IF(CN$4=0,0,IF(COUNTIFS(実績!$W$6:$W$505,CN$3,実績!$AI$6:$AI$505,"&lt;="&amp;$A15,実績!$AJ$6:$AJ$505,"&gt;"&amp;$A15,実績!$AK$6:$AK$505,"○")&gt;0,1,0))</f>
        <v>0</v>
      </c>
      <c r="CO15" s="39" t="n">
        <f aca="false">IF(CO$4=0,0,IF(COUNTIFS(実績!$W$6:$W$505,CO$3,実績!$AI$6:$AI$505,"&lt;="&amp;$A15,実績!$AJ$6:$AJ$505,"&gt;"&amp;$A15,実績!$AK$6:$AK$505,"○")&gt;0,1,0))</f>
        <v>0</v>
      </c>
      <c r="CP15" s="39" t="n">
        <f aca="false">IF(CP$4=0,0,IF(COUNTIFS(実績!$W$6:$W$505,CP$3,実績!$AI$6:$AI$505,"&lt;="&amp;$A15,実績!$AJ$6:$AJ$505,"&gt;"&amp;$A15,実績!$AK$6:$AK$505,"○")&gt;0,1,0))</f>
        <v>0</v>
      </c>
      <c r="CQ15" s="39" t="n">
        <f aca="false">IF(CQ$4=0,0,IF(COUNTIFS(実績!$W$6:$W$505,CQ$3,実績!$AI$6:$AI$505,"&lt;="&amp;$A15,実績!$AJ$6:$AJ$505,"&gt;"&amp;$A15,実績!$AK$6:$AK$505,"○")&gt;0,1,0))</f>
        <v>0</v>
      </c>
      <c r="CR15" s="39" t="n">
        <f aca="false">IF(CR$4=0,0,IF(COUNTIFS(実績!$W$6:$W$505,CR$3,実績!$AI$6:$AI$505,"&lt;="&amp;$A15,実績!$AJ$6:$AJ$505,"&gt;"&amp;$A15,実績!$AK$6:$AK$505,"○")&gt;0,1,0))</f>
        <v>0</v>
      </c>
      <c r="CS15" s="39" t="n">
        <f aca="false">IF(CS$4=0,0,IF(COUNTIFS(実績!$W$6:$W$505,CS$3,実績!$AI$6:$AI$505,"&lt;="&amp;$A15,実績!$AJ$6:$AJ$505,"&gt;"&amp;$A15,実績!$AK$6:$AK$505,"○")&gt;0,1,0))</f>
        <v>0</v>
      </c>
      <c r="CT15" s="39" t="n">
        <f aca="false">IF(CT$4=0,0,IF(COUNTIFS(実績!$W$6:$W$505,CT$3,実績!$AI$6:$AI$505,"&lt;="&amp;$A15,実績!$AJ$6:$AJ$505,"&gt;"&amp;$A15,実績!$AK$6:$AK$505,"○")&gt;0,1,0))</f>
        <v>0</v>
      </c>
      <c r="CU15" s="39" t="n">
        <f aca="false">IF(CU$4=0,0,IF(COUNTIFS(実績!$W$6:$W$505,CU$3,実績!$AI$6:$AI$505,"&lt;="&amp;$A15,実績!$AJ$6:$AJ$505,"&gt;"&amp;$A15,実績!$AK$6:$AK$505,"○")&gt;0,1,0))</f>
        <v>0</v>
      </c>
      <c r="CV15" s="39" t="n">
        <f aca="false">IF(CV$4=0,0,IF(COUNTIFS(実績!$W$6:$W$505,CV$3,実績!$AI$6:$AI$505,"&lt;="&amp;$A15,実績!$AJ$6:$AJ$505,"&gt;"&amp;$A15,実績!$AK$6:$AK$505,"○")&gt;0,1,0))</f>
        <v>0</v>
      </c>
      <c r="CW15" s="39" t="n">
        <f aca="false">IF(CW$4=0,0,IF(COUNTIFS(実績!$W$6:$W$505,CW$3,実績!$AI$6:$AI$505,"&lt;="&amp;$A15,実績!$AJ$6:$AJ$505,"&gt;"&amp;$A15,実績!$AK$6:$AK$505,"○")&gt;0,1,0))</f>
        <v>0</v>
      </c>
      <c r="CX15" s="39" t="n">
        <f aca="false">IF(CX$4=0,0,IF(COUNTIFS(実績!$W$6:$W$505,CX$3,実績!$AI$6:$AI$505,"&lt;="&amp;$A15,実績!$AJ$6:$AJ$505,"&gt;"&amp;$A15,実績!$AK$6:$AK$505,"○")&gt;0,1,0))</f>
        <v>0</v>
      </c>
      <c r="CY15" s="39" t="n">
        <f aca="false">IF(CY$4=0,0,IF(COUNTIFS(実績!$W$6:$W$505,CY$3,実績!$AI$6:$AI$505,"&lt;="&amp;$A15,実績!$AJ$6:$AJ$505,"&gt;"&amp;$A15,実績!$AK$6:$AK$505,"○")&gt;0,1,0))</f>
        <v>0</v>
      </c>
      <c r="CZ15" s="39" t="n">
        <f aca="false">IF(CZ$4=0,0,IF(COUNTIFS(実績!$W$6:$W$505,CZ$3,実績!$AI$6:$AI$505,"&lt;="&amp;$A15,実績!$AJ$6:$AJ$505,"&gt;"&amp;$A15,実績!$AK$6:$AK$505,"○")&gt;0,1,0))</f>
        <v>0</v>
      </c>
      <c r="DA15" s="39" t="n">
        <f aca="false">IF(DA$4=0,0,IF(COUNTIFS(実績!$W$6:$W$505,DA$3,実績!$AI$6:$AI$505,"&lt;="&amp;$A15,実績!$AJ$6:$AJ$505,"&gt;"&amp;$A15,実績!$AK$6:$AK$505,"○")&gt;0,1,0))</f>
        <v>0</v>
      </c>
      <c r="DB15" s="39" t="n">
        <f aca="false">IF(DB$4=0,0,IF(COUNTIFS(実績!$W$6:$W$505,DB$3,実績!$AI$6:$AI$505,"&lt;="&amp;$A15,実績!$AJ$6:$AJ$505,"&gt;"&amp;$A15,実績!$AK$6:$AK$505,"○")&gt;0,1,0))</f>
        <v>0</v>
      </c>
      <c r="DC15" s="39" t="n">
        <f aca="false">IF(DC$4=0,0,IF(COUNTIFS(実績!$W$6:$W$505,DC$3,実績!$AI$6:$AI$505,"&lt;="&amp;$A15,実績!$AJ$6:$AJ$505,"&gt;"&amp;$A15,実績!$AK$6:$AK$505,"○")&gt;0,1,0))</f>
        <v>0</v>
      </c>
      <c r="DD15" s="39" t="n">
        <f aca="false">IF(DD$4=0,0,IF(COUNTIFS(実績!$W$6:$W$505,DD$3,実績!$AI$6:$AI$505,"&lt;="&amp;$A15,実績!$AJ$6:$AJ$505,"&gt;"&amp;$A15,実績!$AK$6:$AK$505,"○")&gt;0,1,0))</f>
        <v>0</v>
      </c>
      <c r="DE15" s="39" t="n">
        <f aca="false">IF(DE$4=0,0,IF(COUNTIFS(実績!$W$6:$W$505,DE$3,実績!$AI$6:$AI$505,"&lt;="&amp;$A15,実績!$AJ$6:$AJ$505,"&gt;"&amp;$A15,実績!$AK$6:$AK$505,"○")&gt;0,1,0))</f>
        <v>0</v>
      </c>
      <c r="DF15" s="39" t="n">
        <f aca="false">IF(DF$4=0,0,IF(COUNTIFS(実績!$W$6:$W$505,DF$3,実績!$AI$6:$AI$505,"&lt;="&amp;$A15,実績!$AJ$6:$AJ$505,"&gt;"&amp;$A15,実績!$AK$6:$AK$505,"○")&gt;0,1,0))</f>
        <v>0</v>
      </c>
      <c r="DG15" s="39" t="n">
        <f aca="false">IF(DG$4=0,0,IF(COUNTIFS(実績!$W$6:$W$505,DG$3,実績!$AI$6:$AI$505,"&lt;="&amp;$A15,実績!$AJ$6:$AJ$505,"&gt;"&amp;$A15,実績!$AK$6:$AK$505,"○")&gt;0,1,0))</f>
        <v>0</v>
      </c>
      <c r="DH15" s="39" t="n">
        <f aca="false">IF(DH$4=0,0,IF(COUNTIFS(実績!$W$6:$W$505,DH$3,実績!$AI$6:$AI$505,"&lt;="&amp;$A15,実績!$AJ$6:$AJ$505,"&gt;"&amp;$A15,実績!$AK$6:$AK$505,"○")&gt;0,1,0))</f>
        <v>0</v>
      </c>
      <c r="DI15" s="39" t="n">
        <f aca="false">IF(DI$4=0,0,IF(COUNTIFS(実績!$W$6:$W$505,DI$3,実績!$AI$6:$AI$505,"&lt;="&amp;$A15,実績!$AJ$6:$AJ$505,"&gt;"&amp;$A15,実績!$AK$6:$AK$505,"○")&gt;0,1,0))</f>
        <v>0</v>
      </c>
      <c r="DJ15" s="39" t="n">
        <f aca="false">IF(DJ$4=0,0,IF(COUNTIFS(実績!$W$6:$W$505,DJ$3,実績!$AI$6:$AI$505,"&lt;="&amp;$A15,実績!$AJ$6:$AJ$505,"&gt;"&amp;$A15,実績!$AK$6:$AK$505,"○")&gt;0,1,0))</f>
        <v>0</v>
      </c>
      <c r="DK15" s="39" t="n">
        <f aca="false">IF(DK$4=0,0,IF(COUNTIFS(実績!$W$6:$W$505,DK$3,実績!$AI$6:$AI$505,"&lt;="&amp;$A15,実績!$AJ$6:$AJ$505,"&gt;"&amp;$A15,実績!$AK$6:$AK$505,"○")&gt;0,1,0))</f>
        <v>0</v>
      </c>
      <c r="DL15" s="39" t="n">
        <f aca="false">IF(DL$4=0,0,IF(COUNTIFS(実績!$W$6:$W$505,DL$3,実績!$AI$6:$AI$505,"&lt;="&amp;$A15,実績!$AJ$6:$AJ$505,"&gt;"&amp;$A15,実績!$AK$6:$AK$505,"○")&gt;0,1,0))</f>
        <v>0</v>
      </c>
      <c r="DM15" s="39" t="n">
        <f aca="false">IF(DM$4=0,0,IF(COUNTIFS(実績!$W$6:$W$505,DM$3,実績!$AI$6:$AI$505,"&lt;="&amp;$A15,実績!$AJ$6:$AJ$505,"&gt;"&amp;$A15,実績!$AK$6:$AK$505,"○")&gt;0,1,0))</f>
        <v>0</v>
      </c>
      <c r="DN15" s="39" t="n">
        <f aca="false">IF(DN$4=0,0,IF(COUNTIFS(実績!$W$6:$W$505,DN$3,実績!$AI$6:$AI$505,"&lt;="&amp;$A15,実績!$AJ$6:$AJ$505,"&gt;"&amp;$A15,実績!$AK$6:$AK$505,"○")&gt;0,1,0))</f>
        <v>0</v>
      </c>
      <c r="DO15" s="39" t="n">
        <f aca="false">IF(DO$4=0,0,IF(COUNTIFS(実績!$W$6:$W$505,DO$3,実績!$AI$6:$AI$505,"&lt;="&amp;$A15,実績!$AJ$6:$AJ$505,"&gt;"&amp;$A15,実績!$AK$6:$AK$505,"○")&gt;0,1,0))</f>
        <v>0</v>
      </c>
      <c r="DP15" s="39" t="n">
        <f aca="false">IF(DP$4=0,0,IF(COUNTIFS(実績!$W$6:$W$505,DP$3,実績!$AI$6:$AI$505,"&lt;="&amp;$A15,実績!$AJ$6:$AJ$505,"&gt;"&amp;$A15,実績!$AK$6:$AK$505,"○")&gt;0,1,0))</f>
        <v>0</v>
      </c>
      <c r="DQ15" s="39" t="n">
        <f aca="false">IF(DQ$4=0,0,IF(COUNTIFS(実績!$W$6:$W$505,DQ$3,実績!$AI$6:$AI$505,"&lt;="&amp;$A15,実績!$AJ$6:$AJ$505,"&gt;"&amp;$A15,実績!$AK$6:$AK$505,"○")&gt;0,1,0))</f>
        <v>0</v>
      </c>
      <c r="DR15" s="39" t="n">
        <f aca="false">IF(DR$4=0,0,IF(COUNTIFS(実績!$W$6:$W$505,DR$3,実績!$AI$6:$AI$505,"&lt;="&amp;$A15,実績!$AJ$6:$AJ$505,"&gt;"&amp;$A15,実績!$AK$6:$AK$505,"○")&gt;0,1,0))</f>
        <v>0</v>
      </c>
      <c r="DS15" s="39" t="n">
        <f aca="false">SUM(C15:DR15)</f>
        <v>0</v>
      </c>
      <c r="DT15" s="39" t="n">
        <f aca="false">SUMPRODUCT((実績!$C$6:$C$505="○")*ISNUMBER(実績!$AM$6:$AM$505)*(実績!$AM$6:$AM$505&lt;=$A15)*(実績!$AN$6:$AN$505&gt;$A15))</f>
        <v>0</v>
      </c>
      <c r="DU15" s="39" t="n">
        <f aca="false">SUMIF($C$2:$DR$2,"製鉄曳船",C15:DR15)</f>
        <v>0</v>
      </c>
      <c r="DV15" s="39" t="n">
        <f aca="false">SUMIF($C$2:$DR$2,"西日本海運",C15:DR15)</f>
        <v>0</v>
      </c>
    </row>
    <row r="16" customFormat="false" ht="15" hidden="false" customHeight="false" outlineLevel="0" collapsed="false">
      <c r="A16" s="0" t="n">
        <v>50</v>
      </c>
      <c r="B16" s="38" t="n">
        <f aca="false">A16/1440</f>
        <v>0.0347222222222222</v>
      </c>
      <c r="C16" s="39" t="n">
        <f aca="false">IF(C$4=0,0,IF(COUNTIFS(実績!$W$6:$W$505,C$3,実績!$AI$6:$AI$505,"&lt;="&amp;$A16,実績!$AJ$6:$AJ$505,"&gt;"&amp;$A16,実績!$AK$6:$AK$505,"○")&gt;0,1,0))</f>
        <v>0</v>
      </c>
      <c r="D16" s="39" t="n">
        <f aca="false">IF(D$4=0,0,IF(COUNTIFS(実績!$W$6:$W$505,D$3,実績!$AI$6:$AI$505,"&lt;="&amp;$A16,実績!$AJ$6:$AJ$505,"&gt;"&amp;$A16,実績!$AK$6:$AK$505,"○")&gt;0,1,0))</f>
        <v>0</v>
      </c>
      <c r="E16" s="39" t="n">
        <f aca="false">IF(E$4=0,0,IF(COUNTIFS(実績!$W$6:$W$505,E$3,実績!$AI$6:$AI$505,"&lt;="&amp;$A16,実績!$AJ$6:$AJ$505,"&gt;"&amp;$A16,実績!$AK$6:$AK$505,"○")&gt;0,1,0))</f>
        <v>0</v>
      </c>
      <c r="F16" s="39" t="n">
        <f aca="false">IF(F$4=0,0,IF(COUNTIFS(実績!$W$6:$W$505,F$3,実績!$AI$6:$AI$505,"&lt;="&amp;$A16,実績!$AJ$6:$AJ$505,"&gt;"&amp;$A16,実績!$AK$6:$AK$505,"○")&gt;0,1,0))</f>
        <v>0</v>
      </c>
      <c r="G16" s="39" t="n">
        <f aca="false">IF(G$4=0,0,IF(COUNTIFS(実績!$W$6:$W$505,G$3,実績!$AI$6:$AI$505,"&lt;="&amp;$A16,実績!$AJ$6:$AJ$505,"&gt;"&amp;$A16,実績!$AK$6:$AK$505,"○")&gt;0,1,0))</f>
        <v>0</v>
      </c>
      <c r="H16" s="39" t="n">
        <f aca="false">IF(H$4=0,0,IF(COUNTIFS(実績!$W$6:$W$505,H$3,実績!$AI$6:$AI$505,"&lt;="&amp;$A16,実績!$AJ$6:$AJ$505,"&gt;"&amp;$A16,実績!$AK$6:$AK$505,"○")&gt;0,1,0))</f>
        <v>0</v>
      </c>
      <c r="I16" s="39" t="n">
        <f aca="false">IF(I$4=0,0,IF(COUNTIFS(実績!$W$6:$W$505,I$3,実績!$AI$6:$AI$505,"&lt;="&amp;$A16,実績!$AJ$6:$AJ$505,"&gt;"&amp;$A16,実績!$AK$6:$AK$505,"○")&gt;0,1,0))</f>
        <v>0</v>
      </c>
      <c r="J16" s="39" t="n">
        <f aca="false">IF(J$4=0,0,IF(COUNTIFS(実績!$W$6:$W$505,J$3,実績!$AI$6:$AI$505,"&lt;="&amp;$A16,実績!$AJ$6:$AJ$505,"&gt;"&amp;$A16,実績!$AK$6:$AK$505,"○")&gt;0,1,0))</f>
        <v>0</v>
      </c>
      <c r="K16" s="39" t="n">
        <f aca="false">IF(K$4=0,0,IF(COUNTIFS(実績!$W$6:$W$505,K$3,実績!$AI$6:$AI$505,"&lt;="&amp;$A16,実績!$AJ$6:$AJ$505,"&gt;"&amp;$A16,実績!$AK$6:$AK$505,"○")&gt;0,1,0))</f>
        <v>0</v>
      </c>
      <c r="L16" s="39" t="n">
        <f aca="false">IF(L$4=0,0,IF(COUNTIFS(実績!$W$6:$W$505,L$3,実績!$AI$6:$AI$505,"&lt;="&amp;$A16,実績!$AJ$6:$AJ$505,"&gt;"&amp;$A16,実績!$AK$6:$AK$505,"○")&gt;0,1,0))</f>
        <v>0</v>
      </c>
      <c r="M16" s="39" t="n">
        <f aca="false">IF(M$4=0,0,IF(COUNTIFS(実績!$W$6:$W$505,M$3,実績!$AI$6:$AI$505,"&lt;="&amp;$A16,実績!$AJ$6:$AJ$505,"&gt;"&amp;$A16,実績!$AK$6:$AK$505,"○")&gt;0,1,0))</f>
        <v>0</v>
      </c>
      <c r="N16" s="39" t="n">
        <f aca="false">IF(N$4=0,0,IF(COUNTIFS(実績!$W$6:$W$505,N$3,実績!$AI$6:$AI$505,"&lt;="&amp;$A16,実績!$AJ$6:$AJ$505,"&gt;"&amp;$A16,実績!$AK$6:$AK$505,"○")&gt;0,1,0))</f>
        <v>0</v>
      </c>
      <c r="O16" s="39" t="n">
        <f aca="false">IF(O$4=0,0,IF(COUNTIFS(実績!$W$6:$W$505,O$3,実績!$AI$6:$AI$505,"&lt;="&amp;$A16,実績!$AJ$6:$AJ$505,"&gt;"&amp;$A16,実績!$AK$6:$AK$505,"○")&gt;0,1,0))</f>
        <v>0</v>
      </c>
      <c r="P16" s="39" t="n">
        <f aca="false">IF(P$4=0,0,IF(COUNTIFS(実績!$W$6:$W$505,P$3,実績!$AI$6:$AI$505,"&lt;="&amp;$A16,実績!$AJ$6:$AJ$505,"&gt;"&amp;$A16,実績!$AK$6:$AK$505,"○")&gt;0,1,0))</f>
        <v>0</v>
      </c>
      <c r="Q16" s="39" t="n">
        <f aca="false">IF(Q$4=0,0,IF(COUNTIFS(実績!$W$6:$W$505,Q$3,実績!$AI$6:$AI$505,"&lt;="&amp;$A16,実績!$AJ$6:$AJ$505,"&gt;"&amp;$A16,実績!$AK$6:$AK$505,"○")&gt;0,1,0))</f>
        <v>0</v>
      </c>
      <c r="R16" s="39" t="n">
        <f aca="false">IF(R$4=0,0,IF(COUNTIFS(実績!$W$6:$W$505,R$3,実績!$AI$6:$AI$505,"&lt;="&amp;$A16,実績!$AJ$6:$AJ$505,"&gt;"&amp;$A16,実績!$AK$6:$AK$505,"○")&gt;0,1,0))</f>
        <v>0</v>
      </c>
      <c r="S16" s="39" t="n">
        <f aca="false">IF(S$4=0,0,IF(COUNTIFS(実績!$W$6:$W$505,S$3,実績!$AI$6:$AI$505,"&lt;="&amp;$A16,実績!$AJ$6:$AJ$505,"&gt;"&amp;$A16,実績!$AK$6:$AK$505,"○")&gt;0,1,0))</f>
        <v>0</v>
      </c>
      <c r="T16" s="39" t="n">
        <f aca="false">IF(T$4=0,0,IF(COUNTIFS(実績!$W$6:$W$505,T$3,実績!$AI$6:$AI$505,"&lt;="&amp;$A16,実績!$AJ$6:$AJ$505,"&gt;"&amp;$A16,実績!$AK$6:$AK$505,"○")&gt;0,1,0))</f>
        <v>0</v>
      </c>
      <c r="U16" s="39" t="n">
        <f aca="false">IF(U$4=0,0,IF(COUNTIFS(実績!$W$6:$W$505,U$3,実績!$AI$6:$AI$505,"&lt;="&amp;$A16,実績!$AJ$6:$AJ$505,"&gt;"&amp;$A16,実績!$AK$6:$AK$505,"○")&gt;0,1,0))</f>
        <v>0</v>
      </c>
      <c r="V16" s="39" t="n">
        <f aca="false">IF(V$4=0,0,IF(COUNTIFS(実績!$W$6:$W$505,V$3,実績!$AI$6:$AI$505,"&lt;="&amp;$A16,実績!$AJ$6:$AJ$505,"&gt;"&amp;$A16,実績!$AK$6:$AK$505,"○")&gt;0,1,0))</f>
        <v>0</v>
      </c>
      <c r="W16" s="39" t="n">
        <f aca="false">IF(W$4=0,0,IF(COUNTIFS(実績!$W$6:$W$505,W$3,実績!$AI$6:$AI$505,"&lt;="&amp;$A16,実績!$AJ$6:$AJ$505,"&gt;"&amp;$A16,実績!$AK$6:$AK$505,"○")&gt;0,1,0))</f>
        <v>0</v>
      </c>
      <c r="X16" s="39" t="n">
        <f aca="false">IF(X$4=0,0,IF(COUNTIFS(実績!$W$6:$W$505,X$3,実績!$AI$6:$AI$505,"&lt;="&amp;$A16,実績!$AJ$6:$AJ$505,"&gt;"&amp;$A16,実績!$AK$6:$AK$505,"○")&gt;0,1,0))</f>
        <v>0</v>
      </c>
      <c r="Y16" s="39" t="n">
        <f aca="false">IF(Y$4=0,0,IF(COUNTIFS(実績!$W$6:$W$505,Y$3,実績!$AI$6:$AI$505,"&lt;="&amp;$A16,実績!$AJ$6:$AJ$505,"&gt;"&amp;$A16,実績!$AK$6:$AK$505,"○")&gt;0,1,0))</f>
        <v>0</v>
      </c>
      <c r="Z16" s="39" t="n">
        <f aca="false">IF(Z$4=0,0,IF(COUNTIFS(実績!$W$6:$W$505,Z$3,実績!$AI$6:$AI$505,"&lt;="&amp;$A16,実績!$AJ$6:$AJ$505,"&gt;"&amp;$A16,実績!$AK$6:$AK$505,"○")&gt;0,1,0))</f>
        <v>0</v>
      </c>
      <c r="AA16" s="39" t="n">
        <f aca="false">IF(AA$4=0,0,IF(COUNTIFS(実績!$W$6:$W$505,AA$3,実績!$AI$6:$AI$505,"&lt;="&amp;$A16,実績!$AJ$6:$AJ$505,"&gt;"&amp;$A16,実績!$AK$6:$AK$505,"○")&gt;0,1,0))</f>
        <v>0</v>
      </c>
      <c r="AB16" s="39" t="n">
        <f aca="false">IF(AB$4=0,0,IF(COUNTIFS(実績!$W$6:$W$505,AB$3,実績!$AI$6:$AI$505,"&lt;="&amp;$A16,実績!$AJ$6:$AJ$505,"&gt;"&amp;$A16,実績!$AK$6:$AK$505,"○")&gt;0,1,0))</f>
        <v>0</v>
      </c>
      <c r="AC16" s="39" t="n">
        <f aca="false">IF(AC$4=0,0,IF(COUNTIFS(実績!$W$6:$W$505,AC$3,実績!$AI$6:$AI$505,"&lt;="&amp;$A16,実績!$AJ$6:$AJ$505,"&gt;"&amp;$A16,実績!$AK$6:$AK$505,"○")&gt;0,1,0))</f>
        <v>0</v>
      </c>
      <c r="AD16" s="39" t="n">
        <f aca="false">IF(AD$4=0,0,IF(COUNTIFS(実績!$W$6:$W$505,AD$3,実績!$AI$6:$AI$505,"&lt;="&amp;$A16,実績!$AJ$6:$AJ$505,"&gt;"&amp;$A16,実績!$AK$6:$AK$505,"○")&gt;0,1,0))</f>
        <v>0</v>
      </c>
      <c r="AE16" s="39" t="n">
        <f aca="false">IF(AE$4=0,0,IF(COUNTIFS(実績!$W$6:$W$505,AE$3,実績!$AI$6:$AI$505,"&lt;="&amp;$A16,実績!$AJ$6:$AJ$505,"&gt;"&amp;$A16,実績!$AK$6:$AK$505,"○")&gt;0,1,0))</f>
        <v>0</v>
      </c>
      <c r="AF16" s="39" t="n">
        <f aca="false">IF(AF$4=0,0,IF(COUNTIFS(実績!$W$6:$W$505,AF$3,実績!$AI$6:$AI$505,"&lt;="&amp;$A16,実績!$AJ$6:$AJ$505,"&gt;"&amp;$A16,実績!$AK$6:$AK$505,"○")&gt;0,1,0))</f>
        <v>0</v>
      </c>
      <c r="AG16" s="39" t="n">
        <f aca="false">IF(AG$4=0,0,IF(COUNTIFS(実績!$W$6:$W$505,AG$3,実績!$AI$6:$AI$505,"&lt;="&amp;$A16,実績!$AJ$6:$AJ$505,"&gt;"&amp;$A16,実績!$AK$6:$AK$505,"○")&gt;0,1,0))</f>
        <v>0</v>
      </c>
      <c r="AH16" s="39" t="n">
        <f aca="false">IF(AH$4=0,0,IF(COUNTIFS(実績!$W$6:$W$505,AH$3,実績!$AI$6:$AI$505,"&lt;="&amp;$A16,実績!$AJ$6:$AJ$505,"&gt;"&amp;$A16,実績!$AK$6:$AK$505,"○")&gt;0,1,0))</f>
        <v>0</v>
      </c>
      <c r="AI16" s="39" t="n">
        <f aca="false">IF(AI$4=0,0,IF(COUNTIFS(実績!$W$6:$W$505,AI$3,実績!$AI$6:$AI$505,"&lt;="&amp;$A16,実績!$AJ$6:$AJ$505,"&gt;"&amp;$A16,実績!$AK$6:$AK$505,"○")&gt;0,1,0))</f>
        <v>0</v>
      </c>
      <c r="AJ16" s="39" t="n">
        <f aca="false">IF(AJ$4=0,0,IF(COUNTIFS(実績!$W$6:$W$505,AJ$3,実績!$AI$6:$AI$505,"&lt;="&amp;$A16,実績!$AJ$6:$AJ$505,"&gt;"&amp;$A16,実績!$AK$6:$AK$505,"○")&gt;0,1,0))</f>
        <v>0</v>
      </c>
      <c r="AK16" s="39" t="n">
        <f aca="false">IF(AK$4=0,0,IF(COUNTIFS(実績!$W$6:$W$505,AK$3,実績!$AI$6:$AI$505,"&lt;="&amp;$A16,実績!$AJ$6:$AJ$505,"&gt;"&amp;$A16,実績!$AK$6:$AK$505,"○")&gt;0,1,0))</f>
        <v>0</v>
      </c>
      <c r="AL16" s="39" t="n">
        <f aca="false">IF(AL$4=0,0,IF(COUNTIFS(実績!$W$6:$W$505,AL$3,実績!$AI$6:$AI$505,"&lt;="&amp;$A16,実績!$AJ$6:$AJ$505,"&gt;"&amp;$A16,実績!$AK$6:$AK$505,"○")&gt;0,1,0))</f>
        <v>0</v>
      </c>
      <c r="AM16" s="39" t="n">
        <f aca="false">IF(AM$4=0,0,IF(COUNTIFS(実績!$W$6:$W$505,AM$3,実績!$AI$6:$AI$505,"&lt;="&amp;$A16,実績!$AJ$6:$AJ$505,"&gt;"&amp;$A16,実績!$AK$6:$AK$505,"○")&gt;0,1,0))</f>
        <v>0</v>
      </c>
      <c r="AN16" s="39" t="n">
        <f aca="false">IF(AN$4=0,0,IF(COUNTIFS(実績!$W$6:$W$505,AN$3,実績!$AI$6:$AI$505,"&lt;="&amp;$A16,実績!$AJ$6:$AJ$505,"&gt;"&amp;$A16,実績!$AK$6:$AK$505,"○")&gt;0,1,0))</f>
        <v>0</v>
      </c>
      <c r="AO16" s="39" t="n">
        <f aca="false">IF(AO$4=0,0,IF(COUNTIFS(実績!$W$6:$W$505,AO$3,実績!$AI$6:$AI$505,"&lt;="&amp;$A16,実績!$AJ$6:$AJ$505,"&gt;"&amp;$A16,実績!$AK$6:$AK$505,"○")&gt;0,1,0))</f>
        <v>0</v>
      </c>
      <c r="AP16" s="39" t="n">
        <f aca="false">IF(AP$4=0,0,IF(COUNTIFS(実績!$W$6:$W$505,AP$3,実績!$AI$6:$AI$505,"&lt;="&amp;$A16,実績!$AJ$6:$AJ$505,"&gt;"&amp;$A16,実績!$AK$6:$AK$505,"○")&gt;0,1,0))</f>
        <v>0</v>
      </c>
      <c r="AQ16" s="39" t="n">
        <f aca="false">IF(AQ$4=0,0,IF(COUNTIFS(実績!$W$6:$W$505,AQ$3,実績!$AI$6:$AI$505,"&lt;="&amp;$A16,実績!$AJ$6:$AJ$505,"&gt;"&amp;$A16,実績!$AK$6:$AK$505,"○")&gt;0,1,0))</f>
        <v>0</v>
      </c>
      <c r="AR16" s="39" t="n">
        <f aca="false">IF(AR$4=0,0,IF(COUNTIFS(実績!$W$6:$W$505,AR$3,実績!$AI$6:$AI$505,"&lt;="&amp;$A16,実績!$AJ$6:$AJ$505,"&gt;"&amp;$A16,実績!$AK$6:$AK$505,"○")&gt;0,1,0))</f>
        <v>0</v>
      </c>
      <c r="AS16" s="39" t="n">
        <f aca="false">IF(AS$4=0,0,IF(COUNTIFS(実績!$W$6:$W$505,AS$3,実績!$AI$6:$AI$505,"&lt;="&amp;$A16,実績!$AJ$6:$AJ$505,"&gt;"&amp;$A16,実績!$AK$6:$AK$505,"○")&gt;0,1,0))</f>
        <v>0</v>
      </c>
      <c r="AT16" s="39" t="n">
        <f aca="false">IF(AT$4=0,0,IF(COUNTIFS(実績!$W$6:$W$505,AT$3,実績!$AI$6:$AI$505,"&lt;="&amp;$A16,実績!$AJ$6:$AJ$505,"&gt;"&amp;$A16,実績!$AK$6:$AK$505,"○")&gt;0,1,0))</f>
        <v>0</v>
      </c>
      <c r="AU16" s="39" t="n">
        <f aca="false">IF(AU$4=0,0,IF(COUNTIFS(実績!$W$6:$W$505,AU$3,実績!$AI$6:$AI$505,"&lt;="&amp;$A16,実績!$AJ$6:$AJ$505,"&gt;"&amp;$A16,実績!$AK$6:$AK$505,"○")&gt;0,1,0))</f>
        <v>0</v>
      </c>
      <c r="AV16" s="39" t="n">
        <f aca="false">IF(AV$4=0,0,IF(COUNTIFS(実績!$W$6:$W$505,AV$3,実績!$AI$6:$AI$505,"&lt;="&amp;$A16,実績!$AJ$6:$AJ$505,"&gt;"&amp;$A16,実績!$AK$6:$AK$505,"○")&gt;0,1,0))</f>
        <v>0</v>
      </c>
      <c r="AW16" s="39" t="n">
        <f aca="false">IF(AW$4=0,0,IF(COUNTIFS(実績!$W$6:$W$505,AW$3,実績!$AI$6:$AI$505,"&lt;="&amp;$A16,実績!$AJ$6:$AJ$505,"&gt;"&amp;$A16,実績!$AK$6:$AK$505,"○")&gt;0,1,0))</f>
        <v>0</v>
      </c>
      <c r="AX16" s="39" t="n">
        <f aca="false">IF(AX$4=0,0,IF(COUNTIFS(実績!$W$6:$W$505,AX$3,実績!$AI$6:$AI$505,"&lt;="&amp;$A16,実績!$AJ$6:$AJ$505,"&gt;"&amp;$A16,実績!$AK$6:$AK$505,"○")&gt;0,1,0))</f>
        <v>0</v>
      </c>
      <c r="AY16" s="39" t="n">
        <f aca="false">IF(AY$4=0,0,IF(COUNTIFS(実績!$W$6:$W$505,AY$3,実績!$AI$6:$AI$505,"&lt;="&amp;$A16,実績!$AJ$6:$AJ$505,"&gt;"&amp;$A16,実績!$AK$6:$AK$505,"○")&gt;0,1,0))</f>
        <v>0</v>
      </c>
      <c r="AZ16" s="39" t="n">
        <f aca="false">IF(AZ$4=0,0,IF(COUNTIFS(実績!$W$6:$W$505,AZ$3,実績!$AI$6:$AI$505,"&lt;="&amp;$A16,実績!$AJ$6:$AJ$505,"&gt;"&amp;$A16,実績!$AK$6:$AK$505,"○")&gt;0,1,0))</f>
        <v>0</v>
      </c>
      <c r="BA16" s="39" t="n">
        <f aca="false">IF(BA$4=0,0,IF(COUNTIFS(実績!$W$6:$W$505,BA$3,実績!$AI$6:$AI$505,"&lt;="&amp;$A16,実績!$AJ$6:$AJ$505,"&gt;"&amp;$A16,実績!$AK$6:$AK$505,"○")&gt;0,1,0))</f>
        <v>0</v>
      </c>
      <c r="BB16" s="39" t="n">
        <f aca="false">IF(BB$4=0,0,IF(COUNTIFS(実績!$W$6:$W$505,BB$3,実績!$AI$6:$AI$505,"&lt;="&amp;$A16,実績!$AJ$6:$AJ$505,"&gt;"&amp;$A16,実績!$AK$6:$AK$505,"○")&gt;0,1,0))</f>
        <v>0</v>
      </c>
      <c r="BC16" s="39" t="n">
        <f aca="false">IF(BC$4=0,0,IF(COUNTIFS(実績!$W$6:$W$505,BC$3,実績!$AI$6:$AI$505,"&lt;="&amp;$A16,実績!$AJ$6:$AJ$505,"&gt;"&amp;$A16,実績!$AK$6:$AK$505,"○")&gt;0,1,0))</f>
        <v>0</v>
      </c>
      <c r="BD16" s="39" t="n">
        <f aca="false">IF(BD$4=0,0,IF(COUNTIFS(実績!$W$6:$W$505,BD$3,実績!$AI$6:$AI$505,"&lt;="&amp;$A16,実績!$AJ$6:$AJ$505,"&gt;"&amp;$A16,実績!$AK$6:$AK$505,"○")&gt;0,1,0))</f>
        <v>0</v>
      </c>
      <c r="BE16" s="39" t="n">
        <f aca="false">IF(BE$4=0,0,IF(COUNTIFS(実績!$W$6:$W$505,BE$3,実績!$AI$6:$AI$505,"&lt;="&amp;$A16,実績!$AJ$6:$AJ$505,"&gt;"&amp;$A16,実績!$AK$6:$AK$505,"○")&gt;0,1,0))</f>
        <v>0</v>
      </c>
      <c r="BF16" s="39" t="n">
        <f aca="false">IF(BF$4=0,0,IF(COUNTIFS(実績!$W$6:$W$505,BF$3,実績!$AI$6:$AI$505,"&lt;="&amp;$A16,実績!$AJ$6:$AJ$505,"&gt;"&amp;$A16,実績!$AK$6:$AK$505,"○")&gt;0,1,0))</f>
        <v>0</v>
      </c>
      <c r="BG16" s="39" t="n">
        <f aca="false">IF(BG$4=0,0,IF(COUNTIFS(実績!$W$6:$W$505,BG$3,実績!$AI$6:$AI$505,"&lt;="&amp;$A16,実績!$AJ$6:$AJ$505,"&gt;"&amp;$A16,実績!$AK$6:$AK$505,"○")&gt;0,1,0))</f>
        <v>0</v>
      </c>
      <c r="BH16" s="39" t="n">
        <f aca="false">IF(BH$4=0,0,IF(COUNTIFS(実績!$W$6:$W$505,BH$3,実績!$AI$6:$AI$505,"&lt;="&amp;$A16,実績!$AJ$6:$AJ$505,"&gt;"&amp;$A16,実績!$AK$6:$AK$505,"○")&gt;0,1,0))</f>
        <v>0</v>
      </c>
      <c r="BI16" s="39" t="n">
        <f aca="false">IF(BI$4=0,0,IF(COUNTIFS(実績!$W$6:$W$505,BI$3,実績!$AI$6:$AI$505,"&lt;="&amp;$A16,実績!$AJ$6:$AJ$505,"&gt;"&amp;$A16,実績!$AK$6:$AK$505,"○")&gt;0,1,0))</f>
        <v>0</v>
      </c>
      <c r="BJ16" s="39" t="n">
        <f aca="false">IF(BJ$4=0,0,IF(COUNTIFS(実績!$W$6:$W$505,BJ$3,実績!$AI$6:$AI$505,"&lt;="&amp;$A16,実績!$AJ$6:$AJ$505,"&gt;"&amp;$A16,実績!$AK$6:$AK$505,"○")&gt;0,1,0))</f>
        <v>0</v>
      </c>
      <c r="BK16" s="39" t="n">
        <f aca="false">IF(BK$4=0,0,IF(COUNTIFS(実績!$W$6:$W$505,BK$3,実績!$AI$6:$AI$505,"&lt;="&amp;$A16,実績!$AJ$6:$AJ$505,"&gt;"&amp;$A16,実績!$AK$6:$AK$505,"○")&gt;0,1,0))</f>
        <v>0</v>
      </c>
      <c r="BL16" s="39" t="n">
        <f aca="false">IF(BL$4=0,0,IF(COUNTIFS(実績!$W$6:$W$505,BL$3,実績!$AI$6:$AI$505,"&lt;="&amp;$A16,実績!$AJ$6:$AJ$505,"&gt;"&amp;$A16,実績!$AK$6:$AK$505,"○")&gt;0,1,0))</f>
        <v>0</v>
      </c>
      <c r="BM16" s="39" t="n">
        <f aca="false">IF(BM$4=0,0,IF(COUNTIFS(実績!$W$6:$W$505,BM$3,実績!$AI$6:$AI$505,"&lt;="&amp;$A16,実績!$AJ$6:$AJ$505,"&gt;"&amp;$A16,実績!$AK$6:$AK$505,"○")&gt;0,1,0))</f>
        <v>0</v>
      </c>
      <c r="BN16" s="39" t="n">
        <f aca="false">IF(BN$4=0,0,IF(COUNTIFS(実績!$W$6:$W$505,BN$3,実績!$AI$6:$AI$505,"&lt;="&amp;$A16,実績!$AJ$6:$AJ$505,"&gt;"&amp;$A16,実績!$AK$6:$AK$505,"○")&gt;0,1,0))</f>
        <v>0</v>
      </c>
      <c r="BO16" s="39" t="n">
        <f aca="false">IF(BO$4=0,0,IF(COUNTIFS(実績!$W$6:$W$505,BO$3,実績!$AI$6:$AI$505,"&lt;="&amp;$A16,実績!$AJ$6:$AJ$505,"&gt;"&amp;$A16,実績!$AK$6:$AK$505,"○")&gt;0,1,0))</f>
        <v>0</v>
      </c>
      <c r="BP16" s="39" t="n">
        <f aca="false">IF(BP$4=0,0,IF(COUNTIFS(実績!$W$6:$W$505,BP$3,実績!$AI$6:$AI$505,"&lt;="&amp;$A16,実績!$AJ$6:$AJ$505,"&gt;"&amp;$A16,実績!$AK$6:$AK$505,"○")&gt;0,1,0))</f>
        <v>0</v>
      </c>
      <c r="BQ16" s="39" t="n">
        <f aca="false">IF(BQ$4=0,0,IF(COUNTIFS(実績!$W$6:$W$505,BQ$3,実績!$AI$6:$AI$505,"&lt;="&amp;$A16,実績!$AJ$6:$AJ$505,"&gt;"&amp;$A16,実績!$AK$6:$AK$505,"○")&gt;0,1,0))</f>
        <v>0</v>
      </c>
      <c r="BR16" s="39" t="n">
        <f aca="false">IF(BR$4=0,0,IF(COUNTIFS(実績!$W$6:$W$505,BR$3,実績!$AI$6:$AI$505,"&lt;="&amp;$A16,実績!$AJ$6:$AJ$505,"&gt;"&amp;$A16,実績!$AK$6:$AK$505,"○")&gt;0,1,0))</f>
        <v>0</v>
      </c>
      <c r="BS16" s="39" t="n">
        <f aca="false">IF(BS$4=0,0,IF(COUNTIFS(実績!$W$6:$W$505,BS$3,実績!$AI$6:$AI$505,"&lt;="&amp;$A16,実績!$AJ$6:$AJ$505,"&gt;"&amp;$A16,実績!$AK$6:$AK$505,"○")&gt;0,1,0))</f>
        <v>0</v>
      </c>
      <c r="BT16" s="39" t="n">
        <f aca="false">IF(BT$4=0,0,IF(COUNTIFS(実績!$W$6:$W$505,BT$3,実績!$AI$6:$AI$505,"&lt;="&amp;$A16,実績!$AJ$6:$AJ$505,"&gt;"&amp;$A16,実績!$AK$6:$AK$505,"○")&gt;0,1,0))</f>
        <v>0</v>
      </c>
      <c r="BU16" s="39" t="n">
        <f aca="false">IF(BU$4=0,0,IF(COUNTIFS(実績!$W$6:$W$505,BU$3,実績!$AI$6:$AI$505,"&lt;="&amp;$A16,実績!$AJ$6:$AJ$505,"&gt;"&amp;$A16,実績!$AK$6:$AK$505,"○")&gt;0,1,0))</f>
        <v>0</v>
      </c>
      <c r="BV16" s="39" t="n">
        <f aca="false">IF(BV$4=0,0,IF(COUNTIFS(実績!$W$6:$W$505,BV$3,実績!$AI$6:$AI$505,"&lt;="&amp;$A16,実績!$AJ$6:$AJ$505,"&gt;"&amp;$A16,実績!$AK$6:$AK$505,"○")&gt;0,1,0))</f>
        <v>0</v>
      </c>
      <c r="BW16" s="39" t="n">
        <f aca="false">IF(BW$4=0,0,IF(COUNTIFS(実績!$W$6:$W$505,BW$3,実績!$AI$6:$AI$505,"&lt;="&amp;$A16,実績!$AJ$6:$AJ$505,"&gt;"&amp;$A16,実績!$AK$6:$AK$505,"○")&gt;0,1,0))</f>
        <v>0</v>
      </c>
      <c r="BX16" s="39" t="n">
        <f aca="false">IF(BX$4=0,0,IF(COUNTIFS(実績!$W$6:$W$505,BX$3,実績!$AI$6:$AI$505,"&lt;="&amp;$A16,実績!$AJ$6:$AJ$505,"&gt;"&amp;$A16,実績!$AK$6:$AK$505,"○")&gt;0,1,0))</f>
        <v>0</v>
      </c>
      <c r="BY16" s="39" t="n">
        <f aca="false">IF(BY$4=0,0,IF(COUNTIFS(実績!$W$6:$W$505,BY$3,実績!$AI$6:$AI$505,"&lt;="&amp;$A16,実績!$AJ$6:$AJ$505,"&gt;"&amp;$A16,実績!$AK$6:$AK$505,"○")&gt;0,1,0))</f>
        <v>0</v>
      </c>
      <c r="BZ16" s="39" t="n">
        <f aca="false">IF(BZ$4=0,0,IF(COUNTIFS(実績!$W$6:$W$505,BZ$3,実績!$AI$6:$AI$505,"&lt;="&amp;$A16,実績!$AJ$6:$AJ$505,"&gt;"&amp;$A16,実績!$AK$6:$AK$505,"○")&gt;0,1,0))</f>
        <v>0</v>
      </c>
      <c r="CA16" s="39" t="n">
        <f aca="false">IF(CA$4=0,0,IF(COUNTIFS(実績!$W$6:$W$505,CA$3,実績!$AI$6:$AI$505,"&lt;="&amp;$A16,実績!$AJ$6:$AJ$505,"&gt;"&amp;$A16,実績!$AK$6:$AK$505,"○")&gt;0,1,0))</f>
        <v>0</v>
      </c>
      <c r="CB16" s="39" t="n">
        <f aca="false">IF(CB$4=0,0,IF(COUNTIFS(実績!$W$6:$W$505,CB$3,実績!$AI$6:$AI$505,"&lt;="&amp;$A16,実績!$AJ$6:$AJ$505,"&gt;"&amp;$A16,実績!$AK$6:$AK$505,"○")&gt;0,1,0))</f>
        <v>0</v>
      </c>
      <c r="CC16" s="39" t="n">
        <f aca="false">IF(CC$4=0,0,IF(COUNTIFS(実績!$W$6:$W$505,CC$3,実績!$AI$6:$AI$505,"&lt;="&amp;$A16,実績!$AJ$6:$AJ$505,"&gt;"&amp;$A16,実績!$AK$6:$AK$505,"○")&gt;0,1,0))</f>
        <v>0</v>
      </c>
      <c r="CD16" s="39" t="n">
        <f aca="false">IF(CD$4=0,0,IF(COUNTIFS(実績!$W$6:$W$505,CD$3,実績!$AI$6:$AI$505,"&lt;="&amp;$A16,実績!$AJ$6:$AJ$505,"&gt;"&amp;$A16,実績!$AK$6:$AK$505,"○")&gt;0,1,0))</f>
        <v>0</v>
      </c>
      <c r="CE16" s="39" t="n">
        <f aca="false">IF(CE$4=0,0,IF(COUNTIFS(実績!$W$6:$W$505,CE$3,実績!$AI$6:$AI$505,"&lt;="&amp;$A16,実績!$AJ$6:$AJ$505,"&gt;"&amp;$A16,実績!$AK$6:$AK$505,"○")&gt;0,1,0))</f>
        <v>0</v>
      </c>
      <c r="CF16" s="39" t="n">
        <f aca="false">IF(CF$4=0,0,IF(COUNTIFS(実績!$W$6:$W$505,CF$3,実績!$AI$6:$AI$505,"&lt;="&amp;$A16,実績!$AJ$6:$AJ$505,"&gt;"&amp;$A16,実績!$AK$6:$AK$505,"○")&gt;0,1,0))</f>
        <v>0</v>
      </c>
      <c r="CG16" s="39" t="n">
        <f aca="false">IF(CG$4=0,0,IF(COUNTIFS(実績!$W$6:$W$505,CG$3,実績!$AI$6:$AI$505,"&lt;="&amp;$A16,実績!$AJ$6:$AJ$505,"&gt;"&amp;$A16,実績!$AK$6:$AK$505,"○")&gt;0,1,0))</f>
        <v>0</v>
      </c>
      <c r="CH16" s="39" t="n">
        <f aca="false">IF(CH$4=0,0,IF(COUNTIFS(実績!$W$6:$W$505,CH$3,実績!$AI$6:$AI$505,"&lt;="&amp;$A16,実績!$AJ$6:$AJ$505,"&gt;"&amp;$A16,実績!$AK$6:$AK$505,"○")&gt;0,1,0))</f>
        <v>0</v>
      </c>
      <c r="CI16" s="39" t="n">
        <f aca="false">IF(CI$4=0,0,IF(COUNTIFS(実績!$W$6:$W$505,CI$3,実績!$AI$6:$AI$505,"&lt;="&amp;$A16,実績!$AJ$6:$AJ$505,"&gt;"&amp;$A16,実績!$AK$6:$AK$505,"○")&gt;0,1,0))</f>
        <v>0</v>
      </c>
      <c r="CJ16" s="39" t="n">
        <f aca="false">IF(CJ$4=0,0,IF(COUNTIFS(実績!$W$6:$W$505,CJ$3,実績!$AI$6:$AI$505,"&lt;="&amp;$A16,実績!$AJ$6:$AJ$505,"&gt;"&amp;$A16,実績!$AK$6:$AK$505,"○")&gt;0,1,0))</f>
        <v>0</v>
      </c>
      <c r="CK16" s="39" t="n">
        <f aca="false">IF(CK$4=0,0,IF(COUNTIFS(実績!$W$6:$W$505,CK$3,実績!$AI$6:$AI$505,"&lt;="&amp;$A16,実績!$AJ$6:$AJ$505,"&gt;"&amp;$A16,実績!$AK$6:$AK$505,"○")&gt;0,1,0))</f>
        <v>0</v>
      </c>
      <c r="CL16" s="39" t="n">
        <f aca="false">IF(CL$4=0,0,IF(COUNTIFS(実績!$W$6:$W$505,CL$3,実績!$AI$6:$AI$505,"&lt;="&amp;$A16,実績!$AJ$6:$AJ$505,"&gt;"&amp;$A16,実績!$AK$6:$AK$505,"○")&gt;0,1,0))</f>
        <v>0</v>
      </c>
      <c r="CM16" s="39" t="n">
        <f aca="false">IF(CM$4=0,0,IF(COUNTIFS(実績!$W$6:$W$505,CM$3,実績!$AI$6:$AI$505,"&lt;="&amp;$A16,実績!$AJ$6:$AJ$505,"&gt;"&amp;$A16,実績!$AK$6:$AK$505,"○")&gt;0,1,0))</f>
        <v>0</v>
      </c>
      <c r="CN16" s="39" t="n">
        <f aca="false">IF(CN$4=0,0,IF(COUNTIFS(実績!$W$6:$W$505,CN$3,実績!$AI$6:$AI$505,"&lt;="&amp;$A16,実績!$AJ$6:$AJ$505,"&gt;"&amp;$A16,実績!$AK$6:$AK$505,"○")&gt;0,1,0))</f>
        <v>0</v>
      </c>
      <c r="CO16" s="39" t="n">
        <f aca="false">IF(CO$4=0,0,IF(COUNTIFS(実績!$W$6:$W$505,CO$3,実績!$AI$6:$AI$505,"&lt;="&amp;$A16,実績!$AJ$6:$AJ$505,"&gt;"&amp;$A16,実績!$AK$6:$AK$505,"○")&gt;0,1,0))</f>
        <v>0</v>
      </c>
      <c r="CP16" s="39" t="n">
        <f aca="false">IF(CP$4=0,0,IF(COUNTIFS(実績!$W$6:$W$505,CP$3,実績!$AI$6:$AI$505,"&lt;="&amp;$A16,実績!$AJ$6:$AJ$505,"&gt;"&amp;$A16,実績!$AK$6:$AK$505,"○")&gt;0,1,0))</f>
        <v>0</v>
      </c>
      <c r="CQ16" s="39" t="n">
        <f aca="false">IF(CQ$4=0,0,IF(COUNTIFS(実績!$W$6:$W$505,CQ$3,実績!$AI$6:$AI$505,"&lt;="&amp;$A16,実績!$AJ$6:$AJ$505,"&gt;"&amp;$A16,実績!$AK$6:$AK$505,"○")&gt;0,1,0))</f>
        <v>0</v>
      </c>
      <c r="CR16" s="39" t="n">
        <f aca="false">IF(CR$4=0,0,IF(COUNTIFS(実績!$W$6:$W$505,CR$3,実績!$AI$6:$AI$505,"&lt;="&amp;$A16,実績!$AJ$6:$AJ$505,"&gt;"&amp;$A16,実績!$AK$6:$AK$505,"○")&gt;0,1,0))</f>
        <v>0</v>
      </c>
      <c r="CS16" s="39" t="n">
        <f aca="false">IF(CS$4=0,0,IF(COUNTIFS(実績!$W$6:$W$505,CS$3,実績!$AI$6:$AI$505,"&lt;="&amp;$A16,実績!$AJ$6:$AJ$505,"&gt;"&amp;$A16,実績!$AK$6:$AK$505,"○")&gt;0,1,0))</f>
        <v>0</v>
      </c>
      <c r="CT16" s="39" t="n">
        <f aca="false">IF(CT$4=0,0,IF(COUNTIFS(実績!$W$6:$W$505,CT$3,実績!$AI$6:$AI$505,"&lt;="&amp;$A16,実績!$AJ$6:$AJ$505,"&gt;"&amp;$A16,実績!$AK$6:$AK$505,"○")&gt;0,1,0))</f>
        <v>0</v>
      </c>
      <c r="CU16" s="39" t="n">
        <f aca="false">IF(CU$4=0,0,IF(COUNTIFS(実績!$W$6:$W$505,CU$3,実績!$AI$6:$AI$505,"&lt;="&amp;$A16,実績!$AJ$6:$AJ$505,"&gt;"&amp;$A16,実績!$AK$6:$AK$505,"○")&gt;0,1,0))</f>
        <v>0</v>
      </c>
      <c r="CV16" s="39" t="n">
        <f aca="false">IF(CV$4=0,0,IF(COUNTIFS(実績!$W$6:$W$505,CV$3,実績!$AI$6:$AI$505,"&lt;="&amp;$A16,実績!$AJ$6:$AJ$505,"&gt;"&amp;$A16,実績!$AK$6:$AK$505,"○")&gt;0,1,0))</f>
        <v>0</v>
      </c>
      <c r="CW16" s="39" t="n">
        <f aca="false">IF(CW$4=0,0,IF(COUNTIFS(実績!$W$6:$W$505,CW$3,実績!$AI$6:$AI$505,"&lt;="&amp;$A16,実績!$AJ$6:$AJ$505,"&gt;"&amp;$A16,実績!$AK$6:$AK$505,"○")&gt;0,1,0))</f>
        <v>0</v>
      </c>
      <c r="CX16" s="39" t="n">
        <f aca="false">IF(CX$4=0,0,IF(COUNTIFS(実績!$W$6:$W$505,CX$3,実績!$AI$6:$AI$505,"&lt;="&amp;$A16,実績!$AJ$6:$AJ$505,"&gt;"&amp;$A16,実績!$AK$6:$AK$505,"○")&gt;0,1,0))</f>
        <v>0</v>
      </c>
      <c r="CY16" s="39" t="n">
        <f aca="false">IF(CY$4=0,0,IF(COUNTIFS(実績!$W$6:$W$505,CY$3,実績!$AI$6:$AI$505,"&lt;="&amp;$A16,実績!$AJ$6:$AJ$505,"&gt;"&amp;$A16,実績!$AK$6:$AK$505,"○")&gt;0,1,0))</f>
        <v>0</v>
      </c>
      <c r="CZ16" s="39" t="n">
        <f aca="false">IF(CZ$4=0,0,IF(COUNTIFS(実績!$W$6:$W$505,CZ$3,実績!$AI$6:$AI$505,"&lt;="&amp;$A16,実績!$AJ$6:$AJ$505,"&gt;"&amp;$A16,実績!$AK$6:$AK$505,"○")&gt;0,1,0))</f>
        <v>0</v>
      </c>
      <c r="DA16" s="39" t="n">
        <f aca="false">IF(DA$4=0,0,IF(COUNTIFS(実績!$W$6:$W$505,DA$3,実績!$AI$6:$AI$505,"&lt;="&amp;$A16,実績!$AJ$6:$AJ$505,"&gt;"&amp;$A16,実績!$AK$6:$AK$505,"○")&gt;0,1,0))</f>
        <v>0</v>
      </c>
      <c r="DB16" s="39" t="n">
        <f aca="false">IF(DB$4=0,0,IF(COUNTIFS(実績!$W$6:$W$505,DB$3,実績!$AI$6:$AI$505,"&lt;="&amp;$A16,実績!$AJ$6:$AJ$505,"&gt;"&amp;$A16,実績!$AK$6:$AK$505,"○")&gt;0,1,0))</f>
        <v>0</v>
      </c>
      <c r="DC16" s="39" t="n">
        <f aca="false">IF(DC$4=0,0,IF(COUNTIFS(実績!$W$6:$W$505,DC$3,実績!$AI$6:$AI$505,"&lt;="&amp;$A16,実績!$AJ$6:$AJ$505,"&gt;"&amp;$A16,実績!$AK$6:$AK$505,"○")&gt;0,1,0))</f>
        <v>0</v>
      </c>
      <c r="DD16" s="39" t="n">
        <f aca="false">IF(DD$4=0,0,IF(COUNTIFS(実績!$W$6:$W$505,DD$3,実績!$AI$6:$AI$505,"&lt;="&amp;$A16,実績!$AJ$6:$AJ$505,"&gt;"&amp;$A16,実績!$AK$6:$AK$505,"○")&gt;0,1,0))</f>
        <v>0</v>
      </c>
      <c r="DE16" s="39" t="n">
        <f aca="false">IF(DE$4=0,0,IF(COUNTIFS(実績!$W$6:$W$505,DE$3,実績!$AI$6:$AI$505,"&lt;="&amp;$A16,実績!$AJ$6:$AJ$505,"&gt;"&amp;$A16,実績!$AK$6:$AK$505,"○")&gt;0,1,0))</f>
        <v>0</v>
      </c>
      <c r="DF16" s="39" t="n">
        <f aca="false">IF(DF$4=0,0,IF(COUNTIFS(実績!$W$6:$W$505,DF$3,実績!$AI$6:$AI$505,"&lt;="&amp;$A16,実績!$AJ$6:$AJ$505,"&gt;"&amp;$A16,実績!$AK$6:$AK$505,"○")&gt;0,1,0))</f>
        <v>0</v>
      </c>
      <c r="DG16" s="39" t="n">
        <f aca="false">IF(DG$4=0,0,IF(COUNTIFS(実績!$W$6:$W$505,DG$3,実績!$AI$6:$AI$505,"&lt;="&amp;$A16,実績!$AJ$6:$AJ$505,"&gt;"&amp;$A16,実績!$AK$6:$AK$505,"○")&gt;0,1,0))</f>
        <v>0</v>
      </c>
      <c r="DH16" s="39" t="n">
        <f aca="false">IF(DH$4=0,0,IF(COUNTIFS(実績!$W$6:$W$505,DH$3,実績!$AI$6:$AI$505,"&lt;="&amp;$A16,実績!$AJ$6:$AJ$505,"&gt;"&amp;$A16,実績!$AK$6:$AK$505,"○")&gt;0,1,0))</f>
        <v>0</v>
      </c>
      <c r="DI16" s="39" t="n">
        <f aca="false">IF(DI$4=0,0,IF(COUNTIFS(実績!$W$6:$W$505,DI$3,実績!$AI$6:$AI$505,"&lt;="&amp;$A16,実績!$AJ$6:$AJ$505,"&gt;"&amp;$A16,実績!$AK$6:$AK$505,"○")&gt;0,1,0))</f>
        <v>0</v>
      </c>
      <c r="DJ16" s="39" t="n">
        <f aca="false">IF(DJ$4=0,0,IF(COUNTIFS(実績!$W$6:$W$505,DJ$3,実績!$AI$6:$AI$505,"&lt;="&amp;$A16,実績!$AJ$6:$AJ$505,"&gt;"&amp;$A16,実績!$AK$6:$AK$505,"○")&gt;0,1,0))</f>
        <v>0</v>
      </c>
      <c r="DK16" s="39" t="n">
        <f aca="false">IF(DK$4=0,0,IF(COUNTIFS(実績!$W$6:$W$505,DK$3,実績!$AI$6:$AI$505,"&lt;="&amp;$A16,実績!$AJ$6:$AJ$505,"&gt;"&amp;$A16,実績!$AK$6:$AK$505,"○")&gt;0,1,0))</f>
        <v>0</v>
      </c>
      <c r="DL16" s="39" t="n">
        <f aca="false">IF(DL$4=0,0,IF(COUNTIFS(実績!$W$6:$W$505,DL$3,実績!$AI$6:$AI$505,"&lt;="&amp;$A16,実績!$AJ$6:$AJ$505,"&gt;"&amp;$A16,実績!$AK$6:$AK$505,"○")&gt;0,1,0))</f>
        <v>0</v>
      </c>
      <c r="DM16" s="39" t="n">
        <f aca="false">IF(DM$4=0,0,IF(COUNTIFS(実績!$W$6:$W$505,DM$3,実績!$AI$6:$AI$505,"&lt;="&amp;$A16,実績!$AJ$6:$AJ$505,"&gt;"&amp;$A16,実績!$AK$6:$AK$505,"○")&gt;0,1,0))</f>
        <v>0</v>
      </c>
      <c r="DN16" s="39" t="n">
        <f aca="false">IF(DN$4=0,0,IF(COUNTIFS(実績!$W$6:$W$505,DN$3,実績!$AI$6:$AI$505,"&lt;="&amp;$A16,実績!$AJ$6:$AJ$505,"&gt;"&amp;$A16,実績!$AK$6:$AK$505,"○")&gt;0,1,0))</f>
        <v>0</v>
      </c>
      <c r="DO16" s="39" t="n">
        <f aca="false">IF(DO$4=0,0,IF(COUNTIFS(実績!$W$6:$W$505,DO$3,実績!$AI$6:$AI$505,"&lt;="&amp;$A16,実績!$AJ$6:$AJ$505,"&gt;"&amp;$A16,実績!$AK$6:$AK$505,"○")&gt;0,1,0))</f>
        <v>0</v>
      </c>
      <c r="DP16" s="39" t="n">
        <f aca="false">IF(DP$4=0,0,IF(COUNTIFS(実績!$W$6:$W$505,DP$3,実績!$AI$6:$AI$505,"&lt;="&amp;$A16,実績!$AJ$6:$AJ$505,"&gt;"&amp;$A16,実績!$AK$6:$AK$505,"○")&gt;0,1,0))</f>
        <v>0</v>
      </c>
      <c r="DQ16" s="39" t="n">
        <f aca="false">IF(DQ$4=0,0,IF(COUNTIFS(実績!$W$6:$W$505,DQ$3,実績!$AI$6:$AI$505,"&lt;="&amp;$A16,実績!$AJ$6:$AJ$505,"&gt;"&amp;$A16,実績!$AK$6:$AK$505,"○")&gt;0,1,0))</f>
        <v>0</v>
      </c>
      <c r="DR16" s="39" t="n">
        <f aca="false">IF(DR$4=0,0,IF(COUNTIFS(実績!$W$6:$W$505,DR$3,実績!$AI$6:$AI$505,"&lt;="&amp;$A16,実績!$AJ$6:$AJ$505,"&gt;"&amp;$A16,実績!$AK$6:$AK$505,"○")&gt;0,1,0))</f>
        <v>0</v>
      </c>
      <c r="DS16" s="39" t="n">
        <f aca="false">SUM(C16:DR16)</f>
        <v>0</v>
      </c>
      <c r="DT16" s="39" t="n">
        <f aca="false">SUMPRODUCT((実績!$C$6:$C$505="○")*ISNUMBER(実績!$AM$6:$AM$505)*(実績!$AM$6:$AM$505&lt;=$A16)*(実績!$AN$6:$AN$505&gt;$A16))</f>
        <v>0</v>
      </c>
      <c r="DU16" s="39" t="n">
        <f aca="false">SUMIF($C$2:$DR$2,"製鉄曳船",C16:DR16)</f>
        <v>0</v>
      </c>
      <c r="DV16" s="39" t="n">
        <f aca="false">SUMIF($C$2:$DR$2,"西日本海運",C16:DR16)</f>
        <v>0</v>
      </c>
    </row>
    <row r="17" customFormat="false" ht="15" hidden="false" customHeight="false" outlineLevel="0" collapsed="false">
      <c r="A17" s="0" t="n">
        <v>55</v>
      </c>
      <c r="B17" s="38" t="n">
        <f aca="false">A17/1440</f>
        <v>0.0381944444444445</v>
      </c>
      <c r="C17" s="39" t="n">
        <f aca="false">IF(C$4=0,0,IF(COUNTIFS(実績!$W$6:$W$505,C$3,実績!$AI$6:$AI$505,"&lt;="&amp;$A17,実績!$AJ$6:$AJ$505,"&gt;"&amp;$A17,実績!$AK$6:$AK$505,"○")&gt;0,1,0))</f>
        <v>0</v>
      </c>
      <c r="D17" s="39" t="n">
        <f aca="false">IF(D$4=0,0,IF(COUNTIFS(実績!$W$6:$W$505,D$3,実績!$AI$6:$AI$505,"&lt;="&amp;$A17,実績!$AJ$6:$AJ$505,"&gt;"&amp;$A17,実績!$AK$6:$AK$505,"○")&gt;0,1,0))</f>
        <v>0</v>
      </c>
      <c r="E17" s="39" t="n">
        <f aca="false">IF(E$4=0,0,IF(COUNTIFS(実績!$W$6:$W$505,E$3,実績!$AI$6:$AI$505,"&lt;="&amp;$A17,実績!$AJ$6:$AJ$505,"&gt;"&amp;$A17,実績!$AK$6:$AK$505,"○")&gt;0,1,0))</f>
        <v>0</v>
      </c>
      <c r="F17" s="39" t="n">
        <f aca="false">IF(F$4=0,0,IF(COUNTIFS(実績!$W$6:$W$505,F$3,実績!$AI$6:$AI$505,"&lt;="&amp;$A17,実績!$AJ$6:$AJ$505,"&gt;"&amp;$A17,実績!$AK$6:$AK$505,"○")&gt;0,1,0))</f>
        <v>0</v>
      </c>
      <c r="G17" s="39" t="n">
        <f aca="false">IF(G$4=0,0,IF(COUNTIFS(実績!$W$6:$W$505,G$3,実績!$AI$6:$AI$505,"&lt;="&amp;$A17,実績!$AJ$6:$AJ$505,"&gt;"&amp;$A17,実績!$AK$6:$AK$505,"○")&gt;0,1,0))</f>
        <v>0</v>
      </c>
      <c r="H17" s="39" t="n">
        <f aca="false">IF(H$4=0,0,IF(COUNTIFS(実績!$W$6:$W$505,H$3,実績!$AI$6:$AI$505,"&lt;="&amp;$A17,実績!$AJ$6:$AJ$505,"&gt;"&amp;$A17,実績!$AK$6:$AK$505,"○")&gt;0,1,0))</f>
        <v>0</v>
      </c>
      <c r="I17" s="39" t="n">
        <f aca="false">IF(I$4=0,0,IF(COUNTIFS(実績!$W$6:$W$505,I$3,実績!$AI$6:$AI$505,"&lt;="&amp;$A17,実績!$AJ$6:$AJ$505,"&gt;"&amp;$A17,実績!$AK$6:$AK$505,"○")&gt;0,1,0))</f>
        <v>0</v>
      </c>
      <c r="J17" s="39" t="n">
        <f aca="false">IF(J$4=0,0,IF(COUNTIFS(実績!$W$6:$W$505,J$3,実績!$AI$6:$AI$505,"&lt;="&amp;$A17,実績!$AJ$6:$AJ$505,"&gt;"&amp;$A17,実績!$AK$6:$AK$505,"○")&gt;0,1,0))</f>
        <v>0</v>
      </c>
      <c r="K17" s="39" t="n">
        <f aca="false">IF(K$4=0,0,IF(COUNTIFS(実績!$W$6:$W$505,K$3,実績!$AI$6:$AI$505,"&lt;="&amp;$A17,実績!$AJ$6:$AJ$505,"&gt;"&amp;$A17,実績!$AK$6:$AK$505,"○")&gt;0,1,0))</f>
        <v>0</v>
      </c>
      <c r="L17" s="39" t="n">
        <f aca="false">IF(L$4=0,0,IF(COUNTIFS(実績!$W$6:$W$505,L$3,実績!$AI$6:$AI$505,"&lt;="&amp;$A17,実績!$AJ$6:$AJ$505,"&gt;"&amp;$A17,実績!$AK$6:$AK$505,"○")&gt;0,1,0))</f>
        <v>0</v>
      </c>
      <c r="M17" s="39" t="n">
        <f aca="false">IF(M$4=0,0,IF(COUNTIFS(実績!$W$6:$W$505,M$3,実績!$AI$6:$AI$505,"&lt;="&amp;$A17,実績!$AJ$6:$AJ$505,"&gt;"&amp;$A17,実績!$AK$6:$AK$505,"○")&gt;0,1,0))</f>
        <v>0</v>
      </c>
      <c r="N17" s="39" t="n">
        <f aca="false">IF(N$4=0,0,IF(COUNTIFS(実績!$W$6:$W$505,N$3,実績!$AI$6:$AI$505,"&lt;="&amp;$A17,実績!$AJ$6:$AJ$505,"&gt;"&amp;$A17,実績!$AK$6:$AK$505,"○")&gt;0,1,0))</f>
        <v>0</v>
      </c>
      <c r="O17" s="39" t="n">
        <f aca="false">IF(O$4=0,0,IF(COUNTIFS(実績!$W$6:$W$505,O$3,実績!$AI$6:$AI$505,"&lt;="&amp;$A17,実績!$AJ$6:$AJ$505,"&gt;"&amp;$A17,実績!$AK$6:$AK$505,"○")&gt;0,1,0))</f>
        <v>0</v>
      </c>
      <c r="P17" s="39" t="n">
        <f aca="false">IF(P$4=0,0,IF(COUNTIFS(実績!$W$6:$W$505,P$3,実績!$AI$6:$AI$505,"&lt;="&amp;$A17,実績!$AJ$6:$AJ$505,"&gt;"&amp;$A17,実績!$AK$6:$AK$505,"○")&gt;0,1,0))</f>
        <v>0</v>
      </c>
      <c r="Q17" s="39" t="n">
        <f aca="false">IF(Q$4=0,0,IF(COUNTIFS(実績!$W$6:$W$505,Q$3,実績!$AI$6:$AI$505,"&lt;="&amp;$A17,実績!$AJ$6:$AJ$505,"&gt;"&amp;$A17,実績!$AK$6:$AK$505,"○")&gt;0,1,0))</f>
        <v>0</v>
      </c>
      <c r="R17" s="39" t="n">
        <f aca="false">IF(R$4=0,0,IF(COUNTIFS(実績!$W$6:$W$505,R$3,実績!$AI$6:$AI$505,"&lt;="&amp;$A17,実績!$AJ$6:$AJ$505,"&gt;"&amp;$A17,実績!$AK$6:$AK$505,"○")&gt;0,1,0))</f>
        <v>0</v>
      </c>
      <c r="S17" s="39" t="n">
        <f aca="false">IF(S$4=0,0,IF(COUNTIFS(実績!$W$6:$W$505,S$3,実績!$AI$6:$AI$505,"&lt;="&amp;$A17,実績!$AJ$6:$AJ$505,"&gt;"&amp;$A17,実績!$AK$6:$AK$505,"○")&gt;0,1,0))</f>
        <v>0</v>
      </c>
      <c r="T17" s="39" t="n">
        <f aca="false">IF(T$4=0,0,IF(COUNTIFS(実績!$W$6:$W$505,T$3,実績!$AI$6:$AI$505,"&lt;="&amp;$A17,実績!$AJ$6:$AJ$505,"&gt;"&amp;$A17,実績!$AK$6:$AK$505,"○")&gt;0,1,0))</f>
        <v>0</v>
      </c>
      <c r="U17" s="39" t="n">
        <f aca="false">IF(U$4=0,0,IF(COUNTIFS(実績!$W$6:$W$505,U$3,実績!$AI$6:$AI$505,"&lt;="&amp;$A17,実績!$AJ$6:$AJ$505,"&gt;"&amp;$A17,実績!$AK$6:$AK$505,"○")&gt;0,1,0))</f>
        <v>0</v>
      </c>
      <c r="V17" s="39" t="n">
        <f aca="false">IF(V$4=0,0,IF(COUNTIFS(実績!$W$6:$W$505,V$3,実績!$AI$6:$AI$505,"&lt;="&amp;$A17,実績!$AJ$6:$AJ$505,"&gt;"&amp;$A17,実績!$AK$6:$AK$505,"○")&gt;0,1,0))</f>
        <v>0</v>
      </c>
      <c r="W17" s="39" t="n">
        <f aca="false">IF(W$4=0,0,IF(COUNTIFS(実績!$W$6:$W$505,W$3,実績!$AI$6:$AI$505,"&lt;="&amp;$A17,実績!$AJ$6:$AJ$505,"&gt;"&amp;$A17,実績!$AK$6:$AK$505,"○")&gt;0,1,0))</f>
        <v>0</v>
      </c>
      <c r="X17" s="39" t="n">
        <f aca="false">IF(X$4=0,0,IF(COUNTIFS(実績!$W$6:$W$505,X$3,実績!$AI$6:$AI$505,"&lt;="&amp;$A17,実績!$AJ$6:$AJ$505,"&gt;"&amp;$A17,実績!$AK$6:$AK$505,"○")&gt;0,1,0))</f>
        <v>0</v>
      </c>
      <c r="Y17" s="39" t="n">
        <f aca="false">IF(Y$4=0,0,IF(COUNTIFS(実績!$W$6:$W$505,Y$3,実績!$AI$6:$AI$505,"&lt;="&amp;$A17,実績!$AJ$6:$AJ$505,"&gt;"&amp;$A17,実績!$AK$6:$AK$505,"○")&gt;0,1,0))</f>
        <v>0</v>
      </c>
      <c r="Z17" s="39" t="n">
        <f aca="false">IF(Z$4=0,0,IF(COUNTIFS(実績!$W$6:$W$505,Z$3,実績!$AI$6:$AI$505,"&lt;="&amp;$A17,実績!$AJ$6:$AJ$505,"&gt;"&amp;$A17,実績!$AK$6:$AK$505,"○")&gt;0,1,0))</f>
        <v>0</v>
      </c>
      <c r="AA17" s="39" t="n">
        <f aca="false">IF(AA$4=0,0,IF(COUNTIFS(実績!$W$6:$W$505,AA$3,実績!$AI$6:$AI$505,"&lt;="&amp;$A17,実績!$AJ$6:$AJ$505,"&gt;"&amp;$A17,実績!$AK$6:$AK$505,"○")&gt;0,1,0))</f>
        <v>0</v>
      </c>
      <c r="AB17" s="39" t="n">
        <f aca="false">IF(AB$4=0,0,IF(COUNTIFS(実績!$W$6:$W$505,AB$3,実績!$AI$6:$AI$505,"&lt;="&amp;$A17,実績!$AJ$6:$AJ$505,"&gt;"&amp;$A17,実績!$AK$6:$AK$505,"○")&gt;0,1,0))</f>
        <v>0</v>
      </c>
      <c r="AC17" s="39" t="n">
        <f aca="false">IF(AC$4=0,0,IF(COUNTIFS(実績!$W$6:$W$505,AC$3,実績!$AI$6:$AI$505,"&lt;="&amp;$A17,実績!$AJ$6:$AJ$505,"&gt;"&amp;$A17,実績!$AK$6:$AK$505,"○")&gt;0,1,0))</f>
        <v>0</v>
      </c>
      <c r="AD17" s="39" t="n">
        <f aca="false">IF(AD$4=0,0,IF(COUNTIFS(実績!$W$6:$W$505,AD$3,実績!$AI$6:$AI$505,"&lt;="&amp;$A17,実績!$AJ$6:$AJ$505,"&gt;"&amp;$A17,実績!$AK$6:$AK$505,"○")&gt;0,1,0))</f>
        <v>0</v>
      </c>
      <c r="AE17" s="39" t="n">
        <f aca="false">IF(AE$4=0,0,IF(COUNTIFS(実績!$W$6:$W$505,AE$3,実績!$AI$6:$AI$505,"&lt;="&amp;$A17,実績!$AJ$6:$AJ$505,"&gt;"&amp;$A17,実績!$AK$6:$AK$505,"○")&gt;0,1,0))</f>
        <v>0</v>
      </c>
      <c r="AF17" s="39" t="n">
        <f aca="false">IF(AF$4=0,0,IF(COUNTIFS(実績!$W$6:$W$505,AF$3,実績!$AI$6:$AI$505,"&lt;="&amp;$A17,実績!$AJ$6:$AJ$505,"&gt;"&amp;$A17,実績!$AK$6:$AK$505,"○")&gt;0,1,0))</f>
        <v>0</v>
      </c>
      <c r="AG17" s="39" t="n">
        <f aca="false">IF(AG$4=0,0,IF(COUNTIFS(実績!$W$6:$W$505,AG$3,実績!$AI$6:$AI$505,"&lt;="&amp;$A17,実績!$AJ$6:$AJ$505,"&gt;"&amp;$A17,実績!$AK$6:$AK$505,"○")&gt;0,1,0))</f>
        <v>0</v>
      </c>
      <c r="AH17" s="39" t="n">
        <f aca="false">IF(AH$4=0,0,IF(COUNTIFS(実績!$W$6:$W$505,AH$3,実績!$AI$6:$AI$505,"&lt;="&amp;$A17,実績!$AJ$6:$AJ$505,"&gt;"&amp;$A17,実績!$AK$6:$AK$505,"○")&gt;0,1,0))</f>
        <v>0</v>
      </c>
      <c r="AI17" s="39" t="n">
        <f aca="false">IF(AI$4=0,0,IF(COUNTIFS(実績!$W$6:$W$505,AI$3,実績!$AI$6:$AI$505,"&lt;="&amp;$A17,実績!$AJ$6:$AJ$505,"&gt;"&amp;$A17,実績!$AK$6:$AK$505,"○")&gt;0,1,0))</f>
        <v>0</v>
      </c>
      <c r="AJ17" s="39" t="n">
        <f aca="false">IF(AJ$4=0,0,IF(COUNTIFS(実績!$W$6:$W$505,AJ$3,実績!$AI$6:$AI$505,"&lt;="&amp;$A17,実績!$AJ$6:$AJ$505,"&gt;"&amp;$A17,実績!$AK$6:$AK$505,"○")&gt;0,1,0))</f>
        <v>0</v>
      </c>
      <c r="AK17" s="39" t="n">
        <f aca="false">IF(AK$4=0,0,IF(COUNTIFS(実績!$W$6:$W$505,AK$3,実績!$AI$6:$AI$505,"&lt;="&amp;$A17,実績!$AJ$6:$AJ$505,"&gt;"&amp;$A17,実績!$AK$6:$AK$505,"○")&gt;0,1,0))</f>
        <v>0</v>
      </c>
      <c r="AL17" s="39" t="n">
        <f aca="false">IF(AL$4=0,0,IF(COUNTIFS(実績!$W$6:$W$505,AL$3,実績!$AI$6:$AI$505,"&lt;="&amp;$A17,実績!$AJ$6:$AJ$505,"&gt;"&amp;$A17,実績!$AK$6:$AK$505,"○")&gt;0,1,0))</f>
        <v>0</v>
      </c>
      <c r="AM17" s="39" t="n">
        <f aca="false">IF(AM$4=0,0,IF(COUNTIFS(実績!$W$6:$W$505,AM$3,実績!$AI$6:$AI$505,"&lt;="&amp;$A17,実績!$AJ$6:$AJ$505,"&gt;"&amp;$A17,実績!$AK$6:$AK$505,"○")&gt;0,1,0))</f>
        <v>0</v>
      </c>
      <c r="AN17" s="39" t="n">
        <f aca="false">IF(AN$4=0,0,IF(COUNTIFS(実績!$W$6:$W$505,AN$3,実績!$AI$6:$AI$505,"&lt;="&amp;$A17,実績!$AJ$6:$AJ$505,"&gt;"&amp;$A17,実績!$AK$6:$AK$505,"○")&gt;0,1,0))</f>
        <v>0</v>
      </c>
      <c r="AO17" s="39" t="n">
        <f aca="false">IF(AO$4=0,0,IF(COUNTIFS(実績!$W$6:$W$505,AO$3,実績!$AI$6:$AI$505,"&lt;="&amp;$A17,実績!$AJ$6:$AJ$505,"&gt;"&amp;$A17,実績!$AK$6:$AK$505,"○")&gt;0,1,0))</f>
        <v>0</v>
      </c>
      <c r="AP17" s="39" t="n">
        <f aca="false">IF(AP$4=0,0,IF(COUNTIFS(実績!$W$6:$W$505,AP$3,実績!$AI$6:$AI$505,"&lt;="&amp;$A17,実績!$AJ$6:$AJ$505,"&gt;"&amp;$A17,実績!$AK$6:$AK$505,"○")&gt;0,1,0))</f>
        <v>0</v>
      </c>
      <c r="AQ17" s="39" t="n">
        <f aca="false">IF(AQ$4=0,0,IF(COUNTIFS(実績!$W$6:$W$505,AQ$3,実績!$AI$6:$AI$505,"&lt;="&amp;$A17,実績!$AJ$6:$AJ$505,"&gt;"&amp;$A17,実績!$AK$6:$AK$505,"○")&gt;0,1,0))</f>
        <v>0</v>
      </c>
      <c r="AR17" s="39" t="n">
        <f aca="false">IF(AR$4=0,0,IF(COUNTIFS(実績!$W$6:$W$505,AR$3,実績!$AI$6:$AI$505,"&lt;="&amp;$A17,実績!$AJ$6:$AJ$505,"&gt;"&amp;$A17,実績!$AK$6:$AK$505,"○")&gt;0,1,0))</f>
        <v>0</v>
      </c>
      <c r="AS17" s="39" t="n">
        <f aca="false">IF(AS$4=0,0,IF(COUNTIFS(実績!$W$6:$W$505,AS$3,実績!$AI$6:$AI$505,"&lt;="&amp;$A17,実績!$AJ$6:$AJ$505,"&gt;"&amp;$A17,実績!$AK$6:$AK$505,"○")&gt;0,1,0))</f>
        <v>0</v>
      </c>
      <c r="AT17" s="39" t="n">
        <f aca="false">IF(AT$4=0,0,IF(COUNTIFS(実績!$W$6:$W$505,AT$3,実績!$AI$6:$AI$505,"&lt;="&amp;$A17,実績!$AJ$6:$AJ$505,"&gt;"&amp;$A17,実績!$AK$6:$AK$505,"○")&gt;0,1,0))</f>
        <v>0</v>
      </c>
      <c r="AU17" s="39" t="n">
        <f aca="false">IF(AU$4=0,0,IF(COUNTIFS(実績!$W$6:$W$505,AU$3,実績!$AI$6:$AI$505,"&lt;="&amp;$A17,実績!$AJ$6:$AJ$505,"&gt;"&amp;$A17,実績!$AK$6:$AK$505,"○")&gt;0,1,0))</f>
        <v>0</v>
      </c>
      <c r="AV17" s="39" t="n">
        <f aca="false">IF(AV$4=0,0,IF(COUNTIFS(実績!$W$6:$W$505,AV$3,実績!$AI$6:$AI$505,"&lt;="&amp;$A17,実績!$AJ$6:$AJ$505,"&gt;"&amp;$A17,実績!$AK$6:$AK$505,"○")&gt;0,1,0))</f>
        <v>0</v>
      </c>
      <c r="AW17" s="39" t="n">
        <f aca="false">IF(AW$4=0,0,IF(COUNTIFS(実績!$W$6:$W$505,AW$3,実績!$AI$6:$AI$505,"&lt;="&amp;$A17,実績!$AJ$6:$AJ$505,"&gt;"&amp;$A17,実績!$AK$6:$AK$505,"○")&gt;0,1,0))</f>
        <v>0</v>
      </c>
      <c r="AX17" s="39" t="n">
        <f aca="false">IF(AX$4=0,0,IF(COUNTIFS(実績!$W$6:$W$505,AX$3,実績!$AI$6:$AI$505,"&lt;="&amp;$A17,実績!$AJ$6:$AJ$505,"&gt;"&amp;$A17,実績!$AK$6:$AK$505,"○")&gt;0,1,0))</f>
        <v>0</v>
      </c>
      <c r="AY17" s="39" t="n">
        <f aca="false">IF(AY$4=0,0,IF(COUNTIFS(実績!$W$6:$W$505,AY$3,実績!$AI$6:$AI$505,"&lt;="&amp;$A17,実績!$AJ$6:$AJ$505,"&gt;"&amp;$A17,実績!$AK$6:$AK$505,"○")&gt;0,1,0))</f>
        <v>0</v>
      </c>
      <c r="AZ17" s="39" t="n">
        <f aca="false">IF(AZ$4=0,0,IF(COUNTIFS(実績!$W$6:$W$505,AZ$3,実績!$AI$6:$AI$505,"&lt;="&amp;$A17,実績!$AJ$6:$AJ$505,"&gt;"&amp;$A17,実績!$AK$6:$AK$505,"○")&gt;0,1,0))</f>
        <v>0</v>
      </c>
      <c r="BA17" s="39" t="n">
        <f aca="false">IF(BA$4=0,0,IF(COUNTIFS(実績!$W$6:$W$505,BA$3,実績!$AI$6:$AI$505,"&lt;="&amp;$A17,実績!$AJ$6:$AJ$505,"&gt;"&amp;$A17,実績!$AK$6:$AK$505,"○")&gt;0,1,0))</f>
        <v>0</v>
      </c>
      <c r="BB17" s="39" t="n">
        <f aca="false">IF(BB$4=0,0,IF(COUNTIFS(実績!$W$6:$W$505,BB$3,実績!$AI$6:$AI$505,"&lt;="&amp;$A17,実績!$AJ$6:$AJ$505,"&gt;"&amp;$A17,実績!$AK$6:$AK$505,"○")&gt;0,1,0))</f>
        <v>0</v>
      </c>
      <c r="BC17" s="39" t="n">
        <f aca="false">IF(BC$4=0,0,IF(COUNTIFS(実績!$W$6:$W$505,BC$3,実績!$AI$6:$AI$505,"&lt;="&amp;$A17,実績!$AJ$6:$AJ$505,"&gt;"&amp;$A17,実績!$AK$6:$AK$505,"○")&gt;0,1,0))</f>
        <v>0</v>
      </c>
      <c r="BD17" s="39" t="n">
        <f aca="false">IF(BD$4=0,0,IF(COUNTIFS(実績!$W$6:$W$505,BD$3,実績!$AI$6:$AI$505,"&lt;="&amp;$A17,実績!$AJ$6:$AJ$505,"&gt;"&amp;$A17,実績!$AK$6:$AK$505,"○")&gt;0,1,0))</f>
        <v>0</v>
      </c>
      <c r="BE17" s="39" t="n">
        <f aca="false">IF(BE$4=0,0,IF(COUNTIFS(実績!$W$6:$W$505,BE$3,実績!$AI$6:$AI$505,"&lt;="&amp;$A17,実績!$AJ$6:$AJ$505,"&gt;"&amp;$A17,実績!$AK$6:$AK$505,"○")&gt;0,1,0))</f>
        <v>0</v>
      </c>
      <c r="BF17" s="39" t="n">
        <f aca="false">IF(BF$4=0,0,IF(COUNTIFS(実績!$W$6:$W$505,BF$3,実績!$AI$6:$AI$505,"&lt;="&amp;$A17,実績!$AJ$6:$AJ$505,"&gt;"&amp;$A17,実績!$AK$6:$AK$505,"○")&gt;0,1,0))</f>
        <v>0</v>
      </c>
      <c r="BG17" s="39" t="n">
        <f aca="false">IF(BG$4=0,0,IF(COUNTIFS(実績!$W$6:$W$505,BG$3,実績!$AI$6:$AI$505,"&lt;="&amp;$A17,実績!$AJ$6:$AJ$505,"&gt;"&amp;$A17,実績!$AK$6:$AK$505,"○")&gt;0,1,0))</f>
        <v>0</v>
      </c>
      <c r="BH17" s="39" t="n">
        <f aca="false">IF(BH$4=0,0,IF(COUNTIFS(実績!$W$6:$W$505,BH$3,実績!$AI$6:$AI$505,"&lt;="&amp;$A17,実績!$AJ$6:$AJ$505,"&gt;"&amp;$A17,実績!$AK$6:$AK$505,"○")&gt;0,1,0))</f>
        <v>0</v>
      </c>
      <c r="BI17" s="39" t="n">
        <f aca="false">IF(BI$4=0,0,IF(COUNTIFS(実績!$W$6:$W$505,BI$3,実績!$AI$6:$AI$505,"&lt;="&amp;$A17,実績!$AJ$6:$AJ$505,"&gt;"&amp;$A17,実績!$AK$6:$AK$505,"○")&gt;0,1,0))</f>
        <v>0</v>
      </c>
      <c r="BJ17" s="39" t="n">
        <f aca="false">IF(BJ$4=0,0,IF(COUNTIFS(実績!$W$6:$W$505,BJ$3,実績!$AI$6:$AI$505,"&lt;="&amp;$A17,実績!$AJ$6:$AJ$505,"&gt;"&amp;$A17,実績!$AK$6:$AK$505,"○")&gt;0,1,0))</f>
        <v>0</v>
      </c>
      <c r="BK17" s="39" t="n">
        <f aca="false">IF(BK$4=0,0,IF(COUNTIFS(実績!$W$6:$W$505,BK$3,実績!$AI$6:$AI$505,"&lt;="&amp;$A17,実績!$AJ$6:$AJ$505,"&gt;"&amp;$A17,実績!$AK$6:$AK$505,"○")&gt;0,1,0))</f>
        <v>0</v>
      </c>
      <c r="BL17" s="39" t="n">
        <f aca="false">IF(BL$4=0,0,IF(COUNTIFS(実績!$W$6:$W$505,BL$3,実績!$AI$6:$AI$505,"&lt;="&amp;$A17,実績!$AJ$6:$AJ$505,"&gt;"&amp;$A17,実績!$AK$6:$AK$505,"○")&gt;0,1,0))</f>
        <v>0</v>
      </c>
      <c r="BM17" s="39" t="n">
        <f aca="false">IF(BM$4=0,0,IF(COUNTIFS(実績!$W$6:$W$505,BM$3,実績!$AI$6:$AI$505,"&lt;="&amp;$A17,実績!$AJ$6:$AJ$505,"&gt;"&amp;$A17,実績!$AK$6:$AK$505,"○")&gt;0,1,0))</f>
        <v>0</v>
      </c>
      <c r="BN17" s="39" t="n">
        <f aca="false">IF(BN$4=0,0,IF(COUNTIFS(実績!$W$6:$W$505,BN$3,実績!$AI$6:$AI$505,"&lt;="&amp;$A17,実績!$AJ$6:$AJ$505,"&gt;"&amp;$A17,実績!$AK$6:$AK$505,"○")&gt;0,1,0))</f>
        <v>0</v>
      </c>
      <c r="BO17" s="39" t="n">
        <f aca="false">IF(BO$4=0,0,IF(COUNTIFS(実績!$W$6:$W$505,BO$3,実績!$AI$6:$AI$505,"&lt;="&amp;$A17,実績!$AJ$6:$AJ$505,"&gt;"&amp;$A17,実績!$AK$6:$AK$505,"○")&gt;0,1,0))</f>
        <v>0</v>
      </c>
      <c r="BP17" s="39" t="n">
        <f aca="false">IF(BP$4=0,0,IF(COUNTIFS(実績!$W$6:$W$505,BP$3,実績!$AI$6:$AI$505,"&lt;="&amp;$A17,実績!$AJ$6:$AJ$505,"&gt;"&amp;$A17,実績!$AK$6:$AK$505,"○")&gt;0,1,0))</f>
        <v>0</v>
      </c>
      <c r="BQ17" s="39" t="n">
        <f aca="false">IF(BQ$4=0,0,IF(COUNTIFS(実績!$W$6:$W$505,BQ$3,実績!$AI$6:$AI$505,"&lt;="&amp;$A17,実績!$AJ$6:$AJ$505,"&gt;"&amp;$A17,実績!$AK$6:$AK$505,"○")&gt;0,1,0))</f>
        <v>0</v>
      </c>
      <c r="BR17" s="39" t="n">
        <f aca="false">IF(BR$4=0,0,IF(COUNTIFS(実績!$W$6:$W$505,BR$3,実績!$AI$6:$AI$505,"&lt;="&amp;$A17,実績!$AJ$6:$AJ$505,"&gt;"&amp;$A17,実績!$AK$6:$AK$505,"○")&gt;0,1,0))</f>
        <v>0</v>
      </c>
      <c r="BS17" s="39" t="n">
        <f aca="false">IF(BS$4=0,0,IF(COUNTIFS(実績!$W$6:$W$505,BS$3,実績!$AI$6:$AI$505,"&lt;="&amp;$A17,実績!$AJ$6:$AJ$505,"&gt;"&amp;$A17,実績!$AK$6:$AK$505,"○")&gt;0,1,0))</f>
        <v>0</v>
      </c>
      <c r="BT17" s="39" t="n">
        <f aca="false">IF(BT$4=0,0,IF(COUNTIFS(実績!$W$6:$W$505,BT$3,実績!$AI$6:$AI$505,"&lt;="&amp;$A17,実績!$AJ$6:$AJ$505,"&gt;"&amp;$A17,実績!$AK$6:$AK$505,"○")&gt;0,1,0))</f>
        <v>0</v>
      </c>
      <c r="BU17" s="39" t="n">
        <f aca="false">IF(BU$4=0,0,IF(COUNTIFS(実績!$W$6:$W$505,BU$3,実績!$AI$6:$AI$505,"&lt;="&amp;$A17,実績!$AJ$6:$AJ$505,"&gt;"&amp;$A17,実績!$AK$6:$AK$505,"○")&gt;0,1,0))</f>
        <v>0</v>
      </c>
      <c r="BV17" s="39" t="n">
        <f aca="false">IF(BV$4=0,0,IF(COUNTIFS(実績!$W$6:$W$505,BV$3,実績!$AI$6:$AI$505,"&lt;="&amp;$A17,実績!$AJ$6:$AJ$505,"&gt;"&amp;$A17,実績!$AK$6:$AK$505,"○")&gt;0,1,0))</f>
        <v>0</v>
      </c>
      <c r="BW17" s="39" t="n">
        <f aca="false">IF(BW$4=0,0,IF(COUNTIFS(実績!$W$6:$W$505,BW$3,実績!$AI$6:$AI$505,"&lt;="&amp;$A17,実績!$AJ$6:$AJ$505,"&gt;"&amp;$A17,実績!$AK$6:$AK$505,"○")&gt;0,1,0))</f>
        <v>0</v>
      </c>
      <c r="BX17" s="39" t="n">
        <f aca="false">IF(BX$4=0,0,IF(COUNTIFS(実績!$W$6:$W$505,BX$3,実績!$AI$6:$AI$505,"&lt;="&amp;$A17,実績!$AJ$6:$AJ$505,"&gt;"&amp;$A17,実績!$AK$6:$AK$505,"○")&gt;0,1,0))</f>
        <v>0</v>
      </c>
      <c r="BY17" s="39" t="n">
        <f aca="false">IF(BY$4=0,0,IF(COUNTIFS(実績!$W$6:$W$505,BY$3,実績!$AI$6:$AI$505,"&lt;="&amp;$A17,実績!$AJ$6:$AJ$505,"&gt;"&amp;$A17,実績!$AK$6:$AK$505,"○")&gt;0,1,0))</f>
        <v>0</v>
      </c>
      <c r="BZ17" s="39" t="n">
        <f aca="false">IF(BZ$4=0,0,IF(COUNTIFS(実績!$W$6:$W$505,BZ$3,実績!$AI$6:$AI$505,"&lt;="&amp;$A17,実績!$AJ$6:$AJ$505,"&gt;"&amp;$A17,実績!$AK$6:$AK$505,"○")&gt;0,1,0))</f>
        <v>0</v>
      </c>
      <c r="CA17" s="39" t="n">
        <f aca="false">IF(CA$4=0,0,IF(COUNTIFS(実績!$W$6:$W$505,CA$3,実績!$AI$6:$AI$505,"&lt;="&amp;$A17,実績!$AJ$6:$AJ$505,"&gt;"&amp;$A17,実績!$AK$6:$AK$505,"○")&gt;0,1,0))</f>
        <v>0</v>
      </c>
      <c r="CB17" s="39" t="n">
        <f aca="false">IF(CB$4=0,0,IF(COUNTIFS(実績!$W$6:$W$505,CB$3,実績!$AI$6:$AI$505,"&lt;="&amp;$A17,実績!$AJ$6:$AJ$505,"&gt;"&amp;$A17,実績!$AK$6:$AK$505,"○")&gt;0,1,0))</f>
        <v>0</v>
      </c>
      <c r="CC17" s="39" t="n">
        <f aca="false">IF(CC$4=0,0,IF(COUNTIFS(実績!$W$6:$W$505,CC$3,実績!$AI$6:$AI$505,"&lt;="&amp;$A17,実績!$AJ$6:$AJ$505,"&gt;"&amp;$A17,実績!$AK$6:$AK$505,"○")&gt;0,1,0))</f>
        <v>0</v>
      </c>
      <c r="CD17" s="39" t="n">
        <f aca="false">IF(CD$4=0,0,IF(COUNTIFS(実績!$W$6:$W$505,CD$3,実績!$AI$6:$AI$505,"&lt;="&amp;$A17,実績!$AJ$6:$AJ$505,"&gt;"&amp;$A17,実績!$AK$6:$AK$505,"○")&gt;0,1,0))</f>
        <v>0</v>
      </c>
      <c r="CE17" s="39" t="n">
        <f aca="false">IF(CE$4=0,0,IF(COUNTIFS(実績!$W$6:$W$505,CE$3,実績!$AI$6:$AI$505,"&lt;="&amp;$A17,実績!$AJ$6:$AJ$505,"&gt;"&amp;$A17,実績!$AK$6:$AK$505,"○")&gt;0,1,0))</f>
        <v>0</v>
      </c>
      <c r="CF17" s="39" t="n">
        <f aca="false">IF(CF$4=0,0,IF(COUNTIFS(実績!$W$6:$W$505,CF$3,実績!$AI$6:$AI$505,"&lt;="&amp;$A17,実績!$AJ$6:$AJ$505,"&gt;"&amp;$A17,実績!$AK$6:$AK$505,"○")&gt;0,1,0))</f>
        <v>0</v>
      </c>
      <c r="CG17" s="39" t="n">
        <f aca="false">IF(CG$4=0,0,IF(COUNTIFS(実績!$W$6:$W$505,CG$3,実績!$AI$6:$AI$505,"&lt;="&amp;$A17,実績!$AJ$6:$AJ$505,"&gt;"&amp;$A17,実績!$AK$6:$AK$505,"○")&gt;0,1,0))</f>
        <v>0</v>
      </c>
      <c r="CH17" s="39" t="n">
        <f aca="false">IF(CH$4=0,0,IF(COUNTIFS(実績!$W$6:$W$505,CH$3,実績!$AI$6:$AI$505,"&lt;="&amp;$A17,実績!$AJ$6:$AJ$505,"&gt;"&amp;$A17,実績!$AK$6:$AK$505,"○")&gt;0,1,0))</f>
        <v>0</v>
      </c>
      <c r="CI17" s="39" t="n">
        <f aca="false">IF(CI$4=0,0,IF(COUNTIFS(実績!$W$6:$W$505,CI$3,実績!$AI$6:$AI$505,"&lt;="&amp;$A17,実績!$AJ$6:$AJ$505,"&gt;"&amp;$A17,実績!$AK$6:$AK$505,"○")&gt;0,1,0))</f>
        <v>0</v>
      </c>
      <c r="CJ17" s="39" t="n">
        <f aca="false">IF(CJ$4=0,0,IF(COUNTIFS(実績!$W$6:$W$505,CJ$3,実績!$AI$6:$AI$505,"&lt;="&amp;$A17,実績!$AJ$6:$AJ$505,"&gt;"&amp;$A17,実績!$AK$6:$AK$505,"○")&gt;0,1,0))</f>
        <v>0</v>
      </c>
      <c r="CK17" s="39" t="n">
        <f aca="false">IF(CK$4=0,0,IF(COUNTIFS(実績!$W$6:$W$505,CK$3,実績!$AI$6:$AI$505,"&lt;="&amp;$A17,実績!$AJ$6:$AJ$505,"&gt;"&amp;$A17,実績!$AK$6:$AK$505,"○")&gt;0,1,0))</f>
        <v>0</v>
      </c>
      <c r="CL17" s="39" t="n">
        <f aca="false">IF(CL$4=0,0,IF(COUNTIFS(実績!$W$6:$W$505,CL$3,実績!$AI$6:$AI$505,"&lt;="&amp;$A17,実績!$AJ$6:$AJ$505,"&gt;"&amp;$A17,実績!$AK$6:$AK$505,"○")&gt;0,1,0))</f>
        <v>0</v>
      </c>
      <c r="CM17" s="39" t="n">
        <f aca="false">IF(CM$4=0,0,IF(COUNTIFS(実績!$W$6:$W$505,CM$3,実績!$AI$6:$AI$505,"&lt;="&amp;$A17,実績!$AJ$6:$AJ$505,"&gt;"&amp;$A17,実績!$AK$6:$AK$505,"○")&gt;0,1,0))</f>
        <v>0</v>
      </c>
      <c r="CN17" s="39" t="n">
        <f aca="false">IF(CN$4=0,0,IF(COUNTIFS(実績!$W$6:$W$505,CN$3,実績!$AI$6:$AI$505,"&lt;="&amp;$A17,実績!$AJ$6:$AJ$505,"&gt;"&amp;$A17,実績!$AK$6:$AK$505,"○")&gt;0,1,0))</f>
        <v>0</v>
      </c>
      <c r="CO17" s="39" t="n">
        <f aca="false">IF(CO$4=0,0,IF(COUNTIFS(実績!$W$6:$W$505,CO$3,実績!$AI$6:$AI$505,"&lt;="&amp;$A17,実績!$AJ$6:$AJ$505,"&gt;"&amp;$A17,実績!$AK$6:$AK$505,"○")&gt;0,1,0))</f>
        <v>0</v>
      </c>
      <c r="CP17" s="39" t="n">
        <f aca="false">IF(CP$4=0,0,IF(COUNTIFS(実績!$W$6:$W$505,CP$3,実績!$AI$6:$AI$505,"&lt;="&amp;$A17,実績!$AJ$6:$AJ$505,"&gt;"&amp;$A17,実績!$AK$6:$AK$505,"○")&gt;0,1,0))</f>
        <v>0</v>
      </c>
      <c r="CQ17" s="39" t="n">
        <f aca="false">IF(CQ$4=0,0,IF(COUNTIFS(実績!$W$6:$W$505,CQ$3,実績!$AI$6:$AI$505,"&lt;="&amp;$A17,実績!$AJ$6:$AJ$505,"&gt;"&amp;$A17,実績!$AK$6:$AK$505,"○")&gt;0,1,0))</f>
        <v>0</v>
      </c>
      <c r="CR17" s="39" t="n">
        <f aca="false">IF(CR$4=0,0,IF(COUNTIFS(実績!$W$6:$W$505,CR$3,実績!$AI$6:$AI$505,"&lt;="&amp;$A17,実績!$AJ$6:$AJ$505,"&gt;"&amp;$A17,実績!$AK$6:$AK$505,"○")&gt;0,1,0))</f>
        <v>0</v>
      </c>
      <c r="CS17" s="39" t="n">
        <f aca="false">IF(CS$4=0,0,IF(COUNTIFS(実績!$W$6:$W$505,CS$3,実績!$AI$6:$AI$505,"&lt;="&amp;$A17,実績!$AJ$6:$AJ$505,"&gt;"&amp;$A17,実績!$AK$6:$AK$505,"○")&gt;0,1,0))</f>
        <v>0</v>
      </c>
      <c r="CT17" s="39" t="n">
        <f aca="false">IF(CT$4=0,0,IF(COUNTIFS(実績!$W$6:$W$505,CT$3,実績!$AI$6:$AI$505,"&lt;="&amp;$A17,実績!$AJ$6:$AJ$505,"&gt;"&amp;$A17,実績!$AK$6:$AK$505,"○")&gt;0,1,0))</f>
        <v>0</v>
      </c>
      <c r="CU17" s="39" t="n">
        <f aca="false">IF(CU$4=0,0,IF(COUNTIFS(実績!$W$6:$W$505,CU$3,実績!$AI$6:$AI$505,"&lt;="&amp;$A17,実績!$AJ$6:$AJ$505,"&gt;"&amp;$A17,実績!$AK$6:$AK$505,"○")&gt;0,1,0))</f>
        <v>0</v>
      </c>
      <c r="CV17" s="39" t="n">
        <f aca="false">IF(CV$4=0,0,IF(COUNTIFS(実績!$W$6:$W$505,CV$3,実績!$AI$6:$AI$505,"&lt;="&amp;$A17,実績!$AJ$6:$AJ$505,"&gt;"&amp;$A17,実績!$AK$6:$AK$505,"○")&gt;0,1,0))</f>
        <v>0</v>
      </c>
      <c r="CW17" s="39" t="n">
        <f aca="false">IF(CW$4=0,0,IF(COUNTIFS(実績!$W$6:$W$505,CW$3,実績!$AI$6:$AI$505,"&lt;="&amp;$A17,実績!$AJ$6:$AJ$505,"&gt;"&amp;$A17,実績!$AK$6:$AK$505,"○")&gt;0,1,0))</f>
        <v>0</v>
      </c>
      <c r="CX17" s="39" t="n">
        <f aca="false">IF(CX$4=0,0,IF(COUNTIFS(実績!$W$6:$W$505,CX$3,実績!$AI$6:$AI$505,"&lt;="&amp;$A17,実績!$AJ$6:$AJ$505,"&gt;"&amp;$A17,実績!$AK$6:$AK$505,"○")&gt;0,1,0))</f>
        <v>0</v>
      </c>
      <c r="CY17" s="39" t="n">
        <f aca="false">IF(CY$4=0,0,IF(COUNTIFS(実績!$W$6:$W$505,CY$3,実績!$AI$6:$AI$505,"&lt;="&amp;$A17,実績!$AJ$6:$AJ$505,"&gt;"&amp;$A17,実績!$AK$6:$AK$505,"○")&gt;0,1,0))</f>
        <v>0</v>
      </c>
      <c r="CZ17" s="39" t="n">
        <f aca="false">IF(CZ$4=0,0,IF(COUNTIFS(実績!$W$6:$W$505,CZ$3,実績!$AI$6:$AI$505,"&lt;="&amp;$A17,実績!$AJ$6:$AJ$505,"&gt;"&amp;$A17,実績!$AK$6:$AK$505,"○")&gt;0,1,0))</f>
        <v>0</v>
      </c>
      <c r="DA17" s="39" t="n">
        <f aca="false">IF(DA$4=0,0,IF(COUNTIFS(実績!$W$6:$W$505,DA$3,実績!$AI$6:$AI$505,"&lt;="&amp;$A17,実績!$AJ$6:$AJ$505,"&gt;"&amp;$A17,実績!$AK$6:$AK$505,"○")&gt;0,1,0))</f>
        <v>0</v>
      </c>
      <c r="DB17" s="39" t="n">
        <f aca="false">IF(DB$4=0,0,IF(COUNTIFS(実績!$W$6:$W$505,DB$3,実績!$AI$6:$AI$505,"&lt;="&amp;$A17,実績!$AJ$6:$AJ$505,"&gt;"&amp;$A17,実績!$AK$6:$AK$505,"○")&gt;0,1,0))</f>
        <v>0</v>
      </c>
      <c r="DC17" s="39" t="n">
        <f aca="false">IF(DC$4=0,0,IF(COUNTIFS(実績!$W$6:$W$505,DC$3,実績!$AI$6:$AI$505,"&lt;="&amp;$A17,実績!$AJ$6:$AJ$505,"&gt;"&amp;$A17,実績!$AK$6:$AK$505,"○")&gt;0,1,0))</f>
        <v>0</v>
      </c>
      <c r="DD17" s="39" t="n">
        <f aca="false">IF(DD$4=0,0,IF(COUNTIFS(実績!$W$6:$W$505,DD$3,実績!$AI$6:$AI$505,"&lt;="&amp;$A17,実績!$AJ$6:$AJ$505,"&gt;"&amp;$A17,実績!$AK$6:$AK$505,"○")&gt;0,1,0))</f>
        <v>0</v>
      </c>
      <c r="DE17" s="39" t="n">
        <f aca="false">IF(DE$4=0,0,IF(COUNTIFS(実績!$W$6:$W$505,DE$3,実績!$AI$6:$AI$505,"&lt;="&amp;$A17,実績!$AJ$6:$AJ$505,"&gt;"&amp;$A17,実績!$AK$6:$AK$505,"○")&gt;0,1,0))</f>
        <v>0</v>
      </c>
      <c r="DF17" s="39" t="n">
        <f aca="false">IF(DF$4=0,0,IF(COUNTIFS(実績!$W$6:$W$505,DF$3,実績!$AI$6:$AI$505,"&lt;="&amp;$A17,実績!$AJ$6:$AJ$505,"&gt;"&amp;$A17,実績!$AK$6:$AK$505,"○")&gt;0,1,0))</f>
        <v>0</v>
      </c>
      <c r="DG17" s="39" t="n">
        <f aca="false">IF(DG$4=0,0,IF(COUNTIFS(実績!$W$6:$W$505,DG$3,実績!$AI$6:$AI$505,"&lt;="&amp;$A17,実績!$AJ$6:$AJ$505,"&gt;"&amp;$A17,実績!$AK$6:$AK$505,"○")&gt;0,1,0))</f>
        <v>0</v>
      </c>
      <c r="DH17" s="39" t="n">
        <f aca="false">IF(DH$4=0,0,IF(COUNTIFS(実績!$W$6:$W$505,DH$3,実績!$AI$6:$AI$505,"&lt;="&amp;$A17,実績!$AJ$6:$AJ$505,"&gt;"&amp;$A17,実績!$AK$6:$AK$505,"○")&gt;0,1,0))</f>
        <v>0</v>
      </c>
      <c r="DI17" s="39" t="n">
        <f aca="false">IF(DI$4=0,0,IF(COUNTIFS(実績!$W$6:$W$505,DI$3,実績!$AI$6:$AI$505,"&lt;="&amp;$A17,実績!$AJ$6:$AJ$505,"&gt;"&amp;$A17,実績!$AK$6:$AK$505,"○")&gt;0,1,0))</f>
        <v>0</v>
      </c>
      <c r="DJ17" s="39" t="n">
        <f aca="false">IF(DJ$4=0,0,IF(COUNTIFS(実績!$W$6:$W$505,DJ$3,実績!$AI$6:$AI$505,"&lt;="&amp;$A17,実績!$AJ$6:$AJ$505,"&gt;"&amp;$A17,実績!$AK$6:$AK$505,"○")&gt;0,1,0))</f>
        <v>0</v>
      </c>
      <c r="DK17" s="39" t="n">
        <f aca="false">IF(DK$4=0,0,IF(COUNTIFS(実績!$W$6:$W$505,DK$3,実績!$AI$6:$AI$505,"&lt;="&amp;$A17,実績!$AJ$6:$AJ$505,"&gt;"&amp;$A17,実績!$AK$6:$AK$505,"○")&gt;0,1,0))</f>
        <v>0</v>
      </c>
      <c r="DL17" s="39" t="n">
        <f aca="false">IF(DL$4=0,0,IF(COUNTIFS(実績!$W$6:$W$505,DL$3,実績!$AI$6:$AI$505,"&lt;="&amp;$A17,実績!$AJ$6:$AJ$505,"&gt;"&amp;$A17,実績!$AK$6:$AK$505,"○")&gt;0,1,0))</f>
        <v>0</v>
      </c>
      <c r="DM17" s="39" t="n">
        <f aca="false">IF(DM$4=0,0,IF(COUNTIFS(実績!$W$6:$W$505,DM$3,実績!$AI$6:$AI$505,"&lt;="&amp;$A17,実績!$AJ$6:$AJ$505,"&gt;"&amp;$A17,実績!$AK$6:$AK$505,"○")&gt;0,1,0))</f>
        <v>0</v>
      </c>
      <c r="DN17" s="39" t="n">
        <f aca="false">IF(DN$4=0,0,IF(COUNTIFS(実績!$W$6:$W$505,DN$3,実績!$AI$6:$AI$505,"&lt;="&amp;$A17,実績!$AJ$6:$AJ$505,"&gt;"&amp;$A17,実績!$AK$6:$AK$505,"○")&gt;0,1,0))</f>
        <v>0</v>
      </c>
      <c r="DO17" s="39" t="n">
        <f aca="false">IF(DO$4=0,0,IF(COUNTIFS(実績!$W$6:$W$505,DO$3,実績!$AI$6:$AI$505,"&lt;="&amp;$A17,実績!$AJ$6:$AJ$505,"&gt;"&amp;$A17,実績!$AK$6:$AK$505,"○")&gt;0,1,0))</f>
        <v>0</v>
      </c>
      <c r="DP17" s="39" t="n">
        <f aca="false">IF(DP$4=0,0,IF(COUNTIFS(実績!$W$6:$W$505,DP$3,実績!$AI$6:$AI$505,"&lt;="&amp;$A17,実績!$AJ$6:$AJ$505,"&gt;"&amp;$A17,実績!$AK$6:$AK$505,"○")&gt;0,1,0))</f>
        <v>0</v>
      </c>
      <c r="DQ17" s="39" t="n">
        <f aca="false">IF(DQ$4=0,0,IF(COUNTIFS(実績!$W$6:$W$505,DQ$3,実績!$AI$6:$AI$505,"&lt;="&amp;$A17,実績!$AJ$6:$AJ$505,"&gt;"&amp;$A17,実績!$AK$6:$AK$505,"○")&gt;0,1,0))</f>
        <v>0</v>
      </c>
      <c r="DR17" s="39" t="n">
        <f aca="false">IF(DR$4=0,0,IF(COUNTIFS(実績!$W$6:$W$505,DR$3,実績!$AI$6:$AI$505,"&lt;="&amp;$A17,実績!$AJ$6:$AJ$505,"&gt;"&amp;$A17,実績!$AK$6:$AK$505,"○")&gt;0,1,0))</f>
        <v>0</v>
      </c>
      <c r="DS17" s="39" t="n">
        <f aca="false">SUM(C17:DR17)</f>
        <v>0</v>
      </c>
      <c r="DT17" s="39" t="n">
        <f aca="false">SUMPRODUCT((実績!$C$6:$C$505="○")*ISNUMBER(実績!$AM$6:$AM$505)*(実績!$AM$6:$AM$505&lt;=$A17)*(実績!$AN$6:$AN$505&gt;$A17))</f>
        <v>0</v>
      </c>
      <c r="DU17" s="39" t="n">
        <f aca="false">SUMIF($C$2:$DR$2,"製鉄曳船",C17:DR17)</f>
        <v>0</v>
      </c>
      <c r="DV17" s="39" t="n">
        <f aca="false">SUMIF($C$2:$DR$2,"西日本海運",C17:DR17)</f>
        <v>0</v>
      </c>
    </row>
    <row r="18" customFormat="false" ht="15" hidden="false" customHeight="false" outlineLevel="0" collapsed="false">
      <c r="A18" s="0" t="n">
        <v>60</v>
      </c>
      <c r="B18" s="38" t="n">
        <f aca="false">A18/1440</f>
        <v>0.0416666666666667</v>
      </c>
      <c r="C18" s="39" t="n">
        <f aca="false">IF(C$4=0,0,IF(COUNTIFS(実績!$W$6:$W$505,C$3,実績!$AI$6:$AI$505,"&lt;="&amp;$A18,実績!$AJ$6:$AJ$505,"&gt;"&amp;$A18,実績!$AK$6:$AK$505,"○")&gt;0,1,0))</f>
        <v>0</v>
      </c>
      <c r="D18" s="39" t="n">
        <f aca="false">IF(D$4=0,0,IF(COUNTIFS(実績!$W$6:$W$505,D$3,実績!$AI$6:$AI$505,"&lt;="&amp;$A18,実績!$AJ$6:$AJ$505,"&gt;"&amp;$A18,実績!$AK$6:$AK$505,"○")&gt;0,1,0))</f>
        <v>0</v>
      </c>
      <c r="E18" s="39" t="n">
        <f aca="false">IF(E$4=0,0,IF(COUNTIFS(実績!$W$6:$W$505,E$3,実績!$AI$6:$AI$505,"&lt;="&amp;$A18,実績!$AJ$6:$AJ$505,"&gt;"&amp;$A18,実績!$AK$6:$AK$505,"○")&gt;0,1,0))</f>
        <v>0</v>
      </c>
      <c r="F18" s="39" t="n">
        <f aca="false">IF(F$4=0,0,IF(COUNTIFS(実績!$W$6:$W$505,F$3,実績!$AI$6:$AI$505,"&lt;="&amp;$A18,実績!$AJ$6:$AJ$505,"&gt;"&amp;$A18,実績!$AK$6:$AK$505,"○")&gt;0,1,0))</f>
        <v>0</v>
      </c>
      <c r="G18" s="39" t="n">
        <f aca="false">IF(G$4=0,0,IF(COUNTIFS(実績!$W$6:$W$505,G$3,実績!$AI$6:$AI$505,"&lt;="&amp;$A18,実績!$AJ$6:$AJ$505,"&gt;"&amp;$A18,実績!$AK$6:$AK$505,"○")&gt;0,1,0))</f>
        <v>0</v>
      </c>
      <c r="H18" s="39" t="n">
        <f aca="false">IF(H$4=0,0,IF(COUNTIFS(実績!$W$6:$W$505,H$3,実績!$AI$6:$AI$505,"&lt;="&amp;$A18,実績!$AJ$6:$AJ$505,"&gt;"&amp;$A18,実績!$AK$6:$AK$505,"○")&gt;0,1,0))</f>
        <v>0</v>
      </c>
      <c r="I18" s="39" t="n">
        <f aca="false">IF(I$4=0,0,IF(COUNTIFS(実績!$W$6:$W$505,I$3,実績!$AI$6:$AI$505,"&lt;="&amp;$A18,実績!$AJ$6:$AJ$505,"&gt;"&amp;$A18,実績!$AK$6:$AK$505,"○")&gt;0,1,0))</f>
        <v>0</v>
      </c>
      <c r="J18" s="39" t="n">
        <f aca="false">IF(J$4=0,0,IF(COUNTIFS(実績!$W$6:$W$505,J$3,実績!$AI$6:$AI$505,"&lt;="&amp;$A18,実績!$AJ$6:$AJ$505,"&gt;"&amp;$A18,実績!$AK$6:$AK$505,"○")&gt;0,1,0))</f>
        <v>0</v>
      </c>
      <c r="K18" s="39" t="n">
        <f aca="false">IF(K$4=0,0,IF(COUNTIFS(実績!$W$6:$W$505,K$3,実績!$AI$6:$AI$505,"&lt;="&amp;$A18,実績!$AJ$6:$AJ$505,"&gt;"&amp;$A18,実績!$AK$6:$AK$505,"○")&gt;0,1,0))</f>
        <v>0</v>
      </c>
      <c r="L18" s="39" t="n">
        <f aca="false">IF(L$4=0,0,IF(COUNTIFS(実績!$W$6:$W$505,L$3,実績!$AI$6:$AI$505,"&lt;="&amp;$A18,実績!$AJ$6:$AJ$505,"&gt;"&amp;$A18,実績!$AK$6:$AK$505,"○")&gt;0,1,0))</f>
        <v>0</v>
      </c>
      <c r="M18" s="39" t="n">
        <f aca="false">IF(M$4=0,0,IF(COUNTIFS(実績!$W$6:$W$505,M$3,実績!$AI$6:$AI$505,"&lt;="&amp;$A18,実績!$AJ$6:$AJ$505,"&gt;"&amp;$A18,実績!$AK$6:$AK$505,"○")&gt;0,1,0))</f>
        <v>0</v>
      </c>
      <c r="N18" s="39" t="n">
        <f aca="false">IF(N$4=0,0,IF(COUNTIFS(実績!$W$6:$W$505,N$3,実績!$AI$6:$AI$505,"&lt;="&amp;$A18,実績!$AJ$6:$AJ$505,"&gt;"&amp;$A18,実績!$AK$6:$AK$505,"○")&gt;0,1,0))</f>
        <v>0</v>
      </c>
      <c r="O18" s="39" t="n">
        <f aca="false">IF(O$4=0,0,IF(COUNTIFS(実績!$W$6:$W$505,O$3,実績!$AI$6:$AI$505,"&lt;="&amp;$A18,実績!$AJ$6:$AJ$505,"&gt;"&amp;$A18,実績!$AK$6:$AK$505,"○")&gt;0,1,0))</f>
        <v>0</v>
      </c>
      <c r="P18" s="39" t="n">
        <f aca="false">IF(P$4=0,0,IF(COUNTIFS(実績!$W$6:$W$505,P$3,実績!$AI$6:$AI$505,"&lt;="&amp;$A18,実績!$AJ$6:$AJ$505,"&gt;"&amp;$A18,実績!$AK$6:$AK$505,"○")&gt;0,1,0))</f>
        <v>0</v>
      </c>
      <c r="Q18" s="39" t="n">
        <f aca="false">IF(Q$4=0,0,IF(COUNTIFS(実績!$W$6:$W$505,Q$3,実績!$AI$6:$AI$505,"&lt;="&amp;$A18,実績!$AJ$6:$AJ$505,"&gt;"&amp;$A18,実績!$AK$6:$AK$505,"○")&gt;0,1,0))</f>
        <v>0</v>
      </c>
      <c r="R18" s="39" t="n">
        <f aca="false">IF(R$4=0,0,IF(COUNTIFS(実績!$W$6:$W$505,R$3,実績!$AI$6:$AI$505,"&lt;="&amp;$A18,実績!$AJ$6:$AJ$505,"&gt;"&amp;$A18,実績!$AK$6:$AK$505,"○")&gt;0,1,0))</f>
        <v>0</v>
      </c>
      <c r="S18" s="39" t="n">
        <f aca="false">IF(S$4=0,0,IF(COUNTIFS(実績!$W$6:$W$505,S$3,実績!$AI$6:$AI$505,"&lt;="&amp;$A18,実績!$AJ$6:$AJ$505,"&gt;"&amp;$A18,実績!$AK$6:$AK$505,"○")&gt;0,1,0))</f>
        <v>0</v>
      </c>
      <c r="T18" s="39" t="n">
        <f aca="false">IF(T$4=0,0,IF(COUNTIFS(実績!$W$6:$W$505,T$3,実績!$AI$6:$AI$505,"&lt;="&amp;$A18,実績!$AJ$6:$AJ$505,"&gt;"&amp;$A18,実績!$AK$6:$AK$505,"○")&gt;0,1,0))</f>
        <v>0</v>
      </c>
      <c r="U18" s="39" t="n">
        <f aca="false">IF(U$4=0,0,IF(COUNTIFS(実績!$W$6:$W$505,U$3,実績!$AI$6:$AI$505,"&lt;="&amp;$A18,実績!$AJ$6:$AJ$505,"&gt;"&amp;$A18,実績!$AK$6:$AK$505,"○")&gt;0,1,0))</f>
        <v>0</v>
      </c>
      <c r="V18" s="39" t="n">
        <f aca="false">IF(V$4=0,0,IF(COUNTIFS(実績!$W$6:$W$505,V$3,実績!$AI$6:$AI$505,"&lt;="&amp;$A18,実績!$AJ$6:$AJ$505,"&gt;"&amp;$A18,実績!$AK$6:$AK$505,"○")&gt;0,1,0))</f>
        <v>0</v>
      </c>
      <c r="W18" s="39" t="n">
        <f aca="false">IF(W$4=0,0,IF(COUNTIFS(実績!$W$6:$W$505,W$3,実績!$AI$6:$AI$505,"&lt;="&amp;$A18,実績!$AJ$6:$AJ$505,"&gt;"&amp;$A18,実績!$AK$6:$AK$505,"○")&gt;0,1,0))</f>
        <v>0</v>
      </c>
      <c r="X18" s="39" t="n">
        <f aca="false">IF(X$4=0,0,IF(COUNTIFS(実績!$W$6:$W$505,X$3,実績!$AI$6:$AI$505,"&lt;="&amp;$A18,実績!$AJ$6:$AJ$505,"&gt;"&amp;$A18,実績!$AK$6:$AK$505,"○")&gt;0,1,0))</f>
        <v>0</v>
      </c>
      <c r="Y18" s="39" t="n">
        <f aca="false">IF(Y$4=0,0,IF(COUNTIFS(実績!$W$6:$W$505,Y$3,実績!$AI$6:$AI$505,"&lt;="&amp;$A18,実績!$AJ$6:$AJ$505,"&gt;"&amp;$A18,実績!$AK$6:$AK$505,"○")&gt;0,1,0))</f>
        <v>0</v>
      </c>
      <c r="Z18" s="39" t="n">
        <f aca="false">IF(Z$4=0,0,IF(COUNTIFS(実績!$W$6:$W$505,Z$3,実績!$AI$6:$AI$505,"&lt;="&amp;$A18,実績!$AJ$6:$AJ$505,"&gt;"&amp;$A18,実績!$AK$6:$AK$505,"○")&gt;0,1,0))</f>
        <v>0</v>
      </c>
      <c r="AA18" s="39" t="n">
        <f aca="false">IF(AA$4=0,0,IF(COUNTIFS(実績!$W$6:$W$505,AA$3,実績!$AI$6:$AI$505,"&lt;="&amp;$A18,実績!$AJ$6:$AJ$505,"&gt;"&amp;$A18,実績!$AK$6:$AK$505,"○")&gt;0,1,0))</f>
        <v>0</v>
      </c>
      <c r="AB18" s="39" t="n">
        <f aca="false">IF(AB$4=0,0,IF(COUNTIFS(実績!$W$6:$W$505,AB$3,実績!$AI$6:$AI$505,"&lt;="&amp;$A18,実績!$AJ$6:$AJ$505,"&gt;"&amp;$A18,実績!$AK$6:$AK$505,"○")&gt;0,1,0))</f>
        <v>0</v>
      </c>
      <c r="AC18" s="39" t="n">
        <f aca="false">IF(AC$4=0,0,IF(COUNTIFS(実績!$W$6:$W$505,AC$3,実績!$AI$6:$AI$505,"&lt;="&amp;$A18,実績!$AJ$6:$AJ$505,"&gt;"&amp;$A18,実績!$AK$6:$AK$505,"○")&gt;0,1,0))</f>
        <v>0</v>
      </c>
      <c r="AD18" s="39" t="n">
        <f aca="false">IF(AD$4=0,0,IF(COUNTIFS(実績!$W$6:$W$505,AD$3,実績!$AI$6:$AI$505,"&lt;="&amp;$A18,実績!$AJ$6:$AJ$505,"&gt;"&amp;$A18,実績!$AK$6:$AK$505,"○")&gt;0,1,0))</f>
        <v>0</v>
      </c>
      <c r="AE18" s="39" t="n">
        <f aca="false">IF(AE$4=0,0,IF(COUNTIFS(実績!$W$6:$W$505,AE$3,実績!$AI$6:$AI$505,"&lt;="&amp;$A18,実績!$AJ$6:$AJ$505,"&gt;"&amp;$A18,実績!$AK$6:$AK$505,"○")&gt;0,1,0))</f>
        <v>0</v>
      </c>
      <c r="AF18" s="39" t="n">
        <f aca="false">IF(AF$4=0,0,IF(COUNTIFS(実績!$W$6:$W$505,AF$3,実績!$AI$6:$AI$505,"&lt;="&amp;$A18,実績!$AJ$6:$AJ$505,"&gt;"&amp;$A18,実績!$AK$6:$AK$505,"○")&gt;0,1,0))</f>
        <v>0</v>
      </c>
      <c r="AG18" s="39" t="n">
        <f aca="false">IF(AG$4=0,0,IF(COUNTIFS(実績!$W$6:$W$505,AG$3,実績!$AI$6:$AI$505,"&lt;="&amp;$A18,実績!$AJ$6:$AJ$505,"&gt;"&amp;$A18,実績!$AK$6:$AK$505,"○")&gt;0,1,0))</f>
        <v>0</v>
      </c>
      <c r="AH18" s="39" t="n">
        <f aca="false">IF(AH$4=0,0,IF(COUNTIFS(実績!$W$6:$W$505,AH$3,実績!$AI$6:$AI$505,"&lt;="&amp;$A18,実績!$AJ$6:$AJ$505,"&gt;"&amp;$A18,実績!$AK$6:$AK$505,"○")&gt;0,1,0))</f>
        <v>0</v>
      </c>
      <c r="AI18" s="39" t="n">
        <f aca="false">IF(AI$4=0,0,IF(COUNTIFS(実績!$W$6:$W$505,AI$3,実績!$AI$6:$AI$505,"&lt;="&amp;$A18,実績!$AJ$6:$AJ$505,"&gt;"&amp;$A18,実績!$AK$6:$AK$505,"○")&gt;0,1,0))</f>
        <v>0</v>
      </c>
      <c r="AJ18" s="39" t="n">
        <f aca="false">IF(AJ$4=0,0,IF(COUNTIFS(実績!$W$6:$W$505,AJ$3,実績!$AI$6:$AI$505,"&lt;="&amp;$A18,実績!$AJ$6:$AJ$505,"&gt;"&amp;$A18,実績!$AK$6:$AK$505,"○")&gt;0,1,0))</f>
        <v>0</v>
      </c>
      <c r="AK18" s="39" t="n">
        <f aca="false">IF(AK$4=0,0,IF(COUNTIFS(実績!$W$6:$W$505,AK$3,実績!$AI$6:$AI$505,"&lt;="&amp;$A18,実績!$AJ$6:$AJ$505,"&gt;"&amp;$A18,実績!$AK$6:$AK$505,"○")&gt;0,1,0))</f>
        <v>0</v>
      </c>
      <c r="AL18" s="39" t="n">
        <f aca="false">IF(AL$4=0,0,IF(COUNTIFS(実績!$W$6:$W$505,AL$3,実績!$AI$6:$AI$505,"&lt;="&amp;$A18,実績!$AJ$6:$AJ$505,"&gt;"&amp;$A18,実績!$AK$6:$AK$505,"○")&gt;0,1,0))</f>
        <v>0</v>
      </c>
      <c r="AM18" s="39" t="n">
        <f aca="false">IF(AM$4=0,0,IF(COUNTIFS(実績!$W$6:$W$505,AM$3,実績!$AI$6:$AI$505,"&lt;="&amp;$A18,実績!$AJ$6:$AJ$505,"&gt;"&amp;$A18,実績!$AK$6:$AK$505,"○")&gt;0,1,0))</f>
        <v>0</v>
      </c>
      <c r="AN18" s="39" t="n">
        <f aca="false">IF(AN$4=0,0,IF(COUNTIFS(実績!$W$6:$W$505,AN$3,実績!$AI$6:$AI$505,"&lt;="&amp;$A18,実績!$AJ$6:$AJ$505,"&gt;"&amp;$A18,実績!$AK$6:$AK$505,"○")&gt;0,1,0))</f>
        <v>0</v>
      </c>
      <c r="AO18" s="39" t="n">
        <f aca="false">IF(AO$4=0,0,IF(COUNTIFS(実績!$W$6:$W$505,AO$3,実績!$AI$6:$AI$505,"&lt;="&amp;$A18,実績!$AJ$6:$AJ$505,"&gt;"&amp;$A18,実績!$AK$6:$AK$505,"○")&gt;0,1,0))</f>
        <v>0</v>
      </c>
      <c r="AP18" s="39" t="n">
        <f aca="false">IF(AP$4=0,0,IF(COUNTIFS(実績!$W$6:$W$505,AP$3,実績!$AI$6:$AI$505,"&lt;="&amp;$A18,実績!$AJ$6:$AJ$505,"&gt;"&amp;$A18,実績!$AK$6:$AK$505,"○")&gt;0,1,0))</f>
        <v>0</v>
      </c>
      <c r="AQ18" s="39" t="n">
        <f aca="false">IF(AQ$4=0,0,IF(COUNTIFS(実績!$W$6:$W$505,AQ$3,実績!$AI$6:$AI$505,"&lt;="&amp;$A18,実績!$AJ$6:$AJ$505,"&gt;"&amp;$A18,実績!$AK$6:$AK$505,"○")&gt;0,1,0))</f>
        <v>0</v>
      </c>
      <c r="AR18" s="39" t="n">
        <f aca="false">IF(AR$4=0,0,IF(COUNTIFS(実績!$W$6:$W$505,AR$3,実績!$AI$6:$AI$505,"&lt;="&amp;$A18,実績!$AJ$6:$AJ$505,"&gt;"&amp;$A18,実績!$AK$6:$AK$505,"○")&gt;0,1,0))</f>
        <v>0</v>
      </c>
      <c r="AS18" s="39" t="n">
        <f aca="false">IF(AS$4=0,0,IF(COUNTIFS(実績!$W$6:$W$505,AS$3,実績!$AI$6:$AI$505,"&lt;="&amp;$A18,実績!$AJ$6:$AJ$505,"&gt;"&amp;$A18,実績!$AK$6:$AK$505,"○")&gt;0,1,0))</f>
        <v>0</v>
      </c>
      <c r="AT18" s="39" t="n">
        <f aca="false">IF(AT$4=0,0,IF(COUNTIFS(実績!$W$6:$W$505,AT$3,実績!$AI$6:$AI$505,"&lt;="&amp;$A18,実績!$AJ$6:$AJ$505,"&gt;"&amp;$A18,実績!$AK$6:$AK$505,"○")&gt;0,1,0))</f>
        <v>0</v>
      </c>
      <c r="AU18" s="39" t="n">
        <f aca="false">IF(AU$4=0,0,IF(COUNTIFS(実績!$W$6:$W$505,AU$3,実績!$AI$6:$AI$505,"&lt;="&amp;$A18,実績!$AJ$6:$AJ$505,"&gt;"&amp;$A18,実績!$AK$6:$AK$505,"○")&gt;0,1,0))</f>
        <v>0</v>
      </c>
      <c r="AV18" s="39" t="n">
        <f aca="false">IF(AV$4=0,0,IF(COUNTIFS(実績!$W$6:$W$505,AV$3,実績!$AI$6:$AI$505,"&lt;="&amp;$A18,実績!$AJ$6:$AJ$505,"&gt;"&amp;$A18,実績!$AK$6:$AK$505,"○")&gt;0,1,0))</f>
        <v>0</v>
      </c>
      <c r="AW18" s="39" t="n">
        <f aca="false">IF(AW$4=0,0,IF(COUNTIFS(実績!$W$6:$W$505,AW$3,実績!$AI$6:$AI$505,"&lt;="&amp;$A18,実績!$AJ$6:$AJ$505,"&gt;"&amp;$A18,実績!$AK$6:$AK$505,"○")&gt;0,1,0))</f>
        <v>0</v>
      </c>
      <c r="AX18" s="39" t="n">
        <f aca="false">IF(AX$4=0,0,IF(COUNTIFS(実績!$W$6:$W$505,AX$3,実績!$AI$6:$AI$505,"&lt;="&amp;$A18,実績!$AJ$6:$AJ$505,"&gt;"&amp;$A18,実績!$AK$6:$AK$505,"○")&gt;0,1,0))</f>
        <v>0</v>
      </c>
      <c r="AY18" s="39" t="n">
        <f aca="false">IF(AY$4=0,0,IF(COUNTIFS(実績!$W$6:$W$505,AY$3,実績!$AI$6:$AI$505,"&lt;="&amp;$A18,実績!$AJ$6:$AJ$505,"&gt;"&amp;$A18,実績!$AK$6:$AK$505,"○")&gt;0,1,0))</f>
        <v>0</v>
      </c>
      <c r="AZ18" s="39" t="n">
        <f aca="false">IF(AZ$4=0,0,IF(COUNTIFS(実績!$W$6:$W$505,AZ$3,実績!$AI$6:$AI$505,"&lt;="&amp;$A18,実績!$AJ$6:$AJ$505,"&gt;"&amp;$A18,実績!$AK$6:$AK$505,"○")&gt;0,1,0))</f>
        <v>0</v>
      </c>
      <c r="BA18" s="39" t="n">
        <f aca="false">IF(BA$4=0,0,IF(COUNTIFS(実績!$W$6:$W$505,BA$3,実績!$AI$6:$AI$505,"&lt;="&amp;$A18,実績!$AJ$6:$AJ$505,"&gt;"&amp;$A18,実績!$AK$6:$AK$505,"○")&gt;0,1,0))</f>
        <v>0</v>
      </c>
      <c r="BB18" s="39" t="n">
        <f aca="false">IF(BB$4=0,0,IF(COUNTIFS(実績!$W$6:$W$505,BB$3,実績!$AI$6:$AI$505,"&lt;="&amp;$A18,実績!$AJ$6:$AJ$505,"&gt;"&amp;$A18,実績!$AK$6:$AK$505,"○")&gt;0,1,0))</f>
        <v>0</v>
      </c>
      <c r="BC18" s="39" t="n">
        <f aca="false">IF(BC$4=0,0,IF(COUNTIFS(実績!$W$6:$W$505,BC$3,実績!$AI$6:$AI$505,"&lt;="&amp;$A18,実績!$AJ$6:$AJ$505,"&gt;"&amp;$A18,実績!$AK$6:$AK$505,"○")&gt;0,1,0))</f>
        <v>0</v>
      </c>
      <c r="BD18" s="39" t="n">
        <f aca="false">IF(BD$4=0,0,IF(COUNTIFS(実績!$W$6:$W$505,BD$3,実績!$AI$6:$AI$505,"&lt;="&amp;$A18,実績!$AJ$6:$AJ$505,"&gt;"&amp;$A18,実績!$AK$6:$AK$505,"○")&gt;0,1,0))</f>
        <v>0</v>
      </c>
      <c r="BE18" s="39" t="n">
        <f aca="false">IF(BE$4=0,0,IF(COUNTIFS(実績!$W$6:$W$505,BE$3,実績!$AI$6:$AI$505,"&lt;="&amp;$A18,実績!$AJ$6:$AJ$505,"&gt;"&amp;$A18,実績!$AK$6:$AK$505,"○")&gt;0,1,0))</f>
        <v>0</v>
      </c>
      <c r="BF18" s="39" t="n">
        <f aca="false">IF(BF$4=0,0,IF(COUNTIFS(実績!$W$6:$W$505,BF$3,実績!$AI$6:$AI$505,"&lt;="&amp;$A18,実績!$AJ$6:$AJ$505,"&gt;"&amp;$A18,実績!$AK$6:$AK$505,"○")&gt;0,1,0))</f>
        <v>0</v>
      </c>
      <c r="BG18" s="39" t="n">
        <f aca="false">IF(BG$4=0,0,IF(COUNTIFS(実績!$W$6:$W$505,BG$3,実績!$AI$6:$AI$505,"&lt;="&amp;$A18,実績!$AJ$6:$AJ$505,"&gt;"&amp;$A18,実績!$AK$6:$AK$505,"○")&gt;0,1,0))</f>
        <v>0</v>
      </c>
      <c r="BH18" s="39" t="n">
        <f aca="false">IF(BH$4=0,0,IF(COUNTIFS(実績!$W$6:$W$505,BH$3,実績!$AI$6:$AI$505,"&lt;="&amp;$A18,実績!$AJ$6:$AJ$505,"&gt;"&amp;$A18,実績!$AK$6:$AK$505,"○")&gt;0,1,0))</f>
        <v>0</v>
      </c>
      <c r="BI18" s="39" t="n">
        <f aca="false">IF(BI$4=0,0,IF(COUNTIFS(実績!$W$6:$W$505,BI$3,実績!$AI$6:$AI$505,"&lt;="&amp;$A18,実績!$AJ$6:$AJ$505,"&gt;"&amp;$A18,実績!$AK$6:$AK$505,"○")&gt;0,1,0))</f>
        <v>0</v>
      </c>
      <c r="BJ18" s="39" t="n">
        <f aca="false">IF(BJ$4=0,0,IF(COUNTIFS(実績!$W$6:$W$505,BJ$3,実績!$AI$6:$AI$505,"&lt;="&amp;$A18,実績!$AJ$6:$AJ$505,"&gt;"&amp;$A18,実績!$AK$6:$AK$505,"○")&gt;0,1,0))</f>
        <v>0</v>
      </c>
      <c r="BK18" s="39" t="n">
        <f aca="false">IF(BK$4=0,0,IF(COUNTIFS(実績!$W$6:$W$505,BK$3,実績!$AI$6:$AI$505,"&lt;="&amp;$A18,実績!$AJ$6:$AJ$505,"&gt;"&amp;$A18,実績!$AK$6:$AK$505,"○")&gt;0,1,0))</f>
        <v>0</v>
      </c>
      <c r="BL18" s="39" t="n">
        <f aca="false">IF(BL$4=0,0,IF(COUNTIFS(実績!$W$6:$W$505,BL$3,実績!$AI$6:$AI$505,"&lt;="&amp;$A18,実績!$AJ$6:$AJ$505,"&gt;"&amp;$A18,実績!$AK$6:$AK$505,"○")&gt;0,1,0))</f>
        <v>0</v>
      </c>
      <c r="BM18" s="39" t="n">
        <f aca="false">IF(BM$4=0,0,IF(COUNTIFS(実績!$W$6:$W$505,BM$3,実績!$AI$6:$AI$505,"&lt;="&amp;$A18,実績!$AJ$6:$AJ$505,"&gt;"&amp;$A18,実績!$AK$6:$AK$505,"○")&gt;0,1,0))</f>
        <v>0</v>
      </c>
      <c r="BN18" s="39" t="n">
        <f aca="false">IF(BN$4=0,0,IF(COUNTIFS(実績!$W$6:$W$505,BN$3,実績!$AI$6:$AI$505,"&lt;="&amp;$A18,実績!$AJ$6:$AJ$505,"&gt;"&amp;$A18,実績!$AK$6:$AK$505,"○")&gt;0,1,0))</f>
        <v>0</v>
      </c>
      <c r="BO18" s="39" t="n">
        <f aca="false">IF(BO$4=0,0,IF(COUNTIFS(実績!$W$6:$W$505,BO$3,実績!$AI$6:$AI$505,"&lt;="&amp;$A18,実績!$AJ$6:$AJ$505,"&gt;"&amp;$A18,実績!$AK$6:$AK$505,"○")&gt;0,1,0))</f>
        <v>0</v>
      </c>
      <c r="BP18" s="39" t="n">
        <f aca="false">IF(BP$4=0,0,IF(COUNTIFS(実績!$W$6:$W$505,BP$3,実績!$AI$6:$AI$505,"&lt;="&amp;$A18,実績!$AJ$6:$AJ$505,"&gt;"&amp;$A18,実績!$AK$6:$AK$505,"○")&gt;0,1,0))</f>
        <v>0</v>
      </c>
      <c r="BQ18" s="39" t="n">
        <f aca="false">IF(BQ$4=0,0,IF(COUNTIFS(実績!$W$6:$W$505,BQ$3,実績!$AI$6:$AI$505,"&lt;="&amp;$A18,実績!$AJ$6:$AJ$505,"&gt;"&amp;$A18,実績!$AK$6:$AK$505,"○")&gt;0,1,0))</f>
        <v>0</v>
      </c>
      <c r="BR18" s="39" t="n">
        <f aca="false">IF(BR$4=0,0,IF(COUNTIFS(実績!$W$6:$W$505,BR$3,実績!$AI$6:$AI$505,"&lt;="&amp;$A18,実績!$AJ$6:$AJ$505,"&gt;"&amp;$A18,実績!$AK$6:$AK$505,"○")&gt;0,1,0))</f>
        <v>0</v>
      </c>
      <c r="BS18" s="39" t="n">
        <f aca="false">IF(BS$4=0,0,IF(COUNTIFS(実績!$W$6:$W$505,BS$3,実績!$AI$6:$AI$505,"&lt;="&amp;$A18,実績!$AJ$6:$AJ$505,"&gt;"&amp;$A18,実績!$AK$6:$AK$505,"○")&gt;0,1,0))</f>
        <v>0</v>
      </c>
      <c r="BT18" s="39" t="n">
        <f aca="false">IF(BT$4=0,0,IF(COUNTIFS(実績!$W$6:$W$505,BT$3,実績!$AI$6:$AI$505,"&lt;="&amp;$A18,実績!$AJ$6:$AJ$505,"&gt;"&amp;$A18,実績!$AK$6:$AK$505,"○")&gt;0,1,0))</f>
        <v>0</v>
      </c>
      <c r="BU18" s="39" t="n">
        <f aca="false">IF(BU$4=0,0,IF(COUNTIFS(実績!$W$6:$W$505,BU$3,実績!$AI$6:$AI$505,"&lt;="&amp;$A18,実績!$AJ$6:$AJ$505,"&gt;"&amp;$A18,実績!$AK$6:$AK$505,"○")&gt;0,1,0))</f>
        <v>0</v>
      </c>
      <c r="BV18" s="39" t="n">
        <f aca="false">IF(BV$4=0,0,IF(COUNTIFS(実績!$W$6:$W$505,BV$3,実績!$AI$6:$AI$505,"&lt;="&amp;$A18,実績!$AJ$6:$AJ$505,"&gt;"&amp;$A18,実績!$AK$6:$AK$505,"○")&gt;0,1,0))</f>
        <v>0</v>
      </c>
      <c r="BW18" s="39" t="n">
        <f aca="false">IF(BW$4=0,0,IF(COUNTIFS(実績!$W$6:$W$505,BW$3,実績!$AI$6:$AI$505,"&lt;="&amp;$A18,実績!$AJ$6:$AJ$505,"&gt;"&amp;$A18,実績!$AK$6:$AK$505,"○")&gt;0,1,0))</f>
        <v>0</v>
      </c>
      <c r="BX18" s="39" t="n">
        <f aca="false">IF(BX$4=0,0,IF(COUNTIFS(実績!$W$6:$W$505,BX$3,実績!$AI$6:$AI$505,"&lt;="&amp;$A18,実績!$AJ$6:$AJ$505,"&gt;"&amp;$A18,実績!$AK$6:$AK$505,"○")&gt;0,1,0))</f>
        <v>0</v>
      </c>
      <c r="BY18" s="39" t="n">
        <f aca="false">IF(BY$4=0,0,IF(COUNTIFS(実績!$W$6:$W$505,BY$3,実績!$AI$6:$AI$505,"&lt;="&amp;$A18,実績!$AJ$6:$AJ$505,"&gt;"&amp;$A18,実績!$AK$6:$AK$505,"○")&gt;0,1,0))</f>
        <v>0</v>
      </c>
      <c r="BZ18" s="39" t="n">
        <f aca="false">IF(BZ$4=0,0,IF(COUNTIFS(実績!$W$6:$W$505,BZ$3,実績!$AI$6:$AI$505,"&lt;="&amp;$A18,実績!$AJ$6:$AJ$505,"&gt;"&amp;$A18,実績!$AK$6:$AK$505,"○")&gt;0,1,0))</f>
        <v>0</v>
      </c>
      <c r="CA18" s="39" t="n">
        <f aca="false">IF(CA$4=0,0,IF(COUNTIFS(実績!$W$6:$W$505,CA$3,実績!$AI$6:$AI$505,"&lt;="&amp;$A18,実績!$AJ$6:$AJ$505,"&gt;"&amp;$A18,実績!$AK$6:$AK$505,"○")&gt;0,1,0))</f>
        <v>0</v>
      </c>
      <c r="CB18" s="39" t="n">
        <f aca="false">IF(CB$4=0,0,IF(COUNTIFS(実績!$W$6:$W$505,CB$3,実績!$AI$6:$AI$505,"&lt;="&amp;$A18,実績!$AJ$6:$AJ$505,"&gt;"&amp;$A18,実績!$AK$6:$AK$505,"○")&gt;0,1,0))</f>
        <v>0</v>
      </c>
      <c r="CC18" s="39" t="n">
        <f aca="false">IF(CC$4=0,0,IF(COUNTIFS(実績!$W$6:$W$505,CC$3,実績!$AI$6:$AI$505,"&lt;="&amp;$A18,実績!$AJ$6:$AJ$505,"&gt;"&amp;$A18,実績!$AK$6:$AK$505,"○")&gt;0,1,0))</f>
        <v>0</v>
      </c>
      <c r="CD18" s="39" t="n">
        <f aca="false">IF(CD$4=0,0,IF(COUNTIFS(実績!$W$6:$W$505,CD$3,実績!$AI$6:$AI$505,"&lt;="&amp;$A18,実績!$AJ$6:$AJ$505,"&gt;"&amp;$A18,実績!$AK$6:$AK$505,"○")&gt;0,1,0))</f>
        <v>0</v>
      </c>
      <c r="CE18" s="39" t="n">
        <f aca="false">IF(CE$4=0,0,IF(COUNTIFS(実績!$W$6:$W$505,CE$3,実績!$AI$6:$AI$505,"&lt;="&amp;$A18,実績!$AJ$6:$AJ$505,"&gt;"&amp;$A18,実績!$AK$6:$AK$505,"○")&gt;0,1,0))</f>
        <v>0</v>
      </c>
      <c r="CF18" s="39" t="n">
        <f aca="false">IF(CF$4=0,0,IF(COUNTIFS(実績!$W$6:$W$505,CF$3,実績!$AI$6:$AI$505,"&lt;="&amp;$A18,実績!$AJ$6:$AJ$505,"&gt;"&amp;$A18,実績!$AK$6:$AK$505,"○")&gt;0,1,0))</f>
        <v>0</v>
      </c>
      <c r="CG18" s="39" t="n">
        <f aca="false">IF(CG$4=0,0,IF(COUNTIFS(実績!$W$6:$W$505,CG$3,実績!$AI$6:$AI$505,"&lt;="&amp;$A18,実績!$AJ$6:$AJ$505,"&gt;"&amp;$A18,実績!$AK$6:$AK$505,"○")&gt;0,1,0))</f>
        <v>0</v>
      </c>
      <c r="CH18" s="39" t="n">
        <f aca="false">IF(CH$4=0,0,IF(COUNTIFS(実績!$W$6:$W$505,CH$3,実績!$AI$6:$AI$505,"&lt;="&amp;$A18,実績!$AJ$6:$AJ$505,"&gt;"&amp;$A18,実績!$AK$6:$AK$505,"○")&gt;0,1,0))</f>
        <v>0</v>
      </c>
      <c r="CI18" s="39" t="n">
        <f aca="false">IF(CI$4=0,0,IF(COUNTIFS(実績!$W$6:$W$505,CI$3,実績!$AI$6:$AI$505,"&lt;="&amp;$A18,実績!$AJ$6:$AJ$505,"&gt;"&amp;$A18,実績!$AK$6:$AK$505,"○")&gt;0,1,0))</f>
        <v>0</v>
      </c>
      <c r="CJ18" s="39" t="n">
        <f aca="false">IF(CJ$4=0,0,IF(COUNTIFS(実績!$W$6:$W$505,CJ$3,実績!$AI$6:$AI$505,"&lt;="&amp;$A18,実績!$AJ$6:$AJ$505,"&gt;"&amp;$A18,実績!$AK$6:$AK$505,"○")&gt;0,1,0))</f>
        <v>0</v>
      </c>
      <c r="CK18" s="39" t="n">
        <f aca="false">IF(CK$4=0,0,IF(COUNTIFS(実績!$W$6:$W$505,CK$3,実績!$AI$6:$AI$505,"&lt;="&amp;$A18,実績!$AJ$6:$AJ$505,"&gt;"&amp;$A18,実績!$AK$6:$AK$505,"○")&gt;0,1,0))</f>
        <v>0</v>
      </c>
      <c r="CL18" s="39" t="n">
        <f aca="false">IF(CL$4=0,0,IF(COUNTIFS(実績!$W$6:$W$505,CL$3,実績!$AI$6:$AI$505,"&lt;="&amp;$A18,実績!$AJ$6:$AJ$505,"&gt;"&amp;$A18,実績!$AK$6:$AK$505,"○")&gt;0,1,0))</f>
        <v>0</v>
      </c>
      <c r="CM18" s="39" t="n">
        <f aca="false">IF(CM$4=0,0,IF(COUNTIFS(実績!$W$6:$W$505,CM$3,実績!$AI$6:$AI$505,"&lt;="&amp;$A18,実績!$AJ$6:$AJ$505,"&gt;"&amp;$A18,実績!$AK$6:$AK$505,"○")&gt;0,1,0))</f>
        <v>0</v>
      </c>
      <c r="CN18" s="39" t="n">
        <f aca="false">IF(CN$4=0,0,IF(COUNTIFS(実績!$W$6:$W$505,CN$3,実績!$AI$6:$AI$505,"&lt;="&amp;$A18,実績!$AJ$6:$AJ$505,"&gt;"&amp;$A18,実績!$AK$6:$AK$505,"○")&gt;0,1,0))</f>
        <v>0</v>
      </c>
      <c r="CO18" s="39" t="n">
        <f aca="false">IF(CO$4=0,0,IF(COUNTIFS(実績!$W$6:$W$505,CO$3,実績!$AI$6:$AI$505,"&lt;="&amp;$A18,実績!$AJ$6:$AJ$505,"&gt;"&amp;$A18,実績!$AK$6:$AK$505,"○")&gt;0,1,0))</f>
        <v>0</v>
      </c>
      <c r="CP18" s="39" t="n">
        <f aca="false">IF(CP$4=0,0,IF(COUNTIFS(実績!$W$6:$W$505,CP$3,実績!$AI$6:$AI$505,"&lt;="&amp;$A18,実績!$AJ$6:$AJ$505,"&gt;"&amp;$A18,実績!$AK$6:$AK$505,"○")&gt;0,1,0))</f>
        <v>0</v>
      </c>
      <c r="CQ18" s="39" t="n">
        <f aca="false">IF(CQ$4=0,0,IF(COUNTIFS(実績!$W$6:$W$505,CQ$3,実績!$AI$6:$AI$505,"&lt;="&amp;$A18,実績!$AJ$6:$AJ$505,"&gt;"&amp;$A18,実績!$AK$6:$AK$505,"○")&gt;0,1,0))</f>
        <v>0</v>
      </c>
      <c r="CR18" s="39" t="n">
        <f aca="false">IF(CR$4=0,0,IF(COUNTIFS(実績!$W$6:$W$505,CR$3,実績!$AI$6:$AI$505,"&lt;="&amp;$A18,実績!$AJ$6:$AJ$505,"&gt;"&amp;$A18,実績!$AK$6:$AK$505,"○")&gt;0,1,0))</f>
        <v>0</v>
      </c>
      <c r="CS18" s="39" t="n">
        <f aca="false">IF(CS$4=0,0,IF(COUNTIFS(実績!$W$6:$W$505,CS$3,実績!$AI$6:$AI$505,"&lt;="&amp;$A18,実績!$AJ$6:$AJ$505,"&gt;"&amp;$A18,実績!$AK$6:$AK$505,"○")&gt;0,1,0))</f>
        <v>0</v>
      </c>
      <c r="CT18" s="39" t="n">
        <f aca="false">IF(CT$4=0,0,IF(COUNTIFS(実績!$W$6:$W$505,CT$3,実績!$AI$6:$AI$505,"&lt;="&amp;$A18,実績!$AJ$6:$AJ$505,"&gt;"&amp;$A18,実績!$AK$6:$AK$505,"○")&gt;0,1,0))</f>
        <v>0</v>
      </c>
      <c r="CU18" s="39" t="n">
        <f aca="false">IF(CU$4=0,0,IF(COUNTIFS(実績!$W$6:$W$505,CU$3,実績!$AI$6:$AI$505,"&lt;="&amp;$A18,実績!$AJ$6:$AJ$505,"&gt;"&amp;$A18,実績!$AK$6:$AK$505,"○")&gt;0,1,0))</f>
        <v>0</v>
      </c>
      <c r="CV18" s="39" t="n">
        <f aca="false">IF(CV$4=0,0,IF(COUNTIFS(実績!$W$6:$W$505,CV$3,実績!$AI$6:$AI$505,"&lt;="&amp;$A18,実績!$AJ$6:$AJ$505,"&gt;"&amp;$A18,実績!$AK$6:$AK$505,"○")&gt;0,1,0))</f>
        <v>0</v>
      </c>
      <c r="CW18" s="39" t="n">
        <f aca="false">IF(CW$4=0,0,IF(COUNTIFS(実績!$W$6:$W$505,CW$3,実績!$AI$6:$AI$505,"&lt;="&amp;$A18,実績!$AJ$6:$AJ$505,"&gt;"&amp;$A18,実績!$AK$6:$AK$505,"○")&gt;0,1,0))</f>
        <v>0</v>
      </c>
      <c r="CX18" s="39" t="n">
        <f aca="false">IF(CX$4=0,0,IF(COUNTIFS(実績!$W$6:$W$505,CX$3,実績!$AI$6:$AI$505,"&lt;="&amp;$A18,実績!$AJ$6:$AJ$505,"&gt;"&amp;$A18,実績!$AK$6:$AK$505,"○")&gt;0,1,0))</f>
        <v>0</v>
      </c>
      <c r="CY18" s="39" t="n">
        <f aca="false">IF(CY$4=0,0,IF(COUNTIFS(実績!$W$6:$W$505,CY$3,実績!$AI$6:$AI$505,"&lt;="&amp;$A18,実績!$AJ$6:$AJ$505,"&gt;"&amp;$A18,実績!$AK$6:$AK$505,"○")&gt;0,1,0))</f>
        <v>0</v>
      </c>
      <c r="CZ18" s="39" t="n">
        <f aca="false">IF(CZ$4=0,0,IF(COUNTIFS(実績!$W$6:$W$505,CZ$3,実績!$AI$6:$AI$505,"&lt;="&amp;$A18,実績!$AJ$6:$AJ$505,"&gt;"&amp;$A18,実績!$AK$6:$AK$505,"○")&gt;0,1,0))</f>
        <v>0</v>
      </c>
      <c r="DA18" s="39" t="n">
        <f aca="false">IF(DA$4=0,0,IF(COUNTIFS(実績!$W$6:$W$505,DA$3,実績!$AI$6:$AI$505,"&lt;="&amp;$A18,実績!$AJ$6:$AJ$505,"&gt;"&amp;$A18,実績!$AK$6:$AK$505,"○")&gt;0,1,0))</f>
        <v>0</v>
      </c>
      <c r="DB18" s="39" t="n">
        <f aca="false">IF(DB$4=0,0,IF(COUNTIFS(実績!$W$6:$W$505,DB$3,実績!$AI$6:$AI$505,"&lt;="&amp;$A18,実績!$AJ$6:$AJ$505,"&gt;"&amp;$A18,実績!$AK$6:$AK$505,"○")&gt;0,1,0))</f>
        <v>0</v>
      </c>
      <c r="DC18" s="39" t="n">
        <f aca="false">IF(DC$4=0,0,IF(COUNTIFS(実績!$W$6:$W$505,DC$3,実績!$AI$6:$AI$505,"&lt;="&amp;$A18,実績!$AJ$6:$AJ$505,"&gt;"&amp;$A18,実績!$AK$6:$AK$505,"○")&gt;0,1,0))</f>
        <v>0</v>
      </c>
      <c r="DD18" s="39" t="n">
        <f aca="false">IF(DD$4=0,0,IF(COUNTIFS(実績!$W$6:$W$505,DD$3,実績!$AI$6:$AI$505,"&lt;="&amp;$A18,実績!$AJ$6:$AJ$505,"&gt;"&amp;$A18,実績!$AK$6:$AK$505,"○")&gt;0,1,0))</f>
        <v>0</v>
      </c>
      <c r="DE18" s="39" t="n">
        <f aca="false">IF(DE$4=0,0,IF(COUNTIFS(実績!$W$6:$W$505,DE$3,実績!$AI$6:$AI$505,"&lt;="&amp;$A18,実績!$AJ$6:$AJ$505,"&gt;"&amp;$A18,実績!$AK$6:$AK$505,"○")&gt;0,1,0))</f>
        <v>0</v>
      </c>
      <c r="DF18" s="39" t="n">
        <f aca="false">IF(DF$4=0,0,IF(COUNTIFS(実績!$W$6:$W$505,DF$3,実績!$AI$6:$AI$505,"&lt;="&amp;$A18,実績!$AJ$6:$AJ$505,"&gt;"&amp;$A18,実績!$AK$6:$AK$505,"○")&gt;0,1,0))</f>
        <v>0</v>
      </c>
      <c r="DG18" s="39" t="n">
        <f aca="false">IF(DG$4=0,0,IF(COUNTIFS(実績!$W$6:$W$505,DG$3,実績!$AI$6:$AI$505,"&lt;="&amp;$A18,実績!$AJ$6:$AJ$505,"&gt;"&amp;$A18,実績!$AK$6:$AK$505,"○")&gt;0,1,0))</f>
        <v>0</v>
      </c>
      <c r="DH18" s="39" t="n">
        <f aca="false">IF(DH$4=0,0,IF(COUNTIFS(実績!$W$6:$W$505,DH$3,実績!$AI$6:$AI$505,"&lt;="&amp;$A18,実績!$AJ$6:$AJ$505,"&gt;"&amp;$A18,実績!$AK$6:$AK$505,"○")&gt;0,1,0))</f>
        <v>0</v>
      </c>
      <c r="DI18" s="39" t="n">
        <f aca="false">IF(DI$4=0,0,IF(COUNTIFS(実績!$W$6:$W$505,DI$3,実績!$AI$6:$AI$505,"&lt;="&amp;$A18,実績!$AJ$6:$AJ$505,"&gt;"&amp;$A18,実績!$AK$6:$AK$505,"○")&gt;0,1,0))</f>
        <v>0</v>
      </c>
      <c r="DJ18" s="39" t="n">
        <f aca="false">IF(DJ$4=0,0,IF(COUNTIFS(実績!$W$6:$W$505,DJ$3,実績!$AI$6:$AI$505,"&lt;="&amp;$A18,実績!$AJ$6:$AJ$505,"&gt;"&amp;$A18,実績!$AK$6:$AK$505,"○")&gt;0,1,0))</f>
        <v>0</v>
      </c>
      <c r="DK18" s="39" t="n">
        <f aca="false">IF(DK$4=0,0,IF(COUNTIFS(実績!$W$6:$W$505,DK$3,実績!$AI$6:$AI$505,"&lt;="&amp;$A18,実績!$AJ$6:$AJ$505,"&gt;"&amp;$A18,実績!$AK$6:$AK$505,"○")&gt;0,1,0))</f>
        <v>0</v>
      </c>
      <c r="DL18" s="39" t="n">
        <f aca="false">IF(DL$4=0,0,IF(COUNTIFS(実績!$W$6:$W$505,DL$3,実績!$AI$6:$AI$505,"&lt;="&amp;$A18,実績!$AJ$6:$AJ$505,"&gt;"&amp;$A18,実績!$AK$6:$AK$505,"○")&gt;0,1,0))</f>
        <v>0</v>
      </c>
      <c r="DM18" s="39" t="n">
        <f aca="false">IF(DM$4=0,0,IF(COUNTIFS(実績!$W$6:$W$505,DM$3,実績!$AI$6:$AI$505,"&lt;="&amp;$A18,実績!$AJ$6:$AJ$505,"&gt;"&amp;$A18,実績!$AK$6:$AK$505,"○")&gt;0,1,0))</f>
        <v>0</v>
      </c>
      <c r="DN18" s="39" t="n">
        <f aca="false">IF(DN$4=0,0,IF(COUNTIFS(実績!$W$6:$W$505,DN$3,実績!$AI$6:$AI$505,"&lt;="&amp;$A18,実績!$AJ$6:$AJ$505,"&gt;"&amp;$A18,実績!$AK$6:$AK$505,"○")&gt;0,1,0))</f>
        <v>0</v>
      </c>
      <c r="DO18" s="39" t="n">
        <f aca="false">IF(DO$4=0,0,IF(COUNTIFS(実績!$W$6:$W$505,DO$3,実績!$AI$6:$AI$505,"&lt;="&amp;$A18,実績!$AJ$6:$AJ$505,"&gt;"&amp;$A18,実績!$AK$6:$AK$505,"○")&gt;0,1,0))</f>
        <v>0</v>
      </c>
      <c r="DP18" s="39" t="n">
        <f aca="false">IF(DP$4=0,0,IF(COUNTIFS(実績!$W$6:$W$505,DP$3,実績!$AI$6:$AI$505,"&lt;="&amp;$A18,実績!$AJ$6:$AJ$505,"&gt;"&amp;$A18,実績!$AK$6:$AK$505,"○")&gt;0,1,0))</f>
        <v>0</v>
      </c>
      <c r="DQ18" s="39" t="n">
        <f aca="false">IF(DQ$4=0,0,IF(COUNTIFS(実績!$W$6:$W$505,DQ$3,実績!$AI$6:$AI$505,"&lt;="&amp;$A18,実績!$AJ$6:$AJ$505,"&gt;"&amp;$A18,実績!$AK$6:$AK$505,"○")&gt;0,1,0))</f>
        <v>0</v>
      </c>
      <c r="DR18" s="39" t="n">
        <f aca="false">IF(DR$4=0,0,IF(COUNTIFS(実績!$W$6:$W$505,DR$3,実績!$AI$6:$AI$505,"&lt;="&amp;$A18,実績!$AJ$6:$AJ$505,"&gt;"&amp;$A18,実績!$AK$6:$AK$505,"○")&gt;0,1,0))</f>
        <v>0</v>
      </c>
      <c r="DS18" s="39" t="n">
        <f aca="false">SUM(C18:DR18)</f>
        <v>0</v>
      </c>
      <c r="DT18" s="39" t="n">
        <f aca="false">SUMPRODUCT((実績!$C$6:$C$505="○")*ISNUMBER(実績!$AM$6:$AM$505)*(実績!$AM$6:$AM$505&lt;=$A18)*(実績!$AN$6:$AN$505&gt;$A18))</f>
        <v>0</v>
      </c>
      <c r="DU18" s="39" t="n">
        <f aca="false">SUMIF($C$2:$DR$2,"製鉄曳船",C18:DR18)</f>
        <v>0</v>
      </c>
      <c r="DV18" s="39" t="n">
        <f aca="false">SUMIF($C$2:$DR$2,"西日本海運",C18:DR18)</f>
        <v>0</v>
      </c>
    </row>
    <row r="19" customFormat="false" ht="15" hidden="false" customHeight="false" outlineLevel="0" collapsed="false">
      <c r="A19" s="0" t="n">
        <v>65</v>
      </c>
      <c r="B19" s="38" t="n">
        <f aca="false">A19/1440</f>
        <v>0.0451388888888889</v>
      </c>
      <c r="C19" s="39" t="n">
        <f aca="false">IF(C$4=0,0,IF(COUNTIFS(実績!$W$6:$W$505,C$3,実績!$AI$6:$AI$505,"&lt;="&amp;$A19,実績!$AJ$6:$AJ$505,"&gt;"&amp;$A19,実績!$AK$6:$AK$505,"○")&gt;0,1,0))</f>
        <v>0</v>
      </c>
      <c r="D19" s="39" t="n">
        <f aca="false">IF(D$4=0,0,IF(COUNTIFS(実績!$W$6:$W$505,D$3,実績!$AI$6:$AI$505,"&lt;="&amp;$A19,実績!$AJ$6:$AJ$505,"&gt;"&amp;$A19,実績!$AK$6:$AK$505,"○")&gt;0,1,0))</f>
        <v>0</v>
      </c>
      <c r="E19" s="39" t="n">
        <f aca="false">IF(E$4=0,0,IF(COUNTIFS(実績!$W$6:$W$505,E$3,実績!$AI$6:$AI$505,"&lt;="&amp;$A19,実績!$AJ$6:$AJ$505,"&gt;"&amp;$A19,実績!$AK$6:$AK$505,"○")&gt;0,1,0))</f>
        <v>0</v>
      </c>
      <c r="F19" s="39" t="n">
        <f aca="false">IF(F$4=0,0,IF(COUNTIFS(実績!$W$6:$W$505,F$3,実績!$AI$6:$AI$505,"&lt;="&amp;$A19,実績!$AJ$6:$AJ$505,"&gt;"&amp;$A19,実績!$AK$6:$AK$505,"○")&gt;0,1,0))</f>
        <v>0</v>
      </c>
      <c r="G19" s="39" t="n">
        <f aca="false">IF(G$4=0,0,IF(COUNTIFS(実績!$W$6:$W$505,G$3,実績!$AI$6:$AI$505,"&lt;="&amp;$A19,実績!$AJ$6:$AJ$505,"&gt;"&amp;$A19,実績!$AK$6:$AK$505,"○")&gt;0,1,0))</f>
        <v>0</v>
      </c>
      <c r="H19" s="39" t="n">
        <f aca="false">IF(H$4=0,0,IF(COUNTIFS(実績!$W$6:$W$505,H$3,実績!$AI$6:$AI$505,"&lt;="&amp;$A19,実績!$AJ$6:$AJ$505,"&gt;"&amp;$A19,実績!$AK$6:$AK$505,"○")&gt;0,1,0))</f>
        <v>0</v>
      </c>
      <c r="I19" s="39" t="n">
        <f aca="false">IF(I$4=0,0,IF(COUNTIFS(実績!$W$6:$W$505,I$3,実績!$AI$6:$AI$505,"&lt;="&amp;$A19,実績!$AJ$6:$AJ$505,"&gt;"&amp;$A19,実績!$AK$6:$AK$505,"○")&gt;0,1,0))</f>
        <v>0</v>
      </c>
      <c r="J19" s="39" t="n">
        <f aca="false">IF(J$4=0,0,IF(COUNTIFS(実績!$W$6:$W$505,J$3,実績!$AI$6:$AI$505,"&lt;="&amp;$A19,実績!$AJ$6:$AJ$505,"&gt;"&amp;$A19,実績!$AK$6:$AK$505,"○")&gt;0,1,0))</f>
        <v>0</v>
      </c>
      <c r="K19" s="39" t="n">
        <f aca="false">IF(K$4=0,0,IF(COUNTIFS(実績!$W$6:$W$505,K$3,実績!$AI$6:$AI$505,"&lt;="&amp;$A19,実績!$AJ$6:$AJ$505,"&gt;"&amp;$A19,実績!$AK$6:$AK$505,"○")&gt;0,1,0))</f>
        <v>0</v>
      </c>
      <c r="L19" s="39" t="n">
        <f aca="false">IF(L$4=0,0,IF(COUNTIFS(実績!$W$6:$W$505,L$3,実績!$AI$6:$AI$505,"&lt;="&amp;$A19,実績!$AJ$6:$AJ$505,"&gt;"&amp;$A19,実績!$AK$6:$AK$505,"○")&gt;0,1,0))</f>
        <v>0</v>
      </c>
      <c r="M19" s="39" t="n">
        <f aca="false">IF(M$4=0,0,IF(COUNTIFS(実績!$W$6:$W$505,M$3,実績!$AI$6:$AI$505,"&lt;="&amp;$A19,実績!$AJ$6:$AJ$505,"&gt;"&amp;$A19,実績!$AK$6:$AK$505,"○")&gt;0,1,0))</f>
        <v>0</v>
      </c>
      <c r="N19" s="39" t="n">
        <f aca="false">IF(N$4=0,0,IF(COUNTIFS(実績!$W$6:$W$505,N$3,実績!$AI$6:$AI$505,"&lt;="&amp;$A19,実績!$AJ$6:$AJ$505,"&gt;"&amp;$A19,実績!$AK$6:$AK$505,"○")&gt;0,1,0))</f>
        <v>0</v>
      </c>
      <c r="O19" s="39" t="n">
        <f aca="false">IF(O$4=0,0,IF(COUNTIFS(実績!$W$6:$W$505,O$3,実績!$AI$6:$AI$505,"&lt;="&amp;$A19,実績!$AJ$6:$AJ$505,"&gt;"&amp;$A19,実績!$AK$6:$AK$505,"○")&gt;0,1,0))</f>
        <v>0</v>
      </c>
      <c r="P19" s="39" t="n">
        <f aca="false">IF(P$4=0,0,IF(COUNTIFS(実績!$W$6:$W$505,P$3,実績!$AI$6:$AI$505,"&lt;="&amp;$A19,実績!$AJ$6:$AJ$505,"&gt;"&amp;$A19,実績!$AK$6:$AK$505,"○")&gt;0,1,0))</f>
        <v>0</v>
      </c>
      <c r="Q19" s="39" t="n">
        <f aca="false">IF(Q$4=0,0,IF(COUNTIFS(実績!$W$6:$W$505,Q$3,実績!$AI$6:$AI$505,"&lt;="&amp;$A19,実績!$AJ$6:$AJ$505,"&gt;"&amp;$A19,実績!$AK$6:$AK$505,"○")&gt;0,1,0))</f>
        <v>0</v>
      </c>
      <c r="R19" s="39" t="n">
        <f aca="false">IF(R$4=0,0,IF(COUNTIFS(実績!$W$6:$W$505,R$3,実績!$AI$6:$AI$505,"&lt;="&amp;$A19,実績!$AJ$6:$AJ$505,"&gt;"&amp;$A19,実績!$AK$6:$AK$505,"○")&gt;0,1,0))</f>
        <v>0</v>
      </c>
      <c r="S19" s="39" t="n">
        <f aca="false">IF(S$4=0,0,IF(COUNTIFS(実績!$W$6:$W$505,S$3,実績!$AI$6:$AI$505,"&lt;="&amp;$A19,実績!$AJ$6:$AJ$505,"&gt;"&amp;$A19,実績!$AK$6:$AK$505,"○")&gt;0,1,0))</f>
        <v>0</v>
      </c>
      <c r="T19" s="39" t="n">
        <f aca="false">IF(T$4=0,0,IF(COUNTIFS(実績!$W$6:$W$505,T$3,実績!$AI$6:$AI$505,"&lt;="&amp;$A19,実績!$AJ$6:$AJ$505,"&gt;"&amp;$A19,実績!$AK$6:$AK$505,"○")&gt;0,1,0))</f>
        <v>0</v>
      </c>
      <c r="U19" s="39" t="n">
        <f aca="false">IF(U$4=0,0,IF(COUNTIFS(実績!$W$6:$W$505,U$3,実績!$AI$6:$AI$505,"&lt;="&amp;$A19,実績!$AJ$6:$AJ$505,"&gt;"&amp;$A19,実績!$AK$6:$AK$505,"○")&gt;0,1,0))</f>
        <v>0</v>
      </c>
      <c r="V19" s="39" t="n">
        <f aca="false">IF(V$4=0,0,IF(COUNTIFS(実績!$W$6:$W$505,V$3,実績!$AI$6:$AI$505,"&lt;="&amp;$A19,実績!$AJ$6:$AJ$505,"&gt;"&amp;$A19,実績!$AK$6:$AK$505,"○")&gt;0,1,0))</f>
        <v>0</v>
      </c>
      <c r="W19" s="39" t="n">
        <f aca="false">IF(W$4=0,0,IF(COUNTIFS(実績!$W$6:$W$505,W$3,実績!$AI$6:$AI$505,"&lt;="&amp;$A19,実績!$AJ$6:$AJ$505,"&gt;"&amp;$A19,実績!$AK$6:$AK$505,"○")&gt;0,1,0))</f>
        <v>0</v>
      </c>
      <c r="X19" s="39" t="n">
        <f aca="false">IF(X$4=0,0,IF(COUNTIFS(実績!$W$6:$W$505,X$3,実績!$AI$6:$AI$505,"&lt;="&amp;$A19,実績!$AJ$6:$AJ$505,"&gt;"&amp;$A19,実績!$AK$6:$AK$505,"○")&gt;0,1,0))</f>
        <v>0</v>
      </c>
      <c r="Y19" s="39" t="n">
        <f aca="false">IF(Y$4=0,0,IF(COUNTIFS(実績!$W$6:$W$505,Y$3,実績!$AI$6:$AI$505,"&lt;="&amp;$A19,実績!$AJ$6:$AJ$505,"&gt;"&amp;$A19,実績!$AK$6:$AK$505,"○")&gt;0,1,0))</f>
        <v>0</v>
      </c>
      <c r="Z19" s="39" t="n">
        <f aca="false">IF(Z$4=0,0,IF(COUNTIFS(実績!$W$6:$W$505,Z$3,実績!$AI$6:$AI$505,"&lt;="&amp;$A19,実績!$AJ$6:$AJ$505,"&gt;"&amp;$A19,実績!$AK$6:$AK$505,"○")&gt;0,1,0))</f>
        <v>0</v>
      </c>
      <c r="AA19" s="39" t="n">
        <f aca="false">IF(AA$4=0,0,IF(COUNTIFS(実績!$W$6:$W$505,AA$3,実績!$AI$6:$AI$505,"&lt;="&amp;$A19,実績!$AJ$6:$AJ$505,"&gt;"&amp;$A19,実績!$AK$6:$AK$505,"○")&gt;0,1,0))</f>
        <v>0</v>
      </c>
      <c r="AB19" s="39" t="n">
        <f aca="false">IF(AB$4=0,0,IF(COUNTIFS(実績!$W$6:$W$505,AB$3,実績!$AI$6:$AI$505,"&lt;="&amp;$A19,実績!$AJ$6:$AJ$505,"&gt;"&amp;$A19,実績!$AK$6:$AK$505,"○")&gt;0,1,0))</f>
        <v>0</v>
      </c>
      <c r="AC19" s="39" t="n">
        <f aca="false">IF(AC$4=0,0,IF(COUNTIFS(実績!$W$6:$W$505,AC$3,実績!$AI$6:$AI$505,"&lt;="&amp;$A19,実績!$AJ$6:$AJ$505,"&gt;"&amp;$A19,実績!$AK$6:$AK$505,"○")&gt;0,1,0))</f>
        <v>0</v>
      </c>
      <c r="AD19" s="39" t="n">
        <f aca="false">IF(AD$4=0,0,IF(COUNTIFS(実績!$W$6:$W$505,AD$3,実績!$AI$6:$AI$505,"&lt;="&amp;$A19,実績!$AJ$6:$AJ$505,"&gt;"&amp;$A19,実績!$AK$6:$AK$505,"○")&gt;0,1,0))</f>
        <v>0</v>
      </c>
      <c r="AE19" s="39" t="n">
        <f aca="false">IF(AE$4=0,0,IF(COUNTIFS(実績!$W$6:$W$505,AE$3,実績!$AI$6:$AI$505,"&lt;="&amp;$A19,実績!$AJ$6:$AJ$505,"&gt;"&amp;$A19,実績!$AK$6:$AK$505,"○")&gt;0,1,0))</f>
        <v>0</v>
      </c>
      <c r="AF19" s="39" t="n">
        <f aca="false">IF(AF$4=0,0,IF(COUNTIFS(実績!$W$6:$W$505,AF$3,実績!$AI$6:$AI$505,"&lt;="&amp;$A19,実績!$AJ$6:$AJ$505,"&gt;"&amp;$A19,実績!$AK$6:$AK$505,"○")&gt;0,1,0))</f>
        <v>0</v>
      </c>
      <c r="AG19" s="39" t="n">
        <f aca="false">IF(AG$4=0,0,IF(COUNTIFS(実績!$W$6:$W$505,AG$3,実績!$AI$6:$AI$505,"&lt;="&amp;$A19,実績!$AJ$6:$AJ$505,"&gt;"&amp;$A19,実績!$AK$6:$AK$505,"○")&gt;0,1,0))</f>
        <v>0</v>
      </c>
      <c r="AH19" s="39" t="n">
        <f aca="false">IF(AH$4=0,0,IF(COUNTIFS(実績!$W$6:$W$505,AH$3,実績!$AI$6:$AI$505,"&lt;="&amp;$A19,実績!$AJ$6:$AJ$505,"&gt;"&amp;$A19,実績!$AK$6:$AK$505,"○")&gt;0,1,0))</f>
        <v>0</v>
      </c>
      <c r="AI19" s="39" t="n">
        <f aca="false">IF(AI$4=0,0,IF(COUNTIFS(実績!$W$6:$W$505,AI$3,実績!$AI$6:$AI$505,"&lt;="&amp;$A19,実績!$AJ$6:$AJ$505,"&gt;"&amp;$A19,実績!$AK$6:$AK$505,"○")&gt;0,1,0))</f>
        <v>0</v>
      </c>
      <c r="AJ19" s="39" t="n">
        <f aca="false">IF(AJ$4=0,0,IF(COUNTIFS(実績!$W$6:$W$505,AJ$3,実績!$AI$6:$AI$505,"&lt;="&amp;$A19,実績!$AJ$6:$AJ$505,"&gt;"&amp;$A19,実績!$AK$6:$AK$505,"○")&gt;0,1,0))</f>
        <v>0</v>
      </c>
      <c r="AK19" s="39" t="n">
        <f aca="false">IF(AK$4=0,0,IF(COUNTIFS(実績!$W$6:$W$505,AK$3,実績!$AI$6:$AI$505,"&lt;="&amp;$A19,実績!$AJ$6:$AJ$505,"&gt;"&amp;$A19,実績!$AK$6:$AK$505,"○")&gt;0,1,0))</f>
        <v>0</v>
      </c>
      <c r="AL19" s="39" t="n">
        <f aca="false">IF(AL$4=0,0,IF(COUNTIFS(実績!$W$6:$W$505,AL$3,実績!$AI$6:$AI$505,"&lt;="&amp;$A19,実績!$AJ$6:$AJ$505,"&gt;"&amp;$A19,実績!$AK$6:$AK$505,"○")&gt;0,1,0))</f>
        <v>0</v>
      </c>
      <c r="AM19" s="39" t="n">
        <f aca="false">IF(AM$4=0,0,IF(COUNTIFS(実績!$W$6:$W$505,AM$3,実績!$AI$6:$AI$505,"&lt;="&amp;$A19,実績!$AJ$6:$AJ$505,"&gt;"&amp;$A19,実績!$AK$6:$AK$505,"○")&gt;0,1,0))</f>
        <v>0</v>
      </c>
      <c r="AN19" s="39" t="n">
        <f aca="false">IF(AN$4=0,0,IF(COUNTIFS(実績!$W$6:$W$505,AN$3,実績!$AI$6:$AI$505,"&lt;="&amp;$A19,実績!$AJ$6:$AJ$505,"&gt;"&amp;$A19,実績!$AK$6:$AK$505,"○")&gt;0,1,0))</f>
        <v>0</v>
      </c>
      <c r="AO19" s="39" t="n">
        <f aca="false">IF(AO$4=0,0,IF(COUNTIFS(実績!$W$6:$W$505,AO$3,実績!$AI$6:$AI$505,"&lt;="&amp;$A19,実績!$AJ$6:$AJ$505,"&gt;"&amp;$A19,実績!$AK$6:$AK$505,"○")&gt;0,1,0))</f>
        <v>0</v>
      </c>
      <c r="AP19" s="39" t="n">
        <f aca="false">IF(AP$4=0,0,IF(COUNTIFS(実績!$W$6:$W$505,AP$3,実績!$AI$6:$AI$505,"&lt;="&amp;$A19,実績!$AJ$6:$AJ$505,"&gt;"&amp;$A19,実績!$AK$6:$AK$505,"○")&gt;0,1,0))</f>
        <v>0</v>
      </c>
      <c r="AQ19" s="39" t="n">
        <f aca="false">IF(AQ$4=0,0,IF(COUNTIFS(実績!$W$6:$W$505,AQ$3,実績!$AI$6:$AI$505,"&lt;="&amp;$A19,実績!$AJ$6:$AJ$505,"&gt;"&amp;$A19,実績!$AK$6:$AK$505,"○")&gt;0,1,0))</f>
        <v>0</v>
      </c>
      <c r="AR19" s="39" t="n">
        <f aca="false">IF(AR$4=0,0,IF(COUNTIFS(実績!$W$6:$W$505,AR$3,実績!$AI$6:$AI$505,"&lt;="&amp;$A19,実績!$AJ$6:$AJ$505,"&gt;"&amp;$A19,実績!$AK$6:$AK$505,"○")&gt;0,1,0))</f>
        <v>0</v>
      </c>
      <c r="AS19" s="39" t="n">
        <f aca="false">IF(AS$4=0,0,IF(COUNTIFS(実績!$W$6:$W$505,AS$3,実績!$AI$6:$AI$505,"&lt;="&amp;$A19,実績!$AJ$6:$AJ$505,"&gt;"&amp;$A19,実績!$AK$6:$AK$505,"○")&gt;0,1,0))</f>
        <v>0</v>
      </c>
      <c r="AT19" s="39" t="n">
        <f aca="false">IF(AT$4=0,0,IF(COUNTIFS(実績!$W$6:$W$505,AT$3,実績!$AI$6:$AI$505,"&lt;="&amp;$A19,実績!$AJ$6:$AJ$505,"&gt;"&amp;$A19,実績!$AK$6:$AK$505,"○")&gt;0,1,0))</f>
        <v>0</v>
      </c>
      <c r="AU19" s="39" t="n">
        <f aca="false">IF(AU$4=0,0,IF(COUNTIFS(実績!$W$6:$W$505,AU$3,実績!$AI$6:$AI$505,"&lt;="&amp;$A19,実績!$AJ$6:$AJ$505,"&gt;"&amp;$A19,実績!$AK$6:$AK$505,"○")&gt;0,1,0))</f>
        <v>0</v>
      </c>
      <c r="AV19" s="39" t="n">
        <f aca="false">IF(AV$4=0,0,IF(COUNTIFS(実績!$W$6:$W$505,AV$3,実績!$AI$6:$AI$505,"&lt;="&amp;$A19,実績!$AJ$6:$AJ$505,"&gt;"&amp;$A19,実績!$AK$6:$AK$505,"○")&gt;0,1,0))</f>
        <v>0</v>
      </c>
      <c r="AW19" s="39" t="n">
        <f aca="false">IF(AW$4=0,0,IF(COUNTIFS(実績!$W$6:$W$505,AW$3,実績!$AI$6:$AI$505,"&lt;="&amp;$A19,実績!$AJ$6:$AJ$505,"&gt;"&amp;$A19,実績!$AK$6:$AK$505,"○")&gt;0,1,0))</f>
        <v>0</v>
      </c>
      <c r="AX19" s="39" t="n">
        <f aca="false">IF(AX$4=0,0,IF(COUNTIFS(実績!$W$6:$W$505,AX$3,実績!$AI$6:$AI$505,"&lt;="&amp;$A19,実績!$AJ$6:$AJ$505,"&gt;"&amp;$A19,実績!$AK$6:$AK$505,"○")&gt;0,1,0))</f>
        <v>0</v>
      </c>
      <c r="AY19" s="39" t="n">
        <f aca="false">IF(AY$4=0,0,IF(COUNTIFS(実績!$W$6:$W$505,AY$3,実績!$AI$6:$AI$505,"&lt;="&amp;$A19,実績!$AJ$6:$AJ$505,"&gt;"&amp;$A19,実績!$AK$6:$AK$505,"○")&gt;0,1,0))</f>
        <v>0</v>
      </c>
      <c r="AZ19" s="39" t="n">
        <f aca="false">IF(AZ$4=0,0,IF(COUNTIFS(実績!$W$6:$W$505,AZ$3,実績!$AI$6:$AI$505,"&lt;="&amp;$A19,実績!$AJ$6:$AJ$505,"&gt;"&amp;$A19,実績!$AK$6:$AK$505,"○")&gt;0,1,0))</f>
        <v>0</v>
      </c>
      <c r="BA19" s="39" t="n">
        <f aca="false">IF(BA$4=0,0,IF(COUNTIFS(実績!$W$6:$W$505,BA$3,実績!$AI$6:$AI$505,"&lt;="&amp;$A19,実績!$AJ$6:$AJ$505,"&gt;"&amp;$A19,実績!$AK$6:$AK$505,"○")&gt;0,1,0))</f>
        <v>0</v>
      </c>
      <c r="BB19" s="39" t="n">
        <f aca="false">IF(BB$4=0,0,IF(COUNTIFS(実績!$W$6:$W$505,BB$3,実績!$AI$6:$AI$505,"&lt;="&amp;$A19,実績!$AJ$6:$AJ$505,"&gt;"&amp;$A19,実績!$AK$6:$AK$505,"○")&gt;0,1,0))</f>
        <v>0</v>
      </c>
      <c r="BC19" s="39" t="n">
        <f aca="false">IF(BC$4=0,0,IF(COUNTIFS(実績!$W$6:$W$505,BC$3,実績!$AI$6:$AI$505,"&lt;="&amp;$A19,実績!$AJ$6:$AJ$505,"&gt;"&amp;$A19,実績!$AK$6:$AK$505,"○")&gt;0,1,0))</f>
        <v>0</v>
      </c>
      <c r="BD19" s="39" t="n">
        <f aca="false">IF(BD$4=0,0,IF(COUNTIFS(実績!$W$6:$W$505,BD$3,実績!$AI$6:$AI$505,"&lt;="&amp;$A19,実績!$AJ$6:$AJ$505,"&gt;"&amp;$A19,実績!$AK$6:$AK$505,"○")&gt;0,1,0))</f>
        <v>0</v>
      </c>
      <c r="BE19" s="39" t="n">
        <f aca="false">IF(BE$4=0,0,IF(COUNTIFS(実績!$W$6:$W$505,BE$3,実績!$AI$6:$AI$505,"&lt;="&amp;$A19,実績!$AJ$6:$AJ$505,"&gt;"&amp;$A19,実績!$AK$6:$AK$505,"○")&gt;0,1,0))</f>
        <v>0</v>
      </c>
      <c r="BF19" s="39" t="n">
        <f aca="false">IF(BF$4=0,0,IF(COUNTIFS(実績!$W$6:$W$505,BF$3,実績!$AI$6:$AI$505,"&lt;="&amp;$A19,実績!$AJ$6:$AJ$505,"&gt;"&amp;$A19,実績!$AK$6:$AK$505,"○")&gt;0,1,0))</f>
        <v>0</v>
      </c>
      <c r="BG19" s="39" t="n">
        <f aca="false">IF(BG$4=0,0,IF(COUNTIFS(実績!$W$6:$W$505,BG$3,実績!$AI$6:$AI$505,"&lt;="&amp;$A19,実績!$AJ$6:$AJ$505,"&gt;"&amp;$A19,実績!$AK$6:$AK$505,"○")&gt;0,1,0))</f>
        <v>0</v>
      </c>
      <c r="BH19" s="39" t="n">
        <f aca="false">IF(BH$4=0,0,IF(COUNTIFS(実績!$W$6:$W$505,BH$3,実績!$AI$6:$AI$505,"&lt;="&amp;$A19,実績!$AJ$6:$AJ$505,"&gt;"&amp;$A19,実績!$AK$6:$AK$505,"○")&gt;0,1,0))</f>
        <v>0</v>
      </c>
      <c r="BI19" s="39" t="n">
        <f aca="false">IF(BI$4=0,0,IF(COUNTIFS(実績!$W$6:$W$505,BI$3,実績!$AI$6:$AI$505,"&lt;="&amp;$A19,実績!$AJ$6:$AJ$505,"&gt;"&amp;$A19,実績!$AK$6:$AK$505,"○")&gt;0,1,0))</f>
        <v>0</v>
      </c>
      <c r="BJ19" s="39" t="n">
        <f aca="false">IF(BJ$4=0,0,IF(COUNTIFS(実績!$W$6:$W$505,BJ$3,実績!$AI$6:$AI$505,"&lt;="&amp;$A19,実績!$AJ$6:$AJ$505,"&gt;"&amp;$A19,実績!$AK$6:$AK$505,"○")&gt;0,1,0))</f>
        <v>0</v>
      </c>
      <c r="BK19" s="39" t="n">
        <f aca="false">IF(BK$4=0,0,IF(COUNTIFS(実績!$W$6:$W$505,BK$3,実績!$AI$6:$AI$505,"&lt;="&amp;$A19,実績!$AJ$6:$AJ$505,"&gt;"&amp;$A19,実績!$AK$6:$AK$505,"○")&gt;0,1,0))</f>
        <v>0</v>
      </c>
      <c r="BL19" s="39" t="n">
        <f aca="false">IF(BL$4=0,0,IF(COUNTIFS(実績!$W$6:$W$505,BL$3,実績!$AI$6:$AI$505,"&lt;="&amp;$A19,実績!$AJ$6:$AJ$505,"&gt;"&amp;$A19,実績!$AK$6:$AK$505,"○")&gt;0,1,0))</f>
        <v>0</v>
      </c>
      <c r="BM19" s="39" t="n">
        <f aca="false">IF(BM$4=0,0,IF(COUNTIFS(実績!$W$6:$W$505,BM$3,実績!$AI$6:$AI$505,"&lt;="&amp;$A19,実績!$AJ$6:$AJ$505,"&gt;"&amp;$A19,実績!$AK$6:$AK$505,"○")&gt;0,1,0))</f>
        <v>0</v>
      </c>
      <c r="BN19" s="39" t="n">
        <f aca="false">IF(BN$4=0,0,IF(COUNTIFS(実績!$W$6:$W$505,BN$3,実績!$AI$6:$AI$505,"&lt;="&amp;$A19,実績!$AJ$6:$AJ$505,"&gt;"&amp;$A19,実績!$AK$6:$AK$505,"○")&gt;0,1,0))</f>
        <v>0</v>
      </c>
      <c r="BO19" s="39" t="n">
        <f aca="false">IF(BO$4=0,0,IF(COUNTIFS(実績!$W$6:$W$505,BO$3,実績!$AI$6:$AI$505,"&lt;="&amp;$A19,実績!$AJ$6:$AJ$505,"&gt;"&amp;$A19,実績!$AK$6:$AK$505,"○")&gt;0,1,0))</f>
        <v>0</v>
      </c>
      <c r="BP19" s="39" t="n">
        <f aca="false">IF(BP$4=0,0,IF(COUNTIFS(実績!$W$6:$W$505,BP$3,実績!$AI$6:$AI$505,"&lt;="&amp;$A19,実績!$AJ$6:$AJ$505,"&gt;"&amp;$A19,実績!$AK$6:$AK$505,"○")&gt;0,1,0))</f>
        <v>0</v>
      </c>
      <c r="BQ19" s="39" t="n">
        <f aca="false">IF(BQ$4=0,0,IF(COUNTIFS(実績!$W$6:$W$505,BQ$3,実績!$AI$6:$AI$505,"&lt;="&amp;$A19,実績!$AJ$6:$AJ$505,"&gt;"&amp;$A19,実績!$AK$6:$AK$505,"○")&gt;0,1,0))</f>
        <v>0</v>
      </c>
      <c r="BR19" s="39" t="n">
        <f aca="false">IF(BR$4=0,0,IF(COUNTIFS(実績!$W$6:$W$505,BR$3,実績!$AI$6:$AI$505,"&lt;="&amp;$A19,実績!$AJ$6:$AJ$505,"&gt;"&amp;$A19,実績!$AK$6:$AK$505,"○")&gt;0,1,0))</f>
        <v>0</v>
      </c>
      <c r="BS19" s="39" t="n">
        <f aca="false">IF(BS$4=0,0,IF(COUNTIFS(実績!$W$6:$W$505,BS$3,実績!$AI$6:$AI$505,"&lt;="&amp;$A19,実績!$AJ$6:$AJ$505,"&gt;"&amp;$A19,実績!$AK$6:$AK$505,"○")&gt;0,1,0))</f>
        <v>0</v>
      </c>
      <c r="BT19" s="39" t="n">
        <f aca="false">IF(BT$4=0,0,IF(COUNTIFS(実績!$W$6:$W$505,BT$3,実績!$AI$6:$AI$505,"&lt;="&amp;$A19,実績!$AJ$6:$AJ$505,"&gt;"&amp;$A19,実績!$AK$6:$AK$505,"○")&gt;0,1,0))</f>
        <v>0</v>
      </c>
      <c r="BU19" s="39" t="n">
        <f aca="false">IF(BU$4=0,0,IF(COUNTIFS(実績!$W$6:$W$505,BU$3,実績!$AI$6:$AI$505,"&lt;="&amp;$A19,実績!$AJ$6:$AJ$505,"&gt;"&amp;$A19,実績!$AK$6:$AK$505,"○")&gt;0,1,0))</f>
        <v>0</v>
      </c>
      <c r="BV19" s="39" t="n">
        <f aca="false">IF(BV$4=0,0,IF(COUNTIFS(実績!$W$6:$W$505,BV$3,実績!$AI$6:$AI$505,"&lt;="&amp;$A19,実績!$AJ$6:$AJ$505,"&gt;"&amp;$A19,実績!$AK$6:$AK$505,"○")&gt;0,1,0))</f>
        <v>0</v>
      </c>
      <c r="BW19" s="39" t="n">
        <f aca="false">IF(BW$4=0,0,IF(COUNTIFS(実績!$W$6:$W$505,BW$3,実績!$AI$6:$AI$505,"&lt;="&amp;$A19,実績!$AJ$6:$AJ$505,"&gt;"&amp;$A19,実績!$AK$6:$AK$505,"○")&gt;0,1,0))</f>
        <v>0</v>
      </c>
      <c r="BX19" s="39" t="n">
        <f aca="false">IF(BX$4=0,0,IF(COUNTIFS(実績!$W$6:$W$505,BX$3,実績!$AI$6:$AI$505,"&lt;="&amp;$A19,実績!$AJ$6:$AJ$505,"&gt;"&amp;$A19,実績!$AK$6:$AK$505,"○")&gt;0,1,0))</f>
        <v>0</v>
      </c>
      <c r="BY19" s="39" t="n">
        <f aca="false">IF(BY$4=0,0,IF(COUNTIFS(実績!$W$6:$W$505,BY$3,実績!$AI$6:$AI$505,"&lt;="&amp;$A19,実績!$AJ$6:$AJ$505,"&gt;"&amp;$A19,実績!$AK$6:$AK$505,"○")&gt;0,1,0))</f>
        <v>0</v>
      </c>
      <c r="BZ19" s="39" t="n">
        <f aca="false">IF(BZ$4=0,0,IF(COUNTIFS(実績!$W$6:$W$505,BZ$3,実績!$AI$6:$AI$505,"&lt;="&amp;$A19,実績!$AJ$6:$AJ$505,"&gt;"&amp;$A19,実績!$AK$6:$AK$505,"○")&gt;0,1,0))</f>
        <v>0</v>
      </c>
      <c r="CA19" s="39" t="n">
        <f aca="false">IF(CA$4=0,0,IF(COUNTIFS(実績!$W$6:$W$505,CA$3,実績!$AI$6:$AI$505,"&lt;="&amp;$A19,実績!$AJ$6:$AJ$505,"&gt;"&amp;$A19,実績!$AK$6:$AK$505,"○")&gt;0,1,0))</f>
        <v>0</v>
      </c>
      <c r="CB19" s="39" t="n">
        <f aca="false">IF(CB$4=0,0,IF(COUNTIFS(実績!$W$6:$W$505,CB$3,実績!$AI$6:$AI$505,"&lt;="&amp;$A19,実績!$AJ$6:$AJ$505,"&gt;"&amp;$A19,実績!$AK$6:$AK$505,"○")&gt;0,1,0))</f>
        <v>0</v>
      </c>
      <c r="CC19" s="39" t="n">
        <f aca="false">IF(CC$4=0,0,IF(COUNTIFS(実績!$W$6:$W$505,CC$3,実績!$AI$6:$AI$505,"&lt;="&amp;$A19,実績!$AJ$6:$AJ$505,"&gt;"&amp;$A19,実績!$AK$6:$AK$505,"○")&gt;0,1,0))</f>
        <v>0</v>
      </c>
      <c r="CD19" s="39" t="n">
        <f aca="false">IF(CD$4=0,0,IF(COUNTIFS(実績!$W$6:$W$505,CD$3,実績!$AI$6:$AI$505,"&lt;="&amp;$A19,実績!$AJ$6:$AJ$505,"&gt;"&amp;$A19,実績!$AK$6:$AK$505,"○")&gt;0,1,0))</f>
        <v>0</v>
      </c>
      <c r="CE19" s="39" t="n">
        <f aca="false">IF(CE$4=0,0,IF(COUNTIFS(実績!$W$6:$W$505,CE$3,実績!$AI$6:$AI$505,"&lt;="&amp;$A19,実績!$AJ$6:$AJ$505,"&gt;"&amp;$A19,実績!$AK$6:$AK$505,"○")&gt;0,1,0))</f>
        <v>0</v>
      </c>
      <c r="CF19" s="39" t="n">
        <f aca="false">IF(CF$4=0,0,IF(COUNTIFS(実績!$W$6:$W$505,CF$3,実績!$AI$6:$AI$505,"&lt;="&amp;$A19,実績!$AJ$6:$AJ$505,"&gt;"&amp;$A19,実績!$AK$6:$AK$505,"○")&gt;0,1,0))</f>
        <v>0</v>
      </c>
      <c r="CG19" s="39" t="n">
        <f aca="false">IF(CG$4=0,0,IF(COUNTIFS(実績!$W$6:$W$505,CG$3,実績!$AI$6:$AI$505,"&lt;="&amp;$A19,実績!$AJ$6:$AJ$505,"&gt;"&amp;$A19,実績!$AK$6:$AK$505,"○")&gt;0,1,0))</f>
        <v>0</v>
      </c>
      <c r="CH19" s="39" t="n">
        <f aca="false">IF(CH$4=0,0,IF(COUNTIFS(実績!$W$6:$W$505,CH$3,実績!$AI$6:$AI$505,"&lt;="&amp;$A19,実績!$AJ$6:$AJ$505,"&gt;"&amp;$A19,実績!$AK$6:$AK$505,"○")&gt;0,1,0))</f>
        <v>0</v>
      </c>
      <c r="CI19" s="39" t="n">
        <f aca="false">IF(CI$4=0,0,IF(COUNTIFS(実績!$W$6:$W$505,CI$3,実績!$AI$6:$AI$505,"&lt;="&amp;$A19,実績!$AJ$6:$AJ$505,"&gt;"&amp;$A19,実績!$AK$6:$AK$505,"○")&gt;0,1,0))</f>
        <v>0</v>
      </c>
      <c r="CJ19" s="39" t="n">
        <f aca="false">IF(CJ$4=0,0,IF(COUNTIFS(実績!$W$6:$W$505,CJ$3,実績!$AI$6:$AI$505,"&lt;="&amp;$A19,実績!$AJ$6:$AJ$505,"&gt;"&amp;$A19,実績!$AK$6:$AK$505,"○")&gt;0,1,0))</f>
        <v>0</v>
      </c>
      <c r="CK19" s="39" t="n">
        <f aca="false">IF(CK$4=0,0,IF(COUNTIFS(実績!$W$6:$W$505,CK$3,実績!$AI$6:$AI$505,"&lt;="&amp;$A19,実績!$AJ$6:$AJ$505,"&gt;"&amp;$A19,実績!$AK$6:$AK$505,"○")&gt;0,1,0))</f>
        <v>0</v>
      </c>
      <c r="CL19" s="39" t="n">
        <f aca="false">IF(CL$4=0,0,IF(COUNTIFS(実績!$W$6:$W$505,CL$3,実績!$AI$6:$AI$505,"&lt;="&amp;$A19,実績!$AJ$6:$AJ$505,"&gt;"&amp;$A19,実績!$AK$6:$AK$505,"○")&gt;0,1,0))</f>
        <v>0</v>
      </c>
      <c r="CM19" s="39" t="n">
        <f aca="false">IF(CM$4=0,0,IF(COUNTIFS(実績!$W$6:$W$505,CM$3,実績!$AI$6:$AI$505,"&lt;="&amp;$A19,実績!$AJ$6:$AJ$505,"&gt;"&amp;$A19,実績!$AK$6:$AK$505,"○")&gt;0,1,0))</f>
        <v>0</v>
      </c>
      <c r="CN19" s="39" t="n">
        <f aca="false">IF(CN$4=0,0,IF(COUNTIFS(実績!$W$6:$W$505,CN$3,実績!$AI$6:$AI$505,"&lt;="&amp;$A19,実績!$AJ$6:$AJ$505,"&gt;"&amp;$A19,実績!$AK$6:$AK$505,"○")&gt;0,1,0))</f>
        <v>0</v>
      </c>
      <c r="CO19" s="39" t="n">
        <f aca="false">IF(CO$4=0,0,IF(COUNTIFS(実績!$W$6:$W$505,CO$3,実績!$AI$6:$AI$505,"&lt;="&amp;$A19,実績!$AJ$6:$AJ$505,"&gt;"&amp;$A19,実績!$AK$6:$AK$505,"○")&gt;0,1,0))</f>
        <v>0</v>
      </c>
      <c r="CP19" s="39" t="n">
        <f aca="false">IF(CP$4=0,0,IF(COUNTIFS(実績!$W$6:$W$505,CP$3,実績!$AI$6:$AI$505,"&lt;="&amp;$A19,実績!$AJ$6:$AJ$505,"&gt;"&amp;$A19,実績!$AK$6:$AK$505,"○")&gt;0,1,0))</f>
        <v>0</v>
      </c>
      <c r="CQ19" s="39" t="n">
        <f aca="false">IF(CQ$4=0,0,IF(COUNTIFS(実績!$W$6:$W$505,CQ$3,実績!$AI$6:$AI$505,"&lt;="&amp;$A19,実績!$AJ$6:$AJ$505,"&gt;"&amp;$A19,実績!$AK$6:$AK$505,"○")&gt;0,1,0))</f>
        <v>0</v>
      </c>
      <c r="CR19" s="39" t="n">
        <f aca="false">IF(CR$4=0,0,IF(COUNTIFS(実績!$W$6:$W$505,CR$3,実績!$AI$6:$AI$505,"&lt;="&amp;$A19,実績!$AJ$6:$AJ$505,"&gt;"&amp;$A19,実績!$AK$6:$AK$505,"○")&gt;0,1,0))</f>
        <v>0</v>
      </c>
      <c r="CS19" s="39" t="n">
        <f aca="false">IF(CS$4=0,0,IF(COUNTIFS(実績!$W$6:$W$505,CS$3,実績!$AI$6:$AI$505,"&lt;="&amp;$A19,実績!$AJ$6:$AJ$505,"&gt;"&amp;$A19,実績!$AK$6:$AK$505,"○")&gt;0,1,0))</f>
        <v>0</v>
      </c>
      <c r="CT19" s="39" t="n">
        <f aca="false">IF(CT$4=0,0,IF(COUNTIFS(実績!$W$6:$W$505,CT$3,実績!$AI$6:$AI$505,"&lt;="&amp;$A19,実績!$AJ$6:$AJ$505,"&gt;"&amp;$A19,実績!$AK$6:$AK$505,"○")&gt;0,1,0))</f>
        <v>0</v>
      </c>
      <c r="CU19" s="39" t="n">
        <f aca="false">IF(CU$4=0,0,IF(COUNTIFS(実績!$W$6:$W$505,CU$3,実績!$AI$6:$AI$505,"&lt;="&amp;$A19,実績!$AJ$6:$AJ$505,"&gt;"&amp;$A19,実績!$AK$6:$AK$505,"○")&gt;0,1,0))</f>
        <v>0</v>
      </c>
      <c r="CV19" s="39" t="n">
        <f aca="false">IF(CV$4=0,0,IF(COUNTIFS(実績!$W$6:$W$505,CV$3,実績!$AI$6:$AI$505,"&lt;="&amp;$A19,実績!$AJ$6:$AJ$505,"&gt;"&amp;$A19,実績!$AK$6:$AK$505,"○")&gt;0,1,0))</f>
        <v>0</v>
      </c>
      <c r="CW19" s="39" t="n">
        <f aca="false">IF(CW$4=0,0,IF(COUNTIFS(実績!$W$6:$W$505,CW$3,実績!$AI$6:$AI$505,"&lt;="&amp;$A19,実績!$AJ$6:$AJ$505,"&gt;"&amp;$A19,実績!$AK$6:$AK$505,"○")&gt;0,1,0))</f>
        <v>0</v>
      </c>
      <c r="CX19" s="39" t="n">
        <f aca="false">IF(CX$4=0,0,IF(COUNTIFS(実績!$W$6:$W$505,CX$3,実績!$AI$6:$AI$505,"&lt;="&amp;$A19,実績!$AJ$6:$AJ$505,"&gt;"&amp;$A19,実績!$AK$6:$AK$505,"○")&gt;0,1,0))</f>
        <v>0</v>
      </c>
      <c r="CY19" s="39" t="n">
        <f aca="false">IF(CY$4=0,0,IF(COUNTIFS(実績!$W$6:$W$505,CY$3,実績!$AI$6:$AI$505,"&lt;="&amp;$A19,実績!$AJ$6:$AJ$505,"&gt;"&amp;$A19,実績!$AK$6:$AK$505,"○")&gt;0,1,0))</f>
        <v>0</v>
      </c>
      <c r="CZ19" s="39" t="n">
        <f aca="false">IF(CZ$4=0,0,IF(COUNTIFS(実績!$W$6:$W$505,CZ$3,実績!$AI$6:$AI$505,"&lt;="&amp;$A19,実績!$AJ$6:$AJ$505,"&gt;"&amp;$A19,実績!$AK$6:$AK$505,"○")&gt;0,1,0))</f>
        <v>0</v>
      </c>
      <c r="DA19" s="39" t="n">
        <f aca="false">IF(DA$4=0,0,IF(COUNTIFS(実績!$W$6:$W$505,DA$3,実績!$AI$6:$AI$505,"&lt;="&amp;$A19,実績!$AJ$6:$AJ$505,"&gt;"&amp;$A19,実績!$AK$6:$AK$505,"○")&gt;0,1,0))</f>
        <v>0</v>
      </c>
      <c r="DB19" s="39" t="n">
        <f aca="false">IF(DB$4=0,0,IF(COUNTIFS(実績!$W$6:$W$505,DB$3,実績!$AI$6:$AI$505,"&lt;="&amp;$A19,実績!$AJ$6:$AJ$505,"&gt;"&amp;$A19,実績!$AK$6:$AK$505,"○")&gt;0,1,0))</f>
        <v>0</v>
      </c>
      <c r="DC19" s="39" t="n">
        <f aca="false">IF(DC$4=0,0,IF(COUNTIFS(実績!$W$6:$W$505,DC$3,実績!$AI$6:$AI$505,"&lt;="&amp;$A19,実績!$AJ$6:$AJ$505,"&gt;"&amp;$A19,実績!$AK$6:$AK$505,"○")&gt;0,1,0))</f>
        <v>0</v>
      </c>
      <c r="DD19" s="39" t="n">
        <f aca="false">IF(DD$4=0,0,IF(COUNTIFS(実績!$W$6:$W$505,DD$3,実績!$AI$6:$AI$505,"&lt;="&amp;$A19,実績!$AJ$6:$AJ$505,"&gt;"&amp;$A19,実績!$AK$6:$AK$505,"○")&gt;0,1,0))</f>
        <v>0</v>
      </c>
      <c r="DE19" s="39" t="n">
        <f aca="false">IF(DE$4=0,0,IF(COUNTIFS(実績!$W$6:$W$505,DE$3,実績!$AI$6:$AI$505,"&lt;="&amp;$A19,実績!$AJ$6:$AJ$505,"&gt;"&amp;$A19,実績!$AK$6:$AK$505,"○")&gt;0,1,0))</f>
        <v>0</v>
      </c>
      <c r="DF19" s="39" t="n">
        <f aca="false">IF(DF$4=0,0,IF(COUNTIFS(実績!$W$6:$W$505,DF$3,実績!$AI$6:$AI$505,"&lt;="&amp;$A19,実績!$AJ$6:$AJ$505,"&gt;"&amp;$A19,実績!$AK$6:$AK$505,"○")&gt;0,1,0))</f>
        <v>0</v>
      </c>
      <c r="DG19" s="39" t="n">
        <f aca="false">IF(DG$4=0,0,IF(COUNTIFS(実績!$W$6:$W$505,DG$3,実績!$AI$6:$AI$505,"&lt;="&amp;$A19,実績!$AJ$6:$AJ$505,"&gt;"&amp;$A19,実績!$AK$6:$AK$505,"○")&gt;0,1,0))</f>
        <v>0</v>
      </c>
      <c r="DH19" s="39" t="n">
        <f aca="false">IF(DH$4=0,0,IF(COUNTIFS(実績!$W$6:$W$505,DH$3,実績!$AI$6:$AI$505,"&lt;="&amp;$A19,実績!$AJ$6:$AJ$505,"&gt;"&amp;$A19,実績!$AK$6:$AK$505,"○")&gt;0,1,0))</f>
        <v>0</v>
      </c>
      <c r="DI19" s="39" t="n">
        <f aca="false">IF(DI$4=0,0,IF(COUNTIFS(実績!$W$6:$W$505,DI$3,実績!$AI$6:$AI$505,"&lt;="&amp;$A19,実績!$AJ$6:$AJ$505,"&gt;"&amp;$A19,実績!$AK$6:$AK$505,"○")&gt;0,1,0))</f>
        <v>0</v>
      </c>
      <c r="DJ19" s="39" t="n">
        <f aca="false">IF(DJ$4=0,0,IF(COUNTIFS(実績!$W$6:$W$505,DJ$3,実績!$AI$6:$AI$505,"&lt;="&amp;$A19,実績!$AJ$6:$AJ$505,"&gt;"&amp;$A19,実績!$AK$6:$AK$505,"○")&gt;0,1,0))</f>
        <v>0</v>
      </c>
      <c r="DK19" s="39" t="n">
        <f aca="false">IF(DK$4=0,0,IF(COUNTIFS(実績!$W$6:$W$505,DK$3,実績!$AI$6:$AI$505,"&lt;="&amp;$A19,実績!$AJ$6:$AJ$505,"&gt;"&amp;$A19,実績!$AK$6:$AK$505,"○")&gt;0,1,0))</f>
        <v>0</v>
      </c>
      <c r="DL19" s="39" t="n">
        <f aca="false">IF(DL$4=0,0,IF(COUNTIFS(実績!$W$6:$W$505,DL$3,実績!$AI$6:$AI$505,"&lt;="&amp;$A19,実績!$AJ$6:$AJ$505,"&gt;"&amp;$A19,実績!$AK$6:$AK$505,"○")&gt;0,1,0))</f>
        <v>0</v>
      </c>
      <c r="DM19" s="39" t="n">
        <f aca="false">IF(DM$4=0,0,IF(COUNTIFS(実績!$W$6:$W$505,DM$3,実績!$AI$6:$AI$505,"&lt;="&amp;$A19,実績!$AJ$6:$AJ$505,"&gt;"&amp;$A19,実績!$AK$6:$AK$505,"○")&gt;0,1,0))</f>
        <v>0</v>
      </c>
      <c r="DN19" s="39" t="n">
        <f aca="false">IF(DN$4=0,0,IF(COUNTIFS(実績!$W$6:$W$505,DN$3,実績!$AI$6:$AI$505,"&lt;="&amp;$A19,実績!$AJ$6:$AJ$505,"&gt;"&amp;$A19,実績!$AK$6:$AK$505,"○")&gt;0,1,0))</f>
        <v>0</v>
      </c>
      <c r="DO19" s="39" t="n">
        <f aca="false">IF(DO$4=0,0,IF(COUNTIFS(実績!$W$6:$W$505,DO$3,実績!$AI$6:$AI$505,"&lt;="&amp;$A19,実績!$AJ$6:$AJ$505,"&gt;"&amp;$A19,実績!$AK$6:$AK$505,"○")&gt;0,1,0))</f>
        <v>0</v>
      </c>
      <c r="DP19" s="39" t="n">
        <f aca="false">IF(DP$4=0,0,IF(COUNTIFS(実績!$W$6:$W$505,DP$3,実績!$AI$6:$AI$505,"&lt;="&amp;$A19,実績!$AJ$6:$AJ$505,"&gt;"&amp;$A19,実績!$AK$6:$AK$505,"○")&gt;0,1,0))</f>
        <v>0</v>
      </c>
      <c r="DQ19" s="39" t="n">
        <f aca="false">IF(DQ$4=0,0,IF(COUNTIFS(実績!$W$6:$W$505,DQ$3,実績!$AI$6:$AI$505,"&lt;="&amp;$A19,実績!$AJ$6:$AJ$505,"&gt;"&amp;$A19,実績!$AK$6:$AK$505,"○")&gt;0,1,0))</f>
        <v>0</v>
      </c>
      <c r="DR19" s="39" t="n">
        <f aca="false">IF(DR$4=0,0,IF(COUNTIFS(実績!$W$6:$W$505,DR$3,実績!$AI$6:$AI$505,"&lt;="&amp;$A19,実績!$AJ$6:$AJ$505,"&gt;"&amp;$A19,実績!$AK$6:$AK$505,"○")&gt;0,1,0))</f>
        <v>0</v>
      </c>
      <c r="DS19" s="39" t="n">
        <f aca="false">SUM(C19:DR19)</f>
        <v>0</v>
      </c>
      <c r="DT19" s="39" t="n">
        <f aca="false">SUMPRODUCT((実績!$C$6:$C$505="○")*ISNUMBER(実績!$AM$6:$AM$505)*(実績!$AM$6:$AM$505&lt;=$A19)*(実績!$AN$6:$AN$505&gt;$A19))</f>
        <v>0</v>
      </c>
      <c r="DU19" s="39" t="n">
        <f aca="false">SUMIF($C$2:$DR$2,"製鉄曳船",C19:DR19)</f>
        <v>0</v>
      </c>
      <c r="DV19" s="39" t="n">
        <f aca="false">SUMIF($C$2:$DR$2,"西日本海運",C19:DR19)</f>
        <v>0</v>
      </c>
    </row>
    <row r="20" customFormat="false" ht="15" hidden="false" customHeight="false" outlineLevel="0" collapsed="false">
      <c r="A20" s="0" t="n">
        <v>70</v>
      </c>
      <c r="B20" s="38" t="n">
        <f aca="false">A20/1440</f>
        <v>0.0486111111111111</v>
      </c>
      <c r="C20" s="39" t="n">
        <f aca="false">IF(C$4=0,0,IF(COUNTIFS(実績!$W$6:$W$505,C$3,実績!$AI$6:$AI$505,"&lt;="&amp;$A20,実績!$AJ$6:$AJ$505,"&gt;"&amp;$A20,実績!$AK$6:$AK$505,"○")&gt;0,1,0))</f>
        <v>0</v>
      </c>
      <c r="D20" s="39" t="n">
        <f aca="false">IF(D$4=0,0,IF(COUNTIFS(実績!$W$6:$W$505,D$3,実績!$AI$6:$AI$505,"&lt;="&amp;$A20,実績!$AJ$6:$AJ$505,"&gt;"&amp;$A20,実績!$AK$6:$AK$505,"○")&gt;0,1,0))</f>
        <v>0</v>
      </c>
      <c r="E20" s="39" t="n">
        <f aca="false">IF(E$4=0,0,IF(COUNTIFS(実績!$W$6:$W$505,E$3,実績!$AI$6:$AI$505,"&lt;="&amp;$A20,実績!$AJ$6:$AJ$505,"&gt;"&amp;$A20,実績!$AK$6:$AK$505,"○")&gt;0,1,0))</f>
        <v>0</v>
      </c>
      <c r="F20" s="39" t="n">
        <f aca="false">IF(F$4=0,0,IF(COUNTIFS(実績!$W$6:$W$505,F$3,実績!$AI$6:$AI$505,"&lt;="&amp;$A20,実績!$AJ$6:$AJ$505,"&gt;"&amp;$A20,実績!$AK$6:$AK$505,"○")&gt;0,1,0))</f>
        <v>0</v>
      </c>
      <c r="G20" s="39" t="n">
        <f aca="false">IF(G$4=0,0,IF(COUNTIFS(実績!$W$6:$W$505,G$3,実績!$AI$6:$AI$505,"&lt;="&amp;$A20,実績!$AJ$6:$AJ$505,"&gt;"&amp;$A20,実績!$AK$6:$AK$505,"○")&gt;0,1,0))</f>
        <v>0</v>
      </c>
      <c r="H20" s="39" t="n">
        <f aca="false">IF(H$4=0,0,IF(COUNTIFS(実績!$W$6:$W$505,H$3,実績!$AI$6:$AI$505,"&lt;="&amp;$A20,実績!$AJ$6:$AJ$505,"&gt;"&amp;$A20,実績!$AK$6:$AK$505,"○")&gt;0,1,0))</f>
        <v>0</v>
      </c>
      <c r="I20" s="39" t="n">
        <f aca="false">IF(I$4=0,0,IF(COUNTIFS(実績!$W$6:$W$505,I$3,実績!$AI$6:$AI$505,"&lt;="&amp;$A20,実績!$AJ$6:$AJ$505,"&gt;"&amp;$A20,実績!$AK$6:$AK$505,"○")&gt;0,1,0))</f>
        <v>0</v>
      </c>
      <c r="J20" s="39" t="n">
        <f aca="false">IF(J$4=0,0,IF(COUNTIFS(実績!$W$6:$W$505,J$3,実績!$AI$6:$AI$505,"&lt;="&amp;$A20,実績!$AJ$6:$AJ$505,"&gt;"&amp;$A20,実績!$AK$6:$AK$505,"○")&gt;0,1,0))</f>
        <v>0</v>
      </c>
      <c r="K20" s="39" t="n">
        <f aca="false">IF(K$4=0,0,IF(COUNTIFS(実績!$W$6:$W$505,K$3,実績!$AI$6:$AI$505,"&lt;="&amp;$A20,実績!$AJ$6:$AJ$505,"&gt;"&amp;$A20,実績!$AK$6:$AK$505,"○")&gt;0,1,0))</f>
        <v>0</v>
      </c>
      <c r="L20" s="39" t="n">
        <f aca="false">IF(L$4=0,0,IF(COUNTIFS(実績!$W$6:$W$505,L$3,実績!$AI$6:$AI$505,"&lt;="&amp;$A20,実績!$AJ$6:$AJ$505,"&gt;"&amp;$A20,実績!$AK$6:$AK$505,"○")&gt;0,1,0))</f>
        <v>0</v>
      </c>
      <c r="M20" s="39" t="n">
        <f aca="false">IF(M$4=0,0,IF(COUNTIFS(実績!$W$6:$W$505,M$3,実績!$AI$6:$AI$505,"&lt;="&amp;$A20,実績!$AJ$6:$AJ$505,"&gt;"&amp;$A20,実績!$AK$6:$AK$505,"○")&gt;0,1,0))</f>
        <v>0</v>
      </c>
      <c r="N20" s="39" t="n">
        <f aca="false">IF(N$4=0,0,IF(COUNTIFS(実績!$W$6:$W$505,N$3,実績!$AI$6:$AI$505,"&lt;="&amp;$A20,実績!$AJ$6:$AJ$505,"&gt;"&amp;$A20,実績!$AK$6:$AK$505,"○")&gt;0,1,0))</f>
        <v>0</v>
      </c>
      <c r="O20" s="39" t="n">
        <f aca="false">IF(O$4=0,0,IF(COUNTIFS(実績!$W$6:$W$505,O$3,実績!$AI$6:$AI$505,"&lt;="&amp;$A20,実績!$AJ$6:$AJ$505,"&gt;"&amp;$A20,実績!$AK$6:$AK$505,"○")&gt;0,1,0))</f>
        <v>0</v>
      </c>
      <c r="P20" s="39" t="n">
        <f aca="false">IF(P$4=0,0,IF(COUNTIFS(実績!$W$6:$W$505,P$3,実績!$AI$6:$AI$505,"&lt;="&amp;$A20,実績!$AJ$6:$AJ$505,"&gt;"&amp;$A20,実績!$AK$6:$AK$505,"○")&gt;0,1,0))</f>
        <v>0</v>
      </c>
      <c r="Q20" s="39" t="n">
        <f aca="false">IF(Q$4=0,0,IF(COUNTIFS(実績!$W$6:$W$505,Q$3,実績!$AI$6:$AI$505,"&lt;="&amp;$A20,実績!$AJ$6:$AJ$505,"&gt;"&amp;$A20,実績!$AK$6:$AK$505,"○")&gt;0,1,0))</f>
        <v>0</v>
      </c>
      <c r="R20" s="39" t="n">
        <f aca="false">IF(R$4=0,0,IF(COUNTIFS(実績!$W$6:$W$505,R$3,実績!$AI$6:$AI$505,"&lt;="&amp;$A20,実績!$AJ$6:$AJ$505,"&gt;"&amp;$A20,実績!$AK$6:$AK$505,"○")&gt;0,1,0))</f>
        <v>0</v>
      </c>
      <c r="S20" s="39" t="n">
        <f aca="false">IF(S$4=0,0,IF(COUNTIFS(実績!$W$6:$W$505,S$3,実績!$AI$6:$AI$505,"&lt;="&amp;$A20,実績!$AJ$6:$AJ$505,"&gt;"&amp;$A20,実績!$AK$6:$AK$505,"○")&gt;0,1,0))</f>
        <v>0</v>
      </c>
      <c r="T20" s="39" t="n">
        <f aca="false">IF(T$4=0,0,IF(COUNTIFS(実績!$W$6:$W$505,T$3,実績!$AI$6:$AI$505,"&lt;="&amp;$A20,実績!$AJ$6:$AJ$505,"&gt;"&amp;$A20,実績!$AK$6:$AK$505,"○")&gt;0,1,0))</f>
        <v>0</v>
      </c>
      <c r="U20" s="39" t="n">
        <f aca="false">IF(U$4=0,0,IF(COUNTIFS(実績!$W$6:$W$505,U$3,実績!$AI$6:$AI$505,"&lt;="&amp;$A20,実績!$AJ$6:$AJ$505,"&gt;"&amp;$A20,実績!$AK$6:$AK$505,"○")&gt;0,1,0))</f>
        <v>0</v>
      </c>
      <c r="V20" s="39" t="n">
        <f aca="false">IF(V$4=0,0,IF(COUNTIFS(実績!$W$6:$W$505,V$3,実績!$AI$6:$AI$505,"&lt;="&amp;$A20,実績!$AJ$6:$AJ$505,"&gt;"&amp;$A20,実績!$AK$6:$AK$505,"○")&gt;0,1,0))</f>
        <v>0</v>
      </c>
      <c r="W20" s="39" t="n">
        <f aca="false">IF(W$4=0,0,IF(COUNTIFS(実績!$W$6:$W$505,W$3,実績!$AI$6:$AI$505,"&lt;="&amp;$A20,実績!$AJ$6:$AJ$505,"&gt;"&amp;$A20,実績!$AK$6:$AK$505,"○")&gt;0,1,0))</f>
        <v>0</v>
      </c>
      <c r="X20" s="39" t="n">
        <f aca="false">IF(X$4=0,0,IF(COUNTIFS(実績!$W$6:$W$505,X$3,実績!$AI$6:$AI$505,"&lt;="&amp;$A20,実績!$AJ$6:$AJ$505,"&gt;"&amp;$A20,実績!$AK$6:$AK$505,"○")&gt;0,1,0))</f>
        <v>0</v>
      </c>
      <c r="Y20" s="39" t="n">
        <f aca="false">IF(Y$4=0,0,IF(COUNTIFS(実績!$W$6:$W$505,Y$3,実績!$AI$6:$AI$505,"&lt;="&amp;$A20,実績!$AJ$6:$AJ$505,"&gt;"&amp;$A20,実績!$AK$6:$AK$505,"○")&gt;0,1,0))</f>
        <v>0</v>
      </c>
      <c r="Z20" s="39" t="n">
        <f aca="false">IF(Z$4=0,0,IF(COUNTIFS(実績!$W$6:$W$505,Z$3,実績!$AI$6:$AI$505,"&lt;="&amp;$A20,実績!$AJ$6:$AJ$505,"&gt;"&amp;$A20,実績!$AK$6:$AK$505,"○")&gt;0,1,0))</f>
        <v>0</v>
      </c>
      <c r="AA20" s="39" t="n">
        <f aca="false">IF(AA$4=0,0,IF(COUNTIFS(実績!$W$6:$W$505,AA$3,実績!$AI$6:$AI$505,"&lt;="&amp;$A20,実績!$AJ$6:$AJ$505,"&gt;"&amp;$A20,実績!$AK$6:$AK$505,"○")&gt;0,1,0))</f>
        <v>0</v>
      </c>
      <c r="AB20" s="39" t="n">
        <f aca="false">IF(AB$4=0,0,IF(COUNTIFS(実績!$W$6:$W$505,AB$3,実績!$AI$6:$AI$505,"&lt;="&amp;$A20,実績!$AJ$6:$AJ$505,"&gt;"&amp;$A20,実績!$AK$6:$AK$505,"○")&gt;0,1,0))</f>
        <v>0</v>
      </c>
      <c r="AC20" s="39" t="n">
        <f aca="false">IF(AC$4=0,0,IF(COUNTIFS(実績!$W$6:$W$505,AC$3,実績!$AI$6:$AI$505,"&lt;="&amp;$A20,実績!$AJ$6:$AJ$505,"&gt;"&amp;$A20,実績!$AK$6:$AK$505,"○")&gt;0,1,0))</f>
        <v>0</v>
      </c>
      <c r="AD20" s="39" t="n">
        <f aca="false">IF(AD$4=0,0,IF(COUNTIFS(実績!$W$6:$W$505,AD$3,実績!$AI$6:$AI$505,"&lt;="&amp;$A20,実績!$AJ$6:$AJ$505,"&gt;"&amp;$A20,実績!$AK$6:$AK$505,"○")&gt;0,1,0))</f>
        <v>0</v>
      </c>
      <c r="AE20" s="39" t="n">
        <f aca="false">IF(AE$4=0,0,IF(COUNTIFS(実績!$W$6:$W$505,AE$3,実績!$AI$6:$AI$505,"&lt;="&amp;$A20,実績!$AJ$6:$AJ$505,"&gt;"&amp;$A20,実績!$AK$6:$AK$505,"○")&gt;0,1,0))</f>
        <v>0</v>
      </c>
      <c r="AF20" s="39" t="n">
        <f aca="false">IF(AF$4=0,0,IF(COUNTIFS(実績!$W$6:$W$505,AF$3,実績!$AI$6:$AI$505,"&lt;="&amp;$A20,実績!$AJ$6:$AJ$505,"&gt;"&amp;$A20,実績!$AK$6:$AK$505,"○")&gt;0,1,0))</f>
        <v>0</v>
      </c>
      <c r="AG20" s="39" t="n">
        <f aca="false">IF(AG$4=0,0,IF(COUNTIFS(実績!$W$6:$W$505,AG$3,実績!$AI$6:$AI$505,"&lt;="&amp;$A20,実績!$AJ$6:$AJ$505,"&gt;"&amp;$A20,実績!$AK$6:$AK$505,"○")&gt;0,1,0))</f>
        <v>0</v>
      </c>
      <c r="AH20" s="39" t="n">
        <f aca="false">IF(AH$4=0,0,IF(COUNTIFS(実績!$W$6:$W$505,AH$3,実績!$AI$6:$AI$505,"&lt;="&amp;$A20,実績!$AJ$6:$AJ$505,"&gt;"&amp;$A20,実績!$AK$6:$AK$505,"○")&gt;0,1,0))</f>
        <v>0</v>
      </c>
      <c r="AI20" s="39" t="n">
        <f aca="false">IF(AI$4=0,0,IF(COUNTIFS(実績!$W$6:$W$505,AI$3,実績!$AI$6:$AI$505,"&lt;="&amp;$A20,実績!$AJ$6:$AJ$505,"&gt;"&amp;$A20,実績!$AK$6:$AK$505,"○")&gt;0,1,0))</f>
        <v>0</v>
      </c>
      <c r="AJ20" s="39" t="n">
        <f aca="false">IF(AJ$4=0,0,IF(COUNTIFS(実績!$W$6:$W$505,AJ$3,実績!$AI$6:$AI$505,"&lt;="&amp;$A20,実績!$AJ$6:$AJ$505,"&gt;"&amp;$A20,実績!$AK$6:$AK$505,"○")&gt;0,1,0))</f>
        <v>0</v>
      </c>
      <c r="AK20" s="39" t="n">
        <f aca="false">IF(AK$4=0,0,IF(COUNTIFS(実績!$W$6:$W$505,AK$3,実績!$AI$6:$AI$505,"&lt;="&amp;$A20,実績!$AJ$6:$AJ$505,"&gt;"&amp;$A20,実績!$AK$6:$AK$505,"○")&gt;0,1,0))</f>
        <v>0</v>
      </c>
      <c r="AL20" s="39" t="n">
        <f aca="false">IF(AL$4=0,0,IF(COUNTIFS(実績!$W$6:$W$505,AL$3,実績!$AI$6:$AI$505,"&lt;="&amp;$A20,実績!$AJ$6:$AJ$505,"&gt;"&amp;$A20,実績!$AK$6:$AK$505,"○")&gt;0,1,0))</f>
        <v>0</v>
      </c>
      <c r="AM20" s="39" t="n">
        <f aca="false">IF(AM$4=0,0,IF(COUNTIFS(実績!$W$6:$W$505,AM$3,実績!$AI$6:$AI$505,"&lt;="&amp;$A20,実績!$AJ$6:$AJ$505,"&gt;"&amp;$A20,実績!$AK$6:$AK$505,"○")&gt;0,1,0))</f>
        <v>0</v>
      </c>
      <c r="AN20" s="39" t="n">
        <f aca="false">IF(AN$4=0,0,IF(COUNTIFS(実績!$W$6:$W$505,AN$3,実績!$AI$6:$AI$505,"&lt;="&amp;$A20,実績!$AJ$6:$AJ$505,"&gt;"&amp;$A20,実績!$AK$6:$AK$505,"○")&gt;0,1,0))</f>
        <v>0</v>
      </c>
      <c r="AO20" s="39" t="n">
        <f aca="false">IF(AO$4=0,0,IF(COUNTIFS(実績!$W$6:$W$505,AO$3,実績!$AI$6:$AI$505,"&lt;="&amp;$A20,実績!$AJ$6:$AJ$505,"&gt;"&amp;$A20,実績!$AK$6:$AK$505,"○")&gt;0,1,0))</f>
        <v>0</v>
      </c>
      <c r="AP20" s="39" t="n">
        <f aca="false">IF(AP$4=0,0,IF(COUNTIFS(実績!$W$6:$W$505,AP$3,実績!$AI$6:$AI$505,"&lt;="&amp;$A20,実績!$AJ$6:$AJ$505,"&gt;"&amp;$A20,実績!$AK$6:$AK$505,"○")&gt;0,1,0))</f>
        <v>0</v>
      </c>
      <c r="AQ20" s="39" t="n">
        <f aca="false">IF(AQ$4=0,0,IF(COUNTIFS(実績!$W$6:$W$505,AQ$3,実績!$AI$6:$AI$505,"&lt;="&amp;$A20,実績!$AJ$6:$AJ$505,"&gt;"&amp;$A20,実績!$AK$6:$AK$505,"○")&gt;0,1,0))</f>
        <v>0</v>
      </c>
      <c r="AR20" s="39" t="n">
        <f aca="false">IF(AR$4=0,0,IF(COUNTIFS(実績!$W$6:$W$505,AR$3,実績!$AI$6:$AI$505,"&lt;="&amp;$A20,実績!$AJ$6:$AJ$505,"&gt;"&amp;$A20,実績!$AK$6:$AK$505,"○")&gt;0,1,0))</f>
        <v>0</v>
      </c>
      <c r="AS20" s="39" t="n">
        <f aca="false">IF(AS$4=0,0,IF(COUNTIFS(実績!$W$6:$W$505,AS$3,実績!$AI$6:$AI$505,"&lt;="&amp;$A20,実績!$AJ$6:$AJ$505,"&gt;"&amp;$A20,実績!$AK$6:$AK$505,"○")&gt;0,1,0))</f>
        <v>0</v>
      </c>
      <c r="AT20" s="39" t="n">
        <f aca="false">IF(AT$4=0,0,IF(COUNTIFS(実績!$W$6:$W$505,AT$3,実績!$AI$6:$AI$505,"&lt;="&amp;$A20,実績!$AJ$6:$AJ$505,"&gt;"&amp;$A20,実績!$AK$6:$AK$505,"○")&gt;0,1,0))</f>
        <v>0</v>
      </c>
      <c r="AU20" s="39" t="n">
        <f aca="false">IF(AU$4=0,0,IF(COUNTIFS(実績!$W$6:$W$505,AU$3,実績!$AI$6:$AI$505,"&lt;="&amp;$A20,実績!$AJ$6:$AJ$505,"&gt;"&amp;$A20,実績!$AK$6:$AK$505,"○")&gt;0,1,0))</f>
        <v>0</v>
      </c>
      <c r="AV20" s="39" t="n">
        <f aca="false">IF(AV$4=0,0,IF(COUNTIFS(実績!$W$6:$W$505,AV$3,実績!$AI$6:$AI$505,"&lt;="&amp;$A20,実績!$AJ$6:$AJ$505,"&gt;"&amp;$A20,実績!$AK$6:$AK$505,"○")&gt;0,1,0))</f>
        <v>0</v>
      </c>
      <c r="AW20" s="39" t="n">
        <f aca="false">IF(AW$4=0,0,IF(COUNTIFS(実績!$W$6:$W$505,AW$3,実績!$AI$6:$AI$505,"&lt;="&amp;$A20,実績!$AJ$6:$AJ$505,"&gt;"&amp;$A20,実績!$AK$6:$AK$505,"○")&gt;0,1,0))</f>
        <v>0</v>
      </c>
      <c r="AX20" s="39" t="n">
        <f aca="false">IF(AX$4=0,0,IF(COUNTIFS(実績!$W$6:$W$505,AX$3,実績!$AI$6:$AI$505,"&lt;="&amp;$A20,実績!$AJ$6:$AJ$505,"&gt;"&amp;$A20,実績!$AK$6:$AK$505,"○")&gt;0,1,0))</f>
        <v>0</v>
      </c>
      <c r="AY20" s="39" t="n">
        <f aca="false">IF(AY$4=0,0,IF(COUNTIFS(実績!$W$6:$W$505,AY$3,実績!$AI$6:$AI$505,"&lt;="&amp;$A20,実績!$AJ$6:$AJ$505,"&gt;"&amp;$A20,実績!$AK$6:$AK$505,"○")&gt;0,1,0))</f>
        <v>0</v>
      </c>
      <c r="AZ20" s="39" t="n">
        <f aca="false">IF(AZ$4=0,0,IF(COUNTIFS(実績!$W$6:$W$505,AZ$3,実績!$AI$6:$AI$505,"&lt;="&amp;$A20,実績!$AJ$6:$AJ$505,"&gt;"&amp;$A20,実績!$AK$6:$AK$505,"○")&gt;0,1,0))</f>
        <v>0</v>
      </c>
      <c r="BA20" s="39" t="n">
        <f aca="false">IF(BA$4=0,0,IF(COUNTIFS(実績!$W$6:$W$505,BA$3,実績!$AI$6:$AI$505,"&lt;="&amp;$A20,実績!$AJ$6:$AJ$505,"&gt;"&amp;$A20,実績!$AK$6:$AK$505,"○")&gt;0,1,0))</f>
        <v>0</v>
      </c>
      <c r="BB20" s="39" t="n">
        <f aca="false">IF(BB$4=0,0,IF(COUNTIFS(実績!$W$6:$W$505,BB$3,実績!$AI$6:$AI$505,"&lt;="&amp;$A20,実績!$AJ$6:$AJ$505,"&gt;"&amp;$A20,実績!$AK$6:$AK$505,"○")&gt;0,1,0))</f>
        <v>0</v>
      </c>
      <c r="BC20" s="39" t="n">
        <f aca="false">IF(BC$4=0,0,IF(COUNTIFS(実績!$W$6:$W$505,BC$3,実績!$AI$6:$AI$505,"&lt;="&amp;$A20,実績!$AJ$6:$AJ$505,"&gt;"&amp;$A20,実績!$AK$6:$AK$505,"○")&gt;0,1,0))</f>
        <v>0</v>
      </c>
      <c r="BD20" s="39" t="n">
        <f aca="false">IF(BD$4=0,0,IF(COUNTIFS(実績!$W$6:$W$505,BD$3,実績!$AI$6:$AI$505,"&lt;="&amp;$A20,実績!$AJ$6:$AJ$505,"&gt;"&amp;$A20,実績!$AK$6:$AK$505,"○")&gt;0,1,0))</f>
        <v>0</v>
      </c>
      <c r="BE20" s="39" t="n">
        <f aca="false">IF(BE$4=0,0,IF(COUNTIFS(実績!$W$6:$W$505,BE$3,実績!$AI$6:$AI$505,"&lt;="&amp;$A20,実績!$AJ$6:$AJ$505,"&gt;"&amp;$A20,実績!$AK$6:$AK$505,"○")&gt;0,1,0))</f>
        <v>0</v>
      </c>
      <c r="BF20" s="39" t="n">
        <f aca="false">IF(BF$4=0,0,IF(COUNTIFS(実績!$W$6:$W$505,BF$3,実績!$AI$6:$AI$505,"&lt;="&amp;$A20,実績!$AJ$6:$AJ$505,"&gt;"&amp;$A20,実績!$AK$6:$AK$505,"○")&gt;0,1,0))</f>
        <v>0</v>
      </c>
      <c r="BG20" s="39" t="n">
        <f aca="false">IF(BG$4=0,0,IF(COUNTIFS(実績!$W$6:$W$505,BG$3,実績!$AI$6:$AI$505,"&lt;="&amp;$A20,実績!$AJ$6:$AJ$505,"&gt;"&amp;$A20,実績!$AK$6:$AK$505,"○")&gt;0,1,0))</f>
        <v>0</v>
      </c>
      <c r="BH20" s="39" t="n">
        <f aca="false">IF(BH$4=0,0,IF(COUNTIFS(実績!$W$6:$W$505,BH$3,実績!$AI$6:$AI$505,"&lt;="&amp;$A20,実績!$AJ$6:$AJ$505,"&gt;"&amp;$A20,実績!$AK$6:$AK$505,"○")&gt;0,1,0))</f>
        <v>0</v>
      </c>
      <c r="BI20" s="39" t="n">
        <f aca="false">IF(BI$4=0,0,IF(COUNTIFS(実績!$W$6:$W$505,BI$3,実績!$AI$6:$AI$505,"&lt;="&amp;$A20,実績!$AJ$6:$AJ$505,"&gt;"&amp;$A20,実績!$AK$6:$AK$505,"○")&gt;0,1,0))</f>
        <v>0</v>
      </c>
      <c r="BJ20" s="39" t="n">
        <f aca="false">IF(BJ$4=0,0,IF(COUNTIFS(実績!$W$6:$W$505,BJ$3,実績!$AI$6:$AI$505,"&lt;="&amp;$A20,実績!$AJ$6:$AJ$505,"&gt;"&amp;$A20,実績!$AK$6:$AK$505,"○")&gt;0,1,0))</f>
        <v>0</v>
      </c>
      <c r="BK20" s="39" t="n">
        <f aca="false">IF(BK$4=0,0,IF(COUNTIFS(実績!$W$6:$W$505,BK$3,実績!$AI$6:$AI$505,"&lt;="&amp;$A20,実績!$AJ$6:$AJ$505,"&gt;"&amp;$A20,実績!$AK$6:$AK$505,"○")&gt;0,1,0))</f>
        <v>0</v>
      </c>
      <c r="BL20" s="39" t="n">
        <f aca="false">IF(BL$4=0,0,IF(COUNTIFS(実績!$W$6:$W$505,BL$3,実績!$AI$6:$AI$505,"&lt;="&amp;$A20,実績!$AJ$6:$AJ$505,"&gt;"&amp;$A20,実績!$AK$6:$AK$505,"○")&gt;0,1,0))</f>
        <v>0</v>
      </c>
      <c r="BM20" s="39" t="n">
        <f aca="false">IF(BM$4=0,0,IF(COUNTIFS(実績!$W$6:$W$505,BM$3,実績!$AI$6:$AI$505,"&lt;="&amp;$A20,実績!$AJ$6:$AJ$505,"&gt;"&amp;$A20,実績!$AK$6:$AK$505,"○")&gt;0,1,0))</f>
        <v>0</v>
      </c>
      <c r="BN20" s="39" t="n">
        <f aca="false">IF(BN$4=0,0,IF(COUNTIFS(実績!$W$6:$W$505,BN$3,実績!$AI$6:$AI$505,"&lt;="&amp;$A20,実績!$AJ$6:$AJ$505,"&gt;"&amp;$A20,実績!$AK$6:$AK$505,"○")&gt;0,1,0))</f>
        <v>0</v>
      </c>
      <c r="BO20" s="39" t="n">
        <f aca="false">IF(BO$4=0,0,IF(COUNTIFS(実績!$W$6:$W$505,BO$3,実績!$AI$6:$AI$505,"&lt;="&amp;$A20,実績!$AJ$6:$AJ$505,"&gt;"&amp;$A20,実績!$AK$6:$AK$505,"○")&gt;0,1,0))</f>
        <v>0</v>
      </c>
      <c r="BP20" s="39" t="n">
        <f aca="false">IF(BP$4=0,0,IF(COUNTIFS(実績!$W$6:$W$505,BP$3,実績!$AI$6:$AI$505,"&lt;="&amp;$A20,実績!$AJ$6:$AJ$505,"&gt;"&amp;$A20,実績!$AK$6:$AK$505,"○")&gt;0,1,0))</f>
        <v>0</v>
      </c>
      <c r="BQ20" s="39" t="n">
        <f aca="false">IF(BQ$4=0,0,IF(COUNTIFS(実績!$W$6:$W$505,BQ$3,実績!$AI$6:$AI$505,"&lt;="&amp;$A20,実績!$AJ$6:$AJ$505,"&gt;"&amp;$A20,実績!$AK$6:$AK$505,"○")&gt;0,1,0))</f>
        <v>0</v>
      </c>
      <c r="BR20" s="39" t="n">
        <f aca="false">IF(BR$4=0,0,IF(COUNTIFS(実績!$W$6:$W$505,BR$3,実績!$AI$6:$AI$505,"&lt;="&amp;$A20,実績!$AJ$6:$AJ$505,"&gt;"&amp;$A20,実績!$AK$6:$AK$505,"○")&gt;0,1,0))</f>
        <v>0</v>
      </c>
      <c r="BS20" s="39" t="n">
        <f aca="false">IF(BS$4=0,0,IF(COUNTIFS(実績!$W$6:$W$505,BS$3,実績!$AI$6:$AI$505,"&lt;="&amp;$A20,実績!$AJ$6:$AJ$505,"&gt;"&amp;$A20,実績!$AK$6:$AK$505,"○")&gt;0,1,0))</f>
        <v>0</v>
      </c>
      <c r="BT20" s="39" t="n">
        <f aca="false">IF(BT$4=0,0,IF(COUNTIFS(実績!$W$6:$W$505,BT$3,実績!$AI$6:$AI$505,"&lt;="&amp;$A20,実績!$AJ$6:$AJ$505,"&gt;"&amp;$A20,実績!$AK$6:$AK$505,"○")&gt;0,1,0))</f>
        <v>0</v>
      </c>
      <c r="BU20" s="39" t="n">
        <f aca="false">IF(BU$4=0,0,IF(COUNTIFS(実績!$W$6:$W$505,BU$3,実績!$AI$6:$AI$505,"&lt;="&amp;$A20,実績!$AJ$6:$AJ$505,"&gt;"&amp;$A20,実績!$AK$6:$AK$505,"○")&gt;0,1,0))</f>
        <v>0</v>
      </c>
      <c r="BV20" s="39" t="n">
        <f aca="false">IF(BV$4=0,0,IF(COUNTIFS(実績!$W$6:$W$505,BV$3,実績!$AI$6:$AI$505,"&lt;="&amp;$A20,実績!$AJ$6:$AJ$505,"&gt;"&amp;$A20,実績!$AK$6:$AK$505,"○")&gt;0,1,0))</f>
        <v>0</v>
      </c>
      <c r="BW20" s="39" t="n">
        <f aca="false">IF(BW$4=0,0,IF(COUNTIFS(実績!$W$6:$W$505,BW$3,実績!$AI$6:$AI$505,"&lt;="&amp;$A20,実績!$AJ$6:$AJ$505,"&gt;"&amp;$A20,実績!$AK$6:$AK$505,"○")&gt;0,1,0))</f>
        <v>0</v>
      </c>
      <c r="BX20" s="39" t="n">
        <f aca="false">IF(BX$4=0,0,IF(COUNTIFS(実績!$W$6:$W$505,BX$3,実績!$AI$6:$AI$505,"&lt;="&amp;$A20,実績!$AJ$6:$AJ$505,"&gt;"&amp;$A20,実績!$AK$6:$AK$505,"○")&gt;0,1,0))</f>
        <v>0</v>
      </c>
      <c r="BY20" s="39" t="n">
        <f aca="false">IF(BY$4=0,0,IF(COUNTIFS(実績!$W$6:$W$505,BY$3,実績!$AI$6:$AI$505,"&lt;="&amp;$A20,実績!$AJ$6:$AJ$505,"&gt;"&amp;$A20,実績!$AK$6:$AK$505,"○")&gt;0,1,0))</f>
        <v>0</v>
      </c>
      <c r="BZ20" s="39" t="n">
        <f aca="false">IF(BZ$4=0,0,IF(COUNTIFS(実績!$W$6:$W$505,BZ$3,実績!$AI$6:$AI$505,"&lt;="&amp;$A20,実績!$AJ$6:$AJ$505,"&gt;"&amp;$A20,実績!$AK$6:$AK$505,"○")&gt;0,1,0))</f>
        <v>0</v>
      </c>
      <c r="CA20" s="39" t="n">
        <f aca="false">IF(CA$4=0,0,IF(COUNTIFS(実績!$W$6:$W$505,CA$3,実績!$AI$6:$AI$505,"&lt;="&amp;$A20,実績!$AJ$6:$AJ$505,"&gt;"&amp;$A20,実績!$AK$6:$AK$505,"○")&gt;0,1,0))</f>
        <v>0</v>
      </c>
      <c r="CB20" s="39" t="n">
        <f aca="false">IF(CB$4=0,0,IF(COUNTIFS(実績!$W$6:$W$505,CB$3,実績!$AI$6:$AI$505,"&lt;="&amp;$A20,実績!$AJ$6:$AJ$505,"&gt;"&amp;$A20,実績!$AK$6:$AK$505,"○")&gt;0,1,0))</f>
        <v>0</v>
      </c>
      <c r="CC20" s="39" t="n">
        <f aca="false">IF(CC$4=0,0,IF(COUNTIFS(実績!$W$6:$W$505,CC$3,実績!$AI$6:$AI$505,"&lt;="&amp;$A20,実績!$AJ$6:$AJ$505,"&gt;"&amp;$A20,実績!$AK$6:$AK$505,"○")&gt;0,1,0))</f>
        <v>0</v>
      </c>
      <c r="CD20" s="39" t="n">
        <f aca="false">IF(CD$4=0,0,IF(COUNTIFS(実績!$W$6:$W$505,CD$3,実績!$AI$6:$AI$505,"&lt;="&amp;$A20,実績!$AJ$6:$AJ$505,"&gt;"&amp;$A20,実績!$AK$6:$AK$505,"○")&gt;0,1,0))</f>
        <v>0</v>
      </c>
      <c r="CE20" s="39" t="n">
        <f aca="false">IF(CE$4=0,0,IF(COUNTIFS(実績!$W$6:$W$505,CE$3,実績!$AI$6:$AI$505,"&lt;="&amp;$A20,実績!$AJ$6:$AJ$505,"&gt;"&amp;$A20,実績!$AK$6:$AK$505,"○")&gt;0,1,0))</f>
        <v>0</v>
      </c>
      <c r="CF20" s="39" t="n">
        <f aca="false">IF(CF$4=0,0,IF(COUNTIFS(実績!$W$6:$W$505,CF$3,実績!$AI$6:$AI$505,"&lt;="&amp;$A20,実績!$AJ$6:$AJ$505,"&gt;"&amp;$A20,実績!$AK$6:$AK$505,"○")&gt;0,1,0))</f>
        <v>0</v>
      </c>
      <c r="CG20" s="39" t="n">
        <f aca="false">IF(CG$4=0,0,IF(COUNTIFS(実績!$W$6:$W$505,CG$3,実績!$AI$6:$AI$505,"&lt;="&amp;$A20,実績!$AJ$6:$AJ$505,"&gt;"&amp;$A20,実績!$AK$6:$AK$505,"○")&gt;0,1,0))</f>
        <v>0</v>
      </c>
      <c r="CH20" s="39" t="n">
        <f aca="false">IF(CH$4=0,0,IF(COUNTIFS(実績!$W$6:$W$505,CH$3,実績!$AI$6:$AI$505,"&lt;="&amp;$A20,実績!$AJ$6:$AJ$505,"&gt;"&amp;$A20,実績!$AK$6:$AK$505,"○")&gt;0,1,0))</f>
        <v>0</v>
      </c>
      <c r="CI20" s="39" t="n">
        <f aca="false">IF(CI$4=0,0,IF(COUNTIFS(実績!$W$6:$W$505,CI$3,実績!$AI$6:$AI$505,"&lt;="&amp;$A20,実績!$AJ$6:$AJ$505,"&gt;"&amp;$A20,実績!$AK$6:$AK$505,"○")&gt;0,1,0))</f>
        <v>0</v>
      </c>
      <c r="CJ20" s="39" t="n">
        <f aca="false">IF(CJ$4=0,0,IF(COUNTIFS(実績!$W$6:$W$505,CJ$3,実績!$AI$6:$AI$505,"&lt;="&amp;$A20,実績!$AJ$6:$AJ$505,"&gt;"&amp;$A20,実績!$AK$6:$AK$505,"○")&gt;0,1,0))</f>
        <v>0</v>
      </c>
      <c r="CK20" s="39" t="n">
        <f aca="false">IF(CK$4=0,0,IF(COUNTIFS(実績!$W$6:$W$505,CK$3,実績!$AI$6:$AI$505,"&lt;="&amp;$A20,実績!$AJ$6:$AJ$505,"&gt;"&amp;$A20,実績!$AK$6:$AK$505,"○")&gt;0,1,0))</f>
        <v>0</v>
      </c>
      <c r="CL20" s="39" t="n">
        <f aca="false">IF(CL$4=0,0,IF(COUNTIFS(実績!$W$6:$W$505,CL$3,実績!$AI$6:$AI$505,"&lt;="&amp;$A20,実績!$AJ$6:$AJ$505,"&gt;"&amp;$A20,実績!$AK$6:$AK$505,"○")&gt;0,1,0))</f>
        <v>0</v>
      </c>
      <c r="CM20" s="39" t="n">
        <f aca="false">IF(CM$4=0,0,IF(COUNTIFS(実績!$W$6:$W$505,CM$3,実績!$AI$6:$AI$505,"&lt;="&amp;$A20,実績!$AJ$6:$AJ$505,"&gt;"&amp;$A20,実績!$AK$6:$AK$505,"○")&gt;0,1,0))</f>
        <v>0</v>
      </c>
      <c r="CN20" s="39" t="n">
        <f aca="false">IF(CN$4=0,0,IF(COUNTIFS(実績!$W$6:$W$505,CN$3,実績!$AI$6:$AI$505,"&lt;="&amp;$A20,実績!$AJ$6:$AJ$505,"&gt;"&amp;$A20,実績!$AK$6:$AK$505,"○")&gt;0,1,0))</f>
        <v>0</v>
      </c>
      <c r="CO20" s="39" t="n">
        <f aca="false">IF(CO$4=0,0,IF(COUNTIFS(実績!$W$6:$W$505,CO$3,実績!$AI$6:$AI$505,"&lt;="&amp;$A20,実績!$AJ$6:$AJ$505,"&gt;"&amp;$A20,実績!$AK$6:$AK$505,"○")&gt;0,1,0))</f>
        <v>0</v>
      </c>
      <c r="CP20" s="39" t="n">
        <f aca="false">IF(CP$4=0,0,IF(COUNTIFS(実績!$W$6:$W$505,CP$3,実績!$AI$6:$AI$505,"&lt;="&amp;$A20,実績!$AJ$6:$AJ$505,"&gt;"&amp;$A20,実績!$AK$6:$AK$505,"○")&gt;0,1,0))</f>
        <v>0</v>
      </c>
      <c r="CQ20" s="39" t="n">
        <f aca="false">IF(CQ$4=0,0,IF(COUNTIFS(実績!$W$6:$W$505,CQ$3,実績!$AI$6:$AI$505,"&lt;="&amp;$A20,実績!$AJ$6:$AJ$505,"&gt;"&amp;$A20,実績!$AK$6:$AK$505,"○")&gt;0,1,0))</f>
        <v>0</v>
      </c>
      <c r="CR20" s="39" t="n">
        <f aca="false">IF(CR$4=0,0,IF(COUNTIFS(実績!$W$6:$W$505,CR$3,実績!$AI$6:$AI$505,"&lt;="&amp;$A20,実績!$AJ$6:$AJ$505,"&gt;"&amp;$A20,実績!$AK$6:$AK$505,"○")&gt;0,1,0))</f>
        <v>0</v>
      </c>
      <c r="CS20" s="39" t="n">
        <f aca="false">IF(CS$4=0,0,IF(COUNTIFS(実績!$W$6:$W$505,CS$3,実績!$AI$6:$AI$505,"&lt;="&amp;$A20,実績!$AJ$6:$AJ$505,"&gt;"&amp;$A20,実績!$AK$6:$AK$505,"○")&gt;0,1,0))</f>
        <v>0</v>
      </c>
      <c r="CT20" s="39" t="n">
        <f aca="false">IF(CT$4=0,0,IF(COUNTIFS(実績!$W$6:$W$505,CT$3,実績!$AI$6:$AI$505,"&lt;="&amp;$A20,実績!$AJ$6:$AJ$505,"&gt;"&amp;$A20,実績!$AK$6:$AK$505,"○")&gt;0,1,0))</f>
        <v>0</v>
      </c>
      <c r="CU20" s="39" t="n">
        <f aca="false">IF(CU$4=0,0,IF(COUNTIFS(実績!$W$6:$W$505,CU$3,実績!$AI$6:$AI$505,"&lt;="&amp;$A20,実績!$AJ$6:$AJ$505,"&gt;"&amp;$A20,実績!$AK$6:$AK$505,"○")&gt;0,1,0))</f>
        <v>0</v>
      </c>
      <c r="CV20" s="39" t="n">
        <f aca="false">IF(CV$4=0,0,IF(COUNTIFS(実績!$W$6:$W$505,CV$3,実績!$AI$6:$AI$505,"&lt;="&amp;$A20,実績!$AJ$6:$AJ$505,"&gt;"&amp;$A20,実績!$AK$6:$AK$505,"○")&gt;0,1,0))</f>
        <v>0</v>
      </c>
      <c r="CW20" s="39" t="n">
        <f aca="false">IF(CW$4=0,0,IF(COUNTIFS(実績!$W$6:$W$505,CW$3,実績!$AI$6:$AI$505,"&lt;="&amp;$A20,実績!$AJ$6:$AJ$505,"&gt;"&amp;$A20,実績!$AK$6:$AK$505,"○")&gt;0,1,0))</f>
        <v>0</v>
      </c>
      <c r="CX20" s="39" t="n">
        <f aca="false">IF(CX$4=0,0,IF(COUNTIFS(実績!$W$6:$W$505,CX$3,実績!$AI$6:$AI$505,"&lt;="&amp;$A20,実績!$AJ$6:$AJ$505,"&gt;"&amp;$A20,実績!$AK$6:$AK$505,"○")&gt;0,1,0))</f>
        <v>0</v>
      </c>
      <c r="CY20" s="39" t="n">
        <f aca="false">IF(CY$4=0,0,IF(COUNTIFS(実績!$W$6:$W$505,CY$3,実績!$AI$6:$AI$505,"&lt;="&amp;$A20,実績!$AJ$6:$AJ$505,"&gt;"&amp;$A20,実績!$AK$6:$AK$505,"○")&gt;0,1,0))</f>
        <v>0</v>
      </c>
      <c r="CZ20" s="39" t="n">
        <f aca="false">IF(CZ$4=0,0,IF(COUNTIFS(実績!$W$6:$W$505,CZ$3,実績!$AI$6:$AI$505,"&lt;="&amp;$A20,実績!$AJ$6:$AJ$505,"&gt;"&amp;$A20,実績!$AK$6:$AK$505,"○")&gt;0,1,0))</f>
        <v>0</v>
      </c>
      <c r="DA20" s="39" t="n">
        <f aca="false">IF(DA$4=0,0,IF(COUNTIFS(実績!$W$6:$W$505,DA$3,実績!$AI$6:$AI$505,"&lt;="&amp;$A20,実績!$AJ$6:$AJ$505,"&gt;"&amp;$A20,実績!$AK$6:$AK$505,"○")&gt;0,1,0))</f>
        <v>0</v>
      </c>
      <c r="DB20" s="39" t="n">
        <f aca="false">IF(DB$4=0,0,IF(COUNTIFS(実績!$W$6:$W$505,DB$3,実績!$AI$6:$AI$505,"&lt;="&amp;$A20,実績!$AJ$6:$AJ$505,"&gt;"&amp;$A20,実績!$AK$6:$AK$505,"○")&gt;0,1,0))</f>
        <v>0</v>
      </c>
      <c r="DC20" s="39" t="n">
        <f aca="false">IF(DC$4=0,0,IF(COUNTIFS(実績!$W$6:$W$505,DC$3,実績!$AI$6:$AI$505,"&lt;="&amp;$A20,実績!$AJ$6:$AJ$505,"&gt;"&amp;$A20,実績!$AK$6:$AK$505,"○")&gt;0,1,0))</f>
        <v>0</v>
      </c>
      <c r="DD20" s="39" t="n">
        <f aca="false">IF(DD$4=0,0,IF(COUNTIFS(実績!$W$6:$W$505,DD$3,実績!$AI$6:$AI$505,"&lt;="&amp;$A20,実績!$AJ$6:$AJ$505,"&gt;"&amp;$A20,実績!$AK$6:$AK$505,"○")&gt;0,1,0))</f>
        <v>0</v>
      </c>
      <c r="DE20" s="39" t="n">
        <f aca="false">IF(DE$4=0,0,IF(COUNTIFS(実績!$W$6:$W$505,DE$3,実績!$AI$6:$AI$505,"&lt;="&amp;$A20,実績!$AJ$6:$AJ$505,"&gt;"&amp;$A20,実績!$AK$6:$AK$505,"○")&gt;0,1,0))</f>
        <v>0</v>
      </c>
      <c r="DF20" s="39" t="n">
        <f aca="false">IF(DF$4=0,0,IF(COUNTIFS(実績!$W$6:$W$505,DF$3,実績!$AI$6:$AI$505,"&lt;="&amp;$A20,実績!$AJ$6:$AJ$505,"&gt;"&amp;$A20,実績!$AK$6:$AK$505,"○")&gt;0,1,0))</f>
        <v>0</v>
      </c>
      <c r="DG20" s="39" t="n">
        <f aca="false">IF(DG$4=0,0,IF(COUNTIFS(実績!$W$6:$W$505,DG$3,実績!$AI$6:$AI$505,"&lt;="&amp;$A20,実績!$AJ$6:$AJ$505,"&gt;"&amp;$A20,実績!$AK$6:$AK$505,"○")&gt;0,1,0))</f>
        <v>0</v>
      </c>
      <c r="DH20" s="39" t="n">
        <f aca="false">IF(DH$4=0,0,IF(COUNTIFS(実績!$W$6:$W$505,DH$3,実績!$AI$6:$AI$505,"&lt;="&amp;$A20,実績!$AJ$6:$AJ$505,"&gt;"&amp;$A20,実績!$AK$6:$AK$505,"○")&gt;0,1,0))</f>
        <v>0</v>
      </c>
      <c r="DI20" s="39" t="n">
        <f aca="false">IF(DI$4=0,0,IF(COUNTIFS(実績!$W$6:$W$505,DI$3,実績!$AI$6:$AI$505,"&lt;="&amp;$A20,実績!$AJ$6:$AJ$505,"&gt;"&amp;$A20,実績!$AK$6:$AK$505,"○")&gt;0,1,0))</f>
        <v>0</v>
      </c>
      <c r="DJ20" s="39" t="n">
        <f aca="false">IF(DJ$4=0,0,IF(COUNTIFS(実績!$W$6:$W$505,DJ$3,実績!$AI$6:$AI$505,"&lt;="&amp;$A20,実績!$AJ$6:$AJ$505,"&gt;"&amp;$A20,実績!$AK$6:$AK$505,"○")&gt;0,1,0))</f>
        <v>0</v>
      </c>
      <c r="DK20" s="39" t="n">
        <f aca="false">IF(DK$4=0,0,IF(COUNTIFS(実績!$W$6:$W$505,DK$3,実績!$AI$6:$AI$505,"&lt;="&amp;$A20,実績!$AJ$6:$AJ$505,"&gt;"&amp;$A20,実績!$AK$6:$AK$505,"○")&gt;0,1,0))</f>
        <v>0</v>
      </c>
      <c r="DL20" s="39" t="n">
        <f aca="false">IF(DL$4=0,0,IF(COUNTIFS(実績!$W$6:$W$505,DL$3,実績!$AI$6:$AI$505,"&lt;="&amp;$A20,実績!$AJ$6:$AJ$505,"&gt;"&amp;$A20,実績!$AK$6:$AK$505,"○")&gt;0,1,0))</f>
        <v>0</v>
      </c>
      <c r="DM20" s="39" t="n">
        <f aca="false">IF(DM$4=0,0,IF(COUNTIFS(実績!$W$6:$W$505,DM$3,実績!$AI$6:$AI$505,"&lt;="&amp;$A20,実績!$AJ$6:$AJ$505,"&gt;"&amp;$A20,実績!$AK$6:$AK$505,"○")&gt;0,1,0))</f>
        <v>0</v>
      </c>
      <c r="DN20" s="39" t="n">
        <f aca="false">IF(DN$4=0,0,IF(COUNTIFS(実績!$W$6:$W$505,DN$3,実績!$AI$6:$AI$505,"&lt;="&amp;$A20,実績!$AJ$6:$AJ$505,"&gt;"&amp;$A20,実績!$AK$6:$AK$505,"○")&gt;0,1,0))</f>
        <v>0</v>
      </c>
      <c r="DO20" s="39" t="n">
        <f aca="false">IF(DO$4=0,0,IF(COUNTIFS(実績!$W$6:$W$505,DO$3,実績!$AI$6:$AI$505,"&lt;="&amp;$A20,実績!$AJ$6:$AJ$505,"&gt;"&amp;$A20,実績!$AK$6:$AK$505,"○")&gt;0,1,0))</f>
        <v>0</v>
      </c>
      <c r="DP20" s="39" t="n">
        <f aca="false">IF(DP$4=0,0,IF(COUNTIFS(実績!$W$6:$W$505,DP$3,実績!$AI$6:$AI$505,"&lt;="&amp;$A20,実績!$AJ$6:$AJ$505,"&gt;"&amp;$A20,実績!$AK$6:$AK$505,"○")&gt;0,1,0))</f>
        <v>0</v>
      </c>
      <c r="DQ20" s="39" t="n">
        <f aca="false">IF(DQ$4=0,0,IF(COUNTIFS(実績!$W$6:$W$505,DQ$3,実績!$AI$6:$AI$505,"&lt;="&amp;$A20,実績!$AJ$6:$AJ$505,"&gt;"&amp;$A20,実績!$AK$6:$AK$505,"○")&gt;0,1,0))</f>
        <v>0</v>
      </c>
      <c r="DR20" s="39" t="n">
        <f aca="false">IF(DR$4=0,0,IF(COUNTIFS(実績!$W$6:$W$505,DR$3,実績!$AI$6:$AI$505,"&lt;="&amp;$A20,実績!$AJ$6:$AJ$505,"&gt;"&amp;$A20,実績!$AK$6:$AK$505,"○")&gt;0,1,0))</f>
        <v>0</v>
      </c>
      <c r="DS20" s="39" t="n">
        <f aca="false">SUM(C20:DR20)</f>
        <v>0</v>
      </c>
      <c r="DT20" s="39" t="n">
        <f aca="false">SUMPRODUCT((実績!$C$6:$C$505="○")*ISNUMBER(実績!$AM$6:$AM$505)*(実績!$AM$6:$AM$505&lt;=$A20)*(実績!$AN$6:$AN$505&gt;$A20))</f>
        <v>0</v>
      </c>
      <c r="DU20" s="39" t="n">
        <f aca="false">SUMIF($C$2:$DR$2,"製鉄曳船",C20:DR20)</f>
        <v>0</v>
      </c>
      <c r="DV20" s="39" t="n">
        <f aca="false">SUMIF($C$2:$DR$2,"西日本海運",C20:DR20)</f>
        <v>0</v>
      </c>
    </row>
    <row r="21" customFormat="false" ht="15" hidden="false" customHeight="false" outlineLevel="0" collapsed="false">
      <c r="A21" s="0" t="n">
        <v>75</v>
      </c>
      <c r="B21" s="38" t="n">
        <f aca="false">A21/1440</f>
        <v>0.0520833333333333</v>
      </c>
      <c r="C21" s="39" t="n">
        <f aca="false">IF(C$4=0,0,IF(COUNTIFS(実績!$W$6:$W$505,C$3,実績!$AI$6:$AI$505,"&lt;="&amp;$A21,実績!$AJ$6:$AJ$505,"&gt;"&amp;$A21,実績!$AK$6:$AK$505,"○")&gt;0,1,0))</f>
        <v>0</v>
      </c>
      <c r="D21" s="39" t="n">
        <f aca="false">IF(D$4=0,0,IF(COUNTIFS(実績!$W$6:$W$505,D$3,実績!$AI$6:$AI$505,"&lt;="&amp;$A21,実績!$AJ$6:$AJ$505,"&gt;"&amp;$A21,実績!$AK$6:$AK$505,"○")&gt;0,1,0))</f>
        <v>0</v>
      </c>
      <c r="E21" s="39" t="n">
        <f aca="false">IF(E$4=0,0,IF(COUNTIFS(実績!$W$6:$W$505,E$3,実績!$AI$6:$AI$505,"&lt;="&amp;$A21,実績!$AJ$6:$AJ$505,"&gt;"&amp;$A21,実績!$AK$6:$AK$505,"○")&gt;0,1,0))</f>
        <v>0</v>
      </c>
      <c r="F21" s="39" t="n">
        <f aca="false">IF(F$4=0,0,IF(COUNTIFS(実績!$W$6:$W$505,F$3,実績!$AI$6:$AI$505,"&lt;="&amp;$A21,実績!$AJ$6:$AJ$505,"&gt;"&amp;$A21,実績!$AK$6:$AK$505,"○")&gt;0,1,0))</f>
        <v>0</v>
      </c>
      <c r="G21" s="39" t="n">
        <f aca="false">IF(G$4=0,0,IF(COUNTIFS(実績!$W$6:$W$505,G$3,実績!$AI$6:$AI$505,"&lt;="&amp;$A21,実績!$AJ$6:$AJ$505,"&gt;"&amp;$A21,実績!$AK$6:$AK$505,"○")&gt;0,1,0))</f>
        <v>0</v>
      </c>
      <c r="H21" s="39" t="n">
        <f aca="false">IF(H$4=0,0,IF(COUNTIFS(実績!$W$6:$W$505,H$3,実績!$AI$6:$AI$505,"&lt;="&amp;$A21,実績!$AJ$6:$AJ$505,"&gt;"&amp;$A21,実績!$AK$6:$AK$505,"○")&gt;0,1,0))</f>
        <v>0</v>
      </c>
      <c r="I21" s="39" t="n">
        <f aca="false">IF(I$4=0,0,IF(COUNTIFS(実績!$W$6:$W$505,I$3,実績!$AI$6:$AI$505,"&lt;="&amp;$A21,実績!$AJ$6:$AJ$505,"&gt;"&amp;$A21,実績!$AK$6:$AK$505,"○")&gt;0,1,0))</f>
        <v>0</v>
      </c>
      <c r="J21" s="39" t="n">
        <f aca="false">IF(J$4=0,0,IF(COUNTIFS(実績!$W$6:$W$505,J$3,実績!$AI$6:$AI$505,"&lt;="&amp;$A21,実績!$AJ$6:$AJ$505,"&gt;"&amp;$A21,実績!$AK$6:$AK$505,"○")&gt;0,1,0))</f>
        <v>0</v>
      </c>
      <c r="K21" s="39" t="n">
        <f aca="false">IF(K$4=0,0,IF(COUNTIFS(実績!$W$6:$W$505,K$3,実績!$AI$6:$AI$505,"&lt;="&amp;$A21,実績!$AJ$6:$AJ$505,"&gt;"&amp;$A21,実績!$AK$6:$AK$505,"○")&gt;0,1,0))</f>
        <v>0</v>
      </c>
      <c r="L21" s="39" t="n">
        <f aca="false">IF(L$4=0,0,IF(COUNTIFS(実績!$W$6:$W$505,L$3,実績!$AI$6:$AI$505,"&lt;="&amp;$A21,実績!$AJ$6:$AJ$505,"&gt;"&amp;$A21,実績!$AK$6:$AK$505,"○")&gt;0,1,0))</f>
        <v>0</v>
      </c>
      <c r="M21" s="39" t="n">
        <f aca="false">IF(M$4=0,0,IF(COUNTIFS(実績!$W$6:$W$505,M$3,実績!$AI$6:$AI$505,"&lt;="&amp;$A21,実績!$AJ$6:$AJ$505,"&gt;"&amp;$A21,実績!$AK$6:$AK$505,"○")&gt;0,1,0))</f>
        <v>0</v>
      </c>
      <c r="N21" s="39" t="n">
        <f aca="false">IF(N$4=0,0,IF(COUNTIFS(実績!$W$6:$W$505,N$3,実績!$AI$6:$AI$505,"&lt;="&amp;$A21,実績!$AJ$6:$AJ$505,"&gt;"&amp;$A21,実績!$AK$6:$AK$505,"○")&gt;0,1,0))</f>
        <v>0</v>
      </c>
      <c r="O21" s="39" t="n">
        <f aca="false">IF(O$4=0,0,IF(COUNTIFS(実績!$W$6:$W$505,O$3,実績!$AI$6:$AI$505,"&lt;="&amp;$A21,実績!$AJ$6:$AJ$505,"&gt;"&amp;$A21,実績!$AK$6:$AK$505,"○")&gt;0,1,0))</f>
        <v>0</v>
      </c>
      <c r="P21" s="39" t="n">
        <f aca="false">IF(P$4=0,0,IF(COUNTIFS(実績!$W$6:$W$505,P$3,実績!$AI$6:$AI$505,"&lt;="&amp;$A21,実績!$AJ$6:$AJ$505,"&gt;"&amp;$A21,実績!$AK$6:$AK$505,"○")&gt;0,1,0))</f>
        <v>0</v>
      </c>
      <c r="Q21" s="39" t="n">
        <f aca="false">IF(Q$4=0,0,IF(COUNTIFS(実績!$W$6:$W$505,Q$3,実績!$AI$6:$AI$505,"&lt;="&amp;$A21,実績!$AJ$6:$AJ$505,"&gt;"&amp;$A21,実績!$AK$6:$AK$505,"○")&gt;0,1,0))</f>
        <v>0</v>
      </c>
      <c r="R21" s="39" t="n">
        <f aca="false">IF(R$4=0,0,IF(COUNTIFS(実績!$W$6:$W$505,R$3,実績!$AI$6:$AI$505,"&lt;="&amp;$A21,実績!$AJ$6:$AJ$505,"&gt;"&amp;$A21,実績!$AK$6:$AK$505,"○")&gt;0,1,0))</f>
        <v>0</v>
      </c>
      <c r="S21" s="39" t="n">
        <f aca="false">IF(S$4=0,0,IF(COUNTIFS(実績!$W$6:$W$505,S$3,実績!$AI$6:$AI$505,"&lt;="&amp;$A21,実績!$AJ$6:$AJ$505,"&gt;"&amp;$A21,実績!$AK$6:$AK$505,"○")&gt;0,1,0))</f>
        <v>0</v>
      </c>
      <c r="T21" s="39" t="n">
        <f aca="false">IF(T$4=0,0,IF(COUNTIFS(実績!$W$6:$W$505,T$3,実績!$AI$6:$AI$505,"&lt;="&amp;$A21,実績!$AJ$6:$AJ$505,"&gt;"&amp;$A21,実績!$AK$6:$AK$505,"○")&gt;0,1,0))</f>
        <v>0</v>
      </c>
      <c r="U21" s="39" t="n">
        <f aca="false">IF(U$4=0,0,IF(COUNTIFS(実績!$W$6:$W$505,U$3,実績!$AI$6:$AI$505,"&lt;="&amp;$A21,実績!$AJ$6:$AJ$505,"&gt;"&amp;$A21,実績!$AK$6:$AK$505,"○")&gt;0,1,0))</f>
        <v>0</v>
      </c>
      <c r="V21" s="39" t="n">
        <f aca="false">IF(V$4=0,0,IF(COUNTIFS(実績!$W$6:$W$505,V$3,実績!$AI$6:$AI$505,"&lt;="&amp;$A21,実績!$AJ$6:$AJ$505,"&gt;"&amp;$A21,実績!$AK$6:$AK$505,"○")&gt;0,1,0))</f>
        <v>0</v>
      </c>
      <c r="W21" s="39" t="n">
        <f aca="false">IF(W$4=0,0,IF(COUNTIFS(実績!$W$6:$W$505,W$3,実績!$AI$6:$AI$505,"&lt;="&amp;$A21,実績!$AJ$6:$AJ$505,"&gt;"&amp;$A21,実績!$AK$6:$AK$505,"○")&gt;0,1,0))</f>
        <v>0</v>
      </c>
      <c r="X21" s="39" t="n">
        <f aca="false">IF(X$4=0,0,IF(COUNTIFS(実績!$W$6:$W$505,X$3,実績!$AI$6:$AI$505,"&lt;="&amp;$A21,実績!$AJ$6:$AJ$505,"&gt;"&amp;$A21,実績!$AK$6:$AK$505,"○")&gt;0,1,0))</f>
        <v>0</v>
      </c>
      <c r="Y21" s="39" t="n">
        <f aca="false">IF(Y$4=0,0,IF(COUNTIFS(実績!$W$6:$W$505,Y$3,実績!$AI$6:$AI$505,"&lt;="&amp;$A21,実績!$AJ$6:$AJ$505,"&gt;"&amp;$A21,実績!$AK$6:$AK$505,"○")&gt;0,1,0))</f>
        <v>0</v>
      </c>
      <c r="Z21" s="39" t="n">
        <f aca="false">IF(Z$4=0,0,IF(COUNTIFS(実績!$W$6:$W$505,Z$3,実績!$AI$6:$AI$505,"&lt;="&amp;$A21,実績!$AJ$6:$AJ$505,"&gt;"&amp;$A21,実績!$AK$6:$AK$505,"○")&gt;0,1,0))</f>
        <v>0</v>
      </c>
      <c r="AA21" s="39" t="n">
        <f aca="false">IF(AA$4=0,0,IF(COUNTIFS(実績!$W$6:$W$505,AA$3,実績!$AI$6:$AI$505,"&lt;="&amp;$A21,実績!$AJ$6:$AJ$505,"&gt;"&amp;$A21,実績!$AK$6:$AK$505,"○")&gt;0,1,0))</f>
        <v>0</v>
      </c>
      <c r="AB21" s="39" t="n">
        <f aca="false">IF(AB$4=0,0,IF(COUNTIFS(実績!$W$6:$W$505,AB$3,実績!$AI$6:$AI$505,"&lt;="&amp;$A21,実績!$AJ$6:$AJ$505,"&gt;"&amp;$A21,実績!$AK$6:$AK$505,"○")&gt;0,1,0))</f>
        <v>0</v>
      </c>
      <c r="AC21" s="39" t="n">
        <f aca="false">IF(AC$4=0,0,IF(COUNTIFS(実績!$W$6:$W$505,AC$3,実績!$AI$6:$AI$505,"&lt;="&amp;$A21,実績!$AJ$6:$AJ$505,"&gt;"&amp;$A21,実績!$AK$6:$AK$505,"○")&gt;0,1,0))</f>
        <v>0</v>
      </c>
      <c r="AD21" s="39" t="n">
        <f aca="false">IF(AD$4=0,0,IF(COUNTIFS(実績!$W$6:$W$505,AD$3,実績!$AI$6:$AI$505,"&lt;="&amp;$A21,実績!$AJ$6:$AJ$505,"&gt;"&amp;$A21,実績!$AK$6:$AK$505,"○")&gt;0,1,0))</f>
        <v>0</v>
      </c>
      <c r="AE21" s="39" t="n">
        <f aca="false">IF(AE$4=0,0,IF(COUNTIFS(実績!$W$6:$W$505,AE$3,実績!$AI$6:$AI$505,"&lt;="&amp;$A21,実績!$AJ$6:$AJ$505,"&gt;"&amp;$A21,実績!$AK$6:$AK$505,"○")&gt;0,1,0))</f>
        <v>0</v>
      </c>
      <c r="AF21" s="39" t="n">
        <f aca="false">IF(AF$4=0,0,IF(COUNTIFS(実績!$W$6:$W$505,AF$3,実績!$AI$6:$AI$505,"&lt;="&amp;$A21,実績!$AJ$6:$AJ$505,"&gt;"&amp;$A21,実績!$AK$6:$AK$505,"○")&gt;0,1,0))</f>
        <v>0</v>
      </c>
      <c r="AG21" s="39" t="n">
        <f aca="false">IF(AG$4=0,0,IF(COUNTIFS(実績!$W$6:$W$505,AG$3,実績!$AI$6:$AI$505,"&lt;="&amp;$A21,実績!$AJ$6:$AJ$505,"&gt;"&amp;$A21,実績!$AK$6:$AK$505,"○")&gt;0,1,0))</f>
        <v>0</v>
      </c>
      <c r="AH21" s="39" t="n">
        <f aca="false">IF(AH$4=0,0,IF(COUNTIFS(実績!$W$6:$W$505,AH$3,実績!$AI$6:$AI$505,"&lt;="&amp;$A21,実績!$AJ$6:$AJ$505,"&gt;"&amp;$A21,実績!$AK$6:$AK$505,"○")&gt;0,1,0))</f>
        <v>0</v>
      </c>
      <c r="AI21" s="39" t="n">
        <f aca="false">IF(AI$4=0,0,IF(COUNTIFS(実績!$W$6:$W$505,AI$3,実績!$AI$6:$AI$505,"&lt;="&amp;$A21,実績!$AJ$6:$AJ$505,"&gt;"&amp;$A21,実績!$AK$6:$AK$505,"○")&gt;0,1,0))</f>
        <v>0</v>
      </c>
      <c r="AJ21" s="39" t="n">
        <f aca="false">IF(AJ$4=0,0,IF(COUNTIFS(実績!$W$6:$W$505,AJ$3,実績!$AI$6:$AI$505,"&lt;="&amp;$A21,実績!$AJ$6:$AJ$505,"&gt;"&amp;$A21,実績!$AK$6:$AK$505,"○")&gt;0,1,0))</f>
        <v>0</v>
      </c>
      <c r="AK21" s="39" t="n">
        <f aca="false">IF(AK$4=0,0,IF(COUNTIFS(実績!$W$6:$W$505,AK$3,実績!$AI$6:$AI$505,"&lt;="&amp;$A21,実績!$AJ$6:$AJ$505,"&gt;"&amp;$A21,実績!$AK$6:$AK$505,"○")&gt;0,1,0))</f>
        <v>0</v>
      </c>
      <c r="AL21" s="39" t="n">
        <f aca="false">IF(AL$4=0,0,IF(COUNTIFS(実績!$W$6:$W$505,AL$3,実績!$AI$6:$AI$505,"&lt;="&amp;$A21,実績!$AJ$6:$AJ$505,"&gt;"&amp;$A21,実績!$AK$6:$AK$505,"○")&gt;0,1,0))</f>
        <v>0</v>
      </c>
      <c r="AM21" s="39" t="n">
        <f aca="false">IF(AM$4=0,0,IF(COUNTIFS(実績!$W$6:$W$505,AM$3,実績!$AI$6:$AI$505,"&lt;="&amp;$A21,実績!$AJ$6:$AJ$505,"&gt;"&amp;$A21,実績!$AK$6:$AK$505,"○")&gt;0,1,0))</f>
        <v>0</v>
      </c>
      <c r="AN21" s="39" t="n">
        <f aca="false">IF(AN$4=0,0,IF(COUNTIFS(実績!$W$6:$W$505,AN$3,実績!$AI$6:$AI$505,"&lt;="&amp;$A21,実績!$AJ$6:$AJ$505,"&gt;"&amp;$A21,実績!$AK$6:$AK$505,"○")&gt;0,1,0))</f>
        <v>0</v>
      </c>
      <c r="AO21" s="39" t="n">
        <f aca="false">IF(AO$4=0,0,IF(COUNTIFS(実績!$W$6:$W$505,AO$3,実績!$AI$6:$AI$505,"&lt;="&amp;$A21,実績!$AJ$6:$AJ$505,"&gt;"&amp;$A21,実績!$AK$6:$AK$505,"○")&gt;0,1,0))</f>
        <v>0</v>
      </c>
      <c r="AP21" s="39" t="n">
        <f aca="false">IF(AP$4=0,0,IF(COUNTIFS(実績!$W$6:$W$505,AP$3,実績!$AI$6:$AI$505,"&lt;="&amp;$A21,実績!$AJ$6:$AJ$505,"&gt;"&amp;$A21,実績!$AK$6:$AK$505,"○")&gt;0,1,0))</f>
        <v>0</v>
      </c>
      <c r="AQ21" s="39" t="n">
        <f aca="false">IF(AQ$4=0,0,IF(COUNTIFS(実績!$W$6:$W$505,AQ$3,実績!$AI$6:$AI$505,"&lt;="&amp;$A21,実績!$AJ$6:$AJ$505,"&gt;"&amp;$A21,実績!$AK$6:$AK$505,"○")&gt;0,1,0))</f>
        <v>0</v>
      </c>
      <c r="AR21" s="39" t="n">
        <f aca="false">IF(AR$4=0,0,IF(COUNTIFS(実績!$W$6:$W$505,AR$3,実績!$AI$6:$AI$505,"&lt;="&amp;$A21,実績!$AJ$6:$AJ$505,"&gt;"&amp;$A21,実績!$AK$6:$AK$505,"○")&gt;0,1,0))</f>
        <v>0</v>
      </c>
      <c r="AS21" s="39" t="n">
        <f aca="false">IF(AS$4=0,0,IF(COUNTIFS(実績!$W$6:$W$505,AS$3,実績!$AI$6:$AI$505,"&lt;="&amp;$A21,実績!$AJ$6:$AJ$505,"&gt;"&amp;$A21,実績!$AK$6:$AK$505,"○")&gt;0,1,0))</f>
        <v>0</v>
      </c>
      <c r="AT21" s="39" t="n">
        <f aca="false">IF(AT$4=0,0,IF(COUNTIFS(実績!$W$6:$W$505,AT$3,実績!$AI$6:$AI$505,"&lt;="&amp;$A21,実績!$AJ$6:$AJ$505,"&gt;"&amp;$A21,実績!$AK$6:$AK$505,"○")&gt;0,1,0))</f>
        <v>0</v>
      </c>
      <c r="AU21" s="39" t="n">
        <f aca="false">IF(AU$4=0,0,IF(COUNTIFS(実績!$W$6:$W$505,AU$3,実績!$AI$6:$AI$505,"&lt;="&amp;$A21,実績!$AJ$6:$AJ$505,"&gt;"&amp;$A21,実績!$AK$6:$AK$505,"○")&gt;0,1,0))</f>
        <v>0</v>
      </c>
      <c r="AV21" s="39" t="n">
        <f aca="false">IF(AV$4=0,0,IF(COUNTIFS(実績!$W$6:$W$505,AV$3,実績!$AI$6:$AI$505,"&lt;="&amp;$A21,実績!$AJ$6:$AJ$505,"&gt;"&amp;$A21,実績!$AK$6:$AK$505,"○")&gt;0,1,0))</f>
        <v>0</v>
      </c>
      <c r="AW21" s="39" t="n">
        <f aca="false">IF(AW$4=0,0,IF(COUNTIFS(実績!$W$6:$W$505,AW$3,実績!$AI$6:$AI$505,"&lt;="&amp;$A21,実績!$AJ$6:$AJ$505,"&gt;"&amp;$A21,実績!$AK$6:$AK$505,"○")&gt;0,1,0))</f>
        <v>0</v>
      </c>
      <c r="AX21" s="39" t="n">
        <f aca="false">IF(AX$4=0,0,IF(COUNTIFS(実績!$W$6:$W$505,AX$3,実績!$AI$6:$AI$505,"&lt;="&amp;$A21,実績!$AJ$6:$AJ$505,"&gt;"&amp;$A21,実績!$AK$6:$AK$505,"○")&gt;0,1,0))</f>
        <v>0</v>
      </c>
      <c r="AY21" s="39" t="n">
        <f aca="false">IF(AY$4=0,0,IF(COUNTIFS(実績!$W$6:$W$505,AY$3,実績!$AI$6:$AI$505,"&lt;="&amp;$A21,実績!$AJ$6:$AJ$505,"&gt;"&amp;$A21,実績!$AK$6:$AK$505,"○")&gt;0,1,0))</f>
        <v>0</v>
      </c>
      <c r="AZ21" s="39" t="n">
        <f aca="false">IF(AZ$4=0,0,IF(COUNTIFS(実績!$W$6:$W$505,AZ$3,実績!$AI$6:$AI$505,"&lt;="&amp;$A21,実績!$AJ$6:$AJ$505,"&gt;"&amp;$A21,実績!$AK$6:$AK$505,"○")&gt;0,1,0))</f>
        <v>0</v>
      </c>
      <c r="BA21" s="39" t="n">
        <f aca="false">IF(BA$4=0,0,IF(COUNTIFS(実績!$W$6:$W$505,BA$3,実績!$AI$6:$AI$505,"&lt;="&amp;$A21,実績!$AJ$6:$AJ$505,"&gt;"&amp;$A21,実績!$AK$6:$AK$505,"○")&gt;0,1,0))</f>
        <v>0</v>
      </c>
      <c r="BB21" s="39" t="n">
        <f aca="false">IF(BB$4=0,0,IF(COUNTIFS(実績!$W$6:$W$505,BB$3,実績!$AI$6:$AI$505,"&lt;="&amp;$A21,実績!$AJ$6:$AJ$505,"&gt;"&amp;$A21,実績!$AK$6:$AK$505,"○")&gt;0,1,0))</f>
        <v>0</v>
      </c>
      <c r="BC21" s="39" t="n">
        <f aca="false">IF(BC$4=0,0,IF(COUNTIFS(実績!$W$6:$W$505,BC$3,実績!$AI$6:$AI$505,"&lt;="&amp;$A21,実績!$AJ$6:$AJ$505,"&gt;"&amp;$A21,実績!$AK$6:$AK$505,"○")&gt;0,1,0))</f>
        <v>0</v>
      </c>
      <c r="BD21" s="39" t="n">
        <f aca="false">IF(BD$4=0,0,IF(COUNTIFS(実績!$W$6:$W$505,BD$3,実績!$AI$6:$AI$505,"&lt;="&amp;$A21,実績!$AJ$6:$AJ$505,"&gt;"&amp;$A21,実績!$AK$6:$AK$505,"○")&gt;0,1,0))</f>
        <v>0</v>
      </c>
      <c r="BE21" s="39" t="n">
        <f aca="false">IF(BE$4=0,0,IF(COUNTIFS(実績!$W$6:$W$505,BE$3,実績!$AI$6:$AI$505,"&lt;="&amp;$A21,実績!$AJ$6:$AJ$505,"&gt;"&amp;$A21,実績!$AK$6:$AK$505,"○")&gt;0,1,0))</f>
        <v>0</v>
      </c>
      <c r="BF21" s="39" t="n">
        <f aca="false">IF(BF$4=0,0,IF(COUNTIFS(実績!$W$6:$W$505,BF$3,実績!$AI$6:$AI$505,"&lt;="&amp;$A21,実績!$AJ$6:$AJ$505,"&gt;"&amp;$A21,実績!$AK$6:$AK$505,"○")&gt;0,1,0))</f>
        <v>0</v>
      </c>
      <c r="BG21" s="39" t="n">
        <f aca="false">IF(BG$4=0,0,IF(COUNTIFS(実績!$W$6:$W$505,BG$3,実績!$AI$6:$AI$505,"&lt;="&amp;$A21,実績!$AJ$6:$AJ$505,"&gt;"&amp;$A21,実績!$AK$6:$AK$505,"○")&gt;0,1,0))</f>
        <v>0</v>
      </c>
      <c r="BH21" s="39" t="n">
        <f aca="false">IF(BH$4=0,0,IF(COUNTIFS(実績!$W$6:$W$505,BH$3,実績!$AI$6:$AI$505,"&lt;="&amp;$A21,実績!$AJ$6:$AJ$505,"&gt;"&amp;$A21,実績!$AK$6:$AK$505,"○")&gt;0,1,0))</f>
        <v>0</v>
      </c>
      <c r="BI21" s="39" t="n">
        <f aca="false">IF(BI$4=0,0,IF(COUNTIFS(実績!$W$6:$W$505,BI$3,実績!$AI$6:$AI$505,"&lt;="&amp;$A21,実績!$AJ$6:$AJ$505,"&gt;"&amp;$A21,実績!$AK$6:$AK$505,"○")&gt;0,1,0))</f>
        <v>0</v>
      </c>
      <c r="BJ21" s="39" t="n">
        <f aca="false">IF(BJ$4=0,0,IF(COUNTIFS(実績!$W$6:$W$505,BJ$3,実績!$AI$6:$AI$505,"&lt;="&amp;$A21,実績!$AJ$6:$AJ$505,"&gt;"&amp;$A21,実績!$AK$6:$AK$505,"○")&gt;0,1,0))</f>
        <v>0</v>
      </c>
      <c r="BK21" s="39" t="n">
        <f aca="false">IF(BK$4=0,0,IF(COUNTIFS(実績!$W$6:$W$505,BK$3,実績!$AI$6:$AI$505,"&lt;="&amp;$A21,実績!$AJ$6:$AJ$505,"&gt;"&amp;$A21,実績!$AK$6:$AK$505,"○")&gt;0,1,0))</f>
        <v>0</v>
      </c>
      <c r="BL21" s="39" t="n">
        <f aca="false">IF(BL$4=0,0,IF(COUNTIFS(実績!$W$6:$W$505,BL$3,実績!$AI$6:$AI$505,"&lt;="&amp;$A21,実績!$AJ$6:$AJ$505,"&gt;"&amp;$A21,実績!$AK$6:$AK$505,"○")&gt;0,1,0))</f>
        <v>0</v>
      </c>
      <c r="BM21" s="39" t="n">
        <f aca="false">IF(BM$4=0,0,IF(COUNTIFS(実績!$W$6:$W$505,BM$3,実績!$AI$6:$AI$505,"&lt;="&amp;$A21,実績!$AJ$6:$AJ$505,"&gt;"&amp;$A21,実績!$AK$6:$AK$505,"○")&gt;0,1,0))</f>
        <v>0</v>
      </c>
      <c r="BN21" s="39" t="n">
        <f aca="false">IF(BN$4=0,0,IF(COUNTIFS(実績!$W$6:$W$505,BN$3,実績!$AI$6:$AI$505,"&lt;="&amp;$A21,実績!$AJ$6:$AJ$505,"&gt;"&amp;$A21,実績!$AK$6:$AK$505,"○")&gt;0,1,0))</f>
        <v>0</v>
      </c>
      <c r="BO21" s="39" t="n">
        <f aca="false">IF(BO$4=0,0,IF(COUNTIFS(実績!$W$6:$W$505,BO$3,実績!$AI$6:$AI$505,"&lt;="&amp;$A21,実績!$AJ$6:$AJ$505,"&gt;"&amp;$A21,実績!$AK$6:$AK$505,"○")&gt;0,1,0))</f>
        <v>0</v>
      </c>
      <c r="BP21" s="39" t="n">
        <f aca="false">IF(BP$4=0,0,IF(COUNTIFS(実績!$W$6:$W$505,BP$3,実績!$AI$6:$AI$505,"&lt;="&amp;$A21,実績!$AJ$6:$AJ$505,"&gt;"&amp;$A21,実績!$AK$6:$AK$505,"○")&gt;0,1,0))</f>
        <v>0</v>
      </c>
      <c r="BQ21" s="39" t="n">
        <f aca="false">IF(BQ$4=0,0,IF(COUNTIFS(実績!$W$6:$W$505,BQ$3,実績!$AI$6:$AI$505,"&lt;="&amp;$A21,実績!$AJ$6:$AJ$505,"&gt;"&amp;$A21,実績!$AK$6:$AK$505,"○")&gt;0,1,0))</f>
        <v>0</v>
      </c>
      <c r="BR21" s="39" t="n">
        <f aca="false">IF(BR$4=0,0,IF(COUNTIFS(実績!$W$6:$W$505,BR$3,実績!$AI$6:$AI$505,"&lt;="&amp;$A21,実績!$AJ$6:$AJ$505,"&gt;"&amp;$A21,実績!$AK$6:$AK$505,"○")&gt;0,1,0))</f>
        <v>0</v>
      </c>
      <c r="BS21" s="39" t="n">
        <f aca="false">IF(BS$4=0,0,IF(COUNTIFS(実績!$W$6:$W$505,BS$3,実績!$AI$6:$AI$505,"&lt;="&amp;$A21,実績!$AJ$6:$AJ$505,"&gt;"&amp;$A21,実績!$AK$6:$AK$505,"○")&gt;0,1,0))</f>
        <v>0</v>
      </c>
      <c r="BT21" s="39" t="n">
        <f aca="false">IF(BT$4=0,0,IF(COUNTIFS(実績!$W$6:$W$505,BT$3,実績!$AI$6:$AI$505,"&lt;="&amp;$A21,実績!$AJ$6:$AJ$505,"&gt;"&amp;$A21,実績!$AK$6:$AK$505,"○")&gt;0,1,0))</f>
        <v>0</v>
      </c>
      <c r="BU21" s="39" t="n">
        <f aca="false">IF(BU$4=0,0,IF(COUNTIFS(実績!$W$6:$W$505,BU$3,実績!$AI$6:$AI$505,"&lt;="&amp;$A21,実績!$AJ$6:$AJ$505,"&gt;"&amp;$A21,実績!$AK$6:$AK$505,"○")&gt;0,1,0))</f>
        <v>0</v>
      </c>
      <c r="BV21" s="39" t="n">
        <f aca="false">IF(BV$4=0,0,IF(COUNTIFS(実績!$W$6:$W$505,BV$3,実績!$AI$6:$AI$505,"&lt;="&amp;$A21,実績!$AJ$6:$AJ$505,"&gt;"&amp;$A21,実績!$AK$6:$AK$505,"○")&gt;0,1,0))</f>
        <v>0</v>
      </c>
      <c r="BW21" s="39" t="n">
        <f aca="false">IF(BW$4=0,0,IF(COUNTIFS(実績!$W$6:$W$505,BW$3,実績!$AI$6:$AI$505,"&lt;="&amp;$A21,実績!$AJ$6:$AJ$505,"&gt;"&amp;$A21,実績!$AK$6:$AK$505,"○")&gt;0,1,0))</f>
        <v>0</v>
      </c>
      <c r="BX21" s="39" t="n">
        <f aca="false">IF(BX$4=0,0,IF(COUNTIFS(実績!$W$6:$W$505,BX$3,実績!$AI$6:$AI$505,"&lt;="&amp;$A21,実績!$AJ$6:$AJ$505,"&gt;"&amp;$A21,実績!$AK$6:$AK$505,"○")&gt;0,1,0))</f>
        <v>0</v>
      </c>
      <c r="BY21" s="39" t="n">
        <f aca="false">IF(BY$4=0,0,IF(COUNTIFS(実績!$W$6:$W$505,BY$3,実績!$AI$6:$AI$505,"&lt;="&amp;$A21,実績!$AJ$6:$AJ$505,"&gt;"&amp;$A21,実績!$AK$6:$AK$505,"○")&gt;0,1,0))</f>
        <v>0</v>
      </c>
      <c r="BZ21" s="39" t="n">
        <f aca="false">IF(BZ$4=0,0,IF(COUNTIFS(実績!$W$6:$W$505,BZ$3,実績!$AI$6:$AI$505,"&lt;="&amp;$A21,実績!$AJ$6:$AJ$505,"&gt;"&amp;$A21,実績!$AK$6:$AK$505,"○")&gt;0,1,0))</f>
        <v>0</v>
      </c>
      <c r="CA21" s="39" t="n">
        <f aca="false">IF(CA$4=0,0,IF(COUNTIFS(実績!$W$6:$W$505,CA$3,実績!$AI$6:$AI$505,"&lt;="&amp;$A21,実績!$AJ$6:$AJ$505,"&gt;"&amp;$A21,実績!$AK$6:$AK$505,"○")&gt;0,1,0))</f>
        <v>0</v>
      </c>
      <c r="CB21" s="39" t="n">
        <f aca="false">IF(CB$4=0,0,IF(COUNTIFS(実績!$W$6:$W$505,CB$3,実績!$AI$6:$AI$505,"&lt;="&amp;$A21,実績!$AJ$6:$AJ$505,"&gt;"&amp;$A21,実績!$AK$6:$AK$505,"○")&gt;0,1,0))</f>
        <v>0</v>
      </c>
      <c r="CC21" s="39" t="n">
        <f aca="false">IF(CC$4=0,0,IF(COUNTIFS(実績!$W$6:$W$505,CC$3,実績!$AI$6:$AI$505,"&lt;="&amp;$A21,実績!$AJ$6:$AJ$505,"&gt;"&amp;$A21,実績!$AK$6:$AK$505,"○")&gt;0,1,0))</f>
        <v>0</v>
      </c>
      <c r="CD21" s="39" t="n">
        <f aca="false">IF(CD$4=0,0,IF(COUNTIFS(実績!$W$6:$W$505,CD$3,実績!$AI$6:$AI$505,"&lt;="&amp;$A21,実績!$AJ$6:$AJ$505,"&gt;"&amp;$A21,実績!$AK$6:$AK$505,"○")&gt;0,1,0))</f>
        <v>0</v>
      </c>
      <c r="CE21" s="39" t="n">
        <f aca="false">IF(CE$4=0,0,IF(COUNTIFS(実績!$W$6:$W$505,CE$3,実績!$AI$6:$AI$505,"&lt;="&amp;$A21,実績!$AJ$6:$AJ$505,"&gt;"&amp;$A21,実績!$AK$6:$AK$505,"○")&gt;0,1,0))</f>
        <v>0</v>
      </c>
      <c r="CF21" s="39" t="n">
        <f aca="false">IF(CF$4=0,0,IF(COUNTIFS(実績!$W$6:$W$505,CF$3,実績!$AI$6:$AI$505,"&lt;="&amp;$A21,実績!$AJ$6:$AJ$505,"&gt;"&amp;$A21,実績!$AK$6:$AK$505,"○")&gt;0,1,0))</f>
        <v>0</v>
      </c>
      <c r="CG21" s="39" t="n">
        <f aca="false">IF(CG$4=0,0,IF(COUNTIFS(実績!$W$6:$W$505,CG$3,実績!$AI$6:$AI$505,"&lt;="&amp;$A21,実績!$AJ$6:$AJ$505,"&gt;"&amp;$A21,実績!$AK$6:$AK$505,"○")&gt;0,1,0))</f>
        <v>0</v>
      </c>
      <c r="CH21" s="39" t="n">
        <f aca="false">IF(CH$4=0,0,IF(COUNTIFS(実績!$W$6:$W$505,CH$3,実績!$AI$6:$AI$505,"&lt;="&amp;$A21,実績!$AJ$6:$AJ$505,"&gt;"&amp;$A21,実績!$AK$6:$AK$505,"○")&gt;0,1,0))</f>
        <v>0</v>
      </c>
      <c r="CI21" s="39" t="n">
        <f aca="false">IF(CI$4=0,0,IF(COUNTIFS(実績!$W$6:$W$505,CI$3,実績!$AI$6:$AI$505,"&lt;="&amp;$A21,実績!$AJ$6:$AJ$505,"&gt;"&amp;$A21,実績!$AK$6:$AK$505,"○")&gt;0,1,0))</f>
        <v>0</v>
      </c>
      <c r="CJ21" s="39" t="n">
        <f aca="false">IF(CJ$4=0,0,IF(COUNTIFS(実績!$W$6:$W$505,CJ$3,実績!$AI$6:$AI$505,"&lt;="&amp;$A21,実績!$AJ$6:$AJ$505,"&gt;"&amp;$A21,実績!$AK$6:$AK$505,"○")&gt;0,1,0))</f>
        <v>0</v>
      </c>
      <c r="CK21" s="39" t="n">
        <f aca="false">IF(CK$4=0,0,IF(COUNTIFS(実績!$W$6:$W$505,CK$3,実績!$AI$6:$AI$505,"&lt;="&amp;$A21,実績!$AJ$6:$AJ$505,"&gt;"&amp;$A21,実績!$AK$6:$AK$505,"○")&gt;0,1,0))</f>
        <v>0</v>
      </c>
      <c r="CL21" s="39" t="n">
        <f aca="false">IF(CL$4=0,0,IF(COUNTIFS(実績!$W$6:$W$505,CL$3,実績!$AI$6:$AI$505,"&lt;="&amp;$A21,実績!$AJ$6:$AJ$505,"&gt;"&amp;$A21,実績!$AK$6:$AK$505,"○")&gt;0,1,0))</f>
        <v>0</v>
      </c>
      <c r="CM21" s="39" t="n">
        <f aca="false">IF(CM$4=0,0,IF(COUNTIFS(実績!$W$6:$W$505,CM$3,実績!$AI$6:$AI$505,"&lt;="&amp;$A21,実績!$AJ$6:$AJ$505,"&gt;"&amp;$A21,実績!$AK$6:$AK$505,"○")&gt;0,1,0))</f>
        <v>0</v>
      </c>
      <c r="CN21" s="39" t="n">
        <f aca="false">IF(CN$4=0,0,IF(COUNTIFS(実績!$W$6:$W$505,CN$3,実績!$AI$6:$AI$505,"&lt;="&amp;$A21,実績!$AJ$6:$AJ$505,"&gt;"&amp;$A21,実績!$AK$6:$AK$505,"○")&gt;0,1,0))</f>
        <v>0</v>
      </c>
      <c r="CO21" s="39" t="n">
        <f aca="false">IF(CO$4=0,0,IF(COUNTIFS(実績!$W$6:$W$505,CO$3,実績!$AI$6:$AI$505,"&lt;="&amp;$A21,実績!$AJ$6:$AJ$505,"&gt;"&amp;$A21,実績!$AK$6:$AK$505,"○")&gt;0,1,0))</f>
        <v>0</v>
      </c>
      <c r="CP21" s="39" t="n">
        <f aca="false">IF(CP$4=0,0,IF(COUNTIFS(実績!$W$6:$W$505,CP$3,実績!$AI$6:$AI$505,"&lt;="&amp;$A21,実績!$AJ$6:$AJ$505,"&gt;"&amp;$A21,実績!$AK$6:$AK$505,"○")&gt;0,1,0))</f>
        <v>0</v>
      </c>
      <c r="CQ21" s="39" t="n">
        <f aca="false">IF(CQ$4=0,0,IF(COUNTIFS(実績!$W$6:$W$505,CQ$3,実績!$AI$6:$AI$505,"&lt;="&amp;$A21,実績!$AJ$6:$AJ$505,"&gt;"&amp;$A21,実績!$AK$6:$AK$505,"○")&gt;0,1,0))</f>
        <v>0</v>
      </c>
      <c r="CR21" s="39" t="n">
        <f aca="false">IF(CR$4=0,0,IF(COUNTIFS(実績!$W$6:$W$505,CR$3,実績!$AI$6:$AI$505,"&lt;="&amp;$A21,実績!$AJ$6:$AJ$505,"&gt;"&amp;$A21,実績!$AK$6:$AK$505,"○")&gt;0,1,0))</f>
        <v>0</v>
      </c>
      <c r="CS21" s="39" t="n">
        <f aca="false">IF(CS$4=0,0,IF(COUNTIFS(実績!$W$6:$W$505,CS$3,実績!$AI$6:$AI$505,"&lt;="&amp;$A21,実績!$AJ$6:$AJ$505,"&gt;"&amp;$A21,実績!$AK$6:$AK$505,"○")&gt;0,1,0))</f>
        <v>0</v>
      </c>
      <c r="CT21" s="39" t="n">
        <f aca="false">IF(CT$4=0,0,IF(COUNTIFS(実績!$W$6:$W$505,CT$3,実績!$AI$6:$AI$505,"&lt;="&amp;$A21,実績!$AJ$6:$AJ$505,"&gt;"&amp;$A21,実績!$AK$6:$AK$505,"○")&gt;0,1,0))</f>
        <v>0</v>
      </c>
      <c r="CU21" s="39" t="n">
        <f aca="false">IF(CU$4=0,0,IF(COUNTIFS(実績!$W$6:$W$505,CU$3,実績!$AI$6:$AI$505,"&lt;="&amp;$A21,実績!$AJ$6:$AJ$505,"&gt;"&amp;$A21,実績!$AK$6:$AK$505,"○")&gt;0,1,0))</f>
        <v>0</v>
      </c>
      <c r="CV21" s="39" t="n">
        <f aca="false">IF(CV$4=0,0,IF(COUNTIFS(実績!$W$6:$W$505,CV$3,実績!$AI$6:$AI$505,"&lt;="&amp;$A21,実績!$AJ$6:$AJ$505,"&gt;"&amp;$A21,実績!$AK$6:$AK$505,"○")&gt;0,1,0))</f>
        <v>0</v>
      </c>
      <c r="CW21" s="39" t="n">
        <f aca="false">IF(CW$4=0,0,IF(COUNTIFS(実績!$W$6:$W$505,CW$3,実績!$AI$6:$AI$505,"&lt;="&amp;$A21,実績!$AJ$6:$AJ$505,"&gt;"&amp;$A21,実績!$AK$6:$AK$505,"○")&gt;0,1,0))</f>
        <v>0</v>
      </c>
      <c r="CX21" s="39" t="n">
        <f aca="false">IF(CX$4=0,0,IF(COUNTIFS(実績!$W$6:$W$505,CX$3,実績!$AI$6:$AI$505,"&lt;="&amp;$A21,実績!$AJ$6:$AJ$505,"&gt;"&amp;$A21,実績!$AK$6:$AK$505,"○")&gt;0,1,0))</f>
        <v>0</v>
      </c>
      <c r="CY21" s="39" t="n">
        <f aca="false">IF(CY$4=0,0,IF(COUNTIFS(実績!$W$6:$W$505,CY$3,実績!$AI$6:$AI$505,"&lt;="&amp;$A21,実績!$AJ$6:$AJ$505,"&gt;"&amp;$A21,実績!$AK$6:$AK$505,"○")&gt;0,1,0))</f>
        <v>0</v>
      </c>
      <c r="CZ21" s="39" t="n">
        <f aca="false">IF(CZ$4=0,0,IF(COUNTIFS(実績!$W$6:$W$505,CZ$3,実績!$AI$6:$AI$505,"&lt;="&amp;$A21,実績!$AJ$6:$AJ$505,"&gt;"&amp;$A21,実績!$AK$6:$AK$505,"○")&gt;0,1,0))</f>
        <v>0</v>
      </c>
      <c r="DA21" s="39" t="n">
        <f aca="false">IF(DA$4=0,0,IF(COUNTIFS(実績!$W$6:$W$505,DA$3,実績!$AI$6:$AI$505,"&lt;="&amp;$A21,実績!$AJ$6:$AJ$505,"&gt;"&amp;$A21,実績!$AK$6:$AK$505,"○")&gt;0,1,0))</f>
        <v>0</v>
      </c>
      <c r="DB21" s="39" t="n">
        <f aca="false">IF(DB$4=0,0,IF(COUNTIFS(実績!$W$6:$W$505,DB$3,実績!$AI$6:$AI$505,"&lt;="&amp;$A21,実績!$AJ$6:$AJ$505,"&gt;"&amp;$A21,実績!$AK$6:$AK$505,"○")&gt;0,1,0))</f>
        <v>0</v>
      </c>
      <c r="DC21" s="39" t="n">
        <f aca="false">IF(DC$4=0,0,IF(COUNTIFS(実績!$W$6:$W$505,DC$3,実績!$AI$6:$AI$505,"&lt;="&amp;$A21,実績!$AJ$6:$AJ$505,"&gt;"&amp;$A21,実績!$AK$6:$AK$505,"○")&gt;0,1,0))</f>
        <v>0</v>
      </c>
      <c r="DD21" s="39" t="n">
        <f aca="false">IF(DD$4=0,0,IF(COUNTIFS(実績!$W$6:$W$505,DD$3,実績!$AI$6:$AI$505,"&lt;="&amp;$A21,実績!$AJ$6:$AJ$505,"&gt;"&amp;$A21,実績!$AK$6:$AK$505,"○")&gt;0,1,0))</f>
        <v>0</v>
      </c>
      <c r="DE21" s="39" t="n">
        <f aca="false">IF(DE$4=0,0,IF(COUNTIFS(実績!$W$6:$W$505,DE$3,実績!$AI$6:$AI$505,"&lt;="&amp;$A21,実績!$AJ$6:$AJ$505,"&gt;"&amp;$A21,実績!$AK$6:$AK$505,"○")&gt;0,1,0))</f>
        <v>0</v>
      </c>
      <c r="DF21" s="39" t="n">
        <f aca="false">IF(DF$4=0,0,IF(COUNTIFS(実績!$W$6:$W$505,DF$3,実績!$AI$6:$AI$505,"&lt;="&amp;$A21,実績!$AJ$6:$AJ$505,"&gt;"&amp;$A21,実績!$AK$6:$AK$505,"○")&gt;0,1,0))</f>
        <v>0</v>
      </c>
      <c r="DG21" s="39" t="n">
        <f aca="false">IF(DG$4=0,0,IF(COUNTIFS(実績!$W$6:$W$505,DG$3,実績!$AI$6:$AI$505,"&lt;="&amp;$A21,実績!$AJ$6:$AJ$505,"&gt;"&amp;$A21,実績!$AK$6:$AK$505,"○")&gt;0,1,0))</f>
        <v>0</v>
      </c>
      <c r="DH21" s="39" t="n">
        <f aca="false">IF(DH$4=0,0,IF(COUNTIFS(実績!$W$6:$W$505,DH$3,実績!$AI$6:$AI$505,"&lt;="&amp;$A21,実績!$AJ$6:$AJ$505,"&gt;"&amp;$A21,実績!$AK$6:$AK$505,"○")&gt;0,1,0))</f>
        <v>0</v>
      </c>
      <c r="DI21" s="39" t="n">
        <f aca="false">IF(DI$4=0,0,IF(COUNTIFS(実績!$W$6:$W$505,DI$3,実績!$AI$6:$AI$505,"&lt;="&amp;$A21,実績!$AJ$6:$AJ$505,"&gt;"&amp;$A21,実績!$AK$6:$AK$505,"○")&gt;0,1,0))</f>
        <v>0</v>
      </c>
      <c r="DJ21" s="39" t="n">
        <f aca="false">IF(DJ$4=0,0,IF(COUNTIFS(実績!$W$6:$W$505,DJ$3,実績!$AI$6:$AI$505,"&lt;="&amp;$A21,実績!$AJ$6:$AJ$505,"&gt;"&amp;$A21,実績!$AK$6:$AK$505,"○")&gt;0,1,0))</f>
        <v>0</v>
      </c>
      <c r="DK21" s="39" t="n">
        <f aca="false">IF(DK$4=0,0,IF(COUNTIFS(実績!$W$6:$W$505,DK$3,実績!$AI$6:$AI$505,"&lt;="&amp;$A21,実績!$AJ$6:$AJ$505,"&gt;"&amp;$A21,実績!$AK$6:$AK$505,"○")&gt;0,1,0))</f>
        <v>0</v>
      </c>
      <c r="DL21" s="39" t="n">
        <f aca="false">IF(DL$4=0,0,IF(COUNTIFS(実績!$W$6:$W$505,DL$3,実績!$AI$6:$AI$505,"&lt;="&amp;$A21,実績!$AJ$6:$AJ$505,"&gt;"&amp;$A21,実績!$AK$6:$AK$505,"○")&gt;0,1,0))</f>
        <v>0</v>
      </c>
      <c r="DM21" s="39" t="n">
        <f aca="false">IF(DM$4=0,0,IF(COUNTIFS(実績!$W$6:$W$505,DM$3,実績!$AI$6:$AI$505,"&lt;="&amp;$A21,実績!$AJ$6:$AJ$505,"&gt;"&amp;$A21,実績!$AK$6:$AK$505,"○")&gt;0,1,0))</f>
        <v>0</v>
      </c>
      <c r="DN21" s="39" t="n">
        <f aca="false">IF(DN$4=0,0,IF(COUNTIFS(実績!$W$6:$W$505,DN$3,実績!$AI$6:$AI$505,"&lt;="&amp;$A21,実績!$AJ$6:$AJ$505,"&gt;"&amp;$A21,実績!$AK$6:$AK$505,"○")&gt;0,1,0))</f>
        <v>0</v>
      </c>
      <c r="DO21" s="39" t="n">
        <f aca="false">IF(DO$4=0,0,IF(COUNTIFS(実績!$W$6:$W$505,DO$3,実績!$AI$6:$AI$505,"&lt;="&amp;$A21,実績!$AJ$6:$AJ$505,"&gt;"&amp;$A21,実績!$AK$6:$AK$505,"○")&gt;0,1,0))</f>
        <v>0</v>
      </c>
      <c r="DP21" s="39" t="n">
        <f aca="false">IF(DP$4=0,0,IF(COUNTIFS(実績!$W$6:$W$505,DP$3,実績!$AI$6:$AI$505,"&lt;="&amp;$A21,実績!$AJ$6:$AJ$505,"&gt;"&amp;$A21,実績!$AK$6:$AK$505,"○")&gt;0,1,0))</f>
        <v>0</v>
      </c>
      <c r="DQ21" s="39" t="n">
        <f aca="false">IF(DQ$4=0,0,IF(COUNTIFS(実績!$W$6:$W$505,DQ$3,実績!$AI$6:$AI$505,"&lt;="&amp;$A21,実績!$AJ$6:$AJ$505,"&gt;"&amp;$A21,実績!$AK$6:$AK$505,"○")&gt;0,1,0))</f>
        <v>0</v>
      </c>
      <c r="DR21" s="39" t="n">
        <f aca="false">IF(DR$4=0,0,IF(COUNTIFS(実績!$W$6:$W$505,DR$3,実績!$AI$6:$AI$505,"&lt;="&amp;$A21,実績!$AJ$6:$AJ$505,"&gt;"&amp;$A21,実績!$AK$6:$AK$505,"○")&gt;0,1,0))</f>
        <v>0</v>
      </c>
      <c r="DS21" s="39" t="n">
        <f aca="false">SUM(C21:DR21)</f>
        <v>0</v>
      </c>
      <c r="DT21" s="39" t="n">
        <f aca="false">SUMPRODUCT((実績!$C$6:$C$505="○")*ISNUMBER(実績!$AM$6:$AM$505)*(実績!$AM$6:$AM$505&lt;=$A21)*(実績!$AN$6:$AN$505&gt;$A21))</f>
        <v>0</v>
      </c>
      <c r="DU21" s="39" t="n">
        <f aca="false">SUMIF($C$2:$DR$2,"製鉄曳船",C21:DR21)</f>
        <v>0</v>
      </c>
      <c r="DV21" s="39" t="n">
        <f aca="false">SUMIF($C$2:$DR$2,"西日本海運",C21:DR21)</f>
        <v>0</v>
      </c>
    </row>
    <row r="22" customFormat="false" ht="15" hidden="false" customHeight="false" outlineLevel="0" collapsed="false">
      <c r="A22" s="0" t="n">
        <v>80</v>
      </c>
      <c r="B22" s="38" t="n">
        <f aca="false">A22/1440</f>
        <v>0.0555555555555556</v>
      </c>
      <c r="C22" s="39" t="n">
        <f aca="false">IF(C$4=0,0,IF(COUNTIFS(実績!$W$6:$W$505,C$3,実績!$AI$6:$AI$505,"&lt;="&amp;$A22,実績!$AJ$6:$AJ$505,"&gt;"&amp;$A22,実績!$AK$6:$AK$505,"○")&gt;0,1,0))</f>
        <v>0</v>
      </c>
      <c r="D22" s="39" t="n">
        <f aca="false">IF(D$4=0,0,IF(COUNTIFS(実績!$W$6:$W$505,D$3,実績!$AI$6:$AI$505,"&lt;="&amp;$A22,実績!$AJ$6:$AJ$505,"&gt;"&amp;$A22,実績!$AK$6:$AK$505,"○")&gt;0,1,0))</f>
        <v>0</v>
      </c>
      <c r="E22" s="39" t="n">
        <f aca="false">IF(E$4=0,0,IF(COUNTIFS(実績!$W$6:$W$505,E$3,実績!$AI$6:$AI$505,"&lt;="&amp;$A22,実績!$AJ$6:$AJ$505,"&gt;"&amp;$A22,実績!$AK$6:$AK$505,"○")&gt;0,1,0))</f>
        <v>0</v>
      </c>
      <c r="F22" s="39" t="n">
        <f aca="false">IF(F$4=0,0,IF(COUNTIFS(実績!$W$6:$W$505,F$3,実績!$AI$6:$AI$505,"&lt;="&amp;$A22,実績!$AJ$6:$AJ$505,"&gt;"&amp;$A22,実績!$AK$6:$AK$505,"○")&gt;0,1,0))</f>
        <v>0</v>
      </c>
      <c r="G22" s="39" t="n">
        <f aca="false">IF(G$4=0,0,IF(COUNTIFS(実績!$W$6:$W$505,G$3,実績!$AI$6:$AI$505,"&lt;="&amp;$A22,実績!$AJ$6:$AJ$505,"&gt;"&amp;$A22,実績!$AK$6:$AK$505,"○")&gt;0,1,0))</f>
        <v>0</v>
      </c>
      <c r="H22" s="39" t="n">
        <f aca="false">IF(H$4=0,0,IF(COUNTIFS(実績!$W$6:$W$505,H$3,実績!$AI$6:$AI$505,"&lt;="&amp;$A22,実績!$AJ$6:$AJ$505,"&gt;"&amp;$A22,実績!$AK$6:$AK$505,"○")&gt;0,1,0))</f>
        <v>0</v>
      </c>
      <c r="I22" s="39" t="n">
        <f aca="false">IF(I$4=0,0,IF(COUNTIFS(実績!$W$6:$W$505,I$3,実績!$AI$6:$AI$505,"&lt;="&amp;$A22,実績!$AJ$6:$AJ$505,"&gt;"&amp;$A22,実績!$AK$6:$AK$505,"○")&gt;0,1,0))</f>
        <v>0</v>
      </c>
      <c r="J22" s="39" t="n">
        <f aca="false">IF(J$4=0,0,IF(COUNTIFS(実績!$W$6:$W$505,J$3,実績!$AI$6:$AI$505,"&lt;="&amp;$A22,実績!$AJ$6:$AJ$505,"&gt;"&amp;$A22,実績!$AK$6:$AK$505,"○")&gt;0,1,0))</f>
        <v>0</v>
      </c>
      <c r="K22" s="39" t="n">
        <f aca="false">IF(K$4=0,0,IF(COUNTIFS(実績!$W$6:$W$505,K$3,実績!$AI$6:$AI$505,"&lt;="&amp;$A22,実績!$AJ$6:$AJ$505,"&gt;"&amp;$A22,実績!$AK$6:$AK$505,"○")&gt;0,1,0))</f>
        <v>0</v>
      </c>
      <c r="L22" s="39" t="n">
        <f aca="false">IF(L$4=0,0,IF(COUNTIFS(実績!$W$6:$W$505,L$3,実績!$AI$6:$AI$505,"&lt;="&amp;$A22,実績!$AJ$6:$AJ$505,"&gt;"&amp;$A22,実績!$AK$6:$AK$505,"○")&gt;0,1,0))</f>
        <v>0</v>
      </c>
      <c r="M22" s="39" t="n">
        <f aca="false">IF(M$4=0,0,IF(COUNTIFS(実績!$W$6:$W$505,M$3,実績!$AI$6:$AI$505,"&lt;="&amp;$A22,実績!$AJ$6:$AJ$505,"&gt;"&amp;$A22,実績!$AK$6:$AK$505,"○")&gt;0,1,0))</f>
        <v>0</v>
      </c>
      <c r="N22" s="39" t="n">
        <f aca="false">IF(N$4=0,0,IF(COUNTIFS(実績!$W$6:$W$505,N$3,実績!$AI$6:$AI$505,"&lt;="&amp;$A22,実績!$AJ$6:$AJ$505,"&gt;"&amp;$A22,実績!$AK$6:$AK$505,"○")&gt;0,1,0))</f>
        <v>0</v>
      </c>
      <c r="O22" s="39" t="n">
        <f aca="false">IF(O$4=0,0,IF(COUNTIFS(実績!$W$6:$W$505,O$3,実績!$AI$6:$AI$505,"&lt;="&amp;$A22,実績!$AJ$6:$AJ$505,"&gt;"&amp;$A22,実績!$AK$6:$AK$505,"○")&gt;0,1,0))</f>
        <v>0</v>
      </c>
      <c r="P22" s="39" t="n">
        <f aca="false">IF(P$4=0,0,IF(COUNTIFS(実績!$W$6:$W$505,P$3,実績!$AI$6:$AI$505,"&lt;="&amp;$A22,実績!$AJ$6:$AJ$505,"&gt;"&amp;$A22,実績!$AK$6:$AK$505,"○")&gt;0,1,0))</f>
        <v>0</v>
      </c>
      <c r="Q22" s="39" t="n">
        <f aca="false">IF(Q$4=0,0,IF(COUNTIFS(実績!$W$6:$W$505,Q$3,実績!$AI$6:$AI$505,"&lt;="&amp;$A22,実績!$AJ$6:$AJ$505,"&gt;"&amp;$A22,実績!$AK$6:$AK$505,"○")&gt;0,1,0))</f>
        <v>0</v>
      </c>
      <c r="R22" s="39" t="n">
        <f aca="false">IF(R$4=0,0,IF(COUNTIFS(実績!$W$6:$W$505,R$3,実績!$AI$6:$AI$505,"&lt;="&amp;$A22,実績!$AJ$6:$AJ$505,"&gt;"&amp;$A22,実績!$AK$6:$AK$505,"○")&gt;0,1,0))</f>
        <v>0</v>
      </c>
      <c r="S22" s="39" t="n">
        <f aca="false">IF(S$4=0,0,IF(COUNTIFS(実績!$W$6:$W$505,S$3,実績!$AI$6:$AI$505,"&lt;="&amp;$A22,実績!$AJ$6:$AJ$505,"&gt;"&amp;$A22,実績!$AK$6:$AK$505,"○")&gt;0,1,0))</f>
        <v>0</v>
      </c>
      <c r="T22" s="39" t="n">
        <f aca="false">IF(T$4=0,0,IF(COUNTIFS(実績!$W$6:$W$505,T$3,実績!$AI$6:$AI$505,"&lt;="&amp;$A22,実績!$AJ$6:$AJ$505,"&gt;"&amp;$A22,実績!$AK$6:$AK$505,"○")&gt;0,1,0))</f>
        <v>0</v>
      </c>
      <c r="U22" s="39" t="n">
        <f aca="false">IF(U$4=0,0,IF(COUNTIFS(実績!$W$6:$W$505,U$3,実績!$AI$6:$AI$505,"&lt;="&amp;$A22,実績!$AJ$6:$AJ$505,"&gt;"&amp;$A22,実績!$AK$6:$AK$505,"○")&gt;0,1,0))</f>
        <v>0</v>
      </c>
      <c r="V22" s="39" t="n">
        <f aca="false">IF(V$4=0,0,IF(COUNTIFS(実績!$W$6:$W$505,V$3,実績!$AI$6:$AI$505,"&lt;="&amp;$A22,実績!$AJ$6:$AJ$505,"&gt;"&amp;$A22,実績!$AK$6:$AK$505,"○")&gt;0,1,0))</f>
        <v>0</v>
      </c>
      <c r="W22" s="39" t="n">
        <f aca="false">IF(W$4=0,0,IF(COUNTIFS(実績!$W$6:$W$505,W$3,実績!$AI$6:$AI$505,"&lt;="&amp;$A22,実績!$AJ$6:$AJ$505,"&gt;"&amp;$A22,実績!$AK$6:$AK$505,"○")&gt;0,1,0))</f>
        <v>0</v>
      </c>
      <c r="X22" s="39" t="n">
        <f aca="false">IF(X$4=0,0,IF(COUNTIFS(実績!$W$6:$W$505,X$3,実績!$AI$6:$AI$505,"&lt;="&amp;$A22,実績!$AJ$6:$AJ$505,"&gt;"&amp;$A22,実績!$AK$6:$AK$505,"○")&gt;0,1,0))</f>
        <v>0</v>
      </c>
      <c r="Y22" s="39" t="n">
        <f aca="false">IF(Y$4=0,0,IF(COUNTIFS(実績!$W$6:$W$505,Y$3,実績!$AI$6:$AI$505,"&lt;="&amp;$A22,実績!$AJ$6:$AJ$505,"&gt;"&amp;$A22,実績!$AK$6:$AK$505,"○")&gt;0,1,0))</f>
        <v>0</v>
      </c>
      <c r="Z22" s="39" t="n">
        <f aca="false">IF(Z$4=0,0,IF(COUNTIFS(実績!$W$6:$W$505,Z$3,実績!$AI$6:$AI$505,"&lt;="&amp;$A22,実績!$AJ$6:$AJ$505,"&gt;"&amp;$A22,実績!$AK$6:$AK$505,"○")&gt;0,1,0))</f>
        <v>0</v>
      </c>
      <c r="AA22" s="39" t="n">
        <f aca="false">IF(AA$4=0,0,IF(COUNTIFS(実績!$W$6:$W$505,AA$3,実績!$AI$6:$AI$505,"&lt;="&amp;$A22,実績!$AJ$6:$AJ$505,"&gt;"&amp;$A22,実績!$AK$6:$AK$505,"○")&gt;0,1,0))</f>
        <v>0</v>
      </c>
      <c r="AB22" s="39" t="n">
        <f aca="false">IF(AB$4=0,0,IF(COUNTIFS(実績!$W$6:$W$505,AB$3,実績!$AI$6:$AI$505,"&lt;="&amp;$A22,実績!$AJ$6:$AJ$505,"&gt;"&amp;$A22,実績!$AK$6:$AK$505,"○")&gt;0,1,0))</f>
        <v>0</v>
      </c>
      <c r="AC22" s="39" t="n">
        <f aca="false">IF(AC$4=0,0,IF(COUNTIFS(実績!$W$6:$W$505,AC$3,実績!$AI$6:$AI$505,"&lt;="&amp;$A22,実績!$AJ$6:$AJ$505,"&gt;"&amp;$A22,実績!$AK$6:$AK$505,"○")&gt;0,1,0))</f>
        <v>0</v>
      </c>
      <c r="AD22" s="39" t="n">
        <f aca="false">IF(AD$4=0,0,IF(COUNTIFS(実績!$W$6:$W$505,AD$3,実績!$AI$6:$AI$505,"&lt;="&amp;$A22,実績!$AJ$6:$AJ$505,"&gt;"&amp;$A22,実績!$AK$6:$AK$505,"○")&gt;0,1,0))</f>
        <v>0</v>
      </c>
      <c r="AE22" s="39" t="n">
        <f aca="false">IF(AE$4=0,0,IF(COUNTIFS(実績!$W$6:$W$505,AE$3,実績!$AI$6:$AI$505,"&lt;="&amp;$A22,実績!$AJ$6:$AJ$505,"&gt;"&amp;$A22,実績!$AK$6:$AK$505,"○")&gt;0,1,0))</f>
        <v>0</v>
      </c>
      <c r="AF22" s="39" t="n">
        <f aca="false">IF(AF$4=0,0,IF(COUNTIFS(実績!$W$6:$W$505,AF$3,実績!$AI$6:$AI$505,"&lt;="&amp;$A22,実績!$AJ$6:$AJ$505,"&gt;"&amp;$A22,実績!$AK$6:$AK$505,"○")&gt;0,1,0))</f>
        <v>0</v>
      </c>
      <c r="AG22" s="39" t="n">
        <f aca="false">IF(AG$4=0,0,IF(COUNTIFS(実績!$W$6:$W$505,AG$3,実績!$AI$6:$AI$505,"&lt;="&amp;$A22,実績!$AJ$6:$AJ$505,"&gt;"&amp;$A22,実績!$AK$6:$AK$505,"○")&gt;0,1,0))</f>
        <v>0</v>
      </c>
      <c r="AH22" s="39" t="n">
        <f aca="false">IF(AH$4=0,0,IF(COUNTIFS(実績!$W$6:$W$505,AH$3,実績!$AI$6:$AI$505,"&lt;="&amp;$A22,実績!$AJ$6:$AJ$505,"&gt;"&amp;$A22,実績!$AK$6:$AK$505,"○")&gt;0,1,0))</f>
        <v>0</v>
      </c>
      <c r="AI22" s="39" t="n">
        <f aca="false">IF(AI$4=0,0,IF(COUNTIFS(実績!$W$6:$W$505,AI$3,実績!$AI$6:$AI$505,"&lt;="&amp;$A22,実績!$AJ$6:$AJ$505,"&gt;"&amp;$A22,実績!$AK$6:$AK$505,"○")&gt;0,1,0))</f>
        <v>0</v>
      </c>
      <c r="AJ22" s="39" t="n">
        <f aca="false">IF(AJ$4=0,0,IF(COUNTIFS(実績!$W$6:$W$505,AJ$3,実績!$AI$6:$AI$505,"&lt;="&amp;$A22,実績!$AJ$6:$AJ$505,"&gt;"&amp;$A22,実績!$AK$6:$AK$505,"○")&gt;0,1,0))</f>
        <v>0</v>
      </c>
      <c r="AK22" s="39" t="n">
        <f aca="false">IF(AK$4=0,0,IF(COUNTIFS(実績!$W$6:$W$505,AK$3,実績!$AI$6:$AI$505,"&lt;="&amp;$A22,実績!$AJ$6:$AJ$505,"&gt;"&amp;$A22,実績!$AK$6:$AK$505,"○")&gt;0,1,0))</f>
        <v>0</v>
      </c>
      <c r="AL22" s="39" t="n">
        <f aca="false">IF(AL$4=0,0,IF(COUNTIFS(実績!$W$6:$W$505,AL$3,実績!$AI$6:$AI$505,"&lt;="&amp;$A22,実績!$AJ$6:$AJ$505,"&gt;"&amp;$A22,実績!$AK$6:$AK$505,"○")&gt;0,1,0))</f>
        <v>0</v>
      </c>
      <c r="AM22" s="39" t="n">
        <f aca="false">IF(AM$4=0,0,IF(COUNTIFS(実績!$W$6:$W$505,AM$3,実績!$AI$6:$AI$505,"&lt;="&amp;$A22,実績!$AJ$6:$AJ$505,"&gt;"&amp;$A22,実績!$AK$6:$AK$505,"○")&gt;0,1,0))</f>
        <v>0</v>
      </c>
      <c r="AN22" s="39" t="n">
        <f aca="false">IF(AN$4=0,0,IF(COUNTIFS(実績!$W$6:$W$505,AN$3,実績!$AI$6:$AI$505,"&lt;="&amp;$A22,実績!$AJ$6:$AJ$505,"&gt;"&amp;$A22,実績!$AK$6:$AK$505,"○")&gt;0,1,0))</f>
        <v>0</v>
      </c>
      <c r="AO22" s="39" t="n">
        <f aca="false">IF(AO$4=0,0,IF(COUNTIFS(実績!$W$6:$W$505,AO$3,実績!$AI$6:$AI$505,"&lt;="&amp;$A22,実績!$AJ$6:$AJ$505,"&gt;"&amp;$A22,実績!$AK$6:$AK$505,"○")&gt;0,1,0))</f>
        <v>0</v>
      </c>
      <c r="AP22" s="39" t="n">
        <f aca="false">IF(AP$4=0,0,IF(COUNTIFS(実績!$W$6:$W$505,AP$3,実績!$AI$6:$AI$505,"&lt;="&amp;$A22,実績!$AJ$6:$AJ$505,"&gt;"&amp;$A22,実績!$AK$6:$AK$505,"○")&gt;0,1,0))</f>
        <v>0</v>
      </c>
      <c r="AQ22" s="39" t="n">
        <f aca="false">IF(AQ$4=0,0,IF(COUNTIFS(実績!$W$6:$W$505,AQ$3,実績!$AI$6:$AI$505,"&lt;="&amp;$A22,実績!$AJ$6:$AJ$505,"&gt;"&amp;$A22,実績!$AK$6:$AK$505,"○")&gt;0,1,0))</f>
        <v>0</v>
      </c>
      <c r="AR22" s="39" t="n">
        <f aca="false">IF(AR$4=0,0,IF(COUNTIFS(実績!$W$6:$W$505,AR$3,実績!$AI$6:$AI$505,"&lt;="&amp;$A22,実績!$AJ$6:$AJ$505,"&gt;"&amp;$A22,実績!$AK$6:$AK$505,"○")&gt;0,1,0))</f>
        <v>0</v>
      </c>
      <c r="AS22" s="39" t="n">
        <f aca="false">IF(AS$4=0,0,IF(COUNTIFS(実績!$W$6:$W$505,AS$3,実績!$AI$6:$AI$505,"&lt;="&amp;$A22,実績!$AJ$6:$AJ$505,"&gt;"&amp;$A22,実績!$AK$6:$AK$505,"○")&gt;0,1,0))</f>
        <v>0</v>
      </c>
      <c r="AT22" s="39" t="n">
        <f aca="false">IF(AT$4=0,0,IF(COUNTIFS(実績!$W$6:$W$505,AT$3,実績!$AI$6:$AI$505,"&lt;="&amp;$A22,実績!$AJ$6:$AJ$505,"&gt;"&amp;$A22,実績!$AK$6:$AK$505,"○")&gt;0,1,0))</f>
        <v>0</v>
      </c>
      <c r="AU22" s="39" t="n">
        <f aca="false">IF(AU$4=0,0,IF(COUNTIFS(実績!$W$6:$W$505,AU$3,実績!$AI$6:$AI$505,"&lt;="&amp;$A22,実績!$AJ$6:$AJ$505,"&gt;"&amp;$A22,実績!$AK$6:$AK$505,"○")&gt;0,1,0))</f>
        <v>0</v>
      </c>
      <c r="AV22" s="39" t="n">
        <f aca="false">IF(AV$4=0,0,IF(COUNTIFS(実績!$W$6:$W$505,AV$3,実績!$AI$6:$AI$505,"&lt;="&amp;$A22,実績!$AJ$6:$AJ$505,"&gt;"&amp;$A22,実績!$AK$6:$AK$505,"○")&gt;0,1,0))</f>
        <v>0</v>
      </c>
      <c r="AW22" s="39" t="n">
        <f aca="false">IF(AW$4=0,0,IF(COUNTIFS(実績!$W$6:$W$505,AW$3,実績!$AI$6:$AI$505,"&lt;="&amp;$A22,実績!$AJ$6:$AJ$505,"&gt;"&amp;$A22,実績!$AK$6:$AK$505,"○")&gt;0,1,0))</f>
        <v>0</v>
      </c>
      <c r="AX22" s="39" t="n">
        <f aca="false">IF(AX$4=0,0,IF(COUNTIFS(実績!$W$6:$W$505,AX$3,実績!$AI$6:$AI$505,"&lt;="&amp;$A22,実績!$AJ$6:$AJ$505,"&gt;"&amp;$A22,実績!$AK$6:$AK$505,"○")&gt;0,1,0))</f>
        <v>0</v>
      </c>
      <c r="AY22" s="39" t="n">
        <f aca="false">IF(AY$4=0,0,IF(COUNTIFS(実績!$W$6:$W$505,AY$3,実績!$AI$6:$AI$505,"&lt;="&amp;$A22,実績!$AJ$6:$AJ$505,"&gt;"&amp;$A22,実績!$AK$6:$AK$505,"○")&gt;0,1,0))</f>
        <v>0</v>
      </c>
      <c r="AZ22" s="39" t="n">
        <f aca="false">IF(AZ$4=0,0,IF(COUNTIFS(実績!$W$6:$W$505,AZ$3,実績!$AI$6:$AI$505,"&lt;="&amp;$A22,実績!$AJ$6:$AJ$505,"&gt;"&amp;$A22,実績!$AK$6:$AK$505,"○")&gt;0,1,0))</f>
        <v>0</v>
      </c>
      <c r="BA22" s="39" t="n">
        <f aca="false">IF(BA$4=0,0,IF(COUNTIFS(実績!$W$6:$W$505,BA$3,実績!$AI$6:$AI$505,"&lt;="&amp;$A22,実績!$AJ$6:$AJ$505,"&gt;"&amp;$A22,実績!$AK$6:$AK$505,"○")&gt;0,1,0))</f>
        <v>0</v>
      </c>
      <c r="BB22" s="39" t="n">
        <f aca="false">IF(BB$4=0,0,IF(COUNTIFS(実績!$W$6:$W$505,BB$3,実績!$AI$6:$AI$505,"&lt;="&amp;$A22,実績!$AJ$6:$AJ$505,"&gt;"&amp;$A22,実績!$AK$6:$AK$505,"○")&gt;0,1,0))</f>
        <v>0</v>
      </c>
      <c r="BC22" s="39" t="n">
        <f aca="false">IF(BC$4=0,0,IF(COUNTIFS(実績!$W$6:$W$505,BC$3,実績!$AI$6:$AI$505,"&lt;="&amp;$A22,実績!$AJ$6:$AJ$505,"&gt;"&amp;$A22,実績!$AK$6:$AK$505,"○")&gt;0,1,0))</f>
        <v>0</v>
      </c>
      <c r="BD22" s="39" t="n">
        <f aca="false">IF(BD$4=0,0,IF(COUNTIFS(実績!$W$6:$W$505,BD$3,実績!$AI$6:$AI$505,"&lt;="&amp;$A22,実績!$AJ$6:$AJ$505,"&gt;"&amp;$A22,実績!$AK$6:$AK$505,"○")&gt;0,1,0))</f>
        <v>0</v>
      </c>
      <c r="BE22" s="39" t="n">
        <f aca="false">IF(BE$4=0,0,IF(COUNTIFS(実績!$W$6:$W$505,BE$3,実績!$AI$6:$AI$505,"&lt;="&amp;$A22,実績!$AJ$6:$AJ$505,"&gt;"&amp;$A22,実績!$AK$6:$AK$505,"○")&gt;0,1,0))</f>
        <v>0</v>
      </c>
      <c r="BF22" s="39" t="n">
        <f aca="false">IF(BF$4=0,0,IF(COUNTIFS(実績!$W$6:$W$505,BF$3,実績!$AI$6:$AI$505,"&lt;="&amp;$A22,実績!$AJ$6:$AJ$505,"&gt;"&amp;$A22,実績!$AK$6:$AK$505,"○")&gt;0,1,0))</f>
        <v>0</v>
      </c>
      <c r="BG22" s="39" t="n">
        <f aca="false">IF(BG$4=0,0,IF(COUNTIFS(実績!$W$6:$W$505,BG$3,実績!$AI$6:$AI$505,"&lt;="&amp;$A22,実績!$AJ$6:$AJ$505,"&gt;"&amp;$A22,実績!$AK$6:$AK$505,"○")&gt;0,1,0))</f>
        <v>0</v>
      </c>
      <c r="BH22" s="39" t="n">
        <f aca="false">IF(BH$4=0,0,IF(COUNTIFS(実績!$W$6:$W$505,BH$3,実績!$AI$6:$AI$505,"&lt;="&amp;$A22,実績!$AJ$6:$AJ$505,"&gt;"&amp;$A22,実績!$AK$6:$AK$505,"○")&gt;0,1,0))</f>
        <v>0</v>
      </c>
      <c r="BI22" s="39" t="n">
        <f aca="false">IF(BI$4=0,0,IF(COUNTIFS(実績!$W$6:$W$505,BI$3,実績!$AI$6:$AI$505,"&lt;="&amp;$A22,実績!$AJ$6:$AJ$505,"&gt;"&amp;$A22,実績!$AK$6:$AK$505,"○")&gt;0,1,0))</f>
        <v>0</v>
      </c>
      <c r="BJ22" s="39" t="n">
        <f aca="false">IF(BJ$4=0,0,IF(COUNTIFS(実績!$W$6:$W$505,BJ$3,実績!$AI$6:$AI$505,"&lt;="&amp;$A22,実績!$AJ$6:$AJ$505,"&gt;"&amp;$A22,実績!$AK$6:$AK$505,"○")&gt;0,1,0))</f>
        <v>0</v>
      </c>
      <c r="BK22" s="39" t="n">
        <f aca="false">IF(BK$4=0,0,IF(COUNTIFS(実績!$W$6:$W$505,BK$3,実績!$AI$6:$AI$505,"&lt;="&amp;$A22,実績!$AJ$6:$AJ$505,"&gt;"&amp;$A22,実績!$AK$6:$AK$505,"○")&gt;0,1,0))</f>
        <v>0</v>
      </c>
      <c r="BL22" s="39" t="n">
        <f aca="false">IF(BL$4=0,0,IF(COUNTIFS(実績!$W$6:$W$505,BL$3,実績!$AI$6:$AI$505,"&lt;="&amp;$A22,実績!$AJ$6:$AJ$505,"&gt;"&amp;$A22,実績!$AK$6:$AK$505,"○")&gt;0,1,0))</f>
        <v>0</v>
      </c>
      <c r="BM22" s="39" t="n">
        <f aca="false">IF(BM$4=0,0,IF(COUNTIFS(実績!$W$6:$W$505,BM$3,実績!$AI$6:$AI$505,"&lt;="&amp;$A22,実績!$AJ$6:$AJ$505,"&gt;"&amp;$A22,実績!$AK$6:$AK$505,"○")&gt;0,1,0))</f>
        <v>0</v>
      </c>
      <c r="BN22" s="39" t="n">
        <f aca="false">IF(BN$4=0,0,IF(COUNTIFS(実績!$W$6:$W$505,BN$3,実績!$AI$6:$AI$505,"&lt;="&amp;$A22,実績!$AJ$6:$AJ$505,"&gt;"&amp;$A22,実績!$AK$6:$AK$505,"○")&gt;0,1,0))</f>
        <v>0</v>
      </c>
      <c r="BO22" s="39" t="n">
        <f aca="false">IF(BO$4=0,0,IF(COUNTIFS(実績!$W$6:$W$505,BO$3,実績!$AI$6:$AI$505,"&lt;="&amp;$A22,実績!$AJ$6:$AJ$505,"&gt;"&amp;$A22,実績!$AK$6:$AK$505,"○")&gt;0,1,0))</f>
        <v>0</v>
      </c>
      <c r="BP22" s="39" t="n">
        <f aca="false">IF(BP$4=0,0,IF(COUNTIFS(実績!$W$6:$W$505,BP$3,実績!$AI$6:$AI$505,"&lt;="&amp;$A22,実績!$AJ$6:$AJ$505,"&gt;"&amp;$A22,実績!$AK$6:$AK$505,"○")&gt;0,1,0))</f>
        <v>0</v>
      </c>
      <c r="BQ22" s="39" t="n">
        <f aca="false">IF(BQ$4=0,0,IF(COUNTIFS(実績!$W$6:$W$505,BQ$3,実績!$AI$6:$AI$505,"&lt;="&amp;$A22,実績!$AJ$6:$AJ$505,"&gt;"&amp;$A22,実績!$AK$6:$AK$505,"○")&gt;0,1,0))</f>
        <v>0</v>
      </c>
      <c r="BR22" s="39" t="n">
        <f aca="false">IF(BR$4=0,0,IF(COUNTIFS(実績!$W$6:$W$505,BR$3,実績!$AI$6:$AI$505,"&lt;="&amp;$A22,実績!$AJ$6:$AJ$505,"&gt;"&amp;$A22,実績!$AK$6:$AK$505,"○")&gt;0,1,0))</f>
        <v>0</v>
      </c>
      <c r="BS22" s="39" t="n">
        <f aca="false">IF(BS$4=0,0,IF(COUNTIFS(実績!$W$6:$W$505,BS$3,実績!$AI$6:$AI$505,"&lt;="&amp;$A22,実績!$AJ$6:$AJ$505,"&gt;"&amp;$A22,実績!$AK$6:$AK$505,"○")&gt;0,1,0))</f>
        <v>0</v>
      </c>
      <c r="BT22" s="39" t="n">
        <f aca="false">IF(BT$4=0,0,IF(COUNTIFS(実績!$W$6:$W$505,BT$3,実績!$AI$6:$AI$505,"&lt;="&amp;$A22,実績!$AJ$6:$AJ$505,"&gt;"&amp;$A22,実績!$AK$6:$AK$505,"○")&gt;0,1,0))</f>
        <v>0</v>
      </c>
      <c r="BU22" s="39" t="n">
        <f aca="false">IF(BU$4=0,0,IF(COUNTIFS(実績!$W$6:$W$505,BU$3,実績!$AI$6:$AI$505,"&lt;="&amp;$A22,実績!$AJ$6:$AJ$505,"&gt;"&amp;$A22,実績!$AK$6:$AK$505,"○")&gt;0,1,0))</f>
        <v>0</v>
      </c>
      <c r="BV22" s="39" t="n">
        <f aca="false">IF(BV$4=0,0,IF(COUNTIFS(実績!$W$6:$W$505,BV$3,実績!$AI$6:$AI$505,"&lt;="&amp;$A22,実績!$AJ$6:$AJ$505,"&gt;"&amp;$A22,実績!$AK$6:$AK$505,"○")&gt;0,1,0))</f>
        <v>0</v>
      </c>
      <c r="BW22" s="39" t="n">
        <f aca="false">IF(BW$4=0,0,IF(COUNTIFS(実績!$W$6:$W$505,BW$3,実績!$AI$6:$AI$505,"&lt;="&amp;$A22,実績!$AJ$6:$AJ$505,"&gt;"&amp;$A22,実績!$AK$6:$AK$505,"○")&gt;0,1,0))</f>
        <v>0</v>
      </c>
      <c r="BX22" s="39" t="n">
        <f aca="false">IF(BX$4=0,0,IF(COUNTIFS(実績!$W$6:$W$505,BX$3,実績!$AI$6:$AI$505,"&lt;="&amp;$A22,実績!$AJ$6:$AJ$505,"&gt;"&amp;$A22,実績!$AK$6:$AK$505,"○")&gt;0,1,0))</f>
        <v>0</v>
      </c>
      <c r="BY22" s="39" t="n">
        <f aca="false">IF(BY$4=0,0,IF(COUNTIFS(実績!$W$6:$W$505,BY$3,実績!$AI$6:$AI$505,"&lt;="&amp;$A22,実績!$AJ$6:$AJ$505,"&gt;"&amp;$A22,実績!$AK$6:$AK$505,"○")&gt;0,1,0))</f>
        <v>0</v>
      </c>
      <c r="BZ22" s="39" t="n">
        <f aca="false">IF(BZ$4=0,0,IF(COUNTIFS(実績!$W$6:$W$505,BZ$3,実績!$AI$6:$AI$505,"&lt;="&amp;$A22,実績!$AJ$6:$AJ$505,"&gt;"&amp;$A22,実績!$AK$6:$AK$505,"○")&gt;0,1,0))</f>
        <v>0</v>
      </c>
      <c r="CA22" s="39" t="n">
        <f aca="false">IF(CA$4=0,0,IF(COUNTIFS(実績!$W$6:$W$505,CA$3,実績!$AI$6:$AI$505,"&lt;="&amp;$A22,実績!$AJ$6:$AJ$505,"&gt;"&amp;$A22,実績!$AK$6:$AK$505,"○")&gt;0,1,0))</f>
        <v>0</v>
      </c>
      <c r="CB22" s="39" t="n">
        <f aca="false">IF(CB$4=0,0,IF(COUNTIFS(実績!$W$6:$W$505,CB$3,実績!$AI$6:$AI$505,"&lt;="&amp;$A22,実績!$AJ$6:$AJ$505,"&gt;"&amp;$A22,実績!$AK$6:$AK$505,"○")&gt;0,1,0))</f>
        <v>0</v>
      </c>
      <c r="CC22" s="39" t="n">
        <f aca="false">IF(CC$4=0,0,IF(COUNTIFS(実績!$W$6:$W$505,CC$3,実績!$AI$6:$AI$505,"&lt;="&amp;$A22,実績!$AJ$6:$AJ$505,"&gt;"&amp;$A22,実績!$AK$6:$AK$505,"○")&gt;0,1,0))</f>
        <v>0</v>
      </c>
      <c r="CD22" s="39" t="n">
        <f aca="false">IF(CD$4=0,0,IF(COUNTIFS(実績!$W$6:$W$505,CD$3,実績!$AI$6:$AI$505,"&lt;="&amp;$A22,実績!$AJ$6:$AJ$505,"&gt;"&amp;$A22,実績!$AK$6:$AK$505,"○")&gt;0,1,0))</f>
        <v>0</v>
      </c>
      <c r="CE22" s="39" t="n">
        <f aca="false">IF(CE$4=0,0,IF(COUNTIFS(実績!$W$6:$W$505,CE$3,実績!$AI$6:$AI$505,"&lt;="&amp;$A22,実績!$AJ$6:$AJ$505,"&gt;"&amp;$A22,実績!$AK$6:$AK$505,"○")&gt;0,1,0))</f>
        <v>0</v>
      </c>
      <c r="CF22" s="39" t="n">
        <f aca="false">IF(CF$4=0,0,IF(COUNTIFS(実績!$W$6:$W$505,CF$3,実績!$AI$6:$AI$505,"&lt;="&amp;$A22,実績!$AJ$6:$AJ$505,"&gt;"&amp;$A22,実績!$AK$6:$AK$505,"○")&gt;0,1,0))</f>
        <v>0</v>
      </c>
      <c r="CG22" s="39" t="n">
        <f aca="false">IF(CG$4=0,0,IF(COUNTIFS(実績!$W$6:$W$505,CG$3,実績!$AI$6:$AI$505,"&lt;="&amp;$A22,実績!$AJ$6:$AJ$505,"&gt;"&amp;$A22,実績!$AK$6:$AK$505,"○")&gt;0,1,0))</f>
        <v>0</v>
      </c>
      <c r="CH22" s="39" t="n">
        <f aca="false">IF(CH$4=0,0,IF(COUNTIFS(実績!$W$6:$W$505,CH$3,実績!$AI$6:$AI$505,"&lt;="&amp;$A22,実績!$AJ$6:$AJ$505,"&gt;"&amp;$A22,実績!$AK$6:$AK$505,"○")&gt;0,1,0))</f>
        <v>0</v>
      </c>
      <c r="CI22" s="39" t="n">
        <f aca="false">IF(CI$4=0,0,IF(COUNTIFS(実績!$W$6:$W$505,CI$3,実績!$AI$6:$AI$505,"&lt;="&amp;$A22,実績!$AJ$6:$AJ$505,"&gt;"&amp;$A22,実績!$AK$6:$AK$505,"○")&gt;0,1,0))</f>
        <v>0</v>
      </c>
      <c r="CJ22" s="39" t="n">
        <f aca="false">IF(CJ$4=0,0,IF(COUNTIFS(実績!$W$6:$W$505,CJ$3,実績!$AI$6:$AI$505,"&lt;="&amp;$A22,実績!$AJ$6:$AJ$505,"&gt;"&amp;$A22,実績!$AK$6:$AK$505,"○")&gt;0,1,0))</f>
        <v>0</v>
      </c>
      <c r="CK22" s="39" t="n">
        <f aca="false">IF(CK$4=0,0,IF(COUNTIFS(実績!$W$6:$W$505,CK$3,実績!$AI$6:$AI$505,"&lt;="&amp;$A22,実績!$AJ$6:$AJ$505,"&gt;"&amp;$A22,実績!$AK$6:$AK$505,"○")&gt;0,1,0))</f>
        <v>0</v>
      </c>
      <c r="CL22" s="39" t="n">
        <f aca="false">IF(CL$4=0,0,IF(COUNTIFS(実績!$W$6:$W$505,CL$3,実績!$AI$6:$AI$505,"&lt;="&amp;$A22,実績!$AJ$6:$AJ$505,"&gt;"&amp;$A22,実績!$AK$6:$AK$505,"○")&gt;0,1,0))</f>
        <v>0</v>
      </c>
      <c r="CM22" s="39" t="n">
        <f aca="false">IF(CM$4=0,0,IF(COUNTIFS(実績!$W$6:$W$505,CM$3,実績!$AI$6:$AI$505,"&lt;="&amp;$A22,実績!$AJ$6:$AJ$505,"&gt;"&amp;$A22,実績!$AK$6:$AK$505,"○")&gt;0,1,0))</f>
        <v>0</v>
      </c>
      <c r="CN22" s="39" t="n">
        <f aca="false">IF(CN$4=0,0,IF(COUNTIFS(実績!$W$6:$W$505,CN$3,実績!$AI$6:$AI$505,"&lt;="&amp;$A22,実績!$AJ$6:$AJ$505,"&gt;"&amp;$A22,実績!$AK$6:$AK$505,"○")&gt;0,1,0))</f>
        <v>0</v>
      </c>
      <c r="CO22" s="39" t="n">
        <f aca="false">IF(CO$4=0,0,IF(COUNTIFS(実績!$W$6:$W$505,CO$3,実績!$AI$6:$AI$505,"&lt;="&amp;$A22,実績!$AJ$6:$AJ$505,"&gt;"&amp;$A22,実績!$AK$6:$AK$505,"○")&gt;0,1,0))</f>
        <v>0</v>
      </c>
      <c r="CP22" s="39" t="n">
        <f aca="false">IF(CP$4=0,0,IF(COUNTIFS(実績!$W$6:$W$505,CP$3,実績!$AI$6:$AI$505,"&lt;="&amp;$A22,実績!$AJ$6:$AJ$505,"&gt;"&amp;$A22,実績!$AK$6:$AK$505,"○")&gt;0,1,0))</f>
        <v>0</v>
      </c>
      <c r="CQ22" s="39" t="n">
        <f aca="false">IF(CQ$4=0,0,IF(COUNTIFS(実績!$W$6:$W$505,CQ$3,実績!$AI$6:$AI$505,"&lt;="&amp;$A22,実績!$AJ$6:$AJ$505,"&gt;"&amp;$A22,実績!$AK$6:$AK$505,"○")&gt;0,1,0))</f>
        <v>0</v>
      </c>
      <c r="CR22" s="39" t="n">
        <f aca="false">IF(CR$4=0,0,IF(COUNTIFS(実績!$W$6:$W$505,CR$3,実績!$AI$6:$AI$505,"&lt;="&amp;$A22,実績!$AJ$6:$AJ$505,"&gt;"&amp;$A22,実績!$AK$6:$AK$505,"○")&gt;0,1,0))</f>
        <v>0</v>
      </c>
      <c r="CS22" s="39" t="n">
        <f aca="false">IF(CS$4=0,0,IF(COUNTIFS(実績!$W$6:$W$505,CS$3,実績!$AI$6:$AI$505,"&lt;="&amp;$A22,実績!$AJ$6:$AJ$505,"&gt;"&amp;$A22,実績!$AK$6:$AK$505,"○")&gt;0,1,0))</f>
        <v>0</v>
      </c>
      <c r="CT22" s="39" t="n">
        <f aca="false">IF(CT$4=0,0,IF(COUNTIFS(実績!$W$6:$W$505,CT$3,実績!$AI$6:$AI$505,"&lt;="&amp;$A22,実績!$AJ$6:$AJ$505,"&gt;"&amp;$A22,実績!$AK$6:$AK$505,"○")&gt;0,1,0))</f>
        <v>0</v>
      </c>
      <c r="CU22" s="39" t="n">
        <f aca="false">IF(CU$4=0,0,IF(COUNTIFS(実績!$W$6:$W$505,CU$3,実績!$AI$6:$AI$505,"&lt;="&amp;$A22,実績!$AJ$6:$AJ$505,"&gt;"&amp;$A22,実績!$AK$6:$AK$505,"○")&gt;0,1,0))</f>
        <v>0</v>
      </c>
      <c r="CV22" s="39" t="n">
        <f aca="false">IF(CV$4=0,0,IF(COUNTIFS(実績!$W$6:$W$505,CV$3,実績!$AI$6:$AI$505,"&lt;="&amp;$A22,実績!$AJ$6:$AJ$505,"&gt;"&amp;$A22,実績!$AK$6:$AK$505,"○")&gt;0,1,0))</f>
        <v>0</v>
      </c>
      <c r="CW22" s="39" t="n">
        <f aca="false">IF(CW$4=0,0,IF(COUNTIFS(実績!$W$6:$W$505,CW$3,実績!$AI$6:$AI$505,"&lt;="&amp;$A22,実績!$AJ$6:$AJ$505,"&gt;"&amp;$A22,実績!$AK$6:$AK$505,"○")&gt;0,1,0))</f>
        <v>0</v>
      </c>
      <c r="CX22" s="39" t="n">
        <f aca="false">IF(CX$4=0,0,IF(COUNTIFS(実績!$W$6:$W$505,CX$3,実績!$AI$6:$AI$505,"&lt;="&amp;$A22,実績!$AJ$6:$AJ$505,"&gt;"&amp;$A22,実績!$AK$6:$AK$505,"○")&gt;0,1,0))</f>
        <v>0</v>
      </c>
      <c r="CY22" s="39" t="n">
        <f aca="false">IF(CY$4=0,0,IF(COUNTIFS(実績!$W$6:$W$505,CY$3,実績!$AI$6:$AI$505,"&lt;="&amp;$A22,実績!$AJ$6:$AJ$505,"&gt;"&amp;$A22,実績!$AK$6:$AK$505,"○")&gt;0,1,0))</f>
        <v>0</v>
      </c>
      <c r="CZ22" s="39" t="n">
        <f aca="false">IF(CZ$4=0,0,IF(COUNTIFS(実績!$W$6:$W$505,CZ$3,実績!$AI$6:$AI$505,"&lt;="&amp;$A22,実績!$AJ$6:$AJ$505,"&gt;"&amp;$A22,実績!$AK$6:$AK$505,"○")&gt;0,1,0))</f>
        <v>0</v>
      </c>
      <c r="DA22" s="39" t="n">
        <f aca="false">IF(DA$4=0,0,IF(COUNTIFS(実績!$W$6:$W$505,DA$3,実績!$AI$6:$AI$505,"&lt;="&amp;$A22,実績!$AJ$6:$AJ$505,"&gt;"&amp;$A22,実績!$AK$6:$AK$505,"○")&gt;0,1,0))</f>
        <v>0</v>
      </c>
      <c r="DB22" s="39" t="n">
        <f aca="false">IF(DB$4=0,0,IF(COUNTIFS(実績!$W$6:$W$505,DB$3,実績!$AI$6:$AI$505,"&lt;="&amp;$A22,実績!$AJ$6:$AJ$505,"&gt;"&amp;$A22,実績!$AK$6:$AK$505,"○")&gt;0,1,0))</f>
        <v>0</v>
      </c>
      <c r="DC22" s="39" t="n">
        <f aca="false">IF(DC$4=0,0,IF(COUNTIFS(実績!$W$6:$W$505,DC$3,実績!$AI$6:$AI$505,"&lt;="&amp;$A22,実績!$AJ$6:$AJ$505,"&gt;"&amp;$A22,実績!$AK$6:$AK$505,"○")&gt;0,1,0))</f>
        <v>0</v>
      </c>
      <c r="DD22" s="39" t="n">
        <f aca="false">IF(DD$4=0,0,IF(COUNTIFS(実績!$W$6:$W$505,DD$3,実績!$AI$6:$AI$505,"&lt;="&amp;$A22,実績!$AJ$6:$AJ$505,"&gt;"&amp;$A22,実績!$AK$6:$AK$505,"○")&gt;0,1,0))</f>
        <v>0</v>
      </c>
      <c r="DE22" s="39" t="n">
        <f aca="false">IF(DE$4=0,0,IF(COUNTIFS(実績!$W$6:$W$505,DE$3,実績!$AI$6:$AI$505,"&lt;="&amp;$A22,実績!$AJ$6:$AJ$505,"&gt;"&amp;$A22,実績!$AK$6:$AK$505,"○")&gt;0,1,0))</f>
        <v>0</v>
      </c>
      <c r="DF22" s="39" t="n">
        <f aca="false">IF(DF$4=0,0,IF(COUNTIFS(実績!$W$6:$W$505,DF$3,実績!$AI$6:$AI$505,"&lt;="&amp;$A22,実績!$AJ$6:$AJ$505,"&gt;"&amp;$A22,実績!$AK$6:$AK$505,"○")&gt;0,1,0))</f>
        <v>0</v>
      </c>
      <c r="DG22" s="39" t="n">
        <f aca="false">IF(DG$4=0,0,IF(COUNTIFS(実績!$W$6:$W$505,DG$3,実績!$AI$6:$AI$505,"&lt;="&amp;$A22,実績!$AJ$6:$AJ$505,"&gt;"&amp;$A22,実績!$AK$6:$AK$505,"○")&gt;0,1,0))</f>
        <v>0</v>
      </c>
      <c r="DH22" s="39" t="n">
        <f aca="false">IF(DH$4=0,0,IF(COUNTIFS(実績!$W$6:$W$505,DH$3,実績!$AI$6:$AI$505,"&lt;="&amp;$A22,実績!$AJ$6:$AJ$505,"&gt;"&amp;$A22,実績!$AK$6:$AK$505,"○")&gt;0,1,0))</f>
        <v>0</v>
      </c>
      <c r="DI22" s="39" t="n">
        <f aca="false">IF(DI$4=0,0,IF(COUNTIFS(実績!$W$6:$W$505,DI$3,実績!$AI$6:$AI$505,"&lt;="&amp;$A22,実績!$AJ$6:$AJ$505,"&gt;"&amp;$A22,実績!$AK$6:$AK$505,"○")&gt;0,1,0))</f>
        <v>0</v>
      </c>
      <c r="DJ22" s="39" t="n">
        <f aca="false">IF(DJ$4=0,0,IF(COUNTIFS(実績!$W$6:$W$505,DJ$3,実績!$AI$6:$AI$505,"&lt;="&amp;$A22,実績!$AJ$6:$AJ$505,"&gt;"&amp;$A22,実績!$AK$6:$AK$505,"○")&gt;0,1,0))</f>
        <v>0</v>
      </c>
      <c r="DK22" s="39" t="n">
        <f aca="false">IF(DK$4=0,0,IF(COUNTIFS(実績!$W$6:$W$505,DK$3,実績!$AI$6:$AI$505,"&lt;="&amp;$A22,実績!$AJ$6:$AJ$505,"&gt;"&amp;$A22,実績!$AK$6:$AK$505,"○")&gt;0,1,0))</f>
        <v>0</v>
      </c>
      <c r="DL22" s="39" t="n">
        <f aca="false">IF(DL$4=0,0,IF(COUNTIFS(実績!$W$6:$W$505,DL$3,実績!$AI$6:$AI$505,"&lt;="&amp;$A22,実績!$AJ$6:$AJ$505,"&gt;"&amp;$A22,実績!$AK$6:$AK$505,"○")&gt;0,1,0))</f>
        <v>0</v>
      </c>
      <c r="DM22" s="39" t="n">
        <f aca="false">IF(DM$4=0,0,IF(COUNTIFS(実績!$W$6:$W$505,DM$3,実績!$AI$6:$AI$505,"&lt;="&amp;$A22,実績!$AJ$6:$AJ$505,"&gt;"&amp;$A22,実績!$AK$6:$AK$505,"○")&gt;0,1,0))</f>
        <v>0</v>
      </c>
      <c r="DN22" s="39" t="n">
        <f aca="false">IF(DN$4=0,0,IF(COUNTIFS(実績!$W$6:$W$505,DN$3,実績!$AI$6:$AI$505,"&lt;="&amp;$A22,実績!$AJ$6:$AJ$505,"&gt;"&amp;$A22,実績!$AK$6:$AK$505,"○")&gt;0,1,0))</f>
        <v>0</v>
      </c>
      <c r="DO22" s="39" t="n">
        <f aca="false">IF(DO$4=0,0,IF(COUNTIFS(実績!$W$6:$W$505,DO$3,実績!$AI$6:$AI$505,"&lt;="&amp;$A22,実績!$AJ$6:$AJ$505,"&gt;"&amp;$A22,実績!$AK$6:$AK$505,"○")&gt;0,1,0))</f>
        <v>0</v>
      </c>
      <c r="DP22" s="39" t="n">
        <f aca="false">IF(DP$4=0,0,IF(COUNTIFS(実績!$W$6:$W$505,DP$3,実績!$AI$6:$AI$505,"&lt;="&amp;$A22,実績!$AJ$6:$AJ$505,"&gt;"&amp;$A22,実績!$AK$6:$AK$505,"○")&gt;0,1,0))</f>
        <v>0</v>
      </c>
      <c r="DQ22" s="39" t="n">
        <f aca="false">IF(DQ$4=0,0,IF(COUNTIFS(実績!$W$6:$W$505,DQ$3,実績!$AI$6:$AI$505,"&lt;="&amp;$A22,実績!$AJ$6:$AJ$505,"&gt;"&amp;$A22,実績!$AK$6:$AK$505,"○")&gt;0,1,0))</f>
        <v>0</v>
      </c>
      <c r="DR22" s="39" t="n">
        <f aca="false">IF(DR$4=0,0,IF(COUNTIFS(実績!$W$6:$W$505,DR$3,実績!$AI$6:$AI$505,"&lt;="&amp;$A22,実績!$AJ$6:$AJ$505,"&gt;"&amp;$A22,実績!$AK$6:$AK$505,"○")&gt;0,1,0))</f>
        <v>0</v>
      </c>
      <c r="DS22" s="39" t="n">
        <f aca="false">SUM(C22:DR22)</f>
        <v>0</v>
      </c>
      <c r="DT22" s="39" t="n">
        <f aca="false">SUMPRODUCT((実績!$C$6:$C$505="○")*ISNUMBER(実績!$AM$6:$AM$505)*(実績!$AM$6:$AM$505&lt;=$A22)*(実績!$AN$6:$AN$505&gt;$A22))</f>
        <v>0</v>
      </c>
      <c r="DU22" s="39" t="n">
        <f aca="false">SUMIF($C$2:$DR$2,"製鉄曳船",C22:DR22)</f>
        <v>0</v>
      </c>
      <c r="DV22" s="39" t="n">
        <f aca="false">SUMIF($C$2:$DR$2,"西日本海運",C22:DR22)</f>
        <v>0</v>
      </c>
    </row>
    <row r="23" customFormat="false" ht="15" hidden="false" customHeight="false" outlineLevel="0" collapsed="false">
      <c r="A23" s="0" t="n">
        <v>85</v>
      </c>
      <c r="B23" s="38" t="n">
        <f aca="false">A23/1440</f>
        <v>0.0590277777777778</v>
      </c>
      <c r="C23" s="39" t="n">
        <f aca="false">IF(C$4=0,0,IF(COUNTIFS(実績!$W$6:$W$505,C$3,実績!$AI$6:$AI$505,"&lt;="&amp;$A23,実績!$AJ$6:$AJ$505,"&gt;"&amp;$A23,実績!$AK$6:$AK$505,"○")&gt;0,1,0))</f>
        <v>0</v>
      </c>
      <c r="D23" s="39" t="n">
        <f aca="false">IF(D$4=0,0,IF(COUNTIFS(実績!$W$6:$W$505,D$3,実績!$AI$6:$AI$505,"&lt;="&amp;$A23,実績!$AJ$6:$AJ$505,"&gt;"&amp;$A23,実績!$AK$6:$AK$505,"○")&gt;0,1,0))</f>
        <v>0</v>
      </c>
      <c r="E23" s="39" t="n">
        <f aca="false">IF(E$4=0,0,IF(COUNTIFS(実績!$W$6:$W$505,E$3,実績!$AI$6:$AI$505,"&lt;="&amp;$A23,実績!$AJ$6:$AJ$505,"&gt;"&amp;$A23,実績!$AK$6:$AK$505,"○")&gt;0,1,0))</f>
        <v>0</v>
      </c>
      <c r="F23" s="39" t="n">
        <f aca="false">IF(F$4=0,0,IF(COUNTIFS(実績!$W$6:$W$505,F$3,実績!$AI$6:$AI$505,"&lt;="&amp;$A23,実績!$AJ$6:$AJ$505,"&gt;"&amp;$A23,実績!$AK$6:$AK$505,"○")&gt;0,1,0))</f>
        <v>0</v>
      </c>
      <c r="G23" s="39" t="n">
        <f aca="false">IF(G$4=0,0,IF(COUNTIFS(実績!$W$6:$W$505,G$3,実績!$AI$6:$AI$505,"&lt;="&amp;$A23,実績!$AJ$6:$AJ$505,"&gt;"&amp;$A23,実績!$AK$6:$AK$505,"○")&gt;0,1,0))</f>
        <v>0</v>
      </c>
      <c r="H23" s="39" t="n">
        <f aca="false">IF(H$4=0,0,IF(COUNTIFS(実績!$W$6:$W$505,H$3,実績!$AI$6:$AI$505,"&lt;="&amp;$A23,実績!$AJ$6:$AJ$505,"&gt;"&amp;$A23,実績!$AK$6:$AK$505,"○")&gt;0,1,0))</f>
        <v>0</v>
      </c>
      <c r="I23" s="39" t="n">
        <f aca="false">IF(I$4=0,0,IF(COUNTIFS(実績!$W$6:$W$505,I$3,実績!$AI$6:$AI$505,"&lt;="&amp;$A23,実績!$AJ$6:$AJ$505,"&gt;"&amp;$A23,実績!$AK$6:$AK$505,"○")&gt;0,1,0))</f>
        <v>0</v>
      </c>
      <c r="J23" s="39" t="n">
        <f aca="false">IF(J$4=0,0,IF(COUNTIFS(実績!$W$6:$W$505,J$3,実績!$AI$6:$AI$505,"&lt;="&amp;$A23,実績!$AJ$6:$AJ$505,"&gt;"&amp;$A23,実績!$AK$6:$AK$505,"○")&gt;0,1,0))</f>
        <v>0</v>
      </c>
      <c r="K23" s="39" t="n">
        <f aca="false">IF(K$4=0,0,IF(COUNTIFS(実績!$W$6:$W$505,K$3,実績!$AI$6:$AI$505,"&lt;="&amp;$A23,実績!$AJ$6:$AJ$505,"&gt;"&amp;$A23,実績!$AK$6:$AK$505,"○")&gt;0,1,0))</f>
        <v>0</v>
      </c>
      <c r="L23" s="39" t="n">
        <f aca="false">IF(L$4=0,0,IF(COUNTIFS(実績!$W$6:$W$505,L$3,実績!$AI$6:$AI$505,"&lt;="&amp;$A23,実績!$AJ$6:$AJ$505,"&gt;"&amp;$A23,実績!$AK$6:$AK$505,"○")&gt;0,1,0))</f>
        <v>0</v>
      </c>
      <c r="M23" s="39" t="n">
        <f aca="false">IF(M$4=0,0,IF(COUNTIFS(実績!$W$6:$W$505,M$3,実績!$AI$6:$AI$505,"&lt;="&amp;$A23,実績!$AJ$6:$AJ$505,"&gt;"&amp;$A23,実績!$AK$6:$AK$505,"○")&gt;0,1,0))</f>
        <v>0</v>
      </c>
      <c r="N23" s="39" t="n">
        <f aca="false">IF(N$4=0,0,IF(COUNTIFS(実績!$W$6:$W$505,N$3,実績!$AI$6:$AI$505,"&lt;="&amp;$A23,実績!$AJ$6:$AJ$505,"&gt;"&amp;$A23,実績!$AK$6:$AK$505,"○")&gt;0,1,0))</f>
        <v>0</v>
      </c>
      <c r="O23" s="39" t="n">
        <f aca="false">IF(O$4=0,0,IF(COUNTIFS(実績!$W$6:$W$505,O$3,実績!$AI$6:$AI$505,"&lt;="&amp;$A23,実績!$AJ$6:$AJ$505,"&gt;"&amp;$A23,実績!$AK$6:$AK$505,"○")&gt;0,1,0))</f>
        <v>0</v>
      </c>
      <c r="P23" s="39" t="n">
        <f aca="false">IF(P$4=0,0,IF(COUNTIFS(実績!$W$6:$W$505,P$3,実績!$AI$6:$AI$505,"&lt;="&amp;$A23,実績!$AJ$6:$AJ$505,"&gt;"&amp;$A23,実績!$AK$6:$AK$505,"○")&gt;0,1,0))</f>
        <v>0</v>
      </c>
      <c r="Q23" s="39" t="n">
        <f aca="false">IF(Q$4=0,0,IF(COUNTIFS(実績!$W$6:$W$505,Q$3,実績!$AI$6:$AI$505,"&lt;="&amp;$A23,実績!$AJ$6:$AJ$505,"&gt;"&amp;$A23,実績!$AK$6:$AK$505,"○")&gt;0,1,0))</f>
        <v>0</v>
      </c>
      <c r="R23" s="39" t="n">
        <f aca="false">IF(R$4=0,0,IF(COUNTIFS(実績!$W$6:$W$505,R$3,実績!$AI$6:$AI$505,"&lt;="&amp;$A23,実績!$AJ$6:$AJ$505,"&gt;"&amp;$A23,実績!$AK$6:$AK$505,"○")&gt;0,1,0))</f>
        <v>0</v>
      </c>
      <c r="S23" s="39" t="n">
        <f aca="false">IF(S$4=0,0,IF(COUNTIFS(実績!$W$6:$W$505,S$3,実績!$AI$6:$AI$505,"&lt;="&amp;$A23,実績!$AJ$6:$AJ$505,"&gt;"&amp;$A23,実績!$AK$6:$AK$505,"○")&gt;0,1,0))</f>
        <v>0</v>
      </c>
      <c r="T23" s="39" t="n">
        <f aca="false">IF(T$4=0,0,IF(COUNTIFS(実績!$W$6:$W$505,T$3,実績!$AI$6:$AI$505,"&lt;="&amp;$A23,実績!$AJ$6:$AJ$505,"&gt;"&amp;$A23,実績!$AK$6:$AK$505,"○")&gt;0,1,0))</f>
        <v>0</v>
      </c>
      <c r="U23" s="39" t="n">
        <f aca="false">IF(U$4=0,0,IF(COUNTIFS(実績!$W$6:$W$505,U$3,実績!$AI$6:$AI$505,"&lt;="&amp;$A23,実績!$AJ$6:$AJ$505,"&gt;"&amp;$A23,実績!$AK$6:$AK$505,"○")&gt;0,1,0))</f>
        <v>0</v>
      </c>
      <c r="V23" s="39" t="n">
        <f aca="false">IF(V$4=0,0,IF(COUNTIFS(実績!$W$6:$W$505,V$3,実績!$AI$6:$AI$505,"&lt;="&amp;$A23,実績!$AJ$6:$AJ$505,"&gt;"&amp;$A23,実績!$AK$6:$AK$505,"○")&gt;0,1,0))</f>
        <v>0</v>
      </c>
      <c r="W23" s="39" t="n">
        <f aca="false">IF(W$4=0,0,IF(COUNTIFS(実績!$W$6:$W$505,W$3,実績!$AI$6:$AI$505,"&lt;="&amp;$A23,実績!$AJ$6:$AJ$505,"&gt;"&amp;$A23,実績!$AK$6:$AK$505,"○")&gt;0,1,0))</f>
        <v>0</v>
      </c>
      <c r="X23" s="39" t="n">
        <f aca="false">IF(X$4=0,0,IF(COUNTIFS(実績!$W$6:$W$505,X$3,実績!$AI$6:$AI$505,"&lt;="&amp;$A23,実績!$AJ$6:$AJ$505,"&gt;"&amp;$A23,実績!$AK$6:$AK$505,"○")&gt;0,1,0))</f>
        <v>0</v>
      </c>
      <c r="Y23" s="39" t="n">
        <f aca="false">IF(Y$4=0,0,IF(COUNTIFS(実績!$W$6:$W$505,Y$3,実績!$AI$6:$AI$505,"&lt;="&amp;$A23,実績!$AJ$6:$AJ$505,"&gt;"&amp;$A23,実績!$AK$6:$AK$505,"○")&gt;0,1,0))</f>
        <v>0</v>
      </c>
      <c r="Z23" s="39" t="n">
        <f aca="false">IF(Z$4=0,0,IF(COUNTIFS(実績!$W$6:$W$505,Z$3,実績!$AI$6:$AI$505,"&lt;="&amp;$A23,実績!$AJ$6:$AJ$505,"&gt;"&amp;$A23,実績!$AK$6:$AK$505,"○")&gt;0,1,0))</f>
        <v>0</v>
      </c>
      <c r="AA23" s="39" t="n">
        <f aca="false">IF(AA$4=0,0,IF(COUNTIFS(実績!$W$6:$W$505,AA$3,実績!$AI$6:$AI$505,"&lt;="&amp;$A23,実績!$AJ$6:$AJ$505,"&gt;"&amp;$A23,実績!$AK$6:$AK$505,"○")&gt;0,1,0))</f>
        <v>0</v>
      </c>
      <c r="AB23" s="39" t="n">
        <f aca="false">IF(AB$4=0,0,IF(COUNTIFS(実績!$W$6:$W$505,AB$3,実績!$AI$6:$AI$505,"&lt;="&amp;$A23,実績!$AJ$6:$AJ$505,"&gt;"&amp;$A23,実績!$AK$6:$AK$505,"○")&gt;0,1,0))</f>
        <v>0</v>
      </c>
      <c r="AC23" s="39" t="n">
        <f aca="false">IF(AC$4=0,0,IF(COUNTIFS(実績!$W$6:$W$505,AC$3,実績!$AI$6:$AI$505,"&lt;="&amp;$A23,実績!$AJ$6:$AJ$505,"&gt;"&amp;$A23,実績!$AK$6:$AK$505,"○")&gt;0,1,0))</f>
        <v>0</v>
      </c>
      <c r="AD23" s="39" t="n">
        <f aca="false">IF(AD$4=0,0,IF(COUNTIFS(実績!$W$6:$W$505,AD$3,実績!$AI$6:$AI$505,"&lt;="&amp;$A23,実績!$AJ$6:$AJ$505,"&gt;"&amp;$A23,実績!$AK$6:$AK$505,"○")&gt;0,1,0))</f>
        <v>0</v>
      </c>
      <c r="AE23" s="39" t="n">
        <f aca="false">IF(AE$4=0,0,IF(COUNTIFS(実績!$W$6:$W$505,AE$3,実績!$AI$6:$AI$505,"&lt;="&amp;$A23,実績!$AJ$6:$AJ$505,"&gt;"&amp;$A23,実績!$AK$6:$AK$505,"○")&gt;0,1,0))</f>
        <v>0</v>
      </c>
      <c r="AF23" s="39" t="n">
        <f aca="false">IF(AF$4=0,0,IF(COUNTIFS(実績!$W$6:$W$505,AF$3,実績!$AI$6:$AI$505,"&lt;="&amp;$A23,実績!$AJ$6:$AJ$505,"&gt;"&amp;$A23,実績!$AK$6:$AK$505,"○")&gt;0,1,0))</f>
        <v>0</v>
      </c>
      <c r="AG23" s="39" t="n">
        <f aca="false">IF(AG$4=0,0,IF(COUNTIFS(実績!$W$6:$W$505,AG$3,実績!$AI$6:$AI$505,"&lt;="&amp;$A23,実績!$AJ$6:$AJ$505,"&gt;"&amp;$A23,実績!$AK$6:$AK$505,"○")&gt;0,1,0))</f>
        <v>0</v>
      </c>
      <c r="AH23" s="39" t="n">
        <f aca="false">IF(AH$4=0,0,IF(COUNTIFS(実績!$W$6:$W$505,AH$3,実績!$AI$6:$AI$505,"&lt;="&amp;$A23,実績!$AJ$6:$AJ$505,"&gt;"&amp;$A23,実績!$AK$6:$AK$505,"○")&gt;0,1,0))</f>
        <v>0</v>
      </c>
      <c r="AI23" s="39" t="n">
        <f aca="false">IF(AI$4=0,0,IF(COUNTIFS(実績!$W$6:$W$505,AI$3,実績!$AI$6:$AI$505,"&lt;="&amp;$A23,実績!$AJ$6:$AJ$505,"&gt;"&amp;$A23,実績!$AK$6:$AK$505,"○")&gt;0,1,0))</f>
        <v>0</v>
      </c>
      <c r="AJ23" s="39" t="n">
        <f aca="false">IF(AJ$4=0,0,IF(COUNTIFS(実績!$W$6:$W$505,AJ$3,実績!$AI$6:$AI$505,"&lt;="&amp;$A23,実績!$AJ$6:$AJ$505,"&gt;"&amp;$A23,実績!$AK$6:$AK$505,"○")&gt;0,1,0))</f>
        <v>0</v>
      </c>
      <c r="AK23" s="39" t="n">
        <f aca="false">IF(AK$4=0,0,IF(COUNTIFS(実績!$W$6:$W$505,AK$3,実績!$AI$6:$AI$505,"&lt;="&amp;$A23,実績!$AJ$6:$AJ$505,"&gt;"&amp;$A23,実績!$AK$6:$AK$505,"○")&gt;0,1,0))</f>
        <v>0</v>
      </c>
      <c r="AL23" s="39" t="n">
        <f aca="false">IF(AL$4=0,0,IF(COUNTIFS(実績!$W$6:$W$505,AL$3,実績!$AI$6:$AI$505,"&lt;="&amp;$A23,実績!$AJ$6:$AJ$505,"&gt;"&amp;$A23,実績!$AK$6:$AK$505,"○")&gt;0,1,0))</f>
        <v>0</v>
      </c>
      <c r="AM23" s="39" t="n">
        <f aca="false">IF(AM$4=0,0,IF(COUNTIFS(実績!$W$6:$W$505,AM$3,実績!$AI$6:$AI$505,"&lt;="&amp;$A23,実績!$AJ$6:$AJ$505,"&gt;"&amp;$A23,実績!$AK$6:$AK$505,"○")&gt;0,1,0))</f>
        <v>0</v>
      </c>
      <c r="AN23" s="39" t="n">
        <f aca="false">IF(AN$4=0,0,IF(COUNTIFS(実績!$W$6:$W$505,AN$3,実績!$AI$6:$AI$505,"&lt;="&amp;$A23,実績!$AJ$6:$AJ$505,"&gt;"&amp;$A23,実績!$AK$6:$AK$505,"○")&gt;0,1,0))</f>
        <v>0</v>
      </c>
      <c r="AO23" s="39" t="n">
        <f aca="false">IF(AO$4=0,0,IF(COUNTIFS(実績!$W$6:$W$505,AO$3,実績!$AI$6:$AI$505,"&lt;="&amp;$A23,実績!$AJ$6:$AJ$505,"&gt;"&amp;$A23,実績!$AK$6:$AK$505,"○")&gt;0,1,0))</f>
        <v>0</v>
      </c>
      <c r="AP23" s="39" t="n">
        <f aca="false">IF(AP$4=0,0,IF(COUNTIFS(実績!$W$6:$W$505,AP$3,実績!$AI$6:$AI$505,"&lt;="&amp;$A23,実績!$AJ$6:$AJ$505,"&gt;"&amp;$A23,実績!$AK$6:$AK$505,"○")&gt;0,1,0))</f>
        <v>0</v>
      </c>
      <c r="AQ23" s="39" t="n">
        <f aca="false">IF(AQ$4=0,0,IF(COUNTIFS(実績!$W$6:$W$505,AQ$3,実績!$AI$6:$AI$505,"&lt;="&amp;$A23,実績!$AJ$6:$AJ$505,"&gt;"&amp;$A23,実績!$AK$6:$AK$505,"○")&gt;0,1,0))</f>
        <v>0</v>
      </c>
      <c r="AR23" s="39" t="n">
        <f aca="false">IF(AR$4=0,0,IF(COUNTIFS(実績!$W$6:$W$505,AR$3,実績!$AI$6:$AI$505,"&lt;="&amp;$A23,実績!$AJ$6:$AJ$505,"&gt;"&amp;$A23,実績!$AK$6:$AK$505,"○")&gt;0,1,0))</f>
        <v>0</v>
      </c>
      <c r="AS23" s="39" t="n">
        <f aca="false">IF(AS$4=0,0,IF(COUNTIFS(実績!$W$6:$W$505,AS$3,実績!$AI$6:$AI$505,"&lt;="&amp;$A23,実績!$AJ$6:$AJ$505,"&gt;"&amp;$A23,実績!$AK$6:$AK$505,"○")&gt;0,1,0))</f>
        <v>0</v>
      </c>
      <c r="AT23" s="39" t="n">
        <f aca="false">IF(AT$4=0,0,IF(COUNTIFS(実績!$W$6:$W$505,AT$3,実績!$AI$6:$AI$505,"&lt;="&amp;$A23,実績!$AJ$6:$AJ$505,"&gt;"&amp;$A23,実績!$AK$6:$AK$505,"○")&gt;0,1,0))</f>
        <v>0</v>
      </c>
      <c r="AU23" s="39" t="n">
        <f aca="false">IF(AU$4=0,0,IF(COUNTIFS(実績!$W$6:$W$505,AU$3,実績!$AI$6:$AI$505,"&lt;="&amp;$A23,実績!$AJ$6:$AJ$505,"&gt;"&amp;$A23,実績!$AK$6:$AK$505,"○")&gt;0,1,0))</f>
        <v>0</v>
      </c>
      <c r="AV23" s="39" t="n">
        <f aca="false">IF(AV$4=0,0,IF(COUNTIFS(実績!$W$6:$W$505,AV$3,実績!$AI$6:$AI$505,"&lt;="&amp;$A23,実績!$AJ$6:$AJ$505,"&gt;"&amp;$A23,実績!$AK$6:$AK$505,"○")&gt;0,1,0))</f>
        <v>0</v>
      </c>
      <c r="AW23" s="39" t="n">
        <f aca="false">IF(AW$4=0,0,IF(COUNTIFS(実績!$W$6:$W$505,AW$3,実績!$AI$6:$AI$505,"&lt;="&amp;$A23,実績!$AJ$6:$AJ$505,"&gt;"&amp;$A23,実績!$AK$6:$AK$505,"○")&gt;0,1,0))</f>
        <v>0</v>
      </c>
      <c r="AX23" s="39" t="n">
        <f aca="false">IF(AX$4=0,0,IF(COUNTIFS(実績!$W$6:$W$505,AX$3,実績!$AI$6:$AI$505,"&lt;="&amp;$A23,実績!$AJ$6:$AJ$505,"&gt;"&amp;$A23,実績!$AK$6:$AK$505,"○")&gt;0,1,0))</f>
        <v>0</v>
      </c>
      <c r="AY23" s="39" t="n">
        <f aca="false">IF(AY$4=0,0,IF(COUNTIFS(実績!$W$6:$W$505,AY$3,実績!$AI$6:$AI$505,"&lt;="&amp;$A23,実績!$AJ$6:$AJ$505,"&gt;"&amp;$A23,実績!$AK$6:$AK$505,"○")&gt;0,1,0))</f>
        <v>0</v>
      </c>
      <c r="AZ23" s="39" t="n">
        <f aca="false">IF(AZ$4=0,0,IF(COUNTIFS(実績!$W$6:$W$505,AZ$3,実績!$AI$6:$AI$505,"&lt;="&amp;$A23,実績!$AJ$6:$AJ$505,"&gt;"&amp;$A23,実績!$AK$6:$AK$505,"○")&gt;0,1,0))</f>
        <v>0</v>
      </c>
      <c r="BA23" s="39" t="n">
        <f aca="false">IF(BA$4=0,0,IF(COUNTIFS(実績!$W$6:$W$505,BA$3,実績!$AI$6:$AI$505,"&lt;="&amp;$A23,実績!$AJ$6:$AJ$505,"&gt;"&amp;$A23,実績!$AK$6:$AK$505,"○")&gt;0,1,0))</f>
        <v>0</v>
      </c>
      <c r="BB23" s="39" t="n">
        <f aca="false">IF(BB$4=0,0,IF(COUNTIFS(実績!$W$6:$W$505,BB$3,実績!$AI$6:$AI$505,"&lt;="&amp;$A23,実績!$AJ$6:$AJ$505,"&gt;"&amp;$A23,実績!$AK$6:$AK$505,"○")&gt;0,1,0))</f>
        <v>0</v>
      </c>
      <c r="BC23" s="39" t="n">
        <f aca="false">IF(BC$4=0,0,IF(COUNTIFS(実績!$W$6:$W$505,BC$3,実績!$AI$6:$AI$505,"&lt;="&amp;$A23,実績!$AJ$6:$AJ$505,"&gt;"&amp;$A23,実績!$AK$6:$AK$505,"○")&gt;0,1,0))</f>
        <v>0</v>
      </c>
      <c r="BD23" s="39" t="n">
        <f aca="false">IF(BD$4=0,0,IF(COUNTIFS(実績!$W$6:$W$505,BD$3,実績!$AI$6:$AI$505,"&lt;="&amp;$A23,実績!$AJ$6:$AJ$505,"&gt;"&amp;$A23,実績!$AK$6:$AK$505,"○")&gt;0,1,0))</f>
        <v>0</v>
      </c>
      <c r="BE23" s="39" t="n">
        <f aca="false">IF(BE$4=0,0,IF(COUNTIFS(実績!$W$6:$W$505,BE$3,実績!$AI$6:$AI$505,"&lt;="&amp;$A23,実績!$AJ$6:$AJ$505,"&gt;"&amp;$A23,実績!$AK$6:$AK$505,"○")&gt;0,1,0))</f>
        <v>0</v>
      </c>
      <c r="BF23" s="39" t="n">
        <f aca="false">IF(BF$4=0,0,IF(COUNTIFS(実績!$W$6:$W$505,BF$3,実績!$AI$6:$AI$505,"&lt;="&amp;$A23,実績!$AJ$6:$AJ$505,"&gt;"&amp;$A23,実績!$AK$6:$AK$505,"○")&gt;0,1,0))</f>
        <v>0</v>
      </c>
      <c r="BG23" s="39" t="n">
        <f aca="false">IF(BG$4=0,0,IF(COUNTIFS(実績!$W$6:$W$505,BG$3,実績!$AI$6:$AI$505,"&lt;="&amp;$A23,実績!$AJ$6:$AJ$505,"&gt;"&amp;$A23,実績!$AK$6:$AK$505,"○")&gt;0,1,0))</f>
        <v>0</v>
      </c>
      <c r="BH23" s="39" t="n">
        <f aca="false">IF(BH$4=0,0,IF(COUNTIFS(実績!$W$6:$W$505,BH$3,実績!$AI$6:$AI$505,"&lt;="&amp;$A23,実績!$AJ$6:$AJ$505,"&gt;"&amp;$A23,実績!$AK$6:$AK$505,"○")&gt;0,1,0))</f>
        <v>0</v>
      </c>
      <c r="BI23" s="39" t="n">
        <f aca="false">IF(BI$4=0,0,IF(COUNTIFS(実績!$W$6:$W$505,BI$3,実績!$AI$6:$AI$505,"&lt;="&amp;$A23,実績!$AJ$6:$AJ$505,"&gt;"&amp;$A23,実績!$AK$6:$AK$505,"○")&gt;0,1,0))</f>
        <v>0</v>
      </c>
      <c r="BJ23" s="39" t="n">
        <f aca="false">IF(BJ$4=0,0,IF(COUNTIFS(実績!$W$6:$W$505,BJ$3,実績!$AI$6:$AI$505,"&lt;="&amp;$A23,実績!$AJ$6:$AJ$505,"&gt;"&amp;$A23,実績!$AK$6:$AK$505,"○")&gt;0,1,0))</f>
        <v>0</v>
      </c>
      <c r="BK23" s="39" t="n">
        <f aca="false">IF(BK$4=0,0,IF(COUNTIFS(実績!$W$6:$W$505,BK$3,実績!$AI$6:$AI$505,"&lt;="&amp;$A23,実績!$AJ$6:$AJ$505,"&gt;"&amp;$A23,実績!$AK$6:$AK$505,"○")&gt;0,1,0))</f>
        <v>0</v>
      </c>
      <c r="BL23" s="39" t="n">
        <f aca="false">IF(BL$4=0,0,IF(COUNTIFS(実績!$W$6:$W$505,BL$3,実績!$AI$6:$AI$505,"&lt;="&amp;$A23,実績!$AJ$6:$AJ$505,"&gt;"&amp;$A23,実績!$AK$6:$AK$505,"○")&gt;0,1,0))</f>
        <v>0</v>
      </c>
      <c r="BM23" s="39" t="n">
        <f aca="false">IF(BM$4=0,0,IF(COUNTIFS(実績!$W$6:$W$505,BM$3,実績!$AI$6:$AI$505,"&lt;="&amp;$A23,実績!$AJ$6:$AJ$505,"&gt;"&amp;$A23,実績!$AK$6:$AK$505,"○")&gt;0,1,0))</f>
        <v>0</v>
      </c>
      <c r="BN23" s="39" t="n">
        <f aca="false">IF(BN$4=0,0,IF(COUNTIFS(実績!$W$6:$W$505,BN$3,実績!$AI$6:$AI$505,"&lt;="&amp;$A23,実績!$AJ$6:$AJ$505,"&gt;"&amp;$A23,実績!$AK$6:$AK$505,"○")&gt;0,1,0))</f>
        <v>0</v>
      </c>
      <c r="BO23" s="39" t="n">
        <f aca="false">IF(BO$4=0,0,IF(COUNTIFS(実績!$W$6:$W$505,BO$3,実績!$AI$6:$AI$505,"&lt;="&amp;$A23,実績!$AJ$6:$AJ$505,"&gt;"&amp;$A23,実績!$AK$6:$AK$505,"○")&gt;0,1,0))</f>
        <v>0</v>
      </c>
      <c r="BP23" s="39" t="n">
        <f aca="false">IF(BP$4=0,0,IF(COUNTIFS(実績!$W$6:$W$505,BP$3,実績!$AI$6:$AI$505,"&lt;="&amp;$A23,実績!$AJ$6:$AJ$505,"&gt;"&amp;$A23,実績!$AK$6:$AK$505,"○")&gt;0,1,0))</f>
        <v>0</v>
      </c>
      <c r="BQ23" s="39" t="n">
        <f aca="false">IF(BQ$4=0,0,IF(COUNTIFS(実績!$W$6:$W$505,BQ$3,実績!$AI$6:$AI$505,"&lt;="&amp;$A23,実績!$AJ$6:$AJ$505,"&gt;"&amp;$A23,実績!$AK$6:$AK$505,"○")&gt;0,1,0))</f>
        <v>0</v>
      </c>
      <c r="BR23" s="39" t="n">
        <f aca="false">IF(BR$4=0,0,IF(COUNTIFS(実績!$W$6:$W$505,BR$3,実績!$AI$6:$AI$505,"&lt;="&amp;$A23,実績!$AJ$6:$AJ$505,"&gt;"&amp;$A23,実績!$AK$6:$AK$505,"○")&gt;0,1,0))</f>
        <v>0</v>
      </c>
      <c r="BS23" s="39" t="n">
        <f aca="false">IF(BS$4=0,0,IF(COUNTIFS(実績!$W$6:$W$505,BS$3,実績!$AI$6:$AI$505,"&lt;="&amp;$A23,実績!$AJ$6:$AJ$505,"&gt;"&amp;$A23,実績!$AK$6:$AK$505,"○")&gt;0,1,0))</f>
        <v>0</v>
      </c>
      <c r="BT23" s="39" t="n">
        <f aca="false">IF(BT$4=0,0,IF(COUNTIFS(実績!$W$6:$W$505,BT$3,実績!$AI$6:$AI$505,"&lt;="&amp;$A23,実績!$AJ$6:$AJ$505,"&gt;"&amp;$A23,実績!$AK$6:$AK$505,"○")&gt;0,1,0))</f>
        <v>0</v>
      </c>
      <c r="BU23" s="39" t="n">
        <f aca="false">IF(BU$4=0,0,IF(COUNTIFS(実績!$W$6:$W$505,BU$3,実績!$AI$6:$AI$505,"&lt;="&amp;$A23,実績!$AJ$6:$AJ$505,"&gt;"&amp;$A23,実績!$AK$6:$AK$505,"○")&gt;0,1,0))</f>
        <v>0</v>
      </c>
      <c r="BV23" s="39" t="n">
        <f aca="false">IF(BV$4=0,0,IF(COUNTIFS(実績!$W$6:$W$505,BV$3,実績!$AI$6:$AI$505,"&lt;="&amp;$A23,実績!$AJ$6:$AJ$505,"&gt;"&amp;$A23,実績!$AK$6:$AK$505,"○")&gt;0,1,0))</f>
        <v>0</v>
      </c>
      <c r="BW23" s="39" t="n">
        <f aca="false">IF(BW$4=0,0,IF(COUNTIFS(実績!$W$6:$W$505,BW$3,実績!$AI$6:$AI$505,"&lt;="&amp;$A23,実績!$AJ$6:$AJ$505,"&gt;"&amp;$A23,実績!$AK$6:$AK$505,"○")&gt;0,1,0))</f>
        <v>0</v>
      </c>
      <c r="BX23" s="39" t="n">
        <f aca="false">IF(BX$4=0,0,IF(COUNTIFS(実績!$W$6:$W$505,BX$3,実績!$AI$6:$AI$505,"&lt;="&amp;$A23,実績!$AJ$6:$AJ$505,"&gt;"&amp;$A23,実績!$AK$6:$AK$505,"○")&gt;0,1,0))</f>
        <v>0</v>
      </c>
      <c r="BY23" s="39" t="n">
        <f aca="false">IF(BY$4=0,0,IF(COUNTIFS(実績!$W$6:$W$505,BY$3,実績!$AI$6:$AI$505,"&lt;="&amp;$A23,実績!$AJ$6:$AJ$505,"&gt;"&amp;$A23,実績!$AK$6:$AK$505,"○")&gt;0,1,0))</f>
        <v>0</v>
      </c>
      <c r="BZ23" s="39" t="n">
        <f aca="false">IF(BZ$4=0,0,IF(COUNTIFS(実績!$W$6:$W$505,BZ$3,実績!$AI$6:$AI$505,"&lt;="&amp;$A23,実績!$AJ$6:$AJ$505,"&gt;"&amp;$A23,実績!$AK$6:$AK$505,"○")&gt;0,1,0))</f>
        <v>0</v>
      </c>
      <c r="CA23" s="39" t="n">
        <f aca="false">IF(CA$4=0,0,IF(COUNTIFS(実績!$W$6:$W$505,CA$3,実績!$AI$6:$AI$505,"&lt;="&amp;$A23,実績!$AJ$6:$AJ$505,"&gt;"&amp;$A23,実績!$AK$6:$AK$505,"○")&gt;0,1,0))</f>
        <v>0</v>
      </c>
      <c r="CB23" s="39" t="n">
        <f aca="false">IF(CB$4=0,0,IF(COUNTIFS(実績!$W$6:$W$505,CB$3,実績!$AI$6:$AI$505,"&lt;="&amp;$A23,実績!$AJ$6:$AJ$505,"&gt;"&amp;$A23,実績!$AK$6:$AK$505,"○")&gt;0,1,0))</f>
        <v>0</v>
      </c>
      <c r="CC23" s="39" t="n">
        <f aca="false">IF(CC$4=0,0,IF(COUNTIFS(実績!$W$6:$W$505,CC$3,実績!$AI$6:$AI$505,"&lt;="&amp;$A23,実績!$AJ$6:$AJ$505,"&gt;"&amp;$A23,実績!$AK$6:$AK$505,"○")&gt;0,1,0))</f>
        <v>0</v>
      </c>
      <c r="CD23" s="39" t="n">
        <f aca="false">IF(CD$4=0,0,IF(COUNTIFS(実績!$W$6:$W$505,CD$3,実績!$AI$6:$AI$505,"&lt;="&amp;$A23,実績!$AJ$6:$AJ$505,"&gt;"&amp;$A23,実績!$AK$6:$AK$505,"○")&gt;0,1,0))</f>
        <v>0</v>
      </c>
      <c r="CE23" s="39" t="n">
        <f aca="false">IF(CE$4=0,0,IF(COUNTIFS(実績!$W$6:$W$505,CE$3,実績!$AI$6:$AI$505,"&lt;="&amp;$A23,実績!$AJ$6:$AJ$505,"&gt;"&amp;$A23,実績!$AK$6:$AK$505,"○")&gt;0,1,0))</f>
        <v>0</v>
      </c>
      <c r="CF23" s="39" t="n">
        <f aca="false">IF(CF$4=0,0,IF(COUNTIFS(実績!$W$6:$W$505,CF$3,実績!$AI$6:$AI$505,"&lt;="&amp;$A23,実績!$AJ$6:$AJ$505,"&gt;"&amp;$A23,実績!$AK$6:$AK$505,"○")&gt;0,1,0))</f>
        <v>0</v>
      </c>
      <c r="CG23" s="39" t="n">
        <f aca="false">IF(CG$4=0,0,IF(COUNTIFS(実績!$W$6:$W$505,CG$3,実績!$AI$6:$AI$505,"&lt;="&amp;$A23,実績!$AJ$6:$AJ$505,"&gt;"&amp;$A23,実績!$AK$6:$AK$505,"○")&gt;0,1,0))</f>
        <v>0</v>
      </c>
      <c r="CH23" s="39" t="n">
        <f aca="false">IF(CH$4=0,0,IF(COUNTIFS(実績!$W$6:$W$505,CH$3,実績!$AI$6:$AI$505,"&lt;="&amp;$A23,実績!$AJ$6:$AJ$505,"&gt;"&amp;$A23,実績!$AK$6:$AK$505,"○")&gt;0,1,0))</f>
        <v>0</v>
      </c>
      <c r="CI23" s="39" t="n">
        <f aca="false">IF(CI$4=0,0,IF(COUNTIFS(実績!$W$6:$W$505,CI$3,実績!$AI$6:$AI$505,"&lt;="&amp;$A23,実績!$AJ$6:$AJ$505,"&gt;"&amp;$A23,実績!$AK$6:$AK$505,"○")&gt;0,1,0))</f>
        <v>0</v>
      </c>
      <c r="CJ23" s="39" t="n">
        <f aca="false">IF(CJ$4=0,0,IF(COUNTIFS(実績!$W$6:$W$505,CJ$3,実績!$AI$6:$AI$505,"&lt;="&amp;$A23,実績!$AJ$6:$AJ$505,"&gt;"&amp;$A23,実績!$AK$6:$AK$505,"○")&gt;0,1,0))</f>
        <v>0</v>
      </c>
      <c r="CK23" s="39" t="n">
        <f aca="false">IF(CK$4=0,0,IF(COUNTIFS(実績!$W$6:$W$505,CK$3,実績!$AI$6:$AI$505,"&lt;="&amp;$A23,実績!$AJ$6:$AJ$505,"&gt;"&amp;$A23,実績!$AK$6:$AK$505,"○")&gt;0,1,0))</f>
        <v>0</v>
      </c>
      <c r="CL23" s="39" t="n">
        <f aca="false">IF(CL$4=0,0,IF(COUNTIFS(実績!$W$6:$W$505,CL$3,実績!$AI$6:$AI$505,"&lt;="&amp;$A23,実績!$AJ$6:$AJ$505,"&gt;"&amp;$A23,実績!$AK$6:$AK$505,"○")&gt;0,1,0))</f>
        <v>0</v>
      </c>
      <c r="CM23" s="39" t="n">
        <f aca="false">IF(CM$4=0,0,IF(COUNTIFS(実績!$W$6:$W$505,CM$3,実績!$AI$6:$AI$505,"&lt;="&amp;$A23,実績!$AJ$6:$AJ$505,"&gt;"&amp;$A23,実績!$AK$6:$AK$505,"○")&gt;0,1,0))</f>
        <v>0</v>
      </c>
      <c r="CN23" s="39" t="n">
        <f aca="false">IF(CN$4=0,0,IF(COUNTIFS(実績!$W$6:$W$505,CN$3,実績!$AI$6:$AI$505,"&lt;="&amp;$A23,実績!$AJ$6:$AJ$505,"&gt;"&amp;$A23,実績!$AK$6:$AK$505,"○")&gt;0,1,0))</f>
        <v>0</v>
      </c>
      <c r="CO23" s="39" t="n">
        <f aca="false">IF(CO$4=0,0,IF(COUNTIFS(実績!$W$6:$W$505,CO$3,実績!$AI$6:$AI$505,"&lt;="&amp;$A23,実績!$AJ$6:$AJ$505,"&gt;"&amp;$A23,実績!$AK$6:$AK$505,"○")&gt;0,1,0))</f>
        <v>0</v>
      </c>
      <c r="CP23" s="39" t="n">
        <f aca="false">IF(CP$4=0,0,IF(COUNTIFS(実績!$W$6:$W$505,CP$3,実績!$AI$6:$AI$505,"&lt;="&amp;$A23,実績!$AJ$6:$AJ$505,"&gt;"&amp;$A23,実績!$AK$6:$AK$505,"○")&gt;0,1,0))</f>
        <v>0</v>
      </c>
      <c r="CQ23" s="39" t="n">
        <f aca="false">IF(CQ$4=0,0,IF(COUNTIFS(実績!$W$6:$W$505,CQ$3,実績!$AI$6:$AI$505,"&lt;="&amp;$A23,実績!$AJ$6:$AJ$505,"&gt;"&amp;$A23,実績!$AK$6:$AK$505,"○")&gt;0,1,0))</f>
        <v>0</v>
      </c>
      <c r="CR23" s="39" t="n">
        <f aca="false">IF(CR$4=0,0,IF(COUNTIFS(実績!$W$6:$W$505,CR$3,実績!$AI$6:$AI$505,"&lt;="&amp;$A23,実績!$AJ$6:$AJ$505,"&gt;"&amp;$A23,実績!$AK$6:$AK$505,"○")&gt;0,1,0))</f>
        <v>0</v>
      </c>
      <c r="CS23" s="39" t="n">
        <f aca="false">IF(CS$4=0,0,IF(COUNTIFS(実績!$W$6:$W$505,CS$3,実績!$AI$6:$AI$505,"&lt;="&amp;$A23,実績!$AJ$6:$AJ$505,"&gt;"&amp;$A23,実績!$AK$6:$AK$505,"○")&gt;0,1,0))</f>
        <v>0</v>
      </c>
      <c r="CT23" s="39" t="n">
        <f aca="false">IF(CT$4=0,0,IF(COUNTIFS(実績!$W$6:$W$505,CT$3,実績!$AI$6:$AI$505,"&lt;="&amp;$A23,実績!$AJ$6:$AJ$505,"&gt;"&amp;$A23,実績!$AK$6:$AK$505,"○")&gt;0,1,0))</f>
        <v>0</v>
      </c>
      <c r="CU23" s="39" t="n">
        <f aca="false">IF(CU$4=0,0,IF(COUNTIFS(実績!$W$6:$W$505,CU$3,実績!$AI$6:$AI$505,"&lt;="&amp;$A23,実績!$AJ$6:$AJ$505,"&gt;"&amp;$A23,実績!$AK$6:$AK$505,"○")&gt;0,1,0))</f>
        <v>0</v>
      </c>
      <c r="CV23" s="39" t="n">
        <f aca="false">IF(CV$4=0,0,IF(COUNTIFS(実績!$W$6:$W$505,CV$3,実績!$AI$6:$AI$505,"&lt;="&amp;$A23,実績!$AJ$6:$AJ$505,"&gt;"&amp;$A23,実績!$AK$6:$AK$505,"○")&gt;0,1,0))</f>
        <v>0</v>
      </c>
      <c r="CW23" s="39" t="n">
        <f aca="false">IF(CW$4=0,0,IF(COUNTIFS(実績!$W$6:$W$505,CW$3,実績!$AI$6:$AI$505,"&lt;="&amp;$A23,実績!$AJ$6:$AJ$505,"&gt;"&amp;$A23,実績!$AK$6:$AK$505,"○")&gt;0,1,0))</f>
        <v>0</v>
      </c>
      <c r="CX23" s="39" t="n">
        <f aca="false">IF(CX$4=0,0,IF(COUNTIFS(実績!$W$6:$W$505,CX$3,実績!$AI$6:$AI$505,"&lt;="&amp;$A23,実績!$AJ$6:$AJ$505,"&gt;"&amp;$A23,実績!$AK$6:$AK$505,"○")&gt;0,1,0))</f>
        <v>0</v>
      </c>
      <c r="CY23" s="39" t="n">
        <f aca="false">IF(CY$4=0,0,IF(COUNTIFS(実績!$W$6:$W$505,CY$3,実績!$AI$6:$AI$505,"&lt;="&amp;$A23,実績!$AJ$6:$AJ$505,"&gt;"&amp;$A23,実績!$AK$6:$AK$505,"○")&gt;0,1,0))</f>
        <v>0</v>
      </c>
      <c r="CZ23" s="39" t="n">
        <f aca="false">IF(CZ$4=0,0,IF(COUNTIFS(実績!$W$6:$W$505,CZ$3,実績!$AI$6:$AI$505,"&lt;="&amp;$A23,実績!$AJ$6:$AJ$505,"&gt;"&amp;$A23,実績!$AK$6:$AK$505,"○")&gt;0,1,0))</f>
        <v>0</v>
      </c>
      <c r="DA23" s="39" t="n">
        <f aca="false">IF(DA$4=0,0,IF(COUNTIFS(実績!$W$6:$W$505,DA$3,実績!$AI$6:$AI$505,"&lt;="&amp;$A23,実績!$AJ$6:$AJ$505,"&gt;"&amp;$A23,実績!$AK$6:$AK$505,"○")&gt;0,1,0))</f>
        <v>0</v>
      </c>
      <c r="DB23" s="39" t="n">
        <f aca="false">IF(DB$4=0,0,IF(COUNTIFS(実績!$W$6:$W$505,DB$3,実績!$AI$6:$AI$505,"&lt;="&amp;$A23,実績!$AJ$6:$AJ$505,"&gt;"&amp;$A23,実績!$AK$6:$AK$505,"○")&gt;0,1,0))</f>
        <v>0</v>
      </c>
      <c r="DC23" s="39" t="n">
        <f aca="false">IF(DC$4=0,0,IF(COUNTIFS(実績!$W$6:$W$505,DC$3,実績!$AI$6:$AI$505,"&lt;="&amp;$A23,実績!$AJ$6:$AJ$505,"&gt;"&amp;$A23,実績!$AK$6:$AK$505,"○")&gt;0,1,0))</f>
        <v>0</v>
      </c>
      <c r="DD23" s="39" t="n">
        <f aca="false">IF(DD$4=0,0,IF(COUNTIFS(実績!$W$6:$W$505,DD$3,実績!$AI$6:$AI$505,"&lt;="&amp;$A23,実績!$AJ$6:$AJ$505,"&gt;"&amp;$A23,実績!$AK$6:$AK$505,"○")&gt;0,1,0))</f>
        <v>0</v>
      </c>
      <c r="DE23" s="39" t="n">
        <f aca="false">IF(DE$4=0,0,IF(COUNTIFS(実績!$W$6:$W$505,DE$3,実績!$AI$6:$AI$505,"&lt;="&amp;$A23,実績!$AJ$6:$AJ$505,"&gt;"&amp;$A23,実績!$AK$6:$AK$505,"○")&gt;0,1,0))</f>
        <v>0</v>
      </c>
      <c r="DF23" s="39" t="n">
        <f aca="false">IF(DF$4=0,0,IF(COUNTIFS(実績!$W$6:$W$505,DF$3,実績!$AI$6:$AI$505,"&lt;="&amp;$A23,実績!$AJ$6:$AJ$505,"&gt;"&amp;$A23,実績!$AK$6:$AK$505,"○")&gt;0,1,0))</f>
        <v>0</v>
      </c>
      <c r="DG23" s="39" t="n">
        <f aca="false">IF(DG$4=0,0,IF(COUNTIFS(実績!$W$6:$W$505,DG$3,実績!$AI$6:$AI$505,"&lt;="&amp;$A23,実績!$AJ$6:$AJ$505,"&gt;"&amp;$A23,実績!$AK$6:$AK$505,"○")&gt;0,1,0))</f>
        <v>0</v>
      </c>
      <c r="DH23" s="39" t="n">
        <f aca="false">IF(DH$4=0,0,IF(COUNTIFS(実績!$W$6:$W$505,DH$3,実績!$AI$6:$AI$505,"&lt;="&amp;$A23,実績!$AJ$6:$AJ$505,"&gt;"&amp;$A23,実績!$AK$6:$AK$505,"○")&gt;0,1,0))</f>
        <v>0</v>
      </c>
      <c r="DI23" s="39" t="n">
        <f aca="false">IF(DI$4=0,0,IF(COUNTIFS(実績!$W$6:$W$505,DI$3,実績!$AI$6:$AI$505,"&lt;="&amp;$A23,実績!$AJ$6:$AJ$505,"&gt;"&amp;$A23,実績!$AK$6:$AK$505,"○")&gt;0,1,0))</f>
        <v>0</v>
      </c>
      <c r="DJ23" s="39" t="n">
        <f aca="false">IF(DJ$4=0,0,IF(COUNTIFS(実績!$W$6:$W$505,DJ$3,実績!$AI$6:$AI$505,"&lt;="&amp;$A23,実績!$AJ$6:$AJ$505,"&gt;"&amp;$A23,実績!$AK$6:$AK$505,"○")&gt;0,1,0))</f>
        <v>0</v>
      </c>
      <c r="DK23" s="39" t="n">
        <f aca="false">IF(DK$4=0,0,IF(COUNTIFS(実績!$W$6:$W$505,DK$3,実績!$AI$6:$AI$505,"&lt;="&amp;$A23,実績!$AJ$6:$AJ$505,"&gt;"&amp;$A23,実績!$AK$6:$AK$505,"○")&gt;0,1,0))</f>
        <v>0</v>
      </c>
      <c r="DL23" s="39" t="n">
        <f aca="false">IF(DL$4=0,0,IF(COUNTIFS(実績!$W$6:$W$505,DL$3,実績!$AI$6:$AI$505,"&lt;="&amp;$A23,実績!$AJ$6:$AJ$505,"&gt;"&amp;$A23,実績!$AK$6:$AK$505,"○")&gt;0,1,0))</f>
        <v>0</v>
      </c>
      <c r="DM23" s="39" t="n">
        <f aca="false">IF(DM$4=0,0,IF(COUNTIFS(実績!$W$6:$W$505,DM$3,実績!$AI$6:$AI$505,"&lt;="&amp;$A23,実績!$AJ$6:$AJ$505,"&gt;"&amp;$A23,実績!$AK$6:$AK$505,"○")&gt;0,1,0))</f>
        <v>0</v>
      </c>
      <c r="DN23" s="39" t="n">
        <f aca="false">IF(DN$4=0,0,IF(COUNTIFS(実績!$W$6:$W$505,DN$3,実績!$AI$6:$AI$505,"&lt;="&amp;$A23,実績!$AJ$6:$AJ$505,"&gt;"&amp;$A23,実績!$AK$6:$AK$505,"○")&gt;0,1,0))</f>
        <v>0</v>
      </c>
      <c r="DO23" s="39" t="n">
        <f aca="false">IF(DO$4=0,0,IF(COUNTIFS(実績!$W$6:$W$505,DO$3,実績!$AI$6:$AI$505,"&lt;="&amp;$A23,実績!$AJ$6:$AJ$505,"&gt;"&amp;$A23,実績!$AK$6:$AK$505,"○")&gt;0,1,0))</f>
        <v>0</v>
      </c>
      <c r="DP23" s="39" t="n">
        <f aca="false">IF(DP$4=0,0,IF(COUNTIFS(実績!$W$6:$W$505,DP$3,実績!$AI$6:$AI$505,"&lt;="&amp;$A23,実績!$AJ$6:$AJ$505,"&gt;"&amp;$A23,実績!$AK$6:$AK$505,"○")&gt;0,1,0))</f>
        <v>0</v>
      </c>
      <c r="DQ23" s="39" t="n">
        <f aca="false">IF(DQ$4=0,0,IF(COUNTIFS(実績!$W$6:$W$505,DQ$3,実績!$AI$6:$AI$505,"&lt;="&amp;$A23,実績!$AJ$6:$AJ$505,"&gt;"&amp;$A23,実績!$AK$6:$AK$505,"○")&gt;0,1,0))</f>
        <v>0</v>
      </c>
      <c r="DR23" s="39" t="n">
        <f aca="false">IF(DR$4=0,0,IF(COUNTIFS(実績!$W$6:$W$505,DR$3,実績!$AI$6:$AI$505,"&lt;="&amp;$A23,実績!$AJ$6:$AJ$505,"&gt;"&amp;$A23,実績!$AK$6:$AK$505,"○")&gt;0,1,0))</f>
        <v>0</v>
      </c>
      <c r="DS23" s="39" t="n">
        <f aca="false">SUM(C23:DR23)</f>
        <v>0</v>
      </c>
      <c r="DT23" s="39" t="n">
        <f aca="false">SUMPRODUCT((実績!$C$6:$C$505="○")*ISNUMBER(実績!$AM$6:$AM$505)*(実績!$AM$6:$AM$505&lt;=$A23)*(実績!$AN$6:$AN$505&gt;$A23))</f>
        <v>0</v>
      </c>
      <c r="DU23" s="39" t="n">
        <f aca="false">SUMIF($C$2:$DR$2,"製鉄曳船",C23:DR23)</f>
        <v>0</v>
      </c>
      <c r="DV23" s="39" t="n">
        <f aca="false">SUMIF($C$2:$DR$2,"西日本海運",C23:DR23)</f>
        <v>0</v>
      </c>
    </row>
    <row r="24" customFormat="false" ht="15" hidden="false" customHeight="false" outlineLevel="0" collapsed="false">
      <c r="A24" s="0" t="n">
        <v>90</v>
      </c>
      <c r="B24" s="38" t="n">
        <f aca="false">A24/1440</f>
        <v>0.0625</v>
      </c>
      <c r="C24" s="39" t="n">
        <f aca="false">IF(C$4=0,0,IF(COUNTIFS(実績!$W$6:$W$505,C$3,実績!$AI$6:$AI$505,"&lt;="&amp;$A24,実績!$AJ$6:$AJ$505,"&gt;"&amp;$A24,実績!$AK$6:$AK$505,"○")&gt;0,1,0))</f>
        <v>0</v>
      </c>
      <c r="D24" s="39" t="n">
        <f aca="false">IF(D$4=0,0,IF(COUNTIFS(実績!$W$6:$W$505,D$3,実績!$AI$6:$AI$505,"&lt;="&amp;$A24,実績!$AJ$6:$AJ$505,"&gt;"&amp;$A24,実績!$AK$6:$AK$505,"○")&gt;0,1,0))</f>
        <v>0</v>
      </c>
      <c r="E24" s="39" t="n">
        <f aca="false">IF(E$4=0,0,IF(COUNTIFS(実績!$W$6:$W$505,E$3,実績!$AI$6:$AI$505,"&lt;="&amp;$A24,実績!$AJ$6:$AJ$505,"&gt;"&amp;$A24,実績!$AK$6:$AK$505,"○")&gt;0,1,0))</f>
        <v>0</v>
      </c>
      <c r="F24" s="39" t="n">
        <f aca="false">IF(F$4=0,0,IF(COUNTIFS(実績!$W$6:$W$505,F$3,実績!$AI$6:$AI$505,"&lt;="&amp;$A24,実績!$AJ$6:$AJ$505,"&gt;"&amp;$A24,実績!$AK$6:$AK$505,"○")&gt;0,1,0))</f>
        <v>0</v>
      </c>
      <c r="G24" s="39" t="n">
        <f aca="false">IF(G$4=0,0,IF(COUNTIFS(実績!$W$6:$W$505,G$3,実績!$AI$6:$AI$505,"&lt;="&amp;$A24,実績!$AJ$6:$AJ$505,"&gt;"&amp;$A24,実績!$AK$6:$AK$505,"○")&gt;0,1,0))</f>
        <v>0</v>
      </c>
      <c r="H24" s="39" t="n">
        <f aca="false">IF(H$4=0,0,IF(COUNTIFS(実績!$W$6:$W$505,H$3,実績!$AI$6:$AI$505,"&lt;="&amp;$A24,実績!$AJ$6:$AJ$505,"&gt;"&amp;$A24,実績!$AK$6:$AK$505,"○")&gt;0,1,0))</f>
        <v>0</v>
      </c>
      <c r="I24" s="39" t="n">
        <f aca="false">IF(I$4=0,0,IF(COUNTIFS(実績!$W$6:$W$505,I$3,実績!$AI$6:$AI$505,"&lt;="&amp;$A24,実績!$AJ$6:$AJ$505,"&gt;"&amp;$A24,実績!$AK$6:$AK$505,"○")&gt;0,1,0))</f>
        <v>0</v>
      </c>
      <c r="J24" s="39" t="n">
        <f aca="false">IF(J$4=0,0,IF(COUNTIFS(実績!$W$6:$W$505,J$3,実績!$AI$6:$AI$505,"&lt;="&amp;$A24,実績!$AJ$6:$AJ$505,"&gt;"&amp;$A24,実績!$AK$6:$AK$505,"○")&gt;0,1,0))</f>
        <v>0</v>
      </c>
      <c r="K24" s="39" t="n">
        <f aca="false">IF(K$4=0,0,IF(COUNTIFS(実績!$W$6:$W$505,K$3,実績!$AI$6:$AI$505,"&lt;="&amp;$A24,実績!$AJ$6:$AJ$505,"&gt;"&amp;$A24,実績!$AK$6:$AK$505,"○")&gt;0,1,0))</f>
        <v>0</v>
      </c>
      <c r="L24" s="39" t="n">
        <f aca="false">IF(L$4=0,0,IF(COUNTIFS(実績!$W$6:$W$505,L$3,実績!$AI$6:$AI$505,"&lt;="&amp;$A24,実績!$AJ$6:$AJ$505,"&gt;"&amp;$A24,実績!$AK$6:$AK$505,"○")&gt;0,1,0))</f>
        <v>0</v>
      </c>
      <c r="M24" s="39" t="n">
        <f aca="false">IF(M$4=0,0,IF(COUNTIFS(実績!$W$6:$W$505,M$3,実績!$AI$6:$AI$505,"&lt;="&amp;$A24,実績!$AJ$6:$AJ$505,"&gt;"&amp;$A24,実績!$AK$6:$AK$505,"○")&gt;0,1,0))</f>
        <v>0</v>
      </c>
      <c r="N24" s="39" t="n">
        <f aca="false">IF(N$4=0,0,IF(COUNTIFS(実績!$W$6:$W$505,N$3,実績!$AI$6:$AI$505,"&lt;="&amp;$A24,実績!$AJ$6:$AJ$505,"&gt;"&amp;$A24,実績!$AK$6:$AK$505,"○")&gt;0,1,0))</f>
        <v>0</v>
      </c>
      <c r="O24" s="39" t="n">
        <f aca="false">IF(O$4=0,0,IF(COUNTIFS(実績!$W$6:$W$505,O$3,実績!$AI$6:$AI$505,"&lt;="&amp;$A24,実績!$AJ$6:$AJ$505,"&gt;"&amp;$A24,実績!$AK$6:$AK$505,"○")&gt;0,1,0))</f>
        <v>0</v>
      </c>
      <c r="P24" s="39" t="n">
        <f aca="false">IF(P$4=0,0,IF(COUNTIFS(実績!$W$6:$W$505,P$3,実績!$AI$6:$AI$505,"&lt;="&amp;$A24,実績!$AJ$6:$AJ$505,"&gt;"&amp;$A24,実績!$AK$6:$AK$505,"○")&gt;0,1,0))</f>
        <v>0</v>
      </c>
      <c r="Q24" s="39" t="n">
        <f aca="false">IF(Q$4=0,0,IF(COUNTIFS(実績!$W$6:$W$505,Q$3,実績!$AI$6:$AI$505,"&lt;="&amp;$A24,実績!$AJ$6:$AJ$505,"&gt;"&amp;$A24,実績!$AK$6:$AK$505,"○")&gt;0,1,0))</f>
        <v>0</v>
      </c>
      <c r="R24" s="39" t="n">
        <f aca="false">IF(R$4=0,0,IF(COUNTIFS(実績!$W$6:$W$505,R$3,実績!$AI$6:$AI$505,"&lt;="&amp;$A24,実績!$AJ$6:$AJ$505,"&gt;"&amp;$A24,実績!$AK$6:$AK$505,"○")&gt;0,1,0))</f>
        <v>0</v>
      </c>
      <c r="S24" s="39" t="n">
        <f aca="false">IF(S$4=0,0,IF(COUNTIFS(実績!$W$6:$W$505,S$3,実績!$AI$6:$AI$505,"&lt;="&amp;$A24,実績!$AJ$6:$AJ$505,"&gt;"&amp;$A24,実績!$AK$6:$AK$505,"○")&gt;0,1,0))</f>
        <v>0</v>
      </c>
      <c r="T24" s="39" t="n">
        <f aca="false">IF(T$4=0,0,IF(COUNTIFS(実績!$W$6:$W$505,T$3,実績!$AI$6:$AI$505,"&lt;="&amp;$A24,実績!$AJ$6:$AJ$505,"&gt;"&amp;$A24,実績!$AK$6:$AK$505,"○")&gt;0,1,0))</f>
        <v>0</v>
      </c>
      <c r="U24" s="39" t="n">
        <f aca="false">IF(U$4=0,0,IF(COUNTIFS(実績!$W$6:$W$505,U$3,実績!$AI$6:$AI$505,"&lt;="&amp;$A24,実績!$AJ$6:$AJ$505,"&gt;"&amp;$A24,実績!$AK$6:$AK$505,"○")&gt;0,1,0))</f>
        <v>0</v>
      </c>
      <c r="V24" s="39" t="n">
        <f aca="false">IF(V$4=0,0,IF(COUNTIFS(実績!$W$6:$W$505,V$3,実績!$AI$6:$AI$505,"&lt;="&amp;$A24,実績!$AJ$6:$AJ$505,"&gt;"&amp;$A24,実績!$AK$6:$AK$505,"○")&gt;0,1,0))</f>
        <v>0</v>
      </c>
      <c r="W24" s="39" t="n">
        <f aca="false">IF(W$4=0,0,IF(COUNTIFS(実績!$W$6:$W$505,W$3,実績!$AI$6:$AI$505,"&lt;="&amp;$A24,実績!$AJ$6:$AJ$505,"&gt;"&amp;$A24,実績!$AK$6:$AK$505,"○")&gt;0,1,0))</f>
        <v>0</v>
      </c>
      <c r="X24" s="39" t="n">
        <f aca="false">IF(X$4=0,0,IF(COUNTIFS(実績!$W$6:$W$505,X$3,実績!$AI$6:$AI$505,"&lt;="&amp;$A24,実績!$AJ$6:$AJ$505,"&gt;"&amp;$A24,実績!$AK$6:$AK$505,"○")&gt;0,1,0))</f>
        <v>0</v>
      </c>
      <c r="Y24" s="39" t="n">
        <f aca="false">IF(Y$4=0,0,IF(COUNTIFS(実績!$W$6:$W$505,Y$3,実績!$AI$6:$AI$505,"&lt;="&amp;$A24,実績!$AJ$6:$AJ$505,"&gt;"&amp;$A24,実績!$AK$6:$AK$505,"○")&gt;0,1,0))</f>
        <v>0</v>
      </c>
      <c r="Z24" s="39" t="n">
        <f aca="false">IF(Z$4=0,0,IF(COUNTIFS(実績!$W$6:$W$505,Z$3,実績!$AI$6:$AI$505,"&lt;="&amp;$A24,実績!$AJ$6:$AJ$505,"&gt;"&amp;$A24,実績!$AK$6:$AK$505,"○")&gt;0,1,0))</f>
        <v>0</v>
      </c>
      <c r="AA24" s="39" t="n">
        <f aca="false">IF(AA$4=0,0,IF(COUNTIFS(実績!$W$6:$W$505,AA$3,実績!$AI$6:$AI$505,"&lt;="&amp;$A24,実績!$AJ$6:$AJ$505,"&gt;"&amp;$A24,実績!$AK$6:$AK$505,"○")&gt;0,1,0))</f>
        <v>0</v>
      </c>
      <c r="AB24" s="39" t="n">
        <f aca="false">IF(AB$4=0,0,IF(COUNTIFS(実績!$W$6:$W$505,AB$3,実績!$AI$6:$AI$505,"&lt;="&amp;$A24,実績!$AJ$6:$AJ$505,"&gt;"&amp;$A24,実績!$AK$6:$AK$505,"○")&gt;0,1,0))</f>
        <v>0</v>
      </c>
      <c r="AC24" s="39" t="n">
        <f aca="false">IF(AC$4=0,0,IF(COUNTIFS(実績!$W$6:$W$505,AC$3,実績!$AI$6:$AI$505,"&lt;="&amp;$A24,実績!$AJ$6:$AJ$505,"&gt;"&amp;$A24,実績!$AK$6:$AK$505,"○")&gt;0,1,0))</f>
        <v>0</v>
      </c>
      <c r="AD24" s="39" t="n">
        <f aca="false">IF(AD$4=0,0,IF(COUNTIFS(実績!$W$6:$W$505,AD$3,実績!$AI$6:$AI$505,"&lt;="&amp;$A24,実績!$AJ$6:$AJ$505,"&gt;"&amp;$A24,実績!$AK$6:$AK$505,"○")&gt;0,1,0))</f>
        <v>0</v>
      </c>
      <c r="AE24" s="39" t="n">
        <f aca="false">IF(AE$4=0,0,IF(COUNTIFS(実績!$W$6:$W$505,AE$3,実績!$AI$6:$AI$505,"&lt;="&amp;$A24,実績!$AJ$6:$AJ$505,"&gt;"&amp;$A24,実績!$AK$6:$AK$505,"○")&gt;0,1,0))</f>
        <v>0</v>
      </c>
      <c r="AF24" s="39" t="n">
        <f aca="false">IF(AF$4=0,0,IF(COUNTIFS(実績!$W$6:$W$505,AF$3,実績!$AI$6:$AI$505,"&lt;="&amp;$A24,実績!$AJ$6:$AJ$505,"&gt;"&amp;$A24,実績!$AK$6:$AK$505,"○")&gt;0,1,0))</f>
        <v>0</v>
      </c>
      <c r="AG24" s="39" t="n">
        <f aca="false">IF(AG$4=0,0,IF(COUNTIFS(実績!$W$6:$W$505,AG$3,実績!$AI$6:$AI$505,"&lt;="&amp;$A24,実績!$AJ$6:$AJ$505,"&gt;"&amp;$A24,実績!$AK$6:$AK$505,"○")&gt;0,1,0))</f>
        <v>0</v>
      </c>
      <c r="AH24" s="39" t="n">
        <f aca="false">IF(AH$4=0,0,IF(COUNTIFS(実績!$W$6:$W$505,AH$3,実績!$AI$6:$AI$505,"&lt;="&amp;$A24,実績!$AJ$6:$AJ$505,"&gt;"&amp;$A24,実績!$AK$6:$AK$505,"○")&gt;0,1,0))</f>
        <v>0</v>
      </c>
      <c r="AI24" s="39" t="n">
        <f aca="false">IF(AI$4=0,0,IF(COUNTIFS(実績!$W$6:$W$505,AI$3,実績!$AI$6:$AI$505,"&lt;="&amp;$A24,実績!$AJ$6:$AJ$505,"&gt;"&amp;$A24,実績!$AK$6:$AK$505,"○")&gt;0,1,0))</f>
        <v>0</v>
      </c>
      <c r="AJ24" s="39" t="n">
        <f aca="false">IF(AJ$4=0,0,IF(COUNTIFS(実績!$W$6:$W$505,AJ$3,実績!$AI$6:$AI$505,"&lt;="&amp;$A24,実績!$AJ$6:$AJ$505,"&gt;"&amp;$A24,実績!$AK$6:$AK$505,"○")&gt;0,1,0))</f>
        <v>0</v>
      </c>
      <c r="AK24" s="39" t="n">
        <f aca="false">IF(AK$4=0,0,IF(COUNTIFS(実績!$W$6:$W$505,AK$3,実績!$AI$6:$AI$505,"&lt;="&amp;$A24,実績!$AJ$6:$AJ$505,"&gt;"&amp;$A24,実績!$AK$6:$AK$505,"○")&gt;0,1,0))</f>
        <v>0</v>
      </c>
      <c r="AL24" s="39" t="n">
        <f aca="false">IF(AL$4=0,0,IF(COUNTIFS(実績!$W$6:$W$505,AL$3,実績!$AI$6:$AI$505,"&lt;="&amp;$A24,実績!$AJ$6:$AJ$505,"&gt;"&amp;$A24,実績!$AK$6:$AK$505,"○")&gt;0,1,0))</f>
        <v>0</v>
      </c>
      <c r="AM24" s="39" t="n">
        <f aca="false">IF(AM$4=0,0,IF(COUNTIFS(実績!$W$6:$W$505,AM$3,実績!$AI$6:$AI$505,"&lt;="&amp;$A24,実績!$AJ$6:$AJ$505,"&gt;"&amp;$A24,実績!$AK$6:$AK$505,"○")&gt;0,1,0))</f>
        <v>0</v>
      </c>
      <c r="AN24" s="39" t="n">
        <f aca="false">IF(AN$4=0,0,IF(COUNTIFS(実績!$W$6:$W$505,AN$3,実績!$AI$6:$AI$505,"&lt;="&amp;$A24,実績!$AJ$6:$AJ$505,"&gt;"&amp;$A24,実績!$AK$6:$AK$505,"○")&gt;0,1,0))</f>
        <v>0</v>
      </c>
      <c r="AO24" s="39" t="n">
        <f aca="false">IF(AO$4=0,0,IF(COUNTIFS(実績!$W$6:$W$505,AO$3,実績!$AI$6:$AI$505,"&lt;="&amp;$A24,実績!$AJ$6:$AJ$505,"&gt;"&amp;$A24,実績!$AK$6:$AK$505,"○")&gt;0,1,0))</f>
        <v>0</v>
      </c>
      <c r="AP24" s="39" t="n">
        <f aca="false">IF(AP$4=0,0,IF(COUNTIFS(実績!$W$6:$W$505,AP$3,実績!$AI$6:$AI$505,"&lt;="&amp;$A24,実績!$AJ$6:$AJ$505,"&gt;"&amp;$A24,実績!$AK$6:$AK$505,"○")&gt;0,1,0))</f>
        <v>0</v>
      </c>
      <c r="AQ24" s="39" t="n">
        <f aca="false">IF(AQ$4=0,0,IF(COUNTIFS(実績!$W$6:$W$505,AQ$3,実績!$AI$6:$AI$505,"&lt;="&amp;$A24,実績!$AJ$6:$AJ$505,"&gt;"&amp;$A24,実績!$AK$6:$AK$505,"○")&gt;0,1,0))</f>
        <v>0</v>
      </c>
      <c r="AR24" s="39" t="n">
        <f aca="false">IF(AR$4=0,0,IF(COUNTIFS(実績!$W$6:$W$505,AR$3,実績!$AI$6:$AI$505,"&lt;="&amp;$A24,実績!$AJ$6:$AJ$505,"&gt;"&amp;$A24,実績!$AK$6:$AK$505,"○")&gt;0,1,0))</f>
        <v>0</v>
      </c>
      <c r="AS24" s="39" t="n">
        <f aca="false">IF(AS$4=0,0,IF(COUNTIFS(実績!$W$6:$W$505,AS$3,実績!$AI$6:$AI$505,"&lt;="&amp;$A24,実績!$AJ$6:$AJ$505,"&gt;"&amp;$A24,実績!$AK$6:$AK$505,"○")&gt;0,1,0))</f>
        <v>0</v>
      </c>
      <c r="AT24" s="39" t="n">
        <f aca="false">IF(AT$4=0,0,IF(COUNTIFS(実績!$W$6:$W$505,AT$3,実績!$AI$6:$AI$505,"&lt;="&amp;$A24,実績!$AJ$6:$AJ$505,"&gt;"&amp;$A24,実績!$AK$6:$AK$505,"○")&gt;0,1,0))</f>
        <v>0</v>
      </c>
      <c r="AU24" s="39" t="n">
        <f aca="false">IF(AU$4=0,0,IF(COUNTIFS(実績!$W$6:$W$505,AU$3,実績!$AI$6:$AI$505,"&lt;="&amp;$A24,実績!$AJ$6:$AJ$505,"&gt;"&amp;$A24,実績!$AK$6:$AK$505,"○")&gt;0,1,0))</f>
        <v>0</v>
      </c>
      <c r="AV24" s="39" t="n">
        <f aca="false">IF(AV$4=0,0,IF(COUNTIFS(実績!$W$6:$W$505,AV$3,実績!$AI$6:$AI$505,"&lt;="&amp;$A24,実績!$AJ$6:$AJ$505,"&gt;"&amp;$A24,実績!$AK$6:$AK$505,"○")&gt;0,1,0))</f>
        <v>0</v>
      </c>
      <c r="AW24" s="39" t="n">
        <f aca="false">IF(AW$4=0,0,IF(COUNTIFS(実績!$W$6:$W$505,AW$3,実績!$AI$6:$AI$505,"&lt;="&amp;$A24,実績!$AJ$6:$AJ$505,"&gt;"&amp;$A24,実績!$AK$6:$AK$505,"○")&gt;0,1,0))</f>
        <v>0</v>
      </c>
      <c r="AX24" s="39" t="n">
        <f aca="false">IF(AX$4=0,0,IF(COUNTIFS(実績!$W$6:$W$505,AX$3,実績!$AI$6:$AI$505,"&lt;="&amp;$A24,実績!$AJ$6:$AJ$505,"&gt;"&amp;$A24,実績!$AK$6:$AK$505,"○")&gt;0,1,0))</f>
        <v>0</v>
      </c>
      <c r="AY24" s="39" t="n">
        <f aca="false">IF(AY$4=0,0,IF(COUNTIFS(実績!$W$6:$W$505,AY$3,実績!$AI$6:$AI$505,"&lt;="&amp;$A24,実績!$AJ$6:$AJ$505,"&gt;"&amp;$A24,実績!$AK$6:$AK$505,"○")&gt;0,1,0))</f>
        <v>0</v>
      </c>
      <c r="AZ24" s="39" t="n">
        <f aca="false">IF(AZ$4=0,0,IF(COUNTIFS(実績!$W$6:$W$505,AZ$3,実績!$AI$6:$AI$505,"&lt;="&amp;$A24,実績!$AJ$6:$AJ$505,"&gt;"&amp;$A24,実績!$AK$6:$AK$505,"○")&gt;0,1,0))</f>
        <v>0</v>
      </c>
      <c r="BA24" s="39" t="n">
        <f aca="false">IF(BA$4=0,0,IF(COUNTIFS(実績!$W$6:$W$505,BA$3,実績!$AI$6:$AI$505,"&lt;="&amp;$A24,実績!$AJ$6:$AJ$505,"&gt;"&amp;$A24,実績!$AK$6:$AK$505,"○")&gt;0,1,0))</f>
        <v>0</v>
      </c>
      <c r="BB24" s="39" t="n">
        <f aca="false">IF(BB$4=0,0,IF(COUNTIFS(実績!$W$6:$W$505,BB$3,実績!$AI$6:$AI$505,"&lt;="&amp;$A24,実績!$AJ$6:$AJ$505,"&gt;"&amp;$A24,実績!$AK$6:$AK$505,"○")&gt;0,1,0))</f>
        <v>0</v>
      </c>
      <c r="BC24" s="39" t="n">
        <f aca="false">IF(BC$4=0,0,IF(COUNTIFS(実績!$W$6:$W$505,BC$3,実績!$AI$6:$AI$505,"&lt;="&amp;$A24,実績!$AJ$6:$AJ$505,"&gt;"&amp;$A24,実績!$AK$6:$AK$505,"○")&gt;0,1,0))</f>
        <v>0</v>
      </c>
      <c r="BD24" s="39" t="n">
        <f aca="false">IF(BD$4=0,0,IF(COUNTIFS(実績!$W$6:$W$505,BD$3,実績!$AI$6:$AI$505,"&lt;="&amp;$A24,実績!$AJ$6:$AJ$505,"&gt;"&amp;$A24,実績!$AK$6:$AK$505,"○")&gt;0,1,0))</f>
        <v>0</v>
      </c>
      <c r="BE24" s="39" t="n">
        <f aca="false">IF(BE$4=0,0,IF(COUNTIFS(実績!$W$6:$W$505,BE$3,実績!$AI$6:$AI$505,"&lt;="&amp;$A24,実績!$AJ$6:$AJ$505,"&gt;"&amp;$A24,実績!$AK$6:$AK$505,"○")&gt;0,1,0))</f>
        <v>0</v>
      </c>
      <c r="BF24" s="39" t="n">
        <f aca="false">IF(BF$4=0,0,IF(COUNTIFS(実績!$W$6:$W$505,BF$3,実績!$AI$6:$AI$505,"&lt;="&amp;$A24,実績!$AJ$6:$AJ$505,"&gt;"&amp;$A24,実績!$AK$6:$AK$505,"○")&gt;0,1,0))</f>
        <v>0</v>
      </c>
      <c r="BG24" s="39" t="n">
        <f aca="false">IF(BG$4=0,0,IF(COUNTIFS(実績!$W$6:$W$505,BG$3,実績!$AI$6:$AI$505,"&lt;="&amp;$A24,実績!$AJ$6:$AJ$505,"&gt;"&amp;$A24,実績!$AK$6:$AK$505,"○")&gt;0,1,0))</f>
        <v>0</v>
      </c>
      <c r="BH24" s="39" t="n">
        <f aca="false">IF(BH$4=0,0,IF(COUNTIFS(実績!$W$6:$W$505,BH$3,実績!$AI$6:$AI$505,"&lt;="&amp;$A24,実績!$AJ$6:$AJ$505,"&gt;"&amp;$A24,実績!$AK$6:$AK$505,"○")&gt;0,1,0))</f>
        <v>0</v>
      </c>
      <c r="BI24" s="39" t="n">
        <f aca="false">IF(BI$4=0,0,IF(COUNTIFS(実績!$W$6:$W$505,BI$3,実績!$AI$6:$AI$505,"&lt;="&amp;$A24,実績!$AJ$6:$AJ$505,"&gt;"&amp;$A24,実績!$AK$6:$AK$505,"○")&gt;0,1,0))</f>
        <v>0</v>
      </c>
      <c r="BJ24" s="39" t="n">
        <f aca="false">IF(BJ$4=0,0,IF(COUNTIFS(実績!$W$6:$W$505,BJ$3,実績!$AI$6:$AI$505,"&lt;="&amp;$A24,実績!$AJ$6:$AJ$505,"&gt;"&amp;$A24,実績!$AK$6:$AK$505,"○")&gt;0,1,0))</f>
        <v>0</v>
      </c>
      <c r="BK24" s="39" t="n">
        <f aca="false">IF(BK$4=0,0,IF(COUNTIFS(実績!$W$6:$W$505,BK$3,実績!$AI$6:$AI$505,"&lt;="&amp;$A24,実績!$AJ$6:$AJ$505,"&gt;"&amp;$A24,実績!$AK$6:$AK$505,"○")&gt;0,1,0))</f>
        <v>0</v>
      </c>
      <c r="BL24" s="39" t="n">
        <f aca="false">IF(BL$4=0,0,IF(COUNTIFS(実績!$W$6:$W$505,BL$3,実績!$AI$6:$AI$505,"&lt;="&amp;$A24,実績!$AJ$6:$AJ$505,"&gt;"&amp;$A24,実績!$AK$6:$AK$505,"○")&gt;0,1,0))</f>
        <v>0</v>
      </c>
      <c r="BM24" s="39" t="n">
        <f aca="false">IF(BM$4=0,0,IF(COUNTIFS(実績!$W$6:$W$505,BM$3,実績!$AI$6:$AI$505,"&lt;="&amp;$A24,実績!$AJ$6:$AJ$505,"&gt;"&amp;$A24,実績!$AK$6:$AK$505,"○")&gt;0,1,0))</f>
        <v>0</v>
      </c>
      <c r="BN24" s="39" t="n">
        <f aca="false">IF(BN$4=0,0,IF(COUNTIFS(実績!$W$6:$W$505,BN$3,実績!$AI$6:$AI$505,"&lt;="&amp;$A24,実績!$AJ$6:$AJ$505,"&gt;"&amp;$A24,実績!$AK$6:$AK$505,"○")&gt;0,1,0))</f>
        <v>0</v>
      </c>
      <c r="BO24" s="39" t="n">
        <f aca="false">IF(BO$4=0,0,IF(COUNTIFS(実績!$W$6:$W$505,BO$3,実績!$AI$6:$AI$505,"&lt;="&amp;$A24,実績!$AJ$6:$AJ$505,"&gt;"&amp;$A24,実績!$AK$6:$AK$505,"○")&gt;0,1,0))</f>
        <v>0</v>
      </c>
      <c r="BP24" s="39" t="n">
        <f aca="false">IF(BP$4=0,0,IF(COUNTIFS(実績!$W$6:$W$505,BP$3,実績!$AI$6:$AI$505,"&lt;="&amp;$A24,実績!$AJ$6:$AJ$505,"&gt;"&amp;$A24,実績!$AK$6:$AK$505,"○")&gt;0,1,0))</f>
        <v>0</v>
      </c>
      <c r="BQ24" s="39" t="n">
        <f aca="false">IF(BQ$4=0,0,IF(COUNTIFS(実績!$W$6:$W$505,BQ$3,実績!$AI$6:$AI$505,"&lt;="&amp;$A24,実績!$AJ$6:$AJ$505,"&gt;"&amp;$A24,実績!$AK$6:$AK$505,"○")&gt;0,1,0))</f>
        <v>0</v>
      </c>
      <c r="BR24" s="39" t="n">
        <f aca="false">IF(BR$4=0,0,IF(COUNTIFS(実績!$W$6:$W$505,BR$3,実績!$AI$6:$AI$505,"&lt;="&amp;$A24,実績!$AJ$6:$AJ$505,"&gt;"&amp;$A24,実績!$AK$6:$AK$505,"○")&gt;0,1,0))</f>
        <v>0</v>
      </c>
      <c r="BS24" s="39" t="n">
        <f aca="false">IF(BS$4=0,0,IF(COUNTIFS(実績!$W$6:$W$505,BS$3,実績!$AI$6:$AI$505,"&lt;="&amp;$A24,実績!$AJ$6:$AJ$505,"&gt;"&amp;$A24,実績!$AK$6:$AK$505,"○")&gt;0,1,0))</f>
        <v>0</v>
      </c>
      <c r="BT24" s="39" t="n">
        <f aca="false">IF(BT$4=0,0,IF(COUNTIFS(実績!$W$6:$W$505,BT$3,実績!$AI$6:$AI$505,"&lt;="&amp;$A24,実績!$AJ$6:$AJ$505,"&gt;"&amp;$A24,実績!$AK$6:$AK$505,"○")&gt;0,1,0))</f>
        <v>0</v>
      </c>
      <c r="BU24" s="39" t="n">
        <f aca="false">IF(BU$4=0,0,IF(COUNTIFS(実績!$W$6:$W$505,BU$3,実績!$AI$6:$AI$505,"&lt;="&amp;$A24,実績!$AJ$6:$AJ$505,"&gt;"&amp;$A24,実績!$AK$6:$AK$505,"○")&gt;0,1,0))</f>
        <v>0</v>
      </c>
      <c r="BV24" s="39" t="n">
        <f aca="false">IF(BV$4=0,0,IF(COUNTIFS(実績!$W$6:$W$505,BV$3,実績!$AI$6:$AI$505,"&lt;="&amp;$A24,実績!$AJ$6:$AJ$505,"&gt;"&amp;$A24,実績!$AK$6:$AK$505,"○")&gt;0,1,0))</f>
        <v>0</v>
      </c>
      <c r="BW24" s="39" t="n">
        <f aca="false">IF(BW$4=0,0,IF(COUNTIFS(実績!$W$6:$W$505,BW$3,実績!$AI$6:$AI$505,"&lt;="&amp;$A24,実績!$AJ$6:$AJ$505,"&gt;"&amp;$A24,実績!$AK$6:$AK$505,"○")&gt;0,1,0))</f>
        <v>0</v>
      </c>
      <c r="BX24" s="39" t="n">
        <f aca="false">IF(BX$4=0,0,IF(COUNTIFS(実績!$W$6:$W$505,BX$3,実績!$AI$6:$AI$505,"&lt;="&amp;$A24,実績!$AJ$6:$AJ$505,"&gt;"&amp;$A24,実績!$AK$6:$AK$505,"○")&gt;0,1,0))</f>
        <v>0</v>
      </c>
      <c r="BY24" s="39" t="n">
        <f aca="false">IF(BY$4=0,0,IF(COUNTIFS(実績!$W$6:$W$505,BY$3,実績!$AI$6:$AI$505,"&lt;="&amp;$A24,実績!$AJ$6:$AJ$505,"&gt;"&amp;$A24,実績!$AK$6:$AK$505,"○")&gt;0,1,0))</f>
        <v>0</v>
      </c>
      <c r="BZ24" s="39" t="n">
        <f aca="false">IF(BZ$4=0,0,IF(COUNTIFS(実績!$W$6:$W$505,BZ$3,実績!$AI$6:$AI$505,"&lt;="&amp;$A24,実績!$AJ$6:$AJ$505,"&gt;"&amp;$A24,実績!$AK$6:$AK$505,"○")&gt;0,1,0))</f>
        <v>0</v>
      </c>
      <c r="CA24" s="39" t="n">
        <f aca="false">IF(CA$4=0,0,IF(COUNTIFS(実績!$W$6:$W$505,CA$3,実績!$AI$6:$AI$505,"&lt;="&amp;$A24,実績!$AJ$6:$AJ$505,"&gt;"&amp;$A24,実績!$AK$6:$AK$505,"○")&gt;0,1,0))</f>
        <v>0</v>
      </c>
      <c r="CB24" s="39" t="n">
        <f aca="false">IF(CB$4=0,0,IF(COUNTIFS(実績!$W$6:$W$505,CB$3,実績!$AI$6:$AI$505,"&lt;="&amp;$A24,実績!$AJ$6:$AJ$505,"&gt;"&amp;$A24,実績!$AK$6:$AK$505,"○")&gt;0,1,0))</f>
        <v>0</v>
      </c>
      <c r="CC24" s="39" t="n">
        <f aca="false">IF(CC$4=0,0,IF(COUNTIFS(実績!$W$6:$W$505,CC$3,実績!$AI$6:$AI$505,"&lt;="&amp;$A24,実績!$AJ$6:$AJ$505,"&gt;"&amp;$A24,実績!$AK$6:$AK$505,"○")&gt;0,1,0))</f>
        <v>0</v>
      </c>
      <c r="CD24" s="39" t="n">
        <f aca="false">IF(CD$4=0,0,IF(COUNTIFS(実績!$W$6:$W$505,CD$3,実績!$AI$6:$AI$505,"&lt;="&amp;$A24,実績!$AJ$6:$AJ$505,"&gt;"&amp;$A24,実績!$AK$6:$AK$505,"○")&gt;0,1,0))</f>
        <v>0</v>
      </c>
      <c r="CE24" s="39" t="n">
        <f aca="false">IF(CE$4=0,0,IF(COUNTIFS(実績!$W$6:$W$505,CE$3,実績!$AI$6:$AI$505,"&lt;="&amp;$A24,実績!$AJ$6:$AJ$505,"&gt;"&amp;$A24,実績!$AK$6:$AK$505,"○")&gt;0,1,0))</f>
        <v>0</v>
      </c>
      <c r="CF24" s="39" t="n">
        <f aca="false">IF(CF$4=0,0,IF(COUNTIFS(実績!$W$6:$W$505,CF$3,実績!$AI$6:$AI$505,"&lt;="&amp;$A24,実績!$AJ$6:$AJ$505,"&gt;"&amp;$A24,実績!$AK$6:$AK$505,"○")&gt;0,1,0))</f>
        <v>0</v>
      </c>
      <c r="CG24" s="39" t="n">
        <f aca="false">IF(CG$4=0,0,IF(COUNTIFS(実績!$W$6:$W$505,CG$3,実績!$AI$6:$AI$505,"&lt;="&amp;$A24,実績!$AJ$6:$AJ$505,"&gt;"&amp;$A24,実績!$AK$6:$AK$505,"○")&gt;0,1,0))</f>
        <v>0</v>
      </c>
      <c r="CH24" s="39" t="n">
        <f aca="false">IF(CH$4=0,0,IF(COUNTIFS(実績!$W$6:$W$505,CH$3,実績!$AI$6:$AI$505,"&lt;="&amp;$A24,実績!$AJ$6:$AJ$505,"&gt;"&amp;$A24,実績!$AK$6:$AK$505,"○")&gt;0,1,0))</f>
        <v>0</v>
      </c>
      <c r="CI24" s="39" t="n">
        <f aca="false">IF(CI$4=0,0,IF(COUNTIFS(実績!$W$6:$W$505,CI$3,実績!$AI$6:$AI$505,"&lt;="&amp;$A24,実績!$AJ$6:$AJ$505,"&gt;"&amp;$A24,実績!$AK$6:$AK$505,"○")&gt;0,1,0))</f>
        <v>0</v>
      </c>
      <c r="CJ24" s="39" t="n">
        <f aca="false">IF(CJ$4=0,0,IF(COUNTIFS(実績!$W$6:$W$505,CJ$3,実績!$AI$6:$AI$505,"&lt;="&amp;$A24,実績!$AJ$6:$AJ$505,"&gt;"&amp;$A24,実績!$AK$6:$AK$505,"○")&gt;0,1,0))</f>
        <v>0</v>
      </c>
      <c r="CK24" s="39" t="n">
        <f aca="false">IF(CK$4=0,0,IF(COUNTIFS(実績!$W$6:$W$505,CK$3,実績!$AI$6:$AI$505,"&lt;="&amp;$A24,実績!$AJ$6:$AJ$505,"&gt;"&amp;$A24,実績!$AK$6:$AK$505,"○")&gt;0,1,0))</f>
        <v>0</v>
      </c>
      <c r="CL24" s="39" t="n">
        <f aca="false">IF(CL$4=0,0,IF(COUNTIFS(実績!$W$6:$W$505,CL$3,実績!$AI$6:$AI$505,"&lt;="&amp;$A24,実績!$AJ$6:$AJ$505,"&gt;"&amp;$A24,実績!$AK$6:$AK$505,"○")&gt;0,1,0))</f>
        <v>0</v>
      </c>
      <c r="CM24" s="39" t="n">
        <f aca="false">IF(CM$4=0,0,IF(COUNTIFS(実績!$W$6:$W$505,CM$3,実績!$AI$6:$AI$505,"&lt;="&amp;$A24,実績!$AJ$6:$AJ$505,"&gt;"&amp;$A24,実績!$AK$6:$AK$505,"○")&gt;0,1,0))</f>
        <v>0</v>
      </c>
      <c r="CN24" s="39" t="n">
        <f aca="false">IF(CN$4=0,0,IF(COUNTIFS(実績!$W$6:$W$505,CN$3,実績!$AI$6:$AI$505,"&lt;="&amp;$A24,実績!$AJ$6:$AJ$505,"&gt;"&amp;$A24,実績!$AK$6:$AK$505,"○")&gt;0,1,0))</f>
        <v>0</v>
      </c>
      <c r="CO24" s="39" t="n">
        <f aca="false">IF(CO$4=0,0,IF(COUNTIFS(実績!$W$6:$W$505,CO$3,実績!$AI$6:$AI$505,"&lt;="&amp;$A24,実績!$AJ$6:$AJ$505,"&gt;"&amp;$A24,実績!$AK$6:$AK$505,"○")&gt;0,1,0))</f>
        <v>0</v>
      </c>
      <c r="CP24" s="39" t="n">
        <f aca="false">IF(CP$4=0,0,IF(COUNTIFS(実績!$W$6:$W$505,CP$3,実績!$AI$6:$AI$505,"&lt;="&amp;$A24,実績!$AJ$6:$AJ$505,"&gt;"&amp;$A24,実績!$AK$6:$AK$505,"○")&gt;0,1,0))</f>
        <v>0</v>
      </c>
      <c r="CQ24" s="39" t="n">
        <f aca="false">IF(CQ$4=0,0,IF(COUNTIFS(実績!$W$6:$W$505,CQ$3,実績!$AI$6:$AI$505,"&lt;="&amp;$A24,実績!$AJ$6:$AJ$505,"&gt;"&amp;$A24,実績!$AK$6:$AK$505,"○")&gt;0,1,0))</f>
        <v>0</v>
      </c>
      <c r="CR24" s="39" t="n">
        <f aca="false">IF(CR$4=0,0,IF(COUNTIFS(実績!$W$6:$W$505,CR$3,実績!$AI$6:$AI$505,"&lt;="&amp;$A24,実績!$AJ$6:$AJ$505,"&gt;"&amp;$A24,実績!$AK$6:$AK$505,"○")&gt;0,1,0))</f>
        <v>0</v>
      </c>
      <c r="CS24" s="39" t="n">
        <f aca="false">IF(CS$4=0,0,IF(COUNTIFS(実績!$W$6:$W$505,CS$3,実績!$AI$6:$AI$505,"&lt;="&amp;$A24,実績!$AJ$6:$AJ$505,"&gt;"&amp;$A24,実績!$AK$6:$AK$505,"○")&gt;0,1,0))</f>
        <v>0</v>
      </c>
      <c r="CT24" s="39" t="n">
        <f aca="false">IF(CT$4=0,0,IF(COUNTIFS(実績!$W$6:$W$505,CT$3,実績!$AI$6:$AI$505,"&lt;="&amp;$A24,実績!$AJ$6:$AJ$505,"&gt;"&amp;$A24,実績!$AK$6:$AK$505,"○")&gt;0,1,0))</f>
        <v>0</v>
      </c>
      <c r="CU24" s="39" t="n">
        <f aca="false">IF(CU$4=0,0,IF(COUNTIFS(実績!$W$6:$W$505,CU$3,実績!$AI$6:$AI$505,"&lt;="&amp;$A24,実績!$AJ$6:$AJ$505,"&gt;"&amp;$A24,実績!$AK$6:$AK$505,"○")&gt;0,1,0))</f>
        <v>0</v>
      </c>
      <c r="CV24" s="39" t="n">
        <f aca="false">IF(CV$4=0,0,IF(COUNTIFS(実績!$W$6:$W$505,CV$3,実績!$AI$6:$AI$505,"&lt;="&amp;$A24,実績!$AJ$6:$AJ$505,"&gt;"&amp;$A24,実績!$AK$6:$AK$505,"○")&gt;0,1,0))</f>
        <v>0</v>
      </c>
      <c r="CW24" s="39" t="n">
        <f aca="false">IF(CW$4=0,0,IF(COUNTIFS(実績!$W$6:$W$505,CW$3,実績!$AI$6:$AI$505,"&lt;="&amp;$A24,実績!$AJ$6:$AJ$505,"&gt;"&amp;$A24,実績!$AK$6:$AK$505,"○")&gt;0,1,0))</f>
        <v>0</v>
      </c>
      <c r="CX24" s="39" t="n">
        <f aca="false">IF(CX$4=0,0,IF(COUNTIFS(実績!$W$6:$W$505,CX$3,実績!$AI$6:$AI$505,"&lt;="&amp;$A24,実績!$AJ$6:$AJ$505,"&gt;"&amp;$A24,実績!$AK$6:$AK$505,"○")&gt;0,1,0))</f>
        <v>0</v>
      </c>
      <c r="CY24" s="39" t="n">
        <f aca="false">IF(CY$4=0,0,IF(COUNTIFS(実績!$W$6:$W$505,CY$3,実績!$AI$6:$AI$505,"&lt;="&amp;$A24,実績!$AJ$6:$AJ$505,"&gt;"&amp;$A24,実績!$AK$6:$AK$505,"○")&gt;0,1,0))</f>
        <v>0</v>
      </c>
      <c r="CZ24" s="39" t="n">
        <f aca="false">IF(CZ$4=0,0,IF(COUNTIFS(実績!$W$6:$W$505,CZ$3,実績!$AI$6:$AI$505,"&lt;="&amp;$A24,実績!$AJ$6:$AJ$505,"&gt;"&amp;$A24,実績!$AK$6:$AK$505,"○")&gt;0,1,0))</f>
        <v>0</v>
      </c>
      <c r="DA24" s="39" t="n">
        <f aca="false">IF(DA$4=0,0,IF(COUNTIFS(実績!$W$6:$W$505,DA$3,実績!$AI$6:$AI$505,"&lt;="&amp;$A24,実績!$AJ$6:$AJ$505,"&gt;"&amp;$A24,実績!$AK$6:$AK$505,"○")&gt;0,1,0))</f>
        <v>0</v>
      </c>
      <c r="DB24" s="39" t="n">
        <f aca="false">IF(DB$4=0,0,IF(COUNTIFS(実績!$W$6:$W$505,DB$3,実績!$AI$6:$AI$505,"&lt;="&amp;$A24,実績!$AJ$6:$AJ$505,"&gt;"&amp;$A24,実績!$AK$6:$AK$505,"○")&gt;0,1,0))</f>
        <v>0</v>
      </c>
      <c r="DC24" s="39" t="n">
        <f aca="false">IF(DC$4=0,0,IF(COUNTIFS(実績!$W$6:$W$505,DC$3,実績!$AI$6:$AI$505,"&lt;="&amp;$A24,実績!$AJ$6:$AJ$505,"&gt;"&amp;$A24,実績!$AK$6:$AK$505,"○")&gt;0,1,0))</f>
        <v>0</v>
      </c>
      <c r="DD24" s="39" t="n">
        <f aca="false">IF(DD$4=0,0,IF(COUNTIFS(実績!$W$6:$W$505,DD$3,実績!$AI$6:$AI$505,"&lt;="&amp;$A24,実績!$AJ$6:$AJ$505,"&gt;"&amp;$A24,実績!$AK$6:$AK$505,"○")&gt;0,1,0))</f>
        <v>0</v>
      </c>
      <c r="DE24" s="39" t="n">
        <f aca="false">IF(DE$4=0,0,IF(COUNTIFS(実績!$W$6:$W$505,DE$3,実績!$AI$6:$AI$505,"&lt;="&amp;$A24,実績!$AJ$6:$AJ$505,"&gt;"&amp;$A24,実績!$AK$6:$AK$505,"○")&gt;0,1,0))</f>
        <v>0</v>
      </c>
      <c r="DF24" s="39" t="n">
        <f aca="false">IF(DF$4=0,0,IF(COUNTIFS(実績!$W$6:$W$505,DF$3,実績!$AI$6:$AI$505,"&lt;="&amp;$A24,実績!$AJ$6:$AJ$505,"&gt;"&amp;$A24,実績!$AK$6:$AK$505,"○")&gt;0,1,0))</f>
        <v>0</v>
      </c>
      <c r="DG24" s="39" t="n">
        <f aca="false">IF(DG$4=0,0,IF(COUNTIFS(実績!$W$6:$W$505,DG$3,実績!$AI$6:$AI$505,"&lt;="&amp;$A24,実績!$AJ$6:$AJ$505,"&gt;"&amp;$A24,実績!$AK$6:$AK$505,"○")&gt;0,1,0))</f>
        <v>0</v>
      </c>
      <c r="DH24" s="39" t="n">
        <f aca="false">IF(DH$4=0,0,IF(COUNTIFS(実績!$W$6:$W$505,DH$3,実績!$AI$6:$AI$505,"&lt;="&amp;$A24,実績!$AJ$6:$AJ$505,"&gt;"&amp;$A24,実績!$AK$6:$AK$505,"○")&gt;0,1,0))</f>
        <v>0</v>
      </c>
      <c r="DI24" s="39" t="n">
        <f aca="false">IF(DI$4=0,0,IF(COUNTIFS(実績!$W$6:$W$505,DI$3,実績!$AI$6:$AI$505,"&lt;="&amp;$A24,実績!$AJ$6:$AJ$505,"&gt;"&amp;$A24,実績!$AK$6:$AK$505,"○")&gt;0,1,0))</f>
        <v>0</v>
      </c>
      <c r="DJ24" s="39" t="n">
        <f aca="false">IF(DJ$4=0,0,IF(COUNTIFS(実績!$W$6:$W$505,DJ$3,実績!$AI$6:$AI$505,"&lt;="&amp;$A24,実績!$AJ$6:$AJ$505,"&gt;"&amp;$A24,実績!$AK$6:$AK$505,"○")&gt;0,1,0))</f>
        <v>0</v>
      </c>
      <c r="DK24" s="39" t="n">
        <f aca="false">IF(DK$4=0,0,IF(COUNTIFS(実績!$W$6:$W$505,DK$3,実績!$AI$6:$AI$505,"&lt;="&amp;$A24,実績!$AJ$6:$AJ$505,"&gt;"&amp;$A24,実績!$AK$6:$AK$505,"○")&gt;0,1,0))</f>
        <v>0</v>
      </c>
      <c r="DL24" s="39" t="n">
        <f aca="false">IF(DL$4=0,0,IF(COUNTIFS(実績!$W$6:$W$505,DL$3,実績!$AI$6:$AI$505,"&lt;="&amp;$A24,実績!$AJ$6:$AJ$505,"&gt;"&amp;$A24,実績!$AK$6:$AK$505,"○")&gt;0,1,0))</f>
        <v>0</v>
      </c>
      <c r="DM24" s="39" t="n">
        <f aca="false">IF(DM$4=0,0,IF(COUNTIFS(実績!$W$6:$W$505,DM$3,実績!$AI$6:$AI$505,"&lt;="&amp;$A24,実績!$AJ$6:$AJ$505,"&gt;"&amp;$A24,実績!$AK$6:$AK$505,"○")&gt;0,1,0))</f>
        <v>0</v>
      </c>
      <c r="DN24" s="39" t="n">
        <f aca="false">IF(DN$4=0,0,IF(COUNTIFS(実績!$W$6:$W$505,DN$3,実績!$AI$6:$AI$505,"&lt;="&amp;$A24,実績!$AJ$6:$AJ$505,"&gt;"&amp;$A24,実績!$AK$6:$AK$505,"○")&gt;0,1,0))</f>
        <v>0</v>
      </c>
      <c r="DO24" s="39" t="n">
        <f aca="false">IF(DO$4=0,0,IF(COUNTIFS(実績!$W$6:$W$505,DO$3,実績!$AI$6:$AI$505,"&lt;="&amp;$A24,実績!$AJ$6:$AJ$505,"&gt;"&amp;$A24,実績!$AK$6:$AK$505,"○")&gt;0,1,0))</f>
        <v>0</v>
      </c>
      <c r="DP24" s="39" t="n">
        <f aca="false">IF(DP$4=0,0,IF(COUNTIFS(実績!$W$6:$W$505,DP$3,実績!$AI$6:$AI$505,"&lt;="&amp;$A24,実績!$AJ$6:$AJ$505,"&gt;"&amp;$A24,実績!$AK$6:$AK$505,"○")&gt;0,1,0))</f>
        <v>0</v>
      </c>
      <c r="DQ24" s="39" t="n">
        <f aca="false">IF(DQ$4=0,0,IF(COUNTIFS(実績!$W$6:$W$505,DQ$3,実績!$AI$6:$AI$505,"&lt;="&amp;$A24,実績!$AJ$6:$AJ$505,"&gt;"&amp;$A24,実績!$AK$6:$AK$505,"○")&gt;0,1,0))</f>
        <v>0</v>
      </c>
      <c r="DR24" s="39" t="n">
        <f aca="false">IF(DR$4=0,0,IF(COUNTIFS(実績!$W$6:$W$505,DR$3,実績!$AI$6:$AI$505,"&lt;="&amp;$A24,実績!$AJ$6:$AJ$505,"&gt;"&amp;$A24,実績!$AK$6:$AK$505,"○")&gt;0,1,0))</f>
        <v>0</v>
      </c>
      <c r="DS24" s="39" t="n">
        <f aca="false">SUM(C24:DR24)</f>
        <v>0</v>
      </c>
      <c r="DT24" s="39" t="n">
        <f aca="false">SUMPRODUCT((実績!$C$6:$C$505="○")*ISNUMBER(実績!$AM$6:$AM$505)*(実績!$AM$6:$AM$505&lt;=$A24)*(実績!$AN$6:$AN$505&gt;$A24))</f>
        <v>0</v>
      </c>
      <c r="DU24" s="39" t="n">
        <f aca="false">SUMIF($C$2:$DR$2,"製鉄曳船",C24:DR24)</f>
        <v>0</v>
      </c>
      <c r="DV24" s="39" t="n">
        <f aca="false">SUMIF($C$2:$DR$2,"西日本海運",C24:DR24)</f>
        <v>0</v>
      </c>
    </row>
    <row r="25" customFormat="false" ht="15" hidden="false" customHeight="false" outlineLevel="0" collapsed="false">
      <c r="A25" s="0" t="n">
        <v>95</v>
      </c>
      <c r="B25" s="38" t="n">
        <f aca="false">A25/1440</f>
        <v>0.0659722222222222</v>
      </c>
      <c r="C25" s="39" t="n">
        <f aca="false">IF(C$4=0,0,IF(COUNTIFS(実績!$W$6:$W$505,C$3,実績!$AI$6:$AI$505,"&lt;="&amp;$A25,実績!$AJ$6:$AJ$505,"&gt;"&amp;$A25,実績!$AK$6:$AK$505,"○")&gt;0,1,0))</f>
        <v>0</v>
      </c>
      <c r="D25" s="39" t="n">
        <f aca="false">IF(D$4=0,0,IF(COUNTIFS(実績!$W$6:$W$505,D$3,実績!$AI$6:$AI$505,"&lt;="&amp;$A25,実績!$AJ$6:$AJ$505,"&gt;"&amp;$A25,実績!$AK$6:$AK$505,"○")&gt;0,1,0))</f>
        <v>0</v>
      </c>
      <c r="E25" s="39" t="n">
        <f aca="false">IF(E$4=0,0,IF(COUNTIFS(実績!$W$6:$W$505,E$3,実績!$AI$6:$AI$505,"&lt;="&amp;$A25,実績!$AJ$6:$AJ$505,"&gt;"&amp;$A25,実績!$AK$6:$AK$505,"○")&gt;0,1,0))</f>
        <v>0</v>
      </c>
      <c r="F25" s="39" t="n">
        <f aca="false">IF(F$4=0,0,IF(COUNTIFS(実績!$W$6:$W$505,F$3,実績!$AI$6:$AI$505,"&lt;="&amp;$A25,実績!$AJ$6:$AJ$505,"&gt;"&amp;$A25,実績!$AK$6:$AK$505,"○")&gt;0,1,0))</f>
        <v>0</v>
      </c>
      <c r="G25" s="39" t="n">
        <f aca="false">IF(G$4=0,0,IF(COUNTIFS(実績!$W$6:$W$505,G$3,実績!$AI$6:$AI$505,"&lt;="&amp;$A25,実績!$AJ$6:$AJ$505,"&gt;"&amp;$A25,実績!$AK$6:$AK$505,"○")&gt;0,1,0))</f>
        <v>0</v>
      </c>
      <c r="H25" s="39" t="n">
        <f aca="false">IF(H$4=0,0,IF(COUNTIFS(実績!$W$6:$W$505,H$3,実績!$AI$6:$AI$505,"&lt;="&amp;$A25,実績!$AJ$6:$AJ$505,"&gt;"&amp;$A25,実績!$AK$6:$AK$505,"○")&gt;0,1,0))</f>
        <v>0</v>
      </c>
      <c r="I25" s="39" t="n">
        <f aca="false">IF(I$4=0,0,IF(COUNTIFS(実績!$W$6:$W$505,I$3,実績!$AI$6:$AI$505,"&lt;="&amp;$A25,実績!$AJ$6:$AJ$505,"&gt;"&amp;$A25,実績!$AK$6:$AK$505,"○")&gt;0,1,0))</f>
        <v>0</v>
      </c>
      <c r="J25" s="39" t="n">
        <f aca="false">IF(J$4=0,0,IF(COUNTIFS(実績!$W$6:$W$505,J$3,実績!$AI$6:$AI$505,"&lt;="&amp;$A25,実績!$AJ$6:$AJ$505,"&gt;"&amp;$A25,実績!$AK$6:$AK$505,"○")&gt;0,1,0))</f>
        <v>0</v>
      </c>
      <c r="K25" s="39" t="n">
        <f aca="false">IF(K$4=0,0,IF(COUNTIFS(実績!$W$6:$W$505,K$3,実績!$AI$6:$AI$505,"&lt;="&amp;$A25,実績!$AJ$6:$AJ$505,"&gt;"&amp;$A25,実績!$AK$6:$AK$505,"○")&gt;0,1,0))</f>
        <v>0</v>
      </c>
      <c r="L25" s="39" t="n">
        <f aca="false">IF(L$4=0,0,IF(COUNTIFS(実績!$W$6:$W$505,L$3,実績!$AI$6:$AI$505,"&lt;="&amp;$A25,実績!$AJ$6:$AJ$505,"&gt;"&amp;$A25,実績!$AK$6:$AK$505,"○")&gt;0,1,0))</f>
        <v>0</v>
      </c>
      <c r="M25" s="39" t="n">
        <f aca="false">IF(M$4=0,0,IF(COUNTIFS(実績!$W$6:$W$505,M$3,実績!$AI$6:$AI$505,"&lt;="&amp;$A25,実績!$AJ$6:$AJ$505,"&gt;"&amp;$A25,実績!$AK$6:$AK$505,"○")&gt;0,1,0))</f>
        <v>0</v>
      </c>
      <c r="N25" s="39" t="n">
        <f aca="false">IF(N$4=0,0,IF(COUNTIFS(実績!$W$6:$W$505,N$3,実績!$AI$6:$AI$505,"&lt;="&amp;$A25,実績!$AJ$6:$AJ$505,"&gt;"&amp;$A25,実績!$AK$6:$AK$505,"○")&gt;0,1,0))</f>
        <v>0</v>
      </c>
      <c r="O25" s="39" t="n">
        <f aca="false">IF(O$4=0,0,IF(COUNTIFS(実績!$W$6:$W$505,O$3,実績!$AI$6:$AI$505,"&lt;="&amp;$A25,実績!$AJ$6:$AJ$505,"&gt;"&amp;$A25,実績!$AK$6:$AK$505,"○")&gt;0,1,0))</f>
        <v>0</v>
      </c>
      <c r="P25" s="39" t="n">
        <f aca="false">IF(P$4=0,0,IF(COUNTIFS(実績!$W$6:$W$505,P$3,実績!$AI$6:$AI$505,"&lt;="&amp;$A25,実績!$AJ$6:$AJ$505,"&gt;"&amp;$A25,実績!$AK$6:$AK$505,"○")&gt;0,1,0))</f>
        <v>0</v>
      </c>
      <c r="Q25" s="39" t="n">
        <f aca="false">IF(Q$4=0,0,IF(COUNTIFS(実績!$W$6:$W$505,Q$3,実績!$AI$6:$AI$505,"&lt;="&amp;$A25,実績!$AJ$6:$AJ$505,"&gt;"&amp;$A25,実績!$AK$6:$AK$505,"○")&gt;0,1,0))</f>
        <v>0</v>
      </c>
      <c r="R25" s="39" t="n">
        <f aca="false">IF(R$4=0,0,IF(COUNTIFS(実績!$W$6:$W$505,R$3,実績!$AI$6:$AI$505,"&lt;="&amp;$A25,実績!$AJ$6:$AJ$505,"&gt;"&amp;$A25,実績!$AK$6:$AK$505,"○")&gt;0,1,0))</f>
        <v>0</v>
      </c>
      <c r="S25" s="39" t="n">
        <f aca="false">IF(S$4=0,0,IF(COUNTIFS(実績!$W$6:$W$505,S$3,実績!$AI$6:$AI$505,"&lt;="&amp;$A25,実績!$AJ$6:$AJ$505,"&gt;"&amp;$A25,実績!$AK$6:$AK$505,"○")&gt;0,1,0))</f>
        <v>0</v>
      </c>
      <c r="T25" s="39" t="n">
        <f aca="false">IF(T$4=0,0,IF(COUNTIFS(実績!$W$6:$W$505,T$3,実績!$AI$6:$AI$505,"&lt;="&amp;$A25,実績!$AJ$6:$AJ$505,"&gt;"&amp;$A25,実績!$AK$6:$AK$505,"○")&gt;0,1,0))</f>
        <v>0</v>
      </c>
      <c r="U25" s="39" t="n">
        <f aca="false">IF(U$4=0,0,IF(COUNTIFS(実績!$W$6:$W$505,U$3,実績!$AI$6:$AI$505,"&lt;="&amp;$A25,実績!$AJ$6:$AJ$505,"&gt;"&amp;$A25,実績!$AK$6:$AK$505,"○")&gt;0,1,0))</f>
        <v>0</v>
      </c>
      <c r="V25" s="39" t="n">
        <f aca="false">IF(V$4=0,0,IF(COUNTIFS(実績!$W$6:$W$505,V$3,実績!$AI$6:$AI$505,"&lt;="&amp;$A25,実績!$AJ$6:$AJ$505,"&gt;"&amp;$A25,実績!$AK$6:$AK$505,"○")&gt;0,1,0))</f>
        <v>0</v>
      </c>
      <c r="W25" s="39" t="n">
        <f aca="false">IF(W$4=0,0,IF(COUNTIFS(実績!$W$6:$W$505,W$3,実績!$AI$6:$AI$505,"&lt;="&amp;$A25,実績!$AJ$6:$AJ$505,"&gt;"&amp;$A25,実績!$AK$6:$AK$505,"○")&gt;0,1,0))</f>
        <v>0</v>
      </c>
      <c r="X25" s="39" t="n">
        <f aca="false">IF(X$4=0,0,IF(COUNTIFS(実績!$W$6:$W$505,X$3,実績!$AI$6:$AI$505,"&lt;="&amp;$A25,実績!$AJ$6:$AJ$505,"&gt;"&amp;$A25,実績!$AK$6:$AK$505,"○")&gt;0,1,0))</f>
        <v>0</v>
      </c>
      <c r="Y25" s="39" t="n">
        <f aca="false">IF(Y$4=0,0,IF(COUNTIFS(実績!$W$6:$W$505,Y$3,実績!$AI$6:$AI$505,"&lt;="&amp;$A25,実績!$AJ$6:$AJ$505,"&gt;"&amp;$A25,実績!$AK$6:$AK$505,"○")&gt;0,1,0))</f>
        <v>0</v>
      </c>
      <c r="Z25" s="39" t="n">
        <f aca="false">IF(Z$4=0,0,IF(COUNTIFS(実績!$W$6:$W$505,Z$3,実績!$AI$6:$AI$505,"&lt;="&amp;$A25,実績!$AJ$6:$AJ$505,"&gt;"&amp;$A25,実績!$AK$6:$AK$505,"○")&gt;0,1,0))</f>
        <v>0</v>
      </c>
      <c r="AA25" s="39" t="n">
        <f aca="false">IF(AA$4=0,0,IF(COUNTIFS(実績!$W$6:$W$505,AA$3,実績!$AI$6:$AI$505,"&lt;="&amp;$A25,実績!$AJ$6:$AJ$505,"&gt;"&amp;$A25,実績!$AK$6:$AK$505,"○")&gt;0,1,0))</f>
        <v>0</v>
      </c>
      <c r="AB25" s="39" t="n">
        <f aca="false">IF(AB$4=0,0,IF(COUNTIFS(実績!$W$6:$W$505,AB$3,実績!$AI$6:$AI$505,"&lt;="&amp;$A25,実績!$AJ$6:$AJ$505,"&gt;"&amp;$A25,実績!$AK$6:$AK$505,"○")&gt;0,1,0))</f>
        <v>0</v>
      </c>
      <c r="AC25" s="39" t="n">
        <f aca="false">IF(AC$4=0,0,IF(COUNTIFS(実績!$W$6:$W$505,AC$3,実績!$AI$6:$AI$505,"&lt;="&amp;$A25,実績!$AJ$6:$AJ$505,"&gt;"&amp;$A25,実績!$AK$6:$AK$505,"○")&gt;0,1,0))</f>
        <v>0</v>
      </c>
      <c r="AD25" s="39" t="n">
        <f aca="false">IF(AD$4=0,0,IF(COUNTIFS(実績!$W$6:$W$505,AD$3,実績!$AI$6:$AI$505,"&lt;="&amp;$A25,実績!$AJ$6:$AJ$505,"&gt;"&amp;$A25,実績!$AK$6:$AK$505,"○")&gt;0,1,0))</f>
        <v>0</v>
      </c>
      <c r="AE25" s="39" t="n">
        <f aca="false">IF(AE$4=0,0,IF(COUNTIFS(実績!$W$6:$W$505,AE$3,実績!$AI$6:$AI$505,"&lt;="&amp;$A25,実績!$AJ$6:$AJ$505,"&gt;"&amp;$A25,実績!$AK$6:$AK$505,"○")&gt;0,1,0))</f>
        <v>0</v>
      </c>
      <c r="AF25" s="39" t="n">
        <f aca="false">IF(AF$4=0,0,IF(COUNTIFS(実績!$W$6:$W$505,AF$3,実績!$AI$6:$AI$505,"&lt;="&amp;$A25,実績!$AJ$6:$AJ$505,"&gt;"&amp;$A25,実績!$AK$6:$AK$505,"○")&gt;0,1,0))</f>
        <v>0</v>
      </c>
      <c r="AG25" s="39" t="n">
        <f aca="false">IF(AG$4=0,0,IF(COUNTIFS(実績!$W$6:$W$505,AG$3,実績!$AI$6:$AI$505,"&lt;="&amp;$A25,実績!$AJ$6:$AJ$505,"&gt;"&amp;$A25,実績!$AK$6:$AK$505,"○")&gt;0,1,0))</f>
        <v>0</v>
      </c>
      <c r="AH25" s="39" t="n">
        <f aca="false">IF(AH$4=0,0,IF(COUNTIFS(実績!$W$6:$W$505,AH$3,実績!$AI$6:$AI$505,"&lt;="&amp;$A25,実績!$AJ$6:$AJ$505,"&gt;"&amp;$A25,実績!$AK$6:$AK$505,"○")&gt;0,1,0))</f>
        <v>0</v>
      </c>
      <c r="AI25" s="39" t="n">
        <f aca="false">IF(AI$4=0,0,IF(COUNTIFS(実績!$W$6:$W$505,AI$3,実績!$AI$6:$AI$505,"&lt;="&amp;$A25,実績!$AJ$6:$AJ$505,"&gt;"&amp;$A25,実績!$AK$6:$AK$505,"○")&gt;0,1,0))</f>
        <v>0</v>
      </c>
      <c r="AJ25" s="39" t="n">
        <f aca="false">IF(AJ$4=0,0,IF(COUNTIFS(実績!$W$6:$W$505,AJ$3,実績!$AI$6:$AI$505,"&lt;="&amp;$A25,実績!$AJ$6:$AJ$505,"&gt;"&amp;$A25,実績!$AK$6:$AK$505,"○")&gt;0,1,0))</f>
        <v>0</v>
      </c>
      <c r="AK25" s="39" t="n">
        <f aca="false">IF(AK$4=0,0,IF(COUNTIFS(実績!$W$6:$W$505,AK$3,実績!$AI$6:$AI$505,"&lt;="&amp;$A25,実績!$AJ$6:$AJ$505,"&gt;"&amp;$A25,実績!$AK$6:$AK$505,"○")&gt;0,1,0))</f>
        <v>0</v>
      </c>
      <c r="AL25" s="39" t="n">
        <f aca="false">IF(AL$4=0,0,IF(COUNTIFS(実績!$W$6:$W$505,AL$3,実績!$AI$6:$AI$505,"&lt;="&amp;$A25,実績!$AJ$6:$AJ$505,"&gt;"&amp;$A25,実績!$AK$6:$AK$505,"○")&gt;0,1,0))</f>
        <v>0</v>
      </c>
      <c r="AM25" s="39" t="n">
        <f aca="false">IF(AM$4=0,0,IF(COUNTIFS(実績!$W$6:$W$505,AM$3,実績!$AI$6:$AI$505,"&lt;="&amp;$A25,実績!$AJ$6:$AJ$505,"&gt;"&amp;$A25,実績!$AK$6:$AK$505,"○")&gt;0,1,0))</f>
        <v>0</v>
      </c>
      <c r="AN25" s="39" t="n">
        <f aca="false">IF(AN$4=0,0,IF(COUNTIFS(実績!$W$6:$W$505,AN$3,実績!$AI$6:$AI$505,"&lt;="&amp;$A25,実績!$AJ$6:$AJ$505,"&gt;"&amp;$A25,実績!$AK$6:$AK$505,"○")&gt;0,1,0))</f>
        <v>0</v>
      </c>
      <c r="AO25" s="39" t="n">
        <f aca="false">IF(AO$4=0,0,IF(COUNTIFS(実績!$W$6:$W$505,AO$3,実績!$AI$6:$AI$505,"&lt;="&amp;$A25,実績!$AJ$6:$AJ$505,"&gt;"&amp;$A25,実績!$AK$6:$AK$505,"○")&gt;0,1,0))</f>
        <v>0</v>
      </c>
      <c r="AP25" s="39" t="n">
        <f aca="false">IF(AP$4=0,0,IF(COUNTIFS(実績!$W$6:$W$505,AP$3,実績!$AI$6:$AI$505,"&lt;="&amp;$A25,実績!$AJ$6:$AJ$505,"&gt;"&amp;$A25,実績!$AK$6:$AK$505,"○")&gt;0,1,0))</f>
        <v>0</v>
      </c>
      <c r="AQ25" s="39" t="n">
        <f aca="false">IF(AQ$4=0,0,IF(COUNTIFS(実績!$W$6:$W$505,AQ$3,実績!$AI$6:$AI$505,"&lt;="&amp;$A25,実績!$AJ$6:$AJ$505,"&gt;"&amp;$A25,実績!$AK$6:$AK$505,"○")&gt;0,1,0))</f>
        <v>0</v>
      </c>
      <c r="AR25" s="39" t="n">
        <f aca="false">IF(AR$4=0,0,IF(COUNTIFS(実績!$W$6:$W$505,AR$3,実績!$AI$6:$AI$505,"&lt;="&amp;$A25,実績!$AJ$6:$AJ$505,"&gt;"&amp;$A25,実績!$AK$6:$AK$505,"○")&gt;0,1,0))</f>
        <v>0</v>
      </c>
      <c r="AS25" s="39" t="n">
        <f aca="false">IF(AS$4=0,0,IF(COUNTIFS(実績!$W$6:$W$505,AS$3,実績!$AI$6:$AI$505,"&lt;="&amp;$A25,実績!$AJ$6:$AJ$505,"&gt;"&amp;$A25,実績!$AK$6:$AK$505,"○")&gt;0,1,0))</f>
        <v>0</v>
      </c>
      <c r="AT25" s="39" t="n">
        <f aca="false">IF(AT$4=0,0,IF(COUNTIFS(実績!$W$6:$W$505,AT$3,実績!$AI$6:$AI$505,"&lt;="&amp;$A25,実績!$AJ$6:$AJ$505,"&gt;"&amp;$A25,実績!$AK$6:$AK$505,"○")&gt;0,1,0))</f>
        <v>0</v>
      </c>
      <c r="AU25" s="39" t="n">
        <f aca="false">IF(AU$4=0,0,IF(COUNTIFS(実績!$W$6:$W$505,AU$3,実績!$AI$6:$AI$505,"&lt;="&amp;$A25,実績!$AJ$6:$AJ$505,"&gt;"&amp;$A25,実績!$AK$6:$AK$505,"○")&gt;0,1,0))</f>
        <v>0</v>
      </c>
      <c r="AV25" s="39" t="n">
        <f aca="false">IF(AV$4=0,0,IF(COUNTIFS(実績!$W$6:$W$505,AV$3,実績!$AI$6:$AI$505,"&lt;="&amp;$A25,実績!$AJ$6:$AJ$505,"&gt;"&amp;$A25,実績!$AK$6:$AK$505,"○")&gt;0,1,0))</f>
        <v>0</v>
      </c>
      <c r="AW25" s="39" t="n">
        <f aca="false">IF(AW$4=0,0,IF(COUNTIFS(実績!$W$6:$W$505,AW$3,実績!$AI$6:$AI$505,"&lt;="&amp;$A25,実績!$AJ$6:$AJ$505,"&gt;"&amp;$A25,実績!$AK$6:$AK$505,"○")&gt;0,1,0))</f>
        <v>0</v>
      </c>
      <c r="AX25" s="39" t="n">
        <f aca="false">IF(AX$4=0,0,IF(COUNTIFS(実績!$W$6:$W$505,AX$3,実績!$AI$6:$AI$505,"&lt;="&amp;$A25,実績!$AJ$6:$AJ$505,"&gt;"&amp;$A25,実績!$AK$6:$AK$505,"○")&gt;0,1,0))</f>
        <v>0</v>
      </c>
      <c r="AY25" s="39" t="n">
        <f aca="false">IF(AY$4=0,0,IF(COUNTIFS(実績!$W$6:$W$505,AY$3,実績!$AI$6:$AI$505,"&lt;="&amp;$A25,実績!$AJ$6:$AJ$505,"&gt;"&amp;$A25,実績!$AK$6:$AK$505,"○")&gt;0,1,0))</f>
        <v>0</v>
      </c>
      <c r="AZ25" s="39" t="n">
        <f aca="false">IF(AZ$4=0,0,IF(COUNTIFS(実績!$W$6:$W$505,AZ$3,実績!$AI$6:$AI$505,"&lt;="&amp;$A25,実績!$AJ$6:$AJ$505,"&gt;"&amp;$A25,実績!$AK$6:$AK$505,"○")&gt;0,1,0))</f>
        <v>0</v>
      </c>
      <c r="BA25" s="39" t="n">
        <f aca="false">IF(BA$4=0,0,IF(COUNTIFS(実績!$W$6:$W$505,BA$3,実績!$AI$6:$AI$505,"&lt;="&amp;$A25,実績!$AJ$6:$AJ$505,"&gt;"&amp;$A25,実績!$AK$6:$AK$505,"○")&gt;0,1,0))</f>
        <v>0</v>
      </c>
      <c r="BB25" s="39" t="n">
        <f aca="false">IF(BB$4=0,0,IF(COUNTIFS(実績!$W$6:$W$505,BB$3,実績!$AI$6:$AI$505,"&lt;="&amp;$A25,実績!$AJ$6:$AJ$505,"&gt;"&amp;$A25,実績!$AK$6:$AK$505,"○")&gt;0,1,0))</f>
        <v>0</v>
      </c>
      <c r="BC25" s="39" t="n">
        <f aca="false">IF(BC$4=0,0,IF(COUNTIFS(実績!$W$6:$W$505,BC$3,実績!$AI$6:$AI$505,"&lt;="&amp;$A25,実績!$AJ$6:$AJ$505,"&gt;"&amp;$A25,実績!$AK$6:$AK$505,"○")&gt;0,1,0))</f>
        <v>0</v>
      </c>
      <c r="BD25" s="39" t="n">
        <f aca="false">IF(BD$4=0,0,IF(COUNTIFS(実績!$W$6:$W$505,BD$3,実績!$AI$6:$AI$505,"&lt;="&amp;$A25,実績!$AJ$6:$AJ$505,"&gt;"&amp;$A25,実績!$AK$6:$AK$505,"○")&gt;0,1,0))</f>
        <v>0</v>
      </c>
      <c r="BE25" s="39" t="n">
        <f aca="false">IF(BE$4=0,0,IF(COUNTIFS(実績!$W$6:$W$505,BE$3,実績!$AI$6:$AI$505,"&lt;="&amp;$A25,実績!$AJ$6:$AJ$505,"&gt;"&amp;$A25,実績!$AK$6:$AK$505,"○")&gt;0,1,0))</f>
        <v>0</v>
      </c>
      <c r="BF25" s="39" t="n">
        <f aca="false">IF(BF$4=0,0,IF(COUNTIFS(実績!$W$6:$W$505,BF$3,実績!$AI$6:$AI$505,"&lt;="&amp;$A25,実績!$AJ$6:$AJ$505,"&gt;"&amp;$A25,実績!$AK$6:$AK$505,"○")&gt;0,1,0))</f>
        <v>0</v>
      </c>
      <c r="BG25" s="39" t="n">
        <f aca="false">IF(BG$4=0,0,IF(COUNTIFS(実績!$W$6:$W$505,BG$3,実績!$AI$6:$AI$505,"&lt;="&amp;$A25,実績!$AJ$6:$AJ$505,"&gt;"&amp;$A25,実績!$AK$6:$AK$505,"○")&gt;0,1,0))</f>
        <v>0</v>
      </c>
      <c r="BH25" s="39" t="n">
        <f aca="false">IF(BH$4=0,0,IF(COUNTIFS(実績!$W$6:$W$505,BH$3,実績!$AI$6:$AI$505,"&lt;="&amp;$A25,実績!$AJ$6:$AJ$505,"&gt;"&amp;$A25,実績!$AK$6:$AK$505,"○")&gt;0,1,0))</f>
        <v>0</v>
      </c>
      <c r="BI25" s="39" t="n">
        <f aca="false">IF(BI$4=0,0,IF(COUNTIFS(実績!$W$6:$W$505,BI$3,実績!$AI$6:$AI$505,"&lt;="&amp;$A25,実績!$AJ$6:$AJ$505,"&gt;"&amp;$A25,実績!$AK$6:$AK$505,"○")&gt;0,1,0))</f>
        <v>0</v>
      </c>
      <c r="BJ25" s="39" t="n">
        <f aca="false">IF(BJ$4=0,0,IF(COUNTIFS(実績!$W$6:$W$505,BJ$3,実績!$AI$6:$AI$505,"&lt;="&amp;$A25,実績!$AJ$6:$AJ$505,"&gt;"&amp;$A25,実績!$AK$6:$AK$505,"○")&gt;0,1,0))</f>
        <v>0</v>
      </c>
      <c r="BK25" s="39" t="n">
        <f aca="false">IF(BK$4=0,0,IF(COUNTIFS(実績!$W$6:$W$505,BK$3,実績!$AI$6:$AI$505,"&lt;="&amp;$A25,実績!$AJ$6:$AJ$505,"&gt;"&amp;$A25,実績!$AK$6:$AK$505,"○")&gt;0,1,0))</f>
        <v>0</v>
      </c>
      <c r="BL25" s="39" t="n">
        <f aca="false">IF(BL$4=0,0,IF(COUNTIFS(実績!$W$6:$W$505,BL$3,実績!$AI$6:$AI$505,"&lt;="&amp;$A25,実績!$AJ$6:$AJ$505,"&gt;"&amp;$A25,実績!$AK$6:$AK$505,"○")&gt;0,1,0))</f>
        <v>0</v>
      </c>
      <c r="BM25" s="39" t="n">
        <f aca="false">IF(BM$4=0,0,IF(COUNTIFS(実績!$W$6:$W$505,BM$3,実績!$AI$6:$AI$505,"&lt;="&amp;$A25,実績!$AJ$6:$AJ$505,"&gt;"&amp;$A25,実績!$AK$6:$AK$505,"○")&gt;0,1,0))</f>
        <v>0</v>
      </c>
      <c r="BN25" s="39" t="n">
        <f aca="false">IF(BN$4=0,0,IF(COUNTIFS(実績!$W$6:$W$505,BN$3,実績!$AI$6:$AI$505,"&lt;="&amp;$A25,実績!$AJ$6:$AJ$505,"&gt;"&amp;$A25,実績!$AK$6:$AK$505,"○")&gt;0,1,0))</f>
        <v>0</v>
      </c>
      <c r="BO25" s="39" t="n">
        <f aca="false">IF(BO$4=0,0,IF(COUNTIFS(実績!$W$6:$W$505,BO$3,実績!$AI$6:$AI$505,"&lt;="&amp;$A25,実績!$AJ$6:$AJ$505,"&gt;"&amp;$A25,実績!$AK$6:$AK$505,"○")&gt;0,1,0))</f>
        <v>0</v>
      </c>
      <c r="BP25" s="39" t="n">
        <f aca="false">IF(BP$4=0,0,IF(COUNTIFS(実績!$W$6:$W$505,BP$3,実績!$AI$6:$AI$505,"&lt;="&amp;$A25,実績!$AJ$6:$AJ$505,"&gt;"&amp;$A25,実績!$AK$6:$AK$505,"○")&gt;0,1,0))</f>
        <v>0</v>
      </c>
      <c r="BQ25" s="39" t="n">
        <f aca="false">IF(BQ$4=0,0,IF(COUNTIFS(実績!$W$6:$W$505,BQ$3,実績!$AI$6:$AI$505,"&lt;="&amp;$A25,実績!$AJ$6:$AJ$505,"&gt;"&amp;$A25,実績!$AK$6:$AK$505,"○")&gt;0,1,0))</f>
        <v>0</v>
      </c>
      <c r="BR25" s="39" t="n">
        <f aca="false">IF(BR$4=0,0,IF(COUNTIFS(実績!$W$6:$W$505,BR$3,実績!$AI$6:$AI$505,"&lt;="&amp;$A25,実績!$AJ$6:$AJ$505,"&gt;"&amp;$A25,実績!$AK$6:$AK$505,"○")&gt;0,1,0))</f>
        <v>0</v>
      </c>
      <c r="BS25" s="39" t="n">
        <f aca="false">IF(BS$4=0,0,IF(COUNTIFS(実績!$W$6:$W$505,BS$3,実績!$AI$6:$AI$505,"&lt;="&amp;$A25,実績!$AJ$6:$AJ$505,"&gt;"&amp;$A25,実績!$AK$6:$AK$505,"○")&gt;0,1,0))</f>
        <v>0</v>
      </c>
      <c r="BT25" s="39" t="n">
        <f aca="false">IF(BT$4=0,0,IF(COUNTIFS(実績!$W$6:$W$505,BT$3,実績!$AI$6:$AI$505,"&lt;="&amp;$A25,実績!$AJ$6:$AJ$505,"&gt;"&amp;$A25,実績!$AK$6:$AK$505,"○")&gt;0,1,0))</f>
        <v>0</v>
      </c>
      <c r="BU25" s="39" t="n">
        <f aca="false">IF(BU$4=0,0,IF(COUNTIFS(実績!$W$6:$W$505,BU$3,実績!$AI$6:$AI$505,"&lt;="&amp;$A25,実績!$AJ$6:$AJ$505,"&gt;"&amp;$A25,実績!$AK$6:$AK$505,"○")&gt;0,1,0))</f>
        <v>0</v>
      </c>
      <c r="BV25" s="39" t="n">
        <f aca="false">IF(BV$4=0,0,IF(COUNTIFS(実績!$W$6:$W$505,BV$3,実績!$AI$6:$AI$505,"&lt;="&amp;$A25,実績!$AJ$6:$AJ$505,"&gt;"&amp;$A25,実績!$AK$6:$AK$505,"○")&gt;0,1,0))</f>
        <v>0</v>
      </c>
      <c r="BW25" s="39" t="n">
        <f aca="false">IF(BW$4=0,0,IF(COUNTIFS(実績!$W$6:$W$505,BW$3,実績!$AI$6:$AI$505,"&lt;="&amp;$A25,実績!$AJ$6:$AJ$505,"&gt;"&amp;$A25,実績!$AK$6:$AK$505,"○")&gt;0,1,0))</f>
        <v>0</v>
      </c>
      <c r="BX25" s="39" t="n">
        <f aca="false">IF(BX$4=0,0,IF(COUNTIFS(実績!$W$6:$W$505,BX$3,実績!$AI$6:$AI$505,"&lt;="&amp;$A25,実績!$AJ$6:$AJ$505,"&gt;"&amp;$A25,実績!$AK$6:$AK$505,"○")&gt;0,1,0))</f>
        <v>0</v>
      </c>
      <c r="BY25" s="39" t="n">
        <f aca="false">IF(BY$4=0,0,IF(COUNTIFS(実績!$W$6:$W$505,BY$3,実績!$AI$6:$AI$505,"&lt;="&amp;$A25,実績!$AJ$6:$AJ$505,"&gt;"&amp;$A25,実績!$AK$6:$AK$505,"○")&gt;0,1,0))</f>
        <v>0</v>
      </c>
      <c r="BZ25" s="39" t="n">
        <f aca="false">IF(BZ$4=0,0,IF(COUNTIFS(実績!$W$6:$W$505,BZ$3,実績!$AI$6:$AI$505,"&lt;="&amp;$A25,実績!$AJ$6:$AJ$505,"&gt;"&amp;$A25,実績!$AK$6:$AK$505,"○")&gt;0,1,0))</f>
        <v>0</v>
      </c>
      <c r="CA25" s="39" t="n">
        <f aca="false">IF(CA$4=0,0,IF(COUNTIFS(実績!$W$6:$W$505,CA$3,実績!$AI$6:$AI$505,"&lt;="&amp;$A25,実績!$AJ$6:$AJ$505,"&gt;"&amp;$A25,実績!$AK$6:$AK$505,"○")&gt;0,1,0))</f>
        <v>0</v>
      </c>
      <c r="CB25" s="39" t="n">
        <f aca="false">IF(CB$4=0,0,IF(COUNTIFS(実績!$W$6:$W$505,CB$3,実績!$AI$6:$AI$505,"&lt;="&amp;$A25,実績!$AJ$6:$AJ$505,"&gt;"&amp;$A25,実績!$AK$6:$AK$505,"○")&gt;0,1,0))</f>
        <v>0</v>
      </c>
      <c r="CC25" s="39" t="n">
        <f aca="false">IF(CC$4=0,0,IF(COUNTIFS(実績!$W$6:$W$505,CC$3,実績!$AI$6:$AI$505,"&lt;="&amp;$A25,実績!$AJ$6:$AJ$505,"&gt;"&amp;$A25,実績!$AK$6:$AK$505,"○")&gt;0,1,0))</f>
        <v>0</v>
      </c>
      <c r="CD25" s="39" t="n">
        <f aca="false">IF(CD$4=0,0,IF(COUNTIFS(実績!$W$6:$W$505,CD$3,実績!$AI$6:$AI$505,"&lt;="&amp;$A25,実績!$AJ$6:$AJ$505,"&gt;"&amp;$A25,実績!$AK$6:$AK$505,"○")&gt;0,1,0))</f>
        <v>0</v>
      </c>
      <c r="CE25" s="39" t="n">
        <f aca="false">IF(CE$4=0,0,IF(COUNTIFS(実績!$W$6:$W$505,CE$3,実績!$AI$6:$AI$505,"&lt;="&amp;$A25,実績!$AJ$6:$AJ$505,"&gt;"&amp;$A25,実績!$AK$6:$AK$505,"○")&gt;0,1,0))</f>
        <v>0</v>
      </c>
      <c r="CF25" s="39" t="n">
        <f aca="false">IF(CF$4=0,0,IF(COUNTIFS(実績!$W$6:$W$505,CF$3,実績!$AI$6:$AI$505,"&lt;="&amp;$A25,実績!$AJ$6:$AJ$505,"&gt;"&amp;$A25,実績!$AK$6:$AK$505,"○")&gt;0,1,0))</f>
        <v>0</v>
      </c>
      <c r="CG25" s="39" t="n">
        <f aca="false">IF(CG$4=0,0,IF(COUNTIFS(実績!$W$6:$W$505,CG$3,実績!$AI$6:$AI$505,"&lt;="&amp;$A25,実績!$AJ$6:$AJ$505,"&gt;"&amp;$A25,実績!$AK$6:$AK$505,"○")&gt;0,1,0))</f>
        <v>0</v>
      </c>
      <c r="CH25" s="39" t="n">
        <f aca="false">IF(CH$4=0,0,IF(COUNTIFS(実績!$W$6:$W$505,CH$3,実績!$AI$6:$AI$505,"&lt;="&amp;$A25,実績!$AJ$6:$AJ$505,"&gt;"&amp;$A25,実績!$AK$6:$AK$505,"○")&gt;0,1,0))</f>
        <v>0</v>
      </c>
      <c r="CI25" s="39" t="n">
        <f aca="false">IF(CI$4=0,0,IF(COUNTIFS(実績!$W$6:$W$505,CI$3,実績!$AI$6:$AI$505,"&lt;="&amp;$A25,実績!$AJ$6:$AJ$505,"&gt;"&amp;$A25,実績!$AK$6:$AK$505,"○")&gt;0,1,0))</f>
        <v>0</v>
      </c>
      <c r="CJ25" s="39" t="n">
        <f aca="false">IF(CJ$4=0,0,IF(COUNTIFS(実績!$W$6:$W$505,CJ$3,実績!$AI$6:$AI$505,"&lt;="&amp;$A25,実績!$AJ$6:$AJ$505,"&gt;"&amp;$A25,実績!$AK$6:$AK$505,"○")&gt;0,1,0))</f>
        <v>0</v>
      </c>
      <c r="CK25" s="39" t="n">
        <f aca="false">IF(CK$4=0,0,IF(COUNTIFS(実績!$W$6:$W$505,CK$3,実績!$AI$6:$AI$505,"&lt;="&amp;$A25,実績!$AJ$6:$AJ$505,"&gt;"&amp;$A25,実績!$AK$6:$AK$505,"○")&gt;0,1,0))</f>
        <v>0</v>
      </c>
      <c r="CL25" s="39" t="n">
        <f aca="false">IF(CL$4=0,0,IF(COUNTIFS(実績!$W$6:$W$505,CL$3,実績!$AI$6:$AI$505,"&lt;="&amp;$A25,実績!$AJ$6:$AJ$505,"&gt;"&amp;$A25,実績!$AK$6:$AK$505,"○")&gt;0,1,0))</f>
        <v>0</v>
      </c>
      <c r="CM25" s="39" t="n">
        <f aca="false">IF(CM$4=0,0,IF(COUNTIFS(実績!$W$6:$W$505,CM$3,実績!$AI$6:$AI$505,"&lt;="&amp;$A25,実績!$AJ$6:$AJ$505,"&gt;"&amp;$A25,実績!$AK$6:$AK$505,"○")&gt;0,1,0))</f>
        <v>0</v>
      </c>
      <c r="CN25" s="39" t="n">
        <f aca="false">IF(CN$4=0,0,IF(COUNTIFS(実績!$W$6:$W$505,CN$3,実績!$AI$6:$AI$505,"&lt;="&amp;$A25,実績!$AJ$6:$AJ$505,"&gt;"&amp;$A25,実績!$AK$6:$AK$505,"○")&gt;0,1,0))</f>
        <v>0</v>
      </c>
      <c r="CO25" s="39" t="n">
        <f aca="false">IF(CO$4=0,0,IF(COUNTIFS(実績!$W$6:$W$505,CO$3,実績!$AI$6:$AI$505,"&lt;="&amp;$A25,実績!$AJ$6:$AJ$505,"&gt;"&amp;$A25,実績!$AK$6:$AK$505,"○")&gt;0,1,0))</f>
        <v>0</v>
      </c>
      <c r="CP25" s="39" t="n">
        <f aca="false">IF(CP$4=0,0,IF(COUNTIFS(実績!$W$6:$W$505,CP$3,実績!$AI$6:$AI$505,"&lt;="&amp;$A25,実績!$AJ$6:$AJ$505,"&gt;"&amp;$A25,実績!$AK$6:$AK$505,"○")&gt;0,1,0))</f>
        <v>0</v>
      </c>
      <c r="CQ25" s="39" t="n">
        <f aca="false">IF(CQ$4=0,0,IF(COUNTIFS(実績!$W$6:$W$505,CQ$3,実績!$AI$6:$AI$505,"&lt;="&amp;$A25,実績!$AJ$6:$AJ$505,"&gt;"&amp;$A25,実績!$AK$6:$AK$505,"○")&gt;0,1,0))</f>
        <v>0</v>
      </c>
      <c r="CR25" s="39" t="n">
        <f aca="false">IF(CR$4=0,0,IF(COUNTIFS(実績!$W$6:$W$505,CR$3,実績!$AI$6:$AI$505,"&lt;="&amp;$A25,実績!$AJ$6:$AJ$505,"&gt;"&amp;$A25,実績!$AK$6:$AK$505,"○")&gt;0,1,0))</f>
        <v>0</v>
      </c>
      <c r="CS25" s="39" t="n">
        <f aca="false">IF(CS$4=0,0,IF(COUNTIFS(実績!$W$6:$W$505,CS$3,実績!$AI$6:$AI$505,"&lt;="&amp;$A25,実績!$AJ$6:$AJ$505,"&gt;"&amp;$A25,実績!$AK$6:$AK$505,"○")&gt;0,1,0))</f>
        <v>0</v>
      </c>
      <c r="CT25" s="39" t="n">
        <f aca="false">IF(CT$4=0,0,IF(COUNTIFS(実績!$W$6:$W$505,CT$3,実績!$AI$6:$AI$505,"&lt;="&amp;$A25,実績!$AJ$6:$AJ$505,"&gt;"&amp;$A25,実績!$AK$6:$AK$505,"○")&gt;0,1,0))</f>
        <v>0</v>
      </c>
      <c r="CU25" s="39" t="n">
        <f aca="false">IF(CU$4=0,0,IF(COUNTIFS(実績!$W$6:$W$505,CU$3,実績!$AI$6:$AI$505,"&lt;="&amp;$A25,実績!$AJ$6:$AJ$505,"&gt;"&amp;$A25,実績!$AK$6:$AK$505,"○")&gt;0,1,0))</f>
        <v>0</v>
      </c>
      <c r="CV25" s="39" t="n">
        <f aca="false">IF(CV$4=0,0,IF(COUNTIFS(実績!$W$6:$W$505,CV$3,実績!$AI$6:$AI$505,"&lt;="&amp;$A25,実績!$AJ$6:$AJ$505,"&gt;"&amp;$A25,実績!$AK$6:$AK$505,"○")&gt;0,1,0))</f>
        <v>0</v>
      </c>
      <c r="CW25" s="39" t="n">
        <f aca="false">IF(CW$4=0,0,IF(COUNTIFS(実績!$W$6:$W$505,CW$3,実績!$AI$6:$AI$505,"&lt;="&amp;$A25,実績!$AJ$6:$AJ$505,"&gt;"&amp;$A25,実績!$AK$6:$AK$505,"○")&gt;0,1,0))</f>
        <v>0</v>
      </c>
      <c r="CX25" s="39" t="n">
        <f aca="false">IF(CX$4=0,0,IF(COUNTIFS(実績!$W$6:$W$505,CX$3,実績!$AI$6:$AI$505,"&lt;="&amp;$A25,実績!$AJ$6:$AJ$505,"&gt;"&amp;$A25,実績!$AK$6:$AK$505,"○")&gt;0,1,0))</f>
        <v>0</v>
      </c>
      <c r="CY25" s="39" t="n">
        <f aca="false">IF(CY$4=0,0,IF(COUNTIFS(実績!$W$6:$W$505,CY$3,実績!$AI$6:$AI$505,"&lt;="&amp;$A25,実績!$AJ$6:$AJ$505,"&gt;"&amp;$A25,実績!$AK$6:$AK$505,"○")&gt;0,1,0))</f>
        <v>0</v>
      </c>
      <c r="CZ25" s="39" t="n">
        <f aca="false">IF(CZ$4=0,0,IF(COUNTIFS(実績!$W$6:$W$505,CZ$3,実績!$AI$6:$AI$505,"&lt;="&amp;$A25,実績!$AJ$6:$AJ$505,"&gt;"&amp;$A25,実績!$AK$6:$AK$505,"○")&gt;0,1,0))</f>
        <v>0</v>
      </c>
      <c r="DA25" s="39" t="n">
        <f aca="false">IF(DA$4=0,0,IF(COUNTIFS(実績!$W$6:$W$505,DA$3,実績!$AI$6:$AI$505,"&lt;="&amp;$A25,実績!$AJ$6:$AJ$505,"&gt;"&amp;$A25,実績!$AK$6:$AK$505,"○")&gt;0,1,0))</f>
        <v>0</v>
      </c>
      <c r="DB25" s="39" t="n">
        <f aca="false">IF(DB$4=0,0,IF(COUNTIFS(実績!$W$6:$W$505,DB$3,実績!$AI$6:$AI$505,"&lt;="&amp;$A25,実績!$AJ$6:$AJ$505,"&gt;"&amp;$A25,実績!$AK$6:$AK$505,"○")&gt;0,1,0))</f>
        <v>0</v>
      </c>
      <c r="DC25" s="39" t="n">
        <f aca="false">IF(DC$4=0,0,IF(COUNTIFS(実績!$W$6:$W$505,DC$3,実績!$AI$6:$AI$505,"&lt;="&amp;$A25,実績!$AJ$6:$AJ$505,"&gt;"&amp;$A25,実績!$AK$6:$AK$505,"○")&gt;0,1,0))</f>
        <v>0</v>
      </c>
      <c r="DD25" s="39" t="n">
        <f aca="false">IF(DD$4=0,0,IF(COUNTIFS(実績!$W$6:$W$505,DD$3,実績!$AI$6:$AI$505,"&lt;="&amp;$A25,実績!$AJ$6:$AJ$505,"&gt;"&amp;$A25,実績!$AK$6:$AK$505,"○")&gt;0,1,0))</f>
        <v>0</v>
      </c>
      <c r="DE25" s="39" t="n">
        <f aca="false">IF(DE$4=0,0,IF(COUNTIFS(実績!$W$6:$W$505,DE$3,実績!$AI$6:$AI$505,"&lt;="&amp;$A25,実績!$AJ$6:$AJ$505,"&gt;"&amp;$A25,実績!$AK$6:$AK$505,"○")&gt;0,1,0))</f>
        <v>0</v>
      </c>
      <c r="DF25" s="39" t="n">
        <f aca="false">IF(DF$4=0,0,IF(COUNTIFS(実績!$W$6:$W$505,DF$3,実績!$AI$6:$AI$505,"&lt;="&amp;$A25,実績!$AJ$6:$AJ$505,"&gt;"&amp;$A25,実績!$AK$6:$AK$505,"○")&gt;0,1,0))</f>
        <v>0</v>
      </c>
      <c r="DG25" s="39" t="n">
        <f aca="false">IF(DG$4=0,0,IF(COUNTIFS(実績!$W$6:$W$505,DG$3,実績!$AI$6:$AI$505,"&lt;="&amp;$A25,実績!$AJ$6:$AJ$505,"&gt;"&amp;$A25,実績!$AK$6:$AK$505,"○")&gt;0,1,0))</f>
        <v>0</v>
      </c>
      <c r="DH25" s="39" t="n">
        <f aca="false">IF(DH$4=0,0,IF(COUNTIFS(実績!$W$6:$W$505,DH$3,実績!$AI$6:$AI$505,"&lt;="&amp;$A25,実績!$AJ$6:$AJ$505,"&gt;"&amp;$A25,実績!$AK$6:$AK$505,"○")&gt;0,1,0))</f>
        <v>0</v>
      </c>
      <c r="DI25" s="39" t="n">
        <f aca="false">IF(DI$4=0,0,IF(COUNTIFS(実績!$W$6:$W$505,DI$3,実績!$AI$6:$AI$505,"&lt;="&amp;$A25,実績!$AJ$6:$AJ$505,"&gt;"&amp;$A25,実績!$AK$6:$AK$505,"○")&gt;0,1,0))</f>
        <v>0</v>
      </c>
      <c r="DJ25" s="39" t="n">
        <f aca="false">IF(DJ$4=0,0,IF(COUNTIFS(実績!$W$6:$W$505,DJ$3,実績!$AI$6:$AI$505,"&lt;="&amp;$A25,実績!$AJ$6:$AJ$505,"&gt;"&amp;$A25,実績!$AK$6:$AK$505,"○")&gt;0,1,0))</f>
        <v>0</v>
      </c>
      <c r="DK25" s="39" t="n">
        <f aca="false">IF(DK$4=0,0,IF(COUNTIFS(実績!$W$6:$W$505,DK$3,実績!$AI$6:$AI$505,"&lt;="&amp;$A25,実績!$AJ$6:$AJ$505,"&gt;"&amp;$A25,実績!$AK$6:$AK$505,"○")&gt;0,1,0))</f>
        <v>0</v>
      </c>
      <c r="DL25" s="39" t="n">
        <f aca="false">IF(DL$4=0,0,IF(COUNTIFS(実績!$W$6:$W$505,DL$3,実績!$AI$6:$AI$505,"&lt;="&amp;$A25,実績!$AJ$6:$AJ$505,"&gt;"&amp;$A25,実績!$AK$6:$AK$505,"○")&gt;0,1,0))</f>
        <v>0</v>
      </c>
      <c r="DM25" s="39" t="n">
        <f aca="false">IF(DM$4=0,0,IF(COUNTIFS(実績!$W$6:$W$505,DM$3,実績!$AI$6:$AI$505,"&lt;="&amp;$A25,実績!$AJ$6:$AJ$505,"&gt;"&amp;$A25,実績!$AK$6:$AK$505,"○")&gt;0,1,0))</f>
        <v>0</v>
      </c>
      <c r="DN25" s="39" t="n">
        <f aca="false">IF(DN$4=0,0,IF(COUNTIFS(実績!$W$6:$W$505,DN$3,実績!$AI$6:$AI$505,"&lt;="&amp;$A25,実績!$AJ$6:$AJ$505,"&gt;"&amp;$A25,実績!$AK$6:$AK$505,"○")&gt;0,1,0))</f>
        <v>0</v>
      </c>
      <c r="DO25" s="39" t="n">
        <f aca="false">IF(DO$4=0,0,IF(COUNTIFS(実績!$W$6:$W$505,DO$3,実績!$AI$6:$AI$505,"&lt;="&amp;$A25,実績!$AJ$6:$AJ$505,"&gt;"&amp;$A25,実績!$AK$6:$AK$505,"○")&gt;0,1,0))</f>
        <v>0</v>
      </c>
      <c r="DP25" s="39" t="n">
        <f aca="false">IF(DP$4=0,0,IF(COUNTIFS(実績!$W$6:$W$505,DP$3,実績!$AI$6:$AI$505,"&lt;="&amp;$A25,実績!$AJ$6:$AJ$505,"&gt;"&amp;$A25,実績!$AK$6:$AK$505,"○")&gt;0,1,0))</f>
        <v>0</v>
      </c>
      <c r="DQ25" s="39" t="n">
        <f aca="false">IF(DQ$4=0,0,IF(COUNTIFS(実績!$W$6:$W$505,DQ$3,実績!$AI$6:$AI$505,"&lt;="&amp;$A25,実績!$AJ$6:$AJ$505,"&gt;"&amp;$A25,実績!$AK$6:$AK$505,"○")&gt;0,1,0))</f>
        <v>0</v>
      </c>
      <c r="DR25" s="39" t="n">
        <f aca="false">IF(DR$4=0,0,IF(COUNTIFS(実績!$W$6:$W$505,DR$3,実績!$AI$6:$AI$505,"&lt;="&amp;$A25,実績!$AJ$6:$AJ$505,"&gt;"&amp;$A25,実績!$AK$6:$AK$505,"○")&gt;0,1,0))</f>
        <v>0</v>
      </c>
      <c r="DS25" s="39" t="n">
        <f aca="false">SUM(C25:DR25)</f>
        <v>0</v>
      </c>
      <c r="DT25" s="39" t="n">
        <f aca="false">SUMPRODUCT((実績!$C$6:$C$505="○")*ISNUMBER(実績!$AM$6:$AM$505)*(実績!$AM$6:$AM$505&lt;=$A25)*(実績!$AN$6:$AN$505&gt;$A25))</f>
        <v>0</v>
      </c>
      <c r="DU25" s="39" t="n">
        <f aca="false">SUMIF($C$2:$DR$2,"製鉄曳船",C25:DR25)</f>
        <v>0</v>
      </c>
      <c r="DV25" s="39" t="n">
        <f aca="false">SUMIF($C$2:$DR$2,"西日本海運",C25:DR25)</f>
        <v>0</v>
      </c>
    </row>
    <row r="26" customFormat="false" ht="15" hidden="false" customHeight="false" outlineLevel="0" collapsed="false">
      <c r="A26" s="0" t="n">
        <v>100</v>
      </c>
      <c r="B26" s="38" t="n">
        <f aca="false">A26/1440</f>
        <v>0.0694444444444445</v>
      </c>
      <c r="C26" s="39" t="n">
        <f aca="false">IF(C$4=0,0,IF(COUNTIFS(実績!$W$6:$W$505,C$3,実績!$AI$6:$AI$505,"&lt;="&amp;$A26,実績!$AJ$6:$AJ$505,"&gt;"&amp;$A26,実績!$AK$6:$AK$505,"○")&gt;0,1,0))</f>
        <v>0</v>
      </c>
      <c r="D26" s="39" t="n">
        <f aca="false">IF(D$4=0,0,IF(COUNTIFS(実績!$W$6:$W$505,D$3,実績!$AI$6:$AI$505,"&lt;="&amp;$A26,実績!$AJ$6:$AJ$505,"&gt;"&amp;$A26,実績!$AK$6:$AK$505,"○")&gt;0,1,0))</f>
        <v>0</v>
      </c>
      <c r="E26" s="39" t="n">
        <f aca="false">IF(E$4=0,0,IF(COUNTIFS(実績!$W$6:$W$505,E$3,実績!$AI$6:$AI$505,"&lt;="&amp;$A26,実績!$AJ$6:$AJ$505,"&gt;"&amp;$A26,実績!$AK$6:$AK$505,"○")&gt;0,1,0))</f>
        <v>0</v>
      </c>
      <c r="F26" s="39" t="n">
        <f aca="false">IF(F$4=0,0,IF(COUNTIFS(実績!$W$6:$W$505,F$3,実績!$AI$6:$AI$505,"&lt;="&amp;$A26,実績!$AJ$6:$AJ$505,"&gt;"&amp;$A26,実績!$AK$6:$AK$505,"○")&gt;0,1,0))</f>
        <v>0</v>
      </c>
      <c r="G26" s="39" t="n">
        <f aca="false">IF(G$4=0,0,IF(COUNTIFS(実績!$W$6:$W$505,G$3,実績!$AI$6:$AI$505,"&lt;="&amp;$A26,実績!$AJ$6:$AJ$505,"&gt;"&amp;$A26,実績!$AK$6:$AK$505,"○")&gt;0,1,0))</f>
        <v>0</v>
      </c>
      <c r="H26" s="39" t="n">
        <f aca="false">IF(H$4=0,0,IF(COUNTIFS(実績!$W$6:$W$505,H$3,実績!$AI$6:$AI$505,"&lt;="&amp;$A26,実績!$AJ$6:$AJ$505,"&gt;"&amp;$A26,実績!$AK$6:$AK$505,"○")&gt;0,1,0))</f>
        <v>0</v>
      </c>
      <c r="I26" s="39" t="n">
        <f aca="false">IF(I$4=0,0,IF(COUNTIFS(実績!$W$6:$W$505,I$3,実績!$AI$6:$AI$505,"&lt;="&amp;$A26,実績!$AJ$6:$AJ$505,"&gt;"&amp;$A26,実績!$AK$6:$AK$505,"○")&gt;0,1,0))</f>
        <v>0</v>
      </c>
      <c r="J26" s="39" t="n">
        <f aca="false">IF(J$4=0,0,IF(COUNTIFS(実績!$W$6:$W$505,J$3,実績!$AI$6:$AI$505,"&lt;="&amp;$A26,実績!$AJ$6:$AJ$505,"&gt;"&amp;$A26,実績!$AK$6:$AK$505,"○")&gt;0,1,0))</f>
        <v>0</v>
      </c>
      <c r="K26" s="39" t="n">
        <f aca="false">IF(K$4=0,0,IF(COUNTIFS(実績!$W$6:$W$505,K$3,実績!$AI$6:$AI$505,"&lt;="&amp;$A26,実績!$AJ$6:$AJ$505,"&gt;"&amp;$A26,実績!$AK$6:$AK$505,"○")&gt;0,1,0))</f>
        <v>0</v>
      </c>
      <c r="L26" s="39" t="n">
        <f aca="false">IF(L$4=0,0,IF(COUNTIFS(実績!$W$6:$W$505,L$3,実績!$AI$6:$AI$505,"&lt;="&amp;$A26,実績!$AJ$6:$AJ$505,"&gt;"&amp;$A26,実績!$AK$6:$AK$505,"○")&gt;0,1,0))</f>
        <v>0</v>
      </c>
      <c r="M26" s="39" t="n">
        <f aca="false">IF(M$4=0,0,IF(COUNTIFS(実績!$W$6:$W$505,M$3,実績!$AI$6:$AI$505,"&lt;="&amp;$A26,実績!$AJ$6:$AJ$505,"&gt;"&amp;$A26,実績!$AK$6:$AK$505,"○")&gt;0,1,0))</f>
        <v>0</v>
      </c>
      <c r="N26" s="39" t="n">
        <f aca="false">IF(N$4=0,0,IF(COUNTIFS(実績!$W$6:$W$505,N$3,実績!$AI$6:$AI$505,"&lt;="&amp;$A26,実績!$AJ$6:$AJ$505,"&gt;"&amp;$A26,実績!$AK$6:$AK$505,"○")&gt;0,1,0))</f>
        <v>0</v>
      </c>
      <c r="O26" s="39" t="n">
        <f aca="false">IF(O$4=0,0,IF(COUNTIFS(実績!$W$6:$W$505,O$3,実績!$AI$6:$AI$505,"&lt;="&amp;$A26,実績!$AJ$6:$AJ$505,"&gt;"&amp;$A26,実績!$AK$6:$AK$505,"○")&gt;0,1,0))</f>
        <v>0</v>
      </c>
      <c r="P26" s="39" t="n">
        <f aca="false">IF(P$4=0,0,IF(COUNTIFS(実績!$W$6:$W$505,P$3,実績!$AI$6:$AI$505,"&lt;="&amp;$A26,実績!$AJ$6:$AJ$505,"&gt;"&amp;$A26,実績!$AK$6:$AK$505,"○")&gt;0,1,0))</f>
        <v>0</v>
      </c>
      <c r="Q26" s="39" t="n">
        <f aca="false">IF(Q$4=0,0,IF(COUNTIFS(実績!$W$6:$W$505,Q$3,実績!$AI$6:$AI$505,"&lt;="&amp;$A26,実績!$AJ$6:$AJ$505,"&gt;"&amp;$A26,実績!$AK$6:$AK$505,"○")&gt;0,1,0))</f>
        <v>0</v>
      </c>
      <c r="R26" s="39" t="n">
        <f aca="false">IF(R$4=0,0,IF(COUNTIFS(実績!$W$6:$W$505,R$3,実績!$AI$6:$AI$505,"&lt;="&amp;$A26,実績!$AJ$6:$AJ$505,"&gt;"&amp;$A26,実績!$AK$6:$AK$505,"○")&gt;0,1,0))</f>
        <v>0</v>
      </c>
      <c r="S26" s="39" t="n">
        <f aca="false">IF(S$4=0,0,IF(COUNTIFS(実績!$W$6:$W$505,S$3,実績!$AI$6:$AI$505,"&lt;="&amp;$A26,実績!$AJ$6:$AJ$505,"&gt;"&amp;$A26,実績!$AK$6:$AK$505,"○")&gt;0,1,0))</f>
        <v>0</v>
      </c>
      <c r="T26" s="39" t="n">
        <f aca="false">IF(T$4=0,0,IF(COUNTIFS(実績!$W$6:$W$505,T$3,実績!$AI$6:$AI$505,"&lt;="&amp;$A26,実績!$AJ$6:$AJ$505,"&gt;"&amp;$A26,実績!$AK$6:$AK$505,"○")&gt;0,1,0))</f>
        <v>0</v>
      </c>
      <c r="U26" s="39" t="n">
        <f aca="false">IF(U$4=0,0,IF(COUNTIFS(実績!$W$6:$W$505,U$3,実績!$AI$6:$AI$505,"&lt;="&amp;$A26,実績!$AJ$6:$AJ$505,"&gt;"&amp;$A26,実績!$AK$6:$AK$505,"○")&gt;0,1,0))</f>
        <v>0</v>
      </c>
      <c r="V26" s="39" t="n">
        <f aca="false">IF(V$4=0,0,IF(COUNTIFS(実績!$W$6:$W$505,V$3,実績!$AI$6:$AI$505,"&lt;="&amp;$A26,実績!$AJ$6:$AJ$505,"&gt;"&amp;$A26,実績!$AK$6:$AK$505,"○")&gt;0,1,0))</f>
        <v>0</v>
      </c>
      <c r="W26" s="39" t="n">
        <f aca="false">IF(W$4=0,0,IF(COUNTIFS(実績!$W$6:$W$505,W$3,実績!$AI$6:$AI$505,"&lt;="&amp;$A26,実績!$AJ$6:$AJ$505,"&gt;"&amp;$A26,実績!$AK$6:$AK$505,"○")&gt;0,1,0))</f>
        <v>0</v>
      </c>
      <c r="X26" s="39" t="n">
        <f aca="false">IF(X$4=0,0,IF(COUNTIFS(実績!$W$6:$W$505,X$3,実績!$AI$6:$AI$505,"&lt;="&amp;$A26,実績!$AJ$6:$AJ$505,"&gt;"&amp;$A26,実績!$AK$6:$AK$505,"○")&gt;0,1,0))</f>
        <v>0</v>
      </c>
      <c r="Y26" s="39" t="n">
        <f aca="false">IF(Y$4=0,0,IF(COUNTIFS(実績!$W$6:$W$505,Y$3,実績!$AI$6:$AI$505,"&lt;="&amp;$A26,実績!$AJ$6:$AJ$505,"&gt;"&amp;$A26,実績!$AK$6:$AK$505,"○")&gt;0,1,0))</f>
        <v>0</v>
      </c>
      <c r="Z26" s="39" t="n">
        <f aca="false">IF(Z$4=0,0,IF(COUNTIFS(実績!$W$6:$W$505,Z$3,実績!$AI$6:$AI$505,"&lt;="&amp;$A26,実績!$AJ$6:$AJ$505,"&gt;"&amp;$A26,実績!$AK$6:$AK$505,"○")&gt;0,1,0))</f>
        <v>0</v>
      </c>
      <c r="AA26" s="39" t="n">
        <f aca="false">IF(AA$4=0,0,IF(COUNTIFS(実績!$W$6:$W$505,AA$3,実績!$AI$6:$AI$505,"&lt;="&amp;$A26,実績!$AJ$6:$AJ$505,"&gt;"&amp;$A26,実績!$AK$6:$AK$505,"○")&gt;0,1,0))</f>
        <v>0</v>
      </c>
      <c r="AB26" s="39" t="n">
        <f aca="false">IF(AB$4=0,0,IF(COUNTIFS(実績!$W$6:$W$505,AB$3,実績!$AI$6:$AI$505,"&lt;="&amp;$A26,実績!$AJ$6:$AJ$505,"&gt;"&amp;$A26,実績!$AK$6:$AK$505,"○")&gt;0,1,0))</f>
        <v>0</v>
      </c>
      <c r="AC26" s="39" t="n">
        <f aca="false">IF(AC$4=0,0,IF(COUNTIFS(実績!$W$6:$W$505,AC$3,実績!$AI$6:$AI$505,"&lt;="&amp;$A26,実績!$AJ$6:$AJ$505,"&gt;"&amp;$A26,実績!$AK$6:$AK$505,"○")&gt;0,1,0))</f>
        <v>0</v>
      </c>
      <c r="AD26" s="39" t="n">
        <f aca="false">IF(AD$4=0,0,IF(COUNTIFS(実績!$W$6:$W$505,AD$3,実績!$AI$6:$AI$505,"&lt;="&amp;$A26,実績!$AJ$6:$AJ$505,"&gt;"&amp;$A26,実績!$AK$6:$AK$505,"○")&gt;0,1,0))</f>
        <v>0</v>
      </c>
      <c r="AE26" s="39" t="n">
        <f aca="false">IF(AE$4=0,0,IF(COUNTIFS(実績!$W$6:$W$505,AE$3,実績!$AI$6:$AI$505,"&lt;="&amp;$A26,実績!$AJ$6:$AJ$505,"&gt;"&amp;$A26,実績!$AK$6:$AK$505,"○")&gt;0,1,0))</f>
        <v>0</v>
      </c>
      <c r="AF26" s="39" t="n">
        <f aca="false">IF(AF$4=0,0,IF(COUNTIFS(実績!$W$6:$W$505,AF$3,実績!$AI$6:$AI$505,"&lt;="&amp;$A26,実績!$AJ$6:$AJ$505,"&gt;"&amp;$A26,実績!$AK$6:$AK$505,"○")&gt;0,1,0))</f>
        <v>0</v>
      </c>
      <c r="AG26" s="39" t="n">
        <f aca="false">IF(AG$4=0,0,IF(COUNTIFS(実績!$W$6:$W$505,AG$3,実績!$AI$6:$AI$505,"&lt;="&amp;$A26,実績!$AJ$6:$AJ$505,"&gt;"&amp;$A26,実績!$AK$6:$AK$505,"○")&gt;0,1,0))</f>
        <v>0</v>
      </c>
      <c r="AH26" s="39" t="n">
        <f aca="false">IF(AH$4=0,0,IF(COUNTIFS(実績!$W$6:$W$505,AH$3,実績!$AI$6:$AI$505,"&lt;="&amp;$A26,実績!$AJ$6:$AJ$505,"&gt;"&amp;$A26,実績!$AK$6:$AK$505,"○")&gt;0,1,0))</f>
        <v>0</v>
      </c>
      <c r="AI26" s="39" t="n">
        <f aca="false">IF(AI$4=0,0,IF(COUNTIFS(実績!$W$6:$W$505,AI$3,実績!$AI$6:$AI$505,"&lt;="&amp;$A26,実績!$AJ$6:$AJ$505,"&gt;"&amp;$A26,実績!$AK$6:$AK$505,"○")&gt;0,1,0))</f>
        <v>0</v>
      </c>
      <c r="AJ26" s="39" t="n">
        <f aca="false">IF(AJ$4=0,0,IF(COUNTIFS(実績!$W$6:$W$505,AJ$3,実績!$AI$6:$AI$505,"&lt;="&amp;$A26,実績!$AJ$6:$AJ$505,"&gt;"&amp;$A26,実績!$AK$6:$AK$505,"○")&gt;0,1,0))</f>
        <v>0</v>
      </c>
      <c r="AK26" s="39" t="n">
        <f aca="false">IF(AK$4=0,0,IF(COUNTIFS(実績!$W$6:$W$505,AK$3,実績!$AI$6:$AI$505,"&lt;="&amp;$A26,実績!$AJ$6:$AJ$505,"&gt;"&amp;$A26,実績!$AK$6:$AK$505,"○")&gt;0,1,0))</f>
        <v>0</v>
      </c>
      <c r="AL26" s="39" t="n">
        <f aca="false">IF(AL$4=0,0,IF(COUNTIFS(実績!$W$6:$W$505,AL$3,実績!$AI$6:$AI$505,"&lt;="&amp;$A26,実績!$AJ$6:$AJ$505,"&gt;"&amp;$A26,実績!$AK$6:$AK$505,"○")&gt;0,1,0))</f>
        <v>0</v>
      </c>
      <c r="AM26" s="39" t="n">
        <f aca="false">IF(AM$4=0,0,IF(COUNTIFS(実績!$W$6:$W$505,AM$3,実績!$AI$6:$AI$505,"&lt;="&amp;$A26,実績!$AJ$6:$AJ$505,"&gt;"&amp;$A26,実績!$AK$6:$AK$505,"○")&gt;0,1,0))</f>
        <v>0</v>
      </c>
      <c r="AN26" s="39" t="n">
        <f aca="false">IF(AN$4=0,0,IF(COUNTIFS(実績!$W$6:$W$505,AN$3,実績!$AI$6:$AI$505,"&lt;="&amp;$A26,実績!$AJ$6:$AJ$505,"&gt;"&amp;$A26,実績!$AK$6:$AK$505,"○")&gt;0,1,0))</f>
        <v>0</v>
      </c>
      <c r="AO26" s="39" t="n">
        <f aca="false">IF(AO$4=0,0,IF(COUNTIFS(実績!$W$6:$W$505,AO$3,実績!$AI$6:$AI$505,"&lt;="&amp;$A26,実績!$AJ$6:$AJ$505,"&gt;"&amp;$A26,実績!$AK$6:$AK$505,"○")&gt;0,1,0))</f>
        <v>0</v>
      </c>
      <c r="AP26" s="39" t="n">
        <f aca="false">IF(AP$4=0,0,IF(COUNTIFS(実績!$W$6:$W$505,AP$3,実績!$AI$6:$AI$505,"&lt;="&amp;$A26,実績!$AJ$6:$AJ$505,"&gt;"&amp;$A26,実績!$AK$6:$AK$505,"○")&gt;0,1,0))</f>
        <v>0</v>
      </c>
      <c r="AQ26" s="39" t="n">
        <f aca="false">IF(AQ$4=0,0,IF(COUNTIFS(実績!$W$6:$W$505,AQ$3,実績!$AI$6:$AI$505,"&lt;="&amp;$A26,実績!$AJ$6:$AJ$505,"&gt;"&amp;$A26,実績!$AK$6:$AK$505,"○")&gt;0,1,0))</f>
        <v>0</v>
      </c>
      <c r="AR26" s="39" t="n">
        <f aca="false">IF(AR$4=0,0,IF(COUNTIFS(実績!$W$6:$W$505,AR$3,実績!$AI$6:$AI$505,"&lt;="&amp;$A26,実績!$AJ$6:$AJ$505,"&gt;"&amp;$A26,実績!$AK$6:$AK$505,"○")&gt;0,1,0))</f>
        <v>0</v>
      </c>
      <c r="AS26" s="39" t="n">
        <f aca="false">IF(AS$4=0,0,IF(COUNTIFS(実績!$W$6:$W$505,AS$3,実績!$AI$6:$AI$505,"&lt;="&amp;$A26,実績!$AJ$6:$AJ$505,"&gt;"&amp;$A26,実績!$AK$6:$AK$505,"○")&gt;0,1,0))</f>
        <v>0</v>
      </c>
      <c r="AT26" s="39" t="n">
        <f aca="false">IF(AT$4=0,0,IF(COUNTIFS(実績!$W$6:$W$505,AT$3,実績!$AI$6:$AI$505,"&lt;="&amp;$A26,実績!$AJ$6:$AJ$505,"&gt;"&amp;$A26,実績!$AK$6:$AK$505,"○")&gt;0,1,0))</f>
        <v>0</v>
      </c>
      <c r="AU26" s="39" t="n">
        <f aca="false">IF(AU$4=0,0,IF(COUNTIFS(実績!$W$6:$W$505,AU$3,実績!$AI$6:$AI$505,"&lt;="&amp;$A26,実績!$AJ$6:$AJ$505,"&gt;"&amp;$A26,実績!$AK$6:$AK$505,"○")&gt;0,1,0))</f>
        <v>0</v>
      </c>
      <c r="AV26" s="39" t="n">
        <f aca="false">IF(AV$4=0,0,IF(COUNTIFS(実績!$W$6:$W$505,AV$3,実績!$AI$6:$AI$505,"&lt;="&amp;$A26,実績!$AJ$6:$AJ$505,"&gt;"&amp;$A26,実績!$AK$6:$AK$505,"○")&gt;0,1,0))</f>
        <v>0</v>
      </c>
      <c r="AW26" s="39" t="n">
        <f aca="false">IF(AW$4=0,0,IF(COUNTIFS(実績!$W$6:$W$505,AW$3,実績!$AI$6:$AI$505,"&lt;="&amp;$A26,実績!$AJ$6:$AJ$505,"&gt;"&amp;$A26,実績!$AK$6:$AK$505,"○")&gt;0,1,0))</f>
        <v>0</v>
      </c>
      <c r="AX26" s="39" t="n">
        <f aca="false">IF(AX$4=0,0,IF(COUNTIFS(実績!$W$6:$W$505,AX$3,実績!$AI$6:$AI$505,"&lt;="&amp;$A26,実績!$AJ$6:$AJ$505,"&gt;"&amp;$A26,実績!$AK$6:$AK$505,"○")&gt;0,1,0))</f>
        <v>0</v>
      </c>
      <c r="AY26" s="39" t="n">
        <f aca="false">IF(AY$4=0,0,IF(COUNTIFS(実績!$W$6:$W$505,AY$3,実績!$AI$6:$AI$505,"&lt;="&amp;$A26,実績!$AJ$6:$AJ$505,"&gt;"&amp;$A26,実績!$AK$6:$AK$505,"○")&gt;0,1,0))</f>
        <v>0</v>
      </c>
      <c r="AZ26" s="39" t="n">
        <f aca="false">IF(AZ$4=0,0,IF(COUNTIFS(実績!$W$6:$W$505,AZ$3,実績!$AI$6:$AI$505,"&lt;="&amp;$A26,実績!$AJ$6:$AJ$505,"&gt;"&amp;$A26,実績!$AK$6:$AK$505,"○")&gt;0,1,0))</f>
        <v>0</v>
      </c>
      <c r="BA26" s="39" t="n">
        <f aca="false">IF(BA$4=0,0,IF(COUNTIFS(実績!$W$6:$W$505,BA$3,実績!$AI$6:$AI$505,"&lt;="&amp;$A26,実績!$AJ$6:$AJ$505,"&gt;"&amp;$A26,実績!$AK$6:$AK$505,"○")&gt;0,1,0))</f>
        <v>0</v>
      </c>
      <c r="BB26" s="39" t="n">
        <f aca="false">IF(BB$4=0,0,IF(COUNTIFS(実績!$W$6:$W$505,BB$3,実績!$AI$6:$AI$505,"&lt;="&amp;$A26,実績!$AJ$6:$AJ$505,"&gt;"&amp;$A26,実績!$AK$6:$AK$505,"○")&gt;0,1,0))</f>
        <v>0</v>
      </c>
      <c r="BC26" s="39" t="n">
        <f aca="false">IF(BC$4=0,0,IF(COUNTIFS(実績!$W$6:$W$505,BC$3,実績!$AI$6:$AI$505,"&lt;="&amp;$A26,実績!$AJ$6:$AJ$505,"&gt;"&amp;$A26,実績!$AK$6:$AK$505,"○")&gt;0,1,0))</f>
        <v>0</v>
      </c>
      <c r="BD26" s="39" t="n">
        <f aca="false">IF(BD$4=0,0,IF(COUNTIFS(実績!$W$6:$W$505,BD$3,実績!$AI$6:$AI$505,"&lt;="&amp;$A26,実績!$AJ$6:$AJ$505,"&gt;"&amp;$A26,実績!$AK$6:$AK$505,"○")&gt;0,1,0))</f>
        <v>0</v>
      </c>
      <c r="BE26" s="39" t="n">
        <f aca="false">IF(BE$4=0,0,IF(COUNTIFS(実績!$W$6:$W$505,BE$3,実績!$AI$6:$AI$505,"&lt;="&amp;$A26,実績!$AJ$6:$AJ$505,"&gt;"&amp;$A26,実績!$AK$6:$AK$505,"○")&gt;0,1,0))</f>
        <v>0</v>
      </c>
      <c r="BF26" s="39" t="n">
        <f aca="false">IF(BF$4=0,0,IF(COUNTIFS(実績!$W$6:$W$505,BF$3,実績!$AI$6:$AI$505,"&lt;="&amp;$A26,実績!$AJ$6:$AJ$505,"&gt;"&amp;$A26,実績!$AK$6:$AK$505,"○")&gt;0,1,0))</f>
        <v>0</v>
      </c>
      <c r="BG26" s="39" t="n">
        <f aca="false">IF(BG$4=0,0,IF(COUNTIFS(実績!$W$6:$W$505,BG$3,実績!$AI$6:$AI$505,"&lt;="&amp;$A26,実績!$AJ$6:$AJ$505,"&gt;"&amp;$A26,実績!$AK$6:$AK$505,"○")&gt;0,1,0))</f>
        <v>0</v>
      </c>
      <c r="BH26" s="39" t="n">
        <f aca="false">IF(BH$4=0,0,IF(COUNTIFS(実績!$W$6:$W$505,BH$3,実績!$AI$6:$AI$505,"&lt;="&amp;$A26,実績!$AJ$6:$AJ$505,"&gt;"&amp;$A26,実績!$AK$6:$AK$505,"○")&gt;0,1,0))</f>
        <v>0</v>
      </c>
      <c r="BI26" s="39" t="n">
        <f aca="false">IF(BI$4=0,0,IF(COUNTIFS(実績!$W$6:$W$505,BI$3,実績!$AI$6:$AI$505,"&lt;="&amp;$A26,実績!$AJ$6:$AJ$505,"&gt;"&amp;$A26,実績!$AK$6:$AK$505,"○")&gt;0,1,0))</f>
        <v>0</v>
      </c>
      <c r="BJ26" s="39" t="n">
        <f aca="false">IF(BJ$4=0,0,IF(COUNTIFS(実績!$W$6:$W$505,BJ$3,実績!$AI$6:$AI$505,"&lt;="&amp;$A26,実績!$AJ$6:$AJ$505,"&gt;"&amp;$A26,実績!$AK$6:$AK$505,"○")&gt;0,1,0))</f>
        <v>0</v>
      </c>
      <c r="BK26" s="39" t="n">
        <f aca="false">IF(BK$4=0,0,IF(COUNTIFS(実績!$W$6:$W$505,BK$3,実績!$AI$6:$AI$505,"&lt;="&amp;$A26,実績!$AJ$6:$AJ$505,"&gt;"&amp;$A26,実績!$AK$6:$AK$505,"○")&gt;0,1,0))</f>
        <v>0</v>
      </c>
      <c r="BL26" s="39" t="n">
        <f aca="false">IF(BL$4=0,0,IF(COUNTIFS(実績!$W$6:$W$505,BL$3,実績!$AI$6:$AI$505,"&lt;="&amp;$A26,実績!$AJ$6:$AJ$505,"&gt;"&amp;$A26,実績!$AK$6:$AK$505,"○")&gt;0,1,0))</f>
        <v>0</v>
      </c>
      <c r="BM26" s="39" t="n">
        <f aca="false">IF(BM$4=0,0,IF(COUNTIFS(実績!$W$6:$W$505,BM$3,実績!$AI$6:$AI$505,"&lt;="&amp;$A26,実績!$AJ$6:$AJ$505,"&gt;"&amp;$A26,実績!$AK$6:$AK$505,"○")&gt;0,1,0))</f>
        <v>0</v>
      </c>
      <c r="BN26" s="39" t="n">
        <f aca="false">IF(BN$4=0,0,IF(COUNTIFS(実績!$W$6:$W$505,BN$3,実績!$AI$6:$AI$505,"&lt;="&amp;$A26,実績!$AJ$6:$AJ$505,"&gt;"&amp;$A26,実績!$AK$6:$AK$505,"○")&gt;0,1,0))</f>
        <v>0</v>
      </c>
      <c r="BO26" s="39" t="n">
        <f aca="false">IF(BO$4=0,0,IF(COUNTIFS(実績!$W$6:$W$505,BO$3,実績!$AI$6:$AI$505,"&lt;="&amp;$A26,実績!$AJ$6:$AJ$505,"&gt;"&amp;$A26,実績!$AK$6:$AK$505,"○")&gt;0,1,0))</f>
        <v>0</v>
      </c>
      <c r="BP26" s="39" t="n">
        <f aca="false">IF(BP$4=0,0,IF(COUNTIFS(実績!$W$6:$W$505,BP$3,実績!$AI$6:$AI$505,"&lt;="&amp;$A26,実績!$AJ$6:$AJ$505,"&gt;"&amp;$A26,実績!$AK$6:$AK$505,"○")&gt;0,1,0))</f>
        <v>0</v>
      </c>
      <c r="BQ26" s="39" t="n">
        <f aca="false">IF(BQ$4=0,0,IF(COUNTIFS(実績!$W$6:$W$505,BQ$3,実績!$AI$6:$AI$505,"&lt;="&amp;$A26,実績!$AJ$6:$AJ$505,"&gt;"&amp;$A26,実績!$AK$6:$AK$505,"○")&gt;0,1,0))</f>
        <v>0</v>
      </c>
      <c r="BR26" s="39" t="n">
        <f aca="false">IF(BR$4=0,0,IF(COUNTIFS(実績!$W$6:$W$505,BR$3,実績!$AI$6:$AI$505,"&lt;="&amp;$A26,実績!$AJ$6:$AJ$505,"&gt;"&amp;$A26,実績!$AK$6:$AK$505,"○")&gt;0,1,0))</f>
        <v>0</v>
      </c>
      <c r="BS26" s="39" t="n">
        <f aca="false">IF(BS$4=0,0,IF(COUNTIFS(実績!$W$6:$W$505,BS$3,実績!$AI$6:$AI$505,"&lt;="&amp;$A26,実績!$AJ$6:$AJ$505,"&gt;"&amp;$A26,実績!$AK$6:$AK$505,"○")&gt;0,1,0))</f>
        <v>0</v>
      </c>
      <c r="BT26" s="39" t="n">
        <f aca="false">IF(BT$4=0,0,IF(COUNTIFS(実績!$W$6:$W$505,BT$3,実績!$AI$6:$AI$505,"&lt;="&amp;$A26,実績!$AJ$6:$AJ$505,"&gt;"&amp;$A26,実績!$AK$6:$AK$505,"○")&gt;0,1,0))</f>
        <v>0</v>
      </c>
      <c r="BU26" s="39" t="n">
        <f aca="false">IF(BU$4=0,0,IF(COUNTIFS(実績!$W$6:$W$505,BU$3,実績!$AI$6:$AI$505,"&lt;="&amp;$A26,実績!$AJ$6:$AJ$505,"&gt;"&amp;$A26,実績!$AK$6:$AK$505,"○")&gt;0,1,0))</f>
        <v>0</v>
      </c>
      <c r="BV26" s="39" t="n">
        <f aca="false">IF(BV$4=0,0,IF(COUNTIFS(実績!$W$6:$W$505,BV$3,実績!$AI$6:$AI$505,"&lt;="&amp;$A26,実績!$AJ$6:$AJ$505,"&gt;"&amp;$A26,実績!$AK$6:$AK$505,"○")&gt;0,1,0))</f>
        <v>0</v>
      </c>
      <c r="BW26" s="39" t="n">
        <f aca="false">IF(BW$4=0,0,IF(COUNTIFS(実績!$W$6:$W$505,BW$3,実績!$AI$6:$AI$505,"&lt;="&amp;$A26,実績!$AJ$6:$AJ$505,"&gt;"&amp;$A26,実績!$AK$6:$AK$505,"○")&gt;0,1,0))</f>
        <v>0</v>
      </c>
      <c r="BX26" s="39" t="n">
        <f aca="false">IF(BX$4=0,0,IF(COUNTIFS(実績!$W$6:$W$505,BX$3,実績!$AI$6:$AI$505,"&lt;="&amp;$A26,実績!$AJ$6:$AJ$505,"&gt;"&amp;$A26,実績!$AK$6:$AK$505,"○")&gt;0,1,0))</f>
        <v>0</v>
      </c>
      <c r="BY26" s="39" t="n">
        <f aca="false">IF(BY$4=0,0,IF(COUNTIFS(実績!$W$6:$W$505,BY$3,実績!$AI$6:$AI$505,"&lt;="&amp;$A26,実績!$AJ$6:$AJ$505,"&gt;"&amp;$A26,実績!$AK$6:$AK$505,"○")&gt;0,1,0))</f>
        <v>0</v>
      </c>
      <c r="BZ26" s="39" t="n">
        <f aca="false">IF(BZ$4=0,0,IF(COUNTIFS(実績!$W$6:$W$505,BZ$3,実績!$AI$6:$AI$505,"&lt;="&amp;$A26,実績!$AJ$6:$AJ$505,"&gt;"&amp;$A26,実績!$AK$6:$AK$505,"○")&gt;0,1,0))</f>
        <v>0</v>
      </c>
      <c r="CA26" s="39" t="n">
        <f aca="false">IF(CA$4=0,0,IF(COUNTIFS(実績!$W$6:$W$505,CA$3,実績!$AI$6:$AI$505,"&lt;="&amp;$A26,実績!$AJ$6:$AJ$505,"&gt;"&amp;$A26,実績!$AK$6:$AK$505,"○")&gt;0,1,0))</f>
        <v>0</v>
      </c>
      <c r="CB26" s="39" t="n">
        <f aca="false">IF(CB$4=0,0,IF(COUNTIFS(実績!$W$6:$W$505,CB$3,実績!$AI$6:$AI$505,"&lt;="&amp;$A26,実績!$AJ$6:$AJ$505,"&gt;"&amp;$A26,実績!$AK$6:$AK$505,"○")&gt;0,1,0))</f>
        <v>0</v>
      </c>
      <c r="CC26" s="39" t="n">
        <f aca="false">IF(CC$4=0,0,IF(COUNTIFS(実績!$W$6:$W$505,CC$3,実績!$AI$6:$AI$505,"&lt;="&amp;$A26,実績!$AJ$6:$AJ$505,"&gt;"&amp;$A26,実績!$AK$6:$AK$505,"○")&gt;0,1,0))</f>
        <v>0</v>
      </c>
      <c r="CD26" s="39" t="n">
        <f aca="false">IF(CD$4=0,0,IF(COUNTIFS(実績!$W$6:$W$505,CD$3,実績!$AI$6:$AI$505,"&lt;="&amp;$A26,実績!$AJ$6:$AJ$505,"&gt;"&amp;$A26,実績!$AK$6:$AK$505,"○")&gt;0,1,0))</f>
        <v>0</v>
      </c>
      <c r="CE26" s="39" t="n">
        <f aca="false">IF(CE$4=0,0,IF(COUNTIFS(実績!$W$6:$W$505,CE$3,実績!$AI$6:$AI$505,"&lt;="&amp;$A26,実績!$AJ$6:$AJ$505,"&gt;"&amp;$A26,実績!$AK$6:$AK$505,"○")&gt;0,1,0))</f>
        <v>0</v>
      </c>
      <c r="CF26" s="39" t="n">
        <f aca="false">IF(CF$4=0,0,IF(COUNTIFS(実績!$W$6:$W$505,CF$3,実績!$AI$6:$AI$505,"&lt;="&amp;$A26,実績!$AJ$6:$AJ$505,"&gt;"&amp;$A26,実績!$AK$6:$AK$505,"○")&gt;0,1,0))</f>
        <v>0</v>
      </c>
      <c r="CG26" s="39" t="n">
        <f aca="false">IF(CG$4=0,0,IF(COUNTIFS(実績!$W$6:$W$505,CG$3,実績!$AI$6:$AI$505,"&lt;="&amp;$A26,実績!$AJ$6:$AJ$505,"&gt;"&amp;$A26,実績!$AK$6:$AK$505,"○")&gt;0,1,0))</f>
        <v>0</v>
      </c>
      <c r="CH26" s="39" t="n">
        <f aca="false">IF(CH$4=0,0,IF(COUNTIFS(実績!$W$6:$W$505,CH$3,実績!$AI$6:$AI$505,"&lt;="&amp;$A26,実績!$AJ$6:$AJ$505,"&gt;"&amp;$A26,実績!$AK$6:$AK$505,"○")&gt;0,1,0))</f>
        <v>0</v>
      </c>
      <c r="CI26" s="39" t="n">
        <f aca="false">IF(CI$4=0,0,IF(COUNTIFS(実績!$W$6:$W$505,CI$3,実績!$AI$6:$AI$505,"&lt;="&amp;$A26,実績!$AJ$6:$AJ$505,"&gt;"&amp;$A26,実績!$AK$6:$AK$505,"○")&gt;0,1,0))</f>
        <v>0</v>
      </c>
      <c r="CJ26" s="39" t="n">
        <f aca="false">IF(CJ$4=0,0,IF(COUNTIFS(実績!$W$6:$W$505,CJ$3,実績!$AI$6:$AI$505,"&lt;="&amp;$A26,実績!$AJ$6:$AJ$505,"&gt;"&amp;$A26,実績!$AK$6:$AK$505,"○")&gt;0,1,0))</f>
        <v>0</v>
      </c>
      <c r="CK26" s="39" t="n">
        <f aca="false">IF(CK$4=0,0,IF(COUNTIFS(実績!$W$6:$W$505,CK$3,実績!$AI$6:$AI$505,"&lt;="&amp;$A26,実績!$AJ$6:$AJ$505,"&gt;"&amp;$A26,実績!$AK$6:$AK$505,"○")&gt;0,1,0))</f>
        <v>0</v>
      </c>
      <c r="CL26" s="39" t="n">
        <f aca="false">IF(CL$4=0,0,IF(COUNTIFS(実績!$W$6:$W$505,CL$3,実績!$AI$6:$AI$505,"&lt;="&amp;$A26,実績!$AJ$6:$AJ$505,"&gt;"&amp;$A26,実績!$AK$6:$AK$505,"○")&gt;0,1,0))</f>
        <v>0</v>
      </c>
      <c r="CM26" s="39" t="n">
        <f aca="false">IF(CM$4=0,0,IF(COUNTIFS(実績!$W$6:$W$505,CM$3,実績!$AI$6:$AI$505,"&lt;="&amp;$A26,実績!$AJ$6:$AJ$505,"&gt;"&amp;$A26,実績!$AK$6:$AK$505,"○")&gt;0,1,0))</f>
        <v>0</v>
      </c>
      <c r="CN26" s="39" t="n">
        <f aca="false">IF(CN$4=0,0,IF(COUNTIFS(実績!$W$6:$W$505,CN$3,実績!$AI$6:$AI$505,"&lt;="&amp;$A26,実績!$AJ$6:$AJ$505,"&gt;"&amp;$A26,実績!$AK$6:$AK$505,"○")&gt;0,1,0))</f>
        <v>0</v>
      </c>
      <c r="CO26" s="39" t="n">
        <f aca="false">IF(CO$4=0,0,IF(COUNTIFS(実績!$W$6:$W$505,CO$3,実績!$AI$6:$AI$505,"&lt;="&amp;$A26,実績!$AJ$6:$AJ$505,"&gt;"&amp;$A26,実績!$AK$6:$AK$505,"○")&gt;0,1,0))</f>
        <v>0</v>
      </c>
      <c r="CP26" s="39" t="n">
        <f aca="false">IF(CP$4=0,0,IF(COUNTIFS(実績!$W$6:$W$505,CP$3,実績!$AI$6:$AI$505,"&lt;="&amp;$A26,実績!$AJ$6:$AJ$505,"&gt;"&amp;$A26,実績!$AK$6:$AK$505,"○")&gt;0,1,0))</f>
        <v>0</v>
      </c>
      <c r="CQ26" s="39" t="n">
        <f aca="false">IF(CQ$4=0,0,IF(COUNTIFS(実績!$W$6:$W$505,CQ$3,実績!$AI$6:$AI$505,"&lt;="&amp;$A26,実績!$AJ$6:$AJ$505,"&gt;"&amp;$A26,実績!$AK$6:$AK$505,"○")&gt;0,1,0))</f>
        <v>0</v>
      </c>
      <c r="CR26" s="39" t="n">
        <f aca="false">IF(CR$4=0,0,IF(COUNTIFS(実績!$W$6:$W$505,CR$3,実績!$AI$6:$AI$505,"&lt;="&amp;$A26,実績!$AJ$6:$AJ$505,"&gt;"&amp;$A26,実績!$AK$6:$AK$505,"○")&gt;0,1,0))</f>
        <v>0</v>
      </c>
      <c r="CS26" s="39" t="n">
        <f aca="false">IF(CS$4=0,0,IF(COUNTIFS(実績!$W$6:$W$505,CS$3,実績!$AI$6:$AI$505,"&lt;="&amp;$A26,実績!$AJ$6:$AJ$505,"&gt;"&amp;$A26,実績!$AK$6:$AK$505,"○")&gt;0,1,0))</f>
        <v>0</v>
      </c>
      <c r="CT26" s="39" t="n">
        <f aca="false">IF(CT$4=0,0,IF(COUNTIFS(実績!$W$6:$W$505,CT$3,実績!$AI$6:$AI$505,"&lt;="&amp;$A26,実績!$AJ$6:$AJ$505,"&gt;"&amp;$A26,実績!$AK$6:$AK$505,"○")&gt;0,1,0))</f>
        <v>0</v>
      </c>
      <c r="CU26" s="39" t="n">
        <f aca="false">IF(CU$4=0,0,IF(COUNTIFS(実績!$W$6:$W$505,CU$3,実績!$AI$6:$AI$505,"&lt;="&amp;$A26,実績!$AJ$6:$AJ$505,"&gt;"&amp;$A26,実績!$AK$6:$AK$505,"○")&gt;0,1,0))</f>
        <v>0</v>
      </c>
      <c r="CV26" s="39" t="n">
        <f aca="false">IF(CV$4=0,0,IF(COUNTIFS(実績!$W$6:$W$505,CV$3,実績!$AI$6:$AI$505,"&lt;="&amp;$A26,実績!$AJ$6:$AJ$505,"&gt;"&amp;$A26,実績!$AK$6:$AK$505,"○")&gt;0,1,0))</f>
        <v>0</v>
      </c>
      <c r="CW26" s="39" t="n">
        <f aca="false">IF(CW$4=0,0,IF(COUNTIFS(実績!$W$6:$W$505,CW$3,実績!$AI$6:$AI$505,"&lt;="&amp;$A26,実績!$AJ$6:$AJ$505,"&gt;"&amp;$A26,実績!$AK$6:$AK$505,"○")&gt;0,1,0))</f>
        <v>0</v>
      </c>
      <c r="CX26" s="39" t="n">
        <f aca="false">IF(CX$4=0,0,IF(COUNTIFS(実績!$W$6:$W$505,CX$3,実績!$AI$6:$AI$505,"&lt;="&amp;$A26,実績!$AJ$6:$AJ$505,"&gt;"&amp;$A26,実績!$AK$6:$AK$505,"○")&gt;0,1,0))</f>
        <v>0</v>
      </c>
      <c r="CY26" s="39" t="n">
        <f aca="false">IF(CY$4=0,0,IF(COUNTIFS(実績!$W$6:$W$505,CY$3,実績!$AI$6:$AI$505,"&lt;="&amp;$A26,実績!$AJ$6:$AJ$505,"&gt;"&amp;$A26,実績!$AK$6:$AK$505,"○")&gt;0,1,0))</f>
        <v>0</v>
      </c>
      <c r="CZ26" s="39" t="n">
        <f aca="false">IF(CZ$4=0,0,IF(COUNTIFS(実績!$W$6:$W$505,CZ$3,実績!$AI$6:$AI$505,"&lt;="&amp;$A26,実績!$AJ$6:$AJ$505,"&gt;"&amp;$A26,実績!$AK$6:$AK$505,"○")&gt;0,1,0))</f>
        <v>0</v>
      </c>
      <c r="DA26" s="39" t="n">
        <f aca="false">IF(DA$4=0,0,IF(COUNTIFS(実績!$W$6:$W$505,DA$3,実績!$AI$6:$AI$505,"&lt;="&amp;$A26,実績!$AJ$6:$AJ$505,"&gt;"&amp;$A26,実績!$AK$6:$AK$505,"○")&gt;0,1,0))</f>
        <v>0</v>
      </c>
      <c r="DB26" s="39" t="n">
        <f aca="false">IF(DB$4=0,0,IF(COUNTIFS(実績!$W$6:$W$505,DB$3,実績!$AI$6:$AI$505,"&lt;="&amp;$A26,実績!$AJ$6:$AJ$505,"&gt;"&amp;$A26,実績!$AK$6:$AK$505,"○")&gt;0,1,0))</f>
        <v>0</v>
      </c>
      <c r="DC26" s="39" t="n">
        <f aca="false">IF(DC$4=0,0,IF(COUNTIFS(実績!$W$6:$W$505,DC$3,実績!$AI$6:$AI$505,"&lt;="&amp;$A26,実績!$AJ$6:$AJ$505,"&gt;"&amp;$A26,実績!$AK$6:$AK$505,"○")&gt;0,1,0))</f>
        <v>0</v>
      </c>
      <c r="DD26" s="39" t="n">
        <f aca="false">IF(DD$4=0,0,IF(COUNTIFS(実績!$W$6:$W$505,DD$3,実績!$AI$6:$AI$505,"&lt;="&amp;$A26,実績!$AJ$6:$AJ$505,"&gt;"&amp;$A26,実績!$AK$6:$AK$505,"○")&gt;0,1,0))</f>
        <v>0</v>
      </c>
      <c r="DE26" s="39" t="n">
        <f aca="false">IF(DE$4=0,0,IF(COUNTIFS(実績!$W$6:$W$505,DE$3,実績!$AI$6:$AI$505,"&lt;="&amp;$A26,実績!$AJ$6:$AJ$505,"&gt;"&amp;$A26,実績!$AK$6:$AK$505,"○")&gt;0,1,0))</f>
        <v>0</v>
      </c>
      <c r="DF26" s="39" t="n">
        <f aca="false">IF(DF$4=0,0,IF(COUNTIFS(実績!$W$6:$W$505,DF$3,実績!$AI$6:$AI$505,"&lt;="&amp;$A26,実績!$AJ$6:$AJ$505,"&gt;"&amp;$A26,実績!$AK$6:$AK$505,"○")&gt;0,1,0))</f>
        <v>0</v>
      </c>
      <c r="DG26" s="39" t="n">
        <f aca="false">IF(DG$4=0,0,IF(COUNTIFS(実績!$W$6:$W$505,DG$3,実績!$AI$6:$AI$505,"&lt;="&amp;$A26,実績!$AJ$6:$AJ$505,"&gt;"&amp;$A26,実績!$AK$6:$AK$505,"○")&gt;0,1,0))</f>
        <v>0</v>
      </c>
      <c r="DH26" s="39" t="n">
        <f aca="false">IF(DH$4=0,0,IF(COUNTIFS(実績!$W$6:$W$505,DH$3,実績!$AI$6:$AI$505,"&lt;="&amp;$A26,実績!$AJ$6:$AJ$505,"&gt;"&amp;$A26,実績!$AK$6:$AK$505,"○")&gt;0,1,0))</f>
        <v>0</v>
      </c>
      <c r="DI26" s="39" t="n">
        <f aca="false">IF(DI$4=0,0,IF(COUNTIFS(実績!$W$6:$W$505,DI$3,実績!$AI$6:$AI$505,"&lt;="&amp;$A26,実績!$AJ$6:$AJ$505,"&gt;"&amp;$A26,実績!$AK$6:$AK$505,"○")&gt;0,1,0))</f>
        <v>0</v>
      </c>
      <c r="DJ26" s="39" t="n">
        <f aca="false">IF(DJ$4=0,0,IF(COUNTIFS(実績!$W$6:$W$505,DJ$3,実績!$AI$6:$AI$505,"&lt;="&amp;$A26,実績!$AJ$6:$AJ$505,"&gt;"&amp;$A26,実績!$AK$6:$AK$505,"○")&gt;0,1,0))</f>
        <v>0</v>
      </c>
      <c r="DK26" s="39" t="n">
        <f aca="false">IF(DK$4=0,0,IF(COUNTIFS(実績!$W$6:$W$505,DK$3,実績!$AI$6:$AI$505,"&lt;="&amp;$A26,実績!$AJ$6:$AJ$505,"&gt;"&amp;$A26,実績!$AK$6:$AK$505,"○")&gt;0,1,0))</f>
        <v>0</v>
      </c>
      <c r="DL26" s="39" t="n">
        <f aca="false">IF(DL$4=0,0,IF(COUNTIFS(実績!$W$6:$W$505,DL$3,実績!$AI$6:$AI$505,"&lt;="&amp;$A26,実績!$AJ$6:$AJ$505,"&gt;"&amp;$A26,実績!$AK$6:$AK$505,"○")&gt;0,1,0))</f>
        <v>0</v>
      </c>
      <c r="DM26" s="39" t="n">
        <f aca="false">IF(DM$4=0,0,IF(COUNTIFS(実績!$W$6:$W$505,DM$3,実績!$AI$6:$AI$505,"&lt;="&amp;$A26,実績!$AJ$6:$AJ$505,"&gt;"&amp;$A26,実績!$AK$6:$AK$505,"○")&gt;0,1,0))</f>
        <v>0</v>
      </c>
      <c r="DN26" s="39" t="n">
        <f aca="false">IF(DN$4=0,0,IF(COUNTIFS(実績!$W$6:$W$505,DN$3,実績!$AI$6:$AI$505,"&lt;="&amp;$A26,実績!$AJ$6:$AJ$505,"&gt;"&amp;$A26,実績!$AK$6:$AK$505,"○")&gt;0,1,0))</f>
        <v>0</v>
      </c>
      <c r="DO26" s="39" t="n">
        <f aca="false">IF(DO$4=0,0,IF(COUNTIFS(実績!$W$6:$W$505,DO$3,実績!$AI$6:$AI$505,"&lt;="&amp;$A26,実績!$AJ$6:$AJ$505,"&gt;"&amp;$A26,実績!$AK$6:$AK$505,"○")&gt;0,1,0))</f>
        <v>0</v>
      </c>
      <c r="DP26" s="39" t="n">
        <f aca="false">IF(DP$4=0,0,IF(COUNTIFS(実績!$W$6:$W$505,DP$3,実績!$AI$6:$AI$505,"&lt;="&amp;$A26,実績!$AJ$6:$AJ$505,"&gt;"&amp;$A26,実績!$AK$6:$AK$505,"○")&gt;0,1,0))</f>
        <v>0</v>
      </c>
      <c r="DQ26" s="39" t="n">
        <f aca="false">IF(DQ$4=0,0,IF(COUNTIFS(実績!$W$6:$W$505,DQ$3,実績!$AI$6:$AI$505,"&lt;="&amp;$A26,実績!$AJ$6:$AJ$505,"&gt;"&amp;$A26,実績!$AK$6:$AK$505,"○")&gt;0,1,0))</f>
        <v>0</v>
      </c>
      <c r="DR26" s="39" t="n">
        <f aca="false">IF(DR$4=0,0,IF(COUNTIFS(実績!$W$6:$W$505,DR$3,実績!$AI$6:$AI$505,"&lt;="&amp;$A26,実績!$AJ$6:$AJ$505,"&gt;"&amp;$A26,実績!$AK$6:$AK$505,"○")&gt;0,1,0))</f>
        <v>0</v>
      </c>
      <c r="DS26" s="39" t="n">
        <f aca="false">SUM(C26:DR26)</f>
        <v>0</v>
      </c>
      <c r="DT26" s="39" t="n">
        <f aca="false">SUMPRODUCT((実績!$C$6:$C$505="○")*ISNUMBER(実績!$AM$6:$AM$505)*(実績!$AM$6:$AM$505&lt;=$A26)*(実績!$AN$6:$AN$505&gt;$A26))</f>
        <v>0</v>
      </c>
      <c r="DU26" s="39" t="n">
        <f aca="false">SUMIF($C$2:$DR$2,"製鉄曳船",C26:DR26)</f>
        <v>0</v>
      </c>
      <c r="DV26" s="39" t="n">
        <f aca="false">SUMIF($C$2:$DR$2,"西日本海運",C26:DR26)</f>
        <v>0</v>
      </c>
    </row>
    <row r="27" customFormat="false" ht="15" hidden="false" customHeight="false" outlineLevel="0" collapsed="false">
      <c r="A27" s="0" t="n">
        <v>105</v>
      </c>
      <c r="B27" s="38" t="n">
        <f aca="false">A27/1440</f>
        <v>0.0729166666666667</v>
      </c>
      <c r="C27" s="39" t="n">
        <f aca="false">IF(C$4=0,0,IF(COUNTIFS(実績!$W$6:$W$505,C$3,実績!$AI$6:$AI$505,"&lt;="&amp;$A27,実績!$AJ$6:$AJ$505,"&gt;"&amp;$A27,実績!$AK$6:$AK$505,"○")&gt;0,1,0))</f>
        <v>0</v>
      </c>
      <c r="D27" s="39" t="n">
        <f aca="false">IF(D$4=0,0,IF(COUNTIFS(実績!$W$6:$W$505,D$3,実績!$AI$6:$AI$505,"&lt;="&amp;$A27,実績!$AJ$6:$AJ$505,"&gt;"&amp;$A27,実績!$AK$6:$AK$505,"○")&gt;0,1,0))</f>
        <v>0</v>
      </c>
      <c r="E27" s="39" t="n">
        <f aca="false">IF(E$4=0,0,IF(COUNTIFS(実績!$W$6:$W$505,E$3,実績!$AI$6:$AI$505,"&lt;="&amp;$A27,実績!$AJ$6:$AJ$505,"&gt;"&amp;$A27,実績!$AK$6:$AK$505,"○")&gt;0,1,0))</f>
        <v>0</v>
      </c>
      <c r="F27" s="39" t="n">
        <f aca="false">IF(F$4=0,0,IF(COUNTIFS(実績!$W$6:$W$505,F$3,実績!$AI$6:$AI$505,"&lt;="&amp;$A27,実績!$AJ$6:$AJ$505,"&gt;"&amp;$A27,実績!$AK$6:$AK$505,"○")&gt;0,1,0))</f>
        <v>0</v>
      </c>
      <c r="G27" s="39" t="n">
        <f aca="false">IF(G$4=0,0,IF(COUNTIFS(実績!$W$6:$W$505,G$3,実績!$AI$6:$AI$505,"&lt;="&amp;$A27,実績!$AJ$6:$AJ$505,"&gt;"&amp;$A27,実績!$AK$6:$AK$505,"○")&gt;0,1,0))</f>
        <v>0</v>
      </c>
      <c r="H27" s="39" t="n">
        <f aca="false">IF(H$4=0,0,IF(COUNTIFS(実績!$W$6:$W$505,H$3,実績!$AI$6:$AI$505,"&lt;="&amp;$A27,実績!$AJ$6:$AJ$505,"&gt;"&amp;$A27,実績!$AK$6:$AK$505,"○")&gt;0,1,0))</f>
        <v>0</v>
      </c>
      <c r="I27" s="39" t="n">
        <f aca="false">IF(I$4=0,0,IF(COUNTIFS(実績!$W$6:$W$505,I$3,実績!$AI$6:$AI$505,"&lt;="&amp;$A27,実績!$AJ$6:$AJ$505,"&gt;"&amp;$A27,実績!$AK$6:$AK$505,"○")&gt;0,1,0))</f>
        <v>0</v>
      </c>
      <c r="J27" s="39" t="n">
        <f aca="false">IF(J$4=0,0,IF(COUNTIFS(実績!$W$6:$W$505,J$3,実績!$AI$6:$AI$505,"&lt;="&amp;$A27,実績!$AJ$6:$AJ$505,"&gt;"&amp;$A27,実績!$AK$6:$AK$505,"○")&gt;0,1,0))</f>
        <v>0</v>
      </c>
      <c r="K27" s="39" t="n">
        <f aca="false">IF(K$4=0,0,IF(COUNTIFS(実績!$W$6:$W$505,K$3,実績!$AI$6:$AI$505,"&lt;="&amp;$A27,実績!$AJ$6:$AJ$505,"&gt;"&amp;$A27,実績!$AK$6:$AK$505,"○")&gt;0,1,0))</f>
        <v>0</v>
      </c>
      <c r="L27" s="39" t="n">
        <f aca="false">IF(L$4=0,0,IF(COUNTIFS(実績!$W$6:$W$505,L$3,実績!$AI$6:$AI$505,"&lt;="&amp;$A27,実績!$AJ$6:$AJ$505,"&gt;"&amp;$A27,実績!$AK$6:$AK$505,"○")&gt;0,1,0))</f>
        <v>0</v>
      </c>
      <c r="M27" s="39" t="n">
        <f aca="false">IF(M$4=0,0,IF(COUNTIFS(実績!$W$6:$W$505,M$3,実績!$AI$6:$AI$505,"&lt;="&amp;$A27,実績!$AJ$6:$AJ$505,"&gt;"&amp;$A27,実績!$AK$6:$AK$505,"○")&gt;0,1,0))</f>
        <v>0</v>
      </c>
      <c r="N27" s="39" t="n">
        <f aca="false">IF(N$4=0,0,IF(COUNTIFS(実績!$W$6:$W$505,N$3,実績!$AI$6:$AI$505,"&lt;="&amp;$A27,実績!$AJ$6:$AJ$505,"&gt;"&amp;$A27,実績!$AK$6:$AK$505,"○")&gt;0,1,0))</f>
        <v>0</v>
      </c>
      <c r="O27" s="39" t="n">
        <f aca="false">IF(O$4=0,0,IF(COUNTIFS(実績!$W$6:$W$505,O$3,実績!$AI$6:$AI$505,"&lt;="&amp;$A27,実績!$AJ$6:$AJ$505,"&gt;"&amp;$A27,実績!$AK$6:$AK$505,"○")&gt;0,1,0))</f>
        <v>0</v>
      </c>
      <c r="P27" s="39" t="n">
        <f aca="false">IF(P$4=0,0,IF(COUNTIFS(実績!$W$6:$W$505,P$3,実績!$AI$6:$AI$505,"&lt;="&amp;$A27,実績!$AJ$6:$AJ$505,"&gt;"&amp;$A27,実績!$AK$6:$AK$505,"○")&gt;0,1,0))</f>
        <v>0</v>
      </c>
      <c r="Q27" s="39" t="n">
        <f aca="false">IF(Q$4=0,0,IF(COUNTIFS(実績!$W$6:$W$505,Q$3,実績!$AI$6:$AI$505,"&lt;="&amp;$A27,実績!$AJ$6:$AJ$505,"&gt;"&amp;$A27,実績!$AK$6:$AK$505,"○")&gt;0,1,0))</f>
        <v>0</v>
      </c>
      <c r="R27" s="39" t="n">
        <f aca="false">IF(R$4=0,0,IF(COUNTIFS(実績!$W$6:$W$505,R$3,実績!$AI$6:$AI$505,"&lt;="&amp;$A27,実績!$AJ$6:$AJ$505,"&gt;"&amp;$A27,実績!$AK$6:$AK$505,"○")&gt;0,1,0))</f>
        <v>0</v>
      </c>
      <c r="S27" s="39" t="n">
        <f aca="false">IF(S$4=0,0,IF(COUNTIFS(実績!$W$6:$W$505,S$3,実績!$AI$6:$AI$505,"&lt;="&amp;$A27,実績!$AJ$6:$AJ$505,"&gt;"&amp;$A27,実績!$AK$6:$AK$505,"○")&gt;0,1,0))</f>
        <v>0</v>
      </c>
      <c r="T27" s="39" t="n">
        <f aca="false">IF(T$4=0,0,IF(COUNTIFS(実績!$W$6:$W$505,T$3,実績!$AI$6:$AI$505,"&lt;="&amp;$A27,実績!$AJ$6:$AJ$505,"&gt;"&amp;$A27,実績!$AK$6:$AK$505,"○")&gt;0,1,0))</f>
        <v>0</v>
      </c>
      <c r="U27" s="39" t="n">
        <f aca="false">IF(U$4=0,0,IF(COUNTIFS(実績!$W$6:$W$505,U$3,実績!$AI$6:$AI$505,"&lt;="&amp;$A27,実績!$AJ$6:$AJ$505,"&gt;"&amp;$A27,実績!$AK$6:$AK$505,"○")&gt;0,1,0))</f>
        <v>0</v>
      </c>
      <c r="V27" s="39" t="n">
        <f aca="false">IF(V$4=0,0,IF(COUNTIFS(実績!$W$6:$W$505,V$3,実績!$AI$6:$AI$505,"&lt;="&amp;$A27,実績!$AJ$6:$AJ$505,"&gt;"&amp;$A27,実績!$AK$6:$AK$505,"○")&gt;0,1,0))</f>
        <v>0</v>
      </c>
      <c r="W27" s="39" t="n">
        <f aca="false">IF(W$4=0,0,IF(COUNTIFS(実績!$W$6:$W$505,W$3,実績!$AI$6:$AI$505,"&lt;="&amp;$A27,実績!$AJ$6:$AJ$505,"&gt;"&amp;$A27,実績!$AK$6:$AK$505,"○")&gt;0,1,0))</f>
        <v>0</v>
      </c>
      <c r="X27" s="39" t="n">
        <f aca="false">IF(X$4=0,0,IF(COUNTIFS(実績!$W$6:$W$505,X$3,実績!$AI$6:$AI$505,"&lt;="&amp;$A27,実績!$AJ$6:$AJ$505,"&gt;"&amp;$A27,実績!$AK$6:$AK$505,"○")&gt;0,1,0))</f>
        <v>0</v>
      </c>
      <c r="Y27" s="39" t="n">
        <f aca="false">IF(Y$4=0,0,IF(COUNTIFS(実績!$W$6:$W$505,Y$3,実績!$AI$6:$AI$505,"&lt;="&amp;$A27,実績!$AJ$6:$AJ$505,"&gt;"&amp;$A27,実績!$AK$6:$AK$505,"○")&gt;0,1,0))</f>
        <v>0</v>
      </c>
      <c r="Z27" s="39" t="n">
        <f aca="false">IF(Z$4=0,0,IF(COUNTIFS(実績!$W$6:$W$505,Z$3,実績!$AI$6:$AI$505,"&lt;="&amp;$A27,実績!$AJ$6:$AJ$505,"&gt;"&amp;$A27,実績!$AK$6:$AK$505,"○")&gt;0,1,0))</f>
        <v>0</v>
      </c>
      <c r="AA27" s="39" t="n">
        <f aca="false">IF(AA$4=0,0,IF(COUNTIFS(実績!$W$6:$W$505,AA$3,実績!$AI$6:$AI$505,"&lt;="&amp;$A27,実績!$AJ$6:$AJ$505,"&gt;"&amp;$A27,実績!$AK$6:$AK$505,"○")&gt;0,1,0))</f>
        <v>0</v>
      </c>
      <c r="AB27" s="39" t="n">
        <f aca="false">IF(AB$4=0,0,IF(COUNTIFS(実績!$W$6:$W$505,AB$3,実績!$AI$6:$AI$505,"&lt;="&amp;$A27,実績!$AJ$6:$AJ$505,"&gt;"&amp;$A27,実績!$AK$6:$AK$505,"○")&gt;0,1,0))</f>
        <v>0</v>
      </c>
      <c r="AC27" s="39" t="n">
        <f aca="false">IF(AC$4=0,0,IF(COUNTIFS(実績!$W$6:$W$505,AC$3,実績!$AI$6:$AI$505,"&lt;="&amp;$A27,実績!$AJ$6:$AJ$505,"&gt;"&amp;$A27,実績!$AK$6:$AK$505,"○")&gt;0,1,0))</f>
        <v>0</v>
      </c>
      <c r="AD27" s="39" t="n">
        <f aca="false">IF(AD$4=0,0,IF(COUNTIFS(実績!$W$6:$W$505,AD$3,実績!$AI$6:$AI$505,"&lt;="&amp;$A27,実績!$AJ$6:$AJ$505,"&gt;"&amp;$A27,実績!$AK$6:$AK$505,"○")&gt;0,1,0))</f>
        <v>0</v>
      </c>
      <c r="AE27" s="39" t="n">
        <f aca="false">IF(AE$4=0,0,IF(COUNTIFS(実績!$W$6:$W$505,AE$3,実績!$AI$6:$AI$505,"&lt;="&amp;$A27,実績!$AJ$6:$AJ$505,"&gt;"&amp;$A27,実績!$AK$6:$AK$505,"○")&gt;0,1,0))</f>
        <v>0</v>
      </c>
      <c r="AF27" s="39" t="n">
        <f aca="false">IF(AF$4=0,0,IF(COUNTIFS(実績!$W$6:$W$505,AF$3,実績!$AI$6:$AI$505,"&lt;="&amp;$A27,実績!$AJ$6:$AJ$505,"&gt;"&amp;$A27,実績!$AK$6:$AK$505,"○")&gt;0,1,0))</f>
        <v>0</v>
      </c>
      <c r="AG27" s="39" t="n">
        <f aca="false">IF(AG$4=0,0,IF(COUNTIFS(実績!$W$6:$W$505,AG$3,実績!$AI$6:$AI$505,"&lt;="&amp;$A27,実績!$AJ$6:$AJ$505,"&gt;"&amp;$A27,実績!$AK$6:$AK$505,"○")&gt;0,1,0))</f>
        <v>0</v>
      </c>
      <c r="AH27" s="39" t="n">
        <f aca="false">IF(AH$4=0,0,IF(COUNTIFS(実績!$W$6:$W$505,AH$3,実績!$AI$6:$AI$505,"&lt;="&amp;$A27,実績!$AJ$6:$AJ$505,"&gt;"&amp;$A27,実績!$AK$6:$AK$505,"○")&gt;0,1,0))</f>
        <v>0</v>
      </c>
      <c r="AI27" s="39" t="n">
        <f aca="false">IF(AI$4=0,0,IF(COUNTIFS(実績!$W$6:$W$505,AI$3,実績!$AI$6:$AI$505,"&lt;="&amp;$A27,実績!$AJ$6:$AJ$505,"&gt;"&amp;$A27,実績!$AK$6:$AK$505,"○")&gt;0,1,0))</f>
        <v>0</v>
      </c>
      <c r="AJ27" s="39" t="n">
        <f aca="false">IF(AJ$4=0,0,IF(COUNTIFS(実績!$W$6:$W$505,AJ$3,実績!$AI$6:$AI$505,"&lt;="&amp;$A27,実績!$AJ$6:$AJ$505,"&gt;"&amp;$A27,実績!$AK$6:$AK$505,"○")&gt;0,1,0))</f>
        <v>0</v>
      </c>
      <c r="AK27" s="39" t="n">
        <f aca="false">IF(AK$4=0,0,IF(COUNTIFS(実績!$W$6:$W$505,AK$3,実績!$AI$6:$AI$505,"&lt;="&amp;$A27,実績!$AJ$6:$AJ$505,"&gt;"&amp;$A27,実績!$AK$6:$AK$505,"○")&gt;0,1,0))</f>
        <v>0</v>
      </c>
      <c r="AL27" s="39" t="n">
        <f aca="false">IF(AL$4=0,0,IF(COUNTIFS(実績!$W$6:$W$505,AL$3,実績!$AI$6:$AI$505,"&lt;="&amp;$A27,実績!$AJ$6:$AJ$505,"&gt;"&amp;$A27,実績!$AK$6:$AK$505,"○")&gt;0,1,0))</f>
        <v>0</v>
      </c>
      <c r="AM27" s="39" t="n">
        <f aca="false">IF(AM$4=0,0,IF(COUNTIFS(実績!$W$6:$W$505,AM$3,実績!$AI$6:$AI$505,"&lt;="&amp;$A27,実績!$AJ$6:$AJ$505,"&gt;"&amp;$A27,実績!$AK$6:$AK$505,"○")&gt;0,1,0))</f>
        <v>0</v>
      </c>
      <c r="AN27" s="39" t="n">
        <f aca="false">IF(AN$4=0,0,IF(COUNTIFS(実績!$W$6:$W$505,AN$3,実績!$AI$6:$AI$505,"&lt;="&amp;$A27,実績!$AJ$6:$AJ$505,"&gt;"&amp;$A27,実績!$AK$6:$AK$505,"○")&gt;0,1,0))</f>
        <v>0</v>
      </c>
      <c r="AO27" s="39" t="n">
        <f aca="false">IF(AO$4=0,0,IF(COUNTIFS(実績!$W$6:$W$505,AO$3,実績!$AI$6:$AI$505,"&lt;="&amp;$A27,実績!$AJ$6:$AJ$505,"&gt;"&amp;$A27,実績!$AK$6:$AK$505,"○")&gt;0,1,0))</f>
        <v>0</v>
      </c>
      <c r="AP27" s="39" t="n">
        <f aca="false">IF(AP$4=0,0,IF(COUNTIFS(実績!$W$6:$W$505,AP$3,実績!$AI$6:$AI$505,"&lt;="&amp;$A27,実績!$AJ$6:$AJ$505,"&gt;"&amp;$A27,実績!$AK$6:$AK$505,"○")&gt;0,1,0))</f>
        <v>0</v>
      </c>
      <c r="AQ27" s="39" t="n">
        <f aca="false">IF(AQ$4=0,0,IF(COUNTIFS(実績!$W$6:$W$505,AQ$3,実績!$AI$6:$AI$505,"&lt;="&amp;$A27,実績!$AJ$6:$AJ$505,"&gt;"&amp;$A27,実績!$AK$6:$AK$505,"○")&gt;0,1,0))</f>
        <v>0</v>
      </c>
      <c r="AR27" s="39" t="n">
        <f aca="false">IF(AR$4=0,0,IF(COUNTIFS(実績!$W$6:$W$505,AR$3,実績!$AI$6:$AI$505,"&lt;="&amp;$A27,実績!$AJ$6:$AJ$505,"&gt;"&amp;$A27,実績!$AK$6:$AK$505,"○")&gt;0,1,0))</f>
        <v>0</v>
      </c>
      <c r="AS27" s="39" t="n">
        <f aca="false">IF(AS$4=0,0,IF(COUNTIFS(実績!$W$6:$W$505,AS$3,実績!$AI$6:$AI$505,"&lt;="&amp;$A27,実績!$AJ$6:$AJ$505,"&gt;"&amp;$A27,実績!$AK$6:$AK$505,"○")&gt;0,1,0))</f>
        <v>0</v>
      </c>
      <c r="AT27" s="39" t="n">
        <f aca="false">IF(AT$4=0,0,IF(COUNTIFS(実績!$W$6:$W$505,AT$3,実績!$AI$6:$AI$505,"&lt;="&amp;$A27,実績!$AJ$6:$AJ$505,"&gt;"&amp;$A27,実績!$AK$6:$AK$505,"○")&gt;0,1,0))</f>
        <v>0</v>
      </c>
      <c r="AU27" s="39" t="n">
        <f aca="false">IF(AU$4=0,0,IF(COUNTIFS(実績!$W$6:$W$505,AU$3,実績!$AI$6:$AI$505,"&lt;="&amp;$A27,実績!$AJ$6:$AJ$505,"&gt;"&amp;$A27,実績!$AK$6:$AK$505,"○")&gt;0,1,0))</f>
        <v>0</v>
      </c>
      <c r="AV27" s="39" t="n">
        <f aca="false">IF(AV$4=0,0,IF(COUNTIFS(実績!$W$6:$W$505,AV$3,実績!$AI$6:$AI$505,"&lt;="&amp;$A27,実績!$AJ$6:$AJ$505,"&gt;"&amp;$A27,実績!$AK$6:$AK$505,"○")&gt;0,1,0))</f>
        <v>0</v>
      </c>
      <c r="AW27" s="39" t="n">
        <f aca="false">IF(AW$4=0,0,IF(COUNTIFS(実績!$W$6:$W$505,AW$3,実績!$AI$6:$AI$505,"&lt;="&amp;$A27,実績!$AJ$6:$AJ$505,"&gt;"&amp;$A27,実績!$AK$6:$AK$505,"○")&gt;0,1,0))</f>
        <v>0</v>
      </c>
      <c r="AX27" s="39" t="n">
        <f aca="false">IF(AX$4=0,0,IF(COUNTIFS(実績!$W$6:$W$505,AX$3,実績!$AI$6:$AI$505,"&lt;="&amp;$A27,実績!$AJ$6:$AJ$505,"&gt;"&amp;$A27,実績!$AK$6:$AK$505,"○")&gt;0,1,0))</f>
        <v>0</v>
      </c>
      <c r="AY27" s="39" t="n">
        <f aca="false">IF(AY$4=0,0,IF(COUNTIFS(実績!$W$6:$W$505,AY$3,実績!$AI$6:$AI$505,"&lt;="&amp;$A27,実績!$AJ$6:$AJ$505,"&gt;"&amp;$A27,実績!$AK$6:$AK$505,"○")&gt;0,1,0))</f>
        <v>0</v>
      </c>
      <c r="AZ27" s="39" t="n">
        <f aca="false">IF(AZ$4=0,0,IF(COUNTIFS(実績!$W$6:$W$505,AZ$3,実績!$AI$6:$AI$505,"&lt;="&amp;$A27,実績!$AJ$6:$AJ$505,"&gt;"&amp;$A27,実績!$AK$6:$AK$505,"○")&gt;0,1,0))</f>
        <v>0</v>
      </c>
      <c r="BA27" s="39" t="n">
        <f aca="false">IF(BA$4=0,0,IF(COUNTIFS(実績!$W$6:$W$505,BA$3,実績!$AI$6:$AI$505,"&lt;="&amp;$A27,実績!$AJ$6:$AJ$505,"&gt;"&amp;$A27,実績!$AK$6:$AK$505,"○")&gt;0,1,0))</f>
        <v>0</v>
      </c>
      <c r="BB27" s="39" t="n">
        <f aca="false">IF(BB$4=0,0,IF(COUNTIFS(実績!$W$6:$W$505,BB$3,実績!$AI$6:$AI$505,"&lt;="&amp;$A27,実績!$AJ$6:$AJ$505,"&gt;"&amp;$A27,実績!$AK$6:$AK$505,"○")&gt;0,1,0))</f>
        <v>0</v>
      </c>
      <c r="BC27" s="39" t="n">
        <f aca="false">IF(BC$4=0,0,IF(COUNTIFS(実績!$W$6:$W$505,BC$3,実績!$AI$6:$AI$505,"&lt;="&amp;$A27,実績!$AJ$6:$AJ$505,"&gt;"&amp;$A27,実績!$AK$6:$AK$505,"○")&gt;0,1,0))</f>
        <v>0</v>
      </c>
      <c r="BD27" s="39" t="n">
        <f aca="false">IF(BD$4=0,0,IF(COUNTIFS(実績!$W$6:$W$505,BD$3,実績!$AI$6:$AI$505,"&lt;="&amp;$A27,実績!$AJ$6:$AJ$505,"&gt;"&amp;$A27,実績!$AK$6:$AK$505,"○")&gt;0,1,0))</f>
        <v>0</v>
      </c>
      <c r="BE27" s="39" t="n">
        <f aca="false">IF(BE$4=0,0,IF(COUNTIFS(実績!$W$6:$W$505,BE$3,実績!$AI$6:$AI$505,"&lt;="&amp;$A27,実績!$AJ$6:$AJ$505,"&gt;"&amp;$A27,実績!$AK$6:$AK$505,"○")&gt;0,1,0))</f>
        <v>0</v>
      </c>
      <c r="BF27" s="39" t="n">
        <f aca="false">IF(BF$4=0,0,IF(COUNTIFS(実績!$W$6:$W$505,BF$3,実績!$AI$6:$AI$505,"&lt;="&amp;$A27,実績!$AJ$6:$AJ$505,"&gt;"&amp;$A27,実績!$AK$6:$AK$505,"○")&gt;0,1,0))</f>
        <v>0</v>
      </c>
      <c r="BG27" s="39" t="n">
        <f aca="false">IF(BG$4=0,0,IF(COUNTIFS(実績!$W$6:$W$505,BG$3,実績!$AI$6:$AI$505,"&lt;="&amp;$A27,実績!$AJ$6:$AJ$505,"&gt;"&amp;$A27,実績!$AK$6:$AK$505,"○")&gt;0,1,0))</f>
        <v>0</v>
      </c>
      <c r="BH27" s="39" t="n">
        <f aca="false">IF(BH$4=0,0,IF(COUNTIFS(実績!$W$6:$W$505,BH$3,実績!$AI$6:$AI$505,"&lt;="&amp;$A27,実績!$AJ$6:$AJ$505,"&gt;"&amp;$A27,実績!$AK$6:$AK$505,"○")&gt;0,1,0))</f>
        <v>0</v>
      </c>
      <c r="BI27" s="39" t="n">
        <f aca="false">IF(BI$4=0,0,IF(COUNTIFS(実績!$W$6:$W$505,BI$3,実績!$AI$6:$AI$505,"&lt;="&amp;$A27,実績!$AJ$6:$AJ$505,"&gt;"&amp;$A27,実績!$AK$6:$AK$505,"○")&gt;0,1,0))</f>
        <v>0</v>
      </c>
      <c r="BJ27" s="39" t="n">
        <f aca="false">IF(BJ$4=0,0,IF(COUNTIFS(実績!$W$6:$W$505,BJ$3,実績!$AI$6:$AI$505,"&lt;="&amp;$A27,実績!$AJ$6:$AJ$505,"&gt;"&amp;$A27,実績!$AK$6:$AK$505,"○")&gt;0,1,0))</f>
        <v>0</v>
      </c>
      <c r="BK27" s="39" t="n">
        <f aca="false">IF(BK$4=0,0,IF(COUNTIFS(実績!$W$6:$W$505,BK$3,実績!$AI$6:$AI$505,"&lt;="&amp;$A27,実績!$AJ$6:$AJ$505,"&gt;"&amp;$A27,実績!$AK$6:$AK$505,"○")&gt;0,1,0))</f>
        <v>0</v>
      </c>
      <c r="BL27" s="39" t="n">
        <f aca="false">IF(BL$4=0,0,IF(COUNTIFS(実績!$W$6:$W$505,BL$3,実績!$AI$6:$AI$505,"&lt;="&amp;$A27,実績!$AJ$6:$AJ$505,"&gt;"&amp;$A27,実績!$AK$6:$AK$505,"○")&gt;0,1,0))</f>
        <v>0</v>
      </c>
      <c r="BM27" s="39" t="n">
        <f aca="false">IF(BM$4=0,0,IF(COUNTIFS(実績!$W$6:$W$505,BM$3,実績!$AI$6:$AI$505,"&lt;="&amp;$A27,実績!$AJ$6:$AJ$505,"&gt;"&amp;$A27,実績!$AK$6:$AK$505,"○")&gt;0,1,0))</f>
        <v>0</v>
      </c>
      <c r="BN27" s="39" t="n">
        <f aca="false">IF(BN$4=0,0,IF(COUNTIFS(実績!$W$6:$W$505,BN$3,実績!$AI$6:$AI$505,"&lt;="&amp;$A27,実績!$AJ$6:$AJ$505,"&gt;"&amp;$A27,実績!$AK$6:$AK$505,"○")&gt;0,1,0))</f>
        <v>0</v>
      </c>
      <c r="BO27" s="39" t="n">
        <f aca="false">IF(BO$4=0,0,IF(COUNTIFS(実績!$W$6:$W$505,BO$3,実績!$AI$6:$AI$505,"&lt;="&amp;$A27,実績!$AJ$6:$AJ$505,"&gt;"&amp;$A27,実績!$AK$6:$AK$505,"○")&gt;0,1,0))</f>
        <v>0</v>
      </c>
      <c r="BP27" s="39" t="n">
        <f aca="false">IF(BP$4=0,0,IF(COUNTIFS(実績!$W$6:$W$505,BP$3,実績!$AI$6:$AI$505,"&lt;="&amp;$A27,実績!$AJ$6:$AJ$505,"&gt;"&amp;$A27,実績!$AK$6:$AK$505,"○")&gt;0,1,0))</f>
        <v>0</v>
      </c>
      <c r="BQ27" s="39" t="n">
        <f aca="false">IF(BQ$4=0,0,IF(COUNTIFS(実績!$W$6:$W$505,BQ$3,実績!$AI$6:$AI$505,"&lt;="&amp;$A27,実績!$AJ$6:$AJ$505,"&gt;"&amp;$A27,実績!$AK$6:$AK$505,"○")&gt;0,1,0))</f>
        <v>0</v>
      </c>
      <c r="BR27" s="39" t="n">
        <f aca="false">IF(BR$4=0,0,IF(COUNTIFS(実績!$W$6:$W$505,BR$3,実績!$AI$6:$AI$505,"&lt;="&amp;$A27,実績!$AJ$6:$AJ$505,"&gt;"&amp;$A27,実績!$AK$6:$AK$505,"○")&gt;0,1,0))</f>
        <v>0</v>
      </c>
      <c r="BS27" s="39" t="n">
        <f aca="false">IF(BS$4=0,0,IF(COUNTIFS(実績!$W$6:$W$505,BS$3,実績!$AI$6:$AI$505,"&lt;="&amp;$A27,実績!$AJ$6:$AJ$505,"&gt;"&amp;$A27,実績!$AK$6:$AK$505,"○")&gt;0,1,0))</f>
        <v>0</v>
      </c>
      <c r="BT27" s="39" t="n">
        <f aca="false">IF(BT$4=0,0,IF(COUNTIFS(実績!$W$6:$W$505,BT$3,実績!$AI$6:$AI$505,"&lt;="&amp;$A27,実績!$AJ$6:$AJ$505,"&gt;"&amp;$A27,実績!$AK$6:$AK$505,"○")&gt;0,1,0))</f>
        <v>0</v>
      </c>
      <c r="BU27" s="39" t="n">
        <f aca="false">IF(BU$4=0,0,IF(COUNTIFS(実績!$W$6:$W$505,BU$3,実績!$AI$6:$AI$505,"&lt;="&amp;$A27,実績!$AJ$6:$AJ$505,"&gt;"&amp;$A27,実績!$AK$6:$AK$505,"○")&gt;0,1,0))</f>
        <v>0</v>
      </c>
      <c r="BV27" s="39" t="n">
        <f aca="false">IF(BV$4=0,0,IF(COUNTIFS(実績!$W$6:$W$505,BV$3,実績!$AI$6:$AI$505,"&lt;="&amp;$A27,実績!$AJ$6:$AJ$505,"&gt;"&amp;$A27,実績!$AK$6:$AK$505,"○")&gt;0,1,0))</f>
        <v>0</v>
      </c>
      <c r="BW27" s="39" t="n">
        <f aca="false">IF(BW$4=0,0,IF(COUNTIFS(実績!$W$6:$W$505,BW$3,実績!$AI$6:$AI$505,"&lt;="&amp;$A27,実績!$AJ$6:$AJ$505,"&gt;"&amp;$A27,実績!$AK$6:$AK$505,"○")&gt;0,1,0))</f>
        <v>0</v>
      </c>
      <c r="BX27" s="39" t="n">
        <f aca="false">IF(BX$4=0,0,IF(COUNTIFS(実績!$W$6:$W$505,BX$3,実績!$AI$6:$AI$505,"&lt;="&amp;$A27,実績!$AJ$6:$AJ$505,"&gt;"&amp;$A27,実績!$AK$6:$AK$505,"○")&gt;0,1,0))</f>
        <v>0</v>
      </c>
      <c r="BY27" s="39" t="n">
        <f aca="false">IF(BY$4=0,0,IF(COUNTIFS(実績!$W$6:$W$505,BY$3,実績!$AI$6:$AI$505,"&lt;="&amp;$A27,実績!$AJ$6:$AJ$505,"&gt;"&amp;$A27,実績!$AK$6:$AK$505,"○")&gt;0,1,0))</f>
        <v>0</v>
      </c>
      <c r="BZ27" s="39" t="n">
        <f aca="false">IF(BZ$4=0,0,IF(COUNTIFS(実績!$W$6:$W$505,BZ$3,実績!$AI$6:$AI$505,"&lt;="&amp;$A27,実績!$AJ$6:$AJ$505,"&gt;"&amp;$A27,実績!$AK$6:$AK$505,"○")&gt;0,1,0))</f>
        <v>0</v>
      </c>
      <c r="CA27" s="39" t="n">
        <f aca="false">IF(CA$4=0,0,IF(COUNTIFS(実績!$W$6:$W$505,CA$3,実績!$AI$6:$AI$505,"&lt;="&amp;$A27,実績!$AJ$6:$AJ$505,"&gt;"&amp;$A27,実績!$AK$6:$AK$505,"○")&gt;0,1,0))</f>
        <v>0</v>
      </c>
      <c r="CB27" s="39" t="n">
        <f aca="false">IF(CB$4=0,0,IF(COUNTIFS(実績!$W$6:$W$505,CB$3,実績!$AI$6:$AI$505,"&lt;="&amp;$A27,実績!$AJ$6:$AJ$505,"&gt;"&amp;$A27,実績!$AK$6:$AK$505,"○")&gt;0,1,0))</f>
        <v>0</v>
      </c>
      <c r="CC27" s="39" t="n">
        <f aca="false">IF(CC$4=0,0,IF(COUNTIFS(実績!$W$6:$W$505,CC$3,実績!$AI$6:$AI$505,"&lt;="&amp;$A27,実績!$AJ$6:$AJ$505,"&gt;"&amp;$A27,実績!$AK$6:$AK$505,"○")&gt;0,1,0))</f>
        <v>0</v>
      </c>
      <c r="CD27" s="39" t="n">
        <f aca="false">IF(CD$4=0,0,IF(COUNTIFS(実績!$W$6:$W$505,CD$3,実績!$AI$6:$AI$505,"&lt;="&amp;$A27,実績!$AJ$6:$AJ$505,"&gt;"&amp;$A27,実績!$AK$6:$AK$505,"○")&gt;0,1,0))</f>
        <v>0</v>
      </c>
      <c r="CE27" s="39" t="n">
        <f aca="false">IF(CE$4=0,0,IF(COUNTIFS(実績!$W$6:$W$505,CE$3,実績!$AI$6:$AI$505,"&lt;="&amp;$A27,実績!$AJ$6:$AJ$505,"&gt;"&amp;$A27,実績!$AK$6:$AK$505,"○")&gt;0,1,0))</f>
        <v>0</v>
      </c>
      <c r="CF27" s="39" t="n">
        <f aca="false">IF(CF$4=0,0,IF(COUNTIFS(実績!$W$6:$W$505,CF$3,実績!$AI$6:$AI$505,"&lt;="&amp;$A27,実績!$AJ$6:$AJ$505,"&gt;"&amp;$A27,実績!$AK$6:$AK$505,"○")&gt;0,1,0))</f>
        <v>0</v>
      </c>
      <c r="CG27" s="39" t="n">
        <f aca="false">IF(CG$4=0,0,IF(COUNTIFS(実績!$W$6:$W$505,CG$3,実績!$AI$6:$AI$505,"&lt;="&amp;$A27,実績!$AJ$6:$AJ$505,"&gt;"&amp;$A27,実績!$AK$6:$AK$505,"○")&gt;0,1,0))</f>
        <v>0</v>
      </c>
      <c r="CH27" s="39" t="n">
        <f aca="false">IF(CH$4=0,0,IF(COUNTIFS(実績!$W$6:$W$505,CH$3,実績!$AI$6:$AI$505,"&lt;="&amp;$A27,実績!$AJ$6:$AJ$505,"&gt;"&amp;$A27,実績!$AK$6:$AK$505,"○")&gt;0,1,0))</f>
        <v>0</v>
      </c>
      <c r="CI27" s="39" t="n">
        <f aca="false">IF(CI$4=0,0,IF(COUNTIFS(実績!$W$6:$W$505,CI$3,実績!$AI$6:$AI$505,"&lt;="&amp;$A27,実績!$AJ$6:$AJ$505,"&gt;"&amp;$A27,実績!$AK$6:$AK$505,"○")&gt;0,1,0))</f>
        <v>0</v>
      </c>
      <c r="CJ27" s="39" t="n">
        <f aca="false">IF(CJ$4=0,0,IF(COUNTIFS(実績!$W$6:$W$505,CJ$3,実績!$AI$6:$AI$505,"&lt;="&amp;$A27,実績!$AJ$6:$AJ$505,"&gt;"&amp;$A27,実績!$AK$6:$AK$505,"○")&gt;0,1,0))</f>
        <v>0</v>
      </c>
      <c r="CK27" s="39" t="n">
        <f aca="false">IF(CK$4=0,0,IF(COUNTIFS(実績!$W$6:$W$505,CK$3,実績!$AI$6:$AI$505,"&lt;="&amp;$A27,実績!$AJ$6:$AJ$505,"&gt;"&amp;$A27,実績!$AK$6:$AK$505,"○")&gt;0,1,0))</f>
        <v>0</v>
      </c>
      <c r="CL27" s="39" t="n">
        <f aca="false">IF(CL$4=0,0,IF(COUNTIFS(実績!$W$6:$W$505,CL$3,実績!$AI$6:$AI$505,"&lt;="&amp;$A27,実績!$AJ$6:$AJ$505,"&gt;"&amp;$A27,実績!$AK$6:$AK$505,"○")&gt;0,1,0))</f>
        <v>0</v>
      </c>
      <c r="CM27" s="39" t="n">
        <f aca="false">IF(CM$4=0,0,IF(COUNTIFS(実績!$W$6:$W$505,CM$3,実績!$AI$6:$AI$505,"&lt;="&amp;$A27,実績!$AJ$6:$AJ$505,"&gt;"&amp;$A27,実績!$AK$6:$AK$505,"○")&gt;0,1,0))</f>
        <v>0</v>
      </c>
      <c r="CN27" s="39" t="n">
        <f aca="false">IF(CN$4=0,0,IF(COUNTIFS(実績!$W$6:$W$505,CN$3,実績!$AI$6:$AI$505,"&lt;="&amp;$A27,実績!$AJ$6:$AJ$505,"&gt;"&amp;$A27,実績!$AK$6:$AK$505,"○")&gt;0,1,0))</f>
        <v>0</v>
      </c>
      <c r="CO27" s="39" t="n">
        <f aca="false">IF(CO$4=0,0,IF(COUNTIFS(実績!$W$6:$W$505,CO$3,実績!$AI$6:$AI$505,"&lt;="&amp;$A27,実績!$AJ$6:$AJ$505,"&gt;"&amp;$A27,実績!$AK$6:$AK$505,"○")&gt;0,1,0))</f>
        <v>0</v>
      </c>
      <c r="CP27" s="39" t="n">
        <f aca="false">IF(CP$4=0,0,IF(COUNTIFS(実績!$W$6:$W$505,CP$3,実績!$AI$6:$AI$505,"&lt;="&amp;$A27,実績!$AJ$6:$AJ$505,"&gt;"&amp;$A27,実績!$AK$6:$AK$505,"○")&gt;0,1,0))</f>
        <v>0</v>
      </c>
      <c r="CQ27" s="39" t="n">
        <f aca="false">IF(CQ$4=0,0,IF(COUNTIFS(実績!$W$6:$W$505,CQ$3,実績!$AI$6:$AI$505,"&lt;="&amp;$A27,実績!$AJ$6:$AJ$505,"&gt;"&amp;$A27,実績!$AK$6:$AK$505,"○")&gt;0,1,0))</f>
        <v>0</v>
      </c>
      <c r="CR27" s="39" t="n">
        <f aca="false">IF(CR$4=0,0,IF(COUNTIFS(実績!$W$6:$W$505,CR$3,実績!$AI$6:$AI$505,"&lt;="&amp;$A27,実績!$AJ$6:$AJ$505,"&gt;"&amp;$A27,実績!$AK$6:$AK$505,"○")&gt;0,1,0))</f>
        <v>0</v>
      </c>
      <c r="CS27" s="39" t="n">
        <f aca="false">IF(CS$4=0,0,IF(COUNTIFS(実績!$W$6:$W$505,CS$3,実績!$AI$6:$AI$505,"&lt;="&amp;$A27,実績!$AJ$6:$AJ$505,"&gt;"&amp;$A27,実績!$AK$6:$AK$505,"○")&gt;0,1,0))</f>
        <v>0</v>
      </c>
      <c r="CT27" s="39" t="n">
        <f aca="false">IF(CT$4=0,0,IF(COUNTIFS(実績!$W$6:$W$505,CT$3,実績!$AI$6:$AI$505,"&lt;="&amp;$A27,実績!$AJ$6:$AJ$505,"&gt;"&amp;$A27,実績!$AK$6:$AK$505,"○")&gt;0,1,0))</f>
        <v>0</v>
      </c>
      <c r="CU27" s="39" t="n">
        <f aca="false">IF(CU$4=0,0,IF(COUNTIFS(実績!$W$6:$W$505,CU$3,実績!$AI$6:$AI$505,"&lt;="&amp;$A27,実績!$AJ$6:$AJ$505,"&gt;"&amp;$A27,実績!$AK$6:$AK$505,"○")&gt;0,1,0))</f>
        <v>0</v>
      </c>
      <c r="CV27" s="39" t="n">
        <f aca="false">IF(CV$4=0,0,IF(COUNTIFS(実績!$W$6:$W$505,CV$3,実績!$AI$6:$AI$505,"&lt;="&amp;$A27,実績!$AJ$6:$AJ$505,"&gt;"&amp;$A27,実績!$AK$6:$AK$505,"○")&gt;0,1,0))</f>
        <v>0</v>
      </c>
      <c r="CW27" s="39" t="n">
        <f aca="false">IF(CW$4=0,0,IF(COUNTIFS(実績!$W$6:$W$505,CW$3,実績!$AI$6:$AI$505,"&lt;="&amp;$A27,実績!$AJ$6:$AJ$505,"&gt;"&amp;$A27,実績!$AK$6:$AK$505,"○")&gt;0,1,0))</f>
        <v>0</v>
      </c>
      <c r="CX27" s="39" t="n">
        <f aca="false">IF(CX$4=0,0,IF(COUNTIFS(実績!$W$6:$W$505,CX$3,実績!$AI$6:$AI$505,"&lt;="&amp;$A27,実績!$AJ$6:$AJ$505,"&gt;"&amp;$A27,実績!$AK$6:$AK$505,"○")&gt;0,1,0))</f>
        <v>0</v>
      </c>
      <c r="CY27" s="39" t="n">
        <f aca="false">IF(CY$4=0,0,IF(COUNTIFS(実績!$W$6:$W$505,CY$3,実績!$AI$6:$AI$505,"&lt;="&amp;$A27,実績!$AJ$6:$AJ$505,"&gt;"&amp;$A27,実績!$AK$6:$AK$505,"○")&gt;0,1,0))</f>
        <v>0</v>
      </c>
      <c r="CZ27" s="39" t="n">
        <f aca="false">IF(CZ$4=0,0,IF(COUNTIFS(実績!$W$6:$W$505,CZ$3,実績!$AI$6:$AI$505,"&lt;="&amp;$A27,実績!$AJ$6:$AJ$505,"&gt;"&amp;$A27,実績!$AK$6:$AK$505,"○")&gt;0,1,0))</f>
        <v>0</v>
      </c>
      <c r="DA27" s="39" t="n">
        <f aca="false">IF(DA$4=0,0,IF(COUNTIFS(実績!$W$6:$W$505,DA$3,実績!$AI$6:$AI$505,"&lt;="&amp;$A27,実績!$AJ$6:$AJ$505,"&gt;"&amp;$A27,実績!$AK$6:$AK$505,"○")&gt;0,1,0))</f>
        <v>0</v>
      </c>
      <c r="DB27" s="39" t="n">
        <f aca="false">IF(DB$4=0,0,IF(COUNTIFS(実績!$W$6:$W$505,DB$3,実績!$AI$6:$AI$505,"&lt;="&amp;$A27,実績!$AJ$6:$AJ$505,"&gt;"&amp;$A27,実績!$AK$6:$AK$505,"○")&gt;0,1,0))</f>
        <v>0</v>
      </c>
      <c r="DC27" s="39" t="n">
        <f aca="false">IF(DC$4=0,0,IF(COUNTIFS(実績!$W$6:$W$505,DC$3,実績!$AI$6:$AI$505,"&lt;="&amp;$A27,実績!$AJ$6:$AJ$505,"&gt;"&amp;$A27,実績!$AK$6:$AK$505,"○")&gt;0,1,0))</f>
        <v>0</v>
      </c>
      <c r="DD27" s="39" t="n">
        <f aca="false">IF(DD$4=0,0,IF(COUNTIFS(実績!$W$6:$W$505,DD$3,実績!$AI$6:$AI$505,"&lt;="&amp;$A27,実績!$AJ$6:$AJ$505,"&gt;"&amp;$A27,実績!$AK$6:$AK$505,"○")&gt;0,1,0))</f>
        <v>0</v>
      </c>
      <c r="DE27" s="39" t="n">
        <f aca="false">IF(DE$4=0,0,IF(COUNTIFS(実績!$W$6:$W$505,DE$3,実績!$AI$6:$AI$505,"&lt;="&amp;$A27,実績!$AJ$6:$AJ$505,"&gt;"&amp;$A27,実績!$AK$6:$AK$505,"○")&gt;0,1,0))</f>
        <v>0</v>
      </c>
      <c r="DF27" s="39" t="n">
        <f aca="false">IF(DF$4=0,0,IF(COUNTIFS(実績!$W$6:$W$505,DF$3,実績!$AI$6:$AI$505,"&lt;="&amp;$A27,実績!$AJ$6:$AJ$505,"&gt;"&amp;$A27,実績!$AK$6:$AK$505,"○")&gt;0,1,0))</f>
        <v>0</v>
      </c>
      <c r="DG27" s="39" t="n">
        <f aca="false">IF(DG$4=0,0,IF(COUNTIFS(実績!$W$6:$W$505,DG$3,実績!$AI$6:$AI$505,"&lt;="&amp;$A27,実績!$AJ$6:$AJ$505,"&gt;"&amp;$A27,実績!$AK$6:$AK$505,"○")&gt;0,1,0))</f>
        <v>0</v>
      </c>
      <c r="DH27" s="39" t="n">
        <f aca="false">IF(DH$4=0,0,IF(COUNTIFS(実績!$W$6:$W$505,DH$3,実績!$AI$6:$AI$505,"&lt;="&amp;$A27,実績!$AJ$6:$AJ$505,"&gt;"&amp;$A27,実績!$AK$6:$AK$505,"○")&gt;0,1,0))</f>
        <v>0</v>
      </c>
      <c r="DI27" s="39" t="n">
        <f aca="false">IF(DI$4=0,0,IF(COUNTIFS(実績!$W$6:$W$505,DI$3,実績!$AI$6:$AI$505,"&lt;="&amp;$A27,実績!$AJ$6:$AJ$505,"&gt;"&amp;$A27,実績!$AK$6:$AK$505,"○")&gt;0,1,0))</f>
        <v>0</v>
      </c>
      <c r="DJ27" s="39" t="n">
        <f aca="false">IF(DJ$4=0,0,IF(COUNTIFS(実績!$W$6:$W$505,DJ$3,実績!$AI$6:$AI$505,"&lt;="&amp;$A27,実績!$AJ$6:$AJ$505,"&gt;"&amp;$A27,実績!$AK$6:$AK$505,"○")&gt;0,1,0))</f>
        <v>0</v>
      </c>
      <c r="DK27" s="39" t="n">
        <f aca="false">IF(DK$4=0,0,IF(COUNTIFS(実績!$W$6:$W$505,DK$3,実績!$AI$6:$AI$505,"&lt;="&amp;$A27,実績!$AJ$6:$AJ$505,"&gt;"&amp;$A27,実績!$AK$6:$AK$505,"○")&gt;0,1,0))</f>
        <v>0</v>
      </c>
      <c r="DL27" s="39" t="n">
        <f aca="false">IF(DL$4=0,0,IF(COUNTIFS(実績!$W$6:$W$505,DL$3,実績!$AI$6:$AI$505,"&lt;="&amp;$A27,実績!$AJ$6:$AJ$505,"&gt;"&amp;$A27,実績!$AK$6:$AK$505,"○")&gt;0,1,0))</f>
        <v>0</v>
      </c>
      <c r="DM27" s="39" t="n">
        <f aca="false">IF(DM$4=0,0,IF(COUNTIFS(実績!$W$6:$W$505,DM$3,実績!$AI$6:$AI$505,"&lt;="&amp;$A27,実績!$AJ$6:$AJ$505,"&gt;"&amp;$A27,実績!$AK$6:$AK$505,"○")&gt;0,1,0))</f>
        <v>0</v>
      </c>
      <c r="DN27" s="39" t="n">
        <f aca="false">IF(DN$4=0,0,IF(COUNTIFS(実績!$W$6:$W$505,DN$3,実績!$AI$6:$AI$505,"&lt;="&amp;$A27,実績!$AJ$6:$AJ$505,"&gt;"&amp;$A27,実績!$AK$6:$AK$505,"○")&gt;0,1,0))</f>
        <v>0</v>
      </c>
      <c r="DO27" s="39" t="n">
        <f aca="false">IF(DO$4=0,0,IF(COUNTIFS(実績!$W$6:$W$505,DO$3,実績!$AI$6:$AI$505,"&lt;="&amp;$A27,実績!$AJ$6:$AJ$505,"&gt;"&amp;$A27,実績!$AK$6:$AK$505,"○")&gt;0,1,0))</f>
        <v>0</v>
      </c>
      <c r="DP27" s="39" t="n">
        <f aca="false">IF(DP$4=0,0,IF(COUNTIFS(実績!$W$6:$W$505,DP$3,実績!$AI$6:$AI$505,"&lt;="&amp;$A27,実績!$AJ$6:$AJ$505,"&gt;"&amp;$A27,実績!$AK$6:$AK$505,"○")&gt;0,1,0))</f>
        <v>0</v>
      </c>
      <c r="DQ27" s="39" t="n">
        <f aca="false">IF(DQ$4=0,0,IF(COUNTIFS(実績!$W$6:$W$505,DQ$3,実績!$AI$6:$AI$505,"&lt;="&amp;$A27,実績!$AJ$6:$AJ$505,"&gt;"&amp;$A27,実績!$AK$6:$AK$505,"○")&gt;0,1,0))</f>
        <v>0</v>
      </c>
      <c r="DR27" s="39" t="n">
        <f aca="false">IF(DR$4=0,0,IF(COUNTIFS(実績!$W$6:$W$505,DR$3,実績!$AI$6:$AI$505,"&lt;="&amp;$A27,実績!$AJ$6:$AJ$505,"&gt;"&amp;$A27,実績!$AK$6:$AK$505,"○")&gt;0,1,0))</f>
        <v>0</v>
      </c>
      <c r="DS27" s="39" t="n">
        <f aca="false">SUM(C27:DR27)</f>
        <v>0</v>
      </c>
      <c r="DT27" s="39" t="n">
        <f aca="false">SUMPRODUCT((実績!$C$6:$C$505="○")*ISNUMBER(実績!$AM$6:$AM$505)*(実績!$AM$6:$AM$505&lt;=$A27)*(実績!$AN$6:$AN$505&gt;$A27))</f>
        <v>0</v>
      </c>
      <c r="DU27" s="39" t="n">
        <f aca="false">SUMIF($C$2:$DR$2,"製鉄曳船",C27:DR27)</f>
        <v>0</v>
      </c>
      <c r="DV27" s="39" t="n">
        <f aca="false">SUMIF($C$2:$DR$2,"西日本海運",C27:DR27)</f>
        <v>0</v>
      </c>
    </row>
    <row r="28" customFormat="false" ht="15" hidden="false" customHeight="false" outlineLevel="0" collapsed="false">
      <c r="A28" s="0" t="n">
        <v>110</v>
      </c>
      <c r="B28" s="38" t="n">
        <f aca="false">A28/1440</f>
        <v>0.0763888888888889</v>
      </c>
      <c r="C28" s="39" t="n">
        <f aca="false">IF(C$4=0,0,IF(COUNTIFS(実績!$W$6:$W$505,C$3,実績!$AI$6:$AI$505,"&lt;="&amp;$A28,実績!$AJ$6:$AJ$505,"&gt;"&amp;$A28,実績!$AK$6:$AK$505,"○")&gt;0,1,0))</f>
        <v>0</v>
      </c>
      <c r="D28" s="39" t="n">
        <f aca="false">IF(D$4=0,0,IF(COUNTIFS(実績!$W$6:$W$505,D$3,実績!$AI$6:$AI$505,"&lt;="&amp;$A28,実績!$AJ$6:$AJ$505,"&gt;"&amp;$A28,実績!$AK$6:$AK$505,"○")&gt;0,1,0))</f>
        <v>0</v>
      </c>
      <c r="E28" s="39" t="n">
        <f aca="false">IF(E$4=0,0,IF(COUNTIFS(実績!$W$6:$W$505,E$3,実績!$AI$6:$AI$505,"&lt;="&amp;$A28,実績!$AJ$6:$AJ$505,"&gt;"&amp;$A28,実績!$AK$6:$AK$505,"○")&gt;0,1,0))</f>
        <v>0</v>
      </c>
      <c r="F28" s="39" t="n">
        <f aca="false">IF(F$4=0,0,IF(COUNTIFS(実績!$W$6:$W$505,F$3,実績!$AI$6:$AI$505,"&lt;="&amp;$A28,実績!$AJ$6:$AJ$505,"&gt;"&amp;$A28,実績!$AK$6:$AK$505,"○")&gt;0,1,0))</f>
        <v>0</v>
      </c>
      <c r="G28" s="39" t="n">
        <f aca="false">IF(G$4=0,0,IF(COUNTIFS(実績!$W$6:$W$505,G$3,実績!$AI$6:$AI$505,"&lt;="&amp;$A28,実績!$AJ$6:$AJ$505,"&gt;"&amp;$A28,実績!$AK$6:$AK$505,"○")&gt;0,1,0))</f>
        <v>0</v>
      </c>
      <c r="H28" s="39" t="n">
        <f aca="false">IF(H$4=0,0,IF(COUNTIFS(実績!$W$6:$W$505,H$3,実績!$AI$6:$AI$505,"&lt;="&amp;$A28,実績!$AJ$6:$AJ$505,"&gt;"&amp;$A28,実績!$AK$6:$AK$505,"○")&gt;0,1,0))</f>
        <v>0</v>
      </c>
      <c r="I28" s="39" t="n">
        <f aca="false">IF(I$4=0,0,IF(COUNTIFS(実績!$W$6:$W$505,I$3,実績!$AI$6:$AI$505,"&lt;="&amp;$A28,実績!$AJ$6:$AJ$505,"&gt;"&amp;$A28,実績!$AK$6:$AK$505,"○")&gt;0,1,0))</f>
        <v>0</v>
      </c>
      <c r="J28" s="39" t="n">
        <f aca="false">IF(J$4=0,0,IF(COUNTIFS(実績!$W$6:$W$505,J$3,実績!$AI$6:$AI$505,"&lt;="&amp;$A28,実績!$AJ$6:$AJ$505,"&gt;"&amp;$A28,実績!$AK$6:$AK$505,"○")&gt;0,1,0))</f>
        <v>0</v>
      </c>
      <c r="K28" s="39" t="n">
        <f aca="false">IF(K$4=0,0,IF(COUNTIFS(実績!$W$6:$W$505,K$3,実績!$AI$6:$AI$505,"&lt;="&amp;$A28,実績!$AJ$6:$AJ$505,"&gt;"&amp;$A28,実績!$AK$6:$AK$505,"○")&gt;0,1,0))</f>
        <v>0</v>
      </c>
      <c r="L28" s="39" t="n">
        <f aca="false">IF(L$4=0,0,IF(COUNTIFS(実績!$W$6:$W$505,L$3,実績!$AI$6:$AI$505,"&lt;="&amp;$A28,実績!$AJ$6:$AJ$505,"&gt;"&amp;$A28,実績!$AK$6:$AK$505,"○")&gt;0,1,0))</f>
        <v>0</v>
      </c>
      <c r="M28" s="39" t="n">
        <f aca="false">IF(M$4=0,0,IF(COUNTIFS(実績!$W$6:$W$505,M$3,実績!$AI$6:$AI$505,"&lt;="&amp;$A28,実績!$AJ$6:$AJ$505,"&gt;"&amp;$A28,実績!$AK$6:$AK$505,"○")&gt;0,1,0))</f>
        <v>0</v>
      </c>
      <c r="N28" s="39" t="n">
        <f aca="false">IF(N$4=0,0,IF(COUNTIFS(実績!$W$6:$W$505,N$3,実績!$AI$6:$AI$505,"&lt;="&amp;$A28,実績!$AJ$6:$AJ$505,"&gt;"&amp;$A28,実績!$AK$6:$AK$505,"○")&gt;0,1,0))</f>
        <v>0</v>
      </c>
      <c r="O28" s="39" t="n">
        <f aca="false">IF(O$4=0,0,IF(COUNTIFS(実績!$W$6:$W$505,O$3,実績!$AI$6:$AI$505,"&lt;="&amp;$A28,実績!$AJ$6:$AJ$505,"&gt;"&amp;$A28,実績!$AK$6:$AK$505,"○")&gt;0,1,0))</f>
        <v>0</v>
      </c>
      <c r="P28" s="39" t="n">
        <f aca="false">IF(P$4=0,0,IF(COUNTIFS(実績!$W$6:$W$505,P$3,実績!$AI$6:$AI$505,"&lt;="&amp;$A28,実績!$AJ$6:$AJ$505,"&gt;"&amp;$A28,実績!$AK$6:$AK$505,"○")&gt;0,1,0))</f>
        <v>0</v>
      </c>
      <c r="Q28" s="39" t="n">
        <f aca="false">IF(Q$4=0,0,IF(COUNTIFS(実績!$W$6:$W$505,Q$3,実績!$AI$6:$AI$505,"&lt;="&amp;$A28,実績!$AJ$6:$AJ$505,"&gt;"&amp;$A28,実績!$AK$6:$AK$505,"○")&gt;0,1,0))</f>
        <v>0</v>
      </c>
      <c r="R28" s="39" t="n">
        <f aca="false">IF(R$4=0,0,IF(COUNTIFS(実績!$W$6:$W$505,R$3,実績!$AI$6:$AI$505,"&lt;="&amp;$A28,実績!$AJ$6:$AJ$505,"&gt;"&amp;$A28,実績!$AK$6:$AK$505,"○")&gt;0,1,0))</f>
        <v>0</v>
      </c>
      <c r="S28" s="39" t="n">
        <f aca="false">IF(S$4=0,0,IF(COUNTIFS(実績!$W$6:$W$505,S$3,実績!$AI$6:$AI$505,"&lt;="&amp;$A28,実績!$AJ$6:$AJ$505,"&gt;"&amp;$A28,実績!$AK$6:$AK$505,"○")&gt;0,1,0))</f>
        <v>0</v>
      </c>
      <c r="T28" s="39" t="n">
        <f aca="false">IF(T$4=0,0,IF(COUNTIFS(実績!$W$6:$W$505,T$3,実績!$AI$6:$AI$505,"&lt;="&amp;$A28,実績!$AJ$6:$AJ$505,"&gt;"&amp;$A28,実績!$AK$6:$AK$505,"○")&gt;0,1,0))</f>
        <v>0</v>
      </c>
      <c r="U28" s="39" t="n">
        <f aca="false">IF(U$4=0,0,IF(COUNTIFS(実績!$W$6:$W$505,U$3,実績!$AI$6:$AI$505,"&lt;="&amp;$A28,実績!$AJ$6:$AJ$505,"&gt;"&amp;$A28,実績!$AK$6:$AK$505,"○")&gt;0,1,0))</f>
        <v>0</v>
      </c>
      <c r="V28" s="39" t="n">
        <f aca="false">IF(V$4=0,0,IF(COUNTIFS(実績!$W$6:$W$505,V$3,実績!$AI$6:$AI$505,"&lt;="&amp;$A28,実績!$AJ$6:$AJ$505,"&gt;"&amp;$A28,実績!$AK$6:$AK$505,"○")&gt;0,1,0))</f>
        <v>0</v>
      </c>
      <c r="W28" s="39" t="n">
        <f aca="false">IF(W$4=0,0,IF(COUNTIFS(実績!$W$6:$W$505,W$3,実績!$AI$6:$AI$505,"&lt;="&amp;$A28,実績!$AJ$6:$AJ$505,"&gt;"&amp;$A28,実績!$AK$6:$AK$505,"○")&gt;0,1,0))</f>
        <v>0</v>
      </c>
      <c r="X28" s="39" t="n">
        <f aca="false">IF(X$4=0,0,IF(COUNTIFS(実績!$W$6:$W$505,X$3,実績!$AI$6:$AI$505,"&lt;="&amp;$A28,実績!$AJ$6:$AJ$505,"&gt;"&amp;$A28,実績!$AK$6:$AK$505,"○")&gt;0,1,0))</f>
        <v>0</v>
      </c>
      <c r="Y28" s="39" t="n">
        <f aca="false">IF(Y$4=0,0,IF(COUNTIFS(実績!$W$6:$W$505,Y$3,実績!$AI$6:$AI$505,"&lt;="&amp;$A28,実績!$AJ$6:$AJ$505,"&gt;"&amp;$A28,実績!$AK$6:$AK$505,"○")&gt;0,1,0))</f>
        <v>0</v>
      </c>
      <c r="Z28" s="39" t="n">
        <f aca="false">IF(Z$4=0,0,IF(COUNTIFS(実績!$W$6:$W$505,Z$3,実績!$AI$6:$AI$505,"&lt;="&amp;$A28,実績!$AJ$6:$AJ$505,"&gt;"&amp;$A28,実績!$AK$6:$AK$505,"○")&gt;0,1,0))</f>
        <v>0</v>
      </c>
      <c r="AA28" s="39" t="n">
        <f aca="false">IF(AA$4=0,0,IF(COUNTIFS(実績!$W$6:$W$505,AA$3,実績!$AI$6:$AI$505,"&lt;="&amp;$A28,実績!$AJ$6:$AJ$505,"&gt;"&amp;$A28,実績!$AK$6:$AK$505,"○")&gt;0,1,0))</f>
        <v>0</v>
      </c>
      <c r="AB28" s="39" t="n">
        <f aca="false">IF(AB$4=0,0,IF(COUNTIFS(実績!$W$6:$W$505,AB$3,実績!$AI$6:$AI$505,"&lt;="&amp;$A28,実績!$AJ$6:$AJ$505,"&gt;"&amp;$A28,実績!$AK$6:$AK$505,"○")&gt;0,1,0))</f>
        <v>0</v>
      </c>
      <c r="AC28" s="39" t="n">
        <f aca="false">IF(AC$4=0,0,IF(COUNTIFS(実績!$W$6:$W$505,AC$3,実績!$AI$6:$AI$505,"&lt;="&amp;$A28,実績!$AJ$6:$AJ$505,"&gt;"&amp;$A28,実績!$AK$6:$AK$505,"○")&gt;0,1,0))</f>
        <v>0</v>
      </c>
      <c r="AD28" s="39" t="n">
        <f aca="false">IF(AD$4=0,0,IF(COUNTIFS(実績!$W$6:$W$505,AD$3,実績!$AI$6:$AI$505,"&lt;="&amp;$A28,実績!$AJ$6:$AJ$505,"&gt;"&amp;$A28,実績!$AK$6:$AK$505,"○")&gt;0,1,0))</f>
        <v>0</v>
      </c>
      <c r="AE28" s="39" t="n">
        <f aca="false">IF(AE$4=0,0,IF(COUNTIFS(実績!$W$6:$W$505,AE$3,実績!$AI$6:$AI$505,"&lt;="&amp;$A28,実績!$AJ$6:$AJ$505,"&gt;"&amp;$A28,実績!$AK$6:$AK$505,"○")&gt;0,1,0))</f>
        <v>0</v>
      </c>
      <c r="AF28" s="39" t="n">
        <f aca="false">IF(AF$4=0,0,IF(COUNTIFS(実績!$W$6:$W$505,AF$3,実績!$AI$6:$AI$505,"&lt;="&amp;$A28,実績!$AJ$6:$AJ$505,"&gt;"&amp;$A28,実績!$AK$6:$AK$505,"○")&gt;0,1,0))</f>
        <v>0</v>
      </c>
      <c r="AG28" s="39" t="n">
        <f aca="false">IF(AG$4=0,0,IF(COUNTIFS(実績!$W$6:$W$505,AG$3,実績!$AI$6:$AI$505,"&lt;="&amp;$A28,実績!$AJ$6:$AJ$505,"&gt;"&amp;$A28,実績!$AK$6:$AK$505,"○")&gt;0,1,0))</f>
        <v>0</v>
      </c>
      <c r="AH28" s="39" t="n">
        <f aca="false">IF(AH$4=0,0,IF(COUNTIFS(実績!$W$6:$W$505,AH$3,実績!$AI$6:$AI$505,"&lt;="&amp;$A28,実績!$AJ$6:$AJ$505,"&gt;"&amp;$A28,実績!$AK$6:$AK$505,"○")&gt;0,1,0))</f>
        <v>0</v>
      </c>
      <c r="AI28" s="39" t="n">
        <f aca="false">IF(AI$4=0,0,IF(COUNTIFS(実績!$W$6:$W$505,AI$3,実績!$AI$6:$AI$505,"&lt;="&amp;$A28,実績!$AJ$6:$AJ$505,"&gt;"&amp;$A28,実績!$AK$6:$AK$505,"○")&gt;0,1,0))</f>
        <v>0</v>
      </c>
      <c r="AJ28" s="39" t="n">
        <f aca="false">IF(AJ$4=0,0,IF(COUNTIFS(実績!$W$6:$W$505,AJ$3,実績!$AI$6:$AI$505,"&lt;="&amp;$A28,実績!$AJ$6:$AJ$505,"&gt;"&amp;$A28,実績!$AK$6:$AK$505,"○")&gt;0,1,0))</f>
        <v>0</v>
      </c>
      <c r="AK28" s="39" t="n">
        <f aca="false">IF(AK$4=0,0,IF(COUNTIFS(実績!$W$6:$W$505,AK$3,実績!$AI$6:$AI$505,"&lt;="&amp;$A28,実績!$AJ$6:$AJ$505,"&gt;"&amp;$A28,実績!$AK$6:$AK$505,"○")&gt;0,1,0))</f>
        <v>0</v>
      </c>
      <c r="AL28" s="39" t="n">
        <f aca="false">IF(AL$4=0,0,IF(COUNTIFS(実績!$W$6:$W$505,AL$3,実績!$AI$6:$AI$505,"&lt;="&amp;$A28,実績!$AJ$6:$AJ$505,"&gt;"&amp;$A28,実績!$AK$6:$AK$505,"○")&gt;0,1,0))</f>
        <v>0</v>
      </c>
      <c r="AM28" s="39" t="n">
        <f aca="false">IF(AM$4=0,0,IF(COUNTIFS(実績!$W$6:$W$505,AM$3,実績!$AI$6:$AI$505,"&lt;="&amp;$A28,実績!$AJ$6:$AJ$505,"&gt;"&amp;$A28,実績!$AK$6:$AK$505,"○")&gt;0,1,0))</f>
        <v>0</v>
      </c>
      <c r="AN28" s="39" t="n">
        <f aca="false">IF(AN$4=0,0,IF(COUNTIFS(実績!$W$6:$W$505,AN$3,実績!$AI$6:$AI$505,"&lt;="&amp;$A28,実績!$AJ$6:$AJ$505,"&gt;"&amp;$A28,実績!$AK$6:$AK$505,"○")&gt;0,1,0))</f>
        <v>0</v>
      </c>
      <c r="AO28" s="39" t="n">
        <f aca="false">IF(AO$4=0,0,IF(COUNTIFS(実績!$W$6:$W$505,AO$3,実績!$AI$6:$AI$505,"&lt;="&amp;$A28,実績!$AJ$6:$AJ$505,"&gt;"&amp;$A28,実績!$AK$6:$AK$505,"○")&gt;0,1,0))</f>
        <v>0</v>
      </c>
      <c r="AP28" s="39" t="n">
        <f aca="false">IF(AP$4=0,0,IF(COUNTIFS(実績!$W$6:$W$505,AP$3,実績!$AI$6:$AI$505,"&lt;="&amp;$A28,実績!$AJ$6:$AJ$505,"&gt;"&amp;$A28,実績!$AK$6:$AK$505,"○")&gt;0,1,0))</f>
        <v>0</v>
      </c>
      <c r="AQ28" s="39" t="n">
        <f aca="false">IF(AQ$4=0,0,IF(COUNTIFS(実績!$W$6:$W$505,AQ$3,実績!$AI$6:$AI$505,"&lt;="&amp;$A28,実績!$AJ$6:$AJ$505,"&gt;"&amp;$A28,実績!$AK$6:$AK$505,"○")&gt;0,1,0))</f>
        <v>0</v>
      </c>
      <c r="AR28" s="39" t="n">
        <f aca="false">IF(AR$4=0,0,IF(COUNTIFS(実績!$W$6:$W$505,AR$3,実績!$AI$6:$AI$505,"&lt;="&amp;$A28,実績!$AJ$6:$AJ$505,"&gt;"&amp;$A28,実績!$AK$6:$AK$505,"○")&gt;0,1,0))</f>
        <v>0</v>
      </c>
      <c r="AS28" s="39" t="n">
        <f aca="false">IF(AS$4=0,0,IF(COUNTIFS(実績!$W$6:$W$505,AS$3,実績!$AI$6:$AI$505,"&lt;="&amp;$A28,実績!$AJ$6:$AJ$505,"&gt;"&amp;$A28,実績!$AK$6:$AK$505,"○")&gt;0,1,0))</f>
        <v>0</v>
      </c>
      <c r="AT28" s="39" t="n">
        <f aca="false">IF(AT$4=0,0,IF(COUNTIFS(実績!$W$6:$W$505,AT$3,実績!$AI$6:$AI$505,"&lt;="&amp;$A28,実績!$AJ$6:$AJ$505,"&gt;"&amp;$A28,実績!$AK$6:$AK$505,"○")&gt;0,1,0))</f>
        <v>0</v>
      </c>
      <c r="AU28" s="39" t="n">
        <f aca="false">IF(AU$4=0,0,IF(COUNTIFS(実績!$W$6:$W$505,AU$3,実績!$AI$6:$AI$505,"&lt;="&amp;$A28,実績!$AJ$6:$AJ$505,"&gt;"&amp;$A28,実績!$AK$6:$AK$505,"○")&gt;0,1,0))</f>
        <v>0</v>
      </c>
      <c r="AV28" s="39" t="n">
        <f aca="false">IF(AV$4=0,0,IF(COUNTIFS(実績!$W$6:$W$505,AV$3,実績!$AI$6:$AI$505,"&lt;="&amp;$A28,実績!$AJ$6:$AJ$505,"&gt;"&amp;$A28,実績!$AK$6:$AK$505,"○")&gt;0,1,0))</f>
        <v>0</v>
      </c>
      <c r="AW28" s="39" t="n">
        <f aca="false">IF(AW$4=0,0,IF(COUNTIFS(実績!$W$6:$W$505,AW$3,実績!$AI$6:$AI$505,"&lt;="&amp;$A28,実績!$AJ$6:$AJ$505,"&gt;"&amp;$A28,実績!$AK$6:$AK$505,"○")&gt;0,1,0))</f>
        <v>0</v>
      </c>
      <c r="AX28" s="39" t="n">
        <f aca="false">IF(AX$4=0,0,IF(COUNTIFS(実績!$W$6:$W$505,AX$3,実績!$AI$6:$AI$505,"&lt;="&amp;$A28,実績!$AJ$6:$AJ$505,"&gt;"&amp;$A28,実績!$AK$6:$AK$505,"○")&gt;0,1,0))</f>
        <v>0</v>
      </c>
      <c r="AY28" s="39" t="n">
        <f aca="false">IF(AY$4=0,0,IF(COUNTIFS(実績!$W$6:$W$505,AY$3,実績!$AI$6:$AI$505,"&lt;="&amp;$A28,実績!$AJ$6:$AJ$505,"&gt;"&amp;$A28,実績!$AK$6:$AK$505,"○")&gt;0,1,0))</f>
        <v>0</v>
      </c>
      <c r="AZ28" s="39" t="n">
        <f aca="false">IF(AZ$4=0,0,IF(COUNTIFS(実績!$W$6:$W$505,AZ$3,実績!$AI$6:$AI$505,"&lt;="&amp;$A28,実績!$AJ$6:$AJ$505,"&gt;"&amp;$A28,実績!$AK$6:$AK$505,"○")&gt;0,1,0))</f>
        <v>0</v>
      </c>
      <c r="BA28" s="39" t="n">
        <f aca="false">IF(BA$4=0,0,IF(COUNTIFS(実績!$W$6:$W$505,BA$3,実績!$AI$6:$AI$505,"&lt;="&amp;$A28,実績!$AJ$6:$AJ$505,"&gt;"&amp;$A28,実績!$AK$6:$AK$505,"○")&gt;0,1,0))</f>
        <v>0</v>
      </c>
      <c r="BB28" s="39" t="n">
        <f aca="false">IF(BB$4=0,0,IF(COUNTIFS(実績!$W$6:$W$505,BB$3,実績!$AI$6:$AI$505,"&lt;="&amp;$A28,実績!$AJ$6:$AJ$505,"&gt;"&amp;$A28,実績!$AK$6:$AK$505,"○")&gt;0,1,0))</f>
        <v>0</v>
      </c>
      <c r="BC28" s="39" t="n">
        <f aca="false">IF(BC$4=0,0,IF(COUNTIFS(実績!$W$6:$W$505,BC$3,実績!$AI$6:$AI$505,"&lt;="&amp;$A28,実績!$AJ$6:$AJ$505,"&gt;"&amp;$A28,実績!$AK$6:$AK$505,"○")&gt;0,1,0))</f>
        <v>0</v>
      </c>
      <c r="BD28" s="39" t="n">
        <f aca="false">IF(BD$4=0,0,IF(COUNTIFS(実績!$W$6:$W$505,BD$3,実績!$AI$6:$AI$505,"&lt;="&amp;$A28,実績!$AJ$6:$AJ$505,"&gt;"&amp;$A28,実績!$AK$6:$AK$505,"○")&gt;0,1,0))</f>
        <v>0</v>
      </c>
      <c r="BE28" s="39" t="n">
        <f aca="false">IF(BE$4=0,0,IF(COUNTIFS(実績!$W$6:$W$505,BE$3,実績!$AI$6:$AI$505,"&lt;="&amp;$A28,実績!$AJ$6:$AJ$505,"&gt;"&amp;$A28,実績!$AK$6:$AK$505,"○")&gt;0,1,0))</f>
        <v>0</v>
      </c>
      <c r="BF28" s="39" t="n">
        <f aca="false">IF(BF$4=0,0,IF(COUNTIFS(実績!$W$6:$W$505,BF$3,実績!$AI$6:$AI$505,"&lt;="&amp;$A28,実績!$AJ$6:$AJ$505,"&gt;"&amp;$A28,実績!$AK$6:$AK$505,"○")&gt;0,1,0))</f>
        <v>0</v>
      </c>
      <c r="BG28" s="39" t="n">
        <f aca="false">IF(BG$4=0,0,IF(COUNTIFS(実績!$W$6:$W$505,BG$3,実績!$AI$6:$AI$505,"&lt;="&amp;$A28,実績!$AJ$6:$AJ$505,"&gt;"&amp;$A28,実績!$AK$6:$AK$505,"○")&gt;0,1,0))</f>
        <v>0</v>
      </c>
      <c r="BH28" s="39" t="n">
        <f aca="false">IF(BH$4=0,0,IF(COUNTIFS(実績!$W$6:$W$505,BH$3,実績!$AI$6:$AI$505,"&lt;="&amp;$A28,実績!$AJ$6:$AJ$505,"&gt;"&amp;$A28,実績!$AK$6:$AK$505,"○")&gt;0,1,0))</f>
        <v>0</v>
      </c>
      <c r="BI28" s="39" t="n">
        <f aca="false">IF(BI$4=0,0,IF(COUNTIFS(実績!$W$6:$W$505,BI$3,実績!$AI$6:$AI$505,"&lt;="&amp;$A28,実績!$AJ$6:$AJ$505,"&gt;"&amp;$A28,実績!$AK$6:$AK$505,"○")&gt;0,1,0))</f>
        <v>0</v>
      </c>
      <c r="BJ28" s="39" t="n">
        <f aca="false">IF(BJ$4=0,0,IF(COUNTIFS(実績!$W$6:$W$505,BJ$3,実績!$AI$6:$AI$505,"&lt;="&amp;$A28,実績!$AJ$6:$AJ$505,"&gt;"&amp;$A28,実績!$AK$6:$AK$505,"○")&gt;0,1,0))</f>
        <v>0</v>
      </c>
      <c r="BK28" s="39" t="n">
        <f aca="false">IF(BK$4=0,0,IF(COUNTIFS(実績!$W$6:$W$505,BK$3,実績!$AI$6:$AI$505,"&lt;="&amp;$A28,実績!$AJ$6:$AJ$505,"&gt;"&amp;$A28,実績!$AK$6:$AK$505,"○")&gt;0,1,0))</f>
        <v>0</v>
      </c>
      <c r="BL28" s="39" t="n">
        <f aca="false">IF(BL$4=0,0,IF(COUNTIFS(実績!$W$6:$W$505,BL$3,実績!$AI$6:$AI$505,"&lt;="&amp;$A28,実績!$AJ$6:$AJ$505,"&gt;"&amp;$A28,実績!$AK$6:$AK$505,"○")&gt;0,1,0))</f>
        <v>0</v>
      </c>
      <c r="BM28" s="39" t="n">
        <f aca="false">IF(BM$4=0,0,IF(COUNTIFS(実績!$W$6:$W$505,BM$3,実績!$AI$6:$AI$505,"&lt;="&amp;$A28,実績!$AJ$6:$AJ$505,"&gt;"&amp;$A28,実績!$AK$6:$AK$505,"○")&gt;0,1,0))</f>
        <v>0</v>
      </c>
      <c r="BN28" s="39" t="n">
        <f aca="false">IF(BN$4=0,0,IF(COUNTIFS(実績!$W$6:$W$505,BN$3,実績!$AI$6:$AI$505,"&lt;="&amp;$A28,実績!$AJ$6:$AJ$505,"&gt;"&amp;$A28,実績!$AK$6:$AK$505,"○")&gt;0,1,0))</f>
        <v>0</v>
      </c>
      <c r="BO28" s="39" t="n">
        <f aca="false">IF(BO$4=0,0,IF(COUNTIFS(実績!$W$6:$W$505,BO$3,実績!$AI$6:$AI$505,"&lt;="&amp;$A28,実績!$AJ$6:$AJ$505,"&gt;"&amp;$A28,実績!$AK$6:$AK$505,"○")&gt;0,1,0))</f>
        <v>0</v>
      </c>
      <c r="BP28" s="39" t="n">
        <f aca="false">IF(BP$4=0,0,IF(COUNTIFS(実績!$W$6:$W$505,BP$3,実績!$AI$6:$AI$505,"&lt;="&amp;$A28,実績!$AJ$6:$AJ$505,"&gt;"&amp;$A28,実績!$AK$6:$AK$505,"○")&gt;0,1,0))</f>
        <v>0</v>
      </c>
      <c r="BQ28" s="39" t="n">
        <f aca="false">IF(BQ$4=0,0,IF(COUNTIFS(実績!$W$6:$W$505,BQ$3,実績!$AI$6:$AI$505,"&lt;="&amp;$A28,実績!$AJ$6:$AJ$505,"&gt;"&amp;$A28,実績!$AK$6:$AK$505,"○")&gt;0,1,0))</f>
        <v>0</v>
      </c>
      <c r="BR28" s="39" t="n">
        <f aca="false">IF(BR$4=0,0,IF(COUNTIFS(実績!$W$6:$W$505,BR$3,実績!$AI$6:$AI$505,"&lt;="&amp;$A28,実績!$AJ$6:$AJ$505,"&gt;"&amp;$A28,実績!$AK$6:$AK$505,"○")&gt;0,1,0))</f>
        <v>0</v>
      </c>
      <c r="BS28" s="39" t="n">
        <f aca="false">IF(BS$4=0,0,IF(COUNTIFS(実績!$W$6:$W$505,BS$3,実績!$AI$6:$AI$505,"&lt;="&amp;$A28,実績!$AJ$6:$AJ$505,"&gt;"&amp;$A28,実績!$AK$6:$AK$505,"○")&gt;0,1,0))</f>
        <v>0</v>
      </c>
      <c r="BT28" s="39" t="n">
        <f aca="false">IF(BT$4=0,0,IF(COUNTIFS(実績!$W$6:$W$505,BT$3,実績!$AI$6:$AI$505,"&lt;="&amp;$A28,実績!$AJ$6:$AJ$505,"&gt;"&amp;$A28,実績!$AK$6:$AK$505,"○")&gt;0,1,0))</f>
        <v>0</v>
      </c>
      <c r="BU28" s="39" t="n">
        <f aca="false">IF(BU$4=0,0,IF(COUNTIFS(実績!$W$6:$W$505,BU$3,実績!$AI$6:$AI$505,"&lt;="&amp;$A28,実績!$AJ$6:$AJ$505,"&gt;"&amp;$A28,実績!$AK$6:$AK$505,"○")&gt;0,1,0))</f>
        <v>0</v>
      </c>
      <c r="BV28" s="39" t="n">
        <f aca="false">IF(BV$4=0,0,IF(COUNTIFS(実績!$W$6:$W$505,BV$3,実績!$AI$6:$AI$505,"&lt;="&amp;$A28,実績!$AJ$6:$AJ$505,"&gt;"&amp;$A28,実績!$AK$6:$AK$505,"○")&gt;0,1,0))</f>
        <v>0</v>
      </c>
      <c r="BW28" s="39" t="n">
        <f aca="false">IF(BW$4=0,0,IF(COUNTIFS(実績!$W$6:$W$505,BW$3,実績!$AI$6:$AI$505,"&lt;="&amp;$A28,実績!$AJ$6:$AJ$505,"&gt;"&amp;$A28,実績!$AK$6:$AK$505,"○")&gt;0,1,0))</f>
        <v>0</v>
      </c>
      <c r="BX28" s="39" t="n">
        <f aca="false">IF(BX$4=0,0,IF(COUNTIFS(実績!$W$6:$W$505,BX$3,実績!$AI$6:$AI$505,"&lt;="&amp;$A28,実績!$AJ$6:$AJ$505,"&gt;"&amp;$A28,実績!$AK$6:$AK$505,"○")&gt;0,1,0))</f>
        <v>0</v>
      </c>
      <c r="BY28" s="39" t="n">
        <f aca="false">IF(BY$4=0,0,IF(COUNTIFS(実績!$W$6:$W$505,BY$3,実績!$AI$6:$AI$505,"&lt;="&amp;$A28,実績!$AJ$6:$AJ$505,"&gt;"&amp;$A28,実績!$AK$6:$AK$505,"○")&gt;0,1,0))</f>
        <v>0</v>
      </c>
      <c r="BZ28" s="39" t="n">
        <f aca="false">IF(BZ$4=0,0,IF(COUNTIFS(実績!$W$6:$W$505,BZ$3,実績!$AI$6:$AI$505,"&lt;="&amp;$A28,実績!$AJ$6:$AJ$505,"&gt;"&amp;$A28,実績!$AK$6:$AK$505,"○")&gt;0,1,0))</f>
        <v>0</v>
      </c>
      <c r="CA28" s="39" t="n">
        <f aca="false">IF(CA$4=0,0,IF(COUNTIFS(実績!$W$6:$W$505,CA$3,実績!$AI$6:$AI$505,"&lt;="&amp;$A28,実績!$AJ$6:$AJ$505,"&gt;"&amp;$A28,実績!$AK$6:$AK$505,"○")&gt;0,1,0))</f>
        <v>0</v>
      </c>
      <c r="CB28" s="39" t="n">
        <f aca="false">IF(CB$4=0,0,IF(COUNTIFS(実績!$W$6:$W$505,CB$3,実績!$AI$6:$AI$505,"&lt;="&amp;$A28,実績!$AJ$6:$AJ$505,"&gt;"&amp;$A28,実績!$AK$6:$AK$505,"○")&gt;0,1,0))</f>
        <v>0</v>
      </c>
      <c r="CC28" s="39" t="n">
        <f aca="false">IF(CC$4=0,0,IF(COUNTIFS(実績!$W$6:$W$505,CC$3,実績!$AI$6:$AI$505,"&lt;="&amp;$A28,実績!$AJ$6:$AJ$505,"&gt;"&amp;$A28,実績!$AK$6:$AK$505,"○")&gt;0,1,0))</f>
        <v>0</v>
      </c>
      <c r="CD28" s="39" t="n">
        <f aca="false">IF(CD$4=0,0,IF(COUNTIFS(実績!$W$6:$W$505,CD$3,実績!$AI$6:$AI$505,"&lt;="&amp;$A28,実績!$AJ$6:$AJ$505,"&gt;"&amp;$A28,実績!$AK$6:$AK$505,"○")&gt;0,1,0))</f>
        <v>0</v>
      </c>
      <c r="CE28" s="39" t="n">
        <f aca="false">IF(CE$4=0,0,IF(COUNTIFS(実績!$W$6:$W$505,CE$3,実績!$AI$6:$AI$505,"&lt;="&amp;$A28,実績!$AJ$6:$AJ$505,"&gt;"&amp;$A28,実績!$AK$6:$AK$505,"○")&gt;0,1,0))</f>
        <v>0</v>
      </c>
      <c r="CF28" s="39" t="n">
        <f aca="false">IF(CF$4=0,0,IF(COUNTIFS(実績!$W$6:$W$505,CF$3,実績!$AI$6:$AI$505,"&lt;="&amp;$A28,実績!$AJ$6:$AJ$505,"&gt;"&amp;$A28,実績!$AK$6:$AK$505,"○")&gt;0,1,0))</f>
        <v>0</v>
      </c>
      <c r="CG28" s="39" t="n">
        <f aca="false">IF(CG$4=0,0,IF(COUNTIFS(実績!$W$6:$W$505,CG$3,実績!$AI$6:$AI$505,"&lt;="&amp;$A28,実績!$AJ$6:$AJ$505,"&gt;"&amp;$A28,実績!$AK$6:$AK$505,"○")&gt;0,1,0))</f>
        <v>0</v>
      </c>
      <c r="CH28" s="39" t="n">
        <f aca="false">IF(CH$4=0,0,IF(COUNTIFS(実績!$W$6:$W$505,CH$3,実績!$AI$6:$AI$505,"&lt;="&amp;$A28,実績!$AJ$6:$AJ$505,"&gt;"&amp;$A28,実績!$AK$6:$AK$505,"○")&gt;0,1,0))</f>
        <v>0</v>
      </c>
      <c r="CI28" s="39" t="n">
        <f aca="false">IF(CI$4=0,0,IF(COUNTIFS(実績!$W$6:$W$505,CI$3,実績!$AI$6:$AI$505,"&lt;="&amp;$A28,実績!$AJ$6:$AJ$505,"&gt;"&amp;$A28,実績!$AK$6:$AK$505,"○")&gt;0,1,0))</f>
        <v>0</v>
      </c>
      <c r="CJ28" s="39" t="n">
        <f aca="false">IF(CJ$4=0,0,IF(COUNTIFS(実績!$W$6:$W$505,CJ$3,実績!$AI$6:$AI$505,"&lt;="&amp;$A28,実績!$AJ$6:$AJ$505,"&gt;"&amp;$A28,実績!$AK$6:$AK$505,"○")&gt;0,1,0))</f>
        <v>0</v>
      </c>
      <c r="CK28" s="39" t="n">
        <f aca="false">IF(CK$4=0,0,IF(COUNTIFS(実績!$W$6:$W$505,CK$3,実績!$AI$6:$AI$505,"&lt;="&amp;$A28,実績!$AJ$6:$AJ$505,"&gt;"&amp;$A28,実績!$AK$6:$AK$505,"○")&gt;0,1,0))</f>
        <v>0</v>
      </c>
      <c r="CL28" s="39" t="n">
        <f aca="false">IF(CL$4=0,0,IF(COUNTIFS(実績!$W$6:$W$505,CL$3,実績!$AI$6:$AI$505,"&lt;="&amp;$A28,実績!$AJ$6:$AJ$505,"&gt;"&amp;$A28,実績!$AK$6:$AK$505,"○")&gt;0,1,0))</f>
        <v>0</v>
      </c>
      <c r="CM28" s="39" t="n">
        <f aca="false">IF(CM$4=0,0,IF(COUNTIFS(実績!$W$6:$W$505,CM$3,実績!$AI$6:$AI$505,"&lt;="&amp;$A28,実績!$AJ$6:$AJ$505,"&gt;"&amp;$A28,実績!$AK$6:$AK$505,"○")&gt;0,1,0))</f>
        <v>0</v>
      </c>
      <c r="CN28" s="39" t="n">
        <f aca="false">IF(CN$4=0,0,IF(COUNTIFS(実績!$W$6:$W$505,CN$3,実績!$AI$6:$AI$505,"&lt;="&amp;$A28,実績!$AJ$6:$AJ$505,"&gt;"&amp;$A28,実績!$AK$6:$AK$505,"○")&gt;0,1,0))</f>
        <v>0</v>
      </c>
      <c r="CO28" s="39" t="n">
        <f aca="false">IF(CO$4=0,0,IF(COUNTIFS(実績!$W$6:$W$505,CO$3,実績!$AI$6:$AI$505,"&lt;="&amp;$A28,実績!$AJ$6:$AJ$505,"&gt;"&amp;$A28,実績!$AK$6:$AK$505,"○")&gt;0,1,0))</f>
        <v>0</v>
      </c>
      <c r="CP28" s="39" t="n">
        <f aca="false">IF(CP$4=0,0,IF(COUNTIFS(実績!$W$6:$W$505,CP$3,実績!$AI$6:$AI$505,"&lt;="&amp;$A28,実績!$AJ$6:$AJ$505,"&gt;"&amp;$A28,実績!$AK$6:$AK$505,"○")&gt;0,1,0))</f>
        <v>0</v>
      </c>
      <c r="CQ28" s="39" t="n">
        <f aca="false">IF(CQ$4=0,0,IF(COUNTIFS(実績!$W$6:$W$505,CQ$3,実績!$AI$6:$AI$505,"&lt;="&amp;$A28,実績!$AJ$6:$AJ$505,"&gt;"&amp;$A28,実績!$AK$6:$AK$505,"○")&gt;0,1,0))</f>
        <v>0</v>
      </c>
      <c r="CR28" s="39" t="n">
        <f aca="false">IF(CR$4=0,0,IF(COUNTIFS(実績!$W$6:$W$505,CR$3,実績!$AI$6:$AI$505,"&lt;="&amp;$A28,実績!$AJ$6:$AJ$505,"&gt;"&amp;$A28,実績!$AK$6:$AK$505,"○")&gt;0,1,0))</f>
        <v>0</v>
      </c>
      <c r="CS28" s="39" t="n">
        <f aca="false">IF(CS$4=0,0,IF(COUNTIFS(実績!$W$6:$W$505,CS$3,実績!$AI$6:$AI$505,"&lt;="&amp;$A28,実績!$AJ$6:$AJ$505,"&gt;"&amp;$A28,実績!$AK$6:$AK$505,"○")&gt;0,1,0))</f>
        <v>0</v>
      </c>
      <c r="CT28" s="39" t="n">
        <f aca="false">IF(CT$4=0,0,IF(COUNTIFS(実績!$W$6:$W$505,CT$3,実績!$AI$6:$AI$505,"&lt;="&amp;$A28,実績!$AJ$6:$AJ$505,"&gt;"&amp;$A28,実績!$AK$6:$AK$505,"○")&gt;0,1,0))</f>
        <v>0</v>
      </c>
      <c r="CU28" s="39" t="n">
        <f aca="false">IF(CU$4=0,0,IF(COUNTIFS(実績!$W$6:$W$505,CU$3,実績!$AI$6:$AI$505,"&lt;="&amp;$A28,実績!$AJ$6:$AJ$505,"&gt;"&amp;$A28,実績!$AK$6:$AK$505,"○")&gt;0,1,0))</f>
        <v>0</v>
      </c>
      <c r="CV28" s="39" t="n">
        <f aca="false">IF(CV$4=0,0,IF(COUNTIFS(実績!$W$6:$W$505,CV$3,実績!$AI$6:$AI$505,"&lt;="&amp;$A28,実績!$AJ$6:$AJ$505,"&gt;"&amp;$A28,実績!$AK$6:$AK$505,"○")&gt;0,1,0))</f>
        <v>0</v>
      </c>
      <c r="CW28" s="39" t="n">
        <f aca="false">IF(CW$4=0,0,IF(COUNTIFS(実績!$W$6:$W$505,CW$3,実績!$AI$6:$AI$505,"&lt;="&amp;$A28,実績!$AJ$6:$AJ$505,"&gt;"&amp;$A28,実績!$AK$6:$AK$505,"○")&gt;0,1,0))</f>
        <v>0</v>
      </c>
      <c r="CX28" s="39" t="n">
        <f aca="false">IF(CX$4=0,0,IF(COUNTIFS(実績!$W$6:$W$505,CX$3,実績!$AI$6:$AI$505,"&lt;="&amp;$A28,実績!$AJ$6:$AJ$505,"&gt;"&amp;$A28,実績!$AK$6:$AK$505,"○")&gt;0,1,0))</f>
        <v>0</v>
      </c>
      <c r="CY28" s="39" t="n">
        <f aca="false">IF(CY$4=0,0,IF(COUNTIFS(実績!$W$6:$W$505,CY$3,実績!$AI$6:$AI$505,"&lt;="&amp;$A28,実績!$AJ$6:$AJ$505,"&gt;"&amp;$A28,実績!$AK$6:$AK$505,"○")&gt;0,1,0))</f>
        <v>0</v>
      </c>
      <c r="CZ28" s="39" t="n">
        <f aca="false">IF(CZ$4=0,0,IF(COUNTIFS(実績!$W$6:$W$505,CZ$3,実績!$AI$6:$AI$505,"&lt;="&amp;$A28,実績!$AJ$6:$AJ$505,"&gt;"&amp;$A28,実績!$AK$6:$AK$505,"○")&gt;0,1,0))</f>
        <v>0</v>
      </c>
      <c r="DA28" s="39" t="n">
        <f aca="false">IF(DA$4=0,0,IF(COUNTIFS(実績!$W$6:$W$505,DA$3,実績!$AI$6:$AI$505,"&lt;="&amp;$A28,実績!$AJ$6:$AJ$505,"&gt;"&amp;$A28,実績!$AK$6:$AK$505,"○")&gt;0,1,0))</f>
        <v>0</v>
      </c>
      <c r="DB28" s="39" t="n">
        <f aca="false">IF(DB$4=0,0,IF(COUNTIFS(実績!$W$6:$W$505,DB$3,実績!$AI$6:$AI$505,"&lt;="&amp;$A28,実績!$AJ$6:$AJ$505,"&gt;"&amp;$A28,実績!$AK$6:$AK$505,"○")&gt;0,1,0))</f>
        <v>0</v>
      </c>
      <c r="DC28" s="39" t="n">
        <f aca="false">IF(DC$4=0,0,IF(COUNTIFS(実績!$W$6:$W$505,DC$3,実績!$AI$6:$AI$505,"&lt;="&amp;$A28,実績!$AJ$6:$AJ$505,"&gt;"&amp;$A28,実績!$AK$6:$AK$505,"○")&gt;0,1,0))</f>
        <v>0</v>
      </c>
      <c r="DD28" s="39" t="n">
        <f aca="false">IF(DD$4=0,0,IF(COUNTIFS(実績!$W$6:$W$505,DD$3,実績!$AI$6:$AI$505,"&lt;="&amp;$A28,実績!$AJ$6:$AJ$505,"&gt;"&amp;$A28,実績!$AK$6:$AK$505,"○")&gt;0,1,0))</f>
        <v>0</v>
      </c>
      <c r="DE28" s="39" t="n">
        <f aca="false">IF(DE$4=0,0,IF(COUNTIFS(実績!$W$6:$W$505,DE$3,実績!$AI$6:$AI$505,"&lt;="&amp;$A28,実績!$AJ$6:$AJ$505,"&gt;"&amp;$A28,実績!$AK$6:$AK$505,"○")&gt;0,1,0))</f>
        <v>0</v>
      </c>
      <c r="DF28" s="39" t="n">
        <f aca="false">IF(DF$4=0,0,IF(COUNTIFS(実績!$W$6:$W$505,DF$3,実績!$AI$6:$AI$505,"&lt;="&amp;$A28,実績!$AJ$6:$AJ$505,"&gt;"&amp;$A28,実績!$AK$6:$AK$505,"○")&gt;0,1,0))</f>
        <v>0</v>
      </c>
      <c r="DG28" s="39" t="n">
        <f aca="false">IF(DG$4=0,0,IF(COUNTIFS(実績!$W$6:$W$505,DG$3,実績!$AI$6:$AI$505,"&lt;="&amp;$A28,実績!$AJ$6:$AJ$505,"&gt;"&amp;$A28,実績!$AK$6:$AK$505,"○")&gt;0,1,0))</f>
        <v>0</v>
      </c>
      <c r="DH28" s="39" t="n">
        <f aca="false">IF(DH$4=0,0,IF(COUNTIFS(実績!$W$6:$W$505,DH$3,実績!$AI$6:$AI$505,"&lt;="&amp;$A28,実績!$AJ$6:$AJ$505,"&gt;"&amp;$A28,実績!$AK$6:$AK$505,"○")&gt;0,1,0))</f>
        <v>0</v>
      </c>
      <c r="DI28" s="39" t="n">
        <f aca="false">IF(DI$4=0,0,IF(COUNTIFS(実績!$W$6:$W$505,DI$3,実績!$AI$6:$AI$505,"&lt;="&amp;$A28,実績!$AJ$6:$AJ$505,"&gt;"&amp;$A28,実績!$AK$6:$AK$505,"○")&gt;0,1,0))</f>
        <v>0</v>
      </c>
      <c r="DJ28" s="39" t="n">
        <f aca="false">IF(DJ$4=0,0,IF(COUNTIFS(実績!$W$6:$W$505,DJ$3,実績!$AI$6:$AI$505,"&lt;="&amp;$A28,実績!$AJ$6:$AJ$505,"&gt;"&amp;$A28,実績!$AK$6:$AK$505,"○")&gt;0,1,0))</f>
        <v>0</v>
      </c>
      <c r="DK28" s="39" t="n">
        <f aca="false">IF(DK$4=0,0,IF(COUNTIFS(実績!$W$6:$W$505,DK$3,実績!$AI$6:$AI$505,"&lt;="&amp;$A28,実績!$AJ$6:$AJ$505,"&gt;"&amp;$A28,実績!$AK$6:$AK$505,"○")&gt;0,1,0))</f>
        <v>0</v>
      </c>
      <c r="DL28" s="39" t="n">
        <f aca="false">IF(DL$4=0,0,IF(COUNTIFS(実績!$W$6:$W$505,DL$3,実績!$AI$6:$AI$505,"&lt;="&amp;$A28,実績!$AJ$6:$AJ$505,"&gt;"&amp;$A28,実績!$AK$6:$AK$505,"○")&gt;0,1,0))</f>
        <v>0</v>
      </c>
      <c r="DM28" s="39" t="n">
        <f aca="false">IF(DM$4=0,0,IF(COUNTIFS(実績!$W$6:$W$505,DM$3,実績!$AI$6:$AI$505,"&lt;="&amp;$A28,実績!$AJ$6:$AJ$505,"&gt;"&amp;$A28,実績!$AK$6:$AK$505,"○")&gt;0,1,0))</f>
        <v>0</v>
      </c>
      <c r="DN28" s="39" t="n">
        <f aca="false">IF(DN$4=0,0,IF(COUNTIFS(実績!$W$6:$W$505,DN$3,実績!$AI$6:$AI$505,"&lt;="&amp;$A28,実績!$AJ$6:$AJ$505,"&gt;"&amp;$A28,実績!$AK$6:$AK$505,"○")&gt;0,1,0))</f>
        <v>0</v>
      </c>
      <c r="DO28" s="39" t="n">
        <f aca="false">IF(DO$4=0,0,IF(COUNTIFS(実績!$W$6:$W$505,DO$3,実績!$AI$6:$AI$505,"&lt;="&amp;$A28,実績!$AJ$6:$AJ$505,"&gt;"&amp;$A28,実績!$AK$6:$AK$505,"○")&gt;0,1,0))</f>
        <v>0</v>
      </c>
      <c r="DP28" s="39" t="n">
        <f aca="false">IF(DP$4=0,0,IF(COUNTIFS(実績!$W$6:$W$505,DP$3,実績!$AI$6:$AI$505,"&lt;="&amp;$A28,実績!$AJ$6:$AJ$505,"&gt;"&amp;$A28,実績!$AK$6:$AK$505,"○")&gt;0,1,0))</f>
        <v>0</v>
      </c>
      <c r="DQ28" s="39" t="n">
        <f aca="false">IF(DQ$4=0,0,IF(COUNTIFS(実績!$W$6:$W$505,DQ$3,実績!$AI$6:$AI$505,"&lt;="&amp;$A28,実績!$AJ$6:$AJ$505,"&gt;"&amp;$A28,実績!$AK$6:$AK$505,"○")&gt;0,1,0))</f>
        <v>0</v>
      </c>
      <c r="DR28" s="39" t="n">
        <f aca="false">IF(DR$4=0,0,IF(COUNTIFS(実績!$W$6:$W$505,DR$3,実績!$AI$6:$AI$505,"&lt;="&amp;$A28,実績!$AJ$6:$AJ$505,"&gt;"&amp;$A28,実績!$AK$6:$AK$505,"○")&gt;0,1,0))</f>
        <v>0</v>
      </c>
      <c r="DS28" s="39" t="n">
        <f aca="false">SUM(C28:DR28)</f>
        <v>0</v>
      </c>
      <c r="DT28" s="39" t="n">
        <f aca="false">SUMPRODUCT((実績!$C$6:$C$505="○")*ISNUMBER(実績!$AM$6:$AM$505)*(実績!$AM$6:$AM$505&lt;=$A28)*(実績!$AN$6:$AN$505&gt;$A28))</f>
        <v>0</v>
      </c>
      <c r="DU28" s="39" t="n">
        <f aca="false">SUMIF($C$2:$DR$2,"製鉄曳船",C28:DR28)</f>
        <v>0</v>
      </c>
      <c r="DV28" s="39" t="n">
        <f aca="false">SUMIF($C$2:$DR$2,"西日本海運",C28:DR28)</f>
        <v>0</v>
      </c>
    </row>
    <row r="29" customFormat="false" ht="15" hidden="false" customHeight="false" outlineLevel="0" collapsed="false">
      <c r="A29" s="0" t="n">
        <v>115</v>
      </c>
      <c r="B29" s="38" t="n">
        <f aca="false">A29/1440</f>
        <v>0.0798611111111111</v>
      </c>
      <c r="C29" s="39" t="n">
        <f aca="false">IF(C$4=0,0,IF(COUNTIFS(実績!$W$6:$W$505,C$3,実績!$AI$6:$AI$505,"&lt;="&amp;$A29,実績!$AJ$6:$AJ$505,"&gt;"&amp;$A29,実績!$AK$6:$AK$505,"○")&gt;0,1,0))</f>
        <v>0</v>
      </c>
      <c r="D29" s="39" t="n">
        <f aca="false">IF(D$4=0,0,IF(COUNTIFS(実績!$W$6:$W$505,D$3,実績!$AI$6:$AI$505,"&lt;="&amp;$A29,実績!$AJ$6:$AJ$505,"&gt;"&amp;$A29,実績!$AK$6:$AK$505,"○")&gt;0,1,0))</f>
        <v>0</v>
      </c>
      <c r="E29" s="39" t="n">
        <f aca="false">IF(E$4=0,0,IF(COUNTIFS(実績!$W$6:$W$505,E$3,実績!$AI$6:$AI$505,"&lt;="&amp;$A29,実績!$AJ$6:$AJ$505,"&gt;"&amp;$A29,実績!$AK$6:$AK$505,"○")&gt;0,1,0))</f>
        <v>0</v>
      </c>
      <c r="F29" s="39" t="n">
        <f aca="false">IF(F$4=0,0,IF(COUNTIFS(実績!$W$6:$W$505,F$3,実績!$AI$6:$AI$505,"&lt;="&amp;$A29,実績!$AJ$6:$AJ$505,"&gt;"&amp;$A29,実績!$AK$6:$AK$505,"○")&gt;0,1,0))</f>
        <v>0</v>
      </c>
      <c r="G29" s="39" t="n">
        <f aca="false">IF(G$4=0,0,IF(COUNTIFS(実績!$W$6:$W$505,G$3,実績!$AI$6:$AI$505,"&lt;="&amp;$A29,実績!$AJ$6:$AJ$505,"&gt;"&amp;$A29,実績!$AK$6:$AK$505,"○")&gt;0,1,0))</f>
        <v>0</v>
      </c>
      <c r="H29" s="39" t="n">
        <f aca="false">IF(H$4=0,0,IF(COUNTIFS(実績!$W$6:$W$505,H$3,実績!$AI$6:$AI$505,"&lt;="&amp;$A29,実績!$AJ$6:$AJ$505,"&gt;"&amp;$A29,実績!$AK$6:$AK$505,"○")&gt;0,1,0))</f>
        <v>0</v>
      </c>
      <c r="I29" s="39" t="n">
        <f aca="false">IF(I$4=0,0,IF(COUNTIFS(実績!$W$6:$W$505,I$3,実績!$AI$6:$AI$505,"&lt;="&amp;$A29,実績!$AJ$6:$AJ$505,"&gt;"&amp;$A29,実績!$AK$6:$AK$505,"○")&gt;0,1,0))</f>
        <v>0</v>
      </c>
      <c r="J29" s="39" t="n">
        <f aca="false">IF(J$4=0,0,IF(COUNTIFS(実績!$W$6:$W$505,J$3,実績!$AI$6:$AI$505,"&lt;="&amp;$A29,実績!$AJ$6:$AJ$505,"&gt;"&amp;$A29,実績!$AK$6:$AK$505,"○")&gt;0,1,0))</f>
        <v>0</v>
      </c>
      <c r="K29" s="39" t="n">
        <f aca="false">IF(K$4=0,0,IF(COUNTIFS(実績!$W$6:$W$505,K$3,実績!$AI$6:$AI$505,"&lt;="&amp;$A29,実績!$AJ$6:$AJ$505,"&gt;"&amp;$A29,実績!$AK$6:$AK$505,"○")&gt;0,1,0))</f>
        <v>0</v>
      </c>
      <c r="L29" s="39" t="n">
        <f aca="false">IF(L$4=0,0,IF(COUNTIFS(実績!$W$6:$W$505,L$3,実績!$AI$6:$AI$505,"&lt;="&amp;$A29,実績!$AJ$6:$AJ$505,"&gt;"&amp;$A29,実績!$AK$6:$AK$505,"○")&gt;0,1,0))</f>
        <v>0</v>
      </c>
      <c r="M29" s="39" t="n">
        <f aca="false">IF(M$4=0,0,IF(COUNTIFS(実績!$W$6:$W$505,M$3,実績!$AI$6:$AI$505,"&lt;="&amp;$A29,実績!$AJ$6:$AJ$505,"&gt;"&amp;$A29,実績!$AK$6:$AK$505,"○")&gt;0,1,0))</f>
        <v>0</v>
      </c>
      <c r="N29" s="39" t="n">
        <f aca="false">IF(N$4=0,0,IF(COUNTIFS(実績!$W$6:$W$505,N$3,実績!$AI$6:$AI$505,"&lt;="&amp;$A29,実績!$AJ$6:$AJ$505,"&gt;"&amp;$A29,実績!$AK$6:$AK$505,"○")&gt;0,1,0))</f>
        <v>0</v>
      </c>
      <c r="O29" s="39" t="n">
        <f aca="false">IF(O$4=0,0,IF(COUNTIFS(実績!$W$6:$W$505,O$3,実績!$AI$6:$AI$505,"&lt;="&amp;$A29,実績!$AJ$6:$AJ$505,"&gt;"&amp;$A29,実績!$AK$6:$AK$505,"○")&gt;0,1,0))</f>
        <v>0</v>
      </c>
      <c r="P29" s="39" t="n">
        <f aca="false">IF(P$4=0,0,IF(COUNTIFS(実績!$W$6:$W$505,P$3,実績!$AI$6:$AI$505,"&lt;="&amp;$A29,実績!$AJ$6:$AJ$505,"&gt;"&amp;$A29,実績!$AK$6:$AK$505,"○")&gt;0,1,0))</f>
        <v>0</v>
      </c>
      <c r="Q29" s="39" t="n">
        <f aca="false">IF(Q$4=0,0,IF(COUNTIFS(実績!$W$6:$W$505,Q$3,実績!$AI$6:$AI$505,"&lt;="&amp;$A29,実績!$AJ$6:$AJ$505,"&gt;"&amp;$A29,実績!$AK$6:$AK$505,"○")&gt;0,1,0))</f>
        <v>0</v>
      </c>
      <c r="R29" s="39" t="n">
        <f aca="false">IF(R$4=0,0,IF(COUNTIFS(実績!$W$6:$W$505,R$3,実績!$AI$6:$AI$505,"&lt;="&amp;$A29,実績!$AJ$6:$AJ$505,"&gt;"&amp;$A29,実績!$AK$6:$AK$505,"○")&gt;0,1,0))</f>
        <v>0</v>
      </c>
      <c r="S29" s="39" t="n">
        <f aca="false">IF(S$4=0,0,IF(COUNTIFS(実績!$W$6:$W$505,S$3,実績!$AI$6:$AI$505,"&lt;="&amp;$A29,実績!$AJ$6:$AJ$505,"&gt;"&amp;$A29,実績!$AK$6:$AK$505,"○")&gt;0,1,0))</f>
        <v>0</v>
      </c>
      <c r="T29" s="39" t="n">
        <f aca="false">IF(T$4=0,0,IF(COUNTIFS(実績!$W$6:$W$505,T$3,実績!$AI$6:$AI$505,"&lt;="&amp;$A29,実績!$AJ$6:$AJ$505,"&gt;"&amp;$A29,実績!$AK$6:$AK$505,"○")&gt;0,1,0))</f>
        <v>0</v>
      </c>
      <c r="U29" s="39" t="n">
        <f aca="false">IF(U$4=0,0,IF(COUNTIFS(実績!$W$6:$W$505,U$3,実績!$AI$6:$AI$505,"&lt;="&amp;$A29,実績!$AJ$6:$AJ$505,"&gt;"&amp;$A29,実績!$AK$6:$AK$505,"○")&gt;0,1,0))</f>
        <v>0</v>
      </c>
      <c r="V29" s="39" t="n">
        <f aca="false">IF(V$4=0,0,IF(COUNTIFS(実績!$W$6:$W$505,V$3,実績!$AI$6:$AI$505,"&lt;="&amp;$A29,実績!$AJ$6:$AJ$505,"&gt;"&amp;$A29,実績!$AK$6:$AK$505,"○")&gt;0,1,0))</f>
        <v>0</v>
      </c>
      <c r="W29" s="39" t="n">
        <f aca="false">IF(W$4=0,0,IF(COUNTIFS(実績!$W$6:$W$505,W$3,実績!$AI$6:$AI$505,"&lt;="&amp;$A29,実績!$AJ$6:$AJ$505,"&gt;"&amp;$A29,実績!$AK$6:$AK$505,"○")&gt;0,1,0))</f>
        <v>0</v>
      </c>
      <c r="X29" s="39" t="n">
        <f aca="false">IF(X$4=0,0,IF(COUNTIFS(実績!$W$6:$W$505,X$3,実績!$AI$6:$AI$505,"&lt;="&amp;$A29,実績!$AJ$6:$AJ$505,"&gt;"&amp;$A29,実績!$AK$6:$AK$505,"○")&gt;0,1,0))</f>
        <v>0</v>
      </c>
      <c r="Y29" s="39" t="n">
        <f aca="false">IF(Y$4=0,0,IF(COUNTIFS(実績!$W$6:$W$505,Y$3,実績!$AI$6:$AI$505,"&lt;="&amp;$A29,実績!$AJ$6:$AJ$505,"&gt;"&amp;$A29,実績!$AK$6:$AK$505,"○")&gt;0,1,0))</f>
        <v>0</v>
      </c>
      <c r="Z29" s="39" t="n">
        <f aca="false">IF(Z$4=0,0,IF(COUNTIFS(実績!$W$6:$W$505,Z$3,実績!$AI$6:$AI$505,"&lt;="&amp;$A29,実績!$AJ$6:$AJ$505,"&gt;"&amp;$A29,実績!$AK$6:$AK$505,"○")&gt;0,1,0))</f>
        <v>0</v>
      </c>
      <c r="AA29" s="39" t="n">
        <f aca="false">IF(AA$4=0,0,IF(COUNTIFS(実績!$W$6:$W$505,AA$3,実績!$AI$6:$AI$505,"&lt;="&amp;$A29,実績!$AJ$6:$AJ$505,"&gt;"&amp;$A29,実績!$AK$6:$AK$505,"○")&gt;0,1,0))</f>
        <v>0</v>
      </c>
      <c r="AB29" s="39" t="n">
        <f aca="false">IF(AB$4=0,0,IF(COUNTIFS(実績!$W$6:$W$505,AB$3,実績!$AI$6:$AI$505,"&lt;="&amp;$A29,実績!$AJ$6:$AJ$505,"&gt;"&amp;$A29,実績!$AK$6:$AK$505,"○")&gt;0,1,0))</f>
        <v>0</v>
      </c>
      <c r="AC29" s="39" t="n">
        <f aca="false">IF(AC$4=0,0,IF(COUNTIFS(実績!$W$6:$W$505,AC$3,実績!$AI$6:$AI$505,"&lt;="&amp;$A29,実績!$AJ$6:$AJ$505,"&gt;"&amp;$A29,実績!$AK$6:$AK$505,"○")&gt;0,1,0))</f>
        <v>0</v>
      </c>
      <c r="AD29" s="39" t="n">
        <f aca="false">IF(AD$4=0,0,IF(COUNTIFS(実績!$W$6:$W$505,AD$3,実績!$AI$6:$AI$505,"&lt;="&amp;$A29,実績!$AJ$6:$AJ$505,"&gt;"&amp;$A29,実績!$AK$6:$AK$505,"○")&gt;0,1,0))</f>
        <v>0</v>
      </c>
      <c r="AE29" s="39" t="n">
        <f aca="false">IF(AE$4=0,0,IF(COUNTIFS(実績!$W$6:$W$505,AE$3,実績!$AI$6:$AI$505,"&lt;="&amp;$A29,実績!$AJ$6:$AJ$505,"&gt;"&amp;$A29,実績!$AK$6:$AK$505,"○")&gt;0,1,0))</f>
        <v>0</v>
      </c>
      <c r="AF29" s="39" t="n">
        <f aca="false">IF(AF$4=0,0,IF(COUNTIFS(実績!$W$6:$W$505,AF$3,実績!$AI$6:$AI$505,"&lt;="&amp;$A29,実績!$AJ$6:$AJ$505,"&gt;"&amp;$A29,実績!$AK$6:$AK$505,"○")&gt;0,1,0))</f>
        <v>0</v>
      </c>
      <c r="AG29" s="39" t="n">
        <f aca="false">IF(AG$4=0,0,IF(COUNTIFS(実績!$W$6:$W$505,AG$3,実績!$AI$6:$AI$505,"&lt;="&amp;$A29,実績!$AJ$6:$AJ$505,"&gt;"&amp;$A29,実績!$AK$6:$AK$505,"○")&gt;0,1,0))</f>
        <v>0</v>
      </c>
      <c r="AH29" s="39" t="n">
        <f aca="false">IF(AH$4=0,0,IF(COUNTIFS(実績!$W$6:$W$505,AH$3,実績!$AI$6:$AI$505,"&lt;="&amp;$A29,実績!$AJ$6:$AJ$505,"&gt;"&amp;$A29,実績!$AK$6:$AK$505,"○")&gt;0,1,0))</f>
        <v>0</v>
      </c>
      <c r="AI29" s="39" t="n">
        <f aca="false">IF(AI$4=0,0,IF(COUNTIFS(実績!$W$6:$W$505,AI$3,実績!$AI$6:$AI$505,"&lt;="&amp;$A29,実績!$AJ$6:$AJ$505,"&gt;"&amp;$A29,実績!$AK$6:$AK$505,"○")&gt;0,1,0))</f>
        <v>0</v>
      </c>
      <c r="AJ29" s="39" t="n">
        <f aca="false">IF(AJ$4=0,0,IF(COUNTIFS(実績!$W$6:$W$505,AJ$3,実績!$AI$6:$AI$505,"&lt;="&amp;$A29,実績!$AJ$6:$AJ$505,"&gt;"&amp;$A29,実績!$AK$6:$AK$505,"○")&gt;0,1,0))</f>
        <v>0</v>
      </c>
      <c r="AK29" s="39" t="n">
        <f aca="false">IF(AK$4=0,0,IF(COUNTIFS(実績!$W$6:$W$505,AK$3,実績!$AI$6:$AI$505,"&lt;="&amp;$A29,実績!$AJ$6:$AJ$505,"&gt;"&amp;$A29,実績!$AK$6:$AK$505,"○")&gt;0,1,0))</f>
        <v>0</v>
      </c>
      <c r="AL29" s="39" t="n">
        <f aca="false">IF(AL$4=0,0,IF(COUNTIFS(実績!$W$6:$W$505,AL$3,実績!$AI$6:$AI$505,"&lt;="&amp;$A29,実績!$AJ$6:$AJ$505,"&gt;"&amp;$A29,実績!$AK$6:$AK$505,"○")&gt;0,1,0))</f>
        <v>0</v>
      </c>
      <c r="AM29" s="39" t="n">
        <f aca="false">IF(AM$4=0,0,IF(COUNTIFS(実績!$W$6:$W$505,AM$3,実績!$AI$6:$AI$505,"&lt;="&amp;$A29,実績!$AJ$6:$AJ$505,"&gt;"&amp;$A29,実績!$AK$6:$AK$505,"○")&gt;0,1,0))</f>
        <v>0</v>
      </c>
      <c r="AN29" s="39" t="n">
        <f aca="false">IF(AN$4=0,0,IF(COUNTIFS(実績!$W$6:$W$505,AN$3,実績!$AI$6:$AI$505,"&lt;="&amp;$A29,実績!$AJ$6:$AJ$505,"&gt;"&amp;$A29,実績!$AK$6:$AK$505,"○")&gt;0,1,0))</f>
        <v>0</v>
      </c>
      <c r="AO29" s="39" t="n">
        <f aca="false">IF(AO$4=0,0,IF(COUNTIFS(実績!$W$6:$W$505,AO$3,実績!$AI$6:$AI$505,"&lt;="&amp;$A29,実績!$AJ$6:$AJ$505,"&gt;"&amp;$A29,実績!$AK$6:$AK$505,"○")&gt;0,1,0))</f>
        <v>0</v>
      </c>
      <c r="AP29" s="39" t="n">
        <f aca="false">IF(AP$4=0,0,IF(COUNTIFS(実績!$W$6:$W$505,AP$3,実績!$AI$6:$AI$505,"&lt;="&amp;$A29,実績!$AJ$6:$AJ$505,"&gt;"&amp;$A29,実績!$AK$6:$AK$505,"○")&gt;0,1,0))</f>
        <v>0</v>
      </c>
      <c r="AQ29" s="39" t="n">
        <f aca="false">IF(AQ$4=0,0,IF(COUNTIFS(実績!$W$6:$W$505,AQ$3,実績!$AI$6:$AI$505,"&lt;="&amp;$A29,実績!$AJ$6:$AJ$505,"&gt;"&amp;$A29,実績!$AK$6:$AK$505,"○")&gt;0,1,0))</f>
        <v>0</v>
      </c>
      <c r="AR29" s="39" t="n">
        <f aca="false">IF(AR$4=0,0,IF(COUNTIFS(実績!$W$6:$W$505,AR$3,実績!$AI$6:$AI$505,"&lt;="&amp;$A29,実績!$AJ$6:$AJ$505,"&gt;"&amp;$A29,実績!$AK$6:$AK$505,"○")&gt;0,1,0))</f>
        <v>0</v>
      </c>
      <c r="AS29" s="39" t="n">
        <f aca="false">IF(AS$4=0,0,IF(COUNTIFS(実績!$W$6:$W$505,AS$3,実績!$AI$6:$AI$505,"&lt;="&amp;$A29,実績!$AJ$6:$AJ$505,"&gt;"&amp;$A29,実績!$AK$6:$AK$505,"○")&gt;0,1,0))</f>
        <v>0</v>
      </c>
      <c r="AT29" s="39" t="n">
        <f aca="false">IF(AT$4=0,0,IF(COUNTIFS(実績!$W$6:$W$505,AT$3,実績!$AI$6:$AI$505,"&lt;="&amp;$A29,実績!$AJ$6:$AJ$505,"&gt;"&amp;$A29,実績!$AK$6:$AK$505,"○")&gt;0,1,0))</f>
        <v>0</v>
      </c>
      <c r="AU29" s="39" t="n">
        <f aca="false">IF(AU$4=0,0,IF(COUNTIFS(実績!$W$6:$W$505,AU$3,実績!$AI$6:$AI$505,"&lt;="&amp;$A29,実績!$AJ$6:$AJ$505,"&gt;"&amp;$A29,実績!$AK$6:$AK$505,"○")&gt;0,1,0))</f>
        <v>0</v>
      </c>
      <c r="AV29" s="39" t="n">
        <f aca="false">IF(AV$4=0,0,IF(COUNTIFS(実績!$W$6:$W$505,AV$3,実績!$AI$6:$AI$505,"&lt;="&amp;$A29,実績!$AJ$6:$AJ$505,"&gt;"&amp;$A29,実績!$AK$6:$AK$505,"○")&gt;0,1,0))</f>
        <v>0</v>
      </c>
      <c r="AW29" s="39" t="n">
        <f aca="false">IF(AW$4=0,0,IF(COUNTIFS(実績!$W$6:$W$505,AW$3,実績!$AI$6:$AI$505,"&lt;="&amp;$A29,実績!$AJ$6:$AJ$505,"&gt;"&amp;$A29,実績!$AK$6:$AK$505,"○")&gt;0,1,0))</f>
        <v>0</v>
      </c>
      <c r="AX29" s="39" t="n">
        <f aca="false">IF(AX$4=0,0,IF(COUNTIFS(実績!$W$6:$W$505,AX$3,実績!$AI$6:$AI$505,"&lt;="&amp;$A29,実績!$AJ$6:$AJ$505,"&gt;"&amp;$A29,実績!$AK$6:$AK$505,"○")&gt;0,1,0))</f>
        <v>0</v>
      </c>
      <c r="AY29" s="39" t="n">
        <f aca="false">IF(AY$4=0,0,IF(COUNTIFS(実績!$W$6:$W$505,AY$3,実績!$AI$6:$AI$505,"&lt;="&amp;$A29,実績!$AJ$6:$AJ$505,"&gt;"&amp;$A29,実績!$AK$6:$AK$505,"○")&gt;0,1,0))</f>
        <v>0</v>
      </c>
      <c r="AZ29" s="39" t="n">
        <f aca="false">IF(AZ$4=0,0,IF(COUNTIFS(実績!$W$6:$W$505,AZ$3,実績!$AI$6:$AI$505,"&lt;="&amp;$A29,実績!$AJ$6:$AJ$505,"&gt;"&amp;$A29,実績!$AK$6:$AK$505,"○")&gt;0,1,0))</f>
        <v>0</v>
      </c>
      <c r="BA29" s="39" t="n">
        <f aca="false">IF(BA$4=0,0,IF(COUNTIFS(実績!$W$6:$W$505,BA$3,実績!$AI$6:$AI$505,"&lt;="&amp;$A29,実績!$AJ$6:$AJ$505,"&gt;"&amp;$A29,実績!$AK$6:$AK$505,"○")&gt;0,1,0))</f>
        <v>0</v>
      </c>
      <c r="BB29" s="39" t="n">
        <f aca="false">IF(BB$4=0,0,IF(COUNTIFS(実績!$W$6:$W$505,BB$3,実績!$AI$6:$AI$505,"&lt;="&amp;$A29,実績!$AJ$6:$AJ$505,"&gt;"&amp;$A29,実績!$AK$6:$AK$505,"○")&gt;0,1,0))</f>
        <v>0</v>
      </c>
      <c r="BC29" s="39" t="n">
        <f aca="false">IF(BC$4=0,0,IF(COUNTIFS(実績!$W$6:$W$505,BC$3,実績!$AI$6:$AI$505,"&lt;="&amp;$A29,実績!$AJ$6:$AJ$505,"&gt;"&amp;$A29,実績!$AK$6:$AK$505,"○")&gt;0,1,0))</f>
        <v>0</v>
      </c>
      <c r="BD29" s="39" t="n">
        <f aca="false">IF(BD$4=0,0,IF(COUNTIFS(実績!$W$6:$W$505,BD$3,実績!$AI$6:$AI$505,"&lt;="&amp;$A29,実績!$AJ$6:$AJ$505,"&gt;"&amp;$A29,実績!$AK$6:$AK$505,"○")&gt;0,1,0))</f>
        <v>0</v>
      </c>
      <c r="BE29" s="39" t="n">
        <f aca="false">IF(BE$4=0,0,IF(COUNTIFS(実績!$W$6:$W$505,BE$3,実績!$AI$6:$AI$505,"&lt;="&amp;$A29,実績!$AJ$6:$AJ$505,"&gt;"&amp;$A29,実績!$AK$6:$AK$505,"○")&gt;0,1,0))</f>
        <v>0</v>
      </c>
      <c r="BF29" s="39" t="n">
        <f aca="false">IF(BF$4=0,0,IF(COUNTIFS(実績!$W$6:$W$505,BF$3,実績!$AI$6:$AI$505,"&lt;="&amp;$A29,実績!$AJ$6:$AJ$505,"&gt;"&amp;$A29,実績!$AK$6:$AK$505,"○")&gt;0,1,0))</f>
        <v>0</v>
      </c>
      <c r="BG29" s="39" t="n">
        <f aca="false">IF(BG$4=0,0,IF(COUNTIFS(実績!$W$6:$W$505,BG$3,実績!$AI$6:$AI$505,"&lt;="&amp;$A29,実績!$AJ$6:$AJ$505,"&gt;"&amp;$A29,実績!$AK$6:$AK$505,"○")&gt;0,1,0))</f>
        <v>0</v>
      </c>
      <c r="BH29" s="39" t="n">
        <f aca="false">IF(BH$4=0,0,IF(COUNTIFS(実績!$W$6:$W$505,BH$3,実績!$AI$6:$AI$505,"&lt;="&amp;$A29,実績!$AJ$6:$AJ$505,"&gt;"&amp;$A29,実績!$AK$6:$AK$505,"○")&gt;0,1,0))</f>
        <v>0</v>
      </c>
      <c r="BI29" s="39" t="n">
        <f aca="false">IF(BI$4=0,0,IF(COUNTIFS(実績!$W$6:$W$505,BI$3,実績!$AI$6:$AI$505,"&lt;="&amp;$A29,実績!$AJ$6:$AJ$505,"&gt;"&amp;$A29,実績!$AK$6:$AK$505,"○")&gt;0,1,0))</f>
        <v>0</v>
      </c>
      <c r="BJ29" s="39" t="n">
        <f aca="false">IF(BJ$4=0,0,IF(COUNTIFS(実績!$W$6:$W$505,BJ$3,実績!$AI$6:$AI$505,"&lt;="&amp;$A29,実績!$AJ$6:$AJ$505,"&gt;"&amp;$A29,実績!$AK$6:$AK$505,"○")&gt;0,1,0))</f>
        <v>0</v>
      </c>
      <c r="BK29" s="39" t="n">
        <f aca="false">IF(BK$4=0,0,IF(COUNTIFS(実績!$W$6:$W$505,BK$3,実績!$AI$6:$AI$505,"&lt;="&amp;$A29,実績!$AJ$6:$AJ$505,"&gt;"&amp;$A29,実績!$AK$6:$AK$505,"○")&gt;0,1,0))</f>
        <v>0</v>
      </c>
      <c r="BL29" s="39" t="n">
        <f aca="false">IF(BL$4=0,0,IF(COUNTIFS(実績!$W$6:$W$505,BL$3,実績!$AI$6:$AI$505,"&lt;="&amp;$A29,実績!$AJ$6:$AJ$505,"&gt;"&amp;$A29,実績!$AK$6:$AK$505,"○")&gt;0,1,0))</f>
        <v>0</v>
      </c>
      <c r="BM29" s="39" t="n">
        <f aca="false">IF(BM$4=0,0,IF(COUNTIFS(実績!$W$6:$W$505,BM$3,実績!$AI$6:$AI$505,"&lt;="&amp;$A29,実績!$AJ$6:$AJ$505,"&gt;"&amp;$A29,実績!$AK$6:$AK$505,"○")&gt;0,1,0))</f>
        <v>0</v>
      </c>
      <c r="BN29" s="39" t="n">
        <f aca="false">IF(BN$4=0,0,IF(COUNTIFS(実績!$W$6:$W$505,BN$3,実績!$AI$6:$AI$505,"&lt;="&amp;$A29,実績!$AJ$6:$AJ$505,"&gt;"&amp;$A29,実績!$AK$6:$AK$505,"○")&gt;0,1,0))</f>
        <v>0</v>
      </c>
      <c r="BO29" s="39" t="n">
        <f aca="false">IF(BO$4=0,0,IF(COUNTIFS(実績!$W$6:$W$505,BO$3,実績!$AI$6:$AI$505,"&lt;="&amp;$A29,実績!$AJ$6:$AJ$505,"&gt;"&amp;$A29,実績!$AK$6:$AK$505,"○")&gt;0,1,0))</f>
        <v>0</v>
      </c>
      <c r="BP29" s="39" t="n">
        <f aca="false">IF(BP$4=0,0,IF(COUNTIFS(実績!$W$6:$W$505,BP$3,実績!$AI$6:$AI$505,"&lt;="&amp;$A29,実績!$AJ$6:$AJ$505,"&gt;"&amp;$A29,実績!$AK$6:$AK$505,"○")&gt;0,1,0))</f>
        <v>0</v>
      </c>
      <c r="BQ29" s="39" t="n">
        <f aca="false">IF(BQ$4=0,0,IF(COUNTIFS(実績!$W$6:$W$505,BQ$3,実績!$AI$6:$AI$505,"&lt;="&amp;$A29,実績!$AJ$6:$AJ$505,"&gt;"&amp;$A29,実績!$AK$6:$AK$505,"○")&gt;0,1,0))</f>
        <v>0</v>
      </c>
      <c r="BR29" s="39" t="n">
        <f aca="false">IF(BR$4=0,0,IF(COUNTIFS(実績!$W$6:$W$505,BR$3,実績!$AI$6:$AI$505,"&lt;="&amp;$A29,実績!$AJ$6:$AJ$505,"&gt;"&amp;$A29,実績!$AK$6:$AK$505,"○")&gt;0,1,0))</f>
        <v>0</v>
      </c>
      <c r="BS29" s="39" t="n">
        <f aca="false">IF(BS$4=0,0,IF(COUNTIFS(実績!$W$6:$W$505,BS$3,実績!$AI$6:$AI$505,"&lt;="&amp;$A29,実績!$AJ$6:$AJ$505,"&gt;"&amp;$A29,実績!$AK$6:$AK$505,"○")&gt;0,1,0))</f>
        <v>0</v>
      </c>
      <c r="BT29" s="39" t="n">
        <f aca="false">IF(BT$4=0,0,IF(COUNTIFS(実績!$W$6:$W$505,BT$3,実績!$AI$6:$AI$505,"&lt;="&amp;$A29,実績!$AJ$6:$AJ$505,"&gt;"&amp;$A29,実績!$AK$6:$AK$505,"○")&gt;0,1,0))</f>
        <v>0</v>
      </c>
      <c r="BU29" s="39" t="n">
        <f aca="false">IF(BU$4=0,0,IF(COUNTIFS(実績!$W$6:$W$505,BU$3,実績!$AI$6:$AI$505,"&lt;="&amp;$A29,実績!$AJ$6:$AJ$505,"&gt;"&amp;$A29,実績!$AK$6:$AK$505,"○")&gt;0,1,0))</f>
        <v>0</v>
      </c>
      <c r="BV29" s="39" t="n">
        <f aca="false">IF(BV$4=0,0,IF(COUNTIFS(実績!$W$6:$W$505,BV$3,実績!$AI$6:$AI$505,"&lt;="&amp;$A29,実績!$AJ$6:$AJ$505,"&gt;"&amp;$A29,実績!$AK$6:$AK$505,"○")&gt;0,1,0))</f>
        <v>0</v>
      </c>
      <c r="BW29" s="39" t="n">
        <f aca="false">IF(BW$4=0,0,IF(COUNTIFS(実績!$W$6:$W$505,BW$3,実績!$AI$6:$AI$505,"&lt;="&amp;$A29,実績!$AJ$6:$AJ$505,"&gt;"&amp;$A29,実績!$AK$6:$AK$505,"○")&gt;0,1,0))</f>
        <v>0</v>
      </c>
      <c r="BX29" s="39" t="n">
        <f aca="false">IF(BX$4=0,0,IF(COUNTIFS(実績!$W$6:$W$505,BX$3,実績!$AI$6:$AI$505,"&lt;="&amp;$A29,実績!$AJ$6:$AJ$505,"&gt;"&amp;$A29,実績!$AK$6:$AK$505,"○")&gt;0,1,0))</f>
        <v>0</v>
      </c>
      <c r="BY29" s="39" t="n">
        <f aca="false">IF(BY$4=0,0,IF(COUNTIFS(実績!$W$6:$W$505,BY$3,実績!$AI$6:$AI$505,"&lt;="&amp;$A29,実績!$AJ$6:$AJ$505,"&gt;"&amp;$A29,実績!$AK$6:$AK$505,"○")&gt;0,1,0))</f>
        <v>0</v>
      </c>
      <c r="BZ29" s="39" t="n">
        <f aca="false">IF(BZ$4=0,0,IF(COUNTIFS(実績!$W$6:$W$505,BZ$3,実績!$AI$6:$AI$505,"&lt;="&amp;$A29,実績!$AJ$6:$AJ$505,"&gt;"&amp;$A29,実績!$AK$6:$AK$505,"○")&gt;0,1,0))</f>
        <v>0</v>
      </c>
      <c r="CA29" s="39" t="n">
        <f aca="false">IF(CA$4=0,0,IF(COUNTIFS(実績!$W$6:$W$505,CA$3,実績!$AI$6:$AI$505,"&lt;="&amp;$A29,実績!$AJ$6:$AJ$505,"&gt;"&amp;$A29,実績!$AK$6:$AK$505,"○")&gt;0,1,0))</f>
        <v>0</v>
      </c>
      <c r="CB29" s="39" t="n">
        <f aca="false">IF(CB$4=0,0,IF(COUNTIFS(実績!$W$6:$W$505,CB$3,実績!$AI$6:$AI$505,"&lt;="&amp;$A29,実績!$AJ$6:$AJ$505,"&gt;"&amp;$A29,実績!$AK$6:$AK$505,"○")&gt;0,1,0))</f>
        <v>0</v>
      </c>
      <c r="CC29" s="39" t="n">
        <f aca="false">IF(CC$4=0,0,IF(COUNTIFS(実績!$W$6:$W$505,CC$3,実績!$AI$6:$AI$505,"&lt;="&amp;$A29,実績!$AJ$6:$AJ$505,"&gt;"&amp;$A29,実績!$AK$6:$AK$505,"○")&gt;0,1,0))</f>
        <v>0</v>
      </c>
      <c r="CD29" s="39" t="n">
        <f aca="false">IF(CD$4=0,0,IF(COUNTIFS(実績!$W$6:$W$505,CD$3,実績!$AI$6:$AI$505,"&lt;="&amp;$A29,実績!$AJ$6:$AJ$505,"&gt;"&amp;$A29,実績!$AK$6:$AK$505,"○")&gt;0,1,0))</f>
        <v>0</v>
      </c>
      <c r="CE29" s="39" t="n">
        <f aca="false">IF(CE$4=0,0,IF(COUNTIFS(実績!$W$6:$W$505,CE$3,実績!$AI$6:$AI$505,"&lt;="&amp;$A29,実績!$AJ$6:$AJ$505,"&gt;"&amp;$A29,実績!$AK$6:$AK$505,"○")&gt;0,1,0))</f>
        <v>0</v>
      </c>
      <c r="CF29" s="39" t="n">
        <f aca="false">IF(CF$4=0,0,IF(COUNTIFS(実績!$W$6:$W$505,CF$3,実績!$AI$6:$AI$505,"&lt;="&amp;$A29,実績!$AJ$6:$AJ$505,"&gt;"&amp;$A29,実績!$AK$6:$AK$505,"○")&gt;0,1,0))</f>
        <v>0</v>
      </c>
      <c r="CG29" s="39" t="n">
        <f aca="false">IF(CG$4=0,0,IF(COUNTIFS(実績!$W$6:$W$505,CG$3,実績!$AI$6:$AI$505,"&lt;="&amp;$A29,実績!$AJ$6:$AJ$505,"&gt;"&amp;$A29,実績!$AK$6:$AK$505,"○")&gt;0,1,0))</f>
        <v>0</v>
      </c>
      <c r="CH29" s="39" t="n">
        <f aca="false">IF(CH$4=0,0,IF(COUNTIFS(実績!$W$6:$W$505,CH$3,実績!$AI$6:$AI$505,"&lt;="&amp;$A29,実績!$AJ$6:$AJ$505,"&gt;"&amp;$A29,実績!$AK$6:$AK$505,"○")&gt;0,1,0))</f>
        <v>0</v>
      </c>
      <c r="CI29" s="39" t="n">
        <f aca="false">IF(CI$4=0,0,IF(COUNTIFS(実績!$W$6:$W$505,CI$3,実績!$AI$6:$AI$505,"&lt;="&amp;$A29,実績!$AJ$6:$AJ$505,"&gt;"&amp;$A29,実績!$AK$6:$AK$505,"○")&gt;0,1,0))</f>
        <v>0</v>
      </c>
      <c r="CJ29" s="39" t="n">
        <f aca="false">IF(CJ$4=0,0,IF(COUNTIFS(実績!$W$6:$W$505,CJ$3,実績!$AI$6:$AI$505,"&lt;="&amp;$A29,実績!$AJ$6:$AJ$505,"&gt;"&amp;$A29,実績!$AK$6:$AK$505,"○")&gt;0,1,0))</f>
        <v>0</v>
      </c>
      <c r="CK29" s="39" t="n">
        <f aca="false">IF(CK$4=0,0,IF(COUNTIFS(実績!$W$6:$W$505,CK$3,実績!$AI$6:$AI$505,"&lt;="&amp;$A29,実績!$AJ$6:$AJ$505,"&gt;"&amp;$A29,実績!$AK$6:$AK$505,"○")&gt;0,1,0))</f>
        <v>0</v>
      </c>
      <c r="CL29" s="39" t="n">
        <f aca="false">IF(CL$4=0,0,IF(COUNTIFS(実績!$W$6:$W$505,CL$3,実績!$AI$6:$AI$505,"&lt;="&amp;$A29,実績!$AJ$6:$AJ$505,"&gt;"&amp;$A29,実績!$AK$6:$AK$505,"○")&gt;0,1,0))</f>
        <v>0</v>
      </c>
      <c r="CM29" s="39" t="n">
        <f aca="false">IF(CM$4=0,0,IF(COUNTIFS(実績!$W$6:$W$505,CM$3,実績!$AI$6:$AI$505,"&lt;="&amp;$A29,実績!$AJ$6:$AJ$505,"&gt;"&amp;$A29,実績!$AK$6:$AK$505,"○")&gt;0,1,0))</f>
        <v>0</v>
      </c>
      <c r="CN29" s="39" t="n">
        <f aca="false">IF(CN$4=0,0,IF(COUNTIFS(実績!$W$6:$W$505,CN$3,実績!$AI$6:$AI$505,"&lt;="&amp;$A29,実績!$AJ$6:$AJ$505,"&gt;"&amp;$A29,実績!$AK$6:$AK$505,"○")&gt;0,1,0))</f>
        <v>0</v>
      </c>
      <c r="CO29" s="39" t="n">
        <f aca="false">IF(CO$4=0,0,IF(COUNTIFS(実績!$W$6:$W$505,CO$3,実績!$AI$6:$AI$505,"&lt;="&amp;$A29,実績!$AJ$6:$AJ$505,"&gt;"&amp;$A29,実績!$AK$6:$AK$505,"○")&gt;0,1,0))</f>
        <v>0</v>
      </c>
      <c r="CP29" s="39" t="n">
        <f aca="false">IF(CP$4=0,0,IF(COUNTIFS(実績!$W$6:$W$505,CP$3,実績!$AI$6:$AI$505,"&lt;="&amp;$A29,実績!$AJ$6:$AJ$505,"&gt;"&amp;$A29,実績!$AK$6:$AK$505,"○")&gt;0,1,0))</f>
        <v>0</v>
      </c>
      <c r="CQ29" s="39" t="n">
        <f aca="false">IF(CQ$4=0,0,IF(COUNTIFS(実績!$W$6:$W$505,CQ$3,実績!$AI$6:$AI$505,"&lt;="&amp;$A29,実績!$AJ$6:$AJ$505,"&gt;"&amp;$A29,実績!$AK$6:$AK$505,"○")&gt;0,1,0))</f>
        <v>0</v>
      </c>
      <c r="CR29" s="39" t="n">
        <f aca="false">IF(CR$4=0,0,IF(COUNTIFS(実績!$W$6:$W$505,CR$3,実績!$AI$6:$AI$505,"&lt;="&amp;$A29,実績!$AJ$6:$AJ$505,"&gt;"&amp;$A29,実績!$AK$6:$AK$505,"○")&gt;0,1,0))</f>
        <v>0</v>
      </c>
      <c r="CS29" s="39" t="n">
        <f aca="false">IF(CS$4=0,0,IF(COUNTIFS(実績!$W$6:$W$505,CS$3,実績!$AI$6:$AI$505,"&lt;="&amp;$A29,実績!$AJ$6:$AJ$505,"&gt;"&amp;$A29,実績!$AK$6:$AK$505,"○")&gt;0,1,0))</f>
        <v>0</v>
      </c>
      <c r="CT29" s="39" t="n">
        <f aca="false">IF(CT$4=0,0,IF(COUNTIFS(実績!$W$6:$W$505,CT$3,実績!$AI$6:$AI$505,"&lt;="&amp;$A29,実績!$AJ$6:$AJ$505,"&gt;"&amp;$A29,実績!$AK$6:$AK$505,"○")&gt;0,1,0))</f>
        <v>0</v>
      </c>
      <c r="CU29" s="39" t="n">
        <f aca="false">IF(CU$4=0,0,IF(COUNTIFS(実績!$W$6:$W$505,CU$3,実績!$AI$6:$AI$505,"&lt;="&amp;$A29,実績!$AJ$6:$AJ$505,"&gt;"&amp;$A29,実績!$AK$6:$AK$505,"○")&gt;0,1,0))</f>
        <v>0</v>
      </c>
      <c r="CV29" s="39" t="n">
        <f aca="false">IF(CV$4=0,0,IF(COUNTIFS(実績!$W$6:$W$505,CV$3,実績!$AI$6:$AI$505,"&lt;="&amp;$A29,実績!$AJ$6:$AJ$505,"&gt;"&amp;$A29,実績!$AK$6:$AK$505,"○")&gt;0,1,0))</f>
        <v>0</v>
      </c>
      <c r="CW29" s="39" t="n">
        <f aca="false">IF(CW$4=0,0,IF(COUNTIFS(実績!$W$6:$W$505,CW$3,実績!$AI$6:$AI$505,"&lt;="&amp;$A29,実績!$AJ$6:$AJ$505,"&gt;"&amp;$A29,実績!$AK$6:$AK$505,"○")&gt;0,1,0))</f>
        <v>0</v>
      </c>
      <c r="CX29" s="39" t="n">
        <f aca="false">IF(CX$4=0,0,IF(COUNTIFS(実績!$W$6:$W$505,CX$3,実績!$AI$6:$AI$505,"&lt;="&amp;$A29,実績!$AJ$6:$AJ$505,"&gt;"&amp;$A29,実績!$AK$6:$AK$505,"○")&gt;0,1,0))</f>
        <v>0</v>
      </c>
      <c r="CY29" s="39" t="n">
        <f aca="false">IF(CY$4=0,0,IF(COUNTIFS(実績!$W$6:$W$505,CY$3,実績!$AI$6:$AI$505,"&lt;="&amp;$A29,実績!$AJ$6:$AJ$505,"&gt;"&amp;$A29,実績!$AK$6:$AK$505,"○")&gt;0,1,0))</f>
        <v>0</v>
      </c>
      <c r="CZ29" s="39" t="n">
        <f aca="false">IF(CZ$4=0,0,IF(COUNTIFS(実績!$W$6:$W$505,CZ$3,実績!$AI$6:$AI$505,"&lt;="&amp;$A29,実績!$AJ$6:$AJ$505,"&gt;"&amp;$A29,実績!$AK$6:$AK$505,"○")&gt;0,1,0))</f>
        <v>0</v>
      </c>
      <c r="DA29" s="39" t="n">
        <f aca="false">IF(DA$4=0,0,IF(COUNTIFS(実績!$W$6:$W$505,DA$3,実績!$AI$6:$AI$505,"&lt;="&amp;$A29,実績!$AJ$6:$AJ$505,"&gt;"&amp;$A29,実績!$AK$6:$AK$505,"○")&gt;0,1,0))</f>
        <v>0</v>
      </c>
      <c r="DB29" s="39" t="n">
        <f aca="false">IF(DB$4=0,0,IF(COUNTIFS(実績!$W$6:$W$505,DB$3,実績!$AI$6:$AI$505,"&lt;="&amp;$A29,実績!$AJ$6:$AJ$505,"&gt;"&amp;$A29,実績!$AK$6:$AK$505,"○")&gt;0,1,0))</f>
        <v>0</v>
      </c>
      <c r="DC29" s="39" t="n">
        <f aca="false">IF(DC$4=0,0,IF(COUNTIFS(実績!$W$6:$W$505,DC$3,実績!$AI$6:$AI$505,"&lt;="&amp;$A29,実績!$AJ$6:$AJ$505,"&gt;"&amp;$A29,実績!$AK$6:$AK$505,"○")&gt;0,1,0))</f>
        <v>0</v>
      </c>
      <c r="DD29" s="39" t="n">
        <f aca="false">IF(DD$4=0,0,IF(COUNTIFS(実績!$W$6:$W$505,DD$3,実績!$AI$6:$AI$505,"&lt;="&amp;$A29,実績!$AJ$6:$AJ$505,"&gt;"&amp;$A29,実績!$AK$6:$AK$505,"○")&gt;0,1,0))</f>
        <v>0</v>
      </c>
      <c r="DE29" s="39" t="n">
        <f aca="false">IF(DE$4=0,0,IF(COUNTIFS(実績!$W$6:$W$505,DE$3,実績!$AI$6:$AI$505,"&lt;="&amp;$A29,実績!$AJ$6:$AJ$505,"&gt;"&amp;$A29,実績!$AK$6:$AK$505,"○")&gt;0,1,0))</f>
        <v>0</v>
      </c>
      <c r="DF29" s="39" t="n">
        <f aca="false">IF(DF$4=0,0,IF(COUNTIFS(実績!$W$6:$W$505,DF$3,実績!$AI$6:$AI$505,"&lt;="&amp;$A29,実績!$AJ$6:$AJ$505,"&gt;"&amp;$A29,実績!$AK$6:$AK$505,"○")&gt;0,1,0))</f>
        <v>0</v>
      </c>
      <c r="DG29" s="39" t="n">
        <f aca="false">IF(DG$4=0,0,IF(COUNTIFS(実績!$W$6:$W$505,DG$3,実績!$AI$6:$AI$505,"&lt;="&amp;$A29,実績!$AJ$6:$AJ$505,"&gt;"&amp;$A29,実績!$AK$6:$AK$505,"○")&gt;0,1,0))</f>
        <v>0</v>
      </c>
      <c r="DH29" s="39" t="n">
        <f aca="false">IF(DH$4=0,0,IF(COUNTIFS(実績!$W$6:$W$505,DH$3,実績!$AI$6:$AI$505,"&lt;="&amp;$A29,実績!$AJ$6:$AJ$505,"&gt;"&amp;$A29,実績!$AK$6:$AK$505,"○")&gt;0,1,0))</f>
        <v>0</v>
      </c>
      <c r="DI29" s="39" t="n">
        <f aca="false">IF(DI$4=0,0,IF(COUNTIFS(実績!$W$6:$W$505,DI$3,実績!$AI$6:$AI$505,"&lt;="&amp;$A29,実績!$AJ$6:$AJ$505,"&gt;"&amp;$A29,実績!$AK$6:$AK$505,"○")&gt;0,1,0))</f>
        <v>0</v>
      </c>
      <c r="DJ29" s="39" t="n">
        <f aca="false">IF(DJ$4=0,0,IF(COUNTIFS(実績!$W$6:$W$505,DJ$3,実績!$AI$6:$AI$505,"&lt;="&amp;$A29,実績!$AJ$6:$AJ$505,"&gt;"&amp;$A29,実績!$AK$6:$AK$505,"○")&gt;0,1,0))</f>
        <v>0</v>
      </c>
      <c r="DK29" s="39" t="n">
        <f aca="false">IF(DK$4=0,0,IF(COUNTIFS(実績!$W$6:$W$505,DK$3,実績!$AI$6:$AI$505,"&lt;="&amp;$A29,実績!$AJ$6:$AJ$505,"&gt;"&amp;$A29,実績!$AK$6:$AK$505,"○")&gt;0,1,0))</f>
        <v>0</v>
      </c>
      <c r="DL29" s="39" t="n">
        <f aca="false">IF(DL$4=0,0,IF(COUNTIFS(実績!$W$6:$W$505,DL$3,実績!$AI$6:$AI$505,"&lt;="&amp;$A29,実績!$AJ$6:$AJ$505,"&gt;"&amp;$A29,実績!$AK$6:$AK$505,"○")&gt;0,1,0))</f>
        <v>0</v>
      </c>
      <c r="DM29" s="39" t="n">
        <f aca="false">IF(DM$4=0,0,IF(COUNTIFS(実績!$W$6:$W$505,DM$3,実績!$AI$6:$AI$505,"&lt;="&amp;$A29,実績!$AJ$6:$AJ$505,"&gt;"&amp;$A29,実績!$AK$6:$AK$505,"○")&gt;0,1,0))</f>
        <v>0</v>
      </c>
      <c r="DN29" s="39" t="n">
        <f aca="false">IF(DN$4=0,0,IF(COUNTIFS(実績!$W$6:$W$505,DN$3,実績!$AI$6:$AI$505,"&lt;="&amp;$A29,実績!$AJ$6:$AJ$505,"&gt;"&amp;$A29,実績!$AK$6:$AK$505,"○")&gt;0,1,0))</f>
        <v>0</v>
      </c>
      <c r="DO29" s="39" t="n">
        <f aca="false">IF(DO$4=0,0,IF(COUNTIFS(実績!$W$6:$W$505,DO$3,実績!$AI$6:$AI$505,"&lt;="&amp;$A29,実績!$AJ$6:$AJ$505,"&gt;"&amp;$A29,実績!$AK$6:$AK$505,"○")&gt;0,1,0))</f>
        <v>0</v>
      </c>
      <c r="DP29" s="39" t="n">
        <f aca="false">IF(DP$4=0,0,IF(COUNTIFS(実績!$W$6:$W$505,DP$3,実績!$AI$6:$AI$505,"&lt;="&amp;$A29,実績!$AJ$6:$AJ$505,"&gt;"&amp;$A29,実績!$AK$6:$AK$505,"○")&gt;0,1,0))</f>
        <v>0</v>
      </c>
      <c r="DQ29" s="39" t="n">
        <f aca="false">IF(DQ$4=0,0,IF(COUNTIFS(実績!$W$6:$W$505,DQ$3,実績!$AI$6:$AI$505,"&lt;="&amp;$A29,実績!$AJ$6:$AJ$505,"&gt;"&amp;$A29,実績!$AK$6:$AK$505,"○")&gt;0,1,0))</f>
        <v>0</v>
      </c>
      <c r="DR29" s="39" t="n">
        <f aca="false">IF(DR$4=0,0,IF(COUNTIFS(実績!$W$6:$W$505,DR$3,実績!$AI$6:$AI$505,"&lt;="&amp;$A29,実績!$AJ$6:$AJ$505,"&gt;"&amp;$A29,実績!$AK$6:$AK$505,"○")&gt;0,1,0))</f>
        <v>0</v>
      </c>
      <c r="DS29" s="39" t="n">
        <f aca="false">SUM(C29:DR29)</f>
        <v>0</v>
      </c>
      <c r="DT29" s="39" t="n">
        <f aca="false">SUMPRODUCT((実績!$C$6:$C$505="○")*ISNUMBER(実績!$AM$6:$AM$505)*(実績!$AM$6:$AM$505&lt;=$A29)*(実績!$AN$6:$AN$505&gt;$A29))</f>
        <v>0</v>
      </c>
      <c r="DU29" s="39" t="n">
        <f aca="false">SUMIF($C$2:$DR$2,"製鉄曳船",C29:DR29)</f>
        <v>0</v>
      </c>
      <c r="DV29" s="39" t="n">
        <f aca="false">SUMIF($C$2:$DR$2,"西日本海運",C29:DR29)</f>
        <v>0</v>
      </c>
    </row>
    <row r="30" customFormat="false" ht="15" hidden="false" customHeight="false" outlineLevel="0" collapsed="false">
      <c r="A30" s="0" t="n">
        <v>120</v>
      </c>
      <c r="B30" s="38" t="n">
        <f aca="false">A30/1440</f>
        <v>0.0833333333333333</v>
      </c>
      <c r="C30" s="39" t="n">
        <f aca="false">IF(C$4=0,0,IF(COUNTIFS(実績!$W$6:$W$505,C$3,実績!$AI$6:$AI$505,"&lt;="&amp;$A30,実績!$AJ$6:$AJ$505,"&gt;"&amp;$A30,実績!$AK$6:$AK$505,"○")&gt;0,1,0))</f>
        <v>0</v>
      </c>
      <c r="D30" s="39" t="n">
        <f aca="false">IF(D$4=0,0,IF(COUNTIFS(実績!$W$6:$W$505,D$3,実績!$AI$6:$AI$505,"&lt;="&amp;$A30,実績!$AJ$6:$AJ$505,"&gt;"&amp;$A30,実績!$AK$6:$AK$505,"○")&gt;0,1,0))</f>
        <v>0</v>
      </c>
      <c r="E30" s="39" t="n">
        <f aca="false">IF(E$4=0,0,IF(COUNTIFS(実績!$W$6:$W$505,E$3,実績!$AI$6:$AI$505,"&lt;="&amp;$A30,実績!$AJ$6:$AJ$505,"&gt;"&amp;$A30,実績!$AK$6:$AK$505,"○")&gt;0,1,0))</f>
        <v>0</v>
      </c>
      <c r="F30" s="39" t="n">
        <f aca="false">IF(F$4=0,0,IF(COUNTIFS(実績!$W$6:$W$505,F$3,実績!$AI$6:$AI$505,"&lt;="&amp;$A30,実績!$AJ$6:$AJ$505,"&gt;"&amp;$A30,実績!$AK$6:$AK$505,"○")&gt;0,1,0))</f>
        <v>0</v>
      </c>
      <c r="G30" s="39" t="n">
        <f aca="false">IF(G$4=0,0,IF(COUNTIFS(実績!$W$6:$W$505,G$3,実績!$AI$6:$AI$505,"&lt;="&amp;$A30,実績!$AJ$6:$AJ$505,"&gt;"&amp;$A30,実績!$AK$6:$AK$505,"○")&gt;0,1,0))</f>
        <v>0</v>
      </c>
      <c r="H30" s="39" t="n">
        <f aca="false">IF(H$4=0,0,IF(COUNTIFS(実績!$W$6:$W$505,H$3,実績!$AI$6:$AI$505,"&lt;="&amp;$A30,実績!$AJ$6:$AJ$505,"&gt;"&amp;$A30,実績!$AK$6:$AK$505,"○")&gt;0,1,0))</f>
        <v>0</v>
      </c>
      <c r="I30" s="39" t="n">
        <f aca="false">IF(I$4=0,0,IF(COUNTIFS(実績!$W$6:$W$505,I$3,実績!$AI$6:$AI$505,"&lt;="&amp;$A30,実績!$AJ$6:$AJ$505,"&gt;"&amp;$A30,実績!$AK$6:$AK$505,"○")&gt;0,1,0))</f>
        <v>0</v>
      </c>
      <c r="J30" s="39" t="n">
        <f aca="false">IF(J$4=0,0,IF(COUNTIFS(実績!$W$6:$W$505,J$3,実績!$AI$6:$AI$505,"&lt;="&amp;$A30,実績!$AJ$6:$AJ$505,"&gt;"&amp;$A30,実績!$AK$6:$AK$505,"○")&gt;0,1,0))</f>
        <v>0</v>
      </c>
      <c r="K30" s="39" t="n">
        <f aca="false">IF(K$4=0,0,IF(COUNTIFS(実績!$W$6:$W$505,K$3,実績!$AI$6:$AI$505,"&lt;="&amp;$A30,実績!$AJ$6:$AJ$505,"&gt;"&amp;$A30,実績!$AK$6:$AK$505,"○")&gt;0,1,0))</f>
        <v>0</v>
      </c>
      <c r="L30" s="39" t="n">
        <f aca="false">IF(L$4=0,0,IF(COUNTIFS(実績!$W$6:$W$505,L$3,実績!$AI$6:$AI$505,"&lt;="&amp;$A30,実績!$AJ$6:$AJ$505,"&gt;"&amp;$A30,実績!$AK$6:$AK$505,"○")&gt;0,1,0))</f>
        <v>0</v>
      </c>
      <c r="M30" s="39" t="n">
        <f aca="false">IF(M$4=0,0,IF(COUNTIFS(実績!$W$6:$W$505,M$3,実績!$AI$6:$AI$505,"&lt;="&amp;$A30,実績!$AJ$6:$AJ$505,"&gt;"&amp;$A30,実績!$AK$6:$AK$505,"○")&gt;0,1,0))</f>
        <v>0</v>
      </c>
      <c r="N30" s="39" t="n">
        <f aca="false">IF(N$4=0,0,IF(COUNTIFS(実績!$W$6:$W$505,N$3,実績!$AI$6:$AI$505,"&lt;="&amp;$A30,実績!$AJ$6:$AJ$505,"&gt;"&amp;$A30,実績!$AK$6:$AK$505,"○")&gt;0,1,0))</f>
        <v>0</v>
      </c>
      <c r="O30" s="39" t="n">
        <f aca="false">IF(O$4=0,0,IF(COUNTIFS(実績!$W$6:$W$505,O$3,実績!$AI$6:$AI$505,"&lt;="&amp;$A30,実績!$AJ$6:$AJ$505,"&gt;"&amp;$A30,実績!$AK$6:$AK$505,"○")&gt;0,1,0))</f>
        <v>0</v>
      </c>
      <c r="P30" s="39" t="n">
        <f aca="false">IF(P$4=0,0,IF(COUNTIFS(実績!$W$6:$W$505,P$3,実績!$AI$6:$AI$505,"&lt;="&amp;$A30,実績!$AJ$6:$AJ$505,"&gt;"&amp;$A30,実績!$AK$6:$AK$505,"○")&gt;0,1,0))</f>
        <v>0</v>
      </c>
      <c r="Q30" s="39" t="n">
        <f aca="false">IF(Q$4=0,0,IF(COUNTIFS(実績!$W$6:$W$505,Q$3,実績!$AI$6:$AI$505,"&lt;="&amp;$A30,実績!$AJ$6:$AJ$505,"&gt;"&amp;$A30,実績!$AK$6:$AK$505,"○")&gt;0,1,0))</f>
        <v>0</v>
      </c>
      <c r="R30" s="39" t="n">
        <f aca="false">IF(R$4=0,0,IF(COUNTIFS(実績!$W$6:$W$505,R$3,実績!$AI$6:$AI$505,"&lt;="&amp;$A30,実績!$AJ$6:$AJ$505,"&gt;"&amp;$A30,実績!$AK$6:$AK$505,"○")&gt;0,1,0))</f>
        <v>0</v>
      </c>
      <c r="S30" s="39" t="n">
        <f aca="false">IF(S$4=0,0,IF(COUNTIFS(実績!$W$6:$W$505,S$3,実績!$AI$6:$AI$505,"&lt;="&amp;$A30,実績!$AJ$6:$AJ$505,"&gt;"&amp;$A30,実績!$AK$6:$AK$505,"○")&gt;0,1,0))</f>
        <v>0</v>
      </c>
      <c r="T30" s="39" t="n">
        <f aca="false">IF(T$4=0,0,IF(COUNTIFS(実績!$W$6:$W$505,T$3,実績!$AI$6:$AI$505,"&lt;="&amp;$A30,実績!$AJ$6:$AJ$505,"&gt;"&amp;$A30,実績!$AK$6:$AK$505,"○")&gt;0,1,0))</f>
        <v>0</v>
      </c>
      <c r="U30" s="39" t="n">
        <f aca="false">IF(U$4=0,0,IF(COUNTIFS(実績!$W$6:$W$505,U$3,実績!$AI$6:$AI$505,"&lt;="&amp;$A30,実績!$AJ$6:$AJ$505,"&gt;"&amp;$A30,実績!$AK$6:$AK$505,"○")&gt;0,1,0))</f>
        <v>0</v>
      </c>
      <c r="V30" s="39" t="n">
        <f aca="false">IF(V$4=0,0,IF(COUNTIFS(実績!$W$6:$W$505,V$3,実績!$AI$6:$AI$505,"&lt;="&amp;$A30,実績!$AJ$6:$AJ$505,"&gt;"&amp;$A30,実績!$AK$6:$AK$505,"○")&gt;0,1,0))</f>
        <v>0</v>
      </c>
      <c r="W30" s="39" t="n">
        <f aca="false">IF(W$4=0,0,IF(COUNTIFS(実績!$W$6:$W$505,W$3,実績!$AI$6:$AI$505,"&lt;="&amp;$A30,実績!$AJ$6:$AJ$505,"&gt;"&amp;$A30,実績!$AK$6:$AK$505,"○")&gt;0,1,0))</f>
        <v>0</v>
      </c>
      <c r="X30" s="39" t="n">
        <f aca="false">IF(X$4=0,0,IF(COUNTIFS(実績!$W$6:$W$505,X$3,実績!$AI$6:$AI$505,"&lt;="&amp;$A30,実績!$AJ$6:$AJ$505,"&gt;"&amp;$A30,実績!$AK$6:$AK$505,"○")&gt;0,1,0))</f>
        <v>0</v>
      </c>
      <c r="Y30" s="39" t="n">
        <f aca="false">IF(Y$4=0,0,IF(COUNTIFS(実績!$W$6:$W$505,Y$3,実績!$AI$6:$AI$505,"&lt;="&amp;$A30,実績!$AJ$6:$AJ$505,"&gt;"&amp;$A30,実績!$AK$6:$AK$505,"○")&gt;0,1,0))</f>
        <v>0</v>
      </c>
      <c r="Z30" s="39" t="n">
        <f aca="false">IF(Z$4=0,0,IF(COUNTIFS(実績!$W$6:$W$505,Z$3,実績!$AI$6:$AI$505,"&lt;="&amp;$A30,実績!$AJ$6:$AJ$505,"&gt;"&amp;$A30,実績!$AK$6:$AK$505,"○")&gt;0,1,0))</f>
        <v>0</v>
      </c>
      <c r="AA30" s="39" t="n">
        <f aca="false">IF(AA$4=0,0,IF(COUNTIFS(実績!$W$6:$W$505,AA$3,実績!$AI$6:$AI$505,"&lt;="&amp;$A30,実績!$AJ$6:$AJ$505,"&gt;"&amp;$A30,実績!$AK$6:$AK$505,"○")&gt;0,1,0))</f>
        <v>0</v>
      </c>
      <c r="AB30" s="39" t="n">
        <f aca="false">IF(AB$4=0,0,IF(COUNTIFS(実績!$W$6:$W$505,AB$3,実績!$AI$6:$AI$505,"&lt;="&amp;$A30,実績!$AJ$6:$AJ$505,"&gt;"&amp;$A30,実績!$AK$6:$AK$505,"○")&gt;0,1,0))</f>
        <v>0</v>
      </c>
      <c r="AC30" s="39" t="n">
        <f aca="false">IF(AC$4=0,0,IF(COUNTIFS(実績!$W$6:$W$505,AC$3,実績!$AI$6:$AI$505,"&lt;="&amp;$A30,実績!$AJ$6:$AJ$505,"&gt;"&amp;$A30,実績!$AK$6:$AK$505,"○")&gt;0,1,0))</f>
        <v>0</v>
      </c>
      <c r="AD30" s="39" t="n">
        <f aca="false">IF(AD$4=0,0,IF(COUNTIFS(実績!$W$6:$W$505,AD$3,実績!$AI$6:$AI$505,"&lt;="&amp;$A30,実績!$AJ$6:$AJ$505,"&gt;"&amp;$A30,実績!$AK$6:$AK$505,"○")&gt;0,1,0))</f>
        <v>0</v>
      </c>
      <c r="AE30" s="39" t="n">
        <f aca="false">IF(AE$4=0,0,IF(COUNTIFS(実績!$W$6:$W$505,AE$3,実績!$AI$6:$AI$505,"&lt;="&amp;$A30,実績!$AJ$6:$AJ$505,"&gt;"&amp;$A30,実績!$AK$6:$AK$505,"○")&gt;0,1,0))</f>
        <v>0</v>
      </c>
      <c r="AF30" s="39" t="n">
        <f aca="false">IF(AF$4=0,0,IF(COUNTIFS(実績!$W$6:$W$505,AF$3,実績!$AI$6:$AI$505,"&lt;="&amp;$A30,実績!$AJ$6:$AJ$505,"&gt;"&amp;$A30,実績!$AK$6:$AK$505,"○")&gt;0,1,0))</f>
        <v>0</v>
      </c>
      <c r="AG30" s="39" t="n">
        <f aca="false">IF(AG$4=0,0,IF(COUNTIFS(実績!$W$6:$W$505,AG$3,実績!$AI$6:$AI$505,"&lt;="&amp;$A30,実績!$AJ$6:$AJ$505,"&gt;"&amp;$A30,実績!$AK$6:$AK$505,"○")&gt;0,1,0))</f>
        <v>0</v>
      </c>
      <c r="AH30" s="39" t="n">
        <f aca="false">IF(AH$4=0,0,IF(COUNTIFS(実績!$W$6:$W$505,AH$3,実績!$AI$6:$AI$505,"&lt;="&amp;$A30,実績!$AJ$6:$AJ$505,"&gt;"&amp;$A30,実績!$AK$6:$AK$505,"○")&gt;0,1,0))</f>
        <v>0</v>
      </c>
      <c r="AI30" s="39" t="n">
        <f aca="false">IF(AI$4=0,0,IF(COUNTIFS(実績!$W$6:$W$505,AI$3,実績!$AI$6:$AI$505,"&lt;="&amp;$A30,実績!$AJ$6:$AJ$505,"&gt;"&amp;$A30,実績!$AK$6:$AK$505,"○")&gt;0,1,0))</f>
        <v>0</v>
      </c>
      <c r="AJ30" s="39" t="n">
        <f aca="false">IF(AJ$4=0,0,IF(COUNTIFS(実績!$W$6:$W$505,AJ$3,実績!$AI$6:$AI$505,"&lt;="&amp;$A30,実績!$AJ$6:$AJ$505,"&gt;"&amp;$A30,実績!$AK$6:$AK$505,"○")&gt;0,1,0))</f>
        <v>0</v>
      </c>
      <c r="AK30" s="39" t="n">
        <f aca="false">IF(AK$4=0,0,IF(COUNTIFS(実績!$W$6:$W$505,AK$3,実績!$AI$6:$AI$505,"&lt;="&amp;$A30,実績!$AJ$6:$AJ$505,"&gt;"&amp;$A30,実績!$AK$6:$AK$505,"○")&gt;0,1,0))</f>
        <v>0</v>
      </c>
      <c r="AL30" s="39" t="n">
        <f aca="false">IF(AL$4=0,0,IF(COUNTIFS(実績!$W$6:$W$505,AL$3,実績!$AI$6:$AI$505,"&lt;="&amp;$A30,実績!$AJ$6:$AJ$505,"&gt;"&amp;$A30,実績!$AK$6:$AK$505,"○")&gt;0,1,0))</f>
        <v>0</v>
      </c>
      <c r="AM30" s="39" t="n">
        <f aca="false">IF(AM$4=0,0,IF(COUNTIFS(実績!$W$6:$W$505,AM$3,実績!$AI$6:$AI$505,"&lt;="&amp;$A30,実績!$AJ$6:$AJ$505,"&gt;"&amp;$A30,実績!$AK$6:$AK$505,"○")&gt;0,1,0))</f>
        <v>0</v>
      </c>
      <c r="AN30" s="39" t="n">
        <f aca="false">IF(AN$4=0,0,IF(COUNTIFS(実績!$W$6:$W$505,AN$3,実績!$AI$6:$AI$505,"&lt;="&amp;$A30,実績!$AJ$6:$AJ$505,"&gt;"&amp;$A30,実績!$AK$6:$AK$505,"○")&gt;0,1,0))</f>
        <v>0</v>
      </c>
      <c r="AO30" s="39" t="n">
        <f aca="false">IF(AO$4=0,0,IF(COUNTIFS(実績!$W$6:$W$505,AO$3,実績!$AI$6:$AI$505,"&lt;="&amp;$A30,実績!$AJ$6:$AJ$505,"&gt;"&amp;$A30,実績!$AK$6:$AK$505,"○")&gt;0,1,0))</f>
        <v>0</v>
      </c>
      <c r="AP30" s="39" t="n">
        <f aca="false">IF(AP$4=0,0,IF(COUNTIFS(実績!$W$6:$W$505,AP$3,実績!$AI$6:$AI$505,"&lt;="&amp;$A30,実績!$AJ$6:$AJ$505,"&gt;"&amp;$A30,実績!$AK$6:$AK$505,"○")&gt;0,1,0))</f>
        <v>0</v>
      </c>
      <c r="AQ30" s="39" t="n">
        <f aca="false">IF(AQ$4=0,0,IF(COUNTIFS(実績!$W$6:$W$505,AQ$3,実績!$AI$6:$AI$505,"&lt;="&amp;$A30,実績!$AJ$6:$AJ$505,"&gt;"&amp;$A30,実績!$AK$6:$AK$505,"○")&gt;0,1,0))</f>
        <v>0</v>
      </c>
      <c r="AR30" s="39" t="n">
        <f aca="false">IF(AR$4=0,0,IF(COUNTIFS(実績!$W$6:$W$505,AR$3,実績!$AI$6:$AI$505,"&lt;="&amp;$A30,実績!$AJ$6:$AJ$505,"&gt;"&amp;$A30,実績!$AK$6:$AK$505,"○")&gt;0,1,0))</f>
        <v>0</v>
      </c>
      <c r="AS30" s="39" t="n">
        <f aca="false">IF(AS$4=0,0,IF(COUNTIFS(実績!$W$6:$W$505,AS$3,実績!$AI$6:$AI$505,"&lt;="&amp;$A30,実績!$AJ$6:$AJ$505,"&gt;"&amp;$A30,実績!$AK$6:$AK$505,"○")&gt;0,1,0))</f>
        <v>0</v>
      </c>
      <c r="AT30" s="39" t="n">
        <f aca="false">IF(AT$4=0,0,IF(COUNTIFS(実績!$W$6:$W$505,AT$3,実績!$AI$6:$AI$505,"&lt;="&amp;$A30,実績!$AJ$6:$AJ$505,"&gt;"&amp;$A30,実績!$AK$6:$AK$505,"○")&gt;0,1,0))</f>
        <v>0</v>
      </c>
      <c r="AU30" s="39" t="n">
        <f aca="false">IF(AU$4=0,0,IF(COUNTIFS(実績!$W$6:$W$505,AU$3,実績!$AI$6:$AI$505,"&lt;="&amp;$A30,実績!$AJ$6:$AJ$505,"&gt;"&amp;$A30,実績!$AK$6:$AK$505,"○")&gt;0,1,0))</f>
        <v>0</v>
      </c>
      <c r="AV30" s="39" t="n">
        <f aca="false">IF(AV$4=0,0,IF(COUNTIFS(実績!$W$6:$W$505,AV$3,実績!$AI$6:$AI$505,"&lt;="&amp;$A30,実績!$AJ$6:$AJ$505,"&gt;"&amp;$A30,実績!$AK$6:$AK$505,"○")&gt;0,1,0))</f>
        <v>0</v>
      </c>
      <c r="AW30" s="39" t="n">
        <f aca="false">IF(AW$4=0,0,IF(COUNTIFS(実績!$W$6:$W$505,AW$3,実績!$AI$6:$AI$505,"&lt;="&amp;$A30,実績!$AJ$6:$AJ$505,"&gt;"&amp;$A30,実績!$AK$6:$AK$505,"○")&gt;0,1,0))</f>
        <v>0</v>
      </c>
      <c r="AX30" s="39" t="n">
        <f aca="false">IF(AX$4=0,0,IF(COUNTIFS(実績!$W$6:$W$505,AX$3,実績!$AI$6:$AI$505,"&lt;="&amp;$A30,実績!$AJ$6:$AJ$505,"&gt;"&amp;$A30,実績!$AK$6:$AK$505,"○")&gt;0,1,0))</f>
        <v>0</v>
      </c>
      <c r="AY30" s="39" t="n">
        <f aca="false">IF(AY$4=0,0,IF(COUNTIFS(実績!$W$6:$W$505,AY$3,実績!$AI$6:$AI$505,"&lt;="&amp;$A30,実績!$AJ$6:$AJ$505,"&gt;"&amp;$A30,実績!$AK$6:$AK$505,"○")&gt;0,1,0))</f>
        <v>0</v>
      </c>
      <c r="AZ30" s="39" t="n">
        <f aca="false">IF(AZ$4=0,0,IF(COUNTIFS(実績!$W$6:$W$505,AZ$3,実績!$AI$6:$AI$505,"&lt;="&amp;$A30,実績!$AJ$6:$AJ$505,"&gt;"&amp;$A30,実績!$AK$6:$AK$505,"○")&gt;0,1,0))</f>
        <v>0</v>
      </c>
      <c r="BA30" s="39" t="n">
        <f aca="false">IF(BA$4=0,0,IF(COUNTIFS(実績!$W$6:$W$505,BA$3,実績!$AI$6:$AI$505,"&lt;="&amp;$A30,実績!$AJ$6:$AJ$505,"&gt;"&amp;$A30,実績!$AK$6:$AK$505,"○")&gt;0,1,0))</f>
        <v>0</v>
      </c>
      <c r="BB30" s="39" t="n">
        <f aca="false">IF(BB$4=0,0,IF(COUNTIFS(実績!$W$6:$W$505,BB$3,実績!$AI$6:$AI$505,"&lt;="&amp;$A30,実績!$AJ$6:$AJ$505,"&gt;"&amp;$A30,実績!$AK$6:$AK$505,"○")&gt;0,1,0))</f>
        <v>0</v>
      </c>
      <c r="BC30" s="39" t="n">
        <f aca="false">IF(BC$4=0,0,IF(COUNTIFS(実績!$W$6:$W$505,BC$3,実績!$AI$6:$AI$505,"&lt;="&amp;$A30,実績!$AJ$6:$AJ$505,"&gt;"&amp;$A30,実績!$AK$6:$AK$505,"○")&gt;0,1,0))</f>
        <v>0</v>
      </c>
      <c r="BD30" s="39" t="n">
        <f aca="false">IF(BD$4=0,0,IF(COUNTIFS(実績!$W$6:$W$505,BD$3,実績!$AI$6:$AI$505,"&lt;="&amp;$A30,実績!$AJ$6:$AJ$505,"&gt;"&amp;$A30,実績!$AK$6:$AK$505,"○")&gt;0,1,0))</f>
        <v>0</v>
      </c>
      <c r="BE30" s="39" t="n">
        <f aca="false">IF(BE$4=0,0,IF(COUNTIFS(実績!$W$6:$W$505,BE$3,実績!$AI$6:$AI$505,"&lt;="&amp;$A30,実績!$AJ$6:$AJ$505,"&gt;"&amp;$A30,実績!$AK$6:$AK$505,"○")&gt;0,1,0))</f>
        <v>0</v>
      </c>
      <c r="BF30" s="39" t="n">
        <f aca="false">IF(BF$4=0,0,IF(COUNTIFS(実績!$W$6:$W$505,BF$3,実績!$AI$6:$AI$505,"&lt;="&amp;$A30,実績!$AJ$6:$AJ$505,"&gt;"&amp;$A30,実績!$AK$6:$AK$505,"○")&gt;0,1,0))</f>
        <v>0</v>
      </c>
      <c r="BG30" s="39" t="n">
        <f aca="false">IF(BG$4=0,0,IF(COUNTIFS(実績!$W$6:$W$505,BG$3,実績!$AI$6:$AI$505,"&lt;="&amp;$A30,実績!$AJ$6:$AJ$505,"&gt;"&amp;$A30,実績!$AK$6:$AK$505,"○")&gt;0,1,0))</f>
        <v>0</v>
      </c>
      <c r="BH30" s="39" t="n">
        <f aca="false">IF(BH$4=0,0,IF(COUNTIFS(実績!$W$6:$W$505,BH$3,実績!$AI$6:$AI$505,"&lt;="&amp;$A30,実績!$AJ$6:$AJ$505,"&gt;"&amp;$A30,実績!$AK$6:$AK$505,"○")&gt;0,1,0))</f>
        <v>0</v>
      </c>
      <c r="BI30" s="39" t="n">
        <f aca="false">IF(BI$4=0,0,IF(COUNTIFS(実績!$W$6:$W$505,BI$3,実績!$AI$6:$AI$505,"&lt;="&amp;$A30,実績!$AJ$6:$AJ$505,"&gt;"&amp;$A30,実績!$AK$6:$AK$505,"○")&gt;0,1,0))</f>
        <v>0</v>
      </c>
      <c r="BJ30" s="39" t="n">
        <f aca="false">IF(BJ$4=0,0,IF(COUNTIFS(実績!$W$6:$W$505,BJ$3,実績!$AI$6:$AI$505,"&lt;="&amp;$A30,実績!$AJ$6:$AJ$505,"&gt;"&amp;$A30,実績!$AK$6:$AK$505,"○")&gt;0,1,0))</f>
        <v>0</v>
      </c>
      <c r="BK30" s="39" t="n">
        <f aca="false">IF(BK$4=0,0,IF(COUNTIFS(実績!$W$6:$W$505,BK$3,実績!$AI$6:$AI$505,"&lt;="&amp;$A30,実績!$AJ$6:$AJ$505,"&gt;"&amp;$A30,実績!$AK$6:$AK$505,"○")&gt;0,1,0))</f>
        <v>0</v>
      </c>
      <c r="BL30" s="39" t="n">
        <f aca="false">IF(BL$4=0,0,IF(COUNTIFS(実績!$W$6:$W$505,BL$3,実績!$AI$6:$AI$505,"&lt;="&amp;$A30,実績!$AJ$6:$AJ$505,"&gt;"&amp;$A30,実績!$AK$6:$AK$505,"○")&gt;0,1,0))</f>
        <v>0</v>
      </c>
      <c r="BM30" s="39" t="n">
        <f aca="false">IF(BM$4=0,0,IF(COUNTIFS(実績!$W$6:$W$505,BM$3,実績!$AI$6:$AI$505,"&lt;="&amp;$A30,実績!$AJ$6:$AJ$505,"&gt;"&amp;$A30,実績!$AK$6:$AK$505,"○")&gt;0,1,0))</f>
        <v>0</v>
      </c>
      <c r="BN30" s="39" t="n">
        <f aca="false">IF(BN$4=0,0,IF(COUNTIFS(実績!$W$6:$W$505,BN$3,実績!$AI$6:$AI$505,"&lt;="&amp;$A30,実績!$AJ$6:$AJ$505,"&gt;"&amp;$A30,実績!$AK$6:$AK$505,"○")&gt;0,1,0))</f>
        <v>0</v>
      </c>
      <c r="BO30" s="39" t="n">
        <f aca="false">IF(BO$4=0,0,IF(COUNTIFS(実績!$W$6:$W$505,BO$3,実績!$AI$6:$AI$505,"&lt;="&amp;$A30,実績!$AJ$6:$AJ$505,"&gt;"&amp;$A30,実績!$AK$6:$AK$505,"○")&gt;0,1,0))</f>
        <v>0</v>
      </c>
      <c r="BP30" s="39" t="n">
        <f aca="false">IF(BP$4=0,0,IF(COUNTIFS(実績!$W$6:$W$505,BP$3,実績!$AI$6:$AI$505,"&lt;="&amp;$A30,実績!$AJ$6:$AJ$505,"&gt;"&amp;$A30,実績!$AK$6:$AK$505,"○")&gt;0,1,0))</f>
        <v>0</v>
      </c>
      <c r="BQ30" s="39" t="n">
        <f aca="false">IF(BQ$4=0,0,IF(COUNTIFS(実績!$W$6:$W$505,BQ$3,実績!$AI$6:$AI$505,"&lt;="&amp;$A30,実績!$AJ$6:$AJ$505,"&gt;"&amp;$A30,実績!$AK$6:$AK$505,"○")&gt;0,1,0))</f>
        <v>0</v>
      </c>
      <c r="BR30" s="39" t="n">
        <f aca="false">IF(BR$4=0,0,IF(COUNTIFS(実績!$W$6:$W$505,BR$3,実績!$AI$6:$AI$505,"&lt;="&amp;$A30,実績!$AJ$6:$AJ$505,"&gt;"&amp;$A30,実績!$AK$6:$AK$505,"○")&gt;0,1,0))</f>
        <v>0</v>
      </c>
      <c r="BS30" s="39" t="n">
        <f aca="false">IF(BS$4=0,0,IF(COUNTIFS(実績!$W$6:$W$505,BS$3,実績!$AI$6:$AI$505,"&lt;="&amp;$A30,実績!$AJ$6:$AJ$505,"&gt;"&amp;$A30,実績!$AK$6:$AK$505,"○")&gt;0,1,0))</f>
        <v>0</v>
      </c>
      <c r="BT30" s="39" t="n">
        <f aca="false">IF(BT$4=0,0,IF(COUNTIFS(実績!$W$6:$W$505,BT$3,実績!$AI$6:$AI$505,"&lt;="&amp;$A30,実績!$AJ$6:$AJ$505,"&gt;"&amp;$A30,実績!$AK$6:$AK$505,"○")&gt;0,1,0))</f>
        <v>0</v>
      </c>
      <c r="BU30" s="39" t="n">
        <f aca="false">IF(BU$4=0,0,IF(COUNTIFS(実績!$W$6:$W$505,BU$3,実績!$AI$6:$AI$505,"&lt;="&amp;$A30,実績!$AJ$6:$AJ$505,"&gt;"&amp;$A30,実績!$AK$6:$AK$505,"○")&gt;0,1,0))</f>
        <v>0</v>
      </c>
      <c r="BV30" s="39" t="n">
        <f aca="false">IF(BV$4=0,0,IF(COUNTIFS(実績!$W$6:$W$505,BV$3,実績!$AI$6:$AI$505,"&lt;="&amp;$A30,実績!$AJ$6:$AJ$505,"&gt;"&amp;$A30,実績!$AK$6:$AK$505,"○")&gt;0,1,0))</f>
        <v>0</v>
      </c>
      <c r="BW30" s="39" t="n">
        <f aca="false">IF(BW$4=0,0,IF(COUNTIFS(実績!$W$6:$W$505,BW$3,実績!$AI$6:$AI$505,"&lt;="&amp;$A30,実績!$AJ$6:$AJ$505,"&gt;"&amp;$A30,実績!$AK$6:$AK$505,"○")&gt;0,1,0))</f>
        <v>0</v>
      </c>
      <c r="BX30" s="39" t="n">
        <f aca="false">IF(BX$4=0,0,IF(COUNTIFS(実績!$W$6:$W$505,BX$3,実績!$AI$6:$AI$505,"&lt;="&amp;$A30,実績!$AJ$6:$AJ$505,"&gt;"&amp;$A30,実績!$AK$6:$AK$505,"○")&gt;0,1,0))</f>
        <v>0</v>
      </c>
      <c r="BY30" s="39" t="n">
        <f aca="false">IF(BY$4=0,0,IF(COUNTIFS(実績!$W$6:$W$505,BY$3,実績!$AI$6:$AI$505,"&lt;="&amp;$A30,実績!$AJ$6:$AJ$505,"&gt;"&amp;$A30,実績!$AK$6:$AK$505,"○")&gt;0,1,0))</f>
        <v>0</v>
      </c>
      <c r="BZ30" s="39" t="n">
        <f aca="false">IF(BZ$4=0,0,IF(COUNTIFS(実績!$W$6:$W$505,BZ$3,実績!$AI$6:$AI$505,"&lt;="&amp;$A30,実績!$AJ$6:$AJ$505,"&gt;"&amp;$A30,実績!$AK$6:$AK$505,"○")&gt;0,1,0))</f>
        <v>0</v>
      </c>
      <c r="CA30" s="39" t="n">
        <f aca="false">IF(CA$4=0,0,IF(COUNTIFS(実績!$W$6:$W$505,CA$3,実績!$AI$6:$AI$505,"&lt;="&amp;$A30,実績!$AJ$6:$AJ$505,"&gt;"&amp;$A30,実績!$AK$6:$AK$505,"○")&gt;0,1,0))</f>
        <v>0</v>
      </c>
      <c r="CB30" s="39" t="n">
        <f aca="false">IF(CB$4=0,0,IF(COUNTIFS(実績!$W$6:$W$505,CB$3,実績!$AI$6:$AI$505,"&lt;="&amp;$A30,実績!$AJ$6:$AJ$505,"&gt;"&amp;$A30,実績!$AK$6:$AK$505,"○")&gt;0,1,0))</f>
        <v>0</v>
      </c>
      <c r="CC30" s="39" t="n">
        <f aca="false">IF(CC$4=0,0,IF(COUNTIFS(実績!$W$6:$W$505,CC$3,実績!$AI$6:$AI$505,"&lt;="&amp;$A30,実績!$AJ$6:$AJ$505,"&gt;"&amp;$A30,実績!$AK$6:$AK$505,"○")&gt;0,1,0))</f>
        <v>0</v>
      </c>
      <c r="CD30" s="39" t="n">
        <f aca="false">IF(CD$4=0,0,IF(COUNTIFS(実績!$W$6:$W$505,CD$3,実績!$AI$6:$AI$505,"&lt;="&amp;$A30,実績!$AJ$6:$AJ$505,"&gt;"&amp;$A30,実績!$AK$6:$AK$505,"○")&gt;0,1,0))</f>
        <v>0</v>
      </c>
      <c r="CE30" s="39" t="n">
        <f aca="false">IF(CE$4=0,0,IF(COUNTIFS(実績!$W$6:$W$505,CE$3,実績!$AI$6:$AI$505,"&lt;="&amp;$A30,実績!$AJ$6:$AJ$505,"&gt;"&amp;$A30,実績!$AK$6:$AK$505,"○")&gt;0,1,0))</f>
        <v>0</v>
      </c>
      <c r="CF30" s="39" t="n">
        <f aca="false">IF(CF$4=0,0,IF(COUNTIFS(実績!$W$6:$W$505,CF$3,実績!$AI$6:$AI$505,"&lt;="&amp;$A30,実績!$AJ$6:$AJ$505,"&gt;"&amp;$A30,実績!$AK$6:$AK$505,"○")&gt;0,1,0))</f>
        <v>0</v>
      </c>
      <c r="CG30" s="39" t="n">
        <f aca="false">IF(CG$4=0,0,IF(COUNTIFS(実績!$W$6:$W$505,CG$3,実績!$AI$6:$AI$505,"&lt;="&amp;$A30,実績!$AJ$6:$AJ$505,"&gt;"&amp;$A30,実績!$AK$6:$AK$505,"○")&gt;0,1,0))</f>
        <v>0</v>
      </c>
      <c r="CH30" s="39" t="n">
        <f aca="false">IF(CH$4=0,0,IF(COUNTIFS(実績!$W$6:$W$505,CH$3,実績!$AI$6:$AI$505,"&lt;="&amp;$A30,実績!$AJ$6:$AJ$505,"&gt;"&amp;$A30,実績!$AK$6:$AK$505,"○")&gt;0,1,0))</f>
        <v>0</v>
      </c>
      <c r="CI30" s="39" t="n">
        <f aca="false">IF(CI$4=0,0,IF(COUNTIFS(実績!$W$6:$W$505,CI$3,実績!$AI$6:$AI$505,"&lt;="&amp;$A30,実績!$AJ$6:$AJ$505,"&gt;"&amp;$A30,実績!$AK$6:$AK$505,"○")&gt;0,1,0))</f>
        <v>0</v>
      </c>
      <c r="CJ30" s="39" t="n">
        <f aca="false">IF(CJ$4=0,0,IF(COUNTIFS(実績!$W$6:$W$505,CJ$3,実績!$AI$6:$AI$505,"&lt;="&amp;$A30,実績!$AJ$6:$AJ$505,"&gt;"&amp;$A30,実績!$AK$6:$AK$505,"○")&gt;0,1,0))</f>
        <v>0</v>
      </c>
      <c r="CK30" s="39" t="n">
        <f aca="false">IF(CK$4=0,0,IF(COUNTIFS(実績!$W$6:$W$505,CK$3,実績!$AI$6:$AI$505,"&lt;="&amp;$A30,実績!$AJ$6:$AJ$505,"&gt;"&amp;$A30,実績!$AK$6:$AK$505,"○")&gt;0,1,0))</f>
        <v>0</v>
      </c>
      <c r="CL30" s="39" t="n">
        <f aca="false">IF(CL$4=0,0,IF(COUNTIFS(実績!$W$6:$W$505,CL$3,実績!$AI$6:$AI$505,"&lt;="&amp;$A30,実績!$AJ$6:$AJ$505,"&gt;"&amp;$A30,実績!$AK$6:$AK$505,"○")&gt;0,1,0))</f>
        <v>0</v>
      </c>
      <c r="CM30" s="39" t="n">
        <f aca="false">IF(CM$4=0,0,IF(COUNTIFS(実績!$W$6:$W$505,CM$3,実績!$AI$6:$AI$505,"&lt;="&amp;$A30,実績!$AJ$6:$AJ$505,"&gt;"&amp;$A30,実績!$AK$6:$AK$505,"○")&gt;0,1,0))</f>
        <v>0</v>
      </c>
      <c r="CN30" s="39" t="n">
        <f aca="false">IF(CN$4=0,0,IF(COUNTIFS(実績!$W$6:$W$505,CN$3,実績!$AI$6:$AI$505,"&lt;="&amp;$A30,実績!$AJ$6:$AJ$505,"&gt;"&amp;$A30,実績!$AK$6:$AK$505,"○")&gt;0,1,0))</f>
        <v>0</v>
      </c>
      <c r="CO30" s="39" t="n">
        <f aca="false">IF(CO$4=0,0,IF(COUNTIFS(実績!$W$6:$W$505,CO$3,実績!$AI$6:$AI$505,"&lt;="&amp;$A30,実績!$AJ$6:$AJ$505,"&gt;"&amp;$A30,実績!$AK$6:$AK$505,"○")&gt;0,1,0))</f>
        <v>0</v>
      </c>
      <c r="CP30" s="39" t="n">
        <f aca="false">IF(CP$4=0,0,IF(COUNTIFS(実績!$W$6:$W$505,CP$3,実績!$AI$6:$AI$505,"&lt;="&amp;$A30,実績!$AJ$6:$AJ$505,"&gt;"&amp;$A30,実績!$AK$6:$AK$505,"○")&gt;0,1,0))</f>
        <v>0</v>
      </c>
      <c r="CQ30" s="39" t="n">
        <f aca="false">IF(CQ$4=0,0,IF(COUNTIFS(実績!$W$6:$W$505,CQ$3,実績!$AI$6:$AI$505,"&lt;="&amp;$A30,実績!$AJ$6:$AJ$505,"&gt;"&amp;$A30,実績!$AK$6:$AK$505,"○")&gt;0,1,0))</f>
        <v>0</v>
      </c>
      <c r="CR30" s="39" t="n">
        <f aca="false">IF(CR$4=0,0,IF(COUNTIFS(実績!$W$6:$W$505,CR$3,実績!$AI$6:$AI$505,"&lt;="&amp;$A30,実績!$AJ$6:$AJ$505,"&gt;"&amp;$A30,実績!$AK$6:$AK$505,"○")&gt;0,1,0))</f>
        <v>0</v>
      </c>
      <c r="CS30" s="39" t="n">
        <f aca="false">IF(CS$4=0,0,IF(COUNTIFS(実績!$W$6:$W$505,CS$3,実績!$AI$6:$AI$505,"&lt;="&amp;$A30,実績!$AJ$6:$AJ$505,"&gt;"&amp;$A30,実績!$AK$6:$AK$505,"○")&gt;0,1,0))</f>
        <v>0</v>
      </c>
      <c r="CT30" s="39" t="n">
        <f aca="false">IF(CT$4=0,0,IF(COUNTIFS(実績!$W$6:$W$505,CT$3,実績!$AI$6:$AI$505,"&lt;="&amp;$A30,実績!$AJ$6:$AJ$505,"&gt;"&amp;$A30,実績!$AK$6:$AK$505,"○")&gt;0,1,0))</f>
        <v>0</v>
      </c>
      <c r="CU30" s="39" t="n">
        <f aca="false">IF(CU$4=0,0,IF(COUNTIFS(実績!$W$6:$W$505,CU$3,実績!$AI$6:$AI$505,"&lt;="&amp;$A30,実績!$AJ$6:$AJ$505,"&gt;"&amp;$A30,実績!$AK$6:$AK$505,"○")&gt;0,1,0))</f>
        <v>0</v>
      </c>
      <c r="CV30" s="39" t="n">
        <f aca="false">IF(CV$4=0,0,IF(COUNTIFS(実績!$W$6:$W$505,CV$3,実績!$AI$6:$AI$505,"&lt;="&amp;$A30,実績!$AJ$6:$AJ$505,"&gt;"&amp;$A30,実績!$AK$6:$AK$505,"○")&gt;0,1,0))</f>
        <v>0</v>
      </c>
      <c r="CW30" s="39" t="n">
        <f aca="false">IF(CW$4=0,0,IF(COUNTIFS(実績!$W$6:$W$505,CW$3,実績!$AI$6:$AI$505,"&lt;="&amp;$A30,実績!$AJ$6:$AJ$505,"&gt;"&amp;$A30,実績!$AK$6:$AK$505,"○")&gt;0,1,0))</f>
        <v>0</v>
      </c>
      <c r="CX30" s="39" t="n">
        <f aca="false">IF(CX$4=0,0,IF(COUNTIFS(実績!$W$6:$W$505,CX$3,実績!$AI$6:$AI$505,"&lt;="&amp;$A30,実績!$AJ$6:$AJ$505,"&gt;"&amp;$A30,実績!$AK$6:$AK$505,"○")&gt;0,1,0))</f>
        <v>0</v>
      </c>
      <c r="CY30" s="39" t="n">
        <f aca="false">IF(CY$4=0,0,IF(COUNTIFS(実績!$W$6:$W$505,CY$3,実績!$AI$6:$AI$505,"&lt;="&amp;$A30,実績!$AJ$6:$AJ$505,"&gt;"&amp;$A30,実績!$AK$6:$AK$505,"○")&gt;0,1,0))</f>
        <v>0</v>
      </c>
      <c r="CZ30" s="39" t="n">
        <f aca="false">IF(CZ$4=0,0,IF(COUNTIFS(実績!$W$6:$W$505,CZ$3,実績!$AI$6:$AI$505,"&lt;="&amp;$A30,実績!$AJ$6:$AJ$505,"&gt;"&amp;$A30,実績!$AK$6:$AK$505,"○")&gt;0,1,0))</f>
        <v>0</v>
      </c>
      <c r="DA30" s="39" t="n">
        <f aca="false">IF(DA$4=0,0,IF(COUNTIFS(実績!$W$6:$W$505,DA$3,実績!$AI$6:$AI$505,"&lt;="&amp;$A30,実績!$AJ$6:$AJ$505,"&gt;"&amp;$A30,実績!$AK$6:$AK$505,"○")&gt;0,1,0))</f>
        <v>0</v>
      </c>
      <c r="DB30" s="39" t="n">
        <f aca="false">IF(DB$4=0,0,IF(COUNTIFS(実績!$W$6:$W$505,DB$3,実績!$AI$6:$AI$505,"&lt;="&amp;$A30,実績!$AJ$6:$AJ$505,"&gt;"&amp;$A30,実績!$AK$6:$AK$505,"○")&gt;0,1,0))</f>
        <v>0</v>
      </c>
      <c r="DC30" s="39" t="n">
        <f aca="false">IF(DC$4=0,0,IF(COUNTIFS(実績!$W$6:$W$505,DC$3,実績!$AI$6:$AI$505,"&lt;="&amp;$A30,実績!$AJ$6:$AJ$505,"&gt;"&amp;$A30,実績!$AK$6:$AK$505,"○")&gt;0,1,0))</f>
        <v>0</v>
      </c>
      <c r="DD30" s="39" t="n">
        <f aca="false">IF(DD$4=0,0,IF(COUNTIFS(実績!$W$6:$W$505,DD$3,実績!$AI$6:$AI$505,"&lt;="&amp;$A30,実績!$AJ$6:$AJ$505,"&gt;"&amp;$A30,実績!$AK$6:$AK$505,"○")&gt;0,1,0))</f>
        <v>0</v>
      </c>
      <c r="DE30" s="39" t="n">
        <f aca="false">IF(DE$4=0,0,IF(COUNTIFS(実績!$W$6:$W$505,DE$3,実績!$AI$6:$AI$505,"&lt;="&amp;$A30,実績!$AJ$6:$AJ$505,"&gt;"&amp;$A30,実績!$AK$6:$AK$505,"○")&gt;0,1,0))</f>
        <v>0</v>
      </c>
      <c r="DF30" s="39" t="n">
        <f aca="false">IF(DF$4=0,0,IF(COUNTIFS(実績!$W$6:$W$505,DF$3,実績!$AI$6:$AI$505,"&lt;="&amp;$A30,実績!$AJ$6:$AJ$505,"&gt;"&amp;$A30,実績!$AK$6:$AK$505,"○")&gt;0,1,0))</f>
        <v>0</v>
      </c>
      <c r="DG30" s="39" t="n">
        <f aca="false">IF(DG$4=0,0,IF(COUNTIFS(実績!$W$6:$W$505,DG$3,実績!$AI$6:$AI$505,"&lt;="&amp;$A30,実績!$AJ$6:$AJ$505,"&gt;"&amp;$A30,実績!$AK$6:$AK$505,"○")&gt;0,1,0))</f>
        <v>0</v>
      </c>
      <c r="DH30" s="39" t="n">
        <f aca="false">IF(DH$4=0,0,IF(COUNTIFS(実績!$W$6:$W$505,DH$3,実績!$AI$6:$AI$505,"&lt;="&amp;$A30,実績!$AJ$6:$AJ$505,"&gt;"&amp;$A30,実績!$AK$6:$AK$505,"○")&gt;0,1,0))</f>
        <v>0</v>
      </c>
      <c r="DI30" s="39" t="n">
        <f aca="false">IF(DI$4=0,0,IF(COUNTIFS(実績!$W$6:$W$505,DI$3,実績!$AI$6:$AI$505,"&lt;="&amp;$A30,実績!$AJ$6:$AJ$505,"&gt;"&amp;$A30,実績!$AK$6:$AK$505,"○")&gt;0,1,0))</f>
        <v>0</v>
      </c>
      <c r="DJ30" s="39" t="n">
        <f aca="false">IF(DJ$4=0,0,IF(COUNTIFS(実績!$W$6:$W$505,DJ$3,実績!$AI$6:$AI$505,"&lt;="&amp;$A30,実績!$AJ$6:$AJ$505,"&gt;"&amp;$A30,実績!$AK$6:$AK$505,"○")&gt;0,1,0))</f>
        <v>0</v>
      </c>
      <c r="DK30" s="39" t="n">
        <f aca="false">IF(DK$4=0,0,IF(COUNTIFS(実績!$W$6:$W$505,DK$3,実績!$AI$6:$AI$505,"&lt;="&amp;$A30,実績!$AJ$6:$AJ$505,"&gt;"&amp;$A30,実績!$AK$6:$AK$505,"○")&gt;0,1,0))</f>
        <v>0</v>
      </c>
      <c r="DL30" s="39" t="n">
        <f aca="false">IF(DL$4=0,0,IF(COUNTIFS(実績!$W$6:$W$505,DL$3,実績!$AI$6:$AI$505,"&lt;="&amp;$A30,実績!$AJ$6:$AJ$505,"&gt;"&amp;$A30,実績!$AK$6:$AK$505,"○")&gt;0,1,0))</f>
        <v>0</v>
      </c>
      <c r="DM30" s="39" t="n">
        <f aca="false">IF(DM$4=0,0,IF(COUNTIFS(実績!$W$6:$W$505,DM$3,実績!$AI$6:$AI$505,"&lt;="&amp;$A30,実績!$AJ$6:$AJ$505,"&gt;"&amp;$A30,実績!$AK$6:$AK$505,"○")&gt;0,1,0))</f>
        <v>0</v>
      </c>
      <c r="DN30" s="39" t="n">
        <f aca="false">IF(DN$4=0,0,IF(COUNTIFS(実績!$W$6:$W$505,DN$3,実績!$AI$6:$AI$505,"&lt;="&amp;$A30,実績!$AJ$6:$AJ$505,"&gt;"&amp;$A30,実績!$AK$6:$AK$505,"○")&gt;0,1,0))</f>
        <v>0</v>
      </c>
      <c r="DO30" s="39" t="n">
        <f aca="false">IF(DO$4=0,0,IF(COUNTIFS(実績!$W$6:$W$505,DO$3,実績!$AI$6:$AI$505,"&lt;="&amp;$A30,実績!$AJ$6:$AJ$505,"&gt;"&amp;$A30,実績!$AK$6:$AK$505,"○")&gt;0,1,0))</f>
        <v>0</v>
      </c>
      <c r="DP30" s="39" t="n">
        <f aca="false">IF(DP$4=0,0,IF(COUNTIFS(実績!$W$6:$W$505,DP$3,実績!$AI$6:$AI$505,"&lt;="&amp;$A30,実績!$AJ$6:$AJ$505,"&gt;"&amp;$A30,実績!$AK$6:$AK$505,"○")&gt;0,1,0))</f>
        <v>0</v>
      </c>
      <c r="DQ30" s="39" t="n">
        <f aca="false">IF(DQ$4=0,0,IF(COUNTIFS(実績!$W$6:$W$505,DQ$3,実績!$AI$6:$AI$505,"&lt;="&amp;$A30,実績!$AJ$6:$AJ$505,"&gt;"&amp;$A30,実績!$AK$6:$AK$505,"○")&gt;0,1,0))</f>
        <v>0</v>
      </c>
      <c r="DR30" s="39" t="n">
        <f aca="false">IF(DR$4=0,0,IF(COUNTIFS(実績!$W$6:$W$505,DR$3,実績!$AI$6:$AI$505,"&lt;="&amp;$A30,実績!$AJ$6:$AJ$505,"&gt;"&amp;$A30,実績!$AK$6:$AK$505,"○")&gt;0,1,0))</f>
        <v>0</v>
      </c>
      <c r="DS30" s="39" t="n">
        <f aca="false">SUM(C30:DR30)</f>
        <v>0</v>
      </c>
      <c r="DT30" s="39" t="n">
        <f aca="false">SUMPRODUCT((実績!$C$6:$C$505="○")*ISNUMBER(実績!$AM$6:$AM$505)*(実績!$AM$6:$AM$505&lt;=$A30)*(実績!$AN$6:$AN$505&gt;$A30))</f>
        <v>0</v>
      </c>
      <c r="DU30" s="39" t="n">
        <f aca="false">SUMIF($C$2:$DR$2,"製鉄曳船",C30:DR30)</f>
        <v>0</v>
      </c>
      <c r="DV30" s="39" t="n">
        <f aca="false">SUMIF($C$2:$DR$2,"西日本海運",C30:DR30)</f>
        <v>0</v>
      </c>
    </row>
    <row r="31" customFormat="false" ht="15" hidden="false" customHeight="false" outlineLevel="0" collapsed="false">
      <c r="A31" s="0" t="n">
        <v>125</v>
      </c>
      <c r="B31" s="38" t="n">
        <f aca="false">A31/1440</f>
        <v>0.0868055555555556</v>
      </c>
      <c r="C31" s="39" t="n">
        <f aca="false">IF(C$4=0,0,IF(COUNTIFS(実績!$W$6:$W$505,C$3,実績!$AI$6:$AI$505,"&lt;="&amp;$A31,実績!$AJ$6:$AJ$505,"&gt;"&amp;$A31,実績!$AK$6:$AK$505,"○")&gt;0,1,0))</f>
        <v>0</v>
      </c>
      <c r="D31" s="39" t="n">
        <f aca="false">IF(D$4=0,0,IF(COUNTIFS(実績!$W$6:$W$505,D$3,実績!$AI$6:$AI$505,"&lt;="&amp;$A31,実績!$AJ$6:$AJ$505,"&gt;"&amp;$A31,実績!$AK$6:$AK$505,"○")&gt;0,1,0))</f>
        <v>0</v>
      </c>
      <c r="E31" s="39" t="n">
        <f aca="false">IF(E$4=0,0,IF(COUNTIFS(実績!$W$6:$W$505,E$3,実績!$AI$6:$AI$505,"&lt;="&amp;$A31,実績!$AJ$6:$AJ$505,"&gt;"&amp;$A31,実績!$AK$6:$AK$505,"○")&gt;0,1,0))</f>
        <v>0</v>
      </c>
      <c r="F31" s="39" t="n">
        <f aca="false">IF(F$4=0,0,IF(COUNTIFS(実績!$W$6:$W$505,F$3,実績!$AI$6:$AI$505,"&lt;="&amp;$A31,実績!$AJ$6:$AJ$505,"&gt;"&amp;$A31,実績!$AK$6:$AK$505,"○")&gt;0,1,0))</f>
        <v>0</v>
      </c>
      <c r="G31" s="39" t="n">
        <f aca="false">IF(G$4=0,0,IF(COUNTIFS(実績!$W$6:$W$505,G$3,実績!$AI$6:$AI$505,"&lt;="&amp;$A31,実績!$AJ$6:$AJ$505,"&gt;"&amp;$A31,実績!$AK$6:$AK$505,"○")&gt;0,1,0))</f>
        <v>0</v>
      </c>
      <c r="H31" s="39" t="n">
        <f aca="false">IF(H$4=0,0,IF(COUNTIFS(実績!$W$6:$W$505,H$3,実績!$AI$6:$AI$505,"&lt;="&amp;$A31,実績!$AJ$6:$AJ$505,"&gt;"&amp;$A31,実績!$AK$6:$AK$505,"○")&gt;0,1,0))</f>
        <v>0</v>
      </c>
      <c r="I31" s="39" t="n">
        <f aca="false">IF(I$4=0,0,IF(COUNTIFS(実績!$W$6:$W$505,I$3,実績!$AI$6:$AI$505,"&lt;="&amp;$A31,実績!$AJ$6:$AJ$505,"&gt;"&amp;$A31,実績!$AK$6:$AK$505,"○")&gt;0,1,0))</f>
        <v>0</v>
      </c>
      <c r="J31" s="39" t="n">
        <f aca="false">IF(J$4=0,0,IF(COUNTIFS(実績!$W$6:$W$505,J$3,実績!$AI$6:$AI$505,"&lt;="&amp;$A31,実績!$AJ$6:$AJ$505,"&gt;"&amp;$A31,実績!$AK$6:$AK$505,"○")&gt;0,1,0))</f>
        <v>0</v>
      </c>
      <c r="K31" s="39" t="n">
        <f aca="false">IF(K$4=0,0,IF(COUNTIFS(実績!$W$6:$W$505,K$3,実績!$AI$6:$AI$505,"&lt;="&amp;$A31,実績!$AJ$6:$AJ$505,"&gt;"&amp;$A31,実績!$AK$6:$AK$505,"○")&gt;0,1,0))</f>
        <v>0</v>
      </c>
      <c r="L31" s="39" t="n">
        <f aca="false">IF(L$4=0,0,IF(COUNTIFS(実績!$W$6:$W$505,L$3,実績!$AI$6:$AI$505,"&lt;="&amp;$A31,実績!$AJ$6:$AJ$505,"&gt;"&amp;$A31,実績!$AK$6:$AK$505,"○")&gt;0,1,0))</f>
        <v>0</v>
      </c>
      <c r="M31" s="39" t="n">
        <f aca="false">IF(M$4=0,0,IF(COUNTIFS(実績!$W$6:$W$505,M$3,実績!$AI$6:$AI$505,"&lt;="&amp;$A31,実績!$AJ$6:$AJ$505,"&gt;"&amp;$A31,実績!$AK$6:$AK$505,"○")&gt;0,1,0))</f>
        <v>0</v>
      </c>
      <c r="N31" s="39" t="n">
        <f aca="false">IF(N$4=0,0,IF(COUNTIFS(実績!$W$6:$W$505,N$3,実績!$AI$6:$AI$505,"&lt;="&amp;$A31,実績!$AJ$6:$AJ$505,"&gt;"&amp;$A31,実績!$AK$6:$AK$505,"○")&gt;0,1,0))</f>
        <v>0</v>
      </c>
      <c r="O31" s="39" t="n">
        <f aca="false">IF(O$4=0,0,IF(COUNTIFS(実績!$W$6:$W$505,O$3,実績!$AI$6:$AI$505,"&lt;="&amp;$A31,実績!$AJ$6:$AJ$505,"&gt;"&amp;$A31,実績!$AK$6:$AK$505,"○")&gt;0,1,0))</f>
        <v>0</v>
      </c>
      <c r="P31" s="39" t="n">
        <f aca="false">IF(P$4=0,0,IF(COUNTIFS(実績!$W$6:$W$505,P$3,実績!$AI$6:$AI$505,"&lt;="&amp;$A31,実績!$AJ$6:$AJ$505,"&gt;"&amp;$A31,実績!$AK$6:$AK$505,"○")&gt;0,1,0))</f>
        <v>0</v>
      </c>
      <c r="Q31" s="39" t="n">
        <f aca="false">IF(Q$4=0,0,IF(COUNTIFS(実績!$W$6:$W$505,Q$3,実績!$AI$6:$AI$505,"&lt;="&amp;$A31,実績!$AJ$6:$AJ$505,"&gt;"&amp;$A31,実績!$AK$6:$AK$505,"○")&gt;0,1,0))</f>
        <v>0</v>
      </c>
      <c r="R31" s="39" t="n">
        <f aca="false">IF(R$4=0,0,IF(COUNTIFS(実績!$W$6:$W$505,R$3,実績!$AI$6:$AI$505,"&lt;="&amp;$A31,実績!$AJ$6:$AJ$505,"&gt;"&amp;$A31,実績!$AK$6:$AK$505,"○")&gt;0,1,0))</f>
        <v>0</v>
      </c>
      <c r="S31" s="39" t="n">
        <f aca="false">IF(S$4=0,0,IF(COUNTIFS(実績!$W$6:$W$505,S$3,実績!$AI$6:$AI$505,"&lt;="&amp;$A31,実績!$AJ$6:$AJ$505,"&gt;"&amp;$A31,実績!$AK$6:$AK$505,"○")&gt;0,1,0))</f>
        <v>0</v>
      </c>
      <c r="T31" s="39" t="n">
        <f aca="false">IF(T$4=0,0,IF(COUNTIFS(実績!$W$6:$W$505,T$3,実績!$AI$6:$AI$505,"&lt;="&amp;$A31,実績!$AJ$6:$AJ$505,"&gt;"&amp;$A31,実績!$AK$6:$AK$505,"○")&gt;0,1,0))</f>
        <v>0</v>
      </c>
      <c r="U31" s="39" t="n">
        <f aca="false">IF(U$4=0,0,IF(COUNTIFS(実績!$W$6:$W$505,U$3,実績!$AI$6:$AI$505,"&lt;="&amp;$A31,実績!$AJ$6:$AJ$505,"&gt;"&amp;$A31,実績!$AK$6:$AK$505,"○")&gt;0,1,0))</f>
        <v>0</v>
      </c>
      <c r="V31" s="39" t="n">
        <f aca="false">IF(V$4=0,0,IF(COUNTIFS(実績!$W$6:$W$505,V$3,実績!$AI$6:$AI$505,"&lt;="&amp;$A31,実績!$AJ$6:$AJ$505,"&gt;"&amp;$A31,実績!$AK$6:$AK$505,"○")&gt;0,1,0))</f>
        <v>0</v>
      </c>
      <c r="W31" s="39" t="n">
        <f aca="false">IF(W$4=0,0,IF(COUNTIFS(実績!$W$6:$W$505,W$3,実績!$AI$6:$AI$505,"&lt;="&amp;$A31,実績!$AJ$6:$AJ$505,"&gt;"&amp;$A31,実績!$AK$6:$AK$505,"○")&gt;0,1,0))</f>
        <v>0</v>
      </c>
      <c r="X31" s="39" t="n">
        <f aca="false">IF(X$4=0,0,IF(COUNTIFS(実績!$W$6:$W$505,X$3,実績!$AI$6:$AI$505,"&lt;="&amp;$A31,実績!$AJ$6:$AJ$505,"&gt;"&amp;$A31,実績!$AK$6:$AK$505,"○")&gt;0,1,0))</f>
        <v>0</v>
      </c>
      <c r="Y31" s="39" t="n">
        <f aca="false">IF(Y$4=0,0,IF(COUNTIFS(実績!$W$6:$W$505,Y$3,実績!$AI$6:$AI$505,"&lt;="&amp;$A31,実績!$AJ$6:$AJ$505,"&gt;"&amp;$A31,実績!$AK$6:$AK$505,"○")&gt;0,1,0))</f>
        <v>0</v>
      </c>
      <c r="Z31" s="39" t="n">
        <f aca="false">IF(Z$4=0,0,IF(COUNTIFS(実績!$W$6:$W$505,Z$3,実績!$AI$6:$AI$505,"&lt;="&amp;$A31,実績!$AJ$6:$AJ$505,"&gt;"&amp;$A31,実績!$AK$6:$AK$505,"○")&gt;0,1,0))</f>
        <v>0</v>
      </c>
      <c r="AA31" s="39" t="n">
        <f aca="false">IF(AA$4=0,0,IF(COUNTIFS(実績!$W$6:$W$505,AA$3,実績!$AI$6:$AI$505,"&lt;="&amp;$A31,実績!$AJ$6:$AJ$505,"&gt;"&amp;$A31,実績!$AK$6:$AK$505,"○")&gt;0,1,0))</f>
        <v>0</v>
      </c>
      <c r="AB31" s="39" t="n">
        <f aca="false">IF(AB$4=0,0,IF(COUNTIFS(実績!$W$6:$W$505,AB$3,実績!$AI$6:$AI$505,"&lt;="&amp;$A31,実績!$AJ$6:$AJ$505,"&gt;"&amp;$A31,実績!$AK$6:$AK$505,"○")&gt;0,1,0))</f>
        <v>0</v>
      </c>
      <c r="AC31" s="39" t="n">
        <f aca="false">IF(AC$4=0,0,IF(COUNTIFS(実績!$W$6:$W$505,AC$3,実績!$AI$6:$AI$505,"&lt;="&amp;$A31,実績!$AJ$6:$AJ$505,"&gt;"&amp;$A31,実績!$AK$6:$AK$505,"○")&gt;0,1,0))</f>
        <v>0</v>
      </c>
      <c r="AD31" s="39" t="n">
        <f aca="false">IF(AD$4=0,0,IF(COUNTIFS(実績!$W$6:$W$505,AD$3,実績!$AI$6:$AI$505,"&lt;="&amp;$A31,実績!$AJ$6:$AJ$505,"&gt;"&amp;$A31,実績!$AK$6:$AK$505,"○")&gt;0,1,0))</f>
        <v>0</v>
      </c>
      <c r="AE31" s="39" t="n">
        <f aca="false">IF(AE$4=0,0,IF(COUNTIFS(実績!$W$6:$W$505,AE$3,実績!$AI$6:$AI$505,"&lt;="&amp;$A31,実績!$AJ$6:$AJ$505,"&gt;"&amp;$A31,実績!$AK$6:$AK$505,"○")&gt;0,1,0))</f>
        <v>0</v>
      </c>
      <c r="AF31" s="39" t="n">
        <f aca="false">IF(AF$4=0,0,IF(COUNTIFS(実績!$W$6:$W$505,AF$3,実績!$AI$6:$AI$505,"&lt;="&amp;$A31,実績!$AJ$6:$AJ$505,"&gt;"&amp;$A31,実績!$AK$6:$AK$505,"○")&gt;0,1,0))</f>
        <v>0</v>
      </c>
      <c r="AG31" s="39" t="n">
        <f aca="false">IF(AG$4=0,0,IF(COUNTIFS(実績!$W$6:$W$505,AG$3,実績!$AI$6:$AI$505,"&lt;="&amp;$A31,実績!$AJ$6:$AJ$505,"&gt;"&amp;$A31,実績!$AK$6:$AK$505,"○")&gt;0,1,0))</f>
        <v>0</v>
      </c>
      <c r="AH31" s="39" t="n">
        <f aca="false">IF(AH$4=0,0,IF(COUNTIFS(実績!$W$6:$W$505,AH$3,実績!$AI$6:$AI$505,"&lt;="&amp;$A31,実績!$AJ$6:$AJ$505,"&gt;"&amp;$A31,実績!$AK$6:$AK$505,"○")&gt;0,1,0))</f>
        <v>0</v>
      </c>
      <c r="AI31" s="39" t="n">
        <f aca="false">IF(AI$4=0,0,IF(COUNTIFS(実績!$W$6:$W$505,AI$3,実績!$AI$6:$AI$505,"&lt;="&amp;$A31,実績!$AJ$6:$AJ$505,"&gt;"&amp;$A31,実績!$AK$6:$AK$505,"○")&gt;0,1,0))</f>
        <v>0</v>
      </c>
      <c r="AJ31" s="39" t="n">
        <f aca="false">IF(AJ$4=0,0,IF(COUNTIFS(実績!$W$6:$W$505,AJ$3,実績!$AI$6:$AI$505,"&lt;="&amp;$A31,実績!$AJ$6:$AJ$505,"&gt;"&amp;$A31,実績!$AK$6:$AK$505,"○")&gt;0,1,0))</f>
        <v>0</v>
      </c>
      <c r="AK31" s="39" t="n">
        <f aca="false">IF(AK$4=0,0,IF(COUNTIFS(実績!$W$6:$W$505,AK$3,実績!$AI$6:$AI$505,"&lt;="&amp;$A31,実績!$AJ$6:$AJ$505,"&gt;"&amp;$A31,実績!$AK$6:$AK$505,"○")&gt;0,1,0))</f>
        <v>0</v>
      </c>
      <c r="AL31" s="39" t="n">
        <f aca="false">IF(AL$4=0,0,IF(COUNTIFS(実績!$W$6:$W$505,AL$3,実績!$AI$6:$AI$505,"&lt;="&amp;$A31,実績!$AJ$6:$AJ$505,"&gt;"&amp;$A31,実績!$AK$6:$AK$505,"○")&gt;0,1,0))</f>
        <v>0</v>
      </c>
      <c r="AM31" s="39" t="n">
        <f aca="false">IF(AM$4=0,0,IF(COUNTIFS(実績!$W$6:$W$505,AM$3,実績!$AI$6:$AI$505,"&lt;="&amp;$A31,実績!$AJ$6:$AJ$505,"&gt;"&amp;$A31,実績!$AK$6:$AK$505,"○")&gt;0,1,0))</f>
        <v>0</v>
      </c>
      <c r="AN31" s="39" t="n">
        <f aca="false">IF(AN$4=0,0,IF(COUNTIFS(実績!$W$6:$W$505,AN$3,実績!$AI$6:$AI$505,"&lt;="&amp;$A31,実績!$AJ$6:$AJ$505,"&gt;"&amp;$A31,実績!$AK$6:$AK$505,"○")&gt;0,1,0))</f>
        <v>0</v>
      </c>
      <c r="AO31" s="39" t="n">
        <f aca="false">IF(AO$4=0,0,IF(COUNTIFS(実績!$W$6:$W$505,AO$3,実績!$AI$6:$AI$505,"&lt;="&amp;$A31,実績!$AJ$6:$AJ$505,"&gt;"&amp;$A31,実績!$AK$6:$AK$505,"○")&gt;0,1,0))</f>
        <v>0</v>
      </c>
      <c r="AP31" s="39" t="n">
        <f aca="false">IF(AP$4=0,0,IF(COUNTIFS(実績!$W$6:$W$505,AP$3,実績!$AI$6:$AI$505,"&lt;="&amp;$A31,実績!$AJ$6:$AJ$505,"&gt;"&amp;$A31,実績!$AK$6:$AK$505,"○")&gt;0,1,0))</f>
        <v>0</v>
      </c>
      <c r="AQ31" s="39" t="n">
        <f aca="false">IF(AQ$4=0,0,IF(COUNTIFS(実績!$W$6:$W$505,AQ$3,実績!$AI$6:$AI$505,"&lt;="&amp;$A31,実績!$AJ$6:$AJ$505,"&gt;"&amp;$A31,実績!$AK$6:$AK$505,"○")&gt;0,1,0))</f>
        <v>0</v>
      </c>
      <c r="AR31" s="39" t="n">
        <f aca="false">IF(AR$4=0,0,IF(COUNTIFS(実績!$W$6:$W$505,AR$3,実績!$AI$6:$AI$505,"&lt;="&amp;$A31,実績!$AJ$6:$AJ$505,"&gt;"&amp;$A31,実績!$AK$6:$AK$505,"○")&gt;0,1,0))</f>
        <v>0</v>
      </c>
      <c r="AS31" s="39" t="n">
        <f aca="false">IF(AS$4=0,0,IF(COUNTIFS(実績!$W$6:$W$505,AS$3,実績!$AI$6:$AI$505,"&lt;="&amp;$A31,実績!$AJ$6:$AJ$505,"&gt;"&amp;$A31,実績!$AK$6:$AK$505,"○")&gt;0,1,0))</f>
        <v>0</v>
      </c>
      <c r="AT31" s="39" t="n">
        <f aca="false">IF(AT$4=0,0,IF(COUNTIFS(実績!$W$6:$W$505,AT$3,実績!$AI$6:$AI$505,"&lt;="&amp;$A31,実績!$AJ$6:$AJ$505,"&gt;"&amp;$A31,実績!$AK$6:$AK$505,"○")&gt;0,1,0))</f>
        <v>0</v>
      </c>
      <c r="AU31" s="39" t="n">
        <f aca="false">IF(AU$4=0,0,IF(COUNTIFS(実績!$W$6:$W$505,AU$3,実績!$AI$6:$AI$505,"&lt;="&amp;$A31,実績!$AJ$6:$AJ$505,"&gt;"&amp;$A31,実績!$AK$6:$AK$505,"○")&gt;0,1,0))</f>
        <v>0</v>
      </c>
      <c r="AV31" s="39" t="n">
        <f aca="false">IF(AV$4=0,0,IF(COUNTIFS(実績!$W$6:$W$505,AV$3,実績!$AI$6:$AI$505,"&lt;="&amp;$A31,実績!$AJ$6:$AJ$505,"&gt;"&amp;$A31,実績!$AK$6:$AK$505,"○")&gt;0,1,0))</f>
        <v>0</v>
      </c>
      <c r="AW31" s="39" t="n">
        <f aca="false">IF(AW$4=0,0,IF(COUNTIFS(実績!$W$6:$W$505,AW$3,実績!$AI$6:$AI$505,"&lt;="&amp;$A31,実績!$AJ$6:$AJ$505,"&gt;"&amp;$A31,実績!$AK$6:$AK$505,"○")&gt;0,1,0))</f>
        <v>0</v>
      </c>
      <c r="AX31" s="39" t="n">
        <f aca="false">IF(AX$4=0,0,IF(COUNTIFS(実績!$W$6:$W$505,AX$3,実績!$AI$6:$AI$505,"&lt;="&amp;$A31,実績!$AJ$6:$AJ$505,"&gt;"&amp;$A31,実績!$AK$6:$AK$505,"○")&gt;0,1,0))</f>
        <v>0</v>
      </c>
      <c r="AY31" s="39" t="n">
        <f aca="false">IF(AY$4=0,0,IF(COUNTIFS(実績!$W$6:$W$505,AY$3,実績!$AI$6:$AI$505,"&lt;="&amp;$A31,実績!$AJ$6:$AJ$505,"&gt;"&amp;$A31,実績!$AK$6:$AK$505,"○")&gt;0,1,0))</f>
        <v>0</v>
      </c>
      <c r="AZ31" s="39" t="n">
        <f aca="false">IF(AZ$4=0,0,IF(COUNTIFS(実績!$W$6:$W$505,AZ$3,実績!$AI$6:$AI$505,"&lt;="&amp;$A31,実績!$AJ$6:$AJ$505,"&gt;"&amp;$A31,実績!$AK$6:$AK$505,"○")&gt;0,1,0))</f>
        <v>0</v>
      </c>
      <c r="BA31" s="39" t="n">
        <f aca="false">IF(BA$4=0,0,IF(COUNTIFS(実績!$W$6:$W$505,BA$3,実績!$AI$6:$AI$505,"&lt;="&amp;$A31,実績!$AJ$6:$AJ$505,"&gt;"&amp;$A31,実績!$AK$6:$AK$505,"○")&gt;0,1,0))</f>
        <v>0</v>
      </c>
      <c r="BB31" s="39" t="n">
        <f aca="false">IF(BB$4=0,0,IF(COUNTIFS(実績!$W$6:$W$505,BB$3,実績!$AI$6:$AI$505,"&lt;="&amp;$A31,実績!$AJ$6:$AJ$505,"&gt;"&amp;$A31,実績!$AK$6:$AK$505,"○")&gt;0,1,0))</f>
        <v>0</v>
      </c>
      <c r="BC31" s="39" t="n">
        <f aca="false">IF(BC$4=0,0,IF(COUNTIFS(実績!$W$6:$W$505,BC$3,実績!$AI$6:$AI$505,"&lt;="&amp;$A31,実績!$AJ$6:$AJ$505,"&gt;"&amp;$A31,実績!$AK$6:$AK$505,"○")&gt;0,1,0))</f>
        <v>0</v>
      </c>
      <c r="BD31" s="39" t="n">
        <f aca="false">IF(BD$4=0,0,IF(COUNTIFS(実績!$W$6:$W$505,BD$3,実績!$AI$6:$AI$505,"&lt;="&amp;$A31,実績!$AJ$6:$AJ$505,"&gt;"&amp;$A31,実績!$AK$6:$AK$505,"○")&gt;0,1,0))</f>
        <v>0</v>
      </c>
      <c r="BE31" s="39" t="n">
        <f aca="false">IF(BE$4=0,0,IF(COUNTIFS(実績!$W$6:$W$505,BE$3,実績!$AI$6:$AI$505,"&lt;="&amp;$A31,実績!$AJ$6:$AJ$505,"&gt;"&amp;$A31,実績!$AK$6:$AK$505,"○")&gt;0,1,0))</f>
        <v>0</v>
      </c>
      <c r="BF31" s="39" t="n">
        <f aca="false">IF(BF$4=0,0,IF(COUNTIFS(実績!$W$6:$W$505,BF$3,実績!$AI$6:$AI$505,"&lt;="&amp;$A31,実績!$AJ$6:$AJ$505,"&gt;"&amp;$A31,実績!$AK$6:$AK$505,"○")&gt;0,1,0))</f>
        <v>0</v>
      </c>
      <c r="BG31" s="39" t="n">
        <f aca="false">IF(BG$4=0,0,IF(COUNTIFS(実績!$W$6:$W$505,BG$3,実績!$AI$6:$AI$505,"&lt;="&amp;$A31,実績!$AJ$6:$AJ$505,"&gt;"&amp;$A31,実績!$AK$6:$AK$505,"○")&gt;0,1,0))</f>
        <v>0</v>
      </c>
      <c r="BH31" s="39" t="n">
        <f aca="false">IF(BH$4=0,0,IF(COUNTIFS(実績!$W$6:$W$505,BH$3,実績!$AI$6:$AI$505,"&lt;="&amp;$A31,実績!$AJ$6:$AJ$505,"&gt;"&amp;$A31,実績!$AK$6:$AK$505,"○")&gt;0,1,0))</f>
        <v>0</v>
      </c>
      <c r="BI31" s="39" t="n">
        <f aca="false">IF(BI$4=0,0,IF(COUNTIFS(実績!$W$6:$W$505,BI$3,実績!$AI$6:$AI$505,"&lt;="&amp;$A31,実績!$AJ$6:$AJ$505,"&gt;"&amp;$A31,実績!$AK$6:$AK$505,"○")&gt;0,1,0))</f>
        <v>0</v>
      </c>
      <c r="BJ31" s="39" t="n">
        <f aca="false">IF(BJ$4=0,0,IF(COUNTIFS(実績!$W$6:$W$505,BJ$3,実績!$AI$6:$AI$505,"&lt;="&amp;$A31,実績!$AJ$6:$AJ$505,"&gt;"&amp;$A31,実績!$AK$6:$AK$505,"○")&gt;0,1,0))</f>
        <v>0</v>
      </c>
      <c r="BK31" s="39" t="n">
        <f aca="false">IF(BK$4=0,0,IF(COUNTIFS(実績!$W$6:$W$505,BK$3,実績!$AI$6:$AI$505,"&lt;="&amp;$A31,実績!$AJ$6:$AJ$505,"&gt;"&amp;$A31,実績!$AK$6:$AK$505,"○")&gt;0,1,0))</f>
        <v>0</v>
      </c>
      <c r="BL31" s="39" t="n">
        <f aca="false">IF(BL$4=0,0,IF(COUNTIFS(実績!$W$6:$W$505,BL$3,実績!$AI$6:$AI$505,"&lt;="&amp;$A31,実績!$AJ$6:$AJ$505,"&gt;"&amp;$A31,実績!$AK$6:$AK$505,"○")&gt;0,1,0))</f>
        <v>0</v>
      </c>
      <c r="BM31" s="39" t="n">
        <f aca="false">IF(BM$4=0,0,IF(COUNTIFS(実績!$W$6:$W$505,BM$3,実績!$AI$6:$AI$505,"&lt;="&amp;$A31,実績!$AJ$6:$AJ$505,"&gt;"&amp;$A31,実績!$AK$6:$AK$505,"○")&gt;0,1,0))</f>
        <v>0</v>
      </c>
      <c r="BN31" s="39" t="n">
        <f aca="false">IF(BN$4=0,0,IF(COUNTIFS(実績!$W$6:$W$505,BN$3,実績!$AI$6:$AI$505,"&lt;="&amp;$A31,実績!$AJ$6:$AJ$505,"&gt;"&amp;$A31,実績!$AK$6:$AK$505,"○")&gt;0,1,0))</f>
        <v>0</v>
      </c>
      <c r="BO31" s="39" t="n">
        <f aca="false">IF(BO$4=0,0,IF(COUNTIFS(実績!$W$6:$W$505,BO$3,実績!$AI$6:$AI$505,"&lt;="&amp;$A31,実績!$AJ$6:$AJ$505,"&gt;"&amp;$A31,実績!$AK$6:$AK$505,"○")&gt;0,1,0))</f>
        <v>0</v>
      </c>
      <c r="BP31" s="39" t="n">
        <f aca="false">IF(BP$4=0,0,IF(COUNTIFS(実績!$W$6:$W$505,BP$3,実績!$AI$6:$AI$505,"&lt;="&amp;$A31,実績!$AJ$6:$AJ$505,"&gt;"&amp;$A31,実績!$AK$6:$AK$505,"○")&gt;0,1,0))</f>
        <v>0</v>
      </c>
      <c r="BQ31" s="39" t="n">
        <f aca="false">IF(BQ$4=0,0,IF(COUNTIFS(実績!$W$6:$W$505,BQ$3,実績!$AI$6:$AI$505,"&lt;="&amp;$A31,実績!$AJ$6:$AJ$505,"&gt;"&amp;$A31,実績!$AK$6:$AK$505,"○")&gt;0,1,0))</f>
        <v>0</v>
      </c>
      <c r="BR31" s="39" t="n">
        <f aca="false">IF(BR$4=0,0,IF(COUNTIFS(実績!$W$6:$W$505,BR$3,実績!$AI$6:$AI$505,"&lt;="&amp;$A31,実績!$AJ$6:$AJ$505,"&gt;"&amp;$A31,実績!$AK$6:$AK$505,"○")&gt;0,1,0))</f>
        <v>0</v>
      </c>
      <c r="BS31" s="39" t="n">
        <f aca="false">IF(BS$4=0,0,IF(COUNTIFS(実績!$W$6:$W$505,BS$3,実績!$AI$6:$AI$505,"&lt;="&amp;$A31,実績!$AJ$6:$AJ$505,"&gt;"&amp;$A31,実績!$AK$6:$AK$505,"○")&gt;0,1,0))</f>
        <v>0</v>
      </c>
      <c r="BT31" s="39" t="n">
        <f aca="false">IF(BT$4=0,0,IF(COUNTIFS(実績!$W$6:$W$505,BT$3,実績!$AI$6:$AI$505,"&lt;="&amp;$A31,実績!$AJ$6:$AJ$505,"&gt;"&amp;$A31,実績!$AK$6:$AK$505,"○")&gt;0,1,0))</f>
        <v>0</v>
      </c>
      <c r="BU31" s="39" t="n">
        <f aca="false">IF(BU$4=0,0,IF(COUNTIFS(実績!$W$6:$W$505,BU$3,実績!$AI$6:$AI$505,"&lt;="&amp;$A31,実績!$AJ$6:$AJ$505,"&gt;"&amp;$A31,実績!$AK$6:$AK$505,"○")&gt;0,1,0))</f>
        <v>0</v>
      </c>
      <c r="BV31" s="39" t="n">
        <f aca="false">IF(BV$4=0,0,IF(COUNTIFS(実績!$W$6:$W$505,BV$3,実績!$AI$6:$AI$505,"&lt;="&amp;$A31,実績!$AJ$6:$AJ$505,"&gt;"&amp;$A31,実績!$AK$6:$AK$505,"○")&gt;0,1,0))</f>
        <v>0</v>
      </c>
      <c r="BW31" s="39" t="n">
        <f aca="false">IF(BW$4=0,0,IF(COUNTIFS(実績!$W$6:$W$505,BW$3,実績!$AI$6:$AI$505,"&lt;="&amp;$A31,実績!$AJ$6:$AJ$505,"&gt;"&amp;$A31,実績!$AK$6:$AK$505,"○")&gt;0,1,0))</f>
        <v>0</v>
      </c>
      <c r="BX31" s="39" t="n">
        <f aca="false">IF(BX$4=0,0,IF(COUNTIFS(実績!$W$6:$W$505,BX$3,実績!$AI$6:$AI$505,"&lt;="&amp;$A31,実績!$AJ$6:$AJ$505,"&gt;"&amp;$A31,実績!$AK$6:$AK$505,"○")&gt;0,1,0))</f>
        <v>0</v>
      </c>
      <c r="BY31" s="39" t="n">
        <f aca="false">IF(BY$4=0,0,IF(COUNTIFS(実績!$W$6:$W$505,BY$3,実績!$AI$6:$AI$505,"&lt;="&amp;$A31,実績!$AJ$6:$AJ$505,"&gt;"&amp;$A31,実績!$AK$6:$AK$505,"○")&gt;0,1,0))</f>
        <v>0</v>
      </c>
      <c r="BZ31" s="39" t="n">
        <f aca="false">IF(BZ$4=0,0,IF(COUNTIFS(実績!$W$6:$W$505,BZ$3,実績!$AI$6:$AI$505,"&lt;="&amp;$A31,実績!$AJ$6:$AJ$505,"&gt;"&amp;$A31,実績!$AK$6:$AK$505,"○")&gt;0,1,0))</f>
        <v>0</v>
      </c>
      <c r="CA31" s="39" t="n">
        <f aca="false">IF(CA$4=0,0,IF(COUNTIFS(実績!$W$6:$W$505,CA$3,実績!$AI$6:$AI$505,"&lt;="&amp;$A31,実績!$AJ$6:$AJ$505,"&gt;"&amp;$A31,実績!$AK$6:$AK$505,"○")&gt;0,1,0))</f>
        <v>0</v>
      </c>
      <c r="CB31" s="39" t="n">
        <f aca="false">IF(CB$4=0,0,IF(COUNTIFS(実績!$W$6:$W$505,CB$3,実績!$AI$6:$AI$505,"&lt;="&amp;$A31,実績!$AJ$6:$AJ$505,"&gt;"&amp;$A31,実績!$AK$6:$AK$505,"○")&gt;0,1,0))</f>
        <v>0</v>
      </c>
      <c r="CC31" s="39" t="n">
        <f aca="false">IF(CC$4=0,0,IF(COUNTIFS(実績!$W$6:$W$505,CC$3,実績!$AI$6:$AI$505,"&lt;="&amp;$A31,実績!$AJ$6:$AJ$505,"&gt;"&amp;$A31,実績!$AK$6:$AK$505,"○")&gt;0,1,0))</f>
        <v>0</v>
      </c>
      <c r="CD31" s="39" t="n">
        <f aca="false">IF(CD$4=0,0,IF(COUNTIFS(実績!$W$6:$W$505,CD$3,実績!$AI$6:$AI$505,"&lt;="&amp;$A31,実績!$AJ$6:$AJ$505,"&gt;"&amp;$A31,実績!$AK$6:$AK$505,"○")&gt;0,1,0))</f>
        <v>0</v>
      </c>
      <c r="CE31" s="39" t="n">
        <f aca="false">IF(CE$4=0,0,IF(COUNTIFS(実績!$W$6:$W$505,CE$3,実績!$AI$6:$AI$505,"&lt;="&amp;$A31,実績!$AJ$6:$AJ$505,"&gt;"&amp;$A31,実績!$AK$6:$AK$505,"○")&gt;0,1,0))</f>
        <v>0</v>
      </c>
      <c r="CF31" s="39" t="n">
        <f aca="false">IF(CF$4=0,0,IF(COUNTIFS(実績!$W$6:$W$505,CF$3,実績!$AI$6:$AI$505,"&lt;="&amp;$A31,実績!$AJ$6:$AJ$505,"&gt;"&amp;$A31,実績!$AK$6:$AK$505,"○")&gt;0,1,0))</f>
        <v>0</v>
      </c>
      <c r="CG31" s="39" t="n">
        <f aca="false">IF(CG$4=0,0,IF(COUNTIFS(実績!$W$6:$W$505,CG$3,実績!$AI$6:$AI$505,"&lt;="&amp;$A31,実績!$AJ$6:$AJ$505,"&gt;"&amp;$A31,実績!$AK$6:$AK$505,"○")&gt;0,1,0))</f>
        <v>0</v>
      </c>
      <c r="CH31" s="39" t="n">
        <f aca="false">IF(CH$4=0,0,IF(COUNTIFS(実績!$W$6:$W$505,CH$3,実績!$AI$6:$AI$505,"&lt;="&amp;$A31,実績!$AJ$6:$AJ$505,"&gt;"&amp;$A31,実績!$AK$6:$AK$505,"○")&gt;0,1,0))</f>
        <v>0</v>
      </c>
      <c r="CI31" s="39" t="n">
        <f aca="false">IF(CI$4=0,0,IF(COUNTIFS(実績!$W$6:$W$505,CI$3,実績!$AI$6:$AI$505,"&lt;="&amp;$A31,実績!$AJ$6:$AJ$505,"&gt;"&amp;$A31,実績!$AK$6:$AK$505,"○")&gt;0,1,0))</f>
        <v>0</v>
      </c>
      <c r="CJ31" s="39" t="n">
        <f aca="false">IF(CJ$4=0,0,IF(COUNTIFS(実績!$W$6:$W$505,CJ$3,実績!$AI$6:$AI$505,"&lt;="&amp;$A31,実績!$AJ$6:$AJ$505,"&gt;"&amp;$A31,実績!$AK$6:$AK$505,"○")&gt;0,1,0))</f>
        <v>0</v>
      </c>
      <c r="CK31" s="39" t="n">
        <f aca="false">IF(CK$4=0,0,IF(COUNTIFS(実績!$W$6:$W$505,CK$3,実績!$AI$6:$AI$505,"&lt;="&amp;$A31,実績!$AJ$6:$AJ$505,"&gt;"&amp;$A31,実績!$AK$6:$AK$505,"○")&gt;0,1,0))</f>
        <v>0</v>
      </c>
      <c r="CL31" s="39" t="n">
        <f aca="false">IF(CL$4=0,0,IF(COUNTIFS(実績!$W$6:$W$505,CL$3,実績!$AI$6:$AI$505,"&lt;="&amp;$A31,実績!$AJ$6:$AJ$505,"&gt;"&amp;$A31,実績!$AK$6:$AK$505,"○")&gt;0,1,0))</f>
        <v>0</v>
      </c>
      <c r="CM31" s="39" t="n">
        <f aca="false">IF(CM$4=0,0,IF(COUNTIFS(実績!$W$6:$W$505,CM$3,実績!$AI$6:$AI$505,"&lt;="&amp;$A31,実績!$AJ$6:$AJ$505,"&gt;"&amp;$A31,実績!$AK$6:$AK$505,"○")&gt;0,1,0))</f>
        <v>0</v>
      </c>
      <c r="CN31" s="39" t="n">
        <f aca="false">IF(CN$4=0,0,IF(COUNTIFS(実績!$W$6:$W$505,CN$3,実績!$AI$6:$AI$505,"&lt;="&amp;$A31,実績!$AJ$6:$AJ$505,"&gt;"&amp;$A31,実績!$AK$6:$AK$505,"○")&gt;0,1,0))</f>
        <v>0</v>
      </c>
      <c r="CO31" s="39" t="n">
        <f aca="false">IF(CO$4=0,0,IF(COUNTIFS(実績!$W$6:$W$505,CO$3,実績!$AI$6:$AI$505,"&lt;="&amp;$A31,実績!$AJ$6:$AJ$505,"&gt;"&amp;$A31,実績!$AK$6:$AK$505,"○")&gt;0,1,0))</f>
        <v>0</v>
      </c>
      <c r="CP31" s="39" t="n">
        <f aca="false">IF(CP$4=0,0,IF(COUNTIFS(実績!$W$6:$W$505,CP$3,実績!$AI$6:$AI$505,"&lt;="&amp;$A31,実績!$AJ$6:$AJ$505,"&gt;"&amp;$A31,実績!$AK$6:$AK$505,"○")&gt;0,1,0))</f>
        <v>0</v>
      </c>
      <c r="CQ31" s="39" t="n">
        <f aca="false">IF(CQ$4=0,0,IF(COUNTIFS(実績!$W$6:$W$505,CQ$3,実績!$AI$6:$AI$505,"&lt;="&amp;$A31,実績!$AJ$6:$AJ$505,"&gt;"&amp;$A31,実績!$AK$6:$AK$505,"○")&gt;0,1,0))</f>
        <v>0</v>
      </c>
      <c r="CR31" s="39" t="n">
        <f aca="false">IF(CR$4=0,0,IF(COUNTIFS(実績!$W$6:$W$505,CR$3,実績!$AI$6:$AI$505,"&lt;="&amp;$A31,実績!$AJ$6:$AJ$505,"&gt;"&amp;$A31,実績!$AK$6:$AK$505,"○")&gt;0,1,0))</f>
        <v>0</v>
      </c>
      <c r="CS31" s="39" t="n">
        <f aca="false">IF(CS$4=0,0,IF(COUNTIFS(実績!$W$6:$W$505,CS$3,実績!$AI$6:$AI$505,"&lt;="&amp;$A31,実績!$AJ$6:$AJ$505,"&gt;"&amp;$A31,実績!$AK$6:$AK$505,"○")&gt;0,1,0))</f>
        <v>0</v>
      </c>
      <c r="CT31" s="39" t="n">
        <f aca="false">IF(CT$4=0,0,IF(COUNTIFS(実績!$W$6:$W$505,CT$3,実績!$AI$6:$AI$505,"&lt;="&amp;$A31,実績!$AJ$6:$AJ$505,"&gt;"&amp;$A31,実績!$AK$6:$AK$505,"○")&gt;0,1,0))</f>
        <v>0</v>
      </c>
      <c r="CU31" s="39" t="n">
        <f aca="false">IF(CU$4=0,0,IF(COUNTIFS(実績!$W$6:$W$505,CU$3,実績!$AI$6:$AI$505,"&lt;="&amp;$A31,実績!$AJ$6:$AJ$505,"&gt;"&amp;$A31,実績!$AK$6:$AK$505,"○")&gt;0,1,0))</f>
        <v>0</v>
      </c>
      <c r="CV31" s="39" t="n">
        <f aca="false">IF(CV$4=0,0,IF(COUNTIFS(実績!$W$6:$W$505,CV$3,実績!$AI$6:$AI$505,"&lt;="&amp;$A31,実績!$AJ$6:$AJ$505,"&gt;"&amp;$A31,実績!$AK$6:$AK$505,"○")&gt;0,1,0))</f>
        <v>0</v>
      </c>
      <c r="CW31" s="39" t="n">
        <f aca="false">IF(CW$4=0,0,IF(COUNTIFS(実績!$W$6:$W$505,CW$3,実績!$AI$6:$AI$505,"&lt;="&amp;$A31,実績!$AJ$6:$AJ$505,"&gt;"&amp;$A31,実績!$AK$6:$AK$505,"○")&gt;0,1,0))</f>
        <v>0</v>
      </c>
      <c r="CX31" s="39" t="n">
        <f aca="false">IF(CX$4=0,0,IF(COUNTIFS(実績!$W$6:$W$505,CX$3,実績!$AI$6:$AI$505,"&lt;="&amp;$A31,実績!$AJ$6:$AJ$505,"&gt;"&amp;$A31,実績!$AK$6:$AK$505,"○")&gt;0,1,0))</f>
        <v>0</v>
      </c>
      <c r="CY31" s="39" t="n">
        <f aca="false">IF(CY$4=0,0,IF(COUNTIFS(実績!$W$6:$W$505,CY$3,実績!$AI$6:$AI$505,"&lt;="&amp;$A31,実績!$AJ$6:$AJ$505,"&gt;"&amp;$A31,実績!$AK$6:$AK$505,"○")&gt;0,1,0))</f>
        <v>0</v>
      </c>
      <c r="CZ31" s="39" t="n">
        <f aca="false">IF(CZ$4=0,0,IF(COUNTIFS(実績!$W$6:$W$505,CZ$3,実績!$AI$6:$AI$505,"&lt;="&amp;$A31,実績!$AJ$6:$AJ$505,"&gt;"&amp;$A31,実績!$AK$6:$AK$505,"○")&gt;0,1,0))</f>
        <v>0</v>
      </c>
      <c r="DA31" s="39" t="n">
        <f aca="false">IF(DA$4=0,0,IF(COUNTIFS(実績!$W$6:$W$505,DA$3,実績!$AI$6:$AI$505,"&lt;="&amp;$A31,実績!$AJ$6:$AJ$505,"&gt;"&amp;$A31,実績!$AK$6:$AK$505,"○")&gt;0,1,0))</f>
        <v>0</v>
      </c>
      <c r="DB31" s="39" t="n">
        <f aca="false">IF(DB$4=0,0,IF(COUNTIFS(実績!$W$6:$W$505,DB$3,実績!$AI$6:$AI$505,"&lt;="&amp;$A31,実績!$AJ$6:$AJ$505,"&gt;"&amp;$A31,実績!$AK$6:$AK$505,"○")&gt;0,1,0))</f>
        <v>0</v>
      </c>
      <c r="DC31" s="39" t="n">
        <f aca="false">IF(DC$4=0,0,IF(COUNTIFS(実績!$W$6:$W$505,DC$3,実績!$AI$6:$AI$505,"&lt;="&amp;$A31,実績!$AJ$6:$AJ$505,"&gt;"&amp;$A31,実績!$AK$6:$AK$505,"○")&gt;0,1,0))</f>
        <v>0</v>
      </c>
      <c r="DD31" s="39" t="n">
        <f aca="false">IF(DD$4=0,0,IF(COUNTIFS(実績!$W$6:$W$505,DD$3,実績!$AI$6:$AI$505,"&lt;="&amp;$A31,実績!$AJ$6:$AJ$505,"&gt;"&amp;$A31,実績!$AK$6:$AK$505,"○")&gt;0,1,0))</f>
        <v>0</v>
      </c>
      <c r="DE31" s="39" t="n">
        <f aca="false">IF(DE$4=0,0,IF(COUNTIFS(実績!$W$6:$W$505,DE$3,実績!$AI$6:$AI$505,"&lt;="&amp;$A31,実績!$AJ$6:$AJ$505,"&gt;"&amp;$A31,実績!$AK$6:$AK$505,"○")&gt;0,1,0))</f>
        <v>0</v>
      </c>
      <c r="DF31" s="39" t="n">
        <f aca="false">IF(DF$4=0,0,IF(COUNTIFS(実績!$W$6:$W$505,DF$3,実績!$AI$6:$AI$505,"&lt;="&amp;$A31,実績!$AJ$6:$AJ$505,"&gt;"&amp;$A31,実績!$AK$6:$AK$505,"○")&gt;0,1,0))</f>
        <v>0</v>
      </c>
      <c r="DG31" s="39" t="n">
        <f aca="false">IF(DG$4=0,0,IF(COUNTIFS(実績!$W$6:$W$505,DG$3,実績!$AI$6:$AI$505,"&lt;="&amp;$A31,実績!$AJ$6:$AJ$505,"&gt;"&amp;$A31,実績!$AK$6:$AK$505,"○")&gt;0,1,0))</f>
        <v>0</v>
      </c>
      <c r="DH31" s="39" t="n">
        <f aca="false">IF(DH$4=0,0,IF(COUNTIFS(実績!$W$6:$W$505,DH$3,実績!$AI$6:$AI$505,"&lt;="&amp;$A31,実績!$AJ$6:$AJ$505,"&gt;"&amp;$A31,実績!$AK$6:$AK$505,"○")&gt;0,1,0))</f>
        <v>0</v>
      </c>
      <c r="DI31" s="39" t="n">
        <f aca="false">IF(DI$4=0,0,IF(COUNTIFS(実績!$W$6:$W$505,DI$3,実績!$AI$6:$AI$505,"&lt;="&amp;$A31,実績!$AJ$6:$AJ$505,"&gt;"&amp;$A31,実績!$AK$6:$AK$505,"○")&gt;0,1,0))</f>
        <v>0</v>
      </c>
      <c r="DJ31" s="39" t="n">
        <f aca="false">IF(DJ$4=0,0,IF(COUNTIFS(実績!$W$6:$W$505,DJ$3,実績!$AI$6:$AI$505,"&lt;="&amp;$A31,実績!$AJ$6:$AJ$505,"&gt;"&amp;$A31,実績!$AK$6:$AK$505,"○")&gt;0,1,0))</f>
        <v>0</v>
      </c>
      <c r="DK31" s="39" t="n">
        <f aca="false">IF(DK$4=0,0,IF(COUNTIFS(実績!$W$6:$W$505,DK$3,実績!$AI$6:$AI$505,"&lt;="&amp;$A31,実績!$AJ$6:$AJ$505,"&gt;"&amp;$A31,実績!$AK$6:$AK$505,"○")&gt;0,1,0))</f>
        <v>0</v>
      </c>
      <c r="DL31" s="39" t="n">
        <f aca="false">IF(DL$4=0,0,IF(COUNTIFS(実績!$W$6:$W$505,DL$3,実績!$AI$6:$AI$505,"&lt;="&amp;$A31,実績!$AJ$6:$AJ$505,"&gt;"&amp;$A31,実績!$AK$6:$AK$505,"○")&gt;0,1,0))</f>
        <v>0</v>
      </c>
      <c r="DM31" s="39" t="n">
        <f aca="false">IF(DM$4=0,0,IF(COUNTIFS(実績!$W$6:$W$505,DM$3,実績!$AI$6:$AI$505,"&lt;="&amp;$A31,実績!$AJ$6:$AJ$505,"&gt;"&amp;$A31,実績!$AK$6:$AK$505,"○")&gt;0,1,0))</f>
        <v>0</v>
      </c>
      <c r="DN31" s="39" t="n">
        <f aca="false">IF(DN$4=0,0,IF(COUNTIFS(実績!$W$6:$W$505,DN$3,実績!$AI$6:$AI$505,"&lt;="&amp;$A31,実績!$AJ$6:$AJ$505,"&gt;"&amp;$A31,実績!$AK$6:$AK$505,"○")&gt;0,1,0))</f>
        <v>0</v>
      </c>
      <c r="DO31" s="39" t="n">
        <f aca="false">IF(DO$4=0,0,IF(COUNTIFS(実績!$W$6:$W$505,DO$3,実績!$AI$6:$AI$505,"&lt;="&amp;$A31,実績!$AJ$6:$AJ$505,"&gt;"&amp;$A31,実績!$AK$6:$AK$505,"○")&gt;0,1,0))</f>
        <v>0</v>
      </c>
      <c r="DP31" s="39" t="n">
        <f aca="false">IF(DP$4=0,0,IF(COUNTIFS(実績!$W$6:$W$505,DP$3,実績!$AI$6:$AI$505,"&lt;="&amp;$A31,実績!$AJ$6:$AJ$505,"&gt;"&amp;$A31,実績!$AK$6:$AK$505,"○")&gt;0,1,0))</f>
        <v>0</v>
      </c>
      <c r="DQ31" s="39" t="n">
        <f aca="false">IF(DQ$4=0,0,IF(COUNTIFS(実績!$W$6:$W$505,DQ$3,実績!$AI$6:$AI$505,"&lt;="&amp;$A31,実績!$AJ$6:$AJ$505,"&gt;"&amp;$A31,実績!$AK$6:$AK$505,"○")&gt;0,1,0))</f>
        <v>0</v>
      </c>
      <c r="DR31" s="39" t="n">
        <f aca="false">IF(DR$4=0,0,IF(COUNTIFS(実績!$W$6:$W$505,DR$3,実績!$AI$6:$AI$505,"&lt;="&amp;$A31,実績!$AJ$6:$AJ$505,"&gt;"&amp;$A31,実績!$AK$6:$AK$505,"○")&gt;0,1,0))</f>
        <v>0</v>
      </c>
      <c r="DS31" s="39" t="n">
        <f aca="false">SUM(C31:DR31)</f>
        <v>0</v>
      </c>
      <c r="DT31" s="39" t="n">
        <f aca="false">SUMPRODUCT((実績!$C$6:$C$505="○")*ISNUMBER(実績!$AM$6:$AM$505)*(実績!$AM$6:$AM$505&lt;=$A31)*(実績!$AN$6:$AN$505&gt;$A31))</f>
        <v>0</v>
      </c>
      <c r="DU31" s="39" t="n">
        <f aca="false">SUMIF($C$2:$DR$2,"製鉄曳船",C31:DR31)</f>
        <v>0</v>
      </c>
      <c r="DV31" s="39" t="n">
        <f aca="false">SUMIF($C$2:$DR$2,"西日本海運",C31:DR31)</f>
        <v>0</v>
      </c>
    </row>
    <row r="32" customFormat="false" ht="15" hidden="false" customHeight="false" outlineLevel="0" collapsed="false">
      <c r="A32" s="0" t="n">
        <v>130</v>
      </c>
      <c r="B32" s="38" t="n">
        <f aca="false">A32/1440</f>
        <v>0.0902777777777778</v>
      </c>
      <c r="C32" s="39" t="n">
        <f aca="false">IF(C$4=0,0,IF(COUNTIFS(実績!$W$6:$W$505,C$3,実績!$AI$6:$AI$505,"&lt;="&amp;$A32,実績!$AJ$6:$AJ$505,"&gt;"&amp;$A32,実績!$AK$6:$AK$505,"○")&gt;0,1,0))</f>
        <v>0</v>
      </c>
      <c r="D32" s="39" t="n">
        <f aca="false">IF(D$4=0,0,IF(COUNTIFS(実績!$W$6:$W$505,D$3,実績!$AI$6:$AI$505,"&lt;="&amp;$A32,実績!$AJ$6:$AJ$505,"&gt;"&amp;$A32,実績!$AK$6:$AK$505,"○")&gt;0,1,0))</f>
        <v>0</v>
      </c>
      <c r="E32" s="39" t="n">
        <f aca="false">IF(E$4=0,0,IF(COUNTIFS(実績!$W$6:$W$505,E$3,実績!$AI$6:$AI$505,"&lt;="&amp;$A32,実績!$AJ$6:$AJ$505,"&gt;"&amp;$A32,実績!$AK$6:$AK$505,"○")&gt;0,1,0))</f>
        <v>0</v>
      </c>
      <c r="F32" s="39" t="n">
        <f aca="false">IF(F$4=0,0,IF(COUNTIFS(実績!$W$6:$W$505,F$3,実績!$AI$6:$AI$505,"&lt;="&amp;$A32,実績!$AJ$6:$AJ$505,"&gt;"&amp;$A32,実績!$AK$6:$AK$505,"○")&gt;0,1,0))</f>
        <v>0</v>
      </c>
      <c r="G32" s="39" t="n">
        <f aca="false">IF(G$4=0,0,IF(COUNTIFS(実績!$W$6:$W$505,G$3,実績!$AI$6:$AI$505,"&lt;="&amp;$A32,実績!$AJ$6:$AJ$505,"&gt;"&amp;$A32,実績!$AK$6:$AK$505,"○")&gt;0,1,0))</f>
        <v>0</v>
      </c>
      <c r="H32" s="39" t="n">
        <f aca="false">IF(H$4=0,0,IF(COUNTIFS(実績!$W$6:$W$505,H$3,実績!$AI$6:$AI$505,"&lt;="&amp;$A32,実績!$AJ$6:$AJ$505,"&gt;"&amp;$A32,実績!$AK$6:$AK$505,"○")&gt;0,1,0))</f>
        <v>0</v>
      </c>
      <c r="I32" s="39" t="n">
        <f aca="false">IF(I$4=0,0,IF(COUNTIFS(実績!$W$6:$W$505,I$3,実績!$AI$6:$AI$505,"&lt;="&amp;$A32,実績!$AJ$6:$AJ$505,"&gt;"&amp;$A32,実績!$AK$6:$AK$505,"○")&gt;0,1,0))</f>
        <v>0</v>
      </c>
      <c r="J32" s="39" t="n">
        <f aca="false">IF(J$4=0,0,IF(COUNTIFS(実績!$W$6:$W$505,J$3,実績!$AI$6:$AI$505,"&lt;="&amp;$A32,実績!$AJ$6:$AJ$505,"&gt;"&amp;$A32,実績!$AK$6:$AK$505,"○")&gt;0,1,0))</f>
        <v>0</v>
      </c>
      <c r="K32" s="39" t="n">
        <f aca="false">IF(K$4=0,0,IF(COUNTIFS(実績!$W$6:$W$505,K$3,実績!$AI$6:$AI$505,"&lt;="&amp;$A32,実績!$AJ$6:$AJ$505,"&gt;"&amp;$A32,実績!$AK$6:$AK$505,"○")&gt;0,1,0))</f>
        <v>0</v>
      </c>
      <c r="L32" s="39" t="n">
        <f aca="false">IF(L$4=0,0,IF(COUNTIFS(実績!$W$6:$W$505,L$3,実績!$AI$6:$AI$505,"&lt;="&amp;$A32,実績!$AJ$6:$AJ$505,"&gt;"&amp;$A32,実績!$AK$6:$AK$505,"○")&gt;0,1,0))</f>
        <v>0</v>
      </c>
      <c r="M32" s="39" t="n">
        <f aca="false">IF(M$4=0,0,IF(COUNTIFS(実績!$W$6:$W$505,M$3,実績!$AI$6:$AI$505,"&lt;="&amp;$A32,実績!$AJ$6:$AJ$505,"&gt;"&amp;$A32,実績!$AK$6:$AK$505,"○")&gt;0,1,0))</f>
        <v>0</v>
      </c>
      <c r="N32" s="39" t="n">
        <f aca="false">IF(N$4=0,0,IF(COUNTIFS(実績!$W$6:$W$505,N$3,実績!$AI$6:$AI$505,"&lt;="&amp;$A32,実績!$AJ$6:$AJ$505,"&gt;"&amp;$A32,実績!$AK$6:$AK$505,"○")&gt;0,1,0))</f>
        <v>0</v>
      </c>
      <c r="O32" s="39" t="n">
        <f aca="false">IF(O$4=0,0,IF(COUNTIFS(実績!$W$6:$W$505,O$3,実績!$AI$6:$AI$505,"&lt;="&amp;$A32,実績!$AJ$6:$AJ$505,"&gt;"&amp;$A32,実績!$AK$6:$AK$505,"○")&gt;0,1,0))</f>
        <v>0</v>
      </c>
      <c r="P32" s="39" t="n">
        <f aca="false">IF(P$4=0,0,IF(COUNTIFS(実績!$W$6:$W$505,P$3,実績!$AI$6:$AI$505,"&lt;="&amp;$A32,実績!$AJ$6:$AJ$505,"&gt;"&amp;$A32,実績!$AK$6:$AK$505,"○")&gt;0,1,0))</f>
        <v>0</v>
      </c>
      <c r="Q32" s="39" t="n">
        <f aca="false">IF(Q$4=0,0,IF(COUNTIFS(実績!$W$6:$W$505,Q$3,実績!$AI$6:$AI$505,"&lt;="&amp;$A32,実績!$AJ$6:$AJ$505,"&gt;"&amp;$A32,実績!$AK$6:$AK$505,"○")&gt;0,1,0))</f>
        <v>0</v>
      </c>
      <c r="R32" s="39" t="n">
        <f aca="false">IF(R$4=0,0,IF(COUNTIFS(実績!$W$6:$W$505,R$3,実績!$AI$6:$AI$505,"&lt;="&amp;$A32,実績!$AJ$6:$AJ$505,"&gt;"&amp;$A32,実績!$AK$6:$AK$505,"○")&gt;0,1,0))</f>
        <v>0</v>
      </c>
      <c r="S32" s="39" t="n">
        <f aca="false">IF(S$4=0,0,IF(COUNTIFS(実績!$W$6:$W$505,S$3,実績!$AI$6:$AI$505,"&lt;="&amp;$A32,実績!$AJ$6:$AJ$505,"&gt;"&amp;$A32,実績!$AK$6:$AK$505,"○")&gt;0,1,0))</f>
        <v>0</v>
      </c>
      <c r="T32" s="39" t="n">
        <f aca="false">IF(T$4=0,0,IF(COUNTIFS(実績!$W$6:$W$505,T$3,実績!$AI$6:$AI$505,"&lt;="&amp;$A32,実績!$AJ$6:$AJ$505,"&gt;"&amp;$A32,実績!$AK$6:$AK$505,"○")&gt;0,1,0))</f>
        <v>0</v>
      </c>
      <c r="U32" s="39" t="n">
        <f aca="false">IF(U$4=0,0,IF(COUNTIFS(実績!$W$6:$W$505,U$3,実績!$AI$6:$AI$505,"&lt;="&amp;$A32,実績!$AJ$6:$AJ$505,"&gt;"&amp;$A32,実績!$AK$6:$AK$505,"○")&gt;0,1,0))</f>
        <v>0</v>
      </c>
      <c r="V32" s="39" t="n">
        <f aca="false">IF(V$4=0,0,IF(COUNTIFS(実績!$W$6:$W$505,V$3,実績!$AI$6:$AI$505,"&lt;="&amp;$A32,実績!$AJ$6:$AJ$505,"&gt;"&amp;$A32,実績!$AK$6:$AK$505,"○")&gt;0,1,0))</f>
        <v>0</v>
      </c>
      <c r="W32" s="39" t="n">
        <f aca="false">IF(W$4=0,0,IF(COUNTIFS(実績!$W$6:$W$505,W$3,実績!$AI$6:$AI$505,"&lt;="&amp;$A32,実績!$AJ$6:$AJ$505,"&gt;"&amp;$A32,実績!$AK$6:$AK$505,"○")&gt;0,1,0))</f>
        <v>0</v>
      </c>
      <c r="X32" s="39" t="n">
        <f aca="false">IF(X$4=0,0,IF(COUNTIFS(実績!$W$6:$W$505,X$3,実績!$AI$6:$AI$505,"&lt;="&amp;$A32,実績!$AJ$6:$AJ$505,"&gt;"&amp;$A32,実績!$AK$6:$AK$505,"○")&gt;0,1,0))</f>
        <v>0</v>
      </c>
      <c r="Y32" s="39" t="n">
        <f aca="false">IF(Y$4=0,0,IF(COUNTIFS(実績!$W$6:$W$505,Y$3,実績!$AI$6:$AI$505,"&lt;="&amp;$A32,実績!$AJ$6:$AJ$505,"&gt;"&amp;$A32,実績!$AK$6:$AK$505,"○")&gt;0,1,0))</f>
        <v>0</v>
      </c>
      <c r="Z32" s="39" t="n">
        <f aca="false">IF(Z$4=0,0,IF(COUNTIFS(実績!$W$6:$W$505,Z$3,実績!$AI$6:$AI$505,"&lt;="&amp;$A32,実績!$AJ$6:$AJ$505,"&gt;"&amp;$A32,実績!$AK$6:$AK$505,"○")&gt;0,1,0))</f>
        <v>0</v>
      </c>
      <c r="AA32" s="39" t="n">
        <f aca="false">IF(AA$4=0,0,IF(COUNTIFS(実績!$W$6:$W$505,AA$3,実績!$AI$6:$AI$505,"&lt;="&amp;$A32,実績!$AJ$6:$AJ$505,"&gt;"&amp;$A32,実績!$AK$6:$AK$505,"○")&gt;0,1,0))</f>
        <v>0</v>
      </c>
      <c r="AB32" s="39" t="n">
        <f aca="false">IF(AB$4=0,0,IF(COUNTIFS(実績!$W$6:$W$505,AB$3,実績!$AI$6:$AI$505,"&lt;="&amp;$A32,実績!$AJ$6:$AJ$505,"&gt;"&amp;$A32,実績!$AK$6:$AK$505,"○")&gt;0,1,0))</f>
        <v>0</v>
      </c>
      <c r="AC32" s="39" t="n">
        <f aca="false">IF(AC$4=0,0,IF(COUNTIFS(実績!$W$6:$W$505,AC$3,実績!$AI$6:$AI$505,"&lt;="&amp;$A32,実績!$AJ$6:$AJ$505,"&gt;"&amp;$A32,実績!$AK$6:$AK$505,"○")&gt;0,1,0))</f>
        <v>0</v>
      </c>
      <c r="AD32" s="39" t="n">
        <f aca="false">IF(AD$4=0,0,IF(COUNTIFS(実績!$W$6:$W$505,AD$3,実績!$AI$6:$AI$505,"&lt;="&amp;$A32,実績!$AJ$6:$AJ$505,"&gt;"&amp;$A32,実績!$AK$6:$AK$505,"○")&gt;0,1,0))</f>
        <v>0</v>
      </c>
      <c r="AE32" s="39" t="n">
        <f aca="false">IF(AE$4=0,0,IF(COUNTIFS(実績!$W$6:$W$505,AE$3,実績!$AI$6:$AI$505,"&lt;="&amp;$A32,実績!$AJ$6:$AJ$505,"&gt;"&amp;$A32,実績!$AK$6:$AK$505,"○")&gt;0,1,0))</f>
        <v>0</v>
      </c>
      <c r="AF32" s="39" t="n">
        <f aca="false">IF(AF$4=0,0,IF(COUNTIFS(実績!$W$6:$W$505,AF$3,実績!$AI$6:$AI$505,"&lt;="&amp;$A32,実績!$AJ$6:$AJ$505,"&gt;"&amp;$A32,実績!$AK$6:$AK$505,"○")&gt;0,1,0))</f>
        <v>0</v>
      </c>
      <c r="AG32" s="39" t="n">
        <f aca="false">IF(AG$4=0,0,IF(COUNTIFS(実績!$W$6:$W$505,AG$3,実績!$AI$6:$AI$505,"&lt;="&amp;$A32,実績!$AJ$6:$AJ$505,"&gt;"&amp;$A32,実績!$AK$6:$AK$505,"○")&gt;0,1,0))</f>
        <v>0</v>
      </c>
      <c r="AH32" s="39" t="n">
        <f aca="false">IF(AH$4=0,0,IF(COUNTIFS(実績!$W$6:$W$505,AH$3,実績!$AI$6:$AI$505,"&lt;="&amp;$A32,実績!$AJ$6:$AJ$505,"&gt;"&amp;$A32,実績!$AK$6:$AK$505,"○")&gt;0,1,0))</f>
        <v>0</v>
      </c>
      <c r="AI32" s="39" t="n">
        <f aca="false">IF(AI$4=0,0,IF(COUNTIFS(実績!$W$6:$W$505,AI$3,実績!$AI$6:$AI$505,"&lt;="&amp;$A32,実績!$AJ$6:$AJ$505,"&gt;"&amp;$A32,実績!$AK$6:$AK$505,"○")&gt;0,1,0))</f>
        <v>0</v>
      </c>
      <c r="AJ32" s="39" t="n">
        <f aca="false">IF(AJ$4=0,0,IF(COUNTIFS(実績!$W$6:$W$505,AJ$3,実績!$AI$6:$AI$505,"&lt;="&amp;$A32,実績!$AJ$6:$AJ$505,"&gt;"&amp;$A32,実績!$AK$6:$AK$505,"○")&gt;0,1,0))</f>
        <v>0</v>
      </c>
      <c r="AK32" s="39" t="n">
        <f aca="false">IF(AK$4=0,0,IF(COUNTIFS(実績!$W$6:$W$505,AK$3,実績!$AI$6:$AI$505,"&lt;="&amp;$A32,実績!$AJ$6:$AJ$505,"&gt;"&amp;$A32,実績!$AK$6:$AK$505,"○")&gt;0,1,0))</f>
        <v>0</v>
      </c>
      <c r="AL32" s="39" t="n">
        <f aca="false">IF(AL$4=0,0,IF(COUNTIFS(実績!$W$6:$W$505,AL$3,実績!$AI$6:$AI$505,"&lt;="&amp;$A32,実績!$AJ$6:$AJ$505,"&gt;"&amp;$A32,実績!$AK$6:$AK$505,"○")&gt;0,1,0))</f>
        <v>0</v>
      </c>
      <c r="AM32" s="39" t="n">
        <f aca="false">IF(AM$4=0,0,IF(COUNTIFS(実績!$W$6:$W$505,AM$3,実績!$AI$6:$AI$505,"&lt;="&amp;$A32,実績!$AJ$6:$AJ$505,"&gt;"&amp;$A32,実績!$AK$6:$AK$505,"○")&gt;0,1,0))</f>
        <v>0</v>
      </c>
      <c r="AN32" s="39" t="n">
        <f aca="false">IF(AN$4=0,0,IF(COUNTIFS(実績!$W$6:$W$505,AN$3,実績!$AI$6:$AI$505,"&lt;="&amp;$A32,実績!$AJ$6:$AJ$505,"&gt;"&amp;$A32,実績!$AK$6:$AK$505,"○")&gt;0,1,0))</f>
        <v>0</v>
      </c>
      <c r="AO32" s="39" t="n">
        <f aca="false">IF(AO$4=0,0,IF(COUNTIFS(実績!$W$6:$W$505,AO$3,実績!$AI$6:$AI$505,"&lt;="&amp;$A32,実績!$AJ$6:$AJ$505,"&gt;"&amp;$A32,実績!$AK$6:$AK$505,"○")&gt;0,1,0))</f>
        <v>0</v>
      </c>
      <c r="AP32" s="39" t="n">
        <f aca="false">IF(AP$4=0,0,IF(COUNTIFS(実績!$W$6:$W$505,AP$3,実績!$AI$6:$AI$505,"&lt;="&amp;$A32,実績!$AJ$6:$AJ$505,"&gt;"&amp;$A32,実績!$AK$6:$AK$505,"○")&gt;0,1,0))</f>
        <v>0</v>
      </c>
      <c r="AQ32" s="39" t="n">
        <f aca="false">IF(AQ$4=0,0,IF(COUNTIFS(実績!$W$6:$W$505,AQ$3,実績!$AI$6:$AI$505,"&lt;="&amp;$A32,実績!$AJ$6:$AJ$505,"&gt;"&amp;$A32,実績!$AK$6:$AK$505,"○")&gt;0,1,0))</f>
        <v>0</v>
      </c>
      <c r="AR32" s="39" t="n">
        <f aca="false">IF(AR$4=0,0,IF(COUNTIFS(実績!$W$6:$W$505,AR$3,実績!$AI$6:$AI$505,"&lt;="&amp;$A32,実績!$AJ$6:$AJ$505,"&gt;"&amp;$A32,実績!$AK$6:$AK$505,"○")&gt;0,1,0))</f>
        <v>0</v>
      </c>
      <c r="AS32" s="39" t="n">
        <f aca="false">IF(AS$4=0,0,IF(COUNTIFS(実績!$W$6:$W$505,AS$3,実績!$AI$6:$AI$505,"&lt;="&amp;$A32,実績!$AJ$6:$AJ$505,"&gt;"&amp;$A32,実績!$AK$6:$AK$505,"○")&gt;0,1,0))</f>
        <v>0</v>
      </c>
      <c r="AT32" s="39" t="n">
        <f aca="false">IF(AT$4=0,0,IF(COUNTIFS(実績!$W$6:$W$505,AT$3,実績!$AI$6:$AI$505,"&lt;="&amp;$A32,実績!$AJ$6:$AJ$505,"&gt;"&amp;$A32,実績!$AK$6:$AK$505,"○")&gt;0,1,0))</f>
        <v>0</v>
      </c>
      <c r="AU32" s="39" t="n">
        <f aca="false">IF(AU$4=0,0,IF(COUNTIFS(実績!$W$6:$W$505,AU$3,実績!$AI$6:$AI$505,"&lt;="&amp;$A32,実績!$AJ$6:$AJ$505,"&gt;"&amp;$A32,実績!$AK$6:$AK$505,"○")&gt;0,1,0))</f>
        <v>0</v>
      </c>
      <c r="AV32" s="39" t="n">
        <f aca="false">IF(AV$4=0,0,IF(COUNTIFS(実績!$W$6:$W$505,AV$3,実績!$AI$6:$AI$505,"&lt;="&amp;$A32,実績!$AJ$6:$AJ$505,"&gt;"&amp;$A32,実績!$AK$6:$AK$505,"○")&gt;0,1,0))</f>
        <v>0</v>
      </c>
      <c r="AW32" s="39" t="n">
        <f aca="false">IF(AW$4=0,0,IF(COUNTIFS(実績!$W$6:$W$505,AW$3,実績!$AI$6:$AI$505,"&lt;="&amp;$A32,実績!$AJ$6:$AJ$505,"&gt;"&amp;$A32,実績!$AK$6:$AK$505,"○")&gt;0,1,0))</f>
        <v>0</v>
      </c>
      <c r="AX32" s="39" t="n">
        <f aca="false">IF(AX$4=0,0,IF(COUNTIFS(実績!$W$6:$W$505,AX$3,実績!$AI$6:$AI$505,"&lt;="&amp;$A32,実績!$AJ$6:$AJ$505,"&gt;"&amp;$A32,実績!$AK$6:$AK$505,"○")&gt;0,1,0))</f>
        <v>0</v>
      </c>
      <c r="AY32" s="39" t="n">
        <f aca="false">IF(AY$4=0,0,IF(COUNTIFS(実績!$W$6:$W$505,AY$3,実績!$AI$6:$AI$505,"&lt;="&amp;$A32,実績!$AJ$6:$AJ$505,"&gt;"&amp;$A32,実績!$AK$6:$AK$505,"○")&gt;0,1,0))</f>
        <v>0</v>
      </c>
      <c r="AZ32" s="39" t="n">
        <f aca="false">IF(AZ$4=0,0,IF(COUNTIFS(実績!$W$6:$W$505,AZ$3,実績!$AI$6:$AI$505,"&lt;="&amp;$A32,実績!$AJ$6:$AJ$505,"&gt;"&amp;$A32,実績!$AK$6:$AK$505,"○")&gt;0,1,0))</f>
        <v>0</v>
      </c>
      <c r="BA32" s="39" t="n">
        <f aca="false">IF(BA$4=0,0,IF(COUNTIFS(実績!$W$6:$W$505,BA$3,実績!$AI$6:$AI$505,"&lt;="&amp;$A32,実績!$AJ$6:$AJ$505,"&gt;"&amp;$A32,実績!$AK$6:$AK$505,"○")&gt;0,1,0))</f>
        <v>0</v>
      </c>
      <c r="BB32" s="39" t="n">
        <f aca="false">IF(BB$4=0,0,IF(COUNTIFS(実績!$W$6:$W$505,BB$3,実績!$AI$6:$AI$505,"&lt;="&amp;$A32,実績!$AJ$6:$AJ$505,"&gt;"&amp;$A32,実績!$AK$6:$AK$505,"○")&gt;0,1,0))</f>
        <v>0</v>
      </c>
      <c r="BC32" s="39" t="n">
        <f aca="false">IF(BC$4=0,0,IF(COUNTIFS(実績!$W$6:$W$505,BC$3,実績!$AI$6:$AI$505,"&lt;="&amp;$A32,実績!$AJ$6:$AJ$505,"&gt;"&amp;$A32,実績!$AK$6:$AK$505,"○")&gt;0,1,0))</f>
        <v>0</v>
      </c>
      <c r="BD32" s="39" t="n">
        <f aca="false">IF(BD$4=0,0,IF(COUNTIFS(実績!$W$6:$W$505,BD$3,実績!$AI$6:$AI$505,"&lt;="&amp;$A32,実績!$AJ$6:$AJ$505,"&gt;"&amp;$A32,実績!$AK$6:$AK$505,"○")&gt;0,1,0))</f>
        <v>0</v>
      </c>
      <c r="BE32" s="39" t="n">
        <f aca="false">IF(BE$4=0,0,IF(COUNTIFS(実績!$W$6:$W$505,BE$3,実績!$AI$6:$AI$505,"&lt;="&amp;$A32,実績!$AJ$6:$AJ$505,"&gt;"&amp;$A32,実績!$AK$6:$AK$505,"○")&gt;0,1,0))</f>
        <v>0</v>
      </c>
      <c r="BF32" s="39" t="n">
        <f aca="false">IF(BF$4=0,0,IF(COUNTIFS(実績!$W$6:$W$505,BF$3,実績!$AI$6:$AI$505,"&lt;="&amp;$A32,実績!$AJ$6:$AJ$505,"&gt;"&amp;$A32,実績!$AK$6:$AK$505,"○")&gt;0,1,0))</f>
        <v>0</v>
      </c>
      <c r="BG32" s="39" t="n">
        <f aca="false">IF(BG$4=0,0,IF(COUNTIFS(実績!$W$6:$W$505,BG$3,実績!$AI$6:$AI$505,"&lt;="&amp;$A32,実績!$AJ$6:$AJ$505,"&gt;"&amp;$A32,実績!$AK$6:$AK$505,"○")&gt;0,1,0))</f>
        <v>0</v>
      </c>
      <c r="BH32" s="39" t="n">
        <f aca="false">IF(BH$4=0,0,IF(COUNTIFS(実績!$W$6:$W$505,BH$3,実績!$AI$6:$AI$505,"&lt;="&amp;$A32,実績!$AJ$6:$AJ$505,"&gt;"&amp;$A32,実績!$AK$6:$AK$505,"○")&gt;0,1,0))</f>
        <v>0</v>
      </c>
      <c r="BI32" s="39" t="n">
        <f aca="false">IF(BI$4=0,0,IF(COUNTIFS(実績!$W$6:$W$505,BI$3,実績!$AI$6:$AI$505,"&lt;="&amp;$A32,実績!$AJ$6:$AJ$505,"&gt;"&amp;$A32,実績!$AK$6:$AK$505,"○")&gt;0,1,0))</f>
        <v>0</v>
      </c>
      <c r="BJ32" s="39" t="n">
        <f aca="false">IF(BJ$4=0,0,IF(COUNTIFS(実績!$W$6:$W$505,BJ$3,実績!$AI$6:$AI$505,"&lt;="&amp;$A32,実績!$AJ$6:$AJ$505,"&gt;"&amp;$A32,実績!$AK$6:$AK$505,"○")&gt;0,1,0))</f>
        <v>0</v>
      </c>
      <c r="BK32" s="39" t="n">
        <f aca="false">IF(BK$4=0,0,IF(COUNTIFS(実績!$W$6:$W$505,BK$3,実績!$AI$6:$AI$505,"&lt;="&amp;$A32,実績!$AJ$6:$AJ$505,"&gt;"&amp;$A32,実績!$AK$6:$AK$505,"○")&gt;0,1,0))</f>
        <v>0</v>
      </c>
      <c r="BL32" s="39" t="n">
        <f aca="false">IF(BL$4=0,0,IF(COUNTIFS(実績!$W$6:$W$505,BL$3,実績!$AI$6:$AI$505,"&lt;="&amp;$A32,実績!$AJ$6:$AJ$505,"&gt;"&amp;$A32,実績!$AK$6:$AK$505,"○")&gt;0,1,0))</f>
        <v>0</v>
      </c>
      <c r="BM32" s="39" t="n">
        <f aca="false">IF(BM$4=0,0,IF(COUNTIFS(実績!$W$6:$W$505,BM$3,実績!$AI$6:$AI$505,"&lt;="&amp;$A32,実績!$AJ$6:$AJ$505,"&gt;"&amp;$A32,実績!$AK$6:$AK$505,"○")&gt;0,1,0))</f>
        <v>0</v>
      </c>
      <c r="BN32" s="39" t="n">
        <f aca="false">IF(BN$4=0,0,IF(COUNTIFS(実績!$W$6:$W$505,BN$3,実績!$AI$6:$AI$505,"&lt;="&amp;$A32,実績!$AJ$6:$AJ$505,"&gt;"&amp;$A32,実績!$AK$6:$AK$505,"○")&gt;0,1,0))</f>
        <v>0</v>
      </c>
      <c r="BO32" s="39" t="n">
        <f aca="false">IF(BO$4=0,0,IF(COUNTIFS(実績!$W$6:$W$505,BO$3,実績!$AI$6:$AI$505,"&lt;="&amp;$A32,実績!$AJ$6:$AJ$505,"&gt;"&amp;$A32,実績!$AK$6:$AK$505,"○")&gt;0,1,0))</f>
        <v>0</v>
      </c>
      <c r="BP32" s="39" t="n">
        <f aca="false">IF(BP$4=0,0,IF(COUNTIFS(実績!$W$6:$W$505,BP$3,実績!$AI$6:$AI$505,"&lt;="&amp;$A32,実績!$AJ$6:$AJ$505,"&gt;"&amp;$A32,実績!$AK$6:$AK$505,"○")&gt;0,1,0))</f>
        <v>0</v>
      </c>
      <c r="BQ32" s="39" t="n">
        <f aca="false">IF(BQ$4=0,0,IF(COUNTIFS(実績!$W$6:$W$505,BQ$3,実績!$AI$6:$AI$505,"&lt;="&amp;$A32,実績!$AJ$6:$AJ$505,"&gt;"&amp;$A32,実績!$AK$6:$AK$505,"○")&gt;0,1,0))</f>
        <v>0</v>
      </c>
      <c r="BR32" s="39" t="n">
        <f aca="false">IF(BR$4=0,0,IF(COUNTIFS(実績!$W$6:$W$505,BR$3,実績!$AI$6:$AI$505,"&lt;="&amp;$A32,実績!$AJ$6:$AJ$505,"&gt;"&amp;$A32,実績!$AK$6:$AK$505,"○")&gt;0,1,0))</f>
        <v>0</v>
      </c>
      <c r="BS32" s="39" t="n">
        <f aca="false">IF(BS$4=0,0,IF(COUNTIFS(実績!$W$6:$W$505,BS$3,実績!$AI$6:$AI$505,"&lt;="&amp;$A32,実績!$AJ$6:$AJ$505,"&gt;"&amp;$A32,実績!$AK$6:$AK$505,"○")&gt;0,1,0))</f>
        <v>0</v>
      </c>
      <c r="BT32" s="39" t="n">
        <f aca="false">IF(BT$4=0,0,IF(COUNTIFS(実績!$W$6:$W$505,BT$3,実績!$AI$6:$AI$505,"&lt;="&amp;$A32,実績!$AJ$6:$AJ$505,"&gt;"&amp;$A32,実績!$AK$6:$AK$505,"○")&gt;0,1,0))</f>
        <v>0</v>
      </c>
      <c r="BU32" s="39" t="n">
        <f aca="false">IF(BU$4=0,0,IF(COUNTIFS(実績!$W$6:$W$505,BU$3,実績!$AI$6:$AI$505,"&lt;="&amp;$A32,実績!$AJ$6:$AJ$505,"&gt;"&amp;$A32,実績!$AK$6:$AK$505,"○")&gt;0,1,0))</f>
        <v>0</v>
      </c>
      <c r="BV32" s="39" t="n">
        <f aca="false">IF(BV$4=0,0,IF(COUNTIFS(実績!$W$6:$W$505,BV$3,実績!$AI$6:$AI$505,"&lt;="&amp;$A32,実績!$AJ$6:$AJ$505,"&gt;"&amp;$A32,実績!$AK$6:$AK$505,"○")&gt;0,1,0))</f>
        <v>0</v>
      </c>
      <c r="BW32" s="39" t="n">
        <f aca="false">IF(BW$4=0,0,IF(COUNTIFS(実績!$W$6:$W$505,BW$3,実績!$AI$6:$AI$505,"&lt;="&amp;$A32,実績!$AJ$6:$AJ$505,"&gt;"&amp;$A32,実績!$AK$6:$AK$505,"○")&gt;0,1,0))</f>
        <v>0</v>
      </c>
      <c r="BX32" s="39" t="n">
        <f aca="false">IF(BX$4=0,0,IF(COUNTIFS(実績!$W$6:$W$505,BX$3,実績!$AI$6:$AI$505,"&lt;="&amp;$A32,実績!$AJ$6:$AJ$505,"&gt;"&amp;$A32,実績!$AK$6:$AK$505,"○")&gt;0,1,0))</f>
        <v>0</v>
      </c>
      <c r="BY32" s="39" t="n">
        <f aca="false">IF(BY$4=0,0,IF(COUNTIFS(実績!$W$6:$W$505,BY$3,実績!$AI$6:$AI$505,"&lt;="&amp;$A32,実績!$AJ$6:$AJ$505,"&gt;"&amp;$A32,実績!$AK$6:$AK$505,"○")&gt;0,1,0))</f>
        <v>0</v>
      </c>
      <c r="BZ32" s="39" t="n">
        <f aca="false">IF(BZ$4=0,0,IF(COUNTIFS(実績!$W$6:$W$505,BZ$3,実績!$AI$6:$AI$505,"&lt;="&amp;$A32,実績!$AJ$6:$AJ$505,"&gt;"&amp;$A32,実績!$AK$6:$AK$505,"○")&gt;0,1,0))</f>
        <v>0</v>
      </c>
      <c r="CA32" s="39" t="n">
        <f aca="false">IF(CA$4=0,0,IF(COUNTIFS(実績!$W$6:$W$505,CA$3,実績!$AI$6:$AI$505,"&lt;="&amp;$A32,実績!$AJ$6:$AJ$505,"&gt;"&amp;$A32,実績!$AK$6:$AK$505,"○")&gt;0,1,0))</f>
        <v>0</v>
      </c>
      <c r="CB32" s="39" t="n">
        <f aca="false">IF(CB$4=0,0,IF(COUNTIFS(実績!$W$6:$W$505,CB$3,実績!$AI$6:$AI$505,"&lt;="&amp;$A32,実績!$AJ$6:$AJ$505,"&gt;"&amp;$A32,実績!$AK$6:$AK$505,"○")&gt;0,1,0))</f>
        <v>0</v>
      </c>
      <c r="CC32" s="39" t="n">
        <f aca="false">IF(CC$4=0,0,IF(COUNTIFS(実績!$W$6:$W$505,CC$3,実績!$AI$6:$AI$505,"&lt;="&amp;$A32,実績!$AJ$6:$AJ$505,"&gt;"&amp;$A32,実績!$AK$6:$AK$505,"○")&gt;0,1,0))</f>
        <v>0</v>
      </c>
      <c r="CD32" s="39" t="n">
        <f aca="false">IF(CD$4=0,0,IF(COUNTIFS(実績!$W$6:$W$505,CD$3,実績!$AI$6:$AI$505,"&lt;="&amp;$A32,実績!$AJ$6:$AJ$505,"&gt;"&amp;$A32,実績!$AK$6:$AK$505,"○")&gt;0,1,0))</f>
        <v>0</v>
      </c>
      <c r="CE32" s="39" t="n">
        <f aca="false">IF(CE$4=0,0,IF(COUNTIFS(実績!$W$6:$W$505,CE$3,実績!$AI$6:$AI$505,"&lt;="&amp;$A32,実績!$AJ$6:$AJ$505,"&gt;"&amp;$A32,実績!$AK$6:$AK$505,"○")&gt;0,1,0))</f>
        <v>0</v>
      </c>
      <c r="CF32" s="39" t="n">
        <f aca="false">IF(CF$4=0,0,IF(COUNTIFS(実績!$W$6:$W$505,CF$3,実績!$AI$6:$AI$505,"&lt;="&amp;$A32,実績!$AJ$6:$AJ$505,"&gt;"&amp;$A32,実績!$AK$6:$AK$505,"○")&gt;0,1,0))</f>
        <v>0</v>
      </c>
      <c r="CG32" s="39" t="n">
        <f aca="false">IF(CG$4=0,0,IF(COUNTIFS(実績!$W$6:$W$505,CG$3,実績!$AI$6:$AI$505,"&lt;="&amp;$A32,実績!$AJ$6:$AJ$505,"&gt;"&amp;$A32,実績!$AK$6:$AK$505,"○")&gt;0,1,0))</f>
        <v>0</v>
      </c>
      <c r="CH32" s="39" t="n">
        <f aca="false">IF(CH$4=0,0,IF(COUNTIFS(実績!$W$6:$W$505,CH$3,実績!$AI$6:$AI$505,"&lt;="&amp;$A32,実績!$AJ$6:$AJ$505,"&gt;"&amp;$A32,実績!$AK$6:$AK$505,"○")&gt;0,1,0))</f>
        <v>0</v>
      </c>
      <c r="CI32" s="39" t="n">
        <f aca="false">IF(CI$4=0,0,IF(COUNTIFS(実績!$W$6:$W$505,CI$3,実績!$AI$6:$AI$505,"&lt;="&amp;$A32,実績!$AJ$6:$AJ$505,"&gt;"&amp;$A32,実績!$AK$6:$AK$505,"○")&gt;0,1,0))</f>
        <v>0</v>
      </c>
      <c r="CJ32" s="39" t="n">
        <f aca="false">IF(CJ$4=0,0,IF(COUNTIFS(実績!$W$6:$W$505,CJ$3,実績!$AI$6:$AI$505,"&lt;="&amp;$A32,実績!$AJ$6:$AJ$505,"&gt;"&amp;$A32,実績!$AK$6:$AK$505,"○")&gt;0,1,0))</f>
        <v>0</v>
      </c>
      <c r="CK32" s="39" t="n">
        <f aca="false">IF(CK$4=0,0,IF(COUNTIFS(実績!$W$6:$W$505,CK$3,実績!$AI$6:$AI$505,"&lt;="&amp;$A32,実績!$AJ$6:$AJ$505,"&gt;"&amp;$A32,実績!$AK$6:$AK$505,"○")&gt;0,1,0))</f>
        <v>0</v>
      </c>
      <c r="CL32" s="39" t="n">
        <f aca="false">IF(CL$4=0,0,IF(COUNTIFS(実績!$W$6:$W$505,CL$3,実績!$AI$6:$AI$505,"&lt;="&amp;$A32,実績!$AJ$6:$AJ$505,"&gt;"&amp;$A32,実績!$AK$6:$AK$505,"○")&gt;0,1,0))</f>
        <v>0</v>
      </c>
      <c r="CM32" s="39" t="n">
        <f aca="false">IF(CM$4=0,0,IF(COUNTIFS(実績!$W$6:$W$505,CM$3,実績!$AI$6:$AI$505,"&lt;="&amp;$A32,実績!$AJ$6:$AJ$505,"&gt;"&amp;$A32,実績!$AK$6:$AK$505,"○")&gt;0,1,0))</f>
        <v>0</v>
      </c>
      <c r="CN32" s="39" t="n">
        <f aca="false">IF(CN$4=0,0,IF(COUNTIFS(実績!$W$6:$W$505,CN$3,実績!$AI$6:$AI$505,"&lt;="&amp;$A32,実績!$AJ$6:$AJ$505,"&gt;"&amp;$A32,実績!$AK$6:$AK$505,"○")&gt;0,1,0))</f>
        <v>0</v>
      </c>
      <c r="CO32" s="39" t="n">
        <f aca="false">IF(CO$4=0,0,IF(COUNTIFS(実績!$W$6:$W$505,CO$3,実績!$AI$6:$AI$505,"&lt;="&amp;$A32,実績!$AJ$6:$AJ$505,"&gt;"&amp;$A32,実績!$AK$6:$AK$505,"○")&gt;0,1,0))</f>
        <v>0</v>
      </c>
      <c r="CP32" s="39" t="n">
        <f aca="false">IF(CP$4=0,0,IF(COUNTIFS(実績!$W$6:$W$505,CP$3,実績!$AI$6:$AI$505,"&lt;="&amp;$A32,実績!$AJ$6:$AJ$505,"&gt;"&amp;$A32,実績!$AK$6:$AK$505,"○")&gt;0,1,0))</f>
        <v>0</v>
      </c>
      <c r="CQ32" s="39" t="n">
        <f aca="false">IF(CQ$4=0,0,IF(COUNTIFS(実績!$W$6:$W$505,CQ$3,実績!$AI$6:$AI$505,"&lt;="&amp;$A32,実績!$AJ$6:$AJ$505,"&gt;"&amp;$A32,実績!$AK$6:$AK$505,"○")&gt;0,1,0))</f>
        <v>0</v>
      </c>
      <c r="CR32" s="39" t="n">
        <f aca="false">IF(CR$4=0,0,IF(COUNTIFS(実績!$W$6:$W$505,CR$3,実績!$AI$6:$AI$505,"&lt;="&amp;$A32,実績!$AJ$6:$AJ$505,"&gt;"&amp;$A32,実績!$AK$6:$AK$505,"○")&gt;0,1,0))</f>
        <v>0</v>
      </c>
      <c r="CS32" s="39" t="n">
        <f aca="false">IF(CS$4=0,0,IF(COUNTIFS(実績!$W$6:$W$505,CS$3,実績!$AI$6:$AI$505,"&lt;="&amp;$A32,実績!$AJ$6:$AJ$505,"&gt;"&amp;$A32,実績!$AK$6:$AK$505,"○")&gt;0,1,0))</f>
        <v>0</v>
      </c>
      <c r="CT32" s="39" t="n">
        <f aca="false">IF(CT$4=0,0,IF(COUNTIFS(実績!$W$6:$W$505,CT$3,実績!$AI$6:$AI$505,"&lt;="&amp;$A32,実績!$AJ$6:$AJ$505,"&gt;"&amp;$A32,実績!$AK$6:$AK$505,"○")&gt;0,1,0))</f>
        <v>0</v>
      </c>
      <c r="CU32" s="39" t="n">
        <f aca="false">IF(CU$4=0,0,IF(COUNTIFS(実績!$W$6:$W$505,CU$3,実績!$AI$6:$AI$505,"&lt;="&amp;$A32,実績!$AJ$6:$AJ$505,"&gt;"&amp;$A32,実績!$AK$6:$AK$505,"○")&gt;0,1,0))</f>
        <v>0</v>
      </c>
      <c r="CV32" s="39" t="n">
        <f aca="false">IF(CV$4=0,0,IF(COUNTIFS(実績!$W$6:$W$505,CV$3,実績!$AI$6:$AI$505,"&lt;="&amp;$A32,実績!$AJ$6:$AJ$505,"&gt;"&amp;$A32,実績!$AK$6:$AK$505,"○")&gt;0,1,0))</f>
        <v>0</v>
      </c>
      <c r="CW32" s="39" t="n">
        <f aca="false">IF(CW$4=0,0,IF(COUNTIFS(実績!$W$6:$W$505,CW$3,実績!$AI$6:$AI$505,"&lt;="&amp;$A32,実績!$AJ$6:$AJ$505,"&gt;"&amp;$A32,実績!$AK$6:$AK$505,"○")&gt;0,1,0))</f>
        <v>0</v>
      </c>
      <c r="CX32" s="39" t="n">
        <f aca="false">IF(CX$4=0,0,IF(COUNTIFS(実績!$W$6:$W$505,CX$3,実績!$AI$6:$AI$505,"&lt;="&amp;$A32,実績!$AJ$6:$AJ$505,"&gt;"&amp;$A32,実績!$AK$6:$AK$505,"○")&gt;0,1,0))</f>
        <v>0</v>
      </c>
      <c r="CY32" s="39" t="n">
        <f aca="false">IF(CY$4=0,0,IF(COUNTIFS(実績!$W$6:$W$505,CY$3,実績!$AI$6:$AI$505,"&lt;="&amp;$A32,実績!$AJ$6:$AJ$505,"&gt;"&amp;$A32,実績!$AK$6:$AK$505,"○")&gt;0,1,0))</f>
        <v>0</v>
      </c>
      <c r="CZ32" s="39" t="n">
        <f aca="false">IF(CZ$4=0,0,IF(COUNTIFS(実績!$W$6:$W$505,CZ$3,実績!$AI$6:$AI$505,"&lt;="&amp;$A32,実績!$AJ$6:$AJ$505,"&gt;"&amp;$A32,実績!$AK$6:$AK$505,"○")&gt;0,1,0))</f>
        <v>0</v>
      </c>
      <c r="DA32" s="39" t="n">
        <f aca="false">IF(DA$4=0,0,IF(COUNTIFS(実績!$W$6:$W$505,DA$3,実績!$AI$6:$AI$505,"&lt;="&amp;$A32,実績!$AJ$6:$AJ$505,"&gt;"&amp;$A32,実績!$AK$6:$AK$505,"○")&gt;0,1,0))</f>
        <v>0</v>
      </c>
      <c r="DB32" s="39" t="n">
        <f aca="false">IF(DB$4=0,0,IF(COUNTIFS(実績!$W$6:$W$505,DB$3,実績!$AI$6:$AI$505,"&lt;="&amp;$A32,実績!$AJ$6:$AJ$505,"&gt;"&amp;$A32,実績!$AK$6:$AK$505,"○")&gt;0,1,0))</f>
        <v>0</v>
      </c>
      <c r="DC32" s="39" t="n">
        <f aca="false">IF(DC$4=0,0,IF(COUNTIFS(実績!$W$6:$W$505,DC$3,実績!$AI$6:$AI$505,"&lt;="&amp;$A32,実績!$AJ$6:$AJ$505,"&gt;"&amp;$A32,実績!$AK$6:$AK$505,"○")&gt;0,1,0))</f>
        <v>0</v>
      </c>
      <c r="DD32" s="39" t="n">
        <f aca="false">IF(DD$4=0,0,IF(COUNTIFS(実績!$W$6:$W$505,DD$3,実績!$AI$6:$AI$505,"&lt;="&amp;$A32,実績!$AJ$6:$AJ$505,"&gt;"&amp;$A32,実績!$AK$6:$AK$505,"○")&gt;0,1,0))</f>
        <v>0</v>
      </c>
      <c r="DE32" s="39" t="n">
        <f aca="false">IF(DE$4=0,0,IF(COUNTIFS(実績!$W$6:$W$505,DE$3,実績!$AI$6:$AI$505,"&lt;="&amp;$A32,実績!$AJ$6:$AJ$505,"&gt;"&amp;$A32,実績!$AK$6:$AK$505,"○")&gt;0,1,0))</f>
        <v>0</v>
      </c>
      <c r="DF32" s="39" t="n">
        <f aca="false">IF(DF$4=0,0,IF(COUNTIFS(実績!$W$6:$W$505,DF$3,実績!$AI$6:$AI$505,"&lt;="&amp;$A32,実績!$AJ$6:$AJ$505,"&gt;"&amp;$A32,実績!$AK$6:$AK$505,"○")&gt;0,1,0))</f>
        <v>0</v>
      </c>
      <c r="DG32" s="39" t="n">
        <f aca="false">IF(DG$4=0,0,IF(COUNTIFS(実績!$W$6:$W$505,DG$3,実績!$AI$6:$AI$505,"&lt;="&amp;$A32,実績!$AJ$6:$AJ$505,"&gt;"&amp;$A32,実績!$AK$6:$AK$505,"○")&gt;0,1,0))</f>
        <v>0</v>
      </c>
      <c r="DH32" s="39" t="n">
        <f aca="false">IF(DH$4=0,0,IF(COUNTIFS(実績!$W$6:$W$505,DH$3,実績!$AI$6:$AI$505,"&lt;="&amp;$A32,実績!$AJ$6:$AJ$505,"&gt;"&amp;$A32,実績!$AK$6:$AK$505,"○")&gt;0,1,0))</f>
        <v>0</v>
      </c>
      <c r="DI32" s="39" t="n">
        <f aca="false">IF(DI$4=0,0,IF(COUNTIFS(実績!$W$6:$W$505,DI$3,実績!$AI$6:$AI$505,"&lt;="&amp;$A32,実績!$AJ$6:$AJ$505,"&gt;"&amp;$A32,実績!$AK$6:$AK$505,"○")&gt;0,1,0))</f>
        <v>0</v>
      </c>
      <c r="DJ32" s="39" t="n">
        <f aca="false">IF(DJ$4=0,0,IF(COUNTIFS(実績!$W$6:$W$505,DJ$3,実績!$AI$6:$AI$505,"&lt;="&amp;$A32,実績!$AJ$6:$AJ$505,"&gt;"&amp;$A32,実績!$AK$6:$AK$505,"○")&gt;0,1,0))</f>
        <v>0</v>
      </c>
      <c r="DK32" s="39" t="n">
        <f aca="false">IF(DK$4=0,0,IF(COUNTIFS(実績!$W$6:$W$505,DK$3,実績!$AI$6:$AI$505,"&lt;="&amp;$A32,実績!$AJ$6:$AJ$505,"&gt;"&amp;$A32,実績!$AK$6:$AK$505,"○")&gt;0,1,0))</f>
        <v>0</v>
      </c>
      <c r="DL32" s="39" t="n">
        <f aca="false">IF(DL$4=0,0,IF(COUNTIFS(実績!$W$6:$W$505,DL$3,実績!$AI$6:$AI$505,"&lt;="&amp;$A32,実績!$AJ$6:$AJ$505,"&gt;"&amp;$A32,実績!$AK$6:$AK$505,"○")&gt;0,1,0))</f>
        <v>0</v>
      </c>
      <c r="DM32" s="39" t="n">
        <f aca="false">IF(DM$4=0,0,IF(COUNTIFS(実績!$W$6:$W$505,DM$3,実績!$AI$6:$AI$505,"&lt;="&amp;$A32,実績!$AJ$6:$AJ$505,"&gt;"&amp;$A32,実績!$AK$6:$AK$505,"○")&gt;0,1,0))</f>
        <v>0</v>
      </c>
      <c r="DN32" s="39" t="n">
        <f aca="false">IF(DN$4=0,0,IF(COUNTIFS(実績!$W$6:$W$505,DN$3,実績!$AI$6:$AI$505,"&lt;="&amp;$A32,実績!$AJ$6:$AJ$505,"&gt;"&amp;$A32,実績!$AK$6:$AK$505,"○")&gt;0,1,0))</f>
        <v>0</v>
      </c>
      <c r="DO32" s="39" t="n">
        <f aca="false">IF(DO$4=0,0,IF(COUNTIFS(実績!$W$6:$W$505,DO$3,実績!$AI$6:$AI$505,"&lt;="&amp;$A32,実績!$AJ$6:$AJ$505,"&gt;"&amp;$A32,実績!$AK$6:$AK$505,"○")&gt;0,1,0))</f>
        <v>0</v>
      </c>
      <c r="DP32" s="39" t="n">
        <f aca="false">IF(DP$4=0,0,IF(COUNTIFS(実績!$W$6:$W$505,DP$3,実績!$AI$6:$AI$505,"&lt;="&amp;$A32,実績!$AJ$6:$AJ$505,"&gt;"&amp;$A32,実績!$AK$6:$AK$505,"○")&gt;0,1,0))</f>
        <v>0</v>
      </c>
      <c r="DQ32" s="39" t="n">
        <f aca="false">IF(DQ$4=0,0,IF(COUNTIFS(実績!$W$6:$W$505,DQ$3,実績!$AI$6:$AI$505,"&lt;="&amp;$A32,実績!$AJ$6:$AJ$505,"&gt;"&amp;$A32,実績!$AK$6:$AK$505,"○")&gt;0,1,0))</f>
        <v>0</v>
      </c>
      <c r="DR32" s="39" t="n">
        <f aca="false">IF(DR$4=0,0,IF(COUNTIFS(実績!$W$6:$W$505,DR$3,実績!$AI$6:$AI$505,"&lt;="&amp;$A32,実績!$AJ$6:$AJ$505,"&gt;"&amp;$A32,実績!$AK$6:$AK$505,"○")&gt;0,1,0))</f>
        <v>0</v>
      </c>
      <c r="DS32" s="39" t="n">
        <f aca="false">SUM(C32:DR32)</f>
        <v>0</v>
      </c>
      <c r="DT32" s="39" t="n">
        <f aca="false">SUMPRODUCT((実績!$C$6:$C$505="○")*ISNUMBER(実績!$AM$6:$AM$505)*(実績!$AM$6:$AM$505&lt;=$A32)*(実績!$AN$6:$AN$505&gt;$A32))</f>
        <v>0</v>
      </c>
      <c r="DU32" s="39" t="n">
        <f aca="false">SUMIF($C$2:$DR$2,"製鉄曳船",C32:DR32)</f>
        <v>0</v>
      </c>
      <c r="DV32" s="39" t="n">
        <f aca="false">SUMIF($C$2:$DR$2,"西日本海運",C32:DR32)</f>
        <v>0</v>
      </c>
    </row>
    <row r="33" customFormat="false" ht="15" hidden="false" customHeight="false" outlineLevel="0" collapsed="false">
      <c r="A33" s="0" t="n">
        <v>135</v>
      </c>
      <c r="B33" s="38" t="n">
        <f aca="false">A33/1440</f>
        <v>0.09375</v>
      </c>
      <c r="C33" s="39" t="n">
        <f aca="false">IF(C$4=0,0,IF(COUNTIFS(実績!$W$6:$W$505,C$3,実績!$AI$6:$AI$505,"&lt;="&amp;$A33,実績!$AJ$6:$AJ$505,"&gt;"&amp;$A33,実績!$AK$6:$AK$505,"○")&gt;0,1,0))</f>
        <v>0</v>
      </c>
      <c r="D33" s="39" t="n">
        <f aca="false">IF(D$4=0,0,IF(COUNTIFS(実績!$W$6:$W$505,D$3,実績!$AI$6:$AI$505,"&lt;="&amp;$A33,実績!$AJ$6:$AJ$505,"&gt;"&amp;$A33,実績!$AK$6:$AK$505,"○")&gt;0,1,0))</f>
        <v>0</v>
      </c>
      <c r="E33" s="39" t="n">
        <f aca="false">IF(E$4=0,0,IF(COUNTIFS(実績!$W$6:$W$505,E$3,実績!$AI$6:$AI$505,"&lt;="&amp;$A33,実績!$AJ$6:$AJ$505,"&gt;"&amp;$A33,実績!$AK$6:$AK$505,"○")&gt;0,1,0))</f>
        <v>0</v>
      </c>
      <c r="F33" s="39" t="n">
        <f aca="false">IF(F$4=0,0,IF(COUNTIFS(実績!$W$6:$W$505,F$3,実績!$AI$6:$AI$505,"&lt;="&amp;$A33,実績!$AJ$6:$AJ$505,"&gt;"&amp;$A33,実績!$AK$6:$AK$505,"○")&gt;0,1,0))</f>
        <v>0</v>
      </c>
      <c r="G33" s="39" t="n">
        <f aca="false">IF(G$4=0,0,IF(COUNTIFS(実績!$W$6:$W$505,G$3,実績!$AI$6:$AI$505,"&lt;="&amp;$A33,実績!$AJ$6:$AJ$505,"&gt;"&amp;$A33,実績!$AK$6:$AK$505,"○")&gt;0,1,0))</f>
        <v>0</v>
      </c>
      <c r="H33" s="39" t="n">
        <f aca="false">IF(H$4=0,0,IF(COUNTIFS(実績!$W$6:$W$505,H$3,実績!$AI$6:$AI$505,"&lt;="&amp;$A33,実績!$AJ$6:$AJ$505,"&gt;"&amp;$A33,実績!$AK$6:$AK$505,"○")&gt;0,1,0))</f>
        <v>0</v>
      </c>
      <c r="I33" s="39" t="n">
        <f aca="false">IF(I$4=0,0,IF(COUNTIFS(実績!$W$6:$W$505,I$3,実績!$AI$6:$AI$505,"&lt;="&amp;$A33,実績!$AJ$6:$AJ$505,"&gt;"&amp;$A33,実績!$AK$6:$AK$505,"○")&gt;0,1,0))</f>
        <v>0</v>
      </c>
      <c r="J33" s="39" t="n">
        <f aca="false">IF(J$4=0,0,IF(COUNTIFS(実績!$W$6:$W$505,J$3,実績!$AI$6:$AI$505,"&lt;="&amp;$A33,実績!$AJ$6:$AJ$505,"&gt;"&amp;$A33,実績!$AK$6:$AK$505,"○")&gt;0,1,0))</f>
        <v>0</v>
      </c>
      <c r="K33" s="39" t="n">
        <f aca="false">IF(K$4=0,0,IF(COUNTIFS(実績!$W$6:$W$505,K$3,実績!$AI$6:$AI$505,"&lt;="&amp;$A33,実績!$AJ$6:$AJ$505,"&gt;"&amp;$A33,実績!$AK$6:$AK$505,"○")&gt;0,1,0))</f>
        <v>0</v>
      </c>
      <c r="L33" s="39" t="n">
        <f aca="false">IF(L$4=0,0,IF(COUNTIFS(実績!$W$6:$W$505,L$3,実績!$AI$6:$AI$505,"&lt;="&amp;$A33,実績!$AJ$6:$AJ$505,"&gt;"&amp;$A33,実績!$AK$6:$AK$505,"○")&gt;0,1,0))</f>
        <v>0</v>
      </c>
      <c r="M33" s="39" t="n">
        <f aca="false">IF(M$4=0,0,IF(COUNTIFS(実績!$W$6:$W$505,M$3,実績!$AI$6:$AI$505,"&lt;="&amp;$A33,実績!$AJ$6:$AJ$505,"&gt;"&amp;$A33,実績!$AK$6:$AK$505,"○")&gt;0,1,0))</f>
        <v>0</v>
      </c>
      <c r="N33" s="39" t="n">
        <f aca="false">IF(N$4=0,0,IF(COUNTIFS(実績!$W$6:$W$505,N$3,実績!$AI$6:$AI$505,"&lt;="&amp;$A33,実績!$AJ$6:$AJ$505,"&gt;"&amp;$A33,実績!$AK$6:$AK$505,"○")&gt;0,1,0))</f>
        <v>0</v>
      </c>
      <c r="O33" s="39" t="n">
        <f aca="false">IF(O$4=0,0,IF(COUNTIFS(実績!$W$6:$W$505,O$3,実績!$AI$6:$AI$505,"&lt;="&amp;$A33,実績!$AJ$6:$AJ$505,"&gt;"&amp;$A33,実績!$AK$6:$AK$505,"○")&gt;0,1,0))</f>
        <v>0</v>
      </c>
      <c r="P33" s="39" t="n">
        <f aca="false">IF(P$4=0,0,IF(COUNTIFS(実績!$W$6:$W$505,P$3,実績!$AI$6:$AI$505,"&lt;="&amp;$A33,実績!$AJ$6:$AJ$505,"&gt;"&amp;$A33,実績!$AK$6:$AK$505,"○")&gt;0,1,0))</f>
        <v>0</v>
      </c>
      <c r="Q33" s="39" t="n">
        <f aca="false">IF(Q$4=0,0,IF(COUNTIFS(実績!$W$6:$W$505,Q$3,実績!$AI$6:$AI$505,"&lt;="&amp;$A33,実績!$AJ$6:$AJ$505,"&gt;"&amp;$A33,実績!$AK$6:$AK$505,"○")&gt;0,1,0))</f>
        <v>0</v>
      </c>
      <c r="R33" s="39" t="n">
        <f aca="false">IF(R$4=0,0,IF(COUNTIFS(実績!$W$6:$W$505,R$3,実績!$AI$6:$AI$505,"&lt;="&amp;$A33,実績!$AJ$6:$AJ$505,"&gt;"&amp;$A33,実績!$AK$6:$AK$505,"○")&gt;0,1,0))</f>
        <v>0</v>
      </c>
      <c r="S33" s="39" t="n">
        <f aca="false">IF(S$4=0,0,IF(COUNTIFS(実績!$W$6:$W$505,S$3,実績!$AI$6:$AI$505,"&lt;="&amp;$A33,実績!$AJ$6:$AJ$505,"&gt;"&amp;$A33,実績!$AK$6:$AK$505,"○")&gt;0,1,0))</f>
        <v>0</v>
      </c>
      <c r="T33" s="39" t="n">
        <f aca="false">IF(T$4=0,0,IF(COUNTIFS(実績!$W$6:$W$505,T$3,実績!$AI$6:$AI$505,"&lt;="&amp;$A33,実績!$AJ$6:$AJ$505,"&gt;"&amp;$A33,実績!$AK$6:$AK$505,"○")&gt;0,1,0))</f>
        <v>0</v>
      </c>
      <c r="U33" s="39" t="n">
        <f aca="false">IF(U$4=0,0,IF(COUNTIFS(実績!$W$6:$W$505,U$3,実績!$AI$6:$AI$505,"&lt;="&amp;$A33,実績!$AJ$6:$AJ$505,"&gt;"&amp;$A33,実績!$AK$6:$AK$505,"○")&gt;0,1,0))</f>
        <v>0</v>
      </c>
      <c r="V33" s="39" t="n">
        <f aca="false">IF(V$4=0,0,IF(COUNTIFS(実績!$W$6:$W$505,V$3,実績!$AI$6:$AI$505,"&lt;="&amp;$A33,実績!$AJ$6:$AJ$505,"&gt;"&amp;$A33,実績!$AK$6:$AK$505,"○")&gt;0,1,0))</f>
        <v>0</v>
      </c>
      <c r="W33" s="39" t="n">
        <f aca="false">IF(W$4=0,0,IF(COUNTIFS(実績!$W$6:$W$505,W$3,実績!$AI$6:$AI$505,"&lt;="&amp;$A33,実績!$AJ$6:$AJ$505,"&gt;"&amp;$A33,実績!$AK$6:$AK$505,"○")&gt;0,1,0))</f>
        <v>0</v>
      </c>
      <c r="X33" s="39" t="n">
        <f aca="false">IF(X$4=0,0,IF(COUNTIFS(実績!$W$6:$W$505,X$3,実績!$AI$6:$AI$505,"&lt;="&amp;$A33,実績!$AJ$6:$AJ$505,"&gt;"&amp;$A33,実績!$AK$6:$AK$505,"○")&gt;0,1,0))</f>
        <v>0</v>
      </c>
      <c r="Y33" s="39" t="n">
        <f aca="false">IF(Y$4=0,0,IF(COUNTIFS(実績!$W$6:$W$505,Y$3,実績!$AI$6:$AI$505,"&lt;="&amp;$A33,実績!$AJ$6:$AJ$505,"&gt;"&amp;$A33,実績!$AK$6:$AK$505,"○")&gt;0,1,0))</f>
        <v>0</v>
      </c>
      <c r="Z33" s="39" t="n">
        <f aca="false">IF(Z$4=0,0,IF(COUNTIFS(実績!$W$6:$W$505,Z$3,実績!$AI$6:$AI$505,"&lt;="&amp;$A33,実績!$AJ$6:$AJ$505,"&gt;"&amp;$A33,実績!$AK$6:$AK$505,"○")&gt;0,1,0))</f>
        <v>0</v>
      </c>
      <c r="AA33" s="39" t="n">
        <f aca="false">IF(AA$4=0,0,IF(COUNTIFS(実績!$W$6:$W$505,AA$3,実績!$AI$6:$AI$505,"&lt;="&amp;$A33,実績!$AJ$6:$AJ$505,"&gt;"&amp;$A33,実績!$AK$6:$AK$505,"○")&gt;0,1,0))</f>
        <v>0</v>
      </c>
      <c r="AB33" s="39" t="n">
        <f aca="false">IF(AB$4=0,0,IF(COUNTIFS(実績!$W$6:$W$505,AB$3,実績!$AI$6:$AI$505,"&lt;="&amp;$A33,実績!$AJ$6:$AJ$505,"&gt;"&amp;$A33,実績!$AK$6:$AK$505,"○")&gt;0,1,0))</f>
        <v>0</v>
      </c>
      <c r="AC33" s="39" t="n">
        <f aca="false">IF(AC$4=0,0,IF(COUNTIFS(実績!$W$6:$W$505,AC$3,実績!$AI$6:$AI$505,"&lt;="&amp;$A33,実績!$AJ$6:$AJ$505,"&gt;"&amp;$A33,実績!$AK$6:$AK$505,"○")&gt;0,1,0))</f>
        <v>0</v>
      </c>
      <c r="AD33" s="39" t="n">
        <f aca="false">IF(AD$4=0,0,IF(COUNTIFS(実績!$W$6:$W$505,AD$3,実績!$AI$6:$AI$505,"&lt;="&amp;$A33,実績!$AJ$6:$AJ$505,"&gt;"&amp;$A33,実績!$AK$6:$AK$505,"○")&gt;0,1,0))</f>
        <v>0</v>
      </c>
      <c r="AE33" s="39" t="n">
        <f aca="false">IF(AE$4=0,0,IF(COUNTIFS(実績!$W$6:$W$505,AE$3,実績!$AI$6:$AI$505,"&lt;="&amp;$A33,実績!$AJ$6:$AJ$505,"&gt;"&amp;$A33,実績!$AK$6:$AK$505,"○")&gt;0,1,0))</f>
        <v>0</v>
      </c>
      <c r="AF33" s="39" t="n">
        <f aca="false">IF(AF$4=0,0,IF(COUNTIFS(実績!$W$6:$W$505,AF$3,実績!$AI$6:$AI$505,"&lt;="&amp;$A33,実績!$AJ$6:$AJ$505,"&gt;"&amp;$A33,実績!$AK$6:$AK$505,"○")&gt;0,1,0))</f>
        <v>0</v>
      </c>
      <c r="AG33" s="39" t="n">
        <f aca="false">IF(AG$4=0,0,IF(COUNTIFS(実績!$W$6:$W$505,AG$3,実績!$AI$6:$AI$505,"&lt;="&amp;$A33,実績!$AJ$6:$AJ$505,"&gt;"&amp;$A33,実績!$AK$6:$AK$505,"○")&gt;0,1,0))</f>
        <v>0</v>
      </c>
      <c r="AH33" s="39" t="n">
        <f aca="false">IF(AH$4=0,0,IF(COUNTIFS(実績!$W$6:$W$505,AH$3,実績!$AI$6:$AI$505,"&lt;="&amp;$A33,実績!$AJ$6:$AJ$505,"&gt;"&amp;$A33,実績!$AK$6:$AK$505,"○")&gt;0,1,0))</f>
        <v>0</v>
      </c>
      <c r="AI33" s="39" t="n">
        <f aca="false">IF(AI$4=0,0,IF(COUNTIFS(実績!$W$6:$W$505,AI$3,実績!$AI$6:$AI$505,"&lt;="&amp;$A33,実績!$AJ$6:$AJ$505,"&gt;"&amp;$A33,実績!$AK$6:$AK$505,"○")&gt;0,1,0))</f>
        <v>0</v>
      </c>
      <c r="AJ33" s="39" t="n">
        <f aca="false">IF(AJ$4=0,0,IF(COUNTIFS(実績!$W$6:$W$505,AJ$3,実績!$AI$6:$AI$505,"&lt;="&amp;$A33,実績!$AJ$6:$AJ$505,"&gt;"&amp;$A33,実績!$AK$6:$AK$505,"○")&gt;0,1,0))</f>
        <v>0</v>
      </c>
      <c r="AK33" s="39" t="n">
        <f aca="false">IF(AK$4=0,0,IF(COUNTIFS(実績!$W$6:$W$505,AK$3,実績!$AI$6:$AI$505,"&lt;="&amp;$A33,実績!$AJ$6:$AJ$505,"&gt;"&amp;$A33,実績!$AK$6:$AK$505,"○")&gt;0,1,0))</f>
        <v>0</v>
      </c>
      <c r="AL33" s="39" t="n">
        <f aca="false">IF(AL$4=0,0,IF(COUNTIFS(実績!$W$6:$W$505,AL$3,実績!$AI$6:$AI$505,"&lt;="&amp;$A33,実績!$AJ$6:$AJ$505,"&gt;"&amp;$A33,実績!$AK$6:$AK$505,"○")&gt;0,1,0))</f>
        <v>0</v>
      </c>
      <c r="AM33" s="39" t="n">
        <f aca="false">IF(AM$4=0,0,IF(COUNTIFS(実績!$W$6:$W$505,AM$3,実績!$AI$6:$AI$505,"&lt;="&amp;$A33,実績!$AJ$6:$AJ$505,"&gt;"&amp;$A33,実績!$AK$6:$AK$505,"○")&gt;0,1,0))</f>
        <v>0</v>
      </c>
      <c r="AN33" s="39" t="n">
        <f aca="false">IF(AN$4=0,0,IF(COUNTIFS(実績!$W$6:$W$505,AN$3,実績!$AI$6:$AI$505,"&lt;="&amp;$A33,実績!$AJ$6:$AJ$505,"&gt;"&amp;$A33,実績!$AK$6:$AK$505,"○")&gt;0,1,0))</f>
        <v>0</v>
      </c>
      <c r="AO33" s="39" t="n">
        <f aca="false">IF(AO$4=0,0,IF(COUNTIFS(実績!$W$6:$W$505,AO$3,実績!$AI$6:$AI$505,"&lt;="&amp;$A33,実績!$AJ$6:$AJ$505,"&gt;"&amp;$A33,実績!$AK$6:$AK$505,"○")&gt;0,1,0))</f>
        <v>0</v>
      </c>
      <c r="AP33" s="39" t="n">
        <f aca="false">IF(AP$4=0,0,IF(COUNTIFS(実績!$W$6:$W$505,AP$3,実績!$AI$6:$AI$505,"&lt;="&amp;$A33,実績!$AJ$6:$AJ$505,"&gt;"&amp;$A33,実績!$AK$6:$AK$505,"○")&gt;0,1,0))</f>
        <v>0</v>
      </c>
      <c r="AQ33" s="39" t="n">
        <f aca="false">IF(AQ$4=0,0,IF(COUNTIFS(実績!$W$6:$W$505,AQ$3,実績!$AI$6:$AI$505,"&lt;="&amp;$A33,実績!$AJ$6:$AJ$505,"&gt;"&amp;$A33,実績!$AK$6:$AK$505,"○")&gt;0,1,0))</f>
        <v>0</v>
      </c>
      <c r="AR33" s="39" t="n">
        <f aca="false">IF(AR$4=0,0,IF(COUNTIFS(実績!$W$6:$W$505,AR$3,実績!$AI$6:$AI$505,"&lt;="&amp;$A33,実績!$AJ$6:$AJ$505,"&gt;"&amp;$A33,実績!$AK$6:$AK$505,"○")&gt;0,1,0))</f>
        <v>0</v>
      </c>
      <c r="AS33" s="39" t="n">
        <f aca="false">IF(AS$4=0,0,IF(COUNTIFS(実績!$W$6:$W$505,AS$3,実績!$AI$6:$AI$505,"&lt;="&amp;$A33,実績!$AJ$6:$AJ$505,"&gt;"&amp;$A33,実績!$AK$6:$AK$505,"○")&gt;0,1,0))</f>
        <v>0</v>
      </c>
      <c r="AT33" s="39" t="n">
        <f aca="false">IF(AT$4=0,0,IF(COUNTIFS(実績!$W$6:$W$505,AT$3,実績!$AI$6:$AI$505,"&lt;="&amp;$A33,実績!$AJ$6:$AJ$505,"&gt;"&amp;$A33,実績!$AK$6:$AK$505,"○")&gt;0,1,0))</f>
        <v>0</v>
      </c>
      <c r="AU33" s="39" t="n">
        <f aca="false">IF(AU$4=0,0,IF(COUNTIFS(実績!$W$6:$W$505,AU$3,実績!$AI$6:$AI$505,"&lt;="&amp;$A33,実績!$AJ$6:$AJ$505,"&gt;"&amp;$A33,実績!$AK$6:$AK$505,"○")&gt;0,1,0))</f>
        <v>0</v>
      </c>
      <c r="AV33" s="39" t="n">
        <f aca="false">IF(AV$4=0,0,IF(COUNTIFS(実績!$W$6:$W$505,AV$3,実績!$AI$6:$AI$505,"&lt;="&amp;$A33,実績!$AJ$6:$AJ$505,"&gt;"&amp;$A33,実績!$AK$6:$AK$505,"○")&gt;0,1,0))</f>
        <v>0</v>
      </c>
      <c r="AW33" s="39" t="n">
        <f aca="false">IF(AW$4=0,0,IF(COUNTIFS(実績!$W$6:$W$505,AW$3,実績!$AI$6:$AI$505,"&lt;="&amp;$A33,実績!$AJ$6:$AJ$505,"&gt;"&amp;$A33,実績!$AK$6:$AK$505,"○")&gt;0,1,0))</f>
        <v>0</v>
      </c>
      <c r="AX33" s="39" t="n">
        <f aca="false">IF(AX$4=0,0,IF(COUNTIFS(実績!$W$6:$W$505,AX$3,実績!$AI$6:$AI$505,"&lt;="&amp;$A33,実績!$AJ$6:$AJ$505,"&gt;"&amp;$A33,実績!$AK$6:$AK$505,"○")&gt;0,1,0))</f>
        <v>0</v>
      </c>
      <c r="AY33" s="39" t="n">
        <f aca="false">IF(AY$4=0,0,IF(COUNTIFS(実績!$W$6:$W$505,AY$3,実績!$AI$6:$AI$505,"&lt;="&amp;$A33,実績!$AJ$6:$AJ$505,"&gt;"&amp;$A33,実績!$AK$6:$AK$505,"○")&gt;0,1,0))</f>
        <v>0</v>
      </c>
      <c r="AZ33" s="39" t="n">
        <f aca="false">IF(AZ$4=0,0,IF(COUNTIFS(実績!$W$6:$W$505,AZ$3,実績!$AI$6:$AI$505,"&lt;="&amp;$A33,実績!$AJ$6:$AJ$505,"&gt;"&amp;$A33,実績!$AK$6:$AK$505,"○")&gt;0,1,0))</f>
        <v>0</v>
      </c>
      <c r="BA33" s="39" t="n">
        <f aca="false">IF(BA$4=0,0,IF(COUNTIFS(実績!$W$6:$W$505,BA$3,実績!$AI$6:$AI$505,"&lt;="&amp;$A33,実績!$AJ$6:$AJ$505,"&gt;"&amp;$A33,実績!$AK$6:$AK$505,"○")&gt;0,1,0))</f>
        <v>0</v>
      </c>
      <c r="BB33" s="39" t="n">
        <f aca="false">IF(BB$4=0,0,IF(COUNTIFS(実績!$W$6:$W$505,BB$3,実績!$AI$6:$AI$505,"&lt;="&amp;$A33,実績!$AJ$6:$AJ$505,"&gt;"&amp;$A33,実績!$AK$6:$AK$505,"○")&gt;0,1,0))</f>
        <v>0</v>
      </c>
      <c r="BC33" s="39" t="n">
        <f aca="false">IF(BC$4=0,0,IF(COUNTIFS(実績!$W$6:$W$505,BC$3,実績!$AI$6:$AI$505,"&lt;="&amp;$A33,実績!$AJ$6:$AJ$505,"&gt;"&amp;$A33,実績!$AK$6:$AK$505,"○")&gt;0,1,0))</f>
        <v>0</v>
      </c>
      <c r="BD33" s="39" t="n">
        <f aca="false">IF(BD$4=0,0,IF(COUNTIFS(実績!$W$6:$W$505,BD$3,実績!$AI$6:$AI$505,"&lt;="&amp;$A33,実績!$AJ$6:$AJ$505,"&gt;"&amp;$A33,実績!$AK$6:$AK$505,"○")&gt;0,1,0))</f>
        <v>0</v>
      </c>
      <c r="BE33" s="39" t="n">
        <f aca="false">IF(BE$4=0,0,IF(COUNTIFS(実績!$W$6:$W$505,BE$3,実績!$AI$6:$AI$505,"&lt;="&amp;$A33,実績!$AJ$6:$AJ$505,"&gt;"&amp;$A33,実績!$AK$6:$AK$505,"○")&gt;0,1,0))</f>
        <v>0</v>
      </c>
      <c r="BF33" s="39" t="n">
        <f aca="false">IF(BF$4=0,0,IF(COUNTIFS(実績!$W$6:$W$505,BF$3,実績!$AI$6:$AI$505,"&lt;="&amp;$A33,実績!$AJ$6:$AJ$505,"&gt;"&amp;$A33,実績!$AK$6:$AK$505,"○")&gt;0,1,0))</f>
        <v>0</v>
      </c>
      <c r="BG33" s="39" t="n">
        <f aca="false">IF(BG$4=0,0,IF(COUNTIFS(実績!$W$6:$W$505,BG$3,実績!$AI$6:$AI$505,"&lt;="&amp;$A33,実績!$AJ$6:$AJ$505,"&gt;"&amp;$A33,実績!$AK$6:$AK$505,"○")&gt;0,1,0))</f>
        <v>0</v>
      </c>
      <c r="BH33" s="39" t="n">
        <f aca="false">IF(BH$4=0,0,IF(COUNTIFS(実績!$W$6:$W$505,BH$3,実績!$AI$6:$AI$505,"&lt;="&amp;$A33,実績!$AJ$6:$AJ$505,"&gt;"&amp;$A33,実績!$AK$6:$AK$505,"○")&gt;0,1,0))</f>
        <v>0</v>
      </c>
      <c r="BI33" s="39" t="n">
        <f aca="false">IF(BI$4=0,0,IF(COUNTIFS(実績!$W$6:$W$505,BI$3,実績!$AI$6:$AI$505,"&lt;="&amp;$A33,実績!$AJ$6:$AJ$505,"&gt;"&amp;$A33,実績!$AK$6:$AK$505,"○")&gt;0,1,0))</f>
        <v>0</v>
      </c>
      <c r="BJ33" s="39" t="n">
        <f aca="false">IF(BJ$4=0,0,IF(COUNTIFS(実績!$W$6:$W$505,BJ$3,実績!$AI$6:$AI$505,"&lt;="&amp;$A33,実績!$AJ$6:$AJ$505,"&gt;"&amp;$A33,実績!$AK$6:$AK$505,"○")&gt;0,1,0))</f>
        <v>0</v>
      </c>
      <c r="BK33" s="39" t="n">
        <f aca="false">IF(BK$4=0,0,IF(COUNTIFS(実績!$W$6:$W$505,BK$3,実績!$AI$6:$AI$505,"&lt;="&amp;$A33,実績!$AJ$6:$AJ$505,"&gt;"&amp;$A33,実績!$AK$6:$AK$505,"○")&gt;0,1,0))</f>
        <v>0</v>
      </c>
      <c r="BL33" s="39" t="n">
        <f aca="false">IF(BL$4=0,0,IF(COUNTIFS(実績!$W$6:$W$505,BL$3,実績!$AI$6:$AI$505,"&lt;="&amp;$A33,実績!$AJ$6:$AJ$505,"&gt;"&amp;$A33,実績!$AK$6:$AK$505,"○")&gt;0,1,0))</f>
        <v>0</v>
      </c>
      <c r="BM33" s="39" t="n">
        <f aca="false">IF(BM$4=0,0,IF(COUNTIFS(実績!$W$6:$W$505,BM$3,実績!$AI$6:$AI$505,"&lt;="&amp;$A33,実績!$AJ$6:$AJ$505,"&gt;"&amp;$A33,実績!$AK$6:$AK$505,"○")&gt;0,1,0))</f>
        <v>0</v>
      </c>
      <c r="BN33" s="39" t="n">
        <f aca="false">IF(BN$4=0,0,IF(COUNTIFS(実績!$W$6:$W$505,BN$3,実績!$AI$6:$AI$505,"&lt;="&amp;$A33,実績!$AJ$6:$AJ$505,"&gt;"&amp;$A33,実績!$AK$6:$AK$505,"○")&gt;0,1,0))</f>
        <v>0</v>
      </c>
      <c r="BO33" s="39" t="n">
        <f aca="false">IF(BO$4=0,0,IF(COUNTIFS(実績!$W$6:$W$505,BO$3,実績!$AI$6:$AI$505,"&lt;="&amp;$A33,実績!$AJ$6:$AJ$505,"&gt;"&amp;$A33,実績!$AK$6:$AK$505,"○")&gt;0,1,0))</f>
        <v>0</v>
      </c>
      <c r="BP33" s="39" t="n">
        <f aca="false">IF(BP$4=0,0,IF(COUNTIFS(実績!$W$6:$W$505,BP$3,実績!$AI$6:$AI$505,"&lt;="&amp;$A33,実績!$AJ$6:$AJ$505,"&gt;"&amp;$A33,実績!$AK$6:$AK$505,"○")&gt;0,1,0))</f>
        <v>0</v>
      </c>
      <c r="BQ33" s="39" t="n">
        <f aca="false">IF(BQ$4=0,0,IF(COUNTIFS(実績!$W$6:$W$505,BQ$3,実績!$AI$6:$AI$505,"&lt;="&amp;$A33,実績!$AJ$6:$AJ$505,"&gt;"&amp;$A33,実績!$AK$6:$AK$505,"○")&gt;0,1,0))</f>
        <v>0</v>
      </c>
      <c r="BR33" s="39" t="n">
        <f aca="false">IF(BR$4=0,0,IF(COUNTIFS(実績!$W$6:$W$505,BR$3,実績!$AI$6:$AI$505,"&lt;="&amp;$A33,実績!$AJ$6:$AJ$505,"&gt;"&amp;$A33,実績!$AK$6:$AK$505,"○")&gt;0,1,0))</f>
        <v>0</v>
      </c>
      <c r="BS33" s="39" t="n">
        <f aca="false">IF(BS$4=0,0,IF(COUNTIFS(実績!$W$6:$W$505,BS$3,実績!$AI$6:$AI$505,"&lt;="&amp;$A33,実績!$AJ$6:$AJ$505,"&gt;"&amp;$A33,実績!$AK$6:$AK$505,"○")&gt;0,1,0))</f>
        <v>0</v>
      </c>
      <c r="BT33" s="39" t="n">
        <f aca="false">IF(BT$4=0,0,IF(COUNTIFS(実績!$W$6:$W$505,BT$3,実績!$AI$6:$AI$505,"&lt;="&amp;$A33,実績!$AJ$6:$AJ$505,"&gt;"&amp;$A33,実績!$AK$6:$AK$505,"○")&gt;0,1,0))</f>
        <v>0</v>
      </c>
      <c r="BU33" s="39" t="n">
        <f aca="false">IF(BU$4=0,0,IF(COUNTIFS(実績!$W$6:$W$505,BU$3,実績!$AI$6:$AI$505,"&lt;="&amp;$A33,実績!$AJ$6:$AJ$505,"&gt;"&amp;$A33,実績!$AK$6:$AK$505,"○")&gt;0,1,0))</f>
        <v>0</v>
      </c>
      <c r="BV33" s="39" t="n">
        <f aca="false">IF(BV$4=0,0,IF(COUNTIFS(実績!$W$6:$W$505,BV$3,実績!$AI$6:$AI$505,"&lt;="&amp;$A33,実績!$AJ$6:$AJ$505,"&gt;"&amp;$A33,実績!$AK$6:$AK$505,"○")&gt;0,1,0))</f>
        <v>0</v>
      </c>
      <c r="BW33" s="39" t="n">
        <f aca="false">IF(BW$4=0,0,IF(COUNTIFS(実績!$W$6:$W$505,BW$3,実績!$AI$6:$AI$505,"&lt;="&amp;$A33,実績!$AJ$6:$AJ$505,"&gt;"&amp;$A33,実績!$AK$6:$AK$505,"○")&gt;0,1,0))</f>
        <v>0</v>
      </c>
      <c r="BX33" s="39" t="n">
        <f aca="false">IF(BX$4=0,0,IF(COUNTIFS(実績!$W$6:$W$505,BX$3,実績!$AI$6:$AI$505,"&lt;="&amp;$A33,実績!$AJ$6:$AJ$505,"&gt;"&amp;$A33,実績!$AK$6:$AK$505,"○")&gt;0,1,0))</f>
        <v>0</v>
      </c>
      <c r="BY33" s="39" t="n">
        <f aca="false">IF(BY$4=0,0,IF(COUNTIFS(実績!$W$6:$W$505,BY$3,実績!$AI$6:$AI$505,"&lt;="&amp;$A33,実績!$AJ$6:$AJ$505,"&gt;"&amp;$A33,実績!$AK$6:$AK$505,"○")&gt;0,1,0))</f>
        <v>0</v>
      </c>
      <c r="BZ33" s="39" t="n">
        <f aca="false">IF(BZ$4=0,0,IF(COUNTIFS(実績!$W$6:$W$505,BZ$3,実績!$AI$6:$AI$505,"&lt;="&amp;$A33,実績!$AJ$6:$AJ$505,"&gt;"&amp;$A33,実績!$AK$6:$AK$505,"○")&gt;0,1,0))</f>
        <v>0</v>
      </c>
      <c r="CA33" s="39" t="n">
        <f aca="false">IF(CA$4=0,0,IF(COUNTIFS(実績!$W$6:$W$505,CA$3,実績!$AI$6:$AI$505,"&lt;="&amp;$A33,実績!$AJ$6:$AJ$505,"&gt;"&amp;$A33,実績!$AK$6:$AK$505,"○")&gt;0,1,0))</f>
        <v>0</v>
      </c>
      <c r="CB33" s="39" t="n">
        <f aca="false">IF(CB$4=0,0,IF(COUNTIFS(実績!$W$6:$W$505,CB$3,実績!$AI$6:$AI$505,"&lt;="&amp;$A33,実績!$AJ$6:$AJ$505,"&gt;"&amp;$A33,実績!$AK$6:$AK$505,"○")&gt;0,1,0))</f>
        <v>0</v>
      </c>
      <c r="CC33" s="39" t="n">
        <f aca="false">IF(CC$4=0,0,IF(COUNTIFS(実績!$W$6:$W$505,CC$3,実績!$AI$6:$AI$505,"&lt;="&amp;$A33,実績!$AJ$6:$AJ$505,"&gt;"&amp;$A33,実績!$AK$6:$AK$505,"○")&gt;0,1,0))</f>
        <v>0</v>
      </c>
      <c r="CD33" s="39" t="n">
        <f aca="false">IF(CD$4=0,0,IF(COUNTIFS(実績!$W$6:$W$505,CD$3,実績!$AI$6:$AI$505,"&lt;="&amp;$A33,実績!$AJ$6:$AJ$505,"&gt;"&amp;$A33,実績!$AK$6:$AK$505,"○")&gt;0,1,0))</f>
        <v>0</v>
      </c>
      <c r="CE33" s="39" t="n">
        <f aca="false">IF(CE$4=0,0,IF(COUNTIFS(実績!$W$6:$W$505,CE$3,実績!$AI$6:$AI$505,"&lt;="&amp;$A33,実績!$AJ$6:$AJ$505,"&gt;"&amp;$A33,実績!$AK$6:$AK$505,"○")&gt;0,1,0))</f>
        <v>0</v>
      </c>
      <c r="CF33" s="39" t="n">
        <f aca="false">IF(CF$4=0,0,IF(COUNTIFS(実績!$W$6:$W$505,CF$3,実績!$AI$6:$AI$505,"&lt;="&amp;$A33,実績!$AJ$6:$AJ$505,"&gt;"&amp;$A33,実績!$AK$6:$AK$505,"○")&gt;0,1,0))</f>
        <v>0</v>
      </c>
      <c r="CG33" s="39" t="n">
        <f aca="false">IF(CG$4=0,0,IF(COUNTIFS(実績!$W$6:$W$505,CG$3,実績!$AI$6:$AI$505,"&lt;="&amp;$A33,実績!$AJ$6:$AJ$505,"&gt;"&amp;$A33,実績!$AK$6:$AK$505,"○")&gt;0,1,0))</f>
        <v>0</v>
      </c>
      <c r="CH33" s="39" t="n">
        <f aca="false">IF(CH$4=0,0,IF(COUNTIFS(実績!$W$6:$W$505,CH$3,実績!$AI$6:$AI$505,"&lt;="&amp;$A33,実績!$AJ$6:$AJ$505,"&gt;"&amp;$A33,実績!$AK$6:$AK$505,"○")&gt;0,1,0))</f>
        <v>0</v>
      </c>
      <c r="CI33" s="39" t="n">
        <f aca="false">IF(CI$4=0,0,IF(COUNTIFS(実績!$W$6:$W$505,CI$3,実績!$AI$6:$AI$505,"&lt;="&amp;$A33,実績!$AJ$6:$AJ$505,"&gt;"&amp;$A33,実績!$AK$6:$AK$505,"○")&gt;0,1,0))</f>
        <v>0</v>
      </c>
      <c r="CJ33" s="39" t="n">
        <f aca="false">IF(CJ$4=0,0,IF(COUNTIFS(実績!$W$6:$W$505,CJ$3,実績!$AI$6:$AI$505,"&lt;="&amp;$A33,実績!$AJ$6:$AJ$505,"&gt;"&amp;$A33,実績!$AK$6:$AK$505,"○")&gt;0,1,0))</f>
        <v>0</v>
      </c>
      <c r="CK33" s="39" t="n">
        <f aca="false">IF(CK$4=0,0,IF(COUNTIFS(実績!$W$6:$W$505,CK$3,実績!$AI$6:$AI$505,"&lt;="&amp;$A33,実績!$AJ$6:$AJ$505,"&gt;"&amp;$A33,実績!$AK$6:$AK$505,"○")&gt;0,1,0))</f>
        <v>0</v>
      </c>
      <c r="CL33" s="39" t="n">
        <f aca="false">IF(CL$4=0,0,IF(COUNTIFS(実績!$W$6:$W$505,CL$3,実績!$AI$6:$AI$505,"&lt;="&amp;$A33,実績!$AJ$6:$AJ$505,"&gt;"&amp;$A33,実績!$AK$6:$AK$505,"○")&gt;0,1,0))</f>
        <v>0</v>
      </c>
      <c r="CM33" s="39" t="n">
        <f aca="false">IF(CM$4=0,0,IF(COUNTIFS(実績!$W$6:$W$505,CM$3,実績!$AI$6:$AI$505,"&lt;="&amp;$A33,実績!$AJ$6:$AJ$505,"&gt;"&amp;$A33,実績!$AK$6:$AK$505,"○")&gt;0,1,0))</f>
        <v>0</v>
      </c>
      <c r="CN33" s="39" t="n">
        <f aca="false">IF(CN$4=0,0,IF(COUNTIFS(実績!$W$6:$W$505,CN$3,実績!$AI$6:$AI$505,"&lt;="&amp;$A33,実績!$AJ$6:$AJ$505,"&gt;"&amp;$A33,実績!$AK$6:$AK$505,"○")&gt;0,1,0))</f>
        <v>0</v>
      </c>
      <c r="CO33" s="39" t="n">
        <f aca="false">IF(CO$4=0,0,IF(COUNTIFS(実績!$W$6:$W$505,CO$3,実績!$AI$6:$AI$505,"&lt;="&amp;$A33,実績!$AJ$6:$AJ$505,"&gt;"&amp;$A33,実績!$AK$6:$AK$505,"○")&gt;0,1,0))</f>
        <v>0</v>
      </c>
      <c r="CP33" s="39" t="n">
        <f aca="false">IF(CP$4=0,0,IF(COUNTIFS(実績!$W$6:$W$505,CP$3,実績!$AI$6:$AI$505,"&lt;="&amp;$A33,実績!$AJ$6:$AJ$505,"&gt;"&amp;$A33,実績!$AK$6:$AK$505,"○")&gt;0,1,0))</f>
        <v>0</v>
      </c>
      <c r="CQ33" s="39" t="n">
        <f aca="false">IF(CQ$4=0,0,IF(COUNTIFS(実績!$W$6:$W$505,CQ$3,実績!$AI$6:$AI$505,"&lt;="&amp;$A33,実績!$AJ$6:$AJ$505,"&gt;"&amp;$A33,実績!$AK$6:$AK$505,"○")&gt;0,1,0))</f>
        <v>0</v>
      </c>
      <c r="CR33" s="39" t="n">
        <f aca="false">IF(CR$4=0,0,IF(COUNTIFS(実績!$W$6:$W$505,CR$3,実績!$AI$6:$AI$505,"&lt;="&amp;$A33,実績!$AJ$6:$AJ$505,"&gt;"&amp;$A33,実績!$AK$6:$AK$505,"○")&gt;0,1,0))</f>
        <v>0</v>
      </c>
      <c r="CS33" s="39" t="n">
        <f aca="false">IF(CS$4=0,0,IF(COUNTIFS(実績!$W$6:$W$505,CS$3,実績!$AI$6:$AI$505,"&lt;="&amp;$A33,実績!$AJ$6:$AJ$505,"&gt;"&amp;$A33,実績!$AK$6:$AK$505,"○")&gt;0,1,0))</f>
        <v>0</v>
      </c>
      <c r="CT33" s="39" t="n">
        <f aca="false">IF(CT$4=0,0,IF(COUNTIFS(実績!$W$6:$W$505,CT$3,実績!$AI$6:$AI$505,"&lt;="&amp;$A33,実績!$AJ$6:$AJ$505,"&gt;"&amp;$A33,実績!$AK$6:$AK$505,"○")&gt;0,1,0))</f>
        <v>0</v>
      </c>
      <c r="CU33" s="39" t="n">
        <f aca="false">IF(CU$4=0,0,IF(COUNTIFS(実績!$W$6:$W$505,CU$3,実績!$AI$6:$AI$505,"&lt;="&amp;$A33,実績!$AJ$6:$AJ$505,"&gt;"&amp;$A33,実績!$AK$6:$AK$505,"○")&gt;0,1,0))</f>
        <v>0</v>
      </c>
      <c r="CV33" s="39" t="n">
        <f aca="false">IF(CV$4=0,0,IF(COUNTIFS(実績!$W$6:$W$505,CV$3,実績!$AI$6:$AI$505,"&lt;="&amp;$A33,実績!$AJ$6:$AJ$505,"&gt;"&amp;$A33,実績!$AK$6:$AK$505,"○")&gt;0,1,0))</f>
        <v>0</v>
      </c>
      <c r="CW33" s="39" t="n">
        <f aca="false">IF(CW$4=0,0,IF(COUNTIFS(実績!$W$6:$W$505,CW$3,実績!$AI$6:$AI$505,"&lt;="&amp;$A33,実績!$AJ$6:$AJ$505,"&gt;"&amp;$A33,実績!$AK$6:$AK$505,"○")&gt;0,1,0))</f>
        <v>0</v>
      </c>
      <c r="CX33" s="39" t="n">
        <f aca="false">IF(CX$4=0,0,IF(COUNTIFS(実績!$W$6:$W$505,CX$3,実績!$AI$6:$AI$505,"&lt;="&amp;$A33,実績!$AJ$6:$AJ$505,"&gt;"&amp;$A33,実績!$AK$6:$AK$505,"○")&gt;0,1,0))</f>
        <v>0</v>
      </c>
      <c r="CY33" s="39" t="n">
        <f aca="false">IF(CY$4=0,0,IF(COUNTIFS(実績!$W$6:$W$505,CY$3,実績!$AI$6:$AI$505,"&lt;="&amp;$A33,実績!$AJ$6:$AJ$505,"&gt;"&amp;$A33,実績!$AK$6:$AK$505,"○")&gt;0,1,0))</f>
        <v>0</v>
      </c>
      <c r="CZ33" s="39" t="n">
        <f aca="false">IF(CZ$4=0,0,IF(COUNTIFS(実績!$W$6:$W$505,CZ$3,実績!$AI$6:$AI$505,"&lt;="&amp;$A33,実績!$AJ$6:$AJ$505,"&gt;"&amp;$A33,実績!$AK$6:$AK$505,"○")&gt;0,1,0))</f>
        <v>0</v>
      </c>
      <c r="DA33" s="39" t="n">
        <f aca="false">IF(DA$4=0,0,IF(COUNTIFS(実績!$W$6:$W$505,DA$3,実績!$AI$6:$AI$505,"&lt;="&amp;$A33,実績!$AJ$6:$AJ$505,"&gt;"&amp;$A33,実績!$AK$6:$AK$505,"○")&gt;0,1,0))</f>
        <v>0</v>
      </c>
      <c r="DB33" s="39" t="n">
        <f aca="false">IF(DB$4=0,0,IF(COUNTIFS(実績!$W$6:$W$505,DB$3,実績!$AI$6:$AI$505,"&lt;="&amp;$A33,実績!$AJ$6:$AJ$505,"&gt;"&amp;$A33,実績!$AK$6:$AK$505,"○")&gt;0,1,0))</f>
        <v>0</v>
      </c>
      <c r="DC33" s="39" t="n">
        <f aca="false">IF(DC$4=0,0,IF(COUNTIFS(実績!$W$6:$W$505,DC$3,実績!$AI$6:$AI$505,"&lt;="&amp;$A33,実績!$AJ$6:$AJ$505,"&gt;"&amp;$A33,実績!$AK$6:$AK$505,"○")&gt;0,1,0))</f>
        <v>0</v>
      </c>
      <c r="DD33" s="39" t="n">
        <f aca="false">IF(DD$4=0,0,IF(COUNTIFS(実績!$W$6:$W$505,DD$3,実績!$AI$6:$AI$505,"&lt;="&amp;$A33,実績!$AJ$6:$AJ$505,"&gt;"&amp;$A33,実績!$AK$6:$AK$505,"○")&gt;0,1,0))</f>
        <v>0</v>
      </c>
      <c r="DE33" s="39" t="n">
        <f aca="false">IF(DE$4=0,0,IF(COUNTIFS(実績!$W$6:$W$505,DE$3,実績!$AI$6:$AI$505,"&lt;="&amp;$A33,実績!$AJ$6:$AJ$505,"&gt;"&amp;$A33,実績!$AK$6:$AK$505,"○")&gt;0,1,0))</f>
        <v>0</v>
      </c>
      <c r="DF33" s="39" t="n">
        <f aca="false">IF(DF$4=0,0,IF(COUNTIFS(実績!$W$6:$W$505,DF$3,実績!$AI$6:$AI$505,"&lt;="&amp;$A33,実績!$AJ$6:$AJ$505,"&gt;"&amp;$A33,実績!$AK$6:$AK$505,"○")&gt;0,1,0))</f>
        <v>0</v>
      </c>
      <c r="DG33" s="39" t="n">
        <f aca="false">IF(DG$4=0,0,IF(COUNTIFS(実績!$W$6:$W$505,DG$3,実績!$AI$6:$AI$505,"&lt;="&amp;$A33,実績!$AJ$6:$AJ$505,"&gt;"&amp;$A33,実績!$AK$6:$AK$505,"○")&gt;0,1,0))</f>
        <v>0</v>
      </c>
      <c r="DH33" s="39" t="n">
        <f aca="false">IF(DH$4=0,0,IF(COUNTIFS(実績!$W$6:$W$505,DH$3,実績!$AI$6:$AI$505,"&lt;="&amp;$A33,実績!$AJ$6:$AJ$505,"&gt;"&amp;$A33,実績!$AK$6:$AK$505,"○")&gt;0,1,0))</f>
        <v>0</v>
      </c>
      <c r="DI33" s="39" t="n">
        <f aca="false">IF(DI$4=0,0,IF(COUNTIFS(実績!$W$6:$W$505,DI$3,実績!$AI$6:$AI$505,"&lt;="&amp;$A33,実績!$AJ$6:$AJ$505,"&gt;"&amp;$A33,実績!$AK$6:$AK$505,"○")&gt;0,1,0))</f>
        <v>0</v>
      </c>
      <c r="DJ33" s="39" t="n">
        <f aca="false">IF(DJ$4=0,0,IF(COUNTIFS(実績!$W$6:$W$505,DJ$3,実績!$AI$6:$AI$505,"&lt;="&amp;$A33,実績!$AJ$6:$AJ$505,"&gt;"&amp;$A33,実績!$AK$6:$AK$505,"○")&gt;0,1,0))</f>
        <v>0</v>
      </c>
      <c r="DK33" s="39" t="n">
        <f aca="false">IF(DK$4=0,0,IF(COUNTIFS(実績!$W$6:$W$505,DK$3,実績!$AI$6:$AI$505,"&lt;="&amp;$A33,実績!$AJ$6:$AJ$505,"&gt;"&amp;$A33,実績!$AK$6:$AK$505,"○")&gt;0,1,0))</f>
        <v>0</v>
      </c>
      <c r="DL33" s="39" t="n">
        <f aca="false">IF(DL$4=0,0,IF(COUNTIFS(実績!$W$6:$W$505,DL$3,実績!$AI$6:$AI$505,"&lt;="&amp;$A33,実績!$AJ$6:$AJ$505,"&gt;"&amp;$A33,実績!$AK$6:$AK$505,"○")&gt;0,1,0))</f>
        <v>0</v>
      </c>
      <c r="DM33" s="39" t="n">
        <f aca="false">IF(DM$4=0,0,IF(COUNTIFS(実績!$W$6:$W$505,DM$3,実績!$AI$6:$AI$505,"&lt;="&amp;$A33,実績!$AJ$6:$AJ$505,"&gt;"&amp;$A33,実績!$AK$6:$AK$505,"○")&gt;0,1,0))</f>
        <v>0</v>
      </c>
      <c r="DN33" s="39" t="n">
        <f aca="false">IF(DN$4=0,0,IF(COUNTIFS(実績!$W$6:$W$505,DN$3,実績!$AI$6:$AI$505,"&lt;="&amp;$A33,実績!$AJ$6:$AJ$505,"&gt;"&amp;$A33,実績!$AK$6:$AK$505,"○")&gt;0,1,0))</f>
        <v>0</v>
      </c>
      <c r="DO33" s="39" t="n">
        <f aca="false">IF(DO$4=0,0,IF(COUNTIFS(実績!$W$6:$W$505,DO$3,実績!$AI$6:$AI$505,"&lt;="&amp;$A33,実績!$AJ$6:$AJ$505,"&gt;"&amp;$A33,実績!$AK$6:$AK$505,"○")&gt;0,1,0))</f>
        <v>0</v>
      </c>
      <c r="DP33" s="39" t="n">
        <f aca="false">IF(DP$4=0,0,IF(COUNTIFS(実績!$W$6:$W$505,DP$3,実績!$AI$6:$AI$505,"&lt;="&amp;$A33,実績!$AJ$6:$AJ$505,"&gt;"&amp;$A33,実績!$AK$6:$AK$505,"○")&gt;0,1,0))</f>
        <v>0</v>
      </c>
      <c r="DQ33" s="39" t="n">
        <f aca="false">IF(DQ$4=0,0,IF(COUNTIFS(実績!$W$6:$W$505,DQ$3,実績!$AI$6:$AI$505,"&lt;="&amp;$A33,実績!$AJ$6:$AJ$505,"&gt;"&amp;$A33,実績!$AK$6:$AK$505,"○")&gt;0,1,0))</f>
        <v>0</v>
      </c>
      <c r="DR33" s="39" t="n">
        <f aca="false">IF(DR$4=0,0,IF(COUNTIFS(実績!$W$6:$W$505,DR$3,実績!$AI$6:$AI$505,"&lt;="&amp;$A33,実績!$AJ$6:$AJ$505,"&gt;"&amp;$A33,実績!$AK$6:$AK$505,"○")&gt;0,1,0))</f>
        <v>0</v>
      </c>
      <c r="DS33" s="39" t="n">
        <f aca="false">SUM(C33:DR33)</f>
        <v>0</v>
      </c>
      <c r="DT33" s="39" t="n">
        <f aca="false">SUMPRODUCT((実績!$C$6:$C$505="○")*ISNUMBER(実績!$AM$6:$AM$505)*(実績!$AM$6:$AM$505&lt;=$A33)*(実績!$AN$6:$AN$505&gt;$A33))</f>
        <v>0</v>
      </c>
      <c r="DU33" s="39" t="n">
        <f aca="false">SUMIF($C$2:$DR$2,"製鉄曳船",C33:DR33)</f>
        <v>0</v>
      </c>
      <c r="DV33" s="39" t="n">
        <f aca="false">SUMIF($C$2:$DR$2,"西日本海運",C33:DR33)</f>
        <v>0</v>
      </c>
    </row>
    <row r="34" customFormat="false" ht="15" hidden="false" customHeight="false" outlineLevel="0" collapsed="false">
      <c r="A34" s="0" t="n">
        <v>140</v>
      </c>
      <c r="B34" s="38" t="n">
        <f aca="false">A34/1440</f>
        <v>0.0972222222222222</v>
      </c>
      <c r="C34" s="39" t="n">
        <f aca="false">IF(C$4=0,0,IF(COUNTIFS(実績!$W$6:$W$505,C$3,実績!$AI$6:$AI$505,"&lt;="&amp;$A34,実績!$AJ$6:$AJ$505,"&gt;"&amp;$A34,実績!$AK$6:$AK$505,"○")&gt;0,1,0))</f>
        <v>0</v>
      </c>
      <c r="D34" s="39" t="n">
        <f aca="false">IF(D$4=0,0,IF(COUNTIFS(実績!$W$6:$W$505,D$3,実績!$AI$6:$AI$505,"&lt;="&amp;$A34,実績!$AJ$6:$AJ$505,"&gt;"&amp;$A34,実績!$AK$6:$AK$505,"○")&gt;0,1,0))</f>
        <v>0</v>
      </c>
      <c r="E34" s="39" t="n">
        <f aca="false">IF(E$4=0,0,IF(COUNTIFS(実績!$W$6:$W$505,E$3,実績!$AI$6:$AI$505,"&lt;="&amp;$A34,実績!$AJ$6:$AJ$505,"&gt;"&amp;$A34,実績!$AK$6:$AK$505,"○")&gt;0,1,0))</f>
        <v>0</v>
      </c>
      <c r="F34" s="39" t="n">
        <f aca="false">IF(F$4=0,0,IF(COUNTIFS(実績!$W$6:$W$505,F$3,実績!$AI$6:$AI$505,"&lt;="&amp;$A34,実績!$AJ$6:$AJ$505,"&gt;"&amp;$A34,実績!$AK$6:$AK$505,"○")&gt;0,1,0))</f>
        <v>0</v>
      </c>
      <c r="G34" s="39" t="n">
        <f aca="false">IF(G$4=0,0,IF(COUNTIFS(実績!$W$6:$W$505,G$3,実績!$AI$6:$AI$505,"&lt;="&amp;$A34,実績!$AJ$6:$AJ$505,"&gt;"&amp;$A34,実績!$AK$6:$AK$505,"○")&gt;0,1,0))</f>
        <v>0</v>
      </c>
      <c r="H34" s="39" t="n">
        <f aca="false">IF(H$4=0,0,IF(COUNTIFS(実績!$W$6:$W$505,H$3,実績!$AI$6:$AI$505,"&lt;="&amp;$A34,実績!$AJ$6:$AJ$505,"&gt;"&amp;$A34,実績!$AK$6:$AK$505,"○")&gt;0,1,0))</f>
        <v>0</v>
      </c>
      <c r="I34" s="39" t="n">
        <f aca="false">IF(I$4=0,0,IF(COUNTIFS(実績!$W$6:$W$505,I$3,実績!$AI$6:$AI$505,"&lt;="&amp;$A34,実績!$AJ$6:$AJ$505,"&gt;"&amp;$A34,実績!$AK$6:$AK$505,"○")&gt;0,1,0))</f>
        <v>0</v>
      </c>
      <c r="J34" s="39" t="n">
        <f aca="false">IF(J$4=0,0,IF(COUNTIFS(実績!$W$6:$W$505,J$3,実績!$AI$6:$AI$505,"&lt;="&amp;$A34,実績!$AJ$6:$AJ$505,"&gt;"&amp;$A34,実績!$AK$6:$AK$505,"○")&gt;0,1,0))</f>
        <v>0</v>
      </c>
      <c r="K34" s="39" t="n">
        <f aca="false">IF(K$4=0,0,IF(COUNTIFS(実績!$W$6:$W$505,K$3,実績!$AI$6:$AI$505,"&lt;="&amp;$A34,実績!$AJ$6:$AJ$505,"&gt;"&amp;$A34,実績!$AK$6:$AK$505,"○")&gt;0,1,0))</f>
        <v>0</v>
      </c>
      <c r="L34" s="39" t="n">
        <f aca="false">IF(L$4=0,0,IF(COUNTIFS(実績!$W$6:$W$505,L$3,実績!$AI$6:$AI$505,"&lt;="&amp;$A34,実績!$AJ$6:$AJ$505,"&gt;"&amp;$A34,実績!$AK$6:$AK$505,"○")&gt;0,1,0))</f>
        <v>0</v>
      </c>
      <c r="M34" s="39" t="n">
        <f aca="false">IF(M$4=0,0,IF(COUNTIFS(実績!$W$6:$W$505,M$3,実績!$AI$6:$AI$505,"&lt;="&amp;$A34,実績!$AJ$6:$AJ$505,"&gt;"&amp;$A34,実績!$AK$6:$AK$505,"○")&gt;0,1,0))</f>
        <v>0</v>
      </c>
      <c r="N34" s="39" t="n">
        <f aca="false">IF(N$4=0,0,IF(COUNTIFS(実績!$W$6:$W$505,N$3,実績!$AI$6:$AI$505,"&lt;="&amp;$A34,実績!$AJ$6:$AJ$505,"&gt;"&amp;$A34,実績!$AK$6:$AK$505,"○")&gt;0,1,0))</f>
        <v>0</v>
      </c>
      <c r="O34" s="39" t="n">
        <f aca="false">IF(O$4=0,0,IF(COUNTIFS(実績!$W$6:$W$505,O$3,実績!$AI$6:$AI$505,"&lt;="&amp;$A34,実績!$AJ$6:$AJ$505,"&gt;"&amp;$A34,実績!$AK$6:$AK$505,"○")&gt;0,1,0))</f>
        <v>0</v>
      </c>
      <c r="P34" s="39" t="n">
        <f aca="false">IF(P$4=0,0,IF(COUNTIFS(実績!$W$6:$W$505,P$3,実績!$AI$6:$AI$505,"&lt;="&amp;$A34,実績!$AJ$6:$AJ$505,"&gt;"&amp;$A34,実績!$AK$6:$AK$505,"○")&gt;0,1,0))</f>
        <v>0</v>
      </c>
      <c r="Q34" s="39" t="n">
        <f aca="false">IF(Q$4=0,0,IF(COUNTIFS(実績!$W$6:$W$505,Q$3,実績!$AI$6:$AI$505,"&lt;="&amp;$A34,実績!$AJ$6:$AJ$505,"&gt;"&amp;$A34,実績!$AK$6:$AK$505,"○")&gt;0,1,0))</f>
        <v>0</v>
      </c>
      <c r="R34" s="39" t="n">
        <f aca="false">IF(R$4=0,0,IF(COUNTIFS(実績!$W$6:$W$505,R$3,実績!$AI$6:$AI$505,"&lt;="&amp;$A34,実績!$AJ$6:$AJ$505,"&gt;"&amp;$A34,実績!$AK$6:$AK$505,"○")&gt;0,1,0))</f>
        <v>0</v>
      </c>
      <c r="S34" s="39" t="n">
        <f aca="false">IF(S$4=0,0,IF(COUNTIFS(実績!$W$6:$W$505,S$3,実績!$AI$6:$AI$505,"&lt;="&amp;$A34,実績!$AJ$6:$AJ$505,"&gt;"&amp;$A34,実績!$AK$6:$AK$505,"○")&gt;0,1,0))</f>
        <v>0</v>
      </c>
      <c r="T34" s="39" t="n">
        <f aca="false">IF(T$4=0,0,IF(COUNTIFS(実績!$W$6:$W$505,T$3,実績!$AI$6:$AI$505,"&lt;="&amp;$A34,実績!$AJ$6:$AJ$505,"&gt;"&amp;$A34,実績!$AK$6:$AK$505,"○")&gt;0,1,0))</f>
        <v>0</v>
      </c>
      <c r="U34" s="39" t="n">
        <f aca="false">IF(U$4=0,0,IF(COUNTIFS(実績!$W$6:$W$505,U$3,実績!$AI$6:$AI$505,"&lt;="&amp;$A34,実績!$AJ$6:$AJ$505,"&gt;"&amp;$A34,実績!$AK$6:$AK$505,"○")&gt;0,1,0))</f>
        <v>0</v>
      </c>
      <c r="V34" s="39" t="n">
        <f aca="false">IF(V$4=0,0,IF(COUNTIFS(実績!$W$6:$W$505,V$3,実績!$AI$6:$AI$505,"&lt;="&amp;$A34,実績!$AJ$6:$AJ$505,"&gt;"&amp;$A34,実績!$AK$6:$AK$505,"○")&gt;0,1,0))</f>
        <v>0</v>
      </c>
      <c r="W34" s="39" t="n">
        <f aca="false">IF(W$4=0,0,IF(COUNTIFS(実績!$W$6:$W$505,W$3,実績!$AI$6:$AI$505,"&lt;="&amp;$A34,実績!$AJ$6:$AJ$505,"&gt;"&amp;$A34,実績!$AK$6:$AK$505,"○")&gt;0,1,0))</f>
        <v>0</v>
      </c>
      <c r="X34" s="39" t="n">
        <f aca="false">IF(X$4=0,0,IF(COUNTIFS(実績!$W$6:$W$505,X$3,実績!$AI$6:$AI$505,"&lt;="&amp;$A34,実績!$AJ$6:$AJ$505,"&gt;"&amp;$A34,実績!$AK$6:$AK$505,"○")&gt;0,1,0))</f>
        <v>0</v>
      </c>
      <c r="Y34" s="39" t="n">
        <f aca="false">IF(Y$4=0,0,IF(COUNTIFS(実績!$W$6:$W$505,Y$3,実績!$AI$6:$AI$505,"&lt;="&amp;$A34,実績!$AJ$6:$AJ$505,"&gt;"&amp;$A34,実績!$AK$6:$AK$505,"○")&gt;0,1,0))</f>
        <v>0</v>
      </c>
      <c r="Z34" s="39" t="n">
        <f aca="false">IF(Z$4=0,0,IF(COUNTIFS(実績!$W$6:$W$505,Z$3,実績!$AI$6:$AI$505,"&lt;="&amp;$A34,実績!$AJ$6:$AJ$505,"&gt;"&amp;$A34,実績!$AK$6:$AK$505,"○")&gt;0,1,0))</f>
        <v>0</v>
      </c>
      <c r="AA34" s="39" t="n">
        <f aca="false">IF(AA$4=0,0,IF(COUNTIFS(実績!$W$6:$W$505,AA$3,実績!$AI$6:$AI$505,"&lt;="&amp;$A34,実績!$AJ$6:$AJ$505,"&gt;"&amp;$A34,実績!$AK$6:$AK$505,"○")&gt;0,1,0))</f>
        <v>0</v>
      </c>
      <c r="AB34" s="39" t="n">
        <f aca="false">IF(AB$4=0,0,IF(COUNTIFS(実績!$W$6:$W$505,AB$3,実績!$AI$6:$AI$505,"&lt;="&amp;$A34,実績!$AJ$6:$AJ$505,"&gt;"&amp;$A34,実績!$AK$6:$AK$505,"○")&gt;0,1,0))</f>
        <v>0</v>
      </c>
      <c r="AC34" s="39" t="n">
        <f aca="false">IF(AC$4=0,0,IF(COUNTIFS(実績!$W$6:$W$505,AC$3,実績!$AI$6:$AI$505,"&lt;="&amp;$A34,実績!$AJ$6:$AJ$505,"&gt;"&amp;$A34,実績!$AK$6:$AK$505,"○")&gt;0,1,0))</f>
        <v>0</v>
      </c>
      <c r="AD34" s="39" t="n">
        <f aca="false">IF(AD$4=0,0,IF(COUNTIFS(実績!$W$6:$W$505,AD$3,実績!$AI$6:$AI$505,"&lt;="&amp;$A34,実績!$AJ$6:$AJ$505,"&gt;"&amp;$A34,実績!$AK$6:$AK$505,"○")&gt;0,1,0))</f>
        <v>0</v>
      </c>
      <c r="AE34" s="39" t="n">
        <f aca="false">IF(AE$4=0,0,IF(COUNTIFS(実績!$W$6:$W$505,AE$3,実績!$AI$6:$AI$505,"&lt;="&amp;$A34,実績!$AJ$6:$AJ$505,"&gt;"&amp;$A34,実績!$AK$6:$AK$505,"○")&gt;0,1,0))</f>
        <v>0</v>
      </c>
      <c r="AF34" s="39" t="n">
        <f aca="false">IF(AF$4=0,0,IF(COUNTIFS(実績!$W$6:$W$505,AF$3,実績!$AI$6:$AI$505,"&lt;="&amp;$A34,実績!$AJ$6:$AJ$505,"&gt;"&amp;$A34,実績!$AK$6:$AK$505,"○")&gt;0,1,0))</f>
        <v>0</v>
      </c>
      <c r="AG34" s="39" t="n">
        <f aca="false">IF(AG$4=0,0,IF(COUNTIFS(実績!$W$6:$W$505,AG$3,実績!$AI$6:$AI$505,"&lt;="&amp;$A34,実績!$AJ$6:$AJ$505,"&gt;"&amp;$A34,実績!$AK$6:$AK$505,"○")&gt;0,1,0))</f>
        <v>0</v>
      </c>
      <c r="AH34" s="39" t="n">
        <f aca="false">IF(AH$4=0,0,IF(COUNTIFS(実績!$W$6:$W$505,AH$3,実績!$AI$6:$AI$505,"&lt;="&amp;$A34,実績!$AJ$6:$AJ$505,"&gt;"&amp;$A34,実績!$AK$6:$AK$505,"○")&gt;0,1,0))</f>
        <v>0</v>
      </c>
      <c r="AI34" s="39" t="n">
        <f aca="false">IF(AI$4=0,0,IF(COUNTIFS(実績!$W$6:$W$505,AI$3,実績!$AI$6:$AI$505,"&lt;="&amp;$A34,実績!$AJ$6:$AJ$505,"&gt;"&amp;$A34,実績!$AK$6:$AK$505,"○")&gt;0,1,0))</f>
        <v>0</v>
      </c>
      <c r="AJ34" s="39" t="n">
        <f aca="false">IF(AJ$4=0,0,IF(COUNTIFS(実績!$W$6:$W$505,AJ$3,実績!$AI$6:$AI$505,"&lt;="&amp;$A34,実績!$AJ$6:$AJ$505,"&gt;"&amp;$A34,実績!$AK$6:$AK$505,"○")&gt;0,1,0))</f>
        <v>0</v>
      </c>
      <c r="AK34" s="39" t="n">
        <f aca="false">IF(AK$4=0,0,IF(COUNTIFS(実績!$W$6:$W$505,AK$3,実績!$AI$6:$AI$505,"&lt;="&amp;$A34,実績!$AJ$6:$AJ$505,"&gt;"&amp;$A34,実績!$AK$6:$AK$505,"○")&gt;0,1,0))</f>
        <v>0</v>
      </c>
      <c r="AL34" s="39" t="n">
        <f aca="false">IF(AL$4=0,0,IF(COUNTIFS(実績!$W$6:$W$505,AL$3,実績!$AI$6:$AI$505,"&lt;="&amp;$A34,実績!$AJ$6:$AJ$505,"&gt;"&amp;$A34,実績!$AK$6:$AK$505,"○")&gt;0,1,0))</f>
        <v>0</v>
      </c>
      <c r="AM34" s="39" t="n">
        <f aca="false">IF(AM$4=0,0,IF(COUNTIFS(実績!$W$6:$W$505,AM$3,実績!$AI$6:$AI$505,"&lt;="&amp;$A34,実績!$AJ$6:$AJ$505,"&gt;"&amp;$A34,実績!$AK$6:$AK$505,"○")&gt;0,1,0))</f>
        <v>0</v>
      </c>
      <c r="AN34" s="39" t="n">
        <f aca="false">IF(AN$4=0,0,IF(COUNTIFS(実績!$W$6:$W$505,AN$3,実績!$AI$6:$AI$505,"&lt;="&amp;$A34,実績!$AJ$6:$AJ$505,"&gt;"&amp;$A34,実績!$AK$6:$AK$505,"○")&gt;0,1,0))</f>
        <v>0</v>
      </c>
      <c r="AO34" s="39" t="n">
        <f aca="false">IF(AO$4=0,0,IF(COUNTIFS(実績!$W$6:$W$505,AO$3,実績!$AI$6:$AI$505,"&lt;="&amp;$A34,実績!$AJ$6:$AJ$505,"&gt;"&amp;$A34,実績!$AK$6:$AK$505,"○")&gt;0,1,0))</f>
        <v>0</v>
      </c>
      <c r="AP34" s="39" t="n">
        <f aca="false">IF(AP$4=0,0,IF(COUNTIFS(実績!$W$6:$W$505,AP$3,実績!$AI$6:$AI$505,"&lt;="&amp;$A34,実績!$AJ$6:$AJ$505,"&gt;"&amp;$A34,実績!$AK$6:$AK$505,"○")&gt;0,1,0))</f>
        <v>0</v>
      </c>
      <c r="AQ34" s="39" t="n">
        <f aca="false">IF(AQ$4=0,0,IF(COUNTIFS(実績!$W$6:$W$505,AQ$3,実績!$AI$6:$AI$505,"&lt;="&amp;$A34,実績!$AJ$6:$AJ$505,"&gt;"&amp;$A34,実績!$AK$6:$AK$505,"○")&gt;0,1,0))</f>
        <v>0</v>
      </c>
      <c r="AR34" s="39" t="n">
        <f aca="false">IF(AR$4=0,0,IF(COUNTIFS(実績!$W$6:$W$505,AR$3,実績!$AI$6:$AI$505,"&lt;="&amp;$A34,実績!$AJ$6:$AJ$505,"&gt;"&amp;$A34,実績!$AK$6:$AK$505,"○")&gt;0,1,0))</f>
        <v>0</v>
      </c>
      <c r="AS34" s="39" t="n">
        <f aca="false">IF(AS$4=0,0,IF(COUNTIFS(実績!$W$6:$W$505,AS$3,実績!$AI$6:$AI$505,"&lt;="&amp;$A34,実績!$AJ$6:$AJ$505,"&gt;"&amp;$A34,実績!$AK$6:$AK$505,"○")&gt;0,1,0))</f>
        <v>0</v>
      </c>
      <c r="AT34" s="39" t="n">
        <f aca="false">IF(AT$4=0,0,IF(COUNTIFS(実績!$W$6:$W$505,AT$3,実績!$AI$6:$AI$505,"&lt;="&amp;$A34,実績!$AJ$6:$AJ$505,"&gt;"&amp;$A34,実績!$AK$6:$AK$505,"○")&gt;0,1,0))</f>
        <v>0</v>
      </c>
      <c r="AU34" s="39" t="n">
        <f aca="false">IF(AU$4=0,0,IF(COUNTIFS(実績!$W$6:$W$505,AU$3,実績!$AI$6:$AI$505,"&lt;="&amp;$A34,実績!$AJ$6:$AJ$505,"&gt;"&amp;$A34,実績!$AK$6:$AK$505,"○")&gt;0,1,0))</f>
        <v>0</v>
      </c>
      <c r="AV34" s="39" t="n">
        <f aca="false">IF(AV$4=0,0,IF(COUNTIFS(実績!$W$6:$W$505,AV$3,実績!$AI$6:$AI$505,"&lt;="&amp;$A34,実績!$AJ$6:$AJ$505,"&gt;"&amp;$A34,実績!$AK$6:$AK$505,"○")&gt;0,1,0))</f>
        <v>0</v>
      </c>
      <c r="AW34" s="39" t="n">
        <f aca="false">IF(AW$4=0,0,IF(COUNTIFS(実績!$W$6:$W$505,AW$3,実績!$AI$6:$AI$505,"&lt;="&amp;$A34,実績!$AJ$6:$AJ$505,"&gt;"&amp;$A34,実績!$AK$6:$AK$505,"○")&gt;0,1,0))</f>
        <v>0</v>
      </c>
      <c r="AX34" s="39" t="n">
        <f aca="false">IF(AX$4=0,0,IF(COUNTIFS(実績!$W$6:$W$505,AX$3,実績!$AI$6:$AI$505,"&lt;="&amp;$A34,実績!$AJ$6:$AJ$505,"&gt;"&amp;$A34,実績!$AK$6:$AK$505,"○")&gt;0,1,0))</f>
        <v>0</v>
      </c>
      <c r="AY34" s="39" t="n">
        <f aca="false">IF(AY$4=0,0,IF(COUNTIFS(実績!$W$6:$W$505,AY$3,実績!$AI$6:$AI$505,"&lt;="&amp;$A34,実績!$AJ$6:$AJ$505,"&gt;"&amp;$A34,実績!$AK$6:$AK$505,"○")&gt;0,1,0))</f>
        <v>0</v>
      </c>
      <c r="AZ34" s="39" t="n">
        <f aca="false">IF(AZ$4=0,0,IF(COUNTIFS(実績!$W$6:$W$505,AZ$3,実績!$AI$6:$AI$505,"&lt;="&amp;$A34,実績!$AJ$6:$AJ$505,"&gt;"&amp;$A34,実績!$AK$6:$AK$505,"○")&gt;0,1,0))</f>
        <v>0</v>
      </c>
      <c r="BA34" s="39" t="n">
        <f aca="false">IF(BA$4=0,0,IF(COUNTIFS(実績!$W$6:$W$505,BA$3,実績!$AI$6:$AI$505,"&lt;="&amp;$A34,実績!$AJ$6:$AJ$505,"&gt;"&amp;$A34,実績!$AK$6:$AK$505,"○")&gt;0,1,0))</f>
        <v>0</v>
      </c>
      <c r="BB34" s="39" t="n">
        <f aca="false">IF(BB$4=0,0,IF(COUNTIFS(実績!$W$6:$W$505,BB$3,実績!$AI$6:$AI$505,"&lt;="&amp;$A34,実績!$AJ$6:$AJ$505,"&gt;"&amp;$A34,実績!$AK$6:$AK$505,"○")&gt;0,1,0))</f>
        <v>0</v>
      </c>
      <c r="BC34" s="39" t="n">
        <f aca="false">IF(BC$4=0,0,IF(COUNTIFS(実績!$W$6:$W$505,BC$3,実績!$AI$6:$AI$505,"&lt;="&amp;$A34,実績!$AJ$6:$AJ$505,"&gt;"&amp;$A34,実績!$AK$6:$AK$505,"○")&gt;0,1,0))</f>
        <v>0</v>
      </c>
      <c r="BD34" s="39" t="n">
        <f aca="false">IF(BD$4=0,0,IF(COUNTIFS(実績!$W$6:$W$505,BD$3,実績!$AI$6:$AI$505,"&lt;="&amp;$A34,実績!$AJ$6:$AJ$505,"&gt;"&amp;$A34,実績!$AK$6:$AK$505,"○")&gt;0,1,0))</f>
        <v>0</v>
      </c>
      <c r="BE34" s="39" t="n">
        <f aca="false">IF(BE$4=0,0,IF(COUNTIFS(実績!$W$6:$W$505,BE$3,実績!$AI$6:$AI$505,"&lt;="&amp;$A34,実績!$AJ$6:$AJ$505,"&gt;"&amp;$A34,実績!$AK$6:$AK$505,"○")&gt;0,1,0))</f>
        <v>0</v>
      </c>
      <c r="BF34" s="39" t="n">
        <f aca="false">IF(BF$4=0,0,IF(COUNTIFS(実績!$W$6:$W$505,BF$3,実績!$AI$6:$AI$505,"&lt;="&amp;$A34,実績!$AJ$6:$AJ$505,"&gt;"&amp;$A34,実績!$AK$6:$AK$505,"○")&gt;0,1,0))</f>
        <v>0</v>
      </c>
      <c r="BG34" s="39" t="n">
        <f aca="false">IF(BG$4=0,0,IF(COUNTIFS(実績!$W$6:$W$505,BG$3,実績!$AI$6:$AI$505,"&lt;="&amp;$A34,実績!$AJ$6:$AJ$505,"&gt;"&amp;$A34,実績!$AK$6:$AK$505,"○")&gt;0,1,0))</f>
        <v>0</v>
      </c>
      <c r="BH34" s="39" t="n">
        <f aca="false">IF(BH$4=0,0,IF(COUNTIFS(実績!$W$6:$W$505,BH$3,実績!$AI$6:$AI$505,"&lt;="&amp;$A34,実績!$AJ$6:$AJ$505,"&gt;"&amp;$A34,実績!$AK$6:$AK$505,"○")&gt;0,1,0))</f>
        <v>0</v>
      </c>
      <c r="BI34" s="39" t="n">
        <f aca="false">IF(BI$4=0,0,IF(COUNTIFS(実績!$W$6:$W$505,BI$3,実績!$AI$6:$AI$505,"&lt;="&amp;$A34,実績!$AJ$6:$AJ$505,"&gt;"&amp;$A34,実績!$AK$6:$AK$505,"○")&gt;0,1,0))</f>
        <v>0</v>
      </c>
      <c r="BJ34" s="39" t="n">
        <f aca="false">IF(BJ$4=0,0,IF(COUNTIFS(実績!$W$6:$W$505,BJ$3,実績!$AI$6:$AI$505,"&lt;="&amp;$A34,実績!$AJ$6:$AJ$505,"&gt;"&amp;$A34,実績!$AK$6:$AK$505,"○")&gt;0,1,0))</f>
        <v>0</v>
      </c>
      <c r="BK34" s="39" t="n">
        <f aca="false">IF(BK$4=0,0,IF(COUNTIFS(実績!$W$6:$W$505,BK$3,実績!$AI$6:$AI$505,"&lt;="&amp;$A34,実績!$AJ$6:$AJ$505,"&gt;"&amp;$A34,実績!$AK$6:$AK$505,"○")&gt;0,1,0))</f>
        <v>0</v>
      </c>
      <c r="BL34" s="39" t="n">
        <f aca="false">IF(BL$4=0,0,IF(COUNTIFS(実績!$W$6:$W$505,BL$3,実績!$AI$6:$AI$505,"&lt;="&amp;$A34,実績!$AJ$6:$AJ$505,"&gt;"&amp;$A34,実績!$AK$6:$AK$505,"○")&gt;0,1,0))</f>
        <v>0</v>
      </c>
      <c r="BM34" s="39" t="n">
        <f aca="false">IF(BM$4=0,0,IF(COUNTIFS(実績!$W$6:$W$505,BM$3,実績!$AI$6:$AI$505,"&lt;="&amp;$A34,実績!$AJ$6:$AJ$505,"&gt;"&amp;$A34,実績!$AK$6:$AK$505,"○")&gt;0,1,0))</f>
        <v>0</v>
      </c>
      <c r="BN34" s="39" t="n">
        <f aca="false">IF(BN$4=0,0,IF(COUNTIFS(実績!$W$6:$W$505,BN$3,実績!$AI$6:$AI$505,"&lt;="&amp;$A34,実績!$AJ$6:$AJ$505,"&gt;"&amp;$A34,実績!$AK$6:$AK$505,"○")&gt;0,1,0))</f>
        <v>0</v>
      </c>
      <c r="BO34" s="39" t="n">
        <f aca="false">IF(BO$4=0,0,IF(COUNTIFS(実績!$W$6:$W$505,BO$3,実績!$AI$6:$AI$505,"&lt;="&amp;$A34,実績!$AJ$6:$AJ$505,"&gt;"&amp;$A34,実績!$AK$6:$AK$505,"○")&gt;0,1,0))</f>
        <v>0</v>
      </c>
      <c r="BP34" s="39" t="n">
        <f aca="false">IF(BP$4=0,0,IF(COUNTIFS(実績!$W$6:$W$505,BP$3,実績!$AI$6:$AI$505,"&lt;="&amp;$A34,実績!$AJ$6:$AJ$505,"&gt;"&amp;$A34,実績!$AK$6:$AK$505,"○")&gt;0,1,0))</f>
        <v>0</v>
      </c>
      <c r="BQ34" s="39" t="n">
        <f aca="false">IF(BQ$4=0,0,IF(COUNTIFS(実績!$W$6:$W$505,BQ$3,実績!$AI$6:$AI$505,"&lt;="&amp;$A34,実績!$AJ$6:$AJ$505,"&gt;"&amp;$A34,実績!$AK$6:$AK$505,"○")&gt;0,1,0))</f>
        <v>0</v>
      </c>
      <c r="BR34" s="39" t="n">
        <f aca="false">IF(BR$4=0,0,IF(COUNTIFS(実績!$W$6:$W$505,BR$3,実績!$AI$6:$AI$505,"&lt;="&amp;$A34,実績!$AJ$6:$AJ$505,"&gt;"&amp;$A34,実績!$AK$6:$AK$505,"○")&gt;0,1,0))</f>
        <v>0</v>
      </c>
      <c r="BS34" s="39" t="n">
        <f aca="false">IF(BS$4=0,0,IF(COUNTIFS(実績!$W$6:$W$505,BS$3,実績!$AI$6:$AI$505,"&lt;="&amp;$A34,実績!$AJ$6:$AJ$505,"&gt;"&amp;$A34,実績!$AK$6:$AK$505,"○")&gt;0,1,0))</f>
        <v>0</v>
      </c>
      <c r="BT34" s="39" t="n">
        <f aca="false">IF(BT$4=0,0,IF(COUNTIFS(実績!$W$6:$W$505,BT$3,実績!$AI$6:$AI$505,"&lt;="&amp;$A34,実績!$AJ$6:$AJ$505,"&gt;"&amp;$A34,実績!$AK$6:$AK$505,"○")&gt;0,1,0))</f>
        <v>0</v>
      </c>
      <c r="BU34" s="39" t="n">
        <f aca="false">IF(BU$4=0,0,IF(COUNTIFS(実績!$W$6:$W$505,BU$3,実績!$AI$6:$AI$505,"&lt;="&amp;$A34,実績!$AJ$6:$AJ$505,"&gt;"&amp;$A34,実績!$AK$6:$AK$505,"○")&gt;0,1,0))</f>
        <v>0</v>
      </c>
      <c r="BV34" s="39" t="n">
        <f aca="false">IF(BV$4=0,0,IF(COUNTIFS(実績!$W$6:$W$505,BV$3,実績!$AI$6:$AI$505,"&lt;="&amp;$A34,実績!$AJ$6:$AJ$505,"&gt;"&amp;$A34,実績!$AK$6:$AK$505,"○")&gt;0,1,0))</f>
        <v>0</v>
      </c>
      <c r="BW34" s="39" t="n">
        <f aca="false">IF(BW$4=0,0,IF(COUNTIFS(実績!$W$6:$W$505,BW$3,実績!$AI$6:$AI$505,"&lt;="&amp;$A34,実績!$AJ$6:$AJ$505,"&gt;"&amp;$A34,実績!$AK$6:$AK$505,"○")&gt;0,1,0))</f>
        <v>0</v>
      </c>
      <c r="BX34" s="39" t="n">
        <f aca="false">IF(BX$4=0,0,IF(COUNTIFS(実績!$W$6:$W$505,BX$3,実績!$AI$6:$AI$505,"&lt;="&amp;$A34,実績!$AJ$6:$AJ$505,"&gt;"&amp;$A34,実績!$AK$6:$AK$505,"○")&gt;0,1,0))</f>
        <v>0</v>
      </c>
      <c r="BY34" s="39" t="n">
        <f aca="false">IF(BY$4=0,0,IF(COUNTIFS(実績!$W$6:$W$505,BY$3,実績!$AI$6:$AI$505,"&lt;="&amp;$A34,実績!$AJ$6:$AJ$505,"&gt;"&amp;$A34,実績!$AK$6:$AK$505,"○")&gt;0,1,0))</f>
        <v>0</v>
      </c>
      <c r="BZ34" s="39" t="n">
        <f aca="false">IF(BZ$4=0,0,IF(COUNTIFS(実績!$W$6:$W$505,BZ$3,実績!$AI$6:$AI$505,"&lt;="&amp;$A34,実績!$AJ$6:$AJ$505,"&gt;"&amp;$A34,実績!$AK$6:$AK$505,"○")&gt;0,1,0))</f>
        <v>0</v>
      </c>
      <c r="CA34" s="39" t="n">
        <f aca="false">IF(CA$4=0,0,IF(COUNTIFS(実績!$W$6:$W$505,CA$3,実績!$AI$6:$AI$505,"&lt;="&amp;$A34,実績!$AJ$6:$AJ$505,"&gt;"&amp;$A34,実績!$AK$6:$AK$505,"○")&gt;0,1,0))</f>
        <v>0</v>
      </c>
      <c r="CB34" s="39" t="n">
        <f aca="false">IF(CB$4=0,0,IF(COUNTIFS(実績!$W$6:$W$505,CB$3,実績!$AI$6:$AI$505,"&lt;="&amp;$A34,実績!$AJ$6:$AJ$505,"&gt;"&amp;$A34,実績!$AK$6:$AK$505,"○")&gt;0,1,0))</f>
        <v>0</v>
      </c>
      <c r="CC34" s="39" t="n">
        <f aca="false">IF(CC$4=0,0,IF(COUNTIFS(実績!$W$6:$W$505,CC$3,実績!$AI$6:$AI$505,"&lt;="&amp;$A34,実績!$AJ$6:$AJ$505,"&gt;"&amp;$A34,実績!$AK$6:$AK$505,"○")&gt;0,1,0))</f>
        <v>0</v>
      </c>
      <c r="CD34" s="39" t="n">
        <f aca="false">IF(CD$4=0,0,IF(COUNTIFS(実績!$W$6:$W$505,CD$3,実績!$AI$6:$AI$505,"&lt;="&amp;$A34,実績!$AJ$6:$AJ$505,"&gt;"&amp;$A34,実績!$AK$6:$AK$505,"○")&gt;0,1,0))</f>
        <v>0</v>
      </c>
      <c r="CE34" s="39" t="n">
        <f aca="false">IF(CE$4=0,0,IF(COUNTIFS(実績!$W$6:$W$505,CE$3,実績!$AI$6:$AI$505,"&lt;="&amp;$A34,実績!$AJ$6:$AJ$505,"&gt;"&amp;$A34,実績!$AK$6:$AK$505,"○")&gt;0,1,0))</f>
        <v>0</v>
      </c>
      <c r="CF34" s="39" t="n">
        <f aca="false">IF(CF$4=0,0,IF(COUNTIFS(実績!$W$6:$W$505,CF$3,実績!$AI$6:$AI$505,"&lt;="&amp;$A34,実績!$AJ$6:$AJ$505,"&gt;"&amp;$A34,実績!$AK$6:$AK$505,"○")&gt;0,1,0))</f>
        <v>0</v>
      </c>
      <c r="CG34" s="39" t="n">
        <f aca="false">IF(CG$4=0,0,IF(COUNTIFS(実績!$W$6:$W$505,CG$3,実績!$AI$6:$AI$505,"&lt;="&amp;$A34,実績!$AJ$6:$AJ$505,"&gt;"&amp;$A34,実績!$AK$6:$AK$505,"○")&gt;0,1,0))</f>
        <v>0</v>
      </c>
      <c r="CH34" s="39" t="n">
        <f aca="false">IF(CH$4=0,0,IF(COUNTIFS(実績!$W$6:$W$505,CH$3,実績!$AI$6:$AI$505,"&lt;="&amp;$A34,実績!$AJ$6:$AJ$505,"&gt;"&amp;$A34,実績!$AK$6:$AK$505,"○")&gt;0,1,0))</f>
        <v>0</v>
      </c>
      <c r="CI34" s="39" t="n">
        <f aca="false">IF(CI$4=0,0,IF(COUNTIFS(実績!$W$6:$W$505,CI$3,実績!$AI$6:$AI$505,"&lt;="&amp;$A34,実績!$AJ$6:$AJ$505,"&gt;"&amp;$A34,実績!$AK$6:$AK$505,"○")&gt;0,1,0))</f>
        <v>0</v>
      </c>
      <c r="CJ34" s="39" t="n">
        <f aca="false">IF(CJ$4=0,0,IF(COUNTIFS(実績!$W$6:$W$505,CJ$3,実績!$AI$6:$AI$505,"&lt;="&amp;$A34,実績!$AJ$6:$AJ$505,"&gt;"&amp;$A34,実績!$AK$6:$AK$505,"○")&gt;0,1,0))</f>
        <v>0</v>
      </c>
      <c r="CK34" s="39" t="n">
        <f aca="false">IF(CK$4=0,0,IF(COUNTIFS(実績!$W$6:$W$505,CK$3,実績!$AI$6:$AI$505,"&lt;="&amp;$A34,実績!$AJ$6:$AJ$505,"&gt;"&amp;$A34,実績!$AK$6:$AK$505,"○")&gt;0,1,0))</f>
        <v>0</v>
      </c>
      <c r="CL34" s="39" t="n">
        <f aca="false">IF(CL$4=0,0,IF(COUNTIFS(実績!$W$6:$W$505,CL$3,実績!$AI$6:$AI$505,"&lt;="&amp;$A34,実績!$AJ$6:$AJ$505,"&gt;"&amp;$A34,実績!$AK$6:$AK$505,"○")&gt;0,1,0))</f>
        <v>0</v>
      </c>
      <c r="CM34" s="39" t="n">
        <f aca="false">IF(CM$4=0,0,IF(COUNTIFS(実績!$W$6:$W$505,CM$3,実績!$AI$6:$AI$505,"&lt;="&amp;$A34,実績!$AJ$6:$AJ$505,"&gt;"&amp;$A34,実績!$AK$6:$AK$505,"○")&gt;0,1,0))</f>
        <v>0</v>
      </c>
      <c r="CN34" s="39" t="n">
        <f aca="false">IF(CN$4=0,0,IF(COUNTIFS(実績!$W$6:$W$505,CN$3,実績!$AI$6:$AI$505,"&lt;="&amp;$A34,実績!$AJ$6:$AJ$505,"&gt;"&amp;$A34,実績!$AK$6:$AK$505,"○")&gt;0,1,0))</f>
        <v>0</v>
      </c>
      <c r="CO34" s="39" t="n">
        <f aca="false">IF(CO$4=0,0,IF(COUNTIFS(実績!$W$6:$W$505,CO$3,実績!$AI$6:$AI$505,"&lt;="&amp;$A34,実績!$AJ$6:$AJ$505,"&gt;"&amp;$A34,実績!$AK$6:$AK$505,"○")&gt;0,1,0))</f>
        <v>0</v>
      </c>
      <c r="CP34" s="39" t="n">
        <f aca="false">IF(CP$4=0,0,IF(COUNTIFS(実績!$W$6:$W$505,CP$3,実績!$AI$6:$AI$505,"&lt;="&amp;$A34,実績!$AJ$6:$AJ$505,"&gt;"&amp;$A34,実績!$AK$6:$AK$505,"○")&gt;0,1,0))</f>
        <v>0</v>
      </c>
      <c r="CQ34" s="39" t="n">
        <f aca="false">IF(CQ$4=0,0,IF(COUNTIFS(実績!$W$6:$W$505,CQ$3,実績!$AI$6:$AI$505,"&lt;="&amp;$A34,実績!$AJ$6:$AJ$505,"&gt;"&amp;$A34,実績!$AK$6:$AK$505,"○")&gt;0,1,0))</f>
        <v>0</v>
      </c>
      <c r="CR34" s="39" t="n">
        <f aca="false">IF(CR$4=0,0,IF(COUNTIFS(実績!$W$6:$W$505,CR$3,実績!$AI$6:$AI$505,"&lt;="&amp;$A34,実績!$AJ$6:$AJ$505,"&gt;"&amp;$A34,実績!$AK$6:$AK$505,"○")&gt;0,1,0))</f>
        <v>0</v>
      </c>
      <c r="CS34" s="39" t="n">
        <f aca="false">IF(CS$4=0,0,IF(COUNTIFS(実績!$W$6:$W$505,CS$3,実績!$AI$6:$AI$505,"&lt;="&amp;$A34,実績!$AJ$6:$AJ$505,"&gt;"&amp;$A34,実績!$AK$6:$AK$505,"○")&gt;0,1,0))</f>
        <v>0</v>
      </c>
      <c r="CT34" s="39" t="n">
        <f aca="false">IF(CT$4=0,0,IF(COUNTIFS(実績!$W$6:$W$505,CT$3,実績!$AI$6:$AI$505,"&lt;="&amp;$A34,実績!$AJ$6:$AJ$505,"&gt;"&amp;$A34,実績!$AK$6:$AK$505,"○")&gt;0,1,0))</f>
        <v>0</v>
      </c>
      <c r="CU34" s="39" t="n">
        <f aca="false">IF(CU$4=0,0,IF(COUNTIFS(実績!$W$6:$W$505,CU$3,実績!$AI$6:$AI$505,"&lt;="&amp;$A34,実績!$AJ$6:$AJ$505,"&gt;"&amp;$A34,実績!$AK$6:$AK$505,"○")&gt;0,1,0))</f>
        <v>0</v>
      </c>
      <c r="CV34" s="39" t="n">
        <f aca="false">IF(CV$4=0,0,IF(COUNTIFS(実績!$W$6:$W$505,CV$3,実績!$AI$6:$AI$505,"&lt;="&amp;$A34,実績!$AJ$6:$AJ$505,"&gt;"&amp;$A34,実績!$AK$6:$AK$505,"○")&gt;0,1,0))</f>
        <v>0</v>
      </c>
      <c r="CW34" s="39" t="n">
        <f aca="false">IF(CW$4=0,0,IF(COUNTIFS(実績!$W$6:$W$505,CW$3,実績!$AI$6:$AI$505,"&lt;="&amp;$A34,実績!$AJ$6:$AJ$505,"&gt;"&amp;$A34,実績!$AK$6:$AK$505,"○")&gt;0,1,0))</f>
        <v>0</v>
      </c>
      <c r="CX34" s="39" t="n">
        <f aca="false">IF(CX$4=0,0,IF(COUNTIFS(実績!$W$6:$W$505,CX$3,実績!$AI$6:$AI$505,"&lt;="&amp;$A34,実績!$AJ$6:$AJ$505,"&gt;"&amp;$A34,実績!$AK$6:$AK$505,"○")&gt;0,1,0))</f>
        <v>0</v>
      </c>
      <c r="CY34" s="39" t="n">
        <f aca="false">IF(CY$4=0,0,IF(COUNTIFS(実績!$W$6:$W$505,CY$3,実績!$AI$6:$AI$505,"&lt;="&amp;$A34,実績!$AJ$6:$AJ$505,"&gt;"&amp;$A34,実績!$AK$6:$AK$505,"○")&gt;0,1,0))</f>
        <v>0</v>
      </c>
      <c r="CZ34" s="39" t="n">
        <f aca="false">IF(CZ$4=0,0,IF(COUNTIFS(実績!$W$6:$W$505,CZ$3,実績!$AI$6:$AI$505,"&lt;="&amp;$A34,実績!$AJ$6:$AJ$505,"&gt;"&amp;$A34,実績!$AK$6:$AK$505,"○")&gt;0,1,0))</f>
        <v>0</v>
      </c>
      <c r="DA34" s="39" t="n">
        <f aca="false">IF(DA$4=0,0,IF(COUNTIFS(実績!$W$6:$W$505,DA$3,実績!$AI$6:$AI$505,"&lt;="&amp;$A34,実績!$AJ$6:$AJ$505,"&gt;"&amp;$A34,実績!$AK$6:$AK$505,"○")&gt;0,1,0))</f>
        <v>0</v>
      </c>
      <c r="DB34" s="39" t="n">
        <f aca="false">IF(DB$4=0,0,IF(COUNTIFS(実績!$W$6:$W$505,DB$3,実績!$AI$6:$AI$505,"&lt;="&amp;$A34,実績!$AJ$6:$AJ$505,"&gt;"&amp;$A34,実績!$AK$6:$AK$505,"○")&gt;0,1,0))</f>
        <v>0</v>
      </c>
      <c r="DC34" s="39" t="n">
        <f aca="false">IF(DC$4=0,0,IF(COUNTIFS(実績!$W$6:$W$505,DC$3,実績!$AI$6:$AI$505,"&lt;="&amp;$A34,実績!$AJ$6:$AJ$505,"&gt;"&amp;$A34,実績!$AK$6:$AK$505,"○")&gt;0,1,0))</f>
        <v>0</v>
      </c>
      <c r="DD34" s="39" t="n">
        <f aca="false">IF(DD$4=0,0,IF(COUNTIFS(実績!$W$6:$W$505,DD$3,実績!$AI$6:$AI$505,"&lt;="&amp;$A34,実績!$AJ$6:$AJ$505,"&gt;"&amp;$A34,実績!$AK$6:$AK$505,"○")&gt;0,1,0))</f>
        <v>0</v>
      </c>
      <c r="DE34" s="39" t="n">
        <f aca="false">IF(DE$4=0,0,IF(COUNTIFS(実績!$W$6:$W$505,DE$3,実績!$AI$6:$AI$505,"&lt;="&amp;$A34,実績!$AJ$6:$AJ$505,"&gt;"&amp;$A34,実績!$AK$6:$AK$505,"○")&gt;0,1,0))</f>
        <v>0</v>
      </c>
      <c r="DF34" s="39" t="n">
        <f aca="false">IF(DF$4=0,0,IF(COUNTIFS(実績!$W$6:$W$505,DF$3,実績!$AI$6:$AI$505,"&lt;="&amp;$A34,実績!$AJ$6:$AJ$505,"&gt;"&amp;$A34,実績!$AK$6:$AK$505,"○")&gt;0,1,0))</f>
        <v>0</v>
      </c>
      <c r="DG34" s="39" t="n">
        <f aca="false">IF(DG$4=0,0,IF(COUNTIFS(実績!$W$6:$W$505,DG$3,実績!$AI$6:$AI$505,"&lt;="&amp;$A34,実績!$AJ$6:$AJ$505,"&gt;"&amp;$A34,実績!$AK$6:$AK$505,"○")&gt;0,1,0))</f>
        <v>0</v>
      </c>
      <c r="DH34" s="39" t="n">
        <f aca="false">IF(DH$4=0,0,IF(COUNTIFS(実績!$W$6:$W$505,DH$3,実績!$AI$6:$AI$505,"&lt;="&amp;$A34,実績!$AJ$6:$AJ$505,"&gt;"&amp;$A34,実績!$AK$6:$AK$505,"○")&gt;0,1,0))</f>
        <v>0</v>
      </c>
      <c r="DI34" s="39" t="n">
        <f aca="false">IF(DI$4=0,0,IF(COUNTIFS(実績!$W$6:$W$505,DI$3,実績!$AI$6:$AI$505,"&lt;="&amp;$A34,実績!$AJ$6:$AJ$505,"&gt;"&amp;$A34,実績!$AK$6:$AK$505,"○")&gt;0,1,0))</f>
        <v>0</v>
      </c>
      <c r="DJ34" s="39" t="n">
        <f aca="false">IF(DJ$4=0,0,IF(COUNTIFS(実績!$W$6:$W$505,DJ$3,実績!$AI$6:$AI$505,"&lt;="&amp;$A34,実績!$AJ$6:$AJ$505,"&gt;"&amp;$A34,実績!$AK$6:$AK$505,"○")&gt;0,1,0))</f>
        <v>0</v>
      </c>
      <c r="DK34" s="39" t="n">
        <f aca="false">IF(DK$4=0,0,IF(COUNTIFS(実績!$W$6:$W$505,DK$3,実績!$AI$6:$AI$505,"&lt;="&amp;$A34,実績!$AJ$6:$AJ$505,"&gt;"&amp;$A34,実績!$AK$6:$AK$505,"○")&gt;0,1,0))</f>
        <v>0</v>
      </c>
      <c r="DL34" s="39" t="n">
        <f aca="false">IF(DL$4=0,0,IF(COUNTIFS(実績!$W$6:$W$505,DL$3,実績!$AI$6:$AI$505,"&lt;="&amp;$A34,実績!$AJ$6:$AJ$505,"&gt;"&amp;$A34,実績!$AK$6:$AK$505,"○")&gt;0,1,0))</f>
        <v>0</v>
      </c>
      <c r="DM34" s="39" t="n">
        <f aca="false">IF(DM$4=0,0,IF(COUNTIFS(実績!$W$6:$W$505,DM$3,実績!$AI$6:$AI$505,"&lt;="&amp;$A34,実績!$AJ$6:$AJ$505,"&gt;"&amp;$A34,実績!$AK$6:$AK$505,"○")&gt;0,1,0))</f>
        <v>0</v>
      </c>
      <c r="DN34" s="39" t="n">
        <f aca="false">IF(DN$4=0,0,IF(COUNTIFS(実績!$W$6:$W$505,DN$3,実績!$AI$6:$AI$505,"&lt;="&amp;$A34,実績!$AJ$6:$AJ$505,"&gt;"&amp;$A34,実績!$AK$6:$AK$505,"○")&gt;0,1,0))</f>
        <v>0</v>
      </c>
      <c r="DO34" s="39" t="n">
        <f aca="false">IF(DO$4=0,0,IF(COUNTIFS(実績!$W$6:$W$505,DO$3,実績!$AI$6:$AI$505,"&lt;="&amp;$A34,実績!$AJ$6:$AJ$505,"&gt;"&amp;$A34,実績!$AK$6:$AK$505,"○")&gt;0,1,0))</f>
        <v>0</v>
      </c>
      <c r="DP34" s="39" t="n">
        <f aca="false">IF(DP$4=0,0,IF(COUNTIFS(実績!$W$6:$W$505,DP$3,実績!$AI$6:$AI$505,"&lt;="&amp;$A34,実績!$AJ$6:$AJ$505,"&gt;"&amp;$A34,実績!$AK$6:$AK$505,"○")&gt;0,1,0))</f>
        <v>0</v>
      </c>
      <c r="DQ34" s="39" t="n">
        <f aca="false">IF(DQ$4=0,0,IF(COUNTIFS(実績!$W$6:$W$505,DQ$3,実績!$AI$6:$AI$505,"&lt;="&amp;$A34,実績!$AJ$6:$AJ$505,"&gt;"&amp;$A34,実績!$AK$6:$AK$505,"○")&gt;0,1,0))</f>
        <v>0</v>
      </c>
      <c r="DR34" s="39" t="n">
        <f aca="false">IF(DR$4=0,0,IF(COUNTIFS(実績!$W$6:$W$505,DR$3,実績!$AI$6:$AI$505,"&lt;="&amp;$A34,実績!$AJ$6:$AJ$505,"&gt;"&amp;$A34,実績!$AK$6:$AK$505,"○")&gt;0,1,0))</f>
        <v>0</v>
      </c>
      <c r="DS34" s="39" t="n">
        <f aca="false">SUM(C34:DR34)</f>
        <v>0</v>
      </c>
      <c r="DT34" s="39" t="n">
        <f aca="false">SUMPRODUCT((実績!$C$6:$C$505="○")*ISNUMBER(実績!$AM$6:$AM$505)*(実績!$AM$6:$AM$505&lt;=$A34)*(実績!$AN$6:$AN$505&gt;$A34))</f>
        <v>0</v>
      </c>
      <c r="DU34" s="39" t="n">
        <f aca="false">SUMIF($C$2:$DR$2,"製鉄曳船",C34:DR34)</f>
        <v>0</v>
      </c>
      <c r="DV34" s="39" t="n">
        <f aca="false">SUMIF($C$2:$DR$2,"西日本海運",C34:DR34)</f>
        <v>0</v>
      </c>
    </row>
    <row r="35" customFormat="false" ht="15" hidden="false" customHeight="false" outlineLevel="0" collapsed="false">
      <c r="A35" s="0" t="n">
        <v>145</v>
      </c>
      <c r="B35" s="38" t="n">
        <f aca="false">A35/1440</f>
        <v>0.100694444444444</v>
      </c>
      <c r="C35" s="39" t="n">
        <f aca="false">IF(C$4=0,0,IF(COUNTIFS(実績!$W$6:$W$505,C$3,実績!$AI$6:$AI$505,"&lt;="&amp;$A35,実績!$AJ$6:$AJ$505,"&gt;"&amp;$A35,実績!$AK$6:$AK$505,"○")&gt;0,1,0))</f>
        <v>0</v>
      </c>
      <c r="D35" s="39" t="n">
        <f aca="false">IF(D$4=0,0,IF(COUNTIFS(実績!$W$6:$W$505,D$3,実績!$AI$6:$AI$505,"&lt;="&amp;$A35,実績!$AJ$6:$AJ$505,"&gt;"&amp;$A35,実績!$AK$6:$AK$505,"○")&gt;0,1,0))</f>
        <v>0</v>
      </c>
      <c r="E35" s="39" t="n">
        <f aca="false">IF(E$4=0,0,IF(COUNTIFS(実績!$W$6:$W$505,E$3,実績!$AI$6:$AI$505,"&lt;="&amp;$A35,実績!$AJ$6:$AJ$505,"&gt;"&amp;$A35,実績!$AK$6:$AK$505,"○")&gt;0,1,0))</f>
        <v>0</v>
      </c>
      <c r="F35" s="39" t="n">
        <f aca="false">IF(F$4=0,0,IF(COUNTIFS(実績!$W$6:$W$505,F$3,実績!$AI$6:$AI$505,"&lt;="&amp;$A35,実績!$AJ$6:$AJ$505,"&gt;"&amp;$A35,実績!$AK$6:$AK$505,"○")&gt;0,1,0))</f>
        <v>0</v>
      </c>
      <c r="G35" s="39" t="n">
        <f aca="false">IF(G$4=0,0,IF(COUNTIFS(実績!$W$6:$W$505,G$3,実績!$AI$6:$AI$505,"&lt;="&amp;$A35,実績!$AJ$6:$AJ$505,"&gt;"&amp;$A35,実績!$AK$6:$AK$505,"○")&gt;0,1,0))</f>
        <v>0</v>
      </c>
      <c r="H35" s="39" t="n">
        <f aca="false">IF(H$4=0,0,IF(COUNTIFS(実績!$W$6:$W$505,H$3,実績!$AI$6:$AI$505,"&lt;="&amp;$A35,実績!$AJ$6:$AJ$505,"&gt;"&amp;$A35,実績!$AK$6:$AK$505,"○")&gt;0,1,0))</f>
        <v>0</v>
      </c>
      <c r="I35" s="39" t="n">
        <f aca="false">IF(I$4=0,0,IF(COUNTIFS(実績!$W$6:$W$505,I$3,実績!$AI$6:$AI$505,"&lt;="&amp;$A35,実績!$AJ$6:$AJ$505,"&gt;"&amp;$A35,実績!$AK$6:$AK$505,"○")&gt;0,1,0))</f>
        <v>0</v>
      </c>
      <c r="J35" s="39" t="n">
        <f aca="false">IF(J$4=0,0,IF(COUNTIFS(実績!$W$6:$W$505,J$3,実績!$AI$6:$AI$505,"&lt;="&amp;$A35,実績!$AJ$6:$AJ$505,"&gt;"&amp;$A35,実績!$AK$6:$AK$505,"○")&gt;0,1,0))</f>
        <v>0</v>
      </c>
      <c r="K35" s="39" t="n">
        <f aca="false">IF(K$4=0,0,IF(COUNTIFS(実績!$W$6:$W$505,K$3,実績!$AI$6:$AI$505,"&lt;="&amp;$A35,実績!$AJ$6:$AJ$505,"&gt;"&amp;$A35,実績!$AK$6:$AK$505,"○")&gt;0,1,0))</f>
        <v>0</v>
      </c>
      <c r="L35" s="39" t="n">
        <f aca="false">IF(L$4=0,0,IF(COUNTIFS(実績!$W$6:$W$505,L$3,実績!$AI$6:$AI$505,"&lt;="&amp;$A35,実績!$AJ$6:$AJ$505,"&gt;"&amp;$A35,実績!$AK$6:$AK$505,"○")&gt;0,1,0))</f>
        <v>0</v>
      </c>
      <c r="M35" s="39" t="n">
        <f aca="false">IF(M$4=0,0,IF(COUNTIFS(実績!$W$6:$W$505,M$3,実績!$AI$6:$AI$505,"&lt;="&amp;$A35,実績!$AJ$6:$AJ$505,"&gt;"&amp;$A35,実績!$AK$6:$AK$505,"○")&gt;0,1,0))</f>
        <v>0</v>
      </c>
      <c r="N35" s="39" t="n">
        <f aca="false">IF(N$4=0,0,IF(COUNTIFS(実績!$W$6:$W$505,N$3,実績!$AI$6:$AI$505,"&lt;="&amp;$A35,実績!$AJ$6:$AJ$505,"&gt;"&amp;$A35,実績!$AK$6:$AK$505,"○")&gt;0,1,0))</f>
        <v>0</v>
      </c>
      <c r="O35" s="39" t="n">
        <f aca="false">IF(O$4=0,0,IF(COUNTIFS(実績!$W$6:$W$505,O$3,実績!$AI$6:$AI$505,"&lt;="&amp;$A35,実績!$AJ$6:$AJ$505,"&gt;"&amp;$A35,実績!$AK$6:$AK$505,"○")&gt;0,1,0))</f>
        <v>0</v>
      </c>
      <c r="P35" s="39" t="n">
        <f aca="false">IF(P$4=0,0,IF(COUNTIFS(実績!$W$6:$W$505,P$3,実績!$AI$6:$AI$505,"&lt;="&amp;$A35,実績!$AJ$6:$AJ$505,"&gt;"&amp;$A35,実績!$AK$6:$AK$505,"○")&gt;0,1,0))</f>
        <v>0</v>
      </c>
      <c r="Q35" s="39" t="n">
        <f aca="false">IF(Q$4=0,0,IF(COUNTIFS(実績!$W$6:$W$505,Q$3,実績!$AI$6:$AI$505,"&lt;="&amp;$A35,実績!$AJ$6:$AJ$505,"&gt;"&amp;$A35,実績!$AK$6:$AK$505,"○")&gt;0,1,0))</f>
        <v>0</v>
      </c>
      <c r="R35" s="39" t="n">
        <f aca="false">IF(R$4=0,0,IF(COUNTIFS(実績!$W$6:$W$505,R$3,実績!$AI$6:$AI$505,"&lt;="&amp;$A35,実績!$AJ$6:$AJ$505,"&gt;"&amp;$A35,実績!$AK$6:$AK$505,"○")&gt;0,1,0))</f>
        <v>0</v>
      </c>
      <c r="S35" s="39" t="n">
        <f aca="false">IF(S$4=0,0,IF(COUNTIFS(実績!$W$6:$W$505,S$3,実績!$AI$6:$AI$505,"&lt;="&amp;$A35,実績!$AJ$6:$AJ$505,"&gt;"&amp;$A35,実績!$AK$6:$AK$505,"○")&gt;0,1,0))</f>
        <v>0</v>
      </c>
      <c r="T35" s="39" t="n">
        <f aca="false">IF(T$4=0,0,IF(COUNTIFS(実績!$W$6:$W$505,T$3,実績!$AI$6:$AI$505,"&lt;="&amp;$A35,実績!$AJ$6:$AJ$505,"&gt;"&amp;$A35,実績!$AK$6:$AK$505,"○")&gt;0,1,0))</f>
        <v>0</v>
      </c>
      <c r="U35" s="39" t="n">
        <f aca="false">IF(U$4=0,0,IF(COUNTIFS(実績!$W$6:$W$505,U$3,実績!$AI$6:$AI$505,"&lt;="&amp;$A35,実績!$AJ$6:$AJ$505,"&gt;"&amp;$A35,実績!$AK$6:$AK$505,"○")&gt;0,1,0))</f>
        <v>0</v>
      </c>
      <c r="V35" s="39" t="n">
        <f aca="false">IF(V$4=0,0,IF(COUNTIFS(実績!$W$6:$W$505,V$3,実績!$AI$6:$AI$505,"&lt;="&amp;$A35,実績!$AJ$6:$AJ$505,"&gt;"&amp;$A35,実績!$AK$6:$AK$505,"○")&gt;0,1,0))</f>
        <v>0</v>
      </c>
      <c r="W35" s="39" t="n">
        <f aca="false">IF(W$4=0,0,IF(COUNTIFS(実績!$W$6:$W$505,W$3,実績!$AI$6:$AI$505,"&lt;="&amp;$A35,実績!$AJ$6:$AJ$505,"&gt;"&amp;$A35,実績!$AK$6:$AK$505,"○")&gt;0,1,0))</f>
        <v>0</v>
      </c>
      <c r="X35" s="39" t="n">
        <f aca="false">IF(X$4=0,0,IF(COUNTIFS(実績!$W$6:$W$505,X$3,実績!$AI$6:$AI$505,"&lt;="&amp;$A35,実績!$AJ$6:$AJ$505,"&gt;"&amp;$A35,実績!$AK$6:$AK$505,"○")&gt;0,1,0))</f>
        <v>0</v>
      </c>
      <c r="Y35" s="39" t="n">
        <f aca="false">IF(Y$4=0,0,IF(COUNTIFS(実績!$W$6:$W$505,Y$3,実績!$AI$6:$AI$505,"&lt;="&amp;$A35,実績!$AJ$6:$AJ$505,"&gt;"&amp;$A35,実績!$AK$6:$AK$505,"○")&gt;0,1,0))</f>
        <v>0</v>
      </c>
      <c r="Z35" s="39" t="n">
        <f aca="false">IF(Z$4=0,0,IF(COUNTIFS(実績!$W$6:$W$505,Z$3,実績!$AI$6:$AI$505,"&lt;="&amp;$A35,実績!$AJ$6:$AJ$505,"&gt;"&amp;$A35,実績!$AK$6:$AK$505,"○")&gt;0,1,0))</f>
        <v>0</v>
      </c>
      <c r="AA35" s="39" t="n">
        <f aca="false">IF(AA$4=0,0,IF(COUNTIFS(実績!$W$6:$W$505,AA$3,実績!$AI$6:$AI$505,"&lt;="&amp;$A35,実績!$AJ$6:$AJ$505,"&gt;"&amp;$A35,実績!$AK$6:$AK$505,"○")&gt;0,1,0))</f>
        <v>0</v>
      </c>
      <c r="AB35" s="39" t="n">
        <f aca="false">IF(AB$4=0,0,IF(COUNTIFS(実績!$W$6:$W$505,AB$3,実績!$AI$6:$AI$505,"&lt;="&amp;$A35,実績!$AJ$6:$AJ$505,"&gt;"&amp;$A35,実績!$AK$6:$AK$505,"○")&gt;0,1,0))</f>
        <v>0</v>
      </c>
      <c r="AC35" s="39" t="n">
        <f aca="false">IF(AC$4=0,0,IF(COUNTIFS(実績!$W$6:$W$505,AC$3,実績!$AI$6:$AI$505,"&lt;="&amp;$A35,実績!$AJ$6:$AJ$505,"&gt;"&amp;$A35,実績!$AK$6:$AK$505,"○")&gt;0,1,0))</f>
        <v>0</v>
      </c>
      <c r="AD35" s="39" t="n">
        <f aca="false">IF(AD$4=0,0,IF(COUNTIFS(実績!$W$6:$W$505,AD$3,実績!$AI$6:$AI$505,"&lt;="&amp;$A35,実績!$AJ$6:$AJ$505,"&gt;"&amp;$A35,実績!$AK$6:$AK$505,"○")&gt;0,1,0))</f>
        <v>0</v>
      </c>
      <c r="AE35" s="39" t="n">
        <f aca="false">IF(AE$4=0,0,IF(COUNTIFS(実績!$W$6:$W$505,AE$3,実績!$AI$6:$AI$505,"&lt;="&amp;$A35,実績!$AJ$6:$AJ$505,"&gt;"&amp;$A35,実績!$AK$6:$AK$505,"○")&gt;0,1,0))</f>
        <v>0</v>
      </c>
      <c r="AF35" s="39" t="n">
        <f aca="false">IF(AF$4=0,0,IF(COUNTIFS(実績!$W$6:$W$505,AF$3,実績!$AI$6:$AI$505,"&lt;="&amp;$A35,実績!$AJ$6:$AJ$505,"&gt;"&amp;$A35,実績!$AK$6:$AK$505,"○")&gt;0,1,0))</f>
        <v>0</v>
      </c>
      <c r="AG35" s="39" t="n">
        <f aca="false">IF(AG$4=0,0,IF(COUNTIFS(実績!$W$6:$W$505,AG$3,実績!$AI$6:$AI$505,"&lt;="&amp;$A35,実績!$AJ$6:$AJ$505,"&gt;"&amp;$A35,実績!$AK$6:$AK$505,"○")&gt;0,1,0))</f>
        <v>0</v>
      </c>
      <c r="AH35" s="39" t="n">
        <f aca="false">IF(AH$4=0,0,IF(COUNTIFS(実績!$W$6:$W$505,AH$3,実績!$AI$6:$AI$505,"&lt;="&amp;$A35,実績!$AJ$6:$AJ$505,"&gt;"&amp;$A35,実績!$AK$6:$AK$505,"○")&gt;0,1,0))</f>
        <v>0</v>
      </c>
      <c r="AI35" s="39" t="n">
        <f aca="false">IF(AI$4=0,0,IF(COUNTIFS(実績!$W$6:$W$505,AI$3,実績!$AI$6:$AI$505,"&lt;="&amp;$A35,実績!$AJ$6:$AJ$505,"&gt;"&amp;$A35,実績!$AK$6:$AK$505,"○")&gt;0,1,0))</f>
        <v>0</v>
      </c>
      <c r="AJ35" s="39" t="n">
        <f aca="false">IF(AJ$4=0,0,IF(COUNTIFS(実績!$W$6:$W$505,AJ$3,実績!$AI$6:$AI$505,"&lt;="&amp;$A35,実績!$AJ$6:$AJ$505,"&gt;"&amp;$A35,実績!$AK$6:$AK$505,"○")&gt;0,1,0))</f>
        <v>0</v>
      </c>
      <c r="AK35" s="39" t="n">
        <f aca="false">IF(AK$4=0,0,IF(COUNTIFS(実績!$W$6:$W$505,AK$3,実績!$AI$6:$AI$505,"&lt;="&amp;$A35,実績!$AJ$6:$AJ$505,"&gt;"&amp;$A35,実績!$AK$6:$AK$505,"○")&gt;0,1,0))</f>
        <v>0</v>
      </c>
      <c r="AL35" s="39" t="n">
        <f aca="false">IF(AL$4=0,0,IF(COUNTIFS(実績!$W$6:$W$505,AL$3,実績!$AI$6:$AI$505,"&lt;="&amp;$A35,実績!$AJ$6:$AJ$505,"&gt;"&amp;$A35,実績!$AK$6:$AK$505,"○")&gt;0,1,0))</f>
        <v>0</v>
      </c>
      <c r="AM35" s="39" t="n">
        <f aca="false">IF(AM$4=0,0,IF(COUNTIFS(実績!$W$6:$W$505,AM$3,実績!$AI$6:$AI$505,"&lt;="&amp;$A35,実績!$AJ$6:$AJ$505,"&gt;"&amp;$A35,実績!$AK$6:$AK$505,"○")&gt;0,1,0))</f>
        <v>0</v>
      </c>
      <c r="AN35" s="39" t="n">
        <f aca="false">IF(AN$4=0,0,IF(COUNTIFS(実績!$W$6:$W$505,AN$3,実績!$AI$6:$AI$505,"&lt;="&amp;$A35,実績!$AJ$6:$AJ$505,"&gt;"&amp;$A35,実績!$AK$6:$AK$505,"○")&gt;0,1,0))</f>
        <v>0</v>
      </c>
      <c r="AO35" s="39" t="n">
        <f aca="false">IF(AO$4=0,0,IF(COUNTIFS(実績!$W$6:$W$505,AO$3,実績!$AI$6:$AI$505,"&lt;="&amp;$A35,実績!$AJ$6:$AJ$505,"&gt;"&amp;$A35,実績!$AK$6:$AK$505,"○")&gt;0,1,0))</f>
        <v>0</v>
      </c>
      <c r="AP35" s="39" t="n">
        <f aca="false">IF(AP$4=0,0,IF(COUNTIFS(実績!$W$6:$W$505,AP$3,実績!$AI$6:$AI$505,"&lt;="&amp;$A35,実績!$AJ$6:$AJ$505,"&gt;"&amp;$A35,実績!$AK$6:$AK$505,"○")&gt;0,1,0))</f>
        <v>0</v>
      </c>
      <c r="AQ35" s="39" t="n">
        <f aca="false">IF(AQ$4=0,0,IF(COUNTIFS(実績!$W$6:$W$505,AQ$3,実績!$AI$6:$AI$505,"&lt;="&amp;$A35,実績!$AJ$6:$AJ$505,"&gt;"&amp;$A35,実績!$AK$6:$AK$505,"○")&gt;0,1,0))</f>
        <v>0</v>
      </c>
      <c r="AR35" s="39" t="n">
        <f aca="false">IF(AR$4=0,0,IF(COUNTIFS(実績!$W$6:$W$505,AR$3,実績!$AI$6:$AI$505,"&lt;="&amp;$A35,実績!$AJ$6:$AJ$505,"&gt;"&amp;$A35,実績!$AK$6:$AK$505,"○")&gt;0,1,0))</f>
        <v>0</v>
      </c>
      <c r="AS35" s="39" t="n">
        <f aca="false">IF(AS$4=0,0,IF(COUNTIFS(実績!$W$6:$W$505,AS$3,実績!$AI$6:$AI$505,"&lt;="&amp;$A35,実績!$AJ$6:$AJ$505,"&gt;"&amp;$A35,実績!$AK$6:$AK$505,"○")&gt;0,1,0))</f>
        <v>0</v>
      </c>
      <c r="AT35" s="39" t="n">
        <f aca="false">IF(AT$4=0,0,IF(COUNTIFS(実績!$W$6:$W$505,AT$3,実績!$AI$6:$AI$505,"&lt;="&amp;$A35,実績!$AJ$6:$AJ$505,"&gt;"&amp;$A35,実績!$AK$6:$AK$505,"○")&gt;0,1,0))</f>
        <v>0</v>
      </c>
      <c r="AU35" s="39" t="n">
        <f aca="false">IF(AU$4=0,0,IF(COUNTIFS(実績!$W$6:$W$505,AU$3,実績!$AI$6:$AI$505,"&lt;="&amp;$A35,実績!$AJ$6:$AJ$505,"&gt;"&amp;$A35,実績!$AK$6:$AK$505,"○")&gt;0,1,0))</f>
        <v>0</v>
      </c>
      <c r="AV35" s="39" t="n">
        <f aca="false">IF(AV$4=0,0,IF(COUNTIFS(実績!$W$6:$W$505,AV$3,実績!$AI$6:$AI$505,"&lt;="&amp;$A35,実績!$AJ$6:$AJ$505,"&gt;"&amp;$A35,実績!$AK$6:$AK$505,"○")&gt;0,1,0))</f>
        <v>0</v>
      </c>
      <c r="AW35" s="39" t="n">
        <f aca="false">IF(AW$4=0,0,IF(COUNTIFS(実績!$W$6:$W$505,AW$3,実績!$AI$6:$AI$505,"&lt;="&amp;$A35,実績!$AJ$6:$AJ$505,"&gt;"&amp;$A35,実績!$AK$6:$AK$505,"○")&gt;0,1,0))</f>
        <v>0</v>
      </c>
      <c r="AX35" s="39" t="n">
        <f aca="false">IF(AX$4=0,0,IF(COUNTIFS(実績!$W$6:$W$505,AX$3,実績!$AI$6:$AI$505,"&lt;="&amp;$A35,実績!$AJ$6:$AJ$505,"&gt;"&amp;$A35,実績!$AK$6:$AK$505,"○")&gt;0,1,0))</f>
        <v>0</v>
      </c>
      <c r="AY35" s="39" t="n">
        <f aca="false">IF(AY$4=0,0,IF(COUNTIFS(実績!$W$6:$W$505,AY$3,実績!$AI$6:$AI$505,"&lt;="&amp;$A35,実績!$AJ$6:$AJ$505,"&gt;"&amp;$A35,実績!$AK$6:$AK$505,"○")&gt;0,1,0))</f>
        <v>0</v>
      </c>
      <c r="AZ35" s="39" t="n">
        <f aca="false">IF(AZ$4=0,0,IF(COUNTIFS(実績!$W$6:$W$505,AZ$3,実績!$AI$6:$AI$505,"&lt;="&amp;$A35,実績!$AJ$6:$AJ$505,"&gt;"&amp;$A35,実績!$AK$6:$AK$505,"○")&gt;0,1,0))</f>
        <v>0</v>
      </c>
      <c r="BA35" s="39" t="n">
        <f aca="false">IF(BA$4=0,0,IF(COUNTIFS(実績!$W$6:$W$505,BA$3,実績!$AI$6:$AI$505,"&lt;="&amp;$A35,実績!$AJ$6:$AJ$505,"&gt;"&amp;$A35,実績!$AK$6:$AK$505,"○")&gt;0,1,0))</f>
        <v>0</v>
      </c>
      <c r="BB35" s="39" t="n">
        <f aca="false">IF(BB$4=0,0,IF(COUNTIFS(実績!$W$6:$W$505,BB$3,実績!$AI$6:$AI$505,"&lt;="&amp;$A35,実績!$AJ$6:$AJ$505,"&gt;"&amp;$A35,実績!$AK$6:$AK$505,"○")&gt;0,1,0))</f>
        <v>0</v>
      </c>
      <c r="BC35" s="39" t="n">
        <f aca="false">IF(BC$4=0,0,IF(COUNTIFS(実績!$W$6:$W$505,BC$3,実績!$AI$6:$AI$505,"&lt;="&amp;$A35,実績!$AJ$6:$AJ$505,"&gt;"&amp;$A35,実績!$AK$6:$AK$505,"○")&gt;0,1,0))</f>
        <v>0</v>
      </c>
      <c r="BD35" s="39" t="n">
        <f aca="false">IF(BD$4=0,0,IF(COUNTIFS(実績!$W$6:$W$505,BD$3,実績!$AI$6:$AI$505,"&lt;="&amp;$A35,実績!$AJ$6:$AJ$505,"&gt;"&amp;$A35,実績!$AK$6:$AK$505,"○")&gt;0,1,0))</f>
        <v>0</v>
      </c>
      <c r="BE35" s="39" t="n">
        <f aca="false">IF(BE$4=0,0,IF(COUNTIFS(実績!$W$6:$W$505,BE$3,実績!$AI$6:$AI$505,"&lt;="&amp;$A35,実績!$AJ$6:$AJ$505,"&gt;"&amp;$A35,実績!$AK$6:$AK$505,"○")&gt;0,1,0))</f>
        <v>0</v>
      </c>
      <c r="BF35" s="39" t="n">
        <f aca="false">IF(BF$4=0,0,IF(COUNTIFS(実績!$W$6:$W$505,BF$3,実績!$AI$6:$AI$505,"&lt;="&amp;$A35,実績!$AJ$6:$AJ$505,"&gt;"&amp;$A35,実績!$AK$6:$AK$505,"○")&gt;0,1,0))</f>
        <v>0</v>
      </c>
      <c r="BG35" s="39" t="n">
        <f aca="false">IF(BG$4=0,0,IF(COUNTIFS(実績!$W$6:$W$505,BG$3,実績!$AI$6:$AI$505,"&lt;="&amp;$A35,実績!$AJ$6:$AJ$505,"&gt;"&amp;$A35,実績!$AK$6:$AK$505,"○")&gt;0,1,0))</f>
        <v>0</v>
      </c>
      <c r="BH35" s="39" t="n">
        <f aca="false">IF(BH$4=0,0,IF(COUNTIFS(実績!$W$6:$W$505,BH$3,実績!$AI$6:$AI$505,"&lt;="&amp;$A35,実績!$AJ$6:$AJ$505,"&gt;"&amp;$A35,実績!$AK$6:$AK$505,"○")&gt;0,1,0))</f>
        <v>0</v>
      </c>
      <c r="BI35" s="39" t="n">
        <f aca="false">IF(BI$4=0,0,IF(COUNTIFS(実績!$W$6:$W$505,BI$3,実績!$AI$6:$AI$505,"&lt;="&amp;$A35,実績!$AJ$6:$AJ$505,"&gt;"&amp;$A35,実績!$AK$6:$AK$505,"○")&gt;0,1,0))</f>
        <v>0</v>
      </c>
      <c r="BJ35" s="39" t="n">
        <f aca="false">IF(BJ$4=0,0,IF(COUNTIFS(実績!$W$6:$W$505,BJ$3,実績!$AI$6:$AI$505,"&lt;="&amp;$A35,実績!$AJ$6:$AJ$505,"&gt;"&amp;$A35,実績!$AK$6:$AK$505,"○")&gt;0,1,0))</f>
        <v>0</v>
      </c>
      <c r="BK35" s="39" t="n">
        <f aca="false">IF(BK$4=0,0,IF(COUNTIFS(実績!$W$6:$W$505,BK$3,実績!$AI$6:$AI$505,"&lt;="&amp;$A35,実績!$AJ$6:$AJ$505,"&gt;"&amp;$A35,実績!$AK$6:$AK$505,"○")&gt;0,1,0))</f>
        <v>0</v>
      </c>
      <c r="BL35" s="39" t="n">
        <f aca="false">IF(BL$4=0,0,IF(COUNTIFS(実績!$W$6:$W$505,BL$3,実績!$AI$6:$AI$505,"&lt;="&amp;$A35,実績!$AJ$6:$AJ$505,"&gt;"&amp;$A35,実績!$AK$6:$AK$505,"○")&gt;0,1,0))</f>
        <v>0</v>
      </c>
      <c r="BM35" s="39" t="n">
        <f aca="false">IF(BM$4=0,0,IF(COUNTIFS(実績!$W$6:$W$505,BM$3,実績!$AI$6:$AI$505,"&lt;="&amp;$A35,実績!$AJ$6:$AJ$505,"&gt;"&amp;$A35,実績!$AK$6:$AK$505,"○")&gt;0,1,0))</f>
        <v>0</v>
      </c>
      <c r="BN35" s="39" t="n">
        <f aca="false">IF(BN$4=0,0,IF(COUNTIFS(実績!$W$6:$W$505,BN$3,実績!$AI$6:$AI$505,"&lt;="&amp;$A35,実績!$AJ$6:$AJ$505,"&gt;"&amp;$A35,実績!$AK$6:$AK$505,"○")&gt;0,1,0))</f>
        <v>0</v>
      </c>
      <c r="BO35" s="39" t="n">
        <f aca="false">IF(BO$4=0,0,IF(COUNTIFS(実績!$W$6:$W$505,BO$3,実績!$AI$6:$AI$505,"&lt;="&amp;$A35,実績!$AJ$6:$AJ$505,"&gt;"&amp;$A35,実績!$AK$6:$AK$505,"○")&gt;0,1,0))</f>
        <v>0</v>
      </c>
      <c r="BP35" s="39" t="n">
        <f aca="false">IF(BP$4=0,0,IF(COUNTIFS(実績!$W$6:$W$505,BP$3,実績!$AI$6:$AI$505,"&lt;="&amp;$A35,実績!$AJ$6:$AJ$505,"&gt;"&amp;$A35,実績!$AK$6:$AK$505,"○")&gt;0,1,0))</f>
        <v>0</v>
      </c>
      <c r="BQ35" s="39" t="n">
        <f aca="false">IF(BQ$4=0,0,IF(COUNTIFS(実績!$W$6:$W$505,BQ$3,実績!$AI$6:$AI$505,"&lt;="&amp;$A35,実績!$AJ$6:$AJ$505,"&gt;"&amp;$A35,実績!$AK$6:$AK$505,"○")&gt;0,1,0))</f>
        <v>0</v>
      </c>
      <c r="BR35" s="39" t="n">
        <f aca="false">IF(BR$4=0,0,IF(COUNTIFS(実績!$W$6:$W$505,BR$3,実績!$AI$6:$AI$505,"&lt;="&amp;$A35,実績!$AJ$6:$AJ$505,"&gt;"&amp;$A35,実績!$AK$6:$AK$505,"○")&gt;0,1,0))</f>
        <v>0</v>
      </c>
      <c r="BS35" s="39" t="n">
        <f aca="false">IF(BS$4=0,0,IF(COUNTIFS(実績!$W$6:$W$505,BS$3,実績!$AI$6:$AI$505,"&lt;="&amp;$A35,実績!$AJ$6:$AJ$505,"&gt;"&amp;$A35,実績!$AK$6:$AK$505,"○")&gt;0,1,0))</f>
        <v>0</v>
      </c>
      <c r="BT35" s="39" t="n">
        <f aca="false">IF(BT$4=0,0,IF(COUNTIFS(実績!$W$6:$W$505,BT$3,実績!$AI$6:$AI$505,"&lt;="&amp;$A35,実績!$AJ$6:$AJ$505,"&gt;"&amp;$A35,実績!$AK$6:$AK$505,"○")&gt;0,1,0))</f>
        <v>0</v>
      </c>
      <c r="BU35" s="39" t="n">
        <f aca="false">IF(BU$4=0,0,IF(COUNTIFS(実績!$W$6:$W$505,BU$3,実績!$AI$6:$AI$505,"&lt;="&amp;$A35,実績!$AJ$6:$AJ$505,"&gt;"&amp;$A35,実績!$AK$6:$AK$505,"○")&gt;0,1,0))</f>
        <v>0</v>
      </c>
      <c r="BV35" s="39" t="n">
        <f aca="false">IF(BV$4=0,0,IF(COUNTIFS(実績!$W$6:$W$505,BV$3,実績!$AI$6:$AI$505,"&lt;="&amp;$A35,実績!$AJ$6:$AJ$505,"&gt;"&amp;$A35,実績!$AK$6:$AK$505,"○")&gt;0,1,0))</f>
        <v>0</v>
      </c>
      <c r="BW35" s="39" t="n">
        <f aca="false">IF(BW$4=0,0,IF(COUNTIFS(実績!$W$6:$W$505,BW$3,実績!$AI$6:$AI$505,"&lt;="&amp;$A35,実績!$AJ$6:$AJ$505,"&gt;"&amp;$A35,実績!$AK$6:$AK$505,"○")&gt;0,1,0))</f>
        <v>0</v>
      </c>
      <c r="BX35" s="39" t="n">
        <f aca="false">IF(BX$4=0,0,IF(COUNTIFS(実績!$W$6:$W$505,BX$3,実績!$AI$6:$AI$505,"&lt;="&amp;$A35,実績!$AJ$6:$AJ$505,"&gt;"&amp;$A35,実績!$AK$6:$AK$505,"○")&gt;0,1,0))</f>
        <v>0</v>
      </c>
      <c r="BY35" s="39" t="n">
        <f aca="false">IF(BY$4=0,0,IF(COUNTIFS(実績!$W$6:$W$505,BY$3,実績!$AI$6:$AI$505,"&lt;="&amp;$A35,実績!$AJ$6:$AJ$505,"&gt;"&amp;$A35,実績!$AK$6:$AK$505,"○")&gt;0,1,0))</f>
        <v>0</v>
      </c>
      <c r="BZ35" s="39" t="n">
        <f aca="false">IF(BZ$4=0,0,IF(COUNTIFS(実績!$W$6:$W$505,BZ$3,実績!$AI$6:$AI$505,"&lt;="&amp;$A35,実績!$AJ$6:$AJ$505,"&gt;"&amp;$A35,実績!$AK$6:$AK$505,"○")&gt;0,1,0))</f>
        <v>0</v>
      </c>
      <c r="CA35" s="39" t="n">
        <f aca="false">IF(CA$4=0,0,IF(COUNTIFS(実績!$W$6:$W$505,CA$3,実績!$AI$6:$AI$505,"&lt;="&amp;$A35,実績!$AJ$6:$AJ$505,"&gt;"&amp;$A35,実績!$AK$6:$AK$505,"○")&gt;0,1,0))</f>
        <v>0</v>
      </c>
      <c r="CB35" s="39" t="n">
        <f aca="false">IF(CB$4=0,0,IF(COUNTIFS(実績!$W$6:$W$505,CB$3,実績!$AI$6:$AI$505,"&lt;="&amp;$A35,実績!$AJ$6:$AJ$505,"&gt;"&amp;$A35,実績!$AK$6:$AK$505,"○")&gt;0,1,0))</f>
        <v>0</v>
      </c>
      <c r="CC35" s="39" t="n">
        <f aca="false">IF(CC$4=0,0,IF(COUNTIFS(実績!$W$6:$W$505,CC$3,実績!$AI$6:$AI$505,"&lt;="&amp;$A35,実績!$AJ$6:$AJ$505,"&gt;"&amp;$A35,実績!$AK$6:$AK$505,"○")&gt;0,1,0))</f>
        <v>0</v>
      </c>
      <c r="CD35" s="39" t="n">
        <f aca="false">IF(CD$4=0,0,IF(COUNTIFS(実績!$W$6:$W$505,CD$3,実績!$AI$6:$AI$505,"&lt;="&amp;$A35,実績!$AJ$6:$AJ$505,"&gt;"&amp;$A35,実績!$AK$6:$AK$505,"○")&gt;0,1,0))</f>
        <v>0</v>
      </c>
      <c r="CE35" s="39" t="n">
        <f aca="false">IF(CE$4=0,0,IF(COUNTIFS(実績!$W$6:$W$505,CE$3,実績!$AI$6:$AI$505,"&lt;="&amp;$A35,実績!$AJ$6:$AJ$505,"&gt;"&amp;$A35,実績!$AK$6:$AK$505,"○")&gt;0,1,0))</f>
        <v>0</v>
      </c>
      <c r="CF35" s="39" t="n">
        <f aca="false">IF(CF$4=0,0,IF(COUNTIFS(実績!$W$6:$W$505,CF$3,実績!$AI$6:$AI$505,"&lt;="&amp;$A35,実績!$AJ$6:$AJ$505,"&gt;"&amp;$A35,実績!$AK$6:$AK$505,"○")&gt;0,1,0))</f>
        <v>0</v>
      </c>
      <c r="CG35" s="39" t="n">
        <f aca="false">IF(CG$4=0,0,IF(COUNTIFS(実績!$W$6:$W$505,CG$3,実績!$AI$6:$AI$505,"&lt;="&amp;$A35,実績!$AJ$6:$AJ$505,"&gt;"&amp;$A35,実績!$AK$6:$AK$505,"○")&gt;0,1,0))</f>
        <v>0</v>
      </c>
      <c r="CH35" s="39" t="n">
        <f aca="false">IF(CH$4=0,0,IF(COUNTIFS(実績!$W$6:$W$505,CH$3,実績!$AI$6:$AI$505,"&lt;="&amp;$A35,実績!$AJ$6:$AJ$505,"&gt;"&amp;$A35,実績!$AK$6:$AK$505,"○")&gt;0,1,0))</f>
        <v>0</v>
      </c>
      <c r="CI35" s="39" t="n">
        <f aca="false">IF(CI$4=0,0,IF(COUNTIFS(実績!$W$6:$W$505,CI$3,実績!$AI$6:$AI$505,"&lt;="&amp;$A35,実績!$AJ$6:$AJ$505,"&gt;"&amp;$A35,実績!$AK$6:$AK$505,"○")&gt;0,1,0))</f>
        <v>0</v>
      </c>
      <c r="CJ35" s="39" t="n">
        <f aca="false">IF(CJ$4=0,0,IF(COUNTIFS(実績!$W$6:$W$505,CJ$3,実績!$AI$6:$AI$505,"&lt;="&amp;$A35,実績!$AJ$6:$AJ$505,"&gt;"&amp;$A35,実績!$AK$6:$AK$505,"○")&gt;0,1,0))</f>
        <v>0</v>
      </c>
      <c r="CK35" s="39" t="n">
        <f aca="false">IF(CK$4=0,0,IF(COUNTIFS(実績!$W$6:$W$505,CK$3,実績!$AI$6:$AI$505,"&lt;="&amp;$A35,実績!$AJ$6:$AJ$505,"&gt;"&amp;$A35,実績!$AK$6:$AK$505,"○")&gt;0,1,0))</f>
        <v>0</v>
      </c>
      <c r="CL35" s="39" t="n">
        <f aca="false">IF(CL$4=0,0,IF(COUNTIFS(実績!$W$6:$W$505,CL$3,実績!$AI$6:$AI$505,"&lt;="&amp;$A35,実績!$AJ$6:$AJ$505,"&gt;"&amp;$A35,実績!$AK$6:$AK$505,"○")&gt;0,1,0))</f>
        <v>0</v>
      </c>
      <c r="CM35" s="39" t="n">
        <f aca="false">IF(CM$4=0,0,IF(COUNTIFS(実績!$W$6:$W$505,CM$3,実績!$AI$6:$AI$505,"&lt;="&amp;$A35,実績!$AJ$6:$AJ$505,"&gt;"&amp;$A35,実績!$AK$6:$AK$505,"○")&gt;0,1,0))</f>
        <v>0</v>
      </c>
      <c r="CN35" s="39" t="n">
        <f aca="false">IF(CN$4=0,0,IF(COUNTIFS(実績!$W$6:$W$505,CN$3,実績!$AI$6:$AI$505,"&lt;="&amp;$A35,実績!$AJ$6:$AJ$505,"&gt;"&amp;$A35,実績!$AK$6:$AK$505,"○")&gt;0,1,0))</f>
        <v>0</v>
      </c>
      <c r="CO35" s="39" t="n">
        <f aca="false">IF(CO$4=0,0,IF(COUNTIFS(実績!$W$6:$W$505,CO$3,実績!$AI$6:$AI$505,"&lt;="&amp;$A35,実績!$AJ$6:$AJ$505,"&gt;"&amp;$A35,実績!$AK$6:$AK$505,"○")&gt;0,1,0))</f>
        <v>0</v>
      </c>
      <c r="CP35" s="39" t="n">
        <f aca="false">IF(CP$4=0,0,IF(COUNTIFS(実績!$W$6:$W$505,CP$3,実績!$AI$6:$AI$505,"&lt;="&amp;$A35,実績!$AJ$6:$AJ$505,"&gt;"&amp;$A35,実績!$AK$6:$AK$505,"○")&gt;0,1,0))</f>
        <v>0</v>
      </c>
      <c r="CQ35" s="39" t="n">
        <f aca="false">IF(CQ$4=0,0,IF(COUNTIFS(実績!$W$6:$W$505,CQ$3,実績!$AI$6:$AI$505,"&lt;="&amp;$A35,実績!$AJ$6:$AJ$505,"&gt;"&amp;$A35,実績!$AK$6:$AK$505,"○")&gt;0,1,0))</f>
        <v>0</v>
      </c>
      <c r="CR35" s="39" t="n">
        <f aca="false">IF(CR$4=0,0,IF(COUNTIFS(実績!$W$6:$W$505,CR$3,実績!$AI$6:$AI$505,"&lt;="&amp;$A35,実績!$AJ$6:$AJ$505,"&gt;"&amp;$A35,実績!$AK$6:$AK$505,"○")&gt;0,1,0))</f>
        <v>0</v>
      </c>
      <c r="CS35" s="39" t="n">
        <f aca="false">IF(CS$4=0,0,IF(COUNTIFS(実績!$W$6:$W$505,CS$3,実績!$AI$6:$AI$505,"&lt;="&amp;$A35,実績!$AJ$6:$AJ$505,"&gt;"&amp;$A35,実績!$AK$6:$AK$505,"○")&gt;0,1,0))</f>
        <v>0</v>
      </c>
      <c r="CT35" s="39" t="n">
        <f aca="false">IF(CT$4=0,0,IF(COUNTIFS(実績!$W$6:$W$505,CT$3,実績!$AI$6:$AI$505,"&lt;="&amp;$A35,実績!$AJ$6:$AJ$505,"&gt;"&amp;$A35,実績!$AK$6:$AK$505,"○")&gt;0,1,0))</f>
        <v>0</v>
      </c>
      <c r="CU35" s="39" t="n">
        <f aca="false">IF(CU$4=0,0,IF(COUNTIFS(実績!$W$6:$W$505,CU$3,実績!$AI$6:$AI$505,"&lt;="&amp;$A35,実績!$AJ$6:$AJ$505,"&gt;"&amp;$A35,実績!$AK$6:$AK$505,"○")&gt;0,1,0))</f>
        <v>0</v>
      </c>
      <c r="CV35" s="39" t="n">
        <f aca="false">IF(CV$4=0,0,IF(COUNTIFS(実績!$W$6:$W$505,CV$3,実績!$AI$6:$AI$505,"&lt;="&amp;$A35,実績!$AJ$6:$AJ$505,"&gt;"&amp;$A35,実績!$AK$6:$AK$505,"○")&gt;0,1,0))</f>
        <v>0</v>
      </c>
      <c r="CW35" s="39" t="n">
        <f aca="false">IF(CW$4=0,0,IF(COUNTIFS(実績!$W$6:$W$505,CW$3,実績!$AI$6:$AI$505,"&lt;="&amp;$A35,実績!$AJ$6:$AJ$505,"&gt;"&amp;$A35,実績!$AK$6:$AK$505,"○")&gt;0,1,0))</f>
        <v>0</v>
      </c>
      <c r="CX35" s="39" t="n">
        <f aca="false">IF(CX$4=0,0,IF(COUNTIFS(実績!$W$6:$W$505,CX$3,実績!$AI$6:$AI$505,"&lt;="&amp;$A35,実績!$AJ$6:$AJ$505,"&gt;"&amp;$A35,実績!$AK$6:$AK$505,"○")&gt;0,1,0))</f>
        <v>0</v>
      </c>
      <c r="CY35" s="39" t="n">
        <f aca="false">IF(CY$4=0,0,IF(COUNTIFS(実績!$W$6:$W$505,CY$3,実績!$AI$6:$AI$505,"&lt;="&amp;$A35,実績!$AJ$6:$AJ$505,"&gt;"&amp;$A35,実績!$AK$6:$AK$505,"○")&gt;0,1,0))</f>
        <v>0</v>
      </c>
      <c r="CZ35" s="39" t="n">
        <f aca="false">IF(CZ$4=0,0,IF(COUNTIFS(実績!$W$6:$W$505,CZ$3,実績!$AI$6:$AI$505,"&lt;="&amp;$A35,実績!$AJ$6:$AJ$505,"&gt;"&amp;$A35,実績!$AK$6:$AK$505,"○")&gt;0,1,0))</f>
        <v>0</v>
      </c>
      <c r="DA35" s="39" t="n">
        <f aca="false">IF(DA$4=0,0,IF(COUNTIFS(実績!$W$6:$W$505,DA$3,実績!$AI$6:$AI$505,"&lt;="&amp;$A35,実績!$AJ$6:$AJ$505,"&gt;"&amp;$A35,実績!$AK$6:$AK$505,"○")&gt;0,1,0))</f>
        <v>0</v>
      </c>
      <c r="DB35" s="39" t="n">
        <f aca="false">IF(DB$4=0,0,IF(COUNTIFS(実績!$W$6:$W$505,DB$3,実績!$AI$6:$AI$505,"&lt;="&amp;$A35,実績!$AJ$6:$AJ$505,"&gt;"&amp;$A35,実績!$AK$6:$AK$505,"○")&gt;0,1,0))</f>
        <v>0</v>
      </c>
      <c r="DC35" s="39" t="n">
        <f aca="false">IF(DC$4=0,0,IF(COUNTIFS(実績!$W$6:$W$505,DC$3,実績!$AI$6:$AI$505,"&lt;="&amp;$A35,実績!$AJ$6:$AJ$505,"&gt;"&amp;$A35,実績!$AK$6:$AK$505,"○")&gt;0,1,0))</f>
        <v>0</v>
      </c>
      <c r="DD35" s="39" t="n">
        <f aca="false">IF(DD$4=0,0,IF(COUNTIFS(実績!$W$6:$W$505,DD$3,実績!$AI$6:$AI$505,"&lt;="&amp;$A35,実績!$AJ$6:$AJ$505,"&gt;"&amp;$A35,実績!$AK$6:$AK$505,"○")&gt;0,1,0))</f>
        <v>0</v>
      </c>
      <c r="DE35" s="39" t="n">
        <f aca="false">IF(DE$4=0,0,IF(COUNTIFS(実績!$W$6:$W$505,DE$3,実績!$AI$6:$AI$505,"&lt;="&amp;$A35,実績!$AJ$6:$AJ$505,"&gt;"&amp;$A35,実績!$AK$6:$AK$505,"○")&gt;0,1,0))</f>
        <v>0</v>
      </c>
      <c r="DF35" s="39" t="n">
        <f aca="false">IF(DF$4=0,0,IF(COUNTIFS(実績!$W$6:$W$505,DF$3,実績!$AI$6:$AI$505,"&lt;="&amp;$A35,実績!$AJ$6:$AJ$505,"&gt;"&amp;$A35,実績!$AK$6:$AK$505,"○")&gt;0,1,0))</f>
        <v>0</v>
      </c>
      <c r="DG35" s="39" t="n">
        <f aca="false">IF(DG$4=0,0,IF(COUNTIFS(実績!$W$6:$W$505,DG$3,実績!$AI$6:$AI$505,"&lt;="&amp;$A35,実績!$AJ$6:$AJ$505,"&gt;"&amp;$A35,実績!$AK$6:$AK$505,"○")&gt;0,1,0))</f>
        <v>0</v>
      </c>
      <c r="DH35" s="39" t="n">
        <f aca="false">IF(DH$4=0,0,IF(COUNTIFS(実績!$W$6:$W$505,DH$3,実績!$AI$6:$AI$505,"&lt;="&amp;$A35,実績!$AJ$6:$AJ$505,"&gt;"&amp;$A35,実績!$AK$6:$AK$505,"○")&gt;0,1,0))</f>
        <v>0</v>
      </c>
      <c r="DI35" s="39" t="n">
        <f aca="false">IF(DI$4=0,0,IF(COUNTIFS(実績!$W$6:$W$505,DI$3,実績!$AI$6:$AI$505,"&lt;="&amp;$A35,実績!$AJ$6:$AJ$505,"&gt;"&amp;$A35,実績!$AK$6:$AK$505,"○")&gt;0,1,0))</f>
        <v>0</v>
      </c>
      <c r="DJ35" s="39" t="n">
        <f aca="false">IF(DJ$4=0,0,IF(COUNTIFS(実績!$W$6:$W$505,DJ$3,実績!$AI$6:$AI$505,"&lt;="&amp;$A35,実績!$AJ$6:$AJ$505,"&gt;"&amp;$A35,実績!$AK$6:$AK$505,"○")&gt;0,1,0))</f>
        <v>0</v>
      </c>
      <c r="DK35" s="39" t="n">
        <f aca="false">IF(DK$4=0,0,IF(COUNTIFS(実績!$W$6:$W$505,DK$3,実績!$AI$6:$AI$505,"&lt;="&amp;$A35,実績!$AJ$6:$AJ$505,"&gt;"&amp;$A35,実績!$AK$6:$AK$505,"○")&gt;0,1,0))</f>
        <v>0</v>
      </c>
      <c r="DL35" s="39" t="n">
        <f aca="false">IF(DL$4=0,0,IF(COUNTIFS(実績!$W$6:$W$505,DL$3,実績!$AI$6:$AI$505,"&lt;="&amp;$A35,実績!$AJ$6:$AJ$505,"&gt;"&amp;$A35,実績!$AK$6:$AK$505,"○")&gt;0,1,0))</f>
        <v>0</v>
      </c>
      <c r="DM35" s="39" t="n">
        <f aca="false">IF(DM$4=0,0,IF(COUNTIFS(実績!$W$6:$W$505,DM$3,実績!$AI$6:$AI$505,"&lt;="&amp;$A35,実績!$AJ$6:$AJ$505,"&gt;"&amp;$A35,実績!$AK$6:$AK$505,"○")&gt;0,1,0))</f>
        <v>0</v>
      </c>
      <c r="DN35" s="39" t="n">
        <f aca="false">IF(DN$4=0,0,IF(COUNTIFS(実績!$W$6:$W$505,DN$3,実績!$AI$6:$AI$505,"&lt;="&amp;$A35,実績!$AJ$6:$AJ$505,"&gt;"&amp;$A35,実績!$AK$6:$AK$505,"○")&gt;0,1,0))</f>
        <v>0</v>
      </c>
      <c r="DO35" s="39" t="n">
        <f aca="false">IF(DO$4=0,0,IF(COUNTIFS(実績!$W$6:$W$505,DO$3,実績!$AI$6:$AI$505,"&lt;="&amp;$A35,実績!$AJ$6:$AJ$505,"&gt;"&amp;$A35,実績!$AK$6:$AK$505,"○")&gt;0,1,0))</f>
        <v>0</v>
      </c>
      <c r="DP35" s="39" t="n">
        <f aca="false">IF(DP$4=0,0,IF(COUNTIFS(実績!$W$6:$W$505,DP$3,実績!$AI$6:$AI$505,"&lt;="&amp;$A35,実績!$AJ$6:$AJ$505,"&gt;"&amp;$A35,実績!$AK$6:$AK$505,"○")&gt;0,1,0))</f>
        <v>0</v>
      </c>
      <c r="DQ35" s="39" t="n">
        <f aca="false">IF(DQ$4=0,0,IF(COUNTIFS(実績!$W$6:$W$505,DQ$3,実績!$AI$6:$AI$505,"&lt;="&amp;$A35,実績!$AJ$6:$AJ$505,"&gt;"&amp;$A35,実績!$AK$6:$AK$505,"○")&gt;0,1,0))</f>
        <v>0</v>
      </c>
      <c r="DR35" s="39" t="n">
        <f aca="false">IF(DR$4=0,0,IF(COUNTIFS(実績!$W$6:$W$505,DR$3,実績!$AI$6:$AI$505,"&lt;="&amp;$A35,実績!$AJ$6:$AJ$505,"&gt;"&amp;$A35,実績!$AK$6:$AK$505,"○")&gt;0,1,0))</f>
        <v>0</v>
      </c>
      <c r="DS35" s="39" t="n">
        <f aca="false">SUM(C35:DR35)</f>
        <v>0</v>
      </c>
      <c r="DT35" s="39" t="n">
        <f aca="false">SUMPRODUCT((実績!$C$6:$C$505="○")*ISNUMBER(実績!$AM$6:$AM$505)*(実績!$AM$6:$AM$505&lt;=$A35)*(実績!$AN$6:$AN$505&gt;$A35))</f>
        <v>0</v>
      </c>
      <c r="DU35" s="39" t="n">
        <f aca="false">SUMIF($C$2:$DR$2,"製鉄曳船",C35:DR35)</f>
        <v>0</v>
      </c>
      <c r="DV35" s="39" t="n">
        <f aca="false">SUMIF($C$2:$DR$2,"西日本海運",C35:DR35)</f>
        <v>0</v>
      </c>
    </row>
    <row r="36" customFormat="false" ht="15" hidden="false" customHeight="false" outlineLevel="0" collapsed="false">
      <c r="A36" s="0" t="n">
        <v>150</v>
      </c>
      <c r="B36" s="38" t="n">
        <f aca="false">A36/1440</f>
        <v>0.104166666666667</v>
      </c>
      <c r="C36" s="39" t="n">
        <f aca="false">IF(C$4=0,0,IF(COUNTIFS(実績!$W$6:$W$505,C$3,実績!$AI$6:$AI$505,"&lt;="&amp;$A36,実績!$AJ$6:$AJ$505,"&gt;"&amp;$A36,実績!$AK$6:$AK$505,"○")&gt;0,1,0))</f>
        <v>0</v>
      </c>
      <c r="D36" s="39" t="n">
        <f aca="false">IF(D$4=0,0,IF(COUNTIFS(実績!$W$6:$W$505,D$3,実績!$AI$6:$AI$505,"&lt;="&amp;$A36,実績!$AJ$6:$AJ$505,"&gt;"&amp;$A36,実績!$AK$6:$AK$505,"○")&gt;0,1,0))</f>
        <v>0</v>
      </c>
      <c r="E36" s="39" t="n">
        <f aca="false">IF(E$4=0,0,IF(COUNTIFS(実績!$W$6:$W$505,E$3,実績!$AI$6:$AI$505,"&lt;="&amp;$A36,実績!$AJ$6:$AJ$505,"&gt;"&amp;$A36,実績!$AK$6:$AK$505,"○")&gt;0,1,0))</f>
        <v>0</v>
      </c>
      <c r="F36" s="39" t="n">
        <f aca="false">IF(F$4=0,0,IF(COUNTIFS(実績!$W$6:$W$505,F$3,実績!$AI$6:$AI$505,"&lt;="&amp;$A36,実績!$AJ$6:$AJ$505,"&gt;"&amp;$A36,実績!$AK$6:$AK$505,"○")&gt;0,1,0))</f>
        <v>0</v>
      </c>
      <c r="G36" s="39" t="n">
        <f aca="false">IF(G$4=0,0,IF(COUNTIFS(実績!$W$6:$W$505,G$3,実績!$AI$6:$AI$505,"&lt;="&amp;$A36,実績!$AJ$6:$AJ$505,"&gt;"&amp;$A36,実績!$AK$6:$AK$505,"○")&gt;0,1,0))</f>
        <v>0</v>
      </c>
      <c r="H36" s="39" t="n">
        <f aca="false">IF(H$4=0,0,IF(COUNTIFS(実績!$W$6:$W$505,H$3,実績!$AI$6:$AI$505,"&lt;="&amp;$A36,実績!$AJ$6:$AJ$505,"&gt;"&amp;$A36,実績!$AK$6:$AK$505,"○")&gt;0,1,0))</f>
        <v>0</v>
      </c>
      <c r="I36" s="39" t="n">
        <f aca="false">IF(I$4=0,0,IF(COUNTIFS(実績!$W$6:$W$505,I$3,実績!$AI$6:$AI$505,"&lt;="&amp;$A36,実績!$AJ$6:$AJ$505,"&gt;"&amp;$A36,実績!$AK$6:$AK$505,"○")&gt;0,1,0))</f>
        <v>0</v>
      </c>
      <c r="J36" s="39" t="n">
        <f aca="false">IF(J$4=0,0,IF(COUNTIFS(実績!$W$6:$W$505,J$3,実績!$AI$6:$AI$505,"&lt;="&amp;$A36,実績!$AJ$6:$AJ$505,"&gt;"&amp;$A36,実績!$AK$6:$AK$505,"○")&gt;0,1,0))</f>
        <v>0</v>
      </c>
      <c r="K36" s="39" t="n">
        <f aca="false">IF(K$4=0,0,IF(COUNTIFS(実績!$W$6:$W$505,K$3,実績!$AI$6:$AI$505,"&lt;="&amp;$A36,実績!$AJ$6:$AJ$505,"&gt;"&amp;$A36,実績!$AK$6:$AK$505,"○")&gt;0,1,0))</f>
        <v>0</v>
      </c>
      <c r="L36" s="39" t="n">
        <f aca="false">IF(L$4=0,0,IF(COUNTIFS(実績!$W$6:$W$505,L$3,実績!$AI$6:$AI$505,"&lt;="&amp;$A36,実績!$AJ$6:$AJ$505,"&gt;"&amp;$A36,実績!$AK$6:$AK$505,"○")&gt;0,1,0))</f>
        <v>0</v>
      </c>
      <c r="M36" s="39" t="n">
        <f aca="false">IF(M$4=0,0,IF(COUNTIFS(実績!$W$6:$W$505,M$3,実績!$AI$6:$AI$505,"&lt;="&amp;$A36,実績!$AJ$6:$AJ$505,"&gt;"&amp;$A36,実績!$AK$6:$AK$505,"○")&gt;0,1,0))</f>
        <v>0</v>
      </c>
      <c r="N36" s="39" t="n">
        <f aca="false">IF(N$4=0,0,IF(COUNTIFS(実績!$W$6:$W$505,N$3,実績!$AI$6:$AI$505,"&lt;="&amp;$A36,実績!$AJ$6:$AJ$505,"&gt;"&amp;$A36,実績!$AK$6:$AK$505,"○")&gt;0,1,0))</f>
        <v>0</v>
      </c>
      <c r="O36" s="39" t="n">
        <f aca="false">IF(O$4=0,0,IF(COUNTIFS(実績!$W$6:$W$505,O$3,実績!$AI$6:$AI$505,"&lt;="&amp;$A36,実績!$AJ$6:$AJ$505,"&gt;"&amp;$A36,実績!$AK$6:$AK$505,"○")&gt;0,1,0))</f>
        <v>0</v>
      </c>
      <c r="P36" s="39" t="n">
        <f aca="false">IF(P$4=0,0,IF(COUNTIFS(実績!$W$6:$W$505,P$3,実績!$AI$6:$AI$505,"&lt;="&amp;$A36,実績!$AJ$6:$AJ$505,"&gt;"&amp;$A36,実績!$AK$6:$AK$505,"○")&gt;0,1,0))</f>
        <v>0</v>
      </c>
      <c r="Q36" s="39" t="n">
        <f aca="false">IF(Q$4=0,0,IF(COUNTIFS(実績!$W$6:$W$505,Q$3,実績!$AI$6:$AI$505,"&lt;="&amp;$A36,実績!$AJ$6:$AJ$505,"&gt;"&amp;$A36,実績!$AK$6:$AK$505,"○")&gt;0,1,0))</f>
        <v>0</v>
      </c>
      <c r="R36" s="39" t="n">
        <f aca="false">IF(R$4=0,0,IF(COUNTIFS(実績!$W$6:$W$505,R$3,実績!$AI$6:$AI$505,"&lt;="&amp;$A36,実績!$AJ$6:$AJ$505,"&gt;"&amp;$A36,実績!$AK$6:$AK$505,"○")&gt;0,1,0))</f>
        <v>0</v>
      </c>
      <c r="S36" s="39" t="n">
        <f aca="false">IF(S$4=0,0,IF(COUNTIFS(実績!$W$6:$W$505,S$3,実績!$AI$6:$AI$505,"&lt;="&amp;$A36,実績!$AJ$6:$AJ$505,"&gt;"&amp;$A36,実績!$AK$6:$AK$505,"○")&gt;0,1,0))</f>
        <v>0</v>
      </c>
      <c r="T36" s="39" t="n">
        <f aca="false">IF(T$4=0,0,IF(COUNTIFS(実績!$W$6:$W$505,T$3,実績!$AI$6:$AI$505,"&lt;="&amp;$A36,実績!$AJ$6:$AJ$505,"&gt;"&amp;$A36,実績!$AK$6:$AK$505,"○")&gt;0,1,0))</f>
        <v>0</v>
      </c>
      <c r="U36" s="39" t="n">
        <f aca="false">IF(U$4=0,0,IF(COUNTIFS(実績!$W$6:$W$505,U$3,実績!$AI$6:$AI$505,"&lt;="&amp;$A36,実績!$AJ$6:$AJ$505,"&gt;"&amp;$A36,実績!$AK$6:$AK$505,"○")&gt;0,1,0))</f>
        <v>0</v>
      </c>
      <c r="V36" s="39" t="n">
        <f aca="false">IF(V$4=0,0,IF(COUNTIFS(実績!$W$6:$W$505,V$3,実績!$AI$6:$AI$505,"&lt;="&amp;$A36,実績!$AJ$6:$AJ$505,"&gt;"&amp;$A36,実績!$AK$6:$AK$505,"○")&gt;0,1,0))</f>
        <v>0</v>
      </c>
      <c r="W36" s="39" t="n">
        <f aca="false">IF(W$4=0,0,IF(COUNTIFS(実績!$W$6:$W$505,W$3,実績!$AI$6:$AI$505,"&lt;="&amp;$A36,実績!$AJ$6:$AJ$505,"&gt;"&amp;$A36,実績!$AK$6:$AK$505,"○")&gt;0,1,0))</f>
        <v>0</v>
      </c>
      <c r="X36" s="39" t="n">
        <f aca="false">IF(X$4=0,0,IF(COUNTIFS(実績!$W$6:$W$505,X$3,実績!$AI$6:$AI$505,"&lt;="&amp;$A36,実績!$AJ$6:$AJ$505,"&gt;"&amp;$A36,実績!$AK$6:$AK$505,"○")&gt;0,1,0))</f>
        <v>0</v>
      </c>
      <c r="Y36" s="39" t="n">
        <f aca="false">IF(Y$4=0,0,IF(COUNTIFS(実績!$W$6:$W$505,Y$3,実績!$AI$6:$AI$505,"&lt;="&amp;$A36,実績!$AJ$6:$AJ$505,"&gt;"&amp;$A36,実績!$AK$6:$AK$505,"○")&gt;0,1,0))</f>
        <v>0</v>
      </c>
      <c r="Z36" s="39" t="n">
        <f aca="false">IF(Z$4=0,0,IF(COUNTIFS(実績!$W$6:$W$505,Z$3,実績!$AI$6:$AI$505,"&lt;="&amp;$A36,実績!$AJ$6:$AJ$505,"&gt;"&amp;$A36,実績!$AK$6:$AK$505,"○")&gt;0,1,0))</f>
        <v>0</v>
      </c>
      <c r="AA36" s="39" t="n">
        <f aca="false">IF(AA$4=0,0,IF(COUNTIFS(実績!$W$6:$W$505,AA$3,実績!$AI$6:$AI$505,"&lt;="&amp;$A36,実績!$AJ$6:$AJ$505,"&gt;"&amp;$A36,実績!$AK$6:$AK$505,"○")&gt;0,1,0))</f>
        <v>0</v>
      </c>
      <c r="AB36" s="39" t="n">
        <f aca="false">IF(AB$4=0,0,IF(COUNTIFS(実績!$W$6:$W$505,AB$3,実績!$AI$6:$AI$505,"&lt;="&amp;$A36,実績!$AJ$6:$AJ$505,"&gt;"&amp;$A36,実績!$AK$6:$AK$505,"○")&gt;0,1,0))</f>
        <v>0</v>
      </c>
      <c r="AC36" s="39" t="n">
        <f aca="false">IF(AC$4=0,0,IF(COUNTIFS(実績!$W$6:$W$505,AC$3,実績!$AI$6:$AI$505,"&lt;="&amp;$A36,実績!$AJ$6:$AJ$505,"&gt;"&amp;$A36,実績!$AK$6:$AK$505,"○")&gt;0,1,0))</f>
        <v>0</v>
      </c>
      <c r="AD36" s="39" t="n">
        <f aca="false">IF(AD$4=0,0,IF(COUNTIFS(実績!$W$6:$W$505,AD$3,実績!$AI$6:$AI$505,"&lt;="&amp;$A36,実績!$AJ$6:$AJ$505,"&gt;"&amp;$A36,実績!$AK$6:$AK$505,"○")&gt;0,1,0))</f>
        <v>0</v>
      </c>
      <c r="AE36" s="39" t="n">
        <f aca="false">IF(AE$4=0,0,IF(COUNTIFS(実績!$W$6:$W$505,AE$3,実績!$AI$6:$AI$505,"&lt;="&amp;$A36,実績!$AJ$6:$AJ$505,"&gt;"&amp;$A36,実績!$AK$6:$AK$505,"○")&gt;0,1,0))</f>
        <v>0</v>
      </c>
      <c r="AF36" s="39" t="n">
        <f aca="false">IF(AF$4=0,0,IF(COUNTIFS(実績!$W$6:$W$505,AF$3,実績!$AI$6:$AI$505,"&lt;="&amp;$A36,実績!$AJ$6:$AJ$505,"&gt;"&amp;$A36,実績!$AK$6:$AK$505,"○")&gt;0,1,0))</f>
        <v>0</v>
      </c>
      <c r="AG36" s="39" t="n">
        <f aca="false">IF(AG$4=0,0,IF(COUNTIFS(実績!$W$6:$W$505,AG$3,実績!$AI$6:$AI$505,"&lt;="&amp;$A36,実績!$AJ$6:$AJ$505,"&gt;"&amp;$A36,実績!$AK$6:$AK$505,"○")&gt;0,1,0))</f>
        <v>0</v>
      </c>
      <c r="AH36" s="39" t="n">
        <f aca="false">IF(AH$4=0,0,IF(COUNTIFS(実績!$W$6:$W$505,AH$3,実績!$AI$6:$AI$505,"&lt;="&amp;$A36,実績!$AJ$6:$AJ$505,"&gt;"&amp;$A36,実績!$AK$6:$AK$505,"○")&gt;0,1,0))</f>
        <v>0</v>
      </c>
      <c r="AI36" s="39" t="n">
        <f aca="false">IF(AI$4=0,0,IF(COUNTIFS(実績!$W$6:$W$505,AI$3,実績!$AI$6:$AI$505,"&lt;="&amp;$A36,実績!$AJ$6:$AJ$505,"&gt;"&amp;$A36,実績!$AK$6:$AK$505,"○")&gt;0,1,0))</f>
        <v>0</v>
      </c>
      <c r="AJ36" s="39" t="n">
        <f aca="false">IF(AJ$4=0,0,IF(COUNTIFS(実績!$W$6:$W$505,AJ$3,実績!$AI$6:$AI$505,"&lt;="&amp;$A36,実績!$AJ$6:$AJ$505,"&gt;"&amp;$A36,実績!$AK$6:$AK$505,"○")&gt;0,1,0))</f>
        <v>0</v>
      </c>
      <c r="AK36" s="39" t="n">
        <f aca="false">IF(AK$4=0,0,IF(COUNTIFS(実績!$W$6:$W$505,AK$3,実績!$AI$6:$AI$505,"&lt;="&amp;$A36,実績!$AJ$6:$AJ$505,"&gt;"&amp;$A36,実績!$AK$6:$AK$505,"○")&gt;0,1,0))</f>
        <v>0</v>
      </c>
      <c r="AL36" s="39" t="n">
        <f aca="false">IF(AL$4=0,0,IF(COUNTIFS(実績!$W$6:$W$505,AL$3,実績!$AI$6:$AI$505,"&lt;="&amp;$A36,実績!$AJ$6:$AJ$505,"&gt;"&amp;$A36,実績!$AK$6:$AK$505,"○")&gt;0,1,0))</f>
        <v>0</v>
      </c>
      <c r="AM36" s="39" t="n">
        <f aca="false">IF(AM$4=0,0,IF(COUNTIFS(実績!$W$6:$W$505,AM$3,実績!$AI$6:$AI$505,"&lt;="&amp;$A36,実績!$AJ$6:$AJ$505,"&gt;"&amp;$A36,実績!$AK$6:$AK$505,"○")&gt;0,1,0))</f>
        <v>0</v>
      </c>
      <c r="AN36" s="39" t="n">
        <f aca="false">IF(AN$4=0,0,IF(COUNTIFS(実績!$W$6:$W$505,AN$3,実績!$AI$6:$AI$505,"&lt;="&amp;$A36,実績!$AJ$6:$AJ$505,"&gt;"&amp;$A36,実績!$AK$6:$AK$505,"○")&gt;0,1,0))</f>
        <v>0</v>
      </c>
      <c r="AO36" s="39" t="n">
        <f aca="false">IF(AO$4=0,0,IF(COUNTIFS(実績!$W$6:$W$505,AO$3,実績!$AI$6:$AI$505,"&lt;="&amp;$A36,実績!$AJ$6:$AJ$505,"&gt;"&amp;$A36,実績!$AK$6:$AK$505,"○")&gt;0,1,0))</f>
        <v>0</v>
      </c>
      <c r="AP36" s="39" t="n">
        <f aca="false">IF(AP$4=0,0,IF(COUNTIFS(実績!$W$6:$W$505,AP$3,実績!$AI$6:$AI$505,"&lt;="&amp;$A36,実績!$AJ$6:$AJ$505,"&gt;"&amp;$A36,実績!$AK$6:$AK$505,"○")&gt;0,1,0))</f>
        <v>0</v>
      </c>
      <c r="AQ36" s="39" t="n">
        <f aca="false">IF(AQ$4=0,0,IF(COUNTIFS(実績!$W$6:$W$505,AQ$3,実績!$AI$6:$AI$505,"&lt;="&amp;$A36,実績!$AJ$6:$AJ$505,"&gt;"&amp;$A36,実績!$AK$6:$AK$505,"○")&gt;0,1,0))</f>
        <v>0</v>
      </c>
      <c r="AR36" s="39" t="n">
        <f aca="false">IF(AR$4=0,0,IF(COUNTIFS(実績!$W$6:$W$505,AR$3,実績!$AI$6:$AI$505,"&lt;="&amp;$A36,実績!$AJ$6:$AJ$505,"&gt;"&amp;$A36,実績!$AK$6:$AK$505,"○")&gt;0,1,0))</f>
        <v>0</v>
      </c>
      <c r="AS36" s="39" t="n">
        <f aca="false">IF(AS$4=0,0,IF(COUNTIFS(実績!$W$6:$W$505,AS$3,実績!$AI$6:$AI$505,"&lt;="&amp;$A36,実績!$AJ$6:$AJ$505,"&gt;"&amp;$A36,実績!$AK$6:$AK$505,"○")&gt;0,1,0))</f>
        <v>0</v>
      </c>
      <c r="AT36" s="39" t="n">
        <f aca="false">IF(AT$4=0,0,IF(COUNTIFS(実績!$W$6:$W$505,AT$3,実績!$AI$6:$AI$505,"&lt;="&amp;$A36,実績!$AJ$6:$AJ$505,"&gt;"&amp;$A36,実績!$AK$6:$AK$505,"○")&gt;0,1,0))</f>
        <v>0</v>
      </c>
      <c r="AU36" s="39" t="n">
        <f aca="false">IF(AU$4=0,0,IF(COUNTIFS(実績!$W$6:$W$505,AU$3,実績!$AI$6:$AI$505,"&lt;="&amp;$A36,実績!$AJ$6:$AJ$505,"&gt;"&amp;$A36,実績!$AK$6:$AK$505,"○")&gt;0,1,0))</f>
        <v>0</v>
      </c>
      <c r="AV36" s="39" t="n">
        <f aca="false">IF(AV$4=0,0,IF(COUNTIFS(実績!$W$6:$W$505,AV$3,実績!$AI$6:$AI$505,"&lt;="&amp;$A36,実績!$AJ$6:$AJ$505,"&gt;"&amp;$A36,実績!$AK$6:$AK$505,"○")&gt;0,1,0))</f>
        <v>0</v>
      </c>
      <c r="AW36" s="39" t="n">
        <f aca="false">IF(AW$4=0,0,IF(COUNTIFS(実績!$W$6:$W$505,AW$3,実績!$AI$6:$AI$505,"&lt;="&amp;$A36,実績!$AJ$6:$AJ$505,"&gt;"&amp;$A36,実績!$AK$6:$AK$505,"○")&gt;0,1,0))</f>
        <v>0</v>
      </c>
      <c r="AX36" s="39" t="n">
        <f aca="false">IF(AX$4=0,0,IF(COUNTIFS(実績!$W$6:$W$505,AX$3,実績!$AI$6:$AI$505,"&lt;="&amp;$A36,実績!$AJ$6:$AJ$505,"&gt;"&amp;$A36,実績!$AK$6:$AK$505,"○")&gt;0,1,0))</f>
        <v>0</v>
      </c>
      <c r="AY36" s="39" t="n">
        <f aca="false">IF(AY$4=0,0,IF(COUNTIFS(実績!$W$6:$W$505,AY$3,実績!$AI$6:$AI$505,"&lt;="&amp;$A36,実績!$AJ$6:$AJ$505,"&gt;"&amp;$A36,実績!$AK$6:$AK$505,"○")&gt;0,1,0))</f>
        <v>0</v>
      </c>
      <c r="AZ36" s="39" t="n">
        <f aca="false">IF(AZ$4=0,0,IF(COUNTIFS(実績!$W$6:$W$505,AZ$3,実績!$AI$6:$AI$505,"&lt;="&amp;$A36,実績!$AJ$6:$AJ$505,"&gt;"&amp;$A36,実績!$AK$6:$AK$505,"○")&gt;0,1,0))</f>
        <v>0</v>
      </c>
      <c r="BA36" s="39" t="n">
        <f aca="false">IF(BA$4=0,0,IF(COUNTIFS(実績!$W$6:$W$505,BA$3,実績!$AI$6:$AI$505,"&lt;="&amp;$A36,実績!$AJ$6:$AJ$505,"&gt;"&amp;$A36,実績!$AK$6:$AK$505,"○")&gt;0,1,0))</f>
        <v>0</v>
      </c>
      <c r="BB36" s="39" t="n">
        <f aca="false">IF(BB$4=0,0,IF(COUNTIFS(実績!$W$6:$W$505,BB$3,実績!$AI$6:$AI$505,"&lt;="&amp;$A36,実績!$AJ$6:$AJ$505,"&gt;"&amp;$A36,実績!$AK$6:$AK$505,"○")&gt;0,1,0))</f>
        <v>0</v>
      </c>
      <c r="BC36" s="39" t="n">
        <f aca="false">IF(BC$4=0,0,IF(COUNTIFS(実績!$W$6:$W$505,BC$3,実績!$AI$6:$AI$505,"&lt;="&amp;$A36,実績!$AJ$6:$AJ$505,"&gt;"&amp;$A36,実績!$AK$6:$AK$505,"○")&gt;0,1,0))</f>
        <v>0</v>
      </c>
      <c r="BD36" s="39" t="n">
        <f aca="false">IF(BD$4=0,0,IF(COUNTIFS(実績!$W$6:$W$505,BD$3,実績!$AI$6:$AI$505,"&lt;="&amp;$A36,実績!$AJ$6:$AJ$505,"&gt;"&amp;$A36,実績!$AK$6:$AK$505,"○")&gt;0,1,0))</f>
        <v>0</v>
      </c>
      <c r="BE36" s="39" t="n">
        <f aca="false">IF(BE$4=0,0,IF(COUNTIFS(実績!$W$6:$W$505,BE$3,実績!$AI$6:$AI$505,"&lt;="&amp;$A36,実績!$AJ$6:$AJ$505,"&gt;"&amp;$A36,実績!$AK$6:$AK$505,"○")&gt;0,1,0))</f>
        <v>0</v>
      </c>
      <c r="BF36" s="39" t="n">
        <f aca="false">IF(BF$4=0,0,IF(COUNTIFS(実績!$W$6:$W$505,BF$3,実績!$AI$6:$AI$505,"&lt;="&amp;$A36,実績!$AJ$6:$AJ$505,"&gt;"&amp;$A36,実績!$AK$6:$AK$505,"○")&gt;0,1,0))</f>
        <v>0</v>
      </c>
      <c r="BG36" s="39" t="n">
        <f aca="false">IF(BG$4=0,0,IF(COUNTIFS(実績!$W$6:$W$505,BG$3,実績!$AI$6:$AI$505,"&lt;="&amp;$A36,実績!$AJ$6:$AJ$505,"&gt;"&amp;$A36,実績!$AK$6:$AK$505,"○")&gt;0,1,0))</f>
        <v>0</v>
      </c>
      <c r="BH36" s="39" t="n">
        <f aca="false">IF(BH$4=0,0,IF(COUNTIFS(実績!$W$6:$W$505,BH$3,実績!$AI$6:$AI$505,"&lt;="&amp;$A36,実績!$AJ$6:$AJ$505,"&gt;"&amp;$A36,実績!$AK$6:$AK$505,"○")&gt;0,1,0))</f>
        <v>0</v>
      </c>
      <c r="BI36" s="39" t="n">
        <f aca="false">IF(BI$4=0,0,IF(COUNTIFS(実績!$W$6:$W$505,BI$3,実績!$AI$6:$AI$505,"&lt;="&amp;$A36,実績!$AJ$6:$AJ$505,"&gt;"&amp;$A36,実績!$AK$6:$AK$505,"○")&gt;0,1,0))</f>
        <v>0</v>
      </c>
      <c r="BJ36" s="39" t="n">
        <f aca="false">IF(BJ$4=0,0,IF(COUNTIFS(実績!$W$6:$W$505,BJ$3,実績!$AI$6:$AI$505,"&lt;="&amp;$A36,実績!$AJ$6:$AJ$505,"&gt;"&amp;$A36,実績!$AK$6:$AK$505,"○")&gt;0,1,0))</f>
        <v>0</v>
      </c>
      <c r="BK36" s="39" t="n">
        <f aca="false">IF(BK$4=0,0,IF(COUNTIFS(実績!$W$6:$W$505,BK$3,実績!$AI$6:$AI$505,"&lt;="&amp;$A36,実績!$AJ$6:$AJ$505,"&gt;"&amp;$A36,実績!$AK$6:$AK$505,"○")&gt;0,1,0))</f>
        <v>0</v>
      </c>
      <c r="BL36" s="39" t="n">
        <f aca="false">IF(BL$4=0,0,IF(COUNTIFS(実績!$W$6:$W$505,BL$3,実績!$AI$6:$AI$505,"&lt;="&amp;$A36,実績!$AJ$6:$AJ$505,"&gt;"&amp;$A36,実績!$AK$6:$AK$505,"○")&gt;0,1,0))</f>
        <v>0</v>
      </c>
      <c r="BM36" s="39" t="n">
        <f aca="false">IF(BM$4=0,0,IF(COUNTIFS(実績!$W$6:$W$505,BM$3,実績!$AI$6:$AI$505,"&lt;="&amp;$A36,実績!$AJ$6:$AJ$505,"&gt;"&amp;$A36,実績!$AK$6:$AK$505,"○")&gt;0,1,0))</f>
        <v>0</v>
      </c>
      <c r="BN36" s="39" t="n">
        <f aca="false">IF(BN$4=0,0,IF(COUNTIFS(実績!$W$6:$W$505,BN$3,実績!$AI$6:$AI$505,"&lt;="&amp;$A36,実績!$AJ$6:$AJ$505,"&gt;"&amp;$A36,実績!$AK$6:$AK$505,"○")&gt;0,1,0))</f>
        <v>0</v>
      </c>
      <c r="BO36" s="39" t="n">
        <f aca="false">IF(BO$4=0,0,IF(COUNTIFS(実績!$W$6:$W$505,BO$3,実績!$AI$6:$AI$505,"&lt;="&amp;$A36,実績!$AJ$6:$AJ$505,"&gt;"&amp;$A36,実績!$AK$6:$AK$505,"○")&gt;0,1,0))</f>
        <v>0</v>
      </c>
      <c r="BP36" s="39" t="n">
        <f aca="false">IF(BP$4=0,0,IF(COUNTIFS(実績!$W$6:$W$505,BP$3,実績!$AI$6:$AI$505,"&lt;="&amp;$A36,実績!$AJ$6:$AJ$505,"&gt;"&amp;$A36,実績!$AK$6:$AK$505,"○")&gt;0,1,0))</f>
        <v>0</v>
      </c>
      <c r="BQ36" s="39" t="n">
        <f aca="false">IF(BQ$4=0,0,IF(COUNTIFS(実績!$W$6:$W$505,BQ$3,実績!$AI$6:$AI$505,"&lt;="&amp;$A36,実績!$AJ$6:$AJ$505,"&gt;"&amp;$A36,実績!$AK$6:$AK$505,"○")&gt;0,1,0))</f>
        <v>0</v>
      </c>
      <c r="BR36" s="39" t="n">
        <f aca="false">IF(BR$4=0,0,IF(COUNTIFS(実績!$W$6:$W$505,BR$3,実績!$AI$6:$AI$505,"&lt;="&amp;$A36,実績!$AJ$6:$AJ$505,"&gt;"&amp;$A36,実績!$AK$6:$AK$505,"○")&gt;0,1,0))</f>
        <v>0</v>
      </c>
      <c r="BS36" s="39" t="n">
        <f aca="false">IF(BS$4=0,0,IF(COUNTIFS(実績!$W$6:$W$505,BS$3,実績!$AI$6:$AI$505,"&lt;="&amp;$A36,実績!$AJ$6:$AJ$505,"&gt;"&amp;$A36,実績!$AK$6:$AK$505,"○")&gt;0,1,0))</f>
        <v>0</v>
      </c>
      <c r="BT36" s="39" t="n">
        <f aca="false">IF(BT$4=0,0,IF(COUNTIFS(実績!$W$6:$W$505,BT$3,実績!$AI$6:$AI$505,"&lt;="&amp;$A36,実績!$AJ$6:$AJ$505,"&gt;"&amp;$A36,実績!$AK$6:$AK$505,"○")&gt;0,1,0))</f>
        <v>0</v>
      </c>
      <c r="BU36" s="39" t="n">
        <f aca="false">IF(BU$4=0,0,IF(COUNTIFS(実績!$W$6:$W$505,BU$3,実績!$AI$6:$AI$505,"&lt;="&amp;$A36,実績!$AJ$6:$AJ$505,"&gt;"&amp;$A36,実績!$AK$6:$AK$505,"○")&gt;0,1,0))</f>
        <v>0</v>
      </c>
      <c r="BV36" s="39" t="n">
        <f aca="false">IF(BV$4=0,0,IF(COUNTIFS(実績!$W$6:$W$505,BV$3,実績!$AI$6:$AI$505,"&lt;="&amp;$A36,実績!$AJ$6:$AJ$505,"&gt;"&amp;$A36,実績!$AK$6:$AK$505,"○")&gt;0,1,0))</f>
        <v>0</v>
      </c>
      <c r="BW36" s="39" t="n">
        <f aca="false">IF(BW$4=0,0,IF(COUNTIFS(実績!$W$6:$W$505,BW$3,実績!$AI$6:$AI$505,"&lt;="&amp;$A36,実績!$AJ$6:$AJ$505,"&gt;"&amp;$A36,実績!$AK$6:$AK$505,"○")&gt;0,1,0))</f>
        <v>0</v>
      </c>
      <c r="BX36" s="39" t="n">
        <f aca="false">IF(BX$4=0,0,IF(COUNTIFS(実績!$W$6:$W$505,BX$3,実績!$AI$6:$AI$505,"&lt;="&amp;$A36,実績!$AJ$6:$AJ$505,"&gt;"&amp;$A36,実績!$AK$6:$AK$505,"○")&gt;0,1,0))</f>
        <v>0</v>
      </c>
      <c r="BY36" s="39" t="n">
        <f aca="false">IF(BY$4=0,0,IF(COUNTIFS(実績!$W$6:$W$505,BY$3,実績!$AI$6:$AI$505,"&lt;="&amp;$A36,実績!$AJ$6:$AJ$505,"&gt;"&amp;$A36,実績!$AK$6:$AK$505,"○")&gt;0,1,0))</f>
        <v>0</v>
      </c>
      <c r="BZ36" s="39" t="n">
        <f aca="false">IF(BZ$4=0,0,IF(COUNTIFS(実績!$W$6:$W$505,BZ$3,実績!$AI$6:$AI$505,"&lt;="&amp;$A36,実績!$AJ$6:$AJ$505,"&gt;"&amp;$A36,実績!$AK$6:$AK$505,"○")&gt;0,1,0))</f>
        <v>0</v>
      </c>
      <c r="CA36" s="39" t="n">
        <f aca="false">IF(CA$4=0,0,IF(COUNTIFS(実績!$W$6:$W$505,CA$3,実績!$AI$6:$AI$505,"&lt;="&amp;$A36,実績!$AJ$6:$AJ$505,"&gt;"&amp;$A36,実績!$AK$6:$AK$505,"○")&gt;0,1,0))</f>
        <v>0</v>
      </c>
      <c r="CB36" s="39" t="n">
        <f aca="false">IF(CB$4=0,0,IF(COUNTIFS(実績!$W$6:$W$505,CB$3,実績!$AI$6:$AI$505,"&lt;="&amp;$A36,実績!$AJ$6:$AJ$505,"&gt;"&amp;$A36,実績!$AK$6:$AK$505,"○")&gt;0,1,0))</f>
        <v>0</v>
      </c>
      <c r="CC36" s="39" t="n">
        <f aca="false">IF(CC$4=0,0,IF(COUNTIFS(実績!$W$6:$W$505,CC$3,実績!$AI$6:$AI$505,"&lt;="&amp;$A36,実績!$AJ$6:$AJ$505,"&gt;"&amp;$A36,実績!$AK$6:$AK$505,"○")&gt;0,1,0))</f>
        <v>0</v>
      </c>
      <c r="CD36" s="39" t="n">
        <f aca="false">IF(CD$4=0,0,IF(COUNTIFS(実績!$W$6:$W$505,CD$3,実績!$AI$6:$AI$505,"&lt;="&amp;$A36,実績!$AJ$6:$AJ$505,"&gt;"&amp;$A36,実績!$AK$6:$AK$505,"○")&gt;0,1,0))</f>
        <v>0</v>
      </c>
      <c r="CE36" s="39" t="n">
        <f aca="false">IF(CE$4=0,0,IF(COUNTIFS(実績!$W$6:$W$505,CE$3,実績!$AI$6:$AI$505,"&lt;="&amp;$A36,実績!$AJ$6:$AJ$505,"&gt;"&amp;$A36,実績!$AK$6:$AK$505,"○")&gt;0,1,0))</f>
        <v>0</v>
      </c>
      <c r="CF36" s="39" t="n">
        <f aca="false">IF(CF$4=0,0,IF(COUNTIFS(実績!$W$6:$W$505,CF$3,実績!$AI$6:$AI$505,"&lt;="&amp;$A36,実績!$AJ$6:$AJ$505,"&gt;"&amp;$A36,実績!$AK$6:$AK$505,"○")&gt;0,1,0))</f>
        <v>0</v>
      </c>
      <c r="CG36" s="39" t="n">
        <f aca="false">IF(CG$4=0,0,IF(COUNTIFS(実績!$W$6:$W$505,CG$3,実績!$AI$6:$AI$505,"&lt;="&amp;$A36,実績!$AJ$6:$AJ$505,"&gt;"&amp;$A36,実績!$AK$6:$AK$505,"○")&gt;0,1,0))</f>
        <v>0</v>
      </c>
      <c r="CH36" s="39" t="n">
        <f aca="false">IF(CH$4=0,0,IF(COUNTIFS(実績!$W$6:$W$505,CH$3,実績!$AI$6:$AI$505,"&lt;="&amp;$A36,実績!$AJ$6:$AJ$505,"&gt;"&amp;$A36,実績!$AK$6:$AK$505,"○")&gt;0,1,0))</f>
        <v>0</v>
      </c>
      <c r="CI36" s="39" t="n">
        <f aca="false">IF(CI$4=0,0,IF(COUNTIFS(実績!$W$6:$W$505,CI$3,実績!$AI$6:$AI$505,"&lt;="&amp;$A36,実績!$AJ$6:$AJ$505,"&gt;"&amp;$A36,実績!$AK$6:$AK$505,"○")&gt;0,1,0))</f>
        <v>0</v>
      </c>
      <c r="CJ36" s="39" t="n">
        <f aca="false">IF(CJ$4=0,0,IF(COUNTIFS(実績!$W$6:$W$505,CJ$3,実績!$AI$6:$AI$505,"&lt;="&amp;$A36,実績!$AJ$6:$AJ$505,"&gt;"&amp;$A36,実績!$AK$6:$AK$505,"○")&gt;0,1,0))</f>
        <v>0</v>
      </c>
      <c r="CK36" s="39" t="n">
        <f aca="false">IF(CK$4=0,0,IF(COUNTIFS(実績!$W$6:$W$505,CK$3,実績!$AI$6:$AI$505,"&lt;="&amp;$A36,実績!$AJ$6:$AJ$505,"&gt;"&amp;$A36,実績!$AK$6:$AK$505,"○")&gt;0,1,0))</f>
        <v>0</v>
      </c>
      <c r="CL36" s="39" t="n">
        <f aca="false">IF(CL$4=0,0,IF(COUNTIFS(実績!$W$6:$W$505,CL$3,実績!$AI$6:$AI$505,"&lt;="&amp;$A36,実績!$AJ$6:$AJ$505,"&gt;"&amp;$A36,実績!$AK$6:$AK$505,"○")&gt;0,1,0))</f>
        <v>0</v>
      </c>
      <c r="CM36" s="39" t="n">
        <f aca="false">IF(CM$4=0,0,IF(COUNTIFS(実績!$W$6:$W$505,CM$3,実績!$AI$6:$AI$505,"&lt;="&amp;$A36,実績!$AJ$6:$AJ$505,"&gt;"&amp;$A36,実績!$AK$6:$AK$505,"○")&gt;0,1,0))</f>
        <v>0</v>
      </c>
      <c r="CN36" s="39" t="n">
        <f aca="false">IF(CN$4=0,0,IF(COUNTIFS(実績!$W$6:$W$505,CN$3,実績!$AI$6:$AI$505,"&lt;="&amp;$A36,実績!$AJ$6:$AJ$505,"&gt;"&amp;$A36,実績!$AK$6:$AK$505,"○")&gt;0,1,0))</f>
        <v>0</v>
      </c>
      <c r="CO36" s="39" t="n">
        <f aca="false">IF(CO$4=0,0,IF(COUNTIFS(実績!$W$6:$W$505,CO$3,実績!$AI$6:$AI$505,"&lt;="&amp;$A36,実績!$AJ$6:$AJ$505,"&gt;"&amp;$A36,実績!$AK$6:$AK$505,"○")&gt;0,1,0))</f>
        <v>0</v>
      </c>
      <c r="CP36" s="39" t="n">
        <f aca="false">IF(CP$4=0,0,IF(COUNTIFS(実績!$W$6:$W$505,CP$3,実績!$AI$6:$AI$505,"&lt;="&amp;$A36,実績!$AJ$6:$AJ$505,"&gt;"&amp;$A36,実績!$AK$6:$AK$505,"○")&gt;0,1,0))</f>
        <v>0</v>
      </c>
      <c r="CQ36" s="39" t="n">
        <f aca="false">IF(CQ$4=0,0,IF(COUNTIFS(実績!$W$6:$W$505,CQ$3,実績!$AI$6:$AI$505,"&lt;="&amp;$A36,実績!$AJ$6:$AJ$505,"&gt;"&amp;$A36,実績!$AK$6:$AK$505,"○")&gt;0,1,0))</f>
        <v>0</v>
      </c>
      <c r="CR36" s="39" t="n">
        <f aca="false">IF(CR$4=0,0,IF(COUNTIFS(実績!$W$6:$W$505,CR$3,実績!$AI$6:$AI$505,"&lt;="&amp;$A36,実績!$AJ$6:$AJ$505,"&gt;"&amp;$A36,実績!$AK$6:$AK$505,"○")&gt;0,1,0))</f>
        <v>0</v>
      </c>
      <c r="CS36" s="39" t="n">
        <f aca="false">IF(CS$4=0,0,IF(COUNTIFS(実績!$W$6:$W$505,CS$3,実績!$AI$6:$AI$505,"&lt;="&amp;$A36,実績!$AJ$6:$AJ$505,"&gt;"&amp;$A36,実績!$AK$6:$AK$505,"○")&gt;0,1,0))</f>
        <v>0</v>
      </c>
      <c r="CT36" s="39" t="n">
        <f aca="false">IF(CT$4=0,0,IF(COUNTIFS(実績!$W$6:$W$505,CT$3,実績!$AI$6:$AI$505,"&lt;="&amp;$A36,実績!$AJ$6:$AJ$505,"&gt;"&amp;$A36,実績!$AK$6:$AK$505,"○")&gt;0,1,0))</f>
        <v>0</v>
      </c>
      <c r="CU36" s="39" t="n">
        <f aca="false">IF(CU$4=0,0,IF(COUNTIFS(実績!$W$6:$W$505,CU$3,実績!$AI$6:$AI$505,"&lt;="&amp;$A36,実績!$AJ$6:$AJ$505,"&gt;"&amp;$A36,実績!$AK$6:$AK$505,"○")&gt;0,1,0))</f>
        <v>0</v>
      </c>
      <c r="CV36" s="39" t="n">
        <f aca="false">IF(CV$4=0,0,IF(COUNTIFS(実績!$W$6:$W$505,CV$3,実績!$AI$6:$AI$505,"&lt;="&amp;$A36,実績!$AJ$6:$AJ$505,"&gt;"&amp;$A36,実績!$AK$6:$AK$505,"○")&gt;0,1,0))</f>
        <v>0</v>
      </c>
      <c r="CW36" s="39" t="n">
        <f aca="false">IF(CW$4=0,0,IF(COUNTIFS(実績!$W$6:$W$505,CW$3,実績!$AI$6:$AI$505,"&lt;="&amp;$A36,実績!$AJ$6:$AJ$505,"&gt;"&amp;$A36,実績!$AK$6:$AK$505,"○")&gt;0,1,0))</f>
        <v>0</v>
      </c>
      <c r="CX36" s="39" t="n">
        <f aca="false">IF(CX$4=0,0,IF(COUNTIFS(実績!$W$6:$W$505,CX$3,実績!$AI$6:$AI$505,"&lt;="&amp;$A36,実績!$AJ$6:$AJ$505,"&gt;"&amp;$A36,実績!$AK$6:$AK$505,"○")&gt;0,1,0))</f>
        <v>0</v>
      </c>
      <c r="CY36" s="39" t="n">
        <f aca="false">IF(CY$4=0,0,IF(COUNTIFS(実績!$W$6:$W$505,CY$3,実績!$AI$6:$AI$505,"&lt;="&amp;$A36,実績!$AJ$6:$AJ$505,"&gt;"&amp;$A36,実績!$AK$6:$AK$505,"○")&gt;0,1,0))</f>
        <v>0</v>
      </c>
      <c r="CZ36" s="39" t="n">
        <f aca="false">IF(CZ$4=0,0,IF(COUNTIFS(実績!$W$6:$W$505,CZ$3,実績!$AI$6:$AI$505,"&lt;="&amp;$A36,実績!$AJ$6:$AJ$505,"&gt;"&amp;$A36,実績!$AK$6:$AK$505,"○")&gt;0,1,0))</f>
        <v>0</v>
      </c>
      <c r="DA36" s="39" t="n">
        <f aca="false">IF(DA$4=0,0,IF(COUNTIFS(実績!$W$6:$W$505,DA$3,実績!$AI$6:$AI$505,"&lt;="&amp;$A36,実績!$AJ$6:$AJ$505,"&gt;"&amp;$A36,実績!$AK$6:$AK$505,"○")&gt;0,1,0))</f>
        <v>0</v>
      </c>
      <c r="DB36" s="39" t="n">
        <f aca="false">IF(DB$4=0,0,IF(COUNTIFS(実績!$W$6:$W$505,DB$3,実績!$AI$6:$AI$505,"&lt;="&amp;$A36,実績!$AJ$6:$AJ$505,"&gt;"&amp;$A36,実績!$AK$6:$AK$505,"○")&gt;0,1,0))</f>
        <v>0</v>
      </c>
      <c r="DC36" s="39" t="n">
        <f aca="false">IF(DC$4=0,0,IF(COUNTIFS(実績!$W$6:$W$505,DC$3,実績!$AI$6:$AI$505,"&lt;="&amp;$A36,実績!$AJ$6:$AJ$505,"&gt;"&amp;$A36,実績!$AK$6:$AK$505,"○")&gt;0,1,0))</f>
        <v>0</v>
      </c>
      <c r="DD36" s="39" t="n">
        <f aca="false">IF(DD$4=0,0,IF(COUNTIFS(実績!$W$6:$W$505,DD$3,実績!$AI$6:$AI$505,"&lt;="&amp;$A36,実績!$AJ$6:$AJ$505,"&gt;"&amp;$A36,実績!$AK$6:$AK$505,"○")&gt;0,1,0))</f>
        <v>0</v>
      </c>
      <c r="DE36" s="39" t="n">
        <f aca="false">IF(DE$4=0,0,IF(COUNTIFS(実績!$W$6:$W$505,DE$3,実績!$AI$6:$AI$505,"&lt;="&amp;$A36,実績!$AJ$6:$AJ$505,"&gt;"&amp;$A36,実績!$AK$6:$AK$505,"○")&gt;0,1,0))</f>
        <v>0</v>
      </c>
      <c r="DF36" s="39" t="n">
        <f aca="false">IF(DF$4=0,0,IF(COUNTIFS(実績!$W$6:$W$505,DF$3,実績!$AI$6:$AI$505,"&lt;="&amp;$A36,実績!$AJ$6:$AJ$505,"&gt;"&amp;$A36,実績!$AK$6:$AK$505,"○")&gt;0,1,0))</f>
        <v>0</v>
      </c>
      <c r="DG36" s="39" t="n">
        <f aca="false">IF(DG$4=0,0,IF(COUNTIFS(実績!$W$6:$W$505,DG$3,実績!$AI$6:$AI$505,"&lt;="&amp;$A36,実績!$AJ$6:$AJ$505,"&gt;"&amp;$A36,実績!$AK$6:$AK$505,"○")&gt;0,1,0))</f>
        <v>0</v>
      </c>
      <c r="DH36" s="39" t="n">
        <f aca="false">IF(DH$4=0,0,IF(COUNTIFS(実績!$W$6:$W$505,DH$3,実績!$AI$6:$AI$505,"&lt;="&amp;$A36,実績!$AJ$6:$AJ$505,"&gt;"&amp;$A36,実績!$AK$6:$AK$505,"○")&gt;0,1,0))</f>
        <v>0</v>
      </c>
      <c r="DI36" s="39" t="n">
        <f aca="false">IF(DI$4=0,0,IF(COUNTIFS(実績!$W$6:$W$505,DI$3,実績!$AI$6:$AI$505,"&lt;="&amp;$A36,実績!$AJ$6:$AJ$505,"&gt;"&amp;$A36,実績!$AK$6:$AK$505,"○")&gt;0,1,0))</f>
        <v>0</v>
      </c>
      <c r="DJ36" s="39" t="n">
        <f aca="false">IF(DJ$4=0,0,IF(COUNTIFS(実績!$W$6:$W$505,DJ$3,実績!$AI$6:$AI$505,"&lt;="&amp;$A36,実績!$AJ$6:$AJ$505,"&gt;"&amp;$A36,実績!$AK$6:$AK$505,"○")&gt;0,1,0))</f>
        <v>0</v>
      </c>
      <c r="DK36" s="39" t="n">
        <f aca="false">IF(DK$4=0,0,IF(COUNTIFS(実績!$W$6:$W$505,DK$3,実績!$AI$6:$AI$505,"&lt;="&amp;$A36,実績!$AJ$6:$AJ$505,"&gt;"&amp;$A36,実績!$AK$6:$AK$505,"○")&gt;0,1,0))</f>
        <v>0</v>
      </c>
      <c r="DL36" s="39" t="n">
        <f aca="false">IF(DL$4=0,0,IF(COUNTIFS(実績!$W$6:$W$505,DL$3,実績!$AI$6:$AI$505,"&lt;="&amp;$A36,実績!$AJ$6:$AJ$505,"&gt;"&amp;$A36,実績!$AK$6:$AK$505,"○")&gt;0,1,0))</f>
        <v>0</v>
      </c>
      <c r="DM36" s="39" t="n">
        <f aca="false">IF(DM$4=0,0,IF(COUNTIFS(実績!$W$6:$W$505,DM$3,実績!$AI$6:$AI$505,"&lt;="&amp;$A36,実績!$AJ$6:$AJ$505,"&gt;"&amp;$A36,実績!$AK$6:$AK$505,"○")&gt;0,1,0))</f>
        <v>0</v>
      </c>
      <c r="DN36" s="39" t="n">
        <f aca="false">IF(DN$4=0,0,IF(COUNTIFS(実績!$W$6:$W$505,DN$3,実績!$AI$6:$AI$505,"&lt;="&amp;$A36,実績!$AJ$6:$AJ$505,"&gt;"&amp;$A36,実績!$AK$6:$AK$505,"○")&gt;0,1,0))</f>
        <v>0</v>
      </c>
      <c r="DO36" s="39" t="n">
        <f aca="false">IF(DO$4=0,0,IF(COUNTIFS(実績!$W$6:$W$505,DO$3,実績!$AI$6:$AI$505,"&lt;="&amp;$A36,実績!$AJ$6:$AJ$505,"&gt;"&amp;$A36,実績!$AK$6:$AK$505,"○")&gt;0,1,0))</f>
        <v>0</v>
      </c>
      <c r="DP36" s="39" t="n">
        <f aca="false">IF(DP$4=0,0,IF(COUNTIFS(実績!$W$6:$W$505,DP$3,実績!$AI$6:$AI$505,"&lt;="&amp;$A36,実績!$AJ$6:$AJ$505,"&gt;"&amp;$A36,実績!$AK$6:$AK$505,"○")&gt;0,1,0))</f>
        <v>0</v>
      </c>
      <c r="DQ36" s="39" t="n">
        <f aca="false">IF(DQ$4=0,0,IF(COUNTIFS(実績!$W$6:$W$505,DQ$3,実績!$AI$6:$AI$505,"&lt;="&amp;$A36,実績!$AJ$6:$AJ$505,"&gt;"&amp;$A36,実績!$AK$6:$AK$505,"○")&gt;0,1,0))</f>
        <v>0</v>
      </c>
      <c r="DR36" s="39" t="n">
        <f aca="false">IF(DR$4=0,0,IF(COUNTIFS(実績!$W$6:$W$505,DR$3,実績!$AI$6:$AI$505,"&lt;="&amp;$A36,実績!$AJ$6:$AJ$505,"&gt;"&amp;$A36,実績!$AK$6:$AK$505,"○")&gt;0,1,0))</f>
        <v>0</v>
      </c>
      <c r="DS36" s="39" t="n">
        <f aca="false">SUM(C36:DR36)</f>
        <v>0</v>
      </c>
      <c r="DT36" s="39" t="n">
        <f aca="false">SUMPRODUCT((実績!$C$6:$C$505="○")*ISNUMBER(実績!$AM$6:$AM$505)*(実績!$AM$6:$AM$505&lt;=$A36)*(実績!$AN$6:$AN$505&gt;$A36))</f>
        <v>0</v>
      </c>
      <c r="DU36" s="39" t="n">
        <f aca="false">SUMIF($C$2:$DR$2,"製鉄曳船",C36:DR36)</f>
        <v>0</v>
      </c>
      <c r="DV36" s="39" t="n">
        <f aca="false">SUMIF($C$2:$DR$2,"西日本海運",C36:DR36)</f>
        <v>0</v>
      </c>
    </row>
    <row r="37" customFormat="false" ht="15" hidden="false" customHeight="false" outlineLevel="0" collapsed="false">
      <c r="A37" s="0" t="n">
        <v>155</v>
      </c>
      <c r="B37" s="38" t="n">
        <f aca="false">A37/1440</f>
        <v>0.107638888888889</v>
      </c>
      <c r="C37" s="39" t="n">
        <f aca="false">IF(C$4=0,0,IF(COUNTIFS(実績!$W$6:$W$505,C$3,実績!$AI$6:$AI$505,"&lt;="&amp;$A37,実績!$AJ$6:$AJ$505,"&gt;"&amp;$A37,実績!$AK$6:$AK$505,"○")&gt;0,1,0))</f>
        <v>0</v>
      </c>
      <c r="D37" s="39" t="n">
        <f aca="false">IF(D$4=0,0,IF(COUNTIFS(実績!$W$6:$W$505,D$3,実績!$AI$6:$AI$505,"&lt;="&amp;$A37,実績!$AJ$6:$AJ$505,"&gt;"&amp;$A37,実績!$AK$6:$AK$505,"○")&gt;0,1,0))</f>
        <v>0</v>
      </c>
      <c r="E37" s="39" t="n">
        <f aca="false">IF(E$4=0,0,IF(COUNTIFS(実績!$W$6:$W$505,E$3,実績!$AI$6:$AI$505,"&lt;="&amp;$A37,実績!$AJ$6:$AJ$505,"&gt;"&amp;$A37,実績!$AK$6:$AK$505,"○")&gt;0,1,0))</f>
        <v>0</v>
      </c>
      <c r="F37" s="39" t="n">
        <f aca="false">IF(F$4=0,0,IF(COUNTIFS(実績!$W$6:$W$505,F$3,実績!$AI$6:$AI$505,"&lt;="&amp;$A37,実績!$AJ$6:$AJ$505,"&gt;"&amp;$A37,実績!$AK$6:$AK$505,"○")&gt;0,1,0))</f>
        <v>0</v>
      </c>
      <c r="G37" s="39" t="n">
        <f aca="false">IF(G$4=0,0,IF(COUNTIFS(実績!$W$6:$W$505,G$3,実績!$AI$6:$AI$505,"&lt;="&amp;$A37,実績!$AJ$6:$AJ$505,"&gt;"&amp;$A37,実績!$AK$6:$AK$505,"○")&gt;0,1,0))</f>
        <v>0</v>
      </c>
      <c r="H37" s="39" t="n">
        <f aca="false">IF(H$4=0,0,IF(COUNTIFS(実績!$W$6:$W$505,H$3,実績!$AI$6:$AI$505,"&lt;="&amp;$A37,実績!$AJ$6:$AJ$505,"&gt;"&amp;$A37,実績!$AK$6:$AK$505,"○")&gt;0,1,0))</f>
        <v>0</v>
      </c>
      <c r="I37" s="39" t="n">
        <f aca="false">IF(I$4=0,0,IF(COUNTIFS(実績!$W$6:$W$505,I$3,実績!$AI$6:$AI$505,"&lt;="&amp;$A37,実績!$AJ$6:$AJ$505,"&gt;"&amp;$A37,実績!$AK$6:$AK$505,"○")&gt;0,1,0))</f>
        <v>0</v>
      </c>
      <c r="J37" s="39" t="n">
        <f aca="false">IF(J$4=0,0,IF(COUNTIFS(実績!$W$6:$W$505,J$3,実績!$AI$6:$AI$505,"&lt;="&amp;$A37,実績!$AJ$6:$AJ$505,"&gt;"&amp;$A37,実績!$AK$6:$AK$505,"○")&gt;0,1,0))</f>
        <v>0</v>
      </c>
      <c r="K37" s="39" t="n">
        <f aca="false">IF(K$4=0,0,IF(COUNTIFS(実績!$W$6:$W$505,K$3,実績!$AI$6:$AI$505,"&lt;="&amp;$A37,実績!$AJ$6:$AJ$505,"&gt;"&amp;$A37,実績!$AK$6:$AK$505,"○")&gt;0,1,0))</f>
        <v>0</v>
      </c>
      <c r="L37" s="39" t="n">
        <f aca="false">IF(L$4=0,0,IF(COUNTIFS(実績!$W$6:$W$505,L$3,実績!$AI$6:$AI$505,"&lt;="&amp;$A37,実績!$AJ$6:$AJ$505,"&gt;"&amp;$A37,実績!$AK$6:$AK$505,"○")&gt;0,1,0))</f>
        <v>0</v>
      </c>
      <c r="M37" s="39" t="n">
        <f aca="false">IF(M$4=0,0,IF(COUNTIFS(実績!$W$6:$W$505,M$3,実績!$AI$6:$AI$505,"&lt;="&amp;$A37,実績!$AJ$6:$AJ$505,"&gt;"&amp;$A37,実績!$AK$6:$AK$505,"○")&gt;0,1,0))</f>
        <v>0</v>
      </c>
      <c r="N37" s="39" t="n">
        <f aca="false">IF(N$4=0,0,IF(COUNTIFS(実績!$W$6:$W$505,N$3,実績!$AI$6:$AI$505,"&lt;="&amp;$A37,実績!$AJ$6:$AJ$505,"&gt;"&amp;$A37,実績!$AK$6:$AK$505,"○")&gt;0,1,0))</f>
        <v>0</v>
      </c>
      <c r="O37" s="39" t="n">
        <f aca="false">IF(O$4=0,0,IF(COUNTIFS(実績!$W$6:$W$505,O$3,実績!$AI$6:$AI$505,"&lt;="&amp;$A37,実績!$AJ$6:$AJ$505,"&gt;"&amp;$A37,実績!$AK$6:$AK$505,"○")&gt;0,1,0))</f>
        <v>0</v>
      </c>
      <c r="P37" s="39" t="n">
        <f aca="false">IF(P$4=0,0,IF(COUNTIFS(実績!$W$6:$W$505,P$3,実績!$AI$6:$AI$505,"&lt;="&amp;$A37,実績!$AJ$6:$AJ$505,"&gt;"&amp;$A37,実績!$AK$6:$AK$505,"○")&gt;0,1,0))</f>
        <v>0</v>
      </c>
      <c r="Q37" s="39" t="n">
        <f aca="false">IF(Q$4=0,0,IF(COUNTIFS(実績!$W$6:$W$505,Q$3,実績!$AI$6:$AI$505,"&lt;="&amp;$A37,実績!$AJ$6:$AJ$505,"&gt;"&amp;$A37,実績!$AK$6:$AK$505,"○")&gt;0,1,0))</f>
        <v>0</v>
      </c>
      <c r="R37" s="39" t="n">
        <f aca="false">IF(R$4=0,0,IF(COUNTIFS(実績!$W$6:$W$505,R$3,実績!$AI$6:$AI$505,"&lt;="&amp;$A37,実績!$AJ$6:$AJ$505,"&gt;"&amp;$A37,実績!$AK$6:$AK$505,"○")&gt;0,1,0))</f>
        <v>0</v>
      </c>
      <c r="S37" s="39" t="n">
        <f aca="false">IF(S$4=0,0,IF(COUNTIFS(実績!$W$6:$W$505,S$3,実績!$AI$6:$AI$505,"&lt;="&amp;$A37,実績!$AJ$6:$AJ$505,"&gt;"&amp;$A37,実績!$AK$6:$AK$505,"○")&gt;0,1,0))</f>
        <v>0</v>
      </c>
      <c r="T37" s="39" t="n">
        <f aca="false">IF(T$4=0,0,IF(COUNTIFS(実績!$W$6:$W$505,T$3,実績!$AI$6:$AI$505,"&lt;="&amp;$A37,実績!$AJ$6:$AJ$505,"&gt;"&amp;$A37,実績!$AK$6:$AK$505,"○")&gt;0,1,0))</f>
        <v>0</v>
      </c>
      <c r="U37" s="39" t="n">
        <f aca="false">IF(U$4=0,0,IF(COUNTIFS(実績!$W$6:$W$505,U$3,実績!$AI$6:$AI$505,"&lt;="&amp;$A37,実績!$AJ$6:$AJ$505,"&gt;"&amp;$A37,実績!$AK$6:$AK$505,"○")&gt;0,1,0))</f>
        <v>0</v>
      </c>
      <c r="V37" s="39" t="n">
        <f aca="false">IF(V$4=0,0,IF(COUNTIFS(実績!$W$6:$W$505,V$3,実績!$AI$6:$AI$505,"&lt;="&amp;$A37,実績!$AJ$6:$AJ$505,"&gt;"&amp;$A37,実績!$AK$6:$AK$505,"○")&gt;0,1,0))</f>
        <v>0</v>
      </c>
      <c r="W37" s="39" t="n">
        <f aca="false">IF(W$4=0,0,IF(COUNTIFS(実績!$W$6:$W$505,W$3,実績!$AI$6:$AI$505,"&lt;="&amp;$A37,実績!$AJ$6:$AJ$505,"&gt;"&amp;$A37,実績!$AK$6:$AK$505,"○")&gt;0,1,0))</f>
        <v>0</v>
      </c>
      <c r="X37" s="39" t="n">
        <f aca="false">IF(X$4=0,0,IF(COUNTIFS(実績!$W$6:$W$505,X$3,実績!$AI$6:$AI$505,"&lt;="&amp;$A37,実績!$AJ$6:$AJ$505,"&gt;"&amp;$A37,実績!$AK$6:$AK$505,"○")&gt;0,1,0))</f>
        <v>0</v>
      </c>
      <c r="Y37" s="39" t="n">
        <f aca="false">IF(Y$4=0,0,IF(COUNTIFS(実績!$W$6:$W$505,Y$3,実績!$AI$6:$AI$505,"&lt;="&amp;$A37,実績!$AJ$6:$AJ$505,"&gt;"&amp;$A37,実績!$AK$6:$AK$505,"○")&gt;0,1,0))</f>
        <v>0</v>
      </c>
      <c r="Z37" s="39" t="n">
        <f aca="false">IF(Z$4=0,0,IF(COUNTIFS(実績!$W$6:$W$505,Z$3,実績!$AI$6:$AI$505,"&lt;="&amp;$A37,実績!$AJ$6:$AJ$505,"&gt;"&amp;$A37,実績!$AK$6:$AK$505,"○")&gt;0,1,0))</f>
        <v>0</v>
      </c>
      <c r="AA37" s="39" t="n">
        <f aca="false">IF(AA$4=0,0,IF(COUNTIFS(実績!$W$6:$W$505,AA$3,実績!$AI$6:$AI$505,"&lt;="&amp;$A37,実績!$AJ$6:$AJ$505,"&gt;"&amp;$A37,実績!$AK$6:$AK$505,"○")&gt;0,1,0))</f>
        <v>0</v>
      </c>
      <c r="AB37" s="39" t="n">
        <f aca="false">IF(AB$4=0,0,IF(COUNTIFS(実績!$W$6:$W$505,AB$3,実績!$AI$6:$AI$505,"&lt;="&amp;$A37,実績!$AJ$6:$AJ$505,"&gt;"&amp;$A37,実績!$AK$6:$AK$505,"○")&gt;0,1,0))</f>
        <v>0</v>
      </c>
      <c r="AC37" s="39" t="n">
        <f aca="false">IF(AC$4=0,0,IF(COUNTIFS(実績!$W$6:$W$505,AC$3,実績!$AI$6:$AI$505,"&lt;="&amp;$A37,実績!$AJ$6:$AJ$505,"&gt;"&amp;$A37,実績!$AK$6:$AK$505,"○")&gt;0,1,0))</f>
        <v>0</v>
      </c>
      <c r="AD37" s="39" t="n">
        <f aca="false">IF(AD$4=0,0,IF(COUNTIFS(実績!$W$6:$W$505,AD$3,実績!$AI$6:$AI$505,"&lt;="&amp;$A37,実績!$AJ$6:$AJ$505,"&gt;"&amp;$A37,実績!$AK$6:$AK$505,"○")&gt;0,1,0))</f>
        <v>0</v>
      </c>
      <c r="AE37" s="39" t="n">
        <f aca="false">IF(AE$4=0,0,IF(COUNTIFS(実績!$W$6:$W$505,AE$3,実績!$AI$6:$AI$505,"&lt;="&amp;$A37,実績!$AJ$6:$AJ$505,"&gt;"&amp;$A37,実績!$AK$6:$AK$505,"○")&gt;0,1,0))</f>
        <v>0</v>
      </c>
      <c r="AF37" s="39" t="n">
        <f aca="false">IF(AF$4=0,0,IF(COUNTIFS(実績!$W$6:$W$505,AF$3,実績!$AI$6:$AI$505,"&lt;="&amp;$A37,実績!$AJ$6:$AJ$505,"&gt;"&amp;$A37,実績!$AK$6:$AK$505,"○")&gt;0,1,0))</f>
        <v>0</v>
      </c>
      <c r="AG37" s="39" t="n">
        <f aca="false">IF(AG$4=0,0,IF(COUNTIFS(実績!$W$6:$W$505,AG$3,実績!$AI$6:$AI$505,"&lt;="&amp;$A37,実績!$AJ$6:$AJ$505,"&gt;"&amp;$A37,実績!$AK$6:$AK$505,"○")&gt;0,1,0))</f>
        <v>0</v>
      </c>
      <c r="AH37" s="39" t="n">
        <f aca="false">IF(AH$4=0,0,IF(COUNTIFS(実績!$W$6:$W$505,AH$3,実績!$AI$6:$AI$505,"&lt;="&amp;$A37,実績!$AJ$6:$AJ$505,"&gt;"&amp;$A37,実績!$AK$6:$AK$505,"○")&gt;0,1,0))</f>
        <v>0</v>
      </c>
      <c r="AI37" s="39" t="n">
        <f aca="false">IF(AI$4=0,0,IF(COUNTIFS(実績!$W$6:$W$505,AI$3,実績!$AI$6:$AI$505,"&lt;="&amp;$A37,実績!$AJ$6:$AJ$505,"&gt;"&amp;$A37,実績!$AK$6:$AK$505,"○")&gt;0,1,0))</f>
        <v>0</v>
      </c>
      <c r="AJ37" s="39" t="n">
        <f aca="false">IF(AJ$4=0,0,IF(COUNTIFS(実績!$W$6:$W$505,AJ$3,実績!$AI$6:$AI$505,"&lt;="&amp;$A37,実績!$AJ$6:$AJ$505,"&gt;"&amp;$A37,実績!$AK$6:$AK$505,"○")&gt;0,1,0))</f>
        <v>0</v>
      </c>
      <c r="AK37" s="39" t="n">
        <f aca="false">IF(AK$4=0,0,IF(COUNTIFS(実績!$W$6:$W$505,AK$3,実績!$AI$6:$AI$505,"&lt;="&amp;$A37,実績!$AJ$6:$AJ$505,"&gt;"&amp;$A37,実績!$AK$6:$AK$505,"○")&gt;0,1,0))</f>
        <v>0</v>
      </c>
      <c r="AL37" s="39" t="n">
        <f aca="false">IF(AL$4=0,0,IF(COUNTIFS(実績!$W$6:$W$505,AL$3,実績!$AI$6:$AI$505,"&lt;="&amp;$A37,実績!$AJ$6:$AJ$505,"&gt;"&amp;$A37,実績!$AK$6:$AK$505,"○")&gt;0,1,0))</f>
        <v>0</v>
      </c>
      <c r="AM37" s="39" t="n">
        <f aca="false">IF(AM$4=0,0,IF(COUNTIFS(実績!$W$6:$W$505,AM$3,実績!$AI$6:$AI$505,"&lt;="&amp;$A37,実績!$AJ$6:$AJ$505,"&gt;"&amp;$A37,実績!$AK$6:$AK$505,"○")&gt;0,1,0))</f>
        <v>0</v>
      </c>
      <c r="AN37" s="39" t="n">
        <f aca="false">IF(AN$4=0,0,IF(COUNTIFS(実績!$W$6:$W$505,AN$3,実績!$AI$6:$AI$505,"&lt;="&amp;$A37,実績!$AJ$6:$AJ$505,"&gt;"&amp;$A37,実績!$AK$6:$AK$505,"○")&gt;0,1,0))</f>
        <v>0</v>
      </c>
      <c r="AO37" s="39" t="n">
        <f aca="false">IF(AO$4=0,0,IF(COUNTIFS(実績!$W$6:$W$505,AO$3,実績!$AI$6:$AI$505,"&lt;="&amp;$A37,実績!$AJ$6:$AJ$505,"&gt;"&amp;$A37,実績!$AK$6:$AK$505,"○")&gt;0,1,0))</f>
        <v>0</v>
      </c>
      <c r="AP37" s="39" t="n">
        <f aca="false">IF(AP$4=0,0,IF(COUNTIFS(実績!$W$6:$W$505,AP$3,実績!$AI$6:$AI$505,"&lt;="&amp;$A37,実績!$AJ$6:$AJ$505,"&gt;"&amp;$A37,実績!$AK$6:$AK$505,"○")&gt;0,1,0))</f>
        <v>0</v>
      </c>
      <c r="AQ37" s="39" t="n">
        <f aca="false">IF(AQ$4=0,0,IF(COUNTIFS(実績!$W$6:$W$505,AQ$3,実績!$AI$6:$AI$505,"&lt;="&amp;$A37,実績!$AJ$6:$AJ$505,"&gt;"&amp;$A37,実績!$AK$6:$AK$505,"○")&gt;0,1,0))</f>
        <v>0</v>
      </c>
      <c r="AR37" s="39" t="n">
        <f aca="false">IF(AR$4=0,0,IF(COUNTIFS(実績!$W$6:$W$505,AR$3,実績!$AI$6:$AI$505,"&lt;="&amp;$A37,実績!$AJ$6:$AJ$505,"&gt;"&amp;$A37,実績!$AK$6:$AK$505,"○")&gt;0,1,0))</f>
        <v>0</v>
      </c>
      <c r="AS37" s="39" t="n">
        <f aca="false">IF(AS$4=0,0,IF(COUNTIFS(実績!$W$6:$W$505,AS$3,実績!$AI$6:$AI$505,"&lt;="&amp;$A37,実績!$AJ$6:$AJ$505,"&gt;"&amp;$A37,実績!$AK$6:$AK$505,"○")&gt;0,1,0))</f>
        <v>0</v>
      </c>
      <c r="AT37" s="39" t="n">
        <f aca="false">IF(AT$4=0,0,IF(COUNTIFS(実績!$W$6:$W$505,AT$3,実績!$AI$6:$AI$505,"&lt;="&amp;$A37,実績!$AJ$6:$AJ$505,"&gt;"&amp;$A37,実績!$AK$6:$AK$505,"○")&gt;0,1,0))</f>
        <v>0</v>
      </c>
      <c r="AU37" s="39" t="n">
        <f aca="false">IF(AU$4=0,0,IF(COUNTIFS(実績!$W$6:$W$505,AU$3,実績!$AI$6:$AI$505,"&lt;="&amp;$A37,実績!$AJ$6:$AJ$505,"&gt;"&amp;$A37,実績!$AK$6:$AK$505,"○")&gt;0,1,0))</f>
        <v>0</v>
      </c>
      <c r="AV37" s="39" t="n">
        <f aca="false">IF(AV$4=0,0,IF(COUNTIFS(実績!$W$6:$W$505,AV$3,実績!$AI$6:$AI$505,"&lt;="&amp;$A37,実績!$AJ$6:$AJ$505,"&gt;"&amp;$A37,実績!$AK$6:$AK$505,"○")&gt;0,1,0))</f>
        <v>0</v>
      </c>
      <c r="AW37" s="39" t="n">
        <f aca="false">IF(AW$4=0,0,IF(COUNTIFS(実績!$W$6:$W$505,AW$3,実績!$AI$6:$AI$505,"&lt;="&amp;$A37,実績!$AJ$6:$AJ$505,"&gt;"&amp;$A37,実績!$AK$6:$AK$505,"○")&gt;0,1,0))</f>
        <v>0</v>
      </c>
      <c r="AX37" s="39" t="n">
        <f aca="false">IF(AX$4=0,0,IF(COUNTIFS(実績!$W$6:$W$505,AX$3,実績!$AI$6:$AI$505,"&lt;="&amp;$A37,実績!$AJ$6:$AJ$505,"&gt;"&amp;$A37,実績!$AK$6:$AK$505,"○")&gt;0,1,0))</f>
        <v>0</v>
      </c>
      <c r="AY37" s="39" t="n">
        <f aca="false">IF(AY$4=0,0,IF(COUNTIFS(実績!$W$6:$W$505,AY$3,実績!$AI$6:$AI$505,"&lt;="&amp;$A37,実績!$AJ$6:$AJ$505,"&gt;"&amp;$A37,実績!$AK$6:$AK$505,"○")&gt;0,1,0))</f>
        <v>0</v>
      </c>
      <c r="AZ37" s="39" t="n">
        <f aca="false">IF(AZ$4=0,0,IF(COUNTIFS(実績!$W$6:$W$505,AZ$3,実績!$AI$6:$AI$505,"&lt;="&amp;$A37,実績!$AJ$6:$AJ$505,"&gt;"&amp;$A37,実績!$AK$6:$AK$505,"○")&gt;0,1,0))</f>
        <v>0</v>
      </c>
      <c r="BA37" s="39" t="n">
        <f aca="false">IF(BA$4=0,0,IF(COUNTIFS(実績!$W$6:$W$505,BA$3,実績!$AI$6:$AI$505,"&lt;="&amp;$A37,実績!$AJ$6:$AJ$505,"&gt;"&amp;$A37,実績!$AK$6:$AK$505,"○")&gt;0,1,0))</f>
        <v>0</v>
      </c>
      <c r="BB37" s="39" t="n">
        <f aca="false">IF(BB$4=0,0,IF(COUNTIFS(実績!$W$6:$W$505,BB$3,実績!$AI$6:$AI$505,"&lt;="&amp;$A37,実績!$AJ$6:$AJ$505,"&gt;"&amp;$A37,実績!$AK$6:$AK$505,"○")&gt;0,1,0))</f>
        <v>0</v>
      </c>
      <c r="BC37" s="39" t="n">
        <f aca="false">IF(BC$4=0,0,IF(COUNTIFS(実績!$W$6:$W$505,BC$3,実績!$AI$6:$AI$505,"&lt;="&amp;$A37,実績!$AJ$6:$AJ$505,"&gt;"&amp;$A37,実績!$AK$6:$AK$505,"○")&gt;0,1,0))</f>
        <v>0</v>
      </c>
      <c r="BD37" s="39" t="n">
        <f aca="false">IF(BD$4=0,0,IF(COUNTIFS(実績!$W$6:$W$505,BD$3,実績!$AI$6:$AI$505,"&lt;="&amp;$A37,実績!$AJ$6:$AJ$505,"&gt;"&amp;$A37,実績!$AK$6:$AK$505,"○")&gt;0,1,0))</f>
        <v>0</v>
      </c>
      <c r="BE37" s="39" t="n">
        <f aca="false">IF(BE$4=0,0,IF(COUNTIFS(実績!$W$6:$W$505,BE$3,実績!$AI$6:$AI$505,"&lt;="&amp;$A37,実績!$AJ$6:$AJ$505,"&gt;"&amp;$A37,実績!$AK$6:$AK$505,"○")&gt;0,1,0))</f>
        <v>0</v>
      </c>
      <c r="BF37" s="39" t="n">
        <f aca="false">IF(BF$4=0,0,IF(COUNTIFS(実績!$W$6:$W$505,BF$3,実績!$AI$6:$AI$505,"&lt;="&amp;$A37,実績!$AJ$6:$AJ$505,"&gt;"&amp;$A37,実績!$AK$6:$AK$505,"○")&gt;0,1,0))</f>
        <v>0</v>
      </c>
      <c r="BG37" s="39" t="n">
        <f aca="false">IF(BG$4=0,0,IF(COUNTIFS(実績!$W$6:$W$505,BG$3,実績!$AI$6:$AI$505,"&lt;="&amp;$A37,実績!$AJ$6:$AJ$505,"&gt;"&amp;$A37,実績!$AK$6:$AK$505,"○")&gt;0,1,0))</f>
        <v>0</v>
      </c>
      <c r="BH37" s="39" t="n">
        <f aca="false">IF(BH$4=0,0,IF(COUNTIFS(実績!$W$6:$W$505,BH$3,実績!$AI$6:$AI$505,"&lt;="&amp;$A37,実績!$AJ$6:$AJ$505,"&gt;"&amp;$A37,実績!$AK$6:$AK$505,"○")&gt;0,1,0))</f>
        <v>0</v>
      </c>
      <c r="BI37" s="39" t="n">
        <f aca="false">IF(BI$4=0,0,IF(COUNTIFS(実績!$W$6:$W$505,BI$3,実績!$AI$6:$AI$505,"&lt;="&amp;$A37,実績!$AJ$6:$AJ$505,"&gt;"&amp;$A37,実績!$AK$6:$AK$505,"○")&gt;0,1,0))</f>
        <v>0</v>
      </c>
      <c r="BJ37" s="39" t="n">
        <f aca="false">IF(BJ$4=0,0,IF(COUNTIFS(実績!$W$6:$W$505,BJ$3,実績!$AI$6:$AI$505,"&lt;="&amp;$A37,実績!$AJ$6:$AJ$505,"&gt;"&amp;$A37,実績!$AK$6:$AK$505,"○")&gt;0,1,0))</f>
        <v>0</v>
      </c>
      <c r="BK37" s="39" t="n">
        <f aca="false">IF(BK$4=0,0,IF(COUNTIFS(実績!$W$6:$W$505,BK$3,実績!$AI$6:$AI$505,"&lt;="&amp;$A37,実績!$AJ$6:$AJ$505,"&gt;"&amp;$A37,実績!$AK$6:$AK$505,"○")&gt;0,1,0))</f>
        <v>0</v>
      </c>
      <c r="BL37" s="39" t="n">
        <f aca="false">IF(BL$4=0,0,IF(COUNTIFS(実績!$W$6:$W$505,BL$3,実績!$AI$6:$AI$505,"&lt;="&amp;$A37,実績!$AJ$6:$AJ$505,"&gt;"&amp;$A37,実績!$AK$6:$AK$505,"○")&gt;0,1,0))</f>
        <v>0</v>
      </c>
      <c r="BM37" s="39" t="n">
        <f aca="false">IF(BM$4=0,0,IF(COUNTIFS(実績!$W$6:$W$505,BM$3,実績!$AI$6:$AI$505,"&lt;="&amp;$A37,実績!$AJ$6:$AJ$505,"&gt;"&amp;$A37,実績!$AK$6:$AK$505,"○")&gt;0,1,0))</f>
        <v>0</v>
      </c>
      <c r="BN37" s="39" t="n">
        <f aca="false">IF(BN$4=0,0,IF(COUNTIFS(実績!$W$6:$W$505,BN$3,実績!$AI$6:$AI$505,"&lt;="&amp;$A37,実績!$AJ$6:$AJ$505,"&gt;"&amp;$A37,実績!$AK$6:$AK$505,"○")&gt;0,1,0))</f>
        <v>0</v>
      </c>
      <c r="BO37" s="39" t="n">
        <f aca="false">IF(BO$4=0,0,IF(COUNTIFS(実績!$W$6:$W$505,BO$3,実績!$AI$6:$AI$505,"&lt;="&amp;$A37,実績!$AJ$6:$AJ$505,"&gt;"&amp;$A37,実績!$AK$6:$AK$505,"○")&gt;0,1,0))</f>
        <v>0</v>
      </c>
      <c r="BP37" s="39" t="n">
        <f aca="false">IF(BP$4=0,0,IF(COUNTIFS(実績!$W$6:$W$505,BP$3,実績!$AI$6:$AI$505,"&lt;="&amp;$A37,実績!$AJ$6:$AJ$505,"&gt;"&amp;$A37,実績!$AK$6:$AK$505,"○")&gt;0,1,0))</f>
        <v>0</v>
      </c>
      <c r="BQ37" s="39" t="n">
        <f aca="false">IF(BQ$4=0,0,IF(COUNTIFS(実績!$W$6:$W$505,BQ$3,実績!$AI$6:$AI$505,"&lt;="&amp;$A37,実績!$AJ$6:$AJ$505,"&gt;"&amp;$A37,実績!$AK$6:$AK$505,"○")&gt;0,1,0))</f>
        <v>0</v>
      </c>
      <c r="BR37" s="39" t="n">
        <f aca="false">IF(BR$4=0,0,IF(COUNTIFS(実績!$W$6:$W$505,BR$3,実績!$AI$6:$AI$505,"&lt;="&amp;$A37,実績!$AJ$6:$AJ$505,"&gt;"&amp;$A37,実績!$AK$6:$AK$505,"○")&gt;0,1,0))</f>
        <v>0</v>
      </c>
      <c r="BS37" s="39" t="n">
        <f aca="false">IF(BS$4=0,0,IF(COUNTIFS(実績!$W$6:$W$505,BS$3,実績!$AI$6:$AI$505,"&lt;="&amp;$A37,実績!$AJ$6:$AJ$505,"&gt;"&amp;$A37,実績!$AK$6:$AK$505,"○")&gt;0,1,0))</f>
        <v>0</v>
      </c>
      <c r="BT37" s="39" t="n">
        <f aca="false">IF(BT$4=0,0,IF(COUNTIFS(実績!$W$6:$W$505,BT$3,実績!$AI$6:$AI$505,"&lt;="&amp;$A37,実績!$AJ$6:$AJ$505,"&gt;"&amp;$A37,実績!$AK$6:$AK$505,"○")&gt;0,1,0))</f>
        <v>0</v>
      </c>
      <c r="BU37" s="39" t="n">
        <f aca="false">IF(BU$4=0,0,IF(COUNTIFS(実績!$W$6:$W$505,BU$3,実績!$AI$6:$AI$505,"&lt;="&amp;$A37,実績!$AJ$6:$AJ$505,"&gt;"&amp;$A37,実績!$AK$6:$AK$505,"○")&gt;0,1,0))</f>
        <v>0</v>
      </c>
      <c r="BV37" s="39" t="n">
        <f aca="false">IF(BV$4=0,0,IF(COUNTIFS(実績!$W$6:$W$505,BV$3,実績!$AI$6:$AI$505,"&lt;="&amp;$A37,実績!$AJ$6:$AJ$505,"&gt;"&amp;$A37,実績!$AK$6:$AK$505,"○")&gt;0,1,0))</f>
        <v>0</v>
      </c>
      <c r="BW37" s="39" t="n">
        <f aca="false">IF(BW$4=0,0,IF(COUNTIFS(実績!$W$6:$W$505,BW$3,実績!$AI$6:$AI$505,"&lt;="&amp;$A37,実績!$AJ$6:$AJ$505,"&gt;"&amp;$A37,実績!$AK$6:$AK$505,"○")&gt;0,1,0))</f>
        <v>0</v>
      </c>
      <c r="BX37" s="39" t="n">
        <f aca="false">IF(BX$4=0,0,IF(COUNTIFS(実績!$W$6:$W$505,BX$3,実績!$AI$6:$AI$505,"&lt;="&amp;$A37,実績!$AJ$6:$AJ$505,"&gt;"&amp;$A37,実績!$AK$6:$AK$505,"○")&gt;0,1,0))</f>
        <v>0</v>
      </c>
      <c r="BY37" s="39" t="n">
        <f aca="false">IF(BY$4=0,0,IF(COUNTIFS(実績!$W$6:$W$505,BY$3,実績!$AI$6:$AI$505,"&lt;="&amp;$A37,実績!$AJ$6:$AJ$505,"&gt;"&amp;$A37,実績!$AK$6:$AK$505,"○")&gt;0,1,0))</f>
        <v>0</v>
      </c>
      <c r="BZ37" s="39" t="n">
        <f aca="false">IF(BZ$4=0,0,IF(COUNTIFS(実績!$W$6:$W$505,BZ$3,実績!$AI$6:$AI$505,"&lt;="&amp;$A37,実績!$AJ$6:$AJ$505,"&gt;"&amp;$A37,実績!$AK$6:$AK$505,"○")&gt;0,1,0))</f>
        <v>0</v>
      </c>
      <c r="CA37" s="39" t="n">
        <f aca="false">IF(CA$4=0,0,IF(COUNTIFS(実績!$W$6:$W$505,CA$3,実績!$AI$6:$AI$505,"&lt;="&amp;$A37,実績!$AJ$6:$AJ$505,"&gt;"&amp;$A37,実績!$AK$6:$AK$505,"○")&gt;0,1,0))</f>
        <v>0</v>
      </c>
      <c r="CB37" s="39" t="n">
        <f aca="false">IF(CB$4=0,0,IF(COUNTIFS(実績!$W$6:$W$505,CB$3,実績!$AI$6:$AI$505,"&lt;="&amp;$A37,実績!$AJ$6:$AJ$505,"&gt;"&amp;$A37,実績!$AK$6:$AK$505,"○")&gt;0,1,0))</f>
        <v>0</v>
      </c>
      <c r="CC37" s="39" t="n">
        <f aca="false">IF(CC$4=0,0,IF(COUNTIFS(実績!$W$6:$W$505,CC$3,実績!$AI$6:$AI$505,"&lt;="&amp;$A37,実績!$AJ$6:$AJ$505,"&gt;"&amp;$A37,実績!$AK$6:$AK$505,"○")&gt;0,1,0))</f>
        <v>0</v>
      </c>
      <c r="CD37" s="39" t="n">
        <f aca="false">IF(CD$4=0,0,IF(COUNTIFS(実績!$W$6:$W$505,CD$3,実績!$AI$6:$AI$505,"&lt;="&amp;$A37,実績!$AJ$6:$AJ$505,"&gt;"&amp;$A37,実績!$AK$6:$AK$505,"○")&gt;0,1,0))</f>
        <v>0</v>
      </c>
      <c r="CE37" s="39" t="n">
        <f aca="false">IF(CE$4=0,0,IF(COUNTIFS(実績!$W$6:$W$505,CE$3,実績!$AI$6:$AI$505,"&lt;="&amp;$A37,実績!$AJ$6:$AJ$505,"&gt;"&amp;$A37,実績!$AK$6:$AK$505,"○")&gt;0,1,0))</f>
        <v>0</v>
      </c>
      <c r="CF37" s="39" t="n">
        <f aca="false">IF(CF$4=0,0,IF(COUNTIFS(実績!$W$6:$W$505,CF$3,実績!$AI$6:$AI$505,"&lt;="&amp;$A37,実績!$AJ$6:$AJ$505,"&gt;"&amp;$A37,実績!$AK$6:$AK$505,"○")&gt;0,1,0))</f>
        <v>0</v>
      </c>
      <c r="CG37" s="39" t="n">
        <f aca="false">IF(CG$4=0,0,IF(COUNTIFS(実績!$W$6:$W$505,CG$3,実績!$AI$6:$AI$505,"&lt;="&amp;$A37,実績!$AJ$6:$AJ$505,"&gt;"&amp;$A37,実績!$AK$6:$AK$505,"○")&gt;0,1,0))</f>
        <v>0</v>
      </c>
      <c r="CH37" s="39" t="n">
        <f aca="false">IF(CH$4=0,0,IF(COUNTIFS(実績!$W$6:$W$505,CH$3,実績!$AI$6:$AI$505,"&lt;="&amp;$A37,実績!$AJ$6:$AJ$505,"&gt;"&amp;$A37,実績!$AK$6:$AK$505,"○")&gt;0,1,0))</f>
        <v>0</v>
      </c>
      <c r="CI37" s="39" t="n">
        <f aca="false">IF(CI$4=0,0,IF(COUNTIFS(実績!$W$6:$W$505,CI$3,実績!$AI$6:$AI$505,"&lt;="&amp;$A37,実績!$AJ$6:$AJ$505,"&gt;"&amp;$A37,実績!$AK$6:$AK$505,"○")&gt;0,1,0))</f>
        <v>0</v>
      </c>
      <c r="CJ37" s="39" t="n">
        <f aca="false">IF(CJ$4=0,0,IF(COUNTIFS(実績!$W$6:$W$505,CJ$3,実績!$AI$6:$AI$505,"&lt;="&amp;$A37,実績!$AJ$6:$AJ$505,"&gt;"&amp;$A37,実績!$AK$6:$AK$505,"○")&gt;0,1,0))</f>
        <v>0</v>
      </c>
      <c r="CK37" s="39" t="n">
        <f aca="false">IF(CK$4=0,0,IF(COUNTIFS(実績!$W$6:$W$505,CK$3,実績!$AI$6:$AI$505,"&lt;="&amp;$A37,実績!$AJ$6:$AJ$505,"&gt;"&amp;$A37,実績!$AK$6:$AK$505,"○")&gt;0,1,0))</f>
        <v>0</v>
      </c>
      <c r="CL37" s="39" t="n">
        <f aca="false">IF(CL$4=0,0,IF(COUNTIFS(実績!$W$6:$W$505,CL$3,実績!$AI$6:$AI$505,"&lt;="&amp;$A37,実績!$AJ$6:$AJ$505,"&gt;"&amp;$A37,実績!$AK$6:$AK$505,"○")&gt;0,1,0))</f>
        <v>0</v>
      </c>
      <c r="CM37" s="39" t="n">
        <f aca="false">IF(CM$4=0,0,IF(COUNTIFS(実績!$W$6:$W$505,CM$3,実績!$AI$6:$AI$505,"&lt;="&amp;$A37,実績!$AJ$6:$AJ$505,"&gt;"&amp;$A37,実績!$AK$6:$AK$505,"○")&gt;0,1,0))</f>
        <v>0</v>
      </c>
      <c r="CN37" s="39" t="n">
        <f aca="false">IF(CN$4=0,0,IF(COUNTIFS(実績!$W$6:$W$505,CN$3,実績!$AI$6:$AI$505,"&lt;="&amp;$A37,実績!$AJ$6:$AJ$505,"&gt;"&amp;$A37,実績!$AK$6:$AK$505,"○")&gt;0,1,0))</f>
        <v>0</v>
      </c>
      <c r="CO37" s="39" t="n">
        <f aca="false">IF(CO$4=0,0,IF(COUNTIFS(実績!$W$6:$W$505,CO$3,実績!$AI$6:$AI$505,"&lt;="&amp;$A37,実績!$AJ$6:$AJ$505,"&gt;"&amp;$A37,実績!$AK$6:$AK$505,"○")&gt;0,1,0))</f>
        <v>0</v>
      </c>
      <c r="CP37" s="39" t="n">
        <f aca="false">IF(CP$4=0,0,IF(COUNTIFS(実績!$W$6:$W$505,CP$3,実績!$AI$6:$AI$505,"&lt;="&amp;$A37,実績!$AJ$6:$AJ$505,"&gt;"&amp;$A37,実績!$AK$6:$AK$505,"○")&gt;0,1,0))</f>
        <v>0</v>
      </c>
      <c r="CQ37" s="39" t="n">
        <f aca="false">IF(CQ$4=0,0,IF(COUNTIFS(実績!$W$6:$W$505,CQ$3,実績!$AI$6:$AI$505,"&lt;="&amp;$A37,実績!$AJ$6:$AJ$505,"&gt;"&amp;$A37,実績!$AK$6:$AK$505,"○")&gt;0,1,0))</f>
        <v>0</v>
      </c>
      <c r="CR37" s="39" t="n">
        <f aca="false">IF(CR$4=0,0,IF(COUNTIFS(実績!$W$6:$W$505,CR$3,実績!$AI$6:$AI$505,"&lt;="&amp;$A37,実績!$AJ$6:$AJ$505,"&gt;"&amp;$A37,実績!$AK$6:$AK$505,"○")&gt;0,1,0))</f>
        <v>0</v>
      </c>
      <c r="CS37" s="39" t="n">
        <f aca="false">IF(CS$4=0,0,IF(COUNTIFS(実績!$W$6:$W$505,CS$3,実績!$AI$6:$AI$505,"&lt;="&amp;$A37,実績!$AJ$6:$AJ$505,"&gt;"&amp;$A37,実績!$AK$6:$AK$505,"○")&gt;0,1,0))</f>
        <v>0</v>
      </c>
      <c r="CT37" s="39" t="n">
        <f aca="false">IF(CT$4=0,0,IF(COUNTIFS(実績!$W$6:$W$505,CT$3,実績!$AI$6:$AI$505,"&lt;="&amp;$A37,実績!$AJ$6:$AJ$505,"&gt;"&amp;$A37,実績!$AK$6:$AK$505,"○")&gt;0,1,0))</f>
        <v>0</v>
      </c>
      <c r="CU37" s="39" t="n">
        <f aca="false">IF(CU$4=0,0,IF(COUNTIFS(実績!$W$6:$W$505,CU$3,実績!$AI$6:$AI$505,"&lt;="&amp;$A37,実績!$AJ$6:$AJ$505,"&gt;"&amp;$A37,実績!$AK$6:$AK$505,"○")&gt;0,1,0))</f>
        <v>0</v>
      </c>
      <c r="CV37" s="39" t="n">
        <f aca="false">IF(CV$4=0,0,IF(COUNTIFS(実績!$W$6:$W$505,CV$3,実績!$AI$6:$AI$505,"&lt;="&amp;$A37,実績!$AJ$6:$AJ$505,"&gt;"&amp;$A37,実績!$AK$6:$AK$505,"○")&gt;0,1,0))</f>
        <v>0</v>
      </c>
      <c r="CW37" s="39" t="n">
        <f aca="false">IF(CW$4=0,0,IF(COUNTIFS(実績!$W$6:$W$505,CW$3,実績!$AI$6:$AI$505,"&lt;="&amp;$A37,実績!$AJ$6:$AJ$505,"&gt;"&amp;$A37,実績!$AK$6:$AK$505,"○")&gt;0,1,0))</f>
        <v>0</v>
      </c>
      <c r="CX37" s="39" t="n">
        <f aca="false">IF(CX$4=0,0,IF(COUNTIFS(実績!$W$6:$W$505,CX$3,実績!$AI$6:$AI$505,"&lt;="&amp;$A37,実績!$AJ$6:$AJ$505,"&gt;"&amp;$A37,実績!$AK$6:$AK$505,"○")&gt;0,1,0))</f>
        <v>0</v>
      </c>
      <c r="CY37" s="39" t="n">
        <f aca="false">IF(CY$4=0,0,IF(COUNTIFS(実績!$W$6:$W$505,CY$3,実績!$AI$6:$AI$505,"&lt;="&amp;$A37,実績!$AJ$6:$AJ$505,"&gt;"&amp;$A37,実績!$AK$6:$AK$505,"○")&gt;0,1,0))</f>
        <v>0</v>
      </c>
      <c r="CZ37" s="39" t="n">
        <f aca="false">IF(CZ$4=0,0,IF(COUNTIFS(実績!$W$6:$W$505,CZ$3,実績!$AI$6:$AI$505,"&lt;="&amp;$A37,実績!$AJ$6:$AJ$505,"&gt;"&amp;$A37,実績!$AK$6:$AK$505,"○")&gt;0,1,0))</f>
        <v>0</v>
      </c>
      <c r="DA37" s="39" t="n">
        <f aca="false">IF(DA$4=0,0,IF(COUNTIFS(実績!$W$6:$W$505,DA$3,実績!$AI$6:$AI$505,"&lt;="&amp;$A37,実績!$AJ$6:$AJ$505,"&gt;"&amp;$A37,実績!$AK$6:$AK$505,"○")&gt;0,1,0))</f>
        <v>0</v>
      </c>
      <c r="DB37" s="39" t="n">
        <f aca="false">IF(DB$4=0,0,IF(COUNTIFS(実績!$W$6:$W$505,DB$3,実績!$AI$6:$AI$505,"&lt;="&amp;$A37,実績!$AJ$6:$AJ$505,"&gt;"&amp;$A37,実績!$AK$6:$AK$505,"○")&gt;0,1,0))</f>
        <v>0</v>
      </c>
      <c r="DC37" s="39" t="n">
        <f aca="false">IF(DC$4=0,0,IF(COUNTIFS(実績!$W$6:$W$505,DC$3,実績!$AI$6:$AI$505,"&lt;="&amp;$A37,実績!$AJ$6:$AJ$505,"&gt;"&amp;$A37,実績!$AK$6:$AK$505,"○")&gt;0,1,0))</f>
        <v>0</v>
      </c>
      <c r="DD37" s="39" t="n">
        <f aca="false">IF(DD$4=0,0,IF(COUNTIFS(実績!$W$6:$W$505,DD$3,実績!$AI$6:$AI$505,"&lt;="&amp;$A37,実績!$AJ$6:$AJ$505,"&gt;"&amp;$A37,実績!$AK$6:$AK$505,"○")&gt;0,1,0))</f>
        <v>0</v>
      </c>
      <c r="DE37" s="39" t="n">
        <f aca="false">IF(DE$4=0,0,IF(COUNTIFS(実績!$W$6:$W$505,DE$3,実績!$AI$6:$AI$505,"&lt;="&amp;$A37,実績!$AJ$6:$AJ$505,"&gt;"&amp;$A37,実績!$AK$6:$AK$505,"○")&gt;0,1,0))</f>
        <v>0</v>
      </c>
      <c r="DF37" s="39" t="n">
        <f aca="false">IF(DF$4=0,0,IF(COUNTIFS(実績!$W$6:$W$505,DF$3,実績!$AI$6:$AI$505,"&lt;="&amp;$A37,実績!$AJ$6:$AJ$505,"&gt;"&amp;$A37,実績!$AK$6:$AK$505,"○")&gt;0,1,0))</f>
        <v>0</v>
      </c>
      <c r="DG37" s="39" t="n">
        <f aca="false">IF(DG$4=0,0,IF(COUNTIFS(実績!$W$6:$W$505,DG$3,実績!$AI$6:$AI$505,"&lt;="&amp;$A37,実績!$AJ$6:$AJ$505,"&gt;"&amp;$A37,実績!$AK$6:$AK$505,"○")&gt;0,1,0))</f>
        <v>0</v>
      </c>
      <c r="DH37" s="39" t="n">
        <f aca="false">IF(DH$4=0,0,IF(COUNTIFS(実績!$W$6:$W$505,DH$3,実績!$AI$6:$AI$505,"&lt;="&amp;$A37,実績!$AJ$6:$AJ$505,"&gt;"&amp;$A37,実績!$AK$6:$AK$505,"○")&gt;0,1,0))</f>
        <v>0</v>
      </c>
      <c r="DI37" s="39" t="n">
        <f aca="false">IF(DI$4=0,0,IF(COUNTIFS(実績!$W$6:$W$505,DI$3,実績!$AI$6:$AI$505,"&lt;="&amp;$A37,実績!$AJ$6:$AJ$505,"&gt;"&amp;$A37,実績!$AK$6:$AK$505,"○")&gt;0,1,0))</f>
        <v>0</v>
      </c>
      <c r="DJ37" s="39" t="n">
        <f aca="false">IF(DJ$4=0,0,IF(COUNTIFS(実績!$W$6:$W$505,DJ$3,実績!$AI$6:$AI$505,"&lt;="&amp;$A37,実績!$AJ$6:$AJ$505,"&gt;"&amp;$A37,実績!$AK$6:$AK$505,"○")&gt;0,1,0))</f>
        <v>0</v>
      </c>
      <c r="DK37" s="39" t="n">
        <f aca="false">IF(DK$4=0,0,IF(COUNTIFS(実績!$W$6:$W$505,DK$3,実績!$AI$6:$AI$505,"&lt;="&amp;$A37,実績!$AJ$6:$AJ$505,"&gt;"&amp;$A37,実績!$AK$6:$AK$505,"○")&gt;0,1,0))</f>
        <v>0</v>
      </c>
      <c r="DL37" s="39" t="n">
        <f aca="false">IF(DL$4=0,0,IF(COUNTIFS(実績!$W$6:$W$505,DL$3,実績!$AI$6:$AI$505,"&lt;="&amp;$A37,実績!$AJ$6:$AJ$505,"&gt;"&amp;$A37,実績!$AK$6:$AK$505,"○")&gt;0,1,0))</f>
        <v>0</v>
      </c>
      <c r="DM37" s="39" t="n">
        <f aca="false">IF(DM$4=0,0,IF(COUNTIFS(実績!$W$6:$W$505,DM$3,実績!$AI$6:$AI$505,"&lt;="&amp;$A37,実績!$AJ$6:$AJ$505,"&gt;"&amp;$A37,実績!$AK$6:$AK$505,"○")&gt;0,1,0))</f>
        <v>0</v>
      </c>
      <c r="DN37" s="39" t="n">
        <f aca="false">IF(DN$4=0,0,IF(COUNTIFS(実績!$W$6:$W$505,DN$3,実績!$AI$6:$AI$505,"&lt;="&amp;$A37,実績!$AJ$6:$AJ$505,"&gt;"&amp;$A37,実績!$AK$6:$AK$505,"○")&gt;0,1,0))</f>
        <v>0</v>
      </c>
      <c r="DO37" s="39" t="n">
        <f aca="false">IF(DO$4=0,0,IF(COUNTIFS(実績!$W$6:$W$505,DO$3,実績!$AI$6:$AI$505,"&lt;="&amp;$A37,実績!$AJ$6:$AJ$505,"&gt;"&amp;$A37,実績!$AK$6:$AK$505,"○")&gt;0,1,0))</f>
        <v>0</v>
      </c>
      <c r="DP37" s="39" t="n">
        <f aca="false">IF(DP$4=0,0,IF(COUNTIFS(実績!$W$6:$W$505,DP$3,実績!$AI$6:$AI$505,"&lt;="&amp;$A37,実績!$AJ$6:$AJ$505,"&gt;"&amp;$A37,実績!$AK$6:$AK$505,"○")&gt;0,1,0))</f>
        <v>0</v>
      </c>
      <c r="DQ37" s="39" t="n">
        <f aca="false">IF(DQ$4=0,0,IF(COUNTIFS(実績!$W$6:$W$505,DQ$3,実績!$AI$6:$AI$505,"&lt;="&amp;$A37,実績!$AJ$6:$AJ$505,"&gt;"&amp;$A37,実績!$AK$6:$AK$505,"○")&gt;0,1,0))</f>
        <v>0</v>
      </c>
      <c r="DR37" s="39" t="n">
        <f aca="false">IF(DR$4=0,0,IF(COUNTIFS(実績!$W$6:$W$505,DR$3,実績!$AI$6:$AI$505,"&lt;="&amp;$A37,実績!$AJ$6:$AJ$505,"&gt;"&amp;$A37,実績!$AK$6:$AK$505,"○")&gt;0,1,0))</f>
        <v>0</v>
      </c>
      <c r="DS37" s="39" t="n">
        <f aca="false">SUM(C37:DR37)</f>
        <v>0</v>
      </c>
      <c r="DT37" s="39" t="n">
        <f aca="false">SUMPRODUCT((実績!$C$6:$C$505="○")*ISNUMBER(実績!$AM$6:$AM$505)*(実績!$AM$6:$AM$505&lt;=$A37)*(実績!$AN$6:$AN$505&gt;$A37))</f>
        <v>0</v>
      </c>
      <c r="DU37" s="39" t="n">
        <f aca="false">SUMIF($C$2:$DR$2,"製鉄曳船",C37:DR37)</f>
        <v>0</v>
      </c>
      <c r="DV37" s="39" t="n">
        <f aca="false">SUMIF($C$2:$DR$2,"西日本海運",C37:DR37)</f>
        <v>0</v>
      </c>
    </row>
    <row r="38" customFormat="false" ht="15" hidden="false" customHeight="false" outlineLevel="0" collapsed="false">
      <c r="A38" s="0" t="n">
        <v>160</v>
      </c>
      <c r="B38" s="38" t="n">
        <f aca="false">A38/1440</f>
        <v>0.111111111111111</v>
      </c>
      <c r="C38" s="39" t="n">
        <f aca="false">IF(C$4=0,0,IF(COUNTIFS(実績!$W$6:$W$505,C$3,実績!$AI$6:$AI$505,"&lt;="&amp;$A38,実績!$AJ$6:$AJ$505,"&gt;"&amp;$A38,実績!$AK$6:$AK$505,"○")&gt;0,1,0))</f>
        <v>0</v>
      </c>
      <c r="D38" s="39" t="n">
        <f aca="false">IF(D$4=0,0,IF(COUNTIFS(実績!$W$6:$W$505,D$3,実績!$AI$6:$AI$505,"&lt;="&amp;$A38,実績!$AJ$6:$AJ$505,"&gt;"&amp;$A38,実績!$AK$6:$AK$505,"○")&gt;0,1,0))</f>
        <v>0</v>
      </c>
      <c r="E38" s="39" t="n">
        <f aca="false">IF(E$4=0,0,IF(COUNTIFS(実績!$W$6:$W$505,E$3,実績!$AI$6:$AI$505,"&lt;="&amp;$A38,実績!$AJ$6:$AJ$505,"&gt;"&amp;$A38,実績!$AK$6:$AK$505,"○")&gt;0,1,0))</f>
        <v>0</v>
      </c>
      <c r="F38" s="39" t="n">
        <f aca="false">IF(F$4=0,0,IF(COUNTIFS(実績!$W$6:$W$505,F$3,実績!$AI$6:$AI$505,"&lt;="&amp;$A38,実績!$AJ$6:$AJ$505,"&gt;"&amp;$A38,実績!$AK$6:$AK$505,"○")&gt;0,1,0))</f>
        <v>0</v>
      </c>
      <c r="G38" s="39" t="n">
        <f aca="false">IF(G$4=0,0,IF(COUNTIFS(実績!$W$6:$W$505,G$3,実績!$AI$6:$AI$505,"&lt;="&amp;$A38,実績!$AJ$6:$AJ$505,"&gt;"&amp;$A38,実績!$AK$6:$AK$505,"○")&gt;0,1,0))</f>
        <v>0</v>
      </c>
      <c r="H38" s="39" t="n">
        <f aca="false">IF(H$4=0,0,IF(COUNTIFS(実績!$W$6:$W$505,H$3,実績!$AI$6:$AI$505,"&lt;="&amp;$A38,実績!$AJ$6:$AJ$505,"&gt;"&amp;$A38,実績!$AK$6:$AK$505,"○")&gt;0,1,0))</f>
        <v>0</v>
      </c>
      <c r="I38" s="39" t="n">
        <f aca="false">IF(I$4=0,0,IF(COUNTIFS(実績!$W$6:$W$505,I$3,実績!$AI$6:$AI$505,"&lt;="&amp;$A38,実績!$AJ$6:$AJ$505,"&gt;"&amp;$A38,実績!$AK$6:$AK$505,"○")&gt;0,1,0))</f>
        <v>0</v>
      </c>
      <c r="J38" s="39" t="n">
        <f aca="false">IF(J$4=0,0,IF(COUNTIFS(実績!$W$6:$W$505,J$3,実績!$AI$6:$AI$505,"&lt;="&amp;$A38,実績!$AJ$6:$AJ$505,"&gt;"&amp;$A38,実績!$AK$6:$AK$505,"○")&gt;0,1,0))</f>
        <v>0</v>
      </c>
      <c r="K38" s="39" t="n">
        <f aca="false">IF(K$4=0,0,IF(COUNTIFS(実績!$W$6:$W$505,K$3,実績!$AI$6:$AI$505,"&lt;="&amp;$A38,実績!$AJ$6:$AJ$505,"&gt;"&amp;$A38,実績!$AK$6:$AK$505,"○")&gt;0,1,0))</f>
        <v>0</v>
      </c>
      <c r="L38" s="39" t="n">
        <f aca="false">IF(L$4=0,0,IF(COUNTIFS(実績!$W$6:$W$505,L$3,実績!$AI$6:$AI$505,"&lt;="&amp;$A38,実績!$AJ$6:$AJ$505,"&gt;"&amp;$A38,実績!$AK$6:$AK$505,"○")&gt;0,1,0))</f>
        <v>0</v>
      </c>
      <c r="M38" s="39" t="n">
        <f aca="false">IF(M$4=0,0,IF(COUNTIFS(実績!$W$6:$W$505,M$3,実績!$AI$6:$AI$505,"&lt;="&amp;$A38,実績!$AJ$6:$AJ$505,"&gt;"&amp;$A38,実績!$AK$6:$AK$505,"○")&gt;0,1,0))</f>
        <v>0</v>
      </c>
      <c r="N38" s="39" t="n">
        <f aca="false">IF(N$4=0,0,IF(COUNTIFS(実績!$W$6:$W$505,N$3,実績!$AI$6:$AI$505,"&lt;="&amp;$A38,実績!$AJ$6:$AJ$505,"&gt;"&amp;$A38,実績!$AK$6:$AK$505,"○")&gt;0,1,0))</f>
        <v>0</v>
      </c>
      <c r="O38" s="39" t="n">
        <f aca="false">IF(O$4=0,0,IF(COUNTIFS(実績!$W$6:$W$505,O$3,実績!$AI$6:$AI$505,"&lt;="&amp;$A38,実績!$AJ$6:$AJ$505,"&gt;"&amp;$A38,実績!$AK$6:$AK$505,"○")&gt;0,1,0))</f>
        <v>0</v>
      </c>
      <c r="P38" s="39" t="n">
        <f aca="false">IF(P$4=0,0,IF(COUNTIFS(実績!$W$6:$W$505,P$3,実績!$AI$6:$AI$505,"&lt;="&amp;$A38,実績!$AJ$6:$AJ$505,"&gt;"&amp;$A38,実績!$AK$6:$AK$505,"○")&gt;0,1,0))</f>
        <v>0</v>
      </c>
      <c r="Q38" s="39" t="n">
        <f aca="false">IF(Q$4=0,0,IF(COUNTIFS(実績!$W$6:$W$505,Q$3,実績!$AI$6:$AI$505,"&lt;="&amp;$A38,実績!$AJ$6:$AJ$505,"&gt;"&amp;$A38,実績!$AK$6:$AK$505,"○")&gt;0,1,0))</f>
        <v>0</v>
      </c>
      <c r="R38" s="39" t="n">
        <f aca="false">IF(R$4=0,0,IF(COUNTIFS(実績!$W$6:$W$505,R$3,実績!$AI$6:$AI$505,"&lt;="&amp;$A38,実績!$AJ$6:$AJ$505,"&gt;"&amp;$A38,実績!$AK$6:$AK$505,"○")&gt;0,1,0))</f>
        <v>0</v>
      </c>
      <c r="S38" s="39" t="n">
        <f aca="false">IF(S$4=0,0,IF(COUNTIFS(実績!$W$6:$W$505,S$3,実績!$AI$6:$AI$505,"&lt;="&amp;$A38,実績!$AJ$6:$AJ$505,"&gt;"&amp;$A38,実績!$AK$6:$AK$505,"○")&gt;0,1,0))</f>
        <v>0</v>
      </c>
      <c r="T38" s="39" t="n">
        <f aca="false">IF(T$4=0,0,IF(COUNTIFS(実績!$W$6:$W$505,T$3,実績!$AI$6:$AI$505,"&lt;="&amp;$A38,実績!$AJ$6:$AJ$505,"&gt;"&amp;$A38,実績!$AK$6:$AK$505,"○")&gt;0,1,0))</f>
        <v>0</v>
      </c>
      <c r="U38" s="39" t="n">
        <f aca="false">IF(U$4=0,0,IF(COUNTIFS(実績!$W$6:$W$505,U$3,実績!$AI$6:$AI$505,"&lt;="&amp;$A38,実績!$AJ$6:$AJ$505,"&gt;"&amp;$A38,実績!$AK$6:$AK$505,"○")&gt;0,1,0))</f>
        <v>0</v>
      </c>
      <c r="V38" s="39" t="n">
        <f aca="false">IF(V$4=0,0,IF(COUNTIFS(実績!$W$6:$W$505,V$3,実績!$AI$6:$AI$505,"&lt;="&amp;$A38,実績!$AJ$6:$AJ$505,"&gt;"&amp;$A38,実績!$AK$6:$AK$505,"○")&gt;0,1,0))</f>
        <v>0</v>
      </c>
      <c r="W38" s="39" t="n">
        <f aca="false">IF(W$4=0,0,IF(COUNTIFS(実績!$W$6:$W$505,W$3,実績!$AI$6:$AI$505,"&lt;="&amp;$A38,実績!$AJ$6:$AJ$505,"&gt;"&amp;$A38,実績!$AK$6:$AK$505,"○")&gt;0,1,0))</f>
        <v>0</v>
      </c>
      <c r="X38" s="39" t="n">
        <f aca="false">IF(X$4=0,0,IF(COUNTIFS(実績!$W$6:$W$505,X$3,実績!$AI$6:$AI$505,"&lt;="&amp;$A38,実績!$AJ$6:$AJ$505,"&gt;"&amp;$A38,実績!$AK$6:$AK$505,"○")&gt;0,1,0))</f>
        <v>0</v>
      </c>
      <c r="Y38" s="39" t="n">
        <f aca="false">IF(Y$4=0,0,IF(COUNTIFS(実績!$W$6:$W$505,Y$3,実績!$AI$6:$AI$505,"&lt;="&amp;$A38,実績!$AJ$6:$AJ$505,"&gt;"&amp;$A38,実績!$AK$6:$AK$505,"○")&gt;0,1,0))</f>
        <v>0</v>
      </c>
      <c r="Z38" s="39" t="n">
        <f aca="false">IF(Z$4=0,0,IF(COUNTIFS(実績!$W$6:$W$505,Z$3,実績!$AI$6:$AI$505,"&lt;="&amp;$A38,実績!$AJ$6:$AJ$505,"&gt;"&amp;$A38,実績!$AK$6:$AK$505,"○")&gt;0,1,0))</f>
        <v>0</v>
      </c>
      <c r="AA38" s="39" t="n">
        <f aca="false">IF(AA$4=0,0,IF(COUNTIFS(実績!$W$6:$W$505,AA$3,実績!$AI$6:$AI$505,"&lt;="&amp;$A38,実績!$AJ$6:$AJ$505,"&gt;"&amp;$A38,実績!$AK$6:$AK$505,"○")&gt;0,1,0))</f>
        <v>0</v>
      </c>
      <c r="AB38" s="39" t="n">
        <f aca="false">IF(AB$4=0,0,IF(COUNTIFS(実績!$W$6:$W$505,AB$3,実績!$AI$6:$AI$505,"&lt;="&amp;$A38,実績!$AJ$6:$AJ$505,"&gt;"&amp;$A38,実績!$AK$6:$AK$505,"○")&gt;0,1,0))</f>
        <v>0</v>
      </c>
      <c r="AC38" s="39" t="n">
        <f aca="false">IF(AC$4=0,0,IF(COUNTIFS(実績!$W$6:$W$505,AC$3,実績!$AI$6:$AI$505,"&lt;="&amp;$A38,実績!$AJ$6:$AJ$505,"&gt;"&amp;$A38,実績!$AK$6:$AK$505,"○")&gt;0,1,0))</f>
        <v>0</v>
      </c>
      <c r="AD38" s="39" t="n">
        <f aca="false">IF(AD$4=0,0,IF(COUNTIFS(実績!$W$6:$W$505,AD$3,実績!$AI$6:$AI$505,"&lt;="&amp;$A38,実績!$AJ$6:$AJ$505,"&gt;"&amp;$A38,実績!$AK$6:$AK$505,"○")&gt;0,1,0))</f>
        <v>0</v>
      </c>
      <c r="AE38" s="39" t="n">
        <f aca="false">IF(AE$4=0,0,IF(COUNTIFS(実績!$W$6:$W$505,AE$3,実績!$AI$6:$AI$505,"&lt;="&amp;$A38,実績!$AJ$6:$AJ$505,"&gt;"&amp;$A38,実績!$AK$6:$AK$505,"○")&gt;0,1,0))</f>
        <v>0</v>
      </c>
      <c r="AF38" s="39" t="n">
        <f aca="false">IF(AF$4=0,0,IF(COUNTIFS(実績!$W$6:$W$505,AF$3,実績!$AI$6:$AI$505,"&lt;="&amp;$A38,実績!$AJ$6:$AJ$505,"&gt;"&amp;$A38,実績!$AK$6:$AK$505,"○")&gt;0,1,0))</f>
        <v>0</v>
      </c>
      <c r="AG38" s="39" t="n">
        <f aca="false">IF(AG$4=0,0,IF(COUNTIFS(実績!$W$6:$W$505,AG$3,実績!$AI$6:$AI$505,"&lt;="&amp;$A38,実績!$AJ$6:$AJ$505,"&gt;"&amp;$A38,実績!$AK$6:$AK$505,"○")&gt;0,1,0))</f>
        <v>0</v>
      </c>
      <c r="AH38" s="39" t="n">
        <f aca="false">IF(AH$4=0,0,IF(COUNTIFS(実績!$W$6:$W$505,AH$3,実績!$AI$6:$AI$505,"&lt;="&amp;$A38,実績!$AJ$6:$AJ$505,"&gt;"&amp;$A38,実績!$AK$6:$AK$505,"○")&gt;0,1,0))</f>
        <v>0</v>
      </c>
      <c r="AI38" s="39" t="n">
        <f aca="false">IF(AI$4=0,0,IF(COUNTIFS(実績!$W$6:$W$505,AI$3,実績!$AI$6:$AI$505,"&lt;="&amp;$A38,実績!$AJ$6:$AJ$505,"&gt;"&amp;$A38,実績!$AK$6:$AK$505,"○")&gt;0,1,0))</f>
        <v>0</v>
      </c>
      <c r="AJ38" s="39" t="n">
        <f aca="false">IF(AJ$4=0,0,IF(COUNTIFS(実績!$W$6:$W$505,AJ$3,実績!$AI$6:$AI$505,"&lt;="&amp;$A38,実績!$AJ$6:$AJ$505,"&gt;"&amp;$A38,実績!$AK$6:$AK$505,"○")&gt;0,1,0))</f>
        <v>0</v>
      </c>
      <c r="AK38" s="39" t="n">
        <f aca="false">IF(AK$4=0,0,IF(COUNTIFS(実績!$W$6:$W$505,AK$3,実績!$AI$6:$AI$505,"&lt;="&amp;$A38,実績!$AJ$6:$AJ$505,"&gt;"&amp;$A38,実績!$AK$6:$AK$505,"○")&gt;0,1,0))</f>
        <v>0</v>
      </c>
      <c r="AL38" s="39" t="n">
        <f aca="false">IF(AL$4=0,0,IF(COUNTIFS(実績!$W$6:$W$505,AL$3,実績!$AI$6:$AI$505,"&lt;="&amp;$A38,実績!$AJ$6:$AJ$505,"&gt;"&amp;$A38,実績!$AK$6:$AK$505,"○")&gt;0,1,0))</f>
        <v>0</v>
      </c>
      <c r="AM38" s="39" t="n">
        <f aca="false">IF(AM$4=0,0,IF(COUNTIFS(実績!$W$6:$W$505,AM$3,実績!$AI$6:$AI$505,"&lt;="&amp;$A38,実績!$AJ$6:$AJ$505,"&gt;"&amp;$A38,実績!$AK$6:$AK$505,"○")&gt;0,1,0))</f>
        <v>0</v>
      </c>
      <c r="AN38" s="39" t="n">
        <f aca="false">IF(AN$4=0,0,IF(COUNTIFS(実績!$W$6:$W$505,AN$3,実績!$AI$6:$AI$505,"&lt;="&amp;$A38,実績!$AJ$6:$AJ$505,"&gt;"&amp;$A38,実績!$AK$6:$AK$505,"○")&gt;0,1,0))</f>
        <v>0</v>
      </c>
      <c r="AO38" s="39" t="n">
        <f aca="false">IF(AO$4=0,0,IF(COUNTIFS(実績!$W$6:$W$505,AO$3,実績!$AI$6:$AI$505,"&lt;="&amp;$A38,実績!$AJ$6:$AJ$505,"&gt;"&amp;$A38,実績!$AK$6:$AK$505,"○")&gt;0,1,0))</f>
        <v>0</v>
      </c>
      <c r="AP38" s="39" t="n">
        <f aca="false">IF(AP$4=0,0,IF(COUNTIFS(実績!$W$6:$W$505,AP$3,実績!$AI$6:$AI$505,"&lt;="&amp;$A38,実績!$AJ$6:$AJ$505,"&gt;"&amp;$A38,実績!$AK$6:$AK$505,"○")&gt;0,1,0))</f>
        <v>0</v>
      </c>
      <c r="AQ38" s="39" t="n">
        <f aca="false">IF(AQ$4=0,0,IF(COUNTIFS(実績!$W$6:$W$505,AQ$3,実績!$AI$6:$AI$505,"&lt;="&amp;$A38,実績!$AJ$6:$AJ$505,"&gt;"&amp;$A38,実績!$AK$6:$AK$505,"○")&gt;0,1,0))</f>
        <v>0</v>
      </c>
      <c r="AR38" s="39" t="n">
        <f aca="false">IF(AR$4=0,0,IF(COUNTIFS(実績!$W$6:$W$505,AR$3,実績!$AI$6:$AI$505,"&lt;="&amp;$A38,実績!$AJ$6:$AJ$505,"&gt;"&amp;$A38,実績!$AK$6:$AK$505,"○")&gt;0,1,0))</f>
        <v>0</v>
      </c>
      <c r="AS38" s="39" t="n">
        <f aca="false">IF(AS$4=0,0,IF(COUNTIFS(実績!$W$6:$W$505,AS$3,実績!$AI$6:$AI$505,"&lt;="&amp;$A38,実績!$AJ$6:$AJ$505,"&gt;"&amp;$A38,実績!$AK$6:$AK$505,"○")&gt;0,1,0))</f>
        <v>0</v>
      </c>
      <c r="AT38" s="39" t="n">
        <f aca="false">IF(AT$4=0,0,IF(COUNTIFS(実績!$W$6:$W$505,AT$3,実績!$AI$6:$AI$505,"&lt;="&amp;$A38,実績!$AJ$6:$AJ$505,"&gt;"&amp;$A38,実績!$AK$6:$AK$505,"○")&gt;0,1,0))</f>
        <v>0</v>
      </c>
      <c r="AU38" s="39" t="n">
        <f aca="false">IF(AU$4=0,0,IF(COUNTIFS(実績!$W$6:$W$505,AU$3,実績!$AI$6:$AI$505,"&lt;="&amp;$A38,実績!$AJ$6:$AJ$505,"&gt;"&amp;$A38,実績!$AK$6:$AK$505,"○")&gt;0,1,0))</f>
        <v>0</v>
      </c>
      <c r="AV38" s="39" t="n">
        <f aca="false">IF(AV$4=0,0,IF(COUNTIFS(実績!$W$6:$W$505,AV$3,実績!$AI$6:$AI$505,"&lt;="&amp;$A38,実績!$AJ$6:$AJ$505,"&gt;"&amp;$A38,実績!$AK$6:$AK$505,"○")&gt;0,1,0))</f>
        <v>0</v>
      </c>
      <c r="AW38" s="39" t="n">
        <f aca="false">IF(AW$4=0,0,IF(COUNTIFS(実績!$W$6:$W$505,AW$3,実績!$AI$6:$AI$505,"&lt;="&amp;$A38,実績!$AJ$6:$AJ$505,"&gt;"&amp;$A38,実績!$AK$6:$AK$505,"○")&gt;0,1,0))</f>
        <v>0</v>
      </c>
      <c r="AX38" s="39" t="n">
        <f aca="false">IF(AX$4=0,0,IF(COUNTIFS(実績!$W$6:$W$505,AX$3,実績!$AI$6:$AI$505,"&lt;="&amp;$A38,実績!$AJ$6:$AJ$505,"&gt;"&amp;$A38,実績!$AK$6:$AK$505,"○")&gt;0,1,0))</f>
        <v>0</v>
      </c>
      <c r="AY38" s="39" t="n">
        <f aca="false">IF(AY$4=0,0,IF(COUNTIFS(実績!$W$6:$W$505,AY$3,実績!$AI$6:$AI$505,"&lt;="&amp;$A38,実績!$AJ$6:$AJ$505,"&gt;"&amp;$A38,実績!$AK$6:$AK$505,"○")&gt;0,1,0))</f>
        <v>0</v>
      </c>
      <c r="AZ38" s="39" t="n">
        <f aca="false">IF(AZ$4=0,0,IF(COUNTIFS(実績!$W$6:$W$505,AZ$3,実績!$AI$6:$AI$505,"&lt;="&amp;$A38,実績!$AJ$6:$AJ$505,"&gt;"&amp;$A38,実績!$AK$6:$AK$505,"○")&gt;0,1,0))</f>
        <v>0</v>
      </c>
      <c r="BA38" s="39" t="n">
        <f aca="false">IF(BA$4=0,0,IF(COUNTIFS(実績!$W$6:$W$505,BA$3,実績!$AI$6:$AI$505,"&lt;="&amp;$A38,実績!$AJ$6:$AJ$505,"&gt;"&amp;$A38,実績!$AK$6:$AK$505,"○")&gt;0,1,0))</f>
        <v>0</v>
      </c>
      <c r="BB38" s="39" t="n">
        <f aca="false">IF(BB$4=0,0,IF(COUNTIFS(実績!$W$6:$W$505,BB$3,実績!$AI$6:$AI$505,"&lt;="&amp;$A38,実績!$AJ$6:$AJ$505,"&gt;"&amp;$A38,実績!$AK$6:$AK$505,"○")&gt;0,1,0))</f>
        <v>0</v>
      </c>
      <c r="BC38" s="39" t="n">
        <f aca="false">IF(BC$4=0,0,IF(COUNTIFS(実績!$W$6:$W$505,BC$3,実績!$AI$6:$AI$505,"&lt;="&amp;$A38,実績!$AJ$6:$AJ$505,"&gt;"&amp;$A38,実績!$AK$6:$AK$505,"○")&gt;0,1,0))</f>
        <v>0</v>
      </c>
      <c r="BD38" s="39" t="n">
        <f aca="false">IF(BD$4=0,0,IF(COUNTIFS(実績!$W$6:$W$505,BD$3,実績!$AI$6:$AI$505,"&lt;="&amp;$A38,実績!$AJ$6:$AJ$505,"&gt;"&amp;$A38,実績!$AK$6:$AK$505,"○")&gt;0,1,0))</f>
        <v>0</v>
      </c>
      <c r="BE38" s="39" t="n">
        <f aca="false">IF(BE$4=0,0,IF(COUNTIFS(実績!$W$6:$W$505,BE$3,実績!$AI$6:$AI$505,"&lt;="&amp;$A38,実績!$AJ$6:$AJ$505,"&gt;"&amp;$A38,実績!$AK$6:$AK$505,"○")&gt;0,1,0))</f>
        <v>0</v>
      </c>
      <c r="BF38" s="39" t="n">
        <f aca="false">IF(BF$4=0,0,IF(COUNTIFS(実績!$W$6:$W$505,BF$3,実績!$AI$6:$AI$505,"&lt;="&amp;$A38,実績!$AJ$6:$AJ$505,"&gt;"&amp;$A38,実績!$AK$6:$AK$505,"○")&gt;0,1,0))</f>
        <v>0</v>
      </c>
      <c r="BG38" s="39" t="n">
        <f aca="false">IF(BG$4=0,0,IF(COUNTIFS(実績!$W$6:$W$505,BG$3,実績!$AI$6:$AI$505,"&lt;="&amp;$A38,実績!$AJ$6:$AJ$505,"&gt;"&amp;$A38,実績!$AK$6:$AK$505,"○")&gt;0,1,0))</f>
        <v>0</v>
      </c>
      <c r="BH38" s="39" t="n">
        <f aca="false">IF(BH$4=0,0,IF(COUNTIFS(実績!$W$6:$W$505,BH$3,実績!$AI$6:$AI$505,"&lt;="&amp;$A38,実績!$AJ$6:$AJ$505,"&gt;"&amp;$A38,実績!$AK$6:$AK$505,"○")&gt;0,1,0))</f>
        <v>0</v>
      </c>
      <c r="BI38" s="39" t="n">
        <f aca="false">IF(BI$4=0,0,IF(COUNTIFS(実績!$W$6:$W$505,BI$3,実績!$AI$6:$AI$505,"&lt;="&amp;$A38,実績!$AJ$6:$AJ$505,"&gt;"&amp;$A38,実績!$AK$6:$AK$505,"○")&gt;0,1,0))</f>
        <v>0</v>
      </c>
      <c r="BJ38" s="39" t="n">
        <f aca="false">IF(BJ$4=0,0,IF(COUNTIFS(実績!$W$6:$W$505,BJ$3,実績!$AI$6:$AI$505,"&lt;="&amp;$A38,実績!$AJ$6:$AJ$505,"&gt;"&amp;$A38,実績!$AK$6:$AK$505,"○")&gt;0,1,0))</f>
        <v>0</v>
      </c>
      <c r="BK38" s="39" t="n">
        <f aca="false">IF(BK$4=0,0,IF(COUNTIFS(実績!$W$6:$W$505,BK$3,実績!$AI$6:$AI$505,"&lt;="&amp;$A38,実績!$AJ$6:$AJ$505,"&gt;"&amp;$A38,実績!$AK$6:$AK$505,"○")&gt;0,1,0))</f>
        <v>0</v>
      </c>
      <c r="BL38" s="39" t="n">
        <f aca="false">IF(BL$4=0,0,IF(COUNTIFS(実績!$W$6:$W$505,BL$3,実績!$AI$6:$AI$505,"&lt;="&amp;$A38,実績!$AJ$6:$AJ$505,"&gt;"&amp;$A38,実績!$AK$6:$AK$505,"○")&gt;0,1,0))</f>
        <v>0</v>
      </c>
      <c r="BM38" s="39" t="n">
        <f aca="false">IF(BM$4=0,0,IF(COUNTIFS(実績!$W$6:$W$505,BM$3,実績!$AI$6:$AI$505,"&lt;="&amp;$A38,実績!$AJ$6:$AJ$505,"&gt;"&amp;$A38,実績!$AK$6:$AK$505,"○")&gt;0,1,0))</f>
        <v>0</v>
      </c>
      <c r="BN38" s="39" t="n">
        <f aca="false">IF(BN$4=0,0,IF(COUNTIFS(実績!$W$6:$W$505,BN$3,実績!$AI$6:$AI$505,"&lt;="&amp;$A38,実績!$AJ$6:$AJ$505,"&gt;"&amp;$A38,実績!$AK$6:$AK$505,"○")&gt;0,1,0))</f>
        <v>0</v>
      </c>
      <c r="BO38" s="39" t="n">
        <f aca="false">IF(BO$4=0,0,IF(COUNTIFS(実績!$W$6:$W$505,BO$3,実績!$AI$6:$AI$505,"&lt;="&amp;$A38,実績!$AJ$6:$AJ$505,"&gt;"&amp;$A38,実績!$AK$6:$AK$505,"○")&gt;0,1,0))</f>
        <v>0</v>
      </c>
      <c r="BP38" s="39" t="n">
        <f aca="false">IF(BP$4=0,0,IF(COUNTIFS(実績!$W$6:$W$505,BP$3,実績!$AI$6:$AI$505,"&lt;="&amp;$A38,実績!$AJ$6:$AJ$505,"&gt;"&amp;$A38,実績!$AK$6:$AK$505,"○")&gt;0,1,0))</f>
        <v>0</v>
      </c>
      <c r="BQ38" s="39" t="n">
        <f aca="false">IF(BQ$4=0,0,IF(COUNTIFS(実績!$W$6:$W$505,BQ$3,実績!$AI$6:$AI$505,"&lt;="&amp;$A38,実績!$AJ$6:$AJ$505,"&gt;"&amp;$A38,実績!$AK$6:$AK$505,"○")&gt;0,1,0))</f>
        <v>0</v>
      </c>
      <c r="BR38" s="39" t="n">
        <f aca="false">IF(BR$4=0,0,IF(COUNTIFS(実績!$W$6:$W$505,BR$3,実績!$AI$6:$AI$505,"&lt;="&amp;$A38,実績!$AJ$6:$AJ$505,"&gt;"&amp;$A38,実績!$AK$6:$AK$505,"○")&gt;0,1,0))</f>
        <v>0</v>
      </c>
      <c r="BS38" s="39" t="n">
        <f aca="false">IF(BS$4=0,0,IF(COUNTIFS(実績!$W$6:$W$505,BS$3,実績!$AI$6:$AI$505,"&lt;="&amp;$A38,実績!$AJ$6:$AJ$505,"&gt;"&amp;$A38,実績!$AK$6:$AK$505,"○")&gt;0,1,0))</f>
        <v>0</v>
      </c>
      <c r="BT38" s="39" t="n">
        <f aca="false">IF(BT$4=0,0,IF(COUNTIFS(実績!$W$6:$W$505,BT$3,実績!$AI$6:$AI$505,"&lt;="&amp;$A38,実績!$AJ$6:$AJ$505,"&gt;"&amp;$A38,実績!$AK$6:$AK$505,"○")&gt;0,1,0))</f>
        <v>0</v>
      </c>
      <c r="BU38" s="39" t="n">
        <f aca="false">IF(BU$4=0,0,IF(COUNTIFS(実績!$W$6:$W$505,BU$3,実績!$AI$6:$AI$505,"&lt;="&amp;$A38,実績!$AJ$6:$AJ$505,"&gt;"&amp;$A38,実績!$AK$6:$AK$505,"○")&gt;0,1,0))</f>
        <v>0</v>
      </c>
      <c r="BV38" s="39" t="n">
        <f aca="false">IF(BV$4=0,0,IF(COUNTIFS(実績!$W$6:$W$505,BV$3,実績!$AI$6:$AI$505,"&lt;="&amp;$A38,実績!$AJ$6:$AJ$505,"&gt;"&amp;$A38,実績!$AK$6:$AK$505,"○")&gt;0,1,0))</f>
        <v>0</v>
      </c>
      <c r="BW38" s="39" t="n">
        <f aca="false">IF(BW$4=0,0,IF(COUNTIFS(実績!$W$6:$W$505,BW$3,実績!$AI$6:$AI$505,"&lt;="&amp;$A38,実績!$AJ$6:$AJ$505,"&gt;"&amp;$A38,実績!$AK$6:$AK$505,"○")&gt;0,1,0))</f>
        <v>0</v>
      </c>
      <c r="BX38" s="39" t="n">
        <f aca="false">IF(BX$4=0,0,IF(COUNTIFS(実績!$W$6:$W$505,BX$3,実績!$AI$6:$AI$505,"&lt;="&amp;$A38,実績!$AJ$6:$AJ$505,"&gt;"&amp;$A38,実績!$AK$6:$AK$505,"○")&gt;0,1,0))</f>
        <v>0</v>
      </c>
      <c r="BY38" s="39" t="n">
        <f aca="false">IF(BY$4=0,0,IF(COUNTIFS(実績!$W$6:$W$505,BY$3,実績!$AI$6:$AI$505,"&lt;="&amp;$A38,実績!$AJ$6:$AJ$505,"&gt;"&amp;$A38,実績!$AK$6:$AK$505,"○")&gt;0,1,0))</f>
        <v>0</v>
      </c>
      <c r="BZ38" s="39" t="n">
        <f aca="false">IF(BZ$4=0,0,IF(COUNTIFS(実績!$W$6:$W$505,BZ$3,実績!$AI$6:$AI$505,"&lt;="&amp;$A38,実績!$AJ$6:$AJ$505,"&gt;"&amp;$A38,実績!$AK$6:$AK$505,"○")&gt;0,1,0))</f>
        <v>0</v>
      </c>
      <c r="CA38" s="39" t="n">
        <f aca="false">IF(CA$4=0,0,IF(COUNTIFS(実績!$W$6:$W$505,CA$3,実績!$AI$6:$AI$505,"&lt;="&amp;$A38,実績!$AJ$6:$AJ$505,"&gt;"&amp;$A38,実績!$AK$6:$AK$505,"○")&gt;0,1,0))</f>
        <v>0</v>
      </c>
      <c r="CB38" s="39" t="n">
        <f aca="false">IF(CB$4=0,0,IF(COUNTIFS(実績!$W$6:$W$505,CB$3,実績!$AI$6:$AI$505,"&lt;="&amp;$A38,実績!$AJ$6:$AJ$505,"&gt;"&amp;$A38,実績!$AK$6:$AK$505,"○")&gt;0,1,0))</f>
        <v>0</v>
      </c>
      <c r="CC38" s="39" t="n">
        <f aca="false">IF(CC$4=0,0,IF(COUNTIFS(実績!$W$6:$W$505,CC$3,実績!$AI$6:$AI$505,"&lt;="&amp;$A38,実績!$AJ$6:$AJ$505,"&gt;"&amp;$A38,実績!$AK$6:$AK$505,"○")&gt;0,1,0))</f>
        <v>0</v>
      </c>
      <c r="CD38" s="39" t="n">
        <f aca="false">IF(CD$4=0,0,IF(COUNTIFS(実績!$W$6:$W$505,CD$3,実績!$AI$6:$AI$505,"&lt;="&amp;$A38,実績!$AJ$6:$AJ$505,"&gt;"&amp;$A38,実績!$AK$6:$AK$505,"○")&gt;0,1,0))</f>
        <v>0</v>
      </c>
      <c r="CE38" s="39" t="n">
        <f aca="false">IF(CE$4=0,0,IF(COUNTIFS(実績!$W$6:$W$505,CE$3,実績!$AI$6:$AI$505,"&lt;="&amp;$A38,実績!$AJ$6:$AJ$505,"&gt;"&amp;$A38,実績!$AK$6:$AK$505,"○")&gt;0,1,0))</f>
        <v>0</v>
      </c>
      <c r="CF38" s="39" t="n">
        <f aca="false">IF(CF$4=0,0,IF(COUNTIFS(実績!$W$6:$W$505,CF$3,実績!$AI$6:$AI$505,"&lt;="&amp;$A38,実績!$AJ$6:$AJ$505,"&gt;"&amp;$A38,実績!$AK$6:$AK$505,"○")&gt;0,1,0))</f>
        <v>0</v>
      </c>
      <c r="CG38" s="39" t="n">
        <f aca="false">IF(CG$4=0,0,IF(COUNTIFS(実績!$W$6:$W$505,CG$3,実績!$AI$6:$AI$505,"&lt;="&amp;$A38,実績!$AJ$6:$AJ$505,"&gt;"&amp;$A38,実績!$AK$6:$AK$505,"○")&gt;0,1,0))</f>
        <v>0</v>
      </c>
      <c r="CH38" s="39" t="n">
        <f aca="false">IF(CH$4=0,0,IF(COUNTIFS(実績!$W$6:$W$505,CH$3,実績!$AI$6:$AI$505,"&lt;="&amp;$A38,実績!$AJ$6:$AJ$505,"&gt;"&amp;$A38,実績!$AK$6:$AK$505,"○")&gt;0,1,0))</f>
        <v>0</v>
      </c>
      <c r="CI38" s="39" t="n">
        <f aca="false">IF(CI$4=0,0,IF(COUNTIFS(実績!$W$6:$W$505,CI$3,実績!$AI$6:$AI$505,"&lt;="&amp;$A38,実績!$AJ$6:$AJ$505,"&gt;"&amp;$A38,実績!$AK$6:$AK$505,"○")&gt;0,1,0))</f>
        <v>0</v>
      </c>
      <c r="CJ38" s="39" t="n">
        <f aca="false">IF(CJ$4=0,0,IF(COUNTIFS(実績!$W$6:$W$505,CJ$3,実績!$AI$6:$AI$505,"&lt;="&amp;$A38,実績!$AJ$6:$AJ$505,"&gt;"&amp;$A38,実績!$AK$6:$AK$505,"○")&gt;0,1,0))</f>
        <v>0</v>
      </c>
      <c r="CK38" s="39" t="n">
        <f aca="false">IF(CK$4=0,0,IF(COUNTIFS(実績!$W$6:$W$505,CK$3,実績!$AI$6:$AI$505,"&lt;="&amp;$A38,実績!$AJ$6:$AJ$505,"&gt;"&amp;$A38,実績!$AK$6:$AK$505,"○")&gt;0,1,0))</f>
        <v>0</v>
      </c>
      <c r="CL38" s="39" t="n">
        <f aca="false">IF(CL$4=0,0,IF(COUNTIFS(実績!$W$6:$W$505,CL$3,実績!$AI$6:$AI$505,"&lt;="&amp;$A38,実績!$AJ$6:$AJ$505,"&gt;"&amp;$A38,実績!$AK$6:$AK$505,"○")&gt;0,1,0))</f>
        <v>0</v>
      </c>
      <c r="CM38" s="39" t="n">
        <f aca="false">IF(CM$4=0,0,IF(COUNTIFS(実績!$W$6:$W$505,CM$3,実績!$AI$6:$AI$505,"&lt;="&amp;$A38,実績!$AJ$6:$AJ$505,"&gt;"&amp;$A38,実績!$AK$6:$AK$505,"○")&gt;0,1,0))</f>
        <v>0</v>
      </c>
      <c r="CN38" s="39" t="n">
        <f aca="false">IF(CN$4=0,0,IF(COUNTIFS(実績!$W$6:$W$505,CN$3,実績!$AI$6:$AI$505,"&lt;="&amp;$A38,実績!$AJ$6:$AJ$505,"&gt;"&amp;$A38,実績!$AK$6:$AK$505,"○")&gt;0,1,0))</f>
        <v>0</v>
      </c>
      <c r="CO38" s="39" t="n">
        <f aca="false">IF(CO$4=0,0,IF(COUNTIFS(実績!$W$6:$W$505,CO$3,実績!$AI$6:$AI$505,"&lt;="&amp;$A38,実績!$AJ$6:$AJ$505,"&gt;"&amp;$A38,実績!$AK$6:$AK$505,"○")&gt;0,1,0))</f>
        <v>0</v>
      </c>
      <c r="CP38" s="39" t="n">
        <f aca="false">IF(CP$4=0,0,IF(COUNTIFS(実績!$W$6:$W$505,CP$3,実績!$AI$6:$AI$505,"&lt;="&amp;$A38,実績!$AJ$6:$AJ$505,"&gt;"&amp;$A38,実績!$AK$6:$AK$505,"○")&gt;0,1,0))</f>
        <v>0</v>
      </c>
      <c r="CQ38" s="39" t="n">
        <f aca="false">IF(CQ$4=0,0,IF(COUNTIFS(実績!$W$6:$W$505,CQ$3,実績!$AI$6:$AI$505,"&lt;="&amp;$A38,実績!$AJ$6:$AJ$505,"&gt;"&amp;$A38,実績!$AK$6:$AK$505,"○")&gt;0,1,0))</f>
        <v>0</v>
      </c>
      <c r="CR38" s="39" t="n">
        <f aca="false">IF(CR$4=0,0,IF(COUNTIFS(実績!$W$6:$W$505,CR$3,実績!$AI$6:$AI$505,"&lt;="&amp;$A38,実績!$AJ$6:$AJ$505,"&gt;"&amp;$A38,実績!$AK$6:$AK$505,"○")&gt;0,1,0))</f>
        <v>0</v>
      </c>
      <c r="CS38" s="39" t="n">
        <f aca="false">IF(CS$4=0,0,IF(COUNTIFS(実績!$W$6:$W$505,CS$3,実績!$AI$6:$AI$505,"&lt;="&amp;$A38,実績!$AJ$6:$AJ$505,"&gt;"&amp;$A38,実績!$AK$6:$AK$505,"○")&gt;0,1,0))</f>
        <v>0</v>
      </c>
      <c r="CT38" s="39" t="n">
        <f aca="false">IF(CT$4=0,0,IF(COUNTIFS(実績!$W$6:$W$505,CT$3,実績!$AI$6:$AI$505,"&lt;="&amp;$A38,実績!$AJ$6:$AJ$505,"&gt;"&amp;$A38,実績!$AK$6:$AK$505,"○")&gt;0,1,0))</f>
        <v>0</v>
      </c>
      <c r="CU38" s="39" t="n">
        <f aca="false">IF(CU$4=0,0,IF(COUNTIFS(実績!$W$6:$W$505,CU$3,実績!$AI$6:$AI$505,"&lt;="&amp;$A38,実績!$AJ$6:$AJ$505,"&gt;"&amp;$A38,実績!$AK$6:$AK$505,"○")&gt;0,1,0))</f>
        <v>0</v>
      </c>
      <c r="CV38" s="39" t="n">
        <f aca="false">IF(CV$4=0,0,IF(COUNTIFS(実績!$W$6:$W$505,CV$3,実績!$AI$6:$AI$505,"&lt;="&amp;$A38,実績!$AJ$6:$AJ$505,"&gt;"&amp;$A38,実績!$AK$6:$AK$505,"○")&gt;0,1,0))</f>
        <v>0</v>
      </c>
      <c r="CW38" s="39" t="n">
        <f aca="false">IF(CW$4=0,0,IF(COUNTIFS(実績!$W$6:$W$505,CW$3,実績!$AI$6:$AI$505,"&lt;="&amp;$A38,実績!$AJ$6:$AJ$505,"&gt;"&amp;$A38,実績!$AK$6:$AK$505,"○")&gt;0,1,0))</f>
        <v>0</v>
      </c>
      <c r="CX38" s="39" t="n">
        <f aca="false">IF(CX$4=0,0,IF(COUNTIFS(実績!$W$6:$W$505,CX$3,実績!$AI$6:$AI$505,"&lt;="&amp;$A38,実績!$AJ$6:$AJ$505,"&gt;"&amp;$A38,実績!$AK$6:$AK$505,"○")&gt;0,1,0))</f>
        <v>0</v>
      </c>
      <c r="CY38" s="39" t="n">
        <f aca="false">IF(CY$4=0,0,IF(COUNTIFS(実績!$W$6:$W$505,CY$3,実績!$AI$6:$AI$505,"&lt;="&amp;$A38,実績!$AJ$6:$AJ$505,"&gt;"&amp;$A38,実績!$AK$6:$AK$505,"○")&gt;0,1,0))</f>
        <v>0</v>
      </c>
      <c r="CZ38" s="39" t="n">
        <f aca="false">IF(CZ$4=0,0,IF(COUNTIFS(実績!$W$6:$W$505,CZ$3,実績!$AI$6:$AI$505,"&lt;="&amp;$A38,実績!$AJ$6:$AJ$505,"&gt;"&amp;$A38,実績!$AK$6:$AK$505,"○")&gt;0,1,0))</f>
        <v>0</v>
      </c>
      <c r="DA38" s="39" t="n">
        <f aca="false">IF(DA$4=0,0,IF(COUNTIFS(実績!$W$6:$W$505,DA$3,実績!$AI$6:$AI$505,"&lt;="&amp;$A38,実績!$AJ$6:$AJ$505,"&gt;"&amp;$A38,実績!$AK$6:$AK$505,"○")&gt;0,1,0))</f>
        <v>0</v>
      </c>
      <c r="DB38" s="39" t="n">
        <f aca="false">IF(DB$4=0,0,IF(COUNTIFS(実績!$W$6:$W$505,DB$3,実績!$AI$6:$AI$505,"&lt;="&amp;$A38,実績!$AJ$6:$AJ$505,"&gt;"&amp;$A38,実績!$AK$6:$AK$505,"○")&gt;0,1,0))</f>
        <v>0</v>
      </c>
      <c r="DC38" s="39" t="n">
        <f aca="false">IF(DC$4=0,0,IF(COUNTIFS(実績!$W$6:$W$505,DC$3,実績!$AI$6:$AI$505,"&lt;="&amp;$A38,実績!$AJ$6:$AJ$505,"&gt;"&amp;$A38,実績!$AK$6:$AK$505,"○")&gt;0,1,0))</f>
        <v>0</v>
      </c>
      <c r="DD38" s="39" t="n">
        <f aca="false">IF(DD$4=0,0,IF(COUNTIFS(実績!$W$6:$W$505,DD$3,実績!$AI$6:$AI$505,"&lt;="&amp;$A38,実績!$AJ$6:$AJ$505,"&gt;"&amp;$A38,実績!$AK$6:$AK$505,"○")&gt;0,1,0))</f>
        <v>0</v>
      </c>
      <c r="DE38" s="39" t="n">
        <f aca="false">IF(DE$4=0,0,IF(COUNTIFS(実績!$W$6:$W$505,DE$3,実績!$AI$6:$AI$505,"&lt;="&amp;$A38,実績!$AJ$6:$AJ$505,"&gt;"&amp;$A38,実績!$AK$6:$AK$505,"○")&gt;0,1,0))</f>
        <v>0</v>
      </c>
      <c r="DF38" s="39" t="n">
        <f aca="false">IF(DF$4=0,0,IF(COUNTIFS(実績!$W$6:$W$505,DF$3,実績!$AI$6:$AI$505,"&lt;="&amp;$A38,実績!$AJ$6:$AJ$505,"&gt;"&amp;$A38,実績!$AK$6:$AK$505,"○")&gt;0,1,0))</f>
        <v>0</v>
      </c>
      <c r="DG38" s="39" t="n">
        <f aca="false">IF(DG$4=0,0,IF(COUNTIFS(実績!$W$6:$W$505,DG$3,実績!$AI$6:$AI$505,"&lt;="&amp;$A38,実績!$AJ$6:$AJ$505,"&gt;"&amp;$A38,実績!$AK$6:$AK$505,"○")&gt;0,1,0))</f>
        <v>0</v>
      </c>
      <c r="DH38" s="39" t="n">
        <f aca="false">IF(DH$4=0,0,IF(COUNTIFS(実績!$W$6:$W$505,DH$3,実績!$AI$6:$AI$505,"&lt;="&amp;$A38,実績!$AJ$6:$AJ$505,"&gt;"&amp;$A38,実績!$AK$6:$AK$505,"○")&gt;0,1,0))</f>
        <v>0</v>
      </c>
      <c r="DI38" s="39" t="n">
        <f aca="false">IF(DI$4=0,0,IF(COUNTIFS(実績!$W$6:$W$505,DI$3,実績!$AI$6:$AI$505,"&lt;="&amp;$A38,実績!$AJ$6:$AJ$505,"&gt;"&amp;$A38,実績!$AK$6:$AK$505,"○")&gt;0,1,0))</f>
        <v>0</v>
      </c>
      <c r="DJ38" s="39" t="n">
        <f aca="false">IF(DJ$4=0,0,IF(COUNTIFS(実績!$W$6:$W$505,DJ$3,実績!$AI$6:$AI$505,"&lt;="&amp;$A38,実績!$AJ$6:$AJ$505,"&gt;"&amp;$A38,実績!$AK$6:$AK$505,"○")&gt;0,1,0))</f>
        <v>0</v>
      </c>
      <c r="DK38" s="39" t="n">
        <f aca="false">IF(DK$4=0,0,IF(COUNTIFS(実績!$W$6:$W$505,DK$3,実績!$AI$6:$AI$505,"&lt;="&amp;$A38,実績!$AJ$6:$AJ$505,"&gt;"&amp;$A38,実績!$AK$6:$AK$505,"○")&gt;0,1,0))</f>
        <v>0</v>
      </c>
      <c r="DL38" s="39" t="n">
        <f aca="false">IF(DL$4=0,0,IF(COUNTIFS(実績!$W$6:$W$505,DL$3,実績!$AI$6:$AI$505,"&lt;="&amp;$A38,実績!$AJ$6:$AJ$505,"&gt;"&amp;$A38,実績!$AK$6:$AK$505,"○")&gt;0,1,0))</f>
        <v>0</v>
      </c>
      <c r="DM38" s="39" t="n">
        <f aca="false">IF(DM$4=0,0,IF(COUNTIFS(実績!$W$6:$W$505,DM$3,実績!$AI$6:$AI$505,"&lt;="&amp;$A38,実績!$AJ$6:$AJ$505,"&gt;"&amp;$A38,実績!$AK$6:$AK$505,"○")&gt;0,1,0))</f>
        <v>0</v>
      </c>
      <c r="DN38" s="39" t="n">
        <f aca="false">IF(DN$4=0,0,IF(COUNTIFS(実績!$W$6:$W$505,DN$3,実績!$AI$6:$AI$505,"&lt;="&amp;$A38,実績!$AJ$6:$AJ$505,"&gt;"&amp;$A38,実績!$AK$6:$AK$505,"○")&gt;0,1,0))</f>
        <v>0</v>
      </c>
      <c r="DO38" s="39" t="n">
        <f aca="false">IF(DO$4=0,0,IF(COUNTIFS(実績!$W$6:$W$505,DO$3,実績!$AI$6:$AI$505,"&lt;="&amp;$A38,実績!$AJ$6:$AJ$505,"&gt;"&amp;$A38,実績!$AK$6:$AK$505,"○")&gt;0,1,0))</f>
        <v>0</v>
      </c>
      <c r="DP38" s="39" t="n">
        <f aca="false">IF(DP$4=0,0,IF(COUNTIFS(実績!$W$6:$W$505,DP$3,実績!$AI$6:$AI$505,"&lt;="&amp;$A38,実績!$AJ$6:$AJ$505,"&gt;"&amp;$A38,実績!$AK$6:$AK$505,"○")&gt;0,1,0))</f>
        <v>0</v>
      </c>
      <c r="DQ38" s="39" t="n">
        <f aca="false">IF(DQ$4=0,0,IF(COUNTIFS(実績!$W$6:$W$505,DQ$3,実績!$AI$6:$AI$505,"&lt;="&amp;$A38,実績!$AJ$6:$AJ$505,"&gt;"&amp;$A38,実績!$AK$6:$AK$505,"○")&gt;0,1,0))</f>
        <v>0</v>
      </c>
      <c r="DR38" s="39" t="n">
        <f aca="false">IF(DR$4=0,0,IF(COUNTIFS(実績!$W$6:$W$505,DR$3,実績!$AI$6:$AI$505,"&lt;="&amp;$A38,実績!$AJ$6:$AJ$505,"&gt;"&amp;$A38,実績!$AK$6:$AK$505,"○")&gt;0,1,0))</f>
        <v>0</v>
      </c>
      <c r="DS38" s="39" t="n">
        <f aca="false">SUM(C38:DR38)</f>
        <v>0</v>
      </c>
      <c r="DT38" s="39" t="n">
        <f aca="false">SUMPRODUCT((実績!$C$6:$C$505="○")*ISNUMBER(実績!$AM$6:$AM$505)*(実績!$AM$6:$AM$505&lt;=$A38)*(実績!$AN$6:$AN$505&gt;$A38))</f>
        <v>0</v>
      </c>
      <c r="DU38" s="39" t="n">
        <f aca="false">SUMIF($C$2:$DR$2,"製鉄曳船",C38:DR38)</f>
        <v>0</v>
      </c>
      <c r="DV38" s="39" t="n">
        <f aca="false">SUMIF($C$2:$DR$2,"西日本海運",C38:DR38)</f>
        <v>0</v>
      </c>
    </row>
    <row r="39" customFormat="false" ht="15" hidden="false" customHeight="false" outlineLevel="0" collapsed="false">
      <c r="A39" s="0" t="n">
        <v>165</v>
      </c>
      <c r="B39" s="38" t="n">
        <f aca="false">A39/1440</f>
        <v>0.114583333333333</v>
      </c>
      <c r="C39" s="39" t="n">
        <f aca="false">IF(C$4=0,0,IF(COUNTIFS(実績!$W$6:$W$505,C$3,実績!$AI$6:$AI$505,"&lt;="&amp;$A39,実績!$AJ$6:$AJ$505,"&gt;"&amp;$A39,実績!$AK$6:$AK$505,"○")&gt;0,1,0))</f>
        <v>0</v>
      </c>
      <c r="D39" s="39" t="n">
        <f aca="false">IF(D$4=0,0,IF(COUNTIFS(実績!$W$6:$W$505,D$3,実績!$AI$6:$AI$505,"&lt;="&amp;$A39,実績!$AJ$6:$AJ$505,"&gt;"&amp;$A39,実績!$AK$6:$AK$505,"○")&gt;0,1,0))</f>
        <v>0</v>
      </c>
      <c r="E39" s="39" t="n">
        <f aca="false">IF(E$4=0,0,IF(COUNTIFS(実績!$W$6:$W$505,E$3,実績!$AI$6:$AI$505,"&lt;="&amp;$A39,実績!$AJ$6:$AJ$505,"&gt;"&amp;$A39,実績!$AK$6:$AK$505,"○")&gt;0,1,0))</f>
        <v>0</v>
      </c>
      <c r="F39" s="39" t="n">
        <f aca="false">IF(F$4=0,0,IF(COUNTIFS(実績!$W$6:$W$505,F$3,実績!$AI$6:$AI$505,"&lt;="&amp;$A39,実績!$AJ$6:$AJ$505,"&gt;"&amp;$A39,実績!$AK$6:$AK$505,"○")&gt;0,1,0))</f>
        <v>0</v>
      </c>
      <c r="G39" s="39" t="n">
        <f aca="false">IF(G$4=0,0,IF(COUNTIFS(実績!$W$6:$W$505,G$3,実績!$AI$6:$AI$505,"&lt;="&amp;$A39,実績!$AJ$6:$AJ$505,"&gt;"&amp;$A39,実績!$AK$6:$AK$505,"○")&gt;0,1,0))</f>
        <v>0</v>
      </c>
      <c r="H39" s="39" t="n">
        <f aca="false">IF(H$4=0,0,IF(COUNTIFS(実績!$W$6:$W$505,H$3,実績!$AI$6:$AI$505,"&lt;="&amp;$A39,実績!$AJ$6:$AJ$505,"&gt;"&amp;$A39,実績!$AK$6:$AK$505,"○")&gt;0,1,0))</f>
        <v>0</v>
      </c>
      <c r="I39" s="39" t="n">
        <f aca="false">IF(I$4=0,0,IF(COUNTIFS(実績!$W$6:$W$505,I$3,実績!$AI$6:$AI$505,"&lt;="&amp;$A39,実績!$AJ$6:$AJ$505,"&gt;"&amp;$A39,実績!$AK$6:$AK$505,"○")&gt;0,1,0))</f>
        <v>0</v>
      </c>
      <c r="J39" s="39" t="n">
        <f aca="false">IF(J$4=0,0,IF(COUNTIFS(実績!$W$6:$W$505,J$3,実績!$AI$6:$AI$505,"&lt;="&amp;$A39,実績!$AJ$6:$AJ$505,"&gt;"&amp;$A39,実績!$AK$6:$AK$505,"○")&gt;0,1,0))</f>
        <v>0</v>
      </c>
      <c r="K39" s="39" t="n">
        <f aca="false">IF(K$4=0,0,IF(COUNTIFS(実績!$W$6:$W$505,K$3,実績!$AI$6:$AI$505,"&lt;="&amp;$A39,実績!$AJ$6:$AJ$505,"&gt;"&amp;$A39,実績!$AK$6:$AK$505,"○")&gt;0,1,0))</f>
        <v>0</v>
      </c>
      <c r="L39" s="39" t="n">
        <f aca="false">IF(L$4=0,0,IF(COUNTIFS(実績!$W$6:$W$505,L$3,実績!$AI$6:$AI$505,"&lt;="&amp;$A39,実績!$AJ$6:$AJ$505,"&gt;"&amp;$A39,実績!$AK$6:$AK$505,"○")&gt;0,1,0))</f>
        <v>0</v>
      </c>
      <c r="M39" s="39" t="n">
        <f aca="false">IF(M$4=0,0,IF(COUNTIFS(実績!$W$6:$W$505,M$3,実績!$AI$6:$AI$505,"&lt;="&amp;$A39,実績!$AJ$6:$AJ$505,"&gt;"&amp;$A39,実績!$AK$6:$AK$505,"○")&gt;0,1,0))</f>
        <v>0</v>
      </c>
      <c r="N39" s="39" t="n">
        <f aca="false">IF(N$4=0,0,IF(COUNTIFS(実績!$W$6:$W$505,N$3,実績!$AI$6:$AI$505,"&lt;="&amp;$A39,実績!$AJ$6:$AJ$505,"&gt;"&amp;$A39,実績!$AK$6:$AK$505,"○")&gt;0,1,0))</f>
        <v>0</v>
      </c>
      <c r="O39" s="39" t="n">
        <f aca="false">IF(O$4=0,0,IF(COUNTIFS(実績!$W$6:$W$505,O$3,実績!$AI$6:$AI$505,"&lt;="&amp;$A39,実績!$AJ$6:$AJ$505,"&gt;"&amp;$A39,実績!$AK$6:$AK$505,"○")&gt;0,1,0))</f>
        <v>0</v>
      </c>
      <c r="P39" s="39" t="n">
        <f aca="false">IF(P$4=0,0,IF(COUNTIFS(実績!$W$6:$W$505,P$3,実績!$AI$6:$AI$505,"&lt;="&amp;$A39,実績!$AJ$6:$AJ$505,"&gt;"&amp;$A39,実績!$AK$6:$AK$505,"○")&gt;0,1,0))</f>
        <v>0</v>
      </c>
      <c r="Q39" s="39" t="n">
        <f aca="false">IF(Q$4=0,0,IF(COUNTIFS(実績!$W$6:$W$505,Q$3,実績!$AI$6:$AI$505,"&lt;="&amp;$A39,実績!$AJ$6:$AJ$505,"&gt;"&amp;$A39,実績!$AK$6:$AK$505,"○")&gt;0,1,0))</f>
        <v>0</v>
      </c>
      <c r="R39" s="39" t="n">
        <f aca="false">IF(R$4=0,0,IF(COUNTIFS(実績!$W$6:$W$505,R$3,実績!$AI$6:$AI$505,"&lt;="&amp;$A39,実績!$AJ$6:$AJ$505,"&gt;"&amp;$A39,実績!$AK$6:$AK$505,"○")&gt;0,1,0))</f>
        <v>0</v>
      </c>
      <c r="S39" s="39" t="n">
        <f aca="false">IF(S$4=0,0,IF(COUNTIFS(実績!$W$6:$W$505,S$3,実績!$AI$6:$AI$505,"&lt;="&amp;$A39,実績!$AJ$6:$AJ$505,"&gt;"&amp;$A39,実績!$AK$6:$AK$505,"○")&gt;0,1,0))</f>
        <v>0</v>
      </c>
      <c r="T39" s="39" t="n">
        <f aca="false">IF(T$4=0,0,IF(COUNTIFS(実績!$W$6:$W$505,T$3,実績!$AI$6:$AI$505,"&lt;="&amp;$A39,実績!$AJ$6:$AJ$505,"&gt;"&amp;$A39,実績!$AK$6:$AK$505,"○")&gt;0,1,0))</f>
        <v>0</v>
      </c>
      <c r="U39" s="39" t="n">
        <f aca="false">IF(U$4=0,0,IF(COUNTIFS(実績!$W$6:$W$505,U$3,実績!$AI$6:$AI$505,"&lt;="&amp;$A39,実績!$AJ$6:$AJ$505,"&gt;"&amp;$A39,実績!$AK$6:$AK$505,"○")&gt;0,1,0))</f>
        <v>0</v>
      </c>
      <c r="V39" s="39" t="n">
        <f aca="false">IF(V$4=0,0,IF(COUNTIFS(実績!$W$6:$W$505,V$3,実績!$AI$6:$AI$505,"&lt;="&amp;$A39,実績!$AJ$6:$AJ$505,"&gt;"&amp;$A39,実績!$AK$6:$AK$505,"○")&gt;0,1,0))</f>
        <v>0</v>
      </c>
      <c r="W39" s="39" t="n">
        <f aca="false">IF(W$4=0,0,IF(COUNTIFS(実績!$W$6:$W$505,W$3,実績!$AI$6:$AI$505,"&lt;="&amp;$A39,実績!$AJ$6:$AJ$505,"&gt;"&amp;$A39,実績!$AK$6:$AK$505,"○")&gt;0,1,0))</f>
        <v>0</v>
      </c>
      <c r="X39" s="39" t="n">
        <f aca="false">IF(X$4=0,0,IF(COUNTIFS(実績!$W$6:$W$505,X$3,実績!$AI$6:$AI$505,"&lt;="&amp;$A39,実績!$AJ$6:$AJ$505,"&gt;"&amp;$A39,実績!$AK$6:$AK$505,"○")&gt;0,1,0))</f>
        <v>0</v>
      </c>
      <c r="Y39" s="39" t="n">
        <f aca="false">IF(Y$4=0,0,IF(COUNTIFS(実績!$W$6:$W$505,Y$3,実績!$AI$6:$AI$505,"&lt;="&amp;$A39,実績!$AJ$6:$AJ$505,"&gt;"&amp;$A39,実績!$AK$6:$AK$505,"○")&gt;0,1,0))</f>
        <v>0</v>
      </c>
      <c r="Z39" s="39" t="n">
        <f aca="false">IF(Z$4=0,0,IF(COUNTIFS(実績!$W$6:$W$505,Z$3,実績!$AI$6:$AI$505,"&lt;="&amp;$A39,実績!$AJ$6:$AJ$505,"&gt;"&amp;$A39,実績!$AK$6:$AK$505,"○")&gt;0,1,0))</f>
        <v>0</v>
      </c>
      <c r="AA39" s="39" t="n">
        <f aca="false">IF(AA$4=0,0,IF(COUNTIFS(実績!$W$6:$W$505,AA$3,実績!$AI$6:$AI$505,"&lt;="&amp;$A39,実績!$AJ$6:$AJ$505,"&gt;"&amp;$A39,実績!$AK$6:$AK$505,"○")&gt;0,1,0))</f>
        <v>0</v>
      </c>
      <c r="AB39" s="39" t="n">
        <f aca="false">IF(AB$4=0,0,IF(COUNTIFS(実績!$W$6:$W$505,AB$3,実績!$AI$6:$AI$505,"&lt;="&amp;$A39,実績!$AJ$6:$AJ$505,"&gt;"&amp;$A39,実績!$AK$6:$AK$505,"○")&gt;0,1,0))</f>
        <v>0</v>
      </c>
      <c r="AC39" s="39" t="n">
        <f aca="false">IF(AC$4=0,0,IF(COUNTIFS(実績!$W$6:$W$505,AC$3,実績!$AI$6:$AI$505,"&lt;="&amp;$A39,実績!$AJ$6:$AJ$505,"&gt;"&amp;$A39,実績!$AK$6:$AK$505,"○")&gt;0,1,0))</f>
        <v>0</v>
      </c>
      <c r="AD39" s="39" t="n">
        <f aca="false">IF(AD$4=0,0,IF(COUNTIFS(実績!$W$6:$W$505,AD$3,実績!$AI$6:$AI$505,"&lt;="&amp;$A39,実績!$AJ$6:$AJ$505,"&gt;"&amp;$A39,実績!$AK$6:$AK$505,"○")&gt;0,1,0))</f>
        <v>0</v>
      </c>
      <c r="AE39" s="39" t="n">
        <f aca="false">IF(AE$4=0,0,IF(COUNTIFS(実績!$W$6:$W$505,AE$3,実績!$AI$6:$AI$505,"&lt;="&amp;$A39,実績!$AJ$6:$AJ$505,"&gt;"&amp;$A39,実績!$AK$6:$AK$505,"○")&gt;0,1,0))</f>
        <v>0</v>
      </c>
      <c r="AF39" s="39" t="n">
        <f aca="false">IF(AF$4=0,0,IF(COUNTIFS(実績!$W$6:$W$505,AF$3,実績!$AI$6:$AI$505,"&lt;="&amp;$A39,実績!$AJ$6:$AJ$505,"&gt;"&amp;$A39,実績!$AK$6:$AK$505,"○")&gt;0,1,0))</f>
        <v>0</v>
      </c>
      <c r="AG39" s="39" t="n">
        <f aca="false">IF(AG$4=0,0,IF(COUNTIFS(実績!$W$6:$W$505,AG$3,実績!$AI$6:$AI$505,"&lt;="&amp;$A39,実績!$AJ$6:$AJ$505,"&gt;"&amp;$A39,実績!$AK$6:$AK$505,"○")&gt;0,1,0))</f>
        <v>0</v>
      </c>
      <c r="AH39" s="39" t="n">
        <f aca="false">IF(AH$4=0,0,IF(COUNTIFS(実績!$W$6:$W$505,AH$3,実績!$AI$6:$AI$505,"&lt;="&amp;$A39,実績!$AJ$6:$AJ$505,"&gt;"&amp;$A39,実績!$AK$6:$AK$505,"○")&gt;0,1,0))</f>
        <v>0</v>
      </c>
      <c r="AI39" s="39" t="n">
        <f aca="false">IF(AI$4=0,0,IF(COUNTIFS(実績!$W$6:$W$505,AI$3,実績!$AI$6:$AI$505,"&lt;="&amp;$A39,実績!$AJ$6:$AJ$505,"&gt;"&amp;$A39,実績!$AK$6:$AK$505,"○")&gt;0,1,0))</f>
        <v>0</v>
      </c>
      <c r="AJ39" s="39" t="n">
        <f aca="false">IF(AJ$4=0,0,IF(COUNTIFS(実績!$W$6:$W$505,AJ$3,実績!$AI$6:$AI$505,"&lt;="&amp;$A39,実績!$AJ$6:$AJ$505,"&gt;"&amp;$A39,実績!$AK$6:$AK$505,"○")&gt;0,1,0))</f>
        <v>0</v>
      </c>
      <c r="AK39" s="39" t="n">
        <f aca="false">IF(AK$4=0,0,IF(COUNTIFS(実績!$W$6:$W$505,AK$3,実績!$AI$6:$AI$505,"&lt;="&amp;$A39,実績!$AJ$6:$AJ$505,"&gt;"&amp;$A39,実績!$AK$6:$AK$505,"○")&gt;0,1,0))</f>
        <v>0</v>
      </c>
      <c r="AL39" s="39" t="n">
        <f aca="false">IF(AL$4=0,0,IF(COUNTIFS(実績!$W$6:$W$505,AL$3,実績!$AI$6:$AI$505,"&lt;="&amp;$A39,実績!$AJ$6:$AJ$505,"&gt;"&amp;$A39,実績!$AK$6:$AK$505,"○")&gt;0,1,0))</f>
        <v>0</v>
      </c>
      <c r="AM39" s="39" t="n">
        <f aca="false">IF(AM$4=0,0,IF(COUNTIFS(実績!$W$6:$W$505,AM$3,実績!$AI$6:$AI$505,"&lt;="&amp;$A39,実績!$AJ$6:$AJ$505,"&gt;"&amp;$A39,実績!$AK$6:$AK$505,"○")&gt;0,1,0))</f>
        <v>0</v>
      </c>
      <c r="AN39" s="39" t="n">
        <f aca="false">IF(AN$4=0,0,IF(COUNTIFS(実績!$W$6:$W$505,AN$3,実績!$AI$6:$AI$505,"&lt;="&amp;$A39,実績!$AJ$6:$AJ$505,"&gt;"&amp;$A39,実績!$AK$6:$AK$505,"○")&gt;0,1,0))</f>
        <v>0</v>
      </c>
      <c r="AO39" s="39" t="n">
        <f aca="false">IF(AO$4=0,0,IF(COUNTIFS(実績!$W$6:$W$505,AO$3,実績!$AI$6:$AI$505,"&lt;="&amp;$A39,実績!$AJ$6:$AJ$505,"&gt;"&amp;$A39,実績!$AK$6:$AK$505,"○")&gt;0,1,0))</f>
        <v>0</v>
      </c>
      <c r="AP39" s="39" t="n">
        <f aca="false">IF(AP$4=0,0,IF(COUNTIFS(実績!$W$6:$W$505,AP$3,実績!$AI$6:$AI$505,"&lt;="&amp;$A39,実績!$AJ$6:$AJ$505,"&gt;"&amp;$A39,実績!$AK$6:$AK$505,"○")&gt;0,1,0))</f>
        <v>0</v>
      </c>
      <c r="AQ39" s="39" t="n">
        <f aca="false">IF(AQ$4=0,0,IF(COUNTIFS(実績!$W$6:$W$505,AQ$3,実績!$AI$6:$AI$505,"&lt;="&amp;$A39,実績!$AJ$6:$AJ$505,"&gt;"&amp;$A39,実績!$AK$6:$AK$505,"○")&gt;0,1,0))</f>
        <v>0</v>
      </c>
      <c r="AR39" s="39" t="n">
        <f aca="false">IF(AR$4=0,0,IF(COUNTIFS(実績!$W$6:$W$505,AR$3,実績!$AI$6:$AI$505,"&lt;="&amp;$A39,実績!$AJ$6:$AJ$505,"&gt;"&amp;$A39,実績!$AK$6:$AK$505,"○")&gt;0,1,0))</f>
        <v>0</v>
      </c>
      <c r="AS39" s="39" t="n">
        <f aca="false">IF(AS$4=0,0,IF(COUNTIFS(実績!$W$6:$W$505,AS$3,実績!$AI$6:$AI$505,"&lt;="&amp;$A39,実績!$AJ$6:$AJ$505,"&gt;"&amp;$A39,実績!$AK$6:$AK$505,"○")&gt;0,1,0))</f>
        <v>0</v>
      </c>
      <c r="AT39" s="39" t="n">
        <f aca="false">IF(AT$4=0,0,IF(COUNTIFS(実績!$W$6:$W$505,AT$3,実績!$AI$6:$AI$505,"&lt;="&amp;$A39,実績!$AJ$6:$AJ$505,"&gt;"&amp;$A39,実績!$AK$6:$AK$505,"○")&gt;0,1,0))</f>
        <v>0</v>
      </c>
      <c r="AU39" s="39" t="n">
        <f aca="false">IF(AU$4=0,0,IF(COUNTIFS(実績!$W$6:$W$505,AU$3,実績!$AI$6:$AI$505,"&lt;="&amp;$A39,実績!$AJ$6:$AJ$505,"&gt;"&amp;$A39,実績!$AK$6:$AK$505,"○")&gt;0,1,0))</f>
        <v>0</v>
      </c>
      <c r="AV39" s="39" t="n">
        <f aca="false">IF(AV$4=0,0,IF(COUNTIFS(実績!$W$6:$W$505,AV$3,実績!$AI$6:$AI$505,"&lt;="&amp;$A39,実績!$AJ$6:$AJ$505,"&gt;"&amp;$A39,実績!$AK$6:$AK$505,"○")&gt;0,1,0))</f>
        <v>0</v>
      </c>
      <c r="AW39" s="39" t="n">
        <f aca="false">IF(AW$4=0,0,IF(COUNTIFS(実績!$W$6:$W$505,AW$3,実績!$AI$6:$AI$505,"&lt;="&amp;$A39,実績!$AJ$6:$AJ$505,"&gt;"&amp;$A39,実績!$AK$6:$AK$505,"○")&gt;0,1,0))</f>
        <v>0</v>
      </c>
      <c r="AX39" s="39" t="n">
        <f aca="false">IF(AX$4=0,0,IF(COUNTIFS(実績!$W$6:$W$505,AX$3,実績!$AI$6:$AI$505,"&lt;="&amp;$A39,実績!$AJ$6:$AJ$505,"&gt;"&amp;$A39,実績!$AK$6:$AK$505,"○")&gt;0,1,0))</f>
        <v>0</v>
      </c>
      <c r="AY39" s="39" t="n">
        <f aca="false">IF(AY$4=0,0,IF(COUNTIFS(実績!$W$6:$W$505,AY$3,実績!$AI$6:$AI$505,"&lt;="&amp;$A39,実績!$AJ$6:$AJ$505,"&gt;"&amp;$A39,実績!$AK$6:$AK$505,"○")&gt;0,1,0))</f>
        <v>0</v>
      </c>
      <c r="AZ39" s="39" t="n">
        <f aca="false">IF(AZ$4=0,0,IF(COUNTIFS(実績!$W$6:$W$505,AZ$3,実績!$AI$6:$AI$505,"&lt;="&amp;$A39,実績!$AJ$6:$AJ$505,"&gt;"&amp;$A39,実績!$AK$6:$AK$505,"○")&gt;0,1,0))</f>
        <v>0</v>
      </c>
      <c r="BA39" s="39" t="n">
        <f aca="false">IF(BA$4=0,0,IF(COUNTIFS(実績!$W$6:$W$505,BA$3,実績!$AI$6:$AI$505,"&lt;="&amp;$A39,実績!$AJ$6:$AJ$505,"&gt;"&amp;$A39,実績!$AK$6:$AK$505,"○")&gt;0,1,0))</f>
        <v>0</v>
      </c>
      <c r="BB39" s="39" t="n">
        <f aca="false">IF(BB$4=0,0,IF(COUNTIFS(実績!$W$6:$W$505,BB$3,実績!$AI$6:$AI$505,"&lt;="&amp;$A39,実績!$AJ$6:$AJ$505,"&gt;"&amp;$A39,実績!$AK$6:$AK$505,"○")&gt;0,1,0))</f>
        <v>0</v>
      </c>
      <c r="BC39" s="39" t="n">
        <f aca="false">IF(BC$4=0,0,IF(COUNTIFS(実績!$W$6:$W$505,BC$3,実績!$AI$6:$AI$505,"&lt;="&amp;$A39,実績!$AJ$6:$AJ$505,"&gt;"&amp;$A39,実績!$AK$6:$AK$505,"○")&gt;0,1,0))</f>
        <v>0</v>
      </c>
      <c r="BD39" s="39" t="n">
        <f aca="false">IF(BD$4=0,0,IF(COUNTIFS(実績!$W$6:$W$505,BD$3,実績!$AI$6:$AI$505,"&lt;="&amp;$A39,実績!$AJ$6:$AJ$505,"&gt;"&amp;$A39,実績!$AK$6:$AK$505,"○")&gt;0,1,0))</f>
        <v>0</v>
      </c>
      <c r="BE39" s="39" t="n">
        <f aca="false">IF(BE$4=0,0,IF(COUNTIFS(実績!$W$6:$W$505,BE$3,実績!$AI$6:$AI$505,"&lt;="&amp;$A39,実績!$AJ$6:$AJ$505,"&gt;"&amp;$A39,実績!$AK$6:$AK$505,"○")&gt;0,1,0))</f>
        <v>0</v>
      </c>
      <c r="BF39" s="39" t="n">
        <f aca="false">IF(BF$4=0,0,IF(COUNTIFS(実績!$W$6:$W$505,BF$3,実績!$AI$6:$AI$505,"&lt;="&amp;$A39,実績!$AJ$6:$AJ$505,"&gt;"&amp;$A39,実績!$AK$6:$AK$505,"○")&gt;0,1,0))</f>
        <v>0</v>
      </c>
      <c r="BG39" s="39" t="n">
        <f aca="false">IF(BG$4=0,0,IF(COUNTIFS(実績!$W$6:$W$505,BG$3,実績!$AI$6:$AI$505,"&lt;="&amp;$A39,実績!$AJ$6:$AJ$505,"&gt;"&amp;$A39,実績!$AK$6:$AK$505,"○")&gt;0,1,0))</f>
        <v>0</v>
      </c>
      <c r="BH39" s="39" t="n">
        <f aca="false">IF(BH$4=0,0,IF(COUNTIFS(実績!$W$6:$W$505,BH$3,実績!$AI$6:$AI$505,"&lt;="&amp;$A39,実績!$AJ$6:$AJ$505,"&gt;"&amp;$A39,実績!$AK$6:$AK$505,"○")&gt;0,1,0))</f>
        <v>0</v>
      </c>
      <c r="BI39" s="39" t="n">
        <f aca="false">IF(BI$4=0,0,IF(COUNTIFS(実績!$W$6:$W$505,BI$3,実績!$AI$6:$AI$505,"&lt;="&amp;$A39,実績!$AJ$6:$AJ$505,"&gt;"&amp;$A39,実績!$AK$6:$AK$505,"○")&gt;0,1,0))</f>
        <v>0</v>
      </c>
      <c r="BJ39" s="39" t="n">
        <f aca="false">IF(BJ$4=0,0,IF(COUNTIFS(実績!$W$6:$W$505,BJ$3,実績!$AI$6:$AI$505,"&lt;="&amp;$A39,実績!$AJ$6:$AJ$505,"&gt;"&amp;$A39,実績!$AK$6:$AK$505,"○")&gt;0,1,0))</f>
        <v>0</v>
      </c>
      <c r="BK39" s="39" t="n">
        <f aca="false">IF(BK$4=0,0,IF(COUNTIFS(実績!$W$6:$W$505,BK$3,実績!$AI$6:$AI$505,"&lt;="&amp;$A39,実績!$AJ$6:$AJ$505,"&gt;"&amp;$A39,実績!$AK$6:$AK$505,"○")&gt;0,1,0))</f>
        <v>0</v>
      </c>
      <c r="BL39" s="39" t="n">
        <f aca="false">IF(BL$4=0,0,IF(COUNTIFS(実績!$W$6:$W$505,BL$3,実績!$AI$6:$AI$505,"&lt;="&amp;$A39,実績!$AJ$6:$AJ$505,"&gt;"&amp;$A39,実績!$AK$6:$AK$505,"○")&gt;0,1,0))</f>
        <v>0</v>
      </c>
      <c r="BM39" s="39" t="n">
        <f aca="false">IF(BM$4=0,0,IF(COUNTIFS(実績!$W$6:$W$505,BM$3,実績!$AI$6:$AI$505,"&lt;="&amp;$A39,実績!$AJ$6:$AJ$505,"&gt;"&amp;$A39,実績!$AK$6:$AK$505,"○")&gt;0,1,0))</f>
        <v>0</v>
      </c>
      <c r="BN39" s="39" t="n">
        <f aca="false">IF(BN$4=0,0,IF(COUNTIFS(実績!$W$6:$W$505,BN$3,実績!$AI$6:$AI$505,"&lt;="&amp;$A39,実績!$AJ$6:$AJ$505,"&gt;"&amp;$A39,実績!$AK$6:$AK$505,"○")&gt;0,1,0))</f>
        <v>0</v>
      </c>
      <c r="BO39" s="39" t="n">
        <f aca="false">IF(BO$4=0,0,IF(COUNTIFS(実績!$W$6:$W$505,BO$3,実績!$AI$6:$AI$505,"&lt;="&amp;$A39,実績!$AJ$6:$AJ$505,"&gt;"&amp;$A39,実績!$AK$6:$AK$505,"○")&gt;0,1,0))</f>
        <v>0</v>
      </c>
      <c r="BP39" s="39" t="n">
        <f aca="false">IF(BP$4=0,0,IF(COUNTIFS(実績!$W$6:$W$505,BP$3,実績!$AI$6:$AI$505,"&lt;="&amp;$A39,実績!$AJ$6:$AJ$505,"&gt;"&amp;$A39,実績!$AK$6:$AK$505,"○")&gt;0,1,0))</f>
        <v>0</v>
      </c>
      <c r="BQ39" s="39" t="n">
        <f aca="false">IF(BQ$4=0,0,IF(COUNTIFS(実績!$W$6:$W$505,BQ$3,実績!$AI$6:$AI$505,"&lt;="&amp;$A39,実績!$AJ$6:$AJ$505,"&gt;"&amp;$A39,実績!$AK$6:$AK$505,"○")&gt;0,1,0))</f>
        <v>0</v>
      </c>
      <c r="BR39" s="39" t="n">
        <f aca="false">IF(BR$4=0,0,IF(COUNTIFS(実績!$W$6:$W$505,BR$3,実績!$AI$6:$AI$505,"&lt;="&amp;$A39,実績!$AJ$6:$AJ$505,"&gt;"&amp;$A39,実績!$AK$6:$AK$505,"○")&gt;0,1,0))</f>
        <v>0</v>
      </c>
      <c r="BS39" s="39" t="n">
        <f aca="false">IF(BS$4=0,0,IF(COUNTIFS(実績!$W$6:$W$505,BS$3,実績!$AI$6:$AI$505,"&lt;="&amp;$A39,実績!$AJ$6:$AJ$505,"&gt;"&amp;$A39,実績!$AK$6:$AK$505,"○")&gt;0,1,0))</f>
        <v>0</v>
      </c>
      <c r="BT39" s="39" t="n">
        <f aca="false">IF(BT$4=0,0,IF(COUNTIFS(実績!$W$6:$W$505,BT$3,実績!$AI$6:$AI$505,"&lt;="&amp;$A39,実績!$AJ$6:$AJ$505,"&gt;"&amp;$A39,実績!$AK$6:$AK$505,"○")&gt;0,1,0))</f>
        <v>0</v>
      </c>
      <c r="BU39" s="39" t="n">
        <f aca="false">IF(BU$4=0,0,IF(COUNTIFS(実績!$W$6:$W$505,BU$3,実績!$AI$6:$AI$505,"&lt;="&amp;$A39,実績!$AJ$6:$AJ$505,"&gt;"&amp;$A39,実績!$AK$6:$AK$505,"○")&gt;0,1,0))</f>
        <v>0</v>
      </c>
      <c r="BV39" s="39" t="n">
        <f aca="false">IF(BV$4=0,0,IF(COUNTIFS(実績!$W$6:$W$505,BV$3,実績!$AI$6:$AI$505,"&lt;="&amp;$A39,実績!$AJ$6:$AJ$505,"&gt;"&amp;$A39,実績!$AK$6:$AK$505,"○")&gt;0,1,0))</f>
        <v>0</v>
      </c>
      <c r="BW39" s="39" t="n">
        <f aca="false">IF(BW$4=0,0,IF(COUNTIFS(実績!$W$6:$W$505,BW$3,実績!$AI$6:$AI$505,"&lt;="&amp;$A39,実績!$AJ$6:$AJ$505,"&gt;"&amp;$A39,実績!$AK$6:$AK$505,"○")&gt;0,1,0))</f>
        <v>0</v>
      </c>
      <c r="BX39" s="39" t="n">
        <f aca="false">IF(BX$4=0,0,IF(COUNTIFS(実績!$W$6:$W$505,BX$3,実績!$AI$6:$AI$505,"&lt;="&amp;$A39,実績!$AJ$6:$AJ$505,"&gt;"&amp;$A39,実績!$AK$6:$AK$505,"○")&gt;0,1,0))</f>
        <v>0</v>
      </c>
      <c r="BY39" s="39" t="n">
        <f aca="false">IF(BY$4=0,0,IF(COUNTIFS(実績!$W$6:$W$505,BY$3,実績!$AI$6:$AI$505,"&lt;="&amp;$A39,実績!$AJ$6:$AJ$505,"&gt;"&amp;$A39,実績!$AK$6:$AK$505,"○")&gt;0,1,0))</f>
        <v>0</v>
      </c>
      <c r="BZ39" s="39" t="n">
        <f aca="false">IF(BZ$4=0,0,IF(COUNTIFS(実績!$W$6:$W$505,BZ$3,実績!$AI$6:$AI$505,"&lt;="&amp;$A39,実績!$AJ$6:$AJ$505,"&gt;"&amp;$A39,実績!$AK$6:$AK$505,"○")&gt;0,1,0))</f>
        <v>0</v>
      </c>
      <c r="CA39" s="39" t="n">
        <f aca="false">IF(CA$4=0,0,IF(COUNTIFS(実績!$W$6:$W$505,CA$3,実績!$AI$6:$AI$505,"&lt;="&amp;$A39,実績!$AJ$6:$AJ$505,"&gt;"&amp;$A39,実績!$AK$6:$AK$505,"○")&gt;0,1,0))</f>
        <v>0</v>
      </c>
      <c r="CB39" s="39" t="n">
        <f aca="false">IF(CB$4=0,0,IF(COUNTIFS(実績!$W$6:$W$505,CB$3,実績!$AI$6:$AI$505,"&lt;="&amp;$A39,実績!$AJ$6:$AJ$505,"&gt;"&amp;$A39,実績!$AK$6:$AK$505,"○")&gt;0,1,0))</f>
        <v>0</v>
      </c>
      <c r="CC39" s="39" t="n">
        <f aca="false">IF(CC$4=0,0,IF(COUNTIFS(実績!$W$6:$W$505,CC$3,実績!$AI$6:$AI$505,"&lt;="&amp;$A39,実績!$AJ$6:$AJ$505,"&gt;"&amp;$A39,実績!$AK$6:$AK$505,"○")&gt;0,1,0))</f>
        <v>0</v>
      </c>
      <c r="CD39" s="39" t="n">
        <f aca="false">IF(CD$4=0,0,IF(COUNTIFS(実績!$W$6:$W$505,CD$3,実績!$AI$6:$AI$505,"&lt;="&amp;$A39,実績!$AJ$6:$AJ$505,"&gt;"&amp;$A39,実績!$AK$6:$AK$505,"○")&gt;0,1,0))</f>
        <v>0</v>
      </c>
      <c r="CE39" s="39" t="n">
        <f aca="false">IF(CE$4=0,0,IF(COUNTIFS(実績!$W$6:$W$505,CE$3,実績!$AI$6:$AI$505,"&lt;="&amp;$A39,実績!$AJ$6:$AJ$505,"&gt;"&amp;$A39,実績!$AK$6:$AK$505,"○")&gt;0,1,0))</f>
        <v>0</v>
      </c>
      <c r="CF39" s="39" t="n">
        <f aca="false">IF(CF$4=0,0,IF(COUNTIFS(実績!$W$6:$W$505,CF$3,実績!$AI$6:$AI$505,"&lt;="&amp;$A39,実績!$AJ$6:$AJ$505,"&gt;"&amp;$A39,実績!$AK$6:$AK$505,"○")&gt;0,1,0))</f>
        <v>0</v>
      </c>
      <c r="CG39" s="39" t="n">
        <f aca="false">IF(CG$4=0,0,IF(COUNTIFS(実績!$W$6:$W$505,CG$3,実績!$AI$6:$AI$505,"&lt;="&amp;$A39,実績!$AJ$6:$AJ$505,"&gt;"&amp;$A39,実績!$AK$6:$AK$505,"○")&gt;0,1,0))</f>
        <v>0</v>
      </c>
      <c r="CH39" s="39" t="n">
        <f aca="false">IF(CH$4=0,0,IF(COUNTIFS(実績!$W$6:$W$505,CH$3,実績!$AI$6:$AI$505,"&lt;="&amp;$A39,実績!$AJ$6:$AJ$505,"&gt;"&amp;$A39,実績!$AK$6:$AK$505,"○")&gt;0,1,0))</f>
        <v>0</v>
      </c>
      <c r="CI39" s="39" t="n">
        <f aca="false">IF(CI$4=0,0,IF(COUNTIFS(実績!$W$6:$W$505,CI$3,実績!$AI$6:$AI$505,"&lt;="&amp;$A39,実績!$AJ$6:$AJ$505,"&gt;"&amp;$A39,実績!$AK$6:$AK$505,"○")&gt;0,1,0))</f>
        <v>0</v>
      </c>
      <c r="CJ39" s="39" t="n">
        <f aca="false">IF(CJ$4=0,0,IF(COUNTIFS(実績!$W$6:$W$505,CJ$3,実績!$AI$6:$AI$505,"&lt;="&amp;$A39,実績!$AJ$6:$AJ$505,"&gt;"&amp;$A39,実績!$AK$6:$AK$505,"○")&gt;0,1,0))</f>
        <v>0</v>
      </c>
      <c r="CK39" s="39" t="n">
        <f aca="false">IF(CK$4=0,0,IF(COUNTIFS(実績!$W$6:$W$505,CK$3,実績!$AI$6:$AI$505,"&lt;="&amp;$A39,実績!$AJ$6:$AJ$505,"&gt;"&amp;$A39,実績!$AK$6:$AK$505,"○")&gt;0,1,0))</f>
        <v>0</v>
      </c>
      <c r="CL39" s="39" t="n">
        <f aca="false">IF(CL$4=0,0,IF(COUNTIFS(実績!$W$6:$W$505,CL$3,実績!$AI$6:$AI$505,"&lt;="&amp;$A39,実績!$AJ$6:$AJ$505,"&gt;"&amp;$A39,実績!$AK$6:$AK$505,"○")&gt;0,1,0))</f>
        <v>0</v>
      </c>
      <c r="CM39" s="39" t="n">
        <f aca="false">IF(CM$4=0,0,IF(COUNTIFS(実績!$W$6:$W$505,CM$3,実績!$AI$6:$AI$505,"&lt;="&amp;$A39,実績!$AJ$6:$AJ$505,"&gt;"&amp;$A39,実績!$AK$6:$AK$505,"○")&gt;0,1,0))</f>
        <v>0</v>
      </c>
      <c r="CN39" s="39" t="n">
        <f aca="false">IF(CN$4=0,0,IF(COUNTIFS(実績!$W$6:$W$505,CN$3,実績!$AI$6:$AI$505,"&lt;="&amp;$A39,実績!$AJ$6:$AJ$505,"&gt;"&amp;$A39,実績!$AK$6:$AK$505,"○")&gt;0,1,0))</f>
        <v>0</v>
      </c>
      <c r="CO39" s="39" t="n">
        <f aca="false">IF(CO$4=0,0,IF(COUNTIFS(実績!$W$6:$W$505,CO$3,実績!$AI$6:$AI$505,"&lt;="&amp;$A39,実績!$AJ$6:$AJ$505,"&gt;"&amp;$A39,実績!$AK$6:$AK$505,"○")&gt;0,1,0))</f>
        <v>0</v>
      </c>
      <c r="CP39" s="39" t="n">
        <f aca="false">IF(CP$4=0,0,IF(COUNTIFS(実績!$W$6:$W$505,CP$3,実績!$AI$6:$AI$505,"&lt;="&amp;$A39,実績!$AJ$6:$AJ$505,"&gt;"&amp;$A39,実績!$AK$6:$AK$505,"○")&gt;0,1,0))</f>
        <v>0</v>
      </c>
      <c r="CQ39" s="39" t="n">
        <f aca="false">IF(CQ$4=0,0,IF(COUNTIFS(実績!$W$6:$W$505,CQ$3,実績!$AI$6:$AI$505,"&lt;="&amp;$A39,実績!$AJ$6:$AJ$505,"&gt;"&amp;$A39,実績!$AK$6:$AK$505,"○")&gt;0,1,0))</f>
        <v>0</v>
      </c>
      <c r="CR39" s="39" t="n">
        <f aca="false">IF(CR$4=0,0,IF(COUNTIFS(実績!$W$6:$W$505,CR$3,実績!$AI$6:$AI$505,"&lt;="&amp;$A39,実績!$AJ$6:$AJ$505,"&gt;"&amp;$A39,実績!$AK$6:$AK$505,"○")&gt;0,1,0))</f>
        <v>0</v>
      </c>
      <c r="CS39" s="39" t="n">
        <f aca="false">IF(CS$4=0,0,IF(COUNTIFS(実績!$W$6:$W$505,CS$3,実績!$AI$6:$AI$505,"&lt;="&amp;$A39,実績!$AJ$6:$AJ$505,"&gt;"&amp;$A39,実績!$AK$6:$AK$505,"○")&gt;0,1,0))</f>
        <v>0</v>
      </c>
      <c r="CT39" s="39" t="n">
        <f aca="false">IF(CT$4=0,0,IF(COUNTIFS(実績!$W$6:$W$505,CT$3,実績!$AI$6:$AI$505,"&lt;="&amp;$A39,実績!$AJ$6:$AJ$505,"&gt;"&amp;$A39,実績!$AK$6:$AK$505,"○")&gt;0,1,0))</f>
        <v>0</v>
      </c>
      <c r="CU39" s="39" t="n">
        <f aca="false">IF(CU$4=0,0,IF(COUNTIFS(実績!$W$6:$W$505,CU$3,実績!$AI$6:$AI$505,"&lt;="&amp;$A39,実績!$AJ$6:$AJ$505,"&gt;"&amp;$A39,実績!$AK$6:$AK$505,"○")&gt;0,1,0))</f>
        <v>0</v>
      </c>
      <c r="CV39" s="39" t="n">
        <f aca="false">IF(CV$4=0,0,IF(COUNTIFS(実績!$W$6:$W$505,CV$3,実績!$AI$6:$AI$505,"&lt;="&amp;$A39,実績!$AJ$6:$AJ$505,"&gt;"&amp;$A39,実績!$AK$6:$AK$505,"○")&gt;0,1,0))</f>
        <v>0</v>
      </c>
      <c r="CW39" s="39" t="n">
        <f aca="false">IF(CW$4=0,0,IF(COUNTIFS(実績!$W$6:$W$505,CW$3,実績!$AI$6:$AI$505,"&lt;="&amp;$A39,実績!$AJ$6:$AJ$505,"&gt;"&amp;$A39,実績!$AK$6:$AK$505,"○")&gt;0,1,0))</f>
        <v>0</v>
      </c>
      <c r="CX39" s="39" t="n">
        <f aca="false">IF(CX$4=0,0,IF(COUNTIFS(実績!$W$6:$W$505,CX$3,実績!$AI$6:$AI$505,"&lt;="&amp;$A39,実績!$AJ$6:$AJ$505,"&gt;"&amp;$A39,実績!$AK$6:$AK$505,"○")&gt;0,1,0))</f>
        <v>0</v>
      </c>
      <c r="CY39" s="39" t="n">
        <f aca="false">IF(CY$4=0,0,IF(COUNTIFS(実績!$W$6:$W$505,CY$3,実績!$AI$6:$AI$505,"&lt;="&amp;$A39,実績!$AJ$6:$AJ$505,"&gt;"&amp;$A39,実績!$AK$6:$AK$505,"○")&gt;0,1,0))</f>
        <v>0</v>
      </c>
      <c r="CZ39" s="39" t="n">
        <f aca="false">IF(CZ$4=0,0,IF(COUNTIFS(実績!$W$6:$W$505,CZ$3,実績!$AI$6:$AI$505,"&lt;="&amp;$A39,実績!$AJ$6:$AJ$505,"&gt;"&amp;$A39,実績!$AK$6:$AK$505,"○")&gt;0,1,0))</f>
        <v>0</v>
      </c>
      <c r="DA39" s="39" t="n">
        <f aca="false">IF(DA$4=0,0,IF(COUNTIFS(実績!$W$6:$W$505,DA$3,実績!$AI$6:$AI$505,"&lt;="&amp;$A39,実績!$AJ$6:$AJ$505,"&gt;"&amp;$A39,実績!$AK$6:$AK$505,"○")&gt;0,1,0))</f>
        <v>0</v>
      </c>
      <c r="DB39" s="39" t="n">
        <f aca="false">IF(DB$4=0,0,IF(COUNTIFS(実績!$W$6:$W$505,DB$3,実績!$AI$6:$AI$505,"&lt;="&amp;$A39,実績!$AJ$6:$AJ$505,"&gt;"&amp;$A39,実績!$AK$6:$AK$505,"○")&gt;0,1,0))</f>
        <v>0</v>
      </c>
      <c r="DC39" s="39" t="n">
        <f aca="false">IF(DC$4=0,0,IF(COUNTIFS(実績!$W$6:$W$505,DC$3,実績!$AI$6:$AI$505,"&lt;="&amp;$A39,実績!$AJ$6:$AJ$505,"&gt;"&amp;$A39,実績!$AK$6:$AK$505,"○")&gt;0,1,0))</f>
        <v>0</v>
      </c>
      <c r="DD39" s="39" t="n">
        <f aca="false">IF(DD$4=0,0,IF(COUNTIFS(実績!$W$6:$W$505,DD$3,実績!$AI$6:$AI$505,"&lt;="&amp;$A39,実績!$AJ$6:$AJ$505,"&gt;"&amp;$A39,実績!$AK$6:$AK$505,"○")&gt;0,1,0))</f>
        <v>0</v>
      </c>
      <c r="DE39" s="39" t="n">
        <f aca="false">IF(DE$4=0,0,IF(COUNTIFS(実績!$W$6:$W$505,DE$3,実績!$AI$6:$AI$505,"&lt;="&amp;$A39,実績!$AJ$6:$AJ$505,"&gt;"&amp;$A39,実績!$AK$6:$AK$505,"○")&gt;0,1,0))</f>
        <v>0</v>
      </c>
      <c r="DF39" s="39" t="n">
        <f aca="false">IF(DF$4=0,0,IF(COUNTIFS(実績!$W$6:$W$505,DF$3,実績!$AI$6:$AI$505,"&lt;="&amp;$A39,実績!$AJ$6:$AJ$505,"&gt;"&amp;$A39,実績!$AK$6:$AK$505,"○")&gt;0,1,0))</f>
        <v>0</v>
      </c>
      <c r="DG39" s="39" t="n">
        <f aca="false">IF(DG$4=0,0,IF(COUNTIFS(実績!$W$6:$W$505,DG$3,実績!$AI$6:$AI$505,"&lt;="&amp;$A39,実績!$AJ$6:$AJ$505,"&gt;"&amp;$A39,実績!$AK$6:$AK$505,"○")&gt;0,1,0))</f>
        <v>0</v>
      </c>
      <c r="DH39" s="39" t="n">
        <f aca="false">IF(DH$4=0,0,IF(COUNTIFS(実績!$W$6:$W$505,DH$3,実績!$AI$6:$AI$505,"&lt;="&amp;$A39,実績!$AJ$6:$AJ$505,"&gt;"&amp;$A39,実績!$AK$6:$AK$505,"○")&gt;0,1,0))</f>
        <v>0</v>
      </c>
      <c r="DI39" s="39" t="n">
        <f aca="false">IF(DI$4=0,0,IF(COUNTIFS(実績!$W$6:$W$505,DI$3,実績!$AI$6:$AI$505,"&lt;="&amp;$A39,実績!$AJ$6:$AJ$505,"&gt;"&amp;$A39,実績!$AK$6:$AK$505,"○")&gt;0,1,0))</f>
        <v>0</v>
      </c>
      <c r="DJ39" s="39" t="n">
        <f aca="false">IF(DJ$4=0,0,IF(COUNTIFS(実績!$W$6:$W$505,DJ$3,実績!$AI$6:$AI$505,"&lt;="&amp;$A39,実績!$AJ$6:$AJ$505,"&gt;"&amp;$A39,実績!$AK$6:$AK$505,"○")&gt;0,1,0))</f>
        <v>0</v>
      </c>
      <c r="DK39" s="39" t="n">
        <f aca="false">IF(DK$4=0,0,IF(COUNTIFS(実績!$W$6:$W$505,DK$3,実績!$AI$6:$AI$505,"&lt;="&amp;$A39,実績!$AJ$6:$AJ$505,"&gt;"&amp;$A39,実績!$AK$6:$AK$505,"○")&gt;0,1,0))</f>
        <v>0</v>
      </c>
      <c r="DL39" s="39" t="n">
        <f aca="false">IF(DL$4=0,0,IF(COUNTIFS(実績!$W$6:$W$505,DL$3,実績!$AI$6:$AI$505,"&lt;="&amp;$A39,実績!$AJ$6:$AJ$505,"&gt;"&amp;$A39,実績!$AK$6:$AK$505,"○")&gt;0,1,0))</f>
        <v>0</v>
      </c>
      <c r="DM39" s="39" t="n">
        <f aca="false">IF(DM$4=0,0,IF(COUNTIFS(実績!$W$6:$W$505,DM$3,実績!$AI$6:$AI$505,"&lt;="&amp;$A39,実績!$AJ$6:$AJ$505,"&gt;"&amp;$A39,実績!$AK$6:$AK$505,"○")&gt;0,1,0))</f>
        <v>0</v>
      </c>
      <c r="DN39" s="39" t="n">
        <f aca="false">IF(DN$4=0,0,IF(COUNTIFS(実績!$W$6:$W$505,DN$3,実績!$AI$6:$AI$505,"&lt;="&amp;$A39,実績!$AJ$6:$AJ$505,"&gt;"&amp;$A39,実績!$AK$6:$AK$505,"○")&gt;0,1,0))</f>
        <v>0</v>
      </c>
      <c r="DO39" s="39" t="n">
        <f aca="false">IF(DO$4=0,0,IF(COUNTIFS(実績!$W$6:$W$505,DO$3,実績!$AI$6:$AI$505,"&lt;="&amp;$A39,実績!$AJ$6:$AJ$505,"&gt;"&amp;$A39,実績!$AK$6:$AK$505,"○")&gt;0,1,0))</f>
        <v>0</v>
      </c>
      <c r="DP39" s="39" t="n">
        <f aca="false">IF(DP$4=0,0,IF(COUNTIFS(実績!$W$6:$W$505,DP$3,実績!$AI$6:$AI$505,"&lt;="&amp;$A39,実績!$AJ$6:$AJ$505,"&gt;"&amp;$A39,実績!$AK$6:$AK$505,"○")&gt;0,1,0))</f>
        <v>0</v>
      </c>
      <c r="DQ39" s="39" t="n">
        <f aca="false">IF(DQ$4=0,0,IF(COUNTIFS(実績!$W$6:$W$505,DQ$3,実績!$AI$6:$AI$505,"&lt;="&amp;$A39,実績!$AJ$6:$AJ$505,"&gt;"&amp;$A39,実績!$AK$6:$AK$505,"○")&gt;0,1,0))</f>
        <v>0</v>
      </c>
      <c r="DR39" s="39" t="n">
        <f aca="false">IF(DR$4=0,0,IF(COUNTIFS(実績!$W$6:$W$505,DR$3,実績!$AI$6:$AI$505,"&lt;="&amp;$A39,実績!$AJ$6:$AJ$505,"&gt;"&amp;$A39,実績!$AK$6:$AK$505,"○")&gt;0,1,0))</f>
        <v>0</v>
      </c>
      <c r="DS39" s="39" t="n">
        <f aca="false">SUM(C39:DR39)</f>
        <v>0</v>
      </c>
      <c r="DT39" s="39" t="n">
        <f aca="false">SUMPRODUCT((実績!$C$6:$C$505="○")*ISNUMBER(実績!$AM$6:$AM$505)*(実績!$AM$6:$AM$505&lt;=$A39)*(実績!$AN$6:$AN$505&gt;$A39))</f>
        <v>0</v>
      </c>
      <c r="DU39" s="39" t="n">
        <f aca="false">SUMIF($C$2:$DR$2,"製鉄曳船",C39:DR39)</f>
        <v>0</v>
      </c>
      <c r="DV39" s="39" t="n">
        <f aca="false">SUMIF($C$2:$DR$2,"西日本海運",C39:DR39)</f>
        <v>0</v>
      </c>
    </row>
    <row r="40" customFormat="false" ht="15" hidden="false" customHeight="false" outlineLevel="0" collapsed="false">
      <c r="A40" s="0" t="n">
        <v>170</v>
      </c>
      <c r="B40" s="38" t="n">
        <f aca="false">A40/1440</f>
        <v>0.118055555555556</v>
      </c>
      <c r="C40" s="39" t="n">
        <f aca="false">IF(C$4=0,0,IF(COUNTIFS(実績!$W$6:$W$505,C$3,実績!$AI$6:$AI$505,"&lt;="&amp;$A40,実績!$AJ$6:$AJ$505,"&gt;"&amp;$A40,実績!$AK$6:$AK$505,"○")&gt;0,1,0))</f>
        <v>0</v>
      </c>
      <c r="D40" s="39" t="n">
        <f aca="false">IF(D$4=0,0,IF(COUNTIFS(実績!$W$6:$W$505,D$3,実績!$AI$6:$AI$505,"&lt;="&amp;$A40,実績!$AJ$6:$AJ$505,"&gt;"&amp;$A40,実績!$AK$6:$AK$505,"○")&gt;0,1,0))</f>
        <v>0</v>
      </c>
      <c r="E40" s="39" t="n">
        <f aca="false">IF(E$4=0,0,IF(COUNTIFS(実績!$W$6:$W$505,E$3,実績!$AI$6:$AI$505,"&lt;="&amp;$A40,実績!$AJ$6:$AJ$505,"&gt;"&amp;$A40,実績!$AK$6:$AK$505,"○")&gt;0,1,0))</f>
        <v>0</v>
      </c>
      <c r="F40" s="39" t="n">
        <f aca="false">IF(F$4=0,0,IF(COUNTIFS(実績!$W$6:$W$505,F$3,実績!$AI$6:$AI$505,"&lt;="&amp;$A40,実績!$AJ$6:$AJ$505,"&gt;"&amp;$A40,実績!$AK$6:$AK$505,"○")&gt;0,1,0))</f>
        <v>0</v>
      </c>
      <c r="G40" s="39" t="n">
        <f aca="false">IF(G$4=0,0,IF(COUNTIFS(実績!$W$6:$W$505,G$3,実績!$AI$6:$AI$505,"&lt;="&amp;$A40,実績!$AJ$6:$AJ$505,"&gt;"&amp;$A40,実績!$AK$6:$AK$505,"○")&gt;0,1,0))</f>
        <v>0</v>
      </c>
      <c r="H40" s="39" t="n">
        <f aca="false">IF(H$4=0,0,IF(COUNTIFS(実績!$W$6:$W$505,H$3,実績!$AI$6:$AI$505,"&lt;="&amp;$A40,実績!$AJ$6:$AJ$505,"&gt;"&amp;$A40,実績!$AK$6:$AK$505,"○")&gt;0,1,0))</f>
        <v>0</v>
      </c>
      <c r="I40" s="39" t="n">
        <f aca="false">IF(I$4=0,0,IF(COUNTIFS(実績!$W$6:$W$505,I$3,実績!$AI$6:$AI$505,"&lt;="&amp;$A40,実績!$AJ$6:$AJ$505,"&gt;"&amp;$A40,実績!$AK$6:$AK$505,"○")&gt;0,1,0))</f>
        <v>0</v>
      </c>
      <c r="J40" s="39" t="n">
        <f aca="false">IF(J$4=0,0,IF(COUNTIFS(実績!$W$6:$W$505,J$3,実績!$AI$6:$AI$505,"&lt;="&amp;$A40,実績!$AJ$6:$AJ$505,"&gt;"&amp;$A40,実績!$AK$6:$AK$505,"○")&gt;0,1,0))</f>
        <v>0</v>
      </c>
      <c r="K40" s="39" t="n">
        <f aca="false">IF(K$4=0,0,IF(COUNTIFS(実績!$W$6:$W$505,K$3,実績!$AI$6:$AI$505,"&lt;="&amp;$A40,実績!$AJ$6:$AJ$505,"&gt;"&amp;$A40,実績!$AK$6:$AK$505,"○")&gt;0,1,0))</f>
        <v>0</v>
      </c>
      <c r="L40" s="39" t="n">
        <f aca="false">IF(L$4=0,0,IF(COUNTIFS(実績!$W$6:$W$505,L$3,実績!$AI$6:$AI$505,"&lt;="&amp;$A40,実績!$AJ$6:$AJ$505,"&gt;"&amp;$A40,実績!$AK$6:$AK$505,"○")&gt;0,1,0))</f>
        <v>0</v>
      </c>
      <c r="M40" s="39" t="n">
        <f aca="false">IF(M$4=0,0,IF(COUNTIFS(実績!$W$6:$W$505,M$3,実績!$AI$6:$AI$505,"&lt;="&amp;$A40,実績!$AJ$6:$AJ$505,"&gt;"&amp;$A40,実績!$AK$6:$AK$505,"○")&gt;0,1,0))</f>
        <v>0</v>
      </c>
      <c r="N40" s="39" t="n">
        <f aca="false">IF(N$4=0,0,IF(COUNTIFS(実績!$W$6:$W$505,N$3,実績!$AI$6:$AI$505,"&lt;="&amp;$A40,実績!$AJ$6:$AJ$505,"&gt;"&amp;$A40,実績!$AK$6:$AK$505,"○")&gt;0,1,0))</f>
        <v>0</v>
      </c>
      <c r="O40" s="39" t="n">
        <f aca="false">IF(O$4=0,0,IF(COUNTIFS(実績!$W$6:$W$505,O$3,実績!$AI$6:$AI$505,"&lt;="&amp;$A40,実績!$AJ$6:$AJ$505,"&gt;"&amp;$A40,実績!$AK$6:$AK$505,"○")&gt;0,1,0))</f>
        <v>0</v>
      </c>
      <c r="P40" s="39" t="n">
        <f aca="false">IF(P$4=0,0,IF(COUNTIFS(実績!$W$6:$W$505,P$3,実績!$AI$6:$AI$505,"&lt;="&amp;$A40,実績!$AJ$6:$AJ$505,"&gt;"&amp;$A40,実績!$AK$6:$AK$505,"○")&gt;0,1,0))</f>
        <v>0</v>
      </c>
      <c r="Q40" s="39" t="n">
        <f aca="false">IF(Q$4=0,0,IF(COUNTIFS(実績!$W$6:$W$505,Q$3,実績!$AI$6:$AI$505,"&lt;="&amp;$A40,実績!$AJ$6:$AJ$505,"&gt;"&amp;$A40,実績!$AK$6:$AK$505,"○")&gt;0,1,0))</f>
        <v>0</v>
      </c>
      <c r="R40" s="39" t="n">
        <f aca="false">IF(R$4=0,0,IF(COUNTIFS(実績!$W$6:$W$505,R$3,実績!$AI$6:$AI$505,"&lt;="&amp;$A40,実績!$AJ$6:$AJ$505,"&gt;"&amp;$A40,実績!$AK$6:$AK$505,"○")&gt;0,1,0))</f>
        <v>0</v>
      </c>
      <c r="S40" s="39" t="n">
        <f aca="false">IF(S$4=0,0,IF(COUNTIFS(実績!$W$6:$W$505,S$3,実績!$AI$6:$AI$505,"&lt;="&amp;$A40,実績!$AJ$6:$AJ$505,"&gt;"&amp;$A40,実績!$AK$6:$AK$505,"○")&gt;0,1,0))</f>
        <v>0</v>
      </c>
      <c r="T40" s="39" t="n">
        <f aca="false">IF(T$4=0,0,IF(COUNTIFS(実績!$W$6:$W$505,T$3,実績!$AI$6:$AI$505,"&lt;="&amp;$A40,実績!$AJ$6:$AJ$505,"&gt;"&amp;$A40,実績!$AK$6:$AK$505,"○")&gt;0,1,0))</f>
        <v>0</v>
      </c>
      <c r="U40" s="39" t="n">
        <f aca="false">IF(U$4=0,0,IF(COUNTIFS(実績!$W$6:$W$505,U$3,実績!$AI$6:$AI$505,"&lt;="&amp;$A40,実績!$AJ$6:$AJ$505,"&gt;"&amp;$A40,実績!$AK$6:$AK$505,"○")&gt;0,1,0))</f>
        <v>0</v>
      </c>
      <c r="V40" s="39" t="n">
        <f aca="false">IF(V$4=0,0,IF(COUNTIFS(実績!$W$6:$W$505,V$3,実績!$AI$6:$AI$505,"&lt;="&amp;$A40,実績!$AJ$6:$AJ$505,"&gt;"&amp;$A40,実績!$AK$6:$AK$505,"○")&gt;0,1,0))</f>
        <v>0</v>
      </c>
      <c r="W40" s="39" t="n">
        <f aca="false">IF(W$4=0,0,IF(COUNTIFS(実績!$W$6:$W$505,W$3,実績!$AI$6:$AI$505,"&lt;="&amp;$A40,実績!$AJ$6:$AJ$505,"&gt;"&amp;$A40,実績!$AK$6:$AK$505,"○")&gt;0,1,0))</f>
        <v>0</v>
      </c>
      <c r="X40" s="39" t="n">
        <f aca="false">IF(X$4=0,0,IF(COUNTIFS(実績!$W$6:$W$505,X$3,実績!$AI$6:$AI$505,"&lt;="&amp;$A40,実績!$AJ$6:$AJ$505,"&gt;"&amp;$A40,実績!$AK$6:$AK$505,"○")&gt;0,1,0))</f>
        <v>0</v>
      </c>
      <c r="Y40" s="39" t="n">
        <f aca="false">IF(Y$4=0,0,IF(COUNTIFS(実績!$W$6:$W$505,Y$3,実績!$AI$6:$AI$505,"&lt;="&amp;$A40,実績!$AJ$6:$AJ$505,"&gt;"&amp;$A40,実績!$AK$6:$AK$505,"○")&gt;0,1,0))</f>
        <v>0</v>
      </c>
      <c r="Z40" s="39" t="n">
        <f aca="false">IF(Z$4=0,0,IF(COUNTIFS(実績!$W$6:$W$505,Z$3,実績!$AI$6:$AI$505,"&lt;="&amp;$A40,実績!$AJ$6:$AJ$505,"&gt;"&amp;$A40,実績!$AK$6:$AK$505,"○")&gt;0,1,0))</f>
        <v>0</v>
      </c>
      <c r="AA40" s="39" t="n">
        <f aca="false">IF(AA$4=0,0,IF(COUNTIFS(実績!$W$6:$W$505,AA$3,実績!$AI$6:$AI$505,"&lt;="&amp;$A40,実績!$AJ$6:$AJ$505,"&gt;"&amp;$A40,実績!$AK$6:$AK$505,"○")&gt;0,1,0))</f>
        <v>0</v>
      </c>
      <c r="AB40" s="39" t="n">
        <f aca="false">IF(AB$4=0,0,IF(COUNTIFS(実績!$W$6:$W$505,AB$3,実績!$AI$6:$AI$505,"&lt;="&amp;$A40,実績!$AJ$6:$AJ$505,"&gt;"&amp;$A40,実績!$AK$6:$AK$505,"○")&gt;0,1,0))</f>
        <v>0</v>
      </c>
      <c r="AC40" s="39" t="n">
        <f aca="false">IF(AC$4=0,0,IF(COUNTIFS(実績!$W$6:$W$505,AC$3,実績!$AI$6:$AI$505,"&lt;="&amp;$A40,実績!$AJ$6:$AJ$505,"&gt;"&amp;$A40,実績!$AK$6:$AK$505,"○")&gt;0,1,0))</f>
        <v>0</v>
      </c>
      <c r="AD40" s="39" t="n">
        <f aca="false">IF(AD$4=0,0,IF(COUNTIFS(実績!$W$6:$W$505,AD$3,実績!$AI$6:$AI$505,"&lt;="&amp;$A40,実績!$AJ$6:$AJ$505,"&gt;"&amp;$A40,実績!$AK$6:$AK$505,"○")&gt;0,1,0))</f>
        <v>0</v>
      </c>
      <c r="AE40" s="39" t="n">
        <f aca="false">IF(AE$4=0,0,IF(COUNTIFS(実績!$W$6:$W$505,AE$3,実績!$AI$6:$AI$505,"&lt;="&amp;$A40,実績!$AJ$6:$AJ$505,"&gt;"&amp;$A40,実績!$AK$6:$AK$505,"○")&gt;0,1,0))</f>
        <v>0</v>
      </c>
      <c r="AF40" s="39" t="n">
        <f aca="false">IF(AF$4=0,0,IF(COUNTIFS(実績!$W$6:$W$505,AF$3,実績!$AI$6:$AI$505,"&lt;="&amp;$A40,実績!$AJ$6:$AJ$505,"&gt;"&amp;$A40,実績!$AK$6:$AK$505,"○")&gt;0,1,0))</f>
        <v>0</v>
      </c>
      <c r="AG40" s="39" t="n">
        <f aca="false">IF(AG$4=0,0,IF(COUNTIFS(実績!$W$6:$W$505,AG$3,実績!$AI$6:$AI$505,"&lt;="&amp;$A40,実績!$AJ$6:$AJ$505,"&gt;"&amp;$A40,実績!$AK$6:$AK$505,"○")&gt;0,1,0))</f>
        <v>0</v>
      </c>
      <c r="AH40" s="39" t="n">
        <f aca="false">IF(AH$4=0,0,IF(COUNTIFS(実績!$W$6:$W$505,AH$3,実績!$AI$6:$AI$505,"&lt;="&amp;$A40,実績!$AJ$6:$AJ$505,"&gt;"&amp;$A40,実績!$AK$6:$AK$505,"○")&gt;0,1,0))</f>
        <v>0</v>
      </c>
      <c r="AI40" s="39" t="n">
        <f aca="false">IF(AI$4=0,0,IF(COUNTIFS(実績!$W$6:$W$505,AI$3,実績!$AI$6:$AI$505,"&lt;="&amp;$A40,実績!$AJ$6:$AJ$505,"&gt;"&amp;$A40,実績!$AK$6:$AK$505,"○")&gt;0,1,0))</f>
        <v>0</v>
      </c>
      <c r="AJ40" s="39" t="n">
        <f aca="false">IF(AJ$4=0,0,IF(COUNTIFS(実績!$W$6:$W$505,AJ$3,実績!$AI$6:$AI$505,"&lt;="&amp;$A40,実績!$AJ$6:$AJ$505,"&gt;"&amp;$A40,実績!$AK$6:$AK$505,"○")&gt;0,1,0))</f>
        <v>0</v>
      </c>
      <c r="AK40" s="39" t="n">
        <f aca="false">IF(AK$4=0,0,IF(COUNTIFS(実績!$W$6:$W$505,AK$3,実績!$AI$6:$AI$505,"&lt;="&amp;$A40,実績!$AJ$6:$AJ$505,"&gt;"&amp;$A40,実績!$AK$6:$AK$505,"○")&gt;0,1,0))</f>
        <v>0</v>
      </c>
      <c r="AL40" s="39" t="n">
        <f aca="false">IF(AL$4=0,0,IF(COUNTIFS(実績!$W$6:$W$505,AL$3,実績!$AI$6:$AI$505,"&lt;="&amp;$A40,実績!$AJ$6:$AJ$505,"&gt;"&amp;$A40,実績!$AK$6:$AK$505,"○")&gt;0,1,0))</f>
        <v>0</v>
      </c>
      <c r="AM40" s="39" t="n">
        <f aca="false">IF(AM$4=0,0,IF(COUNTIFS(実績!$W$6:$W$505,AM$3,実績!$AI$6:$AI$505,"&lt;="&amp;$A40,実績!$AJ$6:$AJ$505,"&gt;"&amp;$A40,実績!$AK$6:$AK$505,"○")&gt;0,1,0))</f>
        <v>0</v>
      </c>
      <c r="AN40" s="39" t="n">
        <f aca="false">IF(AN$4=0,0,IF(COUNTIFS(実績!$W$6:$W$505,AN$3,実績!$AI$6:$AI$505,"&lt;="&amp;$A40,実績!$AJ$6:$AJ$505,"&gt;"&amp;$A40,実績!$AK$6:$AK$505,"○")&gt;0,1,0))</f>
        <v>0</v>
      </c>
      <c r="AO40" s="39" t="n">
        <f aca="false">IF(AO$4=0,0,IF(COUNTIFS(実績!$W$6:$W$505,AO$3,実績!$AI$6:$AI$505,"&lt;="&amp;$A40,実績!$AJ$6:$AJ$505,"&gt;"&amp;$A40,実績!$AK$6:$AK$505,"○")&gt;0,1,0))</f>
        <v>0</v>
      </c>
      <c r="AP40" s="39" t="n">
        <f aca="false">IF(AP$4=0,0,IF(COUNTIFS(実績!$W$6:$W$505,AP$3,実績!$AI$6:$AI$505,"&lt;="&amp;$A40,実績!$AJ$6:$AJ$505,"&gt;"&amp;$A40,実績!$AK$6:$AK$505,"○")&gt;0,1,0))</f>
        <v>0</v>
      </c>
      <c r="AQ40" s="39" t="n">
        <f aca="false">IF(AQ$4=0,0,IF(COUNTIFS(実績!$W$6:$W$505,AQ$3,実績!$AI$6:$AI$505,"&lt;="&amp;$A40,実績!$AJ$6:$AJ$505,"&gt;"&amp;$A40,実績!$AK$6:$AK$505,"○")&gt;0,1,0))</f>
        <v>0</v>
      </c>
      <c r="AR40" s="39" t="n">
        <f aca="false">IF(AR$4=0,0,IF(COUNTIFS(実績!$W$6:$W$505,AR$3,実績!$AI$6:$AI$505,"&lt;="&amp;$A40,実績!$AJ$6:$AJ$505,"&gt;"&amp;$A40,実績!$AK$6:$AK$505,"○")&gt;0,1,0))</f>
        <v>0</v>
      </c>
      <c r="AS40" s="39" t="n">
        <f aca="false">IF(AS$4=0,0,IF(COUNTIFS(実績!$W$6:$W$505,AS$3,実績!$AI$6:$AI$505,"&lt;="&amp;$A40,実績!$AJ$6:$AJ$505,"&gt;"&amp;$A40,実績!$AK$6:$AK$505,"○")&gt;0,1,0))</f>
        <v>0</v>
      </c>
      <c r="AT40" s="39" t="n">
        <f aca="false">IF(AT$4=0,0,IF(COUNTIFS(実績!$W$6:$W$505,AT$3,実績!$AI$6:$AI$505,"&lt;="&amp;$A40,実績!$AJ$6:$AJ$505,"&gt;"&amp;$A40,実績!$AK$6:$AK$505,"○")&gt;0,1,0))</f>
        <v>0</v>
      </c>
      <c r="AU40" s="39" t="n">
        <f aca="false">IF(AU$4=0,0,IF(COUNTIFS(実績!$W$6:$W$505,AU$3,実績!$AI$6:$AI$505,"&lt;="&amp;$A40,実績!$AJ$6:$AJ$505,"&gt;"&amp;$A40,実績!$AK$6:$AK$505,"○")&gt;0,1,0))</f>
        <v>0</v>
      </c>
      <c r="AV40" s="39" t="n">
        <f aca="false">IF(AV$4=0,0,IF(COUNTIFS(実績!$W$6:$W$505,AV$3,実績!$AI$6:$AI$505,"&lt;="&amp;$A40,実績!$AJ$6:$AJ$505,"&gt;"&amp;$A40,実績!$AK$6:$AK$505,"○")&gt;0,1,0))</f>
        <v>0</v>
      </c>
      <c r="AW40" s="39" t="n">
        <f aca="false">IF(AW$4=0,0,IF(COUNTIFS(実績!$W$6:$W$505,AW$3,実績!$AI$6:$AI$505,"&lt;="&amp;$A40,実績!$AJ$6:$AJ$505,"&gt;"&amp;$A40,実績!$AK$6:$AK$505,"○")&gt;0,1,0))</f>
        <v>0</v>
      </c>
      <c r="AX40" s="39" t="n">
        <f aca="false">IF(AX$4=0,0,IF(COUNTIFS(実績!$W$6:$W$505,AX$3,実績!$AI$6:$AI$505,"&lt;="&amp;$A40,実績!$AJ$6:$AJ$505,"&gt;"&amp;$A40,実績!$AK$6:$AK$505,"○")&gt;0,1,0))</f>
        <v>0</v>
      </c>
      <c r="AY40" s="39" t="n">
        <f aca="false">IF(AY$4=0,0,IF(COUNTIFS(実績!$W$6:$W$505,AY$3,実績!$AI$6:$AI$505,"&lt;="&amp;$A40,実績!$AJ$6:$AJ$505,"&gt;"&amp;$A40,実績!$AK$6:$AK$505,"○")&gt;0,1,0))</f>
        <v>0</v>
      </c>
      <c r="AZ40" s="39" t="n">
        <f aca="false">IF(AZ$4=0,0,IF(COUNTIFS(実績!$W$6:$W$505,AZ$3,実績!$AI$6:$AI$505,"&lt;="&amp;$A40,実績!$AJ$6:$AJ$505,"&gt;"&amp;$A40,実績!$AK$6:$AK$505,"○")&gt;0,1,0))</f>
        <v>0</v>
      </c>
      <c r="BA40" s="39" t="n">
        <f aca="false">IF(BA$4=0,0,IF(COUNTIFS(実績!$W$6:$W$505,BA$3,実績!$AI$6:$AI$505,"&lt;="&amp;$A40,実績!$AJ$6:$AJ$505,"&gt;"&amp;$A40,実績!$AK$6:$AK$505,"○")&gt;0,1,0))</f>
        <v>0</v>
      </c>
      <c r="BB40" s="39" t="n">
        <f aca="false">IF(BB$4=0,0,IF(COUNTIFS(実績!$W$6:$W$505,BB$3,実績!$AI$6:$AI$505,"&lt;="&amp;$A40,実績!$AJ$6:$AJ$505,"&gt;"&amp;$A40,実績!$AK$6:$AK$505,"○")&gt;0,1,0))</f>
        <v>0</v>
      </c>
      <c r="BC40" s="39" t="n">
        <f aca="false">IF(BC$4=0,0,IF(COUNTIFS(実績!$W$6:$W$505,BC$3,実績!$AI$6:$AI$505,"&lt;="&amp;$A40,実績!$AJ$6:$AJ$505,"&gt;"&amp;$A40,実績!$AK$6:$AK$505,"○")&gt;0,1,0))</f>
        <v>0</v>
      </c>
      <c r="BD40" s="39" t="n">
        <f aca="false">IF(BD$4=0,0,IF(COUNTIFS(実績!$W$6:$W$505,BD$3,実績!$AI$6:$AI$505,"&lt;="&amp;$A40,実績!$AJ$6:$AJ$505,"&gt;"&amp;$A40,実績!$AK$6:$AK$505,"○")&gt;0,1,0))</f>
        <v>0</v>
      </c>
      <c r="BE40" s="39" t="n">
        <f aca="false">IF(BE$4=0,0,IF(COUNTIFS(実績!$W$6:$W$505,BE$3,実績!$AI$6:$AI$505,"&lt;="&amp;$A40,実績!$AJ$6:$AJ$505,"&gt;"&amp;$A40,実績!$AK$6:$AK$505,"○")&gt;0,1,0))</f>
        <v>0</v>
      </c>
      <c r="BF40" s="39" t="n">
        <f aca="false">IF(BF$4=0,0,IF(COUNTIFS(実績!$W$6:$W$505,BF$3,実績!$AI$6:$AI$505,"&lt;="&amp;$A40,実績!$AJ$6:$AJ$505,"&gt;"&amp;$A40,実績!$AK$6:$AK$505,"○")&gt;0,1,0))</f>
        <v>0</v>
      </c>
      <c r="BG40" s="39" t="n">
        <f aca="false">IF(BG$4=0,0,IF(COUNTIFS(実績!$W$6:$W$505,BG$3,実績!$AI$6:$AI$505,"&lt;="&amp;$A40,実績!$AJ$6:$AJ$505,"&gt;"&amp;$A40,実績!$AK$6:$AK$505,"○")&gt;0,1,0))</f>
        <v>0</v>
      </c>
      <c r="BH40" s="39" t="n">
        <f aca="false">IF(BH$4=0,0,IF(COUNTIFS(実績!$W$6:$W$505,BH$3,実績!$AI$6:$AI$505,"&lt;="&amp;$A40,実績!$AJ$6:$AJ$505,"&gt;"&amp;$A40,実績!$AK$6:$AK$505,"○")&gt;0,1,0))</f>
        <v>0</v>
      </c>
      <c r="BI40" s="39" t="n">
        <f aca="false">IF(BI$4=0,0,IF(COUNTIFS(実績!$W$6:$W$505,BI$3,実績!$AI$6:$AI$505,"&lt;="&amp;$A40,実績!$AJ$6:$AJ$505,"&gt;"&amp;$A40,実績!$AK$6:$AK$505,"○")&gt;0,1,0))</f>
        <v>0</v>
      </c>
      <c r="BJ40" s="39" t="n">
        <f aca="false">IF(BJ$4=0,0,IF(COUNTIFS(実績!$W$6:$W$505,BJ$3,実績!$AI$6:$AI$505,"&lt;="&amp;$A40,実績!$AJ$6:$AJ$505,"&gt;"&amp;$A40,実績!$AK$6:$AK$505,"○")&gt;0,1,0))</f>
        <v>0</v>
      </c>
      <c r="BK40" s="39" t="n">
        <f aca="false">IF(BK$4=0,0,IF(COUNTIFS(実績!$W$6:$W$505,BK$3,実績!$AI$6:$AI$505,"&lt;="&amp;$A40,実績!$AJ$6:$AJ$505,"&gt;"&amp;$A40,実績!$AK$6:$AK$505,"○")&gt;0,1,0))</f>
        <v>0</v>
      </c>
      <c r="BL40" s="39" t="n">
        <f aca="false">IF(BL$4=0,0,IF(COUNTIFS(実績!$W$6:$W$505,BL$3,実績!$AI$6:$AI$505,"&lt;="&amp;$A40,実績!$AJ$6:$AJ$505,"&gt;"&amp;$A40,実績!$AK$6:$AK$505,"○")&gt;0,1,0))</f>
        <v>0</v>
      </c>
      <c r="BM40" s="39" t="n">
        <f aca="false">IF(BM$4=0,0,IF(COUNTIFS(実績!$W$6:$W$505,BM$3,実績!$AI$6:$AI$505,"&lt;="&amp;$A40,実績!$AJ$6:$AJ$505,"&gt;"&amp;$A40,実績!$AK$6:$AK$505,"○")&gt;0,1,0))</f>
        <v>0</v>
      </c>
      <c r="BN40" s="39" t="n">
        <f aca="false">IF(BN$4=0,0,IF(COUNTIFS(実績!$W$6:$W$505,BN$3,実績!$AI$6:$AI$505,"&lt;="&amp;$A40,実績!$AJ$6:$AJ$505,"&gt;"&amp;$A40,実績!$AK$6:$AK$505,"○")&gt;0,1,0))</f>
        <v>0</v>
      </c>
      <c r="BO40" s="39" t="n">
        <f aca="false">IF(BO$4=0,0,IF(COUNTIFS(実績!$W$6:$W$505,BO$3,実績!$AI$6:$AI$505,"&lt;="&amp;$A40,実績!$AJ$6:$AJ$505,"&gt;"&amp;$A40,実績!$AK$6:$AK$505,"○")&gt;0,1,0))</f>
        <v>0</v>
      </c>
      <c r="BP40" s="39" t="n">
        <f aca="false">IF(BP$4=0,0,IF(COUNTIFS(実績!$W$6:$W$505,BP$3,実績!$AI$6:$AI$505,"&lt;="&amp;$A40,実績!$AJ$6:$AJ$505,"&gt;"&amp;$A40,実績!$AK$6:$AK$505,"○")&gt;0,1,0))</f>
        <v>0</v>
      </c>
      <c r="BQ40" s="39" t="n">
        <f aca="false">IF(BQ$4=0,0,IF(COUNTIFS(実績!$W$6:$W$505,BQ$3,実績!$AI$6:$AI$505,"&lt;="&amp;$A40,実績!$AJ$6:$AJ$505,"&gt;"&amp;$A40,実績!$AK$6:$AK$505,"○")&gt;0,1,0))</f>
        <v>0</v>
      </c>
      <c r="BR40" s="39" t="n">
        <f aca="false">IF(BR$4=0,0,IF(COUNTIFS(実績!$W$6:$W$505,BR$3,実績!$AI$6:$AI$505,"&lt;="&amp;$A40,実績!$AJ$6:$AJ$505,"&gt;"&amp;$A40,実績!$AK$6:$AK$505,"○")&gt;0,1,0))</f>
        <v>0</v>
      </c>
      <c r="BS40" s="39" t="n">
        <f aca="false">IF(BS$4=0,0,IF(COUNTIFS(実績!$W$6:$W$505,BS$3,実績!$AI$6:$AI$505,"&lt;="&amp;$A40,実績!$AJ$6:$AJ$505,"&gt;"&amp;$A40,実績!$AK$6:$AK$505,"○")&gt;0,1,0))</f>
        <v>0</v>
      </c>
      <c r="BT40" s="39" t="n">
        <f aca="false">IF(BT$4=0,0,IF(COUNTIFS(実績!$W$6:$W$505,BT$3,実績!$AI$6:$AI$505,"&lt;="&amp;$A40,実績!$AJ$6:$AJ$505,"&gt;"&amp;$A40,実績!$AK$6:$AK$505,"○")&gt;0,1,0))</f>
        <v>0</v>
      </c>
      <c r="BU40" s="39" t="n">
        <f aca="false">IF(BU$4=0,0,IF(COUNTIFS(実績!$W$6:$W$505,BU$3,実績!$AI$6:$AI$505,"&lt;="&amp;$A40,実績!$AJ$6:$AJ$505,"&gt;"&amp;$A40,実績!$AK$6:$AK$505,"○")&gt;0,1,0))</f>
        <v>0</v>
      </c>
      <c r="BV40" s="39" t="n">
        <f aca="false">IF(BV$4=0,0,IF(COUNTIFS(実績!$W$6:$W$505,BV$3,実績!$AI$6:$AI$505,"&lt;="&amp;$A40,実績!$AJ$6:$AJ$505,"&gt;"&amp;$A40,実績!$AK$6:$AK$505,"○")&gt;0,1,0))</f>
        <v>0</v>
      </c>
      <c r="BW40" s="39" t="n">
        <f aca="false">IF(BW$4=0,0,IF(COUNTIFS(実績!$W$6:$W$505,BW$3,実績!$AI$6:$AI$505,"&lt;="&amp;$A40,実績!$AJ$6:$AJ$505,"&gt;"&amp;$A40,実績!$AK$6:$AK$505,"○")&gt;0,1,0))</f>
        <v>0</v>
      </c>
      <c r="BX40" s="39" t="n">
        <f aca="false">IF(BX$4=0,0,IF(COUNTIFS(実績!$W$6:$W$505,BX$3,実績!$AI$6:$AI$505,"&lt;="&amp;$A40,実績!$AJ$6:$AJ$505,"&gt;"&amp;$A40,実績!$AK$6:$AK$505,"○")&gt;0,1,0))</f>
        <v>0</v>
      </c>
      <c r="BY40" s="39" t="n">
        <f aca="false">IF(BY$4=0,0,IF(COUNTIFS(実績!$W$6:$W$505,BY$3,実績!$AI$6:$AI$505,"&lt;="&amp;$A40,実績!$AJ$6:$AJ$505,"&gt;"&amp;$A40,実績!$AK$6:$AK$505,"○")&gt;0,1,0))</f>
        <v>0</v>
      </c>
      <c r="BZ40" s="39" t="n">
        <f aca="false">IF(BZ$4=0,0,IF(COUNTIFS(実績!$W$6:$W$505,BZ$3,実績!$AI$6:$AI$505,"&lt;="&amp;$A40,実績!$AJ$6:$AJ$505,"&gt;"&amp;$A40,実績!$AK$6:$AK$505,"○")&gt;0,1,0))</f>
        <v>0</v>
      </c>
      <c r="CA40" s="39" t="n">
        <f aca="false">IF(CA$4=0,0,IF(COUNTIFS(実績!$W$6:$W$505,CA$3,実績!$AI$6:$AI$505,"&lt;="&amp;$A40,実績!$AJ$6:$AJ$505,"&gt;"&amp;$A40,実績!$AK$6:$AK$505,"○")&gt;0,1,0))</f>
        <v>0</v>
      </c>
      <c r="CB40" s="39" t="n">
        <f aca="false">IF(CB$4=0,0,IF(COUNTIFS(実績!$W$6:$W$505,CB$3,実績!$AI$6:$AI$505,"&lt;="&amp;$A40,実績!$AJ$6:$AJ$505,"&gt;"&amp;$A40,実績!$AK$6:$AK$505,"○")&gt;0,1,0))</f>
        <v>0</v>
      </c>
      <c r="CC40" s="39" t="n">
        <f aca="false">IF(CC$4=0,0,IF(COUNTIFS(実績!$W$6:$W$505,CC$3,実績!$AI$6:$AI$505,"&lt;="&amp;$A40,実績!$AJ$6:$AJ$505,"&gt;"&amp;$A40,実績!$AK$6:$AK$505,"○")&gt;0,1,0))</f>
        <v>0</v>
      </c>
      <c r="CD40" s="39" t="n">
        <f aca="false">IF(CD$4=0,0,IF(COUNTIFS(実績!$W$6:$W$505,CD$3,実績!$AI$6:$AI$505,"&lt;="&amp;$A40,実績!$AJ$6:$AJ$505,"&gt;"&amp;$A40,実績!$AK$6:$AK$505,"○")&gt;0,1,0))</f>
        <v>0</v>
      </c>
      <c r="CE40" s="39" t="n">
        <f aca="false">IF(CE$4=0,0,IF(COUNTIFS(実績!$W$6:$W$505,CE$3,実績!$AI$6:$AI$505,"&lt;="&amp;$A40,実績!$AJ$6:$AJ$505,"&gt;"&amp;$A40,実績!$AK$6:$AK$505,"○")&gt;0,1,0))</f>
        <v>0</v>
      </c>
      <c r="CF40" s="39" t="n">
        <f aca="false">IF(CF$4=0,0,IF(COUNTIFS(実績!$W$6:$W$505,CF$3,実績!$AI$6:$AI$505,"&lt;="&amp;$A40,実績!$AJ$6:$AJ$505,"&gt;"&amp;$A40,実績!$AK$6:$AK$505,"○")&gt;0,1,0))</f>
        <v>0</v>
      </c>
      <c r="CG40" s="39" t="n">
        <f aca="false">IF(CG$4=0,0,IF(COUNTIFS(実績!$W$6:$W$505,CG$3,実績!$AI$6:$AI$505,"&lt;="&amp;$A40,実績!$AJ$6:$AJ$505,"&gt;"&amp;$A40,実績!$AK$6:$AK$505,"○")&gt;0,1,0))</f>
        <v>0</v>
      </c>
      <c r="CH40" s="39" t="n">
        <f aca="false">IF(CH$4=0,0,IF(COUNTIFS(実績!$W$6:$W$505,CH$3,実績!$AI$6:$AI$505,"&lt;="&amp;$A40,実績!$AJ$6:$AJ$505,"&gt;"&amp;$A40,実績!$AK$6:$AK$505,"○")&gt;0,1,0))</f>
        <v>0</v>
      </c>
      <c r="CI40" s="39" t="n">
        <f aca="false">IF(CI$4=0,0,IF(COUNTIFS(実績!$W$6:$W$505,CI$3,実績!$AI$6:$AI$505,"&lt;="&amp;$A40,実績!$AJ$6:$AJ$505,"&gt;"&amp;$A40,実績!$AK$6:$AK$505,"○")&gt;0,1,0))</f>
        <v>0</v>
      </c>
      <c r="CJ40" s="39" t="n">
        <f aca="false">IF(CJ$4=0,0,IF(COUNTIFS(実績!$W$6:$W$505,CJ$3,実績!$AI$6:$AI$505,"&lt;="&amp;$A40,実績!$AJ$6:$AJ$505,"&gt;"&amp;$A40,実績!$AK$6:$AK$505,"○")&gt;0,1,0))</f>
        <v>0</v>
      </c>
      <c r="CK40" s="39" t="n">
        <f aca="false">IF(CK$4=0,0,IF(COUNTIFS(実績!$W$6:$W$505,CK$3,実績!$AI$6:$AI$505,"&lt;="&amp;$A40,実績!$AJ$6:$AJ$505,"&gt;"&amp;$A40,実績!$AK$6:$AK$505,"○")&gt;0,1,0))</f>
        <v>0</v>
      </c>
      <c r="CL40" s="39" t="n">
        <f aca="false">IF(CL$4=0,0,IF(COUNTIFS(実績!$W$6:$W$505,CL$3,実績!$AI$6:$AI$505,"&lt;="&amp;$A40,実績!$AJ$6:$AJ$505,"&gt;"&amp;$A40,実績!$AK$6:$AK$505,"○")&gt;0,1,0))</f>
        <v>0</v>
      </c>
      <c r="CM40" s="39" t="n">
        <f aca="false">IF(CM$4=0,0,IF(COUNTIFS(実績!$W$6:$W$505,CM$3,実績!$AI$6:$AI$505,"&lt;="&amp;$A40,実績!$AJ$6:$AJ$505,"&gt;"&amp;$A40,実績!$AK$6:$AK$505,"○")&gt;0,1,0))</f>
        <v>0</v>
      </c>
      <c r="CN40" s="39" t="n">
        <f aca="false">IF(CN$4=0,0,IF(COUNTIFS(実績!$W$6:$W$505,CN$3,実績!$AI$6:$AI$505,"&lt;="&amp;$A40,実績!$AJ$6:$AJ$505,"&gt;"&amp;$A40,実績!$AK$6:$AK$505,"○")&gt;0,1,0))</f>
        <v>0</v>
      </c>
      <c r="CO40" s="39" t="n">
        <f aca="false">IF(CO$4=0,0,IF(COUNTIFS(実績!$W$6:$W$505,CO$3,実績!$AI$6:$AI$505,"&lt;="&amp;$A40,実績!$AJ$6:$AJ$505,"&gt;"&amp;$A40,実績!$AK$6:$AK$505,"○")&gt;0,1,0))</f>
        <v>0</v>
      </c>
      <c r="CP40" s="39" t="n">
        <f aca="false">IF(CP$4=0,0,IF(COUNTIFS(実績!$W$6:$W$505,CP$3,実績!$AI$6:$AI$505,"&lt;="&amp;$A40,実績!$AJ$6:$AJ$505,"&gt;"&amp;$A40,実績!$AK$6:$AK$505,"○")&gt;0,1,0))</f>
        <v>0</v>
      </c>
      <c r="CQ40" s="39" t="n">
        <f aca="false">IF(CQ$4=0,0,IF(COUNTIFS(実績!$W$6:$W$505,CQ$3,実績!$AI$6:$AI$505,"&lt;="&amp;$A40,実績!$AJ$6:$AJ$505,"&gt;"&amp;$A40,実績!$AK$6:$AK$505,"○")&gt;0,1,0))</f>
        <v>0</v>
      </c>
      <c r="CR40" s="39" t="n">
        <f aca="false">IF(CR$4=0,0,IF(COUNTIFS(実績!$W$6:$W$505,CR$3,実績!$AI$6:$AI$505,"&lt;="&amp;$A40,実績!$AJ$6:$AJ$505,"&gt;"&amp;$A40,実績!$AK$6:$AK$505,"○")&gt;0,1,0))</f>
        <v>0</v>
      </c>
      <c r="CS40" s="39" t="n">
        <f aca="false">IF(CS$4=0,0,IF(COUNTIFS(実績!$W$6:$W$505,CS$3,実績!$AI$6:$AI$505,"&lt;="&amp;$A40,実績!$AJ$6:$AJ$505,"&gt;"&amp;$A40,実績!$AK$6:$AK$505,"○")&gt;0,1,0))</f>
        <v>0</v>
      </c>
      <c r="CT40" s="39" t="n">
        <f aca="false">IF(CT$4=0,0,IF(COUNTIFS(実績!$W$6:$W$505,CT$3,実績!$AI$6:$AI$505,"&lt;="&amp;$A40,実績!$AJ$6:$AJ$505,"&gt;"&amp;$A40,実績!$AK$6:$AK$505,"○")&gt;0,1,0))</f>
        <v>0</v>
      </c>
      <c r="CU40" s="39" t="n">
        <f aca="false">IF(CU$4=0,0,IF(COUNTIFS(実績!$W$6:$W$505,CU$3,実績!$AI$6:$AI$505,"&lt;="&amp;$A40,実績!$AJ$6:$AJ$505,"&gt;"&amp;$A40,実績!$AK$6:$AK$505,"○")&gt;0,1,0))</f>
        <v>0</v>
      </c>
      <c r="CV40" s="39" t="n">
        <f aca="false">IF(CV$4=0,0,IF(COUNTIFS(実績!$W$6:$W$505,CV$3,実績!$AI$6:$AI$505,"&lt;="&amp;$A40,実績!$AJ$6:$AJ$505,"&gt;"&amp;$A40,実績!$AK$6:$AK$505,"○")&gt;0,1,0))</f>
        <v>0</v>
      </c>
      <c r="CW40" s="39" t="n">
        <f aca="false">IF(CW$4=0,0,IF(COUNTIFS(実績!$W$6:$W$505,CW$3,実績!$AI$6:$AI$505,"&lt;="&amp;$A40,実績!$AJ$6:$AJ$505,"&gt;"&amp;$A40,実績!$AK$6:$AK$505,"○")&gt;0,1,0))</f>
        <v>0</v>
      </c>
      <c r="CX40" s="39" t="n">
        <f aca="false">IF(CX$4=0,0,IF(COUNTIFS(実績!$W$6:$W$505,CX$3,実績!$AI$6:$AI$505,"&lt;="&amp;$A40,実績!$AJ$6:$AJ$505,"&gt;"&amp;$A40,実績!$AK$6:$AK$505,"○")&gt;0,1,0))</f>
        <v>0</v>
      </c>
      <c r="CY40" s="39" t="n">
        <f aca="false">IF(CY$4=0,0,IF(COUNTIFS(実績!$W$6:$W$505,CY$3,実績!$AI$6:$AI$505,"&lt;="&amp;$A40,実績!$AJ$6:$AJ$505,"&gt;"&amp;$A40,実績!$AK$6:$AK$505,"○")&gt;0,1,0))</f>
        <v>0</v>
      </c>
      <c r="CZ40" s="39" t="n">
        <f aca="false">IF(CZ$4=0,0,IF(COUNTIFS(実績!$W$6:$W$505,CZ$3,実績!$AI$6:$AI$505,"&lt;="&amp;$A40,実績!$AJ$6:$AJ$505,"&gt;"&amp;$A40,実績!$AK$6:$AK$505,"○")&gt;0,1,0))</f>
        <v>0</v>
      </c>
      <c r="DA40" s="39" t="n">
        <f aca="false">IF(DA$4=0,0,IF(COUNTIFS(実績!$W$6:$W$505,DA$3,実績!$AI$6:$AI$505,"&lt;="&amp;$A40,実績!$AJ$6:$AJ$505,"&gt;"&amp;$A40,実績!$AK$6:$AK$505,"○")&gt;0,1,0))</f>
        <v>0</v>
      </c>
      <c r="DB40" s="39" t="n">
        <f aca="false">IF(DB$4=0,0,IF(COUNTIFS(実績!$W$6:$W$505,DB$3,実績!$AI$6:$AI$505,"&lt;="&amp;$A40,実績!$AJ$6:$AJ$505,"&gt;"&amp;$A40,実績!$AK$6:$AK$505,"○")&gt;0,1,0))</f>
        <v>0</v>
      </c>
      <c r="DC40" s="39" t="n">
        <f aca="false">IF(DC$4=0,0,IF(COUNTIFS(実績!$W$6:$W$505,DC$3,実績!$AI$6:$AI$505,"&lt;="&amp;$A40,実績!$AJ$6:$AJ$505,"&gt;"&amp;$A40,実績!$AK$6:$AK$505,"○")&gt;0,1,0))</f>
        <v>0</v>
      </c>
      <c r="DD40" s="39" t="n">
        <f aca="false">IF(DD$4=0,0,IF(COUNTIFS(実績!$W$6:$W$505,DD$3,実績!$AI$6:$AI$505,"&lt;="&amp;$A40,実績!$AJ$6:$AJ$505,"&gt;"&amp;$A40,実績!$AK$6:$AK$505,"○")&gt;0,1,0))</f>
        <v>0</v>
      </c>
      <c r="DE40" s="39" t="n">
        <f aca="false">IF(DE$4=0,0,IF(COUNTIFS(実績!$W$6:$W$505,DE$3,実績!$AI$6:$AI$505,"&lt;="&amp;$A40,実績!$AJ$6:$AJ$505,"&gt;"&amp;$A40,実績!$AK$6:$AK$505,"○")&gt;0,1,0))</f>
        <v>0</v>
      </c>
      <c r="DF40" s="39" t="n">
        <f aca="false">IF(DF$4=0,0,IF(COUNTIFS(実績!$W$6:$W$505,DF$3,実績!$AI$6:$AI$505,"&lt;="&amp;$A40,実績!$AJ$6:$AJ$505,"&gt;"&amp;$A40,実績!$AK$6:$AK$505,"○")&gt;0,1,0))</f>
        <v>0</v>
      </c>
      <c r="DG40" s="39" t="n">
        <f aca="false">IF(DG$4=0,0,IF(COUNTIFS(実績!$W$6:$W$505,DG$3,実績!$AI$6:$AI$505,"&lt;="&amp;$A40,実績!$AJ$6:$AJ$505,"&gt;"&amp;$A40,実績!$AK$6:$AK$505,"○")&gt;0,1,0))</f>
        <v>0</v>
      </c>
      <c r="DH40" s="39" t="n">
        <f aca="false">IF(DH$4=0,0,IF(COUNTIFS(実績!$W$6:$W$505,DH$3,実績!$AI$6:$AI$505,"&lt;="&amp;$A40,実績!$AJ$6:$AJ$505,"&gt;"&amp;$A40,実績!$AK$6:$AK$505,"○")&gt;0,1,0))</f>
        <v>0</v>
      </c>
      <c r="DI40" s="39" t="n">
        <f aca="false">IF(DI$4=0,0,IF(COUNTIFS(実績!$W$6:$W$505,DI$3,実績!$AI$6:$AI$505,"&lt;="&amp;$A40,実績!$AJ$6:$AJ$505,"&gt;"&amp;$A40,実績!$AK$6:$AK$505,"○")&gt;0,1,0))</f>
        <v>0</v>
      </c>
      <c r="DJ40" s="39" t="n">
        <f aca="false">IF(DJ$4=0,0,IF(COUNTIFS(実績!$W$6:$W$505,DJ$3,実績!$AI$6:$AI$505,"&lt;="&amp;$A40,実績!$AJ$6:$AJ$505,"&gt;"&amp;$A40,実績!$AK$6:$AK$505,"○")&gt;0,1,0))</f>
        <v>0</v>
      </c>
      <c r="DK40" s="39" t="n">
        <f aca="false">IF(DK$4=0,0,IF(COUNTIFS(実績!$W$6:$W$505,DK$3,実績!$AI$6:$AI$505,"&lt;="&amp;$A40,実績!$AJ$6:$AJ$505,"&gt;"&amp;$A40,実績!$AK$6:$AK$505,"○")&gt;0,1,0))</f>
        <v>0</v>
      </c>
      <c r="DL40" s="39" t="n">
        <f aca="false">IF(DL$4=0,0,IF(COUNTIFS(実績!$W$6:$W$505,DL$3,実績!$AI$6:$AI$505,"&lt;="&amp;$A40,実績!$AJ$6:$AJ$505,"&gt;"&amp;$A40,実績!$AK$6:$AK$505,"○")&gt;0,1,0))</f>
        <v>0</v>
      </c>
      <c r="DM40" s="39" t="n">
        <f aca="false">IF(DM$4=0,0,IF(COUNTIFS(実績!$W$6:$W$505,DM$3,実績!$AI$6:$AI$505,"&lt;="&amp;$A40,実績!$AJ$6:$AJ$505,"&gt;"&amp;$A40,実績!$AK$6:$AK$505,"○")&gt;0,1,0))</f>
        <v>0</v>
      </c>
      <c r="DN40" s="39" t="n">
        <f aca="false">IF(DN$4=0,0,IF(COUNTIFS(実績!$W$6:$W$505,DN$3,実績!$AI$6:$AI$505,"&lt;="&amp;$A40,実績!$AJ$6:$AJ$505,"&gt;"&amp;$A40,実績!$AK$6:$AK$505,"○")&gt;0,1,0))</f>
        <v>0</v>
      </c>
      <c r="DO40" s="39" t="n">
        <f aca="false">IF(DO$4=0,0,IF(COUNTIFS(実績!$W$6:$W$505,DO$3,実績!$AI$6:$AI$505,"&lt;="&amp;$A40,実績!$AJ$6:$AJ$505,"&gt;"&amp;$A40,実績!$AK$6:$AK$505,"○")&gt;0,1,0))</f>
        <v>0</v>
      </c>
      <c r="DP40" s="39" t="n">
        <f aca="false">IF(DP$4=0,0,IF(COUNTIFS(実績!$W$6:$W$505,DP$3,実績!$AI$6:$AI$505,"&lt;="&amp;$A40,実績!$AJ$6:$AJ$505,"&gt;"&amp;$A40,実績!$AK$6:$AK$505,"○")&gt;0,1,0))</f>
        <v>0</v>
      </c>
      <c r="DQ40" s="39" t="n">
        <f aca="false">IF(DQ$4=0,0,IF(COUNTIFS(実績!$W$6:$W$505,DQ$3,実績!$AI$6:$AI$505,"&lt;="&amp;$A40,実績!$AJ$6:$AJ$505,"&gt;"&amp;$A40,実績!$AK$6:$AK$505,"○")&gt;0,1,0))</f>
        <v>0</v>
      </c>
      <c r="DR40" s="39" t="n">
        <f aca="false">IF(DR$4=0,0,IF(COUNTIFS(実績!$W$6:$W$505,DR$3,実績!$AI$6:$AI$505,"&lt;="&amp;$A40,実績!$AJ$6:$AJ$505,"&gt;"&amp;$A40,実績!$AK$6:$AK$505,"○")&gt;0,1,0))</f>
        <v>0</v>
      </c>
      <c r="DS40" s="39" t="n">
        <f aca="false">SUM(C40:DR40)</f>
        <v>0</v>
      </c>
      <c r="DT40" s="39" t="n">
        <f aca="false">SUMPRODUCT((実績!$C$6:$C$505="○")*ISNUMBER(実績!$AM$6:$AM$505)*(実績!$AM$6:$AM$505&lt;=$A40)*(実績!$AN$6:$AN$505&gt;$A40))</f>
        <v>0</v>
      </c>
      <c r="DU40" s="39" t="n">
        <f aca="false">SUMIF($C$2:$DR$2,"製鉄曳船",C40:DR40)</f>
        <v>0</v>
      </c>
      <c r="DV40" s="39" t="n">
        <f aca="false">SUMIF($C$2:$DR$2,"西日本海運",C40:DR40)</f>
        <v>0</v>
      </c>
    </row>
    <row r="41" customFormat="false" ht="15" hidden="false" customHeight="false" outlineLevel="0" collapsed="false">
      <c r="A41" s="0" t="n">
        <v>175</v>
      </c>
      <c r="B41" s="38" t="n">
        <f aca="false">A41/1440</f>
        <v>0.121527777777778</v>
      </c>
      <c r="C41" s="39" t="n">
        <f aca="false">IF(C$4=0,0,IF(COUNTIFS(実績!$W$6:$W$505,C$3,実績!$AI$6:$AI$505,"&lt;="&amp;$A41,実績!$AJ$6:$AJ$505,"&gt;"&amp;$A41,実績!$AK$6:$AK$505,"○")&gt;0,1,0))</f>
        <v>0</v>
      </c>
      <c r="D41" s="39" t="n">
        <f aca="false">IF(D$4=0,0,IF(COUNTIFS(実績!$W$6:$W$505,D$3,実績!$AI$6:$AI$505,"&lt;="&amp;$A41,実績!$AJ$6:$AJ$505,"&gt;"&amp;$A41,実績!$AK$6:$AK$505,"○")&gt;0,1,0))</f>
        <v>0</v>
      </c>
      <c r="E41" s="39" t="n">
        <f aca="false">IF(E$4=0,0,IF(COUNTIFS(実績!$W$6:$W$505,E$3,実績!$AI$6:$AI$505,"&lt;="&amp;$A41,実績!$AJ$6:$AJ$505,"&gt;"&amp;$A41,実績!$AK$6:$AK$505,"○")&gt;0,1,0))</f>
        <v>0</v>
      </c>
      <c r="F41" s="39" t="n">
        <f aca="false">IF(F$4=0,0,IF(COUNTIFS(実績!$W$6:$W$505,F$3,実績!$AI$6:$AI$505,"&lt;="&amp;$A41,実績!$AJ$6:$AJ$505,"&gt;"&amp;$A41,実績!$AK$6:$AK$505,"○")&gt;0,1,0))</f>
        <v>0</v>
      </c>
      <c r="G41" s="39" t="n">
        <f aca="false">IF(G$4=0,0,IF(COUNTIFS(実績!$W$6:$W$505,G$3,実績!$AI$6:$AI$505,"&lt;="&amp;$A41,実績!$AJ$6:$AJ$505,"&gt;"&amp;$A41,実績!$AK$6:$AK$505,"○")&gt;0,1,0))</f>
        <v>0</v>
      </c>
      <c r="H41" s="39" t="n">
        <f aca="false">IF(H$4=0,0,IF(COUNTIFS(実績!$W$6:$W$505,H$3,実績!$AI$6:$AI$505,"&lt;="&amp;$A41,実績!$AJ$6:$AJ$505,"&gt;"&amp;$A41,実績!$AK$6:$AK$505,"○")&gt;0,1,0))</f>
        <v>0</v>
      </c>
      <c r="I41" s="39" t="n">
        <f aca="false">IF(I$4=0,0,IF(COUNTIFS(実績!$W$6:$W$505,I$3,実績!$AI$6:$AI$505,"&lt;="&amp;$A41,実績!$AJ$6:$AJ$505,"&gt;"&amp;$A41,実績!$AK$6:$AK$505,"○")&gt;0,1,0))</f>
        <v>0</v>
      </c>
      <c r="J41" s="39" t="n">
        <f aca="false">IF(J$4=0,0,IF(COUNTIFS(実績!$W$6:$W$505,J$3,実績!$AI$6:$AI$505,"&lt;="&amp;$A41,実績!$AJ$6:$AJ$505,"&gt;"&amp;$A41,実績!$AK$6:$AK$505,"○")&gt;0,1,0))</f>
        <v>0</v>
      </c>
      <c r="K41" s="39" t="n">
        <f aca="false">IF(K$4=0,0,IF(COUNTIFS(実績!$W$6:$W$505,K$3,実績!$AI$6:$AI$505,"&lt;="&amp;$A41,実績!$AJ$6:$AJ$505,"&gt;"&amp;$A41,実績!$AK$6:$AK$505,"○")&gt;0,1,0))</f>
        <v>0</v>
      </c>
      <c r="L41" s="39" t="n">
        <f aca="false">IF(L$4=0,0,IF(COUNTIFS(実績!$W$6:$W$505,L$3,実績!$AI$6:$AI$505,"&lt;="&amp;$A41,実績!$AJ$6:$AJ$505,"&gt;"&amp;$A41,実績!$AK$6:$AK$505,"○")&gt;0,1,0))</f>
        <v>0</v>
      </c>
      <c r="M41" s="39" t="n">
        <f aca="false">IF(M$4=0,0,IF(COUNTIFS(実績!$W$6:$W$505,M$3,実績!$AI$6:$AI$505,"&lt;="&amp;$A41,実績!$AJ$6:$AJ$505,"&gt;"&amp;$A41,実績!$AK$6:$AK$505,"○")&gt;0,1,0))</f>
        <v>0</v>
      </c>
      <c r="N41" s="39" t="n">
        <f aca="false">IF(N$4=0,0,IF(COUNTIFS(実績!$W$6:$W$505,N$3,実績!$AI$6:$AI$505,"&lt;="&amp;$A41,実績!$AJ$6:$AJ$505,"&gt;"&amp;$A41,実績!$AK$6:$AK$505,"○")&gt;0,1,0))</f>
        <v>0</v>
      </c>
      <c r="O41" s="39" t="n">
        <f aca="false">IF(O$4=0,0,IF(COUNTIFS(実績!$W$6:$W$505,O$3,実績!$AI$6:$AI$505,"&lt;="&amp;$A41,実績!$AJ$6:$AJ$505,"&gt;"&amp;$A41,実績!$AK$6:$AK$505,"○")&gt;0,1,0))</f>
        <v>0</v>
      </c>
      <c r="P41" s="39" t="n">
        <f aca="false">IF(P$4=0,0,IF(COUNTIFS(実績!$W$6:$W$505,P$3,実績!$AI$6:$AI$505,"&lt;="&amp;$A41,実績!$AJ$6:$AJ$505,"&gt;"&amp;$A41,実績!$AK$6:$AK$505,"○")&gt;0,1,0))</f>
        <v>0</v>
      </c>
      <c r="Q41" s="39" t="n">
        <f aca="false">IF(Q$4=0,0,IF(COUNTIFS(実績!$W$6:$W$505,Q$3,実績!$AI$6:$AI$505,"&lt;="&amp;$A41,実績!$AJ$6:$AJ$505,"&gt;"&amp;$A41,実績!$AK$6:$AK$505,"○")&gt;0,1,0))</f>
        <v>0</v>
      </c>
      <c r="R41" s="39" t="n">
        <f aca="false">IF(R$4=0,0,IF(COUNTIFS(実績!$W$6:$W$505,R$3,実績!$AI$6:$AI$505,"&lt;="&amp;$A41,実績!$AJ$6:$AJ$505,"&gt;"&amp;$A41,実績!$AK$6:$AK$505,"○")&gt;0,1,0))</f>
        <v>0</v>
      </c>
      <c r="S41" s="39" t="n">
        <f aca="false">IF(S$4=0,0,IF(COUNTIFS(実績!$W$6:$W$505,S$3,実績!$AI$6:$AI$505,"&lt;="&amp;$A41,実績!$AJ$6:$AJ$505,"&gt;"&amp;$A41,実績!$AK$6:$AK$505,"○")&gt;0,1,0))</f>
        <v>0</v>
      </c>
      <c r="T41" s="39" t="n">
        <f aca="false">IF(T$4=0,0,IF(COUNTIFS(実績!$W$6:$W$505,T$3,実績!$AI$6:$AI$505,"&lt;="&amp;$A41,実績!$AJ$6:$AJ$505,"&gt;"&amp;$A41,実績!$AK$6:$AK$505,"○")&gt;0,1,0))</f>
        <v>0</v>
      </c>
      <c r="U41" s="39" t="n">
        <f aca="false">IF(U$4=0,0,IF(COUNTIFS(実績!$W$6:$W$505,U$3,実績!$AI$6:$AI$505,"&lt;="&amp;$A41,実績!$AJ$6:$AJ$505,"&gt;"&amp;$A41,実績!$AK$6:$AK$505,"○")&gt;0,1,0))</f>
        <v>0</v>
      </c>
      <c r="V41" s="39" t="n">
        <f aca="false">IF(V$4=0,0,IF(COUNTIFS(実績!$W$6:$W$505,V$3,実績!$AI$6:$AI$505,"&lt;="&amp;$A41,実績!$AJ$6:$AJ$505,"&gt;"&amp;$A41,実績!$AK$6:$AK$505,"○")&gt;0,1,0))</f>
        <v>0</v>
      </c>
      <c r="W41" s="39" t="n">
        <f aca="false">IF(W$4=0,0,IF(COUNTIFS(実績!$W$6:$W$505,W$3,実績!$AI$6:$AI$505,"&lt;="&amp;$A41,実績!$AJ$6:$AJ$505,"&gt;"&amp;$A41,実績!$AK$6:$AK$505,"○")&gt;0,1,0))</f>
        <v>0</v>
      </c>
      <c r="X41" s="39" t="n">
        <f aca="false">IF(X$4=0,0,IF(COUNTIFS(実績!$W$6:$W$505,X$3,実績!$AI$6:$AI$505,"&lt;="&amp;$A41,実績!$AJ$6:$AJ$505,"&gt;"&amp;$A41,実績!$AK$6:$AK$505,"○")&gt;0,1,0))</f>
        <v>0</v>
      </c>
      <c r="Y41" s="39" t="n">
        <f aca="false">IF(Y$4=0,0,IF(COUNTIFS(実績!$W$6:$W$505,Y$3,実績!$AI$6:$AI$505,"&lt;="&amp;$A41,実績!$AJ$6:$AJ$505,"&gt;"&amp;$A41,実績!$AK$6:$AK$505,"○")&gt;0,1,0))</f>
        <v>0</v>
      </c>
      <c r="Z41" s="39" t="n">
        <f aca="false">IF(Z$4=0,0,IF(COUNTIFS(実績!$W$6:$W$505,Z$3,実績!$AI$6:$AI$505,"&lt;="&amp;$A41,実績!$AJ$6:$AJ$505,"&gt;"&amp;$A41,実績!$AK$6:$AK$505,"○")&gt;0,1,0))</f>
        <v>0</v>
      </c>
      <c r="AA41" s="39" t="n">
        <f aca="false">IF(AA$4=0,0,IF(COUNTIFS(実績!$W$6:$W$505,AA$3,実績!$AI$6:$AI$505,"&lt;="&amp;$A41,実績!$AJ$6:$AJ$505,"&gt;"&amp;$A41,実績!$AK$6:$AK$505,"○")&gt;0,1,0))</f>
        <v>0</v>
      </c>
      <c r="AB41" s="39" t="n">
        <f aca="false">IF(AB$4=0,0,IF(COUNTIFS(実績!$W$6:$W$505,AB$3,実績!$AI$6:$AI$505,"&lt;="&amp;$A41,実績!$AJ$6:$AJ$505,"&gt;"&amp;$A41,実績!$AK$6:$AK$505,"○")&gt;0,1,0))</f>
        <v>0</v>
      </c>
      <c r="AC41" s="39" t="n">
        <f aca="false">IF(AC$4=0,0,IF(COUNTIFS(実績!$W$6:$W$505,AC$3,実績!$AI$6:$AI$505,"&lt;="&amp;$A41,実績!$AJ$6:$AJ$505,"&gt;"&amp;$A41,実績!$AK$6:$AK$505,"○")&gt;0,1,0))</f>
        <v>0</v>
      </c>
      <c r="AD41" s="39" t="n">
        <f aca="false">IF(AD$4=0,0,IF(COUNTIFS(実績!$W$6:$W$505,AD$3,実績!$AI$6:$AI$505,"&lt;="&amp;$A41,実績!$AJ$6:$AJ$505,"&gt;"&amp;$A41,実績!$AK$6:$AK$505,"○")&gt;0,1,0))</f>
        <v>0</v>
      </c>
      <c r="AE41" s="39" t="n">
        <f aca="false">IF(AE$4=0,0,IF(COUNTIFS(実績!$W$6:$W$505,AE$3,実績!$AI$6:$AI$505,"&lt;="&amp;$A41,実績!$AJ$6:$AJ$505,"&gt;"&amp;$A41,実績!$AK$6:$AK$505,"○")&gt;0,1,0))</f>
        <v>0</v>
      </c>
      <c r="AF41" s="39" t="n">
        <f aca="false">IF(AF$4=0,0,IF(COUNTIFS(実績!$W$6:$W$505,AF$3,実績!$AI$6:$AI$505,"&lt;="&amp;$A41,実績!$AJ$6:$AJ$505,"&gt;"&amp;$A41,実績!$AK$6:$AK$505,"○")&gt;0,1,0))</f>
        <v>0</v>
      </c>
      <c r="AG41" s="39" t="n">
        <f aca="false">IF(AG$4=0,0,IF(COUNTIFS(実績!$W$6:$W$505,AG$3,実績!$AI$6:$AI$505,"&lt;="&amp;$A41,実績!$AJ$6:$AJ$505,"&gt;"&amp;$A41,実績!$AK$6:$AK$505,"○")&gt;0,1,0))</f>
        <v>0</v>
      </c>
      <c r="AH41" s="39" t="n">
        <f aca="false">IF(AH$4=0,0,IF(COUNTIFS(実績!$W$6:$W$505,AH$3,実績!$AI$6:$AI$505,"&lt;="&amp;$A41,実績!$AJ$6:$AJ$505,"&gt;"&amp;$A41,実績!$AK$6:$AK$505,"○")&gt;0,1,0))</f>
        <v>0</v>
      </c>
      <c r="AI41" s="39" t="n">
        <f aca="false">IF(AI$4=0,0,IF(COUNTIFS(実績!$W$6:$W$505,AI$3,実績!$AI$6:$AI$505,"&lt;="&amp;$A41,実績!$AJ$6:$AJ$505,"&gt;"&amp;$A41,実績!$AK$6:$AK$505,"○")&gt;0,1,0))</f>
        <v>0</v>
      </c>
      <c r="AJ41" s="39" t="n">
        <f aca="false">IF(AJ$4=0,0,IF(COUNTIFS(実績!$W$6:$W$505,AJ$3,実績!$AI$6:$AI$505,"&lt;="&amp;$A41,実績!$AJ$6:$AJ$505,"&gt;"&amp;$A41,実績!$AK$6:$AK$505,"○")&gt;0,1,0))</f>
        <v>0</v>
      </c>
      <c r="AK41" s="39" t="n">
        <f aca="false">IF(AK$4=0,0,IF(COUNTIFS(実績!$W$6:$W$505,AK$3,実績!$AI$6:$AI$505,"&lt;="&amp;$A41,実績!$AJ$6:$AJ$505,"&gt;"&amp;$A41,実績!$AK$6:$AK$505,"○")&gt;0,1,0))</f>
        <v>0</v>
      </c>
      <c r="AL41" s="39" t="n">
        <f aca="false">IF(AL$4=0,0,IF(COUNTIFS(実績!$W$6:$W$505,AL$3,実績!$AI$6:$AI$505,"&lt;="&amp;$A41,実績!$AJ$6:$AJ$505,"&gt;"&amp;$A41,実績!$AK$6:$AK$505,"○")&gt;0,1,0))</f>
        <v>0</v>
      </c>
      <c r="AM41" s="39" t="n">
        <f aca="false">IF(AM$4=0,0,IF(COUNTIFS(実績!$W$6:$W$505,AM$3,実績!$AI$6:$AI$505,"&lt;="&amp;$A41,実績!$AJ$6:$AJ$505,"&gt;"&amp;$A41,実績!$AK$6:$AK$505,"○")&gt;0,1,0))</f>
        <v>0</v>
      </c>
      <c r="AN41" s="39" t="n">
        <f aca="false">IF(AN$4=0,0,IF(COUNTIFS(実績!$W$6:$W$505,AN$3,実績!$AI$6:$AI$505,"&lt;="&amp;$A41,実績!$AJ$6:$AJ$505,"&gt;"&amp;$A41,実績!$AK$6:$AK$505,"○")&gt;0,1,0))</f>
        <v>0</v>
      </c>
      <c r="AO41" s="39" t="n">
        <f aca="false">IF(AO$4=0,0,IF(COUNTIFS(実績!$W$6:$W$505,AO$3,実績!$AI$6:$AI$505,"&lt;="&amp;$A41,実績!$AJ$6:$AJ$505,"&gt;"&amp;$A41,実績!$AK$6:$AK$505,"○")&gt;0,1,0))</f>
        <v>0</v>
      </c>
      <c r="AP41" s="39" t="n">
        <f aca="false">IF(AP$4=0,0,IF(COUNTIFS(実績!$W$6:$W$505,AP$3,実績!$AI$6:$AI$505,"&lt;="&amp;$A41,実績!$AJ$6:$AJ$505,"&gt;"&amp;$A41,実績!$AK$6:$AK$505,"○")&gt;0,1,0))</f>
        <v>0</v>
      </c>
      <c r="AQ41" s="39" t="n">
        <f aca="false">IF(AQ$4=0,0,IF(COUNTIFS(実績!$W$6:$W$505,AQ$3,実績!$AI$6:$AI$505,"&lt;="&amp;$A41,実績!$AJ$6:$AJ$505,"&gt;"&amp;$A41,実績!$AK$6:$AK$505,"○")&gt;0,1,0))</f>
        <v>0</v>
      </c>
      <c r="AR41" s="39" t="n">
        <f aca="false">IF(AR$4=0,0,IF(COUNTIFS(実績!$W$6:$W$505,AR$3,実績!$AI$6:$AI$505,"&lt;="&amp;$A41,実績!$AJ$6:$AJ$505,"&gt;"&amp;$A41,実績!$AK$6:$AK$505,"○")&gt;0,1,0))</f>
        <v>0</v>
      </c>
      <c r="AS41" s="39" t="n">
        <f aca="false">IF(AS$4=0,0,IF(COUNTIFS(実績!$W$6:$W$505,AS$3,実績!$AI$6:$AI$505,"&lt;="&amp;$A41,実績!$AJ$6:$AJ$505,"&gt;"&amp;$A41,実績!$AK$6:$AK$505,"○")&gt;0,1,0))</f>
        <v>0</v>
      </c>
      <c r="AT41" s="39" t="n">
        <f aca="false">IF(AT$4=0,0,IF(COUNTIFS(実績!$W$6:$W$505,AT$3,実績!$AI$6:$AI$505,"&lt;="&amp;$A41,実績!$AJ$6:$AJ$505,"&gt;"&amp;$A41,実績!$AK$6:$AK$505,"○")&gt;0,1,0))</f>
        <v>0</v>
      </c>
      <c r="AU41" s="39" t="n">
        <f aca="false">IF(AU$4=0,0,IF(COUNTIFS(実績!$W$6:$W$505,AU$3,実績!$AI$6:$AI$505,"&lt;="&amp;$A41,実績!$AJ$6:$AJ$505,"&gt;"&amp;$A41,実績!$AK$6:$AK$505,"○")&gt;0,1,0))</f>
        <v>0</v>
      </c>
      <c r="AV41" s="39" t="n">
        <f aca="false">IF(AV$4=0,0,IF(COUNTIFS(実績!$W$6:$W$505,AV$3,実績!$AI$6:$AI$505,"&lt;="&amp;$A41,実績!$AJ$6:$AJ$505,"&gt;"&amp;$A41,実績!$AK$6:$AK$505,"○")&gt;0,1,0))</f>
        <v>0</v>
      </c>
      <c r="AW41" s="39" t="n">
        <f aca="false">IF(AW$4=0,0,IF(COUNTIFS(実績!$W$6:$W$505,AW$3,実績!$AI$6:$AI$505,"&lt;="&amp;$A41,実績!$AJ$6:$AJ$505,"&gt;"&amp;$A41,実績!$AK$6:$AK$505,"○")&gt;0,1,0))</f>
        <v>0</v>
      </c>
      <c r="AX41" s="39" t="n">
        <f aca="false">IF(AX$4=0,0,IF(COUNTIFS(実績!$W$6:$W$505,AX$3,実績!$AI$6:$AI$505,"&lt;="&amp;$A41,実績!$AJ$6:$AJ$505,"&gt;"&amp;$A41,実績!$AK$6:$AK$505,"○")&gt;0,1,0))</f>
        <v>0</v>
      </c>
      <c r="AY41" s="39" t="n">
        <f aca="false">IF(AY$4=0,0,IF(COUNTIFS(実績!$W$6:$W$505,AY$3,実績!$AI$6:$AI$505,"&lt;="&amp;$A41,実績!$AJ$6:$AJ$505,"&gt;"&amp;$A41,実績!$AK$6:$AK$505,"○")&gt;0,1,0))</f>
        <v>0</v>
      </c>
      <c r="AZ41" s="39" t="n">
        <f aca="false">IF(AZ$4=0,0,IF(COUNTIFS(実績!$W$6:$W$505,AZ$3,実績!$AI$6:$AI$505,"&lt;="&amp;$A41,実績!$AJ$6:$AJ$505,"&gt;"&amp;$A41,実績!$AK$6:$AK$505,"○")&gt;0,1,0))</f>
        <v>0</v>
      </c>
      <c r="BA41" s="39" t="n">
        <f aca="false">IF(BA$4=0,0,IF(COUNTIFS(実績!$W$6:$W$505,BA$3,実績!$AI$6:$AI$505,"&lt;="&amp;$A41,実績!$AJ$6:$AJ$505,"&gt;"&amp;$A41,実績!$AK$6:$AK$505,"○")&gt;0,1,0))</f>
        <v>0</v>
      </c>
      <c r="BB41" s="39" t="n">
        <f aca="false">IF(BB$4=0,0,IF(COUNTIFS(実績!$W$6:$W$505,BB$3,実績!$AI$6:$AI$505,"&lt;="&amp;$A41,実績!$AJ$6:$AJ$505,"&gt;"&amp;$A41,実績!$AK$6:$AK$505,"○")&gt;0,1,0))</f>
        <v>0</v>
      </c>
      <c r="BC41" s="39" t="n">
        <f aca="false">IF(BC$4=0,0,IF(COUNTIFS(実績!$W$6:$W$505,BC$3,実績!$AI$6:$AI$505,"&lt;="&amp;$A41,実績!$AJ$6:$AJ$505,"&gt;"&amp;$A41,実績!$AK$6:$AK$505,"○")&gt;0,1,0))</f>
        <v>0</v>
      </c>
      <c r="BD41" s="39" t="n">
        <f aca="false">IF(BD$4=0,0,IF(COUNTIFS(実績!$W$6:$W$505,BD$3,実績!$AI$6:$AI$505,"&lt;="&amp;$A41,実績!$AJ$6:$AJ$505,"&gt;"&amp;$A41,実績!$AK$6:$AK$505,"○")&gt;0,1,0))</f>
        <v>0</v>
      </c>
      <c r="BE41" s="39" t="n">
        <f aca="false">IF(BE$4=0,0,IF(COUNTIFS(実績!$W$6:$W$505,BE$3,実績!$AI$6:$AI$505,"&lt;="&amp;$A41,実績!$AJ$6:$AJ$505,"&gt;"&amp;$A41,実績!$AK$6:$AK$505,"○")&gt;0,1,0))</f>
        <v>0</v>
      </c>
      <c r="BF41" s="39" t="n">
        <f aca="false">IF(BF$4=0,0,IF(COUNTIFS(実績!$W$6:$W$505,BF$3,実績!$AI$6:$AI$505,"&lt;="&amp;$A41,実績!$AJ$6:$AJ$505,"&gt;"&amp;$A41,実績!$AK$6:$AK$505,"○")&gt;0,1,0))</f>
        <v>0</v>
      </c>
      <c r="BG41" s="39" t="n">
        <f aca="false">IF(BG$4=0,0,IF(COUNTIFS(実績!$W$6:$W$505,BG$3,実績!$AI$6:$AI$505,"&lt;="&amp;$A41,実績!$AJ$6:$AJ$505,"&gt;"&amp;$A41,実績!$AK$6:$AK$505,"○")&gt;0,1,0))</f>
        <v>0</v>
      </c>
      <c r="BH41" s="39" t="n">
        <f aca="false">IF(BH$4=0,0,IF(COUNTIFS(実績!$W$6:$W$505,BH$3,実績!$AI$6:$AI$505,"&lt;="&amp;$A41,実績!$AJ$6:$AJ$505,"&gt;"&amp;$A41,実績!$AK$6:$AK$505,"○")&gt;0,1,0))</f>
        <v>0</v>
      </c>
      <c r="BI41" s="39" t="n">
        <f aca="false">IF(BI$4=0,0,IF(COUNTIFS(実績!$W$6:$W$505,BI$3,実績!$AI$6:$AI$505,"&lt;="&amp;$A41,実績!$AJ$6:$AJ$505,"&gt;"&amp;$A41,実績!$AK$6:$AK$505,"○")&gt;0,1,0))</f>
        <v>0</v>
      </c>
      <c r="BJ41" s="39" t="n">
        <f aca="false">IF(BJ$4=0,0,IF(COUNTIFS(実績!$W$6:$W$505,BJ$3,実績!$AI$6:$AI$505,"&lt;="&amp;$A41,実績!$AJ$6:$AJ$505,"&gt;"&amp;$A41,実績!$AK$6:$AK$505,"○")&gt;0,1,0))</f>
        <v>0</v>
      </c>
      <c r="BK41" s="39" t="n">
        <f aca="false">IF(BK$4=0,0,IF(COUNTIFS(実績!$W$6:$W$505,BK$3,実績!$AI$6:$AI$505,"&lt;="&amp;$A41,実績!$AJ$6:$AJ$505,"&gt;"&amp;$A41,実績!$AK$6:$AK$505,"○")&gt;0,1,0))</f>
        <v>0</v>
      </c>
      <c r="BL41" s="39" t="n">
        <f aca="false">IF(BL$4=0,0,IF(COUNTIFS(実績!$W$6:$W$505,BL$3,実績!$AI$6:$AI$505,"&lt;="&amp;$A41,実績!$AJ$6:$AJ$505,"&gt;"&amp;$A41,実績!$AK$6:$AK$505,"○")&gt;0,1,0))</f>
        <v>0</v>
      </c>
      <c r="BM41" s="39" t="n">
        <f aca="false">IF(BM$4=0,0,IF(COUNTIFS(実績!$W$6:$W$505,BM$3,実績!$AI$6:$AI$505,"&lt;="&amp;$A41,実績!$AJ$6:$AJ$505,"&gt;"&amp;$A41,実績!$AK$6:$AK$505,"○")&gt;0,1,0))</f>
        <v>0</v>
      </c>
      <c r="BN41" s="39" t="n">
        <f aca="false">IF(BN$4=0,0,IF(COUNTIFS(実績!$W$6:$W$505,BN$3,実績!$AI$6:$AI$505,"&lt;="&amp;$A41,実績!$AJ$6:$AJ$505,"&gt;"&amp;$A41,実績!$AK$6:$AK$505,"○")&gt;0,1,0))</f>
        <v>0</v>
      </c>
      <c r="BO41" s="39" t="n">
        <f aca="false">IF(BO$4=0,0,IF(COUNTIFS(実績!$W$6:$W$505,BO$3,実績!$AI$6:$AI$505,"&lt;="&amp;$A41,実績!$AJ$6:$AJ$505,"&gt;"&amp;$A41,実績!$AK$6:$AK$505,"○")&gt;0,1,0))</f>
        <v>0</v>
      </c>
      <c r="BP41" s="39" t="n">
        <f aca="false">IF(BP$4=0,0,IF(COUNTIFS(実績!$W$6:$W$505,BP$3,実績!$AI$6:$AI$505,"&lt;="&amp;$A41,実績!$AJ$6:$AJ$505,"&gt;"&amp;$A41,実績!$AK$6:$AK$505,"○")&gt;0,1,0))</f>
        <v>0</v>
      </c>
      <c r="BQ41" s="39" t="n">
        <f aca="false">IF(BQ$4=0,0,IF(COUNTIFS(実績!$W$6:$W$505,BQ$3,実績!$AI$6:$AI$505,"&lt;="&amp;$A41,実績!$AJ$6:$AJ$505,"&gt;"&amp;$A41,実績!$AK$6:$AK$505,"○")&gt;0,1,0))</f>
        <v>0</v>
      </c>
      <c r="BR41" s="39" t="n">
        <f aca="false">IF(BR$4=0,0,IF(COUNTIFS(実績!$W$6:$W$505,BR$3,実績!$AI$6:$AI$505,"&lt;="&amp;$A41,実績!$AJ$6:$AJ$505,"&gt;"&amp;$A41,実績!$AK$6:$AK$505,"○")&gt;0,1,0))</f>
        <v>0</v>
      </c>
      <c r="BS41" s="39" t="n">
        <f aca="false">IF(BS$4=0,0,IF(COUNTIFS(実績!$W$6:$W$505,BS$3,実績!$AI$6:$AI$505,"&lt;="&amp;$A41,実績!$AJ$6:$AJ$505,"&gt;"&amp;$A41,実績!$AK$6:$AK$505,"○")&gt;0,1,0))</f>
        <v>0</v>
      </c>
      <c r="BT41" s="39" t="n">
        <f aca="false">IF(BT$4=0,0,IF(COUNTIFS(実績!$W$6:$W$505,BT$3,実績!$AI$6:$AI$505,"&lt;="&amp;$A41,実績!$AJ$6:$AJ$505,"&gt;"&amp;$A41,実績!$AK$6:$AK$505,"○")&gt;0,1,0))</f>
        <v>0</v>
      </c>
      <c r="BU41" s="39" t="n">
        <f aca="false">IF(BU$4=0,0,IF(COUNTIFS(実績!$W$6:$W$505,BU$3,実績!$AI$6:$AI$505,"&lt;="&amp;$A41,実績!$AJ$6:$AJ$505,"&gt;"&amp;$A41,実績!$AK$6:$AK$505,"○")&gt;0,1,0))</f>
        <v>0</v>
      </c>
      <c r="BV41" s="39" t="n">
        <f aca="false">IF(BV$4=0,0,IF(COUNTIFS(実績!$W$6:$W$505,BV$3,実績!$AI$6:$AI$505,"&lt;="&amp;$A41,実績!$AJ$6:$AJ$505,"&gt;"&amp;$A41,実績!$AK$6:$AK$505,"○")&gt;0,1,0))</f>
        <v>0</v>
      </c>
      <c r="BW41" s="39" t="n">
        <f aca="false">IF(BW$4=0,0,IF(COUNTIFS(実績!$W$6:$W$505,BW$3,実績!$AI$6:$AI$505,"&lt;="&amp;$A41,実績!$AJ$6:$AJ$505,"&gt;"&amp;$A41,実績!$AK$6:$AK$505,"○")&gt;0,1,0))</f>
        <v>0</v>
      </c>
      <c r="BX41" s="39" t="n">
        <f aca="false">IF(BX$4=0,0,IF(COUNTIFS(実績!$W$6:$W$505,BX$3,実績!$AI$6:$AI$505,"&lt;="&amp;$A41,実績!$AJ$6:$AJ$505,"&gt;"&amp;$A41,実績!$AK$6:$AK$505,"○")&gt;0,1,0))</f>
        <v>0</v>
      </c>
      <c r="BY41" s="39" t="n">
        <f aca="false">IF(BY$4=0,0,IF(COUNTIFS(実績!$W$6:$W$505,BY$3,実績!$AI$6:$AI$505,"&lt;="&amp;$A41,実績!$AJ$6:$AJ$505,"&gt;"&amp;$A41,実績!$AK$6:$AK$505,"○")&gt;0,1,0))</f>
        <v>0</v>
      </c>
      <c r="BZ41" s="39" t="n">
        <f aca="false">IF(BZ$4=0,0,IF(COUNTIFS(実績!$W$6:$W$505,BZ$3,実績!$AI$6:$AI$505,"&lt;="&amp;$A41,実績!$AJ$6:$AJ$505,"&gt;"&amp;$A41,実績!$AK$6:$AK$505,"○")&gt;0,1,0))</f>
        <v>0</v>
      </c>
      <c r="CA41" s="39" t="n">
        <f aca="false">IF(CA$4=0,0,IF(COUNTIFS(実績!$W$6:$W$505,CA$3,実績!$AI$6:$AI$505,"&lt;="&amp;$A41,実績!$AJ$6:$AJ$505,"&gt;"&amp;$A41,実績!$AK$6:$AK$505,"○")&gt;0,1,0))</f>
        <v>0</v>
      </c>
      <c r="CB41" s="39" t="n">
        <f aca="false">IF(CB$4=0,0,IF(COUNTIFS(実績!$W$6:$W$505,CB$3,実績!$AI$6:$AI$505,"&lt;="&amp;$A41,実績!$AJ$6:$AJ$505,"&gt;"&amp;$A41,実績!$AK$6:$AK$505,"○")&gt;0,1,0))</f>
        <v>0</v>
      </c>
      <c r="CC41" s="39" t="n">
        <f aca="false">IF(CC$4=0,0,IF(COUNTIFS(実績!$W$6:$W$505,CC$3,実績!$AI$6:$AI$505,"&lt;="&amp;$A41,実績!$AJ$6:$AJ$505,"&gt;"&amp;$A41,実績!$AK$6:$AK$505,"○")&gt;0,1,0))</f>
        <v>0</v>
      </c>
      <c r="CD41" s="39" t="n">
        <f aca="false">IF(CD$4=0,0,IF(COUNTIFS(実績!$W$6:$W$505,CD$3,実績!$AI$6:$AI$505,"&lt;="&amp;$A41,実績!$AJ$6:$AJ$505,"&gt;"&amp;$A41,実績!$AK$6:$AK$505,"○")&gt;0,1,0))</f>
        <v>0</v>
      </c>
      <c r="CE41" s="39" t="n">
        <f aca="false">IF(CE$4=0,0,IF(COUNTIFS(実績!$W$6:$W$505,CE$3,実績!$AI$6:$AI$505,"&lt;="&amp;$A41,実績!$AJ$6:$AJ$505,"&gt;"&amp;$A41,実績!$AK$6:$AK$505,"○")&gt;0,1,0))</f>
        <v>0</v>
      </c>
      <c r="CF41" s="39" t="n">
        <f aca="false">IF(CF$4=0,0,IF(COUNTIFS(実績!$W$6:$W$505,CF$3,実績!$AI$6:$AI$505,"&lt;="&amp;$A41,実績!$AJ$6:$AJ$505,"&gt;"&amp;$A41,実績!$AK$6:$AK$505,"○")&gt;0,1,0))</f>
        <v>0</v>
      </c>
      <c r="CG41" s="39" t="n">
        <f aca="false">IF(CG$4=0,0,IF(COUNTIFS(実績!$W$6:$W$505,CG$3,実績!$AI$6:$AI$505,"&lt;="&amp;$A41,実績!$AJ$6:$AJ$505,"&gt;"&amp;$A41,実績!$AK$6:$AK$505,"○")&gt;0,1,0))</f>
        <v>0</v>
      </c>
      <c r="CH41" s="39" t="n">
        <f aca="false">IF(CH$4=0,0,IF(COUNTIFS(実績!$W$6:$W$505,CH$3,実績!$AI$6:$AI$505,"&lt;="&amp;$A41,実績!$AJ$6:$AJ$505,"&gt;"&amp;$A41,実績!$AK$6:$AK$505,"○")&gt;0,1,0))</f>
        <v>0</v>
      </c>
      <c r="CI41" s="39" t="n">
        <f aca="false">IF(CI$4=0,0,IF(COUNTIFS(実績!$W$6:$W$505,CI$3,実績!$AI$6:$AI$505,"&lt;="&amp;$A41,実績!$AJ$6:$AJ$505,"&gt;"&amp;$A41,実績!$AK$6:$AK$505,"○")&gt;0,1,0))</f>
        <v>0</v>
      </c>
      <c r="CJ41" s="39" t="n">
        <f aca="false">IF(CJ$4=0,0,IF(COUNTIFS(実績!$W$6:$W$505,CJ$3,実績!$AI$6:$AI$505,"&lt;="&amp;$A41,実績!$AJ$6:$AJ$505,"&gt;"&amp;$A41,実績!$AK$6:$AK$505,"○")&gt;0,1,0))</f>
        <v>0</v>
      </c>
      <c r="CK41" s="39" t="n">
        <f aca="false">IF(CK$4=0,0,IF(COUNTIFS(実績!$W$6:$W$505,CK$3,実績!$AI$6:$AI$505,"&lt;="&amp;$A41,実績!$AJ$6:$AJ$505,"&gt;"&amp;$A41,実績!$AK$6:$AK$505,"○")&gt;0,1,0))</f>
        <v>0</v>
      </c>
      <c r="CL41" s="39" t="n">
        <f aca="false">IF(CL$4=0,0,IF(COUNTIFS(実績!$W$6:$W$505,CL$3,実績!$AI$6:$AI$505,"&lt;="&amp;$A41,実績!$AJ$6:$AJ$505,"&gt;"&amp;$A41,実績!$AK$6:$AK$505,"○")&gt;0,1,0))</f>
        <v>0</v>
      </c>
      <c r="CM41" s="39" t="n">
        <f aca="false">IF(CM$4=0,0,IF(COUNTIFS(実績!$W$6:$W$505,CM$3,実績!$AI$6:$AI$505,"&lt;="&amp;$A41,実績!$AJ$6:$AJ$505,"&gt;"&amp;$A41,実績!$AK$6:$AK$505,"○")&gt;0,1,0))</f>
        <v>0</v>
      </c>
      <c r="CN41" s="39" t="n">
        <f aca="false">IF(CN$4=0,0,IF(COUNTIFS(実績!$W$6:$W$505,CN$3,実績!$AI$6:$AI$505,"&lt;="&amp;$A41,実績!$AJ$6:$AJ$505,"&gt;"&amp;$A41,実績!$AK$6:$AK$505,"○")&gt;0,1,0))</f>
        <v>0</v>
      </c>
      <c r="CO41" s="39" t="n">
        <f aca="false">IF(CO$4=0,0,IF(COUNTIFS(実績!$W$6:$W$505,CO$3,実績!$AI$6:$AI$505,"&lt;="&amp;$A41,実績!$AJ$6:$AJ$505,"&gt;"&amp;$A41,実績!$AK$6:$AK$505,"○")&gt;0,1,0))</f>
        <v>0</v>
      </c>
      <c r="CP41" s="39" t="n">
        <f aca="false">IF(CP$4=0,0,IF(COUNTIFS(実績!$W$6:$W$505,CP$3,実績!$AI$6:$AI$505,"&lt;="&amp;$A41,実績!$AJ$6:$AJ$505,"&gt;"&amp;$A41,実績!$AK$6:$AK$505,"○")&gt;0,1,0))</f>
        <v>0</v>
      </c>
      <c r="CQ41" s="39" t="n">
        <f aca="false">IF(CQ$4=0,0,IF(COUNTIFS(実績!$W$6:$W$505,CQ$3,実績!$AI$6:$AI$505,"&lt;="&amp;$A41,実績!$AJ$6:$AJ$505,"&gt;"&amp;$A41,実績!$AK$6:$AK$505,"○")&gt;0,1,0))</f>
        <v>0</v>
      </c>
      <c r="CR41" s="39" t="n">
        <f aca="false">IF(CR$4=0,0,IF(COUNTIFS(実績!$W$6:$W$505,CR$3,実績!$AI$6:$AI$505,"&lt;="&amp;$A41,実績!$AJ$6:$AJ$505,"&gt;"&amp;$A41,実績!$AK$6:$AK$505,"○")&gt;0,1,0))</f>
        <v>0</v>
      </c>
      <c r="CS41" s="39" t="n">
        <f aca="false">IF(CS$4=0,0,IF(COUNTIFS(実績!$W$6:$W$505,CS$3,実績!$AI$6:$AI$505,"&lt;="&amp;$A41,実績!$AJ$6:$AJ$505,"&gt;"&amp;$A41,実績!$AK$6:$AK$505,"○")&gt;0,1,0))</f>
        <v>0</v>
      </c>
      <c r="CT41" s="39" t="n">
        <f aca="false">IF(CT$4=0,0,IF(COUNTIFS(実績!$W$6:$W$505,CT$3,実績!$AI$6:$AI$505,"&lt;="&amp;$A41,実績!$AJ$6:$AJ$505,"&gt;"&amp;$A41,実績!$AK$6:$AK$505,"○")&gt;0,1,0))</f>
        <v>0</v>
      </c>
      <c r="CU41" s="39" t="n">
        <f aca="false">IF(CU$4=0,0,IF(COUNTIFS(実績!$W$6:$W$505,CU$3,実績!$AI$6:$AI$505,"&lt;="&amp;$A41,実績!$AJ$6:$AJ$505,"&gt;"&amp;$A41,実績!$AK$6:$AK$505,"○")&gt;0,1,0))</f>
        <v>0</v>
      </c>
      <c r="CV41" s="39" t="n">
        <f aca="false">IF(CV$4=0,0,IF(COUNTIFS(実績!$W$6:$W$505,CV$3,実績!$AI$6:$AI$505,"&lt;="&amp;$A41,実績!$AJ$6:$AJ$505,"&gt;"&amp;$A41,実績!$AK$6:$AK$505,"○")&gt;0,1,0))</f>
        <v>0</v>
      </c>
      <c r="CW41" s="39" t="n">
        <f aca="false">IF(CW$4=0,0,IF(COUNTIFS(実績!$W$6:$W$505,CW$3,実績!$AI$6:$AI$505,"&lt;="&amp;$A41,実績!$AJ$6:$AJ$505,"&gt;"&amp;$A41,実績!$AK$6:$AK$505,"○")&gt;0,1,0))</f>
        <v>0</v>
      </c>
      <c r="CX41" s="39" t="n">
        <f aca="false">IF(CX$4=0,0,IF(COUNTIFS(実績!$W$6:$W$505,CX$3,実績!$AI$6:$AI$505,"&lt;="&amp;$A41,実績!$AJ$6:$AJ$505,"&gt;"&amp;$A41,実績!$AK$6:$AK$505,"○")&gt;0,1,0))</f>
        <v>0</v>
      </c>
      <c r="CY41" s="39" t="n">
        <f aca="false">IF(CY$4=0,0,IF(COUNTIFS(実績!$W$6:$W$505,CY$3,実績!$AI$6:$AI$505,"&lt;="&amp;$A41,実績!$AJ$6:$AJ$505,"&gt;"&amp;$A41,実績!$AK$6:$AK$505,"○")&gt;0,1,0))</f>
        <v>0</v>
      </c>
      <c r="CZ41" s="39" t="n">
        <f aca="false">IF(CZ$4=0,0,IF(COUNTIFS(実績!$W$6:$W$505,CZ$3,実績!$AI$6:$AI$505,"&lt;="&amp;$A41,実績!$AJ$6:$AJ$505,"&gt;"&amp;$A41,実績!$AK$6:$AK$505,"○")&gt;0,1,0))</f>
        <v>0</v>
      </c>
      <c r="DA41" s="39" t="n">
        <f aca="false">IF(DA$4=0,0,IF(COUNTIFS(実績!$W$6:$W$505,DA$3,実績!$AI$6:$AI$505,"&lt;="&amp;$A41,実績!$AJ$6:$AJ$505,"&gt;"&amp;$A41,実績!$AK$6:$AK$505,"○")&gt;0,1,0))</f>
        <v>0</v>
      </c>
      <c r="DB41" s="39" t="n">
        <f aca="false">IF(DB$4=0,0,IF(COUNTIFS(実績!$W$6:$W$505,DB$3,実績!$AI$6:$AI$505,"&lt;="&amp;$A41,実績!$AJ$6:$AJ$505,"&gt;"&amp;$A41,実績!$AK$6:$AK$505,"○")&gt;0,1,0))</f>
        <v>0</v>
      </c>
      <c r="DC41" s="39" t="n">
        <f aca="false">IF(DC$4=0,0,IF(COUNTIFS(実績!$W$6:$W$505,DC$3,実績!$AI$6:$AI$505,"&lt;="&amp;$A41,実績!$AJ$6:$AJ$505,"&gt;"&amp;$A41,実績!$AK$6:$AK$505,"○")&gt;0,1,0))</f>
        <v>0</v>
      </c>
      <c r="DD41" s="39" t="n">
        <f aca="false">IF(DD$4=0,0,IF(COUNTIFS(実績!$W$6:$W$505,DD$3,実績!$AI$6:$AI$505,"&lt;="&amp;$A41,実績!$AJ$6:$AJ$505,"&gt;"&amp;$A41,実績!$AK$6:$AK$505,"○")&gt;0,1,0))</f>
        <v>0</v>
      </c>
      <c r="DE41" s="39" t="n">
        <f aca="false">IF(DE$4=0,0,IF(COUNTIFS(実績!$W$6:$W$505,DE$3,実績!$AI$6:$AI$505,"&lt;="&amp;$A41,実績!$AJ$6:$AJ$505,"&gt;"&amp;$A41,実績!$AK$6:$AK$505,"○")&gt;0,1,0))</f>
        <v>0</v>
      </c>
      <c r="DF41" s="39" t="n">
        <f aca="false">IF(DF$4=0,0,IF(COUNTIFS(実績!$W$6:$W$505,DF$3,実績!$AI$6:$AI$505,"&lt;="&amp;$A41,実績!$AJ$6:$AJ$505,"&gt;"&amp;$A41,実績!$AK$6:$AK$505,"○")&gt;0,1,0))</f>
        <v>0</v>
      </c>
      <c r="DG41" s="39" t="n">
        <f aca="false">IF(DG$4=0,0,IF(COUNTIFS(実績!$W$6:$W$505,DG$3,実績!$AI$6:$AI$505,"&lt;="&amp;$A41,実績!$AJ$6:$AJ$505,"&gt;"&amp;$A41,実績!$AK$6:$AK$505,"○")&gt;0,1,0))</f>
        <v>0</v>
      </c>
      <c r="DH41" s="39" t="n">
        <f aca="false">IF(DH$4=0,0,IF(COUNTIFS(実績!$W$6:$W$505,DH$3,実績!$AI$6:$AI$505,"&lt;="&amp;$A41,実績!$AJ$6:$AJ$505,"&gt;"&amp;$A41,実績!$AK$6:$AK$505,"○")&gt;0,1,0))</f>
        <v>0</v>
      </c>
      <c r="DI41" s="39" t="n">
        <f aca="false">IF(DI$4=0,0,IF(COUNTIFS(実績!$W$6:$W$505,DI$3,実績!$AI$6:$AI$505,"&lt;="&amp;$A41,実績!$AJ$6:$AJ$505,"&gt;"&amp;$A41,実績!$AK$6:$AK$505,"○")&gt;0,1,0))</f>
        <v>0</v>
      </c>
      <c r="DJ41" s="39" t="n">
        <f aca="false">IF(DJ$4=0,0,IF(COUNTIFS(実績!$W$6:$W$505,DJ$3,実績!$AI$6:$AI$505,"&lt;="&amp;$A41,実績!$AJ$6:$AJ$505,"&gt;"&amp;$A41,実績!$AK$6:$AK$505,"○")&gt;0,1,0))</f>
        <v>0</v>
      </c>
      <c r="DK41" s="39" t="n">
        <f aca="false">IF(DK$4=0,0,IF(COUNTIFS(実績!$W$6:$W$505,DK$3,実績!$AI$6:$AI$505,"&lt;="&amp;$A41,実績!$AJ$6:$AJ$505,"&gt;"&amp;$A41,実績!$AK$6:$AK$505,"○")&gt;0,1,0))</f>
        <v>0</v>
      </c>
      <c r="DL41" s="39" t="n">
        <f aca="false">IF(DL$4=0,0,IF(COUNTIFS(実績!$W$6:$W$505,DL$3,実績!$AI$6:$AI$505,"&lt;="&amp;$A41,実績!$AJ$6:$AJ$505,"&gt;"&amp;$A41,実績!$AK$6:$AK$505,"○")&gt;0,1,0))</f>
        <v>0</v>
      </c>
      <c r="DM41" s="39" t="n">
        <f aca="false">IF(DM$4=0,0,IF(COUNTIFS(実績!$W$6:$W$505,DM$3,実績!$AI$6:$AI$505,"&lt;="&amp;$A41,実績!$AJ$6:$AJ$505,"&gt;"&amp;$A41,実績!$AK$6:$AK$505,"○")&gt;0,1,0))</f>
        <v>0</v>
      </c>
      <c r="DN41" s="39" t="n">
        <f aca="false">IF(DN$4=0,0,IF(COUNTIFS(実績!$W$6:$W$505,DN$3,実績!$AI$6:$AI$505,"&lt;="&amp;$A41,実績!$AJ$6:$AJ$505,"&gt;"&amp;$A41,実績!$AK$6:$AK$505,"○")&gt;0,1,0))</f>
        <v>0</v>
      </c>
      <c r="DO41" s="39" t="n">
        <f aca="false">IF(DO$4=0,0,IF(COUNTIFS(実績!$W$6:$W$505,DO$3,実績!$AI$6:$AI$505,"&lt;="&amp;$A41,実績!$AJ$6:$AJ$505,"&gt;"&amp;$A41,実績!$AK$6:$AK$505,"○")&gt;0,1,0))</f>
        <v>0</v>
      </c>
      <c r="DP41" s="39" t="n">
        <f aca="false">IF(DP$4=0,0,IF(COUNTIFS(実績!$W$6:$W$505,DP$3,実績!$AI$6:$AI$505,"&lt;="&amp;$A41,実績!$AJ$6:$AJ$505,"&gt;"&amp;$A41,実績!$AK$6:$AK$505,"○")&gt;0,1,0))</f>
        <v>0</v>
      </c>
      <c r="DQ41" s="39" t="n">
        <f aca="false">IF(DQ$4=0,0,IF(COUNTIFS(実績!$W$6:$W$505,DQ$3,実績!$AI$6:$AI$505,"&lt;="&amp;$A41,実績!$AJ$6:$AJ$505,"&gt;"&amp;$A41,実績!$AK$6:$AK$505,"○")&gt;0,1,0))</f>
        <v>0</v>
      </c>
      <c r="DR41" s="39" t="n">
        <f aca="false">IF(DR$4=0,0,IF(COUNTIFS(実績!$W$6:$W$505,DR$3,実績!$AI$6:$AI$505,"&lt;="&amp;$A41,実績!$AJ$6:$AJ$505,"&gt;"&amp;$A41,実績!$AK$6:$AK$505,"○")&gt;0,1,0))</f>
        <v>0</v>
      </c>
      <c r="DS41" s="39" t="n">
        <f aca="false">SUM(C41:DR41)</f>
        <v>0</v>
      </c>
      <c r="DT41" s="39" t="n">
        <f aca="false">SUMPRODUCT((実績!$C$6:$C$505="○")*ISNUMBER(実績!$AM$6:$AM$505)*(実績!$AM$6:$AM$505&lt;=$A41)*(実績!$AN$6:$AN$505&gt;$A41))</f>
        <v>0</v>
      </c>
      <c r="DU41" s="39" t="n">
        <f aca="false">SUMIF($C$2:$DR$2,"製鉄曳船",C41:DR41)</f>
        <v>0</v>
      </c>
      <c r="DV41" s="39" t="n">
        <f aca="false">SUMIF($C$2:$DR$2,"西日本海運",C41:DR41)</f>
        <v>0</v>
      </c>
    </row>
    <row r="42" customFormat="false" ht="15" hidden="false" customHeight="false" outlineLevel="0" collapsed="false">
      <c r="A42" s="0" t="n">
        <v>180</v>
      </c>
      <c r="B42" s="38" t="n">
        <f aca="false">A42/1440</f>
        <v>0.125</v>
      </c>
      <c r="C42" s="39" t="n">
        <f aca="false">IF(C$4=0,0,IF(COUNTIFS(実績!$W$6:$W$505,C$3,実績!$AI$6:$AI$505,"&lt;="&amp;$A42,実績!$AJ$6:$AJ$505,"&gt;"&amp;$A42,実績!$AK$6:$AK$505,"○")&gt;0,1,0))</f>
        <v>0</v>
      </c>
      <c r="D42" s="39" t="n">
        <f aca="false">IF(D$4=0,0,IF(COUNTIFS(実績!$W$6:$W$505,D$3,実績!$AI$6:$AI$505,"&lt;="&amp;$A42,実績!$AJ$6:$AJ$505,"&gt;"&amp;$A42,実績!$AK$6:$AK$505,"○")&gt;0,1,0))</f>
        <v>0</v>
      </c>
      <c r="E42" s="39" t="n">
        <f aca="false">IF(E$4=0,0,IF(COUNTIFS(実績!$W$6:$W$505,E$3,実績!$AI$6:$AI$505,"&lt;="&amp;$A42,実績!$AJ$6:$AJ$505,"&gt;"&amp;$A42,実績!$AK$6:$AK$505,"○")&gt;0,1,0))</f>
        <v>0</v>
      </c>
      <c r="F42" s="39" t="n">
        <f aca="false">IF(F$4=0,0,IF(COUNTIFS(実績!$W$6:$W$505,F$3,実績!$AI$6:$AI$505,"&lt;="&amp;$A42,実績!$AJ$6:$AJ$505,"&gt;"&amp;$A42,実績!$AK$6:$AK$505,"○")&gt;0,1,0))</f>
        <v>0</v>
      </c>
      <c r="G42" s="39" t="n">
        <f aca="false">IF(G$4=0,0,IF(COUNTIFS(実績!$W$6:$W$505,G$3,実績!$AI$6:$AI$505,"&lt;="&amp;$A42,実績!$AJ$6:$AJ$505,"&gt;"&amp;$A42,実績!$AK$6:$AK$505,"○")&gt;0,1,0))</f>
        <v>0</v>
      </c>
      <c r="H42" s="39" t="n">
        <f aca="false">IF(H$4=0,0,IF(COUNTIFS(実績!$W$6:$W$505,H$3,実績!$AI$6:$AI$505,"&lt;="&amp;$A42,実績!$AJ$6:$AJ$505,"&gt;"&amp;$A42,実績!$AK$6:$AK$505,"○")&gt;0,1,0))</f>
        <v>0</v>
      </c>
      <c r="I42" s="39" t="n">
        <f aca="false">IF(I$4=0,0,IF(COUNTIFS(実績!$W$6:$W$505,I$3,実績!$AI$6:$AI$505,"&lt;="&amp;$A42,実績!$AJ$6:$AJ$505,"&gt;"&amp;$A42,実績!$AK$6:$AK$505,"○")&gt;0,1,0))</f>
        <v>0</v>
      </c>
      <c r="J42" s="39" t="n">
        <f aca="false">IF(J$4=0,0,IF(COUNTIFS(実績!$W$6:$W$505,J$3,実績!$AI$6:$AI$505,"&lt;="&amp;$A42,実績!$AJ$6:$AJ$505,"&gt;"&amp;$A42,実績!$AK$6:$AK$505,"○")&gt;0,1,0))</f>
        <v>0</v>
      </c>
      <c r="K42" s="39" t="n">
        <f aca="false">IF(K$4=0,0,IF(COUNTIFS(実績!$W$6:$W$505,K$3,実績!$AI$6:$AI$505,"&lt;="&amp;$A42,実績!$AJ$6:$AJ$505,"&gt;"&amp;$A42,実績!$AK$6:$AK$505,"○")&gt;0,1,0))</f>
        <v>0</v>
      </c>
      <c r="L42" s="39" t="n">
        <f aca="false">IF(L$4=0,0,IF(COUNTIFS(実績!$W$6:$W$505,L$3,実績!$AI$6:$AI$505,"&lt;="&amp;$A42,実績!$AJ$6:$AJ$505,"&gt;"&amp;$A42,実績!$AK$6:$AK$505,"○")&gt;0,1,0))</f>
        <v>0</v>
      </c>
      <c r="M42" s="39" t="n">
        <f aca="false">IF(M$4=0,0,IF(COUNTIFS(実績!$W$6:$W$505,M$3,実績!$AI$6:$AI$505,"&lt;="&amp;$A42,実績!$AJ$6:$AJ$505,"&gt;"&amp;$A42,実績!$AK$6:$AK$505,"○")&gt;0,1,0))</f>
        <v>0</v>
      </c>
      <c r="N42" s="39" t="n">
        <f aca="false">IF(N$4=0,0,IF(COUNTIFS(実績!$W$6:$W$505,N$3,実績!$AI$6:$AI$505,"&lt;="&amp;$A42,実績!$AJ$6:$AJ$505,"&gt;"&amp;$A42,実績!$AK$6:$AK$505,"○")&gt;0,1,0))</f>
        <v>0</v>
      </c>
      <c r="O42" s="39" t="n">
        <f aca="false">IF(O$4=0,0,IF(COUNTIFS(実績!$W$6:$W$505,O$3,実績!$AI$6:$AI$505,"&lt;="&amp;$A42,実績!$AJ$6:$AJ$505,"&gt;"&amp;$A42,実績!$AK$6:$AK$505,"○")&gt;0,1,0))</f>
        <v>0</v>
      </c>
      <c r="P42" s="39" t="n">
        <f aca="false">IF(P$4=0,0,IF(COUNTIFS(実績!$W$6:$W$505,P$3,実績!$AI$6:$AI$505,"&lt;="&amp;$A42,実績!$AJ$6:$AJ$505,"&gt;"&amp;$A42,実績!$AK$6:$AK$505,"○")&gt;0,1,0))</f>
        <v>0</v>
      </c>
      <c r="Q42" s="39" t="n">
        <f aca="false">IF(Q$4=0,0,IF(COUNTIFS(実績!$W$6:$W$505,Q$3,実績!$AI$6:$AI$505,"&lt;="&amp;$A42,実績!$AJ$6:$AJ$505,"&gt;"&amp;$A42,実績!$AK$6:$AK$505,"○")&gt;0,1,0))</f>
        <v>0</v>
      </c>
      <c r="R42" s="39" t="n">
        <f aca="false">IF(R$4=0,0,IF(COUNTIFS(実績!$W$6:$W$505,R$3,実績!$AI$6:$AI$505,"&lt;="&amp;$A42,実績!$AJ$6:$AJ$505,"&gt;"&amp;$A42,実績!$AK$6:$AK$505,"○")&gt;0,1,0))</f>
        <v>0</v>
      </c>
      <c r="S42" s="39" t="n">
        <f aca="false">IF(S$4=0,0,IF(COUNTIFS(実績!$W$6:$W$505,S$3,実績!$AI$6:$AI$505,"&lt;="&amp;$A42,実績!$AJ$6:$AJ$505,"&gt;"&amp;$A42,実績!$AK$6:$AK$505,"○")&gt;0,1,0))</f>
        <v>0</v>
      </c>
      <c r="T42" s="39" t="n">
        <f aca="false">IF(T$4=0,0,IF(COUNTIFS(実績!$W$6:$W$505,T$3,実績!$AI$6:$AI$505,"&lt;="&amp;$A42,実績!$AJ$6:$AJ$505,"&gt;"&amp;$A42,実績!$AK$6:$AK$505,"○")&gt;0,1,0))</f>
        <v>0</v>
      </c>
      <c r="U42" s="39" t="n">
        <f aca="false">IF(U$4=0,0,IF(COUNTIFS(実績!$W$6:$W$505,U$3,実績!$AI$6:$AI$505,"&lt;="&amp;$A42,実績!$AJ$6:$AJ$505,"&gt;"&amp;$A42,実績!$AK$6:$AK$505,"○")&gt;0,1,0))</f>
        <v>0</v>
      </c>
      <c r="V42" s="39" t="n">
        <f aca="false">IF(V$4=0,0,IF(COUNTIFS(実績!$W$6:$W$505,V$3,実績!$AI$6:$AI$505,"&lt;="&amp;$A42,実績!$AJ$6:$AJ$505,"&gt;"&amp;$A42,実績!$AK$6:$AK$505,"○")&gt;0,1,0))</f>
        <v>0</v>
      </c>
      <c r="W42" s="39" t="n">
        <f aca="false">IF(W$4=0,0,IF(COUNTIFS(実績!$W$6:$W$505,W$3,実績!$AI$6:$AI$505,"&lt;="&amp;$A42,実績!$AJ$6:$AJ$505,"&gt;"&amp;$A42,実績!$AK$6:$AK$505,"○")&gt;0,1,0))</f>
        <v>0</v>
      </c>
      <c r="X42" s="39" t="n">
        <f aca="false">IF(X$4=0,0,IF(COUNTIFS(実績!$W$6:$W$505,X$3,実績!$AI$6:$AI$505,"&lt;="&amp;$A42,実績!$AJ$6:$AJ$505,"&gt;"&amp;$A42,実績!$AK$6:$AK$505,"○")&gt;0,1,0))</f>
        <v>0</v>
      </c>
      <c r="Y42" s="39" t="n">
        <f aca="false">IF(Y$4=0,0,IF(COUNTIFS(実績!$W$6:$W$505,Y$3,実績!$AI$6:$AI$505,"&lt;="&amp;$A42,実績!$AJ$6:$AJ$505,"&gt;"&amp;$A42,実績!$AK$6:$AK$505,"○")&gt;0,1,0))</f>
        <v>0</v>
      </c>
      <c r="Z42" s="39" t="n">
        <f aca="false">IF(Z$4=0,0,IF(COUNTIFS(実績!$W$6:$W$505,Z$3,実績!$AI$6:$AI$505,"&lt;="&amp;$A42,実績!$AJ$6:$AJ$505,"&gt;"&amp;$A42,実績!$AK$6:$AK$505,"○")&gt;0,1,0))</f>
        <v>0</v>
      </c>
      <c r="AA42" s="39" t="n">
        <f aca="false">IF(AA$4=0,0,IF(COUNTIFS(実績!$W$6:$W$505,AA$3,実績!$AI$6:$AI$505,"&lt;="&amp;$A42,実績!$AJ$6:$AJ$505,"&gt;"&amp;$A42,実績!$AK$6:$AK$505,"○")&gt;0,1,0))</f>
        <v>0</v>
      </c>
      <c r="AB42" s="39" t="n">
        <f aca="false">IF(AB$4=0,0,IF(COUNTIFS(実績!$W$6:$W$505,AB$3,実績!$AI$6:$AI$505,"&lt;="&amp;$A42,実績!$AJ$6:$AJ$505,"&gt;"&amp;$A42,実績!$AK$6:$AK$505,"○")&gt;0,1,0))</f>
        <v>0</v>
      </c>
      <c r="AC42" s="39" t="n">
        <f aca="false">IF(AC$4=0,0,IF(COUNTIFS(実績!$W$6:$W$505,AC$3,実績!$AI$6:$AI$505,"&lt;="&amp;$A42,実績!$AJ$6:$AJ$505,"&gt;"&amp;$A42,実績!$AK$6:$AK$505,"○")&gt;0,1,0))</f>
        <v>0</v>
      </c>
      <c r="AD42" s="39" t="n">
        <f aca="false">IF(AD$4=0,0,IF(COUNTIFS(実績!$W$6:$W$505,AD$3,実績!$AI$6:$AI$505,"&lt;="&amp;$A42,実績!$AJ$6:$AJ$505,"&gt;"&amp;$A42,実績!$AK$6:$AK$505,"○")&gt;0,1,0))</f>
        <v>0</v>
      </c>
      <c r="AE42" s="39" t="n">
        <f aca="false">IF(AE$4=0,0,IF(COUNTIFS(実績!$W$6:$W$505,AE$3,実績!$AI$6:$AI$505,"&lt;="&amp;$A42,実績!$AJ$6:$AJ$505,"&gt;"&amp;$A42,実績!$AK$6:$AK$505,"○")&gt;0,1,0))</f>
        <v>0</v>
      </c>
      <c r="AF42" s="39" t="n">
        <f aca="false">IF(AF$4=0,0,IF(COUNTIFS(実績!$W$6:$W$505,AF$3,実績!$AI$6:$AI$505,"&lt;="&amp;$A42,実績!$AJ$6:$AJ$505,"&gt;"&amp;$A42,実績!$AK$6:$AK$505,"○")&gt;0,1,0))</f>
        <v>0</v>
      </c>
      <c r="AG42" s="39" t="n">
        <f aca="false">IF(AG$4=0,0,IF(COUNTIFS(実績!$W$6:$W$505,AG$3,実績!$AI$6:$AI$505,"&lt;="&amp;$A42,実績!$AJ$6:$AJ$505,"&gt;"&amp;$A42,実績!$AK$6:$AK$505,"○")&gt;0,1,0))</f>
        <v>0</v>
      </c>
      <c r="AH42" s="39" t="n">
        <f aca="false">IF(AH$4=0,0,IF(COUNTIFS(実績!$W$6:$W$505,AH$3,実績!$AI$6:$AI$505,"&lt;="&amp;$A42,実績!$AJ$6:$AJ$505,"&gt;"&amp;$A42,実績!$AK$6:$AK$505,"○")&gt;0,1,0))</f>
        <v>0</v>
      </c>
      <c r="AI42" s="39" t="n">
        <f aca="false">IF(AI$4=0,0,IF(COUNTIFS(実績!$W$6:$W$505,AI$3,実績!$AI$6:$AI$505,"&lt;="&amp;$A42,実績!$AJ$6:$AJ$505,"&gt;"&amp;$A42,実績!$AK$6:$AK$505,"○")&gt;0,1,0))</f>
        <v>0</v>
      </c>
      <c r="AJ42" s="39" t="n">
        <f aca="false">IF(AJ$4=0,0,IF(COUNTIFS(実績!$W$6:$W$505,AJ$3,実績!$AI$6:$AI$505,"&lt;="&amp;$A42,実績!$AJ$6:$AJ$505,"&gt;"&amp;$A42,実績!$AK$6:$AK$505,"○")&gt;0,1,0))</f>
        <v>0</v>
      </c>
      <c r="AK42" s="39" t="n">
        <f aca="false">IF(AK$4=0,0,IF(COUNTIFS(実績!$W$6:$W$505,AK$3,実績!$AI$6:$AI$505,"&lt;="&amp;$A42,実績!$AJ$6:$AJ$505,"&gt;"&amp;$A42,実績!$AK$6:$AK$505,"○")&gt;0,1,0))</f>
        <v>0</v>
      </c>
      <c r="AL42" s="39" t="n">
        <f aca="false">IF(AL$4=0,0,IF(COUNTIFS(実績!$W$6:$W$505,AL$3,実績!$AI$6:$AI$505,"&lt;="&amp;$A42,実績!$AJ$6:$AJ$505,"&gt;"&amp;$A42,実績!$AK$6:$AK$505,"○")&gt;0,1,0))</f>
        <v>0</v>
      </c>
      <c r="AM42" s="39" t="n">
        <f aca="false">IF(AM$4=0,0,IF(COUNTIFS(実績!$W$6:$W$505,AM$3,実績!$AI$6:$AI$505,"&lt;="&amp;$A42,実績!$AJ$6:$AJ$505,"&gt;"&amp;$A42,実績!$AK$6:$AK$505,"○")&gt;0,1,0))</f>
        <v>0</v>
      </c>
      <c r="AN42" s="39" t="n">
        <f aca="false">IF(AN$4=0,0,IF(COUNTIFS(実績!$W$6:$W$505,AN$3,実績!$AI$6:$AI$505,"&lt;="&amp;$A42,実績!$AJ$6:$AJ$505,"&gt;"&amp;$A42,実績!$AK$6:$AK$505,"○")&gt;0,1,0))</f>
        <v>0</v>
      </c>
      <c r="AO42" s="39" t="n">
        <f aca="false">IF(AO$4=0,0,IF(COUNTIFS(実績!$W$6:$W$505,AO$3,実績!$AI$6:$AI$505,"&lt;="&amp;$A42,実績!$AJ$6:$AJ$505,"&gt;"&amp;$A42,実績!$AK$6:$AK$505,"○")&gt;0,1,0))</f>
        <v>0</v>
      </c>
      <c r="AP42" s="39" t="n">
        <f aca="false">IF(AP$4=0,0,IF(COUNTIFS(実績!$W$6:$W$505,AP$3,実績!$AI$6:$AI$505,"&lt;="&amp;$A42,実績!$AJ$6:$AJ$505,"&gt;"&amp;$A42,実績!$AK$6:$AK$505,"○")&gt;0,1,0))</f>
        <v>0</v>
      </c>
      <c r="AQ42" s="39" t="n">
        <f aca="false">IF(AQ$4=0,0,IF(COUNTIFS(実績!$W$6:$W$505,AQ$3,実績!$AI$6:$AI$505,"&lt;="&amp;$A42,実績!$AJ$6:$AJ$505,"&gt;"&amp;$A42,実績!$AK$6:$AK$505,"○")&gt;0,1,0))</f>
        <v>0</v>
      </c>
      <c r="AR42" s="39" t="n">
        <f aca="false">IF(AR$4=0,0,IF(COUNTIFS(実績!$W$6:$W$505,AR$3,実績!$AI$6:$AI$505,"&lt;="&amp;$A42,実績!$AJ$6:$AJ$505,"&gt;"&amp;$A42,実績!$AK$6:$AK$505,"○")&gt;0,1,0))</f>
        <v>0</v>
      </c>
      <c r="AS42" s="39" t="n">
        <f aca="false">IF(AS$4=0,0,IF(COUNTIFS(実績!$W$6:$W$505,AS$3,実績!$AI$6:$AI$505,"&lt;="&amp;$A42,実績!$AJ$6:$AJ$505,"&gt;"&amp;$A42,実績!$AK$6:$AK$505,"○")&gt;0,1,0))</f>
        <v>0</v>
      </c>
      <c r="AT42" s="39" t="n">
        <f aca="false">IF(AT$4=0,0,IF(COUNTIFS(実績!$W$6:$W$505,AT$3,実績!$AI$6:$AI$505,"&lt;="&amp;$A42,実績!$AJ$6:$AJ$505,"&gt;"&amp;$A42,実績!$AK$6:$AK$505,"○")&gt;0,1,0))</f>
        <v>0</v>
      </c>
      <c r="AU42" s="39" t="n">
        <f aca="false">IF(AU$4=0,0,IF(COUNTIFS(実績!$W$6:$W$505,AU$3,実績!$AI$6:$AI$505,"&lt;="&amp;$A42,実績!$AJ$6:$AJ$505,"&gt;"&amp;$A42,実績!$AK$6:$AK$505,"○")&gt;0,1,0))</f>
        <v>0</v>
      </c>
      <c r="AV42" s="39" t="n">
        <f aca="false">IF(AV$4=0,0,IF(COUNTIFS(実績!$W$6:$W$505,AV$3,実績!$AI$6:$AI$505,"&lt;="&amp;$A42,実績!$AJ$6:$AJ$505,"&gt;"&amp;$A42,実績!$AK$6:$AK$505,"○")&gt;0,1,0))</f>
        <v>0</v>
      </c>
      <c r="AW42" s="39" t="n">
        <f aca="false">IF(AW$4=0,0,IF(COUNTIFS(実績!$W$6:$W$505,AW$3,実績!$AI$6:$AI$505,"&lt;="&amp;$A42,実績!$AJ$6:$AJ$505,"&gt;"&amp;$A42,実績!$AK$6:$AK$505,"○")&gt;0,1,0))</f>
        <v>0</v>
      </c>
      <c r="AX42" s="39" t="n">
        <f aca="false">IF(AX$4=0,0,IF(COUNTIFS(実績!$W$6:$W$505,AX$3,実績!$AI$6:$AI$505,"&lt;="&amp;$A42,実績!$AJ$6:$AJ$505,"&gt;"&amp;$A42,実績!$AK$6:$AK$505,"○")&gt;0,1,0))</f>
        <v>0</v>
      </c>
      <c r="AY42" s="39" t="n">
        <f aca="false">IF(AY$4=0,0,IF(COUNTIFS(実績!$W$6:$W$505,AY$3,実績!$AI$6:$AI$505,"&lt;="&amp;$A42,実績!$AJ$6:$AJ$505,"&gt;"&amp;$A42,実績!$AK$6:$AK$505,"○")&gt;0,1,0))</f>
        <v>0</v>
      </c>
      <c r="AZ42" s="39" t="n">
        <f aca="false">IF(AZ$4=0,0,IF(COUNTIFS(実績!$W$6:$W$505,AZ$3,実績!$AI$6:$AI$505,"&lt;="&amp;$A42,実績!$AJ$6:$AJ$505,"&gt;"&amp;$A42,実績!$AK$6:$AK$505,"○")&gt;0,1,0))</f>
        <v>0</v>
      </c>
      <c r="BA42" s="39" t="n">
        <f aca="false">IF(BA$4=0,0,IF(COUNTIFS(実績!$W$6:$W$505,BA$3,実績!$AI$6:$AI$505,"&lt;="&amp;$A42,実績!$AJ$6:$AJ$505,"&gt;"&amp;$A42,実績!$AK$6:$AK$505,"○")&gt;0,1,0))</f>
        <v>0</v>
      </c>
      <c r="BB42" s="39" t="n">
        <f aca="false">IF(BB$4=0,0,IF(COUNTIFS(実績!$W$6:$W$505,BB$3,実績!$AI$6:$AI$505,"&lt;="&amp;$A42,実績!$AJ$6:$AJ$505,"&gt;"&amp;$A42,実績!$AK$6:$AK$505,"○")&gt;0,1,0))</f>
        <v>0</v>
      </c>
      <c r="BC42" s="39" t="n">
        <f aca="false">IF(BC$4=0,0,IF(COUNTIFS(実績!$W$6:$W$505,BC$3,実績!$AI$6:$AI$505,"&lt;="&amp;$A42,実績!$AJ$6:$AJ$505,"&gt;"&amp;$A42,実績!$AK$6:$AK$505,"○")&gt;0,1,0))</f>
        <v>0</v>
      </c>
      <c r="BD42" s="39" t="n">
        <f aca="false">IF(BD$4=0,0,IF(COUNTIFS(実績!$W$6:$W$505,BD$3,実績!$AI$6:$AI$505,"&lt;="&amp;$A42,実績!$AJ$6:$AJ$505,"&gt;"&amp;$A42,実績!$AK$6:$AK$505,"○")&gt;0,1,0))</f>
        <v>0</v>
      </c>
      <c r="BE42" s="39" t="n">
        <f aca="false">IF(BE$4=0,0,IF(COUNTIFS(実績!$W$6:$W$505,BE$3,実績!$AI$6:$AI$505,"&lt;="&amp;$A42,実績!$AJ$6:$AJ$505,"&gt;"&amp;$A42,実績!$AK$6:$AK$505,"○")&gt;0,1,0))</f>
        <v>0</v>
      </c>
      <c r="BF42" s="39" t="n">
        <f aca="false">IF(BF$4=0,0,IF(COUNTIFS(実績!$W$6:$W$505,BF$3,実績!$AI$6:$AI$505,"&lt;="&amp;$A42,実績!$AJ$6:$AJ$505,"&gt;"&amp;$A42,実績!$AK$6:$AK$505,"○")&gt;0,1,0))</f>
        <v>0</v>
      </c>
      <c r="BG42" s="39" t="n">
        <f aca="false">IF(BG$4=0,0,IF(COUNTIFS(実績!$W$6:$W$505,BG$3,実績!$AI$6:$AI$505,"&lt;="&amp;$A42,実績!$AJ$6:$AJ$505,"&gt;"&amp;$A42,実績!$AK$6:$AK$505,"○")&gt;0,1,0))</f>
        <v>0</v>
      </c>
      <c r="BH42" s="39" t="n">
        <f aca="false">IF(BH$4=0,0,IF(COUNTIFS(実績!$W$6:$W$505,BH$3,実績!$AI$6:$AI$505,"&lt;="&amp;$A42,実績!$AJ$6:$AJ$505,"&gt;"&amp;$A42,実績!$AK$6:$AK$505,"○")&gt;0,1,0))</f>
        <v>0</v>
      </c>
      <c r="BI42" s="39" t="n">
        <f aca="false">IF(BI$4=0,0,IF(COUNTIFS(実績!$W$6:$W$505,BI$3,実績!$AI$6:$AI$505,"&lt;="&amp;$A42,実績!$AJ$6:$AJ$505,"&gt;"&amp;$A42,実績!$AK$6:$AK$505,"○")&gt;0,1,0))</f>
        <v>0</v>
      </c>
      <c r="BJ42" s="39" t="n">
        <f aca="false">IF(BJ$4=0,0,IF(COUNTIFS(実績!$W$6:$W$505,BJ$3,実績!$AI$6:$AI$505,"&lt;="&amp;$A42,実績!$AJ$6:$AJ$505,"&gt;"&amp;$A42,実績!$AK$6:$AK$505,"○")&gt;0,1,0))</f>
        <v>0</v>
      </c>
      <c r="BK42" s="39" t="n">
        <f aca="false">IF(BK$4=0,0,IF(COUNTIFS(実績!$W$6:$W$505,BK$3,実績!$AI$6:$AI$505,"&lt;="&amp;$A42,実績!$AJ$6:$AJ$505,"&gt;"&amp;$A42,実績!$AK$6:$AK$505,"○")&gt;0,1,0))</f>
        <v>0</v>
      </c>
      <c r="BL42" s="39" t="n">
        <f aca="false">IF(BL$4=0,0,IF(COUNTIFS(実績!$W$6:$W$505,BL$3,実績!$AI$6:$AI$505,"&lt;="&amp;$A42,実績!$AJ$6:$AJ$505,"&gt;"&amp;$A42,実績!$AK$6:$AK$505,"○")&gt;0,1,0))</f>
        <v>0</v>
      </c>
      <c r="BM42" s="39" t="n">
        <f aca="false">IF(BM$4=0,0,IF(COUNTIFS(実績!$W$6:$W$505,BM$3,実績!$AI$6:$AI$505,"&lt;="&amp;$A42,実績!$AJ$6:$AJ$505,"&gt;"&amp;$A42,実績!$AK$6:$AK$505,"○")&gt;0,1,0))</f>
        <v>0</v>
      </c>
      <c r="BN42" s="39" t="n">
        <f aca="false">IF(BN$4=0,0,IF(COUNTIFS(実績!$W$6:$W$505,BN$3,実績!$AI$6:$AI$505,"&lt;="&amp;$A42,実績!$AJ$6:$AJ$505,"&gt;"&amp;$A42,実績!$AK$6:$AK$505,"○")&gt;0,1,0))</f>
        <v>0</v>
      </c>
      <c r="BO42" s="39" t="n">
        <f aca="false">IF(BO$4=0,0,IF(COUNTIFS(実績!$W$6:$W$505,BO$3,実績!$AI$6:$AI$505,"&lt;="&amp;$A42,実績!$AJ$6:$AJ$505,"&gt;"&amp;$A42,実績!$AK$6:$AK$505,"○")&gt;0,1,0))</f>
        <v>0</v>
      </c>
      <c r="BP42" s="39" t="n">
        <f aca="false">IF(BP$4=0,0,IF(COUNTIFS(実績!$W$6:$W$505,BP$3,実績!$AI$6:$AI$505,"&lt;="&amp;$A42,実績!$AJ$6:$AJ$505,"&gt;"&amp;$A42,実績!$AK$6:$AK$505,"○")&gt;0,1,0))</f>
        <v>0</v>
      </c>
      <c r="BQ42" s="39" t="n">
        <f aca="false">IF(BQ$4=0,0,IF(COUNTIFS(実績!$W$6:$W$505,BQ$3,実績!$AI$6:$AI$505,"&lt;="&amp;$A42,実績!$AJ$6:$AJ$505,"&gt;"&amp;$A42,実績!$AK$6:$AK$505,"○")&gt;0,1,0))</f>
        <v>0</v>
      </c>
      <c r="BR42" s="39" t="n">
        <f aca="false">IF(BR$4=0,0,IF(COUNTIFS(実績!$W$6:$W$505,BR$3,実績!$AI$6:$AI$505,"&lt;="&amp;$A42,実績!$AJ$6:$AJ$505,"&gt;"&amp;$A42,実績!$AK$6:$AK$505,"○")&gt;0,1,0))</f>
        <v>0</v>
      </c>
      <c r="BS42" s="39" t="n">
        <f aca="false">IF(BS$4=0,0,IF(COUNTIFS(実績!$W$6:$W$505,BS$3,実績!$AI$6:$AI$505,"&lt;="&amp;$A42,実績!$AJ$6:$AJ$505,"&gt;"&amp;$A42,実績!$AK$6:$AK$505,"○")&gt;0,1,0))</f>
        <v>0</v>
      </c>
      <c r="BT42" s="39" t="n">
        <f aca="false">IF(BT$4=0,0,IF(COUNTIFS(実績!$W$6:$W$505,BT$3,実績!$AI$6:$AI$505,"&lt;="&amp;$A42,実績!$AJ$6:$AJ$505,"&gt;"&amp;$A42,実績!$AK$6:$AK$505,"○")&gt;0,1,0))</f>
        <v>0</v>
      </c>
      <c r="BU42" s="39" t="n">
        <f aca="false">IF(BU$4=0,0,IF(COUNTIFS(実績!$W$6:$W$505,BU$3,実績!$AI$6:$AI$505,"&lt;="&amp;$A42,実績!$AJ$6:$AJ$505,"&gt;"&amp;$A42,実績!$AK$6:$AK$505,"○")&gt;0,1,0))</f>
        <v>0</v>
      </c>
      <c r="BV42" s="39" t="n">
        <f aca="false">IF(BV$4=0,0,IF(COUNTIFS(実績!$W$6:$W$505,BV$3,実績!$AI$6:$AI$505,"&lt;="&amp;$A42,実績!$AJ$6:$AJ$505,"&gt;"&amp;$A42,実績!$AK$6:$AK$505,"○")&gt;0,1,0))</f>
        <v>0</v>
      </c>
      <c r="BW42" s="39" t="n">
        <f aca="false">IF(BW$4=0,0,IF(COUNTIFS(実績!$W$6:$W$505,BW$3,実績!$AI$6:$AI$505,"&lt;="&amp;$A42,実績!$AJ$6:$AJ$505,"&gt;"&amp;$A42,実績!$AK$6:$AK$505,"○")&gt;0,1,0))</f>
        <v>0</v>
      </c>
      <c r="BX42" s="39" t="n">
        <f aca="false">IF(BX$4=0,0,IF(COUNTIFS(実績!$W$6:$W$505,BX$3,実績!$AI$6:$AI$505,"&lt;="&amp;$A42,実績!$AJ$6:$AJ$505,"&gt;"&amp;$A42,実績!$AK$6:$AK$505,"○")&gt;0,1,0))</f>
        <v>0</v>
      </c>
      <c r="BY42" s="39" t="n">
        <f aca="false">IF(BY$4=0,0,IF(COUNTIFS(実績!$W$6:$W$505,BY$3,実績!$AI$6:$AI$505,"&lt;="&amp;$A42,実績!$AJ$6:$AJ$505,"&gt;"&amp;$A42,実績!$AK$6:$AK$505,"○")&gt;0,1,0))</f>
        <v>0</v>
      </c>
      <c r="BZ42" s="39" t="n">
        <f aca="false">IF(BZ$4=0,0,IF(COUNTIFS(実績!$W$6:$W$505,BZ$3,実績!$AI$6:$AI$505,"&lt;="&amp;$A42,実績!$AJ$6:$AJ$505,"&gt;"&amp;$A42,実績!$AK$6:$AK$505,"○")&gt;0,1,0))</f>
        <v>0</v>
      </c>
      <c r="CA42" s="39" t="n">
        <f aca="false">IF(CA$4=0,0,IF(COUNTIFS(実績!$W$6:$W$505,CA$3,実績!$AI$6:$AI$505,"&lt;="&amp;$A42,実績!$AJ$6:$AJ$505,"&gt;"&amp;$A42,実績!$AK$6:$AK$505,"○")&gt;0,1,0))</f>
        <v>0</v>
      </c>
      <c r="CB42" s="39" t="n">
        <f aca="false">IF(CB$4=0,0,IF(COUNTIFS(実績!$W$6:$W$505,CB$3,実績!$AI$6:$AI$505,"&lt;="&amp;$A42,実績!$AJ$6:$AJ$505,"&gt;"&amp;$A42,実績!$AK$6:$AK$505,"○")&gt;0,1,0))</f>
        <v>0</v>
      </c>
      <c r="CC42" s="39" t="n">
        <f aca="false">IF(CC$4=0,0,IF(COUNTIFS(実績!$W$6:$W$505,CC$3,実績!$AI$6:$AI$505,"&lt;="&amp;$A42,実績!$AJ$6:$AJ$505,"&gt;"&amp;$A42,実績!$AK$6:$AK$505,"○")&gt;0,1,0))</f>
        <v>0</v>
      </c>
      <c r="CD42" s="39" t="n">
        <f aca="false">IF(CD$4=0,0,IF(COUNTIFS(実績!$W$6:$W$505,CD$3,実績!$AI$6:$AI$505,"&lt;="&amp;$A42,実績!$AJ$6:$AJ$505,"&gt;"&amp;$A42,実績!$AK$6:$AK$505,"○")&gt;0,1,0))</f>
        <v>0</v>
      </c>
      <c r="CE42" s="39" t="n">
        <f aca="false">IF(CE$4=0,0,IF(COUNTIFS(実績!$W$6:$W$505,CE$3,実績!$AI$6:$AI$505,"&lt;="&amp;$A42,実績!$AJ$6:$AJ$505,"&gt;"&amp;$A42,実績!$AK$6:$AK$505,"○")&gt;0,1,0))</f>
        <v>0</v>
      </c>
      <c r="CF42" s="39" t="n">
        <f aca="false">IF(CF$4=0,0,IF(COUNTIFS(実績!$W$6:$W$505,CF$3,実績!$AI$6:$AI$505,"&lt;="&amp;$A42,実績!$AJ$6:$AJ$505,"&gt;"&amp;$A42,実績!$AK$6:$AK$505,"○")&gt;0,1,0))</f>
        <v>0</v>
      </c>
      <c r="CG42" s="39" t="n">
        <f aca="false">IF(CG$4=0,0,IF(COUNTIFS(実績!$W$6:$W$505,CG$3,実績!$AI$6:$AI$505,"&lt;="&amp;$A42,実績!$AJ$6:$AJ$505,"&gt;"&amp;$A42,実績!$AK$6:$AK$505,"○")&gt;0,1,0))</f>
        <v>0</v>
      </c>
      <c r="CH42" s="39" t="n">
        <f aca="false">IF(CH$4=0,0,IF(COUNTIFS(実績!$W$6:$W$505,CH$3,実績!$AI$6:$AI$505,"&lt;="&amp;$A42,実績!$AJ$6:$AJ$505,"&gt;"&amp;$A42,実績!$AK$6:$AK$505,"○")&gt;0,1,0))</f>
        <v>0</v>
      </c>
      <c r="CI42" s="39" t="n">
        <f aca="false">IF(CI$4=0,0,IF(COUNTIFS(実績!$W$6:$W$505,CI$3,実績!$AI$6:$AI$505,"&lt;="&amp;$A42,実績!$AJ$6:$AJ$505,"&gt;"&amp;$A42,実績!$AK$6:$AK$505,"○")&gt;0,1,0))</f>
        <v>0</v>
      </c>
      <c r="CJ42" s="39" t="n">
        <f aca="false">IF(CJ$4=0,0,IF(COUNTIFS(実績!$W$6:$W$505,CJ$3,実績!$AI$6:$AI$505,"&lt;="&amp;$A42,実績!$AJ$6:$AJ$505,"&gt;"&amp;$A42,実績!$AK$6:$AK$505,"○")&gt;0,1,0))</f>
        <v>0</v>
      </c>
      <c r="CK42" s="39" t="n">
        <f aca="false">IF(CK$4=0,0,IF(COUNTIFS(実績!$W$6:$W$505,CK$3,実績!$AI$6:$AI$505,"&lt;="&amp;$A42,実績!$AJ$6:$AJ$505,"&gt;"&amp;$A42,実績!$AK$6:$AK$505,"○")&gt;0,1,0))</f>
        <v>0</v>
      </c>
      <c r="CL42" s="39" t="n">
        <f aca="false">IF(CL$4=0,0,IF(COUNTIFS(実績!$W$6:$W$505,CL$3,実績!$AI$6:$AI$505,"&lt;="&amp;$A42,実績!$AJ$6:$AJ$505,"&gt;"&amp;$A42,実績!$AK$6:$AK$505,"○")&gt;0,1,0))</f>
        <v>0</v>
      </c>
      <c r="CM42" s="39" t="n">
        <f aca="false">IF(CM$4=0,0,IF(COUNTIFS(実績!$W$6:$W$505,CM$3,実績!$AI$6:$AI$505,"&lt;="&amp;$A42,実績!$AJ$6:$AJ$505,"&gt;"&amp;$A42,実績!$AK$6:$AK$505,"○")&gt;0,1,0))</f>
        <v>0</v>
      </c>
      <c r="CN42" s="39" t="n">
        <f aca="false">IF(CN$4=0,0,IF(COUNTIFS(実績!$W$6:$W$505,CN$3,実績!$AI$6:$AI$505,"&lt;="&amp;$A42,実績!$AJ$6:$AJ$505,"&gt;"&amp;$A42,実績!$AK$6:$AK$505,"○")&gt;0,1,0))</f>
        <v>0</v>
      </c>
      <c r="CO42" s="39" t="n">
        <f aca="false">IF(CO$4=0,0,IF(COUNTIFS(実績!$W$6:$W$505,CO$3,実績!$AI$6:$AI$505,"&lt;="&amp;$A42,実績!$AJ$6:$AJ$505,"&gt;"&amp;$A42,実績!$AK$6:$AK$505,"○")&gt;0,1,0))</f>
        <v>0</v>
      </c>
      <c r="CP42" s="39" t="n">
        <f aca="false">IF(CP$4=0,0,IF(COUNTIFS(実績!$W$6:$W$505,CP$3,実績!$AI$6:$AI$505,"&lt;="&amp;$A42,実績!$AJ$6:$AJ$505,"&gt;"&amp;$A42,実績!$AK$6:$AK$505,"○")&gt;0,1,0))</f>
        <v>0</v>
      </c>
      <c r="CQ42" s="39" t="n">
        <f aca="false">IF(CQ$4=0,0,IF(COUNTIFS(実績!$W$6:$W$505,CQ$3,実績!$AI$6:$AI$505,"&lt;="&amp;$A42,実績!$AJ$6:$AJ$505,"&gt;"&amp;$A42,実績!$AK$6:$AK$505,"○")&gt;0,1,0))</f>
        <v>0</v>
      </c>
      <c r="CR42" s="39" t="n">
        <f aca="false">IF(CR$4=0,0,IF(COUNTIFS(実績!$W$6:$W$505,CR$3,実績!$AI$6:$AI$505,"&lt;="&amp;$A42,実績!$AJ$6:$AJ$505,"&gt;"&amp;$A42,実績!$AK$6:$AK$505,"○")&gt;0,1,0))</f>
        <v>0</v>
      </c>
      <c r="CS42" s="39" t="n">
        <f aca="false">IF(CS$4=0,0,IF(COUNTIFS(実績!$W$6:$W$505,CS$3,実績!$AI$6:$AI$505,"&lt;="&amp;$A42,実績!$AJ$6:$AJ$505,"&gt;"&amp;$A42,実績!$AK$6:$AK$505,"○")&gt;0,1,0))</f>
        <v>0</v>
      </c>
      <c r="CT42" s="39" t="n">
        <f aca="false">IF(CT$4=0,0,IF(COUNTIFS(実績!$W$6:$W$505,CT$3,実績!$AI$6:$AI$505,"&lt;="&amp;$A42,実績!$AJ$6:$AJ$505,"&gt;"&amp;$A42,実績!$AK$6:$AK$505,"○")&gt;0,1,0))</f>
        <v>0</v>
      </c>
      <c r="CU42" s="39" t="n">
        <f aca="false">IF(CU$4=0,0,IF(COUNTIFS(実績!$W$6:$W$505,CU$3,実績!$AI$6:$AI$505,"&lt;="&amp;$A42,実績!$AJ$6:$AJ$505,"&gt;"&amp;$A42,実績!$AK$6:$AK$505,"○")&gt;0,1,0))</f>
        <v>0</v>
      </c>
      <c r="CV42" s="39" t="n">
        <f aca="false">IF(CV$4=0,0,IF(COUNTIFS(実績!$W$6:$W$505,CV$3,実績!$AI$6:$AI$505,"&lt;="&amp;$A42,実績!$AJ$6:$AJ$505,"&gt;"&amp;$A42,実績!$AK$6:$AK$505,"○")&gt;0,1,0))</f>
        <v>0</v>
      </c>
      <c r="CW42" s="39" t="n">
        <f aca="false">IF(CW$4=0,0,IF(COUNTIFS(実績!$W$6:$W$505,CW$3,実績!$AI$6:$AI$505,"&lt;="&amp;$A42,実績!$AJ$6:$AJ$505,"&gt;"&amp;$A42,実績!$AK$6:$AK$505,"○")&gt;0,1,0))</f>
        <v>0</v>
      </c>
      <c r="CX42" s="39" t="n">
        <f aca="false">IF(CX$4=0,0,IF(COUNTIFS(実績!$W$6:$W$505,CX$3,実績!$AI$6:$AI$505,"&lt;="&amp;$A42,実績!$AJ$6:$AJ$505,"&gt;"&amp;$A42,実績!$AK$6:$AK$505,"○")&gt;0,1,0))</f>
        <v>0</v>
      </c>
      <c r="CY42" s="39" t="n">
        <f aca="false">IF(CY$4=0,0,IF(COUNTIFS(実績!$W$6:$W$505,CY$3,実績!$AI$6:$AI$505,"&lt;="&amp;$A42,実績!$AJ$6:$AJ$505,"&gt;"&amp;$A42,実績!$AK$6:$AK$505,"○")&gt;0,1,0))</f>
        <v>0</v>
      </c>
      <c r="CZ42" s="39" t="n">
        <f aca="false">IF(CZ$4=0,0,IF(COUNTIFS(実績!$W$6:$W$505,CZ$3,実績!$AI$6:$AI$505,"&lt;="&amp;$A42,実績!$AJ$6:$AJ$505,"&gt;"&amp;$A42,実績!$AK$6:$AK$505,"○")&gt;0,1,0))</f>
        <v>0</v>
      </c>
      <c r="DA42" s="39" t="n">
        <f aca="false">IF(DA$4=0,0,IF(COUNTIFS(実績!$W$6:$W$505,DA$3,実績!$AI$6:$AI$505,"&lt;="&amp;$A42,実績!$AJ$6:$AJ$505,"&gt;"&amp;$A42,実績!$AK$6:$AK$505,"○")&gt;0,1,0))</f>
        <v>0</v>
      </c>
      <c r="DB42" s="39" t="n">
        <f aca="false">IF(DB$4=0,0,IF(COUNTIFS(実績!$W$6:$W$505,DB$3,実績!$AI$6:$AI$505,"&lt;="&amp;$A42,実績!$AJ$6:$AJ$505,"&gt;"&amp;$A42,実績!$AK$6:$AK$505,"○")&gt;0,1,0))</f>
        <v>0</v>
      </c>
      <c r="DC42" s="39" t="n">
        <f aca="false">IF(DC$4=0,0,IF(COUNTIFS(実績!$W$6:$W$505,DC$3,実績!$AI$6:$AI$505,"&lt;="&amp;$A42,実績!$AJ$6:$AJ$505,"&gt;"&amp;$A42,実績!$AK$6:$AK$505,"○")&gt;0,1,0))</f>
        <v>0</v>
      </c>
      <c r="DD42" s="39" t="n">
        <f aca="false">IF(DD$4=0,0,IF(COUNTIFS(実績!$W$6:$W$505,DD$3,実績!$AI$6:$AI$505,"&lt;="&amp;$A42,実績!$AJ$6:$AJ$505,"&gt;"&amp;$A42,実績!$AK$6:$AK$505,"○")&gt;0,1,0))</f>
        <v>0</v>
      </c>
      <c r="DE42" s="39" t="n">
        <f aca="false">IF(DE$4=0,0,IF(COUNTIFS(実績!$W$6:$W$505,DE$3,実績!$AI$6:$AI$505,"&lt;="&amp;$A42,実績!$AJ$6:$AJ$505,"&gt;"&amp;$A42,実績!$AK$6:$AK$505,"○")&gt;0,1,0))</f>
        <v>0</v>
      </c>
      <c r="DF42" s="39" t="n">
        <f aca="false">IF(DF$4=0,0,IF(COUNTIFS(実績!$W$6:$W$505,DF$3,実績!$AI$6:$AI$505,"&lt;="&amp;$A42,実績!$AJ$6:$AJ$505,"&gt;"&amp;$A42,実績!$AK$6:$AK$505,"○")&gt;0,1,0))</f>
        <v>0</v>
      </c>
      <c r="DG42" s="39" t="n">
        <f aca="false">IF(DG$4=0,0,IF(COUNTIFS(実績!$W$6:$W$505,DG$3,実績!$AI$6:$AI$505,"&lt;="&amp;$A42,実績!$AJ$6:$AJ$505,"&gt;"&amp;$A42,実績!$AK$6:$AK$505,"○")&gt;0,1,0))</f>
        <v>0</v>
      </c>
      <c r="DH42" s="39" t="n">
        <f aca="false">IF(DH$4=0,0,IF(COUNTIFS(実績!$W$6:$W$505,DH$3,実績!$AI$6:$AI$505,"&lt;="&amp;$A42,実績!$AJ$6:$AJ$505,"&gt;"&amp;$A42,実績!$AK$6:$AK$505,"○")&gt;0,1,0))</f>
        <v>0</v>
      </c>
      <c r="DI42" s="39" t="n">
        <f aca="false">IF(DI$4=0,0,IF(COUNTIFS(実績!$W$6:$W$505,DI$3,実績!$AI$6:$AI$505,"&lt;="&amp;$A42,実績!$AJ$6:$AJ$505,"&gt;"&amp;$A42,実績!$AK$6:$AK$505,"○")&gt;0,1,0))</f>
        <v>0</v>
      </c>
      <c r="DJ42" s="39" t="n">
        <f aca="false">IF(DJ$4=0,0,IF(COUNTIFS(実績!$W$6:$W$505,DJ$3,実績!$AI$6:$AI$505,"&lt;="&amp;$A42,実績!$AJ$6:$AJ$505,"&gt;"&amp;$A42,実績!$AK$6:$AK$505,"○")&gt;0,1,0))</f>
        <v>0</v>
      </c>
      <c r="DK42" s="39" t="n">
        <f aca="false">IF(DK$4=0,0,IF(COUNTIFS(実績!$W$6:$W$505,DK$3,実績!$AI$6:$AI$505,"&lt;="&amp;$A42,実績!$AJ$6:$AJ$505,"&gt;"&amp;$A42,実績!$AK$6:$AK$505,"○")&gt;0,1,0))</f>
        <v>0</v>
      </c>
      <c r="DL42" s="39" t="n">
        <f aca="false">IF(DL$4=0,0,IF(COUNTIFS(実績!$W$6:$W$505,DL$3,実績!$AI$6:$AI$505,"&lt;="&amp;$A42,実績!$AJ$6:$AJ$505,"&gt;"&amp;$A42,実績!$AK$6:$AK$505,"○")&gt;0,1,0))</f>
        <v>0</v>
      </c>
      <c r="DM42" s="39" t="n">
        <f aca="false">IF(DM$4=0,0,IF(COUNTIFS(実績!$W$6:$W$505,DM$3,実績!$AI$6:$AI$505,"&lt;="&amp;$A42,実績!$AJ$6:$AJ$505,"&gt;"&amp;$A42,実績!$AK$6:$AK$505,"○")&gt;0,1,0))</f>
        <v>0</v>
      </c>
      <c r="DN42" s="39" t="n">
        <f aca="false">IF(DN$4=0,0,IF(COUNTIFS(実績!$W$6:$W$505,DN$3,実績!$AI$6:$AI$505,"&lt;="&amp;$A42,実績!$AJ$6:$AJ$505,"&gt;"&amp;$A42,実績!$AK$6:$AK$505,"○")&gt;0,1,0))</f>
        <v>0</v>
      </c>
      <c r="DO42" s="39" t="n">
        <f aca="false">IF(DO$4=0,0,IF(COUNTIFS(実績!$W$6:$W$505,DO$3,実績!$AI$6:$AI$505,"&lt;="&amp;$A42,実績!$AJ$6:$AJ$505,"&gt;"&amp;$A42,実績!$AK$6:$AK$505,"○")&gt;0,1,0))</f>
        <v>0</v>
      </c>
      <c r="DP42" s="39" t="n">
        <f aca="false">IF(DP$4=0,0,IF(COUNTIFS(実績!$W$6:$W$505,DP$3,実績!$AI$6:$AI$505,"&lt;="&amp;$A42,実績!$AJ$6:$AJ$505,"&gt;"&amp;$A42,実績!$AK$6:$AK$505,"○")&gt;0,1,0))</f>
        <v>0</v>
      </c>
      <c r="DQ42" s="39" t="n">
        <f aca="false">IF(DQ$4=0,0,IF(COUNTIFS(実績!$W$6:$W$505,DQ$3,実績!$AI$6:$AI$505,"&lt;="&amp;$A42,実績!$AJ$6:$AJ$505,"&gt;"&amp;$A42,実績!$AK$6:$AK$505,"○")&gt;0,1,0))</f>
        <v>0</v>
      </c>
      <c r="DR42" s="39" t="n">
        <f aca="false">IF(DR$4=0,0,IF(COUNTIFS(実績!$W$6:$W$505,DR$3,実績!$AI$6:$AI$505,"&lt;="&amp;$A42,実績!$AJ$6:$AJ$505,"&gt;"&amp;$A42,実績!$AK$6:$AK$505,"○")&gt;0,1,0))</f>
        <v>0</v>
      </c>
      <c r="DS42" s="39" t="n">
        <f aca="false">SUM(C42:DR42)</f>
        <v>0</v>
      </c>
      <c r="DT42" s="39" t="n">
        <f aca="false">SUMPRODUCT((実績!$C$6:$C$505="○")*ISNUMBER(実績!$AM$6:$AM$505)*(実績!$AM$6:$AM$505&lt;=$A42)*(実績!$AN$6:$AN$505&gt;$A42))</f>
        <v>0</v>
      </c>
      <c r="DU42" s="39" t="n">
        <f aca="false">SUMIF($C$2:$DR$2,"製鉄曳船",C42:DR42)</f>
        <v>0</v>
      </c>
      <c r="DV42" s="39" t="n">
        <f aca="false">SUMIF($C$2:$DR$2,"西日本海運",C42:DR42)</f>
        <v>0</v>
      </c>
    </row>
    <row r="43" customFormat="false" ht="15" hidden="false" customHeight="false" outlineLevel="0" collapsed="false">
      <c r="A43" s="0" t="n">
        <v>185</v>
      </c>
      <c r="B43" s="38" t="n">
        <f aca="false">A43/1440</f>
        <v>0.128472222222222</v>
      </c>
      <c r="C43" s="39" t="n">
        <f aca="false">IF(C$4=0,0,IF(COUNTIFS(実績!$W$6:$W$505,C$3,実績!$AI$6:$AI$505,"&lt;="&amp;$A43,実績!$AJ$6:$AJ$505,"&gt;"&amp;$A43,実績!$AK$6:$AK$505,"○")&gt;0,1,0))</f>
        <v>0</v>
      </c>
      <c r="D43" s="39" t="n">
        <f aca="false">IF(D$4=0,0,IF(COUNTIFS(実績!$W$6:$W$505,D$3,実績!$AI$6:$AI$505,"&lt;="&amp;$A43,実績!$AJ$6:$AJ$505,"&gt;"&amp;$A43,実績!$AK$6:$AK$505,"○")&gt;0,1,0))</f>
        <v>0</v>
      </c>
      <c r="E43" s="39" t="n">
        <f aca="false">IF(E$4=0,0,IF(COUNTIFS(実績!$W$6:$W$505,E$3,実績!$AI$6:$AI$505,"&lt;="&amp;$A43,実績!$AJ$6:$AJ$505,"&gt;"&amp;$A43,実績!$AK$6:$AK$505,"○")&gt;0,1,0))</f>
        <v>0</v>
      </c>
      <c r="F43" s="39" t="n">
        <f aca="false">IF(F$4=0,0,IF(COUNTIFS(実績!$W$6:$W$505,F$3,実績!$AI$6:$AI$505,"&lt;="&amp;$A43,実績!$AJ$6:$AJ$505,"&gt;"&amp;$A43,実績!$AK$6:$AK$505,"○")&gt;0,1,0))</f>
        <v>0</v>
      </c>
      <c r="G43" s="39" t="n">
        <f aca="false">IF(G$4=0,0,IF(COUNTIFS(実績!$W$6:$W$505,G$3,実績!$AI$6:$AI$505,"&lt;="&amp;$A43,実績!$AJ$6:$AJ$505,"&gt;"&amp;$A43,実績!$AK$6:$AK$505,"○")&gt;0,1,0))</f>
        <v>0</v>
      </c>
      <c r="H43" s="39" t="n">
        <f aca="false">IF(H$4=0,0,IF(COUNTIFS(実績!$W$6:$W$505,H$3,実績!$AI$6:$AI$505,"&lt;="&amp;$A43,実績!$AJ$6:$AJ$505,"&gt;"&amp;$A43,実績!$AK$6:$AK$505,"○")&gt;0,1,0))</f>
        <v>0</v>
      </c>
      <c r="I43" s="39" t="n">
        <f aca="false">IF(I$4=0,0,IF(COUNTIFS(実績!$W$6:$W$505,I$3,実績!$AI$6:$AI$505,"&lt;="&amp;$A43,実績!$AJ$6:$AJ$505,"&gt;"&amp;$A43,実績!$AK$6:$AK$505,"○")&gt;0,1,0))</f>
        <v>0</v>
      </c>
      <c r="J43" s="39" t="n">
        <f aca="false">IF(J$4=0,0,IF(COUNTIFS(実績!$W$6:$W$505,J$3,実績!$AI$6:$AI$505,"&lt;="&amp;$A43,実績!$AJ$6:$AJ$505,"&gt;"&amp;$A43,実績!$AK$6:$AK$505,"○")&gt;0,1,0))</f>
        <v>0</v>
      </c>
      <c r="K43" s="39" t="n">
        <f aca="false">IF(K$4=0,0,IF(COUNTIFS(実績!$W$6:$W$505,K$3,実績!$AI$6:$AI$505,"&lt;="&amp;$A43,実績!$AJ$6:$AJ$505,"&gt;"&amp;$A43,実績!$AK$6:$AK$505,"○")&gt;0,1,0))</f>
        <v>0</v>
      </c>
      <c r="L43" s="39" t="n">
        <f aca="false">IF(L$4=0,0,IF(COUNTIFS(実績!$W$6:$W$505,L$3,実績!$AI$6:$AI$505,"&lt;="&amp;$A43,実績!$AJ$6:$AJ$505,"&gt;"&amp;$A43,実績!$AK$6:$AK$505,"○")&gt;0,1,0))</f>
        <v>0</v>
      </c>
      <c r="M43" s="39" t="n">
        <f aca="false">IF(M$4=0,0,IF(COUNTIFS(実績!$W$6:$W$505,M$3,実績!$AI$6:$AI$505,"&lt;="&amp;$A43,実績!$AJ$6:$AJ$505,"&gt;"&amp;$A43,実績!$AK$6:$AK$505,"○")&gt;0,1,0))</f>
        <v>0</v>
      </c>
      <c r="N43" s="39" t="n">
        <f aca="false">IF(N$4=0,0,IF(COUNTIFS(実績!$W$6:$W$505,N$3,実績!$AI$6:$AI$505,"&lt;="&amp;$A43,実績!$AJ$6:$AJ$505,"&gt;"&amp;$A43,実績!$AK$6:$AK$505,"○")&gt;0,1,0))</f>
        <v>0</v>
      </c>
      <c r="O43" s="39" t="n">
        <f aca="false">IF(O$4=0,0,IF(COUNTIFS(実績!$W$6:$W$505,O$3,実績!$AI$6:$AI$505,"&lt;="&amp;$A43,実績!$AJ$6:$AJ$505,"&gt;"&amp;$A43,実績!$AK$6:$AK$505,"○")&gt;0,1,0))</f>
        <v>0</v>
      </c>
      <c r="P43" s="39" t="n">
        <f aca="false">IF(P$4=0,0,IF(COUNTIFS(実績!$W$6:$W$505,P$3,実績!$AI$6:$AI$505,"&lt;="&amp;$A43,実績!$AJ$6:$AJ$505,"&gt;"&amp;$A43,実績!$AK$6:$AK$505,"○")&gt;0,1,0))</f>
        <v>0</v>
      </c>
      <c r="Q43" s="39" t="n">
        <f aca="false">IF(Q$4=0,0,IF(COUNTIFS(実績!$W$6:$W$505,Q$3,実績!$AI$6:$AI$505,"&lt;="&amp;$A43,実績!$AJ$6:$AJ$505,"&gt;"&amp;$A43,実績!$AK$6:$AK$505,"○")&gt;0,1,0))</f>
        <v>0</v>
      </c>
      <c r="R43" s="39" t="n">
        <f aca="false">IF(R$4=0,0,IF(COUNTIFS(実績!$W$6:$W$505,R$3,実績!$AI$6:$AI$505,"&lt;="&amp;$A43,実績!$AJ$6:$AJ$505,"&gt;"&amp;$A43,実績!$AK$6:$AK$505,"○")&gt;0,1,0))</f>
        <v>0</v>
      </c>
      <c r="S43" s="39" t="n">
        <f aca="false">IF(S$4=0,0,IF(COUNTIFS(実績!$W$6:$W$505,S$3,実績!$AI$6:$AI$505,"&lt;="&amp;$A43,実績!$AJ$6:$AJ$505,"&gt;"&amp;$A43,実績!$AK$6:$AK$505,"○")&gt;0,1,0))</f>
        <v>0</v>
      </c>
      <c r="T43" s="39" t="n">
        <f aca="false">IF(T$4=0,0,IF(COUNTIFS(実績!$W$6:$W$505,T$3,実績!$AI$6:$AI$505,"&lt;="&amp;$A43,実績!$AJ$6:$AJ$505,"&gt;"&amp;$A43,実績!$AK$6:$AK$505,"○")&gt;0,1,0))</f>
        <v>0</v>
      </c>
      <c r="U43" s="39" t="n">
        <f aca="false">IF(U$4=0,0,IF(COUNTIFS(実績!$W$6:$W$505,U$3,実績!$AI$6:$AI$505,"&lt;="&amp;$A43,実績!$AJ$6:$AJ$505,"&gt;"&amp;$A43,実績!$AK$6:$AK$505,"○")&gt;0,1,0))</f>
        <v>0</v>
      </c>
      <c r="V43" s="39" t="n">
        <f aca="false">IF(V$4=0,0,IF(COUNTIFS(実績!$W$6:$W$505,V$3,実績!$AI$6:$AI$505,"&lt;="&amp;$A43,実績!$AJ$6:$AJ$505,"&gt;"&amp;$A43,実績!$AK$6:$AK$505,"○")&gt;0,1,0))</f>
        <v>0</v>
      </c>
      <c r="W43" s="39" t="n">
        <f aca="false">IF(W$4=0,0,IF(COUNTIFS(実績!$W$6:$W$505,W$3,実績!$AI$6:$AI$505,"&lt;="&amp;$A43,実績!$AJ$6:$AJ$505,"&gt;"&amp;$A43,実績!$AK$6:$AK$505,"○")&gt;0,1,0))</f>
        <v>0</v>
      </c>
      <c r="X43" s="39" t="n">
        <f aca="false">IF(X$4=0,0,IF(COUNTIFS(実績!$W$6:$W$505,X$3,実績!$AI$6:$AI$505,"&lt;="&amp;$A43,実績!$AJ$6:$AJ$505,"&gt;"&amp;$A43,実績!$AK$6:$AK$505,"○")&gt;0,1,0))</f>
        <v>0</v>
      </c>
      <c r="Y43" s="39" t="n">
        <f aca="false">IF(Y$4=0,0,IF(COUNTIFS(実績!$W$6:$W$505,Y$3,実績!$AI$6:$AI$505,"&lt;="&amp;$A43,実績!$AJ$6:$AJ$505,"&gt;"&amp;$A43,実績!$AK$6:$AK$505,"○")&gt;0,1,0))</f>
        <v>0</v>
      </c>
      <c r="Z43" s="39" t="n">
        <f aca="false">IF(Z$4=0,0,IF(COUNTIFS(実績!$W$6:$W$505,Z$3,実績!$AI$6:$AI$505,"&lt;="&amp;$A43,実績!$AJ$6:$AJ$505,"&gt;"&amp;$A43,実績!$AK$6:$AK$505,"○")&gt;0,1,0))</f>
        <v>0</v>
      </c>
      <c r="AA43" s="39" t="n">
        <f aca="false">IF(AA$4=0,0,IF(COUNTIFS(実績!$W$6:$W$505,AA$3,実績!$AI$6:$AI$505,"&lt;="&amp;$A43,実績!$AJ$6:$AJ$505,"&gt;"&amp;$A43,実績!$AK$6:$AK$505,"○")&gt;0,1,0))</f>
        <v>0</v>
      </c>
      <c r="AB43" s="39" t="n">
        <f aca="false">IF(AB$4=0,0,IF(COUNTIFS(実績!$W$6:$W$505,AB$3,実績!$AI$6:$AI$505,"&lt;="&amp;$A43,実績!$AJ$6:$AJ$505,"&gt;"&amp;$A43,実績!$AK$6:$AK$505,"○")&gt;0,1,0))</f>
        <v>0</v>
      </c>
      <c r="AC43" s="39" t="n">
        <f aca="false">IF(AC$4=0,0,IF(COUNTIFS(実績!$W$6:$W$505,AC$3,実績!$AI$6:$AI$505,"&lt;="&amp;$A43,実績!$AJ$6:$AJ$505,"&gt;"&amp;$A43,実績!$AK$6:$AK$505,"○")&gt;0,1,0))</f>
        <v>0</v>
      </c>
      <c r="AD43" s="39" t="n">
        <f aca="false">IF(AD$4=0,0,IF(COUNTIFS(実績!$W$6:$W$505,AD$3,実績!$AI$6:$AI$505,"&lt;="&amp;$A43,実績!$AJ$6:$AJ$505,"&gt;"&amp;$A43,実績!$AK$6:$AK$505,"○")&gt;0,1,0))</f>
        <v>0</v>
      </c>
      <c r="AE43" s="39" t="n">
        <f aca="false">IF(AE$4=0,0,IF(COUNTIFS(実績!$W$6:$W$505,AE$3,実績!$AI$6:$AI$505,"&lt;="&amp;$A43,実績!$AJ$6:$AJ$505,"&gt;"&amp;$A43,実績!$AK$6:$AK$505,"○")&gt;0,1,0))</f>
        <v>0</v>
      </c>
      <c r="AF43" s="39" t="n">
        <f aca="false">IF(AF$4=0,0,IF(COUNTIFS(実績!$W$6:$W$505,AF$3,実績!$AI$6:$AI$505,"&lt;="&amp;$A43,実績!$AJ$6:$AJ$505,"&gt;"&amp;$A43,実績!$AK$6:$AK$505,"○")&gt;0,1,0))</f>
        <v>0</v>
      </c>
      <c r="AG43" s="39" t="n">
        <f aca="false">IF(AG$4=0,0,IF(COUNTIFS(実績!$W$6:$W$505,AG$3,実績!$AI$6:$AI$505,"&lt;="&amp;$A43,実績!$AJ$6:$AJ$505,"&gt;"&amp;$A43,実績!$AK$6:$AK$505,"○")&gt;0,1,0))</f>
        <v>0</v>
      </c>
      <c r="AH43" s="39" t="n">
        <f aca="false">IF(AH$4=0,0,IF(COUNTIFS(実績!$W$6:$W$505,AH$3,実績!$AI$6:$AI$505,"&lt;="&amp;$A43,実績!$AJ$6:$AJ$505,"&gt;"&amp;$A43,実績!$AK$6:$AK$505,"○")&gt;0,1,0))</f>
        <v>0</v>
      </c>
      <c r="AI43" s="39" t="n">
        <f aca="false">IF(AI$4=0,0,IF(COUNTIFS(実績!$W$6:$W$505,AI$3,実績!$AI$6:$AI$505,"&lt;="&amp;$A43,実績!$AJ$6:$AJ$505,"&gt;"&amp;$A43,実績!$AK$6:$AK$505,"○")&gt;0,1,0))</f>
        <v>0</v>
      </c>
      <c r="AJ43" s="39" t="n">
        <f aca="false">IF(AJ$4=0,0,IF(COUNTIFS(実績!$W$6:$W$505,AJ$3,実績!$AI$6:$AI$505,"&lt;="&amp;$A43,実績!$AJ$6:$AJ$505,"&gt;"&amp;$A43,実績!$AK$6:$AK$505,"○")&gt;0,1,0))</f>
        <v>0</v>
      </c>
      <c r="AK43" s="39" t="n">
        <f aca="false">IF(AK$4=0,0,IF(COUNTIFS(実績!$W$6:$W$505,AK$3,実績!$AI$6:$AI$505,"&lt;="&amp;$A43,実績!$AJ$6:$AJ$505,"&gt;"&amp;$A43,実績!$AK$6:$AK$505,"○")&gt;0,1,0))</f>
        <v>0</v>
      </c>
      <c r="AL43" s="39" t="n">
        <f aca="false">IF(AL$4=0,0,IF(COUNTIFS(実績!$W$6:$W$505,AL$3,実績!$AI$6:$AI$505,"&lt;="&amp;$A43,実績!$AJ$6:$AJ$505,"&gt;"&amp;$A43,実績!$AK$6:$AK$505,"○")&gt;0,1,0))</f>
        <v>0</v>
      </c>
      <c r="AM43" s="39" t="n">
        <f aca="false">IF(AM$4=0,0,IF(COUNTIFS(実績!$W$6:$W$505,AM$3,実績!$AI$6:$AI$505,"&lt;="&amp;$A43,実績!$AJ$6:$AJ$505,"&gt;"&amp;$A43,実績!$AK$6:$AK$505,"○")&gt;0,1,0))</f>
        <v>0</v>
      </c>
      <c r="AN43" s="39" t="n">
        <f aca="false">IF(AN$4=0,0,IF(COUNTIFS(実績!$W$6:$W$505,AN$3,実績!$AI$6:$AI$505,"&lt;="&amp;$A43,実績!$AJ$6:$AJ$505,"&gt;"&amp;$A43,実績!$AK$6:$AK$505,"○")&gt;0,1,0))</f>
        <v>0</v>
      </c>
      <c r="AO43" s="39" t="n">
        <f aca="false">IF(AO$4=0,0,IF(COUNTIFS(実績!$W$6:$W$505,AO$3,実績!$AI$6:$AI$505,"&lt;="&amp;$A43,実績!$AJ$6:$AJ$505,"&gt;"&amp;$A43,実績!$AK$6:$AK$505,"○")&gt;0,1,0))</f>
        <v>0</v>
      </c>
      <c r="AP43" s="39" t="n">
        <f aca="false">IF(AP$4=0,0,IF(COUNTIFS(実績!$W$6:$W$505,AP$3,実績!$AI$6:$AI$505,"&lt;="&amp;$A43,実績!$AJ$6:$AJ$505,"&gt;"&amp;$A43,実績!$AK$6:$AK$505,"○")&gt;0,1,0))</f>
        <v>0</v>
      </c>
      <c r="AQ43" s="39" t="n">
        <f aca="false">IF(AQ$4=0,0,IF(COUNTIFS(実績!$W$6:$W$505,AQ$3,実績!$AI$6:$AI$505,"&lt;="&amp;$A43,実績!$AJ$6:$AJ$505,"&gt;"&amp;$A43,実績!$AK$6:$AK$505,"○")&gt;0,1,0))</f>
        <v>0</v>
      </c>
      <c r="AR43" s="39" t="n">
        <f aca="false">IF(AR$4=0,0,IF(COUNTIFS(実績!$W$6:$W$505,AR$3,実績!$AI$6:$AI$505,"&lt;="&amp;$A43,実績!$AJ$6:$AJ$505,"&gt;"&amp;$A43,実績!$AK$6:$AK$505,"○")&gt;0,1,0))</f>
        <v>0</v>
      </c>
      <c r="AS43" s="39" t="n">
        <f aca="false">IF(AS$4=0,0,IF(COUNTIFS(実績!$W$6:$W$505,AS$3,実績!$AI$6:$AI$505,"&lt;="&amp;$A43,実績!$AJ$6:$AJ$505,"&gt;"&amp;$A43,実績!$AK$6:$AK$505,"○")&gt;0,1,0))</f>
        <v>0</v>
      </c>
      <c r="AT43" s="39" t="n">
        <f aca="false">IF(AT$4=0,0,IF(COUNTIFS(実績!$W$6:$W$505,AT$3,実績!$AI$6:$AI$505,"&lt;="&amp;$A43,実績!$AJ$6:$AJ$505,"&gt;"&amp;$A43,実績!$AK$6:$AK$505,"○")&gt;0,1,0))</f>
        <v>0</v>
      </c>
      <c r="AU43" s="39" t="n">
        <f aca="false">IF(AU$4=0,0,IF(COUNTIFS(実績!$W$6:$W$505,AU$3,実績!$AI$6:$AI$505,"&lt;="&amp;$A43,実績!$AJ$6:$AJ$505,"&gt;"&amp;$A43,実績!$AK$6:$AK$505,"○")&gt;0,1,0))</f>
        <v>0</v>
      </c>
      <c r="AV43" s="39" t="n">
        <f aca="false">IF(AV$4=0,0,IF(COUNTIFS(実績!$W$6:$W$505,AV$3,実績!$AI$6:$AI$505,"&lt;="&amp;$A43,実績!$AJ$6:$AJ$505,"&gt;"&amp;$A43,実績!$AK$6:$AK$505,"○")&gt;0,1,0))</f>
        <v>0</v>
      </c>
      <c r="AW43" s="39" t="n">
        <f aca="false">IF(AW$4=0,0,IF(COUNTIFS(実績!$W$6:$W$505,AW$3,実績!$AI$6:$AI$505,"&lt;="&amp;$A43,実績!$AJ$6:$AJ$505,"&gt;"&amp;$A43,実績!$AK$6:$AK$505,"○")&gt;0,1,0))</f>
        <v>0</v>
      </c>
      <c r="AX43" s="39" t="n">
        <f aca="false">IF(AX$4=0,0,IF(COUNTIFS(実績!$W$6:$W$505,AX$3,実績!$AI$6:$AI$505,"&lt;="&amp;$A43,実績!$AJ$6:$AJ$505,"&gt;"&amp;$A43,実績!$AK$6:$AK$505,"○")&gt;0,1,0))</f>
        <v>0</v>
      </c>
      <c r="AY43" s="39" t="n">
        <f aca="false">IF(AY$4=0,0,IF(COUNTIFS(実績!$W$6:$W$505,AY$3,実績!$AI$6:$AI$505,"&lt;="&amp;$A43,実績!$AJ$6:$AJ$505,"&gt;"&amp;$A43,実績!$AK$6:$AK$505,"○")&gt;0,1,0))</f>
        <v>0</v>
      </c>
      <c r="AZ43" s="39" t="n">
        <f aca="false">IF(AZ$4=0,0,IF(COUNTIFS(実績!$W$6:$W$505,AZ$3,実績!$AI$6:$AI$505,"&lt;="&amp;$A43,実績!$AJ$6:$AJ$505,"&gt;"&amp;$A43,実績!$AK$6:$AK$505,"○")&gt;0,1,0))</f>
        <v>0</v>
      </c>
      <c r="BA43" s="39" t="n">
        <f aca="false">IF(BA$4=0,0,IF(COUNTIFS(実績!$W$6:$W$505,BA$3,実績!$AI$6:$AI$505,"&lt;="&amp;$A43,実績!$AJ$6:$AJ$505,"&gt;"&amp;$A43,実績!$AK$6:$AK$505,"○")&gt;0,1,0))</f>
        <v>0</v>
      </c>
      <c r="BB43" s="39" t="n">
        <f aca="false">IF(BB$4=0,0,IF(COUNTIFS(実績!$W$6:$W$505,BB$3,実績!$AI$6:$AI$505,"&lt;="&amp;$A43,実績!$AJ$6:$AJ$505,"&gt;"&amp;$A43,実績!$AK$6:$AK$505,"○")&gt;0,1,0))</f>
        <v>0</v>
      </c>
      <c r="BC43" s="39" t="n">
        <f aca="false">IF(BC$4=0,0,IF(COUNTIFS(実績!$W$6:$W$505,BC$3,実績!$AI$6:$AI$505,"&lt;="&amp;$A43,実績!$AJ$6:$AJ$505,"&gt;"&amp;$A43,実績!$AK$6:$AK$505,"○")&gt;0,1,0))</f>
        <v>0</v>
      </c>
      <c r="BD43" s="39" t="n">
        <f aca="false">IF(BD$4=0,0,IF(COUNTIFS(実績!$W$6:$W$505,BD$3,実績!$AI$6:$AI$505,"&lt;="&amp;$A43,実績!$AJ$6:$AJ$505,"&gt;"&amp;$A43,実績!$AK$6:$AK$505,"○")&gt;0,1,0))</f>
        <v>0</v>
      </c>
      <c r="BE43" s="39" t="n">
        <f aca="false">IF(BE$4=0,0,IF(COUNTIFS(実績!$W$6:$W$505,BE$3,実績!$AI$6:$AI$505,"&lt;="&amp;$A43,実績!$AJ$6:$AJ$505,"&gt;"&amp;$A43,実績!$AK$6:$AK$505,"○")&gt;0,1,0))</f>
        <v>0</v>
      </c>
      <c r="BF43" s="39" t="n">
        <f aca="false">IF(BF$4=0,0,IF(COUNTIFS(実績!$W$6:$W$505,BF$3,実績!$AI$6:$AI$505,"&lt;="&amp;$A43,実績!$AJ$6:$AJ$505,"&gt;"&amp;$A43,実績!$AK$6:$AK$505,"○")&gt;0,1,0))</f>
        <v>0</v>
      </c>
      <c r="BG43" s="39" t="n">
        <f aca="false">IF(BG$4=0,0,IF(COUNTIFS(実績!$W$6:$W$505,BG$3,実績!$AI$6:$AI$505,"&lt;="&amp;$A43,実績!$AJ$6:$AJ$505,"&gt;"&amp;$A43,実績!$AK$6:$AK$505,"○")&gt;0,1,0))</f>
        <v>0</v>
      </c>
      <c r="BH43" s="39" t="n">
        <f aca="false">IF(BH$4=0,0,IF(COUNTIFS(実績!$W$6:$W$505,BH$3,実績!$AI$6:$AI$505,"&lt;="&amp;$A43,実績!$AJ$6:$AJ$505,"&gt;"&amp;$A43,実績!$AK$6:$AK$505,"○")&gt;0,1,0))</f>
        <v>0</v>
      </c>
      <c r="BI43" s="39" t="n">
        <f aca="false">IF(BI$4=0,0,IF(COUNTIFS(実績!$W$6:$W$505,BI$3,実績!$AI$6:$AI$505,"&lt;="&amp;$A43,実績!$AJ$6:$AJ$505,"&gt;"&amp;$A43,実績!$AK$6:$AK$505,"○")&gt;0,1,0))</f>
        <v>0</v>
      </c>
      <c r="BJ43" s="39" t="n">
        <f aca="false">IF(BJ$4=0,0,IF(COUNTIFS(実績!$W$6:$W$505,BJ$3,実績!$AI$6:$AI$505,"&lt;="&amp;$A43,実績!$AJ$6:$AJ$505,"&gt;"&amp;$A43,実績!$AK$6:$AK$505,"○")&gt;0,1,0))</f>
        <v>0</v>
      </c>
      <c r="BK43" s="39" t="n">
        <f aca="false">IF(BK$4=0,0,IF(COUNTIFS(実績!$W$6:$W$505,BK$3,実績!$AI$6:$AI$505,"&lt;="&amp;$A43,実績!$AJ$6:$AJ$505,"&gt;"&amp;$A43,実績!$AK$6:$AK$505,"○")&gt;0,1,0))</f>
        <v>0</v>
      </c>
      <c r="BL43" s="39" t="n">
        <f aca="false">IF(BL$4=0,0,IF(COUNTIFS(実績!$W$6:$W$505,BL$3,実績!$AI$6:$AI$505,"&lt;="&amp;$A43,実績!$AJ$6:$AJ$505,"&gt;"&amp;$A43,実績!$AK$6:$AK$505,"○")&gt;0,1,0))</f>
        <v>0</v>
      </c>
      <c r="BM43" s="39" t="n">
        <f aca="false">IF(BM$4=0,0,IF(COUNTIFS(実績!$W$6:$W$505,BM$3,実績!$AI$6:$AI$505,"&lt;="&amp;$A43,実績!$AJ$6:$AJ$505,"&gt;"&amp;$A43,実績!$AK$6:$AK$505,"○")&gt;0,1,0))</f>
        <v>0</v>
      </c>
      <c r="BN43" s="39" t="n">
        <f aca="false">IF(BN$4=0,0,IF(COUNTIFS(実績!$W$6:$W$505,BN$3,実績!$AI$6:$AI$505,"&lt;="&amp;$A43,実績!$AJ$6:$AJ$505,"&gt;"&amp;$A43,実績!$AK$6:$AK$505,"○")&gt;0,1,0))</f>
        <v>0</v>
      </c>
      <c r="BO43" s="39" t="n">
        <f aca="false">IF(BO$4=0,0,IF(COUNTIFS(実績!$W$6:$W$505,BO$3,実績!$AI$6:$AI$505,"&lt;="&amp;$A43,実績!$AJ$6:$AJ$505,"&gt;"&amp;$A43,実績!$AK$6:$AK$505,"○")&gt;0,1,0))</f>
        <v>0</v>
      </c>
      <c r="BP43" s="39" t="n">
        <f aca="false">IF(BP$4=0,0,IF(COUNTIFS(実績!$W$6:$W$505,BP$3,実績!$AI$6:$AI$505,"&lt;="&amp;$A43,実績!$AJ$6:$AJ$505,"&gt;"&amp;$A43,実績!$AK$6:$AK$505,"○")&gt;0,1,0))</f>
        <v>0</v>
      </c>
      <c r="BQ43" s="39" t="n">
        <f aca="false">IF(BQ$4=0,0,IF(COUNTIFS(実績!$W$6:$W$505,BQ$3,実績!$AI$6:$AI$505,"&lt;="&amp;$A43,実績!$AJ$6:$AJ$505,"&gt;"&amp;$A43,実績!$AK$6:$AK$505,"○")&gt;0,1,0))</f>
        <v>0</v>
      </c>
      <c r="BR43" s="39" t="n">
        <f aca="false">IF(BR$4=0,0,IF(COUNTIFS(実績!$W$6:$W$505,BR$3,実績!$AI$6:$AI$505,"&lt;="&amp;$A43,実績!$AJ$6:$AJ$505,"&gt;"&amp;$A43,実績!$AK$6:$AK$505,"○")&gt;0,1,0))</f>
        <v>0</v>
      </c>
      <c r="BS43" s="39" t="n">
        <f aca="false">IF(BS$4=0,0,IF(COUNTIFS(実績!$W$6:$W$505,BS$3,実績!$AI$6:$AI$505,"&lt;="&amp;$A43,実績!$AJ$6:$AJ$505,"&gt;"&amp;$A43,実績!$AK$6:$AK$505,"○")&gt;0,1,0))</f>
        <v>0</v>
      </c>
      <c r="BT43" s="39" t="n">
        <f aca="false">IF(BT$4=0,0,IF(COUNTIFS(実績!$W$6:$W$505,BT$3,実績!$AI$6:$AI$505,"&lt;="&amp;$A43,実績!$AJ$6:$AJ$505,"&gt;"&amp;$A43,実績!$AK$6:$AK$505,"○")&gt;0,1,0))</f>
        <v>0</v>
      </c>
      <c r="BU43" s="39" t="n">
        <f aca="false">IF(BU$4=0,0,IF(COUNTIFS(実績!$W$6:$W$505,BU$3,実績!$AI$6:$AI$505,"&lt;="&amp;$A43,実績!$AJ$6:$AJ$505,"&gt;"&amp;$A43,実績!$AK$6:$AK$505,"○")&gt;0,1,0))</f>
        <v>0</v>
      </c>
      <c r="BV43" s="39" t="n">
        <f aca="false">IF(BV$4=0,0,IF(COUNTIFS(実績!$W$6:$W$505,BV$3,実績!$AI$6:$AI$505,"&lt;="&amp;$A43,実績!$AJ$6:$AJ$505,"&gt;"&amp;$A43,実績!$AK$6:$AK$505,"○")&gt;0,1,0))</f>
        <v>0</v>
      </c>
      <c r="BW43" s="39" t="n">
        <f aca="false">IF(BW$4=0,0,IF(COUNTIFS(実績!$W$6:$W$505,BW$3,実績!$AI$6:$AI$505,"&lt;="&amp;$A43,実績!$AJ$6:$AJ$505,"&gt;"&amp;$A43,実績!$AK$6:$AK$505,"○")&gt;0,1,0))</f>
        <v>0</v>
      </c>
      <c r="BX43" s="39" t="n">
        <f aca="false">IF(BX$4=0,0,IF(COUNTIFS(実績!$W$6:$W$505,BX$3,実績!$AI$6:$AI$505,"&lt;="&amp;$A43,実績!$AJ$6:$AJ$505,"&gt;"&amp;$A43,実績!$AK$6:$AK$505,"○")&gt;0,1,0))</f>
        <v>0</v>
      </c>
      <c r="BY43" s="39" t="n">
        <f aca="false">IF(BY$4=0,0,IF(COUNTIFS(実績!$W$6:$W$505,BY$3,実績!$AI$6:$AI$505,"&lt;="&amp;$A43,実績!$AJ$6:$AJ$505,"&gt;"&amp;$A43,実績!$AK$6:$AK$505,"○")&gt;0,1,0))</f>
        <v>0</v>
      </c>
      <c r="BZ43" s="39" t="n">
        <f aca="false">IF(BZ$4=0,0,IF(COUNTIFS(実績!$W$6:$W$505,BZ$3,実績!$AI$6:$AI$505,"&lt;="&amp;$A43,実績!$AJ$6:$AJ$505,"&gt;"&amp;$A43,実績!$AK$6:$AK$505,"○")&gt;0,1,0))</f>
        <v>0</v>
      </c>
      <c r="CA43" s="39" t="n">
        <f aca="false">IF(CA$4=0,0,IF(COUNTIFS(実績!$W$6:$W$505,CA$3,実績!$AI$6:$AI$505,"&lt;="&amp;$A43,実績!$AJ$6:$AJ$505,"&gt;"&amp;$A43,実績!$AK$6:$AK$505,"○")&gt;0,1,0))</f>
        <v>0</v>
      </c>
      <c r="CB43" s="39" t="n">
        <f aca="false">IF(CB$4=0,0,IF(COUNTIFS(実績!$W$6:$W$505,CB$3,実績!$AI$6:$AI$505,"&lt;="&amp;$A43,実績!$AJ$6:$AJ$505,"&gt;"&amp;$A43,実績!$AK$6:$AK$505,"○")&gt;0,1,0))</f>
        <v>0</v>
      </c>
      <c r="CC43" s="39" t="n">
        <f aca="false">IF(CC$4=0,0,IF(COUNTIFS(実績!$W$6:$W$505,CC$3,実績!$AI$6:$AI$505,"&lt;="&amp;$A43,実績!$AJ$6:$AJ$505,"&gt;"&amp;$A43,実績!$AK$6:$AK$505,"○")&gt;0,1,0))</f>
        <v>0</v>
      </c>
      <c r="CD43" s="39" t="n">
        <f aca="false">IF(CD$4=0,0,IF(COUNTIFS(実績!$W$6:$W$505,CD$3,実績!$AI$6:$AI$505,"&lt;="&amp;$A43,実績!$AJ$6:$AJ$505,"&gt;"&amp;$A43,実績!$AK$6:$AK$505,"○")&gt;0,1,0))</f>
        <v>0</v>
      </c>
      <c r="CE43" s="39" t="n">
        <f aca="false">IF(CE$4=0,0,IF(COUNTIFS(実績!$W$6:$W$505,CE$3,実績!$AI$6:$AI$505,"&lt;="&amp;$A43,実績!$AJ$6:$AJ$505,"&gt;"&amp;$A43,実績!$AK$6:$AK$505,"○")&gt;0,1,0))</f>
        <v>0</v>
      </c>
      <c r="CF43" s="39" t="n">
        <f aca="false">IF(CF$4=0,0,IF(COUNTIFS(実績!$W$6:$W$505,CF$3,実績!$AI$6:$AI$505,"&lt;="&amp;$A43,実績!$AJ$6:$AJ$505,"&gt;"&amp;$A43,実績!$AK$6:$AK$505,"○")&gt;0,1,0))</f>
        <v>0</v>
      </c>
      <c r="CG43" s="39" t="n">
        <f aca="false">IF(CG$4=0,0,IF(COUNTIFS(実績!$W$6:$W$505,CG$3,実績!$AI$6:$AI$505,"&lt;="&amp;$A43,実績!$AJ$6:$AJ$505,"&gt;"&amp;$A43,実績!$AK$6:$AK$505,"○")&gt;0,1,0))</f>
        <v>0</v>
      </c>
      <c r="CH43" s="39" t="n">
        <f aca="false">IF(CH$4=0,0,IF(COUNTIFS(実績!$W$6:$W$505,CH$3,実績!$AI$6:$AI$505,"&lt;="&amp;$A43,実績!$AJ$6:$AJ$505,"&gt;"&amp;$A43,実績!$AK$6:$AK$505,"○")&gt;0,1,0))</f>
        <v>0</v>
      </c>
      <c r="CI43" s="39" t="n">
        <f aca="false">IF(CI$4=0,0,IF(COUNTIFS(実績!$W$6:$W$505,CI$3,実績!$AI$6:$AI$505,"&lt;="&amp;$A43,実績!$AJ$6:$AJ$505,"&gt;"&amp;$A43,実績!$AK$6:$AK$505,"○")&gt;0,1,0))</f>
        <v>0</v>
      </c>
      <c r="CJ43" s="39" t="n">
        <f aca="false">IF(CJ$4=0,0,IF(COUNTIFS(実績!$W$6:$W$505,CJ$3,実績!$AI$6:$AI$505,"&lt;="&amp;$A43,実績!$AJ$6:$AJ$505,"&gt;"&amp;$A43,実績!$AK$6:$AK$505,"○")&gt;0,1,0))</f>
        <v>0</v>
      </c>
      <c r="CK43" s="39" t="n">
        <f aca="false">IF(CK$4=0,0,IF(COUNTIFS(実績!$W$6:$W$505,CK$3,実績!$AI$6:$AI$505,"&lt;="&amp;$A43,実績!$AJ$6:$AJ$505,"&gt;"&amp;$A43,実績!$AK$6:$AK$505,"○")&gt;0,1,0))</f>
        <v>0</v>
      </c>
      <c r="CL43" s="39" t="n">
        <f aca="false">IF(CL$4=0,0,IF(COUNTIFS(実績!$W$6:$W$505,CL$3,実績!$AI$6:$AI$505,"&lt;="&amp;$A43,実績!$AJ$6:$AJ$505,"&gt;"&amp;$A43,実績!$AK$6:$AK$505,"○")&gt;0,1,0))</f>
        <v>0</v>
      </c>
      <c r="CM43" s="39" t="n">
        <f aca="false">IF(CM$4=0,0,IF(COUNTIFS(実績!$W$6:$W$505,CM$3,実績!$AI$6:$AI$505,"&lt;="&amp;$A43,実績!$AJ$6:$AJ$505,"&gt;"&amp;$A43,実績!$AK$6:$AK$505,"○")&gt;0,1,0))</f>
        <v>0</v>
      </c>
      <c r="CN43" s="39" t="n">
        <f aca="false">IF(CN$4=0,0,IF(COUNTIFS(実績!$W$6:$W$505,CN$3,実績!$AI$6:$AI$505,"&lt;="&amp;$A43,実績!$AJ$6:$AJ$505,"&gt;"&amp;$A43,実績!$AK$6:$AK$505,"○")&gt;0,1,0))</f>
        <v>0</v>
      </c>
      <c r="CO43" s="39" t="n">
        <f aca="false">IF(CO$4=0,0,IF(COUNTIFS(実績!$W$6:$W$505,CO$3,実績!$AI$6:$AI$505,"&lt;="&amp;$A43,実績!$AJ$6:$AJ$505,"&gt;"&amp;$A43,実績!$AK$6:$AK$505,"○")&gt;0,1,0))</f>
        <v>0</v>
      </c>
      <c r="CP43" s="39" t="n">
        <f aca="false">IF(CP$4=0,0,IF(COUNTIFS(実績!$W$6:$W$505,CP$3,実績!$AI$6:$AI$505,"&lt;="&amp;$A43,実績!$AJ$6:$AJ$505,"&gt;"&amp;$A43,実績!$AK$6:$AK$505,"○")&gt;0,1,0))</f>
        <v>0</v>
      </c>
      <c r="CQ43" s="39" t="n">
        <f aca="false">IF(CQ$4=0,0,IF(COUNTIFS(実績!$W$6:$W$505,CQ$3,実績!$AI$6:$AI$505,"&lt;="&amp;$A43,実績!$AJ$6:$AJ$505,"&gt;"&amp;$A43,実績!$AK$6:$AK$505,"○")&gt;0,1,0))</f>
        <v>0</v>
      </c>
      <c r="CR43" s="39" t="n">
        <f aca="false">IF(CR$4=0,0,IF(COUNTIFS(実績!$W$6:$W$505,CR$3,実績!$AI$6:$AI$505,"&lt;="&amp;$A43,実績!$AJ$6:$AJ$505,"&gt;"&amp;$A43,実績!$AK$6:$AK$505,"○")&gt;0,1,0))</f>
        <v>0</v>
      </c>
      <c r="CS43" s="39" t="n">
        <f aca="false">IF(CS$4=0,0,IF(COUNTIFS(実績!$W$6:$W$505,CS$3,実績!$AI$6:$AI$505,"&lt;="&amp;$A43,実績!$AJ$6:$AJ$505,"&gt;"&amp;$A43,実績!$AK$6:$AK$505,"○")&gt;0,1,0))</f>
        <v>0</v>
      </c>
      <c r="CT43" s="39" t="n">
        <f aca="false">IF(CT$4=0,0,IF(COUNTIFS(実績!$W$6:$W$505,CT$3,実績!$AI$6:$AI$505,"&lt;="&amp;$A43,実績!$AJ$6:$AJ$505,"&gt;"&amp;$A43,実績!$AK$6:$AK$505,"○")&gt;0,1,0))</f>
        <v>0</v>
      </c>
      <c r="CU43" s="39" t="n">
        <f aca="false">IF(CU$4=0,0,IF(COUNTIFS(実績!$W$6:$W$505,CU$3,実績!$AI$6:$AI$505,"&lt;="&amp;$A43,実績!$AJ$6:$AJ$505,"&gt;"&amp;$A43,実績!$AK$6:$AK$505,"○")&gt;0,1,0))</f>
        <v>0</v>
      </c>
      <c r="CV43" s="39" t="n">
        <f aca="false">IF(CV$4=0,0,IF(COUNTIFS(実績!$W$6:$W$505,CV$3,実績!$AI$6:$AI$505,"&lt;="&amp;$A43,実績!$AJ$6:$AJ$505,"&gt;"&amp;$A43,実績!$AK$6:$AK$505,"○")&gt;0,1,0))</f>
        <v>0</v>
      </c>
      <c r="CW43" s="39" t="n">
        <f aca="false">IF(CW$4=0,0,IF(COUNTIFS(実績!$W$6:$W$505,CW$3,実績!$AI$6:$AI$505,"&lt;="&amp;$A43,実績!$AJ$6:$AJ$505,"&gt;"&amp;$A43,実績!$AK$6:$AK$505,"○")&gt;0,1,0))</f>
        <v>0</v>
      </c>
      <c r="CX43" s="39" t="n">
        <f aca="false">IF(CX$4=0,0,IF(COUNTIFS(実績!$W$6:$W$505,CX$3,実績!$AI$6:$AI$505,"&lt;="&amp;$A43,実績!$AJ$6:$AJ$505,"&gt;"&amp;$A43,実績!$AK$6:$AK$505,"○")&gt;0,1,0))</f>
        <v>0</v>
      </c>
      <c r="CY43" s="39" t="n">
        <f aca="false">IF(CY$4=0,0,IF(COUNTIFS(実績!$W$6:$W$505,CY$3,実績!$AI$6:$AI$505,"&lt;="&amp;$A43,実績!$AJ$6:$AJ$505,"&gt;"&amp;$A43,実績!$AK$6:$AK$505,"○")&gt;0,1,0))</f>
        <v>0</v>
      </c>
      <c r="CZ43" s="39" t="n">
        <f aca="false">IF(CZ$4=0,0,IF(COUNTIFS(実績!$W$6:$W$505,CZ$3,実績!$AI$6:$AI$505,"&lt;="&amp;$A43,実績!$AJ$6:$AJ$505,"&gt;"&amp;$A43,実績!$AK$6:$AK$505,"○")&gt;0,1,0))</f>
        <v>0</v>
      </c>
      <c r="DA43" s="39" t="n">
        <f aca="false">IF(DA$4=0,0,IF(COUNTIFS(実績!$W$6:$W$505,DA$3,実績!$AI$6:$AI$505,"&lt;="&amp;$A43,実績!$AJ$6:$AJ$505,"&gt;"&amp;$A43,実績!$AK$6:$AK$505,"○")&gt;0,1,0))</f>
        <v>0</v>
      </c>
      <c r="DB43" s="39" t="n">
        <f aca="false">IF(DB$4=0,0,IF(COUNTIFS(実績!$W$6:$W$505,DB$3,実績!$AI$6:$AI$505,"&lt;="&amp;$A43,実績!$AJ$6:$AJ$505,"&gt;"&amp;$A43,実績!$AK$6:$AK$505,"○")&gt;0,1,0))</f>
        <v>0</v>
      </c>
      <c r="DC43" s="39" t="n">
        <f aca="false">IF(DC$4=0,0,IF(COUNTIFS(実績!$W$6:$W$505,DC$3,実績!$AI$6:$AI$505,"&lt;="&amp;$A43,実績!$AJ$6:$AJ$505,"&gt;"&amp;$A43,実績!$AK$6:$AK$505,"○")&gt;0,1,0))</f>
        <v>0</v>
      </c>
      <c r="DD43" s="39" t="n">
        <f aca="false">IF(DD$4=0,0,IF(COUNTIFS(実績!$W$6:$W$505,DD$3,実績!$AI$6:$AI$505,"&lt;="&amp;$A43,実績!$AJ$6:$AJ$505,"&gt;"&amp;$A43,実績!$AK$6:$AK$505,"○")&gt;0,1,0))</f>
        <v>0</v>
      </c>
      <c r="DE43" s="39" t="n">
        <f aca="false">IF(DE$4=0,0,IF(COUNTIFS(実績!$W$6:$W$505,DE$3,実績!$AI$6:$AI$505,"&lt;="&amp;$A43,実績!$AJ$6:$AJ$505,"&gt;"&amp;$A43,実績!$AK$6:$AK$505,"○")&gt;0,1,0))</f>
        <v>0</v>
      </c>
      <c r="DF43" s="39" t="n">
        <f aca="false">IF(DF$4=0,0,IF(COUNTIFS(実績!$W$6:$W$505,DF$3,実績!$AI$6:$AI$505,"&lt;="&amp;$A43,実績!$AJ$6:$AJ$505,"&gt;"&amp;$A43,実績!$AK$6:$AK$505,"○")&gt;0,1,0))</f>
        <v>0</v>
      </c>
      <c r="DG43" s="39" t="n">
        <f aca="false">IF(DG$4=0,0,IF(COUNTIFS(実績!$W$6:$W$505,DG$3,実績!$AI$6:$AI$505,"&lt;="&amp;$A43,実績!$AJ$6:$AJ$505,"&gt;"&amp;$A43,実績!$AK$6:$AK$505,"○")&gt;0,1,0))</f>
        <v>0</v>
      </c>
      <c r="DH43" s="39" t="n">
        <f aca="false">IF(DH$4=0,0,IF(COUNTIFS(実績!$W$6:$W$505,DH$3,実績!$AI$6:$AI$505,"&lt;="&amp;$A43,実績!$AJ$6:$AJ$505,"&gt;"&amp;$A43,実績!$AK$6:$AK$505,"○")&gt;0,1,0))</f>
        <v>0</v>
      </c>
      <c r="DI43" s="39" t="n">
        <f aca="false">IF(DI$4=0,0,IF(COUNTIFS(実績!$W$6:$W$505,DI$3,実績!$AI$6:$AI$505,"&lt;="&amp;$A43,実績!$AJ$6:$AJ$505,"&gt;"&amp;$A43,実績!$AK$6:$AK$505,"○")&gt;0,1,0))</f>
        <v>0</v>
      </c>
      <c r="DJ43" s="39" t="n">
        <f aca="false">IF(DJ$4=0,0,IF(COUNTIFS(実績!$W$6:$W$505,DJ$3,実績!$AI$6:$AI$505,"&lt;="&amp;$A43,実績!$AJ$6:$AJ$505,"&gt;"&amp;$A43,実績!$AK$6:$AK$505,"○")&gt;0,1,0))</f>
        <v>0</v>
      </c>
      <c r="DK43" s="39" t="n">
        <f aca="false">IF(DK$4=0,0,IF(COUNTIFS(実績!$W$6:$W$505,DK$3,実績!$AI$6:$AI$505,"&lt;="&amp;$A43,実績!$AJ$6:$AJ$505,"&gt;"&amp;$A43,実績!$AK$6:$AK$505,"○")&gt;0,1,0))</f>
        <v>0</v>
      </c>
      <c r="DL43" s="39" t="n">
        <f aca="false">IF(DL$4=0,0,IF(COUNTIFS(実績!$W$6:$W$505,DL$3,実績!$AI$6:$AI$505,"&lt;="&amp;$A43,実績!$AJ$6:$AJ$505,"&gt;"&amp;$A43,実績!$AK$6:$AK$505,"○")&gt;0,1,0))</f>
        <v>0</v>
      </c>
      <c r="DM43" s="39" t="n">
        <f aca="false">IF(DM$4=0,0,IF(COUNTIFS(実績!$W$6:$W$505,DM$3,実績!$AI$6:$AI$505,"&lt;="&amp;$A43,実績!$AJ$6:$AJ$505,"&gt;"&amp;$A43,実績!$AK$6:$AK$505,"○")&gt;0,1,0))</f>
        <v>0</v>
      </c>
      <c r="DN43" s="39" t="n">
        <f aca="false">IF(DN$4=0,0,IF(COUNTIFS(実績!$W$6:$W$505,DN$3,実績!$AI$6:$AI$505,"&lt;="&amp;$A43,実績!$AJ$6:$AJ$505,"&gt;"&amp;$A43,実績!$AK$6:$AK$505,"○")&gt;0,1,0))</f>
        <v>0</v>
      </c>
      <c r="DO43" s="39" t="n">
        <f aca="false">IF(DO$4=0,0,IF(COUNTIFS(実績!$W$6:$W$505,DO$3,実績!$AI$6:$AI$505,"&lt;="&amp;$A43,実績!$AJ$6:$AJ$505,"&gt;"&amp;$A43,実績!$AK$6:$AK$505,"○")&gt;0,1,0))</f>
        <v>0</v>
      </c>
      <c r="DP43" s="39" t="n">
        <f aca="false">IF(DP$4=0,0,IF(COUNTIFS(実績!$W$6:$W$505,DP$3,実績!$AI$6:$AI$505,"&lt;="&amp;$A43,実績!$AJ$6:$AJ$505,"&gt;"&amp;$A43,実績!$AK$6:$AK$505,"○")&gt;0,1,0))</f>
        <v>0</v>
      </c>
      <c r="DQ43" s="39" t="n">
        <f aca="false">IF(DQ$4=0,0,IF(COUNTIFS(実績!$W$6:$W$505,DQ$3,実績!$AI$6:$AI$505,"&lt;="&amp;$A43,実績!$AJ$6:$AJ$505,"&gt;"&amp;$A43,実績!$AK$6:$AK$505,"○")&gt;0,1,0))</f>
        <v>0</v>
      </c>
      <c r="DR43" s="39" t="n">
        <f aca="false">IF(DR$4=0,0,IF(COUNTIFS(実績!$W$6:$W$505,DR$3,実績!$AI$6:$AI$505,"&lt;="&amp;$A43,実績!$AJ$6:$AJ$505,"&gt;"&amp;$A43,実績!$AK$6:$AK$505,"○")&gt;0,1,0))</f>
        <v>0</v>
      </c>
      <c r="DS43" s="39" t="n">
        <f aca="false">SUM(C43:DR43)</f>
        <v>0</v>
      </c>
      <c r="DT43" s="39" t="n">
        <f aca="false">SUMPRODUCT((実績!$C$6:$C$505="○")*ISNUMBER(実績!$AM$6:$AM$505)*(実績!$AM$6:$AM$505&lt;=$A43)*(実績!$AN$6:$AN$505&gt;$A43))</f>
        <v>0</v>
      </c>
      <c r="DU43" s="39" t="n">
        <f aca="false">SUMIF($C$2:$DR$2,"製鉄曳船",C43:DR43)</f>
        <v>0</v>
      </c>
      <c r="DV43" s="39" t="n">
        <f aca="false">SUMIF($C$2:$DR$2,"西日本海運",C43:DR43)</f>
        <v>0</v>
      </c>
    </row>
    <row r="44" customFormat="false" ht="15" hidden="false" customHeight="false" outlineLevel="0" collapsed="false">
      <c r="A44" s="0" t="n">
        <v>190</v>
      </c>
      <c r="B44" s="38" t="n">
        <f aca="false">A44/1440</f>
        <v>0.131944444444444</v>
      </c>
      <c r="C44" s="39" t="n">
        <f aca="false">IF(C$4=0,0,IF(COUNTIFS(実績!$W$6:$W$505,C$3,実績!$AI$6:$AI$505,"&lt;="&amp;$A44,実績!$AJ$6:$AJ$505,"&gt;"&amp;$A44,実績!$AK$6:$AK$505,"○")&gt;0,1,0))</f>
        <v>0</v>
      </c>
      <c r="D44" s="39" t="n">
        <f aca="false">IF(D$4=0,0,IF(COUNTIFS(実績!$W$6:$W$505,D$3,実績!$AI$6:$AI$505,"&lt;="&amp;$A44,実績!$AJ$6:$AJ$505,"&gt;"&amp;$A44,実績!$AK$6:$AK$505,"○")&gt;0,1,0))</f>
        <v>0</v>
      </c>
      <c r="E44" s="39" t="n">
        <f aca="false">IF(E$4=0,0,IF(COUNTIFS(実績!$W$6:$W$505,E$3,実績!$AI$6:$AI$505,"&lt;="&amp;$A44,実績!$AJ$6:$AJ$505,"&gt;"&amp;$A44,実績!$AK$6:$AK$505,"○")&gt;0,1,0))</f>
        <v>0</v>
      </c>
      <c r="F44" s="39" t="n">
        <f aca="false">IF(F$4=0,0,IF(COUNTIFS(実績!$W$6:$W$505,F$3,実績!$AI$6:$AI$505,"&lt;="&amp;$A44,実績!$AJ$6:$AJ$505,"&gt;"&amp;$A44,実績!$AK$6:$AK$505,"○")&gt;0,1,0))</f>
        <v>0</v>
      </c>
      <c r="G44" s="39" t="n">
        <f aca="false">IF(G$4=0,0,IF(COUNTIFS(実績!$W$6:$W$505,G$3,実績!$AI$6:$AI$505,"&lt;="&amp;$A44,実績!$AJ$6:$AJ$505,"&gt;"&amp;$A44,実績!$AK$6:$AK$505,"○")&gt;0,1,0))</f>
        <v>0</v>
      </c>
      <c r="H44" s="39" t="n">
        <f aca="false">IF(H$4=0,0,IF(COUNTIFS(実績!$W$6:$W$505,H$3,実績!$AI$6:$AI$505,"&lt;="&amp;$A44,実績!$AJ$6:$AJ$505,"&gt;"&amp;$A44,実績!$AK$6:$AK$505,"○")&gt;0,1,0))</f>
        <v>0</v>
      </c>
      <c r="I44" s="39" t="n">
        <f aca="false">IF(I$4=0,0,IF(COUNTIFS(実績!$W$6:$W$505,I$3,実績!$AI$6:$AI$505,"&lt;="&amp;$A44,実績!$AJ$6:$AJ$505,"&gt;"&amp;$A44,実績!$AK$6:$AK$505,"○")&gt;0,1,0))</f>
        <v>0</v>
      </c>
      <c r="J44" s="39" t="n">
        <f aca="false">IF(J$4=0,0,IF(COUNTIFS(実績!$W$6:$W$505,J$3,実績!$AI$6:$AI$505,"&lt;="&amp;$A44,実績!$AJ$6:$AJ$505,"&gt;"&amp;$A44,実績!$AK$6:$AK$505,"○")&gt;0,1,0))</f>
        <v>0</v>
      </c>
      <c r="K44" s="39" t="n">
        <f aca="false">IF(K$4=0,0,IF(COUNTIFS(実績!$W$6:$W$505,K$3,実績!$AI$6:$AI$505,"&lt;="&amp;$A44,実績!$AJ$6:$AJ$505,"&gt;"&amp;$A44,実績!$AK$6:$AK$505,"○")&gt;0,1,0))</f>
        <v>0</v>
      </c>
      <c r="L44" s="39" t="n">
        <f aca="false">IF(L$4=0,0,IF(COUNTIFS(実績!$W$6:$W$505,L$3,実績!$AI$6:$AI$505,"&lt;="&amp;$A44,実績!$AJ$6:$AJ$505,"&gt;"&amp;$A44,実績!$AK$6:$AK$505,"○")&gt;0,1,0))</f>
        <v>0</v>
      </c>
      <c r="M44" s="39" t="n">
        <f aca="false">IF(M$4=0,0,IF(COUNTIFS(実績!$W$6:$W$505,M$3,実績!$AI$6:$AI$505,"&lt;="&amp;$A44,実績!$AJ$6:$AJ$505,"&gt;"&amp;$A44,実績!$AK$6:$AK$505,"○")&gt;0,1,0))</f>
        <v>0</v>
      </c>
      <c r="N44" s="39" t="n">
        <f aca="false">IF(N$4=0,0,IF(COUNTIFS(実績!$W$6:$W$505,N$3,実績!$AI$6:$AI$505,"&lt;="&amp;$A44,実績!$AJ$6:$AJ$505,"&gt;"&amp;$A44,実績!$AK$6:$AK$505,"○")&gt;0,1,0))</f>
        <v>0</v>
      </c>
      <c r="O44" s="39" t="n">
        <f aca="false">IF(O$4=0,0,IF(COUNTIFS(実績!$W$6:$W$505,O$3,実績!$AI$6:$AI$505,"&lt;="&amp;$A44,実績!$AJ$6:$AJ$505,"&gt;"&amp;$A44,実績!$AK$6:$AK$505,"○")&gt;0,1,0))</f>
        <v>0</v>
      </c>
      <c r="P44" s="39" t="n">
        <f aca="false">IF(P$4=0,0,IF(COUNTIFS(実績!$W$6:$W$505,P$3,実績!$AI$6:$AI$505,"&lt;="&amp;$A44,実績!$AJ$6:$AJ$505,"&gt;"&amp;$A44,実績!$AK$6:$AK$505,"○")&gt;0,1,0))</f>
        <v>0</v>
      </c>
      <c r="Q44" s="39" t="n">
        <f aca="false">IF(Q$4=0,0,IF(COUNTIFS(実績!$W$6:$W$505,Q$3,実績!$AI$6:$AI$505,"&lt;="&amp;$A44,実績!$AJ$6:$AJ$505,"&gt;"&amp;$A44,実績!$AK$6:$AK$505,"○")&gt;0,1,0))</f>
        <v>0</v>
      </c>
      <c r="R44" s="39" t="n">
        <f aca="false">IF(R$4=0,0,IF(COUNTIFS(実績!$W$6:$W$505,R$3,実績!$AI$6:$AI$505,"&lt;="&amp;$A44,実績!$AJ$6:$AJ$505,"&gt;"&amp;$A44,実績!$AK$6:$AK$505,"○")&gt;0,1,0))</f>
        <v>0</v>
      </c>
      <c r="S44" s="39" t="n">
        <f aca="false">IF(S$4=0,0,IF(COUNTIFS(実績!$W$6:$W$505,S$3,実績!$AI$6:$AI$505,"&lt;="&amp;$A44,実績!$AJ$6:$AJ$505,"&gt;"&amp;$A44,実績!$AK$6:$AK$505,"○")&gt;0,1,0))</f>
        <v>0</v>
      </c>
      <c r="T44" s="39" t="n">
        <f aca="false">IF(T$4=0,0,IF(COUNTIFS(実績!$W$6:$W$505,T$3,実績!$AI$6:$AI$505,"&lt;="&amp;$A44,実績!$AJ$6:$AJ$505,"&gt;"&amp;$A44,実績!$AK$6:$AK$505,"○")&gt;0,1,0))</f>
        <v>0</v>
      </c>
      <c r="U44" s="39" t="n">
        <f aca="false">IF(U$4=0,0,IF(COUNTIFS(実績!$W$6:$W$505,U$3,実績!$AI$6:$AI$505,"&lt;="&amp;$A44,実績!$AJ$6:$AJ$505,"&gt;"&amp;$A44,実績!$AK$6:$AK$505,"○")&gt;0,1,0))</f>
        <v>0</v>
      </c>
      <c r="V44" s="39" t="n">
        <f aca="false">IF(V$4=0,0,IF(COUNTIFS(実績!$W$6:$W$505,V$3,実績!$AI$6:$AI$505,"&lt;="&amp;$A44,実績!$AJ$6:$AJ$505,"&gt;"&amp;$A44,実績!$AK$6:$AK$505,"○")&gt;0,1,0))</f>
        <v>0</v>
      </c>
      <c r="W44" s="39" t="n">
        <f aca="false">IF(W$4=0,0,IF(COUNTIFS(実績!$W$6:$W$505,W$3,実績!$AI$6:$AI$505,"&lt;="&amp;$A44,実績!$AJ$6:$AJ$505,"&gt;"&amp;$A44,実績!$AK$6:$AK$505,"○")&gt;0,1,0))</f>
        <v>0</v>
      </c>
      <c r="X44" s="39" t="n">
        <f aca="false">IF(X$4=0,0,IF(COUNTIFS(実績!$W$6:$W$505,X$3,実績!$AI$6:$AI$505,"&lt;="&amp;$A44,実績!$AJ$6:$AJ$505,"&gt;"&amp;$A44,実績!$AK$6:$AK$505,"○")&gt;0,1,0))</f>
        <v>0</v>
      </c>
      <c r="Y44" s="39" t="n">
        <f aca="false">IF(Y$4=0,0,IF(COUNTIFS(実績!$W$6:$W$505,Y$3,実績!$AI$6:$AI$505,"&lt;="&amp;$A44,実績!$AJ$6:$AJ$505,"&gt;"&amp;$A44,実績!$AK$6:$AK$505,"○")&gt;0,1,0))</f>
        <v>0</v>
      </c>
      <c r="Z44" s="39" t="n">
        <f aca="false">IF(Z$4=0,0,IF(COUNTIFS(実績!$W$6:$W$505,Z$3,実績!$AI$6:$AI$505,"&lt;="&amp;$A44,実績!$AJ$6:$AJ$505,"&gt;"&amp;$A44,実績!$AK$6:$AK$505,"○")&gt;0,1,0))</f>
        <v>0</v>
      </c>
      <c r="AA44" s="39" t="n">
        <f aca="false">IF(AA$4=0,0,IF(COUNTIFS(実績!$W$6:$W$505,AA$3,実績!$AI$6:$AI$505,"&lt;="&amp;$A44,実績!$AJ$6:$AJ$505,"&gt;"&amp;$A44,実績!$AK$6:$AK$505,"○")&gt;0,1,0))</f>
        <v>0</v>
      </c>
      <c r="AB44" s="39" t="n">
        <f aca="false">IF(AB$4=0,0,IF(COUNTIFS(実績!$W$6:$W$505,AB$3,実績!$AI$6:$AI$505,"&lt;="&amp;$A44,実績!$AJ$6:$AJ$505,"&gt;"&amp;$A44,実績!$AK$6:$AK$505,"○")&gt;0,1,0))</f>
        <v>0</v>
      </c>
      <c r="AC44" s="39" t="n">
        <f aca="false">IF(AC$4=0,0,IF(COUNTIFS(実績!$W$6:$W$505,AC$3,実績!$AI$6:$AI$505,"&lt;="&amp;$A44,実績!$AJ$6:$AJ$505,"&gt;"&amp;$A44,実績!$AK$6:$AK$505,"○")&gt;0,1,0))</f>
        <v>0</v>
      </c>
      <c r="AD44" s="39" t="n">
        <f aca="false">IF(AD$4=0,0,IF(COUNTIFS(実績!$W$6:$W$505,AD$3,実績!$AI$6:$AI$505,"&lt;="&amp;$A44,実績!$AJ$6:$AJ$505,"&gt;"&amp;$A44,実績!$AK$6:$AK$505,"○")&gt;0,1,0))</f>
        <v>0</v>
      </c>
      <c r="AE44" s="39" t="n">
        <f aca="false">IF(AE$4=0,0,IF(COUNTIFS(実績!$W$6:$W$505,AE$3,実績!$AI$6:$AI$505,"&lt;="&amp;$A44,実績!$AJ$6:$AJ$505,"&gt;"&amp;$A44,実績!$AK$6:$AK$505,"○")&gt;0,1,0))</f>
        <v>0</v>
      </c>
      <c r="AF44" s="39" t="n">
        <f aca="false">IF(AF$4=0,0,IF(COUNTIFS(実績!$W$6:$W$505,AF$3,実績!$AI$6:$AI$505,"&lt;="&amp;$A44,実績!$AJ$6:$AJ$505,"&gt;"&amp;$A44,実績!$AK$6:$AK$505,"○")&gt;0,1,0))</f>
        <v>0</v>
      </c>
      <c r="AG44" s="39" t="n">
        <f aca="false">IF(AG$4=0,0,IF(COUNTIFS(実績!$W$6:$W$505,AG$3,実績!$AI$6:$AI$505,"&lt;="&amp;$A44,実績!$AJ$6:$AJ$505,"&gt;"&amp;$A44,実績!$AK$6:$AK$505,"○")&gt;0,1,0))</f>
        <v>0</v>
      </c>
      <c r="AH44" s="39" t="n">
        <f aca="false">IF(AH$4=0,0,IF(COUNTIFS(実績!$W$6:$W$505,AH$3,実績!$AI$6:$AI$505,"&lt;="&amp;$A44,実績!$AJ$6:$AJ$505,"&gt;"&amp;$A44,実績!$AK$6:$AK$505,"○")&gt;0,1,0))</f>
        <v>0</v>
      </c>
      <c r="AI44" s="39" t="n">
        <f aca="false">IF(AI$4=0,0,IF(COUNTIFS(実績!$W$6:$W$505,AI$3,実績!$AI$6:$AI$505,"&lt;="&amp;$A44,実績!$AJ$6:$AJ$505,"&gt;"&amp;$A44,実績!$AK$6:$AK$505,"○")&gt;0,1,0))</f>
        <v>0</v>
      </c>
      <c r="AJ44" s="39" t="n">
        <f aca="false">IF(AJ$4=0,0,IF(COUNTIFS(実績!$W$6:$W$505,AJ$3,実績!$AI$6:$AI$505,"&lt;="&amp;$A44,実績!$AJ$6:$AJ$505,"&gt;"&amp;$A44,実績!$AK$6:$AK$505,"○")&gt;0,1,0))</f>
        <v>0</v>
      </c>
      <c r="AK44" s="39" t="n">
        <f aca="false">IF(AK$4=0,0,IF(COUNTIFS(実績!$W$6:$W$505,AK$3,実績!$AI$6:$AI$505,"&lt;="&amp;$A44,実績!$AJ$6:$AJ$505,"&gt;"&amp;$A44,実績!$AK$6:$AK$505,"○")&gt;0,1,0))</f>
        <v>0</v>
      </c>
      <c r="AL44" s="39" t="n">
        <f aca="false">IF(AL$4=0,0,IF(COUNTIFS(実績!$W$6:$W$505,AL$3,実績!$AI$6:$AI$505,"&lt;="&amp;$A44,実績!$AJ$6:$AJ$505,"&gt;"&amp;$A44,実績!$AK$6:$AK$505,"○")&gt;0,1,0))</f>
        <v>0</v>
      </c>
      <c r="AM44" s="39" t="n">
        <f aca="false">IF(AM$4=0,0,IF(COUNTIFS(実績!$W$6:$W$505,AM$3,実績!$AI$6:$AI$505,"&lt;="&amp;$A44,実績!$AJ$6:$AJ$505,"&gt;"&amp;$A44,実績!$AK$6:$AK$505,"○")&gt;0,1,0))</f>
        <v>0</v>
      </c>
      <c r="AN44" s="39" t="n">
        <f aca="false">IF(AN$4=0,0,IF(COUNTIFS(実績!$W$6:$W$505,AN$3,実績!$AI$6:$AI$505,"&lt;="&amp;$A44,実績!$AJ$6:$AJ$505,"&gt;"&amp;$A44,実績!$AK$6:$AK$505,"○")&gt;0,1,0))</f>
        <v>0</v>
      </c>
      <c r="AO44" s="39" t="n">
        <f aca="false">IF(AO$4=0,0,IF(COUNTIFS(実績!$W$6:$W$505,AO$3,実績!$AI$6:$AI$505,"&lt;="&amp;$A44,実績!$AJ$6:$AJ$505,"&gt;"&amp;$A44,実績!$AK$6:$AK$505,"○")&gt;0,1,0))</f>
        <v>0</v>
      </c>
      <c r="AP44" s="39" t="n">
        <f aca="false">IF(AP$4=0,0,IF(COUNTIFS(実績!$W$6:$W$505,AP$3,実績!$AI$6:$AI$505,"&lt;="&amp;$A44,実績!$AJ$6:$AJ$505,"&gt;"&amp;$A44,実績!$AK$6:$AK$505,"○")&gt;0,1,0))</f>
        <v>0</v>
      </c>
      <c r="AQ44" s="39" t="n">
        <f aca="false">IF(AQ$4=0,0,IF(COUNTIFS(実績!$W$6:$W$505,AQ$3,実績!$AI$6:$AI$505,"&lt;="&amp;$A44,実績!$AJ$6:$AJ$505,"&gt;"&amp;$A44,実績!$AK$6:$AK$505,"○")&gt;0,1,0))</f>
        <v>0</v>
      </c>
      <c r="AR44" s="39" t="n">
        <f aca="false">IF(AR$4=0,0,IF(COUNTIFS(実績!$W$6:$W$505,AR$3,実績!$AI$6:$AI$505,"&lt;="&amp;$A44,実績!$AJ$6:$AJ$505,"&gt;"&amp;$A44,実績!$AK$6:$AK$505,"○")&gt;0,1,0))</f>
        <v>0</v>
      </c>
      <c r="AS44" s="39" t="n">
        <f aca="false">IF(AS$4=0,0,IF(COUNTIFS(実績!$W$6:$W$505,AS$3,実績!$AI$6:$AI$505,"&lt;="&amp;$A44,実績!$AJ$6:$AJ$505,"&gt;"&amp;$A44,実績!$AK$6:$AK$505,"○")&gt;0,1,0))</f>
        <v>0</v>
      </c>
      <c r="AT44" s="39" t="n">
        <f aca="false">IF(AT$4=0,0,IF(COUNTIFS(実績!$W$6:$W$505,AT$3,実績!$AI$6:$AI$505,"&lt;="&amp;$A44,実績!$AJ$6:$AJ$505,"&gt;"&amp;$A44,実績!$AK$6:$AK$505,"○")&gt;0,1,0))</f>
        <v>0</v>
      </c>
      <c r="AU44" s="39" t="n">
        <f aca="false">IF(AU$4=0,0,IF(COUNTIFS(実績!$W$6:$W$505,AU$3,実績!$AI$6:$AI$505,"&lt;="&amp;$A44,実績!$AJ$6:$AJ$505,"&gt;"&amp;$A44,実績!$AK$6:$AK$505,"○")&gt;0,1,0))</f>
        <v>0</v>
      </c>
      <c r="AV44" s="39" t="n">
        <f aca="false">IF(AV$4=0,0,IF(COUNTIFS(実績!$W$6:$W$505,AV$3,実績!$AI$6:$AI$505,"&lt;="&amp;$A44,実績!$AJ$6:$AJ$505,"&gt;"&amp;$A44,実績!$AK$6:$AK$505,"○")&gt;0,1,0))</f>
        <v>0</v>
      </c>
      <c r="AW44" s="39" t="n">
        <f aca="false">IF(AW$4=0,0,IF(COUNTIFS(実績!$W$6:$W$505,AW$3,実績!$AI$6:$AI$505,"&lt;="&amp;$A44,実績!$AJ$6:$AJ$505,"&gt;"&amp;$A44,実績!$AK$6:$AK$505,"○")&gt;0,1,0))</f>
        <v>0</v>
      </c>
      <c r="AX44" s="39" t="n">
        <f aca="false">IF(AX$4=0,0,IF(COUNTIFS(実績!$W$6:$W$505,AX$3,実績!$AI$6:$AI$505,"&lt;="&amp;$A44,実績!$AJ$6:$AJ$505,"&gt;"&amp;$A44,実績!$AK$6:$AK$505,"○")&gt;0,1,0))</f>
        <v>0</v>
      </c>
      <c r="AY44" s="39" t="n">
        <f aca="false">IF(AY$4=0,0,IF(COUNTIFS(実績!$W$6:$W$505,AY$3,実績!$AI$6:$AI$505,"&lt;="&amp;$A44,実績!$AJ$6:$AJ$505,"&gt;"&amp;$A44,実績!$AK$6:$AK$505,"○")&gt;0,1,0))</f>
        <v>0</v>
      </c>
      <c r="AZ44" s="39" t="n">
        <f aca="false">IF(AZ$4=0,0,IF(COUNTIFS(実績!$W$6:$W$505,AZ$3,実績!$AI$6:$AI$505,"&lt;="&amp;$A44,実績!$AJ$6:$AJ$505,"&gt;"&amp;$A44,実績!$AK$6:$AK$505,"○")&gt;0,1,0))</f>
        <v>0</v>
      </c>
      <c r="BA44" s="39" t="n">
        <f aca="false">IF(BA$4=0,0,IF(COUNTIFS(実績!$W$6:$W$505,BA$3,実績!$AI$6:$AI$505,"&lt;="&amp;$A44,実績!$AJ$6:$AJ$505,"&gt;"&amp;$A44,実績!$AK$6:$AK$505,"○")&gt;0,1,0))</f>
        <v>0</v>
      </c>
      <c r="BB44" s="39" t="n">
        <f aca="false">IF(BB$4=0,0,IF(COUNTIFS(実績!$W$6:$W$505,BB$3,実績!$AI$6:$AI$505,"&lt;="&amp;$A44,実績!$AJ$6:$AJ$505,"&gt;"&amp;$A44,実績!$AK$6:$AK$505,"○")&gt;0,1,0))</f>
        <v>0</v>
      </c>
      <c r="BC44" s="39" t="n">
        <f aca="false">IF(BC$4=0,0,IF(COUNTIFS(実績!$W$6:$W$505,BC$3,実績!$AI$6:$AI$505,"&lt;="&amp;$A44,実績!$AJ$6:$AJ$505,"&gt;"&amp;$A44,実績!$AK$6:$AK$505,"○")&gt;0,1,0))</f>
        <v>0</v>
      </c>
      <c r="BD44" s="39" t="n">
        <f aca="false">IF(BD$4=0,0,IF(COUNTIFS(実績!$W$6:$W$505,BD$3,実績!$AI$6:$AI$505,"&lt;="&amp;$A44,実績!$AJ$6:$AJ$505,"&gt;"&amp;$A44,実績!$AK$6:$AK$505,"○")&gt;0,1,0))</f>
        <v>0</v>
      </c>
      <c r="BE44" s="39" t="n">
        <f aca="false">IF(BE$4=0,0,IF(COUNTIFS(実績!$W$6:$W$505,BE$3,実績!$AI$6:$AI$505,"&lt;="&amp;$A44,実績!$AJ$6:$AJ$505,"&gt;"&amp;$A44,実績!$AK$6:$AK$505,"○")&gt;0,1,0))</f>
        <v>0</v>
      </c>
      <c r="BF44" s="39" t="n">
        <f aca="false">IF(BF$4=0,0,IF(COUNTIFS(実績!$W$6:$W$505,BF$3,実績!$AI$6:$AI$505,"&lt;="&amp;$A44,実績!$AJ$6:$AJ$505,"&gt;"&amp;$A44,実績!$AK$6:$AK$505,"○")&gt;0,1,0))</f>
        <v>0</v>
      </c>
      <c r="BG44" s="39" t="n">
        <f aca="false">IF(BG$4=0,0,IF(COUNTIFS(実績!$W$6:$W$505,BG$3,実績!$AI$6:$AI$505,"&lt;="&amp;$A44,実績!$AJ$6:$AJ$505,"&gt;"&amp;$A44,実績!$AK$6:$AK$505,"○")&gt;0,1,0))</f>
        <v>0</v>
      </c>
      <c r="BH44" s="39" t="n">
        <f aca="false">IF(BH$4=0,0,IF(COUNTIFS(実績!$W$6:$W$505,BH$3,実績!$AI$6:$AI$505,"&lt;="&amp;$A44,実績!$AJ$6:$AJ$505,"&gt;"&amp;$A44,実績!$AK$6:$AK$505,"○")&gt;0,1,0))</f>
        <v>0</v>
      </c>
      <c r="BI44" s="39" t="n">
        <f aca="false">IF(BI$4=0,0,IF(COUNTIFS(実績!$W$6:$W$505,BI$3,実績!$AI$6:$AI$505,"&lt;="&amp;$A44,実績!$AJ$6:$AJ$505,"&gt;"&amp;$A44,実績!$AK$6:$AK$505,"○")&gt;0,1,0))</f>
        <v>0</v>
      </c>
      <c r="BJ44" s="39" t="n">
        <f aca="false">IF(BJ$4=0,0,IF(COUNTIFS(実績!$W$6:$W$505,BJ$3,実績!$AI$6:$AI$505,"&lt;="&amp;$A44,実績!$AJ$6:$AJ$505,"&gt;"&amp;$A44,実績!$AK$6:$AK$505,"○")&gt;0,1,0))</f>
        <v>0</v>
      </c>
      <c r="BK44" s="39" t="n">
        <f aca="false">IF(BK$4=0,0,IF(COUNTIFS(実績!$W$6:$W$505,BK$3,実績!$AI$6:$AI$505,"&lt;="&amp;$A44,実績!$AJ$6:$AJ$505,"&gt;"&amp;$A44,実績!$AK$6:$AK$505,"○")&gt;0,1,0))</f>
        <v>0</v>
      </c>
      <c r="BL44" s="39" t="n">
        <f aca="false">IF(BL$4=0,0,IF(COUNTIFS(実績!$W$6:$W$505,BL$3,実績!$AI$6:$AI$505,"&lt;="&amp;$A44,実績!$AJ$6:$AJ$505,"&gt;"&amp;$A44,実績!$AK$6:$AK$505,"○")&gt;0,1,0))</f>
        <v>0</v>
      </c>
      <c r="BM44" s="39" t="n">
        <f aca="false">IF(BM$4=0,0,IF(COUNTIFS(実績!$W$6:$W$505,BM$3,実績!$AI$6:$AI$505,"&lt;="&amp;$A44,実績!$AJ$6:$AJ$505,"&gt;"&amp;$A44,実績!$AK$6:$AK$505,"○")&gt;0,1,0))</f>
        <v>0</v>
      </c>
      <c r="BN44" s="39" t="n">
        <f aca="false">IF(BN$4=0,0,IF(COUNTIFS(実績!$W$6:$W$505,BN$3,実績!$AI$6:$AI$505,"&lt;="&amp;$A44,実績!$AJ$6:$AJ$505,"&gt;"&amp;$A44,実績!$AK$6:$AK$505,"○")&gt;0,1,0))</f>
        <v>0</v>
      </c>
      <c r="BO44" s="39" t="n">
        <f aca="false">IF(BO$4=0,0,IF(COUNTIFS(実績!$W$6:$W$505,BO$3,実績!$AI$6:$AI$505,"&lt;="&amp;$A44,実績!$AJ$6:$AJ$505,"&gt;"&amp;$A44,実績!$AK$6:$AK$505,"○")&gt;0,1,0))</f>
        <v>0</v>
      </c>
      <c r="BP44" s="39" t="n">
        <f aca="false">IF(BP$4=0,0,IF(COUNTIFS(実績!$W$6:$W$505,BP$3,実績!$AI$6:$AI$505,"&lt;="&amp;$A44,実績!$AJ$6:$AJ$505,"&gt;"&amp;$A44,実績!$AK$6:$AK$505,"○")&gt;0,1,0))</f>
        <v>0</v>
      </c>
      <c r="BQ44" s="39" t="n">
        <f aca="false">IF(BQ$4=0,0,IF(COUNTIFS(実績!$W$6:$W$505,BQ$3,実績!$AI$6:$AI$505,"&lt;="&amp;$A44,実績!$AJ$6:$AJ$505,"&gt;"&amp;$A44,実績!$AK$6:$AK$505,"○")&gt;0,1,0))</f>
        <v>0</v>
      </c>
      <c r="BR44" s="39" t="n">
        <f aca="false">IF(BR$4=0,0,IF(COUNTIFS(実績!$W$6:$W$505,BR$3,実績!$AI$6:$AI$505,"&lt;="&amp;$A44,実績!$AJ$6:$AJ$505,"&gt;"&amp;$A44,実績!$AK$6:$AK$505,"○")&gt;0,1,0))</f>
        <v>0</v>
      </c>
      <c r="BS44" s="39" t="n">
        <f aca="false">IF(BS$4=0,0,IF(COUNTIFS(実績!$W$6:$W$505,BS$3,実績!$AI$6:$AI$505,"&lt;="&amp;$A44,実績!$AJ$6:$AJ$505,"&gt;"&amp;$A44,実績!$AK$6:$AK$505,"○")&gt;0,1,0))</f>
        <v>0</v>
      </c>
      <c r="BT44" s="39" t="n">
        <f aca="false">IF(BT$4=0,0,IF(COUNTIFS(実績!$W$6:$W$505,BT$3,実績!$AI$6:$AI$505,"&lt;="&amp;$A44,実績!$AJ$6:$AJ$505,"&gt;"&amp;$A44,実績!$AK$6:$AK$505,"○")&gt;0,1,0))</f>
        <v>0</v>
      </c>
      <c r="BU44" s="39" t="n">
        <f aca="false">IF(BU$4=0,0,IF(COUNTIFS(実績!$W$6:$W$505,BU$3,実績!$AI$6:$AI$505,"&lt;="&amp;$A44,実績!$AJ$6:$AJ$505,"&gt;"&amp;$A44,実績!$AK$6:$AK$505,"○")&gt;0,1,0))</f>
        <v>0</v>
      </c>
      <c r="BV44" s="39" t="n">
        <f aca="false">IF(BV$4=0,0,IF(COUNTIFS(実績!$W$6:$W$505,BV$3,実績!$AI$6:$AI$505,"&lt;="&amp;$A44,実績!$AJ$6:$AJ$505,"&gt;"&amp;$A44,実績!$AK$6:$AK$505,"○")&gt;0,1,0))</f>
        <v>0</v>
      </c>
      <c r="BW44" s="39" t="n">
        <f aca="false">IF(BW$4=0,0,IF(COUNTIFS(実績!$W$6:$W$505,BW$3,実績!$AI$6:$AI$505,"&lt;="&amp;$A44,実績!$AJ$6:$AJ$505,"&gt;"&amp;$A44,実績!$AK$6:$AK$505,"○")&gt;0,1,0))</f>
        <v>0</v>
      </c>
      <c r="BX44" s="39" t="n">
        <f aca="false">IF(BX$4=0,0,IF(COUNTIFS(実績!$W$6:$W$505,BX$3,実績!$AI$6:$AI$505,"&lt;="&amp;$A44,実績!$AJ$6:$AJ$505,"&gt;"&amp;$A44,実績!$AK$6:$AK$505,"○")&gt;0,1,0))</f>
        <v>0</v>
      </c>
      <c r="BY44" s="39" t="n">
        <f aca="false">IF(BY$4=0,0,IF(COUNTIFS(実績!$W$6:$W$505,BY$3,実績!$AI$6:$AI$505,"&lt;="&amp;$A44,実績!$AJ$6:$AJ$505,"&gt;"&amp;$A44,実績!$AK$6:$AK$505,"○")&gt;0,1,0))</f>
        <v>0</v>
      </c>
      <c r="BZ44" s="39" t="n">
        <f aca="false">IF(BZ$4=0,0,IF(COUNTIFS(実績!$W$6:$W$505,BZ$3,実績!$AI$6:$AI$505,"&lt;="&amp;$A44,実績!$AJ$6:$AJ$505,"&gt;"&amp;$A44,実績!$AK$6:$AK$505,"○")&gt;0,1,0))</f>
        <v>0</v>
      </c>
      <c r="CA44" s="39" t="n">
        <f aca="false">IF(CA$4=0,0,IF(COUNTIFS(実績!$W$6:$W$505,CA$3,実績!$AI$6:$AI$505,"&lt;="&amp;$A44,実績!$AJ$6:$AJ$505,"&gt;"&amp;$A44,実績!$AK$6:$AK$505,"○")&gt;0,1,0))</f>
        <v>0</v>
      </c>
      <c r="CB44" s="39" t="n">
        <f aca="false">IF(CB$4=0,0,IF(COUNTIFS(実績!$W$6:$W$505,CB$3,実績!$AI$6:$AI$505,"&lt;="&amp;$A44,実績!$AJ$6:$AJ$505,"&gt;"&amp;$A44,実績!$AK$6:$AK$505,"○")&gt;0,1,0))</f>
        <v>0</v>
      </c>
      <c r="CC44" s="39" t="n">
        <f aca="false">IF(CC$4=0,0,IF(COUNTIFS(実績!$W$6:$W$505,CC$3,実績!$AI$6:$AI$505,"&lt;="&amp;$A44,実績!$AJ$6:$AJ$505,"&gt;"&amp;$A44,実績!$AK$6:$AK$505,"○")&gt;0,1,0))</f>
        <v>0</v>
      </c>
      <c r="CD44" s="39" t="n">
        <f aca="false">IF(CD$4=0,0,IF(COUNTIFS(実績!$W$6:$W$505,CD$3,実績!$AI$6:$AI$505,"&lt;="&amp;$A44,実績!$AJ$6:$AJ$505,"&gt;"&amp;$A44,実績!$AK$6:$AK$505,"○")&gt;0,1,0))</f>
        <v>0</v>
      </c>
      <c r="CE44" s="39" t="n">
        <f aca="false">IF(CE$4=0,0,IF(COUNTIFS(実績!$W$6:$W$505,CE$3,実績!$AI$6:$AI$505,"&lt;="&amp;$A44,実績!$AJ$6:$AJ$505,"&gt;"&amp;$A44,実績!$AK$6:$AK$505,"○")&gt;0,1,0))</f>
        <v>0</v>
      </c>
      <c r="CF44" s="39" t="n">
        <f aca="false">IF(CF$4=0,0,IF(COUNTIFS(実績!$W$6:$W$505,CF$3,実績!$AI$6:$AI$505,"&lt;="&amp;$A44,実績!$AJ$6:$AJ$505,"&gt;"&amp;$A44,実績!$AK$6:$AK$505,"○")&gt;0,1,0))</f>
        <v>0</v>
      </c>
      <c r="CG44" s="39" t="n">
        <f aca="false">IF(CG$4=0,0,IF(COUNTIFS(実績!$W$6:$W$505,CG$3,実績!$AI$6:$AI$505,"&lt;="&amp;$A44,実績!$AJ$6:$AJ$505,"&gt;"&amp;$A44,実績!$AK$6:$AK$505,"○")&gt;0,1,0))</f>
        <v>0</v>
      </c>
      <c r="CH44" s="39" t="n">
        <f aca="false">IF(CH$4=0,0,IF(COUNTIFS(実績!$W$6:$W$505,CH$3,実績!$AI$6:$AI$505,"&lt;="&amp;$A44,実績!$AJ$6:$AJ$505,"&gt;"&amp;$A44,実績!$AK$6:$AK$505,"○")&gt;0,1,0))</f>
        <v>0</v>
      </c>
      <c r="CI44" s="39" t="n">
        <f aca="false">IF(CI$4=0,0,IF(COUNTIFS(実績!$W$6:$W$505,CI$3,実績!$AI$6:$AI$505,"&lt;="&amp;$A44,実績!$AJ$6:$AJ$505,"&gt;"&amp;$A44,実績!$AK$6:$AK$505,"○")&gt;0,1,0))</f>
        <v>0</v>
      </c>
      <c r="CJ44" s="39" t="n">
        <f aca="false">IF(CJ$4=0,0,IF(COUNTIFS(実績!$W$6:$W$505,CJ$3,実績!$AI$6:$AI$505,"&lt;="&amp;$A44,実績!$AJ$6:$AJ$505,"&gt;"&amp;$A44,実績!$AK$6:$AK$505,"○")&gt;0,1,0))</f>
        <v>0</v>
      </c>
      <c r="CK44" s="39" t="n">
        <f aca="false">IF(CK$4=0,0,IF(COUNTIFS(実績!$W$6:$W$505,CK$3,実績!$AI$6:$AI$505,"&lt;="&amp;$A44,実績!$AJ$6:$AJ$505,"&gt;"&amp;$A44,実績!$AK$6:$AK$505,"○")&gt;0,1,0))</f>
        <v>0</v>
      </c>
      <c r="CL44" s="39" t="n">
        <f aca="false">IF(CL$4=0,0,IF(COUNTIFS(実績!$W$6:$W$505,CL$3,実績!$AI$6:$AI$505,"&lt;="&amp;$A44,実績!$AJ$6:$AJ$505,"&gt;"&amp;$A44,実績!$AK$6:$AK$505,"○")&gt;0,1,0))</f>
        <v>0</v>
      </c>
      <c r="CM44" s="39" t="n">
        <f aca="false">IF(CM$4=0,0,IF(COUNTIFS(実績!$W$6:$W$505,CM$3,実績!$AI$6:$AI$505,"&lt;="&amp;$A44,実績!$AJ$6:$AJ$505,"&gt;"&amp;$A44,実績!$AK$6:$AK$505,"○")&gt;0,1,0))</f>
        <v>0</v>
      </c>
      <c r="CN44" s="39" t="n">
        <f aca="false">IF(CN$4=0,0,IF(COUNTIFS(実績!$W$6:$W$505,CN$3,実績!$AI$6:$AI$505,"&lt;="&amp;$A44,実績!$AJ$6:$AJ$505,"&gt;"&amp;$A44,実績!$AK$6:$AK$505,"○")&gt;0,1,0))</f>
        <v>0</v>
      </c>
      <c r="CO44" s="39" t="n">
        <f aca="false">IF(CO$4=0,0,IF(COUNTIFS(実績!$W$6:$W$505,CO$3,実績!$AI$6:$AI$505,"&lt;="&amp;$A44,実績!$AJ$6:$AJ$505,"&gt;"&amp;$A44,実績!$AK$6:$AK$505,"○")&gt;0,1,0))</f>
        <v>0</v>
      </c>
      <c r="CP44" s="39" t="n">
        <f aca="false">IF(CP$4=0,0,IF(COUNTIFS(実績!$W$6:$W$505,CP$3,実績!$AI$6:$AI$505,"&lt;="&amp;$A44,実績!$AJ$6:$AJ$505,"&gt;"&amp;$A44,実績!$AK$6:$AK$505,"○")&gt;0,1,0))</f>
        <v>0</v>
      </c>
      <c r="CQ44" s="39" t="n">
        <f aca="false">IF(CQ$4=0,0,IF(COUNTIFS(実績!$W$6:$W$505,CQ$3,実績!$AI$6:$AI$505,"&lt;="&amp;$A44,実績!$AJ$6:$AJ$505,"&gt;"&amp;$A44,実績!$AK$6:$AK$505,"○")&gt;0,1,0))</f>
        <v>0</v>
      </c>
      <c r="CR44" s="39" t="n">
        <f aca="false">IF(CR$4=0,0,IF(COUNTIFS(実績!$W$6:$W$505,CR$3,実績!$AI$6:$AI$505,"&lt;="&amp;$A44,実績!$AJ$6:$AJ$505,"&gt;"&amp;$A44,実績!$AK$6:$AK$505,"○")&gt;0,1,0))</f>
        <v>0</v>
      </c>
      <c r="CS44" s="39" t="n">
        <f aca="false">IF(CS$4=0,0,IF(COUNTIFS(実績!$W$6:$W$505,CS$3,実績!$AI$6:$AI$505,"&lt;="&amp;$A44,実績!$AJ$6:$AJ$505,"&gt;"&amp;$A44,実績!$AK$6:$AK$505,"○")&gt;0,1,0))</f>
        <v>0</v>
      </c>
      <c r="CT44" s="39" t="n">
        <f aca="false">IF(CT$4=0,0,IF(COUNTIFS(実績!$W$6:$W$505,CT$3,実績!$AI$6:$AI$505,"&lt;="&amp;$A44,実績!$AJ$6:$AJ$505,"&gt;"&amp;$A44,実績!$AK$6:$AK$505,"○")&gt;0,1,0))</f>
        <v>0</v>
      </c>
      <c r="CU44" s="39" t="n">
        <f aca="false">IF(CU$4=0,0,IF(COUNTIFS(実績!$W$6:$W$505,CU$3,実績!$AI$6:$AI$505,"&lt;="&amp;$A44,実績!$AJ$6:$AJ$505,"&gt;"&amp;$A44,実績!$AK$6:$AK$505,"○")&gt;0,1,0))</f>
        <v>0</v>
      </c>
      <c r="CV44" s="39" t="n">
        <f aca="false">IF(CV$4=0,0,IF(COUNTIFS(実績!$W$6:$W$505,CV$3,実績!$AI$6:$AI$505,"&lt;="&amp;$A44,実績!$AJ$6:$AJ$505,"&gt;"&amp;$A44,実績!$AK$6:$AK$505,"○")&gt;0,1,0))</f>
        <v>0</v>
      </c>
      <c r="CW44" s="39" t="n">
        <f aca="false">IF(CW$4=0,0,IF(COUNTIFS(実績!$W$6:$W$505,CW$3,実績!$AI$6:$AI$505,"&lt;="&amp;$A44,実績!$AJ$6:$AJ$505,"&gt;"&amp;$A44,実績!$AK$6:$AK$505,"○")&gt;0,1,0))</f>
        <v>0</v>
      </c>
      <c r="CX44" s="39" t="n">
        <f aca="false">IF(CX$4=0,0,IF(COUNTIFS(実績!$W$6:$W$505,CX$3,実績!$AI$6:$AI$505,"&lt;="&amp;$A44,実績!$AJ$6:$AJ$505,"&gt;"&amp;$A44,実績!$AK$6:$AK$505,"○")&gt;0,1,0))</f>
        <v>0</v>
      </c>
      <c r="CY44" s="39" t="n">
        <f aca="false">IF(CY$4=0,0,IF(COUNTIFS(実績!$W$6:$W$505,CY$3,実績!$AI$6:$AI$505,"&lt;="&amp;$A44,実績!$AJ$6:$AJ$505,"&gt;"&amp;$A44,実績!$AK$6:$AK$505,"○")&gt;0,1,0))</f>
        <v>0</v>
      </c>
      <c r="CZ44" s="39" t="n">
        <f aca="false">IF(CZ$4=0,0,IF(COUNTIFS(実績!$W$6:$W$505,CZ$3,実績!$AI$6:$AI$505,"&lt;="&amp;$A44,実績!$AJ$6:$AJ$505,"&gt;"&amp;$A44,実績!$AK$6:$AK$505,"○")&gt;0,1,0))</f>
        <v>0</v>
      </c>
      <c r="DA44" s="39" t="n">
        <f aca="false">IF(DA$4=0,0,IF(COUNTIFS(実績!$W$6:$W$505,DA$3,実績!$AI$6:$AI$505,"&lt;="&amp;$A44,実績!$AJ$6:$AJ$505,"&gt;"&amp;$A44,実績!$AK$6:$AK$505,"○")&gt;0,1,0))</f>
        <v>0</v>
      </c>
      <c r="DB44" s="39" t="n">
        <f aca="false">IF(DB$4=0,0,IF(COUNTIFS(実績!$W$6:$W$505,DB$3,実績!$AI$6:$AI$505,"&lt;="&amp;$A44,実績!$AJ$6:$AJ$505,"&gt;"&amp;$A44,実績!$AK$6:$AK$505,"○")&gt;0,1,0))</f>
        <v>0</v>
      </c>
      <c r="DC44" s="39" t="n">
        <f aca="false">IF(DC$4=0,0,IF(COUNTIFS(実績!$W$6:$W$505,DC$3,実績!$AI$6:$AI$505,"&lt;="&amp;$A44,実績!$AJ$6:$AJ$505,"&gt;"&amp;$A44,実績!$AK$6:$AK$505,"○")&gt;0,1,0))</f>
        <v>0</v>
      </c>
      <c r="DD44" s="39" t="n">
        <f aca="false">IF(DD$4=0,0,IF(COUNTIFS(実績!$W$6:$W$505,DD$3,実績!$AI$6:$AI$505,"&lt;="&amp;$A44,実績!$AJ$6:$AJ$505,"&gt;"&amp;$A44,実績!$AK$6:$AK$505,"○")&gt;0,1,0))</f>
        <v>0</v>
      </c>
      <c r="DE44" s="39" t="n">
        <f aca="false">IF(DE$4=0,0,IF(COUNTIFS(実績!$W$6:$W$505,DE$3,実績!$AI$6:$AI$505,"&lt;="&amp;$A44,実績!$AJ$6:$AJ$505,"&gt;"&amp;$A44,実績!$AK$6:$AK$505,"○")&gt;0,1,0))</f>
        <v>0</v>
      </c>
      <c r="DF44" s="39" t="n">
        <f aca="false">IF(DF$4=0,0,IF(COUNTIFS(実績!$W$6:$W$505,DF$3,実績!$AI$6:$AI$505,"&lt;="&amp;$A44,実績!$AJ$6:$AJ$505,"&gt;"&amp;$A44,実績!$AK$6:$AK$505,"○")&gt;0,1,0))</f>
        <v>0</v>
      </c>
      <c r="DG44" s="39" t="n">
        <f aca="false">IF(DG$4=0,0,IF(COUNTIFS(実績!$W$6:$W$505,DG$3,実績!$AI$6:$AI$505,"&lt;="&amp;$A44,実績!$AJ$6:$AJ$505,"&gt;"&amp;$A44,実績!$AK$6:$AK$505,"○")&gt;0,1,0))</f>
        <v>0</v>
      </c>
      <c r="DH44" s="39" t="n">
        <f aca="false">IF(DH$4=0,0,IF(COUNTIFS(実績!$W$6:$W$505,DH$3,実績!$AI$6:$AI$505,"&lt;="&amp;$A44,実績!$AJ$6:$AJ$505,"&gt;"&amp;$A44,実績!$AK$6:$AK$505,"○")&gt;0,1,0))</f>
        <v>0</v>
      </c>
      <c r="DI44" s="39" t="n">
        <f aca="false">IF(DI$4=0,0,IF(COUNTIFS(実績!$W$6:$W$505,DI$3,実績!$AI$6:$AI$505,"&lt;="&amp;$A44,実績!$AJ$6:$AJ$505,"&gt;"&amp;$A44,実績!$AK$6:$AK$505,"○")&gt;0,1,0))</f>
        <v>0</v>
      </c>
      <c r="DJ44" s="39" t="n">
        <f aca="false">IF(DJ$4=0,0,IF(COUNTIFS(実績!$W$6:$W$505,DJ$3,実績!$AI$6:$AI$505,"&lt;="&amp;$A44,実績!$AJ$6:$AJ$505,"&gt;"&amp;$A44,実績!$AK$6:$AK$505,"○")&gt;0,1,0))</f>
        <v>0</v>
      </c>
      <c r="DK44" s="39" t="n">
        <f aca="false">IF(DK$4=0,0,IF(COUNTIFS(実績!$W$6:$W$505,DK$3,実績!$AI$6:$AI$505,"&lt;="&amp;$A44,実績!$AJ$6:$AJ$505,"&gt;"&amp;$A44,実績!$AK$6:$AK$505,"○")&gt;0,1,0))</f>
        <v>0</v>
      </c>
      <c r="DL44" s="39" t="n">
        <f aca="false">IF(DL$4=0,0,IF(COUNTIFS(実績!$W$6:$W$505,DL$3,実績!$AI$6:$AI$505,"&lt;="&amp;$A44,実績!$AJ$6:$AJ$505,"&gt;"&amp;$A44,実績!$AK$6:$AK$505,"○")&gt;0,1,0))</f>
        <v>0</v>
      </c>
      <c r="DM44" s="39" t="n">
        <f aca="false">IF(DM$4=0,0,IF(COUNTIFS(実績!$W$6:$W$505,DM$3,実績!$AI$6:$AI$505,"&lt;="&amp;$A44,実績!$AJ$6:$AJ$505,"&gt;"&amp;$A44,実績!$AK$6:$AK$505,"○")&gt;0,1,0))</f>
        <v>0</v>
      </c>
      <c r="DN44" s="39" t="n">
        <f aca="false">IF(DN$4=0,0,IF(COUNTIFS(実績!$W$6:$W$505,DN$3,実績!$AI$6:$AI$505,"&lt;="&amp;$A44,実績!$AJ$6:$AJ$505,"&gt;"&amp;$A44,実績!$AK$6:$AK$505,"○")&gt;0,1,0))</f>
        <v>0</v>
      </c>
      <c r="DO44" s="39" t="n">
        <f aca="false">IF(DO$4=0,0,IF(COUNTIFS(実績!$W$6:$W$505,DO$3,実績!$AI$6:$AI$505,"&lt;="&amp;$A44,実績!$AJ$6:$AJ$505,"&gt;"&amp;$A44,実績!$AK$6:$AK$505,"○")&gt;0,1,0))</f>
        <v>0</v>
      </c>
      <c r="DP44" s="39" t="n">
        <f aca="false">IF(DP$4=0,0,IF(COUNTIFS(実績!$W$6:$W$505,DP$3,実績!$AI$6:$AI$505,"&lt;="&amp;$A44,実績!$AJ$6:$AJ$505,"&gt;"&amp;$A44,実績!$AK$6:$AK$505,"○")&gt;0,1,0))</f>
        <v>0</v>
      </c>
      <c r="DQ44" s="39" t="n">
        <f aca="false">IF(DQ$4=0,0,IF(COUNTIFS(実績!$W$6:$W$505,DQ$3,実績!$AI$6:$AI$505,"&lt;="&amp;$A44,実績!$AJ$6:$AJ$505,"&gt;"&amp;$A44,実績!$AK$6:$AK$505,"○")&gt;0,1,0))</f>
        <v>0</v>
      </c>
      <c r="DR44" s="39" t="n">
        <f aca="false">IF(DR$4=0,0,IF(COUNTIFS(実績!$W$6:$W$505,DR$3,実績!$AI$6:$AI$505,"&lt;="&amp;$A44,実績!$AJ$6:$AJ$505,"&gt;"&amp;$A44,実績!$AK$6:$AK$505,"○")&gt;0,1,0))</f>
        <v>0</v>
      </c>
      <c r="DS44" s="39" t="n">
        <f aca="false">SUM(C44:DR44)</f>
        <v>0</v>
      </c>
      <c r="DT44" s="39" t="n">
        <f aca="false">SUMPRODUCT((実績!$C$6:$C$505="○")*ISNUMBER(実績!$AM$6:$AM$505)*(実績!$AM$6:$AM$505&lt;=$A44)*(実績!$AN$6:$AN$505&gt;$A44))</f>
        <v>0</v>
      </c>
      <c r="DU44" s="39" t="n">
        <f aca="false">SUMIF($C$2:$DR$2,"製鉄曳船",C44:DR44)</f>
        <v>0</v>
      </c>
      <c r="DV44" s="39" t="n">
        <f aca="false">SUMIF($C$2:$DR$2,"西日本海運",C44:DR44)</f>
        <v>0</v>
      </c>
    </row>
    <row r="45" customFormat="false" ht="15" hidden="false" customHeight="false" outlineLevel="0" collapsed="false">
      <c r="A45" s="0" t="n">
        <v>195</v>
      </c>
      <c r="B45" s="38" t="n">
        <f aca="false">A45/1440</f>
        <v>0.135416666666667</v>
      </c>
      <c r="C45" s="39" t="n">
        <f aca="false">IF(C$4=0,0,IF(COUNTIFS(実績!$W$6:$W$505,C$3,実績!$AI$6:$AI$505,"&lt;="&amp;$A45,実績!$AJ$6:$AJ$505,"&gt;"&amp;$A45,実績!$AK$6:$AK$505,"○")&gt;0,1,0))</f>
        <v>0</v>
      </c>
      <c r="D45" s="39" t="n">
        <f aca="false">IF(D$4=0,0,IF(COUNTIFS(実績!$W$6:$W$505,D$3,実績!$AI$6:$AI$505,"&lt;="&amp;$A45,実績!$AJ$6:$AJ$505,"&gt;"&amp;$A45,実績!$AK$6:$AK$505,"○")&gt;0,1,0))</f>
        <v>0</v>
      </c>
      <c r="E45" s="39" t="n">
        <f aca="false">IF(E$4=0,0,IF(COUNTIFS(実績!$W$6:$W$505,E$3,実績!$AI$6:$AI$505,"&lt;="&amp;$A45,実績!$AJ$6:$AJ$505,"&gt;"&amp;$A45,実績!$AK$6:$AK$505,"○")&gt;0,1,0))</f>
        <v>0</v>
      </c>
      <c r="F45" s="39" t="n">
        <f aca="false">IF(F$4=0,0,IF(COUNTIFS(実績!$W$6:$W$505,F$3,実績!$AI$6:$AI$505,"&lt;="&amp;$A45,実績!$AJ$6:$AJ$505,"&gt;"&amp;$A45,実績!$AK$6:$AK$505,"○")&gt;0,1,0))</f>
        <v>0</v>
      </c>
      <c r="G45" s="39" t="n">
        <f aca="false">IF(G$4=0,0,IF(COUNTIFS(実績!$W$6:$W$505,G$3,実績!$AI$6:$AI$505,"&lt;="&amp;$A45,実績!$AJ$6:$AJ$505,"&gt;"&amp;$A45,実績!$AK$6:$AK$505,"○")&gt;0,1,0))</f>
        <v>0</v>
      </c>
      <c r="H45" s="39" t="n">
        <f aca="false">IF(H$4=0,0,IF(COUNTIFS(実績!$W$6:$W$505,H$3,実績!$AI$6:$AI$505,"&lt;="&amp;$A45,実績!$AJ$6:$AJ$505,"&gt;"&amp;$A45,実績!$AK$6:$AK$505,"○")&gt;0,1,0))</f>
        <v>0</v>
      </c>
      <c r="I45" s="39" t="n">
        <f aca="false">IF(I$4=0,0,IF(COUNTIFS(実績!$W$6:$W$505,I$3,実績!$AI$6:$AI$505,"&lt;="&amp;$A45,実績!$AJ$6:$AJ$505,"&gt;"&amp;$A45,実績!$AK$6:$AK$505,"○")&gt;0,1,0))</f>
        <v>0</v>
      </c>
      <c r="J45" s="39" t="n">
        <f aca="false">IF(J$4=0,0,IF(COUNTIFS(実績!$W$6:$W$505,J$3,実績!$AI$6:$AI$505,"&lt;="&amp;$A45,実績!$AJ$6:$AJ$505,"&gt;"&amp;$A45,実績!$AK$6:$AK$505,"○")&gt;0,1,0))</f>
        <v>0</v>
      </c>
      <c r="K45" s="39" t="n">
        <f aca="false">IF(K$4=0,0,IF(COUNTIFS(実績!$W$6:$W$505,K$3,実績!$AI$6:$AI$505,"&lt;="&amp;$A45,実績!$AJ$6:$AJ$505,"&gt;"&amp;$A45,実績!$AK$6:$AK$505,"○")&gt;0,1,0))</f>
        <v>0</v>
      </c>
      <c r="L45" s="39" t="n">
        <f aca="false">IF(L$4=0,0,IF(COUNTIFS(実績!$W$6:$W$505,L$3,実績!$AI$6:$AI$505,"&lt;="&amp;$A45,実績!$AJ$6:$AJ$505,"&gt;"&amp;$A45,実績!$AK$6:$AK$505,"○")&gt;0,1,0))</f>
        <v>0</v>
      </c>
      <c r="M45" s="39" t="n">
        <f aca="false">IF(M$4=0,0,IF(COUNTIFS(実績!$W$6:$W$505,M$3,実績!$AI$6:$AI$505,"&lt;="&amp;$A45,実績!$AJ$6:$AJ$505,"&gt;"&amp;$A45,実績!$AK$6:$AK$505,"○")&gt;0,1,0))</f>
        <v>0</v>
      </c>
      <c r="N45" s="39" t="n">
        <f aca="false">IF(N$4=0,0,IF(COUNTIFS(実績!$W$6:$W$505,N$3,実績!$AI$6:$AI$505,"&lt;="&amp;$A45,実績!$AJ$6:$AJ$505,"&gt;"&amp;$A45,実績!$AK$6:$AK$505,"○")&gt;0,1,0))</f>
        <v>0</v>
      </c>
      <c r="O45" s="39" t="n">
        <f aca="false">IF(O$4=0,0,IF(COUNTIFS(実績!$W$6:$W$505,O$3,実績!$AI$6:$AI$505,"&lt;="&amp;$A45,実績!$AJ$6:$AJ$505,"&gt;"&amp;$A45,実績!$AK$6:$AK$505,"○")&gt;0,1,0))</f>
        <v>0</v>
      </c>
      <c r="P45" s="39" t="n">
        <f aca="false">IF(P$4=0,0,IF(COUNTIFS(実績!$W$6:$W$505,P$3,実績!$AI$6:$AI$505,"&lt;="&amp;$A45,実績!$AJ$6:$AJ$505,"&gt;"&amp;$A45,実績!$AK$6:$AK$505,"○")&gt;0,1,0))</f>
        <v>0</v>
      </c>
      <c r="Q45" s="39" t="n">
        <f aca="false">IF(Q$4=0,0,IF(COUNTIFS(実績!$W$6:$W$505,Q$3,実績!$AI$6:$AI$505,"&lt;="&amp;$A45,実績!$AJ$6:$AJ$505,"&gt;"&amp;$A45,実績!$AK$6:$AK$505,"○")&gt;0,1,0))</f>
        <v>0</v>
      </c>
      <c r="R45" s="39" t="n">
        <f aca="false">IF(R$4=0,0,IF(COUNTIFS(実績!$W$6:$W$505,R$3,実績!$AI$6:$AI$505,"&lt;="&amp;$A45,実績!$AJ$6:$AJ$505,"&gt;"&amp;$A45,実績!$AK$6:$AK$505,"○")&gt;0,1,0))</f>
        <v>0</v>
      </c>
      <c r="S45" s="39" t="n">
        <f aca="false">IF(S$4=0,0,IF(COUNTIFS(実績!$W$6:$W$505,S$3,実績!$AI$6:$AI$505,"&lt;="&amp;$A45,実績!$AJ$6:$AJ$505,"&gt;"&amp;$A45,実績!$AK$6:$AK$505,"○")&gt;0,1,0))</f>
        <v>0</v>
      </c>
      <c r="T45" s="39" t="n">
        <f aca="false">IF(T$4=0,0,IF(COUNTIFS(実績!$W$6:$W$505,T$3,実績!$AI$6:$AI$505,"&lt;="&amp;$A45,実績!$AJ$6:$AJ$505,"&gt;"&amp;$A45,実績!$AK$6:$AK$505,"○")&gt;0,1,0))</f>
        <v>0</v>
      </c>
      <c r="U45" s="39" t="n">
        <f aca="false">IF(U$4=0,0,IF(COUNTIFS(実績!$W$6:$W$505,U$3,実績!$AI$6:$AI$505,"&lt;="&amp;$A45,実績!$AJ$6:$AJ$505,"&gt;"&amp;$A45,実績!$AK$6:$AK$505,"○")&gt;0,1,0))</f>
        <v>0</v>
      </c>
      <c r="V45" s="39" t="n">
        <f aca="false">IF(V$4=0,0,IF(COUNTIFS(実績!$W$6:$W$505,V$3,実績!$AI$6:$AI$505,"&lt;="&amp;$A45,実績!$AJ$6:$AJ$505,"&gt;"&amp;$A45,実績!$AK$6:$AK$505,"○")&gt;0,1,0))</f>
        <v>0</v>
      </c>
      <c r="W45" s="39" t="n">
        <f aca="false">IF(W$4=0,0,IF(COUNTIFS(実績!$W$6:$W$505,W$3,実績!$AI$6:$AI$505,"&lt;="&amp;$A45,実績!$AJ$6:$AJ$505,"&gt;"&amp;$A45,実績!$AK$6:$AK$505,"○")&gt;0,1,0))</f>
        <v>0</v>
      </c>
      <c r="X45" s="39" t="n">
        <f aca="false">IF(X$4=0,0,IF(COUNTIFS(実績!$W$6:$W$505,X$3,実績!$AI$6:$AI$505,"&lt;="&amp;$A45,実績!$AJ$6:$AJ$505,"&gt;"&amp;$A45,実績!$AK$6:$AK$505,"○")&gt;0,1,0))</f>
        <v>0</v>
      </c>
      <c r="Y45" s="39" t="n">
        <f aca="false">IF(Y$4=0,0,IF(COUNTIFS(実績!$W$6:$W$505,Y$3,実績!$AI$6:$AI$505,"&lt;="&amp;$A45,実績!$AJ$6:$AJ$505,"&gt;"&amp;$A45,実績!$AK$6:$AK$505,"○")&gt;0,1,0))</f>
        <v>0</v>
      </c>
      <c r="Z45" s="39" t="n">
        <f aca="false">IF(Z$4=0,0,IF(COUNTIFS(実績!$W$6:$W$505,Z$3,実績!$AI$6:$AI$505,"&lt;="&amp;$A45,実績!$AJ$6:$AJ$505,"&gt;"&amp;$A45,実績!$AK$6:$AK$505,"○")&gt;0,1,0))</f>
        <v>0</v>
      </c>
      <c r="AA45" s="39" t="n">
        <f aca="false">IF(AA$4=0,0,IF(COUNTIFS(実績!$W$6:$W$505,AA$3,実績!$AI$6:$AI$505,"&lt;="&amp;$A45,実績!$AJ$6:$AJ$505,"&gt;"&amp;$A45,実績!$AK$6:$AK$505,"○")&gt;0,1,0))</f>
        <v>0</v>
      </c>
      <c r="AB45" s="39" t="n">
        <f aca="false">IF(AB$4=0,0,IF(COUNTIFS(実績!$W$6:$W$505,AB$3,実績!$AI$6:$AI$505,"&lt;="&amp;$A45,実績!$AJ$6:$AJ$505,"&gt;"&amp;$A45,実績!$AK$6:$AK$505,"○")&gt;0,1,0))</f>
        <v>0</v>
      </c>
      <c r="AC45" s="39" t="n">
        <f aca="false">IF(AC$4=0,0,IF(COUNTIFS(実績!$W$6:$W$505,AC$3,実績!$AI$6:$AI$505,"&lt;="&amp;$A45,実績!$AJ$6:$AJ$505,"&gt;"&amp;$A45,実績!$AK$6:$AK$505,"○")&gt;0,1,0))</f>
        <v>0</v>
      </c>
      <c r="AD45" s="39" t="n">
        <f aca="false">IF(AD$4=0,0,IF(COUNTIFS(実績!$W$6:$W$505,AD$3,実績!$AI$6:$AI$505,"&lt;="&amp;$A45,実績!$AJ$6:$AJ$505,"&gt;"&amp;$A45,実績!$AK$6:$AK$505,"○")&gt;0,1,0))</f>
        <v>0</v>
      </c>
      <c r="AE45" s="39" t="n">
        <f aca="false">IF(AE$4=0,0,IF(COUNTIFS(実績!$W$6:$W$505,AE$3,実績!$AI$6:$AI$505,"&lt;="&amp;$A45,実績!$AJ$6:$AJ$505,"&gt;"&amp;$A45,実績!$AK$6:$AK$505,"○")&gt;0,1,0))</f>
        <v>0</v>
      </c>
      <c r="AF45" s="39" t="n">
        <f aca="false">IF(AF$4=0,0,IF(COUNTIFS(実績!$W$6:$W$505,AF$3,実績!$AI$6:$AI$505,"&lt;="&amp;$A45,実績!$AJ$6:$AJ$505,"&gt;"&amp;$A45,実績!$AK$6:$AK$505,"○")&gt;0,1,0))</f>
        <v>0</v>
      </c>
      <c r="AG45" s="39" t="n">
        <f aca="false">IF(AG$4=0,0,IF(COUNTIFS(実績!$W$6:$W$505,AG$3,実績!$AI$6:$AI$505,"&lt;="&amp;$A45,実績!$AJ$6:$AJ$505,"&gt;"&amp;$A45,実績!$AK$6:$AK$505,"○")&gt;0,1,0))</f>
        <v>0</v>
      </c>
      <c r="AH45" s="39" t="n">
        <f aca="false">IF(AH$4=0,0,IF(COUNTIFS(実績!$W$6:$W$505,AH$3,実績!$AI$6:$AI$505,"&lt;="&amp;$A45,実績!$AJ$6:$AJ$505,"&gt;"&amp;$A45,実績!$AK$6:$AK$505,"○")&gt;0,1,0))</f>
        <v>0</v>
      </c>
      <c r="AI45" s="39" t="n">
        <f aca="false">IF(AI$4=0,0,IF(COUNTIFS(実績!$W$6:$W$505,AI$3,実績!$AI$6:$AI$505,"&lt;="&amp;$A45,実績!$AJ$6:$AJ$505,"&gt;"&amp;$A45,実績!$AK$6:$AK$505,"○")&gt;0,1,0))</f>
        <v>0</v>
      </c>
      <c r="AJ45" s="39" t="n">
        <f aca="false">IF(AJ$4=0,0,IF(COUNTIFS(実績!$W$6:$W$505,AJ$3,実績!$AI$6:$AI$505,"&lt;="&amp;$A45,実績!$AJ$6:$AJ$505,"&gt;"&amp;$A45,実績!$AK$6:$AK$505,"○")&gt;0,1,0))</f>
        <v>0</v>
      </c>
      <c r="AK45" s="39" t="n">
        <f aca="false">IF(AK$4=0,0,IF(COUNTIFS(実績!$W$6:$W$505,AK$3,実績!$AI$6:$AI$505,"&lt;="&amp;$A45,実績!$AJ$6:$AJ$505,"&gt;"&amp;$A45,実績!$AK$6:$AK$505,"○")&gt;0,1,0))</f>
        <v>0</v>
      </c>
      <c r="AL45" s="39" t="n">
        <f aca="false">IF(AL$4=0,0,IF(COUNTIFS(実績!$W$6:$W$505,AL$3,実績!$AI$6:$AI$505,"&lt;="&amp;$A45,実績!$AJ$6:$AJ$505,"&gt;"&amp;$A45,実績!$AK$6:$AK$505,"○")&gt;0,1,0))</f>
        <v>0</v>
      </c>
      <c r="AM45" s="39" t="n">
        <f aca="false">IF(AM$4=0,0,IF(COUNTIFS(実績!$W$6:$W$505,AM$3,実績!$AI$6:$AI$505,"&lt;="&amp;$A45,実績!$AJ$6:$AJ$505,"&gt;"&amp;$A45,実績!$AK$6:$AK$505,"○")&gt;0,1,0))</f>
        <v>0</v>
      </c>
      <c r="AN45" s="39" t="n">
        <f aca="false">IF(AN$4=0,0,IF(COUNTIFS(実績!$W$6:$W$505,AN$3,実績!$AI$6:$AI$505,"&lt;="&amp;$A45,実績!$AJ$6:$AJ$505,"&gt;"&amp;$A45,実績!$AK$6:$AK$505,"○")&gt;0,1,0))</f>
        <v>0</v>
      </c>
      <c r="AO45" s="39" t="n">
        <f aca="false">IF(AO$4=0,0,IF(COUNTIFS(実績!$W$6:$W$505,AO$3,実績!$AI$6:$AI$505,"&lt;="&amp;$A45,実績!$AJ$6:$AJ$505,"&gt;"&amp;$A45,実績!$AK$6:$AK$505,"○")&gt;0,1,0))</f>
        <v>0</v>
      </c>
      <c r="AP45" s="39" t="n">
        <f aca="false">IF(AP$4=0,0,IF(COUNTIFS(実績!$W$6:$W$505,AP$3,実績!$AI$6:$AI$505,"&lt;="&amp;$A45,実績!$AJ$6:$AJ$505,"&gt;"&amp;$A45,実績!$AK$6:$AK$505,"○")&gt;0,1,0))</f>
        <v>0</v>
      </c>
      <c r="AQ45" s="39" t="n">
        <f aca="false">IF(AQ$4=0,0,IF(COUNTIFS(実績!$W$6:$W$505,AQ$3,実績!$AI$6:$AI$505,"&lt;="&amp;$A45,実績!$AJ$6:$AJ$505,"&gt;"&amp;$A45,実績!$AK$6:$AK$505,"○")&gt;0,1,0))</f>
        <v>0</v>
      </c>
      <c r="AR45" s="39" t="n">
        <f aca="false">IF(AR$4=0,0,IF(COUNTIFS(実績!$W$6:$W$505,AR$3,実績!$AI$6:$AI$505,"&lt;="&amp;$A45,実績!$AJ$6:$AJ$505,"&gt;"&amp;$A45,実績!$AK$6:$AK$505,"○")&gt;0,1,0))</f>
        <v>0</v>
      </c>
      <c r="AS45" s="39" t="n">
        <f aca="false">IF(AS$4=0,0,IF(COUNTIFS(実績!$W$6:$W$505,AS$3,実績!$AI$6:$AI$505,"&lt;="&amp;$A45,実績!$AJ$6:$AJ$505,"&gt;"&amp;$A45,実績!$AK$6:$AK$505,"○")&gt;0,1,0))</f>
        <v>0</v>
      </c>
      <c r="AT45" s="39" t="n">
        <f aca="false">IF(AT$4=0,0,IF(COUNTIFS(実績!$W$6:$W$505,AT$3,実績!$AI$6:$AI$505,"&lt;="&amp;$A45,実績!$AJ$6:$AJ$505,"&gt;"&amp;$A45,実績!$AK$6:$AK$505,"○")&gt;0,1,0))</f>
        <v>0</v>
      </c>
      <c r="AU45" s="39" t="n">
        <f aca="false">IF(AU$4=0,0,IF(COUNTIFS(実績!$W$6:$W$505,AU$3,実績!$AI$6:$AI$505,"&lt;="&amp;$A45,実績!$AJ$6:$AJ$505,"&gt;"&amp;$A45,実績!$AK$6:$AK$505,"○")&gt;0,1,0))</f>
        <v>0</v>
      </c>
      <c r="AV45" s="39" t="n">
        <f aca="false">IF(AV$4=0,0,IF(COUNTIFS(実績!$W$6:$W$505,AV$3,実績!$AI$6:$AI$505,"&lt;="&amp;$A45,実績!$AJ$6:$AJ$505,"&gt;"&amp;$A45,実績!$AK$6:$AK$505,"○")&gt;0,1,0))</f>
        <v>0</v>
      </c>
      <c r="AW45" s="39" t="n">
        <f aca="false">IF(AW$4=0,0,IF(COUNTIFS(実績!$W$6:$W$505,AW$3,実績!$AI$6:$AI$505,"&lt;="&amp;$A45,実績!$AJ$6:$AJ$505,"&gt;"&amp;$A45,実績!$AK$6:$AK$505,"○")&gt;0,1,0))</f>
        <v>0</v>
      </c>
      <c r="AX45" s="39" t="n">
        <f aca="false">IF(AX$4=0,0,IF(COUNTIFS(実績!$W$6:$W$505,AX$3,実績!$AI$6:$AI$505,"&lt;="&amp;$A45,実績!$AJ$6:$AJ$505,"&gt;"&amp;$A45,実績!$AK$6:$AK$505,"○")&gt;0,1,0))</f>
        <v>0</v>
      </c>
      <c r="AY45" s="39" t="n">
        <f aca="false">IF(AY$4=0,0,IF(COUNTIFS(実績!$W$6:$W$505,AY$3,実績!$AI$6:$AI$505,"&lt;="&amp;$A45,実績!$AJ$6:$AJ$505,"&gt;"&amp;$A45,実績!$AK$6:$AK$505,"○")&gt;0,1,0))</f>
        <v>0</v>
      </c>
      <c r="AZ45" s="39" t="n">
        <f aca="false">IF(AZ$4=0,0,IF(COUNTIFS(実績!$W$6:$W$505,AZ$3,実績!$AI$6:$AI$505,"&lt;="&amp;$A45,実績!$AJ$6:$AJ$505,"&gt;"&amp;$A45,実績!$AK$6:$AK$505,"○")&gt;0,1,0))</f>
        <v>0</v>
      </c>
      <c r="BA45" s="39" t="n">
        <f aca="false">IF(BA$4=0,0,IF(COUNTIFS(実績!$W$6:$W$505,BA$3,実績!$AI$6:$AI$505,"&lt;="&amp;$A45,実績!$AJ$6:$AJ$505,"&gt;"&amp;$A45,実績!$AK$6:$AK$505,"○")&gt;0,1,0))</f>
        <v>0</v>
      </c>
      <c r="BB45" s="39" t="n">
        <f aca="false">IF(BB$4=0,0,IF(COUNTIFS(実績!$W$6:$W$505,BB$3,実績!$AI$6:$AI$505,"&lt;="&amp;$A45,実績!$AJ$6:$AJ$505,"&gt;"&amp;$A45,実績!$AK$6:$AK$505,"○")&gt;0,1,0))</f>
        <v>0</v>
      </c>
      <c r="BC45" s="39" t="n">
        <f aca="false">IF(BC$4=0,0,IF(COUNTIFS(実績!$W$6:$W$505,BC$3,実績!$AI$6:$AI$505,"&lt;="&amp;$A45,実績!$AJ$6:$AJ$505,"&gt;"&amp;$A45,実績!$AK$6:$AK$505,"○")&gt;0,1,0))</f>
        <v>0</v>
      </c>
      <c r="BD45" s="39" t="n">
        <f aca="false">IF(BD$4=0,0,IF(COUNTIFS(実績!$W$6:$W$505,BD$3,実績!$AI$6:$AI$505,"&lt;="&amp;$A45,実績!$AJ$6:$AJ$505,"&gt;"&amp;$A45,実績!$AK$6:$AK$505,"○")&gt;0,1,0))</f>
        <v>0</v>
      </c>
      <c r="BE45" s="39" t="n">
        <f aca="false">IF(BE$4=0,0,IF(COUNTIFS(実績!$W$6:$W$505,BE$3,実績!$AI$6:$AI$505,"&lt;="&amp;$A45,実績!$AJ$6:$AJ$505,"&gt;"&amp;$A45,実績!$AK$6:$AK$505,"○")&gt;0,1,0))</f>
        <v>0</v>
      </c>
      <c r="BF45" s="39" t="n">
        <f aca="false">IF(BF$4=0,0,IF(COUNTIFS(実績!$W$6:$W$505,BF$3,実績!$AI$6:$AI$505,"&lt;="&amp;$A45,実績!$AJ$6:$AJ$505,"&gt;"&amp;$A45,実績!$AK$6:$AK$505,"○")&gt;0,1,0))</f>
        <v>0</v>
      </c>
      <c r="BG45" s="39" t="n">
        <f aca="false">IF(BG$4=0,0,IF(COUNTIFS(実績!$W$6:$W$505,BG$3,実績!$AI$6:$AI$505,"&lt;="&amp;$A45,実績!$AJ$6:$AJ$505,"&gt;"&amp;$A45,実績!$AK$6:$AK$505,"○")&gt;0,1,0))</f>
        <v>0</v>
      </c>
      <c r="BH45" s="39" t="n">
        <f aca="false">IF(BH$4=0,0,IF(COUNTIFS(実績!$W$6:$W$505,BH$3,実績!$AI$6:$AI$505,"&lt;="&amp;$A45,実績!$AJ$6:$AJ$505,"&gt;"&amp;$A45,実績!$AK$6:$AK$505,"○")&gt;0,1,0))</f>
        <v>0</v>
      </c>
      <c r="BI45" s="39" t="n">
        <f aca="false">IF(BI$4=0,0,IF(COUNTIFS(実績!$W$6:$W$505,BI$3,実績!$AI$6:$AI$505,"&lt;="&amp;$A45,実績!$AJ$6:$AJ$505,"&gt;"&amp;$A45,実績!$AK$6:$AK$505,"○")&gt;0,1,0))</f>
        <v>0</v>
      </c>
      <c r="BJ45" s="39" t="n">
        <f aca="false">IF(BJ$4=0,0,IF(COUNTIFS(実績!$W$6:$W$505,BJ$3,実績!$AI$6:$AI$505,"&lt;="&amp;$A45,実績!$AJ$6:$AJ$505,"&gt;"&amp;$A45,実績!$AK$6:$AK$505,"○")&gt;0,1,0))</f>
        <v>0</v>
      </c>
      <c r="BK45" s="39" t="n">
        <f aca="false">IF(BK$4=0,0,IF(COUNTIFS(実績!$W$6:$W$505,BK$3,実績!$AI$6:$AI$505,"&lt;="&amp;$A45,実績!$AJ$6:$AJ$505,"&gt;"&amp;$A45,実績!$AK$6:$AK$505,"○")&gt;0,1,0))</f>
        <v>0</v>
      </c>
      <c r="BL45" s="39" t="n">
        <f aca="false">IF(BL$4=0,0,IF(COUNTIFS(実績!$W$6:$W$505,BL$3,実績!$AI$6:$AI$505,"&lt;="&amp;$A45,実績!$AJ$6:$AJ$505,"&gt;"&amp;$A45,実績!$AK$6:$AK$505,"○")&gt;0,1,0))</f>
        <v>0</v>
      </c>
      <c r="BM45" s="39" t="n">
        <f aca="false">IF(BM$4=0,0,IF(COUNTIFS(実績!$W$6:$W$505,BM$3,実績!$AI$6:$AI$505,"&lt;="&amp;$A45,実績!$AJ$6:$AJ$505,"&gt;"&amp;$A45,実績!$AK$6:$AK$505,"○")&gt;0,1,0))</f>
        <v>0</v>
      </c>
      <c r="BN45" s="39" t="n">
        <f aca="false">IF(BN$4=0,0,IF(COUNTIFS(実績!$W$6:$W$505,BN$3,実績!$AI$6:$AI$505,"&lt;="&amp;$A45,実績!$AJ$6:$AJ$505,"&gt;"&amp;$A45,実績!$AK$6:$AK$505,"○")&gt;0,1,0))</f>
        <v>0</v>
      </c>
      <c r="BO45" s="39" t="n">
        <f aca="false">IF(BO$4=0,0,IF(COUNTIFS(実績!$W$6:$W$505,BO$3,実績!$AI$6:$AI$505,"&lt;="&amp;$A45,実績!$AJ$6:$AJ$505,"&gt;"&amp;$A45,実績!$AK$6:$AK$505,"○")&gt;0,1,0))</f>
        <v>0</v>
      </c>
      <c r="BP45" s="39" t="n">
        <f aca="false">IF(BP$4=0,0,IF(COUNTIFS(実績!$W$6:$W$505,BP$3,実績!$AI$6:$AI$505,"&lt;="&amp;$A45,実績!$AJ$6:$AJ$505,"&gt;"&amp;$A45,実績!$AK$6:$AK$505,"○")&gt;0,1,0))</f>
        <v>0</v>
      </c>
      <c r="BQ45" s="39" t="n">
        <f aca="false">IF(BQ$4=0,0,IF(COUNTIFS(実績!$W$6:$W$505,BQ$3,実績!$AI$6:$AI$505,"&lt;="&amp;$A45,実績!$AJ$6:$AJ$505,"&gt;"&amp;$A45,実績!$AK$6:$AK$505,"○")&gt;0,1,0))</f>
        <v>0</v>
      </c>
      <c r="BR45" s="39" t="n">
        <f aca="false">IF(BR$4=0,0,IF(COUNTIFS(実績!$W$6:$W$505,BR$3,実績!$AI$6:$AI$505,"&lt;="&amp;$A45,実績!$AJ$6:$AJ$505,"&gt;"&amp;$A45,実績!$AK$6:$AK$505,"○")&gt;0,1,0))</f>
        <v>0</v>
      </c>
      <c r="BS45" s="39" t="n">
        <f aca="false">IF(BS$4=0,0,IF(COUNTIFS(実績!$W$6:$W$505,BS$3,実績!$AI$6:$AI$505,"&lt;="&amp;$A45,実績!$AJ$6:$AJ$505,"&gt;"&amp;$A45,実績!$AK$6:$AK$505,"○")&gt;0,1,0))</f>
        <v>0</v>
      </c>
      <c r="BT45" s="39" t="n">
        <f aca="false">IF(BT$4=0,0,IF(COUNTIFS(実績!$W$6:$W$505,BT$3,実績!$AI$6:$AI$505,"&lt;="&amp;$A45,実績!$AJ$6:$AJ$505,"&gt;"&amp;$A45,実績!$AK$6:$AK$505,"○")&gt;0,1,0))</f>
        <v>0</v>
      </c>
      <c r="BU45" s="39" t="n">
        <f aca="false">IF(BU$4=0,0,IF(COUNTIFS(実績!$W$6:$W$505,BU$3,実績!$AI$6:$AI$505,"&lt;="&amp;$A45,実績!$AJ$6:$AJ$505,"&gt;"&amp;$A45,実績!$AK$6:$AK$505,"○")&gt;0,1,0))</f>
        <v>0</v>
      </c>
      <c r="BV45" s="39" t="n">
        <f aca="false">IF(BV$4=0,0,IF(COUNTIFS(実績!$W$6:$W$505,BV$3,実績!$AI$6:$AI$505,"&lt;="&amp;$A45,実績!$AJ$6:$AJ$505,"&gt;"&amp;$A45,実績!$AK$6:$AK$505,"○")&gt;0,1,0))</f>
        <v>0</v>
      </c>
      <c r="BW45" s="39" t="n">
        <f aca="false">IF(BW$4=0,0,IF(COUNTIFS(実績!$W$6:$W$505,BW$3,実績!$AI$6:$AI$505,"&lt;="&amp;$A45,実績!$AJ$6:$AJ$505,"&gt;"&amp;$A45,実績!$AK$6:$AK$505,"○")&gt;0,1,0))</f>
        <v>0</v>
      </c>
      <c r="BX45" s="39" t="n">
        <f aca="false">IF(BX$4=0,0,IF(COUNTIFS(実績!$W$6:$W$505,BX$3,実績!$AI$6:$AI$505,"&lt;="&amp;$A45,実績!$AJ$6:$AJ$505,"&gt;"&amp;$A45,実績!$AK$6:$AK$505,"○")&gt;0,1,0))</f>
        <v>0</v>
      </c>
      <c r="BY45" s="39" t="n">
        <f aca="false">IF(BY$4=0,0,IF(COUNTIFS(実績!$W$6:$W$505,BY$3,実績!$AI$6:$AI$505,"&lt;="&amp;$A45,実績!$AJ$6:$AJ$505,"&gt;"&amp;$A45,実績!$AK$6:$AK$505,"○")&gt;0,1,0))</f>
        <v>0</v>
      </c>
      <c r="BZ45" s="39" t="n">
        <f aca="false">IF(BZ$4=0,0,IF(COUNTIFS(実績!$W$6:$W$505,BZ$3,実績!$AI$6:$AI$505,"&lt;="&amp;$A45,実績!$AJ$6:$AJ$505,"&gt;"&amp;$A45,実績!$AK$6:$AK$505,"○")&gt;0,1,0))</f>
        <v>0</v>
      </c>
      <c r="CA45" s="39" t="n">
        <f aca="false">IF(CA$4=0,0,IF(COUNTIFS(実績!$W$6:$W$505,CA$3,実績!$AI$6:$AI$505,"&lt;="&amp;$A45,実績!$AJ$6:$AJ$505,"&gt;"&amp;$A45,実績!$AK$6:$AK$505,"○")&gt;0,1,0))</f>
        <v>0</v>
      </c>
      <c r="CB45" s="39" t="n">
        <f aca="false">IF(CB$4=0,0,IF(COUNTIFS(実績!$W$6:$W$505,CB$3,実績!$AI$6:$AI$505,"&lt;="&amp;$A45,実績!$AJ$6:$AJ$505,"&gt;"&amp;$A45,実績!$AK$6:$AK$505,"○")&gt;0,1,0))</f>
        <v>0</v>
      </c>
      <c r="CC45" s="39" t="n">
        <f aca="false">IF(CC$4=0,0,IF(COUNTIFS(実績!$W$6:$W$505,CC$3,実績!$AI$6:$AI$505,"&lt;="&amp;$A45,実績!$AJ$6:$AJ$505,"&gt;"&amp;$A45,実績!$AK$6:$AK$505,"○")&gt;0,1,0))</f>
        <v>0</v>
      </c>
      <c r="CD45" s="39" t="n">
        <f aca="false">IF(CD$4=0,0,IF(COUNTIFS(実績!$W$6:$W$505,CD$3,実績!$AI$6:$AI$505,"&lt;="&amp;$A45,実績!$AJ$6:$AJ$505,"&gt;"&amp;$A45,実績!$AK$6:$AK$505,"○")&gt;0,1,0))</f>
        <v>0</v>
      </c>
      <c r="CE45" s="39" t="n">
        <f aca="false">IF(CE$4=0,0,IF(COUNTIFS(実績!$W$6:$W$505,CE$3,実績!$AI$6:$AI$505,"&lt;="&amp;$A45,実績!$AJ$6:$AJ$505,"&gt;"&amp;$A45,実績!$AK$6:$AK$505,"○")&gt;0,1,0))</f>
        <v>0</v>
      </c>
      <c r="CF45" s="39" t="n">
        <f aca="false">IF(CF$4=0,0,IF(COUNTIFS(実績!$W$6:$W$505,CF$3,実績!$AI$6:$AI$505,"&lt;="&amp;$A45,実績!$AJ$6:$AJ$505,"&gt;"&amp;$A45,実績!$AK$6:$AK$505,"○")&gt;0,1,0))</f>
        <v>0</v>
      </c>
      <c r="CG45" s="39" t="n">
        <f aca="false">IF(CG$4=0,0,IF(COUNTIFS(実績!$W$6:$W$505,CG$3,実績!$AI$6:$AI$505,"&lt;="&amp;$A45,実績!$AJ$6:$AJ$505,"&gt;"&amp;$A45,実績!$AK$6:$AK$505,"○")&gt;0,1,0))</f>
        <v>0</v>
      </c>
      <c r="CH45" s="39" t="n">
        <f aca="false">IF(CH$4=0,0,IF(COUNTIFS(実績!$W$6:$W$505,CH$3,実績!$AI$6:$AI$505,"&lt;="&amp;$A45,実績!$AJ$6:$AJ$505,"&gt;"&amp;$A45,実績!$AK$6:$AK$505,"○")&gt;0,1,0))</f>
        <v>0</v>
      </c>
      <c r="CI45" s="39" t="n">
        <f aca="false">IF(CI$4=0,0,IF(COUNTIFS(実績!$W$6:$W$505,CI$3,実績!$AI$6:$AI$505,"&lt;="&amp;$A45,実績!$AJ$6:$AJ$505,"&gt;"&amp;$A45,実績!$AK$6:$AK$505,"○")&gt;0,1,0))</f>
        <v>0</v>
      </c>
      <c r="CJ45" s="39" t="n">
        <f aca="false">IF(CJ$4=0,0,IF(COUNTIFS(実績!$W$6:$W$505,CJ$3,実績!$AI$6:$AI$505,"&lt;="&amp;$A45,実績!$AJ$6:$AJ$505,"&gt;"&amp;$A45,実績!$AK$6:$AK$505,"○")&gt;0,1,0))</f>
        <v>0</v>
      </c>
      <c r="CK45" s="39" t="n">
        <f aca="false">IF(CK$4=0,0,IF(COUNTIFS(実績!$W$6:$W$505,CK$3,実績!$AI$6:$AI$505,"&lt;="&amp;$A45,実績!$AJ$6:$AJ$505,"&gt;"&amp;$A45,実績!$AK$6:$AK$505,"○")&gt;0,1,0))</f>
        <v>0</v>
      </c>
      <c r="CL45" s="39" t="n">
        <f aca="false">IF(CL$4=0,0,IF(COUNTIFS(実績!$W$6:$W$505,CL$3,実績!$AI$6:$AI$505,"&lt;="&amp;$A45,実績!$AJ$6:$AJ$505,"&gt;"&amp;$A45,実績!$AK$6:$AK$505,"○")&gt;0,1,0))</f>
        <v>0</v>
      </c>
      <c r="CM45" s="39" t="n">
        <f aca="false">IF(CM$4=0,0,IF(COUNTIFS(実績!$W$6:$W$505,CM$3,実績!$AI$6:$AI$505,"&lt;="&amp;$A45,実績!$AJ$6:$AJ$505,"&gt;"&amp;$A45,実績!$AK$6:$AK$505,"○")&gt;0,1,0))</f>
        <v>0</v>
      </c>
      <c r="CN45" s="39" t="n">
        <f aca="false">IF(CN$4=0,0,IF(COUNTIFS(実績!$W$6:$W$505,CN$3,実績!$AI$6:$AI$505,"&lt;="&amp;$A45,実績!$AJ$6:$AJ$505,"&gt;"&amp;$A45,実績!$AK$6:$AK$505,"○")&gt;0,1,0))</f>
        <v>0</v>
      </c>
      <c r="CO45" s="39" t="n">
        <f aca="false">IF(CO$4=0,0,IF(COUNTIFS(実績!$W$6:$W$505,CO$3,実績!$AI$6:$AI$505,"&lt;="&amp;$A45,実績!$AJ$6:$AJ$505,"&gt;"&amp;$A45,実績!$AK$6:$AK$505,"○")&gt;0,1,0))</f>
        <v>0</v>
      </c>
      <c r="CP45" s="39" t="n">
        <f aca="false">IF(CP$4=0,0,IF(COUNTIFS(実績!$W$6:$W$505,CP$3,実績!$AI$6:$AI$505,"&lt;="&amp;$A45,実績!$AJ$6:$AJ$505,"&gt;"&amp;$A45,実績!$AK$6:$AK$505,"○")&gt;0,1,0))</f>
        <v>0</v>
      </c>
      <c r="CQ45" s="39" t="n">
        <f aca="false">IF(CQ$4=0,0,IF(COUNTIFS(実績!$W$6:$W$505,CQ$3,実績!$AI$6:$AI$505,"&lt;="&amp;$A45,実績!$AJ$6:$AJ$505,"&gt;"&amp;$A45,実績!$AK$6:$AK$505,"○")&gt;0,1,0))</f>
        <v>0</v>
      </c>
      <c r="CR45" s="39" t="n">
        <f aca="false">IF(CR$4=0,0,IF(COUNTIFS(実績!$W$6:$W$505,CR$3,実績!$AI$6:$AI$505,"&lt;="&amp;$A45,実績!$AJ$6:$AJ$505,"&gt;"&amp;$A45,実績!$AK$6:$AK$505,"○")&gt;0,1,0))</f>
        <v>0</v>
      </c>
      <c r="CS45" s="39" t="n">
        <f aca="false">IF(CS$4=0,0,IF(COUNTIFS(実績!$W$6:$W$505,CS$3,実績!$AI$6:$AI$505,"&lt;="&amp;$A45,実績!$AJ$6:$AJ$505,"&gt;"&amp;$A45,実績!$AK$6:$AK$505,"○")&gt;0,1,0))</f>
        <v>0</v>
      </c>
      <c r="CT45" s="39" t="n">
        <f aca="false">IF(CT$4=0,0,IF(COUNTIFS(実績!$W$6:$W$505,CT$3,実績!$AI$6:$AI$505,"&lt;="&amp;$A45,実績!$AJ$6:$AJ$505,"&gt;"&amp;$A45,実績!$AK$6:$AK$505,"○")&gt;0,1,0))</f>
        <v>0</v>
      </c>
      <c r="CU45" s="39" t="n">
        <f aca="false">IF(CU$4=0,0,IF(COUNTIFS(実績!$W$6:$W$505,CU$3,実績!$AI$6:$AI$505,"&lt;="&amp;$A45,実績!$AJ$6:$AJ$505,"&gt;"&amp;$A45,実績!$AK$6:$AK$505,"○")&gt;0,1,0))</f>
        <v>0</v>
      </c>
      <c r="CV45" s="39" t="n">
        <f aca="false">IF(CV$4=0,0,IF(COUNTIFS(実績!$W$6:$W$505,CV$3,実績!$AI$6:$AI$505,"&lt;="&amp;$A45,実績!$AJ$6:$AJ$505,"&gt;"&amp;$A45,実績!$AK$6:$AK$505,"○")&gt;0,1,0))</f>
        <v>0</v>
      </c>
      <c r="CW45" s="39" t="n">
        <f aca="false">IF(CW$4=0,0,IF(COUNTIFS(実績!$W$6:$W$505,CW$3,実績!$AI$6:$AI$505,"&lt;="&amp;$A45,実績!$AJ$6:$AJ$505,"&gt;"&amp;$A45,実績!$AK$6:$AK$505,"○")&gt;0,1,0))</f>
        <v>0</v>
      </c>
      <c r="CX45" s="39" t="n">
        <f aca="false">IF(CX$4=0,0,IF(COUNTIFS(実績!$W$6:$W$505,CX$3,実績!$AI$6:$AI$505,"&lt;="&amp;$A45,実績!$AJ$6:$AJ$505,"&gt;"&amp;$A45,実績!$AK$6:$AK$505,"○")&gt;0,1,0))</f>
        <v>0</v>
      </c>
      <c r="CY45" s="39" t="n">
        <f aca="false">IF(CY$4=0,0,IF(COUNTIFS(実績!$W$6:$W$505,CY$3,実績!$AI$6:$AI$505,"&lt;="&amp;$A45,実績!$AJ$6:$AJ$505,"&gt;"&amp;$A45,実績!$AK$6:$AK$505,"○")&gt;0,1,0))</f>
        <v>0</v>
      </c>
      <c r="CZ45" s="39" t="n">
        <f aca="false">IF(CZ$4=0,0,IF(COUNTIFS(実績!$W$6:$W$505,CZ$3,実績!$AI$6:$AI$505,"&lt;="&amp;$A45,実績!$AJ$6:$AJ$505,"&gt;"&amp;$A45,実績!$AK$6:$AK$505,"○")&gt;0,1,0))</f>
        <v>0</v>
      </c>
      <c r="DA45" s="39" t="n">
        <f aca="false">IF(DA$4=0,0,IF(COUNTIFS(実績!$W$6:$W$505,DA$3,実績!$AI$6:$AI$505,"&lt;="&amp;$A45,実績!$AJ$6:$AJ$505,"&gt;"&amp;$A45,実績!$AK$6:$AK$505,"○")&gt;0,1,0))</f>
        <v>0</v>
      </c>
      <c r="DB45" s="39" t="n">
        <f aca="false">IF(DB$4=0,0,IF(COUNTIFS(実績!$W$6:$W$505,DB$3,実績!$AI$6:$AI$505,"&lt;="&amp;$A45,実績!$AJ$6:$AJ$505,"&gt;"&amp;$A45,実績!$AK$6:$AK$505,"○")&gt;0,1,0))</f>
        <v>0</v>
      </c>
      <c r="DC45" s="39" t="n">
        <f aca="false">IF(DC$4=0,0,IF(COUNTIFS(実績!$W$6:$W$505,DC$3,実績!$AI$6:$AI$505,"&lt;="&amp;$A45,実績!$AJ$6:$AJ$505,"&gt;"&amp;$A45,実績!$AK$6:$AK$505,"○")&gt;0,1,0))</f>
        <v>0</v>
      </c>
      <c r="DD45" s="39" t="n">
        <f aca="false">IF(DD$4=0,0,IF(COUNTIFS(実績!$W$6:$W$505,DD$3,実績!$AI$6:$AI$505,"&lt;="&amp;$A45,実績!$AJ$6:$AJ$505,"&gt;"&amp;$A45,実績!$AK$6:$AK$505,"○")&gt;0,1,0))</f>
        <v>0</v>
      </c>
      <c r="DE45" s="39" t="n">
        <f aca="false">IF(DE$4=0,0,IF(COUNTIFS(実績!$W$6:$W$505,DE$3,実績!$AI$6:$AI$505,"&lt;="&amp;$A45,実績!$AJ$6:$AJ$505,"&gt;"&amp;$A45,実績!$AK$6:$AK$505,"○")&gt;0,1,0))</f>
        <v>0</v>
      </c>
      <c r="DF45" s="39" t="n">
        <f aca="false">IF(DF$4=0,0,IF(COUNTIFS(実績!$W$6:$W$505,DF$3,実績!$AI$6:$AI$505,"&lt;="&amp;$A45,実績!$AJ$6:$AJ$505,"&gt;"&amp;$A45,実績!$AK$6:$AK$505,"○")&gt;0,1,0))</f>
        <v>0</v>
      </c>
      <c r="DG45" s="39" t="n">
        <f aca="false">IF(DG$4=0,0,IF(COUNTIFS(実績!$W$6:$W$505,DG$3,実績!$AI$6:$AI$505,"&lt;="&amp;$A45,実績!$AJ$6:$AJ$505,"&gt;"&amp;$A45,実績!$AK$6:$AK$505,"○")&gt;0,1,0))</f>
        <v>0</v>
      </c>
      <c r="DH45" s="39" t="n">
        <f aca="false">IF(DH$4=0,0,IF(COUNTIFS(実績!$W$6:$W$505,DH$3,実績!$AI$6:$AI$505,"&lt;="&amp;$A45,実績!$AJ$6:$AJ$505,"&gt;"&amp;$A45,実績!$AK$6:$AK$505,"○")&gt;0,1,0))</f>
        <v>0</v>
      </c>
      <c r="DI45" s="39" t="n">
        <f aca="false">IF(DI$4=0,0,IF(COUNTIFS(実績!$W$6:$W$505,DI$3,実績!$AI$6:$AI$505,"&lt;="&amp;$A45,実績!$AJ$6:$AJ$505,"&gt;"&amp;$A45,実績!$AK$6:$AK$505,"○")&gt;0,1,0))</f>
        <v>0</v>
      </c>
      <c r="DJ45" s="39" t="n">
        <f aca="false">IF(DJ$4=0,0,IF(COUNTIFS(実績!$W$6:$W$505,DJ$3,実績!$AI$6:$AI$505,"&lt;="&amp;$A45,実績!$AJ$6:$AJ$505,"&gt;"&amp;$A45,実績!$AK$6:$AK$505,"○")&gt;0,1,0))</f>
        <v>0</v>
      </c>
      <c r="DK45" s="39" t="n">
        <f aca="false">IF(DK$4=0,0,IF(COUNTIFS(実績!$W$6:$W$505,DK$3,実績!$AI$6:$AI$505,"&lt;="&amp;$A45,実績!$AJ$6:$AJ$505,"&gt;"&amp;$A45,実績!$AK$6:$AK$505,"○")&gt;0,1,0))</f>
        <v>0</v>
      </c>
      <c r="DL45" s="39" t="n">
        <f aca="false">IF(DL$4=0,0,IF(COUNTIFS(実績!$W$6:$W$505,DL$3,実績!$AI$6:$AI$505,"&lt;="&amp;$A45,実績!$AJ$6:$AJ$505,"&gt;"&amp;$A45,実績!$AK$6:$AK$505,"○")&gt;0,1,0))</f>
        <v>0</v>
      </c>
      <c r="DM45" s="39" t="n">
        <f aca="false">IF(DM$4=0,0,IF(COUNTIFS(実績!$W$6:$W$505,DM$3,実績!$AI$6:$AI$505,"&lt;="&amp;$A45,実績!$AJ$6:$AJ$505,"&gt;"&amp;$A45,実績!$AK$6:$AK$505,"○")&gt;0,1,0))</f>
        <v>0</v>
      </c>
      <c r="DN45" s="39" t="n">
        <f aca="false">IF(DN$4=0,0,IF(COUNTIFS(実績!$W$6:$W$505,DN$3,実績!$AI$6:$AI$505,"&lt;="&amp;$A45,実績!$AJ$6:$AJ$505,"&gt;"&amp;$A45,実績!$AK$6:$AK$505,"○")&gt;0,1,0))</f>
        <v>0</v>
      </c>
      <c r="DO45" s="39" t="n">
        <f aca="false">IF(DO$4=0,0,IF(COUNTIFS(実績!$W$6:$W$505,DO$3,実績!$AI$6:$AI$505,"&lt;="&amp;$A45,実績!$AJ$6:$AJ$505,"&gt;"&amp;$A45,実績!$AK$6:$AK$505,"○")&gt;0,1,0))</f>
        <v>0</v>
      </c>
      <c r="DP45" s="39" t="n">
        <f aca="false">IF(DP$4=0,0,IF(COUNTIFS(実績!$W$6:$W$505,DP$3,実績!$AI$6:$AI$505,"&lt;="&amp;$A45,実績!$AJ$6:$AJ$505,"&gt;"&amp;$A45,実績!$AK$6:$AK$505,"○")&gt;0,1,0))</f>
        <v>0</v>
      </c>
      <c r="DQ45" s="39" t="n">
        <f aca="false">IF(DQ$4=0,0,IF(COUNTIFS(実績!$W$6:$W$505,DQ$3,実績!$AI$6:$AI$505,"&lt;="&amp;$A45,実績!$AJ$6:$AJ$505,"&gt;"&amp;$A45,実績!$AK$6:$AK$505,"○")&gt;0,1,0))</f>
        <v>0</v>
      </c>
      <c r="DR45" s="39" t="n">
        <f aca="false">IF(DR$4=0,0,IF(COUNTIFS(実績!$W$6:$W$505,DR$3,実績!$AI$6:$AI$505,"&lt;="&amp;$A45,実績!$AJ$6:$AJ$505,"&gt;"&amp;$A45,実績!$AK$6:$AK$505,"○")&gt;0,1,0))</f>
        <v>0</v>
      </c>
      <c r="DS45" s="39" t="n">
        <f aca="false">SUM(C45:DR45)</f>
        <v>0</v>
      </c>
      <c r="DT45" s="39" t="n">
        <f aca="false">SUMPRODUCT((実績!$C$6:$C$505="○")*ISNUMBER(実績!$AM$6:$AM$505)*(実績!$AM$6:$AM$505&lt;=$A45)*(実績!$AN$6:$AN$505&gt;$A45))</f>
        <v>0</v>
      </c>
      <c r="DU45" s="39" t="n">
        <f aca="false">SUMIF($C$2:$DR$2,"製鉄曳船",C45:DR45)</f>
        <v>0</v>
      </c>
      <c r="DV45" s="39" t="n">
        <f aca="false">SUMIF($C$2:$DR$2,"西日本海運",C45:DR45)</f>
        <v>0</v>
      </c>
    </row>
    <row r="46" customFormat="false" ht="15" hidden="false" customHeight="false" outlineLevel="0" collapsed="false">
      <c r="A46" s="0" t="n">
        <v>200</v>
      </c>
      <c r="B46" s="38" t="n">
        <f aca="false">A46/1440</f>
        <v>0.138888888888889</v>
      </c>
      <c r="C46" s="39" t="n">
        <f aca="false">IF(C$4=0,0,IF(COUNTIFS(実績!$W$6:$W$505,C$3,実績!$AI$6:$AI$505,"&lt;="&amp;$A46,実績!$AJ$6:$AJ$505,"&gt;"&amp;$A46,実績!$AK$6:$AK$505,"○")&gt;0,1,0))</f>
        <v>0</v>
      </c>
      <c r="D46" s="39" t="n">
        <f aca="false">IF(D$4=0,0,IF(COUNTIFS(実績!$W$6:$W$505,D$3,実績!$AI$6:$AI$505,"&lt;="&amp;$A46,実績!$AJ$6:$AJ$505,"&gt;"&amp;$A46,実績!$AK$6:$AK$505,"○")&gt;0,1,0))</f>
        <v>0</v>
      </c>
      <c r="E46" s="39" t="n">
        <f aca="false">IF(E$4=0,0,IF(COUNTIFS(実績!$W$6:$W$505,E$3,実績!$AI$6:$AI$505,"&lt;="&amp;$A46,実績!$AJ$6:$AJ$505,"&gt;"&amp;$A46,実績!$AK$6:$AK$505,"○")&gt;0,1,0))</f>
        <v>0</v>
      </c>
      <c r="F46" s="39" t="n">
        <f aca="false">IF(F$4=0,0,IF(COUNTIFS(実績!$W$6:$W$505,F$3,実績!$AI$6:$AI$505,"&lt;="&amp;$A46,実績!$AJ$6:$AJ$505,"&gt;"&amp;$A46,実績!$AK$6:$AK$505,"○")&gt;0,1,0))</f>
        <v>0</v>
      </c>
      <c r="G46" s="39" t="n">
        <f aca="false">IF(G$4=0,0,IF(COUNTIFS(実績!$W$6:$W$505,G$3,実績!$AI$6:$AI$505,"&lt;="&amp;$A46,実績!$AJ$6:$AJ$505,"&gt;"&amp;$A46,実績!$AK$6:$AK$505,"○")&gt;0,1,0))</f>
        <v>0</v>
      </c>
      <c r="H46" s="39" t="n">
        <f aca="false">IF(H$4=0,0,IF(COUNTIFS(実績!$W$6:$W$505,H$3,実績!$AI$6:$AI$505,"&lt;="&amp;$A46,実績!$AJ$6:$AJ$505,"&gt;"&amp;$A46,実績!$AK$6:$AK$505,"○")&gt;0,1,0))</f>
        <v>0</v>
      </c>
      <c r="I46" s="39" t="n">
        <f aca="false">IF(I$4=0,0,IF(COUNTIFS(実績!$W$6:$W$505,I$3,実績!$AI$6:$AI$505,"&lt;="&amp;$A46,実績!$AJ$6:$AJ$505,"&gt;"&amp;$A46,実績!$AK$6:$AK$505,"○")&gt;0,1,0))</f>
        <v>0</v>
      </c>
      <c r="J46" s="39" t="n">
        <f aca="false">IF(J$4=0,0,IF(COUNTIFS(実績!$W$6:$W$505,J$3,実績!$AI$6:$AI$505,"&lt;="&amp;$A46,実績!$AJ$6:$AJ$505,"&gt;"&amp;$A46,実績!$AK$6:$AK$505,"○")&gt;0,1,0))</f>
        <v>0</v>
      </c>
      <c r="K46" s="39" t="n">
        <f aca="false">IF(K$4=0,0,IF(COUNTIFS(実績!$W$6:$W$505,K$3,実績!$AI$6:$AI$505,"&lt;="&amp;$A46,実績!$AJ$6:$AJ$505,"&gt;"&amp;$A46,実績!$AK$6:$AK$505,"○")&gt;0,1,0))</f>
        <v>0</v>
      </c>
      <c r="L46" s="39" t="n">
        <f aca="false">IF(L$4=0,0,IF(COUNTIFS(実績!$W$6:$W$505,L$3,実績!$AI$6:$AI$505,"&lt;="&amp;$A46,実績!$AJ$6:$AJ$505,"&gt;"&amp;$A46,実績!$AK$6:$AK$505,"○")&gt;0,1,0))</f>
        <v>0</v>
      </c>
      <c r="M46" s="39" t="n">
        <f aca="false">IF(M$4=0,0,IF(COUNTIFS(実績!$W$6:$W$505,M$3,実績!$AI$6:$AI$505,"&lt;="&amp;$A46,実績!$AJ$6:$AJ$505,"&gt;"&amp;$A46,実績!$AK$6:$AK$505,"○")&gt;0,1,0))</f>
        <v>0</v>
      </c>
      <c r="N46" s="39" t="n">
        <f aca="false">IF(N$4=0,0,IF(COUNTIFS(実績!$W$6:$W$505,N$3,実績!$AI$6:$AI$505,"&lt;="&amp;$A46,実績!$AJ$6:$AJ$505,"&gt;"&amp;$A46,実績!$AK$6:$AK$505,"○")&gt;0,1,0))</f>
        <v>0</v>
      </c>
      <c r="O46" s="39" t="n">
        <f aca="false">IF(O$4=0,0,IF(COUNTIFS(実績!$W$6:$W$505,O$3,実績!$AI$6:$AI$505,"&lt;="&amp;$A46,実績!$AJ$6:$AJ$505,"&gt;"&amp;$A46,実績!$AK$6:$AK$505,"○")&gt;0,1,0))</f>
        <v>0</v>
      </c>
      <c r="P46" s="39" t="n">
        <f aca="false">IF(P$4=0,0,IF(COUNTIFS(実績!$W$6:$W$505,P$3,実績!$AI$6:$AI$505,"&lt;="&amp;$A46,実績!$AJ$6:$AJ$505,"&gt;"&amp;$A46,実績!$AK$6:$AK$505,"○")&gt;0,1,0))</f>
        <v>0</v>
      </c>
      <c r="Q46" s="39" t="n">
        <f aca="false">IF(Q$4=0,0,IF(COUNTIFS(実績!$W$6:$W$505,Q$3,実績!$AI$6:$AI$505,"&lt;="&amp;$A46,実績!$AJ$6:$AJ$505,"&gt;"&amp;$A46,実績!$AK$6:$AK$505,"○")&gt;0,1,0))</f>
        <v>0</v>
      </c>
      <c r="R46" s="39" t="n">
        <f aca="false">IF(R$4=0,0,IF(COUNTIFS(実績!$W$6:$W$505,R$3,実績!$AI$6:$AI$505,"&lt;="&amp;$A46,実績!$AJ$6:$AJ$505,"&gt;"&amp;$A46,実績!$AK$6:$AK$505,"○")&gt;0,1,0))</f>
        <v>0</v>
      </c>
      <c r="S46" s="39" t="n">
        <f aca="false">IF(S$4=0,0,IF(COUNTIFS(実績!$W$6:$W$505,S$3,実績!$AI$6:$AI$505,"&lt;="&amp;$A46,実績!$AJ$6:$AJ$505,"&gt;"&amp;$A46,実績!$AK$6:$AK$505,"○")&gt;0,1,0))</f>
        <v>0</v>
      </c>
      <c r="T46" s="39" t="n">
        <f aca="false">IF(T$4=0,0,IF(COUNTIFS(実績!$W$6:$W$505,T$3,実績!$AI$6:$AI$505,"&lt;="&amp;$A46,実績!$AJ$6:$AJ$505,"&gt;"&amp;$A46,実績!$AK$6:$AK$505,"○")&gt;0,1,0))</f>
        <v>0</v>
      </c>
      <c r="U46" s="39" t="n">
        <f aca="false">IF(U$4=0,0,IF(COUNTIFS(実績!$W$6:$W$505,U$3,実績!$AI$6:$AI$505,"&lt;="&amp;$A46,実績!$AJ$6:$AJ$505,"&gt;"&amp;$A46,実績!$AK$6:$AK$505,"○")&gt;0,1,0))</f>
        <v>0</v>
      </c>
      <c r="V46" s="39" t="n">
        <f aca="false">IF(V$4=0,0,IF(COUNTIFS(実績!$W$6:$W$505,V$3,実績!$AI$6:$AI$505,"&lt;="&amp;$A46,実績!$AJ$6:$AJ$505,"&gt;"&amp;$A46,実績!$AK$6:$AK$505,"○")&gt;0,1,0))</f>
        <v>0</v>
      </c>
      <c r="W46" s="39" t="n">
        <f aca="false">IF(W$4=0,0,IF(COUNTIFS(実績!$W$6:$W$505,W$3,実績!$AI$6:$AI$505,"&lt;="&amp;$A46,実績!$AJ$6:$AJ$505,"&gt;"&amp;$A46,実績!$AK$6:$AK$505,"○")&gt;0,1,0))</f>
        <v>0</v>
      </c>
      <c r="X46" s="39" t="n">
        <f aca="false">IF(X$4=0,0,IF(COUNTIFS(実績!$W$6:$W$505,X$3,実績!$AI$6:$AI$505,"&lt;="&amp;$A46,実績!$AJ$6:$AJ$505,"&gt;"&amp;$A46,実績!$AK$6:$AK$505,"○")&gt;0,1,0))</f>
        <v>0</v>
      </c>
      <c r="Y46" s="39" t="n">
        <f aca="false">IF(Y$4=0,0,IF(COUNTIFS(実績!$W$6:$W$505,Y$3,実績!$AI$6:$AI$505,"&lt;="&amp;$A46,実績!$AJ$6:$AJ$505,"&gt;"&amp;$A46,実績!$AK$6:$AK$505,"○")&gt;0,1,0))</f>
        <v>0</v>
      </c>
      <c r="Z46" s="39" t="n">
        <f aca="false">IF(Z$4=0,0,IF(COUNTIFS(実績!$W$6:$W$505,Z$3,実績!$AI$6:$AI$505,"&lt;="&amp;$A46,実績!$AJ$6:$AJ$505,"&gt;"&amp;$A46,実績!$AK$6:$AK$505,"○")&gt;0,1,0))</f>
        <v>0</v>
      </c>
      <c r="AA46" s="39" t="n">
        <f aca="false">IF(AA$4=0,0,IF(COUNTIFS(実績!$W$6:$W$505,AA$3,実績!$AI$6:$AI$505,"&lt;="&amp;$A46,実績!$AJ$6:$AJ$505,"&gt;"&amp;$A46,実績!$AK$6:$AK$505,"○")&gt;0,1,0))</f>
        <v>0</v>
      </c>
      <c r="AB46" s="39" t="n">
        <f aca="false">IF(AB$4=0,0,IF(COUNTIFS(実績!$W$6:$W$505,AB$3,実績!$AI$6:$AI$505,"&lt;="&amp;$A46,実績!$AJ$6:$AJ$505,"&gt;"&amp;$A46,実績!$AK$6:$AK$505,"○")&gt;0,1,0))</f>
        <v>0</v>
      </c>
      <c r="AC46" s="39" t="n">
        <f aca="false">IF(AC$4=0,0,IF(COUNTIFS(実績!$W$6:$W$505,AC$3,実績!$AI$6:$AI$505,"&lt;="&amp;$A46,実績!$AJ$6:$AJ$505,"&gt;"&amp;$A46,実績!$AK$6:$AK$505,"○")&gt;0,1,0))</f>
        <v>0</v>
      </c>
      <c r="AD46" s="39" t="n">
        <f aca="false">IF(AD$4=0,0,IF(COUNTIFS(実績!$W$6:$W$505,AD$3,実績!$AI$6:$AI$505,"&lt;="&amp;$A46,実績!$AJ$6:$AJ$505,"&gt;"&amp;$A46,実績!$AK$6:$AK$505,"○")&gt;0,1,0))</f>
        <v>0</v>
      </c>
      <c r="AE46" s="39" t="n">
        <f aca="false">IF(AE$4=0,0,IF(COUNTIFS(実績!$W$6:$W$505,AE$3,実績!$AI$6:$AI$505,"&lt;="&amp;$A46,実績!$AJ$6:$AJ$505,"&gt;"&amp;$A46,実績!$AK$6:$AK$505,"○")&gt;0,1,0))</f>
        <v>0</v>
      </c>
      <c r="AF46" s="39" t="n">
        <f aca="false">IF(AF$4=0,0,IF(COUNTIFS(実績!$W$6:$W$505,AF$3,実績!$AI$6:$AI$505,"&lt;="&amp;$A46,実績!$AJ$6:$AJ$505,"&gt;"&amp;$A46,実績!$AK$6:$AK$505,"○")&gt;0,1,0))</f>
        <v>0</v>
      </c>
      <c r="AG46" s="39" t="n">
        <f aca="false">IF(AG$4=0,0,IF(COUNTIFS(実績!$W$6:$W$505,AG$3,実績!$AI$6:$AI$505,"&lt;="&amp;$A46,実績!$AJ$6:$AJ$505,"&gt;"&amp;$A46,実績!$AK$6:$AK$505,"○")&gt;0,1,0))</f>
        <v>0</v>
      </c>
      <c r="AH46" s="39" t="n">
        <f aca="false">IF(AH$4=0,0,IF(COUNTIFS(実績!$W$6:$W$505,AH$3,実績!$AI$6:$AI$505,"&lt;="&amp;$A46,実績!$AJ$6:$AJ$505,"&gt;"&amp;$A46,実績!$AK$6:$AK$505,"○")&gt;0,1,0))</f>
        <v>0</v>
      </c>
      <c r="AI46" s="39" t="n">
        <f aca="false">IF(AI$4=0,0,IF(COUNTIFS(実績!$W$6:$W$505,AI$3,実績!$AI$6:$AI$505,"&lt;="&amp;$A46,実績!$AJ$6:$AJ$505,"&gt;"&amp;$A46,実績!$AK$6:$AK$505,"○")&gt;0,1,0))</f>
        <v>0</v>
      </c>
      <c r="AJ46" s="39" t="n">
        <f aca="false">IF(AJ$4=0,0,IF(COUNTIFS(実績!$W$6:$W$505,AJ$3,実績!$AI$6:$AI$505,"&lt;="&amp;$A46,実績!$AJ$6:$AJ$505,"&gt;"&amp;$A46,実績!$AK$6:$AK$505,"○")&gt;0,1,0))</f>
        <v>0</v>
      </c>
      <c r="AK46" s="39" t="n">
        <f aca="false">IF(AK$4=0,0,IF(COUNTIFS(実績!$W$6:$W$505,AK$3,実績!$AI$6:$AI$505,"&lt;="&amp;$A46,実績!$AJ$6:$AJ$505,"&gt;"&amp;$A46,実績!$AK$6:$AK$505,"○")&gt;0,1,0))</f>
        <v>0</v>
      </c>
      <c r="AL46" s="39" t="n">
        <f aca="false">IF(AL$4=0,0,IF(COUNTIFS(実績!$W$6:$W$505,AL$3,実績!$AI$6:$AI$505,"&lt;="&amp;$A46,実績!$AJ$6:$AJ$505,"&gt;"&amp;$A46,実績!$AK$6:$AK$505,"○")&gt;0,1,0))</f>
        <v>0</v>
      </c>
      <c r="AM46" s="39" t="n">
        <f aca="false">IF(AM$4=0,0,IF(COUNTIFS(実績!$W$6:$W$505,AM$3,実績!$AI$6:$AI$505,"&lt;="&amp;$A46,実績!$AJ$6:$AJ$505,"&gt;"&amp;$A46,実績!$AK$6:$AK$505,"○")&gt;0,1,0))</f>
        <v>0</v>
      </c>
      <c r="AN46" s="39" t="n">
        <f aca="false">IF(AN$4=0,0,IF(COUNTIFS(実績!$W$6:$W$505,AN$3,実績!$AI$6:$AI$505,"&lt;="&amp;$A46,実績!$AJ$6:$AJ$505,"&gt;"&amp;$A46,実績!$AK$6:$AK$505,"○")&gt;0,1,0))</f>
        <v>0</v>
      </c>
      <c r="AO46" s="39" t="n">
        <f aca="false">IF(AO$4=0,0,IF(COUNTIFS(実績!$W$6:$W$505,AO$3,実績!$AI$6:$AI$505,"&lt;="&amp;$A46,実績!$AJ$6:$AJ$505,"&gt;"&amp;$A46,実績!$AK$6:$AK$505,"○")&gt;0,1,0))</f>
        <v>0</v>
      </c>
      <c r="AP46" s="39" t="n">
        <f aca="false">IF(AP$4=0,0,IF(COUNTIFS(実績!$W$6:$W$505,AP$3,実績!$AI$6:$AI$505,"&lt;="&amp;$A46,実績!$AJ$6:$AJ$505,"&gt;"&amp;$A46,実績!$AK$6:$AK$505,"○")&gt;0,1,0))</f>
        <v>0</v>
      </c>
      <c r="AQ46" s="39" t="n">
        <f aca="false">IF(AQ$4=0,0,IF(COUNTIFS(実績!$W$6:$W$505,AQ$3,実績!$AI$6:$AI$505,"&lt;="&amp;$A46,実績!$AJ$6:$AJ$505,"&gt;"&amp;$A46,実績!$AK$6:$AK$505,"○")&gt;0,1,0))</f>
        <v>0</v>
      </c>
      <c r="AR46" s="39" t="n">
        <f aca="false">IF(AR$4=0,0,IF(COUNTIFS(実績!$W$6:$W$505,AR$3,実績!$AI$6:$AI$505,"&lt;="&amp;$A46,実績!$AJ$6:$AJ$505,"&gt;"&amp;$A46,実績!$AK$6:$AK$505,"○")&gt;0,1,0))</f>
        <v>0</v>
      </c>
      <c r="AS46" s="39" t="n">
        <f aca="false">IF(AS$4=0,0,IF(COUNTIFS(実績!$W$6:$W$505,AS$3,実績!$AI$6:$AI$505,"&lt;="&amp;$A46,実績!$AJ$6:$AJ$505,"&gt;"&amp;$A46,実績!$AK$6:$AK$505,"○")&gt;0,1,0))</f>
        <v>0</v>
      </c>
      <c r="AT46" s="39" t="n">
        <f aca="false">IF(AT$4=0,0,IF(COUNTIFS(実績!$W$6:$W$505,AT$3,実績!$AI$6:$AI$505,"&lt;="&amp;$A46,実績!$AJ$6:$AJ$505,"&gt;"&amp;$A46,実績!$AK$6:$AK$505,"○")&gt;0,1,0))</f>
        <v>0</v>
      </c>
      <c r="AU46" s="39" t="n">
        <f aca="false">IF(AU$4=0,0,IF(COUNTIFS(実績!$W$6:$W$505,AU$3,実績!$AI$6:$AI$505,"&lt;="&amp;$A46,実績!$AJ$6:$AJ$505,"&gt;"&amp;$A46,実績!$AK$6:$AK$505,"○")&gt;0,1,0))</f>
        <v>0</v>
      </c>
      <c r="AV46" s="39" t="n">
        <f aca="false">IF(AV$4=0,0,IF(COUNTIFS(実績!$W$6:$W$505,AV$3,実績!$AI$6:$AI$505,"&lt;="&amp;$A46,実績!$AJ$6:$AJ$505,"&gt;"&amp;$A46,実績!$AK$6:$AK$505,"○")&gt;0,1,0))</f>
        <v>0</v>
      </c>
      <c r="AW46" s="39" t="n">
        <f aca="false">IF(AW$4=0,0,IF(COUNTIFS(実績!$W$6:$W$505,AW$3,実績!$AI$6:$AI$505,"&lt;="&amp;$A46,実績!$AJ$6:$AJ$505,"&gt;"&amp;$A46,実績!$AK$6:$AK$505,"○")&gt;0,1,0))</f>
        <v>0</v>
      </c>
      <c r="AX46" s="39" t="n">
        <f aca="false">IF(AX$4=0,0,IF(COUNTIFS(実績!$W$6:$W$505,AX$3,実績!$AI$6:$AI$505,"&lt;="&amp;$A46,実績!$AJ$6:$AJ$505,"&gt;"&amp;$A46,実績!$AK$6:$AK$505,"○")&gt;0,1,0))</f>
        <v>0</v>
      </c>
      <c r="AY46" s="39" t="n">
        <f aca="false">IF(AY$4=0,0,IF(COUNTIFS(実績!$W$6:$W$505,AY$3,実績!$AI$6:$AI$505,"&lt;="&amp;$A46,実績!$AJ$6:$AJ$505,"&gt;"&amp;$A46,実績!$AK$6:$AK$505,"○")&gt;0,1,0))</f>
        <v>0</v>
      </c>
      <c r="AZ46" s="39" t="n">
        <f aca="false">IF(AZ$4=0,0,IF(COUNTIFS(実績!$W$6:$W$505,AZ$3,実績!$AI$6:$AI$505,"&lt;="&amp;$A46,実績!$AJ$6:$AJ$505,"&gt;"&amp;$A46,実績!$AK$6:$AK$505,"○")&gt;0,1,0))</f>
        <v>0</v>
      </c>
      <c r="BA46" s="39" t="n">
        <f aca="false">IF(BA$4=0,0,IF(COUNTIFS(実績!$W$6:$W$505,BA$3,実績!$AI$6:$AI$505,"&lt;="&amp;$A46,実績!$AJ$6:$AJ$505,"&gt;"&amp;$A46,実績!$AK$6:$AK$505,"○")&gt;0,1,0))</f>
        <v>0</v>
      </c>
      <c r="BB46" s="39" t="n">
        <f aca="false">IF(BB$4=0,0,IF(COUNTIFS(実績!$W$6:$W$505,BB$3,実績!$AI$6:$AI$505,"&lt;="&amp;$A46,実績!$AJ$6:$AJ$505,"&gt;"&amp;$A46,実績!$AK$6:$AK$505,"○")&gt;0,1,0))</f>
        <v>0</v>
      </c>
      <c r="BC46" s="39" t="n">
        <f aca="false">IF(BC$4=0,0,IF(COUNTIFS(実績!$W$6:$W$505,BC$3,実績!$AI$6:$AI$505,"&lt;="&amp;$A46,実績!$AJ$6:$AJ$505,"&gt;"&amp;$A46,実績!$AK$6:$AK$505,"○")&gt;0,1,0))</f>
        <v>0</v>
      </c>
      <c r="BD46" s="39" t="n">
        <f aca="false">IF(BD$4=0,0,IF(COUNTIFS(実績!$W$6:$W$505,BD$3,実績!$AI$6:$AI$505,"&lt;="&amp;$A46,実績!$AJ$6:$AJ$505,"&gt;"&amp;$A46,実績!$AK$6:$AK$505,"○")&gt;0,1,0))</f>
        <v>0</v>
      </c>
      <c r="BE46" s="39" t="n">
        <f aca="false">IF(BE$4=0,0,IF(COUNTIFS(実績!$W$6:$W$505,BE$3,実績!$AI$6:$AI$505,"&lt;="&amp;$A46,実績!$AJ$6:$AJ$505,"&gt;"&amp;$A46,実績!$AK$6:$AK$505,"○")&gt;0,1,0))</f>
        <v>0</v>
      </c>
      <c r="BF46" s="39" t="n">
        <f aca="false">IF(BF$4=0,0,IF(COUNTIFS(実績!$W$6:$W$505,BF$3,実績!$AI$6:$AI$505,"&lt;="&amp;$A46,実績!$AJ$6:$AJ$505,"&gt;"&amp;$A46,実績!$AK$6:$AK$505,"○")&gt;0,1,0))</f>
        <v>0</v>
      </c>
      <c r="BG46" s="39" t="n">
        <f aca="false">IF(BG$4=0,0,IF(COUNTIFS(実績!$W$6:$W$505,BG$3,実績!$AI$6:$AI$505,"&lt;="&amp;$A46,実績!$AJ$6:$AJ$505,"&gt;"&amp;$A46,実績!$AK$6:$AK$505,"○")&gt;0,1,0))</f>
        <v>0</v>
      </c>
      <c r="BH46" s="39" t="n">
        <f aca="false">IF(BH$4=0,0,IF(COUNTIFS(実績!$W$6:$W$505,BH$3,実績!$AI$6:$AI$505,"&lt;="&amp;$A46,実績!$AJ$6:$AJ$505,"&gt;"&amp;$A46,実績!$AK$6:$AK$505,"○")&gt;0,1,0))</f>
        <v>0</v>
      </c>
      <c r="BI46" s="39" t="n">
        <f aca="false">IF(BI$4=0,0,IF(COUNTIFS(実績!$W$6:$W$505,BI$3,実績!$AI$6:$AI$505,"&lt;="&amp;$A46,実績!$AJ$6:$AJ$505,"&gt;"&amp;$A46,実績!$AK$6:$AK$505,"○")&gt;0,1,0))</f>
        <v>0</v>
      </c>
      <c r="BJ46" s="39" t="n">
        <f aca="false">IF(BJ$4=0,0,IF(COUNTIFS(実績!$W$6:$W$505,BJ$3,実績!$AI$6:$AI$505,"&lt;="&amp;$A46,実績!$AJ$6:$AJ$505,"&gt;"&amp;$A46,実績!$AK$6:$AK$505,"○")&gt;0,1,0))</f>
        <v>0</v>
      </c>
      <c r="BK46" s="39" t="n">
        <f aca="false">IF(BK$4=0,0,IF(COUNTIFS(実績!$W$6:$W$505,BK$3,実績!$AI$6:$AI$505,"&lt;="&amp;$A46,実績!$AJ$6:$AJ$505,"&gt;"&amp;$A46,実績!$AK$6:$AK$505,"○")&gt;0,1,0))</f>
        <v>0</v>
      </c>
      <c r="BL46" s="39" t="n">
        <f aca="false">IF(BL$4=0,0,IF(COUNTIFS(実績!$W$6:$W$505,BL$3,実績!$AI$6:$AI$505,"&lt;="&amp;$A46,実績!$AJ$6:$AJ$505,"&gt;"&amp;$A46,実績!$AK$6:$AK$505,"○")&gt;0,1,0))</f>
        <v>0</v>
      </c>
      <c r="BM46" s="39" t="n">
        <f aca="false">IF(BM$4=0,0,IF(COUNTIFS(実績!$W$6:$W$505,BM$3,実績!$AI$6:$AI$505,"&lt;="&amp;$A46,実績!$AJ$6:$AJ$505,"&gt;"&amp;$A46,実績!$AK$6:$AK$505,"○")&gt;0,1,0))</f>
        <v>0</v>
      </c>
      <c r="BN46" s="39" t="n">
        <f aca="false">IF(BN$4=0,0,IF(COUNTIFS(実績!$W$6:$W$505,BN$3,実績!$AI$6:$AI$505,"&lt;="&amp;$A46,実績!$AJ$6:$AJ$505,"&gt;"&amp;$A46,実績!$AK$6:$AK$505,"○")&gt;0,1,0))</f>
        <v>0</v>
      </c>
      <c r="BO46" s="39" t="n">
        <f aca="false">IF(BO$4=0,0,IF(COUNTIFS(実績!$W$6:$W$505,BO$3,実績!$AI$6:$AI$505,"&lt;="&amp;$A46,実績!$AJ$6:$AJ$505,"&gt;"&amp;$A46,実績!$AK$6:$AK$505,"○")&gt;0,1,0))</f>
        <v>0</v>
      </c>
      <c r="BP46" s="39" t="n">
        <f aca="false">IF(BP$4=0,0,IF(COUNTIFS(実績!$W$6:$W$505,BP$3,実績!$AI$6:$AI$505,"&lt;="&amp;$A46,実績!$AJ$6:$AJ$505,"&gt;"&amp;$A46,実績!$AK$6:$AK$505,"○")&gt;0,1,0))</f>
        <v>0</v>
      </c>
      <c r="BQ46" s="39" t="n">
        <f aca="false">IF(BQ$4=0,0,IF(COUNTIFS(実績!$W$6:$W$505,BQ$3,実績!$AI$6:$AI$505,"&lt;="&amp;$A46,実績!$AJ$6:$AJ$505,"&gt;"&amp;$A46,実績!$AK$6:$AK$505,"○")&gt;0,1,0))</f>
        <v>0</v>
      </c>
      <c r="BR46" s="39" t="n">
        <f aca="false">IF(BR$4=0,0,IF(COUNTIFS(実績!$W$6:$W$505,BR$3,実績!$AI$6:$AI$505,"&lt;="&amp;$A46,実績!$AJ$6:$AJ$505,"&gt;"&amp;$A46,実績!$AK$6:$AK$505,"○")&gt;0,1,0))</f>
        <v>0</v>
      </c>
      <c r="BS46" s="39" t="n">
        <f aca="false">IF(BS$4=0,0,IF(COUNTIFS(実績!$W$6:$W$505,BS$3,実績!$AI$6:$AI$505,"&lt;="&amp;$A46,実績!$AJ$6:$AJ$505,"&gt;"&amp;$A46,実績!$AK$6:$AK$505,"○")&gt;0,1,0))</f>
        <v>0</v>
      </c>
      <c r="BT46" s="39" t="n">
        <f aca="false">IF(BT$4=0,0,IF(COUNTIFS(実績!$W$6:$W$505,BT$3,実績!$AI$6:$AI$505,"&lt;="&amp;$A46,実績!$AJ$6:$AJ$505,"&gt;"&amp;$A46,実績!$AK$6:$AK$505,"○")&gt;0,1,0))</f>
        <v>0</v>
      </c>
      <c r="BU46" s="39" t="n">
        <f aca="false">IF(BU$4=0,0,IF(COUNTIFS(実績!$W$6:$W$505,BU$3,実績!$AI$6:$AI$505,"&lt;="&amp;$A46,実績!$AJ$6:$AJ$505,"&gt;"&amp;$A46,実績!$AK$6:$AK$505,"○")&gt;0,1,0))</f>
        <v>0</v>
      </c>
      <c r="BV46" s="39" t="n">
        <f aca="false">IF(BV$4=0,0,IF(COUNTIFS(実績!$W$6:$W$505,BV$3,実績!$AI$6:$AI$505,"&lt;="&amp;$A46,実績!$AJ$6:$AJ$505,"&gt;"&amp;$A46,実績!$AK$6:$AK$505,"○")&gt;0,1,0))</f>
        <v>0</v>
      </c>
      <c r="BW46" s="39" t="n">
        <f aca="false">IF(BW$4=0,0,IF(COUNTIFS(実績!$W$6:$W$505,BW$3,実績!$AI$6:$AI$505,"&lt;="&amp;$A46,実績!$AJ$6:$AJ$505,"&gt;"&amp;$A46,実績!$AK$6:$AK$505,"○")&gt;0,1,0))</f>
        <v>0</v>
      </c>
      <c r="BX46" s="39" t="n">
        <f aca="false">IF(BX$4=0,0,IF(COUNTIFS(実績!$W$6:$W$505,BX$3,実績!$AI$6:$AI$505,"&lt;="&amp;$A46,実績!$AJ$6:$AJ$505,"&gt;"&amp;$A46,実績!$AK$6:$AK$505,"○")&gt;0,1,0))</f>
        <v>0</v>
      </c>
      <c r="BY46" s="39" t="n">
        <f aca="false">IF(BY$4=0,0,IF(COUNTIFS(実績!$W$6:$W$505,BY$3,実績!$AI$6:$AI$505,"&lt;="&amp;$A46,実績!$AJ$6:$AJ$505,"&gt;"&amp;$A46,実績!$AK$6:$AK$505,"○")&gt;0,1,0))</f>
        <v>0</v>
      </c>
      <c r="BZ46" s="39" t="n">
        <f aca="false">IF(BZ$4=0,0,IF(COUNTIFS(実績!$W$6:$W$505,BZ$3,実績!$AI$6:$AI$505,"&lt;="&amp;$A46,実績!$AJ$6:$AJ$505,"&gt;"&amp;$A46,実績!$AK$6:$AK$505,"○")&gt;0,1,0))</f>
        <v>0</v>
      </c>
      <c r="CA46" s="39" t="n">
        <f aca="false">IF(CA$4=0,0,IF(COUNTIFS(実績!$W$6:$W$505,CA$3,実績!$AI$6:$AI$505,"&lt;="&amp;$A46,実績!$AJ$6:$AJ$505,"&gt;"&amp;$A46,実績!$AK$6:$AK$505,"○")&gt;0,1,0))</f>
        <v>0</v>
      </c>
      <c r="CB46" s="39" t="n">
        <f aca="false">IF(CB$4=0,0,IF(COUNTIFS(実績!$W$6:$W$505,CB$3,実績!$AI$6:$AI$505,"&lt;="&amp;$A46,実績!$AJ$6:$AJ$505,"&gt;"&amp;$A46,実績!$AK$6:$AK$505,"○")&gt;0,1,0))</f>
        <v>0</v>
      </c>
      <c r="CC46" s="39" t="n">
        <f aca="false">IF(CC$4=0,0,IF(COUNTIFS(実績!$W$6:$W$505,CC$3,実績!$AI$6:$AI$505,"&lt;="&amp;$A46,実績!$AJ$6:$AJ$505,"&gt;"&amp;$A46,実績!$AK$6:$AK$505,"○")&gt;0,1,0))</f>
        <v>0</v>
      </c>
      <c r="CD46" s="39" t="n">
        <f aca="false">IF(CD$4=0,0,IF(COUNTIFS(実績!$W$6:$W$505,CD$3,実績!$AI$6:$AI$505,"&lt;="&amp;$A46,実績!$AJ$6:$AJ$505,"&gt;"&amp;$A46,実績!$AK$6:$AK$505,"○")&gt;0,1,0))</f>
        <v>0</v>
      </c>
      <c r="CE46" s="39" t="n">
        <f aca="false">IF(CE$4=0,0,IF(COUNTIFS(実績!$W$6:$W$505,CE$3,実績!$AI$6:$AI$505,"&lt;="&amp;$A46,実績!$AJ$6:$AJ$505,"&gt;"&amp;$A46,実績!$AK$6:$AK$505,"○")&gt;0,1,0))</f>
        <v>0</v>
      </c>
      <c r="CF46" s="39" t="n">
        <f aca="false">IF(CF$4=0,0,IF(COUNTIFS(実績!$W$6:$W$505,CF$3,実績!$AI$6:$AI$505,"&lt;="&amp;$A46,実績!$AJ$6:$AJ$505,"&gt;"&amp;$A46,実績!$AK$6:$AK$505,"○")&gt;0,1,0))</f>
        <v>0</v>
      </c>
      <c r="CG46" s="39" t="n">
        <f aca="false">IF(CG$4=0,0,IF(COUNTIFS(実績!$W$6:$W$505,CG$3,実績!$AI$6:$AI$505,"&lt;="&amp;$A46,実績!$AJ$6:$AJ$505,"&gt;"&amp;$A46,実績!$AK$6:$AK$505,"○")&gt;0,1,0))</f>
        <v>0</v>
      </c>
      <c r="CH46" s="39" t="n">
        <f aca="false">IF(CH$4=0,0,IF(COUNTIFS(実績!$W$6:$W$505,CH$3,実績!$AI$6:$AI$505,"&lt;="&amp;$A46,実績!$AJ$6:$AJ$505,"&gt;"&amp;$A46,実績!$AK$6:$AK$505,"○")&gt;0,1,0))</f>
        <v>0</v>
      </c>
      <c r="CI46" s="39" t="n">
        <f aca="false">IF(CI$4=0,0,IF(COUNTIFS(実績!$W$6:$W$505,CI$3,実績!$AI$6:$AI$505,"&lt;="&amp;$A46,実績!$AJ$6:$AJ$505,"&gt;"&amp;$A46,実績!$AK$6:$AK$505,"○")&gt;0,1,0))</f>
        <v>0</v>
      </c>
      <c r="CJ46" s="39" t="n">
        <f aca="false">IF(CJ$4=0,0,IF(COUNTIFS(実績!$W$6:$W$505,CJ$3,実績!$AI$6:$AI$505,"&lt;="&amp;$A46,実績!$AJ$6:$AJ$505,"&gt;"&amp;$A46,実績!$AK$6:$AK$505,"○")&gt;0,1,0))</f>
        <v>0</v>
      </c>
      <c r="CK46" s="39" t="n">
        <f aca="false">IF(CK$4=0,0,IF(COUNTIFS(実績!$W$6:$W$505,CK$3,実績!$AI$6:$AI$505,"&lt;="&amp;$A46,実績!$AJ$6:$AJ$505,"&gt;"&amp;$A46,実績!$AK$6:$AK$505,"○")&gt;0,1,0))</f>
        <v>0</v>
      </c>
      <c r="CL46" s="39" t="n">
        <f aca="false">IF(CL$4=0,0,IF(COUNTIFS(実績!$W$6:$W$505,CL$3,実績!$AI$6:$AI$505,"&lt;="&amp;$A46,実績!$AJ$6:$AJ$505,"&gt;"&amp;$A46,実績!$AK$6:$AK$505,"○")&gt;0,1,0))</f>
        <v>0</v>
      </c>
      <c r="CM46" s="39" t="n">
        <f aca="false">IF(CM$4=0,0,IF(COUNTIFS(実績!$W$6:$W$505,CM$3,実績!$AI$6:$AI$505,"&lt;="&amp;$A46,実績!$AJ$6:$AJ$505,"&gt;"&amp;$A46,実績!$AK$6:$AK$505,"○")&gt;0,1,0))</f>
        <v>0</v>
      </c>
      <c r="CN46" s="39" t="n">
        <f aca="false">IF(CN$4=0,0,IF(COUNTIFS(実績!$W$6:$W$505,CN$3,実績!$AI$6:$AI$505,"&lt;="&amp;$A46,実績!$AJ$6:$AJ$505,"&gt;"&amp;$A46,実績!$AK$6:$AK$505,"○")&gt;0,1,0))</f>
        <v>0</v>
      </c>
      <c r="CO46" s="39" t="n">
        <f aca="false">IF(CO$4=0,0,IF(COUNTIFS(実績!$W$6:$W$505,CO$3,実績!$AI$6:$AI$505,"&lt;="&amp;$A46,実績!$AJ$6:$AJ$505,"&gt;"&amp;$A46,実績!$AK$6:$AK$505,"○")&gt;0,1,0))</f>
        <v>0</v>
      </c>
      <c r="CP46" s="39" t="n">
        <f aca="false">IF(CP$4=0,0,IF(COUNTIFS(実績!$W$6:$W$505,CP$3,実績!$AI$6:$AI$505,"&lt;="&amp;$A46,実績!$AJ$6:$AJ$505,"&gt;"&amp;$A46,実績!$AK$6:$AK$505,"○")&gt;0,1,0))</f>
        <v>0</v>
      </c>
      <c r="CQ46" s="39" t="n">
        <f aca="false">IF(CQ$4=0,0,IF(COUNTIFS(実績!$W$6:$W$505,CQ$3,実績!$AI$6:$AI$505,"&lt;="&amp;$A46,実績!$AJ$6:$AJ$505,"&gt;"&amp;$A46,実績!$AK$6:$AK$505,"○")&gt;0,1,0))</f>
        <v>0</v>
      </c>
      <c r="CR46" s="39" t="n">
        <f aca="false">IF(CR$4=0,0,IF(COUNTIFS(実績!$W$6:$W$505,CR$3,実績!$AI$6:$AI$505,"&lt;="&amp;$A46,実績!$AJ$6:$AJ$505,"&gt;"&amp;$A46,実績!$AK$6:$AK$505,"○")&gt;0,1,0))</f>
        <v>0</v>
      </c>
      <c r="CS46" s="39" t="n">
        <f aca="false">IF(CS$4=0,0,IF(COUNTIFS(実績!$W$6:$W$505,CS$3,実績!$AI$6:$AI$505,"&lt;="&amp;$A46,実績!$AJ$6:$AJ$505,"&gt;"&amp;$A46,実績!$AK$6:$AK$505,"○")&gt;0,1,0))</f>
        <v>0</v>
      </c>
      <c r="CT46" s="39" t="n">
        <f aca="false">IF(CT$4=0,0,IF(COUNTIFS(実績!$W$6:$W$505,CT$3,実績!$AI$6:$AI$505,"&lt;="&amp;$A46,実績!$AJ$6:$AJ$505,"&gt;"&amp;$A46,実績!$AK$6:$AK$505,"○")&gt;0,1,0))</f>
        <v>0</v>
      </c>
      <c r="CU46" s="39" t="n">
        <f aca="false">IF(CU$4=0,0,IF(COUNTIFS(実績!$W$6:$W$505,CU$3,実績!$AI$6:$AI$505,"&lt;="&amp;$A46,実績!$AJ$6:$AJ$505,"&gt;"&amp;$A46,実績!$AK$6:$AK$505,"○")&gt;0,1,0))</f>
        <v>0</v>
      </c>
      <c r="CV46" s="39" t="n">
        <f aca="false">IF(CV$4=0,0,IF(COUNTIFS(実績!$W$6:$W$505,CV$3,実績!$AI$6:$AI$505,"&lt;="&amp;$A46,実績!$AJ$6:$AJ$505,"&gt;"&amp;$A46,実績!$AK$6:$AK$505,"○")&gt;0,1,0))</f>
        <v>0</v>
      </c>
      <c r="CW46" s="39" t="n">
        <f aca="false">IF(CW$4=0,0,IF(COUNTIFS(実績!$W$6:$W$505,CW$3,実績!$AI$6:$AI$505,"&lt;="&amp;$A46,実績!$AJ$6:$AJ$505,"&gt;"&amp;$A46,実績!$AK$6:$AK$505,"○")&gt;0,1,0))</f>
        <v>0</v>
      </c>
      <c r="CX46" s="39" t="n">
        <f aca="false">IF(CX$4=0,0,IF(COUNTIFS(実績!$W$6:$W$505,CX$3,実績!$AI$6:$AI$505,"&lt;="&amp;$A46,実績!$AJ$6:$AJ$505,"&gt;"&amp;$A46,実績!$AK$6:$AK$505,"○")&gt;0,1,0))</f>
        <v>0</v>
      </c>
      <c r="CY46" s="39" t="n">
        <f aca="false">IF(CY$4=0,0,IF(COUNTIFS(実績!$W$6:$W$505,CY$3,実績!$AI$6:$AI$505,"&lt;="&amp;$A46,実績!$AJ$6:$AJ$505,"&gt;"&amp;$A46,実績!$AK$6:$AK$505,"○")&gt;0,1,0))</f>
        <v>0</v>
      </c>
      <c r="CZ46" s="39" t="n">
        <f aca="false">IF(CZ$4=0,0,IF(COUNTIFS(実績!$W$6:$W$505,CZ$3,実績!$AI$6:$AI$505,"&lt;="&amp;$A46,実績!$AJ$6:$AJ$505,"&gt;"&amp;$A46,実績!$AK$6:$AK$505,"○")&gt;0,1,0))</f>
        <v>0</v>
      </c>
      <c r="DA46" s="39" t="n">
        <f aca="false">IF(DA$4=0,0,IF(COUNTIFS(実績!$W$6:$W$505,DA$3,実績!$AI$6:$AI$505,"&lt;="&amp;$A46,実績!$AJ$6:$AJ$505,"&gt;"&amp;$A46,実績!$AK$6:$AK$505,"○")&gt;0,1,0))</f>
        <v>0</v>
      </c>
      <c r="DB46" s="39" t="n">
        <f aca="false">IF(DB$4=0,0,IF(COUNTIFS(実績!$W$6:$W$505,DB$3,実績!$AI$6:$AI$505,"&lt;="&amp;$A46,実績!$AJ$6:$AJ$505,"&gt;"&amp;$A46,実績!$AK$6:$AK$505,"○")&gt;0,1,0))</f>
        <v>0</v>
      </c>
      <c r="DC46" s="39" t="n">
        <f aca="false">IF(DC$4=0,0,IF(COUNTIFS(実績!$W$6:$W$505,DC$3,実績!$AI$6:$AI$505,"&lt;="&amp;$A46,実績!$AJ$6:$AJ$505,"&gt;"&amp;$A46,実績!$AK$6:$AK$505,"○")&gt;0,1,0))</f>
        <v>0</v>
      </c>
      <c r="DD46" s="39" t="n">
        <f aca="false">IF(DD$4=0,0,IF(COUNTIFS(実績!$W$6:$W$505,DD$3,実績!$AI$6:$AI$505,"&lt;="&amp;$A46,実績!$AJ$6:$AJ$505,"&gt;"&amp;$A46,実績!$AK$6:$AK$505,"○")&gt;0,1,0))</f>
        <v>0</v>
      </c>
      <c r="DE46" s="39" t="n">
        <f aca="false">IF(DE$4=0,0,IF(COUNTIFS(実績!$W$6:$W$505,DE$3,実績!$AI$6:$AI$505,"&lt;="&amp;$A46,実績!$AJ$6:$AJ$505,"&gt;"&amp;$A46,実績!$AK$6:$AK$505,"○")&gt;0,1,0))</f>
        <v>0</v>
      </c>
      <c r="DF46" s="39" t="n">
        <f aca="false">IF(DF$4=0,0,IF(COUNTIFS(実績!$W$6:$W$505,DF$3,実績!$AI$6:$AI$505,"&lt;="&amp;$A46,実績!$AJ$6:$AJ$505,"&gt;"&amp;$A46,実績!$AK$6:$AK$505,"○")&gt;0,1,0))</f>
        <v>0</v>
      </c>
      <c r="DG46" s="39" t="n">
        <f aca="false">IF(DG$4=0,0,IF(COUNTIFS(実績!$W$6:$W$505,DG$3,実績!$AI$6:$AI$505,"&lt;="&amp;$A46,実績!$AJ$6:$AJ$505,"&gt;"&amp;$A46,実績!$AK$6:$AK$505,"○")&gt;0,1,0))</f>
        <v>0</v>
      </c>
      <c r="DH46" s="39" t="n">
        <f aca="false">IF(DH$4=0,0,IF(COUNTIFS(実績!$W$6:$W$505,DH$3,実績!$AI$6:$AI$505,"&lt;="&amp;$A46,実績!$AJ$6:$AJ$505,"&gt;"&amp;$A46,実績!$AK$6:$AK$505,"○")&gt;0,1,0))</f>
        <v>0</v>
      </c>
      <c r="DI46" s="39" t="n">
        <f aca="false">IF(DI$4=0,0,IF(COUNTIFS(実績!$W$6:$W$505,DI$3,実績!$AI$6:$AI$505,"&lt;="&amp;$A46,実績!$AJ$6:$AJ$505,"&gt;"&amp;$A46,実績!$AK$6:$AK$505,"○")&gt;0,1,0))</f>
        <v>0</v>
      </c>
      <c r="DJ46" s="39" t="n">
        <f aca="false">IF(DJ$4=0,0,IF(COUNTIFS(実績!$W$6:$W$505,DJ$3,実績!$AI$6:$AI$505,"&lt;="&amp;$A46,実績!$AJ$6:$AJ$505,"&gt;"&amp;$A46,実績!$AK$6:$AK$505,"○")&gt;0,1,0))</f>
        <v>0</v>
      </c>
      <c r="DK46" s="39" t="n">
        <f aca="false">IF(DK$4=0,0,IF(COUNTIFS(実績!$W$6:$W$505,DK$3,実績!$AI$6:$AI$505,"&lt;="&amp;$A46,実績!$AJ$6:$AJ$505,"&gt;"&amp;$A46,実績!$AK$6:$AK$505,"○")&gt;0,1,0))</f>
        <v>0</v>
      </c>
      <c r="DL46" s="39" t="n">
        <f aca="false">IF(DL$4=0,0,IF(COUNTIFS(実績!$W$6:$W$505,DL$3,実績!$AI$6:$AI$505,"&lt;="&amp;$A46,実績!$AJ$6:$AJ$505,"&gt;"&amp;$A46,実績!$AK$6:$AK$505,"○")&gt;0,1,0))</f>
        <v>0</v>
      </c>
      <c r="DM46" s="39" t="n">
        <f aca="false">IF(DM$4=0,0,IF(COUNTIFS(実績!$W$6:$W$505,DM$3,実績!$AI$6:$AI$505,"&lt;="&amp;$A46,実績!$AJ$6:$AJ$505,"&gt;"&amp;$A46,実績!$AK$6:$AK$505,"○")&gt;0,1,0))</f>
        <v>0</v>
      </c>
      <c r="DN46" s="39" t="n">
        <f aca="false">IF(DN$4=0,0,IF(COUNTIFS(実績!$W$6:$W$505,DN$3,実績!$AI$6:$AI$505,"&lt;="&amp;$A46,実績!$AJ$6:$AJ$505,"&gt;"&amp;$A46,実績!$AK$6:$AK$505,"○")&gt;0,1,0))</f>
        <v>0</v>
      </c>
      <c r="DO46" s="39" t="n">
        <f aca="false">IF(DO$4=0,0,IF(COUNTIFS(実績!$W$6:$W$505,DO$3,実績!$AI$6:$AI$505,"&lt;="&amp;$A46,実績!$AJ$6:$AJ$505,"&gt;"&amp;$A46,実績!$AK$6:$AK$505,"○")&gt;0,1,0))</f>
        <v>0</v>
      </c>
      <c r="DP46" s="39" t="n">
        <f aca="false">IF(DP$4=0,0,IF(COUNTIFS(実績!$W$6:$W$505,DP$3,実績!$AI$6:$AI$505,"&lt;="&amp;$A46,実績!$AJ$6:$AJ$505,"&gt;"&amp;$A46,実績!$AK$6:$AK$505,"○")&gt;0,1,0))</f>
        <v>0</v>
      </c>
      <c r="DQ46" s="39" t="n">
        <f aca="false">IF(DQ$4=0,0,IF(COUNTIFS(実績!$W$6:$W$505,DQ$3,実績!$AI$6:$AI$505,"&lt;="&amp;$A46,実績!$AJ$6:$AJ$505,"&gt;"&amp;$A46,実績!$AK$6:$AK$505,"○")&gt;0,1,0))</f>
        <v>0</v>
      </c>
      <c r="DR46" s="39" t="n">
        <f aca="false">IF(DR$4=0,0,IF(COUNTIFS(実績!$W$6:$W$505,DR$3,実績!$AI$6:$AI$505,"&lt;="&amp;$A46,実績!$AJ$6:$AJ$505,"&gt;"&amp;$A46,実績!$AK$6:$AK$505,"○")&gt;0,1,0))</f>
        <v>0</v>
      </c>
      <c r="DS46" s="39" t="n">
        <f aca="false">SUM(C46:DR46)</f>
        <v>0</v>
      </c>
      <c r="DT46" s="39" t="n">
        <f aca="false">SUMPRODUCT((実績!$C$6:$C$505="○")*ISNUMBER(実績!$AM$6:$AM$505)*(実績!$AM$6:$AM$505&lt;=$A46)*(実績!$AN$6:$AN$505&gt;$A46))</f>
        <v>0</v>
      </c>
      <c r="DU46" s="39" t="n">
        <f aca="false">SUMIF($C$2:$DR$2,"製鉄曳船",C46:DR46)</f>
        <v>0</v>
      </c>
      <c r="DV46" s="39" t="n">
        <f aca="false">SUMIF($C$2:$DR$2,"西日本海運",C46:DR46)</f>
        <v>0</v>
      </c>
    </row>
    <row r="47" customFormat="false" ht="15" hidden="false" customHeight="false" outlineLevel="0" collapsed="false">
      <c r="A47" s="0" t="n">
        <v>205</v>
      </c>
      <c r="B47" s="38" t="n">
        <f aca="false">A47/1440</f>
        <v>0.142361111111111</v>
      </c>
      <c r="C47" s="39" t="n">
        <f aca="false">IF(C$4=0,0,IF(COUNTIFS(実績!$W$6:$W$505,C$3,実績!$AI$6:$AI$505,"&lt;="&amp;$A47,実績!$AJ$6:$AJ$505,"&gt;"&amp;$A47,実績!$AK$6:$AK$505,"○")&gt;0,1,0))</f>
        <v>0</v>
      </c>
      <c r="D47" s="39" t="n">
        <f aca="false">IF(D$4=0,0,IF(COUNTIFS(実績!$W$6:$W$505,D$3,実績!$AI$6:$AI$505,"&lt;="&amp;$A47,実績!$AJ$6:$AJ$505,"&gt;"&amp;$A47,実績!$AK$6:$AK$505,"○")&gt;0,1,0))</f>
        <v>0</v>
      </c>
      <c r="E47" s="39" t="n">
        <f aca="false">IF(E$4=0,0,IF(COUNTIFS(実績!$W$6:$W$505,E$3,実績!$AI$6:$AI$505,"&lt;="&amp;$A47,実績!$AJ$6:$AJ$505,"&gt;"&amp;$A47,実績!$AK$6:$AK$505,"○")&gt;0,1,0))</f>
        <v>0</v>
      </c>
      <c r="F47" s="39" t="n">
        <f aca="false">IF(F$4=0,0,IF(COUNTIFS(実績!$W$6:$W$505,F$3,実績!$AI$6:$AI$505,"&lt;="&amp;$A47,実績!$AJ$6:$AJ$505,"&gt;"&amp;$A47,実績!$AK$6:$AK$505,"○")&gt;0,1,0))</f>
        <v>0</v>
      </c>
      <c r="G47" s="39" t="n">
        <f aca="false">IF(G$4=0,0,IF(COUNTIFS(実績!$W$6:$W$505,G$3,実績!$AI$6:$AI$505,"&lt;="&amp;$A47,実績!$AJ$6:$AJ$505,"&gt;"&amp;$A47,実績!$AK$6:$AK$505,"○")&gt;0,1,0))</f>
        <v>0</v>
      </c>
      <c r="H47" s="39" t="n">
        <f aca="false">IF(H$4=0,0,IF(COUNTIFS(実績!$W$6:$W$505,H$3,実績!$AI$6:$AI$505,"&lt;="&amp;$A47,実績!$AJ$6:$AJ$505,"&gt;"&amp;$A47,実績!$AK$6:$AK$505,"○")&gt;0,1,0))</f>
        <v>0</v>
      </c>
      <c r="I47" s="39" t="n">
        <f aca="false">IF(I$4=0,0,IF(COUNTIFS(実績!$W$6:$W$505,I$3,実績!$AI$6:$AI$505,"&lt;="&amp;$A47,実績!$AJ$6:$AJ$505,"&gt;"&amp;$A47,実績!$AK$6:$AK$505,"○")&gt;0,1,0))</f>
        <v>0</v>
      </c>
      <c r="J47" s="39" t="n">
        <f aca="false">IF(J$4=0,0,IF(COUNTIFS(実績!$W$6:$W$505,J$3,実績!$AI$6:$AI$505,"&lt;="&amp;$A47,実績!$AJ$6:$AJ$505,"&gt;"&amp;$A47,実績!$AK$6:$AK$505,"○")&gt;0,1,0))</f>
        <v>0</v>
      </c>
      <c r="K47" s="39" t="n">
        <f aca="false">IF(K$4=0,0,IF(COUNTIFS(実績!$W$6:$W$505,K$3,実績!$AI$6:$AI$505,"&lt;="&amp;$A47,実績!$AJ$6:$AJ$505,"&gt;"&amp;$A47,実績!$AK$6:$AK$505,"○")&gt;0,1,0))</f>
        <v>0</v>
      </c>
      <c r="L47" s="39" t="n">
        <f aca="false">IF(L$4=0,0,IF(COUNTIFS(実績!$W$6:$W$505,L$3,実績!$AI$6:$AI$505,"&lt;="&amp;$A47,実績!$AJ$6:$AJ$505,"&gt;"&amp;$A47,実績!$AK$6:$AK$505,"○")&gt;0,1,0))</f>
        <v>0</v>
      </c>
      <c r="M47" s="39" t="n">
        <f aca="false">IF(M$4=0,0,IF(COUNTIFS(実績!$W$6:$W$505,M$3,実績!$AI$6:$AI$505,"&lt;="&amp;$A47,実績!$AJ$6:$AJ$505,"&gt;"&amp;$A47,実績!$AK$6:$AK$505,"○")&gt;0,1,0))</f>
        <v>0</v>
      </c>
      <c r="N47" s="39" t="n">
        <f aca="false">IF(N$4=0,0,IF(COUNTIFS(実績!$W$6:$W$505,N$3,実績!$AI$6:$AI$505,"&lt;="&amp;$A47,実績!$AJ$6:$AJ$505,"&gt;"&amp;$A47,実績!$AK$6:$AK$505,"○")&gt;0,1,0))</f>
        <v>0</v>
      </c>
      <c r="O47" s="39" t="n">
        <f aca="false">IF(O$4=0,0,IF(COUNTIFS(実績!$W$6:$W$505,O$3,実績!$AI$6:$AI$505,"&lt;="&amp;$A47,実績!$AJ$6:$AJ$505,"&gt;"&amp;$A47,実績!$AK$6:$AK$505,"○")&gt;0,1,0))</f>
        <v>0</v>
      </c>
      <c r="P47" s="39" t="n">
        <f aca="false">IF(P$4=0,0,IF(COUNTIFS(実績!$W$6:$W$505,P$3,実績!$AI$6:$AI$505,"&lt;="&amp;$A47,実績!$AJ$6:$AJ$505,"&gt;"&amp;$A47,実績!$AK$6:$AK$505,"○")&gt;0,1,0))</f>
        <v>0</v>
      </c>
      <c r="Q47" s="39" t="n">
        <f aca="false">IF(Q$4=0,0,IF(COUNTIFS(実績!$W$6:$W$505,Q$3,実績!$AI$6:$AI$505,"&lt;="&amp;$A47,実績!$AJ$6:$AJ$505,"&gt;"&amp;$A47,実績!$AK$6:$AK$505,"○")&gt;0,1,0))</f>
        <v>0</v>
      </c>
      <c r="R47" s="39" t="n">
        <f aca="false">IF(R$4=0,0,IF(COUNTIFS(実績!$W$6:$W$505,R$3,実績!$AI$6:$AI$505,"&lt;="&amp;$A47,実績!$AJ$6:$AJ$505,"&gt;"&amp;$A47,実績!$AK$6:$AK$505,"○")&gt;0,1,0))</f>
        <v>0</v>
      </c>
      <c r="S47" s="39" t="n">
        <f aca="false">IF(S$4=0,0,IF(COUNTIFS(実績!$W$6:$W$505,S$3,実績!$AI$6:$AI$505,"&lt;="&amp;$A47,実績!$AJ$6:$AJ$505,"&gt;"&amp;$A47,実績!$AK$6:$AK$505,"○")&gt;0,1,0))</f>
        <v>0</v>
      </c>
      <c r="T47" s="39" t="n">
        <f aca="false">IF(T$4=0,0,IF(COUNTIFS(実績!$W$6:$W$505,T$3,実績!$AI$6:$AI$505,"&lt;="&amp;$A47,実績!$AJ$6:$AJ$505,"&gt;"&amp;$A47,実績!$AK$6:$AK$505,"○")&gt;0,1,0))</f>
        <v>0</v>
      </c>
      <c r="U47" s="39" t="n">
        <f aca="false">IF(U$4=0,0,IF(COUNTIFS(実績!$W$6:$W$505,U$3,実績!$AI$6:$AI$505,"&lt;="&amp;$A47,実績!$AJ$6:$AJ$505,"&gt;"&amp;$A47,実績!$AK$6:$AK$505,"○")&gt;0,1,0))</f>
        <v>0</v>
      </c>
      <c r="V47" s="39" t="n">
        <f aca="false">IF(V$4=0,0,IF(COUNTIFS(実績!$W$6:$W$505,V$3,実績!$AI$6:$AI$505,"&lt;="&amp;$A47,実績!$AJ$6:$AJ$505,"&gt;"&amp;$A47,実績!$AK$6:$AK$505,"○")&gt;0,1,0))</f>
        <v>0</v>
      </c>
      <c r="W47" s="39" t="n">
        <f aca="false">IF(W$4=0,0,IF(COUNTIFS(実績!$W$6:$W$505,W$3,実績!$AI$6:$AI$505,"&lt;="&amp;$A47,実績!$AJ$6:$AJ$505,"&gt;"&amp;$A47,実績!$AK$6:$AK$505,"○")&gt;0,1,0))</f>
        <v>0</v>
      </c>
      <c r="X47" s="39" t="n">
        <f aca="false">IF(X$4=0,0,IF(COUNTIFS(実績!$W$6:$W$505,X$3,実績!$AI$6:$AI$505,"&lt;="&amp;$A47,実績!$AJ$6:$AJ$505,"&gt;"&amp;$A47,実績!$AK$6:$AK$505,"○")&gt;0,1,0))</f>
        <v>0</v>
      </c>
      <c r="Y47" s="39" t="n">
        <f aca="false">IF(Y$4=0,0,IF(COUNTIFS(実績!$W$6:$W$505,Y$3,実績!$AI$6:$AI$505,"&lt;="&amp;$A47,実績!$AJ$6:$AJ$505,"&gt;"&amp;$A47,実績!$AK$6:$AK$505,"○")&gt;0,1,0))</f>
        <v>0</v>
      </c>
      <c r="Z47" s="39" t="n">
        <f aca="false">IF(Z$4=0,0,IF(COUNTIFS(実績!$W$6:$W$505,Z$3,実績!$AI$6:$AI$505,"&lt;="&amp;$A47,実績!$AJ$6:$AJ$505,"&gt;"&amp;$A47,実績!$AK$6:$AK$505,"○")&gt;0,1,0))</f>
        <v>0</v>
      </c>
      <c r="AA47" s="39" t="n">
        <f aca="false">IF(AA$4=0,0,IF(COUNTIFS(実績!$W$6:$W$505,AA$3,実績!$AI$6:$AI$505,"&lt;="&amp;$A47,実績!$AJ$6:$AJ$505,"&gt;"&amp;$A47,実績!$AK$6:$AK$505,"○")&gt;0,1,0))</f>
        <v>0</v>
      </c>
      <c r="AB47" s="39" t="n">
        <f aca="false">IF(AB$4=0,0,IF(COUNTIFS(実績!$W$6:$W$505,AB$3,実績!$AI$6:$AI$505,"&lt;="&amp;$A47,実績!$AJ$6:$AJ$505,"&gt;"&amp;$A47,実績!$AK$6:$AK$505,"○")&gt;0,1,0))</f>
        <v>0</v>
      </c>
      <c r="AC47" s="39" t="n">
        <f aca="false">IF(AC$4=0,0,IF(COUNTIFS(実績!$W$6:$W$505,AC$3,実績!$AI$6:$AI$505,"&lt;="&amp;$A47,実績!$AJ$6:$AJ$505,"&gt;"&amp;$A47,実績!$AK$6:$AK$505,"○")&gt;0,1,0))</f>
        <v>0</v>
      </c>
      <c r="AD47" s="39" t="n">
        <f aca="false">IF(AD$4=0,0,IF(COUNTIFS(実績!$W$6:$W$505,AD$3,実績!$AI$6:$AI$505,"&lt;="&amp;$A47,実績!$AJ$6:$AJ$505,"&gt;"&amp;$A47,実績!$AK$6:$AK$505,"○")&gt;0,1,0))</f>
        <v>0</v>
      </c>
      <c r="AE47" s="39" t="n">
        <f aca="false">IF(AE$4=0,0,IF(COUNTIFS(実績!$W$6:$W$505,AE$3,実績!$AI$6:$AI$505,"&lt;="&amp;$A47,実績!$AJ$6:$AJ$505,"&gt;"&amp;$A47,実績!$AK$6:$AK$505,"○")&gt;0,1,0))</f>
        <v>0</v>
      </c>
      <c r="AF47" s="39" t="n">
        <f aca="false">IF(AF$4=0,0,IF(COUNTIFS(実績!$W$6:$W$505,AF$3,実績!$AI$6:$AI$505,"&lt;="&amp;$A47,実績!$AJ$6:$AJ$505,"&gt;"&amp;$A47,実績!$AK$6:$AK$505,"○")&gt;0,1,0))</f>
        <v>0</v>
      </c>
      <c r="AG47" s="39" t="n">
        <f aca="false">IF(AG$4=0,0,IF(COUNTIFS(実績!$W$6:$W$505,AG$3,実績!$AI$6:$AI$505,"&lt;="&amp;$A47,実績!$AJ$6:$AJ$505,"&gt;"&amp;$A47,実績!$AK$6:$AK$505,"○")&gt;0,1,0))</f>
        <v>0</v>
      </c>
      <c r="AH47" s="39" t="n">
        <f aca="false">IF(AH$4=0,0,IF(COUNTIFS(実績!$W$6:$W$505,AH$3,実績!$AI$6:$AI$505,"&lt;="&amp;$A47,実績!$AJ$6:$AJ$505,"&gt;"&amp;$A47,実績!$AK$6:$AK$505,"○")&gt;0,1,0))</f>
        <v>0</v>
      </c>
      <c r="AI47" s="39" t="n">
        <f aca="false">IF(AI$4=0,0,IF(COUNTIFS(実績!$W$6:$W$505,AI$3,実績!$AI$6:$AI$505,"&lt;="&amp;$A47,実績!$AJ$6:$AJ$505,"&gt;"&amp;$A47,実績!$AK$6:$AK$505,"○")&gt;0,1,0))</f>
        <v>0</v>
      </c>
      <c r="AJ47" s="39" t="n">
        <f aca="false">IF(AJ$4=0,0,IF(COUNTIFS(実績!$W$6:$W$505,AJ$3,実績!$AI$6:$AI$505,"&lt;="&amp;$A47,実績!$AJ$6:$AJ$505,"&gt;"&amp;$A47,実績!$AK$6:$AK$505,"○")&gt;0,1,0))</f>
        <v>0</v>
      </c>
      <c r="AK47" s="39" t="n">
        <f aca="false">IF(AK$4=0,0,IF(COUNTIFS(実績!$W$6:$W$505,AK$3,実績!$AI$6:$AI$505,"&lt;="&amp;$A47,実績!$AJ$6:$AJ$505,"&gt;"&amp;$A47,実績!$AK$6:$AK$505,"○")&gt;0,1,0))</f>
        <v>0</v>
      </c>
      <c r="AL47" s="39" t="n">
        <f aca="false">IF(AL$4=0,0,IF(COUNTIFS(実績!$W$6:$W$505,AL$3,実績!$AI$6:$AI$505,"&lt;="&amp;$A47,実績!$AJ$6:$AJ$505,"&gt;"&amp;$A47,実績!$AK$6:$AK$505,"○")&gt;0,1,0))</f>
        <v>0</v>
      </c>
      <c r="AM47" s="39" t="n">
        <f aca="false">IF(AM$4=0,0,IF(COUNTIFS(実績!$W$6:$W$505,AM$3,実績!$AI$6:$AI$505,"&lt;="&amp;$A47,実績!$AJ$6:$AJ$505,"&gt;"&amp;$A47,実績!$AK$6:$AK$505,"○")&gt;0,1,0))</f>
        <v>0</v>
      </c>
      <c r="AN47" s="39" t="n">
        <f aca="false">IF(AN$4=0,0,IF(COUNTIFS(実績!$W$6:$W$505,AN$3,実績!$AI$6:$AI$505,"&lt;="&amp;$A47,実績!$AJ$6:$AJ$505,"&gt;"&amp;$A47,実績!$AK$6:$AK$505,"○")&gt;0,1,0))</f>
        <v>0</v>
      </c>
      <c r="AO47" s="39" t="n">
        <f aca="false">IF(AO$4=0,0,IF(COUNTIFS(実績!$W$6:$W$505,AO$3,実績!$AI$6:$AI$505,"&lt;="&amp;$A47,実績!$AJ$6:$AJ$505,"&gt;"&amp;$A47,実績!$AK$6:$AK$505,"○")&gt;0,1,0))</f>
        <v>0</v>
      </c>
      <c r="AP47" s="39" t="n">
        <f aca="false">IF(AP$4=0,0,IF(COUNTIFS(実績!$W$6:$W$505,AP$3,実績!$AI$6:$AI$505,"&lt;="&amp;$A47,実績!$AJ$6:$AJ$505,"&gt;"&amp;$A47,実績!$AK$6:$AK$505,"○")&gt;0,1,0))</f>
        <v>0</v>
      </c>
      <c r="AQ47" s="39" t="n">
        <f aca="false">IF(AQ$4=0,0,IF(COUNTIFS(実績!$W$6:$W$505,AQ$3,実績!$AI$6:$AI$505,"&lt;="&amp;$A47,実績!$AJ$6:$AJ$505,"&gt;"&amp;$A47,実績!$AK$6:$AK$505,"○")&gt;0,1,0))</f>
        <v>0</v>
      </c>
      <c r="AR47" s="39" t="n">
        <f aca="false">IF(AR$4=0,0,IF(COUNTIFS(実績!$W$6:$W$505,AR$3,実績!$AI$6:$AI$505,"&lt;="&amp;$A47,実績!$AJ$6:$AJ$505,"&gt;"&amp;$A47,実績!$AK$6:$AK$505,"○")&gt;0,1,0))</f>
        <v>0</v>
      </c>
      <c r="AS47" s="39" t="n">
        <f aca="false">IF(AS$4=0,0,IF(COUNTIFS(実績!$W$6:$W$505,AS$3,実績!$AI$6:$AI$505,"&lt;="&amp;$A47,実績!$AJ$6:$AJ$505,"&gt;"&amp;$A47,実績!$AK$6:$AK$505,"○")&gt;0,1,0))</f>
        <v>0</v>
      </c>
      <c r="AT47" s="39" t="n">
        <f aca="false">IF(AT$4=0,0,IF(COUNTIFS(実績!$W$6:$W$505,AT$3,実績!$AI$6:$AI$505,"&lt;="&amp;$A47,実績!$AJ$6:$AJ$505,"&gt;"&amp;$A47,実績!$AK$6:$AK$505,"○")&gt;0,1,0))</f>
        <v>0</v>
      </c>
      <c r="AU47" s="39" t="n">
        <f aca="false">IF(AU$4=0,0,IF(COUNTIFS(実績!$W$6:$W$505,AU$3,実績!$AI$6:$AI$505,"&lt;="&amp;$A47,実績!$AJ$6:$AJ$505,"&gt;"&amp;$A47,実績!$AK$6:$AK$505,"○")&gt;0,1,0))</f>
        <v>0</v>
      </c>
      <c r="AV47" s="39" t="n">
        <f aca="false">IF(AV$4=0,0,IF(COUNTIFS(実績!$W$6:$W$505,AV$3,実績!$AI$6:$AI$505,"&lt;="&amp;$A47,実績!$AJ$6:$AJ$505,"&gt;"&amp;$A47,実績!$AK$6:$AK$505,"○")&gt;0,1,0))</f>
        <v>0</v>
      </c>
      <c r="AW47" s="39" t="n">
        <f aca="false">IF(AW$4=0,0,IF(COUNTIFS(実績!$W$6:$W$505,AW$3,実績!$AI$6:$AI$505,"&lt;="&amp;$A47,実績!$AJ$6:$AJ$505,"&gt;"&amp;$A47,実績!$AK$6:$AK$505,"○")&gt;0,1,0))</f>
        <v>0</v>
      </c>
      <c r="AX47" s="39" t="n">
        <f aca="false">IF(AX$4=0,0,IF(COUNTIFS(実績!$W$6:$W$505,AX$3,実績!$AI$6:$AI$505,"&lt;="&amp;$A47,実績!$AJ$6:$AJ$505,"&gt;"&amp;$A47,実績!$AK$6:$AK$505,"○")&gt;0,1,0))</f>
        <v>0</v>
      </c>
      <c r="AY47" s="39" t="n">
        <f aca="false">IF(AY$4=0,0,IF(COUNTIFS(実績!$W$6:$W$505,AY$3,実績!$AI$6:$AI$505,"&lt;="&amp;$A47,実績!$AJ$6:$AJ$505,"&gt;"&amp;$A47,実績!$AK$6:$AK$505,"○")&gt;0,1,0))</f>
        <v>0</v>
      </c>
      <c r="AZ47" s="39" t="n">
        <f aca="false">IF(AZ$4=0,0,IF(COUNTIFS(実績!$W$6:$W$505,AZ$3,実績!$AI$6:$AI$505,"&lt;="&amp;$A47,実績!$AJ$6:$AJ$505,"&gt;"&amp;$A47,実績!$AK$6:$AK$505,"○")&gt;0,1,0))</f>
        <v>0</v>
      </c>
      <c r="BA47" s="39" t="n">
        <f aca="false">IF(BA$4=0,0,IF(COUNTIFS(実績!$W$6:$W$505,BA$3,実績!$AI$6:$AI$505,"&lt;="&amp;$A47,実績!$AJ$6:$AJ$505,"&gt;"&amp;$A47,実績!$AK$6:$AK$505,"○")&gt;0,1,0))</f>
        <v>0</v>
      </c>
      <c r="BB47" s="39" t="n">
        <f aca="false">IF(BB$4=0,0,IF(COUNTIFS(実績!$W$6:$W$505,BB$3,実績!$AI$6:$AI$505,"&lt;="&amp;$A47,実績!$AJ$6:$AJ$505,"&gt;"&amp;$A47,実績!$AK$6:$AK$505,"○")&gt;0,1,0))</f>
        <v>0</v>
      </c>
      <c r="BC47" s="39" t="n">
        <f aca="false">IF(BC$4=0,0,IF(COUNTIFS(実績!$W$6:$W$505,BC$3,実績!$AI$6:$AI$505,"&lt;="&amp;$A47,実績!$AJ$6:$AJ$505,"&gt;"&amp;$A47,実績!$AK$6:$AK$505,"○")&gt;0,1,0))</f>
        <v>0</v>
      </c>
      <c r="BD47" s="39" t="n">
        <f aca="false">IF(BD$4=0,0,IF(COUNTIFS(実績!$W$6:$W$505,BD$3,実績!$AI$6:$AI$505,"&lt;="&amp;$A47,実績!$AJ$6:$AJ$505,"&gt;"&amp;$A47,実績!$AK$6:$AK$505,"○")&gt;0,1,0))</f>
        <v>0</v>
      </c>
      <c r="BE47" s="39" t="n">
        <f aca="false">IF(BE$4=0,0,IF(COUNTIFS(実績!$W$6:$W$505,BE$3,実績!$AI$6:$AI$505,"&lt;="&amp;$A47,実績!$AJ$6:$AJ$505,"&gt;"&amp;$A47,実績!$AK$6:$AK$505,"○")&gt;0,1,0))</f>
        <v>0</v>
      </c>
      <c r="BF47" s="39" t="n">
        <f aca="false">IF(BF$4=0,0,IF(COUNTIFS(実績!$W$6:$W$505,BF$3,実績!$AI$6:$AI$505,"&lt;="&amp;$A47,実績!$AJ$6:$AJ$505,"&gt;"&amp;$A47,実績!$AK$6:$AK$505,"○")&gt;0,1,0))</f>
        <v>0</v>
      </c>
      <c r="BG47" s="39" t="n">
        <f aca="false">IF(BG$4=0,0,IF(COUNTIFS(実績!$W$6:$W$505,BG$3,実績!$AI$6:$AI$505,"&lt;="&amp;$A47,実績!$AJ$6:$AJ$505,"&gt;"&amp;$A47,実績!$AK$6:$AK$505,"○")&gt;0,1,0))</f>
        <v>0</v>
      </c>
      <c r="BH47" s="39" t="n">
        <f aca="false">IF(BH$4=0,0,IF(COUNTIFS(実績!$W$6:$W$505,BH$3,実績!$AI$6:$AI$505,"&lt;="&amp;$A47,実績!$AJ$6:$AJ$505,"&gt;"&amp;$A47,実績!$AK$6:$AK$505,"○")&gt;0,1,0))</f>
        <v>0</v>
      </c>
      <c r="BI47" s="39" t="n">
        <f aca="false">IF(BI$4=0,0,IF(COUNTIFS(実績!$W$6:$W$505,BI$3,実績!$AI$6:$AI$505,"&lt;="&amp;$A47,実績!$AJ$6:$AJ$505,"&gt;"&amp;$A47,実績!$AK$6:$AK$505,"○")&gt;0,1,0))</f>
        <v>0</v>
      </c>
      <c r="BJ47" s="39" t="n">
        <f aca="false">IF(BJ$4=0,0,IF(COUNTIFS(実績!$W$6:$W$505,BJ$3,実績!$AI$6:$AI$505,"&lt;="&amp;$A47,実績!$AJ$6:$AJ$505,"&gt;"&amp;$A47,実績!$AK$6:$AK$505,"○")&gt;0,1,0))</f>
        <v>0</v>
      </c>
      <c r="BK47" s="39" t="n">
        <f aca="false">IF(BK$4=0,0,IF(COUNTIFS(実績!$W$6:$W$505,BK$3,実績!$AI$6:$AI$505,"&lt;="&amp;$A47,実績!$AJ$6:$AJ$505,"&gt;"&amp;$A47,実績!$AK$6:$AK$505,"○")&gt;0,1,0))</f>
        <v>0</v>
      </c>
      <c r="BL47" s="39" t="n">
        <f aca="false">IF(BL$4=0,0,IF(COUNTIFS(実績!$W$6:$W$505,BL$3,実績!$AI$6:$AI$505,"&lt;="&amp;$A47,実績!$AJ$6:$AJ$505,"&gt;"&amp;$A47,実績!$AK$6:$AK$505,"○")&gt;0,1,0))</f>
        <v>0</v>
      </c>
      <c r="BM47" s="39" t="n">
        <f aca="false">IF(BM$4=0,0,IF(COUNTIFS(実績!$W$6:$W$505,BM$3,実績!$AI$6:$AI$505,"&lt;="&amp;$A47,実績!$AJ$6:$AJ$505,"&gt;"&amp;$A47,実績!$AK$6:$AK$505,"○")&gt;0,1,0))</f>
        <v>0</v>
      </c>
      <c r="BN47" s="39" t="n">
        <f aca="false">IF(BN$4=0,0,IF(COUNTIFS(実績!$W$6:$W$505,BN$3,実績!$AI$6:$AI$505,"&lt;="&amp;$A47,実績!$AJ$6:$AJ$505,"&gt;"&amp;$A47,実績!$AK$6:$AK$505,"○")&gt;0,1,0))</f>
        <v>0</v>
      </c>
      <c r="BO47" s="39" t="n">
        <f aca="false">IF(BO$4=0,0,IF(COUNTIFS(実績!$W$6:$W$505,BO$3,実績!$AI$6:$AI$505,"&lt;="&amp;$A47,実績!$AJ$6:$AJ$505,"&gt;"&amp;$A47,実績!$AK$6:$AK$505,"○")&gt;0,1,0))</f>
        <v>0</v>
      </c>
      <c r="BP47" s="39" t="n">
        <f aca="false">IF(BP$4=0,0,IF(COUNTIFS(実績!$W$6:$W$505,BP$3,実績!$AI$6:$AI$505,"&lt;="&amp;$A47,実績!$AJ$6:$AJ$505,"&gt;"&amp;$A47,実績!$AK$6:$AK$505,"○")&gt;0,1,0))</f>
        <v>0</v>
      </c>
      <c r="BQ47" s="39" t="n">
        <f aca="false">IF(BQ$4=0,0,IF(COUNTIFS(実績!$W$6:$W$505,BQ$3,実績!$AI$6:$AI$505,"&lt;="&amp;$A47,実績!$AJ$6:$AJ$505,"&gt;"&amp;$A47,実績!$AK$6:$AK$505,"○")&gt;0,1,0))</f>
        <v>0</v>
      </c>
      <c r="BR47" s="39" t="n">
        <f aca="false">IF(BR$4=0,0,IF(COUNTIFS(実績!$W$6:$W$505,BR$3,実績!$AI$6:$AI$505,"&lt;="&amp;$A47,実績!$AJ$6:$AJ$505,"&gt;"&amp;$A47,実績!$AK$6:$AK$505,"○")&gt;0,1,0))</f>
        <v>0</v>
      </c>
      <c r="BS47" s="39" t="n">
        <f aca="false">IF(BS$4=0,0,IF(COUNTIFS(実績!$W$6:$W$505,BS$3,実績!$AI$6:$AI$505,"&lt;="&amp;$A47,実績!$AJ$6:$AJ$505,"&gt;"&amp;$A47,実績!$AK$6:$AK$505,"○")&gt;0,1,0))</f>
        <v>0</v>
      </c>
      <c r="BT47" s="39" t="n">
        <f aca="false">IF(BT$4=0,0,IF(COUNTIFS(実績!$W$6:$W$505,BT$3,実績!$AI$6:$AI$505,"&lt;="&amp;$A47,実績!$AJ$6:$AJ$505,"&gt;"&amp;$A47,実績!$AK$6:$AK$505,"○")&gt;0,1,0))</f>
        <v>0</v>
      </c>
      <c r="BU47" s="39" t="n">
        <f aca="false">IF(BU$4=0,0,IF(COUNTIFS(実績!$W$6:$W$505,BU$3,実績!$AI$6:$AI$505,"&lt;="&amp;$A47,実績!$AJ$6:$AJ$505,"&gt;"&amp;$A47,実績!$AK$6:$AK$505,"○")&gt;0,1,0))</f>
        <v>0</v>
      </c>
      <c r="BV47" s="39" t="n">
        <f aca="false">IF(BV$4=0,0,IF(COUNTIFS(実績!$W$6:$W$505,BV$3,実績!$AI$6:$AI$505,"&lt;="&amp;$A47,実績!$AJ$6:$AJ$505,"&gt;"&amp;$A47,実績!$AK$6:$AK$505,"○")&gt;0,1,0))</f>
        <v>0</v>
      </c>
      <c r="BW47" s="39" t="n">
        <f aca="false">IF(BW$4=0,0,IF(COUNTIFS(実績!$W$6:$W$505,BW$3,実績!$AI$6:$AI$505,"&lt;="&amp;$A47,実績!$AJ$6:$AJ$505,"&gt;"&amp;$A47,実績!$AK$6:$AK$505,"○")&gt;0,1,0))</f>
        <v>0</v>
      </c>
      <c r="BX47" s="39" t="n">
        <f aca="false">IF(BX$4=0,0,IF(COUNTIFS(実績!$W$6:$W$505,BX$3,実績!$AI$6:$AI$505,"&lt;="&amp;$A47,実績!$AJ$6:$AJ$505,"&gt;"&amp;$A47,実績!$AK$6:$AK$505,"○")&gt;0,1,0))</f>
        <v>0</v>
      </c>
      <c r="BY47" s="39" t="n">
        <f aca="false">IF(BY$4=0,0,IF(COUNTIFS(実績!$W$6:$W$505,BY$3,実績!$AI$6:$AI$505,"&lt;="&amp;$A47,実績!$AJ$6:$AJ$505,"&gt;"&amp;$A47,実績!$AK$6:$AK$505,"○")&gt;0,1,0))</f>
        <v>0</v>
      </c>
      <c r="BZ47" s="39" t="n">
        <f aca="false">IF(BZ$4=0,0,IF(COUNTIFS(実績!$W$6:$W$505,BZ$3,実績!$AI$6:$AI$505,"&lt;="&amp;$A47,実績!$AJ$6:$AJ$505,"&gt;"&amp;$A47,実績!$AK$6:$AK$505,"○")&gt;0,1,0))</f>
        <v>0</v>
      </c>
      <c r="CA47" s="39" t="n">
        <f aca="false">IF(CA$4=0,0,IF(COUNTIFS(実績!$W$6:$W$505,CA$3,実績!$AI$6:$AI$505,"&lt;="&amp;$A47,実績!$AJ$6:$AJ$505,"&gt;"&amp;$A47,実績!$AK$6:$AK$505,"○")&gt;0,1,0))</f>
        <v>0</v>
      </c>
      <c r="CB47" s="39" t="n">
        <f aca="false">IF(CB$4=0,0,IF(COUNTIFS(実績!$W$6:$W$505,CB$3,実績!$AI$6:$AI$505,"&lt;="&amp;$A47,実績!$AJ$6:$AJ$505,"&gt;"&amp;$A47,実績!$AK$6:$AK$505,"○")&gt;0,1,0))</f>
        <v>0</v>
      </c>
      <c r="CC47" s="39" t="n">
        <f aca="false">IF(CC$4=0,0,IF(COUNTIFS(実績!$W$6:$W$505,CC$3,実績!$AI$6:$AI$505,"&lt;="&amp;$A47,実績!$AJ$6:$AJ$505,"&gt;"&amp;$A47,実績!$AK$6:$AK$505,"○")&gt;0,1,0))</f>
        <v>0</v>
      </c>
      <c r="CD47" s="39" t="n">
        <f aca="false">IF(CD$4=0,0,IF(COUNTIFS(実績!$W$6:$W$505,CD$3,実績!$AI$6:$AI$505,"&lt;="&amp;$A47,実績!$AJ$6:$AJ$505,"&gt;"&amp;$A47,実績!$AK$6:$AK$505,"○")&gt;0,1,0))</f>
        <v>0</v>
      </c>
      <c r="CE47" s="39" t="n">
        <f aca="false">IF(CE$4=0,0,IF(COUNTIFS(実績!$W$6:$W$505,CE$3,実績!$AI$6:$AI$505,"&lt;="&amp;$A47,実績!$AJ$6:$AJ$505,"&gt;"&amp;$A47,実績!$AK$6:$AK$505,"○")&gt;0,1,0))</f>
        <v>0</v>
      </c>
      <c r="CF47" s="39" t="n">
        <f aca="false">IF(CF$4=0,0,IF(COUNTIFS(実績!$W$6:$W$505,CF$3,実績!$AI$6:$AI$505,"&lt;="&amp;$A47,実績!$AJ$6:$AJ$505,"&gt;"&amp;$A47,実績!$AK$6:$AK$505,"○")&gt;0,1,0))</f>
        <v>0</v>
      </c>
      <c r="CG47" s="39" t="n">
        <f aca="false">IF(CG$4=0,0,IF(COUNTIFS(実績!$W$6:$W$505,CG$3,実績!$AI$6:$AI$505,"&lt;="&amp;$A47,実績!$AJ$6:$AJ$505,"&gt;"&amp;$A47,実績!$AK$6:$AK$505,"○")&gt;0,1,0))</f>
        <v>0</v>
      </c>
      <c r="CH47" s="39" t="n">
        <f aca="false">IF(CH$4=0,0,IF(COUNTIFS(実績!$W$6:$W$505,CH$3,実績!$AI$6:$AI$505,"&lt;="&amp;$A47,実績!$AJ$6:$AJ$505,"&gt;"&amp;$A47,実績!$AK$6:$AK$505,"○")&gt;0,1,0))</f>
        <v>0</v>
      </c>
      <c r="CI47" s="39" t="n">
        <f aca="false">IF(CI$4=0,0,IF(COUNTIFS(実績!$W$6:$W$505,CI$3,実績!$AI$6:$AI$505,"&lt;="&amp;$A47,実績!$AJ$6:$AJ$505,"&gt;"&amp;$A47,実績!$AK$6:$AK$505,"○")&gt;0,1,0))</f>
        <v>0</v>
      </c>
      <c r="CJ47" s="39" t="n">
        <f aca="false">IF(CJ$4=0,0,IF(COUNTIFS(実績!$W$6:$W$505,CJ$3,実績!$AI$6:$AI$505,"&lt;="&amp;$A47,実績!$AJ$6:$AJ$505,"&gt;"&amp;$A47,実績!$AK$6:$AK$505,"○")&gt;0,1,0))</f>
        <v>0</v>
      </c>
      <c r="CK47" s="39" t="n">
        <f aca="false">IF(CK$4=0,0,IF(COUNTIFS(実績!$W$6:$W$505,CK$3,実績!$AI$6:$AI$505,"&lt;="&amp;$A47,実績!$AJ$6:$AJ$505,"&gt;"&amp;$A47,実績!$AK$6:$AK$505,"○")&gt;0,1,0))</f>
        <v>0</v>
      </c>
      <c r="CL47" s="39" t="n">
        <f aca="false">IF(CL$4=0,0,IF(COUNTIFS(実績!$W$6:$W$505,CL$3,実績!$AI$6:$AI$505,"&lt;="&amp;$A47,実績!$AJ$6:$AJ$505,"&gt;"&amp;$A47,実績!$AK$6:$AK$505,"○")&gt;0,1,0))</f>
        <v>0</v>
      </c>
      <c r="CM47" s="39" t="n">
        <f aca="false">IF(CM$4=0,0,IF(COUNTIFS(実績!$W$6:$W$505,CM$3,実績!$AI$6:$AI$505,"&lt;="&amp;$A47,実績!$AJ$6:$AJ$505,"&gt;"&amp;$A47,実績!$AK$6:$AK$505,"○")&gt;0,1,0))</f>
        <v>0</v>
      </c>
      <c r="CN47" s="39" t="n">
        <f aca="false">IF(CN$4=0,0,IF(COUNTIFS(実績!$W$6:$W$505,CN$3,実績!$AI$6:$AI$505,"&lt;="&amp;$A47,実績!$AJ$6:$AJ$505,"&gt;"&amp;$A47,実績!$AK$6:$AK$505,"○")&gt;0,1,0))</f>
        <v>0</v>
      </c>
      <c r="CO47" s="39" t="n">
        <f aca="false">IF(CO$4=0,0,IF(COUNTIFS(実績!$W$6:$W$505,CO$3,実績!$AI$6:$AI$505,"&lt;="&amp;$A47,実績!$AJ$6:$AJ$505,"&gt;"&amp;$A47,実績!$AK$6:$AK$505,"○")&gt;0,1,0))</f>
        <v>0</v>
      </c>
      <c r="CP47" s="39" t="n">
        <f aca="false">IF(CP$4=0,0,IF(COUNTIFS(実績!$W$6:$W$505,CP$3,実績!$AI$6:$AI$505,"&lt;="&amp;$A47,実績!$AJ$6:$AJ$505,"&gt;"&amp;$A47,実績!$AK$6:$AK$505,"○")&gt;0,1,0))</f>
        <v>0</v>
      </c>
      <c r="CQ47" s="39" t="n">
        <f aca="false">IF(CQ$4=0,0,IF(COUNTIFS(実績!$W$6:$W$505,CQ$3,実績!$AI$6:$AI$505,"&lt;="&amp;$A47,実績!$AJ$6:$AJ$505,"&gt;"&amp;$A47,実績!$AK$6:$AK$505,"○")&gt;0,1,0))</f>
        <v>0</v>
      </c>
      <c r="CR47" s="39" t="n">
        <f aca="false">IF(CR$4=0,0,IF(COUNTIFS(実績!$W$6:$W$505,CR$3,実績!$AI$6:$AI$505,"&lt;="&amp;$A47,実績!$AJ$6:$AJ$505,"&gt;"&amp;$A47,実績!$AK$6:$AK$505,"○")&gt;0,1,0))</f>
        <v>0</v>
      </c>
      <c r="CS47" s="39" t="n">
        <f aca="false">IF(CS$4=0,0,IF(COUNTIFS(実績!$W$6:$W$505,CS$3,実績!$AI$6:$AI$505,"&lt;="&amp;$A47,実績!$AJ$6:$AJ$505,"&gt;"&amp;$A47,実績!$AK$6:$AK$505,"○")&gt;0,1,0))</f>
        <v>0</v>
      </c>
      <c r="CT47" s="39" t="n">
        <f aca="false">IF(CT$4=0,0,IF(COUNTIFS(実績!$W$6:$W$505,CT$3,実績!$AI$6:$AI$505,"&lt;="&amp;$A47,実績!$AJ$6:$AJ$505,"&gt;"&amp;$A47,実績!$AK$6:$AK$505,"○")&gt;0,1,0))</f>
        <v>0</v>
      </c>
      <c r="CU47" s="39" t="n">
        <f aca="false">IF(CU$4=0,0,IF(COUNTIFS(実績!$W$6:$W$505,CU$3,実績!$AI$6:$AI$505,"&lt;="&amp;$A47,実績!$AJ$6:$AJ$505,"&gt;"&amp;$A47,実績!$AK$6:$AK$505,"○")&gt;0,1,0))</f>
        <v>0</v>
      </c>
      <c r="CV47" s="39" t="n">
        <f aca="false">IF(CV$4=0,0,IF(COUNTIFS(実績!$W$6:$W$505,CV$3,実績!$AI$6:$AI$505,"&lt;="&amp;$A47,実績!$AJ$6:$AJ$505,"&gt;"&amp;$A47,実績!$AK$6:$AK$505,"○")&gt;0,1,0))</f>
        <v>0</v>
      </c>
      <c r="CW47" s="39" t="n">
        <f aca="false">IF(CW$4=0,0,IF(COUNTIFS(実績!$W$6:$W$505,CW$3,実績!$AI$6:$AI$505,"&lt;="&amp;$A47,実績!$AJ$6:$AJ$505,"&gt;"&amp;$A47,実績!$AK$6:$AK$505,"○")&gt;0,1,0))</f>
        <v>0</v>
      </c>
      <c r="CX47" s="39" t="n">
        <f aca="false">IF(CX$4=0,0,IF(COUNTIFS(実績!$W$6:$W$505,CX$3,実績!$AI$6:$AI$505,"&lt;="&amp;$A47,実績!$AJ$6:$AJ$505,"&gt;"&amp;$A47,実績!$AK$6:$AK$505,"○")&gt;0,1,0))</f>
        <v>0</v>
      </c>
      <c r="CY47" s="39" t="n">
        <f aca="false">IF(CY$4=0,0,IF(COUNTIFS(実績!$W$6:$W$505,CY$3,実績!$AI$6:$AI$505,"&lt;="&amp;$A47,実績!$AJ$6:$AJ$505,"&gt;"&amp;$A47,実績!$AK$6:$AK$505,"○")&gt;0,1,0))</f>
        <v>0</v>
      </c>
      <c r="CZ47" s="39" t="n">
        <f aca="false">IF(CZ$4=0,0,IF(COUNTIFS(実績!$W$6:$W$505,CZ$3,実績!$AI$6:$AI$505,"&lt;="&amp;$A47,実績!$AJ$6:$AJ$505,"&gt;"&amp;$A47,実績!$AK$6:$AK$505,"○")&gt;0,1,0))</f>
        <v>0</v>
      </c>
      <c r="DA47" s="39" t="n">
        <f aca="false">IF(DA$4=0,0,IF(COUNTIFS(実績!$W$6:$W$505,DA$3,実績!$AI$6:$AI$505,"&lt;="&amp;$A47,実績!$AJ$6:$AJ$505,"&gt;"&amp;$A47,実績!$AK$6:$AK$505,"○")&gt;0,1,0))</f>
        <v>0</v>
      </c>
      <c r="DB47" s="39" t="n">
        <f aca="false">IF(DB$4=0,0,IF(COUNTIFS(実績!$W$6:$W$505,DB$3,実績!$AI$6:$AI$505,"&lt;="&amp;$A47,実績!$AJ$6:$AJ$505,"&gt;"&amp;$A47,実績!$AK$6:$AK$505,"○")&gt;0,1,0))</f>
        <v>0</v>
      </c>
      <c r="DC47" s="39" t="n">
        <f aca="false">IF(DC$4=0,0,IF(COUNTIFS(実績!$W$6:$W$505,DC$3,実績!$AI$6:$AI$505,"&lt;="&amp;$A47,実績!$AJ$6:$AJ$505,"&gt;"&amp;$A47,実績!$AK$6:$AK$505,"○")&gt;0,1,0))</f>
        <v>0</v>
      </c>
      <c r="DD47" s="39" t="n">
        <f aca="false">IF(DD$4=0,0,IF(COUNTIFS(実績!$W$6:$W$505,DD$3,実績!$AI$6:$AI$505,"&lt;="&amp;$A47,実績!$AJ$6:$AJ$505,"&gt;"&amp;$A47,実績!$AK$6:$AK$505,"○")&gt;0,1,0))</f>
        <v>0</v>
      </c>
      <c r="DE47" s="39" t="n">
        <f aca="false">IF(DE$4=0,0,IF(COUNTIFS(実績!$W$6:$W$505,DE$3,実績!$AI$6:$AI$505,"&lt;="&amp;$A47,実績!$AJ$6:$AJ$505,"&gt;"&amp;$A47,実績!$AK$6:$AK$505,"○")&gt;0,1,0))</f>
        <v>0</v>
      </c>
      <c r="DF47" s="39" t="n">
        <f aca="false">IF(DF$4=0,0,IF(COUNTIFS(実績!$W$6:$W$505,DF$3,実績!$AI$6:$AI$505,"&lt;="&amp;$A47,実績!$AJ$6:$AJ$505,"&gt;"&amp;$A47,実績!$AK$6:$AK$505,"○")&gt;0,1,0))</f>
        <v>0</v>
      </c>
      <c r="DG47" s="39" t="n">
        <f aca="false">IF(DG$4=0,0,IF(COUNTIFS(実績!$W$6:$W$505,DG$3,実績!$AI$6:$AI$505,"&lt;="&amp;$A47,実績!$AJ$6:$AJ$505,"&gt;"&amp;$A47,実績!$AK$6:$AK$505,"○")&gt;0,1,0))</f>
        <v>0</v>
      </c>
      <c r="DH47" s="39" t="n">
        <f aca="false">IF(DH$4=0,0,IF(COUNTIFS(実績!$W$6:$W$505,DH$3,実績!$AI$6:$AI$505,"&lt;="&amp;$A47,実績!$AJ$6:$AJ$505,"&gt;"&amp;$A47,実績!$AK$6:$AK$505,"○")&gt;0,1,0))</f>
        <v>0</v>
      </c>
      <c r="DI47" s="39" t="n">
        <f aca="false">IF(DI$4=0,0,IF(COUNTIFS(実績!$W$6:$W$505,DI$3,実績!$AI$6:$AI$505,"&lt;="&amp;$A47,実績!$AJ$6:$AJ$505,"&gt;"&amp;$A47,実績!$AK$6:$AK$505,"○")&gt;0,1,0))</f>
        <v>0</v>
      </c>
      <c r="DJ47" s="39" t="n">
        <f aca="false">IF(DJ$4=0,0,IF(COUNTIFS(実績!$W$6:$W$505,DJ$3,実績!$AI$6:$AI$505,"&lt;="&amp;$A47,実績!$AJ$6:$AJ$505,"&gt;"&amp;$A47,実績!$AK$6:$AK$505,"○")&gt;0,1,0))</f>
        <v>0</v>
      </c>
      <c r="DK47" s="39" t="n">
        <f aca="false">IF(DK$4=0,0,IF(COUNTIFS(実績!$W$6:$W$505,DK$3,実績!$AI$6:$AI$505,"&lt;="&amp;$A47,実績!$AJ$6:$AJ$505,"&gt;"&amp;$A47,実績!$AK$6:$AK$505,"○")&gt;0,1,0))</f>
        <v>0</v>
      </c>
      <c r="DL47" s="39" t="n">
        <f aca="false">IF(DL$4=0,0,IF(COUNTIFS(実績!$W$6:$W$505,DL$3,実績!$AI$6:$AI$505,"&lt;="&amp;$A47,実績!$AJ$6:$AJ$505,"&gt;"&amp;$A47,実績!$AK$6:$AK$505,"○")&gt;0,1,0))</f>
        <v>0</v>
      </c>
      <c r="DM47" s="39" t="n">
        <f aca="false">IF(DM$4=0,0,IF(COUNTIFS(実績!$W$6:$W$505,DM$3,実績!$AI$6:$AI$505,"&lt;="&amp;$A47,実績!$AJ$6:$AJ$505,"&gt;"&amp;$A47,実績!$AK$6:$AK$505,"○")&gt;0,1,0))</f>
        <v>0</v>
      </c>
      <c r="DN47" s="39" t="n">
        <f aca="false">IF(DN$4=0,0,IF(COUNTIFS(実績!$W$6:$W$505,DN$3,実績!$AI$6:$AI$505,"&lt;="&amp;$A47,実績!$AJ$6:$AJ$505,"&gt;"&amp;$A47,実績!$AK$6:$AK$505,"○")&gt;0,1,0))</f>
        <v>0</v>
      </c>
      <c r="DO47" s="39" t="n">
        <f aca="false">IF(DO$4=0,0,IF(COUNTIFS(実績!$W$6:$W$505,DO$3,実績!$AI$6:$AI$505,"&lt;="&amp;$A47,実績!$AJ$6:$AJ$505,"&gt;"&amp;$A47,実績!$AK$6:$AK$505,"○")&gt;0,1,0))</f>
        <v>0</v>
      </c>
      <c r="DP47" s="39" t="n">
        <f aca="false">IF(DP$4=0,0,IF(COUNTIFS(実績!$W$6:$W$505,DP$3,実績!$AI$6:$AI$505,"&lt;="&amp;$A47,実績!$AJ$6:$AJ$505,"&gt;"&amp;$A47,実績!$AK$6:$AK$505,"○")&gt;0,1,0))</f>
        <v>0</v>
      </c>
      <c r="DQ47" s="39" t="n">
        <f aca="false">IF(DQ$4=0,0,IF(COUNTIFS(実績!$W$6:$W$505,DQ$3,実績!$AI$6:$AI$505,"&lt;="&amp;$A47,実績!$AJ$6:$AJ$505,"&gt;"&amp;$A47,実績!$AK$6:$AK$505,"○")&gt;0,1,0))</f>
        <v>0</v>
      </c>
      <c r="DR47" s="39" t="n">
        <f aca="false">IF(DR$4=0,0,IF(COUNTIFS(実績!$W$6:$W$505,DR$3,実績!$AI$6:$AI$505,"&lt;="&amp;$A47,実績!$AJ$6:$AJ$505,"&gt;"&amp;$A47,実績!$AK$6:$AK$505,"○")&gt;0,1,0))</f>
        <v>0</v>
      </c>
      <c r="DS47" s="39" t="n">
        <f aca="false">SUM(C47:DR47)</f>
        <v>0</v>
      </c>
      <c r="DT47" s="39" t="n">
        <f aca="false">SUMPRODUCT((実績!$C$6:$C$505="○")*ISNUMBER(実績!$AM$6:$AM$505)*(実績!$AM$6:$AM$505&lt;=$A47)*(実績!$AN$6:$AN$505&gt;$A47))</f>
        <v>0</v>
      </c>
      <c r="DU47" s="39" t="n">
        <f aca="false">SUMIF($C$2:$DR$2,"製鉄曳船",C47:DR47)</f>
        <v>0</v>
      </c>
      <c r="DV47" s="39" t="n">
        <f aca="false">SUMIF($C$2:$DR$2,"西日本海運",C47:DR47)</f>
        <v>0</v>
      </c>
    </row>
    <row r="48" customFormat="false" ht="15" hidden="false" customHeight="false" outlineLevel="0" collapsed="false">
      <c r="A48" s="0" t="n">
        <v>210</v>
      </c>
      <c r="B48" s="38" t="n">
        <f aca="false">A48/1440</f>
        <v>0.145833333333333</v>
      </c>
      <c r="C48" s="39" t="n">
        <f aca="false">IF(C$4=0,0,IF(COUNTIFS(実績!$W$6:$W$505,C$3,実績!$AI$6:$AI$505,"&lt;="&amp;$A48,実績!$AJ$6:$AJ$505,"&gt;"&amp;$A48,実績!$AK$6:$AK$505,"○")&gt;0,1,0))</f>
        <v>0</v>
      </c>
      <c r="D48" s="39" t="n">
        <f aca="false">IF(D$4=0,0,IF(COUNTIFS(実績!$W$6:$W$505,D$3,実績!$AI$6:$AI$505,"&lt;="&amp;$A48,実績!$AJ$6:$AJ$505,"&gt;"&amp;$A48,実績!$AK$6:$AK$505,"○")&gt;0,1,0))</f>
        <v>0</v>
      </c>
      <c r="E48" s="39" t="n">
        <f aca="false">IF(E$4=0,0,IF(COUNTIFS(実績!$W$6:$W$505,E$3,実績!$AI$6:$AI$505,"&lt;="&amp;$A48,実績!$AJ$6:$AJ$505,"&gt;"&amp;$A48,実績!$AK$6:$AK$505,"○")&gt;0,1,0))</f>
        <v>0</v>
      </c>
      <c r="F48" s="39" t="n">
        <f aca="false">IF(F$4=0,0,IF(COUNTIFS(実績!$W$6:$W$505,F$3,実績!$AI$6:$AI$505,"&lt;="&amp;$A48,実績!$AJ$6:$AJ$505,"&gt;"&amp;$A48,実績!$AK$6:$AK$505,"○")&gt;0,1,0))</f>
        <v>0</v>
      </c>
      <c r="G48" s="39" t="n">
        <f aca="false">IF(G$4=0,0,IF(COUNTIFS(実績!$W$6:$W$505,G$3,実績!$AI$6:$AI$505,"&lt;="&amp;$A48,実績!$AJ$6:$AJ$505,"&gt;"&amp;$A48,実績!$AK$6:$AK$505,"○")&gt;0,1,0))</f>
        <v>0</v>
      </c>
      <c r="H48" s="39" t="n">
        <f aca="false">IF(H$4=0,0,IF(COUNTIFS(実績!$W$6:$W$505,H$3,実績!$AI$6:$AI$505,"&lt;="&amp;$A48,実績!$AJ$6:$AJ$505,"&gt;"&amp;$A48,実績!$AK$6:$AK$505,"○")&gt;0,1,0))</f>
        <v>0</v>
      </c>
      <c r="I48" s="39" t="n">
        <f aca="false">IF(I$4=0,0,IF(COUNTIFS(実績!$W$6:$W$505,I$3,実績!$AI$6:$AI$505,"&lt;="&amp;$A48,実績!$AJ$6:$AJ$505,"&gt;"&amp;$A48,実績!$AK$6:$AK$505,"○")&gt;0,1,0))</f>
        <v>0</v>
      </c>
      <c r="J48" s="39" t="n">
        <f aca="false">IF(J$4=0,0,IF(COUNTIFS(実績!$W$6:$W$505,J$3,実績!$AI$6:$AI$505,"&lt;="&amp;$A48,実績!$AJ$6:$AJ$505,"&gt;"&amp;$A48,実績!$AK$6:$AK$505,"○")&gt;0,1,0))</f>
        <v>0</v>
      </c>
      <c r="K48" s="39" t="n">
        <f aca="false">IF(K$4=0,0,IF(COUNTIFS(実績!$W$6:$W$505,K$3,実績!$AI$6:$AI$505,"&lt;="&amp;$A48,実績!$AJ$6:$AJ$505,"&gt;"&amp;$A48,実績!$AK$6:$AK$505,"○")&gt;0,1,0))</f>
        <v>0</v>
      </c>
      <c r="L48" s="39" t="n">
        <f aca="false">IF(L$4=0,0,IF(COUNTIFS(実績!$W$6:$W$505,L$3,実績!$AI$6:$AI$505,"&lt;="&amp;$A48,実績!$AJ$6:$AJ$505,"&gt;"&amp;$A48,実績!$AK$6:$AK$505,"○")&gt;0,1,0))</f>
        <v>0</v>
      </c>
      <c r="M48" s="39" t="n">
        <f aca="false">IF(M$4=0,0,IF(COUNTIFS(実績!$W$6:$W$505,M$3,実績!$AI$6:$AI$505,"&lt;="&amp;$A48,実績!$AJ$6:$AJ$505,"&gt;"&amp;$A48,実績!$AK$6:$AK$505,"○")&gt;0,1,0))</f>
        <v>0</v>
      </c>
      <c r="N48" s="39" t="n">
        <f aca="false">IF(N$4=0,0,IF(COUNTIFS(実績!$W$6:$W$505,N$3,実績!$AI$6:$AI$505,"&lt;="&amp;$A48,実績!$AJ$6:$AJ$505,"&gt;"&amp;$A48,実績!$AK$6:$AK$505,"○")&gt;0,1,0))</f>
        <v>0</v>
      </c>
      <c r="O48" s="39" t="n">
        <f aca="false">IF(O$4=0,0,IF(COUNTIFS(実績!$W$6:$W$505,O$3,実績!$AI$6:$AI$505,"&lt;="&amp;$A48,実績!$AJ$6:$AJ$505,"&gt;"&amp;$A48,実績!$AK$6:$AK$505,"○")&gt;0,1,0))</f>
        <v>0</v>
      </c>
      <c r="P48" s="39" t="n">
        <f aca="false">IF(P$4=0,0,IF(COUNTIFS(実績!$W$6:$W$505,P$3,実績!$AI$6:$AI$505,"&lt;="&amp;$A48,実績!$AJ$6:$AJ$505,"&gt;"&amp;$A48,実績!$AK$6:$AK$505,"○")&gt;0,1,0))</f>
        <v>0</v>
      </c>
      <c r="Q48" s="39" t="n">
        <f aca="false">IF(Q$4=0,0,IF(COUNTIFS(実績!$W$6:$W$505,Q$3,実績!$AI$6:$AI$505,"&lt;="&amp;$A48,実績!$AJ$6:$AJ$505,"&gt;"&amp;$A48,実績!$AK$6:$AK$505,"○")&gt;0,1,0))</f>
        <v>0</v>
      </c>
      <c r="R48" s="39" t="n">
        <f aca="false">IF(R$4=0,0,IF(COUNTIFS(実績!$W$6:$W$505,R$3,実績!$AI$6:$AI$505,"&lt;="&amp;$A48,実績!$AJ$6:$AJ$505,"&gt;"&amp;$A48,実績!$AK$6:$AK$505,"○")&gt;0,1,0))</f>
        <v>0</v>
      </c>
      <c r="S48" s="39" t="n">
        <f aca="false">IF(S$4=0,0,IF(COUNTIFS(実績!$W$6:$W$505,S$3,実績!$AI$6:$AI$505,"&lt;="&amp;$A48,実績!$AJ$6:$AJ$505,"&gt;"&amp;$A48,実績!$AK$6:$AK$505,"○")&gt;0,1,0))</f>
        <v>0</v>
      </c>
      <c r="T48" s="39" t="n">
        <f aca="false">IF(T$4=0,0,IF(COUNTIFS(実績!$W$6:$W$505,T$3,実績!$AI$6:$AI$505,"&lt;="&amp;$A48,実績!$AJ$6:$AJ$505,"&gt;"&amp;$A48,実績!$AK$6:$AK$505,"○")&gt;0,1,0))</f>
        <v>0</v>
      </c>
      <c r="U48" s="39" t="n">
        <f aca="false">IF(U$4=0,0,IF(COUNTIFS(実績!$W$6:$W$505,U$3,実績!$AI$6:$AI$505,"&lt;="&amp;$A48,実績!$AJ$6:$AJ$505,"&gt;"&amp;$A48,実績!$AK$6:$AK$505,"○")&gt;0,1,0))</f>
        <v>0</v>
      </c>
      <c r="V48" s="39" t="n">
        <f aca="false">IF(V$4=0,0,IF(COUNTIFS(実績!$W$6:$W$505,V$3,実績!$AI$6:$AI$505,"&lt;="&amp;$A48,実績!$AJ$6:$AJ$505,"&gt;"&amp;$A48,実績!$AK$6:$AK$505,"○")&gt;0,1,0))</f>
        <v>0</v>
      </c>
      <c r="W48" s="39" t="n">
        <f aca="false">IF(W$4=0,0,IF(COUNTIFS(実績!$W$6:$W$505,W$3,実績!$AI$6:$AI$505,"&lt;="&amp;$A48,実績!$AJ$6:$AJ$505,"&gt;"&amp;$A48,実績!$AK$6:$AK$505,"○")&gt;0,1,0))</f>
        <v>0</v>
      </c>
      <c r="X48" s="39" t="n">
        <f aca="false">IF(X$4=0,0,IF(COUNTIFS(実績!$W$6:$W$505,X$3,実績!$AI$6:$AI$505,"&lt;="&amp;$A48,実績!$AJ$6:$AJ$505,"&gt;"&amp;$A48,実績!$AK$6:$AK$505,"○")&gt;0,1,0))</f>
        <v>0</v>
      </c>
      <c r="Y48" s="39" t="n">
        <f aca="false">IF(Y$4=0,0,IF(COUNTIFS(実績!$W$6:$W$505,Y$3,実績!$AI$6:$AI$505,"&lt;="&amp;$A48,実績!$AJ$6:$AJ$505,"&gt;"&amp;$A48,実績!$AK$6:$AK$505,"○")&gt;0,1,0))</f>
        <v>0</v>
      </c>
      <c r="Z48" s="39" t="n">
        <f aca="false">IF(Z$4=0,0,IF(COUNTIFS(実績!$W$6:$W$505,Z$3,実績!$AI$6:$AI$505,"&lt;="&amp;$A48,実績!$AJ$6:$AJ$505,"&gt;"&amp;$A48,実績!$AK$6:$AK$505,"○")&gt;0,1,0))</f>
        <v>0</v>
      </c>
      <c r="AA48" s="39" t="n">
        <f aca="false">IF(AA$4=0,0,IF(COUNTIFS(実績!$W$6:$W$505,AA$3,実績!$AI$6:$AI$505,"&lt;="&amp;$A48,実績!$AJ$6:$AJ$505,"&gt;"&amp;$A48,実績!$AK$6:$AK$505,"○")&gt;0,1,0))</f>
        <v>0</v>
      </c>
      <c r="AB48" s="39" t="n">
        <f aca="false">IF(AB$4=0,0,IF(COUNTIFS(実績!$W$6:$W$505,AB$3,実績!$AI$6:$AI$505,"&lt;="&amp;$A48,実績!$AJ$6:$AJ$505,"&gt;"&amp;$A48,実績!$AK$6:$AK$505,"○")&gt;0,1,0))</f>
        <v>0</v>
      </c>
      <c r="AC48" s="39" t="n">
        <f aca="false">IF(AC$4=0,0,IF(COUNTIFS(実績!$W$6:$W$505,AC$3,実績!$AI$6:$AI$505,"&lt;="&amp;$A48,実績!$AJ$6:$AJ$505,"&gt;"&amp;$A48,実績!$AK$6:$AK$505,"○")&gt;0,1,0))</f>
        <v>0</v>
      </c>
      <c r="AD48" s="39" t="n">
        <f aca="false">IF(AD$4=0,0,IF(COUNTIFS(実績!$W$6:$W$505,AD$3,実績!$AI$6:$AI$505,"&lt;="&amp;$A48,実績!$AJ$6:$AJ$505,"&gt;"&amp;$A48,実績!$AK$6:$AK$505,"○")&gt;0,1,0))</f>
        <v>0</v>
      </c>
      <c r="AE48" s="39" t="n">
        <f aca="false">IF(AE$4=0,0,IF(COUNTIFS(実績!$W$6:$W$505,AE$3,実績!$AI$6:$AI$505,"&lt;="&amp;$A48,実績!$AJ$6:$AJ$505,"&gt;"&amp;$A48,実績!$AK$6:$AK$505,"○")&gt;0,1,0))</f>
        <v>0</v>
      </c>
      <c r="AF48" s="39" t="n">
        <f aca="false">IF(AF$4=0,0,IF(COUNTIFS(実績!$W$6:$W$505,AF$3,実績!$AI$6:$AI$505,"&lt;="&amp;$A48,実績!$AJ$6:$AJ$505,"&gt;"&amp;$A48,実績!$AK$6:$AK$505,"○")&gt;0,1,0))</f>
        <v>0</v>
      </c>
      <c r="AG48" s="39" t="n">
        <f aca="false">IF(AG$4=0,0,IF(COUNTIFS(実績!$W$6:$W$505,AG$3,実績!$AI$6:$AI$505,"&lt;="&amp;$A48,実績!$AJ$6:$AJ$505,"&gt;"&amp;$A48,実績!$AK$6:$AK$505,"○")&gt;0,1,0))</f>
        <v>0</v>
      </c>
      <c r="AH48" s="39" t="n">
        <f aca="false">IF(AH$4=0,0,IF(COUNTIFS(実績!$W$6:$W$505,AH$3,実績!$AI$6:$AI$505,"&lt;="&amp;$A48,実績!$AJ$6:$AJ$505,"&gt;"&amp;$A48,実績!$AK$6:$AK$505,"○")&gt;0,1,0))</f>
        <v>0</v>
      </c>
      <c r="AI48" s="39" t="n">
        <f aca="false">IF(AI$4=0,0,IF(COUNTIFS(実績!$W$6:$W$505,AI$3,実績!$AI$6:$AI$505,"&lt;="&amp;$A48,実績!$AJ$6:$AJ$505,"&gt;"&amp;$A48,実績!$AK$6:$AK$505,"○")&gt;0,1,0))</f>
        <v>0</v>
      </c>
      <c r="AJ48" s="39" t="n">
        <f aca="false">IF(AJ$4=0,0,IF(COUNTIFS(実績!$W$6:$W$505,AJ$3,実績!$AI$6:$AI$505,"&lt;="&amp;$A48,実績!$AJ$6:$AJ$505,"&gt;"&amp;$A48,実績!$AK$6:$AK$505,"○")&gt;0,1,0))</f>
        <v>0</v>
      </c>
      <c r="AK48" s="39" t="n">
        <f aca="false">IF(AK$4=0,0,IF(COUNTIFS(実績!$W$6:$W$505,AK$3,実績!$AI$6:$AI$505,"&lt;="&amp;$A48,実績!$AJ$6:$AJ$505,"&gt;"&amp;$A48,実績!$AK$6:$AK$505,"○")&gt;0,1,0))</f>
        <v>0</v>
      </c>
      <c r="AL48" s="39" t="n">
        <f aca="false">IF(AL$4=0,0,IF(COUNTIFS(実績!$W$6:$W$505,AL$3,実績!$AI$6:$AI$505,"&lt;="&amp;$A48,実績!$AJ$6:$AJ$505,"&gt;"&amp;$A48,実績!$AK$6:$AK$505,"○")&gt;0,1,0))</f>
        <v>0</v>
      </c>
      <c r="AM48" s="39" t="n">
        <f aca="false">IF(AM$4=0,0,IF(COUNTIFS(実績!$W$6:$W$505,AM$3,実績!$AI$6:$AI$505,"&lt;="&amp;$A48,実績!$AJ$6:$AJ$505,"&gt;"&amp;$A48,実績!$AK$6:$AK$505,"○")&gt;0,1,0))</f>
        <v>0</v>
      </c>
      <c r="AN48" s="39" t="n">
        <f aca="false">IF(AN$4=0,0,IF(COUNTIFS(実績!$W$6:$W$505,AN$3,実績!$AI$6:$AI$505,"&lt;="&amp;$A48,実績!$AJ$6:$AJ$505,"&gt;"&amp;$A48,実績!$AK$6:$AK$505,"○")&gt;0,1,0))</f>
        <v>0</v>
      </c>
      <c r="AO48" s="39" t="n">
        <f aca="false">IF(AO$4=0,0,IF(COUNTIFS(実績!$W$6:$W$505,AO$3,実績!$AI$6:$AI$505,"&lt;="&amp;$A48,実績!$AJ$6:$AJ$505,"&gt;"&amp;$A48,実績!$AK$6:$AK$505,"○")&gt;0,1,0))</f>
        <v>0</v>
      </c>
      <c r="AP48" s="39" t="n">
        <f aca="false">IF(AP$4=0,0,IF(COUNTIFS(実績!$W$6:$W$505,AP$3,実績!$AI$6:$AI$505,"&lt;="&amp;$A48,実績!$AJ$6:$AJ$505,"&gt;"&amp;$A48,実績!$AK$6:$AK$505,"○")&gt;0,1,0))</f>
        <v>0</v>
      </c>
      <c r="AQ48" s="39" t="n">
        <f aca="false">IF(AQ$4=0,0,IF(COUNTIFS(実績!$W$6:$W$505,AQ$3,実績!$AI$6:$AI$505,"&lt;="&amp;$A48,実績!$AJ$6:$AJ$505,"&gt;"&amp;$A48,実績!$AK$6:$AK$505,"○")&gt;0,1,0))</f>
        <v>0</v>
      </c>
      <c r="AR48" s="39" t="n">
        <f aca="false">IF(AR$4=0,0,IF(COUNTIFS(実績!$W$6:$W$505,AR$3,実績!$AI$6:$AI$505,"&lt;="&amp;$A48,実績!$AJ$6:$AJ$505,"&gt;"&amp;$A48,実績!$AK$6:$AK$505,"○")&gt;0,1,0))</f>
        <v>0</v>
      </c>
      <c r="AS48" s="39" t="n">
        <f aca="false">IF(AS$4=0,0,IF(COUNTIFS(実績!$W$6:$W$505,AS$3,実績!$AI$6:$AI$505,"&lt;="&amp;$A48,実績!$AJ$6:$AJ$505,"&gt;"&amp;$A48,実績!$AK$6:$AK$505,"○")&gt;0,1,0))</f>
        <v>0</v>
      </c>
      <c r="AT48" s="39" t="n">
        <f aca="false">IF(AT$4=0,0,IF(COUNTIFS(実績!$W$6:$W$505,AT$3,実績!$AI$6:$AI$505,"&lt;="&amp;$A48,実績!$AJ$6:$AJ$505,"&gt;"&amp;$A48,実績!$AK$6:$AK$505,"○")&gt;0,1,0))</f>
        <v>0</v>
      </c>
      <c r="AU48" s="39" t="n">
        <f aca="false">IF(AU$4=0,0,IF(COUNTIFS(実績!$W$6:$W$505,AU$3,実績!$AI$6:$AI$505,"&lt;="&amp;$A48,実績!$AJ$6:$AJ$505,"&gt;"&amp;$A48,実績!$AK$6:$AK$505,"○")&gt;0,1,0))</f>
        <v>0</v>
      </c>
      <c r="AV48" s="39" t="n">
        <f aca="false">IF(AV$4=0,0,IF(COUNTIFS(実績!$W$6:$W$505,AV$3,実績!$AI$6:$AI$505,"&lt;="&amp;$A48,実績!$AJ$6:$AJ$505,"&gt;"&amp;$A48,実績!$AK$6:$AK$505,"○")&gt;0,1,0))</f>
        <v>0</v>
      </c>
      <c r="AW48" s="39" t="n">
        <f aca="false">IF(AW$4=0,0,IF(COUNTIFS(実績!$W$6:$W$505,AW$3,実績!$AI$6:$AI$505,"&lt;="&amp;$A48,実績!$AJ$6:$AJ$505,"&gt;"&amp;$A48,実績!$AK$6:$AK$505,"○")&gt;0,1,0))</f>
        <v>0</v>
      </c>
      <c r="AX48" s="39" t="n">
        <f aca="false">IF(AX$4=0,0,IF(COUNTIFS(実績!$W$6:$W$505,AX$3,実績!$AI$6:$AI$505,"&lt;="&amp;$A48,実績!$AJ$6:$AJ$505,"&gt;"&amp;$A48,実績!$AK$6:$AK$505,"○")&gt;0,1,0))</f>
        <v>0</v>
      </c>
      <c r="AY48" s="39" t="n">
        <f aca="false">IF(AY$4=0,0,IF(COUNTIFS(実績!$W$6:$W$505,AY$3,実績!$AI$6:$AI$505,"&lt;="&amp;$A48,実績!$AJ$6:$AJ$505,"&gt;"&amp;$A48,実績!$AK$6:$AK$505,"○")&gt;0,1,0))</f>
        <v>0</v>
      </c>
      <c r="AZ48" s="39" t="n">
        <f aca="false">IF(AZ$4=0,0,IF(COUNTIFS(実績!$W$6:$W$505,AZ$3,実績!$AI$6:$AI$505,"&lt;="&amp;$A48,実績!$AJ$6:$AJ$505,"&gt;"&amp;$A48,実績!$AK$6:$AK$505,"○")&gt;0,1,0))</f>
        <v>0</v>
      </c>
      <c r="BA48" s="39" t="n">
        <f aca="false">IF(BA$4=0,0,IF(COUNTIFS(実績!$W$6:$W$505,BA$3,実績!$AI$6:$AI$505,"&lt;="&amp;$A48,実績!$AJ$6:$AJ$505,"&gt;"&amp;$A48,実績!$AK$6:$AK$505,"○")&gt;0,1,0))</f>
        <v>0</v>
      </c>
      <c r="BB48" s="39" t="n">
        <f aca="false">IF(BB$4=0,0,IF(COUNTIFS(実績!$W$6:$W$505,BB$3,実績!$AI$6:$AI$505,"&lt;="&amp;$A48,実績!$AJ$6:$AJ$505,"&gt;"&amp;$A48,実績!$AK$6:$AK$505,"○")&gt;0,1,0))</f>
        <v>0</v>
      </c>
      <c r="BC48" s="39" t="n">
        <f aca="false">IF(BC$4=0,0,IF(COUNTIFS(実績!$W$6:$W$505,BC$3,実績!$AI$6:$AI$505,"&lt;="&amp;$A48,実績!$AJ$6:$AJ$505,"&gt;"&amp;$A48,実績!$AK$6:$AK$505,"○")&gt;0,1,0))</f>
        <v>0</v>
      </c>
      <c r="BD48" s="39" t="n">
        <f aca="false">IF(BD$4=0,0,IF(COUNTIFS(実績!$W$6:$W$505,BD$3,実績!$AI$6:$AI$505,"&lt;="&amp;$A48,実績!$AJ$6:$AJ$505,"&gt;"&amp;$A48,実績!$AK$6:$AK$505,"○")&gt;0,1,0))</f>
        <v>0</v>
      </c>
      <c r="BE48" s="39" t="n">
        <f aca="false">IF(BE$4=0,0,IF(COUNTIFS(実績!$W$6:$W$505,BE$3,実績!$AI$6:$AI$505,"&lt;="&amp;$A48,実績!$AJ$6:$AJ$505,"&gt;"&amp;$A48,実績!$AK$6:$AK$505,"○")&gt;0,1,0))</f>
        <v>0</v>
      </c>
      <c r="BF48" s="39" t="n">
        <f aca="false">IF(BF$4=0,0,IF(COUNTIFS(実績!$W$6:$W$505,BF$3,実績!$AI$6:$AI$505,"&lt;="&amp;$A48,実績!$AJ$6:$AJ$505,"&gt;"&amp;$A48,実績!$AK$6:$AK$505,"○")&gt;0,1,0))</f>
        <v>0</v>
      </c>
      <c r="BG48" s="39" t="n">
        <f aca="false">IF(BG$4=0,0,IF(COUNTIFS(実績!$W$6:$W$505,BG$3,実績!$AI$6:$AI$505,"&lt;="&amp;$A48,実績!$AJ$6:$AJ$505,"&gt;"&amp;$A48,実績!$AK$6:$AK$505,"○")&gt;0,1,0))</f>
        <v>0</v>
      </c>
      <c r="BH48" s="39" t="n">
        <f aca="false">IF(BH$4=0,0,IF(COUNTIFS(実績!$W$6:$W$505,BH$3,実績!$AI$6:$AI$505,"&lt;="&amp;$A48,実績!$AJ$6:$AJ$505,"&gt;"&amp;$A48,実績!$AK$6:$AK$505,"○")&gt;0,1,0))</f>
        <v>0</v>
      </c>
      <c r="BI48" s="39" t="n">
        <f aca="false">IF(BI$4=0,0,IF(COUNTIFS(実績!$W$6:$W$505,BI$3,実績!$AI$6:$AI$505,"&lt;="&amp;$A48,実績!$AJ$6:$AJ$505,"&gt;"&amp;$A48,実績!$AK$6:$AK$505,"○")&gt;0,1,0))</f>
        <v>0</v>
      </c>
      <c r="BJ48" s="39" t="n">
        <f aca="false">IF(BJ$4=0,0,IF(COUNTIFS(実績!$W$6:$W$505,BJ$3,実績!$AI$6:$AI$505,"&lt;="&amp;$A48,実績!$AJ$6:$AJ$505,"&gt;"&amp;$A48,実績!$AK$6:$AK$505,"○")&gt;0,1,0))</f>
        <v>0</v>
      </c>
      <c r="BK48" s="39" t="n">
        <f aca="false">IF(BK$4=0,0,IF(COUNTIFS(実績!$W$6:$W$505,BK$3,実績!$AI$6:$AI$505,"&lt;="&amp;$A48,実績!$AJ$6:$AJ$505,"&gt;"&amp;$A48,実績!$AK$6:$AK$505,"○")&gt;0,1,0))</f>
        <v>0</v>
      </c>
      <c r="BL48" s="39" t="n">
        <f aca="false">IF(BL$4=0,0,IF(COUNTIFS(実績!$W$6:$W$505,BL$3,実績!$AI$6:$AI$505,"&lt;="&amp;$A48,実績!$AJ$6:$AJ$505,"&gt;"&amp;$A48,実績!$AK$6:$AK$505,"○")&gt;0,1,0))</f>
        <v>0</v>
      </c>
      <c r="BM48" s="39" t="n">
        <f aca="false">IF(BM$4=0,0,IF(COUNTIFS(実績!$W$6:$W$505,BM$3,実績!$AI$6:$AI$505,"&lt;="&amp;$A48,実績!$AJ$6:$AJ$505,"&gt;"&amp;$A48,実績!$AK$6:$AK$505,"○")&gt;0,1,0))</f>
        <v>0</v>
      </c>
      <c r="BN48" s="39" t="n">
        <f aca="false">IF(BN$4=0,0,IF(COUNTIFS(実績!$W$6:$W$505,BN$3,実績!$AI$6:$AI$505,"&lt;="&amp;$A48,実績!$AJ$6:$AJ$505,"&gt;"&amp;$A48,実績!$AK$6:$AK$505,"○")&gt;0,1,0))</f>
        <v>0</v>
      </c>
      <c r="BO48" s="39" t="n">
        <f aca="false">IF(BO$4=0,0,IF(COUNTIFS(実績!$W$6:$W$505,BO$3,実績!$AI$6:$AI$505,"&lt;="&amp;$A48,実績!$AJ$6:$AJ$505,"&gt;"&amp;$A48,実績!$AK$6:$AK$505,"○")&gt;0,1,0))</f>
        <v>0</v>
      </c>
      <c r="BP48" s="39" t="n">
        <f aca="false">IF(BP$4=0,0,IF(COUNTIFS(実績!$W$6:$W$505,BP$3,実績!$AI$6:$AI$505,"&lt;="&amp;$A48,実績!$AJ$6:$AJ$505,"&gt;"&amp;$A48,実績!$AK$6:$AK$505,"○")&gt;0,1,0))</f>
        <v>0</v>
      </c>
      <c r="BQ48" s="39" t="n">
        <f aca="false">IF(BQ$4=0,0,IF(COUNTIFS(実績!$W$6:$W$505,BQ$3,実績!$AI$6:$AI$505,"&lt;="&amp;$A48,実績!$AJ$6:$AJ$505,"&gt;"&amp;$A48,実績!$AK$6:$AK$505,"○")&gt;0,1,0))</f>
        <v>0</v>
      </c>
      <c r="BR48" s="39" t="n">
        <f aca="false">IF(BR$4=0,0,IF(COUNTIFS(実績!$W$6:$W$505,BR$3,実績!$AI$6:$AI$505,"&lt;="&amp;$A48,実績!$AJ$6:$AJ$505,"&gt;"&amp;$A48,実績!$AK$6:$AK$505,"○")&gt;0,1,0))</f>
        <v>0</v>
      </c>
      <c r="BS48" s="39" t="n">
        <f aca="false">IF(BS$4=0,0,IF(COUNTIFS(実績!$W$6:$W$505,BS$3,実績!$AI$6:$AI$505,"&lt;="&amp;$A48,実績!$AJ$6:$AJ$505,"&gt;"&amp;$A48,実績!$AK$6:$AK$505,"○")&gt;0,1,0))</f>
        <v>0</v>
      </c>
      <c r="BT48" s="39" t="n">
        <f aca="false">IF(BT$4=0,0,IF(COUNTIFS(実績!$W$6:$W$505,BT$3,実績!$AI$6:$AI$505,"&lt;="&amp;$A48,実績!$AJ$6:$AJ$505,"&gt;"&amp;$A48,実績!$AK$6:$AK$505,"○")&gt;0,1,0))</f>
        <v>0</v>
      </c>
      <c r="BU48" s="39" t="n">
        <f aca="false">IF(BU$4=0,0,IF(COUNTIFS(実績!$W$6:$W$505,BU$3,実績!$AI$6:$AI$505,"&lt;="&amp;$A48,実績!$AJ$6:$AJ$505,"&gt;"&amp;$A48,実績!$AK$6:$AK$505,"○")&gt;0,1,0))</f>
        <v>0</v>
      </c>
      <c r="BV48" s="39" t="n">
        <f aca="false">IF(BV$4=0,0,IF(COUNTIFS(実績!$W$6:$W$505,BV$3,実績!$AI$6:$AI$505,"&lt;="&amp;$A48,実績!$AJ$6:$AJ$505,"&gt;"&amp;$A48,実績!$AK$6:$AK$505,"○")&gt;0,1,0))</f>
        <v>0</v>
      </c>
      <c r="BW48" s="39" t="n">
        <f aca="false">IF(BW$4=0,0,IF(COUNTIFS(実績!$W$6:$W$505,BW$3,実績!$AI$6:$AI$505,"&lt;="&amp;$A48,実績!$AJ$6:$AJ$505,"&gt;"&amp;$A48,実績!$AK$6:$AK$505,"○")&gt;0,1,0))</f>
        <v>0</v>
      </c>
      <c r="BX48" s="39" t="n">
        <f aca="false">IF(BX$4=0,0,IF(COUNTIFS(実績!$W$6:$W$505,BX$3,実績!$AI$6:$AI$505,"&lt;="&amp;$A48,実績!$AJ$6:$AJ$505,"&gt;"&amp;$A48,実績!$AK$6:$AK$505,"○")&gt;0,1,0))</f>
        <v>0</v>
      </c>
      <c r="BY48" s="39" t="n">
        <f aca="false">IF(BY$4=0,0,IF(COUNTIFS(実績!$W$6:$W$505,BY$3,実績!$AI$6:$AI$505,"&lt;="&amp;$A48,実績!$AJ$6:$AJ$505,"&gt;"&amp;$A48,実績!$AK$6:$AK$505,"○")&gt;0,1,0))</f>
        <v>0</v>
      </c>
      <c r="BZ48" s="39" t="n">
        <f aca="false">IF(BZ$4=0,0,IF(COUNTIFS(実績!$W$6:$W$505,BZ$3,実績!$AI$6:$AI$505,"&lt;="&amp;$A48,実績!$AJ$6:$AJ$505,"&gt;"&amp;$A48,実績!$AK$6:$AK$505,"○")&gt;0,1,0))</f>
        <v>0</v>
      </c>
      <c r="CA48" s="39" t="n">
        <f aca="false">IF(CA$4=0,0,IF(COUNTIFS(実績!$W$6:$W$505,CA$3,実績!$AI$6:$AI$505,"&lt;="&amp;$A48,実績!$AJ$6:$AJ$505,"&gt;"&amp;$A48,実績!$AK$6:$AK$505,"○")&gt;0,1,0))</f>
        <v>0</v>
      </c>
      <c r="CB48" s="39" t="n">
        <f aca="false">IF(CB$4=0,0,IF(COUNTIFS(実績!$W$6:$W$505,CB$3,実績!$AI$6:$AI$505,"&lt;="&amp;$A48,実績!$AJ$6:$AJ$505,"&gt;"&amp;$A48,実績!$AK$6:$AK$505,"○")&gt;0,1,0))</f>
        <v>0</v>
      </c>
      <c r="CC48" s="39" t="n">
        <f aca="false">IF(CC$4=0,0,IF(COUNTIFS(実績!$W$6:$W$505,CC$3,実績!$AI$6:$AI$505,"&lt;="&amp;$A48,実績!$AJ$6:$AJ$505,"&gt;"&amp;$A48,実績!$AK$6:$AK$505,"○")&gt;0,1,0))</f>
        <v>0</v>
      </c>
      <c r="CD48" s="39" t="n">
        <f aca="false">IF(CD$4=0,0,IF(COUNTIFS(実績!$W$6:$W$505,CD$3,実績!$AI$6:$AI$505,"&lt;="&amp;$A48,実績!$AJ$6:$AJ$505,"&gt;"&amp;$A48,実績!$AK$6:$AK$505,"○")&gt;0,1,0))</f>
        <v>0</v>
      </c>
      <c r="CE48" s="39" t="n">
        <f aca="false">IF(CE$4=0,0,IF(COUNTIFS(実績!$W$6:$W$505,CE$3,実績!$AI$6:$AI$505,"&lt;="&amp;$A48,実績!$AJ$6:$AJ$505,"&gt;"&amp;$A48,実績!$AK$6:$AK$505,"○")&gt;0,1,0))</f>
        <v>0</v>
      </c>
      <c r="CF48" s="39" t="n">
        <f aca="false">IF(CF$4=0,0,IF(COUNTIFS(実績!$W$6:$W$505,CF$3,実績!$AI$6:$AI$505,"&lt;="&amp;$A48,実績!$AJ$6:$AJ$505,"&gt;"&amp;$A48,実績!$AK$6:$AK$505,"○")&gt;0,1,0))</f>
        <v>0</v>
      </c>
      <c r="CG48" s="39" t="n">
        <f aca="false">IF(CG$4=0,0,IF(COUNTIFS(実績!$W$6:$W$505,CG$3,実績!$AI$6:$AI$505,"&lt;="&amp;$A48,実績!$AJ$6:$AJ$505,"&gt;"&amp;$A48,実績!$AK$6:$AK$505,"○")&gt;0,1,0))</f>
        <v>0</v>
      </c>
      <c r="CH48" s="39" t="n">
        <f aca="false">IF(CH$4=0,0,IF(COUNTIFS(実績!$W$6:$W$505,CH$3,実績!$AI$6:$AI$505,"&lt;="&amp;$A48,実績!$AJ$6:$AJ$505,"&gt;"&amp;$A48,実績!$AK$6:$AK$505,"○")&gt;0,1,0))</f>
        <v>0</v>
      </c>
      <c r="CI48" s="39" t="n">
        <f aca="false">IF(CI$4=0,0,IF(COUNTIFS(実績!$W$6:$W$505,CI$3,実績!$AI$6:$AI$505,"&lt;="&amp;$A48,実績!$AJ$6:$AJ$505,"&gt;"&amp;$A48,実績!$AK$6:$AK$505,"○")&gt;0,1,0))</f>
        <v>0</v>
      </c>
      <c r="CJ48" s="39" t="n">
        <f aca="false">IF(CJ$4=0,0,IF(COUNTIFS(実績!$W$6:$W$505,CJ$3,実績!$AI$6:$AI$505,"&lt;="&amp;$A48,実績!$AJ$6:$AJ$505,"&gt;"&amp;$A48,実績!$AK$6:$AK$505,"○")&gt;0,1,0))</f>
        <v>0</v>
      </c>
      <c r="CK48" s="39" t="n">
        <f aca="false">IF(CK$4=0,0,IF(COUNTIFS(実績!$W$6:$W$505,CK$3,実績!$AI$6:$AI$505,"&lt;="&amp;$A48,実績!$AJ$6:$AJ$505,"&gt;"&amp;$A48,実績!$AK$6:$AK$505,"○")&gt;0,1,0))</f>
        <v>0</v>
      </c>
      <c r="CL48" s="39" t="n">
        <f aca="false">IF(CL$4=0,0,IF(COUNTIFS(実績!$W$6:$W$505,CL$3,実績!$AI$6:$AI$505,"&lt;="&amp;$A48,実績!$AJ$6:$AJ$505,"&gt;"&amp;$A48,実績!$AK$6:$AK$505,"○")&gt;0,1,0))</f>
        <v>0</v>
      </c>
      <c r="CM48" s="39" t="n">
        <f aca="false">IF(CM$4=0,0,IF(COUNTIFS(実績!$W$6:$W$505,CM$3,実績!$AI$6:$AI$505,"&lt;="&amp;$A48,実績!$AJ$6:$AJ$505,"&gt;"&amp;$A48,実績!$AK$6:$AK$505,"○")&gt;0,1,0))</f>
        <v>0</v>
      </c>
      <c r="CN48" s="39" t="n">
        <f aca="false">IF(CN$4=0,0,IF(COUNTIFS(実績!$W$6:$W$505,CN$3,実績!$AI$6:$AI$505,"&lt;="&amp;$A48,実績!$AJ$6:$AJ$505,"&gt;"&amp;$A48,実績!$AK$6:$AK$505,"○")&gt;0,1,0))</f>
        <v>0</v>
      </c>
      <c r="CO48" s="39" t="n">
        <f aca="false">IF(CO$4=0,0,IF(COUNTIFS(実績!$W$6:$W$505,CO$3,実績!$AI$6:$AI$505,"&lt;="&amp;$A48,実績!$AJ$6:$AJ$505,"&gt;"&amp;$A48,実績!$AK$6:$AK$505,"○")&gt;0,1,0))</f>
        <v>0</v>
      </c>
      <c r="CP48" s="39" t="n">
        <f aca="false">IF(CP$4=0,0,IF(COUNTIFS(実績!$W$6:$W$505,CP$3,実績!$AI$6:$AI$505,"&lt;="&amp;$A48,実績!$AJ$6:$AJ$505,"&gt;"&amp;$A48,実績!$AK$6:$AK$505,"○")&gt;0,1,0))</f>
        <v>0</v>
      </c>
      <c r="CQ48" s="39" t="n">
        <f aca="false">IF(CQ$4=0,0,IF(COUNTIFS(実績!$W$6:$W$505,CQ$3,実績!$AI$6:$AI$505,"&lt;="&amp;$A48,実績!$AJ$6:$AJ$505,"&gt;"&amp;$A48,実績!$AK$6:$AK$505,"○")&gt;0,1,0))</f>
        <v>0</v>
      </c>
      <c r="CR48" s="39" t="n">
        <f aca="false">IF(CR$4=0,0,IF(COUNTIFS(実績!$W$6:$W$505,CR$3,実績!$AI$6:$AI$505,"&lt;="&amp;$A48,実績!$AJ$6:$AJ$505,"&gt;"&amp;$A48,実績!$AK$6:$AK$505,"○")&gt;0,1,0))</f>
        <v>0</v>
      </c>
      <c r="CS48" s="39" t="n">
        <f aca="false">IF(CS$4=0,0,IF(COUNTIFS(実績!$W$6:$W$505,CS$3,実績!$AI$6:$AI$505,"&lt;="&amp;$A48,実績!$AJ$6:$AJ$505,"&gt;"&amp;$A48,実績!$AK$6:$AK$505,"○")&gt;0,1,0))</f>
        <v>0</v>
      </c>
      <c r="CT48" s="39" t="n">
        <f aca="false">IF(CT$4=0,0,IF(COUNTIFS(実績!$W$6:$W$505,CT$3,実績!$AI$6:$AI$505,"&lt;="&amp;$A48,実績!$AJ$6:$AJ$505,"&gt;"&amp;$A48,実績!$AK$6:$AK$505,"○")&gt;0,1,0))</f>
        <v>0</v>
      </c>
      <c r="CU48" s="39" t="n">
        <f aca="false">IF(CU$4=0,0,IF(COUNTIFS(実績!$W$6:$W$505,CU$3,実績!$AI$6:$AI$505,"&lt;="&amp;$A48,実績!$AJ$6:$AJ$505,"&gt;"&amp;$A48,実績!$AK$6:$AK$505,"○")&gt;0,1,0))</f>
        <v>0</v>
      </c>
      <c r="CV48" s="39" t="n">
        <f aca="false">IF(CV$4=0,0,IF(COUNTIFS(実績!$W$6:$W$505,CV$3,実績!$AI$6:$AI$505,"&lt;="&amp;$A48,実績!$AJ$6:$AJ$505,"&gt;"&amp;$A48,実績!$AK$6:$AK$505,"○")&gt;0,1,0))</f>
        <v>0</v>
      </c>
      <c r="CW48" s="39" t="n">
        <f aca="false">IF(CW$4=0,0,IF(COUNTIFS(実績!$W$6:$W$505,CW$3,実績!$AI$6:$AI$505,"&lt;="&amp;$A48,実績!$AJ$6:$AJ$505,"&gt;"&amp;$A48,実績!$AK$6:$AK$505,"○")&gt;0,1,0))</f>
        <v>0</v>
      </c>
      <c r="CX48" s="39" t="n">
        <f aca="false">IF(CX$4=0,0,IF(COUNTIFS(実績!$W$6:$W$505,CX$3,実績!$AI$6:$AI$505,"&lt;="&amp;$A48,実績!$AJ$6:$AJ$505,"&gt;"&amp;$A48,実績!$AK$6:$AK$505,"○")&gt;0,1,0))</f>
        <v>0</v>
      </c>
      <c r="CY48" s="39" t="n">
        <f aca="false">IF(CY$4=0,0,IF(COUNTIFS(実績!$W$6:$W$505,CY$3,実績!$AI$6:$AI$505,"&lt;="&amp;$A48,実績!$AJ$6:$AJ$505,"&gt;"&amp;$A48,実績!$AK$6:$AK$505,"○")&gt;0,1,0))</f>
        <v>0</v>
      </c>
      <c r="CZ48" s="39" t="n">
        <f aca="false">IF(CZ$4=0,0,IF(COUNTIFS(実績!$W$6:$W$505,CZ$3,実績!$AI$6:$AI$505,"&lt;="&amp;$A48,実績!$AJ$6:$AJ$505,"&gt;"&amp;$A48,実績!$AK$6:$AK$505,"○")&gt;0,1,0))</f>
        <v>0</v>
      </c>
      <c r="DA48" s="39" t="n">
        <f aca="false">IF(DA$4=0,0,IF(COUNTIFS(実績!$W$6:$W$505,DA$3,実績!$AI$6:$AI$505,"&lt;="&amp;$A48,実績!$AJ$6:$AJ$505,"&gt;"&amp;$A48,実績!$AK$6:$AK$505,"○")&gt;0,1,0))</f>
        <v>0</v>
      </c>
      <c r="DB48" s="39" t="n">
        <f aca="false">IF(DB$4=0,0,IF(COUNTIFS(実績!$W$6:$W$505,DB$3,実績!$AI$6:$AI$505,"&lt;="&amp;$A48,実績!$AJ$6:$AJ$505,"&gt;"&amp;$A48,実績!$AK$6:$AK$505,"○")&gt;0,1,0))</f>
        <v>0</v>
      </c>
      <c r="DC48" s="39" t="n">
        <f aca="false">IF(DC$4=0,0,IF(COUNTIFS(実績!$W$6:$W$505,DC$3,実績!$AI$6:$AI$505,"&lt;="&amp;$A48,実績!$AJ$6:$AJ$505,"&gt;"&amp;$A48,実績!$AK$6:$AK$505,"○")&gt;0,1,0))</f>
        <v>0</v>
      </c>
      <c r="DD48" s="39" t="n">
        <f aca="false">IF(DD$4=0,0,IF(COUNTIFS(実績!$W$6:$W$505,DD$3,実績!$AI$6:$AI$505,"&lt;="&amp;$A48,実績!$AJ$6:$AJ$505,"&gt;"&amp;$A48,実績!$AK$6:$AK$505,"○")&gt;0,1,0))</f>
        <v>0</v>
      </c>
      <c r="DE48" s="39" t="n">
        <f aca="false">IF(DE$4=0,0,IF(COUNTIFS(実績!$W$6:$W$505,DE$3,実績!$AI$6:$AI$505,"&lt;="&amp;$A48,実績!$AJ$6:$AJ$505,"&gt;"&amp;$A48,実績!$AK$6:$AK$505,"○")&gt;0,1,0))</f>
        <v>0</v>
      </c>
      <c r="DF48" s="39" t="n">
        <f aca="false">IF(DF$4=0,0,IF(COUNTIFS(実績!$W$6:$W$505,DF$3,実績!$AI$6:$AI$505,"&lt;="&amp;$A48,実績!$AJ$6:$AJ$505,"&gt;"&amp;$A48,実績!$AK$6:$AK$505,"○")&gt;0,1,0))</f>
        <v>0</v>
      </c>
      <c r="DG48" s="39" t="n">
        <f aca="false">IF(DG$4=0,0,IF(COUNTIFS(実績!$W$6:$W$505,DG$3,実績!$AI$6:$AI$505,"&lt;="&amp;$A48,実績!$AJ$6:$AJ$505,"&gt;"&amp;$A48,実績!$AK$6:$AK$505,"○")&gt;0,1,0))</f>
        <v>0</v>
      </c>
      <c r="DH48" s="39" t="n">
        <f aca="false">IF(DH$4=0,0,IF(COUNTIFS(実績!$W$6:$W$505,DH$3,実績!$AI$6:$AI$505,"&lt;="&amp;$A48,実績!$AJ$6:$AJ$505,"&gt;"&amp;$A48,実績!$AK$6:$AK$505,"○")&gt;0,1,0))</f>
        <v>0</v>
      </c>
      <c r="DI48" s="39" t="n">
        <f aca="false">IF(DI$4=0,0,IF(COUNTIFS(実績!$W$6:$W$505,DI$3,実績!$AI$6:$AI$505,"&lt;="&amp;$A48,実績!$AJ$6:$AJ$505,"&gt;"&amp;$A48,実績!$AK$6:$AK$505,"○")&gt;0,1,0))</f>
        <v>0</v>
      </c>
      <c r="DJ48" s="39" t="n">
        <f aca="false">IF(DJ$4=0,0,IF(COUNTIFS(実績!$W$6:$W$505,DJ$3,実績!$AI$6:$AI$505,"&lt;="&amp;$A48,実績!$AJ$6:$AJ$505,"&gt;"&amp;$A48,実績!$AK$6:$AK$505,"○")&gt;0,1,0))</f>
        <v>0</v>
      </c>
      <c r="DK48" s="39" t="n">
        <f aca="false">IF(DK$4=0,0,IF(COUNTIFS(実績!$W$6:$W$505,DK$3,実績!$AI$6:$AI$505,"&lt;="&amp;$A48,実績!$AJ$6:$AJ$505,"&gt;"&amp;$A48,実績!$AK$6:$AK$505,"○")&gt;0,1,0))</f>
        <v>0</v>
      </c>
      <c r="DL48" s="39" t="n">
        <f aca="false">IF(DL$4=0,0,IF(COUNTIFS(実績!$W$6:$W$505,DL$3,実績!$AI$6:$AI$505,"&lt;="&amp;$A48,実績!$AJ$6:$AJ$505,"&gt;"&amp;$A48,実績!$AK$6:$AK$505,"○")&gt;0,1,0))</f>
        <v>0</v>
      </c>
      <c r="DM48" s="39" t="n">
        <f aca="false">IF(DM$4=0,0,IF(COUNTIFS(実績!$W$6:$W$505,DM$3,実績!$AI$6:$AI$505,"&lt;="&amp;$A48,実績!$AJ$6:$AJ$505,"&gt;"&amp;$A48,実績!$AK$6:$AK$505,"○")&gt;0,1,0))</f>
        <v>0</v>
      </c>
      <c r="DN48" s="39" t="n">
        <f aca="false">IF(DN$4=0,0,IF(COUNTIFS(実績!$W$6:$W$505,DN$3,実績!$AI$6:$AI$505,"&lt;="&amp;$A48,実績!$AJ$6:$AJ$505,"&gt;"&amp;$A48,実績!$AK$6:$AK$505,"○")&gt;0,1,0))</f>
        <v>0</v>
      </c>
      <c r="DO48" s="39" t="n">
        <f aca="false">IF(DO$4=0,0,IF(COUNTIFS(実績!$W$6:$W$505,DO$3,実績!$AI$6:$AI$505,"&lt;="&amp;$A48,実績!$AJ$6:$AJ$505,"&gt;"&amp;$A48,実績!$AK$6:$AK$505,"○")&gt;0,1,0))</f>
        <v>0</v>
      </c>
      <c r="DP48" s="39" t="n">
        <f aca="false">IF(DP$4=0,0,IF(COUNTIFS(実績!$W$6:$W$505,DP$3,実績!$AI$6:$AI$505,"&lt;="&amp;$A48,実績!$AJ$6:$AJ$505,"&gt;"&amp;$A48,実績!$AK$6:$AK$505,"○")&gt;0,1,0))</f>
        <v>0</v>
      </c>
      <c r="DQ48" s="39" t="n">
        <f aca="false">IF(DQ$4=0,0,IF(COUNTIFS(実績!$W$6:$W$505,DQ$3,実績!$AI$6:$AI$505,"&lt;="&amp;$A48,実績!$AJ$6:$AJ$505,"&gt;"&amp;$A48,実績!$AK$6:$AK$505,"○")&gt;0,1,0))</f>
        <v>0</v>
      </c>
      <c r="DR48" s="39" t="n">
        <f aca="false">IF(DR$4=0,0,IF(COUNTIFS(実績!$W$6:$W$505,DR$3,実績!$AI$6:$AI$505,"&lt;="&amp;$A48,実績!$AJ$6:$AJ$505,"&gt;"&amp;$A48,実績!$AK$6:$AK$505,"○")&gt;0,1,0))</f>
        <v>0</v>
      </c>
      <c r="DS48" s="39" t="n">
        <f aca="false">SUM(C48:DR48)</f>
        <v>0</v>
      </c>
      <c r="DT48" s="39" t="n">
        <f aca="false">SUMPRODUCT((実績!$C$6:$C$505="○")*ISNUMBER(実績!$AM$6:$AM$505)*(実績!$AM$6:$AM$505&lt;=$A48)*(実績!$AN$6:$AN$505&gt;$A48))</f>
        <v>0</v>
      </c>
      <c r="DU48" s="39" t="n">
        <f aca="false">SUMIF($C$2:$DR$2,"製鉄曳船",C48:DR48)</f>
        <v>0</v>
      </c>
      <c r="DV48" s="39" t="n">
        <f aca="false">SUMIF($C$2:$DR$2,"西日本海運",C48:DR48)</f>
        <v>0</v>
      </c>
    </row>
    <row r="49" customFormat="false" ht="15" hidden="false" customHeight="false" outlineLevel="0" collapsed="false">
      <c r="A49" s="0" t="n">
        <v>215</v>
      </c>
      <c r="B49" s="38" t="n">
        <f aca="false">A49/1440</f>
        <v>0.149305555555556</v>
      </c>
      <c r="C49" s="39" t="n">
        <f aca="false">IF(C$4=0,0,IF(COUNTIFS(実績!$W$6:$W$505,C$3,実績!$AI$6:$AI$505,"&lt;="&amp;$A49,実績!$AJ$6:$AJ$505,"&gt;"&amp;$A49,実績!$AK$6:$AK$505,"○")&gt;0,1,0))</f>
        <v>0</v>
      </c>
      <c r="D49" s="39" t="n">
        <f aca="false">IF(D$4=0,0,IF(COUNTIFS(実績!$W$6:$W$505,D$3,実績!$AI$6:$AI$505,"&lt;="&amp;$A49,実績!$AJ$6:$AJ$505,"&gt;"&amp;$A49,実績!$AK$6:$AK$505,"○")&gt;0,1,0))</f>
        <v>0</v>
      </c>
      <c r="E49" s="39" t="n">
        <f aca="false">IF(E$4=0,0,IF(COUNTIFS(実績!$W$6:$W$505,E$3,実績!$AI$6:$AI$505,"&lt;="&amp;$A49,実績!$AJ$6:$AJ$505,"&gt;"&amp;$A49,実績!$AK$6:$AK$505,"○")&gt;0,1,0))</f>
        <v>0</v>
      </c>
      <c r="F49" s="39" t="n">
        <f aca="false">IF(F$4=0,0,IF(COUNTIFS(実績!$W$6:$W$505,F$3,実績!$AI$6:$AI$505,"&lt;="&amp;$A49,実績!$AJ$6:$AJ$505,"&gt;"&amp;$A49,実績!$AK$6:$AK$505,"○")&gt;0,1,0))</f>
        <v>0</v>
      </c>
      <c r="G49" s="39" t="n">
        <f aca="false">IF(G$4=0,0,IF(COUNTIFS(実績!$W$6:$W$505,G$3,実績!$AI$6:$AI$505,"&lt;="&amp;$A49,実績!$AJ$6:$AJ$505,"&gt;"&amp;$A49,実績!$AK$6:$AK$505,"○")&gt;0,1,0))</f>
        <v>0</v>
      </c>
      <c r="H49" s="39" t="n">
        <f aca="false">IF(H$4=0,0,IF(COUNTIFS(実績!$W$6:$W$505,H$3,実績!$AI$6:$AI$505,"&lt;="&amp;$A49,実績!$AJ$6:$AJ$505,"&gt;"&amp;$A49,実績!$AK$6:$AK$505,"○")&gt;0,1,0))</f>
        <v>0</v>
      </c>
      <c r="I49" s="39" t="n">
        <f aca="false">IF(I$4=0,0,IF(COUNTIFS(実績!$W$6:$W$505,I$3,実績!$AI$6:$AI$505,"&lt;="&amp;$A49,実績!$AJ$6:$AJ$505,"&gt;"&amp;$A49,実績!$AK$6:$AK$505,"○")&gt;0,1,0))</f>
        <v>0</v>
      </c>
      <c r="J49" s="39" t="n">
        <f aca="false">IF(J$4=0,0,IF(COUNTIFS(実績!$W$6:$W$505,J$3,実績!$AI$6:$AI$505,"&lt;="&amp;$A49,実績!$AJ$6:$AJ$505,"&gt;"&amp;$A49,実績!$AK$6:$AK$505,"○")&gt;0,1,0))</f>
        <v>0</v>
      </c>
      <c r="K49" s="39" t="n">
        <f aca="false">IF(K$4=0,0,IF(COUNTIFS(実績!$W$6:$W$505,K$3,実績!$AI$6:$AI$505,"&lt;="&amp;$A49,実績!$AJ$6:$AJ$505,"&gt;"&amp;$A49,実績!$AK$6:$AK$505,"○")&gt;0,1,0))</f>
        <v>0</v>
      </c>
      <c r="L49" s="39" t="n">
        <f aca="false">IF(L$4=0,0,IF(COUNTIFS(実績!$W$6:$W$505,L$3,実績!$AI$6:$AI$505,"&lt;="&amp;$A49,実績!$AJ$6:$AJ$505,"&gt;"&amp;$A49,実績!$AK$6:$AK$505,"○")&gt;0,1,0))</f>
        <v>0</v>
      </c>
      <c r="M49" s="39" t="n">
        <f aca="false">IF(M$4=0,0,IF(COUNTIFS(実績!$W$6:$W$505,M$3,実績!$AI$6:$AI$505,"&lt;="&amp;$A49,実績!$AJ$6:$AJ$505,"&gt;"&amp;$A49,実績!$AK$6:$AK$505,"○")&gt;0,1,0))</f>
        <v>0</v>
      </c>
      <c r="N49" s="39" t="n">
        <f aca="false">IF(N$4=0,0,IF(COUNTIFS(実績!$W$6:$W$505,N$3,実績!$AI$6:$AI$505,"&lt;="&amp;$A49,実績!$AJ$6:$AJ$505,"&gt;"&amp;$A49,実績!$AK$6:$AK$505,"○")&gt;0,1,0))</f>
        <v>0</v>
      </c>
      <c r="O49" s="39" t="n">
        <f aca="false">IF(O$4=0,0,IF(COUNTIFS(実績!$W$6:$W$505,O$3,実績!$AI$6:$AI$505,"&lt;="&amp;$A49,実績!$AJ$6:$AJ$505,"&gt;"&amp;$A49,実績!$AK$6:$AK$505,"○")&gt;0,1,0))</f>
        <v>0</v>
      </c>
      <c r="P49" s="39" t="n">
        <f aca="false">IF(P$4=0,0,IF(COUNTIFS(実績!$W$6:$W$505,P$3,実績!$AI$6:$AI$505,"&lt;="&amp;$A49,実績!$AJ$6:$AJ$505,"&gt;"&amp;$A49,実績!$AK$6:$AK$505,"○")&gt;0,1,0))</f>
        <v>0</v>
      </c>
      <c r="Q49" s="39" t="n">
        <f aca="false">IF(Q$4=0,0,IF(COUNTIFS(実績!$W$6:$W$505,Q$3,実績!$AI$6:$AI$505,"&lt;="&amp;$A49,実績!$AJ$6:$AJ$505,"&gt;"&amp;$A49,実績!$AK$6:$AK$505,"○")&gt;0,1,0))</f>
        <v>0</v>
      </c>
      <c r="R49" s="39" t="n">
        <f aca="false">IF(R$4=0,0,IF(COUNTIFS(実績!$W$6:$W$505,R$3,実績!$AI$6:$AI$505,"&lt;="&amp;$A49,実績!$AJ$6:$AJ$505,"&gt;"&amp;$A49,実績!$AK$6:$AK$505,"○")&gt;0,1,0))</f>
        <v>0</v>
      </c>
      <c r="S49" s="39" t="n">
        <f aca="false">IF(S$4=0,0,IF(COUNTIFS(実績!$W$6:$W$505,S$3,実績!$AI$6:$AI$505,"&lt;="&amp;$A49,実績!$AJ$6:$AJ$505,"&gt;"&amp;$A49,実績!$AK$6:$AK$505,"○")&gt;0,1,0))</f>
        <v>0</v>
      </c>
      <c r="T49" s="39" t="n">
        <f aca="false">IF(T$4=0,0,IF(COUNTIFS(実績!$W$6:$W$505,T$3,実績!$AI$6:$AI$505,"&lt;="&amp;$A49,実績!$AJ$6:$AJ$505,"&gt;"&amp;$A49,実績!$AK$6:$AK$505,"○")&gt;0,1,0))</f>
        <v>0</v>
      </c>
      <c r="U49" s="39" t="n">
        <f aca="false">IF(U$4=0,0,IF(COUNTIFS(実績!$W$6:$W$505,U$3,実績!$AI$6:$AI$505,"&lt;="&amp;$A49,実績!$AJ$6:$AJ$505,"&gt;"&amp;$A49,実績!$AK$6:$AK$505,"○")&gt;0,1,0))</f>
        <v>0</v>
      </c>
      <c r="V49" s="39" t="n">
        <f aca="false">IF(V$4=0,0,IF(COUNTIFS(実績!$W$6:$W$505,V$3,実績!$AI$6:$AI$505,"&lt;="&amp;$A49,実績!$AJ$6:$AJ$505,"&gt;"&amp;$A49,実績!$AK$6:$AK$505,"○")&gt;0,1,0))</f>
        <v>0</v>
      </c>
      <c r="W49" s="39" t="n">
        <f aca="false">IF(W$4=0,0,IF(COUNTIFS(実績!$W$6:$W$505,W$3,実績!$AI$6:$AI$505,"&lt;="&amp;$A49,実績!$AJ$6:$AJ$505,"&gt;"&amp;$A49,実績!$AK$6:$AK$505,"○")&gt;0,1,0))</f>
        <v>0</v>
      </c>
      <c r="X49" s="39" t="n">
        <f aca="false">IF(X$4=0,0,IF(COUNTIFS(実績!$W$6:$W$505,X$3,実績!$AI$6:$AI$505,"&lt;="&amp;$A49,実績!$AJ$6:$AJ$505,"&gt;"&amp;$A49,実績!$AK$6:$AK$505,"○")&gt;0,1,0))</f>
        <v>0</v>
      </c>
      <c r="Y49" s="39" t="n">
        <f aca="false">IF(Y$4=0,0,IF(COUNTIFS(実績!$W$6:$W$505,Y$3,実績!$AI$6:$AI$505,"&lt;="&amp;$A49,実績!$AJ$6:$AJ$505,"&gt;"&amp;$A49,実績!$AK$6:$AK$505,"○")&gt;0,1,0))</f>
        <v>0</v>
      </c>
      <c r="Z49" s="39" t="n">
        <f aca="false">IF(Z$4=0,0,IF(COUNTIFS(実績!$W$6:$W$505,Z$3,実績!$AI$6:$AI$505,"&lt;="&amp;$A49,実績!$AJ$6:$AJ$505,"&gt;"&amp;$A49,実績!$AK$6:$AK$505,"○")&gt;0,1,0))</f>
        <v>0</v>
      </c>
      <c r="AA49" s="39" t="n">
        <f aca="false">IF(AA$4=0,0,IF(COUNTIFS(実績!$W$6:$W$505,AA$3,実績!$AI$6:$AI$505,"&lt;="&amp;$A49,実績!$AJ$6:$AJ$505,"&gt;"&amp;$A49,実績!$AK$6:$AK$505,"○")&gt;0,1,0))</f>
        <v>0</v>
      </c>
      <c r="AB49" s="39" t="n">
        <f aca="false">IF(AB$4=0,0,IF(COUNTIFS(実績!$W$6:$W$505,AB$3,実績!$AI$6:$AI$505,"&lt;="&amp;$A49,実績!$AJ$6:$AJ$505,"&gt;"&amp;$A49,実績!$AK$6:$AK$505,"○")&gt;0,1,0))</f>
        <v>0</v>
      </c>
      <c r="AC49" s="39" t="n">
        <f aca="false">IF(AC$4=0,0,IF(COUNTIFS(実績!$W$6:$W$505,AC$3,実績!$AI$6:$AI$505,"&lt;="&amp;$A49,実績!$AJ$6:$AJ$505,"&gt;"&amp;$A49,実績!$AK$6:$AK$505,"○")&gt;0,1,0))</f>
        <v>0</v>
      </c>
      <c r="AD49" s="39" t="n">
        <f aca="false">IF(AD$4=0,0,IF(COUNTIFS(実績!$W$6:$W$505,AD$3,実績!$AI$6:$AI$505,"&lt;="&amp;$A49,実績!$AJ$6:$AJ$505,"&gt;"&amp;$A49,実績!$AK$6:$AK$505,"○")&gt;0,1,0))</f>
        <v>0</v>
      </c>
      <c r="AE49" s="39" t="n">
        <f aca="false">IF(AE$4=0,0,IF(COUNTIFS(実績!$W$6:$W$505,AE$3,実績!$AI$6:$AI$505,"&lt;="&amp;$A49,実績!$AJ$6:$AJ$505,"&gt;"&amp;$A49,実績!$AK$6:$AK$505,"○")&gt;0,1,0))</f>
        <v>0</v>
      </c>
      <c r="AF49" s="39" t="n">
        <f aca="false">IF(AF$4=0,0,IF(COUNTIFS(実績!$W$6:$W$505,AF$3,実績!$AI$6:$AI$505,"&lt;="&amp;$A49,実績!$AJ$6:$AJ$505,"&gt;"&amp;$A49,実績!$AK$6:$AK$505,"○")&gt;0,1,0))</f>
        <v>0</v>
      </c>
      <c r="AG49" s="39" t="n">
        <f aca="false">IF(AG$4=0,0,IF(COUNTIFS(実績!$W$6:$W$505,AG$3,実績!$AI$6:$AI$505,"&lt;="&amp;$A49,実績!$AJ$6:$AJ$505,"&gt;"&amp;$A49,実績!$AK$6:$AK$505,"○")&gt;0,1,0))</f>
        <v>0</v>
      </c>
      <c r="AH49" s="39" t="n">
        <f aca="false">IF(AH$4=0,0,IF(COUNTIFS(実績!$W$6:$W$505,AH$3,実績!$AI$6:$AI$505,"&lt;="&amp;$A49,実績!$AJ$6:$AJ$505,"&gt;"&amp;$A49,実績!$AK$6:$AK$505,"○")&gt;0,1,0))</f>
        <v>0</v>
      </c>
      <c r="AI49" s="39" t="n">
        <f aca="false">IF(AI$4=0,0,IF(COUNTIFS(実績!$W$6:$W$505,AI$3,実績!$AI$6:$AI$505,"&lt;="&amp;$A49,実績!$AJ$6:$AJ$505,"&gt;"&amp;$A49,実績!$AK$6:$AK$505,"○")&gt;0,1,0))</f>
        <v>0</v>
      </c>
      <c r="AJ49" s="39" t="n">
        <f aca="false">IF(AJ$4=0,0,IF(COUNTIFS(実績!$W$6:$W$505,AJ$3,実績!$AI$6:$AI$505,"&lt;="&amp;$A49,実績!$AJ$6:$AJ$505,"&gt;"&amp;$A49,実績!$AK$6:$AK$505,"○")&gt;0,1,0))</f>
        <v>0</v>
      </c>
      <c r="AK49" s="39" t="n">
        <f aca="false">IF(AK$4=0,0,IF(COUNTIFS(実績!$W$6:$W$505,AK$3,実績!$AI$6:$AI$505,"&lt;="&amp;$A49,実績!$AJ$6:$AJ$505,"&gt;"&amp;$A49,実績!$AK$6:$AK$505,"○")&gt;0,1,0))</f>
        <v>0</v>
      </c>
      <c r="AL49" s="39" t="n">
        <f aca="false">IF(AL$4=0,0,IF(COUNTIFS(実績!$W$6:$W$505,AL$3,実績!$AI$6:$AI$505,"&lt;="&amp;$A49,実績!$AJ$6:$AJ$505,"&gt;"&amp;$A49,実績!$AK$6:$AK$505,"○")&gt;0,1,0))</f>
        <v>0</v>
      </c>
      <c r="AM49" s="39" t="n">
        <f aca="false">IF(AM$4=0,0,IF(COUNTIFS(実績!$W$6:$W$505,AM$3,実績!$AI$6:$AI$505,"&lt;="&amp;$A49,実績!$AJ$6:$AJ$505,"&gt;"&amp;$A49,実績!$AK$6:$AK$505,"○")&gt;0,1,0))</f>
        <v>0</v>
      </c>
      <c r="AN49" s="39" t="n">
        <f aca="false">IF(AN$4=0,0,IF(COUNTIFS(実績!$W$6:$W$505,AN$3,実績!$AI$6:$AI$505,"&lt;="&amp;$A49,実績!$AJ$6:$AJ$505,"&gt;"&amp;$A49,実績!$AK$6:$AK$505,"○")&gt;0,1,0))</f>
        <v>0</v>
      </c>
      <c r="AO49" s="39" t="n">
        <f aca="false">IF(AO$4=0,0,IF(COUNTIFS(実績!$W$6:$W$505,AO$3,実績!$AI$6:$AI$505,"&lt;="&amp;$A49,実績!$AJ$6:$AJ$505,"&gt;"&amp;$A49,実績!$AK$6:$AK$505,"○")&gt;0,1,0))</f>
        <v>0</v>
      </c>
      <c r="AP49" s="39" t="n">
        <f aca="false">IF(AP$4=0,0,IF(COUNTIFS(実績!$W$6:$W$505,AP$3,実績!$AI$6:$AI$505,"&lt;="&amp;$A49,実績!$AJ$6:$AJ$505,"&gt;"&amp;$A49,実績!$AK$6:$AK$505,"○")&gt;0,1,0))</f>
        <v>0</v>
      </c>
      <c r="AQ49" s="39" t="n">
        <f aca="false">IF(AQ$4=0,0,IF(COUNTIFS(実績!$W$6:$W$505,AQ$3,実績!$AI$6:$AI$505,"&lt;="&amp;$A49,実績!$AJ$6:$AJ$505,"&gt;"&amp;$A49,実績!$AK$6:$AK$505,"○")&gt;0,1,0))</f>
        <v>0</v>
      </c>
      <c r="AR49" s="39" t="n">
        <f aca="false">IF(AR$4=0,0,IF(COUNTIFS(実績!$W$6:$W$505,AR$3,実績!$AI$6:$AI$505,"&lt;="&amp;$A49,実績!$AJ$6:$AJ$505,"&gt;"&amp;$A49,実績!$AK$6:$AK$505,"○")&gt;0,1,0))</f>
        <v>0</v>
      </c>
      <c r="AS49" s="39" t="n">
        <f aca="false">IF(AS$4=0,0,IF(COUNTIFS(実績!$W$6:$W$505,AS$3,実績!$AI$6:$AI$505,"&lt;="&amp;$A49,実績!$AJ$6:$AJ$505,"&gt;"&amp;$A49,実績!$AK$6:$AK$505,"○")&gt;0,1,0))</f>
        <v>0</v>
      </c>
      <c r="AT49" s="39" t="n">
        <f aca="false">IF(AT$4=0,0,IF(COUNTIFS(実績!$W$6:$W$505,AT$3,実績!$AI$6:$AI$505,"&lt;="&amp;$A49,実績!$AJ$6:$AJ$505,"&gt;"&amp;$A49,実績!$AK$6:$AK$505,"○")&gt;0,1,0))</f>
        <v>0</v>
      </c>
      <c r="AU49" s="39" t="n">
        <f aca="false">IF(AU$4=0,0,IF(COUNTIFS(実績!$W$6:$W$505,AU$3,実績!$AI$6:$AI$505,"&lt;="&amp;$A49,実績!$AJ$6:$AJ$505,"&gt;"&amp;$A49,実績!$AK$6:$AK$505,"○")&gt;0,1,0))</f>
        <v>0</v>
      </c>
      <c r="AV49" s="39" t="n">
        <f aca="false">IF(AV$4=0,0,IF(COUNTIFS(実績!$W$6:$W$505,AV$3,実績!$AI$6:$AI$505,"&lt;="&amp;$A49,実績!$AJ$6:$AJ$505,"&gt;"&amp;$A49,実績!$AK$6:$AK$505,"○")&gt;0,1,0))</f>
        <v>0</v>
      </c>
      <c r="AW49" s="39" t="n">
        <f aca="false">IF(AW$4=0,0,IF(COUNTIFS(実績!$W$6:$W$505,AW$3,実績!$AI$6:$AI$505,"&lt;="&amp;$A49,実績!$AJ$6:$AJ$505,"&gt;"&amp;$A49,実績!$AK$6:$AK$505,"○")&gt;0,1,0))</f>
        <v>0</v>
      </c>
      <c r="AX49" s="39" t="n">
        <f aca="false">IF(AX$4=0,0,IF(COUNTIFS(実績!$W$6:$W$505,AX$3,実績!$AI$6:$AI$505,"&lt;="&amp;$A49,実績!$AJ$6:$AJ$505,"&gt;"&amp;$A49,実績!$AK$6:$AK$505,"○")&gt;0,1,0))</f>
        <v>0</v>
      </c>
      <c r="AY49" s="39" t="n">
        <f aca="false">IF(AY$4=0,0,IF(COUNTIFS(実績!$W$6:$W$505,AY$3,実績!$AI$6:$AI$505,"&lt;="&amp;$A49,実績!$AJ$6:$AJ$505,"&gt;"&amp;$A49,実績!$AK$6:$AK$505,"○")&gt;0,1,0))</f>
        <v>0</v>
      </c>
      <c r="AZ49" s="39" t="n">
        <f aca="false">IF(AZ$4=0,0,IF(COUNTIFS(実績!$W$6:$W$505,AZ$3,実績!$AI$6:$AI$505,"&lt;="&amp;$A49,実績!$AJ$6:$AJ$505,"&gt;"&amp;$A49,実績!$AK$6:$AK$505,"○")&gt;0,1,0))</f>
        <v>0</v>
      </c>
      <c r="BA49" s="39" t="n">
        <f aca="false">IF(BA$4=0,0,IF(COUNTIFS(実績!$W$6:$W$505,BA$3,実績!$AI$6:$AI$505,"&lt;="&amp;$A49,実績!$AJ$6:$AJ$505,"&gt;"&amp;$A49,実績!$AK$6:$AK$505,"○")&gt;0,1,0))</f>
        <v>0</v>
      </c>
      <c r="BB49" s="39" t="n">
        <f aca="false">IF(BB$4=0,0,IF(COUNTIFS(実績!$W$6:$W$505,BB$3,実績!$AI$6:$AI$505,"&lt;="&amp;$A49,実績!$AJ$6:$AJ$505,"&gt;"&amp;$A49,実績!$AK$6:$AK$505,"○")&gt;0,1,0))</f>
        <v>0</v>
      </c>
      <c r="BC49" s="39" t="n">
        <f aca="false">IF(BC$4=0,0,IF(COUNTIFS(実績!$W$6:$W$505,BC$3,実績!$AI$6:$AI$505,"&lt;="&amp;$A49,実績!$AJ$6:$AJ$505,"&gt;"&amp;$A49,実績!$AK$6:$AK$505,"○")&gt;0,1,0))</f>
        <v>0</v>
      </c>
      <c r="BD49" s="39" t="n">
        <f aca="false">IF(BD$4=0,0,IF(COUNTIFS(実績!$W$6:$W$505,BD$3,実績!$AI$6:$AI$505,"&lt;="&amp;$A49,実績!$AJ$6:$AJ$505,"&gt;"&amp;$A49,実績!$AK$6:$AK$505,"○")&gt;0,1,0))</f>
        <v>0</v>
      </c>
      <c r="BE49" s="39" t="n">
        <f aca="false">IF(BE$4=0,0,IF(COUNTIFS(実績!$W$6:$W$505,BE$3,実績!$AI$6:$AI$505,"&lt;="&amp;$A49,実績!$AJ$6:$AJ$505,"&gt;"&amp;$A49,実績!$AK$6:$AK$505,"○")&gt;0,1,0))</f>
        <v>0</v>
      </c>
      <c r="BF49" s="39" t="n">
        <f aca="false">IF(BF$4=0,0,IF(COUNTIFS(実績!$W$6:$W$505,BF$3,実績!$AI$6:$AI$505,"&lt;="&amp;$A49,実績!$AJ$6:$AJ$505,"&gt;"&amp;$A49,実績!$AK$6:$AK$505,"○")&gt;0,1,0))</f>
        <v>0</v>
      </c>
      <c r="BG49" s="39" t="n">
        <f aca="false">IF(BG$4=0,0,IF(COUNTIFS(実績!$W$6:$W$505,BG$3,実績!$AI$6:$AI$505,"&lt;="&amp;$A49,実績!$AJ$6:$AJ$505,"&gt;"&amp;$A49,実績!$AK$6:$AK$505,"○")&gt;0,1,0))</f>
        <v>0</v>
      </c>
      <c r="BH49" s="39" t="n">
        <f aca="false">IF(BH$4=0,0,IF(COUNTIFS(実績!$W$6:$W$505,BH$3,実績!$AI$6:$AI$505,"&lt;="&amp;$A49,実績!$AJ$6:$AJ$505,"&gt;"&amp;$A49,実績!$AK$6:$AK$505,"○")&gt;0,1,0))</f>
        <v>0</v>
      </c>
      <c r="BI49" s="39" t="n">
        <f aca="false">IF(BI$4=0,0,IF(COUNTIFS(実績!$W$6:$W$505,BI$3,実績!$AI$6:$AI$505,"&lt;="&amp;$A49,実績!$AJ$6:$AJ$505,"&gt;"&amp;$A49,実績!$AK$6:$AK$505,"○")&gt;0,1,0))</f>
        <v>0</v>
      </c>
      <c r="BJ49" s="39" t="n">
        <f aca="false">IF(BJ$4=0,0,IF(COUNTIFS(実績!$W$6:$W$505,BJ$3,実績!$AI$6:$AI$505,"&lt;="&amp;$A49,実績!$AJ$6:$AJ$505,"&gt;"&amp;$A49,実績!$AK$6:$AK$505,"○")&gt;0,1,0))</f>
        <v>0</v>
      </c>
      <c r="BK49" s="39" t="n">
        <f aca="false">IF(BK$4=0,0,IF(COUNTIFS(実績!$W$6:$W$505,BK$3,実績!$AI$6:$AI$505,"&lt;="&amp;$A49,実績!$AJ$6:$AJ$505,"&gt;"&amp;$A49,実績!$AK$6:$AK$505,"○")&gt;0,1,0))</f>
        <v>0</v>
      </c>
      <c r="BL49" s="39" t="n">
        <f aca="false">IF(BL$4=0,0,IF(COUNTIFS(実績!$W$6:$W$505,BL$3,実績!$AI$6:$AI$505,"&lt;="&amp;$A49,実績!$AJ$6:$AJ$505,"&gt;"&amp;$A49,実績!$AK$6:$AK$505,"○")&gt;0,1,0))</f>
        <v>0</v>
      </c>
      <c r="BM49" s="39" t="n">
        <f aca="false">IF(BM$4=0,0,IF(COUNTIFS(実績!$W$6:$W$505,BM$3,実績!$AI$6:$AI$505,"&lt;="&amp;$A49,実績!$AJ$6:$AJ$505,"&gt;"&amp;$A49,実績!$AK$6:$AK$505,"○")&gt;0,1,0))</f>
        <v>0</v>
      </c>
      <c r="BN49" s="39" t="n">
        <f aca="false">IF(BN$4=0,0,IF(COUNTIFS(実績!$W$6:$W$505,BN$3,実績!$AI$6:$AI$505,"&lt;="&amp;$A49,実績!$AJ$6:$AJ$505,"&gt;"&amp;$A49,実績!$AK$6:$AK$505,"○")&gt;0,1,0))</f>
        <v>0</v>
      </c>
      <c r="BO49" s="39" t="n">
        <f aca="false">IF(BO$4=0,0,IF(COUNTIFS(実績!$W$6:$W$505,BO$3,実績!$AI$6:$AI$505,"&lt;="&amp;$A49,実績!$AJ$6:$AJ$505,"&gt;"&amp;$A49,実績!$AK$6:$AK$505,"○")&gt;0,1,0))</f>
        <v>0</v>
      </c>
      <c r="BP49" s="39" t="n">
        <f aca="false">IF(BP$4=0,0,IF(COUNTIFS(実績!$W$6:$W$505,BP$3,実績!$AI$6:$AI$505,"&lt;="&amp;$A49,実績!$AJ$6:$AJ$505,"&gt;"&amp;$A49,実績!$AK$6:$AK$505,"○")&gt;0,1,0))</f>
        <v>0</v>
      </c>
      <c r="BQ49" s="39" t="n">
        <f aca="false">IF(BQ$4=0,0,IF(COUNTIFS(実績!$W$6:$W$505,BQ$3,実績!$AI$6:$AI$505,"&lt;="&amp;$A49,実績!$AJ$6:$AJ$505,"&gt;"&amp;$A49,実績!$AK$6:$AK$505,"○")&gt;0,1,0))</f>
        <v>0</v>
      </c>
      <c r="BR49" s="39" t="n">
        <f aca="false">IF(BR$4=0,0,IF(COUNTIFS(実績!$W$6:$W$505,BR$3,実績!$AI$6:$AI$505,"&lt;="&amp;$A49,実績!$AJ$6:$AJ$505,"&gt;"&amp;$A49,実績!$AK$6:$AK$505,"○")&gt;0,1,0))</f>
        <v>0</v>
      </c>
      <c r="BS49" s="39" t="n">
        <f aca="false">IF(BS$4=0,0,IF(COUNTIFS(実績!$W$6:$W$505,BS$3,実績!$AI$6:$AI$505,"&lt;="&amp;$A49,実績!$AJ$6:$AJ$505,"&gt;"&amp;$A49,実績!$AK$6:$AK$505,"○")&gt;0,1,0))</f>
        <v>0</v>
      </c>
      <c r="BT49" s="39" t="n">
        <f aca="false">IF(BT$4=0,0,IF(COUNTIFS(実績!$W$6:$W$505,BT$3,実績!$AI$6:$AI$505,"&lt;="&amp;$A49,実績!$AJ$6:$AJ$505,"&gt;"&amp;$A49,実績!$AK$6:$AK$505,"○")&gt;0,1,0))</f>
        <v>0</v>
      </c>
      <c r="BU49" s="39" t="n">
        <f aca="false">IF(BU$4=0,0,IF(COUNTIFS(実績!$W$6:$W$505,BU$3,実績!$AI$6:$AI$505,"&lt;="&amp;$A49,実績!$AJ$6:$AJ$505,"&gt;"&amp;$A49,実績!$AK$6:$AK$505,"○")&gt;0,1,0))</f>
        <v>0</v>
      </c>
      <c r="BV49" s="39" t="n">
        <f aca="false">IF(BV$4=0,0,IF(COUNTIFS(実績!$W$6:$W$505,BV$3,実績!$AI$6:$AI$505,"&lt;="&amp;$A49,実績!$AJ$6:$AJ$505,"&gt;"&amp;$A49,実績!$AK$6:$AK$505,"○")&gt;0,1,0))</f>
        <v>0</v>
      </c>
      <c r="BW49" s="39" t="n">
        <f aca="false">IF(BW$4=0,0,IF(COUNTIFS(実績!$W$6:$W$505,BW$3,実績!$AI$6:$AI$505,"&lt;="&amp;$A49,実績!$AJ$6:$AJ$505,"&gt;"&amp;$A49,実績!$AK$6:$AK$505,"○")&gt;0,1,0))</f>
        <v>0</v>
      </c>
      <c r="BX49" s="39" t="n">
        <f aca="false">IF(BX$4=0,0,IF(COUNTIFS(実績!$W$6:$W$505,BX$3,実績!$AI$6:$AI$505,"&lt;="&amp;$A49,実績!$AJ$6:$AJ$505,"&gt;"&amp;$A49,実績!$AK$6:$AK$505,"○")&gt;0,1,0))</f>
        <v>0</v>
      </c>
      <c r="BY49" s="39" t="n">
        <f aca="false">IF(BY$4=0,0,IF(COUNTIFS(実績!$W$6:$W$505,BY$3,実績!$AI$6:$AI$505,"&lt;="&amp;$A49,実績!$AJ$6:$AJ$505,"&gt;"&amp;$A49,実績!$AK$6:$AK$505,"○")&gt;0,1,0))</f>
        <v>0</v>
      </c>
      <c r="BZ49" s="39" t="n">
        <f aca="false">IF(BZ$4=0,0,IF(COUNTIFS(実績!$W$6:$W$505,BZ$3,実績!$AI$6:$AI$505,"&lt;="&amp;$A49,実績!$AJ$6:$AJ$505,"&gt;"&amp;$A49,実績!$AK$6:$AK$505,"○")&gt;0,1,0))</f>
        <v>0</v>
      </c>
      <c r="CA49" s="39" t="n">
        <f aca="false">IF(CA$4=0,0,IF(COUNTIFS(実績!$W$6:$W$505,CA$3,実績!$AI$6:$AI$505,"&lt;="&amp;$A49,実績!$AJ$6:$AJ$505,"&gt;"&amp;$A49,実績!$AK$6:$AK$505,"○")&gt;0,1,0))</f>
        <v>0</v>
      </c>
      <c r="CB49" s="39" t="n">
        <f aca="false">IF(CB$4=0,0,IF(COUNTIFS(実績!$W$6:$W$505,CB$3,実績!$AI$6:$AI$505,"&lt;="&amp;$A49,実績!$AJ$6:$AJ$505,"&gt;"&amp;$A49,実績!$AK$6:$AK$505,"○")&gt;0,1,0))</f>
        <v>0</v>
      </c>
      <c r="CC49" s="39" t="n">
        <f aca="false">IF(CC$4=0,0,IF(COUNTIFS(実績!$W$6:$W$505,CC$3,実績!$AI$6:$AI$505,"&lt;="&amp;$A49,実績!$AJ$6:$AJ$505,"&gt;"&amp;$A49,実績!$AK$6:$AK$505,"○")&gt;0,1,0))</f>
        <v>0</v>
      </c>
      <c r="CD49" s="39" t="n">
        <f aca="false">IF(CD$4=0,0,IF(COUNTIFS(実績!$W$6:$W$505,CD$3,実績!$AI$6:$AI$505,"&lt;="&amp;$A49,実績!$AJ$6:$AJ$505,"&gt;"&amp;$A49,実績!$AK$6:$AK$505,"○")&gt;0,1,0))</f>
        <v>0</v>
      </c>
      <c r="CE49" s="39" t="n">
        <f aca="false">IF(CE$4=0,0,IF(COUNTIFS(実績!$W$6:$W$505,CE$3,実績!$AI$6:$AI$505,"&lt;="&amp;$A49,実績!$AJ$6:$AJ$505,"&gt;"&amp;$A49,実績!$AK$6:$AK$505,"○")&gt;0,1,0))</f>
        <v>0</v>
      </c>
      <c r="CF49" s="39" t="n">
        <f aca="false">IF(CF$4=0,0,IF(COUNTIFS(実績!$W$6:$W$505,CF$3,実績!$AI$6:$AI$505,"&lt;="&amp;$A49,実績!$AJ$6:$AJ$505,"&gt;"&amp;$A49,実績!$AK$6:$AK$505,"○")&gt;0,1,0))</f>
        <v>0</v>
      </c>
      <c r="CG49" s="39" t="n">
        <f aca="false">IF(CG$4=0,0,IF(COUNTIFS(実績!$W$6:$W$505,CG$3,実績!$AI$6:$AI$505,"&lt;="&amp;$A49,実績!$AJ$6:$AJ$505,"&gt;"&amp;$A49,実績!$AK$6:$AK$505,"○")&gt;0,1,0))</f>
        <v>0</v>
      </c>
      <c r="CH49" s="39" t="n">
        <f aca="false">IF(CH$4=0,0,IF(COUNTIFS(実績!$W$6:$W$505,CH$3,実績!$AI$6:$AI$505,"&lt;="&amp;$A49,実績!$AJ$6:$AJ$505,"&gt;"&amp;$A49,実績!$AK$6:$AK$505,"○")&gt;0,1,0))</f>
        <v>0</v>
      </c>
      <c r="CI49" s="39" t="n">
        <f aca="false">IF(CI$4=0,0,IF(COUNTIFS(実績!$W$6:$W$505,CI$3,実績!$AI$6:$AI$505,"&lt;="&amp;$A49,実績!$AJ$6:$AJ$505,"&gt;"&amp;$A49,実績!$AK$6:$AK$505,"○")&gt;0,1,0))</f>
        <v>0</v>
      </c>
      <c r="CJ49" s="39" t="n">
        <f aca="false">IF(CJ$4=0,0,IF(COUNTIFS(実績!$W$6:$W$505,CJ$3,実績!$AI$6:$AI$505,"&lt;="&amp;$A49,実績!$AJ$6:$AJ$505,"&gt;"&amp;$A49,実績!$AK$6:$AK$505,"○")&gt;0,1,0))</f>
        <v>0</v>
      </c>
      <c r="CK49" s="39" t="n">
        <f aca="false">IF(CK$4=0,0,IF(COUNTIFS(実績!$W$6:$W$505,CK$3,実績!$AI$6:$AI$505,"&lt;="&amp;$A49,実績!$AJ$6:$AJ$505,"&gt;"&amp;$A49,実績!$AK$6:$AK$505,"○")&gt;0,1,0))</f>
        <v>0</v>
      </c>
      <c r="CL49" s="39" t="n">
        <f aca="false">IF(CL$4=0,0,IF(COUNTIFS(実績!$W$6:$W$505,CL$3,実績!$AI$6:$AI$505,"&lt;="&amp;$A49,実績!$AJ$6:$AJ$505,"&gt;"&amp;$A49,実績!$AK$6:$AK$505,"○")&gt;0,1,0))</f>
        <v>0</v>
      </c>
      <c r="CM49" s="39" t="n">
        <f aca="false">IF(CM$4=0,0,IF(COUNTIFS(実績!$W$6:$W$505,CM$3,実績!$AI$6:$AI$505,"&lt;="&amp;$A49,実績!$AJ$6:$AJ$505,"&gt;"&amp;$A49,実績!$AK$6:$AK$505,"○")&gt;0,1,0))</f>
        <v>0</v>
      </c>
      <c r="CN49" s="39" t="n">
        <f aca="false">IF(CN$4=0,0,IF(COUNTIFS(実績!$W$6:$W$505,CN$3,実績!$AI$6:$AI$505,"&lt;="&amp;$A49,実績!$AJ$6:$AJ$505,"&gt;"&amp;$A49,実績!$AK$6:$AK$505,"○")&gt;0,1,0))</f>
        <v>0</v>
      </c>
      <c r="CO49" s="39" t="n">
        <f aca="false">IF(CO$4=0,0,IF(COUNTIFS(実績!$W$6:$W$505,CO$3,実績!$AI$6:$AI$505,"&lt;="&amp;$A49,実績!$AJ$6:$AJ$505,"&gt;"&amp;$A49,実績!$AK$6:$AK$505,"○")&gt;0,1,0))</f>
        <v>0</v>
      </c>
      <c r="CP49" s="39" t="n">
        <f aca="false">IF(CP$4=0,0,IF(COUNTIFS(実績!$W$6:$W$505,CP$3,実績!$AI$6:$AI$505,"&lt;="&amp;$A49,実績!$AJ$6:$AJ$505,"&gt;"&amp;$A49,実績!$AK$6:$AK$505,"○")&gt;0,1,0))</f>
        <v>0</v>
      </c>
      <c r="CQ49" s="39" t="n">
        <f aca="false">IF(CQ$4=0,0,IF(COUNTIFS(実績!$W$6:$W$505,CQ$3,実績!$AI$6:$AI$505,"&lt;="&amp;$A49,実績!$AJ$6:$AJ$505,"&gt;"&amp;$A49,実績!$AK$6:$AK$505,"○")&gt;0,1,0))</f>
        <v>0</v>
      </c>
      <c r="CR49" s="39" t="n">
        <f aca="false">IF(CR$4=0,0,IF(COUNTIFS(実績!$W$6:$W$505,CR$3,実績!$AI$6:$AI$505,"&lt;="&amp;$A49,実績!$AJ$6:$AJ$505,"&gt;"&amp;$A49,実績!$AK$6:$AK$505,"○")&gt;0,1,0))</f>
        <v>0</v>
      </c>
      <c r="CS49" s="39" t="n">
        <f aca="false">IF(CS$4=0,0,IF(COUNTIFS(実績!$W$6:$W$505,CS$3,実績!$AI$6:$AI$505,"&lt;="&amp;$A49,実績!$AJ$6:$AJ$505,"&gt;"&amp;$A49,実績!$AK$6:$AK$505,"○")&gt;0,1,0))</f>
        <v>0</v>
      </c>
      <c r="CT49" s="39" t="n">
        <f aca="false">IF(CT$4=0,0,IF(COUNTIFS(実績!$W$6:$W$505,CT$3,実績!$AI$6:$AI$505,"&lt;="&amp;$A49,実績!$AJ$6:$AJ$505,"&gt;"&amp;$A49,実績!$AK$6:$AK$505,"○")&gt;0,1,0))</f>
        <v>0</v>
      </c>
      <c r="CU49" s="39" t="n">
        <f aca="false">IF(CU$4=0,0,IF(COUNTIFS(実績!$W$6:$W$505,CU$3,実績!$AI$6:$AI$505,"&lt;="&amp;$A49,実績!$AJ$6:$AJ$505,"&gt;"&amp;$A49,実績!$AK$6:$AK$505,"○")&gt;0,1,0))</f>
        <v>0</v>
      </c>
      <c r="CV49" s="39" t="n">
        <f aca="false">IF(CV$4=0,0,IF(COUNTIFS(実績!$W$6:$W$505,CV$3,実績!$AI$6:$AI$505,"&lt;="&amp;$A49,実績!$AJ$6:$AJ$505,"&gt;"&amp;$A49,実績!$AK$6:$AK$505,"○")&gt;0,1,0))</f>
        <v>0</v>
      </c>
      <c r="CW49" s="39" t="n">
        <f aca="false">IF(CW$4=0,0,IF(COUNTIFS(実績!$W$6:$W$505,CW$3,実績!$AI$6:$AI$505,"&lt;="&amp;$A49,実績!$AJ$6:$AJ$505,"&gt;"&amp;$A49,実績!$AK$6:$AK$505,"○")&gt;0,1,0))</f>
        <v>0</v>
      </c>
      <c r="CX49" s="39" t="n">
        <f aca="false">IF(CX$4=0,0,IF(COUNTIFS(実績!$W$6:$W$505,CX$3,実績!$AI$6:$AI$505,"&lt;="&amp;$A49,実績!$AJ$6:$AJ$505,"&gt;"&amp;$A49,実績!$AK$6:$AK$505,"○")&gt;0,1,0))</f>
        <v>0</v>
      </c>
      <c r="CY49" s="39" t="n">
        <f aca="false">IF(CY$4=0,0,IF(COUNTIFS(実績!$W$6:$W$505,CY$3,実績!$AI$6:$AI$505,"&lt;="&amp;$A49,実績!$AJ$6:$AJ$505,"&gt;"&amp;$A49,実績!$AK$6:$AK$505,"○")&gt;0,1,0))</f>
        <v>0</v>
      </c>
      <c r="CZ49" s="39" t="n">
        <f aca="false">IF(CZ$4=0,0,IF(COUNTIFS(実績!$W$6:$W$505,CZ$3,実績!$AI$6:$AI$505,"&lt;="&amp;$A49,実績!$AJ$6:$AJ$505,"&gt;"&amp;$A49,実績!$AK$6:$AK$505,"○")&gt;0,1,0))</f>
        <v>0</v>
      </c>
      <c r="DA49" s="39" t="n">
        <f aca="false">IF(DA$4=0,0,IF(COUNTIFS(実績!$W$6:$W$505,DA$3,実績!$AI$6:$AI$505,"&lt;="&amp;$A49,実績!$AJ$6:$AJ$505,"&gt;"&amp;$A49,実績!$AK$6:$AK$505,"○")&gt;0,1,0))</f>
        <v>0</v>
      </c>
      <c r="DB49" s="39" t="n">
        <f aca="false">IF(DB$4=0,0,IF(COUNTIFS(実績!$W$6:$W$505,DB$3,実績!$AI$6:$AI$505,"&lt;="&amp;$A49,実績!$AJ$6:$AJ$505,"&gt;"&amp;$A49,実績!$AK$6:$AK$505,"○")&gt;0,1,0))</f>
        <v>0</v>
      </c>
      <c r="DC49" s="39" t="n">
        <f aca="false">IF(DC$4=0,0,IF(COUNTIFS(実績!$W$6:$W$505,DC$3,実績!$AI$6:$AI$505,"&lt;="&amp;$A49,実績!$AJ$6:$AJ$505,"&gt;"&amp;$A49,実績!$AK$6:$AK$505,"○")&gt;0,1,0))</f>
        <v>0</v>
      </c>
      <c r="DD49" s="39" t="n">
        <f aca="false">IF(DD$4=0,0,IF(COUNTIFS(実績!$W$6:$W$505,DD$3,実績!$AI$6:$AI$505,"&lt;="&amp;$A49,実績!$AJ$6:$AJ$505,"&gt;"&amp;$A49,実績!$AK$6:$AK$505,"○")&gt;0,1,0))</f>
        <v>0</v>
      </c>
      <c r="DE49" s="39" t="n">
        <f aca="false">IF(DE$4=0,0,IF(COUNTIFS(実績!$W$6:$W$505,DE$3,実績!$AI$6:$AI$505,"&lt;="&amp;$A49,実績!$AJ$6:$AJ$505,"&gt;"&amp;$A49,実績!$AK$6:$AK$505,"○")&gt;0,1,0))</f>
        <v>0</v>
      </c>
      <c r="DF49" s="39" t="n">
        <f aca="false">IF(DF$4=0,0,IF(COUNTIFS(実績!$W$6:$W$505,DF$3,実績!$AI$6:$AI$505,"&lt;="&amp;$A49,実績!$AJ$6:$AJ$505,"&gt;"&amp;$A49,実績!$AK$6:$AK$505,"○")&gt;0,1,0))</f>
        <v>0</v>
      </c>
      <c r="DG49" s="39" t="n">
        <f aca="false">IF(DG$4=0,0,IF(COUNTIFS(実績!$W$6:$W$505,DG$3,実績!$AI$6:$AI$505,"&lt;="&amp;$A49,実績!$AJ$6:$AJ$505,"&gt;"&amp;$A49,実績!$AK$6:$AK$505,"○")&gt;0,1,0))</f>
        <v>0</v>
      </c>
      <c r="DH49" s="39" t="n">
        <f aca="false">IF(DH$4=0,0,IF(COUNTIFS(実績!$W$6:$W$505,DH$3,実績!$AI$6:$AI$505,"&lt;="&amp;$A49,実績!$AJ$6:$AJ$505,"&gt;"&amp;$A49,実績!$AK$6:$AK$505,"○")&gt;0,1,0))</f>
        <v>0</v>
      </c>
      <c r="DI49" s="39" t="n">
        <f aca="false">IF(DI$4=0,0,IF(COUNTIFS(実績!$W$6:$W$505,DI$3,実績!$AI$6:$AI$505,"&lt;="&amp;$A49,実績!$AJ$6:$AJ$505,"&gt;"&amp;$A49,実績!$AK$6:$AK$505,"○")&gt;0,1,0))</f>
        <v>0</v>
      </c>
      <c r="DJ49" s="39" t="n">
        <f aca="false">IF(DJ$4=0,0,IF(COUNTIFS(実績!$W$6:$W$505,DJ$3,実績!$AI$6:$AI$505,"&lt;="&amp;$A49,実績!$AJ$6:$AJ$505,"&gt;"&amp;$A49,実績!$AK$6:$AK$505,"○")&gt;0,1,0))</f>
        <v>0</v>
      </c>
      <c r="DK49" s="39" t="n">
        <f aca="false">IF(DK$4=0,0,IF(COUNTIFS(実績!$W$6:$W$505,DK$3,実績!$AI$6:$AI$505,"&lt;="&amp;$A49,実績!$AJ$6:$AJ$505,"&gt;"&amp;$A49,実績!$AK$6:$AK$505,"○")&gt;0,1,0))</f>
        <v>0</v>
      </c>
      <c r="DL49" s="39" t="n">
        <f aca="false">IF(DL$4=0,0,IF(COUNTIFS(実績!$W$6:$W$505,DL$3,実績!$AI$6:$AI$505,"&lt;="&amp;$A49,実績!$AJ$6:$AJ$505,"&gt;"&amp;$A49,実績!$AK$6:$AK$505,"○")&gt;0,1,0))</f>
        <v>0</v>
      </c>
      <c r="DM49" s="39" t="n">
        <f aca="false">IF(DM$4=0,0,IF(COUNTIFS(実績!$W$6:$W$505,DM$3,実績!$AI$6:$AI$505,"&lt;="&amp;$A49,実績!$AJ$6:$AJ$505,"&gt;"&amp;$A49,実績!$AK$6:$AK$505,"○")&gt;0,1,0))</f>
        <v>0</v>
      </c>
      <c r="DN49" s="39" t="n">
        <f aca="false">IF(DN$4=0,0,IF(COUNTIFS(実績!$W$6:$W$505,DN$3,実績!$AI$6:$AI$505,"&lt;="&amp;$A49,実績!$AJ$6:$AJ$505,"&gt;"&amp;$A49,実績!$AK$6:$AK$505,"○")&gt;0,1,0))</f>
        <v>0</v>
      </c>
      <c r="DO49" s="39" t="n">
        <f aca="false">IF(DO$4=0,0,IF(COUNTIFS(実績!$W$6:$W$505,DO$3,実績!$AI$6:$AI$505,"&lt;="&amp;$A49,実績!$AJ$6:$AJ$505,"&gt;"&amp;$A49,実績!$AK$6:$AK$505,"○")&gt;0,1,0))</f>
        <v>0</v>
      </c>
      <c r="DP49" s="39" t="n">
        <f aca="false">IF(DP$4=0,0,IF(COUNTIFS(実績!$W$6:$W$505,DP$3,実績!$AI$6:$AI$505,"&lt;="&amp;$A49,実績!$AJ$6:$AJ$505,"&gt;"&amp;$A49,実績!$AK$6:$AK$505,"○")&gt;0,1,0))</f>
        <v>0</v>
      </c>
      <c r="DQ49" s="39" t="n">
        <f aca="false">IF(DQ$4=0,0,IF(COUNTIFS(実績!$W$6:$W$505,DQ$3,実績!$AI$6:$AI$505,"&lt;="&amp;$A49,実績!$AJ$6:$AJ$505,"&gt;"&amp;$A49,実績!$AK$6:$AK$505,"○")&gt;0,1,0))</f>
        <v>0</v>
      </c>
      <c r="DR49" s="39" t="n">
        <f aca="false">IF(DR$4=0,0,IF(COUNTIFS(実績!$W$6:$W$505,DR$3,実績!$AI$6:$AI$505,"&lt;="&amp;$A49,実績!$AJ$6:$AJ$505,"&gt;"&amp;$A49,実績!$AK$6:$AK$505,"○")&gt;0,1,0))</f>
        <v>0</v>
      </c>
      <c r="DS49" s="39" t="n">
        <f aca="false">SUM(C49:DR49)</f>
        <v>0</v>
      </c>
      <c r="DT49" s="39" t="n">
        <f aca="false">SUMPRODUCT((実績!$C$6:$C$505="○")*ISNUMBER(実績!$AM$6:$AM$505)*(実績!$AM$6:$AM$505&lt;=$A49)*(実績!$AN$6:$AN$505&gt;$A49))</f>
        <v>0</v>
      </c>
      <c r="DU49" s="39" t="n">
        <f aca="false">SUMIF($C$2:$DR$2,"製鉄曳船",C49:DR49)</f>
        <v>0</v>
      </c>
      <c r="DV49" s="39" t="n">
        <f aca="false">SUMIF($C$2:$DR$2,"西日本海運",C49:DR49)</f>
        <v>0</v>
      </c>
    </row>
    <row r="50" customFormat="false" ht="15" hidden="false" customHeight="false" outlineLevel="0" collapsed="false">
      <c r="A50" s="0" t="n">
        <v>220</v>
      </c>
      <c r="B50" s="38" t="n">
        <f aca="false">A50/1440</f>
        <v>0.152777777777778</v>
      </c>
      <c r="C50" s="39" t="n">
        <f aca="false">IF(C$4=0,0,IF(COUNTIFS(実績!$W$6:$W$505,C$3,実績!$AI$6:$AI$505,"&lt;="&amp;$A50,実績!$AJ$6:$AJ$505,"&gt;"&amp;$A50,実績!$AK$6:$AK$505,"○")&gt;0,1,0))</f>
        <v>0</v>
      </c>
      <c r="D50" s="39" t="n">
        <f aca="false">IF(D$4=0,0,IF(COUNTIFS(実績!$W$6:$W$505,D$3,実績!$AI$6:$AI$505,"&lt;="&amp;$A50,実績!$AJ$6:$AJ$505,"&gt;"&amp;$A50,実績!$AK$6:$AK$505,"○")&gt;0,1,0))</f>
        <v>0</v>
      </c>
      <c r="E50" s="39" t="n">
        <f aca="false">IF(E$4=0,0,IF(COUNTIFS(実績!$W$6:$W$505,E$3,実績!$AI$6:$AI$505,"&lt;="&amp;$A50,実績!$AJ$6:$AJ$505,"&gt;"&amp;$A50,実績!$AK$6:$AK$505,"○")&gt;0,1,0))</f>
        <v>0</v>
      </c>
      <c r="F50" s="39" t="n">
        <f aca="false">IF(F$4=0,0,IF(COUNTIFS(実績!$W$6:$W$505,F$3,実績!$AI$6:$AI$505,"&lt;="&amp;$A50,実績!$AJ$6:$AJ$505,"&gt;"&amp;$A50,実績!$AK$6:$AK$505,"○")&gt;0,1,0))</f>
        <v>0</v>
      </c>
      <c r="G50" s="39" t="n">
        <f aca="false">IF(G$4=0,0,IF(COUNTIFS(実績!$W$6:$W$505,G$3,実績!$AI$6:$AI$505,"&lt;="&amp;$A50,実績!$AJ$6:$AJ$505,"&gt;"&amp;$A50,実績!$AK$6:$AK$505,"○")&gt;0,1,0))</f>
        <v>0</v>
      </c>
      <c r="H50" s="39" t="n">
        <f aca="false">IF(H$4=0,0,IF(COUNTIFS(実績!$W$6:$W$505,H$3,実績!$AI$6:$AI$505,"&lt;="&amp;$A50,実績!$AJ$6:$AJ$505,"&gt;"&amp;$A50,実績!$AK$6:$AK$505,"○")&gt;0,1,0))</f>
        <v>0</v>
      </c>
      <c r="I50" s="39" t="n">
        <f aca="false">IF(I$4=0,0,IF(COUNTIFS(実績!$W$6:$W$505,I$3,実績!$AI$6:$AI$505,"&lt;="&amp;$A50,実績!$AJ$6:$AJ$505,"&gt;"&amp;$A50,実績!$AK$6:$AK$505,"○")&gt;0,1,0))</f>
        <v>0</v>
      </c>
      <c r="J50" s="39" t="n">
        <f aca="false">IF(J$4=0,0,IF(COUNTIFS(実績!$W$6:$W$505,J$3,実績!$AI$6:$AI$505,"&lt;="&amp;$A50,実績!$AJ$6:$AJ$505,"&gt;"&amp;$A50,実績!$AK$6:$AK$505,"○")&gt;0,1,0))</f>
        <v>0</v>
      </c>
      <c r="K50" s="39" t="n">
        <f aca="false">IF(K$4=0,0,IF(COUNTIFS(実績!$W$6:$W$505,K$3,実績!$AI$6:$AI$505,"&lt;="&amp;$A50,実績!$AJ$6:$AJ$505,"&gt;"&amp;$A50,実績!$AK$6:$AK$505,"○")&gt;0,1,0))</f>
        <v>0</v>
      </c>
      <c r="L50" s="39" t="n">
        <f aca="false">IF(L$4=0,0,IF(COUNTIFS(実績!$W$6:$W$505,L$3,実績!$AI$6:$AI$505,"&lt;="&amp;$A50,実績!$AJ$6:$AJ$505,"&gt;"&amp;$A50,実績!$AK$6:$AK$505,"○")&gt;0,1,0))</f>
        <v>0</v>
      </c>
      <c r="M50" s="39" t="n">
        <f aca="false">IF(M$4=0,0,IF(COUNTIFS(実績!$W$6:$W$505,M$3,実績!$AI$6:$AI$505,"&lt;="&amp;$A50,実績!$AJ$6:$AJ$505,"&gt;"&amp;$A50,実績!$AK$6:$AK$505,"○")&gt;0,1,0))</f>
        <v>0</v>
      </c>
      <c r="N50" s="39" t="n">
        <f aca="false">IF(N$4=0,0,IF(COUNTIFS(実績!$W$6:$W$505,N$3,実績!$AI$6:$AI$505,"&lt;="&amp;$A50,実績!$AJ$6:$AJ$505,"&gt;"&amp;$A50,実績!$AK$6:$AK$505,"○")&gt;0,1,0))</f>
        <v>0</v>
      </c>
      <c r="O50" s="39" t="n">
        <f aca="false">IF(O$4=0,0,IF(COUNTIFS(実績!$W$6:$W$505,O$3,実績!$AI$6:$AI$505,"&lt;="&amp;$A50,実績!$AJ$6:$AJ$505,"&gt;"&amp;$A50,実績!$AK$6:$AK$505,"○")&gt;0,1,0))</f>
        <v>0</v>
      </c>
      <c r="P50" s="39" t="n">
        <f aca="false">IF(P$4=0,0,IF(COUNTIFS(実績!$W$6:$W$505,P$3,実績!$AI$6:$AI$505,"&lt;="&amp;$A50,実績!$AJ$6:$AJ$505,"&gt;"&amp;$A50,実績!$AK$6:$AK$505,"○")&gt;0,1,0))</f>
        <v>0</v>
      </c>
      <c r="Q50" s="39" t="n">
        <f aca="false">IF(Q$4=0,0,IF(COUNTIFS(実績!$W$6:$W$505,Q$3,実績!$AI$6:$AI$505,"&lt;="&amp;$A50,実績!$AJ$6:$AJ$505,"&gt;"&amp;$A50,実績!$AK$6:$AK$505,"○")&gt;0,1,0))</f>
        <v>0</v>
      </c>
      <c r="R50" s="39" t="n">
        <f aca="false">IF(R$4=0,0,IF(COUNTIFS(実績!$W$6:$W$505,R$3,実績!$AI$6:$AI$505,"&lt;="&amp;$A50,実績!$AJ$6:$AJ$505,"&gt;"&amp;$A50,実績!$AK$6:$AK$505,"○")&gt;0,1,0))</f>
        <v>0</v>
      </c>
      <c r="S50" s="39" t="n">
        <f aca="false">IF(S$4=0,0,IF(COUNTIFS(実績!$W$6:$W$505,S$3,実績!$AI$6:$AI$505,"&lt;="&amp;$A50,実績!$AJ$6:$AJ$505,"&gt;"&amp;$A50,実績!$AK$6:$AK$505,"○")&gt;0,1,0))</f>
        <v>0</v>
      </c>
      <c r="T50" s="39" t="n">
        <f aca="false">IF(T$4=0,0,IF(COUNTIFS(実績!$W$6:$W$505,T$3,実績!$AI$6:$AI$505,"&lt;="&amp;$A50,実績!$AJ$6:$AJ$505,"&gt;"&amp;$A50,実績!$AK$6:$AK$505,"○")&gt;0,1,0))</f>
        <v>0</v>
      </c>
      <c r="U50" s="39" t="n">
        <f aca="false">IF(U$4=0,0,IF(COUNTIFS(実績!$W$6:$W$505,U$3,実績!$AI$6:$AI$505,"&lt;="&amp;$A50,実績!$AJ$6:$AJ$505,"&gt;"&amp;$A50,実績!$AK$6:$AK$505,"○")&gt;0,1,0))</f>
        <v>0</v>
      </c>
      <c r="V50" s="39" t="n">
        <f aca="false">IF(V$4=0,0,IF(COUNTIFS(実績!$W$6:$W$505,V$3,実績!$AI$6:$AI$505,"&lt;="&amp;$A50,実績!$AJ$6:$AJ$505,"&gt;"&amp;$A50,実績!$AK$6:$AK$505,"○")&gt;0,1,0))</f>
        <v>0</v>
      </c>
      <c r="W50" s="39" t="n">
        <f aca="false">IF(W$4=0,0,IF(COUNTIFS(実績!$W$6:$W$505,W$3,実績!$AI$6:$AI$505,"&lt;="&amp;$A50,実績!$AJ$6:$AJ$505,"&gt;"&amp;$A50,実績!$AK$6:$AK$505,"○")&gt;0,1,0))</f>
        <v>0</v>
      </c>
      <c r="X50" s="39" t="n">
        <f aca="false">IF(X$4=0,0,IF(COUNTIFS(実績!$W$6:$W$505,X$3,実績!$AI$6:$AI$505,"&lt;="&amp;$A50,実績!$AJ$6:$AJ$505,"&gt;"&amp;$A50,実績!$AK$6:$AK$505,"○")&gt;0,1,0))</f>
        <v>0</v>
      </c>
      <c r="Y50" s="39" t="n">
        <f aca="false">IF(Y$4=0,0,IF(COUNTIFS(実績!$W$6:$W$505,Y$3,実績!$AI$6:$AI$505,"&lt;="&amp;$A50,実績!$AJ$6:$AJ$505,"&gt;"&amp;$A50,実績!$AK$6:$AK$505,"○")&gt;0,1,0))</f>
        <v>0</v>
      </c>
      <c r="Z50" s="39" t="n">
        <f aca="false">IF(Z$4=0,0,IF(COUNTIFS(実績!$W$6:$W$505,Z$3,実績!$AI$6:$AI$505,"&lt;="&amp;$A50,実績!$AJ$6:$AJ$505,"&gt;"&amp;$A50,実績!$AK$6:$AK$505,"○")&gt;0,1,0))</f>
        <v>0</v>
      </c>
      <c r="AA50" s="39" t="n">
        <f aca="false">IF(AA$4=0,0,IF(COUNTIFS(実績!$W$6:$W$505,AA$3,実績!$AI$6:$AI$505,"&lt;="&amp;$A50,実績!$AJ$6:$AJ$505,"&gt;"&amp;$A50,実績!$AK$6:$AK$505,"○")&gt;0,1,0))</f>
        <v>0</v>
      </c>
      <c r="AB50" s="39" t="n">
        <f aca="false">IF(AB$4=0,0,IF(COUNTIFS(実績!$W$6:$W$505,AB$3,実績!$AI$6:$AI$505,"&lt;="&amp;$A50,実績!$AJ$6:$AJ$505,"&gt;"&amp;$A50,実績!$AK$6:$AK$505,"○")&gt;0,1,0))</f>
        <v>0</v>
      </c>
      <c r="AC50" s="39" t="n">
        <f aca="false">IF(AC$4=0,0,IF(COUNTIFS(実績!$W$6:$W$505,AC$3,実績!$AI$6:$AI$505,"&lt;="&amp;$A50,実績!$AJ$6:$AJ$505,"&gt;"&amp;$A50,実績!$AK$6:$AK$505,"○")&gt;0,1,0))</f>
        <v>0</v>
      </c>
      <c r="AD50" s="39" t="n">
        <f aca="false">IF(AD$4=0,0,IF(COUNTIFS(実績!$W$6:$W$505,AD$3,実績!$AI$6:$AI$505,"&lt;="&amp;$A50,実績!$AJ$6:$AJ$505,"&gt;"&amp;$A50,実績!$AK$6:$AK$505,"○")&gt;0,1,0))</f>
        <v>0</v>
      </c>
      <c r="AE50" s="39" t="n">
        <f aca="false">IF(AE$4=0,0,IF(COUNTIFS(実績!$W$6:$W$505,AE$3,実績!$AI$6:$AI$505,"&lt;="&amp;$A50,実績!$AJ$6:$AJ$505,"&gt;"&amp;$A50,実績!$AK$6:$AK$505,"○")&gt;0,1,0))</f>
        <v>0</v>
      </c>
      <c r="AF50" s="39" t="n">
        <f aca="false">IF(AF$4=0,0,IF(COUNTIFS(実績!$W$6:$W$505,AF$3,実績!$AI$6:$AI$505,"&lt;="&amp;$A50,実績!$AJ$6:$AJ$505,"&gt;"&amp;$A50,実績!$AK$6:$AK$505,"○")&gt;0,1,0))</f>
        <v>0</v>
      </c>
      <c r="AG50" s="39" t="n">
        <f aca="false">IF(AG$4=0,0,IF(COUNTIFS(実績!$W$6:$W$505,AG$3,実績!$AI$6:$AI$505,"&lt;="&amp;$A50,実績!$AJ$6:$AJ$505,"&gt;"&amp;$A50,実績!$AK$6:$AK$505,"○")&gt;0,1,0))</f>
        <v>0</v>
      </c>
      <c r="AH50" s="39" t="n">
        <f aca="false">IF(AH$4=0,0,IF(COUNTIFS(実績!$W$6:$W$505,AH$3,実績!$AI$6:$AI$505,"&lt;="&amp;$A50,実績!$AJ$6:$AJ$505,"&gt;"&amp;$A50,実績!$AK$6:$AK$505,"○")&gt;0,1,0))</f>
        <v>0</v>
      </c>
      <c r="AI50" s="39" t="n">
        <f aca="false">IF(AI$4=0,0,IF(COUNTIFS(実績!$W$6:$W$505,AI$3,実績!$AI$6:$AI$505,"&lt;="&amp;$A50,実績!$AJ$6:$AJ$505,"&gt;"&amp;$A50,実績!$AK$6:$AK$505,"○")&gt;0,1,0))</f>
        <v>0</v>
      </c>
      <c r="AJ50" s="39" t="n">
        <f aca="false">IF(AJ$4=0,0,IF(COUNTIFS(実績!$W$6:$W$505,AJ$3,実績!$AI$6:$AI$505,"&lt;="&amp;$A50,実績!$AJ$6:$AJ$505,"&gt;"&amp;$A50,実績!$AK$6:$AK$505,"○")&gt;0,1,0))</f>
        <v>0</v>
      </c>
      <c r="AK50" s="39" t="n">
        <f aca="false">IF(AK$4=0,0,IF(COUNTIFS(実績!$W$6:$W$505,AK$3,実績!$AI$6:$AI$505,"&lt;="&amp;$A50,実績!$AJ$6:$AJ$505,"&gt;"&amp;$A50,実績!$AK$6:$AK$505,"○")&gt;0,1,0))</f>
        <v>0</v>
      </c>
      <c r="AL50" s="39" t="n">
        <f aca="false">IF(AL$4=0,0,IF(COUNTIFS(実績!$W$6:$W$505,AL$3,実績!$AI$6:$AI$505,"&lt;="&amp;$A50,実績!$AJ$6:$AJ$505,"&gt;"&amp;$A50,実績!$AK$6:$AK$505,"○")&gt;0,1,0))</f>
        <v>0</v>
      </c>
      <c r="AM50" s="39" t="n">
        <f aca="false">IF(AM$4=0,0,IF(COUNTIFS(実績!$W$6:$W$505,AM$3,実績!$AI$6:$AI$505,"&lt;="&amp;$A50,実績!$AJ$6:$AJ$505,"&gt;"&amp;$A50,実績!$AK$6:$AK$505,"○")&gt;0,1,0))</f>
        <v>0</v>
      </c>
      <c r="AN50" s="39" t="n">
        <f aca="false">IF(AN$4=0,0,IF(COUNTIFS(実績!$W$6:$W$505,AN$3,実績!$AI$6:$AI$505,"&lt;="&amp;$A50,実績!$AJ$6:$AJ$505,"&gt;"&amp;$A50,実績!$AK$6:$AK$505,"○")&gt;0,1,0))</f>
        <v>0</v>
      </c>
      <c r="AO50" s="39" t="n">
        <f aca="false">IF(AO$4=0,0,IF(COUNTIFS(実績!$W$6:$W$505,AO$3,実績!$AI$6:$AI$505,"&lt;="&amp;$A50,実績!$AJ$6:$AJ$505,"&gt;"&amp;$A50,実績!$AK$6:$AK$505,"○")&gt;0,1,0))</f>
        <v>0</v>
      </c>
      <c r="AP50" s="39" t="n">
        <f aca="false">IF(AP$4=0,0,IF(COUNTIFS(実績!$W$6:$W$505,AP$3,実績!$AI$6:$AI$505,"&lt;="&amp;$A50,実績!$AJ$6:$AJ$505,"&gt;"&amp;$A50,実績!$AK$6:$AK$505,"○")&gt;0,1,0))</f>
        <v>0</v>
      </c>
      <c r="AQ50" s="39" t="n">
        <f aca="false">IF(AQ$4=0,0,IF(COUNTIFS(実績!$W$6:$W$505,AQ$3,実績!$AI$6:$AI$505,"&lt;="&amp;$A50,実績!$AJ$6:$AJ$505,"&gt;"&amp;$A50,実績!$AK$6:$AK$505,"○")&gt;0,1,0))</f>
        <v>0</v>
      </c>
      <c r="AR50" s="39" t="n">
        <f aca="false">IF(AR$4=0,0,IF(COUNTIFS(実績!$W$6:$W$505,AR$3,実績!$AI$6:$AI$505,"&lt;="&amp;$A50,実績!$AJ$6:$AJ$505,"&gt;"&amp;$A50,実績!$AK$6:$AK$505,"○")&gt;0,1,0))</f>
        <v>0</v>
      </c>
      <c r="AS50" s="39" t="n">
        <f aca="false">IF(AS$4=0,0,IF(COUNTIFS(実績!$W$6:$W$505,AS$3,実績!$AI$6:$AI$505,"&lt;="&amp;$A50,実績!$AJ$6:$AJ$505,"&gt;"&amp;$A50,実績!$AK$6:$AK$505,"○")&gt;0,1,0))</f>
        <v>0</v>
      </c>
      <c r="AT50" s="39" t="n">
        <f aca="false">IF(AT$4=0,0,IF(COUNTIFS(実績!$W$6:$W$505,AT$3,実績!$AI$6:$AI$505,"&lt;="&amp;$A50,実績!$AJ$6:$AJ$505,"&gt;"&amp;$A50,実績!$AK$6:$AK$505,"○")&gt;0,1,0))</f>
        <v>0</v>
      </c>
      <c r="AU50" s="39" t="n">
        <f aca="false">IF(AU$4=0,0,IF(COUNTIFS(実績!$W$6:$W$505,AU$3,実績!$AI$6:$AI$505,"&lt;="&amp;$A50,実績!$AJ$6:$AJ$505,"&gt;"&amp;$A50,実績!$AK$6:$AK$505,"○")&gt;0,1,0))</f>
        <v>0</v>
      </c>
      <c r="AV50" s="39" t="n">
        <f aca="false">IF(AV$4=0,0,IF(COUNTIFS(実績!$W$6:$W$505,AV$3,実績!$AI$6:$AI$505,"&lt;="&amp;$A50,実績!$AJ$6:$AJ$505,"&gt;"&amp;$A50,実績!$AK$6:$AK$505,"○")&gt;0,1,0))</f>
        <v>0</v>
      </c>
      <c r="AW50" s="39" t="n">
        <f aca="false">IF(AW$4=0,0,IF(COUNTIFS(実績!$W$6:$W$505,AW$3,実績!$AI$6:$AI$505,"&lt;="&amp;$A50,実績!$AJ$6:$AJ$505,"&gt;"&amp;$A50,実績!$AK$6:$AK$505,"○")&gt;0,1,0))</f>
        <v>0</v>
      </c>
      <c r="AX50" s="39" t="n">
        <f aca="false">IF(AX$4=0,0,IF(COUNTIFS(実績!$W$6:$W$505,AX$3,実績!$AI$6:$AI$505,"&lt;="&amp;$A50,実績!$AJ$6:$AJ$505,"&gt;"&amp;$A50,実績!$AK$6:$AK$505,"○")&gt;0,1,0))</f>
        <v>0</v>
      </c>
      <c r="AY50" s="39" t="n">
        <f aca="false">IF(AY$4=0,0,IF(COUNTIFS(実績!$W$6:$W$505,AY$3,実績!$AI$6:$AI$505,"&lt;="&amp;$A50,実績!$AJ$6:$AJ$505,"&gt;"&amp;$A50,実績!$AK$6:$AK$505,"○")&gt;0,1,0))</f>
        <v>0</v>
      </c>
      <c r="AZ50" s="39" t="n">
        <f aca="false">IF(AZ$4=0,0,IF(COUNTIFS(実績!$W$6:$W$505,AZ$3,実績!$AI$6:$AI$505,"&lt;="&amp;$A50,実績!$AJ$6:$AJ$505,"&gt;"&amp;$A50,実績!$AK$6:$AK$505,"○")&gt;0,1,0))</f>
        <v>0</v>
      </c>
      <c r="BA50" s="39" t="n">
        <f aca="false">IF(BA$4=0,0,IF(COUNTIFS(実績!$W$6:$W$505,BA$3,実績!$AI$6:$AI$505,"&lt;="&amp;$A50,実績!$AJ$6:$AJ$505,"&gt;"&amp;$A50,実績!$AK$6:$AK$505,"○")&gt;0,1,0))</f>
        <v>0</v>
      </c>
      <c r="BB50" s="39" t="n">
        <f aca="false">IF(BB$4=0,0,IF(COUNTIFS(実績!$W$6:$W$505,BB$3,実績!$AI$6:$AI$505,"&lt;="&amp;$A50,実績!$AJ$6:$AJ$505,"&gt;"&amp;$A50,実績!$AK$6:$AK$505,"○")&gt;0,1,0))</f>
        <v>0</v>
      </c>
      <c r="BC50" s="39" t="n">
        <f aca="false">IF(BC$4=0,0,IF(COUNTIFS(実績!$W$6:$W$505,BC$3,実績!$AI$6:$AI$505,"&lt;="&amp;$A50,実績!$AJ$6:$AJ$505,"&gt;"&amp;$A50,実績!$AK$6:$AK$505,"○")&gt;0,1,0))</f>
        <v>0</v>
      </c>
      <c r="BD50" s="39" t="n">
        <f aca="false">IF(BD$4=0,0,IF(COUNTIFS(実績!$W$6:$W$505,BD$3,実績!$AI$6:$AI$505,"&lt;="&amp;$A50,実績!$AJ$6:$AJ$505,"&gt;"&amp;$A50,実績!$AK$6:$AK$505,"○")&gt;0,1,0))</f>
        <v>0</v>
      </c>
      <c r="BE50" s="39" t="n">
        <f aca="false">IF(BE$4=0,0,IF(COUNTIFS(実績!$W$6:$W$505,BE$3,実績!$AI$6:$AI$505,"&lt;="&amp;$A50,実績!$AJ$6:$AJ$505,"&gt;"&amp;$A50,実績!$AK$6:$AK$505,"○")&gt;0,1,0))</f>
        <v>0</v>
      </c>
      <c r="BF50" s="39" t="n">
        <f aca="false">IF(BF$4=0,0,IF(COUNTIFS(実績!$W$6:$W$505,BF$3,実績!$AI$6:$AI$505,"&lt;="&amp;$A50,実績!$AJ$6:$AJ$505,"&gt;"&amp;$A50,実績!$AK$6:$AK$505,"○")&gt;0,1,0))</f>
        <v>0</v>
      </c>
      <c r="BG50" s="39" t="n">
        <f aca="false">IF(BG$4=0,0,IF(COUNTIFS(実績!$W$6:$W$505,BG$3,実績!$AI$6:$AI$505,"&lt;="&amp;$A50,実績!$AJ$6:$AJ$505,"&gt;"&amp;$A50,実績!$AK$6:$AK$505,"○")&gt;0,1,0))</f>
        <v>0</v>
      </c>
      <c r="BH50" s="39" t="n">
        <f aca="false">IF(BH$4=0,0,IF(COUNTIFS(実績!$W$6:$W$505,BH$3,実績!$AI$6:$AI$505,"&lt;="&amp;$A50,実績!$AJ$6:$AJ$505,"&gt;"&amp;$A50,実績!$AK$6:$AK$505,"○")&gt;0,1,0))</f>
        <v>0</v>
      </c>
      <c r="BI50" s="39" t="n">
        <f aca="false">IF(BI$4=0,0,IF(COUNTIFS(実績!$W$6:$W$505,BI$3,実績!$AI$6:$AI$505,"&lt;="&amp;$A50,実績!$AJ$6:$AJ$505,"&gt;"&amp;$A50,実績!$AK$6:$AK$505,"○")&gt;0,1,0))</f>
        <v>0</v>
      </c>
      <c r="BJ50" s="39" t="n">
        <f aca="false">IF(BJ$4=0,0,IF(COUNTIFS(実績!$W$6:$W$505,BJ$3,実績!$AI$6:$AI$505,"&lt;="&amp;$A50,実績!$AJ$6:$AJ$505,"&gt;"&amp;$A50,実績!$AK$6:$AK$505,"○")&gt;0,1,0))</f>
        <v>0</v>
      </c>
      <c r="BK50" s="39" t="n">
        <f aca="false">IF(BK$4=0,0,IF(COUNTIFS(実績!$W$6:$W$505,BK$3,実績!$AI$6:$AI$505,"&lt;="&amp;$A50,実績!$AJ$6:$AJ$505,"&gt;"&amp;$A50,実績!$AK$6:$AK$505,"○")&gt;0,1,0))</f>
        <v>0</v>
      </c>
      <c r="BL50" s="39" t="n">
        <f aca="false">IF(BL$4=0,0,IF(COUNTIFS(実績!$W$6:$W$505,BL$3,実績!$AI$6:$AI$505,"&lt;="&amp;$A50,実績!$AJ$6:$AJ$505,"&gt;"&amp;$A50,実績!$AK$6:$AK$505,"○")&gt;0,1,0))</f>
        <v>0</v>
      </c>
      <c r="BM50" s="39" t="n">
        <f aca="false">IF(BM$4=0,0,IF(COUNTIFS(実績!$W$6:$W$505,BM$3,実績!$AI$6:$AI$505,"&lt;="&amp;$A50,実績!$AJ$6:$AJ$505,"&gt;"&amp;$A50,実績!$AK$6:$AK$505,"○")&gt;0,1,0))</f>
        <v>0</v>
      </c>
      <c r="BN50" s="39" t="n">
        <f aca="false">IF(BN$4=0,0,IF(COUNTIFS(実績!$W$6:$W$505,BN$3,実績!$AI$6:$AI$505,"&lt;="&amp;$A50,実績!$AJ$6:$AJ$505,"&gt;"&amp;$A50,実績!$AK$6:$AK$505,"○")&gt;0,1,0))</f>
        <v>0</v>
      </c>
      <c r="BO50" s="39" t="n">
        <f aca="false">IF(BO$4=0,0,IF(COUNTIFS(実績!$W$6:$W$505,BO$3,実績!$AI$6:$AI$505,"&lt;="&amp;$A50,実績!$AJ$6:$AJ$505,"&gt;"&amp;$A50,実績!$AK$6:$AK$505,"○")&gt;0,1,0))</f>
        <v>0</v>
      </c>
      <c r="BP50" s="39" t="n">
        <f aca="false">IF(BP$4=0,0,IF(COUNTIFS(実績!$W$6:$W$505,BP$3,実績!$AI$6:$AI$505,"&lt;="&amp;$A50,実績!$AJ$6:$AJ$505,"&gt;"&amp;$A50,実績!$AK$6:$AK$505,"○")&gt;0,1,0))</f>
        <v>0</v>
      </c>
      <c r="BQ50" s="39" t="n">
        <f aca="false">IF(BQ$4=0,0,IF(COUNTIFS(実績!$W$6:$W$505,BQ$3,実績!$AI$6:$AI$505,"&lt;="&amp;$A50,実績!$AJ$6:$AJ$505,"&gt;"&amp;$A50,実績!$AK$6:$AK$505,"○")&gt;0,1,0))</f>
        <v>0</v>
      </c>
      <c r="BR50" s="39" t="n">
        <f aca="false">IF(BR$4=0,0,IF(COUNTIFS(実績!$W$6:$W$505,BR$3,実績!$AI$6:$AI$505,"&lt;="&amp;$A50,実績!$AJ$6:$AJ$505,"&gt;"&amp;$A50,実績!$AK$6:$AK$505,"○")&gt;0,1,0))</f>
        <v>0</v>
      </c>
      <c r="BS50" s="39" t="n">
        <f aca="false">IF(BS$4=0,0,IF(COUNTIFS(実績!$W$6:$W$505,BS$3,実績!$AI$6:$AI$505,"&lt;="&amp;$A50,実績!$AJ$6:$AJ$505,"&gt;"&amp;$A50,実績!$AK$6:$AK$505,"○")&gt;0,1,0))</f>
        <v>0</v>
      </c>
      <c r="BT50" s="39" t="n">
        <f aca="false">IF(BT$4=0,0,IF(COUNTIFS(実績!$W$6:$W$505,BT$3,実績!$AI$6:$AI$505,"&lt;="&amp;$A50,実績!$AJ$6:$AJ$505,"&gt;"&amp;$A50,実績!$AK$6:$AK$505,"○")&gt;0,1,0))</f>
        <v>0</v>
      </c>
      <c r="BU50" s="39" t="n">
        <f aca="false">IF(BU$4=0,0,IF(COUNTIFS(実績!$W$6:$W$505,BU$3,実績!$AI$6:$AI$505,"&lt;="&amp;$A50,実績!$AJ$6:$AJ$505,"&gt;"&amp;$A50,実績!$AK$6:$AK$505,"○")&gt;0,1,0))</f>
        <v>0</v>
      </c>
      <c r="BV50" s="39" t="n">
        <f aca="false">IF(BV$4=0,0,IF(COUNTIFS(実績!$W$6:$W$505,BV$3,実績!$AI$6:$AI$505,"&lt;="&amp;$A50,実績!$AJ$6:$AJ$505,"&gt;"&amp;$A50,実績!$AK$6:$AK$505,"○")&gt;0,1,0))</f>
        <v>0</v>
      </c>
      <c r="BW50" s="39" t="n">
        <f aca="false">IF(BW$4=0,0,IF(COUNTIFS(実績!$W$6:$W$505,BW$3,実績!$AI$6:$AI$505,"&lt;="&amp;$A50,実績!$AJ$6:$AJ$505,"&gt;"&amp;$A50,実績!$AK$6:$AK$505,"○")&gt;0,1,0))</f>
        <v>0</v>
      </c>
      <c r="BX50" s="39" t="n">
        <f aca="false">IF(BX$4=0,0,IF(COUNTIFS(実績!$W$6:$W$505,BX$3,実績!$AI$6:$AI$505,"&lt;="&amp;$A50,実績!$AJ$6:$AJ$505,"&gt;"&amp;$A50,実績!$AK$6:$AK$505,"○")&gt;0,1,0))</f>
        <v>0</v>
      </c>
      <c r="BY50" s="39" t="n">
        <f aca="false">IF(BY$4=0,0,IF(COUNTIFS(実績!$W$6:$W$505,BY$3,実績!$AI$6:$AI$505,"&lt;="&amp;$A50,実績!$AJ$6:$AJ$505,"&gt;"&amp;$A50,実績!$AK$6:$AK$505,"○")&gt;0,1,0))</f>
        <v>0</v>
      </c>
      <c r="BZ50" s="39" t="n">
        <f aca="false">IF(BZ$4=0,0,IF(COUNTIFS(実績!$W$6:$W$505,BZ$3,実績!$AI$6:$AI$505,"&lt;="&amp;$A50,実績!$AJ$6:$AJ$505,"&gt;"&amp;$A50,実績!$AK$6:$AK$505,"○")&gt;0,1,0))</f>
        <v>0</v>
      </c>
      <c r="CA50" s="39" t="n">
        <f aca="false">IF(CA$4=0,0,IF(COUNTIFS(実績!$W$6:$W$505,CA$3,実績!$AI$6:$AI$505,"&lt;="&amp;$A50,実績!$AJ$6:$AJ$505,"&gt;"&amp;$A50,実績!$AK$6:$AK$505,"○")&gt;0,1,0))</f>
        <v>0</v>
      </c>
      <c r="CB50" s="39" t="n">
        <f aca="false">IF(CB$4=0,0,IF(COUNTIFS(実績!$W$6:$W$505,CB$3,実績!$AI$6:$AI$505,"&lt;="&amp;$A50,実績!$AJ$6:$AJ$505,"&gt;"&amp;$A50,実績!$AK$6:$AK$505,"○")&gt;0,1,0))</f>
        <v>0</v>
      </c>
      <c r="CC50" s="39" t="n">
        <f aca="false">IF(CC$4=0,0,IF(COUNTIFS(実績!$W$6:$W$505,CC$3,実績!$AI$6:$AI$505,"&lt;="&amp;$A50,実績!$AJ$6:$AJ$505,"&gt;"&amp;$A50,実績!$AK$6:$AK$505,"○")&gt;0,1,0))</f>
        <v>0</v>
      </c>
      <c r="CD50" s="39" t="n">
        <f aca="false">IF(CD$4=0,0,IF(COUNTIFS(実績!$W$6:$W$505,CD$3,実績!$AI$6:$AI$505,"&lt;="&amp;$A50,実績!$AJ$6:$AJ$505,"&gt;"&amp;$A50,実績!$AK$6:$AK$505,"○")&gt;0,1,0))</f>
        <v>0</v>
      </c>
      <c r="CE50" s="39" t="n">
        <f aca="false">IF(CE$4=0,0,IF(COUNTIFS(実績!$W$6:$W$505,CE$3,実績!$AI$6:$AI$505,"&lt;="&amp;$A50,実績!$AJ$6:$AJ$505,"&gt;"&amp;$A50,実績!$AK$6:$AK$505,"○")&gt;0,1,0))</f>
        <v>0</v>
      </c>
      <c r="CF50" s="39" t="n">
        <f aca="false">IF(CF$4=0,0,IF(COUNTIFS(実績!$W$6:$W$505,CF$3,実績!$AI$6:$AI$505,"&lt;="&amp;$A50,実績!$AJ$6:$AJ$505,"&gt;"&amp;$A50,実績!$AK$6:$AK$505,"○")&gt;0,1,0))</f>
        <v>0</v>
      </c>
      <c r="CG50" s="39" t="n">
        <f aca="false">IF(CG$4=0,0,IF(COUNTIFS(実績!$W$6:$W$505,CG$3,実績!$AI$6:$AI$505,"&lt;="&amp;$A50,実績!$AJ$6:$AJ$505,"&gt;"&amp;$A50,実績!$AK$6:$AK$505,"○")&gt;0,1,0))</f>
        <v>0</v>
      </c>
      <c r="CH50" s="39" t="n">
        <f aca="false">IF(CH$4=0,0,IF(COUNTIFS(実績!$W$6:$W$505,CH$3,実績!$AI$6:$AI$505,"&lt;="&amp;$A50,実績!$AJ$6:$AJ$505,"&gt;"&amp;$A50,実績!$AK$6:$AK$505,"○")&gt;0,1,0))</f>
        <v>0</v>
      </c>
      <c r="CI50" s="39" t="n">
        <f aca="false">IF(CI$4=0,0,IF(COUNTIFS(実績!$W$6:$W$505,CI$3,実績!$AI$6:$AI$505,"&lt;="&amp;$A50,実績!$AJ$6:$AJ$505,"&gt;"&amp;$A50,実績!$AK$6:$AK$505,"○")&gt;0,1,0))</f>
        <v>0</v>
      </c>
      <c r="CJ50" s="39" t="n">
        <f aca="false">IF(CJ$4=0,0,IF(COUNTIFS(実績!$W$6:$W$505,CJ$3,実績!$AI$6:$AI$505,"&lt;="&amp;$A50,実績!$AJ$6:$AJ$505,"&gt;"&amp;$A50,実績!$AK$6:$AK$505,"○")&gt;0,1,0))</f>
        <v>0</v>
      </c>
      <c r="CK50" s="39" t="n">
        <f aca="false">IF(CK$4=0,0,IF(COUNTIFS(実績!$W$6:$W$505,CK$3,実績!$AI$6:$AI$505,"&lt;="&amp;$A50,実績!$AJ$6:$AJ$505,"&gt;"&amp;$A50,実績!$AK$6:$AK$505,"○")&gt;0,1,0))</f>
        <v>0</v>
      </c>
      <c r="CL50" s="39" t="n">
        <f aca="false">IF(CL$4=0,0,IF(COUNTIFS(実績!$W$6:$W$505,CL$3,実績!$AI$6:$AI$505,"&lt;="&amp;$A50,実績!$AJ$6:$AJ$505,"&gt;"&amp;$A50,実績!$AK$6:$AK$505,"○")&gt;0,1,0))</f>
        <v>0</v>
      </c>
      <c r="CM50" s="39" t="n">
        <f aca="false">IF(CM$4=0,0,IF(COUNTIFS(実績!$W$6:$W$505,CM$3,実績!$AI$6:$AI$505,"&lt;="&amp;$A50,実績!$AJ$6:$AJ$505,"&gt;"&amp;$A50,実績!$AK$6:$AK$505,"○")&gt;0,1,0))</f>
        <v>0</v>
      </c>
      <c r="CN50" s="39" t="n">
        <f aca="false">IF(CN$4=0,0,IF(COUNTIFS(実績!$W$6:$W$505,CN$3,実績!$AI$6:$AI$505,"&lt;="&amp;$A50,実績!$AJ$6:$AJ$505,"&gt;"&amp;$A50,実績!$AK$6:$AK$505,"○")&gt;0,1,0))</f>
        <v>0</v>
      </c>
      <c r="CO50" s="39" t="n">
        <f aca="false">IF(CO$4=0,0,IF(COUNTIFS(実績!$W$6:$W$505,CO$3,実績!$AI$6:$AI$505,"&lt;="&amp;$A50,実績!$AJ$6:$AJ$505,"&gt;"&amp;$A50,実績!$AK$6:$AK$505,"○")&gt;0,1,0))</f>
        <v>0</v>
      </c>
      <c r="CP50" s="39" t="n">
        <f aca="false">IF(CP$4=0,0,IF(COUNTIFS(実績!$W$6:$W$505,CP$3,実績!$AI$6:$AI$505,"&lt;="&amp;$A50,実績!$AJ$6:$AJ$505,"&gt;"&amp;$A50,実績!$AK$6:$AK$505,"○")&gt;0,1,0))</f>
        <v>0</v>
      </c>
      <c r="CQ50" s="39" t="n">
        <f aca="false">IF(CQ$4=0,0,IF(COUNTIFS(実績!$W$6:$W$505,CQ$3,実績!$AI$6:$AI$505,"&lt;="&amp;$A50,実績!$AJ$6:$AJ$505,"&gt;"&amp;$A50,実績!$AK$6:$AK$505,"○")&gt;0,1,0))</f>
        <v>0</v>
      </c>
      <c r="CR50" s="39" t="n">
        <f aca="false">IF(CR$4=0,0,IF(COUNTIFS(実績!$W$6:$W$505,CR$3,実績!$AI$6:$AI$505,"&lt;="&amp;$A50,実績!$AJ$6:$AJ$505,"&gt;"&amp;$A50,実績!$AK$6:$AK$505,"○")&gt;0,1,0))</f>
        <v>0</v>
      </c>
      <c r="CS50" s="39" t="n">
        <f aca="false">IF(CS$4=0,0,IF(COUNTIFS(実績!$W$6:$W$505,CS$3,実績!$AI$6:$AI$505,"&lt;="&amp;$A50,実績!$AJ$6:$AJ$505,"&gt;"&amp;$A50,実績!$AK$6:$AK$505,"○")&gt;0,1,0))</f>
        <v>0</v>
      </c>
      <c r="CT50" s="39" t="n">
        <f aca="false">IF(CT$4=0,0,IF(COUNTIFS(実績!$W$6:$W$505,CT$3,実績!$AI$6:$AI$505,"&lt;="&amp;$A50,実績!$AJ$6:$AJ$505,"&gt;"&amp;$A50,実績!$AK$6:$AK$505,"○")&gt;0,1,0))</f>
        <v>0</v>
      </c>
      <c r="CU50" s="39" t="n">
        <f aca="false">IF(CU$4=0,0,IF(COUNTIFS(実績!$W$6:$W$505,CU$3,実績!$AI$6:$AI$505,"&lt;="&amp;$A50,実績!$AJ$6:$AJ$505,"&gt;"&amp;$A50,実績!$AK$6:$AK$505,"○")&gt;0,1,0))</f>
        <v>0</v>
      </c>
      <c r="CV50" s="39" t="n">
        <f aca="false">IF(CV$4=0,0,IF(COUNTIFS(実績!$W$6:$W$505,CV$3,実績!$AI$6:$AI$505,"&lt;="&amp;$A50,実績!$AJ$6:$AJ$505,"&gt;"&amp;$A50,実績!$AK$6:$AK$505,"○")&gt;0,1,0))</f>
        <v>0</v>
      </c>
      <c r="CW50" s="39" t="n">
        <f aca="false">IF(CW$4=0,0,IF(COUNTIFS(実績!$W$6:$W$505,CW$3,実績!$AI$6:$AI$505,"&lt;="&amp;$A50,実績!$AJ$6:$AJ$505,"&gt;"&amp;$A50,実績!$AK$6:$AK$505,"○")&gt;0,1,0))</f>
        <v>0</v>
      </c>
      <c r="CX50" s="39" t="n">
        <f aca="false">IF(CX$4=0,0,IF(COUNTIFS(実績!$W$6:$W$505,CX$3,実績!$AI$6:$AI$505,"&lt;="&amp;$A50,実績!$AJ$6:$AJ$505,"&gt;"&amp;$A50,実績!$AK$6:$AK$505,"○")&gt;0,1,0))</f>
        <v>0</v>
      </c>
      <c r="CY50" s="39" t="n">
        <f aca="false">IF(CY$4=0,0,IF(COUNTIFS(実績!$W$6:$W$505,CY$3,実績!$AI$6:$AI$505,"&lt;="&amp;$A50,実績!$AJ$6:$AJ$505,"&gt;"&amp;$A50,実績!$AK$6:$AK$505,"○")&gt;0,1,0))</f>
        <v>0</v>
      </c>
      <c r="CZ50" s="39" t="n">
        <f aca="false">IF(CZ$4=0,0,IF(COUNTIFS(実績!$W$6:$W$505,CZ$3,実績!$AI$6:$AI$505,"&lt;="&amp;$A50,実績!$AJ$6:$AJ$505,"&gt;"&amp;$A50,実績!$AK$6:$AK$505,"○")&gt;0,1,0))</f>
        <v>0</v>
      </c>
      <c r="DA50" s="39" t="n">
        <f aca="false">IF(DA$4=0,0,IF(COUNTIFS(実績!$W$6:$W$505,DA$3,実績!$AI$6:$AI$505,"&lt;="&amp;$A50,実績!$AJ$6:$AJ$505,"&gt;"&amp;$A50,実績!$AK$6:$AK$505,"○")&gt;0,1,0))</f>
        <v>0</v>
      </c>
      <c r="DB50" s="39" t="n">
        <f aca="false">IF(DB$4=0,0,IF(COUNTIFS(実績!$W$6:$W$505,DB$3,実績!$AI$6:$AI$505,"&lt;="&amp;$A50,実績!$AJ$6:$AJ$505,"&gt;"&amp;$A50,実績!$AK$6:$AK$505,"○")&gt;0,1,0))</f>
        <v>0</v>
      </c>
      <c r="DC50" s="39" t="n">
        <f aca="false">IF(DC$4=0,0,IF(COUNTIFS(実績!$W$6:$W$505,DC$3,実績!$AI$6:$AI$505,"&lt;="&amp;$A50,実績!$AJ$6:$AJ$505,"&gt;"&amp;$A50,実績!$AK$6:$AK$505,"○")&gt;0,1,0))</f>
        <v>0</v>
      </c>
      <c r="DD50" s="39" t="n">
        <f aca="false">IF(DD$4=0,0,IF(COUNTIFS(実績!$W$6:$W$505,DD$3,実績!$AI$6:$AI$505,"&lt;="&amp;$A50,実績!$AJ$6:$AJ$505,"&gt;"&amp;$A50,実績!$AK$6:$AK$505,"○")&gt;0,1,0))</f>
        <v>0</v>
      </c>
      <c r="DE50" s="39" t="n">
        <f aca="false">IF(DE$4=0,0,IF(COUNTIFS(実績!$W$6:$W$505,DE$3,実績!$AI$6:$AI$505,"&lt;="&amp;$A50,実績!$AJ$6:$AJ$505,"&gt;"&amp;$A50,実績!$AK$6:$AK$505,"○")&gt;0,1,0))</f>
        <v>0</v>
      </c>
      <c r="DF50" s="39" t="n">
        <f aca="false">IF(DF$4=0,0,IF(COUNTIFS(実績!$W$6:$W$505,DF$3,実績!$AI$6:$AI$505,"&lt;="&amp;$A50,実績!$AJ$6:$AJ$505,"&gt;"&amp;$A50,実績!$AK$6:$AK$505,"○")&gt;0,1,0))</f>
        <v>0</v>
      </c>
      <c r="DG50" s="39" t="n">
        <f aca="false">IF(DG$4=0,0,IF(COUNTIFS(実績!$W$6:$W$505,DG$3,実績!$AI$6:$AI$505,"&lt;="&amp;$A50,実績!$AJ$6:$AJ$505,"&gt;"&amp;$A50,実績!$AK$6:$AK$505,"○")&gt;0,1,0))</f>
        <v>0</v>
      </c>
      <c r="DH50" s="39" t="n">
        <f aca="false">IF(DH$4=0,0,IF(COUNTIFS(実績!$W$6:$W$505,DH$3,実績!$AI$6:$AI$505,"&lt;="&amp;$A50,実績!$AJ$6:$AJ$505,"&gt;"&amp;$A50,実績!$AK$6:$AK$505,"○")&gt;0,1,0))</f>
        <v>0</v>
      </c>
      <c r="DI50" s="39" t="n">
        <f aca="false">IF(DI$4=0,0,IF(COUNTIFS(実績!$W$6:$W$505,DI$3,実績!$AI$6:$AI$505,"&lt;="&amp;$A50,実績!$AJ$6:$AJ$505,"&gt;"&amp;$A50,実績!$AK$6:$AK$505,"○")&gt;0,1,0))</f>
        <v>0</v>
      </c>
      <c r="DJ50" s="39" t="n">
        <f aca="false">IF(DJ$4=0,0,IF(COUNTIFS(実績!$W$6:$W$505,DJ$3,実績!$AI$6:$AI$505,"&lt;="&amp;$A50,実績!$AJ$6:$AJ$505,"&gt;"&amp;$A50,実績!$AK$6:$AK$505,"○")&gt;0,1,0))</f>
        <v>0</v>
      </c>
      <c r="DK50" s="39" t="n">
        <f aca="false">IF(DK$4=0,0,IF(COUNTIFS(実績!$W$6:$W$505,DK$3,実績!$AI$6:$AI$505,"&lt;="&amp;$A50,実績!$AJ$6:$AJ$505,"&gt;"&amp;$A50,実績!$AK$6:$AK$505,"○")&gt;0,1,0))</f>
        <v>0</v>
      </c>
      <c r="DL50" s="39" t="n">
        <f aca="false">IF(DL$4=0,0,IF(COUNTIFS(実績!$W$6:$W$505,DL$3,実績!$AI$6:$AI$505,"&lt;="&amp;$A50,実績!$AJ$6:$AJ$505,"&gt;"&amp;$A50,実績!$AK$6:$AK$505,"○")&gt;0,1,0))</f>
        <v>0</v>
      </c>
      <c r="DM50" s="39" t="n">
        <f aca="false">IF(DM$4=0,0,IF(COUNTIFS(実績!$W$6:$W$505,DM$3,実績!$AI$6:$AI$505,"&lt;="&amp;$A50,実績!$AJ$6:$AJ$505,"&gt;"&amp;$A50,実績!$AK$6:$AK$505,"○")&gt;0,1,0))</f>
        <v>0</v>
      </c>
      <c r="DN50" s="39" t="n">
        <f aca="false">IF(DN$4=0,0,IF(COUNTIFS(実績!$W$6:$W$505,DN$3,実績!$AI$6:$AI$505,"&lt;="&amp;$A50,実績!$AJ$6:$AJ$505,"&gt;"&amp;$A50,実績!$AK$6:$AK$505,"○")&gt;0,1,0))</f>
        <v>0</v>
      </c>
      <c r="DO50" s="39" t="n">
        <f aca="false">IF(DO$4=0,0,IF(COUNTIFS(実績!$W$6:$W$505,DO$3,実績!$AI$6:$AI$505,"&lt;="&amp;$A50,実績!$AJ$6:$AJ$505,"&gt;"&amp;$A50,実績!$AK$6:$AK$505,"○")&gt;0,1,0))</f>
        <v>0</v>
      </c>
      <c r="DP50" s="39" t="n">
        <f aca="false">IF(DP$4=0,0,IF(COUNTIFS(実績!$W$6:$W$505,DP$3,実績!$AI$6:$AI$505,"&lt;="&amp;$A50,実績!$AJ$6:$AJ$505,"&gt;"&amp;$A50,実績!$AK$6:$AK$505,"○")&gt;0,1,0))</f>
        <v>0</v>
      </c>
      <c r="DQ50" s="39" t="n">
        <f aca="false">IF(DQ$4=0,0,IF(COUNTIFS(実績!$W$6:$W$505,DQ$3,実績!$AI$6:$AI$505,"&lt;="&amp;$A50,実績!$AJ$6:$AJ$505,"&gt;"&amp;$A50,実績!$AK$6:$AK$505,"○")&gt;0,1,0))</f>
        <v>0</v>
      </c>
      <c r="DR50" s="39" t="n">
        <f aca="false">IF(DR$4=0,0,IF(COUNTIFS(実績!$W$6:$W$505,DR$3,実績!$AI$6:$AI$505,"&lt;="&amp;$A50,実績!$AJ$6:$AJ$505,"&gt;"&amp;$A50,実績!$AK$6:$AK$505,"○")&gt;0,1,0))</f>
        <v>0</v>
      </c>
      <c r="DS50" s="39" t="n">
        <f aca="false">SUM(C50:DR50)</f>
        <v>0</v>
      </c>
      <c r="DT50" s="39" t="n">
        <f aca="false">SUMPRODUCT((実績!$C$6:$C$505="○")*ISNUMBER(実績!$AM$6:$AM$505)*(実績!$AM$6:$AM$505&lt;=$A50)*(実績!$AN$6:$AN$505&gt;$A50))</f>
        <v>0</v>
      </c>
      <c r="DU50" s="39" t="n">
        <f aca="false">SUMIF($C$2:$DR$2,"製鉄曳船",C50:DR50)</f>
        <v>0</v>
      </c>
      <c r="DV50" s="39" t="n">
        <f aca="false">SUMIF($C$2:$DR$2,"西日本海運",C50:DR50)</f>
        <v>0</v>
      </c>
    </row>
    <row r="51" customFormat="false" ht="15" hidden="false" customHeight="false" outlineLevel="0" collapsed="false">
      <c r="A51" s="0" t="n">
        <v>225</v>
      </c>
      <c r="B51" s="38" t="n">
        <f aca="false">A51/1440</f>
        <v>0.15625</v>
      </c>
      <c r="C51" s="39" t="n">
        <f aca="false">IF(C$4=0,0,IF(COUNTIFS(実績!$W$6:$W$505,C$3,実績!$AI$6:$AI$505,"&lt;="&amp;$A51,実績!$AJ$6:$AJ$505,"&gt;"&amp;$A51,実績!$AK$6:$AK$505,"○")&gt;0,1,0))</f>
        <v>0</v>
      </c>
      <c r="D51" s="39" t="n">
        <f aca="false">IF(D$4=0,0,IF(COUNTIFS(実績!$W$6:$W$505,D$3,実績!$AI$6:$AI$505,"&lt;="&amp;$A51,実績!$AJ$6:$AJ$505,"&gt;"&amp;$A51,実績!$AK$6:$AK$505,"○")&gt;0,1,0))</f>
        <v>0</v>
      </c>
      <c r="E51" s="39" t="n">
        <f aca="false">IF(E$4=0,0,IF(COUNTIFS(実績!$W$6:$W$505,E$3,実績!$AI$6:$AI$505,"&lt;="&amp;$A51,実績!$AJ$6:$AJ$505,"&gt;"&amp;$A51,実績!$AK$6:$AK$505,"○")&gt;0,1,0))</f>
        <v>0</v>
      </c>
      <c r="F51" s="39" t="n">
        <f aca="false">IF(F$4=0,0,IF(COUNTIFS(実績!$W$6:$W$505,F$3,実績!$AI$6:$AI$505,"&lt;="&amp;$A51,実績!$AJ$6:$AJ$505,"&gt;"&amp;$A51,実績!$AK$6:$AK$505,"○")&gt;0,1,0))</f>
        <v>0</v>
      </c>
      <c r="G51" s="39" t="n">
        <f aca="false">IF(G$4=0,0,IF(COUNTIFS(実績!$W$6:$W$505,G$3,実績!$AI$6:$AI$505,"&lt;="&amp;$A51,実績!$AJ$6:$AJ$505,"&gt;"&amp;$A51,実績!$AK$6:$AK$505,"○")&gt;0,1,0))</f>
        <v>0</v>
      </c>
      <c r="H51" s="39" t="n">
        <f aca="false">IF(H$4=0,0,IF(COUNTIFS(実績!$W$6:$W$505,H$3,実績!$AI$6:$AI$505,"&lt;="&amp;$A51,実績!$AJ$6:$AJ$505,"&gt;"&amp;$A51,実績!$AK$6:$AK$505,"○")&gt;0,1,0))</f>
        <v>0</v>
      </c>
      <c r="I51" s="39" t="n">
        <f aca="false">IF(I$4=0,0,IF(COUNTIFS(実績!$W$6:$W$505,I$3,実績!$AI$6:$AI$505,"&lt;="&amp;$A51,実績!$AJ$6:$AJ$505,"&gt;"&amp;$A51,実績!$AK$6:$AK$505,"○")&gt;0,1,0))</f>
        <v>0</v>
      </c>
      <c r="J51" s="39" t="n">
        <f aca="false">IF(J$4=0,0,IF(COUNTIFS(実績!$W$6:$W$505,J$3,実績!$AI$6:$AI$505,"&lt;="&amp;$A51,実績!$AJ$6:$AJ$505,"&gt;"&amp;$A51,実績!$AK$6:$AK$505,"○")&gt;0,1,0))</f>
        <v>0</v>
      </c>
      <c r="K51" s="39" t="n">
        <f aca="false">IF(K$4=0,0,IF(COUNTIFS(実績!$W$6:$W$505,K$3,実績!$AI$6:$AI$505,"&lt;="&amp;$A51,実績!$AJ$6:$AJ$505,"&gt;"&amp;$A51,実績!$AK$6:$AK$505,"○")&gt;0,1,0))</f>
        <v>0</v>
      </c>
      <c r="L51" s="39" t="n">
        <f aca="false">IF(L$4=0,0,IF(COUNTIFS(実績!$W$6:$W$505,L$3,実績!$AI$6:$AI$505,"&lt;="&amp;$A51,実績!$AJ$6:$AJ$505,"&gt;"&amp;$A51,実績!$AK$6:$AK$505,"○")&gt;0,1,0))</f>
        <v>0</v>
      </c>
      <c r="M51" s="39" t="n">
        <f aca="false">IF(M$4=0,0,IF(COUNTIFS(実績!$W$6:$W$505,M$3,実績!$AI$6:$AI$505,"&lt;="&amp;$A51,実績!$AJ$6:$AJ$505,"&gt;"&amp;$A51,実績!$AK$6:$AK$505,"○")&gt;0,1,0))</f>
        <v>0</v>
      </c>
      <c r="N51" s="39" t="n">
        <f aca="false">IF(N$4=0,0,IF(COUNTIFS(実績!$W$6:$W$505,N$3,実績!$AI$6:$AI$505,"&lt;="&amp;$A51,実績!$AJ$6:$AJ$505,"&gt;"&amp;$A51,実績!$AK$6:$AK$505,"○")&gt;0,1,0))</f>
        <v>0</v>
      </c>
      <c r="O51" s="39" t="n">
        <f aca="false">IF(O$4=0,0,IF(COUNTIFS(実績!$W$6:$W$505,O$3,実績!$AI$6:$AI$505,"&lt;="&amp;$A51,実績!$AJ$6:$AJ$505,"&gt;"&amp;$A51,実績!$AK$6:$AK$505,"○")&gt;0,1,0))</f>
        <v>0</v>
      </c>
      <c r="P51" s="39" t="n">
        <f aca="false">IF(P$4=0,0,IF(COUNTIFS(実績!$W$6:$W$505,P$3,実績!$AI$6:$AI$505,"&lt;="&amp;$A51,実績!$AJ$6:$AJ$505,"&gt;"&amp;$A51,実績!$AK$6:$AK$505,"○")&gt;0,1,0))</f>
        <v>0</v>
      </c>
      <c r="Q51" s="39" t="n">
        <f aca="false">IF(Q$4=0,0,IF(COUNTIFS(実績!$W$6:$W$505,Q$3,実績!$AI$6:$AI$505,"&lt;="&amp;$A51,実績!$AJ$6:$AJ$505,"&gt;"&amp;$A51,実績!$AK$6:$AK$505,"○")&gt;0,1,0))</f>
        <v>0</v>
      </c>
      <c r="R51" s="39" t="n">
        <f aca="false">IF(R$4=0,0,IF(COUNTIFS(実績!$W$6:$W$505,R$3,実績!$AI$6:$AI$505,"&lt;="&amp;$A51,実績!$AJ$6:$AJ$505,"&gt;"&amp;$A51,実績!$AK$6:$AK$505,"○")&gt;0,1,0))</f>
        <v>0</v>
      </c>
      <c r="S51" s="39" t="n">
        <f aca="false">IF(S$4=0,0,IF(COUNTIFS(実績!$W$6:$W$505,S$3,実績!$AI$6:$AI$505,"&lt;="&amp;$A51,実績!$AJ$6:$AJ$505,"&gt;"&amp;$A51,実績!$AK$6:$AK$505,"○")&gt;0,1,0))</f>
        <v>0</v>
      </c>
      <c r="T51" s="39" t="n">
        <f aca="false">IF(T$4=0,0,IF(COUNTIFS(実績!$W$6:$W$505,T$3,実績!$AI$6:$AI$505,"&lt;="&amp;$A51,実績!$AJ$6:$AJ$505,"&gt;"&amp;$A51,実績!$AK$6:$AK$505,"○")&gt;0,1,0))</f>
        <v>0</v>
      </c>
      <c r="U51" s="39" t="n">
        <f aca="false">IF(U$4=0,0,IF(COUNTIFS(実績!$W$6:$W$505,U$3,実績!$AI$6:$AI$505,"&lt;="&amp;$A51,実績!$AJ$6:$AJ$505,"&gt;"&amp;$A51,実績!$AK$6:$AK$505,"○")&gt;0,1,0))</f>
        <v>0</v>
      </c>
      <c r="V51" s="39" t="n">
        <f aca="false">IF(V$4=0,0,IF(COUNTIFS(実績!$W$6:$W$505,V$3,実績!$AI$6:$AI$505,"&lt;="&amp;$A51,実績!$AJ$6:$AJ$505,"&gt;"&amp;$A51,実績!$AK$6:$AK$505,"○")&gt;0,1,0))</f>
        <v>0</v>
      </c>
      <c r="W51" s="39" t="n">
        <f aca="false">IF(W$4=0,0,IF(COUNTIFS(実績!$W$6:$W$505,W$3,実績!$AI$6:$AI$505,"&lt;="&amp;$A51,実績!$AJ$6:$AJ$505,"&gt;"&amp;$A51,実績!$AK$6:$AK$505,"○")&gt;0,1,0))</f>
        <v>0</v>
      </c>
      <c r="X51" s="39" t="n">
        <f aca="false">IF(X$4=0,0,IF(COUNTIFS(実績!$W$6:$W$505,X$3,実績!$AI$6:$AI$505,"&lt;="&amp;$A51,実績!$AJ$6:$AJ$505,"&gt;"&amp;$A51,実績!$AK$6:$AK$505,"○")&gt;0,1,0))</f>
        <v>0</v>
      </c>
      <c r="Y51" s="39" t="n">
        <f aca="false">IF(Y$4=0,0,IF(COUNTIFS(実績!$W$6:$W$505,Y$3,実績!$AI$6:$AI$505,"&lt;="&amp;$A51,実績!$AJ$6:$AJ$505,"&gt;"&amp;$A51,実績!$AK$6:$AK$505,"○")&gt;0,1,0))</f>
        <v>0</v>
      </c>
      <c r="Z51" s="39" t="n">
        <f aca="false">IF(Z$4=0,0,IF(COUNTIFS(実績!$W$6:$W$505,Z$3,実績!$AI$6:$AI$505,"&lt;="&amp;$A51,実績!$AJ$6:$AJ$505,"&gt;"&amp;$A51,実績!$AK$6:$AK$505,"○")&gt;0,1,0))</f>
        <v>0</v>
      </c>
      <c r="AA51" s="39" t="n">
        <f aca="false">IF(AA$4=0,0,IF(COUNTIFS(実績!$W$6:$W$505,AA$3,実績!$AI$6:$AI$505,"&lt;="&amp;$A51,実績!$AJ$6:$AJ$505,"&gt;"&amp;$A51,実績!$AK$6:$AK$505,"○")&gt;0,1,0))</f>
        <v>0</v>
      </c>
      <c r="AB51" s="39" t="n">
        <f aca="false">IF(AB$4=0,0,IF(COUNTIFS(実績!$W$6:$W$505,AB$3,実績!$AI$6:$AI$505,"&lt;="&amp;$A51,実績!$AJ$6:$AJ$505,"&gt;"&amp;$A51,実績!$AK$6:$AK$505,"○")&gt;0,1,0))</f>
        <v>0</v>
      </c>
      <c r="AC51" s="39" t="n">
        <f aca="false">IF(AC$4=0,0,IF(COUNTIFS(実績!$W$6:$W$505,AC$3,実績!$AI$6:$AI$505,"&lt;="&amp;$A51,実績!$AJ$6:$AJ$505,"&gt;"&amp;$A51,実績!$AK$6:$AK$505,"○")&gt;0,1,0))</f>
        <v>0</v>
      </c>
      <c r="AD51" s="39" t="n">
        <f aca="false">IF(AD$4=0,0,IF(COUNTIFS(実績!$W$6:$W$505,AD$3,実績!$AI$6:$AI$505,"&lt;="&amp;$A51,実績!$AJ$6:$AJ$505,"&gt;"&amp;$A51,実績!$AK$6:$AK$505,"○")&gt;0,1,0))</f>
        <v>0</v>
      </c>
      <c r="AE51" s="39" t="n">
        <f aca="false">IF(AE$4=0,0,IF(COUNTIFS(実績!$W$6:$W$505,AE$3,実績!$AI$6:$AI$505,"&lt;="&amp;$A51,実績!$AJ$6:$AJ$505,"&gt;"&amp;$A51,実績!$AK$6:$AK$505,"○")&gt;0,1,0))</f>
        <v>0</v>
      </c>
      <c r="AF51" s="39" t="n">
        <f aca="false">IF(AF$4=0,0,IF(COUNTIFS(実績!$W$6:$W$505,AF$3,実績!$AI$6:$AI$505,"&lt;="&amp;$A51,実績!$AJ$6:$AJ$505,"&gt;"&amp;$A51,実績!$AK$6:$AK$505,"○")&gt;0,1,0))</f>
        <v>0</v>
      </c>
      <c r="AG51" s="39" t="n">
        <f aca="false">IF(AG$4=0,0,IF(COUNTIFS(実績!$W$6:$W$505,AG$3,実績!$AI$6:$AI$505,"&lt;="&amp;$A51,実績!$AJ$6:$AJ$505,"&gt;"&amp;$A51,実績!$AK$6:$AK$505,"○")&gt;0,1,0))</f>
        <v>0</v>
      </c>
      <c r="AH51" s="39" t="n">
        <f aca="false">IF(AH$4=0,0,IF(COUNTIFS(実績!$W$6:$W$505,AH$3,実績!$AI$6:$AI$505,"&lt;="&amp;$A51,実績!$AJ$6:$AJ$505,"&gt;"&amp;$A51,実績!$AK$6:$AK$505,"○")&gt;0,1,0))</f>
        <v>0</v>
      </c>
      <c r="AI51" s="39" t="n">
        <f aca="false">IF(AI$4=0,0,IF(COUNTIFS(実績!$W$6:$W$505,AI$3,実績!$AI$6:$AI$505,"&lt;="&amp;$A51,実績!$AJ$6:$AJ$505,"&gt;"&amp;$A51,実績!$AK$6:$AK$505,"○")&gt;0,1,0))</f>
        <v>0</v>
      </c>
      <c r="AJ51" s="39" t="n">
        <f aca="false">IF(AJ$4=0,0,IF(COUNTIFS(実績!$W$6:$W$505,AJ$3,実績!$AI$6:$AI$505,"&lt;="&amp;$A51,実績!$AJ$6:$AJ$505,"&gt;"&amp;$A51,実績!$AK$6:$AK$505,"○")&gt;0,1,0))</f>
        <v>0</v>
      </c>
      <c r="AK51" s="39" t="n">
        <f aca="false">IF(AK$4=0,0,IF(COUNTIFS(実績!$W$6:$W$505,AK$3,実績!$AI$6:$AI$505,"&lt;="&amp;$A51,実績!$AJ$6:$AJ$505,"&gt;"&amp;$A51,実績!$AK$6:$AK$505,"○")&gt;0,1,0))</f>
        <v>0</v>
      </c>
      <c r="AL51" s="39" t="n">
        <f aca="false">IF(AL$4=0,0,IF(COUNTIFS(実績!$W$6:$W$505,AL$3,実績!$AI$6:$AI$505,"&lt;="&amp;$A51,実績!$AJ$6:$AJ$505,"&gt;"&amp;$A51,実績!$AK$6:$AK$505,"○")&gt;0,1,0))</f>
        <v>0</v>
      </c>
      <c r="AM51" s="39" t="n">
        <f aca="false">IF(AM$4=0,0,IF(COUNTIFS(実績!$W$6:$W$505,AM$3,実績!$AI$6:$AI$505,"&lt;="&amp;$A51,実績!$AJ$6:$AJ$505,"&gt;"&amp;$A51,実績!$AK$6:$AK$505,"○")&gt;0,1,0))</f>
        <v>0</v>
      </c>
      <c r="AN51" s="39" t="n">
        <f aca="false">IF(AN$4=0,0,IF(COUNTIFS(実績!$W$6:$W$505,AN$3,実績!$AI$6:$AI$505,"&lt;="&amp;$A51,実績!$AJ$6:$AJ$505,"&gt;"&amp;$A51,実績!$AK$6:$AK$505,"○")&gt;0,1,0))</f>
        <v>0</v>
      </c>
      <c r="AO51" s="39" t="n">
        <f aca="false">IF(AO$4=0,0,IF(COUNTIFS(実績!$W$6:$W$505,AO$3,実績!$AI$6:$AI$505,"&lt;="&amp;$A51,実績!$AJ$6:$AJ$505,"&gt;"&amp;$A51,実績!$AK$6:$AK$505,"○")&gt;0,1,0))</f>
        <v>0</v>
      </c>
      <c r="AP51" s="39" t="n">
        <f aca="false">IF(AP$4=0,0,IF(COUNTIFS(実績!$W$6:$W$505,AP$3,実績!$AI$6:$AI$505,"&lt;="&amp;$A51,実績!$AJ$6:$AJ$505,"&gt;"&amp;$A51,実績!$AK$6:$AK$505,"○")&gt;0,1,0))</f>
        <v>0</v>
      </c>
      <c r="AQ51" s="39" t="n">
        <f aca="false">IF(AQ$4=0,0,IF(COUNTIFS(実績!$W$6:$W$505,AQ$3,実績!$AI$6:$AI$505,"&lt;="&amp;$A51,実績!$AJ$6:$AJ$505,"&gt;"&amp;$A51,実績!$AK$6:$AK$505,"○")&gt;0,1,0))</f>
        <v>0</v>
      </c>
      <c r="AR51" s="39" t="n">
        <f aca="false">IF(AR$4=0,0,IF(COUNTIFS(実績!$W$6:$W$505,AR$3,実績!$AI$6:$AI$505,"&lt;="&amp;$A51,実績!$AJ$6:$AJ$505,"&gt;"&amp;$A51,実績!$AK$6:$AK$505,"○")&gt;0,1,0))</f>
        <v>0</v>
      </c>
      <c r="AS51" s="39" t="n">
        <f aca="false">IF(AS$4=0,0,IF(COUNTIFS(実績!$W$6:$W$505,AS$3,実績!$AI$6:$AI$505,"&lt;="&amp;$A51,実績!$AJ$6:$AJ$505,"&gt;"&amp;$A51,実績!$AK$6:$AK$505,"○")&gt;0,1,0))</f>
        <v>0</v>
      </c>
      <c r="AT51" s="39" t="n">
        <f aca="false">IF(AT$4=0,0,IF(COUNTIFS(実績!$W$6:$W$505,AT$3,実績!$AI$6:$AI$505,"&lt;="&amp;$A51,実績!$AJ$6:$AJ$505,"&gt;"&amp;$A51,実績!$AK$6:$AK$505,"○")&gt;0,1,0))</f>
        <v>0</v>
      </c>
      <c r="AU51" s="39" t="n">
        <f aca="false">IF(AU$4=0,0,IF(COUNTIFS(実績!$W$6:$W$505,AU$3,実績!$AI$6:$AI$505,"&lt;="&amp;$A51,実績!$AJ$6:$AJ$505,"&gt;"&amp;$A51,実績!$AK$6:$AK$505,"○")&gt;0,1,0))</f>
        <v>0</v>
      </c>
      <c r="AV51" s="39" t="n">
        <f aca="false">IF(AV$4=0,0,IF(COUNTIFS(実績!$W$6:$W$505,AV$3,実績!$AI$6:$AI$505,"&lt;="&amp;$A51,実績!$AJ$6:$AJ$505,"&gt;"&amp;$A51,実績!$AK$6:$AK$505,"○")&gt;0,1,0))</f>
        <v>0</v>
      </c>
      <c r="AW51" s="39" t="n">
        <f aca="false">IF(AW$4=0,0,IF(COUNTIFS(実績!$W$6:$W$505,AW$3,実績!$AI$6:$AI$505,"&lt;="&amp;$A51,実績!$AJ$6:$AJ$505,"&gt;"&amp;$A51,実績!$AK$6:$AK$505,"○")&gt;0,1,0))</f>
        <v>0</v>
      </c>
      <c r="AX51" s="39" t="n">
        <f aca="false">IF(AX$4=0,0,IF(COUNTIFS(実績!$W$6:$W$505,AX$3,実績!$AI$6:$AI$505,"&lt;="&amp;$A51,実績!$AJ$6:$AJ$505,"&gt;"&amp;$A51,実績!$AK$6:$AK$505,"○")&gt;0,1,0))</f>
        <v>0</v>
      </c>
      <c r="AY51" s="39" t="n">
        <f aca="false">IF(AY$4=0,0,IF(COUNTIFS(実績!$W$6:$W$505,AY$3,実績!$AI$6:$AI$505,"&lt;="&amp;$A51,実績!$AJ$6:$AJ$505,"&gt;"&amp;$A51,実績!$AK$6:$AK$505,"○")&gt;0,1,0))</f>
        <v>0</v>
      </c>
      <c r="AZ51" s="39" t="n">
        <f aca="false">IF(AZ$4=0,0,IF(COUNTIFS(実績!$W$6:$W$505,AZ$3,実績!$AI$6:$AI$505,"&lt;="&amp;$A51,実績!$AJ$6:$AJ$505,"&gt;"&amp;$A51,実績!$AK$6:$AK$505,"○")&gt;0,1,0))</f>
        <v>0</v>
      </c>
      <c r="BA51" s="39" t="n">
        <f aca="false">IF(BA$4=0,0,IF(COUNTIFS(実績!$W$6:$W$505,BA$3,実績!$AI$6:$AI$505,"&lt;="&amp;$A51,実績!$AJ$6:$AJ$505,"&gt;"&amp;$A51,実績!$AK$6:$AK$505,"○")&gt;0,1,0))</f>
        <v>0</v>
      </c>
      <c r="BB51" s="39" t="n">
        <f aca="false">IF(BB$4=0,0,IF(COUNTIFS(実績!$W$6:$W$505,BB$3,実績!$AI$6:$AI$505,"&lt;="&amp;$A51,実績!$AJ$6:$AJ$505,"&gt;"&amp;$A51,実績!$AK$6:$AK$505,"○")&gt;0,1,0))</f>
        <v>0</v>
      </c>
      <c r="BC51" s="39" t="n">
        <f aca="false">IF(BC$4=0,0,IF(COUNTIFS(実績!$W$6:$W$505,BC$3,実績!$AI$6:$AI$505,"&lt;="&amp;$A51,実績!$AJ$6:$AJ$505,"&gt;"&amp;$A51,実績!$AK$6:$AK$505,"○")&gt;0,1,0))</f>
        <v>0</v>
      </c>
      <c r="BD51" s="39" t="n">
        <f aca="false">IF(BD$4=0,0,IF(COUNTIFS(実績!$W$6:$W$505,BD$3,実績!$AI$6:$AI$505,"&lt;="&amp;$A51,実績!$AJ$6:$AJ$505,"&gt;"&amp;$A51,実績!$AK$6:$AK$505,"○")&gt;0,1,0))</f>
        <v>0</v>
      </c>
      <c r="BE51" s="39" t="n">
        <f aca="false">IF(BE$4=0,0,IF(COUNTIFS(実績!$W$6:$W$505,BE$3,実績!$AI$6:$AI$505,"&lt;="&amp;$A51,実績!$AJ$6:$AJ$505,"&gt;"&amp;$A51,実績!$AK$6:$AK$505,"○")&gt;0,1,0))</f>
        <v>0</v>
      </c>
      <c r="BF51" s="39" t="n">
        <f aca="false">IF(BF$4=0,0,IF(COUNTIFS(実績!$W$6:$W$505,BF$3,実績!$AI$6:$AI$505,"&lt;="&amp;$A51,実績!$AJ$6:$AJ$505,"&gt;"&amp;$A51,実績!$AK$6:$AK$505,"○")&gt;0,1,0))</f>
        <v>0</v>
      </c>
      <c r="BG51" s="39" t="n">
        <f aca="false">IF(BG$4=0,0,IF(COUNTIFS(実績!$W$6:$W$505,BG$3,実績!$AI$6:$AI$505,"&lt;="&amp;$A51,実績!$AJ$6:$AJ$505,"&gt;"&amp;$A51,実績!$AK$6:$AK$505,"○")&gt;0,1,0))</f>
        <v>0</v>
      </c>
      <c r="BH51" s="39" t="n">
        <f aca="false">IF(BH$4=0,0,IF(COUNTIFS(実績!$W$6:$W$505,BH$3,実績!$AI$6:$AI$505,"&lt;="&amp;$A51,実績!$AJ$6:$AJ$505,"&gt;"&amp;$A51,実績!$AK$6:$AK$505,"○")&gt;0,1,0))</f>
        <v>0</v>
      </c>
      <c r="BI51" s="39" t="n">
        <f aca="false">IF(BI$4=0,0,IF(COUNTIFS(実績!$W$6:$W$505,BI$3,実績!$AI$6:$AI$505,"&lt;="&amp;$A51,実績!$AJ$6:$AJ$505,"&gt;"&amp;$A51,実績!$AK$6:$AK$505,"○")&gt;0,1,0))</f>
        <v>0</v>
      </c>
      <c r="BJ51" s="39" t="n">
        <f aca="false">IF(BJ$4=0,0,IF(COUNTIFS(実績!$W$6:$W$505,BJ$3,実績!$AI$6:$AI$505,"&lt;="&amp;$A51,実績!$AJ$6:$AJ$505,"&gt;"&amp;$A51,実績!$AK$6:$AK$505,"○")&gt;0,1,0))</f>
        <v>0</v>
      </c>
      <c r="BK51" s="39" t="n">
        <f aca="false">IF(BK$4=0,0,IF(COUNTIFS(実績!$W$6:$W$505,BK$3,実績!$AI$6:$AI$505,"&lt;="&amp;$A51,実績!$AJ$6:$AJ$505,"&gt;"&amp;$A51,実績!$AK$6:$AK$505,"○")&gt;0,1,0))</f>
        <v>0</v>
      </c>
      <c r="BL51" s="39" t="n">
        <f aca="false">IF(BL$4=0,0,IF(COUNTIFS(実績!$W$6:$W$505,BL$3,実績!$AI$6:$AI$505,"&lt;="&amp;$A51,実績!$AJ$6:$AJ$505,"&gt;"&amp;$A51,実績!$AK$6:$AK$505,"○")&gt;0,1,0))</f>
        <v>0</v>
      </c>
      <c r="BM51" s="39" t="n">
        <f aca="false">IF(BM$4=0,0,IF(COUNTIFS(実績!$W$6:$W$505,BM$3,実績!$AI$6:$AI$505,"&lt;="&amp;$A51,実績!$AJ$6:$AJ$505,"&gt;"&amp;$A51,実績!$AK$6:$AK$505,"○")&gt;0,1,0))</f>
        <v>0</v>
      </c>
      <c r="BN51" s="39" t="n">
        <f aca="false">IF(BN$4=0,0,IF(COUNTIFS(実績!$W$6:$W$505,BN$3,実績!$AI$6:$AI$505,"&lt;="&amp;$A51,実績!$AJ$6:$AJ$505,"&gt;"&amp;$A51,実績!$AK$6:$AK$505,"○")&gt;0,1,0))</f>
        <v>0</v>
      </c>
      <c r="BO51" s="39" t="n">
        <f aca="false">IF(BO$4=0,0,IF(COUNTIFS(実績!$W$6:$W$505,BO$3,実績!$AI$6:$AI$505,"&lt;="&amp;$A51,実績!$AJ$6:$AJ$505,"&gt;"&amp;$A51,実績!$AK$6:$AK$505,"○")&gt;0,1,0))</f>
        <v>0</v>
      </c>
      <c r="BP51" s="39" t="n">
        <f aca="false">IF(BP$4=0,0,IF(COUNTIFS(実績!$W$6:$W$505,BP$3,実績!$AI$6:$AI$505,"&lt;="&amp;$A51,実績!$AJ$6:$AJ$505,"&gt;"&amp;$A51,実績!$AK$6:$AK$505,"○")&gt;0,1,0))</f>
        <v>0</v>
      </c>
      <c r="BQ51" s="39" t="n">
        <f aca="false">IF(BQ$4=0,0,IF(COUNTIFS(実績!$W$6:$W$505,BQ$3,実績!$AI$6:$AI$505,"&lt;="&amp;$A51,実績!$AJ$6:$AJ$505,"&gt;"&amp;$A51,実績!$AK$6:$AK$505,"○")&gt;0,1,0))</f>
        <v>0</v>
      </c>
      <c r="BR51" s="39" t="n">
        <f aca="false">IF(BR$4=0,0,IF(COUNTIFS(実績!$W$6:$W$505,BR$3,実績!$AI$6:$AI$505,"&lt;="&amp;$A51,実績!$AJ$6:$AJ$505,"&gt;"&amp;$A51,実績!$AK$6:$AK$505,"○")&gt;0,1,0))</f>
        <v>0</v>
      </c>
      <c r="BS51" s="39" t="n">
        <f aca="false">IF(BS$4=0,0,IF(COUNTIFS(実績!$W$6:$W$505,BS$3,実績!$AI$6:$AI$505,"&lt;="&amp;$A51,実績!$AJ$6:$AJ$505,"&gt;"&amp;$A51,実績!$AK$6:$AK$505,"○")&gt;0,1,0))</f>
        <v>0</v>
      </c>
      <c r="BT51" s="39" t="n">
        <f aca="false">IF(BT$4=0,0,IF(COUNTIFS(実績!$W$6:$W$505,BT$3,実績!$AI$6:$AI$505,"&lt;="&amp;$A51,実績!$AJ$6:$AJ$505,"&gt;"&amp;$A51,実績!$AK$6:$AK$505,"○")&gt;0,1,0))</f>
        <v>0</v>
      </c>
      <c r="BU51" s="39" t="n">
        <f aca="false">IF(BU$4=0,0,IF(COUNTIFS(実績!$W$6:$W$505,BU$3,実績!$AI$6:$AI$505,"&lt;="&amp;$A51,実績!$AJ$6:$AJ$505,"&gt;"&amp;$A51,実績!$AK$6:$AK$505,"○")&gt;0,1,0))</f>
        <v>0</v>
      </c>
      <c r="BV51" s="39" t="n">
        <f aca="false">IF(BV$4=0,0,IF(COUNTIFS(実績!$W$6:$W$505,BV$3,実績!$AI$6:$AI$505,"&lt;="&amp;$A51,実績!$AJ$6:$AJ$505,"&gt;"&amp;$A51,実績!$AK$6:$AK$505,"○")&gt;0,1,0))</f>
        <v>0</v>
      </c>
      <c r="BW51" s="39" t="n">
        <f aca="false">IF(BW$4=0,0,IF(COUNTIFS(実績!$W$6:$W$505,BW$3,実績!$AI$6:$AI$505,"&lt;="&amp;$A51,実績!$AJ$6:$AJ$505,"&gt;"&amp;$A51,実績!$AK$6:$AK$505,"○")&gt;0,1,0))</f>
        <v>0</v>
      </c>
      <c r="BX51" s="39" t="n">
        <f aca="false">IF(BX$4=0,0,IF(COUNTIFS(実績!$W$6:$W$505,BX$3,実績!$AI$6:$AI$505,"&lt;="&amp;$A51,実績!$AJ$6:$AJ$505,"&gt;"&amp;$A51,実績!$AK$6:$AK$505,"○")&gt;0,1,0))</f>
        <v>0</v>
      </c>
      <c r="BY51" s="39" t="n">
        <f aca="false">IF(BY$4=0,0,IF(COUNTIFS(実績!$W$6:$W$505,BY$3,実績!$AI$6:$AI$505,"&lt;="&amp;$A51,実績!$AJ$6:$AJ$505,"&gt;"&amp;$A51,実績!$AK$6:$AK$505,"○")&gt;0,1,0))</f>
        <v>0</v>
      </c>
      <c r="BZ51" s="39" t="n">
        <f aca="false">IF(BZ$4=0,0,IF(COUNTIFS(実績!$W$6:$W$505,BZ$3,実績!$AI$6:$AI$505,"&lt;="&amp;$A51,実績!$AJ$6:$AJ$505,"&gt;"&amp;$A51,実績!$AK$6:$AK$505,"○")&gt;0,1,0))</f>
        <v>0</v>
      </c>
      <c r="CA51" s="39" t="n">
        <f aca="false">IF(CA$4=0,0,IF(COUNTIFS(実績!$W$6:$W$505,CA$3,実績!$AI$6:$AI$505,"&lt;="&amp;$A51,実績!$AJ$6:$AJ$505,"&gt;"&amp;$A51,実績!$AK$6:$AK$505,"○")&gt;0,1,0))</f>
        <v>0</v>
      </c>
      <c r="CB51" s="39" t="n">
        <f aca="false">IF(CB$4=0,0,IF(COUNTIFS(実績!$W$6:$W$505,CB$3,実績!$AI$6:$AI$505,"&lt;="&amp;$A51,実績!$AJ$6:$AJ$505,"&gt;"&amp;$A51,実績!$AK$6:$AK$505,"○")&gt;0,1,0))</f>
        <v>0</v>
      </c>
      <c r="CC51" s="39" t="n">
        <f aca="false">IF(CC$4=0,0,IF(COUNTIFS(実績!$W$6:$W$505,CC$3,実績!$AI$6:$AI$505,"&lt;="&amp;$A51,実績!$AJ$6:$AJ$505,"&gt;"&amp;$A51,実績!$AK$6:$AK$505,"○")&gt;0,1,0))</f>
        <v>0</v>
      </c>
      <c r="CD51" s="39" t="n">
        <f aca="false">IF(CD$4=0,0,IF(COUNTIFS(実績!$W$6:$W$505,CD$3,実績!$AI$6:$AI$505,"&lt;="&amp;$A51,実績!$AJ$6:$AJ$505,"&gt;"&amp;$A51,実績!$AK$6:$AK$505,"○")&gt;0,1,0))</f>
        <v>0</v>
      </c>
      <c r="CE51" s="39" t="n">
        <f aca="false">IF(CE$4=0,0,IF(COUNTIFS(実績!$W$6:$W$505,CE$3,実績!$AI$6:$AI$505,"&lt;="&amp;$A51,実績!$AJ$6:$AJ$505,"&gt;"&amp;$A51,実績!$AK$6:$AK$505,"○")&gt;0,1,0))</f>
        <v>0</v>
      </c>
      <c r="CF51" s="39" t="n">
        <f aca="false">IF(CF$4=0,0,IF(COUNTIFS(実績!$W$6:$W$505,CF$3,実績!$AI$6:$AI$505,"&lt;="&amp;$A51,実績!$AJ$6:$AJ$505,"&gt;"&amp;$A51,実績!$AK$6:$AK$505,"○")&gt;0,1,0))</f>
        <v>0</v>
      </c>
      <c r="CG51" s="39" t="n">
        <f aca="false">IF(CG$4=0,0,IF(COUNTIFS(実績!$W$6:$W$505,CG$3,実績!$AI$6:$AI$505,"&lt;="&amp;$A51,実績!$AJ$6:$AJ$505,"&gt;"&amp;$A51,実績!$AK$6:$AK$505,"○")&gt;0,1,0))</f>
        <v>0</v>
      </c>
      <c r="CH51" s="39" t="n">
        <f aca="false">IF(CH$4=0,0,IF(COUNTIFS(実績!$W$6:$W$505,CH$3,実績!$AI$6:$AI$505,"&lt;="&amp;$A51,実績!$AJ$6:$AJ$505,"&gt;"&amp;$A51,実績!$AK$6:$AK$505,"○")&gt;0,1,0))</f>
        <v>0</v>
      </c>
      <c r="CI51" s="39" t="n">
        <f aca="false">IF(CI$4=0,0,IF(COUNTIFS(実績!$W$6:$W$505,CI$3,実績!$AI$6:$AI$505,"&lt;="&amp;$A51,実績!$AJ$6:$AJ$505,"&gt;"&amp;$A51,実績!$AK$6:$AK$505,"○")&gt;0,1,0))</f>
        <v>0</v>
      </c>
      <c r="CJ51" s="39" t="n">
        <f aca="false">IF(CJ$4=0,0,IF(COUNTIFS(実績!$W$6:$W$505,CJ$3,実績!$AI$6:$AI$505,"&lt;="&amp;$A51,実績!$AJ$6:$AJ$505,"&gt;"&amp;$A51,実績!$AK$6:$AK$505,"○")&gt;0,1,0))</f>
        <v>0</v>
      </c>
      <c r="CK51" s="39" t="n">
        <f aca="false">IF(CK$4=0,0,IF(COUNTIFS(実績!$W$6:$W$505,CK$3,実績!$AI$6:$AI$505,"&lt;="&amp;$A51,実績!$AJ$6:$AJ$505,"&gt;"&amp;$A51,実績!$AK$6:$AK$505,"○")&gt;0,1,0))</f>
        <v>0</v>
      </c>
      <c r="CL51" s="39" t="n">
        <f aca="false">IF(CL$4=0,0,IF(COUNTIFS(実績!$W$6:$W$505,CL$3,実績!$AI$6:$AI$505,"&lt;="&amp;$A51,実績!$AJ$6:$AJ$505,"&gt;"&amp;$A51,実績!$AK$6:$AK$505,"○")&gt;0,1,0))</f>
        <v>0</v>
      </c>
      <c r="CM51" s="39" t="n">
        <f aca="false">IF(CM$4=0,0,IF(COUNTIFS(実績!$W$6:$W$505,CM$3,実績!$AI$6:$AI$505,"&lt;="&amp;$A51,実績!$AJ$6:$AJ$505,"&gt;"&amp;$A51,実績!$AK$6:$AK$505,"○")&gt;0,1,0))</f>
        <v>0</v>
      </c>
      <c r="CN51" s="39" t="n">
        <f aca="false">IF(CN$4=0,0,IF(COUNTIFS(実績!$W$6:$W$505,CN$3,実績!$AI$6:$AI$505,"&lt;="&amp;$A51,実績!$AJ$6:$AJ$505,"&gt;"&amp;$A51,実績!$AK$6:$AK$505,"○")&gt;0,1,0))</f>
        <v>0</v>
      </c>
      <c r="CO51" s="39" t="n">
        <f aca="false">IF(CO$4=0,0,IF(COUNTIFS(実績!$W$6:$W$505,CO$3,実績!$AI$6:$AI$505,"&lt;="&amp;$A51,実績!$AJ$6:$AJ$505,"&gt;"&amp;$A51,実績!$AK$6:$AK$505,"○")&gt;0,1,0))</f>
        <v>0</v>
      </c>
      <c r="CP51" s="39" t="n">
        <f aca="false">IF(CP$4=0,0,IF(COUNTIFS(実績!$W$6:$W$505,CP$3,実績!$AI$6:$AI$505,"&lt;="&amp;$A51,実績!$AJ$6:$AJ$505,"&gt;"&amp;$A51,実績!$AK$6:$AK$505,"○")&gt;0,1,0))</f>
        <v>0</v>
      </c>
      <c r="CQ51" s="39" t="n">
        <f aca="false">IF(CQ$4=0,0,IF(COUNTIFS(実績!$W$6:$W$505,CQ$3,実績!$AI$6:$AI$505,"&lt;="&amp;$A51,実績!$AJ$6:$AJ$505,"&gt;"&amp;$A51,実績!$AK$6:$AK$505,"○")&gt;0,1,0))</f>
        <v>0</v>
      </c>
      <c r="CR51" s="39" t="n">
        <f aca="false">IF(CR$4=0,0,IF(COUNTIFS(実績!$W$6:$W$505,CR$3,実績!$AI$6:$AI$505,"&lt;="&amp;$A51,実績!$AJ$6:$AJ$505,"&gt;"&amp;$A51,実績!$AK$6:$AK$505,"○")&gt;0,1,0))</f>
        <v>0</v>
      </c>
      <c r="CS51" s="39" t="n">
        <f aca="false">IF(CS$4=0,0,IF(COUNTIFS(実績!$W$6:$W$505,CS$3,実績!$AI$6:$AI$505,"&lt;="&amp;$A51,実績!$AJ$6:$AJ$505,"&gt;"&amp;$A51,実績!$AK$6:$AK$505,"○")&gt;0,1,0))</f>
        <v>0</v>
      </c>
      <c r="CT51" s="39" t="n">
        <f aca="false">IF(CT$4=0,0,IF(COUNTIFS(実績!$W$6:$W$505,CT$3,実績!$AI$6:$AI$505,"&lt;="&amp;$A51,実績!$AJ$6:$AJ$505,"&gt;"&amp;$A51,実績!$AK$6:$AK$505,"○")&gt;0,1,0))</f>
        <v>0</v>
      </c>
      <c r="CU51" s="39" t="n">
        <f aca="false">IF(CU$4=0,0,IF(COUNTIFS(実績!$W$6:$W$505,CU$3,実績!$AI$6:$AI$505,"&lt;="&amp;$A51,実績!$AJ$6:$AJ$505,"&gt;"&amp;$A51,実績!$AK$6:$AK$505,"○")&gt;0,1,0))</f>
        <v>0</v>
      </c>
      <c r="CV51" s="39" t="n">
        <f aca="false">IF(CV$4=0,0,IF(COUNTIFS(実績!$W$6:$W$505,CV$3,実績!$AI$6:$AI$505,"&lt;="&amp;$A51,実績!$AJ$6:$AJ$505,"&gt;"&amp;$A51,実績!$AK$6:$AK$505,"○")&gt;0,1,0))</f>
        <v>0</v>
      </c>
      <c r="CW51" s="39" t="n">
        <f aca="false">IF(CW$4=0,0,IF(COUNTIFS(実績!$W$6:$W$505,CW$3,実績!$AI$6:$AI$505,"&lt;="&amp;$A51,実績!$AJ$6:$AJ$505,"&gt;"&amp;$A51,実績!$AK$6:$AK$505,"○")&gt;0,1,0))</f>
        <v>0</v>
      </c>
      <c r="CX51" s="39" t="n">
        <f aca="false">IF(CX$4=0,0,IF(COUNTIFS(実績!$W$6:$W$505,CX$3,実績!$AI$6:$AI$505,"&lt;="&amp;$A51,実績!$AJ$6:$AJ$505,"&gt;"&amp;$A51,実績!$AK$6:$AK$505,"○")&gt;0,1,0))</f>
        <v>0</v>
      </c>
      <c r="CY51" s="39" t="n">
        <f aca="false">IF(CY$4=0,0,IF(COUNTIFS(実績!$W$6:$W$505,CY$3,実績!$AI$6:$AI$505,"&lt;="&amp;$A51,実績!$AJ$6:$AJ$505,"&gt;"&amp;$A51,実績!$AK$6:$AK$505,"○")&gt;0,1,0))</f>
        <v>0</v>
      </c>
      <c r="CZ51" s="39" t="n">
        <f aca="false">IF(CZ$4=0,0,IF(COUNTIFS(実績!$W$6:$W$505,CZ$3,実績!$AI$6:$AI$505,"&lt;="&amp;$A51,実績!$AJ$6:$AJ$505,"&gt;"&amp;$A51,実績!$AK$6:$AK$505,"○")&gt;0,1,0))</f>
        <v>0</v>
      </c>
      <c r="DA51" s="39" t="n">
        <f aca="false">IF(DA$4=0,0,IF(COUNTIFS(実績!$W$6:$W$505,DA$3,実績!$AI$6:$AI$505,"&lt;="&amp;$A51,実績!$AJ$6:$AJ$505,"&gt;"&amp;$A51,実績!$AK$6:$AK$505,"○")&gt;0,1,0))</f>
        <v>0</v>
      </c>
      <c r="DB51" s="39" t="n">
        <f aca="false">IF(DB$4=0,0,IF(COUNTIFS(実績!$W$6:$W$505,DB$3,実績!$AI$6:$AI$505,"&lt;="&amp;$A51,実績!$AJ$6:$AJ$505,"&gt;"&amp;$A51,実績!$AK$6:$AK$505,"○")&gt;0,1,0))</f>
        <v>0</v>
      </c>
      <c r="DC51" s="39" t="n">
        <f aca="false">IF(DC$4=0,0,IF(COUNTIFS(実績!$W$6:$W$505,DC$3,実績!$AI$6:$AI$505,"&lt;="&amp;$A51,実績!$AJ$6:$AJ$505,"&gt;"&amp;$A51,実績!$AK$6:$AK$505,"○")&gt;0,1,0))</f>
        <v>0</v>
      </c>
      <c r="DD51" s="39" t="n">
        <f aca="false">IF(DD$4=0,0,IF(COUNTIFS(実績!$W$6:$W$505,DD$3,実績!$AI$6:$AI$505,"&lt;="&amp;$A51,実績!$AJ$6:$AJ$505,"&gt;"&amp;$A51,実績!$AK$6:$AK$505,"○")&gt;0,1,0))</f>
        <v>0</v>
      </c>
      <c r="DE51" s="39" t="n">
        <f aca="false">IF(DE$4=0,0,IF(COUNTIFS(実績!$W$6:$W$505,DE$3,実績!$AI$6:$AI$505,"&lt;="&amp;$A51,実績!$AJ$6:$AJ$505,"&gt;"&amp;$A51,実績!$AK$6:$AK$505,"○")&gt;0,1,0))</f>
        <v>0</v>
      </c>
      <c r="DF51" s="39" t="n">
        <f aca="false">IF(DF$4=0,0,IF(COUNTIFS(実績!$W$6:$W$505,DF$3,実績!$AI$6:$AI$505,"&lt;="&amp;$A51,実績!$AJ$6:$AJ$505,"&gt;"&amp;$A51,実績!$AK$6:$AK$505,"○")&gt;0,1,0))</f>
        <v>0</v>
      </c>
      <c r="DG51" s="39" t="n">
        <f aca="false">IF(DG$4=0,0,IF(COUNTIFS(実績!$W$6:$W$505,DG$3,実績!$AI$6:$AI$505,"&lt;="&amp;$A51,実績!$AJ$6:$AJ$505,"&gt;"&amp;$A51,実績!$AK$6:$AK$505,"○")&gt;0,1,0))</f>
        <v>0</v>
      </c>
      <c r="DH51" s="39" t="n">
        <f aca="false">IF(DH$4=0,0,IF(COUNTIFS(実績!$W$6:$W$505,DH$3,実績!$AI$6:$AI$505,"&lt;="&amp;$A51,実績!$AJ$6:$AJ$505,"&gt;"&amp;$A51,実績!$AK$6:$AK$505,"○")&gt;0,1,0))</f>
        <v>0</v>
      </c>
      <c r="DI51" s="39" t="n">
        <f aca="false">IF(DI$4=0,0,IF(COUNTIFS(実績!$W$6:$W$505,DI$3,実績!$AI$6:$AI$505,"&lt;="&amp;$A51,実績!$AJ$6:$AJ$505,"&gt;"&amp;$A51,実績!$AK$6:$AK$505,"○")&gt;0,1,0))</f>
        <v>0</v>
      </c>
      <c r="DJ51" s="39" t="n">
        <f aca="false">IF(DJ$4=0,0,IF(COUNTIFS(実績!$W$6:$W$505,DJ$3,実績!$AI$6:$AI$505,"&lt;="&amp;$A51,実績!$AJ$6:$AJ$505,"&gt;"&amp;$A51,実績!$AK$6:$AK$505,"○")&gt;0,1,0))</f>
        <v>0</v>
      </c>
      <c r="DK51" s="39" t="n">
        <f aca="false">IF(DK$4=0,0,IF(COUNTIFS(実績!$W$6:$W$505,DK$3,実績!$AI$6:$AI$505,"&lt;="&amp;$A51,実績!$AJ$6:$AJ$505,"&gt;"&amp;$A51,実績!$AK$6:$AK$505,"○")&gt;0,1,0))</f>
        <v>0</v>
      </c>
      <c r="DL51" s="39" t="n">
        <f aca="false">IF(DL$4=0,0,IF(COUNTIFS(実績!$W$6:$W$505,DL$3,実績!$AI$6:$AI$505,"&lt;="&amp;$A51,実績!$AJ$6:$AJ$505,"&gt;"&amp;$A51,実績!$AK$6:$AK$505,"○")&gt;0,1,0))</f>
        <v>0</v>
      </c>
      <c r="DM51" s="39" t="n">
        <f aca="false">IF(DM$4=0,0,IF(COUNTIFS(実績!$W$6:$W$505,DM$3,実績!$AI$6:$AI$505,"&lt;="&amp;$A51,実績!$AJ$6:$AJ$505,"&gt;"&amp;$A51,実績!$AK$6:$AK$505,"○")&gt;0,1,0))</f>
        <v>0</v>
      </c>
      <c r="DN51" s="39" t="n">
        <f aca="false">IF(DN$4=0,0,IF(COUNTIFS(実績!$W$6:$W$505,DN$3,実績!$AI$6:$AI$505,"&lt;="&amp;$A51,実績!$AJ$6:$AJ$505,"&gt;"&amp;$A51,実績!$AK$6:$AK$505,"○")&gt;0,1,0))</f>
        <v>0</v>
      </c>
      <c r="DO51" s="39" t="n">
        <f aca="false">IF(DO$4=0,0,IF(COUNTIFS(実績!$W$6:$W$505,DO$3,実績!$AI$6:$AI$505,"&lt;="&amp;$A51,実績!$AJ$6:$AJ$505,"&gt;"&amp;$A51,実績!$AK$6:$AK$505,"○")&gt;0,1,0))</f>
        <v>0</v>
      </c>
      <c r="DP51" s="39" t="n">
        <f aca="false">IF(DP$4=0,0,IF(COUNTIFS(実績!$W$6:$W$505,DP$3,実績!$AI$6:$AI$505,"&lt;="&amp;$A51,実績!$AJ$6:$AJ$505,"&gt;"&amp;$A51,実績!$AK$6:$AK$505,"○")&gt;0,1,0))</f>
        <v>0</v>
      </c>
      <c r="DQ51" s="39" t="n">
        <f aca="false">IF(DQ$4=0,0,IF(COUNTIFS(実績!$W$6:$W$505,DQ$3,実績!$AI$6:$AI$505,"&lt;="&amp;$A51,実績!$AJ$6:$AJ$505,"&gt;"&amp;$A51,実績!$AK$6:$AK$505,"○")&gt;0,1,0))</f>
        <v>0</v>
      </c>
      <c r="DR51" s="39" t="n">
        <f aca="false">IF(DR$4=0,0,IF(COUNTIFS(実績!$W$6:$W$505,DR$3,実績!$AI$6:$AI$505,"&lt;="&amp;$A51,実績!$AJ$6:$AJ$505,"&gt;"&amp;$A51,実績!$AK$6:$AK$505,"○")&gt;0,1,0))</f>
        <v>0</v>
      </c>
      <c r="DS51" s="39" t="n">
        <f aca="false">SUM(C51:DR51)</f>
        <v>0</v>
      </c>
      <c r="DT51" s="39" t="n">
        <f aca="false">SUMPRODUCT((実績!$C$6:$C$505="○")*ISNUMBER(実績!$AM$6:$AM$505)*(実績!$AM$6:$AM$505&lt;=$A51)*(実績!$AN$6:$AN$505&gt;$A51))</f>
        <v>0</v>
      </c>
      <c r="DU51" s="39" t="n">
        <f aca="false">SUMIF($C$2:$DR$2,"製鉄曳船",C51:DR51)</f>
        <v>0</v>
      </c>
      <c r="DV51" s="39" t="n">
        <f aca="false">SUMIF($C$2:$DR$2,"西日本海運",C51:DR51)</f>
        <v>0</v>
      </c>
    </row>
    <row r="52" customFormat="false" ht="15" hidden="false" customHeight="false" outlineLevel="0" collapsed="false">
      <c r="A52" s="0" t="n">
        <v>230</v>
      </c>
      <c r="B52" s="38" t="n">
        <f aca="false">A52/1440</f>
        <v>0.159722222222222</v>
      </c>
      <c r="C52" s="39" t="n">
        <f aca="false">IF(C$4=0,0,IF(COUNTIFS(実績!$W$6:$W$505,C$3,実績!$AI$6:$AI$505,"&lt;="&amp;$A52,実績!$AJ$6:$AJ$505,"&gt;"&amp;$A52,実績!$AK$6:$AK$505,"○")&gt;0,1,0))</f>
        <v>0</v>
      </c>
      <c r="D52" s="39" t="n">
        <f aca="false">IF(D$4=0,0,IF(COUNTIFS(実績!$W$6:$W$505,D$3,実績!$AI$6:$AI$505,"&lt;="&amp;$A52,実績!$AJ$6:$AJ$505,"&gt;"&amp;$A52,実績!$AK$6:$AK$505,"○")&gt;0,1,0))</f>
        <v>0</v>
      </c>
      <c r="E52" s="39" t="n">
        <f aca="false">IF(E$4=0,0,IF(COUNTIFS(実績!$W$6:$W$505,E$3,実績!$AI$6:$AI$505,"&lt;="&amp;$A52,実績!$AJ$6:$AJ$505,"&gt;"&amp;$A52,実績!$AK$6:$AK$505,"○")&gt;0,1,0))</f>
        <v>0</v>
      </c>
      <c r="F52" s="39" t="n">
        <f aca="false">IF(F$4=0,0,IF(COUNTIFS(実績!$W$6:$W$505,F$3,実績!$AI$6:$AI$505,"&lt;="&amp;$A52,実績!$AJ$6:$AJ$505,"&gt;"&amp;$A52,実績!$AK$6:$AK$505,"○")&gt;0,1,0))</f>
        <v>0</v>
      </c>
      <c r="G52" s="39" t="n">
        <f aca="false">IF(G$4=0,0,IF(COUNTIFS(実績!$W$6:$W$505,G$3,実績!$AI$6:$AI$505,"&lt;="&amp;$A52,実績!$AJ$6:$AJ$505,"&gt;"&amp;$A52,実績!$AK$6:$AK$505,"○")&gt;0,1,0))</f>
        <v>0</v>
      </c>
      <c r="H52" s="39" t="n">
        <f aca="false">IF(H$4=0,0,IF(COUNTIFS(実績!$W$6:$W$505,H$3,実績!$AI$6:$AI$505,"&lt;="&amp;$A52,実績!$AJ$6:$AJ$505,"&gt;"&amp;$A52,実績!$AK$6:$AK$505,"○")&gt;0,1,0))</f>
        <v>0</v>
      </c>
      <c r="I52" s="39" t="n">
        <f aca="false">IF(I$4=0,0,IF(COUNTIFS(実績!$W$6:$W$505,I$3,実績!$AI$6:$AI$505,"&lt;="&amp;$A52,実績!$AJ$6:$AJ$505,"&gt;"&amp;$A52,実績!$AK$6:$AK$505,"○")&gt;0,1,0))</f>
        <v>0</v>
      </c>
      <c r="J52" s="39" t="n">
        <f aca="false">IF(J$4=0,0,IF(COUNTIFS(実績!$W$6:$W$505,J$3,実績!$AI$6:$AI$505,"&lt;="&amp;$A52,実績!$AJ$6:$AJ$505,"&gt;"&amp;$A52,実績!$AK$6:$AK$505,"○")&gt;0,1,0))</f>
        <v>0</v>
      </c>
      <c r="K52" s="39" t="n">
        <f aca="false">IF(K$4=0,0,IF(COUNTIFS(実績!$W$6:$W$505,K$3,実績!$AI$6:$AI$505,"&lt;="&amp;$A52,実績!$AJ$6:$AJ$505,"&gt;"&amp;$A52,実績!$AK$6:$AK$505,"○")&gt;0,1,0))</f>
        <v>0</v>
      </c>
      <c r="L52" s="39" t="n">
        <f aca="false">IF(L$4=0,0,IF(COUNTIFS(実績!$W$6:$W$505,L$3,実績!$AI$6:$AI$505,"&lt;="&amp;$A52,実績!$AJ$6:$AJ$505,"&gt;"&amp;$A52,実績!$AK$6:$AK$505,"○")&gt;0,1,0))</f>
        <v>0</v>
      </c>
      <c r="M52" s="39" t="n">
        <f aca="false">IF(M$4=0,0,IF(COUNTIFS(実績!$W$6:$W$505,M$3,実績!$AI$6:$AI$505,"&lt;="&amp;$A52,実績!$AJ$6:$AJ$505,"&gt;"&amp;$A52,実績!$AK$6:$AK$505,"○")&gt;0,1,0))</f>
        <v>0</v>
      </c>
      <c r="N52" s="39" t="n">
        <f aca="false">IF(N$4=0,0,IF(COUNTIFS(実績!$W$6:$W$505,N$3,実績!$AI$6:$AI$505,"&lt;="&amp;$A52,実績!$AJ$6:$AJ$505,"&gt;"&amp;$A52,実績!$AK$6:$AK$505,"○")&gt;0,1,0))</f>
        <v>0</v>
      </c>
      <c r="O52" s="39" t="n">
        <f aca="false">IF(O$4=0,0,IF(COUNTIFS(実績!$W$6:$W$505,O$3,実績!$AI$6:$AI$505,"&lt;="&amp;$A52,実績!$AJ$6:$AJ$505,"&gt;"&amp;$A52,実績!$AK$6:$AK$505,"○")&gt;0,1,0))</f>
        <v>0</v>
      </c>
      <c r="P52" s="39" t="n">
        <f aca="false">IF(P$4=0,0,IF(COUNTIFS(実績!$W$6:$W$505,P$3,実績!$AI$6:$AI$505,"&lt;="&amp;$A52,実績!$AJ$6:$AJ$505,"&gt;"&amp;$A52,実績!$AK$6:$AK$505,"○")&gt;0,1,0))</f>
        <v>0</v>
      </c>
      <c r="Q52" s="39" t="n">
        <f aca="false">IF(Q$4=0,0,IF(COUNTIFS(実績!$W$6:$W$505,Q$3,実績!$AI$6:$AI$505,"&lt;="&amp;$A52,実績!$AJ$6:$AJ$505,"&gt;"&amp;$A52,実績!$AK$6:$AK$505,"○")&gt;0,1,0))</f>
        <v>0</v>
      </c>
      <c r="R52" s="39" t="n">
        <f aca="false">IF(R$4=0,0,IF(COUNTIFS(実績!$W$6:$W$505,R$3,実績!$AI$6:$AI$505,"&lt;="&amp;$A52,実績!$AJ$6:$AJ$505,"&gt;"&amp;$A52,実績!$AK$6:$AK$505,"○")&gt;0,1,0))</f>
        <v>0</v>
      </c>
      <c r="S52" s="39" t="n">
        <f aca="false">IF(S$4=0,0,IF(COUNTIFS(実績!$W$6:$W$505,S$3,実績!$AI$6:$AI$505,"&lt;="&amp;$A52,実績!$AJ$6:$AJ$505,"&gt;"&amp;$A52,実績!$AK$6:$AK$505,"○")&gt;0,1,0))</f>
        <v>0</v>
      </c>
      <c r="T52" s="39" t="n">
        <f aca="false">IF(T$4=0,0,IF(COUNTIFS(実績!$W$6:$W$505,T$3,実績!$AI$6:$AI$505,"&lt;="&amp;$A52,実績!$AJ$6:$AJ$505,"&gt;"&amp;$A52,実績!$AK$6:$AK$505,"○")&gt;0,1,0))</f>
        <v>0</v>
      </c>
      <c r="U52" s="39" t="n">
        <f aca="false">IF(U$4=0,0,IF(COUNTIFS(実績!$W$6:$W$505,U$3,実績!$AI$6:$AI$505,"&lt;="&amp;$A52,実績!$AJ$6:$AJ$505,"&gt;"&amp;$A52,実績!$AK$6:$AK$505,"○")&gt;0,1,0))</f>
        <v>0</v>
      </c>
      <c r="V52" s="39" t="n">
        <f aca="false">IF(V$4=0,0,IF(COUNTIFS(実績!$W$6:$W$505,V$3,実績!$AI$6:$AI$505,"&lt;="&amp;$A52,実績!$AJ$6:$AJ$505,"&gt;"&amp;$A52,実績!$AK$6:$AK$505,"○")&gt;0,1,0))</f>
        <v>0</v>
      </c>
      <c r="W52" s="39" t="n">
        <f aca="false">IF(W$4=0,0,IF(COUNTIFS(実績!$W$6:$W$505,W$3,実績!$AI$6:$AI$505,"&lt;="&amp;$A52,実績!$AJ$6:$AJ$505,"&gt;"&amp;$A52,実績!$AK$6:$AK$505,"○")&gt;0,1,0))</f>
        <v>0</v>
      </c>
      <c r="X52" s="39" t="n">
        <f aca="false">IF(X$4=0,0,IF(COUNTIFS(実績!$W$6:$W$505,X$3,実績!$AI$6:$AI$505,"&lt;="&amp;$A52,実績!$AJ$6:$AJ$505,"&gt;"&amp;$A52,実績!$AK$6:$AK$505,"○")&gt;0,1,0))</f>
        <v>0</v>
      </c>
      <c r="Y52" s="39" t="n">
        <f aca="false">IF(Y$4=0,0,IF(COUNTIFS(実績!$W$6:$W$505,Y$3,実績!$AI$6:$AI$505,"&lt;="&amp;$A52,実績!$AJ$6:$AJ$505,"&gt;"&amp;$A52,実績!$AK$6:$AK$505,"○")&gt;0,1,0))</f>
        <v>0</v>
      </c>
      <c r="Z52" s="39" t="n">
        <f aca="false">IF(Z$4=0,0,IF(COUNTIFS(実績!$W$6:$W$505,Z$3,実績!$AI$6:$AI$505,"&lt;="&amp;$A52,実績!$AJ$6:$AJ$505,"&gt;"&amp;$A52,実績!$AK$6:$AK$505,"○")&gt;0,1,0))</f>
        <v>0</v>
      </c>
      <c r="AA52" s="39" t="n">
        <f aca="false">IF(AA$4=0,0,IF(COUNTIFS(実績!$W$6:$W$505,AA$3,実績!$AI$6:$AI$505,"&lt;="&amp;$A52,実績!$AJ$6:$AJ$505,"&gt;"&amp;$A52,実績!$AK$6:$AK$505,"○")&gt;0,1,0))</f>
        <v>0</v>
      </c>
      <c r="AB52" s="39" t="n">
        <f aca="false">IF(AB$4=0,0,IF(COUNTIFS(実績!$W$6:$W$505,AB$3,実績!$AI$6:$AI$505,"&lt;="&amp;$A52,実績!$AJ$6:$AJ$505,"&gt;"&amp;$A52,実績!$AK$6:$AK$505,"○")&gt;0,1,0))</f>
        <v>0</v>
      </c>
      <c r="AC52" s="39" t="n">
        <f aca="false">IF(AC$4=0,0,IF(COUNTIFS(実績!$W$6:$W$505,AC$3,実績!$AI$6:$AI$505,"&lt;="&amp;$A52,実績!$AJ$6:$AJ$505,"&gt;"&amp;$A52,実績!$AK$6:$AK$505,"○")&gt;0,1,0))</f>
        <v>0</v>
      </c>
      <c r="AD52" s="39" t="n">
        <f aca="false">IF(AD$4=0,0,IF(COUNTIFS(実績!$W$6:$W$505,AD$3,実績!$AI$6:$AI$505,"&lt;="&amp;$A52,実績!$AJ$6:$AJ$505,"&gt;"&amp;$A52,実績!$AK$6:$AK$505,"○")&gt;0,1,0))</f>
        <v>0</v>
      </c>
      <c r="AE52" s="39" t="n">
        <f aca="false">IF(AE$4=0,0,IF(COUNTIFS(実績!$W$6:$W$505,AE$3,実績!$AI$6:$AI$505,"&lt;="&amp;$A52,実績!$AJ$6:$AJ$505,"&gt;"&amp;$A52,実績!$AK$6:$AK$505,"○")&gt;0,1,0))</f>
        <v>0</v>
      </c>
      <c r="AF52" s="39" t="n">
        <f aca="false">IF(AF$4=0,0,IF(COUNTIFS(実績!$W$6:$W$505,AF$3,実績!$AI$6:$AI$505,"&lt;="&amp;$A52,実績!$AJ$6:$AJ$505,"&gt;"&amp;$A52,実績!$AK$6:$AK$505,"○")&gt;0,1,0))</f>
        <v>0</v>
      </c>
      <c r="AG52" s="39" t="n">
        <f aca="false">IF(AG$4=0,0,IF(COUNTIFS(実績!$W$6:$W$505,AG$3,実績!$AI$6:$AI$505,"&lt;="&amp;$A52,実績!$AJ$6:$AJ$505,"&gt;"&amp;$A52,実績!$AK$6:$AK$505,"○")&gt;0,1,0))</f>
        <v>0</v>
      </c>
      <c r="AH52" s="39" t="n">
        <f aca="false">IF(AH$4=0,0,IF(COUNTIFS(実績!$W$6:$W$505,AH$3,実績!$AI$6:$AI$505,"&lt;="&amp;$A52,実績!$AJ$6:$AJ$505,"&gt;"&amp;$A52,実績!$AK$6:$AK$505,"○")&gt;0,1,0))</f>
        <v>0</v>
      </c>
      <c r="AI52" s="39" t="n">
        <f aca="false">IF(AI$4=0,0,IF(COUNTIFS(実績!$W$6:$W$505,AI$3,実績!$AI$6:$AI$505,"&lt;="&amp;$A52,実績!$AJ$6:$AJ$505,"&gt;"&amp;$A52,実績!$AK$6:$AK$505,"○")&gt;0,1,0))</f>
        <v>0</v>
      </c>
      <c r="AJ52" s="39" t="n">
        <f aca="false">IF(AJ$4=0,0,IF(COUNTIFS(実績!$W$6:$W$505,AJ$3,実績!$AI$6:$AI$505,"&lt;="&amp;$A52,実績!$AJ$6:$AJ$505,"&gt;"&amp;$A52,実績!$AK$6:$AK$505,"○")&gt;0,1,0))</f>
        <v>0</v>
      </c>
      <c r="AK52" s="39" t="n">
        <f aca="false">IF(AK$4=0,0,IF(COUNTIFS(実績!$W$6:$W$505,AK$3,実績!$AI$6:$AI$505,"&lt;="&amp;$A52,実績!$AJ$6:$AJ$505,"&gt;"&amp;$A52,実績!$AK$6:$AK$505,"○")&gt;0,1,0))</f>
        <v>0</v>
      </c>
      <c r="AL52" s="39" t="n">
        <f aca="false">IF(AL$4=0,0,IF(COUNTIFS(実績!$W$6:$W$505,AL$3,実績!$AI$6:$AI$505,"&lt;="&amp;$A52,実績!$AJ$6:$AJ$505,"&gt;"&amp;$A52,実績!$AK$6:$AK$505,"○")&gt;0,1,0))</f>
        <v>0</v>
      </c>
      <c r="AM52" s="39" t="n">
        <f aca="false">IF(AM$4=0,0,IF(COUNTIFS(実績!$W$6:$W$505,AM$3,実績!$AI$6:$AI$505,"&lt;="&amp;$A52,実績!$AJ$6:$AJ$505,"&gt;"&amp;$A52,実績!$AK$6:$AK$505,"○")&gt;0,1,0))</f>
        <v>0</v>
      </c>
      <c r="AN52" s="39" t="n">
        <f aca="false">IF(AN$4=0,0,IF(COUNTIFS(実績!$W$6:$W$505,AN$3,実績!$AI$6:$AI$505,"&lt;="&amp;$A52,実績!$AJ$6:$AJ$505,"&gt;"&amp;$A52,実績!$AK$6:$AK$505,"○")&gt;0,1,0))</f>
        <v>0</v>
      </c>
      <c r="AO52" s="39" t="n">
        <f aca="false">IF(AO$4=0,0,IF(COUNTIFS(実績!$W$6:$W$505,AO$3,実績!$AI$6:$AI$505,"&lt;="&amp;$A52,実績!$AJ$6:$AJ$505,"&gt;"&amp;$A52,実績!$AK$6:$AK$505,"○")&gt;0,1,0))</f>
        <v>0</v>
      </c>
      <c r="AP52" s="39" t="n">
        <f aca="false">IF(AP$4=0,0,IF(COUNTIFS(実績!$W$6:$W$505,AP$3,実績!$AI$6:$AI$505,"&lt;="&amp;$A52,実績!$AJ$6:$AJ$505,"&gt;"&amp;$A52,実績!$AK$6:$AK$505,"○")&gt;0,1,0))</f>
        <v>0</v>
      </c>
      <c r="AQ52" s="39" t="n">
        <f aca="false">IF(AQ$4=0,0,IF(COUNTIFS(実績!$W$6:$W$505,AQ$3,実績!$AI$6:$AI$505,"&lt;="&amp;$A52,実績!$AJ$6:$AJ$505,"&gt;"&amp;$A52,実績!$AK$6:$AK$505,"○")&gt;0,1,0))</f>
        <v>0</v>
      </c>
      <c r="AR52" s="39" t="n">
        <f aca="false">IF(AR$4=0,0,IF(COUNTIFS(実績!$W$6:$W$505,AR$3,実績!$AI$6:$AI$505,"&lt;="&amp;$A52,実績!$AJ$6:$AJ$505,"&gt;"&amp;$A52,実績!$AK$6:$AK$505,"○")&gt;0,1,0))</f>
        <v>0</v>
      </c>
      <c r="AS52" s="39" t="n">
        <f aca="false">IF(AS$4=0,0,IF(COUNTIFS(実績!$W$6:$W$505,AS$3,実績!$AI$6:$AI$505,"&lt;="&amp;$A52,実績!$AJ$6:$AJ$505,"&gt;"&amp;$A52,実績!$AK$6:$AK$505,"○")&gt;0,1,0))</f>
        <v>0</v>
      </c>
      <c r="AT52" s="39" t="n">
        <f aca="false">IF(AT$4=0,0,IF(COUNTIFS(実績!$W$6:$W$505,AT$3,実績!$AI$6:$AI$505,"&lt;="&amp;$A52,実績!$AJ$6:$AJ$505,"&gt;"&amp;$A52,実績!$AK$6:$AK$505,"○")&gt;0,1,0))</f>
        <v>0</v>
      </c>
      <c r="AU52" s="39" t="n">
        <f aca="false">IF(AU$4=0,0,IF(COUNTIFS(実績!$W$6:$W$505,AU$3,実績!$AI$6:$AI$505,"&lt;="&amp;$A52,実績!$AJ$6:$AJ$505,"&gt;"&amp;$A52,実績!$AK$6:$AK$505,"○")&gt;0,1,0))</f>
        <v>0</v>
      </c>
      <c r="AV52" s="39" t="n">
        <f aca="false">IF(AV$4=0,0,IF(COUNTIFS(実績!$W$6:$W$505,AV$3,実績!$AI$6:$AI$505,"&lt;="&amp;$A52,実績!$AJ$6:$AJ$505,"&gt;"&amp;$A52,実績!$AK$6:$AK$505,"○")&gt;0,1,0))</f>
        <v>0</v>
      </c>
      <c r="AW52" s="39" t="n">
        <f aca="false">IF(AW$4=0,0,IF(COUNTIFS(実績!$W$6:$W$505,AW$3,実績!$AI$6:$AI$505,"&lt;="&amp;$A52,実績!$AJ$6:$AJ$505,"&gt;"&amp;$A52,実績!$AK$6:$AK$505,"○")&gt;0,1,0))</f>
        <v>0</v>
      </c>
      <c r="AX52" s="39" t="n">
        <f aca="false">IF(AX$4=0,0,IF(COUNTIFS(実績!$W$6:$W$505,AX$3,実績!$AI$6:$AI$505,"&lt;="&amp;$A52,実績!$AJ$6:$AJ$505,"&gt;"&amp;$A52,実績!$AK$6:$AK$505,"○")&gt;0,1,0))</f>
        <v>0</v>
      </c>
      <c r="AY52" s="39" t="n">
        <f aca="false">IF(AY$4=0,0,IF(COUNTIFS(実績!$W$6:$W$505,AY$3,実績!$AI$6:$AI$505,"&lt;="&amp;$A52,実績!$AJ$6:$AJ$505,"&gt;"&amp;$A52,実績!$AK$6:$AK$505,"○")&gt;0,1,0))</f>
        <v>0</v>
      </c>
      <c r="AZ52" s="39" t="n">
        <f aca="false">IF(AZ$4=0,0,IF(COUNTIFS(実績!$W$6:$W$505,AZ$3,実績!$AI$6:$AI$505,"&lt;="&amp;$A52,実績!$AJ$6:$AJ$505,"&gt;"&amp;$A52,実績!$AK$6:$AK$505,"○")&gt;0,1,0))</f>
        <v>0</v>
      </c>
      <c r="BA52" s="39" t="n">
        <f aca="false">IF(BA$4=0,0,IF(COUNTIFS(実績!$W$6:$W$505,BA$3,実績!$AI$6:$AI$505,"&lt;="&amp;$A52,実績!$AJ$6:$AJ$505,"&gt;"&amp;$A52,実績!$AK$6:$AK$505,"○")&gt;0,1,0))</f>
        <v>0</v>
      </c>
      <c r="BB52" s="39" t="n">
        <f aca="false">IF(BB$4=0,0,IF(COUNTIFS(実績!$W$6:$W$505,BB$3,実績!$AI$6:$AI$505,"&lt;="&amp;$A52,実績!$AJ$6:$AJ$505,"&gt;"&amp;$A52,実績!$AK$6:$AK$505,"○")&gt;0,1,0))</f>
        <v>0</v>
      </c>
      <c r="BC52" s="39" t="n">
        <f aca="false">IF(BC$4=0,0,IF(COUNTIFS(実績!$W$6:$W$505,BC$3,実績!$AI$6:$AI$505,"&lt;="&amp;$A52,実績!$AJ$6:$AJ$505,"&gt;"&amp;$A52,実績!$AK$6:$AK$505,"○")&gt;0,1,0))</f>
        <v>0</v>
      </c>
      <c r="BD52" s="39" t="n">
        <f aca="false">IF(BD$4=0,0,IF(COUNTIFS(実績!$W$6:$W$505,BD$3,実績!$AI$6:$AI$505,"&lt;="&amp;$A52,実績!$AJ$6:$AJ$505,"&gt;"&amp;$A52,実績!$AK$6:$AK$505,"○")&gt;0,1,0))</f>
        <v>0</v>
      </c>
      <c r="BE52" s="39" t="n">
        <f aca="false">IF(BE$4=0,0,IF(COUNTIFS(実績!$W$6:$W$505,BE$3,実績!$AI$6:$AI$505,"&lt;="&amp;$A52,実績!$AJ$6:$AJ$505,"&gt;"&amp;$A52,実績!$AK$6:$AK$505,"○")&gt;0,1,0))</f>
        <v>0</v>
      </c>
      <c r="BF52" s="39" t="n">
        <f aca="false">IF(BF$4=0,0,IF(COUNTIFS(実績!$W$6:$W$505,BF$3,実績!$AI$6:$AI$505,"&lt;="&amp;$A52,実績!$AJ$6:$AJ$505,"&gt;"&amp;$A52,実績!$AK$6:$AK$505,"○")&gt;0,1,0))</f>
        <v>0</v>
      </c>
      <c r="BG52" s="39" t="n">
        <f aca="false">IF(BG$4=0,0,IF(COUNTIFS(実績!$W$6:$W$505,BG$3,実績!$AI$6:$AI$505,"&lt;="&amp;$A52,実績!$AJ$6:$AJ$505,"&gt;"&amp;$A52,実績!$AK$6:$AK$505,"○")&gt;0,1,0))</f>
        <v>0</v>
      </c>
      <c r="BH52" s="39" t="n">
        <f aca="false">IF(BH$4=0,0,IF(COUNTIFS(実績!$W$6:$W$505,BH$3,実績!$AI$6:$AI$505,"&lt;="&amp;$A52,実績!$AJ$6:$AJ$505,"&gt;"&amp;$A52,実績!$AK$6:$AK$505,"○")&gt;0,1,0))</f>
        <v>0</v>
      </c>
      <c r="BI52" s="39" t="n">
        <f aca="false">IF(BI$4=0,0,IF(COUNTIFS(実績!$W$6:$W$505,BI$3,実績!$AI$6:$AI$505,"&lt;="&amp;$A52,実績!$AJ$6:$AJ$505,"&gt;"&amp;$A52,実績!$AK$6:$AK$505,"○")&gt;0,1,0))</f>
        <v>0</v>
      </c>
      <c r="BJ52" s="39" t="n">
        <f aca="false">IF(BJ$4=0,0,IF(COUNTIFS(実績!$W$6:$W$505,BJ$3,実績!$AI$6:$AI$505,"&lt;="&amp;$A52,実績!$AJ$6:$AJ$505,"&gt;"&amp;$A52,実績!$AK$6:$AK$505,"○")&gt;0,1,0))</f>
        <v>0</v>
      </c>
      <c r="BK52" s="39" t="n">
        <f aca="false">IF(BK$4=0,0,IF(COUNTIFS(実績!$W$6:$W$505,BK$3,実績!$AI$6:$AI$505,"&lt;="&amp;$A52,実績!$AJ$6:$AJ$505,"&gt;"&amp;$A52,実績!$AK$6:$AK$505,"○")&gt;0,1,0))</f>
        <v>0</v>
      </c>
      <c r="BL52" s="39" t="n">
        <f aca="false">IF(BL$4=0,0,IF(COUNTIFS(実績!$W$6:$W$505,BL$3,実績!$AI$6:$AI$505,"&lt;="&amp;$A52,実績!$AJ$6:$AJ$505,"&gt;"&amp;$A52,実績!$AK$6:$AK$505,"○")&gt;0,1,0))</f>
        <v>0</v>
      </c>
      <c r="BM52" s="39" t="n">
        <f aca="false">IF(BM$4=0,0,IF(COUNTIFS(実績!$W$6:$W$505,BM$3,実績!$AI$6:$AI$505,"&lt;="&amp;$A52,実績!$AJ$6:$AJ$505,"&gt;"&amp;$A52,実績!$AK$6:$AK$505,"○")&gt;0,1,0))</f>
        <v>0</v>
      </c>
      <c r="BN52" s="39" t="n">
        <f aca="false">IF(BN$4=0,0,IF(COUNTIFS(実績!$W$6:$W$505,BN$3,実績!$AI$6:$AI$505,"&lt;="&amp;$A52,実績!$AJ$6:$AJ$505,"&gt;"&amp;$A52,実績!$AK$6:$AK$505,"○")&gt;0,1,0))</f>
        <v>0</v>
      </c>
      <c r="BO52" s="39" t="n">
        <f aca="false">IF(BO$4=0,0,IF(COUNTIFS(実績!$W$6:$W$505,BO$3,実績!$AI$6:$AI$505,"&lt;="&amp;$A52,実績!$AJ$6:$AJ$505,"&gt;"&amp;$A52,実績!$AK$6:$AK$505,"○")&gt;0,1,0))</f>
        <v>0</v>
      </c>
      <c r="BP52" s="39" t="n">
        <f aca="false">IF(BP$4=0,0,IF(COUNTIFS(実績!$W$6:$W$505,BP$3,実績!$AI$6:$AI$505,"&lt;="&amp;$A52,実績!$AJ$6:$AJ$505,"&gt;"&amp;$A52,実績!$AK$6:$AK$505,"○")&gt;0,1,0))</f>
        <v>0</v>
      </c>
      <c r="BQ52" s="39" t="n">
        <f aca="false">IF(BQ$4=0,0,IF(COUNTIFS(実績!$W$6:$W$505,BQ$3,実績!$AI$6:$AI$505,"&lt;="&amp;$A52,実績!$AJ$6:$AJ$505,"&gt;"&amp;$A52,実績!$AK$6:$AK$505,"○")&gt;0,1,0))</f>
        <v>0</v>
      </c>
      <c r="BR52" s="39" t="n">
        <f aca="false">IF(BR$4=0,0,IF(COUNTIFS(実績!$W$6:$W$505,BR$3,実績!$AI$6:$AI$505,"&lt;="&amp;$A52,実績!$AJ$6:$AJ$505,"&gt;"&amp;$A52,実績!$AK$6:$AK$505,"○")&gt;0,1,0))</f>
        <v>0</v>
      </c>
      <c r="BS52" s="39" t="n">
        <f aca="false">IF(BS$4=0,0,IF(COUNTIFS(実績!$W$6:$W$505,BS$3,実績!$AI$6:$AI$505,"&lt;="&amp;$A52,実績!$AJ$6:$AJ$505,"&gt;"&amp;$A52,実績!$AK$6:$AK$505,"○")&gt;0,1,0))</f>
        <v>0</v>
      </c>
      <c r="BT52" s="39" t="n">
        <f aca="false">IF(BT$4=0,0,IF(COUNTIFS(実績!$W$6:$W$505,BT$3,実績!$AI$6:$AI$505,"&lt;="&amp;$A52,実績!$AJ$6:$AJ$505,"&gt;"&amp;$A52,実績!$AK$6:$AK$505,"○")&gt;0,1,0))</f>
        <v>0</v>
      </c>
      <c r="BU52" s="39" t="n">
        <f aca="false">IF(BU$4=0,0,IF(COUNTIFS(実績!$W$6:$W$505,BU$3,実績!$AI$6:$AI$505,"&lt;="&amp;$A52,実績!$AJ$6:$AJ$505,"&gt;"&amp;$A52,実績!$AK$6:$AK$505,"○")&gt;0,1,0))</f>
        <v>0</v>
      </c>
      <c r="BV52" s="39" t="n">
        <f aca="false">IF(BV$4=0,0,IF(COUNTIFS(実績!$W$6:$W$505,BV$3,実績!$AI$6:$AI$505,"&lt;="&amp;$A52,実績!$AJ$6:$AJ$505,"&gt;"&amp;$A52,実績!$AK$6:$AK$505,"○")&gt;0,1,0))</f>
        <v>0</v>
      </c>
      <c r="BW52" s="39" t="n">
        <f aca="false">IF(BW$4=0,0,IF(COUNTIFS(実績!$W$6:$W$505,BW$3,実績!$AI$6:$AI$505,"&lt;="&amp;$A52,実績!$AJ$6:$AJ$505,"&gt;"&amp;$A52,実績!$AK$6:$AK$505,"○")&gt;0,1,0))</f>
        <v>0</v>
      </c>
      <c r="BX52" s="39" t="n">
        <f aca="false">IF(BX$4=0,0,IF(COUNTIFS(実績!$W$6:$W$505,BX$3,実績!$AI$6:$AI$505,"&lt;="&amp;$A52,実績!$AJ$6:$AJ$505,"&gt;"&amp;$A52,実績!$AK$6:$AK$505,"○")&gt;0,1,0))</f>
        <v>0</v>
      </c>
      <c r="BY52" s="39" t="n">
        <f aca="false">IF(BY$4=0,0,IF(COUNTIFS(実績!$W$6:$W$505,BY$3,実績!$AI$6:$AI$505,"&lt;="&amp;$A52,実績!$AJ$6:$AJ$505,"&gt;"&amp;$A52,実績!$AK$6:$AK$505,"○")&gt;0,1,0))</f>
        <v>0</v>
      </c>
      <c r="BZ52" s="39" t="n">
        <f aca="false">IF(BZ$4=0,0,IF(COUNTIFS(実績!$W$6:$W$505,BZ$3,実績!$AI$6:$AI$505,"&lt;="&amp;$A52,実績!$AJ$6:$AJ$505,"&gt;"&amp;$A52,実績!$AK$6:$AK$505,"○")&gt;0,1,0))</f>
        <v>0</v>
      </c>
      <c r="CA52" s="39" t="n">
        <f aca="false">IF(CA$4=0,0,IF(COUNTIFS(実績!$W$6:$W$505,CA$3,実績!$AI$6:$AI$505,"&lt;="&amp;$A52,実績!$AJ$6:$AJ$505,"&gt;"&amp;$A52,実績!$AK$6:$AK$505,"○")&gt;0,1,0))</f>
        <v>0</v>
      </c>
      <c r="CB52" s="39" t="n">
        <f aca="false">IF(CB$4=0,0,IF(COUNTIFS(実績!$W$6:$W$505,CB$3,実績!$AI$6:$AI$505,"&lt;="&amp;$A52,実績!$AJ$6:$AJ$505,"&gt;"&amp;$A52,実績!$AK$6:$AK$505,"○")&gt;0,1,0))</f>
        <v>0</v>
      </c>
      <c r="CC52" s="39" t="n">
        <f aca="false">IF(CC$4=0,0,IF(COUNTIFS(実績!$W$6:$W$505,CC$3,実績!$AI$6:$AI$505,"&lt;="&amp;$A52,実績!$AJ$6:$AJ$505,"&gt;"&amp;$A52,実績!$AK$6:$AK$505,"○")&gt;0,1,0))</f>
        <v>0</v>
      </c>
      <c r="CD52" s="39" t="n">
        <f aca="false">IF(CD$4=0,0,IF(COUNTIFS(実績!$W$6:$W$505,CD$3,実績!$AI$6:$AI$505,"&lt;="&amp;$A52,実績!$AJ$6:$AJ$505,"&gt;"&amp;$A52,実績!$AK$6:$AK$505,"○")&gt;0,1,0))</f>
        <v>0</v>
      </c>
      <c r="CE52" s="39" t="n">
        <f aca="false">IF(CE$4=0,0,IF(COUNTIFS(実績!$W$6:$W$505,CE$3,実績!$AI$6:$AI$505,"&lt;="&amp;$A52,実績!$AJ$6:$AJ$505,"&gt;"&amp;$A52,実績!$AK$6:$AK$505,"○")&gt;0,1,0))</f>
        <v>0</v>
      </c>
      <c r="CF52" s="39" t="n">
        <f aca="false">IF(CF$4=0,0,IF(COUNTIFS(実績!$W$6:$W$505,CF$3,実績!$AI$6:$AI$505,"&lt;="&amp;$A52,実績!$AJ$6:$AJ$505,"&gt;"&amp;$A52,実績!$AK$6:$AK$505,"○")&gt;0,1,0))</f>
        <v>0</v>
      </c>
      <c r="CG52" s="39" t="n">
        <f aca="false">IF(CG$4=0,0,IF(COUNTIFS(実績!$W$6:$W$505,CG$3,実績!$AI$6:$AI$505,"&lt;="&amp;$A52,実績!$AJ$6:$AJ$505,"&gt;"&amp;$A52,実績!$AK$6:$AK$505,"○")&gt;0,1,0))</f>
        <v>0</v>
      </c>
      <c r="CH52" s="39" t="n">
        <f aca="false">IF(CH$4=0,0,IF(COUNTIFS(実績!$W$6:$W$505,CH$3,実績!$AI$6:$AI$505,"&lt;="&amp;$A52,実績!$AJ$6:$AJ$505,"&gt;"&amp;$A52,実績!$AK$6:$AK$505,"○")&gt;0,1,0))</f>
        <v>0</v>
      </c>
      <c r="CI52" s="39" t="n">
        <f aca="false">IF(CI$4=0,0,IF(COUNTIFS(実績!$W$6:$W$505,CI$3,実績!$AI$6:$AI$505,"&lt;="&amp;$A52,実績!$AJ$6:$AJ$505,"&gt;"&amp;$A52,実績!$AK$6:$AK$505,"○")&gt;0,1,0))</f>
        <v>0</v>
      </c>
      <c r="CJ52" s="39" t="n">
        <f aca="false">IF(CJ$4=0,0,IF(COUNTIFS(実績!$W$6:$W$505,CJ$3,実績!$AI$6:$AI$505,"&lt;="&amp;$A52,実績!$AJ$6:$AJ$505,"&gt;"&amp;$A52,実績!$AK$6:$AK$505,"○")&gt;0,1,0))</f>
        <v>0</v>
      </c>
      <c r="CK52" s="39" t="n">
        <f aca="false">IF(CK$4=0,0,IF(COUNTIFS(実績!$W$6:$W$505,CK$3,実績!$AI$6:$AI$505,"&lt;="&amp;$A52,実績!$AJ$6:$AJ$505,"&gt;"&amp;$A52,実績!$AK$6:$AK$505,"○")&gt;0,1,0))</f>
        <v>0</v>
      </c>
      <c r="CL52" s="39" t="n">
        <f aca="false">IF(CL$4=0,0,IF(COUNTIFS(実績!$W$6:$W$505,CL$3,実績!$AI$6:$AI$505,"&lt;="&amp;$A52,実績!$AJ$6:$AJ$505,"&gt;"&amp;$A52,実績!$AK$6:$AK$505,"○")&gt;0,1,0))</f>
        <v>0</v>
      </c>
      <c r="CM52" s="39" t="n">
        <f aca="false">IF(CM$4=0,0,IF(COUNTIFS(実績!$W$6:$W$505,CM$3,実績!$AI$6:$AI$505,"&lt;="&amp;$A52,実績!$AJ$6:$AJ$505,"&gt;"&amp;$A52,実績!$AK$6:$AK$505,"○")&gt;0,1,0))</f>
        <v>0</v>
      </c>
      <c r="CN52" s="39" t="n">
        <f aca="false">IF(CN$4=0,0,IF(COUNTIFS(実績!$W$6:$W$505,CN$3,実績!$AI$6:$AI$505,"&lt;="&amp;$A52,実績!$AJ$6:$AJ$505,"&gt;"&amp;$A52,実績!$AK$6:$AK$505,"○")&gt;0,1,0))</f>
        <v>0</v>
      </c>
      <c r="CO52" s="39" t="n">
        <f aca="false">IF(CO$4=0,0,IF(COUNTIFS(実績!$W$6:$W$505,CO$3,実績!$AI$6:$AI$505,"&lt;="&amp;$A52,実績!$AJ$6:$AJ$505,"&gt;"&amp;$A52,実績!$AK$6:$AK$505,"○")&gt;0,1,0))</f>
        <v>0</v>
      </c>
      <c r="CP52" s="39" t="n">
        <f aca="false">IF(CP$4=0,0,IF(COUNTIFS(実績!$W$6:$W$505,CP$3,実績!$AI$6:$AI$505,"&lt;="&amp;$A52,実績!$AJ$6:$AJ$505,"&gt;"&amp;$A52,実績!$AK$6:$AK$505,"○")&gt;0,1,0))</f>
        <v>0</v>
      </c>
      <c r="CQ52" s="39" t="n">
        <f aca="false">IF(CQ$4=0,0,IF(COUNTIFS(実績!$W$6:$W$505,CQ$3,実績!$AI$6:$AI$505,"&lt;="&amp;$A52,実績!$AJ$6:$AJ$505,"&gt;"&amp;$A52,実績!$AK$6:$AK$505,"○")&gt;0,1,0))</f>
        <v>0</v>
      </c>
      <c r="CR52" s="39" t="n">
        <f aca="false">IF(CR$4=0,0,IF(COUNTIFS(実績!$W$6:$W$505,CR$3,実績!$AI$6:$AI$505,"&lt;="&amp;$A52,実績!$AJ$6:$AJ$505,"&gt;"&amp;$A52,実績!$AK$6:$AK$505,"○")&gt;0,1,0))</f>
        <v>0</v>
      </c>
      <c r="CS52" s="39" t="n">
        <f aca="false">IF(CS$4=0,0,IF(COUNTIFS(実績!$W$6:$W$505,CS$3,実績!$AI$6:$AI$505,"&lt;="&amp;$A52,実績!$AJ$6:$AJ$505,"&gt;"&amp;$A52,実績!$AK$6:$AK$505,"○")&gt;0,1,0))</f>
        <v>0</v>
      </c>
      <c r="CT52" s="39" t="n">
        <f aca="false">IF(CT$4=0,0,IF(COUNTIFS(実績!$W$6:$W$505,CT$3,実績!$AI$6:$AI$505,"&lt;="&amp;$A52,実績!$AJ$6:$AJ$505,"&gt;"&amp;$A52,実績!$AK$6:$AK$505,"○")&gt;0,1,0))</f>
        <v>0</v>
      </c>
      <c r="CU52" s="39" t="n">
        <f aca="false">IF(CU$4=0,0,IF(COUNTIFS(実績!$W$6:$W$505,CU$3,実績!$AI$6:$AI$505,"&lt;="&amp;$A52,実績!$AJ$6:$AJ$505,"&gt;"&amp;$A52,実績!$AK$6:$AK$505,"○")&gt;0,1,0))</f>
        <v>0</v>
      </c>
      <c r="CV52" s="39" t="n">
        <f aca="false">IF(CV$4=0,0,IF(COUNTIFS(実績!$W$6:$W$505,CV$3,実績!$AI$6:$AI$505,"&lt;="&amp;$A52,実績!$AJ$6:$AJ$505,"&gt;"&amp;$A52,実績!$AK$6:$AK$505,"○")&gt;0,1,0))</f>
        <v>0</v>
      </c>
      <c r="CW52" s="39" t="n">
        <f aca="false">IF(CW$4=0,0,IF(COUNTIFS(実績!$W$6:$W$505,CW$3,実績!$AI$6:$AI$505,"&lt;="&amp;$A52,実績!$AJ$6:$AJ$505,"&gt;"&amp;$A52,実績!$AK$6:$AK$505,"○")&gt;0,1,0))</f>
        <v>0</v>
      </c>
      <c r="CX52" s="39" t="n">
        <f aca="false">IF(CX$4=0,0,IF(COUNTIFS(実績!$W$6:$W$505,CX$3,実績!$AI$6:$AI$505,"&lt;="&amp;$A52,実績!$AJ$6:$AJ$505,"&gt;"&amp;$A52,実績!$AK$6:$AK$505,"○")&gt;0,1,0))</f>
        <v>0</v>
      </c>
      <c r="CY52" s="39" t="n">
        <f aca="false">IF(CY$4=0,0,IF(COUNTIFS(実績!$W$6:$W$505,CY$3,実績!$AI$6:$AI$505,"&lt;="&amp;$A52,実績!$AJ$6:$AJ$505,"&gt;"&amp;$A52,実績!$AK$6:$AK$505,"○")&gt;0,1,0))</f>
        <v>0</v>
      </c>
      <c r="CZ52" s="39" t="n">
        <f aca="false">IF(CZ$4=0,0,IF(COUNTIFS(実績!$W$6:$W$505,CZ$3,実績!$AI$6:$AI$505,"&lt;="&amp;$A52,実績!$AJ$6:$AJ$505,"&gt;"&amp;$A52,実績!$AK$6:$AK$505,"○")&gt;0,1,0))</f>
        <v>0</v>
      </c>
      <c r="DA52" s="39" t="n">
        <f aca="false">IF(DA$4=0,0,IF(COUNTIFS(実績!$W$6:$W$505,DA$3,実績!$AI$6:$AI$505,"&lt;="&amp;$A52,実績!$AJ$6:$AJ$505,"&gt;"&amp;$A52,実績!$AK$6:$AK$505,"○")&gt;0,1,0))</f>
        <v>0</v>
      </c>
      <c r="DB52" s="39" t="n">
        <f aca="false">IF(DB$4=0,0,IF(COUNTIFS(実績!$W$6:$W$505,DB$3,実績!$AI$6:$AI$505,"&lt;="&amp;$A52,実績!$AJ$6:$AJ$505,"&gt;"&amp;$A52,実績!$AK$6:$AK$505,"○")&gt;0,1,0))</f>
        <v>0</v>
      </c>
      <c r="DC52" s="39" t="n">
        <f aca="false">IF(DC$4=0,0,IF(COUNTIFS(実績!$W$6:$W$505,DC$3,実績!$AI$6:$AI$505,"&lt;="&amp;$A52,実績!$AJ$6:$AJ$505,"&gt;"&amp;$A52,実績!$AK$6:$AK$505,"○")&gt;0,1,0))</f>
        <v>0</v>
      </c>
      <c r="DD52" s="39" t="n">
        <f aca="false">IF(DD$4=0,0,IF(COUNTIFS(実績!$W$6:$W$505,DD$3,実績!$AI$6:$AI$505,"&lt;="&amp;$A52,実績!$AJ$6:$AJ$505,"&gt;"&amp;$A52,実績!$AK$6:$AK$505,"○")&gt;0,1,0))</f>
        <v>0</v>
      </c>
      <c r="DE52" s="39" t="n">
        <f aca="false">IF(DE$4=0,0,IF(COUNTIFS(実績!$W$6:$W$505,DE$3,実績!$AI$6:$AI$505,"&lt;="&amp;$A52,実績!$AJ$6:$AJ$505,"&gt;"&amp;$A52,実績!$AK$6:$AK$505,"○")&gt;0,1,0))</f>
        <v>0</v>
      </c>
      <c r="DF52" s="39" t="n">
        <f aca="false">IF(DF$4=0,0,IF(COUNTIFS(実績!$W$6:$W$505,DF$3,実績!$AI$6:$AI$505,"&lt;="&amp;$A52,実績!$AJ$6:$AJ$505,"&gt;"&amp;$A52,実績!$AK$6:$AK$505,"○")&gt;0,1,0))</f>
        <v>0</v>
      </c>
      <c r="DG52" s="39" t="n">
        <f aca="false">IF(DG$4=0,0,IF(COUNTIFS(実績!$W$6:$W$505,DG$3,実績!$AI$6:$AI$505,"&lt;="&amp;$A52,実績!$AJ$6:$AJ$505,"&gt;"&amp;$A52,実績!$AK$6:$AK$505,"○")&gt;0,1,0))</f>
        <v>0</v>
      </c>
      <c r="DH52" s="39" t="n">
        <f aca="false">IF(DH$4=0,0,IF(COUNTIFS(実績!$W$6:$W$505,DH$3,実績!$AI$6:$AI$505,"&lt;="&amp;$A52,実績!$AJ$6:$AJ$505,"&gt;"&amp;$A52,実績!$AK$6:$AK$505,"○")&gt;0,1,0))</f>
        <v>0</v>
      </c>
      <c r="DI52" s="39" t="n">
        <f aca="false">IF(DI$4=0,0,IF(COUNTIFS(実績!$W$6:$W$505,DI$3,実績!$AI$6:$AI$505,"&lt;="&amp;$A52,実績!$AJ$6:$AJ$505,"&gt;"&amp;$A52,実績!$AK$6:$AK$505,"○")&gt;0,1,0))</f>
        <v>0</v>
      </c>
      <c r="DJ52" s="39" t="n">
        <f aca="false">IF(DJ$4=0,0,IF(COUNTIFS(実績!$W$6:$W$505,DJ$3,実績!$AI$6:$AI$505,"&lt;="&amp;$A52,実績!$AJ$6:$AJ$505,"&gt;"&amp;$A52,実績!$AK$6:$AK$505,"○")&gt;0,1,0))</f>
        <v>0</v>
      </c>
      <c r="DK52" s="39" t="n">
        <f aca="false">IF(DK$4=0,0,IF(COUNTIFS(実績!$W$6:$W$505,DK$3,実績!$AI$6:$AI$505,"&lt;="&amp;$A52,実績!$AJ$6:$AJ$505,"&gt;"&amp;$A52,実績!$AK$6:$AK$505,"○")&gt;0,1,0))</f>
        <v>0</v>
      </c>
      <c r="DL52" s="39" t="n">
        <f aca="false">IF(DL$4=0,0,IF(COUNTIFS(実績!$W$6:$W$505,DL$3,実績!$AI$6:$AI$505,"&lt;="&amp;$A52,実績!$AJ$6:$AJ$505,"&gt;"&amp;$A52,実績!$AK$6:$AK$505,"○")&gt;0,1,0))</f>
        <v>0</v>
      </c>
      <c r="DM52" s="39" t="n">
        <f aca="false">IF(DM$4=0,0,IF(COUNTIFS(実績!$W$6:$W$505,DM$3,実績!$AI$6:$AI$505,"&lt;="&amp;$A52,実績!$AJ$6:$AJ$505,"&gt;"&amp;$A52,実績!$AK$6:$AK$505,"○")&gt;0,1,0))</f>
        <v>0</v>
      </c>
      <c r="DN52" s="39" t="n">
        <f aca="false">IF(DN$4=0,0,IF(COUNTIFS(実績!$W$6:$W$505,DN$3,実績!$AI$6:$AI$505,"&lt;="&amp;$A52,実績!$AJ$6:$AJ$505,"&gt;"&amp;$A52,実績!$AK$6:$AK$505,"○")&gt;0,1,0))</f>
        <v>0</v>
      </c>
      <c r="DO52" s="39" t="n">
        <f aca="false">IF(DO$4=0,0,IF(COUNTIFS(実績!$W$6:$W$505,DO$3,実績!$AI$6:$AI$505,"&lt;="&amp;$A52,実績!$AJ$6:$AJ$505,"&gt;"&amp;$A52,実績!$AK$6:$AK$505,"○")&gt;0,1,0))</f>
        <v>0</v>
      </c>
      <c r="DP52" s="39" t="n">
        <f aca="false">IF(DP$4=0,0,IF(COUNTIFS(実績!$W$6:$W$505,DP$3,実績!$AI$6:$AI$505,"&lt;="&amp;$A52,実績!$AJ$6:$AJ$505,"&gt;"&amp;$A52,実績!$AK$6:$AK$505,"○")&gt;0,1,0))</f>
        <v>0</v>
      </c>
      <c r="DQ52" s="39" t="n">
        <f aca="false">IF(DQ$4=0,0,IF(COUNTIFS(実績!$W$6:$W$505,DQ$3,実績!$AI$6:$AI$505,"&lt;="&amp;$A52,実績!$AJ$6:$AJ$505,"&gt;"&amp;$A52,実績!$AK$6:$AK$505,"○")&gt;0,1,0))</f>
        <v>0</v>
      </c>
      <c r="DR52" s="39" t="n">
        <f aca="false">IF(DR$4=0,0,IF(COUNTIFS(実績!$W$6:$W$505,DR$3,実績!$AI$6:$AI$505,"&lt;="&amp;$A52,実績!$AJ$6:$AJ$505,"&gt;"&amp;$A52,実績!$AK$6:$AK$505,"○")&gt;0,1,0))</f>
        <v>0</v>
      </c>
      <c r="DS52" s="39" t="n">
        <f aca="false">SUM(C52:DR52)</f>
        <v>0</v>
      </c>
      <c r="DT52" s="39" t="n">
        <f aca="false">SUMPRODUCT((実績!$C$6:$C$505="○")*ISNUMBER(実績!$AM$6:$AM$505)*(実績!$AM$6:$AM$505&lt;=$A52)*(実績!$AN$6:$AN$505&gt;$A52))</f>
        <v>0</v>
      </c>
      <c r="DU52" s="39" t="n">
        <f aca="false">SUMIF($C$2:$DR$2,"製鉄曳船",C52:DR52)</f>
        <v>0</v>
      </c>
      <c r="DV52" s="39" t="n">
        <f aca="false">SUMIF($C$2:$DR$2,"西日本海運",C52:DR52)</f>
        <v>0</v>
      </c>
    </row>
    <row r="53" customFormat="false" ht="15" hidden="false" customHeight="false" outlineLevel="0" collapsed="false">
      <c r="A53" s="0" t="n">
        <v>235</v>
      </c>
      <c r="B53" s="38" t="n">
        <f aca="false">A53/1440</f>
        <v>0.163194444444444</v>
      </c>
      <c r="C53" s="39" t="n">
        <f aca="false">IF(C$4=0,0,IF(COUNTIFS(実績!$W$6:$W$505,C$3,実績!$AI$6:$AI$505,"&lt;="&amp;$A53,実績!$AJ$6:$AJ$505,"&gt;"&amp;$A53,実績!$AK$6:$AK$505,"○")&gt;0,1,0))</f>
        <v>0</v>
      </c>
      <c r="D53" s="39" t="n">
        <f aca="false">IF(D$4=0,0,IF(COUNTIFS(実績!$W$6:$W$505,D$3,実績!$AI$6:$AI$505,"&lt;="&amp;$A53,実績!$AJ$6:$AJ$505,"&gt;"&amp;$A53,実績!$AK$6:$AK$505,"○")&gt;0,1,0))</f>
        <v>0</v>
      </c>
      <c r="E53" s="39" t="n">
        <f aca="false">IF(E$4=0,0,IF(COUNTIFS(実績!$W$6:$W$505,E$3,実績!$AI$6:$AI$505,"&lt;="&amp;$A53,実績!$AJ$6:$AJ$505,"&gt;"&amp;$A53,実績!$AK$6:$AK$505,"○")&gt;0,1,0))</f>
        <v>0</v>
      </c>
      <c r="F53" s="39" t="n">
        <f aca="false">IF(F$4=0,0,IF(COUNTIFS(実績!$W$6:$W$505,F$3,実績!$AI$6:$AI$505,"&lt;="&amp;$A53,実績!$AJ$6:$AJ$505,"&gt;"&amp;$A53,実績!$AK$6:$AK$505,"○")&gt;0,1,0))</f>
        <v>0</v>
      </c>
      <c r="G53" s="39" t="n">
        <f aca="false">IF(G$4=0,0,IF(COUNTIFS(実績!$W$6:$W$505,G$3,実績!$AI$6:$AI$505,"&lt;="&amp;$A53,実績!$AJ$6:$AJ$505,"&gt;"&amp;$A53,実績!$AK$6:$AK$505,"○")&gt;0,1,0))</f>
        <v>0</v>
      </c>
      <c r="H53" s="39" t="n">
        <f aca="false">IF(H$4=0,0,IF(COUNTIFS(実績!$W$6:$W$505,H$3,実績!$AI$6:$AI$505,"&lt;="&amp;$A53,実績!$AJ$6:$AJ$505,"&gt;"&amp;$A53,実績!$AK$6:$AK$505,"○")&gt;0,1,0))</f>
        <v>0</v>
      </c>
      <c r="I53" s="39" t="n">
        <f aca="false">IF(I$4=0,0,IF(COUNTIFS(実績!$W$6:$W$505,I$3,実績!$AI$6:$AI$505,"&lt;="&amp;$A53,実績!$AJ$6:$AJ$505,"&gt;"&amp;$A53,実績!$AK$6:$AK$505,"○")&gt;0,1,0))</f>
        <v>0</v>
      </c>
      <c r="J53" s="39" t="n">
        <f aca="false">IF(J$4=0,0,IF(COUNTIFS(実績!$W$6:$W$505,J$3,実績!$AI$6:$AI$505,"&lt;="&amp;$A53,実績!$AJ$6:$AJ$505,"&gt;"&amp;$A53,実績!$AK$6:$AK$505,"○")&gt;0,1,0))</f>
        <v>0</v>
      </c>
      <c r="K53" s="39" t="n">
        <f aca="false">IF(K$4=0,0,IF(COUNTIFS(実績!$W$6:$W$505,K$3,実績!$AI$6:$AI$505,"&lt;="&amp;$A53,実績!$AJ$6:$AJ$505,"&gt;"&amp;$A53,実績!$AK$6:$AK$505,"○")&gt;0,1,0))</f>
        <v>0</v>
      </c>
      <c r="L53" s="39" t="n">
        <f aca="false">IF(L$4=0,0,IF(COUNTIFS(実績!$W$6:$W$505,L$3,実績!$AI$6:$AI$505,"&lt;="&amp;$A53,実績!$AJ$6:$AJ$505,"&gt;"&amp;$A53,実績!$AK$6:$AK$505,"○")&gt;0,1,0))</f>
        <v>0</v>
      </c>
      <c r="M53" s="39" t="n">
        <f aca="false">IF(M$4=0,0,IF(COUNTIFS(実績!$W$6:$W$505,M$3,実績!$AI$6:$AI$505,"&lt;="&amp;$A53,実績!$AJ$6:$AJ$505,"&gt;"&amp;$A53,実績!$AK$6:$AK$505,"○")&gt;0,1,0))</f>
        <v>0</v>
      </c>
      <c r="N53" s="39" t="n">
        <f aca="false">IF(N$4=0,0,IF(COUNTIFS(実績!$W$6:$W$505,N$3,実績!$AI$6:$AI$505,"&lt;="&amp;$A53,実績!$AJ$6:$AJ$505,"&gt;"&amp;$A53,実績!$AK$6:$AK$505,"○")&gt;0,1,0))</f>
        <v>0</v>
      </c>
      <c r="O53" s="39" t="n">
        <f aca="false">IF(O$4=0,0,IF(COUNTIFS(実績!$W$6:$W$505,O$3,実績!$AI$6:$AI$505,"&lt;="&amp;$A53,実績!$AJ$6:$AJ$505,"&gt;"&amp;$A53,実績!$AK$6:$AK$505,"○")&gt;0,1,0))</f>
        <v>0</v>
      </c>
      <c r="P53" s="39" t="n">
        <f aca="false">IF(P$4=0,0,IF(COUNTIFS(実績!$W$6:$W$505,P$3,実績!$AI$6:$AI$505,"&lt;="&amp;$A53,実績!$AJ$6:$AJ$505,"&gt;"&amp;$A53,実績!$AK$6:$AK$505,"○")&gt;0,1,0))</f>
        <v>0</v>
      </c>
      <c r="Q53" s="39" t="n">
        <f aca="false">IF(Q$4=0,0,IF(COUNTIFS(実績!$W$6:$W$505,Q$3,実績!$AI$6:$AI$505,"&lt;="&amp;$A53,実績!$AJ$6:$AJ$505,"&gt;"&amp;$A53,実績!$AK$6:$AK$505,"○")&gt;0,1,0))</f>
        <v>0</v>
      </c>
      <c r="R53" s="39" t="n">
        <f aca="false">IF(R$4=0,0,IF(COUNTIFS(実績!$W$6:$W$505,R$3,実績!$AI$6:$AI$505,"&lt;="&amp;$A53,実績!$AJ$6:$AJ$505,"&gt;"&amp;$A53,実績!$AK$6:$AK$505,"○")&gt;0,1,0))</f>
        <v>0</v>
      </c>
      <c r="S53" s="39" t="n">
        <f aca="false">IF(S$4=0,0,IF(COUNTIFS(実績!$W$6:$W$505,S$3,実績!$AI$6:$AI$505,"&lt;="&amp;$A53,実績!$AJ$6:$AJ$505,"&gt;"&amp;$A53,実績!$AK$6:$AK$505,"○")&gt;0,1,0))</f>
        <v>0</v>
      </c>
      <c r="T53" s="39" t="n">
        <f aca="false">IF(T$4=0,0,IF(COUNTIFS(実績!$W$6:$W$505,T$3,実績!$AI$6:$AI$505,"&lt;="&amp;$A53,実績!$AJ$6:$AJ$505,"&gt;"&amp;$A53,実績!$AK$6:$AK$505,"○")&gt;0,1,0))</f>
        <v>0</v>
      </c>
      <c r="U53" s="39" t="n">
        <f aca="false">IF(U$4=0,0,IF(COUNTIFS(実績!$W$6:$W$505,U$3,実績!$AI$6:$AI$505,"&lt;="&amp;$A53,実績!$AJ$6:$AJ$505,"&gt;"&amp;$A53,実績!$AK$6:$AK$505,"○")&gt;0,1,0))</f>
        <v>0</v>
      </c>
      <c r="V53" s="39" t="n">
        <f aca="false">IF(V$4=0,0,IF(COUNTIFS(実績!$W$6:$W$505,V$3,実績!$AI$6:$AI$505,"&lt;="&amp;$A53,実績!$AJ$6:$AJ$505,"&gt;"&amp;$A53,実績!$AK$6:$AK$505,"○")&gt;0,1,0))</f>
        <v>0</v>
      </c>
      <c r="W53" s="39" t="n">
        <f aca="false">IF(W$4=0,0,IF(COUNTIFS(実績!$W$6:$W$505,W$3,実績!$AI$6:$AI$505,"&lt;="&amp;$A53,実績!$AJ$6:$AJ$505,"&gt;"&amp;$A53,実績!$AK$6:$AK$505,"○")&gt;0,1,0))</f>
        <v>0</v>
      </c>
      <c r="X53" s="39" t="n">
        <f aca="false">IF(X$4=0,0,IF(COUNTIFS(実績!$W$6:$W$505,X$3,実績!$AI$6:$AI$505,"&lt;="&amp;$A53,実績!$AJ$6:$AJ$505,"&gt;"&amp;$A53,実績!$AK$6:$AK$505,"○")&gt;0,1,0))</f>
        <v>0</v>
      </c>
      <c r="Y53" s="39" t="n">
        <f aca="false">IF(Y$4=0,0,IF(COUNTIFS(実績!$W$6:$W$505,Y$3,実績!$AI$6:$AI$505,"&lt;="&amp;$A53,実績!$AJ$6:$AJ$505,"&gt;"&amp;$A53,実績!$AK$6:$AK$505,"○")&gt;0,1,0))</f>
        <v>0</v>
      </c>
      <c r="Z53" s="39" t="n">
        <f aca="false">IF(Z$4=0,0,IF(COUNTIFS(実績!$W$6:$W$505,Z$3,実績!$AI$6:$AI$505,"&lt;="&amp;$A53,実績!$AJ$6:$AJ$505,"&gt;"&amp;$A53,実績!$AK$6:$AK$505,"○")&gt;0,1,0))</f>
        <v>0</v>
      </c>
      <c r="AA53" s="39" t="n">
        <f aca="false">IF(AA$4=0,0,IF(COUNTIFS(実績!$W$6:$W$505,AA$3,実績!$AI$6:$AI$505,"&lt;="&amp;$A53,実績!$AJ$6:$AJ$505,"&gt;"&amp;$A53,実績!$AK$6:$AK$505,"○")&gt;0,1,0))</f>
        <v>0</v>
      </c>
      <c r="AB53" s="39" t="n">
        <f aca="false">IF(AB$4=0,0,IF(COUNTIFS(実績!$W$6:$W$505,AB$3,実績!$AI$6:$AI$505,"&lt;="&amp;$A53,実績!$AJ$6:$AJ$505,"&gt;"&amp;$A53,実績!$AK$6:$AK$505,"○")&gt;0,1,0))</f>
        <v>0</v>
      </c>
      <c r="AC53" s="39" t="n">
        <f aca="false">IF(AC$4=0,0,IF(COUNTIFS(実績!$W$6:$W$505,AC$3,実績!$AI$6:$AI$505,"&lt;="&amp;$A53,実績!$AJ$6:$AJ$505,"&gt;"&amp;$A53,実績!$AK$6:$AK$505,"○")&gt;0,1,0))</f>
        <v>0</v>
      </c>
      <c r="AD53" s="39" t="n">
        <f aca="false">IF(AD$4=0,0,IF(COUNTIFS(実績!$W$6:$W$505,AD$3,実績!$AI$6:$AI$505,"&lt;="&amp;$A53,実績!$AJ$6:$AJ$505,"&gt;"&amp;$A53,実績!$AK$6:$AK$505,"○")&gt;0,1,0))</f>
        <v>0</v>
      </c>
      <c r="AE53" s="39" t="n">
        <f aca="false">IF(AE$4=0,0,IF(COUNTIFS(実績!$W$6:$W$505,AE$3,実績!$AI$6:$AI$505,"&lt;="&amp;$A53,実績!$AJ$6:$AJ$505,"&gt;"&amp;$A53,実績!$AK$6:$AK$505,"○")&gt;0,1,0))</f>
        <v>0</v>
      </c>
      <c r="AF53" s="39" t="n">
        <f aca="false">IF(AF$4=0,0,IF(COUNTIFS(実績!$W$6:$W$505,AF$3,実績!$AI$6:$AI$505,"&lt;="&amp;$A53,実績!$AJ$6:$AJ$505,"&gt;"&amp;$A53,実績!$AK$6:$AK$505,"○")&gt;0,1,0))</f>
        <v>0</v>
      </c>
      <c r="AG53" s="39" t="n">
        <f aca="false">IF(AG$4=0,0,IF(COUNTIFS(実績!$W$6:$W$505,AG$3,実績!$AI$6:$AI$505,"&lt;="&amp;$A53,実績!$AJ$6:$AJ$505,"&gt;"&amp;$A53,実績!$AK$6:$AK$505,"○")&gt;0,1,0))</f>
        <v>0</v>
      </c>
      <c r="AH53" s="39" t="n">
        <f aca="false">IF(AH$4=0,0,IF(COUNTIFS(実績!$W$6:$W$505,AH$3,実績!$AI$6:$AI$505,"&lt;="&amp;$A53,実績!$AJ$6:$AJ$505,"&gt;"&amp;$A53,実績!$AK$6:$AK$505,"○")&gt;0,1,0))</f>
        <v>0</v>
      </c>
      <c r="AI53" s="39" t="n">
        <f aca="false">IF(AI$4=0,0,IF(COUNTIFS(実績!$W$6:$W$505,AI$3,実績!$AI$6:$AI$505,"&lt;="&amp;$A53,実績!$AJ$6:$AJ$505,"&gt;"&amp;$A53,実績!$AK$6:$AK$505,"○")&gt;0,1,0))</f>
        <v>0</v>
      </c>
      <c r="AJ53" s="39" t="n">
        <f aca="false">IF(AJ$4=0,0,IF(COUNTIFS(実績!$W$6:$W$505,AJ$3,実績!$AI$6:$AI$505,"&lt;="&amp;$A53,実績!$AJ$6:$AJ$505,"&gt;"&amp;$A53,実績!$AK$6:$AK$505,"○")&gt;0,1,0))</f>
        <v>0</v>
      </c>
      <c r="AK53" s="39" t="n">
        <f aca="false">IF(AK$4=0,0,IF(COUNTIFS(実績!$W$6:$W$505,AK$3,実績!$AI$6:$AI$505,"&lt;="&amp;$A53,実績!$AJ$6:$AJ$505,"&gt;"&amp;$A53,実績!$AK$6:$AK$505,"○")&gt;0,1,0))</f>
        <v>0</v>
      </c>
      <c r="AL53" s="39" t="n">
        <f aca="false">IF(AL$4=0,0,IF(COUNTIFS(実績!$W$6:$W$505,AL$3,実績!$AI$6:$AI$505,"&lt;="&amp;$A53,実績!$AJ$6:$AJ$505,"&gt;"&amp;$A53,実績!$AK$6:$AK$505,"○")&gt;0,1,0))</f>
        <v>0</v>
      </c>
      <c r="AM53" s="39" t="n">
        <f aca="false">IF(AM$4=0,0,IF(COUNTIFS(実績!$W$6:$W$505,AM$3,実績!$AI$6:$AI$505,"&lt;="&amp;$A53,実績!$AJ$6:$AJ$505,"&gt;"&amp;$A53,実績!$AK$6:$AK$505,"○")&gt;0,1,0))</f>
        <v>0</v>
      </c>
      <c r="AN53" s="39" t="n">
        <f aca="false">IF(AN$4=0,0,IF(COUNTIFS(実績!$W$6:$W$505,AN$3,実績!$AI$6:$AI$505,"&lt;="&amp;$A53,実績!$AJ$6:$AJ$505,"&gt;"&amp;$A53,実績!$AK$6:$AK$505,"○")&gt;0,1,0))</f>
        <v>0</v>
      </c>
      <c r="AO53" s="39" t="n">
        <f aca="false">IF(AO$4=0,0,IF(COUNTIFS(実績!$W$6:$W$505,AO$3,実績!$AI$6:$AI$505,"&lt;="&amp;$A53,実績!$AJ$6:$AJ$505,"&gt;"&amp;$A53,実績!$AK$6:$AK$505,"○")&gt;0,1,0))</f>
        <v>0</v>
      </c>
      <c r="AP53" s="39" t="n">
        <f aca="false">IF(AP$4=0,0,IF(COUNTIFS(実績!$W$6:$W$505,AP$3,実績!$AI$6:$AI$505,"&lt;="&amp;$A53,実績!$AJ$6:$AJ$505,"&gt;"&amp;$A53,実績!$AK$6:$AK$505,"○")&gt;0,1,0))</f>
        <v>0</v>
      </c>
      <c r="AQ53" s="39" t="n">
        <f aca="false">IF(AQ$4=0,0,IF(COUNTIFS(実績!$W$6:$W$505,AQ$3,実績!$AI$6:$AI$505,"&lt;="&amp;$A53,実績!$AJ$6:$AJ$505,"&gt;"&amp;$A53,実績!$AK$6:$AK$505,"○")&gt;0,1,0))</f>
        <v>0</v>
      </c>
      <c r="AR53" s="39" t="n">
        <f aca="false">IF(AR$4=0,0,IF(COUNTIFS(実績!$W$6:$W$505,AR$3,実績!$AI$6:$AI$505,"&lt;="&amp;$A53,実績!$AJ$6:$AJ$505,"&gt;"&amp;$A53,実績!$AK$6:$AK$505,"○")&gt;0,1,0))</f>
        <v>0</v>
      </c>
      <c r="AS53" s="39" t="n">
        <f aca="false">IF(AS$4=0,0,IF(COUNTIFS(実績!$W$6:$W$505,AS$3,実績!$AI$6:$AI$505,"&lt;="&amp;$A53,実績!$AJ$6:$AJ$505,"&gt;"&amp;$A53,実績!$AK$6:$AK$505,"○")&gt;0,1,0))</f>
        <v>0</v>
      </c>
      <c r="AT53" s="39" t="n">
        <f aca="false">IF(AT$4=0,0,IF(COUNTIFS(実績!$W$6:$W$505,AT$3,実績!$AI$6:$AI$505,"&lt;="&amp;$A53,実績!$AJ$6:$AJ$505,"&gt;"&amp;$A53,実績!$AK$6:$AK$505,"○")&gt;0,1,0))</f>
        <v>0</v>
      </c>
      <c r="AU53" s="39" t="n">
        <f aca="false">IF(AU$4=0,0,IF(COUNTIFS(実績!$W$6:$W$505,AU$3,実績!$AI$6:$AI$505,"&lt;="&amp;$A53,実績!$AJ$6:$AJ$505,"&gt;"&amp;$A53,実績!$AK$6:$AK$505,"○")&gt;0,1,0))</f>
        <v>0</v>
      </c>
      <c r="AV53" s="39" t="n">
        <f aca="false">IF(AV$4=0,0,IF(COUNTIFS(実績!$W$6:$W$505,AV$3,実績!$AI$6:$AI$505,"&lt;="&amp;$A53,実績!$AJ$6:$AJ$505,"&gt;"&amp;$A53,実績!$AK$6:$AK$505,"○")&gt;0,1,0))</f>
        <v>0</v>
      </c>
      <c r="AW53" s="39" t="n">
        <f aca="false">IF(AW$4=0,0,IF(COUNTIFS(実績!$W$6:$W$505,AW$3,実績!$AI$6:$AI$505,"&lt;="&amp;$A53,実績!$AJ$6:$AJ$505,"&gt;"&amp;$A53,実績!$AK$6:$AK$505,"○")&gt;0,1,0))</f>
        <v>0</v>
      </c>
      <c r="AX53" s="39" t="n">
        <f aca="false">IF(AX$4=0,0,IF(COUNTIFS(実績!$W$6:$W$505,AX$3,実績!$AI$6:$AI$505,"&lt;="&amp;$A53,実績!$AJ$6:$AJ$505,"&gt;"&amp;$A53,実績!$AK$6:$AK$505,"○")&gt;0,1,0))</f>
        <v>0</v>
      </c>
      <c r="AY53" s="39" t="n">
        <f aca="false">IF(AY$4=0,0,IF(COUNTIFS(実績!$W$6:$W$505,AY$3,実績!$AI$6:$AI$505,"&lt;="&amp;$A53,実績!$AJ$6:$AJ$505,"&gt;"&amp;$A53,実績!$AK$6:$AK$505,"○")&gt;0,1,0))</f>
        <v>0</v>
      </c>
      <c r="AZ53" s="39" t="n">
        <f aca="false">IF(AZ$4=0,0,IF(COUNTIFS(実績!$W$6:$W$505,AZ$3,実績!$AI$6:$AI$505,"&lt;="&amp;$A53,実績!$AJ$6:$AJ$505,"&gt;"&amp;$A53,実績!$AK$6:$AK$505,"○")&gt;0,1,0))</f>
        <v>0</v>
      </c>
      <c r="BA53" s="39" t="n">
        <f aca="false">IF(BA$4=0,0,IF(COUNTIFS(実績!$W$6:$W$505,BA$3,実績!$AI$6:$AI$505,"&lt;="&amp;$A53,実績!$AJ$6:$AJ$505,"&gt;"&amp;$A53,実績!$AK$6:$AK$505,"○")&gt;0,1,0))</f>
        <v>0</v>
      </c>
      <c r="BB53" s="39" t="n">
        <f aca="false">IF(BB$4=0,0,IF(COUNTIFS(実績!$W$6:$W$505,BB$3,実績!$AI$6:$AI$505,"&lt;="&amp;$A53,実績!$AJ$6:$AJ$505,"&gt;"&amp;$A53,実績!$AK$6:$AK$505,"○")&gt;0,1,0))</f>
        <v>0</v>
      </c>
      <c r="BC53" s="39" t="n">
        <f aca="false">IF(BC$4=0,0,IF(COUNTIFS(実績!$W$6:$W$505,BC$3,実績!$AI$6:$AI$505,"&lt;="&amp;$A53,実績!$AJ$6:$AJ$505,"&gt;"&amp;$A53,実績!$AK$6:$AK$505,"○")&gt;0,1,0))</f>
        <v>0</v>
      </c>
      <c r="BD53" s="39" t="n">
        <f aca="false">IF(BD$4=0,0,IF(COUNTIFS(実績!$W$6:$W$505,BD$3,実績!$AI$6:$AI$505,"&lt;="&amp;$A53,実績!$AJ$6:$AJ$505,"&gt;"&amp;$A53,実績!$AK$6:$AK$505,"○")&gt;0,1,0))</f>
        <v>0</v>
      </c>
      <c r="BE53" s="39" t="n">
        <f aca="false">IF(BE$4=0,0,IF(COUNTIFS(実績!$W$6:$W$505,BE$3,実績!$AI$6:$AI$505,"&lt;="&amp;$A53,実績!$AJ$6:$AJ$505,"&gt;"&amp;$A53,実績!$AK$6:$AK$505,"○")&gt;0,1,0))</f>
        <v>0</v>
      </c>
      <c r="BF53" s="39" t="n">
        <f aca="false">IF(BF$4=0,0,IF(COUNTIFS(実績!$W$6:$W$505,BF$3,実績!$AI$6:$AI$505,"&lt;="&amp;$A53,実績!$AJ$6:$AJ$505,"&gt;"&amp;$A53,実績!$AK$6:$AK$505,"○")&gt;0,1,0))</f>
        <v>0</v>
      </c>
      <c r="BG53" s="39" t="n">
        <f aca="false">IF(BG$4=0,0,IF(COUNTIFS(実績!$W$6:$W$505,BG$3,実績!$AI$6:$AI$505,"&lt;="&amp;$A53,実績!$AJ$6:$AJ$505,"&gt;"&amp;$A53,実績!$AK$6:$AK$505,"○")&gt;0,1,0))</f>
        <v>0</v>
      </c>
      <c r="BH53" s="39" t="n">
        <f aca="false">IF(BH$4=0,0,IF(COUNTIFS(実績!$W$6:$W$505,BH$3,実績!$AI$6:$AI$505,"&lt;="&amp;$A53,実績!$AJ$6:$AJ$505,"&gt;"&amp;$A53,実績!$AK$6:$AK$505,"○")&gt;0,1,0))</f>
        <v>0</v>
      </c>
      <c r="BI53" s="39" t="n">
        <f aca="false">IF(BI$4=0,0,IF(COUNTIFS(実績!$W$6:$W$505,BI$3,実績!$AI$6:$AI$505,"&lt;="&amp;$A53,実績!$AJ$6:$AJ$505,"&gt;"&amp;$A53,実績!$AK$6:$AK$505,"○")&gt;0,1,0))</f>
        <v>0</v>
      </c>
      <c r="BJ53" s="39" t="n">
        <f aca="false">IF(BJ$4=0,0,IF(COUNTIFS(実績!$W$6:$W$505,BJ$3,実績!$AI$6:$AI$505,"&lt;="&amp;$A53,実績!$AJ$6:$AJ$505,"&gt;"&amp;$A53,実績!$AK$6:$AK$505,"○")&gt;0,1,0))</f>
        <v>0</v>
      </c>
      <c r="BK53" s="39" t="n">
        <f aca="false">IF(BK$4=0,0,IF(COUNTIFS(実績!$W$6:$W$505,BK$3,実績!$AI$6:$AI$505,"&lt;="&amp;$A53,実績!$AJ$6:$AJ$505,"&gt;"&amp;$A53,実績!$AK$6:$AK$505,"○")&gt;0,1,0))</f>
        <v>0</v>
      </c>
      <c r="BL53" s="39" t="n">
        <f aca="false">IF(BL$4=0,0,IF(COUNTIFS(実績!$W$6:$W$505,BL$3,実績!$AI$6:$AI$505,"&lt;="&amp;$A53,実績!$AJ$6:$AJ$505,"&gt;"&amp;$A53,実績!$AK$6:$AK$505,"○")&gt;0,1,0))</f>
        <v>0</v>
      </c>
      <c r="BM53" s="39" t="n">
        <f aca="false">IF(BM$4=0,0,IF(COUNTIFS(実績!$W$6:$W$505,BM$3,実績!$AI$6:$AI$505,"&lt;="&amp;$A53,実績!$AJ$6:$AJ$505,"&gt;"&amp;$A53,実績!$AK$6:$AK$505,"○")&gt;0,1,0))</f>
        <v>0</v>
      </c>
      <c r="BN53" s="39" t="n">
        <f aca="false">IF(BN$4=0,0,IF(COUNTIFS(実績!$W$6:$W$505,BN$3,実績!$AI$6:$AI$505,"&lt;="&amp;$A53,実績!$AJ$6:$AJ$505,"&gt;"&amp;$A53,実績!$AK$6:$AK$505,"○")&gt;0,1,0))</f>
        <v>0</v>
      </c>
      <c r="BO53" s="39" t="n">
        <f aca="false">IF(BO$4=0,0,IF(COUNTIFS(実績!$W$6:$W$505,BO$3,実績!$AI$6:$AI$505,"&lt;="&amp;$A53,実績!$AJ$6:$AJ$505,"&gt;"&amp;$A53,実績!$AK$6:$AK$505,"○")&gt;0,1,0))</f>
        <v>0</v>
      </c>
      <c r="BP53" s="39" t="n">
        <f aca="false">IF(BP$4=0,0,IF(COUNTIFS(実績!$W$6:$W$505,BP$3,実績!$AI$6:$AI$505,"&lt;="&amp;$A53,実績!$AJ$6:$AJ$505,"&gt;"&amp;$A53,実績!$AK$6:$AK$505,"○")&gt;0,1,0))</f>
        <v>0</v>
      </c>
      <c r="BQ53" s="39" t="n">
        <f aca="false">IF(BQ$4=0,0,IF(COUNTIFS(実績!$W$6:$W$505,BQ$3,実績!$AI$6:$AI$505,"&lt;="&amp;$A53,実績!$AJ$6:$AJ$505,"&gt;"&amp;$A53,実績!$AK$6:$AK$505,"○")&gt;0,1,0))</f>
        <v>0</v>
      </c>
      <c r="BR53" s="39" t="n">
        <f aca="false">IF(BR$4=0,0,IF(COUNTIFS(実績!$W$6:$W$505,BR$3,実績!$AI$6:$AI$505,"&lt;="&amp;$A53,実績!$AJ$6:$AJ$505,"&gt;"&amp;$A53,実績!$AK$6:$AK$505,"○")&gt;0,1,0))</f>
        <v>0</v>
      </c>
      <c r="BS53" s="39" t="n">
        <f aca="false">IF(BS$4=0,0,IF(COUNTIFS(実績!$W$6:$W$505,BS$3,実績!$AI$6:$AI$505,"&lt;="&amp;$A53,実績!$AJ$6:$AJ$505,"&gt;"&amp;$A53,実績!$AK$6:$AK$505,"○")&gt;0,1,0))</f>
        <v>0</v>
      </c>
      <c r="BT53" s="39" t="n">
        <f aca="false">IF(BT$4=0,0,IF(COUNTIFS(実績!$W$6:$W$505,BT$3,実績!$AI$6:$AI$505,"&lt;="&amp;$A53,実績!$AJ$6:$AJ$505,"&gt;"&amp;$A53,実績!$AK$6:$AK$505,"○")&gt;0,1,0))</f>
        <v>0</v>
      </c>
      <c r="BU53" s="39" t="n">
        <f aca="false">IF(BU$4=0,0,IF(COUNTIFS(実績!$W$6:$W$505,BU$3,実績!$AI$6:$AI$505,"&lt;="&amp;$A53,実績!$AJ$6:$AJ$505,"&gt;"&amp;$A53,実績!$AK$6:$AK$505,"○")&gt;0,1,0))</f>
        <v>0</v>
      </c>
      <c r="BV53" s="39" t="n">
        <f aca="false">IF(BV$4=0,0,IF(COUNTIFS(実績!$W$6:$W$505,BV$3,実績!$AI$6:$AI$505,"&lt;="&amp;$A53,実績!$AJ$6:$AJ$505,"&gt;"&amp;$A53,実績!$AK$6:$AK$505,"○")&gt;0,1,0))</f>
        <v>0</v>
      </c>
      <c r="BW53" s="39" t="n">
        <f aca="false">IF(BW$4=0,0,IF(COUNTIFS(実績!$W$6:$W$505,BW$3,実績!$AI$6:$AI$505,"&lt;="&amp;$A53,実績!$AJ$6:$AJ$505,"&gt;"&amp;$A53,実績!$AK$6:$AK$505,"○")&gt;0,1,0))</f>
        <v>0</v>
      </c>
      <c r="BX53" s="39" t="n">
        <f aca="false">IF(BX$4=0,0,IF(COUNTIFS(実績!$W$6:$W$505,BX$3,実績!$AI$6:$AI$505,"&lt;="&amp;$A53,実績!$AJ$6:$AJ$505,"&gt;"&amp;$A53,実績!$AK$6:$AK$505,"○")&gt;0,1,0))</f>
        <v>0</v>
      </c>
      <c r="BY53" s="39" t="n">
        <f aca="false">IF(BY$4=0,0,IF(COUNTIFS(実績!$W$6:$W$505,BY$3,実績!$AI$6:$AI$505,"&lt;="&amp;$A53,実績!$AJ$6:$AJ$505,"&gt;"&amp;$A53,実績!$AK$6:$AK$505,"○")&gt;0,1,0))</f>
        <v>0</v>
      </c>
      <c r="BZ53" s="39" t="n">
        <f aca="false">IF(BZ$4=0,0,IF(COUNTIFS(実績!$W$6:$W$505,BZ$3,実績!$AI$6:$AI$505,"&lt;="&amp;$A53,実績!$AJ$6:$AJ$505,"&gt;"&amp;$A53,実績!$AK$6:$AK$505,"○")&gt;0,1,0))</f>
        <v>0</v>
      </c>
      <c r="CA53" s="39" t="n">
        <f aca="false">IF(CA$4=0,0,IF(COUNTIFS(実績!$W$6:$W$505,CA$3,実績!$AI$6:$AI$505,"&lt;="&amp;$A53,実績!$AJ$6:$AJ$505,"&gt;"&amp;$A53,実績!$AK$6:$AK$505,"○")&gt;0,1,0))</f>
        <v>0</v>
      </c>
      <c r="CB53" s="39" t="n">
        <f aca="false">IF(CB$4=0,0,IF(COUNTIFS(実績!$W$6:$W$505,CB$3,実績!$AI$6:$AI$505,"&lt;="&amp;$A53,実績!$AJ$6:$AJ$505,"&gt;"&amp;$A53,実績!$AK$6:$AK$505,"○")&gt;0,1,0))</f>
        <v>0</v>
      </c>
      <c r="CC53" s="39" t="n">
        <f aca="false">IF(CC$4=0,0,IF(COUNTIFS(実績!$W$6:$W$505,CC$3,実績!$AI$6:$AI$505,"&lt;="&amp;$A53,実績!$AJ$6:$AJ$505,"&gt;"&amp;$A53,実績!$AK$6:$AK$505,"○")&gt;0,1,0))</f>
        <v>0</v>
      </c>
      <c r="CD53" s="39" t="n">
        <f aca="false">IF(CD$4=0,0,IF(COUNTIFS(実績!$W$6:$W$505,CD$3,実績!$AI$6:$AI$505,"&lt;="&amp;$A53,実績!$AJ$6:$AJ$505,"&gt;"&amp;$A53,実績!$AK$6:$AK$505,"○")&gt;0,1,0))</f>
        <v>0</v>
      </c>
      <c r="CE53" s="39" t="n">
        <f aca="false">IF(CE$4=0,0,IF(COUNTIFS(実績!$W$6:$W$505,CE$3,実績!$AI$6:$AI$505,"&lt;="&amp;$A53,実績!$AJ$6:$AJ$505,"&gt;"&amp;$A53,実績!$AK$6:$AK$505,"○")&gt;0,1,0))</f>
        <v>0</v>
      </c>
      <c r="CF53" s="39" t="n">
        <f aca="false">IF(CF$4=0,0,IF(COUNTIFS(実績!$W$6:$W$505,CF$3,実績!$AI$6:$AI$505,"&lt;="&amp;$A53,実績!$AJ$6:$AJ$505,"&gt;"&amp;$A53,実績!$AK$6:$AK$505,"○")&gt;0,1,0))</f>
        <v>0</v>
      </c>
      <c r="CG53" s="39" t="n">
        <f aca="false">IF(CG$4=0,0,IF(COUNTIFS(実績!$W$6:$W$505,CG$3,実績!$AI$6:$AI$505,"&lt;="&amp;$A53,実績!$AJ$6:$AJ$505,"&gt;"&amp;$A53,実績!$AK$6:$AK$505,"○")&gt;0,1,0))</f>
        <v>0</v>
      </c>
      <c r="CH53" s="39" t="n">
        <f aca="false">IF(CH$4=0,0,IF(COUNTIFS(実績!$W$6:$W$505,CH$3,実績!$AI$6:$AI$505,"&lt;="&amp;$A53,実績!$AJ$6:$AJ$505,"&gt;"&amp;$A53,実績!$AK$6:$AK$505,"○")&gt;0,1,0))</f>
        <v>0</v>
      </c>
      <c r="CI53" s="39" t="n">
        <f aca="false">IF(CI$4=0,0,IF(COUNTIFS(実績!$W$6:$W$505,CI$3,実績!$AI$6:$AI$505,"&lt;="&amp;$A53,実績!$AJ$6:$AJ$505,"&gt;"&amp;$A53,実績!$AK$6:$AK$505,"○")&gt;0,1,0))</f>
        <v>0</v>
      </c>
      <c r="CJ53" s="39" t="n">
        <f aca="false">IF(CJ$4=0,0,IF(COUNTIFS(実績!$W$6:$W$505,CJ$3,実績!$AI$6:$AI$505,"&lt;="&amp;$A53,実績!$AJ$6:$AJ$505,"&gt;"&amp;$A53,実績!$AK$6:$AK$505,"○")&gt;0,1,0))</f>
        <v>0</v>
      </c>
      <c r="CK53" s="39" t="n">
        <f aca="false">IF(CK$4=0,0,IF(COUNTIFS(実績!$W$6:$W$505,CK$3,実績!$AI$6:$AI$505,"&lt;="&amp;$A53,実績!$AJ$6:$AJ$505,"&gt;"&amp;$A53,実績!$AK$6:$AK$505,"○")&gt;0,1,0))</f>
        <v>0</v>
      </c>
      <c r="CL53" s="39" t="n">
        <f aca="false">IF(CL$4=0,0,IF(COUNTIFS(実績!$W$6:$W$505,CL$3,実績!$AI$6:$AI$505,"&lt;="&amp;$A53,実績!$AJ$6:$AJ$505,"&gt;"&amp;$A53,実績!$AK$6:$AK$505,"○")&gt;0,1,0))</f>
        <v>0</v>
      </c>
      <c r="CM53" s="39" t="n">
        <f aca="false">IF(CM$4=0,0,IF(COUNTIFS(実績!$W$6:$W$505,CM$3,実績!$AI$6:$AI$505,"&lt;="&amp;$A53,実績!$AJ$6:$AJ$505,"&gt;"&amp;$A53,実績!$AK$6:$AK$505,"○")&gt;0,1,0))</f>
        <v>0</v>
      </c>
      <c r="CN53" s="39" t="n">
        <f aca="false">IF(CN$4=0,0,IF(COUNTIFS(実績!$W$6:$W$505,CN$3,実績!$AI$6:$AI$505,"&lt;="&amp;$A53,実績!$AJ$6:$AJ$505,"&gt;"&amp;$A53,実績!$AK$6:$AK$505,"○")&gt;0,1,0))</f>
        <v>0</v>
      </c>
      <c r="CO53" s="39" t="n">
        <f aca="false">IF(CO$4=0,0,IF(COUNTIFS(実績!$W$6:$W$505,CO$3,実績!$AI$6:$AI$505,"&lt;="&amp;$A53,実績!$AJ$6:$AJ$505,"&gt;"&amp;$A53,実績!$AK$6:$AK$505,"○")&gt;0,1,0))</f>
        <v>0</v>
      </c>
      <c r="CP53" s="39" t="n">
        <f aca="false">IF(CP$4=0,0,IF(COUNTIFS(実績!$W$6:$W$505,CP$3,実績!$AI$6:$AI$505,"&lt;="&amp;$A53,実績!$AJ$6:$AJ$505,"&gt;"&amp;$A53,実績!$AK$6:$AK$505,"○")&gt;0,1,0))</f>
        <v>0</v>
      </c>
      <c r="CQ53" s="39" t="n">
        <f aca="false">IF(CQ$4=0,0,IF(COUNTIFS(実績!$W$6:$W$505,CQ$3,実績!$AI$6:$AI$505,"&lt;="&amp;$A53,実績!$AJ$6:$AJ$505,"&gt;"&amp;$A53,実績!$AK$6:$AK$505,"○")&gt;0,1,0))</f>
        <v>0</v>
      </c>
      <c r="CR53" s="39" t="n">
        <f aca="false">IF(CR$4=0,0,IF(COUNTIFS(実績!$W$6:$W$505,CR$3,実績!$AI$6:$AI$505,"&lt;="&amp;$A53,実績!$AJ$6:$AJ$505,"&gt;"&amp;$A53,実績!$AK$6:$AK$505,"○")&gt;0,1,0))</f>
        <v>0</v>
      </c>
      <c r="CS53" s="39" t="n">
        <f aca="false">IF(CS$4=0,0,IF(COUNTIFS(実績!$W$6:$W$505,CS$3,実績!$AI$6:$AI$505,"&lt;="&amp;$A53,実績!$AJ$6:$AJ$505,"&gt;"&amp;$A53,実績!$AK$6:$AK$505,"○")&gt;0,1,0))</f>
        <v>0</v>
      </c>
      <c r="CT53" s="39" t="n">
        <f aca="false">IF(CT$4=0,0,IF(COUNTIFS(実績!$W$6:$W$505,CT$3,実績!$AI$6:$AI$505,"&lt;="&amp;$A53,実績!$AJ$6:$AJ$505,"&gt;"&amp;$A53,実績!$AK$6:$AK$505,"○")&gt;0,1,0))</f>
        <v>0</v>
      </c>
      <c r="CU53" s="39" t="n">
        <f aca="false">IF(CU$4=0,0,IF(COUNTIFS(実績!$W$6:$W$505,CU$3,実績!$AI$6:$AI$505,"&lt;="&amp;$A53,実績!$AJ$6:$AJ$505,"&gt;"&amp;$A53,実績!$AK$6:$AK$505,"○")&gt;0,1,0))</f>
        <v>0</v>
      </c>
      <c r="CV53" s="39" t="n">
        <f aca="false">IF(CV$4=0,0,IF(COUNTIFS(実績!$W$6:$W$505,CV$3,実績!$AI$6:$AI$505,"&lt;="&amp;$A53,実績!$AJ$6:$AJ$505,"&gt;"&amp;$A53,実績!$AK$6:$AK$505,"○")&gt;0,1,0))</f>
        <v>0</v>
      </c>
      <c r="CW53" s="39" t="n">
        <f aca="false">IF(CW$4=0,0,IF(COUNTIFS(実績!$W$6:$W$505,CW$3,実績!$AI$6:$AI$505,"&lt;="&amp;$A53,実績!$AJ$6:$AJ$505,"&gt;"&amp;$A53,実績!$AK$6:$AK$505,"○")&gt;0,1,0))</f>
        <v>0</v>
      </c>
      <c r="CX53" s="39" t="n">
        <f aca="false">IF(CX$4=0,0,IF(COUNTIFS(実績!$W$6:$W$505,CX$3,実績!$AI$6:$AI$505,"&lt;="&amp;$A53,実績!$AJ$6:$AJ$505,"&gt;"&amp;$A53,実績!$AK$6:$AK$505,"○")&gt;0,1,0))</f>
        <v>0</v>
      </c>
      <c r="CY53" s="39" t="n">
        <f aca="false">IF(CY$4=0,0,IF(COUNTIFS(実績!$W$6:$W$505,CY$3,実績!$AI$6:$AI$505,"&lt;="&amp;$A53,実績!$AJ$6:$AJ$505,"&gt;"&amp;$A53,実績!$AK$6:$AK$505,"○")&gt;0,1,0))</f>
        <v>0</v>
      </c>
      <c r="CZ53" s="39" t="n">
        <f aca="false">IF(CZ$4=0,0,IF(COUNTIFS(実績!$W$6:$W$505,CZ$3,実績!$AI$6:$AI$505,"&lt;="&amp;$A53,実績!$AJ$6:$AJ$505,"&gt;"&amp;$A53,実績!$AK$6:$AK$505,"○")&gt;0,1,0))</f>
        <v>0</v>
      </c>
      <c r="DA53" s="39" t="n">
        <f aca="false">IF(DA$4=0,0,IF(COUNTIFS(実績!$W$6:$W$505,DA$3,実績!$AI$6:$AI$505,"&lt;="&amp;$A53,実績!$AJ$6:$AJ$505,"&gt;"&amp;$A53,実績!$AK$6:$AK$505,"○")&gt;0,1,0))</f>
        <v>0</v>
      </c>
      <c r="DB53" s="39" t="n">
        <f aca="false">IF(DB$4=0,0,IF(COUNTIFS(実績!$W$6:$W$505,DB$3,実績!$AI$6:$AI$505,"&lt;="&amp;$A53,実績!$AJ$6:$AJ$505,"&gt;"&amp;$A53,実績!$AK$6:$AK$505,"○")&gt;0,1,0))</f>
        <v>0</v>
      </c>
      <c r="DC53" s="39" t="n">
        <f aca="false">IF(DC$4=0,0,IF(COUNTIFS(実績!$W$6:$W$505,DC$3,実績!$AI$6:$AI$505,"&lt;="&amp;$A53,実績!$AJ$6:$AJ$505,"&gt;"&amp;$A53,実績!$AK$6:$AK$505,"○")&gt;0,1,0))</f>
        <v>0</v>
      </c>
      <c r="DD53" s="39" t="n">
        <f aca="false">IF(DD$4=0,0,IF(COUNTIFS(実績!$W$6:$W$505,DD$3,実績!$AI$6:$AI$505,"&lt;="&amp;$A53,実績!$AJ$6:$AJ$505,"&gt;"&amp;$A53,実績!$AK$6:$AK$505,"○")&gt;0,1,0))</f>
        <v>0</v>
      </c>
      <c r="DE53" s="39" t="n">
        <f aca="false">IF(DE$4=0,0,IF(COUNTIFS(実績!$W$6:$W$505,DE$3,実績!$AI$6:$AI$505,"&lt;="&amp;$A53,実績!$AJ$6:$AJ$505,"&gt;"&amp;$A53,実績!$AK$6:$AK$505,"○")&gt;0,1,0))</f>
        <v>0</v>
      </c>
      <c r="DF53" s="39" t="n">
        <f aca="false">IF(DF$4=0,0,IF(COUNTIFS(実績!$W$6:$W$505,DF$3,実績!$AI$6:$AI$505,"&lt;="&amp;$A53,実績!$AJ$6:$AJ$505,"&gt;"&amp;$A53,実績!$AK$6:$AK$505,"○")&gt;0,1,0))</f>
        <v>0</v>
      </c>
      <c r="DG53" s="39" t="n">
        <f aca="false">IF(DG$4=0,0,IF(COUNTIFS(実績!$W$6:$W$505,DG$3,実績!$AI$6:$AI$505,"&lt;="&amp;$A53,実績!$AJ$6:$AJ$505,"&gt;"&amp;$A53,実績!$AK$6:$AK$505,"○")&gt;0,1,0))</f>
        <v>0</v>
      </c>
      <c r="DH53" s="39" t="n">
        <f aca="false">IF(DH$4=0,0,IF(COUNTIFS(実績!$W$6:$W$505,DH$3,実績!$AI$6:$AI$505,"&lt;="&amp;$A53,実績!$AJ$6:$AJ$505,"&gt;"&amp;$A53,実績!$AK$6:$AK$505,"○")&gt;0,1,0))</f>
        <v>0</v>
      </c>
      <c r="DI53" s="39" t="n">
        <f aca="false">IF(DI$4=0,0,IF(COUNTIFS(実績!$W$6:$W$505,DI$3,実績!$AI$6:$AI$505,"&lt;="&amp;$A53,実績!$AJ$6:$AJ$505,"&gt;"&amp;$A53,実績!$AK$6:$AK$505,"○")&gt;0,1,0))</f>
        <v>0</v>
      </c>
      <c r="DJ53" s="39" t="n">
        <f aca="false">IF(DJ$4=0,0,IF(COUNTIFS(実績!$W$6:$W$505,DJ$3,実績!$AI$6:$AI$505,"&lt;="&amp;$A53,実績!$AJ$6:$AJ$505,"&gt;"&amp;$A53,実績!$AK$6:$AK$505,"○")&gt;0,1,0))</f>
        <v>0</v>
      </c>
      <c r="DK53" s="39" t="n">
        <f aca="false">IF(DK$4=0,0,IF(COUNTIFS(実績!$W$6:$W$505,DK$3,実績!$AI$6:$AI$505,"&lt;="&amp;$A53,実績!$AJ$6:$AJ$505,"&gt;"&amp;$A53,実績!$AK$6:$AK$505,"○")&gt;0,1,0))</f>
        <v>0</v>
      </c>
      <c r="DL53" s="39" t="n">
        <f aca="false">IF(DL$4=0,0,IF(COUNTIFS(実績!$W$6:$W$505,DL$3,実績!$AI$6:$AI$505,"&lt;="&amp;$A53,実績!$AJ$6:$AJ$505,"&gt;"&amp;$A53,実績!$AK$6:$AK$505,"○")&gt;0,1,0))</f>
        <v>0</v>
      </c>
      <c r="DM53" s="39" t="n">
        <f aca="false">IF(DM$4=0,0,IF(COUNTIFS(実績!$W$6:$W$505,DM$3,実績!$AI$6:$AI$505,"&lt;="&amp;$A53,実績!$AJ$6:$AJ$505,"&gt;"&amp;$A53,実績!$AK$6:$AK$505,"○")&gt;0,1,0))</f>
        <v>0</v>
      </c>
      <c r="DN53" s="39" t="n">
        <f aca="false">IF(DN$4=0,0,IF(COUNTIFS(実績!$W$6:$W$505,DN$3,実績!$AI$6:$AI$505,"&lt;="&amp;$A53,実績!$AJ$6:$AJ$505,"&gt;"&amp;$A53,実績!$AK$6:$AK$505,"○")&gt;0,1,0))</f>
        <v>0</v>
      </c>
      <c r="DO53" s="39" t="n">
        <f aca="false">IF(DO$4=0,0,IF(COUNTIFS(実績!$W$6:$W$505,DO$3,実績!$AI$6:$AI$505,"&lt;="&amp;$A53,実績!$AJ$6:$AJ$505,"&gt;"&amp;$A53,実績!$AK$6:$AK$505,"○")&gt;0,1,0))</f>
        <v>0</v>
      </c>
      <c r="DP53" s="39" t="n">
        <f aca="false">IF(DP$4=0,0,IF(COUNTIFS(実績!$W$6:$W$505,DP$3,実績!$AI$6:$AI$505,"&lt;="&amp;$A53,実績!$AJ$6:$AJ$505,"&gt;"&amp;$A53,実績!$AK$6:$AK$505,"○")&gt;0,1,0))</f>
        <v>0</v>
      </c>
      <c r="DQ53" s="39" t="n">
        <f aca="false">IF(DQ$4=0,0,IF(COUNTIFS(実績!$W$6:$W$505,DQ$3,実績!$AI$6:$AI$505,"&lt;="&amp;$A53,実績!$AJ$6:$AJ$505,"&gt;"&amp;$A53,実績!$AK$6:$AK$505,"○")&gt;0,1,0))</f>
        <v>0</v>
      </c>
      <c r="DR53" s="39" t="n">
        <f aca="false">IF(DR$4=0,0,IF(COUNTIFS(実績!$W$6:$W$505,DR$3,実績!$AI$6:$AI$505,"&lt;="&amp;$A53,実績!$AJ$6:$AJ$505,"&gt;"&amp;$A53,実績!$AK$6:$AK$505,"○")&gt;0,1,0))</f>
        <v>0</v>
      </c>
      <c r="DS53" s="39" t="n">
        <f aca="false">SUM(C53:DR53)</f>
        <v>0</v>
      </c>
      <c r="DT53" s="39" t="n">
        <f aca="false">SUMPRODUCT((実績!$C$6:$C$505="○")*ISNUMBER(実績!$AM$6:$AM$505)*(実績!$AM$6:$AM$505&lt;=$A53)*(実績!$AN$6:$AN$505&gt;$A53))</f>
        <v>0</v>
      </c>
      <c r="DU53" s="39" t="n">
        <f aca="false">SUMIF($C$2:$DR$2,"製鉄曳船",C53:DR53)</f>
        <v>0</v>
      </c>
      <c r="DV53" s="39" t="n">
        <f aca="false">SUMIF($C$2:$DR$2,"西日本海運",C53:DR53)</f>
        <v>0</v>
      </c>
    </row>
    <row r="54" customFormat="false" ht="15" hidden="false" customHeight="false" outlineLevel="0" collapsed="false">
      <c r="A54" s="0" t="n">
        <v>240</v>
      </c>
      <c r="B54" s="38" t="n">
        <f aca="false">A54/1440</f>
        <v>0.166666666666667</v>
      </c>
      <c r="C54" s="39" t="n">
        <f aca="false">IF(C$4=0,0,IF(COUNTIFS(実績!$W$6:$W$505,C$3,実績!$AI$6:$AI$505,"&lt;="&amp;$A54,実績!$AJ$6:$AJ$505,"&gt;"&amp;$A54,実績!$AK$6:$AK$505,"○")&gt;0,1,0))</f>
        <v>0</v>
      </c>
      <c r="D54" s="39" t="n">
        <f aca="false">IF(D$4=0,0,IF(COUNTIFS(実績!$W$6:$W$505,D$3,実績!$AI$6:$AI$505,"&lt;="&amp;$A54,実績!$AJ$6:$AJ$505,"&gt;"&amp;$A54,実績!$AK$6:$AK$505,"○")&gt;0,1,0))</f>
        <v>0</v>
      </c>
      <c r="E54" s="39" t="n">
        <f aca="false">IF(E$4=0,0,IF(COUNTIFS(実績!$W$6:$W$505,E$3,実績!$AI$6:$AI$505,"&lt;="&amp;$A54,実績!$AJ$6:$AJ$505,"&gt;"&amp;$A54,実績!$AK$6:$AK$505,"○")&gt;0,1,0))</f>
        <v>0</v>
      </c>
      <c r="F54" s="39" t="n">
        <f aca="false">IF(F$4=0,0,IF(COUNTIFS(実績!$W$6:$W$505,F$3,実績!$AI$6:$AI$505,"&lt;="&amp;$A54,実績!$AJ$6:$AJ$505,"&gt;"&amp;$A54,実績!$AK$6:$AK$505,"○")&gt;0,1,0))</f>
        <v>0</v>
      </c>
      <c r="G54" s="39" t="n">
        <f aca="false">IF(G$4=0,0,IF(COUNTIFS(実績!$W$6:$W$505,G$3,実績!$AI$6:$AI$505,"&lt;="&amp;$A54,実績!$AJ$6:$AJ$505,"&gt;"&amp;$A54,実績!$AK$6:$AK$505,"○")&gt;0,1,0))</f>
        <v>0</v>
      </c>
      <c r="H54" s="39" t="n">
        <f aca="false">IF(H$4=0,0,IF(COUNTIFS(実績!$W$6:$W$505,H$3,実績!$AI$6:$AI$505,"&lt;="&amp;$A54,実績!$AJ$6:$AJ$505,"&gt;"&amp;$A54,実績!$AK$6:$AK$505,"○")&gt;0,1,0))</f>
        <v>0</v>
      </c>
      <c r="I54" s="39" t="n">
        <f aca="false">IF(I$4=0,0,IF(COUNTIFS(実績!$W$6:$W$505,I$3,実績!$AI$6:$AI$505,"&lt;="&amp;$A54,実績!$AJ$6:$AJ$505,"&gt;"&amp;$A54,実績!$AK$6:$AK$505,"○")&gt;0,1,0))</f>
        <v>0</v>
      </c>
      <c r="J54" s="39" t="n">
        <f aca="false">IF(J$4=0,0,IF(COUNTIFS(実績!$W$6:$W$505,J$3,実績!$AI$6:$AI$505,"&lt;="&amp;$A54,実績!$AJ$6:$AJ$505,"&gt;"&amp;$A54,実績!$AK$6:$AK$505,"○")&gt;0,1,0))</f>
        <v>0</v>
      </c>
      <c r="K54" s="39" t="n">
        <f aca="false">IF(K$4=0,0,IF(COUNTIFS(実績!$W$6:$W$505,K$3,実績!$AI$6:$AI$505,"&lt;="&amp;$A54,実績!$AJ$6:$AJ$505,"&gt;"&amp;$A54,実績!$AK$6:$AK$505,"○")&gt;0,1,0))</f>
        <v>0</v>
      </c>
      <c r="L54" s="39" t="n">
        <f aca="false">IF(L$4=0,0,IF(COUNTIFS(実績!$W$6:$W$505,L$3,実績!$AI$6:$AI$505,"&lt;="&amp;$A54,実績!$AJ$6:$AJ$505,"&gt;"&amp;$A54,実績!$AK$6:$AK$505,"○")&gt;0,1,0))</f>
        <v>0</v>
      </c>
      <c r="M54" s="39" t="n">
        <f aca="false">IF(M$4=0,0,IF(COUNTIFS(実績!$W$6:$W$505,M$3,実績!$AI$6:$AI$505,"&lt;="&amp;$A54,実績!$AJ$6:$AJ$505,"&gt;"&amp;$A54,実績!$AK$6:$AK$505,"○")&gt;0,1,0))</f>
        <v>0</v>
      </c>
      <c r="N54" s="39" t="n">
        <f aca="false">IF(N$4=0,0,IF(COUNTIFS(実績!$W$6:$W$505,N$3,実績!$AI$6:$AI$505,"&lt;="&amp;$A54,実績!$AJ$6:$AJ$505,"&gt;"&amp;$A54,実績!$AK$6:$AK$505,"○")&gt;0,1,0))</f>
        <v>0</v>
      </c>
      <c r="O54" s="39" t="n">
        <f aca="false">IF(O$4=0,0,IF(COUNTIFS(実績!$W$6:$W$505,O$3,実績!$AI$6:$AI$505,"&lt;="&amp;$A54,実績!$AJ$6:$AJ$505,"&gt;"&amp;$A54,実績!$AK$6:$AK$505,"○")&gt;0,1,0))</f>
        <v>0</v>
      </c>
      <c r="P54" s="39" t="n">
        <f aca="false">IF(P$4=0,0,IF(COUNTIFS(実績!$W$6:$W$505,P$3,実績!$AI$6:$AI$505,"&lt;="&amp;$A54,実績!$AJ$6:$AJ$505,"&gt;"&amp;$A54,実績!$AK$6:$AK$505,"○")&gt;0,1,0))</f>
        <v>0</v>
      </c>
      <c r="Q54" s="39" t="n">
        <f aca="false">IF(Q$4=0,0,IF(COUNTIFS(実績!$W$6:$W$505,Q$3,実績!$AI$6:$AI$505,"&lt;="&amp;$A54,実績!$AJ$6:$AJ$505,"&gt;"&amp;$A54,実績!$AK$6:$AK$505,"○")&gt;0,1,0))</f>
        <v>0</v>
      </c>
      <c r="R54" s="39" t="n">
        <f aca="false">IF(R$4=0,0,IF(COUNTIFS(実績!$W$6:$W$505,R$3,実績!$AI$6:$AI$505,"&lt;="&amp;$A54,実績!$AJ$6:$AJ$505,"&gt;"&amp;$A54,実績!$AK$6:$AK$505,"○")&gt;0,1,0))</f>
        <v>0</v>
      </c>
      <c r="S54" s="39" t="n">
        <f aca="false">IF(S$4=0,0,IF(COUNTIFS(実績!$W$6:$W$505,S$3,実績!$AI$6:$AI$505,"&lt;="&amp;$A54,実績!$AJ$6:$AJ$505,"&gt;"&amp;$A54,実績!$AK$6:$AK$505,"○")&gt;0,1,0))</f>
        <v>0</v>
      </c>
      <c r="T54" s="39" t="n">
        <f aca="false">IF(T$4=0,0,IF(COUNTIFS(実績!$W$6:$W$505,T$3,実績!$AI$6:$AI$505,"&lt;="&amp;$A54,実績!$AJ$6:$AJ$505,"&gt;"&amp;$A54,実績!$AK$6:$AK$505,"○")&gt;0,1,0))</f>
        <v>0</v>
      </c>
      <c r="U54" s="39" t="n">
        <f aca="false">IF(U$4=0,0,IF(COUNTIFS(実績!$W$6:$W$505,U$3,実績!$AI$6:$AI$505,"&lt;="&amp;$A54,実績!$AJ$6:$AJ$505,"&gt;"&amp;$A54,実績!$AK$6:$AK$505,"○")&gt;0,1,0))</f>
        <v>0</v>
      </c>
      <c r="V54" s="39" t="n">
        <f aca="false">IF(V$4=0,0,IF(COUNTIFS(実績!$W$6:$W$505,V$3,実績!$AI$6:$AI$505,"&lt;="&amp;$A54,実績!$AJ$6:$AJ$505,"&gt;"&amp;$A54,実績!$AK$6:$AK$505,"○")&gt;0,1,0))</f>
        <v>0</v>
      </c>
      <c r="W54" s="39" t="n">
        <f aca="false">IF(W$4=0,0,IF(COUNTIFS(実績!$W$6:$W$505,W$3,実績!$AI$6:$AI$505,"&lt;="&amp;$A54,実績!$AJ$6:$AJ$505,"&gt;"&amp;$A54,実績!$AK$6:$AK$505,"○")&gt;0,1,0))</f>
        <v>0</v>
      </c>
      <c r="X54" s="39" t="n">
        <f aca="false">IF(X$4=0,0,IF(COUNTIFS(実績!$W$6:$W$505,X$3,実績!$AI$6:$AI$505,"&lt;="&amp;$A54,実績!$AJ$6:$AJ$505,"&gt;"&amp;$A54,実績!$AK$6:$AK$505,"○")&gt;0,1,0))</f>
        <v>0</v>
      </c>
      <c r="Y54" s="39" t="n">
        <f aca="false">IF(Y$4=0,0,IF(COUNTIFS(実績!$W$6:$W$505,Y$3,実績!$AI$6:$AI$505,"&lt;="&amp;$A54,実績!$AJ$6:$AJ$505,"&gt;"&amp;$A54,実績!$AK$6:$AK$505,"○")&gt;0,1,0))</f>
        <v>0</v>
      </c>
      <c r="Z54" s="39" t="n">
        <f aca="false">IF(Z$4=0,0,IF(COUNTIFS(実績!$W$6:$W$505,Z$3,実績!$AI$6:$AI$505,"&lt;="&amp;$A54,実績!$AJ$6:$AJ$505,"&gt;"&amp;$A54,実績!$AK$6:$AK$505,"○")&gt;0,1,0))</f>
        <v>0</v>
      </c>
      <c r="AA54" s="39" t="n">
        <f aca="false">IF(AA$4=0,0,IF(COUNTIFS(実績!$W$6:$W$505,AA$3,実績!$AI$6:$AI$505,"&lt;="&amp;$A54,実績!$AJ$6:$AJ$505,"&gt;"&amp;$A54,実績!$AK$6:$AK$505,"○")&gt;0,1,0))</f>
        <v>0</v>
      </c>
      <c r="AB54" s="39" t="n">
        <f aca="false">IF(AB$4=0,0,IF(COUNTIFS(実績!$W$6:$W$505,AB$3,実績!$AI$6:$AI$505,"&lt;="&amp;$A54,実績!$AJ$6:$AJ$505,"&gt;"&amp;$A54,実績!$AK$6:$AK$505,"○")&gt;0,1,0))</f>
        <v>0</v>
      </c>
      <c r="AC54" s="39" t="n">
        <f aca="false">IF(AC$4=0,0,IF(COUNTIFS(実績!$W$6:$W$505,AC$3,実績!$AI$6:$AI$505,"&lt;="&amp;$A54,実績!$AJ$6:$AJ$505,"&gt;"&amp;$A54,実績!$AK$6:$AK$505,"○")&gt;0,1,0))</f>
        <v>0</v>
      </c>
      <c r="AD54" s="39" t="n">
        <f aca="false">IF(AD$4=0,0,IF(COUNTIFS(実績!$W$6:$W$505,AD$3,実績!$AI$6:$AI$505,"&lt;="&amp;$A54,実績!$AJ$6:$AJ$505,"&gt;"&amp;$A54,実績!$AK$6:$AK$505,"○")&gt;0,1,0))</f>
        <v>0</v>
      </c>
      <c r="AE54" s="39" t="n">
        <f aca="false">IF(AE$4=0,0,IF(COUNTIFS(実績!$W$6:$W$505,AE$3,実績!$AI$6:$AI$505,"&lt;="&amp;$A54,実績!$AJ$6:$AJ$505,"&gt;"&amp;$A54,実績!$AK$6:$AK$505,"○")&gt;0,1,0))</f>
        <v>0</v>
      </c>
      <c r="AF54" s="39" t="n">
        <f aca="false">IF(AF$4=0,0,IF(COUNTIFS(実績!$W$6:$W$505,AF$3,実績!$AI$6:$AI$505,"&lt;="&amp;$A54,実績!$AJ$6:$AJ$505,"&gt;"&amp;$A54,実績!$AK$6:$AK$505,"○")&gt;0,1,0))</f>
        <v>0</v>
      </c>
      <c r="AG54" s="39" t="n">
        <f aca="false">IF(AG$4=0,0,IF(COUNTIFS(実績!$W$6:$W$505,AG$3,実績!$AI$6:$AI$505,"&lt;="&amp;$A54,実績!$AJ$6:$AJ$505,"&gt;"&amp;$A54,実績!$AK$6:$AK$505,"○")&gt;0,1,0))</f>
        <v>0</v>
      </c>
      <c r="AH54" s="39" t="n">
        <f aca="false">IF(AH$4=0,0,IF(COUNTIFS(実績!$W$6:$W$505,AH$3,実績!$AI$6:$AI$505,"&lt;="&amp;$A54,実績!$AJ$6:$AJ$505,"&gt;"&amp;$A54,実績!$AK$6:$AK$505,"○")&gt;0,1,0))</f>
        <v>0</v>
      </c>
      <c r="AI54" s="39" t="n">
        <f aca="false">IF(AI$4=0,0,IF(COUNTIFS(実績!$W$6:$W$505,AI$3,実績!$AI$6:$AI$505,"&lt;="&amp;$A54,実績!$AJ$6:$AJ$505,"&gt;"&amp;$A54,実績!$AK$6:$AK$505,"○")&gt;0,1,0))</f>
        <v>0</v>
      </c>
      <c r="AJ54" s="39" t="n">
        <f aca="false">IF(AJ$4=0,0,IF(COUNTIFS(実績!$W$6:$W$505,AJ$3,実績!$AI$6:$AI$505,"&lt;="&amp;$A54,実績!$AJ$6:$AJ$505,"&gt;"&amp;$A54,実績!$AK$6:$AK$505,"○")&gt;0,1,0))</f>
        <v>0</v>
      </c>
      <c r="AK54" s="39" t="n">
        <f aca="false">IF(AK$4=0,0,IF(COUNTIFS(実績!$W$6:$W$505,AK$3,実績!$AI$6:$AI$505,"&lt;="&amp;$A54,実績!$AJ$6:$AJ$505,"&gt;"&amp;$A54,実績!$AK$6:$AK$505,"○")&gt;0,1,0))</f>
        <v>0</v>
      </c>
      <c r="AL54" s="39" t="n">
        <f aca="false">IF(AL$4=0,0,IF(COUNTIFS(実績!$W$6:$W$505,AL$3,実績!$AI$6:$AI$505,"&lt;="&amp;$A54,実績!$AJ$6:$AJ$505,"&gt;"&amp;$A54,実績!$AK$6:$AK$505,"○")&gt;0,1,0))</f>
        <v>0</v>
      </c>
      <c r="AM54" s="39" t="n">
        <f aca="false">IF(AM$4=0,0,IF(COUNTIFS(実績!$W$6:$W$505,AM$3,実績!$AI$6:$AI$505,"&lt;="&amp;$A54,実績!$AJ$6:$AJ$505,"&gt;"&amp;$A54,実績!$AK$6:$AK$505,"○")&gt;0,1,0))</f>
        <v>0</v>
      </c>
      <c r="AN54" s="39" t="n">
        <f aca="false">IF(AN$4=0,0,IF(COUNTIFS(実績!$W$6:$W$505,AN$3,実績!$AI$6:$AI$505,"&lt;="&amp;$A54,実績!$AJ$6:$AJ$505,"&gt;"&amp;$A54,実績!$AK$6:$AK$505,"○")&gt;0,1,0))</f>
        <v>0</v>
      </c>
      <c r="AO54" s="39" t="n">
        <f aca="false">IF(AO$4=0,0,IF(COUNTIFS(実績!$W$6:$W$505,AO$3,実績!$AI$6:$AI$505,"&lt;="&amp;$A54,実績!$AJ$6:$AJ$505,"&gt;"&amp;$A54,実績!$AK$6:$AK$505,"○")&gt;0,1,0))</f>
        <v>0</v>
      </c>
      <c r="AP54" s="39" t="n">
        <f aca="false">IF(AP$4=0,0,IF(COUNTIFS(実績!$W$6:$W$505,AP$3,実績!$AI$6:$AI$505,"&lt;="&amp;$A54,実績!$AJ$6:$AJ$505,"&gt;"&amp;$A54,実績!$AK$6:$AK$505,"○")&gt;0,1,0))</f>
        <v>0</v>
      </c>
      <c r="AQ54" s="39" t="n">
        <f aca="false">IF(AQ$4=0,0,IF(COUNTIFS(実績!$W$6:$W$505,AQ$3,実績!$AI$6:$AI$505,"&lt;="&amp;$A54,実績!$AJ$6:$AJ$505,"&gt;"&amp;$A54,実績!$AK$6:$AK$505,"○")&gt;0,1,0))</f>
        <v>0</v>
      </c>
      <c r="AR54" s="39" t="n">
        <f aca="false">IF(AR$4=0,0,IF(COUNTIFS(実績!$W$6:$W$505,AR$3,実績!$AI$6:$AI$505,"&lt;="&amp;$A54,実績!$AJ$6:$AJ$505,"&gt;"&amp;$A54,実績!$AK$6:$AK$505,"○")&gt;0,1,0))</f>
        <v>0</v>
      </c>
      <c r="AS54" s="39" t="n">
        <f aca="false">IF(AS$4=0,0,IF(COUNTIFS(実績!$W$6:$W$505,AS$3,実績!$AI$6:$AI$505,"&lt;="&amp;$A54,実績!$AJ$6:$AJ$505,"&gt;"&amp;$A54,実績!$AK$6:$AK$505,"○")&gt;0,1,0))</f>
        <v>0</v>
      </c>
      <c r="AT54" s="39" t="n">
        <f aca="false">IF(AT$4=0,0,IF(COUNTIFS(実績!$W$6:$W$505,AT$3,実績!$AI$6:$AI$505,"&lt;="&amp;$A54,実績!$AJ$6:$AJ$505,"&gt;"&amp;$A54,実績!$AK$6:$AK$505,"○")&gt;0,1,0))</f>
        <v>0</v>
      </c>
      <c r="AU54" s="39" t="n">
        <f aca="false">IF(AU$4=0,0,IF(COUNTIFS(実績!$W$6:$W$505,AU$3,実績!$AI$6:$AI$505,"&lt;="&amp;$A54,実績!$AJ$6:$AJ$505,"&gt;"&amp;$A54,実績!$AK$6:$AK$505,"○")&gt;0,1,0))</f>
        <v>0</v>
      </c>
      <c r="AV54" s="39" t="n">
        <f aca="false">IF(AV$4=0,0,IF(COUNTIFS(実績!$W$6:$W$505,AV$3,実績!$AI$6:$AI$505,"&lt;="&amp;$A54,実績!$AJ$6:$AJ$505,"&gt;"&amp;$A54,実績!$AK$6:$AK$505,"○")&gt;0,1,0))</f>
        <v>0</v>
      </c>
      <c r="AW54" s="39" t="n">
        <f aca="false">IF(AW$4=0,0,IF(COUNTIFS(実績!$W$6:$W$505,AW$3,実績!$AI$6:$AI$505,"&lt;="&amp;$A54,実績!$AJ$6:$AJ$505,"&gt;"&amp;$A54,実績!$AK$6:$AK$505,"○")&gt;0,1,0))</f>
        <v>0</v>
      </c>
      <c r="AX54" s="39" t="n">
        <f aca="false">IF(AX$4=0,0,IF(COUNTIFS(実績!$W$6:$W$505,AX$3,実績!$AI$6:$AI$505,"&lt;="&amp;$A54,実績!$AJ$6:$AJ$505,"&gt;"&amp;$A54,実績!$AK$6:$AK$505,"○")&gt;0,1,0))</f>
        <v>0</v>
      </c>
      <c r="AY54" s="39" t="n">
        <f aca="false">IF(AY$4=0,0,IF(COUNTIFS(実績!$W$6:$W$505,AY$3,実績!$AI$6:$AI$505,"&lt;="&amp;$A54,実績!$AJ$6:$AJ$505,"&gt;"&amp;$A54,実績!$AK$6:$AK$505,"○")&gt;0,1,0))</f>
        <v>0</v>
      </c>
      <c r="AZ54" s="39" t="n">
        <f aca="false">IF(AZ$4=0,0,IF(COUNTIFS(実績!$W$6:$W$505,AZ$3,実績!$AI$6:$AI$505,"&lt;="&amp;$A54,実績!$AJ$6:$AJ$505,"&gt;"&amp;$A54,実績!$AK$6:$AK$505,"○")&gt;0,1,0))</f>
        <v>0</v>
      </c>
      <c r="BA54" s="39" t="n">
        <f aca="false">IF(BA$4=0,0,IF(COUNTIFS(実績!$W$6:$W$505,BA$3,実績!$AI$6:$AI$505,"&lt;="&amp;$A54,実績!$AJ$6:$AJ$505,"&gt;"&amp;$A54,実績!$AK$6:$AK$505,"○")&gt;0,1,0))</f>
        <v>0</v>
      </c>
      <c r="BB54" s="39" t="n">
        <f aca="false">IF(BB$4=0,0,IF(COUNTIFS(実績!$W$6:$W$505,BB$3,実績!$AI$6:$AI$505,"&lt;="&amp;$A54,実績!$AJ$6:$AJ$505,"&gt;"&amp;$A54,実績!$AK$6:$AK$505,"○")&gt;0,1,0))</f>
        <v>0</v>
      </c>
      <c r="BC54" s="39" t="n">
        <f aca="false">IF(BC$4=0,0,IF(COUNTIFS(実績!$W$6:$W$505,BC$3,実績!$AI$6:$AI$505,"&lt;="&amp;$A54,実績!$AJ$6:$AJ$505,"&gt;"&amp;$A54,実績!$AK$6:$AK$505,"○")&gt;0,1,0))</f>
        <v>0</v>
      </c>
      <c r="BD54" s="39" t="n">
        <f aca="false">IF(BD$4=0,0,IF(COUNTIFS(実績!$W$6:$W$505,BD$3,実績!$AI$6:$AI$505,"&lt;="&amp;$A54,実績!$AJ$6:$AJ$505,"&gt;"&amp;$A54,実績!$AK$6:$AK$505,"○")&gt;0,1,0))</f>
        <v>0</v>
      </c>
      <c r="BE54" s="39" t="n">
        <f aca="false">IF(BE$4=0,0,IF(COUNTIFS(実績!$W$6:$W$505,BE$3,実績!$AI$6:$AI$505,"&lt;="&amp;$A54,実績!$AJ$6:$AJ$505,"&gt;"&amp;$A54,実績!$AK$6:$AK$505,"○")&gt;0,1,0))</f>
        <v>0</v>
      </c>
      <c r="BF54" s="39" t="n">
        <f aca="false">IF(BF$4=0,0,IF(COUNTIFS(実績!$W$6:$W$505,BF$3,実績!$AI$6:$AI$505,"&lt;="&amp;$A54,実績!$AJ$6:$AJ$505,"&gt;"&amp;$A54,実績!$AK$6:$AK$505,"○")&gt;0,1,0))</f>
        <v>0</v>
      </c>
      <c r="BG54" s="39" t="n">
        <f aca="false">IF(BG$4=0,0,IF(COUNTIFS(実績!$W$6:$W$505,BG$3,実績!$AI$6:$AI$505,"&lt;="&amp;$A54,実績!$AJ$6:$AJ$505,"&gt;"&amp;$A54,実績!$AK$6:$AK$505,"○")&gt;0,1,0))</f>
        <v>0</v>
      </c>
      <c r="BH54" s="39" t="n">
        <f aca="false">IF(BH$4=0,0,IF(COUNTIFS(実績!$W$6:$W$505,BH$3,実績!$AI$6:$AI$505,"&lt;="&amp;$A54,実績!$AJ$6:$AJ$505,"&gt;"&amp;$A54,実績!$AK$6:$AK$505,"○")&gt;0,1,0))</f>
        <v>0</v>
      </c>
      <c r="BI54" s="39" t="n">
        <f aca="false">IF(BI$4=0,0,IF(COUNTIFS(実績!$W$6:$W$505,BI$3,実績!$AI$6:$AI$505,"&lt;="&amp;$A54,実績!$AJ$6:$AJ$505,"&gt;"&amp;$A54,実績!$AK$6:$AK$505,"○")&gt;0,1,0))</f>
        <v>0</v>
      </c>
      <c r="BJ54" s="39" t="n">
        <f aca="false">IF(BJ$4=0,0,IF(COUNTIFS(実績!$W$6:$W$505,BJ$3,実績!$AI$6:$AI$505,"&lt;="&amp;$A54,実績!$AJ$6:$AJ$505,"&gt;"&amp;$A54,実績!$AK$6:$AK$505,"○")&gt;0,1,0))</f>
        <v>0</v>
      </c>
      <c r="BK54" s="39" t="n">
        <f aca="false">IF(BK$4=0,0,IF(COUNTIFS(実績!$W$6:$W$505,BK$3,実績!$AI$6:$AI$505,"&lt;="&amp;$A54,実績!$AJ$6:$AJ$505,"&gt;"&amp;$A54,実績!$AK$6:$AK$505,"○")&gt;0,1,0))</f>
        <v>0</v>
      </c>
      <c r="BL54" s="39" t="n">
        <f aca="false">IF(BL$4=0,0,IF(COUNTIFS(実績!$W$6:$W$505,BL$3,実績!$AI$6:$AI$505,"&lt;="&amp;$A54,実績!$AJ$6:$AJ$505,"&gt;"&amp;$A54,実績!$AK$6:$AK$505,"○")&gt;0,1,0))</f>
        <v>0</v>
      </c>
      <c r="BM54" s="39" t="n">
        <f aca="false">IF(BM$4=0,0,IF(COUNTIFS(実績!$W$6:$W$505,BM$3,実績!$AI$6:$AI$505,"&lt;="&amp;$A54,実績!$AJ$6:$AJ$505,"&gt;"&amp;$A54,実績!$AK$6:$AK$505,"○")&gt;0,1,0))</f>
        <v>0</v>
      </c>
      <c r="BN54" s="39" t="n">
        <f aca="false">IF(BN$4=0,0,IF(COUNTIFS(実績!$W$6:$W$505,BN$3,実績!$AI$6:$AI$505,"&lt;="&amp;$A54,実績!$AJ$6:$AJ$505,"&gt;"&amp;$A54,実績!$AK$6:$AK$505,"○")&gt;0,1,0))</f>
        <v>0</v>
      </c>
      <c r="BO54" s="39" t="n">
        <f aca="false">IF(BO$4=0,0,IF(COUNTIFS(実績!$W$6:$W$505,BO$3,実績!$AI$6:$AI$505,"&lt;="&amp;$A54,実績!$AJ$6:$AJ$505,"&gt;"&amp;$A54,実績!$AK$6:$AK$505,"○")&gt;0,1,0))</f>
        <v>0</v>
      </c>
      <c r="BP54" s="39" t="n">
        <f aca="false">IF(BP$4=0,0,IF(COUNTIFS(実績!$W$6:$W$505,BP$3,実績!$AI$6:$AI$505,"&lt;="&amp;$A54,実績!$AJ$6:$AJ$505,"&gt;"&amp;$A54,実績!$AK$6:$AK$505,"○")&gt;0,1,0))</f>
        <v>0</v>
      </c>
      <c r="BQ54" s="39" t="n">
        <f aca="false">IF(BQ$4=0,0,IF(COUNTIFS(実績!$W$6:$W$505,BQ$3,実績!$AI$6:$AI$505,"&lt;="&amp;$A54,実績!$AJ$6:$AJ$505,"&gt;"&amp;$A54,実績!$AK$6:$AK$505,"○")&gt;0,1,0))</f>
        <v>0</v>
      </c>
      <c r="BR54" s="39" t="n">
        <f aca="false">IF(BR$4=0,0,IF(COUNTIFS(実績!$W$6:$W$505,BR$3,実績!$AI$6:$AI$505,"&lt;="&amp;$A54,実績!$AJ$6:$AJ$505,"&gt;"&amp;$A54,実績!$AK$6:$AK$505,"○")&gt;0,1,0))</f>
        <v>0</v>
      </c>
      <c r="BS54" s="39" t="n">
        <f aca="false">IF(BS$4=0,0,IF(COUNTIFS(実績!$W$6:$W$505,BS$3,実績!$AI$6:$AI$505,"&lt;="&amp;$A54,実績!$AJ$6:$AJ$505,"&gt;"&amp;$A54,実績!$AK$6:$AK$505,"○")&gt;0,1,0))</f>
        <v>0</v>
      </c>
      <c r="BT54" s="39" t="n">
        <f aca="false">IF(BT$4=0,0,IF(COUNTIFS(実績!$W$6:$W$505,BT$3,実績!$AI$6:$AI$505,"&lt;="&amp;$A54,実績!$AJ$6:$AJ$505,"&gt;"&amp;$A54,実績!$AK$6:$AK$505,"○")&gt;0,1,0))</f>
        <v>0</v>
      </c>
      <c r="BU54" s="39" t="n">
        <f aca="false">IF(BU$4=0,0,IF(COUNTIFS(実績!$W$6:$W$505,BU$3,実績!$AI$6:$AI$505,"&lt;="&amp;$A54,実績!$AJ$6:$AJ$505,"&gt;"&amp;$A54,実績!$AK$6:$AK$505,"○")&gt;0,1,0))</f>
        <v>0</v>
      </c>
      <c r="BV54" s="39" t="n">
        <f aca="false">IF(BV$4=0,0,IF(COUNTIFS(実績!$W$6:$W$505,BV$3,実績!$AI$6:$AI$505,"&lt;="&amp;$A54,実績!$AJ$6:$AJ$505,"&gt;"&amp;$A54,実績!$AK$6:$AK$505,"○")&gt;0,1,0))</f>
        <v>0</v>
      </c>
      <c r="BW54" s="39" t="n">
        <f aca="false">IF(BW$4=0,0,IF(COUNTIFS(実績!$W$6:$W$505,BW$3,実績!$AI$6:$AI$505,"&lt;="&amp;$A54,実績!$AJ$6:$AJ$505,"&gt;"&amp;$A54,実績!$AK$6:$AK$505,"○")&gt;0,1,0))</f>
        <v>0</v>
      </c>
      <c r="BX54" s="39" t="n">
        <f aca="false">IF(BX$4=0,0,IF(COUNTIFS(実績!$W$6:$W$505,BX$3,実績!$AI$6:$AI$505,"&lt;="&amp;$A54,実績!$AJ$6:$AJ$505,"&gt;"&amp;$A54,実績!$AK$6:$AK$505,"○")&gt;0,1,0))</f>
        <v>0</v>
      </c>
      <c r="BY54" s="39" t="n">
        <f aca="false">IF(BY$4=0,0,IF(COUNTIFS(実績!$W$6:$W$505,BY$3,実績!$AI$6:$AI$505,"&lt;="&amp;$A54,実績!$AJ$6:$AJ$505,"&gt;"&amp;$A54,実績!$AK$6:$AK$505,"○")&gt;0,1,0))</f>
        <v>0</v>
      </c>
      <c r="BZ54" s="39" t="n">
        <f aca="false">IF(BZ$4=0,0,IF(COUNTIFS(実績!$W$6:$W$505,BZ$3,実績!$AI$6:$AI$505,"&lt;="&amp;$A54,実績!$AJ$6:$AJ$505,"&gt;"&amp;$A54,実績!$AK$6:$AK$505,"○")&gt;0,1,0))</f>
        <v>0</v>
      </c>
      <c r="CA54" s="39" t="n">
        <f aca="false">IF(CA$4=0,0,IF(COUNTIFS(実績!$W$6:$W$505,CA$3,実績!$AI$6:$AI$505,"&lt;="&amp;$A54,実績!$AJ$6:$AJ$505,"&gt;"&amp;$A54,実績!$AK$6:$AK$505,"○")&gt;0,1,0))</f>
        <v>0</v>
      </c>
      <c r="CB54" s="39" t="n">
        <f aca="false">IF(CB$4=0,0,IF(COUNTIFS(実績!$W$6:$W$505,CB$3,実績!$AI$6:$AI$505,"&lt;="&amp;$A54,実績!$AJ$6:$AJ$505,"&gt;"&amp;$A54,実績!$AK$6:$AK$505,"○")&gt;0,1,0))</f>
        <v>0</v>
      </c>
      <c r="CC54" s="39" t="n">
        <f aca="false">IF(CC$4=0,0,IF(COUNTIFS(実績!$W$6:$W$505,CC$3,実績!$AI$6:$AI$505,"&lt;="&amp;$A54,実績!$AJ$6:$AJ$505,"&gt;"&amp;$A54,実績!$AK$6:$AK$505,"○")&gt;0,1,0))</f>
        <v>0</v>
      </c>
      <c r="CD54" s="39" t="n">
        <f aca="false">IF(CD$4=0,0,IF(COUNTIFS(実績!$W$6:$W$505,CD$3,実績!$AI$6:$AI$505,"&lt;="&amp;$A54,実績!$AJ$6:$AJ$505,"&gt;"&amp;$A54,実績!$AK$6:$AK$505,"○")&gt;0,1,0))</f>
        <v>0</v>
      </c>
      <c r="CE54" s="39" t="n">
        <f aca="false">IF(CE$4=0,0,IF(COUNTIFS(実績!$W$6:$W$505,CE$3,実績!$AI$6:$AI$505,"&lt;="&amp;$A54,実績!$AJ$6:$AJ$505,"&gt;"&amp;$A54,実績!$AK$6:$AK$505,"○")&gt;0,1,0))</f>
        <v>0</v>
      </c>
      <c r="CF54" s="39" t="n">
        <f aca="false">IF(CF$4=0,0,IF(COUNTIFS(実績!$W$6:$W$505,CF$3,実績!$AI$6:$AI$505,"&lt;="&amp;$A54,実績!$AJ$6:$AJ$505,"&gt;"&amp;$A54,実績!$AK$6:$AK$505,"○")&gt;0,1,0))</f>
        <v>0</v>
      </c>
      <c r="CG54" s="39" t="n">
        <f aca="false">IF(CG$4=0,0,IF(COUNTIFS(実績!$W$6:$W$505,CG$3,実績!$AI$6:$AI$505,"&lt;="&amp;$A54,実績!$AJ$6:$AJ$505,"&gt;"&amp;$A54,実績!$AK$6:$AK$505,"○")&gt;0,1,0))</f>
        <v>0</v>
      </c>
      <c r="CH54" s="39" t="n">
        <f aca="false">IF(CH$4=0,0,IF(COUNTIFS(実績!$W$6:$W$505,CH$3,実績!$AI$6:$AI$505,"&lt;="&amp;$A54,実績!$AJ$6:$AJ$505,"&gt;"&amp;$A54,実績!$AK$6:$AK$505,"○")&gt;0,1,0))</f>
        <v>0</v>
      </c>
      <c r="CI54" s="39" t="n">
        <f aca="false">IF(CI$4=0,0,IF(COUNTIFS(実績!$W$6:$W$505,CI$3,実績!$AI$6:$AI$505,"&lt;="&amp;$A54,実績!$AJ$6:$AJ$505,"&gt;"&amp;$A54,実績!$AK$6:$AK$505,"○")&gt;0,1,0))</f>
        <v>0</v>
      </c>
      <c r="CJ54" s="39" t="n">
        <f aca="false">IF(CJ$4=0,0,IF(COUNTIFS(実績!$W$6:$W$505,CJ$3,実績!$AI$6:$AI$505,"&lt;="&amp;$A54,実績!$AJ$6:$AJ$505,"&gt;"&amp;$A54,実績!$AK$6:$AK$505,"○")&gt;0,1,0))</f>
        <v>0</v>
      </c>
      <c r="CK54" s="39" t="n">
        <f aca="false">IF(CK$4=0,0,IF(COUNTIFS(実績!$W$6:$W$505,CK$3,実績!$AI$6:$AI$505,"&lt;="&amp;$A54,実績!$AJ$6:$AJ$505,"&gt;"&amp;$A54,実績!$AK$6:$AK$505,"○")&gt;0,1,0))</f>
        <v>0</v>
      </c>
      <c r="CL54" s="39" t="n">
        <f aca="false">IF(CL$4=0,0,IF(COUNTIFS(実績!$W$6:$W$505,CL$3,実績!$AI$6:$AI$505,"&lt;="&amp;$A54,実績!$AJ$6:$AJ$505,"&gt;"&amp;$A54,実績!$AK$6:$AK$505,"○")&gt;0,1,0))</f>
        <v>0</v>
      </c>
      <c r="CM54" s="39" t="n">
        <f aca="false">IF(CM$4=0,0,IF(COUNTIFS(実績!$W$6:$W$505,CM$3,実績!$AI$6:$AI$505,"&lt;="&amp;$A54,実績!$AJ$6:$AJ$505,"&gt;"&amp;$A54,実績!$AK$6:$AK$505,"○")&gt;0,1,0))</f>
        <v>0</v>
      </c>
      <c r="CN54" s="39" t="n">
        <f aca="false">IF(CN$4=0,0,IF(COUNTIFS(実績!$W$6:$W$505,CN$3,実績!$AI$6:$AI$505,"&lt;="&amp;$A54,実績!$AJ$6:$AJ$505,"&gt;"&amp;$A54,実績!$AK$6:$AK$505,"○")&gt;0,1,0))</f>
        <v>0</v>
      </c>
      <c r="CO54" s="39" t="n">
        <f aca="false">IF(CO$4=0,0,IF(COUNTIFS(実績!$W$6:$W$505,CO$3,実績!$AI$6:$AI$505,"&lt;="&amp;$A54,実績!$AJ$6:$AJ$505,"&gt;"&amp;$A54,実績!$AK$6:$AK$505,"○")&gt;0,1,0))</f>
        <v>0</v>
      </c>
      <c r="CP54" s="39" t="n">
        <f aca="false">IF(CP$4=0,0,IF(COUNTIFS(実績!$W$6:$W$505,CP$3,実績!$AI$6:$AI$505,"&lt;="&amp;$A54,実績!$AJ$6:$AJ$505,"&gt;"&amp;$A54,実績!$AK$6:$AK$505,"○")&gt;0,1,0))</f>
        <v>0</v>
      </c>
      <c r="CQ54" s="39" t="n">
        <f aca="false">IF(CQ$4=0,0,IF(COUNTIFS(実績!$W$6:$W$505,CQ$3,実績!$AI$6:$AI$505,"&lt;="&amp;$A54,実績!$AJ$6:$AJ$505,"&gt;"&amp;$A54,実績!$AK$6:$AK$505,"○")&gt;0,1,0))</f>
        <v>0</v>
      </c>
      <c r="CR54" s="39" t="n">
        <f aca="false">IF(CR$4=0,0,IF(COUNTIFS(実績!$W$6:$W$505,CR$3,実績!$AI$6:$AI$505,"&lt;="&amp;$A54,実績!$AJ$6:$AJ$505,"&gt;"&amp;$A54,実績!$AK$6:$AK$505,"○")&gt;0,1,0))</f>
        <v>0</v>
      </c>
      <c r="CS54" s="39" t="n">
        <f aca="false">IF(CS$4=0,0,IF(COUNTIFS(実績!$W$6:$W$505,CS$3,実績!$AI$6:$AI$505,"&lt;="&amp;$A54,実績!$AJ$6:$AJ$505,"&gt;"&amp;$A54,実績!$AK$6:$AK$505,"○")&gt;0,1,0))</f>
        <v>0</v>
      </c>
      <c r="CT54" s="39" t="n">
        <f aca="false">IF(CT$4=0,0,IF(COUNTIFS(実績!$W$6:$W$505,CT$3,実績!$AI$6:$AI$505,"&lt;="&amp;$A54,実績!$AJ$6:$AJ$505,"&gt;"&amp;$A54,実績!$AK$6:$AK$505,"○")&gt;0,1,0))</f>
        <v>0</v>
      </c>
      <c r="CU54" s="39" t="n">
        <f aca="false">IF(CU$4=0,0,IF(COUNTIFS(実績!$W$6:$W$505,CU$3,実績!$AI$6:$AI$505,"&lt;="&amp;$A54,実績!$AJ$6:$AJ$505,"&gt;"&amp;$A54,実績!$AK$6:$AK$505,"○")&gt;0,1,0))</f>
        <v>0</v>
      </c>
      <c r="CV54" s="39" t="n">
        <f aca="false">IF(CV$4=0,0,IF(COUNTIFS(実績!$W$6:$W$505,CV$3,実績!$AI$6:$AI$505,"&lt;="&amp;$A54,実績!$AJ$6:$AJ$505,"&gt;"&amp;$A54,実績!$AK$6:$AK$505,"○")&gt;0,1,0))</f>
        <v>0</v>
      </c>
      <c r="CW54" s="39" t="n">
        <f aca="false">IF(CW$4=0,0,IF(COUNTIFS(実績!$W$6:$W$505,CW$3,実績!$AI$6:$AI$505,"&lt;="&amp;$A54,実績!$AJ$6:$AJ$505,"&gt;"&amp;$A54,実績!$AK$6:$AK$505,"○")&gt;0,1,0))</f>
        <v>0</v>
      </c>
      <c r="CX54" s="39" t="n">
        <f aca="false">IF(CX$4=0,0,IF(COUNTIFS(実績!$W$6:$W$505,CX$3,実績!$AI$6:$AI$505,"&lt;="&amp;$A54,実績!$AJ$6:$AJ$505,"&gt;"&amp;$A54,実績!$AK$6:$AK$505,"○")&gt;0,1,0))</f>
        <v>0</v>
      </c>
      <c r="CY54" s="39" t="n">
        <f aca="false">IF(CY$4=0,0,IF(COUNTIFS(実績!$W$6:$W$505,CY$3,実績!$AI$6:$AI$505,"&lt;="&amp;$A54,実績!$AJ$6:$AJ$505,"&gt;"&amp;$A54,実績!$AK$6:$AK$505,"○")&gt;0,1,0))</f>
        <v>0</v>
      </c>
      <c r="CZ54" s="39" t="n">
        <f aca="false">IF(CZ$4=0,0,IF(COUNTIFS(実績!$W$6:$W$505,CZ$3,実績!$AI$6:$AI$505,"&lt;="&amp;$A54,実績!$AJ$6:$AJ$505,"&gt;"&amp;$A54,実績!$AK$6:$AK$505,"○")&gt;0,1,0))</f>
        <v>0</v>
      </c>
      <c r="DA54" s="39" t="n">
        <f aca="false">IF(DA$4=0,0,IF(COUNTIFS(実績!$W$6:$W$505,DA$3,実績!$AI$6:$AI$505,"&lt;="&amp;$A54,実績!$AJ$6:$AJ$505,"&gt;"&amp;$A54,実績!$AK$6:$AK$505,"○")&gt;0,1,0))</f>
        <v>0</v>
      </c>
      <c r="DB54" s="39" t="n">
        <f aca="false">IF(DB$4=0,0,IF(COUNTIFS(実績!$W$6:$W$505,DB$3,実績!$AI$6:$AI$505,"&lt;="&amp;$A54,実績!$AJ$6:$AJ$505,"&gt;"&amp;$A54,実績!$AK$6:$AK$505,"○")&gt;0,1,0))</f>
        <v>0</v>
      </c>
      <c r="DC54" s="39" t="n">
        <f aca="false">IF(DC$4=0,0,IF(COUNTIFS(実績!$W$6:$W$505,DC$3,実績!$AI$6:$AI$505,"&lt;="&amp;$A54,実績!$AJ$6:$AJ$505,"&gt;"&amp;$A54,実績!$AK$6:$AK$505,"○")&gt;0,1,0))</f>
        <v>0</v>
      </c>
      <c r="DD54" s="39" t="n">
        <f aca="false">IF(DD$4=0,0,IF(COUNTIFS(実績!$W$6:$W$505,DD$3,実績!$AI$6:$AI$505,"&lt;="&amp;$A54,実績!$AJ$6:$AJ$505,"&gt;"&amp;$A54,実績!$AK$6:$AK$505,"○")&gt;0,1,0))</f>
        <v>0</v>
      </c>
      <c r="DE54" s="39" t="n">
        <f aca="false">IF(DE$4=0,0,IF(COUNTIFS(実績!$W$6:$W$505,DE$3,実績!$AI$6:$AI$505,"&lt;="&amp;$A54,実績!$AJ$6:$AJ$505,"&gt;"&amp;$A54,実績!$AK$6:$AK$505,"○")&gt;0,1,0))</f>
        <v>0</v>
      </c>
      <c r="DF54" s="39" t="n">
        <f aca="false">IF(DF$4=0,0,IF(COUNTIFS(実績!$W$6:$W$505,DF$3,実績!$AI$6:$AI$505,"&lt;="&amp;$A54,実績!$AJ$6:$AJ$505,"&gt;"&amp;$A54,実績!$AK$6:$AK$505,"○")&gt;0,1,0))</f>
        <v>0</v>
      </c>
      <c r="DG54" s="39" t="n">
        <f aca="false">IF(DG$4=0,0,IF(COUNTIFS(実績!$W$6:$W$505,DG$3,実績!$AI$6:$AI$505,"&lt;="&amp;$A54,実績!$AJ$6:$AJ$505,"&gt;"&amp;$A54,実績!$AK$6:$AK$505,"○")&gt;0,1,0))</f>
        <v>0</v>
      </c>
      <c r="DH54" s="39" t="n">
        <f aca="false">IF(DH$4=0,0,IF(COUNTIFS(実績!$W$6:$W$505,DH$3,実績!$AI$6:$AI$505,"&lt;="&amp;$A54,実績!$AJ$6:$AJ$505,"&gt;"&amp;$A54,実績!$AK$6:$AK$505,"○")&gt;0,1,0))</f>
        <v>0</v>
      </c>
      <c r="DI54" s="39" t="n">
        <f aca="false">IF(DI$4=0,0,IF(COUNTIFS(実績!$W$6:$W$505,DI$3,実績!$AI$6:$AI$505,"&lt;="&amp;$A54,実績!$AJ$6:$AJ$505,"&gt;"&amp;$A54,実績!$AK$6:$AK$505,"○")&gt;0,1,0))</f>
        <v>0</v>
      </c>
      <c r="DJ54" s="39" t="n">
        <f aca="false">IF(DJ$4=0,0,IF(COUNTIFS(実績!$W$6:$W$505,DJ$3,実績!$AI$6:$AI$505,"&lt;="&amp;$A54,実績!$AJ$6:$AJ$505,"&gt;"&amp;$A54,実績!$AK$6:$AK$505,"○")&gt;0,1,0))</f>
        <v>0</v>
      </c>
      <c r="DK54" s="39" t="n">
        <f aca="false">IF(DK$4=0,0,IF(COUNTIFS(実績!$W$6:$W$505,DK$3,実績!$AI$6:$AI$505,"&lt;="&amp;$A54,実績!$AJ$6:$AJ$505,"&gt;"&amp;$A54,実績!$AK$6:$AK$505,"○")&gt;0,1,0))</f>
        <v>0</v>
      </c>
      <c r="DL54" s="39" t="n">
        <f aca="false">IF(DL$4=0,0,IF(COUNTIFS(実績!$W$6:$W$505,DL$3,実績!$AI$6:$AI$505,"&lt;="&amp;$A54,実績!$AJ$6:$AJ$505,"&gt;"&amp;$A54,実績!$AK$6:$AK$505,"○")&gt;0,1,0))</f>
        <v>0</v>
      </c>
      <c r="DM54" s="39" t="n">
        <f aca="false">IF(DM$4=0,0,IF(COUNTIFS(実績!$W$6:$W$505,DM$3,実績!$AI$6:$AI$505,"&lt;="&amp;$A54,実績!$AJ$6:$AJ$505,"&gt;"&amp;$A54,実績!$AK$6:$AK$505,"○")&gt;0,1,0))</f>
        <v>0</v>
      </c>
      <c r="DN54" s="39" t="n">
        <f aca="false">IF(DN$4=0,0,IF(COUNTIFS(実績!$W$6:$W$505,DN$3,実績!$AI$6:$AI$505,"&lt;="&amp;$A54,実績!$AJ$6:$AJ$505,"&gt;"&amp;$A54,実績!$AK$6:$AK$505,"○")&gt;0,1,0))</f>
        <v>0</v>
      </c>
      <c r="DO54" s="39" t="n">
        <f aca="false">IF(DO$4=0,0,IF(COUNTIFS(実績!$W$6:$W$505,DO$3,実績!$AI$6:$AI$505,"&lt;="&amp;$A54,実績!$AJ$6:$AJ$505,"&gt;"&amp;$A54,実績!$AK$6:$AK$505,"○")&gt;0,1,0))</f>
        <v>0</v>
      </c>
      <c r="DP54" s="39" t="n">
        <f aca="false">IF(DP$4=0,0,IF(COUNTIFS(実績!$W$6:$W$505,DP$3,実績!$AI$6:$AI$505,"&lt;="&amp;$A54,実績!$AJ$6:$AJ$505,"&gt;"&amp;$A54,実績!$AK$6:$AK$505,"○")&gt;0,1,0))</f>
        <v>0</v>
      </c>
      <c r="DQ54" s="39" t="n">
        <f aca="false">IF(DQ$4=0,0,IF(COUNTIFS(実績!$W$6:$W$505,DQ$3,実績!$AI$6:$AI$505,"&lt;="&amp;$A54,実績!$AJ$6:$AJ$505,"&gt;"&amp;$A54,実績!$AK$6:$AK$505,"○")&gt;0,1,0))</f>
        <v>0</v>
      </c>
      <c r="DR54" s="39" t="n">
        <f aca="false">IF(DR$4=0,0,IF(COUNTIFS(実績!$W$6:$W$505,DR$3,実績!$AI$6:$AI$505,"&lt;="&amp;$A54,実績!$AJ$6:$AJ$505,"&gt;"&amp;$A54,実績!$AK$6:$AK$505,"○")&gt;0,1,0))</f>
        <v>0</v>
      </c>
      <c r="DS54" s="39" t="n">
        <f aca="false">SUM(C54:DR54)</f>
        <v>0</v>
      </c>
      <c r="DT54" s="39" t="n">
        <f aca="false">SUMPRODUCT((実績!$C$6:$C$505="○")*ISNUMBER(実績!$AM$6:$AM$505)*(実績!$AM$6:$AM$505&lt;=$A54)*(実績!$AN$6:$AN$505&gt;$A54))</f>
        <v>0</v>
      </c>
      <c r="DU54" s="39" t="n">
        <f aca="false">SUMIF($C$2:$DR$2,"製鉄曳船",C54:DR54)</f>
        <v>0</v>
      </c>
      <c r="DV54" s="39" t="n">
        <f aca="false">SUMIF($C$2:$DR$2,"西日本海運",C54:DR54)</f>
        <v>0</v>
      </c>
    </row>
    <row r="55" customFormat="false" ht="15" hidden="false" customHeight="false" outlineLevel="0" collapsed="false">
      <c r="A55" s="0" t="n">
        <v>245</v>
      </c>
      <c r="B55" s="38" t="n">
        <f aca="false">A55/1440</f>
        <v>0.170138888888889</v>
      </c>
      <c r="C55" s="39" t="n">
        <f aca="false">IF(C$4=0,0,IF(COUNTIFS(実績!$W$6:$W$505,C$3,実績!$AI$6:$AI$505,"&lt;="&amp;$A55,実績!$AJ$6:$AJ$505,"&gt;"&amp;$A55,実績!$AK$6:$AK$505,"○")&gt;0,1,0))</f>
        <v>0</v>
      </c>
      <c r="D55" s="39" t="n">
        <f aca="false">IF(D$4=0,0,IF(COUNTIFS(実績!$W$6:$W$505,D$3,実績!$AI$6:$AI$505,"&lt;="&amp;$A55,実績!$AJ$6:$AJ$505,"&gt;"&amp;$A55,実績!$AK$6:$AK$505,"○")&gt;0,1,0))</f>
        <v>0</v>
      </c>
      <c r="E55" s="39" t="n">
        <f aca="false">IF(E$4=0,0,IF(COUNTIFS(実績!$W$6:$W$505,E$3,実績!$AI$6:$AI$505,"&lt;="&amp;$A55,実績!$AJ$6:$AJ$505,"&gt;"&amp;$A55,実績!$AK$6:$AK$505,"○")&gt;0,1,0))</f>
        <v>0</v>
      </c>
      <c r="F55" s="39" t="n">
        <f aca="false">IF(F$4=0,0,IF(COUNTIFS(実績!$W$6:$W$505,F$3,実績!$AI$6:$AI$505,"&lt;="&amp;$A55,実績!$AJ$6:$AJ$505,"&gt;"&amp;$A55,実績!$AK$6:$AK$505,"○")&gt;0,1,0))</f>
        <v>0</v>
      </c>
      <c r="G55" s="39" t="n">
        <f aca="false">IF(G$4=0,0,IF(COUNTIFS(実績!$W$6:$W$505,G$3,実績!$AI$6:$AI$505,"&lt;="&amp;$A55,実績!$AJ$6:$AJ$505,"&gt;"&amp;$A55,実績!$AK$6:$AK$505,"○")&gt;0,1,0))</f>
        <v>0</v>
      </c>
      <c r="H55" s="39" t="n">
        <f aca="false">IF(H$4=0,0,IF(COUNTIFS(実績!$W$6:$W$505,H$3,実績!$AI$6:$AI$505,"&lt;="&amp;$A55,実績!$AJ$6:$AJ$505,"&gt;"&amp;$A55,実績!$AK$6:$AK$505,"○")&gt;0,1,0))</f>
        <v>0</v>
      </c>
      <c r="I55" s="39" t="n">
        <f aca="false">IF(I$4=0,0,IF(COUNTIFS(実績!$W$6:$W$505,I$3,実績!$AI$6:$AI$505,"&lt;="&amp;$A55,実績!$AJ$6:$AJ$505,"&gt;"&amp;$A55,実績!$AK$6:$AK$505,"○")&gt;0,1,0))</f>
        <v>0</v>
      </c>
      <c r="J55" s="39" t="n">
        <f aca="false">IF(J$4=0,0,IF(COUNTIFS(実績!$W$6:$W$505,J$3,実績!$AI$6:$AI$505,"&lt;="&amp;$A55,実績!$AJ$6:$AJ$505,"&gt;"&amp;$A55,実績!$AK$6:$AK$505,"○")&gt;0,1,0))</f>
        <v>0</v>
      </c>
      <c r="K55" s="39" t="n">
        <f aca="false">IF(K$4=0,0,IF(COUNTIFS(実績!$W$6:$W$505,K$3,実績!$AI$6:$AI$505,"&lt;="&amp;$A55,実績!$AJ$6:$AJ$505,"&gt;"&amp;$A55,実績!$AK$6:$AK$505,"○")&gt;0,1,0))</f>
        <v>0</v>
      </c>
      <c r="L55" s="39" t="n">
        <f aca="false">IF(L$4=0,0,IF(COUNTIFS(実績!$W$6:$W$505,L$3,実績!$AI$6:$AI$505,"&lt;="&amp;$A55,実績!$AJ$6:$AJ$505,"&gt;"&amp;$A55,実績!$AK$6:$AK$505,"○")&gt;0,1,0))</f>
        <v>0</v>
      </c>
      <c r="M55" s="39" t="n">
        <f aca="false">IF(M$4=0,0,IF(COUNTIFS(実績!$W$6:$W$505,M$3,実績!$AI$6:$AI$505,"&lt;="&amp;$A55,実績!$AJ$6:$AJ$505,"&gt;"&amp;$A55,実績!$AK$6:$AK$505,"○")&gt;0,1,0))</f>
        <v>0</v>
      </c>
      <c r="N55" s="39" t="n">
        <f aca="false">IF(N$4=0,0,IF(COUNTIFS(実績!$W$6:$W$505,N$3,実績!$AI$6:$AI$505,"&lt;="&amp;$A55,実績!$AJ$6:$AJ$505,"&gt;"&amp;$A55,実績!$AK$6:$AK$505,"○")&gt;0,1,0))</f>
        <v>0</v>
      </c>
      <c r="O55" s="39" t="n">
        <f aca="false">IF(O$4=0,0,IF(COUNTIFS(実績!$W$6:$W$505,O$3,実績!$AI$6:$AI$505,"&lt;="&amp;$A55,実績!$AJ$6:$AJ$505,"&gt;"&amp;$A55,実績!$AK$6:$AK$505,"○")&gt;0,1,0))</f>
        <v>0</v>
      </c>
      <c r="P55" s="39" t="n">
        <f aca="false">IF(P$4=0,0,IF(COUNTIFS(実績!$W$6:$W$505,P$3,実績!$AI$6:$AI$505,"&lt;="&amp;$A55,実績!$AJ$6:$AJ$505,"&gt;"&amp;$A55,実績!$AK$6:$AK$505,"○")&gt;0,1,0))</f>
        <v>0</v>
      </c>
      <c r="Q55" s="39" t="n">
        <f aca="false">IF(Q$4=0,0,IF(COUNTIFS(実績!$W$6:$W$505,Q$3,実績!$AI$6:$AI$505,"&lt;="&amp;$A55,実績!$AJ$6:$AJ$505,"&gt;"&amp;$A55,実績!$AK$6:$AK$505,"○")&gt;0,1,0))</f>
        <v>0</v>
      </c>
      <c r="R55" s="39" t="n">
        <f aca="false">IF(R$4=0,0,IF(COUNTIFS(実績!$W$6:$W$505,R$3,実績!$AI$6:$AI$505,"&lt;="&amp;$A55,実績!$AJ$6:$AJ$505,"&gt;"&amp;$A55,実績!$AK$6:$AK$505,"○")&gt;0,1,0))</f>
        <v>0</v>
      </c>
      <c r="S55" s="39" t="n">
        <f aca="false">IF(S$4=0,0,IF(COUNTIFS(実績!$W$6:$W$505,S$3,実績!$AI$6:$AI$505,"&lt;="&amp;$A55,実績!$AJ$6:$AJ$505,"&gt;"&amp;$A55,実績!$AK$6:$AK$505,"○")&gt;0,1,0))</f>
        <v>0</v>
      </c>
      <c r="T55" s="39" t="n">
        <f aca="false">IF(T$4=0,0,IF(COUNTIFS(実績!$W$6:$W$505,T$3,実績!$AI$6:$AI$505,"&lt;="&amp;$A55,実績!$AJ$6:$AJ$505,"&gt;"&amp;$A55,実績!$AK$6:$AK$505,"○")&gt;0,1,0))</f>
        <v>0</v>
      </c>
      <c r="U55" s="39" t="n">
        <f aca="false">IF(U$4=0,0,IF(COUNTIFS(実績!$W$6:$W$505,U$3,実績!$AI$6:$AI$505,"&lt;="&amp;$A55,実績!$AJ$6:$AJ$505,"&gt;"&amp;$A55,実績!$AK$6:$AK$505,"○")&gt;0,1,0))</f>
        <v>0</v>
      </c>
      <c r="V55" s="39" t="n">
        <f aca="false">IF(V$4=0,0,IF(COUNTIFS(実績!$W$6:$W$505,V$3,実績!$AI$6:$AI$505,"&lt;="&amp;$A55,実績!$AJ$6:$AJ$505,"&gt;"&amp;$A55,実績!$AK$6:$AK$505,"○")&gt;0,1,0))</f>
        <v>0</v>
      </c>
      <c r="W55" s="39" t="n">
        <f aca="false">IF(W$4=0,0,IF(COUNTIFS(実績!$W$6:$W$505,W$3,実績!$AI$6:$AI$505,"&lt;="&amp;$A55,実績!$AJ$6:$AJ$505,"&gt;"&amp;$A55,実績!$AK$6:$AK$505,"○")&gt;0,1,0))</f>
        <v>0</v>
      </c>
      <c r="X55" s="39" t="n">
        <f aca="false">IF(X$4=0,0,IF(COUNTIFS(実績!$W$6:$W$505,X$3,実績!$AI$6:$AI$505,"&lt;="&amp;$A55,実績!$AJ$6:$AJ$505,"&gt;"&amp;$A55,実績!$AK$6:$AK$505,"○")&gt;0,1,0))</f>
        <v>0</v>
      </c>
      <c r="Y55" s="39" t="n">
        <f aca="false">IF(Y$4=0,0,IF(COUNTIFS(実績!$W$6:$W$505,Y$3,実績!$AI$6:$AI$505,"&lt;="&amp;$A55,実績!$AJ$6:$AJ$505,"&gt;"&amp;$A55,実績!$AK$6:$AK$505,"○")&gt;0,1,0))</f>
        <v>0</v>
      </c>
      <c r="Z55" s="39" t="n">
        <f aca="false">IF(Z$4=0,0,IF(COUNTIFS(実績!$W$6:$W$505,Z$3,実績!$AI$6:$AI$505,"&lt;="&amp;$A55,実績!$AJ$6:$AJ$505,"&gt;"&amp;$A55,実績!$AK$6:$AK$505,"○")&gt;0,1,0))</f>
        <v>0</v>
      </c>
      <c r="AA55" s="39" t="n">
        <f aca="false">IF(AA$4=0,0,IF(COUNTIFS(実績!$W$6:$W$505,AA$3,実績!$AI$6:$AI$505,"&lt;="&amp;$A55,実績!$AJ$6:$AJ$505,"&gt;"&amp;$A55,実績!$AK$6:$AK$505,"○")&gt;0,1,0))</f>
        <v>0</v>
      </c>
      <c r="AB55" s="39" t="n">
        <f aca="false">IF(AB$4=0,0,IF(COUNTIFS(実績!$W$6:$W$505,AB$3,実績!$AI$6:$AI$505,"&lt;="&amp;$A55,実績!$AJ$6:$AJ$505,"&gt;"&amp;$A55,実績!$AK$6:$AK$505,"○")&gt;0,1,0))</f>
        <v>0</v>
      </c>
      <c r="AC55" s="39" t="n">
        <f aca="false">IF(AC$4=0,0,IF(COUNTIFS(実績!$W$6:$W$505,AC$3,実績!$AI$6:$AI$505,"&lt;="&amp;$A55,実績!$AJ$6:$AJ$505,"&gt;"&amp;$A55,実績!$AK$6:$AK$505,"○")&gt;0,1,0))</f>
        <v>0</v>
      </c>
      <c r="AD55" s="39" t="n">
        <f aca="false">IF(AD$4=0,0,IF(COUNTIFS(実績!$W$6:$W$505,AD$3,実績!$AI$6:$AI$505,"&lt;="&amp;$A55,実績!$AJ$6:$AJ$505,"&gt;"&amp;$A55,実績!$AK$6:$AK$505,"○")&gt;0,1,0))</f>
        <v>0</v>
      </c>
      <c r="AE55" s="39" t="n">
        <f aca="false">IF(AE$4=0,0,IF(COUNTIFS(実績!$W$6:$W$505,AE$3,実績!$AI$6:$AI$505,"&lt;="&amp;$A55,実績!$AJ$6:$AJ$505,"&gt;"&amp;$A55,実績!$AK$6:$AK$505,"○")&gt;0,1,0))</f>
        <v>0</v>
      </c>
      <c r="AF55" s="39" t="n">
        <f aca="false">IF(AF$4=0,0,IF(COUNTIFS(実績!$W$6:$W$505,AF$3,実績!$AI$6:$AI$505,"&lt;="&amp;$A55,実績!$AJ$6:$AJ$505,"&gt;"&amp;$A55,実績!$AK$6:$AK$505,"○")&gt;0,1,0))</f>
        <v>0</v>
      </c>
      <c r="AG55" s="39" t="n">
        <f aca="false">IF(AG$4=0,0,IF(COUNTIFS(実績!$W$6:$W$505,AG$3,実績!$AI$6:$AI$505,"&lt;="&amp;$A55,実績!$AJ$6:$AJ$505,"&gt;"&amp;$A55,実績!$AK$6:$AK$505,"○")&gt;0,1,0))</f>
        <v>0</v>
      </c>
      <c r="AH55" s="39" t="n">
        <f aca="false">IF(AH$4=0,0,IF(COUNTIFS(実績!$W$6:$W$505,AH$3,実績!$AI$6:$AI$505,"&lt;="&amp;$A55,実績!$AJ$6:$AJ$505,"&gt;"&amp;$A55,実績!$AK$6:$AK$505,"○")&gt;0,1,0))</f>
        <v>0</v>
      </c>
      <c r="AI55" s="39" t="n">
        <f aca="false">IF(AI$4=0,0,IF(COUNTIFS(実績!$W$6:$W$505,AI$3,実績!$AI$6:$AI$505,"&lt;="&amp;$A55,実績!$AJ$6:$AJ$505,"&gt;"&amp;$A55,実績!$AK$6:$AK$505,"○")&gt;0,1,0))</f>
        <v>0</v>
      </c>
      <c r="AJ55" s="39" t="n">
        <f aca="false">IF(AJ$4=0,0,IF(COUNTIFS(実績!$W$6:$W$505,AJ$3,実績!$AI$6:$AI$505,"&lt;="&amp;$A55,実績!$AJ$6:$AJ$505,"&gt;"&amp;$A55,実績!$AK$6:$AK$505,"○")&gt;0,1,0))</f>
        <v>0</v>
      </c>
      <c r="AK55" s="39" t="n">
        <f aca="false">IF(AK$4=0,0,IF(COUNTIFS(実績!$W$6:$W$505,AK$3,実績!$AI$6:$AI$505,"&lt;="&amp;$A55,実績!$AJ$6:$AJ$505,"&gt;"&amp;$A55,実績!$AK$6:$AK$505,"○")&gt;0,1,0))</f>
        <v>0</v>
      </c>
      <c r="AL55" s="39" t="n">
        <f aca="false">IF(AL$4=0,0,IF(COUNTIFS(実績!$W$6:$W$505,AL$3,実績!$AI$6:$AI$505,"&lt;="&amp;$A55,実績!$AJ$6:$AJ$505,"&gt;"&amp;$A55,実績!$AK$6:$AK$505,"○")&gt;0,1,0))</f>
        <v>0</v>
      </c>
      <c r="AM55" s="39" t="n">
        <f aca="false">IF(AM$4=0,0,IF(COUNTIFS(実績!$W$6:$W$505,AM$3,実績!$AI$6:$AI$505,"&lt;="&amp;$A55,実績!$AJ$6:$AJ$505,"&gt;"&amp;$A55,実績!$AK$6:$AK$505,"○")&gt;0,1,0))</f>
        <v>0</v>
      </c>
      <c r="AN55" s="39" t="n">
        <f aca="false">IF(AN$4=0,0,IF(COUNTIFS(実績!$W$6:$W$505,AN$3,実績!$AI$6:$AI$505,"&lt;="&amp;$A55,実績!$AJ$6:$AJ$505,"&gt;"&amp;$A55,実績!$AK$6:$AK$505,"○")&gt;0,1,0))</f>
        <v>0</v>
      </c>
      <c r="AO55" s="39" t="n">
        <f aca="false">IF(AO$4=0,0,IF(COUNTIFS(実績!$W$6:$W$505,AO$3,実績!$AI$6:$AI$505,"&lt;="&amp;$A55,実績!$AJ$6:$AJ$505,"&gt;"&amp;$A55,実績!$AK$6:$AK$505,"○")&gt;0,1,0))</f>
        <v>0</v>
      </c>
      <c r="AP55" s="39" t="n">
        <f aca="false">IF(AP$4=0,0,IF(COUNTIFS(実績!$W$6:$W$505,AP$3,実績!$AI$6:$AI$505,"&lt;="&amp;$A55,実績!$AJ$6:$AJ$505,"&gt;"&amp;$A55,実績!$AK$6:$AK$505,"○")&gt;0,1,0))</f>
        <v>0</v>
      </c>
      <c r="AQ55" s="39" t="n">
        <f aca="false">IF(AQ$4=0,0,IF(COUNTIFS(実績!$W$6:$W$505,AQ$3,実績!$AI$6:$AI$505,"&lt;="&amp;$A55,実績!$AJ$6:$AJ$505,"&gt;"&amp;$A55,実績!$AK$6:$AK$505,"○")&gt;0,1,0))</f>
        <v>0</v>
      </c>
      <c r="AR55" s="39" t="n">
        <f aca="false">IF(AR$4=0,0,IF(COUNTIFS(実績!$W$6:$W$505,AR$3,実績!$AI$6:$AI$505,"&lt;="&amp;$A55,実績!$AJ$6:$AJ$505,"&gt;"&amp;$A55,実績!$AK$6:$AK$505,"○")&gt;0,1,0))</f>
        <v>0</v>
      </c>
      <c r="AS55" s="39" t="n">
        <f aca="false">IF(AS$4=0,0,IF(COUNTIFS(実績!$W$6:$W$505,AS$3,実績!$AI$6:$AI$505,"&lt;="&amp;$A55,実績!$AJ$6:$AJ$505,"&gt;"&amp;$A55,実績!$AK$6:$AK$505,"○")&gt;0,1,0))</f>
        <v>0</v>
      </c>
      <c r="AT55" s="39" t="n">
        <f aca="false">IF(AT$4=0,0,IF(COUNTIFS(実績!$W$6:$W$505,AT$3,実績!$AI$6:$AI$505,"&lt;="&amp;$A55,実績!$AJ$6:$AJ$505,"&gt;"&amp;$A55,実績!$AK$6:$AK$505,"○")&gt;0,1,0))</f>
        <v>0</v>
      </c>
      <c r="AU55" s="39" t="n">
        <f aca="false">IF(AU$4=0,0,IF(COUNTIFS(実績!$W$6:$W$505,AU$3,実績!$AI$6:$AI$505,"&lt;="&amp;$A55,実績!$AJ$6:$AJ$505,"&gt;"&amp;$A55,実績!$AK$6:$AK$505,"○")&gt;0,1,0))</f>
        <v>0</v>
      </c>
      <c r="AV55" s="39" t="n">
        <f aca="false">IF(AV$4=0,0,IF(COUNTIFS(実績!$W$6:$W$505,AV$3,実績!$AI$6:$AI$505,"&lt;="&amp;$A55,実績!$AJ$6:$AJ$505,"&gt;"&amp;$A55,実績!$AK$6:$AK$505,"○")&gt;0,1,0))</f>
        <v>0</v>
      </c>
      <c r="AW55" s="39" t="n">
        <f aca="false">IF(AW$4=0,0,IF(COUNTIFS(実績!$W$6:$W$505,AW$3,実績!$AI$6:$AI$505,"&lt;="&amp;$A55,実績!$AJ$6:$AJ$505,"&gt;"&amp;$A55,実績!$AK$6:$AK$505,"○")&gt;0,1,0))</f>
        <v>0</v>
      </c>
      <c r="AX55" s="39" t="n">
        <f aca="false">IF(AX$4=0,0,IF(COUNTIFS(実績!$W$6:$W$505,AX$3,実績!$AI$6:$AI$505,"&lt;="&amp;$A55,実績!$AJ$6:$AJ$505,"&gt;"&amp;$A55,実績!$AK$6:$AK$505,"○")&gt;0,1,0))</f>
        <v>0</v>
      </c>
      <c r="AY55" s="39" t="n">
        <f aca="false">IF(AY$4=0,0,IF(COUNTIFS(実績!$W$6:$W$505,AY$3,実績!$AI$6:$AI$505,"&lt;="&amp;$A55,実績!$AJ$6:$AJ$505,"&gt;"&amp;$A55,実績!$AK$6:$AK$505,"○")&gt;0,1,0))</f>
        <v>0</v>
      </c>
      <c r="AZ55" s="39" t="n">
        <f aca="false">IF(AZ$4=0,0,IF(COUNTIFS(実績!$W$6:$W$505,AZ$3,実績!$AI$6:$AI$505,"&lt;="&amp;$A55,実績!$AJ$6:$AJ$505,"&gt;"&amp;$A55,実績!$AK$6:$AK$505,"○")&gt;0,1,0))</f>
        <v>0</v>
      </c>
      <c r="BA55" s="39" t="n">
        <f aca="false">IF(BA$4=0,0,IF(COUNTIFS(実績!$W$6:$W$505,BA$3,実績!$AI$6:$AI$505,"&lt;="&amp;$A55,実績!$AJ$6:$AJ$505,"&gt;"&amp;$A55,実績!$AK$6:$AK$505,"○")&gt;0,1,0))</f>
        <v>0</v>
      </c>
      <c r="BB55" s="39" t="n">
        <f aca="false">IF(BB$4=0,0,IF(COUNTIFS(実績!$W$6:$W$505,BB$3,実績!$AI$6:$AI$505,"&lt;="&amp;$A55,実績!$AJ$6:$AJ$505,"&gt;"&amp;$A55,実績!$AK$6:$AK$505,"○")&gt;0,1,0))</f>
        <v>0</v>
      </c>
      <c r="BC55" s="39" t="n">
        <f aca="false">IF(BC$4=0,0,IF(COUNTIFS(実績!$W$6:$W$505,BC$3,実績!$AI$6:$AI$505,"&lt;="&amp;$A55,実績!$AJ$6:$AJ$505,"&gt;"&amp;$A55,実績!$AK$6:$AK$505,"○")&gt;0,1,0))</f>
        <v>0</v>
      </c>
      <c r="BD55" s="39" t="n">
        <f aca="false">IF(BD$4=0,0,IF(COUNTIFS(実績!$W$6:$W$505,BD$3,実績!$AI$6:$AI$505,"&lt;="&amp;$A55,実績!$AJ$6:$AJ$505,"&gt;"&amp;$A55,実績!$AK$6:$AK$505,"○")&gt;0,1,0))</f>
        <v>0</v>
      </c>
      <c r="BE55" s="39" t="n">
        <f aca="false">IF(BE$4=0,0,IF(COUNTIFS(実績!$W$6:$W$505,BE$3,実績!$AI$6:$AI$505,"&lt;="&amp;$A55,実績!$AJ$6:$AJ$505,"&gt;"&amp;$A55,実績!$AK$6:$AK$505,"○")&gt;0,1,0))</f>
        <v>0</v>
      </c>
      <c r="BF55" s="39" t="n">
        <f aca="false">IF(BF$4=0,0,IF(COUNTIFS(実績!$W$6:$W$505,BF$3,実績!$AI$6:$AI$505,"&lt;="&amp;$A55,実績!$AJ$6:$AJ$505,"&gt;"&amp;$A55,実績!$AK$6:$AK$505,"○")&gt;0,1,0))</f>
        <v>0</v>
      </c>
      <c r="BG55" s="39" t="n">
        <f aca="false">IF(BG$4=0,0,IF(COUNTIFS(実績!$W$6:$W$505,BG$3,実績!$AI$6:$AI$505,"&lt;="&amp;$A55,実績!$AJ$6:$AJ$505,"&gt;"&amp;$A55,実績!$AK$6:$AK$505,"○")&gt;0,1,0))</f>
        <v>0</v>
      </c>
      <c r="BH55" s="39" t="n">
        <f aca="false">IF(BH$4=0,0,IF(COUNTIFS(実績!$W$6:$W$505,BH$3,実績!$AI$6:$AI$505,"&lt;="&amp;$A55,実績!$AJ$6:$AJ$505,"&gt;"&amp;$A55,実績!$AK$6:$AK$505,"○")&gt;0,1,0))</f>
        <v>0</v>
      </c>
      <c r="BI55" s="39" t="n">
        <f aca="false">IF(BI$4=0,0,IF(COUNTIFS(実績!$W$6:$W$505,BI$3,実績!$AI$6:$AI$505,"&lt;="&amp;$A55,実績!$AJ$6:$AJ$505,"&gt;"&amp;$A55,実績!$AK$6:$AK$505,"○")&gt;0,1,0))</f>
        <v>0</v>
      </c>
      <c r="BJ55" s="39" t="n">
        <f aca="false">IF(BJ$4=0,0,IF(COUNTIFS(実績!$W$6:$W$505,BJ$3,実績!$AI$6:$AI$505,"&lt;="&amp;$A55,実績!$AJ$6:$AJ$505,"&gt;"&amp;$A55,実績!$AK$6:$AK$505,"○")&gt;0,1,0))</f>
        <v>0</v>
      </c>
      <c r="BK55" s="39" t="n">
        <f aca="false">IF(BK$4=0,0,IF(COUNTIFS(実績!$W$6:$W$505,BK$3,実績!$AI$6:$AI$505,"&lt;="&amp;$A55,実績!$AJ$6:$AJ$505,"&gt;"&amp;$A55,実績!$AK$6:$AK$505,"○")&gt;0,1,0))</f>
        <v>0</v>
      </c>
      <c r="BL55" s="39" t="n">
        <f aca="false">IF(BL$4=0,0,IF(COUNTIFS(実績!$W$6:$W$505,BL$3,実績!$AI$6:$AI$505,"&lt;="&amp;$A55,実績!$AJ$6:$AJ$505,"&gt;"&amp;$A55,実績!$AK$6:$AK$505,"○")&gt;0,1,0))</f>
        <v>0</v>
      </c>
      <c r="BM55" s="39" t="n">
        <f aca="false">IF(BM$4=0,0,IF(COUNTIFS(実績!$W$6:$W$505,BM$3,実績!$AI$6:$AI$505,"&lt;="&amp;$A55,実績!$AJ$6:$AJ$505,"&gt;"&amp;$A55,実績!$AK$6:$AK$505,"○")&gt;0,1,0))</f>
        <v>0</v>
      </c>
      <c r="BN55" s="39" t="n">
        <f aca="false">IF(BN$4=0,0,IF(COUNTIFS(実績!$W$6:$W$505,BN$3,実績!$AI$6:$AI$505,"&lt;="&amp;$A55,実績!$AJ$6:$AJ$505,"&gt;"&amp;$A55,実績!$AK$6:$AK$505,"○")&gt;0,1,0))</f>
        <v>0</v>
      </c>
      <c r="BO55" s="39" t="n">
        <f aca="false">IF(BO$4=0,0,IF(COUNTIFS(実績!$W$6:$W$505,BO$3,実績!$AI$6:$AI$505,"&lt;="&amp;$A55,実績!$AJ$6:$AJ$505,"&gt;"&amp;$A55,実績!$AK$6:$AK$505,"○")&gt;0,1,0))</f>
        <v>0</v>
      </c>
      <c r="BP55" s="39" t="n">
        <f aca="false">IF(BP$4=0,0,IF(COUNTIFS(実績!$W$6:$W$505,BP$3,実績!$AI$6:$AI$505,"&lt;="&amp;$A55,実績!$AJ$6:$AJ$505,"&gt;"&amp;$A55,実績!$AK$6:$AK$505,"○")&gt;0,1,0))</f>
        <v>0</v>
      </c>
      <c r="BQ55" s="39" t="n">
        <f aca="false">IF(BQ$4=0,0,IF(COUNTIFS(実績!$W$6:$W$505,BQ$3,実績!$AI$6:$AI$505,"&lt;="&amp;$A55,実績!$AJ$6:$AJ$505,"&gt;"&amp;$A55,実績!$AK$6:$AK$505,"○")&gt;0,1,0))</f>
        <v>0</v>
      </c>
      <c r="BR55" s="39" t="n">
        <f aca="false">IF(BR$4=0,0,IF(COUNTIFS(実績!$W$6:$W$505,BR$3,実績!$AI$6:$AI$505,"&lt;="&amp;$A55,実績!$AJ$6:$AJ$505,"&gt;"&amp;$A55,実績!$AK$6:$AK$505,"○")&gt;0,1,0))</f>
        <v>0</v>
      </c>
      <c r="BS55" s="39" t="n">
        <f aca="false">IF(BS$4=0,0,IF(COUNTIFS(実績!$W$6:$W$505,BS$3,実績!$AI$6:$AI$505,"&lt;="&amp;$A55,実績!$AJ$6:$AJ$505,"&gt;"&amp;$A55,実績!$AK$6:$AK$505,"○")&gt;0,1,0))</f>
        <v>0</v>
      </c>
      <c r="BT55" s="39" t="n">
        <f aca="false">IF(BT$4=0,0,IF(COUNTIFS(実績!$W$6:$W$505,BT$3,実績!$AI$6:$AI$505,"&lt;="&amp;$A55,実績!$AJ$6:$AJ$505,"&gt;"&amp;$A55,実績!$AK$6:$AK$505,"○")&gt;0,1,0))</f>
        <v>0</v>
      </c>
      <c r="BU55" s="39" t="n">
        <f aca="false">IF(BU$4=0,0,IF(COUNTIFS(実績!$W$6:$W$505,BU$3,実績!$AI$6:$AI$505,"&lt;="&amp;$A55,実績!$AJ$6:$AJ$505,"&gt;"&amp;$A55,実績!$AK$6:$AK$505,"○")&gt;0,1,0))</f>
        <v>0</v>
      </c>
      <c r="BV55" s="39" t="n">
        <f aca="false">IF(BV$4=0,0,IF(COUNTIFS(実績!$W$6:$W$505,BV$3,実績!$AI$6:$AI$505,"&lt;="&amp;$A55,実績!$AJ$6:$AJ$505,"&gt;"&amp;$A55,実績!$AK$6:$AK$505,"○")&gt;0,1,0))</f>
        <v>0</v>
      </c>
      <c r="BW55" s="39" t="n">
        <f aca="false">IF(BW$4=0,0,IF(COUNTIFS(実績!$W$6:$W$505,BW$3,実績!$AI$6:$AI$505,"&lt;="&amp;$A55,実績!$AJ$6:$AJ$505,"&gt;"&amp;$A55,実績!$AK$6:$AK$505,"○")&gt;0,1,0))</f>
        <v>0</v>
      </c>
      <c r="BX55" s="39" t="n">
        <f aca="false">IF(BX$4=0,0,IF(COUNTIFS(実績!$W$6:$W$505,BX$3,実績!$AI$6:$AI$505,"&lt;="&amp;$A55,実績!$AJ$6:$AJ$505,"&gt;"&amp;$A55,実績!$AK$6:$AK$505,"○")&gt;0,1,0))</f>
        <v>0</v>
      </c>
      <c r="BY55" s="39" t="n">
        <f aca="false">IF(BY$4=0,0,IF(COUNTIFS(実績!$W$6:$W$505,BY$3,実績!$AI$6:$AI$505,"&lt;="&amp;$A55,実績!$AJ$6:$AJ$505,"&gt;"&amp;$A55,実績!$AK$6:$AK$505,"○")&gt;0,1,0))</f>
        <v>0</v>
      </c>
      <c r="BZ55" s="39" t="n">
        <f aca="false">IF(BZ$4=0,0,IF(COUNTIFS(実績!$W$6:$W$505,BZ$3,実績!$AI$6:$AI$505,"&lt;="&amp;$A55,実績!$AJ$6:$AJ$505,"&gt;"&amp;$A55,実績!$AK$6:$AK$505,"○")&gt;0,1,0))</f>
        <v>0</v>
      </c>
      <c r="CA55" s="39" t="n">
        <f aca="false">IF(CA$4=0,0,IF(COUNTIFS(実績!$W$6:$W$505,CA$3,実績!$AI$6:$AI$505,"&lt;="&amp;$A55,実績!$AJ$6:$AJ$505,"&gt;"&amp;$A55,実績!$AK$6:$AK$505,"○")&gt;0,1,0))</f>
        <v>0</v>
      </c>
      <c r="CB55" s="39" t="n">
        <f aca="false">IF(CB$4=0,0,IF(COUNTIFS(実績!$W$6:$W$505,CB$3,実績!$AI$6:$AI$505,"&lt;="&amp;$A55,実績!$AJ$6:$AJ$505,"&gt;"&amp;$A55,実績!$AK$6:$AK$505,"○")&gt;0,1,0))</f>
        <v>0</v>
      </c>
      <c r="CC55" s="39" t="n">
        <f aca="false">IF(CC$4=0,0,IF(COUNTIFS(実績!$W$6:$W$505,CC$3,実績!$AI$6:$AI$505,"&lt;="&amp;$A55,実績!$AJ$6:$AJ$505,"&gt;"&amp;$A55,実績!$AK$6:$AK$505,"○")&gt;0,1,0))</f>
        <v>0</v>
      </c>
      <c r="CD55" s="39" t="n">
        <f aca="false">IF(CD$4=0,0,IF(COUNTIFS(実績!$W$6:$W$505,CD$3,実績!$AI$6:$AI$505,"&lt;="&amp;$A55,実績!$AJ$6:$AJ$505,"&gt;"&amp;$A55,実績!$AK$6:$AK$505,"○")&gt;0,1,0))</f>
        <v>0</v>
      </c>
      <c r="CE55" s="39" t="n">
        <f aca="false">IF(CE$4=0,0,IF(COUNTIFS(実績!$W$6:$W$505,CE$3,実績!$AI$6:$AI$505,"&lt;="&amp;$A55,実績!$AJ$6:$AJ$505,"&gt;"&amp;$A55,実績!$AK$6:$AK$505,"○")&gt;0,1,0))</f>
        <v>0</v>
      </c>
      <c r="CF55" s="39" t="n">
        <f aca="false">IF(CF$4=0,0,IF(COUNTIFS(実績!$W$6:$W$505,CF$3,実績!$AI$6:$AI$505,"&lt;="&amp;$A55,実績!$AJ$6:$AJ$505,"&gt;"&amp;$A55,実績!$AK$6:$AK$505,"○")&gt;0,1,0))</f>
        <v>0</v>
      </c>
      <c r="CG55" s="39" t="n">
        <f aca="false">IF(CG$4=0,0,IF(COUNTIFS(実績!$W$6:$W$505,CG$3,実績!$AI$6:$AI$505,"&lt;="&amp;$A55,実績!$AJ$6:$AJ$505,"&gt;"&amp;$A55,実績!$AK$6:$AK$505,"○")&gt;0,1,0))</f>
        <v>0</v>
      </c>
      <c r="CH55" s="39" t="n">
        <f aca="false">IF(CH$4=0,0,IF(COUNTIFS(実績!$W$6:$W$505,CH$3,実績!$AI$6:$AI$505,"&lt;="&amp;$A55,実績!$AJ$6:$AJ$505,"&gt;"&amp;$A55,実績!$AK$6:$AK$505,"○")&gt;0,1,0))</f>
        <v>0</v>
      </c>
      <c r="CI55" s="39" t="n">
        <f aca="false">IF(CI$4=0,0,IF(COUNTIFS(実績!$W$6:$W$505,CI$3,実績!$AI$6:$AI$505,"&lt;="&amp;$A55,実績!$AJ$6:$AJ$505,"&gt;"&amp;$A55,実績!$AK$6:$AK$505,"○")&gt;0,1,0))</f>
        <v>0</v>
      </c>
      <c r="CJ55" s="39" t="n">
        <f aca="false">IF(CJ$4=0,0,IF(COUNTIFS(実績!$W$6:$W$505,CJ$3,実績!$AI$6:$AI$505,"&lt;="&amp;$A55,実績!$AJ$6:$AJ$505,"&gt;"&amp;$A55,実績!$AK$6:$AK$505,"○")&gt;0,1,0))</f>
        <v>0</v>
      </c>
      <c r="CK55" s="39" t="n">
        <f aca="false">IF(CK$4=0,0,IF(COUNTIFS(実績!$W$6:$W$505,CK$3,実績!$AI$6:$AI$505,"&lt;="&amp;$A55,実績!$AJ$6:$AJ$505,"&gt;"&amp;$A55,実績!$AK$6:$AK$505,"○")&gt;0,1,0))</f>
        <v>0</v>
      </c>
      <c r="CL55" s="39" t="n">
        <f aca="false">IF(CL$4=0,0,IF(COUNTIFS(実績!$W$6:$W$505,CL$3,実績!$AI$6:$AI$505,"&lt;="&amp;$A55,実績!$AJ$6:$AJ$505,"&gt;"&amp;$A55,実績!$AK$6:$AK$505,"○")&gt;0,1,0))</f>
        <v>0</v>
      </c>
      <c r="CM55" s="39" t="n">
        <f aca="false">IF(CM$4=0,0,IF(COUNTIFS(実績!$W$6:$W$505,CM$3,実績!$AI$6:$AI$505,"&lt;="&amp;$A55,実績!$AJ$6:$AJ$505,"&gt;"&amp;$A55,実績!$AK$6:$AK$505,"○")&gt;0,1,0))</f>
        <v>0</v>
      </c>
      <c r="CN55" s="39" t="n">
        <f aca="false">IF(CN$4=0,0,IF(COUNTIFS(実績!$W$6:$W$505,CN$3,実績!$AI$6:$AI$505,"&lt;="&amp;$A55,実績!$AJ$6:$AJ$505,"&gt;"&amp;$A55,実績!$AK$6:$AK$505,"○")&gt;0,1,0))</f>
        <v>0</v>
      </c>
      <c r="CO55" s="39" t="n">
        <f aca="false">IF(CO$4=0,0,IF(COUNTIFS(実績!$W$6:$W$505,CO$3,実績!$AI$6:$AI$505,"&lt;="&amp;$A55,実績!$AJ$6:$AJ$505,"&gt;"&amp;$A55,実績!$AK$6:$AK$505,"○")&gt;0,1,0))</f>
        <v>0</v>
      </c>
      <c r="CP55" s="39" t="n">
        <f aca="false">IF(CP$4=0,0,IF(COUNTIFS(実績!$W$6:$W$505,CP$3,実績!$AI$6:$AI$505,"&lt;="&amp;$A55,実績!$AJ$6:$AJ$505,"&gt;"&amp;$A55,実績!$AK$6:$AK$505,"○")&gt;0,1,0))</f>
        <v>0</v>
      </c>
      <c r="CQ55" s="39" t="n">
        <f aca="false">IF(CQ$4=0,0,IF(COUNTIFS(実績!$W$6:$W$505,CQ$3,実績!$AI$6:$AI$505,"&lt;="&amp;$A55,実績!$AJ$6:$AJ$505,"&gt;"&amp;$A55,実績!$AK$6:$AK$505,"○")&gt;0,1,0))</f>
        <v>0</v>
      </c>
      <c r="CR55" s="39" t="n">
        <f aca="false">IF(CR$4=0,0,IF(COUNTIFS(実績!$W$6:$W$505,CR$3,実績!$AI$6:$AI$505,"&lt;="&amp;$A55,実績!$AJ$6:$AJ$505,"&gt;"&amp;$A55,実績!$AK$6:$AK$505,"○")&gt;0,1,0))</f>
        <v>0</v>
      </c>
      <c r="CS55" s="39" t="n">
        <f aca="false">IF(CS$4=0,0,IF(COUNTIFS(実績!$W$6:$W$505,CS$3,実績!$AI$6:$AI$505,"&lt;="&amp;$A55,実績!$AJ$6:$AJ$505,"&gt;"&amp;$A55,実績!$AK$6:$AK$505,"○")&gt;0,1,0))</f>
        <v>0</v>
      </c>
      <c r="CT55" s="39" t="n">
        <f aca="false">IF(CT$4=0,0,IF(COUNTIFS(実績!$W$6:$W$505,CT$3,実績!$AI$6:$AI$505,"&lt;="&amp;$A55,実績!$AJ$6:$AJ$505,"&gt;"&amp;$A55,実績!$AK$6:$AK$505,"○")&gt;0,1,0))</f>
        <v>0</v>
      </c>
      <c r="CU55" s="39" t="n">
        <f aca="false">IF(CU$4=0,0,IF(COUNTIFS(実績!$W$6:$W$505,CU$3,実績!$AI$6:$AI$505,"&lt;="&amp;$A55,実績!$AJ$6:$AJ$505,"&gt;"&amp;$A55,実績!$AK$6:$AK$505,"○")&gt;0,1,0))</f>
        <v>0</v>
      </c>
      <c r="CV55" s="39" t="n">
        <f aca="false">IF(CV$4=0,0,IF(COUNTIFS(実績!$W$6:$W$505,CV$3,実績!$AI$6:$AI$505,"&lt;="&amp;$A55,実績!$AJ$6:$AJ$505,"&gt;"&amp;$A55,実績!$AK$6:$AK$505,"○")&gt;0,1,0))</f>
        <v>0</v>
      </c>
      <c r="CW55" s="39" t="n">
        <f aca="false">IF(CW$4=0,0,IF(COUNTIFS(実績!$W$6:$W$505,CW$3,実績!$AI$6:$AI$505,"&lt;="&amp;$A55,実績!$AJ$6:$AJ$505,"&gt;"&amp;$A55,実績!$AK$6:$AK$505,"○")&gt;0,1,0))</f>
        <v>0</v>
      </c>
      <c r="CX55" s="39" t="n">
        <f aca="false">IF(CX$4=0,0,IF(COUNTIFS(実績!$W$6:$W$505,CX$3,実績!$AI$6:$AI$505,"&lt;="&amp;$A55,実績!$AJ$6:$AJ$505,"&gt;"&amp;$A55,実績!$AK$6:$AK$505,"○")&gt;0,1,0))</f>
        <v>0</v>
      </c>
      <c r="CY55" s="39" t="n">
        <f aca="false">IF(CY$4=0,0,IF(COUNTIFS(実績!$W$6:$W$505,CY$3,実績!$AI$6:$AI$505,"&lt;="&amp;$A55,実績!$AJ$6:$AJ$505,"&gt;"&amp;$A55,実績!$AK$6:$AK$505,"○")&gt;0,1,0))</f>
        <v>0</v>
      </c>
      <c r="CZ55" s="39" t="n">
        <f aca="false">IF(CZ$4=0,0,IF(COUNTIFS(実績!$W$6:$W$505,CZ$3,実績!$AI$6:$AI$505,"&lt;="&amp;$A55,実績!$AJ$6:$AJ$505,"&gt;"&amp;$A55,実績!$AK$6:$AK$505,"○")&gt;0,1,0))</f>
        <v>0</v>
      </c>
      <c r="DA55" s="39" t="n">
        <f aca="false">IF(DA$4=0,0,IF(COUNTIFS(実績!$W$6:$W$505,DA$3,実績!$AI$6:$AI$505,"&lt;="&amp;$A55,実績!$AJ$6:$AJ$505,"&gt;"&amp;$A55,実績!$AK$6:$AK$505,"○")&gt;0,1,0))</f>
        <v>0</v>
      </c>
      <c r="DB55" s="39" t="n">
        <f aca="false">IF(DB$4=0,0,IF(COUNTIFS(実績!$W$6:$W$505,DB$3,実績!$AI$6:$AI$505,"&lt;="&amp;$A55,実績!$AJ$6:$AJ$505,"&gt;"&amp;$A55,実績!$AK$6:$AK$505,"○")&gt;0,1,0))</f>
        <v>0</v>
      </c>
      <c r="DC55" s="39" t="n">
        <f aca="false">IF(DC$4=0,0,IF(COUNTIFS(実績!$W$6:$W$505,DC$3,実績!$AI$6:$AI$505,"&lt;="&amp;$A55,実績!$AJ$6:$AJ$505,"&gt;"&amp;$A55,実績!$AK$6:$AK$505,"○")&gt;0,1,0))</f>
        <v>0</v>
      </c>
      <c r="DD55" s="39" t="n">
        <f aca="false">IF(DD$4=0,0,IF(COUNTIFS(実績!$W$6:$W$505,DD$3,実績!$AI$6:$AI$505,"&lt;="&amp;$A55,実績!$AJ$6:$AJ$505,"&gt;"&amp;$A55,実績!$AK$6:$AK$505,"○")&gt;0,1,0))</f>
        <v>0</v>
      </c>
      <c r="DE55" s="39" t="n">
        <f aca="false">IF(DE$4=0,0,IF(COUNTIFS(実績!$W$6:$W$505,DE$3,実績!$AI$6:$AI$505,"&lt;="&amp;$A55,実績!$AJ$6:$AJ$505,"&gt;"&amp;$A55,実績!$AK$6:$AK$505,"○")&gt;0,1,0))</f>
        <v>0</v>
      </c>
      <c r="DF55" s="39" t="n">
        <f aca="false">IF(DF$4=0,0,IF(COUNTIFS(実績!$W$6:$W$505,DF$3,実績!$AI$6:$AI$505,"&lt;="&amp;$A55,実績!$AJ$6:$AJ$505,"&gt;"&amp;$A55,実績!$AK$6:$AK$505,"○")&gt;0,1,0))</f>
        <v>0</v>
      </c>
      <c r="DG55" s="39" t="n">
        <f aca="false">IF(DG$4=0,0,IF(COUNTIFS(実績!$W$6:$W$505,DG$3,実績!$AI$6:$AI$505,"&lt;="&amp;$A55,実績!$AJ$6:$AJ$505,"&gt;"&amp;$A55,実績!$AK$6:$AK$505,"○")&gt;0,1,0))</f>
        <v>0</v>
      </c>
      <c r="DH55" s="39" t="n">
        <f aca="false">IF(DH$4=0,0,IF(COUNTIFS(実績!$W$6:$W$505,DH$3,実績!$AI$6:$AI$505,"&lt;="&amp;$A55,実績!$AJ$6:$AJ$505,"&gt;"&amp;$A55,実績!$AK$6:$AK$505,"○")&gt;0,1,0))</f>
        <v>0</v>
      </c>
      <c r="DI55" s="39" t="n">
        <f aca="false">IF(DI$4=0,0,IF(COUNTIFS(実績!$W$6:$W$505,DI$3,実績!$AI$6:$AI$505,"&lt;="&amp;$A55,実績!$AJ$6:$AJ$505,"&gt;"&amp;$A55,実績!$AK$6:$AK$505,"○")&gt;0,1,0))</f>
        <v>0</v>
      </c>
      <c r="DJ55" s="39" t="n">
        <f aca="false">IF(DJ$4=0,0,IF(COUNTIFS(実績!$W$6:$W$505,DJ$3,実績!$AI$6:$AI$505,"&lt;="&amp;$A55,実績!$AJ$6:$AJ$505,"&gt;"&amp;$A55,実績!$AK$6:$AK$505,"○")&gt;0,1,0))</f>
        <v>0</v>
      </c>
      <c r="DK55" s="39" t="n">
        <f aca="false">IF(DK$4=0,0,IF(COUNTIFS(実績!$W$6:$W$505,DK$3,実績!$AI$6:$AI$505,"&lt;="&amp;$A55,実績!$AJ$6:$AJ$505,"&gt;"&amp;$A55,実績!$AK$6:$AK$505,"○")&gt;0,1,0))</f>
        <v>0</v>
      </c>
      <c r="DL55" s="39" t="n">
        <f aca="false">IF(DL$4=0,0,IF(COUNTIFS(実績!$W$6:$W$505,DL$3,実績!$AI$6:$AI$505,"&lt;="&amp;$A55,実績!$AJ$6:$AJ$505,"&gt;"&amp;$A55,実績!$AK$6:$AK$505,"○")&gt;0,1,0))</f>
        <v>0</v>
      </c>
      <c r="DM55" s="39" t="n">
        <f aca="false">IF(DM$4=0,0,IF(COUNTIFS(実績!$W$6:$W$505,DM$3,実績!$AI$6:$AI$505,"&lt;="&amp;$A55,実績!$AJ$6:$AJ$505,"&gt;"&amp;$A55,実績!$AK$6:$AK$505,"○")&gt;0,1,0))</f>
        <v>0</v>
      </c>
      <c r="DN55" s="39" t="n">
        <f aca="false">IF(DN$4=0,0,IF(COUNTIFS(実績!$W$6:$W$505,DN$3,実績!$AI$6:$AI$505,"&lt;="&amp;$A55,実績!$AJ$6:$AJ$505,"&gt;"&amp;$A55,実績!$AK$6:$AK$505,"○")&gt;0,1,0))</f>
        <v>0</v>
      </c>
      <c r="DO55" s="39" t="n">
        <f aca="false">IF(DO$4=0,0,IF(COUNTIFS(実績!$W$6:$W$505,DO$3,実績!$AI$6:$AI$505,"&lt;="&amp;$A55,実績!$AJ$6:$AJ$505,"&gt;"&amp;$A55,実績!$AK$6:$AK$505,"○")&gt;0,1,0))</f>
        <v>0</v>
      </c>
      <c r="DP55" s="39" t="n">
        <f aca="false">IF(DP$4=0,0,IF(COUNTIFS(実績!$W$6:$W$505,DP$3,実績!$AI$6:$AI$505,"&lt;="&amp;$A55,実績!$AJ$6:$AJ$505,"&gt;"&amp;$A55,実績!$AK$6:$AK$505,"○")&gt;0,1,0))</f>
        <v>0</v>
      </c>
      <c r="DQ55" s="39" t="n">
        <f aca="false">IF(DQ$4=0,0,IF(COUNTIFS(実績!$W$6:$W$505,DQ$3,実績!$AI$6:$AI$505,"&lt;="&amp;$A55,実績!$AJ$6:$AJ$505,"&gt;"&amp;$A55,実績!$AK$6:$AK$505,"○")&gt;0,1,0))</f>
        <v>0</v>
      </c>
      <c r="DR55" s="39" t="n">
        <f aca="false">IF(DR$4=0,0,IF(COUNTIFS(実績!$W$6:$W$505,DR$3,実績!$AI$6:$AI$505,"&lt;="&amp;$A55,実績!$AJ$6:$AJ$505,"&gt;"&amp;$A55,実績!$AK$6:$AK$505,"○")&gt;0,1,0))</f>
        <v>0</v>
      </c>
      <c r="DS55" s="39" t="n">
        <f aca="false">SUM(C55:DR55)</f>
        <v>0</v>
      </c>
      <c r="DT55" s="39" t="n">
        <f aca="false">SUMPRODUCT((実績!$C$6:$C$505="○")*ISNUMBER(実績!$AM$6:$AM$505)*(実績!$AM$6:$AM$505&lt;=$A55)*(実績!$AN$6:$AN$505&gt;$A55))</f>
        <v>0</v>
      </c>
      <c r="DU55" s="39" t="n">
        <f aca="false">SUMIF($C$2:$DR$2,"製鉄曳船",C55:DR55)</f>
        <v>0</v>
      </c>
      <c r="DV55" s="39" t="n">
        <f aca="false">SUMIF($C$2:$DR$2,"西日本海運",C55:DR55)</f>
        <v>0</v>
      </c>
    </row>
    <row r="56" customFormat="false" ht="15" hidden="false" customHeight="false" outlineLevel="0" collapsed="false">
      <c r="A56" s="0" t="n">
        <v>250</v>
      </c>
      <c r="B56" s="38" t="n">
        <f aca="false">A56/1440</f>
        <v>0.173611111111111</v>
      </c>
      <c r="C56" s="39" t="n">
        <f aca="false">IF(C$4=0,0,IF(COUNTIFS(実績!$W$6:$W$505,C$3,実績!$AI$6:$AI$505,"&lt;="&amp;$A56,実績!$AJ$6:$AJ$505,"&gt;"&amp;$A56,実績!$AK$6:$AK$505,"○")&gt;0,1,0))</f>
        <v>0</v>
      </c>
      <c r="D56" s="39" t="n">
        <f aca="false">IF(D$4=0,0,IF(COUNTIFS(実績!$W$6:$W$505,D$3,実績!$AI$6:$AI$505,"&lt;="&amp;$A56,実績!$AJ$6:$AJ$505,"&gt;"&amp;$A56,実績!$AK$6:$AK$505,"○")&gt;0,1,0))</f>
        <v>0</v>
      </c>
      <c r="E56" s="39" t="n">
        <f aca="false">IF(E$4=0,0,IF(COUNTIFS(実績!$W$6:$W$505,E$3,実績!$AI$6:$AI$505,"&lt;="&amp;$A56,実績!$AJ$6:$AJ$505,"&gt;"&amp;$A56,実績!$AK$6:$AK$505,"○")&gt;0,1,0))</f>
        <v>0</v>
      </c>
      <c r="F56" s="39" t="n">
        <f aca="false">IF(F$4=0,0,IF(COUNTIFS(実績!$W$6:$W$505,F$3,実績!$AI$6:$AI$505,"&lt;="&amp;$A56,実績!$AJ$6:$AJ$505,"&gt;"&amp;$A56,実績!$AK$6:$AK$505,"○")&gt;0,1,0))</f>
        <v>0</v>
      </c>
      <c r="G56" s="39" t="n">
        <f aca="false">IF(G$4=0,0,IF(COUNTIFS(実績!$W$6:$W$505,G$3,実績!$AI$6:$AI$505,"&lt;="&amp;$A56,実績!$AJ$6:$AJ$505,"&gt;"&amp;$A56,実績!$AK$6:$AK$505,"○")&gt;0,1,0))</f>
        <v>0</v>
      </c>
      <c r="H56" s="39" t="n">
        <f aca="false">IF(H$4=0,0,IF(COUNTIFS(実績!$W$6:$W$505,H$3,実績!$AI$6:$AI$505,"&lt;="&amp;$A56,実績!$AJ$6:$AJ$505,"&gt;"&amp;$A56,実績!$AK$6:$AK$505,"○")&gt;0,1,0))</f>
        <v>0</v>
      </c>
      <c r="I56" s="39" t="n">
        <f aca="false">IF(I$4=0,0,IF(COUNTIFS(実績!$W$6:$W$505,I$3,実績!$AI$6:$AI$505,"&lt;="&amp;$A56,実績!$AJ$6:$AJ$505,"&gt;"&amp;$A56,実績!$AK$6:$AK$505,"○")&gt;0,1,0))</f>
        <v>0</v>
      </c>
      <c r="J56" s="39" t="n">
        <f aca="false">IF(J$4=0,0,IF(COUNTIFS(実績!$W$6:$W$505,J$3,実績!$AI$6:$AI$505,"&lt;="&amp;$A56,実績!$AJ$6:$AJ$505,"&gt;"&amp;$A56,実績!$AK$6:$AK$505,"○")&gt;0,1,0))</f>
        <v>0</v>
      </c>
      <c r="K56" s="39" t="n">
        <f aca="false">IF(K$4=0,0,IF(COUNTIFS(実績!$W$6:$W$505,K$3,実績!$AI$6:$AI$505,"&lt;="&amp;$A56,実績!$AJ$6:$AJ$505,"&gt;"&amp;$A56,実績!$AK$6:$AK$505,"○")&gt;0,1,0))</f>
        <v>0</v>
      </c>
      <c r="L56" s="39" t="n">
        <f aca="false">IF(L$4=0,0,IF(COUNTIFS(実績!$W$6:$W$505,L$3,実績!$AI$6:$AI$505,"&lt;="&amp;$A56,実績!$AJ$6:$AJ$505,"&gt;"&amp;$A56,実績!$AK$6:$AK$505,"○")&gt;0,1,0))</f>
        <v>0</v>
      </c>
      <c r="M56" s="39" t="n">
        <f aca="false">IF(M$4=0,0,IF(COUNTIFS(実績!$W$6:$W$505,M$3,実績!$AI$6:$AI$505,"&lt;="&amp;$A56,実績!$AJ$6:$AJ$505,"&gt;"&amp;$A56,実績!$AK$6:$AK$505,"○")&gt;0,1,0))</f>
        <v>0</v>
      </c>
      <c r="N56" s="39" t="n">
        <f aca="false">IF(N$4=0,0,IF(COUNTIFS(実績!$W$6:$W$505,N$3,実績!$AI$6:$AI$505,"&lt;="&amp;$A56,実績!$AJ$6:$AJ$505,"&gt;"&amp;$A56,実績!$AK$6:$AK$505,"○")&gt;0,1,0))</f>
        <v>0</v>
      </c>
      <c r="O56" s="39" t="n">
        <f aca="false">IF(O$4=0,0,IF(COUNTIFS(実績!$W$6:$W$505,O$3,実績!$AI$6:$AI$505,"&lt;="&amp;$A56,実績!$AJ$6:$AJ$505,"&gt;"&amp;$A56,実績!$AK$6:$AK$505,"○")&gt;0,1,0))</f>
        <v>0</v>
      </c>
      <c r="P56" s="39" t="n">
        <f aca="false">IF(P$4=0,0,IF(COUNTIFS(実績!$W$6:$W$505,P$3,実績!$AI$6:$AI$505,"&lt;="&amp;$A56,実績!$AJ$6:$AJ$505,"&gt;"&amp;$A56,実績!$AK$6:$AK$505,"○")&gt;0,1,0))</f>
        <v>0</v>
      </c>
      <c r="Q56" s="39" t="n">
        <f aca="false">IF(Q$4=0,0,IF(COUNTIFS(実績!$W$6:$W$505,Q$3,実績!$AI$6:$AI$505,"&lt;="&amp;$A56,実績!$AJ$6:$AJ$505,"&gt;"&amp;$A56,実績!$AK$6:$AK$505,"○")&gt;0,1,0))</f>
        <v>0</v>
      </c>
      <c r="R56" s="39" t="n">
        <f aca="false">IF(R$4=0,0,IF(COUNTIFS(実績!$W$6:$W$505,R$3,実績!$AI$6:$AI$505,"&lt;="&amp;$A56,実績!$AJ$6:$AJ$505,"&gt;"&amp;$A56,実績!$AK$6:$AK$505,"○")&gt;0,1,0))</f>
        <v>0</v>
      </c>
      <c r="S56" s="39" t="n">
        <f aca="false">IF(S$4=0,0,IF(COUNTIFS(実績!$W$6:$W$505,S$3,実績!$AI$6:$AI$505,"&lt;="&amp;$A56,実績!$AJ$6:$AJ$505,"&gt;"&amp;$A56,実績!$AK$6:$AK$505,"○")&gt;0,1,0))</f>
        <v>0</v>
      </c>
      <c r="T56" s="39" t="n">
        <f aca="false">IF(T$4=0,0,IF(COUNTIFS(実績!$W$6:$W$505,T$3,実績!$AI$6:$AI$505,"&lt;="&amp;$A56,実績!$AJ$6:$AJ$505,"&gt;"&amp;$A56,実績!$AK$6:$AK$505,"○")&gt;0,1,0))</f>
        <v>0</v>
      </c>
      <c r="U56" s="39" t="n">
        <f aca="false">IF(U$4=0,0,IF(COUNTIFS(実績!$W$6:$W$505,U$3,実績!$AI$6:$AI$505,"&lt;="&amp;$A56,実績!$AJ$6:$AJ$505,"&gt;"&amp;$A56,実績!$AK$6:$AK$505,"○")&gt;0,1,0))</f>
        <v>0</v>
      </c>
      <c r="V56" s="39" t="n">
        <f aca="false">IF(V$4=0,0,IF(COUNTIFS(実績!$W$6:$W$505,V$3,実績!$AI$6:$AI$505,"&lt;="&amp;$A56,実績!$AJ$6:$AJ$505,"&gt;"&amp;$A56,実績!$AK$6:$AK$505,"○")&gt;0,1,0))</f>
        <v>0</v>
      </c>
      <c r="W56" s="39" t="n">
        <f aca="false">IF(W$4=0,0,IF(COUNTIFS(実績!$W$6:$W$505,W$3,実績!$AI$6:$AI$505,"&lt;="&amp;$A56,実績!$AJ$6:$AJ$505,"&gt;"&amp;$A56,実績!$AK$6:$AK$505,"○")&gt;0,1,0))</f>
        <v>0</v>
      </c>
      <c r="X56" s="39" t="n">
        <f aca="false">IF(X$4=0,0,IF(COUNTIFS(実績!$W$6:$W$505,X$3,実績!$AI$6:$AI$505,"&lt;="&amp;$A56,実績!$AJ$6:$AJ$505,"&gt;"&amp;$A56,実績!$AK$6:$AK$505,"○")&gt;0,1,0))</f>
        <v>0</v>
      </c>
      <c r="Y56" s="39" t="n">
        <f aca="false">IF(Y$4=0,0,IF(COUNTIFS(実績!$W$6:$W$505,Y$3,実績!$AI$6:$AI$505,"&lt;="&amp;$A56,実績!$AJ$6:$AJ$505,"&gt;"&amp;$A56,実績!$AK$6:$AK$505,"○")&gt;0,1,0))</f>
        <v>0</v>
      </c>
      <c r="Z56" s="39" t="n">
        <f aca="false">IF(Z$4=0,0,IF(COUNTIFS(実績!$W$6:$W$505,Z$3,実績!$AI$6:$AI$505,"&lt;="&amp;$A56,実績!$AJ$6:$AJ$505,"&gt;"&amp;$A56,実績!$AK$6:$AK$505,"○")&gt;0,1,0))</f>
        <v>0</v>
      </c>
      <c r="AA56" s="39" t="n">
        <f aca="false">IF(AA$4=0,0,IF(COUNTIFS(実績!$W$6:$W$505,AA$3,実績!$AI$6:$AI$505,"&lt;="&amp;$A56,実績!$AJ$6:$AJ$505,"&gt;"&amp;$A56,実績!$AK$6:$AK$505,"○")&gt;0,1,0))</f>
        <v>0</v>
      </c>
      <c r="AB56" s="39" t="n">
        <f aca="false">IF(AB$4=0,0,IF(COUNTIFS(実績!$W$6:$W$505,AB$3,実績!$AI$6:$AI$505,"&lt;="&amp;$A56,実績!$AJ$6:$AJ$505,"&gt;"&amp;$A56,実績!$AK$6:$AK$505,"○")&gt;0,1,0))</f>
        <v>0</v>
      </c>
      <c r="AC56" s="39" t="n">
        <f aca="false">IF(AC$4=0,0,IF(COUNTIFS(実績!$W$6:$W$505,AC$3,実績!$AI$6:$AI$505,"&lt;="&amp;$A56,実績!$AJ$6:$AJ$505,"&gt;"&amp;$A56,実績!$AK$6:$AK$505,"○")&gt;0,1,0))</f>
        <v>0</v>
      </c>
      <c r="AD56" s="39" t="n">
        <f aca="false">IF(AD$4=0,0,IF(COUNTIFS(実績!$W$6:$W$505,AD$3,実績!$AI$6:$AI$505,"&lt;="&amp;$A56,実績!$AJ$6:$AJ$505,"&gt;"&amp;$A56,実績!$AK$6:$AK$505,"○")&gt;0,1,0))</f>
        <v>0</v>
      </c>
      <c r="AE56" s="39" t="n">
        <f aca="false">IF(AE$4=0,0,IF(COUNTIFS(実績!$W$6:$W$505,AE$3,実績!$AI$6:$AI$505,"&lt;="&amp;$A56,実績!$AJ$6:$AJ$505,"&gt;"&amp;$A56,実績!$AK$6:$AK$505,"○")&gt;0,1,0))</f>
        <v>0</v>
      </c>
      <c r="AF56" s="39" t="n">
        <f aca="false">IF(AF$4=0,0,IF(COUNTIFS(実績!$W$6:$W$505,AF$3,実績!$AI$6:$AI$505,"&lt;="&amp;$A56,実績!$AJ$6:$AJ$505,"&gt;"&amp;$A56,実績!$AK$6:$AK$505,"○")&gt;0,1,0))</f>
        <v>0</v>
      </c>
      <c r="AG56" s="39" t="n">
        <f aca="false">IF(AG$4=0,0,IF(COUNTIFS(実績!$W$6:$W$505,AG$3,実績!$AI$6:$AI$505,"&lt;="&amp;$A56,実績!$AJ$6:$AJ$505,"&gt;"&amp;$A56,実績!$AK$6:$AK$505,"○")&gt;0,1,0))</f>
        <v>0</v>
      </c>
      <c r="AH56" s="39" t="n">
        <f aca="false">IF(AH$4=0,0,IF(COUNTIFS(実績!$W$6:$W$505,AH$3,実績!$AI$6:$AI$505,"&lt;="&amp;$A56,実績!$AJ$6:$AJ$505,"&gt;"&amp;$A56,実績!$AK$6:$AK$505,"○")&gt;0,1,0))</f>
        <v>0</v>
      </c>
      <c r="AI56" s="39" t="n">
        <f aca="false">IF(AI$4=0,0,IF(COUNTIFS(実績!$W$6:$W$505,AI$3,実績!$AI$6:$AI$505,"&lt;="&amp;$A56,実績!$AJ$6:$AJ$505,"&gt;"&amp;$A56,実績!$AK$6:$AK$505,"○")&gt;0,1,0))</f>
        <v>0</v>
      </c>
      <c r="AJ56" s="39" t="n">
        <f aca="false">IF(AJ$4=0,0,IF(COUNTIFS(実績!$W$6:$W$505,AJ$3,実績!$AI$6:$AI$505,"&lt;="&amp;$A56,実績!$AJ$6:$AJ$505,"&gt;"&amp;$A56,実績!$AK$6:$AK$505,"○")&gt;0,1,0))</f>
        <v>0</v>
      </c>
      <c r="AK56" s="39" t="n">
        <f aca="false">IF(AK$4=0,0,IF(COUNTIFS(実績!$W$6:$W$505,AK$3,実績!$AI$6:$AI$505,"&lt;="&amp;$A56,実績!$AJ$6:$AJ$505,"&gt;"&amp;$A56,実績!$AK$6:$AK$505,"○")&gt;0,1,0))</f>
        <v>0</v>
      </c>
      <c r="AL56" s="39" t="n">
        <f aca="false">IF(AL$4=0,0,IF(COUNTIFS(実績!$W$6:$W$505,AL$3,実績!$AI$6:$AI$505,"&lt;="&amp;$A56,実績!$AJ$6:$AJ$505,"&gt;"&amp;$A56,実績!$AK$6:$AK$505,"○")&gt;0,1,0))</f>
        <v>0</v>
      </c>
      <c r="AM56" s="39" t="n">
        <f aca="false">IF(AM$4=0,0,IF(COUNTIFS(実績!$W$6:$W$505,AM$3,実績!$AI$6:$AI$505,"&lt;="&amp;$A56,実績!$AJ$6:$AJ$505,"&gt;"&amp;$A56,実績!$AK$6:$AK$505,"○")&gt;0,1,0))</f>
        <v>0</v>
      </c>
      <c r="AN56" s="39" t="n">
        <f aca="false">IF(AN$4=0,0,IF(COUNTIFS(実績!$W$6:$W$505,AN$3,実績!$AI$6:$AI$505,"&lt;="&amp;$A56,実績!$AJ$6:$AJ$505,"&gt;"&amp;$A56,実績!$AK$6:$AK$505,"○")&gt;0,1,0))</f>
        <v>0</v>
      </c>
      <c r="AO56" s="39" t="n">
        <f aca="false">IF(AO$4=0,0,IF(COUNTIFS(実績!$W$6:$W$505,AO$3,実績!$AI$6:$AI$505,"&lt;="&amp;$A56,実績!$AJ$6:$AJ$505,"&gt;"&amp;$A56,実績!$AK$6:$AK$505,"○")&gt;0,1,0))</f>
        <v>0</v>
      </c>
      <c r="AP56" s="39" t="n">
        <f aca="false">IF(AP$4=0,0,IF(COUNTIFS(実績!$W$6:$W$505,AP$3,実績!$AI$6:$AI$505,"&lt;="&amp;$A56,実績!$AJ$6:$AJ$505,"&gt;"&amp;$A56,実績!$AK$6:$AK$505,"○")&gt;0,1,0))</f>
        <v>0</v>
      </c>
      <c r="AQ56" s="39" t="n">
        <f aca="false">IF(AQ$4=0,0,IF(COUNTIFS(実績!$W$6:$W$505,AQ$3,実績!$AI$6:$AI$505,"&lt;="&amp;$A56,実績!$AJ$6:$AJ$505,"&gt;"&amp;$A56,実績!$AK$6:$AK$505,"○")&gt;0,1,0))</f>
        <v>0</v>
      </c>
      <c r="AR56" s="39" t="n">
        <f aca="false">IF(AR$4=0,0,IF(COUNTIFS(実績!$W$6:$W$505,AR$3,実績!$AI$6:$AI$505,"&lt;="&amp;$A56,実績!$AJ$6:$AJ$505,"&gt;"&amp;$A56,実績!$AK$6:$AK$505,"○")&gt;0,1,0))</f>
        <v>0</v>
      </c>
      <c r="AS56" s="39" t="n">
        <f aca="false">IF(AS$4=0,0,IF(COUNTIFS(実績!$W$6:$W$505,AS$3,実績!$AI$6:$AI$505,"&lt;="&amp;$A56,実績!$AJ$6:$AJ$505,"&gt;"&amp;$A56,実績!$AK$6:$AK$505,"○")&gt;0,1,0))</f>
        <v>0</v>
      </c>
      <c r="AT56" s="39" t="n">
        <f aca="false">IF(AT$4=0,0,IF(COUNTIFS(実績!$W$6:$W$505,AT$3,実績!$AI$6:$AI$505,"&lt;="&amp;$A56,実績!$AJ$6:$AJ$505,"&gt;"&amp;$A56,実績!$AK$6:$AK$505,"○")&gt;0,1,0))</f>
        <v>0</v>
      </c>
      <c r="AU56" s="39" t="n">
        <f aca="false">IF(AU$4=0,0,IF(COUNTIFS(実績!$W$6:$W$505,AU$3,実績!$AI$6:$AI$505,"&lt;="&amp;$A56,実績!$AJ$6:$AJ$505,"&gt;"&amp;$A56,実績!$AK$6:$AK$505,"○")&gt;0,1,0))</f>
        <v>0</v>
      </c>
      <c r="AV56" s="39" t="n">
        <f aca="false">IF(AV$4=0,0,IF(COUNTIFS(実績!$W$6:$W$505,AV$3,実績!$AI$6:$AI$505,"&lt;="&amp;$A56,実績!$AJ$6:$AJ$505,"&gt;"&amp;$A56,実績!$AK$6:$AK$505,"○")&gt;0,1,0))</f>
        <v>0</v>
      </c>
      <c r="AW56" s="39" t="n">
        <f aca="false">IF(AW$4=0,0,IF(COUNTIFS(実績!$W$6:$W$505,AW$3,実績!$AI$6:$AI$505,"&lt;="&amp;$A56,実績!$AJ$6:$AJ$505,"&gt;"&amp;$A56,実績!$AK$6:$AK$505,"○")&gt;0,1,0))</f>
        <v>0</v>
      </c>
      <c r="AX56" s="39" t="n">
        <f aca="false">IF(AX$4=0,0,IF(COUNTIFS(実績!$W$6:$W$505,AX$3,実績!$AI$6:$AI$505,"&lt;="&amp;$A56,実績!$AJ$6:$AJ$505,"&gt;"&amp;$A56,実績!$AK$6:$AK$505,"○")&gt;0,1,0))</f>
        <v>0</v>
      </c>
      <c r="AY56" s="39" t="n">
        <f aca="false">IF(AY$4=0,0,IF(COUNTIFS(実績!$W$6:$W$505,AY$3,実績!$AI$6:$AI$505,"&lt;="&amp;$A56,実績!$AJ$6:$AJ$505,"&gt;"&amp;$A56,実績!$AK$6:$AK$505,"○")&gt;0,1,0))</f>
        <v>0</v>
      </c>
      <c r="AZ56" s="39" t="n">
        <f aca="false">IF(AZ$4=0,0,IF(COUNTIFS(実績!$W$6:$W$505,AZ$3,実績!$AI$6:$AI$505,"&lt;="&amp;$A56,実績!$AJ$6:$AJ$505,"&gt;"&amp;$A56,実績!$AK$6:$AK$505,"○")&gt;0,1,0))</f>
        <v>0</v>
      </c>
      <c r="BA56" s="39" t="n">
        <f aca="false">IF(BA$4=0,0,IF(COUNTIFS(実績!$W$6:$W$505,BA$3,実績!$AI$6:$AI$505,"&lt;="&amp;$A56,実績!$AJ$6:$AJ$505,"&gt;"&amp;$A56,実績!$AK$6:$AK$505,"○")&gt;0,1,0))</f>
        <v>0</v>
      </c>
      <c r="BB56" s="39" t="n">
        <f aca="false">IF(BB$4=0,0,IF(COUNTIFS(実績!$W$6:$W$505,BB$3,実績!$AI$6:$AI$505,"&lt;="&amp;$A56,実績!$AJ$6:$AJ$505,"&gt;"&amp;$A56,実績!$AK$6:$AK$505,"○")&gt;0,1,0))</f>
        <v>0</v>
      </c>
      <c r="BC56" s="39" t="n">
        <f aca="false">IF(BC$4=0,0,IF(COUNTIFS(実績!$W$6:$W$505,BC$3,実績!$AI$6:$AI$505,"&lt;="&amp;$A56,実績!$AJ$6:$AJ$505,"&gt;"&amp;$A56,実績!$AK$6:$AK$505,"○")&gt;0,1,0))</f>
        <v>0</v>
      </c>
      <c r="BD56" s="39" t="n">
        <f aca="false">IF(BD$4=0,0,IF(COUNTIFS(実績!$W$6:$W$505,BD$3,実績!$AI$6:$AI$505,"&lt;="&amp;$A56,実績!$AJ$6:$AJ$505,"&gt;"&amp;$A56,実績!$AK$6:$AK$505,"○")&gt;0,1,0))</f>
        <v>0</v>
      </c>
      <c r="BE56" s="39" t="n">
        <f aca="false">IF(BE$4=0,0,IF(COUNTIFS(実績!$W$6:$W$505,BE$3,実績!$AI$6:$AI$505,"&lt;="&amp;$A56,実績!$AJ$6:$AJ$505,"&gt;"&amp;$A56,実績!$AK$6:$AK$505,"○")&gt;0,1,0))</f>
        <v>0</v>
      </c>
      <c r="BF56" s="39" t="n">
        <f aca="false">IF(BF$4=0,0,IF(COUNTIFS(実績!$W$6:$W$505,BF$3,実績!$AI$6:$AI$505,"&lt;="&amp;$A56,実績!$AJ$6:$AJ$505,"&gt;"&amp;$A56,実績!$AK$6:$AK$505,"○")&gt;0,1,0))</f>
        <v>0</v>
      </c>
      <c r="BG56" s="39" t="n">
        <f aca="false">IF(BG$4=0,0,IF(COUNTIFS(実績!$W$6:$W$505,BG$3,実績!$AI$6:$AI$505,"&lt;="&amp;$A56,実績!$AJ$6:$AJ$505,"&gt;"&amp;$A56,実績!$AK$6:$AK$505,"○")&gt;0,1,0))</f>
        <v>0</v>
      </c>
      <c r="BH56" s="39" t="n">
        <f aca="false">IF(BH$4=0,0,IF(COUNTIFS(実績!$W$6:$W$505,BH$3,実績!$AI$6:$AI$505,"&lt;="&amp;$A56,実績!$AJ$6:$AJ$505,"&gt;"&amp;$A56,実績!$AK$6:$AK$505,"○")&gt;0,1,0))</f>
        <v>0</v>
      </c>
      <c r="BI56" s="39" t="n">
        <f aca="false">IF(BI$4=0,0,IF(COUNTIFS(実績!$W$6:$W$505,BI$3,実績!$AI$6:$AI$505,"&lt;="&amp;$A56,実績!$AJ$6:$AJ$505,"&gt;"&amp;$A56,実績!$AK$6:$AK$505,"○")&gt;0,1,0))</f>
        <v>0</v>
      </c>
      <c r="BJ56" s="39" t="n">
        <f aca="false">IF(BJ$4=0,0,IF(COUNTIFS(実績!$W$6:$W$505,BJ$3,実績!$AI$6:$AI$505,"&lt;="&amp;$A56,実績!$AJ$6:$AJ$505,"&gt;"&amp;$A56,実績!$AK$6:$AK$505,"○")&gt;0,1,0))</f>
        <v>0</v>
      </c>
      <c r="BK56" s="39" t="n">
        <f aca="false">IF(BK$4=0,0,IF(COUNTIFS(実績!$W$6:$W$505,BK$3,実績!$AI$6:$AI$505,"&lt;="&amp;$A56,実績!$AJ$6:$AJ$505,"&gt;"&amp;$A56,実績!$AK$6:$AK$505,"○")&gt;0,1,0))</f>
        <v>0</v>
      </c>
      <c r="BL56" s="39" t="n">
        <f aca="false">IF(BL$4=0,0,IF(COUNTIFS(実績!$W$6:$W$505,BL$3,実績!$AI$6:$AI$505,"&lt;="&amp;$A56,実績!$AJ$6:$AJ$505,"&gt;"&amp;$A56,実績!$AK$6:$AK$505,"○")&gt;0,1,0))</f>
        <v>0</v>
      </c>
      <c r="BM56" s="39" t="n">
        <f aca="false">IF(BM$4=0,0,IF(COUNTIFS(実績!$W$6:$W$505,BM$3,実績!$AI$6:$AI$505,"&lt;="&amp;$A56,実績!$AJ$6:$AJ$505,"&gt;"&amp;$A56,実績!$AK$6:$AK$505,"○")&gt;0,1,0))</f>
        <v>0</v>
      </c>
      <c r="BN56" s="39" t="n">
        <f aca="false">IF(BN$4=0,0,IF(COUNTIFS(実績!$W$6:$W$505,BN$3,実績!$AI$6:$AI$505,"&lt;="&amp;$A56,実績!$AJ$6:$AJ$505,"&gt;"&amp;$A56,実績!$AK$6:$AK$505,"○")&gt;0,1,0))</f>
        <v>0</v>
      </c>
      <c r="BO56" s="39" t="n">
        <f aca="false">IF(BO$4=0,0,IF(COUNTIFS(実績!$W$6:$W$505,BO$3,実績!$AI$6:$AI$505,"&lt;="&amp;$A56,実績!$AJ$6:$AJ$505,"&gt;"&amp;$A56,実績!$AK$6:$AK$505,"○")&gt;0,1,0))</f>
        <v>0</v>
      </c>
      <c r="BP56" s="39" t="n">
        <f aca="false">IF(BP$4=0,0,IF(COUNTIFS(実績!$W$6:$W$505,BP$3,実績!$AI$6:$AI$505,"&lt;="&amp;$A56,実績!$AJ$6:$AJ$505,"&gt;"&amp;$A56,実績!$AK$6:$AK$505,"○")&gt;0,1,0))</f>
        <v>0</v>
      </c>
      <c r="BQ56" s="39" t="n">
        <f aca="false">IF(BQ$4=0,0,IF(COUNTIFS(実績!$W$6:$W$505,BQ$3,実績!$AI$6:$AI$505,"&lt;="&amp;$A56,実績!$AJ$6:$AJ$505,"&gt;"&amp;$A56,実績!$AK$6:$AK$505,"○")&gt;0,1,0))</f>
        <v>0</v>
      </c>
      <c r="BR56" s="39" t="n">
        <f aca="false">IF(BR$4=0,0,IF(COUNTIFS(実績!$W$6:$W$505,BR$3,実績!$AI$6:$AI$505,"&lt;="&amp;$A56,実績!$AJ$6:$AJ$505,"&gt;"&amp;$A56,実績!$AK$6:$AK$505,"○")&gt;0,1,0))</f>
        <v>0</v>
      </c>
      <c r="BS56" s="39" t="n">
        <f aca="false">IF(BS$4=0,0,IF(COUNTIFS(実績!$W$6:$W$505,BS$3,実績!$AI$6:$AI$505,"&lt;="&amp;$A56,実績!$AJ$6:$AJ$505,"&gt;"&amp;$A56,実績!$AK$6:$AK$505,"○")&gt;0,1,0))</f>
        <v>0</v>
      </c>
      <c r="BT56" s="39" t="n">
        <f aca="false">IF(BT$4=0,0,IF(COUNTIFS(実績!$W$6:$W$505,BT$3,実績!$AI$6:$AI$505,"&lt;="&amp;$A56,実績!$AJ$6:$AJ$505,"&gt;"&amp;$A56,実績!$AK$6:$AK$505,"○")&gt;0,1,0))</f>
        <v>0</v>
      </c>
      <c r="BU56" s="39" t="n">
        <f aca="false">IF(BU$4=0,0,IF(COUNTIFS(実績!$W$6:$W$505,BU$3,実績!$AI$6:$AI$505,"&lt;="&amp;$A56,実績!$AJ$6:$AJ$505,"&gt;"&amp;$A56,実績!$AK$6:$AK$505,"○")&gt;0,1,0))</f>
        <v>0</v>
      </c>
      <c r="BV56" s="39" t="n">
        <f aca="false">IF(BV$4=0,0,IF(COUNTIFS(実績!$W$6:$W$505,BV$3,実績!$AI$6:$AI$505,"&lt;="&amp;$A56,実績!$AJ$6:$AJ$505,"&gt;"&amp;$A56,実績!$AK$6:$AK$505,"○")&gt;0,1,0))</f>
        <v>0</v>
      </c>
      <c r="BW56" s="39" t="n">
        <f aca="false">IF(BW$4=0,0,IF(COUNTIFS(実績!$W$6:$W$505,BW$3,実績!$AI$6:$AI$505,"&lt;="&amp;$A56,実績!$AJ$6:$AJ$505,"&gt;"&amp;$A56,実績!$AK$6:$AK$505,"○")&gt;0,1,0))</f>
        <v>0</v>
      </c>
      <c r="BX56" s="39" t="n">
        <f aca="false">IF(BX$4=0,0,IF(COUNTIFS(実績!$W$6:$W$505,BX$3,実績!$AI$6:$AI$505,"&lt;="&amp;$A56,実績!$AJ$6:$AJ$505,"&gt;"&amp;$A56,実績!$AK$6:$AK$505,"○")&gt;0,1,0))</f>
        <v>0</v>
      </c>
      <c r="BY56" s="39" t="n">
        <f aca="false">IF(BY$4=0,0,IF(COUNTIFS(実績!$W$6:$W$505,BY$3,実績!$AI$6:$AI$505,"&lt;="&amp;$A56,実績!$AJ$6:$AJ$505,"&gt;"&amp;$A56,実績!$AK$6:$AK$505,"○")&gt;0,1,0))</f>
        <v>0</v>
      </c>
      <c r="BZ56" s="39" t="n">
        <f aca="false">IF(BZ$4=0,0,IF(COUNTIFS(実績!$W$6:$W$505,BZ$3,実績!$AI$6:$AI$505,"&lt;="&amp;$A56,実績!$AJ$6:$AJ$505,"&gt;"&amp;$A56,実績!$AK$6:$AK$505,"○")&gt;0,1,0))</f>
        <v>0</v>
      </c>
      <c r="CA56" s="39" t="n">
        <f aca="false">IF(CA$4=0,0,IF(COUNTIFS(実績!$W$6:$W$505,CA$3,実績!$AI$6:$AI$505,"&lt;="&amp;$A56,実績!$AJ$6:$AJ$505,"&gt;"&amp;$A56,実績!$AK$6:$AK$505,"○")&gt;0,1,0))</f>
        <v>0</v>
      </c>
      <c r="CB56" s="39" t="n">
        <f aca="false">IF(CB$4=0,0,IF(COUNTIFS(実績!$W$6:$W$505,CB$3,実績!$AI$6:$AI$505,"&lt;="&amp;$A56,実績!$AJ$6:$AJ$505,"&gt;"&amp;$A56,実績!$AK$6:$AK$505,"○")&gt;0,1,0))</f>
        <v>0</v>
      </c>
      <c r="CC56" s="39" t="n">
        <f aca="false">IF(CC$4=0,0,IF(COUNTIFS(実績!$W$6:$W$505,CC$3,実績!$AI$6:$AI$505,"&lt;="&amp;$A56,実績!$AJ$6:$AJ$505,"&gt;"&amp;$A56,実績!$AK$6:$AK$505,"○")&gt;0,1,0))</f>
        <v>0</v>
      </c>
      <c r="CD56" s="39" t="n">
        <f aca="false">IF(CD$4=0,0,IF(COUNTIFS(実績!$W$6:$W$505,CD$3,実績!$AI$6:$AI$505,"&lt;="&amp;$A56,実績!$AJ$6:$AJ$505,"&gt;"&amp;$A56,実績!$AK$6:$AK$505,"○")&gt;0,1,0))</f>
        <v>0</v>
      </c>
      <c r="CE56" s="39" t="n">
        <f aca="false">IF(CE$4=0,0,IF(COUNTIFS(実績!$W$6:$W$505,CE$3,実績!$AI$6:$AI$505,"&lt;="&amp;$A56,実績!$AJ$6:$AJ$505,"&gt;"&amp;$A56,実績!$AK$6:$AK$505,"○")&gt;0,1,0))</f>
        <v>0</v>
      </c>
      <c r="CF56" s="39" t="n">
        <f aca="false">IF(CF$4=0,0,IF(COUNTIFS(実績!$W$6:$W$505,CF$3,実績!$AI$6:$AI$505,"&lt;="&amp;$A56,実績!$AJ$6:$AJ$505,"&gt;"&amp;$A56,実績!$AK$6:$AK$505,"○")&gt;0,1,0))</f>
        <v>0</v>
      </c>
      <c r="CG56" s="39" t="n">
        <f aca="false">IF(CG$4=0,0,IF(COUNTIFS(実績!$W$6:$W$505,CG$3,実績!$AI$6:$AI$505,"&lt;="&amp;$A56,実績!$AJ$6:$AJ$505,"&gt;"&amp;$A56,実績!$AK$6:$AK$505,"○")&gt;0,1,0))</f>
        <v>0</v>
      </c>
      <c r="CH56" s="39" t="n">
        <f aca="false">IF(CH$4=0,0,IF(COUNTIFS(実績!$W$6:$W$505,CH$3,実績!$AI$6:$AI$505,"&lt;="&amp;$A56,実績!$AJ$6:$AJ$505,"&gt;"&amp;$A56,実績!$AK$6:$AK$505,"○")&gt;0,1,0))</f>
        <v>0</v>
      </c>
      <c r="CI56" s="39" t="n">
        <f aca="false">IF(CI$4=0,0,IF(COUNTIFS(実績!$W$6:$W$505,CI$3,実績!$AI$6:$AI$505,"&lt;="&amp;$A56,実績!$AJ$6:$AJ$505,"&gt;"&amp;$A56,実績!$AK$6:$AK$505,"○")&gt;0,1,0))</f>
        <v>0</v>
      </c>
      <c r="CJ56" s="39" t="n">
        <f aca="false">IF(CJ$4=0,0,IF(COUNTIFS(実績!$W$6:$W$505,CJ$3,実績!$AI$6:$AI$505,"&lt;="&amp;$A56,実績!$AJ$6:$AJ$505,"&gt;"&amp;$A56,実績!$AK$6:$AK$505,"○")&gt;0,1,0))</f>
        <v>0</v>
      </c>
      <c r="CK56" s="39" t="n">
        <f aca="false">IF(CK$4=0,0,IF(COUNTIFS(実績!$W$6:$W$505,CK$3,実績!$AI$6:$AI$505,"&lt;="&amp;$A56,実績!$AJ$6:$AJ$505,"&gt;"&amp;$A56,実績!$AK$6:$AK$505,"○")&gt;0,1,0))</f>
        <v>0</v>
      </c>
      <c r="CL56" s="39" t="n">
        <f aca="false">IF(CL$4=0,0,IF(COUNTIFS(実績!$W$6:$W$505,CL$3,実績!$AI$6:$AI$505,"&lt;="&amp;$A56,実績!$AJ$6:$AJ$505,"&gt;"&amp;$A56,実績!$AK$6:$AK$505,"○")&gt;0,1,0))</f>
        <v>0</v>
      </c>
      <c r="CM56" s="39" t="n">
        <f aca="false">IF(CM$4=0,0,IF(COUNTIFS(実績!$W$6:$W$505,CM$3,実績!$AI$6:$AI$505,"&lt;="&amp;$A56,実績!$AJ$6:$AJ$505,"&gt;"&amp;$A56,実績!$AK$6:$AK$505,"○")&gt;0,1,0))</f>
        <v>0</v>
      </c>
      <c r="CN56" s="39" t="n">
        <f aca="false">IF(CN$4=0,0,IF(COUNTIFS(実績!$W$6:$W$505,CN$3,実績!$AI$6:$AI$505,"&lt;="&amp;$A56,実績!$AJ$6:$AJ$505,"&gt;"&amp;$A56,実績!$AK$6:$AK$505,"○")&gt;0,1,0))</f>
        <v>0</v>
      </c>
      <c r="CO56" s="39" t="n">
        <f aca="false">IF(CO$4=0,0,IF(COUNTIFS(実績!$W$6:$W$505,CO$3,実績!$AI$6:$AI$505,"&lt;="&amp;$A56,実績!$AJ$6:$AJ$505,"&gt;"&amp;$A56,実績!$AK$6:$AK$505,"○")&gt;0,1,0))</f>
        <v>0</v>
      </c>
      <c r="CP56" s="39" t="n">
        <f aca="false">IF(CP$4=0,0,IF(COUNTIFS(実績!$W$6:$W$505,CP$3,実績!$AI$6:$AI$505,"&lt;="&amp;$A56,実績!$AJ$6:$AJ$505,"&gt;"&amp;$A56,実績!$AK$6:$AK$505,"○")&gt;0,1,0))</f>
        <v>0</v>
      </c>
      <c r="CQ56" s="39" t="n">
        <f aca="false">IF(CQ$4=0,0,IF(COUNTIFS(実績!$W$6:$W$505,CQ$3,実績!$AI$6:$AI$505,"&lt;="&amp;$A56,実績!$AJ$6:$AJ$505,"&gt;"&amp;$A56,実績!$AK$6:$AK$505,"○")&gt;0,1,0))</f>
        <v>0</v>
      </c>
      <c r="CR56" s="39" t="n">
        <f aca="false">IF(CR$4=0,0,IF(COUNTIFS(実績!$W$6:$W$505,CR$3,実績!$AI$6:$AI$505,"&lt;="&amp;$A56,実績!$AJ$6:$AJ$505,"&gt;"&amp;$A56,実績!$AK$6:$AK$505,"○")&gt;0,1,0))</f>
        <v>0</v>
      </c>
      <c r="CS56" s="39" t="n">
        <f aca="false">IF(CS$4=0,0,IF(COUNTIFS(実績!$W$6:$W$505,CS$3,実績!$AI$6:$AI$505,"&lt;="&amp;$A56,実績!$AJ$6:$AJ$505,"&gt;"&amp;$A56,実績!$AK$6:$AK$505,"○")&gt;0,1,0))</f>
        <v>0</v>
      </c>
      <c r="CT56" s="39" t="n">
        <f aca="false">IF(CT$4=0,0,IF(COUNTIFS(実績!$W$6:$W$505,CT$3,実績!$AI$6:$AI$505,"&lt;="&amp;$A56,実績!$AJ$6:$AJ$505,"&gt;"&amp;$A56,実績!$AK$6:$AK$505,"○")&gt;0,1,0))</f>
        <v>0</v>
      </c>
      <c r="CU56" s="39" t="n">
        <f aca="false">IF(CU$4=0,0,IF(COUNTIFS(実績!$W$6:$W$505,CU$3,実績!$AI$6:$AI$505,"&lt;="&amp;$A56,実績!$AJ$6:$AJ$505,"&gt;"&amp;$A56,実績!$AK$6:$AK$505,"○")&gt;0,1,0))</f>
        <v>0</v>
      </c>
      <c r="CV56" s="39" t="n">
        <f aca="false">IF(CV$4=0,0,IF(COUNTIFS(実績!$W$6:$W$505,CV$3,実績!$AI$6:$AI$505,"&lt;="&amp;$A56,実績!$AJ$6:$AJ$505,"&gt;"&amp;$A56,実績!$AK$6:$AK$505,"○")&gt;0,1,0))</f>
        <v>0</v>
      </c>
      <c r="CW56" s="39" t="n">
        <f aca="false">IF(CW$4=0,0,IF(COUNTIFS(実績!$W$6:$W$505,CW$3,実績!$AI$6:$AI$505,"&lt;="&amp;$A56,実績!$AJ$6:$AJ$505,"&gt;"&amp;$A56,実績!$AK$6:$AK$505,"○")&gt;0,1,0))</f>
        <v>0</v>
      </c>
      <c r="CX56" s="39" t="n">
        <f aca="false">IF(CX$4=0,0,IF(COUNTIFS(実績!$W$6:$W$505,CX$3,実績!$AI$6:$AI$505,"&lt;="&amp;$A56,実績!$AJ$6:$AJ$505,"&gt;"&amp;$A56,実績!$AK$6:$AK$505,"○")&gt;0,1,0))</f>
        <v>0</v>
      </c>
      <c r="CY56" s="39" t="n">
        <f aca="false">IF(CY$4=0,0,IF(COUNTIFS(実績!$W$6:$W$505,CY$3,実績!$AI$6:$AI$505,"&lt;="&amp;$A56,実績!$AJ$6:$AJ$505,"&gt;"&amp;$A56,実績!$AK$6:$AK$505,"○")&gt;0,1,0))</f>
        <v>0</v>
      </c>
      <c r="CZ56" s="39" t="n">
        <f aca="false">IF(CZ$4=0,0,IF(COUNTIFS(実績!$W$6:$W$505,CZ$3,実績!$AI$6:$AI$505,"&lt;="&amp;$A56,実績!$AJ$6:$AJ$505,"&gt;"&amp;$A56,実績!$AK$6:$AK$505,"○")&gt;0,1,0))</f>
        <v>0</v>
      </c>
      <c r="DA56" s="39" t="n">
        <f aca="false">IF(DA$4=0,0,IF(COUNTIFS(実績!$W$6:$W$505,DA$3,実績!$AI$6:$AI$505,"&lt;="&amp;$A56,実績!$AJ$6:$AJ$505,"&gt;"&amp;$A56,実績!$AK$6:$AK$505,"○")&gt;0,1,0))</f>
        <v>0</v>
      </c>
      <c r="DB56" s="39" t="n">
        <f aca="false">IF(DB$4=0,0,IF(COUNTIFS(実績!$W$6:$W$505,DB$3,実績!$AI$6:$AI$505,"&lt;="&amp;$A56,実績!$AJ$6:$AJ$505,"&gt;"&amp;$A56,実績!$AK$6:$AK$505,"○")&gt;0,1,0))</f>
        <v>0</v>
      </c>
      <c r="DC56" s="39" t="n">
        <f aca="false">IF(DC$4=0,0,IF(COUNTIFS(実績!$W$6:$W$505,DC$3,実績!$AI$6:$AI$505,"&lt;="&amp;$A56,実績!$AJ$6:$AJ$505,"&gt;"&amp;$A56,実績!$AK$6:$AK$505,"○")&gt;0,1,0))</f>
        <v>0</v>
      </c>
      <c r="DD56" s="39" t="n">
        <f aca="false">IF(DD$4=0,0,IF(COUNTIFS(実績!$W$6:$W$505,DD$3,実績!$AI$6:$AI$505,"&lt;="&amp;$A56,実績!$AJ$6:$AJ$505,"&gt;"&amp;$A56,実績!$AK$6:$AK$505,"○")&gt;0,1,0))</f>
        <v>0</v>
      </c>
      <c r="DE56" s="39" t="n">
        <f aca="false">IF(DE$4=0,0,IF(COUNTIFS(実績!$W$6:$W$505,DE$3,実績!$AI$6:$AI$505,"&lt;="&amp;$A56,実績!$AJ$6:$AJ$505,"&gt;"&amp;$A56,実績!$AK$6:$AK$505,"○")&gt;0,1,0))</f>
        <v>0</v>
      </c>
      <c r="DF56" s="39" t="n">
        <f aca="false">IF(DF$4=0,0,IF(COUNTIFS(実績!$W$6:$W$505,DF$3,実績!$AI$6:$AI$505,"&lt;="&amp;$A56,実績!$AJ$6:$AJ$505,"&gt;"&amp;$A56,実績!$AK$6:$AK$505,"○")&gt;0,1,0))</f>
        <v>0</v>
      </c>
      <c r="DG56" s="39" t="n">
        <f aca="false">IF(DG$4=0,0,IF(COUNTIFS(実績!$W$6:$W$505,DG$3,実績!$AI$6:$AI$505,"&lt;="&amp;$A56,実績!$AJ$6:$AJ$505,"&gt;"&amp;$A56,実績!$AK$6:$AK$505,"○")&gt;0,1,0))</f>
        <v>0</v>
      </c>
      <c r="DH56" s="39" t="n">
        <f aca="false">IF(DH$4=0,0,IF(COUNTIFS(実績!$W$6:$W$505,DH$3,実績!$AI$6:$AI$505,"&lt;="&amp;$A56,実績!$AJ$6:$AJ$505,"&gt;"&amp;$A56,実績!$AK$6:$AK$505,"○")&gt;0,1,0))</f>
        <v>0</v>
      </c>
      <c r="DI56" s="39" t="n">
        <f aca="false">IF(DI$4=0,0,IF(COUNTIFS(実績!$W$6:$W$505,DI$3,実績!$AI$6:$AI$505,"&lt;="&amp;$A56,実績!$AJ$6:$AJ$505,"&gt;"&amp;$A56,実績!$AK$6:$AK$505,"○")&gt;0,1,0))</f>
        <v>0</v>
      </c>
      <c r="DJ56" s="39" t="n">
        <f aca="false">IF(DJ$4=0,0,IF(COUNTIFS(実績!$W$6:$W$505,DJ$3,実績!$AI$6:$AI$505,"&lt;="&amp;$A56,実績!$AJ$6:$AJ$505,"&gt;"&amp;$A56,実績!$AK$6:$AK$505,"○")&gt;0,1,0))</f>
        <v>0</v>
      </c>
      <c r="DK56" s="39" t="n">
        <f aca="false">IF(DK$4=0,0,IF(COUNTIFS(実績!$W$6:$W$505,DK$3,実績!$AI$6:$AI$505,"&lt;="&amp;$A56,実績!$AJ$6:$AJ$505,"&gt;"&amp;$A56,実績!$AK$6:$AK$505,"○")&gt;0,1,0))</f>
        <v>0</v>
      </c>
      <c r="DL56" s="39" t="n">
        <f aca="false">IF(DL$4=0,0,IF(COUNTIFS(実績!$W$6:$W$505,DL$3,実績!$AI$6:$AI$505,"&lt;="&amp;$A56,実績!$AJ$6:$AJ$505,"&gt;"&amp;$A56,実績!$AK$6:$AK$505,"○")&gt;0,1,0))</f>
        <v>0</v>
      </c>
      <c r="DM56" s="39" t="n">
        <f aca="false">IF(DM$4=0,0,IF(COUNTIFS(実績!$W$6:$W$505,DM$3,実績!$AI$6:$AI$505,"&lt;="&amp;$A56,実績!$AJ$6:$AJ$505,"&gt;"&amp;$A56,実績!$AK$6:$AK$505,"○")&gt;0,1,0))</f>
        <v>0</v>
      </c>
      <c r="DN56" s="39" t="n">
        <f aca="false">IF(DN$4=0,0,IF(COUNTIFS(実績!$W$6:$W$505,DN$3,実績!$AI$6:$AI$505,"&lt;="&amp;$A56,実績!$AJ$6:$AJ$505,"&gt;"&amp;$A56,実績!$AK$6:$AK$505,"○")&gt;0,1,0))</f>
        <v>0</v>
      </c>
      <c r="DO56" s="39" t="n">
        <f aca="false">IF(DO$4=0,0,IF(COUNTIFS(実績!$W$6:$W$505,DO$3,実績!$AI$6:$AI$505,"&lt;="&amp;$A56,実績!$AJ$6:$AJ$505,"&gt;"&amp;$A56,実績!$AK$6:$AK$505,"○")&gt;0,1,0))</f>
        <v>0</v>
      </c>
      <c r="DP56" s="39" t="n">
        <f aca="false">IF(DP$4=0,0,IF(COUNTIFS(実績!$W$6:$W$505,DP$3,実績!$AI$6:$AI$505,"&lt;="&amp;$A56,実績!$AJ$6:$AJ$505,"&gt;"&amp;$A56,実績!$AK$6:$AK$505,"○")&gt;0,1,0))</f>
        <v>0</v>
      </c>
      <c r="DQ56" s="39" t="n">
        <f aca="false">IF(DQ$4=0,0,IF(COUNTIFS(実績!$W$6:$W$505,DQ$3,実績!$AI$6:$AI$505,"&lt;="&amp;$A56,実績!$AJ$6:$AJ$505,"&gt;"&amp;$A56,実績!$AK$6:$AK$505,"○")&gt;0,1,0))</f>
        <v>0</v>
      </c>
      <c r="DR56" s="39" t="n">
        <f aca="false">IF(DR$4=0,0,IF(COUNTIFS(実績!$W$6:$W$505,DR$3,実績!$AI$6:$AI$505,"&lt;="&amp;$A56,実績!$AJ$6:$AJ$505,"&gt;"&amp;$A56,実績!$AK$6:$AK$505,"○")&gt;0,1,0))</f>
        <v>0</v>
      </c>
      <c r="DS56" s="39" t="n">
        <f aca="false">SUM(C56:DR56)</f>
        <v>0</v>
      </c>
      <c r="DT56" s="39" t="n">
        <f aca="false">SUMPRODUCT((実績!$C$6:$C$505="○")*ISNUMBER(実績!$AM$6:$AM$505)*(実績!$AM$6:$AM$505&lt;=$A56)*(実績!$AN$6:$AN$505&gt;$A56))</f>
        <v>0</v>
      </c>
      <c r="DU56" s="39" t="n">
        <f aca="false">SUMIF($C$2:$DR$2,"製鉄曳船",C56:DR56)</f>
        <v>0</v>
      </c>
      <c r="DV56" s="39" t="n">
        <f aca="false">SUMIF($C$2:$DR$2,"西日本海運",C56:DR56)</f>
        <v>0</v>
      </c>
    </row>
    <row r="57" customFormat="false" ht="15" hidden="false" customHeight="false" outlineLevel="0" collapsed="false">
      <c r="A57" s="0" t="n">
        <v>255</v>
      </c>
      <c r="B57" s="38" t="n">
        <f aca="false">A57/1440</f>
        <v>0.177083333333333</v>
      </c>
      <c r="C57" s="39" t="n">
        <f aca="false">IF(C$4=0,0,IF(COUNTIFS(実績!$W$6:$W$505,C$3,実績!$AI$6:$AI$505,"&lt;="&amp;$A57,実績!$AJ$6:$AJ$505,"&gt;"&amp;$A57,実績!$AK$6:$AK$505,"○")&gt;0,1,0))</f>
        <v>0</v>
      </c>
      <c r="D57" s="39" t="n">
        <f aca="false">IF(D$4=0,0,IF(COUNTIFS(実績!$W$6:$W$505,D$3,実績!$AI$6:$AI$505,"&lt;="&amp;$A57,実績!$AJ$6:$AJ$505,"&gt;"&amp;$A57,実績!$AK$6:$AK$505,"○")&gt;0,1,0))</f>
        <v>0</v>
      </c>
      <c r="E57" s="39" t="n">
        <f aca="false">IF(E$4=0,0,IF(COUNTIFS(実績!$W$6:$W$505,E$3,実績!$AI$6:$AI$505,"&lt;="&amp;$A57,実績!$AJ$6:$AJ$505,"&gt;"&amp;$A57,実績!$AK$6:$AK$505,"○")&gt;0,1,0))</f>
        <v>0</v>
      </c>
      <c r="F57" s="39" t="n">
        <f aca="false">IF(F$4=0,0,IF(COUNTIFS(実績!$W$6:$W$505,F$3,実績!$AI$6:$AI$505,"&lt;="&amp;$A57,実績!$AJ$6:$AJ$505,"&gt;"&amp;$A57,実績!$AK$6:$AK$505,"○")&gt;0,1,0))</f>
        <v>0</v>
      </c>
      <c r="G57" s="39" t="n">
        <f aca="false">IF(G$4=0,0,IF(COUNTIFS(実績!$W$6:$W$505,G$3,実績!$AI$6:$AI$505,"&lt;="&amp;$A57,実績!$AJ$6:$AJ$505,"&gt;"&amp;$A57,実績!$AK$6:$AK$505,"○")&gt;0,1,0))</f>
        <v>0</v>
      </c>
      <c r="H57" s="39" t="n">
        <f aca="false">IF(H$4=0,0,IF(COUNTIFS(実績!$W$6:$W$505,H$3,実績!$AI$6:$AI$505,"&lt;="&amp;$A57,実績!$AJ$6:$AJ$505,"&gt;"&amp;$A57,実績!$AK$6:$AK$505,"○")&gt;0,1,0))</f>
        <v>0</v>
      </c>
      <c r="I57" s="39" t="n">
        <f aca="false">IF(I$4=0,0,IF(COUNTIFS(実績!$W$6:$W$505,I$3,実績!$AI$6:$AI$505,"&lt;="&amp;$A57,実績!$AJ$6:$AJ$505,"&gt;"&amp;$A57,実績!$AK$6:$AK$505,"○")&gt;0,1,0))</f>
        <v>0</v>
      </c>
      <c r="J57" s="39" t="n">
        <f aca="false">IF(J$4=0,0,IF(COUNTIFS(実績!$W$6:$W$505,J$3,実績!$AI$6:$AI$505,"&lt;="&amp;$A57,実績!$AJ$6:$AJ$505,"&gt;"&amp;$A57,実績!$AK$6:$AK$505,"○")&gt;0,1,0))</f>
        <v>0</v>
      </c>
      <c r="K57" s="39" t="n">
        <f aca="false">IF(K$4=0,0,IF(COUNTIFS(実績!$W$6:$W$505,K$3,実績!$AI$6:$AI$505,"&lt;="&amp;$A57,実績!$AJ$6:$AJ$505,"&gt;"&amp;$A57,実績!$AK$6:$AK$505,"○")&gt;0,1,0))</f>
        <v>0</v>
      </c>
      <c r="L57" s="39" t="n">
        <f aca="false">IF(L$4=0,0,IF(COUNTIFS(実績!$W$6:$W$505,L$3,実績!$AI$6:$AI$505,"&lt;="&amp;$A57,実績!$AJ$6:$AJ$505,"&gt;"&amp;$A57,実績!$AK$6:$AK$505,"○")&gt;0,1,0))</f>
        <v>0</v>
      </c>
      <c r="M57" s="39" t="n">
        <f aca="false">IF(M$4=0,0,IF(COUNTIFS(実績!$W$6:$W$505,M$3,実績!$AI$6:$AI$505,"&lt;="&amp;$A57,実績!$AJ$6:$AJ$505,"&gt;"&amp;$A57,実績!$AK$6:$AK$505,"○")&gt;0,1,0))</f>
        <v>0</v>
      </c>
      <c r="N57" s="39" t="n">
        <f aca="false">IF(N$4=0,0,IF(COUNTIFS(実績!$W$6:$W$505,N$3,実績!$AI$6:$AI$505,"&lt;="&amp;$A57,実績!$AJ$6:$AJ$505,"&gt;"&amp;$A57,実績!$AK$6:$AK$505,"○")&gt;0,1,0))</f>
        <v>0</v>
      </c>
      <c r="O57" s="39" t="n">
        <f aca="false">IF(O$4=0,0,IF(COUNTIFS(実績!$W$6:$W$505,O$3,実績!$AI$6:$AI$505,"&lt;="&amp;$A57,実績!$AJ$6:$AJ$505,"&gt;"&amp;$A57,実績!$AK$6:$AK$505,"○")&gt;0,1,0))</f>
        <v>0</v>
      </c>
      <c r="P57" s="39" t="n">
        <f aca="false">IF(P$4=0,0,IF(COUNTIFS(実績!$W$6:$W$505,P$3,実績!$AI$6:$AI$505,"&lt;="&amp;$A57,実績!$AJ$6:$AJ$505,"&gt;"&amp;$A57,実績!$AK$6:$AK$505,"○")&gt;0,1,0))</f>
        <v>0</v>
      </c>
      <c r="Q57" s="39" t="n">
        <f aca="false">IF(Q$4=0,0,IF(COUNTIFS(実績!$W$6:$W$505,Q$3,実績!$AI$6:$AI$505,"&lt;="&amp;$A57,実績!$AJ$6:$AJ$505,"&gt;"&amp;$A57,実績!$AK$6:$AK$505,"○")&gt;0,1,0))</f>
        <v>0</v>
      </c>
      <c r="R57" s="39" t="n">
        <f aca="false">IF(R$4=0,0,IF(COUNTIFS(実績!$W$6:$W$505,R$3,実績!$AI$6:$AI$505,"&lt;="&amp;$A57,実績!$AJ$6:$AJ$505,"&gt;"&amp;$A57,実績!$AK$6:$AK$505,"○")&gt;0,1,0))</f>
        <v>0</v>
      </c>
      <c r="S57" s="39" t="n">
        <f aca="false">IF(S$4=0,0,IF(COUNTIFS(実績!$W$6:$W$505,S$3,実績!$AI$6:$AI$505,"&lt;="&amp;$A57,実績!$AJ$6:$AJ$505,"&gt;"&amp;$A57,実績!$AK$6:$AK$505,"○")&gt;0,1,0))</f>
        <v>0</v>
      </c>
      <c r="T57" s="39" t="n">
        <f aca="false">IF(T$4=0,0,IF(COUNTIFS(実績!$W$6:$W$505,T$3,実績!$AI$6:$AI$505,"&lt;="&amp;$A57,実績!$AJ$6:$AJ$505,"&gt;"&amp;$A57,実績!$AK$6:$AK$505,"○")&gt;0,1,0))</f>
        <v>0</v>
      </c>
      <c r="U57" s="39" t="n">
        <f aca="false">IF(U$4=0,0,IF(COUNTIFS(実績!$W$6:$W$505,U$3,実績!$AI$6:$AI$505,"&lt;="&amp;$A57,実績!$AJ$6:$AJ$505,"&gt;"&amp;$A57,実績!$AK$6:$AK$505,"○")&gt;0,1,0))</f>
        <v>0</v>
      </c>
      <c r="V57" s="39" t="n">
        <f aca="false">IF(V$4=0,0,IF(COUNTIFS(実績!$W$6:$W$505,V$3,実績!$AI$6:$AI$505,"&lt;="&amp;$A57,実績!$AJ$6:$AJ$505,"&gt;"&amp;$A57,実績!$AK$6:$AK$505,"○")&gt;0,1,0))</f>
        <v>0</v>
      </c>
      <c r="W57" s="39" t="n">
        <f aca="false">IF(W$4=0,0,IF(COUNTIFS(実績!$W$6:$W$505,W$3,実績!$AI$6:$AI$505,"&lt;="&amp;$A57,実績!$AJ$6:$AJ$505,"&gt;"&amp;$A57,実績!$AK$6:$AK$505,"○")&gt;0,1,0))</f>
        <v>0</v>
      </c>
      <c r="X57" s="39" t="n">
        <f aca="false">IF(X$4=0,0,IF(COUNTIFS(実績!$W$6:$W$505,X$3,実績!$AI$6:$AI$505,"&lt;="&amp;$A57,実績!$AJ$6:$AJ$505,"&gt;"&amp;$A57,実績!$AK$6:$AK$505,"○")&gt;0,1,0))</f>
        <v>0</v>
      </c>
      <c r="Y57" s="39" t="n">
        <f aca="false">IF(Y$4=0,0,IF(COUNTIFS(実績!$W$6:$W$505,Y$3,実績!$AI$6:$AI$505,"&lt;="&amp;$A57,実績!$AJ$6:$AJ$505,"&gt;"&amp;$A57,実績!$AK$6:$AK$505,"○")&gt;0,1,0))</f>
        <v>0</v>
      </c>
      <c r="Z57" s="39" t="n">
        <f aca="false">IF(Z$4=0,0,IF(COUNTIFS(実績!$W$6:$W$505,Z$3,実績!$AI$6:$AI$505,"&lt;="&amp;$A57,実績!$AJ$6:$AJ$505,"&gt;"&amp;$A57,実績!$AK$6:$AK$505,"○")&gt;0,1,0))</f>
        <v>0</v>
      </c>
      <c r="AA57" s="39" t="n">
        <f aca="false">IF(AA$4=0,0,IF(COUNTIFS(実績!$W$6:$W$505,AA$3,実績!$AI$6:$AI$505,"&lt;="&amp;$A57,実績!$AJ$6:$AJ$505,"&gt;"&amp;$A57,実績!$AK$6:$AK$505,"○")&gt;0,1,0))</f>
        <v>0</v>
      </c>
      <c r="AB57" s="39" t="n">
        <f aca="false">IF(AB$4=0,0,IF(COUNTIFS(実績!$W$6:$W$505,AB$3,実績!$AI$6:$AI$505,"&lt;="&amp;$A57,実績!$AJ$6:$AJ$505,"&gt;"&amp;$A57,実績!$AK$6:$AK$505,"○")&gt;0,1,0))</f>
        <v>0</v>
      </c>
      <c r="AC57" s="39" t="n">
        <f aca="false">IF(AC$4=0,0,IF(COUNTIFS(実績!$W$6:$W$505,AC$3,実績!$AI$6:$AI$505,"&lt;="&amp;$A57,実績!$AJ$6:$AJ$505,"&gt;"&amp;$A57,実績!$AK$6:$AK$505,"○")&gt;0,1,0))</f>
        <v>0</v>
      </c>
      <c r="AD57" s="39" t="n">
        <f aca="false">IF(AD$4=0,0,IF(COUNTIFS(実績!$W$6:$W$505,AD$3,実績!$AI$6:$AI$505,"&lt;="&amp;$A57,実績!$AJ$6:$AJ$505,"&gt;"&amp;$A57,実績!$AK$6:$AK$505,"○")&gt;0,1,0))</f>
        <v>0</v>
      </c>
      <c r="AE57" s="39" t="n">
        <f aca="false">IF(AE$4=0,0,IF(COUNTIFS(実績!$W$6:$W$505,AE$3,実績!$AI$6:$AI$505,"&lt;="&amp;$A57,実績!$AJ$6:$AJ$505,"&gt;"&amp;$A57,実績!$AK$6:$AK$505,"○")&gt;0,1,0))</f>
        <v>0</v>
      </c>
      <c r="AF57" s="39" t="n">
        <f aca="false">IF(AF$4=0,0,IF(COUNTIFS(実績!$W$6:$W$505,AF$3,実績!$AI$6:$AI$505,"&lt;="&amp;$A57,実績!$AJ$6:$AJ$505,"&gt;"&amp;$A57,実績!$AK$6:$AK$505,"○")&gt;0,1,0))</f>
        <v>0</v>
      </c>
      <c r="AG57" s="39" t="n">
        <f aca="false">IF(AG$4=0,0,IF(COUNTIFS(実績!$W$6:$W$505,AG$3,実績!$AI$6:$AI$505,"&lt;="&amp;$A57,実績!$AJ$6:$AJ$505,"&gt;"&amp;$A57,実績!$AK$6:$AK$505,"○")&gt;0,1,0))</f>
        <v>0</v>
      </c>
      <c r="AH57" s="39" t="n">
        <f aca="false">IF(AH$4=0,0,IF(COUNTIFS(実績!$W$6:$W$505,AH$3,実績!$AI$6:$AI$505,"&lt;="&amp;$A57,実績!$AJ$6:$AJ$505,"&gt;"&amp;$A57,実績!$AK$6:$AK$505,"○")&gt;0,1,0))</f>
        <v>0</v>
      </c>
      <c r="AI57" s="39" t="n">
        <f aca="false">IF(AI$4=0,0,IF(COUNTIFS(実績!$W$6:$W$505,AI$3,実績!$AI$6:$AI$505,"&lt;="&amp;$A57,実績!$AJ$6:$AJ$505,"&gt;"&amp;$A57,実績!$AK$6:$AK$505,"○")&gt;0,1,0))</f>
        <v>0</v>
      </c>
      <c r="AJ57" s="39" t="n">
        <f aca="false">IF(AJ$4=0,0,IF(COUNTIFS(実績!$W$6:$W$505,AJ$3,実績!$AI$6:$AI$505,"&lt;="&amp;$A57,実績!$AJ$6:$AJ$505,"&gt;"&amp;$A57,実績!$AK$6:$AK$505,"○")&gt;0,1,0))</f>
        <v>0</v>
      </c>
      <c r="AK57" s="39" t="n">
        <f aca="false">IF(AK$4=0,0,IF(COUNTIFS(実績!$W$6:$W$505,AK$3,実績!$AI$6:$AI$505,"&lt;="&amp;$A57,実績!$AJ$6:$AJ$505,"&gt;"&amp;$A57,実績!$AK$6:$AK$505,"○")&gt;0,1,0))</f>
        <v>0</v>
      </c>
      <c r="AL57" s="39" t="n">
        <f aca="false">IF(AL$4=0,0,IF(COUNTIFS(実績!$W$6:$W$505,AL$3,実績!$AI$6:$AI$505,"&lt;="&amp;$A57,実績!$AJ$6:$AJ$505,"&gt;"&amp;$A57,実績!$AK$6:$AK$505,"○")&gt;0,1,0))</f>
        <v>0</v>
      </c>
      <c r="AM57" s="39" t="n">
        <f aca="false">IF(AM$4=0,0,IF(COUNTIFS(実績!$W$6:$W$505,AM$3,実績!$AI$6:$AI$505,"&lt;="&amp;$A57,実績!$AJ$6:$AJ$505,"&gt;"&amp;$A57,実績!$AK$6:$AK$505,"○")&gt;0,1,0))</f>
        <v>0</v>
      </c>
      <c r="AN57" s="39" t="n">
        <f aca="false">IF(AN$4=0,0,IF(COUNTIFS(実績!$W$6:$W$505,AN$3,実績!$AI$6:$AI$505,"&lt;="&amp;$A57,実績!$AJ$6:$AJ$505,"&gt;"&amp;$A57,実績!$AK$6:$AK$505,"○")&gt;0,1,0))</f>
        <v>0</v>
      </c>
      <c r="AO57" s="39" t="n">
        <f aca="false">IF(AO$4=0,0,IF(COUNTIFS(実績!$W$6:$W$505,AO$3,実績!$AI$6:$AI$505,"&lt;="&amp;$A57,実績!$AJ$6:$AJ$505,"&gt;"&amp;$A57,実績!$AK$6:$AK$505,"○")&gt;0,1,0))</f>
        <v>0</v>
      </c>
      <c r="AP57" s="39" t="n">
        <f aca="false">IF(AP$4=0,0,IF(COUNTIFS(実績!$W$6:$W$505,AP$3,実績!$AI$6:$AI$505,"&lt;="&amp;$A57,実績!$AJ$6:$AJ$505,"&gt;"&amp;$A57,実績!$AK$6:$AK$505,"○")&gt;0,1,0))</f>
        <v>0</v>
      </c>
      <c r="AQ57" s="39" t="n">
        <f aca="false">IF(AQ$4=0,0,IF(COUNTIFS(実績!$W$6:$W$505,AQ$3,実績!$AI$6:$AI$505,"&lt;="&amp;$A57,実績!$AJ$6:$AJ$505,"&gt;"&amp;$A57,実績!$AK$6:$AK$505,"○")&gt;0,1,0))</f>
        <v>0</v>
      </c>
      <c r="AR57" s="39" t="n">
        <f aca="false">IF(AR$4=0,0,IF(COUNTIFS(実績!$W$6:$W$505,AR$3,実績!$AI$6:$AI$505,"&lt;="&amp;$A57,実績!$AJ$6:$AJ$505,"&gt;"&amp;$A57,実績!$AK$6:$AK$505,"○")&gt;0,1,0))</f>
        <v>0</v>
      </c>
      <c r="AS57" s="39" t="n">
        <f aca="false">IF(AS$4=0,0,IF(COUNTIFS(実績!$W$6:$W$505,AS$3,実績!$AI$6:$AI$505,"&lt;="&amp;$A57,実績!$AJ$6:$AJ$505,"&gt;"&amp;$A57,実績!$AK$6:$AK$505,"○")&gt;0,1,0))</f>
        <v>0</v>
      </c>
      <c r="AT57" s="39" t="n">
        <f aca="false">IF(AT$4=0,0,IF(COUNTIFS(実績!$W$6:$W$505,AT$3,実績!$AI$6:$AI$505,"&lt;="&amp;$A57,実績!$AJ$6:$AJ$505,"&gt;"&amp;$A57,実績!$AK$6:$AK$505,"○")&gt;0,1,0))</f>
        <v>0</v>
      </c>
      <c r="AU57" s="39" t="n">
        <f aca="false">IF(AU$4=0,0,IF(COUNTIFS(実績!$W$6:$W$505,AU$3,実績!$AI$6:$AI$505,"&lt;="&amp;$A57,実績!$AJ$6:$AJ$505,"&gt;"&amp;$A57,実績!$AK$6:$AK$505,"○")&gt;0,1,0))</f>
        <v>0</v>
      </c>
      <c r="AV57" s="39" t="n">
        <f aca="false">IF(AV$4=0,0,IF(COUNTIFS(実績!$W$6:$W$505,AV$3,実績!$AI$6:$AI$505,"&lt;="&amp;$A57,実績!$AJ$6:$AJ$505,"&gt;"&amp;$A57,実績!$AK$6:$AK$505,"○")&gt;0,1,0))</f>
        <v>0</v>
      </c>
      <c r="AW57" s="39" t="n">
        <f aca="false">IF(AW$4=0,0,IF(COUNTIFS(実績!$W$6:$W$505,AW$3,実績!$AI$6:$AI$505,"&lt;="&amp;$A57,実績!$AJ$6:$AJ$505,"&gt;"&amp;$A57,実績!$AK$6:$AK$505,"○")&gt;0,1,0))</f>
        <v>0</v>
      </c>
      <c r="AX57" s="39" t="n">
        <f aca="false">IF(AX$4=0,0,IF(COUNTIFS(実績!$W$6:$W$505,AX$3,実績!$AI$6:$AI$505,"&lt;="&amp;$A57,実績!$AJ$6:$AJ$505,"&gt;"&amp;$A57,実績!$AK$6:$AK$505,"○")&gt;0,1,0))</f>
        <v>0</v>
      </c>
      <c r="AY57" s="39" t="n">
        <f aca="false">IF(AY$4=0,0,IF(COUNTIFS(実績!$W$6:$W$505,AY$3,実績!$AI$6:$AI$505,"&lt;="&amp;$A57,実績!$AJ$6:$AJ$505,"&gt;"&amp;$A57,実績!$AK$6:$AK$505,"○")&gt;0,1,0))</f>
        <v>0</v>
      </c>
      <c r="AZ57" s="39" t="n">
        <f aca="false">IF(AZ$4=0,0,IF(COUNTIFS(実績!$W$6:$W$505,AZ$3,実績!$AI$6:$AI$505,"&lt;="&amp;$A57,実績!$AJ$6:$AJ$505,"&gt;"&amp;$A57,実績!$AK$6:$AK$505,"○")&gt;0,1,0))</f>
        <v>0</v>
      </c>
      <c r="BA57" s="39" t="n">
        <f aca="false">IF(BA$4=0,0,IF(COUNTIFS(実績!$W$6:$W$505,BA$3,実績!$AI$6:$AI$505,"&lt;="&amp;$A57,実績!$AJ$6:$AJ$505,"&gt;"&amp;$A57,実績!$AK$6:$AK$505,"○")&gt;0,1,0))</f>
        <v>0</v>
      </c>
      <c r="BB57" s="39" t="n">
        <f aca="false">IF(BB$4=0,0,IF(COUNTIFS(実績!$W$6:$W$505,BB$3,実績!$AI$6:$AI$505,"&lt;="&amp;$A57,実績!$AJ$6:$AJ$505,"&gt;"&amp;$A57,実績!$AK$6:$AK$505,"○")&gt;0,1,0))</f>
        <v>0</v>
      </c>
      <c r="BC57" s="39" t="n">
        <f aca="false">IF(BC$4=0,0,IF(COUNTIFS(実績!$W$6:$W$505,BC$3,実績!$AI$6:$AI$505,"&lt;="&amp;$A57,実績!$AJ$6:$AJ$505,"&gt;"&amp;$A57,実績!$AK$6:$AK$505,"○")&gt;0,1,0))</f>
        <v>0</v>
      </c>
      <c r="BD57" s="39" t="n">
        <f aca="false">IF(BD$4=0,0,IF(COUNTIFS(実績!$W$6:$W$505,BD$3,実績!$AI$6:$AI$505,"&lt;="&amp;$A57,実績!$AJ$6:$AJ$505,"&gt;"&amp;$A57,実績!$AK$6:$AK$505,"○")&gt;0,1,0))</f>
        <v>0</v>
      </c>
      <c r="BE57" s="39" t="n">
        <f aca="false">IF(BE$4=0,0,IF(COUNTIFS(実績!$W$6:$W$505,BE$3,実績!$AI$6:$AI$505,"&lt;="&amp;$A57,実績!$AJ$6:$AJ$505,"&gt;"&amp;$A57,実績!$AK$6:$AK$505,"○")&gt;0,1,0))</f>
        <v>0</v>
      </c>
      <c r="BF57" s="39" t="n">
        <f aca="false">IF(BF$4=0,0,IF(COUNTIFS(実績!$W$6:$W$505,BF$3,実績!$AI$6:$AI$505,"&lt;="&amp;$A57,実績!$AJ$6:$AJ$505,"&gt;"&amp;$A57,実績!$AK$6:$AK$505,"○")&gt;0,1,0))</f>
        <v>0</v>
      </c>
      <c r="BG57" s="39" t="n">
        <f aca="false">IF(BG$4=0,0,IF(COUNTIFS(実績!$W$6:$W$505,BG$3,実績!$AI$6:$AI$505,"&lt;="&amp;$A57,実績!$AJ$6:$AJ$505,"&gt;"&amp;$A57,実績!$AK$6:$AK$505,"○")&gt;0,1,0))</f>
        <v>0</v>
      </c>
      <c r="BH57" s="39" t="n">
        <f aca="false">IF(BH$4=0,0,IF(COUNTIFS(実績!$W$6:$W$505,BH$3,実績!$AI$6:$AI$505,"&lt;="&amp;$A57,実績!$AJ$6:$AJ$505,"&gt;"&amp;$A57,実績!$AK$6:$AK$505,"○")&gt;0,1,0))</f>
        <v>0</v>
      </c>
      <c r="BI57" s="39" t="n">
        <f aca="false">IF(BI$4=0,0,IF(COUNTIFS(実績!$W$6:$W$505,BI$3,実績!$AI$6:$AI$505,"&lt;="&amp;$A57,実績!$AJ$6:$AJ$505,"&gt;"&amp;$A57,実績!$AK$6:$AK$505,"○")&gt;0,1,0))</f>
        <v>0</v>
      </c>
      <c r="BJ57" s="39" t="n">
        <f aca="false">IF(BJ$4=0,0,IF(COUNTIFS(実績!$W$6:$W$505,BJ$3,実績!$AI$6:$AI$505,"&lt;="&amp;$A57,実績!$AJ$6:$AJ$505,"&gt;"&amp;$A57,実績!$AK$6:$AK$505,"○")&gt;0,1,0))</f>
        <v>0</v>
      </c>
      <c r="BK57" s="39" t="n">
        <f aca="false">IF(BK$4=0,0,IF(COUNTIFS(実績!$W$6:$W$505,BK$3,実績!$AI$6:$AI$505,"&lt;="&amp;$A57,実績!$AJ$6:$AJ$505,"&gt;"&amp;$A57,実績!$AK$6:$AK$505,"○")&gt;0,1,0))</f>
        <v>0</v>
      </c>
      <c r="BL57" s="39" t="n">
        <f aca="false">IF(BL$4=0,0,IF(COUNTIFS(実績!$W$6:$W$505,BL$3,実績!$AI$6:$AI$505,"&lt;="&amp;$A57,実績!$AJ$6:$AJ$505,"&gt;"&amp;$A57,実績!$AK$6:$AK$505,"○")&gt;0,1,0))</f>
        <v>0</v>
      </c>
      <c r="BM57" s="39" t="n">
        <f aca="false">IF(BM$4=0,0,IF(COUNTIFS(実績!$W$6:$W$505,BM$3,実績!$AI$6:$AI$505,"&lt;="&amp;$A57,実績!$AJ$6:$AJ$505,"&gt;"&amp;$A57,実績!$AK$6:$AK$505,"○")&gt;0,1,0))</f>
        <v>0</v>
      </c>
      <c r="BN57" s="39" t="n">
        <f aca="false">IF(BN$4=0,0,IF(COUNTIFS(実績!$W$6:$W$505,BN$3,実績!$AI$6:$AI$505,"&lt;="&amp;$A57,実績!$AJ$6:$AJ$505,"&gt;"&amp;$A57,実績!$AK$6:$AK$505,"○")&gt;0,1,0))</f>
        <v>0</v>
      </c>
      <c r="BO57" s="39" t="n">
        <f aca="false">IF(BO$4=0,0,IF(COUNTIFS(実績!$W$6:$W$505,BO$3,実績!$AI$6:$AI$505,"&lt;="&amp;$A57,実績!$AJ$6:$AJ$505,"&gt;"&amp;$A57,実績!$AK$6:$AK$505,"○")&gt;0,1,0))</f>
        <v>0</v>
      </c>
      <c r="BP57" s="39" t="n">
        <f aca="false">IF(BP$4=0,0,IF(COUNTIFS(実績!$W$6:$W$505,BP$3,実績!$AI$6:$AI$505,"&lt;="&amp;$A57,実績!$AJ$6:$AJ$505,"&gt;"&amp;$A57,実績!$AK$6:$AK$505,"○")&gt;0,1,0))</f>
        <v>0</v>
      </c>
      <c r="BQ57" s="39" t="n">
        <f aca="false">IF(BQ$4=0,0,IF(COUNTIFS(実績!$W$6:$W$505,BQ$3,実績!$AI$6:$AI$505,"&lt;="&amp;$A57,実績!$AJ$6:$AJ$505,"&gt;"&amp;$A57,実績!$AK$6:$AK$505,"○")&gt;0,1,0))</f>
        <v>0</v>
      </c>
      <c r="BR57" s="39" t="n">
        <f aca="false">IF(BR$4=0,0,IF(COUNTIFS(実績!$W$6:$W$505,BR$3,実績!$AI$6:$AI$505,"&lt;="&amp;$A57,実績!$AJ$6:$AJ$505,"&gt;"&amp;$A57,実績!$AK$6:$AK$505,"○")&gt;0,1,0))</f>
        <v>0</v>
      </c>
      <c r="BS57" s="39" t="n">
        <f aca="false">IF(BS$4=0,0,IF(COUNTIFS(実績!$W$6:$W$505,BS$3,実績!$AI$6:$AI$505,"&lt;="&amp;$A57,実績!$AJ$6:$AJ$505,"&gt;"&amp;$A57,実績!$AK$6:$AK$505,"○")&gt;0,1,0))</f>
        <v>0</v>
      </c>
      <c r="BT57" s="39" t="n">
        <f aca="false">IF(BT$4=0,0,IF(COUNTIFS(実績!$W$6:$W$505,BT$3,実績!$AI$6:$AI$505,"&lt;="&amp;$A57,実績!$AJ$6:$AJ$505,"&gt;"&amp;$A57,実績!$AK$6:$AK$505,"○")&gt;0,1,0))</f>
        <v>0</v>
      </c>
      <c r="BU57" s="39" t="n">
        <f aca="false">IF(BU$4=0,0,IF(COUNTIFS(実績!$W$6:$W$505,BU$3,実績!$AI$6:$AI$505,"&lt;="&amp;$A57,実績!$AJ$6:$AJ$505,"&gt;"&amp;$A57,実績!$AK$6:$AK$505,"○")&gt;0,1,0))</f>
        <v>0</v>
      </c>
      <c r="BV57" s="39" t="n">
        <f aca="false">IF(BV$4=0,0,IF(COUNTIFS(実績!$W$6:$W$505,BV$3,実績!$AI$6:$AI$505,"&lt;="&amp;$A57,実績!$AJ$6:$AJ$505,"&gt;"&amp;$A57,実績!$AK$6:$AK$505,"○")&gt;0,1,0))</f>
        <v>0</v>
      </c>
      <c r="BW57" s="39" t="n">
        <f aca="false">IF(BW$4=0,0,IF(COUNTIFS(実績!$W$6:$W$505,BW$3,実績!$AI$6:$AI$505,"&lt;="&amp;$A57,実績!$AJ$6:$AJ$505,"&gt;"&amp;$A57,実績!$AK$6:$AK$505,"○")&gt;0,1,0))</f>
        <v>0</v>
      </c>
      <c r="BX57" s="39" t="n">
        <f aca="false">IF(BX$4=0,0,IF(COUNTIFS(実績!$W$6:$W$505,BX$3,実績!$AI$6:$AI$505,"&lt;="&amp;$A57,実績!$AJ$6:$AJ$505,"&gt;"&amp;$A57,実績!$AK$6:$AK$505,"○")&gt;0,1,0))</f>
        <v>0</v>
      </c>
      <c r="BY57" s="39" t="n">
        <f aca="false">IF(BY$4=0,0,IF(COUNTIFS(実績!$W$6:$W$505,BY$3,実績!$AI$6:$AI$505,"&lt;="&amp;$A57,実績!$AJ$6:$AJ$505,"&gt;"&amp;$A57,実績!$AK$6:$AK$505,"○")&gt;0,1,0))</f>
        <v>0</v>
      </c>
      <c r="BZ57" s="39" t="n">
        <f aca="false">IF(BZ$4=0,0,IF(COUNTIFS(実績!$W$6:$W$505,BZ$3,実績!$AI$6:$AI$505,"&lt;="&amp;$A57,実績!$AJ$6:$AJ$505,"&gt;"&amp;$A57,実績!$AK$6:$AK$505,"○")&gt;0,1,0))</f>
        <v>0</v>
      </c>
      <c r="CA57" s="39" t="n">
        <f aca="false">IF(CA$4=0,0,IF(COUNTIFS(実績!$W$6:$W$505,CA$3,実績!$AI$6:$AI$505,"&lt;="&amp;$A57,実績!$AJ$6:$AJ$505,"&gt;"&amp;$A57,実績!$AK$6:$AK$505,"○")&gt;0,1,0))</f>
        <v>0</v>
      </c>
      <c r="CB57" s="39" t="n">
        <f aca="false">IF(CB$4=0,0,IF(COUNTIFS(実績!$W$6:$W$505,CB$3,実績!$AI$6:$AI$505,"&lt;="&amp;$A57,実績!$AJ$6:$AJ$505,"&gt;"&amp;$A57,実績!$AK$6:$AK$505,"○")&gt;0,1,0))</f>
        <v>0</v>
      </c>
      <c r="CC57" s="39" t="n">
        <f aca="false">IF(CC$4=0,0,IF(COUNTIFS(実績!$W$6:$W$505,CC$3,実績!$AI$6:$AI$505,"&lt;="&amp;$A57,実績!$AJ$6:$AJ$505,"&gt;"&amp;$A57,実績!$AK$6:$AK$505,"○")&gt;0,1,0))</f>
        <v>0</v>
      </c>
      <c r="CD57" s="39" t="n">
        <f aca="false">IF(CD$4=0,0,IF(COUNTIFS(実績!$W$6:$W$505,CD$3,実績!$AI$6:$AI$505,"&lt;="&amp;$A57,実績!$AJ$6:$AJ$505,"&gt;"&amp;$A57,実績!$AK$6:$AK$505,"○")&gt;0,1,0))</f>
        <v>0</v>
      </c>
      <c r="CE57" s="39" t="n">
        <f aca="false">IF(CE$4=0,0,IF(COUNTIFS(実績!$W$6:$W$505,CE$3,実績!$AI$6:$AI$505,"&lt;="&amp;$A57,実績!$AJ$6:$AJ$505,"&gt;"&amp;$A57,実績!$AK$6:$AK$505,"○")&gt;0,1,0))</f>
        <v>0</v>
      </c>
      <c r="CF57" s="39" t="n">
        <f aca="false">IF(CF$4=0,0,IF(COUNTIFS(実績!$W$6:$W$505,CF$3,実績!$AI$6:$AI$505,"&lt;="&amp;$A57,実績!$AJ$6:$AJ$505,"&gt;"&amp;$A57,実績!$AK$6:$AK$505,"○")&gt;0,1,0))</f>
        <v>0</v>
      </c>
      <c r="CG57" s="39" t="n">
        <f aca="false">IF(CG$4=0,0,IF(COUNTIFS(実績!$W$6:$W$505,CG$3,実績!$AI$6:$AI$505,"&lt;="&amp;$A57,実績!$AJ$6:$AJ$505,"&gt;"&amp;$A57,実績!$AK$6:$AK$505,"○")&gt;0,1,0))</f>
        <v>0</v>
      </c>
      <c r="CH57" s="39" t="n">
        <f aca="false">IF(CH$4=0,0,IF(COUNTIFS(実績!$W$6:$W$505,CH$3,実績!$AI$6:$AI$505,"&lt;="&amp;$A57,実績!$AJ$6:$AJ$505,"&gt;"&amp;$A57,実績!$AK$6:$AK$505,"○")&gt;0,1,0))</f>
        <v>0</v>
      </c>
      <c r="CI57" s="39" t="n">
        <f aca="false">IF(CI$4=0,0,IF(COUNTIFS(実績!$W$6:$W$505,CI$3,実績!$AI$6:$AI$505,"&lt;="&amp;$A57,実績!$AJ$6:$AJ$505,"&gt;"&amp;$A57,実績!$AK$6:$AK$505,"○")&gt;0,1,0))</f>
        <v>0</v>
      </c>
      <c r="CJ57" s="39" t="n">
        <f aca="false">IF(CJ$4=0,0,IF(COUNTIFS(実績!$W$6:$W$505,CJ$3,実績!$AI$6:$AI$505,"&lt;="&amp;$A57,実績!$AJ$6:$AJ$505,"&gt;"&amp;$A57,実績!$AK$6:$AK$505,"○")&gt;0,1,0))</f>
        <v>0</v>
      </c>
      <c r="CK57" s="39" t="n">
        <f aca="false">IF(CK$4=0,0,IF(COUNTIFS(実績!$W$6:$W$505,CK$3,実績!$AI$6:$AI$505,"&lt;="&amp;$A57,実績!$AJ$6:$AJ$505,"&gt;"&amp;$A57,実績!$AK$6:$AK$505,"○")&gt;0,1,0))</f>
        <v>0</v>
      </c>
      <c r="CL57" s="39" t="n">
        <f aca="false">IF(CL$4=0,0,IF(COUNTIFS(実績!$W$6:$W$505,CL$3,実績!$AI$6:$AI$505,"&lt;="&amp;$A57,実績!$AJ$6:$AJ$505,"&gt;"&amp;$A57,実績!$AK$6:$AK$505,"○")&gt;0,1,0))</f>
        <v>0</v>
      </c>
      <c r="CM57" s="39" t="n">
        <f aca="false">IF(CM$4=0,0,IF(COUNTIFS(実績!$W$6:$W$505,CM$3,実績!$AI$6:$AI$505,"&lt;="&amp;$A57,実績!$AJ$6:$AJ$505,"&gt;"&amp;$A57,実績!$AK$6:$AK$505,"○")&gt;0,1,0))</f>
        <v>0</v>
      </c>
      <c r="CN57" s="39" t="n">
        <f aca="false">IF(CN$4=0,0,IF(COUNTIFS(実績!$W$6:$W$505,CN$3,実績!$AI$6:$AI$505,"&lt;="&amp;$A57,実績!$AJ$6:$AJ$505,"&gt;"&amp;$A57,実績!$AK$6:$AK$505,"○")&gt;0,1,0))</f>
        <v>0</v>
      </c>
      <c r="CO57" s="39" t="n">
        <f aca="false">IF(CO$4=0,0,IF(COUNTIFS(実績!$W$6:$W$505,CO$3,実績!$AI$6:$AI$505,"&lt;="&amp;$A57,実績!$AJ$6:$AJ$505,"&gt;"&amp;$A57,実績!$AK$6:$AK$505,"○")&gt;0,1,0))</f>
        <v>0</v>
      </c>
      <c r="CP57" s="39" t="n">
        <f aca="false">IF(CP$4=0,0,IF(COUNTIFS(実績!$W$6:$W$505,CP$3,実績!$AI$6:$AI$505,"&lt;="&amp;$A57,実績!$AJ$6:$AJ$505,"&gt;"&amp;$A57,実績!$AK$6:$AK$505,"○")&gt;0,1,0))</f>
        <v>0</v>
      </c>
      <c r="CQ57" s="39" t="n">
        <f aca="false">IF(CQ$4=0,0,IF(COUNTIFS(実績!$W$6:$W$505,CQ$3,実績!$AI$6:$AI$505,"&lt;="&amp;$A57,実績!$AJ$6:$AJ$505,"&gt;"&amp;$A57,実績!$AK$6:$AK$505,"○")&gt;0,1,0))</f>
        <v>0</v>
      </c>
      <c r="CR57" s="39" t="n">
        <f aca="false">IF(CR$4=0,0,IF(COUNTIFS(実績!$W$6:$W$505,CR$3,実績!$AI$6:$AI$505,"&lt;="&amp;$A57,実績!$AJ$6:$AJ$505,"&gt;"&amp;$A57,実績!$AK$6:$AK$505,"○")&gt;0,1,0))</f>
        <v>0</v>
      </c>
      <c r="CS57" s="39" t="n">
        <f aca="false">IF(CS$4=0,0,IF(COUNTIFS(実績!$W$6:$W$505,CS$3,実績!$AI$6:$AI$505,"&lt;="&amp;$A57,実績!$AJ$6:$AJ$505,"&gt;"&amp;$A57,実績!$AK$6:$AK$505,"○")&gt;0,1,0))</f>
        <v>0</v>
      </c>
      <c r="CT57" s="39" t="n">
        <f aca="false">IF(CT$4=0,0,IF(COUNTIFS(実績!$W$6:$W$505,CT$3,実績!$AI$6:$AI$505,"&lt;="&amp;$A57,実績!$AJ$6:$AJ$505,"&gt;"&amp;$A57,実績!$AK$6:$AK$505,"○")&gt;0,1,0))</f>
        <v>0</v>
      </c>
      <c r="CU57" s="39" t="n">
        <f aca="false">IF(CU$4=0,0,IF(COUNTIFS(実績!$W$6:$W$505,CU$3,実績!$AI$6:$AI$505,"&lt;="&amp;$A57,実績!$AJ$6:$AJ$505,"&gt;"&amp;$A57,実績!$AK$6:$AK$505,"○")&gt;0,1,0))</f>
        <v>0</v>
      </c>
      <c r="CV57" s="39" t="n">
        <f aca="false">IF(CV$4=0,0,IF(COUNTIFS(実績!$W$6:$W$505,CV$3,実績!$AI$6:$AI$505,"&lt;="&amp;$A57,実績!$AJ$6:$AJ$505,"&gt;"&amp;$A57,実績!$AK$6:$AK$505,"○")&gt;0,1,0))</f>
        <v>0</v>
      </c>
      <c r="CW57" s="39" t="n">
        <f aca="false">IF(CW$4=0,0,IF(COUNTIFS(実績!$W$6:$W$505,CW$3,実績!$AI$6:$AI$505,"&lt;="&amp;$A57,実績!$AJ$6:$AJ$505,"&gt;"&amp;$A57,実績!$AK$6:$AK$505,"○")&gt;0,1,0))</f>
        <v>0</v>
      </c>
      <c r="CX57" s="39" t="n">
        <f aca="false">IF(CX$4=0,0,IF(COUNTIFS(実績!$W$6:$W$505,CX$3,実績!$AI$6:$AI$505,"&lt;="&amp;$A57,実績!$AJ$6:$AJ$505,"&gt;"&amp;$A57,実績!$AK$6:$AK$505,"○")&gt;0,1,0))</f>
        <v>0</v>
      </c>
      <c r="CY57" s="39" t="n">
        <f aca="false">IF(CY$4=0,0,IF(COUNTIFS(実績!$W$6:$W$505,CY$3,実績!$AI$6:$AI$505,"&lt;="&amp;$A57,実績!$AJ$6:$AJ$505,"&gt;"&amp;$A57,実績!$AK$6:$AK$505,"○")&gt;0,1,0))</f>
        <v>0</v>
      </c>
      <c r="CZ57" s="39" t="n">
        <f aca="false">IF(CZ$4=0,0,IF(COUNTIFS(実績!$W$6:$W$505,CZ$3,実績!$AI$6:$AI$505,"&lt;="&amp;$A57,実績!$AJ$6:$AJ$505,"&gt;"&amp;$A57,実績!$AK$6:$AK$505,"○")&gt;0,1,0))</f>
        <v>0</v>
      </c>
      <c r="DA57" s="39" t="n">
        <f aca="false">IF(DA$4=0,0,IF(COUNTIFS(実績!$W$6:$W$505,DA$3,実績!$AI$6:$AI$505,"&lt;="&amp;$A57,実績!$AJ$6:$AJ$505,"&gt;"&amp;$A57,実績!$AK$6:$AK$505,"○")&gt;0,1,0))</f>
        <v>0</v>
      </c>
      <c r="DB57" s="39" t="n">
        <f aca="false">IF(DB$4=0,0,IF(COUNTIFS(実績!$W$6:$W$505,DB$3,実績!$AI$6:$AI$505,"&lt;="&amp;$A57,実績!$AJ$6:$AJ$505,"&gt;"&amp;$A57,実績!$AK$6:$AK$505,"○")&gt;0,1,0))</f>
        <v>0</v>
      </c>
      <c r="DC57" s="39" t="n">
        <f aca="false">IF(DC$4=0,0,IF(COUNTIFS(実績!$W$6:$W$505,DC$3,実績!$AI$6:$AI$505,"&lt;="&amp;$A57,実績!$AJ$6:$AJ$505,"&gt;"&amp;$A57,実績!$AK$6:$AK$505,"○")&gt;0,1,0))</f>
        <v>0</v>
      </c>
      <c r="DD57" s="39" t="n">
        <f aca="false">IF(DD$4=0,0,IF(COUNTIFS(実績!$W$6:$W$505,DD$3,実績!$AI$6:$AI$505,"&lt;="&amp;$A57,実績!$AJ$6:$AJ$505,"&gt;"&amp;$A57,実績!$AK$6:$AK$505,"○")&gt;0,1,0))</f>
        <v>0</v>
      </c>
      <c r="DE57" s="39" t="n">
        <f aca="false">IF(DE$4=0,0,IF(COUNTIFS(実績!$W$6:$W$505,DE$3,実績!$AI$6:$AI$505,"&lt;="&amp;$A57,実績!$AJ$6:$AJ$505,"&gt;"&amp;$A57,実績!$AK$6:$AK$505,"○")&gt;0,1,0))</f>
        <v>0</v>
      </c>
      <c r="DF57" s="39" t="n">
        <f aca="false">IF(DF$4=0,0,IF(COUNTIFS(実績!$W$6:$W$505,DF$3,実績!$AI$6:$AI$505,"&lt;="&amp;$A57,実績!$AJ$6:$AJ$505,"&gt;"&amp;$A57,実績!$AK$6:$AK$505,"○")&gt;0,1,0))</f>
        <v>0</v>
      </c>
      <c r="DG57" s="39" t="n">
        <f aca="false">IF(DG$4=0,0,IF(COUNTIFS(実績!$W$6:$W$505,DG$3,実績!$AI$6:$AI$505,"&lt;="&amp;$A57,実績!$AJ$6:$AJ$505,"&gt;"&amp;$A57,実績!$AK$6:$AK$505,"○")&gt;0,1,0))</f>
        <v>0</v>
      </c>
      <c r="DH57" s="39" t="n">
        <f aca="false">IF(DH$4=0,0,IF(COUNTIFS(実績!$W$6:$W$505,DH$3,実績!$AI$6:$AI$505,"&lt;="&amp;$A57,実績!$AJ$6:$AJ$505,"&gt;"&amp;$A57,実績!$AK$6:$AK$505,"○")&gt;0,1,0))</f>
        <v>0</v>
      </c>
      <c r="DI57" s="39" t="n">
        <f aca="false">IF(DI$4=0,0,IF(COUNTIFS(実績!$W$6:$W$505,DI$3,実績!$AI$6:$AI$505,"&lt;="&amp;$A57,実績!$AJ$6:$AJ$505,"&gt;"&amp;$A57,実績!$AK$6:$AK$505,"○")&gt;0,1,0))</f>
        <v>0</v>
      </c>
      <c r="DJ57" s="39" t="n">
        <f aca="false">IF(DJ$4=0,0,IF(COUNTIFS(実績!$W$6:$W$505,DJ$3,実績!$AI$6:$AI$505,"&lt;="&amp;$A57,実績!$AJ$6:$AJ$505,"&gt;"&amp;$A57,実績!$AK$6:$AK$505,"○")&gt;0,1,0))</f>
        <v>0</v>
      </c>
      <c r="DK57" s="39" t="n">
        <f aca="false">IF(DK$4=0,0,IF(COUNTIFS(実績!$W$6:$W$505,DK$3,実績!$AI$6:$AI$505,"&lt;="&amp;$A57,実績!$AJ$6:$AJ$505,"&gt;"&amp;$A57,実績!$AK$6:$AK$505,"○")&gt;0,1,0))</f>
        <v>0</v>
      </c>
      <c r="DL57" s="39" t="n">
        <f aca="false">IF(DL$4=0,0,IF(COUNTIFS(実績!$W$6:$W$505,DL$3,実績!$AI$6:$AI$505,"&lt;="&amp;$A57,実績!$AJ$6:$AJ$505,"&gt;"&amp;$A57,実績!$AK$6:$AK$505,"○")&gt;0,1,0))</f>
        <v>0</v>
      </c>
      <c r="DM57" s="39" t="n">
        <f aca="false">IF(DM$4=0,0,IF(COUNTIFS(実績!$W$6:$W$505,DM$3,実績!$AI$6:$AI$505,"&lt;="&amp;$A57,実績!$AJ$6:$AJ$505,"&gt;"&amp;$A57,実績!$AK$6:$AK$505,"○")&gt;0,1,0))</f>
        <v>0</v>
      </c>
      <c r="DN57" s="39" t="n">
        <f aca="false">IF(DN$4=0,0,IF(COUNTIFS(実績!$W$6:$W$505,DN$3,実績!$AI$6:$AI$505,"&lt;="&amp;$A57,実績!$AJ$6:$AJ$505,"&gt;"&amp;$A57,実績!$AK$6:$AK$505,"○")&gt;0,1,0))</f>
        <v>0</v>
      </c>
      <c r="DO57" s="39" t="n">
        <f aca="false">IF(DO$4=0,0,IF(COUNTIFS(実績!$W$6:$W$505,DO$3,実績!$AI$6:$AI$505,"&lt;="&amp;$A57,実績!$AJ$6:$AJ$505,"&gt;"&amp;$A57,実績!$AK$6:$AK$505,"○")&gt;0,1,0))</f>
        <v>0</v>
      </c>
      <c r="DP57" s="39" t="n">
        <f aca="false">IF(DP$4=0,0,IF(COUNTIFS(実績!$W$6:$W$505,DP$3,実績!$AI$6:$AI$505,"&lt;="&amp;$A57,実績!$AJ$6:$AJ$505,"&gt;"&amp;$A57,実績!$AK$6:$AK$505,"○")&gt;0,1,0))</f>
        <v>0</v>
      </c>
      <c r="DQ57" s="39" t="n">
        <f aca="false">IF(DQ$4=0,0,IF(COUNTIFS(実績!$W$6:$W$505,DQ$3,実績!$AI$6:$AI$505,"&lt;="&amp;$A57,実績!$AJ$6:$AJ$505,"&gt;"&amp;$A57,実績!$AK$6:$AK$505,"○")&gt;0,1,0))</f>
        <v>0</v>
      </c>
      <c r="DR57" s="39" t="n">
        <f aca="false">IF(DR$4=0,0,IF(COUNTIFS(実績!$W$6:$W$505,DR$3,実績!$AI$6:$AI$505,"&lt;="&amp;$A57,実績!$AJ$6:$AJ$505,"&gt;"&amp;$A57,実績!$AK$6:$AK$505,"○")&gt;0,1,0))</f>
        <v>0</v>
      </c>
      <c r="DS57" s="39" t="n">
        <f aca="false">SUM(C57:DR57)</f>
        <v>0</v>
      </c>
      <c r="DT57" s="39" t="n">
        <f aca="false">SUMPRODUCT((実績!$C$6:$C$505="○")*ISNUMBER(実績!$AM$6:$AM$505)*(実績!$AM$6:$AM$505&lt;=$A57)*(実績!$AN$6:$AN$505&gt;$A57))</f>
        <v>0</v>
      </c>
      <c r="DU57" s="39" t="n">
        <f aca="false">SUMIF($C$2:$DR$2,"製鉄曳船",C57:DR57)</f>
        <v>0</v>
      </c>
      <c r="DV57" s="39" t="n">
        <f aca="false">SUMIF($C$2:$DR$2,"西日本海運",C57:DR57)</f>
        <v>0</v>
      </c>
    </row>
    <row r="58" customFormat="false" ht="15" hidden="false" customHeight="false" outlineLevel="0" collapsed="false">
      <c r="A58" s="0" t="n">
        <v>260</v>
      </c>
      <c r="B58" s="38" t="n">
        <f aca="false">A58/1440</f>
        <v>0.180555555555556</v>
      </c>
      <c r="C58" s="39" t="n">
        <f aca="false">IF(C$4=0,0,IF(COUNTIFS(実績!$W$6:$W$505,C$3,実績!$AI$6:$AI$505,"&lt;="&amp;$A58,実績!$AJ$6:$AJ$505,"&gt;"&amp;$A58,実績!$AK$6:$AK$505,"○")&gt;0,1,0))</f>
        <v>0</v>
      </c>
      <c r="D58" s="39" t="n">
        <f aca="false">IF(D$4=0,0,IF(COUNTIFS(実績!$W$6:$W$505,D$3,実績!$AI$6:$AI$505,"&lt;="&amp;$A58,実績!$AJ$6:$AJ$505,"&gt;"&amp;$A58,実績!$AK$6:$AK$505,"○")&gt;0,1,0))</f>
        <v>0</v>
      </c>
      <c r="E58" s="39" t="n">
        <f aca="false">IF(E$4=0,0,IF(COUNTIFS(実績!$W$6:$W$505,E$3,実績!$AI$6:$AI$505,"&lt;="&amp;$A58,実績!$AJ$6:$AJ$505,"&gt;"&amp;$A58,実績!$AK$6:$AK$505,"○")&gt;0,1,0))</f>
        <v>0</v>
      </c>
      <c r="F58" s="39" t="n">
        <f aca="false">IF(F$4=0,0,IF(COUNTIFS(実績!$W$6:$W$505,F$3,実績!$AI$6:$AI$505,"&lt;="&amp;$A58,実績!$AJ$6:$AJ$505,"&gt;"&amp;$A58,実績!$AK$6:$AK$505,"○")&gt;0,1,0))</f>
        <v>0</v>
      </c>
      <c r="G58" s="39" t="n">
        <f aca="false">IF(G$4=0,0,IF(COUNTIFS(実績!$W$6:$W$505,G$3,実績!$AI$6:$AI$505,"&lt;="&amp;$A58,実績!$AJ$6:$AJ$505,"&gt;"&amp;$A58,実績!$AK$6:$AK$505,"○")&gt;0,1,0))</f>
        <v>0</v>
      </c>
      <c r="H58" s="39" t="n">
        <f aca="false">IF(H$4=0,0,IF(COUNTIFS(実績!$W$6:$W$505,H$3,実績!$AI$6:$AI$505,"&lt;="&amp;$A58,実績!$AJ$6:$AJ$505,"&gt;"&amp;$A58,実績!$AK$6:$AK$505,"○")&gt;0,1,0))</f>
        <v>0</v>
      </c>
      <c r="I58" s="39" t="n">
        <f aca="false">IF(I$4=0,0,IF(COUNTIFS(実績!$W$6:$W$505,I$3,実績!$AI$6:$AI$505,"&lt;="&amp;$A58,実績!$AJ$6:$AJ$505,"&gt;"&amp;$A58,実績!$AK$6:$AK$505,"○")&gt;0,1,0))</f>
        <v>0</v>
      </c>
      <c r="J58" s="39" t="n">
        <f aca="false">IF(J$4=0,0,IF(COUNTIFS(実績!$W$6:$W$505,J$3,実績!$AI$6:$AI$505,"&lt;="&amp;$A58,実績!$AJ$6:$AJ$505,"&gt;"&amp;$A58,実績!$AK$6:$AK$505,"○")&gt;0,1,0))</f>
        <v>0</v>
      </c>
      <c r="K58" s="39" t="n">
        <f aca="false">IF(K$4=0,0,IF(COUNTIFS(実績!$W$6:$W$505,K$3,実績!$AI$6:$AI$505,"&lt;="&amp;$A58,実績!$AJ$6:$AJ$505,"&gt;"&amp;$A58,実績!$AK$6:$AK$505,"○")&gt;0,1,0))</f>
        <v>0</v>
      </c>
      <c r="L58" s="39" t="n">
        <f aca="false">IF(L$4=0,0,IF(COUNTIFS(実績!$W$6:$W$505,L$3,実績!$AI$6:$AI$505,"&lt;="&amp;$A58,実績!$AJ$6:$AJ$505,"&gt;"&amp;$A58,実績!$AK$6:$AK$505,"○")&gt;0,1,0))</f>
        <v>0</v>
      </c>
      <c r="M58" s="39" t="n">
        <f aca="false">IF(M$4=0,0,IF(COUNTIFS(実績!$W$6:$W$505,M$3,実績!$AI$6:$AI$505,"&lt;="&amp;$A58,実績!$AJ$6:$AJ$505,"&gt;"&amp;$A58,実績!$AK$6:$AK$505,"○")&gt;0,1,0))</f>
        <v>0</v>
      </c>
      <c r="N58" s="39" t="n">
        <f aca="false">IF(N$4=0,0,IF(COUNTIFS(実績!$W$6:$W$505,N$3,実績!$AI$6:$AI$505,"&lt;="&amp;$A58,実績!$AJ$6:$AJ$505,"&gt;"&amp;$A58,実績!$AK$6:$AK$505,"○")&gt;0,1,0))</f>
        <v>0</v>
      </c>
      <c r="O58" s="39" t="n">
        <f aca="false">IF(O$4=0,0,IF(COUNTIFS(実績!$W$6:$W$505,O$3,実績!$AI$6:$AI$505,"&lt;="&amp;$A58,実績!$AJ$6:$AJ$505,"&gt;"&amp;$A58,実績!$AK$6:$AK$505,"○")&gt;0,1,0))</f>
        <v>0</v>
      </c>
      <c r="P58" s="39" t="n">
        <f aca="false">IF(P$4=0,0,IF(COUNTIFS(実績!$W$6:$W$505,P$3,実績!$AI$6:$AI$505,"&lt;="&amp;$A58,実績!$AJ$6:$AJ$505,"&gt;"&amp;$A58,実績!$AK$6:$AK$505,"○")&gt;0,1,0))</f>
        <v>0</v>
      </c>
      <c r="Q58" s="39" t="n">
        <f aca="false">IF(Q$4=0,0,IF(COUNTIFS(実績!$W$6:$W$505,Q$3,実績!$AI$6:$AI$505,"&lt;="&amp;$A58,実績!$AJ$6:$AJ$505,"&gt;"&amp;$A58,実績!$AK$6:$AK$505,"○")&gt;0,1,0))</f>
        <v>0</v>
      </c>
      <c r="R58" s="39" t="n">
        <f aca="false">IF(R$4=0,0,IF(COUNTIFS(実績!$W$6:$W$505,R$3,実績!$AI$6:$AI$505,"&lt;="&amp;$A58,実績!$AJ$6:$AJ$505,"&gt;"&amp;$A58,実績!$AK$6:$AK$505,"○")&gt;0,1,0))</f>
        <v>0</v>
      </c>
      <c r="S58" s="39" t="n">
        <f aca="false">IF(S$4=0,0,IF(COUNTIFS(実績!$W$6:$W$505,S$3,実績!$AI$6:$AI$505,"&lt;="&amp;$A58,実績!$AJ$6:$AJ$505,"&gt;"&amp;$A58,実績!$AK$6:$AK$505,"○")&gt;0,1,0))</f>
        <v>0</v>
      </c>
      <c r="T58" s="39" t="n">
        <f aca="false">IF(T$4=0,0,IF(COUNTIFS(実績!$W$6:$W$505,T$3,実績!$AI$6:$AI$505,"&lt;="&amp;$A58,実績!$AJ$6:$AJ$505,"&gt;"&amp;$A58,実績!$AK$6:$AK$505,"○")&gt;0,1,0))</f>
        <v>0</v>
      </c>
      <c r="U58" s="39" t="n">
        <f aca="false">IF(U$4=0,0,IF(COUNTIFS(実績!$W$6:$W$505,U$3,実績!$AI$6:$AI$505,"&lt;="&amp;$A58,実績!$AJ$6:$AJ$505,"&gt;"&amp;$A58,実績!$AK$6:$AK$505,"○")&gt;0,1,0))</f>
        <v>0</v>
      </c>
      <c r="V58" s="39" t="n">
        <f aca="false">IF(V$4=0,0,IF(COUNTIFS(実績!$W$6:$W$505,V$3,実績!$AI$6:$AI$505,"&lt;="&amp;$A58,実績!$AJ$6:$AJ$505,"&gt;"&amp;$A58,実績!$AK$6:$AK$505,"○")&gt;0,1,0))</f>
        <v>0</v>
      </c>
      <c r="W58" s="39" t="n">
        <f aca="false">IF(W$4=0,0,IF(COUNTIFS(実績!$W$6:$W$505,W$3,実績!$AI$6:$AI$505,"&lt;="&amp;$A58,実績!$AJ$6:$AJ$505,"&gt;"&amp;$A58,実績!$AK$6:$AK$505,"○")&gt;0,1,0))</f>
        <v>0</v>
      </c>
      <c r="X58" s="39" t="n">
        <f aca="false">IF(X$4=0,0,IF(COUNTIFS(実績!$W$6:$W$505,X$3,実績!$AI$6:$AI$505,"&lt;="&amp;$A58,実績!$AJ$6:$AJ$505,"&gt;"&amp;$A58,実績!$AK$6:$AK$505,"○")&gt;0,1,0))</f>
        <v>0</v>
      </c>
      <c r="Y58" s="39" t="n">
        <f aca="false">IF(Y$4=0,0,IF(COUNTIFS(実績!$W$6:$W$505,Y$3,実績!$AI$6:$AI$505,"&lt;="&amp;$A58,実績!$AJ$6:$AJ$505,"&gt;"&amp;$A58,実績!$AK$6:$AK$505,"○")&gt;0,1,0))</f>
        <v>0</v>
      </c>
      <c r="Z58" s="39" t="n">
        <f aca="false">IF(Z$4=0,0,IF(COUNTIFS(実績!$W$6:$W$505,Z$3,実績!$AI$6:$AI$505,"&lt;="&amp;$A58,実績!$AJ$6:$AJ$505,"&gt;"&amp;$A58,実績!$AK$6:$AK$505,"○")&gt;0,1,0))</f>
        <v>0</v>
      </c>
      <c r="AA58" s="39" t="n">
        <f aca="false">IF(AA$4=0,0,IF(COUNTIFS(実績!$W$6:$W$505,AA$3,実績!$AI$6:$AI$505,"&lt;="&amp;$A58,実績!$AJ$6:$AJ$505,"&gt;"&amp;$A58,実績!$AK$6:$AK$505,"○")&gt;0,1,0))</f>
        <v>0</v>
      </c>
      <c r="AB58" s="39" t="n">
        <f aca="false">IF(AB$4=0,0,IF(COUNTIFS(実績!$W$6:$W$505,AB$3,実績!$AI$6:$AI$505,"&lt;="&amp;$A58,実績!$AJ$6:$AJ$505,"&gt;"&amp;$A58,実績!$AK$6:$AK$505,"○")&gt;0,1,0))</f>
        <v>0</v>
      </c>
      <c r="AC58" s="39" t="n">
        <f aca="false">IF(AC$4=0,0,IF(COUNTIFS(実績!$W$6:$W$505,AC$3,実績!$AI$6:$AI$505,"&lt;="&amp;$A58,実績!$AJ$6:$AJ$505,"&gt;"&amp;$A58,実績!$AK$6:$AK$505,"○")&gt;0,1,0))</f>
        <v>0</v>
      </c>
      <c r="AD58" s="39" t="n">
        <f aca="false">IF(AD$4=0,0,IF(COUNTIFS(実績!$W$6:$W$505,AD$3,実績!$AI$6:$AI$505,"&lt;="&amp;$A58,実績!$AJ$6:$AJ$505,"&gt;"&amp;$A58,実績!$AK$6:$AK$505,"○")&gt;0,1,0))</f>
        <v>0</v>
      </c>
      <c r="AE58" s="39" t="n">
        <f aca="false">IF(AE$4=0,0,IF(COUNTIFS(実績!$W$6:$W$505,AE$3,実績!$AI$6:$AI$505,"&lt;="&amp;$A58,実績!$AJ$6:$AJ$505,"&gt;"&amp;$A58,実績!$AK$6:$AK$505,"○")&gt;0,1,0))</f>
        <v>0</v>
      </c>
      <c r="AF58" s="39" t="n">
        <f aca="false">IF(AF$4=0,0,IF(COUNTIFS(実績!$W$6:$W$505,AF$3,実績!$AI$6:$AI$505,"&lt;="&amp;$A58,実績!$AJ$6:$AJ$505,"&gt;"&amp;$A58,実績!$AK$6:$AK$505,"○")&gt;0,1,0))</f>
        <v>0</v>
      </c>
      <c r="AG58" s="39" t="n">
        <f aca="false">IF(AG$4=0,0,IF(COUNTIFS(実績!$W$6:$W$505,AG$3,実績!$AI$6:$AI$505,"&lt;="&amp;$A58,実績!$AJ$6:$AJ$505,"&gt;"&amp;$A58,実績!$AK$6:$AK$505,"○")&gt;0,1,0))</f>
        <v>0</v>
      </c>
      <c r="AH58" s="39" t="n">
        <f aca="false">IF(AH$4=0,0,IF(COUNTIFS(実績!$W$6:$W$505,AH$3,実績!$AI$6:$AI$505,"&lt;="&amp;$A58,実績!$AJ$6:$AJ$505,"&gt;"&amp;$A58,実績!$AK$6:$AK$505,"○")&gt;0,1,0))</f>
        <v>0</v>
      </c>
      <c r="AI58" s="39" t="n">
        <f aca="false">IF(AI$4=0,0,IF(COUNTIFS(実績!$W$6:$W$505,AI$3,実績!$AI$6:$AI$505,"&lt;="&amp;$A58,実績!$AJ$6:$AJ$505,"&gt;"&amp;$A58,実績!$AK$6:$AK$505,"○")&gt;0,1,0))</f>
        <v>0</v>
      </c>
      <c r="AJ58" s="39" t="n">
        <f aca="false">IF(AJ$4=0,0,IF(COUNTIFS(実績!$W$6:$W$505,AJ$3,実績!$AI$6:$AI$505,"&lt;="&amp;$A58,実績!$AJ$6:$AJ$505,"&gt;"&amp;$A58,実績!$AK$6:$AK$505,"○")&gt;0,1,0))</f>
        <v>0</v>
      </c>
      <c r="AK58" s="39" t="n">
        <f aca="false">IF(AK$4=0,0,IF(COUNTIFS(実績!$W$6:$W$505,AK$3,実績!$AI$6:$AI$505,"&lt;="&amp;$A58,実績!$AJ$6:$AJ$505,"&gt;"&amp;$A58,実績!$AK$6:$AK$505,"○")&gt;0,1,0))</f>
        <v>0</v>
      </c>
      <c r="AL58" s="39" t="n">
        <f aca="false">IF(AL$4=0,0,IF(COUNTIFS(実績!$W$6:$W$505,AL$3,実績!$AI$6:$AI$505,"&lt;="&amp;$A58,実績!$AJ$6:$AJ$505,"&gt;"&amp;$A58,実績!$AK$6:$AK$505,"○")&gt;0,1,0))</f>
        <v>0</v>
      </c>
      <c r="AM58" s="39" t="n">
        <f aca="false">IF(AM$4=0,0,IF(COUNTIFS(実績!$W$6:$W$505,AM$3,実績!$AI$6:$AI$505,"&lt;="&amp;$A58,実績!$AJ$6:$AJ$505,"&gt;"&amp;$A58,実績!$AK$6:$AK$505,"○")&gt;0,1,0))</f>
        <v>0</v>
      </c>
      <c r="AN58" s="39" t="n">
        <f aca="false">IF(AN$4=0,0,IF(COUNTIFS(実績!$W$6:$W$505,AN$3,実績!$AI$6:$AI$505,"&lt;="&amp;$A58,実績!$AJ$6:$AJ$505,"&gt;"&amp;$A58,実績!$AK$6:$AK$505,"○")&gt;0,1,0))</f>
        <v>0</v>
      </c>
      <c r="AO58" s="39" t="n">
        <f aca="false">IF(AO$4=0,0,IF(COUNTIFS(実績!$W$6:$W$505,AO$3,実績!$AI$6:$AI$505,"&lt;="&amp;$A58,実績!$AJ$6:$AJ$505,"&gt;"&amp;$A58,実績!$AK$6:$AK$505,"○")&gt;0,1,0))</f>
        <v>0</v>
      </c>
      <c r="AP58" s="39" t="n">
        <f aca="false">IF(AP$4=0,0,IF(COUNTIFS(実績!$W$6:$W$505,AP$3,実績!$AI$6:$AI$505,"&lt;="&amp;$A58,実績!$AJ$6:$AJ$505,"&gt;"&amp;$A58,実績!$AK$6:$AK$505,"○")&gt;0,1,0))</f>
        <v>0</v>
      </c>
      <c r="AQ58" s="39" t="n">
        <f aca="false">IF(AQ$4=0,0,IF(COUNTIFS(実績!$W$6:$W$505,AQ$3,実績!$AI$6:$AI$505,"&lt;="&amp;$A58,実績!$AJ$6:$AJ$505,"&gt;"&amp;$A58,実績!$AK$6:$AK$505,"○")&gt;0,1,0))</f>
        <v>0</v>
      </c>
      <c r="AR58" s="39" t="n">
        <f aca="false">IF(AR$4=0,0,IF(COUNTIFS(実績!$W$6:$W$505,AR$3,実績!$AI$6:$AI$505,"&lt;="&amp;$A58,実績!$AJ$6:$AJ$505,"&gt;"&amp;$A58,実績!$AK$6:$AK$505,"○")&gt;0,1,0))</f>
        <v>0</v>
      </c>
      <c r="AS58" s="39" t="n">
        <f aca="false">IF(AS$4=0,0,IF(COUNTIFS(実績!$W$6:$W$505,AS$3,実績!$AI$6:$AI$505,"&lt;="&amp;$A58,実績!$AJ$6:$AJ$505,"&gt;"&amp;$A58,実績!$AK$6:$AK$505,"○")&gt;0,1,0))</f>
        <v>0</v>
      </c>
      <c r="AT58" s="39" t="n">
        <f aca="false">IF(AT$4=0,0,IF(COUNTIFS(実績!$W$6:$W$505,AT$3,実績!$AI$6:$AI$505,"&lt;="&amp;$A58,実績!$AJ$6:$AJ$505,"&gt;"&amp;$A58,実績!$AK$6:$AK$505,"○")&gt;0,1,0))</f>
        <v>0</v>
      </c>
      <c r="AU58" s="39" t="n">
        <f aca="false">IF(AU$4=0,0,IF(COUNTIFS(実績!$W$6:$W$505,AU$3,実績!$AI$6:$AI$505,"&lt;="&amp;$A58,実績!$AJ$6:$AJ$505,"&gt;"&amp;$A58,実績!$AK$6:$AK$505,"○")&gt;0,1,0))</f>
        <v>0</v>
      </c>
      <c r="AV58" s="39" t="n">
        <f aca="false">IF(AV$4=0,0,IF(COUNTIFS(実績!$W$6:$W$505,AV$3,実績!$AI$6:$AI$505,"&lt;="&amp;$A58,実績!$AJ$6:$AJ$505,"&gt;"&amp;$A58,実績!$AK$6:$AK$505,"○")&gt;0,1,0))</f>
        <v>0</v>
      </c>
      <c r="AW58" s="39" t="n">
        <f aca="false">IF(AW$4=0,0,IF(COUNTIFS(実績!$W$6:$W$505,AW$3,実績!$AI$6:$AI$505,"&lt;="&amp;$A58,実績!$AJ$6:$AJ$505,"&gt;"&amp;$A58,実績!$AK$6:$AK$505,"○")&gt;0,1,0))</f>
        <v>0</v>
      </c>
      <c r="AX58" s="39" t="n">
        <f aca="false">IF(AX$4=0,0,IF(COUNTIFS(実績!$W$6:$W$505,AX$3,実績!$AI$6:$AI$505,"&lt;="&amp;$A58,実績!$AJ$6:$AJ$505,"&gt;"&amp;$A58,実績!$AK$6:$AK$505,"○")&gt;0,1,0))</f>
        <v>0</v>
      </c>
      <c r="AY58" s="39" t="n">
        <f aca="false">IF(AY$4=0,0,IF(COUNTIFS(実績!$W$6:$W$505,AY$3,実績!$AI$6:$AI$505,"&lt;="&amp;$A58,実績!$AJ$6:$AJ$505,"&gt;"&amp;$A58,実績!$AK$6:$AK$505,"○")&gt;0,1,0))</f>
        <v>0</v>
      </c>
      <c r="AZ58" s="39" t="n">
        <f aca="false">IF(AZ$4=0,0,IF(COUNTIFS(実績!$W$6:$W$505,AZ$3,実績!$AI$6:$AI$505,"&lt;="&amp;$A58,実績!$AJ$6:$AJ$505,"&gt;"&amp;$A58,実績!$AK$6:$AK$505,"○")&gt;0,1,0))</f>
        <v>0</v>
      </c>
      <c r="BA58" s="39" t="n">
        <f aca="false">IF(BA$4=0,0,IF(COUNTIFS(実績!$W$6:$W$505,BA$3,実績!$AI$6:$AI$505,"&lt;="&amp;$A58,実績!$AJ$6:$AJ$505,"&gt;"&amp;$A58,実績!$AK$6:$AK$505,"○")&gt;0,1,0))</f>
        <v>0</v>
      </c>
      <c r="BB58" s="39" t="n">
        <f aca="false">IF(BB$4=0,0,IF(COUNTIFS(実績!$W$6:$W$505,BB$3,実績!$AI$6:$AI$505,"&lt;="&amp;$A58,実績!$AJ$6:$AJ$505,"&gt;"&amp;$A58,実績!$AK$6:$AK$505,"○")&gt;0,1,0))</f>
        <v>0</v>
      </c>
      <c r="BC58" s="39" t="n">
        <f aca="false">IF(BC$4=0,0,IF(COUNTIFS(実績!$W$6:$W$505,BC$3,実績!$AI$6:$AI$505,"&lt;="&amp;$A58,実績!$AJ$6:$AJ$505,"&gt;"&amp;$A58,実績!$AK$6:$AK$505,"○")&gt;0,1,0))</f>
        <v>0</v>
      </c>
      <c r="BD58" s="39" t="n">
        <f aca="false">IF(BD$4=0,0,IF(COUNTIFS(実績!$W$6:$W$505,BD$3,実績!$AI$6:$AI$505,"&lt;="&amp;$A58,実績!$AJ$6:$AJ$505,"&gt;"&amp;$A58,実績!$AK$6:$AK$505,"○")&gt;0,1,0))</f>
        <v>0</v>
      </c>
      <c r="BE58" s="39" t="n">
        <f aca="false">IF(BE$4=0,0,IF(COUNTIFS(実績!$W$6:$W$505,BE$3,実績!$AI$6:$AI$505,"&lt;="&amp;$A58,実績!$AJ$6:$AJ$505,"&gt;"&amp;$A58,実績!$AK$6:$AK$505,"○")&gt;0,1,0))</f>
        <v>0</v>
      </c>
      <c r="BF58" s="39" t="n">
        <f aca="false">IF(BF$4=0,0,IF(COUNTIFS(実績!$W$6:$W$505,BF$3,実績!$AI$6:$AI$505,"&lt;="&amp;$A58,実績!$AJ$6:$AJ$505,"&gt;"&amp;$A58,実績!$AK$6:$AK$505,"○")&gt;0,1,0))</f>
        <v>0</v>
      </c>
      <c r="BG58" s="39" t="n">
        <f aca="false">IF(BG$4=0,0,IF(COUNTIFS(実績!$W$6:$W$505,BG$3,実績!$AI$6:$AI$505,"&lt;="&amp;$A58,実績!$AJ$6:$AJ$505,"&gt;"&amp;$A58,実績!$AK$6:$AK$505,"○")&gt;0,1,0))</f>
        <v>0</v>
      </c>
      <c r="BH58" s="39" t="n">
        <f aca="false">IF(BH$4=0,0,IF(COUNTIFS(実績!$W$6:$W$505,BH$3,実績!$AI$6:$AI$505,"&lt;="&amp;$A58,実績!$AJ$6:$AJ$505,"&gt;"&amp;$A58,実績!$AK$6:$AK$505,"○")&gt;0,1,0))</f>
        <v>0</v>
      </c>
      <c r="BI58" s="39" t="n">
        <f aca="false">IF(BI$4=0,0,IF(COUNTIFS(実績!$W$6:$W$505,BI$3,実績!$AI$6:$AI$505,"&lt;="&amp;$A58,実績!$AJ$6:$AJ$505,"&gt;"&amp;$A58,実績!$AK$6:$AK$505,"○")&gt;0,1,0))</f>
        <v>0</v>
      </c>
      <c r="BJ58" s="39" t="n">
        <f aca="false">IF(BJ$4=0,0,IF(COUNTIFS(実績!$W$6:$W$505,BJ$3,実績!$AI$6:$AI$505,"&lt;="&amp;$A58,実績!$AJ$6:$AJ$505,"&gt;"&amp;$A58,実績!$AK$6:$AK$505,"○")&gt;0,1,0))</f>
        <v>0</v>
      </c>
      <c r="BK58" s="39" t="n">
        <f aca="false">IF(BK$4=0,0,IF(COUNTIFS(実績!$W$6:$W$505,BK$3,実績!$AI$6:$AI$505,"&lt;="&amp;$A58,実績!$AJ$6:$AJ$505,"&gt;"&amp;$A58,実績!$AK$6:$AK$505,"○")&gt;0,1,0))</f>
        <v>0</v>
      </c>
      <c r="BL58" s="39" t="n">
        <f aca="false">IF(BL$4=0,0,IF(COUNTIFS(実績!$W$6:$W$505,BL$3,実績!$AI$6:$AI$505,"&lt;="&amp;$A58,実績!$AJ$6:$AJ$505,"&gt;"&amp;$A58,実績!$AK$6:$AK$505,"○")&gt;0,1,0))</f>
        <v>0</v>
      </c>
      <c r="BM58" s="39" t="n">
        <f aca="false">IF(BM$4=0,0,IF(COUNTIFS(実績!$W$6:$W$505,BM$3,実績!$AI$6:$AI$505,"&lt;="&amp;$A58,実績!$AJ$6:$AJ$505,"&gt;"&amp;$A58,実績!$AK$6:$AK$505,"○")&gt;0,1,0))</f>
        <v>0</v>
      </c>
      <c r="BN58" s="39" t="n">
        <f aca="false">IF(BN$4=0,0,IF(COUNTIFS(実績!$W$6:$W$505,BN$3,実績!$AI$6:$AI$505,"&lt;="&amp;$A58,実績!$AJ$6:$AJ$505,"&gt;"&amp;$A58,実績!$AK$6:$AK$505,"○")&gt;0,1,0))</f>
        <v>0</v>
      </c>
      <c r="BO58" s="39" t="n">
        <f aca="false">IF(BO$4=0,0,IF(COUNTIFS(実績!$W$6:$W$505,BO$3,実績!$AI$6:$AI$505,"&lt;="&amp;$A58,実績!$AJ$6:$AJ$505,"&gt;"&amp;$A58,実績!$AK$6:$AK$505,"○")&gt;0,1,0))</f>
        <v>0</v>
      </c>
      <c r="BP58" s="39" t="n">
        <f aca="false">IF(BP$4=0,0,IF(COUNTIFS(実績!$W$6:$W$505,BP$3,実績!$AI$6:$AI$505,"&lt;="&amp;$A58,実績!$AJ$6:$AJ$505,"&gt;"&amp;$A58,実績!$AK$6:$AK$505,"○")&gt;0,1,0))</f>
        <v>0</v>
      </c>
      <c r="BQ58" s="39" t="n">
        <f aca="false">IF(BQ$4=0,0,IF(COUNTIFS(実績!$W$6:$W$505,BQ$3,実績!$AI$6:$AI$505,"&lt;="&amp;$A58,実績!$AJ$6:$AJ$505,"&gt;"&amp;$A58,実績!$AK$6:$AK$505,"○")&gt;0,1,0))</f>
        <v>0</v>
      </c>
      <c r="BR58" s="39" t="n">
        <f aca="false">IF(BR$4=0,0,IF(COUNTIFS(実績!$W$6:$W$505,BR$3,実績!$AI$6:$AI$505,"&lt;="&amp;$A58,実績!$AJ$6:$AJ$505,"&gt;"&amp;$A58,実績!$AK$6:$AK$505,"○")&gt;0,1,0))</f>
        <v>0</v>
      </c>
      <c r="BS58" s="39" t="n">
        <f aca="false">IF(BS$4=0,0,IF(COUNTIFS(実績!$W$6:$W$505,BS$3,実績!$AI$6:$AI$505,"&lt;="&amp;$A58,実績!$AJ$6:$AJ$505,"&gt;"&amp;$A58,実績!$AK$6:$AK$505,"○")&gt;0,1,0))</f>
        <v>0</v>
      </c>
      <c r="BT58" s="39" t="n">
        <f aca="false">IF(BT$4=0,0,IF(COUNTIFS(実績!$W$6:$W$505,BT$3,実績!$AI$6:$AI$505,"&lt;="&amp;$A58,実績!$AJ$6:$AJ$505,"&gt;"&amp;$A58,実績!$AK$6:$AK$505,"○")&gt;0,1,0))</f>
        <v>0</v>
      </c>
      <c r="BU58" s="39" t="n">
        <f aca="false">IF(BU$4=0,0,IF(COUNTIFS(実績!$W$6:$W$505,BU$3,実績!$AI$6:$AI$505,"&lt;="&amp;$A58,実績!$AJ$6:$AJ$505,"&gt;"&amp;$A58,実績!$AK$6:$AK$505,"○")&gt;0,1,0))</f>
        <v>0</v>
      </c>
      <c r="BV58" s="39" t="n">
        <f aca="false">IF(BV$4=0,0,IF(COUNTIFS(実績!$W$6:$W$505,BV$3,実績!$AI$6:$AI$505,"&lt;="&amp;$A58,実績!$AJ$6:$AJ$505,"&gt;"&amp;$A58,実績!$AK$6:$AK$505,"○")&gt;0,1,0))</f>
        <v>0</v>
      </c>
      <c r="BW58" s="39" t="n">
        <f aca="false">IF(BW$4=0,0,IF(COUNTIFS(実績!$W$6:$W$505,BW$3,実績!$AI$6:$AI$505,"&lt;="&amp;$A58,実績!$AJ$6:$AJ$505,"&gt;"&amp;$A58,実績!$AK$6:$AK$505,"○")&gt;0,1,0))</f>
        <v>0</v>
      </c>
      <c r="BX58" s="39" t="n">
        <f aca="false">IF(BX$4=0,0,IF(COUNTIFS(実績!$W$6:$W$505,BX$3,実績!$AI$6:$AI$505,"&lt;="&amp;$A58,実績!$AJ$6:$AJ$505,"&gt;"&amp;$A58,実績!$AK$6:$AK$505,"○")&gt;0,1,0))</f>
        <v>0</v>
      </c>
      <c r="BY58" s="39" t="n">
        <f aca="false">IF(BY$4=0,0,IF(COUNTIFS(実績!$W$6:$W$505,BY$3,実績!$AI$6:$AI$505,"&lt;="&amp;$A58,実績!$AJ$6:$AJ$505,"&gt;"&amp;$A58,実績!$AK$6:$AK$505,"○")&gt;0,1,0))</f>
        <v>0</v>
      </c>
      <c r="BZ58" s="39" t="n">
        <f aca="false">IF(BZ$4=0,0,IF(COUNTIFS(実績!$W$6:$W$505,BZ$3,実績!$AI$6:$AI$505,"&lt;="&amp;$A58,実績!$AJ$6:$AJ$505,"&gt;"&amp;$A58,実績!$AK$6:$AK$505,"○")&gt;0,1,0))</f>
        <v>0</v>
      </c>
      <c r="CA58" s="39" t="n">
        <f aca="false">IF(CA$4=0,0,IF(COUNTIFS(実績!$W$6:$W$505,CA$3,実績!$AI$6:$AI$505,"&lt;="&amp;$A58,実績!$AJ$6:$AJ$505,"&gt;"&amp;$A58,実績!$AK$6:$AK$505,"○")&gt;0,1,0))</f>
        <v>0</v>
      </c>
      <c r="CB58" s="39" t="n">
        <f aca="false">IF(CB$4=0,0,IF(COUNTIFS(実績!$W$6:$W$505,CB$3,実績!$AI$6:$AI$505,"&lt;="&amp;$A58,実績!$AJ$6:$AJ$505,"&gt;"&amp;$A58,実績!$AK$6:$AK$505,"○")&gt;0,1,0))</f>
        <v>0</v>
      </c>
      <c r="CC58" s="39" t="n">
        <f aca="false">IF(CC$4=0,0,IF(COUNTIFS(実績!$W$6:$W$505,CC$3,実績!$AI$6:$AI$505,"&lt;="&amp;$A58,実績!$AJ$6:$AJ$505,"&gt;"&amp;$A58,実績!$AK$6:$AK$505,"○")&gt;0,1,0))</f>
        <v>0</v>
      </c>
      <c r="CD58" s="39" t="n">
        <f aca="false">IF(CD$4=0,0,IF(COUNTIFS(実績!$W$6:$W$505,CD$3,実績!$AI$6:$AI$505,"&lt;="&amp;$A58,実績!$AJ$6:$AJ$505,"&gt;"&amp;$A58,実績!$AK$6:$AK$505,"○")&gt;0,1,0))</f>
        <v>0</v>
      </c>
      <c r="CE58" s="39" t="n">
        <f aca="false">IF(CE$4=0,0,IF(COUNTIFS(実績!$W$6:$W$505,CE$3,実績!$AI$6:$AI$505,"&lt;="&amp;$A58,実績!$AJ$6:$AJ$505,"&gt;"&amp;$A58,実績!$AK$6:$AK$505,"○")&gt;0,1,0))</f>
        <v>0</v>
      </c>
      <c r="CF58" s="39" t="n">
        <f aca="false">IF(CF$4=0,0,IF(COUNTIFS(実績!$W$6:$W$505,CF$3,実績!$AI$6:$AI$505,"&lt;="&amp;$A58,実績!$AJ$6:$AJ$505,"&gt;"&amp;$A58,実績!$AK$6:$AK$505,"○")&gt;0,1,0))</f>
        <v>0</v>
      </c>
      <c r="CG58" s="39" t="n">
        <f aca="false">IF(CG$4=0,0,IF(COUNTIFS(実績!$W$6:$W$505,CG$3,実績!$AI$6:$AI$505,"&lt;="&amp;$A58,実績!$AJ$6:$AJ$505,"&gt;"&amp;$A58,実績!$AK$6:$AK$505,"○")&gt;0,1,0))</f>
        <v>0</v>
      </c>
      <c r="CH58" s="39" t="n">
        <f aca="false">IF(CH$4=0,0,IF(COUNTIFS(実績!$W$6:$W$505,CH$3,実績!$AI$6:$AI$505,"&lt;="&amp;$A58,実績!$AJ$6:$AJ$505,"&gt;"&amp;$A58,実績!$AK$6:$AK$505,"○")&gt;0,1,0))</f>
        <v>0</v>
      </c>
      <c r="CI58" s="39" t="n">
        <f aca="false">IF(CI$4=0,0,IF(COUNTIFS(実績!$W$6:$W$505,CI$3,実績!$AI$6:$AI$505,"&lt;="&amp;$A58,実績!$AJ$6:$AJ$505,"&gt;"&amp;$A58,実績!$AK$6:$AK$505,"○")&gt;0,1,0))</f>
        <v>0</v>
      </c>
      <c r="CJ58" s="39" t="n">
        <f aca="false">IF(CJ$4=0,0,IF(COUNTIFS(実績!$W$6:$W$505,CJ$3,実績!$AI$6:$AI$505,"&lt;="&amp;$A58,実績!$AJ$6:$AJ$505,"&gt;"&amp;$A58,実績!$AK$6:$AK$505,"○")&gt;0,1,0))</f>
        <v>0</v>
      </c>
      <c r="CK58" s="39" t="n">
        <f aca="false">IF(CK$4=0,0,IF(COUNTIFS(実績!$W$6:$W$505,CK$3,実績!$AI$6:$AI$505,"&lt;="&amp;$A58,実績!$AJ$6:$AJ$505,"&gt;"&amp;$A58,実績!$AK$6:$AK$505,"○")&gt;0,1,0))</f>
        <v>0</v>
      </c>
      <c r="CL58" s="39" t="n">
        <f aca="false">IF(CL$4=0,0,IF(COUNTIFS(実績!$W$6:$W$505,CL$3,実績!$AI$6:$AI$505,"&lt;="&amp;$A58,実績!$AJ$6:$AJ$505,"&gt;"&amp;$A58,実績!$AK$6:$AK$505,"○")&gt;0,1,0))</f>
        <v>0</v>
      </c>
      <c r="CM58" s="39" t="n">
        <f aca="false">IF(CM$4=0,0,IF(COUNTIFS(実績!$W$6:$W$505,CM$3,実績!$AI$6:$AI$505,"&lt;="&amp;$A58,実績!$AJ$6:$AJ$505,"&gt;"&amp;$A58,実績!$AK$6:$AK$505,"○")&gt;0,1,0))</f>
        <v>0</v>
      </c>
      <c r="CN58" s="39" t="n">
        <f aca="false">IF(CN$4=0,0,IF(COUNTIFS(実績!$W$6:$W$505,CN$3,実績!$AI$6:$AI$505,"&lt;="&amp;$A58,実績!$AJ$6:$AJ$505,"&gt;"&amp;$A58,実績!$AK$6:$AK$505,"○")&gt;0,1,0))</f>
        <v>0</v>
      </c>
      <c r="CO58" s="39" t="n">
        <f aca="false">IF(CO$4=0,0,IF(COUNTIFS(実績!$W$6:$W$505,CO$3,実績!$AI$6:$AI$505,"&lt;="&amp;$A58,実績!$AJ$6:$AJ$505,"&gt;"&amp;$A58,実績!$AK$6:$AK$505,"○")&gt;0,1,0))</f>
        <v>0</v>
      </c>
      <c r="CP58" s="39" t="n">
        <f aca="false">IF(CP$4=0,0,IF(COUNTIFS(実績!$W$6:$W$505,CP$3,実績!$AI$6:$AI$505,"&lt;="&amp;$A58,実績!$AJ$6:$AJ$505,"&gt;"&amp;$A58,実績!$AK$6:$AK$505,"○")&gt;0,1,0))</f>
        <v>0</v>
      </c>
      <c r="CQ58" s="39" t="n">
        <f aca="false">IF(CQ$4=0,0,IF(COUNTIFS(実績!$W$6:$W$505,CQ$3,実績!$AI$6:$AI$505,"&lt;="&amp;$A58,実績!$AJ$6:$AJ$505,"&gt;"&amp;$A58,実績!$AK$6:$AK$505,"○")&gt;0,1,0))</f>
        <v>0</v>
      </c>
      <c r="CR58" s="39" t="n">
        <f aca="false">IF(CR$4=0,0,IF(COUNTIFS(実績!$W$6:$W$505,CR$3,実績!$AI$6:$AI$505,"&lt;="&amp;$A58,実績!$AJ$6:$AJ$505,"&gt;"&amp;$A58,実績!$AK$6:$AK$505,"○")&gt;0,1,0))</f>
        <v>0</v>
      </c>
      <c r="CS58" s="39" t="n">
        <f aca="false">IF(CS$4=0,0,IF(COUNTIFS(実績!$W$6:$W$505,CS$3,実績!$AI$6:$AI$505,"&lt;="&amp;$A58,実績!$AJ$6:$AJ$505,"&gt;"&amp;$A58,実績!$AK$6:$AK$505,"○")&gt;0,1,0))</f>
        <v>0</v>
      </c>
      <c r="CT58" s="39" t="n">
        <f aca="false">IF(CT$4=0,0,IF(COUNTIFS(実績!$W$6:$W$505,CT$3,実績!$AI$6:$AI$505,"&lt;="&amp;$A58,実績!$AJ$6:$AJ$505,"&gt;"&amp;$A58,実績!$AK$6:$AK$505,"○")&gt;0,1,0))</f>
        <v>0</v>
      </c>
      <c r="CU58" s="39" t="n">
        <f aca="false">IF(CU$4=0,0,IF(COUNTIFS(実績!$W$6:$W$505,CU$3,実績!$AI$6:$AI$505,"&lt;="&amp;$A58,実績!$AJ$6:$AJ$505,"&gt;"&amp;$A58,実績!$AK$6:$AK$505,"○")&gt;0,1,0))</f>
        <v>0</v>
      </c>
      <c r="CV58" s="39" t="n">
        <f aca="false">IF(CV$4=0,0,IF(COUNTIFS(実績!$W$6:$W$505,CV$3,実績!$AI$6:$AI$505,"&lt;="&amp;$A58,実績!$AJ$6:$AJ$505,"&gt;"&amp;$A58,実績!$AK$6:$AK$505,"○")&gt;0,1,0))</f>
        <v>0</v>
      </c>
      <c r="CW58" s="39" t="n">
        <f aca="false">IF(CW$4=0,0,IF(COUNTIFS(実績!$W$6:$W$505,CW$3,実績!$AI$6:$AI$505,"&lt;="&amp;$A58,実績!$AJ$6:$AJ$505,"&gt;"&amp;$A58,実績!$AK$6:$AK$505,"○")&gt;0,1,0))</f>
        <v>0</v>
      </c>
      <c r="CX58" s="39" t="n">
        <f aca="false">IF(CX$4=0,0,IF(COUNTIFS(実績!$W$6:$W$505,CX$3,実績!$AI$6:$AI$505,"&lt;="&amp;$A58,実績!$AJ$6:$AJ$505,"&gt;"&amp;$A58,実績!$AK$6:$AK$505,"○")&gt;0,1,0))</f>
        <v>0</v>
      </c>
      <c r="CY58" s="39" t="n">
        <f aca="false">IF(CY$4=0,0,IF(COUNTIFS(実績!$W$6:$W$505,CY$3,実績!$AI$6:$AI$505,"&lt;="&amp;$A58,実績!$AJ$6:$AJ$505,"&gt;"&amp;$A58,実績!$AK$6:$AK$505,"○")&gt;0,1,0))</f>
        <v>0</v>
      </c>
      <c r="CZ58" s="39" t="n">
        <f aca="false">IF(CZ$4=0,0,IF(COUNTIFS(実績!$W$6:$W$505,CZ$3,実績!$AI$6:$AI$505,"&lt;="&amp;$A58,実績!$AJ$6:$AJ$505,"&gt;"&amp;$A58,実績!$AK$6:$AK$505,"○")&gt;0,1,0))</f>
        <v>0</v>
      </c>
      <c r="DA58" s="39" t="n">
        <f aca="false">IF(DA$4=0,0,IF(COUNTIFS(実績!$W$6:$W$505,DA$3,実績!$AI$6:$AI$505,"&lt;="&amp;$A58,実績!$AJ$6:$AJ$505,"&gt;"&amp;$A58,実績!$AK$6:$AK$505,"○")&gt;0,1,0))</f>
        <v>0</v>
      </c>
      <c r="DB58" s="39" t="n">
        <f aca="false">IF(DB$4=0,0,IF(COUNTIFS(実績!$W$6:$W$505,DB$3,実績!$AI$6:$AI$505,"&lt;="&amp;$A58,実績!$AJ$6:$AJ$505,"&gt;"&amp;$A58,実績!$AK$6:$AK$505,"○")&gt;0,1,0))</f>
        <v>0</v>
      </c>
      <c r="DC58" s="39" t="n">
        <f aca="false">IF(DC$4=0,0,IF(COUNTIFS(実績!$W$6:$W$505,DC$3,実績!$AI$6:$AI$505,"&lt;="&amp;$A58,実績!$AJ$6:$AJ$505,"&gt;"&amp;$A58,実績!$AK$6:$AK$505,"○")&gt;0,1,0))</f>
        <v>0</v>
      </c>
      <c r="DD58" s="39" t="n">
        <f aca="false">IF(DD$4=0,0,IF(COUNTIFS(実績!$W$6:$W$505,DD$3,実績!$AI$6:$AI$505,"&lt;="&amp;$A58,実績!$AJ$6:$AJ$505,"&gt;"&amp;$A58,実績!$AK$6:$AK$505,"○")&gt;0,1,0))</f>
        <v>0</v>
      </c>
      <c r="DE58" s="39" t="n">
        <f aca="false">IF(DE$4=0,0,IF(COUNTIFS(実績!$W$6:$W$505,DE$3,実績!$AI$6:$AI$505,"&lt;="&amp;$A58,実績!$AJ$6:$AJ$505,"&gt;"&amp;$A58,実績!$AK$6:$AK$505,"○")&gt;0,1,0))</f>
        <v>0</v>
      </c>
      <c r="DF58" s="39" t="n">
        <f aca="false">IF(DF$4=0,0,IF(COUNTIFS(実績!$W$6:$W$505,DF$3,実績!$AI$6:$AI$505,"&lt;="&amp;$A58,実績!$AJ$6:$AJ$505,"&gt;"&amp;$A58,実績!$AK$6:$AK$505,"○")&gt;0,1,0))</f>
        <v>0</v>
      </c>
      <c r="DG58" s="39" t="n">
        <f aca="false">IF(DG$4=0,0,IF(COUNTIFS(実績!$W$6:$W$505,DG$3,実績!$AI$6:$AI$505,"&lt;="&amp;$A58,実績!$AJ$6:$AJ$505,"&gt;"&amp;$A58,実績!$AK$6:$AK$505,"○")&gt;0,1,0))</f>
        <v>0</v>
      </c>
      <c r="DH58" s="39" t="n">
        <f aca="false">IF(DH$4=0,0,IF(COUNTIFS(実績!$W$6:$W$505,DH$3,実績!$AI$6:$AI$505,"&lt;="&amp;$A58,実績!$AJ$6:$AJ$505,"&gt;"&amp;$A58,実績!$AK$6:$AK$505,"○")&gt;0,1,0))</f>
        <v>0</v>
      </c>
      <c r="DI58" s="39" t="n">
        <f aca="false">IF(DI$4=0,0,IF(COUNTIFS(実績!$W$6:$W$505,DI$3,実績!$AI$6:$AI$505,"&lt;="&amp;$A58,実績!$AJ$6:$AJ$505,"&gt;"&amp;$A58,実績!$AK$6:$AK$505,"○")&gt;0,1,0))</f>
        <v>0</v>
      </c>
      <c r="DJ58" s="39" t="n">
        <f aca="false">IF(DJ$4=0,0,IF(COUNTIFS(実績!$W$6:$W$505,DJ$3,実績!$AI$6:$AI$505,"&lt;="&amp;$A58,実績!$AJ$6:$AJ$505,"&gt;"&amp;$A58,実績!$AK$6:$AK$505,"○")&gt;0,1,0))</f>
        <v>0</v>
      </c>
      <c r="DK58" s="39" t="n">
        <f aca="false">IF(DK$4=0,0,IF(COUNTIFS(実績!$W$6:$W$505,DK$3,実績!$AI$6:$AI$505,"&lt;="&amp;$A58,実績!$AJ$6:$AJ$505,"&gt;"&amp;$A58,実績!$AK$6:$AK$505,"○")&gt;0,1,0))</f>
        <v>0</v>
      </c>
      <c r="DL58" s="39" t="n">
        <f aca="false">IF(DL$4=0,0,IF(COUNTIFS(実績!$W$6:$W$505,DL$3,実績!$AI$6:$AI$505,"&lt;="&amp;$A58,実績!$AJ$6:$AJ$505,"&gt;"&amp;$A58,実績!$AK$6:$AK$505,"○")&gt;0,1,0))</f>
        <v>0</v>
      </c>
      <c r="DM58" s="39" t="n">
        <f aca="false">IF(DM$4=0,0,IF(COUNTIFS(実績!$W$6:$W$505,DM$3,実績!$AI$6:$AI$505,"&lt;="&amp;$A58,実績!$AJ$6:$AJ$505,"&gt;"&amp;$A58,実績!$AK$6:$AK$505,"○")&gt;0,1,0))</f>
        <v>0</v>
      </c>
      <c r="DN58" s="39" t="n">
        <f aca="false">IF(DN$4=0,0,IF(COUNTIFS(実績!$W$6:$W$505,DN$3,実績!$AI$6:$AI$505,"&lt;="&amp;$A58,実績!$AJ$6:$AJ$505,"&gt;"&amp;$A58,実績!$AK$6:$AK$505,"○")&gt;0,1,0))</f>
        <v>0</v>
      </c>
      <c r="DO58" s="39" t="n">
        <f aca="false">IF(DO$4=0,0,IF(COUNTIFS(実績!$W$6:$W$505,DO$3,実績!$AI$6:$AI$505,"&lt;="&amp;$A58,実績!$AJ$6:$AJ$505,"&gt;"&amp;$A58,実績!$AK$6:$AK$505,"○")&gt;0,1,0))</f>
        <v>0</v>
      </c>
      <c r="DP58" s="39" t="n">
        <f aca="false">IF(DP$4=0,0,IF(COUNTIFS(実績!$W$6:$W$505,DP$3,実績!$AI$6:$AI$505,"&lt;="&amp;$A58,実績!$AJ$6:$AJ$505,"&gt;"&amp;$A58,実績!$AK$6:$AK$505,"○")&gt;0,1,0))</f>
        <v>0</v>
      </c>
      <c r="DQ58" s="39" t="n">
        <f aca="false">IF(DQ$4=0,0,IF(COUNTIFS(実績!$W$6:$W$505,DQ$3,実績!$AI$6:$AI$505,"&lt;="&amp;$A58,実績!$AJ$6:$AJ$505,"&gt;"&amp;$A58,実績!$AK$6:$AK$505,"○")&gt;0,1,0))</f>
        <v>0</v>
      </c>
      <c r="DR58" s="39" t="n">
        <f aca="false">IF(DR$4=0,0,IF(COUNTIFS(実績!$W$6:$W$505,DR$3,実績!$AI$6:$AI$505,"&lt;="&amp;$A58,実績!$AJ$6:$AJ$505,"&gt;"&amp;$A58,実績!$AK$6:$AK$505,"○")&gt;0,1,0))</f>
        <v>0</v>
      </c>
      <c r="DS58" s="39" t="n">
        <f aca="false">SUM(C58:DR58)</f>
        <v>0</v>
      </c>
      <c r="DT58" s="39" t="n">
        <f aca="false">SUMPRODUCT((実績!$C$6:$C$505="○")*ISNUMBER(実績!$AM$6:$AM$505)*(実績!$AM$6:$AM$505&lt;=$A58)*(実績!$AN$6:$AN$505&gt;$A58))</f>
        <v>0</v>
      </c>
      <c r="DU58" s="39" t="n">
        <f aca="false">SUMIF($C$2:$DR$2,"製鉄曳船",C58:DR58)</f>
        <v>0</v>
      </c>
      <c r="DV58" s="39" t="n">
        <f aca="false">SUMIF($C$2:$DR$2,"西日本海運",C58:DR58)</f>
        <v>0</v>
      </c>
    </row>
    <row r="59" customFormat="false" ht="15" hidden="false" customHeight="false" outlineLevel="0" collapsed="false">
      <c r="A59" s="0" t="n">
        <v>265</v>
      </c>
      <c r="B59" s="38" t="n">
        <f aca="false">A59/1440</f>
        <v>0.184027777777778</v>
      </c>
      <c r="C59" s="39" t="n">
        <f aca="false">IF(C$4=0,0,IF(COUNTIFS(実績!$W$6:$W$505,C$3,実績!$AI$6:$AI$505,"&lt;="&amp;$A59,実績!$AJ$6:$AJ$505,"&gt;"&amp;$A59,実績!$AK$6:$AK$505,"○")&gt;0,1,0))</f>
        <v>0</v>
      </c>
      <c r="D59" s="39" t="n">
        <f aca="false">IF(D$4=0,0,IF(COUNTIFS(実績!$W$6:$W$505,D$3,実績!$AI$6:$AI$505,"&lt;="&amp;$A59,実績!$AJ$6:$AJ$505,"&gt;"&amp;$A59,実績!$AK$6:$AK$505,"○")&gt;0,1,0))</f>
        <v>0</v>
      </c>
      <c r="E59" s="39" t="n">
        <f aca="false">IF(E$4=0,0,IF(COUNTIFS(実績!$W$6:$W$505,E$3,実績!$AI$6:$AI$505,"&lt;="&amp;$A59,実績!$AJ$6:$AJ$505,"&gt;"&amp;$A59,実績!$AK$6:$AK$505,"○")&gt;0,1,0))</f>
        <v>0</v>
      </c>
      <c r="F59" s="39" t="n">
        <f aca="false">IF(F$4=0,0,IF(COUNTIFS(実績!$W$6:$W$505,F$3,実績!$AI$6:$AI$505,"&lt;="&amp;$A59,実績!$AJ$6:$AJ$505,"&gt;"&amp;$A59,実績!$AK$6:$AK$505,"○")&gt;0,1,0))</f>
        <v>0</v>
      </c>
      <c r="G59" s="39" t="n">
        <f aca="false">IF(G$4=0,0,IF(COUNTIFS(実績!$W$6:$W$505,G$3,実績!$AI$6:$AI$505,"&lt;="&amp;$A59,実績!$AJ$6:$AJ$505,"&gt;"&amp;$A59,実績!$AK$6:$AK$505,"○")&gt;0,1,0))</f>
        <v>0</v>
      </c>
      <c r="H59" s="39" t="n">
        <f aca="false">IF(H$4=0,0,IF(COUNTIFS(実績!$W$6:$W$505,H$3,実績!$AI$6:$AI$505,"&lt;="&amp;$A59,実績!$AJ$6:$AJ$505,"&gt;"&amp;$A59,実績!$AK$6:$AK$505,"○")&gt;0,1,0))</f>
        <v>0</v>
      </c>
      <c r="I59" s="39" t="n">
        <f aca="false">IF(I$4=0,0,IF(COUNTIFS(実績!$W$6:$W$505,I$3,実績!$AI$6:$AI$505,"&lt;="&amp;$A59,実績!$AJ$6:$AJ$505,"&gt;"&amp;$A59,実績!$AK$6:$AK$505,"○")&gt;0,1,0))</f>
        <v>0</v>
      </c>
      <c r="J59" s="39" t="n">
        <f aca="false">IF(J$4=0,0,IF(COUNTIFS(実績!$W$6:$W$505,J$3,実績!$AI$6:$AI$505,"&lt;="&amp;$A59,実績!$AJ$6:$AJ$505,"&gt;"&amp;$A59,実績!$AK$6:$AK$505,"○")&gt;0,1,0))</f>
        <v>0</v>
      </c>
      <c r="K59" s="39" t="n">
        <f aca="false">IF(K$4=0,0,IF(COUNTIFS(実績!$W$6:$W$505,K$3,実績!$AI$6:$AI$505,"&lt;="&amp;$A59,実績!$AJ$6:$AJ$505,"&gt;"&amp;$A59,実績!$AK$6:$AK$505,"○")&gt;0,1,0))</f>
        <v>0</v>
      </c>
      <c r="L59" s="39" t="n">
        <f aca="false">IF(L$4=0,0,IF(COUNTIFS(実績!$W$6:$W$505,L$3,実績!$AI$6:$AI$505,"&lt;="&amp;$A59,実績!$AJ$6:$AJ$505,"&gt;"&amp;$A59,実績!$AK$6:$AK$505,"○")&gt;0,1,0))</f>
        <v>0</v>
      </c>
      <c r="M59" s="39" t="n">
        <f aca="false">IF(M$4=0,0,IF(COUNTIFS(実績!$W$6:$W$505,M$3,実績!$AI$6:$AI$505,"&lt;="&amp;$A59,実績!$AJ$6:$AJ$505,"&gt;"&amp;$A59,実績!$AK$6:$AK$505,"○")&gt;0,1,0))</f>
        <v>0</v>
      </c>
      <c r="N59" s="39" t="n">
        <f aca="false">IF(N$4=0,0,IF(COUNTIFS(実績!$W$6:$W$505,N$3,実績!$AI$6:$AI$505,"&lt;="&amp;$A59,実績!$AJ$6:$AJ$505,"&gt;"&amp;$A59,実績!$AK$6:$AK$505,"○")&gt;0,1,0))</f>
        <v>0</v>
      </c>
      <c r="O59" s="39" t="n">
        <f aca="false">IF(O$4=0,0,IF(COUNTIFS(実績!$W$6:$W$505,O$3,実績!$AI$6:$AI$505,"&lt;="&amp;$A59,実績!$AJ$6:$AJ$505,"&gt;"&amp;$A59,実績!$AK$6:$AK$505,"○")&gt;0,1,0))</f>
        <v>0</v>
      </c>
      <c r="P59" s="39" t="n">
        <f aca="false">IF(P$4=0,0,IF(COUNTIFS(実績!$W$6:$W$505,P$3,実績!$AI$6:$AI$505,"&lt;="&amp;$A59,実績!$AJ$6:$AJ$505,"&gt;"&amp;$A59,実績!$AK$6:$AK$505,"○")&gt;0,1,0))</f>
        <v>0</v>
      </c>
      <c r="Q59" s="39" t="n">
        <f aca="false">IF(Q$4=0,0,IF(COUNTIFS(実績!$W$6:$W$505,Q$3,実績!$AI$6:$AI$505,"&lt;="&amp;$A59,実績!$AJ$6:$AJ$505,"&gt;"&amp;$A59,実績!$AK$6:$AK$505,"○")&gt;0,1,0))</f>
        <v>0</v>
      </c>
      <c r="R59" s="39" t="n">
        <f aca="false">IF(R$4=0,0,IF(COUNTIFS(実績!$W$6:$W$505,R$3,実績!$AI$6:$AI$505,"&lt;="&amp;$A59,実績!$AJ$6:$AJ$505,"&gt;"&amp;$A59,実績!$AK$6:$AK$505,"○")&gt;0,1,0))</f>
        <v>0</v>
      </c>
      <c r="S59" s="39" t="n">
        <f aca="false">IF(S$4=0,0,IF(COUNTIFS(実績!$W$6:$W$505,S$3,実績!$AI$6:$AI$505,"&lt;="&amp;$A59,実績!$AJ$6:$AJ$505,"&gt;"&amp;$A59,実績!$AK$6:$AK$505,"○")&gt;0,1,0))</f>
        <v>0</v>
      </c>
      <c r="T59" s="39" t="n">
        <f aca="false">IF(T$4=0,0,IF(COUNTIFS(実績!$W$6:$W$505,T$3,実績!$AI$6:$AI$505,"&lt;="&amp;$A59,実績!$AJ$6:$AJ$505,"&gt;"&amp;$A59,実績!$AK$6:$AK$505,"○")&gt;0,1,0))</f>
        <v>0</v>
      </c>
      <c r="U59" s="39" t="n">
        <f aca="false">IF(U$4=0,0,IF(COUNTIFS(実績!$W$6:$W$505,U$3,実績!$AI$6:$AI$505,"&lt;="&amp;$A59,実績!$AJ$6:$AJ$505,"&gt;"&amp;$A59,実績!$AK$6:$AK$505,"○")&gt;0,1,0))</f>
        <v>0</v>
      </c>
      <c r="V59" s="39" t="n">
        <f aca="false">IF(V$4=0,0,IF(COUNTIFS(実績!$W$6:$W$505,V$3,実績!$AI$6:$AI$505,"&lt;="&amp;$A59,実績!$AJ$6:$AJ$505,"&gt;"&amp;$A59,実績!$AK$6:$AK$505,"○")&gt;0,1,0))</f>
        <v>0</v>
      </c>
      <c r="W59" s="39" t="n">
        <f aca="false">IF(W$4=0,0,IF(COUNTIFS(実績!$W$6:$W$505,W$3,実績!$AI$6:$AI$505,"&lt;="&amp;$A59,実績!$AJ$6:$AJ$505,"&gt;"&amp;$A59,実績!$AK$6:$AK$505,"○")&gt;0,1,0))</f>
        <v>0</v>
      </c>
      <c r="X59" s="39" t="n">
        <f aca="false">IF(X$4=0,0,IF(COUNTIFS(実績!$W$6:$W$505,X$3,実績!$AI$6:$AI$505,"&lt;="&amp;$A59,実績!$AJ$6:$AJ$505,"&gt;"&amp;$A59,実績!$AK$6:$AK$505,"○")&gt;0,1,0))</f>
        <v>0</v>
      </c>
      <c r="Y59" s="39" t="n">
        <f aca="false">IF(Y$4=0,0,IF(COUNTIFS(実績!$W$6:$W$505,Y$3,実績!$AI$6:$AI$505,"&lt;="&amp;$A59,実績!$AJ$6:$AJ$505,"&gt;"&amp;$A59,実績!$AK$6:$AK$505,"○")&gt;0,1,0))</f>
        <v>0</v>
      </c>
      <c r="Z59" s="39" t="n">
        <f aca="false">IF(Z$4=0,0,IF(COUNTIFS(実績!$W$6:$W$505,Z$3,実績!$AI$6:$AI$505,"&lt;="&amp;$A59,実績!$AJ$6:$AJ$505,"&gt;"&amp;$A59,実績!$AK$6:$AK$505,"○")&gt;0,1,0))</f>
        <v>0</v>
      </c>
      <c r="AA59" s="39" t="n">
        <f aca="false">IF(AA$4=0,0,IF(COUNTIFS(実績!$W$6:$W$505,AA$3,実績!$AI$6:$AI$505,"&lt;="&amp;$A59,実績!$AJ$6:$AJ$505,"&gt;"&amp;$A59,実績!$AK$6:$AK$505,"○")&gt;0,1,0))</f>
        <v>0</v>
      </c>
      <c r="AB59" s="39" t="n">
        <f aca="false">IF(AB$4=0,0,IF(COUNTIFS(実績!$W$6:$W$505,AB$3,実績!$AI$6:$AI$505,"&lt;="&amp;$A59,実績!$AJ$6:$AJ$505,"&gt;"&amp;$A59,実績!$AK$6:$AK$505,"○")&gt;0,1,0))</f>
        <v>0</v>
      </c>
      <c r="AC59" s="39" t="n">
        <f aca="false">IF(AC$4=0,0,IF(COUNTIFS(実績!$W$6:$W$505,AC$3,実績!$AI$6:$AI$505,"&lt;="&amp;$A59,実績!$AJ$6:$AJ$505,"&gt;"&amp;$A59,実績!$AK$6:$AK$505,"○")&gt;0,1,0))</f>
        <v>0</v>
      </c>
      <c r="AD59" s="39" t="n">
        <f aca="false">IF(AD$4=0,0,IF(COUNTIFS(実績!$W$6:$W$505,AD$3,実績!$AI$6:$AI$505,"&lt;="&amp;$A59,実績!$AJ$6:$AJ$505,"&gt;"&amp;$A59,実績!$AK$6:$AK$505,"○")&gt;0,1,0))</f>
        <v>0</v>
      </c>
      <c r="AE59" s="39" t="n">
        <f aca="false">IF(AE$4=0,0,IF(COUNTIFS(実績!$W$6:$W$505,AE$3,実績!$AI$6:$AI$505,"&lt;="&amp;$A59,実績!$AJ$6:$AJ$505,"&gt;"&amp;$A59,実績!$AK$6:$AK$505,"○")&gt;0,1,0))</f>
        <v>0</v>
      </c>
      <c r="AF59" s="39" t="n">
        <f aca="false">IF(AF$4=0,0,IF(COUNTIFS(実績!$W$6:$W$505,AF$3,実績!$AI$6:$AI$505,"&lt;="&amp;$A59,実績!$AJ$6:$AJ$505,"&gt;"&amp;$A59,実績!$AK$6:$AK$505,"○")&gt;0,1,0))</f>
        <v>0</v>
      </c>
      <c r="AG59" s="39" t="n">
        <f aca="false">IF(AG$4=0,0,IF(COUNTIFS(実績!$W$6:$W$505,AG$3,実績!$AI$6:$AI$505,"&lt;="&amp;$A59,実績!$AJ$6:$AJ$505,"&gt;"&amp;$A59,実績!$AK$6:$AK$505,"○")&gt;0,1,0))</f>
        <v>0</v>
      </c>
      <c r="AH59" s="39" t="n">
        <f aca="false">IF(AH$4=0,0,IF(COUNTIFS(実績!$W$6:$W$505,AH$3,実績!$AI$6:$AI$505,"&lt;="&amp;$A59,実績!$AJ$6:$AJ$505,"&gt;"&amp;$A59,実績!$AK$6:$AK$505,"○")&gt;0,1,0))</f>
        <v>0</v>
      </c>
      <c r="AI59" s="39" t="n">
        <f aca="false">IF(AI$4=0,0,IF(COUNTIFS(実績!$W$6:$W$505,AI$3,実績!$AI$6:$AI$505,"&lt;="&amp;$A59,実績!$AJ$6:$AJ$505,"&gt;"&amp;$A59,実績!$AK$6:$AK$505,"○")&gt;0,1,0))</f>
        <v>0</v>
      </c>
      <c r="AJ59" s="39" t="n">
        <f aca="false">IF(AJ$4=0,0,IF(COUNTIFS(実績!$W$6:$W$505,AJ$3,実績!$AI$6:$AI$505,"&lt;="&amp;$A59,実績!$AJ$6:$AJ$505,"&gt;"&amp;$A59,実績!$AK$6:$AK$505,"○")&gt;0,1,0))</f>
        <v>0</v>
      </c>
      <c r="AK59" s="39" t="n">
        <f aca="false">IF(AK$4=0,0,IF(COUNTIFS(実績!$W$6:$W$505,AK$3,実績!$AI$6:$AI$505,"&lt;="&amp;$A59,実績!$AJ$6:$AJ$505,"&gt;"&amp;$A59,実績!$AK$6:$AK$505,"○")&gt;0,1,0))</f>
        <v>0</v>
      </c>
      <c r="AL59" s="39" t="n">
        <f aca="false">IF(AL$4=0,0,IF(COUNTIFS(実績!$W$6:$W$505,AL$3,実績!$AI$6:$AI$505,"&lt;="&amp;$A59,実績!$AJ$6:$AJ$505,"&gt;"&amp;$A59,実績!$AK$6:$AK$505,"○")&gt;0,1,0))</f>
        <v>0</v>
      </c>
      <c r="AM59" s="39" t="n">
        <f aca="false">IF(AM$4=0,0,IF(COUNTIFS(実績!$W$6:$W$505,AM$3,実績!$AI$6:$AI$505,"&lt;="&amp;$A59,実績!$AJ$6:$AJ$505,"&gt;"&amp;$A59,実績!$AK$6:$AK$505,"○")&gt;0,1,0))</f>
        <v>0</v>
      </c>
      <c r="AN59" s="39" t="n">
        <f aca="false">IF(AN$4=0,0,IF(COUNTIFS(実績!$W$6:$W$505,AN$3,実績!$AI$6:$AI$505,"&lt;="&amp;$A59,実績!$AJ$6:$AJ$505,"&gt;"&amp;$A59,実績!$AK$6:$AK$505,"○")&gt;0,1,0))</f>
        <v>0</v>
      </c>
      <c r="AO59" s="39" t="n">
        <f aca="false">IF(AO$4=0,0,IF(COUNTIFS(実績!$W$6:$W$505,AO$3,実績!$AI$6:$AI$505,"&lt;="&amp;$A59,実績!$AJ$6:$AJ$505,"&gt;"&amp;$A59,実績!$AK$6:$AK$505,"○")&gt;0,1,0))</f>
        <v>0</v>
      </c>
      <c r="AP59" s="39" t="n">
        <f aca="false">IF(AP$4=0,0,IF(COUNTIFS(実績!$W$6:$W$505,AP$3,実績!$AI$6:$AI$505,"&lt;="&amp;$A59,実績!$AJ$6:$AJ$505,"&gt;"&amp;$A59,実績!$AK$6:$AK$505,"○")&gt;0,1,0))</f>
        <v>0</v>
      </c>
      <c r="AQ59" s="39" t="n">
        <f aca="false">IF(AQ$4=0,0,IF(COUNTIFS(実績!$W$6:$W$505,AQ$3,実績!$AI$6:$AI$505,"&lt;="&amp;$A59,実績!$AJ$6:$AJ$505,"&gt;"&amp;$A59,実績!$AK$6:$AK$505,"○")&gt;0,1,0))</f>
        <v>0</v>
      </c>
      <c r="AR59" s="39" t="n">
        <f aca="false">IF(AR$4=0,0,IF(COUNTIFS(実績!$W$6:$W$505,AR$3,実績!$AI$6:$AI$505,"&lt;="&amp;$A59,実績!$AJ$6:$AJ$505,"&gt;"&amp;$A59,実績!$AK$6:$AK$505,"○")&gt;0,1,0))</f>
        <v>0</v>
      </c>
      <c r="AS59" s="39" t="n">
        <f aca="false">IF(AS$4=0,0,IF(COUNTIFS(実績!$W$6:$W$505,AS$3,実績!$AI$6:$AI$505,"&lt;="&amp;$A59,実績!$AJ$6:$AJ$505,"&gt;"&amp;$A59,実績!$AK$6:$AK$505,"○")&gt;0,1,0))</f>
        <v>0</v>
      </c>
      <c r="AT59" s="39" t="n">
        <f aca="false">IF(AT$4=0,0,IF(COUNTIFS(実績!$W$6:$W$505,AT$3,実績!$AI$6:$AI$505,"&lt;="&amp;$A59,実績!$AJ$6:$AJ$505,"&gt;"&amp;$A59,実績!$AK$6:$AK$505,"○")&gt;0,1,0))</f>
        <v>0</v>
      </c>
      <c r="AU59" s="39" t="n">
        <f aca="false">IF(AU$4=0,0,IF(COUNTIFS(実績!$W$6:$W$505,AU$3,実績!$AI$6:$AI$505,"&lt;="&amp;$A59,実績!$AJ$6:$AJ$505,"&gt;"&amp;$A59,実績!$AK$6:$AK$505,"○")&gt;0,1,0))</f>
        <v>0</v>
      </c>
      <c r="AV59" s="39" t="n">
        <f aca="false">IF(AV$4=0,0,IF(COUNTIFS(実績!$W$6:$W$505,AV$3,実績!$AI$6:$AI$505,"&lt;="&amp;$A59,実績!$AJ$6:$AJ$505,"&gt;"&amp;$A59,実績!$AK$6:$AK$505,"○")&gt;0,1,0))</f>
        <v>0</v>
      </c>
      <c r="AW59" s="39" t="n">
        <f aca="false">IF(AW$4=0,0,IF(COUNTIFS(実績!$W$6:$W$505,AW$3,実績!$AI$6:$AI$505,"&lt;="&amp;$A59,実績!$AJ$6:$AJ$505,"&gt;"&amp;$A59,実績!$AK$6:$AK$505,"○")&gt;0,1,0))</f>
        <v>0</v>
      </c>
      <c r="AX59" s="39" t="n">
        <f aca="false">IF(AX$4=0,0,IF(COUNTIFS(実績!$W$6:$W$505,AX$3,実績!$AI$6:$AI$505,"&lt;="&amp;$A59,実績!$AJ$6:$AJ$505,"&gt;"&amp;$A59,実績!$AK$6:$AK$505,"○")&gt;0,1,0))</f>
        <v>0</v>
      </c>
      <c r="AY59" s="39" t="n">
        <f aca="false">IF(AY$4=0,0,IF(COUNTIFS(実績!$W$6:$W$505,AY$3,実績!$AI$6:$AI$505,"&lt;="&amp;$A59,実績!$AJ$6:$AJ$505,"&gt;"&amp;$A59,実績!$AK$6:$AK$505,"○")&gt;0,1,0))</f>
        <v>0</v>
      </c>
      <c r="AZ59" s="39" t="n">
        <f aca="false">IF(AZ$4=0,0,IF(COUNTIFS(実績!$W$6:$W$505,AZ$3,実績!$AI$6:$AI$505,"&lt;="&amp;$A59,実績!$AJ$6:$AJ$505,"&gt;"&amp;$A59,実績!$AK$6:$AK$505,"○")&gt;0,1,0))</f>
        <v>0</v>
      </c>
      <c r="BA59" s="39" t="n">
        <f aca="false">IF(BA$4=0,0,IF(COUNTIFS(実績!$W$6:$W$505,BA$3,実績!$AI$6:$AI$505,"&lt;="&amp;$A59,実績!$AJ$6:$AJ$505,"&gt;"&amp;$A59,実績!$AK$6:$AK$505,"○")&gt;0,1,0))</f>
        <v>0</v>
      </c>
      <c r="BB59" s="39" t="n">
        <f aca="false">IF(BB$4=0,0,IF(COUNTIFS(実績!$W$6:$W$505,BB$3,実績!$AI$6:$AI$505,"&lt;="&amp;$A59,実績!$AJ$6:$AJ$505,"&gt;"&amp;$A59,実績!$AK$6:$AK$505,"○")&gt;0,1,0))</f>
        <v>0</v>
      </c>
      <c r="BC59" s="39" t="n">
        <f aca="false">IF(BC$4=0,0,IF(COUNTIFS(実績!$W$6:$W$505,BC$3,実績!$AI$6:$AI$505,"&lt;="&amp;$A59,実績!$AJ$6:$AJ$505,"&gt;"&amp;$A59,実績!$AK$6:$AK$505,"○")&gt;0,1,0))</f>
        <v>0</v>
      </c>
      <c r="BD59" s="39" t="n">
        <f aca="false">IF(BD$4=0,0,IF(COUNTIFS(実績!$W$6:$W$505,BD$3,実績!$AI$6:$AI$505,"&lt;="&amp;$A59,実績!$AJ$6:$AJ$505,"&gt;"&amp;$A59,実績!$AK$6:$AK$505,"○")&gt;0,1,0))</f>
        <v>0</v>
      </c>
      <c r="BE59" s="39" t="n">
        <f aca="false">IF(BE$4=0,0,IF(COUNTIFS(実績!$W$6:$W$505,BE$3,実績!$AI$6:$AI$505,"&lt;="&amp;$A59,実績!$AJ$6:$AJ$505,"&gt;"&amp;$A59,実績!$AK$6:$AK$505,"○")&gt;0,1,0))</f>
        <v>0</v>
      </c>
      <c r="BF59" s="39" t="n">
        <f aca="false">IF(BF$4=0,0,IF(COUNTIFS(実績!$W$6:$W$505,BF$3,実績!$AI$6:$AI$505,"&lt;="&amp;$A59,実績!$AJ$6:$AJ$505,"&gt;"&amp;$A59,実績!$AK$6:$AK$505,"○")&gt;0,1,0))</f>
        <v>0</v>
      </c>
      <c r="BG59" s="39" t="n">
        <f aca="false">IF(BG$4=0,0,IF(COUNTIFS(実績!$W$6:$W$505,BG$3,実績!$AI$6:$AI$505,"&lt;="&amp;$A59,実績!$AJ$6:$AJ$505,"&gt;"&amp;$A59,実績!$AK$6:$AK$505,"○")&gt;0,1,0))</f>
        <v>0</v>
      </c>
      <c r="BH59" s="39" t="n">
        <f aca="false">IF(BH$4=0,0,IF(COUNTIFS(実績!$W$6:$W$505,BH$3,実績!$AI$6:$AI$505,"&lt;="&amp;$A59,実績!$AJ$6:$AJ$505,"&gt;"&amp;$A59,実績!$AK$6:$AK$505,"○")&gt;0,1,0))</f>
        <v>0</v>
      </c>
      <c r="BI59" s="39" t="n">
        <f aca="false">IF(BI$4=0,0,IF(COUNTIFS(実績!$W$6:$W$505,BI$3,実績!$AI$6:$AI$505,"&lt;="&amp;$A59,実績!$AJ$6:$AJ$505,"&gt;"&amp;$A59,実績!$AK$6:$AK$505,"○")&gt;0,1,0))</f>
        <v>0</v>
      </c>
      <c r="BJ59" s="39" t="n">
        <f aca="false">IF(BJ$4=0,0,IF(COUNTIFS(実績!$W$6:$W$505,BJ$3,実績!$AI$6:$AI$505,"&lt;="&amp;$A59,実績!$AJ$6:$AJ$505,"&gt;"&amp;$A59,実績!$AK$6:$AK$505,"○")&gt;0,1,0))</f>
        <v>0</v>
      </c>
      <c r="BK59" s="39" t="n">
        <f aca="false">IF(BK$4=0,0,IF(COUNTIFS(実績!$W$6:$W$505,BK$3,実績!$AI$6:$AI$505,"&lt;="&amp;$A59,実績!$AJ$6:$AJ$505,"&gt;"&amp;$A59,実績!$AK$6:$AK$505,"○")&gt;0,1,0))</f>
        <v>0</v>
      </c>
      <c r="BL59" s="39" t="n">
        <f aca="false">IF(BL$4=0,0,IF(COUNTIFS(実績!$W$6:$W$505,BL$3,実績!$AI$6:$AI$505,"&lt;="&amp;$A59,実績!$AJ$6:$AJ$505,"&gt;"&amp;$A59,実績!$AK$6:$AK$505,"○")&gt;0,1,0))</f>
        <v>0</v>
      </c>
      <c r="BM59" s="39" t="n">
        <f aca="false">IF(BM$4=0,0,IF(COUNTIFS(実績!$W$6:$W$505,BM$3,実績!$AI$6:$AI$505,"&lt;="&amp;$A59,実績!$AJ$6:$AJ$505,"&gt;"&amp;$A59,実績!$AK$6:$AK$505,"○")&gt;0,1,0))</f>
        <v>0</v>
      </c>
      <c r="BN59" s="39" t="n">
        <f aca="false">IF(BN$4=0,0,IF(COUNTIFS(実績!$W$6:$W$505,BN$3,実績!$AI$6:$AI$505,"&lt;="&amp;$A59,実績!$AJ$6:$AJ$505,"&gt;"&amp;$A59,実績!$AK$6:$AK$505,"○")&gt;0,1,0))</f>
        <v>0</v>
      </c>
      <c r="BO59" s="39" t="n">
        <f aca="false">IF(BO$4=0,0,IF(COUNTIFS(実績!$W$6:$W$505,BO$3,実績!$AI$6:$AI$505,"&lt;="&amp;$A59,実績!$AJ$6:$AJ$505,"&gt;"&amp;$A59,実績!$AK$6:$AK$505,"○")&gt;0,1,0))</f>
        <v>0</v>
      </c>
      <c r="BP59" s="39" t="n">
        <f aca="false">IF(BP$4=0,0,IF(COUNTIFS(実績!$W$6:$W$505,BP$3,実績!$AI$6:$AI$505,"&lt;="&amp;$A59,実績!$AJ$6:$AJ$505,"&gt;"&amp;$A59,実績!$AK$6:$AK$505,"○")&gt;0,1,0))</f>
        <v>0</v>
      </c>
      <c r="BQ59" s="39" t="n">
        <f aca="false">IF(BQ$4=0,0,IF(COUNTIFS(実績!$W$6:$W$505,BQ$3,実績!$AI$6:$AI$505,"&lt;="&amp;$A59,実績!$AJ$6:$AJ$505,"&gt;"&amp;$A59,実績!$AK$6:$AK$505,"○")&gt;0,1,0))</f>
        <v>0</v>
      </c>
      <c r="BR59" s="39" t="n">
        <f aca="false">IF(BR$4=0,0,IF(COUNTIFS(実績!$W$6:$W$505,BR$3,実績!$AI$6:$AI$505,"&lt;="&amp;$A59,実績!$AJ$6:$AJ$505,"&gt;"&amp;$A59,実績!$AK$6:$AK$505,"○")&gt;0,1,0))</f>
        <v>0</v>
      </c>
      <c r="BS59" s="39" t="n">
        <f aca="false">IF(BS$4=0,0,IF(COUNTIFS(実績!$W$6:$W$505,BS$3,実績!$AI$6:$AI$505,"&lt;="&amp;$A59,実績!$AJ$6:$AJ$505,"&gt;"&amp;$A59,実績!$AK$6:$AK$505,"○")&gt;0,1,0))</f>
        <v>0</v>
      </c>
      <c r="BT59" s="39" t="n">
        <f aca="false">IF(BT$4=0,0,IF(COUNTIFS(実績!$W$6:$W$505,BT$3,実績!$AI$6:$AI$505,"&lt;="&amp;$A59,実績!$AJ$6:$AJ$505,"&gt;"&amp;$A59,実績!$AK$6:$AK$505,"○")&gt;0,1,0))</f>
        <v>0</v>
      </c>
      <c r="BU59" s="39" t="n">
        <f aca="false">IF(BU$4=0,0,IF(COUNTIFS(実績!$W$6:$W$505,BU$3,実績!$AI$6:$AI$505,"&lt;="&amp;$A59,実績!$AJ$6:$AJ$505,"&gt;"&amp;$A59,実績!$AK$6:$AK$505,"○")&gt;0,1,0))</f>
        <v>0</v>
      </c>
      <c r="BV59" s="39" t="n">
        <f aca="false">IF(BV$4=0,0,IF(COUNTIFS(実績!$W$6:$W$505,BV$3,実績!$AI$6:$AI$505,"&lt;="&amp;$A59,実績!$AJ$6:$AJ$505,"&gt;"&amp;$A59,実績!$AK$6:$AK$505,"○")&gt;0,1,0))</f>
        <v>0</v>
      </c>
      <c r="BW59" s="39" t="n">
        <f aca="false">IF(BW$4=0,0,IF(COUNTIFS(実績!$W$6:$W$505,BW$3,実績!$AI$6:$AI$505,"&lt;="&amp;$A59,実績!$AJ$6:$AJ$505,"&gt;"&amp;$A59,実績!$AK$6:$AK$505,"○")&gt;0,1,0))</f>
        <v>0</v>
      </c>
      <c r="BX59" s="39" t="n">
        <f aca="false">IF(BX$4=0,0,IF(COUNTIFS(実績!$W$6:$W$505,BX$3,実績!$AI$6:$AI$505,"&lt;="&amp;$A59,実績!$AJ$6:$AJ$505,"&gt;"&amp;$A59,実績!$AK$6:$AK$505,"○")&gt;0,1,0))</f>
        <v>0</v>
      </c>
      <c r="BY59" s="39" t="n">
        <f aca="false">IF(BY$4=0,0,IF(COUNTIFS(実績!$W$6:$W$505,BY$3,実績!$AI$6:$AI$505,"&lt;="&amp;$A59,実績!$AJ$6:$AJ$505,"&gt;"&amp;$A59,実績!$AK$6:$AK$505,"○")&gt;0,1,0))</f>
        <v>0</v>
      </c>
      <c r="BZ59" s="39" t="n">
        <f aca="false">IF(BZ$4=0,0,IF(COUNTIFS(実績!$W$6:$W$505,BZ$3,実績!$AI$6:$AI$505,"&lt;="&amp;$A59,実績!$AJ$6:$AJ$505,"&gt;"&amp;$A59,実績!$AK$6:$AK$505,"○")&gt;0,1,0))</f>
        <v>0</v>
      </c>
      <c r="CA59" s="39" t="n">
        <f aca="false">IF(CA$4=0,0,IF(COUNTIFS(実績!$W$6:$W$505,CA$3,実績!$AI$6:$AI$505,"&lt;="&amp;$A59,実績!$AJ$6:$AJ$505,"&gt;"&amp;$A59,実績!$AK$6:$AK$505,"○")&gt;0,1,0))</f>
        <v>0</v>
      </c>
      <c r="CB59" s="39" t="n">
        <f aca="false">IF(CB$4=0,0,IF(COUNTIFS(実績!$W$6:$W$505,CB$3,実績!$AI$6:$AI$505,"&lt;="&amp;$A59,実績!$AJ$6:$AJ$505,"&gt;"&amp;$A59,実績!$AK$6:$AK$505,"○")&gt;0,1,0))</f>
        <v>0</v>
      </c>
      <c r="CC59" s="39" t="n">
        <f aca="false">IF(CC$4=0,0,IF(COUNTIFS(実績!$W$6:$W$505,CC$3,実績!$AI$6:$AI$505,"&lt;="&amp;$A59,実績!$AJ$6:$AJ$505,"&gt;"&amp;$A59,実績!$AK$6:$AK$505,"○")&gt;0,1,0))</f>
        <v>0</v>
      </c>
      <c r="CD59" s="39" t="n">
        <f aca="false">IF(CD$4=0,0,IF(COUNTIFS(実績!$W$6:$W$505,CD$3,実績!$AI$6:$AI$505,"&lt;="&amp;$A59,実績!$AJ$6:$AJ$505,"&gt;"&amp;$A59,実績!$AK$6:$AK$505,"○")&gt;0,1,0))</f>
        <v>0</v>
      </c>
      <c r="CE59" s="39" t="n">
        <f aca="false">IF(CE$4=0,0,IF(COUNTIFS(実績!$W$6:$W$505,CE$3,実績!$AI$6:$AI$505,"&lt;="&amp;$A59,実績!$AJ$6:$AJ$505,"&gt;"&amp;$A59,実績!$AK$6:$AK$505,"○")&gt;0,1,0))</f>
        <v>0</v>
      </c>
      <c r="CF59" s="39" t="n">
        <f aca="false">IF(CF$4=0,0,IF(COUNTIFS(実績!$W$6:$W$505,CF$3,実績!$AI$6:$AI$505,"&lt;="&amp;$A59,実績!$AJ$6:$AJ$505,"&gt;"&amp;$A59,実績!$AK$6:$AK$505,"○")&gt;0,1,0))</f>
        <v>0</v>
      </c>
      <c r="CG59" s="39" t="n">
        <f aca="false">IF(CG$4=0,0,IF(COUNTIFS(実績!$W$6:$W$505,CG$3,実績!$AI$6:$AI$505,"&lt;="&amp;$A59,実績!$AJ$6:$AJ$505,"&gt;"&amp;$A59,実績!$AK$6:$AK$505,"○")&gt;0,1,0))</f>
        <v>0</v>
      </c>
      <c r="CH59" s="39" t="n">
        <f aca="false">IF(CH$4=0,0,IF(COUNTIFS(実績!$W$6:$W$505,CH$3,実績!$AI$6:$AI$505,"&lt;="&amp;$A59,実績!$AJ$6:$AJ$505,"&gt;"&amp;$A59,実績!$AK$6:$AK$505,"○")&gt;0,1,0))</f>
        <v>0</v>
      </c>
      <c r="CI59" s="39" t="n">
        <f aca="false">IF(CI$4=0,0,IF(COUNTIFS(実績!$W$6:$W$505,CI$3,実績!$AI$6:$AI$505,"&lt;="&amp;$A59,実績!$AJ$6:$AJ$505,"&gt;"&amp;$A59,実績!$AK$6:$AK$505,"○")&gt;0,1,0))</f>
        <v>0</v>
      </c>
      <c r="CJ59" s="39" t="n">
        <f aca="false">IF(CJ$4=0,0,IF(COUNTIFS(実績!$W$6:$W$505,CJ$3,実績!$AI$6:$AI$505,"&lt;="&amp;$A59,実績!$AJ$6:$AJ$505,"&gt;"&amp;$A59,実績!$AK$6:$AK$505,"○")&gt;0,1,0))</f>
        <v>0</v>
      </c>
      <c r="CK59" s="39" t="n">
        <f aca="false">IF(CK$4=0,0,IF(COUNTIFS(実績!$W$6:$W$505,CK$3,実績!$AI$6:$AI$505,"&lt;="&amp;$A59,実績!$AJ$6:$AJ$505,"&gt;"&amp;$A59,実績!$AK$6:$AK$505,"○")&gt;0,1,0))</f>
        <v>0</v>
      </c>
      <c r="CL59" s="39" t="n">
        <f aca="false">IF(CL$4=0,0,IF(COUNTIFS(実績!$W$6:$W$505,CL$3,実績!$AI$6:$AI$505,"&lt;="&amp;$A59,実績!$AJ$6:$AJ$505,"&gt;"&amp;$A59,実績!$AK$6:$AK$505,"○")&gt;0,1,0))</f>
        <v>0</v>
      </c>
      <c r="CM59" s="39" t="n">
        <f aca="false">IF(CM$4=0,0,IF(COUNTIFS(実績!$W$6:$W$505,CM$3,実績!$AI$6:$AI$505,"&lt;="&amp;$A59,実績!$AJ$6:$AJ$505,"&gt;"&amp;$A59,実績!$AK$6:$AK$505,"○")&gt;0,1,0))</f>
        <v>0</v>
      </c>
      <c r="CN59" s="39" t="n">
        <f aca="false">IF(CN$4=0,0,IF(COUNTIFS(実績!$W$6:$W$505,CN$3,実績!$AI$6:$AI$505,"&lt;="&amp;$A59,実績!$AJ$6:$AJ$505,"&gt;"&amp;$A59,実績!$AK$6:$AK$505,"○")&gt;0,1,0))</f>
        <v>0</v>
      </c>
      <c r="CO59" s="39" t="n">
        <f aca="false">IF(CO$4=0,0,IF(COUNTIFS(実績!$W$6:$W$505,CO$3,実績!$AI$6:$AI$505,"&lt;="&amp;$A59,実績!$AJ$6:$AJ$505,"&gt;"&amp;$A59,実績!$AK$6:$AK$505,"○")&gt;0,1,0))</f>
        <v>0</v>
      </c>
      <c r="CP59" s="39" t="n">
        <f aca="false">IF(CP$4=0,0,IF(COUNTIFS(実績!$W$6:$W$505,CP$3,実績!$AI$6:$AI$505,"&lt;="&amp;$A59,実績!$AJ$6:$AJ$505,"&gt;"&amp;$A59,実績!$AK$6:$AK$505,"○")&gt;0,1,0))</f>
        <v>0</v>
      </c>
      <c r="CQ59" s="39" t="n">
        <f aca="false">IF(CQ$4=0,0,IF(COUNTIFS(実績!$W$6:$W$505,CQ$3,実績!$AI$6:$AI$505,"&lt;="&amp;$A59,実績!$AJ$6:$AJ$505,"&gt;"&amp;$A59,実績!$AK$6:$AK$505,"○")&gt;0,1,0))</f>
        <v>0</v>
      </c>
      <c r="CR59" s="39" t="n">
        <f aca="false">IF(CR$4=0,0,IF(COUNTIFS(実績!$W$6:$W$505,CR$3,実績!$AI$6:$AI$505,"&lt;="&amp;$A59,実績!$AJ$6:$AJ$505,"&gt;"&amp;$A59,実績!$AK$6:$AK$505,"○")&gt;0,1,0))</f>
        <v>0</v>
      </c>
      <c r="CS59" s="39" t="n">
        <f aca="false">IF(CS$4=0,0,IF(COUNTIFS(実績!$W$6:$W$505,CS$3,実績!$AI$6:$AI$505,"&lt;="&amp;$A59,実績!$AJ$6:$AJ$505,"&gt;"&amp;$A59,実績!$AK$6:$AK$505,"○")&gt;0,1,0))</f>
        <v>0</v>
      </c>
      <c r="CT59" s="39" t="n">
        <f aca="false">IF(CT$4=0,0,IF(COUNTIFS(実績!$W$6:$W$505,CT$3,実績!$AI$6:$AI$505,"&lt;="&amp;$A59,実績!$AJ$6:$AJ$505,"&gt;"&amp;$A59,実績!$AK$6:$AK$505,"○")&gt;0,1,0))</f>
        <v>0</v>
      </c>
      <c r="CU59" s="39" t="n">
        <f aca="false">IF(CU$4=0,0,IF(COUNTIFS(実績!$W$6:$W$505,CU$3,実績!$AI$6:$AI$505,"&lt;="&amp;$A59,実績!$AJ$6:$AJ$505,"&gt;"&amp;$A59,実績!$AK$6:$AK$505,"○")&gt;0,1,0))</f>
        <v>0</v>
      </c>
      <c r="CV59" s="39" t="n">
        <f aca="false">IF(CV$4=0,0,IF(COUNTIFS(実績!$W$6:$W$505,CV$3,実績!$AI$6:$AI$505,"&lt;="&amp;$A59,実績!$AJ$6:$AJ$505,"&gt;"&amp;$A59,実績!$AK$6:$AK$505,"○")&gt;0,1,0))</f>
        <v>0</v>
      </c>
      <c r="CW59" s="39" t="n">
        <f aca="false">IF(CW$4=0,0,IF(COUNTIFS(実績!$W$6:$W$505,CW$3,実績!$AI$6:$AI$505,"&lt;="&amp;$A59,実績!$AJ$6:$AJ$505,"&gt;"&amp;$A59,実績!$AK$6:$AK$505,"○")&gt;0,1,0))</f>
        <v>0</v>
      </c>
      <c r="CX59" s="39" t="n">
        <f aca="false">IF(CX$4=0,0,IF(COUNTIFS(実績!$W$6:$W$505,CX$3,実績!$AI$6:$AI$505,"&lt;="&amp;$A59,実績!$AJ$6:$AJ$505,"&gt;"&amp;$A59,実績!$AK$6:$AK$505,"○")&gt;0,1,0))</f>
        <v>0</v>
      </c>
      <c r="CY59" s="39" t="n">
        <f aca="false">IF(CY$4=0,0,IF(COUNTIFS(実績!$W$6:$W$505,CY$3,実績!$AI$6:$AI$505,"&lt;="&amp;$A59,実績!$AJ$6:$AJ$505,"&gt;"&amp;$A59,実績!$AK$6:$AK$505,"○")&gt;0,1,0))</f>
        <v>0</v>
      </c>
      <c r="CZ59" s="39" t="n">
        <f aca="false">IF(CZ$4=0,0,IF(COUNTIFS(実績!$W$6:$W$505,CZ$3,実績!$AI$6:$AI$505,"&lt;="&amp;$A59,実績!$AJ$6:$AJ$505,"&gt;"&amp;$A59,実績!$AK$6:$AK$505,"○")&gt;0,1,0))</f>
        <v>0</v>
      </c>
      <c r="DA59" s="39" t="n">
        <f aca="false">IF(DA$4=0,0,IF(COUNTIFS(実績!$W$6:$W$505,DA$3,実績!$AI$6:$AI$505,"&lt;="&amp;$A59,実績!$AJ$6:$AJ$505,"&gt;"&amp;$A59,実績!$AK$6:$AK$505,"○")&gt;0,1,0))</f>
        <v>0</v>
      </c>
      <c r="DB59" s="39" t="n">
        <f aca="false">IF(DB$4=0,0,IF(COUNTIFS(実績!$W$6:$W$505,DB$3,実績!$AI$6:$AI$505,"&lt;="&amp;$A59,実績!$AJ$6:$AJ$505,"&gt;"&amp;$A59,実績!$AK$6:$AK$505,"○")&gt;0,1,0))</f>
        <v>0</v>
      </c>
      <c r="DC59" s="39" t="n">
        <f aca="false">IF(DC$4=0,0,IF(COUNTIFS(実績!$W$6:$W$505,DC$3,実績!$AI$6:$AI$505,"&lt;="&amp;$A59,実績!$AJ$6:$AJ$505,"&gt;"&amp;$A59,実績!$AK$6:$AK$505,"○")&gt;0,1,0))</f>
        <v>0</v>
      </c>
      <c r="DD59" s="39" t="n">
        <f aca="false">IF(DD$4=0,0,IF(COUNTIFS(実績!$W$6:$W$505,DD$3,実績!$AI$6:$AI$505,"&lt;="&amp;$A59,実績!$AJ$6:$AJ$505,"&gt;"&amp;$A59,実績!$AK$6:$AK$505,"○")&gt;0,1,0))</f>
        <v>0</v>
      </c>
      <c r="DE59" s="39" t="n">
        <f aca="false">IF(DE$4=0,0,IF(COUNTIFS(実績!$W$6:$W$505,DE$3,実績!$AI$6:$AI$505,"&lt;="&amp;$A59,実績!$AJ$6:$AJ$505,"&gt;"&amp;$A59,実績!$AK$6:$AK$505,"○")&gt;0,1,0))</f>
        <v>0</v>
      </c>
      <c r="DF59" s="39" t="n">
        <f aca="false">IF(DF$4=0,0,IF(COUNTIFS(実績!$W$6:$W$505,DF$3,実績!$AI$6:$AI$505,"&lt;="&amp;$A59,実績!$AJ$6:$AJ$505,"&gt;"&amp;$A59,実績!$AK$6:$AK$505,"○")&gt;0,1,0))</f>
        <v>0</v>
      </c>
      <c r="DG59" s="39" t="n">
        <f aca="false">IF(DG$4=0,0,IF(COUNTIFS(実績!$W$6:$W$505,DG$3,実績!$AI$6:$AI$505,"&lt;="&amp;$A59,実績!$AJ$6:$AJ$505,"&gt;"&amp;$A59,実績!$AK$6:$AK$505,"○")&gt;0,1,0))</f>
        <v>0</v>
      </c>
      <c r="DH59" s="39" t="n">
        <f aca="false">IF(DH$4=0,0,IF(COUNTIFS(実績!$W$6:$W$505,DH$3,実績!$AI$6:$AI$505,"&lt;="&amp;$A59,実績!$AJ$6:$AJ$505,"&gt;"&amp;$A59,実績!$AK$6:$AK$505,"○")&gt;0,1,0))</f>
        <v>0</v>
      </c>
      <c r="DI59" s="39" t="n">
        <f aca="false">IF(DI$4=0,0,IF(COUNTIFS(実績!$W$6:$W$505,DI$3,実績!$AI$6:$AI$505,"&lt;="&amp;$A59,実績!$AJ$6:$AJ$505,"&gt;"&amp;$A59,実績!$AK$6:$AK$505,"○")&gt;0,1,0))</f>
        <v>0</v>
      </c>
      <c r="DJ59" s="39" t="n">
        <f aca="false">IF(DJ$4=0,0,IF(COUNTIFS(実績!$W$6:$W$505,DJ$3,実績!$AI$6:$AI$505,"&lt;="&amp;$A59,実績!$AJ$6:$AJ$505,"&gt;"&amp;$A59,実績!$AK$6:$AK$505,"○")&gt;0,1,0))</f>
        <v>0</v>
      </c>
      <c r="DK59" s="39" t="n">
        <f aca="false">IF(DK$4=0,0,IF(COUNTIFS(実績!$W$6:$W$505,DK$3,実績!$AI$6:$AI$505,"&lt;="&amp;$A59,実績!$AJ$6:$AJ$505,"&gt;"&amp;$A59,実績!$AK$6:$AK$505,"○")&gt;0,1,0))</f>
        <v>0</v>
      </c>
      <c r="DL59" s="39" t="n">
        <f aca="false">IF(DL$4=0,0,IF(COUNTIFS(実績!$W$6:$W$505,DL$3,実績!$AI$6:$AI$505,"&lt;="&amp;$A59,実績!$AJ$6:$AJ$505,"&gt;"&amp;$A59,実績!$AK$6:$AK$505,"○")&gt;0,1,0))</f>
        <v>0</v>
      </c>
      <c r="DM59" s="39" t="n">
        <f aca="false">IF(DM$4=0,0,IF(COUNTIFS(実績!$W$6:$W$505,DM$3,実績!$AI$6:$AI$505,"&lt;="&amp;$A59,実績!$AJ$6:$AJ$505,"&gt;"&amp;$A59,実績!$AK$6:$AK$505,"○")&gt;0,1,0))</f>
        <v>0</v>
      </c>
      <c r="DN59" s="39" t="n">
        <f aca="false">IF(DN$4=0,0,IF(COUNTIFS(実績!$W$6:$W$505,DN$3,実績!$AI$6:$AI$505,"&lt;="&amp;$A59,実績!$AJ$6:$AJ$505,"&gt;"&amp;$A59,実績!$AK$6:$AK$505,"○")&gt;0,1,0))</f>
        <v>0</v>
      </c>
      <c r="DO59" s="39" t="n">
        <f aca="false">IF(DO$4=0,0,IF(COUNTIFS(実績!$W$6:$W$505,DO$3,実績!$AI$6:$AI$505,"&lt;="&amp;$A59,実績!$AJ$6:$AJ$505,"&gt;"&amp;$A59,実績!$AK$6:$AK$505,"○")&gt;0,1,0))</f>
        <v>0</v>
      </c>
      <c r="DP59" s="39" t="n">
        <f aca="false">IF(DP$4=0,0,IF(COUNTIFS(実績!$W$6:$W$505,DP$3,実績!$AI$6:$AI$505,"&lt;="&amp;$A59,実績!$AJ$6:$AJ$505,"&gt;"&amp;$A59,実績!$AK$6:$AK$505,"○")&gt;0,1,0))</f>
        <v>0</v>
      </c>
      <c r="DQ59" s="39" t="n">
        <f aca="false">IF(DQ$4=0,0,IF(COUNTIFS(実績!$W$6:$W$505,DQ$3,実績!$AI$6:$AI$505,"&lt;="&amp;$A59,実績!$AJ$6:$AJ$505,"&gt;"&amp;$A59,実績!$AK$6:$AK$505,"○")&gt;0,1,0))</f>
        <v>0</v>
      </c>
      <c r="DR59" s="39" t="n">
        <f aca="false">IF(DR$4=0,0,IF(COUNTIFS(実績!$W$6:$W$505,DR$3,実績!$AI$6:$AI$505,"&lt;="&amp;$A59,実績!$AJ$6:$AJ$505,"&gt;"&amp;$A59,実績!$AK$6:$AK$505,"○")&gt;0,1,0))</f>
        <v>0</v>
      </c>
      <c r="DS59" s="39" t="n">
        <f aca="false">SUM(C59:DR59)</f>
        <v>0</v>
      </c>
      <c r="DT59" s="39" t="n">
        <f aca="false">SUMPRODUCT((実績!$C$6:$C$505="○")*ISNUMBER(実績!$AM$6:$AM$505)*(実績!$AM$6:$AM$505&lt;=$A59)*(実績!$AN$6:$AN$505&gt;$A59))</f>
        <v>0</v>
      </c>
      <c r="DU59" s="39" t="n">
        <f aca="false">SUMIF($C$2:$DR$2,"製鉄曳船",C59:DR59)</f>
        <v>0</v>
      </c>
      <c r="DV59" s="39" t="n">
        <f aca="false">SUMIF($C$2:$DR$2,"西日本海運",C59:DR59)</f>
        <v>0</v>
      </c>
    </row>
    <row r="60" customFormat="false" ht="15" hidden="false" customHeight="false" outlineLevel="0" collapsed="false">
      <c r="A60" s="0" t="n">
        <v>270</v>
      </c>
      <c r="B60" s="38" t="n">
        <f aca="false">A60/1440</f>
        <v>0.1875</v>
      </c>
      <c r="C60" s="39" t="n">
        <f aca="false">IF(C$4=0,0,IF(COUNTIFS(実績!$W$6:$W$505,C$3,実績!$AI$6:$AI$505,"&lt;="&amp;$A60,実績!$AJ$6:$AJ$505,"&gt;"&amp;$A60,実績!$AK$6:$AK$505,"○")&gt;0,1,0))</f>
        <v>0</v>
      </c>
      <c r="D60" s="39" t="n">
        <f aca="false">IF(D$4=0,0,IF(COUNTIFS(実績!$W$6:$W$505,D$3,実績!$AI$6:$AI$505,"&lt;="&amp;$A60,実績!$AJ$6:$AJ$505,"&gt;"&amp;$A60,実績!$AK$6:$AK$505,"○")&gt;0,1,0))</f>
        <v>0</v>
      </c>
      <c r="E60" s="39" t="n">
        <f aca="false">IF(E$4=0,0,IF(COUNTIFS(実績!$W$6:$W$505,E$3,実績!$AI$6:$AI$505,"&lt;="&amp;$A60,実績!$AJ$6:$AJ$505,"&gt;"&amp;$A60,実績!$AK$6:$AK$505,"○")&gt;0,1,0))</f>
        <v>0</v>
      </c>
      <c r="F60" s="39" t="n">
        <f aca="false">IF(F$4=0,0,IF(COUNTIFS(実績!$W$6:$W$505,F$3,実績!$AI$6:$AI$505,"&lt;="&amp;$A60,実績!$AJ$6:$AJ$505,"&gt;"&amp;$A60,実績!$AK$6:$AK$505,"○")&gt;0,1,0))</f>
        <v>0</v>
      </c>
      <c r="G60" s="39" t="n">
        <f aca="false">IF(G$4=0,0,IF(COUNTIFS(実績!$W$6:$W$505,G$3,実績!$AI$6:$AI$505,"&lt;="&amp;$A60,実績!$AJ$6:$AJ$505,"&gt;"&amp;$A60,実績!$AK$6:$AK$505,"○")&gt;0,1,0))</f>
        <v>0</v>
      </c>
      <c r="H60" s="39" t="n">
        <f aca="false">IF(H$4=0,0,IF(COUNTIFS(実績!$W$6:$W$505,H$3,実績!$AI$6:$AI$505,"&lt;="&amp;$A60,実績!$AJ$6:$AJ$505,"&gt;"&amp;$A60,実績!$AK$6:$AK$505,"○")&gt;0,1,0))</f>
        <v>0</v>
      </c>
      <c r="I60" s="39" t="n">
        <f aca="false">IF(I$4=0,0,IF(COUNTIFS(実績!$W$6:$W$505,I$3,実績!$AI$6:$AI$505,"&lt;="&amp;$A60,実績!$AJ$6:$AJ$505,"&gt;"&amp;$A60,実績!$AK$6:$AK$505,"○")&gt;0,1,0))</f>
        <v>0</v>
      </c>
      <c r="J60" s="39" t="n">
        <f aca="false">IF(J$4=0,0,IF(COUNTIFS(実績!$W$6:$W$505,J$3,実績!$AI$6:$AI$505,"&lt;="&amp;$A60,実績!$AJ$6:$AJ$505,"&gt;"&amp;$A60,実績!$AK$6:$AK$505,"○")&gt;0,1,0))</f>
        <v>0</v>
      </c>
      <c r="K60" s="39" t="n">
        <f aca="false">IF(K$4=0,0,IF(COUNTIFS(実績!$W$6:$W$505,K$3,実績!$AI$6:$AI$505,"&lt;="&amp;$A60,実績!$AJ$6:$AJ$505,"&gt;"&amp;$A60,実績!$AK$6:$AK$505,"○")&gt;0,1,0))</f>
        <v>0</v>
      </c>
      <c r="L60" s="39" t="n">
        <f aca="false">IF(L$4=0,0,IF(COUNTIFS(実績!$W$6:$W$505,L$3,実績!$AI$6:$AI$505,"&lt;="&amp;$A60,実績!$AJ$6:$AJ$505,"&gt;"&amp;$A60,実績!$AK$6:$AK$505,"○")&gt;0,1,0))</f>
        <v>0</v>
      </c>
      <c r="M60" s="39" t="n">
        <f aca="false">IF(M$4=0,0,IF(COUNTIFS(実績!$W$6:$W$505,M$3,実績!$AI$6:$AI$505,"&lt;="&amp;$A60,実績!$AJ$6:$AJ$505,"&gt;"&amp;$A60,実績!$AK$6:$AK$505,"○")&gt;0,1,0))</f>
        <v>0</v>
      </c>
      <c r="N60" s="39" t="n">
        <f aca="false">IF(N$4=0,0,IF(COUNTIFS(実績!$W$6:$W$505,N$3,実績!$AI$6:$AI$505,"&lt;="&amp;$A60,実績!$AJ$6:$AJ$505,"&gt;"&amp;$A60,実績!$AK$6:$AK$505,"○")&gt;0,1,0))</f>
        <v>0</v>
      </c>
      <c r="O60" s="39" t="n">
        <f aca="false">IF(O$4=0,0,IF(COUNTIFS(実績!$W$6:$W$505,O$3,実績!$AI$6:$AI$505,"&lt;="&amp;$A60,実績!$AJ$6:$AJ$505,"&gt;"&amp;$A60,実績!$AK$6:$AK$505,"○")&gt;0,1,0))</f>
        <v>0</v>
      </c>
      <c r="P60" s="39" t="n">
        <f aca="false">IF(P$4=0,0,IF(COUNTIFS(実績!$W$6:$W$505,P$3,実績!$AI$6:$AI$505,"&lt;="&amp;$A60,実績!$AJ$6:$AJ$505,"&gt;"&amp;$A60,実績!$AK$6:$AK$505,"○")&gt;0,1,0))</f>
        <v>0</v>
      </c>
      <c r="Q60" s="39" t="n">
        <f aca="false">IF(Q$4=0,0,IF(COUNTIFS(実績!$W$6:$W$505,Q$3,実績!$AI$6:$AI$505,"&lt;="&amp;$A60,実績!$AJ$6:$AJ$505,"&gt;"&amp;$A60,実績!$AK$6:$AK$505,"○")&gt;0,1,0))</f>
        <v>0</v>
      </c>
      <c r="R60" s="39" t="n">
        <f aca="false">IF(R$4=0,0,IF(COUNTIFS(実績!$W$6:$W$505,R$3,実績!$AI$6:$AI$505,"&lt;="&amp;$A60,実績!$AJ$6:$AJ$505,"&gt;"&amp;$A60,実績!$AK$6:$AK$505,"○")&gt;0,1,0))</f>
        <v>0</v>
      </c>
      <c r="S60" s="39" t="n">
        <f aca="false">IF(S$4=0,0,IF(COUNTIFS(実績!$W$6:$W$505,S$3,実績!$AI$6:$AI$505,"&lt;="&amp;$A60,実績!$AJ$6:$AJ$505,"&gt;"&amp;$A60,実績!$AK$6:$AK$505,"○")&gt;0,1,0))</f>
        <v>0</v>
      </c>
      <c r="T60" s="39" t="n">
        <f aca="false">IF(T$4=0,0,IF(COUNTIFS(実績!$W$6:$W$505,T$3,実績!$AI$6:$AI$505,"&lt;="&amp;$A60,実績!$AJ$6:$AJ$505,"&gt;"&amp;$A60,実績!$AK$6:$AK$505,"○")&gt;0,1,0))</f>
        <v>0</v>
      </c>
      <c r="U60" s="39" t="n">
        <f aca="false">IF(U$4=0,0,IF(COUNTIFS(実績!$W$6:$W$505,U$3,実績!$AI$6:$AI$505,"&lt;="&amp;$A60,実績!$AJ$6:$AJ$505,"&gt;"&amp;$A60,実績!$AK$6:$AK$505,"○")&gt;0,1,0))</f>
        <v>0</v>
      </c>
      <c r="V60" s="39" t="n">
        <f aca="false">IF(V$4=0,0,IF(COUNTIFS(実績!$W$6:$W$505,V$3,実績!$AI$6:$AI$505,"&lt;="&amp;$A60,実績!$AJ$6:$AJ$505,"&gt;"&amp;$A60,実績!$AK$6:$AK$505,"○")&gt;0,1,0))</f>
        <v>0</v>
      </c>
      <c r="W60" s="39" t="n">
        <f aca="false">IF(W$4=0,0,IF(COUNTIFS(実績!$W$6:$W$505,W$3,実績!$AI$6:$AI$505,"&lt;="&amp;$A60,実績!$AJ$6:$AJ$505,"&gt;"&amp;$A60,実績!$AK$6:$AK$505,"○")&gt;0,1,0))</f>
        <v>0</v>
      </c>
      <c r="X60" s="39" t="n">
        <f aca="false">IF(X$4=0,0,IF(COUNTIFS(実績!$W$6:$W$505,X$3,実績!$AI$6:$AI$505,"&lt;="&amp;$A60,実績!$AJ$6:$AJ$505,"&gt;"&amp;$A60,実績!$AK$6:$AK$505,"○")&gt;0,1,0))</f>
        <v>0</v>
      </c>
      <c r="Y60" s="39" t="n">
        <f aca="false">IF(Y$4=0,0,IF(COUNTIFS(実績!$W$6:$W$505,Y$3,実績!$AI$6:$AI$505,"&lt;="&amp;$A60,実績!$AJ$6:$AJ$505,"&gt;"&amp;$A60,実績!$AK$6:$AK$505,"○")&gt;0,1,0))</f>
        <v>0</v>
      </c>
      <c r="Z60" s="39" t="n">
        <f aca="false">IF(Z$4=0,0,IF(COUNTIFS(実績!$W$6:$W$505,Z$3,実績!$AI$6:$AI$505,"&lt;="&amp;$A60,実績!$AJ$6:$AJ$505,"&gt;"&amp;$A60,実績!$AK$6:$AK$505,"○")&gt;0,1,0))</f>
        <v>0</v>
      </c>
      <c r="AA60" s="39" t="n">
        <f aca="false">IF(AA$4=0,0,IF(COUNTIFS(実績!$W$6:$W$505,AA$3,実績!$AI$6:$AI$505,"&lt;="&amp;$A60,実績!$AJ$6:$AJ$505,"&gt;"&amp;$A60,実績!$AK$6:$AK$505,"○")&gt;0,1,0))</f>
        <v>0</v>
      </c>
      <c r="AB60" s="39" t="n">
        <f aca="false">IF(AB$4=0,0,IF(COUNTIFS(実績!$W$6:$W$505,AB$3,実績!$AI$6:$AI$505,"&lt;="&amp;$A60,実績!$AJ$6:$AJ$505,"&gt;"&amp;$A60,実績!$AK$6:$AK$505,"○")&gt;0,1,0))</f>
        <v>0</v>
      </c>
      <c r="AC60" s="39" t="n">
        <f aca="false">IF(AC$4=0,0,IF(COUNTIFS(実績!$W$6:$W$505,AC$3,実績!$AI$6:$AI$505,"&lt;="&amp;$A60,実績!$AJ$6:$AJ$505,"&gt;"&amp;$A60,実績!$AK$6:$AK$505,"○")&gt;0,1,0))</f>
        <v>0</v>
      </c>
      <c r="AD60" s="39" t="n">
        <f aca="false">IF(AD$4=0,0,IF(COUNTIFS(実績!$W$6:$W$505,AD$3,実績!$AI$6:$AI$505,"&lt;="&amp;$A60,実績!$AJ$6:$AJ$505,"&gt;"&amp;$A60,実績!$AK$6:$AK$505,"○")&gt;0,1,0))</f>
        <v>0</v>
      </c>
      <c r="AE60" s="39" t="n">
        <f aca="false">IF(AE$4=0,0,IF(COUNTIFS(実績!$W$6:$W$505,AE$3,実績!$AI$6:$AI$505,"&lt;="&amp;$A60,実績!$AJ$6:$AJ$505,"&gt;"&amp;$A60,実績!$AK$6:$AK$505,"○")&gt;0,1,0))</f>
        <v>0</v>
      </c>
      <c r="AF60" s="39" t="n">
        <f aca="false">IF(AF$4=0,0,IF(COUNTIFS(実績!$W$6:$W$505,AF$3,実績!$AI$6:$AI$505,"&lt;="&amp;$A60,実績!$AJ$6:$AJ$505,"&gt;"&amp;$A60,実績!$AK$6:$AK$505,"○")&gt;0,1,0))</f>
        <v>0</v>
      </c>
      <c r="AG60" s="39" t="n">
        <f aca="false">IF(AG$4=0,0,IF(COUNTIFS(実績!$W$6:$W$505,AG$3,実績!$AI$6:$AI$505,"&lt;="&amp;$A60,実績!$AJ$6:$AJ$505,"&gt;"&amp;$A60,実績!$AK$6:$AK$505,"○")&gt;0,1,0))</f>
        <v>0</v>
      </c>
      <c r="AH60" s="39" t="n">
        <f aca="false">IF(AH$4=0,0,IF(COUNTIFS(実績!$W$6:$W$505,AH$3,実績!$AI$6:$AI$505,"&lt;="&amp;$A60,実績!$AJ$6:$AJ$505,"&gt;"&amp;$A60,実績!$AK$6:$AK$505,"○")&gt;0,1,0))</f>
        <v>0</v>
      </c>
      <c r="AI60" s="39" t="n">
        <f aca="false">IF(AI$4=0,0,IF(COUNTIFS(実績!$W$6:$W$505,AI$3,実績!$AI$6:$AI$505,"&lt;="&amp;$A60,実績!$AJ$6:$AJ$505,"&gt;"&amp;$A60,実績!$AK$6:$AK$505,"○")&gt;0,1,0))</f>
        <v>0</v>
      </c>
      <c r="AJ60" s="39" t="n">
        <f aca="false">IF(AJ$4=0,0,IF(COUNTIFS(実績!$W$6:$W$505,AJ$3,実績!$AI$6:$AI$505,"&lt;="&amp;$A60,実績!$AJ$6:$AJ$505,"&gt;"&amp;$A60,実績!$AK$6:$AK$505,"○")&gt;0,1,0))</f>
        <v>0</v>
      </c>
      <c r="AK60" s="39" t="n">
        <f aca="false">IF(AK$4=0,0,IF(COUNTIFS(実績!$W$6:$W$505,AK$3,実績!$AI$6:$AI$505,"&lt;="&amp;$A60,実績!$AJ$6:$AJ$505,"&gt;"&amp;$A60,実績!$AK$6:$AK$505,"○")&gt;0,1,0))</f>
        <v>0</v>
      </c>
      <c r="AL60" s="39" t="n">
        <f aca="false">IF(AL$4=0,0,IF(COUNTIFS(実績!$W$6:$W$505,AL$3,実績!$AI$6:$AI$505,"&lt;="&amp;$A60,実績!$AJ$6:$AJ$505,"&gt;"&amp;$A60,実績!$AK$6:$AK$505,"○")&gt;0,1,0))</f>
        <v>0</v>
      </c>
      <c r="AM60" s="39" t="n">
        <f aca="false">IF(AM$4=0,0,IF(COUNTIFS(実績!$W$6:$W$505,AM$3,実績!$AI$6:$AI$505,"&lt;="&amp;$A60,実績!$AJ$6:$AJ$505,"&gt;"&amp;$A60,実績!$AK$6:$AK$505,"○")&gt;0,1,0))</f>
        <v>0</v>
      </c>
      <c r="AN60" s="39" t="n">
        <f aca="false">IF(AN$4=0,0,IF(COUNTIFS(実績!$W$6:$W$505,AN$3,実績!$AI$6:$AI$505,"&lt;="&amp;$A60,実績!$AJ$6:$AJ$505,"&gt;"&amp;$A60,実績!$AK$6:$AK$505,"○")&gt;0,1,0))</f>
        <v>0</v>
      </c>
      <c r="AO60" s="39" t="n">
        <f aca="false">IF(AO$4=0,0,IF(COUNTIFS(実績!$W$6:$W$505,AO$3,実績!$AI$6:$AI$505,"&lt;="&amp;$A60,実績!$AJ$6:$AJ$505,"&gt;"&amp;$A60,実績!$AK$6:$AK$505,"○")&gt;0,1,0))</f>
        <v>0</v>
      </c>
      <c r="AP60" s="39" t="n">
        <f aca="false">IF(AP$4=0,0,IF(COUNTIFS(実績!$W$6:$W$505,AP$3,実績!$AI$6:$AI$505,"&lt;="&amp;$A60,実績!$AJ$6:$AJ$505,"&gt;"&amp;$A60,実績!$AK$6:$AK$505,"○")&gt;0,1,0))</f>
        <v>0</v>
      </c>
      <c r="AQ60" s="39" t="n">
        <f aca="false">IF(AQ$4=0,0,IF(COUNTIFS(実績!$W$6:$W$505,AQ$3,実績!$AI$6:$AI$505,"&lt;="&amp;$A60,実績!$AJ$6:$AJ$505,"&gt;"&amp;$A60,実績!$AK$6:$AK$505,"○")&gt;0,1,0))</f>
        <v>0</v>
      </c>
      <c r="AR60" s="39" t="n">
        <f aca="false">IF(AR$4=0,0,IF(COUNTIFS(実績!$W$6:$W$505,AR$3,実績!$AI$6:$AI$505,"&lt;="&amp;$A60,実績!$AJ$6:$AJ$505,"&gt;"&amp;$A60,実績!$AK$6:$AK$505,"○")&gt;0,1,0))</f>
        <v>0</v>
      </c>
      <c r="AS60" s="39" t="n">
        <f aca="false">IF(AS$4=0,0,IF(COUNTIFS(実績!$W$6:$W$505,AS$3,実績!$AI$6:$AI$505,"&lt;="&amp;$A60,実績!$AJ$6:$AJ$505,"&gt;"&amp;$A60,実績!$AK$6:$AK$505,"○")&gt;0,1,0))</f>
        <v>0</v>
      </c>
      <c r="AT60" s="39" t="n">
        <f aca="false">IF(AT$4=0,0,IF(COUNTIFS(実績!$W$6:$W$505,AT$3,実績!$AI$6:$AI$505,"&lt;="&amp;$A60,実績!$AJ$6:$AJ$505,"&gt;"&amp;$A60,実績!$AK$6:$AK$505,"○")&gt;0,1,0))</f>
        <v>0</v>
      </c>
      <c r="AU60" s="39" t="n">
        <f aca="false">IF(AU$4=0,0,IF(COUNTIFS(実績!$W$6:$W$505,AU$3,実績!$AI$6:$AI$505,"&lt;="&amp;$A60,実績!$AJ$6:$AJ$505,"&gt;"&amp;$A60,実績!$AK$6:$AK$505,"○")&gt;0,1,0))</f>
        <v>0</v>
      </c>
      <c r="AV60" s="39" t="n">
        <f aca="false">IF(AV$4=0,0,IF(COUNTIFS(実績!$W$6:$W$505,AV$3,実績!$AI$6:$AI$505,"&lt;="&amp;$A60,実績!$AJ$6:$AJ$505,"&gt;"&amp;$A60,実績!$AK$6:$AK$505,"○")&gt;0,1,0))</f>
        <v>0</v>
      </c>
      <c r="AW60" s="39" t="n">
        <f aca="false">IF(AW$4=0,0,IF(COUNTIFS(実績!$W$6:$W$505,AW$3,実績!$AI$6:$AI$505,"&lt;="&amp;$A60,実績!$AJ$6:$AJ$505,"&gt;"&amp;$A60,実績!$AK$6:$AK$505,"○")&gt;0,1,0))</f>
        <v>0</v>
      </c>
      <c r="AX60" s="39" t="n">
        <f aca="false">IF(AX$4=0,0,IF(COUNTIFS(実績!$W$6:$W$505,AX$3,実績!$AI$6:$AI$505,"&lt;="&amp;$A60,実績!$AJ$6:$AJ$505,"&gt;"&amp;$A60,実績!$AK$6:$AK$505,"○")&gt;0,1,0))</f>
        <v>0</v>
      </c>
      <c r="AY60" s="39" t="n">
        <f aca="false">IF(AY$4=0,0,IF(COUNTIFS(実績!$W$6:$W$505,AY$3,実績!$AI$6:$AI$505,"&lt;="&amp;$A60,実績!$AJ$6:$AJ$505,"&gt;"&amp;$A60,実績!$AK$6:$AK$505,"○")&gt;0,1,0))</f>
        <v>0</v>
      </c>
      <c r="AZ60" s="39" t="n">
        <f aca="false">IF(AZ$4=0,0,IF(COUNTIFS(実績!$W$6:$W$505,AZ$3,実績!$AI$6:$AI$505,"&lt;="&amp;$A60,実績!$AJ$6:$AJ$505,"&gt;"&amp;$A60,実績!$AK$6:$AK$505,"○")&gt;0,1,0))</f>
        <v>0</v>
      </c>
      <c r="BA60" s="39" t="n">
        <f aca="false">IF(BA$4=0,0,IF(COUNTIFS(実績!$W$6:$W$505,BA$3,実績!$AI$6:$AI$505,"&lt;="&amp;$A60,実績!$AJ$6:$AJ$505,"&gt;"&amp;$A60,実績!$AK$6:$AK$505,"○")&gt;0,1,0))</f>
        <v>0</v>
      </c>
      <c r="BB60" s="39" t="n">
        <f aca="false">IF(BB$4=0,0,IF(COUNTIFS(実績!$W$6:$W$505,BB$3,実績!$AI$6:$AI$505,"&lt;="&amp;$A60,実績!$AJ$6:$AJ$505,"&gt;"&amp;$A60,実績!$AK$6:$AK$505,"○")&gt;0,1,0))</f>
        <v>0</v>
      </c>
      <c r="BC60" s="39" t="n">
        <f aca="false">IF(BC$4=0,0,IF(COUNTIFS(実績!$W$6:$W$505,BC$3,実績!$AI$6:$AI$505,"&lt;="&amp;$A60,実績!$AJ$6:$AJ$505,"&gt;"&amp;$A60,実績!$AK$6:$AK$505,"○")&gt;0,1,0))</f>
        <v>0</v>
      </c>
      <c r="BD60" s="39" t="n">
        <f aca="false">IF(BD$4=0,0,IF(COUNTIFS(実績!$W$6:$W$505,BD$3,実績!$AI$6:$AI$505,"&lt;="&amp;$A60,実績!$AJ$6:$AJ$505,"&gt;"&amp;$A60,実績!$AK$6:$AK$505,"○")&gt;0,1,0))</f>
        <v>0</v>
      </c>
      <c r="BE60" s="39" t="n">
        <f aca="false">IF(BE$4=0,0,IF(COUNTIFS(実績!$W$6:$W$505,BE$3,実績!$AI$6:$AI$505,"&lt;="&amp;$A60,実績!$AJ$6:$AJ$505,"&gt;"&amp;$A60,実績!$AK$6:$AK$505,"○")&gt;0,1,0))</f>
        <v>0</v>
      </c>
      <c r="BF60" s="39" t="n">
        <f aca="false">IF(BF$4=0,0,IF(COUNTIFS(実績!$W$6:$W$505,BF$3,実績!$AI$6:$AI$505,"&lt;="&amp;$A60,実績!$AJ$6:$AJ$505,"&gt;"&amp;$A60,実績!$AK$6:$AK$505,"○")&gt;0,1,0))</f>
        <v>0</v>
      </c>
      <c r="BG60" s="39" t="n">
        <f aca="false">IF(BG$4=0,0,IF(COUNTIFS(実績!$W$6:$W$505,BG$3,実績!$AI$6:$AI$505,"&lt;="&amp;$A60,実績!$AJ$6:$AJ$505,"&gt;"&amp;$A60,実績!$AK$6:$AK$505,"○")&gt;0,1,0))</f>
        <v>0</v>
      </c>
      <c r="BH60" s="39" t="n">
        <f aca="false">IF(BH$4=0,0,IF(COUNTIFS(実績!$W$6:$W$505,BH$3,実績!$AI$6:$AI$505,"&lt;="&amp;$A60,実績!$AJ$6:$AJ$505,"&gt;"&amp;$A60,実績!$AK$6:$AK$505,"○")&gt;0,1,0))</f>
        <v>0</v>
      </c>
      <c r="BI60" s="39" t="n">
        <f aca="false">IF(BI$4=0,0,IF(COUNTIFS(実績!$W$6:$W$505,BI$3,実績!$AI$6:$AI$505,"&lt;="&amp;$A60,実績!$AJ$6:$AJ$505,"&gt;"&amp;$A60,実績!$AK$6:$AK$505,"○")&gt;0,1,0))</f>
        <v>0</v>
      </c>
      <c r="BJ60" s="39" t="n">
        <f aca="false">IF(BJ$4=0,0,IF(COUNTIFS(実績!$W$6:$W$505,BJ$3,実績!$AI$6:$AI$505,"&lt;="&amp;$A60,実績!$AJ$6:$AJ$505,"&gt;"&amp;$A60,実績!$AK$6:$AK$505,"○")&gt;0,1,0))</f>
        <v>0</v>
      </c>
      <c r="BK60" s="39" t="n">
        <f aca="false">IF(BK$4=0,0,IF(COUNTIFS(実績!$W$6:$W$505,BK$3,実績!$AI$6:$AI$505,"&lt;="&amp;$A60,実績!$AJ$6:$AJ$505,"&gt;"&amp;$A60,実績!$AK$6:$AK$505,"○")&gt;0,1,0))</f>
        <v>0</v>
      </c>
      <c r="BL60" s="39" t="n">
        <f aca="false">IF(BL$4=0,0,IF(COUNTIFS(実績!$W$6:$W$505,BL$3,実績!$AI$6:$AI$505,"&lt;="&amp;$A60,実績!$AJ$6:$AJ$505,"&gt;"&amp;$A60,実績!$AK$6:$AK$505,"○")&gt;0,1,0))</f>
        <v>0</v>
      </c>
      <c r="BM60" s="39" t="n">
        <f aca="false">IF(BM$4=0,0,IF(COUNTIFS(実績!$W$6:$W$505,BM$3,実績!$AI$6:$AI$505,"&lt;="&amp;$A60,実績!$AJ$6:$AJ$505,"&gt;"&amp;$A60,実績!$AK$6:$AK$505,"○")&gt;0,1,0))</f>
        <v>0</v>
      </c>
      <c r="BN60" s="39" t="n">
        <f aca="false">IF(BN$4=0,0,IF(COUNTIFS(実績!$W$6:$W$505,BN$3,実績!$AI$6:$AI$505,"&lt;="&amp;$A60,実績!$AJ$6:$AJ$505,"&gt;"&amp;$A60,実績!$AK$6:$AK$505,"○")&gt;0,1,0))</f>
        <v>0</v>
      </c>
      <c r="BO60" s="39" t="n">
        <f aca="false">IF(BO$4=0,0,IF(COUNTIFS(実績!$W$6:$W$505,BO$3,実績!$AI$6:$AI$505,"&lt;="&amp;$A60,実績!$AJ$6:$AJ$505,"&gt;"&amp;$A60,実績!$AK$6:$AK$505,"○")&gt;0,1,0))</f>
        <v>0</v>
      </c>
      <c r="BP60" s="39" t="n">
        <f aca="false">IF(BP$4=0,0,IF(COUNTIFS(実績!$W$6:$W$505,BP$3,実績!$AI$6:$AI$505,"&lt;="&amp;$A60,実績!$AJ$6:$AJ$505,"&gt;"&amp;$A60,実績!$AK$6:$AK$505,"○")&gt;0,1,0))</f>
        <v>0</v>
      </c>
      <c r="BQ60" s="39" t="n">
        <f aca="false">IF(BQ$4=0,0,IF(COUNTIFS(実績!$W$6:$W$505,BQ$3,実績!$AI$6:$AI$505,"&lt;="&amp;$A60,実績!$AJ$6:$AJ$505,"&gt;"&amp;$A60,実績!$AK$6:$AK$505,"○")&gt;0,1,0))</f>
        <v>0</v>
      </c>
      <c r="BR60" s="39" t="n">
        <f aca="false">IF(BR$4=0,0,IF(COUNTIFS(実績!$W$6:$W$505,BR$3,実績!$AI$6:$AI$505,"&lt;="&amp;$A60,実績!$AJ$6:$AJ$505,"&gt;"&amp;$A60,実績!$AK$6:$AK$505,"○")&gt;0,1,0))</f>
        <v>0</v>
      </c>
      <c r="BS60" s="39" t="n">
        <f aca="false">IF(BS$4=0,0,IF(COUNTIFS(実績!$W$6:$W$505,BS$3,実績!$AI$6:$AI$505,"&lt;="&amp;$A60,実績!$AJ$6:$AJ$505,"&gt;"&amp;$A60,実績!$AK$6:$AK$505,"○")&gt;0,1,0))</f>
        <v>0</v>
      </c>
      <c r="BT60" s="39" t="n">
        <f aca="false">IF(BT$4=0,0,IF(COUNTIFS(実績!$W$6:$W$505,BT$3,実績!$AI$6:$AI$505,"&lt;="&amp;$A60,実績!$AJ$6:$AJ$505,"&gt;"&amp;$A60,実績!$AK$6:$AK$505,"○")&gt;0,1,0))</f>
        <v>0</v>
      </c>
      <c r="BU60" s="39" t="n">
        <f aca="false">IF(BU$4=0,0,IF(COUNTIFS(実績!$W$6:$W$505,BU$3,実績!$AI$6:$AI$505,"&lt;="&amp;$A60,実績!$AJ$6:$AJ$505,"&gt;"&amp;$A60,実績!$AK$6:$AK$505,"○")&gt;0,1,0))</f>
        <v>0</v>
      </c>
      <c r="BV60" s="39" t="n">
        <f aca="false">IF(BV$4=0,0,IF(COUNTIFS(実績!$W$6:$W$505,BV$3,実績!$AI$6:$AI$505,"&lt;="&amp;$A60,実績!$AJ$6:$AJ$505,"&gt;"&amp;$A60,実績!$AK$6:$AK$505,"○")&gt;0,1,0))</f>
        <v>0</v>
      </c>
      <c r="BW60" s="39" t="n">
        <f aca="false">IF(BW$4=0,0,IF(COUNTIFS(実績!$W$6:$W$505,BW$3,実績!$AI$6:$AI$505,"&lt;="&amp;$A60,実績!$AJ$6:$AJ$505,"&gt;"&amp;$A60,実績!$AK$6:$AK$505,"○")&gt;0,1,0))</f>
        <v>0</v>
      </c>
      <c r="BX60" s="39" t="n">
        <f aca="false">IF(BX$4=0,0,IF(COUNTIFS(実績!$W$6:$W$505,BX$3,実績!$AI$6:$AI$505,"&lt;="&amp;$A60,実績!$AJ$6:$AJ$505,"&gt;"&amp;$A60,実績!$AK$6:$AK$505,"○")&gt;0,1,0))</f>
        <v>0</v>
      </c>
      <c r="BY60" s="39" t="n">
        <f aca="false">IF(BY$4=0,0,IF(COUNTIFS(実績!$W$6:$W$505,BY$3,実績!$AI$6:$AI$505,"&lt;="&amp;$A60,実績!$AJ$6:$AJ$505,"&gt;"&amp;$A60,実績!$AK$6:$AK$505,"○")&gt;0,1,0))</f>
        <v>0</v>
      </c>
      <c r="BZ60" s="39" t="n">
        <f aca="false">IF(BZ$4=0,0,IF(COUNTIFS(実績!$W$6:$W$505,BZ$3,実績!$AI$6:$AI$505,"&lt;="&amp;$A60,実績!$AJ$6:$AJ$505,"&gt;"&amp;$A60,実績!$AK$6:$AK$505,"○")&gt;0,1,0))</f>
        <v>0</v>
      </c>
      <c r="CA60" s="39" t="n">
        <f aca="false">IF(CA$4=0,0,IF(COUNTIFS(実績!$W$6:$W$505,CA$3,実績!$AI$6:$AI$505,"&lt;="&amp;$A60,実績!$AJ$6:$AJ$505,"&gt;"&amp;$A60,実績!$AK$6:$AK$505,"○")&gt;0,1,0))</f>
        <v>0</v>
      </c>
      <c r="CB60" s="39" t="n">
        <f aca="false">IF(CB$4=0,0,IF(COUNTIFS(実績!$W$6:$W$505,CB$3,実績!$AI$6:$AI$505,"&lt;="&amp;$A60,実績!$AJ$6:$AJ$505,"&gt;"&amp;$A60,実績!$AK$6:$AK$505,"○")&gt;0,1,0))</f>
        <v>0</v>
      </c>
      <c r="CC60" s="39" t="n">
        <f aca="false">IF(CC$4=0,0,IF(COUNTIFS(実績!$W$6:$W$505,CC$3,実績!$AI$6:$AI$505,"&lt;="&amp;$A60,実績!$AJ$6:$AJ$505,"&gt;"&amp;$A60,実績!$AK$6:$AK$505,"○")&gt;0,1,0))</f>
        <v>0</v>
      </c>
      <c r="CD60" s="39" t="n">
        <f aca="false">IF(CD$4=0,0,IF(COUNTIFS(実績!$W$6:$W$505,CD$3,実績!$AI$6:$AI$505,"&lt;="&amp;$A60,実績!$AJ$6:$AJ$505,"&gt;"&amp;$A60,実績!$AK$6:$AK$505,"○")&gt;0,1,0))</f>
        <v>0</v>
      </c>
      <c r="CE60" s="39" t="n">
        <f aca="false">IF(CE$4=0,0,IF(COUNTIFS(実績!$W$6:$W$505,CE$3,実績!$AI$6:$AI$505,"&lt;="&amp;$A60,実績!$AJ$6:$AJ$505,"&gt;"&amp;$A60,実績!$AK$6:$AK$505,"○")&gt;0,1,0))</f>
        <v>0</v>
      </c>
      <c r="CF60" s="39" t="n">
        <f aca="false">IF(CF$4=0,0,IF(COUNTIFS(実績!$W$6:$W$505,CF$3,実績!$AI$6:$AI$505,"&lt;="&amp;$A60,実績!$AJ$6:$AJ$505,"&gt;"&amp;$A60,実績!$AK$6:$AK$505,"○")&gt;0,1,0))</f>
        <v>0</v>
      </c>
      <c r="CG60" s="39" t="n">
        <f aca="false">IF(CG$4=0,0,IF(COUNTIFS(実績!$W$6:$W$505,CG$3,実績!$AI$6:$AI$505,"&lt;="&amp;$A60,実績!$AJ$6:$AJ$505,"&gt;"&amp;$A60,実績!$AK$6:$AK$505,"○")&gt;0,1,0))</f>
        <v>0</v>
      </c>
      <c r="CH60" s="39" t="n">
        <f aca="false">IF(CH$4=0,0,IF(COUNTIFS(実績!$W$6:$W$505,CH$3,実績!$AI$6:$AI$505,"&lt;="&amp;$A60,実績!$AJ$6:$AJ$505,"&gt;"&amp;$A60,実績!$AK$6:$AK$505,"○")&gt;0,1,0))</f>
        <v>0</v>
      </c>
      <c r="CI60" s="39" t="n">
        <f aca="false">IF(CI$4=0,0,IF(COUNTIFS(実績!$W$6:$W$505,CI$3,実績!$AI$6:$AI$505,"&lt;="&amp;$A60,実績!$AJ$6:$AJ$505,"&gt;"&amp;$A60,実績!$AK$6:$AK$505,"○")&gt;0,1,0))</f>
        <v>0</v>
      </c>
      <c r="CJ60" s="39" t="n">
        <f aca="false">IF(CJ$4=0,0,IF(COUNTIFS(実績!$W$6:$W$505,CJ$3,実績!$AI$6:$AI$505,"&lt;="&amp;$A60,実績!$AJ$6:$AJ$505,"&gt;"&amp;$A60,実績!$AK$6:$AK$505,"○")&gt;0,1,0))</f>
        <v>0</v>
      </c>
      <c r="CK60" s="39" t="n">
        <f aca="false">IF(CK$4=0,0,IF(COUNTIFS(実績!$W$6:$W$505,CK$3,実績!$AI$6:$AI$505,"&lt;="&amp;$A60,実績!$AJ$6:$AJ$505,"&gt;"&amp;$A60,実績!$AK$6:$AK$505,"○")&gt;0,1,0))</f>
        <v>0</v>
      </c>
      <c r="CL60" s="39" t="n">
        <f aca="false">IF(CL$4=0,0,IF(COUNTIFS(実績!$W$6:$W$505,CL$3,実績!$AI$6:$AI$505,"&lt;="&amp;$A60,実績!$AJ$6:$AJ$505,"&gt;"&amp;$A60,実績!$AK$6:$AK$505,"○")&gt;0,1,0))</f>
        <v>0</v>
      </c>
      <c r="CM60" s="39" t="n">
        <f aca="false">IF(CM$4=0,0,IF(COUNTIFS(実績!$W$6:$W$505,CM$3,実績!$AI$6:$AI$505,"&lt;="&amp;$A60,実績!$AJ$6:$AJ$505,"&gt;"&amp;$A60,実績!$AK$6:$AK$505,"○")&gt;0,1,0))</f>
        <v>0</v>
      </c>
      <c r="CN60" s="39" t="n">
        <f aca="false">IF(CN$4=0,0,IF(COUNTIFS(実績!$W$6:$W$505,CN$3,実績!$AI$6:$AI$505,"&lt;="&amp;$A60,実績!$AJ$6:$AJ$505,"&gt;"&amp;$A60,実績!$AK$6:$AK$505,"○")&gt;0,1,0))</f>
        <v>0</v>
      </c>
      <c r="CO60" s="39" t="n">
        <f aca="false">IF(CO$4=0,0,IF(COUNTIFS(実績!$W$6:$W$505,CO$3,実績!$AI$6:$AI$505,"&lt;="&amp;$A60,実績!$AJ$6:$AJ$505,"&gt;"&amp;$A60,実績!$AK$6:$AK$505,"○")&gt;0,1,0))</f>
        <v>0</v>
      </c>
      <c r="CP60" s="39" t="n">
        <f aca="false">IF(CP$4=0,0,IF(COUNTIFS(実績!$W$6:$W$505,CP$3,実績!$AI$6:$AI$505,"&lt;="&amp;$A60,実績!$AJ$6:$AJ$505,"&gt;"&amp;$A60,実績!$AK$6:$AK$505,"○")&gt;0,1,0))</f>
        <v>0</v>
      </c>
      <c r="CQ60" s="39" t="n">
        <f aca="false">IF(CQ$4=0,0,IF(COUNTIFS(実績!$W$6:$W$505,CQ$3,実績!$AI$6:$AI$505,"&lt;="&amp;$A60,実績!$AJ$6:$AJ$505,"&gt;"&amp;$A60,実績!$AK$6:$AK$505,"○")&gt;0,1,0))</f>
        <v>0</v>
      </c>
      <c r="CR60" s="39" t="n">
        <f aca="false">IF(CR$4=0,0,IF(COUNTIFS(実績!$W$6:$W$505,CR$3,実績!$AI$6:$AI$505,"&lt;="&amp;$A60,実績!$AJ$6:$AJ$505,"&gt;"&amp;$A60,実績!$AK$6:$AK$505,"○")&gt;0,1,0))</f>
        <v>0</v>
      </c>
      <c r="CS60" s="39" t="n">
        <f aca="false">IF(CS$4=0,0,IF(COUNTIFS(実績!$W$6:$W$505,CS$3,実績!$AI$6:$AI$505,"&lt;="&amp;$A60,実績!$AJ$6:$AJ$505,"&gt;"&amp;$A60,実績!$AK$6:$AK$505,"○")&gt;0,1,0))</f>
        <v>0</v>
      </c>
      <c r="CT60" s="39" t="n">
        <f aca="false">IF(CT$4=0,0,IF(COUNTIFS(実績!$W$6:$W$505,CT$3,実績!$AI$6:$AI$505,"&lt;="&amp;$A60,実績!$AJ$6:$AJ$505,"&gt;"&amp;$A60,実績!$AK$6:$AK$505,"○")&gt;0,1,0))</f>
        <v>0</v>
      </c>
      <c r="CU60" s="39" t="n">
        <f aca="false">IF(CU$4=0,0,IF(COUNTIFS(実績!$W$6:$W$505,CU$3,実績!$AI$6:$AI$505,"&lt;="&amp;$A60,実績!$AJ$6:$AJ$505,"&gt;"&amp;$A60,実績!$AK$6:$AK$505,"○")&gt;0,1,0))</f>
        <v>0</v>
      </c>
      <c r="CV60" s="39" t="n">
        <f aca="false">IF(CV$4=0,0,IF(COUNTIFS(実績!$W$6:$W$505,CV$3,実績!$AI$6:$AI$505,"&lt;="&amp;$A60,実績!$AJ$6:$AJ$505,"&gt;"&amp;$A60,実績!$AK$6:$AK$505,"○")&gt;0,1,0))</f>
        <v>0</v>
      </c>
      <c r="CW60" s="39" t="n">
        <f aca="false">IF(CW$4=0,0,IF(COUNTIFS(実績!$W$6:$W$505,CW$3,実績!$AI$6:$AI$505,"&lt;="&amp;$A60,実績!$AJ$6:$AJ$505,"&gt;"&amp;$A60,実績!$AK$6:$AK$505,"○")&gt;0,1,0))</f>
        <v>0</v>
      </c>
      <c r="CX60" s="39" t="n">
        <f aca="false">IF(CX$4=0,0,IF(COUNTIFS(実績!$W$6:$W$505,CX$3,実績!$AI$6:$AI$505,"&lt;="&amp;$A60,実績!$AJ$6:$AJ$505,"&gt;"&amp;$A60,実績!$AK$6:$AK$505,"○")&gt;0,1,0))</f>
        <v>0</v>
      </c>
      <c r="CY60" s="39" t="n">
        <f aca="false">IF(CY$4=0,0,IF(COUNTIFS(実績!$W$6:$W$505,CY$3,実績!$AI$6:$AI$505,"&lt;="&amp;$A60,実績!$AJ$6:$AJ$505,"&gt;"&amp;$A60,実績!$AK$6:$AK$505,"○")&gt;0,1,0))</f>
        <v>0</v>
      </c>
      <c r="CZ60" s="39" t="n">
        <f aca="false">IF(CZ$4=0,0,IF(COUNTIFS(実績!$W$6:$W$505,CZ$3,実績!$AI$6:$AI$505,"&lt;="&amp;$A60,実績!$AJ$6:$AJ$505,"&gt;"&amp;$A60,実績!$AK$6:$AK$505,"○")&gt;0,1,0))</f>
        <v>0</v>
      </c>
      <c r="DA60" s="39" t="n">
        <f aca="false">IF(DA$4=0,0,IF(COUNTIFS(実績!$W$6:$W$505,DA$3,実績!$AI$6:$AI$505,"&lt;="&amp;$A60,実績!$AJ$6:$AJ$505,"&gt;"&amp;$A60,実績!$AK$6:$AK$505,"○")&gt;0,1,0))</f>
        <v>0</v>
      </c>
      <c r="DB60" s="39" t="n">
        <f aca="false">IF(DB$4=0,0,IF(COUNTIFS(実績!$W$6:$W$505,DB$3,実績!$AI$6:$AI$505,"&lt;="&amp;$A60,実績!$AJ$6:$AJ$505,"&gt;"&amp;$A60,実績!$AK$6:$AK$505,"○")&gt;0,1,0))</f>
        <v>0</v>
      </c>
      <c r="DC60" s="39" t="n">
        <f aca="false">IF(DC$4=0,0,IF(COUNTIFS(実績!$W$6:$W$505,DC$3,実績!$AI$6:$AI$505,"&lt;="&amp;$A60,実績!$AJ$6:$AJ$505,"&gt;"&amp;$A60,実績!$AK$6:$AK$505,"○")&gt;0,1,0))</f>
        <v>0</v>
      </c>
      <c r="DD60" s="39" t="n">
        <f aca="false">IF(DD$4=0,0,IF(COUNTIFS(実績!$W$6:$W$505,DD$3,実績!$AI$6:$AI$505,"&lt;="&amp;$A60,実績!$AJ$6:$AJ$505,"&gt;"&amp;$A60,実績!$AK$6:$AK$505,"○")&gt;0,1,0))</f>
        <v>0</v>
      </c>
      <c r="DE60" s="39" t="n">
        <f aca="false">IF(DE$4=0,0,IF(COUNTIFS(実績!$W$6:$W$505,DE$3,実績!$AI$6:$AI$505,"&lt;="&amp;$A60,実績!$AJ$6:$AJ$505,"&gt;"&amp;$A60,実績!$AK$6:$AK$505,"○")&gt;0,1,0))</f>
        <v>0</v>
      </c>
      <c r="DF60" s="39" t="n">
        <f aca="false">IF(DF$4=0,0,IF(COUNTIFS(実績!$W$6:$W$505,DF$3,実績!$AI$6:$AI$505,"&lt;="&amp;$A60,実績!$AJ$6:$AJ$505,"&gt;"&amp;$A60,実績!$AK$6:$AK$505,"○")&gt;0,1,0))</f>
        <v>0</v>
      </c>
      <c r="DG60" s="39" t="n">
        <f aca="false">IF(DG$4=0,0,IF(COUNTIFS(実績!$W$6:$W$505,DG$3,実績!$AI$6:$AI$505,"&lt;="&amp;$A60,実績!$AJ$6:$AJ$505,"&gt;"&amp;$A60,実績!$AK$6:$AK$505,"○")&gt;0,1,0))</f>
        <v>0</v>
      </c>
      <c r="DH60" s="39" t="n">
        <f aca="false">IF(DH$4=0,0,IF(COUNTIFS(実績!$W$6:$W$505,DH$3,実績!$AI$6:$AI$505,"&lt;="&amp;$A60,実績!$AJ$6:$AJ$505,"&gt;"&amp;$A60,実績!$AK$6:$AK$505,"○")&gt;0,1,0))</f>
        <v>0</v>
      </c>
      <c r="DI60" s="39" t="n">
        <f aca="false">IF(DI$4=0,0,IF(COUNTIFS(実績!$W$6:$W$505,DI$3,実績!$AI$6:$AI$505,"&lt;="&amp;$A60,実績!$AJ$6:$AJ$505,"&gt;"&amp;$A60,実績!$AK$6:$AK$505,"○")&gt;0,1,0))</f>
        <v>0</v>
      </c>
      <c r="DJ60" s="39" t="n">
        <f aca="false">IF(DJ$4=0,0,IF(COUNTIFS(実績!$W$6:$W$505,DJ$3,実績!$AI$6:$AI$505,"&lt;="&amp;$A60,実績!$AJ$6:$AJ$505,"&gt;"&amp;$A60,実績!$AK$6:$AK$505,"○")&gt;0,1,0))</f>
        <v>0</v>
      </c>
      <c r="DK60" s="39" t="n">
        <f aca="false">IF(DK$4=0,0,IF(COUNTIFS(実績!$W$6:$W$505,DK$3,実績!$AI$6:$AI$505,"&lt;="&amp;$A60,実績!$AJ$6:$AJ$505,"&gt;"&amp;$A60,実績!$AK$6:$AK$505,"○")&gt;0,1,0))</f>
        <v>0</v>
      </c>
      <c r="DL60" s="39" t="n">
        <f aca="false">IF(DL$4=0,0,IF(COUNTIFS(実績!$W$6:$W$505,DL$3,実績!$AI$6:$AI$505,"&lt;="&amp;$A60,実績!$AJ$6:$AJ$505,"&gt;"&amp;$A60,実績!$AK$6:$AK$505,"○")&gt;0,1,0))</f>
        <v>0</v>
      </c>
      <c r="DM60" s="39" t="n">
        <f aca="false">IF(DM$4=0,0,IF(COUNTIFS(実績!$W$6:$W$505,DM$3,実績!$AI$6:$AI$505,"&lt;="&amp;$A60,実績!$AJ$6:$AJ$505,"&gt;"&amp;$A60,実績!$AK$6:$AK$505,"○")&gt;0,1,0))</f>
        <v>0</v>
      </c>
      <c r="DN60" s="39" t="n">
        <f aca="false">IF(DN$4=0,0,IF(COUNTIFS(実績!$W$6:$W$505,DN$3,実績!$AI$6:$AI$505,"&lt;="&amp;$A60,実績!$AJ$6:$AJ$505,"&gt;"&amp;$A60,実績!$AK$6:$AK$505,"○")&gt;0,1,0))</f>
        <v>0</v>
      </c>
      <c r="DO60" s="39" t="n">
        <f aca="false">IF(DO$4=0,0,IF(COUNTIFS(実績!$W$6:$W$505,DO$3,実績!$AI$6:$AI$505,"&lt;="&amp;$A60,実績!$AJ$6:$AJ$505,"&gt;"&amp;$A60,実績!$AK$6:$AK$505,"○")&gt;0,1,0))</f>
        <v>0</v>
      </c>
      <c r="DP60" s="39" t="n">
        <f aca="false">IF(DP$4=0,0,IF(COUNTIFS(実績!$W$6:$W$505,DP$3,実績!$AI$6:$AI$505,"&lt;="&amp;$A60,実績!$AJ$6:$AJ$505,"&gt;"&amp;$A60,実績!$AK$6:$AK$505,"○")&gt;0,1,0))</f>
        <v>0</v>
      </c>
      <c r="DQ60" s="39" t="n">
        <f aca="false">IF(DQ$4=0,0,IF(COUNTIFS(実績!$W$6:$W$505,DQ$3,実績!$AI$6:$AI$505,"&lt;="&amp;$A60,実績!$AJ$6:$AJ$505,"&gt;"&amp;$A60,実績!$AK$6:$AK$505,"○")&gt;0,1,0))</f>
        <v>0</v>
      </c>
      <c r="DR60" s="39" t="n">
        <f aca="false">IF(DR$4=0,0,IF(COUNTIFS(実績!$W$6:$W$505,DR$3,実績!$AI$6:$AI$505,"&lt;="&amp;$A60,実績!$AJ$6:$AJ$505,"&gt;"&amp;$A60,実績!$AK$6:$AK$505,"○")&gt;0,1,0))</f>
        <v>0</v>
      </c>
      <c r="DS60" s="39" t="n">
        <f aca="false">SUM(C60:DR60)</f>
        <v>0</v>
      </c>
      <c r="DT60" s="39" t="n">
        <f aca="false">SUMPRODUCT((実績!$C$6:$C$505="○")*ISNUMBER(実績!$AM$6:$AM$505)*(実績!$AM$6:$AM$505&lt;=$A60)*(実績!$AN$6:$AN$505&gt;$A60))</f>
        <v>0</v>
      </c>
      <c r="DU60" s="39" t="n">
        <f aca="false">SUMIF($C$2:$DR$2,"製鉄曳船",C60:DR60)</f>
        <v>0</v>
      </c>
      <c r="DV60" s="39" t="n">
        <f aca="false">SUMIF($C$2:$DR$2,"西日本海運",C60:DR60)</f>
        <v>0</v>
      </c>
    </row>
    <row r="61" customFormat="false" ht="15" hidden="false" customHeight="false" outlineLevel="0" collapsed="false">
      <c r="A61" s="0" t="n">
        <v>275</v>
      </c>
      <c r="B61" s="38" t="n">
        <f aca="false">A61/1440</f>
        <v>0.190972222222222</v>
      </c>
      <c r="C61" s="39" t="n">
        <f aca="false">IF(C$4=0,0,IF(COUNTIFS(実績!$W$6:$W$505,C$3,実績!$AI$6:$AI$505,"&lt;="&amp;$A61,実績!$AJ$6:$AJ$505,"&gt;"&amp;$A61,実績!$AK$6:$AK$505,"○")&gt;0,1,0))</f>
        <v>0</v>
      </c>
      <c r="D61" s="39" t="n">
        <f aca="false">IF(D$4=0,0,IF(COUNTIFS(実績!$W$6:$W$505,D$3,実績!$AI$6:$AI$505,"&lt;="&amp;$A61,実績!$AJ$6:$AJ$505,"&gt;"&amp;$A61,実績!$AK$6:$AK$505,"○")&gt;0,1,0))</f>
        <v>0</v>
      </c>
      <c r="E61" s="39" t="n">
        <f aca="false">IF(E$4=0,0,IF(COUNTIFS(実績!$W$6:$W$505,E$3,実績!$AI$6:$AI$505,"&lt;="&amp;$A61,実績!$AJ$6:$AJ$505,"&gt;"&amp;$A61,実績!$AK$6:$AK$505,"○")&gt;0,1,0))</f>
        <v>0</v>
      </c>
      <c r="F61" s="39" t="n">
        <f aca="false">IF(F$4=0,0,IF(COUNTIFS(実績!$W$6:$W$505,F$3,実績!$AI$6:$AI$505,"&lt;="&amp;$A61,実績!$AJ$6:$AJ$505,"&gt;"&amp;$A61,実績!$AK$6:$AK$505,"○")&gt;0,1,0))</f>
        <v>0</v>
      </c>
      <c r="G61" s="39" t="n">
        <f aca="false">IF(G$4=0,0,IF(COUNTIFS(実績!$W$6:$W$505,G$3,実績!$AI$6:$AI$505,"&lt;="&amp;$A61,実績!$AJ$6:$AJ$505,"&gt;"&amp;$A61,実績!$AK$6:$AK$505,"○")&gt;0,1,0))</f>
        <v>0</v>
      </c>
      <c r="H61" s="39" t="n">
        <f aca="false">IF(H$4=0,0,IF(COUNTIFS(実績!$W$6:$W$505,H$3,実績!$AI$6:$AI$505,"&lt;="&amp;$A61,実績!$AJ$6:$AJ$505,"&gt;"&amp;$A61,実績!$AK$6:$AK$505,"○")&gt;0,1,0))</f>
        <v>0</v>
      </c>
      <c r="I61" s="39" t="n">
        <f aca="false">IF(I$4=0,0,IF(COUNTIFS(実績!$W$6:$W$505,I$3,実績!$AI$6:$AI$505,"&lt;="&amp;$A61,実績!$AJ$6:$AJ$505,"&gt;"&amp;$A61,実績!$AK$6:$AK$505,"○")&gt;0,1,0))</f>
        <v>0</v>
      </c>
      <c r="J61" s="39" t="n">
        <f aca="false">IF(J$4=0,0,IF(COUNTIFS(実績!$W$6:$W$505,J$3,実績!$AI$6:$AI$505,"&lt;="&amp;$A61,実績!$AJ$6:$AJ$505,"&gt;"&amp;$A61,実績!$AK$6:$AK$505,"○")&gt;0,1,0))</f>
        <v>0</v>
      </c>
      <c r="K61" s="39" t="n">
        <f aca="false">IF(K$4=0,0,IF(COUNTIFS(実績!$W$6:$W$505,K$3,実績!$AI$6:$AI$505,"&lt;="&amp;$A61,実績!$AJ$6:$AJ$505,"&gt;"&amp;$A61,実績!$AK$6:$AK$505,"○")&gt;0,1,0))</f>
        <v>0</v>
      </c>
      <c r="L61" s="39" t="n">
        <f aca="false">IF(L$4=0,0,IF(COUNTIFS(実績!$W$6:$W$505,L$3,実績!$AI$6:$AI$505,"&lt;="&amp;$A61,実績!$AJ$6:$AJ$505,"&gt;"&amp;$A61,実績!$AK$6:$AK$505,"○")&gt;0,1,0))</f>
        <v>0</v>
      </c>
      <c r="M61" s="39" t="n">
        <f aca="false">IF(M$4=0,0,IF(COUNTIFS(実績!$W$6:$W$505,M$3,実績!$AI$6:$AI$505,"&lt;="&amp;$A61,実績!$AJ$6:$AJ$505,"&gt;"&amp;$A61,実績!$AK$6:$AK$505,"○")&gt;0,1,0))</f>
        <v>0</v>
      </c>
      <c r="N61" s="39" t="n">
        <f aca="false">IF(N$4=0,0,IF(COUNTIFS(実績!$W$6:$W$505,N$3,実績!$AI$6:$AI$505,"&lt;="&amp;$A61,実績!$AJ$6:$AJ$505,"&gt;"&amp;$A61,実績!$AK$6:$AK$505,"○")&gt;0,1,0))</f>
        <v>0</v>
      </c>
      <c r="O61" s="39" t="n">
        <f aca="false">IF(O$4=0,0,IF(COUNTIFS(実績!$W$6:$W$505,O$3,実績!$AI$6:$AI$505,"&lt;="&amp;$A61,実績!$AJ$6:$AJ$505,"&gt;"&amp;$A61,実績!$AK$6:$AK$505,"○")&gt;0,1,0))</f>
        <v>0</v>
      </c>
      <c r="P61" s="39" t="n">
        <f aca="false">IF(P$4=0,0,IF(COUNTIFS(実績!$W$6:$W$505,P$3,実績!$AI$6:$AI$505,"&lt;="&amp;$A61,実績!$AJ$6:$AJ$505,"&gt;"&amp;$A61,実績!$AK$6:$AK$505,"○")&gt;0,1,0))</f>
        <v>0</v>
      </c>
      <c r="Q61" s="39" t="n">
        <f aca="false">IF(Q$4=0,0,IF(COUNTIFS(実績!$W$6:$W$505,Q$3,実績!$AI$6:$AI$505,"&lt;="&amp;$A61,実績!$AJ$6:$AJ$505,"&gt;"&amp;$A61,実績!$AK$6:$AK$505,"○")&gt;0,1,0))</f>
        <v>0</v>
      </c>
      <c r="R61" s="39" t="n">
        <f aca="false">IF(R$4=0,0,IF(COUNTIFS(実績!$W$6:$W$505,R$3,実績!$AI$6:$AI$505,"&lt;="&amp;$A61,実績!$AJ$6:$AJ$505,"&gt;"&amp;$A61,実績!$AK$6:$AK$505,"○")&gt;0,1,0))</f>
        <v>0</v>
      </c>
      <c r="S61" s="39" t="n">
        <f aca="false">IF(S$4=0,0,IF(COUNTIFS(実績!$W$6:$W$505,S$3,実績!$AI$6:$AI$505,"&lt;="&amp;$A61,実績!$AJ$6:$AJ$505,"&gt;"&amp;$A61,実績!$AK$6:$AK$505,"○")&gt;0,1,0))</f>
        <v>0</v>
      </c>
      <c r="T61" s="39" t="n">
        <f aca="false">IF(T$4=0,0,IF(COUNTIFS(実績!$W$6:$W$505,T$3,実績!$AI$6:$AI$505,"&lt;="&amp;$A61,実績!$AJ$6:$AJ$505,"&gt;"&amp;$A61,実績!$AK$6:$AK$505,"○")&gt;0,1,0))</f>
        <v>0</v>
      </c>
      <c r="U61" s="39" t="n">
        <f aca="false">IF(U$4=0,0,IF(COUNTIFS(実績!$W$6:$W$505,U$3,実績!$AI$6:$AI$505,"&lt;="&amp;$A61,実績!$AJ$6:$AJ$505,"&gt;"&amp;$A61,実績!$AK$6:$AK$505,"○")&gt;0,1,0))</f>
        <v>0</v>
      </c>
      <c r="V61" s="39" t="n">
        <f aca="false">IF(V$4=0,0,IF(COUNTIFS(実績!$W$6:$W$505,V$3,実績!$AI$6:$AI$505,"&lt;="&amp;$A61,実績!$AJ$6:$AJ$505,"&gt;"&amp;$A61,実績!$AK$6:$AK$505,"○")&gt;0,1,0))</f>
        <v>0</v>
      </c>
      <c r="W61" s="39" t="n">
        <f aca="false">IF(W$4=0,0,IF(COUNTIFS(実績!$W$6:$W$505,W$3,実績!$AI$6:$AI$505,"&lt;="&amp;$A61,実績!$AJ$6:$AJ$505,"&gt;"&amp;$A61,実績!$AK$6:$AK$505,"○")&gt;0,1,0))</f>
        <v>0</v>
      </c>
      <c r="X61" s="39" t="n">
        <f aca="false">IF(X$4=0,0,IF(COUNTIFS(実績!$W$6:$W$505,X$3,実績!$AI$6:$AI$505,"&lt;="&amp;$A61,実績!$AJ$6:$AJ$505,"&gt;"&amp;$A61,実績!$AK$6:$AK$505,"○")&gt;0,1,0))</f>
        <v>0</v>
      </c>
      <c r="Y61" s="39" t="n">
        <f aca="false">IF(Y$4=0,0,IF(COUNTIFS(実績!$W$6:$W$505,Y$3,実績!$AI$6:$AI$505,"&lt;="&amp;$A61,実績!$AJ$6:$AJ$505,"&gt;"&amp;$A61,実績!$AK$6:$AK$505,"○")&gt;0,1,0))</f>
        <v>0</v>
      </c>
      <c r="Z61" s="39" t="n">
        <f aca="false">IF(Z$4=0,0,IF(COUNTIFS(実績!$W$6:$W$505,Z$3,実績!$AI$6:$AI$505,"&lt;="&amp;$A61,実績!$AJ$6:$AJ$505,"&gt;"&amp;$A61,実績!$AK$6:$AK$505,"○")&gt;0,1,0))</f>
        <v>0</v>
      </c>
      <c r="AA61" s="39" t="n">
        <f aca="false">IF(AA$4=0,0,IF(COUNTIFS(実績!$W$6:$W$505,AA$3,実績!$AI$6:$AI$505,"&lt;="&amp;$A61,実績!$AJ$6:$AJ$505,"&gt;"&amp;$A61,実績!$AK$6:$AK$505,"○")&gt;0,1,0))</f>
        <v>0</v>
      </c>
      <c r="AB61" s="39" t="n">
        <f aca="false">IF(AB$4=0,0,IF(COUNTIFS(実績!$W$6:$W$505,AB$3,実績!$AI$6:$AI$505,"&lt;="&amp;$A61,実績!$AJ$6:$AJ$505,"&gt;"&amp;$A61,実績!$AK$6:$AK$505,"○")&gt;0,1,0))</f>
        <v>0</v>
      </c>
      <c r="AC61" s="39" t="n">
        <f aca="false">IF(AC$4=0,0,IF(COUNTIFS(実績!$W$6:$W$505,AC$3,実績!$AI$6:$AI$505,"&lt;="&amp;$A61,実績!$AJ$6:$AJ$505,"&gt;"&amp;$A61,実績!$AK$6:$AK$505,"○")&gt;0,1,0))</f>
        <v>0</v>
      </c>
      <c r="AD61" s="39" t="n">
        <f aca="false">IF(AD$4=0,0,IF(COUNTIFS(実績!$W$6:$W$505,AD$3,実績!$AI$6:$AI$505,"&lt;="&amp;$A61,実績!$AJ$6:$AJ$505,"&gt;"&amp;$A61,実績!$AK$6:$AK$505,"○")&gt;0,1,0))</f>
        <v>0</v>
      </c>
      <c r="AE61" s="39" t="n">
        <f aca="false">IF(AE$4=0,0,IF(COUNTIFS(実績!$W$6:$W$505,AE$3,実績!$AI$6:$AI$505,"&lt;="&amp;$A61,実績!$AJ$6:$AJ$505,"&gt;"&amp;$A61,実績!$AK$6:$AK$505,"○")&gt;0,1,0))</f>
        <v>0</v>
      </c>
      <c r="AF61" s="39" t="n">
        <f aca="false">IF(AF$4=0,0,IF(COUNTIFS(実績!$W$6:$W$505,AF$3,実績!$AI$6:$AI$505,"&lt;="&amp;$A61,実績!$AJ$6:$AJ$505,"&gt;"&amp;$A61,実績!$AK$6:$AK$505,"○")&gt;0,1,0))</f>
        <v>0</v>
      </c>
      <c r="AG61" s="39" t="n">
        <f aca="false">IF(AG$4=0,0,IF(COUNTIFS(実績!$W$6:$W$505,AG$3,実績!$AI$6:$AI$505,"&lt;="&amp;$A61,実績!$AJ$6:$AJ$505,"&gt;"&amp;$A61,実績!$AK$6:$AK$505,"○")&gt;0,1,0))</f>
        <v>0</v>
      </c>
      <c r="AH61" s="39" t="n">
        <f aca="false">IF(AH$4=0,0,IF(COUNTIFS(実績!$W$6:$W$505,AH$3,実績!$AI$6:$AI$505,"&lt;="&amp;$A61,実績!$AJ$6:$AJ$505,"&gt;"&amp;$A61,実績!$AK$6:$AK$505,"○")&gt;0,1,0))</f>
        <v>0</v>
      </c>
      <c r="AI61" s="39" t="n">
        <f aca="false">IF(AI$4=0,0,IF(COUNTIFS(実績!$W$6:$W$505,AI$3,実績!$AI$6:$AI$505,"&lt;="&amp;$A61,実績!$AJ$6:$AJ$505,"&gt;"&amp;$A61,実績!$AK$6:$AK$505,"○")&gt;0,1,0))</f>
        <v>0</v>
      </c>
      <c r="AJ61" s="39" t="n">
        <f aca="false">IF(AJ$4=0,0,IF(COUNTIFS(実績!$W$6:$W$505,AJ$3,実績!$AI$6:$AI$505,"&lt;="&amp;$A61,実績!$AJ$6:$AJ$505,"&gt;"&amp;$A61,実績!$AK$6:$AK$505,"○")&gt;0,1,0))</f>
        <v>0</v>
      </c>
      <c r="AK61" s="39" t="n">
        <f aca="false">IF(AK$4=0,0,IF(COUNTIFS(実績!$W$6:$W$505,AK$3,実績!$AI$6:$AI$505,"&lt;="&amp;$A61,実績!$AJ$6:$AJ$505,"&gt;"&amp;$A61,実績!$AK$6:$AK$505,"○")&gt;0,1,0))</f>
        <v>0</v>
      </c>
      <c r="AL61" s="39" t="n">
        <f aca="false">IF(AL$4=0,0,IF(COUNTIFS(実績!$W$6:$W$505,AL$3,実績!$AI$6:$AI$505,"&lt;="&amp;$A61,実績!$AJ$6:$AJ$505,"&gt;"&amp;$A61,実績!$AK$6:$AK$505,"○")&gt;0,1,0))</f>
        <v>0</v>
      </c>
      <c r="AM61" s="39" t="n">
        <f aca="false">IF(AM$4=0,0,IF(COUNTIFS(実績!$W$6:$W$505,AM$3,実績!$AI$6:$AI$505,"&lt;="&amp;$A61,実績!$AJ$6:$AJ$505,"&gt;"&amp;$A61,実績!$AK$6:$AK$505,"○")&gt;0,1,0))</f>
        <v>0</v>
      </c>
      <c r="AN61" s="39" t="n">
        <f aca="false">IF(AN$4=0,0,IF(COUNTIFS(実績!$W$6:$W$505,AN$3,実績!$AI$6:$AI$505,"&lt;="&amp;$A61,実績!$AJ$6:$AJ$505,"&gt;"&amp;$A61,実績!$AK$6:$AK$505,"○")&gt;0,1,0))</f>
        <v>0</v>
      </c>
      <c r="AO61" s="39" t="n">
        <f aca="false">IF(AO$4=0,0,IF(COUNTIFS(実績!$W$6:$W$505,AO$3,実績!$AI$6:$AI$505,"&lt;="&amp;$A61,実績!$AJ$6:$AJ$505,"&gt;"&amp;$A61,実績!$AK$6:$AK$505,"○")&gt;0,1,0))</f>
        <v>0</v>
      </c>
      <c r="AP61" s="39" t="n">
        <f aca="false">IF(AP$4=0,0,IF(COUNTIFS(実績!$W$6:$W$505,AP$3,実績!$AI$6:$AI$505,"&lt;="&amp;$A61,実績!$AJ$6:$AJ$505,"&gt;"&amp;$A61,実績!$AK$6:$AK$505,"○")&gt;0,1,0))</f>
        <v>0</v>
      </c>
      <c r="AQ61" s="39" t="n">
        <f aca="false">IF(AQ$4=0,0,IF(COUNTIFS(実績!$W$6:$W$505,AQ$3,実績!$AI$6:$AI$505,"&lt;="&amp;$A61,実績!$AJ$6:$AJ$505,"&gt;"&amp;$A61,実績!$AK$6:$AK$505,"○")&gt;0,1,0))</f>
        <v>0</v>
      </c>
      <c r="AR61" s="39" t="n">
        <f aca="false">IF(AR$4=0,0,IF(COUNTIFS(実績!$W$6:$W$505,AR$3,実績!$AI$6:$AI$505,"&lt;="&amp;$A61,実績!$AJ$6:$AJ$505,"&gt;"&amp;$A61,実績!$AK$6:$AK$505,"○")&gt;0,1,0))</f>
        <v>0</v>
      </c>
      <c r="AS61" s="39" t="n">
        <f aca="false">IF(AS$4=0,0,IF(COUNTIFS(実績!$W$6:$W$505,AS$3,実績!$AI$6:$AI$505,"&lt;="&amp;$A61,実績!$AJ$6:$AJ$505,"&gt;"&amp;$A61,実績!$AK$6:$AK$505,"○")&gt;0,1,0))</f>
        <v>0</v>
      </c>
      <c r="AT61" s="39" t="n">
        <f aca="false">IF(AT$4=0,0,IF(COUNTIFS(実績!$W$6:$W$505,AT$3,実績!$AI$6:$AI$505,"&lt;="&amp;$A61,実績!$AJ$6:$AJ$505,"&gt;"&amp;$A61,実績!$AK$6:$AK$505,"○")&gt;0,1,0))</f>
        <v>0</v>
      </c>
      <c r="AU61" s="39" t="n">
        <f aca="false">IF(AU$4=0,0,IF(COUNTIFS(実績!$W$6:$W$505,AU$3,実績!$AI$6:$AI$505,"&lt;="&amp;$A61,実績!$AJ$6:$AJ$505,"&gt;"&amp;$A61,実績!$AK$6:$AK$505,"○")&gt;0,1,0))</f>
        <v>0</v>
      </c>
      <c r="AV61" s="39" t="n">
        <f aca="false">IF(AV$4=0,0,IF(COUNTIFS(実績!$W$6:$W$505,AV$3,実績!$AI$6:$AI$505,"&lt;="&amp;$A61,実績!$AJ$6:$AJ$505,"&gt;"&amp;$A61,実績!$AK$6:$AK$505,"○")&gt;0,1,0))</f>
        <v>0</v>
      </c>
      <c r="AW61" s="39" t="n">
        <f aca="false">IF(AW$4=0,0,IF(COUNTIFS(実績!$W$6:$W$505,AW$3,実績!$AI$6:$AI$505,"&lt;="&amp;$A61,実績!$AJ$6:$AJ$505,"&gt;"&amp;$A61,実績!$AK$6:$AK$505,"○")&gt;0,1,0))</f>
        <v>0</v>
      </c>
      <c r="AX61" s="39" t="n">
        <f aca="false">IF(AX$4=0,0,IF(COUNTIFS(実績!$W$6:$W$505,AX$3,実績!$AI$6:$AI$505,"&lt;="&amp;$A61,実績!$AJ$6:$AJ$505,"&gt;"&amp;$A61,実績!$AK$6:$AK$505,"○")&gt;0,1,0))</f>
        <v>0</v>
      </c>
      <c r="AY61" s="39" t="n">
        <f aca="false">IF(AY$4=0,0,IF(COUNTIFS(実績!$W$6:$W$505,AY$3,実績!$AI$6:$AI$505,"&lt;="&amp;$A61,実績!$AJ$6:$AJ$505,"&gt;"&amp;$A61,実績!$AK$6:$AK$505,"○")&gt;0,1,0))</f>
        <v>0</v>
      </c>
      <c r="AZ61" s="39" t="n">
        <f aca="false">IF(AZ$4=0,0,IF(COUNTIFS(実績!$W$6:$W$505,AZ$3,実績!$AI$6:$AI$505,"&lt;="&amp;$A61,実績!$AJ$6:$AJ$505,"&gt;"&amp;$A61,実績!$AK$6:$AK$505,"○")&gt;0,1,0))</f>
        <v>0</v>
      </c>
      <c r="BA61" s="39" t="n">
        <f aca="false">IF(BA$4=0,0,IF(COUNTIFS(実績!$W$6:$W$505,BA$3,実績!$AI$6:$AI$505,"&lt;="&amp;$A61,実績!$AJ$6:$AJ$505,"&gt;"&amp;$A61,実績!$AK$6:$AK$505,"○")&gt;0,1,0))</f>
        <v>0</v>
      </c>
      <c r="BB61" s="39" t="n">
        <f aca="false">IF(BB$4=0,0,IF(COUNTIFS(実績!$W$6:$W$505,BB$3,実績!$AI$6:$AI$505,"&lt;="&amp;$A61,実績!$AJ$6:$AJ$505,"&gt;"&amp;$A61,実績!$AK$6:$AK$505,"○")&gt;0,1,0))</f>
        <v>0</v>
      </c>
      <c r="BC61" s="39" t="n">
        <f aca="false">IF(BC$4=0,0,IF(COUNTIFS(実績!$W$6:$W$505,BC$3,実績!$AI$6:$AI$505,"&lt;="&amp;$A61,実績!$AJ$6:$AJ$505,"&gt;"&amp;$A61,実績!$AK$6:$AK$505,"○")&gt;0,1,0))</f>
        <v>0</v>
      </c>
      <c r="BD61" s="39" t="n">
        <f aca="false">IF(BD$4=0,0,IF(COUNTIFS(実績!$W$6:$W$505,BD$3,実績!$AI$6:$AI$505,"&lt;="&amp;$A61,実績!$AJ$6:$AJ$505,"&gt;"&amp;$A61,実績!$AK$6:$AK$505,"○")&gt;0,1,0))</f>
        <v>0</v>
      </c>
      <c r="BE61" s="39" t="n">
        <f aca="false">IF(BE$4=0,0,IF(COUNTIFS(実績!$W$6:$W$505,BE$3,実績!$AI$6:$AI$505,"&lt;="&amp;$A61,実績!$AJ$6:$AJ$505,"&gt;"&amp;$A61,実績!$AK$6:$AK$505,"○")&gt;0,1,0))</f>
        <v>0</v>
      </c>
      <c r="BF61" s="39" t="n">
        <f aca="false">IF(BF$4=0,0,IF(COUNTIFS(実績!$W$6:$W$505,BF$3,実績!$AI$6:$AI$505,"&lt;="&amp;$A61,実績!$AJ$6:$AJ$505,"&gt;"&amp;$A61,実績!$AK$6:$AK$505,"○")&gt;0,1,0))</f>
        <v>0</v>
      </c>
      <c r="BG61" s="39" t="n">
        <f aca="false">IF(BG$4=0,0,IF(COUNTIFS(実績!$W$6:$W$505,BG$3,実績!$AI$6:$AI$505,"&lt;="&amp;$A61,実績!$AJ$6:$AJ$505,"&gt;"&amp;$A61,実績!$AK$6:$AK$505,"○")&gt;0,1,0))</f>
        <v>0</v>
      </c>
      <c r="BH61" s="39" t="n">
        <f aca="false">IF(BH$4=0,0,IF(COUNTIFS(実績!$W$6:$W$505,BH$3,実績!$AI$6:$AI$505,"&lt;="&amp;$A61,実績!$AJ$6:$AJ$505,"&gt;"&amp;$A61,実績!$AK$6:$AK$505,"○")&gt;0,1,0))</f>
        <v>0</v>
      </c>
      <c r="BI61" s="39" t="n">
        <f aca="false">IF(BI$4=0,0,IF(COUNTIFS(実績!$W$6:$W$505,BI$3,実績!$AI$6:$AI$505,"&lt;="&amp;$A61,実績!$AJ$6:$AJ$505,"&gt;"&amp;$A61,実績!$AK$6:$AK$505,"○")&gt;0,1,0))</f>
        <v>0</v>
      </c>
      <c r="BJ61" s="39" t="n">
        <f aca="false">IF(BJ$4=0,0,IF(COUNTIFS(実績!$W$6:$W$505,BJ$3,実績!$AI$6:$AI$505,"&lt;="&amp;$A61,実績!$AJ$6:$AJ$505,"&gt;"&amp;$A61,実績!$AK$6:$AK$505,"○")&gt;0,1,0))</f>
        <v>0</v>
      </c>
      <c r="BK61" s="39" t="n">
        <f aca="false">IF(BK$4=0,0,IF(COUNTIFS(実績!$W$6:$W$505,BK$3,実績!$AI$6:$AI$505,"&lt;="&amp;$A61,実績!$AJ$6:$AJ$505,"&gt;"&amp;$A61,実績!$AK$6:$AK$505,"○")&gt;0,1,0))</f>
        <v>0</v>
      </c>
      <c r="BL61" s="39" t="n">
        <f aca="false">IF(BL$4=0,0,IF(COUNTIFS(実績!$W$6:$W$505,BL$3,実績!$AI$6:$AI$505,"&lt;="&amp;$A61,実績!$AJ$6:$AJ$505,"&gt;"&amp;$A61,実績!$AK$6:$AK$505,"○")&gt;0,1,0))</f>
        <v>0</v>
      </c>
      <c r="BM61" s="39" t="n">
        <f aca="false">IF(BM$4=0,0,IF(COUNTIFS(実績!$W$6:$W$505,BM$3,実績!$AI$6:$AI$505,"&lt;="&amp;$A61,実績!$AJ$6:$AJ$505,"&gt;"&amp;$A61,実績!$AK$6:$AK$505,"○")&gt;0,1,0))</f>
        <v>0</v>
      </c>
      <c r="BN61" s="39" t="n">
        <f aca="false">IF(BN$4=0,0,IF(COUNTIFS(実績!$W$6:$W$505,BN$3,実績!$AI$6:$AI$505,"&lt;="&amp;$A61,実績!$AJ$6:$AJ$505,"&gt;"&amp;$A61,実績!$AK$6:$AK$505,"○")&gt;0,1,0))</f>
        <v>0</v>
      </c>
      <c r="BO61" s="39" t="n">
        <f aca="false">IF(BO$4=0,0,IF(COUNTIFS(実績!$W$6:$W$505,BO$3,実績!$AI$6:$AI$505,"&lt;="&amp;$A61,実績!$AJ$6:$AJ$505,"&gt;"&amp;$A61,実績!$AK$6:$AK$505,"○")&gt;0,1,0))</f>
        <v>0</v>
      </c>
      <c r="BP61" s="39" t="n">
        <f aca="false">IF(BP$4=0,0,IF(COUNTIFS(実績!$W$6:$W$505,BP$3,実績!$AI$6:$AI$505,"&lt;="&amp;$A61,実績!$AJ$6:$AJ$505,"&gt;"&amp;$A61,実績!$AK$6:$AK$505,"○")&gt;0,1,0))</f>
        <v>0</v>
      </c>
      <c r="BQ61" s="39" t="n">
        <f aca="false">IF(BQ$4=0,0,IF(COUNTIFS(実績!$W$6:$W$505,BQ$3,実績!$AI$6:$AI$505,"&lt;="&amp;$A61,実績!$AJ$6:$AJ$505,"&gt;"&amp;$A61,実績!$AK$6:$AK$505,"○")&gt;0,1,0))</f>
        <v>0</v>
      </c>
      <c r="BR61" s="39" t="n">
        <f aca="false">IF(BR$4=0,0,IF(COUNTIFS(実績!$W$6:$W$505,BR$3,実績!$AI$6:$AI$505,"&lt;="&amp;$A61,実績!$AJ$6:$AJ$505,"&gt;"&amp;$A61,実績!$AK$6:$AK$505,"○")&gt;0,1,0))</f>
        <v>0</v>
      </c>
      <c r="BS61" s="39" t="n">
        <f aca="false">IF(BS$4=0,0,IF(COUNTIFS(実績!$W$6:$W$505,BS$3,実績!$AI$6:$AI$505,"&lt;="&amp;$A61,実績!$AJ$6:$AJ$505,"&gt;"&amp;$A61,実績!$AK$6:$AK$505,"○")&gt;0,1,0))</f>
        <v>0</v>
      </c>
      <c r="BT61" s="39" t="n">
        <f aca="false">IF(BT$4=0,0,IF(COUNTIFS(実績!$W$6:$W$505,BT$3,実績!$AI$6:$AI$505,"&lt;="&amp;$A61,実績!$AJ$6:$AJ$505,"&gt;"&amp;$A61,実績!$AK$6:$AK$505,"○")&gt;0,1,0))</f>
        <v>0</v>
      </c>
      <c r="BU61" s="39" t="n">
        <f aca="false">IF(BU$4=0,0,IF(COUNTIFS(実績!$W$6:$W$505,BU$3,実績!$AI$6:$AI$505,"&lt;="&amp;$A61,実績!$AJ$6:$AJ$505,"&gt;"&amp;$A61,実績!$AK$6:$AK$505,"○")&gt;0,1,0))</f>
        <v>0</v>
      </c>
      <c r="BV61" s="39" t="n">
        <f aca="false">IF(BV$4=0,0,IF(COUNTIFS(実績!$W$6:$W$505,BV$3,実績!$AI$6:$AI$505,"&lt;="&amp;$A61,実績!$AJ$6:$AJ$505,"&gt;"&amp;$A61,実績!$AK$6:$AK$505,"○")&gt;0,1,0))</f>
        <v>0</v>
      </c>
      <c r="BW61" s="39" t="n">
        <f aca="false">IF(BW$4=0,0,IF(COUNTIFS(実績!$W$6:$W$505,BW$3,実績!$AI$6:$AI$505,"&lt;="&amp;$A61,実績!$AJ$6:$AJ$505,"&gt;"&amp;$A61,実績!$AK$6:$AK$505,"○")&gt;0,1,0))</f>
        <v>0</v>
      </c>
      <c r="BX61" s="39" t="n">
        <f aca="false">IF(BX$4=0,0,IF(COUNTIFS(実績!$W$6:$W$505,BX$3,実績!$AI$6:$AI$505,"&lt;="&amp;$A61,実績!$AJ$6:$AJ$505,"&gt;"&amp;$A61,実績!$AK$6:$AK$505,"○")&gt;0,1,0))</f>
        <v>0</v>
      </c>
      <c r="BY61" s="39" t="n">
        <f aca="false">IF(BY$4=0,0,IF(COUNTIFS(実績!$W$6:$W$505,BY$3,実績!$AI$6:$AI$505,"&lt;="&amp;$A61,実績!$AJ$6:$AJ$505,"&gt;"&amp;$A61,実績!$AK$6:$AK$505,"○")&gt;0,1,0))</f>
        <v>0</v>
      </c>
      <c r="BZ61" s="39" t="n">
        <f aca="false">IF(BZ$4=0,0,IF(COUNTIFS(実績!$W$6:$W$505,BZ$3,実績!$AI$6:$AI$505,"&lt;="&amp;$A61,実績!$AJ$6:$AJ$505,"&gt;"&amp;$A61,実績!$AK$6:$AK$505,"○")&gt;0,1,0))</f>
        <v>0</v>
      </c>
      <c r="CA61" s="39" t="n">
        <f aca="false">IF(CA$4=0,0,IF(COUNTIFS(実績!$W$6:$W$505,CA$3,実績!$AI$6:$AI$505,"&lt;="&amp;$A61,実績!$AJ$6:$AJ$505,"&gt;"&amp;$A61,実績!$AK$6:$AK$505,"○")&gt;0,1,0))</f>
        <v>0</v>
      </c>
      <c r="CB61" s="39" t="n">
        <f aca="false">IF(CB$4=0,0,IF(COUNTIFS(実績!$W$6:$W$505,CB$3,実績!$AI$6:$AI$505,"&lt;="&amp;$A61,実績!$AJ$6:$AJ$505,"&gt;"&amp;$A61,実績!$AK$6:$AK$505,"○")&gt;0,1,0))</f>
        <v>0</v>
      </c>
      <c r="CC61" s="39" t="n">
        <f aca="false">IF(CC$4=0,0,IF(COUNTIFS(実績!$W$6:$W$505,CC$3,実績!$AI$6:$AI$505,"&lt;="&amp;$A61,実績!$AJ$6:$AJ$505,"&gt;"&amp;$A61,実績!$AK$6:$AK$505,"○")&gt;0,1,0))</f>
        <v>0</v>
      </c>
      <c r="CD61" s="39" t="n">
        <f aca="false">IF(CD$4=0,0,IF(COUNTIFS(実績!$W$6:$W$505,CD$3,実績!$AI$6:$AI$505,"&lt;="&amp;$A61,実績!$AJ$6:$AJ$505,"&gt;"&amp;$A61,実績!$AK$6:$AK$505,"○")&gt;0,1,0))</f>
        <v>0</v>
      </c>
      <c r="CE61" s="39" t="n">
        <f aca="false">IF(CE$4=0,0,IF(COUNTIFS(実績!$W$6:$W$505,CE$3,実績!$AI$6:$AI$505,"&lt;="&amp;$A61,実績!$AJ$6:$AJ$505,"&gt;"&amp;$A61,実績!$AK$6:$AK$505,"○")&gt;0,1,0))</f>
        <v>0</v>
      </c>
      <c r="CF61" s="39" t="n">
        <f aca="false">IF(CF$4=0,0,IF(COUNTIFS(実績!$W$6:$W$505,CF$3,実績!$AI$6:$AI$505,"&lt;="&amp;$A61,実績!$AJ$6:$AJ$505,"&gt;"&amp;$A61,実績!$AK$6:$AK$505,"○")&gt;0,1,0))</f>
        <v>0</v>
      </c>
      <c r="CG61" s="39" t="n">
        <f aca="false">IF(CG$4=0,0,IF(COUNTIFS(実績!$W$6:$W$505,CG$3,実績!$AI$6:$AI$505,"&lt;="&amp;$A61,実績!$AJ$6:$AJ$505,"&gt;"&amp;$A61,実績!$AK$6:$AK$505,"○")&gt;0,1,0))</f>
        <v>0</v>
      </c>
      <c r="CH61" s="39" t="n">
        <f aca="false">IF(CH$4=0,0,IF(COUNTIFS(実績!$W$6:$W$505,CH$3,実績!$AI$6:$AI$505,"&lt;="&amp;$A61,実績!$AJ$6:$AJ$505,"&gt;"&amp;$A61,実績!$AK$6:$AK$505,"○")&gt;0,1,0))</f>
        <v>0</v>
      </c>
      <c r="CI61" s="39" t="n">
        <f aca="false">IF(CI$4=0,0,IF(COUNTIFS(実績!$W$6:$W$505,CI$3,実績!$AI$6:$AI$505,"&lt;="&amp;$A61,実績!$AJ$6:$AJ$505,"&gt;"&amp;$A61,実績!$AK$6:$AK$505,"○")&gt;0,1,0))</f>
        <v>0</v>
      </c>
      <c r="CJ61" s="39" t="n">
        <f aca="false">IF(CJ$4=0,0,IF(COUNTIFS(実績!$W$6:$W$505,CJ$3,実績!$AI$6:$AI$505,"&lt;="&amp;$A61,実績!$AJ$6:$AJ$505,"&gt;"&amp;$A61,実績!$AK$6:$AK$505,"○")&gt;0,1,0))</f>
        <v>0</v>
      </c>
      <c r="CK61" s="39" t="n">
        <f aca="false">IF(CK$4=0,0,IF(COUNTIFS(実績!$W$6:$W$505,CK$3,実績!$AI$6:$AI$505,"&lt;="&amp;$A61,実績!$AJ$6:$AJ$505,"&gt;"&amp;$A61,実績!$AK$6:$AK$505,"○")&gt;0,1,0))</f>
        <v>0</v>
      </c>
      <c r="CL61" s="39" t="n">
        <f aca="false">IF(CL$4=0,0,IF(COUNTIFS(実績!$W$6:$W$505,CL$3,実績!$AI$6:$AI$505,"&lt;="&amp;$A61,実績!$AJ$6:$AJ$505,"&gt;"&amp;$A61,実績!$AK$6:$AK$505,"○")&gt;0,1,0))</f>
        <v>0</v>
      </c>
      <c r="CM61" s="39" t="n">
        <f aca="false">IF(CM$4=0,0,IF(COUNTIFS(実績!$W$6:$W$505,CM$3,実績!$AI$6:$AI$505,"&lt;="&amp;$A61,実績!$AJ$6:$AJ$505,"&gt;"&amp;$A61,実績!$AK$6:$AK$505,"○")&gt;0,1,0))</f>
        <v>0</v>
      </c>
      <c r="CN61" s="39" t="n">
        <f aca="false">IF(CN$4=0,0,IF(COUNTIFS(実績!$W$6:$W$505,CN$3,実績!$AI$6:$AI$505,"&lt;="&amp;$A61,実績!$AJ$6:$AJ$505,"&gt;"&amp;$A61,実績!$AK$6:$AK$505,"○")&gt;0,1,0))</f>
        <v>0</v>
      </c>
      <c r="CO61" s="39" t="n">
        <f aca="false">IF(CO$4=0,0,IF(COUNTIFS(実績!$W$6:$W$505,CO$3,実績!$AI$6:$AI$505,"&lt;="&amp;$A61,実績!$AJ$6:$AJ$505,"&gt;"&amp;$A61,実績!$AK$6:$AK$505,"○")&gt;0,1,0))</f>
        <v>0</v>
      </c>
      <c r="CP61" s="39" t="n">
        <f aca="false">IF(CP$4=0,0,IF(COUNTIFS(実績!$W$6:$W$505,CP$3,実績!$AI$6:$AI$505,"&lt;="&amp;$A61,実績!$AJ$6:$AJ$505,"&gt;"&amp;$A61,実績!$AK$6:$AK$505,"○")&gt;0,1,0))</f>
        <v>0</v>
      </c>
      <c r="CQ61" s="39" t="n">
        <f aca="false">IF(CQ$4=0,0,IF(COUNTIFS(実績!$W$6:$W$505,CQ$3,実績!$AI$6:$AI$505,"&lt;="&amp;$A61,実績!$AJ$6:$AJ$505,"&gt;"&amp;$A61,実績!$AK$6:$AK$505,"○")&gt;0,1,0))</f>
        <v>0</v>
      </c>
      <c r="CR61" s="39" t="n">
        <f aca="false">IF(CR$4=0,0,IF(COUNTIFS(実績!$W$6:$W$505,CR$3,実績!$AI$6:$AI$505,"&lt;="&amp;$A61,実績!$AJ$6:$AJ$505,"&gt;"&amp;$A61,実績!$AK$6:$AK$505,"○")&gt;0,1,0))</f>
        <v>0</v>
      </c>
      <c r="CS61" s="39" t="n">
        <f aca="false">IF(CS$4=0,0,IF(COUNTIFS(実績!$W$6:$W$505,CS$3,実績!$AI$6:$AI$505,"&lt;="&amp;$A61,実績!$AJ$6:$AJ$505,"&gt;"&amp;$A61,実績!$AK$6:$AK$505,"○")&gt;0,1,0))</f>
        <v>0</v>
      </c>
      <c r="CT61" s="39" t="n">
        <f aca="false">IF(CT$4=0,0,IF(COUNTIFS(実績!$W$6:$W$505,CT$3,実績!$AI$6:$AI$505,"&lt;="&amp;$A61,実績!$AJ$6:$AJ$505,"&gt;"&amp;$A61,実績!$AK$6:$AK$505,"○")&gt;0,1,0))</f>
        <v>0</v>
      </c>
      <c r="CU61" s="39" t="n">
        <f aca="false">IF(CU$4=0,0,IF(COUNTIFS(実績!$W$6:$W$505,CU$3,実績!$AI$6:$AI$505,"&lt;="&amp;$A61,実績!$AJ$6:$AJ$505,"&gt;"&amp;$A61,実績!$AK$6:$AK$505,"○")&gt;0,1,0))</f>
        <v>0</v>
      </c>
      <c r="CV61" s="39" t="n">
        <f aca="false">IF(CV$4=0,0,IF(COUNTIFS(実績!$W$6:$W$505,CV$3,実績!$AI$6:$AI$505,"&lt;="&amp;$A61,実績!$AJ$6:$AJ$505,"&gt;"&amp;$A61,実績!$AK$6:$AK$505,"○")&gt;0,1,0))</f>
        <v>0</v>
      </c>
      <c r="CW61" s="39" t="n">
        <f aca="false">IF(CW$4=0,0,IF(COUNTIFS(実績!$W$6:$W$505,CW$3,実績!$AI$6:$AI$505,"&lt;="&amp;$A61,実績!$AJ$6:$AJ$505,"&gt;"&amp;$A61,実績!$AK$6:$AK$505,"○")&gt;0,1,0))</f>
        <v>0</v>
      </c>
      <c r="CX61" s="39" t="n">
        <f aca="false">IF(CX$4=0,0,IF(COUNTIFS(実績!$W$6:$W$505,CX$3,実績!$AI$6:$AI$505,"&lt;="&amp;$A61,実績!$AJ$6:$AJ$505,"&gt;"&amp;$A61,実績!$AK$6:$AK$505,"○")&gt;0,1,0))</f>
        <v>0</v>
      </c>
      <c r="CY61" s="39" t="n">
        <f aca="false">IF(CY$4=0,0,IF(COUNTIFS(実績!$W$6:$W$505,CY$3,実績!$AI$6:$AI$505,"&lt;="&amp;$A61,実績!$AJ$6:$AJ$505,"&gt;"&amp;$A61,実績!$AK$6:$AK$505,"○")&gt;0,1,0))</f>
        <v>0</v>
      </c>
      <c r="CZ61" s="39" t="n">
        <f aca="false">IF(CZ$4=0,0,IF(COUNTIFS(実績!$W$6:$W$505,CZ$3,実績!$AI$6:$AI$505,"&lt;="&amp;$A61,実績!$AJ$6:$AJ$505,"&gt;"&amp;$A61,実績!$AK$6:$AK$505,"○")&gt;0,1,0))</f>
        <v>0</v>
      </c>
      <c r="DA61" s="39" t="n">
        <f aca="false">IF(DA$4=0,0,IF(COUNTIFS(実績!$W$6:$W$505,DA$3,実績!$AI$6:$AI$505,"&lt;="&amp;$A61,実績!$AJ$6:$AJ$505,"&gt;"&amp;$A61,実績!$AK$6:$AK$505,"○")&gt;0,1,0))</f>
        <v>0</v>
      </c>
      <c r="DB61" s="39" t="n">
        <f aca="false">IF(DB$4=0,0,IF(COUNTIFS(実績!$W$6:$W$505,DB$3,実績!$AI$6:$AI$505,"&lt;="&amp;$A61,実績!$AJ$6:$AJ$505,"&gt;"&amp;$A61,実績!$AK$6:$AK$505,"○")&gt;0,1,0))</f>
        <v>0</v>
      </c>
      <c r="DC61" s="39" t="n">
        <f aca="false">IF(DC$4=0,0,IF(COUNTIFS(実績!$W$6:$W$505,DC$3,実績!$AI$6:$AI$505,"&lt;="&amp;$A61,実績!$AJ$6:$AJ$505,"&gt;"&amp;$A61,実績!$AK$6:$AK$505,"○")&gt;0,1,0))</f>
        <v>0</v>
      </c>
      <c r="DD61" s="39" t="n">
        <f aca="false">IF(DD$4=0,0,IF(COUNTIFS(実績!$W$6:$W$505,DD$3,実績!$AI$6:$AI$505,"&lt;="&amp;$A61,実績!$AJ$6:$AJ$505,"&gt;"&amp;$A61,実績!$AK$6:$AK$505,"○")&gt;0,1,0))</f>
        <v>0</v>
      </c>
      <c r="DE61" s="39" t="n">
        <f aca="false">IF(DE$4=0,0,IF(COUNTIFS(実績!$W$6:$W$505,DE$3,実績!$AI$6:$AI$505,"&lt;="&amp;$A61,実績!$AJ$6:$AJ$505,"&gt;"&amp;$A61,実績!$AK$6:$AK$505,"○")&gt;0,1,0))</f>
        <v>0</v>
      </c>
      <c r="DF61" s="39" t="n">
        <f aca="false">IF(DF$4=0,0,IF(COUNTIFS(実績!$W$6:$W$505,DF$3,実績!$AI$6:$AI$505,"&lt;="&amp;$A61,実績!$AJ$6:$AJ$505,"&gt;"&amp;$A61,実績!$AK$6:$AK$505,"○")&gt;0,1,0))</f>
        <v>0</v>
      </c>
      <c r="DG61" s="39" t="n">
        <f aca="false">IF(DG$4=0,0,IF(COUNTIFS(実績!$W$6:$W$505,DG$3,実績!$AI$6:$AI$505,"&lt;="&amp;$A61,実績!$AJ$6:$AJ$505,"&gt;"&amp;$A61,実績!$AK$6:$AK$505,"○")&gt;0,1,0))</f>
        <v>0</v>
      </c>
      <c r="DH61" s="39" t="n">
        <f aca="false">IF(DH$4=0,0,IF(COUNTIFS(実績!$W$6:$W$505,DH$3,実績!$AI$6:$AI$505,"&lt;="&amp;$A61,実績!$AJ$6:$AJ$505,"&gt;"&amp;$A61,実績!$AK$6:$AK$505,"○")&gt;0,1,0))</f>
        <v>0</v>
      </c>
      <c r="DI61" s="39" t="n">
        <f aca="false">IF(DI$4=0,0,IF(COUNTIFS(実績!$W$6:$W$505,DI$3,実績!$AI$6:$AI$505,"&lt;="&amp;$A61,実績!$AJ$6:$AJ$505,"&gt;"&amp;$A61,実績!$AK$6:$AK$505,"○")&gt;0,1,0))</f>
        <v>0</v>
      </c>
      <c r="DJ61" s="39" t="n">
        <f aca="false">IF(DJ$4=0,0,IF(COUNTIFS(実績!$W$6:$W$505,DJ$3,実績!$AI$6:$AI$505,"&lt;="&amp;$A61,実績!$AJ$6:$AJ$505,"&gt;"&amp;$A61,実績!$AK$6:$AK$505,"○")&gt;0,1,0))</f>
        <v>0</v>
      </c>
      <c r="DK61" s="39" t="n">
        <f aca="false">IF(DK$4=0,0,IF(COUNTIFS(実績!$W$6:$W$505,DK$3,実績!$AI$6:$AI$505,"&lt;="&amp;$A61,実績!$AJ$6:$AJ$505,"&gt;"&amp;$A61,実績!$AK$6:$AK$505,"○")&gt;0,1,0))</f>
        <v>0</v>
      </c>
      <c r="DL61" s="39" t="n">
        <f aca="false">IF(DL$4=0,0,IF(COUNTIFS(実績!$W$6:$W$505,DL$3,実績!$AI$6:$AI$505,"&lt;="&amp;$A61,実績!$AJ$6:$AJ$505,"&gt;"&amp;$A61,実績!$AK$6:$AK$505,"○")&gt;0,1,0))</f>
        <v>0</v>
      </c>
      <c r="DM61" s="39" t="n">
        <f aca="false">IF(DM$4=0,0,IF(COUNTIFS(実績!$W$6:$W$505,DM$3,実績!$AI$6:$AI$505,"&lt;="&amp;$A61,実績!$AJ$6:$AJ$505,"&gt;"&amp;$A61,実績!$AK$6:$AK$505,"○")&gt;0,1,0))</f>
        <v>0</v>
      </c>
      <c r="DN61" s="39" t="n">
        <f aca="false">IF(DN$4=0,0,IF(COUNTIFS(実績!$W$6:$W$505,DN$3,実績!$AI$6:$AI$505,"&lt;="&amp;$A61,実績!$AJ$6:$AJ$505,"&gt;"&amp;$A61,実績!$AK$6:$AK$505,"○")&gt;0,1,0))</f>
        <v>0</v>
      </c>
      <c r="DO61" s="39" t="n">
        <f aca="false">IF(DO$4=0,0,IF(COUNTIFS(実績!$W$6:$W$505,DO$3,実績!$AI$6:$AI$505,"&lt;="&amp;$A61,実績!$AJ$6:$AJ$505,"&gt;"&amp;$A61,実績!$AK$6:$AK$505,"○")&gt;0,1,0))</f>
        <v>0</v>
      </c>
      <c r="DP61" s="39" t="n">
        <f aca="false">IF(DP$4=0,0,IF(COUNTIFS(実績!$W$6:$W$505,DP$3,実績!$AI$6:$AI$505,"&lt;="&amp;$A61,実績!$AJ$6:$AJ$505,"&gt;"&amp;$A61,実績!$AK$6:$AK$505,"○")&gt;0,1,0))</f>
        <v>0</v>
      </c>
      <c r="DQ61" s="39" t="n">
        <f aca="false">IF(DQ$4=0,0,IF(COUNTIFS(実績!$W$6:$W$505,DQ$3,実績!$AI$6:$AI$505,"&lt;="&amp;$A61,実績!$AJ$6:$AJ$505,"&gt;"&amp;$A61,実績!$AK$6:$AK$505,"○")&gt;0,1,0))</f>
        <v>0</v>
      </c>
      <c r="DR61" s="39" t="n">
        <f aca="false">IF(DR$4=0,0,IF(COUNTIFS(実績!$W$6:$W$505,DR$3,実績!$AI$6:$AI$505,"&lt;="&amp;$A61,実績!$AJ$6:$AJ$505,"&gt;"&amp;$A61,実績!$AK$6:$AK$505,"○")&gt;0,1,0))</f>
        <v>0</v>
      </c>
      <c r="DS61" s="39" t="n">
        <f aca="false">SUM(C61:DR61)</f>
        <v>0</v>
      </c>
      <c r="DT61" s="39" t="n">
        <f aca="false">SUMPRODUCT((実績!$C$6:$C$505="○")*ISNUMBER(実績!$AM$6:$AM$505)*(実績!$AM$6:$AM$505&lt;=$A61)*(実績!$AN$6:$AN$505&gt;$A61))</f>
        <v>0</v>
      </c>
      <c r="DU61" s="39" t="n">
        <f aca="false">SUMIF($C$2:$DR$2,"製鉄曳船",C61:DR61)</f>
        <v>0</v>
      </c>
      <c r="DV61" s="39" t="n">
        <f aca="false">SUMIF($C$2:$DR$2,"西日本海運",C61:DR61)</f>
        <v>0</v>
      </c>
    </row>
    <row r="62" customFormat="false" ht="15" hidden="false" customHeight="false" outlineLevel="0" collapsed="false">
      <c r="A62" s="0" t="n">
        <v>280</v>
      </c>
      <c r="B62" s="38" t="n">
        <f aca="false">A62/1440</f>
        <v>0.194444444444444</v>
      </c>
      <c r="C62" s="39" t="n">
        <f aca="false">IF(C$4=0,0,IF(COUNTIFS(実績!$W$6:$W$505,C$3,実績!$AI$6:$AI$505,"&lt;="&amp;$A62,実績!$AJ$6:$AJ$505,"&gt;"&amp;$A62,実績!$AK$6:$AK$505,"○")&gt;0,1,0))</f>
        <v>0</v>
      </c>
      <c r="D62" s="39" t="n">
        <f aca="false">IF(D$4=0,0,IF(COUNTIFS(実績!$W$6:$W$505,D$3,実績!$AI$6:$AI$505,"&lt;="&amp;$A62,実績!$AJ$6:$AJ$505,"&gt;"&amp;$A62,実績!$AK$6:$AK$505,"○")&gt;0,1,0))</f>
        <v>0</v>
      </c>
      <c r="E62" s="39" t="n">
        <f aca="false">IF(E$4=0,0,IF(COUNTIFS(実績!$W$6:$W$505,E$3,実績!$AI$6:$AI$505,"&lt;="&amp;$A62,実績!$AJ$6:$AJ$505,"&gt;"&amp;$A62,実績!$AK$6:$AK$505,"○")&gt;0,1,0))</f>
        <v>0</v>
      </c>
      <c r="F62" s="39" t="n">
        <f aca="false">IF(F$4=0,0,IF(COUNTIFS(実績!$W$6:$W$505,F$3,実績!$AI$6:$AI$505,"&lt;="&amp;$A62,実績!$AJ$6:$AJ$505,"&gt;"&amp;$A62,実績!$AK$6:$AK$505,"○")&gt;0,1,0))</f>
        <v>0</v>
      </c>
      <c r="G62" s="39" t="n">
        <f aca="false">IF(G$4=0,0,IF(COUNTIFS(実績!$W$6:$W$505,G$3,実績!$AI$6:$AI$505,"&lt;="&amp;$A62,実績!$AJ$6:$AJ$505,"&gt;"&amp;$A62,実績!$AK$6:$AK$505,"○")&gt;0,1,0))</f>
        <v>0</v>
      </c>
      <c r="H62" s="39" t="n">
        <f aca="false">IF(H$4=0,0,IF(COUNTIFS(実績!$W$6:$W$505,H$3,実績!$AI$6:$AI$505,"&lt;="&amp;$A62,実績!$AJ$6:$AJ$505,"&gt;"&amp;$A62,実績!$AK$6:$AK$505,"○")&gt;0,1,0))</f>
        <v>0</v>
      </c>
      <c r="I62" s="39" t="n">
        <f aca="false">IF(I$4=0,0,IF(COUNTIFS(実績!$W$6:$W$505,I$3,実績!$AI$6:$AI$505,"&lt;="&amp;$A62,実績!$AJ$6:$AJ$505,"&gt;"&amp;$A62,実績!$AK$6:$AK$505,"○")&gt;0,1,0))</f>
        <v>0</v>
      </c>
      <c r="J62" s="39" t="n">
        <f aca="false">IF(J$4=0,0,IF(COUNTIFS(実績!$W$6:$W$505,J$3,実績!$AI$6:$AI$505,"&lt;="&amp;$A62,実績!$AJ$6:$AJ$505,"&gt;"&amp;$A62,実績!$AK$6:$AK$505,"○")&gt;0,1,0))</f>
        <v>0</v>
      </c>
      <c r="K62" s="39" t="n">
        <f aca="false">IF(K$4=0,0,IF(COUNTIFS(実績!$W$6:$W$505,K$3,実績!$AI$6:$AI$505,"&lt;="&amp;$A62,実績!$AJ$6:$AJ$505,"&gt;"&amp;$A62,実績!$AK$6:$AK$505,"○")&gt;0,1,0))</f>
        <v>0</v>
      </c>
      <c r="L62" s="39" t="n">
        <f aca="false">IF(L$4=0,0,IF(COUNTIFS(実績!$W$6:$W$505,L$3,実績!$AI$6:$AI$505,"&lt;="&amp;$A62,実績!$AJ$6:$AJ$505,"&gt;"&amp;$A62,実績!$AK$6:$AK$505,"○")&gt;0,1,0))</f>
        <v>0</v>
      </c>
      <c r="M62" s="39" t="n">
        <f aca="false">IF(M$4=0,0,IF(COUNTIFS(実績!$W$6:$W$505,M$3,実績!$AI$6:$AI$505,"&lt;="&amp;$A62,実績!$AJ$6:$AJ$505,"&gt;"&amp;$A62,実績!$AK$6:$AK$505,"○")&gt;0,1,0))</f>
        <v>0</v>
      </c>
      <c r="N62" s="39" t="n">
        <f aca="false">IF(N$4=0,0,IF(COUNTIFS(実績!$W$6:$W$505,N$3,実績!$AI$6:$AI$505,"&lt;="&amp;$A62,実績!$AJ$6:$AJ$505,"&gt;"&amp;$A62,実績!$AK$6:$AK$505,"○")&gt;0,1,0))</f>
        <v>0</v>
      </c>
      <c r="O62" s="39" t="n">
        <f aca="false">IF(O$4=0,0,IF(COUNTIFS(実績!$W$6:$W$505,O$3,実績!$AI$6:$AI$505,"&lt;="&amp;$A62,実績!$AJ$6:$AJ$505,"&gt;"&amp;$A62,実績!$AK$6:$AK$505,"○")&gt;0,1,0))</f>
        <v>0</v>
      </c>
      <c r="P62" s="39" t="n">
        <f aca="false">IF(P$4=0,0,IF(COUNTIFS(実績!$W$6:$W$505,P$3,実績!$AI$6:$AI$505,"&lt;="&amp;$A62,実績!$AJ$6:$AJ$505,"&gt;"&amp;$A62,実績!$AK$6:$AK$505,"○")&gt;0,1,0))</f>
        <v>0</v>
      </c>
      <c r="Q62" s="39" t="n">
        <f aca="false">IF(Q$4=0,0,IF(COUNTIFS(実績!$W$6:$W$505,Q$3,実績!$AI$6:$AI$505,"&lt;="&amp;$A62,実績!$AJ$6:$AJ$505,"&gt;"&amp;$A62,実績!$AK$6:$AK$505,"○")&gt;0,1,0))</f>
        <v>0</v>
      </c>
      <c r="R62" s="39" t="n">
        <f aca="false">IF(R$4=0,0,IF(COUNTIFS(実績!$W$6:$W$505,R$3,実績!$AI$6:$AI$505,"&lt;="&amp;$A62,実績!$AJ$6:$AJ$505,"&gt;"&amp;$A62,実績!$AK$6:$AK$505,"○")&gt;0,1,0))</f>
        <v>0</v>
      </c>
      <c r="S62" s="39" t="n">
        <f aca="false">IF(S$4=0,0,IF(COUNTIFS(実績!$W$6:$W$505,S$3,実績!$AI$6:$AI$505,"&lt;="&amp;$A62,実績!$AJ$6:$AJ$505,"&gt;"&amp;$A62,実績!$AK$6:$AK$505,"○")&gt;0,1,0))</f>
        <v>0</v>
      </c>
      <c r="T62" s="39" t="n">
        <f aca="false">IF(T$4=0,0,IF(COUNTIFS(実績!$W$6:$W$505,T$3,実績!$AI$6:$AI$505,"&lt;="&amp;$A62,実績!$AJ$6:$AJ$505,"&gt;"&amp;$A62,実績!$AK$6:$AK$505,"○")&gt;0,1,0))</f>
        <v>0</v>
      </c>
      <c r="U62" s="39" t="n">
        <f aca="false">IF(U$4=0,0,IF(COUNTIFS(実績!$W$6:$W$505,U$3,実績!$AI$6:$AI$505,"&lt;="&amp;$A62,実績!$AJ$6:$AJ$505,"&gt;"&amp;$A62,実績!$AK$6:$AK$505,"○")&gt;0,1,0))</f>
        <v>0</v>
      </c>
      <c r="V62" s="39" t="n">
        <f aca="false">IF(V$4=0,0,IF(COUNTIFS(実績!$W$6:$W$505,V$3,実績!$AI$6:$AI$505,"&lt;="&amp;$A62,実績!$AJ$6:$AJ$505,"&gt;"&amp;$A62,実績!$AK$6:$AK$505,"○")&gt;0,1,0))</f>
        <v>0</v>
      </c>
      <c r="W62" s="39" t="n">
        <f aca="false">IF(W$4=0,0,IF(COUNTIFS(実績!$W$6:$W$505,W$3,実績!$AI$6:$AI$505,"&lt;="&amp;$A62,実績!$AJ$6:$AJ$505,"&gt;"&amp;$A62,実績!$AK$6:$AK$505,"○")&gt;0,1,0))</f>
        <v>0</v>
      </c>
      <c r="X62" s="39" t="n">
        <f aca="false">IF(X$4=0,0,IF(COUNTIFS(実績!$W$6:$W$505,X$3,実績!$AI$6:$AI$505,"&lt;="&amp;$A62,実績!$AJ$6:$AJ$505,"&gt;"&amp;$A62,実績!$AK$6:$AK$505,"○")&gt;0,1,0))</f>
        <v>0</v>
      </c>
      <c r="Y62" s="39" t="n">
        <f aca="false">IF(Y$4=0,0,IF(COUNTIFS(実績!$W$6:$W$505,Y$3,実績!$AI$6:$AI$505,"&lt;="&amp;$A62,実績!$AJ$6:$AJ$505,"&gt;"&amp;$A62,実績!$AK$6:$AK$505,"○")&gt;0,1,0))</f>
        <v>0</v>
      </c>
      <c r="Z62" s="39" t="n">
        <f aca="false">IF(Z$4=0,0,IF(COUNTIFS(実績!$W$6:$W$505,Z$3,実績!$AI$6:$AI$505,"&lt;="&amp;$A62,実績!$AJ$6:$AJ$505,"&gt;"&amp;$A62,実績!$AK$6:$AK$505,"○")&gt;0,1,0))</f>
        <v>0</v>
      </c>
      <c r="AA62" s="39" t="n">
        <f aca="false">IF(AA$4=0,0,IF(COUNTIFS(実績!$W$6:$W$505,AA$3,実績!$AI$6:$AI$505,"&lt;="&amp;$A62,実績!$AJ$6:$AJ$505,"&gt;"&amp;$A62,実績!$AK$6:$AK$505,"○")&gt;0,1,0))</f>
        <v>0</v>
      </c>
      <c r="AB62" s="39" t="n">
        <f aca="false">IF(AB$4=0,0,IF(COUNTIFS(実績!$W$6:$W$505,AB$3,実績!$AI$6:$AI$505,"&lt;="&amp;$A62,実績!$AJ$6:$AJ$505,"&gt;"&amp;$A62,実績!$AK$6:$AK$505,"○")&gt;0,1,0))</f>
        <v>0</v>
      </c>
      <c r="AC62" s="39" t="n">
        <f aca="false">IF(AC$4=0,0,IF(COUNTIFS(実績!$W$6:$W$505,AC$3,実績!$AI$6:$AI$505,"&lt;="&amp;$A62,実績!$AJ$6:$AJ$505,"&gt;"&amp;$A62,実績!$AK$6:$AK$505,"○")&gt;0,1,0))</f>
        <v>0</v>
      </c>
      <c r="AD62" s="39" t="n">
        <f aca="false">IF(AD$4=0,0,IF(COUNTIFS(実績!$W$6:$W$505,AD$3,実績!$AI$6:$AI$505,"&lt;="&amp;$A62,実績!$AJ$6:$AJ$505,"&gt;"&amp;$A62,実績!$AK$6:$AK$505,"○")&gt;0,1,0))</f>
        <v>0</v>
      </c>
      <c r="AE62" s="39" t="n">
        <f aca="false">IF(AE$4=0,0,IF(COUNTIFS(実績!$W$6:$W$505,AE$3,実績!$AI$6:$AI$505,"&lt;="&amp;$A62,実績!$AJ$6:$AJ$505,"&gt;"&amp;$A62,実績!$AK$6:$AK$505,"○")&gt;0,1,0))</f>
        <v>0</v>
      </c>
      <c r="AF62" s="39" t="n">
        <f aca="false">IF(AF$4=0,0,IF(COUNTIFS(実績!$W$6:$W$505,AF$3,実績!$AI$6:$AI$505,"&lt;="&amp;$A62,実績!$AJ$6:$AJ$505,"&gt;"&amp;$A62,実績!$AK$6:$AK$505,"○")&gt;0,1,0))</f>
        <v>0</v>
      </c>
      <c r="AG62" s="39" t="n">
        <f aca="false">IF(AG$4=0,0,IF(COUNTIFS(実績!$W$6:$W$505,AG$3,実績!$AI$6:$AI$505,"&lt;="&amp;$A62,実績!$AJ$6:$AJ$505,"&gt;"&amp;$A62,実績!$AK$6:$AK$505,"○")&gt;0,1,0))</f>
        <v>0</v>
      </c>
      <c r="AH62" s="39" t="n">
        <f aca="false">IF(AH$4=0,0,IF(COUNTIFS(実績!$W$6:$W$505,AH$3,実績!$AI$6:$AI$505,"&lt;="&amp;$A62,実績!$AJ$6:$AJ$505,"&gt;"&amp;$A62,実績!$AK$6:$AK$505,"○")&gt;0,1,0))</f>
        <v>0</v>
      </c>
      <c r="AI62" s="39" t="n">
        <f aca="false">IF(AI$4=0,0,IF(COUNTIFS(実績!$W$6:$W$505,AI$3,実績!$AI$6:$AI$505,"&lt;="&amp;$A62,実績!$AJ$6:$AJ$505,"&gt;"&amp;$A62,実績!$AK$6:$AK$505,"○")&gt;0,1,0))</f>
        <v>0</v>
      </c>
      <c r="AJ62" s="39" t="n">
        <f aca="false">IF(AJ$4=0,0,IF(COUNTIFS(実績!$W$6:$W$505,AJ$3,実績!$AI$6:$AI$505,"&lt;="&amp;$A62,実績!$AJ$6:$AJ$505,"&gt;"&amp;$A62,実績!$AK$6:$AK$505,"○")&gt;0,1,0))</f>
        <v>0</v>
      </c>
      <c r="AK62" s="39" t="n">
        <f aca="false">IF(AK$4=0,0,IF(COUNTIFS(実績!$W$6:$W$505,AK$3,実績!$AI$6:$AI$505,"&lt;="&amp;$A62,実績!$AJ$6:$AJ$505,"&gt;"&amp;$A62,実績!$AK$6:$AK$505,"○")&gt;0,1,0))</f>
        <v>0</v>
      </c>
      <c r="AL62" s="39" t="n">
        <f aca="false">IF(AL$4=0,0,IF(COUNTIFS(実績!$W$6:$W$505,AL$3,実績!$AI$6:$AI$505,"&lt;="&amp;$A62,実績!$AJ$6:$AJ$505,"&gt;"&amp;$A62,実績!$AK$6:$AK$505,"○")&gt;0,1,0))</f>
        <v>0</v>
      </c>
      <c r="AM62" s="39" t="n">
        <f aca="false">IF(AM$4=0,0,IF(COUNTIFS(実績!$W$6:$W$505,AM$3,実績!$AI$6:$AI$505,"&lt;="&amp;$A62,実績!$AJ$6:$AJ$505,"&gt;"&amp;$A62,実績!$AK$6:$AK$505,"○")&gt;0,1,0))</f>
        <v>0</v>
      </c>
      <c r="AN62" s="39" t="n">
        <f aca="false">IF(AN$4=0,0,IF(COUNTIFS(実績!$W$6:$W$505,AN$3,実績!$AI$6:$AI$505,"&lt;="&amp;$A62,実績!$AJ$6:$AJ$505,"&gt;"&amp;$A62,実績!$AK$6:$AK$505,"○")&gt;0,1,0))</f>
        <v>0</v>
      </c>
      <c r="AO62" s="39" t="n">
        <f aca="false">IF(AO$4=0,0,IF(COUNTIFS(実績!$W$6:$W$505,AO$3,実績!$AI$6:$AI$505,"&lt;="&amp;$A62,実績!$AJ$6:$AJ$505,"&gt;"&amp;$A62,実績!$AK$6:$AK$505,"○")&gt;0,1,0))</f>
        <v>0</v>
      </c>
      <c r="AP62" s="39" t="n">
        <f aca="false">IF(AP$4=0,0,IF(COUNTIFS(実績!$W$6:$W$505,AP$3,実績!$AI$6:$AI$505,"&lt;="&amp;$A62,実績!$AJ$6:$AJ$505,"&gt;"&amp;$A62,実績!$AK$6:$AK$505,"○")&gt;0,1,0))</f>
        <v>0</v>
      </c>
      <c r="AQ62" s="39" t="n">
        <f aca="false">IF(AQ$4=0,0,IF(COUNTIFS(実績!$W$6:$W$505,AQ$3,実績!$AI$6:$AI$505,"&lt;="&amp;$A62,実績!$AJ$6:$AJ$505,"&gt;"&amp;$A62,実績!$AK$6:$AK$505,"○")&gt;0,1,0))</f>
        <v>0</v>
      </c>
      <c r="AR62" s="39" t="n">
        <f aca="false">IF(AR$4=0,0,IF(COUNTIFS(実績!$W$6:$W$505,AR$3,実績!$AI$6:$AI$505,"&lt;="&amp;$A62,実績!$AJ$6:$AJ$505,"&gt;"&amp;$A62,実績!$AK$6:$AK$505,"○")&gt;0,1,0))</f>
        <v>0</v>
      </c>
      <c r="AS62" s="39" t="n">
        <f aca="false">IF(AS$4=0,0,IF(COUNTIFS(実績!$W$6:$W$505,AS$3,実績!$AI$6:$AI$505,"&lt;="&amp;$A62,実績!$AJ$6:$AJ$505,"&gt;"&amp;$A62,実績!$AK$6:$AK$505,"○")&gt;0,1,0))</f>
        <v>0</v>
      </c>
      <c r="AT62" s="39" t="n">
        <f aca="false">IF(AT$4=0,0,IF(COUNTIFS(実績!$W$6:$W$505,AT$3,実績!$AI$6:$AI$505,"&lt;="&amp;$A62,実績!$AJ$6:$AJ$505,"&gt;"&amp;$A62,実績!$AK$6:$AK$505,"○")&gt;0,1,0))</f>
        <v>0</v>
      </c>
      <c r="AU62" s="39" t="n">
        <f aca="false">IF(AU$4=0,0,IF(COUNTIFS(実績!$W$6:$W$505,AU$3,実績!$AI$6:$AI$505,"&lt;="&amp;$A62,実績!$AJ$6:$AJ$505,"&gt;"&amp;$A62,実績!$AK$6:$AK$505,"○")&gt;0,1,0))</f>
        <v>0</v>
      </c>
      <c r="AV62" s="39" t="n">
        <f aca="false">IF(AV$4=0,0,IF(COUNTIFS(実績!$W$6:$W$505,AV$3,実績!$AI$6:$AI$505,"&lt;="&amp;$A62,実績!$AJ$6:$AJ$505,"&gt;"&amp;$A62,実績!$AK$6:$AK$505,"○")&gt;0,1,0))</f>
        <v>0</v>
      </c>
      <c r="AW62" s="39" t="n">
        <f aca="false">IF(AW$4=0,0,IF(COUNTIFS(実績!$W$6:$W$505,AW$3,実績!$AI$6:$AI$505,"&lt;="&amp;$A62,実績!$AJ$6:$AJ$505,"&gt;"&amp;$A62,実績!$AK$6:$AK$505,"○")&gt;0,1,0))</f>
        <v>0</v>
      </c>
      <c r="AX62" s="39" t="n">
        <f aca="false">IF(AX$4=0,0,IF(COUNTIFS(実績!$W$6:$W$505,AX$3,実績!$AI$6:$AI$505,"&lt;="&amp;$A62,実績!$AJ$6:$AJ$505,"&gt;"&amp;$A62,実績!$AK$6:$AK$505,"○")&gt;0,1,0))</f>
        <v>0</v>
      </c>
      <c r="AY62" s="39" t="n">
        <f aca="false">IF(AY$4=0,0,IF(COUNTIFS(実績!$W$6:$W$505,AY$3,実績!$AI$6:$AI$505,"&lt;="&amp;$A62,実績!$AJ$6:$AJ$505,"&gt;"&amp;$A62,実績!$AK$6:$AK$505,"○")&gt;0,1,0))</f>
        <v>0</v>
      </c>
      <c r="AZ62" s="39" t="n">
        <f aca="false">IF(AZ$4=0,0,IF(COUNTIFS(実績!$W$6:$W$505,AZ$3,実績!$AI$6:$AI$505,"&lt;="&amp;$A62,実績!$AJ$6:$AJ$505,"&gt;"&amp;$A62,実績!$AK$6:$AK$505,"○")&gt;0,1,0))</f>
        <v>0</v>
      </c>
      <c r="BA62" s="39" t="n">
        <f aca="false">IF(BA$4=0,0,IF(COUNTIFS(実績!$W$6:$W$505,BA$3,実績!$AI$6:$AI$505,"&lt;="&amp;$A62,実績!$AJ$6:$AJ$505,"&gt;"&amp;$A62,実績!$AK$6:$AK$505,"○")&gt;0,1,0))</f>
        <v>0</v>
      </c>
      <c r="BB62" s="39" t="n">
        <f aca="false">IF(BB$4=0,0,IF(COUNTIFS(実績!$W$6:$W$505,BB$3,実績!$AI$6:$AI$505,"&lt;="&amp;$A62,実績!$AJ$6:$AJ$505,"&gt;"&amp;$A62,実績!$AK$6:$AK$505,"○")&gt;0,1,0))</f>
        <v>0</v>
      </c>
      <c r="BC62" s="39" t="n">
        <f aca="false">IF(BC$4=0,0,IF(COUNTIFS(実績!$W$6:$W$505,BC$3,実績!$AI$6:$AI$505,"&lt;="&amp;$A62,実績!$AJ$6:$AJ$505,"&gt;"&amp;$A62,実績!$AK$6:$AK$505,"○")&gt;0,1,0))</f>
        <v>0</v>
      </c>
      <c r="BD62" s="39" t="n">
        <f aca="false">IF(BD$4=0,0,IF(COUNTIFS(実績!$W$6:$W$505,BD$3,実績!$AI$6:$AI$505,"&lt;="&amp;$A62,実績!$AJ$6:$AJ$505,"&gt;"&amp;$A62,実績!$AK$6:$AK$505,"○")&gt;0,1,0))</f>
        <v>0</v>
      </c>
      <c r="BE62" s="39" t="n">
        <f aca="false">IF(BE$4=0,0,IF(COUNTIFS(実績!$W$6:$W$505,BE$3,実績!$AI$6:$AI$505,"&lt;="&amp;$A62,実績!$AJ$6:$AJ$505,"&gt;"&amp;$A62,実績!$AK$6:$AK$505,"○")&gt;0,1,0))</f>
        <v>0</v>
      </c>
      <c r="BF62" s="39" t="n">
        <f aca="false">IF(BF$4=0,0,IF(COUNTIFS(実績!$W$6:$W$505,BF$3,実績!$AI$6:$AI$505,"&lt;="&amp;$A62,実績!$AJ$6:$AJ$505,"&gt;"&amp;$A62,実績!$AK$6:$AK$505,"○")&gt;0,1,0))</f>
        <v>0</v>
      </c>
      <c r="BG62" s="39" t="n">
        <f aca="false">IF(BG$4=0,0,IF(COUNTIFS(実績!$W$6:$W$505,BG$3,実績!$AI$6:$AI$505,"&lt;="&amp;$A62,実績!$AJ$6:$AJ$505,"&gt;"&amp;$A62,実績!$AK$6:$AK$505,"○")&gt;0,1,0))</f>
        <v>0</v>
      </c>
      <c r="BH62" s="39" t="n">
        <f aca="false">IF(BH$4=0,0,IF(COUNTIFS(実績!$W$6:$W$505,BH$3,実績!$AI$6:$AI$505,"&lt;="&amp;$A62,実績!$AJ$6:$AJ$505,"&gt;"&amp;$A62,実績!$AK$6:$AK$505,"○")&gt;0,1,0))</f>
        <v>0</v>
      </c>
      <c r="BI62" s="39" t="n">
        <f aca="false">IF(BI$4=0,0,IF(COUNTIFS(実績!$W$6:$W$505,BI$3,実績!$AI$6:$AI$505,"&lt;="&amp;$A62,実績!$AJ$6:$AJ$505,"&gt;"&amp;$A62,実績!$AK$6:$AK$505,"○")&gt;0,1,0))</f>
        <v>0</v>
      </c>
      <c r="BJ62" s="39" t="n">
        <f aca="false">IF(BJ$4=0,0,IF(COUNTIFS(実績!$W$6:$W$505,BJ$3,実績!$AI$6:$AI$505,"&lt;="&amp;$A62,実績!$AJ$6:$AJ$505,"&gt;"&amp;$A62,実績!$AK$6:$AK$505,"○")&gt;0,1,0))</f>
        <v>0</v>
      </c>
      <c r="BK62" s="39" t="n">
        <f aca="false">IF(BK$4=0,0,IF(COUNTIFS(実績!$W$6:$W$505,BK$3,実績!$AI$6:$AI$505,"&lt;="&amp;$A62,実績!$AJ$6:$AJ$505,"&gt;"&amp;$A62,実績!$AK$6:$AK$505,"○")&gt;0,1,0))</f>
        <v>0</v>
      </c>
      <c r="BL62" s="39" t="n">
        <f aca="false">IF(BL$4=0,0,IF(COUNTIFS(実績!$W$6:$W$505,BL$3,実績!$AI$6:$AI$505,"&lt;="&amp;$A62,実績!$AJ$6:$AJ$505,"&gt;"&amp;$A62,実績!$AK$6:$AK$505,"○")&gt;0,1,0))</f>
        <v>0</v>
      </c>
      <c r="BM62" s="39" t="n">
        <f aca="false">IF(BM$4=0,0,IF(COUNTIFS(実績!$W$6:$W$505,BM$3,実績!$AI$6:$AI$505,"&lt;="&amp;$A62,実績!$AJ$6:$AJ$505,"&gt;"&amp;$A62,実績!$AK$6:$AK$505,"○")&gt;0,1,0))</f>
        <v>0</v>
      </c>
      <c r="BN62" s="39" t="n">
        <f aca="false">IF(BN$4=0,0,IF(COUNTIFS(実績!$W$6:$W$505,BN$3,実績!$AI$6:$AI$505,"&lt;="&amp;$A62,実績!$AJ$6:$AJ$505,"&gt;"&amp;$A62,実績!$AK$6:$AK$505,"○")&gt;0,1,0))</f>
        <v>0</v>
      </c>
      <c r="BO62" s="39" t="n">
        <f aca="false">IF(BO$4=0,0,IF(COUNTIFS(実績!$W$6:$W$505,BO$3,実績!$AI$6:$AI$505,"&lt;="&amp;$A62,実績!$AJ$6:$AJ$505,"&gt;"&amp;$A62,実績!$AK$6:$AK$505,"○")&gt;0,1,0))</f>
        <v>0</v>
      </c>
      <c r="BP62" s="39" t="n">
        <f aca="false">IF(BP$4=0,0,IF(COUNTIFS(実績!$W$6:$W$505,BP$3,実績!$AI$6:$AI$505,"&lt;="&amp;$A62,実績!$AJ$6:$AJ$505,"&gt;"&amp;$A62,実績!$AK$6:$AK$505,"○")&gt;0,1,0))</f>
        <v>0</v>
      </c>
      <c r="BQ62" s="39" t="n">
        <f aca="false">IF(BQ$4=0,0,IF(COUNTIFS(実績!$W$6:$W$505,BQ$3,実績!$AI$6:$AI$505,"&lt;="&amp;$A62,実績!$AJ$6:$AJ$505,"&gt;"&amp;$A62,実績!$AK$6:$AK$505,"○")&gt;0,1,0))</f>
        <v>0</v>
      </c>
      <c r="BR62" s="39" t="n">
        <f aca="false">IF(BR$4=0,0,IF(COUNTIFS(実績!$W$6:$W$505,BR$3,実績!$AI$6:$AI$505,"&lt;="&amp;$A62,実績!$AJ$6:$AJ$505,"&gt;"&amp;$A62,実績!$AK$6:$AK$505,"○")&gt;0,1,0))</f>
        <v>0</v>
      </c>
      <c r="BS62" s="39" t="n">
        <f aca="false">IF(BS$4=0,0,IF(COUNTIFS(実績!$W$6:$W$505,BS$3,実績!$AI$6:$AI$505,"&lt;="&amp;$A62,実績!$AJ$6:$AJ$505,"&gt;"&amp;$A62,実績!$AK$6:$AK$505,"○")&gt;0,1,0))</f>
        <v>0</v>
      </c>
      <c r="BT62" s="39" t="n">
        <f aca="false">IF(BT$4=0,0,IF(COUNTIFS(実績!$W$6:$W$505,BT$3,実績!$AI$6:$AI$505,"&lt;="&amp;$A62,実績!$AJ$6:$AJ$505,"&gt;"&amp;$A62,実績!$AK$6:$AK$505,"○")&gt;0,1,0))</f>
        <v>0</v>
      </c>
      <c r="BU62" s="39" t="n">
        <f aca="false">IF(BU$4=0,0,IF(COUNTIFS(実績!$W$6:$W$505,BU$3,実績!$AI$6:$AI$505,"&lt;="&amp;$A62,実績!$AJ$6:$AJ$505,"&gt;"&amp;$A62,実績!$AK$6:$AK$505,"○")&gt;0,1,0))</f>
        <v>0</v>
      </c>
      <c r="BV62" s="39" t="n">
        <f aca="false">IF(BV$4=0,0,IF(COUNTIFS(実績!$W$6:$W$505,BV$3,実績!$AI$6:$AI$505,"&lt;="&amp;$A62,実績!$AJ$6:$AJ$505,"&gt;"&amp;$A62,実績!$AK$6:$AK$505,"○")&gt;0,1,0))</f>
        <v>0</v>
      </c>
      <c r="BW62" s="39" t="n">
        <f aca="false">IF(BW$4=0,0,IF(COUNTIFS(実績!$W$6:$W$505,BW$3,実績!$AI$6:$AI$505,"&lt;="&amp;$A62,実績!$AJ$6:$AJ$505,"&gt;"&amp;$A62,実績!$AK$6:$AK$505,"○")&gt;0,1,0))</f>
        <v>0</v>
      </c>
      <c r="BX62" s="39" t="n">
        <f aca="false">IF(BX$4=0,0,IF(COUNTIFS(実績!$W$6:$W$505,BX$3,実績!$AI$6:$AI$505,"&lt;="&amp;$A62,実績!$AJ$6:$AJ$505,"&gt;"&amp;$A62,実績!$AK$6:$AK$505,"○")&gt;0,1,0))</f>
        <v>0</v>
      </c>
      <c r="BY62" s="39" t="n">
        <f aca="false">IF(BY$4=0,0,IF(COUNTIFS(実績!$W$6:$W$505,BY$3,実績!$AI$6:$AI$505,"&lt;="&amp;$A62,実績!$AJ$6:$AJ$505,"&gt;"&amp;$A62,実績!$AK$6:$AK$505,"○")&gt;0,1,0))</f>
        <v>0</v>
      </c>
      <c r="BZ62" s="39" t="n">
        <f aca="false">IF(BZ$4=0,0,IF(COUNTIFS(実績!$W$6:$W$505,BZ$3,実績!$AI$6:$AI$505,"&lt;="&amp;$A62,実績!$AJ$6:$AJ$505,"&gt;"&amp;$A62,実績!$AK$6:$AK$505,"○")&gt;0,1,0))</f>
        <v>0</v>
      </c>
      <c r="CA62" s="39" t="n">
        <f aca="false">IF(CA$4=0,0,IF(COUNTIFS(実績!$W$6:$W$505,CA$3,実績!$AI$6:$AI$505,"&lt;="&amp;$A62,実績!$AJ$6:$AJ$505,"&gt;"&amp;$A62,実績!$AK$6:$AK$505,"○")&gt;0,1,0))</f>
        <v>0</v>
      </c>
      <c r="CB62" s="39" t="n">
        <f aca="false">IF(CB$4=0,0,IF(COUNTIFS(実績!$W$6:$W$505,CB$3,実績!$AI$6:$AI$505,"&lt;="&amp;$A62,実績!$AJ$6:$AJ$505,"&gt;"&amp;$A62,実績!$AK$6:$AK$505,"○")&gt;0,1,0))</f>
        <v>0</v>
      </c>
      <c r="CC62" s="39" t="n">
        <f aca="false">IF(CC$4=0,0,IF(COUNTIFS(実績!$W$6:$W$505,CC$3,実績!$AI$6:$AI$505,"&lt;="&amp;$A62,実績!$AJ$6:$AJ$505,"&gt;"&amp;$A62,実績!$AK$6:$AK$505,"○")&gt;0,1,0))</f>
        <v>0</v>
      </c>
      <c r="CD62" s="39" t="n">
        <f aca="false">IF(CD$4=0,0,IF(COUNTIFS(実績!$W$6:$W$505,CD$3,実績!$AI$6:$AI$505,"&lt;="&amp;$A62,実績!$AJ$6:$AJ$505,"&gt;"&amp;$A62,実績!$AK$6:$AK$505,"○")&gt;0,1,0))</f>
        <v>0</v>
      </c>
      <c r="CE62" s="39" t="n">
        <f aca="false">IF(CE$4=0,0,IF(COUNTIFS(実績!$W$6:$W$505,CE$3,実績!$AI$6:$AI$505,"&lt;="&amp;$A62,実績!$AJ$6:$AJ$505,"&gt;"&amp;$A62,実績!$AK$6:$AK$505,"○")&gt;0,1,0))</f>
        <v>0</v>
      </c>
      <c r="CF62" s="39" t="n">
        <f aca="false">IF(CF$4=0,0,IF(COUNTIFS(実績!$W$6:$W$505,CF$3,実績!$AI$6:$AI$505,"&lt;="&amp;$A62,実績!$AJ$6:$AJ$505,"&gt;"&amp;$A62,実績!$AK$6:$AK$505,"○")&gt;0,1,0))</f>
        <v>0</v>
      </c>
      <c r="CG62" s="39" t="n">
        <f aca="false">IF(CG$4=0,0,IF(COUNTIFS(実績!$W$6:$W$505,CG$3,実績!$AI$6:$AI$505,"&lt;="&amp;$A62,実績!$AJ$6:$AJ$505,"&gt;"&amp;$A62,実績!$AK$6:$AK$505,"○")&gt;0,1,0))</f>
        <v>0</v>
      </c>
      <c r="CH62" s="39" t="n">
        <f aca="false">IF(CH$4=0,0,IF(COUNTIFS(実績!$W$6:$W$505,CH$3,実績!$AI$6:$AI$505,"&lt;="&amp;$A62,実績!$AJ$6:$AJ$505,"&gt;"&amp;$A62,実績!$AK$6:$AK$505,"○")&gt;0,1,0))</f>
        <v>0</v>
      </c>
      <c r="CI62" s="39" t="n">
        <f aca="false">IF(CI$4=0,0,IF(COUNTIFS(実績!$W$6:$W$505,CI$3,実績!$AI$6:$AI$505,"&lt;="&amp;$A62,実績!$AJ$6:$AJ$505,"&gt;"&amp;$A62,実績!$AK$6:$AK$505,"○")&gt;0,1,0))</f>
        <v>0</v>
      </c>
      <c r="CJ62" s="39" t="n">
        <f aca="false">IF(CJ$4=0,0,IF(COUNTIFS(実績!$W$6:$W$505,CJ$3,実績!$AI$6:$AI$505,"&lt;="&amp;$A62,実績!$AJ$6:$AJ$505,"&gt;"&amp;$A62,実績!$AK$6:$AK$505,"○")&gt;0,1,0))</f>
        <v>0</v>
      </c>
      <c r="CK62" s="39" t="n">
        <f aca="false">IF(CK$4=0,0,IF(COUNTIFS(実績!$W$6:$W$505,CK$3,実績!$AI$6:$AI$505,"&lt;="&amp;$A62,実績!$AJ$6:$AJ$505,"&gt;"&amp;$A62,実績!$AK$6:$AK$505,"○")&gt;0,1,0))</f>
        <v>0</v>
      </c>
      <c r="CL62" s="39" t="n">
        <f aca="false">IF(CL$4=0,0,IF(COUNTIFS(実績!$W$6:$W$505,CL$3,実績!$AI$6:$AI$505,"&lt;="&amp;$A62,実績!$AJ$6:$AJ$505,"&gt;"&amp;$A62,実績!$AK$6:$AK$505,"○")&gt;0,1,0))</f>
        <v>0</v>
      </c>
      <c r="CM62" s="39" t="n">
        <f aca="false">IF(CM$4=0,0,IF(COUNTIFS(実績!$W$6:$W$505,CM$3,実績!$AI$6:$AI$505,"&lt;="&amp;$A62,実績!$AJ$6:$AJ$505,"&gt;"&amp;$A62,実績!$AK$6:$AK$505,"○")&gt;0,1,0))</f>
        <v>0</v>
      </c>
      <c r="CN62" s="39" t="n">
        <f aca="false">IF(CN$4=0,0,IF(COUNTIFS(実績!$W$6:$W$505,CN$3,実績!$AI$6:$AI$505,"&lt;="&amp;$A62,実績!$AJ$6:$AJ$505,"&gt;"&amp;$A62,実績!$AK$6:$AK$505,"○")&gt;0,1,0))</f>
        <v>0</v>
      </c>
      <c r="CO62" s="39" t="n">
        <f aca="false">IF(CO$4=0,0,IF(COUNTIFS(実績!$W$6:$W$505,CO$3,実績!$AI$6:$AI$505,"&lt;="&amp;$A62,実績!$AJ$6:$AJ$505,"&gt;"&amp;$A62,実績!$AK$6:$AK$505,"○")&gt;0,1,0))</f>
        <v>0</v>
      </c>
      <c r="CP62" s="39" t="n">
        <f aca="false">IF(CP$4=0,0,IF(COUNTIFS(実績!$W$6:$W$505,CP$3,実績!$AI$6:$AI$505,"&lt;="&amp;$A62,実績!$AJ$6:$AJ$505,"&gt;"&amp;$A62,実績!$AK$6:$AK$505,"○")&gt;0,1,0))</f>
        <v>0</v>
      </c>
      <c r="CQ62" s="39" t="n">
        <f aca="false">IF(CQ$4=0,0,IF(COUNTIFS(実績!$W$6:$W$505,CQ$3,実績!$AI$6:$AI$505,"&lt;="&amp;$A62,実績!$AJ$6:$AJ$505,"&gt;"&amp;$A62,実績!$AK$6:$AK$505,"○")&gt;0,1,0))</f>
        <v>0</v>
      </c>
      <c r="CR62" s="39" t="n">
        <f aca="false">IF(CR$4=0,0,IF(COUNTIFS(実績!$W$6:$W$505,CR$3,実績!$AI$6:$AI$505,"&lt;="&amp;$A62,実績!$AJ$6:$AJ$505,"&gt;"&amp;$A62,実績!$AK$6:$AK$505,"○")&gt;0,1,0))</f>
        <v>0</v>
      </c>
      <c r="CS62" s="39" t="n">
        <f aca="false">IF(CS$4=0,0,IF(COUNTIFS(実績!$W$6:$W$505,CS$3,実績!$AI$6:$AI$505,"&lt;="&amp;$A62,実績!$AJ$6:$AJ$505,"&gt;"&amp;$A62,実績!$AK$6:$AK$505,"○")&gt;0,1,0))</f>
        <v>0</v>
      </c>
      <c r="CT62" s="39" t="n">
        <f aca="false">IF(CT$4=0,0,IF(COUNTIFS(実績!$W$6:$W$505,CT$3,実績!$AI$6:$AI$505,"&lt;="&amp;$A62,実績!$AJ$6:$AJ$505,"&gt;"&amp;$A62,実績!$AK$6:$AK$505,"○")&gt;0,1,0))</f>
        <v>0</v>
      </c>
      <c r="CU62" s="39" t="n">
        <f aca="false">IF(CU$4=0,0,IF(COUNTIFS(実績!$W$6:$W$505,CU$3,実績!$AI$6:$AI$505,"&lt;="&amp;$A62,実績!$AJ$6:$AJ$505,"&gt;"&amp;$A62,実績!$AK$6:$AK$505,"○")&gt;0,1,0))</f>
        <v>0</v>
      </c>
      <c r="CV62" s="39" t="n">
        <f aca="false">IF(CV$4=0,0,IF(COUNTIFS(実績!$W$6:$W$505,CV$3,実績!$AI$6:$AI$505,"&lt;="&amp;$A62,実績!$AJ$6:$AJ$505,"&gt;"&amp;$A62,実績!$AK$6:$AK$505,"○")&gt;0,1,0))</f>
        <v>0</v>
      </c>
      <c r="CW62" s="39" t="n">
        <f aca="false">IF(CW$4=0,0,IF(COUNTIFS(実績!$W$6:$W$505,CW$3,実績!$AI$6:$AI$505,"&lt;="&amp;$A62,実績!$AJ$6:$AJ$505,"&gt;"&amp;$A62,実績!$AK$6:$AK$505,"○")&gt;0,1,0))</f>
        <v>0</v>
      </c>
      <c r="CX62" s="39" t="n">
        <f aca="false">IF(CX$4=0,0,IF(COUNTIFS(実績!$W$6:$W$505,CX$3,実績!$AI$6:$AI$505,"&lt;="&amp;$A62,実績!$AJ$6:$AJ$505,"&gt;"&amp;$A62,実績!$AK$6:$AK$505,"○")&gt;0,1,0))</f>
        <v>0</v>
      </c>
      <c r="CY62" s="39" t="n">
        <f aca="false">IF(CY$4=0,0,IF(COUNTIFS(実績!$W$6:$W$505,CY$3,実績!$AI$6:$AI$505,"&lt;="&amp;$A62,実績!$AJ$6:$AJ$505,"&gt;"&amp;$A62,実績!$AK$6:$AK$505,"○")&gt;0,1,0))</f>
        <v>0</v>
      </c>
      <c r="CZ62" s="39" t="n">
        <f aca="false">IF(CZ$4=0,0,IF(COUNTIFS(実績!$W$6:$W$505,CZ$3,実績!$AI$6:$AI$505,"&lt;="&amp;$A62,実績!$AJ$6:$AJ$505,"&gt;"&amp;$A62,実績!$AK$6:$AK$505,"○")&gt;0,1,0))</f>
        <v>0</v>
      </c>
      <c r="DA62" s="39" t="n">
        <f aca="false">IF(DA$4=0,0,IF(COUNTIFS(実績!$W$6:$W$505,DA$3,実績!$AI$6:$AI$505,"&lt;="&amp;$A62,実績!$AJ$6:$AJ$505,"&gt;"&amp;$A62,実績!$AK$6:$AK$505,"○")&gt;0,1,0))</f>
        <v>0</v>
      </c>
      <c r="DB62" s="39" t="n">
        <f aca="false">IF(DB$4=0,0,IF(COUNTIFS(実績!$W$6:$W$505,DB$3,実績!$AI$6:$AI$505,"&lt;="&amp;$A62,実績!$AJ$6:$AJ$505,"&gt;"&amp;$A62,実績!$AK$6:$AK$505,"○")&gt;0,1,0))</f>
        <v>0</v>
      </c>
      <c r="DC62" s="39" t="n">
        <f aca="false">IF(DC$4=0,0,IF(COUNTIFS(実績!$W$6:$W$505,DC$3,実績!$AI$6:$AI$505,"&lt;="&amp;$A62,実績!$AJ$6:$AJ$505,"&gt;"&amp;$A62,実績!$AK$6:$AK$505,"○")&gt;0,1,0))</f>
        <v>0</v>
      </c>
      <c r="DD62" s="39" t="n">
        <f aca="false">IF(DD$4=0,0,IF(COUNTIFS(実績!$W$6:$W$505,DD$3,実績!$AI$6:$AI$505,"&lt;="&amp;$A62,実績!$AJ$6:$AJ$505,"&gt;"&amp;$A62,実績!$AK$6:$AK$505,"○")&gt;0,1,0))</f>
        <v>0</v>
      </c>
      <c r="DE62" s="39" t="n">
        <f aca="false">IF(DE$4=0,0,IF(COUNTIFS(実績!$W$6:$W$505,DE$3,実績!$AI$6:$AI$505,"&lt;="&amp;$A62,実績!$AJ$6:$AJ$505,"&gt;"&amp;$A62,実績!$AK$6:$AK$505,"○")&gt;0,1,0))</f>
        <v>0</v>
      </c>
      <c r="DF62" s="39" t="n">
        <f aca="false">IF(DF$4=0,0,IF(COUNTIFS(実績!$W$6:$W$505,DF$3,実績!$AI$6:$AI$505,"&lt;="&amp;$A62,実績!$AJ$6:$AJ$505,"&gt;"&amp;$A62,実績!$AK$6:$AK$505,"○")&gt;0,1,0))</f>
        <v>0</v>
      </c>
      <c r="DG62" s="39" t="n">
        <f aca="false">IF(DG$4=0,0,IF(COUNTIFS(実績!$W$6:$W$505,DG$3,実績!$AI$6:$AI$505,"&lt;="&amp;$A62,実績!$AJ$6:$AJ$505,"&gt;"&amp;$A62,実績!$AK$6:$AK$505,"○")&gt;0,1,0))</f>
        <v>0</v>
      </c>
      <c r="DH62" s="39" t="n">
        <f aca="false">IF(DH$4=0,0,IF(COUNTIFS(実績!$W$6:$W$505,DH$3,実績!$AI$6:$AI$505,"&lt;="&amp;$A62,実績!$AJ$6:$AJ$505,"&gt;"&amp;$A62,実績!$AK$6:$AK$505,"○")&gt;0,1,0))</f>
        <v>0</v>
      </c>
      <c r="DI62" s="39" t="n">
        <f aca="false">IF(DI$4=0,0,IF(COUNTIFS(実績!$W$6:$W$505,DI$3,実績!$AI$6:$AI$505,"&lt;="&amp;$A62,実績!$AJ$6:$AJ$505,"&gt;"&amp;$A62,実績!$AK$6:$AK$505,"○")&gt;0,1,0))</f>
        <v>0</v>
      </c>
      <c r="DJ62" s="39" t="n">
        <f aca="false">IF(DJ$4=0,0,IF(COUNTIFS(実績!$W$6:$W$505,DJ$3,実績!$AI$6:$AI$505,"&lt;="&amp;$A62,実績!$AJ$6:$AJ$505,"&gt;"&amp;$A62,実績!$AK$6:$AK$505,"○")&gt;0,1,0))</f>
        <v>0</v>
      </c>
      <c r="DK62" s="39" t="n">
        <f aca="false">IF(DK$4=0,0,IF(COUNTIFS(実績!$W$6:$W$505,DK$3,実績!$AI$6:$AI$505,"&lt;="&amp;$A62,実績!$AJ$6:$AJ$505,"&gt;"&amp;$A62,実績!$AK$6:$AK$505,"○")&gt;0,1,0))</f>
        <v>0</v>
      </c>
      <c r="DL62" s="39" t="n">
        <f aca="false">IF(DL$4=0,0,IF(COUNTIFS(実績!$W$6:$W$505,DL$3,実績!$AI$6:$AI$505,"&lt;="&amp;$A62,実績!$AJ$6:$AJ$505,"&gt;"&amp;$A62,実績!$AK$6:$AK$505,"○")&gt;0,1,0))</f>
        <v>0</v>
      </c>
      <c r="DM62" s="39" t="n">
        <f aca="false">IF(DM$4=0,0,IF(COUNTIFS(実績!$W$6:$W$505,DM$3,実績!$AI$6:$AI$505,"&lt;="&amp;$A62,実績!$AJ$6:$AJ$505,"&gt;"&amp;$A62,実績!$AK$6:$AK$505,"○")&gt;0,1,0))</f>
        <v>0</v>
      </c>
      <c r="DN62" s="39" t="n">
        <f aca="false">IF(DN$4=0,0,IF(COUNTIFS(実績!$W$6:$W$505,DN$3,実績!$AI$6:$AI$505,"&lt;="&amp;$A62,実績!$AJ$6:$AJ$505,"&gt;"&amp;$A62,実績!$AK$6:$AK$505,"○")&gt;0,1,0))</f>
        <v>0</v>
      </c>
      <c r="DO62" s="39" t="n">
        <f aca="false">IF(DO$4=0,0,IF(COUNTIFS(実績!$W$6:$W$505,DO$3,実績!$AI$6:$AI$505,"&lt;="&amp;$A62,実績!$AJ$6:$AJ$505,"&gt;"&amp;$A62,実績!$AK$6:$AK$505,"○")&gt;0,1,0))</f>
        <v>0</v>
      </c>
      <c r="DP62" s="39" t="n">
        <f aca="false">IF(DP$4=0,0,IF(COUNTIFS(実績!$W$6:$W$505,DP$3,実績!$AI$6:$AI$505,"&lt;="&amp;$A62,実績!$AJ$6:$AJ$505,"&gt;"&amp;$A62,実績!$AK$6:$AK$505,"○")&gt;0,1,0))</f>
        <v>0</v>
      </c>
      <c r="DQ62" s="39" t="n">
        <f aca="false">IF(DQ$4=0,0,IF(COUNTIFS(実績!$W$6:$W$505,DQ$3,実績!$AI$6:$AI$505,"&lt;="&amp;$A62,実績!$AJ$6:$AJ$505,"&gt;"&amp;$A62,実績!$AK$6:$AK$505,"○")&gt;0,1,0))</f>
        <v>0</v>
      </c>
      <c r="DR62" s="39" t="n">
        <f aca="false">IF(DR$4=0,0,IF(COUNTIFS(実績!$W$6:$W$505,DR$3,実績!$AI$6:$AI$505,"&lt;="&amp;$A62,実績!$AJ$6:$AJ$505,"&gt;"&amp;$A62,実績!$AK$6:$AK$505,"○")&gt;0,1,0))</f>
        <v>0</v>
      </c>
      <c r="DS62" s="39" t="n">
        <f aca="false">SUM(C62:DR62)</f>
        <v>0</v>
      </c>
      <c r="DT62" s="39" t="n">
        <f aca="false">SUMPRODUCT((実績!$C$6:$C$505="○")*ISNUMBER(実績!$AM$6:$AM$505)*(実績!$AM$6:$AM$505&lt;=$A62)*(実績!$AN$6:$AN$505&gt;$A62))</f>
        <v>0</v>
      </c>
      <c r="DU62" s="39" t="n">
        <f aca="false">SUMIF($C$2:$DR$2,"製鉄曳船",C62:DR62)</f>
        <v>0</v>
      </c>
      <c r="DV62" s="39" t="n">
        <f aca="false">SUMIF($C$2:$DR$2,"西日本海運",C62:DR62)</f>
        <v>0</v>
      </c>
    </row>
    <row r="63" customFormat="false" ht="15" hidden="false" customHeight="false" outlineLevel="0" collapsed="false">
      <c r="A63" s="0" t="n">
        <v>285</v>
      </c>
      <c r="B63" s="38" t="n">
        <f aca="false">A63/1440</f>
        <v>0.197916666666667</v>
      </c>
      <c r="C63" s="39" t="n">
        <f aca="false">IF(C$4=0,0,IF(COUNTIFS(実績!$W$6:$W$505,C$3,実績!$AI$6:$AI$505,"&lt;="&amp;$A63,実績!$AJ$6:$AJ$505,"&gt;"&amp;$A63,実績!$AK$6:$AK$505,"○")&gt;0,1,0))</f>
        <v>0</v>
      </c>
      <c r="D63" s="39" t="n">
        <f aca="false">IF(D$4=0,0,IF(COUNTIFS(実績!$W$6:$W$505,D$3,実績!$AI$6:$AI$505,"&lt;="&amp;$A63,実績!$AJ$6:$AJ$505,"&gt;"&amp;$A63,実績!$AK$6:$AK$505,"○")&gt;0,1,0))</f>
        <v>0</v>
      </c>
      <c r="E63" s="39" t="n">
        <f aca="false">IF(E$4=0,0,IF(COUNTIFS(実績!$W$6:$W$505,E$3,実績!$AI$6:$AI$505,"&lt;="&amp;$A63,実績!$AJ$6:$AJ$505,"&gt;"&amp;$A63,実績!$AK$6:$AK$505,"○")&gt;0,1,0))</f>
        <v>0</v>
      </c>
      <c r="F63" s="39" t="n">
        <f aca="false">IF(F$4=0,0,IF(COUNTIFS(実績!$W$6:$W$505,F$3,実績!$AI$6:$AI$505,"&lt;="&amp;$A63,実績!$AJ$6:$AJ$505,"&gt;"&amp;$A63,実績!$AK$6:$AK$505,"○")&gt;0,1,0))</f>
        <v>0</v>
      </c>
      <c r="G63" s="39" t="n">
        <f aca="false">IF(G$4=0,0,IF(COUNTIFS(実績!$W$6:$W$505,G$3,実績!$AI$6:$AI$505,"&lt;="&amp;$A63,実績!$AJ$6:$AJ$505,"&gt;"&amp;$A63,実績!$AK$6:$AK$505,"○")&gt;0,1,0))</f>
        <v>0</v>
      </c>
      <c r="H63" s="39" t="n">
        <f aca="false">IF(H$4=0,0,IF(COUNTIFS(実績!$W$6:$W$505,H$3,実績!$AI$6:$AI$505,"&lt;="&amp;$A63,実績!$AJ$6:$AJ$505,"&gt;"&amp;$A63,実績!$AK$6:$AK$505,"○")&gt;0,1,0))</f>
        <v>0</v>
      </c>
      <c r="I63" s="39" t="n">
        <f aca="false">IF(I$4=0,0,IF(COUNTIFS(実績!$W$6:$W$505,I$3,実績!$AI$6:$AI$505,"&lt;="&amp;$A63,実績!$AJ$6:$AJ$505,"&gt;"&amp;$A63,実績!$AK$6:$AK$505,"○")&gt;0,1,0))</f>
        <v>0</v>
      </c>
      <c r="J63" s="39" t="n">
        <f aca="false">IF(J$4=0,0,IF(COUNTIFS(実績!$W$6:$W$505,J$3,実績!$AI$6:$AI$505,"&lt;="&amp;$A63,実績!$AJ$6:$AJ$505,"&gt;"&amp;$A63,実績!$AK$6:$AK$505,"○")&gt;0,1,0))</f>
        <v>0</v>
      </c>
      <c r="K63" s="39" t="n">
        <f aca="false">IF(K$4=0,0,IF(COUNTIFS(実績!$W$6:$W$505,K$3,実績!$AI$6:$AI$505,"&lt;="&amp;$A63,実績!$AJ$6:$AJ$505,"&gt;"&amp;$A63,実績!$AK$6:$AK$505,"○")&gt;0,1,0))</f>
        <v>0</v>
      </c>
      <c r="L63" s="39" t="n">
        <f aca="false">IF(L$4=0,0,IF(COUNTIFS(実績!$W$6:$W$505,L$3,実績!$AI$6:$AI$505,"&lt;="&amp;$A63,実績!$AJ$6:$AJ$505,"&gt;"&amp;$A63,実績!$AK$6:$AK$505,"○")&gt;0,1,0))</f>
        <v>0</v>
      </c>
      <c r="M63" s="39" t="n">
        <f aca="false">IF(M$4=0,0,IF(COUNTIFS(実績!$W$6:$W$505,M$3,実績!$AI$6:$AI$505,"&lt;="&amp;$A63,実績!$AJ$6:$AJ$505,"&gt;"&amp;$A63,実績!$AK$6:$AK$505,"○")&gt;0,1,0))</f>
        <v>0</v>
      </c>
      <c r="N63" s="39" t="n">
        <f aca="false">IF(N$4=0,0,IF(COUNTIFS(実績!$W$6:$W$505,N$3,実績!$AI$6:$AI$505,"&lt;="&amp;$A63,実績!$AJ$6:$AJ$505,"&gt;"&amp;$A63,実績!$AK$6:$AK$505,"○")&gt;0,1,0))</f>
        <v>0</v>
      </c>
      <c r="O63" s="39" t="n">
        <f aca="false">IF(O$4=0,0,IF(COUNTIFS(実績!$W$6:$W$505,O$3,実績!$AI$6:$AI$505,"&lt;="&amp;$A63,実績!$AJ$6:$AJ$505,"&gt;"&amp;$A63,実績!$AK$6:$AK$505,"○")&gt;0,1,0))</f>
        <v>0</v>
      </c>
      <c r="P63" s="39" t="n">
        <f aca="false">IF(P$4=0,0,IF(COUNTIFS(実績!$W$6:$W$505,P$3,実績!$AI$6:$AI$505,"&lt;="&amp;$A63,実績!$AJ$6:$AJ$505,"&gt;"&amp;$A63,実績!$AK$6:$AK$505,"○")&gt;0,1,0))</f>
        <v>0</v>
      </c>
      <c r="Q63" s="39" t="n">
        <f aca="false">IF(Q$4=0,0,IF(COUNTIFS(実績!$W$6:$W$505,Q$3,実績!$AI$6:$AI$505,"&lt;="&amp;$A63,実績!$AJ$6:$AJ$505,"&gt;"&amp;$A63,実績!$AK$6:$AK$505,"○")&gt;0,1,0))</f>
        <v>0</v>
      </c>
      <c r="R63" s="39" t="n">
        <f aca="false">IF(R$4=0,0,IF(COUNTIFS(実績!$W$6:$W$505,R$3,実績!$AI$6:$AI$505,"&lt;="&amp;$A63,実績!$AJ$6:$AJ$505,"&gt;"&amp;$A63,実績!$AK$6:$AK$505,"○")&gt;0,1,0))</f>
        <v>0</v>
      </c>
      <c r="S63" s="39" t="n">
        <f aca="false">IF(S$4=0,0,IF(COUNTIFS(実績!$W$6:$W$505,S$3,実績!$AI$6:$AI$505,"&lt;="&amp;$A63,実績!$AJ$6:$AJ$505,"&gt;"&amp;$A63,実績!$AK$6:$AK$505,"○")&gt;0,1,0))</f>
        <v>0</v>
      </c>
      <c r="T63" s="39" t="n">
        <f aca="false">IF(T$4=0,0,IF(COUNTIFS(実績!$W$6:$W$505,T$3,実績!$AI$6:$AI$505,"&lt;="&amp;$A63,実績!$AJ$6:$AJ$505,"&gt;"&amp;$A63,実績!$AK$6:$AK$505,"○")&gt;0,1,0))</f>
        <v>0</v>
      </c>
      <c r="U63" s="39" t="n">
        <f aca="false">IF(U$4=0,0,IF(COUNTIFS(実績!$W$6:$W$505,U$3,実績!$AI$6:$AI$505,"&lt;="&amp;$A63,実績!$AJ$6:$AJ$505,"&gt;"&amp;$A63,実績!$AK$6:$AK$505,"○")&gt;0,1,0))</f>
        <v>0</v>
      </c>
      <c r="V63" s="39" t="n">
        <f aca="false">IF(V$4=0,0,IF(COUNTIFS(実績!$W$6:$W$505,V$3,実績!$AI$6:$AI$505,"&lt;="&amp;$A63,実績!$AJ$6:$AJ$505,"&gt;"&amp;$A63,実績!$AK$6:$AK$505,"○")&gt;0,1,0))</f>
        <v>0</v>
      </c>
      <c r="W63" s="39" t="n">
        <f aca="false">IF(W$4=0,0,IF(COUNTIFS(実績!$W$6:$W$505,W$3,実績!$AI$6:$AI$505,"&lt;="&amp;$A63,実績!$AJ$6:$AJ$505,"&gt;"&amp;$A63,実績!$AK$6:$AK$505,"○")&gt;0,1,0))</f>
        <v>0</v>
      </c>
      <c r="X63" s="39" t="n">
        <f aca="false">IF(X$4=0,0,IF(COUNTIFS(実績!$W$6:$W$505,X$3,実績!$AI$6:$AI$505,"&lt;="&amp;$A63,実績!$AJ$6:$AJ$505,"&gt;"&amp;$A63,実績!$AK$6:$AK$505,"○")&gt;0,1,0))</f>
        <v>0</v>
      </c>
      <c r="Y63" s="39" t="n">
        <f aca="false">IF(Y$4=0,0,IF(COUNTIFS(実績!$W$6:$W$505,Y$3,実績!$AI$6:$AI$505,"&lt;="&amp;$A63,実績!$AJ$6:$AJ$505,"&gt;"&amp;$A63,実績!$AK$6:$AK$505,"○")&gt;0,1,0))</f>
        <v>0</v>
      </c>
      <c r="Z63" s="39" t="n">
        <f aca="false">IF(Z$4=0,0,IF(COUNTIFS(実績!$W$6:$W$505,Z$3,実績!$AI$6:$AI$505,"&lt;="&amp;$A63,実績!$AJ$6:$AJ$505,"&gt;"&amp;$A63,実績!$AK$6:$AK$505,"○")&gt;0,1,0))</f>
        <v>0</v>
      </c>
      <c r="AA63" s="39" t="n">
        <f aca="false">IF(AA$4=0,0,IF(COUNTIFS(実績!$W$6:$W$505,AA$3,実績!$AI$6:$AI$505,"&lt;="&amp;$A63,実績!$AJ$6:$AJ$505,"&gt;"&amp;$A63,実績!$AK$6:$AK$505,"○")&gt;0,1,0))</f>
        <v>0</v>
      </c>
      <c r="AB63" s="39" t="n">
        <f aca="false">IF(AB$4=0,0,IF(COUNTIFS(実績!$W$6:$W$505,AB$3,実績!$AI$6:$AI$505,"&lt;="&amp;$A63,実績!$AJ$6:$AJ$505,"&gt;"&amp;$A63,実績!$AK$6:$AK$505,"○")&gt;0,1,0))</f>
        <v>0</v>
      </c>
      <c r="AC63" s="39" t="n">
        <f aca="false">IF(AC$4=0,0,IF(COUNTIFS(実績!$W$6:$W$505,AC$3,実績!$AI$6:$AI$505,"&lt;="&amp;$A63,実績!$AJ$6:$AJ$505,"&gt;"&amp;$A63,実績!$AK$6:$AK$505,"○")&gt;0,1,0))</f>
        <v>0</v>
      </c>
      <c r="AD63" s="39" t="n">
        <f aca="false">IF(AD$4=0,0,IF(COUNTIFS(実績!$W$6:$W$505,AD$3,実績!$AI$6:$AI$505,"&lt;="&amp;$A63,実績!$AJ$6:$AJ$505,"&gt;"&amp;$A63,実績!$AK$6:$AK$505,"○")&gt;0,1,0))</f>
        <v>0</v>
      </c>
      <c r="AE63" s="39" t="n">
        <f aca="false">IF(AE$4=0,0,IF(COUNTIFS(実績!$W$6:$W$505,AE$3,実績!$AI$6:$AI$505,"&lt;="&amp;$A63,実績!$AJ$6:$AJ$505,"&gt;"&amp;$A63,実績!$AK$6:$AK$505,"○")&gt;0,1,0))</f>
        <v>0</v>
      </c>
      <c r="AF63" s="39" t="n">
        <f aca="false">IF(AF$4=0,0,IF(COUNTIFS(実績!$W$6:$W$505,AF$3,実績!$AI$6:$AI$505,"&lt;="&amp;$A63,実績!$AJ$6:$AJ$505,"&gt;"&amp;$A63,実績!$AK$6:$AK$505,"○")&gt;0,1,0))</f>
        <v>0</v>
      </c>
      <c r="AG63" s="39" t="n">
        <f aca="false">IF(AG$4=0,0,IF(COUNTIFS(実績!$W$6:$W$505,AG$3,実績!$AI$6:$AI$505,"&lt;="&amp;$A63,実績!$AJ$6:$AJ$505,"&gt;"&amp;$A63,実績!$AK$6:$AK$505,"○")&gt;0,1,0))</f>
        <v>0</v>
      </c>
      <c r="AH63" s="39" t="n">
        <f aca="false">IF(AH$4=0,0,IF(COUNTIFS(実績!$W$6:$W$505,AH$3,実績!$AI$6:$AI$505,"&lt;="&amp;$A63,実績!$AJ$6:$AJ$505,"&gt;"&amp;$A63,実績!$AK$6:$AK$505,"○")&gt;0,1,0))</f>
        <v>0</v>
      </c>
      <c r="AI63" s="39" t="n">
        <f aca="false">IF(AI$4=0,0,IF(COUNTIFS(実績!$W$6:$W$505,AI$3,実績!$AI$6:$AI$505,"&lt;="&amp;$A63,実績!$AJ$6:$AJ$505,"&gt;"&amp;$A63,実績!$AK$6:$AK$505,"○")&gt;0,1,0))</f>
        <v>0</v>
      </c>
      <c r="AJ63" s="39" t="n">
        <f aca="false">IF(AJ$4=0,0,IF(COUNTIFS(実績!$W$6:$W$505,AJ$3,実績!$AI$6:$AI$505,"&lt;="&amp;$A63,実績!$AJ$6:$AJ$505,"&gt;"&amp;$A63,実績!$AK$6:$AK$505,"○")&gt;0,1,0))</f>
        <v>0</v>
      </c>
      <c r="AK63" s="39" t="n">
        <f aca="false">IF(AK$4=0,0,IF(COUNTIFS(実績!$W$6:$W$505,AK$3,実績!$AI$6:$AI$505,"&lt;="&amp;$A63,実績!$AJ$6:$AJ$505,"&gt;"&amp;$A63,実績!$AK$6:$AK$505,"○")&gt;0,1,0))</f>
        <v>0</v>
      </c>
      <c r="AL63" s="39" t="n">
        <f aca="false">IF(AL$4=0,0,IF(COUNTIFS(実績!$W$6:$W$505,AL$3,実績!$AI$6:$AI$505,"&lt;="&amp;$A63,実績!$AJ$6:$AJ$505,"&gt;"&amp;$A63,実績!$AK$6:$AK$505,"○")&gt;0,1,0))</f>
        <v>0</v>
      </c>
      <c r="AM63" s="39" t="n">
        <f aca="false">IF(AM$4=0,0,IF(COUNTIFS(実績!$W$6:$W$505,AM$3,実績!$AI$6:$AI$505,"&lt;="&amp;$A63,実績!$AJ$6:$AJ$505,"&gt;"&amp;$A63,実績!$AK$6:$AK$505,"○")&gt;0,1,0))</f>
        <v>0</v>
      </c>
      <c r="AN63" s="39" t="n">
        <f aca="false">IF(AN$4=0,0,IF(COUNTIFS(実績!$W$6:$W$505,AN$3,実績!$AI$6:$AI$505,"&lt;="&amp;$A63,実績!$AJ$6:$AJ$505,"&gt;"&amp;$A63,実績!$AK$6:$AK$505,"○")&gt;0,1,0))</f>
        <v>0</v>
      </c>
      <c r="AO63" s="39" t="n">
        <f aca="false">IF(AO$4=0,0,IF(COUNTIFS(実績!$W$6:$W$505,AO$3,実績!$AI$6:$AI$505,"&lt;="&amp;$A63,実績!$AJ$6:$AJ$505,"&gt;"&amp;$A63,実績!$AK$6:$AK$505,"○")&gt;0,1,0))</f>
        <v>0</v>
      </c>
      <c r="AP63" s="39" t="n">
        <f aca="false">IF(AP$4=0,0,IF(COUNTIFS(実績!$W$6:$W$505,AP$3,実績!$AI$6:$AI$505,"&lt;="&amp;$A63,実績!$AJ$6:$AJ$505,"&gt;"&amp;$A63,実績!$AK$6:$AK$505,"○")&gt;0,1,0))</f>
        <v>0</v>
      </c>
      <c r="AQ63" s="39" t="n">
        <f aca="false">IF(AQ$4=0,0,IF(COUNTIFS(実績!$W$6:$W$505,AQ$3,実績!$AI$6:$AI$505,"&lt;="&amp;$A63,実績!$AJ$6:$AJ$505,"&gt;"&amp;$A63,実績!$AK$6:$AK$505,"○")&gt;0,1,0))</f>
        <v>0</v>
      </c>
      <c r="AR63" s="39" t="n">
        <f aca="false">IF(AR$4=0,0,IF(COUNTIFS(実績!$W$6:$W$505,AR$3,実績!$AI$6:$AI$505,"&lt;="&amp;$A63,実績!$AJ$6:$AJ$505,"&gt;"&amp;$A63,実績!$AK$6:$AK$505,"○")&gt;0,1,0))</f>
        <v>0</v>
      </c>
      <c r="AS63" s="39" t="n">
        <f aca="false">IF(AS$4=0,0,IF(COUNTIFS(実績!$W$6:$W$505,AS$3,実績!$AI$6:$AI$505,"&lt;="&amp;$A63,実績!$AJ$6:$AJ$505,"&gt;"&amp;$A63,実績!$AK$6:$AK$505,"○")&gt;0,1,0))</f>
        <v>0</v>
      </c>
      <c r="AT63" s="39" t="n">
        <f aca="false">IF(AT$4=0,0,IF(COUNTIFS(実績!$W$6:$W$505,AT$3,実績!$AI$6:$AI$505,"&lt;="&amp;$A63,実績!$AJ$6:$AJ$505,"&gt;"&amp;$A63,実績!$AK$6:$AK$505,"○")&gt;0,1,0))</f>
        <v>0</v>
      </c>
      <c r="AU63" s="39" t="n">
        <f aca="false">IF(AU$4=0,0,IF(COUNTIFS(実績!$W$6:$W$505,AU$3,実績!$AI$6:$AI$505,"&lt;="&amp;$A63,実績!$AJ$6:$AJ$505,"&gt;"&amp;$A63,実績!$AK$6:$AK$505,"○")&gt;0,1,0))</f>
        <v>0</v>
      </c>
      <c r="AV63" s="39" t="n">
        <f aca="false">IF(AV$4=0,0,IF(COUNTIFS(実績!$W$6:$W$505,AV$3,実績!$AI$6:$AI$505,"&lt;="&amp;$A63,実績!$AJ$6:$AJ$505,"&gt;"&amp;$A63,実績!$AK$6:$AK$505,"○")&gt;0,1,0))</f>
        <v>0</v>
      </c>
      <c r="AW63" s="39" t="n">
        <f aca="false">IF(AW$4=0,0,IF(COUNTIFS(実績!$W$6:$W$505,AW$3,実績!$AI$6:$AI$505,"&lt;="&amp;$A63,実績!$AJ$6:$AJ$505,"&gt;"&amp;$A63,実績!$AK$6:$AK$505,"○")&gt;0,1,0))</f>
        <v>0</v>
      </c>
      <c r="AX63" s="39" t="n">
        <f aca="false">IF(AX$4=0,0,IF(COUNTIFS(実績!$W$6:$W$505,AX$3,実績!$AI$6:$AI$505,"&lt;="&amp;$A63,実績!$AJ$6:$AJ$505,"&gt;"&amp;$A63,実績!$AK$6:$AK$505,"○")&gt;0,1,0))</f>
        <v>0</v>
      </c>
      <c r="AY63" s="39" t="n">
        <f aca="false">IF(AY$4=0,0,IF(COUNTIFS(実績!$W$6:$W$505,AY$3,実績!$AI$6:$AI$505,"&lt;="&amp;$A63,実績!$AJ$6:$AJ$505,"&gt;"&amp;$A63,実績!$AK$6:$AK$505,"○")&gt;0,1,0))</f>
        <v>0</v>
      </c>
      <c r="AZ63" s="39" t="n">
        <f aca="false">IF(AZ$4=0,0,IF(COUNTIFS(実績!$W$6:$W$505,AZ$3,実績!$AI$6:$AI$505,"&lt;="&amp;$A63,実績!$AJ$6:$AJ$505,"&gt;"&amp;$A63,実績!$AK$6:$AK$505,"○")&gt;0,1,0))</f>
        <v>0</v>
      </c>
      <c r="BA63" s="39" t="n">
        <f aca="false">IF(BA$4=0,0,IF(COUNTIFS(実績!$W$6:$W$505,BA$3,実績!$AI$6:$AI$505,"&lt;="&amp;$A63,実績!$AJ$6:$AJ$505,"&gt;"&amp;$A63,実績!$AK$6:$AK$505,"○")&gt;0,1,0))</f>
        <v>0</v>
      </c>
      <c r="BB63" s="39" t="n">
        <f aca="false">IF(BB$4=0,0,IF(COUNTIFS(実績!$W$6:$W$505,BB$3,実績!$AI$6:$AI$505,"&lt;="&amp;$A63,実績!$AJ$6:$AJ$505,"&gt;"&amp;$A63,実績!$AK$6:$AK$505,"○")&gt;0,1,0))</f>
        <v>0</v>
      </c>
      <c r="BC63" s="39" t="n">
        <f aca="false">IF(BC$4=0,0,IF(COUNTIFS(実績!$W$6:$W$505,BC$3,実績!$AI$6:$AI$505,"&lt;="&amp;$A63,実績!$AJ$6:$AJ$505,"&gt;"&amp;$A63,実績!$AK$6:$AK$505,"○")&gt;0,1,0))</f>
        <v>0</v>
      </c>
      <c r="BD63" s="39" t="n">
        <f aca="false">IF(BD$4=0,0,IF(COUNTIFS(実績!$W$6:$W$505,BD$3,実績!$AI$6:$AI$505,"&lt;="&amp;$A63,実績!$AJ$6:$AJ$505,"&gt;"&amp;$A63,実績!$AK$6:$AK$505,"○")&gt;0,1,0))</f>
        <v>0</v>
      </c>
      <c r="BE63" s="39" t="n">
        <f aca="false">IF(BE$4=0,0,IF(COUNTIFS(実績!$W$6:$W$505,BE$3,実績!$AI$6:$AI$505,"&lt;="&amp;$A63,実績!$AJ$6:$AJ$505,"&gt;"&amp;$A63,実績!$AK$6:$AK$505,"○")&gt;0,1,0))</f>
        <v>0</v>
      </c>
      <c r="BF63" s="39" t="n">
        <f aca="false">IF(BF$4=0,0,IF(COUNTIFS(実績!$W$6:$W$505,BF$3,実績!$AI$6:$AI$505,"&lt;="&amp;$A63,実績!$AJ$6:$AJ$505,"&gt;"&amp;$A63,実績!$AK$6:$AK$505,"○")&gt;0,1,0))</f>
        <v>0</v>
      </c>
      <c r="BG63" s="39" t="n">
        <f aca="false">IF(BG$4=0,0,IF(COUNTIFS(実績!$W$6:$W$505,BG$3,実績!$AI$6:$AI$505,"&lt;="&amp;$A63,実績!$AJ$6:$AJ$505,"&gt;"&amp;$A63,実績!$AK$6:$AK$505,"○")&gt;0,1,0))</f>
        <v>0</v>
      </c>
      <c r="BH63" s="39" t="n">
        <f aca="false">IF(BH$4=0,0,IF(COUNTIFS(実績!$W$6:$W$505,BH$3,実績!$AI$6:$AI$505,"&lt;="&amp;$A63,実績!$AJ$6:$AJ$505,"&gt;"&amp;$A63,実績!$AK$6:$AK$505,"○")&gt;0,1,0))</f>
        <v>0</v>
      </c>
      <c r="BI63" s="39" t="n">
        <f aca="false">IF(BI$4=0,0,IF(COUNTIFS(実績!$W$6:$W$505,BI$3,実績!$AI$6:$AI$505,"&lt;="&amp;$A63,実績!$AJ$6:$AJ$505,"&gt;"&amp;$A63,実績!$AK$6:$AK$505,"○")&gt;0,1,0))</f>
        <v>0</v>
      </c>
      <c r="BJ63" s="39" t="n">
        <f aca="false">IF(BJ$4=0,0,IF(COUNTIFS(実績!$W$6:$W$505,BJ$3,実績!$AI$6:$AI$505,"&lt;="&amp;$A63,実績!$AJ$6:$AJ$505,"&gt;"&amp;$A63,実績!$AK$6:$AK$505,"○")&gt;0,1,0))</f>
        <v>0</v>
      </c>
      <c r="BK63" s="39" t="n">
        <f aca="false">IF(BK$4=0,0,IF(COUNTIFS(実績!$W$6:$W$505,BK$3,実績!$AI$6:$AI$505,"&lt;="&amp;$A63,実績!$AJ$6:$AJ$505,"&gt;"&amp;$A63,実績!$AK$6:$AK$505,"○")&gt;0,1,0))</f>
        <v>0</v>
      </c>
      <c r="BL63" s="39" t="n">
        <f aca="false">IF(BL$4=0,0,IF(COUNTIFS(実績!$W$6:$W$505,BL$3,実績!$AI$6:$AI$505,"&lt;="&amp;$A63,実績!$AJ$6:$AJ$505,"&gt;"&amp;$A63,実績!$AK$6:$AK$505,"○")&gt;0,1,0))</f>
        <v>0</v>
      </c>
      <c r="BM63" s="39" t="n">
        <f aca="false">IF(BM$4=0,0,IF(COUNTIFS(実績!$W$6:$W$505,BM$3,実績!$AI$6:$AI$505,"&lt;="&amp;$A63,実績!$AJ$6:$AJ$505,"&gt;"&amp;$A63,実績!$AK$6:$AK$505,"○")&gt;0,1,0))</f>
        <v>0</v>
      </c>
      <c r="BN63" s="39" t="n">
        <f aca="false">IF(BN$4=0,0,IF(COUNTIFS(実績!$W$6:$W$505,BN$3,実績!$AI$6:$AI$505,"&lt;="&amp;$A63,実績!$AJ$6:$AJ$505,"&gt;"&amp;$A63,実績!$AK$6:$AK$505,"○")&gt;0,1,0))</f>
        <v>0</v>
      </c>
      <c r="BO63" s="39" t="n">
        <f aca="false">IF(BO$4=0,0,IF(COUNTIFS(実績!$W$6:$W$505,BO$3,実績!$AI$6:$AI$505,"&lt;="&amp;$A63,実績!$AJ$6:$AJ$505,"&gt;"&amp;$A63,実績!$AK$6:$AK$505,"○")&gt;0,1,0))</f>
        <v>0</v>
      </c>
      <c r="BP63" s="39" t="n">
        <f aca="false">IF(BP$4=0,0,IF(COUNTIFS(実績!$W$6:$W$505,BP$3,実績!$AI$6:$AI$505,"&lt;="&amp;$A63,実績!$AJ$6:$AJ$505,"&gt;"&amp;$A63,実績!$AK$6:$AK$505,"○")&gt;0,1,0))</f>
        <v>0</v>
      </c>
      <c r="BQ63" s="39" t="n">
        <f aca="false">IF(BQ$4=0,0,IF(COUNTIFS(実績!$W$6:$W$505,BQ$3,実績!$AI$6:$AI$505,"&lt;="&amp;$A63,実績!$AJ$6:$AJ$505,"&gt;"&amp;$A63,実績!$AK$6:$AK$505,"○")&gt;0,1,0))</f>
        <v>0</v>
      </c>
      <c r="BR63" s="39" t="n">
        <f aca="false">IF(BR$4=0,0,IF(COUNTIFS(実績!$W$6:$W$505,BR$3,実績!$AI$6:$AI$505,"&lt;="&amp;$A63,実績!$AJ$6:$AJ$505,"&gt;"&amp;$A63,実績!$AK$6:$AK$505,"○")&gt;0,1,0))</f>
        <v>0</v>
      </c>
      <c r="BS63" s="39" t="n">
        <f aca="false">IF(BS$4=0,0,IF(COUNTIFS(実績!$W$6:$W$505,BS$3,実績!$AI$6:$AI$505,"&lt;="&amp;$A63,実績!$AJ$6:$AJ$505,"&gt;"&amp;$A63,実績!$AK$6:$AK$505,"○")&gt;0,1,0))</f>
        <v>0</v>
      </c>
      <c r="BT63" s="39" t="n">
        <f aca="false">IF(BT$4=0,0,IF(COUNTIFS(実績!$W$6:$W$505,BT$3,実績!$AI$6:$AI$505,"&lt;="&amp;$A63,実績!$AJ$6:$AJ$505,"&gt;"&amp;$A63,実績!$AK$6:$AK$505,"○")&gt;0,1,0))</f>
        <v>0</v>
      </c>
      <c r="BU63" s="39" t="n">
        <f aca="false">IF(BU$4=0,0,IF(COUNTIFS(実績!$W$6:$W$505,BU$3,実績!$AI$6:$AI$505,"&lt;="&amp;$A63,実績!$AJ$6:$AJ$505,"&gt;"&amp;$A63,実績!$AK$6:$AK$505,"○")&gt;0,1,0))</f>
        <v>0</v>
      </c>
      <c r="BV63" s="39" t="n">
        <f aca="false">IF(BV$4=0,0,IF(COUNTIFS(実績!$W$6:$W$505,BV$3,実績!$AI$6:$AI$505,"&lt;="&amp;$A63,実績!$AJ$6:$AJ$505,"&gt;"&amp;$A63,実績!$AK$6:$AK$505,"○")&gt;0,1,0))</f>
        <v>0</v>
      </c>
      <c r="BW63" s="39" t="n">
        <f aca="false">IF(BW$4=0,0,IF(COUNTIFS(実績!$W$6:$W$505,BW$3,実績!$AI$6:$AI$505,"&lt;="&amp;$A63,実績!$AJ$6:$AJ$505,"&gt;"&amp;$A63,実績!$AK$6:$AK$505,"○")&gt;0,1,0))</f>
        <v>0</v>
      </c>
      <c r="BX63" s="39" t="n">
        <f aca="false">IF(BX$4=0,0,IF(COUNTIFS(実績!$W$6:$W$505,BX$3,実績!$AI$6:$AI$505,"&lt;="&amp;$A63,実績!$AJ$6:$AJ$505,"&gt;"&amp;$A63,実績!$AK$6:$AK$505,"○")&gt;0,1,0))</f>
        <v>0</v>
      </c>
      <c r="BY63" s="39" t="n">
        <f aca="false">IF(BY$4=0,0,IF(COUNTIFS(実績!$W$6:$W$505,BY$3,実績!$AI$6:$AI$505,"&lt;="&amp;$A63,実績!$AJ$6:$AJ$505,"&gt;"&amp;$A63,実績!$AK$6:$AK$505,"○")&gt;0,1,0))</f>
        <v>0</v>
      </c>
      <c r="BZ63" s="39" t="n">
        <f aca="false">IF(BZ$4=0,0,IF(COUNTIFS(実績!$W$6:$W$505,BZ$3,実績!$AI$6:$AI$505,"&lt;="&amp;$A63,実績!$AJ$6:$AJ$505,"&gt;"&amp;$A63,実績!$AK$6:$AK$505,"○")&gt;0,1,0))</f>
        <v>0</v>
      </c>
      <c r="CA63" s="39" t="n">
        <f aca="false">IF(CA$4=0,0,IF(COUNTIFS(実績!$W$6:$W$505,CA$3,実績!$AI$6:$AI$505,"&lt;="&amp;$A63,実績!$AJ$6:$AJ$505,"&gt;"&amp;$A63,実績!$AK$6:$AK$505,"○")&gt;0,1,0))</f>
        <v>0</v>
      </c>
      <c r="CB63" s="39" t="n">
        <f aca="false">IF(CB$4=0,0,IF(COUNTIFS(実績!$W$6:$W$505,CB$3,実績!$AI$6:$AI$505,"&lt;="&amp;$A63,実績!$AJ$6:$AJ$505,"&gt;"&amp;$A63,実績!$AK$6:$AK$505,"○")&gt;0,1,0))</f>
        <v>0</v>
      </c>
      <c r="CC63" s="39" t="n">
        <f aca="false">IF(CC$4=0,0,IF(COUNTIFS(実績!$W$6:$W$505,CC$3,実績!$AI$6:$AI$505,"&lt;="&amp;$A63,実績!$AJ$6:$AJ$505,"&gt;"&amp;$A63,実績!$AK$6:$AK$505,"○")&gt;0,1,0))</f>
        <v>0</v>
      </c>
      <c r="CD63" s="39" t="n">
        <f aca="false">IF(CD$4=0,0,IF(COUNTIFS(実績!$W$6:$W$505,CD$3,実績!$AI$6:$AI$505,"&lt;="&amp;$A63,実績!$AJ$6:$AJ$505,"&gt;"&amp;$A63,実績!$AK$6:$AK$505,"○")&gt;0,1,0))</f>
        <v>0</v>
      </c>
      <c r="CE63" s="39" t="n">
        <f aca="false">IF(CE$4=0,0,IF(COUNTIFS(実績!$W$6:$W$505,CE$3,実績!$AI$6:$AI$505,"&lt;="&amp;$A63,実績!$AJ$6:$AJ$505,"&gt;"&amp;$A63,実績!$AK$6:$AK$505,"○")&gt;0,1,0))</f>
        <v>0</v>
      </c>
      <c r="CF63" s="39" t="n">
        <f aca="false">IF(CF$4=0,0,IF(COUNTIFS(実績!$W$6:$W$505,CF$3,実績!$AI$6:$AI$505,"&lt;="&amp;$A63,実績!$AJ$6:$AJ$505,"&gt;"&amp;$A63,実績!$AK$6:$AK$505,"○")&gt;0,1,0))</f>
        <v>0</v>
      </c>
      <c r="CG63" s="39" t="n">
        <f aca="false">IF(CG$4=0,0,IF(COUNTIFS(実績!$W$6:$W$505,CG$3,実績!$AI$6:$AI$505,"&lt;="&amp;$A63,実績!$AJ$6:$AJ$505,"&gt;"&amp;$A63,実績!$AK$6:$AK$505,"○")&gt;0,1,0))</f>
        <v>0</v>
      </c>
      <c r="CH63" s="39" t="n">
        <f aca="false">IF(CH$4=0,0,IF(COUNTIFS(実績!$W$6:$W$505,CH$3,実績!$AI$6:$AI$505,"&lt;="&amp;$A63,実績!$AJ$6:$AJ$505,"&gt;"&amp;$A63,実績!$AK$6:$AK$505,"○")&gt;0,1,0))</f>
        <v>0</v>
      </c>
      <c r="CI63" s="39" t="n">
        <f aca="false">IF(CI$4=0,0,IF(COUNTIFS(実績!$W$6:$W$505,CI$3,実績!$AI$6:$AI$505,"&lt;="&amp;$A63,実績!$AJ$6:$AJ$505,"&gt;"&amp;$A63,実績!$AK$6:$AK$505,"○")&gt;0,1,0))</f>
        <v>0</v>
      </c>
      <c r="CJ63" s="39" t="n">
        <f aca="false">IF(CJ$4=0,0,IF(COUNTIFS(実績!$W$6:$W$505,CJ$3,実績!$AI$6:$AI$505,"&lt;="&amp;$A63,実績!$AJ$6:$AJ$505,"&gt;"&amp;$A63,実績!$AK$6:$AK$505,"○")&gt;0,1,0))</f>
        <v>0</v>
      </c>
      <c r="CK63" s="39" t="n">
        <f aca="false">IF(CK$4=0,0,IF(COUNTIFS(実績!$W$6:$W$505,CK$3,実績!$AI$6:$AI$505,"&lt;="&amp;$A63,実績!$AJ$6:$AJ$505,"&gt;"&amp;$A63,実績!$AK$6:$AK$505,"○")&gt;0,1,0))</f>
        <v>0</v>
      </c>
      <c r="CL63" s="39" t="n">
        <f aca="false">IF(CL$4=0,0,IF(COUNTIFS(実績!$W$6:$W$505,CL$3,実績!$AI$6:$AI$505,"&lt;="&amp;$A63,実績!$AJ$6:$AJ$505,"&gt;"&amp;$A63,実績!$AK$6:$AK$505,"○")&gt;0,1,0))</f>
        <v>0</v>
      </c>
      <c r="CM63" s="39" t="n">
        <f aca="false">IF(CM$4=0,0,IF(COUNTIFS(実績!$W$6:$W$505,CM$3,実績!$AI$6:$AI$505,"&lt;="&amp;$A63,実績!$AJ$6:$AJ$505,"&gt;"&amp;$A63,実績!$AK$6:$AK$505,"○")&gt;0,1,0))</f>
        <v>0</v>
      </c>
      <c r="CN63" s="39" t="n">
        <f aca="false">IF(CN$4=0,0,IF(COUNTIFS(実績!$W$6:$W$505,CN$3,実績!$AI$6:$AI$505,"&lt;="&amp;$A63,実績!$AJ$6:$AJ$505,"&gt;"&amp;$A63,実績!$AK$6:$AK$505,"○")&gt;0,1,0))</f>
        <v>0</v>
      </c>
      <c r="CO63" s="39" t="n">
        <f aca="false">IF(CO$4=0,0,IF(COUNTIFS(実績!$W$6:$W$505,CO$3,実績!$AI$6:$AI$505,"&lt;="&amp;$A63,実績!$AJ$6:$AJ$505,"&gt;"&amp;$A63,実績!$AK$6:$AK$505,"○")&gt;0,1,0))</f>
        <v>0</v>
      </c>
      <c r="CP63" s="39" t="n">
        <f aca="false">IF(CP$4=0,0,IF(COUNTIFS(実績!$W$6:$W$505,CP$3,実績!$AI$6:$AI$505,"&lt;="&amp;$A63,実績!$AJ$6:$AJ$505,"&gt;"&amp;$A63,実績!$AK$6:$AK$505,"○")&gt;0,1,0))</f>
        <v>0</v>
      </c>
      <c r="CQ63" s="39" t="n">
        <f aca="false">IF(CQ$4=0,0,IF(COUNTIFS(実績!$W$6:$W$505,CQ$3,実績!$AI$6:$AI$505,"&lt;="&amp;$A63,実績!$AJ$6:$AJ$505,"&gt;"&amp;$A63,実績!$AK$6:$AK$505,"○")&gt;0,1,0))</f>
        <v>0</v>
      </c>
      <c r="CR63" s="39" t="n">
        <f aca="false">IF(CR$4=0,0,IF(COUNTIFS(実績!$W$6:$W$505,CR$3,実績!$AI$6:$AI$505,"&lt;="&amp;$A63,実績!$AJ$6:$AJ$505,"&gt;"&amp;$A63,実績!$AK$6:$AK$505,"○")&gt;0,1,0))</f>
        <v>0</v>
      </c>
      <c r="CS63" s="39" t="n">
        <f aca="false">IF(CS$4=0,0,IF(COUNTIFS(実績!$W$6:$W$505,CS$3,実績!$AI$6:$AI$505,"&lt;="&amp;$A63,実績!$AJ$6:$AJ$505,"&gt;"&amp;$A63,実績!$AK$6:$AK$505,"○")&gt;0,1,0))</f>
        <v>0</v>
      </c>
      <c r="CT63" s="39" t="n">
        <f aca="false">IF(CT$4=0,0,IF(COUNTIFS(実績!$W$6:$W$505,CT$3,実績!$AI$6:$AI$505,"&lt;="&amp;$A63,実績!$AJ$6:$AJ$505,"&gt;"&amp;$A63,実績!$AK$6:$AK$505,"○")&gt;0,1,0))</f>
        <v>0</v>
      </c>
      <c r="CU63" s="39" t="n">
        <f aca="false">IF(CU$4=0,0,IF(COUNTIFS(実績!$W$6:$W$505,CU$3,実績!$AI$6:$AI$505,"&lt;="&amp;$A63,実績!$AJ$6:$AJ$505,"&gt;"&amp;$A63,実績!$AK$6:$AK$505,"○")&gt;0,1,0))</f>
        <v>0</v>
      </c>
      <c r="CV63" s="39" t="n">
        <f aca="false">IF(CV$4=0,0,IF(COUNTIFS(実績!$W$6:$W$505,CV$3,実績!$AI$6:$AI$505,"&lt;="&amp;$A63,実績!$AJ$6:$AJ$505,"&gt;"&amp;$A63,実績!$AK$6:$AK$505,"○")&gt;0,1,0))</f>
        <v>0</v>
      </c>
      <c r="CW63" s="39" t="n">
        <f aca="false">IF(CW$4=0,0,IF(COUNTIFS(実績!$W$6:$W$505,CW$3,実績!$AI$6:$AI$505,"&lt;="&amp;$A63,実績!$AJ$6:$AJ$505,"&gt;"&amp;$A63,実績!$AK$6:$AK$505,"○")&gt;0,1,0))</f>
        <v>0</v>
      </c>
      <c r="CX63" s="39" t="n">
        <f aca="false">IF(CX$4=0,0,IF(COUNTIFS(実績!$W$6:$W$505,CX$3,実績!$AI$6:$AI$505,"&lt;="&amp;$A63,実績!$AJ$6:$AJ$505,"&gt;"&amp;$A63,実績!$AK$6:$AK$505,"○")&gt;0,1,0))</f>
        <v>0</v>
      </c>
      <c r="CY63" s="39" t="n">
        <f aca="false">IF(CY$4=0,0,IF(COUNTIFS(実績!$W$6:$W$505,CY$3,実績!$AI$6:$AI$505,"&lt;="&amp;$A63,実績!$AJ$6:$AJ$505,"&gt;"&amp;$A63,実績!$AK$6:$AK$505,"○")&gt;0,1,0))</f>
        <v>0</v>
      </c>
      <c r="CZ63" s="39" t="n">
        <f aca="false">IF(CZ$4=0,0,IF(COUNTIFS(実績!$W$6:$W$505,CZ$3,実績!$AI$6:$AI$505,"&lt;="&amp;$A63,実績!$AJ$6:$AJ$505,"&gt;"&amp;$A63,実績!$AK$6:$AK$505,"○")&gt;0,1,0))</f>
        <v>0</v>
      </c>
      <c r="DA63" s="39" t="n">
        <f aca="false">IF(DA$4=0,0,IF(COUNTIFS(実績!$W$6:$W$505,DA$3,実績!$AI$6:$AI$505,"&lt;="&amp;$A63,実績!$AJ$6:$AJ$505,"&gt;"&amp;$A63,実績!$AK$6:$AK$505,"○")&gt;0,1,0))</f>
        <v>0</v>
      </c>
      <c r="DB63" s="39" t="n">
        <f aca="false">IF(DB$4=0,0,IF(COUNTIFS(実績!$W$6:$W$505,DB$3,実績!$AI$6:$AI$505,"&lt;="&amp;$A63,実績!$AJ$6:$AJ$505,"&gt;"&amp;$A63,実績!$AK$6:$AK$505,"○")&gt;0,1,0))</f>
        <v>0</v>
      </c>
      <c r="DC63" s="39" t="n">
        <f aca="false">IF(DC$4=0,0,IF(COUNTIFS(実績!$W$6:$W$505,DC$3,実績!$AI$6:$AI$505,"&lt;="&amp;$A63,実績!$AJ$6:$AJ$505,"&gt;"&amp;$A63,実績!$AK$6:$AK$505,"○")&gt;0,1,0))</f>
        <v>0</v>
      </c>
      <c r="DD63" s="39" t="n">
        <f aca="false">IF(DD$4=0,0,IF(COUNTIFS(実績!$W$6:$W$505,DD$3,実績!$AI$6:$AI$505,"&lt;="&amp;$A63,実績!$AJ$6:$AJ$505,"&gt;"&amp;$A63,実績!$AK$6:$AK$505,"○")&gt;0,1,0))</f>
        <v>0</v>
      </c>
      <c r="DE63" s="39" t="n">
        <f aca="false">IF(DE$4=0,0,IF(COUNTIFS(実績!$W$6:$W$505,DE$3,実績!$AI$6:$AI$505,"&lt;="&amp;$A63,実績!$AJ$6:$AJ$505,"&gt;"&amp;$A63,実績!$AK$6:$AK$505,"○")&gt;0,1,0))</f>
        <v>0</v>
      </c>
      <c r="DF63" s="39" t="n">
        <f aca="false">IF(DF$4=0,0,IF(COUNTIFS(実績!$W$6:$W$505,DF$3,実績!$AI$6:$AI$505,"&lt;="&amp;$A63,実績!$AJ$6:$AJ$505,"&gt;"&amp;$A63,実績!$AK$6:$AK$505,"○")&gt;0,1,0))</f>
        <v>0</v>
      </c>
      <c r="DG63" s="39" t="n">
        <f aca="false">IF(DG$4=0,0,IF(COUNTIFS(実績!$W$6:$W$505,DG$3,実績!$AI$6:$AI$505,"&lt;="&amp;$A63,実績!$AJ$6:$AJ$505,"&gt;"&amp;$A63,実績!$AK$6:$AK$505,"○")&gt;0,1,0))</f>
        <v>0</v>
      </c>
      <c r="DH63" s="39" t="n">
        <f aca="false">IF(DH$4=0,0,IF(COUNTIFS(実績!$W$6:$W$505,DH$3,実績!$AI$6:$AI$505,"&lt;="&amp;$A63,実績!$AJ$6:$AJ$505,"&gt;"&amp;$A63,実績!$AK$6:$AK$505,"○")&gt;0,1,0))</f>
        <v>0</v>
      </c>
      <c r="DI63" s="39" t="n">
        <f aca="false">IF(DI$4=0,0,IF(COUNTIFS(実績!$W$6:$W$505,DI$3,実績!$AI$6:$AI$505,"&lt;="&amp;$A63,実績!$AJ$6:$AJ$505,"&gt;"&amp;$A63,実績!$AK$6:$AK$505,"○")&gt;0,1,0))</f>
        <v>0</v>
      </c>
      <c r="DJ63" s="39" t="n">
        <f aca="false">IF(DJ$4=0,0,IF(COUNTIFS(実績!$W$6:$W$505,DJ$3,実績!$AI$6:$AI$505,"&lt;="&amp;$A63,実績!$AJ$6:$AJ$505,"&gt;"&amp;$A63,実績!$AK$6:$AK$505,"○")&gt;0,1,0))</f>
        <v>0</v>
      </c>
      <c r="DK63" s="39" t="n">
        <f aca="false">IF(DK$4=0,0,IF(COUNTIFS(実績!$W$6:$W$505,DK$3,実績!$AI$6:$AI$505,"&lt;="&amp;$A63,実績!$AJ$6:$AJ$505,"&gt;"&amp;$A63,実績!$AK$6:$AK$505,"○")&gt;0,1,0))</f>
        <v>0</v>
      </c>
      <c r="DL63" s="39" t="n">
        <f aca="false">IF(DL$4=0,0,IF(COUNTIFS(実績!$W$6:$W$505,DL$3,実績!$AI$6:$AI$505,"&lt;="&amp;$A63,実績!$AJ$6:$AJ$505,"&gt;"&amp;$A63,実績!$AK$6:$AK$505,"○")&gt;0,1,0))</f>
        <v>0</v>
      </c>
      <c r="DM63" s="39" t="n">
        <f aca="false">IF(DM$4=0,0,IF(COUNTIFS(実績!$W$6:$W$505,DM$3,実績!$AI$6:$AI$505,"&lt;="&amp;$A63,実績!$AJ$6:$AJ$505,"&gt;"&amp;$A63,実績!$AK$6:$AK$505,"○")&gt;0,1,0))</f>
        <v>0</v>
      </c>
      <c r="DN63" s="39" t="n">
        <f aca="false">IF(DN$4=0,0,IF(COUNTIFS(実績!$W$6:$W$505,DN$3,実績!$AI$6:$AI$505,"&lt;="&amp;$A63,実績!$AJ$6:$AJ$505,"&gt;"&amp;$A63,実績!$AK$6:$AK$505,"○")&gt;0,1,0))</f>
        <v>0</v>
      </c>
      <c r="DO63" s="39" t="n">
        <f aca="false">IF(DO$4=0,0,IF(COUNTIFS(実績!$W$6:$W$505,DO$3,実績!$AI$6:$AI$505,"&lt;="&amp;$A63,実績!$AJ$6:$AJ$505,"&gt;"&amp;$A63,実績!$AK$6:$AK$505,"○")&gt;0,1,0))</f>
        <v>0</v>
      </c>
      <c r="DP63" s="39" t="n">
        <f aca="false">IF(DP$4=0,0,IF(COUNTIFS(実績!$W$6:$W$505,DP$3,実績!$AI$6:$AI$505,"&lt;="&amp;$A63,実績!$AJ$6:$AJ$505,"&gt;"&amp;$A63,実績!$AK$6:$AK$505,"○")&gt;0,1,0))</f>
        <v>0</v>
      </c>
      <c r="DQ63" s="39" t="n">
        <f aca="false">IF(DQ$4=0,0,IF(COUNTIFS(実績!$W$6:$W$505,DQ$3,実績!$AI$6:$AI$505,"&lt;="&amp;$A63,実績!$AJ$6:$AJ$505,"&gt;"&amp;$A63,実績!$AK$6:$AK$505,"○")&gt;0,1,0))</f>
        <v>0</v>
      </c>
      <c r="DR63" s="39" t="n">
        <f aca="false">IF(DR$4=0,0,IF(COUNTIFS(実績!$W$6:$W$505,DR$3,実績!$AI$6:$AI$505,"&lt;="&amp;$A63,実績!$AJ$6:$AJ$505,"&gt;"&amp;$A63,実績!$AK$6:$AK$505,"○")&gt;0,1,0))</f>
        <v>0</v>
      </c>
      <c r="DS63" s="39" t="n">
        <f aca="false">SUM(C63:DR63)</f>
        <v>0</v>
      </c>
      <c r="DT63" s="39" t="n">
        <f aca="false">SUMPRODUCT((実績!$C$6:$C$505="○")*ISNUMBER(実績!$AM$6:$AM$505)*(実績!$AM$6:$AM$505&lt;=$A63)*(実績!$AN$6:$AN$505&gt;$A63))</f>
        <v>0</v>
      </c>
      <c r="DU63" s="39" t="n">
        <f aca="false">SUMIF($C$2:$DR$2,"製鉄曳船",C63:DR63)</f>
        <v>0</v>
      </c>
      <c r="DV63" s="39" t="n">
        <f aca="false">SUMIF($C$2:$DR$2,"西日本海運",C63:DR63)</f>
        <v>0</v>
      </c>
    </row>
    <row r="64" customFormat="false" ht="15" hidden="false" customHeight="false" outlineLevel="0" collapsed="false">
      <c r="A64" s="0" t="n">
        <v>290</v>
      </c>
      <c r="B64" s="38" t="n">
        <f aca="false">A64/1440</f>
        <v>0.201388888888889</v>
      </c>
      <c r="C64" s="39" t="n">
        <f aca="false">IF(C$4=0,0,IF(COUNTIFS(実績!$W$6:$W$505,C$3,実績!$AI$6:$AI$505,"&lt;="&amp;$A64,実績!$AJ$6:$AJ$505,"&gt;"&amp;$A64,実績!$AK$6:$AK$505,"○")&gt;0,1,0))</f>
        <v>0</v>
      </c>
      <c r="D64" s="39" t="n">
        <f aca="false">IF(D$4=0,0,IF(COUNTIFS(実績!$W$6:$W$505,D$3,実績!$AI$6:$AI$505,"&lt;="&amp;$A64,実績!$AJ$6:$AJ$505,"&gt;"&amp;$A64,実績!$AK$6:$AK$505,"○")&gt;0,1,0))</f>
        <v>0</v>
      </c>
      <c r="E64" s="39" t="n">
        <f aca="false">IF(E$4=0,0,IF(COUNTIFS(実績!$W$6:$W$505,E$3,実績!$AI$6:$AI$505,"&lt;="&amp;$A64,実績!$AJ$6:$AJ$505,"&gt;"&amp;$A64,実績!$AK$6:$AK$505,"○")&gt;0,1,0))</f>
        <v>0</v>
      </c>
      <c r="F64" s="39" t="n">
        <f aca="false">IF(F$4=0,0,IF(COUNTIFS(実績!$W$6:$W$505,F$3,実績!$AI$6:$AI$505,"&lt;="&amp;$A64,実績!$AJ$6:$AJ$505,"&gt;"&amp;$A64,実績!$AK$6:$AK$505,"○")&gt;0,1,0))</f>
        <v>0</v>
      </c>
      <c r="G64" s="39" t="n">
        <f aca="false">IF(G$4=0,0,IF(COUNTIFS(実績!$W$6:$W$505,G$3,実績!$AI$6:$AI$505,"&lt;="&amp;$A64,実績!$AJ$6:$AJ$505,"&gt;"&amp;$A64,実績!$AK$6:$AK$505,"○")&gt;0,1,0))</f>
        <v>0</v>
      </c>
      <c r="H64" s="39" t="n">
        <f aca="false">IF(H$4=0,0,IF(COUNTIFS(実績!$W$6:$W$505,H$3,実績!$AI$6:$AI$505,"&lt;="&amp;$A64,実績!$AJ$6:$AJ$505,"&gt;"&amp;$A64,実績!$AK$6:$AK$505,"○")&gt;0,1,0))</f>
        <v>0</v>
      </c>
      <c r="I64" s="39" t="n">
        <f aca="false">IF(I$4=0,0,IF(COUNTIFS(実績!$W$6:$W$505,I$3,実績!$AI$6:$AI$505,"&lt;="&amp;$A64,実績!$AJ$6:$AJ$505,"&gt;"&amp;$A64,実績!$AK$6:$AK$505,"○")&gt;0,1,0))</f>
        <v>0</v>
      </c>
      <c r="J64" s="39" t="n">
        <f aca="false">IF(J$4=0,0,IF(COUNTIFS(実績!$W$6:$W$505,J$3,実績!$AI$6:$AI$505,"&lt;="&amp;$A64,実績!$AJ$6:$AJ$505,"&gt;"&amp;$A64,実績!$AK$6:$AK$505,"○")&gt;0,1,0))</f>
        <v>0</v>
      </c>
      <c r="K64" s="39" t="n">
        <f aca="false">IF(K$4=0,0,IF(COUNTIFS(実績!$W$6:$W$505,K$3,実績!$AI$6:$AI$505,"&lt;="&amp;$A64,実績!$AJ$6:$AJ$505,"&gt;"&amp;$A64,実績!$AK$6:$AK$505,"○")&gt;0,1,0))</f>
        <v>0</v>
      </c>
      <c r="L64" s="39" t="n">
        <f aca="false">IF(L$4=0,0,IF(COUNTIFS(実績!$W$6:$W$505,L$3,実績!$AI$6:$AI$505,"&lt;="&amp;$A64,実績!$AJ$6:$AJ$505,"&gt;"&amp;$A64,実績!$AK$6:$AK$505,"○")&gt;0,1,0))</f>
        <v>0</v>
      </c>
      <c r="M64" s="39" t="n">
        <f aca="false">IF(M$4=0,0,IF(COUNTIFS(実績!$W$6:$W$505,M$3,実績!$AI$6:$AI$505,"&lt;="&amp;$A64,実績!$AJ$6:$AJ$505,"&gt;"&amp;$A64,実績!$AK$6:$AK$505,"○")&gt;0,1,0))</f>
        <v>0</v>
      </c>
      <c r="N64" s="39" t="n">
        <f aca="false">IF(N$4=0,0,IF(COUNTIFS(実績!$W$6:$W$505,N$3,実績!$AI$6:$AI$505,"&lt;="&amp;$A64,実績!$AJ$6:$AJ$505,"&gt;"&amp;$A64,実績!$AK$6:$AK$505,"○")&gt;0,1,0))</f>
        <v>0</v>
      </c>
      <c r="O64" s="39" t="n">
        <f aca="false">IF(O$4=0,0,IF(COUNTIFS(実績!$W$6:$W$505,O$3,実績!$AI$6:$AI$505,"&lt;="&amp;$A64,実績!$AJ$6:$AJ$505,"&gt;"&amp;$A64,実績!$AK$6:$AK$505,"○")&gt;0,1,0))</f>
        <v>0</v>
      </c>
      <c r="P64" s="39" t="n">
        <f aca="false">IF(P$4=0,0,IF(COUNTIFS(実績!$W$6:$W$505,P$3,実績!$AI$6:$AI$505,"&lt;="&amp;$A64,実績!$AJ$6:$AJ$505,"&gt;"&amp;$A64,実績!$AK$6:$AK$505,"○")&gt;0,1,0))</f>
        <v>0</v>
      </c>
      <c r="Q64" s="39" t="n">
        <f aca="false">IF(Q$4=0,0,IF(COUNTIFS(実績!$W$6:$W$505,Q$3,実績!$AI$6:$AI$505,"&lt;="&amp;$A64,実績!$AJ$6:$AJ$505,"&gt;"&amp;$A64,実績!$AK$6:$AK$505,"○")&gt;0,1,0))</f>
        <v>0</v>
      </c>
      <c r="R64" s="39" t="n">
        <f aca="false">IF(R$4=0,0,IF(COUNTIFS(実績!$W$6:$W$505,R$3,実績!$AI$6:$AI$505,"&lt;="&amp;$A64,実績!$AJ$6:$AJ$505,"&gt;"&amp;$A64,実績!$AK$6:$AK$505,"○")&gt;0,1,0))</f>
        <v>0</v>
      </c>
      <c r="S64" s="39" t="n">
        <f aca="false">IF(S$4=0,0,IF(COUNTIFS(実績!$W$6:$W$505,S$3,実績!$AI$6:$AI$505,"&lt;="&amp;$A64,実績!$AJ$6:$AJ$505,"&gt;"&amp;$A64,実績!$AK$6:$AK$505,"○")&gt;0,1,0))</f>
        <v>0</v>
      </c>
      <c r="T64" s="39" t="n">
        <f aca="false">IF(T$4=0,0,IF(COUNTIFS(実績!$W$6:$W$505,T$3,実績!$AI$6:$AI$505,"&lt;="&amp;$A64,実績!$AJ$6:$AJ$505,"&gt;"&amp;$A64,実績!$AK$6:$AK$505,"○")&gt;0,1,0))</f>
        <v>0</v>
      </c>
      <c r="U64" s="39" t="n">
        <f aca="false">IF(U$4=0,0,IF(COUNTIFS(実績!$W$6:$W$505,U$3,実績!$AI$6:$AI$505,"&lt;="&amp;$A64,実績!$AJ$6:$AJ$505,"&gt;"&amp;$A64,実績!$AK$6:$AK$505,"○")&gt;0,1,0))</f>
        <v>0</v>
      </c>
      <c r="V64" s="39" t="n">
        <f aca="false">IF(V$4=0,0,IF(COUNTIFS(実績!$W$6:$W$505,V$3,実績!$AI$6:$AI$505,"&lt;="&amp;$A64,実績!$AJ$6:$AJ$505,"&gt;"&amp;$A64,実績!$AK$6:$AK$505,"○")&gt;0,1,0))</f>
        <v>0</v>
      </c>
      <c r="W64" s="39" t="n">
        <f aca="false">IF(W$4=0,0,IF(COUNTIFS(実績!$W$6:$W$505,W$3,実績!$AI$6:$AI$505,"&lt;="&amp;$A64,実績!$AJ$6:$AJ$505,"&gt;"&amp;$A64,実績!$AK$6:$AK$505,"○")&gt;0,1,0))</f>
        <v>0</v>
      </c>
      <c r="X64" s="39" t="n">
        <f aca="false">IF(X$4=0,0,IF(COUNTIFS(実績!$W$6:$W$505,X$3,実績!$AI$6:$AI$505,"&lt;="&amp;$A64,実績!$AJ$6:$AJ$505,"&gt;"&amp;$A64,実績!$AK$6:$AK$505,"○")&gt;0,1,0))</f>
        <v>0</v>
      </c>
      <c r="Y64" s="39" t="n">
        <f aca="false">IF(Y$4=0,0,IF(COUNTIFS(実績!$W$6:$W$505,Y$3,実績!$AI$6:$AI$505,"&lt;="&amp;$A64,実績!$AJ$6:$AJ$505,"&gt;"&amp;$A64,実績!$AK$6:$AK$505,"○")&gt;0,1,0))</f>
        <v>0</v>
      </c>
      <c r="Z64" s="39" t="n">
        <f aca="false">IF(Z$4=0,0,IF(COUNTIFS(実績!$W$6:$W$505,Z$3,実績!$AI$6:$AI$505,"&lt;="&amp;$A64,実績!$AJ$6:$AJ$505,"&gt;"&amp;$A64,実績!$AK$6:$AK$505,"○")&gt;0,1,0))</f>
        <v>0</v>
      </c>
      <c r="AA64" s="39" t="n">
        <f aca="false">IF(AA$4=0,0,IF(COUNTIFS(実績!$W$6:$W$505,AA$3,実績!$AI$6:$AI$505,"&lt;="&amp;$A64,実績!$AJ$6:$AJ$505,"&gt;"&amp;$A64,実績!$AK$6:$AK$505,"○")&gt;0,1,0))</f>
        <v>0</v>
      </c>
      <c r="AB64" s="39" t="n">
        <f aca="false">IF(AB$4=0,0,IF(COUNTIFS(実績!$W$6:$W$505,AB$3,実績!$AI$6:$AI$505,"&lt;="&amp;$A64,実績!$AJ$6:$AJ$505,"&gt;"&amp;$A64,実績!$AK$6:$AK$505,"○")&gt;0,1,0))</f>
        <v>0</v>
      </c>
      <c r="AC64" s="39" t="n">
        <f aca="false">IF(AC$4=0,0,IF(COUNTIFS(実績!$W$6:$W$505,AC$3,実績!$AI$6:$AI$505,"&lt;="&amp;$A64,実績!$AJ$6:$AJ$505,"&gt;"&amp;$A64,実績!$AK$6:$AK$505,"○")&gt;0,1,0))</f>
        <v>0</v>
      </c>
      <c r="AD64" s="39" t="n">
        <f aca="false">IF(AD$4=0,0,IF(COUNTIFS(実績!$W$6:$W$505,AD$3,実績!$AI$6:$AI$505,"&lt;="&amp;$A64,実績!$AJ$6:$AJ$505,"&gt;"&amp;$A64,実績!$AK$6:$AK$505,"○")&gt;0,1,0))</f>
        <v>0</v>
      </c>
      <c r="AE64" s="39" t="n">
        <f aca="false">IF(AE$4=0,0,IF(COUNTIFS(実績!$W$6:$W$505,AE$3,実績!$AI$6:$AI$505,"&lt;="&amp;$A64,実績!$AJ$6:$AJ$505,"&gt;"&amp;$A64,実績!$AK$6:$AK$505,"○")&gt;0,1,0))</f>
        <v>0</v>
      </c>
      <c r="AF64" s="39" t="n">
        <f aca="false">IF(AF$4=0,0,IF(COUNTIFS(実績!$W$6:$W$505,AF$3,実績!$AI$6:$AI$505,"&lt;="&amp;$A64,実績!$AJ$6:$AJ$505,"&gt;"&amp;$A64,実績!$AK$6:$AK$505,"○")&gt;0,1,0))</f>
        <v>0</v>
      </c>
      <c r="AG64" s="39" t="n">
        <f aca="false">IF(AG$4=0,0,IF(COUNTIFS(実績!$W$6:$W$505,AG$3,実績!$AI$6:$AI$505,"&lt;="&amp;$A64,実績!$AJ$6:$AJ$505,"&gt;"&amp;$A64,実績!$AK$6:$AK$505,"○")&gt;0,1,0))</f>
        <v>0</v>
      </c>
      <c r="AH64" s="39" t="n">
        <f aca="false">IF(AH$4=0,0,IF(COUNTIFS(実績!$W$6:$W$505,AH$3,実績!$AI$6:$AI$505,"&lt;="&amp;$A64,実績!$AJ$6:$AJ$505,"&gt;"&amp;$A64,実績!$AK$6:$AK$505,"○")&gt;0,1,0))</f>
        <v>0</v>
      </c>
      <c r="AI64" s="39" t="n">
        <f aca="false">IF(AI$4=0,0,IF(COUNTIFS(実績!$W$6:$W$505,AI$3,実績!$AI$6:$AI$505,"&lt;="&amp;$A64,実績!$AJ$6:$AJ$505,"&gt;"&amp;$A64,実績!$AK$6:$AK$505,"○")&gt;0,1,0))</f>
        <v>0</v>
      </c>
      <c r="AJ64" s="39" t="n">
        <f aca="false">IF(AJ$4=0,0,IF(COUNTIFS(実績!$W$6:$W$505,AJ$3,実績!$AI$6:$AI$505,"&lt;="&amp;$A64,実績!$AJ$6:$AJ$505,"&gt;"&amp;$A64,実績!$AK$6:$AK$505,"○")&gt;0,1,0))</f>
        <v>0</v>
      </c>
      <c r="AK64" s="39" t="n">
        <f aca="false">IF(AK$4=0,0,IF(COUNTIFS(実績!$W$6:$W$505,AK$3,実績!$AI$6:$AI$505,"&lt;="&amp;$A64,実績!$AJ$6:$AJ$505,"&gt;"&amp;$A64,実績!$AK$6:$AK$505,"○")&gt;0,1,0))</f>
        <v>0</v>
      </c>
      <c r="AL64" s="39" t="n">
        <f aca="false">IF(AL$4=0,0,IF(COUNTIFS(実績!$W$6:$W$505,AL$3,実績!$AI$6:$AI$505,"&lt;="&amp;$A64,実績!$AJ$6:$AJ$505,"&gt;"&amp;$A64,実績!$AK$6:$AK$505,"○")&gt;0,1,0))</f>
        <v>0</v>
      </c>
      <c r="AM64" s="39" t="n">
        <f aca="false">IF(AM$4=0,0,IF(COUNTIFS(実績!$W$6:$W$505,AM$3,実績!$AI$6:$AI$505,"&lt;="&amp;$A64,実績!$AJ$6:$AJ$505,"&gt;"&amp;$A64,実績!$AK$6:$AK$505,"○")&gt;0,1,0))</f>
        <v>0</v>
      </c>
      <c r="AN64" s="39" t="n">
        <f aca="false">IF(AN$4=0,0,IF(COUNTIFS(実績!$W$6:$W$505,AN$3,実績!$AI$6:$AI$505,"&lt;="&amp;$A64,実績!$AJ$6:$AJ$505,"&gt;"&amp;$A64,実績!$AK$6:$AK$505,"○")&gt;0,1,0))</f>
        <v>0</v>
      </c>
      <c r="AO64" s="39" t="n">
        <f aca="false">IF(AO$4=0,0,IF(COUNTIFS(実績!$W$6:$W$505,AO$3,実績!$AI$6:$AI$505,"&lt;="&amp;$A64,実績!$AJ$6:$AJ$505,"&gt;"&amp;$A64,実績!$AK$6:$AK$505,"○")&gt;0,1,0))</f>
        <v>0</v>
      </c>
      <c r="AP64" s="39" t="n">
        <f aca="false">IF(AP$4=0,0,IF(COUNTIFS(実績!$W$6:$W$505,AP$3,実績!$AI$6:$AI$505,"&lt;="&amp;$A64,実績!$AJ$6:$AJ$505,"&gt;"&amp;$A64,実績!$AK$6:$AK$505,"○")&gt;0,1,0))</f>
        <v>0</v>
      </c>
      <c r="AQ64" s="39" t="n">
        <f aca="false">IF(AQ$4=0,0,IF(COUNTIFS(実績!$W$6:$W$505,AQ$3,実績!$AI$6:$AI$505,"&lt;="&amp;$A64,実績!$AJ$6:$AJ$505,"&gt;"&amp;$A64,実績!$AK$6:$AK$505,"○")&gt;0,1,0))</f>
        <v>0</v>
      </c>
      <c r="AR64" s="39" t="n">
        <f aca="false">IF(AR$4=0,0,IF(COUNTIFS(実績!$W$6:$W$505,AR$3,実績!$AI$6:$AI$505,"&lt;="&amp;$A64,実績!$AJ$6:$AJ$505,"&gt;"&amp;$A64,実績!$AK$6:$AK$505,"○")&gt;0,1,0))</f>
        <v>0</v>
      </c>
      <c r="AS64" s="39" t="n">
        <f aca="false">IF(AS$4=0,0,IF(COUNTIFS(実績!$W$6:$W$505,AS$3,実績!$AI$6:$AI$505,"&lt;="&amp;$A64,実績!$AJ$6:$AJ$505,"&gt;"&amp;$A64,実績!$AK$6:$AK$505,"○")&gt;0,1,0))</f>
        <v>0</v>
      </c>
      <c r="AT64" s="39" t="n">
        <f aca="false">IF(AT$4=0,0,IF(COUNTIFS(実績!$W$6:$W$505,AT$3,実績!$AI$6:$AI$505,"&lt;="&amp;$A64,実績!$AJ$6:$AJ$505,"&gt;"&amp;$A64,実績!$AK$6:$AK$505,"○")&gt;0,1,0))</f>
        <v>0</v>
      </c>
      <c r="AU64" s="39" t="n">
        <f aca="false">IF(AU$4=0,0,IF(COUNTIFS(実績!$W$6:$W$505,AU$3,実績!$AI$6:$AI$505,"&lt;="&amp;$A64,実績!$AJ$6:$AJ$505,"&gt;"&amp;$A64,実績!$AK$6:$AK$505,"○")&gt;0,1,0))</f>
        <v>0</v>
      </c>
      <c r="AV64" s="39" t="n">
        <f aca="false">IF(AV$4=0,0,IF(COUNTIFS(実績!$W$6:$W$505,AV$3,実績!$AI$6:$AI$505,"&lt;="&amp;$A64,実績!$AJ$6:$AJ$505,"&gt;"&amp;$A64,実績!$AK$6:$AK$505,"○")&gt;0,1,0))</f>
        <v>0</v>
      </c>
      <c r="AW64" s="39" t="n">
        <f aca="false">IF(AW$4=0,0,IF(COUNTIFS(実績!$W$6:$W$505,AW$3,実績!$AI$6:$AI$505,"&lt;="&amp;$A64,実績!$AJ$6:$AJ$505,"&gt;"&amp;$A64,実績!$AK$6:$AK$505,"○")&gt;0,1,0))</f>
        <v>0</v>
      </c>
      <c r="AX64" s="39" t="n">
        <f aca="false">IF(AX$4=0,0,IF(COUNTIFS(実績!$W$6:$W$505,AX$3,実績!$AI$6:$AI$505,"&lt;="&amp;$A64,実績!$AJ$6:$AJ$505,"&gt;"&amp;$A64,実績!$AK$6:$AK$505,"○")&gt;0,1,0))</f>
        <v>0</v>
      </c>
      <c r="AY64" s="39" t="n">
        <f aca="false">IF(AY$4=0,0,IF(COUNTIFS(実績!$W$6:$W$505,AY$3,実績!$AI$6:$AI$505,"&lt;="&amp;$A64,実績!$AJ$6:$AJ$505,"&gt;"&amp;$A64,実績!$AK$6:$AK$505,"○")&gt;0,1,0))</f>
        <v>0</v>
      </c>
      <c r="AZ64" s="39" t="n">
        <f aca="false">IF(AZ$4=0,0,IF(COUNTIFS(実績!$W$6:$W$505,AZ$3,実績!$AI$6:$AI$505,"&lt;="&amp;$A64,実績!$AJ$6:$AJ$505,"&gt;"&amp;$A64,実績!$AK$6:$AK$505,"○")&gt;0,1,0))</f>
        <v>0</v>
      </c>
      <c r="BA64" s="39" t="n">
        <f aca="false">IF(BA$4=0,0,IF(COUNTIFS(実績!$W$6:$W$505,BA$3,実績!$AI$6:$AI$505,"&lt;="&amp;$A64,実績!$AJ$6:$AJ$505,"&gt;"&amp;$A64,実績!$AK$6:$AK$505,"○")&gt;0,1,0))</f>
        <v>0</v>
      </c>
      <c r="BB64" s="39" t="n">
        <f aca="false">IF(BB$4=0,0,IF(COUNTIFS(実績!$W$6:$W$505,BB$3,実績!$AI$6:$AI$505,"&lt;="&amp;$A64,実績!$AJ$6:$AJ$505,"&gt;"&amp;$A64,実績!$AK$6:$AK$505,"○")&gt;0,1,0))</f>
        <v>0</v>
      </c>
      <c r="BC64" s="39" t="n">
        <f aca="false">IF(BC$4=0,0,IF(COUNTIFS(実績!$W$6:$W$505,BC$3,実績!$AI$6:$AI$505,"&lt;="&amp;$A64,実績!$AJ$6:$AJ$505,"&gt;"&amp;$A64,実績!$AK$6:$AK$505,"○")&gt;0,1,0))</f>
        <v>0</v>
      </c>
      <c r="BD64" s="39" t="n">
        <f aca="false">IF(BD$4=0,0,IF(COUNTIFS(実績!$W$6:$W$505,BD$3,実績!$AI$6:$AI$505,"&lt;="&amp;$A64,実績!$AJ$6:$AJ$505,"&gt;"&amp;$A64,実績!$AK$6:$AK$505,"○")&gt;0,1,0))</f>
        <v>0</v>
      </c>
      <c r="BE64" s="39" t="n">
        <f aca="false">IF(BE$4=0,0,IF(COUNTIFS(実績!$W$6:$W$505,BE$3,実績!$AI$6:$AI$505,"&lt;="&amp;$A64,実績!$AJ$6:$AJ$505,"&gt;"&amp;$A64,実績!$AK$6:$AK$505,"○")&gt;0,1,0))</f>
        <v>0</v>
      </c>
      <c r="BF64" s="39" t="n">
        <f aca="false">IF(BF$4=0,0,IF(COUNTIFS(実績!$W$6:$W$505,BF$3,実績!$AI$6:$AI$505,"&lt;="&amp;$A64,実績!$AJ$6:$AJ$505,"&gt;"&amp;$A64,実績!$AK$6:$AK$505,"○")&gt;0,1,0))</f>
        <v>0</v>
      </c>
      <c r="BG64" s="39" t="n">
        <f aca="false">IF(BG$4=0,0,IF(COUNTIFS(実績!$W$6:$W$505,BG$3,実績!$AI$6:$AI$505,"&lt;="&amp;$A64,実績!$AJ$6:$AJ$505,"&gt;"&amp;$A64,実績!$AK$6:$AK$505,"○")&gt;0,1,0))</f>
        <v>0</v>
      </c>
      <c r="BH64" s="39" t="n">
        <f aca="false">IF(BH$4=0,0,IF(COUNTIFS(実績!$W$6:$W$505,BH$3,実績!$AI$6:$AI$505,"&lt;="&amp;$A64,実績!$AJ$6:$AJ$505,"&gt;"&amp;$A64,実績!$AK$6:$AK$505,"○")&gt;0,1,0))</f>
        <v>0</v>
      </c>
      <c r="BI64" s="39" t="n">
        <f aca="false">IF(BI$4=0,0,IF(COUNTIFS(実績!$W$6:$W$505,BI$3,実績!$AI$6:$AI$505,"&lt;="&amp;$A64,実績!$AJ$6:$AJ$505,"&gt;"&amp;$A64,実績!$AK$6:$AK$505,"○")&gt;0,1,0))</f>
        <v>0</v>
      </c>
      <c r="BJ64" s="39" t="n">
        <f aca="false">IF(BJ$4=0,0,IF(COUNTIFS(実績!$W$6:$W$505,BJ$3,実績!$AI$6:$AI$505,"&lt;="&amp;$A64,実績!$AJ$6:$AJ$505,"&gt;"&amp;$A64,実績!$AK$6:$AK$505,"○")&gt;0,1,0))</f>
        <v>0</v>
      </c>
      <c r="BK64" s="39" t="n">
        <f aca="false">IF(BK$4=0,0,IF(COUNTIFS(実績!$W$6:$W$505,BK$3,実績!$AI$6:$AI$505,"&lt;="&amp;$A64,実績!$AJ$6:$AJ$505,"&gt;"&amp;$A64,実績!$AK$6:$AK$505,"○")&gt;0,1,0))</f>
        <v>0</v>
      </c>
      <c r="BL64" s="39" t="n">
        <f aca="false">IF(BL$4=0,0,IF(COUNTIFS(実績!$W$6:$W$505,BL$3,実績!$AI$6:$AI$505,"&lt;="&amp;$A64,実績!$AJ$6:$AJ$505,"&gt;"&amp;$A64,実績!$AK$6:$AK$505,"○")&gt;0,1,0))</f>
        <v>0</v>
      </c>
      <c r="BM64" s="39" t="n">
        <f aca="false">IF(BM$4=0,0,IF(COUNTIFS(実績!$W$6:$W$505,BM$3,実績!$AI$6:$AI$505,"&lt;="&amp;$A64,実績!$AJ$6:$AJ$505,"&gt;"&amp;$A64,実績!$AK$6:$AK$505,"○")&gt;0,1,0))</f>
        <v>0</v>
      </c>
      <c r="BN64" s="39" t="n">
        <f aca="false">IF(BN$4=0,0,IF(COUNTIFS(実績!$W$6:$W$505,BN$3,実績!$AI$6:$AI$505,"&lt;="&amp;$A64,実績!$AJ$6:$AJ$505,"&gt;"&amp;$A64,実績!$AK$6:$AK$505,"○")&gt;0,1,0))</f>
        <v>0</v>
      </c>
      <c r="BO64" s="39" t="n">
        <f aca="false">IF(BO$4=0,0,IF(COUNTIFS(実績!$W$6:$W$505,BO$3,実績!$AI$6:$AI$505,"&lt;="&amp;$A64,実績!$AJ$6:$AJ$505,"&gt;"&amp;$A64,実績!$AK$6:$AK$505,"○")&gt;0,1,0))</f>
        <v>0</v>
      </c>
      <c r="BP64" s="39" t="n">
        <f aca="false">IF(BP$4=0,0,IF(COUNTIFS(実績!$W$6:$W$505,BP$3,実績!$AI$6:$AI$505,"&lt;="&amp;$A64,実績!$AJ$6:$AJ$505,"&gt;"&amp;$A64,実績!$AK$6:$AK$505,"○")&gt;0,1,0))</f>
        <v>0</v>
      </c>
      <c r="BQ64" s="39" t="n">
        <f aca="false">IF(BQ$4=0,0,IF(COUNTIFS(実績!$W$6:$W$505,BQ$3,実績!$AI$6:$AI$505,"&lt;="&amp;$A64,実績!$AJ$6:$AJ$505,"&gt;"&amp;$A64,実績!$AK$6:$AK$505,"○")&gt;0,1,0))</f>
        <v>0</v>
      </c>
      <c r="BR64" s="39" t="n">
        <f aca="false">IF(BR$4=0,0,IF(COUNTIFS(実績!$W$6:$W$505,BR$3,実績!$AI$6:$AI$505,"&lt;="&amp;$A64,実績!$AJ$6:$AJ$505,"&gt;"&amp;$A64,実績!$AK$6:$AK$505,"○")&gt;0,1,0))</f>
        <v>0</v>
      </c>
      <c r="BS64" s="39" t="n">
        <f aca="false">IF(BS$4=0,0,IF(COUNTIFS(実績!$W$6:$W$505,BS$3,実績!$AI$6:$AI$505,"&lt;="&amp;$A64,実績!$AJ$6:$AJ$505,"&gt;"&amp;$A64,実績!$AK$6:$AK$505,"○")&gt;0,1,0))</f>
        <v>0</v>
      </c>
      <c r="BT64" s="39" t="n">
        <f aca="false">IF(BT$4=0,0,IF(COUNTIFS(実績!$W$6:$W$505,BT$3,実績!$AI$6:$AI$505,"&lt;="&amp;$A64,実績!$AJ$6:$AJ$505,"&gt;"&amp;$A64,実績!$AK$6:$AK$505,"○")&gt;0,1,0))</f>
        <v>0</v>
      </c>
      <c r="BU64" s="39" t="n">
        <f aca="false">IF(BU$4=0,0,IF(COUNTIFS(実績!$W$6:$W$505,BU$3,実績!$AI$6:$AI$505,"&lt;="&amp;$A64,実績!$AJ$6:$AJ$505,"&gt;"&amp;$A64,実績!$AK$6:$AK$505,"○")&gt;0,1,0))</f>
        <v>0</v>
      </c>
      <c r="BV64" s="39" t="n">
        <f aca="false">IF(BV$4=0,0,IF(COUNTIFS(実績!$W$6:$W$505,BV$3,実績!$AI$6:$AI$505,"&lt;="&amp;$A64,実績!$AJ$6:$AJ$505,"&gt;"&amp;$A64,実績!$AK$6:$AK$505,"○")&gt;0,1,0))</f>
        <v>0</v>
      </c>
      <c r="BW64" s="39" t="n">
        <f aca="false">IF(BW$4=0,0,IF(COUNTIFS(実績!$W$6:$W$505,BW$3,実績!$AI$6:$AI$505,"&lt;="&amp;$A64,実績!$AJ$6:$AJ$505,"&gt;"&amp;$A64,実績!$AK$6:$AK$505,"○")&gt;0,1,0))</f>
        <v>0</v>
      </c>
      <c r="BX64" s="39" t="n">
        <f aca="false">IF(BX$4=0,0,IF(COUNTIFS(実績!$W$6:$W$505,BX$3,実績!$AI$6:$AI$505,"&lt;="&amp;$A64,実績!$AJ$6:$AJ$505,"&gt;"&amp;$A64,実績!$AK$6:$AK$505,"○")&gt;0,1,0))</f>
        <v>0</v>
      </c>
      <c r="BY64" s="39" t="n">
        <f aca="false">IF(BY$4=0,0,IF(COUNTIFS(実績!$W$6:$W$505,BY$3,実績!$AI$6:$AI$505,"&lt;="&amp;$A64,実績!$AJ$6:$AJ$505,"&gt;"&amp;$A64,実績!$AK$6:$AK$505,"○")&gt;0,1,0))</f>
        <v>0</v>
      </c>
      <c r="BZ64" s="39" t="n">
        <f aca="false">IF(BZ$4=0,0,IF(COUNTIFS(実績!$W$6:$W$505,BZ$3,実績!$AI$6:$AI$505,"&lt;="&amp;$A64,実績!$AJ$6:$AJ$505,"&gt;"&amp;$A64,実績!$AK$6:$AK$505,"○")&gt;0,1,0))</f>
        <v>0</v>
      </c>
      <c r="CA64" s="39" t="n">
        <f aca="false">IF(CA$4=0,0,IF(COUNTIFS(実績!$W$6:$W$505,CA$3,実績!$AI$6:$AI$505,"&lt;="&amp;$A64,実績!$AJ$6:$AJ$505,"&gt;"&amp;$A64,実績!$AK$6:$AK$505,"○")&gt;0,1,0))</f>
        <v>0</v>
      </c>
      <c r="CB64" s="39" t="n">
        <f aca="false">IF(CB$4=0,0,IF(COUNTIFS(実績!$W$6:$W$505,CB$3,実績!$AI$6:$AI$505,"&lt;="&amp;$A64,実績!$AJ$6:$AJ$505,"&gt;"&amp;$A64,実績!$AK$6:$AK$505,"○")&gt;0,1,0))</f>
        <v>0</v>
      </c>
      <c r="CC64" s="39" t="n">
        <f aca="false">IF(CC$4=0,0,IF(COUNTIFS(実績!$W$6:$W$505,CC$3,実績!$AI$6:$AI$505,"&lt;="&amp;$A64,実績!$AJ$6:$AJ$505,"&gt;"&amp;$A64,実績!$AK$6:$AK$505,"○")&gt;0,1,0))</f>
        <v>0</v>
      </c>
      <c r="CD64" s="39" t="n">
        <f aca="false">IF(CD$4=0,0,IF(COUNTIFS(実績!$W$6:$W$505,CD$3,実績!$AI$6:$AI$505,"&lt;="&amp;$A64,実績!$AJ$6:$AJ$505,"&gt;"&amp;$A64,実績!$AK$6:$AK$505,"○")&gt;0,1,0))</f>
        <v>0</v>
      </c>
      <c r="CE64" s="39" t="n">
        <f aca="false">IF(CE$4=0,0,IF(COUNTIFS(実績!$W$6:$W$505,CE$3,実績!$AI$6:$AI$505,"&lt;="&amp;$A64,実績!$AJ$6:$AJ$505,"&gt;"&amp;$A64,実績!$AK$6:$AK$505,"○")&gt;0,1,0))</f>
        <v>0</v>
      </c>
      <c r="CF64" s="39" t="n">
        <f aca="false">IF(CF$4=0,0,IF(COUNTIFS(実績!$W$6:$W$505,CF$3,実績!$AI$6:$AI$505,"&lt;="&amp;$A64,実績!$AJ$6:$AJ$505,"&gt;"&amp;$A64,実績!$AK$6:$AK$505,"○")&gt;0,1,0))</f>
        <v>0</v>
      </c>
      <c r="CG64" s="39" t="n">
        <f aca="false">IF(CG$4=0,0,IF(COUNTIFS(実績!$W$6:$W$505,CG$3,実績!$AI$6:$AI$505,"&lt;="&amp;$A64,実績!$AJ$6:$AJ$505,"&gt;"&amp;$A64,実績!$AK$6:$AK$505,"○")&gt;0,1,0))</f>
        <v>0</v>
      </c>
      <c r="CH64" s="39" t="n">
        <f aca="false">IF(CH$4=0,0,IF(COUNTIFS(実績!$W$6:$W$505,CH$3,実績!$AI$6:$AI$505,"&lt;="&amp;$A64,実績!$AJ$6:$AJ$505,"&gt;"&amp;$A64,実績!$AK$6:$AK$505,"○")&gt;0,1,0))</f>
        <v>0</v>
      </c>
      <c r="CI64" s="39" t="n">
        <f aca="false">IF(CI$4=0,0,IF(COUNTIFS(実績!$W$6:$W$505,CI$3,実績!$AI$6:$AI$505,"&lt;="&amp;$A64,実績!$AJ$6:$AJ$505,"&gt;"&amp;$A64,実績!$AK$6:$AK$505,"○")&gt;0,1,0))</f>
        <v>0</v>
      </c>
      <c r="CJ64" s="39" t="n">
        <f aca="false">IF(CJ$4=0,0,IF(COUNTIFS(実績!$W$6:$W$505,CJ$3,実績!$AI$6:$AI$505,"&lt;="&amp;$A64,実績!$AJ$6:$AJ$505,"&gt;"&amp;$A64,実績!$AK$6:$AK$505,"○")&gt;0,1,0))</f>
        <v>0</v>
      </c>
      <c r="CK64" s="39" t="n">
        <f aca="false">IF(CK$4=0,0,IF(COUNTIFS(実績!$W$6:$W$505,CK$3,実績!$AI$6:$AI$505,"&lt;="&amp;$A64,実績!$AJ$6:$AJ$505,"&gt;"&amp;$A64,実績!$AK$6:$AK$505,"○")&gt;0,1,0))</f>
        <v>0</v>
      </c>
      <c r="CL64" s="39" t="n">
        <f aca="false">IF(CL$4=0,0,IF(COUNTIFS(実績!$W$6:$W$505,CL$3,実績!$AI$6:$AI$505,"&lt;="&amp;$A64,実績!$AJ$6:$AJ$505,"&gt;"&amp;$A64,実績!$AK$6:$AK$505,"○")&gt;0,1,0))</f>
        <v>0</v>
      </c>
      <c r="CM64" s="39" t="n">
        <f aca="false">IF(CM$4=0,0,IF(COUNTIFS(実績!$W$6:$W$505,CM$3,実績!$AI$6:$AI$505,"&lt;="&amp;$A64,実績!$AJ$6:$AJ$505,"&gt;"&amp;$A64,実績!$AK$6:$AK$505,"○")&gt;0,1,0))</f>
        <v>0</v>
      </c>
      <c r="CN64" s="39" t="n">
        <f aca="false">IF(CN$4=0,0,IF(COUNTIFS(実績!$W$6:$W$505,CN$3,実績!$AI$6:$AI$505,"&lt;="&amp;$A64,実績!$AJ$6:$AJ$505,"&gt;"&amp;$A64,実績!$AK$6:$AK$505,"○")&gt;0,1,0))</f>
        <v>0</v>
      </c>
      <c r="CO64" s="39" t="n">
        <f aca="false">IF(CO$4=0,0,IF(COUNTIFS(実績!$W$6:$W$505,CO$3,実績!$AI$6:$AI$505,"&lt;="&amp;$A64,実績!$AJ$6:$AJ$505,"&gt;"&amp;$A64,実績!$AK$6:$AK$505,"○")&gt;0,1,0))</f>
        <v>0</v>
      </c>
      <c r="CP64" s="39" t="n">
        <f aca="false">IF(CP$4=0,0,IF(COUNTIFS(実績!$W$6:$W$505,CP$3,実績!$AI$6:$AI$505,"&lt;="&amp;$A64,実績!$AJ$6:$AJ$505,"&gt;"&amp;$A64,実績!$AK$6:$AK$505,"○")&gt;0,1,0))</f>
        <v>0</v>
      </c>
      <c r="CQ64" s="39" t="n">
        <f aca="false">IF(CQ$4=0,0,IF(COUNTIFS(実績!$W$6:$W$505,CQ$3,実績!$AI$6:$AI$505,"&lt;="&amp;$A64,実績!$AJ$6:$AJ$505,"&gt;"&amp;$A64,実績!$AK$6:$AK$505,"○")&gt;0,1,0))</f>
        <v>0</v>
      </c>
      <c r="CR64" s="39" t="n">
        <f aca="false">IF(CR$4=0,0,IF(COUNTIFS(実績!$W$6:$W$505,CR$3,実績!$AI$6:$AI$505,"&lt;="&amp;$A64,実績!$AJ$6:$AJ$505,"&gt;"&amp;$A64,実績!$AK$6:$AK$505,"○")&gt;0,1,0))</f>
        <v>0</v>
      </c>
      <c r="CS64" s="39" t="n">
        <f aca="false">IF(CS$4=0,0,IF(COUNTIFS(実績!$W$6:$W$505,CS$3,実績!$AI$6:$AI$505,"&lt;="&amp;$A64,実績!$AJ$6:$AJ$505,"&gt;"&amp;$A64,実績!$AK$6:$AK$505,"○")&gt;0,1,0))</f>
        <v>0</v>
      </c>
      <c r="CT64" s="39" t="n">
        <f aca="false">IF(CT$4=0,0,IF(COUNTIFS(実績!$W$6:$W$505,CT$3,実績!$AI$6:$AI$505,"&lt;="&amp;$A64,実績!$AJ$6:$AJ$505,"&gt;"&amp;$A64,実績!$AK$6:$AK$505,"○")&gt;0,1,0))</f>
        <v>0</v>
      </c>
      <c r="CU64" s="39" t="n">
        <f aca="false">IF(CU$4=0,0,IF(COUNTIFS(実績!$W$6:$W$505,CU$3,実績!$AI$6:$AI$505,"&lt;="&amp;$A64,実績!$AJ$6:$AJ$505,"&gt;"&amp;$A64,実績!$AK$6:$AK$505,"○")&gt;0,1,0))</f>
        <v>0</v>
      </c>
      <c r="CV64" s="39" t="n">
        <f aca="false">IF(CV$4=0,0,IF(COUNTIFS(実績!$W$6:$W$505,CV$3,実績!$AI$6:$AI$505,"&lt;="&amp;$A64,実績!$AJ$6:$AJ$505,"&gt;"&amp;$A64,実績!$AK$6:$AK$505,"○")&gt;0,1,0))</f>
        <v>0</v>
      </c>
      <c r="CW64" s="39" t="n">
        <f aca="false">IF(CW$4=0,0,IF(COUNTIFS(実績!$W$6:$W$505,CW$3,実績!$AI$6:$AI$505,"&lt;="&amp;$A64,実績!$AJ$6:$AJ$505,"&gt;"&amp;$A64,実績!$AK$6:$AK$505,"○")&gt;0,1,0))</f>
        <v>0</v>
      </c>
      <c r="CX64" s="39" t="n">
        <f aca="false">IF(CX$4=0,0,IF(COUNTIFS(実績!$W$6:$W$505,CX$3,実績!$AI$6:$AI$505,"&lt;="&amp;$A64,実績!$AJ$6:$AJ$505,"&gt;"&amp;$A64,実績!$AK$6:$AK$505,"○")&gt;0,1,0))</f>
        <v>0</v>
      </c>
      <c r="CY64" s="39" t="n">
        <f aca="false">IF(CY$4=0,0,IF(COUNTIFS(実績!$W$6:$W$505,CY$3,実績!$AI$6:$AI$505,"&lt;="&amp;$A64,実績!$AJ$6:$AJ$505,"&gt;"&amp;$A64,実績!$AK$6:$AK$505,"○")&gt;0,1,0))</f>
        <v>0</v>
      </c>
      <c r="CZ64" s="39" t="n">
        <f aca="false">IF(CZ$4=0,0,IF(COUNTIFS(実績!$W$6:$W$505,CZ$3,実績!$AI$6:$AI$505,"&lt;="&amp;$A64,実績!$AJ$6:$AJ$505,"&gt;"&amp;$A64,実績!$AK$6:$AK$505,"○")&gt;0,1,0))</f>
        <v>0</v>
      </c>
      <c r="DA64" s="39" t="n">
        <f aca="false">IF(DA$4=0,0,IF(COUNTIFS(実績!$W$6:$W$505,DA$3,実績!$AI$6:$AI$505,"&lt;="&amp;$A64,実績!$AJ$6:$AJ$505,"&gt;"&amp;$A64,実績!$AK$6:$AK$505,"○")&gt;0,1,0))</f>
        <v>0</v>
      </c>
      <c r="DB64" s="39" t="n">
        <f aca="false">IF(DB$4=0,0,IF(COUNTIFS(実績!$W$6:$W$505,DB$3,実績!$AI$6:$AI$505,"&lt;="&amp;$A64,実績!$AJ$6:$AJ$505,"&gt;"&amp;$A64,実績!$AK$6:$AK$505,"○")&gt;0,1,0))</f>
        <v>0</v>
      </c>
      <c r="DC64" s="39" t="n">
        <f aca="false">IF(DC$4=0,0,IF(COUNTIFS(実績!$W$6:$W$505,DC$3,実績!$AI$6:$AI$505,"&lt;="&amp;$A64,実績!$AJ$6:$AJ$505,"&gt;"&amp;$A64,実績!$AK$6:$AK$505,"○")&gt;0,1,0))</f>
        <v>0</v>
      </c>
      <c r="DD64" s="39" t="n">
        <f aca="false">IF(DD$4=0,0,IF(COUNTIFS(実績!$W$6:$W$505,DD$3,実績!$AI$6:$AI$505,"&lt;="&amp;$A64,実績!$AJ$6:$AJ$505,"&gt;"&amp;$A64,実績!$AK$6:$AK$505,"○")&gt;0,1,0))</f>
        <v>0</v>
      </c>
      <c r="DE64" s="39" t="n">
        <f aca="false">IF(DE$4=0,0,IF(COUNTIFS(実績!$W$6:$W$505,DE$3,実績!$AI$6:$AI$505,"&lt;="&amp;$A64,実績!$AJ$6:$AJ$505,"&gt;"&amp;$A64,実績!$AK$6:$AK$505,"○")&gt;0,1,0))</f>
        <v>0</v>
      </c>
      <c r="DF64" s="39" t="n">
        <f aca="false">IF(DF$4=0,0,IF(COUNTIFS(実績!$W$6:$W$505,DF$3,実績!$AI$6:$AI$505,"&lt;="&amp;$A64,実績!$AJ$6:$AJ$505,"&gt;"&amp;$A64,実績!$AK$6:$AK$505,"○")&gt;0,1,0))</f>
        <v>0</v>
      </c>
      <c r="DG64" s="39" t="n">
        <f aca="false">IF(DG$4=0,0,IF(COUNTIFS(実績!$W$6:$W$505,DG$3,実績!$AI$6:$AI$505,"&lt;="&amp;$A64,実績!$AJ$6:$AJ$505,"&gt;"&amp;$A64,実績!$AK$6:$AK$505,"○")&gt;0,1,0))</f>
        <v>0</v>
      </c>
      <c r="DH64" s="39" t="n">
        <f aca="false">IF(DH$4=0,0,IF(COUNTIFS(実績!$W$6:$W$505,DH$3,実績!$AI$6:$AI$505,"&lt;="&amp;$A64,実績!$AJ$6:$AJ$505,"&gt;"&amp;$A64,実績!$AK$6:$AK$505,"○")&gt;0,1,0))</f>
        <v>0</v>
      </c>
      <c r="DI64" s="39" t="n">
        <f aca="false">IF(DI$4=0,0,IF(COUNTIFS(実績!$W$6:$W$505,DI$3,実績!$AI$6:$AI$505,"&lt;="&amp;$A64,実績!$AJ$6:$AJ$505,"&gt;"&amp;$A64,実績!$AK$6:$AK$505,"○")&gt;0,1,0))</f>
        <v>0</v>
      </c>
      <c r="DJ64" s="39" t="n">
        <f aca="false">IF(DJ$4=0,0,IF(COUNTIFS(実績!$W$6:$W$505,DJ$3,実績!$AI$6:$AI$505,"&lt;="&amp;$A64,実績!$AJ$6:$AJ$505,"&gt;"&amp;$A64,実績!$AK$6:$AK$505,"○")&gt;0,1,0))</f>
        <v>0</v>
      </c>
      <c r="DK64" s="39" t="n">
        <f aca="false">IF(DK$4=0,0,IF(COUNTIFS(実績!$W$6:$W$505,DK$3,実績!$AI$6:$AI$505,"&lt;="&amp;$A64,実績!$AJ$6:$AJ$505,"&gt;"&amp;$A64,実績!$AK$6:$AK$505,"○")&gt;0,1,0))</f>
        <v>0</v>
      </c>
      <c r="DL64" s="39" t="n">
        <f aca="false">IF(DL$4=0,0,IF(COUNTIFS(実績!$W$6:$W$505,DL$3,実績!$AI$6:$AI$505,"&lt;="&amp;$A64,実績!$AJ$6:$AJ$505,"&gt;"&amp;$A64,実績!$AK$6:$AK$505,"○")&gt;0,1,0))</f>
        <v>0</v>
      </c>
      <c r="DM64" s="39" t="n">
        <f aca="false">IF(DM$4=0,0,IF(COUNTIFS(実績!$W$6:$W$505,DM$3,実績!$AI$6:$AI$505,"&lt;="&amp;$A64,実績!$AJ$6:$AJ$505,"&gt;"&amp;$A64,実績!$AK$6:$AK$505,"○")&gt;0,1,0))</f>
        <v>0</v>
      </c>
      <c r="DN64" s="39" t="n">
        <f aca="false">IF(DN$4=0,0,IF(COUNTIFS(実績!$W$6:$W$505,DN$3,実績!$AI$6:$AI$505,"&lt;="&amp;$A64,実績!$AJ$6:$AJ$505,"&gt;"&amp;$A64,実績!$AK$6:$AK$505,"○")&gt;0,1,0))</f>
        <v>0</v>
      </c>
      <c r="DO64" s="39" t="n">
        <f aca="false">IF(DO$4=0,0,IF(COUNTIFS(実績!$W$6:$W$505,DO$3,実績!$AI$6:$AI$505,"&lt;="&amp;$A64,実績!$AJ$6:$AJ$505,"&gt;"&amp;$A64,実績!$AK$6:$AK$505,"○")&gt;0,1,0))</f>
        <v>0</v>
      </c>
      <c r="DP64" s="39" t="n">
        <f aca="false">IF(DP$4=0,0,IF(COUNTIFS(実績!$W$6:$W$505,DP$3,実績!$AI$6:$AI$505,"&lt;="&amp;$A64,実績!$AJ$6:$AJ$505,"&gt;"&amp;$A64,実績!$AK$6:$AK$505,"○")&gt;0,1,0))</f>
        <v>0</v>
      </c>
      <c r="DQ64" s="39" t="n">
        <f aca="false">IF(DQ$4=0,0,IF(COUNTIFS(実績!$W$6:$W$505,DQ$3,実績!$AI$6:$AI$505,"&lt;="&amp;$A64,実績!$AJ$6:$AJ$505,"&gt;"&amp;$A64,実績!$AK$6:$AK$505,"○")&gt;0,1,0))</f>
        <v>0</v>
      </c>
      <c r="DR64" s="39" t="n">
        <f aca="false">IF(DR$4=0,0,IF(COUNTIFS(実績!$W$6:$W$505,DR$3,実績!$AI$6:$AI$505,"&lt;="&amp;$A64,実績!$AJ$6:$AJ$505,"&gt;"&amp;$A64,実績!$AK$6:$AK$505,"○")&gt;0,1,0))</f>
        <v>0</v>
      </c>
      <c r="DS64" s="39" t="n">
        <f aca="false">SUM(C64:DR64)</f>
        <v>0</v>
      </c>
      <c r="DT64" s="39" t="n">
        <f aca="false">SUMPRODUCT((実績!$C$6:$C$505="○")*ISNUMBER(実績!$AM$6:$AM$505)*(実績!$AM$6:$AM$505&lt;=$A64)*(実績!$AN$6:$AN$505&gt;$A64))</f>
        <v>0</v>
      </c>
      <c r="DU64" s="39" t="n">
        <f aca="false">SUMIF($C$2:$DR$2,"製鉄曳船",C64:DR64)</f>
        <v>0</v>
      </c>
      <c r="DV64" s="39" t="n">
        <f aca="false">SUMIF($C$2:$DR$2,"西日本海運",C64:DR64)</f>
        <v>0</v>
      </c>
    </row>
    <row r="65" customFormat="false" ht="15" hidden="false" customHeight="false" outlineLevel="0" collapsed="false">
      <c r="A65" s="0" t="n">
        <v>295</v>
      </c>
      <c r="B65" s="38" t="n">
        <f aca="false">A65/1440</f>
        <v>0.204861111111111</v>
      </c>
      <c r="C65" s="39" t="n">
        <f aca="false">IF(C$4=0,0,IF(COUNTIFS(実績!$W$6:$W$505,C$3,実績!$AI$6:$AI$505,"&lt;="&amp;$A65,実績!$AJ$6:$AJ$505,"&gt;"&amp;$A65,実績!$AK$6:$AK$505,"○")&gt;0,1,0))</f>
        <v>0</v>
      </c>
      <c r="D65" s="39" t="n">
        <f aca="false">IF(D$4=0,0,IF(COUNTIFS(実績!$W$6:$W$505,D$3,実績!$AI$6:$AI$505,"&lt;="&amp;$A65,実績!$AJ$6:$AJ$505,"&gt;"&amp;$A65,実績!$AK$6:$AK$505,"○")&gt;0,1,0))</f>
        <v>0</v>
      </c>
      <c r="E65" s="39" t="n">
        <f aca="false">IF(E$4=0,0,IF(COUNTIFS(実績!$W$6:$W$505,E$3,実績!$AI$6:$AI$505,"&lt;="&amp;$A65,実績!$AJ$6:$AJ$505,"&gt;"&amp;$A65,実績!$AK$6:$AK$505,"○")&gt;0,1,0))</f>
        <v>0</v>
      </c>
      <c r="F65" s="39" t="n">
        <f aca="false">IF(F$4=0,0,IF(COUNTIFS(実績!$W$6:$W$505,F$3,実績!$AI$6:$AI$505,"&lt;="&amp;$A65,実績!$AJ$6:$AJ$505,"&gt;"&amp;$A65,実績!$AK$6:$AK$505,"○")&gt;0,1,0))</f>
        <v>0</v>
      </c>
      <c r="G65" s="39" t="n">
        <f aca="false">IF(G$4=0,0,IF(COUNTIFS(実績!$W$6:$W$505,G$3,実績!$AI$6:$AI$505,"&lt;="&amp;$A65,実績!$AJ$6:$AJ$505,"&gt;"&amp;$A65,実績!$AK$6:$AK$505,"○")&gt;0,1,0))</f>
        <v>0</v>
      </c>
      <c r="H65" s="39" t="n">
        <f aca="false">IF(H$4=0,0,IF(COUNTIFS(実績!$W$6:$W$505,H$3,実績!$AI$6:$AI$505,"&lt;="&amp;$A65,実績!$AJ$6:$AJ$505,"&gt;"&amp;$A65,実績!$AK$6:$AK$505,"○")&gt;0,1,0))</f>
        <v>0</v>
      </c>
      <c r="I65" s="39" t="n">
        <f aca="false">IF(I$4=0,0,IF(COUNTIFS(実績!$W$6:$W$505,I$3,実績!$AI$6:$AI$505,"&lt;="&amp;$A65,実績!$AJ$6:$AJ$505,"&gt;"&amp;$A65,実績!$AK$6:$AK$505,"○")&gt;0,1,0))</f>
        <v>0</v>
      </c>
      <c r="J65" s="39" t="n">
        <f aca="false">IF(J$4=0,0,IF(COUNTIFS(実績!$W$6:$W$505,J$3,実績!$AI$6:$AI$505,"&lt;="&amp;$A65,実績!$AJ$6:$AJ$505,"&gt;"&amp;$A65,実績!$AK$6:$AK$505,"○")&gt;0,1,0))</f>
        <v>0</v>
      </c>
      <c r="K65" s="39" t="n">
        <f aca="false">IF(K$4=0,0,IF(COUNTIFS(実績!$W$6:$W$505,K$3,実績!$AI$6:$AI$505,"&lt;="&amp;$A65,実績!$AJ$6:$AJ$505,"&gt;"&amp;$A65,実績!$AK$6:$AK$505,"○")&gt;0,1,0))</f>
        <v>0</v>
      </c>
      <c r="L65" s="39" t="n">
        <f aca="false">IF(L$4=0,0,IF(COUNTIFS(実績!$W$6:$W$505,L$3,実績!$AI$6:$AI$505,"&lt;="&amp;$A65,実績!$AJ$6:$AJ$505,"&gt;"&amp;$A65,実績!$AK$6:$AK$505,"○")&gt;0,1,0))</f>
        <v>0</v>
      </c>
      <c r="M65" s="39" t="n">
        <f aca="false">IF(M$4=0,0,IF(COUNTIFS(実績!$W$6:$W$505,M$3,実績!$AI$6:$AI$505,"&lt;="&amp;$A65,実績!$AJ$6:$AJ$505,"&gt;"&amp;$A65,実績!$AK$6:$AK$505,"○")&gt;0,1,0))</f>
        <v>0</v>
      </c>
      <c r="N65" s="39" t="n">
        <f aca="false">IF(N$4=0,0,IF(COUNTIFS(実績!$W$6:$W$505,N$3,実績!$AI$6:$AI$505,"&lt;="&amp;$A65,実績!$AJ$6:$AJ$505,"&gt;"&amp;$A65,実績!$AK$6:$AK$505,"○")&gt;0,1,0))</f>
        <v>0</v>
      </c>
      <c r="O65" s="39" t="n">
        <f aca="false">IF(O$4=0,0,IF(COUNTIFS(実績!$W$6:$W$505,O$3,実績!$AI$6:$AI$505,"&lt;="&amp;$A65,実績!$AJ$6:$AJ$505,"&gt;"&amp;$A65,実績!$AK$6:$AK$505,"○")&gt;0,1,0))</f>
        <v>0</v>
      </c>
      <c r="P65" s="39" t="n">
        <f aca="false">IF(P$4=0,0,IF(COUNTIFS(実績!$W$6:$W$505,P$3,実績!$AI$6:$AI$505,"&lt;="&amp;$A65,実績!$AJ$6:$AJ$505,"&gt;"&amp;$A65,実績!$AK$6:$AK$505,"○")&gt;0,1,0))</f>
        <v>0</v>
      </c>
      <c r="Q65" s="39" t="n">
        <f aca="false">IF(Q$4=0,0,IF(COUNTIFS(実績!$W$6:$W$505,Q$3,実績!$AI$6:$AI$505,"&lt;="&amp;$A65,実績!$AJ$6:$AJ$505,"&gt;"&amp;$A65,実績!$AK$6:$AK$505,"○")&gt;0,1,0))</f>
        <v>0</v>
      </c>
      <c r="R65" s="39" t="n">
        <f aca="false">IF(R$4=0,0,IF(COUNTIFS(実績!$W$6:$W$505,R$3,実績!$AI$6:$AI$505,"&lt;="&amp;$A65,実績!$AJ$6:$AJ$505,"&gt;"&amp;$A65,実績!$AK$6:$AK$505,"○")&gt;0,1,0))</f>
        <v>0</v>
      </c>
      <c r="S65" s="39" t="n">
        <f aca="false">IF(S$4=0,0,IF(COUNTIFS(実績!$W$6:$W$505,S$3,実績!$AI$6:$AI$505,"&lt;="&amp;$A65,実績!$AJ$6:$AJ$505,"&gt;"&amp;$A65,実績!$AK$6:$AK$505,"○")&gt;0,1,0))</f>
        <v>0</v>
      </c>
      <c r="T65" s="39" t="n">
        <f aca="false">IF(T$4=0,0,IF(COUNTIFS(実績!$W$6:$W$505,T$3,実績!$AI$6:$AI$505,"&lt;="&amp;$A65,実績!$AJ$6:$AJ$505,"&gt;"&amp;$A65,実績!$AK$6:$AK$505,"○")&gt;0,1,0))</f>
        <v>0</v>
      </c>
      <c r="U65" s="39" t="n">
        <f aca="false">IF(U$4=0,0,IF(COUNTIFS(実績!$W$6:$W$505,U$3,実績!$AI$6:$AI$505,"&lt;="&amp;$A65,実績!$AJ$6:$AJ$505,"&gt;"&amp;$A65,実績!$AK$6:$AK$505,"○")&gt;0,1,0))</f>
        <v>0</v>
      </c>
      <c r="V65" s="39" t="n">
        <f aca="false">IF(V$4=0,0,IF(COUNTIFS(実績!$W$6:$W$505,V$3,実績!$AI$6:$AI$505,"&lt;="&amp;$A65,実績!$AJ$6:$AJ$505,"&gt;"&amp;$A65,実績!$AK$6:$AK$505,"○")&gt;0,1,0))</f>
        <v>0</v>
      </c>
      <c r="W65" s="39" t="n">
        <f aca="false">IF(W$4=0,0,IF(COUNTIFS(実績!$W$6:$W$505,W$3,実績!$AI$6:$AI$505,"&lt;="&amp;$A65,実績!$AJ$6:$AJ$505,"&gt;"&amp;$A65,実績!$AK$6:$AK$505,"○")&gt;0,1,0))</f>
        <v>0</v>
      </c>
      <c r="X65" s="39" t="n">
        <f aca="false">IF(X$4=0,0,IF(COUNTIFS(実績!$W$6:$W$505,X$3,実績!$AI$6:$AI$505,"&lt;="&amp;$A65,実績!$AJ$6:$AJ$505,"&gt;"&amp;$A65,実績!$AK$6:$AK$505,"○")&gt;0,1,0))</f>
        <v>0</v>
      </c>
      <c r="Y65" s="39" t="n">
        <f aca="false">IF(Y$4=0,0,IF(COUNTIFS(実績!$W$6:$W$505,Y$3,実績!$AI$6:$AI$505,"&lt;="&amp;$A65,実績!$AJ$6:$AJ$505,"&gt;"&amp;$A65,実績!$AK$6:$AK$505,"○")&gt;0,1,0))</f>
        <v>0</v>
      </c>
      <c r="Z65" s="39" t="n">
        <f aca="false">IF(Z$4=0,0,IF(COUNTIFS(実績!$W$6:$W$505,Z$3,実績!$AI$6:$AI$505,"&lt;="&amp;$A65,実績!$AJ$6:$AJ$505,"&gt;"&amp;$A65,実績!$AK$6:$AK$505,"○")&gt;0,1,0))</f>
        <v>0</v>
      </c>
      <c r="AA65" s="39" t="n">
        <f aca="false">IF(AA$4=0,0,IF(COUNTIFS(実績!$W$6:$W$505,AA$3,実績!$AI$6:$AI$505,"&lt;="&amp;$A65,実績!$AJ$6:$AJ$505,"&gt;"&amp;$A65,実績!$AK$6:$AK$505,"○")&gt;0,1,0))</f>
        <v>0</v>
      </c>
      <c r="AB65" s="39" t="n">
        <f aca="false">IF(AB$4=0,0,IF(COUNTIFS(実績!$W$6:$W$505,AB$3,実績!$AI$6:$AI$505,"&lt;="&amp;$A65,実績!$AJ$6:$AJ$505,"&gt;"&amp;$A65,実績!$AK$6:$AK$505,"○")&gt;0,1,0))</f>
        <v>0</v>
      </c>
      <c r="AC65" s="39" t="n">
        <f aca="false">IF(AC$4=0,0,IF(COUNTIFS(実績!$W$6:$W$505,AC$3,実績!$AI$6:$AI$505,"&lt;="&amp;$A65,実績!$AJ$6:$AJ$505,"&gt;"&amp;$A65,実績!$AK$6:$AK$505,"○")&gt;0,1,0))</f>
        <v>0</v>
      </c>
      <c r="AD65" s="39" t="n">
        <f aca="false">IF(AD$4=0,0,IF(COUNTIFS(実績!$W$6:$W$505,AD$3,実績!$AI$6:$AI$505,"&lt;="&amp;$A65,実績!$AJ$6:$AJ$505,"&gt;"&amp;$A65,実績!$AK$6:$AK$505,"○")&gt;0,1,0))</f>
        <v>0</v>
      </c>
      <c r="AE65" s="39" t="n">
        <f aca="false">IF(AE$4=0,0,IF(COUNTIFS(実績!$W$6:$W$505,AE$3,実績!$AI$6:$AI$505,"&lt;="&amp;$A65,実績!$AJ$6:$AJ$505,"&gt;"&amp;$A65,実績!$AK$6:$AK$505,"○")&gt;0,1,0))</f>
        <v>0</v>
      </c>
      <c r="AF65" s="39" t="n">
        <f aca="false">IF(AF$4=0,0,IF(COUNTIFS(実績!$W$6:$W$505,AF$3,実績!$AI$6:$AI$505,"&lt;="&amp;$A65,実績!$AJ$6:$AJ$505,"&gt;"&amp;$A65,実績!$AK$6:$AK$505,"○")&gt;0,1,0))</f>
        <v>0</v>
      </c>
      <c r="AG65" s="39" t="n">
        <f aca="false">IF(AG$4=0,0,IF(COUNTIFS(実績!$W$6:$W$505,AG$3,実績!$AI$6:$AI$505,"&lt;="&amp;$A65,実績!$AJ$6:$AJ$505,"&gt;"&amp;$A65,実績!$AK$6:$AK$505,"○")&gt;0,1,0))</f>
        <v>0</v>
      </c>
      <c r="AH65" s="39" t="n">
        <f aca="false">IF(AH$4=0,0,IF(COUNTIFS(実績!$W$6:$W$505,AH$3,実績!$AI$6:$AI$505,"&lt;="&amp;$A65,実績!$AJ$6:$AJ$505,"&gt;"&amp;$A65,実績!$AK$6:$AK$505,"○")&gt;0,1,0))</f>
        <v>0</v>
      </c>
      <c r="AI65" s="39" t="n">
        <f aca="false">IF(AI$4=0,0,IF(COUNTIFS(実績!$W$6:$W$505,AI$3,実績!$AI$6:$AI$505,"&lt;="&amp;$A65,実績!$AJ$6:$AJ$505,"&gt;"&amp;$A65,実績!$AK$6:$AK$505,"○")&gt;0,1,0))</f>
        <v>0</v>
      </c>
      <c r="AJ65" s="39" t="n">
        <f aca="false">IF(AJ$4=0,0,IF(COUNTIFS(実績!$W$6:$W$505,AJ$3,実績!$AI$6:$AI$505,"&lt;="&amp;$A65,実績!$AJ$6:$AJ$505,"&gt;"&amp;$A65,実績!$AK$6:$AK$505,"○")&gt;0,1,0))</f>
        <v>0</v>
      </c>
      <c r="AK65" s="39" t="n">
        <f aca="false">IF(AK$4=0,0,IF(COUNTIFS(実績!$W$6:$W$505,AK$3,実績!$AI$6:$AI$505,"&lt;="&amp;$A65,実績!$AJ$6:$AJ$505,"&gt;"&amp;$A65,実績!$AK$6:$AK$505,"○")&gt;0,1,0))</f>
        <v>0</v>
      </c>
      <c r="AL65" s="39" t="n">
        <f aca="false">IF(AL$4=0,0,IF(COUNTIFS(実績!$W$6:$W$505,AL$3,実績!$AI$6:$AI$505,"&lt;="&amp;$A65,実績!$AJ$6:$AJ$505,"&gt;"&amp;$A65,実績!$AK$6:$AK$505,"○")&gt;0,1,0))</f>
        <v>0</v>
      </c>
      <c r="AM65" s="39" t="n">
        <f aca="false">IF(AM$4=0,0,IF(COUNTIFS(実績!$W$6:$W$505,AM$3,実績!$AI$6:$AI$505,"&lt;="&amp;$A65,実績!$AJ$6:$AJ$505,"&gt;"&amp;$A65,実績!$AK$6:$AK$505,"○")&gt;0,1,0))</f>
        <v>0</v>
      </c>
      <c r="AN65" s="39" t="n">
        <f aca="false">IF(AN$4=0,0,IF(COUNTIFS(実績!$W$6:$W$505,AN$3,実績!$AI$6:$AI$505,"&lt;="&amp;$A65,実績!$AJ$6:$AJ$505,"&gt;"&amp;$A65,実績!$AK$6:$AK$505,"○")&gt;0,1,0))</f>
        <v>0</v>
      </c>
      <c r="AO65" s="39" t="n">
        <f aca="false">IF(AO$4=0,0,IF(COUNTIFS(実績!$W$6:$W$505,AO$3,実績!$AI$6:$AI$505,"&lt;="&amp;$A65,実績!$AJ$6:$AJ$505,"&gt;"&amp;$A65,実績!$AK$6:$AK$505,"○")&gt;0,1,0))</f>
        <v>0</v>
      </c>
      <c r="AP65" s="39" t="n">
        <f aca="false">IF(AP$4=0,0,IF(COUNTIFS(実績!$W$6:$W$505,AP$3,実績!$AI$6:$AI$505,"&lt;="&amp;$A65,実績!$AJ$6:$AJ$505,"&gt;"&amp;$A65,実績!$AK$6:$AK$505,"○")&gt;0,1,0))</f>
        <v>0</v>
      </c>
      <c r="AQ65" s="39" t="n">
        <f aca="false">IF(AQ$4=0,0,IF(COUNTIFS(実績!$W$6:$W$505,AQ$3,実績!$AI$6:$AI$505,"&lt;="&amp;$A65,実績!$AJ$6:$AJ$505,"&gt;"&amp;$A65,実績!$AK$6:$AK$505,"○")&gt;0,1,0))</f>
        <v>0</v>
      </c>
      <c r="AR65" s="39" t="n">
        <f aca="false">IF(AR$4=0,0,IF(COUNTIFS(実績!$W$6:$W$505,AR$3,実績!$AI$6:$AI$505,"&lt;="&amp;$A65,実績!$AJ$6:$AJ$505,"&gt;"&amp;$A65,実績!$AK$6:$AK$505,"○")&gt;0,1,0))</f>
        <v>0</v>
      </c>
      <c r="AS65" s="39" t="n">
        <f aca="false">IF(AS$4=0,0,IF(COUNTIFS(実績!$W$6:$W$505,AS$3,実績!$AI$6:$AI$505,"&lt;="&amp;$A65,実績!$AJ$6:$AJ$505,"&gt;"&amp;$A65,実績!$AK$6:$AK$505,"○")&gt;0,1,0))</f>
        <v>0</v>
      </c>
      <c r="AT65" s="39" t="n">
        <f aca="false">IF(AT$4=0,0,IF(COUNTIFS(実績!$W$6:$W$505,AT$3,実績!$AI$6:$AI$505,"&lt;="&amp;$A65,実績!$AJ$6:$AJ$505,"&gt;"&amp;$A65,実績!$AK$6:$AK$505,"○")&gt;0,1,0))</f>
        <v>0</v>
      </c>
      <c r="AU65" s="39" t="n">
        <f aca="false">IF(AU$4=0,0,IF(COUNTIFS(実績!$W$6:$W$505,AU$3,実績!$AI$6:$AI$505,"&lt;="&amp;$A65,実績!$AJ$6:$AJ$505,"&gt;"&amp;$A65,実績!$AK$6:$AK$505,"○")&gt;0,1,0))</f>
        <v>0</v>
      </c>
      <c r="AV65" s="39" t="n">
        <f aca="false">IF(AV$4=0,0,IF(COUNTIFS(実績!$W$6:$W$505,AV$3,実績!$AI$6:$AI$505,"&lt;="&amp;$A65,実績!$AJ$6:$AJ$505,"&gt;"&amp;$A65,実績!$AK$6:$AK$505,"○")&gt;0,1,0))</f>
        <v>0</v>
      </c>
      <c r="AW65" s="39" t="n">
        <f aca="false">IF(AW$4=0,0,IF(COUNTIFS(実績!$W$6:$W$505,AW$3,実績!$AI$6:$AI$505,"&lt;="&amp;$A65,実績!$AJ$6:$AJ$505,"&gt;"&amp;$A65,実績!$AK$6:$AK$505,"○")&gt;0,1,0))</f>
        <v>0</v>
      </c>
      <c r="AX65" s="39" t="n">
        <f aca="false">IF(AX$4=0,0,IF(COUNTIFS(実績!$W$6:$W$505,AX$3,実績!$AI$6:$AI$505,"&lt;="&amp;$A65,実績!$AJ$6:$AJ$505,"&gt;"&amp;$A65,実績!$AK$6:$AK$505,"○")&gt;0,1,0))</f>
        <v>0</v>
      </c>
      <c r="AY65" s="39" t="n">
        <f aca="false">IF(AY$4=0,0,IF(COUNTIFS(実績!$W$6:$W$505,AY$3,実績!$AI$6:$AI$505,"&lt;="&amp;$A65,実績!$AJ$6:$AJ$505,"&gt;"&amp;$A65,実績!$AK$6:$AK$505,"○")&gt;0,1,0))</f>
        <v>0</v>
      </c>
      <c r="AZ65" s="39" t="n">
        <f aca="false">IF(AZ$4=0,0,IF(COUNTIFS(実績!$W$6:$W$505,AZ$3,実績!$AI$6:$AI$505,"&lt;="&amp;$A65,実績!$AJ$6:$AJ$505,"&gt;"&amp;$A65,実績!$AK$6:$AK$505,"○")&gt;0,1,0))</f>
        <v>0</v>
      </c>
      <c r="BA65" s="39" t="n">
        <f aca="false">IF(BA$4=0,0,IF(COUNTIFS(実績!$W$6:$W$505,BA$3,実績!$AI$6:$AI$505,"&lt;="&amp;$A65,実績!$AJ$6:$AJ$505,"&gt;"&amp;$A65,実績!$AK$6:$AK$505,"○")&gt;0,1,0))</f>
        <v>0</v>
      </c>
      <c r="BB65" s="39" t="n">
        <f aca="false">IF(BB$4=0,0,IF(COUNTIFS(実績!$W$6:$W$505,BB$3,実績!$AI$6:$AI$505,"&lt;="&amp;$A65,実績!$AJ$6:$AJ$505,"&gt;"&amp;$A65,実績!$AK$6:$AK$505,"○")&gt;0,1,0))</f>
        <v>0</v>
      </c>
      <c r="BC65" s="39" t="n">
        <f aca="false">IF(BC$4=0,0,IF(COUNTIFS(実績!$W$6:$W$505,BC$3,実績!$AI$6:$AI$505,"&lt;="&amp;$A65,実績!$AJ$6:$AJ$505,"&gt;"&amp;$A65,実績!$AK$6:$AK$505,"○")&gt;0,1,0))</f>
        <v>0</v>
      </c>
      <c r="BD65" s="39" t="n">
        <f aca="false">IF(BD$4=0,0,IF(COUNTIFS(実績!$W$6:$W$505,BD$3,実績!$AI$6:$AI$505,"&lt;="&amp;$A65,実績!$AJ$6:$AJ$505,"&gt;"&amp;$A65,実績!$AK$6:$AK$505,"○")&gt;0,1,0))</f>
        <v>0</v>
      </c>
      <c r="BE65" s="39" t="n">
        <f aca="false">IF(BE$4=0,0,IF(COUNTIFS(実績!$W$6:$W$505,BE$3,実績!$AI$6:$AI$505,"&lt;="&amp;$A65,実績!$AJ$6:$AJ$505,"&gt;"&amp;$A65,実績!$AK$6:$AK$505,"○")&gt;0,1,0))</f>
        <v>0</v>
      </c>
      <c r="BF65" s="39" t="n">
        <f aca="false">IF(BF$4=0,0,IF(COUNTIFS(実績!$W$6:$W$505,BF$3,実績!$AI$6:$AI$505,"&lt;="&amp;$A65,実績!$AJ$6:$AJ$505,"&gt;"&amp;$A65,実績!$AK$6:$AK$505,"○")&gt;0,1,0))</f>
        <v>0</v>
      </c>
      <c r="BG65" s="39" t="n">
        <f aca="false">IF(BG$4=0,0,IF(COUNTIFS(実績!$W$6:$W$505,BG$3,実績!$AI$6:$AI$505,"&lt;="&amp;$A65,実績!$AJ$6:$AJ$505,"&gt;"&amp;$A65,実績!$AK$6:$AK$505,"○")&gt;0,1,0))</f>
        <v>0</v>
      </c>
      <c r="BH65" s="39" t="n">
        <f aca="false">IF(BH$4=0,0,IF(COUNTIFS(実績!$W$6:$W$505,BH$3,実績!$AI$6:$AI$505,"&lt;="&amp;$A65,実績!$AJ$6:$AJ$505,"&gt;"&amp;$A65,実績!$AK$6:$AK$505,"○")&gt;0,1,0))</f>
        <v>0</v>
      </c>
      <c r="BI65" s="39" t="n">
        <f aca="false">IF(BI$4=0,0,IF(COUNTIFS(実績!$W$6:$W$505,BI$3,実績!$AI$6:$AI$505,"&lt;="&amp;$A65,実績!$AJ$6:$AJ$505,"&gt;"&amp;$A65,実績!$AK$6:$AK$505,"○")&gt;0,1,0))</f>
        <v>0</v>
      </c>
      <c r="BJ65" s="39" t="n">
        <f aca="false">IF(BJ$4=0,0,IF(COUNTIFS(実績!$W$6:$W$505,BJ$3,実績!$AI$6:$AI$505,"&lt;="&amp;$A65,実績!$AJ$6:$AJ$505,"&gt;"&amp;$A65,実績!$AK$6:$AK$505,"○")&gt;0,1,0))</f>
        <v>0</v>
      </c>
      <c r="BK65" s="39" t="n">
        <f aca="false">IF(BK$4=0,0,IF(COUNTIFS(実績!$W$6:$W$505,BK$3,実績!$AI$6:$AI$505,"&lt;="&amp;$A65,実績!$AJ$6:$AJ$505,"&gt;"&amp;$A65,実績!$AK$6:$AK$505,"○")&gt;0,1,0))</f>
        <v>0</v>
      </c>
      <c r="BL65" s="39" t="n">
        <f aca="false">IF(BL$4=0,0,IF(COUNTIFS(実績!$W$6:$W$505,BL$3,実績!$AI$6:$AI$505,"&lt;="&amp;$A65,実績!$AJ$6:$AJ$505,"&gt;"&amp;$A65,実績!$AK$6:$AK$505,"○")&gt;0,1,0))</f>
        <v>0</v>
      </c>
      <c r="BM65" s="39" t="n">
        <f aca="false">IF(BM$4=0,0,IF(COUNTIFS(実績!$W$6:$W$505,BM$3,実績!$AI$6:$AI$505,"&lt;="&amp;$A65,実績!$AJ$6:$AJ$505,"&gt;"&amp;$A65,実績!$AK$6:$AK$505,"○")&gt;0,1,0))</f>
        <v>0</v>
      </c>
      <c r="BN65" s="39" t="n">
        <f aca="false">IF(BN$4=0,0,IF(COUNTIFS(実績!$W$6:$W$505,BN$3,実績!$AI$6:$AI$505,"&lt;="&amp;$A65,実績!$AJ$6:$AJ$505,"&gt;"&amp;$A65,実績!$AK$6:$AK$505,"○")&gt;0,1,0))</f>
        <v>0</v>
      </c>
      <c r="BO65" s="39" t="n">
        <f aca="false">IF(BO$4=0,0,IF(COUNTIFS(実績!$W$6:$W$505,BO$3,実績!$AI$6:$AI$505,"&lt;="&amp;$A65,実績!$AJ$6:$AJ$505,"&gt;"&amp;$A65,実績!$AK$6:$AK$505,"○")&gt;0,1,0))</f>
        <v>0</v>
      </c>
      <c r="BP65" s="39" t="n">
        <f aca="false">IF(BP$4=0,0,IF(COUNTIFS(実績!$W$6:$W$505,BP$3,実績!$AI$6:$AI$505,"&lt;="&amp;$A65,実績!$AJ$6:$AJ$505,"&gt;"&amp;$A65,実績!$AK$6:$AK$505,"○")&gt;0,1,0))</f>
        <v>0</v>
      </c>
      <c r="BQ65" s="39" t="n">
        <f aca="false">IF(BQ$4=0,0,IF(COUNTIFS(実績!$W$6:$W$505,BQ$3,実績!$AI$6:$AI$505,"&lt;="&amp;$A65,実績!$AJ$6:$AJ$505,"&gt;"&amp;$A65,実績!$AK$6:$AK$505,"○")&gt;0,1,0))</f>
        <v>0</v>
      </c>
      <c r="BR65" s="39" t="n">
        <f aca="false">IF(BR$4=0,0,IF(COUNTIFS(実績!$W$6:$W$505,BR$3,実績!$AI$6:$AI$505,"&lt;="&amp;$A65,実績!$AJ$6:$AJ$505,"&gt;"&amp;$A65,実績!$AK$6:$AK$505,"○")&gt;0,1,0))</f>
        <v>0</v>
      </c>
      <c r="BS65" s="39" t="n">
        <f aca="false">IF(BS$4=0,0,IF(COUNTIFS(実績!$W$6:$W$505,BS$3,実績!$AI$6:$AI$505,"&lt;="&amp;$A65,実績!$AJ$6:$AJ$505,"&gt;"&amp;$A65,実績!$AK$6:$AK$505,"○")&gt;0,1,0))</f>
        <v>0</v>
      </c>
      <c r="BT65" s="39" t="n">
        <f aca="false">IF(BT$4=0,0,IF(COUNTIFS(実績!$W$6:$W$505,BT$3,実績!$AI$6:$AI$505,"&lt;="&amp;$A65,実績!$AJ$6:$AJ$505,"&gt;"&amp;$A65,実績!$AK$6:$AK$505,"○")&gt;0,1,0))</f>
        <v>0</v>
      </c>
      <c r="BU65" s="39" t="n">
        <f aca="false">IF(BU$4=0,0,IF(COUNTIFS(実績!$W$6:$W$505,BU$3,実績!$AI$6:$AI$505,"&lt;="&amp;$A65,実績!$AJ$6:$AJ$505,"&gt;"&amp;$A65,実績!$AK$6:$AK$505,"○")&gt;0,1,0))</f>
        <v>0</v>
      </c>
      <c r="BV65" s="39" t="n">
        <f aca="false">IF(BV$4=0,0,IF(COUNTIFS(実績!$W$6:$W$505,BV$3,実績!$AI$6:$AI$505,"&lt;="&amp;$A65,実績!$AJ$6:$AJ$505,"&gt;"&amp;$A65,実績!$AK$6:$AK$505,"○")&gt;0,1,0))</f>
        <v>0</v>
      </c>
      <c r="BW65" s="39" t="n">
        <f aca="false">IF(BW$4=0,0,IF(COUNTIFS(実績!$W$6:$W$505,BW$3,実績!$AI$6:$AI$505,"&lt;="&amp;$A65,実績!$AJ$6:$AJ$505,"&gt;"&amp;$A65,実績!$AK$6:$AK$505,"○")&gt;0,1,0))</f>
        <v>0</v>
      </c>
      <c r="BX65" s="39" t="n">
        <f aca="false">IF(BX$4=0,0,IF(COUNTIFS(実績!$W$6:$W$505,BX$3,実績!$AI$6:$AI$505,"&lt;="&amp;$A65,実績!$AJ$6:$AJ$505,"&gt;"&amp;$A65,実績!$AK$6:$AK$505,"○")&gt;0,1,0))</f>
        <v>0</v>
      </c>
      <c r="BY65" s="39" t="n">
        <f aca="false">IF(BY$4=0,0,IF(COUNTIFS(実績!$W$6:$W$505,BY$3,実績!$AI$6:$AI$505,"&lt;="&amp;$A65,実績!$AJ$6:$AJ$505,"&gt;"&amp;$A65,実績!$AK$6:$AK$505,"○")&gt;0,1,0))</f>
        <v>0</v>
      </c>
      <c r="BZ65" s="39" t="n">
        <f aca="false">IF(BZ$4=0,0,IF(COUNTIFS(実績!$W$6:$W$505,BZ$3,実績!$AI$6:$AI$505,"&lt;="&amp;$A65,実績!$AJ$6:$AJ$505,"&gt;"&amp;$A65,実績!$AK$6:$AK$505,"○")&gt;0,1,0))</f>
        <v>0</v>
      </c>
      <c r="CA65" s="39" t="n">
        <f aca="false">IF(CA$4=0,0,IF(COUNTIFS(実績!$W$6:$W$505,CA$3,実績!$AI$6:$AI$505,"&lt;="&amp;$A65,実績!$AJ$6:$AJ$505,"&gt;"&amp;$A65,実績!$AK$6:$AK$505,"○")&gt;0,1,0))</f>
        <v>0</v>
      </c>
      <c r="CB65" s="39" t="n">
        <f aca="false">IF(CB$4=0,0,IF(COUNTIFS(実績!$W$6:$W$505,CB$3,実績!$AI$6:$AI$505,"&lt;="&amp;$A65,実績!$AJ$6:$AJ$505,"&gt;"&amp;$A65,実績!$AK$6:$AK$505,"○")&gt;0,1,0))</f>
        <v>0</v>
      </c>
      <c r="CC65" s="39" t="n">
        <f aca="false">IF(CC$4=0,0,IF(COUNTIFS(実績!$W$6:$W$505,CC$3,実績!$AI$6:$AI$505,"&lt;="&amp;$A65,実績!$AJ$6:$AJ$505,"&gt;"&amp;$A65,実績!$AK$6:$AK$505,"○")&gt;0,1,0))</f>
        <v>0</v>
      </c>
      <c r="CD65" s="39" t="n">
        <f aca="false">IF(CD$4=0,0,IF(COUNTIFS(実績!$W$6:$W$505,CD$3,実績!$AI$6:$AI$505,"&lt;="&amp;$A65,実績!$AJ$6:$AJ$505,"&gt;"&amp;$A65,実績!$AK$6:$AK$505,"○")&gt;0,1,0))</f>
        <v>0</v>
      </c>
      <c r="CE65" s="39" t="n">
        <f aca="false">IF(CE$4=0,0,IF(COUNTIFS(実績!$W$6:$W$505,CE$3,実績!$AI$6:$AI$505,"&lt;="&amp;$A65,実績!$AJ$6:$AJ$505,"&gt;"&amp;$A65,実績!$AK$6:$AK$505,"○")&gt;0,1,0))</f>
        <v>0</v>
      </c>
      <c r="CF65" s="39" t="n">
        <f aca="false">IF(CF$4=0,0,IF(COUNTIFS(実績!$W$6:$W$505,CF$3,実績!$AI$6:$AI$505,"&lt;="&amp;$A65,実績!$AJ$6:$AJ$505,"&gt;"&amp;$A65,実績!$AK$6:$AK$505,"○")&gt;0,1,0))</f>
        <v>0</v>
      </c>
      <c r="CG65" s="39" t="n">
        <f aca="false">IF(CG$4=0,0,IF(COUNTIFS(実績!$W$6:$W$505,CG$3,実績!$AI$6:$AI$505,"&lt;="&amp;$A65,実績!$AJ$6:$AJ$505,"&gt;"&amp;$A65,実績!$AK$6:$AK$505,"○")&gt;0,1,0))</f>
        <v>0</v>
      </c>
      <c r="CH65" s="39" t="n">
        <f aca="false">IF(CH$4=0,0,IF(COUNTIFS(実績!$W$6:$W$505,CH$3,実績!$AI$6:$AI$505,"&lt;="&amp;$A65,実績!$AJ$6:$AJ$505,"&gt;"&amp;$A65,実績!$AK$6:$AK$505,"○")&gt;0,1,0))</f>
        <v>0</v>
      </c>
      <c r="CI65" s="39" t="n">
        <f aca="false">IF(CI$4=0,0,IF(COUNTIFS(実績!$W$6:$W$505,CI$3,実績!$AI$6:$AI$505,"&lt;="&amp;$A65,実績!$AJ$6:$AJ$505,"&gt;"&amp;$A65,実績!$AK$6:$AK$505,"○")&gt;0,1,0))</f>
        <v>0</v>
      </c>
      <c r="CJ65" s="39" t="n">
        <f aca="false">IF(CJ$4=0,0,IF(COUNTIFS(実績!$W$6:$W$505,CJ$3,実績!$AI$6:$AI$505,"&lt;="&amp;$A65,実績!$AJ$6:$AJ$505,"&gt;"&amp;$A65,実績!$AK$6:$AK$505,"○")&gt;0,1,0))</f>
        <v>0</v>
      </c>
      <c r="CK65" s="39" t="n">
        <f aca="false">IF(CK$4=0,0,IF(COUNTIFS(実績!$W$6:$W$505,CK$3,実績!$AI$6:$AI$505,"&lt;="&amp;$A65,実績!$AJ$6:$AJ$505,"&gt;"&amp;$A65,実績!$AK$6:$AK$505,"○")&gt;0,1,0))</f>
        <v>0</v>
      </c>
      <c r="CL65" s="39" t="n">
        <f aca="false">IF(CL$4=0,0,IF(COUNTIFS(実績!$W$6:$W$505,CL$3,実績!$AI$6:$AI$505,"&lt;="&amp;$A65,実績!$AJ$6:$AJ$505,"&gt;"&amp;$A65,実績!$AK$6:$AK$505,"○")&gt;0,1,0))</f>
        <v>0</v>
      </c>
      <c r="CM65" s="39" t="n">
        <f aca="false">IF(CM$4=0,0,IF(COUNTIFS(実績!$W$6:$W$505,CM$3,実績!$AI$6:$AI$505,"&lt;="&amp;$A65,実績!$AJ$6:$AJ$505,"&gt;"&amp;$A65,実績!$AK$6:$AK$505,"○")&gt;0,1,0))</f>
        <v>0</v>
      </c>
      <c r="CN65" s="39" t="n">
        <f aca="false">IF(CN$4=0,0,IF(COUNTIFS(実績!$W$6:$W$505,CN$3,実績!$AI$6:$AI$505,"&lt;="&amp;$A65,実績!$AJ$6:$AJ$505,"&gt;"&amp;$A65,実績!$AK$6:$AK$505,"○")&gt;0,1,0))</f>
        <v>0</v>
      </c>
      <c r="CO65" s="39" t="n">
        <f aca="false">IF(CO$4=0,0,IF(COUNTIFS(実績!$W$6:$W$505,CO$3,実績!$AI$6:$AI$505,"&lt;="&amp;$A65,実績!$AJ$6:$AJ$505,"&gt;"&amp;$A65,実績!$AK$6:$AK$505,"○")&gt;0,1,0))</f>
        <v>0</v>
      </c>
      <c r="CP65" s="39" t="n">
        <f aca="false">IF(CP$4=0,0,IF(COUNTIFS(実績!$W$6:$W$505,CP$3,実績!$AI$6:$AI$505,"&lt;="&amp;$A65,実績!$AJ$6:$AJ$505,"&gt;"&amp;$A65,実績!$AK$6:$AK$505,"○")&gt;0,1,0))</f>
        <v>0</v>
      </c>
      <c r="CQ65" s="39" t="n">
        <f aca="false">IF(CQ$4=0,0,IF(COUNTIFS(実績!$W$6:$W$505,CQ$3,実績!$AI$6:$AI$505,"&lt;="&amp;$A65,実績!$AJ$6:$AJ$505,"&gt;"&amp;$A65,実績!$AK$6:$AK$505,"○")&gt;0,1,0))</f>
        <v>0</v>
      </c>
      <c r="CR65" s="39" t="n">
        <f aca="false">IF(CR$4=0,0,IF(COUNTIFS(実績!$W$6:$W$505,CR$3,実績!$AI$6:$AI$505,"&lt;="&amp;$A65,実績!$AJ$6:$AJ$505,"&gt;"&amp;$A65,実績!$AK$6:$AK$505,"○")&gt;0,1,0))</f>
        <v>0</v>
      </c>
      <c r="CS65" s="39" t="n">
        <f aca="false">IF(CS$4=0,0,IF(COUNTIFS(実績!$W$6:$W$505,CS$3,実績!$AI$6:$AI$505,"&lt;="&amp;$A65,実績!$AJ$6:$AJ$505,"&gt;"&amp;$A65,実績!$AK$6:$AK$505,"○")&gt;0,1,0))</f>
        <v>0</v>
      </c>
      <c r="CT65" s="39" t="n">
        <f aca="false">IF(CT$4=0,0,IF(COUNTIFS(実績!$W$6:$W$505,CT$3,実績!$AI$6:$AI$505,"&lt;="&amp;$A65,実績!$AJ$6:$AJ$505,"&gt;"&amp;$A65,実績!$AK$6:$AK$505,"○")&gt;0,1,0))</f>
        <v>0</v>
      </c>
      <c r="CU65" s="39" t="n">
        <f aca="false">IF(CU$4=0,0,IF(COUNTIFS(実績!$W$6:$W$505,CU$3,実績!$AI$6:$AI$505,"&lt;="&amp;$A65,実績!$AJ$6:$AJ$505,"&gt;"&amp;$A65,実績!$AK$6:$AK$505,"○")&gt;0,1,0))</f>
        <v>0</v>
      </c>
      <c r="CV65" s="39" t="n">
        <f aca="false">IF(CV$4=0,0,IF(COUNTIFS(実績!$W$6:$W$505,CV$3,実績!$AI$6:$AI$505,"&lt;="&amp;$A65,実績!$AJ$6:$AJ$505,"&gt;"&amp;$A65,実績!$AK$6:$AK$505,"○")&gt;0,1,0))</f>
        <v>0</v>
      </c>
      <c r="CW65" s="39" t="n">
        <f aca="false">IF(CW$4=0,0,IF(COUNTIFS(実績!$W$6:$W$505,CW$3,実績!$AI$6:$AI$505,"&lt;="&amp;$A65,実績!$AJ$6:$AJ$505,"&gt;"&amp;$A65,実績!$AK$6:$AK$505,"○")&gt;0,1,0))</f>
        <v>0</v>
      </c>
      <c r="CX65" s="39" t="n">
        <f aca="false">IF(CX$4=0,0,IF(COUNTIFS(実績!$W$6:$W$505,CX$3,実績!$AI$6:$AI$505,"&lt;="&amp;$A65,実績!$AJ$6:$AJ$505,"&gt;"&amp;$A65,実績!$AK$6:$AK$505,"○")&gt;0,1,0))</f>
        <v>0</v>
      </c>
      <c r="CY65" s="39" t="n">
        <f aca="false">IF(CY$4=0,0,IF(COUNTIFS(実績!$W$6:$W$505,CY$3,実績!$AI$6:$AI$505,"&lt;="&amp;$A65,実績!$AJ$6:$AJ$505,"&gt;"&amp;$A65,実績!$AK$6:$AK$505,"○")&gt;0,1,0))</f>
        <v>0</v>
      </c>
      <c r="CZ65" s="39" t="n">
        <f aca="false">IF(CZ$4=0,0,IF(COUNTIFS(実績!$W$6:$W$505,CZ$3,実績!$AI$6:$AI$505,"&lt;="&amp;$A65,実績!$AJ$6:$AJ$505,"&gt;"&amp;$A65,実績!$AK$6:$AK$505,"○")&gt;0,1,0))</f>
        <v>0</v>
      </c>
      <c r="DA65" s="39" t="n">
        <f aca="false">IF(DA$4=0,0,IF(COUNTIFS(実績!$W$6:$W$505,DA$3,実績!$AI$6:$AI$505,"&lt;="&amp;$A65,実績!$AJ$6:$AJ$505,"&gt;"&amp;$A65,実績!$AK$6:$AK$505,"○")&gt;0,1,0))</f>
        <v>0</v>
      </c>
      <c r="DB65" s="39" t="n">
        <f aca="false">IF(DB$4=0,0,IF(COUNTIFS(実績!$W$6:$W$505,DB$3,実績!$AI$6:$AI$505,"&lt;="&amp;$A65,実績!$AJ$6:$AJ$505,"&gt;"&amp;$A65,実績!$AK$6:$AK$505,"○")&gt;0,1,0))</f>
        <v>0</v>
      </c>
      <c r="DC65" s="39" t="n">
        <f aca="false">IF(DC$4=0,0,IF(COUNTIFS(実績!$W$6:$W$505,DC$3,実績!$AI$6:$AI$505,"&lt;="&amp;$A65,実績!$AJ$6:$AJ$505,"&gt;"&amp;$A65,実績!$AK$6:$AK$505,"○")&gt;0,1,0))</f>
        <v>0</v>
      </c>
      <c r="DD65" s="39" t="n">
        <f aca="false">IF(DD$4=0,0,IF(COUNTIFS(実績!$W$6:$W$505,DD$3,実績!$AI$6:$AI$505,"&lt;="&amp;$A65,実績!$AJ$6:$AJ$505,"&gt;"&amp;$A65,実績!$AK$6:$AK$505,"○")&gt;0,1,0))</f>
        <v>0</v>
      </c>
      <c r="DE65" s="39" t="n">
        <f aca="false">IF(DE$4=0,0,IF(COUNTIFS(実績!$W$6:$W$505,DE$3,実績!$AI$6:$AI$505,"&lt;="&amp;$A65,実績!$AJ$6:$AJ$505,"&gt;"&amp;$A65,実績!$AK$6:$AK$505,"○")&gt;0,1,0))</f>
        <v>0</v>
      </c>
      <c r="DF65" s="39" t="n">
        <f aca="false">IF(DF$4=0,0,IF(COUNTIFS(実績!$W$6:$W$505,DF$3,実績!$AI$6:$AI$505,"&lt;="&amp;$A65,実績!$AJ$6:$AJ$505,"&gt;"&amp;$A65,実績!$AK$6:$AK$505,"○")&gt;0,1,0))</f>
        <v>0</v>
      </c>
      <c r="DG65" s="39" t="n">
        <f aca="false">IF(DG$4=0,0,IF(COUNTIFS(実績!$W$6:$W$505,DG$3,実績!$AI$6:$AI$505,"&lt;="&amp;$A65,実績!$AJ$6:$AJ$505,"&gt;"&amp;$A65,実績!$AK$6:$AK$505,"○")&gt;0,1,0))</f>
        <v>0</v>
      </c>
      <c r="DH65" s="39" t="n">
        <f aca="false">IF(DH$4=0,0,IF(COUNTIFS(実績!$W$6:$W$505,DH$3,実績!$AI$6:$AI$505,"&lt;="&amp;$A65,実績!$AJ$6:$AJ$505,"&gt;"&amp;$A65,実績!$AK$6:$AK$505,"○")&gt;0,1,0))</f>
        <v>0</v>
      </c>
      <c r="DI65" s="39" t="n">
        <f aca="false">IF(DI$4=0,0,IF(COUNTIFS(実績!$W$6:$W$505,DI$3,実績!$AI$6:$AI$505,"&lt;="&amp;$A65,実績!$AJ$6:$AJ$505,"&gt;"&amp;$A65,実績!$AK$6:$AK$505,"○")&gt;0,1,0))</f>
        <v>0</v>
      </c>
      <c r="DJ65" s="39" t="n">
        <f aca="false">IF(DJ$4=0,0,IF(COUNTIFS(実績!$W$6:$W$505,DJ$3,実績!$AI$6:$AI$505,"&lt;="&amp;$A65,実績!$AJ$6:$AJ$505,"&gt;"&amp;$A65,実績!$AK$6:$AK$505,"○")&gt;0,1,0))</f>
        <v>0</v>
      </c>
      <c r="DK65" s="39" t="n">
        <f aca="false">IF(DK$4=0,0,IF(COUNTIFS(実績!$W$6:$W$505,DK$3,実績!$AI$6:$AI$505,"&lt;="&amp;$A65,実績!$AJ$6:$AJ$505,"&gt;"&amp;$A65,実績!$AK$6:$AK$505,"○")&gt;0,1,0))</f>
        <v>0</v>
      </c>
      <c r="DL65" s="39" t="n">
        <f aca="false">IF(DL$4=0,0,IF(COUNTIFS(実績!$W$6:$W$505,DL$3,実績!$AI$6:$AI$505,"&lt;="&amp;$A65,実績!$AJ$6:$AJ$505,"&gt;"&amp;$A65,実績!$AK$6:$AK$505,"○")&gt;0,1,0))</f>
        <v>0</v>
      </c>
      <c r="DM65" s="39" t="n">
        <f aca="false">IF(DM$4=0,0,IF(COUNTIFS(実績!$W$6:$W$505,DM$3,実績!$AI$6:$AI$505,"&lt;="&amp;$A65,実績!$AJ$6:$AJ$505,"&gt;"&amp;$A65,実績!$AK$6:$AK$505,"○")&gt;0,1,0))</f>
        <v>0</v>
      </c>
      <c r="DN65" s="39" t="n">
        <f aca="false">IF(DN$4=0,0,IF(COUNTIFS(実績!$W$6:$W$505,DN$3,実績!$AI$6:$AI$505,"&lt;="&amp;$A65,実績!$AJ$6:$AJ$505,"&gt;"&amp;$A65,実績!$AK$6:$AK$505,"○")&gt;0,1,0))</f>
        <v>0</v>
      </c>
      <c r="DO65" s="39" t="n">
        <f aca="false">IF(DO$4=0,0,IF(COUNTIFS(実績!$W$6:$W$505,DO$3,実績!$AI$6:$AI$505,"&lt;="&amp;$A65,実績!$AJ$6:$AJ$505,"&gt;"&amp;$A65,実績!$AK$6:$AK$505,"○")&gt;0,1,0))</f>
        <v>0</v>
      </c>
      <c r="DP65" s="39" t="n">
        <f aca="false">IF(DP$4=0,0,IF(COUNTIFS(実績!$W$6:$W$505,DP$3,実績!$AI$6:$AI$505,"&lt;="&amp;$A65,実績!$AJ$6:$AJ$505,"&gt;"&amp;$A65,実績!$AK$6:$AK$505,"○")&gt;0,1,0))</f>
        <v>0</v>
      </c>
      <c r="DQ65" s="39" t="n">
        <f aca="false">IF(DQ$4=0,0,IF(COUNTIFS(実績!$W$6:$W$505,DQ$3,実績!$AI$6:$AI$505,"&lt;="&amp;$A65,実績!$AJ$6:$AJ$505,"&gt;"&amp;$A65,実績!$AK$6:$AK$505,"○")&gt;0,1,0))</f>
        <v>0</v>
      </c>
      <c r="DR65" s="39" t="n">
        <f aca="false">IF(DR$4=0,0,IF(COUNTIFS(実績!$W$6:$W$505,DR$3,実績!$AI$6:$AI$505,"&lt;="&amp;$A65,実績!$AJ$6:$AJ$505,"&gt;"&amp;$A65,実績!$AK$6:$AK$505,"○")&gt;0,1,0))</f>
        <v>0</v>
      </c>
      <c r="DS65" s="39" t="n">
        <f aca="false">SUM(C65:DR65)</f>
        <v>0</v>
      </c>
      <c r="DT65" s="39" t="n">
        <f aca="false">SUMPRODUCT((実績!$C$6:$C$505="○")*ISNUMBER(実績!$AM$6:$AM$505)*(実績!$AM$6:$AM$505&lt;=$A65)*(実績!$AN$6:$AN$505&gt;$A65))</f>
        <v>0</v>
      </c>
      <c r="DU65" s="39" t="n">
        <f aca="false">SUMIF($C$2:$DR$2,"製鉄曳船",C65:DR65)</f>
        <v>0</v>
      </c>
      <c r="DV65" s="39" t="n">
        <f aca="false">SUMIF($C$2:$DR$2,"西日本海運",C65:DR65)</f>
        <v>0</v>
      </c>
    </row>
    <row r="66" customFormat="false" ht="15" hidden="false" customHeight="false" outlineLevel="0" collapsed="false">
      <c r="A66" s="0" t="n">
        <v>300</v>
      </c>
      <c r="B66" s="38" t="n">
        <f aca="false">A66/1440</f>
        <v>0.208333333333333</v>
      </c>
      <c r="C66" s="39" t="n">
        <f aca="false">IF(C$4=0,0,IF(COUNTIFS(実績!$W$6:$W$505,C$3,実績!$AI$6:$AI$505,"&lt;="&amp;$A66,実績!$AJ$6:$AJ$505,"&gt;"&amp;$A66,実績!$AK$6:$AK$505,"○")&gt;0,1,0))</f>
        <v>0</v>
      </c>
      <c r="D66" s="39" t="n">
        <f aca="false">IF(D$4=0,0,IF(COUNTIFS(実績!$W$6:$W$505,D$3,実績!$AI$6:$AI$505,"&lt;="&amp;$A66,実績!$AJ$6:$AJ$505,"&gt;"&amp;$A66,実績!$AK$6:$AK$505,"○")&gt;0,1,0))</f>
        <v>0</v>
      </c>
      <c r="E66" s="39" t="n">
        <f aca="false">IF(E$4=0,0,IF(COUNTIFS(実績!$W$6:$W$505,E$3,実績!$AI$6:$AI$505,"&lt;="&amp;$A66,実績!$AJ$6:$AJ$505,"&gt;"&amp;$A66,実績!$AK$6:$AK$505,"○")&gt;0,1,0))</f>
        <v>0</v>
      </c>
      <c r="F66" s="39" t="n">
        <f aca="false">IF(F$4=0,0,IF(COUNTIFS(実績!$W$6:$W$505,F$3,実績!$AI$6:$AI$505,"&lt;="&amp;$A66,実績!$AJ$6:$AJ$505,"&gt;"&amp;$A66,実績!$AK$6:$AK$505,"○")&gt;0,1,0))</f>
        <v>0</v>
      </c>
      <c r="G66" s="39" t="n">
        <f aca="false">IF(G$4=0,0,IF(COUNTIFS(実績!$W$6:$W$505,G$3,実績!$AI$6:$AI$505,"&lt;="&amp;$A66,実績!$AJ$6:$AJ$505,"&gt;"&amp;$A66,実績!$AK$6:$AK$505,"○")&gt;0,1,0))</f>
        <v>0</v>
      </c>
      <c r="H66" s="39" t="n">
        <f aca="false">IF(H$4=0,0,IF(COUNTIFS(実績!$W$6:$W$505,H$3,実績!$AI$6:$AI$505,"&lt;="&amp;$A66,実績!$AJ$6:$AJ$505,"&gt;"&amp;$A66,実績!$AK$6:$AK$505,"○")&gt;0,1,0))</f>
        <v>0</v>
      </c>
      <c r="I66" s="39" t="n">
        <f aca="false">IF(I$4=0,0,IF(COUNTIFS(実績!$W$6:$W$505,I$3,実績!$AI$6:$AI$505,"&lt;="&amp;$A66,実績!$AJ$6:$AJ$505,"&gt;"&amp;$A66,実績!$AK$6:$AK$505,"○")&gt;0,1,0))</f>
        <v>0</v>
      </c>
      <c r="J66" s="39" t="n">
        <f aca="false">IF(J$4=0,0,IF(COUNTIFS(実績!$W$6:$W$505,J$3,実績!$AI$6:$AI$505,"&lt;="&amp;$A66,実績!$AJ$6:$AJ$505,"&gt;"&amp;$A66,実績!$AK$6:$AK$505,"○")&gt;0,1,0))</f>
        <v>0</v>
      </c>
      <c r="K66" s="39" t="n">
        <f aca="false">IF(K$4=0,0,IF(COUNTIFS(実績!$W$6:$W$505,K$3,実績!$AI$6:$AI$505,"&lt;="&amp;$A66,実績!$AJ$6:$AJ$505,"&gt;"&amp;$A66,実績!$AK$6:$AK$505,"○")&gt;0,1,0))</f>
        <v>0</v>
      </c>
      <c r="L66" s="39" t="n">
        <f aca="false">IF(L$4=0,0,IF(COUNTIFS(実績!$W$6:$W$505,L$3,実績!$AI$6:$AI$505,"&lt;="&amp;$A66,実績!$AJ$6:$AJ$505,"&gt;"&amp;$A66,実績!$AK$6:$AK$505,"○")&gt;0,1,0))</f>
        <v>0</v>
      </c>
      <c r="M66" s="39" t="n">
        <f aca="false">IF(M$4=0,0,IF(COUNTIFS(実績!$W$6:$W$505,M$3,実績!$AI$6:$AI$505,"&lt;="&amp;$A66,実績!$AJ$6:$AJ$505,"&gt;"&amp;$A66,実績!$AK$6:$AK$505,"○")&gt;0,1,0))</f>
        <v>0</v>
      </c>
      <c r="N66" s="39" t="n">
        <f aca="false">IF(N$4=0,0,IF(COUNTIFS(実績!$W$6:$W$505,N$3,実績!$AI$6:$AI$505,"&lt;="&amp;$A66,実績!$AJ$6:$AJ$505,"&gt;"&amp;$A66,実績!$AK$6:$AK$505,"○")&gt;0,1,0))</f>
        <v>0</v>
      </c>
      <c r="O66" s="39" t="n">
        <f aca="false">IF(O$4=0,0,IF(COUNTIFS(実績!$W$6:$W$505,O$3,実績!$AI$6:$AI$505,"&lt;="&amp;$A66,実績!$AJ$6:$AJ$505,"&gt;"&amp;$A66,実績!$AK$6:$AK$505,"○")&gt;0,1,0))</f>
        <v>0</v>
      </c>
      <c r="P66" s="39" t="n">
        <f aca="false">IF(P$4=0,0,IF(COUNTIFS(実績!$W$6:$W$505,P$3,実績!$AI$6:$AI$505,"&lt;="&amp;$A66,実績!$AJ$6:$AJ$505,"&gt;"&amp;$A66,実績!$AK$6:$AK$505,"○")&gt;0,1,0))</f>
        <v>0</v>
      </c>
      <c r="Q66" s="39" t="n">
        <f aca="false">IF(Q$4=0,0,IF(COUNTIFS(実績!$W$6:$W$505,Q$3,実績!$AI$6:$AI$505,"&lt;="&amp;$A66,実績!$AJ$6:$AJ$505,"&gt;"&amp;$A66,実績!$AK$6:$AK$505,"○")&gt;0,1,0))</f>
        <v>0</v>
      </c>
      <c r="R66" s="39" t="n">
        <f aca="false">IF(R$4=0,0,IF(COUNTIFS(実績!$W$6:$W$505,R$3,実績!$AI$6:$AI$505,"&lt;="&amp;$A66,実績!$AJ$6:$AJ$505,"&gt;"&amp;$A66,実績!$AK$6:$AK$505,"○")&gt;0,1,0))</f>
        <v>0</v>
      </c>
      <c r="S66" s="39" t="n">
        <f aca="false">IF(S$4=0,0,IF(COUNTIFS(実績!$W$6:$W$505,S$3,実績!$AI$6:$AI$505,"&lt;="&amp;$A66,実績!$AJ$6:$AJ$505,"&gt;"&amp;$A66,実績!$AK$6:$AK$505,"○")&gt;0,1,0))</f>
        <v>0</v>
      </c>
      <c r="T66" s="39" t="n">
        <f aca="false">IF(T$4=0,0,IF(COUNTIFS(実績!$W$6:$W$505,T$3,実績!$AI$6:$AI$505,"&lt;="&amp;$A66,実績!$AJ$6:$AJ$505,"&gt;"&amp;$A66,実績!$AK$6:$AK$505,"○")&gt;0,1,0))</f>
        <v>0</v>
      </c>
      <c r="U66" s="39" t="n">
        <f aca="false">IF(U$4=0,0,IF(COUNTIFS(実績!$W$6:$W$505,U$3,実績!$AI$6:$AI$505,"&lt;="&amp;$A66,実績!$AJ$6:$AJ$505,"&gt;"&amp;$A66,実績!$AK$6:$AK$505,"○")&gt;0,1,0))</f>
        <v>0</v>
      </c>
      <c r="V66" s="39" t="n">
        <f aca="false">IF(V$4=0,0,IF(COUNTIFS(実績!$W$6:$W$505,V$3,実績!$AI$6:$AI$505,"&lt;="&amp;$A66,実績!$AJ$6:$AJ$505,"&gt;"&amp;$A66,実績!$AK$6:$AK$505,"○")&gt;0,1,0))</f>
        <v>0</v>
      </c>
      <c r="W66" s="39" t="n">
        <f aca="false">IF(W$4=0,0,IF(COUNTIFS(実績!$W$6:$W$505,W$3,実績!$AI$6:$AI$505,"&lt;="&amp;$A66,実績!$AJ$6:$AJ$505,"&gt;"&amp;$A66,実績!$AK$6:$AK$505,"○")&gt;0,1,0))</f>
        <v>0</v>
      </c>
      <c r="X66" s="39" t="n">
        <f aca="false">IF(X$4=0,0,IF(COUNTIFS(実績!$W$6:$W$505,X$3,実績!$AI$6:$AI$505,"&lt;="&amp;$A66,実績!$AJ$6:$AJ$505,"&gt;"&amp;$A66,実績!$AK$6:$AK$505,"○")&gt;0,1,0))</f>
        <v>0</v>
      </c>
      <c r="Y66" s="39" t="n">
        <f aca="false">IF(Y$4=0,0,IF(COUNTIFS(実績!$W$6:$W$505,Y$3,実績!$AI$6:$AI$505,"&lt;="&amp;$A66,実績!$AJ$6:$AJ$505,"&gt;"&amp;$A66,実績!$AK$6:$AK$505,"○")&gt;0,1,0))</f>
        <v>0</v>
      </c>
      <c r="Z66" s="39" t="n">
        <f aca="false">IF(Z$4=0,0,IF(COUNTIFS(実績!$W$6:$W$505,Z$3,実績!$AI$6:$AI$505,"&lt;="&amp;$A66,実績!$AJ$6:$AJ$505,"&gt;"&amp;$A66,実績!$AK$6:$AK$505,"○")&gt;0,1,0))</f>
        <v>0</v>
      </c>
      <c r="AA66" s="39" t="n">
        <f aca="false">IF(AA$4=0,0,IF(COUNTIFS(実績!$W$6:$W$505,AA$3,実績!$AI$6:$AI$505,"&lt;="&amp;$A66,実績!$AJ$6:$AJ$505,"&gt;"&amp;$A66,実績!$AK$6:$AK$505,"○")&gt;0,1,0))</f>
        <v>0</v>
      </c>
      <c r="AB66" s="39" t="n">
        <f aca="false">IF(AB$4=0,0,IF(COUNTIFS(実績!$W$6:$W$505,AB$3,実績!$AI$6:$AI$505,"&lt;="&amp;$A66,実績!$AJ$6:$AJ$505,"&gt;"&amp;$A66,実績!$AK$6:$AK$505,"○")&gt;0,1,0))</f>
        <v>0</v>
      </c>
      <c r="AC66" s="39" t="n">
        <f aca="false">IF(AC$4=0,0,IF(COUNTIFS(実績!$W$6:$W$505,AC$3,実績!$AI$6:$AI$505,"&lt;="&amp;$A66,実績!$AJ$6:$AJ$505,"&gt;"&amp;$A66,実績!$AK$6:$AK$505,"○")&gt;0,1,0))</f>
        <v>0</v>
      </c>
      <c r="AD66" s="39" t="n">
        <f aca="false">IF(AD$4=0,0,IF(COUNTIFS(実績!$W$6:$W$505,AD$3,実績!$AI$6:$AI$505,"&lt;="&amp;$A66,実績!$AJ$6:$AJ$505,"&gt;"&amp;$A66,実績!$AK$6:$AK$505,"○")&gt;0,1,0))</f>
        <v>0</v>
      </c>
      <c r="AE66" s="39" t="n">
        <f aca="false">IF(AE$4=0,0,IF(COUNTIFS(実績!$W$6:$W$505,AE$3,実績!$AI$6:$AI$505,"&lt;="&amp;$A66,実績!$AJ$6:$AJ$505,"&gt;"&amp;$A66,実績!$AK$6:$AK$505,"○")&gt;0,1,0))</f>
        <v>0</v>
      </c>
      <c r="AF66" s="39" t="n">
        <f aca="false">IF(AF$4=0,0,IF(COUNTIFS(実績!$W$6:$W$505,AF$3,実績!$AI$6:$AI$505,"&lt;="&amp;$A66,実績!$AJ$6:$AJ$505,"&gt;"&amp;$A66,実績!$AK$6:$AK$505,"○")&gt;0,1,0))</f>
        <v>0</v>
      </c>
      <c r="AG66" s="39" t="n">
        <f aca="false">IF(AG$4=0,0,IF(COUNTIFS(実績!$W$6:$W$505,AG$3,実績!$AI$6:$AI$505,"&lt;="&amp;$A66,実績!$AJ$6:$AJ$505,"&gt;"&amp;$A66,実績!$AK$6:$AK$505,"○")&gt;0,1,0))</f>
        <v>0</v>
      </c>
      <c r="AH66" s="39" t="n">
        <f aca="false">IF(AH$4=0,0,IF(COUNTIFS(実績!$W$6:$W$505,AH$3,実績!$AI$6:$AI$505,"&lt;="&amp;$A66,実績!$AJ$6:$AJ$505,"&gt;"&amp;$A66,実績!$AK$6:$AK$505,"○")&gt;0,1,0))</f>
        <v>0</v>
      </c>
      <c r="AI66" s="39" t="n">
        <f aca="false">IF(AI$4=0,0,IF(COUNTIFS(実績!$W$6:$W$505,AI$3,実績!$AI$6:$AI$505,"&lt;="&amp;$A66,実績!$AJ$6:$AJ$505,"&gt;"&amp;$A66,実績!$AK$6:$AK$505,"○")&gt;0,1,0))</f>
        <v>0</v>
      </c>
      <c r="AJ66" s="39" t="n">
        <f aca="false">IF(AJ$4=0,0,IF(COUNTIFS(実績!$W$6:$W$505,AJ$3,実績!$AI$6:$AI$505,"&lt;="&amp;$A66,実績!$AJ$6:$AJ$505,"&gt;"&amp;$A66,実績!$AK$6:$AK$505,"○")&gt;0,1,0))</f>
        <v>0</v>
      </c>
      <c r="AK66" s="39" t="n">
        <f aca="false">IF(AK$4=0,0,IF(COUNTIFS(実績!$W$6:$W$505,AK$3,実績!$AI$6:$AI$505,"&lt;="&amp;$A66,実績!$AJ$6:$AJ$505,"&gt;"&amp;$A66,実績!$AK$6:$AK$505,"○")&gt;0,1,0))</f>
        <v>0</v>
      </c>
      <c r="AL66" s="39" t="n">
        <f aca="false">IF(AL$4=0,0,IF(COUNTIFS(実績!$W$6:$W$505,AL$3,実績!$AI$6:$AI$505,"&lt;="&amp;$A66,実績!$AJ$6:$AJ$505,"&gt;"&amp;$A66,実績!$AK$6:$AK$505,"○")&gt;0,1,0))</f>
        <v>0</v>
      </c>
      <c r="AM66" s="39" t="n">
        <f aca="false">IF(AM$4=0,0,IF(COUNTIFS(実績!$W$6:$W$505,AM$3,実績!$AI$6:$AI$505,"&lt;="&amp;$A66,実績!$AJ$6:$AJ$505,"&gt;"&amp;$A66,実績!$AK$6:$AK$505,"○")&gt;0,1,0))</f>
        <v>0</v>
      </c>
      <c r="AN66" s="39" t="n">
        <f aca="false">IF(AN$4=0,0,IF(COUNTIFS(実績!$W$6:$W$505,AN$3,実績!$AI$6:$AI$505,"&lt;="&amp;$A66,実績!$AJ$6:$AJ$505,"&gt;"&amp;$A66,実績!$AK$6:$AK$505,"○")&gt;0,1,0))</f>
        <v>0</v>
      </c>
      <c r="AO66" s="39" t="n">
        <f aca="false">IF(AO$4=0,0,IF(COUNTIFS(実績!$W$6:$W$505,AO$3,実績!$AI$6:$AI$505,"&lt;="&amp;$A66,実績!$AJ$6:$AJ$505,"&gt;"&amp;$A66,実績!$AK$6:$AK$505,"○")&gt;0,1,0))</f>
        <v>0</v>
      </c>
      <c r="AP66" s="39" t="n">
        <f aca="false">IF(AP$4=0,0,IF(COUNTIFS(実績!$W$6:$W$505,AP$3,実績!$AI$6:$AI$505,"&lt;="&amp;$A66,実績!$AJ$6:$AJ$505,"&gt;"&amp;$A66,実績!$AK$6:$AK$505,"○")&gt;0,1,0))</f>
        <v>0</v>
      </c>
      <c r="AQ66" s="39" t="n">
        <f aca="false">IF(AQ$4=0,0,IF(COUNTIFS(実績!$W$6:$W$505,AQ$3,実績!$AI$6:$AI$505,"&lt;="&amp;$A66,実績!$AJ$6:$AJ$505,"&gt;"&amp;$A66,実績!$AK$6:$AK$505,"○")&gt;0,1,0))</f>
        <v>0</v>
      </c>
      <c r="AR66" s="39" t="n">
        <f aca="false">IF(AR$4=0,0,IF(COUNTIFS(実績!$W$6:$W$505,AR$3,実績!$AI$6:$AI$505,"&lt;="&amp;$A66,実績!$AJ$6:$AJ$505,"&gt;"&amp;$A66,実績!$AK$6:$AK$505,"○")&gt;0,1,0))</f>
        <v>0</v>
      </c>
      <c r="AS66" s="39" t="n">
        <f aca="false">IF(AS$4=0,0,IF(COUNTIFS(実績!$W$6:$W$505,AS$3,実績!$AI$6:$AI$505,"&lt;="&amp;$A66,実績!$AJ$6:$AJ$505,"&gt;"&amp;$A66,実績!$AK$6:$AK$505,"○")&gt;0,1,0))</f>
        <v>0</v>
      </c>
      <c r="AT66" s="39" t="n">
        <f aca="false">IF(AT$4=0,0,IF(COUNTIFS(実績!$W$6:$W$505,AT$3,実績!$AI$6:$AI$505,"&lt;="&amp;$A66,実績!$AJ$6:$AJ$505,"&gt;"&amp;$A66,実績!$AK$6:$AK$505,"○")&gt;0,1,0))</f>
        <v>0</v>
      </c>
      <c r="AU66" s="39" t="n">
        <f aca="false">IF(AU$4=0,0,IF(COUNTIFS(実績!$W$6:$W$505,AU$3,実績!$AI$6:$AI$505,"&lt;="&amp;$A66,実績!$AJ$6:$AJ$505,"&gt;"&amp;$A66,実績!$AK$6:$AK$505,"○")&gt;0,1,0))</f>
        <v>0</v>
      </c>
      <c r="AV66" s="39" t="n">
        <f aca="false">IF(AV$4=0,0,IF(COUNTIFS(実績!$W$6:$W$505,AV$3,実績!$AI$6:$AI$505,"&lt;="&amp;$A66,実績!$AJ$6:$AJ$505,"&gt;"&amp;$A66,実績!$AK$6:$AK$505,"○")&gt;0,1,0))</f>
        <v>0</v>
      </c>
      <c r="AW66" s="39" t="n">
        <f aca="false">IF(AW$4=0,0,IF(COUNTIFS(実績!$W$6:$W$505,AW$3,実績!$AI$6:$AI$505,"&lt;="&amp;$A66,実績!$AJ$6:$AJ$505,"&gt;"&amp;$A66,実績!$AK$6:$AK$505,"○")&gt;0,1,0))</f>
        <v>0</v>
      </c>
      <c r="AX66" s="39" t="n">
        <f aca="false">IF(AX$4=0,0,IF(COUNTIFS(実績!$W$6:$W$505,AX$3,実績!$AI$6:$AI$505,"&lt;="&amp;$A66,実績!$AJ$6:$AJ$505,"&gt;"&amp;$A66,実績!$AK$6:$AK$505,"○")&gt;0,1,0))</f>
        <v>0</v>
      </c>
      <c r="AY66" s="39" t="n">
        <f aca="false">IF(AY$4=0,0,IF(COUNTIFS(実績!$W$6:$W$505,AY$3,実績!$AI$6:$AI$505,"&lt;="&amp;$A66,実績!$AJ$6:$AJ$505,"&gt;"&amp;$A66,実績!$AK$6:$AK$505,"○")&gt;0,1,0))</f>
        <v>0</v>
      </c>
      <c r="AZ66" s="39" t="n">
        <f aca="false">IF(AZ$4=0,0,IF(COUNTIFS(実績!$W$6:$W$505,AZ$3,実績!$AI$6:$AI$505,"&lt;="&amp;$A66,実績!$AJ$6:$AJ$505,"&gt;"&amp;$A66,実績!$AK$6:$AK$505,"○")&gt;0,1,0))</f>
        <v>0</v>
      </c>
      <c r="BA66" s="39" t="n">
        <f aca="false">IF(BA$4=0,0,IF(COUNTIFS(実績!$W$6:$W$505,BA$3,実績!$AI$6:$AI$505,"&lt;="&amp;$A66,実績!$AJ$6:$AJ$505,"&gt;"&amp;$A66,実績!$AK$6:$AK$505,"○")&gt;0,1,0))</f>
        <v>0</v>
      </c>
      <c r="BB66" s="39" t="n">
        <f aca="false">IF(BB$4=0,0,IF(COUNTIFS(実績!$W$6:$W$505,BB$3,実績!$AI$6:$AI$505,"&lt;="&amp;$A66,実績!$AJ$6:$AJ$505,"&gt;"&amp;$A66,実績!$AK$6:$AK$505,"○")&gt;0,1,0))</f>
        <v>0</v>
      </c>
      <c r="BC66" s="39" t="n">
        <f aca="false">IF(BC$4=0,0,IF(COUNTIFS(実績!$W$6:$W$505,BC$3,実績!$AI$6:$AI$505,"&lt;="&amp;$A66,実績!$AJ$6:$AJ$505,"&gt;"&amp;$A66,実績!$AK$6:$AK$505,"○")&gt;0,1,0))</f>
        <v>0</v>
      </c>
      <c r="BD66" s="39" t="n">
        <f aca="false">IF(BD$4=0,0,IF(COUNTIFS(実績!$W$6:$W$505,BD$3,実績!$AI$6:$AI$505,"&lt;="&amp;$A66,実績!$AJ$6:$AJ$505,"&gt;"&amp;$A66,実績!$AK$6:$AK$505,"○")&gt;0,1,0))</f>
        <v>0</v>
      </c>
      <c r="BE66" s="39" t="n">
        <f aca="false">IF(BE$4=0,0,IF(COUNTIFS(実績!$W$6:$W$505,BE$3,実績!$AI$6:$AI$505,"&lt;="&amp;$A66,実績!$AJ$6:$AJ$505,"&gt;"&amp;$A66,実績!$AK$6:$AK$505,"○")&gt;0,1,0))</f>
        <v>0</v>
      </c>
      <c r="BF66" s="39" t="n">
        <f aca="false">IF(BF$4=0,0,IF(COUNTIFS(実績!$W$6:$W$505,BF$3,実績!$AI$6:$AI$505,"&lt;="&amp;$A66,実績!$AJ$6:$AJ$505,"&gt;"&amp;$A66,実績!$AK$6:$AK$505,"○")&gt;0,1,0))</f>
        <v>0</v>
      </c>
      <c r="BG66" s="39" t="n">
        <f aca="false">IF(BG$4=0,0,IF(COUNTIFS(実績!$W$6:$W$505,BG$3,実績!$AI$6:$AI$505,"&lt;="&amp;$A66,実績!$AJ$6:$AJ$505,"&gt;"&amp;$A66,実績!$AK$6:$AK$505,"○")&gt;0,1,0))</f>
        <v>0</v>
      </c>
      <c r="BH66" s="39" t="n">
        <f aca="false">IF(BH$4=0,0,IF(COUNTIFS(実績!$W$6:$W$505,BH$3,実績!$AI$6:$AI$505,"&lt;="&amp;$A66,実績!$AJ$6:$AJ$505,"&gt;"&amp;$A66,実績!$AK$6:$AK$505,"○")&gt;0,1,0))</f>
        <v>0</v>
      </c>
      <c r="BI66" s="39" t="n">
        <f aca="false">IF(BI$4=0,0,IF(COUNTIFS(実績!$W$6:$W$505,BI$3,実績!$AI$6:$AI$505,"&lt;="&amp;$A66,実績!$AJ$6:$AJ$505,"&gt;"&amp;$A66,実績!$AK$6:$AK$505,"○")&gt;0,1,0))</f>
        <v>0</v>
      </c>
      <c r="BJ66" s="39" t="n">
        <f aca="false">IF(BJ$4=0,0,IF(COUNTIFS(実績!$W$6:$W$505,BJ$3,実績!$AI$6:$AI$505,"&lt;="&amp;$A66,実績!$AJ$6:$AJ$505,"&gt;"&amp;$A66,実績!$AK$6:$AK$505,"○")&gt;0,1,0))</f>
        <v>0</v>
      </c>
      <c r="BK66" s="39" t="n">
        <f aca="false">IF(BK$4=0,0,IF(COUNTIFS(実績!$W$6:$W$505,BK$3,実績!$AI$6:$AI$505,"&lt;="&amp;$A66,実績!$AJ$6:$AJ$505,"&gt;"&amp;$A66,実績!$AK$6:$AK$505,"○")&gt;0,1,0))</f>
        <v>0</v>
      </c>
      <c r="BL66" s="39" t="n">
        <f aca="false">IF(BL$4=0,0,IF(COUNTIFS(実績!$W$6:$W$505,BL$3,実績!$AI$6:$AI$505,"&lt;="&amp;$A66,実績!$AJ$6:$AJ$505,"&gt;"&amp;$A66,実績!$AK$6:$AK$505,"○")&gt;0,1,0))</f>
        <v>0</v>
      </c>
      <c r="BM66" s="39" t="n">
        <f aca="false">IF(BM$4=0,0,IF(COUNTIFS(実績!$W$6:$W$505,BM$3,実績!$AI$6:$AI$505,"&lt;="&amp;$A66,実績!$AJ$6:$AJ$505,"&gt;"&amp;$A66,実績!$AK$6:$AK$505,"○")&gt;0,1,0))</f>
        <v>0</v>
      </c>
      <c r="BN66" s="39" t="n">
        <f aca="false">IF(BN$4=0,0,IF(COUNTIFS(実績!$W$6:$W$505,BN$3,実績!$AI$6:$AI$505,"&lt;="&amp;$A66,実績!$AJ$6:$AJ$505,"&gt;"&amp;$A66,実績!$AK$6:$AK$505,"○")&gt;0,1,0))</f>
        <v>0</v>
      </c>
      <c r="BO66" s="39" t="n">
        <f aca="false">IF(BO$4=0,0,IF(COUNTIFS(実績!$W$6:$W$505,BO$3,実績!$AI$6:$AI$505,"&lt;="&amp;$A66,実績!$AJ$6:$AJ$505,"&gt;"&amp;$A66,実績!$AK$6:$AK$505,"○")&gt;0,1,0))</f>
        <v>0</v>
      </c>
      <c r="BP66" s="39" t="n">
        <f aca="false">IF(BP$4=0,0,IF(COUNTIFS(実績!$W$6:$W$505,BP$3,実績!$AI$6:$AI$505,"&lt;="&amp;$A66,実績!$AJ$6:$AJ$505,"&gt;"&amp;$A66,実績!$AK$6:$AK$505,"○")&gt;0,1,0))</f>
        <v>0</v>
      </c>
      <c r="BQ66" s="39" t="n">
        <f aca="false">IF(BQ$4=0,0,IF(COUNTIFS(実績!$W$6:$W$505,BQ$3,実績!$AI$6:$AI$505,"&lt;="&amp;$A66,実績!$AJ$6:$AJ$505,"&gt;"&amp;$A66,実績!$AK$6:$AK$505,"○")&gt;0,1,0))</f>
        <v>0</v>
      </c>
      <c r="BR66" s="39" t="n">
        <f aca="false">IF(BR$4=0,0,IF(COUNTIFS(実績!$W$6:$W$505,BR$3,実績!$AI$6:$AI$505,"&lt;="&amp;$A66,実績!$AJ$6:$AJ$505,"&gt;"&amp;$A66,実績!$AK$6:$AK$505,"○")&gt;0,1,0))</f>
        <v>0</v>
      </c>
      <c r="BS66" s="39" t="n">
        <f aca="false">IF(BS$4=0,0,IF(COUNTIFS(実績!$W$6:$W$505,BS$3,実績!$AI$6:$AI$505,"&lt;="&amp;$A66,実績!$AJ$6:$AJ$505,"&gt;"&amp;$A66,実績!$AK$6:$AK$505,"○")&gt;0,1,0))</f>
        <v>0</v>
      </c>
      <c r="BT66" s="39" t="n">
        <f aca="false">IF(BT$4=0,0,IF(COUNTIFS(実績!$W$6:$W$505,BT$3,実績!$AI$6:$AI$505,"&lt;="&amp;$A66,実績!$AJ$6:$AJ$505,"&gt;"&amp;$A66,実績!$AK$6:$AK$505,"○")&gt;0,1,0))</f>
        <v>0</v>
      </c>
      <c r="BU66" s="39" t="n">
        <f aca="false">IF(BU$4=0,0,IF(COUNTIFS(実績!$W$6:$W$505,BU$3,実績!$AI$6:$AI$505,"&lt;="&amp;$A66,実績!$AJ$6:$AJ$505,"&gt;"&amp;$A66,実績!$AK$6:$AK$505,"○")&gt;0,1,0))</f>
        <v>0</v>
      </c>
      <c r="BV66" s="39" t="n">
        <f aca="false">IF(BV$4=0,0,IF(COUNTIFS(実績!$W$6:$W$505,BV$3,実績!$AI$6:$AI$505,"&lt;="&amp;$A66,実績!$AJ$6:$AJ$505,"&gt;"&amp;$A66,実績!$AK$6:$AK$505,"○")&gt;0,1,0))</f>
        <v>0</v>
      </c>
      <c r="BW66" s="39" t="n">
        <f aca="false">IF(BW$4=0,0,IF(COUNTIFS(実績!$W$6:$W$505,BW$3,実績!$AI$6:$AI$505,"&lt;="&amp;$A66,実績!$AJ$6:$AJ$505,"&gt;"&amp;$A66,実績!$AK$6:$AK$505,"○")&gt;0,1,0))</f>
        <v>0</v>
      </c>
      <c r="BX66" s="39" t="n">
        <f aca="false">IF(BX$4=0,0,IF(COUNTIFS(実績!$W$6:$W$505,BX$3,実績!$AI$6:$AI$505,"&lt;="&amp;$A66,実績!$AJ$6:$AJ$505,"&gt;"&amp;$A66,実績!$AK$6:$AK$505,"○")&gt;0,1,0))</f>
        <v>0</v>
      </c>
      <c r="BY66" s="39" t="n">
        <f aca="false">IF(BY$4=0,0,IF(COUNTIFS(実績!$W$6:$W$505,BY$3,実績!$AI$6:$AI$505,"&lt;="&amp;$A66,実績!$AJ$6:$AJ$505,"&gt;"&amp;$A66,実績!$AK$6:$AK$505,"○")&gt;0,1,0))</f>
        <v>0</v>
      </c>
      <c r="BZ66" s="39" t="n">
        <f aca="false">IF(BZ$4=0,0,IF(COUNTIFS(実績!$W$6:$W$505,BZ$3,実績!$AI$6:$AI$505,"&lt;="&amp;$A66,実績!$AJ$6:$AJ$505,"&gt;"&amp;$A66,実績!$AK$6:$AK$505,"○")&gt;0,1,0))</f>
        <v>0</v>
      </c>
      <c r="CA66" s="39" t="n">
        <f aca="false">IF(CA$4=0,0,IF(COUNTIFS(実績!$W$6:$W$505,CA$3,実績!$AI$6:$AI$505,"&lt;="&amp;$A66,実績!$AJ$6:$AJ$505,"&gt;"&amp;$A66,実績!$AK$6:$AK$505,"○")&gt;0,1,0))</f>
        <v>0</v>
      </c>
      <c r="CB66" s="39" t="n">
        <f aca="false">IF(CB$4=0,0,IF(COUNTIFS(実績!$W$6:$W$505,CB$3,実績!$AI$6:$AI$505,"&lt;="&amp;$A66,実績!$AJ$6:$AJ$505,"&gt;"&amp;$A66,実績!$AK$6:$AK$505,"○")&gt;0,1,0))</f>
        <v>0</v>
      </c>
      <c r="CC66" s="39" t="n">
        <f aca="false">IF(CC$4=0,0,IF(COUNTIFS(実績!$W$6:$W$505,CC$3,実績!$AI$6:$AI$505,"&lt;="&amp;$A66,実績!$AJ$6:$AJ$505,"&gt;"&amp;$A66,実績!$AK$6:$AK$505,"○")&gt;0,1,0))</f>
        <v>0</v>
      </c>
      <c r="CD66" s="39" t="n">
        <f aca="false">IF(CD$4=0,0,IF(COUNTIFS(実績!$W$6:$W$505,CD$3,実績!$AI$6:$AI$505,"&lt;="&amp;$A66,実績!$AJ$6:$AJ$505,"&gt;"&amp;$A66,実績!$AK$6:$AK$505,"○")&gt;0,1,0))</f>
        <v>0</v>
      </c>
      <c r="CE66" s="39" t="n">
        <f aca="false">IF(CE$4=0,0,IF(COUNTIFS(実績!$W$6:$W$505,CE$3,実績!$AI$6:$AI$505,"&lt;="&amp;$A66,実績!$AJ$6:$AJ$505,"&gt;"&amp;$A66,実績!$AK$6:$AK$505,"○")&gt;0,1,0))</f>
        <v>0</v>
      </c>
      <c r="CF66" s="39" t="n">
        <f aca="false">IF(CF$4=0,0,IF(COUNTIFS(実績!$W$6:$W$505,CF$3,実績!$AI$6:$AI$505,"&lt;="&amp;$A66,実績!$AJ$6:$AJ$505,"&gt;"&amp;$A66,実績!$AK$6:$AK$505,"○")&gt;0,1,0))</f>
        <v>0</v>
      </c>
      <c r="CG66" s="39" t="n">
        <f aca="false">IF(CG$4=0,0,IF(COUNTIFS(実績!$W$6:$W$505,CG$3,実績!$AI$6:$AI$505,"&lt;="&amp;$A66,実績!$AJ$6:$AJ$505,"&gt;"&amp;$A66,実績!$AK$6:$AK$505,"○")&gt;0,1,0))</f>
        <v>0</v>
      </c>
      <c r="CH66" s="39" t="n">
        <f aca="false">IF(CH$4=0,0,IF(COUNTIFS(実績!$W$6:$W$505,CH$3,実績!$AI$6:$AI$505,"&lt;="&amp;$A66,実績!$AJ$6:$AJ$505,"&gt;"&amp;$A66,実績!$AK$6:$AK$505,"○")&gt;0,1,0))</f>
        <v>0</v>
      </c>
      <c r="CI66" s="39" t="n">
        <f aca="false">IF(CI$4=0,0,IF(COUNTIFS(実績!$W$6:$W$505,CI$3,実績!$AI$6:$AI$505,"&lt;="&amp;$A66,実績!$AJ$6:$AJ$505,"&gt;"&amp;$A66,実績!$AK$6:$AK$505,"○")&gt;0,1,0))</f>
        <v>0</v>
      </c>
      <c r="CJ66" s="39" t="n">
        <f aca="false">IF(CJ$4=0,0,IF(COUNTIFS(実績!$W$6:$W$505,CJ$3,実績!$AI$6:$AI$505,"&lt;="&amp;$A66,実績!$AJ$6:$AJ$505,"&gt;"&amp;$A66,実績!$AK$6:$AK$505,"○")&gt;0,1,0))</f>
        <v>0</v>
      </c>
      <c r="CK66" s="39" t="n">
        <f aca="false">IF(CK$4=0,0,IF(COUNTIFS(実績!$W$6:$W$505,CK$3,実績!$AI$6:$AI$505,"&lt;="&amp;$A66,実績!$AJ$6:$AJ$505,"&gt;"&amp;$A66,実績!$AK$6:$AK$505,"○")&gt;0,1,0))</f>
        <v>0</v>
      </c>
      <c r="CL66" s="39" t="n">
        <f aca="false">IF(CL$4=0,0,IF(COUNTIFS(実績!$W$6:$W$505,CL$3,実績!$AI$6:$AI$505,"&lt;="&amp;$A66,実績!$AJ$6:$AJ$505,"&gt;"&amp;$A66,実績!$AK$6:$AK$505,"○")&gt;0,1,0))</f>
        <v>0</v>
      </c>
      <c r="CM66" s="39" t="n">
        <f aca="false">IF(CM$4=0,0,IF(COUNTIFS(実績!$W$6:$W$505,CM$3,実績!$AI$6:$AI$505,"&lt;="&amp;$A66,実績!$AJ$6:$AJ$505,"&gt;"&amp;$A66,実績!$AK$6:$AK$505,"○")&gt;0,1,0))</f>
        <v>0</v>
      </c>
      <c r="CN66" s="39" t="n">
        <f aca="false">IF(CN$4=0,0,IF(COUNTIFS(実績!$W$6:$W$505,CN$3,実績!$AI$6:$AI$505,"&lt;="&amp;$A66,実績!$AJ$6:$AJ$505,"&gt;"&amp;$A66,実績!$AK$6:$AK$505,"○")&gt;0,1,0))</f>
        <v>0</v>
      </c>
      <c r="CO66" s="39" t="n">
        <f aca="false">IF(CO$4=0,0,IF(COUNTIFS(実績!$W$6:$W$505,CO$3,実績!$AI$6:$AI$505,"&lt;="&amp;$A66,実績!$AJ$6:$AJ$505,"&gt;"&amp;$A66,実績!$AK$6:$AK$505,"○")&gt;0,1,0))</f>
        <v>0</v>
      </c>
      <c r="CP66" s="39" t="n">
        <f aca="false">IF(CP$4=0,0,IF(COUNTIFS(実績!$W$6:$W$505,CP$3,実績!$AI$6:$AI$505,"&lt;="&amp;$A66,実績!$AJ$6:$AJ$505,"&gt;"&amp;$A66,実績!$AK$6:$AK$505,"○")&gt;0,1,0))</f>
        <v>0</v>
      </c>
      <c r="CQ66" s="39" t="n">
        <f aca="false">IF(CQ$4=0,0,IF(COUNTIFS(実績!$W$6:$W$505,CQ$3,実績!$AI$6:$AI$505,"&lt;="&amp;$A66,実績!$AJ$6:$AJ$505,"&gt;"&amp;$A66,実績!$AK$6:$AK$505,"○")&gt;0,1,0))</f>
        <v>0</v>
      </c>
      <c r="CR66" s="39" t="n">
        <f aca="false">IF(CR$4=0,0,IF(COUNTIFS(実績!$W$6:$W$505,CR$3,実績!$AI$6:$AI$505,"&lt;="&amp;$A66,実績!$AJ$6:$AJ$505,"&gt;"&amp;$A66,実績!$AK$6:$AK$505,"○")&gt;0,1,0))</f>
        <v>0</v>
      </c>
      <c r="CS66" s="39" t="n">
        <f aca="false">IF(CS$4=0,0,IF(COUNTIFS(実績!$W$6:$W$505,CS$3,実績!$AI$6:$AI$505,"&lt;="&amp;$A66,実績!$AJ$6:$AJ$505,"&gt;"&amp;$A66,実績!$AK$6:$AK$505,"○")&gt;0,1,0))</f>
        <v>0</v>
      </c>
      <c r="CT66" s="39" t="n">
        <f aca="false">IF(CT$4=0,0,IF(COUNTIFS(実績!$W$6:$W$505,CT$3,実績!$AI$6:$AI$505,"&lt;="&amp;$A66,実績!$AJ$6:$AJ$505,"&gt;"&amp;$A66,実績!$AK$6:$AK$505,"○")&gt;0,1,0))</f>
        <v>0</v>
      </c>
      <c r="CU66" s="39" t="n">
        <f aca="false">IF(CU$4=0,0,IF(COUNTIFS(実績!$W$6:$W$505,CU$3,実績!$AI$6:$AI$505,"&lt;="&amp;$A66,実績!$AJ$6:$AJ$505,"&gt;"&amp;$A66,実績!$AK$6:$AK$505,"○")&gt;0,1,0))</f>
        <v>0</v>
      </c>
      <c r="CV66" s="39" t="n">
        <f aca="false">IF(CV$4=0,0,IF(COUNTIFS(実績!$W$6:$W$505,CV$3,実績!$AI$6:$AI$505,"&lt;="&amp;$A66,実績!$AJ$6:$AJ$505,"&gt;"&amp;$A66,実績!$AK$6:$AK$505,"○")&gt;0,1,0))</f>
        <v>0</v>
      </c>
      <c r="CW66" s="39" t="n">
        <f aca="false">IF(CW$4=0,0,IF(COUNTIFS(実績!$W$6:$W$505,CW$3,実績!$AI$6:$AI$505,"&lt;="&amp;$A66,実績!$AJ$6:$AJ$505,"&gt;"&amp;$A66,実績!$AK$6:$AK$505,"○")&gt;0,1,0))</f>
        <v>0</v>
      </c>
      <c r="CX66" s="39" t="n">
        <f aca="false">IF(CX$4=0,0,IF(COUNTIFS(実績!$W$6:$W$505,CX$3,実績!$AI$6:$AI$505,"&lt;="&amp;$A66,実績!$AJ$6:$AJ$505,"&gt;"&amp;$A66,実績!$AK$6:$AK$505,"○")&gt;0,1,0))</f>
        <v>0</v>
      </c>
      <c r="CY66" s="39" t="n">
        <f aca="false">IF(CY$4=0,0,IF(COUNTIFS(実績!$W$6:$W$505,CY$3,実績!$AI$6:$AI$505,"&lt;="&amp;$A66,実績!$AJ$6:$AJ$505,"&gt;"&amp;$A66,実績!$AK$6:$AK$505,"○")&gt;0,1,0))</f>
        <v>0</v>
      </c>
      <c r="CZ66" s="39" t="n">
        <f aca="false">IF(CZ$4=0,0,IF(COUNTIFS(実績!$W$6:$W$505,CZ$3,実績!$AI$6:$AI$505,"&lt;="&amp;$A66,実績!$AJ$6:$AJ$505,"&gt;"&amp;$A66,実績!$AK$6:$AK$505,"○")&gt;0,1,0))</f>
        <v>0</v>
      </c>
      <c r="DA66" s="39" t="n">
        <f aca="false">IF(DA$4=0,0,IF(COUNTIFS(実績!$W$6:$W$505,DA$3,実績!$AI$6:$AI$505,"&lt;="&amp;$A66,実績!$AJ$6:$AJ$505,"&gt;"&amp;$A66,実績!$AK$6:$AK$505,"○")&gt;0,1,0))</f>
        <v>0</v>
      </c>
      <c r="DB66" s="39" t="n">
        <f aca="false">IF(DB$4=0,0,IF(COUNTIFS(実績!$W$6:$W$505,DB$3,実績!$AI$6:$AI$505,"&lt;="&amp;$A66,実績!$AJ$6:$AJ$505,"&gt;"&amp;$A66,実績!$AK$6:$AK$505,"○")&gt;0,1,0))</f>
        <v>0</v>
      </c>
      <c r="DC66" s="39" t="n">
        <f aca="false">IF(DC$4=0,0,IF(COUNTIFS(実績!$W$6:$W$505,DC$3,実績!$AI$6:$AI$505,"&lt;="&amp;$A66,実績!$AJ$6:$AJ$505,"&gt;"&amp;$A66,実績!$AK$6:$AK$505,"○")&gt;0,1,0))</f>
        <v>0</v>
      </c>
      <c r="DD66" s="39" t="n">
        <f aca="false">IF(DD$4=0,0,IF(COUNTIFS(実績!$W$6:$W$505,DD$3,実績!$AI$6:$AI$505,"&lt;="&amp;$A66,実績!$AJ$6:$AJ$505,"&gt;"&amp;$A66,実績!$AK$6:$AK$505,"○")&gt;0,1,0))</f>
        <v>0</v>
      </c>
      <c r="DE66" s="39" t="n">
        <f aca="false">IF(DE$4=0,0,IF(COUNTIFS(実績!$W$6:$W$505,DE$3,実績!$AI$6:$AI$505,"&lt;="&amp;$A66,実績!$AJ$6:$AJ$505,"&gt;"&amp;$A66,実績!$AK$6:$AK$505,"○")&gt;0,1,0))</f>
        <v>0</v>
      </c>
      <c r="DF66" s="39" t="n">
        <f aca="false">IF(DF$4=0,0,IF(COUNTIFS(実績!$W$6:$W$505,DF$3,実績!$AI$6:$AI$505,"&lt;="&amp;$A66,実績!$AJ$6:$AJ$505,"&gt;"&amp;$A66,実績!$AK$6:$AK$505,"○")&gt;0,1,0))</f>
        <v>0</v>
      </c>
      <c r="DG66" s="39" t="n">
        <f aca="false">IF(DG$4=0,0,IF(COUNTIFS(実績!$W$6:$W$505,DG$3,実績!$AI$6:$AI$505,"&lt;="&amp;$A66,実績!$AJ$6:$AJ$505,"&gt;"&amp;$A66,実績!$AK$6:$AK$505,"○")&gt;0,1,0))</f>
        <v>0</v>
      </c>
      <c r="DH66" s="39" t="n">
        <f aca="false">IF(DH$4=0,0,IF(COUNTIFS(実績!$W$6:$W$505,DH$3,実績!$AI$6:$AI$505,"&lt;="&amp;$A66,実績!$AJ$6:$AJ$505,"&gt;"&amp;$A66,実績!$AK$6:$AK$505,"○")&gt;0,1,0))</f>
        <v>0</v>
      </c>
      <c r="DI66" s="39" t="n">
        <f aca="false">IF(DI$4=0,0,IF(COUNTIFS(実績!$W$6:$W$505,DI$3,実績!$AI$6:$AI$505,"&lt;="&amp;$A66,実績!$AJ$6:$AJ$505,"&gt;"&amp;$A66,実績!$AK$6:$AK$505,"○")&gt;0,1,0))</f>
        <v>0</v>
      </c>
      <c r="DJ66" s="39" t="n">
        <f aca="false">IF(DJ$4=0,0,IF(COUNTIFS(実績!$W$6:$W$505,DJ$3,実績!$AI$6:$AI$505,"&lt;="&amp;$A66,実績!$AJ$6:$AJ$505,"&gt;"&amp;$A66,実績!$AK$6:$AK$505,"○")&gt;0,1,0))</f>
        <v>0</v>
      </c>
      <c r="DK66" s="39" t="n">
        <f aca="false">IF(DK$4=0,0,IF(COUNTIFS(実績!$W$6:$W$505,DK$3,実績!$AI$6:$AI$505,"&lt;="&amp;$A66,実績!$AJ$6:$AJ$505,"&gt;"&amp;$A66,実績!$AK$6:$AK$505,"○")&gt;0,1,0))</f>
        <v>0</v>
      </c>
      <c r="DL66" s="39" t="n">
        <f aca="false">IF(DL$4=0,0,IF(COUNTIFS(実績!$W$6:$W$505,DL$3,実績!$AI$6:$AI$505,"&lt;="&amp;$A66,実績!$AJ$6:$AJ$505,"&gt;"&amp;$A66,実績!$AK$6:$AK$505,"○")&gt;0,1,0))</f>
        <v>0</v>
      </c>
      <c r="DM66" s="39" t="n">
        <f aca="false">IF(DM$4=0,0,IF(COUNTIFS(実績!$W$6:$W$505,DM$3,実績!$AI$6:$AI$505,"&lt;="&amp;$A66,実績!$AJ$6:$AJ$505,"&gt;"&amp;$A66,実績!$AK$6:$AK$505,"○")&gt;0,1,0))</f>
        <v>0</v>
      </c>
      <c r="DN66" s="39" t="n">
        <f aca="false">IF(DN$4=0,0,IF(COUNTIFS(実績!$W$6:$W$505,DN$3,実績!$AI$6:$AI$505,"&lt;="&amp;$A66,実績!$AJ$6:$AJ$505,"&gt;"&amp;$A66,実績!$AK$6:$AK$505,"○")&gt;0,1,0))</f>
        <v>0</v>
      </c>
      <c r="DO66" s="39" t="n">
        <f aca="false">IF(DO$4=0,0,IF(COUNTIFS(実績!$W$6:$W$505,DO$3,実績!$AI$6:$AI$505,"&lt;="&amp;$A66,実績!$AJ$6:$AJ$505,"&gt;"&amp;$A66,実績!$AK$6:$AK$505,"○")&gt;0,1,0))</f>
        <v>0</v>
      </c>
      <c r="DP66" s="39" t="n">
        <f aca="false">IF(DP$4=0,0,IF(COUNTIFS(実績!$W$6:$W$505,DP$3,実績!$AI$6:$AI$505,"&lt;="&amp;$A66,実績!$AJ$6:$AJ$505,"&gt;"&amp;$A66,実績!$AK$6:$AK$505,"○")&gt;0,1,0))</f>
        <v>0</v>
      </c>
      <c r="DQ66" s="39" t="n">
        <f aca="false">IF(DQ$4=0,0,IF(COUNTIFS(実績!$W$6:$W$505,DQ$3,実績!$AI$6:$AI$505,"&lt;="&amp;$A66,実績!$AJ$6:$AJ$505,"&gt;"&amp;$A66,実績!$AK$6:$AK$505,"○")&gt;0,1,0))</f>
        <v>0</v>
      </c>
      <c r="DR66" s="39" t="n">
        <f aca="false">IF(DR$4=0,0,IF(COUNTIFS(実績!$W$6:$W$505,DR$3,実績!$AI$6:$AI$505,"&lt;="&amp;$A66,実績!$AJ$6:$AJ$505,"&gt;"&amp;$A66,実績!$AK$6:$AK$505,"○")&gt;0,1,0))</f>
        <v>0</v>
      </c>
      <c r="DS66" s="39" t="n">
        <f aca="false">SUM(C66:DR66)</f>
        <v>0</v>
      </c>
      <c r="DT66" s="39" t="n">
        <f aca="false">SUMPRODUCT((実績!$C$6:$C$505="○")*ISNUMBER(実績!$AM$6:$AM$505)*(実績!$AM$6:$AM$505&lt;=$A66)*(実績!$AN$6:$AN$505&gt;$A66))</f>
        <v>0</v>
      </c>
      <c r="DU66" s="39" t="n">
        <f aca="false">SUMIF($C$2:$DR$2,"製鉄曳船",C66:DR66)</f>
        <v>0</v>
      </c>
      <c r="DV66" s="39" t="n">
        <f aca="false">SUMIF($C$2:$DR$2,"西日本海運",C66:DR66)</f>
        <v>0</v>
      </c>
    </row>
    <row r="67" customFormat="false" ht="15" hidden="false" customHeight="false" outlineLevel="0" collapsed="false">
      <c r="A67" s="0" t="n">
        <v>305</v>
      </c>
      <c r="B67" s="38" t="n">
        <f aca="false">A67/1440</f>
        <v>0.211805555555556</v>
      </c>
      <c r="C67" s="39" t="n">
        <f aca="false">IF(C$4=0,0,IF(COUNTIFS(実績!$W$6:$W$505,C$3,実績!$AI$6:$AI$505,"&lt;="&amp;$A67,実績!$AJ$6:$AJ$505,"&gt;"&amp;$A67,実績!$AK$6:$AK$505,"○")&gt;0,1,0))</f>
        <v>0</v>
      </c>
      <c r="D67" s="39" t="n">
        <f aca="false">IF(D$4=0,0,IF(COUNTIFS(実績!$W$6:$W$505,D$3,実績!$AI$6:$AI$505,"&lt;="&amp;$A67,実績!$AJ$6:$AJ$505,"&gt;"&amp;$A67,実績!$AK$6:$AK$505,"○")&gt;0,1,0))</f>
        <v>0</v>
      </c>
      <c r="E67" s="39" t="n">
        <f aca="false">IF(E$4=0,0,IF(COUNTIFS(実績!$W$6:$W$505,E$3,実績!$AI$6:$AI$505,"&lt;="&amp;$A67,実績!$AJ$6:$AJ$505,"&gt;"&amp;$A67,実績!$AK$6:$AK$505,"○")&gt;0,1,0))</f>
        <v>0</v>
      </c>
      <c r="F67" s="39" t="n">
        <f aca="false">IF(F$4=0,0,IF(COUNTIFS(実績!$W$6:$W$505,F$3,実績!$AI$6:$AI$505,"&lt;="&amp;$A67,実績!$AJ$6:$AJ$505,"&gt;"&amp;$A67,実績!$AK$6:$AK$505,"○")&gt;0,1,0))</f>
        <v>0</v>
      </c>
      <c r="G67" s="39" t="n">
        <f aca="false">IF(G$4=0,0,IF(COUNTIFS(実績!$W$6:$W$505,G$3,実績!$AI$6:$AI$505,"&lt;="&amp;$A67,実績!$AJ$6:$AJ$505,"&gt;"&amp;$A67,実績!$AK$6:$AK$505,"○")&gt;0,1,0))</f>
        <v>0</v>
      </c>
      <c r="H67" s="39" t="n">
        <f aca="false">IF(H$4=0,0,IF(COUNTIFS(実績!$W$6:$W$505,H$3,実績!$AI$6:$AI$505,"&lt;="&amp;$A67,実績!$AJ$6:$AJ$505,"&gt;"&amp;$A67,実績!$AK$6:$AK$505,"○")&gt;0,1,0))</f>
        <v>0</v>
      </c>
      <c r="I67" s="39" t="n">
        <f aca="false">IF(I$4=0,0,IF(COUNTIFS(実績!$W$6:$W$505,I$3,実績!$AI$6:$AI$505,"&lt;="&amp;$A67,実績!$AJ$6:$AJ$505,"&gt;"&amp;$A67,実績!$AK$6:$AK$505,"○")&gt;0,1,0))</f>
        <v>0</v>
      </c>
      <c r="J67" s="39" t="n">
        <f aca="false">IF(J$4=0,0,IF(COUNTIFS(実績!$W$6:$W$505,J$3,実績!$AI$6:$AI$505,"&lt;="&amp;$A67,実績!$AJ$6:$AJ$505,"&gt;"&amp;$A67,実績!$AK$6:$AK$505,"○")&gt;0,1,0))</f>
        <v>0</v>
      </c>
      <c r="K67" s="39" t="n">
        <f aca="false">IF(K$4=0,0,IF(COUNTIFS(実績!$W$6:$W$505,K$3,実績!$AI$6:$AI$505,"&lt;="&amp;$A67,実績!$AJ$6:$AJ$505,"&gt;"&amp;$A67,実績!$AK$6:$AK$505,"○")&gt;0,1,0))</f>
        <v>0</v>
      </c>
      <c r="L67" s="39" t="n">
        <f aca="false">IF(L$4=0,0,IF(COUNTIFS(実績!$W$6:$W$505,L$3,実績!$AI$6:$AI$505,"&lt;="&amp;$A67,実績!$AJ$6:$AJ$505,"&gt;"&amp;$A67,実績!$AK$6:$AK$505,"○")&gt;0,1,0))</f>
        <v>0</v>
      </c>
      <c r="M67" s="39" t="n">
        <f aca="false">IF(M$4=0,0,IF(COUNTIFS(実績!$W$6:$W$505,M$3,実績!$AI$6:$AI$505,"&lt;="&amp;$A67,実績!$AJ$6:$AJ$505,"&gt;"&amp;$A67,実績!$AK$6:$AK$505,"○")&gt;0,1,0))</f>
        <v>0</v>
      </c>
      <c r="N67" s="39" t="n">
        <f aca="false">IF(N$4=0,0,IF(COUNTIFS(実績!$W$6:$W$505,N$3,実績!$AI$6:$AI$505,"&lt;="&amp;$A67,実績!$AJ$6:$AJ$505,"&gt;"&amp;$A67,実績!$AK$6:$AK$505,"○")&gt;0,1,0))</f>
        <v>0</v>
      </c>
      <c r="O67" s="39" t="n">
        <f aca="false">IF(O$4=0,0,IF(COUNTIFS(実績!$W$6:$W$505,O$3,実績!$AI$6:$AI$505,"&lt;="&amp;$A67,実績!$AJ$6:$AJ$505,"&gt;"&amp;$A67,実績!$AK$6:$AK$505,"○")&gt;0,1,0))</f>
        <v>0</v>
      </c>
      <c r="P67" s="39" t="n">
        <f aca="false">IF(P$4=0,0,IF(COUNTIFS(実績!$W$6:$W$505,P$3,実績!$AI$6:$AI$505,"&lt;="&amp;$A67,実績!$AJ$6:$AJ$505,"&gt;"&amp;$A67,実績!$AK$6:$AK$505,"○")&gt;0,1,0))</f>
        <v>0</v>
      </c>
      <c r="Q67" s="39" t="n">
        <f aca="false">IF(Q$4=0,0,IF(COUNTIFS(実績!$W$6:$W$505,Q$3,実績!$AI$6:$AI$505,"&lt;="&amp;$A67,実績!$AJ$6:$AJ$505,"&gt;"&amp;$A67,実績!$AK$6:$AK$505,"○")&gt;0,1,0))</f>
        <v>0</v>
      </c>
      <c r="R67" s="39" t="n">
        <f aca="false">IF(R$4=0,0,IF(COUNTIFS(実績!$W$6:$W$505,R$3,実績!$AI$6:$AI$505,"&lt;="&amp;$A67,実績!$AJ$6:$AJ$505,"&gt;"&amp;$A67,実績!$AK$6:$AK$505,"○")&gt;0,1,0))</f>
        <v>0</v>
      </c>
      <c r="S67" s="39" t="n">
        <f aca="false">IF(S$4=0,0,IF(COUNTIFS(実績!$W$6:$W$505,S$3,実績!$AI$6:$AI$505,"&lt;="&amp;$A67,実績!$AJ$6:$AJ$505,"&gt;"&amp;$A67,実績!$AK$6:$AK$505,"○")&gt;0,1,0))</f>
        <v>0</v>
      </c>
      <c r="T67" s="39" t="n">
        <f aca="false">IF(T$4=0,0,IF(COUNTIFS(実績!$W$6:$W$505,T$3,実績!$AI$6:$AI$505,"&lt;="&amp;$A67,実績!$AJ$6:$AJ$505,"&gt;"&amp;$A67,実績!$AK$6:$AK$505,"○")&gt;0,1,0))</f>
        <v>0</v>
      </c>
      <c r="U67" s="39" t="n">
        <f aca="false">IF(U$4=0,0,IF(COUNTIFS(実績!$W$6:$W$505,U$3,実績!$AI$6:$AI$505,"&lt;="&amp;$A67,実績!$AJ$6:$AJ$505,"&gt;"&amp;$A67,実績!$AK$6:$AK$505,"○")&gt;0,1,0))</f>
        <v>0</v>
      </c>
      <c r="V67" s="39" t="n">
        <f aca="false">IF(V$4=0,0,IF(COUNTIFS(実績!$W$6:$W$505,V$3,実績!$AI$6:$AI$505,"&lt;="&amp;$A67,実績!$AJ$6:$AJ$505,"&gt;"&amp;$A67,実績!$AK$6:$AK$505,"○")&gt;0,1,0))</f>
        <v>0</v>
      </c>
      <c r="W67" s="39" t="n">
        <f aca="false">IF(W$4=0,0,IF(COUNTIFS(実績!$W$6:$W$505,W$3,実績!$AI$6:$AI$505,"&lt;="&amp;$A67,実績!$AJ$6:$AJ$505,"&gt;"&amp;$A67,実績!$AK$6:$AK$505,"○")&gt;0,1,0))</f>
        <v>0</v>
      </c>
      <c r="X67" s="39" t="n">
        <f aca="false">IF(X$4=0,0,IF(COUNTIFS(実績!$W$6:$W$505,X$3,実績!$AI$6:$AI$505,"&lt;="&amp;$A67,実績!$AJ$6:$AJ$505,"&gt;"&amp;$A67,実績!$AK$6:$AK$505,"○")&gt;0,1,0))</f>
        <v>0</v>
      </c>
      <c r="Y67" s="39" t="n">
        <f aca="false">IF(Y$4=0,0,IF(COUNTIFS(実績!$W$6:$W$505,Y$3,実績!$AI$6:$AI$505,"&lt;="&amp;$A67,実績!$AJ$6:$AJ$505,"&gt;"&amp;$A67,実績!$AK$6:$AK$505,"○")&gt;0,1,0))</f>
        <v>0</v>
      </c>
      <c r="Z67" s="39" t="n">
        <f aca="false">IF(Z$4=0,0,IF(COUNTIFS(実績!$W$6:$W$505,Z$3,実績!$AI$6:$AI$505,"&lt;="&amp;$A67,実績!$AJ$6:$AJ$505,"&gt;"&amp;$A67,実績!$AK$6:$AK$505,"○")&gt;0,1,0))</f>
        <v>0</v>
      </c>
      <c r="AA67" s="39" t="n">
        <f aca="false">IF(AA$4=0,0,IF(COUNTIFS(実績!$W$6:$W$505,AA$3,実績!$AI$6:$AI$505,"&lt;="&amp;$A67,実績!$AJ$6:$AJ$505,"&gt;"&amp;$A67,実績!$AK$6:$AK$505,"○")&gt;0,1,0))</f>
        <v>0</v>
      </c>
      <c r="AB67" s="39" t="n">
        <f aca="false">IF(AB$4=0,0,IF(COUNTIFS(実績!$W$6:$W$505,AB$3,実績!$AI$6:$AI$505,"&lt;="&amp;$A67,実績!$AJ$6:$AJ$505,"&gt;"&amp;$A67,実績!$AK$6:$AK$505,"○")&gt;0,1,0))</f>
        <v>0</v>
      </c>
      <c r="AC67" s="39" t="n">
        <f aca="false">IF(AC$4=0,0,IF(COUNTIFS(実績!$W$6:$W$505,AC$3,実績!$AI$6:$AI$505,"&lt;="&amp;$A67,実績!$AJ$6:$AJ$505,"&gt;"&amp;$A67,実績!$AK$6:$AK$505,"○")&gt;0,1,0))</f>
        <v>0</v>
      </c>
      <c r="AD67" s="39" t="n">
        <f aca="false">IF(AD$4=0,0,IF(COUNTIFS(実績!$W$6:$W$505,AD$3,実績!$AI$6:$AI$505,"&lt;="&amp;$A67,実績!$AJ$6:$AJ$505,"&gt;"&amp;$A67,実績!$AK$6:$AK$505,"○")&gt;0,1,0))</f>
        <v>0</v>
      </c>
      <c r="AE67" s="39" t="n">
        <f aca="false">IF(AE$4=0,0,IF(COUNTIFS(実績!$W$6:$W$505,AE$3,実績!$AI$6:$AI$505,"&lt;="&amp;$A67,実績!$AJ$6:$AJ$505,"&gt;"&amp;$A67,実績!$AK$6:$AK$505,"○")&gt;0,1,0))</f>
        <v>0</v>
      </c>
      <c r="AF67" s="39" t="n">
        <f aca="false">IF(AF$4=0,0,IF(COUNTIFS(実績!$W$6:$W$505,AF$3,実績!$AI$6:$AI$505,"&lt;="&amp;$A67,実績!$AJ$6:$AJ$505,"&gt;"&amp;$A67,実績!$AK$6:$AK$505,"○")&gt;0,1,0))</f>
        <v>0</v>
      </c>
      <c r="AG67" s="39" t="n">
        <f aca="false">IF(AG$4=0,0,IF(COUNTIFS(実績!$W$6:$W$505,AG$3,実績!$AI$6:$AI$505,"&lt;="&amp;$A67,実績!$AJ$6:$AJ$505,"&gt;"&amp;$A67,実績!$AK$6:$AK$505,"○")&gt;0,1,0))</f>
        <v>0</v>
      </c>
      <c r="AH67" s="39" t="n">
        <f aca="false">IF(AH$4=0,0,IF(COUNTIFS(実績!$W$6:$W$505,AH$3,実績!$AI$6:$AI$505,"&lt;="&amp;$A67,実績!$AJ$6:$AJ$505,"&gt;"&amp;$A67,実績!$AK$6:$AK$505,"○")&gt;0,1,0))</f>
        <v>0</v>
      </c>
      <c r="AI67" s="39" t="n">
        <f aca="false">IF(AI$4=0,0,IF(COUNTIFS(実績!$W$6:$W$505,AI$3,実績!$AI$6:$AI$505,"&lt;="&amp;$A67,実績!$AJ$6:$AJ$505,"&gt;"&amp;$A67,実績!$AK$6:$AK$505,"○")&gt;0,1,0))</f>
        <v>0</v>
      </c>
      <c r="AJ67" s="39" t="n">
        <f aca="false">IF(AJ$4=0,0,IF(COUNTIFS(実績!$W$6:$W$505,AJ$3,実績!$AI$6:$AI$505,"&lt;="&amp;$A67,実績!$AJ$6:$AJ$505,"&gt;"&amp;$A67,実績!$AK$6:$AK$505,"○")&gt;0,1,0))</f>
        <v>0</v>
      </c>
      <c r="AK67" s="39" t="n">
        <f aca="false">IF(AK$4=0,0,IF(COUNTIFS(実績!$W$6:$W$505,AK$3,実績!$AI$6:$AI$505,"&lt;="&amp;$A67,実績!$AJ$6:$AJ$505,"&gt;"&amp;$A67,実績!$AK$6:$AK$505,"○")&gt;0,1,0))</f>
        <v>0</v>
      </c>
      <c r="AL67" s="39" t="n">
        <f aca="false">IF(AL$4=0,0,IF(COUNTIFS(実績!$W$6:$W$505,AL$3,実績!$AI$6:$AI$505,"&lt;="&amp;$A67,実績!$AJ$6:$AJ$505,"&gt;"&amp;$A67,実績!$AK$6:$AK$505,"○")&gt;0,1,0))</f>
        <v>0</v>
      </c>
      <c r="AM67" s="39" t="n">
        <f aca="false">IF(AM$4=0,0,IF(COUNTIFS(実績!$W$6:$W$505,AM$3,実績!$AI$6:$AI$505,"&lt;="&amp;$A67,実績!$AJ$6:$AJ$505,"&gt;"&amp;$A67,実績!$AK$6:$AK$505,"○")&gt;0,1,0))</f>
        <v>0</v>
      </c>
      <c r="AN67" s="39" t="n">
        <f aca="false">IF(AN$4=0,0,IF(COUNTIFS(実績!$W$6:$W$505,AN$3,実績!$AI$6:$AI$505,"&lt;="&amp;$A67,実績!$AJ$6:$AJ$505,"&gt;"&amp;$A67,実績!$AK$6:$AK$505,"○")&gt;0,1,0))</f>
        <v>0</v>
      </c>
      <c r="AO67" s="39" t="n">
        <f aca="false">IF(AO$4=0,0,IF(COUNTIFS(実績!$W$6:$W$505,AO$3,実績!$AI$6:$AI$505,"&lt;="&amp;$A67,実績!$AJ$6:$AJ$505,"&gt;"&amp;$A67,実績!$AK$6:$AK$505,"○")&gt;0,1,0))</f>
        <v>0</v>
      </c>
      <c r="AP67" s="39" t="n">
        <f aca="false">IF(AP$4=0,0,IF(COUNTIFS(実績!$W$6:$W$505,AP$3,実績!$AI$6:$AI$505,"&lt;="&amp;$A67,実績!$AJ$6:$AJ$505,"&gt;"&amp;$A67,実績!$AK$6:$AK$505,"○")&gt;0,1,0))</f>
        <v>0</v>
      </c>
      <c r="AQ67" s="39" t="n">
        <f aca="false">IF(AQ$4=0,0,IF(COUNTIFS(実績!$W$6:$W$505,AQ$3,実績!$AI$6:$AI$505,"&lt;="&amp;$A67,実績!$AJ$6:$AJ$505,"&gt;"&amp;$A67,実績!$AK$6:$AK$505,"○")&gt;0,1,0))</f>
        <v>0</v>
      </c>
      <c r="AR67" s="39" t="n">
        <f aca="false">IF(AR$4=0,0,IF(COUNTIFS(実績!$W$6:$W$505,AR$3,実績!$AI$6:$AI$505,"&lt;="&amp;$A67,実績!$AJ$6:$AJ$505,"&gt;"&amp;$A67,実績!$AK$6:$AK$505,"○")&gt;0,1,0))</f>
        <v>0</v>
      </c>
      <c r="AS67" s="39" t="n">
        <f aca="false">IF(AS$4=0,0,IF(COUNTIFS(実績!$W$6:$W$505,AS$3,実績!$AI$6:$AI$505,"&lt;="&amp;$A67,実績!$AJ$6:$AJ$505,"&gt;"&amp;$A67,実績!$AK$6:$AK$505,"○")&gt;0,1,0))</f>
        <v>0</v>
      </c>
      <c r="AT67" s="39" t="n">
        <f aca="false">IF(AT$4=0,0,IF(COUNTIFS(実績!$W$6:$W$505,AT$3,実績!$AI$6:$AI$505,"&lt;="&amp;$A67,実績!$AJ$6:$AJ$505,"&gt;"&amp;$A67,実績!$AK$6:$AK$505,"○")&gt;0,1,0))</f>
        <v>0</v>
      </c>
      <c r="AU67" s="39" t="n">
        <f aca="false">IF(AU$4=0,0,IF(COUNTIFS(実績!$W$6:$W$505,AU$3,実績!$AI$6:$AI$505,"&lt;="&amp;$A67,実績!$AJ$6:$AJ$505,"&gt;"&amp;$A67,実績!$AK$6:$AK$505,"○")&gt;0,1,0))</f>
        <v>0</v>
      </c>
      <c r="AV67" s="39" t="n">
        <f aca="false">IF(AV$4=0,0,IF(COUNTIFS(実績!$W$6:$W$505,AV$3,実績!$AI$6:$AI$505,"&lt;="&amp;$A67,実績!$AJ$6:$AJ$505,"&gt;"&amp;$A67,実績!$AK$6:$AK$505,"○")&gt;0,1,0))</f>
        <v>0</v>
      </c>
      <c r="AW67" s="39" t="n">
        <f aca="false">IF(AW$4=0,0,IF(COUNTIFS(実績!$W$6:$W$505,AW$3,実績!$AI$6:$AI$505,"&lt;="&amp;$A67,実績!$AJ$6:$AJ$505,"&gt;"&amp;$A67,実績!$AK$6:$AK$505,"○")&gt;0,1,0))</f>
        <v>0</v>
      </c>
      <c r="AX67" s="39" t="n">
        <f aca="false">IF(AX$4=0,0,IF(COUNTIFS(実績!$W$6:$W$505,AX$3,実績!$AI$6:$AI$505,"&lt;="&amp;$A67,実績!$AJ$6:$AJ$505,"&gt;"&amp;$A67,実績!$AK$6:$AK$505,"○")&gt;0,1,0))</f>
        <v>0</v>
      </c>
      <c r="AY67" s="39" t="n">
        <f aca="false">IF(AY$4=0,0,IF(COUNTIFS(実績!$W$6:$W$505,AY$3,実績!$AI$6:$AI$505,"&lt;="&amp;$A67,実績!$AJ$6:$AJ$505,"&gt;"&amp;$A67,実績!$AK$6:$AK$505,"○")&gt;0,1,0))</f>
        <v>0</v>
      </c>
      <c r="AZ67" s="39" t="n">
        <f aca="false">IF(AZ$4=0,0,IF(COUNTIFS(実績!$W$6:$W$505,AZ$3,実績!$AI$6:$AI$505,"&lt;="&amp;$A67,実績!$AJ$6:$AJ$505,"&gt;"&amp;$A67,実績!$AK$6:$AK$505,"○")&gt;0,1,0))</f>
        <v>0</v>
      </c>
      <c r="BA67" s="39" t="n">
        <f aca="false">IF(BA$4=0,0,IF(COUNTIFS(実績!$W$6:$W$505,BA$3,実績!$AI$6:$AI$505,"&lt;="&amp;$A67,実績!$AJ$6:$AJ$505,"&gt;"&amp;$A67,実績!$AK$6:$AK$505,"○")&gt;0,1,0))</f>
        <v>0</v>
      </c>
      <c r="BB67" s="39" t="n">
        <f aca="false">IF(BB$4=0,0,IF(COUNTIFS(実績!$W$6:$W$505,BB$3,実績!$AI$6:$AI$505,"&lt;="&amp;$A67,実績!$AJ$6:$AJ$505,"&gt;"&amp;$A67,実績!$AK$6:$AK$505,"○")&gt;0,1,0))</f>
        <v>0</v>
      </c>
      <c r="BC67" s="39" t="n">
        <f aca="false">IF(BC$4=0,0,IF(COUNTIFS(実績!$W$6:$W$505,BC$3,実績!$AI$6:$AI$505,"&lt;="&amp;$A67,実績!$AJ$6:$AJ$505,"&gt;"&amp;$A67,実績!$AK$6:$AK$505,"○")&gt;0,1,0))</f>
        <v>0</v>
      </c>
      <c r="BD67" s="39" t="n">
        <f aca="false">IF(BD$4=0,0,IF(COUNTIFS(実績!$W$6:$W$505,BD$3,実績!$AI$6:$AI$505,"&lt;="&amp;$A67,実績!$AJ$6:$AJ$505,"&gt;"&amp;$A67,実績!$AK$6:$AK$505,"○")&gt;0,1,0))</f>
        <v>0</v>
      </c>
      <c r="BE67" s="39" t="n">
        <f aca="false">IF(BE$4=0,0,IF(COUNTIFS(実績!$W$6:$W$505,BE$3,実績!$AI$6:$AI$505,"&lt;="&amp;$A67,実績!$AJ$6:$AJ$505,"&gt;"&amp;$A67,実績!$AK$6:$AK$505,"○")&gt;0,1,0))</f>
        <v>0</v>
      </c>
      <c r="BF67" s="39" t="n">
        <f aca="false">IF(BF$4=0,0,IF(COUNTIFS(実績!$W$6:$W$505,BF$3,実績!$AI$6:$AI$505,"&lt;="&amp;$A67,実績!$AJ$6:$AJ$505,"&gt;"&amp;$A67,実績!$AK$6:$AK$505,"○")&gt;0,1,0))</f>
        <v>0</v>
      </c>
      <c r="BG67" s="39" t="n">
        <f aca="false">IF(BG$4=0,0,IF(COUNTIFS(実績!$W$6:$W$505,BG$3,実績!$AI$6:$AI$505,"&lt;="&amp;$A67,実績!$AJ$6:$AJ$505,"&gt;"&amp;$A67,実績!$AK$6:$AK$505,"○")&gt;0,1,0))</f>
        <v>0</v>
      </c>
      <c r="BH67" s="39" t="n">
        <f aca="false">IF(BH$4=0,0,IF(COUNTIFS(実績!$W$6:$W$505,BH$3,実績!$AI$6:$AI$505,"&lt;="&amp;$A67,実績!$AJ$6:$AJ$505,"&gt;"&amp;$A67,実績!$AK$6:$AK$505,"○")&gt;0,1,0))</f>
        <v>0</v>
      </c>
      <c r="BI67" s="39" t="n">
        <f aca="false">IF(BI$4=0,0,IF(COUNTIFS(実績!$W$6:$W$505,BI$3,実績!$AI$6:$AI$505,"&lt;="&amp;$A67,実績!$AJ$6:$AJ$505,"&gt;"&amp;$A67,実績!$AK$6:$AK$505,"○")&gt;0,1,0))</f>
        <v>0</v>
      </c>
      <c r="BJ67" s="39" t="n">
        <f aca="false">IF(BJ$4=0,0,IF(COUNTIFS(実績!$W$6:$W$505,BJ$3,実績!$AI$6:$AI$505,"&lt;="&amp;$A67,実績!$AJ$6:$AJ$505,"&gt;"&amp;$A67,実績!$AK$6:$AK$505,"○")&gt;0,1,0))</f>
        <v>0</v>
      </c>
      <c r="BK67" s="39" t="n">
        <f aca="false">IF(BK$4=0,0,IF(COUNTIFS(実績!$W$6:$W$505,BK$3,実績!$AI$6:$AI$505,"&lt;="&amp;$A67,実績!$AJ$6:$AJ$505,"&gt;"&amp;$A67,実績!$AK$6:$AK$505,"○")&gt;0,1,0))</f>
        <v>0</v>
      </c>
      <c r="BL67" s="39" t="n">
        <f aca="false">IF(BL$4=0,0,IF(COUNTIFS(実績!$W$6:$W$505,BL$3,実績!$AI$6:$AI$505,"&lt;="&amp;$A67,実績!$AJ$6:$AJ$505,"&gt;"&amp;$A67,実績!$AK$6:$AK$505,"○")&gt;0,1,0))</f>
        <v>0</v>
      </c>
      <c r="BM67" s="39" t="n">
        <f aca="false">IF(BM$4=0,0,IF(COUNTIFS(実績!$W$6:$W$505,BM$3,実績!$AI$6:$AI$505,"&lt;="&amp;$A67,実績!$AJ$6:$AJ$505,"&gt;"&amp;$A67,実績!$AK$6:$AK$505,"○")&gt;0,1,0))</f>
        <v>0</v>
      </c>
      <c r="BN67" s="39" t="n">
        <f aca="false">IF(BN$4=0,0,IF(COUNTIFS(実績!$W$6:$W$505,BN$3,実績!$AI$6:$AI$505,"&lt;="&amp;$A67,実績!$AJ$6:$AJ$505,"&gt;"&amp;$A67,実績!$AK$6:$AK$505,"○")&gt;0,1,0))</f>
        <v>0</v>
      </c>
      <c r="BO67" s="39" t="n">
        <f aca="false">IF(BO$4=0,0,IF(COUNTIFS(実績!$W$6:$W$505,BO$3,実績!$AI$6:$AI$505,"&lt;="&amp;$A67,実績!$AJ$6:$AJ$505,"&gt;"&amp;$A67,実績!$AK$6:$AK$505,"○")&gt;0,1,0))</f>
        <v>0</v>
      </c>
      <c r="BP67" s="39" t="n">
        <f aca="false">IF(BP$4=0,0,IF(COUNTIFS(実績!$W$6:$W$505,BP$3,実績!$AI$6:$AI$505,"&lt;="&amp;$A67,実績!$AJ$6:$AJ$505,"&gt;"&amp;$A67,実績!$AK$6:$AK$505,"○")&gt;0,1,0))</f>
        <v>0</v>
      </c>
      <c r="BQ67" s="39" t="n">
        <f aca="false">IF(BQ$4=0,0,IF(COUNTIFS(実績!$W$6:$W$505,BQ$3,実績!$AI$6:$AI$505,"&lt;="&amp;$A67,実績!$AJ$6:$AJ$505,"&gt;"&amp;$A67,実績!$AK$6:$AK$505,"○")&gt;0,1,0))</f>
        <v>0</v>
      </c>
      <c r="BR67" s="39" t="n">
        <f aca="false">IF(BR$4=0,0,IF(COUNTIFS(実績!$W$6:$W$505,BR$3,実績!$AI$6:$AI$505,"&lt;="&amp;$A67,実績!$AJ$6:$AJ$505,"&gt;"&amp;$A67,実績!$AK$6:$AK$505,"○")&gt;0,1,0))</f>
        <v>0</v>
      </c>
      <c r="BS67" s="39" t="n">
        <f aca="false">IF(BS$4=0,0,IF(COUNTIFS(実績!$W$6:$W$505,BS$3,実績!$AI$6:$AI$505,"&lt;="&amp;$A67,実績!$AJ$6:$AJ$505,"&gt;"&amp;$A67,実績!$AK$6:$AK$505,"○")&gt;0,1,0))</f>
        <v>0</v>
      </c>
      <c r="BT67" s="39" t="n">
        <f aca="false">IF(BT$4=0,0,IF(COUNTIFS(実績!$W$6:$W$505,BT$3,実績!$AI$6:$AI$505,"&lt;="&amp;$A67,実績!$AJ$6:$AJ$505,"&gt;"&amp;$A67,実績!$AK$6:$AK$505,"○")&gt;0,1,0))</f>
        <v>0</v>
      </c>
      <c r="BU67" s="39" t="n">
        <f aca="false">IF(BU$4=0,0,IF(COUNTIFS(実績!$W$6:$W$505,BU$3,実績!$AI$6:$AI$505,"&lt;="&amp;$A67,実績!$AJ$6:$AJ$505,"&gt;"&amp;$A67,実績!$AK$6:$AK$505,"○")&gt;0,1,0))</f>
        <v>0</v>
      </c>
      <c r="BV67" s="39" t="n">
        <f aca="false">IF(BV$4=0,0,IF(COUNTIFS(実績!$W$6:$W$505,BV$3,実績!$AI$6:$AI$505,"&lt;="&amp;$A67,実績!$AJ$6:$AJ$505,"&gt;"&amp;$A67,実績!$AK$6:$AK$505,"○")&gt;0,1,0))</f>
        <v>0</v>
      </c>
      <c r="BW67" s="39" t="n">
        <f aca="false">IF(BW$4=0,0,IF(COUNTIFS(実績!$W$6:$W$505,BW$3,実績!$AI$6:$AI$505,"&lt;="&amp;$A67,実績!$AJ$6:$AJ$505,"&gt;"&amp;$A67,実績!$AK$6:$AK$505,"○")&gt;0,1,0))</f>
        <v>0</v>
      </c>
      <c r="BX67" s="39" t="n">
        <f aca="false">IF(BX$4=0,0,IF(COUNTIFS(実績!$W$6:$W$505,BX$3,実績!$AI$6:$AI$505,"&lt;="&amp;$A67,実績!$AJ$6:$AJ$505,"&gt;"&amp;$A67,実績!$AK$6:$AK$505,"○")&gt;0,1,0))</f>
        <v>0</v>
      </c>
      <c r="BY67" s="39" t="n">
        <f aca="false">IF(BY$4=0,0,IF(COUNTIFS(実績!$W$6:$W$505,BY$3,実績!$AI$6:$AI$505,"&lt;="&amp;$A67,実績!$AJ$6:$AJ$505,"&gt;"&amp;$A67,実績!$AK$6:$AK$505,"○")&gt;0,1,0))</f>
        <v>0</v>
      </c>
      <c r="BZ67" s="39" t="n">
        <f aca="false">IF(BZ$4=0,0,IF(COUNTIFS(実績!$W$6:$W$505,BZ$3,実績!$AI$6:$AI$505,"&lt;="&amp;$A67,実績!$AJ$6:$AJ$505,"&gt;"&amp;$A67,実績!$AK$6:$AK$505,"○")&gt;0,1,0))</f>
        <v>0</v>
      </c>
      <c r="CA67" s="39" t="n">
        <f aca="false">IF(CA$4=0,0,IF(COUNTIFS(実績!$W$6:$W$505,CA$3,実績!$AI$6:$AI$505,"&lt;="&amp;$A67,実績!$AJ$6:$AJ$505,"&gt;"&amp;$A67,実績!$AK$6:$AK$505,"○")&gt;0,1,0))</f>
        <v>0</v>
      </c>
      <c r="CB67" s="39" t="n">
        <f aca="false">IF(CB$4=0,0,IF(COUNTIFS(実績!$W$6:$W$505,CB$3,実績!$AI$6:$AI$505,"&lt;="&amp;$A67,実績!$AJ$6:$AJ$505,"&gt;"&amp;$A67,実績!$AK$6:$AK$505,"○")&gt;0,1,0))</f>
        <v>0</v>
      </c>
      <c r="CC67" s="39" t="n">
        <f aca="false">IF(CC$4=0,0,IF(COUNTIFS(実績!$W$6:$W$505,CC$3,実績!$AI$6:$AI$505,"&lt;="&amp;$A67,実績!$AJ$6:$AJ$505,"&gt;"&amp;$A67,実績!$AK$6:$AK$505,"○")&gt;0,1,0))</f>
        <v>0</v>
      </c>
      <c r="CD67" s="39" t="n">
        <f aca="false">IF(CD$4=0,0,IF(COUNTIFS(実績!$W$6:$W$505,CD$3,実績!$AI$6:$AI$505,"&lt;="&amp;$A67,実績!$AJ$6:$AJ$505,"&gt;"&amp;$A67,実績!$AK$6:$AK$505,"○")&gt;0,1,0))</f>
        <v>0</v>
      </c>
      <c r="CE67" s="39" t="n">
        <f aca="false">IF(CE$4=0,0,IF(COUNTIFS(実績!$W$6:$W$505,CE$3,実績!$AI$6:$AI$505,"&lt;="&amp;$A67,実績!$AJ$6:$AJ$505,"&gt;"&amp;$A67,実績!$AK$6:$AK$505,"○")&gt;0,1,0))</f>
        <v>0</v>
      </c>
      <c r="CF67" s="39" t="n">
        <f aca="false">IF(CF$4=0,0,IF(COUNTIFS(実績!$W$6:$W$505,CF$3,実績!$AI$6:$AI$505,"&lt;="&amp;$A67,実績!$AJ$6:$AJ$505,"&gt;"&amp;$A67,実績!$AK$6:$AK$505,"○")&gt;0,1,0))</f>
        <v>0</v>
      </c>
      <c r="CG67" s="39" t="n">
        <f aca="false">IF(CG$4=0,0,IF(COUNTIFS(実績!$W$6:$W$505,CG$3,実績!$AI$6:$AI$505,"&lt;="&amp;$A67,実績!$AJ$6:$AJ$505,"&gt;"&amp;$A67,実績!$AK$6:$AK$505,"○")&gt;0,1,0))</f>
        <v>0</v>
      </c>
      <c r="CH67" s="39" t="n">
        <f aca="false">IF(CH$4=0,0,IF(COUNTIFS(実績!$W$6:$W$505,CH$3,実績!$AI$6:$AI$505,"&lt;="&amp;$A67,実績!$AJ$6:$AJ$505,"&gt;"&amp;$A67,実績!$AK$6:$AK$505,"○")&gt;0,1,0))</f>
        <v>0</v>
      </c>
      <c r="CI67" s="39" t="n">
        <f aca="false">IF(CI$4=0,0,IF(COUNTIFS(実績!$W$6:$W$505,CI$3,実績!$AI$6:$AI$505,"&lt;="&amp;$A67,実績!$AJ$6:$AJ$505,"&gt;"&amp;$A67,実績!$AK$6:$AK$505,"○")&gt;0,1,0))</f>
        <v>0</v>
      </c>
      <c r="CJ67" s="39" t="n">
        <f aca="false">IF(CJ$4=0,0,IF(COUNTIFS(実績!$W$6:$W$505,CJ$3,実績!$AI$6:$AI$505,"&lt;="&amp;$A67,実績!$AJ$6:$AJ$505,"&gt;"&amp;$A67,実績!$AK$6:$AK$505,"○")&gt;0,1,0))</f>
        <v>0</v>
      </c>
      <c r="CK67" s="39" t="n">
        <f aca="false">IF(CK$4=0,0,IF(COUNTIFS(実績!$W$6:$W$505,CK$3,実績!$AI$6:$AI$505,"&lt;="&amp;$A67,実績!$AJ$6:$AJ$505,"&gt;"&amp;$A67,実績!$AK$6:$AK$505,"○")&gt;0,1,0))</f>
        <v>0</v>
      </c>
      <c r="CL67" s="39" t="n">
        <f aca="false">IF(CL$4=0,0,IF(COUNTIFS(実績!$W$6:$W$505,CL$3,実績!$AI$6:$AI$505,"&lt;="&amp;$A67,実績!$AJ$6:$AJ$505,"&gt;"&amp;$A67,実績!$AK$6:$AK$505,"○")&gt;0,1,0))</f>
        <v>0</v>
      </c>
      <c r="CM67" s="39" t="n">
        <f aca="false">IF(CM$4=0,0,IF(COUNTIFS(実績!$W$6:$W$505,CM$3,実績!$AI$6:$AI$505,"&lt;="&amp;$A67,実績!$AJ$6:$AJ$505,"&gt;"&amp;$A67,実績!$AK$6:$AK$505,"○")&gt;0,1,0))</f>
        <v>0</v>
      </c>
      <c r="CN67" s="39" t="n">
        <f aca="false">IF(CN$4=0,0,IF(COUNTIFS(実績!$W$6:$W$505,CN$3,実績!$AI$6:$AI$505,"&lt;="&amp;$A67,実績!$AJ$6:$AJ$505,"&gt;"&amp;$A67,実績!$AK$6:$AK$505,"○")&gt;0,1,0))</f>
        <v>0</v>
      </c>
      <c r="CO67" s="39" t="n">
        <f aca="false">IF(CO$4=0,0,IF(COUNTIFS(実績!$W$6:$W$505,CO$3,実績!$AI$6:$AI$505,"&lt;="&amp;$A67,実績!$AJ$6:$AJ$505,"&gt;"&amp;$A67,実績!$AK$6:$AK$505,"○")&gt;0,1,0))</f>
        <v>0</v>
      </c>
      <c r="CP67" s="39" t="n">
        <f aca="false">IF(CP$4=0,0,IF(COUNTIFS(実績!$W$6:$W$505,CP$3,実績!$AI$6:$AI$505,"&lt;="&amp;$A67,実績!$AJ$6:$AJ$505,"&gt;"&amp;$A67,実績!$AK$6:$AK$505,"○")&gt;0,1,0))</f>
        <v>0</v>
      </c>
      <c r="CQ67" s="39" t="n">
        <f aca="false">IF(CQ$4=0,0,IF(COUNTIFS(実績!$W$6:$W$505,CQ$3,実績!$AI$6:$AI$505,"&lt;="&amp;$A67,実績!$AJ$6:$AJ$505,"&gt;"&amp;$A67,実績!$AK$6:$AK$505,"○")&gt;0,1,0))</f>
        <v>0</v>
      </c>
      <c r="CR67" s="39" t="n">
        <f aca="false">IF(CR$4=0,0,IF(COUNTIFS(実績!$W$6:$W$505,CR$3,実績!$AI$6:$AI$505,"&lt;="&amp;$A67,実績!$AJ$6:$AJ$505,"&gt;"&amp;$A67,実績!$AK$6:$AK$505,"○")&gt;0,1,0))</f>
        <v>0</v>
      </c>
      <c r="CS67" s="39" t="n">
        <f aca="false">IF(CS$4=0,0,IF(COUNTIFS(実績!$W$6:$W$505,CS$3,実績!$AI$6:$AI$505,"&lt;="&amp;$A67,実績!$AJ$6:$AJ$505,"&gt;"&amp;$A67,実績!$AK$6:$AK$505,"○")&gt;0,1,0))</f>
        <v>0</v>
      </c>
      <c r="CT67" s="39" t="n">
        <f aca="false">IF(CT$4=0,0,IF(COUNTIFS(実績!$W$6:$W$505,CT$3,実績!$AI$6:$AI$505,"&lt;="&amp;$A67,実績!$AJ$6:$AJ$505,"&gt;"&amp;$A67,実績!$AK$6:$AK$505,"○")&gt;0,1,0))</f>
        <v>0</v>
      </c>
      <c r="CU67" s="39" t="n">
        <f aca="false">IF(CU$4=0,0,IF(COUNTIFS(実績!$W$6:$W$505,CU$3,実績!$AI$6:$AI$505,"&lt;="&amp;$A67,実績!$AJ$6:$AJ$505,"&gt;"&amp;$A67,実績!$AK$6:$AK$505,"○")&gt;0,1,0))</f>
        <v>0</v>
      </c>
      <c r="CV67" s="39" t="n">
        <f aca="false">IF(CV$4=0,0,IF(COUNTIFS(実績!$W$6:$W$505,CV$3,実績!$AI$6:$AI$505,"&lt;="&amp;$A67,実績!$AJ$6:$AJ$505,"&gt;"&amp;$A67,実績!$AK$6:$AK$505,"○")&gt;0,1,0))</f>
        <v>0</v>
      </c>
      <c r="CW67" s="39" t="n">
        <f aca="false">IF(CW$4=0,0,IF(COUNTIFS(実績!$W$6:$W$505,CW$3,実績!$AI$6:$AI$505,"&lt;="&amp;$A67,実績!$AJ$6:$AJ$505,"&gt;"&amp;$A67,実績!$AK$6:$AK$505,"○")&gt;0,1,0))</f>
        <v>0</v>
      </c>
      <c r="CX67" s="39" t="n">
        <f aca="false">IF(CX$4=0,0,IF(COUNTIFS(実績!$W$6:$W$505,CX$3,実績!$AI$6:$AI$505,"&lt;="&amp;$A67,実績!$AJ$6:$AJ$505,"&gt;"&amp;$A67,実績!$AK$6:$AK$505,"○")&gt;0,1,0))</f>
        <v>0</v>
      </c>
      <c r="CY67" s="39" t="n">
        <f aca="false">IF(CY$4=0,0,IF(COUNTIFS(実績!$W$6:$W$505,CY$3,実績!$AI$6:$AI$505,"&lt;="&amp;$A67,実績!$AJ$6:$AJ$505,"&gt;"&amp;$A67,実績!$AK$6:$AK$505,"○")&gt;0,1,0))</f>
        <v>0</v>
      </c>
      <c r="CZ67" s="39" t="n">
        <f aca="false">IF(CZ$4=0,0,IF(COUNTIFS(実績!$W$6:$W$505,CZ$3,実績!$AI$6:$AI$505,"&lt;="&amp;$A67,実績!$AJ$6:$AJ$505,"&gt;"&amp;$A67,実績!$AK$6:$AK$505,"○")&gt;0,1,0))</f>
        <v>0</v>
      </c>
      <c r="DA67" s="39" t="n">
        <f aca="false">IF(DA$4=0,0,IF(COUNTIFS(実績!$W$6:$W$505,DA$3,実績!$AI$6:$AI$505,"&lt;="&amp;$A67,実績!$AJ$6:$AJ$505,"&gt;"&amp;$A67,実績!$AK$6:$AK$505,"○")&gt;0,1,0))</f>
        <v>0</v>
      </c>
      <c r="DB67" s="39" t="n">
        <f aca="false">IF(DB$4=0,0,IF(COUNTIFS(実績!$W$6:$W$505,DB$3,実績!$AI$6:$AI$505,"&lt;="&amp;$A67,実績!$AJ$6:$AJ$505,"&gt;"&amp;$A67,実績!$AK$6:$AK$505,"○")&gt;0,1,0))</f>
        <v>0</v>
      </c>
      <c r="DC67" s="39" t="n">
        <f aca="false">IF(DC$4=0,0,IF(COUNTIFS(実績!$W$6:$W$505,DC$3,実績!$AI$6:$AI$505,"&lt;="&amp;$A67,実績!$AJ$6:$AJ$505,"&gt;"&amp;$A67,実績!$AK$6:$AK$505,"○")&gt;0,1,0))</f>
        <v>0</v>
      </c>
      <c r="DD67" s="39" t="n">
        <f aca="false">IF(DD$4=0,0,IF(COUNTIFS(実績!$W$6:$W$505,DD$3,実績!$AI$6:$AI$505,"&lt;="&amp;$A67,実績!$AJ$6:$AJ$505,"&gt;"&amp;$A67,実績!$AK$6:$AK$505,"○")&gt;0,1,0))</f>
        <v>0</v>
      </c>
      <c r="DE67" s="39" t="n">
        <f aca="false">IF(DE$4=0,0,IF(COUNTIFS(実績!$W$6:$W$505,DE$3,実績!$AI$6:$AI$505,"&lt;="&amp;$A67,実績!$AJ$6:$AJ$505,"&gt;"&amp;$A67,実績!$AK$6:$AK$505,"○")&gt;0,1,0))</f>
        <v>0</v>
      </c>
      <c r="DF67" s="39" t="n">
        <f aca="false">IF(DF$4=0,0,IF(COUNTIFS(実績!$W$6:$W$505,DF$3,実績!$AI$6:$AI$505,"&lt;="&amp;$A67,実績!$AJ$6:$AJ$505,"&gt;"&amp;$A67,実績!$AK$6:$AK$505,"○")&gt;0,1,0))</f>
        <v>0</v>
      </c>
      <c r="DG67" s="39" t="n">
        <f aca="false">IF(DG$4=0,0,IF(COUNTIFS(実績!$W$6:$W$505,DG$3,実績!$AI$6:$AI$505,"&lt;="&amp;$A67,実績!$AJ$6:$AJ$505,"&gt;"&amp;$A67,実績!$AK$6:$AK$505,"○")&gt;0,1,0))</f>
        <v>0</v>
      </c>
      <c r="DH67" s="39" t="n">
        <f aca="false">IF(DH$4=0,0,IF(COUNTIFS(実績!$W$6:$W$505,DH$3,実績!$AI$6:$AI$505,"&lt;="&amp;$A67,実績!$AJ$6:$AJ$505,"&gt;"&amp;$A67,実績!$AK$6:$AK$505,"○")&gt;0,1,0))</f>
        <v>0</v>
      </c>
      <c r="DI67" s="39" t="n">
        <f aca="false">IF(DI$4=0,0,IF(COUNTIFS(実績!$W$6:$W$505,DI$3,実績!$AI$6:$AI$505,"&lt;="&amp;$A67,実績!$AJ$6:$AJ$505,"&gt;"&amp;$A67,実績!$AK$6:$AK$505,"○")&gt;0,1,0))</f>
        <v>0</v>
      </c>
      <c r="DJ67" s="39" t="n">
        <f aca="false">IF(DJ$4=0,0,IF(COUNTIFS(実績!$W$6:$W$505,DJ$3,実績!$AI$6:$AI$505,"&lt;="&amp;$A67,実績!$AJ$6:$AJ$505,"&gt;"&amp;$A67,実績!$AK$6:$AK$505,"○")&gt;0,1,0))</f>
        <v>0</v>
      </c>
      <c r="DK67" s="39" t="n">
        <f aca="false">IF(DK$4=0,0,IF(COUNTIFS(実績!$W$6:$W$505,DK$3,実績!$AI$6:$AI$505,"&lt;="&amp;$A67,実績!$AJ$6:$AJ$505,"&gt;"&amp;$A67,実績!$AK$6:$AK$505,"○")&gt;0,1,0))</f>
        <v>0</v>
      </c>
      <c r="DL67" s="39" t="n">
        <f aca="false">IF(DL$4=0,0,IF(COUNTIFS(実績!$W$6:$W$505,DL$3,実績!$AI$6:$AI$505,"&lt;="&amp;$A67,実績!$AJ$6:$AJ$505,"&gt;"&amp;$A67,実績!$AK$6:$AK$505,"○")&gt;0,1,0))</f>
        <v>0</v>
      </c>
      <c r="DM67" s="39" t="n">
        <f aca="false">IF(DM$4=0,0,IF(COUNTIFS(実績!$W$6:$W$505,DM$3,実績!$AI$6:$AI$505,"&lt;="&amp;$A67,実績!$AJ$6:$AJ$505,"&gt;"&amp;$A67,実績!$AK$6:$AK$505,"○")&gt;0,1,0))</f>
        <v>0</v>
      </c>
      <c r="DN67" s="39" t="n">
        <f aca="false">IF(DN$4=0,0,IF(COUNTIFS(実績!$W$6:$W$505,DN$3,実績!$AI$6:$AI$505,"&lt;="&amp;$A67,実績!$AJ$6:$AJ$505,"&gt;"&amp;$A67,実績!$AK$6:$AK$505,"○")&gt;0,1,0))</f>
        <v>0</v>
      </c>
      <c r="DO67" s="39" t="n">
        <f aca="false">IF(DO$4=0,0,IF(COUNTIFS(実績!$W$6:$W$505,DO$3,実績!$AI$6:$AI$505,"&lt;="&amp;$A67,実績!$AJ$6:$AJ$505,"&gt;"&amp;$A67,実績!$AK$6:$AK$505,"○")&gt;0,1,0))</f>
        <v>0</v>
      </c>
      <c r="DP67" s="39" t="n">
        <f aca="false">IF(DP$4=0,0,IF(COUNTIFS(実績!$W$6:$W$505,DP$3,実績!$AI$6:$AI$505,"&lt;="&amp;$A67,実績!$AJ$6:$AJ$505,"&gt;"&amp;$A67,実績!$AK$6:$AK$505,"○")&gt;0,1,0))</f>
        <v>0</v>
      </c>
      <c r="DQ67" s="39" t="n">
        <f aca="false">IF(DQ$4=0,0,IF(COUNTIFS(実績!$W$6:$W$505,DQ$3,実績!$AI$6:$AI$505,"&lt;="&amp;$A67,実績!$AJ$6:$AJ$505,"&gt;"&amp;$A67,実績!$AK$6:$AK$505,"○")&gt;0,1,0))</f>
        <v>0</v>
      </c>
      <c r="DR67" s="39" t="n">
        <f aca="false">IF(DR$4=0,0,IF(COUNTIFS(実績!$W$6:$W$505,DR$3,実績!$AI$6:$AI$505,"&lt;="&amp;$A67,実績!$AJ$6:$AJ$505,"&gt;"&amp;$A67,実績!$AK$6:$AK$505,"○")&gt;0,1,0))</f>
        <v>0</v>
      </c>
      <c r="DS67" s="39" t="n">
        <f aca="false">SUM(C67:DR67)</f>
        <v>0</v>
      </c>
      <c r="DT67" s="39" t="n">
        <f aca="false">SUMPRODUCT((実績!$C$6:$C$505="○")*ISNUMBER(実績!$AM$6:$AM$505)*(実績!$AM$6:$AM$505&lt;=$A67)*(実績!$AN$6:$AN$505&gt;$A67))</f>
        <v>0</v>
      </c>
      <c r="DU67" s="39" t="n">
        <f aca="false">SUMIF($C$2:$DR$2,"製鉄曳船",C67:DR67)</f>
        <v>0</v>
      </c>
      <c r="DV67" s="39" t="n">
        <f aca="false">SUMIF($C$2:$DR$2,"西日本海運",C67:DR67)</f>
        <v>0</v>
      </c>
    </row>
    <row r="68" customFormat="false" ht="15" hidden="false" customHeight="false" outlineLevel="0" collapsed="false">
      <c r="A68" s="0" t="n">
        <v>310</v>
      </c>
      <c r="B68" s="38" t="n">
        <f aca="false">A68/1440</f>
        <v>0.215277777777778</v>
      </c>
      <c r="C68" s="39" t="n">
        <f aca="false">IF(C$4=0,0,IF(COUNTIFS(実績!$W$6:$W$505,C$3,実績!$AI$6:$AI$505,"&lt;="&amp;$A68,実績!$AJ$6:$AJ$505,"&gt;"&amp;$A68,実績!$AK$6:$AK$505,"○")&gt;0,1,0))</f>
        <v>0</v>
      </c>
      <c r="D68" s="39" t="n">
        <f aca="false">IF(D$4=0,0,IF(COUNTIFS(実績!$W$6:$W$505,D$3,実績!$AI$6:$AI$505,"&lt;="&amp;$A68,実績!$AJ$6:$AJ$505,"&gt;"&amp;$A68,実績!$AK$6:$AK$505,"○")&gt;0,1,0))</f>
        <v>0</v>
      </c>
      <c r="E68" s="39" t="n">
        <f aca="false">IF(E$4=0,0,IF(COUNTIFS(実績!$W$6:$W$505,E$3,実績!$AI$6:$AI$505,"&lt;="&amp;$A68,実績!$AJ$6:$AJ$505,"&gt;"&amp;$A68,実績!$AK$6:$AK$505,"○")&gt;0,1,0))</f>
        <v>0</v>
      </c>
      <c r="F68" s="39" t="n">
        <f aca="false">IF(F$4=0,0,IF(COUNTIFS(実績!$W$6:$W$505,F$3,実績!$AI$6:$AI$505,"&lt;="&amp;$A68,実績!$AJ$6:$AJ$505,"&gt;"&amp;$A68,実績!$AK$6:$AK$505,"○")&gt;0,1,0))</f>
        <v>0</v>
      </c>
      <c r="G68" s="39" t="n">
        <f aca="false">IF(G$4=0,0,IF(COUNTIFS(実績!$W$6:$W$505,G$3,実績!$AI$6:$AI$505,"&lt;="&amp;$A68,実績!$AJ$6:$AJ$505,"&gt;"&amp;$A68,実績!$AK$6:$AK$505,"○")&gt;0,1,0))</f>
        <v>0</v>
      </c>
      <c r="H68" s="39" t="n">
        <f aca="false">IF(H$4=0,0,IF(COUNTIFS(実績!$W$6:$W$505,H$3,実績!$AI$6:$AI$505,"&lt;="&amp;$A68,実績!$AJ$6:$AJ$505,"&gt;"&amp;$A68,実績!$AK$6:$AK$505,"○")&gt;0,1,0))</f>
        <v>0</v>
      </c>
      <c r="I68" s="39" t="n">
        <f aca="false">IF(I$4=0,0,IF(COUNTIFS(実績!$W$6:$W$505,I$3,実績!$AI$6:$AI$505,"&lt;="&amp;$A68,実績!$AJ$6:$AJ$505,"&gt;"&amp;$A68,実績!$AK$6:$AK$505,"○")&gt;0,1,0))</f>
        <v>0</v>
      </c>
      <c r="J68" s="39" t="n">
        <f aca="false">IF(J$4=0,0,IF(COUNTIFS(実績!$W$6:$W$505,J$3,実績!$AI$6:$AI$505,"&lt;="&amp;$A68,実績!$AJ$6:$AJ$505,"&gt;"&amp;$A68,実績!$AK$6:$AK$505,"○")&gt;0,1,0))</f>
        <v>0</v>
      </c>
      <c r="K68" s="39" t="n">
        <f aca="false">IF(K$4=0,0,IF(COUNTIFS(実績!$W$6:$W$505,K$3,実績!$AI$6:$AI$505,"&lt;="&amp;$A68,実績!$AJ$6:$AJ$505,"&gt;"&amp;$A68,実績!$AK$6:$AK$505,"○")&gt;0,1,0))</f>
        <v>0</v>
      </c>
      <c r="L68" s="39" t="n">
        <f aca="false">IF(L$4=0,0,IF(COUNTIFS(実績!$W$6:$W$505,L$3,実績!$AI$6:$AI$505,"&lt;="&amp;$A68,実績!$AJ$6:$AJ$505,"&gt;"&amp;$A68,実績!$AK$6:$AK$505,"○")&gt;0,1,0))</f>
        <v>0</v>
      </c>
      <c r="M68" s="39" t="n">
        <f aca="false">IF(M$4=0,0,IF(COUNTIFS(実績!$W$6:$W$505,M$3,実績!$AI$6:$AI$505,"&lt;="&amp;$A68,実績!$AJ$6:$AJ$505,"&gt;"&amp;$A68,実績!$AK$6:$AK$505,"○")&gt;0,1,0))</f>
        <v>0</v>
      </c>
      <c r="N68" s="39" t="n">
        <f aca="false">IF(N$4=0,0,IF(COUNTIFS(実績!$W$6:$W$505,N$3,実績!$AI$6:$AI$505,"&lt;="&amp;$A68,実績!$AJ$6:$AJ$505,"&gt;"&amp;$A68,実績!$AK$6:$AK$505,"○")&gt;0,1,0))</f>
        <v>0</v>
      </c>
      <c r="O68" s="39" t="n">
        <f aca="false">IF(O$4=0,0,IF(COUNTIFS(実績!$W$6:$W$505,O$3,実績!$AI$6:$AI$505,"&lt;="&amp;$A68,実績!$AJ$6:$AJ$505,"&gt;"&amp;$A68,実績!$AK$6:$AK$505,"○")&gt;0,1,0))</f>
        <v>0</v>
      </c>
      <c r="P68" s="39" t="n">
        <f aca="false">IF(P$4=0,0,IF(COUNTIFS(実績!$W$6:$W$505,P$3,実績!$AI$6:$AI$505,"&lt;="&amp;$A68,実績!$AJ$6:$AJ$505,"&gt;"&amp;$A68,実績!$AK$6:$AK$505,"○")&gt;0,1,0))</f>
        <v>0</v>
      </c>
      <c r="Q68" s="39" t="n">
        <f aca="false">IF(Q$4=0,0,IF(COUNTIFS(実績!$W$6:$W$505,Q$3,実績!$AI$6:$AI$505,"&lt;="&amp;$A68,実績!$AJ$6:$AJ$505,"&gt;"&amp;$A68,実績!$AK$6:$AK$505,"○")&gt;0,1,0))</f>
        <v>0</v>
      </c>
      <c r="R68" s="39" t="n">
        <f aca="false">IF(R$4=0,0,IF(COUNTIFS(実績!$W$6:$W$505,R$3,実績!$AI$6:$AI$505,"&lt;="&amp;$A68,実績!$AJ$6:$AJ$505,"&gt;"&amp;$A68,実績!$AK$6:$AK$505,"○")&gt;0,1,0))</f>
        <v>0</v>
      </c>
      <c r="S68" s="39" t="n">
        <f aca="false">IF(S$4=0,0,IF(COUNTIFS(実績!$W$6:$W$505,S$3,実績!$AI$6:$AI$505,"&lt;="&amp;$A68,実績!$AJ$6:$AJ$505,"&gt;"&amp;$A68,実績!$AK$6:$AK$505,"○")&gt;0,1,0))</f>
        <v>0</v>
      </c>
      <c r="T68" s="39" t="n">
        <f aca="false">IF(T$4=0,0,IF(COUNTIFS(実績!$W$6:$W$505,T$3,実績!$AI$6:$AI$505,"&lt;="&amp;$A68,実績!$AJ$6:$AJ$505,"&gt;"&amp;$A68,実績!$AK$6:$AK$505,"○")&gt;0,1,0))</f>
        <v>0</v>
      </c>
      <c r="U68" s="39" t="n">
        <f aca="false">IF(U$4=0,0,IF(COUNTIFS(実績!$W$6:$W$505,U$3,実績!$AI$6:$AI$505,"&lt;="&amp;$A68,実績!$AJ$6:$AJ$505,"&gt;"&amp;$A68,実績!$AK$6:$AK$505,"○")&gt;0,1,0))</f>
        <v>0</v>
      </c>
      <c r="V68" s="39" t="n">
        <f aca="false">IF(V$4=0,0,IF(COUNTIFS(実績!$W$6:$W$505,V$3,実績!$AI$6:$AI$505,"&lt;="&amp;$A68,実績!$AJ$6:$AJ$505,"&gt;"&amp;$A68,実績!$AK$6:$AK$505,"○")&gt;0,1,0))</f>
        <v>0</v>
      </c>
      <c r="W68" s="39" t="n">
        <f aca="false">IF(W$4=0,0,IF(COUNTIFS(実績!$W$6:$W$505,W$3,実績!$AI$6:$AI$505,"&lt;="&amp;$A68,実績!$AJ$6:$AJ$505,"&gt;"&amp;$A68,実績!$AK$6:$AK$505,"○")&gt;0,1,0))</f>
        <v>0</v>
      </c>
      <c r="X68" s="39" t="n">
        <f aca="false">IF(X$4=0,0,IF(COUNTIFS(実績!$W$6:$W$505,X$3,実績!$AI$6:$AI$505,"&lt;="&amp;$A68,実績!$AJ$6:$AJ$505,"&gt;"&amp;$A68,実績!$AK$6:$AK$505,"○")&gt;0,1,0))</f>
        <v>0</v>
      </c>
      <c r="Y68" s="39" t="n">
        <f aca="false">IF(Y$4=0,0,IF(COUNTIFS(実績!$W$6:$W$505,Y$3,実績!$AI$6:$AI$505,"&lt;="&amp;$A68,実績!$AJ$6:$AJ$505,"&gt;"&amp;$A68,実績!$AK$6:$AK$505,"○")&gt;0,1,0))</f>
        <v>0</v>
      </c>
      <c r="Z68" s="39" t="n">
        <f aca="false">IF(Z$4=0,0,IF(COUNTIFS(実績!$W$6:$W$505,Z$3,実績!$AI$6:$AI$505,"&lt;="&amp;$A68,実績!$AJ$6:$AJ$505,"&gt;"&amp;$A68,実績!$AK$6:$AK$505,"○")&gt;0,1,0))</f>
        <v>0</v>
      </c>
      <c r="AA68" s="39" t="n">
        <f aca="false">IF(AA$4=0,0,IF(COUNTIFS(実績!$W$6:$W$505,AA$3,実績!$AI$6:$AI$505,"&lt;="&amp;$A68,実績!$AJ$6:$AJ$505,"&gt;"&amp;$A68,実績!$AK$6:$AK$505,"○")&gt;0,1,0))</f>
        <v>0</v>
      </c>
      <c r="AB68" s="39" t="n">
        <f aca="false">IF(AB$4=0,0,IF(COUNTIFS(実績!$W$6:$W$505,AB$3,実績!$AI$6:$AI$505,"&lt;="&amp;$A68,実績!$AJ$6:$AJ$505,"&gt;"&amp;$A68,実績!$AK$6:$AK$505,"○")&gt;0,1,0))</f>
        <v>0</v>
      </c>
      <c r="AC68" s="39" t="n">
        <f aca="false">IF(AC$4=0,0,IF(COUNTIFS(実績!$W$6:$W$505,AC$3,実績!$AI$6:$AI$505,"&lt;="&amp;$A68,実績!$AJ$6:$AJ$505,"&gt;"&amp;$A68,実績!$AK$6:$AK$505,"○")&gt;0,1,0))</f>
        <v>0</v>
      </c>
      <c r="AD68" s="39" t="n">
        <f aca="false">IF(AD$4=0,0,IF(COUNTIFS(実績!$W$6:$W$505,AD$3,実績!$AI$6:$AI$505,"&lt;="&amp;$A68,実績!$AJ$6:$AJ$505,"&gt;"&amp;$A68,実績!$AK$6:$AK$505,"○")&gt;0,1,0))</f>
        <v>0</v>
      </c>
      <c r="AE68" s="39" t="n">
        <f aca="false">IF(AE$4=0,0,IF(COUNTIFS(実績!$W$6:$W$505,AE$3,実績!$AI$6:$AI$505,"&lt;="&amp;$A68,実績!$AJ$6:$AJ$505,"&gt;"&amp;$A68,実績!$AK$6:$AK$505,"○")&gt;0,1,0))</f>
        <v>0</v>
      </c>
      <c r="AF68" s="39" t="n">
        <f aca="false">IF(AF$4=0,0,IF(COUNTIFS(実績!$W$6:$W$505,AF$3,実績!$AI$6:$AI$505,"&lt;="&amp;$A68,実績!$AJ$6:$AJ$505,"&gt;"&amp;$A68,実績!$AK$6:$AK$505,"○")&gt;0,1,0))</f>
        <v>0</v>
      </c>
      <c r="AG68" s="39" t="n">
        <f aca="false">IF(AG$4=0,0,IF(COUNTIFS(実績!$W$6:$W$505,AG$3,実績!$AI$6:$AI$505,"&lt;="&amp;$A68,実績!$AJ$6:$AJ$505,"&gt;"&amp;$A68,実績!$AK$6:$AK$505,"○")&gt;0,1,0))</f>
        <v>0</v>
      </c>
      <c r="AH68" s="39" t="n">
        <f aca="false">IF(AH$4=0,0,IF(COUNTIFS(実績!$W$6:$W$505,AH$3,実績!$AI$6:$AI$505,"&lt;="&amp;$A68,実績!$AJ$6:$AJ$505,"&gt;"&amp;$A68,実績!$AK$6:$AK$505,"○")&gt;0,1,0))</f>
        <v>0</v>
      </c>
      <c r="AI68" s="39" t="n">
        <f aca="false">IF(AI$4=0,0,IF(COUNTIFS(実績!$W$6:$W$505,AI$3,実績!$AI$6:$AI$505,"&lt;="&amp;$A68,実績!$AJ$6:$AJ$505,"&gt;"&amp;$A68,実績!$AK$6:$AK$505,"○")&gt;0,1,0))</f>
        <v>0</v>
      </c>
      <c r="AJ68" s="39" t="n">
        <f aca="false">IF(AJ$4=0,0,IF(COUNTIFS(実績!$W$6:$W$505,AJ$3,実績!$AI$6:$AI$505,"&lt;="&amp;$A68,実績!$AJ$6:$AJ$505,"&gt;"&amp;$A68,実績!$AK$6:$AK$505,"○")&gt;0,1,0))</f>
        <v>0</v>
      </c>
      <c r="AK68" s="39" t="n">
        <f aca="false">IF(AK$4=0,0,IF(COUNTIFS(実績!$W$6:$W$505,AK$3,実績!$AI$6:$AI$505,"&lt;="&amp;$A68,実績!$AJ$6:$AJ$505,"&gt;"&amp;$A68,実績!$AK$6:$AK$505,"○")&gt;0,1,0))</f>
        <v>0</v>
      </c>
      <c r="AL68" s="39" t="n">
        <f aca="false">IF(AL$4=0,0,IF(COUNTIFS(実績!$W$6:$W$505,AL$3,実績!$AI$6:$AI$505,"&lt;="&amp;$A68,実績!$AJ$6:$AJ$505,"&gt;"&amp;$A68,実績!$AK$6:$AK$505,"○")&gt;0,1,0))</f>
        <v>0</v>
      </c>
      <c r="AM68" s="39" t="n">
        <f aca="false">IF(AM$4=0,0,IF(COUNTIFS(実績!$W$6:$W$505,AM$3,実績!$AI$6:$AI$505,"&lt;="&amp;$A68,実績!$AJ$6:$AJ$505,"&gt;"&amp;$A68,実績!$AK$6:$AK$505,"○")&gt;0,1,0))</f>
        <v>0</v>
      </c>
      <c r="AN68" s="39" t="n">
        <f aca="false">IF(AN$4=0,0,IF(COUNTIFS(実績!$W$6:$W$505,AN$3,実績!$AI$6:$AI$505,"&lt;="&amp;$A68,実績!$AJ$6:$AJ$505,"&gt;"&amp;$A68,実績!$AK$6:$AK$505,"○")&gt;0,1,0))</f>
        <v>0</v>
      </c>
      <c r="AO68" s="39" t="n">
        <f aca="false">IF(AO$4=0,0,IF(COUNTIFS(実績!$W$6:$W$505,AO$3,実績!$AI$6:$AI$505,"&lt;="&amp;$A68,実績!$AJ$6:$AJ$505,"&gt;"&amp;$A68,実績!$AK$6:$AK$505,"○")&gt;0,1,0))</f>
        <v>0</v>
      </c>
      <c r="AP68" s="39" t="n">
        <f aca="false">IF(AP$4=0,0,IF(COUNTIFS(実績!$W$6:$W$505,AP$3,実績!$AI$6:$AI$505,"&lt;="&amp;$A68,実績!$AJ$6:$AJ$505,"&gt;"&amp;$A68,実績!$AK$6:$AK$505,"○")&gt;0,1,0))</f>
        <v>0</v>
      </c>
      <c r="AQ68" s="39" t="n">
        <f aca="false">IF(AQ$4=0,0,IF(COUNTIFS(実績!$W$6:$W$505,AQ$3,実績!$AI$6:$AI$505,"&lt;="&amp;$A68,実績!$AJ$6:$AJ$505,"&gt;"&amp;$A68,実績!$AK$6:$AK$505,"○")&gt;0,1,0))</f>
        <v>0</v>
      </c>
      <c r="AR68" s="39" t="n">
        <f aca="false">IF(AR$4=0,0,IF(COUNTIFS(実績!$W$6:$W$505,AR$3,実績!$AI$6:$AI$505,"&lt;="&amp;$A68,実績!$AJ$6:$AJ$505,"&gt;"&amp;$A68,実績!$AK$6:$AK$505,"○")&gt;0,1,0))</f>
        <v>0</v>
      </c>
      <c r="AS68" s="39" t="n">
        <f aca="false">IF(AS$4=0,0,IF(COUNTIFS(実績!$W$6:$W$505,AS$3,実績!$AI$6:$AI$505,"&lt;="&amp;$A68,実績!$AJ$6:$AJ$505,"&gt;"&amp;$A68,実績!$AK$6:$AK$505,"○")&gt;0,1,0))</f>
        <v>0</v>
      </c>
      <c r="AT68" s="39" t="n">
        <f aca="false">IF(AT$4=0,0,IF(COUNTIFS(実績!$W$6:$W$505,AT$3,実績!$AI$6:$AI$505,"&lt;="&amp;$A68,実績!$AJ$6:$AJ$505,"&gt;"&amp;$A68,実績!$AK$6:$AK$505,"○")&gt;0,1,0))</f>
        <v>0</v>
      </c>
      <c r="AU68" s="39" t="n">
        <f aca="false">IF(AU$4=0,0,IF(COUNTIFS(実績!$W$6:$W$505,AU$3,実績!$AI$6:$AI$505,"&lt;="&amp;$A68,実績!$AJ$6:$AJ$505,"&gt;"&amp;$A68,実績!$AK$6:$AK$505,"○")&gt;0,1,0))</f>
        <v>0</v>
      </c>
      <c r="AV68" s="39" t="n">
        <f aca="false">IF(AV$4=0,0,IF(COUNTIFS(実績!$W$6:$W$505,AV$3,実績!$AI$6:$AI$505,"&lt;="&amp;$A68,実績!$AJ$6:$AJ$505,"&gt;"&amp;$A68,実績!$AK$6:$AK$505,"○")&gt;0,1,0))</f>
        <v>0</v>
      </c>
      <c r="AW68" s="39" t="n">
        <f aca="false">IF(AW$4=0,0,IF(COUNTIFS(実績!$W$6:$W$505,AW$3,実績!$AI$6:$AI$505,"&lt;="&amp;$A68,実績!$AJ$6:$AJ$505,"&gt;"&amp;$A68,実績!$AK$6:$AK$505,"○")&gt;0,1,0))</f>
        <v>0</v>
      </c>
      <c r="AX68" s="39" t="n">
        <f aca="false">IF(AX$4=0,0,IF(COUNTIFS(実績!$W$6:$W$505,AX$3,実績!$AI$6:$AI$505,"&lt;="&amp;$A68,実績!$AJ$6:$AJ$505,"&gt;"&amp;$A68,実績!$AK$6:$AK$505,"○")&gt;0,1,0))</f>
        <v>0</v>
      </c>
      <c r="AY68" s="39" t="n">
        <f aca="false">IF(AY$4=0,0,IF(COUNTIFS(実績!$W$6:$W$505,AY$3,実績!$AI$6:$AI$505,"&lt;="&amp;$A68,実績!$AJ$6:$AJ$505,"&gt;"&amp;$A68,実績!$AK$6:$AK$505,"○")&gt;0,1,0))</f>
        <v>0</v>
      </c>
      <c r="AZ68" s="39" t="n">
        <f aca="false">IF(AZ$4=0,0,IF(COUNTIFS(実績!$W$6:$W$505,AZ$3,実績!$AI$6:$AI$505,"&lt;="&amp;$A68,実績!$AJ$6:$AJ$505,"&gt;"&amp;$A68,実績!$AK$6:$AK$505,"○")&gt;0,1,0))</f>
        <v>0</v>
      </c>
      <c r="BA68" s="39" t="n">
        <f aca="false">IF(BA$4=0,0,IF(COUNTIFS(実績!$W$6:$W$505,BA$3,実績!$AI$6:$AI$505,"&lt;="&amp;$A68,実績!$AJ$6:$AJ$505,"&gt;"&amp;$A68,実績!$AK$6:$AK$505,"○")&gt;0,1,0))</f>
        <v>0</v>
      </c>
      <c r="BB68" s="39" t="n">
        <f aca="false">IF(BB$4=0,0,IF(COUNTIFS(実績!$W$6:$W$505,BB$3,実績!$AI$6:$AI$505,"&lt;="&amp;$A68,実績!$AJ$6:$AJ$505,"&gt;"&amp;$A68,実績!$AK$6:$AK$505,"○")&gt;0,1,0))</f>
        <v>0</v>
      </c>
      <c r="BC68" s="39" t="n">
        <f aca="false">IF(BC$4=0,0,IF(COUNTIFS(実績!$W$6:$W$505,BC$3,実績!$AI$6:$AI$505,"&lt;="&amp;$A68,実績!$AJ$6:$AJ$505,"&gt;"&amp;$A68,実績!$AK$6:$AK$505,"○")&gt;0,1,0))</f>
        <v>0</v>
      </c>
      <c r="BD68" s="39" t="n">
        <f aca="false">IF(BD$4=0,0,IF(COUNTIFS(実績!$W$6:$W$505,BD$3,実績!$AI$6:$AI$505,"&lt;="&amp;$A68,実績!$AJ$6:$AJ$505,"&gt;"&amp;$A68,実績!$AK$6:$AK$505,"○")&gt;0,1,0))</f>
        <v>0</v>
      </c>
      <c r="BE68" s="39" t="n">
        <f aca="false">IF(BE$4=0,0,IF(COUNTIFS(実績!$W$6:$W$505,BE$3,実績!$AI$6:$AI$505,"&lt;="&amp;$A68,実績!$AJ$6:$AJ$505,"&gt;"&amp;$A68,実績!$AK$6:$AK$505,"○")&gt;0,1,0))</f>
        <v>0</v>
      </c>
      <c r="BF68" s="39" t="n">
        <f aca="false">IF(BF$4=0,0,IF(COUNTIFS(実績!$W$6:$W$505,BF$3,実績!$AI$6:$AI$505,"&lt;="&amp;$A68,実績!$AJ$6:$AJ$505,"&gt;"&amp;$A68,実績!$AK$6:$AK$505,"○")&gt;0,1,0))</f>
        <v>0</v>
      </c>
      <c r="BG68" s="39" t="n">
        <f aca="false">IF(BG$4=0,0,IF(COUNTIFS(実績!$W$6:$W$505,BG$3,実績!$AI$6:$AI$505,"&lt;="&amp;$A68,実績!$AJ$6:$AJ$505,"&gt;"&amp;$A68,実績!$AK$6:$AK$505,"○")&gt;0,1,0))</f>
        <v>0</v>
      </c>
      <c r="BH68" s="39" t="n">
        <f aca="false">IF(BH$4=0,0,IF(COUNTIFS(実績!$W$6:$W$505,BH$3,実績!$AI$6:$AI$505,"&lt;="&amp;$A68,実績!$AJ$6:$AJ$505,"&gt;"&amp;$A68,実績!$AK$6:$AK$505,"○")&gt;0,1,0))</f>
        <v>0</v>
      </c>
      <c r="BI68" s="39" t="n">
        <f aca="false">IF(BI$4=0,0,IF(COUNTIFS(実績!$W$6:$W$505,BI$3,実績!$AI$6:$AI$505,"&lt;="&amp;$A68,実績!$AJ$6:$AJ$505,"&gt;"&amp;$A68,実績!$AK$6:$AK$505,"○")&gt;0,1,0))</f>
        <v>0</v>
      </c>
      <c r="BJ68" s="39" t="n">
        <f aca="false">IF(BJ$4=0,0,IF(COUNTIFS(実績!$W$6:$W$505,BJ$3,実績!$AI$6:$AI$505,"&lt;="&amp;$A68,実績!$AJ$6:$AJ$505,"&gt;"&amp;$A68,実績!$AK$6:$AK$505,"○")&gt;0,1,0))</f>
        <v>0</v>
      </c>
      <c r="BK68" s="39" t="n">
        <f aca="false">IF(BK$4=0,0,IF(COUNTIFS(実績!$W$6:$W$505,BK$3,実績!$AI$6:$AI$505,"&lt;="&amp;$A68,実績!$AJ$6:$AJ$505,"&gt;"&amp;$A68,実績!$AK$6:$AK$505,"○")&gt;0,1,0))</f>
        <v>0</v>
      </c>
      <c r="BL68" s="39" t="n">
        <f aca="false">IF(BL$4=0,0,IF(COUNTIFS(実績!$W$6:$W$505,BL$3,実績!$AI$6:$AI$505,"&lt;="&amp;$A68,実績!$AJ$6:$AJ$505,"&gt;"&amp;$A68,実績!$AK$6:$AK$505,"○")&gt;0,1,0))</f>
        <v>0</v>
      </c>
      <c r="BM68" s="39" t="n">
        <f aca="false">IF(BM$4=0,0,IF(COUNTIFS(実績!$W$6:$W$505,BM$3,実績!$AI$6:$AI$505,"&lt;="&amp;$A68,実績!$AJ$6:$AJ$505,"&gt;"&amp;$A68,実績!$AK$6:$AK$505,"○")&gt;0,1,0))</f>
        <v>0</v>
      </c>
      <c r="BN68" s="39" t="n">
        <f aca="false">IF(BN$4=0,0,IF(COUNTIFS(実績!$W$6:$W$505,BN$3,実績!$AI$6:$AI$505,"&lt;="&amp;$A68,実績!$AJ$6:$AJ$505,"&gt;"&amp;$A68,実績!$AK$6:$AK$505,"○")&gt;0,1,0))</f>
        <v>0</v>
      </c>
      <c r="BO68" s="39" t="n">
        <f aca="false">IF(BO$4=0,0,IF(COUNTIFS(実績!$W$6:$W$505,BO$3,実績!$AI$6:$AI$505,"&lt;="&amp;$A68,実績!$AJ$6:$AJ$505,"&gt;"&amp;$A68,実績!$AK$6:$AK$505,"○")&gt;0,1,0))</f>
        <v>0</v>
      </c>
      <c r="BP68" s="39" t="n">
        <f aca="false">IF(BP$4=0,0,IF(COUNTIFS(実績!$W$6:$W$505,BP$3,実績!$AI$6:$AI$505,"&lt;="&amp;$A68,実績!$AJ$6:$AJ$505,"&gt;"&amp;$A68,実績!$AK$6:$AK$505,"○")&gt;0,1,0))</f>
        <v>0</v>
      </c>
      <c r="BQ68" s="39" t="n">
        <f aca="false">IF(BQ$4=0,0,IF(COUNTIFS(実績!$W$6:$W$505,BQ$3,実績!$AI$6:$AI$505,"&lt;="&amp;$A68,実績!$AJ$6:$AJ$505,"&gt;"&amp;$A68,実績!$AK$6:$AK$505,"○")&gt;0,1,0))</f>
        <v>0</v>
      </c>
      <c r="BR68" s="39" t="n">
        <f aca="false">IF(BR$4=0,0,IF(COUNTIFS(実績!$W$6:$W$505,BR$3,実績!$AI$6:$AI$505,"&lt;="&amp;$A68,実績!$AJ$6:$AJ$505,"&gt;"&amp;$A68,実績!$AK$6:$AK$505,"○")&gt;0,1,0))</f>
        <v>0</v>
      </c>
      <c r="BS68" s="39" t="n">
        <f aca="false">IF(BS$4=0,0,IF(COUNTIFS(実績!$W$6:$W$505,BS$3,実績!$AI$6:$AI$505,"&lt;="&amp;$A68,実績!$AJ$6:$AJ$505,"&gt;"&amp;$A68,実績!$AK$6:$AK$505,"○")&gt;0,1,0))</f>
        <v>0</v>
      </c>
      <c r="BT68" s="39" t="n">
        <f aca="false">IF(BT$4=0,0,IF(COUNTIFS(実績!$W$6:$W$505,BT$3,実績!$AI$6:$AI$505,"&lt;="&amp;$A68,実績!$AJ$6:$AJ$505,"&gt;"&amp;$A68,実績!$AK$6:$AK$505,"○")&gt;0,1,0))</f>
        <v>0</v>
      </c>
      <c r="BU68" s="39" t="n">
        <f aca="false">IF(BU$4=0,0,IF(COUNTIFS(実績!$W$6:$W$505,BU$3,実績!$AI$6:$AI$505,"&lt;="&amp;$A68,実績!$AJ$6:$AJ$505,"&gt;"&amp;$A68,実績!$AK$6:$AK$505,"○")&gt;0,1,0))</f>
        <v>0</v>
      </c>
      <c r="BV68" s="39" t="n">
        <f aca="false">IF(BV$4=0,0,IF(COUNTIFS(実績!$W$6:$W$505,BV$3,実績!$AI$6:$AI$505,"&lt;="&amp;$A68,実績!$AJ$6:$AJ$505,"&gt;"&amp;$A68,実績!$AK$6:$AK$505,"○")&gt;0,1,0))</f>
        <v>0</v>
      </c>
      <c r="BW68" s="39" t="n">
        <f aca="false">IF(BW$4=0,0,IF(COUNTIFS(実績!$W$6:$W$505,BW$3,実績!$AI$6:$AI$505,"&lt;="&amp;$A68,実績!$AJ$6:$AJ$505,"&gt;"&amp;$A68,実績!$AK$6:$AK$505,"○")&gt;0,1,0))</f>
        <v>0</v>
      </c>
      <c r="BX68" s="39" t="n">
        <f aca="false">IF(BX$4=0,0,IF(COUNTIFS(実績!$W$6:$W$505,BX$3,実績!$AI$6:$AI$505,"&lt;="&amp;$A68,実績!$AJ$6:$AJ$505,"&gt;"&amp;$A68,実績!$AK$6:$AK$505,"○")&gt;0,1,0))</f>
        <v>0</v>
      </c>
      <c r="BY68" s="39" t="n">
        <f aca="false">IF(BY$4=0,0,IF(COUNTIFS(実績!$W$6:$W$505,BY$3,実績!$AI$6:$AI$505,"&lt;="&amp;$A68,実績!$AJ$6:$AJ$505,"&gt;"&amp;$A68,実績!$AK$6:$AK$505,"○")&gt;0,1,0))</f>
        <v>0</v>
      </c>
      <c r="BZ68" s="39" t="n">
        <f aca="false">IF(BZ$4=0,0,IF(COUNTIFS(実績!$W$6:$W$505,BZ$3,実績!$AI$6:$AI$505,"&lt;="&amp;$A68,実績!$AJ$6:$AJ$505,"&gt;"&amp;$A68,実績!$AK$6:$AK$505,"○")&gt;0,1,0))</f>
        <v>0</v>
      </c>
      <c r="CA68" s="39" t="n">
        <f aca="false">IF(CA$4=0,0,IF(COUNTIFS(実績!$W$6:$W$505,CA$3,実績!$AI$6:$AI$505,"&lt;="&amp;$A68,実績!$AJ$6:$AJ$505,"&gt;"&amp;$A68,実績!$AK$6:$AK$505,"○")&gt;0,1,0))</f>
        <v>0</v>
      </c>
      <c r="CB68" s="39" t="n">
        <f aca="false">IF(CB$4=0,0,IF(COUNTIFS(実績!$W$6:$W$505,CB$3,実績!$AI$6:$AI$505,"&lt;="&amp;$A68,実績!$AJ$6:$AJ$505,"&gt;"&amp;$A68,実績!$AK$6:$AK$505,"○")&gt;0,1,0))</f>
        <v>0</v>
      </c>
      <c r="CC68" s="39" t="n">
        <f aca="false">IF(CC$4=0,0,IF(COUNTIFS(実績!$W$6:$W$505,CC$3,実績!$AI$6:$AI$505,"&lt;="&amp;$A68,実績!$AJ$6:$AJ$505,"&gt;"&amp;$A68,実績!$AK$6:$AK$505,"○")&gt;0,1,0))</f>
        <v>0</v>
      </c>
      <c r="CD68" s="39" t="n">
        <f aca="false">IF(CD$4=0,0,IF(COUNTIFS(実績!$W$6:$W$505,CD$3,実績!$AI$6:$AI$505,"&lt;="&amp;$A68,実績!$AJ$6:$AJ$505,"&gt;"&amp;$A68,実績!$AK$6:$AK$505,"○")&gt;0,1,0))</f>
        <v>0</v>
      </c>
      <c r="CE68" s="39" t="n">
        <f aca="false">IF(CE$4=0,0,IF(COUNTIFS(実績!$W$6:$W$505,CE$3,実績!$AI$6:$AI$505,"&lt;="&amp;$A68,実績!$AJ$6:$AJ$505,"&gt;"&amp;$A68,実績!$AK$6:$AK$505,"○")&gt;0,1,0))</f>
        <v>0</v>
      </c>
      <c r="CF68" s="39" t="n">
        <f aca="false">IF(CF$4=0,0,IF(COUNTIFS(実績!$W$6:$W$505,CF$3,実績!$AI$6:$AI$505,"&lt;="&amp;$A68,実績!$AJ$6:$AJ$505,"&gt;"&amp;$A68,実績!$AK$6:$AK$505,"○")&gt;0,1,0))</f>
        <v>0</v>
      </c>
      <c r="CG68" s="39" t="n">
        <f aca="false">IF(CG$4=0,0,IF(COUNTIFS(実績!$W$6:$W$505,CG$3,実績!$AI$6:$AI$505,"&lt;="&amp;$A68,実績!$AJ$6:$AJ$505,"&gt;"&amp;$A68,実績!$AK$6:$AK$505,"○")&gt;0,1,0))</f>
        <v>0</v>
      </c>
      <c r="CH68" s="39" t="n">
        <f aca="false">IF(CH$4=0,0,IF(COUNTIFS(実績!$W$6:$W$505,CH$3,実績!$AI$6:$AI$505,"&lt;="&amp;$A68,実績!$AJ$6:$AJ$505,"&gt;"&amp;$A68,実績!$AK$6:$AK$505,"○")&gt;0,1,0))</f>
        <v>0</v>
      </c>
      <c r="CI68" s="39" t="n">
        <f aca="false">IF(CI$4=0,0,IF(COUNTIFS(実績!$W$6:$W$505,CI$3,実績!$AI$6:$AI$505,"&lt;="&amp;$A68,実績!$AJ$6:$AJ$505,"&gt;"&amp;$A68,実績!$AK$6:$AK$505,"○")&gt;0,1,0))</f>
        <v>0</v>
      </c>
      <c r="CJ68" s="39" t="n">
        <f aca="false">IF(CJ$4=0,0,IF(COUNTIFS(実績!$W$6:$W$505,CJ$3,実績!$AI$6:$AI$505,"&lt;="&amp;$A68,実績!$AJ$6:$AJ$505,"&gt;"&amp;$A68,実績!$AK$6:$AK$505,"○")&gt;0,1,0))</f>
        <v>0</v>
      </c>
      <c r="CK68" s="39" t="n">
        <f aca="false">IF(CK$4=0,0,IF(COUNTIFS(実績!$W$6:$W$505,CK$3,実績!$AI$6:$AI$505,"&lt;="&amp;$A68,実績!$AJ$6:$AJ$505,"&gt;"&amp;$A68,実績!$AK$6:$AK$505,"○")&gt;0,1,0))</f>
        <v>0</v>
      </c>
      <c r="CL68" s="39" t="n">
        <f aca="false">IF(CL$4=0,0,IF(COUNTIFS(実績!$W$6:$W$505,CL$3,実績!$AI$6:$AI$505,"&lt;="&amp;$A68,実績!$AJ$6:$AJ$505,"&gt;"&amp;$A68,実績!$AK$6:$AK$505,"○")&gt;0,1,0))</f>
        <v>0</v>
      </c>
      <c r="CM68" s="39" t="n">
        <f aca="false">IF(CM$4=0,0,IF(COUNTIFS(実績!$W$6:$W$505,CM$3,実績!$AI$6:$AI$505,"&lt;="&amp;$A68,実績!$AJ$6:$AJ$505,"&gt;"&amp;$A68,実績!$AK$6:$AK$505,"○")&gt;0,1,0))</f>
        <v>0</v>
      </c>
      <c r="CN68" s="39" t="n">
        <f aca="false">IF(CN$4=0,0,IF(COUNTIFS(実績!$W$6:$W$505,CN$3,実績!$AI$6:$AI$505,"&lt;="&amp;$A68,実績!$AJ$6:$AJ$505,"&gt;"&amp;$A68,実績!$AK$6:$AK$505,"○")&gt;0,1,0))</f>
        <v>0</v>
      </c>
      <c r="CO68" s="39" t="n">
        <f aca="false">IF(CO$4=0,0,IF(COUNTIFS(実績!$W$6:$W$505,CO$3,実績!$AI$6:$AI$505,"&lt;="&amp;$A68,実績!$AJ$6:$AJ$505,"&gt;"&amp;$A68,実績!$AK$6:$AK$505,"○")&gt;0,1,0))</f>
        <v>0</v>
      </c>
      <c r="CP68" s="39" t="n">
        <f aca="false">IF(CP$4=0,0,IF(COUNTIFS(実績!$W$6:$W$505,CP$3,実績!$AI$6:$AI$505,"&lt;="&amp;$A68,実績!$AJ$6:$AJ$505,"&gt;"&amp;$A68,実績!$AK$6:$AK$505,"○")&gt;0,1,0))</f>
        <v>0</v>
      </c>
      <c r="CQ68" s="39" t="n">
        <f aca="false">IF(CQ$4=0,0,IF(COUNTIFS(実績!$W$6:$W$505,CQ$3,実績!$AI$6:$AI$505,"&lt;="&amp;$A68,実績!$AJ$6:$AJ$505,"&gt;"&amp;$A68,実績!$AK$6:$AK$505,"○")&gt;0,1,0))</f>
        <v>0</v>
      </c>
      <c r="CR68" s="39" t="n">
        <f aca="false">IF(CR$4=0,0,IF(COUNTIFS(実績!$W$6:$W$505,CR$3,実績!$AI$6:$AI$505,"&lt;="&amp;$A68,実績!$AJ$6:$AJ$505,"&gt;"&amp;$A68,実績!$AK$6:$AK$505,"○")&gt;0,1,0))</f>
        <v>0</v>
      </c>
      <c r="CS68" s="39" t="n">
        <f aca="false">IF(CS$4=0,0,IF(COUNTIFS(実績!$W$6:$W$505,CS$3,実績!$AI$6:$AI$505,"&lt;="&amp;$A68,実績!$AJ$6:$AJ$505,"&gt;"&amp;$A68,実績!$AK$6:$AK$505,"○")&gt;0,1,0))</f>
        <v>0</v>
      </c>
      <c r="CT68" s="39" t="n">
        <f aca="false">IF(CT$4=0,0,IF(COUNTIFS(実績!$W$6:$W$505,CT$3,実績!$AI$6:$AI$505,"&lt;="&amp;$A68,実績!$AJ$6:$AJ$505,"&gt;"&amp;$A68,実績!$AK$6:$AK$505,"○")&gt;0,1,0))</f>
        <v>0</v>
      </c>
      <c r="CU68" s="39" t="n">
        <f aca="false">IF(CU$4=0,0,IF(COUNTIFS(実績!$W$6:$W$505,CU$3,実績!$AI$6:$AI$505,"&lt;="&amp;$A68,実績!$AJ$6:$AJ$505,"&gt;"&amp;$A68,実績!$AK$6:$AK$505,"○")&gt;0,1,0))</f>
        <v>0</v>
      </c>
      <c r="CV68" s="39" t="n">
        <f aca="false">IF(CV$4=0,0,IF(COUNTIFS(実績!$W$6:$W$505,CV$3,実績!$AI$6:$AI$505,"&lt;="&amp;$A68,実績!$AJ$6:$AJ$505,"&gt;"&amp;$A68,実績!$AK$6:$AK$505,"○")&gt;0,1,0))</f>
        <v>0</v>
      </c>
      <c r="CW68" s="39" t="n">
        <f aca="false">IF(CW$4=0,0,IF(COUNTIFS(実績!$W$6:$W$505,CW$3,実績!$AI$6:$AI$505,"&lt;="&amp;$A68,実績!$AJ$6:$AJ$505,"&gt;"&amp;$A68,実績!$AK$6:$AK$505,"○")&gt;0,1,0))</f>
        <v>0</v>
      </c>
      <c r="CX68" s="39" t="n">
        <f aca="false">IF(CX$4=0,0,IF(COUNTIFS(実績!$W$6:$W$505,CX$3,実績!$AI$6:$AI$505,"&lt;="&amp;$A68,実績!$AJ$6:$AJ$505,"&gt;"&amp;$A68,実績!$AK$6:$AK$505,"○")&gt;0,1,0))</f>
        <v>0</v>
      </c>
      <c r="CY68" s="39" t="n">
        <f aca="false">IF(CY$4=0,0,IF(COUNTIFS(実績!$W$6:$W$505,CY$3,実績!$AI$6:$AI$505,"&lt;="&amp;$A68,実績!$AJ$6:$AJ$505,"&gt;"&amp;$A68,実績!$AK$6:$AK$505,"○")&gt;0,1,0))</f>
        <v>0</v>
      </c>
      <c r="CZ68" s="39" t="n">
        <f aca="false">IF(CZ$4=0,0,IF(COUNTIFS(実績!$W$6:$W$505,CZ$3,実績!$AI$6:$AI$505,"&lt;="&amp;$A68,実績!$AJ$6:$AJ$505,"&gt;"&amp;$A68,実績!$AK$6:$AK$505,"○")&gt;0,1,0))</f>
        <v>0</v>
      </c>
      <c r="DA68" s="39" t="n">
        <f aca="false">IF(DA$4=0,0,IF(COUNTIFS(実績!$W$6:$W$505,DA$3,実績!$AI$6:$AI$505,"&lt;="&amp;$A68,実績!$AJ$6:$AJ$505,"&gt;"&amp;$A68,実績!$AK$6:$AK$505,"○")&gt;0,1,0))</f>
        <v>0</v>
      </c>
      <c r="DB68" s="39" t="n">
        <f aca="false">IF(DB$4=0,0,IF(COUNTIFS(実績!$W$6:$W$505,DB$3,実績!$AI$6:$AI$505,"&lt;="&amp;$A68,実績!$AJ$6:$AJ$505,"&gt;"&amp;$A68,実績!$AK$6:$AK$505,"○")&gt;0,1,0))</f>
        <v>0</v>
      </c>
      <c r="DC68" s="39" t="n">
        <f aca="false">IF(DC$4=0,0,IF(COUNTIFS(実績!$W$6:$W$505,DC$3,実績!$AI$6:$AI$505,"&lt;="&amp;$A68,実績!$AJ$6:$AJ$505,"&gt;"&amp;$A68,実績!$AK$6:$AK$505,"○")&gt;0,1,0))</f>
        <v>0</v>
      </c>
      <c r="DD68" s="39" t="n">
        <f aca="false">IF(DD$4=0,0,IF(COUNTIFS(実績!$W$6:$W$505,DD$3,実績!$AI$6:$AI$505,"&lt;="&amp;$A68,実績!$AJ$6:$AJ$505,"&gt;"&amp;$A68,実績!$AK$6:$AK$505,"○")&gt;0,1,0))</f>
        <v>0</v>
      </c>
      <c r="DE68" s="39" t="n">
        <f aca="false">IF(DE$4=0,0,IF(COUNTIFS(実績!$W$6:$W$505,DE$3,実績!$AI$6:$AI$505,"&lt;="&amp;$A68,実績!$AJ$6:$AJ$505,"&gt;"&amp;$A68,実績!$AK$6:$AK$505,"○")&gt;0,1,0))</f>
        <v>0</v>
      </c>
      <c r="DF68" s="39" t="n">
        <f aca="false">IF(DF$4=0,0,IF(COUNTIFS(実績!$W$6:$W$505,DF$3,実績!$AI$6:$AI$505,"&lt;="&amp;$A68,実績!$AJ$6:$AJ$505,"&gt;"&amp;$A68,実績!$AK$6:$AK$505,"○")&gt;0,1,0))</f>
        <v>0</v>
      </c>
      <c r="DG68" s="39" t="n">
        <f aca="false">IF(DG$4=0,0,IF(COUNTIFS(実績!$W$6:$W$505,DG$3,実績!$AI$6:$AI$505,"&lt;="&amp;$A68,実績!$AJ$6:$AJ$505,"&gt;"&amp;$A68,実績!$AK$6:$AK$505,"○")&gt;0,1,0))</f>
        <v>0</v>
      </c>
      <c r="DH68" s="39" t="n">
        <f aca="false">IF(DH$4=0,0,IF(COUNTIFS(実績!$W$6:$W$505,DH$3,実績!$AI$6:$AI$505,"&lt;="&amp;$A68,実績!$AJ$6:$AJ$505,"&gt;"&amp;$A68,実績!$AK$6:$AK$505,"○")&gt;0,1,0))</f>
        <v>0</v>
      </c>
      <c r="DI68" s="39" t="n">
        <f aca="false">IF(DI$4=0,0,IF(COUNTIFS(実績!$W$6:$W$505,DI$3,実績!$AI$6:$AI$505,"&lt;="&amp;$A68,実績!$AJ$6:$AJ$505,"&gt;"&amp;$A68,実績!$AK$6:$AK$505,"○")&gt;0,1,0))</f>
        <v>0</v>
      </c>
      <c r="DJ68" s="39" t="n">
        <f aca="false">IF(DJ$4=0,0,IF(COUNTIFS(実績!$W$6:$W$505,DJ$3,実績!$AI$6:$AI$505,"&lt;="&amp;$A68,実績!$AJ$6:$AJ$505,"&gt;"&amp;$A68,実績!$AK$6:$AK$505,"○")&gt;0,1,0))</f>
        <v>0</v>
      </c>
      <c r="DK68" s="39" t="n">
        <f aca="false">IF(DK$4=0,0,IF(COUNTIFS(実績!$W$6:$W$505,DK$3,実績!$AI$6:$AI$505,"&lt;="&amp;$A68,実績!$AJ$6:$AJ$505,"&gt;"&amp;$A68,実績!$AK$6:$AK$505,"○")&gt;0,1,0))</f>
        <v>0</v>
      </c>
      <c r="DL68" s="39" t="n">
        <f aca="false">IF(DL$4=0,0,IF(COUNTIFS(実績!$W$6:$W$505,DL$3,実績!$AI$6:$AI$505,"&lt;="&amp;$A68,実績!$AJ$6:$AJ$505,"&gt;"&amp;$A68,実績!$AK$6:$AK$505,"○")&gt;0,1,0))</f>
        <v>0</v>
      </c>
      <c r="DM68" s="39" t="n">
        <f aca="false">IF(DM$4=0,0,IF(COUNTIFS(実績!$W$6:$W$505,DM$3,実績!$AI$6:$AI$505,"&lt;="&amp;$A68,実績!$AJ$6:$AJ$505,"&gt;"&amp;$A68,実績!$AK$6:$AK$505,"○")&gt;0,1,0))</f>
        <v>0</v>
      </c>
      <c r="DN68" s="39" t="n">
        <f aca="false">IF(DN$4=0,0,IF(COUNTIFS(実績!$W$6:$W$505,DN$3,実績!$AI$6:$AI$505,"&lt;="&amp;$A68,実績!$AJ$6:$AJ$505,"&gt;"&amp;$A68,実績!$AK$6:$AK$505,"○")&gt;0,1,0))</f>
        <v>0</v>
      </c>
      <c r="DO68" s="39" t="n">
        <f aca="false">IF(DO$4=0,0,IF(COUNTIFS(実績!$W$6:$W$505,DO$3,実績!$AI$6:$AI$505,"&lt;="&amp;$A68,実績!$AJ$6:$AJ$505,"&gt;"&amp;$A68,実績!$AK$6:$AK$505,"○")&gt;0,1,0))</f>
        <v>0</v>
      </c>
      <c r="DP68" s="39" t="n">
        <f aca="false">IF(DP$4=0,0,IF(COUNTIFS(実績!$W$6:$W$505,DP$3,実績!$AI$6:$AI$505,"&lt;="&amp;$A68,実績!$AJ$6:$AJ$505,"&gt;"&amp;$A68,実績!$AK$6:$AK$505,"○")&gt;0,1,0))</f>
        <v>0</v>
      </c>
      <c r="DQ68" s="39" t="n">
        <f aca="false">IF(DQ$4=0,0,IF(COUNTIFS(実績!$W$6:$W$505,DQ$3,実績!$AI$6:$AI$505,"&lt;="&amp;$A68,実績!$AJ$6:$AJ$505,"&gt;"&amp;$A68,実績!$AK$6:$AK$505,"○")&gt;0,1,0))</f>
        <v>0</v>
      </c>
      <c r="DR68" s="39" t="n">
        <f aca="false">IF(DR$4=0,0,IF(COUNTIFS(実績!$W$6:$W$505,DR$3,実績!$AI$6:$AI$505,"&lt;="&amp;$A68,実績!$AJ$6:$AJ$505,"&gt;"&amp;$A68,実績!$AK$6:$AK$505,"○")&gt;0,1,0))</f>
        <v>0</v>
      </c>
      <c r="DS68" s="39" t="n">
        <f aca="false">SUM(C68:DR68)</f>
        <v>0</v>
      </c>
      <c r="DT68" s="39" t="n">
        <f aca="false">SUMPRODUCT((実績!$C$6:$C$505="○")*ISNUMBER(実績!$AM$6:$AM$505)*(実績!$AM$6:$AM$505&lt;=$A68)*(実績!$AN$6:$AN$505&gt;$A68))</f>
        <v>0</v>
      </c>
      <c r="DU68" s="39" t="n">
        <f aca="false">SUMIF($C$2:$DR$2,"製鉄曳船",C68:DR68)</f>
        <v>0</v>
      </c>
      <c r="DV68" s="39" t="n">
        <f aca="false">SUMIF($C$2:$DR$2,"西日本海運",C68:DR68)</f>
        <v>0</v>
      </c>
    </row>
    <row r="69" customFormat="false" ht="15" hidden="false" customHeight="false" outlineLevel="0" collapsed="false">
      <c r="A69" s="0" t="n">
        <v>315</v>
      </c>
      <c r="B69" s="38" t="n">
        <f aca="false">A69/1440</f>
        <v>0.21875</v>
      </c>
      <c r="C69" s="39" t="n">
        <f aca="false">IF(C$4=0,0,IF(COUNTIFS(実績!$W$6:$W$505,C$3,実績!$AI$6:$AI$505,"&lt;="&amp;$A69,実績!$AJ$6:$AJ$505,"&gt;"&amp;$A69,実績!$AK$6:$AK$505,"○")&gt;0,1,0))</f>
        <v>0</v>
      </c>
      <c r="D69" s="39" t="n">
        <f aca="false">IF(D$4=0,0,IF(COUNTIFS(実績!$W$6:$W$505,D$3,実績!$AI$6:$AI$505,"&lt;="&amp;$A69,実績!$AJ$6:$AJ$505,"&gt;"&amp;$A69,実績!$AK$6:$AK$505,"○")&gt;0,1,0))</f>
        <v>0</v>
      </c>
      <c r="E69" s="39" t="n">
        <f aca="false">IF(E$4=0,0,IF(COUNTIFS(実績!$W$6:$W$505,E$3,実績!$AI$6:$AI$505,"&lt;="&amp;$A69,実績!$AJ$6:$AJ$505,"&gt;"&amp;$A69,実績!$AK$6:$AK$505,"○")&gt;0,1,0))</f>
        <v>0</v>
      </c>
      <c r="F69" s="39" t="n">
        <f aca="false">IF(F$4=0,0,IF(COUNTIFS(実績!$W$6:$W$505,F$3,実績!$AI$6:$AI$505,"&lt;="&amp;$A69,実績!$AJ$6:$AJ$505,"&gt;"&amp;$A69,実績!$AK$6:$AK$505,"○")&gt;0,1,0))</f>
        <v>0</v>
      </c>
      <c r="G69" s="39" t="n">
        <f aca="false">IF(G$4=0,0,IF(COUNTIFS(実績!$W$6:$W$505,G$3,実績!$AI$6:$AI$505,"&lt;="&amp;$A69,実績!$AJ$6:$AJ$505,"&gt;"&amp;$A69,実績!$AK$6:$AK$505,"○")&gt;0,1,0))</f>
        <v>0</v>
      </c>
      <c r="H69" s="39" t="n">
        <f aca="false">IF(H$4=0,0,IF(COUNTIFS(実績!$W$6:$W$505,H$3,実績!$AI$6:$AI$505,"&lt;="&amp;$A69,実績!$AJ$6:$AJ$505,"&gt;"&amp;$A69,実績!$AK$6:$AK$505,"○")&gt;0,1,0))</f>
        <v>0</v>
      </c>
      <c r="I69" s="39" t="n">
        <f aca="false">IF(I$4=0,0,IF(COUNTIFS(実績!$W$6:$W$505,I$3,実績!$AI$6:$AI$505,"&lt;="&amp;$A69,実績!$AJ$6:$AJ$505,"&gt;"&amp;$A69,実績!$AK$6:$AK$505,"○")&gt;0,1,0))</f>
        <v>0</v>
      </c>
      <c r="J69" s="39" t="n">
        <f aca="false">IF(J$4=0,0,IF(COUNTIFS(実績!$W$6:$W$505,J$3,実績!$AI$6:$AI$505,"&lt;="&amp;$A69,実績!$AJ$6:$AJ$505,"&gt;"&amp;$A69,実績!$AK$6:$AK$505,"○")&gt;0,1,0))</f>
        <v>0</v>
      </c>
      <c r="K69" s="39" t="n">
        <f aca="false">IF(K$4=0,0,IF(COUNTIFS(実績!$W$6:$W$505,K$3,実績!$AI$6:$AI$505,"&lt;="&amp;$A69,実績!$AJ$6:$AJ$505,"&gt;"&amp;$A69,実績!$AK$6:$AK$505,"○")&gt;0,1,0))</f>
        <v>0</v>
      </c>
      <c r="L69" s="39" t="n">
        <f aca="false">IF(L$4=0,0,IF(COUNTIFS(実績!$W$6:$W$505,L$3,実績!$AI$6:$AI$505,"&lt;="&amp;$A69,実績!$AJ$6:$AJ$505,"&gt;"&amp;$A69,実績!$AK$6:$AK$505,"○")&gt;0,1,0))</f>
        <v>0</v>
      </c>
      <c r="M69" s="39" t="n">
        <f aca="false">IF(M$4=0,0,IF(COUNTIFS(実績!$W$6:$W$505,M$3,実績!$AI$6:$AI$505,"&lt;="&amp;$A69,実績!$AJ$6:$AJ$505,"&gt;"&amp;$A69,実績!$AK$6:$AK$505,"○")&gt;0,1,0))</f>
        <v>0</v>
      </c>
      <c r="N69" s="39" t="n">
        <f aca="false">IF(N$4=0,0,IF(COUNTIFS(実績!$W$6:$W$505,N$3,実績!$AI$6:$AI$505,"&lt;="&amp;$A69,実績!$AJ$6:$AJ$505,"&gt;"&amp;$A69,実績!$AK$6:$AK$505,"○")&gt;0,1,0))</f>
        <v>0</v>
      </c>
      <c r="O69" s="39" t="n">
        <f aca="false">IF(O$4=0,0,IF(COUNTIFS(実績!$W$6:$W$505,O$3,実績!$AI$6:$AI$505,"&lt;="&amp;$A69,実績!$AJ$6:$AJ$505,"&gt;"&amp;$A69,実績!$AK$6:$AK$505,"○")&gt;0,1,0))</f>
        <v>0</v>
      </c>
      <c r="P69" s="39" t="n">
        <f aca="false">IF(P$4=0,0,IF(COUNTIFS(実績!$W$6:$W$505,P$3,実績!$AI$6:$AI$505,"&lt;="&amp;$A69,実績!$AJ$6:$AJ$505,"&gt;"&amp;$A69,実績!$AK$6:$AK$505,"○")&gt;0,1,0))</f>
        <v>0</v>
      </c>
      <c r="Q69" s="39" t="n">
        <f aca="false">IF(Q$4=0,0,IF(COUNTIFS(実績!$W$6:$W$505,Q$3,実績!$AI$6:$AI$505,"&lt;="&amp;$A69,実績!$AJ$6:$AJ$505,"&gt;"&amp;$A69,実績!$AK$6:$AK$505,"○")&gt;0,1,0))</f>
        <v>0</v>
      </c>
      <c r="R69" s="39" t="n">
        <f aca="false">IF(R$4=0,0,IF(COUNTIFS(実績!$W$6:$W$505,R$3,実績!$AI$6:$AI$505,"&lt;="&amp;$A69,実績!$AJ$6:$AJ$505,"&gt;"&amp;$A69,実績!$AK$6:$AK$505,"○")&gt;0,1,0))</f>
        <v>0</v>
      </c>
      <c r="S69" s="39" t="n">
        <f aca="false">IF(S$4=0,0,IF(COUNTIFS(実績!$W$6:$W$505,S$3,実績!$AI$6:$AI$505,"&lt;="&amp;$A69,実績!$AJ$6:$AJ$505,"&gt;"&amp;$A69,実績!$AK$6:$AK$505,"○")&gt;0,1,0))</f>
        <v>0</v>
      </c>
      <c r="T69" s="39" t="n">
        <f aca="false">IF(T$4=0,0,IF(COUNTIFS(実績!$W$6:$W$505,T$3,実績!$AI$6:$AI$505,"&lt;="&amp;$A69,実績!$AJ$6:$AJ$505,"&gt;"&amp;$A69,実績!$AK$6:$AK$505,"○")&gt;0,1,0))</f>
        <v>0</v>
      </c>
      <c r="U69" s="39" t="n">
        <f aca="false">IF(U$4=0,0,IF(COUNTIFS(実績!$W$6:$W$505,U$3,実績!$AI$6:$AI$505,"&lt;="&amp;$A69,実績!$AJ$6:$AJ$505,"&gt;"&amp;$A69,実績!$AK$6:$AK$505,"○")&gt;0,1,0))</f>
        <v>0</v>
      </c>
      <c r="V69" s="39" t="n">
        <f aca="false">IF(V$4=0,0,IF(COUNTIFS(実績!$W$6:$W$505,V$3,実績!$AI$6:$AI$505,"&lt;="&amp;$A69,実績!$AJ$6:$AJ$505,"&gt;"&amp;$A69,実績!$AK$6:$AK$505,"○")&gt;0,1,0))</f>
        <v>0</v>
      </c>
      <c r="W69" s="39" t="n">
        <f aca="false">IF(W$4=0,0,IF(COUNTIFS(実績!$W$6:$W$505,W$3,実績!$AI$6:$AI$505,"&lt;="&amp;$A69,実績!$AJ$6:$AJ$505,"&gt;"&amp;$A69,実績!$AK$6:$AK$505,"○")&gt;0,1,0))</f>
        <v>0</v>
      </c>
      <c r="X69" s="39" t="n">
        <f aca="false">IF(X$4=0,0,IF(COUNTIFS(実績!$W$6:$W$505,X$3,実績!$AI$6:$AI$505,"&lt;="&amp;$A69,実績!$AJ$6:$AJ$505,"&gt;"&amp;$A69,実績!$AK$6:$AK$505,"○")&gt;0,1,0))</f>
        <v>0</v>
      </c>
      <c r="Y69" s="39" t="n">
        <f aca="false">IF(Y$4=0,0,IF(COUNTIFS(実績!$W$6:$W$505,Y$3,実績!$AI$6:$AI$505,"&lt;="&amp;$A69,実績!$AJ$6:$AJ$505,"&gt;"&amp;$A69,実績!$AK$6:$AK$505,"○")&gt;0,1,0))</f>
        <v>0</v>
      </c>
      <c r="Z69" s="39" t="n">
        <f aca="false">IF(Z$4=0,0,IF(COUNTIFS(実績!$W$6:$W$505,Z$3,実績!$AI$6:$AI$505,"&lt;="&amp;$A69,実績!$AJ$6:$AJ$505,"&gt;"&amp;$A69,実績!$AK$6:$AK$505,"○")&gt;0,1,0))</f>
        <v>0</v>
      </c>
      <c r="AA69" s="39" t="n">
        <f aca="false">IF(AA$4=0,0,IF(COUNTIFS(実績!$W$6:$W$505,AA$3,実績!$AI$6:$AI$505,"&lt;="&amp;$A69,実績!$AJ$6:$AJ$505,"&gt;"&amp;$A69,実績!$AK$6:$AK$505,"○")&gt;0,1,0))</f>
        <v>0</v>
      </c>
      <c r="AB69" s="39" t="n">
        <f aca="false">IF(AB$4=0,0,IF(COUNTIFS(実績!$W$6:$W$505,AB$3,実績!$AI$6:$AI$505,"&lt;="&amp;$A69,実績!$AJ$6:$AJ$505,"&gt;"&amp;$A69,実績!$AK$6:$AK$505,"○")&gt;0,1,0))</f>
        <v>0</v>
      </c>
      <c r="AC69" s="39" t="n">
        <f aca="false">IF(AC$4=0,0,IF(COUNTIFS(実績!$W$6:$W$505,AC$3,実績!$AI$6:$AI$505,"&lt;="&amp;$A69,実績!$AJ$6:$AJ$505,"&gt;"&amp;$A69,実績!$AK$6:$AK$505,"○")&gt;0,1,0))</f>
        <v>0</v>
      </c>
      <c r="AD69" s="39" t="n">
        <f aca="false">IF(AD$4=0,0,IF(COUNTIFS(実績!$W$6:$W$505,AD$3,実績!$AI$6:$AI$505,"&lt;="&amp;$A69,実績!$AJ$6:$AJ$505,"&gt;"&amp;$A69,実績!$AK$6:$AK$505,"○")&gt;0,1,0))</f>
        <v>0</v>
      </c>
      <c r="AE69" s="39" t="n">
        <f aca="false">IF(AE$4=0,0,IF(COUNTIFS(実績!$W$6:$W$505,AE$3,実績!$AI$6:$AI$505,"&lt;="&amp;$A69,実績!$AJ$6:$AJ$505,"&gt;"&amp;$A69,実績!$AK$6:$AK$505,"○")&gt;0,1,0))</f>
        <v>0</v>
      </c>
      <c r="AF69" s="39" t="n">
        <f aca="false">IF(AF$4=0,0,IF(COUNTIFS(実績!$W$6:$W$505,AF$3,実績!$AI$6:$AI$505,"&lt;="&amp;$A69,実績!$AJ$6:$AJ$505,"&gt;"&amp;$A69,実績!$AK$6:$AK$505,"○")&gt;0,1,0))</f>
        <v>0</v>
      </c>
      <c r="AG69" s="39" t="n">
        <f aca="false">IF(AG$4=0,0,IF(COUNTIFS(実績!$W$6:$W$505,AG$3,実績!$AI$6:$AI$505,"&lt;="&amp;$A69,実績!$AJ$6:$AJ$505,"&gt;"&amp;$A69,実績!$AK$6:$AK$505,"○")&gt;0,1,0))</f>
        <v>0</v>
      </c>
      <c r="AH69" s="39" t="n">
        <f aca="false">IF(AH$4=0,0,IF(COUNTIFS(実績!$W$6:$W$505,AH$3,実績!$AI$6:$AI$505,"&lt;="&amp;$A69,実績!$AJ$6:$AJ$505,"&gt;"&amp;$A69,実績!$AK$6:$AK$505,"○")&gt;0,1,0))</f>
        <v>0</v>
      </c>
      <c r="AI69" s="39" t="n">
        <f aca="false">IF(AI$4=0,0,IF(COUNTIFS(実績!$W$6:$W$505,AI$3,実績!$AI$6:$AI$505,"&lt;="&amp;$A69,実績!$AJ$6:$AJ$505,"&gt;"&amp;$A69,実績!$AK$6:$AK$505,"○")&gt;0,1,0))</f>
        <v>0</v>
      </c>
      <c r="AJ69" s="39" t="n">
        <f aca="false">IF(AJ$4=0,0,IF(COUNTIFS(実績!$W$6:$W$505,AJ$3,実績!$AI$6:$AI$505,"&lt;="&amp;$A69,実績!$AJ$6:$AJ$505,"&gt;"&amp;$A69,実績!$AK$6:$AK$505,"○")&gt;0,1,0))</f>
        <v>0</v>
      </c>
      <c r="AK69" s="39" t="n">
        <f aca="false">IF(AK$4=0,0,IF(COUNTIFS(実績!$W$6:$W$505,AK$3,実績!$AI$6:$AI$505,"&lt;="&amp;$A69,実績!$AJ$6:$AJ$505,"&gt;"&amp;$A69,実績!$AK$6:$AK$505,"○")&gt;0,1,0))</f>
        <v>0</v>
      </c>
      <c r="AL69" s="39" t="n">
        <f aca="false">IF(AL$4=0,0,IF(COUNTIFS(実績!$W$6:$W$505,AL$3,実績!$AI$6:$AI$505,"&lt;="&amp;$A69,実績!$AJ$6:$AJ$505,"&gt;"&amp;$A69,実績!$AK$6:$AK$505,"○")&gt;0,1,0))</f>
        <v>0</v>
      </c>
      <c r="AM69" s="39" t="n">
        <f aca="false">IF(AM$4=0,0,IF(COUNTIFS(実績!$W$6:$W$505,AM$3,実績!$AI$6:$AI$505,"&lt;="&amp;$A69,実績!$AJ$6:$AJ$505,"&gt;"&amp;$A69,実績!$AK$6:$AK$505,"○")&gt;0,1,0))</f>
        <v>0</v>
      </c>
      <c r="AN69" s="39" t="n">
        <f aca="false">IF(AN$4=0,0,IF(COUNTIFS(実績!$W$6:$W$505,AN$3,実績!$AI$6:$AI$505,"&lt;="&amp;$A69,実績!$AJ$6:$AJ$505,"&gt;"&amp;$A69,実績!$AK$6:$AK$505,"○")&gt;0,1,0))</f>
        <v>0</v>
      </c>
      <c r="AO69" s="39" t="n">
        <f aca="false">IF(AO$4=0,0,IF(COUNTIFS(実績!$W$6:$W$505,AO$3,実績!$AI$6:$AI$505,"&lt;="&amp;$A69,実績!$AJ$6:$AJ$505,"&gt;"&amp;$A69,実績!$AK$6:$AK$505,"○")&gt;0,1,0))</f>
        <v>0</v>
      </c>
      <c r="AP69" s="39" t="n">
        <f aca="false">IF(AP$4=0,0,IF(COUNTIFS(実績!$W$6:$W$505,AP$3,実績!$AI$6:$AI$505,"&lt;="&amp;$A69,実績!$AJ$6:$AJ$505,"&gt;"&amp;$A69,実績!$AK$6:$AK$505,"○")&gt;0,1,0))</f>
        <v>0</v>
      </c>
      <c r="AQ69" s="39" t="n">
        <f aca="false">IF(AQ$4=0,0,IF(COUNTIFS(実績!$W$6:$W$505,AQ$3,実績!$AI$6:$AI$505,"&lt;="&amp;$A69,実績!$AJ$6:$AJ$505,"&gt;"&amp;$A69,実績!$AK$6:$AK$505,"○")&gt;0,1,0))</f>
        <v>0</v>
      </c>
      <c r="AR69" s="39" t="n">
        <f aca="false">IF(AR$4=0,0,IF(COUNTIFS(実績!$W$6:$W$505,AR$3,実績!$AI$6:$AI$505,"&lt;="&amp;$A69,実績!$AJ$6:$AJ$505,"&gt;"&amp;$A69,実績!$AK$6:$AK$505,"○")&gt;0,1,0))</f>
        <v>0</v>
      </c>
      <c r="AS69" s="39" t="n">
        <f aca="false">IF(AS$4=0,0,IF(COUNTIFS(実績!$W$6:$W$505,AS$3,実績!$AI$6:$AI$505,"&lt;="&amp;$A69,実績!$AJ$6:$AJ$505,"&gt;"&amp;$A69,実績!$AK$6:$AK$505,"○")&gt;0,1,0))</f>
        <v>0</v>
      </c>
      <c r="AT69" s="39" t="n">
        <f aca="false">IF(AT$4=0,0,IF(COUNTIFS(実績!$W$6:$W$505,AT$3,実績!$AI$6:$AI$505,"&lt;="&amp;$A69,実績!$AJ$6:$AJ$505,"&gt;"&amp;$A69,実績!$AK$6:$AK$505,"○")&gt;0,1,0))</f>
        <v>0</v>
      </c>
      <c r="AU69" s="39" t="n">
        <f aca="false">IF(AU$4=0,0,IF(COUNTIFS(実績!$W$6:$W$505,AU$3,実績!$AI$6:$AI$505,"&lt;="&amp;$A69,実績!$AJ$6:$AJ$505,"&gt;"&amp;$A69,実績!$AK$6:$AK$505,"○")&gt;0,1,0))</f>
        <v>0</v>
      </c>
      <c r="AV69" s="39" t="n">
        <f aca="false">IF(AV$4=0,0,IF(COUNTIFS(実績!$W$6:$W$505,AV$3,実績!$AI$6:$AI$505,"&lt;="&amp;$A69,実績!$AJ$6:$AJ$505,"&gt;"&amp;$A69,実績!$AK$6:$AK$505,"○")&gt;0,1,0))</f>
        <v>0</v>
      </c>
      <c r="AW69" s="39" t="n">
        <f aca="false">IF(AW$4=0,0,IF(COUNTIFS(実績!$W$6:$W$505,AW$3,実績!$AI$6:$AI$505,"&lt;="&amp;$A69,実績!$AJ$6:$AJ$505,"&gt;"&amp;$A69,実績!$AK$6:$AK$505,"○")&gt;0,1,0))</f>
        <v>0</v>
      </c>
      <c r="AX69" s="39" t="n">
        <f aca="false">IF(AX$4=0,0,IF(COUNTIFS(実績!$W$6:$W$505,AX$3,実績!$AI$6:$AI$505,"&lt;="&amp;$A69,実績!$AJ$6:$AJ$505,"&gt;"&amp;$A69,実績!$AK$6:$AK$505,"○")&gt;0,1,0))</f>
        <v>0</v>
      </c>
      <c r="AY69" s="39" t="n">
        <f aca="false">IF(AY$4=0,0,IF(COUNTIFS(実績!$W$6:$W$505,AY$3,実績!$AI$6:$AI$505,"&lt;="&amp;$A69,実績!$AJ$6:$AJ$505,"&gt;"&amp;$A69,実績!$AK$6:$AK$505,"○")&gt;0,1,0))</f>
        <v>0</v>
      </c>
      <c r="AZ69" s="39" t="n">
        <f aca="false">IF(AZ$4=0,0,IF(COUNTIFS(実績!$W$6:$W$505,AZ$3,実績!$AI$6:$AI$505,"&lt;="&amp;$A69,実績!$AJ$6:$AJ$505,"&gt;"&amp;$A69,実績!$AK$6:$AK$505,"○")&gt;0,1,0))</f>
        <v>0</v>
      </c>
      <c r="BA69" s="39" t="n">
        <f aca="false">IF(BA$4=0,0,IF(COUNTIFS(実績!$W$6:$W$505,BA$3,実績!$AI$6:$AI$505,"&lt;="&amp;$A69,実績!$AJ$6:$AJ$505,"&gt;"&amp;$A69,実績!$AK$6:$AK$505,"○")&gt;0,1,0))</f>
        <v>0</v>
      </c>
      <c r="BB69" s="39" t="n">
        <f aca="false">IF(BB$4=0,0,IF(COUNTIFS(実績!$W$6:$W$505,BB$3,実績!$AI$6:$AI$505,"&lt;="&amp;$A69,実績!$AJ$6:$AJ$505,"&gt;"&amp;$A69,実績!$AK$6:$AK$505,"○")&gt;0,1,0))</f>
        <v>0</v>
      </c>
      <c r="BC69" s="39" t="n">
        <f aca="false">IF(BC$4=0,0,IF(COUNTIFS(実績!$W$6:$W$505,BC$3,実績!$AI$6:$AI$505,"&lt;="&amp;$A69,実績!$AJ$6:$AJ$505,"&gt;"&amp;$A69,実績!$AK$6:$AK$505,"○")&gt;0,1,0))</f>
        <v>0</v>
      </c>
      <c r="BD69" s="39" t="n">
        <f aca="false">IF(BD$4=0,0,IF(COUNTIFS(実績!$W$6:$W$505,BD$3,実績!$AI$6:$AI$505,"&lt;="&amp;$A69,実績!$AJ$6:$AJ$505,"&gt;"&amp;$A69,実績!$AK$6:$AK$505,"○")&gt;0,1,0))</f>
        <v>0</v>
      </c>
      <c r="BE69" s="39" t="n">
        <f aca="false">IF(BE$4=0,0,IF(COUNTIFS(実績!$W$6:$W$505,BE$3,実績!$AI$6:$AI$505,"&lt;="&amp;$A69,実績!$AJ$6:$AJ$505,"&gt;"&amp;$A69,実績!$AK$6:$AK$505,"○")&gt;0,1,0))</f>
        <v>0</v>
      </c>
      <c r="BF69" s="39" t="n">
        <f aca="false">IF(BF$4=0,0,IF(COUNTIFS(実績!$W$6:$W$505,BF$3,実績!$AI$6:$AI$505,"&lt;="&amp;$A69,実績!$AJ$6:$AJ$505,"&gt;"&amp;$A69,実績!$AK$6:$AK$505,"○")&gt;0,1,0))</f>
        <v>0</v>
      </c>
      <c r="BG69" s="39" t="n">
        <f aca="false">IF(BG$4=0,0,IF(COUNTIFS(実績!$W$6:$W$505,BG$3,実績!$AI$6:$AI$505,"&lt;="&amp;$A69,実績!$AJ$6:$AJ$505,"&gt;"&amp;$A69,実績!$AK$6:$AK$505,"○")&gt;0,1,0))</f>
        <v>0</v>
      </c>
      <c r="BH69" s="39" t="n">
        <f aca="false">IF(BH$4=0,0,IF(COUNTIFS(実績!$W$6:$W$505,BH$3,実績!$AI$6:$AI$505,"&lt;="&amp;$A69,実績!$AJ$6:$AJ$505,"&gt;"&amp;$A69,実績!$AK$6:$AK$505,"○")&gt;0,1,0))</f>
        <v>0</v>
      </c>
      <c r="BI69" s="39" t="n">
        <f aca="false">IF(BI$4=0,0,IF(COUNTIFS(実績!$W$6:$W$505,BI$3,実績!$AI$6:$AI$505,"&lt;="&amp;$A69,実績!$AJ$6:$AJ$505,"&gt;"&amp;$A69,実績!$AK$6:$AK$505,"○")&gt;0,1,0))</f>
        <v>0</v>
      </c>
      <c r="BJ69" s="39" t="n">
        <f aca="false">IF(BJ$4=0,0,IF(COUNTIFS(実績!$W$6:$W$505,BJ$3,実績!$AI$6:$AI$505,"&lt;="&amp;$A69,実績!$AJ$6:$AJ$505,"&gt;"&amp;$A69,実績!$AK$6:$AK$505,"○")&gt;0,1,0))</f>
        <v>0</v>
      </c>
      <c r="BK69" s="39" t="n">
        <f aca="false">IF(BK$4=0,0,IF(COUNTIFS(実績!$W$6:$W$505,BK$3,実績!$AI$6:$AI$505,"&lt;="&amp;$A69,実績!$AJ$6:$AJ$505,"&gt;"&amp;$A69,実績!$AK$6:$AK$505,"○")&gt;0,1,0))</f>
        <v>0</v>
      </c>
      <c r="BL69" s="39" t="n">
        <f aca="false">IF(BL$4=0,0,IF(COUNTIFS(実績!$W$6:$W$505,BL$3,実績!$AI$6:$AI$505,"&lt;="&amp;$A69,実績!$AJ$6:$AJ$505,"&gt;"&amp;$A69,実績!$AK$6:$AK$505,"○")&gt;0,1,0))</f>
        <v>0</v>
      </c>
      <c r="BM69" s="39" t="n">
        <f aca="false">IF(BM$4=0,0,IF(COUNTIFS(実績!$W$6:$W$505,BM$3,実績!$AI$6:$AI$505,"&lt;="&amp;$A69,実績!$AJ$6:$AJ$505,"&gt;"&amp;$A69,実績!$AK$6:$AK$505,"○")&gt;0,1,0))</f>
        <v>0</v>
      </c>
      <c r="BN69" s="39" t="n">
        <f aca="false">IF(BN$4=0,0,IF(COUNTIFS(実績!$W$6:$W$505,BN$3,実績!$AI$6:$AI$505,"&lt;="&amp;$A69,実績!$AJ$6:$AJ$505,"&gt;"&amp;$A69,実績!$AK$6:$AK$505,"○")&gt;0,1,0))</f>
        <v>0</v>
      </c>
      <c r="BO69" s="39" t="n">
        <f aca="false">IF(BO$4=0,0,IF(COUNTIFS(実績!$W$6:$W$505,BO$3,実績!$AI$6:$AI$505,"&lt;="&amp;$A69,実績!$AJ$6:$AJ$505,"&gt;"&amp;$A69,実績!$AK$6:$AK$505,"○")&gt;0,1,0))</f>
        <v>0</v>
      </c>
      <c r="BP69" s="39" t="n">
        <f aca="false">IF(BP$4=0,0,IF(COUNTIFS(実績!$W$6:$W$505,BP$3,実績!$AI$6:$AI$505,"&lt;="&amp;$A69,実績!$AJ$6:$AJ$505,"&gt;"&amp;$A69,実績!$AK$6:$AK$505,"○")&gt;0,1,0))</f>
        <v>0</v>
      </c>
      <c r="BQ69" s="39" t="n">
        <f aca="false">IF(BQ$4=0,0,IF(COUNTIFS(実績!$W$6:$W$505,BQ$3,実績!$AI$6:$AI$505,"&lt;="&amp;$A69,実績!$AJ$6:$AJ$505,"&gt;"&amp;$A69,実績!$AK$6:$AK$505,"○")&gt;0,1,0))</f>
        <v>0</v>
      </c>
      <c r="BR69" s="39" t="n">
        <f aca="false">IF(BR$4=0,0,IF(COUNTIFS(実績!$W$6:$W$505,BR$3,実績!$AI$6:$AI$505,"&lt;="&amp;$A69,実績!$AJ$6:$AJ$505,"&gt;"&amp;$A69,実績!$AK$6:$AK$505,"○")&gt;0,1,0))</f>
        <v>0</v>
      </c>
      <c r="BS69" s="39" t="n">
        <f aca="false">IF(BS$4=0,0,IF(COUNTIFS(実績!$W$6:$W$505,BS$3,実績!$AI$6:$AI$505,"&lt;="&amp;$A69,実績!$AJ$6:$AJ$505,"&gt;"&amp;$A69,実績!$AK$6:$AK$505,"○")&gt;0,1,0))</f>
        <v>0</v>
      </c>
      <c r="BT69" s="39" t="n">
        <f aca="false">IF(BT$4=0,0,IF(COUNTIFS(実績!$W$6:$W$505,BT$3,実績!$AI$6:$AI$505,"&lt;="&amp;$A69,実績!$AJ$6:$AJ$505,"&gt;"&amp;$A69,実績!$AK$6:$AK$505,"○")&gt;0,1,0))</f>
        <v>0</v>
      </c>
      <c r="BU69" s="39" t="n">
        <f aca="false">IF(BU$4=0,0,IF(COUNTIFS(実績!$W$6:$W$505,BU$3,実績!$AI$6:$AI$505,"&lt;="&amp;$A69,実績!$AJ$6:$AJ$505,"&gt;"&amp;$A69,実績!$AK$6:$AK$505,"○")&gt;0,1,0))</f>
        <v>0</v>
      </c>
      <c r="BV69" s="39" t="n">
        <f aca="false">IF(BV$4=0,0,IF(COUNTIFS(実績!$W$6:$W$505,BV$3,実績!$AI$6:$AI$505,"&lt;="&amp;$A69,実績!$AJ$6:$AJ$505,"&gt;"&amp;$A69,実績!$AK$6:$AK$505,"○")&gt;0,1,0))</f>
        <v>0</v>
      </c>
      <c r="BW69" s="39" t="n">
        <f aca="false">IF(BW$4=0,0,IF(COUNTIFS(実績!$W$6:$W$505,BW$3,実績!$AI$6:$AI$505,"&lt;="&amp;$A69,実績!$AJ$6:$AJ$505,"&gt;"&amp;$A69,実績!$AK$6:$AK$505,"○")&gt;0,1,0))</f>
        <v>0</v>
      </c>
      <c r="BX69" s="39" t="n">
        <f aca="false">IF(BX$4=0,0,IF(COUNTIFS(実績!$W$6:$W$505,BX$3,実績!$AI$6:$AI$505,"&lt;="&amp;$A69,実績!$AJ$6:$AJ$505,"&gt;"&amp;$A69,実績!$AK$6:$AK$505,"○")&gt;0,1,0))</f>
        <v>0</v>
      </c>
      <c r="BY69" s="39" t="n">
        <f aca="false">IF(BY$4=0,0,IF(COUNTIFS(実績!$W$6:$W$505,BY$3,実績!$AI$6:$AI$505,"&lt;="&amp;$A69,実績!$AJ$6:$AJ$505,"&gt;"&amp;$A69,実績!$AK$6:$AK$505,"○")&gt;0,1,0))</f>
        <v>0</v>
      </c>
      <c r="BZ69" s="39" t="n">
        <f aca="false">IF(BZ$4=0,0,IF(COUNTIFS(実績!$W$6:$W$505,BZ$3,実績!$AI$6:$AI$505,"&lt;="&amp;$A69,実績!$AJ$6:$AJ$505,"&gt;"&amp;$A69,実績!$AK$6:$AK$505,"○")&gt;0,1,0))</f>
        <v>0</v>
      </c>
      <c r="CA69" s="39" t="n">
        <f aca="false">IF(CA$4=0,0,IF(COUNTIFS(実績!$W$6:$W$505,CA$3,実績!$AI$6:$AI$505,"&lt;="&amp;$A69,実績!$AJ$6:$AJ$505,"&gt;"&amp;$A69,実績!$AK$6:$AK$505,"○")&gt;0,1,0))</f>
        <v>0</v>
      </c>
      <c r="CB69" s="39" t="n">
        <f aca="false">IF(CB$4=0,0,IF(COUNTIFS(実績!$W$6:$W$505,CB$3,実績!$AI$6:$AI$505,"&lt;="&amp;$A69,実績!$AJ$6:$AJ$505,"&gt;"&amp;$A69,実績!$AK$6:$AK$505,"○")&gt;0,1,0))</f>
        <v>0</v>
      </c>
      <c r="CC69" s="39" t="n">
        <f aca="false">IF(CC$4=0,0,IF(COUNTIFS(実績!$W$6:$W$505,CC$3,実績!$AI$6:$AI$505,"&lt;="&amp;$A69,実績!$AJ$6:$AJ$505,"&gt;"&amp;$A69,実績!$AK$6:$AK$505,"○")&gt;0,1,0))</f>
        <v>0</v>
      </c>
      <c r="CD69" s="39" t="n">
        <f aca="false">IF(CD$4=0,0,IF(COUNTIFS(実績!$W$6:$W$505,CD$3,実績!$AI$6:$AI$505,"&lt;="&amp;$A69,実績!$AJ$6:$AJ$505,"&gt;"&amp;$A69,実績!$AK$6:$AK$505,"○")&gt;0,1,0))</f>
        <v>0</v>
      </c>
      <c r="CE69" s="39" t="n">
        <f aca="false">IF(CE$4=0,0,IF(COUNTIFS(実績!$W$6:$W$505,CE$3,実績!$AI$6:$AI$505,"&lt;="&amp;$A69,実績!$AJ$6:$AJ$505,"&gt;"&amp;$A69,実績!$AK$6:$AK$505,"○")&gt;0,1,0))</f>
        <v>0</v>
      </c>
      <c r="CF69" s="39" t="n">
        <f aca="false">IF(CF$4=0,0,IF(COUNTIFS(実績!$W$6:$W$505,CF$3,実績!$AI$6:$AI$505,"&lt;="&amp;$A69,実績!$AJ$6:$AJ$505,"&gt;"&amp;$A69,実績!$AK$6:$AK$505,"○")&gt;0,1,0))</f>
        <v>0</v>
      </c>
      <c r="CG69" s="39" t="n">
        <f aca="false">IF(CG$4=0,0,IF(COUNTIFS(実績!$W$6:$W$505,CG$3,実績!$AI$6:$AI$505,"&lt;="&amp;$A69,実績!$AJ$6:$AJ$505,"&gt;"&amp;$A69,実績!$AK$6:$AK$505,"○")&gt;0,1,0))</f>
        <v>0</v>
      </c>
      <c r="CH69" s="39" t="n">
        <f aca="false">IF(CH$4=0,0,IF(COUNTIFS(実績!$W$6:$W$505,CH$3,実績!$AI$6:$AI$505,"&lt;="&amp;$A69,実績!$AJ$6:$AJ$505,"&gt;"&amp;$A69,実績!$AK$6:$AK$505,"○")&gt;0,1,0))</f>
        <v>0</v>
      </c>
      <c r="CI69" s="39" t="n">
        <f aca="false">IF(CI$4=0,0,IF(COUNTIFS(実績!$W$6:$W$505,CI$3,実績!$AI$6:$AI$505,"&lt;="&amp;$A69,実績!$AJ$6:$AJ$505,"&gt;"&amp;$A69,実績!$AK$6:$AK$505,"○")&gt;0,1,0))</f>
        <v>0</v>
      </c>
      <c r="CJ69" s="39" t="n">
        <f aca="false">IF(CJ$4=0,0,IF(COUNTIFS(実績!$W$6:$W$505,CJ$3,実績!$AI$6:$AI$505,"&lt;="&amp;$A69,実績!$AJ$6:$AJ$505,"&gt;"&amp;$A69,実績!$AK$6:$AK$505,"○")&gt;0,1,0))</f>
        <v>0</v>
      </c>
      <c r="CK69" s="39" t="n">
        <f aca="false">IF(CK$4=0,0,IF(COUNTIFS(実績!$W$6:$W$505,CK$3,実績!$AI$6:$AI$505,"&lt;="&amp;$A69,実績!$AJ$6:$AJ$505,"&gt;"&amp;$A69,実績!$AK$6:$AK$505,"○")&gt;0,1,0))</f>
        <v>0</v>
      </c>
      <c r="CL69" s="39" t="n">
        <f aca="false">IF(CL$4=0,0,IF(COUNTIFS(実績!$W$6:$W$505,CL$3,実績!$AI$6:$AI$505,"&lt;="&amp;$A69,実績!$AJ$6:$AJ$505,"&gt;"&amp;$A69,実績!$AK$6:$AK$505,"○")&gt;0,1,0))</f>
        <v>0</v>
      </c>
      <c r="CM69" s="39" t="n">
        <f aca="false">IF(CM$4=0,0,IF(COUNTIFS(実績!$W$6:$W$505,CM$3,実績!$AI$6:$AI$505,"&lt;="&amp;$A69,実績!$AJ$6:$AJ$505,"&gt;"&amp;$A69,実績!$AK$6:$AK$505,"○")&gt;0,1,0))</f>
        <v>0</v>
      </c>
      <c r="CN69" s="39" t="n">
        <f aca="false">IF(CN$4=0,0,IF(COUNTIFS(実績!$W$6:$W$505,CN$3,実績!$AI$6:$AI$505,"&lt;="&amp;$A69,実績!$AJ$6:$AJ$505,"&gt;"&amp;$A69,実績!$AK$6:$AK$505,"○")&gt;0,1,0))</f>
        <v>0</v>
      </c>
      <c r="CO69" s="39" t="n">
        <f aca="false">IF(CO$4=0,0,IF(COUNTIFS(実績!$W$6:$W$505,CO$3,実績!$AI$6:$AI$505,"&lt;="&amp;$A69,実績!$AJ$6:$AJ$505,"&gt;"&amp;$A69,実績!$AK$6:$AK$505,"○")&gt;0,1,0))</f>
        <v>0</v>
      </c>
      <c r="CP69" s="39" t="n">
        <f aca="false">IF(CP$4=0,0,IF(COUNTIFS(実績!$W$6:$W$505,CP$3,実績!$AI$6:$AI$505,"&lt;="&amp;$A69,実績!$AJ$6:$AJ$505,"&gt;"&amp;$A69,実績!$AK$6:$AK$505,"○")&gt;0,1,0))</f>
        <v>0</v>
      </c>
      <c r="CQ69" s="39" t="n">
        <f aca="false">IF(CQ$4=0,0,IF(COUNTIFS(実績!$W$6:$W$505,CQ$3,実績!$AI$6:$AI$505,"&lt;="&amp;$A69,実績!$AJ$6:$AJ$505,"&gt;"&amp;$A69,実績!$AK$6:$AK$505,"○")&gt;0,1,0))</f>
        <v>0</v>
      </c>
      <c r="CR69" s="39" t="n">
        <f aca="false">IF(CR$4=0,0,IF(COUNTIFS(実績!$W$6:$W$505,CR$3,実績!$AI$6:$AI$505,"&lt;="&amp;$A69,実績!$AJ$6:$AJ$505,"&gt;"&amp;$A69,実績!$AK$6:$AK$505,"○")&gt;0,1,0))</f>
        <v>0</v>
      </c>
      <c r="CS69" s="39" t="n">
        <f aca="false">IF(CS$4=0,0,IF(COUNTIFS(実績!$W$6:$W$505,CS$3,実績!$AI$6:$AI$505,"&lt;="&amp;$A69,実績!$AJ$6:$AJ$505,"&gt;"&amp;$A69,実績!$AK$6:$AK$505,"○")&gt;0,1,0))</f>
        <v>0</v>
      </c>
      <c r="CT69" s="39" t="n">
        <f aca="false">IF(CT$4=0,0,IF(COUNTIFS(実績!$W$6:$W$505,CT$3,実績!$AI$6:$AI$505,"&lt;="&amp;$A69,実績!$AJ$6:$AJ$505,"&gt;"&amp;$A69,実績!$AK$6:$AK$505,"○")&gt;0,1,0))</f>
        <v>0</v>
      </c>
      <c r="CU69" s="39" t="n">
        <f aca="false">IF(CU$4=0,0,IF(COUNTIFS(実績!$W$6:$W$505,CU$3,実績!$AI$6:$AI$505,"&lt;="&amp;$A69,実績!$AJ$6:$AJ$505,"&gt;"&amp;$A69,実績!$AK$6:$AK$505,"○")&gt;0,1,0))</f>
        <v>0</v>
      </c>
      <c r="CV69" s="39" t="n">
        <f aca="false">IF(CV$4=0,0,IF(COUNTIFS(実績!$W$6:$W$505,CV$3,実績!$AI$6:$AI$505,"&lt;="&amp;$A69,実績!$AJ$6:$AJ$505,"&gt;"&amp;$A69,実績!$AK$6:$AK$505,"○")&gt;0,1,0))</f>
        <v>0</v>
      </c>
      <c r="CW69" s="39" t="n">
        <f aca="false">IF(CW$4=0,0,IF(COUNTIFS(実績!$W$6:$W$505,CW$3,実績!$AI$6:$AI$505,"&lt;="&amp;$A69,実績!$AJ$6:$AJ$505,"&gt;"&amp;$A69,実績!$AK$6:$AK$505,"○")&gt;0,1,0))</f>
        <v>0</v>
      </c>
      <c r="CX69" s="39" t="n">
        <f aca="false">IF(CX$4=0,0,IF(COUNTIFS(実績!$W$6:$W$505,CX$3,実績!$AI$6:$AI$505,"&lt;="&amp;$A69,実績!$AJ$6:$AJ$505,"&gt;"&amp;$A69,実績!$AK$6:$AK$505,"○")&gt;0,1,0))</f>
        <v>0</v>
      </c>
      <c r="CY69" s="39" t="n">
        <f aca="false">IF(CY$4=0,0,IF(COUNTIFS(実績!$W$6:$W$505,CY$3,実績!$AI$6:$AI$505,"&lt;="&amp;$A69,実績!$AJ$6:$AJ$505,"&gt;"&amp;$A69,実績!$AK$6:$AK$505,"○")&gt;0,1,0))</f>
        <v>0</v>
      </c>
      <c r="CZ69" s="39" t="n">
        <f aca="false">IF(CZ$4=0,0,IF(COUNTIFS(実績!$W$6:$W$505,CZ$3,実績!$AI$6:$AI$505,"&lt;="&amp;$A69,実績!$AJ$6:$AJ$505,"&gt;"&amp;$A69,実績!$AK$6:$AK$505,"○")&gt;0,1,0))</f>
        <v>0</v>
      </c>
      <c r="DA69" s="39" t="n">
        <f aca="false">IF(DA$4=0,0,IF(COUNTIFS(実績!$W$6:$W$505,DA$3,実績!$AI$6:$AI$505,"&lt;="&amp;$A69,実績!$AJ$6:$AJ$505,"&gt;"&amp;$A69,実績!$AK$6:$AK$505,"○")&gt;0,1,0))</f>
        <v>0</v>
      </c>
      <c r="DB69" s="39" t="n">
        <f aca="false">IF(DB$4=0,0,IF(COUNTIFS(実績!$W$6:$W$505,DB$3,実績!$AI$6:$AI$505,"&lt;="&amp;$A69,実績!$AJ$6:$AJ$505,"&gt;"&amp;$A69,実績!$AK$6:$AK$505,"○")&gt;0,1,0))</f>
        <v>0</v>
      </c>
      <c r="DC69" s="39" t="n">
        <f aca="false">IF(DC$4=0,0,IF(COUNTIFS(実績!$W$6:$W$505,DC$3,実績!$AI$6:$AI$505,"&lt;="&amp;$A69,実績!$AJ$6:$AJ$505,"&gt;"&amp;$A69,実績!$AK$6:$AK$505,"○")&gt;0,1,0))</f>
        <v>0</v>
      </c>
      <c r="DD69" s="39" t="n">
        <f aca="false">IF(DD$4=0,0,IF(COUNTIFS(実績!$W$6:$W$505,DD$3,実績!$AI$6:$AI$505,"&lt;="&amp;$A69,実績!$AJ$6:$AJ$505,"&gt;"&amp;$A69,実績!$AK$6:$AK$505,"○")&gt;0,1,0))</f>
        <v>0</v>
      </c>
      <c r="DE69" s="39" t="n">
        <f aca="false">IF(DE$4=0,0,IF(COUNTIFS(実績!$W$6:$W$505,DE$3,実績!$AI$6:$AI$505,"&lt;="&amp;$A69,実績!$AJ$6:$AJ$505,"&gt;"&amp;$A69,実績!$AK$6:$AK$505,"○")&gt;0,1,0))</f>
        <v>0</v>
      </c>
      <c r="DF69" s="39" t="n">
        <f aca="false">IF(DF$4=0,0,IF(COUNTIFS(実績!$W$6:$W$505,DF$3,実績!$AI$6:$AI$505,"&lt;="&amp;$A69,実績!$AJ$6:$AJ$505,"&gt;"&amp;$A69,実績!$AK$6:$AK$505,"○")&gt;0,1,0))</f>
        <v>0</v>
      </c>
      <c r="DG69" s="39" t="n">
        <f aca="false">IF(DG$4=0,0,IF(COUNTIFS(実績!$W$6:$W$505,DG$3,実績!$AI$6:$AI$505,"&lt;="&amp;$A69,実績!$AJ$6:$AJ$505,"&gt;"&amp;$A69,実績!$AK$6:$AK$505,"○")&gt;0,1,0))</f>
        <v>0</v>
      </c>
      <c r="DH69" s="39" t="n">
        <f aca="false">IF(DH$4=0,0,IF(COUNTIFS(実績!$W$6:$W$505,DH$3,実績!$AI$6:$AI$505,"&lt;="&amp;$A69,実績!$AJ$6:$AJ$505,"&gt;"&amp;$A69,実績!$AK$6:$AK$505,"○")&gt;0,1,0))</f>
        <v>0</v>
      </c>
      <c r="DI69" s="39" t="n">
        <f aca="false">IF(DI$4=0,0,IF(COUNTIFS(実績!$W$6:$W$505,DI$3,実績!$AI$6:$AI$505,"&lt;="&amp;$A69,実績!$AJ$6:$AJ$505,"&gt;"&amp;$A69,実績!$AK$6:$AK$505,"○")&gt;0,1,0))</f>
        <v>0</v>
      </c>
      <c r="DJ69" s="39" t="n">
        <f aca="false">IF(DJ$4=0,0,IF(COUNTIFS(実績!$W$6:$W$505,DJ$3,実績!$AI$6:$AI$505,"&lt;="&amp;$A69,実績!$AJ$6:$AJ$505,"&gt;"&amp;$A69,実績!$AK$6:$AK$505,"○")&gt;0,1,0))</f>
        <v>0</v>
      </c>
      <c r="DK69" s="39" t="n">
        <f aca="false">IF(DK$4=0,0,IF(COUNTIFS(実績!$W$6:$W$505,DK$3,実績!$AI$6:$AI$505,"&lt;="&amp;$A69,実績!$AJ$6:$AJ$505,"&gt;"&amp;$A69,実績!$AK$6:$AK$505,"○")&gt;0,1,0))</f>
        <v>0</v>
      </c>
      <c r="DL69" s="39" t="n">
        <f aca="false">IF(DL$4=0,0,IF(COUNTIFS(実績!$W$6:$W$505,DL$3,実績!$AI$6:$AI$505,"&lt;="&amp;$A69,実績!$AJ$6:$AJ$505,"&gt;"&amp;$A69,実績!$AK$6:$AK$505,"○")&gt;0,1,0))</f>
        <v>0</v>
      </c>
      <c r="DM69" s="39" t="n">
        <f aca="false">IF(DM$4=0,0,IF(COUNTIFS(実績!$W$6:$W$505,DM$3,実績!$AI$6:$AI$505,"&lt;="&amp;$A69,実績!$AJ$6:$AJ$505,"&gt;"&amp;$A69,実績!$AK$6:$AK$505,"○")&gt;0,1,0))</f>
        <v>0</v>
      </c>
      <c r="DN69" s="39" t="n">
        <f aca="false">IF(DN$4=0,0,IF(COUNTIFS(実績!$W$6:$W$505,DN$3,実績!$AI$6:$AI$505,"&lt;="&amp;$A69,実績!$AJ$6:$AJ$505,"&gt;"&amp;$A69,実績!$AK$6:$AK$505,"○")&gt;0,1,0))</f>
        <v>0</v>
      </c>
      <c r="DO69" s="39" t="n">
        <f aca="false">IF(DO$4=0,0,IF(COUNTIFS(実績!$W$6:$W$505,DO$3,実績!$AI$6:$AI$505,"&lt;="&amp;$A69,実績!$AJ$6:$AJ$505,"&gt;"&amp;$A69,実績!$AK$6:$AK$505,"○")&gt;0,1,0))</f>
        <v>0</v>
      </c>
      <c r="DP69" s="39" t="n">
        <f aca="false">IF(DP$4=0,0,IF(COUNTIFS(実績!$W$6:$W$505,DP$3,実績!$AI$6:$AI$505,"&lt;="&amp;$A69,実績!$AJ$6:$AJ$505,"&gt;"&amp;$A69,実績!$AK$6:$AK$505,"○")&gt;0,1,0))</f>
        <v>0</v>
      </c>
      <c r="DQ69" s="39" t="n">
        <f aca="false">IF(DQ$4=0,0,IF(COUNTIFS(実績!$W$6:$W$505,DQ$3,実績!$AI$6:$AI$505,"&lt;="&amp;$A69,実績!$AJ$6:$AJ$505,"&gt;"&amp;$A69,実績!$AK$6:$AK$505,"○")&gt;0,1,0))</f>
        <v>0</v>
      </c>
      <c r="DR69" s="39" t="n">
        <f aca="false">IF(DR$4=0,0,IF(COUNTIFS(実績!$W$6:$W$505,DR$3,実績!$AI$6:$AI$505,"&lt;="&amp;$A69,実績!$AJ$6:$AJ$505,"&gt;"&amp;$A69,実績!$AK$6:$AK$505,"○")&gt;0,1,0))</f>
        <v>0</v>
      </c>
      <c r="DS69" s="39" t="n">
        <f aca="false">SUM(C69:DR69)</f>
        <v>0</v>
      </c>
      <c r="DT69" s="39" t="n">
        <f aca="false">SUMPRODUCT((実績!$C$6:$C$505="○")*ISNUMBER(実績!$AM$6:$AM$505)*(実績!$AM$6:$AM$505&lt;=$A69)*(実績!$AN$6:$AN$505&gt;$A69))</f>
        <v>0</v>
      </c>
      <c r="DU69" s="39" t="n">
        <f aca="false">SUMIF($C$2:$DR$2,"製鉄曳船",C69:DR69)</f>
        <v>0</v>
      </c>
      <c r="DV69" s="39" t="n">
        <f aca="false">SUMIF($C$2:$DR$2,"西日本海運",C69:DR69)</f>
        <v>0</v>
      </c>
    </row>
    <row r="70" customFormat="false" ht="15" hidden="false" customHeight="false" outlineLevel="0" collapsed="false">
      <c r="A70" s="0" t="n">
        <v>320</v>
      </c>
      <c r="B70" s="38" t="n">
        <f aca="false">A70/1440</f>
        <v>0.222222222222222</v>
      </c>
      <c r="C70" s="39" t="n">
        <f aca="false">IF(C$4=0,0,IF(COUNTIFS(実績!$W$6:$W$505,C$3,実績!$AI$6:$AI$505,"&lt;="&amp;$A70,実績!$AJ$6:$AJ$505,"&gt;"&amp;$A70,実績!$AK$6:$AK$505,"○")&gt;0,1,0))</f>
        <v>0</v>
      </c>
      <c r="D70" s="39" t="n">
        <f aca="false">IF(D$4=0,0,IF(COUNTIFS(実績!$W$6:$W$505,D$3,実績!$AI$6:$AI$505,"&lt;="&amp;$A70,実績!$AJ$6:$AJ$505,"&gt;"&amp;$A70,実績!$AK$6:$AK$505,"○")&gt;0,1,0))</f>
        <v>0</v>
      </c>
      <c r="E70" s="39" t="n">
        <f aca="false">IF(E$4=0,0,IF(COUNTIFS(実績!$W$6:$W$505,E$3,実績!$AI$6:$AI$505,"&lt;="&amp;$A70,実績!$AJ$6:$AJ$505,"&gt;"&amp;$A70,実績!$AK$6:$AK$505,"○")&gt;0,1,0))</f>
        <v>0</v>
      </c>
      <c r="F70" s="39" t="n">
        <f aca="false">IF(F$4=0,0,IF(COUNTIFS(実績!$W$6:$W$505,F$3,実績!$AI$6:$AI$505,"&lt;="&amp;$A70,実績!$AJ$6:$AJ$505,"&gt;"&amp;$A70,実績!$AK$6:$AK$505,"○")&gt;0,1,0))</f>
        <v>0</v>
      </c>
      <c r="G70" s="39" t="n">
        <f aca="false">IF(G$4=0,0,IF(COUNTIFS(実績!$W$6:$W$505,G$3,実績!$AI$6:$AI$505,"&lt;="&amp;$A70,実績!$AJ$6:$AJ$505,"&gt;"&amp;$A70,実績!$AK$6:$AK$505,"○")&gt;0,1,0))</f>
        <v>0</v>
      </c>
      <c r="H70" s="39" t="n">
        <f aca="false">IF(H$4=0,0,IF(COUNTIFS(実績!$W$6:$W$505,H$3,実績!$AI$6:$AI$505,"&lt;="&amp;$A70,実績!$AJ$6:$AJ$505,"&gt;"&amp;$A70,実績!$AK$6:$AK$505,"○")&gt;0,1,0))</f>
        <v>0</v>
      </c>
      <c r="I70" s="39" t="n">
        <f aca="false">IF(I$4=0,0,IF(COUNTIFS(実績!$W$6:$W$505,I$3,実績!$AI$6:$AI$505,"&lt;="&amp;$A70,実績!$AJ$6:$AJ$505,"&gt;"&amp;$A70,実績!$AK$6:$AK$505,"○")&gt;0,1,0))</f>
        <v>0</v>
      </c>
      <c r="J70" s="39" t="n">
        <f aca="false">IF(J$4=0,0,IF(COUNTIFS(実績!$W$6:$W$505,J$3,実績!$AI$6:$AI$505,"&lt;="&amp;$A70,実績!$AJ$6:$AJ$505,"&gt;"&amp;$A70,実績!$AK$6:$AK$505,"○")&gt;0,1,0))</f>
        <v>0</v>
      </c>
      <c r="K70" s="39" t="n">
        <f aca="false">IF(K$4=0,0,IF(COUNTIFS(実績!$W$6:$W$505,K$3,実績!$AI$6:$AI$505,"&lt;="&amp;$A70,実績!$AJ$6:$AJ$505,"&gt;"&amp;$A70,実績!$AK$6:$AK$505,"○")&gt;0,1,0))</f>
        <v>0</v>
      </c>
      <c r="L70" s="39" t="n">
        <f aca="false">IF(L$4=0,0,IF(COUNTIFS(実績!$W$6:$W$505,L$3,実績!$AI$6:$AI$505,"&lt;="&amp;$A70,実績!$AJ$6:$AJ$505,"&gt;"&amp;$A70,実績!$AK$6:$AK$505,"○")&gt;0,1,0))</f>
        <v>0</v>
      </c>
      <c r="M70" s="39" t="n">
        <f aca="false">IF(M$4=0,0,IF(COUNTIFS(実績!$W$6:$W$505,M$3,実績!$AI$6:$AI$505,"&lt;="&amp;$A70,実績!$AJ$6:$AJ$505,"&gt;"&amp;$A70,実績!$AK$6:$AK$505,"○")&gt;0,1,0))</f>
        <v>0</v>
      </c>
      <c r="N70" s="39" t="n">
        <f aca="false">IF(N$4=0,0,IF(COUNTIFS(実績!$W$6:$W$505,N$3,実績!$AI$6:$AI$505,"&lt;="&amp;$A70,実績!$AJ$6:$AJ$505,"&gt;"&amp;$A70,実績!$AK$6:$AK$505,"○")&gt;0,1,0))</f>
        <v>0</v>
      </c>
      <c r="O70" s="39" t="n">
        <f aca="false">IF(O$4=0,0,IF(COUNTIFS(実績!$W$6:$W$505,O$3,実績!$AI$6:$AI$505,"&lt;="&amp;$A70,実績!$AJ$6:$AJ$505,"&gt;"&amp;$A70,実績!$AK$6:$AK$505,"○")&gt;0,1,0))</f>
        <v>0</v>
      </c>
      <c r="P70" s="39" t="n">
        <f aca="false">IF(P$4=0,0,IF(COUNTIFS(実績!$W$6:$W$505,P$3,実績!$AI$6:$AI$505,"&lt;="&amp;$A70,実績!$AJ$6:$AJ$505,"&gt;"&amp;$A70,実績!$AK$6:$AK$505,"○")&gt;0,1,0))</f>
        <v>0</v>
      </c>
      <c r="Q70" s="39" t="n">
        <f aca="false">IF(Q$4=0,0,IF(COUNTIFS(実績!$W$6:$W$505,Q$3,実績!$AI$6:$AI$505,"&lt;="&amp;$A70,実績!$AJ$6:$AJ$505,"&gt;"&amp;$A70,実績!$AK$6:$AK$505,"○")&gt;0,1,0))</f>
        <v>0</v>
      </c>
      <c r="R70" s="39" t="n">
        <f aca="false">IF(R$4=0,0,IF(COUNTIFS(実績!$W$6:$W$505,R$3,実績!$AI$6:$AI$505,"&lt;="&amp;$A70,実績!$AJ$6:$AJ$505,"&gt;"&amp;$A70,実績!$AK$6:$AK$505,"○")&gt;0,1,0))</f>
        <v>0</v>
      </c>
      <c r="S70" s="39" t="n">
        <f aca="false">IF(S$4=0,0,IF(COUNTIFS(実績!$W$6:$W$505,S$3,実績!$AI$6:$AI$505,"&lt;="&amp;$A70,実績!$AJ$6:$AJ$505,"&gt;"&amp;$A70,実績!$AK$6:$AK$505,"○")&gt;0,1,0))</f>
        <v>0</v>
      </c>
      <c r="T70" s="39" t="n">
        <f aca="false">IF(T$4=0,0,IF(COUNTIFS(実績!$W$6:$W$505,T$3,実績!$AI$6:$AI$505,"&lt;="&amp;$A70,実績!$AJ$6:$AJ$505,"&gt;"&amp;$A70,実績!$AK$6:$AK$505,"○")&gt;0,1,0))</f>
        <v>0</v>
      </c>
      <c r="U70" s="39" t="n">
        <f aca="false">IF(U$4=0,0,IF(COUNTIFS(実績!$W$6:$W$505,U$3,実績!$AI$6:$AI$505,"&lt;="&amp;$A70,実績!$AJ$6:$AJ$505,"&gt;"&amp;$A70,実績!$AK$6:$AK$505,"○")&gt;0,1,0))</f>
        <v>0</v>
      </c>
      <c r="V70" s="39" t="n">
        <f aca="false">IF(V$4=0,0,IF(COUNTIFS(実績!$W$6:$W$505,V$3,実績!$AI$6:$AI$505,"&lt;="&amp;$A70,実績!$AJ$6:$AJ$505,"&gt;"&amp;$A70,実績!$AK$6:$AK$505,"○")&gt;0,1,0))</f>
        <v>0</v>
      </c>
      <c r="W70" s="39" t="n">
        <f aca="false">IF(W$4=0,0,IF(COUNTIFS(実績!$W$6:$W$505,W$3,実績!$AI$6:$AI$505,"&lt;="&amp;$A70,実績!$AJ$6:$AJ$505,"&gt;"&amp;$A70,実績!$AK$6:$AK$505,"○")&gt;0,1,0))</f>
        <v>0</v>
      </c>
      <c r="X70" s="39" t="n">
        <f aca="false">IF(X$4=0,0,IF(COUNTIFS(実績!$W$6:$W$505,X$3,実績!$AI$6:$AI$505,"&lt;="&amp;$A70,実績!$AJ$6:$AJ$505,"&gt;"&amp;$A70,実績!$AK$6:$AK$505,"○")&gt;0,1,0))</f>
        <v>0</v>
      </c>
      <c r="Y70" s="39" t="n">
        <f aca="false">IF(Y$4=0,0,IF(COUNTIFS(実績!$W$6:$W$505,Y$3,実績!$AI$6:$AI$505,"&lt;="&amp;$A70,実績!$AJ$6:$AJ$505,"&gt;"&amp;$A70,実績!$AK$6:$AK$505,"○")&gt;0,1,0))</f>
        <v>0</v>
      </c>
      <c r="Z70" s="39" t="n">
        <f aca="false">IF(Z$4=0,0,IF(COUNTIFS(実績!$W$6:$W$505,Z$3,実績!$AI$6:$AI$505,"&lt;="&amp;$A70,実績!$AJ$6:$AJ$505,"&gt;"&amp;$A70,実績!$AK$6:$AK$505,"○")&gt;0,1,0))</f>
        <v>0</v>
      </c>
      <c r="AA70" s="39" t="n">
        <f aca="false">IF(AA$4=0,0,IF(COUNTIFS(実績!$W$6:$W$505,AA$3,実績!$AI$6:$AI$505,"&lt;="&amp;$A70,実績!$AJ$6:$AJ$505,"&gt;"&amp;$A70,実績!$AK$6:$AK$505,"○")&gt;0,1,0))</f>
        <v>0</v>
      </c>
      <c r="AB70" s="39" t="n">
        <f aca="false">IF(AB$4=0,0,IF(COUNTIFS(実績!$W$6:$W$505,AB$3,実績!$AI$6:$AI$505,"&lt;="&amp;$A70,実績!$AJ$6:$AJ$505,"&gt;"&amp;$A70,実績!$AK$6:$AK$505,"○")&gt;0,1,0))</f>
        <v>0</v>
      </c>
      <c r="AC70" s="39" t="n">
        <f aca="false">IF(AC$4=0,0,IF(COUNTIFS(実績!$W$6:$W$505,AC$3,実績!$AI$6:$AI$505,"&lt;="&amp;$A70,実績!$AJ$6:$AJ$505,"&gt;"&amp;$A70,実績!$AK$6:$AK$505,"○")&gt;0,1,0))</f>
        <v>0</v>
      </c>
      <c r="AD70" s="39" t="n">
        <f aca="false">IF(AD$4=0,0,IF(COUNTIFS(実績!$W$6:$W$505,AD$3,実績!$AI$6:$AI$505,"&lt;="&amp;$A70,実績!$AJ$6:$AJ$505,"&gt;"&amp;$A70,実績!$AK$6:$AK$505,"○")&gt;0,1,0))</f>
        <v>0</v>
      </c>
      <c r="AE70" s="39" t="n">
        <f aca="false">IF(AE$4=0,0,IF(COUNTIFS(実績!$W$6:$W$505,AE$3,実績!$AI$6:$AI$505,"&lt;="&amp;$A70,実績!$AJ$6:$AJ$505,"&gt;"&amp;$A70,実績!$AK$6:$AK$505,"○")&gt;0,1,0))</f>
        <v>0</v>
      </c>
      <c r="AF70" s="39" t="n">
        <f aca="false">IF(AF$4=0,0,IF(COUNTIFS(実績!$W$6:$W$505,AF$3,実績!$AI$6:$AI$505,"&lt;="&amp;$A70,実績!$AJ$6:$AJ$505,"&gt;"&amp;$A70,実績!$AK$6:$AK$505,"○")&gt;0,1,0))</f>
        <v>0</v>
      </c>
      <c r="AG70" s="39" t="n">
        <f aca="false">IF(AG$4=0,0,IF(COUNTIFS(実績!$W$6:$W$505,AG$3,実績!$AI$6:$AI$505,"&lt;="&amp;$A70,実績!$AJ$6:$AJ$505,"&gt;"&amp;$A70,実績!$AK$6:$AK$505,"○")&gt;0,1,0))</f>
        <v>0</v>
      </c>
      <c r="AH70" s="39" t="n">
        <f aca="false">IF(AH$4=0,0,IF(COUNTIFS(実績!$W$6:$W$505,AH$3,実績!$AI$6:$AI$505,"&lt;="&amp;$A70,実績!$AJ$6:$AJ$505,"&gt;"&amp;$A70,実績!$AK$6:$AK$505,"○")&gt;0,1,0))</f>
        <v>0</v>
      </c>
      <c r="AI70" s="39" t="n">
        <f aca="false">IF(AI$4=0,0,IF(COUNTIFS(実績!$W$6:$W$505,AI$3,実績!$AI$6:$AI$505,"&lt;="&amp;$A70,実績!$AJ$6:$AJ$505,"&gt;"&amp;$A70,実績!$AK$6:$AK$505,"○")&gt;0,1,0))</f>
        <v>0</v>
      </c>
      <c r="AJ70" s="39" t="n">
        <f aca="false">IF(AJ$4=0,0,IF(COUNTIFS(実績!$W$6:$W$505,AJ$3,実績!$AI$6:$AI$505,"&lt;="&amp;$A70,実績!$AJ$6:$AJ$505,"&gt;"&amp;$A70,実績!$AK$6:$AK$505,"○")&gt;0,1,0))</f>
        <v>0</v>
      </c>
      <c r="AK70" s="39" t="n">
        <f aca="false">IF(AK$4=0,0,IF(COUNTIFS(実績!$W$6:$W$505,AK$3,実績!$AI$6:$AI$505,"&lt;="&amp;$A70,実績!$AJ$6:$AJ$505,"&gt;"&amp;$A70,実績!$AK$6:$AK$505,"○")&gt;0,1,0))</f>
        <v>0</v>
      </c>
      <c r="AL70" s="39" t="n">
        <f aca="false">IF(AL$4=0,0,IF(COUNTIFS(実績!$W$6:$W$505,AL$3,実績!$AI$6:$AI$505,"&lt;="&amp;$A70,実績!$AJ$6:$AJ$505,"&gt;"&amp;$A70,実績!$AK$6:$AK$505,"○")&gt;0,1,0))</f>
        <v>0</v>
      </c>
      <c r="AM70" s="39" t="n">
        <f aca="false">IF(AM$4=0,0,IF(COUNTIFS(実績!$W$6:$W$505,AM$3,実績!$AI$6:$AI$505,"&lt;="&amp;$A70,実績!$AJ$6:$AJ$505,"&gt;"&amp;$A70,実績!$AK$6:$AK$505,"○")&gt;0,1,0))</f>
        <v>0</v>
      </c>
      <c r="AN70" s="39" t="n">
        <f aca="false">IF(AN$4=0,0,IF(COUNTIFS(実績!$W$6:$W$505,AN$3,実績!$AI$6:$AI$505,"&lt;="&amp;$A70,実績!$AJ$6:$AJ$505,"&gt;"&amp;$A70,実績!$AK$6:$AK$505,"○")&gt;0,1,0))</f>
        <v>0</v>
      </c>
      <c r="AO70" s="39" t="n">
        <f aca="false">IF(AO$4=0,0,IF(COUNTIFS(実績!$W$6:$W$505,AO$3,実績!$AI$6:$AI$505,"&lt;="&amp;$A70,実績!$AJ$6:$AJ$505,"&gt;"&amp;$A70,実績!$AK$6:$AK$505,"○")&gt;0,1,0))</f>
        <v>0</v>
      </c>
      <c r="AP70" s="39" t="n">
        <f aca="false">IF(AP$4=0,0,IF(COUNTIFS(実績!$W$6:$W$505,AP$3,実績!$AI$6:$AI$505,"&lt;="&amp;$A70,実績!$AJ$6:$AJ$505,"&gt;"&amp;$A70,実績!$AK$6:$AK$505,"○")&gt;0,1,0))</f>
        <v>0</v>
      </c>
      <c r="AQ70" s="39" t="n">
        <f aca="false">IF(AQ$4=0,0,IF(COUNTIFS(実績!$W$6:$W$505,AQ$3,実績!$AI$6:$AI$505,"&lt;="&amp;$A70,実績!$AJ$6:$AJ$505,"&gt;"&amp;$A70,実績!$AK$6:$AK$505,"○")&gt;0,1,0))</f>
        <v>0</v>
      </c>
      <c r="AR70" s="39" t="n">
        <f aca="false">IF(AR$4=0,0,IF(COUNTIFS(実績!$W$6:$W$505,AR$3,実績!$AI$6:$AI$505,"&lt;="&amp;$A70,実績!$AJ$6:$AJ$505,"&gt;"&amp;$A70,実績!$AK$6:$AK$505,"○")&gt;0,1,0))</f>
        <v>0</v>
      </c>
      <c r="AS70" s="39" t="n">
        <f aca="false">IF(AS$4=0,0,IF(COUNTIFS(実績!$W$6:$W$505,AS$3,実績!$AI$6:$AI$505,"&lt;="&amp;$A70,実績!$AJ$6:$AJ$505,"&gt;"&amp;$A70,実績!$AK$6:$AK$505,"○")&gt;0,1,0))</f>
        <v>0</v>
      </c>
      <c r="AT70" s="39" t="n">
        <f aca="false">IF(AT$4=0,0,IF(COUNTIFS(実績!$W$6:$W$505,AT$3,実績!$AI$6:$AI$505,"&lt;="&amp;$A70,実績!$AJ$6:$AJ$505,"&gt;"&amp;$A70,実績!$AK$6:$AK$505,"○")&gt;0,1,0))</f>
        <v>0</v>
      </c>
      <c r="AU70" s="39" t="n">
        <f aca="false">IF(AU$4=0,0,IF(COUNTIFS(実績!$W$6:$W$505,AU$3,実績!$AI$6:$AI$505,"&lt;="&amp;$A70,実績!$AJ$6:$AJ$505,"&gt;"&amp;$A70,実績!$AK$6:$AK$505,"○")&gt;0,1,0))</f>
        <v>0</v>
      </c>
      <c r="AV70" s="39" t="n">
        <f aca="false">IF(AV$4=0,0,IF(COUNTIFS(実績!$W$6:$W$505,AV$3,実績!$AI$6:$AI$505,"&lt;="&amp;$A70,実績!$AJ$6:$AJ$505,"&gt;"&amp;$A70,実績!$AK$6:$AK$505,"○")&gt;0,1,0))</f>
        <v>0</v>
      </c>
      <c r="AW70" s="39" t="n">
        <f aca="false">IF(AW$4=0,0,IF(COUNTIFS(実績!$W$6:$W$505,AW$3,実績!$AI$6:$AI$505,"&lt;="&amp;$A70,実績!$AJ$6:$AJ$505,"&gt;"&amp;$A70,実績!$AK$6:$AK$505,"○")&gt;0,1,0))</f>
        <v>0</v>
      </c>
      <c r="AX70" s="39" t="n">
        <f aca="false">IF(AX$4=0,0,IF(COUNTIFS(実績!$W$6:$W$505,AX$3,実績!$AI$6:$AI$505,"&lt;="&amp;$A70,実績!$AJ$6:$AJ$505,"&gt;"&amp;$A70,実績!$AK$6:$AK$505,"○")&gt;0,1,0))</f>
        <v>0</v>
      </c>
      <c r="AY70" s="39" t="n">
        <f aca="false">IF(AY$4=0,0,IF(COUNTIFS(実績!$W$6:$W$505,AY$3,実績!$AI$6:$AI$505,"&lt;="&amp;$A70,実績!$AJ$6:$AJ$505,"&gt;"&amp;$A70,実績!$AK$6:$AK$505,"○")&gt;0,1,0))</f>
        <v>0</v>
      </c>
      <c r="AZ70" s="39" t="n">
        <f aca="false">IF(AZ$4=0,0,IF(COUNTIFS(実績!$W$6:$W$505,AZ$3,実績!$AI$6:$AI$505,"&lt;="&amp;$A70,実績!$AJ$6:$AJ$505,"&gt;"&amp;$A70,実績!$AK$6:$AK$505,"○")&gt;0,1,0))</f>
        <v>0</v>
      </c>
      <c r="BA70" s="39" t="n">
        <f aca="false">IF(BA$4=0,0,IF(COUNTIFS(実績!$W$6:$W$505,BA$3,実績!$AI$6:$AI$505,"&lt;="&amp;$A70,実績!$AJ$6:$AJ$505,"&gt;"&amp;$A70,実績!$AK$6:$AK$505,"○")&gt;0,1,0))</f>
        <v>0</v>
      </c>
      <c r="BB70" s="39" t="n">
        <f aca="false">IF(BB$4=0,0,IF(COUNTIFS(実績!$W$6:$W$505,BB$3,実績!$AI$6:$AI$505,"&lt;="&amp;$A70,実績!$AJ$6:$AJ$505,"&gt;"&amp;$A70,実績!$AK$6:$AK$505,"○")&gt;0,1,0))</f>
        <v>0</v>
      </c>
      <c r="BC70" s="39" t="n">
        <f aca="false">IF(BC$4=0,0,IF(COUNTIFS(実績!$W$6:$W$505,BC$3,実績!$AI$6:$AI$505,"&lt;="&amp;$A70,実績!$AJ$6:$AJ$505,"&gt;"&amp;$A70,実績!$AK$6:$AK$505,"○")&gt;0,1,0))</f>
        <v>0</v>
      </c>
      <c r="BD70" s="39" t="n">
        <f aca="false">IF(BD$4=0,0,IF(COUNTIFS(実績!$W$6:$W$505,BD$3,実績!$AI$6:$AI$505,"&lt;="&amp;$A70,実績!$AJ$6:$AJ$505,"&gt;"&amp;$A70,実績!$AK$6:$AK$505,"○")&gt;0,1,0))</f>
        <v>0</v>
      </c>
      <c r="BE70" s="39" t="n">
        <f aca="false">IF(BE$4=0,0,IF(COUNTIFS(実績!$W$6:$W$505,BE$3,実績!$AI$6:$AI$505,"&lt;="&amp;$A70,実績!$AJ$6:$AJ$505,"&gt;"&amp;$A70,実績!$AK$6:$AK$505,"○")&gt;0,1,0))</f>
        <v>0</v>
      </c>
      <c r="BF70" s="39" t="n">
        <f aca="false">IF(BF$4=0,0,IF(COUNTIFS(実績!$W$6:$W$505,BF$3,実績!$AI$6:$AI$505,"&lt;="&amp;$A70,実績!$AJ$6:$AJ$505,"&gt;"&amp;$A70,実績!$AK$6:$AK$505,"○")&gt;0,1,0))</f>
        <v>0</v>
      </c>
      <c r="BG70" s="39" t="n">
        <f aca="false">IF(BG$4=0,0,IF(COUNTIFS(実績!$W$6:$W$505,BG$3,実績!$AI$6:$AI$505,"&lt;="&amp;$A70,実績!$AJ$6:$AJ$505,"&gt;"&amp;$A70,実績!$AK$6:$AK$505,"○")&gt;0,1,0))</f>
        <v>0</v>
      </c>
      <c r="BH70" s="39" t="n">
        <f aca="false">IF(BH$4=0,0,IF(COUNTIFS(実績!$W$6:$W$505,BH$3,実績!$AI$6:$AI$505,"&lt;="&amp;$A70,実績!$AJ$6:$AJ$505,"&gt;"&amp;$A70,実績!$AK$6:$AK$505,"○")&gt;0,1,0))</f>
        <v>0</v>
      </c>
      <c r="BI70" s="39" t="n">
        <f aca="false">IF(BI$4=0,0,IF(COUNTIFS(実績!$W$6:$W$505,BI$3,実績!$AI$6:$AI$505,"&lt;="&amp;$A70,実績!$AJ$6:$AJ$505,"&gt;"&amp;$A70,実績!$AK$6:$AK$505,"○")&gt;0,1,0))</f>
        <v>0</v>
      </c>
      <c r="BJ70" s="39" t="n">
        <f aca="false">IF(BJ$4=0,0,IF(COUNTIFS(実績!$W$6:$W$505,BJ$3,実績!$AI$6:$AI$505,"&lt;="&amp;$A70,実績!$AJ$6:$AJ$505,"&gt;"&amp;$A70,実績!$AK$6:$AK$505,"○")&gt;0,1,0))</f>
        <v>0</v>
      </c>
      <c r="BK70" s="39" t="n">
        <f aca="false">IF(BK$4=0,0,IF(COUNTIFS(実績!$W$6:$W$505,BK$3,実績!$AI$6:$AI$505,"&lt;="&amp;$A70,実績!$AJ$6:$AJ$505,"&gt;"&amp;$A70,実績!$AK$6:$AK$505,"○")&gt;0,1,0))</f>
        <v>0</v>
      </c>
      <c r="BL70" s="39" t="n">
        <f aca="false">IF(BL$4=0,0,IF(COUNTIFS(実績!$W$6:$W$505,BL$3,実績!$AI$6:$AI$505,"&lt;="&amp;$A70,実績!$AJ$6:$AJ$505,"&gt;"&amp;$A70,実績!$AK$6:$AK$505,"○")&gt;0,1,0))</f>
        <v>0</v>
      </c>
      <c r="BM70" s="39" t="n">
        <f aca="false">IF(BM$4=0,0,IF(COUNTIFS(実績!$W$6:$W$505,BM$3,実績!$AI$6:$AI$505,"&lt;="&amp;$A70,実績!$AJ$6:$AJ$505,"&gt;"&amp;$A70,実績!$AK$6:$AK$505,"○")&gt;0,1,0))</f>
        <v>0</v>
      </c>
      <c r="BN70" s="39" t="n">
        <f aca="false">IF(BN$4=0,0,IF(COUNTIFS(実績!$W$6:$W$505,BN$3,実績!$AI$6:$AI$505,"&lt;="&amp;$A70,実績!$AJ$6:$AJ$505,"&gt;"&amp;$A70,実績!$AK$6:$AK$505,"○")&gt;0,1,0))</f>
        <v>0</v>
      </c>
      <c r="BO70" s="39" t="n">
        <f aca="false">IF(BO$4=0,0,IF(COUNTIFS(実績!$W$6:$W$505,BO$3,実績!$AI$6:$AI$505,"&lt;="&amp;$A70,実績!$AJ$6:$AJ$505,"&gt;"&amp;$A70,実績!$AK$6:$AK$505,"○")&gt;0,1,0))</f>
        <v>0</v>
      </c>
      <c r="BP70" s="39" t="n">
        <f aca="false">IF(BP$4=0,0,IF(COUNTIFS(実績!$W$6:$W$505,BP$3,実績!$AI$6:$AI$505,"&lt;="&amp;$A70,実績!$AJ$6:$AJ$505,"&gt;"&amp;$A70,実績!$AK$6:$AK$505,"○")&gt;0,1,0))</f>
        <v>0</v>
      </c>
      <c r="BQ70" s="39" t="n">
        <f aca="false">IF(BQ$4=0,0,IF(COUNTIFS(実績!$W$6:$W$505,BQ$3,実績!$AI$6:$AI$505,"&lt;="&amp;$A70,実績!$AJ$6:$AJ$505,"&gt;"&amp;$A70,実績!$AK$6:$AK$505,"○")&gt;0,1,0))</f>
        <v>0</v>
      </c>
      <c r="BR70" s="39" t="n">
        <f aca="false">IF(BR$4=0,0,IF(COUNTIFS(実績!$W$6:$W$505,BR$3,実績!$AI$6:$AI$505,"&lt;="&amp;$A70,実績!$AJ$6:$AJ$505,"&gt;"&amp;$A70,実績!$AK$6:$AK$505,"○")&gt;0,1,0))</f>
        <v>0</v>
      </c>
      <c r="BS70" s="39" t="n">
        <f aca="false">IF(BS$4=0,0,IF(COUNTIFS(実績!$W$6:$W$505,BS$3,実績!$AI$6:$AI$505,"&lt;="&amp;$A70,実績!$AJ$6:$AJ$505,"&gt;"&amp;$A70,実績!$AK$6:$AK$505,"○")&gt;0,1,0))</f>
        <v>0</v>
      </c>
      <c r="BT70" s="39" t="n">
        <f aca="false">IF(BT$4=0,0,IF(COUNTIFS(実績!$W$6:$W$505,BT$3,実績!$AI$6:$AI$505,"&lt;="&amp;$A70,実績!$AJ$6:$AJ$505,"&gt;"&amp;$A70,実績!$AK$6:$AK$505,"○")&gt;0,1,0))</f>
        <v>0</v>
      </c>
      <c r="BU70" s="39" t="n">
        <f aca="false">IF(BU$4=0,0,IF(COUNTIFS(実績!$W$6:$W$505,BU$3,実績!$AI$6:$AI$505,"&lt;="&amp;$A70,実績!$AJ$6:$AJ$505,"&gt;"&amp;$A70,実績!$AK$6:$AK$505,"○")&gt;0,1,0))</f>
        <v>0</v>
      </c>
      <c r="BV70" s="39" t="n">
        <f aca="false">IF(BV$4=0,0,IF(COUNTIFS(実績!$W$6:$W$505,BV$3,実績!$AI$6:$AI$505,"&lt;="&amp;$A70,実績!$AJ$6:$AJ$505,"&gt;"&amp;$A70,実績!$AK$6:$AK$505,"○")&gt;0,1,0))</f>
        <v>0</v>
      </c>
      <c r="BW70" s="39" t="n">
        <f aca="false">IF(BW$4=0,0,IF(COUNTIFS(実績!$W$6:$W$505,BW$3,実績!$AI$6:$AI$505,"&lt;="&amp;$A70,実績!$AJ$6:$AJ$505,"&gt;"&amp;$A70,実績!$AK$6:$AK$505,"○")&gt;0,1,0))</f>
        <v>0</v>
      </c>
      <c r="BX70" s="39" t="n">
        <f aca="false">IF(BX$4=0,0,IF(COUNTIFS(実績!$W$6:$W$505,BX$3,実績!$AI$6:$AI$505,"&lt;="&amp;$A70,実績!$AJ$6:$AJ$505,"&gt;"&amp;$A70,実績!$AK$6:$AK$505,"○")&gt;0,1,0))</f>
        <v>0</v>
      </c>
      <c r="BY70" s="39" t="n">
        <f aca="false">IF(BY$4=0,0,IF(COUNTIFS(実績!$W$6:$W$505,BY$3,実績!$AI$6:$AI$505,"&lt;="&amp;$A70,実績!$AJ$6:$AJ$505,"&gt;"&amp;$A70,実績!$AK$6:$AK$505,"○")&gt;0,1,0))</f>
        <v>0</v>
      </c>
      <c r="BZ70" s="39" t="n">
        <f aca="false">IF(BZ$4=0,0,IF(COUNTIFS(実績!$W$6:$W$505,BZ$3,実績!$AI$6:$AI$505,"&lt;="&amp;$A70,実績!$AJ$6:$AJ$505,"&gt;"&amp;$A70,実績!$AK$6:$AK$505,"○")&gt;0,1,0))</f>
        <v>0</v>
      </c>
      <c r="CA70" s="39" t="n">
        <f aca="false">IF(CA$4=0,0,IF(COUNTIFS(実績!$W$6:$W$505,CA$3,実績!$AI$6:$AI$505,"&lt;="&amp;$A70,実績!$AJ$6:$AJ$505,"&gt;"&amp;$A70,実績!$AK$6:$AK$505,"○")&gt;0,1,0))</f>
        <v>0</v>
      </c>
      <c r="CB70" s="39" t="n">
        <f aca="false">IF(CB$4=0,0,IF(COUNTIFS(実績!$W$6:$W$505,CB$3,実績!$AI$6:$AI$505,"&lt;="&amp;$A70,実績!$AJ$6:$AJ$505,"&gt;"&amp;$A70,実績!$AK$6:$AK$505,"○")&gt;0,1,0))</f>
        <v>0</v>
      </c>
      <c r="CC70" s="39" t="n">
        <f aca="false">IF(CC$4=0,0,IF(COUNTIFS(実績!$W$6:$W$505,CC$3,実績!$AI$6:$AI$505,"&lt;="&amp;$A70,実績!$AJ$6:$AJ$505,"&gt;"&amp;$A70,実績!$AK$6:$AK$505,"○")&gt;0,1,0))</f>
        <v>0</v>
      </c>
      <c r="CD70" s="39" t="n">
        <f aca="false">IF(CD$4=0,0,IF(COUNTIFS(実績!$W$6:$W$505,CD$3,実績!$AI$6:$AI$505,"&lt;="&amp;$A70,実績!$AJ$6:$AJ$505,"&gt;"&amp;$A70,実績!$AK$6:$AK$505,"○")&gt;0,1,0))</f>
        <v>0</v>
      </c>
      <c r="CE70" s="39" t="n">
        <f aca="false">IF(CE$4=0,0,IF(COUNTIFS(実績!$W$6:$W$505,CE$3,実績!$AI$6:$AI$505,"&lt;="&amp;$A70,実績!$AJ$6:$AJ$505,"&gt;"&amp;$A70,実績!$AK$6:$AK$505,"○")&gt;0,1,0))</f>
        <v>0</v>
      </c>
      <c r="CF70" s="39" t="n">
        <f aca="false">IF(CF$4=0,0,IF(COUNTIFS(実績!$W$6:$W$505,CF$3,実績!$AI$6:$AI$505,"&lt;="&amp;$A70,実績!$AJ$6:$AJ$505,"&gt;"&amp;$A70,実績!$AK$6:$AK$505,"○")&gt;0,1,0))</f>
        <v>0</v>
      </c>
      <c r="CG70" s="39" t="n">
        <f aca="false">IF(CG$4=0,0,IF(COUNTIFS(実績!$W$6:$W$505,CG$3,実績!$AI$6:$AI$505,"&lt;="&amp;$A70,実績!$AJ$6:$AJ$505,"&gt;"&amp;$A70,実績!$AK$6:$AK$505,"○")&gt;0,1,0))</f>
        <v>0</v>
      </c>
      <c r="CH70" s="39" t="n">
        <f aca="false">IF(CH$4=0,0,IF(COUNTIFS(実績!$W$6:$W$505,CH$3,実績!$AI$6:$AI$505,"&lt;="&amp;$A70,実績!$AJ$6:$AJ$505,"&gt;"&amp;$A70,実績!$AK$6:$AK$505,"○")&gt;0,1,0))</f>
        <v>0</v>
      </c>
      <c r="CI70" s="39" t="n">
        <f aca="false">IF(CI$4=0,0,IF(COUNTIFS(実績!$W$6:$W$505,CI$3,実績!$AI$6:$AI$505,"&lt;="&amp;$A70,実績!$AJ$6:$AJ$505,"&gt;"&amp;$A70,実績!$AK$6:$AK$505,"○")&gt;0,1,0))</f>
        <v>0</v>
      </c>
      <c r="CJ70" s="39" t="n">
        <f aca="false">IF(CJ$4=0,0,IF(COUNTIFS(実績!$W$6:$W$505,CJ$3,実績!$AI$6:$AI$505,"&lt;="&amp;$A70,実績!$AJ$6:$AJ$505,"&gt;"&amp;$A70,実績!$AK$6:$AK$505,"○")&gt;0,1,0))</f>
        <v>0</v>
      </c>
      <c r="CK70" s="39" t="n">
        <f aca="false">IF(CK$4=0,0,IF(COUNTIFS(実績!$W$6:$W$505,CK$3,実績!$AI$6:$AI$505,"&lt;="&amp;$A70,実績!$AJ$6:$AJ$505,"&gt;"&amp;$A70,実績!$AK$6:$AK$505,"○")&gt;0,1,0))</f>
        <v>0</v>
      </c>
      <c r="CL70" s="39" t="n">
        <f aca="false">IF(CL$4=0,0,IF(COUNTIFS(実績!$W$6:$W$505,CL$3,実績!$AI$6:$AI$505,"&lt;="&amp;$A70,実績!$AJ$6:$AJ$505,"&gt;"&amp;$A70,実績!$AK$6:$AK$505,"○")&gt;0,1,0))</f>
        <v>0</v>
      </c>
      <c r="CM70" s="39" t="n">
        <f aca="false">IF(CM$4=0,0,IF(COUNTIFS(実績!$W$6:$W$505,CM$3,実績!$AI$6:$AI$505,"&lt;="&amp;$A70,実績!$AJ$6:$AJ$505,"&gt;"&amp;$A70,実績!$AK$6:$AK$505,"○")&gt;0,1,0))</f>
        <v>0</v>
      </c>
      <c r="CN70" s="39" t="n">
        <f aca="false">IF(CN$4=0,0,IF(COUNTIFS(実績!$W$6:$W$505,CN$3,実績!$AI$6:$AI$505,"&lt;="&amp;$A70,実績!$AJ$6:$AJ$505,"&gt;"&amp;$A70,実績!$AK$6:$AK$505,"○")&gt;0,1,0))</f>
        <v>0</v>
      </c>
      <c r="CO70" s="39" t="n">
        <f aca="false">IF(CO$4=0,0,IF(COUNTIFS(実績!$W$6:$W$505,CO$3,実績!$AI$6:$AI$505,"&lt;="&amp;$A70,実績!$AJ$6:$AJ$505,"&gt;"&amp;$A70,実績!$AK$6:$AK$505,"○")&gt;0,1,0))</f>
        <v>0</v>
      </c>
      <c r="CP70" s="39" t="n">
        <f aca="false">IF(CP$4=0,0,IF(COUNTIFS(実績!$W$6:$W$505,CP$3,実績!$AI$6:$AI$505,"&lt;="&amp;$A70,実績!$AJ$6:$AJ$505,"&gt;"&amp;$A70,実績!$AK$6:$AK$505,"○")&gt;0,1,0))</f>
        <v>0</v>
      </c>
      <c r="CQ70" s="39" t="n">
        <f aca="false">IF(CQ$4=0,0,IF(COUNTIFS(実績!$W$6:$W$505,CQ$3,実績!$AI$6:$AI$505,"&lt;="&amp;$A70,実績!$AJ$6:$AJ$505,"&gt;"&amp;$A70,実績!$AK$6:$AK$505,"○")&gt;0,1,0))</f>
        <v>0</v>
      </c>
      <c r="CR70" s="39" t="n">
        <f aca="false">IF(CR$4=0,0,IF(COUNTIFS(実績!$W$6:$W$505,CR$3,実績!$AI$6:$AI$505,"&lt;="&amp;$A70,実績!$AJ$6:$AJ$505,"&gt;"&amp;$A70,実績!$AK$6:$AK$505,"○")&gt;0,1,0))</f>
        <v>0</v>
      </c>
      <c r="CS70" s="39" t="n">
        <f aca="false">IF(CS$4=0,0,IF(COUNTIFS(実績!$W$6:$W$505,CS$3,実績!$AI$6:$AI$505,"&lt;="&amp;$A70,実績!$AJ$6:$AJ$505,"&gt;"&amp;$A70,実績!$AK$6:$AK$505,"○")&gt;0,1,0))</f>
        <v>0</v>
      </c>
      <c r="CT70" s="39" t="n">
        <f aca="false">IF(CT$4=0,0,IF(COUNTIFS(実績!$W$6:$W$505,CT$3,実績!$AI$6:$AI$505,"&lt;="&amp;$A70,実績!$AJ$6:$AJ$505,"&gt;"&amp;$A70,実績!$AK$6:$AK$505,"○")&gt;0,1,0))</f>
        <v>0</v>
      </c>
      <c r="CU70" s="39" t="n">
        <f aca="false">IF(CU$4=0,0,IF(COUNTIFS(実績!$W$6:$W$505,CU$3,実績!$AI$6:$AI$505,"&lt;="&amp;$A70,実績!$AJ$6:$AJ$505,"&gt;"&amp;$A70,実績!$AK$6:$AK$505,"○")&gt;0,1,0))</f>
        <v>0</v>
      </c>
      <c r="CV70" s="39" t="n">
        <f aca="false">IF(CV$4=0,0,IF(COUNTIFS(実績!$W$6:$W$505,CV$3,実績!$AI$6:$AI$505,"&lt;="&amp;$A70,実績!$AJ$6:$AJ$505,"&gt;"&amp;$A70,実績!$AK$6:$AK$505,"○")&gt;0,1,0))</f>
        <v>0</v>
      </c>
      <c r="CW70" s="39" t="n">
        <f aca="false">IF(CW$4=0,0,IF(COUNTIFS(実績!$W$6:$W$505,CW$3,実績!$AI$6:$AI$505,"&lt;="&amp;$A70,実績!$AJ$6:$AJ$505,"&gt;"&amp;$A70,実績!$AK$6:$AK$505,"○")&gt;0,1,0))</f>
        <v>0</v>
      </c>
      <c r="CX70" s="39" t="n">
        <f aca="false">IF(CX$4=0,0,IF(COUNTIFS(実績!$W$6:$W$505,CX$3,実績!$AI$6:$AI$505,"&lt;="&amp;$A70,実績!$AJ$6:$AJ$505,"&gt;"&amp;$A70,実績!$AK$6:$AK$505,"○")&gt;0,1,0))</f>
        <v>0</v>
      </c>
      <c r="CY70" s="39" t="n">
        <f aca="false">IF(CY$4=0,0,IF(COUNTIFS(実績!$W$6:$W$505,CY$3,実績!$AI$6:$AI$505,"&lt;="&amp;$A70,実績!$AJ$6:$AJ$505,"&gt;"&amp;$A70,実績!$AK$6:$AK$505,"○")&gt;0,1,0))</f>
        <v>0</v>
      </c>
      <c r="CZ70" s="39" t="n">
        <f aca="false">IF(CZ$4=0,0,IF(COUNTIFS(実績!$W$6:$W$505,CZ$3,実績!$AI$6:$AI$505,"&lt;="&amp;$A70,実績!$AJ$6:$AJ$505,"&gt;"&amp;$A70,実績!$AK$6:$AK$505,"○")&gt;0,1,0))</f>
        <v>0</v>
      </c>
      <c r="DA70" s="39" t="n">
        <f aca="false">IF(DA$4=0,0,IF(COUNTIFS(実績!$W$6:$W$505,DA$3,実績!$AI$6:$AI$505,"&lt;="&amp;$A70,実績!$AJ$6:$AJ$505,"&gt;"&amp;$A70,実績!$AK$6:$AK$505,"○")&gt;0,1,0))</f>
        <v>0</v>
      </c>
      <c r="DB70" s="39" t="n">
        <f aca="false">IF(DB$4=0,0,IF(COUNTIFS(実績!$W$6:$W$505,DB$3,実績!$AI$6:$AI$505,"&lt;="&amp;$A70,実績!$AJ$6:$AJ$505,"&gt;"&amp;$A70,実績!$AK$6:$AK$505,"○")&gt;0,1,0))</f>
        <v>0</v>
      </c>
      <c r="DC70" s="39" t="n">
        <f aca="false">IF(DC$4=0,0,IF(COUNTIFS(実績!$W$6:$W$505,DC$3,実績!$AI$6:$AI$505,"&lt;="&amp;$A70,実績!$AJ$6:$AJ$505,"&gt;"&amp;$A70,実績!$AK$6:$AK$505,"○")&gt;0,1,0))</f>
        <v>0</v>
      </c>
      <c r="DD70" s="39" t="n">
        <f aca="false">IF(DD$4=0,0,IF(COUNTIFS(実績!$W$6:$W$505,DD$3,実績!$AI$6:$AI$505,"&lt;="&amp;$A70,実績!$AJ$6:$AJ$505,"&gt;"&amp;$A70,実績!$AK$6:$AK$505,"○")&gt;0,1,0))</f>
        <v>0</v>
      </c>
      <c r="DE70" s="39" t="n">
        <f aca="false">IF(DE$4=0,0,IF(COUNTIFS(実績!$W$6:$W$505,DE$3,実績!$AI$6:$AI$505,"&lt;="&amp;$A70,実績!$AJ$6:$AJ$505,"&gt;"&amp;$A70,実績!$AK$6:$AK$505,"○")&gt;0,1,0))</f>
        <v>0</v>
      </c>
      <c r="DF70" s="39" t="n">
        <f aca="false">IF(DF$4=0,0,IF(COUNTIFS(実績!$W$6:$W$505,DF$3,実績!$AI$6:$AI$505,"&lt;="&amp;$A70,実績!$AJ$6:$AJ$505,"&gt;"&amp;$A70,実績!$AK$6:$AK$505,"○")&gt;0,1,0))</f>
        <v>0</v>
      </c>
      <c r="DG70" s="39" t="n">
        <f aca="false">IF(DG$4=0,0,IF(COUNTIFS(実績!$W$6:$W$505,DG$3,実績!$AI$6:$AI$505,"&lt;="&amp;$A70,実績!$AJ$6:$AJ$505,"&gt;"&amp;$A70,実績!$AK$6:$AK$505,"○")&gt;0,1,0))</f>
        <v>0</v>
      </c>
      <c r="DH70" s="39" t="n">
        <f aca="false">IF(DH$4=0,0,IF(COUNTIFS(実績!$W$6:$W$505,DH$3,実績!$AI$6:$AI$505,"&lt;="&amp;$A70,実績!$AJ$6:$AJ$505,"&gt;"&amp;$A70,実績!$AK$6:$AK$505,"○")&gt;0,1,0))</f>
        <v>0</v>
      </c>
      <c r="DI70" s="39" t="n">
        <f aca="false">IF(DI$4=0,0,IF(COUNTIFS(実績!$W$6:$W$505,DI$3,実績!$AI$6:$AI$505,"&lt;="&amp;$A70,実績!$AJ$6:$AJ$505,"&gt;"&amp;$A70,実績!$AK$6:$AK$505,"○")&gt;0,1,0))</f>
        <v>0</v>
      </c>
      <c r="DJ70" s="39" t="n">
        <f aca="false">IF(DJ$4=0,0,IF(COUNTIFS(実績!$W$6:$W$505,DJ$3,実績!$AI$6:$AI$505,"&lt;="&amp;$A70,実績!$AJ$6:$AJ$505,"&gt;"&amp;$A70,実績!$AK$6:$AK$505,"○")&gt;0,1,0))</f>
        <v>0</v>
      </c>
      <c r="DK70" s="39" t="n">
        <f aca="false">IF(DK$4=0,0,IF(COUNTIFS(実績!$W$6:$W$505,DK$3,実績!$AI$6:$AI$505,"&lt;="&amp;$A70,実績!$AJ$6:$AJ$505,"&gt;"&amp;$A70,実績!$AK$6:$AK$505,"○")&gt;0,1,0))</f>
        <v>0</v>
      </c>
      <c r="DL70" s="39" t="n">
        <f aca="false">IF(DL$4=0,0,IF(COUNTIFS(実績!$W$6:$W$505,DL$3,実績!$AI$6:$AI$505,"&lt;="&amp;$A70,実績!$AJ$6:$AJ$505,"&gt;"&amp;$A70,実績!$AK$6:$AK$505,"○")&gt;0,1,0))</f>
        <v>0</v>
      </c>
      <c r="DM70" s="39" t="n">
        <f aca="false">IF(DM$4=0,0,IF(COUNTIFS(実績!$W$6:$W$505,DM$3,実績!$AI$6:$AI$505,"&lt;="&amp;$A70,実績!$AJ$6:$AJ$505,"&gt;"&amp;$A70,実績!$AK$6:$AK$505,"○")&gt;0,1,0))</f>
        <v>0</v>
      </c>
      <c r="DN70" s="39" t="n">
        <f aca="false">IF(DN$4=0,0,IF(COUNTIFS(実績!$W$6:$W$505,DN$3,実績!$AI$6:$AI$505,"&lt;="&amp;$A70,実績!$AJ$6:$AJ$505,"&gt;"&amp;$A70,実績!$AK$6:$AK$505,"○")&gt;0,1,0))</f>
        <v>0</v>
      </c>
      <c r="DO70" s="39" t="n">
        <f aca="false">IF(DO$4=0,0,IF(COUNTIFS(実績!$W$6:$W$505,DO$3,実績!$AI$6:$AI$505,"&lt;="&amp;$A70,実績!$AJ$6:$AJ$505,"&gt;"&amp;$A70,実績!$AK$6:$AK$505,"○")&gt;0,1,0))</f>
        <v>0</v>
      </c>
      <c r="DP70" s="39" t="n">
        <f aca="false">IF(DP$4=0,0,IF(COUNTIFS(実績!$W$6:$W$505,DP$3,実績!$AI$6:$AI$505,"&lt;="&amp;$A70,実績!$AJ$6:$AJ$505,"&gt;"&amp;$A70,実績!$AK$6:$AK$505,"○")&gt;0,1,0))</f>
        <v>0</v>
      </c>
      <c r="DQ70" s="39" t="n">
        <f aca="false">IF(DQ$4=0,0,IF(COUNTIFS(実績!$W$6:$W$505,DQ$3,実績!$AI$6:$AI$505,"&lt;="&amp;$A70,実績!$AJ$6:$AJ$505,"&gt;"&amp;$A70,実績!$AK$6:$AK$505,"○")&gt;0,1,0))</f>
        <v>0</v>
      </c>
      <c r="DR70" s="39" t="n">
        <f aca="false">IF(DR$4=0,0,IF(COUNTIFS(実績!$W$6:$W$505,DR$3,実績!$AI$6:$AI$505,"&lt;="&amp;$A70,実績!$AJ$6:$AJ$505,"&gt;"&amp;$A70,実績!$AK$6:$AK$505,"○")&gt;0,1,0))</f>
        <v>0</v>
      </c>
      <c r="DS70" s="39" t="n">
        <f aca="false">SUM(C70:DR70)</f>
        <v>0</v>
      </c>
      <c r="DT70" s="39" t="n">
        <f aca="false">SUMPRODUCT((実績!$C$6:$C$505="○")*ISNUMBER(実績!$AM$6:$AM$505)*(実績!$AM$6:$AM$505&lt;=$A70)*(実績!$AN$6:$AN$505&gt;$A70))</f>
        <v>0</v>
      </c>
      <c r="DU70" s="39" t="n">
        <f aca="false">SUMIF($C$2:$DR$2,"製鉄曳船",C70:DR70)</f>
        <v>0</v>
      </c>
      <c r="DV70" s="39" t="n">
        <f aca="false">SUMIF($C$2:$DR$2,"西日本海運",C70:DR70)</f>
        <v>0</v>
      </c>
    </row>
    <row r="71" customFormat="false" ht="15" hidden="false" customHeight="false" outlineLevel="0" collapsed="false">
      <c r="A71" s="0" t="n">
        <v>325</v>
      </c>
      <c r="B71" s="38" t="n">
        <f aca="false">A71/1440</f>
        <v>0.225694444444444</v>
      </c>
      <c r="C71" s="39" t="n">
        <f aca="false">IF(C$4=0,0,IF(COUNTIFS(実績!$W$6:$W$505,C$3,実績!$AI$6:$AI$505,"&lt;="&amp;$A71,実績!$AJ$6:$AJ$505,"&gt;"&amp;$A71,実績!$AK$6:$AK$505,"○")&gt;0,1,0))</f>
        <v>0</v>
      </c>
      <c r="D71" s="39" t="n">
        <f aca="false">IF(D$4=0,0,IF(COUNTIFS(実績!$W$6:$W$505,D$3,実績!$AI$6:$AI$505,"&lt;="&amp;$A71,実績!$AJ$6:$AJ$505,"&gt;"&amp;$A71,実績!$AK$6:$AK$505,"○")&gt;0,1,0))</f>
        <v>0</v>
      </c>
      <c r="E71" s="39" t="n">
        <f aca="false">IF(E$4=0,0,IF(COUNTIFS(実績!$W$6:$W$505,E$3,実績!$AI$6:$AI$505,"&lt;="&amp;$A71,実績!$AJ$6:$AJ$505,"&gt;"&amp;$A71,実績!$AK$6:$AK$505,"○")&gt;0,1,0))</f>
        <v>0</v>
      </c>
      <c r="F71" s="39" t="n">
        <f aca="false">IF(F$4=0,0,IF(COUNTIFS(実績!$W$6:$W$505,F$3,実績!$AI$6:$AI$505,"&lt;="&amp;$A71,実績!$AJ$6:$AJ$505,"&gt;"&amp;$A71,実績!$AK$6:$AK$505,"○")&gt;0,1,0))</f>
        <v>0</v>
      </c>
      <c r="G71" s="39" t="n">
        <f aca="false">IF(G$4=0,0,IF(COUNTIFS(実績!$W$6:$W$505,G$3,実績!$AI$6:$AI$505,"&lt;="&amp;$A71,実績!$AJ$6:$AJ$505,"&gt;"&amp;$A71,実績!$AK$6:$AK$505,"○")&gt;0,1,0))</f>
        <v>0</v>
      </c>
      <c r="H71" s="39" t="n">
        <f aca="false">IF(H$4=0,0,IF(COUNTIFS(実績!$W$6:$W$505,H$3,実績!$AI$6:$AI$505,"&lt;="&amp;$A71,実績!$AJ$6:$AJ$505,"&gt;"&amp;$A71,実績!$AK$6:$AK$505,"○")&gt;0,1,0))</f>
        <v>0</v>
      </c>
      <c r="I71" s="39" t="n">
        <f aca="false">IF(I$4=0,0,IF(COUNTIFS(実績!$W$6:$W$505,I$3,実績!$AI$6:$AI$505,"&lt;="&amp;$A71,実績!$AJ$6:$AJ$505,"&gt;"&amp;$A71,実績!$AK$6:$AK$505,"○")&gt;0,1,0))</f>
        <v>0</v>
      </c>
      <c r="J71" s="39" t="n">
        <f aca="false">IF(J$4=0,0,IF(COUNTIFS(実績!$W$6:$W$505,J$3,実績!$AI$6:$AI$505,"&lt;="&amp;$A71,実績!$AJ$6:$AJ$505,"&gt;"&amp;$A71,実績!$AK$6:$AK$505,"○")&gt;0,1,0))</f>
        <v>0</v>
      </c>
      <c r="K71" s="39" t="n">
        <f aca="false">IF(K$4=0,0,IF(COUNTIFS(実績!$W$6:$W$505,K$3,実績!$AI$6:$AI$505,"&lt;="&amp;$A71,実績!$AJ$6:$AJ$505,"&gt;"&amp;$A71,実績!$AK$6:$AK$505,"○")&gt;0,1,0))</f>
        <v>0</v>
      </c>
      <c r="L71" s="39" t="n">
        <f aca="false">IF(L$4=0,0,IF(COUNTIFS(実績!$W$6:$W$505,L$3,実績!$AI$6:$AI$505,"&lt;="&amp;$A71,実績!$AJ$6:$AJ$505,"&gt;"&amp;$A71,実績!$AK$6:$AK$505,"○")&gt;0,1,0))</f>
        <v>0</v>
      </c>
      <c r="M71" s="39" t="n">
        <f aca="false">IF(M$4=0,0,IF(COUNTIFS(実績!$W$6:$W$505,M$3,実績!$AI$6:$AI$505,"&lt;="&amp;$A71,実績!$AJ$6:$AJ$505,"&gt;"&amp;$A71,実績!$AK$6:$AK$505,"○")&gt;0,1,0))</f>
        <v>0</v>
      </c>
      <c r="N71" s="39" t="n">
        <f aca="false">IF(N$4=0,0,IF(COUNTIFS(実績!$W$6:$W$505,N$3,実績!$AI$6:$AI$505,"&lt;="&amp;$A71,実績!$AJ$6:$AJ$505,"&gt;"&amp;$A71,実績!$AK$6:$AK$505,"○")&gt;0,1,0))</f>
        <v>0</v>
      </c>
      <c r="O71" s="39" t="n">
        <f aca="false">IF(O$4=0,0,IF(COUNTIFS(実績!$W$6:$W$505,O$3,実績!$AI$6:$AI$505,"&lt;="&amp;$A71,実績!$AJ$6:$AJ$505,"&gt;"&amp;$A71,実績!$AK$6:$AK$505,"○")&gt;0,1,0))</f>
        <v>0</v>
      </c>
      <c r="P71" s="39" t="n">
        <f aca="false">IF(P$4=0,0,IF(COUNTIFS(実績!$W$6:$W$505,P$3,実績!$AI$6:$AI$505,"&lt;="&amp;$A71,実績!$AJ$6:$AJ$505,"&gt;"&amp;$A71,実績!$AK$6:$AK$505,"○")&gt;0,1,0))</f>
        <v>0</v>
      </c>
      <c r="Q71" s="39" t="n">
        <f aca="false">IF(Q$4=0,0,IF(COUNTIFS(実績!$W$6:$W$505,Q$3,実績!$AI$6:$AI$505,"&lt;="&amp;$A71,実績!$AJ$6:$AJ$505,"&gt;"&amp;$A71,実績!$AK$6:$AK$505,"○")&gt;0,1,0))</f>
        <v>0</v>
      </c>
      <c r="R71" s="39" t="n">
        <f aca="false">IF(R$4=0,0,IF(COUNTIFS(実績!$W$6:$W$505,R$3,実績!$AI$6:$AI$505,"&lt;="&amp;$A71,実績!$AJ$6:$AJ$505,"&gt;"&amp;$A71,実績!$AK$6:$AK$505,"○")&gt;0,1,0))</f>
        <v>0</v>
      </c>
      <c r="S71" s="39" t="n">
        <f aca="false">IF(S$4=0,0,IF(COUNTIFS(実績!$W$6:$W$505,S$3,実績!$AI$6:$AI$505,"&lt;="&amp;$A71,実績!$AJ$6:$AJ$505,"&gt;"&amp;$A71,実績!$AK$6:$AK$505,"○")&gt;0,1,0))</f>
        <v>0</v>
      </c>
      <c r="T71" s="39" t="n">
        <f aca="false">IF(T$4=0,0,IF(COUNTIFS(実績!$W$6:$W$505,T$3,実績!$AI$6:$AI$505,"&lt;="&amp;$A71,実績!$AJ$6:$AJ$505,"&gt;"&amp;$A71,実績!$AK$6:$AK$505,"○")&gt;0,1,0))</f>
        <v>0</v>
      </c>
      <c r="U71" s="39" t="n">
        <f aca="false">IF(U$4=0,0,IF(COUNTIFS(実績!$W$6:$W$505,U$3,実績!$AI$6:$AI$505,"&lt;="&amp;$A71,実績!$AJ$6:$AJ$505,"&gt;"&amp;$A71,実績!$AK$6:$AK$505,"○")&gt;0,1,0))</f>
        <v>0</v>
      </c>
      <c r="V71" s="39" t="n">
        <f aca="false">IF(V$4=0,0,IF(COUNTIFS(実績!$W$6:$W$505,V$3,実績!$AI$6:$AI$505,"&lt;="&amp;$A71,実績!$AJ$6:$AJ$505,"&gt;"&amp;$A71,実績!$AK$6:$AK$505,"○")&gt;0,1,0))</f>
        <v>0</v>
      </c>
      <c r="W71" s="39" t="n">
        <f aca="false">IF(W$4=0,0,IF(COUNTIFS(実績!$W$6:$W$505,W$3,実績!$AI$6:$AI$505,"&lt;="&amp;$A71,実績!$AJ$6:$AJ$505,"&gt;"&amp;$A71,実績!$AK$6:$AK$505,"○")&gt;0,1,0))</f>
        <v>0</v>
      </c>
      <c r="X71" s="39" t="n">
        <f aca="false">IF(X$4=0,0,IF(COUNTIFS(実績!$W$6:$W$505,X$3,実績!$AI$6:$AI$505,"&lt;="&amp;$A71,実績!$AJ$6:$AJ$505,"&gt;"&amp;$A71,実績!$AK$6:$AK$505,"○")&gt;0,1,0))</f>
        <v>0</v>
      </c>
      <c r="Y71" s="39" t="n">
        <f aca="false">IF(Y$4=0,0,IF(COUNTIFS(実績!$W$6:$W$505,Y$3,実績!$AI$6:$AI$505,"&lt;="&amp;$A71,実績!$AJ$6:$AJ$505,"&gt;"&amp;$A71,実績!$AK$6:$AK$505,"○")&gt;0,1,0))</f>
        <v>0</v>
      </c>
      <c r="Z71" s="39" t="n">
        <f aca="false">IF(Z$4=0,0,IF(COUNTIFS(実績!$W$6:$W$505,Z$3,実績!$AI$6:$AI$505,"&lt;="&amp;$A71,実績!$AJ$6:$AJ$505,"&gt;"&amp;$A71,実績!$AK$6:$AK$505,"○")&gt;0,1,0))</f>
        <v>0</v>
      </c>
      <c r="AA71" s="39" t="n">
        <f aca="false">IF(AA$4=0,0,IF(COUNTIFS(実績!$W$6:$W$505,AA$3,実績!$AI$6:$AI$505,"&lt;="&amp;$A71,実績!$AJ$6:$AJ$505,"&gt;"&amp;$A71,実績!$AK$6:$AK$505,"○")&gt;0,1,0))</f>
        <v>0</v>
      </c>
      <c r="AB71" s="39" t="n">
        <f aca="false">IF(AB$4=0,0,IF(COUNTIFS(実績!$W$6:$W$505,AB$3,実績!$AI$6:$AI$505,"&lt;="&amp;$A71,実績!$AJ$6:$AJ$505,"&gt;"&amp;$A71,実績!$AK$6:$AK$505,"○")&gt;0,1,0))</f>
        <v>0</v>
      </c>
      <c r="AC71" s="39" t="n">
        <f aca="false">IF(AC$4=0,0,IF(COUNTIFS(実績!$W$6:$W$505,AC$3,実績!$AI$6:$AI$505,"&lt;="&amp;$A71,実績!$AJ$6:$AJ$505,"&gt;"&amp;$A71,実績!$AK$6:$AK$505,"○")&gt;0,1,0))</f>
        <v>0</v>
      </c>
      <c r="AD71" s="39" t="n">
        <f aca="false">IF(AD$4=0,0,IF(COUNTIFS(実績!$W$6:$W$505,AD$3,実績!$AI$6:$AI$505,"&lt;="&amp;$A71,実績!$AJ$6:$AJ$505,"&gt;"&amp;$A71,実績!$AK$6:$AK$505,"○")&gt;0,1,0))</f>
        <v>0</v>
      </c>
      <c r="AE71" s="39" t="n">
        <f aca="false">IF(AE$4=0,0,IF(COUNTIFS(実績!$W$6:$W$505,AE$3,実績!$AI$6:$AI$505,"&lt;="&amp;$A71,実績!$AJ$6:$AJ$505,"&gt;"&amp;$A71,実績!$AK$6:$AK$505,"○")&gt;0,1,0))</f>
        <v>0</v>
      </c>
      <c r="AF71" s="39" t="n">
        <f aca="false">IF(AF$4=0,0,IF(COUNTIFS(実績!$W$6:$W$505,AF$3,実績!$AI$6:$AI$505,"&lt;="&amp;$A71,実績!$AJ$6:$AJ$505,"&gt;"&amp;$A71,実績!$AK$6:$AK$505,"○")&gt;0,1,0))</f>
        <v>0</v>
      </c>
      <c r="AG71" s="39" t="n">
        <f aca="false">IF(AG$4=0,0,IF(COUNTIFS(実績!$W$6:$W$505,AG$3,実績!$AI$6:$AI$505,"&lt;="&amp;$A71,実績!$AJ$6:$AJ$505,"&gt;"&amp;$A71,実績!$AK$6:$AK$505,"○")&gt;0,1,0))</f>
        <v>0</v>
      </c>
      <c r="AH71" s="39" t="n">
        <f aca="false">IF(AH$4=0,0,IF(COUNTIFS(実績!$W$6:$W$505,AH$3,実績!$AI$6:$AI$505,"&lt;="&amp;$A71,実績!$AJ$6:$AJ$505,"&gt;"&amp;$A71,実績!$AK$6:$AK$505,"○")&gt;0,1,0))</f>
        <v>0</v>
      </c>
      <c r="AI71" s="39" t="n">
        <f aca="false">IF(AI$4=0,0,IF(COUNTIFS(実績!$W$6:$W$505,AI$3,実績!$AI$6:$AI$505,"&lt;="&amp;$A71,実績!$AJ$6:$AJ$505,"&gt;"&amp;$A71,実績!$AK$6:$AK$505,"○")&gt;0,1,0))</f>
        <v>0</v>
      </c>
      <c r="AJ71" s="39" t="n">
        <f aca="false">IF(AJ$4=0,0,IF(COUNTIFS(実績!$W$6:$W$505,AJ$3,実績!$AI$6:$AI$505,"&lt;="&amp;$A71,実績!$AJ$6:$AJ$505,"&gt;"&amp;$A71,実績!$AK$6:$AK$505,"○")&gt;0,1,0))</f>
        <v>0</v>
      </c>
      <c r="AK71" s="39" t="n">
        <f aca="false">IF(AK$4=0,0,IF(COUNTIFS(実績!$W$6:$W$505,AK$3,実績!$AI$6:$AI$505,"&lt;="&amp;$A71,実績!$AJ$6:$AJ$505,"&gt;"&amp;$A71,実績!$AK$6:$AK$505,"○")&gt;0,1,0))</f>
        <v>0</v>
      </c>
      <c r="AL71" s="39" t="n">
        <f aca="false">IF(AL$4=0,0,IF(COUNTIFS(実績!$W$6:$W$505,AL$3,実績!$AI$6:$AI$505,"&lt;="&amp;$A71,実績!$AJ$6:$AJ$505,"&gt;"&amp;$A71,実績!$AK$6:$AK$505,"○")&gt;0,1,0))</f>
        <v>0</v>
      </c>
      <c r="AM71" s="39" t="n">
        <f aca="false">IF(AM$4=0,0,IF(COUNTIFS(実績!$W$6:$W$505,AM$3,実績!$AI$6:$AI$505,"&lt;="&amp;$A71,実績!$AJ$6:$AJ$505,"&gt;"&amp;$A71,実績!$AK$6:$AK$505,"○")&gt;0,1,0))</f>
        <v>0</v>
      </c>
      <c r="AN71" s="39" t="n">
        <f aca="false">IF(AN$4=0,0,IF(COUNTIFS(実績!$W$6:$W$505,AN$3,実績!$AI$6:$AI$505,"&lt;="&amp;$A71,実績!$AJ$6:$AJ$505,"&gt;"&amp;$A71,実績!$AK$6:$AK$505,"○")&gt;0,1,0))</f>
        <v>0</v>
      </c>
      <c r="AO71" s="39" t="n">
        <f aca="false">IF(AO$4=0,0,IF(COUNTIFS(実績!$W$6:$W$505,AO$3,実績!$AI$6:$AI$505,"&lt;="&amp;$A71,実績!$AJ$6:$AJ$505,"&gt;"&amp;$A71,実績!$AK$6:$AK$505,"○")&gt;0,1,0))</f>
        <v>0</v>
      </c>
      <c r="AP71" s="39" t="n">
        <f aca="false">IF(AP$4=0,0,IF(COUNTIFS(実績!$W$6:$W$505,AP$3,実績!$AI$6:$AI$505,"&lt;="&amp;$A71,実績!$AJ$6:$AJ$505,"&gt;"&amp;$A71,実績!$AK$6:$AK$505,"○")&gt;0,1,0))</f>
        <v>0</v>
      </c>
      <c r="AQ71" s="39" t="n">
        <f aca="false">IF(AQ$4=0,0,IF(COUNTIFS(実績!$W$6:$W$505,AQ$3,実績!$AI$6:$AI$505,"&lt;="&amp;$A71,実績!$AJ$6:$AJ$505,"&gt;"&amp;$A71,実績!$AK$6:$AK$505,"○")&gt;0,1,0))</f>
        <v>0</v>
      </c>
      <c r="AR71" s="39" t="n">
        <f aca="false">IF(AR$4=0,0,IF(COUNTIFS(実績!$W$6:$W$505,AR$3,実績!$AI$6:$AI$505,"&lt;="&amp;$A71,実績!$AJ$6:$AJ$505,"&gt;"&amp;$A71,実績!$AK$6:$AK$505,"○")&gt;0,1,0))</f>
        <v>0</v>
      </c>
      <c r="AS71" s="39" t="n">
        <f aca="false">IF(AS$4=0,0,IF(COUNTIFS(実績!$W$6:$W$505,AS$3,実績!$AI$6:$AI$505,"&lt;="&amp;$A71,実績!$AJ$6:$AJ$505,"&gt;"&amp;$A71,実績!$AK$6:$AK$505,"○")&gt;0,1,0))</f>
        <v>0</v>
      </c>
      <c r="AT71" s="39" t="n">
        <f aca="false">IF(AT$4=0,0,IF(COUNTIFS(実績!$W$6:$W$505,AT$3,実績!$AI$6:$AI$505,"&lt;="&amp;$A71,実績!$AJ$6:$AJ$505,"&gt;"&amp;$A71,実績!$AK$6:$AK$505,"○")&gt;0,1,0))</f>
        <v>0</v>
      </c>
      <c r="AU71" s="39" t="n">
        <f aca="false">IF(AU$4=0,0,IF(COUNTIFS(実績!$W$6:$W$505,AU$3,実績!$AI$6:$AI$505,"&lt;="&amp;$A71,実績!$AJ$6:$AJ$505,"&gt;"&amp;$A71,実績!$AK$6:$AK$505,"○")&gt;0,1,0))</f>
        <v>0</v>
      </c>
      <c r="AV71" s="39" t="n">
        <f aca="false">IF(AV$4=0,0,IF(COUNTIFS(実績!$W$6:$W$505,AV$3,実績!$AI$6:$AI$505,"&lt;="&amp;$A71,実績!$AJ$6:$AJ$505,"&gt;"&amp;$A71,実績!$AK$6:$AK$505,"○")&gt;0,1,0))</f>
        <v>0</v>
      </c>
      <c r="AW71" s="39" t="n">
        <f aca="false">IF(AW$4=0,0,IF(COUNTIFS(実績!$W$6:$W$505,AW$3,実績!$AI$6:$AI$505,"&lt;="&amp;$A71,実績!$AJ$6:$AJ$505,"&gt;"&amp;$A71,実績!$AK$6:$AK$505,"○")&gt;0,1,0))</f>
        <v>0</v>
      </c>
      <c r="AX71" s="39" t="n">
        <f aca="false">IF(AX$4=0,0,IF(COUNTIFS(実績!$W$6:$W$505,AX$3,実績!$AI$6:$AI$505,"&lt;="&amp;$A71,実績!$AJ$6:$AJ$505,"&gt;"&amp;$A71,実績!$AK$6:$AK$505,"○")&gt;0,1,0))</f>
        <v>0</v>
      </c>
      <c r="AY71" s="39" t="n">
        <f aca="false">IF(AY$4=0,0,IF(COUNTIFS(実績!$W$6:$W$505,AY$3,実績!$AI$6:$AI$505,"&lt;="&amp;$A71,実績!$AJ$6:$AJ$505,"&gt;"&amp;$A71,実績!$AK$6:$AK$505,"○")&gt;0,1,0))</f>
        <v>0</v>
      </c>
      <c r="AZ71" s="39" t="n">
        <f aca="false">IF(AZ$4=0,0,IF(COUNTIFS(実績!$W$6:$W$505,AZ$3,実績!$AI$6:$AI$505,"&lt;="&amp;$A71,実績!$AJ$6:$AJ$505,"&gt;"&amp;$A71,実績!$AK$6:$AK$505,"○")&gt;0,1,0))</f>
        <v>0</v>
      </c>
      <c r="BA71" s="39" t="n">
        <f aca="false">IF(BA$4=0,0,IF(COUNTIFS(実績!$W$6:$W$505,BA$3,実績!$AI$6:$AI$505,"&lt;="&amp;$A71,実績!$AJ$6:$AJ$505,"&gt;"&amp;$A71,実績!$AK$6:$AK$505,"○")&gt;0,1,0))</f>
        <v>0</v>
      </c>
      <c r="BB71" s="39" t="n">
        <f aca="false">IF(BB$4=0,0,IF(COUNTIFS(実績!$W$6:$W$505,BB$3,実績!$AI$6:$AI$505,"&lt;="&amp;$A71,実績!$AJ$6:$AJ$505,"&gt;"&amp;$A71,実績!$AK$6:$AK$505,"○")&gt;0,1,0))</f>
        <v>0</v>
      </c>
      <c r="BC71" s="39" t="n">
        <f aca="false">IF(BC$4=0,0,IF(COUNTIFS(実績!$W$6:$W$505,BC$3,実績!$AI$6:$AI$505,"&lt;="&amp;$A71,実績!$AJ$6:$AJ$505,"&gt;"&amp;$A71,実績!$AK$6:$AK$505,"○")&gt;0,1,0))</f>
        <v>0</v>
      </c>
      <c r="BD71" s="39" t="n">
        <f aca="false">IF(BD$4=0,0,IF(COUNTIFS(実績!$W$6:$W$505,BD$3,実績!$AI$6:$AI$505,"&lt;="&amp;$A71,実績!$AJ$6:$AJ$505,"&gt;"&amp;$A71,実績!$AK$6:$AK$505,"○")&gt;0,1,0))</f>
        <v>0</v>
      </c>
      <c r="BE71" s="39" t="n">
        <f aca="false">IF(BE$4=0,0,IF(COUNTIFS(実績!$W$6:$W$505,BE$3,実績!$AI$6:$AI$505,"&lt;="&amp;$A71,実績!$AJ$6:$AJ$505,"&gt;"&amp;$A71,実績!$AK$6:$AK$505,"○")&gt;0,1,0))</f>
        <v>0</v>
      </c>
      <c r="BF71" s="39" t="n">
        <f aca="false">IF(BF$4=0,0,IF(COUNTIFS(実績!$W$6:$W$505,BF$3,実績!$AI$6:$AI$505,"&lt;="&amp;$A71,実績!$AJ$6:$AJ$505,"&gt;"&amp;$A71,実績!$AK$6:$AK$505,"○")&gt;0,1,0))</f>
        <v>0</v>
      </c>
      <c r="BG71" s="39" t="n">
        <f aca="false">IF(BG$4=0,0,IF(COUNTIFS(実績!$W$6:$W$505,BG$3,実績!$AI$6:$AI$505,"&lt;="&amp;$A71,実績!$AJ$6:$AJ$505,"&gt;"&amp;$A71,実績!$AK$6:$AK$505,"○")&gt;0,1,0))</f>
        <v>0</v>
      </c>
      <c r="BH71" s="39" t="n">
        <f aca="false">IF(BH$4=0,0,IF(COUNTIFS(実績!$W$6:$W$505,BH$3,実績!$AI$6:$AI$505,"&lt;="&amp;$A71,実績!$AJ$6:$AJ$505,"&gt;"&amp;$A71,実績!$AK$6:$AK$505,"○")&gt;0,1,0))</f>
        <v>0</v>
      </c>
      <c r="BI71" s="39" t="n">
        <f aca="false">IF(BI$4=0,0,IF(COUNTIFS(実績!$W$6:$W$505,BI$3,実績!$AI$6:$AI$505,"&lt;="&amp;$A71,実績!$AJ$6:$AJ$505,"&gt;"&amp;$A71,実績!$AK$6:$AK$505,"○")&gt;0,1,0))</f>
        <v>0</v>
      </c>
      <c r="BJ71" s="39" t="n">
        <f aca="false">IF(BJ$4=0,0,IF(COUNTIFS(実績!$W$6:$W$505,BJ$3,実績!$AI$6:$AI$505,"&lt;="&amp;$A71,実績!$AJ$6:$AJ$505,"&gt;"&amp;$A71,実績!$AK$6:$AK$505,"○")&gt;0,1,0))</f>
        <v>0</v>
      </c>
      <c r="BK71" s="39" t="n">
        <f aca="false">IF(BK$4=0,0,IF(COUNTIFS(実績!$W$6:$W$505,BK$3,実績!$AI$6:$AI$505,"&lt;="&amp;$A71,実績!$AJ$6:$AJ$505,"&gt;"&amp;$A71,実績!$AK$6:$AK$505,"○")&gt;0,1,0))</f>
        <v>0</v>
      </c>
      <c r="BL71" s="39" t="n">
        <f aca="false">IF(BL$4=0,0,IF(COUNTIFS(実績!$W$6:$W$505,BL$3,実績!$AI$6:$AI$505,"&lt;="&amp;$A71,実績!$AJ$6:$AJ$505,"&gt;"&amp;$A71,実績!$AK$6:$AK$505,"○")&gt;0,1,0))</f>
        <v>0</v>
      </c>
      <c r="BM71" s="39" t="n">
        <f aca="false">IF(BM$4=0,0,IF(COUNTIFS(実績!$W$6:$W$505,BM$3,実績!$AI$6:$AI$505,"&lt;="&amp;$A71,実績!$AJ$6:$AJ$505,"&gt;"&amp;$A71,実績!$AK$6:$AK$505,"○")&gt;0,1,0))</f>
        <v>0</v>
      </c>
      <c r="BN71" s="39" t="n">
        <f aca="false">IF(BN$4=0,0,IF(COUNTIFS(実績!$W$6:$W$505,BN$3,実績!$AI$6:$AI$505,"&lt;="&amp;$A71,実績!$AJ$6:$AJ$505,"&gt;"&amp;$A71,実績!$AK$6:$AK$505,"○")&gt;0,1,0))</f>
        <v>0</v>
      </c>
      <c r="BO71" s="39" t="n">
        <f aca="false">IF(BO$4=0,0,IF(COUNTIFS(実績!$W$6:$W$505,BO$3,実績!$AI$6:$AI$505,"&lt;="&amp;$A71,実績!$AJ$6:$AJ$505,"&gt;"&amp;$A71,実績!$AK$6:$AK$505,"○")&gt;0,1,0))</f>
        <v>0</v>
      </c>
      <c r="BP71" s="39" t="n">
        <f aca="false">IF(BP$4=0,0,IF(COUNTIFS(実績!$W$6:$W$505,BP$3,実績!$AI$6:$AI$505,"&lt;="&amp;$A71,実績!$AJ$6:$AJ$505,"&gt;"&amp;$A71,実績!$AK$6:$AK$505,"○")&gt;0,1,0))</f>
        <v>0</v>
      </c>
      <c r="BQ71" s="39" t="n">
        <f aca="false">IF(BQ$4=0,0,IF(COUNTIFS(実績!$W$6:$W$505,BQ$3,実績!$AI$6:$AI$505,"&lt;="&amp;$A71,実績!$AJ$6:$AJ$505,"&gt;"&amp;$A71,実績!$AK$6:$AK$505,"○")&gt;0,1,0))</f>
        <v>0</v>
      </c>
      <c r="BR71" s="39" t="n">
        <f aca="false">IF(BR$4=0,0,IF(COUNTIFS(実績!$W$6:$W$505,BR$3,実績!$AI$6:$AI$505,"&lt;="&amp;$A71,実績!$AJ$6:$AJ$505,"&gt;"&amp;$A71,実績!$AK$6:$AK$505,"○")&gt;0,1,0))</f>
        <v>0</v>
      </c>
      <c r="BS71" s="39" t="n">
        <f aca="false">IF(BS$4=0,0,IF(COUNTIFS(実績!$W$6:$W$505,BS$3,実績!$AI$6:$AI$505,"&lt;="&amp;$A71,実績!$AJ$6:$AJ$505,"&gt;"&amp;$A71,実績!$AK$6:$AK$505,"○")&gt;0,1,0))</f>
        <v>0</v>
      </c>
      <c r="BT71" s="39" t="n">
        <f aca="false">IF(BT$4=0,0,IF(COUNTIFS(実績!$W$6:$W$505,BT$3,実績!$AI$6:$AI$505,"&lt;="&amp;$A71,実績!$AJ$6:$AJ$505,"&gt;"&amp;$A71,実績!$AK$6:$AK$505,"○")&gt;0,1,0))</f>
        <v>0</v>
      </c>
      <c r="BU71" s="39" t="n">
        <f aca="false">IF(BU$4=0,0,IF(COUNTIFS(実績!$W$6:$W$505,BU$3,実績!$AI$6:$AI$505,"&lt;="&amp;$A71,実績!$AJ$6:$AJ$505,"&gt;"&amp;$A71,実績!$AK$6:$AK$505,"○")&gt;0,1,0))</f>
        <v>0</v>
      </c>
      <c r="BV71" s="39" t="n">
        <f aca="false">IF(BV$4=0,0,IF(COUNTIFS(実績!$W$6:$W$505,BV$3,実績!$AI$6:$AI$505,"&lt;="&amp;$A71,実績!$AJ$6:$AJ$505,"&gt;"&amp;$A71,実績!$AK$6:$AK$505,"○")&gt;0,1,0))</f>
        <v>0</v>
      </c>
      <c r="BW71" s="39" t="n">
        <f aca="false">IF(BW$4=0,0,IF(COUNTIFS(実績!$W$6:$W$505,BW$3,実績!$AI$6:$AI$505,"&lt;="&amp;$A71,実績!$AJ$6:$AJ$505,"&gt;"&amp;$A71,実績!$AK$6:$AK$505,"○")&gt;0,1,0))</f>
        <v>0</v>
      </c>
      <c r="BX71" s="39" t="n">
        <f aca="false">IF(BX$4=0,0,IF(COUNTIFS(実績!$W$6:$W$505,BX$3,実績!$AI$6:$AI$505,"&lt;="&amp;$A71,実績!$AJ$6:$AJ$505,"&gt;"&amp;$A71,実績!$AK$6:$AK$505,"○")&gt;0,1,0))</f>
        <v>0</v>
      </c>
      <c r="BY71" s="39" t="n">
        <f aca="false">IF(BY$4=0,0,IF(COUNTIFS(実績!$W$6:$W$505,BY$3,実績!$AI$6:$AI$505,"&lt;="&amp;$A71,実績!$AJ$6:$AJ$505,"&gt;"&amp;$A71,実績!$AK$6:$AK$505,"○")&gt;0,1,0))</f>
        <v>0</v>
      </c>
      <c r="BZ71" s="39" t="n">
        <f aca="false">IF(BZ$4=0,0,IF(COUNTIFS(実績!$W$6:$W$505,BZ$3,実績!$AI$6:$AI$505,"&lt;="&amp;$A71,実績!$AJ$6:$AJ$505,"&gt;"&amp;$A71,実績!$AK$6:$AK$505,"○")&gt;0,1,0))</f>
        <v>0</v>
      </c>
      <c r="CA71" s="39" t="n">
        <f aca="false">IF(CA$4=0,0,IF(COUNTIFS(実績!$W$6:$W$505,CA$3,実績!$AI$6:$AI$505,"&lt;="&amp;$A71,実績!$AJ$6:$AJ$505,"&gt;"&amp;$A71,実績!$AK$6:$AK$505,"○")&gt;0,1,0))</f>
        <v>0</v>
      </c>
      <c r="CB71" s="39" t="n">
        <f aca="false">IF(CB$4=0,0,IF(COUNTIFS(実績!$W$6:$W$505,CB$3,実績!$AI$6:$AI$505,"&lt;="&amp;$A71,実績!$AJ$6:$AJ$505,"&gt;"&amp;$A71,実績!$AK$6:$AK$505,"○")&gt;0,1,0))</f>
        <v>0</v>
      </c>
      <c r="CC71" s="39" t="n">
        <f aca="false">IF(CC$4=0,0,IF(COUNTIFS(実績!$W$6:$W$505,CC$3,実績!$AI$6:$AI$505,"&lt;="&amp;$A71,実績!$AJ$6:$AJ$505,"&gt;"&amp;$A71,実績!$AK$6:$AK$505,"○")&gt;0,1,0))</f>
        <v>0</v>
      </c>
      <c r="CD71" s="39" t="n">
        <f aca="false">IF(CD$4=0,0,IF(COUNTIFS(実績!$W$6:$W$505,CD$3,実績!$AI$6:$AI$505,"&lt;="&amp;$A71,実績!$AJ$6:$AJ$505,"&gt;"&amp;$A71,実績!$AK$6:$AK$505,"○")&gt;0,1,0))</f>
        <v>0</v>
      </c>
      <c r="CE71" s="39" t="n">
        <f aca="false">IF(CE$4=0,0,IF(COUNTIFS(実績!$W$6:$W$505,CE$3,実績!$AI$6:$AI$505,"&lt;="&amp;$A71,実績!$AJ$6:$AJ$505,"&gt;"&amp;$A71,実績!$AK$6:$AK$505,"○")&gt;0,1,0))</f>
        <v>0</v>
      </c>
      <c r="CF71" s="39" t="n">
        <f aca="false">IF(CF$4=0,0,IF(COUNTIFS(実績!$W$6:$W$505,CF$3,実績!$AI$6:$AI$505,"&lt;="&amp;$A71,実績!$AJ$6:$AJ$505,"&gt;"&amp;$A71,実績!$AK$6:$AK$505,"○")&gt;0,1,0))</f>
        <v>0</v>
      </c>
      <c r="CG71" s="39" t="n">
        <f aca="false">IF(CG$4=0,0,IF(COUNTIFS(実績!$W$6:$W$505,CG$3,実績!$AI$6:$AI$505,"&lt;="&amp;$A71,実績!$AJ$6:$AJ$505,"&gt;"&amp;$A71,実績!$AK$6:$AK$505,"○")&gt;0,1,0))</f>
        <v>0</v>
      </c>
      <c r="CH71" s="39" t="n">
        <f aca="false">IF(CH$4=0,0,IF(COUNTIFS(実績!$W$6:$W$505,CH$3,実績!$AI$6:$AI$505,"&lt;="&amp;$A71,実績!$AJ$6:$AJ$505,"&gt;"&amp;$A71,実績!$AK$6:$AK$505,"○")&gt;0,1,0))</f>
        <v>0</v>
      </c>
      <c r="CI71" s="39" t="n">
        <f aca="false">IF(CI$4=0,0,IF(COUNTIFS(実績!$W$6:$W$505,CI$3,実績!$AI$6:$AI$505,"&lt;="&amp;$A71,実績!$AJ$6:$AJ$505,"&gt;"&amp;$A71,実績!$AK$6:$AK$505,"○")&gt;0,1,0))</f>
        <v>0</v>
      </c>
      <c r="CJ71" s="39" t="n">
        <f aca="false">IF(CJ$4=0,0,IF(COUNTIFS(実績!$W$6:$W$505,CJ$3,実績!$AI$6:$AI$505,"&lt;="&amp;$A71,実績!$AJ$6:$AJ$505,"&gt;"&amp;$A71,実績!$AK$6:$AK$505,"○")&gt;0,1,0))</f>
        <v>0</v>
      </c>
      <c r="CK71" s="39" t="n">
        <f aca="false">IF(CK$4=0,0,IF(COUNTIFS(実績!$W$6:$W$505,CK$3,実績!$AI$6:$AI$505,"&lt;="&amp;$A71,実績!$AJ$6:$AJ$505,"&gt;"&amp;$A71,実績!$AK$6:$AK$505,"○")&gt;0,1,0))</f>
        <v>0</v>
      </c>
      <c r="CL71" s="39" t="n">
        <f aca="false">IF(CL$4=0,0,IF(COUNTIFS(実績!$W$6:$W$505,CL$3,実績!$AI$6:$AI$505,"&lt;="&amp;$A71,実績!$AJ$6:$AJ$505,"&gt;"&amp;$A71,実績!$AK$6:$AK$505,"○")&gt;0,1,0))</f>
        <v>0</v>
      </c>
      <c r="CM71" s="39" t="n">
        <f aca="false">IF(CM$4=0,0,IF(COUNTIFS(実績!$W$6:$W$505,CM$3,実績!$AI$6:$AI$505,"&lt;="&amp;$A71,実績!$AJ$6:$AJ$505,"&gt;"&amp;$A71,実績!$AK$6:$AK$505,"○")&gt;0,1,0))</f>
        <v>0</v>
      </c>
      <c r="CN71" s="39" t="n">
        <f aca="false">IF(CN$4=0,0,IF(COUNTIFS(実績!$W$6:$W$505,CN$3,実績!$AI$6:$AI$505,"&lt;="&amp;$A71,実績!$AJ$6:$AJ$505,"&gt;"&amp;$A71,実績!$AK$6:$AK$505,"○")&gt;0,1,0))</f>
        <v>0</v>
      </c>
      <c r="CO71" s="39" t="n">
        <f aca="false">IF(CO$4=0,0,IF(COUNTIFS(実績!$W$6:$W$505,CO$3,実績!$AI$6:$AI$505,"&lt;="&amp;$A71,実績!$AJ$6:$AJ$505,"&gt;"&amp;$A71,実績!$AK$6:$AK$505,"○")&gt;0,1,0))</f>
        <v>0</v>
      </c>
      <c r="CP71" s="39" t="n">
        <f aca="false">IF(CP$4=0,0,IF(COUNTIFS(実績!$W$6:$W$505,CP$3,実績!$AI$6:$AI$505,"&lt;="&amp;$A71,実績!$AJ$6:$AJ$505,"&gt;"&amp;$A71,実績!$AK$6:$AK$505,"○")&gt;0,1,0))</f>
        <v>0</v>
      </c>
      <c r="CQ71" s="39" t="n">
        <f aca="false">IF(CQ$4=0,0,IF(COUNTIFS(実績!$W$6:$W$505,CQ$3,実績!$AI$6:$AI$505,"&lt;="&amp;$A71,実績!$AJ$6:$AJ$505,"&gt;"&amp;$A71,実績!$AK$6:$AK$505,"○")&gt;0,1,0))</f>
        <v>0</v>
      </c>
      <c r="CR71" s="39" t="n">
        <f aca="false">IF(CR$4=0,0,IF(COUNTIFS(実績!$W$6:$W$505,CR$3,実績!$AI$6:$AI$505,"&lt;="&amp;$A71,実績!$AJ$6:$AJ$505,"&gt;"&amp;$A71,実績!$AK$6:$AK$505,"○")&gt;0,1,0))</f>
        <v>0</v>
      </c>
      <c r="CS71" s="39" t="n">
        <f aca="false">IF(CS$4=0,0,IF(COUNTIFS(実績!$W$6:$W$505,CS$3,実績!$AI$6:$AI$505,"&lt;="&amp;$A71,実績!$AJ$6:$AJ$505,"&gt;"&amp;$A71,実績!$AK$6:$AK$505,"○")&gt;0,1,0))</f>
        <v>0</v>
      </c>
      <c r="CT71" s="39" t="n">
        <f aca="false">IF(CT$4=0,0,IF(COUNTIFS(実績!$W$6:$W$505,CT$3,実績!$AI$6:$AI$505,"&lt;="&amp;$A71,実績!$AJ$6:$AJ$505,"&gt;"&amp;$A71,実績!$AK$6:$AK$505,"○")&gt;0,1,0))</f>
        <v>0</v>
      </c>
      <c r="CU71" s="39" t="n">
        <f aca="false">IF(CU$4=0,0,IF(COUNTIFS(実績!$W$6:$W$505,CU$3,実績!$AI$6:$AI$505,"&lt;="&amp;$A71,実績!$AJ$6:$AJ$505,"&gt;"&amp;$A71,実績!$AK$6:$AK$505,"○")&gt;0,1,0))</f>
        <v>0</v>
      </c>
      <c r="CV71" s="39" t="n">
        <f aca="false">IF(CV$4=0,0,IF(COUNTIFS(実績!$W$6:$W$505,CV$3,実績!$AI$6:$AI$505,"&lt;="&amp;$A71,実績!$AJ$6:$AJ$505,"&gt;"&amp;$A71,実績!$AK$6:$AK$505,"○")&gt;0,1,0))</f>
        <v>0</v>
      </c>
      <c r="CW71" s="39" t="n">
        <f aca="false">IF(CW$4=0,0,IF(COUNTIFS(実績!$W$6:$W$505,CW$3,実績!$AI$6:$AI$505,"&lt;="&amp;$A71,実績!$AJ$6:$AJ$505,"&gt;"&amp;$A71,実績!$AK$6:$AK$505,"○")&gt;0,1,0))</f>
        <v>0</v>
      </c>
      <c r="CX71" s="39" t="n">
        <f aca="false">IF(CX$4=0,0,IF(COUNTIFS(実績!$W$6:$W$505,CX$3,実績!$AI$6:$AI$505,"&lt;="&amp;$A71,実績!$AJ$6:$AJ$505,"&gt;"&amp;$A71,実績!$AK$6:$AK$505,"○")&gt;0,1,0))</f>
        <v>0</v>
      </c>
      <c r="CY71" s="39" t="n">
        <f aca="false">IF(CY$4=0,0,IF(COUNTIFS(実績!$W$6:$W$505,CY$3,実績!$AI$6:$AI$505,"&lt;="&amp;$A71,実績!$AJ$6:$AJ$505,"&gt;"&amp;$A71,実績!$AK$6:$AK$505,"○")&gt;0,1,0))</f>
        <v>0</v>
      </c>
      <c r="CZ71" s="39" t="n">
        <f aca="false">IF(CZ$4=0,0,IF(COUNTIFS(実績!$W$6:$W$505,CZ$3,実績!$AI$6:$AI$505,"&lt;="&amp;$A71,実績!$AJ$6:$AJ$505,"&gt;"&amp;$A71,実績!$AK$6:$AK$505,"○")&gt;0,1,0))</f>
        <v>0</v>
      </c>
      <c r="DA71" s="39" t="n">
        <f aca="false">IF(DA$4=0,0,IF(COUNTIFS(実績!$W$6:$W$505,DA$3,実績!$AI$6:$AI$505,"&lt;="&amp;$A71,実績!$AJ$6:$AJ$505,"&gt;"&amp;$A71,実績!$AK$6:$AK$505,"○")&gt;0,1,0))</f>
        <v>0</v>
      </c>
      <c r="DB71" s="39" t="n">
        <f aca="false">IF(DB$4=0,0,IF(COUNTIFS(実績!$W$6:$W$505,DB$3,実績!$AI$6:$AI$505,"&lt;="&amp;$A71,実績!$AJ$6:$AJ$505,"&gt;"&amp;$A71,実績!$AK$6:$AK$505,"○")&gt;0,1,0))</f>
        <v>0</v>
      </c>
      <c r="DC71" s="39" t="n">
        <f aca="false">IF(DC$4=0,0,IF(COUNTIFS(実績!$W$6:$W$505,DC$3,実績!$AI$6:$AI$505,"&lt;="&amp;$A71,実績!$AJ$6:$AJ$505,"&gt;"&amp;$A71,実績!$AK$6:$AK$505,"○")&gt;0,1,0))</f>
        <v>0</v>
      </c>
      <c r="DD71" s="39" t="n">
        <f aca="false">IF(DD$4=0,0,IF(COUNTIFS(実績!$W$6:$W$505,DD$3,実績!$AI$6:$AI$505,"&lt;="&amp;$A71,実績!$AJ$6:$AJ$505,"&gt;"&amp;$A71,実績!$AK$6:$AK$505,"○")&gt;0,1,0))</f>
        <v>0</v>
      </c>
      <c r="DE71" s="39" t="n">
        <f aca="false">IF(DE$4=0,0,IF(COUNTIFS(実績!$W$6:$W$505,DE$3,実績!$AI$6:$AI$505,"&lt;="&amp;$A71,実績!$AJ$6:$AJ$505,"&gt;"&amp;$A71,実績!$AK$6:$AK$505,"○")&gt;0,1,0))</f>
        <v>0</v>
      </c>
      <c r="DF71" s="39" t="n">
        <f aca="false">IF(DF$4=0,0,IF(COUNTIFS(実績!$W$6:$W$505,DF$3,実績!$AI$6:$AI$505,"&lt;="&amp;$A71,実績!$AJ$6:$AJ$505,"&gt;"&amp;$A71,実績!$AK$6:$AK$505,"○")&gt;0,1,0))</f>
        <v>0</v>
      </c>
      <c r="DG71" s="39" t="n">
        <f aca="false">IF(DG$4=0,0,IF(COUNTIFS(実績!$W$6:$W$505,DG$3,実績!$AI$6:$AI$505,"&lt;="&amp;$A71,実績!$AJ$6:$AJ$505,"&gt;"&amp;$A71,実績!$AK$6:$AK$505,"○")&gt;0,1,0))</f>
        <v>0</v>
      </c>
      <c r="DH71" s="39" t="n">
        <f aca="false">IF(DH$4=0,0,IF(COUNTIFS(実績!$W$6:$W$505,DH$3,実績!$AI$6:$AI$505,"&lt;="&amp;$A71,実績!$AJ$6:$AJ$505,"&gt;"&amp;$A71,実績!$AK$6:$AK$505,"○")&gt;0,1,0))</f>
        <v>0</v>
      </c>
      <c r="DI71" s="39" t="n">
        <f aca="false">IF(DI$4=0,0,IF(COUNTIFS(実績!$W$6:$W$505,DI$3,実績!$AI$6:$AI$505,"&lt;="&amp;$A71,実績!$AJ$6:$AJ$505,"&gt;"&amp;$A71,実績!$AK$6:$AK$505,"○")&gt;0,1,0))</f>
        <v>0</v>
      </c>
      <c r="DJ71" s="39" t="n">
        <f aca="false">IF(DJ$4=0,0,IF(COUNTIFS(実績!$W$6:$W$505,DJ$3,実績!$AI$6:$AI$505,"&lt;="&amp;$A71,実績!$AJ$6:$AJ$505,"&gt;"&amp;$A71,実績!$AK$6:$AK$505,"○")&gt;0,1,0))</f>
        <v>0</v>
      </c>
      <c r="DK71" s="39" t="n">
        <f aca="false">IF(DK$4=0,0,IF(COUNTIFS(実績!$W$6:$W$505,DK$3,実績!$AI$6:$AI$505,"&lt;="&amp;$A71,実績!$AJ$6:$AJ$505,"&gt;"&amp;$A71,実績!$AK$6:$AK$505,"○")&gt;0,1,0))</f>
        <v>0</v>
      </c>
      <c r="DL71" s="39" t="n">
        <f aca="false">IF(DL$4=0,0,IF(COUNTIFS(実績!$W$6:$W$505,DL$3,実績!$AI$6:$AI$505,"&lt;="&amp;$A71,実績!$AJ$6:$AJ$505,"&gt;"&amp;$A71,実績!$AK$6:$AK$505,"○")&gt;0,1,0))</f>
        <v>0</v>
      </c>
      <c r="DM71" s="39" t="n">
        <f aca="false">IF(DM$4=0,0,IF(COUNTIFS(実績!$W$6:$W$505,DM$3,実績!$AI$6:$AI$505,"&lt;="&amp;$A71,実績!$AJ$6:$AJ$505,"&gt;"&amp;$A71,実績!$AK$6:$AK$505,"○")&gt;0,1,0))</f>
        <v>0</v>
      </c>
      <c r="DN71" s="39" t="n">
        <f aca="false">IF(DN$4=0,0,IF(COUNTIFS(実績!$W$6:$W$505,DN$3,実績!$AI$6:$AI$505,"&lt;="&amp;$A71,実績!$AJ$6:$AJ$505,"&gt;"&amp;$A71,実績!$AK$6:$AK$505,"○")&gt;0,1,0))</f>
        <v>0</v>
      </c>
      <c r="DO71" s="39" t="n">
        <f aca="false">IF(DO$4=0,0,IF(COUNTIFS(実績!$W$6:$W$505,DO$3,実績!$AI$6:$AI$505,"&lt;="&amp;$A71,実績!$AJ$6:$AJ$505,"&gt;"&amp;$A71,実績!$AK$6:$AK$505,"○")&gt;0,1,0))</f>
        <v>0</v>
      </c>
      <c r="DP71" s="39" t="n">
        <f aca="false">IF(DP$4=0,0,IF(COUNTIFS(実績!$W$6:$W$505,DP$3,実績!$AI$6:$AI$505,"&lt;="&amp;$A71,実績!$AJ$6:$AJ$505,"&gt;"&amp;$A71,実績!$AK$6:$AK$505,"○")&gt;0,1,0))</f>
        <v>0</v>
      </c>
      <c r="DQ71" s="39" t="n">
        <f aca="false">IF(DQ$4=0,0,IF(COUNTIFS(実績!$W$6:$W$505,DQ$3,実績!$AI$6:$AI$505,"&lt;="&amp;$A71,実績!$AJ$6:$AJ$505,"&gt;"&amp;$A71,実績!$AK$6:$AK$505,"○")&gt;0,1,0))</f>
        <v>0</v>
      </c>
      <c r="DR71" s="39" t="n">
        <f aca="false">IF(DR$4=0,0,IF(COUNTIFS(実績!$W$6:$W$505,DR$3,実績!$AI$6:$AI$505,"&lt;="&amp;$A71,実績!$AJ$6:$AJ$505,"&gt;"&amp;$A71,実績!$AK$6:$AK$505,"○")&gt;0,1,0))</f>
        <v>0</v>
      </c>
      <c r="DS71" s="39" t="n">
        <f aca="false">SUM(C71:DR71)</f>
        <v>0</v>
      </c>
      <c r="DT71" s="39" t="n">
        <f aca="false">SUMPRODUCT((実績!$C$6:$C$505="○")*ISNUMBER(実績!$AM$6:$AM$505)*(実績!$AM$6:$AM$505&lt;=$A71)*(実績!$AN$6:$AN$505&gt;$A71))</f>
        <v>0</v>
      </c>
      <c r="DU71" s="39" t="n">
        <f aca="false">SUMIF($C$2:$DR$2,"製鉄曳船",C71:DR71)</f>
        <v>0</v>
      </c>
      <c r="DV71" s="39" t="n">
        <f aca="false">SUMIF($C$2:$DR$2,"西日本海運",C71:DR71)</f>
        <v>0</v>
      </c>
    </row>
    <row r="72" customFormat="false" ht="15" hidden="false" customHeight="false" outlineLevel="0" collapsed="false">
      <c r="A72" s="0" t="n">
        <v>330</v>
      </c>
      <c r="B72" s="38" t="n">
        <f aca="false">A72/1440</f>
        <v>0.229166666666667</v>
      </c>
      <c r="C72" s="39" t="n">
        <f aca="false">IF(C$4=0,0,IF(COUNTIFS(実績!$W$6:$W$505,C$3,実績!$AI$6:$AI$505,"&lt;="&amp;$A72,実績!$AJ$6:$AJ$505,"&gt;"&amp;$A72,実績!$AK$6:$AK$505,"○")&gt;0,1,0))</f>
        <v>0</v>
      </c>
      <c r="D72" s="39" t="n">
        <f aca="false">IF(D$4=0,0,IF(COUNTIFS(実績!$W$6:$W$505,D$3,実績!$AI$6:$AI$505,"&lt;="&amp;$A72,実績!$AJ$6:$AJ$505,"&gt;"&amp;$A72,実績!$AK$6:$AK$505,"○")&gt;0,1,0))</f>
        <v>0</v>
      </c>
      <c r="E72" s="39" t="n">
        <f aca="false">IF(E$4=0,0,IF(COUNTIFS(実績!$W$6:$W$505,E$3,実績!$AI$6:$AI$505,"&lt;="&amp;$A72,実績!$AJ$6:$AJ$505,"&gt;"&amp;$A72,実績!$AK$6:$AK$505,"○")&gt;0,1,0))</f>
        <v>0</v>
      </c>
      <c r="F72" s="39" t="n">
        <f aca="false">IF(F$4=0,0,IF(COUNTIFS(実績!$W$6:$W$505,F$3,実績!$AI$6:$AI$505,"&lt;="&amp;$A72,実績!$AJ$6:$AJ$505,"&gt;"&amp;$A72,実績!$AK$6:$AK$505,"○")&gt;0,1,0))</f>
        <v>0</v>
      </c>
      <c r="G72" s="39" t="n">
        <f aca="false">IF(G$4=0,0,IF(COUNTIFS(実績!$W$6:$W$505,G$3,実績!$AI$6:$AI$505,"&lt;="&amp;$A72,実績!$AJ$6:$AJ$505,"&gt;"&amp;$A72,実績!$AK$6:$AK$505,"○")&gt;0,1,0))</f>
        <v>0</v>
      </c>
      <c r="H72" s="39" t="n">
        <f aca="false">IF(H$4=0,0,IF(COUNTIFS(実績!$W$6:$W$505,H$3,実績!$AI$6:$AI$505,"&lt;="&amp;$A72,実績!$AJ$6:$AJ$505,"&gt;"&amp;$A72,実績!$AK$6:$AK$505,"○")&gt;0,1,0))</f>
        <v>0</v>
      </c>
      <c r="I72" s="39" t="n">
        <f aca="false">IF(I$4=0,0,IF(COUNTIFS(実績!$W$6:$W$505,I$3,実績!$AI$6:$AI$505,"&lt;="&amp;$A72,実績!$AJ$6:$AJ$505,"&gt;"&amp;$A72,実績!$AK$6:$AK$505,"○")&gt;0,1,0))</f>
        <v>0</v>
      </c>
      <c r="J72" s="39" t="n">
        <f aca="false">IF(J$4=0,0,IF(COUNTIFS(実績!$W$6:$W$505,J$3,実績!$AI$6:$AI$505,"&lt;="&amp;$A72,実績!$AJ$6:$AJ$505,"&gt;"&amp;$A72,実績!$AK$6:$AK$505,"○")&gt;0,1,0))</f>
        <v>0</v>
      </c>
      <c r="K72" s="39" t="n">
        <f aca="false">IF(K$4=0,0,IF(COUNTIFS(実績!$W$6:$W$505,K$3,実績!$AI$6:$AI$505,"&lt;="&amp;$A72,実績!$AJ$6:$AJ$505,"&gt;"&amp;$A72,実績!$AK$6:$AK$505,"○")&gt;0,1,0))</f>
        <v>0</v>
      </c>
      <c r="L72" s="39" t="n">
        <f aca="false">IF(L$4=0,0,IF(COUNTIFS(実績!$W$6:$W$505,L$3,実績!$AI$6:$AI$505,"&lt;="&amp;$A72,実績!$AJ$6:$AJ$505,"&gt;"&amp;$A72,実績!$AK$6:$AK$505,"○")&gt;0,1,0))</f>
        <v>0</v>
      </c>
      <c r="M72" s="39" t="n">
        <f aca="false">IF(M$4=0,0,IF(COUNTIFS(実績!$W$6:$W$505,M$3,実績!$AI$6:$AI$505,"&lt;="&amp;$A72,実績!$AJ$6:$AJ$505,"&gt;"&amp;$A72,実績!$AK$6:$AK$505,"○")&gt;0,1,0))</f>
        <v>0</v>
      </c>
      <c r="N72" s="39" t="n">
        <f aca="false">IF(N$4=0,0,IF(COUNTIFS(実績!$W$6:$W$505,N$3,実績!$AI$6:$AI$505,"&lt;="&amp;$A72,実績!$AJ$6:$AJ$505,"&gt;"&amp;$A72,実績!$AK$6:$AK$505,"○")&gt;0,1,0))</f>
        <v>0</v>
      </c>
      <c r="O72" s="39" t="n">
        <f aca="false">IF(O$4=0,0,IF(COUNTIFS(実績!$W$6:$W$505,O$3,実績!$AI$6:$AI$505,"&lt;="&amp;$A72,実績!$AJ$6:$AJ$505,"&gt;"&amp;$A72,実績!$AK$6:$AK$505,"○")&gt;0,1,0))</f>
        <v>0</v>
      </c>
      <c r="P72" s="39" t="n">
        <f aca="false">IF(P$4=0,0,IF(COUNTIFS(実績!$W$6:$W$505,P$3,実績!$AI$6:$AI$505,"&lt;="&amp;$A72,実績!$AJ$6:$AJ$505,"&gt;"&amp;$A72,実績!$AK$6:$AK$505,"○")&gt;0,1,0))</f>
        <v>0</v>
      </c>
      <c r="Q72" s="39" t="n">
        <f aca="false">IF(Q$4=0,0,IF(COUNTIFS(実績!$W$6:$W$505,Q$3,実績!$AI$6:$AI$505,"&lt;="&amp;$A72,実績!$AJ$6:$AJ$505,"&gt;"&amp;$A72,実績!$AK$6:$AK$505,"○")&gt;0,1,0))</f>
        <v>0</v>
      </c>
      <c r="R72" s="39" t="n">
        <f aca="false">IF(R$4=0,0,IF(COUNTIFS(実績!$W$6:$W$505,R$3,実績!$AI$6:$AI$505,"&lt;="&amp;$A72,実績!$AJ$6:$AJ$505,"&gt;"&amp;$A72,実績!$AK$6:$AK$505,"○")&gt;0,1,0))</f>
        <v>0</v>
      </c>
      <c r="S72" s="39" t="n">
        <f aca="false">IF(S$4=0,0,IF(COUNTIFS(実績!$W$6:$W$505,S$3,実績!$AI$6:$AI$505,"&lt;="&amp;$A72,実績!$AJ$6:$AJ$505,"&gt;"&amp;$A72,実績!$AK$6:$AK$505,"○")&gt;0,1,0))</f>
        <v>0</v>
      </c>
      <c r="T72" s="39" t="n">
        <f aca="false">IF(T$4=0,0,IF(COUNTIFS(実績!$W$6:$W$505,T$3,実績!$AI$6:$AI$505,"&lt;="&amp;$A72,実績!$AJ$6:$AJ$505,"&gt;"&amp;$A72,実績!$AK$6:$AK$505,"○")&gt;0,1,0))</f>
        <v>0</v>
      </c>
      <c r="U72" s="39" t="n">
        <f aca="false">IF(U$4=0,0,IF(COUNTIFS(実績!$W$6:$W$505,U$3,実績!$AI$6:$AI$505,"&lt;="&amp;$A72,実績!$AJ$6:$AJ$505,"&gt;"&amp;$A72,実績!$AK$6:$AK$505,"○")&gt;0,1,0))</f>
        <v>0</v>
      </c>
      <c r="V72" s="39" t="n">
        <f aca="false">IF(V$4=0,0,IF(COUNTIFS(実績!$W$6:$W$505,V$3,実績!$AI$6:$AI$505,"&lt;="&amp;$A72,実績!$AJ$6:$AJ$505,"&gt;"&amp;$A72,実績!$AK$6:$AK$505,"○")&gt;0,1,0))</f>
        <v>0</v>
      </c>
      <c r="W72" s="39" t="n">
        <f aca="false">IF(W$4=0,0,IF(COUNTIFS(実績!$W$6:$W$505,W$3,実績!$AI$6:$AI$505,"&lt;="&amp;$A72,実績!$AJ$6:$AJ$505,"&gt;"&amp;$A72,実績!$AK$6:$AK$505,"○")&gt;0,1,0))</f>
        <v>0</v>
      </c>
      <c r="X72" s="39" t="n">
        <f aca="false">IF(X$4=0,0,IF(COUNTIFS(実績!$W$6:$W$505,X$3,実績!$AI$6:$AI$505,"&lt;="&amp;$A72,実績!$AJ$6:$AJ$505,"&gt;"&amp;$A72,実績!$AK$6:$AK$505,"○")&gt;0,1,0))</f>
        <v>0</v>
      </c>
      <c r="Y72" s="39" t="n">
        <f aca="false">IF(Y$4=0,0,IF(COUNTIFS(実績!$W$6:$W$505,Y$3,実績!$AI$6:$AI$505,"&lt;="&amp;$A72,実績!$AJ$6:$AJ$505,"&gt;"&amp;$A72,実績!$AK$6:$AK$505,"○")&gt;0,1,0))</f>
        <v>0</v>
      </c>
      <c r="Z72" s="39" t="n">
        <f aca="false">IF(Z$4=0,0,IF(COUNTIFS(実績!$W$6:$W$505,Z$3,実績!$AI$6:$AI$505,"&lt;="&amp;$A72,実績!$AJ$6:$AJ$505,"&gt;"&amp;$A72,実績!$AK$6:$AK$505,"○")&gt;0,1,0))</f>
        <v>0</v>
      </c>
      <c r="AA72" s="39" t="n">
        <f aca="false">IF(AA$4=0,0,IF(COUNTIFS(実績!$W$6:$W$505,AA$3,実績!$AI$6:$AI$505,"&lt;="&amp;$A72,実績!$AJ$6:$AJ$505,"&gt;"&amp;$A72,実績!$AK$6:$AK$505,"○")&gt;0,1,0))</f>
        <v>0</v>
      </c>
      <c r="AB72" s="39" t="n">
        <f aca="false">IF(AB$4=0,0,IF(COUNTIFS(実績!$W$6:$W$505,AB$3,実績!$AI$6:$AI$505,"&lt;="&amp;$A72,実績!$AJ$6:$AJ$505,"&gt;"&amp;$A72,実績!$AK$6:$AK$505,"○")&gt;0,1,0))</f>
        <v>0</v>
      </c>
      <c r="AC72" s="39" t="n">
        <f aca="false">IF(AC$4=0,0,IF(COUNTIFS(実績!$W$6:$W$505,AC$3,実績!$AI$6:$AI$505,"&lt;="&amp;$A72,実績!$AJ$6:$AJ$505,"&gt;"&amp;$A72,実績!$AK$6:$AK$505,"○")&gt;0,1,0))</f>
        <v>0</v>
      </c>
      <c r="AD72" s="39" t="n">
        <f aca="false">IF(AD$4=0,0,IF(COUNTIFS(実績!$W$6:$W$505,AD$3,実績!$AI$6:$AI$505,"&lt;="&amp;$A72,実績!$AJ$6:$AJ$505,"&gt;"&amp;$A72,実績!$AK$6:$AK$505,"○")&gt;0,1,0))</f>
        <v>0</v>
      </c>
      <c r="AE72" s="39" t="n">
        <f aca="false">IF(AE$4=0,0,IF(COUNTIFS(実績!$W$6:$W$505,AE$3,実績!$AI$6:$AI$505,"&lt;="&amp;$A72,実績!$AJ$6:$AJ$505,"&gt;"&amp;$A72,実績!$AK$6:$AK$505,"○")&gt;0,1,0))</f>
        <v>0</v>
      </c>
      <c r="AF72" s="39" t="n">
        <f aca="false">IF(AF$4=0,0,IF(COUNTIFS(実績!$W$6:$W$505,AF$3,実績!$AI$6:$AI$505,"&lt;="&amp;$A72,実績!$AJ$6:$AJ$505,"&gt;"&amp;$A72,実績!$AK$6:$AK$505,"○")&gt;0,1,0))</f>
        <v>0</v>
      </c>
      <c r="AG72" s="39" t="n">
        <f aca="false">IF(AG$4=0,0,IF(COUNTIFS(実績!$W$6:$W$505,AG$3,実績!$AI$6:$AI$505,"&lt;="&amp;$A72,実績!$AJ$6:$AJ$505,"&gt;"&amp;$A72,実績!$AK$6:$AK$505,"○")&gt;0,1,0))</f>
        <v>0</v>
      </c>
      <c r="AH72" s="39" t="n">
        <f aca="false">IF(AH$4=0,0,IF(COUNTIFS(実績!$W$6:$W$505,AH$3,実績!$AI$6:$AI$505,"&lt;="&amp;$A72,実績!$AJ$6:$AJ$505,"&gt;"&amp;$A72,実績!$AK$6:$AK$505,"○")&gt;0,1,0))</f>
        <v>0</v>
      </c>
      <c r="AI72" s="39" t="n">
        <f aca="false">IF(AI$4=0,0,IF(COUNTIFS(実績!$W$6:$W$505,AI$3,実績!$AI$6:$AI$505,"&lt;="&amp;$A72,実績!$AJ$6:$AJ$505,"&gt;"&amp;$A72,実績!$AK$6:$AK$505,"○")&gt;0,1,0))</f>
        <v>0</v>
      </c>
      <c r="AJ72" s="39" t="n">
        <f aca="false">IF(AJ$4=0,0,IF(COUNTIFS(実績!$W$6:$W$505,AJ$3,実績!$AI$6:$AI$505,"&lt;="&amp;$A72,実績!$AJ$6:$AJ$505,"&gt;"&amp;$A72,実績!$AK$6:$AK$505,"○")&gt;0,1,0))</f>
        <v>0</v>
      </c>
      <c r="AK72" s="39" t="n">
        <f aca="false">IF(AK$4=0,0,IF(COUNTIFS(実績!$W$6:$W$505,AK$3,実績!$AI$6:$AI$505,"&lt;="&amp;$A72,実績!$AJ$6:$AJ$505,"&gt;"&amp;$A72,実績!$AK$6:$AK$505,"○")&gt;0,1,0))</f>
        <v>0</v>
      </c>
      <c r="AL72" s="39" t="n">
        <f aca="false">IF(AL$4=0,0,IF(COUNTIFS(実績!$W$6:$W$505,AL$3,実績!$AI$6:$AI$505,"&lt;="&amp;$A72,実績!$AJ$6:$AJ$505,"&gt;"&amp;$A72,実績!$AK$6:$AK$505,"○")&gt;0,1,0))</f>
        <v>0</v>
      </c>
      <c r="AM72" s="39" t="n">
        <f aca="false">IF(AM$4=0,0,IF(COUNTIFS(実績!$W$6:$W$505,AM$3,実績!$AI$6:$AI$505,"&lt;="&amp;$A72,実績!$AJ$6:$AJ$505,"&gt;"&amp;$A72,実績!$AK$6:$AK$505,"○")&gt;0,1,0))</f>
        <v>0</v>
      </c>
      <c r="AN72" s="39" t="n">
        <f aca="false">IF(AN$4=0,0,IF(COUNTIFS(実績!$W$6:$W$505,AN$3,実績!$AI$6:$AI$505,"&lt;="&amp;$A72,実績!$AJ$6:$AJ$505,"&gt;"&amp;$A72,実績!$AK$6:$AK$505,"○")&gt;0,1,0))</f>
        <v>0</v>
      </c>
      <c r="AO72" s="39" t="n">
        <f aca="false">IF(AO$4=0,0,IF(COUNTIFS(実績!$W$6:$W$505,AO$3,実績!$AI$6:$AI$505,"&lt;="&amp;$A72,実績!$AJ$6:$AJ$505,"&gt;"&amp;$A72,実績!$AK$6:$AK$505,"○")&gt;0,1,0))</f>
        <v>0</v>
      </c>
      <c r="AP72" s="39" t="n">
        <f aca="false">IF(AP$4=0,0,IF(COUNTIFS(実績!$W$6:$W$505,AP$3,実績!$AI$6:$AI$505,"&lt;="&amp;$A72,実績!$AJ$6:$AJ$505,"&gt;"&amp;$A72,実績!$AK$6:$AK$505,"○")&gt;0,1,0))</f>
        <v>0</v>
      </c>
      <c r="AQ72" s="39" t="n">
        <f aca="false">IF(AQ$4=0,0,IF(COUNTIFS(実績!$W$6:$W$505,AQ$3,実績!$AI$6:$AI$505,"&lt;="&amp;$A72,実績!$AJ$6:$AJ$505,"&gt;"&amp;$A72,実績!$AK$6:$AK$505,"○")&gt;0,1,0))</f>
        <v>0</v>
      </c>
      <c r="AR72" s="39" t="n">
        <f aca="false">IF(AR$4=0,0,IF(COUNTIFS(実績!$W$6:$W$505,AR$3,実績!$AI$6:$AI$505,"&lt;="&amp;$A72,実績!$AJ$6:$AJ$505,"&gt;"&amp;$A72,実績!$AK$6:$AK$505,"○")&gt;0,1,0))</f>
        <v>0</v>
      </c>
      <c r="AS72" s="39" t="n">
        <f aca="false">IF(AS$4=0,0,IF(COUNTIFS(実績!$W$6:$W$505,AS$3,実績!$AI$6:$AI$505,"&lt;="&amp;$A72,実績!$AJ$6:$AJ$505,"&gt;"&amp;$A72,実績!$AK$6:$AK$505,"○")&gt;0,1,0))</f>
        <v>0</v>
      </c>
      <c r="AT72" s="39" t="n">
        <f aca="false">IF(AT$4=0,0,IF(COUNTIFS(実績!$W$6:$W$505,AT$3,実績!$AI$6:$AI$505,"&lt;="&amp;$A72,実績!$AJ$6:$AJ$505,"&gt;"&amp;$A72,実績!$AK$6:$AK$505,"○")&gt;0,1,0))</f>
        <v>0</v>
      </c>
      <c r="AU72" s="39" t="n">
        <f aca="false">IF(AU$4=0,0,IF(COUNTIFS(実績!$W$6:$W$505,AU$3,実績!$AI$6:$AI$505,"&lt;="&amp;$A72,実績!$AJ$6:$AJ$505,"&gt;"&amp;$A72,実績!$AK$6:$AK$505,"○")&gt;0,1,0))</f>
        <v>0</v>
      </c>
      <c r="AV72" s="39" t="n">
        <f aca="false">IF(AV$4=0,0,IF(COUNTIFS(実績!$W$6:$W$505,AV$3,実績!$AI$6:$AI$505,"&lt;="&amp;$A72,実績!$AJ$6:$AJ$505,"&gt;"&amp;$A72,実績!$AK$6:$AK$505,"○")&gt;0,1,0))</f>
        <v>0</v>
      </c>
      <c r="AW72" s="39" t="n">
        <f aca="false">IF(AW$4=0,0,IF(COUNTIFS(実績!$W$6:$W$505,AW$3,実績!$AI$6:$AI$505,"&lt;="&amp;$A72,実績!$AJ$6:$AJ$505,"&gt;"&amp;$A72,実績!$AK$6:$AK$505,"○")&gt;0,1,0))</f>
        <v>0</v>
      </c>
      <c r="AX72" s="39" t="n">
        <f aca="false">IF(AX$4=0,0,IF(COUNTIFS(実績!$W$6:$W$505,AX$3,実績!$AI$6:$AI$505,"&lt;="&amp;$A72,実績!$AJ$6:$AJ$505,"&gt;"&amp;$A72,実績!$AK$6:$AK$505,"○")&gt;0,1,0))</f>
        <v>0</v>
      </c>
      <c r="AY72" s="39" t="n">
        <f aca="false">IF(AY$4=0,0,IF(COUNTIFS(実績!$W$6:$W$505,AY$3,実績!$AI$6:$AI$505,"&lt;="&amp;$A72,実績!$AJ$6:$AJ$505,"&gt;"&amp;$A72,実績!$AK$6:$AK$505,"○")&gt;0,1,0))</f>
        <v>0</v>
      </c>
      <c r="AZ72" s="39" t="n">
        <f aca="false">IF(AZ$4=0,0,IF(COUNTIFS(実績!$W$6:$W$505,AZ$3,実績!$AI$6:$AI$505,"&lt;="&amp;$A72,実績!$AJ$6:$AJ$505,"&gt;"&amp;$A72,実績!$AK$6:$AK$505,"○")&gt;0,1,0))</f>
        <v>0</v>
      </c>
      <c r="BA72" s="39" t="n">
        <f aca="false">IF(BA$4=0,0,IF(COUNTIFS(実績!$W$6:$W$505,BA$3,実績!$AI$6:$AI$505,"&lt;="&amp;$A72,実績!$AJ$6:$AJ$505,"&gt;"&amp;$A72,実績!$AK$6:$AK$505,"○")&gt;0,1,0))</f>
        <v>0</v>
      </c>
      <c r="BB72" s="39" t="n">
        <f aca="false">IF(BB$4=0,0,IF(COUNTIFS(実績!$W$6:$W$505,BB$3,実績!$AI$6:$AI$505,"&lt;="&amp;$A72,実績!$AJ$6:$AJ$505,"&gt;"&amp;$A72,実績!$AK$6:$AK$505,"○")&gt;0,1,0))</f>
        <v>0</v>
      </c>
      <c r="BC72" s="39" t="n">
        <f aca="false">IF(BC$4=0,0,IF(COUNTIFS(実績!$W$6:$W$505,BC$3,実績!$AI$6:$AI$505,"&lt;="&amp;$A72,実績!$AJ$6:$AJ$505,"&gt;"&amp;$A72,実績!$AK$6:$AK$505,"○")&gt;0,1,0))</f>
        <v>0</v>
      </c>
      <c r="BD72" s="39" t="n">
        <f aca="false">IF(BD$4=0,0,IF(COUNTIFS(実績!$W$6:$W$505,BD$3,実績!$AI$6:$AI$505,"&lt;="&amp;$A72,実績!$AJ$6:$AJ$505,"&gt;"&amp;$A72,実績!$AK$6:$AK$505,"○")&gt;0,1,0))</f>
        <v>0</v>
      </c>
      <c r="BE72" s="39" t="n">
        <f aca="false">IF(BE$4=0,0,IF(COUNTIFS(実績!$W$6:$W$505,BE$3,実績!$AI$6:$AI$505,"&lt;="&amp;$A72,実績!$AJ$6:$AJ$505,"&gt;"&amp;$A72,実績!$AK$6:$AK$505,"○")&gt;0,1,0))</f>
        <v>0</v>
      </c>
      <c r="BF72" s="39" t="n">
        <f aca="false">IF(BF$4=0,0,IF(COUNTIFS(実績!$W$6:$W$505,BF$3,実績!$AI$6:$AI$505,"&lt;="&amp;$A72,実績!$AJ$6:$AJ$505,"&gt;"&amp;$A72,実績!$AK$6:$AK$505,"○")&gt;0,1,0))</f>
        <v>0</v>
      </c>
      <c r="BG72" s="39" t="n">
        <f aca="false">IF(BG$4=0,0,IF(COUNTIFS(実績!$W$6:$W$505,BG$3,実績!$AI$6:$AI$505,"&lt;="&amp;$A72,実績!$AJ$6:$AJ$505,"&gt;"&amp;$A72,実績!$AK$6:$AK$505,"○")&gt;0,1,0))</f>
        <v>0</v>
      </c>
      <c r="BH72" s="39" t="n">
        <f aca="false">IF(BH$4=0,0,IF(COUNTIFS(実績!$W$6:$W$505,BH$3,実績!$AI$6:$AI$505,"&lt;="&amp;$A72,実績!$AJ$6:$AJ$505,"&gt;"&amp;$A72,実績!$AK$6:$AK$505,"○")&gt;0,1,0))</f>
        <v>0</v>
      </c>
      <c r="BI72" s="39" t="n">
        <f aca="false">IF(BI$4=0,0,IF(COUNTIFS(実績!$W$6:$W$505,BI$3,実績!$AI$6:$AI$505,"&lt;="&amp;$A72,実績!$AJ$6:$AJ$505,"&gt;"&amp;$A72,実績!$AK$6:$AK$505,"○")&gt;0,1,0))</f>
        <v>0</v>
      </c>
      <c r="BJ72" s="39" t="n">
        <f aca="false">IF(BJ$4=0,0,IF(COUNTIFS(実績!$W$6:$W$505,BJ$3,実績!$AI$6:$AI$505,"&lt;="&amp;$A72,実績!$AJ$6:$AJ$505,"&gt;"&amp;$A72,実績!$AK$6:$AK$505,"○")&gt;0,1,0))</f>
        <v>0</v>
      </c>
      <c r="BK72" s="39" t="n">
        <f aca="false">IF(BK$4=0,0,IF(COUNTIFS(実績!$W$6:$W$505,BK$3,実績!$AI$6:$AI$505,"&lt;="&amp;$A72,実績!$AJ$6:$AJ$505,"&gt;"&amp;$A72,実績!$AK$6:$AK$505,"○")&gt;0,1,0))</f>
        <v>0</v>
      </c>
      <c r="BL72" s="39" t="n">
        <f aca="false">IF(BL$4=0,0,IF(COUNTIFS(実績!$W$6:$W$505,BL$3,実績!$AI$6:$AI$505,"&lt;="&amp;$A72,実績!$AJ$6:$AJ$505,"&gt;"&amp;$A72,実績!$AK$6:$AK$505,"○")&gt;0,1,0))</f>
        <v>0</v>
      </c>
      <c r="BM72" s="39" t="n">
        <f aca="false">IF(BM$4=0,0,IF(COUNTIFS(実績!$W$6:$W$505,BM$3,実績!$AI$6:$AI$505,"&lt;="&amp;$A72,実績!$AJ$6:$AJ$505,"&gt;"&amp;$A72,実績!$AK$6:$AK$505,"○")&gt;0,1,0))</f>
        <v>0</v>
      </c>
      <c r="BN72" s="39" t="n">
        <f aca="false">IF(BN$4=0,0,IF(COUNTIFS(実績!$W$6:$W$505,BN$3,実績!$AI$6:$AI$505,"&lt;="&amp;$A72,実績!$AJ$6:$AJ$505,"&gt;"&amp;$A72,実績!$AK$6:$AK$505,"○")&gt;0,1,0))</f>
        <v>0</v>
      </c>
      <c r="BO72" s="39" t="n">
        <f aca="false">IF(BO$4=0,0,IF(COUNTIFS(実績!$W$6:$W$505,BO$3,実績!$AI$6:$AI$505,"&lt;="&amp;$A72,実績!$AJ$6:$AJ$505,"&gt;"&amp;$A72,実績!$AK$6:$AK$505,"○")&gt;0,1,0))</f>
        <v>0</v>
      </c>
      <c r="BP72" s="39" t="n">
        <f aca="false">IF(BP$4=0,0,IF(COUNTIFS(実績!$W$6:$W$505,BP$3,実績!$AI$6:$AI$505,"&lt;="&amp;$A72,実績!$AJ$6:$AJ$505,"&gt;"&amp;$A72,実績!$AK$6:$AK$505,"○")&gt;0,1,0))</f>
        <v>0</v>
      </c>
      <c r="BQ72" s="39" t="n">
        <f aca="false">IF(BQ$4=0,0,IF(COUNTIFS(実績!$W$6:$W$505,BQ$3,実績!$AI$6:$AI$505,"&lt;="&amp;$A72,実績!$AJ$6:$AJ$505,"&gt;"&amp;$A72,実績!$AK$6:$AK$505,"○")&gt;0,1,0))</f>
        <v>0</v>
      </c>
      <c r="BR72" s="39" t="n">
        <f aca="false">IF(BR$4=0,0,IF(COUNTIFS(実績!$W$6:$W$505,BR$3,実績!$AI$6:$AI$505,"&lt;="&amp;$A72,実績!$AJ$6:$AJ$505,"&gt;"&amp;$A72,実績!$AK$6:$AK$505,"○")&gt;0,1,0))</f>
        <v>0</v>
      </c>
      <c r="BS72" s="39" t="n">
        <f aca="false">IF(BS$4=0,0,IF(COUNTIFS(実績!$W$6:$W$505,BS$3,実績!$AI$6:$AI$505,"&lt;="&amp;$A72,実績!$AJ$6:$AJ$505,"&gt;"&amp;$A72,実績!$AK$6:$AK$505,"○")&gt;0,1,0))</f>
        <v>0</v>
      </c>
      <c r="BT72" s="39" t="n">
        <f aca="false">IF(BT$4=0,0,IF(COUNTIFS(実績!$W$6:$W$505,BT$3,実績!$AI$6:$AI$505,"&lt;="&amp;$A72,実績!$AJ$6:$AJ$505,"&gt;"&amp;$A72,実績!$AK$6:$AK$505,"○")&gt;0,1,0))</f>
        <v>0</v>
      </c>
      <c r="BU72" s="39" t="n">
        <f aca="false">IF(BU$4=0,0,IF(COUNTIFS(実績!$W$6:$W$505,BU$3,実績!$AI$6:$AI$505,"&lt;="&amp;$A72,実績!$AJ$6:$AJ$505,"&gt;"&amp;$A72,実績!$AK$6:$AK$505,"○")&gt;0,1,0))</f>
        <v>0</v>
      </c>
      <c r="BV72" s="39" t="n">
        <f aca="false">IF(BV$4=0,0,IF(COUNTIFS(実績!$W$6:$W$505,BV$3,実績!$AI$6:$AI$505,"&lt;="&amp;$A72,実績!$AJ$6:$AJ$505,"&gt;"&amp;$A72,実績!$AK$6:$AK$505,"○")&gt;0,1,0))</f>
        <v>0</v>
      </c>
      <c r="BW72" s="39" t="n">
        <f aca="false">IF(BW$4=0,0,IF(COUNTIFS(実績!$W$6:$W$505,BW$3,実績!$AI$6:$AI$505,"&lt;="&amp;$A72,実績!$AJ$6:$AJ$505,"&gt;"&amp;$A72,実績!$AK$6:$AK$505,"○")&gt;0,1,0))</f>
        <v>0</v>
      </c>
      <c r="BX72" s="39" t="n">
        <f aca="false">IF(BX$4=0,0,IF(COUNTIFS(実績!$W$6:$W$505,BX$3,実績!$AI$6:$AI$505,"&lt;="&amp;$A72,実績!$AJ$6:$AJ$505,"&gt;"&amp;$A72,実績!$AK$6:$AK$505,"○")&gt;0,1,0))</f>
        <v>0</v>
      </c>
      <c r="BY72" s="39" t="n">
        <f aca="false">IF(BY$4=0,0,IF(COUNTIFS(実績!$W$6:$W$505,BY$3,実績!$AI$6:$AI$505,"&lt;="&amp;$A72,実績!$AJ$6:$AJ$505,"&gt;"&amp;$A72,実績!$AK$6:$AK$505,"○")&gt;0,1,0))</f>
        <v>0</v>
      </c>
      <c r="BZ72" s="39" t="n">
        <f aca="false">IF(BZ$4=0,0,IF(COUNTIFS(実績!$W$6:$W$505,BZ$3,実績!$AI$6:$AI$505,"&lt;="&amp;$A72,実績!$AJ$6:$AJ$505,"&gt;"&amp;$A72,実績!$AK$6:$AK$505,"○")&gt;0,1,0))</f>
        <v>0</v>
      </c>
      <c r="CA72" s="39" t="n">
        <f aca="false">IF(CA$4=0,0,IF(COUNTIFS(実績!$W$6:$W$505,CA$3,実績!$AI$6:$AI$505,"&lt;="&amp;$A72,実績!$AJ$6:$AJ$505,"&gt;"&amp;$A72,実績!$AK$6:$AK$505,"○")&gt;0,1,0))</f>
        <v>0</v>
      </c>
      <c r="CB72" s="39" t="n">
        <f aca="false">IF(CB$4=0,0,IF(COUNTIFS(実績!$W$6:$W$505,CB$3,実績!$AI$6:$AI$505,"&lt;="&amp;$A72,実績!$AJ$6:$AJ$505,"&gt;"&amp;$A72,実績!$AK$6:$AK$505,"○")&gt;0,1,0))</f>
        <v>0</v>
      </c>
      <c r="CC72" s="39" t="n">
        <f aca="false">IF(CC$4=0,0,IF(COUNTIFS(実績!$W$6:$W$505,CC$3,実績!$AI$6:$AI$505,"&lt;="&amp;$A72,実績!$AJ$6:$AJ$505,"&gt;"&amp;$A72,実績!$AK$6:$AK$505,"○")&gt;0,1,0))</f>
        <v>0</v>
      </c>
      <c r="CD72" s="39" t="n">
        <f aca="false">IF(CD$4=0,0,IF(COUNTIFS(実績!$W$6:$W$505,CD$3,実績!$AI$6:$AI$505,"&lt;="&amp;$A72,実績!$AJ$6:$AJ$505,"&gt;"&amp;$A72,実績!$AK$6:$AK$505,"○")&gt;0,1,0))</f>
        <v>0</v>
      </c>
      <c r="CE72" s="39" t="n">
        <f aca="false">IF(CE$4=0,0,IF(COUNTIFS(実績!$W$6:$W$505,CE$3,実績!$AI$6:$AI$505,"&lt;="&amp;$A72,実績!$AJ$6:$AJ$505,"&gt;"&amp;$A72,実績!$AK$6:$AK$505,"○")&gt;0,1,0))</f>
        <v>0</v>
      </c>
      <c r="CF72" s="39" t="n">
        <f aca="false">IF(CF$4=0,0,IF(COUNTIFS(実績!$W$6:$W$505,CF$3,実績!$AI$6:$AI$505,"&lt;="&amp;$A72,実績!$AJ$6:$AJ$505,"&gt;"&amp;$A72,実績!$AK$6:$AK$505,"○")&gt;0,1,0))</f>
        <v>0</v>
      </c>
      <c r="CG72" s="39" t="n">
        <f aca="false">IF(CG$4=0,0,IF(COUNTIFS(実績!$W$6:$W$505,CG$3,実績!$AI$6:$AI$505,"&lt;="&amp;$A72,実績!$AJ$6:$AJ$505,"&gt;"&amp;$A72,実績!$AK$6:$AK$505,"○")&gt;0,1,0))</f>
        <v>0</v>
      </c>
      <c r="CH72" s="39" t="n">
        <f aca="false">IF(CH$4=0,0,IF(COUNTIFS(実績!$W$6:$W$505,CH$3,実績!$AI$6:$AI$505,"&lt;="&amp;$A72,実績!$AJ$6:$AJ$505,"&gt;"&amp;$A72,実績!$AK$6:$AK$505,"○")&gt;0,1,0))</f>
        <v>0</v>
      </c>
      <c r="CI72" s="39" t="n">
        <f aca="false">IF(CI$4=0,0,IF(COUNTIFS(実績!$W$6:$W$505,CI$3,実績!$AI$6:$AI$505,"&lt;="&amp;$A72,実績!$AJ$6:$AJ$505,"&gt;"&amp;$A72,実績!$AK$6:$AK$505,"○")&gt;0,1,0))</f>
        <v>0</v>
      </c>
      <c r="CJ72" s="39" t="n">
        <f aca="false">IF(CJ$4=0,0,IF(COUNTIFS(実績!$W$6:$W$505,CJ$3,実績!$AI$6:$AI$505,"&lt;="&amp;$A72,実績!$AJ$6:$AJ$505,"&gt;"&amp;$A72,実績!$AK$6:$AK$505,"○")&gt;0,1,0))</f>
        <v>0</v>
      </c>
      <c r="CK72" s="39" t="n">
        <f aca="false">IF(CK$4=0,0,IF(COUNTIFS(実績!$W$6:$W$505,CK$3,実績!$AI$6:$AI$505,"&lt;="&amp;$A72,実績!$AJ$6:$AJ$505,"&gt;"&amp;$A72,実績!$AK$6:$AK$505,"○")&gt;0,1,0))</f>
        <v>0</v>
      </c>
      <c r="CL72" s="39" t="n">
        <f aca="false">IF(CL$4=0,0,IF(COUNTIFS(実績!$W$6:$W$505,CL$3,実績!$AI$6:$AI$505,"&lt;="&amp;$A72,実績!$AJ$6:$AJ$505,"&gt;"&amp;$A72,実績!$AK$6:$AK$505,"○")&gt;0,1,0))</f>
        <v>0</v>
      </c>
      <c r="CM72" s="39" t="n">
        <f aca="false">IF(CM$4=0,0,IF(COUNTIFS(実績!$W$6:$W$505,CM$3,実績!$AI$6:$AI$505,"&lt;="&amp;$A72,実績!$AJ$6:$AJ$505,"&gt;"&amp;$A72,実績!$AK$6:$AK$505,"○")&gt;0,1,0))</f>
        <v>0</v>
      </c>
      <c r="CN72" s="39" t="n">
        <f aca="false">IF(CN$4=0,0,IF(COUNTIFS(実績!$W$6:$W$505,CN$3,実績!$AI$6:$AI$505,"&lt;="&amp;$A72,実績!$AJ$6:$AJ$505,"&gt;"&amp;$A72,実績!$AK$6:$AK$505,"○")&gt;0,1,0))</f>
        <v>0</v>
      </c>
      <c r="CO72" s="39" t="n">
        <f aca="false">IF(CO$4=0,0,IF(COUNTIFS(実績!$W$6:$W$505,CO$3,実績!$AI$6:$AI$505,"&lt;="&amp;$A72,実績!$AJ$6:$AJ$505,"&gt;"&amp;$A72,実績!$AK$6:$AK$505,"○")&gt;0,1,0))</f>
        <v>0</v>
      </c>
      <c r="CP72" s="39" t="n">
        <f aca="false">IF(CP$4=0,0,IF(COUNTIFS(実績!$W$6:$W$505,CP$3,実績!$AI$6:$AI$505,"&lt;="&amp;$A72,実績!$AJ$6:$AJ$505,"&gt;"&amp;$A72,実績!$AK$6:$AK$505,"○")&gt;0,1,0))</f>
        <v>0</v>
      </c>
      <c r="CQ72" s="39" t="n">
        <f aca="false">IF(CQ$4=0,0,IF(COUNTIFS(実績!$W$6:$W$505,CQ$3,実績!$AI$6:$AI$505,"&lt;="&amp;$A72,実績!$AJ$6:$AJ$505,"&gt;"&amp;$A72,実績!$AK$6:$AK$505,"○")&gt;0,1,0))</f>
        <v>0</v>
      </c>
      <c r="CR72" s="39" t="n">
        <f aca="false">IF(CR$4=0,0,IF(COUNTIFS(実績!$W$6:$W$505,CR$3,実績!$AI$6:$AI$505,"&lt;="&amp;$A72,実績!$AJ$6:$AJ$505,"&gt;"&amp;$A72,実績!$AK$6:$AK$505,"○")&gt;0,1,0))</f>
        <v>0</v>
      </c>
      <c r="CS72" s="39" t="n">
        <f aca="false">IF(CS$4=0,0,IF(COUNTIFS(実績!$W$6:$W$505,CS$3,実績!$AI$6:$AI$505,"&lt;="&amp;$A72,実績!$AJ$6:$AJ$505,"&gt;"&amp;$A72,実績!$AK$6:$AK$505,"○")&gt;0,1,0))</f>
        <v>0</v>
      </c>
      <c r="CT72" s="39" t="n">
        <f aca="false">IF(CT$4=0,0,IF(COUNTIFS(実績!$W$6:$W$505,CT$3,実績!$AI$6:$AI$505,"&lt;="&amp;$A72,実績!$AJ$6:$AJ$505,"&gt;"&amp;$A72,実績!$AK$6:$AK$505,"○")&gt;0,1,0))</f>
        <v>0</v>
      </c>
      <c r="CU72" s="39" t="n">
        <f aca="false">IF(CU$4=0,0,IF(COUNTIFS(実績!$W$6:$W$505,CU$3,実績!$AI$6:$AI$505,"&lt;="&amp;$A72,実績!$AJ$6:$AJ$505,"&gt;"&amp;$A72,実績!$AK$6:$AK$505,"○")&gt;0,1,0))</f>
        <v>0</v>
      </c>
      <c r="CV72" s="39" t="n">
        <f aca="false">IF(CV$4=0,0,IF(COUNTIFS(実績!$W$6:$W$505,CV$3,実績!$AI$6:$AI$505,"&lt;="&amp;$A72,実績!$AJ$6:$AJ$505,"&gt;"&amp;$A72,実績!$AK$6:$AK$505,"○")&gt;0,1,0))</f>
        <v>0</v>
      </c>
      <c r="CW72" s="39" t="n">
        <f aca="false">IF(CW$4=0,0,IF(COUNTIFS(実績!$W$6:$W$505,CW$3,実績!$AI$6:$AI$505,"&lt;="&amp;$A72,実績!$AJ$6:$AJ$505,"&gt;"&amp;$A72,実績!$AK$6:$AK$505,"○")&gt;0,1,0))</f>
        <v>0</v>
      </c>
      <c r="CX72" s="39" t="n">
        <f aca="false">IF(CX$4=0,0,IF(COUNTIFS(実績!$W$6:$W$505,CX$3,実績!$AI$6:$AI$505,"&lt;="&amp;$A72,実績!$AJ$6:$AJ$505,"&gt;"&amp;$A72,実績!$AK$6:$AK$505,"○")&gt;0,1,0))</f>
        <v>0</v>
      </c>
      <c r="CY72" s="39" t="n">
        <f aca="false">IF(CY$4=0,0,IF(COUNTIFS(実績!$W$6:$W$505,CY$3,実績!$AI$6:$AI$505,"&lt;="&amp;$A72,実績!$AJ$6:$AJ$505,"&gt;"&amp;$A72,実績!$AK$6:$AK$505,"○")&gt;0,1,0))</f>
        <v>0</v>
      </c>
      <c r="CZ72" s="39" t="n">
        <f aca="false">IF(CZ$4=0,0,IF(COUNTIFS(実績!$W$6:$W$505,CZ$3,実績!$AI$6:$AI$505,"&lt;="&amp;$A72,実績!$AJ$6:$AJ$505,"&gt;"&amp;$A72,実績!$AK$6:$AK$505,"○")&gt;0,1,0))</f>
        <v>0</v>
      </c>
      <c r="DA72" s="39" t="n">
        <f aca="false">IF(DA$4=0,0,IF(COUNTIFS(実績!$W$6:$W$505,DA$3,実績!$AI$6:$AI$505,"&lt;="&amp;$A72,実績!$AJ$6:$AJ$505,"&gt;"&amp;$A72,実績!$AK$6:$AK$505,"○")&gt;0,1,0))</f>
        <v>0</v>
      </c>
      <c r="DB72" s="39" t="n">
        <f aca="false">IF(DB$4=0,0,IF(COUNTIFS(実績!$W$6:$W$505,DB$3,実績!$AI$6:$AI$505,"&lt;="&amp;$A72,実績!$AJ$6:$AJ$505,"&gt;"&amp;$A72,実績!$AK$6:$AK$505,"○")&gt;0,1,0))</f>
        <v>0</v>
      </c>
      <c r="DC72" s="39" t="n">
        <f aca="false">IF(DC$4=0,0,IF(COUNTIFS(実績!$W$6:$W$505,DC$3,実績!$AI$6:$AI$505,"&lt;="&amp;$A72,実績!$AJ$6:$AJ$505,"&gt;"&amp;$A72,実績!$AK$6:$AK$505,"○")&gt;0,1,0))</f>
        <v>0</v>
      </c>
      <c r="DD72" s="39" t="n">
        <f aca="false">IF(DD$4=0,0,IF(COUNTIFS(実績!$W$6:$W$505,DD$3,実績!$AI$6:$AI$505,"&lt;="&amp;$A72,実績!$AJ$6:$AJ$505,"&gt;"&amp;$A72,実績!$AK$6:$AK$505,"○")&gt;0,1,0))</f>
        <v>0</v>
      </c>
      <c r="DE72" s="39" t="n">
        <f aca="false">IF(DE$4=0,0,IF(COUNTIFS(実績!$W$6:$W$505,DE$3,実績!$AI$6:$AI$505,"&lt;="&amp;$A72,実績!$AJ$6:$AJ$505,"&gt;"&amp;$A72,実績!$AK$6:$AK$505,"○")&gt;0,1,0))</f>
        <v>0</v>
      </c>
      <c r="DF72" s="39" t="n">
        <f aca="false">IF(DF$4=0,0,IF(COUNTIFS(実績!$W$6:$W$505,DF$3,実績!$AI$6:$AI$505,"&lt;="&amp;$A72,実績!$AJ$6:$AJ$505,"&gt;"&amp;$A72,実績!$AK$6:$AK$505,"○")&gt;0,1,0))</f>
        <v>0</v>
      </c>
      <c r="DG72" s="39" t="n">
        <f aca="false">IF(DG$4=0,0,IF(COUNTIFS(実績!$W$6:$W$505,DG$3,実績!$AI$6:$AI$505,"&lt;="&amp;$A72,実績!$AJ$6:$AJ$505,"&gt;"&amp;$A72,実績!$AK$6:$AK$505,"○")&gt;0,1,0))</f>
        <v>0</v>
      </c>
      <c r="DH72" s="39" t="n">
        <f aca="false">IF(DH$4=0,0,IF(COUNTIFS(実績!$W$6:$W$505,DH$3,実績!$AI$6:$AI$505,"&lt;="&amp;$A72,実績!$AJ$6:$AJ$505,"&gt;"&amp;$A72,実績!$AK$6:$AK$505,"○")&gt;0,1,0))</f>
        <v>0</v>
      </c>
      <c r="DI72" s="39" t="n">
        <f aca="false">IF(DI$4=0,0,IF(COUNTIFS(実績!$W$6:$W$505,DI$3,実績!$AI$6:$AI$505,"&lt;="&amp;$A72,実績!$AJ$6:$AJ$505,"&gt;"&amp;$A72,実績!$AK$6:$AK$505,"○")&gt;0,1,0))</f>
        <v>0</v>
      </c>
      <c r="DJ72" s="39" t="n">
        <f aca="false">IF(DJ$4=0,0,IF(COUNTIFS(実績!$W$6:$W$505,DJ$3,実績!$AI$6:$AI$505,"&lt;="&amp;$A72,実績!$AJ$6:$AJ$505,"&gt;"&amp;$A72,実績!$AK$6:$AK$505,"○")&gt;0,1,0))</f>
        <v>0</v>
      </c>
      <c r="DK72" s="39" t="n">
        <f aca="false">IF(DK$4=0,0,IF(COUNTIFS(実績!$W$6:$W$505,DK$3,実績!$AI$6:$AI$505,"&lt;="&amp;$A72,実績!$AJ$6:$AJ$505,"&gt;"&amp;$A72,実績!$AK$6:$AK$505,"○")&gt;0,1,0))</f>
        <v>0</v>
      </c>
      <c r="DL72" s="39" t="n">
        <f aca="false">IF(DL$4=0,0,IF(COUNTIFS(実績!$W$6:$W$505,DL$3,実績!$AI$6:$AI$505,"&lt;="&amp;$A72,実績!$AJ$6:$AJ$505,"&gt;"&amp;$A72,実績!$AK$6:$AK$505,"○")&gt;0,1,0))</f>
        <v>0</v>
      </c>
      <c r="DM72" s="39" t="n">
        <f aca="false">IF(DM$4=0,0,IF(COUNTIFS(実績!$W$6:$W$505,DM$3,実績!$AI$6:$AI$505,"&lt;="&amp;$A72,実績!$AJ$6:$AJ$505,"&gt;"&amp;$A72,実績!$AK$6:$AK$505,"○")&gt;0,1,0))</f>
        <v>0</v>
      </c>
      <c r="DN72" s="39" t="n">
        <f aca="false">IF(DN$4=0,0,IF(COUNTIFS(実績!$W$6:$W$505,DN$3,実績!$AI$6:$AI$505,"&lt;="&amp;$A72,実績!$AJ$6:$AJ$505,"&gt;"&amp;$A72,実績!$AK$6:$AK$505,"○")&gt;0,1,0))</f>
        <v>0</v>
      </c>
      <c r="DO72" s="39" t="n">
        <f aca="false">IF(DO$4=0,0,IF(COUNTIFS(実績!$W$6:$W$505,DO$3,実績!$AI$6:$AI$505,"&lt;="&amp;$A72,実績!$AJ$6:$AJ$505,"&gt;"&amp;$A72,実績!$AK$6:$AK$505,"○")&gt;0,1,0))</f>
        <v>0</v>
      </c>
      <c r="DP72" s="39" t="n">
        <f aca="false">IF(DP$4=0,0,IF(COUNTIFS(実績!$W$6:$W$505,DP$3,実績!$AI$6:$AI$505,"&lt;="&amp;$A72,実績!$AJ$6:$AJ$505,"&gt;"&amp;$A72,実績!$AK$6:$AK$505,"○")&gt;0,1,0))</f>
        <v>0</v>
      </c>
      <c r="DQ72" s="39" t="n">
        <f aca="false">IF(DQ$4=0,0,IF(COUNTIFS(実績!$W$6:$W$505,DQ$3,実績!$AI$6:$AI$505,"&lt;="&amp;$A72,実績!$AJ$6:$AJ$505,"&gt;"&amp;$A72,実績!$AK$6:$AK$505,"○")&gt;0,1,0))</f>
        <v>0</v>
      </c>
      <c r="DR72" s="39" t="n">
        <f aca="false">IF(DR$4=0,0,IF(COUNTIFS(実績!$W$6:$W$505,DR$3,実績!$AI$6:$AI$505,"&lt;="&amp;$A72,実績!$AJ$6:$AJ$505,"&gt;"&amp;$A72,実績!$AK$6:$AK$505,"○")&gt;0,1,0))</f>
        <v>0</v>
      </c>
      <c r="DS72" s="39" t="n">
        <f aca="false">SUM(C72:DR72)</f>
        <v>0</v>
      </c>
      <c r="DT72" s="39" t="n">
        <f aca="false">SUMPRODUCT((実績!$C$6:$C$505="○")*ISNUMBER(実績!$AM$6:$AM$505)*(実績!$AM$6:$AM$505&lt;=$A72)*(実績!$AN$6:$AN$505&gt;$A72))</f>
        <v>0</v>
      </c>
      <c r="DU72" s="39" t="n">
        <f aca="false">SUMIF($C$2:$DR$2,"製鉄曳船",C72:DR72)</f>
        <v>0</v>
      </c>
      <c r="DV72" s="39" t="n">
        <f aca="false">SUMIF($C$2:$DR$2,"西日本海運",C72:DR72)</f>
        <v>0</v>
      </c>
    </row>
    <row r="73" customFormat="false" ht="15" hidden="false" customHeight="false" outlineLevel="0" collapsed="false">
      <c r="A73" s="0" t="n">
        <v>335</v>
      </c>
      <c r="B73" s="38" t="n">
        <f aca="false">A73/1440</f>
        <v>0.232638888888889</v>
      </c>
      <c r="C73" s="39" t="n">
        <f aca="false">IF(C$4=0,0,IF(COUNTIFS(実績!$W$6:$W$505,C$3,実績!$AI$6:$AI$505,"&lt;="&amp;$A73,実績!$AJ$6:$AJ$505,"&gt;"&amp;$A73,実績!$AK$6:$AK$505,"○")&gt;0,1,0))</f>
        <v>0</v>
      </c>
      <c r="D73" s="39" t="n">
        <f aca="false">IF(D$4=0,0,IF(COUNTIFS(実績!$W$6:$W$505,D$3,実績!$AI$6:$AI$505,"&lt;="&amp;$A73,実績!$AJ$6:$AJ$505,"&gt;"&amp;$A73,実績!$AK$6:$AK$505,"○")&gt;0,1,0))</f>
        <v>0</v>
      </c>
      <c r="E73" s="39" t="n">
        <f aca="false">IF(E$4=0,0,IF(COUNTIFS(実績!$W$6:$W$505,E$3,実績!$AI$6:$AI$505,"&lt;="&amp;$A73,実績!$AJ$6:$AJ$505,"&gt;"&amp;$A73,実績!$AK$6:$AK$505,"○")&gt;0,1,0))</f>
        <v>0</v>
      </c>
      <c r="F73" s="39" t="n">
        <f aca="false">IF(F$4=0,0,IF(COUNTIFS(実績!$W$6:$W$505,F$3,実績!$AI$6:$AI$505,"&lt;="&amp;$A73,実績!$AJ$6:$AJ$505,"&gt;"&amp;$A73,実績!$AK$6:$AK$505,"○")&gt;0,1,0))</f>
        <v>0</v>
      </c>
      <c r="G73" s="39" t="n">
        <f aca="false">IF(G$4=0,0,IF(COUNTIFS(実績!$W$6:$W$505,G$3,実績!$AI$6:$AI$505,"&lt;="&amp;$A73,実績!$AJ$6:$AJ$505,"&gt;"&amp;$A73,実績!$AK$6:$AK$505,"○")&gt;0,1,0))</f>
        <v>0</v>
      </c>
      <c r="H73" s="39" t="n">
        <f aca="false">IF(H$4=0,0,IF(COUNTIFS(実績!$W$6:$W$505,H$3,実績!$AI$6:$AI$505,"&lt;="&amp;$A73,実績!$AJ$6:$AJ$505,"&gt;"&amp;$A73,実績!$AK$6:$AK$505,"○")&gt;0,1,0))</f>
        <v>0</v>
      </c>
      <c r="I73" s="39" t="n">
        <f aca="false">IF(I$4=0,0,IF(COUNTIFS(実績!$W$6:$W$505,I$3,実績!$AI$6:$AI$505,"&lt;="&amp;$A73,実績!$AJ$6:$AJ$505,"&gt;"&amp;$A73,実績!$AK$6:$AK$505,"○")&gt;0,1,0))</f>
        <v>0</v>
      </c>
      <c r="J73" s="39" t="n">
        <f aca="false">IF(J$4=0,0,IF(COUNTIFS(実績!$W$6:$W$505,J$3,実績!$AI$6:$AI$505,"&lt;="&amp;$A73,実績!$AJ$6:$AJ$505,"&gt;"&amp;$A73,実績!$AK$6:$AK$505,"○")&gt;0,1,0))</f>
        <v>0</v>
      </c>
      <c r="K73" s="39" t="n">
        <f aca="false">IF(K$4=0,0,IF(COUNTIFS(実績!$W$6:$W$505,K$3,実績!$AI$6:$AI$505,"&lt;="&amp;$A73,実績!$AJ$6:$AJ$505,"&gt;"&amp;$A73,実績!$AK$6:$AK$505,"○")&gt;0,1,0))</f>
        <v>0</v>
      </c>
      <c r="L73" s="39" t="n">
        <f aca="false">IF(L$4=0,0,IF(COUNTIFS(実績!$W$6:$W$505,L$3,実績!$AI$6:$AI$505,"&lt;="&amp;$A73,実績!$AJ$6:$AJ$505,"&gt;"&amp;$A73,実績!$AK$6:$AK$505,"○")&gt;0,1,0))</f>
        <v>0</v>
      </c>
      <c r="M73" s="39" t="n">
        <f aca="false">IF(M$4=0,0,IF(COUNTIFS(実績!$W$6:$W$505,M$3,実績!$AI$6:$AI$505,"&lt;="&amp;$A73,実績!$AJ$6:$AJ$505,"&gt;"&amp;$A73,実績!$AK$6:$AK$505,"○")&gt;0,1,0))</f>
        <v>0</v>
      </c>
      <c r="N73" s="39" t="n">
        <f aca="false">IF(N$4=0,0,IF(COUNTIFS(実績!$W$6:$W$505,N$3,実績!$AI$6:$AI$505,"&lt;="&amp;$A73,実績!$AJ$6:$AJ$505,"&gt;"&amp;$A73,実績!$AK$6:$AK$505,"○")&gt;0,1,0))</f>
        <v>0</v>
      </c>
      <c r="O73" s="39" t="n">
        <f aca="false">IF(O$4=0,0,IF(COUNTIFS(実績!$W$6:$W$505,O$3,実績!$AI$6:$AI$505,"&lt;="&amp;$A73,実績!$AJ$6:$AJ$505,"&gt;"&amp;$A73,実績!$AK$6:$AK$505,"○")&gt;0,1,0))</f>
        <v>0</v>
      </c>
      <c r="P73" s="39" t="n">
        <f aca="false">IF(P$4=0,0,IF(COUNTIFS(実績!$W$6:$W$505,P$3,実績!$AI$6:$AI$505,"&lt;="&amp;$A73,実績!$AJ$6:$AJ$505,"&gt;"&amp;$A73,実績!$AK$6:$AK$505,"○")&gt;0,1,0))</f>
        <v>0</v>
      </c>
      <c r="Q73" s="39" t="n">
        <f aca="false">IF(Q$4=0,0,IF(COUNTIFS(実績!$W$6:$W$505,Q$3,実績!$AI$6:$AI$505,"&lt;="&amp;$A73,実績!$AJ$6:$AJ$505,"&gt;"&amp;$A73,実績!$AK$6:$AK$505,"○")&gt;0,1,0))</f>
        <v>0</v>
      </c>
      <c r="R73" s="39" t="n">
        <f aca="false">IF(R$4=0,0,IF(COUNTIFS(実績!$W$6:$W$505,R$3,実績!$AI$6:$AI$505,"&lt;="&amp;$A73,実績!$AJ$6:$AJ$505,"&gt;"&amp;$A73,実績!$AK$6:$AK$505,"○")&gt;0,1,0))</f>
        <v>0</v>
      </c>
      <c r="S73" s="39" t="n">
        <f aca="false">IF(S$4=0,0,IF(COUNTIFS(実績!$W$6:$W$505,S$3,実績!$AI$6:$AI$505,"&lt;="&amp;$A73,実績!$AJ$6:$AJ$505,"&gt;"&amp;$A73,実績!$AK$6:$AK$505,"○")&gt;0,1,0))</f>
        <v>0</v>
      </c>
      <c r="T73" s="39" t="n">
        <f aca="false">IF(T$4=0,0,IF(COUNTIFS(実績!$W$6:$W$505,T$3,実績!$AI$6:$AI$505,"&lt;="&amp;$A73,実績!$AJ$6:$AJ$505,"&gt;"&amp;$A73,実績!$AK$6:$AK$505,"○")&gt;0,1,0))</f>
        <v>0</v>
      </c>
      <c r="U73" s="39" t="n">
        <f aca="false">IF(U$4=0,0,IF(COUNTIFS(実績!$W$6:$W$505,U$3,実績!$AI$6:$AI$505,"&lt;="&amp;$A73,実績!$AJ$6:$AJ$505,"&gt;"&amp;$A73,実績!$AK$6:$AK$505,"○")&gt;0,1,0))</f>
        <v>0</v>
      </c>
      <c r="V73" s="39" t="n">
        <f aca="false">IF(V$4=0,0,IF(COUNTIFS(実績!$W$6:$W$505,V$3,実績!$AI$6:$AI$505,"&lt;="&amp;$A73,実績!$AJ$6:$AJ$505,"&gt;"&amp;$A73,実績!$AK$6:$AK$505,"○")&gt;0,1,0))</f>
        <v>0</v>
      </c>
      <c r="W73" s="39" t="n">
        <f aca="false">IF(W$4=0,0,IF(COUNTIFS(実績!$W$6:$W$505,W$3,実績!$AI$6:$AI$505,"&lt;="&amp;$A73,実績!$AJ$6:$AJ$505,"&gt;"&amp;$A73,実績!$AK$6:$AK$505,"○")&gt;0,1,0))</f>
        <v>0</v>
      </c>
      <c r="X73" s="39" t="n">
        <f aca="false">IF(X$4=0,0,IF(COUNTIFS(実績!$W$6:$W$505,X$3,実績!$AI$6:$AI$505,"&lt;="&amp;$A73,実績!$AJ$6:$AJ$505,"&gt;"&amp;$A73,実績!$AK$6:$AK$505,"○")&gt;0,1,0))</f>
        <v>0</v>
      </c>
      <c r="Y73" s="39" t="n">
        <f aca="false">IF(Y$4=0,0,IF(COUNTIFS(実績!$W$6:$W$505,Y$3,実績!$AI$6:$AI$505,"&lt;="&amp;$A73,実績!$AJ$6:$AJ$505,"&gt;"&amp;$A73,実績!$AK$6:$AK$505,"○")&gt;0,1,0))</f>
        <v>0</v>
      </c>
      <c r="Z73" s="39" t="n">
        <f aca="false">IF(Z$4=0,0,IF(COUNTIFS(実績!$W$6:$W$505,Z$3,実績!$AI$6:$AI$505,"&lt;="&amp;$A73,実績!$AJ$6:$AJ$505,"&gt;"&amp;$A73,実績!$AK$6:$AK$505,"○")&gt;0,1,0))</f>
        <v>0</v>
      </c>
      <c r="AA73" s="39" t="n">
        <f aca="false">IF(AA$4=0,0,IF(COUNTIFS(実績!$W$6:$W$505,AA$3,実績!$AI$6:$AI$505,"&lt;="&amp;$A73,実績!$AJ$6:$AJ$505,"&gt;"&amp;$A73,実績!$AK$6:$AK$505,"○")&gt;0,1,0))</f>
        <v>0</v>
      </c>
      <c r="AB73" s="39" t="n">
        <f aca="false">IF(AB$4=0,0,IF(COUNTIFS(実績!$W$6:$W$505,AB$3,実績!$AI$6:$AI$505,"&lt;="&amp;$A73,実績!$AJ$6:$AJ$505,"&gt;"&amp;$A73,実績!$AK$6:$AK$505,"○")&gt;0,1,0))</f>
        <v>0</v>
      </c>
      <c r="AC73" s="39" t="n">
        <f aca="false">IF(AC$4=0,0,IF(COUNTIFS(実績!$W$6:$W$505,AC$3,実績!$AI$6:$AI$505,"&lt;="&amp;$A73,実績!$AJ$6:$AJ$505,"&gt;"&amp;$A73,実績!$AK$6:$AK$505,"○")&gt;0,1,0))</f>
        <v>0</v>
      </c>
      <c r="AD73" s="39" t="n">
        <f aca="false">IF(AD$4=0,0,IF(COUNTIFS(実績!$W$6:$W$505,AD$3,実績!$AI$6:$AI$505,"&lt;="&amp;$A73,実績!$AJ$6:$AJ$505,"&gt;"&amp;$A73,実績!$AK$6:$AK$505,"○")&gt;0,1,0))</f>
        <v>0</v>
      </c>
      <c r="AE73" s="39" t="n">
        <f aca="false">IF(AE$4=0,0,IF(COUNTIFS(実績!$W$6:$W$505,AE$3,実績!$AI$6:$AI$505,"&lt;="&amp;$A73,実績!$AJ$6:$AJ$505,"&gt;"&amp;$A73,実績!$AK$6:$AK$505,"○")&gt;0,1,0))</f>
        <v>0</v>
      </c>
      <c r="AF73" s="39" t="n">
        <f aca="false">IF(AF$4=0,0,IF(COUNTIFS(実績!$W$6:$W$505,AF$3,実績!$AI$6:$AI$505,"&lt;="&amp;$A73,実績!$AJ$6:$AJ$505,"&gt;"&amp;$A73,実績!$AK$6:$AK$505,"○")&gt;0,1,0))</f>
        <v>0</v>
      </c>
      <c r="AG73" s="39" t="n">
        <f aca="false">IF(AG$4=0,0,IF(COUNTIFS(実績!$W$6:$W$505,AG$3,実績!$AI$6:$AI$505,"&lt;="&amp;$A73,実績!$AJ$6:$AJ$505,"&gt;"&amp;$A73,実績!$AK$6:$AK$505,"○")&gt;0,1,0))</f>
        <v>0</v>
      </c>
      <c r="AH73" s="39" t="n">
        <f aca="false">IF(AH$4=0,0,IF(COUNTIFS(実績!$W$6:$W$505,AH$3,実績!$AI$6:$AI$505,"&lt;="&amp;$A73,実績!$AJ$6:$AJ$505,"&gt;"&amp;$A73,実績!$AK$6:$AK$505,"○")&gt;0,1,0))</f>
        <v>0</v>
      </c>
      <c r="AI73" s="39" t="n">
        <f aca="false">IF(AI$4=0,0,IF(COUNTIFS(実績!$W$6:$W$505,AI$3,実績!$AI$6:$AI$505,"&lt;="&amp;$A73,実績!$AJ$6:$AJ$505,"&gt;"&amp;$A73,実績!$AK$6:$AK$505,"○")&gt;0,1,0))</f>
        <v>0</v>
      </c>
      <c r="AJ73" s="39" t="n">
        <f aca="false">IF(AJ$4=0,0,IF(COUNTIFS(実績!$W$6:$W$505,AJ$3,実績!$AI$6:$AI$505,"&lt;="&amp;$A73,実績!$AJ$6:$AJ$505,"&gt;"&amp;$A73,実績!$AK$6:$AK$505,"○")&gt;0,1,0))</f>
        <v>0</v>
      </c>
      <c r="AK73" s="39" t="n">
        <f aca="false">IF(AK$4=0,0,IF(COUNTIFS(実績!$W$6:$W$505,AK$3,実績!$AI$6:$AI$505,"&lt;="&amp;$A73,実績!$AJ$6:$AJ$505,"&gt;"&amp;$A73,実績!$AK$6:$AK$505,"○")&gt;0,1,0))</f>
        <v>0</v>
      </c>
      <c r="AL73" s="39" t="n">
        <f aca="false">IF(AL$4=0,0,IF(COUNTIFS(実績!$W$6:$W$505,AL$3,実績!$AI$6:$AI$505,"&lt;="&amp;$A73,実績!$AJ$6:$AJ$505,"&gt;"&amp;$A73,実績!$AK$6:$AK$505,"○")&gt;0,1,0))</f>
        <v>0</v>
      </c>
      <c r="AM73" s="39" t="n">
        <f aca="false">IF(AM$4=0,0,IF(COUNTIFS(実績!$W$6:$W$505,AM$3,実績!$AI$6:$AI$505,"&lt;="&amp;$A73,実績!$AJ$6:$AJ$505,"&gt;"&amp;$A73,実績!$AK$6:$AK$505,"○")&gt;0,1,0))</f>
        <v>0</v>
      </c>
      <c r="AN73" s="39" t="n">
        <f aca="false">IF(AN$4=0,0,IF(COUNTIFS(実績!$W$6:$W$505,AN$3,実績!$AI$6:$AI$505,"&lt;="&amp;$A73,実績!$AJ$6:$AJ$505,"&gt;"&amp;$A73,実績!$AK$6:$AK$505,"○")&gt;0,1,0))</f>
        <v>0</v>
      </c>
      <c r="AO73" s="39" t="n">
        <f aca="false">IF(AO$4=0,0,IF(COUNTIFS(実績!$W$6:$W$505,AO$3,実績!$AI$6:$AI$505,"&lt;="&amp;$A73,実績!$AJ$6:$AJ$505,"&gt;"&amp;$A73,実績!$AK$6:$AK$505,"○")&gt;0,1,0))</f>
        <v>0</v>
      </c>
      <c r="AP73" s="39" t="n">
        <f aca="false">IF(AP$4=0,0,IF(COUNTIFS(実績!$W$6:$W$505,AP$3,実績!$AI$6:$AI$505,"&lt;="&amp;$A73,実績!$AJ$6:$AJ$505,"&gt;"&amp;$A73,実績!$AK$6:$AK$505,"○")&gt;0,1,0))</f>
        <v>0</v>
      </c>
      <c r="AQ73" s="39" t="n">
        <f aca="false">IF(AQ$4=0,0,IF(COUNTIFS(実績!$W$6:$W$505,AQ$3,実績!$AI$6:$AI$505,"&lt;="&amp;$A73,実績!$AJ$6:$AJ$505,"&gt;"&amp;$A73,実績!$AK$6:$AK$505,"○")&gt;0,1,0))</f>
        <v>0</v>
      </c>
      <c r="AR73" s="39" t="n">
        <f aca="false">IF(AR$4=0,0,IF(COUNTIFS(実績!$W$6:$W$505,AR$3,実績!$AI$6:$AI$505,"&lt;="&amp;$A73,実績!$AJ$6:$AJ$505,"&gt;"&amp;$A73,実績!$AK$6:$AK$505,"○")&gt;0,1,0))</f>
        <v>0</v>
      </c>
      <c r="AS73" s="39" t="n">
        <f aca="false">IF(AS$4=0,0,IF(COUNTIFS(実績!$W$6:$W$505,AS$3,実績!$AI$6:$AI$505,"&lt;="&amp;$A73,実績!$AJ$6:$AJ$505,"&gt;"&amp;$A73,実績!$AK$6:$AK$505,"○")&gt;0,1,0))</f>
        <v>0</v>
      </c>
      <c r="AT73" s="39" t="n">
        <f aca="false">IF(AT$4=0,0,IF(COUNTIFS(実績!$W$6:$W$505,AT$3,実績!$AI$6:$AI$505,"&lt;="&amp;$A73,実績!$AJ$6:$AJ$505,"&gt;"&amp;$A73,実績!$AK$6:$AK$505,"○")&gt;0,1,0))</f>
        <v>0</v>
      </c>
      <c r="AU73" s="39" t="n">
        <f aca="false">IF(AU$4=0,0,IF(COUNTIFS(実績!$W$6:$W$505,AU$3,実績!$AI$6:$AI$505,"&lt;="&amp;$A73,実績!$AJ$6:$AJ$505,"&gt;"&amp;$A73,実績!$AK$6:$AK$505,"○")&gt;0,1,0))</f>
        <v>0</v>
      </c>
      <c r="AV73" s="39" t="n">
        <f aca="false">IF(AV$4=0,0,IF(COUNTIFS(実績!$W$6:$W$505,AV$3,実績!$AI$6:$AI$505,"&lt;="&amp;$A73,実績!$AJ$6:$AJ$505,"&gt;"&amp;$A73,実績!$AK$6:$AK$505,"○")&gt;0,1,0))</f>
        <v>0</v>
      </c>
      <c r="AW73" s="39" t="n">
        <f aca="false">IF(AW$4=0,0,IF(COUNTIFS(実績!$W$6:$W$505,AW$3,実績!$AI$6:$AI$505,"&lt;="&amp;$A73,実績!$AJ$6:$AJ$505,"&gt;"&amp;$A73,実績!$AK$6:$AK$505,"○")&gt;0,1,0))</f>
        <v>0</v>
      </c>
      <c r="AX73" s="39" t="n">
        <f aca="false">IF(AX$4=0,0,IF(COUNTIFS(実績!$W$6:$W$505,AX$3,実績!$AI$6:$AI$505,"&lt;="&amp;$A73,実績!$AJ$6:$AJ$505,"&gt;"&amp;$A73,実績!$AK$6:$AK$505,"○")&gt;0,1,0))</f>
        <v>0</v>
      </c>
      <c r="AY73" s="39" t="n">
        <f aca="false">IF(AY$4=0,0,IF(COUNTIFS(実績!$W$6:$W$505,AY$3,実績!$AI$6:$AI$505,"&lt;="&amp;$A73,実績!$AJ$6:$AJ$505,"&gt;"&amp;$A73,実績!$AK$6:$AK$505,"○")&gt;0,1,0))</f>
        <v>0</v>
      </c>
      <c r="AZ73" s="39" t="n">
        <f aca="false">IF(AZ$4=0,0,IF(COUNTIFS(実績!$W$6:$W$505,AZ$3,実績!$AI$6:$AI$505,"&lt;="&amp;$A73,実績!$AJ$6:$AJ$505,"&gt;"&amp;$A73,実績!$AK$6:$AK$505,"○")&gt;0,1,0))</f>
        <v>0</v>
      </c>
      <c r="BA73" s="39" t="n">
        <f aca="false">IF(BA$4=0,0,IF(COUNTIFS(実績!$W$6:$W$505,BA$3,実績!$AI$6:$AI$505,"&lt;="&amp;$A73,実績!$AJ$6:$AJ$505,"&gt;"&amp;$A73,実績!$AK$6:$AK$505,"○")&gt;0,1,0))</f>
        <v>0</v>
      </c>
      <c r="BB73" s="39" t="n">
        <f aca="false">IF(BB$4=0,0,IF(COUNTIFS(実績!$W$6:$W$505,BB$3,実績!$AI$6:$AI$505,"&lt;="&amp;$A73,実績!$AJ$6:$AJ$505,"&gt;"&amp;$A73,実績!$AK$6:$AK$505,"○")&gt;0,1,0))</f>
        <v>0</v>
      </c>
      <c r="BC73" s="39" t="n">
        <f aca="false">IF(BC$4=0,0,IF(COUNTIFS(実績!$W$6:$W$505,BC$3,実績!$AI$6:$AI$505,"&lt;="&amp;$A73,実績!$AJ$6:$AJ$505,"&gt;"&amp;$A73,実績!$AK$6:$AK$505,"○")&gt;0,1,0))</f>
        <v>0</v>
      </c>
      <c r="BD73" s="39" t="n">
        <f aca="false">IF(BD$4=0,0,IF(COUNTIFS(実績!$W$6:$W$505,BD$3,実績!$AI$6:$AI$505,"&lt;="&amp;$A73,実績!$AJ$6:$AJ$505,"&gt;"&amp;$A73,実績!$AK$6:$AK$505,"○")&gt;0,1,0))</f>
        <v>0</v>
      </c>
      <c r="BE73" s="39" t="n">
        <f aca="false">IF(BE$4=0,0,IF(COUNTIFS(実績!$W$6:$W$505,BE$3,実績!$AI$6:$AI$505,"&lt;="&amp;$A73,実績!$AJ$6:$AJ$505,"&gt;"&amp;$A73,実績!$AK$6:$AK$505,"○")&gt;0,1,0))</f>
        <v>0</v>
      </c>
      <c r="BF73" s="39" t="n">
        <f aca="false">IF(BF$4=0,0,IF(COUNTIFS(実績!$W$6:$W$505,BF$3,実績!$AI$6:$AI$505,"&lt;="&amp;$A73,実績!$AJ$6:$AJ$505,"&gt;"&amp;$A73,実績!$AK$6:$AK$505,"○")&gt;0,1,0))</f>
        <v>0</v>
      </c>
      <c r="BG73" s="39" t="n">
        <f aca="false">IF(BG$4=0,0,IF(COUNTIFS(実績!$W$6:$W$505,BG$3,実績!$AI$6:$AI$505,"&lt;="&amp;$A73,実績!$AJ$6:$AJ$505,"&gt;"&amp;$A73,実績!$AK$6:$AK$505,"○")&gt;0,1,0))</f>
        <v>0</v>
      </c>
      <c r="BH73" s="39" t="n">
        <f aca="false">IF(BH$4=0,0,IF(COUNTIFS(実績!$W$6:$W$505,BH$3,実績!$AI$6:$AI$505,"&lt;="&amp;$A73,実績!$AJ$6:$AJ$505,"&gt;"&amp;$A73,実績!$AK$6:$AK$505,"○")&gt;0,1,0))</f>
        <v>0</v>
      </c>
      <c r="BI73" s="39" t="n">
        <f aca="false">IF(BI$4=0,0,IF(COUNTIFS(実績!$W$6:$W$505,BI$3,実績!$AI$6:$AI$505,"&lt;="&amp;$A73,実績!$AJ$6:$AJ$505,"&gt;"&amp;$A73,実績!$AK$6:$AK$505,"○")&gt;0,1,0))</f>
        <v>0</v>
      </c>
      <c r="BJ73" s="39" t="n">
        <f aca="false">IF(BJ$4=0,0,IF(COUNTIFS(実績!$W$6:$W$505,BJ$3,実績!$AI$6:$AI$505,"&lt;="&amp;$A73,実績!$AJ$6:$AJ$505,"&gt;"&amp;$A73,実績!$AK$6:$AK$505,"○")&gt;0,1,0))</f>
        <v>0</v>
      </c>
      <c r="BK73" s="39" t="n">
        <f aca="false">IF(BK$4=0,0,IF(COUNTIFS(実績!$W$6:$W$505,BK$3,実績!$AI$6:$AI$505,"&lt;="&amp;$A73,実績!$AJ$6:$AJ$505,"&gt;"&amp;$A73,実績!$AK$6:$AK$505,"○")&gt;0,1,0))</f>
        <v>0</v>
      </c>
      <c r="BL73" s="39" t="n">
        <f aca="false">IF(BL$4=0,0,IF(COUNTIFS(実績!$W$6:$W$505,BL$3,実績!$AI$6:$AI$505,"&lt;="&amp;$A73,実績!$AJ$6:$AJ$505,"&gt;"&amp;$A73,実績!$AK$6:$AK$505,"○")&gt;0,1,0))</f>
        <v>0</v>
      </c>
      <c r="BM73" s="39" t="n">
        <f aca="false">IF(BM$4=0,0,IF(COUNTIFS(実績!$W$6:$W$505,BM$3,実績!$AI$6:$AI$505,"&lt;="&amp;$A73,実績!$AJ$6:$AJ$505,"&gt;"&amp;$A73,実績!$AK$6:$AK$505,"○")&gt;0,1,0))</f>
        <v>0</v>
      </c>
      <c r="BN73" s="39" t="n">
        <f aca="false">IF(BN$4=0,0,IF(COUNTIFS(実績!$W$6:$W$505,BN$3,実績!$AI$6:$AI$505,"&lt;="&amp;$A73,実績!$AJ$6:$AJ$505,"&gt;"&amp;$A73,実績!$AK$6:$AK$505,"○")&gt;0,1,0))</f>
        <v>0</v>
      </c>
      <c r="BO73" s="39" t="n">
        <f aca="false">IF(BO$4=0,0,IF(COUNTIFS(実績!$W$6:$W$505,BO$3,実績!$AI$6:$AI$505,"&lt;="&amp;$A73,実績!$AJ$6:$AJ$505,"&gt;"&amp;$A73,実績!$AK$6:$AK$505,"○")&gt;0,1,0))</f>
        <v>0</v>
      </c>
      <c r="BP73" s="39" t="n">
        <f aca="false">IF(BP$4=0,0,IF(COUNTIFS(実績!$W$6:$W$505,BP$3,実績!$AI$6:$AI$505,"&lt;="&amp;$A73,実績!$AJ$6:$AJ$505,"&gt;"&amp;$A73,実績!$AK$6:$AK$505,"○")&gt;0,1,0))</f>
        <v>0</v>
      </c>
      <c r="BQ73" s="39" t="n">
        <f aca="false">IF(BQ$4=0,0,IF(COUNTIFS(実績!$W$6:$W$505,BQ$3,実績!$AI$6:$AI$505,"&lt;="&amp;$A73,実績!$AJ$6:$AJ$505,"&gt;"&amp;$A73,実績!$AK$6:$AK$505,"○")&gt;0,1,0))</f>
        <v>0</v>
      </c>
      <c r="BR73" s="39" t="n">
        <f aca="false">IF(BR$4=0,0,IF(COUNTIFS(実績!$W$6:$W$505,BR$3,実績!$AI$6:$AI$505,"&lt;="&amp;$A73,実績!$AJ$6:$AJ$505,"&gt;"&amp;$A73,実績!$AK$6:$AK$505,"○")&gt;0,1,0))</f>
        <v>0</v>
      </c>
      <c r="BS73" s="39" t="n">
        <f aca="false">IF(BS$4=0,0,IF(COUNTIFS(実績!$W$6:$W$505,BS$3,実績!$AI$6:$AI$505,"&lt;="&amp;$A73,実績!$AJ$6:$AJ$505,"&gt;"&amp;$A73,実績!$AK$6:$AK$505,"○")&gt;0,1,0))</f>
        <v>0</v>
      </c>
      <c r="BT73" s="39" t="n">
        <f aca="false">IF(BT$4=0,0,IF(COUNTIFS(実績!$W$6:$W$505,BT$3,実績!$AI$6:$AI$505,"&lt;="&amp;$A73,実績!$AJ$6:$AJ$505,"&gt;"&amp;$A73,実績!$AK$6:$AK$505,"○")&gt;0,1,0))</f>
        <v>0</v>
      </c>
      <c r="BU73" s="39" t="n">
        <f aca="false">IF(BU$4=0,0,IF(COUNTIFS(実績!$W$6:$W$505,BU$3,実績!$AI$6:$AI$505,"&lt;="&amp;$A73,実績!$AJ$6:$AJ$505,"&gt;"&amp;$A73,実績!$AK$6:$AK$505,"○")&gt;0,1,0))</f>
        <v>0</v>
      </c>
      <c r="BV73" s="39" t="n">
        <f aca="false">IF(BV$4=0,0,IF(COUNTIFS(実績!$W$6:$W$505,BV$3,実績!$AI$6:$AI$505,"&lt;="&amp;$A73,実績!$AJ$6:$AJ$505,"&gt;"&amp;$A73,実績!$AK$6:$AK$505,"○")&gt;0,1,0))</f>
        <v>0</v>
      </c>
      <c r="BW73" s="39" t="n">
        <f aca="false">IF(BW$4=0,0,IF(COUNTIFS(実績!$W$6:$W$505,BW$3,実績!$AI$6:$AI$505,"&lt;="&amp;$A73,実績!$AJ$6:$AJ$505,"&gt;"&amp;$A73,実績!$AK$6:$AK$505,"○")&gt;0,1,0))</f>
        <v>0</v>
      </c>
      <c r="BX73" s="39" t="n">
        <f aca="false">IF(BX$4=0,0,IF(COUNTIFS(実績!$W$6:$W$505,BX$3,実績!$AI$6:$AI$505,"&lt;="&amp;$A73,実績!$AJ$6:$AJ$505,"&gt;"&amp;$A73,実績!$AK$6:$AK$505,"○")&gt;0,1,0))</f>
        <v>0</v>
      </c>
      <c r="BY73" s="39" t="n">
        <f aca="false">IF(BY$4=0,0,IF(COUNTIFS(実績!$W$6:$W$505,BY$3,実績!$AI$6:$AI$505,"&lt;="&amp;$A73,実績!$AJ$6:$AJ$505,"&gt;"&amp;$A73,実績!$AK$6:$AK$505,"○")&gt;0,1,0))</f>
        <v>0</v>
      </c>
      <c r="BZ73" s="39" t="n">
        <f aca="false">IF(BZ$4=0,0,IF(COUNTIFS(実績!$W$6:$W$505,BZ$3,実績!$AI$6:$AI$505,"&lt;="&amp;$A73,実績!$AJ$6:$AJ$505,"&gt;"&amp;$A73,実績!$AK$6:$AK$505,"○")&gt;0,1,0))</f>
        <v>0</v>
      </c>
      <c r="CA73" s="39" t="n">
        <f aca="false">IF(CA$4=0,0,IF(COUNTIFS(実績!$W$6:$W$505,CA$3,実績!$AI$6:$AI$505,"&lt;="&amp;$A73,実績!$AJ$6:$AJ$505,"&gt;"&amp;$A73,実績!$AK$6:$AK$505,"○")&gt;0,1,0))</f>
        <v>0</v>
      </c>
      <c r="CB73" s="39" t="n">
        <f aca="false">IF(CB$4=0,0,IF(COUNTIFS(実績!$W$6:$W$505,CB$3,実績!$AI$6:$AI$505,"&lt;="&amp;$A73,実績!$AJ$6:$AJ$505,"&gt;"&amp;$A73,実績!$AK$6:$AK$505,"○")&gt;0,1,0))</f>
        <v>0</v>
      </c>
      <c r="CC73" s="39" t="n">
        <f aca="false">IF(CC$4=0,0,IF(COUNTIFS(実績!$W$6:$W$505,CC$3,実績!$AI$6:$AI$505,"&lt;="&amp;$A73,実績!$AJ$6:$AJ$505,"&gt;"&amp;$A73,実績!$AK$6:$AK$505,"○")&gt;0,1,0))</f>
        <v>0</v>
      </c>
      <c r="CD73" s="39" t="n">
        <f aca="false">IF(CD$4=0,0,IF(COUNTIFS(実績!$W$6:$W$505,CD$3,実績!$AI$6:$AI$505,"&lt;="&amp;$A73,実績!$AJ$6:$AJ$505,"&gt;"&amp;$A73,実績!$AK$6:$AK$505,"○")&gt;0,1,0))</f>
        <v>0</v>
      </c>
      <c r="CE73" s="39" t="n">
        <f aca="false">IF(CE$4=0,0,IF(COUNTIFS(実績!$W$6:$W$505,CE$3,実績!$AI$6:$AI$505,"&lt;="&amp;$A73,実績!$AJ$6:$AJ$505,"&gt;"&amp;$A73,実績!$AK$6:$AK$505,"○")&gt;0,1,0))</f>
        <v>0</v>
      </c>
      <c r="CF73" s="39" t="n">
        <f aca="false">IF(CF$4=0,0,IF(COUNTIFS(実績!$W$6:$W$505,CF$3,実績!$AI$6:$AI$505,"&lt;="&amp;$A73,実績!$AJ$6:$AJ$505,"&gt;"&amp;$A73,実績!$AK$6:$AK$505,"○")&gt;0,1,0))</f>
        <v>0</v>
      </c>
      <c r="CG73" s="39" t="n">
        <f aca="false">IF(CG$4=0,0,IF(COUNTIFS(実績!$W$6:$W$505,CG$3,実績!$AI$6:$AI$505,"&lt;="&amp;$A73,実績!$AJ$6:$AJ$505,"&gt;"&amp;$A73,実績!$AK$6:$AK$505,"○")&gt;0,1,0))</f>
        <v>0</v>
      </c>
      <c r="CH73" s="39" t="n">
        <f aca="false">IF(CH$4=0,0,IF(COUNTIFS(実績!$W$6:$W$505,CH$3,実績!$AI$6:$AI$505,"&lt;="&amp;$A73,実績!$AJ$6:$AJ$505,"&gt;"&amp;$A73,実績!$AK$6:$AK$505,"○")&gt;0,1,0))</f>
        <v>0</v>
      </c>
      <c r="CI73" s="39" t="n">
        <f aca="false">IF(CI$4=0,0,IF(COUNTIFS(実績!$W$6:$W$505,CI$3,実績!$AI$6:$AI$505,"&lt;="&amp;$A73,実績!$AJ$6:$AJ$505,"&gt;"&amp;$A73,実績!$AK$6:$AK$505,"○")&gt;0,1,0))</f>
        <v>0</v>
      </c>
      <c r="CJ73" s="39" t="n">
        <f aca="false">IF(CJ$4=0,0,IF(COUNTIFS(実績!$W$6:$W$505,CJ$3,実績!$AI$6:$AI$505,"&lt;="&amp;$A73,実績!$AJ$6:$AJ$505,"&gt;"&amp;$A73,実績!$AK$6:$AK$505,"○")&gt;0,1,0))</f>
        <v>0</v>
      </c>
      <c r="CK73" s="39" t="n">
        <f aca="false">IF(CK$4=0,0,IF(COUNTIFS(実績!$W$6:$W$505,CK$3,実績!$AI$6:$AI$505,"&lt;="&amp;$A73,実績!$AJ$6:$AJ$505,"&gt;"&amp;$A73,実績!$AK$6:$AK$505,"○")&gt;0,1,0))</f>
        <v>0</v>
      </c>
      <c r="CL73" s="39" t="n">
        <f aca="false">IF(CL$4=0,0,IF(COUNTIFS(実績!$W$6:$W$505,CL$3,実績!$AI$6:$AI$505,"&lt;="&amp;$A73,実績!$AJ$6:$AJ$505,"&gt;"&amp;$A73,実績!$AK$6:$AK$505,"○")&gt;0,1,0))</f>
        <v>0</v>
      </c>
      <c r="CM73" s="39" t="n">
        <f aca="false">IF(CM$4=0,0,IF(COUNTIFS(実績!$W$6:$W$505,CM$3,実績!$AI$6:$AI$505,"&lt;="&amp;$A73,実績!$AJ$6:$AJ$505,"&gt;"&amp;$A73,実績!$AK$6:$AK$505,"○")&gt;0,1,0))</f>
        <v>0</v>
      </c>
      <c r="CN73" s="39" t="n">
        <f aca="false">IF(CN$4=0,0,IF(COUNTIFS(実績!$W$6:$W$505,CN$3,実績!$AI$6:$AI$505,"&lt;="&amp;$A73,実績!$AJ$6:$AJ$505,"&gt;"&amp;$A73,実績!$AK$6:$AK$505,"○")&gt;0,1,0))</f>
        <v>0</v>
      </c>
      <c r="CO73" s="39" t="n">
        <f aca="false">IF(CO$4=0,0,IF(COUNTIFS(実績!$W$6:$W$505,CO$3,実績!$AI$6:$AI$505,"&lt;="&amp;$A73,実績!$AJ$6:$AJ$505,"&gt;"&amp;$A73,実績!$AK$6:$AK$505,"○")&gt;0,1,0))</f>
        <v>0</v>
      </c>
      <c r="CP73" s="39" t="n">
        <f aca="false">IF(CP$4=0,0,IF(COUNTIFS(実績!$W$6:$W$505,CP$3,実績!$AI$6:$AI$505,"&lt;="&amp;$A73,実績!$AJ$6:$AJ$505,"&gt;"&amp;$A73,実績!$AK$6:$AK$505,"○")&gt;0,1,0))</f>
        <v>0</v>
      </c>
      <c r="CQ73" s="39" t="n">
        <f aca="false">IF(CQ$4=0,0,IF(COUNTIFS(実績!$W$6:$W$505,CQ$3,実績!$AI$6:$AI$505,"&lt;="&amp;$A73,実績!$AJ$6:$AJ$505,"&gt;"&amp;$A73,実績!$AK$6:$AK$505,"○")&gt;0,1,0))</f>
        <v>0</v>
      </c>
      <c r="CR73" s="39" t="n">
        <f aca="false">IF(CR$4=0,0,IF(COUNTIFS(実績!$W$6:$W$505,CR$3,実績!$AI$6:$AI$505,"&lt;="&amp;$A73,実績!$AJ$6:$AJ$505,"&gt;"&amp;$A73,実績!$AK$6:$AK$505,"○")&gt;0,1,0))</f>
        <v>0</v>
      </c>
      <c r="CS73" s="39" t="n">
        <f aca="false">IF(CS$4=0,0,IF(COUNTIFS(実績!$W$6:$W$505,CS$3,実績!$AI$6:$AI$505,"&lt;="&amp;$A73,実績!$AJ$6:$AJ$505,"&gt;"&amp;$A73,実績!$AK$6:$AK$505,"○")&gt;0,1,0))</f>
        <v>0</v>
      </c>
      <c r="CT73" s="39" t="n">
        <f aca="false">IF(CT$4=0,0,IF(COUNTIFS(実績!$W$6:$W$505,CT$3,実績!$AI$6:$AI$505,"&lt;="&amp;$A73,実績!$AJ$6:$AJ$505,"&gt;"&amp;$A73,実績!$AK$6:$AK$505,"○")&gt;0,1,0))</f>
        <v>0</v>
      </c>
      <c r="CU73" s="39" t="n">
        <f aca="false">IF(CU$4=0,0,IF(COUNTIFS(実績!$W$6:$W$505,CU$3,実績!$AI$6:$AI$505,"&lt;="&amp;$A73,実績!$AJ$6:$AJ$505,"&gt;"&amp;$A73,実績!$AK$6:$AK$505,"○")&gt;0,1,0))</f>
        <v>0</v>
      </c>
      <c r="CV73" s="39" t="n">
        <f aca="false">IF(CV$4=0,0,IF(COUNTIFS(実績!$W$6:$W$505,CV$3,実績!$AI$6:$AI$505,"&lt;="&amp;$A73,実績!$AJ$6:$AJ$505,"&gt;"&amp;$A73,実績!$AK$6:$AK$505,"○")&gt;0,1,0))</f>
        <v>0</v>
      </c>
      <c r="CW73" s="39" t="n">
        <f aca="false">IF(CW$4=0,0,IF(COUNTIFS(実績!$W$6:$W$505,CW$3,実績!$AI$6:$AI$505,"&lt;="&amp;$A73,実績!$AJ$6:$AJ$505,"&gt;"&amp;$A73,実績!$AK$6:$AK$505,"○")&gt;0,1,0))</f>
        <v>0</v>
      </c>
      <c r="CX73" s="39" t="n">
        <f aca="false">IF(CX$4=0,0,IF(COUNTIFS(実績!$W$6:$W$505,CX$3,実績!$AI$6:$AI$505,"&lt;="&amp;$A73,実績!$AJ$6:$AJ$505,"&gt;"&amp;$A73,実績!$AK$6:$AK$505,"○")&gt;0,1,0))</f>
        <v>0</v>
      </c>
      <c r="CY73" s="39" t="n">
        <f aca="false">IF(CY$4=0,0,IF(COUNTIFS(実績!$W$6:$W$505,CY$3,実績!$AI$6:$AI$505,"&lt;="&amp;$A73,実績!$AJ$6:$AJ$505,"&gt;"&amp;$A73,実績!$AK$6:$AK$505,"○")&gt;0,1,0))</f>
        <v>0</v>
      </c>
      <c r="CZ73" s="39" t="n">
        <f aca="false">IF(CZ$4=0,0,IF(COUNTIFS(実績!$W$6:$W$505,CZ$3,実績!$AI$6:$AI$505,"&lt;="&amp;$A73,実績!$AJ$6:$AJ$505,"&gt;"&amp;$A73,実績!$AK$6:$AK$505,"○")&gt;0,1,0))</f>
        <v>0</v>
      </c>
      <c r="DA73" s="39" t="n">
        <f aca="false">IF(DA$4=0,0,IF(COUNTIFS(実績!$W$6:$W$505,DA$3,実績!$AI$6:$AI$505,"&lt;="&amp;$A73,実績!$AJ$6:$AJ$505,"&gt;"&amp;$A73,実績!$AK$6:$AK$505,"○")&gt;0,1,0))</f>
        <v>0</v>
      </c>
      <c r="DB73" s="39" t="n">
        <f aca="false">IF(DB$4=0,0,IF(COUNTIFS(実績!$W$6:$W$505,DB$3,実績!$AI$6:$AI$505,"&lt;="&amp;$A73,実績!$AJ$6:$AJ$505,"&gt;"&amp;$A73,実績!$AK$6:$AK$505,"○")&gt;0,1,0))</f>
        <v>0</v>
      </c>
      <c r="DC73" s="39" t="n">
        <f aca="false">IF(DC$4=0,0,IF(COUNTIFS(実績!$W$6:$W$505,DC$3,実績!$AI$6:$AI$505,"&lt;="&amp;$A73,実績!$AJ$6:$AJ$505,"&gt;"&amp;$A73,実績!$AK$6:$AK$505,"○")&gt;0,1,0))</f>
        <v>0</v>
      </c>
      <c r="DD73" s="39" t="n">
        <f aca="false">IF(DD$4=0,0,IF(COUNTIFS(実績!$W$6:$W$505,DD$3,実績!$AI$6:$AI$505,"&lt;="&amp;$A73,実績!$AJ$6:$AJ$505,"&gt;"&amp;$A73,実績!$AK$6:$AK$505,"○")&gt;0,1,0))</f>
        <v>0</v>
      </c>
      <c r="DE73" s="39" t="n">
        <f aca="false">IF(DE$4=0,0,IF(COUNTIFS(実績!$W$6:$W$505,DE$3,実績!$AI$6:$AI$505,"&lt;="&amp;$A73,実績!$AJ$6:$AJ$505,"&gt;"&amp;$A73,実績!$AK$6:$AK$505,"○")&gt;0,1,0))</f>
        <v>0</v>
      </c>
      <c r="DF73" s="39" t="n">
        <f aca="false">IF(DF$4=0,0,IF(COUNTIFS(実績!$W$6:$W$505,DF$3,実績!$AI$6:$AI$505,"&lt;="&amp;$A73,実績!$AJ$6:$AJ$505,"&gt;"&amp;$A73,実績!$AK$6:$AK$505,"○")&gt;0,1,0))</f>
        <v>0</v>
      </c>
      <c r="DG73" s="39" t="n">
        <f aca="false">IF(DG$4=0,0,IF(COUNTIFS(実績!$W$6:$W$505,DG$3,実績!$AI$6:$AI$505,"&lt;="&amp;$A73,実績!$AJ$6:$AJ$505,"&gt;"&amp;$A73,実績!$AK$6:$AK$505,"○")&gt;0,1,0))</f>
        <v>0</v>
      </c>
      <c r="DH73" s="39" t="n">
        <f aca="false">IF(DH$4=0,0,IF(COUNTIFS(実績!$W$6:$W$505,DH$3,実績!$AI$6:$AI$505,"&lt;="&amp;$A73,実績!$AJ$6:$AJ$505,"&gt;"&amp;$A73,実績!$AK$6:$AK$505,"○")&gt;0,1,0))</f>
        <v>0</v>
      </c>
      <c r="DI73" s="39" t="n">
        <f aca="false">IF(DI$4=0,0,IF(COUNTIFS(実績!$W$6:$W$505,DI$3,実績!$AI$6:$AI$505,"&lt;="&amp;$A73,実績!$AJ$6:$AJ$505,"&gt;"&amp;$A73,実績!$AK$6:$AK$505,"○")&gt;0,1,0))</f>
        <v>0</v>
      </c>
      <c r="DJ73" s="39" t="n">
        <f aca="false">IF(DJ$4=0,0,IF(COUNTIFS(実績!$W$6:$W$505,DJ$3,実績!$AI$6:$AI$505,"&lt;="&amp;$A73,実績!$AJ$6:$AJ$505,"&gt;"&amp;$A73,実績!$AK$6:$AK$505,"○")&gt;0,1,0))</f>
        <v>0</v>
      </c>
      <c r="DK73" s="39" t="n">
        <f aca="false">IF(DK$4=0,0,IF(COUNTIFS(実績!$W$6:$W$505,DK$3,実績!$AI$6:$AI$505,"&lt;="&amp;$A73,実績!$AJ$6:$AJ$505,"&gt;"&amp;$A73,実績!$AK$6:$AK$505,"○")&gt;0,1,0))</f>
        <v>0</v>
      </c>
      <c r="DL73" s="39" t="n">
        <f aca="false">IF(DL$4=0,0,IF(COUNTIFS(実績!$W$6:$W$505,DL$3,実績!$AI$6:$AI$505,"&lt;="&amp;$A73,実績!$AJ$6:$AJ$505,"&gt;"&amp;$A73,実績!$AK$6:$AK$505,"○")&gt;0,1,0))</f>
        <v>0</v>
      </c>
      <c r="DM73" s="39" t="n">
        <f aca="false">IF(DM$4=0,0,IF(COUNTIFS(実績!$W$6:$W$505,DM$3,実績!$AI$6:$AI$505,"&lt;="&amp;$A73,実績!$AJ$6:$AJ$505,"&gt;"&amp;$A73,実績!$AK$6:$AK$505,"○")&gt;0,1,0))</f>
        <v>0</v>
      </c>
      <c r="DN73" s="39" t="n">
        <f aca="false">IF(DN$4=0,0,IF(COUNTIFS(実績!$W$6:$W$505,DN$3,実績!$AI$6:$AI$505,"&lt;="&amp;$A73,実績!$AJ$6:$AJ$505,"&gt;"&amp;$A73,実績!$AK$6:$AK$505,"○")&gt;0,1,0))</f>
        <v>0</v>
      </c>
      <c r="DO73" s="39" t="n">
        <f aca="false">IF(DO$4=0,0,IF(COUNTIFS(実績!$W$6:$W$505,DO$3,実績!$AI$6:$AI$505,"&lt;="&amp;$A73,実績!$AJ$6:$AJ$505,"&gt;"&amp;$A73,実績!$AK$6:$AK$505,"○")&gt;0,1,0))</f>
        <v>0</v>
      </c>
      <c r="DP73" s="39" t="n">
        <f aca="false">IF(DP$4=0,0,IF(COUNTIFS(実績!$W$6:$W$505,DP$3,実績!$AI$6:$AI$505,"&lt;="&amp;$A73,実績!$AJ$6:$AJ$505,"&gt;"&amp;$A73,実績!$AK$6:$AK$505,"○")&gt;0,1,0))</f>
        <v>0</v>
      </c>
      <c r="DQ73" s="39" t="n">
        <f aca="false">IF(DQ$4=0,0,IF(COUNTIFS(実績!$W$6:$W$505,DQ$3,実績!$AI$6:$AI$505,"&lt;="&amp;$A73,実績!$AJ$6:$AJ$505,"&gt;"&amp;$A73,実績!$AK$6:$AK$505,"○")&gt;0,1,0))</f>
        <v>0</v>
      </c>
      <c r="DR73" s="39" t="n">
        <f aca="false">IF(DR$4=0,0,IF(COUNTIFS(実績!$W$6:$W$505,DR$3,実績!$AI$6:$AI$505,"&lt;="&amp;$A73,実績!$AJ$6:$AJ$505,"&gt;"&amp;$A73,実績!$AK$6:$AK$505,"○")&gt;0,1,0))</f>
        <v>0</v>
      </c>
      <c r="DS73" s="39" t="n">
        <f aca="false">SUM(C73:DR73)</f>
        <v>0</v>
      </c>
      <c r="DT73" s="39" t="n">
        <f aca="false">SUMPRODUCT((実績!$C$6:$C$505="○")*ISNUMBER(実績!$AM$6:$AM$505)*(実績!$AM$6:$AM$505&lt;=$A73)*(実績!$AN$6:$AN$505&gt;$A73))</f>
        <v>0</v>
      </c>
      <c r="DU73" s="39" t="n">
        <f aca="false">SUMIF($C$2:$DR$2,"製鉄曳船",C73:DR73)</f>
        <v>0</v>
      </c>
      <c r="DV73" s="39" t="n">
        <f aca="false">SUMIF($C$2:$DR$2,"西日本海運",C73:DR73)</f>
        <v>0</v>
      </c>
    </row>
    <row r="74" customFormat="false" ht="15" hidden="false" customHeight="false" outlineLevel="0" collapsed="false">
      <c r="A74" s="0" t="n">
        <v>340</v>
      </c>
      <c r="B74" s="38" t="n">
        <f aca="false">A74/1440</f>
        <v>0.236111111111111</v>
      </c>
      <c r="C74" s="39" t="n">
        <f aca="false">IF(C$4=0,0,IF(COUNTIFS(実績!$W$6:$W$505,C$3,実績!$AI$6:$AI$505,"&lt;="&amp;$A74,実績!$AJ$6:$AJ$505,"&gt;"&amp;$A74,実績!$AK$6:$AK$505,"○")&gt;0,1,0))</f>
        <v>0</v>
      </c>
      <c r="D74" s="39" t="n">
        <f aca="false">IF(D$4=0,0,IF(COUNTIFS(実績!$W$6:$W$505,D$3,実績!$AI$6:$AI$505,"&lt;="&amp;$A74,実績!$AJ$6:$AJ$505,"&gt;"&amp;$A74,実績!$AK$6:$AK$505,"○")&gt;0,1,0))</f>
        <v>0</v>
      </c>
      <c r="E74" s="39" t="n">
        <f aca="false">IF(E$4=0,0,IF(COUNTIFS(実績!$W$6:$W$505,E$3,実績!$AI$6:$AI$505,"&lt;="&amp;$A74,実績!$AJ$6:$AJ$505,"&gt;"&amp;$A74,実績!$AK$6:$AK$505,"○")&gt;0,1,0))</f>
        <v>0</v>
      </c>
      <c r="F74" s="39" t="n">
        <f aca="false">IF(F$4=0,0,IF(COUNTIFS(実績!$W$6:$W$505,F$3,実績!$AI$6:$AI$505,"&lt;="&amp;$A74,実績!$AJ$6:$AJ$505,"&gt;"&amp;$A74,実績!$AK$6:$AK$505,"○")&gt;0,1,0))</f>
        <v>0</v>
      </c>
      <c r="G74" s="39" t="n">
        <f aca="false">IF(G$4=0,0,IF(COUNTIFS(実績!$W$6:$W$505,G$3,実績!$AI$6:$AI$505,"&lt;="&amp;$A74,実績!$AJ$6:$AJ$505,"&gt;"&amp;$A74,実績!$AK$6:$AK$505,"○")&gt;0,1,0))</f>
        <v>0</v>
      </c>
      <c r="H74" s="39" t="n">
        <f aca="false">IF(H$4=0,0,IF(COUNTIFS(実績!$W$6:$W$505,H$3,実績!$AI$6:$AI$505,"&lt;="&amp;$A74,実績!$AJ$6:$AJ$505,"&gt;"&amp;$A74,実績!$AK$6:$AK$505,"○")&gt;0,1,0))</f>
        <v>0</v>
      </c>
      <c r="I74" s="39" t="n">
        <f aca="false">IF(I$4=0,0,IF(COUNTIFS(実績!$W$6:$W$505,I$3,実績!$AI$6:$AI$505,"&lt;="&amp;$A74,実績!$AJ$6:$AJ$505,"&gt;"&amp;$A74,実績!$AK$6:$AK$505,"○")&gt;0,1,0))</f>
        <v>0</v>
      </c>
      <c r="J74" s="39" t="n">
        <f aca="false">IF(J$4=0,0,IF(COUNTIFS(実績!$W$6:$W$505,J$3,実績!$AI$6:$AI$505,"&lt;="&amp;$A74,実績!$AJ$6:$AJ$505,"&gt;"&amp;$A74,実績!$AK$6:$AK$505,"○")&gt;0,1,0))</f>
        <v>0</v>
      </c>
      <c r="K74" s="39" t="n">
        <f aca="false">IF(K$4=0,0,IF(COUNTIFS(実績!$W$6:$W$505,K$3,実績!$AI$6:$AI$505,"&lt;="&amp;$A74,実績!$AJ$6:$AJ$505,"&gt;"&amp;$A74,実績!$AK$6:$AK$505,"○")&gt;0,1,0))</f>
        <v>0</v>
      </c>
      <c r="L74" s="39" t="n">
        <f aca="false">IF(L$4=0,0,IF(COUNTIFS(実績!$W$6:$W$505,L$3,実績!$AI$6:$AI$505,"&lt;="&amp;$A74,実績!$AJ$6:$AJ$505,"&gt;"&amp;$A74,実績!$AK$6:$AK$505,"○")&gt;0,1,0))</f>
        <v>0</v>
      </c>
      <c r="M74" s="39" t="n">
        <f aca="false">IF(M$4=0,0,IF(COUNTIFS(実績!$W$6:$W$505,M$3,実績!$AI$6:$AI$505,"&lt;="&amp;$A74,実績!$AJ$6:$AJ$505,"&gt;"&amp;$A74,実績!$AK$6:$AK$505,"○")&gt;0,1,0))</f>
        <v>0</v>
      </c>
      <c r="N74" s="39" t="n">
        <f aca="false">IF(N$4=0,0,IF(COUNTIFS(実績!$W$6:$W$505,N$3,実績!$AI$6:$AI$505,"&lt;="&amp;$A74,実績!$AJ$6:$AJ$505,"&gt;"&amp;$A74,実績!$AK$6:$AK$505,"○")&gt;0,1,0))</f>
        <v>0</v>
      </c>
      <c r="O74" s="39" t="n">
        <f aca="false">IF(O$4=0,0,IF(COUNTIFS(実績!$W$6:$W$505,O$3,実績!$AI$6:$AI$505,"&lt;="&amp;$A74,実績!$AJ$6:$AJ$505,"&gt;"&amp;$A74,実績!$AK$6:$AK$505,"○")&gt;0,1,0))</f>
        <v>0</v>
      </c>
      <c r="P74" s="39" t="n">
        <f aca="false">IF(P$4=0,0,IF(COUNTIFS(実績!$W$6:$W$505,P$3,実績!$AI$6:$AI$505,"&lt;="&amp;$A74,実績!$AJ$6:$AJ$505,"&gt;"&amp;$A74,実績!$AK$6:$AK$505,"○")&gt;0,1,0))</f>
        <v>0</v>
      </c>
      <c r="Q74" s="39" t="n">
        <f aca="false">IF(Q$4=0,0,IF(COUNTIFS(実績!$W$6:$W$505,Q$3,実績!$AI$6:$AI$505,"&lt;="&amp;$A74,実績!$AJ$6:$AJ$505,"&gt;"&amp;$A74,実績!$AK$6:$AK$505,"○")&gt;0,1,0))</f>
        <v>0</v>
      </c>
      <c r="R74" s="39" t="n">
        <f aca="false">IF(R$4=0,0,IF(COUNTIFS(実績!$W$6:$W$505,R$3,実績!$AI$6:$AI$505,"&lt;="&amp;$A74,実績!$AJ$6:$AJ$505,"&gt;"&amp;$A74,実績!$AK$6:$AK$505,"○")&gt;0,1,0))</f>
        <v>0</v>
      </c>
      <c r="S74" s="39" t="n">
        <f aca="false">IF(S$4=0,0,IF(COUNTIFS(実績!$W$6:$W$505,S$3,実績!$AI$6:$AI$505,"&lt;="&amp;$A74,実績!$AJ$6:$AJ$505,"&gt;"&amp;$A74,実績!$AK$6:$AK$505,"○")&gt;0,1,0))</f>
        <v>0</v>
      </c>
      <c r="T74" s="39" t="n">
        <f aca="false">IF(T$4=0,0,IF(COUNTIFS(実績!$W$6:$W$505,T$3,実績!$AI$6:$AI$505,"&lt;="&amp;$A74,実績!$AJ$6:$AJ$505,"&gt;"&amp;$A74,実績!$AK$6:$AK$505,"○")&gt;0,1,0))</f>
        <v>0</v>
      </c>
      <c r="U74" s="39" t="n">
        <f aca="false">IF(U$4=0,0,IF(COUNTIFS(実績!$W$6:$W$505,U$3,実績!$AI$6:$AI$505,"&lt;="&amp;$A74,実績!$AJ$6:$AJ$505,"&gt;"&amp;$A74,実績!$AK$6:$AK$505,"○")&gt;0,1,0))</f>
        <v>0</v>
      </c>
      <c r="V74" s="39" t="n">
        <f aca="false">IF(V$4=0,0,IF(COUNTIFS(実績!$W$6:$W$505,V$3,実績!$AI$6:$AI$505,"&lt;="&amp;$A74,実績!$AJ$6:$AJ$505,"&gt;"&amp;$A74,実績!$AK$6:$AK$505,"○")&gt;0,1,0))</f>
        <v>0</v>
      </c>
      <c r="W74" s="39" t="n">
        <f aca="false">IF(W$4=0,0,IF(COUNTIFS(実績!$W$6:$W$505,W$3,実績!$AI$6:$AI$505,"&lt;="&amp;$A74,実績!$AJ$6:$AJ$505,"&gt;"&amp;$A74,実績!$AK$6:$AK$505,"○")&gt;0,1,0))</f>
        <v>0</v>
      </c>
      <c r="X74" s="39" t="n">
        <f aca="false">IF(X$4=0,0,IF(COUNTIFS(実績!$W$6:$W$505,X$3,実績!$AI$6:$AI$505,"&lt;="&amp;$A74,実績!$AJ$6:$AJ$505,"&gt;"&amp;$A74,実績!$AK$6:$AK$505,"○")&gt;0,1,0))</f>
        <v>0</v>
      </c>
      <c r="Y74" s="39" t="n">
        <f aca="false">IF(Y$4=0,0,IF(COUNTIFS(実績!$W$6:$W$505,Y$3,実績!$AI$6:$AI$505,"&lt;="&amp;$A74,実績!$AJ$6:$AJ$505,"&gt;"&amp;$A74,実績!$AK$6:$AK$505,"○")&gt;0,1,0))</f>
        <v>0</v>
      </c>
      <c r="Z74" s="39" t="n">
        <f aca="false">IF(Z$4=0,0,IF(COUNTIFS(実績!$W$6:$W$505,Z$3,実績!$AI$6:$AI$505,"&lt;="&amp;$A74,実績!$AJ$6:$AJ$505,"&gt;"&amp;$A74,実績!$AK$6:$AK$505,"○")&gt;0,1,0))</f>
        <v>0</v>
      </c>
      <c r="AA74" s="39" t="n">
        <f aca="false">IF(AA$4=0,0,IF(COUNTIFS(実績!$W$6:$W$505,AA$3,実績!$AI$6:$AI$505,"&lt;="&amp;$A74,実績!$AJ$6:$AJ$505,"&gt;"&amp;$A74,実績!$AK$6:$AK$505,"○")&gt;0,1,0))</f>
        <v>0</v>
      </c>
      <c r="AB74" s="39" t="n">
        <f aca="false">IF(AB$4=0,0,IF(COUNTIFS(実績!$W$6:$W$505,AB$3,実績!$AI$6:$AI$505,"&lt;="&amp;$A74,実績!$AJ$6:$AJ$505,"&gt;"&amp;$A74,実績!$AK$6:$AK$505,"○")&gt;0,1,0))</f>
        <v>0</v>
      </c>
      <c r="AC74" s="39" t="n">
        <f aca="false">IF(AC$4=0,0,IF(COUNTIFS(実績!$W$6:$W$505,AC$3,実績!$AI$6:$AI$505,"&lt;="&amp;$A74,実績!$AJ$6:$AJ$505,"&gt;"&amp;$A74,実績!$AK$6:$AK$505,"○")&gt;0,1,0))</f>
        <v>0</v>
      </c>
      <c r="AD74" s="39" t="n">
        <f aca="false">IF(AD$4=0,0,IF(COUNTIFS(実績!$W$6:$W$505,AD$3,実績!$AI$6:$AI$505,"&lt;="&amp;$A74,実績!$AJ$6:$AJ$505,"&gt;"&amp;$A74,実績!$AK$6:$AK$505,"○")&gt;0,1,0))</f>
        <v>0</v>
      </c>
      <c r="AE74" s="39" t="n">
        <f aca="false">IF(AE$4=0,0,IF(COUNTIFS(実績!$W$6:$W$505,AE$3,実績!$AI$6:$AI$505,"&lt;="&amp;$A74,実績!$AJ$6:$AJ$505,"&gt;"&amp;$A74,実績!$AK$6:$AK$505,"○")&gt;0,1,0))</f>
        <v>0</v>
      </c>
      <c r="AF74" s="39" t="n">
        <f aca="false">IF(AF$4=0,0,IF(COUNTIFS(実績!$W$6:$W$505,AF$3,実績!$AI$6:$AI$505,"&lt;="&amp;$A74,実績!$AJ$6:$AJ$505,"&gt;"&amp;$A74,実績!$AK$6:$AK$505,"○")&gt;0,1,0))</f>
        <v>0</v>
      </c>
      <c r="AG74" s="39" t="n">
        <f aca="false">IF(AG$4=0,0,IF(COUNTIFS(実績!$W$6:$W$505,AG$3,実績!$AI$6:$AI$505,"&lt;="&amp;$A74,実績!$AJ$6:$AJ$505,"&gt;"&amp;$A74,実績!$AK$6:$AK$505,"○")&gt;0,1,0))</f>
        <v>0</v>
      </c>
      <c r="AH74" s="39" t="n">
        <f aca="false">IF(AH$4=0,0,IF(COUNTIFS(実績!$W$6:$W$505,AH$3,実績!$AI$6:$AI$505,"&lt;="&amp;$A74,実績!$AJ$6:$AJ$505,"&gt;"&amp;$A74,実績!$AK$6:$AK$505,"○")&gt;0,1,0))</f>
        <v>0</v>
      </c>
      <c r="AI74" s="39" t="n">
        <f aca="false">IF(AI$4=0,0,IF(COUNTIFS(実績!$W$6:$W$505,AI$3,実績!$AI$6:$AI$505,"&lt;="&amp;$A74,実績!$AJ$6:$AJ$505,"&gt;"&amp;$A74,実績!$AK$6:$AK$505,"○")&gt;0,1,0))</f>
        <v>0</v>
      </c>
      <c r="AJ74" s="39" t="n">
        <f aca="false">IF(AJ$4=0,0,IF(COUNTIFS(実績!$W$6:$W$505,AJ$3,実績!$AI$6:$AI$505,"&lt;="&amp;$A74,実績!$AJ$6:$AJ$505,"&gt;"&amp;$A74,実績!$AK$6:$AK$505,"○")&gt;0,1,0))</f>
        <v>0</v>
      </c>
      <c r="AK74" s="39" t="n">
        <f aca="false">IF(AK$4=0,0,IF(COUNTIFS(実績!$W$6:$W$505,AK$3,実績!$AI$6:$AI$505,"&lt;="&amp;$A74,実績!$AJ$6:$AJ$505,"&gt;"&amp;$A74,実績!$AK$6:$AK$505,"○")&gt;0,1,0))</f>
        <v>0</v>
      </c>
      <c r="AL74" s="39" t="n">
        <f aca="false">IF(AL$4=0,0,IF(COUNTIFS(実績!$W$6:$W$505,AL$3,実績!$AI$6:$AI$505,"&lt;="&amp;$A74,実績!$AJ$6:$AJ$505,"&gt;"&amp;$A74,実績!$AK$6:$AK$505,"○")&gt;0,1,0))</f>
        <v>0</v>
      </c>
      <c r="AM74" s="39" t="n">
        <f aca="false">IF(AM$4=0,0,IF(COUNTIFS(実績!$W$6:$W$505,AM$3,実績!$AI$6:$AI$505,"&lt;="&amp;$A74,実績!$AJ$6:$AJ$505,"&gt;"&amp;$A74,実績!$AK$6:$AK$505,"○")&gt;0,1,0))</f>
        <v>0</v>
      </c>
      <c r="AN74" s="39" t="n">
        <f aca="false">IF(AN$4=0,0,IF(COUNTIFS(実績!$W$6:$W$505,AN$3,実績!$AI$6:$AI$505,"&lt;="&amp;$A74,実績!$AJ$6:$AJ$505,"&gt;"&amp;$A74,実績!$AK$6:$AK$505,"○")&gt;0,1,0))</f>
        <v>0</v>
      </c>
      <c r="AO74" s="39" t="n">
        <f aca="false">IF(AO$4=0,0,IF(COUNTIFS(実績!$W$6:$W$505,AO$3,実績!$AI$6:$AI$505,"&lt;="&amp;$A74,実績!$AJ$6:$AJ$505,"&gt;"&amp;$A74,実績!$AK$6:$AK$505,"○")&gt;0,1,0))</f>
        <v>0</v>
      </c>
      <c r="AP74" s="39" t="n">
        <f aca="false">IF(AP$4=0,0,IF(COUNTIFS(実績!$W$6:$W$505,AP$3,実績!$AI$6:$AI$505,"&lt;="&amp;$A74,実績!$AJ$6:$AJ$505,"&gt;"&amp;$A74,実績!$AK$6:$AK$505,"○")&gt;0,1,0))</f>
        <v>0</v>
      </c>
      <c r="AQ74" s="39" t="n">
        <f aca="false">IF(AQ$4=0,0,IF(COUNTIFS(実績!$W$6:$W$505,AQ$3,実績!$AI$6:$AI$505,"&lt;="&amp;$A74,実績!$AJ$6:$AJ$505,"&gt;"&amp;$A74,実績!$AK$6:$AK$505,"○")&gt;0,1,0))</f>
        <v>0</v>
      </c>
      <c r="AR74" s="39" t="n">
        <f aca="false">IF(AR$4=0,0,IF(COUNTIFS(実績!$W$6:$W$505,AR$3,実績!$AI$6:$AI$505,"&lt;="&amp;$A74,実績!$AJ$6:$AJ$505,"&gt;"&amp;$A74,実績!$AK$6:$AK$505,"○")&gt;0,1,0))</f>
        <v>0</v>
      </c>
      <c r="AS74" s="39" t="n">
        <f aca="false">IF(AS$4=0,0,IF(COUNTIFS(実績!$W$6:$W$505,AS$3,実績!$AI$6:$AI$505,"&lt;="&amp;$A74,実績!$AJ$6:$AJ$505,"&gt;"&amp;$A74,実績!$AK$6:$AK$505,"○")&gt;0,1,0))</f>
        <v>0</v>
      </c>
      <c r="AT74" s="39" t="n">
        <f aca="false">IF(AT$4=0,0,IF(COUNTIFS(実績!$W$6:$W$505,AT$3,実績!$AI$6:$AI$505,"&lt;="&amp;$A74,実績!$AJ$6:$AJ$505,"&gt;"&amp;$A74,実績!$AK$6:$AK$505,"○")&gt;0,1,0))</f>
        <v>0</v>
      </c>
      <c r="AU74" s="39" t="n">
        <f aca="false">IF(AU$4=0,0,IF(COUNTIFS(実績!$W$6:$W$505,AU$3,実績!$AI$6:$AI$505,"&lt;="&amp;$A74,実績!$AJ$6:$AJ$505,"&gt;"&amp;$A74,実績!$AK$6:$AK$505,"○")&gt;0,1,0))</f>
        <v>0</v>
      </c>
      <c r="AV74" s="39" t="n">
        <f aca="false">IF(AV$4=0,0,IF(COUNTIFS(実績!$W$6:$W$505,AV$3,実績!$AI$6:$AI$505,"&lt;="&amp;$A74,実績!$AJ$6:$AJ$505,"&gt;"&amp;$A74,実績!$AK$6:$AK$505,"○")&gt;0,1,0))</f>
        <v>0</v>
      </c>
      <c r="AW74" s="39" t="n">
        <f aca="false">IF(AW$4=0,0,IF(COUNTIFS(実績!$W$6:$W$505,AW$3,実績!$AI$6:$AI$505,"&lt;="&amp;$A74,実績!$AJ$6:$AJ$505,"&gt;"&amp;$A74,実績!$AK$6:$AK$505,"○")&gt;0,1,0))</f>
        <v>0</v>
      </c>
      <c r="AX74" s="39" t="n">
        <f aca="false">IF(AX$4=0,0,IF(COUNTIFS(実績!$W$6:$W$505,AX$3,実績!$AI$6:$AI$505,"&lt;="&amp;$A74,実績!$AJ$6:$AJ$505,"&gt;"&amp;$A74,実績!$AK$6:$AK$505,"○")&gt;0,1,0))</f>
        <v>0</v>
      </c>
      <c r="AY74" s="39" t="n">
        <f aca="false">IF(AY$4=0,0,IF(COUNTIFS(実績!$W$6:$W$505,AY$3,実績!$AI$6:$AI$505,"&lt;="&amp;$A74,実績!$AJ$6:$AJ$505,"&gt;"&amp;$A74,実績!$AK$6:$AK$505,"○")&gt;0,1,0))</f>
        <v>0</v>
      </c>
      <c r="AZ74" s="39" t="n">
        <f aca="false">IF(AZ$4=0,0,IF(COUNTIFS(実績!$W$6:$W$505,AZ$3,実績!$AI$6:$AI$505,"&lt;="&amp;$A74,実績!$AJ$6:$AJ$505,"&gt;"&amp;$A74,実績!$AK$6:$AK$505,"○")&gt;0,1,0))</f>
        <v>0</v>
      </c>
      <c r="BA74" s="39" t="n">
        <f aca="false">IF(BA$4=0,0,IF(COUNTIFS(実績!$W$6:$W$505,BA$3,実績!$AI$6:$AI$505,"&lt;="&amp;$A74,実績!$AJ$6:$AJ$505,"&gt;"&amp;$A74,実績!$AK$6:$AK$505,"○")&gt;0,1,0))</f>
        <v>0</v>
      </c>
      <c r="BB74" s="39" t="n">
        <f aca="false">IF(BB$4=0,0,IF(COUNTIFS(実績!$W$6:$W$505,BB$3,実績!$AI$6:$AI$505,"&lt;="&amp;$A74,実績!$AJ$6:$AJ$505,"&gt;"&amp;$A74,実績!$AK$6:$AK$505,"○")&gt;0,1,0))</f>
        <v>0</v>
      </c>
      <c r="BC74" s="39" t="n">
        <f aca="false">IF(BC$4=0,0,IF(COUNTIFS(実績!$W$6:$W$505,BC$3,実績!$AI$6:$AI$505,"&lt;="&amp;$A74,実績!$AJ$6:$AJ$505,"&gt;"&amp;$A74,実績!$AK$6:$AK$505,"○")&gt;0,1,0))</f>
        <v>0</v>
      </c>
      <c r="BD74" s="39" t="n">
        <f aca="false">IF(BD$4=0,0,IF(COUNTIFS(実績!$W$6:$W$505,BD$3,実績!$AI$6:$AI$505,"&lt;="&amp;$A74,実績!$AJ$6:$AJ$505,"&gt;"&amp;$A74,実績!$AK$6:$AK$505,"○")&gt;0,1,0))</f>
        <v>0</v>
      </c>
      <c r="BE74" s="39" t="n">
        <f aca="false">IF(BE$4=0,0,IF(COUNTIFS(実績!$W$6:$W$505,BE$3,実績!$AI$6:$AI$505,"&lt;="&amp;$A74,実績!$AJ$6:$AJ$505,"&gt;"&amp;$A74,実績!$AK$6:$AK$505,"○")&gt;0,1,0))</f>
        <v>0</v>
      </c>
      <c r="BF74" s="39" t="n">
        <f aca="false">IF(BF$4=0,0,IF(COUNTIFS(実績!$W$6:$W$505,BF$3,実績!$AI$6:$AI$505,"&lt;="&amp;$A74,実績!$AJ$6:$AJ$505,"&gt;"&amp;$A74,実績!$AK$6:$AK$505,"○")&gt;0,1,0))</f>
        <v>0</v>
      </c>
      <c r="BG74" s="39" t="n">
        <f aca="false">IF(BG$4=0,0,IF(COUNTIFS(実績!$W$6:$W$505,BG$3,実績!$AI$6:$AI$505,"&lt;="&amp;$A74,実績!$AJ$6:$AJ$505,"&gt;"&amp;$A74,実績!$AK$6:$AK$505,"○")&gt;0,1,0))</f>
        <v>0</v>
      </c>
      <c r="BH74" s="39" t="n">
        <f aca="false">IF(BH$4=0,0,IF(COUNTIFS(実績!$W$6:$W$505,BH$3,実績!$AI$6:$AI$505,"&lt;="&amp;$A74,実績!$AJ$6:$AJ$505,"&gt;"&amp;$A74,実績!$AK$6:$AK$505,"○")&gt;0,1,0))</f>
        <v>0</v>
      </c>
      <c r="BI74" s="39" t="n">
        <f aca="false">IF(BI$4=0,0,IF(COUNTIFS(実績!$W$6:$W$505,BI$3,実績!$AI$6:$AI$505,"&lt;="&amp;$A74,実績!$AJ$6:$AJ$505,"&gt;"&amp;$A74,実績!$AK$6:$AK$505,"○")&gt;0,1,0))</f>
        <v>0</v>
      </c>
      <c r="BJ74" s="39" t="n">
        <f aca="false">IF(BJ$4=0,0,IF(COUNTIFS(実績!$W$6:$W$505,BJ$3,実績!$AI$6:$AI$505,"&lt;="&amp;$A74,実績!$AJ$6:$AJ$505,"&gt;"&amp;$A74,実績!$AK$6:$AK$505,"○")&gt;0,1,0))</f>
        <v>0</v>
      </c>
      <c r="BK74" s="39" t="n">
        <f aca="false">IF(BK$4=0,0,IF(COUNTIFS(実績!$W$6:$W$505,BK$3,実績!$AI$6:$AI$505,"&lt;="&amp;$A74,実績!$AJ$6:$AJ$505,"&gt;"&amp;$A74,実績!$AK$6:$AK$505,"○")&gt;0,1,0))</f>
        <v>0</v>
      </c>
      <c r="BL74" s="39" t="n">
        <f aca="false">IF(BL$4=0,0,IF(COUNTIFS(実績!$W$6:$W$505,BL$3,実績!$AI$6:$AI$505,"&lt;="&amp;$A74,実績!$AJ$6:$AJ$505,"&gt;"&amp;$A74,実績!$AK$6:$AK$505,"○")&gt;0,1,0))</f>
        <v>0</v>
      </c>
      <c r="BM74" s="39" t="n">
        <f aca="false">IF(BM$4=0,0,IF(COUNTIFS(実績!$W$6:$W$505,BM$3,実績!$AI$6:$AI$505,"&lt;="&amp;$A74,実績!$AJ$6:$AJ$505,"&gt;"&amp;$A74,実績!$AK$6:$AK$505,"○")&gt;0,1,0))</f>
        <v>0</v>
      </c>
      <c r="BN74" s="39" t="n">
        <f aca="false">IF(BN$4=0,0,IF(COUNTIFS(実績!$W$6:$W$505,BN$3,実績!$AI$6:$AI$505,"&lt;="&amp;$A74,実績!$AJ$6:$AJ$505,"&gt;"&amp;$A74,実績!$AK$6:$AK$505,"○")&gt;0,1,0))</f>
        <v>0</v>
      </c>
      <c r="BO74" s="39" t="n">
        <f aca="false">IF(BO$4=0,0,IF(COUNTIFS(実績!$W$6:$W$505,BO$3,実績!$AI$6:$AI$505,"&lt;="&amp;$A74,実績!$AJ$6:$AJ$505,"&gt;"&amp;$A74,実績!$AK$6:$AK$505,"○")&gt;0,1,0))</f>
        <v>0</v>
      </c>
      <c r="BP74" s="39" t="n">
        <f aca="false">IF(BP$4=0,0,IF(COUNTIFS(実績!$W$6:$W$505,BP$3,実績!$AI$6:$AI$505,"&lt;="&amp;$A74,実績!$AJ$6:$AJ$505,"&gt;"&amp;$A74,実績!$AK$6:$AK$505,"○")&gt;0,1,0))</f>
        <v>0</v>
      </c>
      <c r="BQ74" s="39" t="n">
        <f aca="false">IF(BQ$4=0,0,IF(COUNTIFS(実績!$W$6:$W$505,BQ$3,実績!$AI$6:$AI$505,"&lt;="&amp;$A74,実績!$AJ$6:$AJ$505,"&gt;"&amp;$A74,実績!$AK$6:$AK$505,"○")&gt;0,1,0))</f>
        <v>0</v>
      </c>
      <c r="BR74" s="39" t="n">
        <f aca="false">IF(BR$4=0,0,IF(COUNTIFS(実績!$W$6:$W$505,BR$3,実績!$AI$6:$AI$505,"&lt;="&amp;$A74,実績!$AJ$6:$AJ$505,"&gt;"&amp;$A74,実績!$AK$6:$AK$505,"○")&gt;0,1,0))</f>
        <v>0</v>
      </c>
      <c r="BS74" s="39" t="n">
        <f aca="false">IF(BS$4=0,0,IF(COUNTIFS(実績!$W$6:$W$505,BS$3,実績!$AI$6:$AI$505,"&lt;="&amp;$A74,実績!$AJ$6:$AJ$505,"&gt;"&amp;$A74,実績!$AK$6:$AK$505,"○")&gt;0,1,0))</f>
        <v>0</v>
      </c>
      <c r="BT74" s="39" t="n">
        <f aca="false">IF(BT$4=0,0,IF(COUNTIFS(実績!$W$6:$W$505,BT$3,実績!$AI$6:$AI$505,"&lt;="&amp;$A74,実績!$AJ$6:$AJ$505,"&gt;"&amp;$A74,実績!$AK$6:$AK$505,"○")&gt;0,1,0))</f>
        <v>0</v>
      </c>
      <c r="BU74" s="39" t="n">
        <f aca="false">IF(BU$4=0,0,IF(COUNTIFS(実績!$W$6:$W$505,BU$3,実績!$AI$6:$AI$505,"&lt;="&amp;$A74,実績!$AJ$6:$AJ$505,"&gt;"&amp;$A74,実績!$AK$6:$AK$505,"○")&gt;0,1,0))</f>
        <v>0</v>
      </c>
      <c r="BV74" s="39" t="n">
        <f aca="false">IF(BV$4=0,0,IF(COUNTIFS(実績!$W$6:$W$505,BV$3,実績!$AI$6:$AI$505,"&lt;="&amp;$A74,実績!$AJ$6:$AJ$505,"&gt;"&amp;$A74,実績!$AK$6:$AK$505,"○")&gt;0,1,0))</f>
        <v>0</v>
      </c>
      <c r="BW74" s="39" t="n">
        <f aca="false">IF(BW$4=0,0,IF(COUNTIFS(実績!$W$6:$W$505,BW$3,実績!$AI$6:$AI$505,"&lt;="&amp;$A74,実績!$AJ$6:$AJ$505,"&gt;"&amp;$A74,実績!$AK$6:$AK$505,"○")&gt;0,1,0))</f>
        <v>0</v>
      </c>
      <c r="BX74" s="39" t="n">
        <f aca="false">IF(BX$4=0,0,IF(COUNTIFS(実績!$W$6:$W$505,BX$3,実績!$AI$6:$AI$505,"&lt;="&amp;$A74,実績!$AJ$6:$AJ$505,"&gt;"&amp;$A74,実績!$AK$6:$AK$505,"○")&gt;0,1,0))</f>
        <v>0</v>
      </c>
      <c r="BY74" s="39" t="n">
        <f aca="false">IF(BY$4=0,0,IF(COUNTIFS(実績!$W$6:$W$505,BY$3,実績!$AI$6:$AI$505,"&lt;="&amp;$A74,実績!$AJ$6:$AJ$505,"&gt;"&amp;$A74,実績!$AK$6:$AK$505,"○")&gt;0,1,0))</f>
        <v>0</v>
      </c>
      <c r="BZ74" s="39" t="n">
        <f aca="false">IF(BZ$4=0,0,IF(COUNTIFS(実績!$W$6:$W$505,BZ$3,実績!$AI$6:$AI$505,"&lt;="&amp;$A74,実績!$AJ$6:$AJ$505,"&gt;"&amp;$A74,実績!$AK$6:$AK$505,"○")&gt;0,1,0))</f>
        <v>0</v>
      </c>
      <c r="CA74" s="39" t="n">
        <f aca="false">IF(CA$4=0,0,IF(COUNTIFS(実績!$W$6:$W$505,CA$3,実績!$AI$6:$AI$505,"&lt;="&amp;$A74,実績!$AJ$6:$AJ$505,"&gt;"&amp;$A74,実績!$AK$6:$AK$505,"○")&gt;0,1,0))</f>
        <v>0</v>
      </c>
      <c r="CB74" s="39" t="n">
        <f aca="false">IF(CB$4=0,0,IF(COUNTIFS(実績!$W$6:$W$505,CB$3,実績!$AI$6:$AI$505,"&lt;="&amp;$A74,実績!$AJ$6:$AJ$505,"&gt;"&amp;$A74,実績!$AK$6:$AK$505,"○")&gt;0,1,0))</f>
        <v>0</v>
      </c>
      <c r="CC74" s="39" t="n">
        <f aca="false">IF(CC$4=0,0,IF(COUNTIFS(実績!$W$6:$W$505,CC$3,実績!$AI$6:$AI$505,"&lt;="&amp;$A74,実績!$AJ$6:$AJ$505,"&gt;"&amp;$A74,実績!$AK$6:$AK$505,"○")&gt;0,1,0))</f>
        <v>0</v>
      </c>
      <c r="CD74" s="39" t="n">
        <f aca="false">IF(CD$4=0,0,IF(COUNTIFS(実績!$W$6:$W$505,CD$3,実績!$AI$6:$AI$505,"&lt;="&amp;$A74,実績!$AJ$6:$AJ$505,"&gt;"&amp;$A74,実績!$AK$6:$AK$505,"○")&gt;0,1,0))</f>
        <v>0</v>
      </c>
      <c r="CE74" s="39" t="n">
        <f aca="false">IF(CE$4=0,0,IF(COUNTIFS(実績!$W$6:$W$505,CE$3,実績!$AI$6:$AI$505,"&lt;="&amp;$A74,実績!$AJ$6:$AJ$505,"&gt;"&amp;$A74,実績!$AK$6:$AK$505,"○")&gt;0,1,0))</f>
        <v>0</v>
      </c>
      <c r="CF74" s="39" t="n">
        <f aca="false">IF(CF$4=0,0,IF(COUNTIFS(実績!$W$6:$W$505,CF$3,実績!$AI$6:$AI$505,"&lt;="&amp;$A74,実績!$AJ$6:$AJ$505,"&gt;"&amp;$A74,実績!$AK$6:$AK$505,"○")&gt;0,1,0))</f>
        <v>0</v>
      </c>
      <c r="CG74" s="39" t="n">
        <f aca="false">IF(CG$4=0,0,IF(COUNTIFS(実績!$W$6:$W$505,CG$3,実績!$AI$6:$AI$505,"&lt;="&amp;$A74,実績!$AJ$6:$AJ$505,"&gt;"&amp;$A74,実績!$AK$6:$AK$505,"○")&gt;0,1,0))</f>
        <v>0</v>
      </c>
      <c r="CH74" s="39" t="n">
        <f aca="false">IF(CH$4=0,0,IF(COUNTIFS(実績!$W$6:$W$505,CH$3,実績!$AI$6:$AI$505,"&lt;="&amp;$A74,実績!$AJ$6:$AJ$505,"&gt;"&amp;$A74,実績!$AK$6:$AK$505,"○")&gt;0,1,0))</f>
        <v>0</v>
      </c>
      <c r="CI74" s="39" t="n">
        <f aca="false">IF(CI$4=0,0,IF(COUNTIFS(実績!$W$6:$W$505,CI$3,実績!$AI$6:$AI$505,"&lt;="&amp;$A74,実績!$AJ$6:$AJ$505,"&gt;"&amp;$A74,実績!$AK$6:$AK$505,"○")&gt;0,1,0))</f>
        <v>0</v>
      </c>
      <c r="CJ74" s="39" t="n">
        <f aca="false">IF(CJ$4=0,0,IF(COUNTIFS(実績!$W$6:$W$505,CJ$3,実績!$AI$6:$AI$505,"&lt;="&amp;$A74,実績!$AJ$6:$AJ$505,"&gt;"&amp;$A74,実績!$AK$6:$AK$505,"○")&gt;0,1,0))</f>
        <v>0</v>
      </c>
      <c r="CK74" s="39" t="n">
        <f aca="false">IF(CK$4=0,0,IF(COUNTIFS(実績!$W$6:$W$505,CK$3,実績!$AI$6:$AI$505,"&lt;="&amp;$A74,実績!$AJ$6:$AJ$505,"&gt;"&amp;$A74,実績!$AK$6:$AK$505,"○")&gt;0,1,0))</f>
        <v>0</v>
      </c>
      <c r="CL74" s="39" t="n">
        <f aca="false">IF(CL$4=0,0,IF(COUNTIFS(実績!$W$6:$W$505,CL$3,実績!$AI$6:$AI$505,"&lt;="&amp;$A74,実績!$AJ$6:$AJ$505,"&gt;"&amp;$A74,実績!$AK$6:$AK$505,"○")&gt;0,1,0))</f>
        <v>0</v>
      </c>
      <c r="CM74" s="39" t="n">
        <f aca="false">IF(CM$4=0,0,IF(COUNTIFS(実績!$W$6:$W$505,CM$3,実績!$AI$6:$AI$505,"&lt;="&amp;$A74,実績!$AJ$6:$AJ$505,"&gt;"&amp;$A74,実績!$AK$6:$AK$505,"○")&gt;0,1,0))</f>
        <v>0</v>
      </c>
      <c r="CN74" s="39" t="n">
        <f aca="false">IF(CN$4=0,0,IF(COUNTIFS(実績!$W$6:$W$505,CN$3,実績!$AI$6:$AI$505,"&lt;="&amp;$A74,実績!$AJ$6:$AJ$505,"&gt;"&amp;$A74,実績!$AK$6:$AK$505,"○")&gt;0,1,0))</f>
        <v>0</v>
      </c>
      <c r="CO74" s="39" t="n">
        <f aca="false">IF(CO$4=0,0,IF(COUNTIFS(実績!$W$6:$W$505,CO$3,実績!$AI$6:$AI$505,"&lt;="&amp;$A74,実績!$AJ$6:$AJ$505,"&gt;"&amp;$A74,実績!$AK$6:$AK$505,"○")&gt;0,1,0))</f>
        <v>0</v>
      </c>
      <c r="CP74" s="39" t="n">
        <f aca="false">IF(CP$4=0,0,IF(COUNTIFS(実績!$W$6:$W$505,CP$3,実績!$AI$6:$AI$505,"&lt;="&amp;$A74,実績!$AJ$6:$AJ$505,"&gt;"&amp;$A74,実績!$AK$6:$AK$505,"○")&gt;0,1,0))</f>
        <v>0</v>
      </c>
      <c r="CQ74" s="39" t="n">
        <f aca="false">IF(CQ$4=0,0,IF(COUNTIFS(実績!$W$6:$W$505,CQ$3,実績!$AI$6:$AI$505,"&lt;="&amp;$A74,実績!$AJ$6:$AJ$505,"&gt;"&amp;$A74,実績!$AK$6:$AK$505,"○")&gt;0,1,0))</f>
        <v>0</v>
      </c>
      <c r="CR74" s="39" t="n">
        <f aca="false">IF(CR$4=0,0,IF(COUNTIFS(実績!$W$6:$W$505,CR$3,実績!$AI$6:$AI$505,"&lt;="&amp;$A74,実績!$AJ$6:$AJ$505,"&gt;"&amp;$A74,実績!$AK$6:$AK$505,"○")&gt;0,1,0))</f>
        <v>0</v>
      </c>
      <c r="CS74" s="39" t="n">
        <f aca="false">IF(CS$4=0,0,IF(COUNTIFS(実績!$W$6:$W$505,CS$3,実績!$AI$6:$AI$505,"&lt;="&amp;$A74,実績!$AJ$6:$AJ$505,"&gt;"&amp;$A74,実績!$AK$6:$AK$505,"○")&gt;0,1,0))</f>
        <v>0</v>
      </c>
      <c r="CT74" s="39" t="n">
        <f aca="false">IF(CT$4=0,0,IF(COUNTIFS(実績!$W$6:$W$505,CT$3,実績!$AI$6:$AI$505,"&lt;="&amp;$A74,実績!$AJ$6:$AJ$505,"&gt;"&amp;$A74,実績!$AK$6:$AK$505,"○")&gt;0,1,0))</f>
        <v>0</v>
      </c>
      <c r="CU74" s="39" t="n">
        <f aca="false">IF(CU$4=0,0,IF(COUNTIFS(実績!$W$6:$W$505,CU$3,実績!$AI$6:$AI$505,"&lt;="&amp;$A74,実績!$AJ$6:$AJ$505,"&gt;"&amp;$A74,実績!$AK$6:$AK$505,"○")&gt;0,1,0))</f>
        <v>0</v>
      </c>
      <c r="CV74" s="39" t="n">
        <f aca="false">IF(CV$4=0,0,IF(COUNTIFS(実績!$W$6:$W$505,CV$3,実績!$AI$6:$AI$505,"&lt;="&amp;$A74,実績!$AJ$6:$AJ$505,"&gt;"&amp;$A74,実績!$AK$6:$AK$505,"○")&gt;0,1,0))</f>
        <v>0</v>
      </c>
      <c r="CW74" s="39" t="n">
        <f aca="false">IF(CW$4=0,0,IF(COUNTIFS(実績!$W$6:$W$505,CW$3,実績!$AI$6:$AI$505,"&lt;="&amp;$A74,実績!$AJ$6:$AJ$505,"&gt;"&amp;$A74,実績!$AK$6:$AK$505,"○")&gt;0,1,0))</f>
        <v>0</v>
      </c>
      <c r="CX74" s="39" t="n">
        <f aca="false">IF(CX$4=0,0,IF(COUNTIFS(実績!$W$6:$W$505,CX$3,実績!$AI$6:$AI$505,"&lt;="&amp;$A74,実績!$AJ$6:$AJ$505,"&gt;"&amp;$A74,実績!$AK$6:$AK$505,"○")&gt;0,1,0))</f>
        <v>0</v>
      </c>
      <c r="CY74" s="39" t="n">
        <f aca="false">IF(CY$4=0,0,IF(COUNTIFS(実績!$W$6:$W$505,CY$3,実績!$AI$6:$AI$505,"&lt;="&amp;$A74,実績!$AJ$6:$AJ$505,"&gt;"&amp;$A74,実績!$AK$6:$AK$505,"○")&gt;0,1,0))</f>
        <v>0</v>
      </c>
      <c r="CZ74" s="39" t="n">
        <f aca="false">IF(CZ$4=0,0,IF(COUNTIFS(実績!$W$6:$W$505,CZ$3,実績!$AI$6:$AI$505,"&lt;="&amp;$A74,実績!$AJ$6:$AJ$505,"&gt;"&amp;$A74,実績!$AK$6:$AK$505,"○")&gt;0,1,0))</f>
        <v>0</v>
      </c>
      <c r="DA74" s="39" t="n">
        <f aca="false">IF(DA$4=0,0,IF(COUNTIFS(実績!$W$6:$W$505,DA$3,実績!$AI$6:$AI$505,"&lt;="&amp;$A74,実績!$AJ$6:$AJ$505,"&gt;"&amp;$A74,実績!$AK$6:$AK$505,"○")&gt;0,1,0))</f>
        <v>0</v>
      </c>
      <c r="DB74" s="39" t="n">
        <f aca="false">IF(DB$4=0,0,IF(COUNTIFS(実績!$W$6:$W$505,DB$3,実績!$AI$6:$AI$505,"&lt;="&amp;$A74,実績!$AJ$6:$AJ$505,"&gt;"&amp;$A74,実績!$AK$6:$AK$505,"○")&gt;0,1,0))</f>
        <v>0</v>
      </c>
      <c r="DC74" s="39" t="n">
        <f aca="false">IF(DC$4=0,0,IF(COUNTIFS(実績!$W$6:$W$505,DC$3,実績!$AI$6:$AI$505,"&lt;="&amp;$A74,実績!$AJ$6:$AJ$505,"&gt;"&amp;$A74,実績!$AK$6:$AK$505,"○")&gt;0,1,0))</f>
        <v>0</v>
      </c>
      <c r="DD74" s="39" t="n">
        <f aca="false">IF(DD$4=0,0,IF(COUNTIFS(実績!$W$6:$W$505,DD$3,実績!$AI$6:$AI$505,"&lt;="&amp;$A74,実績!$AJ$6:$AJ$505,"&gt;"&amp;$A74,実績!$AK$6:$AK$505,"○")&gt;0,1,0))</f>
        <v>0</v>
      </c>
      <c r="DE74" s="39" t="n">
        <f aca="false">IF(DE$4=0,0,IF(COUNTIFS(実績!$W$6:$W$505,DE$3,実績!$AI$6:$AI$505,"&lt;="&amp;$A74,実績!$AJ$6:$AJ$505,"&gt;"&amp;$A74,実績!$AK$6:$AK$505,"○")&gt;0,1,0))</f>
        <v>0</v>
      </c>
      <c r="DF74" s="39" t="n">
        <f aca="false">IF(DF$4=0,0,IF(COUNTIFS(実績!$W$6:$W$505,DF$3,実績!$AI$6:$AI$505,"&lt;="&amp;$A74,実績!$AJ$6:$AJ$505,"&gt;"&amp;$A74,実績!$AK$6:$AK$505,"○")&gt;0,1,0))</f>
        <v>0</v>
      </c>
      <c r="DG74" s="39" t="n">
        <f aca="false">IF(DG$4=0,0,IF(COUNTIFS(実績!$W$6:$W$505,DG$3,実績!$AI$6:$AI$505,"&lt;="&amp;$A74,実績!$AJ$6:$AJ$505,"&gt;"&amp;$A74,実績!$AK$6:$AK$505,"○")&gt;0,1,0))</f>
        <v>0</v>
      </c>
      <c r="DH74" s="39" t="n">
        <f aca="false">IF(DH$4=0,0,IF(COUNTIFS(実績!$W$6:$W$505,DH$3,実績!$AI$6:$AI$505,"&lt;="&amp;$A74,実績!$AJ$6:$AJ$505,"&gt;"&amp;$A74,実績!$AK$6:$AK$505,"○")&gt;0,1,0))</f>
        <v>0</v>
      </c>
      <c r="DI74" s="39" t="n">
        <f aca="false">IF(DI$4=0,0,IF(COUNTIFS(実績!$W$6:$W$505,DI$3,実績!$AI$6:$AI$505,"&lt;="&amp;$A74,実績!$AJ$6:$AJ$505,"&gt;"&amp;$A74,実績!$AK$6:$AK$505,"○")&gt;0,1,0))</f>
        <v>0</v>
      </c>
      <c r="DJ74" s="39" t="n">
        <f aca="false">IF(DJ$4=0,0,IF(COUNTIFS(実績!$W$6:$W$505,DJ$3,実績!$AI$6:$AI$505,"&lt;="&amp;$A74,実績!$AJ$6:$AJ$505,"&gt;"&amp;$A74,実績!$AK$6:$AK$505,"○")&gt;0,1,0))</f>
        <v>0</v>
      </c>
      <c r="DK74" s="39" t="n">
        <f aca="false">IF(DK$4=0,0,IF(COUNTIFS(実績!$W$6:$W$505,DK$3,実績!$AI$6:$AI$505,"&lt;="&amp;$A74,実績!$AJ$6:$AJ$505,"&gt;"&amp;$A74,実績!$AK$6:$AK$505,"○")&gt;0,1,0))</f>
        <v>0</v>
      </c>
      <c r="DL74" s="39" t="n">
        <f aca="false">IF(DL$4=0,0,IF(COUNTIFS(実績!$W$6:$W$505,DL$3,実績!$AI$6:$AI$505,"&lt;="&amp;$A74,実績!$AJ$6:$AJ$505,"&gt;"&amp;$A74,実績!$AK$6:$AK$505,"○")&gt;0,1,0))</f>
        <v>0</v>
      </c>
      <c r="DM74" s="39" t="n">
        <f aca="false">IF(DM$4=0,0,IF(COUNTIFS(実績!$W$6:$W$505,DM$3,実績!$AI$6:$AI$505,"&lt;="&amp;$A74,実績!$AJ$6:$AJ$505,"&gt;"&amp;$A74,実績!$AK$6:$AK$505,"○")&gt;0,1,0))</f>
        <v>0</v>
      </c>
      <c r="DN74" s="39" t="n">
        <f aca="false">IF(DN$4=0,0,IF(COUNTIFS(実績!$W$6:$W$505,DN$3,実績!$AI$6:$AI$505,"&lt;="&amp;$A74,実績!$AJ$6:$AJ$505,"&gt;"&amp;$A74,実績!$AK$6:$AK$505,"○")&gt;0,1,0))</f>
        <v>0</v>
      </c>
      <c r="DO74" s="39" t="n">
        <f aca="false">IF(DO$4=0,0,IF(COUNTIFS(実績!$W$6:$W$505,DO$3,実績!$AI$6:$AI$505,"&lt;="&amp;$A74,実績!$AJ$6:$AJ$505,"&gt;"&amp;$A74,実績!$AK$6:$AK$505,"○")&gt;0,1,0))</f>
        <v>0</v>
      </c>
      <c r="DP74" s="39" t="n">
        <f aca="false">IF(DP$4=0,0,IF(COUNTIFS(実績!$W$6:$W$505,DP$3,実績!$AI$6:$AI$505,"&lt;="&amp;$A74,実績!$AJ$6:$AJ$505,"&gt;"&amp;$A74,実績!$AK$6:$AK$505,"○")&gt;0,1,0))</f>
        <v>0</v>
      </c>
      <c r="DQ74" s="39" t="n">
        <f aca="false">IF(DQ$4=0,0,IF(COUNTIFS(実績!$W$6:$W$505,DQ$3,実績!$AI$6:$AI$505,"&lt;="&amp;$A74,実績!$AJ$6:$AJ$505,"&gt;"&amp;$A74,実績!$AK$6:$AK$505,"○")&gt;0,1,0))</f>
        <v>0</v>
      </c>
      <c r="DR74" s="39" t="n">
        <f aca="false">IF(DR$4=0,0,IF(COUNTIFS(実績!$W$6:$W$505,DR$3,実績!$AI$6:$AI$505,"&lt;="&amp;$A74,実績!$AJ$6:$AJ$505,"&gt;"&amp;$A74,実績!$AK$6:$AK$505,"○")&gt;0,1,0))</f>
        <v>0</v>
      </c>
      <c r="DS74" s="39" t="n">
        <f aca="false">SUM(C74:DR74)</f>
        <v>0</v>
      </c>
      <c r="DT74" s="39" t="n">
        <f aca="false">SUMPRODUCT((実績!$C$6:$C$505="○")*ISNUMBER(実績!$AM$6:$AM$505)*(実績!$AM$6:$AM$505&lt;=$A74)*(実績!$AN$6:$AN$505&gt;$A74))</f>
        <v>0</v>
      </c>
      <c r="DU74" s="39" t="n">
        <f aca="false">SUMIF($C$2:$DR$2,"製鉄曳船",C74:DR74)</f>
        <v>0</v>
      </c>
      <c r="DV74" s="39" t="n">
        <f aca="false">SUMIF($C$2:$DR$2,"西日本海運",C74:DR74)</f>
        <v>0</v>
      </c>
    </row>
    <row r="75" customFormat="false" ht="15" hidden="false" customHeight="false" outlineLevel="0" collapsed="false">
      <c r="A75" s="0" t="n">
        <v>345</v>
      </c>
      <c r="B75" s="38" t="n">
        <f aca="false">A75/1440</f>
        <v>0.239583333333333</v>
      </c>
      <c r="C75" s="39" t="n">
        <f aca="false">IF(C$4=0,0,IF(COUNTIFS(実績!$W$6:$W$505,C$3,実績!$AI$6:$AI$505,"&lt;="&amp;$A75,実績!$AJ$6:$AJ$505,"&gt;"&amp;$A75,実績!$AK$6:$AK$505,"○")&gt;0,1,0))</f>
        <v>0</v>
      </c>
      <c r="D75" s="39" t="n">
        <f aca="false">IF(D$4=0,0,IF(COUNTIFS(実績!$W$6:$W$505,D$3,実績!$AI$6:$AI$505,"&lt;="&amp;$A75,実績!$AJ$6:$AJ$505,"&gt;"&amp;$A75,実績!$AK$6:$AK$505,"○")&gt;0,1,0))</f>
        <v>0</v>
      </c>
      <c r="E75" s="39" t="n">
        <f aca="false">IF(E$4=0,0,IF(COUNTIFS(実績!$W$6:$W$505,E$3,実績!$AI$6:$AI$505,"&lt;="&amp;$A75,実績!$AJ$6:$AJ$505,"&gt;"&amp;$A75,実績!$AK$6:$AK$505,"○")&gt;0,1,0))</f>
        <v>0</v>
      </c>
      <c r="F75" s="39" t="n">
        <f aca="false">IF(F$4=0,0,IF(COUNTIFS(実績!$W$6:$W$505,F$3,実績!$AI$6:$AI$505,"&lt;="&amp;$A75,実績!$AJ$6:$AJ$505,"&gt;"&amp;$A75,実績!$AK$6:$AK$505,"○")&gt;0,1,0))</f>
        <v>0</v>
      </c>
      <c r="G75" s="39" t="n">
        <f aca="false">IF(G$4=0,0,IF(COUNTIFS(実績!$W$6:$W$505,G$3,実績!$AI$6:$AI$505,"&lt;="&amp;$A75,実績!$AJ$6:$AJ$505,"&gt;"&amp;$A75,実績!$AK$6:$AK$505,"○")&gt;0,1,0))</f>
        <v>0</v>
      </c>
      <c r="H75" s="39" t="n">
        <f aca="false">IF(H$4=0,0,IF(COUNTIFS(実績!$W$6:$W$505,H$3,実績!$AI$6:$AI$505,"&lt;="&amp;$A75,実績!$AJ$6:$AJ$505,"&gt;"&amp;$A75,実績!$AK$6:$AK$505,"○")&gt;0,1,0))</f>
        <v>0</v>
      </c>
      <c r="I75" s="39" t="n">
        <f aca="false">IF(I$4=0,0,IF(COUNTIFS(実績!$W$6:$W$505,I$3,実績!$AI$6:$AI$505,"&lt;="&amp;$A75,実績!$AJ$6:$AJ$505,"&gt;"&amp;$A75,実績!$AK$6:$AK$505,"○")&gt;0,1,0))</f>
        <v>0</v>
      </c>
      <c r="J75" s="39" t="n">
        <f aca="false">IF(J$4=0,0,IF(COUNTIFS(実績!$W$6:$W$505,J$3,実績!$AI$6:$AI$505,"&lt;="&amp;$A75,実績!$AJ$6:$AJ$505,"&gt;"&amp;$A75,実績!$AK$6:$AK$505,"○")&gt;0,1,0))</f>
        <v>0</v>
      </c>
      <c r="K75" s="39" t="n">
        <f aca="false">IF(K$4=0,0,IF(COUNTIFS(実績!$W$6:$W$505,K$3,実績!$AI$6:$AI$505,"&lt;="&amp;$A75,実績!$AJ$6:$AJ$505,"&gt;"&amp;$A75,実績!$AK$6:$AK$505,"○")&gt;0,1,0))</f>
        <v>0</v>
      </c>
      <c r="L75" s="39" t="n">
        <f aca="false">IF(L$4=0,0,IF(COUNTIFS(実績!$W$6:$W$505,L$3,実績!$AI$6:$AI$505,"&lt;="&amp;$A75,実績!$AJ$6:$AJ$505,"&gt;"&amp;$A75,実績!$AK$6:$AK$505,"○")&gt;0,1,0))</f>
        <v>0</v>
      </c>
      <c r="M75" s="39" t="n">
        <f aca="false">IF(M$4=0,0,IF(COUNTIFS(実績!$W$6:$W$505,M$3,実績!$AI$6:$AI$505,"&lt;="&amp;$A75,実績!$AJ$6:$AJ$505,"&gt;"&amp;$A75,実績!$AK$6:$AK$505,"○")&gt;0,1,0))</f>
        <v>0</v>
      </c>
      <c r="N75" s="39" t="n">
        <f aca="false">IF(N$4=0,0,IF(COUNTIFS(実績!$W$6:$W$505,N$3,実績!$AI$6:$AI$505,"&lt;="&amp;$A75,実績!$AJ$6:$AJ$505,"&gt;"&amp;$A75,実績!$AK$6:$AK$505,"○")&gt;0,1,0))</f>
        <v>0</v>
      </c>
      <c r="O75" s="39" t="n">
        <f aca="false">IF(O$4=0,0,IF(COUNTIFS(実績!$W$6:$W$505,O$3,実績!$AI$6:$AI$505,"&lt;="&amp;$A75,実績!$AJ$6:$AJ$505,"&gt;"&amp;$A75,実績!$AK$6:$AK$505,"○")&gt;0,1,0))</f>
        <v>0</v>
      </c>
      <c r="P75" s="39" t="n">
        <f aca="false">IF(P$4=0,0,IF(COUNTIFS(実績!$W$6:$W$505,P$3,実績!$AI$6:$AI$505,"&lt;="&amp;$A75,実績!$AJ$6:$AJ$505,"&gt;"&amp;$A75,実績!$AK$6:$AK$505,"○")&gt;0,1,0))</f>
        <v>0</v>
      </c>
      <c r="Q75" s="39" t="n">
        <f aca="false">IF(Q$4=0,0,IF(COUNTIFS(実績!$W$6:$W$505,Q$3,実績!$AI$6:$AI$505,"&lt;="&amp;$A75,実績!$AJ$6:$AJ$505,"&gt;"&amp;$A75,実績!$AK$6:$AK$505,"○")&gt;0,1,0))</f>
        <v>0</v>
      </c>
      <c r="R75" s="39" t="n">
        <f aca="false">IF(R$4=0,0,IF(COUNTIFS(実績!$W$6:$W$505,R$3,実績!$AI$6:$AI$505,"&lt;="&amp;$A75,実績!$AJ$6:$AJ$505,"&gt;"&amp;$A75,実績!$AK$6:$AK$505,"○")&gt;0,1,0))</f>
        <v>0</v>
      </c>
      <c r="S75" s="39" t="n">
        <f aca="false">IF(S$4=0,0,IF(COUNTIFS(実績!$W$6:$W$505,S$3,実績!$AI$6:$AI$505,"&lt;="&amp;$A75,実績!$AJ$6:$AJ$505,"&gt;"&amp;$A75,実績!$AK$6:$AK$505,"○")&gt;0,1,0))</f>
        <v>0</v>
      </c>
      <c r="T75" s="39" t="n">
        <f aca="false">IF(T$4=0,0,IF(COUNTIFS(実績!$W$6:$W$505,T$3,実績!$AI$6:$AI$505,"&lt;="&amp;$A75,実績!$AJ$6:$AJ$505,"&gt;"&amp;$A75,実績!$AK$6:$AK$505,"○")&gt;0,1,0))</f>
        <v>0</v>
      </c>
      <c r="U75" s="39" t="n">
        <f aca="false">IF(U$4=0,0,IF(COUNTIFS(実績!$W$6:$W$505,U$3,実績!$AI$6:$AI$505,"&lt;="&amp;$A75,実績!$AJ$6:$AJ$505,"&gt;"&amp;$A75,実績!$AK$6:$AK$505,"○")&gt;0,1,0))</f>
        <v>0</v>
      </c>
      <c r="V75" s="39" t="n">
        <f aca="false">IF(V$4=0,0,IF(COUNTIFS(実績!$W$6:$W$505,V$3,実績!$AI$6:$AI$505,"&lt;="&amp;$A75,実績!$AJ$6:$AJ$505,"&gt;"&amp;$A75,実績!$AK$6:$AK$505,"○")&gt;0,1,0))</f>
        <v>0</v>
      </c>
      <c r="W75" s="39" t="n">
        <f aca="false">IF(W$4=0,0,IF(COUNTIFS(実績!$W$6:$W$505,W$3,実績!$AI$6:$AI$505,"&lt;="&amp;$A75,実績!$AJ$6:$AJ$505,"&gt;"&amp;$A75,実績!$AK$6:$AK$505,"○")&gt;0,1,0))</f>
        <v>0</v>
      </c>
      <c r="X75" s="39" t="n">
        <f aca="false">IF(X$4=0,0,IF(COUNTIFS(実績!$W$6:$W$505,X$3,実績!$AI$6:$AI$505,"&lt;="&amp;$A75,実績!$AJ$6:$AJ$505,"&gt;"&amp;$A75,実績!$AK$6:$AK$505,"○")&gt;0,1,0))</f>
        <v>0</v>
      </c>
      <c r="Y75" s="39" t="n">
        <f aca="false">IF(Y$4=0,0,IF(COUNTIFS(実績!$W$6:$W$505,Y$3,実績!$AI$6:$AI$505,"&lt;="&amp;$A75,実績!$AJ$6:$AJ$505,"&gt;"&amp;$A75,実績!$AK$6:$AK$505,"○")&gt;0,1,0))</f>
        <v>0</v>
      </c>
      <c r="Z75" s="39" t="n">
        <f aca="false">IF(Z$4=0,0,IF(COUNTIFS(実績!$W$6:$W$505,Z$3,実績!$AI$6:$AI$505,"&lt;="&amp;$A75,実績!$AJ$6:$AJ$505,"&gt;"&amp;$A75,実績!$AK$6:$AK$505,"○")&gt;0,1,0))</f>
        <v>0</v>
      </c>
      <c r="AA75" s="39" t="n">
        <f aca="false">IF(AA$4=0,0,IF(COUNTIFS(実績!$W$6:$W$505,AA$3,実績!$AI$6:$AI$505,"&lt;="&amp;$A75,実績!$AJ$6:$AJ$505,"&gt;"&amp;$A75,実績!$AK$6:$AK$505,"○")&gt;0,1,0))</f>
        <v>0</v>
      </c>
      <c r="AB75" s="39" t="n">
        <f aca="false">IF(AB$4=0,0,IF(COUNTIFS(実績!$W$6:$W$505,AB$3,実績!$AI$6:$AI$505,"&lt;="&amp;$A75,実績!$AJ$6:$AJ$505,"&gt;"&amp;$A75,実績!$AK$6:$AK$505,"○")&gt;0,1,0))</f>
        <v>0</v>
      </c>
      <c r="AC75" s="39" t="n">
        <f aca="false">IF(AC$4=0,0,IF(COUNTIFS(実績!$W$6:$W$505,AC$3,実績!$AI$6:$AI$505,"&lt;="&amp;$A75,実績!$AJ$6:$AJ$505,"&gt;"&amp;$A75,実績!$AK$6:$AK$505,"○")&gt;0,1,0))</f>
        <v>0</v>
      </c>
      <c r="AD75" s="39" t="n">
        <f aca="false">IF(AD$4=0,0,IF(COUNTIFS(実績!$W$6:$W$505,AD$3,実績!$AI$6:$AI$505,"&lt;="&amp;$A75,実績!$AJ$6:$AJ$505,"&gt;"&amp;$A75,実績!$AK$6:$AK$505,"○")&gt;0,1,0))</f>
        <v>0</v>
      </c>
      <c r="AE75" s="39" t="n">
        <f aca="false">IF(AE$4=0,0,IF(COUNTIFS(実績!$W$6:$W$505,AE$3,実績!$AI$6:$AI$505,"&lt;="&amp;$A75,実績!$AJ$6:$AJ$505,"&gt;"&amp;$A75,実績!$AK$6:$AK$505,"○")&gt;0,1,0))</f>
        <v>0</v>
      </c>
      <c r="AF75" s="39" t="n">
        <f aca="false">IF(AF$4=0,0,IF(COUNTIFS(実績!$W$6:$W$505,AF$3,実績!$AI$6:$AI$505,"&lt;="&amp;$A75,実績!$AJ$6:$AJ$505,"&gt;"&amp;$A75,実績!$AK$6:$AK$505,"○")&gt;0,1,0))</f>
        <v>0</v>
      </c>
      <c r="AG75" s="39" t="n">
        <f aca="false">IF(AG$4=0,0,IF(COUNTIFS(実績!$W$6:$W$505,AG$3,実績!$AI$6:$AI$505,"&lt;="&amp;$A75,実績!$AJ$6:$AJ$505,"&gt;"&amp;$A75,実績!$AK$6:$AK$505,"○")&gt;0,1,0))</f>
        <v>0</v>
      </c>
      <c r="AH75" s="39" t="n">
        <f aca="false">IF(AH$4=0,0,IF(COUNTIFS(実績!$W$6:$W$505,AH$3,実績!$AI$6:$AI$505,"&lt;="&amp;$A75,実績!$AJ$6:$AJ$505,"&gt;"&amp;$A75,実績!$AK$6:$AK$505,"○")&gt;0,1,0))</f>
        <v>0</v>
      </c>
      <c r="AI75" s="39" t="n">
        <f aca="false">IF(AI$4=0,0,IF(COUNTIFS(実績!$W$6:$W$505,AI$3,実績!$AI$6:$AI$505,"&lt;="&amp;$A75,実績!$AJ$6:$AJ$505,"&gt;"&amp;$A75,実績!$AK$6:$AK$505,"○")&gt;0,1,0))</f>
        <v>0</v>
      </c>
      <c r="AJ75" s="39" t="n">
        <f aca="false">IF(AJ$4=0,0,IF(COUNTIFS(実績!$W$6:$W$505,AJ$3,実績!$AI$6:$AI$505,"&lt;="&amp;$A75,実績!$AJ$6:$AJ$505,"&gt;"&amp;$A75,実績!$AK$6:$AK$505,"○")&gt;0,1,0))</f>
        <v>0</v>
      </c>
      <c r="AK75" s="39" t="n">
        <f aca="false">IF(AK$4=0,0,IF(COUNTIFS(実績!$W$6:$W$505,AK$3,実績!$AI$6:$AI$505,"&lt;="&amp;$A75,実績!$AJ$6:$AJ$505,"&gt;"&amp;$A75,実績!$AK$6:$AK$505,"○")&gt;0,1,0))</f>
        <v>0</v>
      </c>
      <c r="AL75" s="39" t="n">
        <f aca="false">IF(AL$4=0,0,IF(COUNTIFS(実績!$W$6:$W$505,AL$3,実績!$AI$6:$AI$505,"&lt;="&amp;$A75,実績!$AJ$6:$AJ$505,"&gt;"&amp;$A75,実績!$AK$6:$AK$505,"○")&gt;0,1,0))</f>
        <v>0</v>
      </c>
      <c r="AM75" s="39" t="n">
        <f aca="false">IF(AM$4=0,0,IF(COUNTIFS(実績!$W$6:$W$505,AM$3,実績!$AI$6:$AI$505,"&lt;="&amp;$A75,実績!$AJ$6:$AJ$505,"&gt;"&amp;$A75,実績!$AK$6:$AK$505,"○")&gt;0,1,0))</f>
        <v>0</v>
      </c>
      <c r="AN75" s="39" t="n">
        <f aca="false">IF(AN$4=0,0,IF(COUNTIFS(実績!$W$6:$W$505,AN$3,実績!$AI$6:$AI$505,"&lt;="&amp;$A75,実績!$AJ$6:$AJ$505,"&gt;"&amp;$A75,実績!$AK$6:$AK$505,"○")&gt;0,1,0))</f>
        <v>0</v>
      </c>
      <c r="AO75" s="39" t="n">
        <f aca="false">IF(AO$4=0,0,IF(COUNTIFS(実績!$W$6:$W$505,AO$3,実績!$AI$6:$AI$505,"&lt;="&amp;$A75,実績!$AJ$6:$AJ$505,"&gt;"&amp;$A75,実績!$AK$6:$AK$505,"○")&gt;0,1,0))</f>
        <v>0</v>
      </c>
      <c r="AP75" s="39" t="n">
        <f aca="false">IF(AP$4=0,0,IF(COUNTIFS(実績!$W$6:$W$505,AP$3,実績!$AI$6:$AI$505,"&lt;="&amp;$A75,実績!$AJ$6:$AJ$505,"&gt;"&amp;$A75,実績!$AK$6:$AK$505,"○")&gt;0,1,0))</f>
        <v>0</v>
      </c>
      <c r="AQ75" s="39" t="n">
        <f aca="false">IF(AQ$4=0,0,IF(COUNTIFS(実績!$W$6:$W$505,AQ$3,実績!$AI$6:$AI$505,"&lt;="&amp;$A75,実績!$AJ$6:$AJ$505,"&gt;"&amp;$A75,実績!$AK$6:$AK$505,"○")&gt;0,1,0))</f>
        <v>0</v>
      </c>
      <c r="AR75" s="39" t="n">
        <f aca="false">IF(AR$4=0,0,IF(COUNTIFS(実績!$W$6:$W$505,AR$3,実績!$AI$6:$AI$505,"&lt;="&amp;$A75,実績!$AJ$6:$AJ$505,"&gt;"&amp;$A75,実績!$AK$6:$AK$505,"○")&gt;0,1,0))</f>
        <v>0</v>
      </c>
      <c r="AS75" s="39" t="n">
        <f aca="false">IF(AS$4=0,0,IF(COUNTIFS(実績!$W$6:$W$505,AS$3,実績!$AI$6:$AI$505,"&lt;="&amp;$A75,実績!$AJ$6:$AJ$505,"&gt;"&amp;$A75,実績!$AK$6:$AK$505,"○")&gt;0,1,0))</f>
        <v>0</v>
      </c>
      <c r="AT75" s="39" t="n">
        <f aca="false">IF(AT$4=0,0,IF(COUNTIFS(実績!$W$6:$W$505,AT$3,実績!$AI$6:$AI$505,"&lt;="&amp;$A75,実績!$AJ$6:$AJ$505,"&gt;"&amp;$A75,実績!$AK$6:$AK$505,"○")&gt;0,1,0))</f>
        <v>0</v>
      </c>
      <c r="AU75" s="39" t="n">
        <f aca="false">IF(AU$4=0,0,IF(COUNTIFS(実績!$W$6:$W$505,AU$3,実績!$AI$6:$AI$505,"&lt;="&amp;$A75,実績!$AJ$6:$AJ$505,"&gt;"&amp;$A75,実績!$AK$6:$AK$505,"○")&gt;0,1,0))</f>
        <v>0</v>
      </c>
      <c r="AV75" s="39" t="n">
        <f aca="false">IF(AV$4=0,0,IF(COUNTIFS(実績!$W$6:$W$505,AV$3,実績!$AI$6:$AI$505,"&lt;="&amp;$A75,実績!$AJ$6:$AJ$505,"&gt;"&amp;$A75,実績!$AK$6:$AK$505,"○")&gt;0,1,0))</f>
        <v>0</v>
      </c>
      <c r="AW75" s="39" t="n">
        <f aca="false">IF(AW$4=0,0,IF(COUNTIFS(実績!$W$6:$W$505,AW$3,実績!$AI$6:$AI$505,"&lt;="&amp;$A75,実績!$AJ$6:$AJ$505,"&gt;"&amp;$A75,実績!$AK$6:$AK$505,"○")&gt;0,1,0))</f>
        <v>0</v>
      </c>
      <c r="AX75" s="39" t="n">
        <f aca="false">IF(AX$4=0,0,IF(COUNTIFS(実績!$W$6:$W$505,AX$3,実績!$AI$6:$AI$505,"&lt;="&amp;$A75,実績!$AJ$6:$AJ$505,"&gt;"&amp;$A75,実績!$AK$6:$AK$505,"○")&gt;0,1,0))</f>
        <v>0</v>
      </c>
      <c r="AY75" s="39" t="n">
        <f aca="false">IF(AY$4=0,0,IF(COUNTIFS(実績!$W$6:$W$505,AY$3,実績!$AI$6:$AI$505,"&lt;="&amp;$A75,実績!$AJ$6:$AJ$505,"&gt;"&amp;$A75,実績!$AK$6:$AK$505,"○")&gt;0,1,0))</f>
        <v>0</v>
      </c>
      <c r="AZ75" s="39" t="n">
        <f aca="false">IF(AZ$4=0,0,IF(COUNTIFS(実績!$W$6:$W$505,AZ$3,実績!$AI$6:$AI$505,"&lt;="&amp;$A75,実績!$AJ$6:$AJ$505,"&gt;"&amp;$A75,実績!$AK$6:$AK$505,"○")&gt;0,1,0))</f>
        <v>0</v>
      </c>
      <c r="BA75" s="39" t="n">
        <f aca="false">IF(BA$4=0,0,IF(COUNTIFS(実績!$W$6:$W$505,BA$3,実績!$AI$6:$AI$505,"&lt;="&amp;$A75,実績!$AJ$6:$AJ$505,"&gt;"&amp;$A75,実績!$AK$6:$AK$505,"○")&gt;0,1,0))</f>
        <v>0</v>
      </c>
      <c r="BB75" s="39" t="n">
        <f aca="false">IF(BB$4=0,0,IF(COUNTIFS(実績!$W$6:$W$505,BB$3,実績!$AI$6:$AI$505,"&lt;="&amp;$A75,実績!$AJ$6:$AJ$505,"&gt;"&amp;$A75,実績!$AK$6:$AK$505,"○")&gt;0,1,0))</f>
        <v>0</v>
      </c>
      <c r="BC75" s="39" t="n">
        <f aca="false">IF(BC$4=0,0,IF(COUNTIFS(実績!$W$6:$W$505,BC$3,実績!$AI$6:$AI$505,"&lt;="&amp;$A75,実績!$AJ$6:$AJ$505,"&gt;"&amp;$A75,実績!$AK$6:$AK$505,"○")&gt;0,1,0))</f>
        <v>0</v>
      </c>
      <c r="BD75" s="39" t="n">
        <f aca="false">IF(BD$4=0,0,IF(COUNTIFS(実績!$W$6:$W$505,BD$3,実績!$AI$6:$AI$505,"&lt;="&amp;$A75,実績!$AJ$6:$AJ$505,"&gt;"&amp;$A75,実績!$AK$6:$AK$505,"○")&gt;0,1,0))</f>
        <v>0</v>
      </c>
      <c r="BE75" s="39" t="n">
        <f aca="false">IF(BE$4=0,0,IF(COUNTIFS(実績!$W$6:$W$505,BE$3,実績!$AI$6:$AI$505,"&lt;="&amp;$A75,実績!$AJ$6:$AJ$505,"&gt;"&amp;$A75,実績!$AK$6:$AK$505,"○")&gt;0,1,0))</f>
        <v>0</v>
      </c>
      <c r="BF75" s="39" t="n">
        <f aca="false">IF(BF$4=0,0,IF(COUNTIFS(実績!$W$6:$W$505,BF$3,実績!$AI$6:$AI$505,"&lt;="&amp;$A75,実績!$AJ$6:$AJ$505,"&gt;"&amp;$A75,実績!$AK$6:$AK$505,"○")&gt;0,1,0))</f>
        <v>0</v>
      </c>
      <c r="BG75" s="39" t="n">
        <f aca="false">IF(BG$4=0,0,IF(COUNTIFS(実績!$W$6:$W$505,BG$3,実績!$AI$6:$AI$505,"&lt;="&amp;$A75,実績!$AJ$6:$AJ$505,"&gt;"&amp;$A75,実績!$AK$6:$AK$505,"○")&gt;0,1,0))</f>
        <v>0</v>
      </c>
      <c r="BH75" s="39" t="n">
        <f aca="false">IF(BH$4=0,0,IF(COUNTIFS(実績!$W$6:$W$505,BH$3,実績!$AI$6:$AI$505,"&lt;="&amp;$A75,実績!$AJ$6:$AJ$505,"&gt;"&amp;$A75,実績!$AK$6:$AK$505,"○")&gt;0,1,0))</f>
        <v>0</v>
      </c>
      <c r="BI75" s="39" t="n">
        <f aca="false">IF(BI$4=0,0,IF(COUNTIFS(実績!$W$6:$W$505,BI$3,実績!$AI$6:$AI$505,"&lt;="&amp;$A75,実績!$AJ$6:$AJ$505,"&gt;"&amp;$A75,実績!$AK$6:$AK$505,"○")&gt;0,1,0))</f>
        <v>0</v>
      </c>
      <c r="BJ75" s="39" t="n">
        <f aca="false">IF(BJ$4=0,0,IF(COUNTIFS(実績!$W$6:$W$505,BJ$3,実績!$AI$6:$AI$505,"&lt;="&amp;$A75,実績!$AJ$6:$AJ$505,"&gt;"&amp;$A75,実績!$AK$6:$AK$505,"○")&gt;0,1,0))</f>
        <v>0</v>
      </c>
      <c r="BK75" s="39" t="n">
        <f aca="false">IF(BK$4=0,0,IF(COUNTIFS(実績!$W$6:$W$505,BK$3,実績!$AI$6:$AI$505,"&lt;="&amp;$A75,実績!$AJ$6:$AJ$505,"&gt;"&amp;$A75,実績!$AK$6:$AK$505,"○")&gt;0,1,0))</f>
        <v>0</v>
      </c>
      <c r="BL75" s="39" t="n">
        <f aca="false">IF(BL$4=0,0,IF(COUNTIFS(実績!$W$6:$W$505,BL$3,実績!$AI$6:$AI$505,"&lt;="&amp;$A75,実績!$AJ$6:$AJ$505,"&gt;"&amp;$A75,実績!$AK$6:$AK$505,"○")&gt;0,1,0))</f>
        <v>0</v>
      </c>
      <c r="BM75" s="39" t="n">
        <f aca="false">IF(BM$4=0,0,IF(COUNTIFS(実績!$W$6:$W$505,BM$3,実績!$AI$6:$AI$505,"&lt;="&amp;$A75,実績!$AJ$6:$AJ$505,"&gt;"&amp;$A75,実績!$AK$6:$AK$505,"○")&gt;0,1,0))</f>
        <v>0</v>
      </c>
      <c r="BN75" s="39" t="n">
        <f aca="false">IF(BN$4=0,0,IF(COUNTIFS(実績!$W$6:$W$505,BN$3,実績!$AI$6:$AI$505,"&lt;="&amp;$A75,実績!$AJ$6:$AJ$505,"&gt;"&amp;$A75,実績!$AK$6:$AK$505,"○")&gt;0,1,0))</f>
        <v>0</v>
      </c>
      <c r="BO75" s="39" t="n">
        <f aca="false">IF(BO$4=0,0,IF(COUNTIFS(実績!$W$6:$W$505,BO$3,実績!$AI$6:$AI$505,"&lt;="&amp;$A75,実績!$AJ$6:$AJ$505,"&gt;"&amp;$A75,実績!$AK$6:$AK$505,"○")&gt;0,1,0))</f>
        <v>0</v>
      </c>
      <c r="BP75" s="39" t="n">
        <f aca="false">IF(BP$4=0,0,IF(COUNTIFS(実績!$W$6:$W$505,BP$3,実績!$AI$6:$AI$505,"&lt;="&amp;$A75,実績!$AJ$6:$AJ$505,"&gt;"&amp;$A75,実績!$AK$6:$AK$505,"○")&gt;0,1,0))</f>
        <v>0</v>
      </c>
      <c r="BQ75" s="39" t="n">
        <f aca="false">IF(BQ$4=0,0,IF(COUNTIFS(実績!$W$6:$W$505,BQ$3,実績!$AI$6:$AI$505,"&lt;="&amp;$A75,実績!$AJ$6:$AJ$505,"&gt;"&amp;$A75,実績!$AK$6:$AK$505,"○")&gt;0,1,0))</f>
        <v>0</v>
      </c>
      <c r="BR75" s="39" t="n">
        <f aca="false">IF(BR$4=0,0,IF(COUNTIFS(実績!$W$6:$W$505,BR$3,実績!$AI$6:$AI$505,"&lt;="&amp;$A75,実績!$AJ$6:$AJ$505,"&gt;"&amp;$A75,実績!$AK$6:$AK$505,"○")&gt;0,1,0))</f>
        <v>0</v>
      </c>
      <c r="BS75" s="39" t="n">
        <f aca="false">IF(BS$4=0,0,IF(COUNTIFS(実績!$W$6:$W$505,BS$3,実績!$AI$6:$AI$505,"&lt;="&amp;$A75,実績!$AJ$6:$AJ$505,"&gt;"&amp;$A75,実績!$AK$6:$AK$505,"○")&gt;0,1,0))</f>
        <v>0</v>
      </c>
      <c r="BT75" s="39" t="n">
        <f aca="false">IF(BT$4=0,0,IF(COUNTIFS(実績!$W$6:$W$505,BT$3,実績!$AI$6:$AI$505,"&lt;="&amp;$A75,実績!$AJ$6:$AJ$505,"&gt;"&amp;$A75,実績!$AK$6:$AK$505,"○")&gt;0,1,0))</f>
        <v>0</v>
      </c>
      <c r="BU75" s="39" t="n">
        <f aca="false">IF(BU$4=0,0,IF(COUNTIFS(実績!$W$6:$W$505,BU$3,実績!$AI$6:$AI$505,"&lt;="&amp;$A75,実績!$AJ$6:$AJ$505,"&gt;"&amp;$A75,実績!$AK$6:$AK$505,"○")&gt;0,1,0))</f>
        <v>0</v>
      </c>
      <c r="BV75" s="39" t="n">
        <f aca="false">IF(BV$4=0,0,IF(COUNTIFS(実績!$W$6:$W$505,BV$3,実績!$AI$6:$AI$505,"&lt;="&amp;$A75,実績!$AJ$6:$AJ$505,"&gt;"&amp;$A75,実績!$AK$6:$AK$505,"○")&gt;0,1,0))</f>
        <v>0</v>
      </c>
      <c r="BW75" s="39" t="n">
        <f aca="false">IF(BW$4=0,0,IF(COUNTIFS(実績!$W$6:$W$505,BW$3,実績!$AI$6:$AI$505,"&lt;="&amp;$A75,実績!$AJ$6:$AJ$505,"&gt;"&amp;$A75,実績!$AK$6:$AK$505,"○")&gt;0,1,0))</f>
        <v>0</v>
      </c>
      <c r="BX75" s="39" t="n">
        <f aca="false">IF(BX$4=0,0,IF(COUNTIFS(実績!$W$6:$W$505,BX$3,実績!$AI$6:$AI$505,"&lt;="&amp;$A75,実績!$AJ$6:$AJ$505,"&gt;"&amp;$A75,実績!$AK$6:$AK$505,"○")&gt;0,1,0))</f>
        <v>0</v>
      </c>
      <c r="BY75" s="39" t="n">
        <f aca="false">IF(BY$4=0,0,IF(COUNTIFS(実績!$W$6:$W$505,BY$3,実績!$AI$6:$AI$505,"&lt;="&amp;$A75,実績!$AJ$6:$AJ$505,"&gt;"&amp;$A75,実績!$AK$6:$AK$505,"○")&gt;0,1,0))</f>
        <v>0</v>
      </c>
      <c r="BZ75" s="39" t="n">
        <f aca="false">IF(BZ$4=0,0,IF(COUNTIFS(実績!$W$6:$W$505,BZ$3,実績!$AI$6:$AI$505,"&lt;="&amp;$A75,実績!$AJ$6:$AJ$505,"&gt;"&amp;$A75,実績!$AK$6:$AK$505,"○")&gt;0,1,0))</f>
        <v>0</v>
      </c>
      <c r="CA75" s="39" t="n">
        <f aca="false">IF(CA$4=0,0,IF(COUNTIFS(実績!$W$6:$W$505,CA$3,実績!$AI$6:$AI$505,"&lt;="&amp;$A75,実績!$AJ$6:$AJ$505,"&gt;"&amp;$A75,実績!$AK$6:$AK$505,"○")&gt;0,1,0))</f>
        <v>0</v>
      </c>
      <c r="CB75" s="39" t="n">
        <f aca="false">IF(CB$4=0,0,IF(COUNTIFS(実績!$W$6:$W$505,CB$3,実績!$AI$6:$AI$505,"&lt;="&amp;$A75,実績!$AJ$6:$AJ$505,"&gt;"&amp;$A75,実績!$AK$6:$AK$505,"○")&gt;0,1,0))</f>
        <v>0</v>
      </c>
      <c r="CC75" s="39" t="n">
        <f aca="false">IF(CC$4=0,0,IF(COUNTIFS(実績!$W$6:$W$505,CC$3,実績!$AI$6:$AI$505,"&lt;="&amp;$A75,実績!$AJ$6:$AJ$505,"&gt;"&amp;$A75,実績!$AK$6:$AK$505,"○")&gt;0,1,0))</f>
        <v>0</v>
      </c>
      <c r="CD75" s="39" t="n">
        <f aca="false">IF(CD$4=0,0,IF(COUNTIFS(実績!$W$6:$W$505,CD$3,実績!$AI$6:$AI$505,"&lt;="&amp;$A75,実績!$AJ$6:$AJ$505,"&gt;"&amp;$A75,実績!$AK$6:$AK$505,"○")&gt;0,1,0))</f>
        <v>0</v>
      </c>
      <c r="CE75" s="39" t="n">
        <f aca="false">IF(CE$4=0,0,IF(COUNTIFS(実績!$W$6:$W$505,CE$3,実績!$AI$6:$AI$505,"&lt;="&amp;$A75,実績!$AJ$6:$AJ$505,"&gt;"&amp;$A75,実績!$AK$6:$AK$505,"○")&gt;0,1,0))</f>
        <v>0</v>
      </c>
      <c r="CF75" s="39" t="n">
        <f aca="false">IF(CF$4=0,0,IF(COUNTIFS(実績!$W$6:$W$505,CF$3,実績!$AI$6:$AI$505,"&lt;="&amp;$A75,実績!$AJ$6:$AJ$505,"&gt;"&amp;$A75,実績!$AK$6:$AK$505,"○")&gt;0,1,0))</f>
        <v>0</v>
      </c>
      <c r="CG75" s="39" t="n">
        <f aca="false">IF(CG$4=0,0,IF(COUNTIFS(実績!$W$6:$W$505,CG$3,実績!$AI$6:$AI$505,"&lt;="&amp;$A75,実績!$AJ$6:$AJ$505,"&gt;"&amp;$A75,実績!$AK$6:$AK$505,"○")&gt;0,1,0))</f>
        <v>0</v>
      </c>
      <c r="CH75" s="39" t="n">
        <f aca="false">IF(CH$4=0,0,IF(COUNTIFS(実績!$W$6:$W$505,CH$3,実績!$AI$6:$AI$505,"&lt;="&amp;$A75,実績!$AJ$6:$AJ$505,"&gt;"&amp;$A75,実績!$AK$6:$AK$505,"○")&gt;0,1,0))</f>
        <v>0</v>
      </c>
      <c r="CI75" s="39" t="n">
        <f aca="false">IF(CI$4=0,0,IF(COUNTIFS(実績!$W$6:$W$505,CI$3,実績!$AI$6:$AI$505,"&lt;="&amp;$A75,実績!$AJ$6:$AJ$505,"&gt;"&amp;$A75,実績!$AK$6:$AK$505,"○")&gt;0,1,0))</f>
        <v>0</v>
      </c>
      <c r="CJ75" s="39" t="n">
        <f aca="false">IF(CJ$4=0,0,IF(COUNTIFS(実績!$W$6:$W$505,CJ$3,実績!$AI$6:$AI$505,"&lt;="&amp;$A75,実績!$AJ$6:$AJ$505,"&gt;"&amp;$A75,実績!$AK$6:$AK$505,"○")&gt;0,1,0))</f>
        <v>0</v>
      </c>
      <c r="CK75" s="39" t="n">
        <f aca="false">IF(CK$4=0,0,IF(COUNTIFS(実績!$W$6:$W$505,CK$3,実績!$AI$6:$AI$505,"&lt;="&amp;$A75,実績!$AJ$6:$AJ$505,"&gt;"&amp;$A75,実績!$AK$6:$AK$505,"○")&gt;0,1,0))</f>
        <v>0</v>
      </c>
      <c r="CL75" s="39" t="n">
        <f aca="false">IF(CL$4=0,0,IF(COUNTIFS(実績!$W$6:$W$505,CL$3,実績!$AI$6:$AI$505,"&lt;="&amp;$A75,実績!$AJ$6:$AJ$505,"&gt;"&amp;$A75,実績!$AK$6:$AK$505,"○")&gt;0,1,0))</f>
        <v>0</v>
      </c>
      <c r="CM75" s="39" t="n">
        <f aca="false">IF(CM$4=0,0,IF(COUNTIFS(実績!$W$6:$W$505,CM$3,実績!$AI$6:$AI$505,"&lt;="&amp;$A75,実績!$AJ$6:$AJ$505,"&gt;"&amp;$A75,実績!$AK$6:$AK$505,"○")&gt;0,1,0))</f>
        <v>0</v>
      </c>
      <c r="CN75" s="39" t="n">
        <f aca="false">IF(CN$4=0,0,IF(COUNTIFS(実績!$W$6:$W$505,CN$3,実績!$AI$6:$AI$505,"&lt;="&amp;$A75,実績!$AJ$6:$AJ$505,"&gt;"&amp;$A75,実績!$AK$6:$AK$505,"○")&gt;0,1,0))</f>
        <v>0</v>
      </c>
      <c r="CO75" s="39" t="n">
        <f aca="false">IF(CO$4=0,0,IF(COUNTIFS(実績!$W$6:$W$505,CO$3,実績!$AI$6:$AI$505,"&lt;="&amp;$A75,実績!$AJ$6:$AJ$505,"&gt;"&amp;$A75,実績!$AK$6:$AK$505,"○")&gt;0,1,0))</f>
        <v>0</v>
      </c>
      <c r="CP75" s="39" t="n">
        <f aca="false">IF(CP$4=0,0,IF(COUNTIFS(実績!$W$6:$W$505,CP$3,実績!$AI$6:$AI$505,"&lt;="&amp;$A75,実績!$AJ$6:$AJ$505,"&gt;"&amp;$A75,実績!$AK$6:$AK$505,"○")&gt;0,1,0))</f>
        <v>0</v>
      </c>
      <c r="CQ75" s="39" t="n">
        <f aca="false">IF(CQ$4=0,0,IF(COUNTIFS(実績!$W$6:$W$505,CQ$3,実績!$AI$6:$AI$505,"&lt;="&amp;$A75,実績!$AJ$6:$AJ$505,"&gt;"&amp;$A75,実績!$AK$6:$AK$505,"○")&gt;0,1,0))</f>
        <v>0</v>
      </c>
      <c r="CR75" s="39" t="n">
        <f aca="false">IF(CR$4=0,0,IF(COUNTIFS(実績!$W$6:$W$505,CR$3,実績!$AI$6:$AI$505,"&lt;="&amp;$A75,実績!$AJ$6:$AJ$505,"&gt;"&amp;$A75,実績!$AK$6:$AK$505,"○")&gt;0,1,0))</f>
        <v>0</v>
      </c>
      <c r="CS75" s="39" t="n">
        <f aca="false">IF(CS$4=0,0,IF(COUNTIFS(実績!$W$6:$W$505,CS$3,実績!$AI$6:$AI$505,"&lt;="&amp;$A75,実績!$AJ$6:$AJ$505,"&gt;"&amp;$A75,実績!$AK$6:$AK$505,"○")&gt;0,1,0))</f>
        <v>0</v>
      </c>
      <c r="CT75" s="39" t="n">
        <f aca="false">IF(CT$4=0,0,IF(COUNTIFS(実績!$W$6:$W$505,CT$3,実績!$AI$6:$AI$505,"&lt;="&amp;$A75,実績!$AJ$6:$AJ$505,"&gt;"&amp;$A75,実績!$AK$6:$AK$505,"○")&gt;0,1,0))</f>
        <v>0</v>
      </c>
      <c r="CU75" s="39" t="n">
        <f aca="false">IF(CU$4=0,0,IF(COUNTIFS(実績!$W$6:$W$505,CU$3,実績!$AI$6:$AI$505,"&lt;="&amp;$A75,実績!$AJ$6:$AJ$505,"&gt;"&amp;$A75,実績!$AK$6:$AK$505,"○")&gt;0,1,0))</f>
        <v>0</v>
      </c>
      <c r="CV75" s="39" t="n">
        <f aca="false">IF(CV$4=0,0,IF(COUNTIFS(実績!$W$6:$W$505,CV$3,実績!$AI$6:$AI$505,"&lt;="&amp;$A75,実績!$AJ$6:$AJ$505,"&gt;"&amp;$A75,実績!$AK$6:$AK$505,"○")&gt;0,1,0))</f>
        <v>0</v>
      </c>
      <c r="CW75" s="39" t="n">
        <f aca="false">IF(CW$4=0,0,IF(COUNTIFS(実績!$W$6:$W$505,CW$3,実績!$AI$6:$AI$505,"&lt;="&amp;$A75,実績!$AJ$6:$AJ$505,"&gt;"&amp;$A75,実績!$AK$6:$AK$505,"○")&gt;0,1,0))</f>
        <v>0</v>
      </c>
      <c r="CX75" s="39" t="n">
        <f aca="false">IF(CX$4=0,0,IF(COUNTIFS(実績!$W$6:$W$505,CX$3,実績!$AI$6:$AI$505,"&lt;="&amp;$A75,実績!$AJ$6:$AJ$505,"&gt;"&amp;$A75,実績!$AK$6:$AK$505,"○")&gt;0,1,0))</f>
        <v>0</v>
      </c>
      <c r="CY75" s="39" t="n">
        <f aca="false">IF(CY$4=0,0,IF(COUNTIFS(実績!$W$6:$W$505,CY$3,実績!$AI$6:$AI$505,"&lt;="&amp;$A75,実績!$AJ$6:$AJ$505,"&gt;"&amp;$A75,実績!$AK$6:$AK$505,"○")&gt;0,1,0))</f>
        <v>0</v>
      </c>
      <c r="CZ75" s="39" t="n">
        <f aca="false">IF(CZ$4=0,0,IF(COUNTIFS(実績!$W$6:$W$505,CZ$3,実績!$AI$6:$AI$505,"&lt;="&amp;$A75,実績!$AJ$6:$AJ$505,"&gt;"&amp;$A75,実績!$AK$6:$AK$505,"○")&gt;0,1,0))</f>
        <v>0</v>
      </c>
      <c r="DA75" s="39" t="n">
        <f aca="false">IF(DA$4=0,0,IF(COUNTIFS(実績!$W$6:$W$505,DA$3,実績!$AI$6:$AI$505,"&lt;="&amp;$A75,実績!$AJ$6:$AJ$505,"&gt;"&amp;$A75,実績!$AK$6:$AK$505,"○")&gt;0,1,0))</f>
        <v>0</v>
      </c>
      <c r="DB75" s="39" t="n">
        <f aca="false">IF(DB$4=0,0,IF(COUNTIFS(実績!$W$6:$W$505,DB$3,実績!$AI$6:$AI$505,"&lt;="&amp;$A75,実績!$AJ$6:$AJ$505,"&gt;"&amp;$A75,実績!$AK$6:$AK$505,"○")&gt;0,1,0))</f>
        <v>0</v>
      </c>
      <c r="DC75" s="39" t="n">
        <f aca="false">IF(DC$4=0,0,IF(COUNTIFS(実績!$W$6:$W$505,DC$3,実績!$AI$6:$AI$505,"&lt;="&amp;$A75,実績!$AJ$6:$AJ$505,"&gt;"&amp;$A75,実績!$AK$6:$AK$505,"○")&gt;0,1,0))</f>
        <v>0</v>
      </c>
      <c r="DD75" s="39" t="n">
        <f aca="false">IF(DD$4=0,0,IF(COUNTIFS(実績!$W$6:$W$505,DD$3,実績!$AI$6:$AI$505,"&lt;="&amp;$A75,実績!$AJ$6:$AJ$505,"&gt;"&amp;$A75,実績!$AK$6:$AK$505,"○")&gt;0,1,0))</f>
        <v>0</v>
      </c>
      <c r="DE75" s="39" t="n">
        <f aca="false">IF(DE$4=0,0,IF(COUNTIFS(実績!$W$6:$W$505,DE$3,実績!$AI$6:$AI$505,"&lt;="&amp;$A75,実績!$AJ$6:$AJ$505,"&gt;"&amp;$A75,実績!$AK$6:$AK$505,"○")&gt;0,1,0))</f>
        <v>0</v>
      </c>
      <c r="DF75" s="39" t="n">
        <f aca="false">IF(DF$4=0,0,IF(COUNTIFS(実績!$W$6:$W$505,DF$3,実績!$AI$6:$AI$505,"&lt;="&amp;$A75,実績!$AJ$6:$AJ$505,"&gt;"&amp;$A75,実績!$AK$6:$AK$505,"○")&gt;0,1,0))</f>
        <v>0</v>
      </c>
      <c r="DG75" s="39" t="n">
        <f aca="false">IF(DG$4=0,0,IF(COUNTIFS(実績!$W$6:$W$505,DG$3,実績!$AI$6:$AI$505,"&lt;="&amp;$A75,実績!$AJ$6:$AJ$505,"&gt;"&amp;$A75,実績!$AK$6:$AK$505,"○")&gt;0,1,0))</f>
        <v>0</v>
      </c>
      <c r="DH75" s="39" t="n">
        <f aca="false">IF(DH$4=0,0,IF(COUNTIFS(実績!$W$6:$W$505,DH$3,実績!$AI$6:$AI$505,"&lt;="&amp;$A75,実績!$AJ$6:$AJ$505,"&gt;"&amp;$A75,実績!$AK$6:$AK$505,"○")&gt;0,1,0))</f>
        <v>0</v>
      </c>
      <c r="DI75" s="39" t="n">
        <f aca="false">IF(DI$4=0,0,IF(COUNTIFS(実績!$W$6:$W$505,DI$3,実績!$AI$6:$AI$505,"&lt;="&amp;$A75,実績!$AJ$6:$AJ$505,"&gt;"&amp;$A75,実績!$AK$6:$AK$505,"○")&gt;0,1,0))</f>
        <v>0</v>
      </c>
      <c r="DJ75" s="39" t="n">
        <f aca="false">IF(DJ$4=0,0,IF(COUNTIFS(実績!$W$6:$W$505,DJ$3,実績!$AI$6:$AI$505,"&lt;="&amp;$A75,実績!$AJ$6:$AJ$505,"&gt;"&amp;$A75,実績!$AK$6:$AK$505,"○")&gt;0,1,0))</f>
        <v>0</v>
      </c>
      <c r="DK75" s="39" t="n">
        <f aca="false">IF(DK$4=0,0,IF(COUNTIFS(実績!$W$6:$W$505,DK$3,実績!$AI$6:$AI$505,"&lt;="&amp;$A75,実績!$AJ$6:$AJ$505,"&gt;"&amp;$A75,実績!$AK$6:$AK$505,"○")&gt;0,1,0))</f>
        <v>0</v>
      </c>
      <c r="DL75" s="39" t="n">
        <f aca="false">IF(DL$4=0,0,IF(COUNTIFS(実績!$W$6:$W$505,DL$3,実績!$AI$6:$AI$505,"&lt;="&amp;$A75,実績!$AJ$6:$AJ$505,"&gt;"&amp;$A75,実績!$AK$6:$AK$505,"○")&gt;0,1,0))</f>
        <v>0</v>
      </c>
      <c r="DM75" s="39" t="n">
        <f aca="false">IF(DM$4=0,0,IF(COUNTIFS(実績!$W$6:$W$505,DM$3,実績!$AI$6:$AI$505,"&lt;="&amp;$A75,実績!$AJ$6:$AJ$505,"&gt;"&amp;$A75,実績!$AK$6:$AK$505,"○")&gt;0,1,0))</f>
        <v>0</v>
      </c>
      <c r="DN75" s="39" t="n">
        <f aca="false">IF(DN$4=0,0,IF(COUNTIFS(実績!$W$6:$W$505,DN$3,実績!$AI$6:$AI$505,"&lt;="&amp;$A75,実績!$AJ$6:$AJ$505,"&gt;"&amp;$A75,実績!$AK$6:$AK$505,"○")&gt;0,1,0))</f>
        <v>0</v>
      </c>
      <c r="DO75" s="39" t="n">
        <f aca="false">IF(DO$4=0,0,IF(COUNTIFS(実績!$W$6:$W$505,DO$3,実績!$AI$6:$AI$505,"&lt;="&amp;$A75,実績!$AJ$6:$AJ$505,"&gt;"&amp;$A75,実績!$AK$6:$AK$505,"○")&gt;0,1,0))</f>
        <v>0</v>
      </c>
      <c r="DP75" s="39" t="n">
        <f aca="false">IF(DP$4=0,0,IF(COUNTIFS(実績!$W$6:$W$505,DP$3,実績!$AI$6:$AI$505,"&lt;="&amp;$A75,実績!$AJ$6:$AJ$505,"&gt;"&amp;$A75,実績!$AK$6:$AK$505,"○")&gt;0,1,0))</f>
        <v>0</v>
      </c>
      <c r="DQ75" s="39" t="n">
        <f aca="false">IF(DQ$4=0,0,IF(COUNTIFS(実績!$W$6:$W$505,DQ$3,実績!$AI$6:$AI$505,"&lt;="&amp;$A75,実績!$AJ$6:$AJ$505,"&gt;"&amp;$A75,実績!$AK$6:$AK$505,"○")&gt;0,1,0))</f>
        <v>0</v>
      </c>
      <c r="DR75" s="39" t="n">
        <f aca="false">IF(DR$4=0,0,IF(COUNTIFS(実績!$W$6:$W$505,DR$3,実績!$AI$6:$AI$505,"&lt;="&amp;$A75,実績!$AJ$6:$AJ$505,"&gt;"&amp;$A75,実績!$AK$6:$AK$505,"○")&gt;0,1,0))</f>
        <v>0</v>
      </c>
      <c r="DS75" s="39" t="n">
        <f aca="false">SUM(C75:DR75)</f>
        <v>0</v>
      </c>
      <c r="DT75" s="39" t="n">
        <f aca="false">SUMPRODUCT((実績!$C$6:$C$505="○")*ISNUMBER(実績!$AM$6:$AM$505)*(実績!$AM$6:$AM$505&lt;=$A75)*(実績!$AN$6:$AN$505&gt;$A75))</f>
        <v>0</v>
      </c>
      <c r="DU75" s="39" t="n">
        <f aca="false">SUMIF($C$2:$DR$2,"製鉄曳船",C75:DR75)</f>
        <v>0</v>
      </c>
      <c r="DV75" s="39" t="n">
        <f aca="false">SUMIF($C$2:$DR$2,"西日本海運",C75:DR75)</f>
        <v>0</v>
      </c>
    </row>
    <row r="76" customFormat="false" ht="15" hidden="false" customHeight="false" outlineLevel="0" collapsed="false">
      <c r="A76" s="0" t="n">
        <v>350</v>
      </c>
      <c r="B76" s="38" t="n">
        <f aca="false">A76/1440</f>
        <v>0.243055555555556</v>
      </c>
      <c r="C76" s="39" t="n">
        <f aca="false">IF(C$4=0,0,IF(COUNTIFS(実績!$W$6:$W$505,C$3,実績!$AI$6:$AI$505,"&lt;="&amp;$A76,実績!$AJ$6:$AJ$505,"&gt;"&amp;$A76,実績!$AK$6:$AK$505,"○")&gt;0,1,0))</f>
        <v>0</v>
      </c>
      <c r="D76" s="39" t="n">
        <f aca="false">IF(D$4=0,0,IF(COUNTIFS(実績!$W$6:$W$505,D$3,実績!$AI$6:$AI$505,"&lt;="&amp;$A76,実績!$AJ$6:$AJ$505,"&gt;"&amp;$A76,実績!$AK$6:$AK$505,"○")&gt;0,1,0))</f>
        <v>0</v>
      </c>
      <c r="E76" s="39" t="n">
        <f aca="false">IF(E$4=0,0,IF(COUNTIFS(実績!$W$6:$W$505,E$3,実績!$AI$6:$AI$505,"&lt;="&amp;$A76,実績!$AJ$6:$AJ$505,"&gt;"&amp;$A76,実績!$AK$6:$AK$505,"○")&gt;0,1,0))</f>
        <v>0</v>
      </c>
      <c r="F76" s="39" t="n">
        <f aca="false">IF(F$4=0,0,IF(COUNTIFS(実績!$W$6:$W$505,F$3,実績!$AI$6:$AI$505,"&lt;="&amp;$A76,実績!$AJ$6:$AJ$505,"&gt;"&amp;$A76,実績!$AK$6:$AK$505,"○")&gt;0,1,0))</f>
        <v>0</v>
      </c>
      <c r="G76" s="39" t="n">
        <f aca="false">IF(G$4=0,0,IF(COUNTIFS(実績!$W$6:$W$505,G$3,実績!$AI$6:$AI$505,"&lt;="&amp;$A76,実績!$AJ$6:$AJ$505,"&gt;"&amp;$A76,実績!$AK$6:$AK$505,"○")&gt;0,1,0))</f>
        <v>0</v>
      </c>
      <c r="H76" s="39" t="n">
        <f aca="false">IF(H$4=0,0,IF(COUNTIFS(実績!$W$6:$W$505,H$3,実績!$AI$6:$AI$505,"&lt;="&amp;$A76,実績!$AJ$6:$AJ$505,"&gt;"&amp;$A76,実績!$AK$6:$AK$505,"○")&gt;0,1,0))</f>
        <v>0</v>
      </c>
      <c r="I76" s="39" t="n">
        <f aca="false">IF(I$4=0,0,IF(COUNTIFS(実績!$W$6:$W$505,I$3,実績!$AI$6:$AI$505,"&lt;="&amp;$A76,実績!$AJ$6:$AJ$505,"&gt;"&amp;$A76,実績!$AK$6:$AK$505,"○")&gt;0,1,0))</f>
        <v>0</v>
      </c>
      <c r="J76" s="39" t="n">
        <f aca="false">IF(J$4=0,0,IF(COUNTIFS(実績!$W$6:$W$505,J$3,実績!$AI$6:$AI$505,"&lt;="&amp;$A76,実績!$AJ$6:$AJ$505,"&gt;"&amp;$A76,実績!$AK$6:$AK$505,"○")&gt;0,1,0))</f>
        <v>0</v>
      </c>
      <c r="K76" s="39" t="n">
        <f aca="false">IF(K$4=0,0,IF(COUNTIFS(実績!$W$6:$W$505,K$3,実績!$AI$6:$AI$505,"&lt;="&amp;$A76,実績!$AJ$6:$AJ$505,"&gt;"&amp;$A76,実績!$AK$6:$AK$505,"○")&gt;0,1,0))</f>
        <v>0</v>
      </c>
      <c r="L76" s="39" t="n">
        <f aca="false">IF(L$4=0,0,IF(COUNTIFS(実績!$W$6:$W$505,L$3,実績!$AI$6:$AI$505,"&lt;="&amp;$A76,実績!$AJ$6:$AJ$505,"&gt;"&amp;$A76,実績!$AK$6:$AK$505,"○")&gt;0,1,0))</f>
        <v>0</v>
      </c>
      <c r="M76" s="39" t="n">
        <f aca="false">IF(M$4=0,0,IF(COUNTIFS(実績!$W$6:$W$505,M$3,実績!$AI$6:$AI$505,"&lt;="&amp;$A76,実績!$AJ$6:$AJ$505,"&gt;"&amp;$A76,実績!$AK$6:$AK$505,"○")&gt;0,1,0))</f>
        <v>0</v>
      </c>
      <c r="N76" s="39" t="n">
        <f aca="false">IF(N$4=0,0,IF(COUNTIFS(実績!$W$6:$W$505,N$3,実績!$AI$6:$AI$505,"&lt;="&amp;$A76,実績!$AJ$6:$AJ$505,"&gt;"&amp;$A76,実績!$AK$6:$AK$505,"○")&gt;0,1,0))</f>
        <v>0</v>
      </c>
      <c r="O76" s="39" t="n">
        <f aca="false">IF(O$4=0,0,IF(COUNTIFS(実績!$W$6:$W$505,O$3,実績!$AI$6:$AI$505,"&lt;="&amp;$A76,実績!$AJ$6:$AJ$505,"&gt;"&amp;$A76,実績!$AK$6:$AK$505,"○")&gt;0,1,0))</f>
        <v>0</v>
      </c>
      <c r="P76" s="39" t="n">
        <f aca="false">IF(P$4=0,0,IF(COUNTIFS(実績!$W$6:$W$505,P$3,実績!$AI$6:$AI$505,"&lt;="&amp;$A76,実績!$AJ$6:$AJ$505,"&gt;"&amp;$A76,実績!$AK$6:$AK$505,"○")&gt;0,1,0))</f>
        <v>0</v>
      </c>
      <c r="Q76" s="39" t="n">
        <f aca="false">IF(Q$4=0,0,IF(COUNTIFS(実績!$W$6:$W$505,Q$3,実績!$AI$6:$AI$505,"&lt;="&amp;$A76,実績!$AJ$6:$AJ$505,"&gt;"&amp;$A76,実績!$AK$6:$AK$505,"○")&gt;0,1,0))</f>
        <v>0</v>
      </c>
      <c r="R76" s="39" t="n">
        <f aca="false">IF(R$4=0,0,IF(COUNTIFS(実績!$W$6:$W$505,R$3,実績!$AI$6:$AI$505,"&lt;="&amp;$A76,実績!$AJ$6:$AJ$505,"&gt;"&amp;$A76,実績!$AK$6:$AK$505,"○")&gt;0,1,0))</f>
        <v>0</v>
      </c>
      <c r="S76" s="39" t="n">
        <f aca="false">IF(S$4=0,0,IF(COUNTIFS(実績!$W$6:$W$505,S$3,実績!$AI$6:$AI$505,"&lt;="&amp;$A76,実績!$AJ$6:$AJ$505,"&gt;"&amp;$A76,実績!$AK$6:$AK$505,"○")&gt;0,1,0))</f>
        <v>0</v>
      </c>
      <c r="T76" s="39" t="n">
        <f aca="false">IF(T$4=0,0,IF(COUNTIFS(実績!$W$6:$W$505,T$3,実績!$AI$6:$AI$505,"&lt;="&amp;$A76,実績!$AJ$6:$AJ$505,"&gt;"&amp;$A76,実績!$AK$6:$AK$505,"○")&gt;0,1,0))</f>
        <v>0</v>
      </c>
      <c r="U76" s="39" t="n">
        <f aca="false">IF(U$4=0,0,IF(COUNTIFS(実績!$W$6:$W$505,U$3,実績!$AI$6:$AI$505,"&lt;="&amp;$A76,実績!$AJ$6:$AJ$505,"&gt;"&amp;$A76,実績!$AK$6:$AK$505,"○")&gt;0,1,0))</f>
        <v>0</v>
      </c>
      <c r="V76" s="39" t="n">
        <f aca="false">IF(V$4=0,0,IF(COUNTIFS(実績!$W$6:$W$505,V$3,実績!$AI$6:$AI$505,"&lt;="&amp;$A76,実績!$AJ$6:$AJ$505,"&gt;"&amp;$A76,実績!$AK$6:$AK$505,"○")&gt;0,1,0))</f>
        <v>0</v>
      </c>
      <c r="W76" s="39" t="n">
        <f aca="false">IF(W$4=0,0,IF(COUNTIFS(実績!$W$6:$W$505,W$3,実績!$AI$6:$AI$505,"&lt;="&amp;$A76,実績!$AJ$6:$AJ$505,"&gt;"&amp;$A76,実績!$AK$6:$AK$505,"○")&gt;0,1,0))</f>
        <v>0</v>
      </c>
      <c r="X76" s="39" t="n">
        <f aca="false">IF(X$4=0,0,IF(COUNTIFS(実績!$W$6:$W$505,X$3,実績!$AI$6:$AI$505,"&lt;="&amp;$A76,実績!$AJ$6:$AJ$505,"&gt;"&amp;$A76,実績!$AK$6:$AK$505,"○")&gt;0,1,0))</f>
        <v>0</v>
      </c>
      <c r="Y76" s="39" t="n">
        <f aca="false">IF(Y$4=0,0,IF(COUNTIFS(実績!$W$6:$W$505,Y$3,実績!$AI$6:$AI$505,"&lt;="&amp;$A76,実績!$AJ$6:$AJ$505,"&gt;"&amp;$A76,実績!$AK$6:$AK$505,"○")&gt;0,1,0))</f>
        <v>0</v>
      </c>
      <c r="Z76" s="39" t="n">
        <f aca="false">IF(Z$4=0,0,IF(COUNTIFS(実績!$W$6:$W$505,Z$3,実績!$AI$6:$AI$505,"&lt;="&amp;$A76,実績!$AJ$6:$AJ$505,"&gt;"&amp;$A76,実績!$AK$6:$AK$505,"○")&gt;0,1,0))</f>
        <v>0</v>
      </c>
      <c r="AA76" s="39" t="n">
        <f aca="false">IF(AA$4=0,0,IF(COUNTIFS(実績!$W$6:$W$505,AA$3,実績!$AI$6:$AI$505,"&lt;="&amp;$A76,実績!$AJ$6:$AJ$505,"&gt;"&amp;$A76,実績!$AK$6:$AK$505,"○")&gt;0,1,0))</f>
        <v>0</v>
      </c>
      <c r="AB76" s="39" t="n">
        <f aca="false">IF(AB$4=0,0,IF(COUNTIFS(実績!$W$6:$W$505,AB$3,実績!$AI$6:$AI$505,"&lt;="&amp;$A76,実績!$AJ$6:$AJ$505,"&gt;"&amp;$A76,実績!$AK$6:$AK$505,"○")&gt;0,1,0))</f>
        <v>0</v>
      </c>
      <c r="AC76" s="39" t="n">
        <f aca="false">IF(AC$4=0,0,IF(COUNTIFS(実績!$W$6:$W$505,AC$3,実績!$AI$6:$AI$505,"&lt;="&amp;$A76,実績!$AJ$6:$AJ$505,"&gt;"&amp;$A76,実績!$AK$6:$AK$505,"○")&gt;0,1,0))</f>
        <v>0</v>
      </c>
      <c r="AD76" s="39" t="n">
        <f aca="false">IF(AD$4=0,0,IF(COUNTIFS(実績!$W$6:$W$505,AD$3,実績!$AI$6:$AI$505,"&lt;="&amp;$A76,実績!$AJ$6:$AJ$505,"&gt;"&amp;$A76,実績!$AK$6:$AK$505,"○")&gt;0,1,0))</f>
        <v>0</v>
      </c>
      <c r="AE76" s="39" t="n">
        <f aca="false">IF(AE$4=0,0,IF(COUNTIFS(実績!$W$6:$W$505,AE$3,実績!$AI$6:$AI$505,"&lt;="&amp;$A76,実績!$AJ$6:$AJ$505,"&gt;"&amp;$A76,実績!$AK$6:$AK$505,"○")&gt;0,1,0))</f>
        <v>0</v>
      </c>
      <c r="AF76" s="39" t="n">
        <f aca="false">IF(AF$4=0,0,IF(COUNTIFS(実績!$W$6:$W$505,AF$3,実績!$AI$6:$AI$505,"&lt;="&amp;$A76,実績!$AJ$6:$AJ$505,"&gt;"&amp;$A76,実績!$AK$6:$AK$505,"○")&gt;0,1,0))</f>
        <v>0</v>
      </c>
      <c r="AG76" s="39" t="n">
        <f aca="false">IF(AG$4=0,0,IF(COUNTIFS(実績!$W$6:$W$505,AG$3,実績!$AI$6:$AI$505,"&lt;="&amp;$A76,実績!$AJ$6:$AJ$505,"&gt;"&amp;$A76,実績!$AK$6:$AK$505,"○")&gt;0,1,0))</f>
        <v>0</v>
      </c>
      <c r="AH76" s="39" t="n">
        <f aca="false">IF(AH$4=0,0,IF(COUNTIFS(実績!$W$6:$W$505,AH$3,実績!$AI$6:$AI$505,"&lt;="&amp;$A76,実績!$AJ$6:$AJ$505,"&gt;"&amp;$A76,実績!$AK$6:$AK$505,"○")&gt;0,1,0))</f>
        <v>0</v>
      </c>
      <c r="AI76" s="39" t="n">
        <f aca="false">IF(AI$4=0,0,IF(COUNTIFS(実績!$W$6:$W$505,AI$3,実績!$AI$6:$AI$505,"&lt;="&amp;$A76,実績!$AJ$6:$AJ$505,"&gt;"&amp;$A76,実績!$AK$6:$AK$505,"○")&gt;0,1,0))</f>
        <v>0</v>
      </c>
      <c r="AJ76" s="39" t="n">
        <f aca="false">IF(AJ$4=0,0,IF(COUNTIFS(実績!$W$6:$W$505,AJ$3,実績!$AI$6:$AI$505,"&lt;="&amp;$A76,実績!$AJ$6:$AJ$505,"&gt;"&amp;$A76,実績!$AK$6:$AK$505,"○")&gt;0,1,0))</f>
        <v>0</v>
      </c>
      <c r="AK76" s="39" t="n">
        <f aca="false">IF(AK$4=0,0,IF(COUNTIFS(実績!$W$6:$W$505,AK$3,実績!$AI$6:$AI$505,"&lt;="&amp;$A76,実績!$AJ$6:$AJ$505,"&gt;"&amp;$A76,実績!$AK$6:$AK$505,"○")&gt;0,1,0))</f>
        <v>0</v>
      </c>
      <c r="AL76" s="39" t="n">
        <f aca="false">IF(AL$4=0,0,IF(COUNTIFS(実績!$W$6:$W$505,AL$3,実績!$AI$6:$AI$505,"&lt;="&amp;$A76,実績!$AJ$6:$AJ$505,"&gt;"&amp;$A76,実績!$AK$6:$AK$505,"○")&gt;0,1,0))</f>
        <v>0</v>
      </c>
      <c r="AM76" s="39" t="n">
        <f aca="false">IF(AM$4=0,0,IF(COUNTIFS(実績!$W$6:$W$505,AM$3,実績!$AI$6:$AI$505,"&lt;="&amp;$A76,実績!$AJ$6:$AJ$505,"&gt;"&amp;$A76,実績!$AK$6:$AK$505,"○")&gt;0,1,0))</f>
        <v>0</v>
      </c>
      <c r="AN76" s="39" t="n">
        <f aca="false">IF(AN$4=0,0,IF(COUNTIFS(実績!$W$6:$W$505,AN$3,実績!$AI$6:$AI$505,"&lt;="&amp;$A76,実績!$AJ$6:$AJ$505,"&gt;"&amp;$A76,実績!$AK$6:$AK$505,"○")&gt;0,1,0))</f>
        <v>0</v>
      </c>
      <c r="AO76" s="39" t="n">
        <f aca="false">IF(AO$4=0,0,IF(COUNTIFS(実績!$W$6:$W$505,AO$3,実績!$AI$6:$AI$505,"&lt;="&amp;$A76,実績!$AJ$6:$AJ$505,"&gt;"&amp;$A76,実績!$AK$6:$AK$505,"○")&gt;0,1,0))</f>
        <v>0</v>
      </c>
      <c r="AP76" s="39" t="n">
        <f aca="false">IF(AP$4=0,0,IF(COUNTIFS(実績!$W$6:$W$505,AP$3,実績!$AI$6:$AI$505,"&lt;="&amp;$A76,実績!$AJ$6:$AJ$505,"&gt;"&amp;$A76,実績!$AK$6:$AK$505,"○")&gt;0,1,0))</f>
        <v>0</v>
      </c>
      <c r="AQ76" s="39" t="n">
        <f aca="false">IF(AQ$4=0,0,IF(COUNTIFS(実績!$W$6:$W$505,AQ$3,実績!$AI$6:$AI$505,"&lt;="&amp;$A76,実績!$AJ$6:$AJ$505,"&gt;"&amp;$A76,実績!$AK$6:$AK$505,"○")&gt;0,1,0))</f>
        <v>0</v>
      </c>
      <c r="AR76" s="39" t="n">
        <f aca="false">IF(AR$4=0,0,IF(COUNTIFS(実績!$W$6:$W$505,AR$3,実績!$AI$6:$AI$505,"&lt;="&amp;$A76,実績!$AJ$6:$AJ$505,"&gt;"&amp;$A76,実績!$AK$6:$AK$505,"○")&gt;0,1,0))</f>
        <v>0</v>
      </c>
      <c r="AS76" s="39" t="n">
        <f aca="false">IF(AS$4=0,0,IF(COUNTIFS(実績!$W$6:$W$505,AS$3,実績!$AI$6:$AI$505,"&lt;="&amp;$A76,実績!$AJ$6:$AJ$505,"&gt;"&amp;$A76,実績!$AK$6:$AK$505,"○")&gt;0,1,0))</f>
        <v>0</v>
      </c>
      <c r="AT76" s="39" t="n">
        <f aca="false">IF(AT$4=0,0,IF(COUNTIFS(実績!$W$6:$W$505,AT$3,実績!$AI$6:$AI$505,"&lt;="&amp;$A76,実績!$AJ$6:$AJ$505,"&gt;"&amp;$A76,実績!$AK$6:$AK$505,"○")&gt;0,1,0))</f>
        <v>0</v>
      </c>
      <c r="AU76" s="39" t="n">
        <f aca="false">IF(AU$4=0,0,IF(COUNTIFS(実績!$W$6:$W$505,AU$3,実績!$AI$6:$AI$505,"&lt;="&amp;$A76,実績!$AJ$6:$AJ$505,"&gt;"&amp;$A76,実績!$AK$6:$AK$505,"○")&gt;0,1,0))</f>
        <v>0</v>
      </c>
      <c r="AV76" s="39" t="n">
        <f aca="false">IF(AV$4=0,0,IF(COUNTIFS(実績!$W$6:$W$505,AV$3,実績!$AI$6:$AI$505,"&lt;="&amp;$A76,実績!$AJ$6:$AJ$505,"&gt;"&amp;$A76,実績!$AK$6:$AK$505,"○")&gt;0,1,0))</f>
        <v>0</v>
      </c>
      <c r="AW76" s="39" t="n">
        <f aca="false">IF(AW$4=0,0,IF(COUNTIFS(実績!$W$6:$W$505,AW$3,実績!$AI$6:$AI$505,"&lt;="&amp;$A76,実績!$AJ$6:$AJ$505,"&gt;"&amp;$A76,実績!$AK$6:$AK$505,"○")&gt;0,1,0))</f>
        <v>0</v>
      </c>
      <c r="AX76" s="39" t="n">
        <f aca="false">IF(AX$4=0,0,IF(COUNTIFS(実績!$W$6:$W$505,AX$3,実績!$AI$6:$AI$505,"&lt;="&amp;$A76,実績!$AJ$6:$AJ$505,"&gt;"&amp;$A76,実績!$AK$6:$AK$505,"○")&gt;0,1,0))</f>
        <v>0</v>
      </c>
      <c r="AY76" s="39" t="n">
        <f aca="false">IF(AY$4=0,0,IF(COUNTIFS(実績!$W$6:$W$505,AY$3,実績!$AI$6:$AI$505,"&lt;="&amp;$A76,実績!$AJ$6:$AJ$505,"&gt;"&amp;$A76,実績!$AK$6:$AK$505,"○")&gt;0,1,0))</f>
        <v>0</v>
      </c>
      <c r="AZ76" s="39" t="n">
        <f aca="false">IF(AZ$4=0,0,IF(COUNTIFS(実績!$W$6:$W$505,AZ$3,実績!$AI$6:$AI$505,"&lt;="&amp;$A76,実績!$AJ$6:$AJ$505,"&gt;"&amp;$A76,実績!$AK$6:$AK$505,"○")&gt;0,1,0))</f>
        <v>0</v>
      </c>
      <c r="BA76" s="39" t="n">
        <f aca="false">IF(BA$4=0,0,IF(COUNTIFS(実績!$W$6:$W$505,BA$3,実績!$AI$6:$AI$505,"&lt;="&amp;$A76,実績!$AJ$6:$AJ$505,"&gt;"&amp;$A76,実績!$AK$6:$AK$505,"○")&gt;0,1,0))</f>
        <v>0</v>
      </c>
      <c r="BB76" s="39" t="n">
        <f aca="false">IF(BB$4=0,0,IF(COUNTIFS(実績!$W$6:$W$505,BB$3,実績!$AI$6:$AI$505,"&lt;="&amp;$A76,実績!$AJ$6:$AJ$505,"&gt;"&amp;$A76,実績!$AK$6:$AK$505,"○")&gt;0,1,0))</f>
        <v>0</v>
      </c>
      <c r="BC76" s="39" t="n">
        <f aca="false">IF(BC$4=0,0,IF(COUNTIFS(実績!$W$6:$W$505,BC$3,実績!$AI$6:$AI$505,"&lt;="&amp;$A76,実績!$AJ$6:$AJ$505,"&gt;"&amp;$A76,実績!$AK$6:$AK$505,"○")&gt;0,1,0))</f>
        <v>0</v>
      </c>
      <c r="BD76" s="39" t="n">
        <f aca="false">IF(BD$4=0,0,IF(COUNTIFS(実績!$W$6:$W$505,BD$3,実績!$AI$6:$AI$505,"&lt;="&amp;$A76,実績!$AJ$6:$AJ$505,"&gt;"&amp;$A76,実績!$AK$6:$AK$505,"○")&gt;0,1,0))</f>
        <v>0</v>
      </c>
      <c r="BE76" s="39" t="n">
        <f aca="false">IF(BE$4=0,0,IF(COUNTIFS(実績!$W$6:$W$505,BE$3,実績!$AI$6:$AI$505,"&lt;="&amp;$A76,実績!$AJ$6:$AJ$505,"&gt;"&amp;$A76,実績!$AK$6:$AK$505,"○")&gt;0,1,0))</f>
        <v>0</v>
      </c>
      <c r="BF76" s="39" t="n">
        <f aca="false">IF(BF$4=0,0,IF(COUNTIFS(実績!$W$6:$W$505,BF$3,実績!$AI$6:$AI$505,"&lt;="&amp;$A76,実績!$AJ$6:$AJ$505,"&gt;"&amp;$A76,実績!$AK$6:$AK$505,"○")&gt;0,1,0))</f>
        <v>0</v>
      </c>
      <c r="BG76" s="39" t="n">
        <f aca="false">IF(BG$4=0,0,IF(COUNTIFS(実績!$W$6:$W$505,BG$3,実績!$AI$6:$AI$505,"&lt;="&amp;$A76,実績!$AJ$6:$AJ$505,"&gt;"&amp;$A76,実績!$AK$6:$AK$505,"○")&gt;0,1,0))</f>
        <v>0</v>
      </c>
      <c r="BH76" s="39" t="n">
        <f aca="false">IF(BH$4=0,0,IF(COUNTIFS(実績!$W$6:$W$505,BH$3,実績!$AI$6:$AI$505,"&lt;="&amp;$A76,実績!$AJ$6:$AJ$505,"&gt;"&amp;$A76,実績!$AK$6:$AK$505,"○")&gt;0,1,0))</f>
        <v>0</v>
      </c>
      <c r="BI76" s="39" t="n">
        <f aca="false">IF(BI$4=0,0,IF(COUNTIFS(実績!$W$6:$W$505,BI$3,実績!$AI$6:$AI$505,"&lt;="&amp;$A76,実績!$AJ$6:$AJ$505,"&gt;"&amp;$A76,実績!$AK$6:$AK$505,"○")&gt;0,1,0))</f>
        <v>0</v>
      </c>
      <c r="BJ76" s="39" t="n">
        <f aca="false">IF(BJ$4=0,0,IF(COUNTIFS(実績!$W$6:$W$505,BJ$3,実績!$AI$6:$AI$505,"&lt;="&amp;$A76,実績!$AJ$6:$AJ$505,"&gt;"&amp;$A76,実績!$AK$6:$AK$505,"○")&gt;0,1,0))</f>
        <v>0</v>
      </c>
      <c r="BK76" s="39" t="n">
        <f aca="false">IF(BK$4=0,0,IF(COUNTIFS(実績!$W$6:$W$505,BK$3,実績!$AI$6:$AI$505,"&lt;="&amp;$A76,実績!$AJ$6:$AJ$505,"&gt;"&amp;$A76,実績!$AK$6:$AK$505,"○")&gt;0,1,0))</f>
        <v>0</v>
      </c>
      <c r="BL76" s="39" t="n">
        <f aca="false">IF(BL$4=0,0,IF(COUNTIFS(実績!$W$6:$W$505,BL$3,実績!$AI$6:$AI$505,"&lt;="&amp;$A76,実績!$AJ$6:$AJ$505,"&gt;"&amp;$A76,実績!$AK$6:$AK$505,"○")&gt;0,1,0))</f>
        <v>0</v>
      </c>
      <c r="BM76" s="39" t="n">
        <f aca="false">IF(BM$4=0,0,IF(COUNTIFS(実績!$W$6:$W$505,BM$3,実績!$AI$6:$AI$505,"&lt;="&amp;$A76,実績!$AJ$6:$AJ$505,"&gt;"&amp;$A76,実績!$AK$6:$AK$505,"○")&gt;0,1,0))</f>
        <v>0</v>
      </c>
      <c r="BN76" s="39" t="n">
        <f aca="false">IF(BN$4=0,0,IF(COUNTIFS(実績!$W$6:$W$505,BN$3,実績!$AI$6:$AI$505,"&lt;="&amp;$A76,実績!$AJ$6:$AJ$505,"&gt;"&amp;$A76,実績!$AK$6:$AK$505,"○")&gt;0,1,0))</f>
        <v>0</v>
      </c>
      <c r="BO76" s="39" t="n">
        <f aca="false">IF(BO$4=0,0,IF(COUNTIFS(実績!$W$6:$W$505,BO$3,実績!$AI$6:$AI$505,"&lt;="&amp;$A76,実績!$AJ$6:$AJ$505,"&gt;"&amp;$A76,実績!$AK$6:$AK$505,"○")&gt;0,1,0))</f>
        <v>0</v>
      </c>
      <c r="BP76" s="39" t="n">
        <f aca="false">IF(BP$4=0,0,IF(COUNTIFS(実績!$W$6:$W$505,BP$3,実績!$AI$6:$AI$505,"&lt;="&amp;$A76,実績!$AJ$6:$AJ$505,"&gt;"&amp;$A76,実績!$AK$6:$AK$505,"○")&gt;0,1,0))</f>
        <v>0</v>
      </c>
      <c r="BQ76" s="39" t="n">
        <f aca="false">IF(BQ$4=0,0,IF(COUNTIFS(実績!$W$6:$W$505,BQ$3,実績!$AI$6:$AI$505,"&lt;="&amp;$A76,実績!$AJ$6:$AJ$505,"&gt;"&amp;$A76,実績!$AK$6:$AK$505,"○")&gt;0,1,0))</f>
        <v>0</v>
      </c>
      <c r="BR76" s="39" t="n">
        <f aca="false">IF(BR$4=0,0,IF(COUNTIFS(実績!$W$6:$W$505,BR$3,実績!$AI$6:$AI$505,"&lt;="&amp;$A76,実績!$AJ$6:$AJ$505,"&gt;"&amp;$A76,実績!$AK$6:$AK$505,"○")&gt;0,1,0))</f>
        <v>0</v>
      </c>
      <c r="BS76" s="39" t="n">
        <f aca="false">IF(BS$4=0,0,IF(COUNTIFS(実績!$W$6:$W$505,BS$3,実績!$AI$6:$AI$505,"&lt;="&amp;$A76,実績!$AJ$6:$AJ$505,"&gt;"&amp;$A76,実績!$AK$6:$AK$505,"○")&gt;0,1,0))</f>
        <v>0</v>
      </c>
      <c r="BT76" s="39" t="n">
        <f aca="false">IF(BT$4=0,0,IF(COUNTIFS(実績!$W$6:$W$505,BT$3,実績!$AI$6:$AI$505,"&lt;="&amp;$A76,実績!$AJ$6:$AJ$505,"&gt;"&amp;$A76,実績!$AK$6:$AK$505,"○")&gt;0,1,0))</f>
        <v>0</v>
      </c>
      <c r="BU76" s="39" t="n">
        <f aca="false">IF(BU$4=0,0,IF(COUNTIFS(実績!$W$6:$W$505,BU$3,実績!$AI$6:$AI$505,"&lt;="&amp;$A76,実績!$AJ$6:$AJ$505,"&gt;"&amp;$A76,実績!$AK$6:$AK$505,"○")&gt;0,1,0))</f>
        <v>0</v>
      </c>
      <c r="BV76" s="39" t="n">
        <f aca="false">IF(BV$4=0,0,IF(COUNTIFS(実績!$W$6:$W$505,BV$3,実績!$AI$6:$AI$505,"&lt;="&amp;$A76,実績!$AJ$6:$AJ$505,"&gt;"&amp;$A76,実績!$AK$6:$AK$505,"○")&gt;0,1,0))</f>
        <v>0</v>
      </c>
      <c r="BW76" s="39" t="n">
        <f aca="false">IF(BW$4=0,0,IF(COUNTIFS(実績!$W$6:$W$505,BW$3,実績!$AI$6:$AI$505,"&lt;="&amp;$A76,実績!$AJ$6:$AJ$505,"&gt;"&amp;$A76,実績!$AK$6:$AK$505,"○")&gt;0,1,0))</f>
        <v>0</v>
      </c>
      <c r="BX76" s="39" t="n">
        <f aca="false">IF(BX$4=0,0,IF(COUNTIFS(実績!$W$6:$W$505,BX$3,実績!$AI$6:$AI$505,"&lt;="&amp;$A76,実績!$AJ$6:$AJ$505,"&gt;"&amp;$A76,実績!$AK$6:$AK$505,"○")&gt;0,1,0))</f>
        <v>0</v>
      </c>
      <c r="BY76" s="39" t="n">
        <f aca="false">IF(BY$4=0,0,IF(COUNTIFS(実績!$W$6:$W$505,BY$3,実績!$AI$6:$AI$505,"&lt;="&amp;$A76,実績!$AJ$6:$AJ$505,"&gt;"&amp;$A76,実績!$AK$6:$AK$505,"○")&gt;0,1,0))</f>
        <v>0</v>
      </c>
      <c r="BZ76" s="39" t="n">
        <f aca="false">IF(BZ$4=0,0,IF(COUNTIFS(実績!$W$6:$W$505,BZ$3,実績!$AI$6:$AI$505,"&lt;="&amp;$A76,実績!$AJ$6:$AJ$505,"&gt;"&amp;$A76,実績!$AK$6:$AK$505,"○")&gt;0,1,0))</f>
        <v>0</v>
      </c>
      <c r="CA76" s="39" t="n">
        <f aca="false">IF(CA$4=0,0,IF(COUNTIFS(実績!$W$6:$W$505,CA$3,実績!$AI$6:$AI$505,"&lt;="&amp;$A76,実績!$AJ$6:$AJ$505,"&gt;"&amp;$A76,実績!$AK$6:$AK$505,"○")&gt;0,1,0))</f>
        <v>0</v>
      </c>
      <c r="CB76" s="39" t="n">
        <f aca="false">IF(CB$4=0,0,IF(COUNTIFS(実績!$W$6:$W$505,CB$3,実績!$AI$6:$AI$505,"&lt;="&amp;$A76,実績!$AJ$6:$AJ$505,"&gt;"&amp;$A76,実績!$AK$6:$AK$505,"○")&gt;0,1,0))</f>
        <v>0</v>
      </c>
      <c r="CC76" s="39" t="n">
        <f aca="false">IF(CC$4=0,0,IF(COUNTIFS(実績!$W$6:$W$505,CC$3,実績!$AI$6:$AI$505,"&lt;="&amp;$A76,実績!$AJ$6:$AJ$505,"&gt;"&amp;$A76,実績!$AK$6:$AK$505,"○")&gt;0,1,0))</f>
        <v>0</v>
      </c>
      <c r="CD76" s="39" t="n">
        <f aca="false">IF(CD$4=0,0,IF(COUNTIFS(実績!$W$6:$W$505,CD$3,実績!$AI$6:$AI$505,"&lt;="&amp;$A76,実績!$AJ$6:$AJ$505,"&gt;"&amp;$A76,実績!$AK$6:$AK$505,"○")&gt;0,1,0))</f>
        <v>0</v>
      </c>
      <c r="CE76" s="39" t="n">
        <f aca="false">IF(CE$4=0,0,IF(COUNTIFS(実績!$W$6:$W$505,CE$3,実績!$AI$6:$AI$505,"&lt;="&amp;$A76,実績!$AJ$6:$AJ$505,"&gt;"&amp;$A76,実績!$AK$6:$AK$505,"○")&gt;0,1,0))</f>
        <v>0</v>
      </c>
      <c r="CF76" s="39" t="n">
        <f aca="false">IF(CF$4=0,0,IF(COUNTIFS(実績!$W$6:$W$505,CF$3,実績!$AI$6:$AI$505,"&lt;="&amp;$A76,実績!$AJ$6:$AJ$505,"&gt;"&amp;$A76,実績!$AK$6:$AK$505,"○")&gt;0,1,0))</f>
        <v>0</v>
      </c>
      <c r="CG76" s="39" t="n">
        <f aca="false">IF(CG$4=0,0,IF(COUNTIFS(実績!$W$6:$W$505,CG$3,実績!$AI$6:$AI$505,"&lt;="&amp;$A76,実績!$AJ$6:$AJ$505,"&gt;"&amp;$A76,実績!$AK$6:$AK$505,"○")&gt;0,1,0))</f>
        <v>0</v>
      </c>
      <c r="CH76" s="39" t="n">
        <f aca="false">IF(CH$4=0,0,IF(COUNTIFS(実績!$W$6:$W$505,CH$3,実績!$AI$6:$AI$505,"&lt;="&amp;$A76,実績!$AJ$6:$AJ$505,"&gt;"&amp;$A76,実績!$AK$6:$AK$505,"○")&gt;0,1,0))</f>
        <v>0</v>
      </c>
      <c r="CI76" s="39" t="n">
        <f aca="false">IF(CI$4=0,0,IF(COUNTIFS(実績!$W$6:$W$505,CI$3,実績!$AI$6:$AI$505,"&lt;="&amp;$A76,実績!$AJ$6:$AJ$505,"&gt;"&amp;$A76,実績!$AK$6:$AK$505,"○")&gt;0,1,0))</f>
        <v>0</v>
      </c>
      <c r="CJ76" s="39" t="n">
        <f aca="false">IF(CJ$4=0,0,IF(COUNTIFS(実績!$W$6:$W$505,CJ$3,実績!$AI$6:$AI$505,"&lt;="&amp;$A76,実績!$AJ$6:$AJ$505,"&gt;"&amp;$A76,実績!$AK$6:$AK$505,"○")&gt;0,1,0))</f>
        <v>0</v>
      </c>
      <c r="CK76" s="39" t="n">
        <f aca="false">IF(CK$4=0,0,IF(COUNTIFS(実績!$W$6:$W$505,CK$3,実績!$AI$6:$AI$505,"&lt;="&amp;$A76,実績!$AJ$6:$AJ$505,"&gt;"&amp;$A76,実績!$AK$6:$AK$505,"○")&gt;0,1,0))</f>
        <v>0</v>
      </c>
      <c r="CL76" s="39" t="n">
        <f aca="false">IF(CL$4=0,0,IF(COUNTIFS(実績!$W$6:$W$505,CL$3,実績!$AI$6:$AI$505,"&lt;="&amp;$A76,実績!$AJ$6:$AJ$505,"&gt;"&amp;$A76,実績!$AK$6:$AK$505,"○")&gt;0,1,0))</f>
        <v>0</v>
      </c>
      <c r="CM76" s="39" t="n">
        <f aca="false">IF(CM$4=0,0,IF(COUNTIFS(実績!$W$6:$W$505,CM$3,実績!$AI$6:$AI$505,"&lt;="&amp;$A76,実績!$AJ$6:$AJ$505,"&gt;"&amp;$A76,実績!$AK$6:$AK$505,"○")&gt;0,1,0))</f>
        <v>0</v>
      </c>
      <c r="CN76" s="39" t="n">
        <f aca="false">IF(CN$4=0,0,IF(COUNTIFS(実績!$W$6:$W$505,CN$3,実績!$AI$6:$AI$505,"&lt;="&amp;$A76,実績!$AJ$6:$AJ$505,"&gt;"&amp;$A76,実績!$AK$6:$AK$505,"○")&gt;0,1,0))</f>
        <v>0</v>
      </c>
      <c r="CO76" s="39" t="n">
        <f aca="false">IF(CO$4=0,0,IF(COUNTIFS(実績!$W$6:$W$505,CO$3,実績!$AI$6:$AI$505,"&lt;="&amp;$A76,実績!$AJ$6:$AJ$505,"&gt;"&amp;$A76,実績!$AK$6:$AK$505,"○")&gt;0,1,0))</f>
        <v>0</v>
      </c>
      <c r="CP76" s="39" t="n">
        <f aca="false">IF(CP$4=0,0,IF(COUNTIFS(実績!$W$6:$W$505,CP$3,実績!$AI$6:$AI$505,"&lt;="&amp;$A76,実績!$AJ$6:$AJ$505,"&gt;"&amp;$A76,実績!$AK$6:$AK$505,"○")&gt;0,1,0))</f>
        <v>0</v>
      </c>
      <c r="CQ76" s="39" t="n">
        <f aca="false">IF(CQ$4=0,0,IF(COUNTIFS(実績!$W$6:$W$505,CQ$3,実績!$AI$6:$AI$505,"&lt;="&amp;$A76,実績!$AJ$6:$AJ$505,"&gt;"&amp;$A76,実績!$AK$6:$AK$505,"○")&gt;0,1,0))</f>
        <v>0</v>
      </c>
      <c r="CR76" s="39" t="n">
        <f aca="false">IF(CR$4=0,0,IF(COUNTIFS(実績!$W$6:$W$505,CR$3,実績!$AI$6:$AI$505,"&lt;="&amp;$A76,実績!$AJ$6:$AJ$505,"&gt;"&amp;$A76,実績!$AK$6:$AK$505,"○")&gt;0,1,0))</f>
        <v>0</v>
      </c>
      <c r="CS76" s="39" t="n">
        <f aca="false">IF(CS$4=0,0,IF(COUNTIFS(実績!$W$6:$W$505,CS$3,実績!$AI$6:$AI$505,"&lt;="&amp;$A76,実績!$AJ$6:$AJ$505,"&gt;"&amp;$A76,実績!$AK$6:$AK$505,"○")&gt;0,1,0))</f>
        <v>0</v>
      </c>
      <c r="CT76" s="39" t="n">
        <f aca="false">IF(CT$4=0,0,IF(COUNTIFS(実績!$W$6:$W$505,CT$3,実績!$AI$6:$AI$505,"&lt;="&amp;$A76,実績!$AJ$6:$AJ$505,"&gt;"&amp;$A76,実績!$AK$6:$AK$505,"○")&gt;0,1,0))</f>
        <v>0</v>
      </c>
      <c r="CU76" s="39" t="n">
        <f aca="false">IF(CU$4=0,0,IF(COUNTIFS(実績!$W$6:$W$505,CU$3,実績!$AI$6:$AI$505,"&lt;="&amp;$A76,実績!$AJ$6:$AJ$505,"&gt;"&amp;$A76,実績!$AK$6:$AK$505,"○")&gt;0,1,0))</f>
        <v>0</v>
      </c>
      <c r="CV76" s="39" t="n">
        <f aca="false">IF(CV$4=0,0,IF(COUNTIFS(実績!$W$6:$W$505,CV$3,実績!$AI$6:$AI$505,"&lt;="&amp;$A76,実績!$AJ$6:$AJ$505,"&gt;"&amp;$A76,実績!$AK$6:$AK$505,"○")&gt;0,1,0))</f>
        <v>0</v>
      </c>
      <c r="CW76" s="39" t="n">
        <f aca="false">IF(CW$4=0,0,IF(COUNTIFS(実績!$W$6:$W$505,CW$3,実績!$AI$6:$AI$505,"&lt;="&amp;$A76,実績!$AJ$6:$AJ$505,"&gt;"&amp;$A76,実績!$AK$6:$AK$505,"○")&gt;0,1,0))</f>
        <v>0</v>
      </c>
      <c r="CX76" s="39" t="n">
        <f aca="false">IF(CX$4=0,0,IF(COUNTIFS(実績!$W$6:$W$505,CX$3,実績!$AI$6:$AI$505,"&lt;="&amp;$A76,実績!$AJ$6:$AJ$505,"&gt;"&amp;$A76,実績!$AK$6:$AK$505,"○")&gt;0,1,0))</f>
        <v>0</v>
      </c>
      <c r="CY76" s="39" t="n">
        <f aca="false">IF(CY$4=0,0,IF(COUNTIFS(実績!$W$6:$W$505,CY$3,実績!$AI$6:$AI$505,"&lt;="&amp;$A76,実績!$AJ$6:$AJ$505,"&gt;"&amp;$A76,実績!$AK$6:$AK$505,"○")&gt;0,1,0))</f>
        <v>0</v>
      </c>
      <c r="CZ76" s="39" t="n">
        <f aca="false">IF(CZ$4=0,0,IF(COUNTIFS(実績!$W$6:$W$505,CZ$3,実績!$AI$6:$AI$505,"&lt;="&amp;$A76,実績!$AJ$6:$AJ$505,"&gt;"&amp;$A76,実績!$AK$6:$AK$505,"○")&gt;0,1,0))</f>
        <v>0</v>
      </c>
      <c r="DA76" s="39" t="n">
        <f aca="false">IF(DA$4=0,0,IF(COUNTIFS(実績!$W$6:$W$505,DA$3,実績!$AI$6:$AI$505,"&lt;="&amp;$A76,実績!$AJ$6:$AJ$505,"&gt;"&amp;$A76,実績!$AK$6:$AK$505,"○")&gt;0,1,0))</f>
        <v>0</v>
      </c>
      <c r="DB76" s="39" t="n">
        <f aca="false">IF(DB$4=0,0,IF(COUNTIFS(実績!$W$6:$W$505,DB$3,実績!$AI$6:$AI$505,"&lt;="&amp;$A76,実績!$AJ$6:$AJ$505,"&gt;"&amp;$A76,実績!$AK$6:$AK$505,"○")&gt;0,1,0))</f>
        <v>0</v>
      </c>
      <c r="DC76" s="39" t="n">
        <f aca="false">IF(DC$4=0,0,IF(COUNTIFS(実績!$W$6:$W$505,DC$3,実績!$AI$6:$AI$505,"&lt;="&amp;$A76,実績!$AJ$6:$AJ$505,"&gt;"&amp;$A76,実績!$AK$6:$AK$505,"○")&gt;0,1,0))</f>
        <v>0</v>
      </c>
      <c r="DD76" s="39" t="n">
        <f aca="false">IF(DD$4=0,0,IF(COUNTIFS(実績!$W$6:$W$505,DD$3,実績!$AI$6:$AI$505,"&lt;="&amp;$A76,実績!$AJ$6:$AJ$505,"&gt;"&amp;$A76,実績!$AK$6:$AK$505,"○")&gt;0,1,0))</f>
        <v>0</v>
      </c>
      <c r="DE76" s="39" t="n">
        <f aca="false">IF(DE$4=0,0,IF(COUNTIFS(実績!$W$6:$W$505,DE$3,実績!$AI$6:$AI$505,"&lt;="&amp;$A76,実績!$AJ$6:$AJ$505,"&gt;"&amp;$A76,実績!$AK$6:$AK$505,"○")&gt;0,1,0))</f>
        <v>0</v>
      </c>
      <c r="DF76" s="39" t="n">
        <f aca="false">IF(DF$4=0,0,IF(COUNTIFS(実績!$W$6:$W$505,DF$3,実績!$AI$6:$AI$505,"&lt;="&amp;$A76,実績!$AJ$6:$AJ$505,"&gt;"&amp;$A76,実績!$AK$6:$AK$505,"○")&gt;0,1,0))</f>
        <v>0</v>
      </c>
      <c r="DG76" s="39" t="n">
        <f aca="false">IF(DG$4=0,0,IF(COUNTIFS(実績!$W$6:$W$505,DG$3,実績!$AI$6:$AI$505,"&lt;="&amp;$A76,実績!$AJ$6:$AJ$505,"&gt;"&amp;$A76,実績!$AK$6:$AK$505,"○")&gt;0,1,0))</f>
        <v>0</v>
      </c>
      <c r="DH76" s="39" t="n">
        <f aca="false">IF(DH$4=0,0,IF(COUNTIFS(実績!$W$6:$W$505,DH$3,実績!$AI$6:$AI$505,"&lt;="&amp;$A76,実績!$AJ$6:$AJ$505,"&gt;"&amp;$A76,実績!$AK$6:$AK$505,"○")&gt;0,1,0))</f>
        <v>0</v>
      </c>
      <c r="DI76" s="39" t="n">
        <f aca="false">IF(DI$4=0,0,IF(COUNTIFS(実績!$W$6:$W$505,DI$3,実績!$AI$6:$AI$505,"&lt;="&amp;$A76,実績!$AJ$6:$AJ$505,"&gt;"&amp;$A76,実績!$AK$6:$AK$505,"○")&gt;0,1,0))</f>
        <v>0</v>
      </c>
      <c r="DJ76" s="39" t="n">
        <f aca="false">IF(DJ$4=0,0,IF(COUNTIFS(実績!$W$6:$W$505,DJ$3,実績!$AI$6:$AI$505,"&lt;="&amp;$A76,実績!$AJ$6:$AJ$505,"&gt;"&amp;$A76,実績!$AK$6:$AK$505,"○")&gt;0,1,0))</f>
        <v>0</v>
      </c>
      <c r="DK76" s="39" t="n">
        <f aca="false">IF(DK$4=0,0,IF(COUNTIFS(実績!$W$6:$W$505,DK$3,実績!$AI$6:$AI$505,"&lt;="&amp;$A76,実績!$AJ$6:$AJ$505,"&gt;"&amp;$A76,実績!$AK$6:$AK$505,"○")&gt;0,1,0))</f>
        <v>0</v>
      </c>
      <c r="DL76" s="39" t="n">
        <f aca="false">IF(DL$4=0,0,IF(COUNTIFS(実績!$W$6:$W$505,DL$3,実績!$AI$6:$AI$505,"&lt;="&amp;$A76,実績!$AJ$6:$AJ$505,"&gt;"&amp;$A76,実績!$AK$6:$AK$505,"○")&gt;0,1,0))</f>
        <v>0</v>
      </c>
      <c r="DM76" s="39" t="n">
        <f aca="false">IF(DM$4=0,0,IF(COUNTIFS(実績!$W$6:$W$505,DM$3,実績!$AI$6:$AI$505,"&lt;="&amp;$A76,実績!$AJ$6:$AJ$505,"&gt;"&amp;$A76,実績!$AK$6:$AK$505,"○")&gt;0,1,0))</f>
        <v>0</v>
      </c>
      <c r="DN76" s="39" t="n">
        <f aca="false">IF(DN$4=0,0,IF(COUNTIFS(実績!$W$6:$W$505,DN$3,実績!$AI$6:$AI$505,"&lt;="&amp;$A76,実績!$AJ$6:$AJ$505,"&gt;"&amp;$A76,実績!$AK$6:$AK$505,"○")&gt;0,1,0))</f>
        <v>0</v>
      </c>
      <c r="DO76" s="39" t="n">
        <f aca="false">IF(DO$4=0,0,IF(COUNTIFS(実績!$W$6:$W$505,DO$3,実績!$AI$6:$AI$505,"&lt;="&amp;$A76,実績!$AJ$6:$AJ$505,"&gt;"&amp;$A76,実績!$AK$6:$AK$505,"○")&gt;0,1,0))</f>
        <v>0</v>
      </c>
      <c r="DP76" s="39" t="n">
        <f aca="false">IF(DP$4=0,0,IF(COUNTIFS(実績!$W$6:$W$505,DP$3,実績!$AI$6:$AI$505,"&lt;="&amp;$A76,実績!$AJ$6:$AJ$505,"&gt;"&amp;$A76,実績!$AK$6:$AK$505,"○")&gt;0,1,0))</f>
        <v>0</v>
      </c>
      <c r="DQ76" s="39" t="n">
        <f aca="false">IF(DQ$4=0,0,IF(COUNTIFS(実績!$W$6:$W$505,DQ$3,実績!$AI$6:$AI$505,"&lt;="&amp;$A76,実績!$AJ$6:$AJ$505,"&gt;"&amp;$A76,実績!$AK$6:$AK$505,"○")&gt;0,1,0))</f>
        <v>0</v>
      </c>
      <c r="DR76" s="39" t="n">
        <f aca="false">IF(DR$4=0,0,IF(COUNTIFS(実績!$W$6:$W$505,DR$3,実績!$AI$6:$AI$505,"&lt;="&amp;$A76,実績!$AJ$6:$AJ$505,"&gt;"&amp;$A76,実績!$AK$6:$AK$505,"○")&gt;0,1,0))</f>
        <v>0</v>
      </c>
      <c r="DS76" s="39" t="n">
        <f aca="false">SUM(C76:DR76)</f>
        <v>0</v>
      </c>
      <c r="DT76" s="39" t="n">
        <f aca="false">SUMPRODUCT((実績!$C$6:$C$505="○")*ISNUMBER(実績!$AM$6:$AM$505)*(実績!$AM$6:$AM$505&lt;=$A76)*(実績!$AN$6:$AN$505&gt;$A76))</f>
        <v>0</v>
      </c>
      <c r="DU76" s="39" t="n">
        <f aca="false">SUMIF($C$2:$DR$2,"製鉄曳船",C76:DR76)</f>
        <v>0</v>
      </c>
      <c r="DV76" s="39" t="n">
        <f aca="false">SUMIF($C$2:$DR$2,"西日本海運",C76:DR76)</f>
        <v>0</v>
      </c>
    </row>
    <row r="77" customFormat="false" ht="15" hidden="false" customHeight="false" outlineLevel="0" collapsed="false">
      <c r="A77" s="0" t="n">
        <v>355</v>
      </c>
      <c r="B77" s="38" t="n">
        <f aca="false">A77/1440</f>
        <v>0.246527777777778</v>
      </c>
      <c r="C77" s="39" t="n">
        <f aca="false">IF(C$4=0,0,IF(COUNTIFS(実績!$W$6:$W$505,C$3,実績!$AI$6:$AI$505,"&lt;="&amp;$A77,実績!$AJ$6:$AJ$505,"&gt;"&amp;$A77,実績!$AK$6:$AK$505,"○")&gt;0,1,0))</f>
        <v>0</v>
      </c>
      <c r="D77" s="39" t="n">
        <f aca="false">IF(D$4=0,0,IF(COUNTIFS(実績!$W$6:$W$505,D$3,実績!$AI$6:$AI$505,"&lt;="&amp;$A77,実績!$AJ$6:$AJ$505,"&gt;"&amp;$A77,実績!$AK$6:$AK$505,"○")&gt;0,1,0))</f>
        <v>0</v>
      </c>
      <c r="E77" s="39" t="n">
        <f aca="false">IF(E$4=0,0,IF(COUNTIFS(実績!$W$6:$W$505,E$3,実績!$AI$6:$AI$505,"&lt;="&amp;$A77,実績!$AJ$6:$AJ$505,"&gt;"&amp;$A77,実績!$AK$6:$AK$505,"○")&gt;0,1,0))</f>
        <v>0</v>
      </c>
      <c r="F77" s="39" t="n">
        <f aca="false">IF(F$4=0,0,IF(COUNTIFS(実績!$W$6:$W$505,F$3,実績!$AI$6:$AI$505,"&lt;="&amp;$A77,実績!$AJ$6:$AJ$505,"&gt;"&amp;$A77,実績!$AK$6:$AK$505,"○")&gt;0,1,0))</f>
        <v>0</v>
      </c>
      <c r="G77" s="39" t="n">
        <f aca="false">IF(G$4=0,0,IF(COUNTIFS(実績!$W$6:$W$505,G$3,実績!$AI$6:$AI$505,"&lt;="&amp;$A77,実績!$AJ$6:$AJ$505,"&gt;"&amp;$A77,実績!$AK$6:$AK$505,"○")&gt;0,1,0))</f>
        <v>0</v>
      </c>
      <c r="H77" s="39" t="n">
        <f aca="false">IF(H$4=0,0,IF(COUNTIFS(実績!$W$6:$W$505,H$3,実績!$AI$6:$AI$505,"&lt;="&amp;$A77,実績!$AJ$6:$AJ$505,"&gt;"&amp;$A77,実績!$AK$6:$AK$505,"○")&gt;0,1,0))</f>
        <v>0</v>
      </c>
      <c r="I77" s="39" t="n">
        <f aca="false">IF(I$4=0,0,IF(COUNTIFS(実績!$W$6:$W$505,I$3,実績!$AI$6:$AI$505,"&lt;="&amp;$A77,実績!$AJ$6:$AJ$505,"&gt;"&amp;$A77,実績!$AK$6:$AK$505,"○")&gt;0,1,0))</f>
        <v>0</v>
      </c>
      <c r="J77" s="39" t="n">
        <f aca="false">IF(J$4=0,0,IF(COUNTIFS(実績!$W$6:$W$505,J$3,実績!$AI$6:$AI$505,"&lt;="&amp;$A77,実績!$AJ$6:$AJ$505,"&gt;"&amp;$A77,実績!$AK$6:$AK$505,"○")&gt;0,1,0))</f>
        <v>0</v>
      </c>
      <c r="K77" s="39" t="n">
        <f aca="false">IF(K$4=0,0,IF(COUNTIFS(実績!$W$6:$W$505,K$3,実績!$AI$6:$AI$505,"&lt;="&amp;$A77,実績!$AJ$6:$AJ$505,"&gt;"&amp;$A77,実績!$AK$6:$AK$505,"○")&gt;0,1,0))</f>
        <v>0</v>
      </c>
      <c r="L77" s="39" t="n">
        <f aca="false">IF(L$4=0,0,IF(COUNTIFS(実績!$W$6:$W$505,L$3,実績!$AI$6:$AI$505,"&lt;="&amp;$A77,実績!$AJ$6:$AJ$505,"&gt;"&amp;$A77,実績!$AK$6:$AK$505,"○")&gt;0,1,0))</f>
        <v>0</v>
      </c>
      <c r="M77" s="39" t="n">
        <f aca="false">IF(M$4=0,0,IF(COUNTIFS(実績!$W$6:$W$505,M$3,実績!$AI$6:$AI$505,"&lt;="&amp;$A77,実績!$AJ$6:$AJ$505,"&gt;"&amp;$A77,実績!$AK$6:$AK$505,"○")&gt;0,1,0))</f>
        <v>0</v>
      </c>
      <c r="N77" s="39" t="n">
        <f aca="false">IF(N$4=0,0,IF(COUNTIFS(実績!$W$6:$W$505,N$3,実績!$AI$6:$AI$505,"&lt;="&amp;$A77,実績!$AJ$6:$AJ$505,"&gt;"&amp;$A77,実績!$AK$6:$AK$505,"○")&gt;0,1,0))</f>
        <v>0</v>
      </c>
      <c r="O77" s="39" t="n">
        <f aca="false">IF(O$4=0,0,IF(COUNTIFS(実績!$W$6:$W$505,O$3,実績!$AI$6:$AI$505,"&lt;="&amp;$A77,実績!$AJ$6:$AJ$505,"&gt;"&amp;$A77,実績!$AK$6:$AK$505,"○")&gt;0,1,0))</f>
        <v>0</v>
      </c>
      <c r="P77" s="39" t="n">
        <f aca="false">IF(P$4=0,0,IF(COUNTIFS(実績!$W$6:$W$505,P$3,実績!$AI$6:$AI$505,"&lt;="&amp;$A77,実績!$AJ$6:$AJ$505,"&gt;"&amp;$A77,実績!$AK$6:$AK$505,"○")&gt;0,1,0))</f>
        <v>0</v>
      </c>
      <c r="Q77" s="39" t="n">
        <f aca="false">IF(Q$4=0,0,IF(COUNTIFS(実績!$W$6:$W$505,Q$3,実績!$AI$6:$AI$505,"&lt;="&amp;$A77,実績!$AJ$6:$AJ$505,"&gt;"&amp;$A77,実績!$AK$6:$AK$505,"○")&gt;0,1,0))</f>
        <v>0</v>
      </c>
      <c r="R77" s="39" t="n">
        <f aca="false">IF(R$4=0,0,IF(COUNTIFS(実績!$W$6:$W$505,R$3,実績!$AI$6:$AI$505,"&lt;="&amp;$A77,実績!$AJ$6:$AJ$505,"&gt;"&amp;$A77,実績!$AK$6:$AK$505,"○")&gt;0,1,0))</f>
        <v>0</v>
      </c>
      <c r="S77" s="39" t="n">
        <f aca="false">IF(S$4=0,0,IF(COUNTIFS(実績!$W$6:$W$505,S$3,実績!$AI$6:$AI$505,"&lt;="&amp;$A77,実績!$AJ$6:$AJ$505,"&gt;"&amp;$A77,実績!$AK$6:$AK$505,"○")&gt;0,1,0))</f>
        <v>0</v>
      </c>
      <c r="T77" s="39" t="n">
        <f aca="false">IF(T$4=0,0,IF(COUNTIFS(実績!$W$6:$W$505,T$3,実績!$AI$6:$AI$505,"&lt;="&amp;$A77,実績!$AJ$6:$AJ$505,"&gt;"&amp;$A77,実績!$AK$6:$AK$505,"○")&gt;0,1,0))</f>
        <v>0</v>
      </c>
      <c r="U77" s="39" t="n">
        <f aca="false">IF(U$4=0,0,IF(COUNTIFS(実績!$W$6:$W$505,U$3,実績!$AI$6:$AI$505,"&lt;="&amp;$A77,実績!$AJ$6:$AJ$505,"&gt;"&amp;$A77,実績!$AK$6:$AK$505,"○")&gt;0,1,0))</f>
        <v>0</v>
      </c>
      <c r="V77" s="39" t="n">
        <f aca="false">IF(V$4=0,0,IF(COUNTIFS(実績!$W$6:$W$505,V$3,実績!$AI$6:$AI$505,"&lt;="&amp;$A77,実績!$AJ$6:$AJ$505,"&gt;"&amp;$A77,実績!$AK$6:$AK$505,"○")&gt;0,1,0))</f>
        <v>0</v>
      </c>
      <c r="W77" s="39" t="n">
        <f aca="false">IF(W$4=0,0,IF(COUNTIFS(実績!$W$6:$W$505,W$3,実績!$AI$6:$AI$505,"&lt;="&amp;$A77,実績!$AJ$6:$AJ$505,"&gt;"&amp;$A77,実績!$AK$6:$AK$505,"○")&gt;0,1,0))</f>
        <v>0</v>
      </c>
      <c r="X77" s="39" t="n">
        <f aca="false">IF(X$4=0,0,IF(COUNTIFS(実績!$W$6:$W$505,X$3,実績!$AI$6:$AI$505,"&lt;="&amp;$A77,実績!$AJ$6:$AJ$505,"&gt;"&amp;$A77,実績!$AK$6:$AK$505,"○")&gt;0,1,0))</f>
        <v>0</v>
      </c>
      <c r="Y77" s="39" t="n">
        <f aca="false">IF(Y$4=0,0,IF(COUNTIFS(実績!$W$6:$W$505,Y$3,実績!$AI$6:$AI$505,"&lt;="&amp;$A77,実績!$AJ$6:$AJ$505,"&gt;"&amp;$A77,実績!$AK$6:$AK$505,"○")&gt;0,1,0))</f>
        <v>0</v>
      </c>
      <c r="Z77" s="39" t="n">
        <f aca="false">IF(Z$4=0,0,IF(COUNTIFS(実績!$W$6:$W$505,Z$3,実績!$AI$6:$AI$505,"&lt;="&amp;$A77,実績!$AJ$6:$AJ$505,"&gt;"&amp;$A77,実績!$AK$6:$AK$505,"○")&gt;0,1,0))</f>
        <v>0</v>
      </c>
      <c r="AA77" s="39" t="n">
        <f aca="false">IF(AA$4=0,0,IF(COUNTIFS(実績!$W$6:$W$505,AA$3,実績!$AI$6:$AI$505,"&lt;="&amp;$A77,実績!$AJ$6:$AJ$505,"&gt;"&amp;$A77,実績!$AK$6:$AK$505,"○")&gt;0,1,0))</f>
        <v>0</v>
      </c>
      <c r="AB77" s="39" t="n">
        <f aca="false">IF(AB$4=0,0,IF(COUNTIFS(実績!$W$6:$W$505,AB$3,実績!$AI$6:$AI$505,"&lt;="&amp;$A77,実績!$AJ$6:$AJ$505,"&gt;"&amp;$A77,実績!$AK$6:$AK$505,"○")&gt;0,1,0))</f>
        <v>0</v>
      </c>
      <c r="AC77" s="39" t="n">
        <f aca="false">IF(AC$4=0,0,IF(COUNTIFS(実績!$W$6:$W$505,AC$3,実績!$AI$6:$AI$505,"&lt;="&amp;$A77,実績!$AJ$6:$AJ$505,"&gt;"&amp;$A77,実績!$AK$6:$AK$505,"○")&gt;0,1,0))</f>
        <v>0</v>
      </c>
      <c r="AD77" s="39" t="n">
        <f aca="false">IF(AD$4=0,0,IF(COUNTIFS(実績!$W$6:$W$505,AD$3,実績!$AI$6:$AI$505,"&lt;="&amp;$A77,実績!$AJ$6:$AJ$505,"&gt;"&amp;$A77,実績!$AK$6:$AK$505,"○")&gt;0,1,0))</f>
        <v>0</v>
      </c>
      <c r="AE77" s="39" t="n">
        <f aca="false">IF(AE$4=0,0,IF(COUNTIFS(実績!$W$6:$W$505,AE$3,実績!$AI$6:$AI$505,"&lt;="&amp;$A77,実績!$AJ$6:$AJ$505,"&gt;"&amp;$A77,実績!$AK$6:$AK$505,"○")&gt;0,1,0))</f>
        <v>0</v>
      </c>
      <c r="AF77" s="39" t="n">
        <f aca="false">IF(AF$4=0,0,IF(COUNTIFS(実績!$W$6:$W$505,AF$3,実績!$AI$6:$AI$505,"&lt;="&amp;$A77,実績!$AJ$6:$AJ$505,"&gt;"&amp;$A77,実績!$AK$6:$AK$505,"○")&gt;0,1,0))</f>
        <v>0</v>
      </c>
      <c r="AG77" s="39" t="n">
        <f aca="false">IF(AG$4=0,0,IF(COUNTIFS(実績!$W$6:$W$505,AG$3,実績!$AI$6:$AI$505,"&lt;="&amp;$A77,実績!$AJ$6:$AJ$505,"&gt;"&amp;$A77,実績!$AK$6:$AK$505,"○")&gt;0,1,0))</f>
        <v>0</v>
      </c>
      <c r="AH77" s="39" t="n">
        <f aca="false">IF(AH$4=0,0,IF(COUNTIFS(実績!$W$6:$W$505,AH$3,実績!$AI$6:$AI$505,"&lt;="&amp;$A77,実績!$AJ$6:$AJ$505,"&gt;"&amp;$A77,実績!$AK$6:$AK$505,"○")&gt;0,1,0))</f>
        <v>0</v>
      </c>
      <c r="AI77" s="39" t="n">
        <f aca="false">IF(AI$4=0,0,IF(COUNTIFS(実績!$W$6:$W$505,AI$3,実績!$AI$6:$AI$505,"&lt;="&amp;$A77,実績!$AJ$6:$AJ$505,"&gt;"&amp;$A77,実績!$AK$6:$AK$505,"○")&gt;0,1,0))</f>
        <v>0</v>
      </c>
      <c r="AJ77" s="39" t="n">
        <f aca="false">IF(AJ$4=0,0,IF(COUNTIFS(実績!$W$6:$W$505,AJ$3,実績!$AI$6:$AI$505,"&lt;="&amp;$A77,実績!$AJ$6:$AJ$505,"&gt;"&amp;$A77,実績!$AK$6:$AK$505,"○")&gt;0,1,0))</f>
        <v>0</v>
      </c>
      <c r="AK77" s="39" t="n">
        <f aca="false">IF(AK$4=0,0,IF(COUNTIFS(実績!$W$6:$W$505,AK$3,実績!$AI$6:$AI$505,"&lt;="&amp;$A77,実績!$AJ$6:$AJ$505,"&gt;"&amp;$A77,実績!$AK$6:$AK$505,"○")&gt;0,1,0))</f>
        <v>0</v>
      </c>
      <c r="AL77" s="39" t="n">
        <f aca="false">IF(AL$4=0,0,IF(COUNTIFS(実績!$W$6:$W$505,AL$3,実績!$AI$6:$AI$505,"&lt;="&amp;$A77,実績!$AJ$6:$AJ$505,"&gt;"&amp;$A77,実績!$AK$6:$AK$505,"○")&gt;0,1,0))</f>
        <v>0</v>
      </c>
      <c r="AM77" s="39" t="n">
        <f aca="false">IF(AM$4=0,0,IF(COUNTIFS(実績!$W$6:$W$505,AM$3,実績!$AI$6:$AI$505,"&lt;="&amp;$A77,実績!$AJ$6:$AJ$505,"&gt;"&amp;$A77,実績!$AK$6:$AK$505,"○")&gt;0,1,0))</f>
        <v>0</v>
      </c>
      <c r="AN77" s="39" t="n">
        <f aca="false">IF(AN$4=0,0,IF(COUNTIFS(実績!$W$6:$W$505,AN$3,実績!$AI$6:$AI$505,"&lt;="&amp;$A77,実績!$AJ$6:$AJ$505,"&gt;"&amp;$A77,実績!$AK$6:$AK$505,"○")&gt;0,1,0))</f>
        <v>0</v>
      </c>
      <c r="AO77" s="39" t="n">
        <f aca="false">IF(AO$4=0,0,IF(COUNTIFS(実績!$W$6:$W$505,AO$3,実績!$AI$6:$AI$505,"&lt;="&amp;$A77,実績!$AJ$6:$AJ$505,"&gt;"&amp;$A77,実績!$AK$6:$AK$505,"○")&gt;0,1,0))</f>
        <v>0</v>
      </c>
      <c r="AP77" s="39" t="n">
        <f aca="false">IF(AP$4=0,0,IF(COUNTIFS(実績!$W$6:$W$505,AP$3,実績!$AI$6:$AI$505,"&lt;="&amp;$A77,実績!$AJ$6:$AJ$505,"&gt;"&amp;$A77,実績!$AK$6:$AK$505,"○")&gt;0,1,0))</f>
        <v>0</v>
      </c>
      <c r="AQ77" s="39" t="n">
        <f aca="false">IF(AQ$4=0,0,IF(COUNTIFS(実績!$W$6:$W$505,AQ$3,実績!$AI$6:$AI$505,"&lt;="&amp;$A77,実績!$AJ$6:$AJ$505,"&gt;"&amp;$A77,実績!$AK$6:$AK$505,"○")&gt;0,1,0))</f>
        <v>0</v>
      </c>
      <c r="AR77" s="39" t="n">
        <f aca="false">IF(AR$4=0,0,IF(COUNTIFS(実績!$W$6:$W$505,AR$3,実績!$AI$6:$AI$505,"&lt;="&amp;$A77,実績!$AJ$6:$AJ$505,"&gt;"&amp;$A77,実績!$AK$6:$AK$505,"○")&gt;0,1,0))</f>
        <v>0</v>
      </c>
      <c r="AS77" s="39" t="n">
        <f aca="false">IF(AS$4=0,0,IF(COUNTIFS(実績!$W$6:$W$505,AS$3,実績!$AI$6:$AI$505,"&lt;="&amp;$A77,実績!$AJ$6:$AJ$505,"&gt;"&amp;$A77,実績!$AK$6:$AK$505,"○")&gt;0,1,0))</f>
        <v>0</v>
      </c>
      <c r="AT77" s="39" t="n">
        <f aca="false">IF(AT$4=0,0,IF(COUNTIFS(実績!$W$6:$W$505,AT$3,実績!$AI$6:$AI$505,"&lt;="&amp;$A77,実績!$AJ$6:$AJ$505,"&gt;"&amp;$A77,実績!$AK$6:$AK$505,"○")&gt;0,1,0))</f>
        <v>0</v>
      </c>
      <c r="AU77" s="39" t="n">
        <f aca="false">IF(AU$4=0,0,IF(COUNTIFS(実績!$W$6:$W$505,AU$3,実績!$AI$6:$AI$505,"&lt;="&amp;$A77,実績!$AJ$6:$AJ$505,"&gt;"&amp;$A77,実績!$AK$6:$AK$505,"○")&gt;0,1,0))</f>
        <v>0</v>
      </c>
      <c r="AV77" s="39" t="n">
        <f aca="false">IF(AV$4=0,0,IF(COUNTIFS(実績!$W$6:$W$505,AV$3,実績!$AI$6:$AI$505,"&lt;="&amp;$A77,実績!$AJ$6:$AJ$505,"&gt;"&amp;$A77,実績!$AK$6:$AK$505,"○")&gt;0,1,0))</f>
        <v>0</v>
      </c>
      <c r="AW77" s="39" t="n">
        <f aca="false">IF(AW$4=0,0,IF(COUNTIFS(実績!$W$6:$W$505,AW$3,実績!$AI$6:$AI$505,"&lt;="&amp;$A77,実績!$AJ$6:$AJ$505,"&gt;"&amp;$A77,実績!$AK$6:$AK$505,"○")&gt;0,1,0))</f>
        <v>0</v>
      </c>
      <c r="AX77" s="39" t="n">
        <f aca="false">IF(AX$4=0,0,IF(COUNTIFS(実績!$W$6:$W$505,AX$3,実績!$AI$6:$AI$505,"&lt;="&amp;$A77,実績!$AJ$6:$AJ$505,"&gt;"&amp;$A77,実績!$AK$6:$AK$505,"○")&gt;0,1,0))</f>
        <v>0</v>
      </c>
      <c r="AY77" s="39" t="n">
        <f aca="false">IF(AY$4=0,0,IF(COUNTIFS(実績!$W$6:$W$505,AY$3,実績!$AI$6:$AI$505,"&lt;="&amp;$A77,実績!$AJ$6:$AJ$505,"&gt;"&amp;$A77,実績!$AK$6:$AK$505,"○")&gt;0,1,0))</f>
        <v>0</v>
      </c>
      <c r="AZ77" s="39" t="n">
        <f aca="false">IF(AZ$4=0,0,IF(COUNTIFS(実績!$W$6:$W$505,AZ$3,実績!$AI$6:$AI$505,"&lt;="&amp;$A77,実績!$AJ$6:$AJ$505,"&gt;"&amp;$A77,実績!$AK$6:$AK$505,"○")&gt;0,1,0))</f>
        <v>0</v>
      </c>
      <c r="BA77" s="39" t="n">
        <f aca="false">IF(BA$4=0,0,IF(COUNTIFS(実績!$W$6:$W$505,BA$3,実績!$AI$6:$AI$505,"&lt;="&amp;$A77,実績!$AJ$6:$AJ$505,"&gt;"&amp;$A77,実績!$AK$6:$AK$505,"○")&gt;0,1,0))</f>
        <v>0</v>
      </c>
      <c r="BB77" s="39" t="n">
        <f aca="false">IF(BB$4=0,0,IF(COUNTIFS(実績!$W$6:$W$505,BB$3,実績!$AI$6:$AI$505,"&lt;="&amp;$A77,実績!$AJ$6:$AJ$505,"&gt;"&amp;$A77,実績!$AK$6:$AK$505,"○")&gt;0,1,0))</f>
        <v>0</v>
      </c>
      <c r="BC77" s="39" t="n">
        <f aca="false">IF(BC$4=0,0,IF(COUNTIFS(実績!$W$6:$W$505,BC$3,実績!$AI$6:$AI$505,"&lt;="&amp;$A77,実績!$AJ$6:$AJ$505,"&gt;"&amp;$A77,実績!$AK$6:$AK$505,"○")&gt;0,1,0))</f>
        <v>0</v>
      </c>
      <c r="BD77" s="39" t="n">
        <f aca="false">IF(BD$4=0,0,IF(COUNTIFS(実績!$W$6:$W$505,BD$3,実績!$AI$6:$AI$505,"&lt;="&amp;$A77,実績!$AJ$6:$AJ$505,"&gt;"&amp;$A77,実績!$AK$6:$AK$505,"○")&gt;0,1,0))</f>
        <v>0</v>
      </c>
      <c r="BE77" s="39" t="n">
        <f aca="false">IF(BE$4=0,0,IF(COUNTIFS(実績!$W$6:$W$505,BE$3,実績!$AI$6:$AI$505,"&lt;="&amp;$A77,実績!$AJ$6:$AJ$505,"&gt;"&amp;$A77,実績!$AK$6:$AK$505,"○")&gt;0,1,0))</f>
        <v>0</v>
      </c>
      <c r="BF77" s="39" t="n">
        <f aca="false">IF(BF$4=0,0,IF(COUNTIFS(実績!$W$6:$W$505,BF$3,実績!$AI$6:$AI$505,"&lt;="&amp;$A77,実績!$AJ$6:$AJ$505,"&gt;"&amp;$A77,実績!$AK$6:$AK$505,"○")&gt;0,1,0))</f>
        <v>0</v>
      </c>
      <c r="BG77" s="39" t="n">
        <f aca="false">IF(BG$4=0,0,IF(COUNTIFS(実績!$W$6:$W$505,BG$3,実績!$AI$6:$AI$505,"&lt;="&amp;$A77,実績!$AJ$6:$AJ$505,"&gt;"&amp;$A77,実績!$AK$6:$AK$505,"○")&gt;0,1,0))</f>
        <v>0</v>
      </c>
      <c r="BH77" s="39" t="n">
        <f aca="false">IF(BH$4=0,0,IF(COUNTIFS(実績!$W$6:$W$505,BH$3,実績!$AI$6:$AI$505,"&lt;="&amp;$A77,実績!$AJ$6:$AJ$505,"&gt;"&amp;$A77,実績!$AK$6:$AK$505,"○")&gt;0,1,0))</f>
        <v>0</v>
      </c>
      <c r="BI77" s="39" t="n">
        <f aca="false">IF(BI$4=0,0,IF(COUNTIFS(実績!$W$6:$W$505,BI$3,実績!$AI$6:$AI$505,"&lt;="&amp;$A77,実績!$AJ$6:$AJ$505,"&gt;"&amp;$A77,実績!$AK$6:$AK$505,"○")&gt;0,1,0))</f>
        <v>0</v>
      </c>
      <c r="BJ77" s="39" t="n">
        <f aca="false">IF(BJ$4=0,0,IF(COUNTIFS(実績!$W$6:$W$505,BJ$3,実績!$AI$6:$AI$505,"&lt;="&amp;$A77,実績!$AJ$6:$AJ$505,"&gt;"&amp;$A77,実績!$AK$6:$AK$505,"○")&gt;0,1,0))</f>
        <v>0</v>
      </c>
      <c r="BK77" s="39" t="n">
        <f aca="false">IF(BK$4=0,0,IF(COUNTIFS(実績!$W$6:$W$505,BK$3,実績!$AI$6:$AI$505,"&lt;="&amp;$A77,実績!$AJ$6:$AJ$505,"&gt;"&amp;$A77,実績!$AK$6:$AK$505,"○")&gt;0,1,0))</f>
        <v>0</v>
      </c>
      <c r="BL77" s="39" t="n">
        <f aca="false">IF(BL$4=0,0,IF(COUNTIFS(実績!$W$6:$W$505,BL$3,実績!$AI$6:$AI$505,"&lt;="&amp;$A77,実績!$AJ$6:$AJ$505,"&gt;"&amp;$A77,実績!$AK$6:$AK$505,"○")&gt;0,1,0))</f>
        <v>0</v>
      </c>
      <c r="BM77" s="39" t="n">
        <f aca="false">IF(BM$4=0,0,IF(COUNTIFS(実績!$W$6:$W$505,BM$3,実績!$AI$6:$AI$505,"&lt;="&amp;$A77,実績!$AJ$6:$AJ$505,"&gt;"&amp;$A77,実績!$AK$6:$AK$505,"○")&gt;0,1,0))</f>
        <v>0</v>
      </c>
      <c r="BN77" s="39" t="n">
        <f aca="false">IF(BN$4=0,0,IF(COUNTIFS(実績!$W$6:$W$505,BN$3,実績!$AI$6:$AI$505,"&lt;="&amp;$A77,実績!$AJ$6:$AJ$505,"&gt;"&amp;$A77,実績!$AK$6:$AK$505,"○")&gt;0,1,0))</f>
        <v>0</v>
      </c>
      <c r="BO77" s="39" t="n">
        <f aca="false">IF(BO$4=0,0,IF(COUNTIFS(実績!$W$6:$W$505,BO$3,実績!$AI$6:$AI$505,"&lt;="&amp;$A77,実績!$AJ$6:$AJ$505,"&gt;"&amp;$A77,実績!$AK$6:$AK$505,"○")&gt;0,1,0))</f>
        <v>0</v>
      </c>
      <c r="BP77" s="39" t="n">
        <f aca="false">IF(BP$4=0,0,IF(COUNTIFS(実績!$W$6:$W$505,BP$3,実績!$AI$6:$AI$505,"&lt;="&amp;$A77,実績!$AJ$6:$AJ$505,"&gt;"&amp;$A77,実績!$AK$6:$AK$505,"○")&gt;0,1,0))</f>
        <v>0</v>
      </c>
      <c r="BQ77" s="39" t="n">
        <f aca="false">IF(BQ$4=0,0,IF(COUNTIFS(実績!$W$6:$W$505,BQ$3,実績!$AI$6:$AI$505,"&lt;="&amp;$A77,実績!$AJ$6:$AJ$505,"&gt;"&amp;$A77,実績!$AK$6:$AK$505,"○")&gt;0,1,0))</f>
        <v>0</v>
      </c>
      <c r="BR77" s="39" t="n">
        <f aca="false">IF(BR$4=0,0,IF(COUNTIFS(実績!$W$6:$W$505,BR$3,実績!$AI$6:$AI$505,"&lt;="&amp;$A77,実績!$AJ$6:$AJ$505,"&gt;"&amp;$A77,実績!$AK$6:$AK$505,"○")&gt;0,1,0))</f>
        <v>0</v>
      </c>
      <c r="BS77" s="39" t="n">
        <f aca="false">IF(BS$4=0,0,IF(COUNTIFS(実績!$W$6:$W$505,BS$3,実績!$AI$6:$AI$505,"&lt;="&amp;$A77,実績!$AJ$6:$AJ$505,"&gt;"&amp;$A77,実績!$AK$6:$AK$505,"○")&gt;0,1,0))</f>
        <v>0</v>
      </c>
      <c r="BT77" s="39" t="n">
        <f aca="false">IF(BT$4=0,0,IF(COUNTIFS(実績!$W$6:$W$505,BT$3,実績!$AI$6:$AI$505,"&lt;="&amp;$A77,実績!$AJ$6:$AJ$505,"&gt;"&amp;$A77,実績!$AK$6:$AK$505,"○")&gt;0,1,0))</f>
        <v>0</v>
      </c>
      <c r="BU77" s="39" t="n">
        <f aca="false">IF(BU$4=0,0,IF(COUNTIFS(実績!$W$6:$W$505,BU$3,実績!$AI$6:$AI$505,"&lt;="&amp;$A77,実績!$AJ$6:$AJ$505,"&gt;"&amp;$A77,実績!$AK$6:$AK$505,"○")&gt;0,1,0))</f>
        <v>0</v>
      </c>
      <c r="BV77" s="39" t="n">
        <f aca="false">IF(BV$4=0,0,IF(COUNTIFS(実績!$W$6:$W$505,BV$3,実績!$AI$6:$AI$505,"&lt;="&amp;$A77,実績!$AJ$6:$AJ$505,"&gt;"&amp;$A77,実績!$AK$6:$AK$505,"○")&gt;0,1,0))</f>
        <v>0</v>
      </c>
      <c r="BW77" s="39" t="n">
        <f aca="false">IF(BW$4=0,0,IF(COUNTIFS(実績!$W$6:$W$505,BW$3,実績!$AI$6:$AI$505,"&lt;="&amp;$A77,実績!$AJ$6:$AJ$505,"&gt;"&amp;$A77,実績!$AK$6:$AK$505,"○")&gt;0,1,0))</f>
        <v>0</v>
      </c>
      <c r="BX77" s="39" t="n">
        <f aca="false">IF(BX$4=0,0,IF(COUNTIFS(実績!$W$6:$W$505,BX$3,実績!$AI$6:$AI$505,"&lt;="&amp;$A77,実績!$AJ$6:$AJ$505,"&gt;"&amp;$A77,実績!$AK$6:$AK$505,"○")&gt;0,1,0))</f>
        <v>0</v>
      </c>
      <c r="BY77" s="39" t="n">
        <f aca="false">IF(BY$4=0,0,IF(COUNTIFS(実績!$W$6:$W$505,BY$3,実績!$AI$6:$AI$505,"&lt;="&amp;$A77,実績!$AJ$6:$AJ$505,"&gt;"&amp;$A77,実績!$AK$6:$AK$505,"○")&gt;0,1,0))</f>
        <v>0</v>
      </c>
      <c r="BZ77" s="39" t="n">
        <f aca="false">IF(BZ$4=0,0,IF(COUNTIFS(実績!$W$6:$W$505,BZ$3,実績!$AI$6:$AI$505,"&lt;="&amp;$A77,実績!$AJ$6:$AJ$505,"&gt;"&amp;$A77,実績!$AK$6:$AK$505,"○")&gt;0,1,0))</f>
        <v>0</v>
      </c>
      <c r="CA77" s="39" t="n">
        <f aca="false">IF(CA$4=0,0,IF(COUNTIFS(実績!$W$6:$W$505,CA$3,実績!$AI$6:$AI$505,"&lt;="&amp;$A77,実績!$AJ$6:$AJ$505,"&gt;"&amp;$A77,実績!$AK$6:$AK$505,"○")&gt;0,1,0))</f>
        <v>0</v>
      </c>
      <c r="CB77" s="39" t="n">
        <f aca="false">IF(CB$4=0,0,IF(COUNTIFS(実績!$W$6:$W$505,CB$3,実績!$AI$6:$AI$505,"&lt;="&amp;$A77,実績!$AJ$6:$AJ$505,"&gt;"&amp;$A77,実績!$AK$6:$AK$505,"○")&gt;0,1,0))</f>
        <v>0</v>
      </c>
      <c r="CC77" s="39" t="n">
        <f aca="false">IF(CC$4=0,0,IF(COUNTIFS(実績!$W$6:$W$505,CC$3,実績!$AI$6:$AI$505,"&lt;="&amp;$A77,実績!$AJ$6:$AJ$505,"&gt;"&amp;$A77,実績!$AK$6:$AK$505,"○")&gt;0,1,0))</f>
        <v>0</v>
      </c>
      <c r="CD77" s="39" t="n">
        <f aca="false">IF(CD$4=0,0,IF(COUNTIFS(実績!$W$6:$W$505,CD$3,実績!$AI$6:$AI$505,"&lt;="&amp;$A77,実績!$AJ$6:$AJ$505,"&gt;"&amp;$A77,実績!$AK$6:$AK$505,"○")&gt;0,1,0))</f>
        <v>0</v>
      </c>
      <c r="CE77" s="39" t="n">
        <f aca="false">IF(CE$4=0,0,IF(COUNTIFS(実績!$W$6:$W$505,CE$3,実績!$AI$6:$AI$505,"&lt;="&amp;$A77,実績!$AJ$6:$AJ$505,"&gt;"&amp;$A77,実績!$AK$6:$AK$505,"○")&gt;0,1,0))</f>
        <v>0</v>
      </c>
      <c r="CF77" s="39" t="n">
        <f aca="false">IF(CF$4=0,0,IF(COUNTIFS(実績!$W$6:$W$505,CF$3,実績!$AI$6:$AI$505,"&lt;="&amp;$A77,実績!$AJ$6:$AJ$505,"&gt;"&amp;$A77,実績!$AK$6:$AK$505,"○")&gt;0,1,0))</f>
        <v>0</v>
      </c>
      <c r="CG77" s="39" t="n">
        <f aca="false">IF(CG$4=0,0,IF(COUNTIFS(実績!$W$6:$W$505,CG$3,実績!$AI$6:$AI$505,"&lt;="&amp;$A77,実績!$AJ$6:$AJ$505,"&gt;"&amp;$A77,実績!$AK$6:$AK$505,"○")&gt;0,1,0))</f>
        <v>0</v>
      </c>
      <c r="CH77" s="39" t="n">
        <f aca="false">IF(CH$4=0,0,IF(COUNTIFS(実績!$W$6:$W$505,CH$3,実績!$AI$6:$AI$505,"&lt;="&amp;$A77,実績!$AJ$6:$AJ$505,"&gt;"&amp;$A77,実績!$AK$6:$AK$505,"○")&gt;0,1,0))</f>
        <v>0</v>
      </c>
      <c r="CI77" s="39" t="n">
        <f aca="false">IF(CI$4=0,0,IF(COUNTIFS(実績!$W$6:$W$505,CI$3,実績!$AI$6:$AI$505,"&lt;="&amp;$A77,実績!$AJ$6:$AJ$505,"&gt;"&amp;$A77,実績!$AK$6:$AK$505,"○")&gt;0,1,0))</f>
        <v>0</v>
      </c>
      <c r="CJ77" s="39" t="n">
        <f aca="false">IF(CJ$4=0,0,IF(COUNTIFS(実績!$W$6:$W$505,CJ$3,実績!$AI$6:$AI$505,"&lt;="&amp;$A77,実績!$AJ$6:$AJ$505,"&gt;"&amp;$A77,実績!$AK$6:$AK$505,"○")&gt;0,1,0))</f>
        <v>0</v>
      </c>
      <c r="CK77" s="39" t="n">
        <f aca="false">IF(CK$4=0,0,IF(COUNTIFS(実績!$W$6:$W$505,CK$3,実績!$AI$6:$AI$505,"&lt;="&amp;$A77,実績!$AJ$6:$AJ$505,"&gt;"&amp;$A77,実績!$AK$6:$AK$505,"○")&gt;0,1,0))</f>
        <v>0</v>
      </c>
      <c r="CL77" s="39" t="n">
        <f aca="false">IF(CL$4=0,0,IF(COUNTIFS(実績!$W$6:$W$505,CL$3,実績!$AI$6:$AI$505,"&lt;="&amp;$A77,実績!$AJ$6:$AJ$505,"&gt;"&amp;$A77,実績!$AK$6:$AK$505,"○")&gt;0,1,0))</f>
        <v>0</v>
      </c>
      <c r="CM77" s="39" t="n">
        <f aca="false">IF(CM$4=0,0,IF(COUNTIFS(実績!$W$6:$W$505,CM$3,実績!$AI$6:$AI$505,"&lt;="&amp;$A77,実績!$AJ$6:$AJ$505,"&gt;"&amp;$A77,実績!$AK$6:$AK$505,"○")&gt;0,1,0))</f>
        <v>0</v>
      </c>
      <c r="CN77" s="39" t="n">
        <f aca="false">IF(CN$4=0,0,IF(COUNTIFS(実績!$W$6:$W$505,CN$3,実績!$AI$6:$AI$505,"&lt;="&amp;$A77,実績!$AJ$6:$AJ$505,"&gt;"&amp;$A77,実績!$AK$6:$AK$505,"○")&gt;0,1,0))</f>
        <v>0</v>
      </c>
      <c r="CO77" s="39" t="n">
        <f aca="false">IF(CO$4=0,0,IF(COUNTIFS(実績!$W$6:$W$505,CO$3,実績!$AI$6:$AI$505,"&lt;="&amp;$A77,実績!$AJ$6:$AJ$505,"&gt;"&amp;$A77,実績!$AK$6:$AK$505,"○")&gt;0,1,0))</f>
        <v>0</v>
      </c>
      <c r="CP77" s="39" t="n">
        <f aca="false">IF(CP$4=0,0,IF(COUNTIFS(実績!$W$6:$W$505,CP$3,実績!$AI$6:$AI$505,"&lt;="&amp;$A77,実績!$AJ$6:$AJ$505,"&gt;"&amp;$A77,実績!$AK$6:$AK$505,"○")&gt;0,1,0))</f>
        <v>0</v>
      </c>
      <c r="CQ77" s="39" t="n">
        <f aca="false">IF(CQ$4=0,0,IF(COUNTIFS(実績!$W$6:$W$505,CQ$3,実績!$AI$6:$AI$505,"&lt;="&amp;$A77,実績!$AJ$6:$AJ$505,"&gt;"&amp;$A77,実績!$AK$6:$AK$505,"○")&gt;0,1,0))</f>
        <v>0</v>
      </c>
      <c r="CR77" s="39" t="n">
        <f aca="false">IF(CR$4=0,0,IF(COUNTIFS(実績!$W$6:$W$505,CR$3,実績!$AI$6:$AI$505,"&lt;="&amp;$A77,実績!$AJ$6:$AJ$505,"&gt;"&amp;$A77,実績!$AK$6:$AK$505,"○")&gt;0,1,0))</f>
        <v>0</v>
      </c>
      <c r="CS77" s="39" t="n">
        <f aca="false">IF(CS$4=0,0,IF(COUNTIFS(実績!$W$6:$W$505,CS$3,実績!$AI$6:$AI$505,"&lt;="&amp;$A77,実績!$AJ$6:$AJ$505,"&gt;"&amp;$A77,実績!$AK$6:$AK$505,"○")&gt;0,1,0))</f>
        <v>0</v>
      </c>
      <c r="CT77" s="39" t="n">
        <f aca="false">IF(CT$4=0,0,IF(COUNTIFS(実績!$W$6:$W$505,CT$3,実績!$AI$6:$AI$505,"&lt;="&amp;$A77,実績!$AJ$6:$AJ$505,"&gt;"&amp;$A77,実績!$AK$6:$AK$505,"○")&gt;0,1,0))</f>
        <v>0</v>
      </c>
      <c r="CU77" s="39" t="n">
        <f aca="false">IF(CU$4=0,0,IF(COUNTIFS(実績!$W$6:$W$505,CU$3,実績!$AI$6:$AI$505,"&lt;="&amp;$A77,実績!$AJ$6:$AJ$505,"&gt;"&amp;$A77,実績!$AK$6:$AK$505,"○")&gt;0,1,0))</f>
        <v>0</v>
      </c>
      <c r="CV77" s="39" t="n">
        <f aca="false">IF(CV$4=0,0,IF(COUNTIFS(実績!$W$6:$W$505,CV$3,実績!$AI$6:$AI$505,"&lt;="&amp;$A77,実績!$AJ$6:$AJ$505,"&gt;"&amp;$A77,実績!$AK$6:$AK$505,"○")&gt;0,1,0))</f>
        <v>0</v>
      </c>
      <c r="CW77" s="39" t="n">
        <f aca="false">IF(CW$4=0,0,IF(COUNTIFS(実績!$W$6:$W$505,CW$3,実績!$AI$6:$AI$505,"&lt;="&amp;$A77,実績!$AJ$6:$AJ$505,"&gt;"&amp;$A77,実績!$AK$6:$AK$505,"○")&gt;0,1,0))</f>
        <v>0</v>
      </c>
      <c r="CX77" s="39" t="n">
        <f aca="false">IF(CX$4=0,0,IF(COUNTIFS(実績!$W$6:$W$505,CX$3,実績!$AI$6:$AI$505,"&lt;="&amp;$A77,実績!$AJ$6:$AJ$505,"&gt;"&amp;$A77,実績!$AK$6:$AK$505,"○")&gt;0,1,0))</f>
        <v>0</v>
      </c>
      <c r="CY77" s="39" t="n">
        <f aca="false">IF(CY$4=0,0,IF(COUNTIFS(実績!$W$6:$W$505,CY$3,実績!$AI$6:$AI$505,"&lt;="&amp;$A77,実績!$AJ$6:$AJ$505,"&gt;"&amp;$A77,実績!$AK$6:$AK$505,"○")&gt;0,1,0))</f>
        <v>0</v>
      </c>
      <c r="CZ77" s="39" t="n">
        <f aca="false">IF(CZ$4=0,0,IF(COUNTIFS(実績!$W$6:$W$505,CZ$3,実績!$AI$6:$AI$505,"&lt;="&amp;$A77,実績!$AJ$6:$AJ$505,"&gt;"&amp;$A77,実績!$AK$6:$AK$505,"○")&gt;0,1,0))</f>
        <v>0</v>
      </c>
      <c r="DA77" s="39" t="n">
        <f aca="false">IF(DA$4=0,0,IF(COUNTIFS(実績!$W$6:$W$505,DA$3,実績!$AI$6:$AI$505,"&lt;="&amp;$A77,実績!$AJ$6:$AJ$505,"&gt;"&amp;$A77,実績!$AK$6:$AK$505,"○")&gt;0,1,0))</f>
        <v>0</v>
      </c>
      <c r="DB77" s="39" t="n">
        <f aca="false">IF(DB$4=0,0,IF(COUNTIFS(実績!$W$6:$W$505,DB$3,実績!$AI$6:$AI$505,"&lt;="&amp;$A77,実績!$AJ$6:$AJ$505,"&gt;"&amp;$A77,実績!$AK$6:$AK$505,"○")&gt;0,1,0))</f>
        <v>0</v>
      </c>
      <c r="DC77" s="39" t="n">
        <f aca="false">IF(DC$4=0,0,IF(COUNTIFS(実績!$W$6:$W$505,DC$3,実績!$AI$6:$AI$505,"&lt;="&amp;$A77,実績!$AJ$6:$AJ$505,"&gt;"&amp;$A77,実績!$AK$6:$AK$505,"○")&gt;0,1,0))</f>
        <v>0</v>
      </c>
      <c r="DD77" s="39" t="n">
        <f aca="false">IF(DD$4=0,0,IF(COUNTIFS(実績!$W$6:$W$505,DD$3,実績!$AI$6:$AI$505,"&lt;="&amp;$A77,実績!$AJ$6:$AJ$505,"&gt;"&amp;$A77,実績!$AK$6:$AK$505,"○")&gt;0,1,0))</f>
        <v>0</v>
      </c>
      <c r="DE77" s="39" t="n">
        <f aca="false">IF(DE$4=0,0,IF(COUNTIFS(実績!$W$6:$W$505,DE$3,実績!$AI$6:$AI$505,"&lt;="&amp;$A77,実績!$AJ$6:$AJ$505,"&gt;"&amp;$A77,実績!$AK$6:$AK$505,"○")&gt;0,1,0))</f>
        <v>0</v>
      </c>
      <c r="DF77" s="39" t="n">
        <f aca="false">IF(DF$4=0,0,IF(COUNTIFS(実績!$W$6:$W$505,DF$3,実績!$AI$6:$AI$505,"&lt;="&amp;$A77,実績!$AJ$6:$AJ$505,"&gt;"&amp;$A77,実績!$AK$6:$AK$505,"○")&gt;0,1,0))</f>
        <v>0</v>
      </c>
      <c r="DG77" s="39" t="n">
        <f aca="false">IF(DG$4=0,0,IF(COUNTIFS(実績!$W$6:$W$505,DG$3,実績!$AI$6:$AI$505,"&lt;="&amp;$A77,実績!$AJ$6:$AJ$505,"&gt;"&amp;$A77,実績!$AK$6:$AK$505,"○")&gt;0,1,0))</f>
        <v>0</v>
      </c>
      <c r="DH77" s="39" t="n">
        <f aca="false">IF(DH$4=0,0,IF(COUNTIFS(実績!$W$6:$W$505,DH$3,実績!$AI$6:$AI$505,"&lt;="&amp;$A77,実績!$AJ$6:$AJ$505,"&gt;"&amp;$A77,実績!$AK$6:$AK$505,"○")&gt;0,1,0))</f>
        <v>0</v>
      </c>
      <c r="DI77" s="39" t="n">
        <f aca="false">IF(DI$4=0,0,IF(COUNTIFS(実績!$W$6:$W$505,DI$3,実績!$AI$6:$AI$505,"&lt;="&amp;$A77,実績!$AJ$6:$AJ$505,"&gt;"&amp;$A77,実績!$AK$6:$AK$505,"○")&gt;0,1,0))</f>
        <v>0</v>
      </c>
      <c r="DJ77" s="39" t="n">
        <f aca="false">IF(DJ$4=0,0,IF(COUNTIFS(実績!$W$6:$W$505,DJ$3,実績!$AI$6:$AI$505,"&lt;="&amp;$A77,実績!$AJ$6:$AJ$505,"&gt;"&amp;$A77,実績!$AK$6:$AK$505,"○")&gt;0,1,0))</f>
        <v>0</v>
      </c>
      <c r="DK77" s="39" t="n">
        <f aca="false">IF(DK$4=0,0,IF(COUNTIFS(実績!$W$6:$W$505,DK$3,実績!$AI$6:$AI$505,"&lt;="&amp;$A77,実績!$AJ$6:$AJ$505,"&gt;"&amp;$A77,実績!$AK$6:$AK$505,"○")&gt;0,1,0))</f>
        <v>0</v>
      </c>
      <c r="DL77" s="39" t="n">
        <f aca="false">IF(DL$4=0,0,IF(COUNTIFS(実績!$W$6:$W$505,DL$3,実績!$AI$6:$AI$505,"&lt;="&amp;$A77,実績!$AJ$6:$AJ$505,"&gt;"&amp;$A77,実績!$AK$6:$AK$505,"○")&gt;0,1,0))</f>
        <v>0</v>
      </c>
      <c r="DM77" s="39" t="n">
        <f aca="false">IF(DM$4=0,0,IF(COUNTIFS(実績!$W$6:$W$505,DM$3,実績!$AI$6:$AI$505,"&lt;="&amp;$A77,実績!$AJ$6:$AJ$505,"&gt;"&amp;$A77,実績!$AK$6:$AK$505,"○")&gt;0,1,0))</f>
        <v>0</v>
      </c>
      <c r="DN77" s="39" t="n">
        <f aca="false">IF(DN$4=0,0,IF(COUNTIFS(実績!$W$6:$W$505,DN$3,実績!$AI$6:$AI$505,"&lt;="&amp;$A77,実績!$AJ$6:$AJ$505,"&gt;"&amp;$A77,実績!$AK$6:$AK$505,"○")&gt;0,1,0))</f>
        <v>0</v>
      </c>
      <c r="DO77" s="39" t="n">
        <f aca="false">IF(DO$4=0,0,IF(COUNTIFS(実績!$W$6:$W$505,DO$3,実績!$AI$6:$AI$505,"&lt;="&amp;$A77,実績!$AJ$6:$AJ$505,"&gt;"&amp;$A77,実績!$AK$6:$AK$505,"○")&gt;0,1,0))</f>
        <v>0</v>
      </c>
      <c r="DP77" s="39" t="n">
        <f aca="false">IF(DP$4=0,0,IF(COUNTIFS(実績!$W$6:$W$505,DP$3,実績!$AI$6:$AI$505,"&lt;="&amp;$A77,実績!$AJ$6:$AJ$505,"&gt;"&amp;$A77,実績!$AK$6:$AK$505,"○")&gt;0,1,0))</f>
        <v>0</v>
      </c>
      <c r="DQ77" s="39" t="n">
        <f aca="false">IF(DQ$4=0,0,IF(COUNTIFS(実績!$W$6:$W$505,DQ$3,実績!$AI$6:$AI$505,"&lt;="&amp;$A77,実績!$AJ$6:$AJ$505,"&gt;"&amp;$A77,実績!$AK$6:$AK$505,"○")&gt;0,1,0))</f>
        <v>0</v>
      </c>
      <c r="DR77" s="39" t="n">
        <f aca="false">IF(DR$4=0,0,IF(COUNTIFS(実績!$W$6:$W$505,DR$3,実績!$AI$6:$AI$505,"&lt;="&amp;$A77,実績!$AJ$6:$AJ$505,"&gt;"&amp;$A77,実績!$AK$6:$AK$505,"○")&gt;0,1,0))</f>
        <v>0</v>
      </c>
      <c r="DS77" s="39" t="n">
        <f aca="false">SUM(C77:DR77)</f>
        <v>0</v>
      </c>
      <c r="DT77" s="39" t="n">
        <f aca="false">SUMPRODUCT((実績!$C$6:$C$505="○")*ISNUMBER(実績!$AM$6:$AM$505)*(実績!$AM$6:$AM$505&lt;=$A77)*(実績!$AN$6:$AN$505&gt;$A77))</f>
        <v>0</v>
      </c>
      <c r="DU77" s="39" t="n">
        <f aca="false">SUMIF($C$2:$DR$2,"製鉄曳船",C77:DR77)</f>
        <v>0</v>
      </c>
      <c r="DV77" s="39" t="n">
        <f aca="false">SUMIF($C$2:$DR$2,"西日本海運",C77:DR77)</f>
        <v>0</v>
      </c>
    </row>
    <row r="78" customFormat="false" ht="15" hidden="false" customHeight="false" outlineLevel="0" collapsed="false">
      <c r="A78" s="0" t="n">
        <v>360</v>
      </c>
      <c r="B78" s="38" t="n">
        <f aca="false">A78/1440</f>
        <v>0.25</v>
      </c>
      <c r="C78" s="39" t="n">
        <f aca="false">IF(C$4=0,0,IF(COUNTIFS(実績!$W$6:$W$505,C$3,実績!$AI$6:$AI$505,"&lt;="&amp;$A78,実績!$AJ$6:$AJ$505,"&gt;"&amp;$A78,実績!$AK$6:$AK$505,"○")&gt;0,1,0))</f>
        <v>0</v>
      </c>
      <c r="D78" s="39" t="n">
        <f aca="false">IF(D$4=0,0,IF(COUNTIFS(実績!$W$6:$W$505,D$3,実績!$AI$6:$AI$505,"&lt;="&amp;$A78,実績!$AJ$6:$AJ$505,"&gt;"&amp;$A78,実績!$AK$6:$AK$505,"○")&gt;0,1,0))</f>
        <v>0</v>
      </c>
      <c r="E78" s="39" t="n">
        <f aca="false">IF(E$4=0,0,IF(COUNTIFS(実績!$W$6:$W$505,E$3,実績!$AI$6:$AI$505,"&lt;="&amp;$A78,実績!$AJ$6:$AJ$505,"&gt;"&amp;$A78,実績!$AK$6:$AK$505,"○")&gt;0,1,0))</f>
        <v>0</v>
      </c>
      <c r="F78" s="39" t="n">
        <f aca="false">IF(F$4=0,0,IF(COUNTIFS(実績!$W$6:$W$505,F$3,実績!$AI$6:$AI$505,"&lt;="&amp;$A78,実績!$AJ$6:$AJ$505,"&gt;"&amp;$A78,実績!$AK$6:$AK$505,"○")&gt;0,1,0))</f>
        <v>0</v>
      </c>
      <c r="G78" s="39" t="n">
        <f aca="false">IF(G$4=0,0,IF(COUNTIFS(実績!$W$6:$W$505,G$3,実績!$AI$6:$AI$505,"&lt;="&amp;$A78,実績!$AJ$6:$AJ$505,"&gt;"&amp;$A78,実績!$AK$6:$AK$505,"○")&gt;0,1,0))</f>
        <v>0</v>
      </c>
      <c r="H78" s="39" t="n">
        <f aca="false">IF(H$4=0,0,IF(COUNTIFS(実績!$W$6:$W$505,H$3,実績!$AI$6:$AI$505,"&lt;="&amp;$A78,実績!$AJ$6:$AJ$505,"&gt;"&amp;$A78,実績!$AK$6:$AK$505,"○")&gt;0,1,0))</f>
        <v>0</v>
      </c>
      <c r="I78" s="39" t="n">
        <f aca="false">IF(I$4=0,0,IF(COUNTIFS(実績!$W$6:$W$505,I$3,実績!$AI$6:$AI$505,"&lt;="&amp;$A78,実績!$AJ$6:$AJ$505,"&gt;"&amp;$A78,実績!$AK$6:$AK$505,"○")&gt;0,1,0))</f>
        <v>0</v>
      </c>
      <c r="J78" s="39" t="n">
        <f aca="false">IF(J$4=0,0,IF(COUNTIFS(実績!$W$6:$W$505,J$3,実績!$AI$6:$AI$505,"&lt;="&amp;$A78,実績!$AJ$6:$AJ$505,"&gt;"&amp;$A78,実績!$AK$6:$AK$505,"○")&gt;0,1,0))</f>
        <v>0</v>
      </c>
      <c r="K78" s="39" t="n">
        <f aca="false">IF(K$4=0,0,IF(COUNTIFS(実績!$W$6:$W$505,K$3,実績!$AI$6:$AI$505,"&lt;="&amp;$A78,実績!$AJ$6:$AJ$505,"&gt;"&amp;$A78,実績!$AK$6:$AK$505,"○")&gt;0,1,0))</f>
        <v>0</v>
      </c>
      <c r="L78" s="39" t="n">
        <f aca="false">IF(L$4=0,0,IF(COUNTIFS(実績!$W$6:$W$505,L$3,実績!$AI$6:$AI$505,"&lt;="&amp;$A78,実績!$AJ$6:$AJ$505,"&gt;"&amp;$A78,実績!$AK$6:$AK$505,"○")&gt;0,1,0))</f>
        <v>0</v>
      </c>
      <c r="M78" s="39" t="n">
        <f aca="false">IF(M$4=0,0,IF(COUNTIFS(実績!$W$6:$W$505,M$3,実績!$AI$6:$AI$505,"&lt;="&amp;$A78,実績!$AJ$6:$AJ$505,"&gt;"&amp;$A78,実績!$AK$6:$AK$505,"○")&gt;0,1,0))</f>
        <v>0</v>
      </c>
      <c r="N78" s="39" t="n">
        <f aca="false">IF(N$4=0,0,IF(COUNTIFS(実績!$W$6:$W$505,N$3,実績!$AI$6:$AI$505,"&lt;="&amp;$A78,実績!$AJ$6:$AJ$505,"&gt;"&amp;$A78,実績!$AK$6:$AK$505,"○")&gt;0,1,0))</f>
        <v>0</v>
      </c>
      <c r="O78" s="39" t="n">
        <f aca="false">IF(O$4=0,0,IF(COUNTIFS(実績!$W$6:$W$505,O$3,実績!$AI$6:$AI$505,"&lt;="&amp;$A78,実績!$AJ$6:$AJ$505,"&gt;"&amp;$A78,実績!$AK$6:$AK$505,"○")&gt;0,1,0))</f>
        <v>0</v>
      </c>
      <c r="P78" s="39" t="n">
        <f aca="false">IF(P$4=0,0,IF(COUNTIFS(実績!$W$6:$W$505,P$3,実績!$AI$6:$AI$505,"&lt;="&amp;$A78,実績!$AJ$6:$AJ$505,"&gt;"&amp;$A78,実績!$AK$6:$AK$505,"○")&gt;0,1,0))</f>
        <v>0</v>
      </c>
      <c r="Q78" s="39" t="n">
        <f aca="false">IF(Q$4=0,0,IF(COUNTIFS(実績!$W$6:$W$505,Q$3,実績!$AI$6:$AI$505,"&lt;="&amp;$A78,実績!$AJ$6:$AJ$505,"&gt;"&amp;$A78,実績!$AK$6:$AK$505,"○")&gt;0,1,0))</f>
        <v>0</v>
      </c>
      <c r="R78" s="39" t="n">
        <f aca="false">IF(R$4=0,0,IF(COUNTIFS(実績!$W$6:$W$505,R$3,実績!$AI$6:$AI$505,"&lt;="&amp;$A78,実績!$AJ$6:$AJ$505,"&gt;"&amp;$A78,実績!$AK$6:$AK$505,"○")&gt;0,1,0))</f>
        <v>0</v>
      </c>
      <c r="S78" s="39" t="n">
        <f aca="false">IF(S$4=0,0,IF(COUNTIFS(実績!$W$6:$W$505,S$3,実績!$AI$6:$AI$505,"&lt;="&amp;$A78,実績!$AJ$6:$AJ$505,"&gt;"&amp;$A78,実績!$AK$6:$AK$505,"○")&gt;0,1,0))</f>
        <v>0</v>
      </c>
      <c r="T78" s="39" t="n">
        <f aca="false">IF(T$4=0,0,IF(COUNTIFS(実績!$W$6:$W$505,T$3,実績!$AI$6:$AI$505,"&lt;="&amp;$A78,実績!$AJ$6:$AJ$505,"&gt;"&amp;$A78,実績!$AK$6:$AK$505,"○")&gt;0,1,0))</f>
        <v>0</v>
      </c>
      <c r="U78" s="39" t="n">
        <f aca="false">IF(U$4=0,0,IF(COUNTIFS(実績!$W$6:$W$505,U$3,実績!$AI$6:$AI$505,"&lt;="&amp;$A78,実績!$AJ$6:$AJ$505,"&gt;"&amp;$A78,実績!$AK$6:$AK$505,"○")&gt;0,1,0))</f>
        <v>0</v>
      </c>
      <c r="V78" s="39" t="n">
        <f aca="false">IF(V$4=0,0,IF(COUNTIFS(実績!$W$6:$W$505,V$3,実績!$AI$6:$AI$505,"&lt;="&amp;$A78,実績!$AJ$6:$AJ$505,"&gt;"&amp;$A78,実績!$AK$6:$AK$505,"○")&gt;0,1,0))</f>
        <v>0</v>
      </c>
      <c r="W78" s="39" t="n">
        <f aca="false">IF(W$4=0,0,IF(COUNTIFS(実績!$W$6:$W$505,W$3,実績!$AI$6:$AI$505,"&lt;="&amp;$A78,実績!$AJ$6:$AJ$505,"&gt;"&amp;$A78,実績!$AK$6:$AK$505,"○")&gt;0,1,0))</f>
        <v>0</v>
      </c>
      <c r="X78" s="39" t="n">
        <f aca="false">IF(X$4=0,0,IF(COUNTIFS(実績!$W$6:$W$505,X$3,実績!$AI$6:$AI$505,"&lt;="&amp;$A78,実績!$AJ$6:$AJ$505,"&gt;"&amp;$A78,実績!$AK$6:$AK$505,"○")&gt;0,1,0))</f>
        <v>0</v>
      </c>
      <c r="Y78" s="39" t="n">
        <f aca="false">IF(Y$4=0,0,IF(COUNTIFS(実績!$W$6:$W$505,Y$3,実績!$AI$6:$AI$505,"&lt;="&amp;$A78,実績!$AJ$6:$AJ$505,"&gt;"&amp;$A78,実績!$AK$6:$AK$505,"○")&gt;0,1,0))</f>
        <v>0</v>
      </c>
      <c r="Z78" s="39" t="n">
        <f aca="false">IF(Z$4=0,0,IF(COUNTIFS(実績!$W$6:$W$505,Z$3,実績!$AI$6:$AI$505,"&lt;="&amp;$A78,実績!$AJ$6:$AJ$505,"&gt;"&amp;$A78,実績!$AK$6:$AK$505,"○")&gt;0,1,0))</f>
        <v>0</v>
      </c>
      <c r="AA78" s="39" t="n">
        <f aca="false">IF(AA$4=0,0,IF(COUNTIFS(実績!$W$6:$W$505,AA$3,実績!$AI$6:$AI$505,"&lt;="&amp;$A78,実績!$AJ$6:$AJ$505,"&gt;"&amp;$A78,実績!$AK$6:$AK$505,"○")&gt;0,1,0))</f>
        <v>0</v>
      </c>
      <c r="AB78" s="39" t="n">
        <f aca="false">IF(AB$4=0,0,IF(COUNTIFS(実績!$W$6:$W$505,AB$3,実績!$AI$6:$AI$505,"&lt;="&amp;$A78,実績!$AJ$6:$AJ$505,"&gt;"&amp;$A78,実績!$AK$6:$AK$505,"○")&gt;0,1,0))</f>
        <v>0</v>
      </c>
      <c r="AC78" s="39" t="n">
        <f aca="false">IF(AC$4=0,0,IF(COUNTIFS(実績!$W$6:$W$505,AC$3,実績!$AI$6:$AI$505,"&lt;="&amp;$A78,実績!$AJ$6:$AJ$505,"&gt;"&amp;$A78,実績!$AK$6:$AK$505,"○")&gt;0,1,0))</f>
        <v>0</v>
      </c>
      <c r="AD78" s="39" t="n">
        <f aca="false">IF(AD$4=0,0,IF(COUNTIFS(実績!$W$6:$W$505,AD$3,実績!$AI$6:$AI$505,"&lt;="&amp;$A78,実績!$AJ$6:$AJ$505,"&gt;"&amp;$A78,実績!$AK$6:$AK$505,"○")&gt;0,1,0))</f>
        <v>0</v>
      </c>
      <c r="AE78" s="39" t="n">
        <f aca="false">IF(AE$4=0,0,IF(COUNTIFS(実績!$W$6:$W$505,AE$3,実績!$AI$6:$AI$505,"&lt;="&amp;$A78,実績!$AJ$6:$AJ$505,"&gt;"&amp;$A78,実績!$AK$6:$AK$505,"○")&gt;0,1,0))</f>
        <v>0</v>
      </c>
      <c r="AF78" s="39" t="n">
        <f aca="false">IF(AF$4=0,0,IF(COUNTIFS(実績!$W$6:$W$505,AF$3,実績!$AI$6:$AI$505,"&lt;="&amp;$A78,実績!$AJ$6:$AJ$505,"&gt;"&amp;$A78,実績!$AK$6:$AK$505,"○")&gt;0,1,0))</f>
        <v>0</v>
      </c>
      <c r="AG78" s="39" t="n">
        <f aca="false">IF(AG$4=0,0,IF(COUNTIFS(実績!$W$6:$W$505,AG$3,実績!$AI$6:$AI$505,"&lt;="&amp;$A78,実績!$AJ$6:$AJ$505,"&gt;"&amp;$A78,実績!$AK$6:$AK$505,"○")&gt;0,1,0))</f>
        <v>0</v>
      </c>
      <c r="AH78" s="39" t="n">
        <f aca="false">IF(AH$4=0,0,IF(COUNTIFS(実績!$W$6:$W$505,AH$3,実績!$AI$6:$AI$505,"&lt;="&amp;$A78,実績!$AJ$6:$AJ$505,"&gt;"&amp;$A78,実績!$AK$6:$AK$505,"○")&gt;0,1,0))</f>
        <v>0</v>
      </c>
      <c r="AI78" s="39" t="n">
        <f aca="false">IF(AI$4=0,0,IF(COUNTIFS(実績!$W$6:$W$505,AI$3,実績!$AI$6:$AI$505,"&lt;="&amp;$A78,実績!$AJ$6:$AJ$505,"&gt;"&amp;$A78,実績!$AK$6:$AK$505,"○")&gt;0,1,0))</f>
        <v>0</v>
      </c>
      <c r="AJ78" s="39" t="n">
        <f aca="false">IF(AJ$4=0,0,IF(COUNTIFS(実績!$W$6:$W$505,AJ$3,実績!$AI$6:$AI$505,"&lt;="&amp;$A78,実績!$AJ$6:$AJ$505,"&gt;"&amp;$A78,実績!$AK$6:$AK$505,"○")&gt;0,1,0))</f>
        <v>0</v>
      </c>
      <c r="AK78" s="39" t="n">
        <f aca="false">IF(AK$4=0,0,IF(COUNTIFS(実績!$W$6:$W$505,AK$3,実績!$AI$6:$AI$505,"&lt;="&amp;$A78,実績!$AJ$6:$AJ$505,"&gt;"&amp;$A78,実績!$AK$6:$AK$505,"○")&gt;0,1,0))</f>
        <v>0</v>
      </c>
      <c r="AL78" s="39" t="n">
        <f aca="false">IF(AL$4=0,0,IF(COUNTIFS(実績!$W$6:$W$505,AL$3,実績!$AI$6:$AI$505,"&lt;="&amp;$A78,実績!$AJ$6:$AJ$505,"&gt;"&amp;$A78,実績!$AK$6:$AK$505,"○")&gt;0,1,0))</f>
        <v>0</v>
      </c>
      <c r="AM78" s="39" t="n">
        <f aca="false">IF(AM$4=0,0,IF(COUNTIFS(実績!$W$6:$W$505,AM$3,実績!$AI$6:$AI$505,"&lt;="&amp;$A78,実績!$AJ$6:$AJ$505,"&gt;"&amp;$A78,実績!$AK$6:$AK$505,"○")&gt;0,1,0))</f>
        <v>0</v>
      </c>
      <c r="AN78" s="39" t="n">
        <f aca="false">IF(AN$4=0,0,IF(COUNTIFS(実績!$W$6:$W$505,AN$3,実績!$AI$6:$AI$505,"&lt;="&amp;$A78,実績!$AJ$6:$AJ$505,"&gt;"&amp;$A78,実績!$AK$6:$AK$505,"○")&gt;0,1,0))</f>
        <v>0</v>
      </c>
      <c r="AO78" s="39" t="n">
        <f aca="false">IF(AO$4=0,0,IF(COUNTIFS(実績!$W$6:$W$505,AO$3,実績!$AI$6:$AI$505,"&lt;="&amp;$A78,実績!$AJ$6:$AJ$505,"&gt;"&amp;$A78,実績!$AK$6:$AK$505,"○")&gt;0,1,0))</f>
        <v>0</v>
      </c>
      <c r="AP78" s="39" t="n">
        <f aca="false">IF(AP$4=0,0,IF(COUNTIFS(実績!$W$6:$W$505,AP$3,実績!$AI$6:$AI$505,"&lt;="&amp;$A78,実績!$AJ$6:$AJ$505,"&gt;"&amp;$A78,実績!$AK$6:$AK$505,"○")&gt;0,1,0))</f>
        <v>0</v>
      </c>
      <c r="AQ78" s="39" t="n">
        <f aca="false">IF(AQ$4=0,0,IF(COUNTIFS(実績!$W$6:$W$505,AQ$3,実績!$AI$6:$AI$505,"&lt;="&amp;$A78,実績!$AJ$6:$AJ$505,"&gt;"&amp;$A78,実績!$AK$6:$AK$505,"○")&gt;0,1,0))</f>
        <v>0</v>
      </c>
      <c r="AR78" s="39" t="n">
        <f aca="false">IF(AR$4=0,0,IF(COUNTIFS(実績!$W$6:$W$505,AR$3,実績!$AI$6:$AI$505,"&lt;="&amp;$A78,実績!$AJ$6:$AJ$505,"&gt;"&amp;$A78,実績!$AK$6:$AK$505,"○")&gt;0,1,0))</f>
        <v>0</v>
      </c>
      <c r="AS78" s="39" t="n">
        <f aca="false">IF(AS$4=0,0,IF(COUNTIFS(実績!$W$6:$W$505,AS$3,実績!$AI$6:$AI$505,"&lt;="&amp;$A78,実績!$AJ$6:$AJ$505,"&gt;"&amp;$A78,実績!$AK$6:$AK$505,"○")&gt;0,1,0))</f>
        <v>0</v>
      </c>
      <c r="AT78" s="39" t="n">
        <f aca="false">IF(AT$4=0,0,IF(COUNTIFS(実績!$W$6:$W$505,AT$3,実績!$AI$6:$AI$505,"&lt;="&amp;$A78,実績!$AJ$6:$AJ$505,"&gt;"&amp;$A78,実績!$AK$6:$AK$505,"○")&gt;0,1,0))</f>
        <v>0</v>
      </c>
      <c r="AU78" s="39" t="n">
        <f aca="false">IF(AU$4=0,0,IF(COUNTIFS(実績!$W$6:$W$505,AU$3,実績!$AI$6:$AI$505,"&lt;="&amp;$A78,実績!$AJ$6:$AJ$505,"&gt;"&amp;$A78,実績!$AK$6:$AK$505,"○")&gt;0,1,0))</f>
        <v>0</v>
      </c>
      <c r="AV78" s="39" t="n">
        <f aca="false">IF(AV$4=0,0,IF(COUNTIFS(実績!$W$6:$W$505,AV$3,実績!$AI$6:$AI$505,"&lt;="&amp;$A78,実績!$AJ$6:$AJ$505,"&gt;"&amp;$A78,実績!$AK$6:$AK$505,"○")&gt;0,1,0))</f>
        <v>0</v>
      </c>
      <c r="AW78" s="39" t="n">
        <f aca="false">IF(AW$4=0,0,IF(COUNTIFS(実績!$W$6:$W$505,AW$3,実績!$AI$6:$AI$505,"&lt;="&amp;$A78,実績!$AJ$6:$AJ$505,"&gt;"&amp;$A78,実績!$AK$6:$AK$505,"○")&gt;0,1,0))</f>
        <v>0</v>
      </c>
      <c r="AX78" s="39" t="n">
        <f aca="false">IF(AX$4=0,0,IF(COUNTIFS(実績!$W$6:$W$505,AX$3,実績!$AI$6:$AI$505,"&lt;="&amp;$A78,実績!$AJ$6:$AJ$505,"&gt;"&amp;$A78,実績!$AK$6:$AK$505,"○")&gt;0,1,0))</f>
        <v>0</v>
      </c>
      <c r="AY78" s="39" t="n">
        <f aca="false">IF(AY$4=0,0,IF(COUNTIFS(実績!$W$6:$W$505,AY$3,実績!$AI$6:$AI$505,"&lt;="&amp;$A78,実績!$AJ$6:$AJ$505,"&gt;"&amp;$A78,実績!$AK$6:$AK$505,"○")&gt;0,1,0))</f>
        <v>0</v>
      </c>
      <c r="AZ78" s="39" t="n">
        <f aca="false">IF(AZ$4=0,0,IF(COUNTIFS(実績!$W$6:$W$505,AZ$3,実績!$AI$6:$AI$505,"&lt;="&amp;$A78,実績!$AJ$6:$AJ$505,"&gt;"&amp;$A78,実績!$AK$6:$AK$505,"○")&gt;0,1,0))</f>
        <v>0</v>
      </c>
      <c r="BA78" s="39" t="n">
        <f aca="false">IF(BA$4=0,0,IF(COUNTIFS(実績!$W$6:$W$505,BA$3,実績!$AI$6:$AI$505,"&lt;="&amp;$A78,実績!$AJ$6:$AJ$505,"&gt;"&amp;$A78,実績!$AK$6:$AK$505,"○")&gt;0,1,0))</f>
        <v>0</v>
      </c>
      <c r="BB78" s="39" t="n">
        <f aca="false">IF(BB$4=0,0,IF(COUNTIFS(実績!$W$6:$W$505,BB$3,実績!$AI$6:$AI$505,"&lt;="&amp;$A78,実績!$AJ$6:$AJ$505,"&gt;"&amp;$A78,実績!$AK$6:$AK$505,"○")&gt;0,1,0))</f>
        <v>0</v>
      </c>
      <c r="BC78" s="39" t="n">
        <f aca="false">IF(BC$4=0,0,IF(COUNTIFS(実績!$W$6:$W$505,BC$3,実績!$AI$6:$AI$505,"&lt;="&amp;$A78,実績!$AJ$6:$AJ$505,"&gt;"&amp;$A78,実績!$AK$6:$AK$505,"○")&gt;0,1,0))</f>
        <v>0</v>
      </c>
      <c r="BD78" s="39" t="n">
        <f aca="false">IF(BD$4=0,0,IF(COUNTIFS(実績!$W$6:$W$505,BD$3,実績!$AI$6:$AI$505,"&lt;="&amp;$A78,実績!$AJ$6:$AJ$505,"&gt;"&amp;$A78,実績!$AK$6:$AK$505,"○")&gt;0,1,0))</f>
        <v>0</v>
      </c>
      <c r="BE78" s="39" t="n">
        <f aca="false">IF(BE$4=0,0,IF(COUNTIFS(実績!$W$6:$W$505,BE$3,実績!$AI$6:$AI$505,"&lt;="&amp;$A78,実績!$AJ$6:$AJ$505,"&gt;"&amp;$A78,実績!$AK$6:$AK$505,"○")&gt;0,1,0))</f>
        <v>0</v>
      </c>
      <c r="BF78" s="39" t="n">
        <f aca="false">IF(BF$4=0,0,IF(COUNTIFS(実績!$W$6:$W$505,BF$3,実績!$AI$6:$AI$505,"&lt;="&amp;$A78,実績!$AJ$6:$AJ$505,"&gt;"&amp;$A78,実績!$AK$6:$AK$505,"○")&gt;0,1,0))</f>
        <v>0</v>
      </c>
      <c r="BG78" s="39" t="n">
        <f aca="false">IF(BG$4=0,0,IF(COUNTIFS(実績!$W$6:$W$505,BG$3,実績!$AI$6:$AI$505,"&lt;="&amp;$A78,実績!$AJ$6:$AJ$505,"&gt;"&amp;$A78,実績!$AK$6:$AK$505,"○")&gt;0,1,0))</f>
        <v>0</v>
      </c>
      <c r="BH78" s="39" t="n">
        <f aca="false">IF(BH$4=0,0,IF(COUNTIFS(実績!$W$6:$W$505,BH$3,実績!$AI$6:$AI$505,"&lt;="&amp;$A78,実績!$AJ$6:$AJ$505,"&gt;"&amp;$A78,実績!$AK$6:$AK$505,"○")&gt;0,1,0))</f>
        <v>0</v>
      </c>
      <c r="BI78" s="39" t="n">
        <f aca="false">IF(BI$4=0,0,IF(COUNTIFS(実績!$W$6:$W$505,BI$3,実績!$AI$6:$AI$505,"&lt;="&amp;$A78,実績!$AJ$6:$AJ$505,"&gt;"&amp;$A78,実績!$AK$6:$AK$505,"○")&gt;0,1,0))</f>
        <v>0</v>
      </c>
      <c r="BJ78" s="39" t="n">
        <f aca="false">IF(BJ$4=0,0,IF(COUNTIFS(実績!$W$6:$W$505,BJ$3,実績!$AI$6:$AI$505,"&lt;="&amp;$A78,実績!$AJ$6:$AJ$505,"&gt;"&amp;$A78,実績!$AK$6:$AK$505,"○")&gt;0,1,0))</f>
        <v>0</v>
      </c>
      <c r="BK78" s="39" t="n">
        <f aca="false">IF(BK$4=0,0,IF(COUNTIFS(実績!$W$6:$W$505,BK$3,実績!$AI$6:$AI$505,"&lt;="&amp;$A78,実績!$AJ$6:$AJ$505,"&gt;"&amp;$A78,実績!$AK$6:$AK$505,"○")&gt;0,1,0))</f>
        <v>0</v>
      </c>
      <c r="BL78" s="39" t="n">
        <f aca="false">IF(BL$4=0,0,IF(COUNTIFS(実績!$W$6:$W$505,BL$3,実績!$AI$6:$AI$505,"&lt;="&amp;$A78,実績!$AJ$6:$AJ$505,"&gt;"&amp;$A78,実績!$AK$6:$AK$505,"○")&gt;0,1,0))</f>
        <v>0</v>
      </c>
      <c r="BM78" s="39" t="n">
        <f aca="false">IF(BM$4=0,0,IF(COUNTIFS(実績!$W$6:$W$505,BM$3,実績!$AI$6:$AI$505,"&lt;="&amp;$A78,実績!$AJ$6:$AJ$505,"&gt;"&amp;$A78,実績!$AK$6:$AK$505,"○")&gt;0,1,0))</f>
        <v>0</v>
      </c>
      <c r="BN78" s="39" t="n">
        <f aca="false">IF(BN$4=0,0,IF(COUNTIFS(実績!$W$6:$W$505,BN$3,実績!$AI$6:$AI$505,"&lt;="&amp;$A78,実績!$AJ$6:$AJ$505,"&gt;"&amp;$A78,実績!$AK$6:$AK$505,"○")&gt;0,1,0))</f>
        <v>0</v>
      </c>
      <c r="BO78" s="39" t="n">
        <f aca="false">IF(BO$4=0,0,IF(COUNTIFS(実績!$W$6:$W$505,BO$3,実績!$AI$6:$AI$505,"&lt;="&amp;$A78,実績!$AJ$6:$AJ$505,"&gt;"&amp;$A78,実績!$AK$6:$AK$505,"○")&gt;0,1,0))</f>
        <v>0</v>
      </c>
      <c r="BP78" s="39" t="n">
        <f aca="false">IF(BP$4=0,0,IF(COUNTIFS(実績!$W$6:$W$505,BP$3,実績!$AI$6:$AI$505,"&lt;="&amp;$A78,実績!$AJ$6:$AJ$505,"&gt;"&amp;$A78,実績!$AK$6:$AK$505,"○")&gt;0,1,0))</f>
        <v>0</v>
      </c>
      <c r="BQ78" s="39" t="n">
        <f aca="false">IF(BQ$4=0,0,IF(COUNTIFS(実績!$W$6:$W$505,BQ$3,実績!$AI$6:$AI$505,"&lt;="&amp;$A78,実績!$AJ$6:$AJ$505,"&gt;"&amp;$A78,実績!$AK$6:$AK$505,"○")&gt;0,1,0))</f>
        <v>0</v>
      </c>
      <c r="BR78" s="39" t="n">
        <f aca="false">IF(BR$4=0,0,IF(COUNTIFS(実績!$W$6:$W$505,BR$3,実績!$AI$6:$AI$505,"&lt;="&amp;$A78,実績!$AJ$6:$AJ$505,"&gt;"&amp;$A78,実績!$AK$6:$AK$505,"○")&gt;0,1,0))</f>
        <v>0</v>
      </c>
      <c r="BS78" s="39" t="n">
        <f aca="false">IF(BS$4=0,0,IF(COUNTIFS(実績!$W$6:$W$505,BS$3,実績!$AI$6:$AI$505,"&lt;="&amp;$A78,実績!$AJ$6:$AJ$505,"&gt;"&amp;$A78,実績!$AK$6:$AK$505,"○")&gt;0,1,0))</f>
        <v>0</v>
      </c>
      <c r="BT78" s="39" t="n">
        <f aca="false">IF(BT$4=0,0,IF(COUNTIFS(実績!$W$6:$W$505,BT$3,実績!$AI$6:$AI$505,"&lt;="&amp;$A78,実績!$AJ$6:$AJ$505,"&gt;"&amp;$A78,実績!$AK$6:$AK$505,"○")&gt;0,1,0))</f>
        <v>0</v>
      </c>
      <c r="BU78" s="39" t="n">
        <f aca="false">IF(BU$4=0,0,IF(COUNTIFS(実績!$W$6:$W$505,BU$3,実績!$AI$6:$AI$505,"&lt;="&amp;$A78,実績!$AJ$6:$AJ$505,"&gt;"&amp;$A78,実績!$AK$6:$AK$505,"○")&gt;0,1,0))</f>
        <v>0</v>
      </c>
      <c r="BV78" s="39" t="n">
        <f aca="false">IF(BV$4=0,0,IF(COUNTIFS(実績!$W$6:$W$505,BV$3,実績!$AI$6:$AI$505,"&lt;="&amp;$A78,実績!$AJ$6:$AJ$505,"&gt;"&amp;$A78,実績!$AK$6:$AK$505,"○")&gt;0,1,0))</f>
        <v>0</v>
      </c>
      <c r="BW78" s="39" t="n">
        <f aca="false">IF(BW$4=0,0,IF(COUNTIFS(実績!$W$6:$W$505,BW$3,実績!$AI$6:$AI$505,"&lt;="&amp;$A78,実績!$AJ$6:$AJ$505,"&gt;"&amp;$A78,実績!$AK$6:$AK$505,"○")&gt;0,1,0))</f>
        <v>0</v>
      </c>
      <c r="BX78" s="39" t="n">
        <f aca="false">IF(BX$4=0,0,IF(COUNTIFS(実績!$W$6:$W$505,BX$3,実績!$AI$6:$AI$505,"&lt;="&amp;$A78,実績!$AJ$6:$AJ$505,"&gt;"&amp;$A78,実績!$AK$6:$AK$505,"○")&gt;0,1,0))</f>
        <v>0</v>
      </c>
      <c r="BY78" s="39" t="n">
        <f aca="false">IF(BY$4=0,0,IF(COUNTIFS(実績!$W$6:$W$505,BY$3,実績!$AI$6:$AI$505,"&lt;="&amp;$A78,実績!$AJ$6:$AJ$505,"&gt;"&amp;$A78,実績!$AK$6:$AK$505,"○")&gt;0,1,0))</f>
        <v>0</v>
      </c>
      <c r="BZ78" s="39" t="n">
        <f aca="false">IF(BZ$4=0,0,IF(COUNTIFS(実績!$W$6:$W$505,BZ$3,実績!$AI$6:$AI$505,"&lt;="&amp;$A78,実績!$AJ$6:$AJ$505,"&gt;"&amp;$A78,実績!$AK$6:$AK$505,"○")&gt;0,1,0))</f>
        <v>0</v>
      </c>
      <c r="CA78" s="39" t="n">
        <f aca="false">IF(CA$4=0,0,IF(COUNTIFS(実績!$W$6:$W$505,CA$3,実績!$AI$6:$AI$505,"&lt;="&amp;$A78,実績!$AJ$6:$AJ$505,"&gt;"&amp;$A78,実績!$AK$6:$AK$505,"○")&gt;0,1,0))</f>
        <v>0</v>
      </c>
      <c r="CB78" s="39" t="n">
        <f aca="false">IF(CB$4=0,0,IF(COUNTIFS(実績!$W$6:$W$505,CB$3,実績!$AI$6:$AI$505,"&lt;="&amp;$A78,実績!$AJ$6:$AJ$505,"&gt;"&amp;$A78,実績!$AK$6:$AK$505,"○")&gt;0,1,0))</f>
        <v>0</v>
      </c>
      <c r="CC78" s="39" t="n">
        <f aca="false">IF(CC$4=0,0,IF(COUNTIFS(実績!$W$6:$W$505,CC$3,実績!$AI$6:$AI$505,"&lt;="&amp;$A78,実績!$AJ$6:$AJ$505,"&gt;"&amp;$A78,実績!$AK$6:$AK$505,"○")&gt;0,1,0))</f>
        <v>0</v>
      </c>
      <c r="CD78" s="39" t="n">
        <f aca="false">IF(CD$4=0,0,IF(COUNTIFS(実績!$W$6:$W$505,CD$3,実績!$AI$6:$AI$505,"&lt;="&amp;$A78,実績!$AJ$6:$AJ$505,"&gt;"&amp;$A78,実績!$AK$6:$AK$505,"○")&gt;0,1,0))</f>
        <v>0</v>
      </c>
      <c r="CE78" s="39" t="n">
        <f aca="false">IF(CE$4=0,0,IF(COUNTIFS(実績!$W$6:$W$505,CE$3,実績!$AI$6:$AI$505,"&lt;="&amp;$A78,実績!$AJ$6:$AJ$505,"&gt;"&amp;$A78,実績!$AK$6:$AK$505,"○")&gt;0,1,0))</f>
        <v>0</v>
      </c>
      <c r="CF78" s="39" t="n">
        <f aca="false">IF(CF$4=0,0,IF(COUNTIFS(実績!$W$6:$W$505,CF$3,実績!$AI$6:$AI$505,"&lt;="&amp;$A78,実績!$AJ$6:$AJ$505,"&gt;"&amp;$A78,実績!$AK$6:$AK$505,"○")&gt;0,1,0))</f>
        <v>0</v>
      </c>
      <c r="CG78" s="39" t="n">
        <f aca="false">IF(CG$4=0,0,IF(COUNTIFS(実績!$W$6:$W$505,CG$3,実績!$AI$6:$AI$505,"&lt;="&amp;$A78,実績!$AJ$6:$AJ$505,"&gt;"&amp;$A78,実績!$AK$6:$AK$505,"○")&gt;0,1,0))</f>
        <v>0</v>
      </c>
      <c r="CH78" s="39" t="n">
        <f aca="false">IF(CH$4=0,0,IF(COUNTIFS(実績!$W$6:$W$505,CH$3,実績!$AI$6:$AI$505,"&lt;="&amp;$A78,実績!$AJ$6:$AJ$505,"&gt;"&amp;$A78,実績!$AK$6:$AK$505,"○")&gt;0,1,0))</f>
        <v>0</v>
      </c>
      <c r="CI78" s="39" t="n">
        <f aca="false">IF(CI$4=0,0,IF(COUNTIFS(実績!$W$6:$W$505,CI$3,実績!$AI$6:$AI$505,"&lt;="&amp;$A78,実績!$AJ$6:$AJ$505,"&gt;"&amp;$A78,実績!$AK$6:$AK$505,"○")&gt;0,1,0))</f>
        <v>0</v>
      </c>
      <c r="CJ78" s="39" t="n">
        <f aca="false">IF(CJ$4=0,0,IF(COUNTIFS(実績!$W$6:$W$505,CJ$3,実績!$AI$6:$AI$505,"&lt;="&amp;$A78,実績!$AJ$6:$AJ$505,"&gt;"&amp;$A78,実績!$AK$6:$AK$505,"○")&gt;0,1,0))</f>
        <v>0</v>
      </c>
      <c r="CK78" s="39" t="n">
        <f aca="false">IF(CK$4=0,0,IF(COUNTIFS(実績!$W$6:$W$505,CK$3,実績!$AI$6:$AI$505,"&lt;="&amp;$A78,実績!$AJ$6:$AJ$505,"&gt;"&amp;$A78,実績!$AK$6:$AK$505,"○")&gt;0,1,0))</f>
        <v>0</v>
      </c>
      <c r="CL78" s="39" t="n">
        <f aca="false">IF(CL$4=0,0,IF(COUNTIFS(実績!$W$6:$W$505,CL$3,実績!$AI$6:$AI$505,"&lt;="&amp;$A78,実績!$AJ$6:$AJ$505,"&gt;"&amp;$A78,実績!$AK$6:$AK$505,"○")&gt;0,1,0))</f>
        <v>0</v>
      </c>
      <c r="CM78" s="39" t="n">
        <f aca="false">IF(CM$4=0,0,IF(COUNTIFS(実績!$W$6:$W$505,CM$3,実績!$AI$6:$AI$505,"&lt;="&amp;$A78,実績!$AJ$6:$AJ$505,"&gt;"&amp;$A78,実績!$AK$6:$AK$505,"○")&gt;0,1,0))</f>
        <v>0</v>
      </c>
      <c r="CN78" s="39" t="n">
        <f aca="false">IF(CN$4=0,0,IF(COUNTIFS(実績!$W$6:$W$505,CN$3,実績!$AI$6:$AI$505,"&lt;="&amp;$A78,実績!$AJ$6:$AJ$505,"&gt;"&amp;$A78,実績!$AK$6:$AK$505,"○")&gt;0,1,0))</f>
        <v>0</v>
      </c>
      <c r="CO78" s="39" t="n">
        <f aca="false">IF(CO$4=0,0,IF(COUNTIFS(実績!$W$6:$W$505,CO$3,実績!$AI$6:$AI$505,"&lt;="&amp;$A78,実績!$AJ$6:$AJ$505,"&gt;"&amp;$A78,実績!$AK$6:$AK$505,"○")&gt;0,1,0))</f>
        <v>0</v>
      </c>
      <c r="CP78" s="39" t="n">
        <f aca="false">IF(CP$4=0,0,IF(COUNTIFS(実績!$W$6:$W$505,CP$3,実績!$AI$6:$AI$505,"&lt;="&amp;$A78,実績!$AJ$6:$AJ$505,"&gt;"&amp;$A78,実績!$AK$6:$AK$505,"○")&gt;0,1,0))</f>
        <v>0</v>
      </c>
      <c r="CQ78" s="39" t="n">
        <f aca="false">IF(CQ$4=0,0,IF(COUNTIFS(実績!$W$6:$W$505,CQ$3,実績!$AI$6:$AI$505,"&lt;="&amp;$A78,実績!$AJ$6:$AJ$505,"&gt;"&amp;$A78,実績!$AK$6:$AK$505,"○")&gt;0,1,0))</f>
        <v>0</v>
      </c>
      <c r="CR78" s="39" t="n">
        <f aca="false">IF(CR$4=0,0,IF(COUNTIFS(実績!$W$6:$W$505,CR$3,実績!$AI$6:$AI$505,"&lt;="&amp;$A78,実績!$AJ$6:$AJ$505,"&gt;"&amp;$A78,実績!$AK$6:$AK$505,"○")&gt;0,1,0))</f>
        <v>0</v>
      </c>
      <c r="CS78" s="39" t="n">
        <f aca="false">IF(CS$4=0,0,IF(COUNTIFS(実績!$W$6:$W$505,CS$3,実績!$AI$6:$AI$505,"&lt;="&amp;$A78,実績!$AJ$6:$AJ$505,"&gt;"&amp;$A78,実績!$AK$6:$AK$505,"○")&gt;0,1,0))</f>
        <v>0</v>
      </c>
      <c r="CT78" s="39" t="n">
        <f aca="false">IF(CT$4=0,0,IF(COUNTIFS(実績!$W$6:$W$505,CT$3,実績!$AI$6:$AI$505,"&lt;="&amp;$A78,実績!$AJ$6:$AJ$505,"&gt;"&amp;$A78,実績!$AK$6:$AK$505,"○")&gt;0,1,0))</f>
        <v>0</v>
      </c>
      <c r="CU78" s="39" t="n">
        <f aca="false">IF(CU$4=0,0,IF(COUNTIFS(実績!$W$6:$W$505,CU$3,実績!$AI$6:$AI$505,"&lt;="&amp;$A78,実績!$AJ$6:$AJ$505,"&gt;"&amp;$A78,実績!$AK$6:$AK$505,"○")&gt;0,1,0))</f>
        <v>0</v>
      </c>
      <c r="CV78" s="39" t="n">
        <f aca="false">IF(CV$4=0,0,IF(COUNTIFS(実績!$W$6:$W$505,CV$3,実績!$AI$6:$AI$505,"&lt;="&amp;$A78,実績!$AJ$6:$AJ$505,"&gt;"&amp;$A78,実績!$AK$6:$AK$505,"○")&gt;0,1,0))</f>
        <v>0</v>
      </c>
      <c r="CW78" s="39" t="n">
        <f aca="false">IF(CW$4=0,0,IF(COUNTIFS(実績!$W$6:$W$505,CW$3,実績!$AI$6:$AI$505,"&lt;="&amp;$A78,実績!$AJ$6:$AJ$505,"&gt;"&amp;$A78,実績!$AK$6:$AK$505,"○")&gt;0,1,0))</f>
        <v>0</v>
      </c>
      <c r="CX78" s="39" t="n">
        <f aca="false">IF(CX$4=0,0,IF(COUNTIFS(実績!$W$6:$W$505,CX$3,実績!$AI$6:$AI$505,"&lt;="&amp;$A78,実績!$AJ$6:$AJ$505,"&gt;"&amp;$A78,実績!$AK$6:$AK$505,"○")&gt;0,1,0))</f>
        <v>0</v>
      </c>
      <c r="CY78" s="39" t="n">
        <f aca="false">IF(CY$4=0,0,IF(COUNTIFS(実績!$W$6:$W$505,CY$3,実績!$AI$6:$AI$505,"&lt;="&amp;$A78,実績!$AJ$6:$AJ$505,"&gt;"&amp;$A78,実績!$AK$6:$AK$505,"○")&gt;0,1,0))</f>
        <v>0</v>
      </c>
      <c r="CZ78" s="39" t="n">
        <f aca="false">IF(CZ$4=0,0,IF(COUNTIFS(実績!$W$6:$W$505,CZ$3,実績!$AI$6:$AI$505,"&lt;="&amp;$A78,実績!$AJ$6:$AJ$505,"&gt;"&amp;$A78,実績!$AK$6:$AK$505,"○")&gt;0,1,0))</f>
        <v>0</v>
      </c>
      <c r="DA78" s="39" t="n">
        <f aca="false">IF(DA$4=0,0,IF(COUNTIFS(実績!$W$6:$W$505,DA$3,実績!$AI$6:$AI$505,"&lt;="&amp;$A78,実績!$AJ$6:$AJ$505,"&gt;"&amp;$A78,実績!$AK$6:$AK$505,"○")&gt;0,1,0))</f>
        <v>0</v>
      </c>
      <c r="DB78" s="39" t="n">
        <f aca="false">IF(DB$4=0,0,IF(COUNTIFS(実績!$W$6:$W$505,DB$3,実績!$AI$6:$AI$505,"&lt;="&amp;$A78,実績!$AJ$6:$AJ$505,"&gt;"&amp;$A78,実績!$AK$6:$AK$505,"○")&gt;0,1,0))</f>
        <v>0</v>
      </c>
      <c r="DC78" s="39" t="n">
        <f aca="false">IF(DC$4=0,0,IF(COUNTIFS(実績!$W$6:$W$505,DC$3,実績!$AI$6:$AI$505,"&lt;="&amp;$A78,実績!$AJ$6:$AJ$505,"&gt;"&amp;$A78,実績!$AK$6:$AK$505,"○")&gt;0,1,0))</f>
        <v>0</v>
      </c>
      <c r="DD78" s="39" t="n">
        <f aca="false">IF(DD$4=0,0,IF(COUNTIFS(実績!$W$6:$W$505,DD$3,実績!$AI$6:$AI$505,"&lt;="&amp;$A78,実績!$AJ$6:$AJ$505,"&gt;"&amp;$A78,実績!$AK$6:$AK$505,"○")&gt;0,1,0))</f>
        <v>0</v>
      </c>
      <c r="DE78" s="39" t="n">
        <f aca="false">IF(DE$4=0,0,IF(COUNTIFS(実績!$W$6:$W$505,DE$3,実績!$AI$6:$AI$505,"&lt;="&amp;$A78,実績!$AJ$6:$AJ$505,"&gt;"&amp;$A78,実績!$AK$6:$AK$505,"○")&gt;0,1,0))</f>
        <v>0</v>
      </c>
      <c r="DF78" s="39" t="n">
        <f aca="false">IF(DF$4=0,0,IF(COUNTIFS(実績!$W$6:$W$505,DF$3,実績!$AI$6:$AI$505,"&lt;="&amp;$A78,実績!$AJ$6:$AJ$505,"&gt;"&amp;$A78,実績!$AK$6:$AK$505,"○")&gt;0,1,0))</f>
        <v>0</v>
      </c>
      <c r="DG78" s="39" t="n">
        <f aca="false">IF(DG$4=0,0,IF(COUNTIFS(実績!$W$6:$W$505,DG$3,実績!$AI$6:$AI$505,"&lt;="&amp;$A78,実績!$AJ$6:$AJ$505,"&gt;"&amp;$A78,実績!$AK$6:$AK$505,"○")&gt;0,1,0))</f>
        <v>0</v>
      </c>
      <c r="DH78" s="39" t="n">
        <f aca="false">IF(DH$4=0,0,IF(COUNTIFS(実績!$W$6:$W$505,DH$3,実績!$AI$6:$AI$505,"&lt;="&amp;$A78,実績!$AJ$6:$AJ$505,"&gt;"&amp;$A78,実績!$AK$6:$AK$505,"○")&gt;0,1,0))</f>
        <v>0</v>
      </c>
      <c r="DI78" s="39" t="n">
        <f aca="false">IF(DI$4=0,0,IF(COUNTIFS(実績!$W$6:$W$505,DI$3,実績!$AI$6:$AI$505,"&lt;="&amp;$A78,実績!$AJ$6:$AJ$505,"&gt;"&amp;$A78,実績!$AK$6:$AK$505,"○")&gt;0,1,0))</f>
        <v>0</v>
      </c>
      <c r="DJ78" s="39" t="n">
        <f aca="false">IF(DJ$4=0,0,IF(COUNTIFS(実績!$W$6:$W$505,DJ$3,実績!$AI$6:$AI$505,"&lt;="&amp;$A78,実績!$AJ$6:$AJ$505,"&gt;"&amp;$A78,実績!$AK$6:$AK$505,"○")&gt;0,1,0))</f>
        <v>0</v>
      </c>
      <c r="DK78" s="39" t="n">
        <f aca="false">IF(DK$4=0,0,IF(COUNTIFS(実績!$W$6:$W$505,DK$3,実績!$AI$6:$AI$505,"&lt;="&amp;$A78,実績!$AJ$6:$AJ$505,"&gt;"&amp;$A78,実績!$AK$6:$AK$505,"○")&gt;0,1,0))</f>
        <v>0</v>
      </c>
      <c r="DL78" s="39" t="n">
        <f aca="false">IF(DL$4=0,0,IF(COUNTIFS(実績!$W$6:$W$505,DL$3,実績!$AI$6:$AI$505,"&lt;="&amp;$A78,実績!$AJ$6:$AJ$505,"&gt;"&amp;$A78,実績!$AK$6:$AK$505,"○")&gt;0,1,0))</f>
        <v>0</v>
      </c>
      <c r="DM78" s="39" t="n">
        <f aca="false">IF(DM$4=0,0,IF(COUNTIFS(実績!$W$6:$W$505,DM$3,実績!$AI$6:$AI$505,"&lt;="&amp;$A78,実績!$AJ$6:$AJ$505,"&gt;"&amp;$A78,実績!$AK$6:$AK$505,"○")&gt;0,1,0))</f>
        <v>0</v>
      </c>
      <c r="DN78" s="39" t="n">
        <f aca="false">IF(DN$4=0,0,IF(COUNTIFS(実績!$W$6:$W$505,DN$3,実績!$AI$6:$AI$505,"&lt;="&amp;$A78,実績!$AJ$6:$AJ$505,"&gt;"&amp;$A78,実績!$AK$6:$AK$505,"○")&gt;0,1,0))</f>
        <v>0</v>
      </c>
      <c r="DO78" s="39" t="n">
        <f aca="false">IF(DO$4=0,0,IF(COUNTIFS(実績!$W$6:$W$505,DO$3,実績!$AI$6:$AI$505,"&lt;="&amp;$A78,実績!$AJ$6:$AJ$505,"&gt;"&amp;$A78,実績!$AK$6:$AK$505,"○")&gt;0,1,0))</f>
        <v>0</v>
      </c>
      <c r="DP78" s="39" t="n">
        <f aca="false">IF(DP$4=0,0,IF(COUNTIFS(実績!$W$6:$W$505,DP$3,実績!$AI$6:$AI$505,"&lt;="&amp;$A78,実績!$AJ$6:$AJ$505,"&gt;"&amp;$A78,実績!$AK$6:$AK$505,"○")&gt;0,1,0))</f>
        <v>0</v>
      </c>
      <c r="DQ78" s="39" t="n">
        <f aca="false">IF(DQ$4=0,0,IF(COUNTIFS(実績!$W$6:$W$505,DQ$3,実績!$AI$6:$AI$505,"&lt;="&amp;$A78,実績!$AJ$6:$AJ$505,"&gt;"&amp;$A78,実績!$AK$6:$AK$505,"○")&gt;0,1,0))</f>
        <v>0</v>
      </c>
      <c r="DR78" s="39" t="n">
        <f aca="false">IF(DR$4=0,0,IF(COUNTIFS(実績!$W$6:$W$505,DR$3,実績!$AI$6:$AI$505,"&lt;="&amp;$A78,実績!$AJ$6:$AJ$505,"&gt;"&amp;$A78,実績!$AK$6:$AK$505,"○")&gt;0,1,0))</f>
        <v>0</v>
      </c>
      <c r="DS78" s="39" t="n">
        <f aca="false">SUM(C78:DR78)</f>
        <v>0</v>
      </c>
      <c r="DT78" s="39" t="n">
        <f aca="false">SUMPRODUCT((実績!$C$6:$C$505="○")*ISNUMBER(実績!$AM$6:$AM$505)*(実績!$AM$6:$AM$505&lt;=$A78)*(実績!$AN$6:$AN$505&gt;$A78))</f>
        <v>0</v>
      </c>
      <c r="DU78" s="39" t="n">
        <f aca="false">SUMIF($C$2:$DR$2,"製鉄曳船",C78:DR78)</f>
        <v>0</v>
      </c>
      <c r="DV78" s="39" t="n">
        <f aca="false">SUMIF($C$2:$DR$2,"西日本海運",C78:DR78)</f>
        <v>0</v>
      </c>
    </row>
    <row r="79" customFormat="false" ht="15" hidden="false" customHeight="false" outlineLevel="0" collapsed="false">
      <c r="A79" s="0" t="n">
        <v>365</v>
      </c>
      <c r="B79" s="38" t="n">
        <f aca="false">A79/1440</f>
        <v>0.253472222222222</v>
      </c>
      <c r="C79" s="39" t="n">
        <f aca="false">IF(C$4=0,0,IF(COUNTIFS(実績!$W$6:$W$505,C$3,実績!$AI$6:$AI$505,"&lt;="&amp;$A79,実績!$AJ$6:$AJ$505,"&gt;"&amp;$A79,実績!$AK$6:$AK$505,"○")&gt;0,1,0))</f>
        <v>0</v>
      </c>
      <c r="D79" s="39" t="n">
        <f aca="false">IF(D$4=0,0,IF(COUNTIFS(実績!$W$6:$W$505,D$3,実績!$AI$6:$AI$505,"&lt;="&amp;$A79,実績!$AJ$6:$AJ$505,"&gt;"&amp;$A79,実績!$AK$6:$AK$505,"○")&gt;0,1,0))</f>
        <v>0</v>
      </c>
      <c r="E79" s="39" t="n">
        <f aca="false">IF(E$4=0,0,IF(COUNTIFS(実績!$W$6:$W$505,E$3,実績!$AI$6:$AI$505,"&lt;="&amp;$A79,実績!$AJ$6:$AJ$505,"&gt;"&amp;$A79,実績!$AK$6:$AK$505,"○")&gt;0,1,0))</f>
        <v>0</v>
      </c>
      <c r="F79" s="39" t="n">
        <f aca="false">IF(F$4=0,0,IF(COUNTIFS(実績!$W$6:$W$505,F$3,実績!$AI$6:$AI$505,"&lt;="&amp;$A79,実績!$AJ$6:$AJ$505,"&gt;"&amp;$A79,実績!$AK$6:$AK$505,"○")&gt;0,1,0))</f>
        <v>0</v>
      </c>
      <c r="G79" s="39" t="n">
        <f aca="false">IF(G$4=0,0,IF(COUNTIFS(実績!$W$6:$W$505,G$3,実績!$AI$6:$AI$505,"&lt;="&amp;$A79,実績!$AJ$6:$AJ$505,"&gt;"&amp;$A79,実績!$AK$6:$AK$505,"○")&gt;0,1,0))</f>
        <v>0</v>
      </c>
      <c r="H79" s="39" t="n">
        <f aca="false">IF(H$4=0,0,IF(COUNTIFS(実績!$W$6:$W$505,H$3,実績!$AI$6:$AI$505,"&lt;="&amp;$A79,実績!$AJ$6:$AJ$505,"&gt;"&amp;$A79,実績!$AK$6:$AK$505,"○")&gt;0,1,0))</f>
        <v>0</v>
      </c>
      <c r="I79" s="39" t="n">
        <f aca="false">IF(I$4=0,0,IF(COUNTIFS(実績!$W$6:$W$505,I$3,実績!$AI$6:$AI$505,"&lt;="&amp;$A79,実績!$AJ$6:$AJ$505,"&gt;"&amp;$A79,実績!$AK$6:$AK$505,"○")&gt;0,1,0))</f>
        <v>0</v>
      </c>
      <c r="J79" s="39" t="n">
        <f aca="false">IF(J$4=0,0,IF(COUNTIFS(実績!$W$6:$W$505,J$3,実績!$AI$6:$AI$505,"&lt;="&amp;$A79,実績!$AJ$6:$AJ$505,"&gt;"&amp;$A79,実績!$AK$6:$AK$505,"○")&gt;0,1,0))</f>
        <v>0</v>
      </c>
      <c r="K79" s="39" t="n">
        <f aca="false">IF(K$4=0,0,IF(COUNTIFS(実績!$W$6:$W$505,K$3,実績!$AI$6:$AI$505,"&lt;="&amp;$A79,実績!$AJ$6:$AJ$505,"&gt;"&amp;$A79,実績!$AK$6:$AK$505,"○")&gt;0,1,0))</f>
        <v>0</v>
      </c>
      <c r="L79" s="39" t="n">
        <f aca="false">IF(L$4=0,0,IF(COUNTIFS(実績!$W$6:$W$505,L$3,実績!$AI$6:$AI$505,"&lt;="&amp;$A79,実績!$AJ$6:$AJ$505,"&gt;"&amp;$A79,実績!$AK$6:$AK$505,"○")&gt;0,1,0))</f>
        <v>0</v>
      </c>
      <c r="M79" s="39" t="n">
        <f aca="false">IF(M$4=0,0,IF(COUNTIFS(実績!$W$6:$W$505,M$3,実績!$AI$6:$AI$505,"&lt;="&amp;$A79,実績!$AJ$6:$AJ$505,"&gt;"&amp;$A79,実績!$AK$6:$AK$505,"○")&gt;0,1,0))</f>
        <v>0</v>
      </c>
      <c r="N79" s="39" t="n">
        <f aca="false">IF(N$4=0,0,IF(COUNTIFS(実績!$W$6:$W$505,N$3,実績!$AI$6:$AI$505,"&lt;="&amp;$A79,実績!$AJ$6:$AJ$505,"&gt;"&amp;$A79,実績!$AK$6:$AK$505,"○")&gt;0,1,0))</f>
        <v>0</v>
      </c>
      <c r="O79" s="39" t="n">
        <f aca="false">IF(O$4=0,0,IF(COUNTIFS(実績!$W$6:$W$505,O$3,実績!$AI$6:$AI$505,"&lt;="&amp;$A79,実績!$AJ$6:$AJ$505,"&gt;"&amp;$A79,実績!$AK$6:$AK$505,"○")&gt;0,1,0))</f>
        <v>0</v>
      </c>
      <c r="P79" s="39" t="n">
        <f aca="false">IF(P$4=0,0,IF(COUNTIFS(実績!$W$6:$W$505,P$3,実績!$AI$6:$AI$505,"&lt;="&amp;$A79,実績!$AJ$6:$AJ$505,"&gt;"&amp;$A79,実績!$AK$6:$AK$505,"○")&gt;0,1,0))</f>
        <v>0</v>
      </c>
      <c r="Q79" s="39" t="n">
        <f aca="false">IF(Q$4=0,0,IF(COUNTIFS(実績!$W$6:$W$505,Q$3,実績!$AI$6:$AI$505,"&lt;="&amp;$A79,実績!$AJ$6:$AJ$505,"&gt;"&amp;$A79,実績!$AK$6:$AK$505,"○")&gt;0,1,0))</f>
        <v>0</v>
      </c>
      <c r="R79" s="39" t="n">
        <f aca="false">IF(R$4=0,0,IF(COUNTIFS(実績!$W$6:$W$505,R$3,実績!$AI$6:$AI$505,"&lt;="&amp;$A79,実績!$AJ$6:$AJ$505,"&gt;"&amp;$A79,実績!$AK$6:$AK$505,"○")&gt;0,1,0))</f>
        <v>0</v>
      </c>
      <c r="S79" s="39" t="n">
        <f aca="false">IF(S$4=0,0,IF(COUNTIFS(実績!$W$6:$W$505,S$3,実績!$AI$6:$AI$505,"&lt;="&amp;$A79,実績!$AJ$6:$AJ$505,"&gt;"&amp;$A79,実績!$AK$6:$AK$505,"○")&gt;0,1,0))</f>
        <v>0</v>
      </c>
      <c r="T79" s="39" t="n">
        <f aca="false">IF(T$4=0,0,IF(COUNTIFS(実績!$W$6:$W$505,T$3,実績!$AI$6:$AI$505,"&lt;="&amp;$A79,実績!$AJ$6:$AJ$505,"&gt;"&amp;$A79,実績!$AK$6:$AK$505,"○")&gt;0,1,0))</f>
        <v>0</v>
      </c>
      <c r="U79" s="39" t="n">
        <f aca="false">IF(U$4=0,0,IF(COUNTIFS(実績!$W$6:$W$505,U$3,実績!$AI$6:$AI$505,"&lt;="&amp;$A79,実績!$AJ$6:$AJ$505,"&gt;"&amp;$A79,実績!$AK$6:$AK$505,"○")&gt;0,1,0))</f>
        <v>0</v>
      </c>
      <c r="V79" s="39" t="n">
        <f aca="false">IF(V$4=0,0,IF(COUNTIFS(実績!$W$6:$W$505,V$3,実績!$AI$6:$AI$505,"&lt;="&amp;$A79,実績!$AJ$6:$AJ$505,"&gt;"&amp;$A79,実績!$AK$6:$AK$505,"○")&gt;0,1,0))</f>
        <v>0</v>
      </c>
      <c r="W79" s="39" t="n">
        <f aca="false">IF(W$4=0,0,IF(COUNTIFS(実績!$W$6:$W$505,W$3,実績!$AI$6:$AI$505,"&lt;="&amp;$A79,実績!$AJ$6:$AJ$505,"&gt;"&amp;$A79,実績!$AK$6:$AK$505,"○")&gt;0,1,0))</f>
        <v>0</v>
      </c>
      <c r="X79" s="39" t="n">
        <f aca="false">IF(X$4=0,0,IF(COUNTIFS(実績!$W$6:$W$505,X$3,実績!$AI$6:$AI$505,"&lt;="&amp;$A79,実績!$AJ$6:$AJ$505,"&gt;"&amp;$A79,実績!$AK$6:$AK$505,"○")&gt;0,1,0))</f>
        <v>0</v>
      </c>
      <c r="Y79" s="39" t="n">
        <f aca="false">IF(Y$4=0,0,IF(COUNTIFS(実績!$W$6:$W$505,Y$3,実績!$AI$6:$AI$505,"&lt;="&amp;$A79,実績!$AJ$6:$AJ$505,"&gt;"&amp;$A79,実績!$AK$6:$AK$505,"○")&gt;0,1,0))</f>
        <v>0</v>
      </c>
      <c r="Z79" s="39" t="n">
        <f aca="false">IF(Z$4=0,0,IF(COUNTIFS(実績!$W$6:$W$505,Z$3,実績!$AI$6:$AI$505,"&lt;="&amp;$A79,実績!$AJ$6:$AJ$505,"&gt;"&amp;$A79,実績!$AK$6:$AK$505,"○")&gt;0,1,0))</f>
        <v>0</v>
      </c>
      <c r="AA79" s="39" t="n">
        <f aca="false">IF(AA$4=0,0,IF(COUNTIFS(実績!$W$6:$W$505,AA$3,実績!$AI$6:$AI$505,"&lt;="&amp;$A79,実績!$AJ$6:$AJ$505,"&gt;"&amp;$A79,実績!$AK$6:$AK$505,"○")&gt;0,1,0))</f>
        <v>0</v>
      </c>
      <c r="AB79" s="39" t="n">
        <f aca="false">IF(AB$4=0,0,IF(COUNTIFS(実績!$W$6:$W$505,AB$3,実績!$AI$6:$AI$505,"&lt;="&amp;$A79,実績!$AJ$6:$AJ$505,"&gt;"&amp;$A79,実績!$AK$6:$AK$505,"○")&gt;0,1,0))</f>
        <v>0</v>
      </c>
      <c r="AC79" s="39" t="n">
        <f aca="false">IF(AC$4=0,0,IF(COUNTIFS(実績!$W$6:$W$505,AC$3,実績!$AI$6:$AI$505,"&lt;="&amp;$A79,実績!$AJ$6:$AJ$505,"&gt;"&amp;$A79,実績!$AK$6:$AK$505,"○")&gt;0,1,0))</f>
        <v>0</v>
      </c>
      <c r="AD79" s="39" t="n">
        <f aca="false">IF(AD$4=0,0,IF(COUNTIFS(実績!$W$6:$W$505,AD$3,実績!$AI$6:$AI$505,"&lt;="&amp;$A79,実績!$AJ$6:$AJ$505,"&gt;"&amp;$A79,実績!$AK$6:$AK$505,"○")&gt;0,1,0))</f>
        <v>0</v>
      </c>
      <c r="AE79" s="39" t="n">
        <f aca="false">IF(AE$4=0,0,IF(COUNTIFS(実績!$W$6:$W$505,AE$3,実績!$AI$6:$AI$505,"&lt;="&amp;$A79,実績!$AJ$6:$AJ$505,"&gt;"&amp;$A79,実績!$AK$6:$AK$505,"○")&gt;0,1,0))</f>
        <v>0</v>
      </c>
      <c r="AF79" s="39" t="n">
        <f aca="false">IF(AF$4=0,0,IF(COUNTIFS(実績!$W$6:$W$505,AF$3,実績!$AI$6:$AI$505,"&lt;="&amp;$A79,実績!$AJ$6:$AJ$505,"&gt;"&amp;$A79,実績!$AK$6:$AK$505,"○")&gt;0,1,0))</f>
        <v>0</v>
      </c>
      <c r="AG79" s="39" t="n">
        <f aca="false">IF(AG$4=0,0,IF(COUNTIFS(実績!$W$6:$W$505,AG$3,実績!$AI$6:$AI$505,"&lt;="&amp;$A79,実績!$AJ$6:$AJ$505,"&gt;"&amp;$A79,実績!$AK$6:$AK$505,"○")&gt;0,1,0))</f>
        <v>0</v>
      </c>
      <c r="AH79" s="39" t="n">
        <f aca="false">IF(AH$4=0,0,IF(COUNTIFS(実績!$W$6:$W$505,AH$3,実績!$AI$6:$AI$505,"&lt;="&amp;$A79,実績!$AJ$6:$AJ$505,"&gt;"&amp;$A79,実績!$AK$6:$AK$505,"○")&gt;0,1,0))</f>
        <v>0</v>
      </c>
      <c r="AI79" s="39" t="n">
        <f aca="false">IF(AI$4=0,0,IF(COUNTIFS(実績!$W$6:$W$505,AI$3,実績!$AI$6:$AI$505,"&lt;="&amp;$A79,実績!$AJ$6:$AJ$505,"&gt;"&amp;$A79,実績!$AK$6:$AK$505,"○")&gt;0,1,0))</f>
        <v>0</v>
      </c>
      <c r="AJ79" s="39" t="n">
        <f aca="false">IF(AJ$4=0,0,IF(COUNTIFS(実績!$W$6:$W$505,AJ$3,実績!$AI$6:$AI$505,"&lt;="&amp;$A79,実績!$AJ$6:$AJ$505,"&gt;"&amp;$A79,実績!$AK$6:$AK$505,"○")&gt;0,1,0))</f>
        <v>0</v>
      </c>
      <c r="AK79" s="39" t="n">
        <f aca="false">IF(AK$4=0,0,IF(COUNTIFS(実績!$W$6:$W$505,AK$3,実績!$AI$6:$AI$505,"&lt;="&amp;$A79,実績!$AJ$6:$AJ$505,"&gt;"&amp;$A79,実績!$AK$6:$AK$505,"○")&gt;0,1,0))</f>
        <v>0</v>
      </c>
      <c r="AL79" s="39" t="n">
        <f aca="false">IF(AL$4=0,0,IF(COUNTIFS(実績!$W$6:$W$505,AL$3,実績!$AI$6:$AI$505,"&lt;="&amp;$A79,実績!$AJ$6:$AJ$505,"&gt;"&amp;$A79,実績!$AK$6:$AK$505,"○")&gt;0,1,0))</f>
        <v>0</v>
      </c>
      <c r="AM79" s="39" t="n">
        <f aca="false">IF(AM$4=0,0,IF(COUNTIFS(実績!$W$6:$W$505,AM$3,実績!$AI$6:$AI$505,"&lt;="&amp;$A79,実績!$AJ$6:$AJ$505,"&gt;"&amp;$A79,実績!$AK$6:$AK$505,"○")&gt;0,1,0))</f>
        <v>0</v>
      </c>
      <c r="AN79" s="39" t="n">
        <f aca="false">IF(AN$4=0,0,IF(COUNTIFS(実績!$W$6:$W$505,AN$3,実績!$AI$6:$AI$505,"&lt;="&amp;$A79,実績!$AJ$6:$AJ$505,"&gt;"&amp;$A79,実績!$AK$6:$AK$505,"○")&gt;0,1,0))</f>
        <v>0</v>
      </c>
      <c r="AO79" s="39" t="n">
        <f aca="false">IF(AO$4=0,0,IF(COUNTIFS(実績!$W$6:$W$505,AO$3,実績!$AI$6:$AI$505,"&lt;="&amp;$A79,実績!$AJ$6:$AJ$505,"&gt;"&amp;$A79,実績!$AK$6:$AK$505,"○")&gt;0,1,0))</f>
        <v>0</v>
      </c>
      <c r="AP79" s="39" t="n">
        <f aca="false">IF(AP$4=0,0,IF(COUNTIFS(実績!$W$6:$W$505,AP$3,実績!$AI$6:$AI$505,"&lt;="&amp;$A79,実績!$AJ$6:$AJ$505,"&gt;"&amp;$A79,実績!$AK$6:$AK$505,"○")&gt;0,1,0))</f>
        <v>0</v>
      </c>
      <c r="AQ79" s="39" t="n">
        <f aca="false">IF(AQ$4=0,0,IF(COUNTIFS(実績!$W$6:$W$505,AQ$3,実績!$AI$6:$AI$505,"&lt;="&amp;$A79,実績!$AJ$6:$AJ$505,"&gt;"&amp;$A79,実績!$AK$6:$AK$505,"○")&gt;0,1,0))</f>
        <v>0</v>
      </c>
      <c r="AR79" s="39" t="n">
        <f aca="false">IF(AR$4=0,0,IF(COUNTIFS(実績!$W$6:$W$505,AR$3,実績!$AI$6:$AI$505,"&lt;="&amp;$A79,実績!$AJ$6:$AJ$505,"&gt;"&amp;$A79,実績!$AK$6:$AK$505,"○")&gt;0,1,0))</f>
        <v>0</v>
      </c>
      <c r="AS79" s="39" t="n">
        <f aca="false">IF(AS$4=0,0,IF(COUNTIFS(実績!$W$6:$W$505,AS$3,実績!$AI$6:$AI$505,"&lt;="&amp;$A79,実績!$AJ$6:$AJ$505,"&gt;"&amp;$A79,実績!$AK$6:$AK$505,"○")&gt;0,1,0))</f>
        <v>0</v>
      </c>
      <c r="AT79" s="39" t="n">
        <f aca="false">IF(AT$4=0,0,IF(COUNTIFS(実績!$W$6:$W$505,AT$3,実績!$AI$6:$AI$505,"&lt;="&amp;$A79,実績!$AJ$6:$AJ$505,"&gt;"&amp;$A79,実績!$AK$6:$AK$505,"○")&gt;0,1,0))</f>
        <v>0</v>
      </c>
      <c r="AU79" s="39" t="n">
        <f aca="false">IF(AU$4=0,0,IF(COUNTIFS(実績!$W$6:$W$505,AU$3,実績!$AI$6:$AI$505,"&lt;="&amp;$A79,実績!$AJ$6:$AJ$505,"&gt;"&amp;$A79,実績!$AK$6:$AK$505,"○")&gt;0,1,0))</f>
        <v>0</v>
      </c>
      <c r="AV79" s="39" t="n">
        <f aca="false">IF(AV$4=0,0,IF(COUNTIFS(実績!$W$6:$W$505,AV$3,実績!$AI$6:$AI$505,"&lt;="&amp;$A79,実績!$AJ$6:$AJ$505,"&gt;"&amp;$A79,実績!$AK$6:$AK$505,"○")&gt;0,1,0))</f>
        <v>0</v>
      </c>
      <c r="AW79" s="39" t="n">
        <f aca="false">IF(AW$4=0,0,IF(COUNTIFS(実績!$W$6:$W$505,AW$3,実績!$AI$6:$AI$505,"&lt;="&amp;$A79,実績!$AJ$6:$AJ$505,"&gt;"&amp;$A79,実績!$AK$6:$AK$505,"○")&gt;0,1,0))</f>
        <v>0</v>
      </c>
      <c r="AX79" s="39" t="n">
        <f aca="false">IF(AX$4=0,0,IF(COUNTIFS(実績!$W$6:$W$505,AX$3,実績!$AI$6:$AI$505,"&lt;="&amp;$A79,実績!$AJ$6:$AJ$505,"&gt;"&amp;$A79,実績!$AK$6:$AK$505,"○")&gt;0,1,0))</f>
        <v>0</v>
      </c>
      <c r="AY79" s="39" t="n">
        <f aca="false">IF(AY$4=0,0,IF(COUNTIFS(実績!$W$6:$W$505,AY$3,実績!$AI$6:$AI$505,"&lt;="&amp;$A79,実績!$AJ$6:$AJ$505,"&gt;"&amp;$A79,実績!$AK$6:$AK$505,"○")&gt;0,1,0))</f>
        <v>0</v>
      </c>
      <c r="AZ79" s="39" t="n">
        <f aca="false">IF(AZ$4=0,0,IF(COUNTIFS(実績!$W$6:$W$505,AZ$3,実績!$AI$6:$AI$505,"&lt;="&amp;$A79,実績!$AJ$6:$AJ$505,"&gt;"&amp;$A79,実績!$AK$6:$AK$505,"○")&gt;0,1,0))</f>
        <v>0</v>
      </c>
      <c r="BA79" s="39" t="n">
        <f aca="false">IF(BA$4=0,0,IF(COUNTIFS(実績!$W$6:$W$505,BA$3,実績!$AI$6:$AI$505,"&lt;="&amp;$A79,実績!$AJ$6:$AJ$505,"&gt;"&amp;$A79,実績!$AK$6:$AK$505,"○")&gt;0,1,0))</f>
        <v>0</v>
      </c>
      <c r="BB79" s="39" t="n">
        <f aca="false">IF(BB$4=0,0,IF(COUNTIFS(実績!$W$6:$W$505,BB$3,実績!$AI$6:$AI$505,"&lt;="&amp;$A79,実績!$AJ$6:$AJ$505,"&gt;"&amp;$A79,実績!$AK$6:$AK$505,"○")&gt;0,1,0))</f>
        <v>0</v>
      </c>
      <c r="BC79" s="39" t="n">
        <f aca="false">IF(BC$4=0,0,IF(COUNTIFS(実績!$W$6:$W$505,BC$3,実績!$AI$6:$AI$505,"&lt;="&amp;$A79,実績!$AJ$6:$AJ$505,"&gt;"&amp;$A79,実績!$AK$6:$AK$505,"○")&gt;0,1,0))</f>
        <v>0</v>
      </c>
      <c r="BD79" s="39" t="n">
        <f aca="false">IF(BD$4=0,0,IF(COUNTIFS(実績!$W$6:$W$505,BD$3,実績!$AI$6:$AI$505,"&lt;="&amp;$A79,実績!$AJ$6:$AJ$505,"&gt;"&amp;$A79,実績!$AK$6:$AK$505,"○")&gt;0,1,0))</f>
        <v>0</v>
      </c>
      <c r="BE79" s="39" t="n">
        <f aca="false">IF(BE$4=0,0,IF(COUNTIFS(実績!$W$6:$W$505,BE$3,実績!$AI$6:$AI$505,"&lt;="&amp;$A79,実績!$AJ$6:$AJ$505,"&gt;"&amp;$A79,実績!$AK$6:$AK$505,"○")&gt;0,1,0))</f>
        <v>0</v>
      </c>
      <c r="BF79" s="39" t="n">
        <f aca="false">IF(BF$4=0,0,IF(COUNTIFS(実績!$W$6:$W$505,BF$3,実績!$AI$6:$AI$505,"&lt;="&amp;$A79,実績!$AJ$6:$AJ$505,"&gt;"&amp;$A79,実績!$AK$6:$AK$505,"○")&gt;0,1,0))</f>
        <v>0</v>
      </c>
      <c r="BG79" s="39" t="n">
        <f aca="false">IF(BG$4=0,0,IF(COUNTIFS(実績!$W$6:$W$505,BG$3,実績!$AI$6:$AI$505,"&lt;="&amp;$A79,実績!$AJ$6:$AJ$505,"&gt;"&amp;$A79,実績!$AK$6:$AK$505,"○")&gt;0,1,0))</f>
        <v>0</v>
      </c>
      <c r="BH79" s="39" t="n">
        <f aca="false">IF(BH$4=0,0,IF(COUNTIFS(実績!$W$6:$W$505,BH$3,実績!$AI$6:$AI$505,"&lt;="&amp;$A79,実績!$AJ$6:$AJ$505,"&gt;"&amp;$A79,実績!$AK$6:$AK$505,"○")&gt;0,1,0))</f>
        <v>0</v>
      </c>
      <c r="BI79" s="39" t="n">
        <f aca="false">IF(BI$4=0,0,IF(COUNTIFS(実績!$W$6:$W$505,BI$3,実績!$AI$6:$AI$505,"&lt;="&amp;$A79,実績!$AJ$6:$AJ$505,"&gt;"&amp;$A79,実績!$AK$6:$AK$505,"○")&gt;0,1,0))</f>
        <v>0</v>
      </c>
      <c r="BJ79" s="39" t="n">
        <f aca="false">IF(BJ$4=0,0,IF(COUNTIFS(実績!$W$6:$W$505,BJ$3,実績!$AI$6:$AI$505,"&lt;="&amp;$A79,実績!$AJ$6:$AJ$505,"&gt;"&amp;$A79,実績!$AK$6:$AK$505,"○")&gt;0,1,0))</f>
        <v>0</v>
      </c>
      <c r="BK79" s="39" t="n">
        <f aca="false">IF(BK$4=0,0,IF(COUNTIFS(実績!$W$6:$W$505,BK$3,実績!$AI$6:$AI$505,"&lt;="&amp;$A79,実績!$AJ$6:$AJ$505,"&gt;"&amp;$A79,実績!$AK$6:$AK$505,"○")&gt;0,1,0))</f>
        <v>0</v>
      </c>
      <c r="BL79" s="39" t="n">
        <f aca="false">IF(BL$4=0,0,IF(COUNTIFS(実績!$W$6:$W$505,BL$3,実績!$AI$6:$AI$505,"&lt;="&amp;$A79,実績!$AJ$6:$AJ$505,"&gt;"&amp;$A79,実績!$AK$6:$AK$505,"○")&gt;0,1,0))</f>
        <v>0</v>
      </c>
      <c r="BM79" s="39" t="n">
        <f aca="false">IF(BM$4=0,0,IF(COUNTIFS(実績!$W$6:$W$505,BM$3,実績!$AI$6:$AI$505,"&lt;="&amp;$A79,実績!$AJ$6:$AJ$505,"&gt;"&amp;$A79,実績!$AK$6:$AK$505,"○")&gt;0,1,0))</f>
        <v>0</v>
      </c>
      <c r="BN79" s="39" t="n">
        <f aca="false">IF(BN$4=0,0,IF(COUNTIFS(実績!$W$6:$W$505,BN$3,実績!$AI$6:$AI$505,"&lt;="&amp;$A79,実績!$AJ$6:$AJ$505,"&gt;"&amp;$A79,実績!$AK$6:$AK$505,"○")&gt;0,1,0))</f>
        <v>0</v>
      </c>
      <c r="BO79" s="39" t="n">
        <f aca="false">IF(BO$4=0,0,IF(COUNTIFS(実績!$W$6:$W$505,BO$3,実績!$AI$6:$AI$505,"&lt;="&amp;$A79,実績!$AJ$6:$AJ$505,"&gt;"&amp;$A79,実績!$AK$6:$AK$505,"○")&gt;0,1,0))</f>
        <v>0</v>
      </c>
      <c r="BP79" s="39" t="n">
        <f aca="false">IF(BP$4=0,0,IF(COUNTIFS(実績!$W$6:$W$505,BP$3,実績!$AI$6:$AI$505,"&lt;="&amp;$A79,実績!$AJ$6:$AJ$505,"&gt;"&amp;$A79,実績!$AK$6:$AK$505,"○")&gt;0,1,0))</f>
        <v>0</v>
      </c>
      <c r="BQ79" s="39" t="n">
        <f aca="false">IF(BQ$4=0,0,IF(COUNTIFS(実績!$W$6:$W$505,BQ$3,実績!$AI$6:$AI$505,"&lt;="&amp;$A79,実績!$AJ$6:$AJ$505,"&gt;"&amp;$A79,実績!$AK$6:$AK$505,"○")&gt;0,1,0))</f>
        <v>0</v>
      </c>
      <c r="BR79" s="39" t="n">
        <f aca="false">IF(BR$4=0,0,IF(COUNTIFS(実績!$W$6:$W$505,BR$3,実績!$AI$6:$AI$505,"&lt;="&amp;$A79,実績!$AJ$6:$AJ$505,"&gt;"&amp;$A79,実績!$AK$6:$AK$505,"○")&gt;0,1,0))</f>
        <v>0</v>
      </c>
      <c r="BS79" s="39" t="n">
        <f aca="false">IF(BS$4=0,0,IF(COUNTIFS(実績!$W$6:$W$505,BS$3,実績!$AI$6:$AI$505,"&lt;="&amp;$A79,実績!$AJ$6:$AJ$505,"&gt;"&amp;$A79,実績!$AK$6:$AK$505,"○")&gt;0,1,0))</f>
        <v>0</v>
      </c>
      <c r="BT79" s="39" t="n">
        <f aca="false">IF(BT$4=0,0,IF(COUNTIFS(実績!$W$6:$W$505,BT$3,実績!$AI$6:$AI$505,"&lt;="&amp;$A79,実績!$AJ$6:$AJ$505,"&gt;"&amp;$A79,実績!$AK$6:$AK$505,"○")&gt;0,1,0))</f>
        <v>0</v>
      </c>
      <c r="BU79" s="39" t="n">
        <f aca="false">IF(BU$4=0,0,IF(COUNTIFS(実績!$W$6:$W$505,BU$3,実績!$AI$6:$AI$505,"&lt;="&amp;$A79,実績!$AJ$6:$AJ$505,"&gt;"&amp;$A79,実績!$AK$6:$AK$505,"○")&gt;0,1,0))</f>
        <v>0</v>
      </c>
      <c r="BV79" s="39" t="n">
        <f aca="false">IF(BV$4=0,0,IF(COUNTIFS(実績!$W$6:$W$505,BV$3,実績!$AI$6:$AI$505,"&lt;="&amp;$A79,実績!$AJ$6:$AJ$505,"&gt;"&amp;$A79,実績!$AK$6:$AK$505,"○")&gt;0,1,0))</f>
        <v>0</v>
      </c>
      <c r="BW79" s="39" t="n">
        <f aca="false">IF(BW$4=0,0,IF(COUNTIFS(実績!$W$6:$W$505,BW$3,実績!$AI$6:$AI$505,"&lt;="&amp;$A79,実績!$AJ$6:$AJ$505,"&gt;"&amp;$A79,実績!$AK$6:$AK$505,"○")&gt;0,1,0))</f>
        <v>0</v>
      </c>
      <c r="BX79" s="39" t="n">
        <f aca="false">IF(BX$4=0,0,IF(COUNTIFS(実績!$W$6:$W$505,BX$3,実績!$AI$6:$AI$505,"&lt;="&amp;$A79,実績!$AJ$6:$AJ$505,"&gt;"&amp;$A79,実績!$AK$6:$AK$505,"○")&gt;0,1,0))</f>
        <v>0</v>
      </c>
      <c r="BY79" s="39" t="n">
        <f aca="false">IF(BY$4=0,0,IF(COUNTIFS(実績!$W$6:$W$505,BY$3,実績!$AI$6:$AI$505,"&lt;="&amp;$A79,実績!$AJ$6:$AJ$505,"&gt;"&amp;$A79,実績!$AK$6:$AK$505,"○")&gt;0,1,0))</f>
        <v>0</v>
      </c>
      <c r="BZ79" s="39" t="n">
        <f aca="false">IF(BZ$4=0,0,IF(COUNTIFS(実績!$W$6:$W$505,BZ$3,実績!$AI$6:$AI$505,"&lt;="&amp;$A79,実績!$AJ$6:$AJ$505,"&gt;"&amp;$A79,実績!$AK$6:$AK$505,"○")&gt;0,1,0))</f>
        <v>0</v>
      </c>
      <c r="CA79" s="39" t="n">
        <f aca="false">IF(CA$4=0,0,IF(COUNTIFS(実績!$W$6:$W$505,CA$3,実績!$AI$6:$AI$505,"&lt;="&amp;$A79,実績!$AJ$6:$AJ$505,"&gt;"&amp;$A79,実績!$AK$6:$AK$505,"○")&gt;0,1,0))</f>
        <v>0</v>
      </c>
      <c r="CB79" s="39" t="n">
        <f aca="false">IF(CB$4=0,0,IF(COUNTIFS(実績!$W$6:$W$505,CB$3,実績!$AI$6:$AI$505,"&lt;="&amp;$A79,実績!$AJ$6:$AJ$505,"&gt;"&amp;$A79,実績!$AK$6:$AK$505,"○")&gt;0,1,0))</f>
        <v>0</v>
      </c>
      <c r="CC79" s="39" t="n">
        <f aca="false">IF(CC$4=0,0,IF(COUNTIFS(実績!$W$6:$W$505,CC$3,実績!$AI$6:$AI$505,"&lt;="&amp;$A79,実績!$AJ$6:$AJ$505,"&gt;"&amp;$A79,実績!$AK$6:$AK$505,"○")&gt;0,1,0))</f>
        <v>0</v>
      </c>
      <c r="CD79" s="39" t="n">
        <f aca="false">IF(CD$4=0,0,IF(COUNTIFS(実績!$W$6:$W$505,CD$3,実績!$AI$6:$AI$505,"&lt;="&amp;$A79,実績!$AJ$6:$AJ$505,"&gt;"&amp;$A79,実績!$AK$6:$AK$505,"○")&gt;0,1,0))</f>
        <v>0</v>
      </c>
      <c r="CE79" s="39" t="n">
        <f aca="false">IF(CE$4=0,0,IF(COUNTIFS(実績!$W$6:$W$505,CE$3,実績!$AI$6:$AI$505,"&lt;="&amp;$A79,実績!$AJ$6:$AJ$505,"&gt;"&amp;$A79,実績!$AK$6:$AK$505,"○")&gt;0,1,0))</f>
        <v>0</v>
      </c>
      <c r="CF79" s="39" t="n">
        <f aca="false">IF(CF$4=0,0,IF(COUNTIFS(実績!$W$6:$W$505,CF$3,実績!$AI$6:$AI$505,"&lt;="&amp;$A79,実績!$AJ$6:$AJ$505,"&gt;"&amp;$A79,実績!$AK$6:$AK$505,"○")&gt;0,1,0))</f>
        <v>0</v>
      </c>
      <c r="CG79" s="39" t="n">
        <f aca="false">IF(CG$4=0,0,IF(COUNTIFS(実績!$W$6:$W$505,CG$3,実績!$AI$6:$AI$505,"&lt;="&amp;$A79,実績!$AJ$6:$AJ$505,"&gt;"&amp;$A79,実績!$AK$6:$AK$505,"○")&gt;0,1,0))</f>
        <v>0</v>
      </c>
      <c r="CH79" s="39" t="n">
        <f aca="false">IF(CH$4=0,0,IF(COUNTIFS(実績!$W$6:$W$505,CH$3,実績!$AI$6:$AI$505,"&lt;="&amp;$A79,実績!$AJ$6:$AJ$505,"&gt;"&amp;$A79,実績!$AK$6:$AK$505,"○")&gt;0,1,0))</f>
        <v>0</v>
      </c>
      <c r="CI79" s="39" t="n">
        <f aca="false">IF(CI$4=0,0,IF(COUNTIFS(実績!$W$6:$W$505,CI$3,実績!$AI$6:$AI$505,"&lt;="&amp;$A79,実績!$AJ$6:$AJ$505,"&gt;"&amp;$A79,実績!$AK$6:$AK$505,"○")&gt;0,1,0))</f>
        <v>0</v>
      </c>
      <c r="CJ79" s="39" t="n">
        <f aca="false">IF(CJ$4=0,0,IF(COUNTIFS(実績!$W$6:$W$505,CJ$3,実績!$AI$6:$AI$505,"&lt;="&amp;$A79,実績!$AJ$6:$AJ$505,"&gt;"&amp;$A79,実績!$AK$6:$AK$505,"○")&gt;0,1,0))</f>
        <v>0</v>
      </c>
      <c r="CK79" s="39" t="n">
        <f aca="false">IF(CK$4=0,0,IF(COUNTIFS(実績!$W$6:$W$505,CK$3,実績!$AI$6:$AI$505,"&lt;="&amp;$A79,実績!$AJ$6:$AJ$505,"&gt;"&amp;$A79,実績!$AK$6:$AK$505,"○")&gt;0,1,0))</f>
        <v>0</v>
      </c>
      <c r="CL79" s="39" t="n">
        <f aca="false">IF(CL$4=0,0,IF(COUNTIFS(実績!$W$6:$W$505,CL$3,実績!$AI$6:$AI$505,"&lt;="&amp;$A79,実績!$AJ$6:$AJ$505,"&gt;"&amp;$A79,実績!$AK$6:$AK$505,"○")&gt;0,1,0))</f>
        <v>0</v>
      </c>
      <c r="CM79" s="39" t="n">
        <f aca="false">IF(CM$4=0,0,IF(COUNTIFS(実績!$W$6:$W$505,CM$3,実績!$AI$6:$AI$505,"&lt;="&amp;$A79,実績!$AJ$6:$AJ$505,"&gt;"&amp;$A79,実績!$AK$6:$AK$505,"○")&gt;0,1,0))</f>
        <v>0</v>
      </c>
      <c r="CN79" s="39" t="n">
        <f aca="false">IF(CN$4=0,0,IF(COUNTIFS(実績!$W$6:$W$505,CN$3,実績!$AI$6:$AI$505,"&lt;="&amp;$A79,実績!$AJ$6:$AJ$505,"&gt;"&amp;$A79,実績!$AK$6:$AK$505,"○")&gt;0,1,0))</f>
        <v>0</v>
      </c>
      <c r="CO79" s="39" t="n">
        <f aca="false">IF(CO$4=0,0,IF(COUNTIFS(実績!$W$6:$W$505,CO$3,実績!$AI$6:$AI$505,"&lt;="&amp;$A79,実績!$AJ$6:$AJ$505,"&gt;"&amp;$A79,実績!$AK$6:$AK$505,"○")&gt;0,1,0))</f>
        <v>0</v>
      </c>
      <c r="CP79" s="39" t="n">
        <f aca="false">IF(CP$4=0,0,IF(COUNTIFS(実績!$W$6:$W$505,CP$3,実績!$AI$6:$AI$505,"&lt;="&amp;$A79,実績!$AJ$6:$AJ$505,"&gt;"&amp;$A79,実績!$AK$6:$AK$505,"○")&gt;0,1,0))</f>
        <v>0</v>
      </c>
      <c r="CQ79" s="39" t="n">
        <f aca="false">IF(CQ$4=0,0,IF(COUNTIFS(実績!$W$6:$W$505,CQ$3,実績!$AI$6:$AI$505,"&lt;="&amp;$A79,実績!$AJ$6:$AJ$505,"&gt;"&amp;$A79,実績!$AK$6:$AK$505,"○")&gt;0,1,0))</f>
        <v>0</v>
      </c>
      <c r="CR79" s="39" t="n">
        <f aca="false">IF(CR$4=0,0,IF(COUNTIFS(実績!$W$6:$W$505,CR$3,実績!$AI$6:$AI$505,"&lt;="&amp;$A79,実績!$AJ$6:$AJ$505,"&gt;"&amp;$A79,実績!$AK$6:$AK$505,"○")&gt;0,1,0))</f>
        <v>0</v>
      </c>
      <c r="CS79" s="39" t="n">
        <f aca="false">IF(CS$4=0,0,IF(COUNTIFS(実績!$W$6:$W$505,CS$3,実績!$AI$6:$AI$505,"&lt;="&amp;$A79,実績!$AJ$6:$AJ$505,"&gt;"&amp;$A79,実績!$AK$6:$AK$505,"○")&gt;0,1,0))</f>
        <v>0</v>
      </c>
      <c r="CT79" s="39" t="n">
        <f aca="false">IF(CT$4=0,0,IF(COUNTIFS(実績!$W$6:$W$505,CT$3,実績!$AI$6:$AI$505,"&lt;="&amp;$A79,実績!$AJ$6:$AJ$505,"&gt;"&amp;$A79,実績!$AK$6:$AK$505,"○")&gt;0,1,0))</f>
        <v>0</v>
      </c>
      <c r="CU79" s="39" t="n">
        <f aca="false">IF(CU$4=0,0,IF(COUNTIFS(実績!$W$6:$W$505,CU$3,実績!$AI$6:$AI$505,"&lt;="&amp;$A79,実績!$AJ$6:$AJ$505,"&gt;"&amp;$A79,実績!$AK$6:$AK$505,"○")&gt;0,1,0))</f>
        <v>0</v>
      </c>
      <c r="CV79" s="39" t="n">
        <f aca="false">IF(CV$4=0,0,IF(COUNTIFS(実績!$W$6:$W$505,CV$3,実績!$AI$6:$AI$505,"&lt;="&amp;$A79,実績!$AJ$6:$AJ$505,"&gt;"&amp;$A79,実績!$AK$6:$AK$505,"○")&gt;0,1,0))</f>
        <v>0</v>
      </c>
      <c r="CW79" s="39" t="n">
        <f aca="false">IF(CW$4=0,0,IF(COUNTIFS(実績!$W$6:$W$505,CW$3,実績!$AI$6:$AI$505,"&lt;="&amp;$A79,実績!$AJ$6:$AJ$505,"&gt;"&amp;$A79,実績!$AK$6:$AK$505,"○")&gt;0,1,0))</f>
        <v>0</v>
      </c>
      <c r="CX79" s="39" t="n">
        <f aca="false">IF(CX$4=0,0,IF(COUNTIFS(実績!$W$6:$W$505,CX$3,実績!$AI$6:$AI$505,"&lt;="&amp;$A79,実績!$AJ$6:$AJ$505,"&gt;"&amp;$A79,実績!$AK$6:$AK$505,"○")&gt;0,1,0))</f>
        <v>0</v>
      </c>
      <c r="CY79" s="39" t="n">
        <f aca="false">IF(CY$4=0,0,IF(COUNTIFS(実績!$W$6:$W$505,CY$3,実績!$AI$6:$AI$505,"&lt;="&amp;$A79,実績!$AJ$6:$AJ$505,"&gt;"&amp;$A79,実績!$AK$6:$AK$505,"○")&gt;0,1,0))</f>
        <v>0</v>
      </c>
      <c r="CZ79" s="39" t="n">
        <f aca="false">IF(CZ$4=0,0,IF(COUNTIFS(実績!$W$6:$W$505,CZ$3,実績!$AI$6:$AI$505,"&lt;="&amp;$A79,実績!$AJ$6:$AJ$505,"&gt;"&amp;$A79,実績!$AK$6:$AK$505,"○")&gt;0,1,0))</f>
        <v>0</v>
      </c>
      <c r="DA79" s="39" t="n">
        <f aca="false">IF(DA$4=0,0,IF(COUNTIFS(実績!$W$6:$W$505,DA$3,実績!$AI$6:$AI$505,"&lt;="&amp;$A79,実績!$AJ$6:$AJ$505,"&gt;"&amp;$A79,実績!$AK$6:$AK$505,"○")&gt;0,1,0))</f>
        <v>0</v>
      </c>
      <c r="DB79" s="39" t="n">
        <f aca="false">IF(DB$4=0,0,IF(COUNTIFS(実績!$W$6:$W$505,DB$3,実績!$AI$6:$AI$505,"&lt;="&amp;$A79,実績!$AJ$6:$AJ$505,"&gt;"&amp;$A79,実績!$AK$6:$AK$505,"○")&gt;0,1,0))</f>
        <v>0</v>
      </c>
      <c r="DC79" s="39" t="n">
        <f aca="false">IF(DC$4=0,0,IF(COUNTIFS(実績!$W$6:$W$505,DC$3,実績!$AI$6:$AI$505,"&lt;="&amp;$A79,実績!$AJ$6:$AJ$505,"&gt;"&amp;$A79,実績!$AK$6:$AK$505,"○")&gt;0,1,0))</f>
        <v>0</v>
      </c>
      <c r="DD79" s="39" t="n">
        <f aca="false">IF(DD$4=0,0,IF(COUNTIFS(実績!$W$6:$W$505,DD$3,実績!$AI$6:$AI$505,"&lt;="&amp;$A79,実績!$AJ$6:$AJ$505,"&gt;"&amp;$A79,実績!$AK$6:$AK$505,"○")&gt;0,1,0))</f>
        <v>0</v>
      </c>
      <c r="DE79" s="39" t="n">
        <f aca="false">IF(DE$4=0,0,IF(COUNTIFS(実績!$W$6:$W$505,DE$3,実績!$AI$6:$AI$505,"&lt;="&amp;$A79,実績!$AJ$6:$AJ$505,"&gt;"&amp;$A79,実績!$AK$6:$AK$505,"○")&gt;0,1,0))</f>
        <v>0</v>
      </c>
      <c r="DF79" s="39" t="n">
        <f aca="false">IF(DF$4=0,0,IF(COUNTIFS(実績!$W$6:$W$505,DF$3,実績!$AI$6:$AI$505,"&lt;="&amp;$A79,実績!$AJ$6:$AJ$505,"&gt;"&amp;$A79,実績!$AK$6:$AK$505,"○")&gt;0,1,0))</f>
        <v>0</v>
      </c>
      <c r="DG79" s="39" t="n">
        <f aca="false">IF(DG$4=0,0,IF(COUNTIFS(実績!$W$6:$W$505,DG$3,実績!$AI$6:$AI$505,"&lt;="&amp;$A79,実績!$AJ$6:$AJ$505,"&gt;"&amp;$A79,実績!$AK$6:$AK$505,"○")&gt;0,1,0))</f>
        <v>0</v>
      </c>
      <c r="DH79" s="39" t="n">
        <f aca="false">IF(DH$4=0,0,IF(COUNTIFS(実績!$W$6:$W$505,DH$3,実績!$AI$6:$AI$505,"&lt;="&amp;$A79,実績!$AJ$6:$AJ$505,"&gt;"&amp;$A79,実績!$AK$6:$AK$505,"○")&gt;0,1,0))</f>
        <v>0</v>
      </c>
      <c r="DI79" s="39" t="n">
        <f aca="false">IF(DI$4=0,0,IF(COUNTIFS(実績!$W$6:$W$505,DI$3,実績!$AI$6:$AI$505,"&lt;="&amp;$A79,実績!$AJ$6:$AJ$505,"&gt;"&amp;$A79,実績!$AK$6:$AK$505,"○")&gt;0,1,0))</f>
        <v>0</v>
      </c>
      <c r="DJ79" s="39" t="n">
        <f aca="false">IF(DJ$4=0,0,IF(COUNTIFS(実績!$W$6:$W$505,DJ$3,実績!$AI$6:$AI$505,"&lt;="&amp;$A79,実績!$AJ$6:$AJ$505,"&gt;"&amp;$A79,実績!$AK$6:$AK$505,"○")&gt;0,1,0))</f>
        <v>0</v>
      </c>
      <c r="DK79" s="39" t="n">
        <f aca="false">IF(DK$4=0,0,IF(COUNTIFS(実績!$W$6:$W$505,DK$3,実績!$AI$6:$AI$505,"&lt;="&amp;$A79,実績!$AJ$6:$AJ$505,"&gt;"&amp;$A79,実績!$AK$6:$AK$505,"○")&gt;0,1,0))</f>
        <v>0</v>
      </c>
      <c r="DL79" s="39" t="n">
        <f aca="false">IF(DL$4=0,0,IF(COUNTIFS(実績!$W$6:$W$505,DL$3,実績!$AI$6:$AI$505,"&lt;="&amp;$A79,実績!$AJ$6:$AJ$505,"&gt;"&amp;$A79,実績!$AK$6:$AK$505,"○")&gt;0,1,0))</f>
        <v>0</v>
      </c>
      <c r="DM79" s="39" t="n">
        <f aca="false">IF(DM$4=0,0,IF(COUNTIFS(実績!$W$6:$W$505,DM$3,実績!$AI$6:$AI$505,"&lt;="&amp;$A79,実績!$AJ$6:$AJ$505,"&gt;"&amp;$A79,実績!$AK$6:$AK$505,"○")&gt;0,1,0))</f>
        <v>0</v>
      </c>
      <c r="DN79" s="39" t="n">
        <f aca="false">IF(DN$4=0,0,IF(COUNTIFS(実績!$W$6:$W$505,DN$3,実績!$AI$6:$AI$505,"&lt;="&amp;$A79,実績!$AJ$6:$AJ$505,"&gt;"&amp;$A79,実績!$AK$6:$AK$505,"○")&gt;0,1,0))</f>
        <v>0</v>
      </c>
      <c r="DO79" s="39" t="n">
        <f aca="false">IF(DO$4=0,0,IF(COUNTIFS(実績!$W$6:$W$505,DO$3,実績!$AI$6:$AI$505,"&lt;="&amp;$A79,実績!$AJ$6:$AJ$505,"&gt;"&amp;$A79,実績!$AK$6:$AK$505,"○")&gt;0,1,0))</f>
        <v>0</v>
      </c>
      <c r="DP79" s="39" t="n">
        <f aca="false">IF(DP$4=0,0,IF(COUNTIFS(実績!$W$6:$W$505,DP$3,実績!$AI$6:$AI$505,"&lt;="&amp;$A79,実績!$AJ$6:$AJ$505,"&gt;"&amp;$A79,実績!$AK$6:$AK$505,"○")&gt;0,1,0))</f>
        <v>0</v>
      </c>
      <c r="DQ79" s="39" t="n">
        <f aca="false">IF(DQ$4=0,0,IF(COUNTIFS(実績!$W$6:$W$505,DQ$3,実績!$AI$6:$AI$505,"&lt;="&amp;$A79,実績!$AJ$6:$AJ$505,"&gt;"&amp;$A79,実績!$AK$6:$AK$505,"○")&gt;0,1,0))</f>
        <v>0</v>
      </c>
      <c r="DR79" s="39" t="n">
        <f aca="false">IF(DR$4=0,0,IF(COUNTIFS(実績!$W$6:$W$505,DR$3,実績!$AI$6:$AI$505,"&lt;="&amp;$A79,実績!$AJ$6:$AJ$505,"&gt;"&amp;$A79,実績!$AK$6:$AK$505,"○")&gt;0,1,0))</f>
        <v>0</v>
      </c>
      <c r="DS79" s="39" t="n">
        <f aca="false">SUM(C79:DR79)</f>
        <v>0</v>
      </c>
      <c r="DT79" s="39" t="n">
        <f aca="false">SUMPRODUCT((実績!$C$6:$C$505="○")*ISNUMBER(実績!$AM$6:$AM$505)*(実績!$AM$6:$AM$505&lt;=$A79)*(実績!$AN$6:$AN$505&gt;$A79))</f>
        <v>0</v>
      </c>
      <c r="DU79" s="39" t="n">
        <f aca="false">SUMIF($C$2:$DR$2,"製鉄曳船",C79:DR79)</f>
        <v>0</v>
      </c>
      <c r="DV79" s="39" t="n">
        <f aca="false">SUMIF($C$2:$DR$2,"西日本海運",C79:DR79)</f>
        <v>0</v>
      </c>
    </row>
    <row r="80" customFormat="false" ht="15" hidden="false" customHeight="false" outlineLevel="0" collapsed="false">
      <c r="A80" s="0" t="n">
        <v>370</v>
      </c>
      <c r="B80" s="38" t="n">
        <f aca="false">A80/1440</f>
        <v>0.256944444444444</v>
      </c>
      <c r="C80" s="39" t="n">
        <f aca="false">IF(C$4=0,0,IF(COUNTIFS(実績!$W$6:$W$505,C$3,実績!$AI$6:$AI$505,"&lt;="&amp;$A80,実績!$AJ$6:$AJ$505,"&gt;"&amp;$A80,実績!$AK$6:$AK$505,"○")&gt;0,1,0))</f>
        <v>0</v>
      </c>
      <c r="D80" s="39" t="n">
        <f aca="false">IF(D$4=0,0,IF(COUNTIFS(実績!$W$6:$W$505,D$3,実績!$AI$6:$AI$505,"&lt;="&amp;$A80,実績!$AJ$6:$AJ$505,"&gt;"&amp;$A80,実績!$AK$6:$AK$505,"○")&gt;0,1,0))</f>
        <v>0</v>
      </c>
      <c r="E80" s="39" t="n">
        <f aca="false">IF(E$4=0,0,IF(COUNTIFS(実績!$W$6:$W$505,E$3,実績!$AI$6:$AI$505,"&lt;="&amp;$A80,実績!$AJ$6:$AJ$505,"&gt;"&amp;$A80,実績!$AK$6:$AK$505,"○")&gt;0,1,0))</f>
        <v>0</v>
      </c>
      <c r="F80" s="39" t="n">
        <f aca="false">IF(F$4=0,0,IF(COUNTIFS(実績!$W$6:$W$505,F$3,実績!$AI$6:$AI$505,"&lt;="&amp;$A80,実績!$AJ$6:$AJ$505,"&gt;"&amp;$A80,実績!$AK$6:$AK$505,"○")&gt;0,1,0))</f>
        <v>0</v>
      </c>
      <c r="G80" s="39" t="n">
        <f aca="false">IF(G$4=0,0,IF(COUNTIFS(実績!$W$6:$W$505,G$3,実績!$AI$6:$AI$505,"&lt;="&amp;$A80,実績!$AJ$6:$AJ$505,"&gt;"&amp;$A80,実績!$AK$6:$AK$505,"○")&gt;0,1,0))</f>
        <v>0</v>
      </c>
      <c r="H80" s="39" t="n">
        <f aca="false">IF(H$4=0,0,IF(COUNTIFS(実績!$W$6:$W$505,H$3,実績!$AI$6:$AI$505,"&lt;="&amp;$A80,実績!$AJ$6:$AJ$505,"&gt;"&amp;$A80,実績!$AK$6:$AK$505,"○")&gt;0,1,0))</f>
        <v>0</v>
      </c>
      <c r="I80" s="39" t="n">
        <f aca="false">IF(I$4=0,0,IF(COUNTIFS(実績!$W$6:$W$505,I$3,実績!$AI$6:$AI$505,"&lt;="&amp;$A80,実績!$AJ$6:$AJ$505,"&gt;"&amp;$A80,実績!$AK$6:$AK$505,"○")&gt;0,1,0))</f>
        <v>0</v>
      </c>
      <c r="J80" s="39" t="n">
        <f aca="false">IF(J$4=0,0,IF(COUNTIFS(実績!$W$6:$W$505,J$3,実績!$AI$6:$AI$505,"&lt;="&amp;$A80,実績!$AJ$6:$AJ$505,"&gt;"&amp;$A80,実績!$AK$6:$AK$505,"○")&gt;0,1,0))</f>
        <v>0</v>
      </c>
      <c r="K80" s="39" t="n">
        <f aca="false">IF(K$4=0,0,IF(COUNTIFS(実績!$W$6:$W$505,K$3,実績!$AI$6:$AI$505,"&lt;="&amp;$A80,実績!$AJ$6:$AJ$505,"&gt;"&amp;$A80,実績!$AK$6:$AK$505,"○")&gt;0,1,0))</f>
        <v>0</v>
      </c>
      <c r="L80" s="39" t="n">
        <f aca="false">IF(L$4=0,0,IF(COUNTIFS(実績!$W$6:$W$505,L$3,実績!$AI$6:$AI$505,"&lt;="&amp;$A80,実績!$AJ$6:$AJ$505,"&gt;"&amp;$A80,実績!$AK$6:$AK$505,"○")&gt;0,1,0))</f>
        <v>0</v>
      </c>
      <c r="M80" s="39" t="n">
        <f aca="false">IF(M$4=0,0,IF(COUNTIFS(実績!$W$6:$W$505,M$3,実績!$AI$6:$AI$505,"&lt;="&amp;$A80,実績!$AJ$6:$AJ$505,"&gt;"&amp;$A80,実績!$AK$6:$AK$505,"○")&gt;0,1,0))</f>
        <v>0</v>
      </c>
      <c r="N80" s="39" t="n">
        <f aca="false">IF(N$4=0,0,IF(COUNTIFS(実績!$W$6:$W$505,N$3,実績!$AI$6:$AI$505,"&lt;="&amp;$A80,実績!$AJ$6:$AJ$505,"&gt;"&amp;$A80,実績!$AK$6:$AK$505,"○")&gt;0,1,0))</f>
        <v>0</v>
      </c>
      <c r="O80" s="39" t="n">
        <f aca="false">IF(O$4=0,0,IF(COUNTIFS(実績!$W$6:$W$505,O$3,実績!$AI$6:$AI$505,"&lt;="&amp;$A80,実績!$AJ$6:$AJ$505,"&gt;"&amp;$A80,実績!$AK$6:$AK$505,"○")&gt;0,1,0))</f>
        <v>0</v>
      </c>
      <c r="P80" s="39" t="n">
        <f aca="false">IF(P$4=0,0,IF(COUNTIFS(実績!$W$6:$W$505,P$3,実績!$AI$6:$AI$505,"&lt;="&amp;$A80,実績!$AJ$6:$AJ$505,"&gt;"&amp;$A80,実績!$AK$6:$AK$505,"○")&gt;0,1,0))</f>
        <v>0</v>
      </c>
      <c r="Q80" s="39" t="n">
        <f aca="false">IF(Q$4=0,0,IF(COUNTIFS(実績!$W$6:$W$505,Q$3,実績!$AI$6:$AI$505,"&lt;="&amp;$A80,実績!$AJ$6:$AJ$505,"&gt;"&amp;$A80,実績!$AK$6:$AK$505,"○")&gt;0,1,0))</f>
        <v>0</v>
      </c>
      <c r="R80" s="39" t="n">
        <f aca="false">IF(R$4=0,0,IF(COUNTIFS(実績!$W$6:$W$505,R$3,実績!$AI$6:$AI$505,"&lt;="&amp;$A80,実績!$AJ$6:$AJ$505,"&gt;"&amp;$A80,実績!$AK$6:$AK$505,"○")&gt;0,1,0))</f>
        <v>0</v>
      </c>
      <c r="S80" s="39" t="n">
        <f aca="false">IF(S$4=0,0,IF(COUNTIFS(実績!$W$6:$W$505,S$3,実績!$AI$6:$AI$505,"&lt;="&amp;$A80,実績!$AJ$6:$AJ$505,"&gt;"&amp;$A80,実績!$AK$6:$AK$505,"○")&gt;0,1,0))</f>
        <v>0</v>
      </c>
      <c r="T80" s="39" t="n">
        <f aca="false">IF(T$4=0,0,IF(COUNTIFS(実績!$W$6:$W$505,T$3,実績!$AI$6:$AI$505,"&lt;="&amp;$A80,実績!$AJ$6:$AJ$505,"&gt;"&amp;$A80,実績!$AK$6:$AK$505,"○")&gt;0,1,0))</f>
        <v>0</v>
      </c>
      <c r="U80" s="39" t="n">
        <f aca="false">IF(U$4=0,0,IF(COUNTIFS(実績!$W$6:$W$505,U$3,実績!$AI$6:$AI$505,"&lt;="&amp;$A80,実績!$AJ$6:$AJ$505,"&gt;"&amp;$A80,実績!$AK$6:$AK$505,"○")&gt;0,1,0))</f>
        <v>0</v>
      </c>
      <c r="V80" s="39" t="n">
        <f aca="false">IF(V$4=0,0,IF(COUNTIFS(実績!$W$6:$W$505,V$3,実績!$AI$6:$AI$505,"&lt;="&amp;$A80,実績!$AJ$6:$AJ$505,"&gt;"&amp;$A80,実績!$AK$6:$AK$505,"○")&gt;0,1,0))</f>
        <v>0</v>
      </c>
      <c r="W80" s="39" t="n">
        <f aca="false">IF(W$4=0,0,IF(COUNTIFS(実績!$W$6:$W$505,W$3,実績!$AI$6:$AI$505,"&lt;="&amp;$A80,実績!$AJ$6:$AJ$505,"&gt;"&amp;$A80,実績!$AK$6:$AK$505,"○")&gt;0,1,0))</f>
        <v>0</v>
      </c>
      <c r="X80" s="39" t="n">
        <f aca="false">IF(X$4=0,0,IF(COUNTIFS(実績!$W$6:$W$505,X$3,実績!$AI$6:$AI$505,"&lt;="&amp;$A80,実績!$AJ$6:$AJ$505,"&gt;"&amp;$A80,実績!$AK$6:$AK$505,"○")&gt;0,1,0))</f>
        <v>0</v>
      </c>
      <c r="Y80" s="39" t="n">
        <f aca="false">IF(Y$4=0,0,IF(COUNTIFS(実績!$W$6:$W$505,Y$3,実績!$AI$6:$AI$505,"&lt;="&amp;$A80,実績!$AJ$6:$AJ$505,"&gt;"&amp;$A80,実績!$AK$6:$AK$505,"○")&gt;0,1,0))</f>
        <v>0</v>
      </c>
      <c r="Z80" s="39" t="n">
        <f aca="false">IF(Z$4=0,0,IF(COUNTIFS(実績!$W$6:$W$505,Z$3,実績!$AI$6:$AI$505,"&lt;="&amp;$A80,実績!$AJ$6:$AJ$505,"&gt;"&amp;$A80,実績!$AK$6:$AK$505,"○")&gt;0,1,0))</f>
        <v>0</v>
      </c>
      <c r="AA80" s="39" t="n">
        <f aca="false">IF(AA$4=0,0,IF(COUNTIFS(実績!$W$6:$W$505,AA$3,実績!$AI$6:$AI$505,"&lt;="&amp;$A80,実績!$AJ$6:$AJ$505,"&gt;"&amp;$A80,実績!$AK$6:$AK$505,"○")&gt;0,1,0))</f>
        <v>0</v>
      </c>
      <c r="AB80" s="39" t="n">
        <f aca="false">IF(AB$4=0,0,IF(COUNTIFS(実績!$W$6:$W$505,AB$3,実績!$AI$6:$AI$505,"&lt;="&amp;$A80,実績!$AJ$6:$AJ$505,"&gt;"&amp;$A80,実績!$AK$6:$AK$505,"○")&gt;0,1,0))</f>
        <v>0</v>
      </c>
      <c r="AC80" s="39" t="n">
        <f aca="false">IF(AC$4=0,0,IF(COUNTIFS(実績!$W$6:$W$505,AC$3,実績!$AI$6:$AI$505,"&lt;="&amp;$A80,実績!$AJ$6:$AJ$505,"&gt;"&amp;$A80,実績!$AK$6:$AK$505,"○")&gt;0,1,0))</f>
        <v>0</v>
      </c>
      <c r="AD80" s="39" t="n">
        <f aca="false">IF(AD$4=0,0,IF(COUNTIFS(実績!$W$6:$W$505,AD$3,実績!$AI$6:$AI$505,"&lt;="&amp;$A80,実績!$AJ$6:$AJ$505,"&gt;"&amp;$A80,実績!$AK$6:$AK$505,"○")&gt;0,1,0))</f>
        <v>0</v>
      </c>
      <c r="AE80" s="39" t="n">
        <f aca="false">IF(AE$4=0,0,IF(COUNTIFS(実績!$W$6:$W$505,AE$3,実績!$AI$6:$AI$505,"&lt;="&amp;$A80,実績!$AJ$6:$AJ$505,"&gt;"&amp;$A80,実績!$AK$6:$AK$505,"○")&gt;0,1,0))</f>
        <v>0</v>
      </c>
      <c r="AF80" s="39" t="n">
        <f aca="false">IF(AF$4=0,0,IF(COUNTIFS(実績!$W$6:$W$505,AF$3,実績!$AI$6:$AI$505,"&lt;="&amp;$A80,実績!$AJ$6:$AJ$505,"&gt;"&amp;$A80,実績!$AK$6:$AK$505,"○")&gt;0,1,0))</f>
        <v>0</v>
      </c>
      <c r="AG80" s="39" t="n">
        <f aca="false">IF(AG$4=0,0,IF(COUNTIFS(実績!$W$6:$W$505,AG$3,実績!$AI$6:$AI$505,"&lt;="&amp;$A80,実績!$AJ$6:$AJ$505,"&gt;"&amp;$A80,実績!$AK$6:$AK$505,"○")&gt;0,1,0))</f>
        <v>0</v>
      </c>
      <c r="AH80" s="39" t="n">
        <f aca="false">IF(AH$4=0,0,IF(COUNTIFS(実績!$W$6:$W$505,AH$3,実績!$AI$6:$AI$505,"&lt;="&amp;$A80,実績!$AJ$6:$AJ$505,"&gt;"&amp;$A80,実績!$AK$6:$AK$505,"○")&gt;0,1,0))</f>
        <v>0</v>
      </c>
      <c r="AI80" s="39" t="n">
        <f aca="false">IF(AI$4=0,0,IF(COUNTIFS(実績!$W$6:$W$505,AI$3,実績!$AI$6:$AI$505,"&lt;="&amp;$A80,実績!$AJ$6:$AJ$505,"&gt;"&amp;$A80,実績!$AK$6:$AK$505,"○")&gt;0,1,0))</f>
        <v>0</v>
      </c>
      <c r="AJ80" s="39" t="n">
        <f aca="false">IF(AJ$4=0,0,IF(COUNTIFS(実績!$W$6:$W$505,AJ$3,実績!$AI$6:$AI$505,"&lt;="&amp;$A80,実績!$AJ$6:$AJ$505,"&gt;"&amp;$A80,実績!$AK$6:$AK$505,"○")&gt;0,1,0))</f>
        <v>0</v>
      </c>
      <c r="AK80" s="39" t="n">
        <f aca="false">IF(AK$4=0,0,IF(COUNTIFS(実績!$W$6:$W$505,AK$3,実績!$AI$6:$AI$505,"&lt;="&amp;$A80,実績!$AJ$6:$AJ$505,"&gt;"&amp;$A80,実績!$AK$6:$AK$505,"○")&gt;0,1,0))</f>
        <v>0</v>
      </c>
      <c r="AL80" s="39" t="n">
        <f aca="false">IF(AL$4=0,0,IF(COUNTIFS(実績!$W$6:$W$505,AL$3,実績!$AI$6:$AI$505,"&lt;="&amp;$A80,実績!$AJ$6:$AJ$505,"&gt;"&amp;$A80,実績!$AK$6:$AK$505,"○")&gt;0,1,0))</f>
        <v>0</v>
      </c>
      <c r="AM80" s="39" t="n">
        <f aca="false">IF(AM$4=0,0,IF(COUNTIFS(実績!$W$6:$W$505,AM$3,実績!$AI$6:$AI$505,"&lt;="&amp;$A80,実績!$AJ$6:$AJ$505,"&gt;"&amp;$A80,実績!$AK$6:$AK$505,"○")&gt;0,1,0))</f>
        <v>0</v>
      </c>
      <c r="AN80" s="39" t="n">
        <f aca="false">IF(AN$4=0,0,IF(COUNTIFS(実績!$W$6:$W$505,AN$3,実績!$AI$6:$AI$505,"&lt;="&amp;$A80,実績!$AJ$6:$AJ$505,"&gt;"&amp;$A80,実績!$AK$6:$AK$505,"○")&gt;0,1,0))</f>
        <v>0</v>
      </c>
      <c r="AO80" s="39" t="n">
        <f aca="false">IF(AO$4=0,0,IF(COUNTIFS(実績!$W$6:$W$505,AO$3,実績!$AI$6:$AI$505,"&lt;="&amp;$A80,実績!$AJ$6:$AJ$505,"&gt;"&amp;$A80,実績!$AK$6:$AK$505,"○")&gt;0,1,0))</f>
        <v>0</v>
      </c>
      <c r="AP80" s="39" t="n">
        <f aca="false">IF(AP$4=0,0,IF(COUNTIFS(実績!$W$6:$W$505,AP$3,実績!$AI$6:$AI$505,"&lt;="&amp;$A80,実績!$AJ$6:$AJ$505,"&gt;"&amp;$A80,実績!$AK$6:$AK$505,"○")&gt;0,1,0))</f>
        <v>0</v>
      </c>
      <c r="AQ80" s="39" t="n">
        <f aca="false">IF(AQ$4=0,0,IF(COUNTIFS(実績!$W$6:$W$505,AQ$3,実績!$AI$6:$AI$505,"&lt;="&amp;$A80,実績!$AJ$6:$AJ$505,"&gt;"&amp;$A80,実績!$AK$6:$AK$505,"○")&gt;0,1,0))</f>
        <v>0</v>
      </c>
      <c r="AR80" s="39" t="n">
        <f aca="false">IF(AR$4=0,0,IF(COUNTIFS(実績!$W$6:$W$505,AR$3,実績!$AI$6:$AI$505,"&lt;="&amp;$A80,実績!$AJ$6:$AJ$505,"&gt;"&amp;$A80,実績!$AK$6:$AK$505,"○")&gt;0,1,0))</f>
        <v>0</v>
      </c>
      <c r="AS80" s="39" t="n">
        <f aca="false">IF(AS$4=0,0,IF(COUNTIFS(実績!$W$6:$W$505,AS$3,実績!$AI$6:$AI$505,"&lt;="&amp;$A80,実績!$AJ$6:$AJ$505,"&gt;"&amp;$A80,実績!$AK$6:$AK$505,"○")&gt;0,1,0))</f>
        <v>0</v>
      </c>
      <c r="AT80" s="39" t="n">
        <f aca="false">IF(AT$4=0,0,IF(COUNTIFS(実績!$W$6:$W$505,AT$3,実績!$AI$6:$AI$505,"&lt;="&amp;$A80,実績!$AJ$6:$AJ$505,"&gt;"&amp;$A80,実績!$AK$6:$AK$505,"○")&gt;0,1,0))</f>
        <v>0</v>
      </c>
      <c r="AU80" s="39" t="n">
        <f aca="false">IF(AU$4=0,0,IF(COUNTIFS(実績!$W$6:$W$505,AU$3,実績!$AI$6:$AI$505,"&lt;="&amp;$A80,実績!$AJ$6:$AJ$505,"&gt;"&amp;$A80,実績!$AK$6:$AK$505,"○")&gt;0,1,0))</f>
        <v>0</v>
      </c>
      <c r="AV80" s="39" t="n">
        <f aca="false">IF(AV$4=0,0,IF(COUNTIFS(実績!$W$6:$W$505,AV$3,実績!$AI$6:$AI$505,"&lt;="&amp;$A80,実績!$AJ$6:$AJ$505,"&gt;"&amp;$A80,実績!$AK$6:$AK$505,"○")&gt;0,1,0))</f>
        <v>0</v>
      </c>
      <c r="AW80" s="39" t="n">
        <f aca="false">IF(AW$4=0,0,IF(COUNTIFS(実績!$W$6:$W$505,AW$3,実績!$AI$6:$AI$505,"&lt;="&amp;$A80,実績!$AJ$6:$AJ$505,"&gt;"&amp;$A80,実績!$AK$6:$AK$505,"○")&gt;0,1,0))</f>
        <v>0</v>
      </c>
      <c r="AX80" s="39" t="n">
        <f aca="false">IF(AX$4=0,0,IF(COUNTIFS(実績!$W$6:$W$505,AX$3,実績!$AI$6:$AI$505,"&lt;="&amp;$A80,実績!$AJ$6:$AJ$505,"&gt;"&amp;$A80,実績!$AK$6:$AK$505,"○")&gt;0,1,0))</f>
        <v>0</v>
      </c>
      <c r="AY80" s="39" t="n">
        <f aca="false">IF(AY$4=0,0,IF(COUNTIFS(実績!$W$6:$W$505,AY$3,実績!$AI$6:$AI$505,"&lt;="&amp;$A80,実績!$AJ$6:$AJ$505,"&gt;"&amp;$A80,実績!$AK$6:$AK$505,"○")&gt;0,1,0))</f>
        <v>0</v>
      </c>
      <c r="AZ80" s="39" t="n">
        <f aca="false">IF(AZ$4=0,0,IF(COUNTIFS(実績!$W$6:$W$505,AZ$3,実績!$AI$6:$AI$505,"&lt;="&amp;$A80,実績!$AJ$6:$AJ$505,"&gt;"&amp;$A80,実績!$AK$6:$AK$505,"○")&gt;0,1,0))</f>
        <v>0</v>
      </c>
      <c r="BA80" s="39" t="n">
        <f aca="false">IF(BA$4=0,0,IF(COUNTIFS(実績!$W$6:$W$505,BA$3,実績!$AI$6:$AI$505,"&lt;="&amp;$A80,実績!$AJ$6:$AJ$505,"&gt;"&amp;$A80,実績!$AK$6:$AK$505,"○")&gt;0,1,0))</f>
        <v>0</v>
      </c>
      <c r="BB80" s="39" t="n">
        <f aca="false">IF(BB$4=0,0,IF(COUNTIFS(実績!$W$6:$W$505,BB$3,実績!$AI$6:$AI$505,"&lt;="&amp;$A80,実績!$AJ$6:$AJ$505,"&gt;"&amp;$A80,実績!$AK$6:$AK$505,"○")&gt;0,1,0))</f>
        <v>0</v>
      </c>
      <c r="BC80" s="39" t="n">
        <f aca="false">IF(BC$4=0,0,IF(COUNTIFS(実績!$W$6:$W$505,BC$3,実績!$AI$6:$AI$505,"&lt;="&amp;$A80,実績!$AJ$6:$AJ$505,"&gt;"&amp;$A80,実績!$AK$6:$AK$505,"○")&gt;0,1,0))</f>
        <v>0</v>
      </c>
      <c r="BD80" s="39" t="n">
        <f aca="false">IF(BD$4=0,0,IF(COUNTIFS(実績!$W$6:$W$505,BD$3,実績!$AI$6:$AI$505,"&lt;="&amp;$A80,実績!$AJ$6:$AJ$505,"&gt;"&amp;$A80,実績!$AK$6:$AK$505,"○")&gt;0,1,0))</f>
        <v>0</v>
      </c>
      <c r="BE80" s="39" t="n">
        <f aca="false">IF(BE$4=0,0,IF(COUNTIFS(実績!$W$6:$W$505,BE$3,実績!$AI$6:$AI$505,"&lt;="&amp;$A80,実績!$AJ$6:$AJ$505,"&gt;"&amp;$A80,実績!$AK$6:$AK$505,"○")&gt;0,1,0))</f>
        <v>0</v>
      </c>
      <c r="BF80" s="39" t="n">
        <f aca="false">IF(BF$4=0,0,IF(COUNTIFS(実績!$W$6:$W$505,BF$3,実績!$AI$6:$AI$505,"&lt;="&amp;$A80,実績!$AJ$6:$AJ$505,"&gt;"&amp;$A80,実績!$AK$6:$AK$505,"○")&gt;0,1,0))</f>
        <v>0</v>
      </c>
      <c r="BG80" s="39" t="n">
        <f aca="false">IF(BG$4=0,0,IF(COUNTIFS(実績!$W$6:$W$505,BG$3,実績!$AI$6:$AI$505,"&lt;="&amp;$A80,実績!$AJ$6:$AJ$505,"&gt;"&amp;$A80,実績!$AK$6:$AK$505,"○")&gt;0,1,0))</f>
        <v>0</v>
      </c>
      <c r="BH80" s="39" t="n">
        <f aca="false">IF(BH$4=0,0,IF(COUNTIFS(実績!$W$6:$W$505,BH$3,実績!$AI$6:$AI$505,"&lt;="&amp;$A80,実績!$AJ$6:$AJ$505,"&gt;"&amp;$A80,実績!$AK$6:$AK$505,"○")&gt;0,1,0))</f>
        <v>0</v>
      </c>
      <c r="BI80" s="39" t="n">
        <f aca="false">IF(BI$4=0,0,IF(COUNTIFS(実績!$W$6:$W$505,BI$3,実績!$AI$6:$AI$505,"&lt;="&amp;$A80,実績!$AJ$6:$AJ$505,"&gt;"&amp;$A80,実績!$AK$6:$AK$505,"○")&gt;0,1,0))</f>
        <v>0</v>
      </c>
      <c r="BJ80" s="39" t="n">
        <f aca="false">IF(BJ$4=0,0,IF(COUNTIFS(実績!$W$6:$W$505,BJ$3,実績!$AI$6:$AI$505,"&lt;="&amp;$A80,実績!$AJ$6:$AJ$505,"&gt;"&amp;$A80,実績!$AK$6:$AK$505,"○")&gt;0,1,0))</f>
        <v>0</v>
      </c>
      <c r="BK80" s="39" t="n">
        <f aca="false">IF(BK$4=0,0,IF(COUNTIFS(実績!$W$6:$W$505,BK$3,実績!$AI$6:$AI$505,"&lt;="&amp;$A80,実績!$AJ$6:$AJ$505,"&gt;"&amp;$A80,実績!$AK$6:$AK$505,"○")&gt;0,1,0))</f>
        <v>0</v>
      </c>
      <c r="BL80" s="39" t="n">
        <f aca="false">IF(BL$4=0,0,IF(COUNTIFS(実績!$W$6:$W$505,BL$3,実績!$AI$6:$AI$505,"&lt;="&amp;$A80,実績!$AJ$6:$AJ$505,"&gt;"&amp;$A80,実績!$AK$6:$AK$505,"○")&gt;0,1,0))</f>
        <v>0</v>
      </c>
      <c r="BM80" s="39" t="n">
        <f aca="false">IF(BM$4=0,0,IF(COUNTIFS(実績!$W$6:$W$505,BM$3,実績!$AI$6:$AI$505,"&lt;="&amp;$A80,実績!$AJ$6:$AJ$505,"&gt;"&amp;$A80,実績!$AK$6:$AK$505,"○")&gt;0,1,0))</f>
        <v>0</v>
      </c>
      <c r="BN80" s="39" t="n">
        <f aca="false">IF(BN$4=0,0,IF(COUNTIFS(実績!$W$6:$W$505,BN$3,実績!$AI$6:$AI$505,"&lt;="&amp;$A80,実績!$AJ$6:$AJ$505,"&gt;"&amp;$A80,実績!$AK$6:$AK$505,"○")&gt;0,1,0))</f>
        <v>0</v>
      </c>
      <c r="BO80" s="39" t="n">
        <f aca="false">IF(BO$4=0,0,IF(COUNTIFS(実績!$W$6:$W$505,BO$3,実績!$AI$6:$AI$505,"&lt;="&amp;$A80,実績!$AJ$6:$AJ$505,"&gt;"&amp;$A80,実績!$AK$6:$AK$505,"○")&gt;0,1,0))</f>
        <v>0</v>
      </c>
      <c r="BP80" s="39" t="n">
        <f aca="false">IF(BP$4=0,0,IF(COUNTIFS(実績!$W$6:$W$505,BP$3,実績!$AI$6:$AI$505,"&lt;="&amp;$A80,実績!$AJ$6:$AJ$505,"&gt;"&amp;$A80,実績!$AK$6:$AK$505,"○")&gt;0,1,0))</f>
        <v>0</v>
      </c>
      <c r="BQ80" s="39" t="n">
        <f aca="false">IF(BQ$4=0,0,IF(COUNTIFS(実績!$W$6:$W$505,BQ$3,実績!$AI$6:$AI$505,"&lt;="&amp;$A80,実績!$AJ$6:$AJ$505,"&gt;"&amp;$A80,実績!$AK$6:$AK$505,"○")&gt;0,1,0))</f>
        <v>0</v>
      </c>
      <c r="BR80" s="39" t="n">
        <f aca="false">IF(BR$4=0,0,IF(COUNTIFS(実績!$W$6:$W$505,BR$3,実績!$AI$6:$AI$505,"&lt;="&amp;$A80,実績!$AJ$6:$AJ$505,"&gt;"&amp;$A80,実績!$AK$6:$AK$505,"○")&gt;0,1,0))</f>
        <v>0</v>
      </c>
      <c r="BS80" s="39" t="n">
        <f aca="false">IF(BS$4=0,0,IF(COUNTIFS(実績!$W$6:$W$505,BS$3,実績!$AI$6:$AI$505,"&lt;="&amp;$A80,実績!$AJ$6:$AJ$505,"&gt;"&amp;$A80,実績!$AK$6:$AK$505,"○")&gt;0,1,0))</f>
        <v>0</v>
      </c>
      <c r="BT80" s="39" t="n">
        <f aca="false">IF(BT$4=0,0,IF(COUNTIFS(実績!$W$6:$W$505,BT$3,実績!$AI$6:$AI$505,"&lt;="&amp;$A80,実績!$AJ$6:$AJ$505,"&gt;"&amp;$A80,実績!$AK$6:$AK$505,"○")&gt;0,1,0))</f>
        <v>0</v>
      </c>
      <c r="BU80" s="39" t="n">
        <f aca="false">IF(BU$4=0,0,IF(COUNTIFS(実績!$W$6:$W$505,BU$3,実績!$AI$6:$AI$505,"&lt;="&amp;$A80,実績!$AJ$6:$AJ$505,"&gt;"&amp;$A80,実績!$AK$6:$AK$505,"○")&gt;0,1,0))</f>
        <v>0</v>
      </c>
      <c r="BV80" s="39" t="n">
        <f aca="false">IF(BV$4=0,0,IF(COUNTIFS(実績!$W$6:$W$505,BV$3,実績!$AI$6:$AI$505,"&lt;="&amp;$A80,実績!$AJ$6:$AJ$505,"&gt;"&amp;$A80,実績!$AK$6:$AK$505,"○")&gt;0,1,0))</f>
        <v>0</v>
      </c>
      <c r="BW80" s="39" t="n">
        <f aca="false">IF(BW$4=0,0,IF(COUNTIFS(実績!$W$6:$W$505,BW$3,実績!$AI$6:$AI$505,"&lt;="&amp;$A80,実績!$AJ$6:$AJ$505,"&gt;"&amp;$A80,実績!$AK$6:$AK$505,"○")&gt;0,1,0))</f>
        <v>0</v>
      </c>
      <c r="BX80" s="39" t="n">
        <f aca="false">IF(BX$4=0,0,IF(COUNTIFS(実績!$W$6:$W$505,BX$3,実績!$AI$6:$AI$505,"&lt;="&amp;$A80,実績!$AJ$6:$AJ$505,"&gt;"&amp;$A80,実績!$AK$6:$AK$505,"○")&gt;0,1,0))</f>
        <v>0</v>
      </c>
      <c r="BY80" s="39" t="n">
        <f aca="false">IF(BY$4=0,0,IF(COUNTIFS(実績!$W$6:$W$505,BY$3,実績!$AI$6:$AI$505,"&lt;="&amp;$A80,実績!$AJ$6:$AJ$505,"&gt;"&amp;$A80,実績!$AK$6:$AK$505,"○")&gt;0,1,0))</f>
        <v>0</v>
      </c>
      <c r="BZ80" s="39" t="n">
        <f aca="false">IF(BZ$4=0,0,IF(COUNTIFS(実績!$W$6:$W$505,BZ$3,実績!$AI$6:$AI$505,"&lt;="&amp;$A80,実績!$AJ$6:$AJ$505,"&gt;"&amp;$A80,実績!$AK$6:$AK$505,"○")&gt;0,1,0))</f>
        <v>0</v>
      </c>
      <c r="CA80" s="39" t="n">
        <f aca="false">IF(CA$4=0,0,IF(COUNTIFS(実績!$W$6:$W$505,CA$3,実績!$AI$6:$AI$505,"&lt;="&amp;$A80,実績!$AJ$6:$AJ$505,"&gt;"&amp;$A80,実績!$AK$6:$AK$505,"○")&gt;0,1,0))</f>
        <v>0</v>
      </c>
      <c r="CB80" s="39" t="n">
        <f aca="false">IF(CB$4=0,0,IF(COUNTIFS(実績!$W$6:$W$505,CB$3,実績!$AI$6:$AI$505,"&lt;="&amp;$A80,実績!$AJ$6:$AJ$505,"&gt;"&amp;$A80,実績!$AK$6:$AK$505,"○")&gt;0,1,0))</f>
        <v>0</v>
      </c>
      <c r="CC80" s="39" t="n">
        <f aca="false">IF(CC$4=0,0,IF(COUNTIFS(実績!$W$6:$W$505,CC$3,実績!$AI$6:$AI$505,"&lt;="&amp;$A80,実績!$AJ$6:$AJ$505,"&gt;"&amp;$A80,実績!$AK$6:$AK$505,"○")&gt;0,1,0))</f>
        <v>0</v>
      </c>
      <c r="CD80" s="39" t="n">
        <f aca="false">IF(CD$4=0,0,IF(COUNTIFS(実績!$W$6:$W$505,CD$3,実績!$AI$6:$AI$505,"&lt;="&amp;$A80,実績!$AJ$6:$AJ$505,"&gt;"&amp;$A80,実績!$AK$6:$AK$505,"○")&gt;0,1,0))</f>
        <v>0</v>
      </c>
      <c r="CE80" s="39" t="n">
        <f aca="false">IF(CE$4=0,0,IF(COUNTIFS(実績!$W$6:$W$505,CE$3,実績!$AI$6:$AI$505,"&lt;="&amp;$A80,実績!$AJ$6:$AJ$505,"&gt;"&amp;$A80,実績!$AK$6:$AK$505,"○")&gt;0,1,0))</f>
        <v>0</v>
      </c>
      <c r="CF80" s="39" t="n">
        <f aca="false">IF(CF$4=0,0,IF(COUNTIFS(実績!$W$6:$W$505,CF$3,実績!$AI$6:$AI$505,"&lt;="&amp;$A80,実績!$AJ$6:$AJ$505,"&gt;"&amp;$A80,実績!$AK$6:$AK$505,"○")&gt;0,1,0))</f>
        <v>0</v>
      </c>
      <c r="CG80" s="39" t="n">
        <f aca="false">IF(CG$4=0,0,IF(COUNTIFS(実績!$W$6:$W$505,CG$3,実績!$AI$6:$AI$505,"&lt;="&amp;$A80,実績!$AJ$6:$AJ$505,"&gt;"&amp;$A80,実績!$AK$6:$AK$505,"○")&gt;0,1,0))</f>
        <v>0</v>
      </c>
      <c r="CH80" s="39" t="n">
        <f aca="false">IF(CH$4=0,0,IF(COUNTIFS(実績!$W$6:$W$505,CH$3,実績!$AI$6:$AI$505,"&lt;="&amp;$A80,実績!$AJ$6:$AJ$505,"&gt;"&amp;$A80,実績!$AK$6:$AK$505,"○")&gt;0,1,0))</f>
        <v>0</v>
      </c>
      <c r="CI80" s="39" t="n">
        <f aca="false">IF(CI$4=0,0,IF(COUNTIFS(実績!$W$6:$W$505,CI$3,実績!$AI$6:$AI$505,"&lt;="&amp;$A80,実績!$AJ$6:$AJ$505,"&gt;"&amp;$A80,実績!$AK$6:$AK$505,"○")&gt;0,1,0))</f>
        <v>0</v>
      </c>
      <c r="CJ80" s="39" t="n">
        <f aca="false">IF(CJ$4=0,0,IF(COUNTIFS(実績!$W$6:$W$505,CJ$3,実績!$AI$6:$AI$505,"&lt;="&amp;$A80,実績!$AJ$6:$AJ$505,"&gt;"&amp;$A80,実績!$AK$6:$AK$505,"○")&gt;0,1,0))</f>
        <v>0</v>
      </c>
      <c r="CK80" s="39" t="n">
        <f aca="false">IF(CK$4=0,0,IF(COUNTIFS(実績!$W$6:$W$505,CK$3,実績!$AI$6:$AI$505,"&lt;="&amp;$A80,実績!$AJ$6:$AJ$505,"&gt;"&amp;$A80,実績!$AK$6:$AK$505,"○")&gt;0,1,0))</f>
        <v>0</v>
      </c>
      <c r="CL80" s="39" t="n">
        <f aca="false">IF(CL$4=0,0,IF(COUNTIFS(実績!$W$6:$W$505,CL$3,実績!$AI$6:$AI$505,"&lt;="&amp;$A80,実績!$AJ$6:$AJ$505,"&gt;"&amp;$A80,実績!$AK$6:$AK$505,"○")&gt;0,1,0))</f>
        <v>0</v>
      </c>
      <c r="CM80" s="39" t="n">
        <f aca="false">IF(CM$4=0,0,IF(COUNTIFS(実績!$W$6:$W$505,CM$3,実績!$AI$6:$AI$505,"&lt;="&amp;$A80,実績!$AJ$6:$AJ$505,"&gt;"&amp;$A80,実績!$AK$6:$AK$505,"○")&gt;0,1,0))</f>
        <v>0</v>
      </c>
      <c r="CN80" s="39" t="n">
        <f aca="false">IF(CN$4=0,0,IF(COUNTIFS(実績!$W$6:$W$505,CN$3,実績!$AI$6:$AI$505,"&lt;="&amp;$A80,実績!$AJ$6:$AJ$505,"&gt;"&amp;$A80,実績!$AK$6:$AK$505,"○")&gt;0,1,0))</f>
        <v>0</v>
      </c>
      <c r="CO80" s="39" t="n">
        <f aca="false">IF(CO$4=0,0,IF(COUNTIFS(実績!$W$6:$W$505,CO$3,実績!$AI$6:$AI$505,"&lt;="&amp;$A80,実績!$AJ$6:$AJ$505,"&gt;"&amp;$A80,実績!$AK$6:$AK$505,"○")&gt;0,1,0))</f>
        <v>0</v>
      </c>
      <c r="CP80" s="39" t="n">
        <f aca="false">IF(CP$4=0,0,IF(COUNTIFS(実績!$W$6:$W$505,CP$3,実績!$AI$6:$AI$505,"&lt;="&amp;$A80,実績!$AJ$6:$AJ$505,"&gt;"&amp;$A80,実績!$AK$6:$AK$505,"○")&gt;0,1,0))</f>
        <v>0</v>
      </c>
      <c r="CQ80" s="39" t="n">
        <f aca="false">IF(CQ$4=0,0,IF(COUNTIFS(実績!$W$6:$W$505,CQ$3,実績!$AI$6:$AI$505,"&lt;="&amp;$A80,実績!$AJ$6:$AJ$505,"&gt;"&amp;$A80,実績!$AK$6:$AK$505,"○")&gt;0,1,0))</f>
        <v>0</v>
      </c>
      <c r="CR80" s="39" t="n">
        <f aca="false">IF(CR$4=0,0,IF(COUNTIFS(実績!$W$6:$W$505,CR$3,実績!$AI$6:$AI$505,"&lt;="&amp;$A80,実績!$AJ$6:$AJ$505,"&gt;"&amp;$A80,実績!$AK$6:$AK$505,"○")&gt;0,1,0))</f>
        <v>0</v>
      </c>
      <c r="CS80" s="39" t="n">
        <f aca="false">IF(CS$4=0,0,IF(COUNTIFS(実績!$W$6:$W$505,CS$3,実績!$AI$6:$AI$505,"&lt;="&amp;$A80,実績!$AJ$6:$AJ$505,"&gt;"&amp;$A80,実績!$AK$6:$AK$505,"○")&gt;0,1,0))</f>
        <v>0</v>
      </c>
      <c r="CT80" s="39" t="n">
        <f aca="false">IF(CT$4=0,0,IF(COUNTIFS(実績!$W$6:$W$505,CT$3,実績!$AI$6:$AI$505,"&lt;="&amp;$A80,実績!$AJ$6:$AJ$505,"&gt;"&amp;$A80,実績!$AK$6:$AK$505,"○")&gt;0,1,0))</f>
        <v>0</v>
      </c>
      <c r="CU80" s="39" t="n">
        <f aca="false">IF(CU$4=0,0,IF(COUNTIFS(実績!$W$6:$W$505,CU$3,実績!$AI$6:$AI$505,"&lt;="&amp;$A80,実績!$AJ$6:$AJ$505,"&gt;"&amp;$A80,実績!$AK$6:$AK$505,"○")&gt;0,1,0))</f>
        <v>0</v>
      </c>
      <c r="CV80" s="39" t="n">
        <f aca="false">IF(CV$4=0,0,IF(COUNTIFS(実績!$W$6:$W$505,CV$3,実績!$AI$6:$AI$505,"&lt;="&amp;$A80,実績!$AJ$6:$AJ$505,"&gt;"&amp;$A80,実績!$AK$6:$AK$505,"○")&gt;0,1,0))</f>
        <v>0</v>
      </c>
      <c r="CW80" s="39" t="n">
        <f aca="false">IF(CW$4=0,0,IF(COUNTIFS(実績!$W$6:$W$505,CW$3,実績!$AI$6:$AI$505,"&lt;="&amp;$A80,実績!$AJ$6:$AJ$505,"&gt;"&amp;$A80,実績!$AK$6:$AK$505,"○")&gt;0,1,0))</f>
        <v>0</v>
      </c>
      <c r="CX80" s="39" t="n">
        <f aca="false">IF(CX$4=0,0,IF(COUNTIFS(実績!$W$6:$W$505,CX$3,実績!$AI$6:$AI$505,"&lt;="&amp;$A80,実績!$AJ$6:$AJ$505,"&gt;"&amp;$A80,実績!$AK$6:$AK$505,"○")&gt;0,1,0))</f>
        <v>0</v>
      </c>
      <c r="CY80" s="39" t="n">
        <f aca="false">IF(CY$4=0,0,IF(COUNTIFS(実績!$W$6:$W$505,CY$3,実績!$AI$6:$AI$505,"&lt;="&amp;$A80,実績!$AJ$6:$AJ$505,"&gt;"&amp;$A80,実績!$AK$6:$AK$505,"○")&gt;0,1,0))</f>
        <v>0</v>
      </c>
      <c r="CZ80" s="39" t="n">
        <f aca="false">IF(CZ$4=0,0,IF(COUNTIFS(実績!$W$6:$W$505,CZ$3,実績!$AI$6:$AI$505,"&lt;="&amp;$A80,実績!$AJ$6:$AJ$505,"&gt;"&amp;$A80,実績!$AK$6:$AK$505,"○")&gt;0,1,0))</f>
        <v>0</v>
      </c>
      <c r="DA80" s="39" t="n">
        <f aca="false">IF(DA$4=0,0,IF(COUNTIFS(実績!$W$6:$W$505,DA$3,実績!$AI$6:$AI$505,"&lt;="&amp;$A80,実績!$AJ$6:$AJ$505,"&gt;"&amp;$A80,実績!$AK$6:$AK$505,"○")&gt;0,1,0))</f>
        <v>0</v>
      </c>
      <c r="DB80" s="39" t="n">
        <f aca="false">IF(DB$4=0,0,IF(COUNTIFS(実績!$W$6:$W$505,DB$3,実績!$AI$6:$AI$505,"&lt;="&amp;$A80,実績!$AJ$6:$AJ$505,"&gt;"&amp;$A80,実績!$AK$6:$AK$505,"○")&gt;0,1,0))</f>
        <v>0</v>
      </c>
      <c r="DC80" s="39" t="n">
        <f aca="false">IF(DC$4=0,0,IF(COUNTIFS(実績!$W$6:$W$505,DC$3,実績!$AI$6:$AI$505,"&lt;="&amp;$A80,実績!$AJ$6:$AJ$505,"&gt;"&amp;$A80,実績!$AK$6:$AK$505,"○")&gt;0,1,0))</f>
        <v>0</v>
      </c>
      <c r="DD80" s="39" t="n">
        <f aca="false">IF(DD$4=0,0,IF(COUNTIFS(実績!$W$6:$W$505,DD$3,実績!$AI$6:$AI$505,"&lt;="&amp;$A80,実績!$AJ$6:$AJ$505,"&gt;"&amp;$A80,実績!$AK$6:$AK$505,"○")&gt;0,1,0))</f>
        <v>0</v>
      </c>
      <c r="DE80" s="39" t="n">
        <f aca="false">IF(DE$4=0,0,IF(COUNTIFS(実績!$W$6:$W$505,DE$3,実績!$AI$6:$AI$505,"&lt;="&amp;$A80,実績!$AJ$6:$AJ$505,"&gt;"&amp;$A80,実績!$AK$6:$AK$505,"○")&gt;0,1,0))</f>
        <v>0</v>
      </c>
      <c r="DF80" s="39" t="n">
        <f aca="false">IF(DF$4=0,0,IF(COUNTIFS(実績!$W$6:$W$505,DF$3,実績!$AI$6:$AI$505,"&lt;="&amp;$A80,実績!$AJ$6:$AJ$505,"&gt;"&amp;$A80,実績!$AK$6:$AK$505,"○")&gt;0,1,0))</f>
        <v>0</v>
      </c>
      <c r="DG80" s="39" t="n">
        <f aca="false">IF(DG$4=0,0,IF(COUNTIFS(実績!$W$6:$W$505,DG$3,実績!$AI$6:$AI$505,"&lt;="&amp;$A80,実績!$AJ$6:$AJ$505,"&gt;"&amp;$A80,実績!$AK$6:$AK$505,"○")&gt;0,1,0))</f>
        <v>0</v>
      </c>
      <c r="DH80" s="39" t="n">
        <f aca="false">IF(DH$4=0,0,IF(COUNTIFS(実績!$W$6:$W$505,DH$3,実績!$AI$6:$AI$505,"&lt;="&amp;$A80,実績!$AJ$6:$AJ$505,"&gt;"&amp;$A80,実績!$AK$6:$AK$505,"○")&gt;0,1,0))</f>
        <v>0</v>
      </c>
      <c r="DI80" s="39" t="n">
        <f aca="false">IF(DI$4=0,0,IF(COUNTIFS(実績!$W$6:$W$505,DI$3,実績!$AI$6:$AI$505,"&lt;="&amp;$A80,実績!$AJ$6:$AJ$505,"&gt;"&amp;$A80,実績!$AK$6:$AK$505,"○")&gt;0,1,0))</f>
        <v>0</v>
      </c>
      <c r="DJ80" s="39" t="n">
        <f aca="false">IF(DJ$4=0,0,IF(COUNTIFS(実績!$W$6:$W$505,DJ$3,実績!$AI$6:$AI$505,"&lt;="&amp;$A80,実績!$AJ$6:$AJ$505,"&gt;"&amp;$A80,実績!$AK$6:$AK$505,"○")&gt;0,1,0))</f>
        <v>0</v>
      </c>
      <c r="DK80" s="39" t="n">
        <f aca="false">IF(DK$4=0,0,IF(COUNTIFS(実績!$W$6:$W$505,DK$3,実績!$AI$6:$AI$505,"&lt;="&amp;$A80,実績!$AJ$6:$AJ$505,"&gt;"&amp;$A80,実績!$AK$6:$AK$505,"○")&gt;0,1,0))</f>
        <v>0</v>
      </c>
      <c r="DL80" s="39" t="n">
        <f aca="false">IF(DL$4=0,0,IF(COUNTIFS(実績!$W$6:$W$505,DL$3,実績!$AI$6:$AI$505,"&lt;="&amp;$A80,実績!$AJ$6:$AJ$505,"&gt;"&amp;$A80,実績!$AK$6:$AK$505,"○")&gt;0,1,0))</f>
        <v>0</v>
      </c>
      <c r="DM80" s="39" t="n">
        <f aca="false">IF(DM$4=0,0,IF(COUNTIFS(実績!$W$6:$W$505,DM$3,実績!$AI$6:$AI$505,"&lt;="&amp;$A80,実績!$AJ$6:$AJ$505,"&gt;"&amp;$A80,実績!$AK$6:$AK$505,"○")&gt;0,1,0))</f>
        <v>0</v>
      </c>
      <c r="DN80" s="39" t="n">
        <f aca="false">IF(DN$4=0,0,IF(COUNTIFS(実績!$W$6:$W$505,DN$3,実績!$AI$6:$AI$505,"&lt;="&amp;$A80,実績!$AJ$6:$AJ$505,"&gt;"&amp;$A80,実績!$AK$6:$AK$505,"○")&gt;0,1,0))</f>
        <v>0</v>
      </c>
      <c r="DO80" s="39" t="n">
        <f aca="false">IF(DO$4=0,0,IF(COUNTIFS(実績!$W$6:$W$505,DO$3,実績!$AI$6:$AI$505,"&lt;="&amp;$A80,実績!$AJ$6:$AJ$505,"&gt;"&amp;$A80,実績!$AK$6:$AK$505,"○")&gt;0,1,0))</f>
        <v>0</v>
      </c>
      <c r="DP80" s="39" t="n">
        <f aca="false">IF(DP$4=0,0,IF(COUNTIFS(実績!$W$6:$W$505,DP$3,実績!$AI$6:$AI$505,"&lt;="&amp;$A80,実績!$AJ$6:$AJ$505,"&gt;"&amp;$A80,実績!$AK$6:$AK$505,"○")&gt;0,1,0))</f>
        <v>0</v>
      </c>
      <c r="DQ80" s="39" t="n">
        <f aca="false">IF(DQ$4=0,0,IF(COUNTIFS(実績!$W$6:$W$505,DQ$3,実績!$AI$6:$AI$505,"&lt;="&amp;$A80,実績!$AJ$6:$AJ$505,"&gt;"&amp;$A80,実績!$AK$6:$AK$505,"○")&gt;0,1,0))</f>
        <v>0</v>
      </c>
      <c r="DR80" s="39" t="n">
        <f aca="false">IF(DR$4=0,0,IF(COUNTIFS(実績!$W$6:$W$505,DR$3,実績!$AI$6:$AI$505,"&lt;="&amp;$A80,実績!$AJ$6:$AJ$505,"&gt;"&amp;$A80,実績!$AK$6:$AK$505,"○")&gt;0,1,0))</f>
        <v>0</v>
      </c>
      <c r="DS80" s="39" t="n">
        <f aca="false">SUM(C80:DR80)</f>
        <v>0</v>
      </c>
      <c r="DT80" s="39" t="n">
        <f aca="false">SUMPRODUCT((実績!$C$6:$C$505="○")*ISNUMBER(実績!$AM$6:$AM$505)*(実績!$AM$6:$AM$505&lt;=$A80)*(実績!$AN$6:$AN$505&gt;$A80))</f>
        <v>0</v>
      </c>
      <c r="DU80" s="39" t="n">
        <f aca="false">SUMIF($C$2:$DR$2,"製鉄曳船",C80:DR80)</f>
        <v>0</v>
      </c>
      <c r="DV80" s="39" t="n">
        <f aca="false">SUMIF($C$2:$DR$2,"西日本海運",C80:DR80)</f>
        <v>0</v>
      </c>
    </row>
    <row r="81" customFormat="false" ht="15" hidden="false" customHeight="false" outlineLevel="0" collapsed="false">
      <c r="A81" s="0" t="n">
        <v>375</v>
      </c>
      <c r="B81" s="38" t="n">
        <f aca="false">A81/1440</f>
        <v>0.260416666666667</v>
      </c>
      <c r="C81" s="39" t="n">
        <f aca="false">IF(C$4=0,0,IF(COUNTIFS(実績!$W$6:$W$505,C$3,実績!$AI$6:$AI$505,"&lt;="&amp;$A81,実績!$AJ$6:$AJ$505,"&gt;"&amp;$A81,実績!$AK$6:$AK$505,"○")&gt;0,1,0))</f>
        <v>0</v>
      </c>
      <c r="D81" s="39" t="n">
        <f aca="false">IF(D$4=0,0,IF(COUNTIFS(実績!$W$6:$W$505,D$3,実績!$AI$6:$AI$505,"&lt;="&amp;$A81,実績!$AJ$6:$AJ$505,"&gt;"&amp;$A81,実績!$AK$6:$AK$505,"○")&gt;0,1,0))</f>
        <v>0</v>
      </c>
      <c r="E81" s="39" t="n">
        <f aca="false">IF(E$4=0,0,IF(COUNTIFS(実績!$W$6:$W$505,E$3,実績!$AI$6:$AI$505,"&lt;="&amp;$A81,実績!$AJ$6:$AJ$505,"&gt;"&amp;$A81,実績!$AK$6:$AK$505,"○")&gt;0,1,0))</f>
        <v>0</v>
      </c>
      <c r="F81" s="39" t="n">
        <f aca="false">IF(F$4=0,0,IF(COUNTIFS(実績!$W$6:$W$505,F$3,実績!$AI$6:$AI$505,"&lt;="&amp;$A81,実績!$AJ$6:$AJ$505,"&gt;"&amp;$A81,実績!$AK$6:$AK$505,"○")&gt;0,1,0))</f>
        <v>0</v>
      </c>
      <c r="G81" s="39" t="n">
        <f aca="false">IF(G$4=0,0,IF(COUNTIFS(実績!$W$6:$W$505,G$3,実績!$AI$6:$AI$505,"&lt;="&amp;$A81,実績!$AJ$6:$AJ$505,"&gt;"&amp;$A81,実績!$AK$6:$AK$505,"○")&gt;0,1,0))</f>
        <v>0</v>
      </c>
      <c r="H81" s="39" t="n">
        <f aca="false">IF(H$4=0,0,IF(COUNTIFS(実績!$W$6:$W$505,H$3,実績!$AI$6:$AI$505,"&lt;="&amp;$A81,実績!$AJ$6:$AJ$505,"&gt;"&amp;$A81,実績!$AK$6:$AK$505,"○")&gt;0,1,0))</f>
        <v>0</v>
      </c>
      <c r="I81" s="39" t="n">
        <f aca="false">IF(I$4=0,0,IF(COUNTIFS(実績!$W$6:$W$505,I$3,実績!$AI$6:$AI$505,"&lt;="&amp;$A81,実績!$AJ$6:$AJ$505,"&gt;"&amp;$A81,実績!$AK$6:$AK$505,"○")&gt;0,1,0))</f>
        <v>0</v>
      </c>
      <c r="J81" s="39" t="n">
        <f aca="false">IF(J$4=0,0,IF(COUNTIFS(実績!$W$6:$W$505,J$3,実績!$AI$6:$AI$505,"&lt;="&amp;$A81,実績!$AJ$6:$AJ$505,"&gt;"&amp;$A81,実績!$AK$6:$AK$505,"○")&gt;0,1,0))</f>
        <v>0</v>
      </c>
      <c r="K81" s="39" t="n">
        <f aca="false">IF(K$4=0,0,IF(COUNTIFS(実績!$W$6:$W$505,K$3,実績!$AI$6:$AI$505,"&lt;="&amp;$A81,実績!$AJ$6:$AJ$505,"&gt;"&amp;$A81,実績!$AK$6:$AK$505,"○")&gt;0,1,0))</f>
        <v>0</v>
      </c>
      <c r="L81" s="39" t="n">
        <f aca="false">IF(L$4=0,0,IF(COUNTIFS(実績!$W$6:$W$505,L$3,実績!$AI$6:$AI$505,"&lt;="&amp;$A81,実績!$AJ$6:$AJ$505,"&gt;"&amp;$A81,実績!$AK$6:$AK$505,"○")&gt;0,1,0))</f>
        <v>0</v>
      </c>
      <c r="M81" s="39" t="n">
        <f aca="false">IF(M$4=0,0,IF(COUNTIFS(実績!$W$6:$W$505,M$3,実績!$AI$6:$AI$505,"&lt;="&amp;$A81,実績!$AJ$6:$AJ$505,"&gt;"&amp;$A81,実績!$AK$6:$AK$505,"○")&gt;0,1,0))</f>
        <v>0</v>
      </c>
      <c r="N81" s="39" t="n">
        <f aca="false">IF(N$4=0,0,IF(COUNTIFS(実績!$W$6:$W$505,N$3,実績!$AI$6:$AI$505,"&lt;="&amp;$A81,実績!$AJ$6:$AJ$505,"&gt;"&amp;$A81,実績!$AK$6:$AK$505,"○")&gt;0,1,0))</f>
        <v>0</v>
      </c>
      <c r="O81" s="39" t="n">
        <f aca="false">IF(O$4=0,0,IF(COUNTIFS(実績!$W$6:$W$505,O$3,実績!$AI$6:$AI$505,"&lt;="&amp;$A81,実績!$AJ$6:$AJ$505,"&gt;"&amp;$A81,実績!$AK$6:$AK$505,"○")&gt;0,1,0))</f>
        <v>0</v>
      </c>
      <c r="P81" s="39" t="n">
        <f aca="false">IF(P$4=0,0,IF(COUNTIFS(実績!$W$6:$W$505,P$3,実績!$AI$6:$AI$505,"&lt;="&amp;$A81,実績!$AJ$6:$AJ$505,"&gt;"&amp;$A81,実績!$AK$6:$AK$505,"○")&gt;0,1,0))</f>
        <v>0</v>
      </c>
      <c r="Q81" s="39" t="n">
        <f aca="false">IF(Q$4=0,0,IF(COUNTIFS(実績!$W$6:$W$505,Q$3,実績!$AI$6:$AI$505,"&lt;="&amp;$A81,実績!$AJ$6:$AJ$505,"&gt;"&amp;$A81,実績!$AK$6:$AK$505,"○")&gt;0,1,0))</f>
        <v>0</v>
      </c>
      <c r="R81" s="39" t="n">
        <f aca="false">IF(R$4=0,0,IF(COUNTIFS(実績!$W$6:$W$505,R$3,実績!$AI$6:$AI$505,"&lt;="&amp;$A81,実績!$AJ$6:$AJ$505,"&gt;"&amp;$A81,実績!$AK$6:$AK$505,"○")&gt;0,1,0))</f>
        <v>0</v>
      </c>
      <c r="S81" s="39" t="n">
        <f aca="false">IF(S$4=0,0,IF(COUNTIFS(実績!$W$6:$W$505,S$3,実績!$AI$6:$AI$505,"&lt;="&amp;$A81,実績!$AJ$6:$AJ$505,"&gt;"&amp;$A81,実績!$AK$6:$AK$505,"○")&gt;0,1,0))</f>
        <v>0</v>
      </c>
      <c r="T81" s="39" t="n">
        <f aca="false">IF(T$4=0,0,IF(COUNTIFS(実績!$W$6:$W$505,T$3,実績!$AI$6:$AI$505,"&lt;="&amp;$A81,実績!$AJ$6:$AJ$505,"&gt;"&amp;$A81,実績!$AK$6:$AK$505,"○")&gt;0,1,0))</f>
        <v>0</v>
      </c>
      <c r="U81" s="39" t="n">
        <f aca="false">IF(U$4=0,0,IF(COUNTIFS(実績!$W$6:$W$505,U$3,実績!$AI$6:$AI$505,"&lt;="&amp;$A81,実績!$AJ$6:$AJ$505,"&gt;"&amp;$A81,実績!$AK$6:$AK$505,"○")&gt;0,1,0))</f>
        <v>0</v>
      </c>
      <c r="V81" s="39" t="n">
        <f aca="false">IF(V$4=0,0,IF(COUNTIFS(実績!$W$6:$W$505,V$3,実績!$AI$6:$AI$505,"&lt;="&amp;$A81,実績!$AJ$6:$AJ$505,"&gt;"&amp;$A81,実績!$AK$6:$AK$505,"○")&gt;0,1,0))</f>
        <v>0</v>
      </c>
      <c r="W81" s="39" t="n">
        <f aca="false">IF(W$4=0,0,IF(COUNTIFS(実績!$W$6:$W$505,W$3,実績!$AI$6:$AI$505,"&lt;="&amp;$A81,実績!$AJ$6:$AJ$505,"&gt;"&amp;$A81,実績!$AK$6:$AK$505,"○")&gt;0,1,0))</f>
        <v>0</v>
      </c>
      <c r="X81" s="39" t="n">
        <f aca="false">IF(X$4=0,0,IF(COUNTIFS(実績!$W$6:$W$505,X$3,実績!$AI$6:$AI$505,"&lt;="&amp;$A81,実績!$AJ$6:$AJ$505,"&gt;"&amp;$A81,実績!$AK$6:$AK$505,"○")&gt;0,1,0))</f>
        <v>0</v>
      </c>
      <c r="Y81" s="39" t="n">
        <f aca="false">IF(Y$4=0,0,IF(COUNTIFS(実績!$W$6:$W$505,Y$3,実績!$AI$6:$AI$505,"&lt;="&amp;$A81,実績!$AJ$6:$AJ$505,"&gt;"&amp;$A81,実績!$AK$6:$AK$505,"○")&gt;0,1,0))</f>
        <v>0</v>
      </c>
      <c r="Z81" s="39" t="n">
        <f aca="false">IF(Z$4=0,0,IF(COUNTIFS(実績!$W$6:$W$505,Z$3,実績!$AI$6:$AI$505,"&lt;="&amp;$A81,実績!$AJ$6:$AJ$505,"&gt;"&amp;$A81,実績!$AK$6:$AK$505,"○")&gt;0,1,0))</f>
        <v>0</v>
      </c>
      <c r="AA81" s="39" t="n">
        <f aca="false">IF(AA$4=0,0,IF(COUNTIFS(実績!$W$6:$W$505,AA$3,実績!$AI$6:$AI$505,"&lt;="&amp;$A81,実績!$AJ$6:$AJ$505,"&gt;"&amp;$A81,実績!$AK$6:$AK$505,"○")&gt;0,1,0))</f>
        <v>0</v>
      </c>
      <c r="AB81" s="39" t="n">
        <f aca="false">IF(AB$4=0,0,IF(COUNTIFS(実績!$W$6:$W$505,AB$3,実績!$AI$6:$AI$505,"&lt;="&amp;$A81,実績!$AJ$6:$AJ$505,"&gt;"&amp;$A81,実績!$AK$6:$AK$505,"○")&gt;0,1,0))</f>
        <v>0</v>
      </c>
      <c r="AC81" s="39" t="n">
        <f aca="false">IF(AC$4=0,0,IF(COUNTIFS(実績!$W$6:$W$505,AC$3,実績!$AI$6:$AI$505,"&lt;="&amp;$A81,実績!$AJ$6:$AJ$505,"&gt;"&amp;$A81,実績!$AK$6:$AK$505,"○")&gt;0,1,0))</f>
        <v>0</v>
      </c>
      <c r="AD81" s="39" t="n">
        <f aca="false">IF(AD$4=0,0,IF(COUNTIFS(実績!$W$6:$W$505,AD$3,実績!$AI$6:$AI$505,"&lt;="&amp;$A81,実績!$AJ$6:$AJ$505,"&gt;"&amp;$A81,実績!$AK$6:$AK$505,"○")&gt;0,1,0))</f>
        <v>0</v>
      </c>
      <c r="AE81" s="39" t="n">
        <f aca="false">IF(AE$4=0,0,IF(COUNTIFS(実績!$W$6:$W$505,AE$3,実績!$AI$6:$AI$505,"&lt;="&amp;$A81,実績!$AJ$6:$AJ$505,"&gt;"&amp;$A81,実績!$AK$6:$AK$505,"○")&gt;0,1,0))</f>
        <v>0</v>
      </c>
      <c r="AF81" s="39" t="n">
        <f aca="false">IF(AF$4=0,0,IF(COUNTIFS(実績!$W$6:$W$505,AF$3,実績!$AI$6:$AI$505,"&lt;="&amp;$A81,実績!$AJ$6:$AJ$505,"&gt;"&amp;$A81,実績!$AK$6:$AK$505,"○")&gt;0,1,0))</f>
        <v>0</v>
      </c>
      <c r="AG81" s="39" t="n">
        <f aca="false">IF(AG$4=0,0,IF(COUNTIFS(実績!$W$6:$W$505,AG$3,実績!$AI$6:$AI$505,"&lt;="&amp;$A81,実績!$AJ$6:$AJ$505,"&gt;"&amp;$A81,実績!$AK$6:$AK$505,"○")&gt;0,1,0))</f>
        <v>0</v>
      </c>
      <c r="AH81" s="39" t="n">
        <f aca="false">IF(AH$4=0,0,IF(COUNTIFS(実績!$W$6:$W$505,AH$3,実績!$AI$6:$AI$505,"&lt;="&amp;$A81,実績!$AJ$6:$AJ$505,"&gt;"&amp;$A81,実績!$AK$6:$AK$505,"○")&gt;0,1,0))</f>
        <v>0</v>
      </c>
      <c r="AI81" s="39" t="n">
        <f aca="false">IF(AI$4=0,0,IF(COUNTIFS(実績!$W$6:$W$505,AI$3,実績!$AI$6:$AI$505,"&lt;="&amp;$A81,実績!$AJ$6:$AJ$505,"&gt;"&amp;$A81,実績!$AK$6:$AK$505,"○")&gt;0,1,0))</f>
        <v>0</v>
      </c>
      <c r="AJ81" s="39" t="n">
        <f aca="false">IF(AJ$4=0,0,IF(COUNTIFS(実績!$W$6:$W$505,AJ$3,実績!$AI$6:$AI$505,"&lt;="&amp;$A81,実績!$AJ$6:$AJ$505,"&gt;"&amp;$A81,実績!$AK$6:$AK$505,"○")&gt;0,1,0))</f>
        <v>0</v>
      </c>
      <c r="AK81" s="39" t="n">
        <f aca="false">IF(AK$4=0,0,IF(COUNTIFS(実績!$W$6:$W$505,AK$3,実績!$AI$6:$AI$505,"&lt;="&amp;$A81,実績!$AJ$6:$AJ$505,"&gt;"&amp;$A81,実績!$AK$6:$AK$505,"○")&gt;0,1,0))</f>
        <v>0</v>
      </c>
      <c r="AL81" s="39" t="n">
        <f aca="false">IF(AL$4=0,0,IF(COUNTIFS(実績!$W$6:$W$505,AL$3,実績!$AI$6:$AI$505,"&lt;="&amp;$A81,実績!$AJ$6:$AJ$505,"&gt;"&amp;$A81,実績!$AK$6:$AK$505,"○")&gt;0,1,0))</f>
        <v>0</v>
      </c>
      <c r="AM81" s="39" t="n">
        <f aca="false">IF(AM$4=0,0,IF(COUNTIFS(実績!$W$6:$W$505,AM$3,実績!$AI$6:$AI$505,"&lt;="&amp;$A81,実績!$AJ$6:$AJ$505,"&gt;"&amp;$A81,実績!$AK$6:$AK$505,"○")&gt;0,1,0))</f>
        <v>0</v>
      </c>
      <c r="AN81" s="39" t="n">
        <f aca="false">IF(AN$4=0,0,IF(COUNTIFS(実績!$W$6:$W$505,AN$3,実績!$AI$6:$AI$505,"&lt;="&amp;$A81,実績!$AJ$6:$AJ$505,"&gt;"&amp;$A81,実績!$AK$6:$AK$505,"○")&gt;0,1,0))</f>
        <v>0</v>
      </c>
      <c r="AO81" s="39" t="n">
        <f aca="false">IF(AO$4=0,0,IF(COUNTIFS(実績!$W$6:$W$505,AO$3,実績!$AI$6:$AI$505,"&lt;="&amp;$A81,実績!$AJ$6:$AJ$505,"&gt;"&amp;$A81,実績!$AK$6:$AK$505,"○")&gt;0,1,0))</f>
        <v>0</v>
      </c>
      <c r="AP81" s="39" t="n">
        <f aca="false">IF(AP$4=0,0,IF(COUNTIFS(実績!$W$6:$W$505,AP$3,実績!$AI$6:$AI$505,"&lt;="&amp;$A81,実績!$AJ$6:$AJ$505,"&gt;"&amp;$A81,実績!$AK$6:$AK$505,"○")&gt;0,1,0))</f>
        <v>0</v>
      </c>
      <c r="AQ81" s="39" t="n">
        <f aca="false">IF(AQ$4=0,0,IF(COUNTIFS(実績!$W$6:$W$505,AQ$3,実績!$AI$6:$AI$505,"&lt;="&amp;$A81,実績!$AJ$6:$AJ$505,"&gt;"&amp;$A81,実績!$AK$6:$AK$505,"○")&gt;0,1,0))</f>
        <v>0</v>
      </c>
      <c r="AR81" s="39" t="n">
        <f aca="false">IF(AR$4=0,0,IF(COUNTIFS(実績!$W$6:$W$505,AR$3,実績!$AI$6:$AI$505,"&lt;="&amp;$A81,実績!$AJ$6:$AJ$505,"&gt;"&amp;$A81,実績!$AK$6:$AK$505,"○")&gt;0,1,0))</f>
        <v>0</v>
      </c>
      <c r="AS81" s="39" t="n">
        <f aca="false">IF(AS$4=0,0,IF(COUNTIFS(実績!$W$6:$W$505,AS$3,実績!$AI$6:$AI$505,"&lt;="&amp;$A81,実績!$AJ$6:$AJ$505,"&gt;"&amp;$A81,実績!$AK$6:$AK$505,"○")&gt;0,1,0))</f>
        <v>0</v>
      </c>
      <c r="AT81" s="39" t="n">
        <f aca="false">IF(AT$4=0,0,IF(COUNTIFS(実績!$W$6:$W$505,AT$3,実績!$AI$6:$AI$505,"&lt;="&amp;$A81,実績!$AJ$6:$AJ$505,"&gt;"&amp;$A81,実績!$AK$6:$AK$505,"○")&gt;0,1,0))</f>
        <v>0</v>
      </c>
      <c r="AU81" s="39" t="n">
        <f aca="false">IF(AU$4=0,0,IF(COUNTIFS(実績!$W$6:$W$505,AU$3,実績!$AI$6:$AI$505,"&lt;="&amp;$A81,実績!$AJ$6:$AJ$505,"&gt;"&amp;$A81,実績!$AK$6:$AK$505,"○")&gt;0,1,0))</f>
        <v>0</v>
      </c>
      <c r="AV81" s="39" t="n">
        <f aca="false">IF(AV$4=0,0,IF(COUNTIFS(実績!$W$6:$W$505,AV$3,実績!$AI$6:$AI$505,"&lt;="&amp;$A81,実績!$AJ$6:$AJ$505,"&gt;"&amp;$A81,実績!$AK$6:$AK$505,"○")&gt;0,1,0))</f>
        <v>0</v>
      </c>
      <c r="AW81" s="39" t="n">
        <f aca="false">IF(AW$4=0,0,IF(COUNTIFS(実績!$W$6:$W$505,AW$3,実績!$AI$6:$AI$505,"&lt;="&amp;$A81,実績!$AJ$6:$AJ$505,"&gt;"&amp;$A81,実績!$AK$6:$AK$505,"○")&gt;0,1,0))</f>
        <v>0</v>
      </c>
      <c r="AX81" s="39" t="n">
        <f aca="false">IF(AX$4=0,0,IF(COUNTIFS(実績!$W$6:$W$505,AX$3,実績!$AI$6:$AI$505,"&lt;="&amp;$A81,実績!$AJ$6:$AJ$505,"&gt;"&amp;$A81,実績!$AK$6:$AK$505,"○")&gt;0,1,0))</f>
        <v>0</v>
      </c>
      <c r="AY81" s="39" t="n">
        <f aca="false">IF(AY$4=0,0,IF(COUNTIFS(実績!$W$6:$W$505,AY$3,実績!$AI$6:$AI$505,"&lt;="&amp;$A81,実績!$AJ$6:$AJ$505,"&gt;"&amp;$A81,実績!$AK$6:$AK$505,"○")&gt;0,1,0))</f>
        <v>0</v>
      </c>
      <c r="AZ81" s="39" t="n">
        <f aca="false">IF(AZ$4=0,0,IF(COUNTIFS(実績!$W$6:$W$505,AZ$3,実績!$AI$6:$AI$505,"&lt;="&amp;$A81,実績!$AJ$6:$AJ$505,"&gt;"&amp;$A81,実績!$AK$6:$AK$505,"○")&gt;0,1,0))</f>
        <v>0</v>
      </c>
      <c r="BA81" s="39" t="n">
        <f aca="false">IF(BA$4=0,0,IF(COUNTIFS(実績!$W$6:$W$505,BA$3,実績!$AI$6:$AI$505,"&lt;="&amp;$A81,実績!$AJ$6:$AJ$505,"&gt;"&amp;$A81,実績!$AK$6:$AK$505,"○")&gt;0,1,0))</f>
        <v>0</v>
      </c>
      <c r="BB81" s="39" t="n">
        <f aca="false">IF(BB$4=0,0,IF(COUNTIFS(実績!$W$6:$W$505,BB$3,実績!$AI$6:$AI$505,"&lt;="&amp;$A81,実績!$AJ$6:$AJ$505,"&gt;"&amp;$A81,実績!$AK$6:$AK$505,"○")&gt;0,1,0))</f>
        <v>0</v>
      </c>
      <c r="BC81" s="39" t="n">
        <f aca="false">IF(BC$4=0,0,IF(COUNTIFS(実績!$W$6:$W$505,BC$3,実績!$AI$6:$AI$505,"&lt;="&amp;$A81,実績!$AJ$6:$AJ$505,"&gt;"&amp;$A81,実績!$AK$6:$AK$505,"○")&gt;0,1,0))</f>
        <v>0</v>
      </c>
      <c r="BD81" s="39" t="n">
        <f aca="false">IF(BD$4=0,0,IF(COUNTIFS(実績!$W$6:$W$505,BD$3,実績!$AI$6:$AI$505,"&lt;="&amp;$A81,実績!$AJ$6:$AJ$505,"&gt;"&amp;$A81,実績!$AK$6:$AK$505,"○")&gt;0,1,0))</f>
        <v>0</v>
      </c>
      <c r="BE81" s="39" t="n">
        <f aca="false">IF(BE$4=0,0,IF(COUNTIFS(実績!$W$6:$W$505,BE$3,実績!$AI$6:$AI$505,"&lt;="&amp;$A81,実績!$AJ$6:$AJ$505,"&gt;"&amp;$A81,実績!$AK$6:$AK$505,"○")&gt;0,1,0))</f>
        <v>0</v>
      </c>
      <c r="BF81" s="39" t="n">
        <f aca="false">IF(BF$4=0,0,IF(COUNTIFS(実績!$W$6:$W$505,BF$3,実績!$AI$6:$AI$505,"&lt;="&amp;$A81,実績!$AJ$6:$AJ$505,"&gt;"&amp;$A81,実績!$AK$6:$AK$505,"○")&gt;0,1,0))</f>
        <v>0</v>
      </c>
      <c r="BG81" s="39" t="n">
        <f aca="false">IF(BG$4=0,0,IF(COUNTIFS(実績!$W$6:$W$505,BG$3,実績!$AI$6:$AI$505,"&lt;="&amp;$A81,実績!$AJ$6:$AJ$505,"&gt;"&amp;$A81,実績!$AK$6:$AK$505,"○")&gt;0,1,0))</f>
        <v>0</v>
      </c>
      <c r="BH81" s="39" t="n">
        <f aca="false">IF(BH$4=0,0,IF(COUNTIFS(実績!$W$6:$W$505,BH$3,実績!$AI$6:$AI$505,"&lt;="&amp;$A81,実績!$AJ$6:$AJ$505,"&gt;"&amp;$A81,実績!$AK$6:$AK$505,"○")&gt;0,1,0))</f>
        <v>0</v>
      </c>
      <c r="BI81" s="39" t="n">
        <f aca="false">IF(BI$4=0,0,IF(COUNTIFS(実績!$W$6:$W$505,BI$3,実績!$AI$6:$AI$505,"&lt;="&amp;$A81,実績!$AJ$6:$AJ$505,"&gt;"&amp;$A81,実績!$AK$6:$AK$505,"○")&gt;0,1,0))</f>
        <v>0</v>
      </c>
      <c r="BJ81" s="39" t="n">
        <f aca="false">IF(BJ$4=0,0,IF(COUNTIFS(実績!$W$6:$W$505,BJ$3,実績!$AI$6:$AI$505,"&lt;="&amp;$A81,実績!$AJ$6:$AJ$505,"&gt;"&amp;$A81,実績!$AK$6:$AK$505,"○")&gt;0,1,0))</f>
        <v>0</v>
      </c>
      <c r="BK81" s="39" t="n">
        <f aca="false">IF(BK$4=0,0,IF(COUNTIFS(実績!$W$6:$W$505,BK$3,実績!$AI$6:$AI$505,"&lt;="&amp;$A81,実績!$AJ$6:$AJ$505,"&gt;"&amp;$A81,実績!$AK$6:$AK$505,"○")&gt;0,1,0))</f>
        <v>0</v>
      </c>
      <c r="BL81" s="39" t="n">
        <f aca="false">IF(BL$4=0,0,IF(COUNTIFS(実績!$W$6:$W$505,BL$3,実績!$AI$6:$AI$505,"&lt;="&amp;$A81,実績!$AJ$6:$AJ$505,"&gt;"&amp;$A81,実績!$AK$6:$AK$505,"○")&gt;0,1,0))</f>
        <v>0</v>
      </c>
      <c r="BM81" s="39" t="n">
        <f aca="false">IF(BM$4=0,0,IF(COUNTIFS(実績!$W$6:$W$505,BM$3,実績!$AI$6:$AI$505,"&lt;="&amp;$A81,実績!$AJ$6:$AJ$505,"&gt;"&amp;$A81,実績!$AK$6:$AK$505,"○")&gt;0,1,0))</f>
        <v>0</v>
      </c>
      <c r="BN81" s="39" t="n">
        <f aca="false">IF(BN$4=0,0,IF(COUNTIFS(実績!$W$6:$W$505,BN$3,実績!$AI$6:$AI$505,"&lt;="&amp;$A81,実績!$AJ$6:$AJ$505,"&gt;"&amp;$A81,実績!$AK$6:$AK$505,"○")&gt;0,1,0))</f>
        <v>0</v>
      </c>
      <c r="BO81" s="39" t="n">
        <f aca="false">IF(BO$4=0,0,IF(COUNTIFS(実績!$W$6:$W$505,BO$3,実績!$AI$6:$AI$505,"&lt;="&amp;$A81,実績!$AJ$6:$AJ$505,"&gt;"&amp;$A81,実績!$AK$6:$AK$505,"○")&gt;0,1,0))</f>
        <v>0</v>
      </c>
      <c r="BP81" s="39" t="n">
        <f aca="false">IF(BP$4=0,0,IF(COUNTIFS(実績!$W$6:$W$505,BP$3,実績!$AI$6:$AI$505,"&lt;="&amp;$A81,実績!$AJ$6:$AJ$505,"&gt;"&amp;$A81,実績!$AK$6:$AK$505,"○")&gt;0,1,0))</f>
        <v>0</v>
      </c>
      <c r="BQ81" s="39" t="n">
        <f aca="false">IF(BQ$4=0,0,IF(COUNTIFS(実績!$W$6:$W$505,BQ$3,実績!$AI$6:$AI$505,"&lt;="&amp;$A81,実績!$AJ$6:$AJ$505,"&gt;"&amp;$A81,実績!$AK$6:$AK$505,"○")&gt;0,1,0))</f>
        <v>0</v>
      </c>
      <c r="BR81" s="39" t="n">
        <f aca="false">IF(BR$4=0,0,IF(COUNTIFS(実績!$W$6:$W$505,BR$3,実績!$AI$6:$AI$505,"&lt;="&amp;$A81,実績!$AJ$6:$AJ$505,"&gt;"&amp;$A81,実績!$AK$6:$AK$505,"○")&gt;0,1,0))</f>
        <v>0</v>
      </c>
      <c r="BS81" s="39" t="n">
        <f aca="false">IF(BS$4=0,0,IF(COUNTIFS(実績!$W$6:$W$505,BS$3,実績!$AI$6:$AI$505,"&lt;="&amp;$A81,実績!$AJ$6:$AJ$505,"&gt;"&amp;$A81,実績!$AK$6:$AK$505,"○")&gt;0,1,0))</f>
        <v>0</v>
      </c>
      <c r="BT81" s="39" t="n">
        <f aca="false">IF(BT$4=0,0,IF(COUNTIFS(実績!$W$6:$W$505,BT$3,実績!$AI$6:$AI$505,"&lt;="&amp;$A81,実績!$AJ$6:$AJ$505,"&gt;"&amp;$A81,実績!$AK$6:$AK$505,"○")&gt;0,1,0))</f>
        <v>0</v>
      </c>
      <c r="BU81" s="39" t="n">
        <f aca="false">IF(BU$4=0,0,IF(COUNTIFS(実績!$W$6:$W$505,BU$3,実績!$AI$6:$AI$505,"&lt;="&amp;$A81,実績!$AJ$6:$AJ$505,"&gt;"&amp;$A81,実績!$AK$6:$AK$505,"○")&gt;0,1,0))</f>
        <v>0</v>
      </c>
      <c r="BV81" s="39" t="n">
        <f aca="false">IF(BV$4=0,0,IF(COUNTIFS(実績!$W$6:$W$505,BV$3,実績!$AI$6:$AI$505,"&lt;="&amp;$A81,実績!$AJ$6:$AJ$505,"&gt;"&amp;$A81,実績!$AK$6:$AK$505,"○")&gt;0,1,0))</f>
        <v>0</v>
      </c>
      <c r="BW81" s="39" t="n">
        <f aca="false">IF(BW$4=0,0,IF(COUNTIFS(実績!$W$6:$W$505,BW$3,実績!$AI$6:$AI$505,"&lt;="&amp;$A81,実績!$AJ$6:$AJ$505,"&gt;"&amp;$A81,実績!$AK$6:$AK$505,"○")&gt;0,1,0))</f>
        <v>0</v>
      </c>
      <c r="BX81" s="39" t="n">
        <f aca="false">IF(BX$4=0,0,IF(COUNTIFS(実績!$W$6:$W$505,BX$3,実績!$AI$6:$AI$505,"&lt;="&amp;$A81,実績!$AJ$6:$AJ$505,"&gt;"&amp;$A81,実績!$AK$6:$AK$505,"○")&gt;0,1,0))</f>
        <v>0</v>
      </c>
      <c r="BY81" s="39" t="n">
        <f aca="false">IF(BY$4=0,0,IF(COUNTIFS(実績!$W$6:$W$505,BY$3,実績!$AI$6:$AI$505,"&lt;="&amp;$A81,実績!$AJ$6:$AJ$505,"&gt;"&amp;$A81,実績!$AK$6:$AK$505,"○")&gt;0,1,0))</f>
        <v>0</v>
      </c>
      <c r="BZ81" s="39" t="n">
        <f aca="false">IF(BZ$4=0,0,IF(COUNTIFS(実績!$W$6:$W$505,BZ$3,実績!$AI$6:$AI$505,"&lt;="&amp;$A81,実績!$AJ$6:$AJ$505,"&gt;"&amp;$A81,実績!$AK$6:$AK$505,"○")&gt;0,1,0))</f>
        <v>0</v>
      </c>
      <c r="CA81" s="39" t="n">
        <f aca="false">IF(CA$4=0,0,IF(COUNTIFS(実績!$W$6:$W$505,CA$3,実績!$AI$6:$AI$505,"&lt;="&amp;$A81,実績!$AJ$6:$AJ$505,"&gt;"&amp;$A81,実績!$AK$6:$AK$505,"○")&gt;0,1,0))</f>
        <v>0</v>
      </c>
      <c r="CB81" s="39" t="n">
        <f aca="false">IF(CB$4=0,0,IF(COUNTIFS(実績!$W$6:$W$505,CB$3,実績!$AI$6:$AI$505,"&lt;="&amp;$A81,実績!$AJ$6:$AJ$505,"&gt;"&amp;$A81,実績!$AK$6:$AK$505,"○")&gt;0,1,0))</f>
        <v>0</v>
      </c>
      <c r="CC81" s="39" t="n">
        <f aca="false">IF(CC$4=0,0,IF(COUNTIFS(実績!$W$6:$W$505,CC$3,実績!$AI$6:$AI$505,"&lt;="&amp;$A81,実績!$AJ$6:$AJ$505,"&gt;"&amp;$A81,実績!$AK$6:$AK$505,"○")&gt;0,1,0))</f>
        <v>0</v>
      </c>
      <c r="CD81" s="39" t="n">
        <f aca="false">IF(CD$4=0,0,IF(COUNTIFS(実績!$W$6:$W$505,CD$3,実績!$AI$6:$AI$505,"&lt;="&amp;$A81,実績!$AJ$6:$AJ$505,"&gt;"&amp;$A81,実績!$AK$6:$AK$505,"○")&gt;0,1,0))</f>
        <v>0</v>
      </c>
      <c r="CE81" s="39" t="n">
        <f aca="false">IF(CE$4=0,0,IF(COUNTIFS(実績!$W$6:$W$505,CE$3,実績!$AI$6:$AI$505,"&lt;="&amp;$A81,実績!$AJ$6:$AJ$505,"&gt;"&amp;$A81,実績!$AK$6:$AK$505,"○")&gt;0,1,0))</f>
        <v>0</v>
      </c>
      <c r="CF81" s="39" t="n">
        <f aca="false">IF(CF$4=0,0,IF(COUNTIFS(実績!$W$6:$W$505,CF$3,実績!$AI$6:$AI$505,"&lt;="&amp;$A81,実績!$AJ$6:$AJ$505,"&gt;"&amp;$A81,実績!$AK$6:$AK$505,"○")&gt;0,1,0))</f>
        <v>0</v>
      </c>
      <c r="CG81" s="39" t="n">
        <f aca="false">IF(CG$4=0,0,IF(COUNTIFS(実績!$W$6:$W$505,CG$3,実績!$AI$6:$AI$505,"&lt;="&amp;$A81,実績!$AJ$6:$AJ$505,"&gt;"&amp;$A81,実績!$AK$6:$AK$505,"○")&gt;0,1,0))</f>
        <v>0</v>
      </c>
      <c r="CH81" s="39" t="n">
        <f aca="false">IF(CH$4=0,0,IF(COUNTIFS(実績!$W$6:$W$505,CH$3,実績!$AI$6:$AI$505,"&lt;="&amp;$A81,実績!$AJ$6:$AJ$505,"&gt;"&amp;$A81,実績!$AK$6:$AK$505,"○")&gt;0,1,0))</f>
        <v>0</v>
      </c>
      <c r="CI81" s="39" t="n">
        <f aca="false">IF(CI$4=0,0,IF(COUNTIFS(実績!$W$6:$W$505,CI$3,実績!$AI$6:$AI$505,"&lt;="&amp;$A81,実績!$AJ$6:$AJ$505,"&gt;"&amp;$A81,実績!$AK$6:$AK$505,"○")&gt;0,1,0))</f>
        <v>0</v>
      </c>
      <c r="CJ81" s="39" t="n">
        <f aca="false">IF(CJ$4=0,0,IF(COUNTIFS(実績!$W$6:$W$505,CJ$3,実績!$AI$6:$AI$505,"&lt;="&amp;$A81,実績!$AJ$6:$AJ$505,"&gt;"&amp;$A81,実績!$AK$6:$AK$505,"○")&gt;0,1,0))</f>
        <v>0</v>
      </c>
      <c r="CK81" s="39" t="n">
        <f aca="false">IF(CK$4=0,0,IF(COUNTIFS(実績!$W$6:$W$505,CK$3,実績!$AI$6:$AI$505,"&lt;="&amp;$A81,実績!$AJ$6:$AJ$505,"&gt;"&amp;$A81,実績!$AK$6:$AK$505,"○")&gt;0,1,0))</f>
        <v>0</v>
      </c>
      <c r="CL81" s="39" t="n">
        <f aca="false">IF(CL$4=0,0,IF(COUNTIFS(実績!$W$6:$W$505,CL$3,実績!$AI$6:$AI$505,"&lt;="&amp;$A81,実績!$AJ$6:$AJ$505,"&gt;"&amp;$A81,実績!$AK$6:$AK$505,"○")&gt;0,1,0))</f>
        <v>0</v>
      </c>
      <c r="CM81" s="39" t="n">
        <f aca="false">IF(CM$4=0,0,IF(COUNTIFS(実績!$W$6:$W$505,CM$3,実績!$AI$6:$AI$505,"&lt;="&amp;$A81,実績!$AJ$6:$AJ$505,"&gt;"&amp;$A81,実績!$AK$6:$AK$505,"○")&gt;0,1,0))</f>
        <v>0</v>
      </c>
      <c r="CN81" s="39" t="n">
        <f aca="false">IF(CN$4=0,0,IF(COUNTIFS(実績!$W$6:$W$505,CN$3,実績!$AI$6:$AI$505,"&lt;="&amp;$A81,実績!$AJ$6:$AJ$505,"&gt;"&amp;$A81,実績!$AK$6:$AK$505,"○")&gt;0,1,0))</f>
        <v>0</v>
      </c>
      <c r="CO81" s="39" t="n">
        <f aca="false">IF(CO$4=0,0,IF(COUNTIFS(実績!$W$6:$W$505,CO$3,実績!$AI$6:$AI$505,"&lt;="&amp;$A81,実績!$AJ$6:$AJ$505,"&gt;"&amp;$A81,実績!$AK$6:$AK$505,"○")&gt;0,1,0))</f>
        <v>0</v>
      </c>
      <c r="CP81" s="39" t="n">
        <f aca="false">IF(CP$4=0,0,IF(COUNTIFS(実績!$W$6:$W$505,CP$3,実績!$AI$6:$AI$505,"&lt;="&amp;$A81,実績!$AJ$6:$AJ$505,"&gt;"&amp;$A81,実績!$AK$6:$AK$505,"○")&gt;0,1,0))</f>
        <v>0</v>
      </c>
      <c r="CQ81" s="39" t="n">
        <f aca="false">IF(CQ$4=0,0,IF(COUNTIFS(実績!$W$6:$W$505,CQ$3,実績!$AI$6:$AI$505,"&lt;="&amp;$A81,実績!$AJ$6:$AJ$505,"&gt;"&amp;$A81,実績!$AK$6:$AK$505,"○")&gt;0,1,0))</f>
        <v>0</v>
      </c>
      <c r="CR81" s="39" t="n">
        <f aca="false">IF(CR$4=0,0,IF(COUNTIFS(実績!$W$6:$W$505,CR$3,実績!$AI$6:$AI$505,"&lt;="&amp;$A81,実績!$AJ$6:$AJ$505,"&gt;"&amp;$A81,実績!$AK$6:$AK$505,"○")&gt;0,1,0))</f>
        <v>0</v>
      </c>
      <c r="CS81" s="39" t="n">
        <f aca="false">IF(CS$4=0,0,IF(COUNTIFS(実績!$W$6:$W$505,CS$3,実績!$AI$6:$AI$505,"&lt;="&amp;$A81,実績!$AJ$6:$AJ$505,"&gt;"&amp;$A81,実績!$AK$6:$AK$505,"○")&gt;0,1,0))</f>
        <v>0</v>
      </c>
      <c r="CT81" s="39" t="n">
        <f aca="false">IF(CT$4=0,0,IF(COUNTIFS(実績!$W$6:$W$505,CT$3,実績!$AI$6:$AI$505,"&lt;="&amp;$A81,実績!$AJ$6:$AJ$505,"&gt;"&amp;$A81,実績!$AK$6:$AK$505,"○")&gt;0,1,0))</f>
        <v>0</v>
      </c>
      <c r="CU81" s="39" t="n">
        <f aca="false">IF(CU$4=0,0,IF(COUNTIFS(実績!$W$6:$W$505,CU$3,実績!$AI$6:$AI$505,"&lt;="&amp;$A81,実績!$AJ$6:$AJ$505,"&gt;"&amp;$A81,実績!$AK$6:$AK$505,"○")&gt;0,1,0))</f>
        <v>0</v>
      </c>
      <c r="CV81" s="39" t="n">
        <f aca="false">IF(CV$4=0,0,IF(COUNTIFS(実績!$W$6:$W$505,CV$3,実績!$AI$6:$AI$505,"&lt;="&amp;$A81,実績!$AJ$6:$AJ$505,"&gt;"&amp;$A81,実績!$AK$6:$AK$505,"○")&gt;0,1,0))</f>
        <v>0</v>
      </c>
      <c r="CW81" s="39" t="n">
        <f aca="false">IF(CW$4=0,0,IF(COUNTIFS(実績!$W$6:$W$505,CW$3,実績!$AI$6:$AI$505,"&lt;="&amp;$A81,実績!$AJ$6:$AJ$505,"&gt;"&amp;$A81,実績!$AK$6:$AK$505,"○")&gt;0,1,0))</f>
        <v>0</v>
      </c>
      <c r="CX81" s="39" t="n">
        <f aca="false">IF(CX$4=0,0,IF(COUNTIFS(実績!$W$6:$W$505,CX$3,実績!$AI$6:$AI$505,"&lt;="&amp;$A81,実績!$AJ$6:$AJ$505,"&gt;"&amp;$A81,実績!$AK$6:$AK$505,"○")&gt;0,1,0))</f>
        <v>0</v>
      </c>
      <c r="CY81" s="39" t="n">
        <f aca="false">IF(CY$4=0,0,IF(COUNTIFS(実績!$W$6:$W$505,CY$3,実績!$AI$6:$AI$505,"&lt;="&amp;$A81,実績!$AJ$6:$AJ$505,"&gt;"&amp;$A81,実績!$AK$6:$AK$505,"○")&gt;0,1,0))</f>
        <v>0</v>
      </c>
      <c r="CZ81" s="39" t="n">
        <f aca="false">IF(CZ$4=0,0,IF(COUNTIFS(実績!$W$6:$W$505,CZ$3,実績!$AI$6:$AI$505,"&lt;="&amp;$A81,実績!$AJ$6:$AJ$505,"&gt;"&amp;$A81,実績!$AK$6:$AK$505,"○")&gt;0,1,0))</f>
        <v>0</v>
      </c>
      <c r="DA81" s="39" t="n">
        <f aca="false">IF(DA$4=0,0,IF(COUNTIFS(実績!$W$6:$W$505,DA$3,実績!$AI$6:$AI$505,"&lt;="&amp;$A81,実績!$AJ$6:$AJ$505,"&gt;"&amp;$A81,実績!$AK$6:$AK$505,"○")&gt;0,1,0))</f>
        <v>0</v>
      </c>
      <c r="DB81" s="39" t="n">
        <f aca="false">IF(DB$4=0,0,IF(COUNTIFS(実績!$W$6:$W$505,DB$3,実績!$AI$6:$AI$505,"&lt;="&amp;$A81,実績!$AJ$6:$AJ$505,"&gt;"&amp;$A81,実績!$AK$6:$AK$505,"○")&gt;0,1,0))</f>
        <v>0</v>
      </c>
      <c r="DC81" s="39" t="n">
        <f aca="false">IF(DC$4=0,0,IF(COUNTIFS(実績!$W$6:$W$505,DC$3,実績!$AI$6:$AI$505,"&lt;="&amp;$A81,実績!$AJ$6:$AJ$505,"&gt;"&amp;$A81,実績!$AK$6:$AK$505,"○")&gt;0,1,0))</f>
        <v>0</v>
      </c>
      <c r="DD81" s="39" t="n">
        <f aca="false">IF(DD$4=0,0,IF(COUNTIFS(実績!$W$6:$W$505,DD$3,実績!$AI$6:$AI$505,"&lt;="&amp;$A81,実績!$AJ$6:$AJ$505,"&gt;"&amp;$A81,実績!$AK$6:$AK$505,"○")&gt;0,1,0))</f>
        <v>0</v>
      </c>
      <c r="DE81" s="39" t="n">
        <f aca="false">IF(DE$4=0,0,IF(COUNTIFS(実績!$W$6:$W$505,DE$3,実績!$AI$6:$AI$505,"&lt;="&amp;$A81,実績!$AJ$6:$AJ$505,"&gt;"&amp;$A81,実績!$AK$6:$AK$505,"○")&gt;0,1,0))</f>
        <v>0</v>
      </c>
      <c r="DF81" s="39" t="n">
        <f aca="false">IF(DF$4=0,0,IF(COUNTIFS(実績!$W$6:$W$505,DF$3,実績!$AI$6:$AI$505,"&lt;="&amp;$A81,実績!$AJ$6:$AJ$505,"&gt;"&amp;$A81,実績!$AK$6:$AK$505,"○")&gt;0,1,0))</f>
        <v>0</v>
      </c>
      <c r="DG81" s="39" t="n">
        <f aca="false">IF(DG$4=0,0,IF(COUNTIFS(実績!$W$6:$W$505,DG$3,実績!$AI$6:$AI$505,"&lt;="&amp;$A81,実績!$AJ$6:$AJ$505,"&gt;"&amp;$A81,実績!$AK$6:$AK$505,"○")&gt;0,1,0))</f>
        <v>0</v>
      </c>
      <c r="DH81" s="39" t="n">
        <f aca="false">IF(DH$4=0,0,IF(COUNTIFS(実績!$W$6:$W$505,DH$3,実績!$AI$6:$AI$505,"&lt;="&amp;$A81,実績!$AJ$6:$AJ$505,"&gt;"&amp;$A81,実績!$AK$6:$AK$505,"○")&gt;0,1,0))</f>
        <v>0</v>
      </c>
      <c r="DI81" s="39" t="n">
        <f aca="false">IF(DI$4=0,0,IF(COUNTIFS(実績!$W$6:$W$505,DI$3,実績!$AI$6:$AI$505,"&lt;="&amp;$A81,実績!$AJ$6:$AJ$505,"&gt;"&amp;$A81,実績!$AK$6:$AK$505,"○")&gt;0,1,0))</f>
        <v>0</v>
      </c>
      <c r="DJ81" s="39" t="n">
        <f aca="false">IF(DJ$4=0,0,IF(COUNTIFS(実績!$W$6:$W$505,DJ$3,実績!$AI$6:$AI$505,"&lt;="&amp;$A81,実績!$AJ$6:$AJ$505,"&gt;"&amp;$A81,実績!$AK$6:$AK$505,"○")&gt;0,1,0))</f>
        <v>0</v>
      </c>
      <c r="DK81" s="39" t="n">
        <f aca="false">IF(DK$4=0,0,IF(COUNTIFS(実績!$W$6:$W$505,DK$3,実績!$AI$6:$AI$505,"&lt;="&amp;$A81,実績!$AJ$6:$AJ$505,"&gt;"&amp;$A81,実績!$AK$6:$AK$505,"○")&gt;0,1,0))</f>
        <v>0</v>
      </c>
      <c r="DL81" s="39" t="n">
        <f aca="false">IF(DL$4=0,0,IF(COUNTIFS(実績!$W$6:$W$505,DL$3,実績!$AI$6:$AI$505,"&lt;="&amp;$A81,実績!$AJ$6:$AJ$505,"&gt;"&amp;$A81,実績!$AK$6:$AK$505,"○")&gt;0,1,0))</f>
        <v>0</v>
      </c>
      <c r="DM81" s="39" t="n">
        <f aca="false">IF(DM$4=0,0,IF(COUNTIFS(実績!$W$6:$W$505,DM$3,実績!$AI$6:$AI$505,"&lt;="&amp;$A81,実績!$AJ$6:$AJ$505,"&gt;"&amp;$A81,実績!$AK$6:$AK$505,"○")&gt;0,1,0))</f>
        <v>0</v>
      </c>
      <c r="DN81" s="39" t="n">
        <f aca="false">IF(DN$4=0,0,IF(COUNTIFS(実績!$W$6:$W$505,DN$3,実績!$AI$6:$AI$505,"&lt;="&amp;$A81,実績!$AJ$6:$AJ$505,"&gt;"&amp;$A81,実績!$AK$6:$AK$505,"○")&gt;0,1,0))</f>
        <v>0</v>
      </c>
      <c r="DO81" s="39" t="n">
        <f aca="false">IF(DO$4=0,0,IF(COUNTIFS(実績!$W$6:$W$505,DO$3,実績!$AI$6:$AI$505,"&lt;="&amp;$A81,実績!$AJ$6:$AJ$505,"&gt;"&amp;$A81,実績!$AK$6:$AK$505,"○")&gt;0,1,0))</f>
        <v>0</v>
      </c>
      <c r="DP81" s="39" t="n">
        <f aca="false">IF(DP$4=0,0,IF(COUNTIFS(実績!$W$6:$W$505,DP$3,実績!$AI$6:$AI$505,"&lt;="&amp;$A81,実績!$AJ$6:$AJ$505,"&gt;"&amp;$A81,実績!$AK$6:$AK$505,"○")&gt;0,1,0))</f>
        <v>0</v>
      </c>
      <c r="DQ81" s="39" t="n">
        <f aca="false">IF(DQ$4=0,0,IF(COUNTIFS(実績!$W$6:$W$505,DQ$3,実績!$AI$6:$AI$505,"&lt;="&amp;$A81,実績!$AJ$6:$AJ$505,"&gt;"&amp;$A81,実績!$AK$6:$AK$505,"○")&gt;0,1,0))</f>
        <v>0</v>
      </c>
      <c r="DR81" s="39" t="n">
        <f aca="false">IF(DR$4=0,0,IF(COUNTIFS(実績!$W$6:$W$505,DR$3,実績!$AI$6:$AI$505,"&lt;="&amp;$A81,実績!$AJ$6:$AJ$505,"&gt;"&amp;$A81,実績!$AK$6:$AK$505,"○")&gt;0,1,0))</f>
        <v>0</v>
      </c>
      <c r="DS81" s="39" t="n">
        <f aca="false">SUM(C81:DR81)</f>
        <v>0</v>
      </c>
      <c r="DT81" s="39" t="n">
        <f aca="false">SUMPRODUCT((実績!$C$6:$C$505="○")*ISNUMBER(実績!$AM$6:$AM$505)*(実績!$AM$6:$AM$505&lt;=$A81)*(実績!$AN$6:$AN$505&gt;$A81))</f>
        <v>0</v>
      </c>
      <c r="DU81" s="39" t="n">
        <f aca="false">SUMIF($C$2:$DR$2,"製鉄曳船",C81:DR81)</f>
        <v>0</v>
      </c>
      <c r="DV81" s="39" t="n">
        <f aca="false">SUMIF($C$2:$DR$2,"西日本海運",C81:DR81)</f>
        <v>0</v>
      </c>
    </row>
    <row r="82" customFormat="false" ht="15" hidden="false" customHeight="false" outlineLevel="0" collapsed="false">
      <c r="A82" s="0" t="n">
        <v>380</v>
      </c>
      <c r="B82" s="38" t="n">
        <f aca="false">A82/1440</f>
        <v>0.263888888888889</v>
      </c>
      <c r="C82" s="39" t="n">
        <f aca="false">IF(C$4=0,0,IF(COUNTIFS(実績!$W$6:$W$505,C$3,実績!$AI$6:$AI$505,"&lt;="&amp;$A82,実績!$AJ$6:$AJ$505,"&gt;"&amp;$A82,実績!$AK$6:$AK$505,"○")&gt;0,1,0))</f>
        <v>0</v>
      </c>
      <c r="D82" s="39" t="n">
        <f aca="false">IF(D$4=0,0,IF(COUNTIFS(実績!$W$6:$W$505,D$3,実績!$AI$6:$AI$505,"&lt;="&amp;$A82,実績!$AJ$6:$AJ$505,"&gt;"&amp;$A82,実績!$AK$6:$AK$505,"○")&gt;0,1,0))</f>
        <v>0</v>
      </c>
      <c r="E82" s="39" t="n">
        <f aca="false">IF(E$4=0,0,IF(COUNTIFS(実績!$W$6:$W$505,E$3,実績!$AI$6:$AI$505,"&lt;="&amp;$A82,実績!$AJ$6:$AJ$505,"&gt;"&amp;$A82,実績!$AK$6:$AK$505,"○")&gt;0,1,0))</f>
        <v>0</v>
      </c>
      <c r="F82" s="39" t="n">
        <f aca="false">IF(F$4=0,0,IF(COUNTIFS(実績!$W$6:$W$505,F$3,実績!$AI$6:$AI$505,"&lt;="&amp;$A82,実績!$AJ$6:$AJ$505,"&gt;"&amp;$A82,実績!$AK$6:$AK$505,"○")&gt;0,1,0))</f>
        <v>0</v>
      </c>
      <c r="G82" s="39" t="n">
        <f aca="false">IF(G$4=0,0,IF(COUNTIFS(実績!$W$6:$W$505,G$3,実績!$AI$6:$AI$505,"&lt;="&amp;$A82,実績!$AJ$6:$AJ$505,"&gt;"&amp;$A82,実績!$AK$6:$AK$505,"○")&gt;0,1,0))</f>
        <v>0</v>
      </c>
      <c r="H82" s="39" t="n">
        <f aca="false">IF(H$4=0,0,IF(COUNTIFS(実績!$W$6:$W$505,H$3,実績!$AI$6:$AI$505,"&lt;="&amp;$A82,実績!$AJ$6:$AJ$505,"&gt;"&amp;$A82,実績!$AK$6:$AK$505,"○")&gt;0,1,0))</f>
        <v>0</v>
      </c>
      <c r="I82" s="39" t="n">
        <f aca="false">IF(I$4=0,0,IF(COUNTIFS(実績!$W$6:$W$505,I$3,実績!$AI$6:$AI$505,"&lt;="&amp;$A82,実績!$AJ$6:$AJ$505,"&gt;"&amp;$A82,実績!$AK$6:$AK$505,"○")&gt;0,1,0))</f>
        <v>0</v>
      </c>
      <c r="J82" s="39" t="n">
        <f aca="false">IF(J$4=0,0,IF(COUNTIFS(実績!$W$6:$W$505,J$3,実績!$AI$6:$AI$505,"&lt;="&amp;$A82,実績!$AJ$6:$AJ$505,"&gt;"&amp;$A82,実績!$AK$6:$AK$505,"○")&gt;0,1,0))</f>
        <v>0</v>
      </c>
      <c r="K82" s="39" t="n">
        <f aca="false">IF(K$4=0,0,IF(COUNTIFS(実績!$W$6:$W$505,K$3,実績!$AI$6:$AI$505,"&lt;="&amp;$A82,実績!$AJ$6:$AJ$505,"&gt;"&amp;$A82,実績!$AK$6:$AK$505,"○")&gt;0,1,0))</f>
        <v>0</v>
      </c>
      <c r="L82" s="39" t="n">
        <f aca="false">IF(L$4=0,0,IF(COUNTIFS(実績!$W$6:$W$505,L$3,実績!$AI$6:$AI$505,"&lt;="&amp;$A82,実績!$AJ$6:$AJ$505,"&gt;"&amp;$A82,実績!$AK$6:$AK$505,"○")&gt;0,1,0))</f>
        <v>0</v>
      </c>
      <c r="M82" s="39" t="n">
        <f aca="false">IF(M$4=0,0,IF(COUNTIFS(実績!$W$6:$W$505,M$3,実績!$AI$6:$AI$505,"&lt;="&amp;$A82,実績!$AJ$6:$AJ$505,"&gt;"&amp;$A82,実績!$AK$6:$AK$505,"○")&gt;0,1,0))</f>
        <v>0</v>
      </c>
      <c r="N82" s="39" t="n">
        <f aca="false">IF(N$4=0,0,IF(COUNTIFS(実績!$W$6:$W$505,N$3,実績!$AI$6:$AI$505,"&lt;="&amp;$A82,実績!$AJ$6:$AJ$505,"&gt;"&amp;$A82,実績!$AK$6:$AK$505,"○")&gt;0,1,0))</f>
        <v>0</v>
      </c>
      <c r="O82" s="39" t="n">
        <f aca="false">IF(O$4=0,0,IF(COUNTIFS(実績!$W$6:$W$505,O$3,実績!$AI$6:$AI$505,"&lt;="&amp;$A82,実績!$AJ$6:$AJ$505,"&gt;"&amp;$A82,実績!$AK$6:$AK$505,"○")&gt;0,1,0))</f>
        <v>0</v>
      </c>
      <c r="P82" s="39" t="n">
        <f aca="false">IF(P$4=0,0,IF(COUNTIFS(実績!$W$6:$W$505,P$3,実績!$AI$6:$AI$505,"&lt;="&amp;$A82,実績!$AJ$6:$AJ$505,"&gt;"&amp;$A82,実績!$AK$6:$AK$505,"○")&gt;0,1,0))</f>
        <v>0</v>
      </c>
      <c r="Q82" s="39" t="n">
        <f aca="false">IF(Q$4=0,0,IF(COUNTIFS(実績!$W$6:$W$505,Q$3,実績!$AI$6:$AI$505,"&lt;="&amp;$A82,実績!$AJ$6:$AJ$505,"&gt;"&amp;$A82,実績!$AK$6:$AK$505,"○")&gt;0,1,0))</f>
        <v>0</v>
      </c>
      <c r="R82" s="39" t="n">
        <f aca="false">IF(R$4=0,0,IF(COUNTIFS(実績!$W$6:$W$505,R$3,実績!$AI$6:$AI$505,"&lt;="&amp;$A82,実績!$AJ$6:$AJ$505,"&gt;"&amp;$A82,実績!$AK$6:$AK$505,"○")&gt;0,1,0))</f>
        <v>0</v>
      </c>
      <c r="S82" s="39" t="n">
        <f aca="false">IF(S$4=0,0,IF(COUNTIFS(実績!$W$6:$W$505,S$3,実績!$AI$6:$AI$505,"&lt;="&amp;$A82,実績!$AJ$6:$AJ$505,"&gt;"&amp;$A82,実績!$AK$6:$AK$505,"○")&gt;0,1,0))</f>
        <v>0</v>
      </c>
      <c r="T82" s="39" t="n">
        <f aca="false">IF(T$4=0,0,IF(COUNTIFS(実績!$W$6:$W$505,T$3,実績!$AI$6:$AI$505,"&lt;="&amp;$A82,実績!$AJ$6:$AJ$505,"&gt;"&amp;$A82,実績!$AK$6:$AK$505,"○")&gt;0,1,0))</f>
        <v>0</v>
      </c>
      <c r="U82" s="39" t="n">
        <f aca="false">IF(U$4=0,0,IF(COUNTIFS(実績!$W$6:$W$505,U$3,実績!$AI$6:$AI$505,"&lt;="&amp;$A82,実績!$AJ$6:$AJ$505,"&gt;"&amp;$A82,実績!$AK$6:$AK$505,"○")&gt;0,1,0))</f>
        <v>0</v>
      </c>
      <c r="V82" s="39" t="n">
        <f aca="false">IF(V$4=0,0,IF(COUNTIFS(実績!$W$6:$W$505,V$3,実績!$AI$6:$AI$505,"&lt;="&amp;$A82,実績!$AJ$6:$AJ$505,"&gt;"&amp;$A82,実績!$AK$6:$AK$505,"○")&gt;0,1,0))</f>
        <v>0</v>
      </c>
      <c r="W82" s="39" t="n">
        <f aca="false">IF(W$4=0,0,IF(COUNTIFS(実績!$W$6:$W$505,W$3,実績!$AI$6:$AI$505,"&lt;="&amp;$A82,実績!$AJ$6:$AJ$505,"&gt;"&amp;$A82,実績!$AK$6:$AK$505,"○")&gt;0,1,0))</f>
        <v>0</v>
      </c>
      <c r="X82" s="39" t="n">
        <f aca="false">IF(X$4=0,0,IF(COUNTIFS(実績!$W$6:$W$505,X$3,実績!$AI$6:$AI$505,"&lt;="&amp;$A82,実績!$AJ$6:$AJ$505,"&gt;"&amp;$A82,実績!$AK$6:$AK$505,"○")&gt;0,1,0))</f>
        <v>0</v>
      </c>
      <c r="Y82" s="39" t="n">
        <f aca="false">IF(Y$4=0,0,IF(COUNTIFS(実績!$W$6:$W$505,Y$3,実績!$AI$6:$AI$505,"&lt;="&amp;$A82,実績!$AJ$6:$AJ$505,"&gt;"&amp;$A82,実績!$AK$6:$AK$505,"○")&gt;0,1,0))</f>
        <v>0</v>
      </c>
      <c r="Z82" s="39" t="n">
        <f aca="false">IF(Z$4=0,0,IF(COUNTIFS(実績!$W$6:$W$505,Z$3,実績!$AI$6:$AI$505,"&lt;="&amp;$A82,実績!$AJ$6:$AJ$505,"&gt;"&amp;$A82,実績!$AK$6:$AK$505,"○")&gt;0,1,0))</f>
        <v>0</v>
      </c>
      <c r="AA82" s="39" t="n">
        <f aca="false">IF(AA$4=0,0,IF(COUNTIFS(実績!$W$6:$W$505,AA$3,実績!$AI$6:$AI$505,"&lt;="&amp;$A82,実績!$AJ$6:$AJ$505,"&gt;"&amp;$A82,実績!$AK$6:$AK$505,"○")&gt;0,1,0))</f>
        <v>0</v>
      </c>
      <c r="AB82" s="39" t="n">
        <f aca="false">IF(AB$4=0,0,IF(COUNTIFS(実績!$W$6:$W$505,AB$3,実績!$AI$6:$AI$505,"&lt;="&amp;$A82,実績!$AJ$6:$AJ$505,"&gt;"&amp;$A82,実績!$AK$6:$AK$505,"○")&gt;0,1,0))</f>
        <v>0</v>
      </c>
      <c r="AC82" s="39" t="n">
        <f aca="false">IF(AC$4=0,0,IF(COUNTIFS(実績!$W$6:$W$505,AC$3,実績!$AI$6:$AI$505,"&lt;="&amp;$A82,実績!$AJ$6:$AJ$505,"&gt;"&amp;$A82,実績!$AK$6:$AK$505,"○")&gt;0,1,0))</f>
        <v>0</v>
      </c>
      <c r="AD82" s="39" t="n">
        <f aca="false">IF(AD$4=0,0,IF(COUNTIFS(実績!$W$6:$W$505,AD$3,実績!$AI$6:$AI$505,"&lt;="&amp;$A82,実績!$AJ$6:$AJ$505,"&gt;"&amp;$A82,実績!$AK$6:$AK$505,"○")&gt;0,1,0))</f>
        <v>0</v>
      </c>
      <c r="AE82" s="39" t="n">
        <f aca="false">IF(AE$4=0,0,IF(COUNTIFS(実績!$W$6:$W$505,AE$3,実績!$AI$6:$AI$505,"&lt;="&amp;$A82,実績!$AJ$6:$AJ$505,"&gt;"&amp;$A82,実績!$AK$6:$AK$505,"○")&gt;0,1,0))</f>
        <v>0</v>
      </c>
      <c r="AF82" s="39" t="n">
        <f aca="false">IF(AF$4=0,0,IF(COUNTIFS(実績!$W$6:$W$505,AF$3,実績!$AI$6:$AI$505,"&lt;="&amp;$A82,実績!$AJ$6:$AJ$505,"&gt;"&amp;$A82,実績!$AK$6:$AK$505,"○")&gt;0,1,0))</f>
        <v>0</v>
      </c>
      <c r="AG82" s="39" t="n">
        <f aca="false">IF(AG$4=0,0,IF(COUNTIFS(実績!$W$6:$W$505,AG$3,実績!$AI$6:$AI$505,"&lt;="&amp;$A82,実績!$AJ$6:$AJ$505,"&gt;"&amp;$A82,実績!$AK$6:$AK$505,"○")&gt;0,1,0))</f>
        <v>0</v>
      </c>
      <c r="AH82" s="39" t="n">
        <f aca="false">IF(AH$4=0,0,IF(COUNTIFS(実績!$W$6:$W$505,AH$3,実績!$AI$6:$AI$505,"&lt;="&amp;$A82,実績!$AJ$6:$AJ$505,"&gt;"&amp;$A82,実績!$AK$6:$AK$505,"○")&gt;0,1,0))</f>
        <v>0</v>
      </c>
      <c r="AI82" s="39" t="n">
        <f aca="false">IF(AI$4=0,0,IF(COUNTIFS(実績!$W$6:$W$505,AI$3,実績!$AI$6:$AI$505,"&lt;="&amp;$A82,実績!$AJ$6:$AJ$505,"&gt;"&amp;$A82,実績!$AK$6:$AK$505,"○")&gt;0,1,0))</f>
        <v>0</v>
      </c>
      <c r="AJ82" s="39" t="n">
        <f aca="false">IF(AJ$4=0,0,IF(COUNTIFS(実績!$W$6:$W$505,AJ$3,実績!$AI$6:$AI$505,"&lt;="&amp;$A82,実績!$AJ$6:$AJ$505,"&gt;"&amp;$A82,実績!$AK$6:$AK$505,"○")&gt;0,1,0))</f>
        <v>0</v>
      </c>
      <c r="AK82" s="39" t="n">
        <f aca="false">IF(AK$4=0,0,IF(COUNTIFS(実績!$W$6:$W$505,AK$3,実績!$AI$6:$AI$505,"&lt;="&amp;$A82,実績!$AJ$6:$AJ$505,"&gt;"&amp;$A82,実績!$AK$6:$AK$505,"○")&gt;0,1,0))</f>
        <v>0</v>
      </c>
      <c r="AL82" s="39" t="n">
        <f aca="false">IF(AL$4=0,0,IF(COUNTIFS(実績!$W$6:$W$505,AL$3,実績!$AI$6:$AI$505,"&lt;="&amp;$A82,実績!$AJ$6:$AJ$505,"&gt;"&amp;$A82,実績!$AK$6:$AK$505,"○")&gt;0,1,0))</f>
        <v>0</v>
      </c>
      <c r="AM82" s="39" t="n">
        <f aca="false">IF(AM$4=0,0,IF(COUNTIFS(実績!$W$6:$W$505,AM$3,実績!$AI$6:$AI$505,"&lt;="&amp;$A82,実績!$AJ$6:$AJ$505,"&gt;"&amp;$A82,実績!$AK$6:$AK$505,"○")&gt;0,1,0))</f>
        <v>0</v>
      </c>
      <c r="AN82" s="39" t="n">
        <f aca="false">IF(AN$4=0,0,IF(COUNTIFS(実績!$W$6:$W$505,AN$3,実績!$AI$6:$AI$505,"&lt;="&amp;$A82,実績!$AJ$6:$AJ$505,"&gt;"&amp;$A82,実績!$AK$6:$AK$505,"○")&gt;0,1,0))</f>
        <v>0</v>
      </c>
      <c r="AO82" s="39" t="n">
        <f aca="false">IF(AO$4=0,0,IF(COUNTIFS(実績!$W$6:$W$505,AO$3,実績!$AI$6:$AI$505,"&lt;="&amp;$A82,実績!$AJ$6:$AJ$505,"&gt;"&amp;$A82,実績!$AK$6:$AK$505,"○")&gt;0,1,0))</f>
        <v>0</v>
      </c>
      <c r="AP82" s="39" t="n">
        <f aca="false">IF(AP$4=0,0,IF(COUNTIFS(実績!$W$6:$W$505,AP$3,実績!$AI$6:$AI$505,"&lt;="&amp;$A82,実績!$AJ$6:$AJ$505,"&gt;"&amp;$A82,実績!$AK$6:$AK$505,"○")&gt;0,1,0))</f>
        <v>0</v>
      </c>
      <c r="AQ82" s="39" t="n">
        <f aca="false">IF(AQ$4=0,0,IF(COUNTIFS(実績!$W$6:$W$505,AQ$3,実績!$AI$6:$AI$505,"&lt;="&amp;$A82,実績!$AJ$6:$AJ$505,"&gt;"&amp;$A82,実績!$AK$6:$AK$505,"○")&gt;0,1,0))</f>
        <v>0</v>
      </c>
      <c r="AR82" s="39" t="n">
        <f aca="false">IF(AR$4=0,0,IF(COUNTIFS(実績!$W$6:$W$505,AR$3,実績!$AI$6:$AI$505,"&lt;="&amp;$A82,実績!$AJ$6:$AJ$505,"&gt;"&amp;$A82,実績!$AK$6:$AK$505,"○")&gt;0,1,0))</f>
        <v>0</v>
      </c>
      <c r="AS82" s="39" t="n">
        <f aca="false">IF(AS$4=0,0,IF(COUNTIFS(実績!$W$6:$W$505,AS$3,実績!$AI$6:$AI$505,"&lt;="&amp;$A82,実績!$AJ$6:$AJ$505,"&gt;"&amp;$A82,実績!$AK$6:$AK$505,"○")&gt;0,1,0))</f>
        <v>0</v>
      </c>
      <c r="AT82" s="39" t="n">
        <f aca="false">IF(AT$4=0,0,IF(COUNTIFS(実績!$W$6:$W$505,AT$3,実績!$AI$6:$AI$505,"&lt;="&amp;$A82,実績!$AJ$6:$AJ$505,"&gt;"&amp;$A82,実績!$AK$6:$AK$505,"○")&gt;0,1,0))</f>
        <v>0</v>
      </c>
      <c r="AU82" s="39" t="n">
        <f aca="false">IF(AU$4=0,0,IF(COUNTIFS(実績!$W$6:$W$505,AU$3,実績!$AI$6:$AI$505,"&lt;="&amp;$A82,実績!$AJ$6:$AJ$505,"&gt;"&amp;$A82,実績!$AK$6:$AK$505,"○")&gt;0,1,0))</f>
        <v>0</v>
      </c>
      <c r="AV82" s="39" t="n">
        <f aca="false">IF(AV$4=0,0,IF(COUNTIFS(実績!$W$6:$W$505,AV$3,実績!$AI$6:$AI$505,"&lt;="&amp;$A82,実績!$AJ$6:$AJ$505,"&gt;"&amp;$A82,実績!$AK$6:$AK$505,"○")&gt;0,1,0))</f>
        <v>0</v>
      </c>
      <c r="AW82" s="39" t="n">
        <f aca="false">IF(AW$4=0,0,IF(COUNTIFS(実績!$W$6:$W$505,AW$3,実績!$AI$6:$AI$505,"&lt;="&amp;$A82,実績!$AJ$6:$AJ$505,"&gt;"&amp;$A82,実績!$AK$6:$AK$505,"○")&gt;0,1,0))</f>
        <v>0</v>
      </c>
      <c r="AX82" s="39" t="n">
        <f aca="false">IF(AX$4=0,0,IF(COUNTIFS(実績!$W$6:$W$505,AX$3,実績!$AI$6:$AI$505,"&lt;="&amp;$A82,実績!$AJ$6:$AJ$505,"&gt;"&amp;$A82,実績!$AK$6:$AK$505,"○")&gt;0,1,0))</f>
        <v>0</v>
      </c>
      <c r="AY82" s="39" t="n">
        <f aca="false">IF(AY$4=0,0,IF(COUNTIFS(実績!$W$6:$W$505,AY$3,実績!$AI$6:$AI$505,"&lt;="&amp;$A82,実績!$AJ$6:$AJ$505,"&gt;"&amp;$A82,実績!$AK$6:$AK$505,"○")&gt;0,1,0))</f>
        <v>0</v>
      </c>
      <c r="AZ82" s="39" t="n">
        <f aca="false">IF(AZ$4=0,0,IF(COUNTIFS(実績!$W$6:$W$505,AZ$3,実績!$AI$6:$AI$505,"&lt;="&amp;$A82,実績!$AJ$6:$AJ$505,"&gt;"&amp;$A82,実績!$AK$6:$AK$505,"○")&gt;0,1,0))</f>
        <v>0</v>
      </c>
      <c r="BA82" s="39" t="n">
        <f aca="false">IF(BA$4=0,0,IF(COUNTIFS(実績!$W$6:$W$505,BA$3,実績!$AI$6:$AI$505,"&lt;="&amp;$A82,実績!$AJ$6:$AJ$505,"&gt;"&amp;$A82,実績!$AK$6:$AK$505,"○")&gt;0,1,0))</f>
        <v>0</v>
      </c>
      <c r="BB82" s="39" t="n">
        <f aca="false">IF(BB$4=0,0,IF(COUNTIFS(実績!$W$6:$W$505,BB$3,実績!$AI$6:$AI$505,"&lt;="&amp;$A82,実績!$AJ$6:$AJ$505,"&gt;"&amp;$A82,実績!$AK$6:$AK$505,"○")&gt;0,1,0))</f>
        <v>0</v>
      </c>
      <c r="BC82" s="39" t="n">
        <f aca="false">IF(BC$4=0,0,IF(COUNTIFS(実績!$W$6:$W$505,BC$3,実績!$AI$6:$AI$505,"&lt;="&amp;$A82,実績!$AJ$6:$AJ$505,"&gt;"&amp;$A82,実績!$AK$6:$AK$505,"○")&gt;0,1,0))</f>
        <v>0</v>
      </c>
      <c r="BD82" s="39" t="n">
        <f aca="false">IF(BD$4=0,0,IF(COUNTIFS(実績!$W$6:$W$505,BD$3,実績!$AI$6:$AI$505,"&lt;="&amp;$A82,実績!$AJ$6:$AJ$505,"&gt;"&amp;$A82,実績!$AK$6:$AK$505,"○")&gt;0,1,0))</f>
        <v>0</v>
      </c>
      <c r="BE82" s="39" t="n">
        <f aca="false">IF(BE$4=0,0,IF(COUNTIFS(実績!$W$6:$W$505,BE$3,実績!$AI$6:$AI$505,"&lt;="&amp;$A82,実績!$AJ$6:$AJ$505,"&gt;"&amp;$A82,実績!$AK$6:$AK$505,"○")&gt;0,1,0))</f>
        <v>0</v>
      </c>
      <c r="BF82" s="39" t="n">
        <f aca="false">IF(BF$4=0,0,IF(COUNTIFS(実績!$W$6:$W$505,BF$3,実績!$AI$6:$AI$505,"&lt;="&amp;$A82,実績!$AJ$6:$AJ$505,"&gt;"&amp;$A82,実績!$AK$6:$AK$505,"○")&gt;0,1,0))</f>
        <v>0</v>
      </c>
      <c r="BG82" s="39" t="n">
        <f aca="false">IF(BG$4=0,0,IF(COUNTIFS(実績!$W$6:$W$505,BG$3,実績!$AI$6:$AI$505,"&lt;="&amp;$A82,実績!$AJ$6:$AJ$505,"&gt;"&amp;$A82,実績!$AK$6:$AK$505,"○")&gt;0,1,0))</f>
        <v>0</v>
      </c>
      <c r="BH82" s="39" t="n">
        <f aca="false">IF(BH$4=0,0,IF(COUNTIFS(実績!$W$6:$W$505,BH$3,実績!$AI$6:$AI$505,"&lt;="&amp;$A82,実績!$AJ$6:$AJ$505,"&gt;"&amp;$A82,実績!$AK$6:$AK$505,"○")&gt;0,1,0))</f>
        <v>0</v>
      </c>
      <c r="BI82" s="39" t="n">
        <f aca="false">IF(BI$4=0,0,IF(COUNTIFS(実績!$W$6:$W$505,BI$3,実績!$AI$6:$AI$505,"&lt;="&amp;$A82,実績!$AJ$6:$AJ$505,"&gt;"&amp;$A82,実績!$AK$6:$AK$505,"○")&gt;0,1,0))</f>
        <v>0</v>
      </c>
      <c r="BJ82" s="39" t="n">
        <f aca="false">IF(BJ$4=0,0,IF(COUNTIFS(実績!$W$6:$W$505,BJ$3,実績!$AI$6:$AI$505,"&lt;="&amp;$A82,実績!$AJ$6:$AJ$505,"&gt;"&amp;$A82,実績!$AK$6:$AK$505,"○")&gt;0,1,0))</f>
        <v>0</v>
      </c>
      <c r="BK82" s="39" t="n">
        <f aca="false">IF(BK$4=0,0,IF(COUNTIFS(実績!$W$6:$W$505,BK$3,実績!$AI$6:$AI$505,"&lt;="&amp;$A82,実績!$AJ$6:$AJ$505,"&gt;"&amp;$A82,実績!$AK$6:$AK$505,"○")&gt;0,1,0))</f>
        <v>0</v>
      </c>
      <c r="BL82" s="39" t="n">
        <f aca="false">IF(BL$4=0,0,IF(COUNTIFS(実績!$W$6:$W$505,BL$3,実績!$AI$6:$AI$505,"&lt;="&amp;$A82,実績!$AJ$6:$AJ$505,"&gt;"&amp;$A82,実績!$AK$6:$AK$505,"○")&gt;0,1,0))</f>
        <v>0</v>
      </c>
      <c r="BM82" s="39" t="n">
        <f aca="false">IF(BM$4=0,0,IF(COUNTIFS(実績!$W$6:$W$505,BM$3,実績!$AI$6:$AI$505,"&lt;="&amp;$A82,実績!$AJ$6:$AJ$505,"&gt;"&amp;$A82,実績!$AK$6:$AK$505,"○")&gt;0,1,0))</f>
        <v>0</v>
      </c>
      <c r="BN82" s="39" t="n">
        <f aca="false">IF(BN$4=0,0,IF(COUNTIFS(実績!$W$6:$W$505,BN$3,実績!$AI$6:$AI$505,"&lt;="&amp;$A82,実績!$AJ$6:$AJ$505,"&gt;"&amp;$A82,実績!$AK$6:$AK$505,"○")&gt;0,1,0))</f>
        <v>0</v>
      </c>
      <c r="BO82" s="39" t="n">
        <f aca="false">IF(BO$4=0,0,IF(COUNTIFS(実績!$W$6:$W$505,BO$3,実績!$AI$6:$AI$505,"&lt;="&amp;$A82,実績!$AJ$6:$AJ$505,"&gt;"&amp;$A82,実績!$AK$6:$AK$505,"○")&gt;0,1,0))</f>
        <v>0</v>
      </c>
      <c r="BP82" s="39" t="n">
        <f aca="false">IF(BP$4=0,0,IF(COUNTIFS(実績!$W$6:$W$505,BP$3,実績!$AI$6:$AI$505,"&lt;="&amp;$A82,実績!$AJ$6:$AJ$505,"&gt;"&amp;$A82,実績!$AK$6:$AK$505,"○")&gt;0,1,0))</f>
        <v>0</v>
      </c>
      <c r="BQ82" s="39" t="n">
        <f aca="false">IF(BQ$4=0,0,IF(COUNTIFS(実績!$W$6:$W$505,BQ$3,実績!$AI$6:$AI$505,"&lt;="&amp;$A82,実績!$AJ$6:$AJ$505,"&gt;"&amp;$A82,実績!$AK$6:$AK$505,"○")&gt;0,1,0))</f>
        <v>0</v>
      </c>
      <c r="BR82" s="39" t="n">
        <f aca="false">IF(BR$4=0,0,IF(COUNTIFS(実績!$W$6:$W$505,BR$3,実績!$AI$6:$AI$505,"&lt;="&amp;$A82,実績!$AJ$6:$AJ$505,"&gt;"&amp;$A82,実績!$AK$6:$AK$505,"○")&gt;0,1,0))</f>
        <v>0</v>
      </c>
      <c r="BS82" s="39" t="n">
        <f aca="false">IF(BS$4=0,0,IF(COUNTIFS(実績!$W$6:$W$505,BS$3,実績!$AI$6:$AI$505,"&lt;="&amp;$A82,実績!$AJ$6:$AJ$505,"&gt;"&amp;$A82,実績!$AK$6:$AK$505,"○")&gt;0,1,0))</f>
        <v>0</v>
      </c>
      <c r="BT82" s="39" t="n">
        <f aca="false">IF(BT$4=0,0,IF(COUNTIFS(実績!$W$6:$W$505,BT$3,実績!$AI$6:$AI$505,"&lt;="&amp;$A82,実績!$AJ$6:$AJ$505,"&gt;"&amp;$A82,実績!$AK$6:$AK$505,"○")&gt;0,1,0))</f>
        <v>0</v>
      </c>
      <c r="BU82" s="39" t="n">
        <f aca="false">IF(BU$4=0,0,IF(COUNTIFS(実績!$W$6:$W$505,BU$3,実績!$AI$6:$AI$505,"&lt;="&amp;$A82,実績!$AJ$6:$AJ$505,"&gt;"&amp;$A82,実績!$AK$6:$AK$505,"○")&gt;0,1,0))</f>
        <v>0</v>
      </c>
      <c r="BV82" s="39" t="n">
        <f aca="false">IF(BV$4=0,0,IF(COUNTIFS(実績!$W$6:$W$505,BV$3,実績!$AI$6:$AI$505,"&lt;="&amp;$A82,実績!$AJ$6:$AJ$505,"&gt;"&amp;$A82,実績!$AK$6:$AK$505,"○")&gt;0,1,0))</f>
        <v>0</v>
      </c>
      <c r="BW82" s="39" t="n">
        <f aca="false">IF(BW$4=0,0,IF(COUNTIFS(実績!$W$6:$W$505,BW$3,実績!$AI$6:$AI$505,"&lt;="&amp;$A82,実績!$AJ$6:$AJ$505,"&gt;"&amp;$A82,実績!$AK$6:$AK$505,"○")&gt;0,1,0))</f>
        <v>0</v>
      </c>
      <c r="BX82" s="39" t="n">
        <f aca="false">IF(BX$4=0,0,IF(COUNTIFS(実績!$W$6:$W$505,BX$3,実績!$AI$6:$AI$505,"&lt;="&amp;$A82,実績!$AJ$6:$AJ$505,"&gt;"&amp;$A82,実績!$AK$6:$AK$505,"○")&gt;0,1,0))</f>
        <v>0</v>
      </c>
      <c r="BY82" s="39" t="n">
        <f aca="false">IF(BY$4=0,0,IF(COUNTIFS(実績!$W$6:$W$505,BY$3,実績!$AI$6:$AI$505,"&lt;="&amp;$A82,実績!$AJ$6:$AJ$505,"&gt;"&amp;$A82,実績!$AK$6:$AK$505,"○")&gt;0,1,0))</f>
        <v>0</v>
      </c>
      <c r="BZ82" s="39" t="n">
        <f aca="false">IF(BZ$4=0,0,IF(COUNTIFS(実績!$W$6:$W$505,BZ$3,実績!$AI$6:$AI$505,"&lt;="&amp;$A82,実績!$AJ$6:$AJ$505,"&gt;"&amp;$A82,実績!$AK$6:$AK$505,"○")&gt;0,1,0))</f>
        <v>0</v>
      </c>
      <c r="CA82" s="39" t="n">
        <f aca="false">IF(CA$4=0,0,IF(COUNTIFS(実績!$W$6:$W$505,CA$3,実績!$AI$6:$AI$505,"&lt;="&amp;$A82,実績!$AJ$6:$AJ$505,"&gt;"&amp;$A82,実績!$AK$6:$AK$505,"○")&gt;0,1,0))</f>
        <v>0</v>
      </c>
      <c r="CB82" s="39" t="n">
        <f aca="false">IF(CB$4=0,0,IF(COUNTIFS(実績!$W$6:$W$505,CB$3,実績!$AI$6:$AI$505,"&lt;="&amp;$A82,実績!$AJ$6:$AJ$505,"&gt;"&amp;$A82,実績!$AK$6:$AK$505,"○")&gt;0,1,0))</f>
        <v>0</v>
      </c>
      <c r="CC82" s="39" t="n">
        <f aca="false">IF(CC$4=0,0,IF(COUNTIFS(実績!$W$6:$W$505,CC$3,実績!$AI$6:$AI$505,"&lt;="&amp;$A82,実績!$AJ$6:$AJ$505,"&gt;"&amp;$A82,実績!$AK$6:$AK$505,"○")&gt;0,1,0))</f>
        <v>0</v>
      </c>
      <c r="CD82" s="39" t="n">
        <f aca="false">IF(CD$4=0,0,IF(COUNTIFS(実績!$W$6:$W$505,CD$3,実績!$AI$6:$AI$505,"&lt;="&amp;$A82,実績!$AJ$6:$AJ$505,"&gt;"&amp;$A82,実績!$AK$6:$AK$505,"○")&gt;0,1,0))</f>
        <v>0</v>
      </c>
      <c r="CE82" s="39" t="n">
        <f aca="false">IF(CE$4=0,0,IF(COUNTIFS(実績!$W$6:$W$505,CE$3,実績!$AI$6:$AI$505,"&lt;="&amp;$A82,実績!$AJ$6:$AJ$505,"&gt;"&amp;$A82,実績!$AK$6:$AK$505,"○")&gt;0,1,0))</f>
        <v>0</v>
      </c>
      <c r="CF82" s="39" t="n">
        <f aca="false">IF(CF$4=0,0,IF(COUNTIFS(実績!$W$6:$W$505,CF$3,実績!$AI$6:$AI$505,"&lt;="&amp;$A82,実績!$AJ$6:$AJ$505,"&gt;"&amp;$A82,実績!$AK$6:$AK$505,"○")&gt;0,1,0))</f>
        <v>0</v>
      </c>
      <c r="CG82" s="39" t="n">
        <f aca="false">IF(CG$4=0,0,IF(COUNTIFS(実績!$W$6:$W$505,CG$3,実績!$AI$6:$AI$505,"&lt;="&amp;$A82,実績!$AJ$6:$AJ$505,"&gt;"&amp;$A82,実績!$AK$6:$AK$505,"○")&gt;0,1,0))</f>
        <v>0</v>
      </c>
      <c r="CH82" s="39" t="n">
        <f aca="false">IF(CH$4=0,0,IF(COUNTIFS(実績!$W$6:$W$505,CH$3,実績!$AI$6:$AI$505,"&lt;="&amp;$A82,実績!$AJ$6:$AJ$505,"&gt;"&amp;$A82,実績!$AK$6:$AK$505,"○")&gt;0,1,0))</f>
        <v>0</v>
      </c>
      <c r="CI82" s="39" t="n">
        <f aca="false">IF(CI$4=0,0,IF(COUNTIFS(実績!$W$6:$W$505,CI$3,実績!$AI$6:$AI$505,"&lt;="&amp;$A82,実績!$AJ$6:$AJ$505,"&gt;"&amp;$A82,実績!$AK$6:$AK$505,"○")&gt;0,1,0))</f>
        <v>0</v>
      </c>
      <c r="CJ82" s="39" t="n">
        <f aca="false">IF(CJ$4=0,0,IF(COUNTIFS(実績!$W$6:$W$505,CJ$3,実績!$AI$6:$AI$505,"&lt;="&amp;$A82,実績!$AJ$6:$AJ$505,"&gt;"&amp;$A82,実績!$AK$6:$AK$505,"○")&gt;0,1,0))</f>
        <v>0</v>
      </c>
      <c r="CK82" s="39" t="n">
        <f aca="false">IF(CK$4=0,0,IF(COUNTIFS(実績!$W$6:$W$505,CK$3,実績!$AI$6:$AI$505,"&lt;="&amp;$A82,実績!$AJ$6:$AJ$505,"&gt;"&amp;$A82,実績!$AK$6:$AK$505,"○")&gt;0,1,0))</f>
        <v>0</v>
      </c>
      <c r="CL82" s="39" t="n">
        <f aca="false">IF(CL$4=0,0,IF(COUNTIFS(実績!$W$6:$W$505,CL$3,実績!$AI$6:$AI$505,"&lt;="&amp;$A82,実績!$AJ$6:$AJ$505,"&gt;"&amp;$A82,実績!$AK$6:$AK$505,"○")&gt;0,1,0))</f>
        <v>0</v>
      </c>
      <c r="CM82" s="39" t="n">
        <f aca="false">IF(CM$4=0,0,IF(COUNTIFS(実績!$W$6:$W$505,CM$3,実績!$AI$6:$AI$505,"&lt;="&amp;$A82,実績!$AJ$6:$AJ$505,"&gt;"&amp;$A82,実績!$AK$6:$AK$505,"○")&gt;0,1,0))</f>
        <v>0</v>
      </c>
      <c r="CN82" s="39" t="n">
        <f aca="false">IF(CN$4=0,0,IF(COUNTIFS(実績!$W$6:$W$505,CN$3,実績!$AI$6:$AI$505,"&lt;="&amp;$A82,実績!$AJ$6:$AJ$505,"&gt;"&amp;$A82,実績!$AK$6:$AK$505,"○")&gt;0,1,0))</f>
        <v>0</v>
      </c>
      <c r="CO82" s="39" t="n">
        <f aca="false">IF(CO$4=0,0,IF(COUNTIFS(実績!$W$6:$W$505,CO$3,実績!$AI$6:$AI$505,"&lt;="&amp;$A82,実績!$AJ$6:$AJ$505,"&gt;"&amp;$A82,実績!$AK$6:$AK$505,"○")&gt;0,1,0))</f>
        <v>0</v>
      </c>
      <c r="CP82" s="39" t="n">
        <f aca="false">IF(CP$4=0,0,IF(COUNTIFS(実績!$W$6:$W$505,CP$3,実績!$AI$6:$AI$505,"&lt;="&amp;$A82,実績!$AJ$6:$AJ$505,"&gt;"&amp;$A82,実績!$AK$6:$AK$505,"○")&gt;0,1,0))</f>
        <v>0</v>
      </c>
      <c r="CQ82" s="39" t="n">
        <f aca="false">IF(CQ$4=0,0,IF(COUNTIFS(実績!$W$6:$W$505,CQ$3,実績!$AI$6:$AI$505,"&lt;="&amp;$A82,実績!$AJ$6:$AJ$505,"&gt;"&amp;$A82,実績!$AK$6:$AK$505,"○")&gt;0,1,0))</f>
        <v>0</v>
      </c>
      <c r="CR82" s="39" t="n">
        <f aca="false">IF(CR$4=0,0,IF(COUNTIFS(実績!$W$6:$W$505,CR$3,実績!$AI$6:$AI$505,"&lt;="&amp;$A82,実績!$AJ$6:$AJ$505,"&gt;"&amp;$A82,実績!$AK$6:$AK$505,"○")&gt;0,1,0))</f>
        <v>0</v>
      </c>
      <c r="CS82" s="39" t="n">
        <f aca="false">IF(CS$4=0,0,IF(COUNTIFS(実績!$W$6:$W$505,CS$3,実績!$AI$6:$AI$505,"&lt;="&amp;$A82,実績!$AJ$6:$AJ$505,"&gt;"&amp;$A82,実績!$AK$6:$AK$505,"○")&gt;0,1,0))</f>
        <v>0</v>
      </c>
      <c r="CT82" s="39" t="n">
        <f aca="false">IF(CT$4=0,0,IF(COUNTIFS(実績!$W$6:$W$505,CT$3,実績!$AI$6:$AI$505,"&lt;="&amp;$A82,実績!$AJ$6:$AJ$505,"&gt;"&amp;$A82,実績!$AK$6:$AK$505,"○")&gt;0,1,0))</f>
        <v>0</v>
      </c>
      <c r="CU82" s="39" t="n">
        <f aca="false">IF(CU$4=0,0,IF(COUNTIFS(実績!$W$6:$W$505,CU$3,実績!$AI$6:$AI$505,"&lt;="&amp;$A82,実績!$AJ$6:$AJ$505,"&gt;"&amp;$A82,実績!$AK$6:$AK$505,"○")&gt;0,1,0))</f>
        <v>0</v>
      </c>
      <c r="CV82" s="39" t="n">
        <f aca="false">IF(CV$4=0,0,IF(COUNTIFS(実績!$W$6:$W$505,CV$3,実績!$AI$6:$AI$505,"&lt;="&amp;$A82,実績!$AJ$6:$AJ$505,"&gt;"&amp;$A82,実績!$AK$6:$AK$505,"○")&gt;0,1,0))</f>
        <v>0</v>
      </c>
      <c r="CW82" s="39" t="n">
        <f aca="false">IF(CW$4=0,0,IF(COUNTIFS(実績!$W$6:$W$505,CW$3,実績!$AI$6:$AI$505,"&lt;="&amp;$A82,実績!$AJ$6:$AJ$505,"&gt;"&amp;$A82,実績!$AK$6:$AK$505,"○")&gt;0,1,0))</f>
        <v>0</v>
      </c>
      <c r="CX82" s="39" t="n">
        <f aca="false">IF(CX$4=0,0,IF(COUNTIFS(実績!$W$6:$W$505,CX$3,実績!$AI$6:$AI$505,"&lt;="&amp;$A82,実績!$AJ$6:$AJ$505,"&gt;"&amp;$A82,実績!$AK$6:$AK$505,"○")&gt;0,1,0))</f>
        <v>0</v>
      </c>
      <c r="CY82" s="39" t="n">
        <f aca="false">IF(CY$4=0,0,IF(COUNTIFS(実績!$W$6:$W$505,CY$3,実績!$AI$6:$AI$505,"&lt;="&amp;$A82,実績!$AJ$6:$AJ$505,"&gt;"&amp;$A82,実績!$AK$6:$AK$505,"○")&gt;0,1,0))</f>
        <v>0</v>
      </c>
      <c r="CZ82" s="39" t="n">
        <f aca="false">IF(CZ$4=0,0,IF(COUNTIFS(実績!$W$6:$W$505,CZ$3,実績!$AI$6:$AI$505,"&lt;="&amp;$A82,実績!$AJ$6:$AJ$505,"&gt;"&amp;$A82,実績!$AK$6:$AK$505,"○")&gt;0,1,0))</f>
        <v>0</v>
      </c>
      <c r="DA82" s="39" t="n">
        <f aca="false">IF(DA$4=0,0,IF(COUNTIFS(実績!$W$6:$W$505,DA$3,実績!$AI$6:$AI$505,"&lt;="&amp;$A82,実績!$AJ$6:$AJ$505,"&gt;"&amp;$A82,実績!$AK$6:$AK$505,"○")&gt;0,1,0))</f>
        <v>0</v>
      </c>
      <c r="DB82" s="39" t="n">
        <f aca="false">IF(DB$4=0,0,IF(COUNTIFS(実績!$W$6:$W$505,DB$3,実績!$AI$6:$AI$505,"&lt;="&amp;$A82,実績!$AJ$6:$AJ$505,"&gt;"&amp;$A82,実績!$AK$6:$AK$505,"○")&gt;0,1,0))</f>
        <v>0</v>
      </c>
      <c r="DC82" s="39" t="n">
        <f aca="false">IF(DC$4=0,0,IF(COUNTIFS(実績!$W$6:$W$505,DC$3,実績!$AI$6:$AI$505,"&lt;="&amp;$A82,実績!$AJ$6:$AJ$505,"&gt;"&amp;$A82,実績!$AK$6:$AK$505,"○")&gt;0,1,0))</f>
        <v>0</v>
      </c>
      <c r="DD82" s="39" t="n">
        <f aca="false">IF(DD$4=0,0,IF(COUNTIFS(実績!$W$6:$W$505,DD$3,実績!$AI$6:$AI$505,"&lt;="&amp;$A82,実績!$AJ$6:$AJ$505,"&gt;"&amp;$A82,実績!$AK$6:$AK$505,"○")&gt;0,1,0))</f>
        <v>0</v>
      </c>
      <c r="DE82" s="39" t="n">
        <f aca="false">IF(DE$4=0,0,IF(COUNTIFS(実績!$W$6:$W$505,DE$3,実績!$AI$6:$AI$505,"&lt;="&amp;$A82,実績!$AJ$6:$AJ$505,"&gt;"&amp;$A82,実績!$AK$6:$AK$505,"○")&gt;0,1,0))</f>
        <v>0</v>
      </c>
      <c r="DF82" s="39" t="n">
        <f aca="false">IF(DF$4=0,0,IF(COUNTIFS(実績!$W$6:$W$505,DF$3,実績!$AI$6:$AI$505,"&lt;="&amp;$A82,実績!$AJ$6:$AJ$505,"&gt;"&amp;$A82,実績!$AK$6:$AK$505,"○")&gt;0,1,0))</f>
        <v>0</v>
      </c>
      <c r="DG82" s="39" t="n">
        <f aca="false">IF(DG$4=0,0,IF(COUNTIFS(実績!$W$6:$W$505,DG$3,実績!$AI$6:$AI$505,"&lt;="&amp;$A82,実績!$AJ$6:$AJ$505,"&gt;"&amp;$A82,実績!$AK$6:$AK$505,"○")&gt;0,1,0))</f>
        <v>0</v>
      </c>
      <c r="DH82" s="39" t="n">
        <f aca="false">IF(DH$4=0,0,IF(COUNTIFS(実績!$W$6:$W$505,DH$3,実績!$AI$6:$AI$505,"&lt;="&amp;$A82,実績!$AJ$6:$AJ$505,"&gt;"&amp;$A82,実績!$AK$6:$AK$505,"○")&gt;0,1,0))</f>
        <v>0</v>
      </c>
      <c r="DI82" s="39" t="n">
        <f aca="false">IF(DI$4=0,0,IF(COUNTIFS(実績!$W$6:$W$505,DI$3,実績!$AI$6:$AI$505,"&lt;="&amp;$A82,実績!$AJ$6:$AJ$505,"&gt;"&amp;$A82,実績!$AK$6:$AK$505,"○")&gt;0,1,0))</f>
        <v>0</v>
      </c>
      <c r="DJ82" s="39" t="n">
        <f aca="false">IF(DJ$4=0,0,IF(COUNTIFS(実績!$W$6:$W$505,DJ$3,実績!$AI$6:$AI$505,"&lt;="&amp;$A82,実績!$AJ$6:$AJ$505,"&gt;"&amp;$A82,実績!$AK$6:$AK$505,"○")&gt;0,1,0))</f>
        <v>0</v>
      </c>
      <c r="DK82" s="39" t="n">
        <f aca="false">IF(DK$4=0,0,IF(COUNTIFS(実績!$W$6:$W$505,DK$3,実績!$AI$6:$AI$505,"&lt;="&amp;$A82,実績!$AJ$6:$AJ$505,"&gt;"&amp;$A82,実績!$AK$6:$AK$505,"○")&gt;0,1,0))</f>
        <v>0</v>
      </c>
      <c r="DL82" s="39" t="n">
        <f aca="false">IF(DL$4=0,0,IF(COUNTIFS(実績!$W$6:$W$505,DL$3,実績!$AI$6:$AI$505,"&lt;="&amp;$A82,実績!$AJ$6:$AJ$505,"&gt;"&amp;$A82,実績!$AK$6:$AK$505,"○")&gt;0,1,0))</f>
        <v>0</v>
      </c>
      <c r="DM82" s="39" t="n">
        <f aca="false">IF(DM$4=0,0,IF(COUNTIFS(実績!$W$6:$W$505,DM$3,実績!$AI$6:$AI$505,"&lt;="&amp;$A82,実績!$AJ$6:$AJ$505,"&gt;"&amp;$A82,実績!$AK$6:$AK$505,"○")&gt;0,1,0))</f>
        <v>0</v>
      </c>
      <c r="DN82" s="39" t="n">
        <f aca="false">IF(DN$4=0,0,IF(COUNTIFS(実績!$W$6:$W$505,DN$3,実績!$AI$6:$AI$505,"&lt;="&amp;$A82,実績!$AJ$6:$AJ$505,"&gt;"&amp;$A82,実績!$AK$6:$AK$505,"○")&gt;0,1,0))</f>
        <v>0</v>
      </c>
      <c r="DO82" s="39" t="n">
        <f aca="false">IF(DO$4=0,0,IF(COUNTIFS(実績!$W$6:$W$505,DO$3,実績!$AI$6:$AI$505,"&lt;="&amp;$A82,実績!$AJ$6:$AJ$505,"&gt;"&amp;$A82,実績!$AK$6:$AK$505,"○")&gt;0,1,0))</f>
        <v>0</v>
      </c>
      <c r="DP82" s="39" t="n">
        <f aca="false">IF(DP$4=0,0,IF(COUNTIFS(実績!$W$6:$W$505,DP$3,実績!$AI$6:$AI$505,"&lt;="&amp;$A82,実績!$AJ$6:$AJ$505,"&gt;"&amp;$A82,実績!$AK$6:$AK$505,"○")&gt;0,1,0))</f>
        <v>0</v>
      </c>
      <c r="DQ82" s="39" t="n">
        <f aca="false">IF(DQ$4=0,0,IF(COUNTIFS(実績!$W$6:$W$505,DQ$3,実績!$AI$6:$AI$505,"&lt;="&amp;$A82,実績!$AJ$6:$AJ$505,"&gt;"&amp;$A82,実績!$AK$6:$AK$505,"○")&gt;0,1,0))</f>
        <v>0</v>
      </c>
      <c r="DR82" s="39" t="n">
        <f aca="false">IF(DR$4=0,0,IF(COUNTIFS(実績!$W$6:$W$505,DR$3,実績!$AI$6:$AI$505,"&lt;="&amp;$A82,実績!$AJ$6:$AJ$505,"&gt;"&amp;$A82,実績!$AK$6:$AK$505,"○")&gt;0,1,0))</f>
        <v>0</v>
      </c>
      <c r="DS82" s="39" t="n">
        <f aca="false">SUM(C82:DR82)</f>
        <v>0</v>
      </c>
      <c r="DT82" s="39" t="n">
        <f aca="false">SUMPRODUCT((実績!$C$6:$C$505="○")*ISNUMBER(実績!$AM$6:$AM$505)*(実績!$AM$6:$AM$505&lt;=$A82)*(実績!$AN$6:$AN$505&gt;$A82))</f>
        <v>0</v>
      </c>
      <c r="DU82" s="39" t="n">
        <f aca="false">SUMIF($C$2:$DR$2,"製鉄曳船",C82:DR82)</f>
        <v>0</v>
      </c>
      <c r="DV82" s="39" t="n">
        <f aca="false">SUMIF($C$2:$DR$2,"西日本海運",C82:DR82)</f>
        <v>0</v>
      </c>
    </row>
    <row r="83" customFormat="false" ht="15" hidden="false" customHeight="false" outlineLevel="0" collapsed="false">
      <c r="A83" s="0" t="n">
        <v>385</v>
      </c>
      <c r="B83" s="38" t="n">
        <f aca="false">A83/1440</f>
        <v>0.267361111111111</v>
      </c>
      <c r="C83" s="39" t="n">
        <f aca="false">IF(C$4=0,0,IF(COUNTIFS(実績!$W$6:$W$505,C$3,実績!$AI$6:$AI$505,"&lt;="&amp;$A83,実績!$AJ$6:$AJ$505,"&gt;"&amp;$A83,実績!$AK$6:$AK$505,"○")&gt;0,1,0))</f>
        <v>0</v>
      </c>
      <c r="D83" s="39" t="n">
        <f aca="false">IF(D$4=0,0,IF(COUNTIFS(実績!$W$6:$W$505,D$3,実績!$AI$6:$AI$505,"&lt;="&amp;$A83,実績!$AJ$6:$AJ$505,"&gt;"&amp;$A83,実績!$AK$6:$AK$505,"○")&gt;0,1,0))</f>
        <v>0</v>
      </c>
      <c r="E83" s="39" t="n">
        <f aca="false">IF(E$4=0,0,IF(COUNTIFS(実績!$W$6:$W$505,E$3,実績!$AI$6:$AI$505,"&lt;="&amp;$A83,実績!$AJ$6:$AJ$505,"&gt;"&amp;$A83,実績!$AK$6:$AK$505,"○")&gt;0,1,0))</f>
        <v>0</v>
      </c>
      <c r="F83" s="39" t="n">
        <f aca="false">IF(F$4=0,0,IF(COUNTIFS(実績!$W$6:$W$505,F$3,実績!$AI$6:$AI$505,"&lt;="&amp;$A83,実績!$AJ$6:$AJ$505,"&gt;"&amp;$A83,実績!$AK$6:$AK$505,"○")&gt;0,1,0))</f>
        <v>0</v>
      </c>
      <c r="G83" s="39" t="n">
        <f aca="false">IF(G$4=0,0,IF(COUNTIFS(実績!$W$6:$W$505,G$3,実績!$AI$6:$AI$505,"&lt;="&amp;$A83,実績!$AJ$6:$AJ$505,"&gt;"&amp;$A83,実績!$AK$6:$AK$505,"○")&gt;0,1,0))</f>
        <v>0</v>
      </c>
      <c r="H83" s="39" t="n">
        <f aca="false">IF(H$4=0,0,IF(COUNTIFS(実績!$W$6:$W$505,H$3,実績!$AI$6:$AI$505,"&lt;="&amp;$A83,実績!$AJ$6:$AJ$505,"&gt;"&amp;$A83,実績!$AK$6:$AK$505,"○")&gt;0,1,0))</f>
        <v>0</v>
      </c>
      <c r="I83" s="39" t="n">
        <f aca="false">IF(I$4=0,0,IF(COUNTIFS(実績!$W$6:$W$505,I$3,実績!$AI$6:$AI$505,"&lt;="&amp;$A83,実績!$AJ$6:$AJ$505,"&gt;"&amp;$A83,実績!$AK$6:$AK$505,"○")&gt;0,1,0))</f>
        <v>0</v>
      </c>
      <c r="J83" s="39" t="n">
        <f aca="false">IF(J$4=0,0,IF(COUNTIFS(実績!$W$6:$W$505,J$3,実績!$AI$6:$AI$505,"&lt;="&amp;$A83,実績!$AJ$6:$AJ$505,"&gt;"&amp;$A83,実績!$AK$6:$AK$505,"○")&gt;0,1,0))</f>
        <v>0</v>
      </c>
      <c r="K83" s="39" t="n">
        <f aca="false">IF(K$4=0,0,IF(COUNTIFS(実績!$W$6:$W$505,K$3,実績!$AI$6:$AI$505,"&lt;="&amp;$A83,実績!$AJ$6:$AJ$505,"&gt;"&amp;$A83,実績!$AK$6:$AK$505,"○")&gt;0,1,0))</f>
        <v>0</v>
      </c>
      <c r="L83" s="39" t="n">
        <f aca="false">IF(L$4=0,0,IF(COUNTIFS(実績!$W$6:$W$505,L$3,実績!$AI$6:$AI$505,"&lt;="&amp;$A83,実績!$AJ$6:$AJ$505,"&gt;"&amp;$A83,実績!$AK$6:$AK$505,"○")&gt;0,1,0))</f>
        <v>0</v>
      </c>
      <c r="M83" s="39" t="n">
        <f aca="false">IF(M$4=0,0,IF(COUNTIFS(実績!$W$6:$W$505,M$3,実績!$AI$6:$AI$505,"&lt;="&amp;$A83,実績!$AJ$6:$AJ$505,"&gt;"&amp;$A83,実績!$AK$6:$AK$505,"○")&gt;0,1,0))</f>
        <v>0</v>
      </c>
      <c r="N83" s="39" t="n">
        <f aca="false">IF(N$4=0,0,IF(COUNTIFS(実績!$W$6:$W$505,N$3,実績!$AI$6:$AI$505,"&lt;="&amp;$A83,実績!$AJ$6:$AJ$505,"&gt;"&amp;$A83,実績!$AK$6:$AK$505,"○")&gt;0,1,0))</f>
        <v>0</v>
      </c>
      <c r="O83" s="39" t="n">
        <f aca="false">IF(O$4=0,0,IF(COUNTIFS(実績!$W$6:$W$505,O$3,実績!$AI$6:$AI$505,"&lt;="&amp;$A83,実績!$AJ$6:$AJ$505,"&gt;"&amp;$A83,実績!$AK$6:$AK$505,"○")&gt;0,1,0))</f>
        <v>0</v>
      </c>
      <c r="P83" s="39" t="n">
        <f aca="false">IF(P$4=0,0,IF(COUNTIFS(実績!$W$6:$W$505,P$3,実績!$AI$6:$AI$505,"&lt;="&amp;$A83,実績!$AJ$6:$AJ$505,"&gt;"&amp;$A83,実績!$AK$6:$AK$505,"○")&gt;0,1,0))</f>
        <v>0</v>
      </c>
      <c r="Q83" s="39" t="n">
        <f aca="false">IF(Q$4=0,0,IF(COUNTIFS(実績!$W$6:$W$505,Q$3,実績!$AI$6:$AI$505,"&lt;="&amp;$A83,実績!$AJ$6:$AJ$505,"&gt;"&amp;$A83,実績!$AK$6:$AK$505,"○")&gt;0,1,0))</f>
        <v>0</v>
      </c>
      <c r="R83" s="39" t="n">
        <f aca="false">IF(R$4=0,0,IF(COUNTIFS(実績!$W$6:$W$505,R$3,実績!$AI$6:$AI$505,"&lt;="&amp;$A83,実績!$AJ$6:$AJ$505,"&gt;"&amp;$A83,実績!$AK$6:$AK$505,"○")&gt;0,1,0))</f>
        <v>0</v>
      </c>
      <c r="S83" s="39" t="n">
        <f aca="false">IF(S$4=0,0,IF(COUNTIFS(実績!$W$6:$W$505,S$3,実績!$AI$6:$AI$505,"&lt;="&amp;$A83,実績!$AJ$6:$AJ$505,"&gt;"&amp;$A83,実績!$AK$6:$AK$505,"○")&gt;0,1,0))</f>
        <v>0</v>
      </c>
      <c r="T83" s="39" t="n">
        <f aca="false">IF(T$4=0,0,IF(COUNTIFS(実績!$W$6:$W$505,T$3,実績!$AI$6:$AI$505,"&lt;="&amp;$A83,実績!$AJ$6:$AJ$505,"&gt;"&amp;$A83,実績!$AK$6:$AK$505,"○")&gt;0,1,0))</f>
        <v>0</v>
      </c>
      <c r="U83" s="39" t="n">
        <f aca="false">IF(U$4=0,0,IF(COUNTIFS(実績!$W$6:$W$505,U$3,実績!$AI$6:$AI$505,"&lt;="&amp;$A83,実績!$AJ$6:$AJ$505,"&gt;"&amp;$A83,実績!$AK$6:$AK$505,"○")&gt;0,1,0))</f>
        <v>0</v>
      </c>
      <c r="V83" s="39" t="n">
        <f aca="false">IF(V$4=0,0,IF(COUNTIFS(実績!$W$6:$W$505,V$3,実績!$AI$6:$AI$505,"&lt;="&amp;$A83,実績!$AJ$6:$AJ$505,"&gt;"&amp;$A83,実績!$AK$6:$AK$505,"○")&gt;0,1,0))</f>
        <v>0</v>
      </c>
      <c r="W83" s="39" t="n">
        <f aca="false">IF(W$4=0,0,IF(COUNTIFS(実績!$W$6:$W$505,W$3,実績!$AI$6:$AI$505,"&lt;="&amp;$A83,実績!$AJ$6:$AJ$505,"&gt;"&amp;$A83,実績!$AK$6:$AK$505,"○")&gt;0,1,0))</f>
        <v>0</v>
      </c>
      <c r="X83" s="39" t="n">
        <f aca="false">IF(X$4=0,0,IF(COUNTIFS(実績!$W$6:$W$505,X$3,実績!$AI$6:$AI$505,"&lt;="&amp;$A83,実績!$AJ$6:$AJ$505,"&gt;"&amp;$A83,実績!$AK$6:$AK$505,"○")&gt;0,1,0))</f>
        <v>0</v>
      </c>
      <c r="Y83" s="39" t="n">
        <f aca="false">IF(Y$4=0,0,IF(COUNTIFS(実績!$W$6:$W$505,Y$3,実績!$AI$6:$AI$505,"&lt;="&amp;$A83,実績!$AJ$6:$AJ$505,"&gt;"&amp;$A83,実績!$AK$6:$AK$505,"○")&gt;0,1,0))</f>
        <v>0</v>
      </c>
      <c r="Z83" s="39" t="n">
        <f aca="false">IF(Z$4=0,0,IF(COUNTIFS(実績!$W$6:$W$505,Z$3,実績!$AI$6:$AI$505,"&lt;="&amp;$A83,実績!$AJ$6:$AJ$505,"&gt;"&amp;$A83,実績!$AK$6:$AK$505,"○")&gt;0,1,0))</f>
        <v>0</v>
      </c>
      <c r="AA83" s="39" t="n">
        <f aca="false">IF(AA$4=0,0,IF(COUNTIFS(実績!$W$6:$W$505,AA$3,実績!$AI$6:$AI$505,"&lt;="&amp;$A83,実績!$AJ$6:$AJ$505,"&gt;"&amp;$A83,実績!$AK$6:$AK$505,"○")&gt;0,1,0))</f>
        <v>0</v>
      </c>
      <c r="AB83" s="39" t="n">
        <f aca="false">IF(AB$4=0,0,IF(COUNTIFS(実績!$W$6:$W$505,AB$3,実績!$AI$6:$AI$505,"&lt;="&amp;$A83,実績!$AJ$6:$AJ$505,"&gt;"&amp;$A83,実績!$AK$6:$AK$505,"○")&gt;0,1,0))</f>
        <v>0</v>
      </c>
      <c r="AC83" s="39" t="n">
        <f aca="false">IF(AC$4=0,0,IF(COUNTIFS(実績!$W$6:$W$505,AC$3,実績!$AI$6:$AI$505,"&lt;="&amp;$A83,実績!$AJ$6:$AJ$505,"&gt;"&amp;$A83,実績!$AK$6:$AK$505,"○")&gt;0,1,0))</f>
        <v>0</v>
      </c>
      <c r="AD83" s="39" t="n">
        <f aca="false">IF(AD$4=0,0,IF(COUNTIFS(実績!$W$6:$W$505,AD$3,実績!$AI$6:$AI$505,"&lt;="&amp;$A83,実績!$AJ$6:$AJ$505,"&gt;"&amp;$A83,実績!$AK$6:$AK$505,"○")&gt;0,1,0))</f>
        <v>0</v>
      </c>
      <c r="AE83" s="39" t="n">
        <f aca="false">IF(AE$4=0,0,IF(COUNTIFS(実績!$W$6:$W$505,AE$3,実績!$AI$6:$AI$505,"&lt;="&amp;$A83,実績!$AJ$6:$AJ$505,"&gt;"&amp;$A83,実績!$AK$6:$AK$505,"○")&gt;0,1,0))</f>
        <v>0</v>
      </c>
      <c r="AF83" s="39" t="n">
        <f aca="false">IF(AF$4=0,0,IF(COUNTIFS(実績!$W$6:$W$505,AF$3,実績!$AI$6:$AI$505,"&lt;="&amp;$A83,実績!$AJ$6:$AJ$505,"&gt;"&amp;$A83,実績!$AK$6:$AK$505,"○")&gt;0,1,0))</f>
        <v>0</v>
      </c>
      <c r="AG83" s="39" t="n">
        <f aca="false">IF(AG$4=0,0,IF(COUNTIFS(実績!$W$6:$W$505,AG$3,実績!$AI$6:$AI$505,"&lt;="&amp;$A83,実績!$AJ$6:$AJ$505,"&gt;"&amp;$A83,実績!$AK$6:$AK$505,"○")&gt;0,1,0))</f>
        <v>0</v>
      </c>
      <c r="AH83" s="39" t="n">
        <f aca="false">IF(AH$4=0,0,IF(COUNTIFS(実績!$W$6:$W$505,AH$3,実績!$AI$6:$AI$505,"&lt;="&amp;$A83,実績!$AJ$6:$AJ$505,"&gt;"&amp;$A83,実績!$AK$6:$AK$505,"○")&gt;0,1,0))</f>
        <v>0</v>
      </c>
      <c r="AI83" s="39" t="n">
        <f aca="false">IF(AI$4=0,0,IF(COUNTIFS(実績!$W$6:$W$505,AI$3,実績!$AI$6:$AI$505,"&lt;="&amp;$A83,実績!$AJ$6:$AJ$505,"&gt;"&amp;$A83,実績!$AK$6:$AK$505,"○")&gt;0,1,0))</f>
        <v>0</v>
      </c>
      <c r="AJ83" s="39" t="n">
        <f aca="false">IF(AJ$4=0,0,IF(COUNTIFS(実績!$W$6:$W$505,AJ$3,実績!$AI$6:$AI$505,"&lt;="&amp;$A83,実績!$AJ$6:$AJ$505,"&gt;"&amp;$A83,実績!$AK$6:$AK$505,"○")&gt;0,1,0))</f>
        <v>0</v>
      </c>
      <c r="AK83" s="39" t="n">
        <f aca="false">IF(AK$4=0,0,IF(COUNTIFS(実績!$W$6:$W$505,AK$3,実績!$AI$6:$AI$505,"&lt;="&amp;$A83,実績!$AJ$6:$AJ$505,"&gt;"&amp;$A83,実績!$AK$6:$AK$505,"○")&gt;0,1,0))</f>
        <v>0</v>
      </c>
      <c r="AL83" s="39" t="n">
        <f aca="false">IF(AL$4=0,0,IF(COUNTIFS(実績!$W$6:$W$505,AL$3,実績!$AI$6:$AI$505,"&lt;="&amp;$A83,実績!$AJ$6:$AJ$505,"&gt;"&amp;$A83,実績!$AK$6:$AK$505,"○")&gt;0,1,0))</f>
        <v>0</v>
      </c>
      <c r="AM83" s="39" t="n">
        <f aca="false">IF(AM$4=0,0,IF(COUNTIFS(実績!$W$6:$W$505,AM$3,実績!$AI$6:$AI$505,"&lt;="&amp;$A83,実績!$AJ$6:$AJ$505,"&gt;"&amp;$A83,実績!$AK$6:$AK$505,"○")&gt;0,1,0))</f>
        <v>0</v>
      </c>
      <c r="AN83" s="39" t="n">
        <f aca="false">IF(AN$4=0,0,IF(COUNTIFS(実績!$W$6:$W$505,AN$3,実績!$AI$6:$AI$505,"&lt;="&amp;$A83,実績!$AJ$6:$AJ$505,"&gt;"&amp;$A83,実績!$AK$6:$AK$505,"○")&gt;0,1,0))</f>
        <v>0</v>
      </c>
      <c r="AO83" s="39" t="n">
        <f aca="false">IF(AO$4=0,0,IF(COUNTIFS(実績!$W$6:$W$505,AO$3,実績!$AI$6:$AI$505,"&lt;="&amp;$A83,実績!$AJ$6:$AJ$505,"&gt;"&amp;$A83,実績!$AK$6:$AK$505,"○")&gt;0,1,0))</f>
        <v>0</v>
      </c>
      <c r="AP83" s="39" t="n">
        <f aca="false">IF(AP$4=0,0,IF(COUNTIFS(実績!$W$6:$W$505,AP$3,実績!$AI$6:$AI$505,"&lt;="&amp;$A83,実績!$AJ$6:$AJ$505,"&gt;"&amp;$A83,実績!$AK$6:$AK$505,"○")&gt;0,1,0))</f>
        <v>0</v>
      </c>
      <c r="AQ83" s="39" t="n">
        <f aca="false">IF(AQ$4=0,0,IF(COUNTIFS(実績!$W$6:$W$505,AQ$3,実績!$AI$6:$AI$505,"&lt;="&amp;$A83,実績!$AJ$6:$AJ$505,"&gt;"&amp;$A83,実績!$AK$6:$AK$505,"○")&gt;0,1,0))</f>
        <v>0</v>
      </c>
      <c r="AR83" s="39" t="n">
        <f aca="false">IF(AR$4=0,0,IF(COUNTIFS(実績!$W$6:$W$505,AR$3,実績!$AI$6:$AI$505,"&lt;="&amp;$A83,実績!$AJ$6:$AJ$505,"&gt;"&amp;$A83,実績!$AK$6:$AK$505,"○")&gt;0,1,0))</f>
        <v>0</v>
      </c>
      <c r="AS83" s="39" t="n">
        <f aca="false">IF(AS$4=0,0,IF(COUNTIFS(実績!$W$6:$W$505,AS$3,実績!$AI$6:$AI$505,"&lt;="&amp;$A83,実績!$AJ$6:$AJ$505,"&gt;"&amp;$A83,実績!$AK$6:$AK$505,"○")&gt;0,1,0))</f>
        <v>0</v>
      </c>
      <c r="AT83" s="39" t="n">
        <f aca="false">IF(AT$4=0,0,IF(COUNTIFS(実績!$W$6:$W$505,AT$3,実績!$AI$6:$AI$505,"&lt;="&amp;$A83,実績!$AJ$6:$AJ$505,"&gt;"&amp;$A83,実績!$AK$6:$AK$505,"○")&gt;0,1,0))</f>
        <v>0</v>
      </c>
      <c r="AU83" s="39" t="n">
        <f aca="false">IF(AU$4=0,0,IF(COUNTIFS(実績!$W$6:$W$505,AU$3,実績!$AI$6:$AI$505,"&lt;="&amp;$A83,実績!$AJ$6:$AJ$505,"&gt;"&amp;$A83,実績!$AK$6:$AK$505,"○")&gt;0,1,0))</f>
        <v>0</v>
      </c>
      <c r="AV83" s="39" t="n">
        <f aca="false">IF(AV$4=0,0,IF(COUNTIFS(実績!$W$6:$W$505,AV$3,実績!$AI$6:$AI$505,"&lt;="&amp;$A83,実績!$AJ$6:$AJ$505,"&gt;"&amp;$A83,実績!$AK$6:$AK$505,"○")&gt;0,1,0))</f>
        <v>0</v>
      </c>
      <c r="AW83" s="39" t="n">
        <f aca="false">IF(AW$4=0,0,IF(COUNTIFS(実績!$W$6:$W$505,AW$3,実績!$AI$6:$AI$505,"&lt;="&amp;$A83,実績!$AJ$6:$AJ$505,"&gt;"&amp;$A83,実績!$AK$6:$AK$505,"○")&gt;0,1,0))</f>
        <v>0</v>
      </c>
      <c r="AX83" s="39" t="n">
        <f aca="false">IF(AX$4=0,0,IF(COUNTIFS(実績!$W$6:$W$505,AX$3,実績!$AI$6:$AI$505,"&lt;="&amp;$A83,実績!$AJ$6:$AJ$505,"&gt;"&amp;$A83,実績!$AK$6:$AK$505,"○")&gt;0,1,0))</f>
        <v>0</v>
      </c>
      <c r="AY83" s="39" t="n">
        <f aca="false">IF(AY$4=0,0,IF(COUNTIFS(実績!$W$6:$W$505,AY$3,実績!$AI$6:$AI$505,"&lt;="&amp;$A83,実績!$AJ$6:$AJ$505,"&gt;"&amp;$A83,実績!$AK$6:$AK$505,"○")&gt;0,1,0))</f>
        <v>0</v>
      </c>
      <c r="AZ83" s="39" t="n">
        <f aca="false">IF(AZ$4=0,0,IF(COUNTIFS(実績!$W$6:$W$505,AZ$3,実績!$AI$6:$AI$505,"&lt;="&amp;$A83,実績!$AJ$6:$AJ$505,"&gt;"&amp;$A83,実績!$AK$6:$AK$505,"○")&gt;0,1,0))</f>
        <v>0</v>
      </c>
      <c r="BA83" s="39" t="n">
        <f aca="false">IF(BA$4=0,0,IF(COUNTIFS(実績!$W$6:$W$505,BA$3,実績!$AI$6:$AI$505,"&lt;="&amp;$A83,実績!$AJ$6:$AJ$505,"&gt;"&amp;$A83,実績!$AK$6:$AK$505,"○")&gt;0,1,0))</f>
        <v>0</v>
      </c>
      <c r="BB83" s="39" t="n">
        <f aca="false">IF(BB$4=0,0,IF(COUNTIFS(実績!$W$6:$W$505,BB$3,実績!$AI$6:$AI$505,"&lt;="&amp;$A83,実績!$AJ$6:$AJ$505,"&gt;"&amp;$A83,実績!$AK$6:$AK$505,"○")&gt;0,1,0))</f>
        <v>0</v>
      </c>
      <c r="BC83" s="39" t="n">
        <f aca="false">IF(BC$4=0,0,IF(COUNTIFS(実績!$W$6:$W$505,BC$3,実績!$AI$6:$AI$505,"&lt;="&amp;$A83,実績!$AJ$6:$AJ$505,"&gt;"&amp;$A83,実績!$AK$6:$AK$505,"○")&gt;0,1,0))</f>
        <v>0</v>
      </c>
      <c r="BD83" s="39" t="n">
        <f aca="false">IF(BD$4=0,0,IF(COUNTIFS(実績!$W$6:$W$505,BD$3,実績!$AI$6:$AI$505,"&lt;="&amp;$A83,実績!$AJ$6:$AJ$505,"&gt;"&amp;$A83,実績!$AK$6:$AK$505,"○")&gt;0,1,0))</f>
        <v>0</v>
      </c>
      <c r="BE83" s="39" t="n">
        <f aca="false">IF(BE$4=0,0,IF(COUNTIFS(実績!$W$6:$W$505,BE$3,実績!$AI$6:$AI$505,"&lt;="&amp;$A83,実績!$AJ$6:$AJ$505,"&gt;"&amp;$A83,実績!$AK$6:$AK$505,"○")&gt;0,1,0))</f>
        <v>0</v>
      </c>
      <c r="BF83" s="39" t="n">
        <f aca="false">IF(BF$4=0,0,IF(COUNTIFS(実績!$W$6:$W$505,BF$3,実績!$AI$6:$AI$505,"&lt;="&amp;$A83,実績!$AJ$6:$AJ$505,"&gt;"&amp;$A83,実績!$AK$6:$AK$505,"○")&gt;0,1,0))</f>
        <v>0</v>
      </c>
      <c r="BG83" s="39" t="n">
        <f aca="false">IF(BG$4=0,0,IF(COUNTIFS(実績!$W$6:$W$505,BG$3,実績!$AI$6:$AI$505,"&lt;="&amp;$A83,実績!$AJ$6:$AJ$505,"&gt;"&amp;$A83,実績!$AK$6:$AK$505,"○")&gt;0,1,0))</f>
        <v>0</v>
      </c>
      <c r="BH83" s="39" t="n">
        <f aca="false">IF(BH$4=0,0,IF(COUNTIFS(実績!$W$6:$W$505,BH$3,実績!$AI$6:$AI$505,"&lt;="&amp;$A83,実績!$AJ$6:$AJ$505,"&gt;"&amp;$A83,実績!$AK$6:$AK$505,"○")&gt;0,1,0))</f>
        <v>0</v>
      </c>
      <c r="BI83" s="39" t="n">
        <f aca="false">IF(BI$4=0,0,IF(COUNTIFS(実績!$W$6:$W$505,BI$3,実績!$AI$6:$AI$505,"&lt;="&amp;$A83,実績!$AJ$6:$AJ$505,"&gt;"&amp;$A83,実績!$AK$6:$AK$505,"○")&gt;0,1,0))</f>
        <v>0</v>
      </c>
      <c r="BJ83" s="39" t="n">
        <f aca="false">IF(BJ$4=0,0,IF(COUNTIFS(実績!$W$6:$W$505,BJ$3,実績!$AI$6:$AI$505,"&lt;="&amp;$A83,実績!$AJ$6:$AJ$505,"&gt;"&amp;$A83,実績!$AK$6:$AK$505,"○")&gt;0,1,0))</f>
        <v>0</v>
      </c>
      <c r="BK83" s="39" t="n">
        <f aca="false">IF(BK$4=0,0,IF(COUNTIFS(実績!$W$6:$W$505,BK$3,実績!$AI$6:$AI$505,"&lt;="&amp;$A83,実績!$AJ$6:$AJ$505,"&gt;"&amp;$A83,実績!$AK$6:$AK$505,"○")&gt;0,1,0))</f>
        <v>0</v>
      </c>
      <c r="BL83" s="39" t="n">
        <f aca="false">IF(BL$4=0,0,IF(COUNTIFS(実績!$W$6:$W$505,BL$3,実績!$AI$6:$AI$505,"&lt;="&amp;$A83,実績!$AJ$6:$AJ$505,"&gt;"&amp;$A83,実績!$AK$6:$AK$505,"○")&gt;0,1,0))</f>
        <v>0</v>
      </c>
      <c r="BM83" s="39" t="n">
        <f aca="false">IF(BM$4=0,0,IF(COUNTIFS(実績!$W$6:$W$505,BM$3,実績!$AI$6:$AI$505,"&lt;="&amp;$A83,実績!$AJ$6:$AJ$505,"&gt;"&amp;$A83,実績!$AK$6:$AK$505,"○")&gt;0,1,0))</f>
        <v>0</v>
      </c>
      <c r="BN83" s="39" t="n">
        <f aca="false">IF(BN$4=0,0,IF(COUNTIFS(実績!$W$6:$W$505,BN$3,実績!$AI$6:$AI$505,"&lt;="&amp;$A83,実績!$AJ$6:$AJ$505,"&gt;"&amp;$A83,実績!$AK$6:$AK$505,"○")&gt;0,1,0))</f>
        <v>0</v>
      </c>
      <c r="BO83" s="39" t="n">
        <f aca="false">IF(BO$4=0,0,IF(COUNTIFS(実績!$W$6:$W$505,BO$3,実績!$AI$6:$AI$505,"&lt;="&amp;$A83,実績!$AJ$6:$AJ$505,"&gt;"&amp;$A83,実績!$AK$6:$AK$505,"○")&gt;0,1,0))</f>
        <v>0</v>
      </c>
      <c r="BP83" s="39" t="n">
        <f aca="false">IF(BP$4=0,0,IF(COUNTIFS(実績!$W$6:$W$505,BP$3,実績!$AI$6:$AI$505,"&lt;="&amp;$A83,実績!$AJ$6:$AJ$505,"&gt;"&amp;$A83,実績!$AK$6:$AK$505,"○")&gt;0,1,0))</f>
        <v>0</v>
      </c>
      <c r="BQ83" s="39" t="n">
        <f aca="false">IF(BQ$4=0,0,IF(COUNTIFS(実績!$W$6:$W$505,BQ$3,実績!$AI$6:$AI$505,"&lt;="&amp;$A83,実績!$AJ$6:$AJ$505,"&gt;"&amp;$A83,実績!$AK$6:$AK$505,"○")&gt;0,1,0))</f>
        <v>0</v>
      </c>
      <c r="BR83" s="39" t="n">
        <f aca="false">IF(BR$4=0,0,IF(COUNTIFS(実績!$W$6:$W$505,BR$3,実績!$AI$6:$AI$505,"&lt;="&amp;$A83,実績!$AJ$6:$AJ$505,"&gt;"&amp;$A83,実績!$AK$6:$AK$505,"○")&gt;0,1,0))</f>
        <v>0</v>
      </c>
      <c r="BS83" s="39" t="n">
        <f aca="false">IF(BS$4=0,0,IF(COUNTIFS(実績!$W$6:$W$505,BS$3,実績!$AI$6:$AI$505,"&lt;="&amp;$A83,実績!$AJ$6:$AJ$505,"&gt;"&amp;$A83,実績!$AK$6:$AK$505,"○")&gt;0,1,0))</f>
        <v>0</v>
      </c>
      <c r="BT83" s="39" t="n">
        <f aca="false">IF(BT$4=0,0,IF(COUNTIFS(実績!$W$6:$W$505,BT$3,実績!$AI$6:$AI$505,"&lt;="&amp;$A83,実績!$AJ$6:$AJ$505,"&gt;"&amp;$A83,実績!$AK$6:$AK$505,"○")&gt;0,1,0))</f>
        <v>0</v>
      </c>
      <c r="BU83" s="39" t="n">
        <f aca="false">IF(BU$4=0,0,IF(COUNTIFS(実績!$W$6:$W$505,BU$3,実績!$AI$6:$AI$505,"&lt;="&amp;$A83,実績!$AJ$6:$AJ$505,"&gt;"&amp;$A83,実績!$AK$6:$AK$505,"○")&gt;0,1,0))</f>
        <v>0</v>
      </c>
      <c r="BV83" s="39" t="n">
        <f aca="false">IF(BV$4=0,0,IF(COUNTIFS(実績!$W$6:$W$505,BV$3,実績!$AI$6:$AI$505,"&lt;="&amp;$A83,実績!$AJ$6:$AJ$505,"&gt;"&amp;$A83,実績!$AK$6:$AK$505,"○")&gt;0,1,0))</f>
        <v>0</v>
      </c>
      <c r="BW83" s="39" t="n">
        <f aca="false">IF(BW$4=0,0,IF(COUNTIFS(実績!$W$6:$W$505,BW$3,実績!$AI$6:$AI$505,"&lt;="&amp;$A83,実績!$AJ$6:$AJ$505,"&gt;"&amp;$A83,実績!$AK$6:$AK$505,"○")&gt;0,1,0))</f>
        <v>0</v>
      </c>
      <c r="BX83" s="39" t="n">
        <f aca="false">IF(BX$4=0,0,IF(COUNTIFS(実績!$W$6:$W$505,BX$3,実績!$AI$6:$AI$505,"&lt;="&amp;$A83,実績!$AJ$6:$AJ$505,"&gt;"&amp;$A83,実績!$AK$6:$AK$505,"○")&gt;0,1,0))</f>
        <v>0</v>
      </c>
      <c r="BY83" s="39" t="n">
        <f aca="false">IF(BY$4=0,0,IF(COUNTIFS(実績!$W$6:$W$505,BY$3,実績!$AI$6:$AI$505,"&lt;="&amp;$A83,実績!$AJ$6:$AJ$505,"&gt;"&amp;$A83,実績!$AK$6:$AK$505,"○")&gt;0,1,0))</f>
        <v>0</v>
      </c>
      <c r="BZ83" s="39" t="n">
        <f aca="false">IF(BZ$4=0,0,IF(COUNTIFS(実績!$W$6:$W$505,BZ$3,実績!$AI$6:$AI$505,"&lt;="&amp;$A83,実績!$AJ$6:$AJ$505,"&gt;"&amp;$A83,実績!$AK$6:$AK$505,"○")&gt;0,1,0))</f>
        <v>0</v>
      </c>
      <c r="CA83" s="39" t="n">
        <f aca="false">IF(CA$4=0,0,IF(COUNTIFS(実績!$W$6:$W$505,CA$3,実績!$AI$6:$AI$505,"&lt;="&amp;$A83,実績!$AJ$6:$AJ$505,"&gt;"&amp;$A83,実績!$AK$6:$AK$505,"○")&gt;0,1,0))</f>
        <v>0</v>
      </c>
      <c r="CB83" s="39" t="n">
        <f aca="false">IF(CB$4=0,0,IF(COUNTIFS(実績!$W$6:$W$505,CB$3,実績!$AI$6:$AI$505,"&lt;="&amp;$A83,実績!$AJ$6:$AJ$505,"&gt;"&amp;$A83,実績!$AK$6:$AK$505,"○")&gt;0,1,0))</f>
        <v>0</v>
      </c>
      <c r="CC83" s="39" t="n">
        <f aca="false">IF(CC$4=0,0,IF(COUNTIFS(実績!$W$6:$W$505,CC$3,実績!$AI$6:$AI$505,"&lt;="&amp;$A83,実績!$AJ$6:$AJ$505,"&gt;"&amp;$A83,実績!$AK$6:$AK$505,"○")&gt;0,1,0))</f>
        <v>0</v>
      </c>
      <c r="CD83" s="39" t="n">
        <f aca="false">IF(CD$4=0,0,IF(COUNTIFS(実績!$W$6:$W$505,CD$3,実績!$AI$6:$AI$505,"&lt;="&amp;$A83,実績!$AJ$6:$AJ$505,"&gt;"&amp;$A83,実績!$AK$6:$AK$505,"○")&gt;0,1,0))</f>
        <v>0</v>
      </c>
      <c r="CE83" s="39" t="n">
        <f aca="false">IF(CE$4=0,0,IF(COUNTIFS(実績!$W$6:$W$505,CE$3,実績!$AI$6:$AI$505,"&lt;="&amp;$A83,実績!$AJ$6:$AJ$505,"&gt;"&amp;$A83,実績!$AK$6:$AK$505,"○")&gt;0,1,0))</f>
        <v>0</v>
      </c>
      <c r="CF83" s="39" t="n">
        <f aca="false">IF(CF$4=0,0,IF(COUNTIFS(実績!$W$6:$W$505,CF$3,実績!$AI$6:$AI$505,"&lt;="&amp;$A83,実績!$AJ$6:$AJ$505,"&gt;"&amp;$A83,実績!$AK$6:$AK$505,"○")&gt;0,1,0))</f>
        <v>0</v>
      </c>
      <c r="CG83" s="39" t="n">
        <f aca="false">IF(CG$4=0,0,IF(COUNTIFS(実績!$W$6:$W$505,CG$3,実績!$AI$6:$AI$505,"&lt;="&amp;$A83,実績!$AJ$6:$AJ$505,"&gt;"&amp;$A83,実績!$AK$6:$AK$505,"○")&gt;0,1,0))</f>
        <v>0</v>
      </c>
      <c r="CH83" s="39" t="n">
        <f aca="false">IF(CH$4=0,0,IF(COUNTIFS(実績!$W$6:$W$505,CH$3,実績!$AI$6:$AI$505,"&lt;="&amp;$A83,実績!$AJ$6:$AJ$505,"&gt;"&amp;$A83,実績!$AK$6:$AK$505,"○")&gt;0,1,0))</f>
        <v>0</v>
      </c>
      <c r="CI83" s="39" t="n">
        <f aca="false">IF(CI$4=0,0,IF(COUNTIFS(実績!$W$6:$W$505,CI$3,実績!$AI$6:$AI$505,"&lt;="&amp;$A83,実績!$AJ$6:$AJ$505,"&gt;"&amp;$A83,実績!$AK$6:$AK$505,"○")&gt;0,1,0))</f>
        <v>0</v>
      </c>
      <c r="CJ83" s="39" t="n">
        <f aca="false">IF(CJ$4=0,0,IF(COUNTIFS(実績!$W$6:$W$505,CJ$3,実績!$AI$6:$AI$505,"&lt;="&amp;$A83,実績!$AJ$6:$AJ$505,"&gt;"&amp;$A83,実績!$AK$6:$AK$505,"○")&gt;0,1,0))</f>
        <v>0</v>
      </c>
      <c r="CK83" s="39" t="n">
        <f aca="false">IF(CK$4=0,0,IF(COUNTIFS(実績!$W$6:$W$505,CK$3,実績!$AI$6:$AI$505,"&lt;="&amp;$A83,実績!$AJ$6:$AJ$505,"&gt;"&amp;$A83,実績!$AK$6:$AK$505,"○")&gt;0,1,0))</f>
        <v>0</v>
      </c>
      <c r="CL83" s="39" t="n">
        <f aca="false">IF(CL$4=0,0,IF(COUNTIFS(実績!$W$6:$W$505,CL$3,実績!$AI$6:$AI$505,"&lt;="&amp;$A83,実績!$AJ$6:$AJ$505,"&gt;"&amp;$A83,実績!$AK$6:$AK$505,"○")&gt;0,1,0))</f>
        <v>0</v>
      </c>
      <c r="CM83" s="39" t="n">
        <f aca="false">IF(CM$4=0,0,IF(COUNTIFS(実績!$W$6:$W$505,CM$3,実績!$AI$6:$AI$505,"&lt;="&amp;$A83,実績!$AJ$6:$AJ$505,"&gt;"&amp;$A83,実績!$AK$6:$AK$505,"○")&gt;0,1,0))</f>
        <v>0</v>
      </c>
      <c r="CN83" s="39" t="n">
        <f aca="false">IF(CN$4=0,0,IF(COUNTIFS(実績!$W$6:$W$505,CN$3,実績!$AI$6:$AI$505,"&lt;="&amp;$A83,実績!$AJ$6:$AJ$505,"&gt;"&amp;$A83,実績!$AK$6:$AK$505,"○")&gt;0,1,0))</f>
        <v>0</v>
      </c>
      <c r="CO83" s="39" t="n">
        <f aca="false">IF(CO$4=0,0,IF(COUNTIFS(実績!$W$6:$W$505,CO$3,実績!$AI$6:$AI$505,"&lt;="&amp;$A83,実績!$AJ$6:$AJ$505,"&gt;"&amp;$A83,実績!$AK$6:$AK$505,"○")&gt;0,1,0))</f>
        <v>0</v>
      </c>
      <c r="CP83" s="39" t="n">
        <f aca="false">IF(CP$4=0,0,IF(COUNTIFS(実績!$W$6:$W$505,CP$3,実績!$AI$6:$AI$505,"&lt;="&amp;$A83,実績!$AJ$6:$AJ$505,"&gt;"&amp;$A83,実績!$AK$6:$AK$505,"○")&gt;0,1,0))</f>
        <v>0</v>
      </c>
      <c r="CQ83" s="39" t="n">
        <f aca="false">IF(CQ$4=0,0,IF(COUNTIFS(実績!$W$6:$W$505,CQ$3,実績!$AI$6:$AI$505,"&lt;="&amp;$A83,実績!$AJ$6:$AJ$505,"&gt;"&amp;$A83,実績!$AK$6:$AK$505,"○")&gt;0,1,0))</f>
        <v>0</v>
      </c>
      <c r="CR83" s="39" t="n">
        <f aca="false">IF(CR$4=0,0,IF(COUNTIFS(実績!$W$6:$W$505,CR$3,実績!$AI$6:$AI$505,"&lt;="&amp;$A83,実績!$AJ$6:$AJ$505,"&gt;"&amp;$A83,実績!$AK$6:$AK$505,"○")&gt;0,1,0))</f>
        <v>0</v>
      </c>
      <c r="CS83" s="39" t="n">
        <f aca="false">IF(CS$4=0,0,IF(COUNTIFS(実績!$W$6:$W$505,CS$3,実績!$AI$6:$AI$505,"&lt;="&amp;$A83,実績!$AJ$6:$AJ$505,"&gt;"&amp;$A83,実績!$AK$6:$AK$505,"○")&gt;0,1,0))</f>
        <v>0</v>
      </c>
      <c r="CT83" s="39" t="n">
        <f aca="false">IF(CT$4=0,0,IF(COUNTIFS(実績!$W$6:$W$505,CT$3,実績!$AI$6:$AI$505,"&lt;="&amp;$A83,実績!$AJ$6:$AJ$505,"&gt;"&amp;$A83,実績!$AK$6:$AK$505,"○")&gt;0,1,0))</f>
        <v>0</v>
      </c>
      <c r="CU83" s="39" t="n">
        <f aca="false">IF(CU$4=0,0,IF(COUNTIFS(実績!$W$6:$W$505,CU$3,実績!$AI$6:$AI$505,"&lt;="&amp;$A83,実績!$AJ$6:$AJ$505,"&gt;"&amp;$A83,実績!$AK$6:$AK$505,"○")&gt;0,1,0))</f>
        <v>0</v>
      </c>
      <c r="CV83" s="39" t="n">
        <f aca="false">IF(CV$4=0,0,IF(COUNTIFS(実績!$W$6:$W$505,CV$3,実績!$AI$6:$AI$505,"&lt;="&amp;$A83,実績!$AJ$6:$AJ$505,"&gt;"&amp;$A83,実績!$AK$6:$AK$505,"○")&gt;0,1,0))</f>
        <v>0</v>
      </c>
      <c r="CW83" s="39" t="n">
        <f aca="false">IF(CW$4=0,0,IF(COUNTIFS(実績!$W$6:$W$505,CW$3,実績!$AI$6:$AI$505,"&lt;="&amp;$A83,実績!$AJ$6:$AJ$505,"&gt;"&amp;$A83,実績!$AK$6:$AK$505,"○")&gt;0,1,0))</f>
        <v>0</v>
      </c>
      <c r="CX83" s="39" t="n">
        <f aca="false">IF(CX$4=0,0,IF(COUNTIFS(実績!$W$6:$W$505,CX$3,実績!$AI$6:$AI$505,"&lt;="&amp;$A83,実績!$AJ$6:$AJ$505,"&gt;"&amp;$A83,実績!$AK$6:$AK$505,"○")&gt;0,1,0))</f>
        <v>0</v>
      </c>
      <c r="CY83" s="39" t="n">
        <f aca="false">IF(CY$4=0,0,IF(COUNTIFS(実績!$W$6:$W$505,CY$3,実績!$AI$6:$AI$505,"&lt;="&amp;$A83,実績!$AJ$6:$AJ$505,"&gt;"&amp;$A83,実績!$AK$6:$AK$505,"○")&gt;0,1,0))</f>
        <v>0</v>
      </c>
      <c r="CZ83" s="39" t="n">
        <f aca="false">IF(CZ$4=0,0,IF(COUNTIFS(実績!$W$6:$W$505,CZ$3,実績!$AI$6:$AI$505,"&lt;="&amp;$A83,実績!$AJ$6:$AJ$505,"&gt;"&amp;$A83,実績!$AK$6:$AK$505,"○")&gt;0,1,0))</f>
        <v>0</v>
      </c>
      <c r="DA83" s="39" t="n">
        <f aca="false">IF(DA$4=0,0,IF(COUNTIFS(実績!$W$6:$W$505,DA$3,実績!$AI$6:$AI$505,"&lt;="&amp;$A83,実績!$AJ$6:$AJ$505,"&gt;"&amp;$A83,実績!$AK$6:$AK$505,"○")&gt;0,1,0))</f>
        <v>0</v>
      </c>
      <c r="DB83" s="39" t="n">
        <f aca="false">IF(DB$4=0,0,IF(COUNTIFS(実績!$W$6:$W$505,DB$3,実績!$AI$6:$AI$505,"&lt;="&amp;$A83,実績!$AJ$6:$AJ$505,"&gt;"&amp;$A83,実績!$AK$6:$AK$505,"○")&gt;0,1,0))</f>
        <v>0</v>
      </c>
      <c r="DC83" s="39" t="n">
        <f aca="false">IF(DC$4=0,0,IF(COUNTIFS(実績!$W$6:$W$505,DC$3,実績!$AI$6:$AI$505,"&lt;="&amp;$A83,実績!$AJ$6:$AJ$505,"&gt;"&amp;$A83,実績!$AK$6:$AK$505,"○")&gt;0,1,0))</f>
        <v>0</v>
      </c>
      <c r="DD83" s="39" t="n">
        <f aca="false">IF(DD$4=0,0,IF(COUNTIFS(実績!$W$6:$W$505,DD$3,実績!$AI$6:$AI$505,"&lt;="&amp;$A83,実績!$AJ$6:$AJ$505,"&gt;"&amp;$A83,実績!$AK$6:$AK$505,"○")&gt;0,1,0))</f>
        <v>0</v>
      </c>
      <c r="DE83" s="39" t="n">
        <f aca="false">IF(DE$4=0,0,IF(COUNTIFS(実績!$W$6:$W$505,DE$3,実績!$AI$6:$AI$505,"&lt;="&amp;$A83,実績!$AJ$6:$AJ$505,"&gt;"&amp;$A83,実績!$AK$6:$AK$505,"○")&gt;0,1,0))</f>
        <v>0</v>
      </c>
      <c r="DF83" s="39" t="n">
        <f aca="false">IF(DF$4=0,0,IF(COUNTIFS(実績!$W$6:$W$505,DF$3,実績!$AI$6:$AI$505,"&lt;="&amp;$A83,実績!$AJ$6:$AJ$505,"&gt;"&amp;$A83,実績!$AK$6:$AK$505,"○")&gt;0,1,0))</f>
        <v>0</v>
      </c>
      <c r="DG83" s="39" t="n">
        <f aca="false">IF(DG$4=0,0,IF(COUNTIFS(実績!$W$6:$W$505,DG$3,実績!$AI$6:$AI$505,"&lt;="&amp;$A83,実績!$AJ$6:$AJ$505,"&gt;"&amp;$A83,実績!$AK$6:$AK$505,"○")&gt;0,1,0))</f>
        <v>0</v>
      </c>
      <c r="DH83" s="39" t="n">
        <f aca="false">IF(DH$4=0,0,IF(COUNTIFS(実績!$W$6:$W$505,DH$3,実績!$AI$6:$AI$505,"&lt;="&amp;$A83,実績!$AJ$6:$AJ$505,"&gt;"&amp;$A83,実績!$AK$6:$AK$505,"○")&gt;0,1,0))</f>
        <v>0</v>
      </c>
      <c r="DI83" s="39" t="n">
        <f aca="false">IF(DI$4=0,0,IF(COUNTIFS(実績!$W$6:$W$505,DI$3,実績!$AI$6:$AI$505,"&lt;="&amp;$A83,実績!$AJ$6:$AJ$505,"&gt;"&amp;$A83,実績!$AK$6:$AK$505,"○")&gt;0,1,0))</f>
        <v>0</v>
      </c>
      <c r="DJ83" s="39" t="n">
        <f aca="false">IF(DJ$4=0,0,IF(COUNTIFS(実績!$W$6:$W$505,DJ$3,実績!$AI$6:$AI$505,"&lt;="&amp;$A83,実績!$AJ$6:$AJ$505,"&gt;"&amp;$A83,実績!$AK$6:$AK$505,"○")&gt;0,1,0))</f>
        <v>0</v>
      </c>
      <c r="DK83" s="39" t="n">
        <f aca="false">IF(DK$4=0,0,IF(COUNTIFS(実績!$W$6:$W$505,DK$3,実績!$AI$6:$AI$505,"&lt;="&amp;$A83,実績!$AJ$6:$AJ$505,"&gt;"&amp;$A83,実績!$AK$6:$AK$505,"○")&gt;0,1,0))</f>
        <v>0</v>
      </c>
      <c r="DL83" s="39" t="n">
        <f aca="false">IF(DL$4=0,0,IF(COUNTIFS(実績!$W$6:$W$505,DL$3,実績!$AI$6:$AI$505,"&lt;="&amp;$A83,実績!$AJ$6:$AJ$505,"&gt;"&amp;$A83,実績!$AK$6:$AK$505,"○")&gt;0,1,0))</f>
        <v>0</v>
      </c>
      <c r="DM83" s="39" t="n">
        <f aca="false">IF(DM$4=0,0,IF(COUNTIFS(実績!$W$6:$W$505,DM$3,実績!$AI$6:$AI$505,"&lt;="&amp;$A83,実績!$AJ$6:$AJ$505,"&gt;"&amp;$A83,実績!$AK$6:$AK$505,"○")&gt;0,1,0))</f>
        <v>0</v>
      </c>
      <c r="DN83" s="39" t="n">
        <f aca="false">IF(DN$4=0,0,IF(COUNTIFS(実績!$W$6:$W$505,DN$3,実績!$AI$6:$AI$505,"&lt;="&amp;$A83,実績!$AJ$6:$AJ$505,"&gt;"&amp;$A83,実績!$AK$6:$AK$505,"○")&gt;0,1,0))</f>
        <v>0</v>
      </c>
      <c r="DO83" s="39" t="n">
        <f aca="false">IF(DO$4=0,0,IF(COUNTIFS(実績!$W$6:$W$505,DO$3,実績!$AI$6:$AI$505,"&lt;="&amp;$A83,実績!$AJ$6:$AJ$505,"&gt;"&amp;$A83,実績!$AK$6:$AK$505,"○")&gt;0,1,0))</f>
        <v>0</v>
      </c>
      <c r="DP83" s="39" t="n">
        <f aca="false">IF(DP$4=0,0,IF(COUNTIFS(実績!$W$6:$W$505,DP$3,実績!$AI$6:$AI$505,"&lt;="&amp;$A83,実績!$AJ$6:$AJ$505,"&gt;"&amp;$A83,実績!$AK$6:$AK$505,"○")&gt;0,1,0))</f>
        <v>0</v>
      </c>
      <c r="DQ83" s="39" t="n">
        <f aca="false">IF(DQ$4=0,0,IF(COUNTIFS(実績!$W$6:$W$505,DQ$3,実績!$AI$6:$AI$505,"&lt;="&amp;$A83,実績!$AJ$6:$AJ$505,"&gt;"&amp;$A83,実績!$AK$6:$AK$505,"○")&gt;0,1,0))</f>
        <v>0</v>
      </c>
      <c r="DR83" s="39" t="n">
        <f aca="false">IF(DR$4=0,0,IF(COUNTIFS(実績!$W$6:$W$505,DR$3,実績!$AI$6:$AI$505,"&lt;="&amp;$A83,実績!$AJ$6:$AJ$505,"&gt;"&amp;$A83,実績!$AK$6:$AK$505,"○")&gt;0,1,0))</f>
        <v>0</v>
      </c>
      <c r="DS83" s="39" t="n">
        <f aca="false">SUM(C83:DR83)</f>
        <v>0</v>
      </c>
      <c r="DT83" s="39" t="n">
        <f aca="false">SUMPRODUCT((実績!$C$6:$C$505="○")*ISNUMBER(実績!$AM$6:$AM$505)*(実績!$AM$6:$AM$505&lt;=$A83)*(実績!$AN$6:$AN$505&gt;$A83))</f>
        <v>0</v>
      </c>
      <c r="DU83" s="39" t="n">
        <f aca="false">SUMIF($C$2:$DR$2,"製鉄曳船",C83:DR83)</f>
        <v>0</v>
      </c>
      <c r="DV83" s="39" t="n">
        <f aca="false">SUMIF($C$2:$DR$2,"西日本海運",C83:DR83)</f>
        <v>0</v>
      </c>
    </row>
    <row r="84" customFormat="false" ht="15" hidden="false" customHeight="false" outlineLevel="0" collapsed="false">
      <c r="A84" s="0" t="n">
        <v>390</v>
      </c>
      <c r="B84" s="38" t="n">
        <f aca="false">A84/1440</f>
        <v>0.270833333333333</v>
      </c>
      <c r="C84" s="39" t="n">
        <f aca="false">IF(C$4=0,0,IF(COUNTIFS(実績!$W$6:$W$505,C$3,実績!$AI$6:$AI$505,"&lt;="&amp;$A84,実績!$AJ$6:$AJ$505,"&gt;"&amp;$A84,実績!$AK$6:$AK$505,"○")&gt;0,1,0))</f>
        <v>0</v>
      </c>
      <c r="D84" s="39" t="n">
        <f aca="false">IF(D$4=0,0,IF(COUNTIFS(実績!$W$6:$W$505,D$3,実績!$AI$6:$AI$505,"&lt;="&amp;$A84,実績!$AJ$6:$AJ$505,"&gt;"&amp;$A84,実績!$AK$6:$AK$505,"○")&gt;0,1,0))</f>
        <v>0</v>
      </c>
      <c r="E84" s="39" t="n">
        <f aca="false">IF(E$4=0,0,IF(COUNTIFS(実績!$W$6:$W$505,E$3,実績!$AI$6:$AI$505,"&lt;="&amp;$A84,実績!$AJ$6:$AJ$505,"&gt;"&amp;$A84,実績!$AK$6:$AK$505,"○")&gt;0,1,0))</f>
        <v>0</v>
      </c>
      <c r="F84" s="39" t="n">
        <f aca="false">IF(F$4=0,0,IF(COUNTIFS(実績!$W$6:$W$505,F$3,実績!$AI$6:$AI$505,"&lt;="&amp;$A84,実績!$AJ$6:$AJ$505,"&gt;"&amp;$A84,実績!$AK$6:$AK$505,"○")&gt;0,1,0))</f>
        <v>0</v>
      </c>
      <c r="G84" s="39" t="n">
        <f aca="false">IF(G$4=0,0,IF(COUNTIFS(実績!$W$6:$W$505,G$3,実績!$AI$6:$AI$505,"&lt;="&amp;$A84,実績!$AJ$6:$AJ$505,"&gt;"&amp;$A84,実績!$AK$6:$AK$505,"○")&gt;0,1,0))</f>
        <v>0</v>
      </c>
      <c r="H84" s="39" t="n">
        <f aca="false">IF(H$4=0,0,IF(COUNTIFS(実績!$W$6:$W$505,H$3,実績!$AI$6:$AI$505,"&lt;="&amp;$A84,実績!$AJ$6:$AJ$505,"&gt;"&amp;$A84,実績!$AK$6:$AK$505,"○")&gt;0,1,0))</f>
        <v>0</v>
      </c>
      <c r="I84" s="39" t="n">
        <f aca="false">IF(I$4=0,0,IF(COUNTIFS(実績!$W$6:$W$505,I$3,実績!$AI$6:$AI$505,"&lt;="&amp;$A84,実績!$AJ$6:$AJ$505,"&gt;"&amp;$A84,実績!$AK$6:$AK$505,"○")&gt;0,1,0))</f>
        <v>0</v>
      </c>
      <c r="J84" s="39" t="n">
        <f aca="false">IF(J$4=0,0,IF(COUNTIFS(実績!$W$6:$W$505,J$3,実績!$AI$6:$AI$505,"&lt;="&amp;$A84,実績!$AJ$6:$AJ$505,"&gt;"&amp;$A84,実績!$AK$6:$AK$505,"○")&gt;0,1,0))</f>
        <v>0</v>
      </c>
      <c r="K84" s="39" t="n">
        <f aca="false">IF(K$4=0,0,IF(COUNTIFS(実績!$W$6:$W$505,K$3,実績!$AI$6:$AI$505,"&lt;="&amp;$A84,実績!$AJ$6:$AJ$505,"&gt;"&amp;$A84,実績!$AK$6:$AK$505,"○")&gt;0,1,0))</f>
        <v>0</v>
      </c>
      <c r="L84" s="39" t="n">
        <f aca="false">IF(L$4=0,0,IF(COUNTIFS(実績!$W$6:$W$505,L$3,実績!$AI$6:$AI$505,"&lt;="&amp;$A84,実績!$AJ$6:$AJ$505,"&gt;"&amp;$A84,実績!$AK$6:$AK$505,"○")&gt;0,1,0))</f>
        <v>0</v>
      </c>
      <c r="M84" s="39" t="n">
        <f aca="false">IF(M$4=0,0,IF(COUNTIFS(実績!$W$6:$W$505,M$3,実績!$AI$6:$AI$505,"&lt;="&amp;$A84,実績!$AJ$6:$AJ$505,"&gt;"&amp;$A84,実績!$AK$6:$AK$505,"○")&gt;0,1,0))</f>
        <v>0</v>
      </c>
      <c r="N84" s="39" t="n">
        <f aca="false">IF(N$4=0,0,IF(COUNTIFS(実績!$W$6:$W$505,N$3,実績!$AI$6:$AI$505,"&lt;="&amp;$A84,実績!$AJ$6:$AJ$505,"&gt;"&amp;$A84,実績!$AK$6:$AK$505,"○")&gt;0,1,0))</f>
        <v>0</v>
      </c>
      <c r="O84" s="39" t="n">
        <f aca="false">IF(O$4=0,0,IF(COUNTIFS(実績!$W$6:$W$505,O$3,実績!$AI$6:$AI$505,"&lt;="&amp;$A84,実績!$AJ$6:$AJ$505,"&gt;"&amp;$A84,実績!$AK$6:$AK$505,"○")&gt;0,1,0))</f>
        <v>0</v>
      </c>
      <c r="P84" s="39" t="n">
        <f aca="false">IF(P$4=0,0,IF(COUNTIFS(実績!$W$6:$W$505,P$3,実績!$AI$6:$AI$505,"&lt;="&amp;$A84,実績!$AJ$6:$AJ$505,"&gt;"&amp;$A84,実績!$AK$6:$AK$505,"○")&gt;0,1,0))</f>
        <v>0</v>
      </c>
      <c r="Q84" s="39" t="n">
        <f aca="false">IF(Q$4=0,0,IF(COUNTIFS(実績!$W$6:$W$505,Q$3,実績!$AI$6:$AI$505,"&lt;="&amp;$A84,実績!$AJ$6:$AJ$505,"&gt;"&amp;$A84,実績!$AK$6:$AK$505,"○")&gt;0,1,0))</f>
        <v>0</v>
      </c>
      <c r="R84" s="39" t="n">
        <f aca="false">IF(R$4=0,0,IF(COUNTIFS(実績!$W$6:$W$505,R$3,実績!$AI$6:$AI$505,"&lt;="&amp;$A84,実績!$AJ$6:$AJ$505,"&gt;"&amp;$A84,実績!$AK$6:$AK$505,"○")&gt;0,1,0))</f>
        <v>0</v>
      </c>
      <c r="S84" s="39" t="n">
        <f aca="false">IF(S$4=0,0,IF(COUNTIFS(実績!$W$6:$W$505,S$3,実績!$AI$6:$AI$505,"&lt;="&amp;$A84,実績!$AJ$6:$AJ$505,"&gt;"&amp;$A84,実績!$AK$6:$AK$505,"○")&gt;0,1,0))</f>
        <v>0</v>
      </c>
      <c r="T84" s="39" t="n">
        <f aca="false">IF(T$4=0,0,IF(COUNTIFS(実績!$W$6:$W$505,T$3,実績!$AI$6:$AI$505,"&lt;="&amp;$A84,実績!$AJ$6:$AJ$505,"&gt;"&amp;$A84,実績!$AK$6:$AK$505,"○")&gt;0,1,0))</f>
        <v>0</v>
      </c>
      <c r="U84" s="39" t="n">
        <f aca="false">IF(U$4=0,0,IF(COUNTIFS(実績!$W$6:$W$505,U$3,実績!$AI$6:$AI$505,"&lt;="&amp;$A84,実績!$AJ$6:$AJ$505,"&gt;"&amp;$A84,実績!$AK$6:$AK$505,"○")&gt;0,1,0))</f>
        <v>0</v>
      </c>
      <c r="V84" s="39" t="n">
        <f aca="false">IF(V$4=0,0,IF(COUNTIFS(実績!$W$6:$W$505,V$3,実績!$AI$6:$AI$505,"&lt;="&amp;$A84,実績!$AJ$6:$AJ$505,"&gt;"&amp;$A84,実績!$AK$6:$AK$505,"○")&gt;0,1,0))</f>
        <v>0</v>
      </c>
      <c r="W84" s="39" t="n">
        <f aca="false">IF(W$4=0,0,IF(COUNTIFS(実績!$W$6:$W$505,W$3,実績!$AI$6:$AI$505,"&lt;="&amp;$A84,実績!$AJ$6:$AJ$505,"&gt;"&amp;$A84,実績!$AK$6:$AK$505,"○")&gt;0,1,0))</f>
        <v>0</v>
      </c>
      <c r="X84" s="39" t="n">
        <f aca="false">IF(X$4=0,0,IF(COUNTIFS(実績!$W$6:$W$505,X$3,実績!$AI$6:$AI$505,"&lt;="&amp;$A84,実績!$AJ$6:$AJ$505,"&gt;"&amp;$A84,実績!$AK$6:$AK$505,"○")&gt;0,1,0))</f>
        <v>0</v>
      </c>
      <c r="Y84" s="39" t="n">
        <f aca="false">IF(Y$4=0,0,IF(COUNTIFS(実績!$W$6:$W$505,Y$3,実績!$AI$6:$AI$505,"&lt;="&amp;$A84,実績!$AJ$6:$AJ$505,"&gt;"&amp;$A84,実績!$AK$6:$AK$505,"○")&gt;0,1,0))</f>
        <v>0</v>
      </c>
      <c r="Z84" s="39" t="n">
        <f aca="false">IF(Z$4=0,0,IF(COUNTIFS(実績!$W$6:$W$505,Z$3,実績!$AI$6:$AI$505,"&lt;="&amp;$A84,実績!$AJ$6:$AJ$505,"&gt;"&amp;$A84,実績!$AK$6:$AK$505,"○")&gt;0,1,0))</f>
        <v>0</v>
      </c>
      <c r="AA84" s="39" t="n">
        <f aca="false">IF(AA$4=0,0,IF(COUNTIFS(実績!$W$6:$W$505,AA$3,実績!$AI$6:$AI$505,"&lt;="&amp;$A84,実績!$AJ$6:$AJ$505,"&gt;"&amp;$A84,実績!$AK$6:$AK$505,"○")&gt;0,1,0))</f>
        <v>0</v>
      </c>
      <c r="AB84" s="39" t="n">
        <f aca="false">IF(AB$4=0,0,IF(COUNTIFS(実績!$W$6:$W$505,AB$3,実績!$AI$6:$AI$505,"&lt;="&amp;$A84,実績!$AJ$6:$AJ$505,"&gt;"&amp;$A84,実績!$AK$6:$AK$505,"○")&gt;0,1,0))</f>
        <v>0</v>
      </c>
      <c r="AC84" s="39" t="n">
        <f aca="false">IF(AC$4=0,0,IF(COUNTIFS(実績!$W$6:$W$505,AC$3,実績!$AI$6:$AI$505,"&lt;="&amp;$A84,実績!$AJ$6:$AJ$505,"&gt;"&amp;$A84,実績!$AK$6:$AK$505,"○")&gt;0,1,0))</f>
        <v>0</v>
      </c>
      <c r="AD84" s="39" t="n">
        <f aca="false">IF(AD$4=0,0,IF(COUNTIFS(実績!$W$6:$W$505,AD$3,実績!$AI$6:$AI$505,"&lt;="&amp;$A84,実績!$AJ$6:$AJ$505,"&gt;"&amp;$A84,実績!$AK$6:$AK$505,"○")&gt;0,1,0))</f>
        <v>0</v>
      </c>
      <c r="AE84" s="39" t="n">
        <f aca="false">IF(AE$4=0,0,IF(COUNTIFS(実績!$W$6:$W$505,AE$3,実績!$AI$6:$AI$505,"&lt;="&amp;$A84,実績!$AJ$6:$AJ$505,"&gt;"&amp;$A84,実績!$AK$6:$AK$505,"○")&gt;0,1,0))</f>
        <v>0</v>
      </c>
      <c r="AF84" s="39" t="n">
        <f aca="false">IF(AF$4=0,0,IF(COUNTIFS(実績!$W$6:$W$505,AF$3,実績!$AI$6:$AI$505,"&lt;="&amp;$A84,実績!$AJ$6:$AJ$505,"&gt;"&amp;$A84,実績!$AK$6:$AK$505,"○")&gt;0,1,0))</f>
        <v>0</v>
      </c>
      <c r="AG84" s="39" t="n">
        <f aca="false">IF(AG$4=0,0,IF(COUNTIFS(実績!$W$6:$W$505,AG$3,実績!$AI$6:$AI$505,"&lt;="&amp;$A84,実績!$AJ$6:$AJ$505,"&gt;"&amp;$A84,実績!$AK$6:$AK$505,"○")&gt;0,1,0))</f>
        <v>0</v>
      </c>
      <c r="AH84" s="39" t="n">
        <f aca="false">IF(AH$4=0,0,IF(COUNTIFS(実績!$W$6:$W$505,AH$3,実績!$AI$6:$AI$505,"&lt;="&amp;$A84,実績!$AJ$6:$AJ$505,"&gt;"&amp;$A84,実績!$AK$6:$AK$505,"○")&gt;0,1,0))</f>
        <v>0</v>
      </c>
      <c r="AI84" s="39" t="n">
        <f aca="false">IF(AI$4=0,0,IF(COUNTIFS(実績!$W$6:$W$505,AI$3,実績!$AI$6:$AI$505,"&lt;="&amp;$A84,実績!$AJ$6:$AJ$505,"&gt;"&amp;$A84,実績!$AK$6:$AK$505,"○")&gt;0,1,0))</f>
        <v>0</v>
      </c>
      <c r="AJ84" s="39" t="n">
        <f aca="false">IF(AJ$4=0,0,IF(COUNTIFS(実績!$W$6:$W$505,AJ$3,実績!$AI$6:$AI$505,"&lt;="&amp;$A84,実績!$AJ$6:$AJ$505,"&gt;"&amp;$A84,実績!$AK$6:$AK$505,"○")&gt;0,1,0))</f>
        <v>0</v>
      </c>
      <c r="AK84" s="39" t="n">
        <f aca="false">IF(AK$4=0,0,IF(COUNTIFS(実績!$W$6:$W$505,AK$3,実績!$AI$6:$AI$505,"&lt;="&amp;$A84,実績!$AJ$6:$AJ$505,"&gt;"&amp;$A84,実績!$AK$6:$AK$505,"○")&gt;0,1,0))</f>
        <v>0</v>
      </c>
      <c r="AL84" s="39" t="n">
        <f aca="false">IF(AL$4=0,0,IF(COUNTIFS(実績!$W$6:$W$505,AL$3,実績!$AI$6:$AI$505,"&lt;="&amp;$A84,実績!$AJ$6:$AJ$505,"&gt;"&amp;$A84,実績!$AK$6:$AK$505,"○")&gt;0,1,0))</f>
        <v>0</v>
      </c>
      <c r="AM84" s="39" t="n">
        <f aca="false">IF(AM$4=0,0,IF(COUNTIFS(実績!$W$6:$W$505,AM$3,実績!$AI$6:$AI$505,"&lt;="&amp;$A84,実績!$AJ$6:$AJ$505,"&gt;"&amp;$A84,実績!$AK$6:$AK$505,"○")&gt;0,1,0))</f>
        <v>0</v>
      </c>
      <c r="AN84" s="39" t="n">
        <f aca="false">IF(AN$4=0,0,IF(COUNTIFS(実績!$W$6:$W$505,AN$3,実績!$AI$6:$AI$505,"&lt;="&amp;$A84,実績!$AJ$6:$AJ$505,"&gt;"&amp;$A84,実績!$AK$6:$AK$505,"○")&gt;0,1,0))</f>
        <v>0</v>
      </c>
      <c r="AO84" s="39" t="n">
        <f aca="false">IF(AO$4=0,0,IF(COUNTIFS(実績!$W$6:$W$505,AO$3,実績!$AI$6:$AI$505,"&lt;="&amp;$A84,実績!$AJ$6:$AJ$505,"&gt;"&amp;$A84,実績!$AK$6:$AK$505,"○")&gt;0,1,0))</f>
        <v>0</v>
      </c>
      <c r="AP84" s="39" t="n">
        <f aca="false">IF(AP$4=0,0,IF(COUNTIFS(実績!$W$6:$W$505,AP$3,実績!$AI$6:$AI$505,"&lt;="&amp;$A84,実績!$AJ$6:$AJ$505,"&gt;"&amp;$A84,実績!$AK$6:$AK$505,"○")&gt;0,1,0))</f>
        <v>0</v>
      </c>
      <c r="AQ84" s="39" t="n">
        <f aca="false">IF(AQ$4=0,0,IF(COUNTIFS(実績!$W$6:$W$505,AQ$3,実績!$AI$6:$AI$505,"&lt;="&amp;$A84,実績!$AJ$6:$AJ$505,"&gt;"&amp;$A84,実績!$AK$6:$AK$505,"○")&gt;0,1,0))</f>
        <v>0</v>
      </c>
      <c r="AR84" s="39" t="n">
        <f aca="false">IF(AR$4=0,0,IF(COUNTIFS(実績!$W$6:$W$505,AR$3,実績!$AI$6:$AI$505,"&lt;="&amp;$A84,実績!$AJ$6:$AJ$505,"&gt;"&amp;$A84,実績!$AK$6:$AK$505,"○")&gt;0,1,0))</f>
        <v>0</v>
      </c>
      <c r="AS84" s="39" t="n">
        <f aca="false">IF(AS$4=0,0,IF(COUNTIFS(実績!$W$6:$W$505,AS$3,実績!$AI$6:$AI$505,"&lt;="&amp;$A84,実績!$AJ$6:$AJ$505,"&gt;"&amp;$A84,実績!$AK$6:$AK$505,"○")&gt;0,1,0))</f>
        <v>0</v>
      </c>
      <c r="AT84" s="39" t="n">
        <f aca="false">IF(AT$4=0,0,IF(COUNTIFS(実績!$W$6:$W$505,AT$3,実績!$AI$6:$AI$505,"&lt;="&amp;$A84,実績!$AJ$6:$AJ$505,"&gt;"&amp;$A84,実績!$AK$6:$AK$505,"○")&gt;0,1,0))</f>
        <v>0</v>
      </c>
      <c r="AU84" s="39" t="n">
        <f aca="false">IF(AU$4=0,0,IF(COUNTIFS(実績!$W$6:$W$505,AU$3,実績!$AI$6:$AI$505,"&lt;="&amp;$A84,実績!$AJ$6:$AJ$505,"&gt;"&amp;$A84,実績!$AK$6:$AK$505,"○")&gt;0,1,0))</f>
        <v>0</v>
      </c>
      <c r="AV84" s="39" t="n">
        <f aca="false">IF(AV$4=0,0,IF(COUNTIFS(実績!$W$6:$W$505,AV$3,実績!$AI$6:$AI$505,"&lt;="&amp;$A84,実績!$AJ$6:$AJ$505,"&gt;"&amp;$A84,実績!$AK$6:$AK$505,"○")&gt;0,1,0))</f>
        <v>0</v>
      </c>
      <c r="AW84" s="39" t="n">
        <f aca="false">IF(AW$4=0,0,IF(COUNTIFS(実績!$W$6:$W$505,AW$3,実績!$AI$6:$AI$505,"&lt;="&amp;$A84,実績!$AJ$6:$AJ$505,"&gt;"&amp;$A84,実績!$AK$6:$AK$505,"○")&gt;0,1,0))</f>
        <v>0</v>
      </c>
      <c r="AX84" s="39" t="n">
        <f aca="false">IF(AX$4=0,0,IF(COUNTIFS(実績!$W$6:$W$505,AX$3,実績!$AI$6:$AI$505,"&lt;="&amp;$A84,実績!$AJ$6:$AJ$505,"&gt;"&amp;$A84,実績!$AK$6:$AK$505,"○")&gt;0,1,0))</f>
        <v>0</v>
      </c>
      <c r="AY84" s="39" t="n">
        <f aca="false">IF(AY$4=0,0,IF(COUNTIFS(実績!$W$6:$W$505,AY$3,実績!$AI$6:$AI$505,"&lt;="&amp;$A84,実績!$AJ$6:$AJ$505,"&gt;"&amp;$A84,実績!$AK$6:$AK$505,"○")&gt;0,1,0))</f>
        <v>0</v>
      </c>
      <c r="AZ84" s="39" t="n">
        <f aca="false">IF(AZ$4=0,0,IF(COUNTIFS(実績!$W$6:$W$505,AZ$3,実績!$AI$6:$AI$505,"&lt;="&amp;$A84,実績!$AJ$6:$AJ$505,"&gt;"&amp;$A84,実績!$AK$6:$AK$505,"○")&gt;0,1,0))</f>
        <v>0</v>
      </c>
      <c r="BA84" s="39" t="n">
        <f aca="false">IF(BA$4=0,0,IF(COUNTIFS(実績!$W$6:$W$505,BA$3,実績!$AI$6:$AI$505,"&lt;="&amp;$A84,実績!$AJ$6:$AJ$505,"&gt;"&amp;$A84,実績!$AK$6:$AK$505,"○")&gt;0,1,0))</f>
        <v>0</v>
      </c>
      <c r="BB84" s="39" t="n">
        <f aca="false">IF(BB$4=0,0,IF(COUNTIFS(実績!$W$6:$W$505,BB$3,実績!$AI$6:$AI$505,"&lt;="&amp;$A84,実績!$AJ$6:$AJ$505,"&gt;"&amp;$A84,実績!$AK$6:$AK$505,"○")&gt;0,1,0))</f>
        <v>0</v>
      </c>
      <c r="BC84" s="39" t="n">
        <f aca="false">IF(BC$4=0,0,IF(COUNTIFS(実績!$W$6:$W$505,BC$3,実績!$AI$6:$AI$505,"&lt;="&amp;$A84,実績!$AJ$6:$AJ$505,"&gt;"&amp;$A84,実績!$AK$6:$AK$505,"○")&gt;0,1,0))</f>
        <v>0</v>
      </c>
      <c r="BD84" s="39" t="n">
        <f aca="false">IF(BD$4=0,0,IF(COUNTIFS(実績!$W$6:$W$505,BD$3,実績!$AI$6:$AI$505,"&lt;="&amp;$A84,実績!$AJ$6:$AJ$505,"&gt;"&amp;$A84,実績!$AK$6:$AK$505,"○")&gt;0,1,0))</f>
        <v>0</v>
      </c>
      <c r="BE84" s="39" t="n">
        <f aca="false">IF(BE$4=0,0,IF(COUNTIFS(実績!$W$6:$W$505,BE$3,実績!$AI$6:$AI$505,"&lt;="&amp;$A84,実績!$AJ$6:$AJ$505,"&gt;"&amp;$A84,実績!$AK$6:$AK$505,"○")&gt;0,1,0))</f>
        <v>0</v>
      </c>
      <c r="BF84" s="39" t="n">
        <f aca="false">IF(BF$4=0,0,IF(COUNTIFS(実績!$W$6:$W$505,BF$3,実績!$AI$6:$AI$505,"&lt;="&amp;$A84,実績!$AJ$6:$AJ$505,"&gt;"&amp;$A84,実績!$AK$6:$AK$505,"○")&gt;0,1,0))</f>
        <v>0</v>
      </c>
      <c r="BG84" s="39" t="n">
        <f aca="false">IF(BG$4=0,0,IF(COUNTIFS(実績!$W$6:$W$505,BG$3,実績!$AI$6:$AI$505,"&lt;="&amp;$A84,実績!$AJ$6:$AJ$505,"&gt;"&amp;$A84,実績!$AK$6:$AK$505,"○")&gt;0,1,0))</f>
        <v>0</v>
      </c>
      <c r="BH84" s="39" t="n">
        <f aca="false">IF(BH$4=0,0,IF(COUNTIFS(実績!$W$6:$W$505,BH$3,実績!$AI$6:$AI$505,"&lt;="&amp;$A84,実績!$AJ$6:$AJ$505,"&gt;"&amp;$A84,実績!$AK$6:$AK$505,"○")&gt;0,1,0))</f>
        <v>0</v>
      </c>
      <c r="BI84" s="39" t="n">
        <f aca="false">IF(BI$4=0,0,IF(COUNTIFS(実績!$W$6:$W$505,BI$3,実績!$AI$6:$AI$505,"&lt;="&amp;$A84,実績!$AJ$6:$AJ$505,"&gt;"&amp;$A84,実績!$AK$6:$AK$505,"○")&gt;0,1,0))</f>
        <v>0</v>
      </c>
      <c r="BJ84" s="39" t="n">
        <f aca="false">IF(BJ$4=0,0,IF(COUNTIFS(実績!$W$6:$W$505,BJ$3,実績!$AI$6:$AI$505,"&lt;="&amp;$A84,実績!$AJ$6:$AJ$505,"&gt;"&amp;$A84,実績!$AK$6:$AK$505,"○")&gt;0,1,0))</f>
        <v>0</v>
      </c>
      <c r="BK84" s="39" t="n">
        <f aca="false">IF(BK$4=0,0,IF(COUNTIFS(実績!$W$6:$W$505,BK$3,実績!$AI$6:$AI$505,"&lt;="&amp;$A84,実績!$AJ$6:$AJ$505,"&gt;"&amp;$A84,実績!$AK$6:$AK$505,"○")&gt;0,1,0))</f>
        <v>0</v>
      </c>
      <c r="BL84" s="39" t="n">
        <f aca="false">IF(BL$4=0,0,IF(COUNTIFS(実績!$W$6:$W$505,BL$3,実績!$AI$6:$AI$505,"&lt;="&amp;$A84,実績!$AJ$6:$AJ$505,"&gt;"&amp;$A84,実績!$AK$6:$AK$505,"○")&gt;0,1,0))</f>
        <v>0</v>
      </c>
      <c r="BM84" s="39" t="n">
        <f aca="false">IF(BM$4=0,0,IF(COUNTIFS(実績!$W$6:$W$505,BM$3,実績!$AI$6:$AI$505,"&lt;="&amp;$A84,実績!$AJ$6:$AJ$505,"&gt;"&amp;$A84,実績!$AK$6:$AK$505,"○")&gt;0,1,0))</f>
        <v>0</v>
      </c>
      <c r="BN84" s="39" t="n">
        <f aca="false">IF(BN$4=0,0,IF(COUNTIFS(実績!$W$6:$W$505,BN$3,実績!$AI$6:$AI$505,"&lt;="&amp;$A84,実績!$AJ$6:$AJ$505,"&gt;"&amp;$A84,実績!$AK$6:$AK$505,"○")&gt;0,1,0))</f>
        <v>0</v>
      </c>
      <c r="BO84" s="39" t="n">
        <f aca="false">IF(BO$4=0,0,IF(COUNTIFS(実績!$W$6:$W$505,BO$3,実績!$AI$6:$AI$505,"&lt;="&amp;$A84,実績!$AJ$6:$AJ$505,"&gt;"&amp;$A84,実績!$AK$6:$AK$505,"○")&gt;0,1,0))</f>
        <v>0</v>
      </c>
      <c r="BP84" s="39" t="n">
        <f aca="false">IF(BP$4=0,0,IF(COUNTIFS(実績!$W$6:$W$505,BP$3,実績!$AI$6:$AI$505,"&lt;="&amp;$A84,実績!$AJ$6:$AJ$505,"&gt;"&amp;$A84,実績!$AK$6:$AK$505,"○")&gt;0,1,0))</f>
        <v>0</v>
      </c>
      <c r="BQ84" s="39" t="n">
        <f aca="false">IF(BQ$4=0,0,IF(COUNTIFS(実績!$W$6:$W$505,BQ$3,実績!$AI$6:$AI$505,"&lt;="&amp;$A84,実績!$AJ$6:$AJ$505,"&gt;"&amp;$A84,実績!$AK$6:$AK$505,"○")&gt;0,1,0))</f>
        <v>0</v>
      </c>
      <c r="BR84" s="39" t="n">
        <f aca="false">IF(BR$4=0,0,IF(COUNTIFS(実績!$W$6:$W$505,BR$3,実績!$AI$6:$AI$505,"&lt;="&amp;$A84,実績!$AJ$6:$AJ$505,"&gt;"&amp;$A84,実績!$AK$6:$AK$505,"○")&gt;0,1,0))</f>
        <v>0</v>
      </c>
      <c r="BS84" s="39" t="n">
        <f aca="false">IF(BS$4=0,0,IF(COUNTIFS(実績!$W$6:$W$505,BS$3,実績!$AI$6:$AI$505,"&lt;="&amp;$A84,実績!$AJ$6:$AJ$505,"&gt;"&amp;$A84,実績!$AK$6:$AK$505,"○")&gt;0,1,0))</f>
        <v>0</v>
      </c>
      <c r="BT84" s="39" t="n">
        <f aca="false">IF(BT$4=0,0,IF(COUNTIFS(実績!$W$6:$W$505,BT$3,実績!$AI$6:$AI$505,"&lt;="&amp;$A84,実績!$AJ$6:$AJ$505,"&gt;"&amp;$A84,実績!$AK$6:$AK$505,"○")&gt;0,1,0))</f>
        <v>0</v>
      </c>
      <c r="BU84" s="39" t="n">
        <f aca="false">IF(BU$4=0,0,IF(COUNTIFS(実績!$W$6:$W$505,BU$3,実績!$AI$6:$AI$505,"&lt;="&amp;$A84,実績!$AJ$6:$AJ$505,"&gt;"&amp;$A84,実績!$AK$6:$AK$505,"○")&gt;0,1,0))</f>
        <v>0</v>
      </c>
      <c r="BV84" s="39" t="n">
        <f aca="false">IF(BV$4=0,0,IF(COUNTIFS(実績!$W$6:$W$505,BV$3,実績!$AI$6:$AI$505,"&lt;="&amp;$A84,実績!$AJ$6:$AJ$505,"&gt;"&amp;$A84,実績!$AK$6:$AK$505,"○")&gt;0,1,0))</f>
        <v>0</v>
      </c>
      <c r="BW84" s="39" t="n">
        <f aca="false">IF(BW$4=0,0,IF(COUNTIFS(実績!$W$6:$W$505,BW$3,実績!$AI$6:$AI$505,"&lt;="&amp;$A84,実績!$AJ$6:$AJ$505,"&gt;"&amp;$A84,実績!$AK$6:$AK$505,"○")&gt;0,1,0))</f>
        <v>0</v>
      </c>
      <c r="BX84" s="39" t="n">
        <f aca="false">IF(BX$4=0,0,IF(COUNTIFS(実績!$W$6:$W$505,BX$3,実績!$AI$6:$AI$505,"&lt;="&amp;$A84,実績!$AJ$6:$AJ$505,"&gt;"&amp;$A84,実績!$AK$6:$AK$505,"○")&gt;0,1,0))</f>
        <v>0</v>
      </c>
      <c r="BY84" s="39" t="n">
        <f aca="false">IF(BY$4=0,0,IF(COUNTIFS(実績!$W$6:$W$505,BY$3,実績!$AI$6:$AI$505,"&lt;="&amp;$A84,実績!$AJ$6:$AJ$505,"&gt;"&amp;$A84,実績!$AK$6:$AK$505,"○")&gt;0,1,0))</f>
        <v>0</v>
      </c>
      <c r="BZ84" s="39" t="n">
        <f aca="false">IF(BZ$4=0,0,IF(COUNTIFS(実績!$W$6:$W$505,BZ$3,実績!$AI$6:$AI$505,"&lt;="&amp;$A84,実績!$AJ$6:$AJ$505,"&gt;"&amp;$A84,実績!$AK$6:$AK$505,"○")&gt;0,1,0))</f>
        <v>0</v>
      </c>
      <c r="CA84" s="39" t="n">
        <f aca="false">IF(CA$4=0,0,IF(COUNTIFS(実績!$W$6:$W$505,CA$3,実績!$AI$6:$AI$505,"&lt;="&amp;$A84,実績!$AJ$6:$AJ$505,"&gt;"&amp;$A84,実績!$AK$6:$AK$505,"○")&gt;0,1,0))</f>
        <v>0</v>
      </c>
      <c r="CB84" s="39" t="n">
        <f aca="false">IF(CB$4=0,0,IF(COUNTIFS(実績!$W$6:$W$505,CB$3,実績!$AI$6:$AI$505,"&lt;="&amp;$A84,実績!$AJ$6:$AJ$505,"&gt;"&amp;$A84,実績!$AK$6:$AK$505,"○")&gt;0,1,0))</f>
        <v>0</v>
      </c>
      <c r="CC84" s="39" t="n">
        <f aca="false">IF(CC$4=0,0,IF(COUNTIFS(実績!$W$6:$W$505,CC$3,実績!$AI$6:$AI$505,"&lt;="&amp;$A84,実績!$AJ$6:$AJ$505,"&gt;"&amp;$A84,実績!$AK$6:$AK$505,"○")&gt;0,1,0))</f>
        <v>0</v>
      </c>
      <c r="CD84" s="39" t="n">
        <f aca="false">IF(CD$4=0,0,IF(COUNTIFS(実績!$W$6:$W$505,CD$3,実績!$AI$6:$AI$505,"&lt;="&amp;$A84,実績!$AJ$6:$AJ$505,"&gt;"&amp;$A84,実績!$AK$6:$AK$505,"○")&gt;0,1,0))</f>
        <v>0</v>
      </c>
      <c r="CE84" s="39" t="n">
        <f aca="false">IF(CE$4=0,0,IF(COUNTIFS(実績!$W$6:$W$505,CE$3,実績!$AI$6:$AI$505,"&lt;="&amp;$A84,実績!$AJ$6:$AJ$505,"&gt;"&amp;$A84,実績!$AK$6:$AK$505,"○")&gt;0,1,0))</f>
        <v>0</v>
      </c>
      <c r="CF84" s="39" t="n">
        <f aca="false">IF(CF$4=0,0,IF(COUNTIFS(実績!$W$6:$W$505,CF$3,実績!$AI$6:$AI$505,"&lt;="&amp;$A84,実績!$AJ$6:$AJ$505,"&gt;"&amp;$A84,実績!$AK$6:$AK$505,"○")&gt;0,1,0))</f>
        <v>0</v>
      </c>
      <c r="CG84" s="39" t="n">
        <f aca="false">IF(CG$4=0,0,IF(COUNTIFS(実績!$W$6:$W$505,CG$3,実績!$AI$6:$AI$505,"&lt;="&amp;$A84,実績!$AJ$6:$AJ$505,"&gt;"&amp;$A84,実績!$AK$6:$AK$505,"○")&gt;0,1,0))</f>
        <v>0</v>
      </c>
      <c r="CH84" s="39" t="n">
        <f aca="false">IF(CH$4=0,0,IF(COUNTIFS(実績!$W$6:$W$505,CH$3,実績!$AI$6:$AI$505,"&lt;="&amp;$A84,実績!$AJ$6:$AJ$505,"&gt;"&amp;$A84,実績!$AK$6:$AK$505,"○")&gt;0,1,0))</f>
        <v>0</v>
      </c>
      <c r="CI84" s="39" t="n">
        <f aca="false">IF(CI$4=0,0,IF(COUNTIFS(実績!$W$6:$W$505,CI$3,実績!$AI$6:$AI$505,"&lt;="&amp;$A84,実績!$AJ$6:$AJ$505,"&gt;"&amp;$A84,実績!$AK$6:$AK$505,"○")&gt;0,1,0))</f>
        <v>0</v>
      </c>
      <c r="CJ84" s="39" t="n">
        <f aca="false">IF(CJ$4=0,0,IF(COUNTIFS(実績!$W$6:$W$505,CJ$3,実績!$AI$6:$AI$505,"&lt;="&amp;$A84,実績!$AJ$6:$AJ$505,"&gt;"&amp;$A84,実績!$AK$6:$AK$505,"○")&gt;0,1,0))</f>
        <v>0</v>
      </c>
      <c r="CK84" s="39" t="n">
        <f aca="false">IF(CK$4=0,0,IF(COUNTIFS(実績!$W$6:$W$505,CK$3,実績!$AI$6:$AI$505,"&lt;="&amp;$A84,実績!$AJ$6:$AJ$505,"&gt;"&amp;$A84,実績!$AK$6:$AK$505,"○")&gt;0,1,0))</f>
        <v>0</v>
      </c>
      <c r="CL84" s="39" t="n">
        <f aca="false">IF(CL$4=0,0,IF(COUNTIFS(実績!$W$6:$W$505,CL$3,実績!$AI$6:$AI$505,"&lt;="&amp;$A84,実績!$AJ$6:$AJ$505,"&gt;"&amp;$A84,実績!$AK$6:$AK$505,"○")&gt;0,1,0))</f>
        <v>0</v>
      </c>
      <c r="CM84" s="39" t="n">
        <f aca="false">IF(CM$4=0,0,IF(COUNTIFS(実績!$W$6:$W$505,CM$3,実績!$AI$6:$AI$505,"&lt;="&amp;$A84,実績!$AJ$6:$AJ$505,"&gt;"&amp;$A84,実績!$AK$6:$AK$505,"○")&gt;0,1,0))</f>
        <v>0</v>
      </c>
      <c r="CN84" s="39" t="n">
        <f aca="false">IF(CN$4=0,0,IF(COUNTIFS(実績!$W$6:$W$505,CN$3,実績!$AI$6:$AI$505,"&lt;="&amp;$A84,実績!$AJ$6:$AJ$505,"&gt;"&amp;$A84,実績!$AK$6:$AK$505,"○")&gt;0,1,0))</f>
        <v>0</v>
      </c>
      <c r="CO84" s="39" t="n">
        <f aca="false">IF(CO$4=0,0,IF(COUNTIFS(実績!$W$6:$W$505,CO$3,実績!$AI$6:$AI$505,"&lt;="&amp;$A84,実績!$AJ$6:$AJ$505,"&gt;"&amp;$A84,実績!$AK$6:$AK$505,"○")&gt;0,1,0))</f>
        <v>0</v>
      </c>
      <c r="CP84" s="39" t="n">
        <f aca="false">IF(CP$4=0,0,IF(COUNTIFS(実績!$W$6:$W$505,CP$3,実績!$AI$6:$AI$505,"&lt;="&amp;$A84,実績!$AJ$6:$AJ$505,"&gt;"&amp;$A84,実績!$AK$6:$AK$505,"○")&gt;0,1,0))</f>
        <v>0</v>
      </c>
      <c r="CQ84" s="39" t="n">
        <f aca="false">IF(CQ$4=0,0,IF(COUNTIFS(実績!$W$6:$W$505,CQ$3,実績!$AI$6:$AI$505,"&lt;="&amp;$A84,実績!$AJ$6:$AJ$505,"&gt;"&amp;$A84,実績!$AK$6:$AK$505,"○")&gt;0,1,0))</f>
        <v>0</v>
      </c>
      <c r="CR84" s="39" t="n">
        <f aca="false">IF(CR$4=0,0,IF(COUNTIFS(実績!$W$6:$W$505,CR$3,実績!$AI$6:$AI$505,"&lt;="&amp;$A84,実績!$AJ$6:$AJ$505,"&gt;"&amp;$A84,実績!$AK$6:$AK$505,"○")&gt;0,1,0))</f>
        <v>0</v>
      </c>
      <c r="CS84" s="39" t="n">
        <f aca="false">IF(CS$4=0,0,IF(COUNTIFS(実績!$W$6:$W$505,CS$3,実績!$AI$6:$AI$505,"&lt;="&amp;$A84,実績!$AJ$6:$AJ$505,"&gt;"&amp;$A84,実績!$AK$6:$AK$505,"○")&gt;0,1,0))</f>
        <v>0</v>
      </c>
      <c r="CT84" s="39" t="n">
        <f aca="false">IF(CT$4=0,0,IF(COUNTIFS(実績!$W$6:$W$505,CT$3,実績!$AI$6:$AI$505,"&lt;="&amp;$A84,実績!$AJ$6:$AJ$505,"&gt;"&amp;$A84,実績!$AK$6:$AK$505,"○")&gt;0,1,0))</f>
        <v>0</v>
      </c>
      <c r="CU84" s="39" t="n">
        <f aca="false">IF(CU$4=0,0,IF(COUNTIFS(実績!$W$6:$W$505,CU$3,実績!$AI$6:$AI$505,"&lt;="&amp;$A84,実績!$AJ$6:$AJ$505,"&gt;"&amp;$A84,実績!$AK$6:$AK$505,"○")&gt;0,1,0))</f>
        <v>0</v>
      </c>
      <c r="CV84" s="39" t="n">
        <f aca="false">IF(CV$4=0,0,IF(COUNTIFS(実績!$W$6:$W$505,CV$3,実績!$AI$6:$AI$505,"&lt;="&amp;$A84,実績!$AJ$6:$AJ$505,"&gt;"&amp;$A84,実績!$AK$6:$AK$505,"○")&gt;0,1,0))</f>
        <v>0</v>
      </c>
      <c r="CW84" s="39" t="n">
        <f aca="false">IF(CW$4=0,0,IF(COUNTIFS(実績!$W$6:$W$505,CW$3,実績!$AI$6:$AI$505,"&lt;="&amp;$A84,実績!$AJ$6:$AJ$505,"&gt;"&amp;$A84,実績!$AK$6:$AK$505,"○")&gt;0,1,0))</f>
        <v>0</v>
      </c>
      <c r="CX84" s="39" t="n">
        <f aca="false">IF(CX$4=0,0,IF(COUNTIFS(実績!$W$6:$W$505,CX$3,実績!$AI$6:$AI$505,"&lt;="&amp;$A84,実績!$AJ$6:$AJ$505,"&gt;"&amp;$A84,実績!$AK$6:$AK$505,"○")&gt;0,1,0))</f>
        <v>0</v>
      </c>
      <c r="CY84" s="39" t="n">
        <f aca="false">IF(CY$4=0,0,IF(COUNTIFS(実績!$W$6:$W$505,CY$3,実績!$AI$6:$AI$505,"&lt;="&amp;$A84,実績!$AJ$6:$AJ$505,"&gt;"&amp;$A84,実績!$AK$6:$AK$505,"○")&gt;0,1,0))</f>
        <v>0</v>
      </c>
      <c r="CZ84" s="39" t="n">
        <f aca="false">IF(CZ$4=0,0,IF(COUNTIFS(実績!$W$6:$W$505,CZ$3,実績!$AI$6:$AI$505,"&lt;="&amp;$A84,実績!$AJ$6:$AJ$505,"&gt;"&amp;$A84,実績!$AK$6:$AK$505,"○")&gt;0,1,0))</f>
        <v>0</v>
      </c>
      <c r="DA84" s="39" t="n">
        <f aca="false">IF(DA$4=0,0,IF(COUNTIFS(実績!$W$6:$W$505,DA$3,実績!$AI$6:$AI$505,"&lt;="&amp;$A84,実績!$AJ$6:$AJ$505,"&gt;"&amp;$A84,実績!$AK$6:$AK$505,"○")&gt;0,1,0))</f>
        <v>0</v>
      </c>
      <c r="DB84" s="39" t="n">
        <f aca="false">IF(DB$4=0,0,IF(COUNTIFS(実績!$W$6:$W$505,DB$3,実績!$AI$6:$AI$505,"&lt;="&amp;$A84,実績!$AJ$6:$AJ$505,"&gt;"&amp;$A84,実績!$AK$6:$AK$505,"○")&gt;0,1,0))</f>
        <v>0</v>
      </c>
      <c r="DC84" s="39" t="n">
        <f aca="false">IF(DC$4=0,0,IF(COUNTIFS(実績!$W$6:$W$505,DC$3,実績!$AI$6:$AI$505,"&lt;="&amp;$A84,実績!$AJ$6:$AJ$505,"&gt;"&amp;$A84,実績!$AK$6:$AK$505,"○")&gt;0,1,0))</f>
        <v>0</v>
      </c>
      <c r="DD84" s="39" t="n">
        <f aca="false">IF(DD$4=0,0,IF(COUNTIFS(実績!$W$6:$W$505,DD$3,実績!$AI$6:$AI$505,"&lt;="&amp;$A84,実績!$AJ$6:$AJ$505,"&gt;"&amp;$A84,実績!$AK$6:$AK$505,"○")&gt;0,1,0))</f>
        <v>0</v>
      </c>
      <c r="DE84" s="39" t="n">
        <f aca="false">IF(DE$4=0,0,IF(COUNTIFS(実績!$W$6:$W$505,DE$3,実績!$AI$6:$AI$505,"&lt;="&amp;$A84,実績!$AJ$6:$AJ$505,"&gt;"&amp;$A84,実績!$AK$6:$AK$505,"○")&gt;0,1,0))</f>
        <v>0</v>
      </c>
      <c r="DF84" s="39" t="n">
        <f aca="false">IF(DF$4=0,0,IF(COUNTIFS(実績!$W$6:$W$505,DF$3,実績!$AI$6:$AI$505,"&lt;="&amp;$A84,実績!$AJ$6:$AJ$505,"&gt;"&amp;$A84,実績!$AK$6:$AK$505,"○")&gt;0,1,0))</f>
        <v>0</v>
      </c>
      <c r="DG84" s="39" t="n">
        <f aca="false">IF(DG$4=0,0,IF(COUNTIFS(実績!$W$6:$W$505,DG$3,実績!$AI$6:$AI$505,"&lt;="&amp;$A84,実績!$AJ$6:$AJ$505,"&gt;"&amp;$A84,実績!$AK$6:$AK$505,"○")&gt;0,1,0))</f>
        <v>0</v>
      </c>
      <c r="DH84" s="39" t="n">
        <f aca="false">IF(DH$4=0,0,IF(COUNTIFS(実績!$W$6:$W$505,DH$3,実績!$AI$6:$AI$505,"&lt;="&amp;$A84,実績!$AJ$6:$AJ$505,"&gt;"&amp;$A84,実績!$AK$6:$AK$505,"○")&gt;0,1,0))</f>
        <v>0</v>
      </c>
      <c r="DI84" s="39" t="n">
        <f aca="false">IF(DI$4=0,0,IF(COUNTIFS(実績!$W$6:$W$505,DI$3,実績!$AI$6:$AI$505,"&lt;="&amp;$A84,実績!$AJ$6:$AJ$505,"&gt;"&amp;$A84,実績!$AK$6:$AK$505,"○")&gt;0,1,0))</f>
        <v>0</v>
      </c>
      <c r="DJ84" s="39" t="n">
        <f aca="false">IF(DJ$4=0,0,IF(COUNTIFS(実績!$W$6:$W$505,DJ$3,実績!$AI$6:$AI$505,"&lt;="&amp;$A84,実績!$AJ$6:$AJ$505,"&gt;"&amp;$A84,実績!$AK$6:$AK$505,"○")&gt;0,1,0))</f>
        <v>0</v>
      </c>
      <c r="DK84" s="39" t="n">
        <f aca="false">IF(DK$4=0,0,IF(COUNTIFS(実績!$W$6:$W$505,DK$3,実績!$AI$6:$AI$505,"&lt;="&amp;$A84,実績!$AJ$6:$AJ$505,"&gt;"&amp;$A84,実績!$AK$6:$AK$505,"○")&gt;0,1,0))</f>
        <v>0</v>
      </c>
      <c r="DL84" s="39" t="n">
        <f aca="false">IF(DL$4=0,0,IF(COUNTIFS(実績!$W$6:$W$505,DL$3,実績!$AI$6:$AI$505,"&lt;="&amp;$A84,実績!$AJ$6:$AJ$505,"&gt;"&amp;$A84,実績!$AK$6:$AK$505,"○")&gt;0,1,0))</f>
        <v>0</v>
      </c>
      <c r="DM84" s="39" t="n">
        <f aca="false">IF(DM$4=0,0,IF(COUNTIFS(実績!$W$6:$W$505,DM$3,実績!$AI$6:$AI$505,"&lt;="&amp;$A84,実績!$AJ$6:$AJ$505,"&gt;"&amp;$A84,実績!$AK$6:$AK$505,"○")&gt;0,1,0))</f>
        <v>0</v>
      </c>
      <c r="DN84" s="39" t="n">
        <f aca="false">IF(DN$4=0,0,IF(COUNTIFS(実績!$W$6:$W$505,DN$3,実績!$AI$6:$AI$505,"&lt;="&amp;$A84,実績!$AJ$6:$AJ$505,"&gt;"&amp;$A84,実績!$AK$6:$AK$505,"○")&gt;0,1,0))</f>
        <v>0</v>
      </c>
      <c r="DO84" s="39" t="n">
        <f aca="false">IF(DO$4=0,0,IF(COUNTIFS(実績!$W$6:$W$505,DO$3,実績!$AI$6:$AI$505,"&lt;="&amp;$A84,実績!$AJ$6:$AJ$505,"&gt;"&amp;$A84,実績!$AK$6:$AK$505,"○")&gt;0,1,0))</f>
        <v>0</v>
      </c>
      <c r="DP84" s="39" t="n">
        <f aca="false">IF(DP$4=0,0,IF(COUNTIFS(実績!$W$6:$W$505,DP$3,実績!$AI$6:$AI$505,"&lt;="&amp;$A84,実績!$AJ$6:$AJ$505,"&gt;"&amp;$A84,実績!$AK$6:$AK$505,"○")&gt;0,1,0))</f>
        <v>0</v>
      </c>
      <c r="DQ84" s="39" t="n">
        <f aca="false">IF(DQ$4=0,0,IF(COUNTIFS(実績!$W$6:$W$505,DQ$3,実績!$AI$6:$AI$505,"&lt;="&amp;$A84,実績!$AJ$6:$AJ$505,"&gt;"&amp;$A84,実績!$AK$6:$AK$505,"○")&gt;0,1,0))</f>
        <v>0</v>
      </c>
      <c r="DR84" s="39" t="n">
        <f aca="false">IF(DR$4=0,0,IF(COUNTIFS(実績!$W$6:$W$505,DR$3,実績!$AI$6:$AI$505,"&lt;="&amp;$A84,実績!$AJ$6:$AJ$505,"&gt;"&amp;$A84,実績!$AK$6:$AK$505,"○")&gt;0,1,0))</f>
        <v>0</v>
      </c>
      <c r="DS84" s="39" t="n">
        <f aca="false">SUM(C84:DR84)</f>
        <v>0</v>
      </c>
      <c r="DT84" s="39" t="n">
        <f aca="false">SUMPRODUCT((実績!$C$6:$C$505="○")*ISNUMBER(実績!$AM$6:$AM$505)*(実績!$AM$6:$AM$505&lt;=$A84)*(実績!$AN$6:$AN$505&gt;$A84))</f>
        <v>0</v>
      </c>
      <c r="DU84" s="39" t="n">
        <f aca="false">SUMIF($C$2:$DR$2,"製鉄曳船",C84:DR84)</f>
        <v>0</v>
      </c>
      <c r="DV84" s="39" t="n">
        <f aca="false">SUMIF($C$2:$DR$2,"西日本海運",C84:DR84)</f>
        <v>0</v>
      </c>
    </row>
    <row r="85" customFormat="false" ht="15" hidden="false" customHeight="false" outlineLevel="0" collapsed="false">
      <c r="A85" s="0" t="n">
        <v>395</v>
      </c>
      <c r="B85" s="38" t="n">
        <f aca="false">A85/1440</f>
        <v>0.274305555555556</v>
      </c>
      <c r="C85" s="39" t="n">
        <f aca="false">IF(C$4=0,0,IF(COUNTIFS(実績!$W$6:$W$505,C$3,実績!$AI$6:$AI$505,"&lt;="&amp;$A85,実績!$AJ$6:$AJ$505,"&gt;"&amp;$A85,実績!$AK$6:$AK$505,"○")&gt;0,1,0))</f>
        <v>0</v>
      </c>
      <c r="D85" s="39" t="n">
        <f aca="false">IF(D$4=0,0,IF(COUNTIFS(実績!$W$6:$W$505,D$3,実績!$AI$6:$AI$505,"&lt;="&amp;$A85,実績!$AJ$6:$AJ$505,"&gt;"&amp;$A85,実績!$AK$6:$AK$505,"○")&gt;0,1,0))</f>
        <v>0</v>
      </c>
      <c r="E85" s="39" t="n">
        <f aca="false">IF(E$4=0,0,IF(COUNTIFS(実績!$W$6:$W$505,E$3,実績!$AI$6:$AI$505,"&lt;="&amp;$A85,実績!$AJ$6:$AJ$505,"&gt;"&amp;$A85,実績!$AK$6:$AK$505,"○")&gt;0,1,0))</f>
        <v>0</v>
      </c>
      <c r="F85" s="39" t="n">
        <f aca="false">IF(F$4=0,0,IF(COUNTIFS(実績!$W$6:$W$505,F$3,実績!$AI$6:$AI$505,"&lt;="&amp;$A85,実績!$AJ$6:$AJ$505,"&gt;"&amp;$A85,実績!$AK$6:$AK$505,"○")&gt;0,1,0))</f>
        <v>0</v>
      </c>
      <c r="G85" s="39" t="n">
        <f aca="false">IF(G$4=0,0,IF(COUNTIFS(実績!$W$6:$W$505,G$3,実績!$AI$6:$AI$505,"&lt;="&amp;$A85,実績!$AJ$6:$AJ$505,"&gt;"&amp;$A85,実績!$AK$6:$AK$505,"○")&gt;0,1,0))</f>
        <v>0</v>
      </c>
      <c r="H85" s="39" t="n">
        <f aca="false">IF(H$4=0,0,IF(COUNTIFS(実績!$W$6:$W$505,H$3,実績!$AI$6:$AI$505,"&lt;="&amp;$A85,実績!$AJ$6:$AJ$505,"&gt;"&amp;$A85,実績!$AK$6:$AK$505,"○")&gt;0,1,0))</f>
        <v>0</v>
      </c>
      <c r="I85" s="39" t="n">
        <f aca="false">IF(I$4=0,0,IF(COUNTIFS(実績!$W$6:$W$505,I$3,実績!$AI$6:$AI$505,"&lt;="&amp;$A85,実績!$AJ$6:$AJ$505,"&gt;"&amp;$A85,実績!$AK$6:$AK$505,"○")&gt;0,1,0))</f>
        <v>0</v>
      </c>
      <c r="J85" s="39" t="n">
        <f aca="false">IF(J$4=0,0,IF(COUNTIFS(実績!$W$6:$W$505,J$3,実績!$AI$6:$AI$505,"&lt;="&amp;$A85,実績!$AJ$6:$AJ$505,"&gt;"&amp;$A85,実績!$AK$6:$AK$505,"○")&gt;0,1,0))</f>
        <v>0</v>
      </c>
      <c r="K85" s="39" t="n">
        <f aca="false">IF(K$4=0,0,IF(COUNTIFS(実績!$W$6:$W$505,K$3,実績!$AI$6:$AI$505,"&lt;="&amp;$A85,実績!$AJ$6:$AJ$505,"&gt;"&amp;$A85,実績!$AK$6:$AK$505,"○")&gt;0,1,0))</f>
        <v>0</v>
      </c>
      <c r="L85" s="39" t="n">
        <f aca="false">IF(L$4=0,0,IF(COUNTIFS(実績!$W$6:$W$505,L$3,実績!$AI$6:$AI$505,"&lt;="&amp;$A85,実績!$AJ$6:$AJ$505,"&gt;"&amp;$A85,実績!$AK$6:$AK$505,"○")&gt;0,1,0))</f>
        <v>0</v>
      </c>
      <c r="M85" s="39" t="n">
        <f aca="false">IF(M$4=0,0,IF(COUNTIFS(実績!$W$6:$W$505,M$3,実績!$AI$6:$AI$505,"&lt;="&amp;$A85,実績!$AJ$6:$AJ$505,"&gt;"&amp;$A85,実績!$AK$6:$AK$505,"○")&gt;0,1,0))</f>
        <v>0</v>
      </c>
      <c r="N85" s="39" t="n">
        <f aca="false">IF(N$4=0,0,IF(COUNTIFS(実績!$W$6:$W$505,N$3,実績!$AI$6:$AI$505,"&lt;="&amp;$A85,実績!$AJ$6:$AJ$505,"&gt;"&amp;$A85,実績!$AK$6:$AK$505,"○")&gt;0,1,0))</f>
        <v>0</v>
      </c>
      <c r="O85" s="39" t="n">
        <f aca="false">IF(O$4=0,0,IF(COUNTIFS(実績!$W$6:$W$505,O$3,実績!$AI$6:$AI$505,"&lt;="&amp;$A85,実績!$AJ$6:$AJ$505,"&gt;"&amp;$A85,実績!$AK$6:$AK$505,"○")&gt;0,1,0))</f>
        <v>0</v>
      </c>
      <c r="P85" s="39" t="n">
        <f aca="false">IF(P$4=0,0,IF(COUNTIFS(実績!$W$6:$W$505,P$3,実績!$AI$6:$AI$505,"&lt;="&amp;$A85,実績!$AJ$6:$AJ$505,"&gt;"&amp;$A85,実績!$AK$6:$AK$505,"○")&gt;0,1,0))</f>
        <v>0</v>
      </c>
      <c r="Q85" s="39" t="n">
        <f aca="false">IF(Q$4=0,0,IF(COUNTIFS(実績!$W$6:$W$505,Q$3,実績!$AI$6:$AI$505,"&lt;="&amp;$A85,実績!$AJ$6:$AJ$505,"&gt;"&amp;$A85,実績!$AK$6:$AK$505,"○")&gt;0,1,0))</f>
        <v>0</v>
      </c>
      <c r="R85" s="39" t="n">
        <f aca="false">IF(R$4=0,0,IF(COUNTIFS(実績!$W$6:$W$505,R$3,実績!$AI$6:$AI$505,"&lt;="&amp;$A85,実績!$AJ$6:$AJ$505,"&gt;"&amp;$A85,実績!$AK$6:$AK$505,"○")&gt;0,1,0))</f>
        <v>0</v>
      </c>
      <c r="S85" s="39" t="n">
        <f aca="false">IF(S$4=0,0,IF(COUNTIFS(実績!$W$6:$W$505,S$3,実績!$AI$6:$AI$505,"&lt;="&amp;$A85,実績!$AJ$6:$AJ$505,"&gt;"&amp;$A85,実績!$AK$6:$AK$505,"○")&gt;0,1,0))</f>
        <v>0</v>
      </c>
      <c r="T85" s="39" t="n">
        <f aca="false">IF(T$4=0,0,IF(COUNTIFS(実績!$W$6:$W$505,T$3,実績!$AI$6:$AI$505,"&lt;="&amp;$A85,実績!$AJ$6:$AJ$505,"&gt;"&amp;$A85,実績!$AK$6:$AK$505,"○")&gt;0,1,0))</f>
        <v>0</v>
      </c>
      <c r="U85" s="39" t="n">
        <f aca="false">IF(U$4=0,0,IF(COUNTIFS(実績!$W$6:$W$505,U$3,実績!$AI$6:$AI$505,"&lt;="&amp;$A85,実績!$AJ$6:$AJ$505,"&gt;"&amp;$A85,実績!$AK$6:$AK$505,"○")&gt;0,1,0))</f>
        <v>0</v>
      </c>
      <c r="V85" s="39" t="n">
        <f aca="false">IF(V$4=0,0,IF(COUNTIFS(実績!$W$6:$W$505,V$3,実績!$AI$6:$AI$505,"&lt;="&amp;$A85,実績!$AJ$6:$AJ$505,"&gt;"&amp;$A85,実績!$AK$6:$AK$505,"○")&gt;0,1,0))</f>
        <v>0</v>
      </c>
      <c r="W85" s="39" t="n">
        <f aca="false">IF(W$4=0,0,IF(COUNTIFS(実績!$W$6:$W$505,W$3,実績!$AI$6:$AI$505,"&lt;="&amp;$A85,実績!$AJ$6:$AJ$505,"&gt;"&amp;$A85,実績!$AK$6:$AK$505,"○")&gt;0,1,0))</f>
        <v>0</v>
      </c>
      <c r="X85" s="39" t="n">
        <f aca="false">IF(X$4=0,0,IF(COUNTIFS(実績!$W$6:$W$505,X$3,実績!$AI$6:$AI$505,"&lt;="&amp;$A85,実績!$AJ$6:$AJ$505,"&gt;"&amp;$A85,実績!$AK$6:$AK$505,"○")&gt;0,1,0))</f>
        <v>0</v>
      </c>
      <c r="Y85" s="39" t="n">
        <f aca="false">IF(Y$4=0,0,IF(COUNTIFS(実績!$W$6:$W$505,Y$3,実績!$AI$6:$AI$505,"&lt;="&amp;$A85,実績!$AJ$6:$AJ$505,"&gt;"&amp;$A85,実績!$AK$6:$AK$505,"○")&gt;0,1,0))</f>
        <v>0</v>
      </c>
      <c r="Z85" s="39" t="n">
        <f aca="false">IF(Z$4=0,0,IF(COUNTIFS(実績!$W$6:$W$505,Z$3,実績!$AI$6:$AI$505,"&lt;="&amp;$A85,実績!$AJ$6:$AJ$505,"&gt;"&amp;$A85,実績!$AK$6:$AK$505,"○")&gt;0,1,0))</f>
        <v>0</v>
      </c>
      <c r="AA85" s="39" t="n">
        <f aca="false">IF(AA$4=0,0,IF(COUNTIFS(実績!$W$6:$W$505,AA$3,実績!$AI$6:$AI$505,"&lt;="&amp;$A85,実績!$AJ$6:$AJ$505,"&gt;"&amp;$A85,実績!$AK$6:$AK$505,"○")&gt;0,1,0))</f>
        <v>0</v>
      </c>
      <c r="AB85" s="39" t="n">
        <f aca="false">IF(AB$4=0,0,IF(COUNTIFS(実績!$W$6:$W$505,AB$3,実績!$AI$6:$AI$505,"&lt;="&amp;$A85,実績!$AJ$6:$AJ$505,"&gt;"&amp;$A85,実績!$AK$6:$AK$505,"○")&gt;0,1,0))</f>
        <v>0</v>
      </c>
      <c r="AC85" s="39" t="n">
        <f aca="false">IF(AC$4=0,0,IF(COUNTIFS(実績!$W$6:$W$505,AC$3,実績!$AI$6:$AI$505,"&lt;="&amp;$A85,実績!$AJ$6:$AJ$505,"&gt;"&amp;$A85,実績!$AK$6:$AK$505,"○")&gt;0,1,0))</f>
        <v>0</v>
      </c>
      <c r="AD85" s="39" t="n">
        <f aca="false">IF(AD$4=0,0,IF(COUNTIFS(実績!$W$6:$W$505,AD$3,実績!$AI$6:$AI$505,"&lt;="&amp;$A85,実績!$AJ$6:$AJ$505,"&gt;"&amp;$A85,実績!$AK$6:$AK$505,"○")&gt;0,1,0))</f>
        <v>0</v>
      </c>
      <c r="AE85" s="39" t="n">
        <f aca="false">IF(AE$4=0,0,IF(COUNTIFS(実績!$W$6:$W$505,AE$3,実績!$AI$6:$AI$505,"&lt;="&amp;$A85,実績!$AJ$6:$AJ$505,"&gt;"&amp;$A85,実績!$AK$6:$AK$505,"○")&gt;0,1,0))</f>
        <v>0</v>
      </c>
      <c r="AF85" s="39" t="n">
        <f aca="false">IF(AF$4=0,0,IF(COUNTIFS(実績!$W$6:$W$505,AF$3,実績!$AI$6:$AI$505,"&lt;="&amp;$A85,実績!$AJ$6:$AJ$505,"&gt;"&amp;$A85,実績!$AK$6:$AK$505,"○")&gt;0,1,0))</f>
        <v>0</v>
      </c>
      <c r="AG85" s="39" t="n">
        <f aca="false">IF(AG$4=0,0,IF(COUNTIFS(実績!$W$6:$W$505,AG$3,実績!$AI$6:$AI$505,"&lt;="&amp;$A85,実績!$AJ$6:$AJ$505,"&gt;"&amp;$A85,実績!$AK$6:$AK$505,"○")&gt;0,1,0))</f>
        <v>0</v>
      </c>
      <c r="AH85" s="39" t="n">
        <f aca="false">IF(AH$4=0,0,IF(COUNTIFS(実績!$W$6:$W$505,AH$3,実績!$AI$6:$AI$505,"&lt;="&amp;$A85,実績!$AJ$6:$AJ$505,"&gt;"&amp;$A85,実績!$AK$6:$AK$505,"○")&gt;0,1,0))</f>
        <v>0</v>
      </c>
      <c r="AI85" s="39" t="n">
        <f aca="false">IF(AI$4=0,0,IF(COUNTIFS(実績!$W$6:$W$505,AI$3,実績!$AI$6:$AI$505,"&lt;="&amp;$A85,実績!$AJ$6:$AJ$505,"&gt;"&amp;$A85,実績!$AK$6:$AK$505,"○")&gt;0,1,0))</f>
        <v>0</v>
      </c>
      <c r="AJ85" s="39" t="n">
        <f aca="false">IF(AJ$4=0,0,IF(COUNTIFS(実績!$W$6:$W$505,AJ$3,実績!$AI$6:$AI$505,"&lt;="&amp;$A85,実績!$AJ$6:$AJ$505,"&gt;"&amp;$A85,実績!$AK$6:$AK$505,"○")&gt;0,1,0))</f>
        <v>0</v>
      </c>
      <c r="AK85" s="39" t="n">
        <f aca="false">IF(AK$4=0,0,IF(COUNTIFS(実績!$W$6:$W$505,AK$3,実績!$AI$6:$AI$505,"&lt;="&amp;$A85,実績!$AJ$6:$AJ$505,"&gt;"&amp;$A85,実績!$AK$6:$AK$505,"○")&gt;0,1,0))</f>
        <v>0</v>
      </c>
      <c r="AL85" s="39" t="n">
        <f aca="false">IF(AL$4=0,0,IF(COUNTIFS(実績!$W$6:$W$505,AL$3,実績!$AI$6:$AI$505,"&lt;="&amp;$A85,実績!$AJ$6:$AJ$505,"&gt;"&amp;$A85,実績!$AK$6:$AK$505,"○")&gt;0,1,0))</f>
        <v>0</v>
      </c>
      <c r="AM85" s="39" t="n">
        <f aca="false">IF(AM$4=0,0,IF(COUNTIFS(実績!$W$6:$W$505,AM$3,実績!$AI$6:$AI$505,"&lt;="&amp;$A85,実績!$AJ$6:$AJ$505,"&gt;"&amp;$A85,実績!$AK$6:$AK$505,"○")&gt;0,1,0))</f>
        <v>0</v>
      </c>
      <c r="AN85" s="39" t="n">
        <f aca="false">IF(AN$4=0,0,IF(COUNTIFS(実績!$W$6:$W$505,AN$3,実績!$AI$6:$AI$505,"&lt;="&amp;$A85,実績!$AJ$6:$AJ$505,"&gt;"&amp;$A85,実績!$AK$6:$AK$505,"○")&gt;0,1,0))</f>
        <v>0</v>
      </c>
      <c r="AO85" s="39" t="n">
        <f aca="false">IF(AO$4=0,0,IF(COUNTIFS(実績!$W$6:$W$505,AO$3,実績!$AI$6:$AI$505,"&lt;="&amp;$A85,実績!$AJ$6:$AJ$505,"&gt;"&amp;$A85,実績!$AK$6:$AK$505,"○")&gt;0,1,0))</f>
        <v>0</v>
      </c>
      <c r="AP85" s="39" t="n">
        <f aca="false">IF(AP$4=0,0,IF(COUNTIFS(実績!$W$6:$W$505,AP$3,実績!$AI$6:$AI$505,"&lt;="&amp;$A85,実績!$AJ$6:$AJ$505,"&gt;"&amp;$A85,実績!$AK$6:$AK$505,"○")&gt;0,1,0))</f>
        <v>0</v>
      </c>
      <c r="AQ85" s="39" t="n">
        <f aca="false">IF(AQ$4=0,0,IF(COUNTIFS(実績!$W$6:$W$505,AQ$3,実績!$AI$6:$AI$505,"&lt;="&amp;$A85,実績!$AJ$6:$AJ$505,"&gt;"&amp;$A85,実績!$AK$6:$AK$505,"○")&gt;0,1,0))</f>
        <v>0</v>
      </c>
      <c r="AR85" s="39" t="n">
        <f aca="false">IF(AR$4=0,0,IF(COUNTIFS(実績!$W$6:$W$505,AR$3,実績!$AI$6:$AI$505,"&lt;="&amp;$A85,実績!$AJ$6:$AJ$505,"&gt;"&amp;$A85,実績!$AK$6:$AK$505,"○")&gt;0,1,0))</f>
        <v>0</v>
      </c>
      <c r="AS85" s="39" t="n">
        <f aca="false">IF(AS$4=0,0,IF(COUNTIFS(実績!$W$6:$W$505,AS$3,実績!$AI$6:$AI$505,"&lt;="&amp;$A85,実績!$AJ$6:$AJ$505,"&gt;"&amp;$A85,実績!$AK$6:$AK$505,"○")&gt;0,1,0))</f>
        <v>0</v>
      </c>
      <c r="AT85" s="39" t="n">
        <f aca="false">IF(AT$4=0,0,IF(COUNTIFS(実績!$W$6:$W$505,AT$3,実績!$AI$6:$AI$505,"&lt;="&amp;$A85,実績!$AJ$6:$AJ$505,"&gt;"&amp;$A85,実績!$AK$6:$AK$505,"○")&gt;0,1,0))</f>
        <v>0</v>
      </c>
      <c r="AU85" s="39" t="n">
        <f aca="false">IF(AU$4=0,0,IF(COUNTIFS(実績!$W$6:$W$505,AU$3,実績!$AI$6:$AI$505,"&lt;="&amp;$A85,実績!$AJ$6:$AJ$505,"&gt;"&amp;$A85,実績!$AK$6:$AK$505,"○")&gt;0,1,0))</f>
        <v>0</v>
      </c>
      <c r="AV85" s="39" t="n">
        <f aca="false">IF(AV$4=0,0,IF(COUNTIFS(実績!$W$6:$W$505,AV$3,実績!$AI$6:$AI$505,"&lt;="&amp;$A85,実績!$AJ$6:$AJ$505,"&gt;"&amp;$A85,実績!$AK$6:$AK$505,"○")&gt;0,1,0))</f>
        <v>0</v>
      </c>
      <c r="AW85" s="39" t="n">
        <f aca="false">IF(AW$4=0,0,IF(COUNTIFS(実績!$W$6:$W$505,AW$3,実績!$AI$6:$AI$505,"&lt;="&amp;$A85,実績!$AJ$6:$AJ$505,"&gt;"&amp;$A85,実績!$AK$6:$AK$505,"○")&gt;0,1,0))</f>
        <v>0</v>
      </c>
      <c r="AX85" s="39" t="n">
        <f aca="false">IF(AX$4=0,0,IF(COUNTIFS(実績!$W$6:$W$505,AX$3,実績!$AI$6:$AI$505,"&lt;="&amp;$A85,実績!$AJ$6:$AJ$505,"&gt;"&amp;$A85,実績!$AK$6:$AK$505,"○")&gt;0,1,0))</f>
        <v>0</v>
      </c>
      <c r="AY85" s="39" t="n">
        <f aca="false">IF(AY$4=0,0,IF(COUNTIFS(実績!$W$6:$W$505,AY$3,実績!$AI$6:$AI$505,"&lt;="&amp;$A85,実績!$AJ$6:$AJ$505,"&gt;"&amp;$A85,実績!$AK$6:$AK$505,"○")&gt;0,1,0))</f>
        <v>0</v>
      </c>
      <c r="AZ85" s="39" t="n">
        <f aca="false">IF(AZ$4=0,0,IF(COUNTIFS(実績!$W$6:$W$505,AZ$3,実績!$AI$6:$AI$505,"&lt;="&amp;$A85,実績!$AJ$6:$AJ$505,"&gt;"&amp;$A85,実績!$AK$6:$AK$505,"○")&gt;0,1,0))</f>
        <v>0</v>
      </c>
      <c r="BA85" s="39" t="n">
        <f aca="false">IF(BA$4=0,0,IF(COUNTIFS(実績!$W$6:$W$505,BA$3,実績!$AI$6:$AI$505,"&lt;="&amp;$A85,実績!$AJ$6:$AJ$505,"&gt;"&amp;$A85,実績!$AK$6:$AK$505,"○")&gt;0,1,0))</f>
        <v>0</v>
      </c>
      <c r="BB85" s="39" t="n">
        <f aca="false">IF(BB$4=0,0,IF(COUNTIFS(実績!$W$6:$W$505,BB$3,実績!$AI$6:$AI$505,"&lt;="&amp;$A85,実績!$AJ$6:$AJ$505,"&gt;"&amp;$A85,実績!$AK$6:$AK$505,"○")&gt;0,1,0))</f>
        <v>0</v>
      </c>
      <c r="BC85" s="39" t="n">
        <f aca="false">IF(BC$4=0,0,IF(COUNTIFS(実績!$W$6:$W$505,BC$3,実績!$AI$6:$AI$505,"&lt;="&amp;$A85,実績!$AJ$6:$AJ$505,"&gt;"&amp;$A85,実績!$AK$6:$AK$505,"○")&gt;0,1,0))</f>
        <v>0</v>
      </c>
      <c r="BD85" s="39" t="n">
        <f aca="false">IF(BD$4=0,0,IF(COUNTIFS(実績!$W$6:$W$505,BD$3,実績!$AI$6:$AI$505,"&lt;="&amp;$A85,実績!$AJ$6:$AJ$505,"&gt;"&amp;$A85,実績!$AK$6:$AK$505,"○")&gt;0,1,0))</f>
        <v>0</v>
      </c>
      <c r="BE85" s="39" t="n">
        <f aca="false">IF(BE$4=0,0,IF(COUNTIFS(実績!$W$6:$W$505,BE$3,実績!$AI$6:$AI$505,"&lt;="&amp;$A85,実績!$AJ$6:$AJ$505,"&gt;"&amp;$A85,実績!$AK$6:$AK$505,"○")&gt;0,1,0))</f>
        <v>0</v>
      </c>
      <c r="BF85" s="39" t="n">
        <f aca="false">IF(BF$4=0,0,IF(COUNTIFS(実績!$W$6:$W$505,BF$3,実績!$AI$6:$AI$505,"&lt;="&amp;$A85,実績!$AJ$6:$AJ$505,"&gt;"&amp;$A85,実績!$AK$6:$AK$505,"○")&gt;0,1,0))</f>
        <v>0</v>
      </c>
      <c r="BG85" s="39" t="n">
        <f aca="false">IF(BG$4=0,0,IF(COUNTIFS(実績!$W$6:$W$505,BG$3,実績!$AI$6:$AI$505,"&lt;="&amp;$A85,実績!$AJ$6:$AJ$505,"&gt;"&amp;$A85,実績!$AK$6:$AK$505,"○")&gt;0,1,0))</f>
        <v>0</v>
      </c>
      <c r="BH85" s="39" t="n">
        <f aca="false">IF(BH$4=0,0,IF(COUNTIFS(実績!$W$6:$W$505,BH$3,実績!$AI$6:$AI$505,"&lt;="&amp;$A85,実績!$AJ$6:$AJ$505,"&gt;"&amp;$A85,実績!$AK$6:$AK$505,"○")&gt;0,1,0))</f>
        <v>0</v>
      </c>
      <c r="BI85" s="39" t="n">
        <f aca="false">IF(BI$4=0,0,IF(COUNTIFS(実績!$W$6:$W$505,BI$3,実績!$AI$6:$AI$505,"&lt;="&amp;$A85,実績!$AJ$6:$AJ$505,"&gt;"&amp;$A85,実績!$AK$6:$AK$505,"○")&gt;0,1,0))</f>
        <v>0</v>
      </c>
      <c r="BJ85" s="39" t="n">
        <f aca="false">IF(BJ$4=0,0,IF(COUNTIFS(実績!$W$6:$W$505,BJ$3,実績!$AI$6:$AI$505,"&lt;="&amp;$A85,実績!$AJ$6:$AJ$505,"&gt;"&amp;$A85,実績!$AK$6:$AK$505,"○")&gt;0,1,0))</f>
        <v>0</v>
      </c>
      <c r="BK85" s="39" t="n">
        <f aca="false">IF(BK$4=0,0,IF(COUNTIFS(実績!$W$6:$W$505,BK$3,実績!$AI$6:$AI$505,"&lt;="&amp;$A85,実績!$AJ$6:$AJ$505,"&gt;"&amp;$A85,実績!$AK$6:$AK$505,"○")&gt;0,1,0))</f>
        <v>0</v>
      </c>
      <c r="BL85" s="39" t="n">
        <f aca="false">IF(BL$4=0,0,IF(COUNTIFS(実績!$W$6:$W$505,BL$3,実績!$AI$6:$AI$505,"&lt;="&amp;$A85,実績!$AJ$6:$AJ$505,"&gt;"&amp;$A85,実績!$AK$6:$AK$505,"○")&gt;0,1,0))</f>
        <v>0</v>
      </c>
      <c r="BM85" s="39" t="n">
        <f aca="false">IF(BM$4=0,0,IF(COUNTIFS(実績!$W$6:$W$505,BM$3,実績!$AI$6:$AI$505,"&lt;="&amp;$A85,実績!$AJ$6:$AJ$505,"&gt;"&amp;$A85,実績!$AK$6:$AK$505,"○")&gt;0,1,0))</f>
        <v>0</v>
      </c>
      <c r="BN85" s="39" t="n">
        <f aca="false">IF(BN$4=0,0,IF(COUNTIFS(実績!$W$6:$W$505,BN$3,実績!$AI$6:$AI$505,"&lt;="&amp;$A85,実績!$AJ$6:$AJ$505,"&gt;"&amp;$A85,実績!$AK$6:$AK$505,"○")&gt;0,1,0))</f>
        <v>0</v>
      </c>
      <c r="BO85" s="39" t="n">
        <f aca="false">IF(BO$4=0,0,IF(COUNTIFS(実績!$W$6:$W$505,BO$3,実績!$AI$6:$AI$505,"&lt;="&amp;$A85,実績!$AJ$6:$AJ$505,"&gt;"&amp;$A85,実績!$AK$6:$AK$505,"○")&gt;0,1,0))</f>
        <v>0</v>
      </c>
      <c r="BP85" s="39" t="n">
        <f aca="false">IF(BP$4=0,0,IF(COUNTIFS(実績!$W$6:$W$505,BP$3,実績!$AI$6:$AI$505,"&lt;="&amp;$A85,実績!$AJ$6:$AJ$505,"&gt;"&amp;$A85,実績!$AK$6:$AK$505,"○")&gt;0,1,0))</f>
        <v>0</v>
      </c>
      <c r="BQ85" s="39" t="n">
        <f aca="false">IF(BQ$4=0,0,IF(COUNTIFS(実績!$W$6:$W$505,BQ$3,実績!$AI$6:$AI$505,"&lt;="&amp;$A85,実績!$AJ$6:$AJ$505,"&gt;"&amp;$A85,実績!$AK$6:$AK$505,"○")&gt;0,1,0))</f>
        <v>0</v>
      </c>
      <c r="BR85" s="39" t="n">
        <f aca="false">IF(BR$4=0,0,IF(COUNTIFS(実績!$W$6:$W$505,BR$3,実績!$AI$6:$AI$505,"&lt;="&amp;$A85,実績!$AJ$6:$AJ$505,"&gt;"&amp;$A85,実績!$AK$6:$AK$505,"○")&gt;0,1,0))</f>
        <v>0</v>
      </c>
      <c r="BS85" s="39" t="n">
        <f aca="false">IF(BS$4=0,0,IF(COUNTIFS(実績!$W$6:$W$505,BS$3,実績!$AI$6:$AI$505,"&lt;="&amp;$A85,実績!$AJ$6:$AJ$505,"&gt;"&amp;$A85,実績!$AK$6:$AK$505,"○")&gt;0,1,0))</f>
        <v>0</v>
      </c>
      <c r="BT85" s="39" t="n">
        <f aca="false">IF(BT$4=0,0,IF(COUNTIFS(実績!$W$6:$W$505,BT$3,実績!$AI$6:$AI$505,"&lt;="&amp;$A85,実績!$AJ$6:$AJ$505,"&gt;"&amp;$A85,実績!$AK$6:$AK$505,"○")&gt;0,1,0))</f>
        <v>0</v>
      </c>
      <c r="BU85" s="39" t="n">
        <f aca="false">IF(BU$4=0,0,IF(COUNTIFS(実績!$W$6:$W$505,BU$3,実績!$AI$6:$AI$505,"&lt;="&amp;$A85,実績!$AJ$6:$AJ$505,"&gt;"&amp;$A85,実績!$AK$6:$AK$505,"○")&gt;0,1,0))</f>
        <v>0</v>
      </c>
      <c r="BV85" s="39" t="n">
        <f aca="false">IF(BV$4=0,0,IF(COUNTIFS(実績!$W$6:$W$505,BV$3,実績!$AI$6:$AI$505,"&lt;="&amp;$A85,実績!$AJ$6:$AJ$505,"&gt;"&amp;$A85,実績!$AK$6:$AK$505,"○")&gt;0,1,0))</f>
        <v>0</v>
      </c>
      <c r="BW85" s="39" t="n">
        <f aca="false">IF(BW$4=0,0,IF(COUNTIFS(実績!$W$6:$W$505,BW$3,実績!$AI$6:$AI$505,"&lt;="&amp;$A85,実績!$AJ$6:$AJ$505,"&gt;"&amp;$A85,実績!$AK$6:$AK$505,"○")&gt;0,1,0))</f>
        <v>0</v>
      </c>
      <c r="BX85" s="39" t="n">
        <f aca="false">IF(BX$4=0,0,IF(COUNTIFS(実績!$W$6:$W$505,BX$3,実績!$AI$6:$AI$505,"&lt;="&amp;$A85,実績!$AJ$6:$AJ$505,"&gt;"&amp;$A85,実績!$AK$6:$AK$505,"○")&gt;0,1,0))</f>
        <v>0</v>
      </c>
      <c r="BY85" s="39" t="n">
        <f aca="false">IF(BY$4=0,0,IF(COUNTIFS(実績!$W$6:$W$505,BY$3,実績!$AI$6:$AI$505,"&lt;="&amp;$A85,実績!$AJ$6:$AJ$505,"&gt;"&amp;$A85,実績!$AK$6:$AK$505,"○")&gt;0,1,0))</f>
        <v>0</v>
      </c>
      <c r="BZ85" s="39" t="n">
        <f aca="false">IF(BZ$4=0,0,IF(COUNTIFS(実績!$W$6:$W$505,BZ$3,実績!$AI$6:$AI$505,"&lt;="&amp;$A85,実績!$AJ$6:$AJ$505,"&gt;"&amp;$A85,実績!$AK$6:$AK$505,"○")&gt;0,1,0))</f>
        <v>0</v>
      </c>
      <c r="CA85" s="39" t="n">
        <f aca="false">IF(CA$4=0,0,IF(COUNTIFS(実績!$W$6:$W$505,CA$3,実績!$AI$6:$AI$505,"&lt;="&amp;$A85,実績!$AJ$6:$AJ$505,"&gt;"&amp;$A85,実績!$AK$6:$AK$505,"○")&gt;0,1,0))</f>
        <v>0</v>
      </c>
      <c r="CB85" s="39" t="n">
        <f aca="false">IF(CB$4=0,0,IF(COUNTIFS(実績!$W$6:$W$505,CB$3,実績!$AI$6:$AI$505,"&lt;="&amp;$A85,実績!$AJ$6:$AJ$505,"&gt;"&amp;$A85,実績!$AK$6:$AK$505,"○")&gt;0,1,0))</f>
        <v>0</v>
      </c>
      <c r="CC85" s="39" t="n">
        <f aca="false">IF(CC$4=0,0,IF(COUNTIFS(実績!$W$6:$W$505,CC$3,実績!$AI$6:$AI$505,"&lt;="&amp;$A85,実績!$AJ$6:$AJ$505,"&gt;"&amp;$A85,実績!$AK$6:$AK$505,"○")&gt;0,1,0))</f>
        <v>0</v>
      </c>
      <c r="CD85" s="39" t="n">
        <f aca="false">IF(CD$4=0,0,IF(COUNTIFS(実績!$W$6:$W$505,CD$3,実績!$AI$6:$AI$505,"&lt;="&amp;$A85,実績!$AJ$6:$AJ$505,"&gt;"&amp;$A85,実績!$AK$6:$AK$505,"○")&gt;0,1,0))</f>
        <v>0</v>
      </c>
      <c r="CE85" s="39" t="n">
        <f aca="false">IF(CE$4=0,0,IF(COUNTIFS(実績!$W$6:$W$505,CE$3,実績!$AI$6:$AI$505,"&lt;="&amp;$A85,実績!$AJ$6:$AJ$505,"&gt;"&amp;$A85,実績!$AK$6:$AK$505,"○")&gt;0,1,0))</f>
        <v>0</v>
      </c>
      <c r="CF85" s="39" t="n">
        <f aca="false">IF(CF$4=0,0,IF(COUNTIFS(実績!$W$6:$W$505,CF$3,実績!$AI$6:$AI$505,"&lt;="&amp;$A85,実績!$AJ$6:$AJ$505,"&gt;"&amp;$A85,実績!$AK$6:$AK$505,"○")&gt;0,1,0))</f>
        <v>0</v>
      </c>
      <c r="CG85" s="39" t="n">
        <f aca="false">IF(CG$4=0,0,IF(COUNTIFS(実績!$W$6:$W$505,CG$3,実績!$AI$6:$AI$505,"&lt;="&amp;$A85,実績!$AJ$6:$AJ$505,"&gt;"&amp;$A85,実績!$AK$6:$AK$505,"○")&gt;0,1,0))</f>
        <v>0</v>
      </c>
      <c r="CH85" s="39" t="n">
        <f aca="false">IF(CH$4=0,0,IF(COUNTIFS(実績!$W$6:$W$505,CH$3,実績!$AI$6:$AI$505,"&lt;="&amp;$A85,実績!$AJ$6:$AJ$505,"&gt;"&amp;$A85,実績!$AK$6:$AK$505,"○")&gt;0,1,0))</f>
        <v>0</v>
      </c>
      <c r="CI85" s="39" t="n">
        <f aca="false">IF(CI$4=0,0,IF(COUNTIFS(実績!$W$6:$W$505,CI$3,実績!$AI$6:$AI$505,"&lt;="&amp;$A85,実績!$AJ$6:$AJ$505,"&gt;"&amp;$A85,実績!$AK$6:$AK$505,"○")&gt;0,1,0))</f>
        <v>0</v>
      </c>
      <c r="CJ85" s="39" t="n">
        <f aca="false">IF(CJ$4=0,0,IF(COUNTIFS(実績!$W$6:$W$505,CJ$3,実績!$AI$6:$AI$505,"&lt;="&amp;$A85,実績!$AJ$6:$AJ$505,"&gt;"&amp;$A85,実績!$AK$6:$AK$505,"○")&gt;0,1,0))</f>
        <v>0</v>
      </c>
      <c r="CK85" s="39" t="n">
        <f aca="false">IF(CK$4=0,0,IF(COUNTIFS(実績!$W$6:$W$505,CK$3,実績!$AI$6:$AI$505,"&lt;="&amp;$A85,実績!$AJ$6:$AJ$505,"&gt;"&amp;$A85,実績!$AK$6:$AK$505,"○")&gt;0,1,0))</f>
        <v>0</v>
      </c>
      <c r="CL85" s="39" t="n">
        <f aca="false">IF(CL$4=0,0,IF(COUNTIFS(実績!$W$6:$W$505,CL$3,実績!$AI$6:$AI$505,"&lt;="&amp;$A85,実績!$AJ$6:$AJ$505,"&gt;"&amp;$A85,実績!$AK$6:$AK$505,"○")&gt;0,1,0))</f>
        <v>0</v>
      </c>
      <c r="CM85" s="39" t="n">
        <f aca="false">IF(CM$4=0,0,IF(COUNTIFS(実績!$W$6:$W$505,CM$3,実績!$AI$6:$AI$505,"&lt;="&amp;$A85,実績!$AJ$6:$AJ$505,"&gt;"&amp;$A85,実績!$AK$6:$AK$505,"○")&gt;0,1,0))</f>
        <v>0</v>
      </c>
      <c r="CN85" s="39" t="n">
        <f aca="false">IF(CN$4=0,0,IF(COUNTIFS(実績!$W$6:$W$505,CN$3,実績!$AI$6:$AI$505,"&lt;="&amp;$A85,実績!$AJ$6:$AJ$505,"&gt;"&amp;$A85,実績!$AK$6:$AK$505,"○")&gt;0,1,0))</f>
        <v>0</v>
      </c>
      <c r="CO85" s="39" t="n">
        <f aca="false">IF(CO$4=0,0,IF(COUNTIFS(実績!$W$6:$W$505,CO$3,実績!$AI$6:$AI$505,"&lt;="&amp;$A85,実績!$AJ$6:$AJ$505,"&gt;"&amp;$A85,実績!$AK$6:$AK$505,"○")&gt;0,1,0))</f>
        <v>0</v>
      </c>
      <c r="CP85" s="39" t="n">
        <f aca="false">IF(CP$4=0,0,IF(COUNTIFS(実績!$W$6:$W$505,CP$3,実績!$AI$6:$AI$505,"&lt;="&amp;$A85,実績!$AJ$6:$AJ$505,"&gt;"&amp;$A85,実績!$AK$6:$AK$505,"○")&gt;0,1,0))</f>
        <v>0</v>
      </c>
      <c r="CQ85" s="39" t="n">
        <f aca="false">IF(CQ$4=0,0,IF(COUNTIFS(実績!$W$6:$W$505,CQ$3,実績!$AI$6:$AI$505,"&lt;="&amp;$A85,実績!$AJ$6:$AJ$505,"&gt;"&amp;$A85,実績!$AK$6:$AK$505,"○")&gt;0,1,0))</f>
        <v>0</v>
      </c>
      <c r="CR85" s="39" t="n">
        <f aca="false">IF(CR$4=0,0,IF(COUNTIFS(実績!$W$6:$W$505,CR$3,実績!$AI$6:$AI$505,"&lt;="&amp;$A85,実績!$AJ$6:$AJ$505,"&gt;"&amp;$A85,実績!$AK$6:$AK$505,"○")&gt;0,1,0))</f>
        <v>0</v>
      </c>
      <c r="CS85" s="39" t="n">
        <f aca="false">IF(CS$4=0,0,IF(COUNTIFS(実績!$W$6:$W$505,CS$3,実績!$AI$6:$AI$505,"&lt;="&amp;$A85,実績!$AJ$6:$AJ$505,"&gt;"&amp;$A85,実績!$AK$6:$AK$505,"○")&gt;0,1,0))</f>
        <v>0</v>
      </c>
      <c r="CT85" s="39" t="n">
        <f aca="false">IF(CT$4=0,0,IF(COUNTIFS(実績!$W$6:$W$505,CT$3,実績!$AI$6:$AI$505,"&lt;="&amp;$A85,実績!$AJ$6:$AJ$505,"&gt;"&amp;$A85,実績!$AK$6:$AK$505,"○")&gt;0,1,0))</f>
        <v>0</v>
      </c>
      <c r="CU85" s="39" t="n">
        <f aca="false">IF(CU$4=0,0,IF(COUNTIFS(実績!$W$6:$W$505,CU$3,実績!$AI$6:$AI$505,"&lt;="&amp;$A85,実績!$AJ$6:$AJ$505,"&gt;"&amp;$A85,実績!$AK$6:$AK$505,"○")&gt;0,1,0))</f>
        <v>0</v>
      </c>
      <c r="CV85" s="39" t="n">
        <f aca="false">IF(CV$4=0,0,IF(COUNTIFS(実績!$W$6:$W$505,CV$3,実績!$AI$6:$AI$505,"&lt;="&amp;$A85,実績!$AJ$6:$AJ$505,"&gt;"&amp;$A85,実績!$AK$6:$AK$505,"○")&gt;0,1,0))</f>
        <v>0</v>
      </c>
      <c r="CW85" s="39" t="n">
        <f aca="false">IF(CW$4=0,0,IF(COUNTIFS(実績!$W$6:$W$505,CW$3,実績!$AI$6:$AI$505,"&lt;="&amp;$A85,実績!$AJ$6:$AJ$505,"&gt;"&amp;$A85,実績!$AK$6:$AK$505,"○")&gt;0,1,0))</f>
        <v>0</v>
      </c>
      <c r="CX85" s="39" t="n">
        <f aca="false">IF(CX$4=0,0,IF(COUNTIFS(実績!$W$6:$W$505,CX$3,実績!$AI$6:$AI$505,"&lt;="&amp;$A85,実績!$AJ$6:$AJ$505,"&gt;"&amp;$A85,実績!$AK$6:$AK$505,"○")&gt;0,1,0))</f>
        <v>0</v>
      </c>
      <c r="CY85" s="39" t="n">
        <f aca="false">IF(CY$4=0,0,IF(COUNTIFS(実績!$W$6:$W$505,CY$3,実績!$AI$6:$AI$505,"&lt;="&amp;$A85,実績!$AJ$6:$AJ$505,"&gt;"&amp;$A85,実績!$AK$6:$AK$505,"○")&gt;0,1,0))</f>
        <v>0</v>
      </c>
      <c r="CZ85" s="39" t="n">
        <f aca="false">IF(CZ$4=0,0,IF(COUNTIFS(実績!$W$6:$W$505,CZ$3,実績!$AI$6:$AI$505,"&lt;="&amp;$A85,実績!$AJ$6:$AJ$505,"&gt;"&amp;$A85,実績!$AK$6:$AK$505,"○")&gt;0,1,0))</f>
        <v>0</v>
      </c>
      <c r="DA85" s="39" t="n">
        <f aca="false">IF(DA$4=0,0,IF(COUNTIFS(実績!$W$6:$W$505,DA$3,実績!$AI$6:$AI$505,"&lt;="&amp;$A85,実績!$AJ$6:$AJ$505,"&gt;"&amp;$A85,実績!$AK$6:$AK$505,"○")&gt;0,1,0))</f>
        <v>0</v>
      </c>
      <c r="DB85" s="39" t="n">
        <f aca="false">IF(DB$4=0,0,IF(COUNTIFS(実績!$W$6:$W$505,DB$3,実績!$AI$6:$AI$505,"&lt;="&amp;$A85,実績!$AJ$6:$AJ$505,"&gt;"&amp;$A85,実績!$AK$6:$AK$505,"○")&gt;0,1,0))</f>
        <v>0</v>
      </c>
      <c r="DC85" s="39" t="n">
        <f aca="false">IF(DC$4=0,0,IF(COUNTIFS(実績!$W$6:$W$505,DC$3,実績!$AI$6:$AI$505,"&lt;="&amp;$A85,実績!$AJ$6:$AJ$505,"&gt;"&amp;$A85,実績!$AK$6:$AK$505,"○")&gt;0,1,0))</f>
        <v>0</v>
      </c>
      <c r="DD85" s="39" t="n">
        <f aca="false">IF(DD$4=0,0,IF(COUNTIFS(実績!$W$6:$W$505,DD$3,実績!$AI$6:$AI$505,"&lt;="&amp;$A85,実績!$AJ$6:$AJ$505,"&gt;"&amp;$A85,実績!$AK$6:$AK$505,"○")&gt;0,1,0))</f>
        <v>0</v>
      </c>
      <c r="DE85" s="39" t="n">
        <f aca="false">IF(DE$4=0,0,IF(COUNTIFS(実績!$W$6:$W$505,DE$3,実績!$AI$6:$AI$505,"&lt;="&amp;$A85,実績!$AJ$6:$AJ$505,"&gt;"&amp;$A85,実績!$AK$6:$AK$505,"○")&gt;0,1,0))</f>
        <v>0</v>
      </c>
      <c r="DF85" s="39" t="n">
        <f aca="false">IF(DF$4=0,0,IF(COUNTIFS(実績!$W$6:$W$505,DF$3,実績!$AI$6:$AI$505,"&lt;="&amp;$A85,実績!$AJ$6:$AJ$505,"&gt;"&amp;$A85,実績!$AK$6:$AK$505,"○")&gt;0,1,0))</f>
        <v>0</v>
      </c>
      <c r="DG85" s="39" t="n">
        <f aca="false">IF(DG$4=0,0,IF(COUNTIFS(実績!$W$6:$W$505,DG$3,実績!$AI$6:$AI$505,"&lt;="&amp;$A85,実績!$AJ$6:$AJ$505,"&gt;"&amp;$A85,実績!$AK$6:$AK$505,"○")&gt;0,1,0))</f>
        <v>0</v>
      </c>
      <c r="DH85" s="39" t="n">
        <f aca="false">IF(DH$4=0,0,IF(COUNTIFS(実績!$W$6:$W$505,DH$3,実績!$AI$6:$AI$505,"&lt;="&amp;$A85,実績!$AJ$6:$AJ$505,"&gt;"&amp;$A85,実績!$AK$6:$AK$505,"○")&gt;0,1,0))</f>
        <v>0</v>
      </c>
      <c r="DI85" s="39" t="n">
        <f aca="false">IF(DI$4=0,0,IF(COUNTIFS(実績!$W$6:$W$505,DI$3,実績!$AI$6:$AI$505,"&lt;="&amp;$A85,実績!$AJ$6:$AJ$505,"&gt;"&amp;$A85,実績!$AK$6:$AK$505,"○")&gt;0,1,0))</f>
        <v>0</v>
      </c>
      <c r="DJ85" s="39" t="n">
        <f aca="false">IF(DJ$4=0,0,IF(COUNTIFS(実績!$W$6:$W$505,DJ$3,実績!$AI$6:$AI$505,"&lt;="&amp;$A85,実績!$AJ$6:$AJ$505,"&gt;"&amp;$A85,実績!$AK$6:$AK$505,"○")&gt;0,1,0))</f>
        <v>0</v>
      </c>
      <c r="DK85" s="39" t="n">
        <f aca="false">IF(DK$4=0,0,IF(COUNTIFS(実績!$W$6:$W$505,DK$3,実績!$AI$6:$AI$505,"&lt;="&amp;$A85,実績!$AJ$6:$AJ$505,"&gt;"&amp;$A85,実績!$AK$6:$AK$505,"○")&gt;0,1,0))</f>
        <v>0</v>
      </c>
      <c r="DL85" s="39" t="n">
        <f aca="false">IF(DL$4=0,0,IF(COUNTIFS(実績!$W$6:$W$505,DL$3,実績!$AI$6:$AI$505,"&lt;="&amp;$A85,実績!$AJ$6:$AJ$505,"&gt;"&amp;$A85,実績!$AK$6:$AK$505,"○")&gt;0,1,0))</f>
        <v>0</v>
      </c>
      <c r="DM85" s="39" t="n">
        <f aca="false">IF(DM$4=0,0,IF(COUNTIFS(実績!$W$6:$W$505,DM$3,実績!$AI$6:$AI$505,"&lt;="&amp;$A85,実績!$AJ$6:$AJ$505,"&gt;"&amp;$A85,実績!$AK$6:$AK$505,"○")&gt;0,1,0))</f>
        <v>0</v>
      </c>
      <c r="DN85" s="39" t="n">
        <f aca="false">IF(DN$4=0,0,IF(COUNTIFS(実績!$W$6:$W$505,DN$3,実績!$AI$6:$AI$505,"&lt;="&amp;$A85,実績!$AJ$6:$AJ$505,"&gt;"&amp;$A85,実績!$AK$6:$AK$505,"○")&gt;0,1,0))</f>
        <v>0</v>
      </c>
      <c r="DO85" s="39" t="n">
        <f aca="false">IF(DO$4=0,0,IF(COUNTIFS(実績!$W$6:$W$505,DO$3,実績!$AI$6:$AI$505,"&lt;="&amp;$A85,実績!$AJ$6:$AJ$505,"&gt;"&amp;$A85,実績!$AK$6:$AK$505,"○")&gt;0,1,0))</f>
        <v>0</v>
      </c>
      <c r="DP85" s="39" t="n">
        <f aca="false">IF(DP$4=0,0,IF(COUNTIFS(実績!$W$6:$W$505,DP$3,実績!$AI$6:$AI$505,"&lt;="&amp;$A85,実績!$AJ$6:$AJ$505,"&gt;"&amp;$A85,実績!$AK$6:$AK$505,"○")&gt;0,1,0))</f>
        <v>0</v>
      </c>
      <c r="DQ85" s="39" t="n">
        <f aca="false">IF(DQ$4=0,0,IF(COUNTIFS(実績!$W$6:$W$505,DQ$3,実績!$AI$6:$AI$505,"&lt;="&amp;$A85,実績!$AJ$6:$AJ$505,"&gt;"&amp;$A85,実績!$AK$6:$AK$505,"○")&gt;0,1,0))</f>
        <v>0</v>
      </c>
      <c r="DR85" s="39" t="n">
        <f aca="false">IF(DR$4=0,0,IF(COUNTIFS(実績!$W$6:$W$505,DR$3,実績!$AI$6:$AI$505,"&lt;="&amp;$A85,実績!$AJ$6:$AJ$505,"&gt;"&amp;$A85,実績!$AK$6:$AK$505,"○")&gt;0,1,0))</f>
        <v>0</v>
      </c>
      <c r="DS85" s="39" t="n">
        <f aca="false">SUM(C85:DR85)</f>
        <v>0</v>
      </c>
      <c r="DT85" s="39" t="n">
        <f aca="false">SUMPRODUCT((実績!$C$6:$C$505="○")*ISNUMBER(実績!$AM$6:$AM$505)*(実績!$AM$6:$AM$505&lt;=$A85)*(実績!$AN$6:$AN$505&gt;$A85))</f>
        <v>0</v>
      </c>
      <c r="DU85" s="39" t="n">
        <f aca="false">SUMIF($C$2:$DR$2,"製鉄曳船",C85:DR85)</f>
        <v>0</v>
      </c>
      <c r="DV85" s="39" t="n">
        <f aca="false">SUMIF($C$2:$DR$2,"西日本海運",C85:DR85)</f>
        <v>0</v>
      </c>
    </row>
    <row r="86" customFormat="false" ht="15" hidden="false" customHeight="false" outlineLevel="0" collapsed="false">
      <c r="A86" s="0" t="n">
        <v>400</v>
      </c>
      <c r="B86" s="38" t="n">
        <f aca="false">A86/1440</f>
        <v>0.277777777777778</v>
      </c>
      <c r="C86" s="39" t="n">
        <f aca="false">IF(C$4=0,0,IF(COUNTIFS(実績!$W$6:$W$505,C$3,実績!$AI$6:$AI$505,"&lt;="&amp;$A86,実績!$AJ$6:$AJ$505,"&gt;"&amp;$A86,実績!$AK$6:$AK$505,"○")&gt;0,1,0))</f>
        <v>0</v>
      </c>
      <c r="D86" s="39" t="n">
        <f aca="false">IF(D$4=0,0,IF(COUNTIFS(実績!$W$6:$W$505,D$3,実績!$AI$6:$AI$505,"&lt;="&amp;$A86,実績!$AJ$6:$AJ$505,"&gt;"&amp;$A86,実績!$AK$6:$AK$505,"○")&gt;0,1,0))</f>
        <v>0</v>
      </c>
      <c r="E86" s="39" t="n">
        <f aca="false">IF(E$4=0,0,IF(COUNTIFS(実績!$W$6:$W$505,E$3,実績!$AI$6:$AI$505,"&lt;="&amp;$A86,実績!$AJ$6:$AJ$505,"&gt;"&amp;$A86,実績!$AK$6:$AK$505,"○")&gt;0,1,0))</f>
        <v>0</v>
      </c>
      <c r="F86" s="39" t="n">
        <f aca="false">IF(F$4=0,0,IF(COUNTIFS(実績!$W$6:$W$505,F$3,実績!$AI$6:$AI$505,"&lt;="&amp;$A86,実績!$AJ$6:$AJ$505,"&gt;"&amp;$A86,実績!$AK$6:$AK$505,"○")&gt;0,1,0))</f>
        <v>0</v>
      </c>
      <c r="G86" s="39" t="n">
        <f aca="false">IF(G$4=0,0,IF(COUNTIFS(実績!$W$6:$W$505,G$3,実績!$AI$6:$AI$505,"&lt;="&amp;$A86,実績!$AJ$6:$AJ$505,"&gt;"&amp;$A86,実績!$AK$6:$AK$505,"○")&gt;0,1,0))</f>
        <v>0</v>
      </c>
      <c r="H86" s="39" t="n">
        <f aca="false">IF(H$4=0,0,IF(COUNTIFS(実績!$W$6:$W$505,H$3,実績!$AI$6:$AI$505,"&lt;="&amp;$A86,実績!$AJ$6:$AJ$505,"&gt;"&amp;$A86,実績!$AK$6:$AK$505,"○")&gt;0,1,0))</f>
        <v>0</v>
      </c>
      <c r="I86" s="39" t="n">
        <f aca="false">IF(I$4=0,0,IF(COUNTIFS(実績!$W$6:$W$505,I$3,実績!$AI$6:$AI$505,"&lt;="&amp;$A86,実績!$AJ$6:$AJ$505,"&gt;"&amp;$A86,実績!$AK$6:$AK$505,"○")&gt;0,1,0))</f>
        <v>0</v>
      </c>
      <c r="J86" s="39" t="n">
        <f aca="false">IF(J$4=0,0,IF(COUNTIFS(実績!$W$6:$W$505,J$3,実績!$AI$6:$AI$505,"&lt;="&amp;$A86,実績!$AJ$6:$AJ$505,"&gt;"&amp;$A86,実績!$AK$6:$AK$505,"○")&gt;0,1,0))</f>
        <v>0</v>
      </c>
      <c r="K86" s="39" t="n">
        <f aca="false">IF(K$4=0,0,IF(COUNTIFS(実績!$W$6:$W$505,K$3,実績!$AI$6:$AI$505,"&lt;="&amp;$A86,実績!$AJ$6:$AJ$505,"&gt;"&amp;$A86,実績!$AK$6:$AK$505,"○")&gt;0,1,0))</f>
        <v>0</v>
      </c>
      <c r="L86" s="39" t="n">
        <f aca="false">IF(L$4=0,0,IF(COUNTIFS(実績!$W$6:$W$505,L$3,実績!$AI$6:$AI$505,"&lt;="&amp;$A86,実績!$AJ$6:$AJ$505,"&gt;"&amp;$A86,実績!$AK$6:$AK$505,"○")&gt;0,1,0))</f>
        <v>0</v>
      </c>
      <c r="M86" s="39" t="n">
        <f aca="false">IF(M$4=0,0,IF(COUNTIFS(実績!$W$6:$W$505,M$3,実績!$AI$6:$AI$505,"&lt;="&amp;$A86,実績!$AJ$6:$AJ$505,"&gt;"&amp;$A86,実績!$AK$6:$AK$505,"○")&gt;0,1,0))</f>
        <v>0</v>
      </c>
      <c r="N86" s="39" t="n">
        <f aca="false">IF(N$4=0,0,IF(COUNTIFS(実績!$W$6:$W$505,N$3,実績!$AI$6:$AI$505,"&lt;="&amp;$A86,実績!$AJ$6:$AJ$505,"&gt;"&amp;$A86,実績!$AK$6:$AK$505,"○")&gt;0,1,0))</f>
        <v>0</v>
      </c>
      <c r="O86" s="39" t="n">
        <f aca="false">IF(O$4=0,0,IF(COUNTIFS(実績!$W$6:$W$505,O$3,実績!$AI$6:$AI$505,"&lt;="&amp;$A86,実績!$AJ$6:$AJ$505,"&gt;"&amp;$A86,実績!$AK$6:$AK$505,"○")&gt;0,1,0))</f>
        <v>0</v>
      </c>
      <c r="P86" s="39" t="n">
        <f aca="false">IF(P$4=0,0,IF(COUNTIFS(実績!$W$6:$W$505,P$3,実績!$AI$6:$AI$505,"&lt;="&amp;$A86,実績!$AJ$6:$AJ$505,"&gt;"&amp;$A86,実績!$AK$6:$AK$505,"○")&gt;0,1,0))</f>
        <v>0</v>
      </c>
      <c r="Q86" s="39" t="n">
        <f aca="false">IF(Q$4=0,0,IF(COUNTIFS(実績!$W$6:$W$505,Q$3,実績!$AI$6:$AI$505,"&lt;="&amp;$A86,実績!$AJ$6:$AJ$505,"&gt;"&amp;$A86,実績!$AK$6:$AK$505,"○")&gt;0,1,0))</f>
        <v>0</v>
      </c>
      <c r="R86" s="39" t="n">
        <f aca="false">IF(R$4=0,0,IF(COUNTIFS(実績!$W$6:$W$505,R$3,実績!$AI$6:$AI$505,"&lt;="&amp;$A86,実績!$AJ$6:$AJ$505,"&gt;"&amp;$A86,実績!$AK$6:$AK$505,"○")&gt;0,1,0))</f>
        <v>0</v>
      </c>
      <c r="S86" s="39" t="n">
        <f aca="false">IF(S$4=0,0,IF(COUNTIFS(実績!$W$6:$W$505,S$3,実績!$AI$6:$AI$505,"&lt;="&amp;$A86,実績!$AJ$6:$AJ$505,"&gt;"&amp;$A86,実績!$AK$6:$AK$505,"○")&gt;0,1,0))</f>
        <v>0</v>
      </c>
      <c r="T86" s="39" t="n">
        <f aca="false">IF(T$4=0,0,IF(COUNTIFS(実績!$W$6:$W$505,T$3,実績!$AI$6:$AI$505,"&lt;="&amp;$A86,実績!$AJ$6:$AJ$505,"&gt;"&amp;$A86,実績!$AK$6:$AK$505,"○")&gt;0,1,0))</f>
        <v>0</v>
      </c>
      <c r="U86" s="39" t="n">
        <f aca="false">IF(U$4=0,0,IF(COUNTIFS(実績!$W$6:$W$505,U$3,実績!$AI$6:$AI$505,"&lt;="&amp;$A86,実績!$AJ$6:$AJ$505,"&gt;"&amp;$A86,実績!$AK$6:$AK$505,"○")&gt;0,1,0))</f>
        <v>0</v>
      </c>
      <c r="V86" s="39" t="n">
        <f aca="false">IF(V$4=0,0,IF(COUNTIFS(実績!$W$6:$W$505,V$3,実績!$AI$6:$AI$505,"&lt;="&amp;$A86,実績!$AJ$6:$AJ$505,"&gt;"&amp;$A86,実績!$AK$6:$AK$505,"○")&gt;0,1,0))</f>
        <v>0</v>
      </c>
      <c r="W86" s="39" t="n">
        <f aca="false">IF(W$4=0,0,IF(COUNTIFS(実績!$W$6:$W$505,W$3,実績!$AI$6:$AI$505,"&lt;="&amp;$A86,実績!$AJ$6:$AJ$505,"&gt;"&amp;$A86,実績!$AK$6:$AK$505,"○")&gt;0,1,0))</f>
        <v>0</v>
      </c>
      <c r="X86" s="39" t="n">
        <f aca="false">IF(X$4=0,0,IF(COUNTIFS(実績!$W$6:$W$505,X$3,実績!$AI$6:$AI$505,"&lt;="&amp;$A86,実績!$AJ$6:$AJ$505,"&gt;"&amp;$A86,実績!$AK$6:$AK$505,"○")&gt;0,1,0))</f>
        <v>0</v>
      </c>
      <c r="Y86" s="39" t="n">
        <f aca="false">IF(Y$4=0,0,IF(COUNTIFS(実績!$W$6:$W$505,Y$3,実績!$AI$6:$AI$505,"&lt;="&amp;$A86,実績!$AJ$6:$AJ$505,"&gt;"&amp;$A86,実績!$AK$6:$AK$505,"○")&gt;0,1,0))</f>
        <v>0</v>
      </c>
      <c r="Z86" s="39" t="n">
        <f aca="false">IF(Z$4=0,0,IF(COUNTIFS(実績!$W$6:$W$505,Z$3,実績!$AI$6:$AI$505,"&lt;="&amp;$A86,実績!$AJ$6:$AJ$505,"&gt;"&amp;$A86,実績!$AK$6:$AK$505,"○")&gt;0,1,0))</f>
        <v>0</v>
      </c>
      <c r="AA86" s="39" t="n">
        <f aca="false">IF(AA$4=0,0,IF(COUNTIFS(実績!$W$6:$W$505,AA$3,実績!$AI$6:$AI$505,"&lt;="&amp;$A86,実績!$AJ$6:$AJ$505,"&gt;"&amp;$A86,実績!$AK$6:$AK$505,"○")&gt;0,1,0))</f>
        <v>0</v>
      </c>
      <c r="AB86" s="39" t="n">
        <f aca="false">IF(AB$4=0,0,IF(COUNTIFS(実績!$W$6:$W$505,AB$3,実績!$AI$6:$AI$505,"&lt;="&amp;$A86,実績!$AJ$6:$AJ$505,"&gt;"&amp;$A86,実績!$AK$6:$AK$505,"○")&gt;0,1,0))</f>
        <v>0</v>
      </c>
      <c r="AC86" s="39" t="n">
        <f aca="false">IF(AC$4=0,0,IF(COUNTIFS(実績!$W$6:$W$505,AC$3,実績!$AI$6:$AI$505,"&lt;="&amp;$A86,実績!$AJ$6:$AJ$505,"&gt;"&amp;$A86,実績!$AK$6:$AK$505,"○")&gt;0,1,0))</f>
        <v>0</v>
      </c>
      <c r="AD86" s="39" t="n">
        <f aca="false">IF(AD$4=0,0,IF(COUNTIFS(実績!$W$6:$W$505,AD$3,実績!$AI$6:$AI$505,"&lt;="&amp;$A86,実績!$AJ$6:$AJ$505,"&gt;"&amp;$A86,実績!$AK$6:$AK$505,"○")&gt;0,1,0))</f>
        <v>0</v>
      </c>
      <c r="AE86" s="39" t="n">
        <f aca="false">IF(AE$4=0,0,IF(COUNTIFS(実績!$W$6:$W$505,AE$3,実績!$AI$6:$AI$505,"&lt;="&amp;$A86,実績!$AJ$6:$AJ$505,"&gt;"&amp;$A86,実績!$AK$6:$AK$505,"○")&gt;0,1,0))</f>
        <v>0</v>
      </c>
      <c r="AF86" s="39" t="n">
        <f aca="false">IF(AF$4=0,0,IF(COUNTIFS(実績!$W$6:$W$505,AF$3,実績!$AI$6:$AI$505,"&lt;="&amp;$A86,実績!$AJ$6:$AJ$505,"&gt;"&amp;$A86,実績!$AK$6:$AK$505,"○")&gt;0,1,0))</f>
        <v>0</v>
      </c>
      <c r="AG86" s="39" t="n">
        <f aca="false">IF(AG$4=0,0,IF(COUNTIFS(実績!$W$6:$W$505,AG$3,実績!$AI$6:$AI$505,"&lt;="&amp;$A86,実績!$AJ$6:$AJ$505,"&gt;"&amp;$A86,実績!$AK$6:$AK$505,"○")&gt;0,1,0))</f>
        <v>0</v>
      </c>
      <c r="AH86" s="39" t="n">
        <f aca="false">IF(AH$4=0,0,IF(COUNTIFS(実績!$W$6:$W$505,AH$3,実績!$AI$6:$AI$505,"&lt;="&amp;$A86,実績!$AJ$6:$AJ$505,"&gt;"&amp;$A86,実績!$AK$6:$AK$505,"○")&gt;0,1,0))</f>
        <v>0</v>
      </c>
      <c r="AI86" s="39" t="n">
        <f aca="false">IF(AI$4=0,0,IF(COUNTIFS(実績!$W$6:$W$505,AI$3,実績!$AI$6:$AI$505,"&lt;="&amp;$A86,実績!$AJ$6:$AJ$505,"&gt;"&amp;$A86,実績!$AK$6:$AK$505,"○")&gt;0,1,0))</f>
        <v>0</v>
      </c>
      <c r="AJ86" s="39" t="n">
        <f aca="false">IF(AJ$4=0,0,IF(COUNTIFS(実績!$W$6:$W$505,AJ$3,実績!$AI$6:$AI$505,"&lt;="&amp;$A86,実績!$AJ$6:$AJ$505,"&gt;"&amp;$A86,実績!$AK$6:$AK$505,"○")&gt;0,1,0))</f>
        <v>0</v>
      </c>
      <c r="AK86" s="39" t="n">
        <f aca="false">IF(AK$4=0,0,IF(COUNTIFS(実績!$W$6:$W$505,AK$3,実績!$AI$6:$AI$505,"&lt;="&amp;$A86,実績!$AJ$6:$AJ$505,"&gt;"&amp;$A86,実績!$AK$6:$AK$505,"○")&gt;0,1,0))</f>
        <v>0</v>
      </c>
      <c r="AL86" s="39" t="n">
        <f aca="false">IF(AL$4=0,0,IF(COUNTIFS(実績!$W$6:$W$505,AL$3,実績!$AI$6:$AI$505,"&lt;="&amp;$A86,実績!$AJ$6:$AJ$505,"&gt;"&amp;$A86,実績!$AK$6:$AK$505,"○")&gt;0,1,0))</f>
        <v>0</v>
      </c>
      <c r="AM86" s="39" t="n">
        <f aca="false">IF(AM$4=0,0,IF(COUNTIFS(実績!$W$6:$W$505,AM$3,実績!$AI$6:$AI$505,"&lt;="&amp;$A86,実績!$AJ$6:$AJ$505,"&gt;"&amp;$A86,実績!$AK$6:$AK$505,"○")&gt;0,1,0))</f>
        <v>0</v>
      </c>
      <c r="AN86" s="39" t="n">
        <f aca="false">IF(AN$4=0,0,IF(COUNTIFS(実績!$W$6:$W$505,AN$3,実績!$AI$6:$AI$505,"&lt;="&amp;$A86,実績!$AJ$6:$AJ$505,"&gt;"&amp;$A86,実績!$AK$6:$AK$505,"○")&gt;0,1,0))</f>
        <v>0</v>
      </c>
      <c r="AO86" s="39" t="n">
        <f aca="false">IF(AO$4=0,0,IF(COUNTIFS(実績!$W$6:$W$505,AO$3,実績!$AI$6:$AI$505,"&lt;="&amp;$A86,実績!$AJ$6:$AJ$505,"&gt;"&amp;$A86,実績!$AK$6:$AK$505,"○")&gt;0,1,0))</f>
        <v>0</v>
      </c>
      <c r="AP86" s="39" t="n">
        <f aca="false">IF(AP$4=0,0,IF(COUNTIFS(実績!$W$6:$W$505,AP$3,実績!$AI$6:$AI$505,"&lt;="&amp;$A86,実績!$AJ$6:$AJ$505,"&gt;"&amp;$A86,実績!$AK$6:$AK$505,"○")&gt;0,1,0))</f>
        <v>0</v>
      </c>
      <c r="AQ86" s="39" t="n">
        <f aca="false">IF(AQ$4=0,0,IF(COUNTIFS(実績!$W$6:$W$505,AQ$3,実績!$AI$6:$AI$505,"&lt;="&amp;$A86,実績!$AJ$6:$AJ$505,"&gt;"&amp;$A86,実績!$AK$6:$AK$505,"○")&gt;0,1,0))</f>
        <v>0</v>
      </c>
      <c r="AR86" s="39" t="n">
        <f aca="false">IF(AR$4=0,0,IF(COUNTIFS(実績!$W$6:$W$505,AR$3,実績!$AI$6:$AI$505,"&lt;="&amp;$A86,実績!$AJ$6:$AJ$505,"&gt;"&amp;$A86,実績!$AK$6:$AK$505,"○")&gt;0,1,0))</f>
        <v>0</v>
      </c>
      <c r="AS86" s="39" t="n">
        <f aca="false">IF(AS$4=0,0,IF(COUNTIFS(実績!$W$6:$W$505,AS$3,実績!$AI$6:$AI$505,"&lt;="&amp;$A86,実績!$AJ$6:$AJ$505,"&gt;"&amp;$A86,実績!$AK$6:$AK$505,"○")&gt;0,1,0))</f>
        <v>0</v>
      </c>
      <c r="AT86" s="39" t="n">
        <f aca="false">IF(AT$4=0,0,IF(COUNTIFS(実績!$W$6:$W$505,AT$3,実績!$AI$6:$AI$505,"&lt;="&amp;$A86,実績!$AJ$6:$AJ$505,"&gt;"&amp;$A86,実績!$AK$6:$AK$505,"○")&gt;0,1,0))</f>
        <v>0</v>
      </c>
      <c r="AU86" s="39" t="n">
        <f aca="false">IF(AU$4=0,0,IF(COUNTIFS(実績!$W$6:$W$505,AU$3,実績!$AI$6:$AI$505,"&lt;="&amp;$A86,実績!$AJ$6:$AJ$505,"&gt;"&amp;$A86,実績!$AK$6:$AK$505,"○")&gt;0,1,0))</f>
        <v>0</v>
      </c>
      <c r="AV86" s="39" t="n">
        <f aca="false">IF(AV$4=0,0,IF(COUNTIFS(実績!$W$6:$W$505,AV$3,実績!$AI$6:$AI$505,"&lt;="&amp;$A86,実績!$AJ$6:$AJ$505,"&gt;"&amp;$A86,実績!$AK$6:$AK$505,"○")&gt;0,1,0))</f>
        <v>0</v>
      </c>
      <c r="AW86" s="39" t="n">
        <f aca="false">IF(AW$4=0,0,IF(COUNTIFS(実績!$W$6:$W$505,AW$3,実績!$AI$6:$AI$505,"&lt;="&amp;$A86,実績!$AJ$6:$AJ$505,"&gt;"&amp;$A86,実績!$AK$6:$AK$505,"○")&gt;0,1,0))</f>
        <v>0</v>
      </c>
      <c r="AX86" s="39" t="n">
        <f aca="false">IF(AX$4=0,0,IF(COUNTIFS(実績!$W$6:$W$505,AX$3,実績!$AI$6:$AI$505,"&lt;="&amp;$A86,実績!$AJ$6:$AJ$505,"&gt;"&amp;$A86,実績!$AK$6:$AK$505,"○")&gt;0,1,0))</f>
        <v>0</v>
      </c>
      <c r="AY86" s="39" t="n">
        <f aca="false">IF(AY$4=0,0,IF(COUNTIFS(実績!$W$6:$W$505,AY$3,実績!$AI$6:$AI$505,"&lt;="&amp;$A86,実績!$AJ$6:$AJ$505,"&gt;"&amp;$A86,実績!$AK$6:$AK$505,"○")&gt;0,1,0))</f>
        <v>0</v>
      </c>
      <c r="AZ86" s="39" t="n">
        <f aca="false">IF(AZ$4=0,0,IF(COUNTIFS(実績!$W$6:$W$505,AZ$3,実績!$AI$6:$AI$505,"&lt;="&amp;$A86,実績!$AJ$6:$AJ$505,"&gt;"&amp;$A86,実績!$AK$6:$AK$505,"○")&gt;0,1,0))</f>
        <v>0</v>
      </c>
      <c r="BA86" s="39" t="n">
        <f aca="false">IF(BA$4=0,0,IF(COUNTIFS(実績!$W$6:$W$505,BA$3,実績!$AI$6:$AI$505,"&lt;="&amp;$A86,実績!$AJ$6:$AJ$505,"&gt;"&amp;$A86,実績!$AK$6:$AK$505,"○")&gt;0,1,0))</f>
        <v>0</v>
      </c>
      <c r="BB86" s="39" t="n">
        <f aca="false">IF(BB$4=0,0,IF(COUNTIFS(実績!$W$6:$W$505,BB$3,実績!$AI$6:$AI$505,"&lt;="&amp;$A86,実績!$AJ$6:$AJ$505,"&gt;"&amp;$A86,実績!$AK$6:$AK$505,"○")&gt;0,1,0))</f>
        <v>0</v>
      </c>
      <c r="BC86" s="39" t="n">
        <f aca="false">IF(BC$4=0,0,IF(COUNTIFS(実績!$W$6:$W$505,BC$3,実績!$AI$6:$AI$505,"&lt;="&amp;$A86,実績!$AJ$6:$AJ$505,"&gt;"&amp;$A86,実績!$AK$6:$AK$505,"○")&gt;0,1,0))</f>
        <v>0</v>
      </c>
      <c r="BD86" s="39" t="n">
        <f aca="false">IF(BD$4=0,0,IF(COUNTIFS(実績!$W$6:$W$505,BD$3,実績!$AI$6:$AI$505,"&lt;="&amp;$A86,実績!$AJ$6:$AJ$505,"&gt;"&amp;$A86,実績!$AK$6:$AK$505,"○")&gt;0,1,0))</f>
        <v>0</v>
      </c>
      <c r="BE86" s="39" t="n">
        <f aca="false">IF(BE$4=0,0,IF(COUNTIFS(実績!$W$6:$W$505,BE$3,実績!$AI$6:$AI$505,"&lt;="&amp;$A86,実績!$AJ$6:$AJ$505,"&gt;"&amp;$A86,実績!$AK$6:$AK$505,"○")&gt;0,1,0))</f>
        <v>0</v>
      </c>
      <c r="BF86" s="39" t="n">
        <f aca="false">IF(BF$4=0,0,IF(COUNTIFS(実績!$W$6:$W$505,BF$3,実績!$AI$6:$AI$505,"&lt;="&amp;$A86,実績!$AJ$6:$AJ$505,"&gt;"&amp;$A86,実績!$AK$6:$AK$505,"○")&gt;0,1,0))</f>
        <v>0</v>
      </c>
      <c r="BG86" s="39" t="n">
        <f aca="false">IF(BG$4=0,0,IF(COUNTIFS(実績!$W$6:$W$505,BG$3,実績!$AI$6:$AI$505,"&lt;="&amp;$A86,実績!$AJ$6:$AJ$505,"&gt;"&amp;$A86,実績!$AK$6:$AK$505,"○")&gt;0,1,0))</f>
        <v>0</v>
      </c>
      <c r="BH86" s="39" t="n">
        <f aca="false">IF(BH$4=0,0,IF(COUNTIFS(実績!$W$6:$W$505,BH$3,実績!$AI$6:$AI$505,"&lt;="&amp;$A86,実績!$AJ$6:$AJ$505,"&gt;"&amp;$A86,実績!$AK$6:$AK$505,"○")&gt;0,1,0))</f>
        <v>0</v>
      </c>
      <c r="BI86" s="39" t="n">
        <f aca="false">IF(BI$4=0,0,IF(COUNTIFS(実績!$W$6:$W$505,BI$3,実績!$AI$6:$AI$505,"&lt;="&amp;$A86,実績!$AJ$6:$AJ$505,"&gt;"&amp;$A86,実績!$AK$6:$AK$505,"○")&gt;0,1,0))</f>
        <v>0</v>
      </c>
      <c r="BJ86" s="39" t="n">
        <f aca="false">IF(BJ$4=0,0,IF(COUNTIFS(実績!$W$6:$W$505,BJ$3,実績!$AI$6:$AI$505,"&lt;="&amp;$A86,実績!$AJ$6:$AJ$505,"&gt;"&amp;$A86,実績!$AK$6:$AK$505,"○")&gt;0,1,0))</f>
        <v>0</v>
      </c>
      <c r="BK86" s="39" t="n">
        <f aca="false">IF(BK$4=0,0,IF(COUNTIFS(実績!$W$6:$W$505,BK$3,実績!$AI$6:$AI$505,"&lt;="&amp;$A86,実績!$AJ$6:$AJ$505,"&gt;"&amp;$A86,実績!$AK$6:$AK$505,"○")&gt;0,1,0))</f>
        <v>0</v>
      </c>
      <c r="BL86" s="39" t="n">
        <f aca="false">IF(BL$4=0,0,IF(COUNTIFS(実績!$W$6:$W$505,BL$3,実績!$AI$6:$AI$505,"&lt;="&amp;$A86,実績!$AJ$6:$AJ$505,"&gt;"&amp;$A86,実績!$AK$6:$AK$505,"○")&gt;0,1,0))</f>
        <v>0</v>
      </c>
      <c r="BM86" s="39" t="n">
        <f aca="false">IF(BM$4=0,0,IF(COUNTIFS(実績!$W$6:$W$505,BM$3,実績!$AI$6:$AI$505,"&lt;="&amp;$A86,実績!$AJ$6:$AJ$505,"&gt;"&amp;$A86,実績!$AK$6:$AK$505,"○")&gt;0,1,0))</f>
        <v>0</v>
      </c>
      <c r="BN86" s="39" t="n">
        <f aca="false">IF(BN$4=0,0,IF(COUNTIFS(実績!$W$6:$W$505,BN$3,実績!$AI$6:$AI$505,"&lt;="&amp;$A86,実績!$AJ$6:$AJ$505,"&gt;"&amp;$A86,実績!$AK$6:$AK$505,"○")&gt;0,1,0))</f>
        <v>0</v>
      </c>
      <c r="BO86" s="39" t="n">
        <f aca="false">IF(BO$4=0,0,IF(COUNTIFS(実績!$W$6:$W$505,BO$3,実績!$AI$6:$AI$505,"&lt;="&amp;$A86,実績!$AJ$6:$AJ$505,"&gt;"&amp;$A86,実績!$AK$6:$AK$505,"○")&gt;0,1,0))</f>
        <v>0</v>
      </c>
      <c r="BP86" s="39" t="n">
        <f aca="false">IF(BP$4=0,0,IF(COUNTIFS(実績!$W$6:$W$505,BP$3,実績!$AI$6:$AI$505,"&lt;="&amp;$A86,実績!$AJ$6:$AJ$505,"&gt;"&amp;$A86,実績!$AK$6:$AK$505,"○")&gt;0,1,0))</f>
        <v>0</v>
      </c>
      <c r="BQ86" s="39" t="n">
        <f aca="false">IF(BQ$4=0,0,IF(COUNTIFS(実績!$W$6:$W$505,BQ$3,実績!$AI$6:$AI$505,"&lt;="&amp;$A86,実績!$AJ$6:$AJ$505,"&gt;"&amp;$A86,実績!$AK$6:$AK$505,"○")&gt;0,1,0))</f>
        <v>0</v>
      </c>
      <c r="BR86" s="39" t="n">
        <f aca="false">IF(BR$4=0,0,IF(COUNTIFS(実績!$W$6:$W$505,BR$3,実績!$AI$6:$AI$505,"&lt;="&amp;$A86,実績!$AJ$6:$AJ$505,"&gt;"&amp;$A86,実績!$AK$6:$AK$505,"○")&gt;0,1,0))</f>
        <v>0</v>
      </c>
      <c r="BS86" s="39" t="n">
        <f aca="false">IF(BS$4=0,0,IF(COUNTIFS(実績!$W$6:$W$505,BS$3,実績!$AI$6:$AI$505,"&lt;="&amp;$A86,実績!$AJ$6:$AJ$505,"&gt;"&amp;$A86,実績!$AK$6:$AK$505,"○")&gt;0,1,0))</f>
        <v>0</v>
      </c>
      <c r="BT86" s="39" t="n">
        <f aca="false">IF(BT$4=0,0,IF(COUNTIFS(実績!$W$6:$W$505,BT$3,実績!$AI$6:$AI$505,"&lt;="&amp;$A86,実績!$AJ$6:$AJ$505,"&gt;"&amp;$A86,実績!$AK$6:$AK$505,"○")&gt;0,1,0))</f>
        <v>0</v>
      </c>
      <c r="BU86" s="39" t="n">
        <f aca="false">IF(BU$4=0,0,IF(COUNTIFS(実績!$W$6:$W$505,BU$3,実績!$AI$6:$AI$505,"&lt;="&amp;$A86,実績!$AJ$6:$AJ$505,"&gt;"&amp;$A86,実績!$AK$6:$AK$505,"○")&gt;0,1,0))</f>
        <v>0</v>
      </c>
      <c r="BV86" s="39" t="n">
        <f aca="false">IF(BV$4=0,0,IF(COUNTIFS(実績!$W$6:$W$505,BV$3,実績!$AI$6:$AI$505,"&lt;="&amp;$A86,実績!$AJ$6:$AJ$505,"&gt;"&amp;$A86,実績!$AK$6:$AK$505,"○")&gt;0,1,0))</f>
        <v>0</v>
      </c>
      <c r="BW86" s="39" t="n">
        <f aca="false">IF(BW$4=0,0,IF(COUNTIFS(実績!$W$6:$W$505,BW$3,実績!$AI$6:$AI$505,"&lt;="&amp;$A86,実績!$AJ$6:$AJ$505,"&gt;"&amp;$A86,実績!$AK$6:$AK$505,"○")&gt;0,1,0))</f>
        <v>0</v>
      </c>
      <c r="BX86" s="39" t="n">
        <f aca="false">IF(BX$4=0,0,IF(COUNTIFS(実績!$W$6:$W$505,BX$3,実績!$AI$6:$AI$505,"&lt;="&amp;$A86,実績!$AJ$6:$AJ$505,"&gt;"&amp;$A86,実績!$AK$6:$AK$505,"○")&gt;0,1,0))</f>
        <v>0</v>
      </c>
      <c r="BY86" s="39" t="n">
        <f aca="false">IF(BY$4=0,0,IF(COUNTIFS(実績!$W$6:$W$505,BY$3,実績!$AI$6:$AI$505,"&lt;="&amp;$A86,実績!$AJ$6:$AJ$505,"&gt;"&amp;$A86,実績!$AK$6:$AK$505,"○")&gt;0,1,0))</f>
        <v>0</v>
      </c>
      <c r="BZ86" s="39" t="n">
        <f aca="false">IF(BZ$4=0,0,IF(COUNTIFS(実績!$W$6:$W$505,BZ$3,実績!$AI$6:$AI$505,"&lt;="&amp;$A86,実績!$AJ$6:$AJ$505,"&gt;"&amp;$A86,実績!$AK$6:$AK$505,"○")&gt;0,1,0))</f>
        <v>0</v>
      </c>
      <c r="CA86" s="39" t="n">
        <f aca="false">IF(CA$4=0,0,IF(COUNTIFS(実績!$W$6:$W$505,CA$3,実績!$AI$6:$AI$505,"&lt;="&amp;$A86,実績!$AJ$6:$AJ$505,"&gt;"&amp;$A86,実績!$AK$6:$AK$505,"○")&gt;0,1,0))</f>
        <v>0</v>
      </c>
      <c r="CB86" s="39" t="n">
        <f aca="false">IF(CB$4=0,0,IF(COUNTIFS(実績!$W$6:$W$505,CB$3,実績!$AI$6:$AI$505,"&lt;="&amp;$A86,実績!$AJ$6:$AJ$505,"&gt;"&amp;$A86,実績!$AK$6:$AK$505,"○")&gt;0,1,0))</f>
        <v>0</v>
      </c>
      <c r="CC86" s="39" t="n">
        <f aca="false">IF(CC$4=0,0,IF(COUNTIFS(実績!$W$6:$W$505,CC$3,実績!$AI$6:$AI$505,"&lt;="&amp;$A86,実績!$AJ$6:$AJ$505,"&gt;"&amp;$A86,実績!$AK$6:$AK$505,"○")&gt;0,1,0))</f>
        <v>0</v>
      </c>
      <c r="CD86" s="39" t="n">
        <f aca="false">IF(CD$4=0,0,IF(COUNTIFS(実績!$W$6:$W$505,CD$3,実績!$AI$6:$AI$505,"&lt;="&amp;$A86,実績!$AJ$6:$AJ$505,"&gt;"&amp;$A86,実績!$AK$6:$AK$505,"○")&gt;0,1,0))</f>
        <v>0</v>
      </c>
      <c r="CE86" s="39" t="n">
        <f aca="false">IF(CE$4=0,0,IF(COUNTIFS(実績!$W$6:$W$505,CE$3,実績!$AI$6:$AI$505,"&lt;="&amp;$A86,実績!$AJ$6:$AJ$505,"&gt;"&amp;$A86,実績!$AK$6:$AK$505,"○")&gt;0,1,0))</f>
        <v>0</v>
      </c>
      <c r="CF86" s="39" t="n">
        <f aca="false">IF(CF$4=0,0,IF(COUNTIFS(実績!$W$6:$W$505,CF$3,実績!$AI$6:$AI$505,"&lt;="&amp;$A86,実績!$AJ$6:$AJ$505,"&gt;"&amp;$A86,実績!$AK$6:$AK$505,"○")&gt;0,1,0))</f>
        <v>0</v>
      </c>
      <c r="CG86" s="39" t="n">
        <f aca="false">IF(CG$4=0,0,IF(COUNTIFS(実績!$W$6:$W$505,CG$3,実績!$AI$6:$AI$505,"&lt;="&amp;$A86,実績!$AJ$6:$AJ$505,"&gt;"&amp;$A86,実績!$AK$6:$AK$505,"○")&gt;0,1,0))</f>
        <v>0</v>
      </c>
      <c r="CH86" s="39" t="n">
        <f aca="false">IF(CH$4=0,0,IF(COUNTIFS(実績!$W$6:$W$505,CH$3,実績!$AI$6:$AI$505,"&lt;="&amp;$A86,実績!$AJ$6:$AJ$505,"&gt;"&amp;$A86,実績!$AK$6:$AK$505,"○")&gt;0,1,0))</f>
        <v>0</v>
      </c>
      <c r="CI86" s="39" t="n">
        <f aca="false">IF(CI$4=0,0,IF(COUNTIFS(実績!$W$6:$W$505,CI$3,実績!$AI$6:$AI$505,"&lt;="&amp;$A86,実績!$AJ$6:$AJ$505,"&gt;"&amp;$A86,実績!$AK$6:$AK$505,"○")&gt;0,1,0))</f>
        <v>0</v>
      </c>
      <c r="CJ86" s="39" t="n">
        <f aca="false">IF(CJ$4=0,0,IF(COUNTIFS(実績!$W$6:$W$505,CJ$3,実績!$AI$6:$AI$505,"&lt;="&amp;$A86,実績!$AJ$6:$AJ$505,"&gt;"&amp;$A86,実績!$AK$6:$AK$505,"○")&gt;0,1,0))</f>
        <v>0</v>
      </c>
      <c r="CK86" s="39" t="n">
        <f aca="false">IF(CK$4=0,0,IF(COUNTIFS(実績!$W$6:$W$505,CK$3,実績!$AI$6:$AI$505,"&lt;="&amp;$A86,実績!$AJ$6:$AJ$505,"&gt;"&amp;$A86,実績!$AK$6:$AK$505,"○")&gt;0,1,0))</f>
        <v>0</v>
      </c>
      <c r="CL86" s="39" t="n">
        <f aca="false">IF(CL$4=0,0,IF(COUNTIFS(実績!$W$6:$W$505,CL$3,実績!$AI$6:$AI$505,"&lt;="&amp;$A86,実績!$AJ$6:$AJ$505,"&gt;"&amp;$A86,実績!$AK$6:$AK$505,"○")&gt;0,1,0))</f>
        <v>0</v>
      </c>
      <c r="CM86" s="39" t="n">
        <f aca="false">IF(CM$4=0,0,IF(COUNTIFS(実績!$W$6:$W$505,CM$3,実績!$AI$6:$AI$505,"&lt;="&amp;$A86,実績!$AJ$6:$AJ$505,"&gt;"&amp;$A86,実績!$AK$6:$AK$505,"○")&gt;0,1,0))</f>
        <v>0</v>
      </c>
      <c r="CN86" s="39" t="n">
        <f aca="false">IF(CN$4=0,0,IF(COUNTIFS(実績!$W$6:$W$505,CN$3,実績!$AI$6:$AI$505,"&lt;="&amp;$A86,実績!$AJ$6:$AJ$505,"&gt;"&amp;$A86,実績!$AK$6:$AK$505,"○")&gt;0,1,0))</f>
        <v>0</v>
      </c>
      <c r="CO86" s="39" t="n">
        <f aca="false">IF(CO$4=0,0,IF(COUNTIFS(実績!$W$6:$W$505,CO$3,実績!$AI$6:$AI$505,"&lt;="&amp;$A86,実績!$AJ$6:$AJ$505,"&gt;"&amp;$A86,実績!$AK$6:$AK$505,"○")&gt;0,1,0))</f>
        <v>0</v>
      </c>
      <c r="CP86" s="39" t="n">
        <f aca="false">IF(CP$4=0,0,IF(COUNTIFS(実績!$W$6:$W$505,CP$3,実績!$AI$6:$AI$505,"&lt;="&amp;$A86,実績!$AJ$6:$AJ$505,"&gt;"&amp;$A86,実績!$AK$6:$AK$505,"○")&gt;0,1,0))</f>
        <v>0</v>
      </c>
      <c r="CQ86" s="39" t="n">
        <f aca="false">IF(CQ$4=0,0,IF(COUNTIFS(実績!$W$6:$W$505,CQ$3,実績!$AI$6:$AI$505,"&lt;="&amp;$A86,実績!$AJ$6:$AJ$505,"&gt;"&amp;$A86,実績!$AK$6:$AK$505,"○")&gt;0,1,0))</f>
        <v>0</v>
      </c>
      <c r="CR86" s="39" t="n">
        <f aca="false">IF(CR$4=0,0,IF(COUNTIFS(実績!$W$6:$W$505,CR$3,実績!$AI$6:$AI$505,"&lt;="&amp;$A86,実績!$AJ$6:$AJ$505,"&gt;"&amp;$A86,実績!$AK$6:$AK$505,"○")&gt;0,1,0))</f>
        <v>0</v>
      </c>
      <c r="CS86" s="39" t="n">
        <f aca="false">IF(CS$4=0,0,IF(COUNTIFS(実績!$W$6:$W$505,CS$3,実績!$AI$6:$AI$505,"&lt;="&amp;$A86,実績!$AJ$6:$AJ$505,"&gt;"&amp;$A86,実績!$AK$6:$AK$505,"○")&gt;0,1,0))</f>
        <v>0</v>
      </c>
      <c r="CT86" s="39" t="n">
        <f aca="false">IF(CT$4=0,0,IF(COUNTIFS(実績!$W$6:$W$505,CT$3,実績!$AI$6:$AI$505,"&lt;="&amp;$A86,実績!$AJ$6:$AJ$505,"&gt;"&amp;$A86,実績!$AK$6:$AK$505,"○")&gt;0,1,0))</f>
        <v>0</v>
      </c>
      <c r="CU86" s="39" t="n">
        <f aca="false">IF(CU$4=0,0,IF(COUNTIFS(実績!$W$6:$W$505,CU$3,実績!$AI$6:$AI$505,"&lt;="&amp;$A86,実績!$AJ$6:$AJ$505,"&gt;"&amp;$A86,実績!$AK$6:$AK$505,"○")&gt;0,1,0))</f>
        <v>0</v>
      </c>
      <c r="CV86" s="39" t="n">
        <f aca="false">IF(CV$4=0,0,IF(COUNTIFS(実績!$W$6:$W$505,CV$3,実績!$AI$6:$AI$505,"&lt;="&amp;$A86,実績!$AJ$6:$AJ$505,"&gt;"&amp;$A86,実績!$AK$6:$AK$505,"○")&gt;0,1,0))</f>
        <v>0</v>
      </c>
      <c r="CW86" s="39" t="n">
        <f aca="false">IF(CW$4=0,0,IF(COUNTIFS(実績!$W$6:$W$505,CW$3,実績!$AI$6:$AI$505,"&lt;="&amp;$A86,実績!$AJ$6:$AJ$505,"&gt;"&amp;$A86,実績!$AK$6:$AK$505,"○")&gt;0,1,0))</f>
        <v>0</v>
      </c>
      <c r="CX86" s="39" t="n">
        <f aca="false">IF(CX$4=0,0,IF(COUNTIFS(実績!$W$6:$W$505,CX$3,実績!$AI$6:$AI$505,"&lt;="&amp;$A86,実績!$AJ$6:$AJ$505,"&gt;"&amp;$A86,実績!$AK$6:$AK$505,"○")&gt;0,1,0))</f>
        <v>0</v>
      </c>
      <c r="CY86" s="39" t="n">
        <f aca="false">IF(CY$4=0,0,IF(COUNTIFS(実績!$W$6:$W$505,CY$3,実績!$AI$6:$AI$505,"&lt;="&amp;$A86,実績!$AJ$6:$AJ$505,"&gt;"&amp;$A86,実績!$AK$6:$AK$505,"○")&gt;0,1,0))</f>
        <v>0</v>
      </c>
      <c r="CZ86" s="39" t="n">
        <f aca="false">IF(CZ$4=0,0,IF(COUNTIFS(実績!$W$6:$W$505,CZ$3,実績!$AI$6:$AI$505,"&lt;="&amp;$A86,実績!$AJ$6:$AJ$505,"&gt;"&amp;$A86,実績!$AK$6:$AK$505,"○")&gt;0,1,0))</f>
        <v>0</v>
      </c>
      <c r="DA86" s="39" t="n">
        <f aca="false">IF(DA$4=0,0,IF(COUNTIFS(実績!$W$6:$W$505,DA$3,実績!$AI$6:$AI$505,"&lt;="&amp;$A86,実績!$AJ$6:$AJ$505,"&gt;"&amp;$A86,実績!$AK$6:$AK$505,"○")&gt;0,1,0))</f>
        <v>0</v>
      </c>
      <c r="DB86" s="39" t="n">
        <f aca="false">IF(DB$4=0,0,IF(COUNTIFS(実績!$W$6:$W$505,DB$3,実績!$AI$6:$AI$505,"&lt;="&amp;$A86,実績!$AJ$6:$AJ$505,"&gt;"&amp;$A86,実績!$AK$6:$AK$505,"○")&gt;0,1,0))</f>
        <v>0</v>
      </c>
      <c r="DC86" s="39" t="n">
        <f aca="false">IF(DC$4=0,0,IF(COUNTIFS(実績!$W$6:$W$505,DC$3,実績!$AI$6:$AI$505,"&lt;="&amp;$A86,実績!$AJ$6:$AJ$505,"&gt;"&amp;$A86,実績!$AK$6:$AK$505,"○")&gt;0,1,0))</f>
        <v>0</v>
      </c>
      <c r="DD86" s="39" t="n">
        <f aca="false">IF(DD$4=0,0,IF(COUNTIFS(実績!$W$6:$W$505,DD$3,実績!$AI$6:$AI$505,"&lt;="&amp;$A86,実績!$AJ$6:$AJ$505,"&gt;"&amp;$A86,実績!$AK$6:$AK$505,"○")&gt;0,1,0))</f>
        <v>0</v>
      </c>
      <c r="DE86" s="39" t="n">
        <f aca="false">IF(DE$4=0,0,IF(COUNTIFS(実績!$W$6:$W$505,DE$3,実績!$AI$6:$AI$505,"&lt;="&amp;$A86,実績!$AJ$6:$AJ$505,"&gt;"&amp;$A86,実績!$AK$6:$AK$505,"○")&gt;0,1,0))</f>
        <v>0</v>
      </c>
      <c r="DF86" s="39" t="n">
        <f aca="false">IF(DF$4=0,0,IF(COUNTIFS(実績!$W$6:$W$505,DF$3,実績!$AI$6:$AI$505,"&lt;="&amp;$A86,実績!$AJ$6:$AJ$505,"&gt;"&amp;$A86,実績!$AK$6:$AK$505,"○")&gt;0,1,0))</f>
        <v>0</v>
      </c>
      <c r="DG86" s="39" t="n">
        <f aca="false">IF(DG$4=0,0,IF(COUNTIFS(実績!$W$6:$W$505,DG$3,実績!$AI$6:$AI$505,"&lt;="&amp;$A86,実績!$AJ$6:$AJ$505,"&gt;"&amp;$A86,実績!$AK$6:$AK$505,"○")&gt;0,1,0))</f>
        <v>0</v>
      </c>
      <c r="DH86" s="39" t="n">
        <f aca="false">IF(DH$4=0,0,IF(COUNTIFS(実績!$W$6:$W$505,DH$3,実績!$AI$6:$AI$505,"&lt;="&amp;$A86,実績!$AJ$6:$AJ$505,"&gt;"&amp;$A86,実績!$AK$6:$AK$505,"○")&gt;0,1,0))</f>
        <v>0</v>
      </c>
      <c r="DI86" s="39" t="n">
        <f aca="false">IF(DI$4=0,0,IF(COUNTIFS(実績!$W$6:$W$505,DI$3,実績!$AI$6:$AI$505,"&lt;="&amp;$A86,実績!$AJ$6:$AJ$505,"&gt;"&amp;$A86,実績!$AK$6:$AK$505,"○")&gt;0,1,0))</f>
        <v>0</v>
      </c>
      <c r="DJ86" s="39" t="n">
        <f aca="false">IF(DJ$4=0,0,IF(COUNTIFS(実績!$W$6:$W$505,DJ$3,実績!$AI$6:$AI$505,"&lt;="&amp;$A86,実績!$AJ$6:$AJ$505,"&gt;"&amp;$A86,実績!$AK$6:$AK$505,"○")&gt;0,1,0))</f>
        <v>0</v>
      </c>
      <c r="DK86" s="39" t="n">
        <f aca="false">IF(DK$4=0,0,IF(COUNTIFS(実績!$W$6:$W$505,DK$3,実績!$AI$6:$AI$505,"&lt;="&amp;$A86,実績!$AJ$6:$AJ$505,"&gt;"&amp;$A86,実績!$AK$6:$AK$505,"○")&gt;0,1,0))</f>
        <v>0</v>
      </c>
      <c r="DL86" s="39" t="n">
        <f aca="false">IF(DL$4=0,0,IF(COUNTIFS(実績!$W$6:$W$505,DL$3,実績!$AI$6:$AI$505,"&lt;="&amp;$A86,実績!$AJ$6:$AJ$505,"&gt;"&amp;$A86,実績!$AK$6:$AK$505,"○")&gt;0,1,0))</f>
        <v>0</v>
      </c>
      <c r="DM86" s="39" t="n">
        <f aca="false">IF(DM$4=0,0,IF(COUNTIFS(実績!$W$6:$W$505,DM$3,実績!$AI$6:$AI$505,"&lt;="&amp;$A86,実績!$AJ$6:$AJ$505,"&gt;"&amp;$A86,実績!$AK$6:$AK$505,"○")&gt;0,1,0))</f>
        <v>0</v>
      </c>
      <c r="DN86" s="39" t="n">
        <f aca="false">IF(DN$4=0,0,IF(COUNTIFS(実績!$W$6:$W$505,DN$3,実績!$AI$6:$AI$505,"&lt;="&amp;$A86,実績!$AJ$6:$AJ$505,"&gt;"&amp;$A86,実績!$AK$6:$AK$505,"○")&gt;0,1,0))</f>
        <v>0</v>
      </c>
      <c r="DO86" s="39" t="n">
        <f aca="false">IF(DO$4=0,0,IF(COUNTIFS(実績!$W$6:$W$505,DO$3,実績!$AI$6:$AI$505,"&lt;="&amp;$A86,実績!$AJ$6:$AJ$505,"&gt;"&amp;$A86,実績!$AK$6:$AK$505,"○")&gt;0,1,0))</f>
        <v>0</v>
      </c>
      <c r="DP86" s="39" t="n">
        <f aca="false">IF(DP$4=0,0,IF(COUNTIFS(実績!$W$6:$W$505,DP$3,実績!$AI$6:$AI$505,"&lt;="&amp;$A86,実績!$AJ$6:$AJ$505,"&gt;"&amp;$A86,実績!$AK$6:$AK$505,"○")&gt;0,1,0))</f>
        <v>0</v>
      </c>
      <c r="DQ86" s="39" t="n">
        <f aca="false">IF(DQ$4=0,0,IF(COUNTIFS(実績!$W$6:$W$505,DQ$3,実績!$AI$6:$AI$505,"&lt;="&amp;$A86,実績!$AJ$6:$AJ$505,"&gt;"&amp;$A86,実績!$AK$6:$AK$505,"○")&gt;0,1,0))</f>
        <v>0</v>
      </c>
      <c r="DR86" s="39" t="n">
        <f aca="false">IF(DR$4=0,0,IF(COUNTIFS(実績!$W$6:$W$505,DR$3,実績!$AI$6:$AI$505,"&lt;="&amp;$A86,実績!$AJ$6:$AJ$505,"&gt;"&amp;$A86,実績!$AK$6:$AK$505,"○")&gt;0,1,0))</f>
        <v>0</v>
      </c>
      <c r="DS86" s="39" t="n">
        <f aca="false">SUM(C86:DR86)</f>
        <v>0</v>
      </c>
      <c r="DT86" s="39" t="n">
        <f aca="false">SUMPRODUCT((実績!$C$6:$C$505="○")*ISNUMBER(実績!$AM$6:$AM$505)*(実績!$AM$6:$AM$505&lt;=$A86)*(実績!$AN$6:$AN$505&gt;$A86))</f>
        <v>0</v>
      </c>
      <c r="DU86" s="39" t="n">
        <f aca="false">SUMIF($C$2:$DR$2,"製鉄曳船",C86:DR86)</f>
        <v>0</v>
      </c>
      <c r="DV86" s="39" t="n">
        <f aca="false">SUMIF($C$2:$DR$2,"西日本海運",C86:DR86)</f>
        <v>0</v>
      </c>
    </row>
    <row r="87" customFormat="false" ht="15" hidden="false" customHeight="false" outlineLevel="0" collapsed="false">
      <c r="A87" s="0" t="n">
        <v>405</v>
      </c>
      <c r="B87" s="38" t="n">
        <f aca="false">A87/1440</f>
        <v>0.28125</v>
      </c>
      <c r="C87" s="39" t="n">
        <f aca="false">IF(C$4=0,0,IF(COUNTIFS(実績!$W$6:$W$505,C$3,実績!$AI$6:$AI$505,"&lt;="&amp;$A87,実績!$AJ$6:$AJ$505,"&gt;"&amp;$A87,実績!$AK$6:$AK$505,"○")&gt;0,1,0))</f>
        <v>0</v>
      </c>
      <c r="D87" s="39" t="n">
        <f aca="false">IF(D$4=0,0,IF(COUNTIFS(実績!$W$6:$W$505,D$3,実績!$AI$6:$AI$505,"&lt;="&amp;$A87,実績!$AJ$6:$AJ$505,"&gt;"&amp;$A87,実績!$AK$6:$AK$505,"○")&gt;0,1,0))</f>
        <v>0</v>
      </c>
      <c r="E87" s="39" t="n">
        <f aca="false">IF(E$4=0,0,IF(COUNTIFS(実績!$W$6:$W$505,E$3,実績!$AI$6:$AI$505,"&lt;="&amp;$A87,実績!$AJ$6:$AJ$505,"&gt;"&amp;$A87,実績!$AK$6:$AK$505,"○")&gt;0,1,0))</f>
        <v>0</v>
      </c>
      <c r="F87" s="39" t="n">
        <f aca="false">IF(F$4=0,0,IF(COUNTIFS(実績!$W$6:$W$505,F$3,実績!$AI$6:$AI$505,"&lt;="&amp;$A87,実績!$AJ$6:$AJ$505,"&gt;"&amp;$A87,実績!$AK$6:$AK$505,"○")&gt;0,1,0))</f>
        <v>0</v>
      </c>
      <c r="G87" s="39" t="n">
        <f aca="false">IF(G$4=0,0,IF(COUNTIFS(実績!$W$6:$W$505,G$3,実績!$AI$6:$AI$505,"&lt;="&amp;$A87,実績!$AJ$6:$AJ$505,"&gt;"&amp;$A87,実績!$AK$6:$AK$505,"○")&gt;0,1,0))</f>
        <v>0</v>
      </c>
      <c r="H87" s="39" t="n">
        <f aca="false">IF(H$4=0,0,IF(COUNTIFS(実績!$W$6:$W$505,H$3,実績!$AI$6:$AI$505,"&lt;="&amp;$A87,実績!$AJ$6:$AJ$505,"&gt;"&amp;$A87,実績!$AK$6:$AK$505,"○")&gt;0,1,0))</f>
        <v>0</v>
      </c>
      <c r="I87" s="39" t="n">
        <f aca="false">IF(I$4=0,0,IF(COUNTIFS(実績!$W$6:$W$505,I$3,実績!$AI$6:$AI$505,"&lt;="&amp;$A87,実績!$AJ$6:$AJ$505,"&gt;"&amp;$A87,実績!$AK$6:$AK$505,"○")&gt;0,1,0))</f>
        <v>0</v>
      </c>
      <c r="J87" s="39" t="n">
        <f aca="false">IF(J$4=0,0,IF(COUNTIFS(実績!$W$6:$W$505,J$3,実績!$AI$6:$AI$505,"&lt;="&amp;$A87,実績!$AJ$6:$AJ$505,"&gt;"&amp;$A87,実績!$AK$6:$AK$505,"○")&gt;0,1,0))</f>
        <v>0</v>
      </c>
      <c r="K87" s="39" t="n">
        <f aca="false">IF(K$4=0,0,IF(COUNTIFS(実績!$W$6:$W$505,K$3,実績!$AI$6:$AI$505,"&lt;="&amp;$A87,実績!$AJ$6:$AJ$505,"&gt;"&amp;$A87,実績!$AK$6:$AK$505,"○")&gt;0,1,0))</f>
        <v>0</v>
      </c>
      <c r="L87" s="39" t="n">
        <f aca="false">IF(L$4=0,0,IF(COUNTIFS(実績!$W$6:$W$505,L$3,実績!$AI$6:$AI$505,"&lt;="&amp;$A87,実績!$AJ$6:$AJ$505,"&gt;"&amp;$A87,実績!$AK$6:$AK$505,"○")&gt;0,1,0))</f>
        <v>0</v>
      </c>
      <c r="M87" s="39" t="n">
        <f aca="false">IF(M$4=0,0,IF(COUNTIFS(実績!$W$6:$W$505,M$3,実績!$AI$6:$AI$505,"&lt;="&amp;$A87,実績!$AJ$6:$AJ$505,"&gt;"&amp;$A87,実績!$AK$6:$AK$505,"○")&gt;0,1,0))</f>
        <v>0</v>
      </c>
      <c r="N87" s="39" t="n">
        <f aca="false">IF(N$4=0,0,IF(COUNTIFS(実績!$W$6:$W$505,N$3,実績!$AI$6:$AI$505,"&lt;="&amp;$A87,実績!$AJ$6:$AJ$505,"&gt;"&amp;$A87,実績!$AK$6:$AK$505,"○")&gt;0,1,0))</f>
        <v>0</v>
      </c>
      <c r="O87" s="39" t="n">
        <f aca="false">IF(O$4=0,0,IF(COUNTIFS(実績!$W$6:$W$505,O$3,実績!$AI$6:$AI$505,"&lt;="&amp;$A87,実績!$AJ$6:$AJ$505,"&gt;"&amp;$A87,実績!$AK$6:$AK$505,"○")&gt;0,1,0))</f>
        <v>0</v>
      </c>
      <c r="P87" s="39" t="n">
        <f aca="false">IF(P$4=0,0,IF(COUNTIFS(実績!$W$6:$W$505,P$3,実績!$AI$6:$AI$505,"&lt;="&amp;$A87,実績!$AJ$6:$AJ$505,"&gt;"&amp;$A87,実績!$AK$6:$AK$505,"○")&gt;0,1,0))</f>
        <v>0</v>
      </c>
      <c r="Q87" s="39" t="n">
        <f aca="false">IF(Q$4=0,0,IF(COUNTIFS(実績!$W$6:$W$505,Q$3,実績!$AI$6:$AI$505,"&lt;="&amp;$A87,実績!$AJ$6:$AJ$505,"&gt;"&amp;$A87,実績!$AK$6:$AK$505,"○")&gt;0,1,0))</f>
        <v>0</v>
      </c>
      <c r="R87" s="39" t="n">
        <f aca="false">IF(R$4=0,0,IF(COUNTIFS(実績!$W$6:$W$505,R$3,実績!$AI$6:$AI$505,"&lt;="&amp;$A87,実績!$AJ$6:$AJ$505,"&gt;"&amp;$A87,実績!$AK$6:$AK$505,"○")&gt;0,1,0))</f>
        <v>0</v>
      </c>
      <c r="S87" s="39" t="n">
        <f aca="false">IF(S$4=0,0,IF(COUNTIFS(実績!$W$6:$W$505,S$3,実績!$AI$6:$AI$505,"&lt;="&amp;$A87,実績!$AJ$6:$AJ$505,"&gt;"&amp;$A87,実績!$AK$6:$AK$505,"○")&gt;0,1,0))</f>
        <v>0</v>
      </c>
      <c r="T87" s="39" t="n">
        <f aca="false">IF(T$4=0,0,IF(COUNTIFS(実績!$W$6:$W$505,T$3,実績!$AI$6:$AI$505,"&lt;="&amp;$A87,実績!$AJ$6:$AJ$505,"&gt;"&amp;$A87,実績!$AK$6:$AK$505,"○")&gt;0,1,0))</f>
        <v>0</v>
      </c>
      <c r="U87" s="39" t="n">
        <f aca="false">IF(U$4=0,0,IF(COUNTIFS(実績!$W$6:$W$505,U$3,実績!$AI$6:$AI$505,"&lt;="&amp;$A87,実績!$AJ$6:$AJ$505,"&gt;"&amp;$A87,実績!$AK$6:$AK$505,"○")&gt;0,1,0))</f>
        <v>0</v>
      </c>
      <c r="V87" s="39" t="n">
        <f aca="false">IF(V$4=0,0,IF(COUNTIFS(実績!$W$6:$W$505,V$3,実績!$AI$6:$AI$505,"&lt;="&amp;$A87,実績!$AJ$6:$AJ$505,"&gt;"&amp;$A87,実績!$AK$6:$AK$505,"○")&gt;0,1,0))</f>
        <v>0</v>
      </c>
      <c r="W87" s="39" t="n">
        <f aca="false">IF(W$4=0,0,IF(COUNTIFS(実績!$W$6:$W$505,W$3,実績!$AI$6:$AI$505,"&lt;="&amp;$A87,実績!$AJ$6:$AJ$505,"&gt;"&amp;$A87,実績!$AK$6:$AK$505,"○")&gt;0,1,0))</f>
        <v>0</v>
      </c>
      <c r="X87" s="39" t="n">
        <f aca="false">IF(X$4=0,0,IF(COUNTIFS(実績!$W$6:$W$505,X$3,実績!$AI$6:$AI$505,"&lt;="&amp;$A87,実績!$AJ$6:$AJ$505,"&gt;"&amp;$A87,実績!$AK$6:$AK$505,"○")&gt;0,1,0))</f>
        <v>0</v>
      </c>
      <c r="Y87" s="39" t="n">
        <f aca="false">IF(Y$4=0,0,IF(COUNTIFS(実績!$W$6:$W$505,Y$3,実績!$AI$6:$AI$505,"&lt;="&amp;$A87,実績!$AJ$6:$AJ$505,"&gt;"&amp;$A87,実績!$AK$6:$AK$505,"○")&gt;0,1,0))</f>
        <v>0</v>
      </c>
      <c r="Z87" s="39" t="n">
        <f aca="false">IF(Z$4=0,0,IF(COUNTIFS(実績!$W$6:$W$505,Z$3,実績!$AI$6:$AI$505,"&lt;="&amp;$A87,実績!$AJ$6:$AJ$505,"&gt;"&amp;$A87,実績!$AK$6:$AK$505,"○")&gt;0,1,0))</f>
        <v>0</v>
      </c>
      <c r="AA87" s="39" t="n">
        <f aca="false">IF(AA$4=0,0,IF(COUNTIFS(実績!$W$6:$W$505,AA$3,実績!$AI$6:$AI$505,"&lt;="&amp;$A87,実績!$AJ$6:$AJ$505,"&gt;"&amp;$A87,実績!$AK$6:$AK$505,"○")&gt;0,1,0))</f>
        <v>0</v>
      </c>
      <c r="AB87" s="39" t="n">
        <f aca="false">IF(AB$4=0,0,IF(COUNTIFS(実績!$W$6:$W$505,AB$3,実績!$AI$6:$AI$505,"&lt;="&amp;$A87,実績!$AJ$6:$AJ$505,"&gt;"&amp;$A87,実績!$AK$6:$AK$505,"○")&gt;0,1,0))</f>
        <v>0</v>
      </c>
      <c r="AC87" s="39" t="n">
        <f aca="false">IF(AC$4=0,0,IF(COUNTIFS(実績!$W$6:$W$505,AC$3,実績!$AI$6:$AI$505,"&lt;="&amp;$A87,実績!$AJ$6:$AJ$505,"&gt;"&amp;$A87,実績!$AK$6:$AK$505,"○")&gt;0,1,0))</f>
        <v>0</v>
      </c>
      <c r="AD87" s="39" t="n">
        <f aca="false">IF(AD$4=0,0,IF(COUNTIFS(実績!$W$6:$W$505,AD$3,実績!$AI$6:$AI$505,"&lt;="&amp;$A87,実績!$AJ$6:$AJ$505,"&gt;"&amp;$A87,実績!$AK$6:$AK$505,"○")&gt;0,1,0))</f>
        <v>0</v>
      </c>
      <c r="AE87" s="39" t="n">
        <f aca="false">IF(AE$4=0,0,IF(COUNTIFS(実績!$W$6:$W$505,AE$3,実績!$AI$6:$AI$505,"&lt;="&amp;$A87,実績!$AJ$6:$AJ$505,"&gt;"&amp;$A87,実績!$AK$6:$AK$505,"○")&gt;0,1,0))</f>
        <v>0</v>
      </c>
      <c r="AF87" s="39" t="n">
        <f aca="false">IF(AF$4=0,0,IF(COUNTIFS(実績!$W$6:$W$505,AF$3,実績!$AI$6:$AI$505,"&lt;="&amp;$A87,実績!$AJ$6:$AJ$505,"&gt;"&amp;$A87,実績!$AK$6:$AK$505,"○")&gt;0,1,0))</f>
        <v>0</v>
      </c>
      <c r="AG87" s="39" t="n">
        <f aca="false">IF(AG$4=0,0,IF(COUNTIFS(実績!$W$6:$W$505,AG$3,実績!$AI$6:$AI$505,"&lt;="&amp;$A87,実績!$AJ$6:$AJ$505,"&gt;"&amp;$A87,実績!$AK$6:$AK$505,"○")&gt;0,1,0))</f>
        <v>0</v>
      </c>
      <c r="AH87" s="39" t="n">
        <f aca="false">IF(AH$4=0,0,IF(COUNTIFS(実績!$W$6:$W$505,AH$3,実績!$AI$6:$AI$505,"&lt;="&amp;$A87,実績!$AJ$6:$AJ$505,"&gt;"&amp;$A87,実績!$AK$6:$AK$505,"○")&gt;0,1,0))</f>
        <v>0</v>
      </c>
      <c r="AI87" s="39" t="n">
        <f aca="false">IF(AI$4=0,0,IF(COUNTIFS(実績!$W$6:$W$505,AI$3,実績!$AI$6:$AI$505,"&lt;="&amp;$A87,実績!$AJ$6:$AJ$505,"&gt;"&amp;$A87,実績!$AK$6:$AK$505,"○")&gt;0,1,0))</f>
        <v>0</v>
      </c>
      <c r="AJ87" s="39" t="n">
        <f aca="false">IF(AJ$4=0,0,IF(COUNTIFS(実績!$W$6:$W$505,AJ$3,実績!$AI$6:$AI$505,"&lt;="&amp;$A87,実績!$AJ$6:$AJ$505,"&gt;"&amp;$A87,実績!$AK$6:$AK$505,"○")&gt;0,1,0))</f>
        <v>0</v>
      </c>
      <c r="AK87" s="39" t="n">
        <f aca="false">IF(AK$4=0,0,IF(COUNTIFS(実績!$W$6:$W$505,AK$3,実績!$AI$6:$AI$505,"&lt;="&amp;$A87,実績!$AJ$6:$AJ$505,"&gt;"&amp;$A87,実績!$AK$6:$AK$505,"○")&gt;0,1,0))</f>
        <v>0</v>
      </c>
      <c r="AL87" s="39" t="n">
        <f aca="false">IF(AL$4=0,0,IF(COUNTIFS(実績!$W$6:$W$505,AL$3,実績!$AI$6:$AI$505,"&lt;="&amp;$A87,実績!$AJ$6:$AJ$505,"&gt;"&amp;$A87,実績!$AK$6:$AK$505,"○")&gt;0,1,0))</f>
        <v>0</v>
      </c>
      <c r="AM87" s="39" t="n">
        <f aca="false">IF(AM$4=0,0,IF(COUNTIFS(実績!$W$6:$W$505,AM$3,実績!$AI$6:$AI$505,"&lt;="&amp;$A87,実績!$AJ$6:$AJ$505,"&gt;"&amp;$A87,実績!$AK$6:$AK$505,"○")&gt;0,1,0))</f>
        <v>0</v>
      </c>
      <c r="AN87" s="39" t="n">
        <f aca="false">IF(AN$4=0,0,IF(COUNTIFS(実績!$W$6:$W$505,AN$3,実績!$AI$6:$AI$505,"&lt;="&amp;$A87,実績!$AJ$6:$AJ$505,"&gt;"&amp;$A87,実績!$AK$6:$AK$505,"○")&gt;0,1,0))</f>
        <v>0</v>
      </c>
      <c r="AO87" s="39" t="n">
        <f aca="false">IF(AO$4=0,0,IF(COUNTIFS(実績!$W$6:$W$505,AO$3,実績!$AI$6:$AI$505,"&lt;="&amp;$A87,実績!$AJ$6:$AJ$505,"&gt;"&amp;$A87,実績!$AK$6:$AK$505,"○")&gt;0,1,0))</f>
        <v>0</v>
      </c>
      <c r="AP87" s="39" t="n">
        <f aca="false">IF(AP$4=0,0,IF(COUNTIFS(実績!$W$6:$W$505,AP$3,実績!$AI$6:$AI$505,"&lt;="&amp;$A87,実績!$AJ$6:$AJ$505,"&gt;"&amp;$A87,実績!$AK$6:$AK$505,"○")&gt;0,1,0))</f>
        <v>0</v>
      </c>
      <c r="AQ87" s="39" t="n">
        <f aca="false">IF(AQ$4=0,0,IF(COUNTIFS(実績!$W$6:$W$505,AQ$3,実績!$AI$6:$AI$505,"&lt;="&amp;$A87,実績!$AJ$6:$AJ$505,"&gt;"&amp;$A87,実績!$AK$6:$AK$505,"○")&gt;0,1,0))</f>
        <v>0</v>
      </c>
      <c r="AR87" s="39" t="n">
        <f aca="false">IF(AR$4=0,0,IF(COUNTIFS(実績!$W$6:$W$505,AR$3,実績!$AI$6:$AI$505,"&lt;="&amp;$A87,実績!$AJ$6:$AJ$505,"&gt;"&amp;$A87,実績!$AK$6:$AK$505,"○")&gt;0,1,0))</f>
        <v>0</v>
      </c>
      <c r="AS87" s="39" t="n">
        <f aca="false">IF(AS$4=0,0,IF(COUNTIFS(実績!$W$6:$W$505,AS$3,実績!$AI$6:$AI$505,"&lt;="&amp;$A87,実績!$AJ$6:$AJ$505,"&gt;"&amp;$A87,実績!$AK$6:$AK$505,"○")&gt;0,1,0))</f>
        <v>0</v>
      </c>
      <c r="AT87" s="39" t="n">
        <f aca="false">IF(AT$4=0,0,IF(COUNTIFS(実績!$W$6:$W$505,AT$3,実績!$AI$6:$AI$505,"&lt;="&amp;$A87,実績!$AJ$6:$AJ$505,"&gt;"&amp;$A87,実績!$AK$6:$AK$505,"○")&gt;0,1,0))</f>
        <v>0</v>
      </c>
      <c r="AU87" s="39" t="n">
        <f aca="false">IF(AU$4=0,0,IF(COUNTIFS(実績!$W$6:$W$505,AU$3,実績!$AI$6:$AI$505,"&lt;="&amp;$A87,実績!$AJ$6:$AJ$505,"&gt;"&amp;$A87,実績!$AK$6:$AK$505,"○")&gt;0,1,0))</f>
        <v>0</v>
      </c>
      <c r="AV87" s="39" t="n">
        <f aca="false">IF(AV$4=0,0,IF(COUNTIFS(実績!$W$6:$W$505,AV$3,実績!$AI$6:$AI$505,"&lt;="&amp;$A87,実績!$AJ$6:$AJ$505,"&gt;"&amp;$A87,実績!$AK$6:$AK$505,"○")&gt;0,1,0))</f>
        <v>0</v>
      </c>
      <c r="AW87" s="39" t="n">
        <f aca="false">IF(AW$4=0,0,IF(COUNTIFS(実績!$W$6:$W$505,AW$3,実績!$AI$6:$AI$505,"&lt;="&amp;$A87,実績!$AJ$6:$AJ$505,"&gt;"&amp;$A87,実績!$AK$6:$AK$505,"○")&gt;0,1,0))</f>
        <v>0</v>
      </c>
      <c r="AX87" s="39" t="n">
        <f aca="false">IF(AX$4=0,0,IF(COUNTIFS(実績!$W$6:$W$505,AX$3,実績!$AI$6:$AI$505,"&lt;="&amp;$A87,実績!$AJ$6:$AJ$505,"&gt;"&amp;$A87,実績!$AK$6:$AK$505,"○")&gt;0,1,0))</f>
        <v>0</v>
      </c>
      <c r="AY87" s="39" t="n">
        <f aca="false">IF(AY$4=0,0,IF(COUNTIFS(実績!$W$6:$W$505,AY$3,実績!$AI$6:$AI$505,"&lt;="&amp;$A87,実績!$AJ$6:$AJ$505,"&gt;"&amp;$A87,実績!$AK$6:$AK$505,"○")&gt;0,1,0))</f>
        <v>0</v>
      </c>
      <c r="AZ87" s="39" t="n">
        <f aca="false">IF(AZ$4=0,0,IF(COUNTIFS(実績!$W$6:$W$505,AZ$3,実績!$AI$6:$AI$505,"&lt;="&amp;$A87,実績!$AJ$6:$AJ$505,"&gt;"&amp;$A87,実績!$AK$6:$AK$505,"○")&gt;0,1,0))</f>
        <v>0</v>
      </c>
      <c r="BA87" s="39" t="n">
        <f aca="false">IF(BA$4=0,0,IF(COUNTIFS(実績!$W$6:$W$505,BA$3,実績!$AI$6:$AI$505,"&lt;="&amp;$A87,実績!$AJ$6:$AJ$505,"&gt;"&amp;$A87,実績!$AK$6:$AK$505,"○")&gt;0,1,0))</f>
        <v>0</v>
      </c>
      <c r="BB87" s="39" t="n">
        <f aca="false">IF(BB$4=0,0,IF(COUNTIFS(実績!$W$6:$W$505,BB$3,実績!$AI$6:$AI$505,"&lt;="&amp;$A87,実績!$AJ$6:$AJ$505,"&gt;"&amp;$A87,実績!$AK$6:$AK$505,"○")&gt;0,1,0))</f>
        <v>0</v>
      </c>
      <c r="BC87" s="39" t="n">
        <f aca="false">IF(BC$4=0,0,IF(COUNTIFS(実績!$W$6:$W$505,BC$3,実績!$AI$6:$AI$505,"&lt;="&amp;$A87,実績!$AJ$6:$AJ$505,"&gt;"&amp;$A87,実績!$AK$6:$AK$505,"○")&gt;0,1,0))</f>
        <v>0</v>
      </c>
      <c r="BD87" s="39" t="n">
        <f aca="false">IF(BD$4=0,0,IF(COUNTIFS(実績!$W$6:$W$505,BD$3,実績!$AI$6:$AI$505,"&lt;="&amp;$A87,実績!$AJ$6:$AJ$505,"&gt;"&amp;$A87,実績!$AK$6:$AK$505,"○")&gt;0,1,0))</f>
        <v>0</v>
      </c>
      <c r="BE87" s="39" t="n">
        <f aca="false">IF(BE$4=0,0,IF(COUNTIFS(実績!$W$6:$W$505,BE$3,実績!$AI$6:$AI$505,"&lt;="&amp;$A87,実績!$AJ$6:$AJ$505,"&gt;"&amp;$A87,実績!$AK$6:$AK$505,"○")&gt;0,1,0))</f>
        <v>0</v>
      </c>
      <c r="BF87" s="39" t="n">
        <f aca="false">IF(BF$4=0,0,IF(COUNTIFS(実績!$W$6:$W$505,BF$3,実績!$AI$6:$AI$505,"&lt;="&amp;$A87,実績!$AJ$6:$AJ$505,"&gt;"&amp;$A87,実績!$AK$6:$AK$505,"○")&gt;0,1,0))</f>
        <v>0</v>
      </c>
      <c r="BG87" s="39" t="n">
        <f aca="false">IF(BG$4=0,0,IF(COUNTIFS(実績!$W$6:$W$505,BG$3,実績!$AI$6:$AI$505,"&lt;="&amp;$A87,実績!$AJ$6:$AJ$505,"&gt;"&amp;$A87,実績!$AK$6:$AK$505,"○")&gt;0,1,0))</f>
        <v>0</v>
      </c>
      <c r="BH87" s="39" t="n">
        <f aca="false">IF(BH$4=0,0,IF(COUNTIFS(実績!$W$6:$W$505,BH$3,実績!$AI$6:$AI$505,"&lt;="&amp;$A87,実績!$AJ$6:$AJ$505,"&gt;"&amp;$A87,実績!$AK$6:$AK$505,"○")&gt;0,1,0))</f>
        <v>0</v>
      </c>
      <c r="BI87" s="39" t="n">
        <f aca="false">IF(BI$4=0,0,IF(COUNTIFS(実績!$W$6:$W$505,BI$3,実績!$AI$6:$AI$505,"&lt;="&amp;$A87,実績!$AJ$6:$AJ$505,"&gt;"&amp;$A87,実績!$AK$6:$AK$505,"○")&gt;0,1,0))</f>
        <v>0</v>
      </c>
      <c r="BJ87" s="39" t="n">
        <f aca="false">IF(BJ$4=0,0,IF(COUNTIFS(実績!$W$6:$W$505,BJ$3,実績!$AI$6:$AI$505,"&lt;="&amp;$A87,実績!$AJ$6:$AJ$505,"&gt;"&amp;$A87,実績!$AK$6:$AK$505,"○")&gt;0,1,0))</f>
        <v>0</v>
      </c>
      <c r="BK87" s="39" t="n">
        <f aca="false">IF(BK$4=0,0,IF(COUNTIFS(実績!$W$6:$W$505,BK$3,実績!$AI$6:$AI$505,"&lt;="&amp;$A87,実績!$AJ$6:$AJ$505,"&gt;"&amp;$A87,実績!$AK$6:$AK$505,"○")&gt;0,1,0))</f>
        <v>0</v>
      </c>
      <c r="BL87" s="39" t="n">
        <f aca="false">IF(BL$4=0,0,IF(COUNTIFS(実績!$W$6:$W$505,BL$3,実績!$AI$6:$AI$505,"&lt;="&amp;$A87,実績!$AJ$6:$AJ$505,"&gt;"&amp;$A87,実績!$AK$6:$AK$505,"○")&gt;0,1,0))</f>
        <v>0</v>
      </c>
      <c r="BM87" s="39" t="n">
        <f aca="false">IF(BM$4=0,0,IF(COUNTIFS(実績!$W$6:$W$505,BM$3,実績!$AI$6:$AI$505,"&lt;="&amp;$A87,実績!$AJ$6:$AJ$505,"&gt;"&amp;$A87,実績!$AK$6:$AK$505,"○")&gt;0,1,0))</f>
        <v>0</v>
      </c>
      <c r="BN87" s="39" t="n">
        <f aca="false">IF(BN$4=0,0,IF(COUNTIFS(実績!$W$6:$W$505,BN$3,実績!$AI$6:$AI$505,"&lt;="&amp;$A87,実績!$AJ$6:$AJ$505,"&gt;"&amp;$A87,実績!$AK$6:$AK$505,"○")&gt;0,1,0))</f>
        <v>0</v>
      </c>
      <c r="BO87" s="39" t="n">
        <f aca="false">IF(BO$4=0,0,IF(COUNTIFS(実績!$W$6:$W$505,BO$3,実績!$AI$6:$AI$505,"&lt;="&amp;$A87,実績!$AJ$6:$AJ$505,"&gt;"&amp;$A87,実績!$AK$6:$AK$505,"○")&gt;0,1,0))</f>
        <v>0</v>
      </c>
      <c r="BP87" s="39" t="n">
        <f aca="false">IF(BP$4=0,0,IF(COUNTIFS(実績!$W$6:$W$505,BP$3,実績!$AI$6:$AI$505,"&lt;="&amp;$A87,実績!$AJ$6:$AJ$505,"&gt;"&amp;$A87,実績!$AK$6:$AK$505,"○")&gt;0,1,0))</f>
        <v>0</v>
      </c>
      <c r="BQ87" s="39" t="n">
        <f aca="false">IF(BQ$4=0,0,IF(COUNTIFS(実績!$W$6:$W$505,BQ$3,実績!$AI$6:$AI$505,"&lt;="&amp;$A87,実績!$AJ$6:$AJ$505,"&gt;"&amp;$A87,実績!$AK$6:$AK$505,"○")&gt;0,1,0))</f>
        <v>0</v>
      </c>
      <c r="BR87" s="39" t="n">
        <f aca="false">IF(BR$4=0,0,IF(COUNTIFS(実績!$W$6:$W$505,BR$3,実績!$AI$6:$AI$505,"&lt;="&amp;$A87,実績!$AJ$6:$AJ$505,"&gt;"&amp;$A87,実績!$AK$6:$AK$505,"○")&gt;0,1,0))</f>
        <v>0</v>
      </c>
      <c r="BS87" s="39" t="n">
        <f aca="false">IF(BS$4=0,0,IF(COUNTIFS(実績!$W$6:$W$505,BS$3,実績!$AI$6:$AI$505,"&lt;="&amp;$A87,実績!$AJ$6:$AJ$505,"&gt;"&amp;$A87,実績!$AK$6:$AK$505,"○")&gt;0,1,0))</f>
        <v>0</v>
      </c>
      <c r="BT87" s="39" t="n">
        <f aca="false">IF(BT$4=0,0,IF(COUNTIFS(実績!$W$6:$W$505,BT$3,実績!$AI$6:$AI$505,"&lt;="&amp;$A87,実績!$AJ$6:$AJ$505,"&gt;"&amp;$A87,実績!$AK$6:$AK$505,"○")&gt;0,1,0))</f>
        <v>0</v>
      </c>
      <c r="BU87" s="39" t="n">
        <f aca="false">IF(BU$4=0,0,IF(COUNTIFS(実績!$W$6:$W$505,BU$3,実績!$AI$6:$AI$505,"&lt;="&amp;$A87,実績!$AJ$6:$AJ$505,"&gt;"&amp;$A87,実績!$AK$6:$AK$505,"○")&gt;0,1,0))</f>
        <v>0</v>
      </c>
      <c r="BV87" s="39" t="n">
        <f aca="false">IF(BV$4=0,0,IF(COUNTIFS(実績!$W$6:$W$505,BV$3,実績!$AI$6:$AI$505,"&lt;="&amp;$A87,実績!$AJ$6:$AJ$505,"&gt;"&amp;$A87,実績!$AK$6:$AK$505,"○")&gt;0,1,0))</f>
        <v>0</v>
      </c>
      <c r="BW87" s="39" t="n">
        <f aca="false">IF(BW$4=0,0,IF(COUNTIFS(実績!$W$6:$W$505,BW$3,実績!$AI$6:$AI$505,"&lt;="&amp;$A87,実績!$AJ$6:$AJ$505,"&gt;"&amp;$A87,実績!$AK$6:$AK$505,"○")&gt;0,1,0))</f>
        <v>0</v>
      </c>
      <c r="BX87" s="39" t="n">
        <f aca="false">IF(BX$4=0,0,IF(COUNTIFS(実績!$W$6:$W$505,BX$3,実績!$AI$6:$AI$505,"&lt;="&amp;$A87,実績!$AJ$6:$AJ$505,"&gt;"&amp;$A87,実績!$AK$6:$AK$505,"○")&gt;0,1,0))</f>
        <v>0</v>
      </c>
      <c r="BY87" s="39" t="n">
        <f aca="false">IF(BY$4=0,0,IF(COUNTIFS(実績!$W$6:$W$505,BY$3,実績!$AI$6:$AI$505,"&lt;="&amp;$A87,実績!$AJ$6:$AJ$505,"&gt;"&amp;$A87,実績!$AK$6:$AK$505,"○")&gt;0,1,0))</f>
        <v>0</v>
      </c>
      <c r="BZ87" s="39" t="n">
        <f aca="false">IF(BZ$4=0,0,IF(COUNTIFS(実績!$W$6:$W$505,BZ$3,実績!$AI$6:$AI$505,"&lt;="&amp;$A87,実績!$AJ$6:$AJ$505,"&gt;"&amp;$A87,実績!$AK$6:$AK$505,"○")&gt;0,1,0))</f>
        <v>0</v>
      </c>
      <c r="CA87" s="39" t="n">
        <f aca="false">IF(CA$4=0,0,IF(COUNTIFS(実績!$W$6:$W$505,CA$3,実績!$AI$6:$AI$505,"&lt;="&amp;$A87,実績!$AJ$6:$AJ$505,"&gt;"&amp;$A87,実績!$AK$6:$AK$505,"○")&gt;0,1,0))</f>
        <v>0</v>
      </c>
      <c r="CB87" s="39" t="n">
        <f aca="false">IF(CB$4=0,0,IF(COUNTIFS(実績!$W$6:$W$505,CB$3,実績!$AI$6:$AI$505,"&lt;="&amp;$A87,実績!$AJ$6:$AJ$505,"&gt;"&amp;$A87,実績!$AK$6:$AK$505,"○")&gt;0,1,0))</f>
        <v>0</v>
      </c>
      <c r="CC87" s="39" t="n">
        <f aca="false">IF(CC$4=0,0,IF(COUNTIFS(実績!$W$6:$W$505,CC$3,実績!$AI$6:$AI$505,"&lt;="&amp;$A87,実績!$AJ$6:$AJ$505,"&gt;"&amp;$A87,実績!$AK$6:$AK$505,"○")&gt;0,1,0))</f>
        <v>0</v>
      </c>
      <c r="CD87" s="39" t="n">
        <f aca="false">IF(CD$4=0,0,IF(COUNTIFS(実績!$W$6:$W$505,CD$3,実績!$AI$6:$AI$505,"&lt;="&amp;$A87,実績!$AJ$6:$AJ$505,"&gt;"&amp;$A87,実績!$AK$6:$AK$505,"○")&gt;0,1,0))</f>
        <v>0</v>
      </c>
      <c r="CE87" s="39" t="n">
        <f aca="false">IF(CE$4=0,0,IF(COUNTIFS(実績!$W$6:$W$505,CE$3,実績!$AI$6:$AI$505,"&lt;="&amp;$A87,実績!$AJ$6:$AJ$505,"&gt;"&amp;$A87,実績!$AK$6:$AK$505,"○")&gt;0,1,0))</f>
        <v>0</v>
      </c>
      <c r="CF87" s="39" t="n">
        <f aca="false">IF(CF$4=0,0,IF(COUNTIFS(実績!$W$6:$W$505,CF$3,実績!$AI$6:$AI$505,"&lt;="&amp;$A87,実績!$AJ$6:$AJ$505,"&gt;"&amp;$A87,実績!$AK$6:$AK$505,"○")&gt;0,1,0))</f>
        <v>0</v>
      </c>
      <c r="CG87" s="39" t="n">
        <f aca="false">IF(CG$4=0,0,IF(COUNTIFS(実績!$W$6:$W$505,CG$3,実績!$AI$6:$AI$505,"&lt;="&amp;$A87,実績!$AJ$6:$AJ$505,"&gt;"&amp;$A87,実績!$AK$6:$AK$505,"○")&gt;0,1,0))</f>
        <v>0</v>
      </c>
      <c r="CH87" s="39" t="n">
        <f aca="false">IF(CH$4=0,0,IF(COUNTIFS(実績!$W$6:$W$505,CH$3,実績!$AI$6:$AI$505,"&lt;="&amp;$A87,実績!$AJ$6:$AJ$505,"&gt;"&amp;$A87,実績!$AK$6:$AK$505,"○")&gt;0,1,0))</f>
        <v>0</v>
      </c>
      <c r="CI87" s="39" t="n">
        <f aca="false">IF(CI$4=0,0,IF(COUNTIFS(実績!$W$6:$W$505,CI$3,実績!$AI$6:$AI$505,"&lt;="&amp;$A87,実績!$AJ$6:$AJ$505,"&gt;"&amp;$A87,実績!$AK$6:$AK$505,"○")&gt;0,1,0))</f>
        <v>0</v>
      </c>
      <c r="CJ87" s="39" t="n">
        <f aca="false">IF(CJ$4=0,0,IF(COUNTIFS(実績!$W$6:$W$505,CJ$3,実績!$AI$6:$AI$505,"&lt;="&amp;$A87,実績!$AJ$6:$AJ$505,"&gt;"&amp;$A87,実績!$AK$6:$AK$505,"○")&gt;0,1,0))</f>
        <v>0</v>
      </c>
      <c r="CK87" s="39" t="n">
        <f aca="false">IF(CK$4=0,0,IF(COUNTIFS(実績!$W$6:$W$505,CK$3,実績!$AI$6:$AI$505,"&lt;="&amp;$A87,実績!$AJ$6:$AJ$505,"&gt;"&amp;$A87,実績!$AK$6:$AK$505,"○")&gt;0,1,0))</f>
        <v>0</v>
      </c>
      <c r="CL87" s="39" t="n">
        <f aca="false">IF(CL$4=0,0,IF(COUNTIFS(実績!$W$6:$W$505,CL$3,実績!$AI$6:$AI$505,"&lt;="&amp;$A87,実績!$AJ$6:$AJ$505,"&gt;"&amp;$A87,実績!$AK$6:$AK$505,"○")&gt;0,1,0))</f>
        <v>0</v>
      </c>
      <c r="CM87" s="39" t="n">
        <f aca="false">IF(CM$4=0,0,IF(COUNTIFS(実績!$W$6:$W$505,CM$3,実績!$AI$6:$AI$505,"&lt;="&amp;$A87,実績!$AJ$6:$AJ$505,"&gt;"&amp;$A87,実績!$AK$6:$AK$505,"○")&gt;0,1,0))</f>
        <v>0</v>
      </c>
      <c r="CN87" s="39" t="n">
        <f aca="false">IF(CN$4=0,0,IF(COUNTIFS(実績!$W$6:$W$505,CN$3,実績!$AI$6:$AI$505,"&lt;="&amp;$A87,実績!$AJ$6:$AJ$505,"&gt;"&amp;$A87,実績!$AK$6:$AK$505,"○")&gt;0,1,0))</f>
        <v>0</v>
      </c>
      <c r="CO87" s="39" t="n">
        <f aca="false">IF(CO$4=0,0,IF(COUNTIFS(実績!$W$6:$W$505,CO$3,実績!$AI$6:$AI$505,"&lt;="&amp;$A87,実績!$AJ$6:$AJ$505,"&gt;"&amp;$A87,実績!$AK$6:$AK$505,"○")&gt;0,1,0))</f>
        <v>0</v>
      </c>
      <c r="CP87" s="39" t="n">
        <f aca="false">IF(CP$4=0,0,IF(COUNTIFS(実績!$W$6:$W$505,CP$3,実績!$AI$6:$AI$505,"&lt;="&amp;$A87,実績!$AJ$6:$AJ$505,"&gt;"&amp;$A87,実績!$AK$6:$AK$505,"○")&gt;0,1,0))</f>
        <v>0</v>
      </c>
      <c r="CQ87" s="39" t="n">
        <f aca="false">IF(CQ$4=0,0,IF(COUNTIFS(実績!$W$6:$W$505,CQ$3,実績!$AI$6:$AI$505,"&lt;="&amp;$A87,実績!$AJ$6:$AJ$505,"&gt;"&amp;$A87,実績!$AK$6:$AK$505,"○")&gt;0,1,0))</f>
        <v>0</v>
      </c>
      <c r="CR87" s="39" t="n">
        <f aca="false">IF(CR$4=0,0,IF(COUNTIFS(実績!$W$6:$W$505,CR$3,実績!$AI$6:$AI$505,"&lt;="&amp;$A87,実績!$AJ$6:$AJ$505,"&gt;"&amp;$A87,実績!$AK$6:$AK$505,"○")&gt;0,1,0))</f>
        <v>0</v>
      </c>
      <c r="CS87" s="39" t="n">
        <f aca="false">IF(CS$4=0,0,IF(COUNTIFS(実績!$W$6:$W$505,CS$3,実績!$AI$6:$AI$505,"&lt;="&amp;$A87,実績!$AJ$6:$AJ$505,"&gt;"&amp;$A87,実績!$AK$6:$AK$505,"○")&gt;0,1,0))</f>
        <v>0</v>
      </c>
      <c r="CT87" s="39" t="n">
        <f aca="false">IF(CT$4=0,0,IF(COUNTIFS(実績!$W$6:$W$505,CT$3,実績!$AI$6:$AI$505,"&lt;="&amp;$A87,実績!$AJ$6:$AJ$505,"&gt;"&amp;$A87,実績!$AK$6:$AK$505,"○")&gt;0,1,0))</f>
        <v>0</v>
      </c>
      <c r="CU87" s="39" t="n">
        <f aca="false">IF(CU$4=0,0,IF(COUNTIFS(実績!$W$6:$W$505,CU$3,実績!$AI$6:$AI$505,"&lt;="&amp;$A87,実績!$AJ$6:$AJ$505,"&gt;"&amp;$A87,実績!$AK$6:$AK$505,"○")&gt;0,1,0))</f>
        <v>0</v>
      </c>
      <c r="CV87" s="39" t="n">
        <f aca="false">IF(CV$4=0,0,IF(COUNTIFS(実績!$W$6:$W$505,CV$3,実績!$AI$6:$AI$505,"&lt;="&amp;$A87,実績!$AJ$6:$AJ$505,"&gt;"&amp;$A87,実績!$AK$6:$AK$505,"○")&gt;0,1,0))</f>
        <v>0</v>
      </c>
      <c r="CW87" s="39" t="n">
        <f aca="false">IF(CW$4=0,0,IF(COUNTIFS(実績!$W$6:$W$505,CW$3,実績!$AI$6:$AI$505,"&lt;="&amp;$A87,実績!$AJ$6:$AJ$505,"&gt;"&amp;$A87,実績!$AK$6:$AK$505,"○")&gt;0,1,0))</f>
        <v>0</v>
      </c>
      <c r="CX87" s="39" t="n">
        <f aca="false">IF(CX$4=0,0,IF(COUNTIFS(実績!$W$6:$W$505,CX$3,実績!$AI$6:$AI$505,"&lt;="&amp;$A87,実績!$AJ$6:$AJ$505,"&gt;"&amp;$A87,実績!$AK$6:$AK$505,"○")&gt;0,1,0))</f>
        <v>0</v>
      </c>
      <c r="CY87" s="39" t="n">
        <f aca="false">IF(CY$4=0,0,IF(COUNTIFS(実績!$W$6:$W$505,CY$3,実績!$AI$6:$AI$505,"&lt;="&amp;$A87,実績!$AJ$6:$AJ$505,"&gt;"&amp;$A87,実績!$AK$6:$AK$505,"○")&gt;0,1,0))</f>
        <v>0</v>
      </c>
      <c r="CZ87" s="39" t="n">
        <f aca="false">IF(CZ$4=0,0,IF(COUNTIFS(実績!$W$6:$W$505,CZ$3,実績!$AI$6:$AI$505,"&lt;="&amp;$A87,実績!$AJ$6:$AJ$505,"&gt;"&amp;$A87,実績!$AK$6:$AK$505,"○")&gt;0,1,0))</f>
        <v>0</v>
      </c>
      <c r="DA87" s="39" t="n">
        <f aca="false">IF(DA$4=0,0,IF(COUNTIFS(実績!$W$6:$W$505,DA$3,実績!$AI$6:$AI$505,"&lt;="&amp;$A87,実績!$AJ$6:$AJ$505,"&gt;"&amp;$A87,実績!$AK$6:$AK$505,"○")&gt;0,1,0))</f>
        <v>0</v>
      </c>
      <c r="DB87" s="39" t="n">
        <f aca="false">IF(DB$4=0,0,IF(COUNTIFS(実績!$W$6:$W$505,DB$3,実績!$AI$6:$AI$505,"&lt;="&amp;$A87,実績!$AJ$6:$AJ$505,"&gt;"&amp;$A87,実績!$AK$6:$AK$505,"○")&gt;0,1,0))</f>
        <v>0</v>
      </c>
      <c r="DC87" s="39" t="n">
        <f aca="false">IF(DC$4=0,0,IF(COUNTIFS(実績!$W$6:$W$505,DC$3,実績!$AI$6:$AI$505,"&lt;="&amp;$A87,実績!$AJ$6:$AJ$505,"&gt;"&amp;$A87,実績!$AK$6:$AK$505,"○")&gt;0,1,0))</f>
        <v>0</v>
      </c>
      <c r="DD87" s="39" t="n">
        <f aca="false">IF(DD$4=0,0,IF(COUNTIFS(実績!$W$6:$W$505,DD$3,実績!$AI$6:$AI$505,"&lt;="&amp;$A87,実績!$AJ$6:$AJ$505,"&gt;"&amp;$A87,実績!$AK$6:$AK$505,"○")&gt;0,1,0))</f>
        <v>0</v>
      </c>
      <c r="DE87" s="39" t="n">
        <f aca="false">IF(DE$4=0,0,IF(COUNTIFS(実績!$W$6:$W$505,DE$3,実績!$AI$6:$AI$505,"&lt;="&amp;$A87,実績!$AJ$6:$AJ$505,"&gt;"&amp;$A87,実績!$AK$6:$AK$505,"○")&gt;0,1,0))</f>
        <v>0</v>
      </c>
      <c r="DF87" s="39" t="n">
        <f aca="false">IF(DF$4=0,0,IF(COUNTIFS(実績!$W$6:$W$505,DF$3,実績!$AI$6:$AI$505,"&lt;="&amp;$A87,実績!$AJ$6:$AJ$505,"&gt;"&amp;$A87,実績!$AK$6:$AK$505,"○")&gt;0,1,0))</f>
        <v>0</v>
      </c>
      <c r="DG87" s="39" t="n">
        <f aca="false">IF(DG$4=0,0,IF(COUNTIFS(実績!$W$6:$W$505,DG$3,実績!$AI$6:$AI$505,"&lt;="&amp;$A87,実績!$AJ$6:$AJ$505,"&gt;"&amp;$A87,実績!$AK$6:$AK$505,"○")&gt;0,1,0))</f>
        <v>0</v>
      </c>
      <c r="DH87" s="39" t="n">
        <f aca="false">IF(DH$4=0,0,IF(COUNTIFS(実績!$W$6:$W$505,DH$3,実績!$AI$6:$AI$505,"&lt;="&amp;$A87,実績!$AJ$6:$AJ$505,"&gt;"&amp;$A87,実績!$AK$6:$AK$505,"○")&gt;0,1,0))</f>
        <v>0</v>
      </c>
      <c r="DI87" s="39" t="n">
        <f aca="false">IF(DI$4=0,0,IF(COUNTIFS(実績!$W$6:$W$505,DI$3,実績!$AI$6:$AI$505,"&lt;="&amp;$A87,実績!$AJ$6:$AJ$505,"&gt;"&amp;$A87,実績!$AK$6:$AK$505,"○")&gt;0,1,0))</f>
        <v>0</v>
      </c>
      <c r="DJ87" s="39" t="n">
        <f aca="false">IF(DJ$4=0,0,IF(COUNTIFS(実績!$W$6:$W$505,DJ$3,実績!$AI$6:$AI$505,"&lt;="&amp;$A87,実績!$AJ$6:$AJ$505,"&gt;"&amp;$A87,実績!$AK$6:$AK$505,"○")&gt;0,1,0))</f>
        <v>0</v>
      </c>
      <c r="DK87" s="39" t="n">
        <f aca="false">IF(DK$4=0,0,IF(COUNTIFS(実績!$W$6:$W$505,DK$3,実績!$AI$6:$AI$505,"&lt;="&amp;$A87,実績!$AJ$6:$AJ$505,"&gt;"&amp;$A87,実績!$AK$6:$AK$505,"○")&gt;0,1,0))</f>
        <v>0</v>
      </c>
      <c r="DL87" s="39" t="n">
        <f aca="false">IF(DL$4=0,0,IF(COUNTIFS(実績!$W$6:$W$505,DL$3,実績!$AI$6:$AI$505,"&lt;="&amp;$A87,実績!$AJ$6:$AJ$505,"&gt;"&amp;$A87,実績!$AK$6:$AK$505,"○")&gt;0,1,0))</f>
        <v>0</v>
      </c>
      <c r="DM87" s="39" t="n">
        <f aca="false">IF(DM$4=0,0,IF(COUNTIFS(実績!$W$6:$W$505,DM$3,実績!$AI$6:$AI$505,"&lt;="&amp;$A87,実績!$AJ$6:$AJ$505,"&gt;"&amp;$A87,実績!$AK$6:$AK$505,"○")&gt;0,1,0))</f>
        <v>0</v>
      </c>
      <c r="DN87" s="39" t="n">
        <f aca="false">IF(DN$4=0,0,IF(COUNTIFS(実績!$W$6:$W$505,DN$3,実績!$AI$6:$AI$505,"&lt;="&amp;$A87,実績!$AJ$6:$AJ$505,"&gt;"&amp;$A87,実績!$AK$6:$AK$505,"○")&gt;0,1,0))</f>
        <v>0</v>
      </c>
      <c r="DO87" s="39" t="n">
        <f aca="false">IF(DO$4=0,0,IF(COUNTIFS(実績!$W$6:$W$505,DO$3,実績!$AI$6:$AI$505,"&lt;="&amp;$A87,実績!$AJ$6:$AJ$505,"&gt;"&amp;$A87,実績!$AK$6:$AK$505,"○")&gt;0,1,0))</f>
        <v>0</v>
      </c>
      <c r="DP87" s="39" t="n">
        <f aca="false">IF(DP$4=0,0,IF(COUNTIFS(実績!$W$6:$W$505,DP$3,実績!$AI$6:$AI$505,"&lt;="&amp;$A87,実績!$AJ$6:$AJ$505,"&gt;"&amp;$A87,実績!$AK$6:$AK$505,"○")&gt;0,1,0))</f>
        <v>0</v>
      </c>
      <c r="DQ87" s="39" t="n">
        <f aca="false">IF(DQ$4=0,0,IF(COUNTIFS(実績!$W$6:$W$505,DQ$3,実績!$AI$6:$AI$505,"&lt;="&amp;$A87,実績!$AJ$6:$AJ$505,"&gt;"&amp;$A87,実績!$AK$6:$AK$505,"○")&gt;0,1,0))</f>
        <v>0</v>
      </c>
      <c r="DR87" s="39" t="n">
        <f aca="false">IF(DR$4=0,0,IF(COUNTIFS(実績!$W$6:$W$505,DR$3,実績!$AI$6:$AI$505,"&lt;="&amp;$A87,実績!$AJ$6:$AJ$505,"&gt;"&amp;$A87,実績!$AK$6:$AK$505,"○")&gt;0,1,0))</f>
        <v>0</v>
      </c>
      <c r="DS87" s="39" t="n">
        <f aca="false">SUM(C87:DR87)</f>
        <v>0</v>
      </c>
      <c r="DT87" s="39" t="n">
        <f aca="false">SUMPRODUCT((実績!$C$6:$C$505="○")*ISNUMBER(実績!$AM$6:$AM$505)*(実績!$AM$6:$AM$505&lt;=$A87)*(実績!$AN$6:$AN$505&gt;$A87))</f>
        <v>0</v>
      </c>
      <c r="DU87" s="39" t="n">
        <f aca="false">SUMIF($C$2:$DR$2,"製鉄曳船",C87:DR87)</f>
        <v>0</v>
      </c>
      <c r="DV87" s="39" t="n">
        <f aca="false">SUMIF($C$2:$DR$2,"西日本海運",C87:DR87)</f>
        <v>0</v>
      </c>
    </row>
    <row r="88" customFormat="false" ht="15" hidden="false" customHeight="false" outlineLevel="0" collapsed="false">
      <c r="A88" s="0" t="n">
        <v>410</v>
      </c>
      <c r="B88" s="38" t="n">
        <f aca="false">A88/1440</f>
        <v>0.284722222222222</v>
      </c>
      <c r="C88" s="39" t="n">
        <f aca="false">IF(C$4=0,0,IF(COUNTIFS(実績!$W$6:$W$505,C$3,実績!$AI$6:$AI$505,"&lt;="&amp;$A88,実績!$AJ$6:$AJ$505,"&gt;"&amp;$A88,実績!$AK$6:$AK$505,"○")&gt;0,1,0))</f>
        <v>0</v>
      </c>
      <c r="D88" s="39" t="n">
        <f aca="false">IF(D$4=0,0,IF(COUNTIFS(実績!$W$6:$W$505,D$3,実績!$AI$6:$AI$505,"&lt;="&amp;$A88,実績!$AJ$6:$AJ$505,"&gt;"&amp;$A88,実績!$AK$6:$AK$505,"○")&gt;0,1,0))</f>
        <v>0</v>
      </c>
      <c r="E88" s="39" t="n">
        <f aca="false">IF(E$4=0,0,IF(COUNTIFS(実績!$W$6:$W$505,E$3,実績!$AI$6:$AI$505,"&lt;="&amp;$A88,実績!$AJ$6:$AJ$505,"&gt;"&amp;$A88,実績!$AK$6:$AK$505,"○")&gt;0,1,0))</f>
        <v>0</v>
      </c>
      <c r="F88" s="39" t="n">
        <f aca="false">IF(F$4=0,0,IF(COUNTIFS(実績!$W$6:$W$505,F$3,実績!$AI$6:$AI$505,"&lt;="&amp;$A88,実績!$AJ$6:$AJ$505,"&gt;"&amp;$A88,実績!$AK$6:$AK$505,"○")&gt;0,1,0))</f>
        <v>0</v>
      </c>
      <c r="G88" s="39" t="n">
        <f aca="false">IF(G$4=0,0,IF(COUNTIFS(実績!$W$6:$W$505,G$3,実績!$AI$6:$AI$505,"&lt;="&amp;$A88,実績!$AJ$6:$AJ$505,"&gt;"&amp;$A88,実績!$AK$6:$AK$505,"○")&gt;0,1,0))</f>
        <v>0</v>
      </c>
      <c r="H88" s="39" t="n">
        <f aca="false">IF(H$4=0,0,IF(COUNTIFS(実績!$W$6:$W$505,H$3,実績!$AI$6:$AI$505,"&lt;="&amp;$A88,実績!$AJ$6:$AJ$505,"&gt;"&amp;$A88,実績!$AK$6:$AK$505,"○")&gt;0,1,0))</f>
        <v>0</v>
      </c>
      <c r="I88" s="39" t="n">
        <f aca="false">IF(I$4=0,0,IF(COUNTIFS(実績!$W$6:$W$505,I$3,実績!$AI$6:$AI$505,"&lt;="&amp;$A88,実績!$AJ$6:$AJ$505,"&gt;"&amp;$A88,実績!$AK$6:$AK$505,"○")&gt;0,1,0))</f>
        <v>0</v>
      </c>
      <c r="J88" s="39" t="n">
        <f aca="false">IF(J$4=0,0,IF(COUNTIFS(実績!$W$6:$W$505,J$3,実績!$AI$6:$AI$505,"&lt;="&amp;$A88,実績!$AJ$6:$AJ$505,"&gt;"&amp;$A88,実績!$AK$6:$AK$505,"○")&gt;0,1,0))</f>
        <v>0</v>
      </c>
      <c r="K88" s="39" t="n">
        <f aca="false">IF(K$4=0,0,IF(COUNTIFS(実績!$W$6:$W$505,K$3,実績!$AI$6:$AI$505,"&lt;="&amp;$A88,実績!$AJ$6:$AJ$505,"&gt;"&amp;$A88,実績!$AK$6:$AK$505,"○")&gt;0,1,0))</f>
        <v>0</v>
      </c>
      <c r="L88" s="39" t="n">
        <f aca="false">IF(L$4=0,0,IF(COUNTIFS(実績!$W$6:$W$505,L$3,実績!$AI$6:$AI$505,"&lt;="&amp;$A88,実績!$AJ$6:$AJ$505,"&gt;"&amp;$A88,実績!$AK$6:$AK$505,"○")&gt;0,1,0))</f>
        <v>0</v>
      </c>
      <c r="M88" s="39" t="n">
        <f aca="false">IF(M$4=0,0,IF(COUNTIFS(実績!$W$6:$W$505,M$3,実績!$AI$6:$AI$505,"&lt;="&amp;$A88,実績!$AJ$6:$AJ$505,"&gt;"&amp;$A88,実績!$AK$6:$AK$505,"○")&gt;0,1,0))</f>
        <v>0</v>
      </c>
      <c r="N88" s="39" t="n">
        <f aca="false">IF(N$4=0,0,IF(COUNTIFS(実績!$W$6:$W$505,N$3,実績!$AI$6:$AI$505,"&lt;="&amp;$A88,実績!$AJ$6:$AJ$505,"&gt;"&amp;$A88,実績!$AK$6:$AK$505,"○")&gt;0,1,0))</f>
        <v>0</v>
      </c>
      <c r="O88" s="39" t="n">
        <f aca="false">IF(O$4=0,0,IF(COUNTIFS(実績!$W$6:$W$505,O$3,実績!$AI$6:$AI$505,"&lt;="&amp;$A88,実績!$AJ$6:$AJ$505,"&gt;"&amp;$A88,実績!$AK$6:$AK$505,"○")&gt;0,1,0))</f>
        <v>0</v>
      </c>
      <c r="P88" s="39" t="n">
        <f aca="false">IF(P$4=0,0,IF(COUNTIFS(実績!$W$6:$W$505,P$3,実績!$AI$6:$AI$505,"&lt;="&amp;$A88,実績!$AJ$6:$AJ$505,"&gt;"&amp;$A88,実績!$AK$6:$AK$505,"○")&gt;0,1,0))</f>
        <v>0</v>
      </c>
      <c r="Q88" s="39" t="n">
        <f aca="false">IF(Q$4=0,0,IF(COUNTIFS(実績!$W$6:$W$505,Q$3,実績!$AI$6:$AI$505,"&lt;="&amp;$A88,実績!$AJ$6:$AJ$505,"&gt;"&amp;$A88,実績!$AK$6:$AK$505,"○")&gt;0,1,0))</f>
        <v>0</v>
      </c>
      <c r="R88" s="39" t="n">
        <f aca="false">IF(R$4=0,0,IF(COUNTIFS(実績!$W$6:$W$505,R$3,実績!$AI$6:$AI$505,"&lt;="&amp;$A88,実績!$AJ$6:$AJ$505,"&gt;"&amp;$A88,実績!$AK$6:$AK$505,"○")&gt;0,1,0))</f>
        <v>0</v>
      </c>
      <c r="S88" s="39" t="n">
        <f aca="false">IF(S$4=0,0,IF(COUNTIFS(実績!$W$6:$W$505,S$3,実績!$AI$6:$AI$505,"&lt;="&amp;$A88,実績!$AJ$6:$AJ$505,"&gt;"&amp;$A88,実績!$AK$6:$AK$505,"○")&gt;0,1,0))</f>
        <v>0</v>
      </c>
      <c r="T88" s="39" t="n">
        <f aca="false">IF(T$4=0,0,IF(COUNTIFS(実績!$W$6:$W$505,T$3,実績!$AI$6:$AI$505,"&lt;="&amp;$A88,実績!$AJ$6:$AJ$505,"&gt;"&amp;$A88,実績!$AK$6:$AK$505,"○")&gt;0,1,0))</f>
        <v>0</v>
      </c>
      <c r="U88" s="39" t="n">
        <f aca="false">IF(U$4=0,0,IF(COUNTIFS(実績!$W$6:$W$505,U$3,実績!$AI$6:$AI$505,"&lt;="&amp;$A88,実績!$AJ$6:$AJ$505,"&gt;"&amp;$A88,実績!$AK$6:$AK$505,"○")&gt;0,1,0))</f>
        <v>0</v>
      </c>
      <c r="V88" s="39" t="n">
        <f aca="false">IF(V$4=0,0,IF(COUNTIFS(実績!$W$6:$W$505,V$3,実績!$AI$6:$AI$505,"&lt;="&amp;$A88,実績!$AJ$6:$AJ$505,"&gt;"&amp;$A88,実績!$AK$6:$AK$505,"○")&gt;0,1,0))</f>
        <v>0</v>
      </c>
      <c r="W88" s="39" t="n">
        <f aca="false">IF(W$4=0,0,IF(COUNTIFS(実績!$W$6:$W$505,W$3,実績!$AI$6:$AI$505,"&lt;="&amp;$A88,実績!$AJ$6:$AJ$505,"&gt;"&amp;$A88,実績!$AK$6:$AK$505,"○")&gt;0,1,0))</f>
        <v>0</v>
      </c>
      <c r="X88" s="39" t="n">
        <f aca="false">IF(X$4=0,0,IF(COUNTIFS(実績!$W$6:$W$505,X$3,実績!$AI$6:$AI$505,"&lt;="&amp;$A88,実績!$AJ$6:$AJ$505,"&gt;"&amp;$A88,実績!$AK$6:$AK$505,"○")&gt;0,1,0))</f>
        <v>0</v>
      </c>
      <c r="Y88" s="39" t="n">
        <f aca="false">IF(Y$4=0,0,IF(COUNTIFS(実績!$W$6:$W$505,Y$3,実績!$AI$6:$AI$505,"&lt;="&amp;$A88,実績!$AJ$6:$AJ$505,"&gt;"&amp;$A88,実績!$AK$6:$AK$505,"○")&gt;0,1,0))</f>
        <v>0</v>
      </c>
      <c r="Z88" s="39" t="n">
        <f aca="false">IF(Z$4=0,0,IF(COUNTIFS(実績!$W$6:$W$505,Z$3,実績!$AI$6:$AI$505,"&lt;="&amp;$A88,実績!$AJ$6:$AJ$505,"&gt;"&amp;$A88,実績!$AK$6:$AK$505,"○")&gt;0,1,0))</f>
        <v>0</v>
      </c>
      <c r="AA88" s="39" t="n">
        <f aca="false">IF(AA$4=0,0,IF(COUNTIFS(実績!$W$6:$W$505,AA$3,実績!$AI$6:$AI$505,"&lt;="&amp;$A88,実績!$AJ$6:$AJ$505,"&gt;"&amp;$A88,実績!$AK$6:$AK$505,"○")&gt;0,1,0))</f>
        <v>0</v>
      </c>
      <c r="AB88" s="39" t="n">
        <f aca="false">IF(AB$4=0,0,IF(COUNTIFS(実績!$W$6:$W$505,AB$3,実績!$AI$6:$AI$505,"&lt;="&amp;$A88,実績!$AJ$6:$AJ$505,"&gt;"&amp;$A88,実績!$AK$6:$AK$505,"○")&gt;0,1,0))</f>
        <v>0</v>
      </c>
      <c r="AC88" s="39" t="n">
        <f aca="false">IF(AC$4=0,0,IF(COUNTIFS(実績!$W$6:$W$505,AC$3,実績!$AI$6:$AI$505,"&lt;="&amp;$A88,実績!$AJ$6:$AJ$505,"&gt;"&amp;$A88,実績!$AK$6:$AK$505,"○")&gt;0,1,0))</f>
        <v>0</v>
      </c>
      <c r="AD88" s="39" t="n">
        <f aca="false">IF(AD$4=0,0,IF(COUNTIFS(実績!$W$6:$W$505,AD$3,実績!$AI$6:$AI$505,"&lt;="&amp;$A88,実績!$AJ$6:$AJ$505,"&gt;"&amp;$A88,実績!$AK$6:$AK$505,"○")&gt;0,1,0))</f>
        <v>0</v>
      </c>
      <c r="AE88" s="39" t="n">
        <f aca="false">IF(AE$4=0,0,IF(COUNTIFS(実績!$W$6:$W$505,AE$3,実績!$AI$6:$AI$505,"&lt;="&amp;$A88,実績!$AJ$6:$AJ$505,"&gt;"&amp;$A88,実績!$AK$6:$AK$505,"○")&gt;0,1,0))</f>
        <v>0</v>
      </c>
      <c r="AF88" s="39" t="n">
        <f aca="false">IF(AF$4=0,0,IF(COUNTIFS(実績!$W$6:$W$505,AF$3,実績!$AI$6:$AI$505,"&lt;="&amp;$A88,実績!$AJ$6:$AJ$505,"&gt;"&amp;$A88,実績!$AK$6:$AK$505,"○")&gt;0,1,0))</f>
        <v>0</v>
      </c>
      <c r="AG88" s="39" t="n">
        <f aca="false">IF(AG$4=0,0,IF(COUNTIFS(実績!$W$6:$W$505,AG$3,実績!$AI$6:$AI$505,"&lt;="&amp;$A88,実績!$AJ$6:$AJ$505,"&gt;"&amp;$A88,実績!$AK$6:$AK$505,"○")&gt;0,1,0))</f>
        <v>0</v>
      </c>
      <c r="AH88" s="39" t="n">
        <f aca="false">IF(AH$4=0,0,IF(COUNTIFS(実績!$W$6:$W$505,AH$3,実績!$AI$6:$AI$505,"&lt;="&amp;$A88,実績!$AJ$6:$AJ$505,"&gt;"&amp;$A88,実績!$AK$6:$AK$505,"○")&gt;0,1,0))</f>
        <v>0</v>
      </c>
      <c r="AI88" s="39" t="n">
        <f aca="false">IF(AI$4=0,0,IF(COUNTIFS(実績!$W$6:$W$505,AI$3,実績!$AI$6:$AI$505,"&lt;="&amp;$A88,実績!$AJ$6:$AJ$505,"&gt;"&amp;$A88,実績!$AK$6:$AK$505,"○")&gt;0,1,0))</f>
        <v>0</v>
      </c>
      <c r="AJ88" s="39" t="n">
        <f aca="false">IF(AJ$4=0,0,IF(COUNTIFS(実績!$W$6:$W$505,AJ$3,実績!$AI$6:$AI$505,"&lt;="&amp;$A88,実績!$AJ$6:$AJ$505,"&gt;"&amp;$A88,実績!$AK$6:$AK$505,"○")&gt;0,1,0))</f>
        <v>0</v>
      </c>
      <c r="AK88" s="39" t="n">
        <f aca="false">IF(AK$4=0,0,IF(COUNTIFS(実績!$W$6:$W$505,AK$3,実績!$AI$6:$AI$505,"&lt;="&amp;$A88,実績!$AJ$6:$AJ$505,"&gt;"&amp;$A88,実績!$AK$6:$AK$505,"○")&gt;0,1,0))</f>
        <v>0</v>
      </c>
      <c r="AL88" s="39" t="n">
        <f aca="false">IF(AL$4=0,0,IF(COUNTIFS(実績!$W$6:$W$505,AL$3,実績!$AI$6:$AI$505,"&lt;="&amp;$A88,実績!$AJ$6:$AJ$505,"&gt;"&amp;$A88,実績!$AK$6:$AK$505,"○")&gt;0,1,0))</f>
        <v>0</v>
      </c>
      <c r="AM88" s="39" t="n">
        <f aca="false">IF(AM$4=0,0,IF(COUNTIFS(実績!$W$6:$W$505,AM$3,実績!$AI$6:$AI$505,"&lt;="&amp;$A88,実績!$AJ$6:$AJ$505,"&gt;"&amp;$A88,実績!$AK$6:$AK$505,"○")&gt;0,1,0))</f>
        <v>0</v>
      </c>
      <c r="AN88" s="39" t="n">
        <f aca="false">IF(AN$4=0,0,IF(COUNTIFS(実績!$W$6:$W$505,AN$3,実績!$AI$6:$AI$505,"&lt;="&amp;$A88,実績!$AJ$6:$AJ$505,"&gt;"&amp;$A88,実績!$AK$6:$AK$505,"○")&gt;0,1,0))</f>
        <v>0</v>
      </c>
      <c r="AO88" s="39" t="n">
        <f aca="false">IF(AO$4=0,0,IF(COUNTIFS(実績!$W$6:$W$505,AO$3,実績!$AI$6:$AI$505,"&lt;="&amp;$A88,実績!$AJ$6:$AJ$505,"&gt;"&amp;$A88,実績!$AK$6:$AK$505,"○")&gt;0,1,0))</f>
        <v>0</v>
      </c>
      <c r="AP88" s="39" t="n">
        <f aca="false">IF(AP$4=0,0,IF(COUNTIFS(実績!$W$6:$W$505,AP$3,実績!$AI$6:$AI$505,"&lt;="&amp;$A88,実績!$AJ$6:$AJ$505,"&gt;"&amp;$A88,実績!$AK$6:$AK$505,"○")&gt;0,1,0))</f>
        <v>0</v>
      </c>
      <c r="AQ88" s="39" t="n">
        <f aca="false">IF(AQ$4=0,0,IF(COUNTIFS(実績!$W$6:$W$505,AQ$3,実績!$AI$6:$AI$505,"&lt;="&amp;$A88,実績!$AJ$6:$AJ$505,"&gt;"&amp;$A88,実績!$AK$6:$AK$505,"○")&gt;0,1,0))</f>
        <v>0</v>
      </c>
      <c r="AR88" s="39" t="n">
        <f aca="false">IF(AR$4=0,0,IF(COUNTIFS(実績!$W$6:$W$505,AR$3,実績!$AI$6:$AI$505,"&lt;="&amp;$A88,実績!$AJ$6:$AJ$505,"&gt;"&amp;$A88,実績!$AK$6:$AK$505,"○")&gt;0,1,0))</f>
        <v>0</v>
      </c>
      <c r="AS88" s="39" t="n">
        <f aca="false">IF(AS$4=0,0,IF(COUNTIFS(実績!$W$6:$W$505,AS$3,実績!$AI$6:$AI$505,"&lt;="&amp;$A88,実績!$AJ$6:$AJ$505,"&gt;"&amp;$A88,実績!$AK$6:$AK$505,"○")&gt;0,1,0))</f>
        <v>0</v>
      </c>
      <c r="AT88" s="39" t="n">
        <f aca="false">IF(AT$4=0,0,IF(COUNTIFS(実績!$W$6:$W$505,AT$3,実績!$AI$6:$AI$505,"&lt;="&amp;$A88,実績!$AJ$6:$AJ$505,"&gt;"&amp;$A88,実績!$AK$6:$AK$505,"○")&gt;0,1,0))</f>
        <v>0</v>
      </c>
      <c r="AU88" s="39" t="n">
        <f aca="false">IF(AU$4=0,0,IF(COUNTIFS(実績!$W$6:$W$505,AU$3,実績!$AI$6:$AI$505,"&lt;="&amp;$A88,実績!$AJ$6:$AJ$505,"&gt;"&amp;$A88,実績!$AK$6:$AK$505,"○")&gt;0,1,0))</f>
        <v>0</v>
      </c>
      <c r="AV88" s="39" t="n">
        <f aca="false">IF(AV$4=0,0,IF(COUNTIFS(実績!$W$6:$W$505,AV$3,実績!$AI$6:$AI$505,"&lt;="&amp;$A88,実績!$AJ$6:$AJ$505,"&gt;"&amp;$A88,実績!$AK$6:$AK$505,"○")&gt;0,1,0))</f>
        <v>0</v>
      </c>
      <c r="AW88" s="39" t="n">
        <f aca="false">IF(AW$4=0,0,IF(COUNTIFS(実績!$W$6:$W$505,AW$3,実績!$AI$6:$AI$505,"&lt;="&amp;$A88,実績!$AJ$6:$AJ$505,"&gt;"&amp;$A88,実績!$AK$6:$AK$505,"○")&gt;0,1,0))</f>
        <v>0</v>
      </c>
      <c r="AX88" s="39" t="n">
        <f aca="false">IF(AX$4=0,0,IF(COUNTIFS(実績!$W$6:$W$505,AX$3,実績!$AI$6:$AI$505,"&lt;="&amp;$A88,実績!$AJ$6:$AJ$505,"&gt;"&amp;$A88,実績!$AK$6:$AK$505,"○")&gt;0,1,0))</f>
        <v>0</v>
      </c>
      <c r="AY88" s="39" t="n">
        <f aca="false">IF(AY$4=0,0,IF(COUNTIFS(実績!$W$6:$W$505,AY$3,実績!$AI$6:$AI$505,"&lt;="&amp;$A88,実績!$AJ$6:$AJ$505,"&gt;"&amp;$A88,実績!$AK$6:$AK$505,"○")&gt;0,1,0))</f>
        <v>0</v>
      </c>
      <c r="AZ88" s="39" t="n">
        <f aca="false">IF(AZ$4=0,0,IF(COUNTIFS(実績!$W$6:$W$505,AZ$3,実績!$AI$6:$AI$505,"&lt;="&amp;$A88,実績!$AJ$6:$AJ$505,"&gt;"&amp;$A88,実績!$AK$6:$AK$505,"○")&gt;0,1,0))</f>
        <v>0</v>
      </c>
      <c r="BA88" s="39" t="n">
        <f aca="false">IF(BA$4=0,0,IF(COUNTIFS(実績!$W$6:$W$505,BA$3,実績!$AI$6:$AI$505,"&lt;="&amp;$A88,実績!$AJ$6:$AJ$505,"&gt;"&amp;$A88,実績!$AK$6:$AK$505,"○")&gt;0,1,0))</f>
        <v>0</v>
      </c>
      <c r="BB88" s="39" t="n">
        <f aca="false">IF(BB$4=0,0,IF(COUNTIFS(実績!$W$6:$W$505,BB$3,実績!$AI$6:$AI$505,"&lt;="&amp;$A88,実績!$AJ$6:$AJ$505,"&gt;"&amp;$A88,実績!$AK$6:$AK$505,"○")&gt;0,1,0))</f>
        <v>0</v>
      </c>
      <c r="BC88" s="39" t="n">
        <f aca="false">IF(BC$4=0,0,IF(COUNTIFS(実績!$W$6:$W$505,BC$3,実績!$AI$6:$AI$505,"&lt;="&amp;$A88,実績!$AJ$6:$AJ$505,"&gt;"&amp;$A88,実績!$AK$6:$AK$505,"○")&gt;0,1,0))</f>
        <v>0</v>
      </c>
      <c r="BD88" s="39" t="n">
        <f aca="false">IF(BD$4=0,0,IF(COUNTIFS(実績!$W$6:$W$505,BD$3,実績!$AI$6:$AI$505,"&lt;="&amp;$A88,実績!$AJ$6:$AJ$505,"&gt;"&amp;$A88,実績!$AK$6:$AK$505,"○")&gt;0,1,0))</f>
        <v>0</v>
      </c>
      <c r="BE88" s="39" t="n">
        <f aca="false">IF(BE$4=0,0,IF(COUNTIFS(実績!$W$6:$W$505,BE$3,実績!$AI$6:$AI$505,"&lt;="&amp;$A88,実績!$AJ$6:$AJ$505,"&gt;"&amp;$A88,実績!$AK$6:$AK$505,"○")&gt;0,1,0))</f>
        <v>0</v>
      </c>
      <c r="BF88" s="39" t="n">
        <f aca="false">IF(BF$4=0,0,IF(COUNTIFS(実績!$W$6:$W$505,BF$3,実績!$AI$6:$AI$505,"&lt;="&amp;$A88,実績!$AJ$6:$AJ$505,"&gt;"&amp;$A88,実績!$AK$6:$AK$505,"○")&gt;0,1,0))</f>
        <v>0</v>
      </c>
      <c r="BG88" s="39" t="n">
        <f aca="false">IF(BG$4=0,0,IF(COUNTIFS(実績!$W$6:$W$505,BG$3,実績!$AI$6:$AI$505,"&lt;="&amp;$A88,実績!$AJ$6:$AJ$505,"&gt;"&amp;$A88,実績!$AK$6:$AK$505,"○")&gt;0,1,0))</f>
        <v>0</v>
      </c>
      <c r="BH88" s="39" t="n">
        <f aca="false">IF(BH$4=0,0,IF(COUNTIFS(実績!$W$6:$W$505,BH$3,実績!$AI$6:$AI$505,"&lt;="&amp;$A88,実績!$AJ$6:$AJ$505,"&gt;"&amp;$A88,実績!$AK$6:$AK$505,"○")&gt;0,1,0))</f>
        <v>0</v>
      </c>
      <c r="BI88" s="39" t="n">
        <f aca="false">IF(BI$4=0,0,IF(COUNTIFS(実績!$W$6:$W$505,BI$3,実績!$AI$6:$AI$505,"&lt;="&amp;$A88,実績!$AJ$6:$AJ$505,"&gt;"&amp;$A88,実績!$AK$6:$AK$505,"○")&gt;0,1,0))</f>
        <v>0</v>
      </c>
      <c r="BJ88" s="39" t="n">
        <f aca="false">IF(BJ$4=0,0,IF(COUNTIFS(実績!$W$6:$W$505,BJ$3,実績!$AI$6:$AI$505,"&lt;="&amp;$A88,実績!$AJ$6:$AJ$505,"&gt;"&amp;$A88,実績!$AK$6:$AK$505,"○")&gt;0,1,0))</f>
        <v>0</v>
      </c>
      <c r="BK88" s="39" t="n">
        <f aca="false">IF(BK$4=0,0,IF(COUNTIFS(実績!$W$6:$W$505,BK$3,実績!$AI$6:$AI$505,"&lt;="&amp;$A88,実績!$AJ$6:$AJ$505,"&gt;"&amp;$A88,実績!$AK$6:$AK$505,"○")&gt;0,1,0))</f>
        <v>0</v>
      </c>
      <c r="BL88" s="39" t="n">
        <f aca="false">IF(BL$4=0,0,IF(COUNTIFS(実績!$W$6:$W$505,BL$3,実績!$AI$6:$AI$505,"&lt;="&amp;$A88,実績!$AJ$6:$AJ$505,"&gt;"&amp;$A88,実績!$AK$6:$AK$505,"○")&gt;0,1,0))</f>
        <v>0</v>
      </c>
      <c r="BM88" s="39" t="n">
        <f aca="false">IF(BM$4=0,0,IF(COUNTIFS(実績!$W$6:$W$505,BM$3,実績!$AI$6:$AI$505,"&lt;="&amp;$A88,実績!$AJ$6:$AJ$505,"&gt;"&amp;$A88,実績!$AK$6:$AK$505,"○")&gt;0,1,0))</f>
        <v>0</v>
      </c>
      <c r="BN88" s="39" t="n">
        <f aca="false">IF(BN$4=0,0,IF(COUNTIFS(実績!$W$6:$W$505,BN$3,実績!$AI$6:$AI$505,"&lt;="&amp;$A88,実績!$AJ$6:$AJ$505,"&gt;"&amp;$A88,実績!$AK$6:$AK$505,"○")&gt;0,1,0))</f>
        <v>0</v>
      </c>
      <c r="BO88" s="39" t="n">
        <f aca="false">IF(BO$4=0,0,IF(COUNTIFS(実績!$W$6:$W$505,BO$3,実績!$AI$6:$AI$505,"&lt;="&amp;$A88,実績!$AJ$6:$AJ$505,"&gt;"&amp;$A88,実績!$AK$6:$AK$505,"○")&gt;0,1,0))</f>
        <v>0</v>
      </c>
      <c r="BP88" s="39" t="n">
        <f aca="false">IF(BP$4=0,0,IF(COUNTIFS(実績!$W$6:$W$505,BP$3,実績!$AI$6:$AI$505,"&lt;="&amp;$A88,実績!$AJ$6:$AJ$505,"&gt;"&amp;$A88,実績!$AK$6:$AK$505,"○")&gt;0,1,0))</f>
        <v>0</v>
      </c>
      <c r="BQ88" s="39" t="n">
        <f aca="false">IF(BQ$4=0,0,IF(COUNTIFS(実績!$W$6:$W$505,BQ$3,実績!$AI$6:$AI$505,"&lt;="&amp;$A88,実績!$AJ$6:$AJ$505,"&gt;"&amp;$A88,実績!$AK$6:$AK$505,"○")&gt;0,1,0))</f>
        <v>0</v>
      </c>
      <c r="BR88" s="39" t="n">
        <f aca="false">IF(BR$4=0,0,IF(COUNTIFS(実績!$W$6:$W$505,BR$3,実績!$AI$6:$AI$505,"&lt;="&amp;$A88,実績!$AJ$6:$AJ$505,"&gt;"&amp;$A88,実績!$AK$6:$AK$505,"○")&gt;0,1,0))</f>
        <v>0</v>
      </c>
      <c r="BS88" s="39" t="n">
        <f aca="false">IF(BS$4=0,0,IF(COUNTIFS(実績!$W$6:$W$505,BS$3,実績!$AI$6:$AI$505,"&lt;="&amp;$A88,実績!$AJ$6:$AJ$505,"&gt;"&amp;$A88,実績!$AK$6:$AK$505,"○")&gt;0,1,0))</f>
        <v>0</v>
      </c>
      <c r="BT88" s="39" t="n">
        <f aca="false">IF(BT$4=0,0,IF(COUNTIFS(実績!$W$6:$W$505,BT$3,実績!$AI$6:$AI$505,"&lt;="&amp;$A88,実績!$AJ$6:$AJ$505,"&gt;"&amp;$A88,実績!$AK$6:$AK$505,"○")&gt;0,1,0))</f>
        <v>0</v>
      </c>
      <c r="BU88" s="39" t="n">
        <f aca="false">IF(BU$4=0,0,IF(COUNTIFS(実績!$W$6:$W$505,BU$3,実績!$AI$6:$AI$505,"&lt;="&amp;$A88,実績!$AJ$6:$AJ$505,"&gt;"&amp;$A88,実績!$AK$6:$AK$505,"○")&gt;0,1,0))</f>
        <v>0</v>
      </c>
      <c r="BV88" s="39" t="n">
        <f aca="false">IF(BV$4=0,0,IF(COUNTIFS(実績!$W$6:$W$505,BV$3,実績!$AI$6:$AI$505,"&lt;="&amp;$A88,実績!$AJ$6:$AJ$505,"&gt;"&amp;$A88,実績!$AK$6:$AK$505,"○")&gt;0,1,0))</f>
        <v>0</v>
      </c>
      <c r="BW88" s="39" t="n">
        <f aca="false">IF(BW$4=0,0,IF(COUNTIFS(実績!$W$6:$W$505,BW$3,実績!$AI$6:$AI$505,"&lt;="&amp;$A88,実績!$AJ$6:$AJ$505,"&gt;"&amp;$A88,実績!$AK$6:$AK$505,"○")&gt;0,1,0))</f>
        <v>0</v>
      </c>
      <c r="BX88" s="39" t="n">
        <f aca="false">IF(BX$4=0,0,IF(COUNTIFS(実績!$W$6:$W$505,BX$3,実績!$AI$6:$AI$505,"&lt;="&amp;$A88,実績!$AJ$6:$AJ$505,"&gt;"&amp;$A88,実績!$AK$6:$AK$505,"○")&gt;0,1,0))</f>
        <v>0</v>
      </c>
      <c r="BY88" s="39" t="n">
        <f aca="false">IF(BY$4=0,0,IF(COUNTIFS(実績!$W$6:$W$505,BY$3,実績!$AI$6:$AI$505,"&lt;="&amp;$A88,実績!$AJ$6:$AJ$505,"&gt;"&amp;$A88,実績!$AK$6:$AK$505,"○")&gt;0,1,0))</f>
        <v>0</v>
      </c>
      <c r="BZ88" s="39" t="n">
        <f aca="false">IF(BZ$4=0,0,IF(COUNTIFS(実績!$W$6:$W$505,BZ$3,実績!$AI$6:$AI$505,"&lt;="&amp;$A88,実績!$AJ$6:$AJ$505,"&gt;"&amp;$A88,実績!$AK$6:$AK$505,"○")&gt;0,1,0))</f>
        <v>0</v>
      </c>
      <c r="CA88" s="39" t="n">
        <f aca="false">IF(CA$4=0,0,IF(COUNTIFS(実績!$W$6:$W$505,CA$3,実績!$AI$6:$AI$505,"&lt;="&amp;$A88,実績!$AJ$6:$AJ$505,"&gt;"&amp;$A88,実績!$AK$6:$AK$505,"○")&gt;0,1,0))</f>
        <v>0</v>
      </c>
      <c r="CB88" s="39" t="n">
        <f aca="false">IF(CB$4=0,0,IF(COUNTIFS(実績!$W$6:$W$505,CB$3,実績!$AI$6:$AI$505,"&lt;="&amp;$A88,実績!$AJ$6:$AJ$505,"&gt;"&amp;$A88,実績!$AK$6:$AK$505,"○")&gt;0,1,0))</f>
        <v>0</v>
      </c>
      <c r="CC88" s="39" t="n">
        <f aca="false">IF(CC$4=0,0,IF(COUNTIFS(実績!$W$6:$W$505,CC$3,実績!$AI$6:$AI$505,"&lt;="&amp;$A88,実績!$AJ$6:$AJ$505,"&gt;"&amp;$A88,実績!$AK$6:$AK$505,"○")&gt;0,1,0))</f>
        <v>0</v>
      </c>
      <c r="CD88" s="39" t="n">
        <f aca="false">IF(CD$4=0,0,IF(COUNTIFS(実績!$W$6:$W$505,CD$3,実績!$AI$6:$AI$505,"&lt;="&amp;$A88,実績!$AJ$6:$AJ$505,"&gt;"&amp;$A88,実績!$AK$6:$AK$505,"○")&gt;0,1,0))</f>
        <v>0</v>
      </c>
      <c r="CE88" s="39" t="n">
        <f aca="false">IF(CE$4=0,0,IF(COUNTIFS(実績!$W$6:$W$505,CE$3,実績!$AI$6:$AI$505,"&lt;="&amp;$A88,実績!$AJ$6:$AJ$505,"&gt;"&amp;$A88,実績!$AK$6:$AK$505,"○")&gt;0,1,0))</f>
        <v>0</v>
      </c>
      <c r="CF88" s="39" t="n">
        <f aca="false">IF(CF$4=0,0,IF(COUNTIFS(実績!$W$6:$W$505,CF$3,実績!$AI$6:$AI$505,"&lt;="&amp;$A88,実績!$AJ$6:$AJ$505,"&gt;"&amp;$A88,実績!$AK$6:$AK$505,"○")&gt;0,1,0))</f>
        <v>0</v>
      </c>
      <c r="CG88" s="39" t="n">
        <f aca="false">IF(CG$4=0,0,IF(COUNTIFS(実績!$W$6:$W$505,CG$3,実績!$AI$6:$AI$505,"&lt;="&amp;$A88,実績!$AJ$6:$AJ$505,"&gt;"&amp;$A88,実績!$AK$6:$AK$505,"○")&gt;0,1,0))</f>
        <v>0</v>
      </c>
      <c r="CH88" s="39" t="n">
        <f aca="false">IF(CH$4=0,0,IF(COUNTIFS(実績!$W$6:$W$505,CH$3,実績!$AI$6:$AI$505,"&lt;="&amp;$A88,実績!$AJ$6:$AJ$505,"&gt;"&amp;$A88,実績!$AK$6:$AK$505,"○")&gt;0,1,0))</f>
        <v>0</v>
      </c>
      <c r="CI88" s="39" t="n">
        <f aca="false">IF(CI$4=0,0,IF(COUNTIFS(実績!$W$6:$W$505,CI$3,実績!$AI$6:$AI$505,"&lt;="&amp;$A88,実績!$AJ$6:$AJ$505,"&gt;"&amp;$A88,実績!$AK$6:$AK$505,"○")&gt;0,1,0))</f>
        <v>0</v>
      </c>
      <c r="CJ88" s="39" t="n">
        <f aca="false">IF(CJ$4=0,0,IF(COUNTIFS(実績!$W$6:$W$505,CJ$3,実績!$AI$6:$AI$505,"&lt;="&amp;$A88,実績!$AJ$6:$AJ$505,"&gt;"&amp;$A88,実績!$AK$6:$AK$505,"○")&gt;0,1,0))</f>
        <v>0</v>
      </c>
      <c r="CK88" s="39" t="n">
        <f aca="false">IF(CK$4=0,0,IF(COUNTIFS(実績!$W$6:$W$505,CK$3,実績!$AI$6:$AI$505,"&lt;="&amp;$A88,実績!$AJ$6:$AJ$505,"&gt;"&amp;$A88,実績!$AK$6:$AK$505,"○")&gt;0,1,0))</f>
        <v>0</v>
      </c>
      <c r="CL88" s="39" t="n">
        <f aca="false">IF(CL$4=0,0,IF(COUNTIFS(実績!$W$6:$W$505,CL$3,実績!$AI$6:$AI$505,"&lt;="&amp;$A88,実績!$AJ$6:$AJ$505,"&gt;"&amp;$A88,実績!$AK$6:$AK$505,"○")&gt;0,1,0))</f>
        <v>0</v>
      </c>
      <c r="CM88" s="39" t="n">
        <f aca="false">IF(CM$4=0,0,IF(COUNTIFS(実績!$W$6:$W$505,CM$3,実績!$AI$6:$AI$505,"&lt;="&amp;$A88,実績!$AJ$6:$AJ$505,"&gt;"&amp;$A88,実績!$AK$6:$AK$505,"○")&gt;0,1,0))</f>
        <v>0</v>
      </c>
      <c r="CN88" s="39" t="n">
        <f aca="false">IF(CN$4=0,0,IF(COUNTIFS(実績!$W$6:$W$505,CN$3,実績!$AI$6:$AI$505,"&lt;="&amp;$A88,実績!$AJ$6:$AJ$505,"&gt;"&amp;$A88,実績!$AK$6:$AK$505,"○")&gt;0,1,0))</f>
        <v>0</v>
      </c>
      <c r="CO88" s="39" t="n">
        <f aca="false">IF(CO$4=0,0,IF(COUNTIFS(実績!$W$6:$W$505,CO$3,実績!$AI$6:$AI$505,"&lt;="&amp;$A88,実績!$AJ$6:$AJ$505,"&gt;"&amp;$A88,実績!$AK$6:$AK$505,"○")&gt;0,1,0))</f>
        <v>0</v>
      </c>
      <c r="CP88" s="39" t="n">
        <f aca="false">IF(CP$4=0,0,IF(COUNTIFS(実績!$W$6:$W$505,CP$3,実績!$AI$6:$AI$505,"&lt;="&amp;$A88,実績!$AJ$6:$AJ$505,"&gt;"&amp;$A88,実績!$AK$6:$AK$505,"○")&gt;0,1,0))</f>
        <v>0</v>
      </c>
      <c r="CQ88" s="39" t="n">
        <f aca="false">IF(CQ$4=0,0,IF(COUNTIFS(実績!$W$6:$W$505,CQ$3,実績!$AI$6:$AI$505,"&lt;="&amp;$A88,実績!$AJ$6:$AJ$505,"&gt;"&amp;$A88,実績!$AK$6:$AK$505,"○")&gt;0,1,0))</f>
        <v>0</v>
      </c>
      <c r="CR88" s="39" t="n">
        <f aca="false">IF(CR$4=0,0,IF(COUNTIFS(実績!$W$6:$W$505,CR$3,実績!$AI$6:$AI$505,"&lt;="&amp;$A88,実績!$AJ$6:$AJ$505,"&gt;"&amp;$A88,実績!$AK$6:$AK$505,"○")&gt;0,1,0))</f>
        <v>0</v>
      </c>
      <c r="CS88" s="39" t="n">
        <f aca="false">IF(CS$4=0,0,IF(COUNTIFS(実績!$W$6:$W$505,CS$3,実績!$AI$6:$AI$505,"&lt;="&amp;$A88,実績!$AJ$6:$AJ$505,"&gt;"&amp;$A88,実績!$AK$6:$AK$505,"○")&gt;0,1,0))</f>
        <v>0</v>
      </c>
      <c r="CT88" s="39" t="n">
        <f aca="false">IF(CT$4=0,0,IF(COUNTIFS(実績!$W$6:$W$505,CT$3,実績!$AI$6:$AI$505,"&lt;="&amp;$A88,実績!$AJ$6:$AJ$505,"&gt;"&amp;$A88,実績!$AK$6:$AK$505,"○")&gt;0,1,0))</f>
        <v>0</v>
      </c>
      <c r="CU88" s="39" t="n">
        <f aca="false">IF(CU$4=0,0,IF(COUNTIFS(実績!$W$6:$W$505,CU$3,実績!$AI$6:$AI$505,"&lt;="&amp;$A88,実績!$AJ$6:$AJ$505,"&gt;"&amp;$A88,実績!$AK$6:$AK$505,"○")&gt;0,1,0))</f>
        <v>0</v>
      </c>
      <c r="CV88" s="39" t="n">
        <f aca="false">IF(CV$4=0,0,IF(COUNTIFS(実績!$W$6:$W$505,CV$3,実績!$AI$6:$AI$505,"&lt;="&amp;$A88,実績!$AJ$6:$AJ$505,"&gt;"&amp;$A88,実績!$AK$6:$AK$505,"○")&gt;0,1,0))</f>
        <v>0</v>
      </c>
      <c r="CW88" s="39" t="n">
        <f aca="false">IF(CW$4=0,0,IF(COUNTIFS(実績!$W$6:$W$505,CW$3,実績!$AI$6:$AI$505,"&lt;="&amp;$A88,実績!$AJ$6:$AJ$505,"&gt;"&amp;$A88,実績!$AK$6:$AK$505,"○")&gt;0,1,0))</f>
        <v>0</v>
      </c>
      <c r="CX88" s="39" t="n">
        <f aca="false">IF(CX$4=0,0,IF(COUNTIFS(実績!$W$6:$W$505,CX$3,実績!$AI$6:$AI$505,"&lt;="&amp;$A88,実績!$AJ$6:$AJ$505,"&gt;"&amp;$A88,実績!$AK$6:$AK$505,"○")&gt;0,1,0))</f>
        <v>0</v>
      </c>
      <c r="CY88" s="39" t="n">
        <f aca="false">IF(CY$4=0,0,IF(COUNTIFS(実績!$W$6:$W$505,CY$3,実績!$AI$6:$AI$505,"&lt;="&amp;$A88,実績!$AJ$6:$AJ$505,"&gt;"&amp;$A88,実績!$AK$6:$AK$505,"○")&gt;0,1,0))</f>
        <v>0</v>
      </c>
      <c r="CZ88" s="39" t="n">
        <f aca="false">IF(CZ$4=0,0,IF(COUNTIFS(実績!$W$6:$W$505,CZ$3,実績!$AI$6:$AI$505,"&lt;="&amp;$A88,実績!$AJ$6:$AJ$505,"&gt;"&amp;$A88,実績!$AK$6:$AK$505,"○")&gt;0,1,0))</f>
        <v>0</v>
      </c>
      <c r="DA88" s="39" t="n">
        <f aca="false">IF(DA$4=0,0,IF(COUNTIFS(実績!$W$6:$W$505,DA$3,実績!$AI$6:$AI$505,"&lt;="&amp;$A88,実績!$AJ$6:$AJ$505,"&gt;"&amp;$A88,実績!$AK$6:$AK$505,"○")&gt;0,1,0))</f>
        <v>0</v>
      </c>
      <c r="DB88" s="39" t="n">
        <f aca="false">IF(DB$4=0,0,IF(COUNTIFS(実績!$W$6:$W$505,DB$3,実績!$AI$6:$AI$505,"&lt;="&amp;$A88,実績!$AJ$6:$AJ$505,"&gt;"&amp;$A88,実績!$AK$6:$AK$505,"○")&gt;0,1,0))</f>
        <v>0</v>
      </c>
      <c r="DC88" s="39" t="n">
        <f aca="false">IF(DC$4=0,0,IF(COUNTIFS(実績!$W$6:$W$505,DC$3,実績!$AI$6:$AI$505,"&lt;="&amp;$A88,実績!$AJ$6:$AJ$505,"&gt;"&amp;$A88,実績!$AK$6:$AK$505,"○")&gt;0,1,0))</f>
        <v>0</v>
      </c>
      <c r="DD88" s="39" t="n">
        <f aca="false">IF(DD$4=0,0,IF(COUNTIFS(実績!$W$6:$W$505,DD$3,実績!$AI$6:$AI$505,"&lt;="&amp;$A88,実績!$AJ$6:$AJ$505,"&gt;"&amp;$A88,実績!$AK$6:$AK$505,"○")&gt;0,1,0))</f>
        <v>0</v>
      </c>
      <c r="DE88" s="39" t="n">
        <f aca="false">IF(DE$4=0,0,IF(COUNTIFS(実績!$W$6:$W$505,DE$3,実績!$AI$6:$AI$505,"&lt;="&amp;$A88,実績!$AJ$6:$AJ$505,"&gt;"&amp;$A88,実績!$AK$6:$AK$505,"○")&gt;0,1,0))</f>
        <v>0</v>
      </c>
      <c r="DF88" s="39" t="n">
        <f aca="false">IF(DF$4=0,0,IF(COUNTIFS(実績!$W$6:$W$505,DF$3,実績!$AI$6:$AI$505,"&lt;="&amp;$A88,実績!$AJ$6:$AJ$505,"&gt;"&amp;$A88,実績!$AK$6:$AK$505,"○")&gt;0,1,0))</f>
        <v>0</v>
      </c>
      <c r="DG88" s="39" t="n">
        <f aca="false">IF(DG$4=0,0,IF(COUNTIFS(実績!$W$6:$W$505,DG$3,実績!$AI$6:$AI$505,"&lt;="&amp;$A88,実績!$AJ$6:$AJ$505,"&gt;"&amp;$A88,実績!$AK$6:$AK$505,"○")&gt;0,1,0))</f>
        <v>0</v>
      </c>
      <c r="DH88" s="39" t="n">
        <f aca="false">IF(DH$4=0,0,IF(COUNTIFS(実績!$W$6:$W$505,DH$3,実績!$AI$6:$AI$505,"&lt;="&amp;$A88,実績!$AJ$6:$AJ$505,"&gt;"&amp;$A88,実績!$AK$6:$AK$505,"○")&gt;0,1,0))</f>
        <v>0</v>
      </c>
      <c r="DI88" s="39" t="n">
        <f aca="false">IF(DI$4=0,0,IF(COUNTIFS(実績!$W$6:$W$505,DI$3,実績!$AI$6:$AI$505,"&lt;="&amp;$A88,実績!$AJ$6:$AJ$505,"&gt;"&amp;$A88,実績!$AK$6:$AK$505,"○")&gt;0,1,0))</f>
        <v>0</v>
      </c>
      <c r="DJ88" s="39" t="n">
        <f aca="false">IF(DJ$4=0,0,IF(COUNTIFS(実績!$W$6:$W$505,DJ$3,実績!$AI$6:$AI$505,"&lt;="&amp;$A88,実績!$AJ$6:$AJ$505,"&gt;"&amp;$A88,実績!$AK$6:$AK$505,"○")&gt;0,1,0))</f>
        <v>0</v>
      </c>
      <c r="DK88" s="39" t="n">
        <f aca="false">IF(DK$4=0,0,IF(COUNTIFS(実績!$W$6:$W$505,DK$3,実績!$AI$6:$AI$505,"&lt;="&amp;$A88,実績!$AJ$6:$AJ$505,"&gt;"&amp;$A88,実績!$AK$6:$AK$505,"○")&gt;0,1,0))</f>
        <v>0</v>
      </c>
      <c r="DL88" s="39" t="n">
        <f aca="false">IF(DL$4=0,0,IF(COUNTIFS(実績!$W$6:$W$505,DL$3,実績!$AI$6:$AI$505,"&lt;="&amp;$A88,実績!$AJ$6:$AJ$505,"&gt;"&amp;$A88,実績!$AK$6:$AK$505,"○")&gt;0,1,0))</f>
        <v>0</v>
      </c>
      <c r="DM88" s="39" t="n">
        <f aca="false">IF(DM$4=0,0,IF(COUNTIFS(実績!$W$6:$W$505,DM$3,実績!$AI$6:$AI$505,"&lt;="&amp;$A88,実績!$AJ$6:$AJ$505,"&gt;"&amp;$A88,実績!$AK$6:$AK$505,"○")&gt;0,1,0))</f>
        <v>0</v>
      </c>
      <c r="DN88" s="39" t="n">
        <f aca="false">IF(DN$4=0,0,IF(COUNTIFS(実績!$W$6:$W$505,DN$3,実績!$AI$6:$AI$505,"&lt;="&amp;$A88,実績!$AJ$6:$AJ$505,"&gt;"&amp;$A88,実績!$AK$6:$AK$505,"○")&gt;0,1,0))</f>
        <v>0</v>
      </c>
      <c r="DO88" s="39" t="n">
        <f aca="false">IF(DO$4=0,0,IF(COUNTIFS(実績!$W$6:$W$505,DO$3,実績!$AI$6:$AI$505,"&lt;="&amp;$A88,実績!$AJ$6:$AJ$505,"&gt;"&amp;$A88,実績!$AK$6:$AK$505,"○")&gt;0,1,0))</f>
        <v>0</v>
      </c>
      <c r="DP88" s="39" t="n">
        <f aca="false">IF(DP$4=0,0,IF(COUNTIFS(実績!$W$6:$W$505,DP$3,実績!$AI$6:$AI$505,"&lt;="&amp;$A88,実績!$AJ$6:$AJ$505,"&gt;"&amp;$A88,実績!$AK$6:$AK$505,"○")&gt;0,1,0))</f>
        <v>0</v>
      </c>
      <c r="DQ88" s="39" t="n">
        <f aca="false">IF(DQ$4=0,0,IF(COUNTIFS(実績!$W$6:$W$505,DQ$3,実績!$AI$6:$AI$505,"&lt;="&amp;$A88,実績!$AJ$6:$AJ$505,"&gt;"&amp;$A88,実績!$AK$6:$AK$505,"○")&gt;0,1,0))</f>
        <v>0</v>
      </c>
      <c r="DR88" s="39" t="n">
        <f aca="false">IF(DR$4=0,0,IF(COUNTIFS(実績!$W$6:$W$505,DR$3,実績!$AI$6:$AI$505,"&lt;="&amp;$A88,実績!$AJ$6:$AJ$505,"&gt;"&amp;$A88,実績!$AK$6:$AK$505,"○")&gt;0,1,0))</f>
        <v>0</v>
      </c>
      <c r="DS88" s="39" t="n">
        <f aca="false">SUM(C88:DR88)</f>
        <v>0</v>
      </c>
      <c r="DT88" s="39" t="n">
        <f aca="false">SUMPRODUCT((実績!$C$6:$C$505="○")*ISNUMBER(実績!$AM$6:$AM$505)*(実績!$AM$6:$AM$505&lt;=$A88)*(実績!$AN$6:$AN$505&gt;$A88))</f>
        <v>0</v>
      </c>
      <c r="DU88" s="39" t="n">
        <f aca="false">SUMIF($C$2:$DR$2,"製鉄曳船",C88:DR88)</f>
        <v>0</v>
      </c>
      <c r="DV88" s="39" t="n">
        <f aca="false">SUMIF($C$2:$DR$2,"西日本海運",C88:DR88)</f>
        <v>0</v>
      </c>
    </row>
    <row r="89" customFormat="false" ht="15" hidden="false" customHeight="false" outlineLevel="0" collapsed="false">
      <c r="A89" s="0" t="n">
        <v>415</v>
      </c>
      <c r="B89" s="38" t="n">
        <f aca="false">A89/1440</f>
        <v>0.288194444444444</v>
      </c>
      <c r="C89" s="39" t="n">
        <f aca="false">IF(C$4=0,0,IF(COUNTIFS(実績!$W$6:$W$505,C$3,実績!$AI$6:$AI$505,"&lt;="&amp;$A89,実績!$AJ$6:$AJ$505,"&gt;"&amp;$A89,実績!$AK$6:$AK$505,"○")&gt;0,1,0))</f>
        <v>0</v>
      </c>
      <c r="D89" s="39" t="n">
        <f aca="false">IF(D$4=0,0,IF(COUNTIFS(実績!$W$6:$W$505,D$3,実績!$AI$6:$AI$505,"&lt;="&amp;$A89,実績!$AJ$6:$AJ$505,"&gt;"&amp;$A89,実績!$AK$6:$AK$505,"○")&gt;0,1,0))</f>
        <v>0</v>
      </c>
      <c r="E89" s="39" t="n">
        <f aca="false">IF(E$4=0,0,IF(COUNTIFS(実績!$W$6:$W$505,E$3,実績!$AI$6:$AI$505,"&lt;="&amp;$A89,実績!$AJ$6:$AJ$505,"&gt;"&amp;$A89,実績!$AK$6:$AK$505,"○")&gt;0,1,0))</f>
        <v>0</v>
      </c>
      <c r="F89" s="39" t="n">
        <f aca="false">IF(F$4=0,0,IF(COUNTIFS(実績!$W$6:$W$505,F$3,実績!$AI$6:$AI$505,"&lt;="&amp;$A89,実績!$AJ$6:$AJ$505,"&gt;"&amp;$A89,実績!$AK$6:$AK$505,"○")&gt;0,1,0))</f>
        <v>0</v>
      </c>
      <c r="G89" s="39" t="n">
        <f aca="false">IF(G$4=0,0,IF(COUNTIFS(実績!$W$6:$W$505,G$3,実績!$AI$6:$AI$505,"&lt;="&amp;$A89,実績!$AJ$6:$AJ$505,"&gt;"&amp;$A89,実績!$AK$6:$AK$505,"○")&gt;0,1,0))</f>
        <v>0</v>
      </c>
      <c r="H89" s="39" t="n">
        <f aca="false">IF(H$4=0,0,IF(COUNTIFS(実績!$W$6:$W$505,H$3,実績!$AI$6:$AI$505,"&lt;="&amp;$A89,実績!$AJ$6:$AJ$505,"&gt;"&amp;$A89,実績!$AK$6:$AK$505,"○")&gt;0,1,0))</f>
        <v>0</v>
      </c>
      <c r="I89" s="39" t="n">
        <f aca="false">IF(I$4=0,0,IF(COUNTIFS(実績!$W$6:$W$505,I$3,実績!$AI$6:$AI$505,"&lt;="&amp;$A89,実績!$AJ$6:$AJ$505,"&gt;"&amp;$A89,実績!$AK$6:$AK$505,"○")&gt;0,1,0))</f>
        <v>0</v>
      </c>
      <c r="J89" s="39" t="n">
        <f aca="false">IF(J$4=0,0,IF(COUNTIFS(実績!$W$6:$W$505,J$3,実績!$AI$6:$AI$505,"&lt;="&amp;$A89,実績!$AJ$6:$AJ$505,"&gt;"&amp;$A89,実績!$AK$6:$AK$505,"○")&gt;0,1,0))</f>
        <v>0</v>
      </c>
      <c r="K89" s="39" t="n">
        <f aca="false">IF(K$4=0,0,IF(COUNTIFS(実績!$W$6:$W$505,K$3,実績!$AI$6:$AI$505,"&lt;="&amp;$A89,実績!$AJ$6:$AJ$505,"&gt;"&amp;$A89,実績!$AK$6:$AK$505,"○")&gt;0,1,0))</f>
        <v>0</v>
      </c>
      <c r="L89" s="39" t="n">
        <f aca="false">IF(L$4=0,0,IF(COUNTIFS(実績!$W$6:$W$505,L$3,実績!$AI$6:$AI$505,"&lt;="&amp;$A89,実績!$AJ$6:$AJ$505,"&gt;"&amp;$A89,実績!$AK$6:$AK$505,"○")&gt;0,1,0))</f>
        <v>0</v>
      </c>
      <c r="M89" s="39" t="n">
        <f aca="false">IF(M$4=0,0,IF(COUNTIFS(実績!$W$6:$W$505,M$3,実績!$AI$6:$AI$505,"&lt;="&amp;$A89,実績!$AJ$6:$AJ$505,"&gt;"&amp;$A89,実績!$AK$6:$AK$505,"○")&gt;0,1,0))</f>
        <v>0</v>
      </c>
      <c r="N89" s="39" t="n">
        <f aca="false">IF(N$4=0,0,IF(COUNTIFS(実績!$W$6:$W$505,N$3,実績!$AI$6:$AI$505,"&lt;="&amp;$A89,実績!$AJ$6:$AJ$505,"&gt;"&amp;$A89,実績!$AK$6:$AK$505,"○")&gt;0,1,0))</f>
        <v>0</v>
      </c>
      <c r="O89" s="39" t="n">
        <f aca="false">IF(O$4=0,0,IF(COUNTIFS(実績!$W$6:$W$505,O$3,実績!$AI$6:$AI$505,"&lt;="&amp;$A89,実績!$AJ$6:$AJ$505,"&gt;"&amp;$A89,実績!$AK$6:$AK$505,"○")&gt;0,1,0))</f>
        <v>0</v>
      </c>
      <c r="P89" s="39" t="n">
        <f aca="false">IF(P$4=0,0,IF(COUNTIFS(実績!$W$6:$W$505,P$3,実績!$AI$6:$AI$505,"&lt;="&amp;$A89,実績!$AJ$6:$AJ$505,"&gt;"&amp;$A89,実績!$AK$6:$AK$505,"○")&gt;0,1,0))</f>
        <v>0</v>
      </c>
      <c r="Q89" s="39" t="n">
        <f aca="false">IF(Q$4=0,0,IF(COUNTIFS(実績!$W$6:$W$505,Q$3,実績!$AI$6:$AI$505,"&lt;="&amp;$A89,実績!$AJ$6:$AJ$505,"&gt;"&amp;$A89,実績!$AK$6:$AK$505,"○")&gt;0,1,0))</f>
        <v>0</v>
      </c>
      <c r="R89" s="39" t="n">
        <f aca="false">IF(R$4=0,0,IF(COUNTIFS(実績!$W$6:$W$505,R$3,実績!$AI$6:$AI$505,"&lt;="&amp;$A89,実績!$AJ$6:$AJ$505,"&gt;"&amp;$A89,実績!$AK$6:$AK$505,"○")&gt;0,1,0))</f>
        <v>0</v>
      </c>
      <c r="S89" s="39" t="n">
        <f aca="false">IF(S$4=0,0,IF(COUNTIFS(実績!$W$6:$W$505,S$3,実績!$AI$6:$AI$505,"&lt;="&amp;$A89,実績!$AJ$6:$AJ$505,"&gt;"&amp;$A89,実績!$AK$6:$AK$505,"○")&gt;0,1,0))</f>
        <v>0</v>
      </c>
      <c r="T89" s="39" t="n">
        <f aca="false">IF(T$4=0,0,IF(COUNTIFS(実績!$W$6:$W$505,T$3,実績!$AI$6:$AI$505,"&lt;="&amp;$A89,実績!$AJ$6:$AJ$505,"&gt;"&amp;$A89,実績!$AK$6:$AK$505,"○")&gt;0,1,0))</f>
        <v>0</v>
      </c>
      <c r="U89" s="39" t="n">
        <f aca="false">IF(U$4=0,0,IF(COUNTIFS(実績!$W$6:$W$505,U$3,実績!$AI$6:$AI$505,"&lt;="&amp;$A89,実績!$AJ$6:$AJ$505,"&gt;"&amp;$A89,実績!$AK$6:$AK$505,"○")&gt;0,1,0))</f>
        <v>0</v>
      </c>
      <c r="V89" s="39" t="n">
        <f aca="false">IF(V$4=0,0,IF(COUNTIFS(実績!$W$6:$W$505,V$3,実績!$AI$6:$AI$505,"&lt;="&amp;$A89,実績!$AJ$6:$AJ$505,"&gt;"&amp;$A89,実績!$AK$6:$AK$505,"○")&gt;0,1,0))</f>
        <v>0</v>
      </c>
      <c r="W89" s="39" t="n">
        <f aca="false">IF(W$4=0,0,IF(COUNTIFS(実績!$W$6:$W$505,W$3,実績!$AI$6:$AI$505,"&lt;="&amp;$A89,実績!$AJ$6:$AJ$505,"&gt;"&amp;$A89,実績!$AK$6:$AK$505,"○")&gt;0,1,0))</f>
        <v>0</v>
      </c>
      <c r="X89" s="39" t="n">
        <f aca="false">IF(X$4=0,0,IF(COUNTIFS(実績!$W$6:$W$505,X$3,実績!$AI$6:$AI$505,"&lt;="&amp;$A89,実績!$AJ$6:$AJ$505,"&gt;"&amp;$A89,実績!$AK$6:$AK$505,"○")&gt;0,1,0))</f>
        <v>0</v>
      </c>
      <c r="Y89" s="39" t="n">
        <f aca="false">IF(Y$4=0,0,IF(COUNTIFS(実績!$W$6:$W$505,Y$3,実績!$AI$6:$AI$505,"&lt;="&amp;$A89,実績!$AJ$6:$AJ$505,"&gt;"&amp;$A89,実績!$AK$6:$AK$505,"○")&gt;0,1,0))</f>
        <v>0</v>
      </c>
      <c r="Z89" s="39" t="n">
        <f aca="false">IF(Z$4=0,0,IF(COUNTIFS(実績!$W$6:$W$505,Z$3,実績!$AI$6:$AI$505,"&lt;="&amp;$A89,実績!$AJ$6:$AJ$505,"&gt;"&amp;$A89,実績!$AK$6:$AK$505,"○")&gt;0,1,0))</f>
        <v>0</v>
      </c>
      <c r="AA89" s="39" t="n">
        <f aca="false">IF(AA$4=0,0,IF(COUNTIFS(実績!$W$6:$W$505,AA$3,実績!$AI$6:$AI$505,"&lt;="&amp;$A89,実績!$AJ$6:$AJ$505,"&gt;"&amp;$A89,実績!$AK$6:$AK$505,"○")&gt;0,1,0))</f>
        <v>0</v>
      </c>
      <c r="AB89" s="39" t="n">
        <f aca="false">IF(AB$4=0,0,IF(COUNTIFS(実績!$W$6:$W$505,AB$3,実績!$AI$6:$AI$505,"&lt;="&amp;$A89,実績!$AJ$6:$AJ$505,"&gt;"&amp;$A89,実績!$AK$6:$AK$505,"○")&gt;0,1,0))</f>
        <v>0</v>
      </c>
      <c r="AC89" s="39" t="n">
        <f aca="false">IF(AC$4=0,0,IF(COUNTIFS(実績!$W$6:$W$505,AC$3,実績!$AI$6:$AI$505,"&lt;="&amp;$A89,実績!$AJ$6:$AJ$505,"&gt;"&amp;$A89,実績!$AK$6:$AK$505,"○")&gt;0,1,0))</f>
        <v>0</v>
      </c>
      <c r="AD89" s="39" t="n">
        <f aca="false">IF(AD$4=0,0,IF(COUNTIFS(実績!$W$6:$W$505,AD$3,実績!$AI$6:$AI$505,"&lt;="&amp;$A89,実績!$AJ$6:$AJ$505,"&gt;"&amp;$A89,実績!$AK$6:$AK$505,"○")&gt;0,1,0))</f>
        <v>0</v>
      </c>
      <c r="AE89" s="39" t="n">
        <f aca="false">IF(AE$4=0,0,IF(COUNTIFS(実績!$W$6:$W$505,AE$3,実績!$AI$6:$AI$505,"&lt;="&amp;$A89,実績!$AJ$6:$AJ$505,"&gt;"&amp;$A89,実績!$AK$6:$AK$505,"○")&gt;0,1,0))</f>
        <v>0</v>
      </c>
      <c r="AF89" s="39" t="n">
        <f aca="false">IF(AF$4=0,0,IF(COUNTIFS(実績!$W$6:$W$505,AF$3,実績!$AI$6:$AI$505,"&lt;="&amp;$A89,実績!$AJ$6:$AJ$505,"&gt;"&amp;$A89,実績!$AK$6:$AK$505,"○")&gt;0,1,0))</f>
        <v>0</v>
      </c>
      <c r="AG89" s="39" t="n">
        <f aca="false">IF(AG$4=0,0,IF(COUNTIFS(実績!$W$6:$W$505,AG$3,実績!$AI$6:$AI$505,"&lt;="&amp;$A89,実績!$AJ$6:$AJ$505,"&gt;"&amp;$A89,実績!$AK$6:$AK$505,"○")&gt;0,1,0))</f>
        <v>0</v>
      </c>
      <c r="AH89" s="39" t="n">
        <f aca="false">IF(AH$4=0,0,IF(COUNTIFS(実績!$W$6:$W$505,AH$3,実績!$AI$6:$AI$505,"&lt;="&amp;$A89,実績!$AJ$6:$AJ$505,"&gt;"&amp;$A89,実績!$AK$6:$AK$505,"○")&gt;0,1,0))</f>
        <v>0</v>
      </c>
      <c r="AI89" s="39" t="n">
        <f aca="false">IF(AI$4=0,0,IF(COUNTIFS(実績!$W$6:$W$505,AI$3,実績!$AI$6:$AI$505,"&lt;="&amp;$A89,実績!$AJ$6:$AJ$505,"&gt;"&amp;$A89,実績!$AK$6:$AK$505,"○")&gt;0,1,0))</f>
        <v>0</v>
      </c>
      <c r="AJ89" s="39" t="n">
        <f aca="false">IF(AJ$4=0,0,IF(COUNTIFS(実績!$W$6:$W$505,AJ$3,実績!$AI$6:$AI$505,"&lt;="&amp;$A89,実績!$AJ$6:$AJ$505,"&gt;"&amp;$A89,実績!$AK$6:$AK$505,"○")&gt;0,1,0))</f>
        <v>0</v>
      </c>
      <c r="AK89" s="39" t="n">
        <f aca="false">IF(AK$4=0,0,IF(COUNTIFS(実績!$W$6:$W$505,AK$3,実績!$AI$6:$AI$505,"&lt;="&amp;$A89,実績!$AJ$6:$AJ$505,"&gt;"&amp;$A89,実績!$AK$6:$AK$505,"○")&gt;0,1,0))</f>
        <v>0</v>
      </c>
      <c r="AL89" s="39" t="n">
        <f aca="false">IF(AL$4=0,0,IF(COUNTIFS(実績!$W$6:$W$505,AL$3,実績!$AI$6:$AI$505,"&lt;="&amp;$A89,実績!$AJ$6:$AJ$505,"&gt;"&amp;$A89,実績!$AK$6:$AK$505,"○")&gt;0,1,0))</f>
        <v>0</v>
      </c>
      <c r="AM89" s="39" t="n">
        <f aca="false">IF(AM$4=0,0,IF(COUNTIFS(実績!$W$6:$W$505,AM$3,実績!$AI$6:$AI$505,"&lt;="&amp;$A89,実績!$AJ$6:$AJ$505,"&gt;"&amp;$A89,実績!$AK$6:$AK$505,"○")&gt;0,1,0))</f>
        <v>0</v>
      </c>
      <c r="AN89" s="39" t="n">
        <f aca="false">IF(AN$4=0,0,IF(COUNTIFS(実績!$W$6:$W$505,AN$3,実績!$AI$6:$AI$505,"&lt;="&amp;$A89,実績!$AJ$6:$AJ$505,"&gt;"&amp;$A89,実績!$AK$6:$AK$505,"○")&gt;0,1,0))</f>
        <v>0</v>
      </c>
      <c r="AO89" s="39" t="n">
        <f aca="false">IF(AO$4=0,0,IF(COUNTIFS(実績!$W$6:$W$505,AO$3,実績!$AI$6:$AI$505,"&lt;="&amp;$A89,実績!$AJ$6:$AJ$505,"&gt;"&amp;$A89,実績!$AK$6:$AK$505,"○")&gt;0,1,0))</f>
        <v>0</v>
      </c>
      <c r="AP89" s="39" t="n">
        <f aca="false">IF(AP$4=0,0,IF(COUNTIFS(実績!$W$6:$W$505,AP$3,実績!$AI$6:$AI$505,"&lt;="&amp;$A89,実績!$AJ$6:$AJ$505,"&gt;"&amp;$A89,実績!$AK$6:$AK$505,"○")&gt;0,1,0))</f>
        <v>0</v>
      </c>
      <c r="AQ89" s="39" t="n">
        <f aca="false">IF(AQ$4=0,0,IF(COUNTIFS(実績!$W$6:$W$505,AQ$3,実績!$AI$6:$AI$505,"&lt;="&amp;$A89,実績!$AJ$6:$AJ$505,"&gt;"&amp;$A89,実績!$AK$6:$AK$505,"○")&gt;0,1,0))</f>
        <v>0</v>
      </c>
      <c r="AR89" s="39" t="n">
        <f aca="false">IF(AR$4=0,0,IF(COUNTIFS(実績!$W$6:$W$505,AR$3,実績!$AI$6:$AI$505,"&lt;="&amp;$A89,実績!$AJ$6:$AJ$505,"&gt;"&amp;$A89,実績!$AK$6:$AK$505,"○")&gt;0,1,0))</f>
        <v>0</v>
      </c>
      <c r="AS89" s="39" t="n">
        <f aca="false">IF(AS$4=0,0,IF(COUNTIFS(実績!$W$6:$W$505,AS$3,実績!$AI$6:$AI$505,"&lt;="&amp;$A89,実績!$AJ$6:$AJ$505,"&gt;"&amp;$A89,実績!$AK$6:$AK$505,"○")&gt;0,1,0))</f>
        <v>0</v>
      </c>
      <c r="AT89" s="39" t="n">
        <f aca="false">IF(AT$4=0,0,IF(COUNTIFS(実績!$W$6:$W$505,AT$3,実績!$AI$6:$AI$505,"&lt;="&amp;$A89,実績!$AJ$6:$AJ$505,"&gt;"&amp;$A89,実績!$AK$6:$AK$505,"○")&gt;0,1,0))</f>
        <v>0</v>
      </c>
      <c r="AU89" s="39" t="n">
        <f aca="false">IF(AU$4=0,0,IF(COUNTIFS(実績!$W$6:$W$505,AU$3,実績!$AI$6:$AI$505,"&lt;="&amp;$A89,実績!$AJ$6:$AJ$505,"&gt;"&amp;$A89,実績!$AK$6:$AK$505,"○")&gt;0,1,0))</f>
        <v>0</v>
      </c>
      <c r="AV89" s="39" t="n">
        <f aca="false">IF(AV$4=0,0,IF(COUNTIFS(実績!$W$6:$W$505,AV$3,実績!$AI$6:$AI$505,"&lt;="&amp;$A89,実績!$AJ$6:$AJ$505,"&gt;"&amp;$A89,実績!$AK$6:$AK$505,"○")&gt;0,1,0))</f>
        <v>0</v>
      </c>
      <c r="AW89" s="39" t="n">
        <f aca="false">IF(AW$4=0,0,IF(COUNTIFS(実績!$W$6:$W$505,AW$3,実績!$AI$6:$AI$505,"&lt;="&amp;$A89,実績!$AJ$6:$AJ$505,"&gt;"&amp;$A89,実績!$AK$6:$AK$505,"○")&gt;0,1,0))</f>
        <v>0</v>
      </c>
      <c r="AX89" s="39" t="n">
        <f aca="false">IF(AX$4=0,0,IF(COUNTIFS(実績!$W$6:$W$505,AX$3,実績!$AI$6:$AI$505,"&lt;="&amp;$A89,実績!$AJ$6:$AJ$505,"&gt;"&amp;$A89,実績!$AK$6:$AK$505,"○")&gt;0,1,0))</f>
        <v>0</v>
      </c>
      <c r="AY89" s="39" t="n">
        <f aca="false">IF(AY$4=0,0,IF(COUNTIFS(実績!$W$6:$W$505,AY$3,実績!$AI$6:$AI$505,"&lt;="&amp;$A89,実績!$AJ$6:$AJ$505,"&gt;"&amp;$A89,実績!$AK$6:$AK$505,"○")&gt;0,1,0))</f>
        <v>0</v>
      </c>
      <c r="AZ89" s="39" t="n">
        <f aca="false">IF(AZ$4=0,0,IF(COUNTIFS(実績!$W$6:$W$505,AZ$3,実績!$AI$6:$AI$505,"&lt;="&amp;$A89,実績!$AJ$6:$AJ$505,"&gt;"&amp;$A89,実績!$AK$6:$AK$505,"○")&gt;0,1,0))</f>
        <v>0</v>
      </c>
      <c r="BA89" s="39" t="n">
        <f aca="false">IF(BA$4=0,0,IF(COUNTIFS(実績!$W$6:$W$505,BA$3,実績!$AI$6:$AI$505,"&lt;="&amp;$A89,実績!$AJ$6:$AJ$505,"&gt;"&amp;$A89,実績!$AK$6:$AK$505,"○")&gt;0,1,0))</f>
        <v>0</v>
      </c>
      <c r="BB89" s="39" t="n">
        <f aca="false">IF(BB$4=0,0,IF(COUNTIFS(実績!$W$6:$W$505,BB$3,実績!$AI$6:$AI$505,"&lt;="&amp;$A89,実績!$AJ$6:$AJ$505,"&gt;"&amp;$A89,実績!$AK$6:$AK$505,"○")&gt;0,1,0))</f>
        <v>0</v>
      </c>
      <c r="BC89" s="39" t="n">
        <f aca="false">IF(BC$4=0,0,IF(COUNTIFS(実績!$W$6:$W$505,BC$3,実績!$AI$6:$AI$505,"&lt;="&amp;$A89,実績!$AJ$6:$AJ$505,"&gt;"&amp;$A89,実績!$AK$6:$AK$505,"○")&gt;0,1,0))</f>
        <v>0</v>
      </c>
      <c r="BD89" s="39" t="n">
        <f aca="false">IF(BD$4=0,0,IF(COUNTIFS(実績!$W$6:$W$505,BD$3,実績!$AI$6:$AI$505,"&lt;="&amp;$A89,実績!$AJ$6:$AJ$505,"&gt;"&amp;$A89,実績!$AK$6:$AK$505,"○")&gt;0,1,0))</f>
        <v>0</v>
      </c>
      <c r="BE89" s="39" t="n">
        <f aca="false">IF(BE$4=0,0,IF(COUNTIFS(実績!$W$6:$W$505,BE$3,実績!$AI$6:$AI$505,"&lt;="&amp;$A89,実績!$AJ$6:$AJ$505,"&gt;"&amp;$A89,実績!$AK$6:$AK$505,"○")&gt;0,1,0))</f>
        <v>0</v>
      </c>
      <c r="BF89" s="39" t="n">
        <f aca="false">IF(BF$4=0,0,IF(COUNTIFS(実績!$W$6:$W$505,BF$3,実績!$AI$6:$AI$505,"&lt;="&amp;$A89,実績!$AJ$6:$AJ$505,"&gt;"&amp;$A89,実績!$AK$6:$AK$505,"○")&gt;0,1,0))</f>
        <v>0</v>
      </c>
      <c r="BG89" s="39" t="n">
        <f aca="false">IF(BG$4=0,0,IF(COUNTIFS(実績!$W$6:$W$505,BG$3,実績!$AI$6:$AI$505,"&lt;="&amp;$A89,実績!$AJ$6:$AJ$505,"&gt;"&amp;$A89,実績!$AK$6:$AK$505,"○")&gt;0,1,0))</f>
        <v>0</v>
      </c>
      <c r="BH89" s="39" t="n">
        <f aca="false">IF(BH$4=0,0,IF(COUNTIFS(実績!$W$6:$W$505,BH$3,実績!$AI$6:$AI$505,"&lt;="&amp;$A89,実績!$AJ$6:$AJ$505,"&gt;"&amp;$A89,実績!$AK$6:$AK$505,"○")&gt;0,1,0))</f>
        <v>0</v>
      </c>
      <c r="BI89" s="39" t="n">
        <f aca="false">IF(BI$4=0,0,IF(COUNTIFS(実績!$W$6:$W$505,BI$3,実績!$AI$6:$AI$505,"&lt;="&amp;$A89,実績!$AJ$6:$AJ$505,"&gt;"&amp;$A89,実績!$AK$6:$AK$505,"○")&gt;0,1,0))</f>
        <v>0</v>
      </c>
      <c r="BJ89" s="39" t="n">
        <f aca="false">IF(BJ$4=0,0,IF(COUNTIFS(実績!$W$6:$W$505,BJ$3,実績!$AI$6:$AI$505,"&lt;="&amp;$A89,実績!$AJ$6:$AJ$505,"&gt;"&amp;$A89,実績!$AK$6:$AK$505,"○")&gt;0,1,0))</f>
        <v>0</v>
      </c>
      <c r="BK89" s="39" t="n">
        <f aca="false">IF(BK$4=0,0,IF(COUNTIFS(実績!$W$6:$W$505,BK$3,実績!$AI$6:$AI$505,"&lt;="&amp;$A89,実績!$AJ$6:$AJ$505,"&gt;"&amp;$A89,実績!$AK$6:$AK$505,"○")&gt;0,1,0))</f>
        <v>0</v>
      </c>
      <c r="BL89" s="39" t="n">
        <f aca="false">IF(BL$4=0,0,IF(COUNTIFS(実績!$W$6:$W$505,BL$3,実績!$AI$6:$AI$505,"&lt;="&amp;$A89,実績!$AJ$6:$AJ$505,"&gt;"&amp;$A89,実績!$AK$6:$AK$505,"○")&gt;0,1,0))</f>
        <v>0</v>
      </c>
      <c r="BM89" s="39" t="n">
        <f aca="false">IF(BM$4=0,0,IF(COUNTIFS(実績!$W$6:$W$505,BM$3,実績!$AI$6:$AI$505,"&lt;="&amp;$A89,実績!$AJ$6:$AJ$505,"&gt;"&amp;$A89,実績!$AK$6:$AK$505,"○")&gt;0,1,0))</f>
        <v>0</v>
      </c>
      <c r="BN89" s="39" t="n">
        <f aca="false">IF(BN$4=0,0,IF(COUNTIFS(実績!$W$6:$W$505,BN$3,実績!$AI$6:$AI$505,"&lt;="&amp;$A89,実績!$AJ$6:$AJ$505,"&gt;"&amp;$A89,実績!$AK$6:$AK$505,"○")&gt;0,1,0))</f>
        <v>0</v>
      </c>
      <c r="BO89" s="39" t="n">
        <f aca="false">IF(BO$4=0,0,IF(COUNTIFS(実績!$W$6:$W$505,BO$3,実績!$AI$6:$AI$505,"&lt;="&amp;$A89,実績!$AJ$6:$AJ$505,"&gt;"&amp;$A89,実績!$AK$6:$AK$505,"○")&gt;0,1,0))</f>
        <v>0</v>
      </c>
      <c r="BP89" s="39" t="n">
        <f aca="false">IF(BP$4=0,0,IF(COUNTIFS(実績!$W$6:$W$505,BP$3,実績!$AI$6:$AI$505,"&lt;="&amp;$A89,実績!$AJ$6:$AJ$505,"&gt;"&amp;$A89,実績!$AK$6:$AK$505,"○")&gt;0,1,0))</f>
        <v>0</v>
      </c>
      <c r="BQ89" s="39" t="n">
        <f aca="false">IF(BQ$4=0,0,IF(COUNTIFS(実績!$W$6:$W$505,BQ$3,実績!$AI$6:$AI$505,"&lt;="&amp;$A89,実績!$AJ$6:$AJ$505,"&gt;"&amp;$A89,実績!$AK$6:$AK$505,"○")&gt;0,1,0))</f>
        <v>0</v>
      </c>
      <c r="BR89" s="39" t="n">
        <f aca="false">IF(BR$4=0,0,IF(COUNTIFS(実績!$W$6:$W$505,BR$3,実績!$AI$6:$AI$505,"&lt;="&amp;$A89,実績!$AJ$6:$AJ$505,"&gt;"&amp;$A89,実績!$AK$6:$AK$505,"○")&gt;0,1,0))</f>
        <v>0</v>
      </c>
      <c r="BS89" s="39" t="n">
        <f aca="false">IF(BS$4=0,0,IF(COUNTIFS(実績!$W$6:$W$505,BS$3,実績!$AI$6:$AI$505,"&lt;="&amp;$A89,実績!$AJ$6:$AJ$505,"&gt;"&amp;$A89,実績!$AK$6:$AK$505,"○")&gt;0,1,0))</f>
        <v>0</v>
      </c>
      <c r="BT89" s="39" t="n">
        <f aca="false">IF(BT$4=0,0,IF(COUNTIFS(実績!$W$6:$W$505,BT$3,実績!$AI$6:$AI$505,"&lt;="&amp;$A89,実績!$AJ$6:$AJ$505,"&gt;"&amp;$A89,実績!$AK$6:$AK$505,"○")&gt;0,1,0))</f>
        <v>0</v>
      </c>
      <c r="BU89" s="39" t="n">
        <f aca="false">IF(BU$4=0,0,IF(COUNTIFS(実績!$W$6:$W$505,BU$3,実績!$AI$6:$AI$505,"&lt;="&amp;$A89,実績!$AJ$6:$AJ$505,"&gt;"&amp;$A89,実績!$AK$6:$AK$505,"○")&gt;0,1,0))</f>
        <v>0</v>
      </c>
      <c r="BV89" s="39" t="n">
        <f aca="false">IF(BV$4=0,0,IF(COUNTIFS(実績!$W$6:$W$505,BV$3,実績!$AI$6:$AI$505,"&lt;="&amp;$A89,実績!$AJ$6:$AJ$505,"&gt;"&amp;$A89,実績!$AK$6:$AK$505,"○")&gt;0,1,0))</f>
        <v>0</v>
      </c>
      <c r="BW89" s="39" t="n">
        <f aca="false">IF(BW$4=0,0,IF(COUNTIFS(実績!$W$6:$W$505,BW$3,実績!$AI$6:$AI$505,"&lt;="&amp;$A89,実績!$AJ$6:$AJ$505,"&gt;"&amp;$A89,実績!$AK$6:$AK$505,"○")&gt;0,1,0))</f>
        <v>0</v>
      </c>
      <c r="BX89" s="39" t="n">
        <f aca="false">IF(BX$4=0,0,IF(COUNTIFS(実績!$W$6:$W$505,BX$3,実績!$AI$6:$AI$505,"&lt;="&amp;$A89,実績!$AJ$6:$AJ$505,"&gt;"&amp;$A89,実績!$AK$6:$AK$505,"○")&gt;0,1,0))</f>
        <v>0</v>
      </c>
      <c r="BY89" s="39" t="n">
        <f aca="false">IF(BY$4=0,0,IF(COUNTIFS(実績!$W$6:$W$505,BY$3,実績!$AI$6:$AI$505,"&lt;="&amp;$A89,実績!$AJ$6:$AJ$505,"&gt;"&amp;$A89,実績!$AK$6:$AK$505,"○")&gt;0,1,0))</f>
        <v>0</v>
      </c>
      <c r="BZ89" s="39" t="n">
        <f aca="false">IF(BZ$4=0,0,IF(COUNTIFS(実績!$W$6:$W$505,BZ$3,実績!$AI$6:$AI$505,"&lt;="&amp;$A89,実績!$AJ$6:$AJ$505,"&gt;"&amp;$A89,実績!$AK$6:$AK$505,"○")&gt;0,1,0))</f>
        <v>0</v>
      </c>
      <c r="CA89" s="39" t="n">
        <f aca="false">IF(CA$4=0,0,IF(COUNTIFS(実績!$W$6:$W$505,CA$3,実績!$AI$6:$AI$505,"&lt;="&amp;$A89,実績!$AJ$6:$AJ$505,"&gt;"&amp;$A89,実績!$AK$6:$AK$505,"○")&gt;0,1,0))</f>
        <v>0</v>
      </c>
      <c r="CB89" s="39" t="n">
        <f aca="false">IF(CB$4=0,0,IF(COUNTIFS(実績!$W$6:$W$505,CB$3,実績!$AI$6:$AI$505,"&lt;="&amp;$A89,実績!$AJ$6:$AJ$505,"&gt;"&amp;$A89,実績!$AK$6:$AK$505,"○")&gt;0,1,0))</f>
        <v>0</v>
      </c>
      <c r="CC89" s="39" t="n">
        <f aca="false">IF(CC$4=0,0,IF(COUNTIFS(実績!$W$6:$W$505,CC$3,実績!$AI$6:$AI$505,"&lt;="&amp;$A89,実績!$AJ$6:$AJ$505,"&gt;"&amp;$A89,実績!$AK$6:$AK$505,"○")&gt;0,1,0))</f>
        <v>0</v>
      </c>
      <c r="CD89" s="39" t="n">
        <f aca="false">IF(CD$4=0,0,IF(COUNTIFS(実績!$W$6:$W$505,CD$3,実績!$AI$6:$AI$505,"&lt;="&amp;$A89,実績!$AJ$6:$AJ$505,"&gt;"&amp;$A89,実績!$AK$6:$AK$505,"○")&gt;0,1,0))</f>
        <v>0</v>
      </c>
      <c r="CE89" s="39" t="n">
        <f aca="false">IF(CE$4=0,0,IF(COUNTIFS(実績!$W$6:$W$505,CE$3,実績!$AI$6:$AI$505,"&lt;="&amp;$A89,実績!$AJ$6:$AJ$505,"&gt;"&amp;$A89,実績!$AK$6:$AK$505,"○")&gt;0,1,0))</f>
        <v>0</v>
      </c>
      <c r="CF89" s="39" t="n">
        <f aca="false">IF(CF$4=0,0,IF(COUNTIFS(実績!$W$6:$W$505,CF$3,実績!$AI$6:$AI$505,"&lt;="&amp;$A89,実績!$AJ$6:$AJ$505,"&gt;"&amp;$A89,実績!$AK$6:$AK$505,"○")&gt;0,1,0))</f>
        <v>0</v>
      </c>
      <c r="CG89" s="39" t="n">
        <f aca="false">IF(CG$4=0,0,IF(COUNTIFS(実績!$W$6:$W$505,CG$3,実績!$AI$6:$AI$505,"&lt;="&amp;$A89,実績!$AJ$6:$AJ$505,"&gt;"&amp;$A89,実績!$AK$6:$AK$505,"○")&gt;0,1,0))</f>
        <v>0</v>
      </c>
      <c r="CH89" s="39" t="n">
        <f aca="false">IF(CH$4=0,0,IF(COUNTIFS(実績!$W$6:$W$505,CH$3,実績!$AI$6:$AI$505,"&lt;="&amp;$A89,実績!$AJ$6:$AJ$505,"&gt;"&amp;$A89,実績!$AK$6:$AK$505,"○")&gt;0,1,0))</f>
        <v>0</v>
      </c>
      <c r="CI89" s="39" t="n">
        <f aca="false">IF(CI$4=0,0,IF(COUNTIFS(実績!$W$6:$W$505,CI$3,実績!$AI$6:$AI$505,"&lt;="&amp;$A89,実績!$AJ$6:$AJ$505,"&gt;"&amp;$A89,実績!$AK$6:$AK$505,"○")&gt;0,1,0))</f>
        <v>0</v>
      </c>
      <c r="CJ89" s="39" t="n">
        <f aca="false">IF(CJ$4=0,0,IF(COUNTIFS(実績!$W$6:$W$505,CJ$3,実績!$AI$6:$AI$505,"&lt;="&amp;$A89,実績!$AJ$6:$AJ$505,"&gt;"&amp;$A89,実績!$AK$6:$AK$505,"○")&gt;0,1,0))</f>
        <v>0</v>
      </c>
      <c r="CK89" s="39" t="n">
        <f aca="false">IF(CK$4=0,0,IF(COUNTIFS(実績!$W$6:$W$505,CK$3,実績!$AI$6:$AI$505,"&lt;="&amp;$A89,実績!$AJ$6:$AJ$505,"&gt;"&amp;$A89,実績!$AK$6:$AK$505,"○")&gt;0,1,0))</f>
        <v>0</v>
      </c>
      <c r="CL89" s="39" t="n">
        <f aca="false">IF(CL$4=0,0,IF(COUNTIFS(実績!$W$6:$W$505,CL$3,実績!$AI$6:$AI$505,"&lt;="&amp;$A89,実績!$AJ$6:$AJ$505,"&gt;"&amp;$A89,実績!$AK$6:$AK$505,"○")&gt;0,1,0))</f>
        <v>0</v>
      </c>
      <c r="CM89" s="39" t="n">
        <f aca="false">IF(CM$4=0,0,IF(COUNTIFS(実績!$W$6:$W$505,CM$3,実績!$AI$6:$AI$505,"&lt;="&amp;$A89,実績!$AJ$6:$AJ$505,"&gt;"&amp;$A89,実績!$AK$6:$AK$505,"○")&gt;0,1,0))</f>
        <v>0</v>
      </c>
      <c r="CN89" s="39" t="n">
        <f aca="false">IF(CN$4=0,0,IF(COUNTIFS(実績!$W$6:$W$505,CN$3,実績!$AI$6:$AI$505,"&lt;="&amp;$A89,実績!$AJ$6:$AJ$505,"&gt;"&amp;$A89,実績!$AK$6:$AK$505,"○")&gt;0,1,0))</f>
        <v>0</v>
      </c>
      <c r="CO89" s="39" t="n">
        <f aca="false">IF(CO$4=0,0,IF(COUNTIFS(実績!$W$6:$W$505,CO$3,実績!$AI$6:$AI$505,"&lt;="&amp;$A89,実績!$AJ$6:$AJ$505,"&gt;"&amp;$A89,実績!$AK$6:$AK$505,"○")&gt;0,1,0))</f>
        <v>0</v>
      </c>
      <c r="CP89" s="39" t="n">
        <f aca="false">IF(CP$4=0,0,IF(COUNTIFS(実績!$W$6:$W$505,CP$3,実績!$AI$6:$AI$505,"&lt;="&amp;$A89,実績!$AJ$6:$AJ$505,"&gt;"&amp;$A89,実績!$AK$6:$AK$505,"○")&gt;0,1,0))</f>
        <v>0</v>
      </c>
      <c r="CQ89" s="39" t="n">
        <f aca="false">IF(CQ$4=0,0,IF(COUNTIFS(実績!$W$6:$W$505,CQ$3,実績!$AI$6:$AI$505,"&lt;="&amp;$A89,実績!$AJ$6:$AJ$505,"&gt;"&amp;$A89,実績!$AK$6:$AK$505,"○")&gt;0,1,0))</f>
        <v>0</v>
      </c>
      <c r="CR89" s="39" t="n">
        <f aca="false">IF(CR$4=0,0,IF(COUNTIFS(実績!$W$6:$W$505,CR$3,実績!$AI$6:$AI$505,"&lt;="&amp;$A89,実績!$AJ$6:$AJ$505,"&gt;"&amp;$A89,実績!$AK$6:$AK$505,"○")&gt;0,1,0))</f>
        <v>0</v>
      </c>
      <c r="CS89" s="39" t="n">
        <f aca="false">IF(CS$4=0,0,IF(COUNTIFS(実績!$W$6:$W$505,CS$3,実績!$AI$6:$AI$505,"&lt;="&amp;$A89,実績!$AJ$6:$AJ$505,"&gt;"&amp;$A89,実績!$AK$6:$AK$505,"○")&gt;0,1,0))</f>
        <v>0</v>
      </c>
      <c r="CT89" s="39" t="n">
        <f aca="false">IF(CT$4=0,0,IF(COUNTIFS(実績!$W$6:$W$505,CT$3,実績!$AI$6:$AI$505,"&lt;="&amp;$A89,実績!$AJ$6:$AJ$505,"&gt;"&amp;$A89,実績!$AK$6:$AK$505,"○")&gt;0,1,0))</f>
        <v>0</v>
      </c>
      <c r="CU89" s="39" t="n">
        <f aca="false">IF(CU$4=0,0,IF(COUNTIFS(実績!$W$6:$W$505,CU$3,実績!$AI$6:$AI$505,"&lt;="&amp;$A89,実績!$AJ$6:$AJ$505,"&gt;"&amp;$A89,実績!$AK$6:$AK$505,"○")&gt;0,1,0))</f>
        <v>0</v>
      </c>
      <c r="CV89" s="39" t="n">
        <f aca="false">IF(CV$4=0,0,IF(COUNTIFS(実績!$W$6:$W$505,CV$3,実績!$AI$6:$AI$505,"&lt;="&amp;$A89,実績!$AJ$6:$AJ$505,"&gt;"&amp;$A89,実績!$AK$6:$AK$505,"○")&gt;0,1,0))</f>
        <v>0</v>
      </c>
      <c r="CW89" s="39" t="n">
        <f aca="false">IF(CW$4=0,0,IF(COUNTIFS(実績!$W$6:$W$505,CW$3,実績!$AI$6:$AI$505,"&lt;="&amp;$A89,実績!$AJ$6:$AJ$505,"&gt;"&amp;$A89,実績!$AK$6:$AK$505,"○")&gt;0,1,0))</f>
        <v>0</v>
      </c>
      <c r="CX89" s="39" t="n">
        <f aca="false">IF(CX$4=0,0,IF(COUNTIFS(実績!$W$6:$W$505,CX$3,実績!$AI$6:$AI$505,"&lt;="&amp;$A89,実績!$AJ$6:$AJ$505,"&gt;"&amp;$A89,実績!$AK$6:$AK$505,"○")&gt;0,1,0))</f>
        <v>0</v>
      </c>
      <c r="CY89" s="39" t="n">
        <f aca="false">IF(CY$4=0,0,IF(COUNTIFS(実績!$W$6:$W$505,CY$3,実績!$AI$6:$AI$505,"&lt;="&amp;$A89,実績!$AJ$6:$AJ$505,"&gt;"&amp;$A89,実績!$AK$6:$AK$505,"○")&gt;0,1,0))</f>
        <v>0</v>
      </c>
      <c r="CZ89" s="39" t="n">
        <f aca="false">IF(CZ$4=0,0,IF(COUNTIFS(実績!$W$6:$W$505,CZ$3,実績!$AI$6:$AI$505,"&lt;="&amp;$A89,実績!$AJ$6:$AJ$505,"&gt;"&amp;$A89,実績!$AK$6:$AK$505,"○")&gt;0,1,0))</f>
        <v>0</v>
      </c>
      <c r="DA89" s="39" t="n">
        <f aca="false">IF(DA$4=0,0,IF(COUNTIFS(実績!$W$6:$W$505,DA$3,実績!$AI$6:$AI$505,"&lt;="&amp;$A89,実績!$AJ$6:$AJ$505,"&gt;"&amp;$A89,実績!$AK$6:$AK$505,"○")&gt;0,1,0))</f>
        <v>0</v>
      </c>
      <c r="DB89" s="39" t="n">
        <f aca="false">IF(DB$4=0,0,IF(COUNTIFS(実績!$W$6:$W$505,DB$3,実績!$AI$6:$AI$505,"&lt;="&amp;$A89,実績!$AJ$6:$AJ$505,"&gt;"&amp;$A89,実績!$AK$6:$AK$505,"○")&gt;0,1,0))</f>
        <v>0</v>
      </c>
      <c r="DC89" s="39" t="n">
        <f aca="false">IF(DC$4=0,0,IF(COUNTIFS(実績!$W$6:$W$505,DC$3,実績!$AI$6:$AI$505,"&lt;="&amp;$A89,実績!$AJ$6:$AJ$505,"&gt;"&amp;$A89,実績!$AK$6:$AK$505,"○")&gt;0,1,0))</f>
        <v>0</v>
      </c>
      <c r="DD89" s="39" t="n">
        <f aca="false">IF(DD$4=0,0,IF(COUNTIFS(実績!$W$6:$W$505,DD$3,実績!$AI$6:$AI$505,"&lt;="&amp;$A89,実績!$AJ$6:$AJ$505,"&gt;"&amp;$A89,実績!$AK$6:$AK$505,"○")&gt;0,1,0))</f>
        <v>0</v>
      </c>
      <c r="DE89" s="39" t="n">
        <f aca="false">IF(DE$4=0,0,IF(COUNTIFS(実績!$W$6:$W$505,DE$3,実績!$AI$6:$AI$505,"&lt;="&amp;$A89,実績!$AJ$6:$AJ$505,"&gt;"&amp;$A89,実績!$AK$6:$AK$505,"○")&gt;0,1,0))</f>
        <v>0</v>
      </c>
      <c r="DF89" s="39" t="n">
        <f aca="false">IF(DF$4=0,0,IF(COUNTIFS(実績!$W$6:$W$505,DF$3,実績!$AI$6:$AI$505,"&lt;="&amp;$A89,実績!$AJ$6:$AJ$505,"&gt;"&amp;$A89,実績!$AK$6:$AK$505,"○")&gt;0,1,0))</f>
        <v>0</v>
      </c>
      <c r="DG89" s="39" t="n">
        <f aca="false">IF(DG$4=0,0,IF(COUNTIFS(実績!$W$6:$W$505,DG$3,実績!$AI$6:$AI$505,"&lt;="&amp;$A89,実績!$AJ$6:$AJ$505,"&gt;"&amp;$A89,実績!$AK$6:$AK$505,"○")&gt;0,1,0))</f>
        <v>0</v>
      </c>
      <c r="DH89" s="39" t="n">
        <f aca="false">IF(DH$4=0,0,IF(COUNTIFS(実績!$W$6:$W$505,DH$3,実績!$AI$6:$AI$505,"&lt;="&amp;$A89,実績!$AJ$6:$AJ$505,"&gt;"&amp;$A89,実績!$AK$6:$AK$505,"○")&gt;0,1,0))</f>
        <v>0</v>
      </c>
      <c r="DI89" s="39" t="n">
        <f aca="false">IF(DI$4=0,0,IF(COUNTIFS(実績!$W$6:$W$505,DI$3,実績!$AI$6:$AI$505,"&lt;="&amp;$A89,実績!$AJ$6:$AJ$505,"&gt;"&amp;$A89,実績!$AK$6:$AK$505,"○")&gt;0,1,0))</f>
        <v>0</v>
      </c>
      <c r="DJ89" s="39" t="n">
        <f aca="false">IF(DJ$4=0,0,IF(COUNTIFS(実績!$W$6:$W$505,DJ$3,実績!$AI$6:$AI$505,"&lt;="&amp;$A89,実績!$AJ$6:$AJ$505,"&gt;"&amp;$A89,実績!$AK$6:$AK$505,"○")&gt;0,1,0))</f>
        <v>0</v>
      </c>
      <c r="DK89" s="39" t="n">
        <f aca="false">IF(DK$4=0,0,IF(COUNTIFS(実績!$W$6:$W$505,DK$3,実績!$AI$6:$AI$505,"&lt;="&amp;$A89,実績!$AJ$6:$AJ$505,"&gt;"&amp;$A89,実績!$AK$6:$AK$505,"○")&gt;0,1,0))</f>
        <v>0</v>
      </c>
      <c r="DL89" s="39" t="n">
        <f aca="false">IF(DL$4=0,0,IF(COUNTIFS(実績!$W$6:$W$505,DL$3,実績!$AI$6:$AI$505,"&lt;="&amp;$A89,実績!$AJ$6:$AJ$505,"&gt;"&amp;$A89,実績!$AK$6:$AK$505,"○")&gt;0,1,0))</f>
        <v>0</v>
      </c>
      <c r="DM89" s="39" t="n">
        <f aca="false">IF(DM$4=0,0,IF(COUNTIFS(実績!$W$6:$W$505,DM$3,実績!$AI$6:$AI$505,"&lt;="&amp;$A89,実績!$AJ$6:$AJ$505,"&gt;"&amp;$A89,実績!$AK$6:$AK$505,"○")&gt;0,1,0))</f>
        <v>0</v>
      </c>
      <c r="DN89" s="39" t="n">
        <f aca="false">IF(DN$4=0,0,IF(COUNTIFS(実績!$W$6:$W$505,DN$3,実績!$AI$6:$AI$505,"&lt;="&amp;$A89,実績!$AJ$6:$AJ$505,"&gt;"&amp;$A89,実績!$AK$6:$AK$505,"○")&gt;0,1,0))</f>
        <v>0</v>
      </c>
      <c r="DO89" s="39" t="n">
        <f aca="false">IF(DO$4=0,0,IF(COUNTIFS(実績!$W$6:$W$505,DO$3,実績!$AI$6:$AI$505,"&lt;="&amp;$A89,実績!$AJ$6:$AJ$505,"&gt;"&amp;$A89,実績!$AK$6:$AK$505,"○")&gt;0,1,0))</f>
        <v>0</v>
      </c>
      <c r="DP89" s="39" t="n">
        <f aca="false">IF(DP$4=0,0,IF(COUNTIFS(実績!$W$6:$W$505,DP$3,実績!$AI$6:$AI$505,"&lt;="&amp;$A89,実績!$AJ$6:$AJ$505,"&gt;"&amp;$A89,実績!$AK$6:$AK$505,"○")&gt;0,1,0))</f>
        <v>0</v>
      </c>
      <c r="DQ89" s="39" t="n">
        <f aca="false">IF(DQ$4=0,0,IF(COUNTIFS(実績!$W$6:$W$505,DQ$3,実績!$AI$6:$AI$505,"&lt;="&amp;$A89,実績!$AJ$6:$AJ$505,"&gt;"&amp;$A89,実績!$AK$6:$AK$505,"○")&gt;0,1,0))</f>
        <v>0</v>
      </c>
      <c r="DR89" s="39" t="n">
        <f aca="false">IF(DR$4=0,0,IF(COUNTIFS(実績!$W$6:$W$505,DR$3,実績!$AI$6:$AI$505,"&lt;="&amp;$A89,実績!$AJ$6:$AJ$505,"&gt;"&amp;$A89,実績!$AK$6:$AK$505,"○")&gt;0,1,0))</f>
        <v>0</v>
      </c>
      <c r="DS89" s="39" t="n">
        <f aca="false">SUM(C89:DR89)</f>
        <v>0</v>
      </c>
      <c r="DT89" s="39" t="n">
        <f aca="false">SUMPRODUCT((実績!$C$6:$C$505="○")*ISNUMBER(実績!$AM$6:$AM$505)*(実績!$AM$6:$AM$505&lt;=$A89)*(実績!$AN$6:$AN$505&gt;$A89))</f>
        <v>0</v>
      </c>
      <c r="DU89" s="39" t="n">
        <f aca="false">SUMIF($C$2:$DR$2,"製鉄曳船",C89:DR89)</f>
        <v>0</v>
      </c>
      <c r="DV89" s="39" t="n">
        <f aca="false">SUMIF($C$2:$DR$2,"西日本海運",C89:DR89)</f>
        <v>0</v>
      </c>
    </row>
    <row r="90" customFormat="false" ht="15" hidden="false" customHeight="false" outlineLevel="0" collapsed="false">
      <c r="A90" s="0" t="n">
        <v>420</v>
      </c>
      <c r="B90" s="38" t="n">
        <f aca="false">A90/1440</f>
        <v>0.291666666666667</v>
      </c>
      <c r="C90" s="39" t="n">
        <f aca="false">IF(C$4=0,0,IF(COUNTIFS(実績!$W$6:$W$505,C$3,実績!$AI$6:$AI$505,"&lt;="&amp;$A90,実績!$AJ$6:$AJ$505,"&gt;"&amp;$A90,実績!$AK$6:$AK$505,"○")&gt;0,1,0))</f>
        <v>0</v>
      </c>
      <c r="D90" s="39" t="n">
        <f aca="false">IF(D$4=0,0,IF(COUNTIFS(実績!$W$6:$W$505,D$3,実績!$AI$6:$AI$505,"&lt;="&amp;$A90,実績!$AJ$6:$AJ$505,"&gt;"&amp;$A90,実績!$AK$6:$AK$505,"○")&gt;0,1,0))</f>
        <v>0</v>
      </c>
      <c r="E90" s="39" t="n">
        <f aca="false">IF(E$4=0,0,IF(COUNTIFS(実績!$W$6:$W$505,E$3,実績!$AI$6:$AI$505,"&lt;="&amp;$A90,実績!$AJ$6:$AJ$505,"&gt;"&amp;$A90,実績!$AK$6:$AK$505,"○")&gt;0,1,0))</f>
        <v>0</v>
      </c>
      <c r="F90" s="39" t="n">
        <f aca="false">IF(F$4=0,0,IF(COUNTIFS(実績!$W$6:$W$505,F$3,実績!$AI$6:$AI$505,"&lt;="&amp;$A90,実績!$AJ$6:$AJ$505,"&gt;"&amp;$A90,実績!$AK$6:$AK$505,"○")&gt;0,1,0))</f>
        <v>0</v>
      </c>
      <c r="G90" s="39" t="n">
        <f aca="false">IF(G$4=0,0,IF(COUNTIFS(実績!$W$6:$W$505,G$3,実績!$AI$6:$AI$505,"&lt;="&amp;$A90,実績!$AJ$6:$AJ$505,"&gt;"&amp;$A90,実績!$AK$6:$AK$505,"○")&gt;0,1,0))</f>
        <v>0</v>
      </c>
      <c r="H90" s="39" t="n">
        <f aca="false">IF(H$4=0,0,IF(COUNTIFS(実績!$W$6:$W$505,H$3,実績!$AI$6:$AI$505,"&lt;="&amp;$A90,実績!$AJ$6:$AJ$505,"&gt;"&amp;$A90,実績!$AK$6:$AK$505,"○")&gt;0,1,0))</f>
        <v>0</v>
      </c>
      <c r="I90" s="39" t="n">
        <f aca="false">IF(I$4=0,0,IF(COUNTIFS(実績!$W$6:$W$505,I$3,実績!$AI$6:$AI$505,"&lt;="&amp;$A90,実績!$AJ$6:$AJ$505,"&gt;"&amp;$A90,実績!$AK$6:$AK$505,"○")&gt;0,1,0))</f>
        <v>0</v>
      </c>
      <c r="J90" s="39" t="n">
        <f aca="false">IF(J$4=0,0,IF(COUNTIFS(実績!$W$6:$W$505,J$3,実績!$AI$6:$AI$505,"&lt;="&amp;$A90,実績!$AJ$6:$AJ$505,"&gt;"&amp;$A90,実績!$AK$6:$AK$505,"○")&gt;0,1,0))</f>
        <v>0</v>
      </c>
      <c r="K90" s="39" t="n">
        <f aca="false">IF(K$4=0,0,IF(COUNTIFS(実績!$W$6:$W$505,K$3,実績!$AI$6:$AI$505,"&lt;="&amp;$A90,実績!$AJ$6:$AJ$505,"&gt;"&amp;$A90,実績!$AK$6:$AK$505,"○")&gt;0,1,0))</f>
        <v>0</v>
      </c>
      <c r="L90" s="39" t="n">
        <f aca="false">IF(L$4=0,0,IF(COUNTIFS(実績!$W$6:$W$505,L$3,実績!$AI$6:$AI$505,"&lt;="&amp;$A90,実績!$AJ$6:$AJ$505,"&gt;"&amp;$A90,実績!$AK$6:$AK$505,"○")&gt;0,1,0))</f>
        <v>0</v>
      </c>
      <c r="M90" s="39" t="n">
        <f aca="false">IF(M$4=0,0,IF(COUNTIFS(実績!$W$6:$W$505,M$3,実績!$AI$6:$AI$505,"&lt;="&amp;$A90,実績!$AJ$6:$AJ$505,"&gt;"&amp;$A90,実績!$AK$6:$AK$505,"○")&gt;0,1,0))</f>
        <v>0</v>
      </c>
      <c r="N90" s="39" t="n">
        <f aca="false">IF(N$4=0,0,IF(COUNTIFS(実績!$W$6:$W$505,N$3,実績!$AI$6:$AI$505,"&lt;="&amp;$A90,実績!$AJ$6:$AJ$505,"&gt;"&amp;$A90,実績!$AK$6:$AK$505,"○")&gt;0,1,0))</f>
        <v>0</v>
      </c>
      <c r="O90" s="39" t="n">
        <f aca="false">IF(O$4=0,0,IF(COUNTIFS(実績!$W$6:$W$505,O$3,実績!$AI$6:$AI$505,"&lt;="&amp;$A90,実績!$AJ$6:$AJ$505,"&gt;"&amp;$A90,実績!$AK$6:$AK$505,"○")&gt;0,1,0))</f>
        <v>0</v>
      </c>
      <c r="P90" s="39" t="n">
        <f aca="false">IF(P$4=0,0,IF(COUNTIFS(実績!$W$6:$W$505,P$3,実績!$AI$6:$AI$505,"&lt;="&amp;$A90,実績!$AJ$6:$AJ$505,"&gt;"&amp;$A90,実績!$AK$6:$AK$505,"○")&gt;0,1,0))</f>
        <v>0</v>
      </c>
      <c r="Q90" s="39" t="n">
        <f aca="false">IF(Q$4=0,0,IF(COUNTIFS(実績!$W$6:$W$505,Q$3,実績!$AI$6:$AI$505,"&lt;="&amp;$A90,実績!$AJ$6:$AJ$505,"&gt;"&amp;$A90,実績!$AK$6:$AK$505,"○")&gt;0,1,0))</f>
        <v>0</v>
      </c>
      <c r="R90" s="39" t="n">
        <f aca="false">IF(R$4=0,0,IF(COUNTIFS(実績!$W$6:$W$505,R$3,実績!$AI$6:$AI$505,"&lt;="&amp;$A90,実績!$AJ$6:$AJ$505,"&gt;"&amp;$A90,実績!$AK$6:$AK$505,"○")&gt;0,1,0))</f>
        <v>0</v>
      </c>
      <c r="S90" s="39" t="n">
        <f aca="false">IF(S$4=0,0,IF(COUNTIFS(実績!$W$6:$W$505,S$3,実績!$AI$6:$AI$505,"&lt;="&amp;$A90,実績!$AJ$6:$AJ$505,"&gt;"&amp;$A90,実績!$AK$6:$AK$505,"○")&gt;0,1,0))</f>
        <v>0</v>
      </c>
      <c r="T90" s="39" t="n">
        <f aca="false">IF(T$4=0,0,IF(COUNTIFS(実績!$W$6:$W$505,T$3,実績!$AI$6:$AI$505,"&lt;="&amp;$A90,実績!$AJ$6:$AJ$505,"&gt;"&amp;$A90,実績!$AK$6:$AK$505,"○")&gt;0,1,0))</f>
        <v>0</v>
      </c>
      <c r="U90" s="39" t="n">
        <f aca="false">IF(U$4=0,0,IF(COUNTIFS(実績!$W$6:$W$505,U$3,実績!$AI$6:$AI$505,"&lt;="&amp;$A90,実績!$AJ$6:$AJ$505,"&gt;"&amp;$A90,実績!$AK$6:$AK$505,"○")&gt;0,1,0))</f>
        <v>0</v>
      </c>
      <c r="V90" s="39" t="n">
        <f aca="false">IF(V$4=0,0,IF(COUNTIFS(実績!$W$6:$W$505,V$3,実績!$AI$6:$AI$505,"&lt;="&amp;$A90,実績!$AJ$6:$AJ$505,"&gt;"&amp;$A90,実績!$AK$6:$AK$505,"○")&gt;0,1,0))</f>
        <v>0</v>
      </c>
      <c r="W90" s="39" t="n">
        <f aca="false">IF(W$4=0,0,IF(COUNTIFS(実績!$W$6:$W$505,W$3,実績!$AI$6:$AI$505,"&lt;="&amp;$A90,実績!$AJ$6:$AJ$505,"&gt;"&amp;$A90,実績!$AK$6:$AK$505,"○")&gt;0,1,0))</f>
        <v>0</v>
      </c>
      <c r="X90" s="39" t="n">
        <f aca="false">IF(X$4=0,0,IF(COUNTIFS(実績!$W$6:$W$505,X$3,実績!$AI$6:$AI$505,"&lt;="&amp;$A90,実績!$AJ$6:$AJ$505,"&gt;"&amp;$A90,実績!$AK$6:$AK$505,"○")&gt;0,1,0))</f>
        <v>0</v>
      </c>
      <c r="Y90" s="39" t="n">
        <f aca="false">IF(Y$4=0,0,IF(COUNTIFS(実績!$W$6:$W$505,Y$3,実績!$AI$6:$AI$505,"&lt;="&amp;$A90,実績!$AJ$6:$AJ$505,"&gt;"&amp;$A90,実績!$AK$6:$AK$505,"○")&gt;0,1,0))</f>
        <v>0</v>
      </c>
      <c r="Z90" s="39" t="n">
        <f aca="false">IF(Z$4=0,0,IF(COUNTIFS(実績!$W$6:$W$505,Z$3,実績!$AI$6:$AI$505,"&lt;="&amp;$A90,実績!$AJ$6:$AJ$505,"&gt;"&amp;$A90,実績!$AK$6:$AK$505,"○")&gt;0,1,0))</f>
        <v>0</v>
      </c>
      <c r="AA90" s="39" t="n">
        <f aca="false">IF(AA$4=0,0,IF(COUNTIFS(実績!$W$6:$W$505,AA$3,実績!$AI$6:$AI$505,"&lt;="&amp;$A90,実績!$AJ$6:$AJ$505,"&gt;"&amp;$A90,実績!$AK$6:$AK$505,"○")&gt;0,1,0))</f>
        <v>0</v>
      </c>
      <c r="AB90" s="39" t="n">
        <f aca="false">IF(AB$4=0,0,IF(COUNTIFS(実績!$W$6:$W$505,AB$3,実績!$AI$6:$AI$505,"&lt;="&amp;$A90,実績!$AJ$6:$AJ$505,"&gt;"&amp;$A90,実績!$AK$6:$AK$505,"○")&gt;0,1,0))</f>
        <v>0</v>
      </c>
      <c r="AC90" s="39" t="n">
        <f aca="false">IF(AC$4=0,0,IF(COUNTIFS(実績!$W$6:$W$505,AC$3,実績!$AI$6:$AI$505,"&lt;="&amp;$A90,実績!$AJ$6:$AJ$505,"&gt;"&amp;$A90,実績!$AK$6:$AK$505,"○")&gt;0,1,0))</f>
        <v>0</v>
      </c>
      <c r="AD90" s="39" t="n">
        <f aca="false">IF(AD$4=0,0,IF(COUNTIFS(実績!$W$6:$W$505,AD$3,実績!$AI$6:$AI$505,"&lt;="&amp;$A90,実績!$AJ$6:$AJ$505,"&gt;"&amp;$A90,実績!$AK$6:$AK$505,"○")&gt;0,1,0))</f>
        <v>0</v>
      </c>
      <c r="AE90" s="39" t="n">
        <f aca="false">IF(AE$4=0,0,IF(COUNTIFS(実績!$W$6:$W$505,AE$3,実績!$AI$6:$AI$505,"&lt;="&amp;$A90,実績!$AJ$6:$AJ$505,"&gt;"&amp;$A90,実績!$AK$6:$AK$505,"○")&gt;0,1,0))</f>
        <v>0</v>
      </c>
      <c r="AF90" s="39" t="n">
        <f aca="false">IF(AF$4=0,0,IF(COUNTIFS(実績!$W$6:$W$505,AF$3,実績!$AI$6:$AI$505,"&lt;="&amp;$A90,実績!$AJ$6:$AJ$505,"&gt;"&amp;$A90,実績!$AK$6:$AK$505,"○")&gt;0,1,0))</f>
        <v>0</v>
      </c>
      <c r="AG90" s="39" t="n">
        <f aca="false">IF(AG$4=0,0,IF(COUNTIFS(実績!$W$6:$W$505,AG$3,実績!$AI$6:$AI$505,"&lt;="&amp;$A90,実績!$AJ$6:$AJ$505,"&gt;"&amp;$A90,実績!$AK$6:$AK$505,"○")&gt;0,1,0))</f>
        <v>0</v>
      </c>
      <c r="AH90" s="39" t="n">
        <f aca="false">IF(AH$4=0,0,IF(COUNTIFS(実績!$W$6:$W$505,AH$3,実績!$AI$6:$AI$505,"&lt;="&amp;$A90,実績!$AJ$6:$AJ$505,"&gt;"&amp;$A90,実績!$AK$6:$AK$505,"○")&gt;0,1,0))</f>
        <v>0</v>
      </c>
      <c r="AI90" s="39" t="n">
        <f aca="false">IF(AI$4=0,0,IF(COUNTIFS(実績!$W$6:$W$505,AI$3,実績!$AI$6:$AI$505,"&lt;="&amp;$A90,実績!$AJ$6:$AJ$505,"&gt;"&amp;$A90,実績!$AK$6:$AK$505,"○")&gt;0,1,0))</f>
        <v>0</v>
      </c>
      <c r="AJ90" s="39" t="n">
        <f aca="false">IF(AJ$4=0,0,IF(COUNTIFS(実績!$W$6:$W$505,AJ$3,実績!$AI$6:$AI$505,"&lt;="&amp;$A90,実績!$AJ$6:$AJ$505,"&gt;"&amp;$A90,実績!$AK$6:$AK$505,"○")&gt;0,1,0))</f>
        <v>0</v>
      </c>
      <c r="AK90" s="39" t="n">
        <f aca="false">IF(AK$4=0,0,IF(COUNTIFS(実績!$W$6:$W$505,AK$3,実績!$AI$6:$AI$505,"&lt;="&amp;$A90,実績!$AJ$6:$AJ$505,"&gt;"&amp;$A90,実績!$AK$6:$AK$505,"○")&gt;0,1,0))</f>
        <v>0</v>
      </c>
      <c r="AL90" s="39" t="n">
        <f aca="false">IF(AL$4=0,0,IF(COUNTIFS(実績!$W$6:$W$505,AL$3,実績!$AI$6:$AI$505,"&lt;="&amp;$A90,実績!$AJ$6:$AJ$505,"&gt;"&amp;$A90,実績!$AK$6:$AK$505,"○")&gt;0,1,0))</f>
        <v>0</v>
      </c>
      <c r="AM90" s="39" t="n">
        <f aca="false">IF(AM$4=0,0,IF(COUNTIFS(実績!$W$6:$W$505,AM$3,実績!$AI$6:$AI$505,"&lt;="&amp;$A90,実績!$AJ$6:$AJ$505,"&gt;"&amp;$A90,実績!$AK$6:$AK$505,"○")&gt;0,1,0))</f>
        <v>0</v>
      </c>
      <c r="AN90" s="39" t="n">
        <f aca="false">IF(AN$4=0,0,IF(COUNTIFS(実績!$W$6:$W$505,AN$3,実績!$AI$6:$AI$505,"&lt;="&amp;$A90,実績!$AJ$6:$AJ$505,"&gt;"&amp;$A90,実績!$AK$6:$AK$505,"○")&gt;0,1,0))</f>
        <v>0</v>
      </c>
      <c r="AO90" s="39" t="n">
        <f aca="false">IF(AO$4=0,0,IF(COUNTIFS(実績!$W$6:$W$505,AO$3,実績!$AI$6:$AI$505,"&lt;="&amp;$A90,実績!$AJ$6:$AJ$505,"&gt;"&amp;$A90,実績!$AK$6:$AK$505,"○")&gt;0,1,0))</f>
        <v>0</v>
      </c>
      <c r="AP90" s="39" t="n">
        <f aca="false">IF(AP$4=0,0,IF(COUNTIFS(実績!$W$6:$W$505,AP$3,実績!$AI$6:$AI$505,"&lt;="&amp;$A90,実績!$AJ$6:$AJ$505,"&gt;"&amp;$A90,実績!$AK$6:$AK$505,"○")&gt;0,1,0))</f>
        <v>0</v>
      </c>
      <c r="AQ90" s="39" t="n">
        <f aca="false">IF(AQ$4=0,0,IF(COUNTIFS(実績!$W$6:$W$505,AQ$3,実績!$AI$6:$AI$505,"&lt;="&amp;$A90,実績!$AJ$6:$AJ$505,"&gt;"&amp;$A90,実績!$AK$6:$AK$505,"○")&gt;0,1,0))</f>
        <v>0</v>
      </c>
      <c r="AR90" s="39" t="n">
        <f aca="false">IF(AR$4=0,0,IF(COUNTIFS(実績!$W$6:$W$505,AR$3,実績!$AI$6:$AI$505,"&lt;="&amp;$A90,実績!$AJ$6:$AJ$505,"&gt;"&amp;$A90,実績!$AK$6:$AK$505,"○")&gt;0,1,0))</f>
        <v>0</v>
      </c>
      <c r="AS90" s="39" t="n">
        <f aca="false">IF(AS$4=0,0,IF(COUNTIFS(実績!$W$6:$W$505,AS$3,実績!$AI$6:$AI$505,"&lt;="&amp;$A90,実績!$AJ$6:$AJ$505,"&gt;"&amp;$A90,実績!$AK$6:$AK$505,"○")&gt;0,1,0))</f>
        <v>0</v>
      </c>
      <c r="AT90" s="39" t="n">
        <f aca="false">IF(AT$4=0,0,IF(COUNTIFS(実績!$W$6:$W$505,AT$3,実績!$AI$6:$AI$505,"&lt;="&amp;$A90,実績!$AJ$6:$AJ$505,"&gt;"&amp;$A90,実績!$AK$6:$AK$505,"○")&gt;0,1,0))</f>
        <v>0</v>
      </c>
      <c r="AU90" s="39" t="n">
        <f aca="false">IF(AU$4=0,0,IF(COUNTIFS(実績!$W$6:$W$505,AU$3,実績!$AI$6:$AI$505,"&lt;="&amp;$A90,実績!$AJ$6:$AJ$505,"&gt;"&amp;$A90,実績!$AK$6:$AK$505,"○")&gt;0,1,0))</f>
        <v>0</v>
      </c>
      <c r="AV90" s="39" t="n">
        <f aca="false">IF(AV$4=0,0,IF(COUNTIFS(実績!$W$6:$W$505,AV$3,実績!$AI$6:$AI$505,"&lt;="&amp;$A90,実績!$AJ$6:$AJ$505,"&gt;"&amp;$A90,実績!$AK$6:$AK$505,"○")&gt;0,1,0))</f>
        <v>0</v>
      </c>
      <c r="AW90" s="39" t="n">
        <f aca="false">IF(AW$4=0,0,IF(COUNTIFS(実績!$W$6:$W$505,AW$3,実績!$AI$6:$AI$505,"&lt;="&amp;$A90,実績!$AJ$6:$AJ$505,"&gt;"&amp;$A90,実績!$AK$6:$AK$505,"○")&gt;0,1,0))</f>
        <v>0</v>
      </c>
      <c r="AX90" s="39" t="n">
        <f aca="false">IF(AX$4=0,0,IF(COUNTIFS(実績!$W$6:$W$505,AX$3,実績!$AI$6:$AI$505,"&lt;="&amp;$A90,実績!$AJ$6:$AJ$505,"&gt;"&amp;$A90,実績!$AK$6:$AK$505,"○")&gt;0,1,0))</f>
        <v>0</v>
      </c>
      <c r="AY90" s="39" t="n">
        <f aca="false">IF(AY$4=0,0,IF(COUNTIFS(実績!$W$6:$W$505,AY$3,実績!$AI$6:$AI$505,"&lt;="&amp;$A90,実績!$AJ$6:$AJ$505,"&gt;"&amp;$A90,実績!$AK$6:$AK$505,"○")&gt;0,1,0))</f>
        <v>0</v>
      </c>
      <c r="AZ90" s="39" t="n">
        <f aca="false">IF(AZ$4=0,0,IF(COUNTIFS(実績!$W$6:$W$505,AZ$3,実績!$AI$6:$AI$505,"&lt;="&amp;$A90,実績!$AJ$6:$AJ$505,"&gt;"&amp;$A90,実績!$AK$6:$AK$505,"○")&gt;0,1,0))</f>
        <v>0</v>
      </c>
      <c r="BA90" s="39" t="n">
        <f aca="false">IF(BA$4=0,0,IF(COUNTIFS(実績!$W$6:$W$505,BA$3,実績!$AI$6:$AI$505,"&lt;="&amp;$A90,実績!$AJ$6:$AJ$505,"&gt;"&amp;$A90,実績!$AK$6:$AK$505,"○")&gt;0,1,0))</f>
        <v>0</v>
      </c>
      <c r="BB90" s="39" t="n">
        <f aca="false">IF(BB$4=0,0,IF(COUNTIFS(実績!$W$6:$W$505,BB$3,実績!$AI$6:$AI$505,"&lt;="&amp;$A90,実績!$AJ$6:$AJ$505,"&gt;"&amp;$A90,実績!$AK$6:$AK$505,"○")&gt;0,1,0))</f>
        <v>0</v>
      </c>
      <c r="BC90" s="39" t="n">
        <f aca="false">IF(BC$4=0,0,IF(COUNTIFS(実績!$W$6:$W$505,BC$3,実績!$AI$6:$AI$505,"&lt;="&amp;$A90,実績!$AJ$6:$AJ$505,"&gt;"&amp;$A90,実績!$AK$6:$AK$505,"○")&gt;0,1,0))</f>
        <v>0</v>
      </c>
      <c r="BD90" s="39" t="n">
        <f aca="false">IF(BD$4=0,0,IF(COUNTIFS(実績!$W$6:$W$505,BD$3,実績!$AI$6:$AI$505,"&lt;="&amp;$A90,実績!$AJ$6:$AJ$505,"&gt;"&amp;$A90,実績!$AK$6:$AK$505,"○")&gt;0,1,0))</f>
        <v>0</v>
      </c>
      <c r="BE90" s="39" t="n">
        <f aca="false">IF(BE$4=0,0,IF(COUNTIFS(実績!$W$6:$W$505,BE$3,実績!$AI$6:$AI$505,"&lt;="&amp;$A90,実績!$AJ$6:$AJ$505,"&gt;"&amp;$A90,実績!$AK$6:$AK$505,"○")&gt;0,1,0))</f>
        <v>0</v>
      </c>
      <c r="BF90" s="39" t="n">
        <f aca="false">IF(BF$4=0,0,IF(COUNTIFS(実績!$W$6:$W$505,BF$3,実績!$AI$6:$AI$505,"&lt;="&amp;$A90,実績!$AJ$6:$AJ$505,"&gt;"&amp;$A90,実績!$AK$6:$AK$505,"○")&gt;0,1,0))</f>
        <v>0</v>
      </c>
      <c r="BG90" s="39" t="n">
        <f aca="false">IF(BG$4=0,0,IF(COUNTIFS(実績!$W$6:$W$505,BG$3,実績!$AI$6:$AI$505,"&lt;="&amp;$A90,実績!$AJ$6:$AJ$505,"&gt;"&amp;$A90,実績!$AK$6:$AK$505,"○")&gt;0,1,0))</f>
        <v>0</v>
      </c>
      <c r="BH90" s="39" t="n">
        <f aca="false">IF(BH$4=0,0,IF(COUNTIFS(実績!$W$6:$W$505,BH$3,実績!$AI$6:$AI$505,"&lt;="&amp;$A90,実績!$AJ$6:$AJ$505,"&gt;"&amp;$A90,実績!$AK$6:$AK$505,"○")&gt;0,1,0))</f>
        <v>0</v>
      </c>
      <c r="BI90" s="39" t="n">
        <f aca="false">IF(BI$4=0,0,IF(COUNTIFS(実績!$W$6:$W$505,BI$3,実績!$AI$6:$AI$505,"&lt;="&amp;$A90,実績!$AJ$6:$AJ$505,"&gt;"&amp;$A90,実績!$AK$6:$AK$505,"○")&gt;0,1,0))</f>
        <v>0</v>
      </c>
      <c r="BJ90" s="39" t="n">
        <f aca="false">IF(BJ$4=0,0,IF(COUNTIFS(実績!$W$6:$W$505,BJ$3,実績!$AI$6:$AI$505,"&lt;="&amp;$A90,実績!$AJ$6:$AJ$505,"&gt;"&amp;$A90,実績!$AK$6:$AK$505,"○")&gt;0,1,0))</f>
        <v>0</v>
      </c>
      <c r="BK90" s="39" t="n">
        <f aca="false">IF(BK$4=0,0,IF(COUNTIFS(実績!$W$6:$W$505,BK$3,実績!$AI$6:$AI$505,"&lt;="&amp;$A90,実績!$AJ$6:$AJ$505,"&gt;"&amp;$A90,実績!$AK$6:$AK$505,"○")&gt;0,1,0))</f>
        <v>0</v>
      </c>
      <c r="BL90" s="39" t="n">
        <f aca="false">IF(BL$4=0,0,IF(COUNTIFS(実績!$W$6:$W$505,BL$3,実績!$AI$6:$AI$505,"&lt;="&amp;$A90,実績!$AJ$6:$AJ$505,"&gt;"&amp;$A90,実績!$AK$6:$AK$505,"○")&gt;0,1,0))</f>
        <v>0</v>
      </c>
      <c r="BM90" s="39" t="n">
        <f aca="false">IF(BM$4=0,0,IF(COUNTIFS(実績!$W$6:$W$505,BM$3,実績!$AI$6:$AI$505,"&lt;="&amp;$A90,実績!$AJ$6:$AJ$505,"&gt;"&amp;$A90,実績!$AK$6:$AK$505,"○")&gt;0,1,0))</f>
        <v>0</v>
      </c>
      <c r="BN90" s="39" t="n">
        <f aca="false">IF(BN$4=0,0,IF(COUNTIFS(実績!$W$6:$W$505,BN$3,実績!$AI$6:$AI$505,"&lt;="&amp;$A90,実績!$AJ$6:$AJ$505,"&gt;"&amp;$A90,実績!$AK$6:$AK$505,"○")&gt;0,1,0))</f>
        <v>0</v>
      </c>
      <c r="BO90" s="39" t="n">
        <f aca="false">IF(BO$4=0,0,IF(COUNTIFS(実績!$W$6:$W$505,BO$3,実績!$AI$6:$AI$505,"&lt;="&amp;$A90,実績!$AJ$6:$AJ$505,"&gt;"&amp;$A90,実績!$AK$6:$AK$505,"○")&gt;0,1,0))</f>
        <v>0</v>
      </c>
      <c r="BP90" s="39" t="n">
        <f aca="false">IF(BP$4=0,0,IF(COUNTIFS(実績!$W$6:$W$505,BP$3,実績!$AI$6:$AI$505,"&lt;="&amp;$A90,実績!$AJ$6:$AJ$505,"&gt;"&amp;$A90,実績!$AK$6:$AK$505,"○")&gt;0,1,0))</f>
        <v>0</v>
      </c>
      <c r="BQ90" s="39" t="n">
        <f aca="false">IF(BQ$4=0,0,IF(COUNTIFS(実績!$W$6:$W$505,BQ$3,実績!$AI$6:$AI$505,"&lt;="&amp;$A90,実績!$AJ$6:$AJ$505,"&gt;"&amp;$A90,実績!$AK$6:$AK$505,"○")&gt;0,1,0))</f>
        <v>0</v>
      </c>
      <c r="BR90" s="39" t="n">
        <f aca="false">IF(BR$4=0,0,IF(COUNTIFS(実績!$W$6:$W$505,BR$3,実績!$AI$6:$AI$505,"&lt;="&amp;$A90,実績!$AJ$6:$AJ$505,"&gt;"&amp;$A90,実績!$AK$6:$AK$505,"○")&gt;0,1,0))</f>
        <v>0</v>
      </c>
      <c r="BS90" s="39" t="n">
        <f aca="false">IF(BS$4=0,0,IF(COUNTIFS(実績!$W$6:$W$505,BS$3,実績!$AI$6:$AI$505,"&lt;="&amp;$A90,実績!$AJ$6:$AJ$505,"&gt;"&amp;$A90,実績!$AK$6:$AK$505,"○")&gt;0,1,0))</f>
        <v>0</v>
      </c>
      <c r="BT90" s="39" t="n">
        <f aca="false">IF(BT$4=0,0,IF(COUNTIFS(実績!$W$6:$W$505,BT$3,実績!$AI$6:$AI$505,"&lt;="&amp;$A90,実績!$AJ$6:$AJ$505,"&gt;"&amp;$A90,実績!$AK$6:$AK$505,"○")&gt;0,1,0))</f>
        <v>0</v>
      </c>
      <c r="BU90" s="39" t="n">
        <f aca="false">IF(BU$4=0,0,IF(COUNTIFS(実績!$W$6:$W$505,BU$3,実績!$AI$6:$AI$505,"&lt;="&amp;$A90,実績!$AJ$6:$AJ$505,"&gt;"&amp;$A90,実績!$AK$6:$AK$505,"○")&gt;0,1,0))</f>
        <v>0</v>
      </c>
      <c r="BV90" s="39" t="n">
        <f aca="false">IF(BV$4=0,0,IF(COUNTIFS(実績!$W$6:$W$505,BV$3,実績!$AI$6:$AI$505,"&lt;="&amp;$A90,実績!$AJ$6:$AJ$505,"&gt;"&amp;$A90,実績!$AK$6:$AK$505,"○")&gt;0,1,0))</f>
        <v>0</v>
      </c>
      <c r="BW90" s="39" t="n">
        <f aca="false">IF(BW$4=0,0,IF(COUNTIFS(実績!$W$6:$W$505,BW$3,実績!$AI$6:$AI$505,"&lt;="&amp;$A90,実績!$AJ$6:$AJ$505,"&gt;"&amp;$A90,実績!$AK$6:$AK$505,"○")&gt;0,1,0))</f>
        <v>0</v>
      </c>
      <c r="BX90" s="39" t="n">
        <f aca="false">IF(BX$4=0,0,IF(COUNTIFS(実績!$W$6:$W$505,BX$3,実績!$AI$6:$AI$505,"&lt;="&amp;$A90,実績!$AJ$6:$AJ$505,"&gt;"&amp;$A90,実績!$AK$6:$AK$505,"○")&gt;0,1,0))</f>
        <v>0</v>
      </c>
      <c r="BY90" s="39" t="n">
        <f aca="false">IF(BY$4=0,0,IF(COUNTIFS(実績!$W$6:$W$505,BY$3,実績!$AI$6:$AI$505,"&lt;="&amp;$A90,実績!$AJ$6:$AJ$505,"&gt;"&amp;$A90,実績!$AK$6:$AK$505,"○")&gt;0,1,0))</f>
        <v>0</v>
      </c>
      <c r="BZ90" s="39" t="n">
        <f aca="false">IF(BZ$4=0,0,IF(COUNTIFS(実績!$W$6:$W$505,BZ$3,実績!$AI$6:$AI$505,"&lt;="&amp;$A90,実績!$AJ$6:$AJ$505,"&gt;"&amp;$A90,実績!$AK$6:$AK$505,"○")&gt;0,1,0))</f>
        <v>0</v>
      </c>
      <c r="CA90" s="39" t="n">
        <f aca="false">IF(CA$4=0,0,IF(COUNTIFS(実績!$W$6:$W$505,CA$3,実績!$AI$6:$AI$505,"&lt;="&amp;$A90,実績!$AJ$6:$AJ$505,"&gt;"&amp;$A90,実績!$AK$6:$AK$505,"○")&gt;0,1,0))</f>
        <v>0</v>
      </c>
      <c r="CB90" s="39" t="n">
        <f aca="false">IF(CB$4=0,0,IF(COUNTIFS(実績!$W$6:$W$505,CB$3,実績!$AI$6:$AI$505,"&lt;="&amp;$A90,実績!$AJ$6:$AJ$505,"&gt;"&amp;$A90,実績!$AK$6:$AK$505,"○")&gt;0,1,0))</f>
        <v>0</v>
      </c>
      <c r="CC90" s="39" t="n">
        <f aca="false">IF(CC$4=0,0,IF(COUNTIFS(実績!$W$6:$W$505,CC$3,実績!$AI$6:$AI$505,"&lt;="&amp;$A90,実績!$AJ$6:$AJ$505,"&gt;"&amp;$A90,実績!$AK$6:$AK$505,"○")&gt;0,1,0))</f>
        <v>0</v>
      </c>
      <c r="CD90" s="39" t="n">
        <f aca="false">IF(CD$4=0,0,IF(COUNTIFS(実績!$W$6:$W$505,CD$3,実績!$AI$6:$AI$505,"&lt;="&amp;$A90,実績!$AJ$6:$AJ$505,"&gt;"&amp;$A90,実績!$AK$6:$AK$505,"○")&gt;0,1,0))</f>
        <v>0</v>
      </c>
      <c r="CE90" s="39" t="n">
        <f aca="false">IF(CE$4=0,0,IF(COUNTIFS(実績!$W$6:$W$505,CE$3,実績!$AI$6:$AI$505,"&lt;="&amp;$A90,実績!$AJ$6:$AJ$505,"&gt;"&amp;$A90,実績!$AK$6:$AK$505,"○")&gt;0,1,0))</f>
        <v>0</v>
      </c>
      <c r="CF90" s="39" t="n">
        <f aca="false">IF(CF$4=0,0,IF(COUNTIFS(実績!$W$6:$W$505,CF$3,実績!$AI$6:$AI$505,"&lt;="&amp;$A90,実績!$AJ$6:$AJ$505,"&gt;"&amp;$A90,実績!$AK$6:$AK$505,"○")&gt;0,1,0))</f>
        <v>0</v>
      </c>
      <c r="CG90" s="39" t="n">
        <f aca="false">IF(CG$4=0,0,IF(COUNTIFS(実績!$W$6:$W$505,CG$3,実績!$AI$6:$AI$505,"&lt;="&amp;$A90,実績!$AJ$6:$AJ$505,"&gt;"&amp;$A90,実績!$AK$6:$AK$505,"○")&gt;0,1,0))</f>
        <v>0</v>
      </c>
      <c r="CH90" s="39" t="n">
        <f aca="false">IF(CH$4=0,0,IF(COUNTIFS(実績!$W$6:$W$505,CH$3,実績!$AI$6:$AI$505,"&lt;="&amp;$A90,実績!$AJ$6:$AJ$505,"&gt;"&amp;$A90,実績!$AK$6:$AK$505,"○")&gt;0,1,0))</f>
        <v>0</v>
      </c>
      <c r="CI90" s="39" t="n">
        <f aca="false">IF(CI$4=0,0,IF(COUNTIFS(実績!$W$6:$W$505,CI$3,実績!$AI$6:$AI$505,"&lt;="&amp;$A90,実績!$AJ$6:$AJ$505,"&gt;"&amp;$A90,実績!$AK$6:$AK$505,"○")&gt;0,1,0))</f>
        <v>0</v>
      </c>
      <c r="CJ90" s="39" t="n">
        <f aca="false">IF(CJ$4=0,0,IF(COUNTIFS(実績!$W$6:$W$505,CJ$3,実績!$AI$6:$AI$505,"&lt;="&amp;$A90,実績!$AJ$6:$AJ$505,"&gt;"&amp;$A90,実績!$AK$6:$AK$505,"○")&gt;0,1,0))</f>
        <v>0</v>
      </c>
      <c r="CK90" s="39" t="n">
        <f aca="false">IF(CK$4=0,0,IF(COUNTIFS(実績!$W$6:$W$505,CK$3,実績!$AI$6:$AI$505,"&lt;="&amp;$A90,実績!$AJ$6:$AJ$505,"&gt;"&amp;$A90,実績!$AK$6:$AK$505,"○")&gt;0,1,0))</f>
        <v>0</v>
      </c>
      <c r="CL90" s="39" t="n">
        <f aca="false">IF(CL$4=0,0,IF(COUNTIFS(実績!$W$6:$W$505,CL$3,実績!$AI$6:$AI$505,"&lt;="&amp;$A90,実績!$AJ$6:$AJ$505,"&gt;"&amp;$A90,実績!$AK$6:$AK$505,"○")&gt;0,1,0))</f>
        <v>0</v>
      </c>
      <c r="CM90" s="39" t="n">
        <f aca="false">IF(CM$4=0,0,IF(COUNTIFS(実績!$W$6:$W$505,CM$3,実績!$AI$6:$AI$505,"&lt;="&amp;$A90,実績!$AJ$6:$AJ$505,"&gt;"&amp;$A90,実績!$AK$6:$AK$505,"○")&gt;0,1,0))</f>
        <v>0</v>
      </c>
      <c r="CN90" s="39" t="n">
        <f aca="false">IF(CN$4=0,0,IF(COUNTIFS(実績!$W$6:$W$505,CN$3,実績!$AI$6:$AI$505,"&lt;="&amp;$A90,実績!$AJ$6:$AJ$505,"&gt;"&amp;$A90,実績!$AK$6:$AK$505,"○")&gt;0,1,0))</f>
        <v>0</v>
      </c>
      <c r="CO90" s="39" t="n">
        <f aca="false">IF(CO$4=0,0,IF(COUNTIFS(実績!$W$6:$W$505,CO$3,実績!$AI$6:$AI$505,"&lt;="&amp;$A90,実績!$AJ$6:$AJ$505,"&gt;"&amp;$A90,実績!$AK$6:$AK$505,"○")&gt;0,1,0))</f>
        <v>0</v>
      </c>
      <c r="CP90" s="39" t="n">
        <f aca="false">IF(CP$4=0,0,IF(COUNTIFS(実績!$W$6:$W$505,CP$3,実績!$AI$6:$AI$505,"&lt;="&amp;$A90,実績!$AJ$6:$AJ$505,"&gt;"&amp;$A90,実績!$AK$6:$AK$505,"○")&gt;0,1,0))</f>
        <v>0</v>
      </c>
      <c r="CQ90" s="39" t="n">
        <f aca="false">IF(CQ$4=0,0,IF(COUNTIFS(実績!$W$6:$W$505,CQ$3,実績!$AI$6:$AI$505,"&lt;="&amp;$A90,実績!$AJ$6:$AJ$505,"&gt;"&amp;$A90,実績!$AK$6:$AK$505,"○")&gt;0,1,0))</f>
        <v>0</v>
      </c>
      <c r="CR90" s="39" t="n">
        <f aca="false">IF(CR$4=0,0,IF(COUNTIFS(実績!$W$6:$W$505,CR$3,実績!$AI$6:$AI$505,"&lt;="&amp;$A90,実績!$AJ$6:$AJ$505,"&gt;"&amp;$A90,実績!$AK$6:$AK$505,"○")&gt;0,1,0))</f>
        <v>0</v>
      </c>
      <c r="CS90" s="39" t="n">
        <f aca="false">IF(CS$4=0,0,IF(COUNTIFS(実績!$W$6:$W$505,CS$3,実績!$AI$6:$AI$505,"&lt;="&amp;$A90,実績!$AJ$6:$AJ$505,"&gt;"&amp;$A90,実績!$AK$6:$AK$505,"○")&gt;0,1,0))</f>
        <v>0</v>
      </c>
      <c r="CT90" s="39" t="n">
        <f aca="false">IF(CT$4=0,0,IF(COUNTIFS(実績!$W$6:$W$505,CT$3,実績!$AI$6:$AI$505,"&lt;="&amp;$A90,実績!$AJ$6:$AJ$505,"&gt;"&amp;$A90,実績!$AK$6:$AK$505,"○")&gt;0,1,0))</f>
        <v>0</v>
      </c>
      <c r="CU90" s="39" t="n">
        <f aca="false">IF(CU$4=0,0,IF(COUNTIFS(実績!$W$6:$W$505,CU$3,実績!$AI$6:$AI$505,"&lt;="&amp;$A90,実績!$AJ$6:$AJ$505,"&gt;"&amp;$A90,実績!$AK$6:$AK$505,"○")&gt;0,1,0))</f>
        <v>0</v>
      </c>
      <c r="CV90" s="39" t="n">
        <f aca="false">IF(CV$4=0,0,IF(COUNTIFS(実績!$W$6:$W$505,CV$3,実績!$AI$6:$AI$505,"&lt;="&amp;$A90,実績!$AJ$6:$AJ$505,"&gt;"&amp;$A90,実績!$AK$6:$AK$505,"○")&gt;0,1,0))</f>
        <v>0</v>
      </c>
      <c r="CW90" s="39" t="n">
        <f aca="false">IF(CW$4=0,0,IF(COUNTIFS(実績!$W$6:$W$505,CW$3,実績!$AI$6:$AI$505,"&lt;="&amp;$A90,実績!$AJ$6:$AJ$505,"&gt;"&amp;$A90,実績!$AK$6:$AK$505,"○")&gt;0,1,0))</f>
        <v>0</v>
      </c>
      <c r="CX90" s="39" t="n">
        <f aca="false">IF(CX$4=0,0,IF(COUNTIFS(実績!$W$6:$W$505,CX$3,実績!$AI$6:$AI$505,"&lt;="&amp;$A90,実績!$AJ$6:$AJ$505,"&gt;"&amp;$A90,実績!$AK$6:$AK$505,"○")&gt;0,1,0))</f>
        <v>0</v>
      </c>
      <c r="CY90" s="39" t="n">
        <f aca="false">IF(CY$4=0,0,IF(COUNTIFS(実績!$W$6:$W$505,CY$3,実績!$AI$6:$AI$505,"&lt;="&amp;$A90,実績!$AJ$6:$AJ$505,"&gt;"&amp;$A90,実績!$AK$6:$AK$505,"○")&gt;0,1,0))</f>
        <v>0</v>
      </c>
      <c r="CZ90" s="39" t="n">
        <f aca="false">IF(CZ$4=0,0,IF(COUNTIFS(実績!$W$6:$W$505,CZ$3,実績!$AI$6:$AI$505,"&lt;="&amp;$A90,実績!$AJ$6:$AJ$505,"&gt;"&amp;$A90,実績!$AK$6:$AK$505,"○")&gt;0,1,0))</f>
        <v>0</v>
      </c>
      <c r="DA90" s="39" t="n">
        <f aca="false">IF(DA$4=0,0,IF(COUNTIFS(実績!$W$6:$W$505,DA$3,実績!$AI$6:$AI$505,"&lt;="&amp;$A90,実績!$AJ$6:$AJ$505,"&gt;"&amp;$A90,実績!$AK$6:$AK$505,"○")&gt;0,1,0))</f>
        <v>0</v>
      </c>
      <c r="DB90" s="39" t="n">
        <f aca="false">IF(DB$4=0,0,IF(COUNTIFS(実績!$W$6:$W$505,DB$3,実績!$AI$6:$AI$505,"&lt;="&amp;$A90,実績!$AJ$6:$AJ$505,"&gt;"&amp;$A90,実績!$AK$6:$AK$505,"○")&gt;0,1,0))</f>
        <v>0</v>
      </c>
      <c r="DC90" s="39" t="n">
        <f aca="false">IF(DC$4=0,0,IF(COUNTIFS(実績!$W$6:$W$505,DC$3,実績!$AI$6:$AI$505,"&lt;="&amp;$A90,実績!$AJ$6:$AJ$505,"&gt;"&amp;$A90,実績!$AK$6:$AK$505,"○")&gt;0,1,0))</f>
        <v>0</v>
      </c>
      <c r="DD90" s="39" t="n">
        <f aca="false">IF(DD$4=0,0,IF(COUNTIFS(実績!$W$6:$W$505,DD$3,実績!$AI$6:$AI$505,"&lt;="&amp;$A90,実績!$AJ$6:$AJ$505,"&gt;"&amp;$A90,実績!$AK$6:$AK$505,"○")&gt;0,1,0))</f>
        <v>0</v>
      </c>
      <c r="DE90" s="39" t="n">
        <f aca="false">IF(DE$4=0,0,IF(COUNTIFS(実績!$W$6:$W$505,DE$3,実績!$AI$6:$AI$505,"&lt;="&amp;$A90,実績!$AJ$6:$AJ$505,"&gt;"&amp;$A90,実績!$AK$6:$AK$505,"○")&gt;0,1,0))</f>
        <v>0</v>
      </c>
      <c r="DF90" s="39" t="n">
        <f aca="false">IF(DF$4=0,0,IF(COUNTIFS(実績!$W$6:$W$505,DF$3,実績!$AI$6:$AI$505,"&lt;="&amp;$A90,実績!$AJ$6:$AJ$505,"&gt;"&amp;$A90,実績!$AK$6:$AK$505,"○")&gt;0,1,0))</f>
        <v>0</v>
      </c>
      <c r="DG90" s="39" t="n">
        <f aca="false">IF(DG$4=0,0,IF(COUNTIFS(実績!$W$6:$W$505,DG$3,実績!$AI$6:$AI$505,"&lt;="&amp;$A90,実績!$AJ$6:$AJ$505,"&gt;"&amp;$A90,実績!$AK$6:$AK$505,"○")&gt;0,1,0))</f>
        <v>0</v>
      </c>
      <c r="DH90" s="39" t="n">
        <f aca="false">IF(DH$4=0,0,IF(COUNTIFS(実績!$W$6:$W$505,DH$3,実績!$AI$6:$AI$505,"&lt;="&amp;$A90,実績!$AJ$6:$AJ$505,"&gt;"&amp;$A90,実績!$AK$6:$AK$505,"○")&gt;0,1,0))</f>
        <v>0</v>
      </c>
      <c r="DI90" s="39" t="n">
        <f aca="false">IF(DI$4=0,0,IF(COUNTIFS(実績!$W$6:$W$505,DI$3,実績!$AI$6:$AI$505,"&lt;="&amp;$A90,実績!$AJ$6:$AJ$505,"&gt;"&amp;$A90,実績!$AK$6:$AK$505,"○")&gt;0,1,0))</f>
        <v>0</v>
      </c>
      <c r="DJ90" s="39" t="n">
        <f aca="false">IF(DJ$4=0,0,IF(COUNTIFS(実績!$W$6:$W$505,DJ$3,実績!$AI$6:$AI$505,"&lt;="&amp;$A90,実績!$AJ$6:$AJ$505,"&gt;"&amp;$A90,実績!$AK$6:$AK$505,"○")&gt;0,1,0))</f>
        <v>0</v>
      </c>
      <c r="DK90" s="39" t="n">
        <f aca="false">IF(DK$4=0,0,IF(COUNTIFS(実績!$W$6:$W$505,DK$3,実績!$AI$6:$AI$505,"&lt;="&amp;$A90,実績!$AJ$6:$AJ$505,"&gt;"&amp;$A90,実績!$AK$6:$AK$505,"○")&gt;0,1,0))</f>
        <v>0</v>
      </c>
      <c r="DL90" s="39" t="n">
        <f aca="false">IF(DL$4=0,0,IF(COUNTIFS(実績!$W$6:$W$505,DL$3,実績!$AI$6:$AI$505,"&lt;="&amp;$A90,実績!$AJ$6:$AJ$505,"&gt;"&amp;$A90,実績!$AK$6:$AK$505,"○")&gt;0,1,0))</f>
        <v>0</v>
      </c>
      <c r="DM90" s="39" t="n">
        <f aca="false">IF(DM$4=0,0,IF(COUNTIFS(実績!$W$6:$W$505,DM$3,実績!$AI$6:$AI$505,"&lt;="&amp;$A90,実績!$AJ$6:$AJ$505,"&gt;"&amp;$A90,実績!$AK$6:$AK$505,"○")&gt;0,1,0))</f>
        <v>0</v>
      </c>
      <c r="DN90" s="39" t="n">
        <f aca="false">IF(DN$4=0,0,IF(COUNTIFS(実績!$W$6:$W$505,DN$3,実績!$AI$6:$AI$505,"&lt;="&amp;$A90,実績!$AJ$6:$AJ$505,"&gt;"&amp;$A90,実績!$AK$6:$AK$505,"○")&gt;0,1,0))</f>
        <v>0</v>
      </c>
      <c r="DO90" s="39" t="n">
        <f aca="false">IF(DO$4=0,0,IF(COUNTIFS(実績!$W$6:$W$505,DO$3,実績!$AI$6:$AI$505,"&lt;="&amp;$A90,実績!$AJ$6:$AJ$505,"&gt;"&amp;$A90,実績!$AK$6:$AK$505,"○")&gt;0,1,0))</f>
        <v>0</v>
      </c>
      <c r="DP90" s="39" t="n">
        <f aca="false">IF(DP$4=0,0,IF(COUNTIFS(実績!$W$6:$W$505,DP$3,実績!$AI$6:$AI$505,"&lt;="&amp;$A90,実績!$AJ$6:$AJ$505,"&gt;"&amp;$A90,実績!$AK$6:$AK$505,"○")&gt;0,1,0))</f>
        <v>0</v>
      </c>
      <c r="DQ90" s="39" t="n">
        <f aca="false">IF(DQ$4=0,0,IF(COUNTIFS(実績!$W$6:$W$505,DQ$3,実績!$AI$6:$AI$505,"&lt;="&amp;$A90,実績!$AJ$6:$AJ$505,"&gt;"&amp;$A90,実績!$AK$6:$AK$505,"○")&gt;0,1,0))</f>
        <v>0</v>
      </c>
      <c r="DR90" s="39" t="n">
        <f aca="false">IF(DR$4=0,0,IF(COUNTIFS(実績!$W$6:$W$505,DR$3,実績!$AI$6:$AI$505,"&lt;="&amp;$A90,実績!$AJ$6:$AJ$505,"&gt;"&amp;$A90,実績!$AK$6:$AK$505,"○")&gt;0,1,0))</f>
        <v>0</v>
      </c>
      <c r="DS90" s="39" t="n">
        <f aca="false">SUM(C90:DR90)</f>
        <v>0</v>
      </c>
      <c r="DT90" s="39" t="n">
        <f aca="false">SUMPRODUCT((実績!$C$6:$C$505="○")*ISNUMBER(実績!$AM$6:$AM$505)*(実績!$AM$6:$AM$505&lt;=$A90)*(実績!$AN$6:$AN$505&gt;$A90))</f>
        <v>0</v>
      </c>
      <c r="DU90" s="39" t="n">
        <f aca="false">SUMIF($C$2:$DR$2,"製鉄曳船",C90:DR90)</f>
        <v>0</v>
      </c>
      <c r="DV90" s="39" t="n">
        <f aca="false">SUMIF($C$2:$DR$2,"西日本海運",C90:DR90)</f>
        <v>0</v>
      </c>
    </row>
    <row r="91" customFormat="false" ht="15" hidden="false" customHeight="false" outlineLevel="0" collapsed="false">
      <c r="A91" s="0" t="n">
        <v>425</v>
      </c>
      <c r="B91" s="38" t="n">
        <f aca="false">A91/1440</f>
        <v>0.295138888888889</v>
      </c>
      <c r="C91" s="39" t="n">
        <f aca="false">IF(C$4=0,0,IF(COUNTIFS(実績!$W$6:$W$505,C$3,実績!$AI$6:$AI$505,"&lt;="&amp;$A91,実績!$AJ$6:$AJ$505,"&gt;"&amp;$A91,実績!$AK$6:$AK$505,"○")&gt;0,1,0))</f>
        <v>0</v>
      </c>
      <c r="D91" s="39" t="n">
        <f aca="false">IF(D$4=0,0,IF(COUNTIFS(実績!$W$6:$W$505,D$3,実績!$AI$6:$AI$505,"&lt;="&amp;$A91,実績!$AJ$6:$AJ$505,"&gt;"&amp;$A91,実績!$AK$6:$AK$505,"○")&gt;0,1,0))</f>
        <v>0</v>
      </c>
      <c r="E91" s="39" t="n">
        <f aca="false">IF(E$4=0,0,IF(COUNTIFS(実績!$W$6:$W$505,E$3,実績!$AI$6:$AI$505,"&lt;="&amp;$A91,実績!$AJ$6:$AJ$505,"&gt;"&amp;$A91,実績!$AK$6:$AK$505,"○")&gt;0,1,0))</f>
        <v>0</v>
      </c>
      <c r="F91" s="39" t="n">
        <f aca="false">IF(F$4=0,0,IF(COUNTIFS(実績!$W$6:$W$505,F$3,実績!$AI$6:$AI$505,"&lt;="&amp;$A91,実績!$AJ$6:$AJ$505,"&gt;"&amp;$A91,実績!$AK$6:$AK$505,"○")&gt;0,1,0))</f>
        <v>0</v>
      </c>
      <c r="G91" s="39" t="n">
        <f aca="false">IF(G$4=0,0,IF(COUNTIFS(実績!$W$6:$W$505,G$3,実績!$AI$6:$AI$505,"&lt;="&amp;$A91,実績!$AJ$6:$AJ$505,"&gt;"&amp;$A91,実績!$AK$6:$AK$505,"○")&gt;0,1,0))</f>
        <v>0</v>
      </c>
      <c r="H91" s="39" t="n">
        <f aca="false">IF(H$4=0,0,IF(COUNTIFS(実績!$W$6:$W$505,H$3,実績!$AI$6:$AI$505,"&lt;="&amp;$A91,実績!$AJ$6:$AJ$505,"&gt;"&amp;$A91,実績!$AK$6:$AK$505,"○")&gt;0,1,0))</f>
        <v>0</v>
      </c>
      <c r="I91" s="39" t="n">
        <f aca="false">IF(I$4=0,0,IF(COUNTIFS(実績!$W$6:$W$505,I$3,実績!$AI$6:$AI$505,"&lt;="&amp;$A91,実績!$AJ$6:$AJ$505,"&gt;"&amp;$A91,実績!$AK$6:$AK$505,"○")&gt;0,1,0))</f>
        <v>0</v>
      </c>
      <c r="J91" s="39" t="n">
        <f aca="false">IF(J$4=0,0,IF(COUNTIFS(実績!$W$6:$W$505,J$3,実績!$AI$6:$AI$505,"&lt;="&amp;$A91,実績!$AJ$6:$AJ$505,"&gt;"&amp;$A91,実績!$AK$6:$AK$505,"○")&gt;0,1,0))</f>
        <v>0</v>
      </c>
      <c r="K91" s="39" t="n">
        <f aca="false">IF(K$4=0,0,IF(COUNTIFS(実績!$W$6:$W$505,K$3,実績!$AI$6:$AI$505,"&lt;="&amp;$A91,実績!$AJ$6:$AJ$505,"&gt;"&amp;$A91,実績!$AK$6:$AK$505,"○")&gt;0,1,0))</f>
        <v>0</v>
      </c>
      <c r="L91" s="39" t="n">
        <f aca="false">IF(L$4=0,0,IF(COUNTIFS(実績!$W$6:$W$505,L$3,実績!$AI$6:$AI$505,"&lt;="&amp;$A91,実績!$AJ$6:$AJ$505,"&gt;"&amp;$A91,実績!$AK$6:$AK$505,"○")&gt;0,1,0))</f>
        <v>0</v>
      </c>
      <c r="M91" s="39" t="n">
        <f aca="false">IF(M$4=0,0,IF(COUNTIFS(実績!$W$6:$W$505,M$3,実績!$AI$6:$AI$505,"&lt;="&amp;$A91,実績!$AJ$6:$AJ$505,"&gt;"&amp;$A91,実績!$AK$6:$AK$505,"○")&gt;0,1,0))</f>
        <v>0</v>
      </c>
      <c r="N91" s="39" t="n">
        <f aca="false">IF(N$4=0,0,IF(COUNTIFS(実績!$W$6:$W$505,N$3,実績!$AI$6:$AI$505,"&lt;="&amp;$A91,実績!$AJ$6:$AJ$505,"&gt;"&amp;$A91,実績!$AK$6:$AK$505,"○")&gt;0,1,0))</f>
        <v>0</v>
      </c>
      <c r="O91" s="39" t="n">
        <f aca="false">IF(O$4=0,0,IF(COUNTIFS(実績!$W$6:$W$505,O$3,実績!$AI$6:$AI$505,"&lt;="&amp;$A91,実績!$AJ$6:$AJ$505,"&gt;"&amp;$A91,実績!$AK$6:$AK$505,"○")&gt;0,1,0))</f>
        <v>0</v>
      </c>
      <c r="P91" s="39" t="n">
        <f aca="false">IF(P$4=0,0,IF(COUNTIFS(実績!$W$6:$W$505,P$3,実績!$AI$6:$AI$505,"&lt;="&amp;$A91,実績!$AJ$6:$AJ$505,"&gt;"&amp;$A91,実績!$AK$6:$AK$505,"○")&gt;0,1,0))</f>
        <v>0</v>
      </c>
      <c r="Q91" s="39" t="n">
        <f aca="false">IF(Q$4=0,0,IF(COUNTIFS(実績!$W$6:$W$505,Q$3,実績!$AI$6:$AI$505,"&lt;="&amp;$A91,実績!$AJ$6:$AJ$505,"&gt;"&amp;$A91,実績!$AK$6:$AK$505,"○")&gt;0,1,0))</f>
        <v>0</v>
      </c>
      <c r="R91" s="39" t="n">
        <f aca="false">IF(R$4=0,0,IF(COUNTIFS(実績!$W$6:$W$505,R$3,実績!$AI$6:$AI$505,"&lt;="&amp;$A91,実績!$AJ$6:$AJ$505,"&gt;"&amp;$A91,実績!$AK$6:$AK$505,"○")&gt;0,1,0))</f>
        <v>0</v>
      </c>
      <c r="S91" s="39" t="n">
        <f aca="false">IF(S$4=0,0,IF(COUNTIFS(実績!$W$6:$W$505,S$3,実績!$AI$6:$AI$505,"&lt;="&amp;$A91,実績!$AJ$6:$AJ$505,"&gt;"&amp;$A91,実績!$AK$6:$AK$505,"○")&gt;0,1,0))</f>
        <v>0</v>
      </c>
      <c r="T91" s="39" t="n">
        <f aca="false">IF(T$4=0,0,IF(COUNTIFS(実績!$W$6:$W$505,T$3,実績!$AI$6:$AI$505,"&lt;="&amp;$A91,実績!$AJ$6:$AJ$505,"&gt;"&amp;$A91,実績!$AK$6:$AK$505,"○")&gt;0,1,0))</f>
        <v>0</v>
      </c>
      <c r="U91" s="39" t="n">
        <f aca="false">IF(U$4=0,0,IF(COUNTIFS(実績!$W$6:$W$505,U$3,実績!$AI$6:$AI$505,"&lt;="&amp;$A91,実績!$AJ$6:$AJ$505,"&gt;"&amp;$A91,実績!$AK$6:$AK$505,"○")&gt;0,1,0))</f>
        <v>0</v>
      </c>
      <c r="V91" s="39" t="n">
        <f aca="false">IF(V$4=0,0,IF(COUNTIFS(実績!$W$6:$W$505,V$3,実績!$AI$6:$AI$505,"&lt;="&amp;$A91,実績!$AJ$6:$AJ$505,"&gt;"&amp;$A91,実績!$AK$6:$AK$505,"○")&gt;0,1,0))</f>
        <v>0</v>
      </c>
      <c r="W91" s="39" t="n">
        <f aca="false">IF(W$4=0,0,IF(COUNTIFS(実績!$W$6:$W$505,W$3,実績!$AI$6:$AI$505,"&lt;="&amp;$A91,実績!$AJ$6:$AJ$505,"&gt;"&amp;$A91,実績!$AK$6:$AK$505,"○")&gt;0,1,0))</f>
        <v>0</v>
      </c>
      <c r="X91" s="39" t="n">
        <f aca="false">IF(X$4=0,0,IF(COUNTIFS(実績!$W$6:$W$505,X$3,実績!$AI$6:$AI$505,"&lt;="&amp;$A91,実績!$AJ$6:$AJ$505,"&gt;"&amp;$A91,実績!$AK$6:$AK$505,"○")&gt;0,1,0))</f>
        <v>0</v>
      </c>
      <c r="Y91" s="39" t="n">
        <f aca="false">IF(Y$4=0,0,IF(COUNTIFS(実績!$W$6:$W$505,Y$3,実績!$AI$6:$AI$505,"&lt;="&amp;$A91,実績!$AJ$6:$AJ$505,"&gt;"&amp;$A91,実績!$AK$6:$AK$505,"○")&gt;0,1,0))</f>
        <v>0</v>
      </c>
      <c r="Z91" s="39" t="n">
        <f aca="false">IF(Z$4=0,0,IF(COUNTIFS(実績!$W$6:$W$505,Z$3,実績!$AI$6:$AI$505,"&lt;="&amp;$A91,実績!$AJ$6:$AJ$505,"&gt;"&amp;$A91,実績!$AK$6:$AK$505,"○")&gt;0,1,0))</f>
        <v>0</v>
      </c>
      <c r="AA91" s="39" t="n">
        <f aca="false">IF(AA$4=0,0,IF(COUNTIFS(実績!$W$6:$W$505,AA$3,実績!$AI$6:$AI$505,"&lt;="&amp;$A91,実績!$AJ$6:$AJ$505,"&gt;"&amp;$A91,実績!$AK$6:$AK$505,"○")&gt;0,1,0))</f>
        <v>0</v>
      </c>
      <c r="AB91" s="39" t="n">
        <f aca="false">IF(AB$4=0,0,IF(COUNTIFS(実績!$W$6:$W$505,AB$3,実績!$AI$6:$AI$505,"&lt;="&amp;$A91,実績!$AJ$6:$AJ$505,"&gt;"&amp;$A91,実績!$AK$6:$AK$505,"○")&gt;0,1,0))</f>
        <v>0</v>
      </c>
      <c r="AC91" s="39" t="n">
        <f aca="false">IF(AC$4=0,0,IF(COUNTIFS(実績!$W$6:$W$505,AC$3,実績!$AI$6:$AI$505,"&lt;="&amp;$A91,実績!$AJ$6:$AJ$505,"&gt;"&amp;$A91,実績!$AK$6:$AK$505,"○")&gt;0,1,0))</f>
        <v>0</v>
      </c>
      <c r="AD91" s="39" t="n">
        <f aca="false">IF(AD$4=0,0,IF(COUNTIFS(実績!$W$6:$W$505,AD$3,実績!$AI$6:$AI$505,"&lt;="&amp;$A91,実績!$AJ$6:$AJ$505,"&gt;"&amp;$A91,実績!$AK$6:$AK$505,"○")&gt;0,1,0))</f>
        <v>0</v>
      </c>
      <c r="AE91" s="39" t="n">
        <f aca="false">IF(AE$4=0,0,IF(COUNTIFS(実績!$W$6:$W$505,AE$3,実績!$AI$6:$AI$505,"&lt;="&amp;$A91,実績!$AJ$6:$AJ$505,"&gt;"&amp;$A91,実績!$AK$6:$AK$505,"○")&gt;0,1,0))</f>
        <v>0</v>
      </c>
      <c r="AF91" s="39" t="n">
        <f aca="false">IF(AF$4=0,0,IF(COUNTIFS(実績!$W$6:$W$505,AF$3,実績!$AI$6:$AI$505,"&lt;="&amp;$A91,実績!$AJ$6:$AJ$505,"&gt;"&amp;$A91,実績!$AK$6:$AK$505,"○")&gt;0,1,0))</f>
        <v>0</v>
      </c>
      <c r="AG91" s="39" t="n">
        <f aca="false">IF(AG$4=0,0,IF(COUNTIFS(実績!$W$6:$W$505,AG$3,実績!$AI$6:$AI$505,"&lt;="&amp;$A91,実績!$AJ$6:$AJ$505,"&gt;"&amp;$A91,実績!$AK$6:$AK$505,"○")&gt;0,1,0))</f>
        <v>0</v>
      </c>
      <c r="AH91" s="39" t="n">
        <f aca="false">IF(AH$4=0,0,IF(COUNTIFS(実績!$W$6:$W$505,AH$3,実績!$AI$6:$AI$505,"&lt;="&amp;$A91,実績!$AJ$6:$AJ$505,"&gt;"&amp;$A91,実績!$AK$6:$AK$505,"○")&gt;0,1,0))</f>
        <v>0</v>
      </c>
      <c r="AI91" s="39" t="n">
        <f aca="false">IF(AI$4=0,0,IF(COUNTIFS(実績!$W$6:$W$505,AI$3,実績!$AI$6:$AI$505,"&lt;="&amp;$A91,実績!$AJ$6:$AJ$505,"&gt;"&amp;$A91,実績!$AK$6:$AK$505,"○")&gt;0,1,0))</f>
        <v>0</v>
      </c>
      <c r="AJ91" s="39" t="n">
        <f aca="false">IF(AJ$4=0,0,IF(COUNTIFS(実績!$W$6:$W$505,AJ$3,実績!$AI$6:$AI$505,"&lt;="&amp;$A91,実績!$AJ$6:$AJ$505,"&gt;"&amp;$A91,実績!$AK$6:$AK$505,"○")&gt;0,1,0))</f>
        <v>0</v>
      </c>
      <c r="AK91" s="39" t="n">
        <f aca="false">IF(AK$4=0,0,IF(COUNTIFS(実績!$W$6:$W$505,AK$3,実績!$AI$6:$AI$505,"&lt;="&amp;$A91,実績!$AJ$6:$AJ$505,"&gt;"&amp;$A91,実績!$AK$6:$AK$505,"○")&gt;0,1,0))</f>
        <v>0</v>
      </c>
      <c r="AL91" s="39" t="n">
        <f aca="false">IF(AL$4=0,0,IF(COUNTIFS(実績!$W$6:$W$505,AL$3,実績!$AI$6:$AI$505,"&lt;="&amp;$A91,実績!$AJ$6:$AJ$505,"&gt;"&amp;$A91,実績!$AK$6:$AK$505,"○")&gt;0,1,0))</f>
        <v>0</v>
      </c>
      <c r="AM91" s="39" t="n">
        <f aca="false">IF(AM$4=0,0,IF(COUNTIFS(実績!$W$6:$W$505,AM$3,実績!$AI$6:$AI$505,"&lt;="&amp;$A91,実績!$AJ$6:$AJ$505,"&gt;"&amp;$A91,実績!$AK$6:$AK$505,"○")&gt;0,1,0))</f>
        <v>0</v>
      </c>
      <c r="AN91" s="39" t="n">
        <f aca="false">IF(AN$4=0,0,IF(COUNTIFS(実績!$W$6:$W$505,AN$3,実績!$AI$6:$AI$505,"&lt;="&amp;$A91,実績!$AJ$6:$AJ$505,"&gt;"&amp;$A91,実績!$AK$6:$AK$505,"○")&gt;0,1,0))</f>
        <v>0</v>
      </c>
      <c r="AO91" s="39" t="n">
        <f aca="false">IF(AO$4=0,0,IF(COUNTIFS(実績!$W$6:$W$505,AO$3,実績!$AI$6:$AI$505,"&lt;="&amp;$A91,実績!$AJ$6:$AJ$505,"&gt;"&amp;$A91,実績!$AK$6:$AK$505,"○")&gt;0,1,0))</f>
        <v>0</v>
      </c>
      <c r="AP91" s="39" t="n">
        <f aca="false">IF(AP$4=0,0,IF(COUNTIFS(実績!$W$6:$W$505,AP$3,実績!$AI$6:$AI$505,"&lt;="&amp;$A91,実績!$AJ$6:$AJ$505,"&gt;"&amp;$A91,実績!$AK$6:$AK$505,"○")&gt;0,1,0))</f>
        <v>0</v>
      </c>
      <c r="AQ91" s="39" t="n">
        <f aca="false">IF(AQ$4=0,0,IF(COUNTIFS(実績!$W$6:$W$505,AQ$3,実績!$AI$6:$AI$505,"&lt;="&amp;$A91,実績!$AJ$6:$AJ$505,"&gt;"&amp;$A91,実績!$AK$6:$AK$505,"○")&gt;0,1,0))</f>
        <v>0</v>
      </c>
      <c r="AR91" s="39" t="n">
        <f aca="false">IF(AR$4=0,0,IF(COUNTIFS(実績!$W$6:$W$505,AR$3,実績!$AI$6:$AI$505,"&lt;="&amp;$A91,実績!$AJ$6:$AJ$505,"&gt;"&amp;$A91,実績!$AK$6:$AK$505,"○")&gt;0,1,0))</f>
        <v>0</v>
      </c>
      <c r="AS91" s="39" t="n">
        <f aca="false">IF(AS$4=0,0,IF(COUNTIFS(実績!$W$6:$W$505,AS$3,実績!$AI$6:$AI$505,"&lt;="&amp;$A91,実績!$AJ$6:$AJ$505,"&gt;"&amp;$A91,実績!$AK$6:$AK$505,"○")&gt;0,1,0))</f>
        <v>0</v>
      </c>
      <c r="AT91" s="39" t="n">
        <f aca="false">IF(AT$4=0,0,IF(COUNTIFS(実績!$W$6:$W$505,AT$3,実績!$AI$6:$AI$505,"&lt;="&amp;$A91,実績!$AJ$6:$AJ$505,"&gt;"&amp;$A91,実績!$AK$6:$AK$505,"○")&gt;0,1,0))</f>
        <v>0</v>
      </c>
      <c r="AU91" s="39" t="n">
        <f aca="false">IF(AU$4=0,0,IF(COUNTIFS(実績!$W$6:$W$505,AU$3,実績!$AI$6:$AI$505,"&lt;="&amp;$A91,実績!$AJ$6:$AJ$505,"&gt;"&amp;$A91,実績!$AK$6:$AK$505,"○")&gt;0,1,0))</f>
        <v>0</v>
      </c>
      <c r="AV91" s="39" t="n">
        <f aca="false">IF(AV$4=0,0,IF(COUNTIFS(実績!$W$6:$W$505,AV$3,実績!$AI$6:$AI$505,"&lt;="&amp;$A91,実績!$AJ$6:$AJ$505,"&gt;"&amp;$A91,実績!$AK$6:$AK$505,"○")&gt;0,1,0))</f>
        <v>0</v>
      </c>
      <c r="AW91" s="39" t="n">
        <f aca="false">IF(AW$4=0,0,IF(COUNTIFS(実績!$W$6:$W$505,AW$3,実績!$AI$6:$AI$505,"&lt;="&amp;$A91,実績!$AJ$6:$AJ$505,"&gt;"&amp;$A91,実績!$AK$6:$AK$505,"○")&gt;0,1,0))</f>
        <v>0</v>
      </c>
      <c r="AX91" s="39" t="n">
        <f aca="false">IF(AX$4=0,0,IF(COUNTIFS(実績!$W$6:$W$505,AX$3,実績!$AI$6:$AI$505,"&lt;="&amp;$A91,実績!$AJ$6:$AJ$505,"&gt;"&amp;$A91,実績!$AK$6:$AK$505,"○")&gt;0,1,0))</f>
        <v>0</v>
      </c>
      <c r="AY91" s="39" t="n">
        <f aca="false">IF(AY$4=0,0,IF(COUNTIFS(実績!$W$6:$W$505,AY$3,実績!$AI$6:$AI$505,"&lt;="&amp;$A91,実績!$AJ$6:$AJ$505,"&gt;"&amp;$A91,実績!$AK$6:$AK$505,"○")&gt;0,1,0))</f>
        <v>0</v>
      </c>
      <c r="AZ91" s="39" t="n">
        <f aca="false">IF(AZ$4=0,0,IF(COUNTIFS(実績!$W$6:$W$505,AZ$3,実績!$AI$6:$AI$505,"&lt;="&amp;$A91,実績!$AJ$6:$AJ$505,"&gt;"&amp;$A91,実績!$AK$6:$AK$505,"○")&gt;0,1,0))</f>
        <v>0</v>
      </c>
      <c r="BA91" s="39" t="n">
        <f aca="false">IF(BA$4=0,0,IF(COUNTIFS(実績!$W$6:$W$505,BA$3,実績!$AI$6:$AI$505,"&lt;="&amp;$A91,実績!$AJ$6:$AJ$505,"&gt;"&amp;$A91,実績!$AK$6:$AK$505,"○")&gt;0,1,0))</f>
        <v>0</v>
      </c>
      <c r="BB91" s="39" t="n">
        <f aca="false">IF(BB$4=0,0,IF(COUNTIFS(実績!$W$6:$W$505,BB$3,実績!$AI$6:$AI$505,"&lt;="&amp;$A91,実績!$AJ$6:$AJ$505,"&gt;"&amp;$A91,実績!$AK$6:$AK$505,"○")&gt;0,1,0))</f>
        <v>0</v>
      </c>
      <c r="BC91" s="39" t="n">
        <f aca="false">IF(BC$4=0,0,IF(COUNTIFS(実績!$W$6:$W$505,BC$3,実績!$AI$6:$AI$505,"&lt;="&amp;$A91,実績!$AJ$6:$AJ$505,"&gt;"&amp;$A91,実績!$AK$6:$AK$505,"○")&gt;0,1,0))</f>
        <v>0</v>
      </c>
      <c r="BD91" s="39" t="n">
        <f aca="false">IF(BD$4=0,0,IF(COUNTIFS(実績!$W$6:$W$505,BD$3,実績!$AI$6:$AI$505,"&lt;="&amp;$A91,実績!$AJ$6:$AJ$505,"&gt;"&amp;$A91,実績!$AK$6:$AK$505,"○")&gt;0,1,0))</f>
        <v>0</v>
      </c>
      <c r="BE91" s="39" t="n">
        <f aca="false">IF(BE$4=0,0,IF(COUNTIFS(実績!$W$6:$W$505,BE$3,実績!$AI$6:$AI$505,"&lt;="&amp;$A91,実績!$AJ$6:$AJ$505,"&gt;"&amp;$A91,実績!$AK$6:$AK$505,"○")&gt;0,1,0))</f>
        <v>0</v>
      </c>
      <c r="BF91" s="39" t="n">
        <f aca="false">IF(BF$4=0,0,IF(COUNTIFS(実績!$W$6:$W$505,BF$3,実績!$AI$6:$AI$505,"&lt;="&amp;$A91,実績!$AJ$6:$AJ$505,"&gt;"&amp;$A91,実績!$AK$6:$AK$505,"○")&gt;0,1,0))</f>
        <v>0</v>
      </c>
      <c r="BG91" s="39" t="n">
        <f aca="false">IF(BG$4=0,0,IF(COUNTIFS(実績!$W$6:$W$505,BG$3,実績!$AI$6:$AI$505,"&lt;="&amp;$A91,実績!$AJ$6:$AJ$505,"&gt;"&amp;$A91,実績!$AK$6:$AK$505,"○")&gt;0,1,0))</f>
        <v>0</v>
      </c>
      <c r="BH91" s="39" t="n">
        <f aca="false">IF(BH$4=0,0,IF(COUNTIFS(実績!$W$6:$W$505,BH$3,実績!$AI$6:$AI$505,"&lt;="&amp;$A91,実績!$AJ$6:$AJ$505,"&gt;"&amp;$A91,実績!$AK$6:$AK$505,"○")&gt;0,1,0))</f>
        <v>0</v>
      </c>
      <c r="BI91" s="39" t="n">
        <f aca="false">IF(BI$4=0,0,IF(COUNTIFS(実績!$W$6:$W$505,BI$3,実績!$AI$6:$AI$505,"&lt;="&amp;$A91,実績!$AJ$6:$AJ$505,"&gt;"&amp;$A91,実績!$AK$6:$AK$505,"○")&gt;0,1,0))</f>
        <v>0</v>
      </c>
      <c r="BJ91" s="39" t="n">
        <f aca="false">IF(BJ$4=0,0,IF(COUNTIFS(実績!$W$6:$W$505,BJ$3,実績!$AI$6:$AI$505,"&lt;="&amp;$A91,実績!$AJ$6:$AJ$505,"&gt;"&amp;$A91,実績!$AK$6:$AK$505,"○")&gt;0,1,0))</f>
        <v>0</v>
      </c>
      <c r="BK91" s="39" t="n">
        <f aca="false">IF(BK$4=0,0,IF(COUNTIFS(実績!$W$6:$W$505,BK$3,実績!$AI$6:$AI$505,"&lt;="&amp;$A91,実績!$AJ$6:$AJ$505,"&gt;"&amp;$A91,実績!$AK$6:$AK$505,"○")&gt;0,1,0))</f>
        <v>0</v>
      </c>
      <c r="BL91" s="39" t="n">
        <f aca="false">IF(BL$4=0,0,IF(COUNTIFS(実績!$W$6:$W$505,BL$3,実績!$AI$6:$AI$505,"&lt;="&amp;$A91,実績!$AJ$6:$AJ$505,"&gt;"&amp;$A91,実績!$AK$6:$AK$505,"○")&gt;0,1,0))</f>
        <v>0</v>
      </c>
      <c r="BM91" s="39" t="n">
        <f aca="false">IF(BM$4=0,0,IF(COUNTIFS(実績!$W$6:$W$505,BM$3,実績!$AI$6:$AI$505,"&lt;="&amp;$A91,実績!$AJ$6:$AJ$505,"&gt;"&amp;$A91,実績!$AK$6:$AK$505,"○")&gt;0,1,0))</f>
        <v>0</v>
      </c>
      <c r="BN91" s="39" t="n">
        <f aca="false">IF(BN$4=0,0,IF(COUNTIFS(実績!$W$6:$W$505,BN$3,実績!$AI$6:$AI$505,"&lt;="&amp;$A91,実績!$AJ$6:$AJ$505,"&gt;"&amp;$A91,実績!$AK$6:$AK$505,"○")&gt;0,1,0))</f>
        <v>0</v>
      </c>
      <c r="BO91" s="39" t="n">
        <f aca="false">IF(BO$4=0,0,IF(COUNTIFS(実績!$W$6:$W$505,BO$3,実績!$AI$6:$AI$505,"&lt;="&amp;$A91,実績!$AJ$6:$AJ$505,"&gt;"&amp;$A91,実績!$AK$6:$AK$505,"○")&gt;0,1,0))</f>
        <v>0</v>
      </c>
      <c r="BP91" s="39" t="n">
        <f aca="false">IF(BP$4=0,0,IF(COUNTIFS(実績!$W$6:$W$505,BP$3,実績!$AI$6:$AI$505,"&lt;="&amp;$A91,実績!$AJ$6:$AJ$505,"&gt;"&amp;$A91,実績!$AK$6:$AK$505,"○")&gt;0,1,0))</f>
        <v>0</v>
      </c>
      <c r="BQ91" s="39" t="n">
        <f aca="false">IF(BQ$4=0,0,IF(COUNTIFS(実績!$W$6:$W$505,BQ$3,実績!$AI$6:$AI$505,"&lt;="&amp;$A91,実績!$AJ$6:$AJ$505,"&gt;"&amp;$A91,実績!$AK$6:$AK$505,"○")&gt;0,1,0))</f>
        <v>0</v>
      </c>
      <c r="BR91" s="39" t="n">
        <f aca="false">IF(BR$4=0,0,IF(COUNTIFS(実績!$W$6:$W$505,BR$3,実績!$AI$6:$AI$505,"&lt;="&amp;$A91,実績!$AJ$6:$AJ$505,"&gt;"&amp;$A91,実績!$AK$6:$AK$505,"○")&gt;0,1,0))</f>
        <v>0</v>
      </c>
      <c r="BS91" s="39" t="n">
        <f aca="false">IF(BS$4=0,0,IF(COUNTIFS(実績!$W$6:$W$505,BS$3,実績!$AI$6:$AI$505,"&lt;="&amp;$A91,実績!$AJ$6:$AJ$505,"&gt;"&amp;$A91,実績!$AK$6:$AK$505,"○")&gt;0,1,0))</f>
        <v>0</v>
      </c>
      <c r="BT91" s="39" t="n">
        <f aca="false">IF(BT$4=0,0,IF(COUNTIFS(実績!$W$6:$W$505,BT$3,実績!$AI$6:$AI$505,"&lt;="&amp;$A91,実績!$AJ$6:$AJ$505,"&gt;"&amp;$A91,実績!$AK$6:$AK$505,"○")&gt;0,1,0))</f>
        <v>0</v>
      </c>
      <c r="BU91" s="39" t="n">
        <f aca="false">IF(BU$4=0,0,IF(COUNTIFS(実績!$W$6:$W$505,BU$3,実績!$AI$6:$AI$505,"&lt;="&amp;$A91,実績!$AJ$6:$AJ$505,"&gt;"&amp;$A91,実績!$AK$6:$AK$505,"○")&gt;0,1,0))</f>
        <v>0</v>
      </c>
      <c r="BV91" s="39" t="n">
        <f aca="false">IF(BV$4=0,0,IF(COUNTIFS(実績!$W$6:$W$505,BV$3,実績!$AI$6:$AI$505,"&lt;="&amp;$A91,実績!$AJ$6:$AJ$505,"&gt;"&amp;$A91,実績!$AK$6:$AK$505,"○")&gt;0,1,0))</f>
        <v>0</v>
      </c>
      <c r="BW91" s="39" t="n">
        <f aca="false">IF(BW$4=0,0,IF(COUNTIFS(実績!$W$6:$W$505,BW$3,実績!$AI$6:$AI$505,"&lt;="&amp;$A91,実績!$AJ$6:$AJ$505,"&gt;"&amp;$A91,実績!$AK$6:$AK$505,"○")&gt;0,1,0))</f>
        <v>0</v>
      </c>
      <c r="BX91" s="39" t="n">
        <f aca="false">IF(BX$4=0,0,IF(COUNTIFS(実績!$W$6:$W$505,BX$3,実績!$AI$6:$AI$505,"&lt;="&amp;$A91,実績!$AJ$6:$AJ$505,"&gt;"&amp;$A91,実績!$AK$6:$AK$505,"○")&gt;0,1,0))</f>
        <v>0</v>
      </c>
      <c r="BY91" s="39" t="n">
        <f aca="false">IF(BY$4=0,0,IF(COUNTIFS(実績!$W$6:$W$505,BY$3,実績!$AI$6:$AI$505,"&lt;="&amp;$A91,実績!$AJ$6:$AJ$505,"&gt;"&amp;$A91,実績!$AK$6:$AK$505,"○")&gt;0,1,0))</f>
        <v>0</v>
      </c>
      <c r="BZ91" s="39" t="n">
        <f aca="false">IF(BZ$4=0,0,IF(COUNTIFS(実績!$W$6:$W$505,BZ$3,実績!$AI$6:$AI$505,"&lt;="&amp;$A91,実績!$AJ$6:$AJ$505,"&gt;"&amp;$A91,実績!$AK$6:$AK$505,"○")&gt;0,1,0))</f>
        <v>0</v>
      </c>
      <c r="CA91" s="39" t="n">
        <f aca="false">IF(CA$4=0,0,IF(COUNTIFS(実績!$W$6:$W$505,CA$3,実績!$AI$6:$AI$505,"&lt;="&amp;$A91,実績!$AJ$6:$AJ$505,"&gt;"&amp;$A91,実績!$AK$6:$AK$505,"○")&gt;0,1,0))</f>
        <v>0</v>
      </c>
      <c r="CB91" s="39" t="n">
        <f aca="false">IF(CB$4=0,0,IF(COUNTIFS(実績!$W$6:$W$505,CB$3,実績!$AI$6:$AI$505,"&lt;="&amp;$A91,実績!$AJ$6:$AJ$505,"&gt;"&amp;$A91,実績!$AK$6:$AK$505,"○")&gt;0,1,0))</f>
        <v>0</v>
      </c>
      <c r="CC91" s="39" t="n">
        <f aca="false">IF(CC$4=0,0,IF(COUNTIFS(実績!$W$6:$W$505,CC$3,実績!$AI$6:$AI$505,"&lt;="&amp;$A91,実績!$AJ$6:$AJ$505,"&gt;"&amp;$A91,実績!$AK$6:$AK$505,"○")&gt;0,1,0))</f>
        <v>0</v>
      </c>
      <c r="CD91" s="39" t="n">
        <f aca="false">IF(CD$4=0,0,IF(COUNTIFS(実績!$W$6:$W$505,CD$3,実績!$AI$6:$AI$505,"&lt;="&amp;$A91,実績!$AJ$6:$AJ$505,"&gt;"&amp;$A91,実績!$AK$6:$AK$505,"○")&gt;0,1,0))</f>
        <v>0</v>
      </c>
      <c r="CE91" s="39" t="n">
        <f aca="false">IF(CE$4=0,0,IF(COUNTIFS(実績!$W$6:$W$505,CE$3,実績!$AI$6:$AI$505,"&lt;="&amp;$A91,実績!$AJ$6:$AJ$505,"&gt;"&amp;$A91,実績!$AK$6:$AK$505,"○")&gt;0,1,0))</f>
        <v>0</v>
      </c>
      <c r="CF91" s="39" t="n">
        <f aca="false">IF(CF$4=0,0,IF(COUNTIFS(実績!$W$6:$W$505,CF$3,実績!$AI$6:$AI$505,"&lt;="&amp;$A91,実績!$AJ$6:$AJ$505,"&gt;"&amp;$A91,実績!$AK$6:$AK$505,"○")&gt;0,1,0))</f>
        <v>0</v>
      </c>
      <c r="CG91" s="39" t="n">
        <f aca="false">IF(CG$4=0,0,IF(COUNTIFS(実績!$W$6:$W$505,CG$3,実績!$AI$6:$AI$505,"&lt;="&amp;$A91,実績!$AJ$6:$AJ$505,"&gt;"&amp;$A91,実績!$AK$6:$AK$505,"○")&gt;0,1,0))</f>
        <v>0</v>
      </c>
      <c r="CH91" s="39" t="n">
        <f aca="false">IF(CH$4=0,0,IF(COUNTIFS(実績!$W$6:$W$505,CH$3,実績!$AI$6:$AI$505,"&lt;="&amp;$A91,実績!$AJ$6:$AJ$505,"&gt;"&amp;$A91,実績!$AK$6:$AK$505,"○")&gt;0,1,0))</f>
        <v>0</v>
      </c>
      <c r="CI91" s="39" t="n">
        <f aca="false">IF(CI$4=0,0,IF(COUNTIFS(実績!$W$6:$W$505,CI$3,実績!$AI$6:$AI$505,"&lt;="&amp;$A91,実績!$AJ$6:$AJ$505,"&gt;"&amp;$A91,実績!$AK$6:$AK$505,"○")&gt;0,1,0))</f>
        <v>0</v>
      </c>
      <c r="CJ91" s="39" t="n">
        <f aca="false">IF(CJ$4=0,0,IF(COUNTIFS(実績!$W$6:$W$505,CJ$3,実績!$AI$6:$AI$505,"&lt;="&amp;$A91,実績!$AJ$6:$AJ$505,"&gt;"&amp;$A91,実績!$AK$6:$AK$505,"○")&gt;0,1,0))</f>
        <v>0</v>
      </c>
      <c r="CK91" s="39" t="n">
        <f aca="false">IF(CK$4=0,0,IF(COUNTIFS(実績!$W$6:$W$505,CK$3,実績!$AI$6:$AI$505,"&lt;="&amp;$A91,実績!$AJ$6:$AJ$505,"&gt;"&amp;$A91,実績!$AK$6:$AK$505,"○")&gt;0,1,0))</f>
        <v>0</v>
      </c>
      <c r="CL91" s="39" t="n">
        <f aca="false">IF(CL$4=0,0,IF(COUNTIFS(実績!$W$6:$W$505,CL$3,実績!$AI$6:$AI$505,"&lt;="&amp;$A91,実績!$AJ$6:$AJ$505,"&gt;"&amp;$A91,実績!$AK$6:$AK$505,"○")&gt;0,1,0))</f>
        <v>0</v>
      </c>
      <c r="CM91" s="39" t="n">
        <f aca="false">IF(CM$4=0,0,IF(COUNTIFS(実績!$W$6:$W$505,CM$3,実績!$AI$6:$AI$505,"&lt;="&amp;$A91,実績!$AJ$6:$AJ$505,"&gt;"&amp;$A91,実績!$AK$6:$AK$505,"○")&gt;0,1,0))</f>
        <v>0</v>
      </c>
      <c r="CN91" s="39" t="n">
        <f aca="false">IF(CN$4=0,0,IF(COUNTIFS(実績!$W$6:$W$505,CN$3,実績!$AI$6:$AI$505,"&lt;="&amp;$A91,実績!$AJ$6:$AJ$505,"&gt;"&amp;$A91,実績!$AK$6:$AK$505,"○")&gt;0,1,0))</f>
        <v>0</v>
      </c>
      <c r="CO91" s="39" t="n">
        <f aca="false">IF(CO$4=0,0,IF(COUNTIFS(実績!$W$6:$W$505,CO$3,実績!$AI$6:$AI$505,"&lt;="&amp;$A91,実績!$AJ$6:$AJ$505,"&gt;"&amp;$A91,実績!$AK$6:$AK$505,"○")&gt;0,1,0))</f>
        <v>0</v>
      </c>
      <c r="CP91" s="39" t="n">
        <f aca="false">IF(CP$4=0,0,IF(COUNTIFS(実績!$W$6:$W$505,CP$3,実績!$AI$6:$AI$505,"&lt;="&amp;$A91,実績!$AJ$6:$AJ$505,"&gt;"&amp;$A91,実績!$AK$6:$AK$505,"○")&gt;0,1,0))</f>
        <v>0</v>
      </c>
      <c r="CQ91" s="39" t="n">
        <f aca="false">IF(CQ$4=0,0,IF(COUNTIFS(実績!$W$6:$W$505,CQ$3,実績!$AI$6:$AI$505,"&lt;="&amp;$A91,実績!$AJ$6:$AJ$505,"&gt;"&amp;$A91,実績!$AK$6:$AK$505,"○")&gt;0,1,0))</f>
        <v>0</v>
      </c>
      <c r="CR91" s="39" t="n">
        <f aca="false">IF(CR$4=0,0,IF(COUNTIFS(実績!$W$6:$W$505,CR$3,実績!$AI$6:$AI$505,"&lt;="&amp;$A91,実績!$AJ$6:$AJ$505,"&gt;"&amp;$A91,実績!$AK$6:$AK$505,"○")&gt;0,1,0))</f>
        <v>0</v>
      </c>
      <c r="CS91" s="39" t="n">
        <f aca="false">IF(CS$4=0,0,IF(COUNTIFS(実績!$W$6:$W$505,CS$3,実績!$AI$6:$AI$505,"&lt;="&amp;$A91,実績!$AJ$6:$AJ$505,"&gt;"&amp;$A91,実績!$AK$6:$AK$505,"○")&gt;0,1,0))</f>
        <v>0</v>
      </c>
      <c r="CT91" s="39" t="n">
        <f aca="false">IF(CT$4=0,0,IF(COUNTIFS(実績!$W$6:$W$505,CT$3,実績!$AI$6:$AI$505,"&lt;="&amp;$A91,実績!$AJ$6:$AJ$505,"&gt;"&amp;$A91,実績!$AK$6:$AK$505,"○")&gt;0,1,0))</f>
        <v>0</v>
      </c>
      <c r="CU91" s="39" t="n">
        <f aca="false">IF(CU$4=0,0,IF(COUNTIFS(実績!$W$6:$W$505,CU$3,実績!$AI$6:$AI$505,"&lt;="&amp;$A91,実績!$AJ$6:$AJ$505,"&gt;"&amp;$A91,実績!$AK$6:$AK$505,"○")&gt;0,1,0))</f>
        <v>0</v>
      </c>
      <c r="CV91" s="39" t="n">
        <f aca="false">IF(CV$4=0,0,IF(COUNTIFS(実績!$W$6:$W$505,CV$3,実績!$AI$6:$AI$505,"&lt;="&amp;$A91,実績!$AJ$6:$AJ$505,"&gt;"&amp;$A91,実績!$AK$6:$AK$505,"○")&gt;0,1,0))</f>
        <v>0</v>
      </c>
      <c r="CW91" s="39" t="n">
        <f aca="false">IF(CW$4=0,0,IF(COUNTIFS(実績!$W$6:$W$505,CW$3,実績!$AI$6:$AI$505,"&lt;="&amp;$A91,実績!$AJ$6:$AJ$505,"&gt;"&amp;$A91,実績!$AK$6:$AK$505,"○")&gt;0,1,0))</f>
        <v>0</v>
      </c>
      <c r="CX91" s="39" t="n">
        <f aca="false">IF(CX$4=0,0,IF(COUNTIFS(実績!$W$6:$W$505,CX$3,実績!$AI$6:$AI$505,"&lt;="&amp;$A91,実績!$AJ$6:$AJ$505,"&gt;"&amp;$A91,実績!$AK$6:$AK$505,"○")&gt;0,1,0))</f>
        <v>0</v>
      </c>
      <c r="CY91" s="39" t="n">
        <f aca="false">IF(CY$4=0,0,IF(COUNTIFS(実績!$W$6:$W$505,CY$3,実績!$AI$6:$AI$505,"&lt;="&amp;$A91,実績!$AJ$6:$AJ$505,"&gt;"&amp;$A91,実績!$AK$6:$AK$505,"○")&gt;0,1,0))</f>
        <v>0</v>
      </c>
      <c r="CZ91" s="39" t="n">
        <f aca="false">IF(CZ$4=0,0,IF(COUNTIFS(実績!$W$6:$W$505,CZ$3,実績!$AI$6:$AI$505,"&lt;="&amp;$A91,実績!$AJ$6:$AJ$505,"&gt;"&amp;$A91,実績!$AK$6:$AK$505,"○")&gt;0,1,0))</f>
        <v>0</v>
      </c>
      <c r="DA91" s="39" t="n">
        <f aca="false">IF(DA$4=0,0,IF(COUNTIFS(実績!$W$6:$W$505,DA$3,実績!$AI$6:$AI$505,"&lt;="&amp;$A91,実績!$AJ$6:$AJ$505,"&gt;"&amp;$A91,実績!$AK$6:$AK$505,"○")&gt;0,1,0))</f>
        <v>0</v>
      </c>
      <c r="DB91" s="39" t="n">
        <f aca="false">IF(DB$4=0,0,IF(COUNTIFS(実績!$W$6:$W$505,DB$3,実績!$AI$6:$AI$505,"&lt;="&amp;$A91,実績!$AJ$6:$AJ$505,"&gt;"&amp;$A91,実績!$AK$6:$AK$505,"○")&gt;0,1,0))</f>
        <v>0</v>
      </c>
      <c r="DC91" s="39" t="n">
        <f aca="false">IF(DC$4=0,0,IF(COUNTIFS(実績!$W$6:$W$505,DC$3,実績!$AI$6:$AI$505,"&lt;="&amp;$A91,実績!$AJ$6:$AJ$505,"&gt;"&amp;$A91,実績!$AK$6:$AK$505,"○")&gt;0,1,0))</f>
        <v>0</v>
      </c>
      <c r="DD91" s="39" t="n">
        <f aca="false">IF(DD$4=0,0,IF(COUNTIFS(実績!$W$6:$W$505,DD$3,実績!$AI$6:$AI$505,"&lt;="&amp;$A91,実績!$AJ$6:$AJ$505,"&gt;"&amp;$A91,実績!$AK$6:$AK$505,"○")&gt;0,1,0))</f>
        <v>0</v>
      </c>
      <c r="DE91" s="39" t="n">
        <f aca="false">IF(DE$4=0,0,IF(COUNTIFS(実績!$W$6:$W$505,DE$3,実績!$AI$6:$AI$505,"&lt;="&amp;$A91,実績!$AJ$6:$AJ$505,"&gt;"&amp;$A91,実績!$AK$6:$AK$505,"○")&gt;0,1,0))</f>
        <v>0</v>
      </c>
      <c r="DF91" s="39" t="n">
        <f aca="false">IF(DF$4=0,0,IF(COUNTIFS(実績!$W$6:$W$505,DF$3,実績!$AI$6:$AI$505,"&lt;="&amp;$A91,実績!$AJ$6:$AJ$505,"&gt;"&amp;$A91,実績!$AK$6:$AK$505,"○")&gt;0,1,0))</f>
        <v>0</v>
      </c>
      <c r="DG91" s="39" t="n">
        <f aca="false">IF(DG$4=0,0,IF(COUNTIFS(実績!$W$6:$W$505,DG$3,実績!$AI$6:$AI$505,"&lt;="&amp;$A91,実績!$AJ$6:$AJ$505,"&gt;"&amp;$A91,実績!$AK$6:$AK$505,"○")&gt;0,1,0))</f>
        <v>0</v>
      </c>
      <c r="DH91" s="39" t="n">
        <f aca="false">IF(DH$4=0,0,IF(COUNTIFS(実績!$W$6:$W$505,DH$3,実績!$AI$6:$AI$505,"&lt;="&amp;$A91,実績!$AJ$6:$AJ$505,"&gt;"&amp;$A91,実績!$AK$6:$AK$505,"○")&gt;0,1,0))</f>
        <v>0</v>
      </c>
      <c r="DI91" s="39" t="n">
        <f aca="false">IF(DI$4=0,0,IF(COUNTIFS(実績!$W$6:$W$505,DI$3,実績!$AI$6:$AI$505,"&lt;="&amp;$A91,実績!$AJ$6:$AJ$505,"&gt;"&amp;$A91,実績!$AK$6:$AK$505,"○")&gt;0,1,0))</f>
        <v>0</v>
      </c>
      <c r="DJ91" s="39" t="n">
        <f aca="false">IF(DJ$4=0,0,IF(COUNTIFS(実績!$W$6:$W$505,DJ$3,実績!$AI$6:$AI$505,"&lt;="&amp;$A91,実績!$AJ$6:$AJ$505,"&gt;"&amp;$A91,実績!$AK$6:$AK$505,"○")&gt;0,1,0))</f>
        <v>0</v>
      </c>
      <c r="DK91" s="39" t="n">
        <f aca="false">IF(DK$4=0,0,IF(COUNTIFS(実績!$W$6:$W$505,DK$3,実績!$AI$6:$AI$505,"&lt;="&amp;$A91,実績!$AJ$6:$AJ$505,"&gt;"&amp;$A91,実績!$AK$6:$AK$505,"○")&gt;0,1,0))</f>
        <v>0</v>
      </c>
      <c r="DL91" s="39" t="n">
        <f aca="false">IF(DL$4=0,0,IF(COUNTIFS(実績!$W$6:$W$505,DL$3,実績!$AI$6:$AI$505,"&lt;="&amp;$A91,実績!$AJ$6:$AJ$505,"&gt;"&amp;$A91,実績!$AK$6:$AK$505,"○")&gt;0,1,0))</f>
        <v>0</v>
      </c>
      <c r="DM91" s="39" t="n">
        <f aca="false">IF(DM$4=0,0,IF(COUNTIFS(実績!$W$6:$W$505,DM$3,実績!$AI$6:$AI$505,"&lt;="&amp;$A91,実績!$AJ$6:$AJ$505,"&gt;"&amp;$A91,実績!$AK$6:$AK$505,"○")&gt;0,1,0))</f>
        <v>0</v>
      </c>
      <c r="DN91" s="39" t="n">
        <f aca="false">IF(DN$4=0,0,IF(COUNTIFS(実績!$W$6:$W$505,DN$3,実績!$AI$6:$AI$505,"&lt;="&amp;$A91,実績!$AJ$6:$AJ$505,"&gt;"&amp;$A91,実績!$AK$6:$AK$505,"○")&gt;0,1,0))</f>
        <v>0</v>
      </c>
      <c r="DO91" s="39" t="n">
        <f aca="false">IF(DO$4=0,0,IF(COUNTIFS(実績!$W$6:$W$505,DO$3,実績!$AI$6:$AI$505,"&lt;="&amp;$A91,実績!$AJ$6:$AJ$505,"&gt;"&amp;$A91,実績!$AK$6:$AK$505,"○")&gt;0,1,0))</f>
        <v>0</v>
      </c>
      <c r="DP91" s="39" t="n">
        <f aca="false">IF(DP$4=0,0,IF(COUNTIFS(実績!$W$6:$W$505,DP$3,実績!$AI$6:$AI$505,"&lt;="&amp;$A91,実績!$AJ$6:$AJ$505,"&gt;"&amp;$A91,実績!$AK$6:$AK$505,"○")&gt;0,1,0))</f>
        <v>0</v>
      </c>
      <c r="DQ91" s="39" t="n">
        <f aca="false">IF(DQ$4=0,0,IF(COUNTIFS(実績!$W$6:$W$505,DQ$3,実績!$AI$6:$AI$505,"&lt;="&amp;$A91,実績!$AJ$6:$AJ$505,"&gt;"&amp;$A91,実績!$AK$6:$AK$505,"○")&gt;0,1,0))</f>
        <v>0</v>
      </c>
      <c r="DR91" s="39" t="n">
        <f aca="false">IF(DR$4=0,0,IF(COUNTIFS(実績!$W$6:$W$505,DR$3,実績!$AI$6:$AI$505,"&lt;="&amp;$A91,実績!$AJ$6:$AJ$505,"&gt;"&amp;$A91,実績!$AK$6:$AK$505,"○")&gt;0,1,0))</f>
        <v>0</v>
      </c>
      <c r="DS91" s="39" t="n">
        <f aca="false">SUM(C91:DR91)</f>
        <v>0</v>
      </c>
      <c r="DT91" s="39" t="n">
        <f aca="false">SUMPRODUCT((実績!$C$6:$C$505="○")*ISNUMBER(実績!$AM$6:$AM$505)*(実績!$AM$6:$AM$505&lt;=$A91)*(実績!$AN$6:$AN$505&gt;$A91))</f>
        <v>0</v>
      </c>
      <c r="DU91" s="39" t="n">
        <f aca="false">SUMIF($C$2:$DR$2,"製鉄曳船",C91:DR91)</f>
        <v>0</v>
      </c>
      <c r="DV91" s="39" t="n">
        <f aca="false">SUMIF($C$2:$DR$2,"西日本海運",C91:DR91)</f>
        <v>0</v>
      </c>
    </row>
    <row r="92" customFormat="false" ht="15" hidden="false" customHeight="false" outlineLevel="0" collapsed="false">
      <c r="A92" s="0" t="n">
        <v>430</v>
      </c>
      <c r="B92" s="38" t="n">
        <f aca="false">A92/1440</f>
        <v>0.298611111111111</v>
      </c>
      <c r="C92" s="39" t="n">
        <f aca="false">IF(C$4=0,0,IF(COUNTIFS(実績!$W$6:$W$505,C$3,実績!$AI$6:$AI$505,"&lt;="&amp;$A92,実績!$AJ$6:$AJ$505,"&gt;"&amp;$A92,実績!$AK$6:$AK$505,"○")&gt;0,1,0))</f>
        <v>0</v>
      </c>
      <c r="D92" s="39" t="n">
        <f aca="false">IF(D$4=0,0,IF(COUNTIFS(実績!$W$6:$W$505,D$3,実績!$AI$6:$AI$505,"&lt;="&amp;$A92,実績!$AJ$6:$AJ$505,"&gt;"&amp;$A92,実績!$AK$6:$AK$505,"○")&gt;0,1,0))</f>
        <v>0</v>
      </c>
      <c r="E92" s="39" t="n">
        <f aca="false">IF(E$4=0,0,IF(COUNTIFS(実績!$W$6:$W$505,E$3,実績!$AI$6:$AI$505,"&lt;="&amp;$A92,実績!$AJ$6:$AJ$505,"&gt;"&amp;$A92,実績!$AK$6:$AK$505,"○")&gt;0,1,0))</f>
        <v>0</v>
      </c>
      <c r="F92" s="39" t="n">
        <f aca="false">IF(F$4=0,0,IF(COUNTIFS(実績!$W$6:$W$505,F$3,実績!$AI$6:$AI$505,"&lt;="&amp;$A92,実績!$AJ$6:$AJ$505,"&gt;"&amp;$A92,実績!$AK$6:$AK$505,"○")&gt;0,1,0))</f>
        <v>0</v>
      </c>
      <c r="G92" s="39" t="n">
        <f aca="false">IF(G$4=0,0,IF(COUNTIFS(実績!$W$6:$W$505,G$3,実績!$AI$6:$AI$505,"&lt;="&amp;$A92,実績!$AJ$6:$AJ$505,"&gt;"&amp;$A92,実績!$AK$6:$AK$505,"○")&gt;0,1,0))</f>
        <v>0</v>
      </c>
      <c r="H92" s="39" t="n">
        <f aca="false">IF(H$4=0,0,IF(COUNTIFS(実績!$W$6:$W$505,H$3,実績!$AI$6:$AI$505,"&lt;="&amp;$A92,実績!$AJ$6:$AJ$505,"&gt;"&amp;$A92,実績!$AK$6:$AK$505,"○")&gt;0,1,0))</f>
        <v>0</v>
      </c>
      <c r="I92" s="39" t="n">
        <f aca="false">IF(I$4=0,0,IF(COUNTIFS(実績!$W$6:$W$505,I$3,実績!$AI$6:$AI$505,"&lt;="&amp;$A92,実績!$AJ$6:$AJ$505,"&gt;"&amp;$A92,実績!$AK$6:$AK$505,"○")&gt;0,1,0))</f>
        <v>0</v>
      </c>
      <c r="J92" s="39" t="n">
        <f aca="false">IF(J$4=0,0,IF(COUNTIFS(実績!$W$6:$W$505,J$3,実績!$AI$6:$AI$505,"&lt;="&amp;$A92,実績!$AJ$6:$AJ$505,"&gt;"&amp;$A92,実績!$AK$6:$AK$505,"○")&gt;0,1,0))</f>
        <v>0</v>
      </c>
      <c r="K92" s="39" t="n">
        <f aca="false">IF(K$4=0,0,IF(COUNTIFS(実績!$W$6:$W$505,K$3,実績!$AI$6:$AI$505,"&lt;="&amp;$A92,実績!$AJ$6:$AJ$505,"&gt;"&amp;$A92,実績!$AK$6:$AK$505,"○")&gt;0,1,0))</f>
        <v>0</v>
      </c>
      <c r="L92" s="39" t="n">
        <f aca="false">IF(L$4=0,0,IF(COUNTIFS(実績!$W$6:$W$505,L$3,実績!$AI$6:$AI$505,"&lt;="&amp;$A92,実績!$AJ$6:$AJ$505,"&gt;"&amp;$A92,実績!$AK$6:$AK$505,"○")&gt;0,1,0))</f>
        <v>0</v>
      </c>
      <c r="M92" s="39" t="n">
        <f aca="false">IF(M$4=0,0,IF(COUNTIFS(実績!$W$6:$W$505,M$3,実績!$AI$6:$AI$505,"&lt;="&amp;$A92,実績!$AJ$6:$AJ$505,"&gt;"&amp;$A92,実績!$AK$6:$AK$505,"○")&gt;0,1,0))</f>
        <v>0</v>
      </c>
      <c r="N92" s="39" t="n">
        <f aca="false">IF(N$4=0,0,IF(COUNTIFS(実績!$W$6:$W$505,N$3,実績!$AI$6:$AI$505,"&lt;="&amp;$A92,実績!$AJ$6:$AJ$505,"&gt;"&amp;$A92,実績!$AK$6:$AK$505,"○")&gt;0,1,0))</f>
        <v>0</v>
      </c>
      <c r="O92" s="39" t="n">
        <f aca="false">IF(O$4=0,0,IF(COUNTIFS(実績!$W$6:$W$505,O$3,実績!$AI$6:$AI$505,"&lt;="&amp;$A92,実績!$AJ$6:$AJ$505,"&gt;"&amp;$A92,実績!$AK$6:$AK$505,"○")&gt;0,1,0))</f>
        <v>0</v>
      </c>
      <c r="P92" s="39" t="n">
        <f aca="false">IF(P$4=0,0,IF(COUNTIFS(実績!$W$6:$W$505,P$3,実績!$AI$6:$AI$505,"&lt;="&amp;$A92,実績!$AJ$6:$AJ$505,"&gt;"&amp;$A92,実績!$AK$6:$AK$505,"○")&gt;0,1,0))</f>
        <v>0</v>
      </c>
      <c r="Q92" s="39" t="n">
        <f aca="false">IF(Q$4=0,0,IF(COUNTIFS(実績!$W$6:$W$505,Q$3,実績!$AI$6:$AI$505,"&lt;="&amp;$A92,実績!$AJ$6:$AJ$505,"&gt;"&amp;$A92,実績!$AK$6:$AK$505,"○")&gt;0,1,0))</f>
        <v>0</v>
      </c>
      <c r="R92" s="39" t="n">
        <f aca="false">IF(R$4=0,0,IF(COUNTIFS(実績!$W$6:$W$505,R$3,実績!$AI$6:$AI$505,"&lt;="&amp;$A92,実績!$AJ$6:$AJ$505,"&gt;"&amp;$A92,実績!$AK$6:$AK$505,"○")&gt;0,1,0))</f>
        <v>0</v>
      </c>
      <c r="S92" s="39" t="n">
        <f aca="false">IF(S$4=0,0,IF(COUNTIFS(実績!$W$6:$W$505,S$3,実績!$AI$6:$AI$505,"&lt;="&amp;$A92,実績!$AJ$6:$AJ$505,"&gt;"&amp;$A92,実績!$AK$6:$AK$505,"○")&gt;0,1,0))</f>
        <v>0</v>
      </c>
      <c r="T92" s="39" t="n">
        <f aca="false">IF(T$4=0,0,IF(COUNTIFS(実績!$W$6:$W$505,T$3,実績!$AI$6:$AI$505,"&lt;="&amp;$A92,実績!$AJ$6:$AJ$505,"&gt;"&amp;$A92,実績!$AK$6:$AK$505,"○")&gt;0,1,0))</f>
        <v>0</v>
      </c>
      <c r="U92" s="39" t="n">
        <f aca="false">IF(U$4=0,0,IF(COUNTIFS(実績!$W$6:$W$505,U$3,実績!$AI$6:$AI$505,"&lt;="&amp;$A92,実績!$AJ$6:$AJ$505,"&gt;"&amp;$A92,実績!$AK$6:$AK$505,"○")&gt;0,1,0))</f>
        <v>0</v>
      </c>
      <c r="V92" s="39" t="n">
        <f aca="false">IF(V$4=0,0,IF(COUNTIFS(実績!$W$6:$W$505,V$3,実績!$AI$6:$AI$505,"&lt;="&amp;$A92,実績!$AJ$6:$AJ$505,"&gt;"&amp;$A92,実績!$AK$6:$AK$505,"○")&gt;0,1,0))</f>
        <v>0</v>
      </c>
      <c r="W92" s="39" t="n">
        <f aca="false">IF(W$4=0,0,IF(COUNTIFS(実績!$W$6:$W$505,W$3,実績!$AI$6:$AI$505,"&lt;="&amp;$A92,実績!$AJ$6:$AJ$505,"&gt;"&amp;$A92,実績!$AK$6:$AK$505,"○")&gt;0,1,0))</f>
        <v>0</v>
      </c>
      <c r="X92" s="39" t="n">
        <f aca="false">IF(X$4=0,0,IF(COUNTIFS(実績!$W$6:$W$505,X$3,実績!$AI$6:$AI$505,"&lt;="&amp;$A92,実績!$AJ$6:$AJ$505,"&gt;"&amp;$A92,実績!$AK$6:$AK$505,"○")&gt;0,1,0))</f>
        <v>0</v>
      </c>
      <c r="Y92" s="39" t="n">
        <f aca="false">IF(Y$4=0,0,IF(COUNTIFS(実績!$W$6:$W$505,Y$3,実績!$AI$6:$AI$505,"&lt;="&amp;$A92,実績!$AJ$6:$AJ$505,"&gt;"&amp;$A92,実績!$AK$6:$AK$505,"○")&gt;0,1,0))</f>
        <v>0</v>
      </c>
      <c r="Z92" s="39" t="n">
        <f aca="false">IF(Z$4=0,0,IF(COUNTIFS(実績!$W$6:$W$505,Z$3,実績!$AI$6:$AI$505,"&lt;="&amp;$A92,実績!$AJ$6:$AJ$505,"&gt;"&amp;$A92,実績!$AK$6:$AK$505,"○")&gt;0,1,0))</f>
        <v>0</v>
      </c>
      <c r="AA92" s="39" t="n">
        <f aca="false">IF(AA$4=0,0,IF(COUNTIFS(実績!$W$6:$W$505,AA$3,実績!$AI$6:$AI$505,"&lt;="&amp;$A92,実績!$AJ$6:$AJ$505,"&gt;"&amp;$A92,実績!$AK$6:$AK$505,"○")&gt;0,1,0))</f>
        <v>0</v>
      </c>
      <c r="AB92" s="39" t="n">
        <f aca="false">IF(AB$4=0,0,IF(COUNTIFS(実績!$W$6:$W$505,AB$3,実績!$AI$6:$AI$505,"&lt;="&amp;$A92,実績!$AJ$6:$AJ$505,"&gt;"&amp;$A92,実績!$AK$6:$AK$505,"○")&gt;0,1,0))</f>
        <v>0</v>
      </c>
      <c r="AC92" s="39" t="n">
        <f aca="false">IF(AC$4=0,0,IF(COUNTIFS(実績!$W$6:$W$505,AC$3,実績!$AI$6:$AI$505,"&lt;="&amp;$A92,実績!$AJ$6:$AJ$505,"&gt;"&amp;$A92,実績!$AK$6:$AK$505,"○")&gt;0,1,0))</f>
        <v>0</v>
      </c>
      <c r="AD92" s="39" t="n">
        <f aca="false">IF(AD$4=0,0,IF(COUNTIFS(実績!$W$6:$W$505,AD$3,実績!$AI$6:$AI$505,"&lt;="&amp;$A92,実績!$AJ$6:$AJ$505,"&gt;"&amp;$A92,実績!$AK$6:$AK$505,"○")&gt;0,1,0))</f>
        <v>0</v>
      </c>
      <c r="AE92" s="39" t="n">
        <f aca="false">IF(AE$4=0,0,IF(COUNTIFS(実績!$W$6:$W$505,AE$3,実績!$AI$6:$AI$505,"&lt;="&amp;$A92,実績!$AJ$6:$AJ$505,"&gt;"&amp;$A92,実績!$AK$6:$AK$505,"○")&gt;0,1,0))</f>
        <v>0</v>
      </c>
      <c r="AF92" s="39" t="n">
        <f aca="false">IF(AF$4=0,0,IF(COUNTIFS(実績!$W$6:$W$505,AF$3,実績!$AI$6:$AI$505,"&lt;="&amp;$A92,実績!$AJ$6:$AJ$505,"&gt;"&amp;$A92,実績!$AK$6:$AK$505,"○")&gt;0,1,0))</f>
        <v>0</v>
      </c>
      <c r="AG92" s="39" t="n">
        <f aca="false">IF(AG$4=0,0,IF(COUNTIFS(実績!$W$6:$W$505,AG$3,実績!$AI$6:$AI$505,"&lt;="&amp;$A92,実績!$AJ$6:$AJ$505,"&gt;"&amp;$A92,実績!$AK$6:$AK$505,"○")&gt;0,1,0))</f>
        <v>0</v>
      </c>
      <c r="AH92" s="39" t="n">
        <f aca="false">IF(AH$4=0,0,IF(COUNTIFS(実績!$W$6:$W$505,AH$3,実績!$AI$6:$AI$505,"&lt;="&amp;$A92,実績!$AJ$6:$AJ$505,"&gt;"&amp;$A92,実績!$AK$6:$AK$505,"○")&gt;0,1,0))</f>
        <v>0</v>
      </c>
      <c r="AI92" s="39" t="n">
        <f aca="false">IF(AI$4=0,0,IF(COUNTIFS(実績!$W$6:$W$505,AI$3,実績!$AI$6:$AI$505,"&lt;="&amp;$A92,実績!$AJ$6:$AJ$505,"&gt;"&amp;$A92,実績!$AK$6:$AK$505,"○")&gt;0,1,0))</f>
        <v>0</v>
      </c>
      <c r="AJ92" s="39" t="n">
        <f aca="false">IF(AJ$4=0,0,IF(COUNTIFS(実績!$W$6:$W$505,AJ$3,実績!$AI$6:$AI$505,"&lt;="&amp;$A92,実績!$AJ$6:$AJ$505,"&gt;"&amp;$A92,実績!$AK$6:$AK$505,"○")&gt;0,1,0))</f>
        <v>0</v>
      </c>
      <c r="AK92" s="39" t="n">
        <f aca="false">IF(AK$4=0,0,IF(COUNTIFS(実績!$W$6:$W$505,AK$3,実績!$AI$6:$AI$505,"&lt;="&amp;$A92,実績!$AJ$6:$AJ$505,"&gt;"&amp;$A92,実績!$AK$6:$AK$505,"○")&gt;0,1,0))</f>
        <v>0</v>
      </c>
      <c r="AL92" s="39" t="n">
        <f aca="false">IF(AL$4=0,0,IF(COUNTIFS(実績!$W$6:$W$505,AL$3,実績!$AI$6:$AI$505,"&lt;="&amp;$A92,実績!$AJ$6:$AJ$505,"&gt;"&amp;$A92,実績!$AK$6:$AK$505,"○")&gt;0,1,0))</f>
        <v>0</v>
      </c>
      <c r="AM92" s="39" t="n">
        <f aca="false">IF(AM$4=0,0,IF(COUNTIFS(実績!$W$6:$W$505,AM$3,実績!$AI$6:$AI$505,"&lt;="&amp;$A92,実績!$AJ$6:$AJ$505,"&gt;"&amp;$A92,実績!$AK$6:$AK$505,"○")&gt;0,1,0))</f>
        <v>0</v>
      </c>
      <c r="AN92" s="39" t="n">
        <f aca="false">IF(AN$4=0,0,IF(COUNTIFS(実績!$W$6:$W$505,AN$3,実績!$AI$6:$AI$505,"&lt;="&amp;$A92,実績!$AJ$6:$AJ$505,"&gt;"&amp;$A92,実績!$AK$6:$AK$505,"○")&gt;0,1,0))</f>
        <v>0</v>
      </c>
      <c r="AO92" s="39" t="n">
        <f aca="false">IF(AO$4=0,0,IF(COUNTIFS(実績!$W$6:$W$505,AO$3,実績!$AI$6:$AI$505,"&lt;="&amp;$A92,実績!$AJ$6:$AJ$505,"&gt;"&amp;$A92,実績!$AK$6:$AK$505,"○")&gt;0,1,0))</f>
        <v>0</v>
      </c>
      <c r="AP92" s="39" t="n">
        <f aca="false">IF(AP$4=0,0,IF(COUNTIFS(実績!$W$6:$W$505,AP$3,実績!$AI$6:$AI$505,"&lt;="&amp;$A92,実績!$AJ$6:$AJ$505,"&gt;"&amp;$A92,実績!$AK$6:$AK$505,"○")&gt;0,1,0))</f>
        <v>0</v>
      </c>
      <c r="AQ92" s="39" t="n">
        <f aca="false">IF(AQ$4=0,0,IF(COUNTIFS(実績!$W$6:$W$505,AQ$3,実績!$AI$6:$AI$505,"&lt;="&amp;$A92,実績!$AJ$6:$AJ$505,"&gt;"&amp;$A92,実績!$AK$6:$AK$505,"○")&gt;0,1,0))</f>
        <v>0</v>
      </c>
      <c r="AR92" s="39" t="n">
        <f aca="false">IF(AR$4=0,0,IF(COUNTIFS(実績!$W$6:$W$505,AR$3,実績!$AI$6:$AI$505,"&lt;="&amp;$A92,実績!$AJ$6:$AJ$505,"&gt;"&amp;$A92,実績!$AK$6:$AK$505,"○")&gt;0,1,0))</f>
        <v>0</v>
      </c>
      <c r="AS92" s="39" t="n">
        <f aca="false">IF(AS$4=0,0,IF(COUNTIFS(実績!$W$6:$W$505,AS$3,実績!$AI$6:$AI$505,"&lt;="&amp;$A92,実績!$AJ$6:$AJ$505,"&gt;"&amp;$A92,実績!$AK$6:$AK$505,"○")&gt;0,1,0))</f>
        <v>0</v>
      </c>
      <c r="AT92" s="39" t="n">
        <f aca="false">IF(AT$4=0,0,IF(COUNTIFS(実績!$W$6:$W$505,AT$3,実績!$AI$6:$AI$505,"&lt;="&amp;$A92,実績!$AJ$6:$AJ$505,"&gt;"&amp;$A92,実績!$AK$6:$AK$505,"○")&gt;0,1,0))</f>
        <v>0</v>
      </c>
      <c r="AU92" s="39" t="n">
        <f aca="false">IF(AU$4=0,0,IF(COUNTIFS(実績!$W$6:$W$505,AU$3,実績!$AI$6:$AI$505,"&lt;="&amp;$A92,実績!$AJ$6:$AJ$505,"&gt;"&amp;$A92,実績!$AK$6:$AK$505,"○")&gt;0,1,0))</f>
        <v>0</v>
      </c>
      <c r="AV92" s="39" t="n">
        <f aca="false">IF(AV$4=0,0,IF(COUNTIFS(実績!$W$6:$W$505,AV$3,実績!$AI$6:$AI$505,"&lt;="&amp;$A92,実績!$AJ$6:$AJ$505,"&gt;"&amp;$A92,実績!$AK$6:$AK$505,"○")&gt;0,1,0))</f>
        <v>0</v>
      </c>
      <c r="AW92" s="39" t="n">
        <f aca="false">IF(AW$4=0,0,IF(COUNTIFS(実績!$W$6:$W$505,AW$3,実績!$AI$6:$AI$505,"&lt;="&amp;$A92,実績!$AJ$6:$AJ$505,"&gt;"&amp;$A92,実績!$AK$6:$AK$505,"○")&gt;0,1,0))</f>
        <v>0</v>
      </c>
      <c r="AX92" s="39" t="n">
        <f aca="false">IF(AX$4=0,0,IF(COUNTIFS(実績!$W$6:$W$505,AX$3,実績!$AI$6:$AI$505,"&lt;="&amp;$A92,実績!$AJ$6:$AJ$505,"&gt;"&amp;$A92,実績!$AK$6:$AK$505,"○")&gt;0,1,0))</f>
        <v>0</v>
      </c>
      <c r="AY92" s="39" t="n">
        <f aca="false">IF(AY$4=0,0,IF(COUNTIFS(実績!$W$6:$W$505,AY$3,実績!$AI$6:$AI$505,"&lt;="&amp;$A92,実績!$AJ$6:$AJ$505,"&gt;"&amp;$A92,実績!$AK$6:$AK$505,"○")&gt;0,1,0))</f>
        <v>0</v>
      </c>
      <c r="AZ92" s="39" t="n">
        <f aca="false">IF(AZ$4=0,0,IF(COUNTIFS(実績!$W$6:$W$505,AZ$3,実績!$AI$6:$AI$505,"&lt;="&amp;$A92,実績!$AJ$6:$AJ$505,"&gt;"&amp;$A92,実績!$AK$6:$AK$505,"○")&gt;0,1,0))</f>
        <v>0</v>
      </c>
      <c r="BA92" s="39" t="n">
        <f aca="false">IF(BA$4=0,0,IF(COUNTIFS(実績!$W$6:$W$505,BA$3,実績!$AI$6:$AI$505,"&lt;="&amp;$A92,実績!$AJ$6:$AJ$505,"&gt;"&amp;$A92,実績!$AK$6:$AK$505,"○")&gt;0,1,0))</f>
        <v>0</v>
      </c>
      <c r="BB92" s="39" t="n">
        <f aca="false">IF(BB$4=0,0,IF(COUNTIFS(実績!$W$6:$W$505,BB$3,実績!$AI$6:$AI$505,"&lt;="&amp;$A92,実績!$AJ$6:$AJ$505,"&gt;"&amp;$A92,実績!$AK$6:$AK$505,"○")&gt;0,1,0))</f>
        <v>0</v>
      </c>
      <c r="BC92" s="39" t="n">
        <f aca="false">IF(BC$4=0,0,IF(COUNTIFS(実績!$W$6:$W$505,BC$3,実績!$AI$6:$AI$505,"&lt;="&amp;$A92,実績!$AJ$6:$AJ$505,"&gt;"&amp;$A92,実績!$AK$6:$AK$505,"○")&gt;0,1,0))</f>
        <v>0</v>
      </c>
      <c r="BD92" s="39" t="n">
        <f aca="false">IF(BD$4=0,0,IF(COUNTIFS(実績!$W$6:$W$505,BD$3,実績!$AI$6:$AI$505,"&lt;="&amp;$A92,実績!$AJ$6:$AJ$505,"&gt;"&amp;$A92,実績!$AK$6:$AK$505,"○")&gt;0,1,0))</f>
        <v>0</v>
      </c>
      <c r="BE92" s="39" t="n">
        <f aca="false">IF(BE$4=0,0,IF(COUNTIFS(実績!$W$6:$W$505,BE$3,実績!$AI$6:$AI$505,"&lt;="&amp;$A92,実績!$AJ$6:$AJ$505,"&gt;"&amp;$A92,実績!$AK$6:$AK$505,"○")&gt;0,1,0))</f>
        <v>0</v>
      </c>
      <c r="BF92" s="39" t="n">
        <f aca="false">IF(BF$4=0,0,IF(COUNTIFS(実績!$W$6:$W$505,BF$3,実績!$AI$6:$AI$505,"&lt;="&amp;$A92,実績!$AJ$6:$AJ$505,"&gt;"&amp;$A92,実績!$AK$6:$AK$505,"○")&gt;0,1,0))</f>
        <v>0</v>
      </c>
      <c r="BG92" s="39" t="n">
        <f aca="false">IF(BG$4=0,0,IF(COUNTIFS(実績!$W$6:$W$505,BG$3,実績!$AI$6:$AI$505,"&lt;="&amp;$A92,実績!$AJ$6:$AJ$505,"&gt;"&amp;$A92,実績!$AK$6:$AK$505,"○")&gt;0,1,0))</f>
        <v>0</v>
      </c>
      <c r="BH92" s="39" t="n">
        <f aca="false">IF(BH$4=0,0,IF(COUNTIFS(実績!$W$6:$W$505,BH$3,実績!$AI$6:$AI$505,"&lt;="&amp;$A92,実績!$AJ$6:$AJ$505,"&gt;"&amp;$A92,実績!$AK$6:$AK$505,"○")&gt;0,1,0))</f>
        <v>0</v>
      </c>
      <c r="BI92" s="39" t="n">
        <f aca="false">IF(BI$4=0,0,IF(COUNTIFS(実績!$W$6:$W$505,BI$3,実績!$AI$6:$AI$505,"&lt;="&amp;$A92,実績!$AJ$6:$AJ$505,"&gt;"&amp;$A92,実績!$AK$6:$AK$505,"○")&gt;0,1,0))</f>
        <v>0</v>
      </c>
      <c r="BJ92" s="39" t="n">
        <f aca="false">IF(BJ$4=0,0,IF(COUNTIFS(実績!$W$6:$W$505,BJ$3,実績!$AI$6:$AI$505,"&lt;="&amp;$A92,実績!$AJ$6:$AJ$505,"&gt;"&amp;$A92,実績!$AK$6:$AK$505,"○")&gt;0,1,0))</f>
        <v>0</v>
      </c>
      <c r="BK92" s="39" t="n">
        <f aca="false">IF(BK$4=0,0,IF(COUNTIFS(実績!$W$6:$W$505,BK$3,実績!$AI$6:$AI$505,"&lt;="&amp;$A92,実績!$AJ$6:$AJ$505,"&gt;"&amp;$A92,実績!$AK$6:$AK$505,"○")&gt;0,1,0))</f>
        <v>0</v>
      </c>
      <c r="BL92" s="39" t="n">
        <f aca="false">IF(BL$4=0,0,IF(COUNTIFS(実績!$W$6:$W$505,BL$3,実績!$AI$6:$AI$505,"&lt;="&amp;$A92,実績!$AJ$6:$AJ$505,"&gt;"&amp;$A92,実績!$AK$6:$AK$505,"○")&gt;0,1,0))</f>
        <v>0</v>
      </c>
      <c r="BM92" s="39" t="n">
        <f aca="false">IF(BM$4=0,0,IF(COUNTIFS(実績!$W$6:$W$505,BM$3,実績!$AI$6:$AI$505,"&lt;="&amp;$A92,実績!$AJ$6:$AJ$505,"&gt;"&amp;$A92,実績!$AK$6:$AK$505,"○")&gt;0,1,0))</f>
        <v>0</v>
      </c>
      <c r="BN92" s="39" t="n">
        <f aca="false">IF(BN$4=0,0,IF(COUNTIFS(実績!$W$6:$W$505,BN$3,実績!$AI$6:$AI$505,"&lt;="&amp;$A92,実績!$AJ$6:$AJ$505,"&gt;"&amp;$A92,実績!$AK$6:$AK$505,"○")&gt;0,1,0))</f>
        <v>0</v>
      </c>
      <c r="BO92" s="39" t="n">
        <f aca="false">IF(BO$4=0,0,IF(COUNTIFS(実績!$W$6:$W$505,BO$3,実績!$AI$6:$AI$505,"&lt;="&amp;$A92,実績!$AJ$6:$AJ$505,"&gt;"&amp;$A92,実績!$AK$6:$AK$505,"○")&gt;0,1,0))</f>
        <v>0</v>
      </c>
      <c r="BP92" s="39" t="n">
        <f aca="false">IF(BP$4=0,0,IF(COUNTIFS(実績!$W$6:$W$505,BP$3,実績!$AI$6:$AI$505,"&lt;="&amp;$A92,実績!$AJ$6:$AJ$505,"&gt;"&amp;$A92,実績!$AK$6:$AK$505,"○")&gt;0,1,0))</f>
        <v>0</v>
      </c>
      <c r="BQ92" s="39" t="n">
        <f aca="false">IF(BQ$4=0,0,IF(COUNTIFS(実績!$W$6:$W$505,BQ$3,実績!$AI$6:$AI$505,"&lt;="&amp;$A92,実績!$AJ$6:$AJ$505,"&gt;"&amp;$A92,実績!$AK$6:$AK$505,"○")&gt;0,1,0))</f>
        <v>0</v>
      </c>
      <c r="BR92" s="39" t="n">
        <f aca="false">IF(BR$4=0,0,IF(COUNTIFS(実績!$W$6:$W$505,BR$3,実績!$AI$6:$AI$505,"&lt;="&amp;$A92,実績!$AJ$6:$AJ$505,"&gt;"&amp;$A92,実績!$AK$6:$AK$505,"○")&gt;0,1,0))</f>
        <v>0</v>
      </c>
      <c r="BS92" s="39" t="n">
        <f aca="false">IF(BS$4=0,0,IF(COUNTIFS(実績!$W$6:$W$505,BS$3,実績!$AI$6:$AI$505,"&lt;="&amp;$A92,実績!$AJ$6:$AJ$505,"&gt;"&amp;$A92,実績!$AK$6:$AK$505,"○")&gt;0,1,0))</f>
        <v>0</v>
      </c>
      <c r="BT92" s="39" t="n">
        <f aca="false">IF(BT$4=0,0,IF(COUNTIFS(実績!$W$6:$W$505,BT$3,実績!$AI$6:$AI$505,"&lt;="&amp;$A92,実績!$AJ$6:$AJ$505,"&gt;"&amp;$A92,実績!$AK$6:$AK$505,"○")&gt;0,1,0))</f>
        <v>0</v>
      </c>
      <c r="BU92" s="39" t="n">
        <f aca="false">IF(BU$4=0,0,IF(COUNTIFS(実績!$W$6:$W$505,BU$3,実績!$AI$6:$AI$505,"&lt;="&amp;$A92,実績!$AJ$6:$AJ$505,"&gt;"&amp;$A92,実績!$AK$6:$AK$505,"○")&gt;0,1,0))</f>
        <v>0</v>
      </c>
      <c r="BV92" s="39" t="n">
        <f aca="false">IF(BV$4=0,0,IF(COUNTIFS(実績!$W$6:$W$505,BV$3,実績!$AI$6:$AI$505,"&lt;="&amp;$A92,実績!$AJ$6:$AJ$505,"&gt;"&amp;$A92,実績!$AK$6:$AK$505,"○")&gt;0,1,0))</f>
        <v>0</v>
      </c>
      <c r="BW92" s="39" t="n">
        <f aca="false">IF(BW$4=0,0,IF(COUNTIFS(実績!$W$6:$W$505,BW$3,実績!$AI$6:$AI$505,"&lt;="&amp;$A92,実績!$AJ$6:$AJ$505,"&gt;"&amp;$A92,実績!$AK$6:$AK$505,"○")&gt;0,1,0))</f>
        <v>0</v>
      </c>
      <c r="BX92" s="39" t="n">
        <f aca="false">IF(BX$4=0,0,IF(COUNTIFS(実績!$W$6:$W$505,BX$3,実績!$AI$6:$AI$505,"&lt;="&amp;$A92,実績!$AJ$6:$AJ$505,"&gt;"&amp;$A92,実績!$AK$6:$AK$505,"○")&gt;0,1,0))</f>
        <v>0</v>
      </c>
      <c r="BY92" s="39" t="n">
        <f aca="false">IF(BY$4=0,0,IF(COUNTIFS(実績!$W$6:$W$505,BY$3,実績!$AI$6:$AI$505,"&lt;="&amp;$A92,実績!$AJ$6:$AJ$505,"&gt;"&amp;$A92,実績!$AK$6:$AK$505,"○")&gt;0,1,0))</f>
        <v>0</v>
      </c>
      <c r="BZ92" s="39" t="n">
        <f aca="false">IF(BZ$4=0,0,IF(COUNTIFS(実績!$W$6:$W$505,BZ$3,実績!$AI$6:$AI$505,"&lt;="&amp;$A92,実績!$AJ$6:$AJ$505,"&gt;"&amp;$A92,実績!$AK$6:$AK$505,"○")&gt;0,1,0))</f>
        <v>0</v>
      </c>
      <c r="CA92" s="39" t="n">
        <f aca="false">IF(CA$4=0,0,IF(COUNTIFS(実績!$W$6:$W$505,CA$3,実績!$AI$6:$AI$505,"&lt;="&amp;$A92,実績!$AJ$6:$AJ$505,"&gt;"&amp;$A92,実績!$AK$6:$AK$505,"○")&gt;0,1,0))</f>
        <v>0</v>
      </c>
      <c r="CB92" s="39" t="n">
        <f aca="false">IF(CB$4=0,0,IF(COUNTIFS(実績!$W$6:$W$505,CB$3,実績!$AI$6:$AI$505,"&lt;="&amp;$A92,実績!$AJ$6:$AJ$505,"&gt;"&amp;$A92,実績!$AK$6:$AK$505,"○")&gt;0,1,0))</f>
        <v>0</v>
      </c>
      <c r="CC92" s="39" t="n">
        <f aca="false">IF(CC$4=0,0,IF(COUNTIFS(実績!$W$6:$W$505,CC$3,実績!$AI$6:$AI$505,"&lt;="&amp;$A92,実績!$AJ$6:$AJ$505,"&gt;"&amp;$A92,実績!$AK$6:$AK$505,"○")&gt;0,1,0))</f>
        <v>0</v>
      </c>
      <c r="CD92" s="39" t="n">
        <f aca="false">IF(CD$4=0,0,IF(COUNTIFS(実績!$W$6:$W$505,CD$3,実績!$AI$6:$AI$505,"&lt;="&amp;$A92,実績!$AJ$6:$AJ$505,"&gt;"&amp;$A92,実績!$AK$6:$AK$505,"○")&gt;0,1,0))</f>
        <v>0</v>
      </c>
      <c r="CE92" s="39" t="n">
        <f aca="false">IF(CE$4=0,0,IF(COUNTIFS(実績!$W$6:$W$505,CE$3,実績!$AI$6:$AI$505,"&lt;="&amp;$A92,実績!$AJ$6:$AJ$505,"&gt;"&amp;$A92,実績!$AK$6:$AK$505,"○")&gt;0,1,0))</f>
        <v>0</v>
      </c>
      <c r="CF92" s="39" t="n">
        <f aca="false">IF(CF$4=0,0,IF(COUNTIFS(実績!$W$6:$W$505,CF$3,実績!$AI$6:$AI$505,"&lt;="&amp;$A92,実績!$AJ$6:$AJ$505,"&gt;"&amp;$A92,実績!$AK$6:$AK$505,"○")&gt;0,1,0))</f>
        <v>0</v>
      </c>
      <c r="CG92" s="39" t="n">
        <f aca="false">IF(CG$4=0,0,IF(COUNTIFS(実績!$W$6:$W$505,CG$3,実績!$AI$6:$AI$505,"&lt;="&amp;$A92,実績!$AJ$6:$AJ$505,"&gt;"&amp;$A92,実績!$AK$6:$AK$505,"○")&gt;0,1,0))</f>
        <v>0</v>
      </c>
      <c r="CH92" s="39" t="n">
        <f aca="false">IF(CH$4=0,0,IF(COUNTIFS(実績!$W$6:$W$505,CH$3,実績!$AI$6:$AI$505,"&lt;="&amp;$A92,実績!$AJ$6:$AJ$505,"&gt;"&amp;$A92,実績!$AK$6:$AK$505,"○")&gt;0,1,0))</f>
        <v>0</v>
      </c>
      <c r="CI92" s="39" t="n">
        <f aca="false">IF(CI$4=0,0,IF(COUNTIFS(実績!$W$6:$W$505,CI$3,実績!$AI$6:$AI$505,"&lt;="&amp;$A92,実績!$AJ$6:$AJ$505,"&gt;"&amp;$A92,実績!$AK$6:$AK$505,"○")&gt;0,1,0))</f>
        <v>0</v>
      </c>
      <c r="CJ92" s="39" t="n">
        <f aca="false">IF(CJ$4=0,0,IF(COUNTIFS(実績!$W$6:$W$505,CJ$3,実績!$AI$6:$AI$505,"&lt;="&amp;$A92,実績!$AJ$6:$AJ$505,"&gt;"&amp;$A92,実績!$AK$6:$AK$505,"○")&gt;0,1,0))</f>
        <v>0</v>
      </c>
      <c r="CK92" s="39" t="n">
        <f aca="false">IF(CK$4=0,0,IF(COUNTIFS(実績!$W$6:$W$505,CK$3,実績!$AI$6:$AI$505,"&lt;="&amp;$A92,実績!$AJ$6:$AJ$505,"&gt;"&amp;$A92,実績!$AK$6:$AK$505,"○")&gt;0,1,0))</f>
        <v>0</v>
      </c>
      <c r="CL92" s="39" t="n">
        <f aca="false">IF(CL$4=0,0,IF(COUNTIFS(実績!$W$6:$W$505,CL$3,実績!$AI$6:$AI$505,"&lt;="&amp;$A92,実績!$AJ$6:$AJ$505,"&gt;"&amp;$A92,実績!$AK$6:$AK$505,"○")&gt;0,1,0))</f>
        <v>0</v>
      </c>
      <c r="CM92" s="39" t="n">
        <f aca="false">IF(CM$4=0,0,IF(COUNTIFS(実績!$W$6:$W$505,CM$3,実績!$AI$6:$AI$505,"&lt;="&amp;$A92,実績!$AJ$6:$AJ$505,"&gt;"&amp;$A92,実績!$AK$6:$AK$505,"○")&gt;0,1,0))</f>
        <v>0</v>
      </c>
      <c r="CN92" s="39" t="n">
        <f aca="false">IF(CN$4=0,0,IF(COUNTIFS(実績!$W$6:$W$505,CN$3,実績!$AI$6:$AI$505,"&lt;="&amp;$A92,実績!$AJ$6:$AJ$505,"&gt;"&amp;$A92,実績!$AK$6:$AK$505,"○")&gt;0,1,0))</f>
        <v>0</v>
      </c>
      <c r="CO92" s="39" t="n">
        <f aca="false">IF(CO$4=0,0,IF(COUNTIFS(実績!$W$6:$W$505,CO$3,実績!$AI$6:$AI$505,"&lt;="&amp;$A92,実績!$AJ$6:$AJ$505,"&gt;"&amp;$A92,実績!$AK$6:$AK$505,"○")&gt;0,1,0))</f>
        <v>0</v>
      </c>
      <c r="CP92" s="39" t="n">
        <f aca="false">IF(CP$4=0,0,IF(COUNTIFS(実績!$W$6:$W$505,CP$3,実績!$AI$6:$AI$505,"&lt;="&amp;$A92,実績!$AJ$6:$AJ$505,"&gt;"&amp;$A92,実績!$AK$6:$AK$505,"○")&gt;0,1,0))</f>
        <v>0</v>
      </c>
      <c r="CQ92" s="39" t="n">
        <f aca="false">IF(CQ$4=0,0,IF(COUNTIFS(実績!$W$6:$W$505,CQ$3,実績!$AI$6:$AI$505,"&lt;="&amp;$A92,実績!$AJ$6:$AJ$505,"&gt;"&amp;$A92,実績!$AK$6:$AK$505,"○")&gt;0,1,0))</f>
        <v>0</v>
      </c>
      <c r="CR92" s="39" t="n">
        <f aca="false">IF(CR$4=0,0,IF(COUNTIFS(実績!$W$6:$W$505,CR$3,実績!$AI$6:$AI$505,"&lt;="&amp;$A92,実績!$AJ$6:$AJ$505,"&gt;"&amp;$A92,実績!$AK$6:$AK$505,"○")&gt;0,1,0))</f>
        <v>0</v>
      </c>
      <c r="CS92" s="39" t="n">
        <f aca="false">IF(CS$4=0,0,IF(COUNTIFS(実績!$W$6:$W$505,CS$3,実績!$AI$6:$AI$505,"&lt;="&amp;$A92,実績!$AJ$6:$AJ$505,"&gt;"&amp;$A92,実績!$AK$6:$AK$505,"○")&gt;0,1,0))</f>
        <v>0</v>
      </c>
      <c r="CT92" s="39" t="n">
        <f aca="false">IF(CT$4=0,0,IF(COUNTIFS(実績!$W$6:$W$505,CT$3,実績!$AI$6:$AI$505,"&lt;="&amp;$A92,実績!$AJ$6:$AJ$505,"&gt;"&amp;$A92,実績!$AK$6:$AK$505,"○")&gt;0,1,0))</f>
        <v>0</v>
      </c>
      <c r="CU92" s="39" t="n">
        <f aca="false">IF(CU$4=0,0,IF(COUNTIFS(実績!$W$6:$W$505,CU$3,実績!$AI$6:$AI$505,"&lt;="&amp;$A92,実績!$AJ$6:$AJ$505,"&gt;"&amp;$A92,実績!$AK$6:$AK$505,"○")&gt;0,1,0))</f>
        <v>0</v>
      </c>
      <c r="CV92" s="39" t="n">
        <f aca="false">IF(CV$4=0,0,IF(COUNTIFS(実績!$W$6:$W$505,CV$3,実績!$AI$6:$AI$505,"&lt;="&amp;$A92,実績!$AJ$6:$AJ$505,"&gt;"&amp;$A92,実績!$AK$6:$AK$505,"○")&gt;0,1,0))</f>
        <v>0</v>
      </c>
      <c r="CW92" s="39" t="n">
        <f aca="false">IF(CW$4=0,0,IF(COUNTIFS(実績!$W$6:$W$505,CW$3,実績!$AI$6:$AI$505,"&lt;="&amp;$A92,実績!$AJ$6:$AJ$505,"&gt;"&amp;$A92,実績!$AK$6:$AK$505,"○")&gt;0,1,0))</f>
        <v>0</v>
      </c>
      <c r="CX92" s="39" t="n">
        <f aca="false">IF(CX$4=0,0,IF(COUNTIFS(実績!$W$6:$W$505,CX$3,実績!$AI$6:$AI$505,"&lt;="&amp;$A92,実績!$AJ$6:$AJ$505,"&gt;"&amp;$A92,実績!$AK$6:$AK$505,"○")&gt;0,1,0))</f>
        <v>0</v>
      </c>
      <c r="CY92" s="39" t="n">
        <f aca="false">IF(CY$4=0,0,IF(COUNTIFS(実績!$W$6:$W$505,CY$3,実績!$AI$6:$AI$505,"&lt;="&amp;$A92,実績!$AJ$6:$AJ$505,"&gt;"&amp;$A92,実績!$AK$6:$AK$505,"○")&gt;0,1,0))</f>
        <v>0</v>
      </c>
      <c r="CZ92" s="39" t="n">
        <f aca="false">IF(CZ$4=0,0,IF(COUNTIFS(実績!$W$6:$W$505,CZ$3,実績!$AI$6:$AI$505,"&lt;="&amp;$A92,実績!$AJ$6:$AJ$505,"&gt;"&amp;$A92,実績!$AK$6:$AK$505,"○")&gt;0,1,0))</f>
        <v>0</v>
      </c>
      <c r="DA92" s="39" t="n">
        <f aca="false">IF(DA$4=0,0,IF(COUNTIFS(実績!$W$6:$W$505,DA$3,実績!$AI$6:$AI$505,"&lt;="&amp;$A92,実績!$AJ$6:$AJ$505,"&gt;"&amp;$A92,実績!$AK$6:$AK$505,"○")&gt;0,1,0))</f>
        <v>0</v>
      </c>
      <c r="DB92" s="39" t="n">
        <f aca="false">IF(DB$4=0,0,IF(COUNTIFS(実績!$W$6:$W$505,DB$3,実績!$AI$6:$AI$505,"&lt;="&amp;$A92,実績!$AJ$6:$AJ$505,"&gt;"&amp;$A92,実績!$AK$6:$AK$505,"○")&gt;0,1,0))</f>
        <v>0</v>
      </c>
      <c r="DC92" s="39" t="n">
        <f aca="false">IF(DC$4=0,0,IF(COUNTIFS(実績!$W$6:$W$505,DC$3,実績!$AI$6:$AI$505,"&lt;="&amp;$A92,実績!$AJ$6:$AJ$505,"&gt;"&amp;$A92,実績!$AK$6:$AK$505,"○")&gt;0,1,0))</f>
        <v>0</v>
      </c>
      <c r="DD92" s="39" t="n">
        <f aca="false">IF(DD$4=0,0,IF(COUNTIFS(実績!$W$6:$W$505,DD$3,実績!$AI$6:$AI$505,"&lt;="&amp;$A92,実績!$AJ$6:$AJ$505,"&gt;"&amp;$A92,実績!$AK$6:$AK$505,"○")&gt;0,1,0))</f>
        <v>0</v>
      </c>
      <c r="DE92" s="39" t="n">
        <f aca="false">IF(DE$4=0,0,IF(COUNTIFS(実績!$W$6:$W$505,DE$3,実績!$AI$6:$AI$505,"&lt;="&amp;$A92,実績!$AJ$6:$AJ$505,"&gt;"&amp;$A92,実績!$AK$6:$AK$505,"○")&gt;0,1,0))</f>
        <v>0</v>
      </c>
      <c r="DF92" s="39" t="n">
        <f aca="false">IF(DF$4=0,0,IF(COUNTIFS(実績!$W$6:$W$505,DF$3,実績!$AI$6:$AI$505,"&lt;="&amp;$A92,実績!$AJ$6:$AJ$505,"&gt;"&amp;$A92,実績!$AK$6:$AK$505,"○")&gt;0,1,0))</f>
        <v>0</v>
      </c>
      <c r="DG92" s="39" t="n">
        <f aca="false">IF(DG$4=0,0,IF(COUNTIFS(実績!$W$6:$W$505,DG$3,実績!$AI$6:$AI$505,"&lt;="&amp;$A92,実績!$AJ$6:$AJ$505,"&gt;"&amp;$A92,実績!$AK$6:$AK$505,"○")&gt;0,1,0))</f>
        <v>0</v>
      </c>
      <c r="DH92" s="39" t="n">
        <f aca="false">IF(DH$4=0,0,IF(COUNTIFS(実績!$W$6:$W$505,DH$3,実績!$AI$6:$AI$505,"&lt;="&amp;$A92,実績!$AJ$6:$AJ$505,"&gt;"&amp;$A92,実績!$AK$6:$AK$505,"○")&gt;0,1,0))</f>
        <v>0</v>
      </c>
      <c r="DI92" s="39" t="n">
        <f aca="false">IF(DI$4=0,0,IF(COUNTIFS(実績!$W$6:$W$505,DI$3,実績!$AI$6:$AI$505,"&lt;="&amp;$A92,実績!$AJ$6:$AJ$505,"&gt;"&amp;$A92,実績!$AK$6:$AK$505,"○")&gt;0,1,0))</f>
        <v>0</v>
      </c>
      <c r="DJ92" s="39" t="n">
        <f aca="false">IF(DJ$4=0,0,IF(COUNTIFS(実績!$W$6:$W$505,DJ$3,実績!$AI$6:$AI$505,"&lt;="&amp;$A92,実績!$AJ$6:$AJ$505,"&gt;"&amp;$A92,実績!$AK$6:$AK$505,"○")&gt;0,1,0))</f>
        <v>0</v>
      </c>
      <c r="DK92" s="39" t="n">
        <f aca="false">IF(DK$4=0,0,IF(COUNTIFS(実績!$W$6:$W$505,DK$3,実績!$AI$6:$AI$505,"&lt;="&amp;$A92,実績!$AJ$6:$AJ$505,"&gt;"&amp;$A92,実績!$AK$6:$AK$505,"○")&gt;0,1,0))</f>
        <v>0</v>
      </c>
      <c r="DL92" s="39" t="n">
        <f aca="false">IF(DL$4=0,0,IF(COUNTIFS(実績!$W$6:$W$505,DL$3,実績!$AI$6:$AI$505,"&lt;="&amp;$A92,実績!$AJ$6:$AJ$505,"&gt;"&amp;$A92,実績!$AK$6:$AK$505,"○")&gt;0,1,0))</f>
        <v>0</v>
      </c>
      <c r="DM92" s="39" t="n">
        <f aca="false">IF(DM$4=0,0,IF(COUNTIFS(実績!$W$6:$W$505,DM$3,実績!$AI$6:$AI$505,"&lt;="&amp;$A92,実績!$AJ$6:$AJ$505,"&gt;"&amp;$A92,実績!$AK$6:$AK$505,"○")&gt;0,1,0))</f>
        <v>0</v>
      </c>
      <c r="DN92" s="39" t="n">
        <f aca="false">IF(DN$4=0,0,IF(COUNTIFS(実績!$W$6:$W$505,DN$3,実績!$AI$6:$AI$505,"&lt;="&amp;$A92,実績!$AJ$6:$AJ$505,"&gt;"&amp;$A92,実績!$AK$6:$AK$505,"○")&gt;0,1,0))</f>
        <v>0</v>
      </c>
      <c r="DO92" s="39" t="n">
        <f aca="false">IF(DO$4=0,0,IF(COUNTIFS(実績!$W$6:$W$505,DO$3,実績!$AI$6:$AI$505,"&lt;="&amp;$A92,実績!$AJ$6:$AJ$505,"&gt;"&amp;$A92,実績!$AK$6:$AK$505,"○")&gt;0,1,0))</f>
        <v>0</v>
      </c>
      <c r="DP92" s="39" t="n">
        <f aca="false">IF(DP$4=0,0,IF(COUNTIFS(実績!$W$6:$W$505,DP$3,実績!$AI$6:$AI$505,"&lt;="&amp;$A92,実績!$AJ$6:$AJ$505,"&gt;"&amp;$A92,実績!$AK$6:$AK$505,"○")&gt;0,1,0))</f>
        <v>0</v>
      </c>
      <c r="DQ92" s="39" t="n">
        <f aca="false">IF(DQ$4=0,0,IF(COUNTIFS(実績!$W$6:$W$505,DQ$3,実績!$AI$6:$AI$505,"&lt;="&amp;$A92,実績!$AJ$6:$AJ$505,"&gt;"&amp;$A92,実績!$AK$6:$AK$505,"○")&gt;0,1,0))</f>
        <v>0</v>
      </c>
      <c r="DR92" s="39" t="n">
        <f aca="false">IF(DR$4=0,0,IF(COUNTIFS(実績!$W$6:$W$505,DR$3,実績!$AI$6:$AI$505,"&lt;="&amp;$A92,実績!$AJ$6:$AJ$505,"&gt;"&amp;$A92,実績!$AK$6:$AK$505,"○")&gt;0,1,0))</f>
        <v>0</v>
      </c>
      <c r="DS92" s="39" t="n">
        <f aca="false">SUM(C92:DR92)</f>
        <v>0</v>
      </c>
      <c r="DT92" s="39" t="n">
        <f aca="false">SUMPRODUCT((実績!$C$6:$C$505="○")*ISNUMBER(実績!$AM$6:$AM$505)*(実績!$AM$6:$AM$505&lt;=$A92)*(実績!$AN$6:$AN$505&gt;$A92))</f>
        <v>0</v>
      </c>
      <c r="DU92" s="39" t="n">
        <f aca="false">SUMIF($C$2:$DR$2,"製鉄曳船",C92:DR92)</f>
        <v>0</v>
      </c>
      <c r="DV92" s="39" t="n">
        <f aca="false">SUMIF($C$2:$DR$2,"西日本海運",C92:DR92)</f>
        <v>0</v>
      </c>
    </row>
    <row r="93" customFormat="false" ht="15" hidden="false" customHeight="false" outlineLevel="0" collapsed="false">
      <c r="A93" s="0" t="n">
        <v>435</v>
      </c>
      <c r="B93" s="38" t="n">
        <f aca="false">A93/1440</f>
        <v>0.302083333333333</v>
      </c>
      <c r="C93" s="39" t="n">
        <f aca="false">IF(C$4=0,0,IF(COUNTIFS(実績!$W$6:$W$505,C$3,実績!$AI$6:$AI$505,"&lt;="&amp;$A93,実績!$AJ$6:$AJ$505,"&gt;"&amp;$A93,実績!$AK$6:$AK$505,"○")&gt;0,1,0))</f>
        <v>0</v>
      </c>
      <c r="D93" s="39" t="n">
        <f aca="false">IF(D$4=0,0,IF(COUNTIFS(実績!$W$6:$W$505,D$3,実績!$AI$6:$AI$505,"&lt;="&amp;$A93,実績!$AJ$6:$AJ$505,"&gt;"&amp;$A93,実績!$AK$6:$AK$505,"○")&gt;0,1,0))</f>
        <v>0</v>
      </c>
      <c r="E93" s="39" t="n">
        <f aca="false">IF(E$4=0,0,IF(COUNTIFS(実績!$W$6:$W$505,E$3,実績!$AI$6:$AI$505,"&lt;="&amp;$A93,実績!$AJ$6:$AJ$505,"&gt;"&amp;$A93,実績!$AK$6:$AK$505,"○")&gt;0,1,0))</f>
        <v>0</v>
      </c>
      <c r="F93" s="39" t="n">
        <f aca="false">IF(F$4=0,0,IF(COUNTIFS(実績!$W$6:$W$505,F$3,実績!$AI$6:$AI$505,"&lt;="&amp;$A93,実績!$AJ$6:$AJ$505,"&gt;"&amp;$A93,実績!$AK$6:$AK$505,"○")&gt;0,1,0))</f>
        <v>0</v>
      </c>
      <c r="G93" s="39" t="n">
        <f aca="false">IF(G$4=0,0,IF(COUNTIFS(実績!$W$6:$W$505,G$3,実績!$AI$6:$AI$505,"&lt;="&amp;$A93,実績!$AJ$6:$AJ$505,"&gt;"&amp;$A93,実績!$AK$6:$AK$505,"○")&gt;0,1,0))</f>
        <v>0</v>
      </c>
      <c r="H93" s="39" t="n">
        <f aca="false">IF(H$4=0,0,IF(COUNTIFS(実績!$W$6:$W$505,H$3,実績!$AI$6:$AI$505,"&lt;="&amp;$A93,実績!$AJ$6:$AJ$505,"&gt;"&amp;$A93,実績!$AK$6:$AK$505,"○")&gt;0,1,0))</f>
        <v>0</v>
      </c>
      <c r="I93" s="39" t="n">
        <f aca="false">IF(I$4=0,0,IF(COUNTIFS(実績!$W$6:$W$505,I$3,実績!$AI$6:$AI$505,"&lt;="&amp;$A93,実績!$AJ$6:$AJ$505,"&gt;"&amp;$A93,実績!$AK$6:$AK$505,"○")&gt;0,1,0))</f>
        <v>0</v>
      </c>
      <c r="J93" s="39" t="n">
        <f aca="false">IF(J$4=0,0,IF(COUNTIFS(実績!$W$6:$W$505,J$3,実績!$AI$6:$AI$505,"&lt;="&amp;$A93,実績!$AJ$6:$AJ$505,"&gt;"&amp;$A93,実績!$AK$6:$AK$505,"○")&gt;0,1,0))</f>
        <v>0</v>
      </c>
      <c r="K93" s="39" t="n">
        <f aca="false">IF(K$4=0,0,IF(COUNTIFS(実績!$W$6:$W$505,K$3,実績!$AI$6:$AI$505,"&lt;="&amp;$A93,実績!$AJ$6:$AJ$505,"&gt;"&amp;$A93,実績!$AK$6:$AK$505,"○")&gt;0,1,0))</f>
        <v>0</v>
      </c>
      <c r="L93" s="39" t="n">
        <f aca="false">IF(L$4=0,0,IF(COUNTIFS(実績!$W$6:$W$505,L$3,実績!$AI$6:$AI$505,"&lt;="&amp;$A93,実績!$AJ$6:$AJ$505,"&gt;"&amp;$A93,実績!$AK$6:$AK$505,"○")&gt;0,1,0))</f>
        <v>0</v>
      </c>
      <c r="M93" s="39" t="n">
        <f aca="false">IF(M$4=0,0,IF(COUNTIFS(実績!$W$6:$W$505,M$3,実績!$AI$6:$AI$505,"&lt;="&amp;$A93,実績!$AJ$6:$AJ$505,"&gt;"&amp;$A93,実績!$AK$6:$AK$505,"○")&gt;0,1,0))</f>
        <v>0</v>
      </c>
      <c r="N93" s="39" t="n">
        <f aca="false">IF(N$4=0,0,IF(COUNTIFS(実績!$W$6:$W$505,N$3,実績!$AI$6:$AI$505,"&lt;="&amp;$A93,実績!$AJ$6:$AJ$505,"&gt;"&amp;$A93,実績!$AK$6:$AK$505,"○")&gt;0,1,0))</f>
        <v>0</v>
      </c>
      <c r="O93" s="39" t="n">
        <f aca="false">IF(O$4=0,0,IF(COUNTIFS(実績!$W$6:$W$505,O$3,実績!$AI$6:$AI$505,"&lt;="&amp;$A93,実績!$AJ$6:$AJ$505,"&gt;"&amp;$A93,実績!$AK$6:$AK$505,"○")&gt;0,1,0))</f>
        <v>0</v>
      </c>
      <c r="P93" s="39" t="n">
        <f aca="false">IF(P$4=0,0,IF(COUNTIFS(実績!$W$6:$W$505,P$3,実績!$AI$6:$AI$505,"&lt;="&amp;$A93,実績!$AJ$6:$AJ$505,"&gt;"&amp;$A93,実績!$AK$6:$AK$505,"○")&gt;0,1,0))</f>
        <v>0</v>
      </c>
      <c r="Q93" s="39" t="n">
        <f aca="false">IF(Q$4=0,0,IF(COUNTIFS(実績!$W$6:$W$505,Q$3,実績!$AI$6:$AI$505,"&lt;="&amp;$A93,実績!$AJ$6:$AJ$505,"&gt;"&amp;$A93,実績!$AK$6:$AK$505,"○")&gt;0,1,0))</f>
        <v>0</v>
      </c>
      <c r="R93" s="39" t="n">
        <f aca="false">IF(R$4=0,0,IF(COUNTIFS(実績!$W$6:$W$505,R$3,実績!$AI$6:$AI$505,"&lt;="&amp;$A93,実績!$AJ$6:$AJ$505,"&gt;"&amp;$A93,実績!$AK$6:$AK$505,"○")&gt;0,1,0))</f>
        <v>0</v>
      </c>
      <c r="S93" s="39" t="n">
        <f aca="false">IF(S$4=0,0,IF(COUNTIFS(実績!$W$6:$W$505,S$3,実績!$AI$6:$AI$505,"&lt;="&amp;$A93,実績!$AJ$6:$AJ$505,"&gt;"&amp;$A93,実績!$AK$6:$AK$505,"○")&gt;0,1,0))</f>
        <v>0</v>
      </c>
      <c r="T93" s="39" t="n">
        <f aca="false">IF(T$4=0,0,IF(COUNTIFS(実績!$W$6:$W$505,T$3,実績!$AI$6:$AI$505,"&lt;="&amp;$A93,実績!$AJ$6:$AJ$505,"&gt;"&amp;$A93,実績!$AK$6:$AK$505,"○")&gt;0,1,0))</f>
        <v>0</v>
      </c>
      <c r="U93" s="39" t="n">
        <f aca="false">IF(U$4=0,0,IF(COUNTIFS(実績!$W$6:$W$505,U$3,実績!$AI$6:$AI$505,"&lt;="&amp;$A93,実績!$AJ$6:$AJ$505,"&gt;"&amp;$A93,実績!$AK$6:$AK$505,"○")&gt;0,1,0))</f>
        <v>0</v>
      </c>
      <c r="V93" s="39" t="n">
        <f aca="false">IF(V$4=0,0,IF(COUNTIFS(実績!$W$6:$W$505,V$3,実績!$AI$6:$AI$505,"&lt;="&amp;$A93,実績!$AJ$6:$AJ$505,"&gt;"&amp;$A93,実績!$AK$6:$AK$505,"○")&gt;0,1,0))</f>
        <v>0</v>
      </c>
      <c r="W93" s="39" t="n">
        <f aca="false">IF(W$4=0,0,IF(COUNTIFS(実績!$W$6:$W$505,W$3,実績!$AI$6:$AI$505,"&lt;="&amp;$A93,実績!$AJ$6:$AJ$505,"&gt;"&amp;$A93,実績!$AK$6:$AK$505,"○")&gt;0,1,0))</f>
        <v>0</v>
      </c>
      <c r="X93" s="39" t="n">
        <f aca="false">IF(X$4=0,0,IF(COUNTIFS(実績!$W$6:$W$505,X$3,実績!$AI$6:$AI$505,"&lt;="&amp;$A93,実績!$AJ$6:$AJ$505,"&gt;"&amp;$A93,実績!$AK$6:$AK$505,"○")&gt;0,1,0))</f>
        <v>0</v>
      </c>
      <c r="Y93" s="39" t="n">
        <f aca="false">IF(Y$4=0,0,IF(COUNTIFS(実績!$W$6:$W$505,Y$3,実績!$AI$6:$AI$505,"&lt;="&amp;$A93,実績!$AJ$6:$AJ$505,"&gt;"&amp;$A93,実績!$AK$6:$AK$505,"○")&gt;0,1,0))</f>
        <v>0</v>
      </c>
      <c r="Z93" s="39" t="n">
        <f aca="false">IF(Z$4=0,0,IF(COUNTIFS(実績!$W$6:$W$505,Z$3,実績!$AI$6:$AI$505,"&lt;="&amp;$A93,実績!$AJ$6:$AJ$505,"&gt;"&amp;$A93,実績!$AK$6:$AK$505,"○")&gt;0,1,0))</f>
        <v>0</v>
      </c>
      <c r="AA93" s="39" t="n">
        <f aca="false">IF(AA$4=0,0,IF(COUNTIFS(実績!$W$6:$W$505,AA$3,実績!$AI$6:$AI$505,"&lt;="&amp;$A93,実績!$AJ$6:$AJ$505,"&gt;"&amp;$A93,実績!$AK$6:$AK$505,"○")&gt;0,1,0))</f>
        <v>0</v>
      </c>
      <c r="AB93" s="39" t="n">
        <f aca="false">IF(AB$4=0,0,IF(COUNTIFS(実績!$W$6:$W$505,AB$3,実績!$AI$6:$AI$505,"&lt;="&amp;$A93,実績!$AJ$6:$AJ$505,"&gt;"&amp;$A93,実績!$AK$6:$AK$505,"○")&gt;0,1,0))</f>
        <v>0</v>
      </c>
      <c r="AC93" s="39" t="n">
        <f aca="false">IF(AC$4=0,0,IF(COUNTIFS(実績!$W$6:$W$505,AC$3,実績!$AI$6:$AI$505,"&lt;="&amp;$A93,実績!$AJ$6:$AJ$505,"&gt;"&amp;$A93,実績!$AK$6:$AK$505,"○")&gt;0,1,0))</f>
        <v>0</v>
      </c>
      <c r="AD93" s="39" t="n">
        <f aca="false">IF(AD$4=0,0,IF(COUNTIFS(実績!$W$6:$W$505,AD$3,実績!$AI$6:$AI$505,"&lt;="&amp;$A93,実績!$AJ$6:$AJ$505,"&gt;"&amp;$A93,実績!$AK$6:$AK$505,"○")&gt;0,1,0))</f>
        <v>0</v>
      </c>
      <c r="AE93" s="39" t="n">
        <f aca="false">IF(AE$4=0,0,IF(COUNTIFS(実績!$W$6:$W$505,AE$3,実績!$AI$6:$AI$505,"&lt;="&amp;$A93,実績!$AJ$6:$AJ$505,"&gt;"&amp;$A93,実績!$AK$6:$AK$505,"○")&gt;0,1,0))</f>
        <v>0</v>
      </c>
      <c r="AF93" s="39" t="n">
        <f aca="false">IF(AF$4=0,0,IF(COUNTIFS(実績!$W$6:$W$505,AF$3,実績!$AI$6:$AI$505,"&lt;="&amp;$A93,実績!$AJ$6:$AJ$505,"&gt;"&amp;$A93,実績!$AK$6:$AK$505,"○")&gt;0,1,0))</f>
        <v>0</v>
      </c>
      <c r="AG93" s="39" t="n">
        <f aca="false">IF(AG$4=0,0,IF(COUNTIFS(実績!$W$6:$W$505,AG$3,実績!$AI$6:$AI$505,"&lt;="&amp;$A93,実績!$AJ$6:$AJ$505,"&gt;"&amp;$A93,実績!$AK$6:$AK$505,"○")&gt;0,1,0))</f>
        <v>0</v>
      </c>
      <c r="AH93" s="39" t="n">
        <f aca="false">IF(AH$4=0,0,IF(COUNTIFS(実績!$W$6:$W$505,AH$3,実績!$AI$6:$AI$505,"&lt;="&amp;$A93,実績!$AJ$6:$AJ$505,"&gt;"&amp;$A93,実績!$AK$6:$AK$505,"○")&gt;0,1,0))</f>
        <v>0</v>
      </c>
      <c r="AI93" s="39" t="n">
        <f aca="false">IF(AI$4=0,0,IF(COUNTIFS(実績!$W$6:$W$505,AI$3,実績!$AI$6:$AI$505,"&lt;="&amp;$A93,実績!$AJ$6:$AJ$505,"&gt;"&amp;$A93,実績!$AK$6:$AK$505,"○")&gt;0,1,0))</f>
        <v>0</v>
      </c>
      <c r="AJ93" s="39" t="n">
        <f aca="false">IF(AJ$4=0,0,IF(COUNTIFS(実績!$W$6:$W$505,AJ$3,実績!$AI$6:$AI$505,"&lt;="&amp;$A93,実績!$AJ$6:$AJ$505,"&gt;"&amp;$A93,実績!$AK$6:$AK$505,"○")&gt;0,1,0))</f>
        <v>0</v>
      </c>
      <c r="AK93" s="39" t="n">
        <f aca="false">IF(AK$4=0,0,IF(COUNTIFS(実績!$W$6:$W$505,AK$3,実績!$AI$6:$AI$505,"&lt;="&amp;$A93,実績!$AJ$6:$AJ$505,"&gt;"&amp;$A93,実績!$AK$6:$AK$505,"○")&gt;0,1,0))</f>
        <v>0</v>
      </c>
      <c r="AL93" s="39" t="n">
        <f aca="false">IF(AL$4=0,0,IF(COUNTIFS(実績!$W$6:$W$505,AL$3,実績!$AI$6:$AI$505,"&lt;="&amp;$A93,実績!$AJ$6:$AJ$505,"&gt;"&amp;$A93,実績!$AK$6:$AK$505,"○")&gt;0,1,0))</f>
        <v>0</v>
      </c>
      <c r="AM93" s="39" t="n">
        <f aca="false">IF(AM$4=0,0,IF(COUNTIFS(実績!$W$6:$W$505,AM$3,実績!$AI$6:$AI$505,"&lt;="&amp;$A93,実績!$AJ$6:$AJ$505,"&gt;"&amp;$A93,実績!$AK$6:$AK$505,"○")&gt;0,1,0))</f>
        <v>0</v>
      </c>
      <c r="AN93" s="39" t="n">
        <f aca="false">IF(AN$4=0,0,IF(COUNTIFS(実績!$W$6:$W$505,AN$3,実績!$AI$6:$AI$505,"&lt;="&amp;$A93,実績!$AJ$6:$AJ$505,"&gt;"&amp;$A93,実績!$AK$6:$AK$505,"○")&gt;0,1,0))</f>
        <v>0</v>
      </c>
      <c r="AO93" s="39" t="n">
        <f aca="false">IF(AO$4=0,0,IF(COUNTIFS(実績!$W$6:$W$505,AO$3,実績!$AI$6:$AI$505,"&lt;="&amp;$A93,実績!$AJ$6:$AJ$505,"&gt;"&amp;$A93,実績!$AK$6:$AK$505,"○")&gt;0,1,0))</f>
        <v>0</v>
      </c>
      <c r="AP93" s="39" t="n">
        <f aca="false">IF(AP$4=0,0,IF(COUNTIFS(実績!$W$6:$W$505,AP$3,実績!$AI$6:$AI$505,"&lt;="&amp;$A93,実績!$AJ$6:$AJ$505,"&gt;"&amp;$A93,実績!$AK$6:$AK$505,"○")&gt;0,1,0))</f>
        <v>0</v>
      </c>
      <c r="AQ93" s="39" t="n">
        <f aca="false">IF(AQ$4=0,0,IF(COUNTIFS(実績!$W$6:$W$505,AQ$3,実績!$AI$6:$AI$505,"&lt;="&amp;$A93,実績!$AJ$6:$AJ$505,"&gt;"&amp;$A93,実績!$AK$6:$AK$505,"○")&gt;0,1,0))</f>
        <v>0</v>
      </c>
      <c r="AR93" s="39" t="n">
        <f aca="false">IF(AR$4=0,0,IF(COUNTIFS(実績!$W$6:$W$505,AR$3,実績!$AI$6:$AI$505,"&lt;="&amp;$A93,実績!$AJ$6:$AJ$505,"&gt;"&amp;$A93,実績!$AK$6:$AK$505,"○")&gt;0,1,0))</f>
        <v>0</v>
      </c>
      <c r="AS93" s="39" t="n">
        <f aca="false">IF(AS$4=0,0,IF(COUNTIFS(実績!$W$6:$W$505,AS$3,実績!$AI$6:$AI$505,"&lt;="&amp;$A93,実績!$AJ$6:$AJ$505,"&gt;"&amp;$A93,実績!$AK$6:$AK$505,"○")&gt;0,1,0))</f>
        <v>0</v>
      </c>
      <c r="AT93" s="39" t="n">
        <f aca="false">IF(AT$4=0,0,IF(COUNTIFS(実績!$W$6:$W$505,AT$3,実績!$AI$6:$AI$505,"&lt;="&amp;$A93,実績!$AJ$6:$AJ$505,"&gt;"&amp;$A93,実績!$AK$6:$AK$505,"○")&gt;0,1,0))</f>
        <v>0</v>
      </c>
      <c r="AU93" s="39" t="n">
        <f aca="false">IF(AU$4=0,0,IF(COUNTIFS(実績!$W$6:$W$505,AU$3,実績!$AI$6:$AI$505,"&lt;="&amp;$A93,実績!$AJ$6:$AJ$505,"&gt;"&amp;$A93,実績!$AK$6:$AK$505,"○")&gt;0,1,0))</f>
        <v>0</v>
      </c>
      <c r="AV93" s="39" t="n">
        <f aca="false">IF(AV$4=0,0,IF(COUNTIFS(実績!$W$6:$W$505,AV$3,実績!$AI$6:$AI$505,"&lt;="&amp;$A93,実績!$AJ$6:$AJ$505,"&gt;"&amp;$A93,実績!$AK$6:$AK$505,"○")&gt;0,1,0))</f>
        <v>0</v>
      </c>
      <c r="AW93" s="39" t="n">
        <f aca="false">IF(AW$4=0,0,IF(COUNTIFS(実績!$W$6:$W$505,AW$3,実績!$AI$6:$AI$505,"&lt;="&amp;$A93,実績!$AJ$6:$AJ$505,"&gt;"&amp;$A93,実績!$AK$6:$AK$505,"○")&gt;0,1,0))</f>
        <v>0</v>
      </c>
      <c r="AX93" s="39" t="n">
        <f aca="false">IF(AX$4=0,0,IF(COUNTIFS(実績!$W$6:$W$505,AX$3,実績!$AI$6:$AI$505,"&lt;="&amp;$A93,実績!$AJ$6:$AJ$505,"&gt;"&amp;$A93,実績!$AK$6:$AK$505,"○")&gt;0,1,0))</f>
        <v>0</v>
      </c>
      <c r="AY93" s="39" t="n">
        <f aca="false">IF(AY$4=0,0,IF(COUNTIFS(実績!$W$6:$W$505,AY$3,実績!$AI$6:$AI$505,"&lt;="&amp;$A93,実績!$AJ$6:$AJ$505,"&gt;"&amp;$A93,実績!$AK$6:$AK$505,"○")&gt;0,1,0))</f>
        <v>0</v>
      </c>
      <c r="AZ93" s="39" t="n">
        <f aca="false">IF(AZ$4=0,0,IF(COUNTIFS(実績!$W$6:$W$505,AZ$3,実績!$AI$6:$AI$505,"&lt;="&amp;$A93,実績!$AJ$6:$AJ$505,"&gt;"&amp;$A93,実績!$AK$6:$AK$505,"○")&gt;0,1,0))</f>
        <v>0</v>
      </c>
      <c r="BA93" s="39" t="n">
        <f aca="false">IF(BA$4=0,0,IF(COUNTIFS(実績!$W$6:$W$505,BA$3,実績!$AI$6:$AI$505,"&lt;="&amp;$A93,実績!$AJ$6:$AJ$505,"&gt;"&amp;$A93,実績!$AK$6:$AK$505,"○")&gt;0,1,0))</f>
        <v>0</v>
      </c>
      <c r="BB93" s="39" t="n">
        <f aca="false">IF(BB$4=0,0,IF(COUNTIFS(実績!$W$6:$W$505,BB$3,実績!$AI$6:$AI$505,"&lt;="&amp;$A93,実績!$AJ$6:$AJ$505,"&gt;"&amp;$A93,実績!$AK$6:$AK$505,"○")&gt;0,1,0))</f>
        <v>0</v>
      </c>
      <c r="BC93" s="39" t="n">
        <f aca="false">IF(BC$4=0,0,IF(COUNTIFS(実績!$W$6:$W$505,BC$3,実績!$AI$6:$AI$505,"&lt;="&amp;$A93,実績!$AJ$6:$AJ$505,"&gt;"&amp;$A93,実績!$AK$6:$AK$505,"○")&gt;0,1,0))</f>
        <v>0</v>
      </c>
      <c r="BD93" s="39" t="n">
        <f aca="false">IF(BD$4=0,0,IF(COUNTIFS(実績!$W$6:$W$505,BD$3,実績!$AI$6:$AI$505,"&lt;="&amp;$A93,実績!$AJ$6:$AJ$505,"&gt;"&amp;$A93,実績!$AK$6:$AK$505,"○")&gt;0,1,0))</f>
        <v>0</v>
      </c>
      <c r="BE93" s="39" t="n">
        <f aca="false">IF(BE$4=0,0,IF(COUNTIFS(実績!$W$6:$W$505,BE$3,実績!$AI$6:$AI$505,"&lt;="&amp;$A93,実績!$AJ$6:$AJ$505,"&gt;"&amp;$A93,実績!$AK$6:$AK$505,"○")&gt;0,1,0))</f>
        <v>0</v>
      </c>
      <c r="BF93" s="39" t="n">
        <f aca="false">IF(BF$4=0,0,IF(COUNTIFS(実績!$W$6:$W$505,BF$3,実績!$AI$6:$AI$505,"&lt;="&amp;$A93,実績!$AJ$6:$AJ$505,"&gt;"&amp;$A93,実績!$AK$6:$AK$505,"○")&gt;0,1,0))</f>
        <v>0</v>
      </c>
      <c r="BG93" s="39" t="n">
        <f aca="false">IF(BG$4=0,0,IF(COUNTIFS(実績!$W$6:$W$505,BG$3,実績!$AI$6:$AI$505,"&lt;="&amp;$A93,実績!$AJ$6:$AJ$505,"&gt;"&amp;$A93,実績!$AK$6:$AK$505,"○")&gt;0,1,0))</f>
        <v>0</v>
      </c>
      <c r="BH93" s="39" t="n">
        <f aca="false">IF(BH$4=0,0,IF(COUNTIFS(実績!$W$6:$W$505,BH$3,実績!$AI$6:$AI$505,"&lt;="&amp;$A93,実績!$AJ$6:$AJ$505,"&gt;"&amp;$A93,実績!$AK$6:$AK$505,"○")&gt;0,1,0))</f>
        <v>0</v>
      </c>
      <c r="BI93" s="39" t="n">
        <f aca="false">IF(BI$4=0,0,IF(COUNTIFS(実績!$W$6:$W$505,BI$3,実績!$AI$6:$AI$505,"&lt;="&amp;$A93,実績!$AJ$6:$AJ$505,"&gt;"&amp;$A93,実績!$AK$6:$AK$505,"○")&gt;0,1,0))</f>
        <v>0</v>
      </c>
      <c r="BJ93" s="39" t="n">
        <f aca="false">IF(BJ$4=0,0,IF(COUNTIFS(実績!$W$6:$W$505,BJ$3,実績!$AI$6:$AI$505,"&lt;="&amp;$A93,実績!$AJ$6:$AJ$505,"&gt;"&amp;$A93,実績!$AK$6:$AK$505,"○")&gt;0,1,0))</f>
        <v>0</v>
      </c>
      <c r="BK93" s="39" t="n">
        <f aca="false">IF(BK$4=0,0,IF(COUNTIFS(実績!$W$6:$W$505,BK$3,実績!$AI$6:$AI$505,"&lt;="&amp;$A93,実績!$AJ$6:$AJ$505,"&gt;"&amp;$A93,実績!$AK$6:$AK$505,"○")&gt;0,1,0))</f>
        <v>0</v>
      </c>
      <c r="BL93" s="39" t="n">
        <f aca="false">IF(BL$4=0,0,IF(COUNTIFS(実績!$W$6:$W$505,BL$3,実績!$AI$6:$AI$505,"&lt;="&amp;$A93,実績!$AJ$6:$AJ$505,"&gt;"&amp;$A93,実績!$AK$6:$AK$505,"○")&gt;0,1,0))</f>
        <v>0</v>
      </c>
      <c r="BM93" s="39" t="n">
        <f aca="false">IF(BM$4=0,0,IF(COUNTIFS(実績!$W$6:$W$505,BM$3,実績!$AI$6:$AI$505,"&lt;="&amp;$A93,実績!$AJ$6:$AJ$505,"&gt;"&amp;$A93,実績!$AK$6:$AK$505,"○")&gt;0,1,0))</f>
        <v>0</v>
      </c>
      <c r="BN93" s="39" t="n">
        <f aca="false">IF(BN$4=0,0,IF(COUNTIFS(実績!$W$6:$W$505,BN$3,実績!$AI$6:$AI$505,"&lt;="&amp;$A93,実績!$AJ$6:$AJ$505,"&gt;"&amp;$A93,実績!$AK$6:$AK$505,"○")&gt;0,1,0))</f>
        <v>0</v>
      </c>
      <c r="BO93" s="39" t="n">
        <f aca="false">IF(BO$4=0,0,IF(COUNTIFS(実績!$W$6:$W$505,BO$3,実績!$AI$6:$AI$505,"&lt;="&amp;$A93,実績!$AJ$6:$AJ$505,"&gt;"&amp;$A93,実績!$AK$6:$AK$505,"○")&gt;0,1,0))</f>
        <v>0</v>
      </c>
      <c r="BP93" s="39" t="n">
        <f aca="false">IF(BP$4=0,0,IF(COUNTIFS(実績!$W$6:$W$505,BP$3,実績!$AI$6:$AI$505,"&lt;="&amp;$A93,実績!$AJ$6:$AJ$505,"&gt;"&amp;$A93,実績!$AK$6:$AK$505,"○")&gt;0,1,0))</f>
        <v>0</v>
      </c>
      <c r="BQ93" s="39" t="n">
        <f aca="false">IF(BQ$4=0,0,IF(COUNTIFS(実績!$W$6:$W$505,BQ$3,実績!$AI$6:$AI$505,"&lt;="&amp;$A93,実績!$AJ$6:$AJ$505,"&gt;"&amp;$A93,実績!$AK$6:$AK$505,"○")&gt;0,1,0))</f>
        <v>0</v>
      </c>
      <c r="BR93" s="39" t="n">
        <f aca="false">IF(BR$4=0,0,IF(COUNTIFS(実績!$W$6:$W$505,BR$3,実績!$AI$6:$AI$505,"&lt;="&amp;$A93,実績!$AJ$6:$AJ$505,"&gt;"&amp;$A93,実績!$AK$6:$AK$505,"○")&gt;0,1,0))</f>
        <v>0</v>
      </c>
      <c r="BS93" s="39" t="n">
        <f aca="false">IF(BS$4=0,0,IF(COUNTIFS(実績!$W$6:$W$505,BS$3,実績!$AI$6:$AI$505,"&lt;="&amp;$A93,実績!$AJ$6:$AJ$505,"&gt;"&amp;$A93,実績!$AK$6:$AK$505,"○")&gt;0,1,0))</f>
        <v>0</v>
      </c>
      <c r="BT93" s="39" t="n">
        <f aca="false">IF(BT$4=0,0,IF(COUNTIFS(実績!$W$6:$W$505,BT$3,実績!$AI$6:$AI$505,"&lt;="&amp;$A93,実績!$AJ$6:$AJ$505,"&gt;"&amp;$A93,実績!$AK$6:$AK$505,"○")&gt;0,1,0))</f>
        <v>0</v>
      </c>
      <c r="BU93" s="39" t="n">
        <f aca="false">IF(BU$4=0,0,IF(COUNTIFS(実績!$W$6:$W$505,BU$3,実績!$AI$6:$AI$505,"&lt;="&amp;$A93,実績!$AJ$6:$AJ$505,"&gt;"&amp;$A93,実績!$AK$6:$AK$505,"○")&gt;0,1,0))</f>
        <v>0</v>
      </c>
      <c r="BV93" s="39" t="n">
        <f aca="false">IF(BV$4=0,0,IF(COUNTIFS(実績!$W$6:$W$505,BV$3,実績!$AI$6:$AI$505,"&lt;="&amp;$A93,実績!$AJ$6:$AJ$505,"&gt;"&amp;$A93,実績!$AK$6:$AK$505,"○")&gt;0,1,0))</f>
        <v>0</v>
      </c>
      <c r="BW93" s="39" t="n">
        <f aca="false">IF(BW$4=0,0,IF(COUNTIFS(実績!$W$6:$W$505,BW$3,実績!$AI$6:$AI$505,"&lt;="&amp;$A93,実績!$AJ$6:$AJ$505,"&gt;"&amp;$A93,実績!$AK$6:$AK$505,"○")&gt;0,1,0))</f>
        <v>0</v>
      </c>
      <c r="BX93" s="39" t="n">
        <f aca="false">IF(BX$4=0,0,IF(COUNTIFS(実績!$W$6:$W$505,BX$3,実績!$AI$6:$AI$505,"&lt;="&amp;$A93,実績!$AJ$6:$AJ$505,"&gt;"&amp;$A93,実績!$AK$6:$AK$505,"○")&gt;0,1,0))</f>
        <v>0</v>
      </c>
      <c r="BY93" s="39" t="n">
        <f aca="false">IF(BY$4=0,0,IF(COUNTIFS(実績!$W$6:$W$505,BY$3,実績!$AI$6:$AI$505,"&lt;="&amp;$A93,実績!$AJ$6:$AJ$505,"&gt;"&amp;$A93,実績!$AK$6:$AK$505,"○")&gt;0,1,0))</f>
        <v>0</v>
      </c>
      <c r="BZ93" s="39" t="n">
        <f aca="false">IF(BZ$4=0,0,IF(COUNTIFS(実績!$W$6:$W$505,BZ$3,実績!$AI$6:$AI$505,"&lt;="&amp;$A93,実績!$AJ$6:$AJ$505,"&gt;"&amp;$A93,実績!$AK$6:$AK$505,"○")&gt;0,1,0))</f>
        <v>0</v>
      </c>
      <c r="CA93" s="39" t="n">
        <f aca="false">IF(CA$4=0,0,IF(COUNTIFS(実績!$W$6:$W$505,CA$3,実績!$AI$6:$AI$505,"&lt;="&amp;$A93,実績!$AJ$6:$AJ$505,"&gt;"&amp;$A93,実績!$AK$6:$AK$505,"○")&gt;0,1,0))</f>
        <v>0</v>
      </c>
      <c r="CB93" s="39" t="n">
        <f aca="false">IF(CB$4=0,0,IF(COUNTIFS(実績!$W$6:$W$505,CB$3,実績!$AI$6:$AI$505,"&lt;="&amp;$A93,実績!$AJ$6:$AJ$505,"&gt;"&amp;$A93,実績!$AK$6:$AK$505,"○")&gt;0,1,0))</f>
        <v>0</v>
      </c>
      <c r="CC93" s="39" t="n">
        <f aca="false">IF(CC$4=0,0,IF(COUNTIFS(実績!$W$6:$W$505,CC$3,実績!$AI$6:$AI$505,"&lt;="&amp;$A93,実績!$AJ$6:$AJ$505,"&gt;"&amp;$A93,実績!$AK$6:$AK$505,"○")&gt;0,1,0))</f>
        <v>0</v>
      </c>
      <c r="CD93" s="39" t="n">
        <f aca="false">IF(CD$4=0,0,IF(COUNTIFS(実績!$W$6:$W$505,CD$3,実績!$AI$6:$AI$505,"&lt;="&amp;$A93,実績!$AJ$6:$AJ$505,"&gt;"&amp;$A93,実績!$AK$6:$AK$505,"○")&gt;0,1,0))</f>
        <v>0</v>
      </c>
      <c r="CE93" s="39" t="n">
        <f aca="false">IF(CE$4=0,0,IF(COUNTIFS(実績!$W$6:$W$505,CE$3,実績!$AI$6:$AI$505,"&lt;="&amp;$A93,実績!$AJ$6:$AJ$505,"&gt;"&amp;$A93,実績!$AK$6:$AK$505,"○")&gt;0,1,0))</f>
        <v>0</v>
      </c>
      <c r="CF93" s="39" t="n">
        <f aca="false">IF(CF$4=0,0,IF(COUNTIFS(実績!$W$6:$W$505,CF$3,実績!$AI$6:$AI$505,"&lt;="&amp;$A93,実績!$AJ$6:$AJ$505,"&gt;"&amp;$A93,実績!$AK$6:$AK$505,"○")&gt;0,1,0))</f>
        <v>0</v>
      </c>
      <c r="CG93" s="39" t="n">
        <f aca="false">IF(CG$4=0,0,IF(COUNTIFS(実績!$W$6:$W$505,CG$3,実績!$AI$6:$AI$505,"&lt;="&amp;$A93,実績!$AJ$6:$AJ$505,"&gt;"&amp;$A93,実績!$AK$6:$AK$505,"○")&gt;0,1,0))</f>
        <v>0</v>
      </c>
      <c r="CH93" s="39" t="n">
        <f aca="false">IF(CH$4=0,0,IF(COUNTIFS(実績!$W$6:$W$505,CH$3,実績!$AI$6:$AI$505,"&lt;="&amp;$A93,実績!$AJ$6:$AJ$505,"&gt;"&amp;$A93,実績!$AK$6:$AK$505,"○")&gt;0,1,0))</f>
        <v>0</v>
      </c>
      <c r="CI93" s="39" t="n">
        <f aca="false">IF(CI$4=0,0,IF(COUNTIFS(実績!$W$6:$W$505,CI$3,実績!$AI$6:$AI$505,"&lt;="&amp;$A93,実績!$AJ$6:$AJ$505,"&gt;"&amp;$A93,実績!$AK$6:$AK$505,"○")&gt;0,1,0))</f>
        <v>0</v>
      </c>
      <c r="CJ93" s="39" t="n">
        <f aca="false">IF(CJ$4=0,0,IF(COUNTIFS(実績!$W$6:$W$505,CJ$3,実績!$AI$6:$AI$505,"&lt;="&amp;$A93,実績!$AJ$6:$AJ$505,"&gt;"&amp;$A93,実績!$AK$6:$AK$505,"○")&gt;0,1,0))</f>
        <v>0</v>
      </c>
      <c r="CK93" s="39" t="n">
        <f aca="false">IF(CK$4=0,0,IF(COUNTIFS(実績!$W$6:$W$505,CK$3,実績!$AI$6:$AI$505,"&lt;="&amp;$A93,実績!$AJ$6:$AJ$505,"&gt;"&amp;$A93,実績!$AK$6:$AK$505,"○")&gt;0,1,0))</f>
        <v>0</v>
      </c>
      <c r="CL93" s="39" t="n">
        <f aca="false">IF(CL$4=0,0,IF(COUNTIFS(実績!$W$6:$W$505,CL$3,実績!$AI$6:$AI$505,"&lt;="&amp;$A93,実績!$AJ$6:$AJ$505,"&gt;"&amp;$A93,実績!$AK$6:$AK$505,"○")&gt;0,1,0))</f>
        <v>0</v>
      </c>
      <c r="CM93" s="39" t="n">
        <f aca="false">IF(CM$4=0,0,IF(COUNTIFS(実績!$W$6:$W$505,CM$3,実績!$AI$6:$AI$505,"&lt;="&amp;$A93,実績!$AJ$6:$AJ$505,"&gt;"&amp;$A93,実績!$AK$6:$AK$505,"○")&gt;0,1,0))</f>
        <v>0</v>
      </c>
      <c r="CN93" s="39" t="n">
        <f aca="false">IF(CN$4=0,0,IF(COUNTIFS(実績!$W$6:$W$505,CN$3,実績!$AI$6:$AI$505,"&lt;="&amp;$A93,実績!$AJ$6:$AJ$505,"&gt;"&amp;$A93,実績!$AK$6:$AK$505,"○")&gt;0,1,0))</f>
        <v>0</v>
      </c>
      <c r="CO93" s="39" t="n">
        <f aca="false">IF(CO$4=0,0,IF(COUNTIFS(実績!$W$6:$W$505,CO$3,実績!$AI$6:$AI$505,"&lt;="&amp;$A93,実績!$AJ$6:$AJ$505,"&gt;"&amp;$A93,実績!$AK$6:$AK$505,"○")&gt;0,1,0))</f>
        <v>0</v>
      </c>
      <c r="CP93" s="39" t="n">
        <f aca="false">IF(CP$4=0,0,IF(COUNTIFS(実績!$W$6:$W$505,CP$3,実績!$AI$6:$AI$505,"&lt;="&amp;$A93,実績!$AJ$6:$AJ$505,"&gt;"&amp;$A93,実績!$AK$6:$AK$505,"○")&gt;0,1,0))</f>
        <v>0</v>
      </c>
      <c r="CQ93" s="39" t="n">
        <f aca="false">IF(CQ$4=0,0,IF(COUNTIFS(実績!$W$6:$W$505,CQ$3,実績!$AI$6:$AI$505,"&lt;="&amp;$A93,実績!$AJ$6:$AJ$505,"&gt;"&amp;$A93,実績!$AK$6:$AK$505,"○")&gt;0,1,0))</f>
        <v>0</v>
      </c>
      <c r="CR93" s="39" t="n">
        <f aca="false">IF(CR$4=0,0,IF(COUNTIFS(実績!$W$6:$W$505,CR$3,実績!$AI$6:$AI$505,"&lt;="&amp;$A93,実績!$AJ$6:$AJ$505,"&gt;"&amp;$A93,実績!$AK$6:$AK$505,"○")&gt;0,1,0))</f>
        <v>0</v>
      </c>
      <c r="CS93" s="39" t="n">
        <f aca="false">IF(CS$4=0,0,IF(COUNTIFS(実績!$W$6:$W$505,CS$3,実績!$AI$6:$AI$505,"&lt;="&amp;$A93,実績!$AJ$6:$AJ$505,"&gt;"&amp;$A93,実績!$AK$6:$AK$505,"○")&gt;0,1,0))</f>
        <v>0</v>
      </c>
      <c r="CT93" s="39" t="n">
        <f aca="false">IF(CT$4=0,0,IF(COUNTIFS(実績!$W$6:$W$505,CT$3,実績!$AI$6:$AI$505,"&lt;="&amp;$A93,実績!$AJ$6:$AJ$505,"&gt;"&amp;$A93,実績!$AK$6:$AK$505,"○")&gt;0,1,0))</f>
        <v>0</v>
      </c>
      <c r="CU93" s="39" t="n">
        <f aca="false">IF(CU$4=0,0,IF(COUNTIFS(実績!$W$6:$W$505,CU$3,実績!$AI$6:$AI$505,"&lt;="&amp;$A93,実績!$AJ$6:$AJ$505,"&gt;"&amp;$A93,実績!$AK$6:$AK$505,"○")&gt;0,1,0))</f>
        <v>0</v>
      </c>
      <c r="CV93" s="39" t="n">
        <f aca="false">IF(CV$4=0,0,IF(COUNTIFS(実績!$W$6:$W$505,CV$3,実績!$AI$6:$AI$505,"&lt;="&amp;$A93,実績!$AJ$6:$AJ$505,"&gt;"&amp;$A93,実績!$AK$6:$AK$505,"○")&gt;0,1,0))</f>
        <v>0</v>
      </c>
      <c r="CW93" s="39" t="n">
        <f aca="false">IF(CW$4=0,0,IF(COUNTIFS(実績!$W$6:$W$505,CW$3,実績!$AI$6:$AI$505,"&lt;="&amp;$A93,実績!$AJ$6:$AJ$505,"&gt;"&amp;$A93,実績!$AK$6:$AK$505,"○")&gt;0,1,0))</f>
        <v>0</v>
      </c>
      <c r="CX93" s="39" t="n">
        <f aca="false">IF(CX$4=0,0,IF(COUNTIFS(実績!$W$6:$W$505,CX$3,実績!$AI$6:$AI$505,"&lt;="&amp;$A93,実績!$AJ$6:$AJ$505,"&gt;"&amp;$A93,実績!$AK$6:$AK$505,"○")&gt;0,1,0))</f>
        <v>0</v>
      </c>
      <c r="CY93" s="39" t="n">
        <f aca="false">IF(CY$4=0,0,IF(COUNTIFS(実績!$W$6:$W$505,CY$3,実績!$AI$6:$AI$505,"&lt;="&amp;$A93,実績!$AJ$6:$AJ$505,"&gt;"&amp;$A93,実績!$AK$6:$AK$505,"○")&gt;0,1,0))</f>
        <v>0</v>
      </c>
      <c r="CZ93" s="39" t="n">
        <f aca="false">IF(CZ$4=0,0,IF(COUNTIFS(実績!$W$6:$W$505,CZ$3,実績!$AI$6:$AI$505,"&lt;="&amp;$A93,実績!$AJ$6:$AJ$505,"&gt;"&amp;$A93,実績!$AK$6:$AK$505,"○")&gt;0,1,0))</f>
        <v>0</v>
      </c>
      <c r="DA93" s="39" t="n">
        <f aca="false">IF(DA$4=0,0,IF(COUNTIFS(実績!$W$6:$W$505,DA$3,実績!$AI$6:$AI$505,"&lt;="&amp;$A93,実績!$AJ$6:$AJ$505,"&gt;"&amp;$A93,実績!$AK$6:$AK$505,"○")&gt;0,1,0))</f>
        <v>0</v>
      </c>
      <c r="DB93" s="39" t="n">
        <f aca="false">IF(DB$4=0,0,IF(COUNTIFS(実績!$W$6:$W$505,DB$3,実績!$AI$6:$AI$505,"&lt;="&amp;$A93,実績!$AJ$6:$AJ$505,"&gt;"&amp;$A93,実績!$AK$6:$AK$505,"○")&gt;0,1,0))</f>
        <v>0</v>
      </c>
      <c r="DC93" s="39" t="n">
        <f aca="false">IF(DC$4=0,0,IF(COUNTIFS(実績!$W$6:$W$505,DC$3,実績!$AI$6:$AI$505,"&lt;="&amp;$A93,実績!$AJ$6:$AJ$505,"&gt;"&amp;$A93,実績!$AK$6:$AK$505,"○")&gt;0,1,0))</f>
        <v>0</v>
      </c>
      <c r="DD93" s="39" t="n">
        <f aca="false">IF(DD$4=0,0,IF(COUNTIFS(実績!$W$6:$W$505,DD$3,実績!$AI$6:$AI$505,"&lt;="&amp;$A93,実績!$AJ$6:$AJ$505,"&gt;"&amp;$A93,実績!$AK$6:$AK$505,"○")&gt;0,1,0))</f>
        <v>0</v>
      </c>
      <c r="DE93" s="39" t="n">
        <f aca="false">IF(DE$4=0,0,IF(COUNTIFS(実績!$W$6:$W$505,DE$3,実績!$AI$6:$AI$505,"&lt;="&amp;$A93,実績!$AJ$6:$AJ$505,"&gt;"&amp;$A93,実績!$AK$6:$AK$505,"○")&gt;0,1,0))</f>
        <v>0</v>
      </c>
      <c r="DF93" s="39" t="n">
        <f aca="false">IF(DF$4=0,0,IF(COUNTIFS(実績!$W$6:$W$505,DF$3,実績!$AI$6:$AI$505,"&lt;="&amp;$A93,実績!$AJ$6:$AJ$505,"&gt;"&amp;$A93,実績!$AK$6:$AK$505,"○")&gt;0,1,0))</f>
        <v>0</v>
      </c>
      <c r="DG93" s="39" t="n">
        <f aca="false">IF(DG$4=0,0,IF(COUNTIFS(実績!$W$6:$W$505,DG$3,実績!$AI$6:$AI$505,"&lt;="&amp;$A93,実績!$AJ$6:$AJ$505,"&gt;"&amp;$A93,実績!$AK$6:$AK$505,"○")&gt;0,1,0))</f>
        <v>0</v>
      </c>
      <c r="DH93" s="39" t="n">
        <f aca="false">IF(DH$4=0,0,IF(COUNTIFS(実績!$W$6:$W$505,DH$3,実績!$AI$6:$AI$505,"&lt;="&amp;$A93,実績!$AJ$6:$AJ$505,"&gt;"&amp;$A93,実績!$AK$6:$AK$505,"○")&gt;0,1,0))</f>
        <v>0</v>
      </c>
      <c r="DI93" s="39" t="n">
        <f aca="false">IF(DI$4=0,0,IF(COUNTIFS(実績!$W$6:$W$505,DI$3,実績!$AI$6:$AI$505,"&lt;="&amp;$A93,実績!$AJ$6:$AJ$505,"&gt;"&amp;$A93,実績!$AK$6:$AK$505,"○")&gt;0,1,0))</f>
        <v>0</v>
      </c>
      <c r="DJ93" s="39" t="n">
        <f aca="false">IF(DJ$4=0,0,IF(COUNTIFS(実績!$W$6:$W$505,DJ$3,実績!$AI$6:$AI$505,"&lt;="&amp;$A93,実績!$AJ$6:$AJ$505,"&gt;"&amp;$A93,実績!$AK$6:$AK$505,"○")&gt;0,1,0))</f>
        <v>0</v>
      </c>
      <c r="DK93" s="39" t="n">
        <f aca="false">IF(DK$4=0,0,IF(COUNTIFS(実績!$W$6:$W$505,DK$3,実績!$AI$6:$AI$505,"&lt;="&amp;$A93,実績!$AJ$6:$AJ$505,"&gt;"&amp;$A93,実績!$AK$6:$AK$505,"○")&gt;0,1,0))</f>
        <v>0</v>
      </c>
      <c r="DL93" s="39" t="n">
        <f aca="false">IF(DL$4=0,0,IF(COUNTIFS(実績!$W$6:$W$505,DL$3,実績!$AI$6:$AI$505,"&lt;="&amp;$A93,実績!$AJ$6:$AJ$505,"&gt;"&amp;$A93,実績!$AK$6:$AK$505,"○")&gt;0,1,0))</f>
        <v>0</v>
      </c>
      <c r="DM93" s="39" t="n">
        <f aca="false">IF(DM$4=0,0,IF(COUNTIFS(実績!$W$6:$W$505,DM$3,実績!$AI$6:$AI$505,"&lt;="&amp;$A93,実績!$AJ$6:$AJ$505,"&gt;"&amp;$A93,実績!$AK$6:$AK$505,"○")&gt;0,1,0))</f>
        <v>0</v>
      </c>
      <c r="DN93" s="39" t="n">
        <f aca="false">IF(DN$4=0,0,IF(COUNTIFS(実績!$W$6:$W$505,DN$3,実績!$AI$6:$AI$505,"&lt;="&amp;$A93,実績!$AJ$6:$AJ$505,"&gt;"&amp;$A93,実績!$AK$6:$AK$505,"○")&gt;0,1,0))</f>
        <v>0</v>
      </c>
      <c r="DO93" s="39" t="n">
        <f aca="false">IF(DO$4=0,0,IF(COUNTIFS(実績!$W$6:$W$505,DO$3,実績!$AI$6:$AI$505,"&lt;="&amp;$A93,実績!$AJ$6:$AJ$505,"&gt;"&amp;$A93,実績!$AK$6:$AK$505,"○")&gt;0,1,0))</f>
        <v>0</v>
      </c>
      <c r="DP93" s="39" t="n">
        <f aca="false">IF(DP$4=0,0,IF(COUNTIFS(実績!$W$6:$W$505,DP$3,実績!$AI$6:$AI$505,"&lt;="&amp;$A93,実績!$AJ$6:$AJ$505,"&gt;"&amp;$A93,実績!$AK$6:$AK$505,"○")&gt;0,1,0))</f>
        <v>0</v>
      </c>
      <c r="DQ93" s="39" t="n">
        <f aca="false">IF(DQ$4=0,0,IF(COUNTIFS(実績!$W$6:$W$505,DQ$3,実績!$AI$6:$AI$505,"&lt;="&amp;$A93,実績!$AJ$6:$AJ$505,"&gt;"&amp;$A93,実績!$AK$6:$AK$505,"○")&gt;0,1,0))</f>
        <v>0</v>
      </c>
      <c r="DR93" s="39" t="n">
        <f aca="false">IF(DR$4=0,0,IF(COUNTIFS(実績!$W$6:$W$505,DR$3,実績!$AI$6:$AI$505,"&lt;="&amp;$A93,実績!$AJ$6:$AJ$505,"&gt;"&amp;$A93,実績!$AK$6:$AK$505,"○")&gt;0,1,0))</f>
        <v>0</v>
      </c>
      <c r="DS93" s="39" t="n">
        <f aca="false">SUM(C93:DR93)</f>
        <v>0</v>
      </c>
      <c r="DT93" s="39" t="n">
        <f aca="false">SUMPRODUCT((実績!$C$6:$C$505="○")*ISNUMBER(実績!$AM$6:$AM$505)*(実績!$AM$6:$AM$505&lt;=$A93)*(実績!$AN$6:$AN$505&gt;$A93))</f>
        <v>0</v>
      </c>
      <c r="DU93" s="39" t="n">
        <f aca="false">SUMIF($C$2:$DR$2,"製鉄曳船",C93:DR93)</f>
        <v>0</v>
      </c>
      <c r="DV93" s="39" t="n">
        <f aca="false">SUMIF($C$2:$DR$2,"西日本海運",C93:DR93)</f>
        <v>0</v>
      </c>
    </row>
    <row r="94" customFormat="false" ht="15" hidden="false" customHeight="false" outlineLevel="0" collapsed="false">
      <c r="A94" s="0" t="n">
        <v>440</v>
      </c>
      <c r="B94" s="38" t="n">
        <f aca="false">A94/1440</f>
        <v>0.305555555555556</v>
      </c>
      <c r="C94" s="39" t="n">
        <f aca="false">IF(C$4=0,0,IF(COUNTIFS(実績!$W$6:$W$505,C$3,実績!$AI$6:$AI$505,"&lt;="&amp;$A94,実績!$AJ$6:$AJ$505,"&gt;"&amp;$A94,実績!$AK$6:$AK$505,"○")&gt;0,1,0))</f>
        <v>0</v>
      </c>
      <c r="D94" s="39" t="n">
        <f aca="false">IF(D$4=0,0,IF(COUNTIFS(実績!$W$6:$W$505,D$3,実績!$AI$6:$AI$505,"&lt;="&amp;$A94,実績!$AJ$6:$AJ$505,"&gt;"&amp;$A94,実績!$AK$6:$AK$505,"○")&gt;0,1,0))</f>
        <v>0</v>
      </c>
      <c r="E94" s="39" t="n">
        <f aca="false">IF(E$4=0,0,IF(COUNTIFS(実績!$W$6:$W$505,E$3,実績!$AI$6:$AI$505,"&lt;="&amp;$A94,実績!$AJ$6:$AJ$505,"&gt;"&amp;$A94,実績!$AK$6:$AK$505,"○")&gt;0,1,0))</f>
        <v>0</v>
      </c>
      <c r="F94" s="39" t="n">
        <f aca="false">IF(F$4=0,0,IF(COUNTIFS(実績!$W$6:$W$505,F$3,実績!$AI$6:$AI$505,"&lt;="&amp;$A94,実績!$AJ$6:$AJ$505,"&gt;"&amp;$A94,実績!$AK$6:$AK$505,"○")&gt;0,1,0))</f>
        <v>0</v>
      </c>
      <c r="G94" s="39" t="n">
        <f aca="false">IF(G$4=0,0,IF(COUNTIFS(実績!$W$6:$W$505,G$3,実績!$AI$6:$AI$505,"&lt;="&amp;$A94,実績!$AJ$6:$AJ$505,"&gt;"&amp;$A94,実績!$AK$6:$AK$505,"○")&gt;0,1,0))</f>
        <v>0</v>
      </c>
      <c r="H94" s="39" t="n">
        <f aca="false">IF(H$4=0,0,IF(COUNTIFS(実績!$W$6:$W$505,H$3,実績!$AI$6:$AI$505,"&lt;="&amp;$A94,実績!$AJ$6:$AJ$505,"&gt;"&amp;$A94,実績!$AK$6:$AK$505,"○")&gt;0,1,0))</f>
        <v>0</v>
      </c>
      <c r="I94" s="39" t="n">
        <f aca="false">IF(I$4=0,0,IF(COUNTIFS(実績!$W$6:$W$505,I$3,実績!$AI$6:$AI$505,"&lt;="&amp;$A94,実績!$AJ$6:$AJ$505,"&gt;"&amp;$A94,実績!$AK$6:$AK$505,"○")&gt;0,1,0))</f>
        <v>0</v>
      </c>
      <c r="J94" s="39" t="n">
        <f aca="false">IF(J$4=0,0,IF(COUNTIFS(実績!$W$6:$W$505,J$3,実績!$AI$6:$AI$505,"&lt;="&amp;$A94,実績!$AJ$6:$AJ$505,"&gt;"&amp;$A94,実績!$AK$6:$AK$505,"○")&gt;0,1,0))</f>
        <v>0</v>
      </c>
      <c r="K94" s="39" t="n">
        <f aca="false">IF(K$4=0,0,IF(COUNTIFS(実績!$W$6:$W$505,K$3,実績!$AI$6:$AI$505,"&lt;="&amp;$A94,実績!$AJ$6:$AJ$505,"&gt;"&amp;$A94,実績!$AK$6:$AK$505,"○")&gt;0,1,0))</f>
        <v>0</v>
      </c>
      <c r="L94" s="39" t="n">
        <f aca="false">IF(L$4=0,0,IF(COUNTIFS(実績!$W$6:$W$505,L$3,実績!$AI$6:$AI$505,"&lt;="&amp;$A94,実績!$AJ$6:$AJ$505,"&gt;"&amp;$A94,実績!$AK$6:$AK$505,"○")&gt;0,1,0))</f>
        <v>0</v>
      </c>
      <c r="M94" s="39" t="n">
        <f aca="false">IF(M$4=0,0,IF(COUNTIFS(実績!$W$6:$W$505,M$3,実績!$AI$6:$AI$505,"&lt;="&amp;$A94,実績!$AJ$6:$AJ$505,"&gt;"&amp;$A94,実績!$AK$6:$AK$505,"○")&gt;0,1,0))</f>
        <v>0</v>
      </c>
      <c r="N94" s="39" t="n">
        <f aca="false">IF(N$4=0,0,IF(COUNTIFS(実績!$W$6:$W$505,N$3,実績!$AI$6:$AI$505,"&lt;="&amp;$A94,実績!$AJ$6:$AJ$505,"&gt;"&amp;$A94,実績!$AK$6:$AK$505,"○")&gt;0,1,0))</f>
        <v>0</v>
      </c>
      <c r="O94" s="39" t="n">
        <f aca="false">IF(O$4=0,0,IF(COUNTIFS(実績!$W$6:$W$505,O$3,実績!$AI$6:$AI$505,"&lt;="&amp;$A94,実績!$AJ$6:$AJ$505,"&gt;"&amp;$A94,実績!$AK$6:$AK$505,"○")&gt;0,1,0))</f>
        <v>0</v>
      </c>
      <c r="P94" s="39" t="n">
        <f aca="false">IF(P$4=0,0,IF(COUNTIFS(実績!$W$6:$W$505,P$3,実績!$AI$6:$AI$505,"&lt;="&amp;$A94,実績!$AJ$6:$AJ$505,"&gt;"&amp;$A94,実績!$AK$6:$AK$505,"○")&gt;0,1,0))</f>
        <v>0</v>
      </c>
      <c r="Q94" s="39" t="n">
        <f aca="false">IF(Q$4=0,0,IF(COUNTIFS(実績!$W$6:$W$505,Q$3,実績!$AI$6:$AI$505,"&lt;="&amp;$A94,実績!$AJ$6:$AJ$505,"&gt;"&amp;$A94,実績!$AK$6:$AK$505,"○")&gt;0,1,0))</f>
        <v>0</v>
      </c>
      <c r="R94" s="39" t="n">
        <f aca="false">IF(R$4=0,0,IF(COUNTIFS(実績!$W$6:$W$505,R$3,実績!$AI$6:$AI$505,"&lt;="&amp;$A94,実績!$AJ$6:$AJ$505,"&gt;"&amp;$A94,実績!$AK$6:$AK$505,"○")&gt;0,1,0))</f>
        <v>0</v>
      </c>
      <c r="S94" s="39" t="n">
        <f aca="false">IF(S$4=0,0,IF(COUNTIFS(実績!$W$6:$W$505,S$3,実績!$AI$6:$AI$505,"&lt;="&amp;$A94,実績!$AJ$6:$AJ$505,"&gt;"&amp;$A94,実績!$AK$6:$AK$505,"○")&gt;0,1,0))</f>
        <v>0</v>
      </c>
      <c r="T94" s="39" t="n">
        <f aca="false">IF(T$4=0,0,IF(COUNTIFS(実績!$W$6:$W$505,T$3,実績!$AI$6:$AI$505,"&lt;="&amp;$A94,実績!$AJ$6:$AJ$505,"&gt;"&amp;$A94,実績!$AK$6:$AK$505,"○")&gt;0,1,0))</f>
        <v>0</v>
      </c>
      <c r="U94" s="39" t="n">
        <f aca="false">IF(U$4=0,0,IF(COUNTIFS(実績!$W$6:$W$505,U$3,実績!$AI$6:$AI$505,"&lt;="&amp;$A94,実績!$AJ$6:$AJ$505,"&gt;"&amp;$A94,実績!$AK$6:$AK$505,"○")&gt;0,1,0))</f>
        <v>0</v>
      </c>
      <c r="V94" s="39" t="n">
        <f aca="false">IF(V$4=0,0,IF(COUNTIFS(実績!$W$6:$W$505,V$3,実績!$AI$6:$AI$505,"&lt;="&amp;$A94,実績!$AJ$6:$AJ$505,"&gt;"&amp;$A94,実績!$AK$6:$AK$505,"○")&gt;0,1,0))</f>
        <v>0</v>
      </c>
      <c r="W94" s="39" t="n">
        <f aca="false">IF(W$4=0,0,IF(COUNTIFS(実績!$W$6:$W$505,W$3,実績!$AI$6:$AI$505,"&lt;="&amp;$A94,実績!$AJ$6:$AJ$505,"&gt;"&amp;$A94,実績!$AK$6:$AK$505,"○")&gt;0,1,0))</f>
        <v>0</v>
      </c>
      <c r="X94" s="39" t="n">
        <f aca="false">IF(X$4=0,0,IF(COUNTIFS(実績!$W$6:$W$505,X$3,実績!$AI$6:$AI$505,"&lt;="&amp;$A94,実績!$AJ$6:$AJ$505,"&gt;"&amp;$A94,実績!$AK$6:$AK$505,"○")&gt;0,1,0))</f>
        <v>0</v>
      </c>
      <c r="Y94" s="39" t="n">
        <f aca="false">IF(Y$4=0,0,IF(COUNTIFS(実績!$W$6:$W$505,Y$3,実績!$AI$6:$AI$505,"&lt;="&amp;$A94,実績!$AJ$6:$AJ$505,"&gt;"&amp;$A94,実績!$AK$6:$AK$505,"○")&gt;0,1,0))</f>
        <v>0</v>
      </c>
      <c r="Z94" s="39" t="n">
        <f aca="false">IF(Z$4=0,0,IF(COUNTIFS(実績!$W$6:$W$505,Z$3,実績!$AI$6:$AI$505,"&lt;="&amp;$A94,実績!$AJ$6:$AJ$505,"&gt;"&amp;$A94,実績!$AK$6:$AK$505,"○")&gt;0,1,0))</f>
        <v>0</v>
      </c>
      <c r="AA94" s="39" t="n">
        <f aca="false">IF(AA$4=0,0,IF(COUNTIFS(実績!$W$6:$W$505,AA$3,実績!$AI$6:$AI$505,"&lt;="&amp;$A94,実績!$AJ$6:$AJ$505,"&gt;"&amp;$A94,実績!$AK$6:$AK$505,"○")&gt;0,1,0))</f>
        <v>0</v>
      </c>
      <c r="AB94" s="39" t="n">
        <f aca="false">IF(AB$4=0,0,IF(COUNTIFS(実績!$W$6:$W$505,AB$3,実績!$AI$6:$AI$505,"&lt;="&amp;$A94,実績!$AJ$6:$AJ$505,"&gt;"&amp;$A94,実績!$AK$6:$AK$505,"○")&gt;0,1,0))</f>
        <v>0</v>
      </c>
      <c r="AC94" s="39" t="n">
        <f aca="false">IF(AC$4=0,0,IF(COUNTIFS(実績!$W$6:$W$505,AC$3,実績!$AI$6:$AI$505,"&lt;="&amp;$A94,実績!$AJ$6:$AJ$505,"&gt;"&amp;$A94,実績!$AK$6:$AK$505,"○")&gt;0,1,0))</f>
        <v>0</v>
      </c>
      <c r="AD94" s="39" t="n">
        <f aca="false">IF(AD$4=0,0,IF(COUNTIFS(実績!$W$6:$W$505,AD$3,実績!$AI$6:$AI$505,"&lt;="&amp;$A94,実績!$AJ$6:$AJ$505,"&gt;"&amp;$A94,実績!$AK$6:$AK$505,"○")&gt;0,1,0))</f>
        <v>0</v>
      </c>
      <c r="AE94" s="39" t="n">
        <f aca="false">IF(AE$4=0,0,IF(COUNTIFS(実績!$W$6:$W$505,AE$3,実績!$AI$6:$AI$505,"&lt;="&amp;$A94,実績!$AJ$6:$AJ$505,"&gt;"&amp;$A94,実績!$AK$6:$AK$505,"○")&gt;0,1,0))</f>
        <v>0</v>
      </c>
      <c r="AF94" s="39" t="n">
        <f aca="false">IF(AF$4=0,0,IF(COUNTIFS(実績!$W$6:$W$505,AF$3,実績!$AI$6:$AI$505,"&lt;="&amp;$A94,実績!$AJ$6:$AJ$505,"&gt;"&amp;$A94,実績!$AK$6:$AK$505,"○")&gt;0,1,0))</f>
        <v>0</v>
      </c>
      <c r="AG94" s="39" t="n">
        <f aca="false">IF(AG$4=0,0,IF(COUNTIFS(実績!$W$6:$W$505,AG$3,実績!$AI$6:$AI$505,"&lt;="&amp;$A94,実績!$AJ$6:$AJ$505,"&gt;"&amp;$A94,実績!$AK$6:$AK$505,"○")&gt;0,1,0))</f>
        <v>0</v>
      </c>
      <c r="AH94" s="39" t="n">
        <f aca="false">IF(AH$4=0,0,IF(COUNTIFS(実績!$W$6:$W$505,AH$3,実績!$AI$6:$AI$505,"&lt;="&amp;$A94,実績!$AJ$6:$AJ$505,"&gt;"&amp;$A94,実績!$AK$6:$AK$505,"○")&gt;0,1,0))</f>
        <v>0</v>
      </c>
      <c r="AI94" s="39" t="n">
        <f aca="false">IF(AI$4=0,0,IF(COUNTIFS(実績!$W$6:$W$505,AI$3,実績!$AI$6:$AI$505,"&lt;="&amp;$A94,実績!$AJ$6:$AJ$505,"&gt;"&amp;$A94,実績!$AK$6:$AK$505,"○")&gt;0,1,0))</f>
        <v>0</v>
      </c>
      <c r="AJ94" s="39" t="n">
        <f aca="false">IF(AJ$4=0,0,IF(COUNTIFS(実績!$W$6:$W$505,AJ$3,実績!$AI$6:$AI$505,"&lt;="&amp;$A94,実績!$AJ$6:$AJ$505,"&gt;"&amp;$A94,実績!$AK$6:$AK$505,"○")&gt;0,1,0))</f>
        <v>0</v>
      </c>
      <c r="AK94" s="39" t="n">
        <f aca="false">IF(AK$4=0,0,IF(COUNTIFS(実績!$W$6:$W$505,AK$3,実績!$AI$6:$AI$505,"&lt;="&amp;$A94,実績!$AJ$6:$AJ$505,"&gt;"&amp;$A94,実績!$AK$6:$AK$505,"○")&gt;0,1,0))</f>
        <v>0</v>
      </c>
      <c r="AL94" s="39" t="n">
        <f aca="false">IF(AL$4=0,0,IF(COUNTIFS(実績!$W$6:$W$505,AL$3,実績!$AI$6:$AI$505,"&lt;="&amp;$A94,実績!$AJ$6:$AJ$505,"&gt;"&amp;$A94,実績!$AK$6:$AK$505,"○")&gt;0,1,0))</f>
        <v>0</v>
      </c>
      <c r="AM94" s="39" t="n">
        <f aca="false">IF(AM$4=0,0,IF(COUNTIFS(実績!$W$6:$W$505,AM$3,実績!$AI$6:$AI$505,"&lt;="&amp;$A94,実績!$AJ$6:$AJ$505,"&gt;"&amp;$A94,実績!$AK$6:$AK$505,"○")&gt;0,1,0))</f>
        <v>0</v>
      </c>
      <c r="AN94" s="39" t="n">
        <f aca="false">IF(AN$4=0,0,IF(COUNTIFS(実績!$W$6:$W$505,AN$3,実績!$AI$6:$AI$505,"&lt;="&amp;$A94,実績!$AJ$6:$AJ$505,"&gt;"&amp;$A94,実績!$AK$6:$AK$505,"○")&gt;0,1,0))</f>
        <v>0</v>
      </c>
      <c r="AO94" s="39" t="n">
        <f aca="false">IF(AO$4=0,0,IF(COUNTIFS(実績!$W$6:$W$505,AO$3,実績!$AI$6:$AI$505,"&lt;="&amp;$A94,実績!$AJ$6:$AJ$505,"&gt;"&amp;$A94,実績!$AK$6:$AK$505,"○")&gt;0,1,0))</f>
        <v>0</v>
      </c>
      <c r="AP94" s="39" t="n">
        <f aca="false">IF(AP$4=0,0,IF(COUNTIFS(実績!$W$6:$W$505,AP$3,実績!$AI$6:$AI$505,"&lt;="&amp;$A94,実績!$AJ$6:$AJ$505,"&gt;"&amp;$A94,実績!$AK$6:$AK$505,"○")&gt;0,1,0))</f>
        <v>0</v>
      </c>
      <c r="AQ94" s="39" t="n">
        <f aca="false">IF(AQ$4=0,0,IF(COUNTIFS(実績!$W$6:$W$505,AQ$3,実績!$AI$6:$AI$505,"&lt;="&amp;$A94,実績!$AJ$6:$AJ$505,"&gt;"&amp;$A94,実績!$AK$6:$AK$505,"○")&gt;0,1,0))</f>
        <v>0</v>
      </c>
      <c r="AR94" s="39" t="n">
        <f aca="false">IF(AR$4=0,0,IF(COUNTIFS(実績!$W$6:$W$505,AR$3,実績!$AI$6:$AI$505,"&lt;="&amp;$A94,実績!$AJ$6:$AJ$505,"&gt;"&amp;$A94,実績!$AK$6:$AK$505,"○")&gt;0,1,0))</f>
        <v>0</v>
      </c>
      <c r="AS94" s="39" t="n">
        <f aca="false">IF(AS$4=0,0,IF(COUNTIFS(実績!$W$6:$W$505,AS$3,実績!$AI$6:$AI$505,"&lt;="&amp;$A94,実績!$AJ$6:$AJ$505,"&gt;"&amp;$A94,実績!$AK$6:$AK$505,"○")&gt;0,1,0))</f>
        <v>0</v>
      </c>
      <c r="AT94" s="39" t="n">
        <f aca="false">IF(AT$4=0,0,IF(COUNTIFS(実績!$W$6:$W$505,AT$3,実績!$AI$6:$AI$505,"&lt;="&amp;$A94,実績!$AJ$6:$AJ$505,"&gt;"&amp;$A94,実績!$AK$6:$AK$505,"○")&gt;0,1,0))</f>
        <v>0</v>
      </c>
      <c r="AU94" s="39" t="n">
        <f aca="false">IF(AU$4=0,0,IF(COUNTIFS(実績!$W$6:$W$505,AU$3,実績!$AI$6:$AI$505,"&lt;="&amp;$A94,実績!$AJ$6:$AJ$505,"&gt;"&amp;$A94,実績!$AK$6:$AK$505,"○")&gt;0,1,0))</f>
        <v>0</v>
      </c>
      <c r="AV94" s="39" t="n">
        <f aca="false">IF(AV$4=0,0,IF(COUNTIFS(実績!$W$6:$W$505,AV$3,実績!$AI$6:$AI$505,"&lt;="&amp;$A94,実績!$AJ$6:$AJ$505,"&gt;"&amp;$A94,実績!$AK$6:$AK$505,"○")&gt;0,1,0))</f>
        <v>0</v>
      </c>
      <c r="AW94" s="39" t="n">
        <f aca="false">IF(AW$4=0,0,IF(COUNTIFS(実績!$W$6:$W$505,AW$3,実績!$AI$6:$AI$505,"&lt;="&amp;$A94,実績!$AJ$6:$AJ$505,"&gt;"&amp;$A94,実績!$AK$6:$AK$505,"○")&gt;0,1,0))</f>
        <v>0</v>
      </c>
      <c r="AX94" s="39" t="n">
        <f aca="false">IF(AX$4=0,0,IF(COUNTIFS(実績!$W$6:$W$505,AX$3,実績!$AI$6:$AI$505,"&lt;="&amp;$A94,実績!$AJ$6:$AJ$505,"&gt;"&amp;$A94,実績!$AK$6:$AK$505,"○")&gt;0,1,0))</f>
        <v>0</v>
      </c>
      <c r="AY94" s="39" t="n">
        <f aca="false">IF(AY$4=0,0,IF(COUNTIFS(実績!$W$6:$W$505,AY$3,実績!$AI$6:$AI$505,"&lt;="&amp;$A94,実績!$AJ$6:$AJ$505,"&gt;"&amp;$A94,実績!$AK$6:$AK$505,"○")&gt;0,1,0))</f>
        <v>0</v>
      </c>
      <c r="AZ94" s="39" t="n">
        <f aca="false">IF(AZ$4=0,0,IF(COUNTIFS(実績!$W$6:$W$505,AZ$3,実績!$AI$6:$AI$505,"&lt;="&amp;$A94,実績!$AJ$6:$AJ$505,"&gt;"&amp;$A94,実績!$AK$6:$AK$505,"○")&gt;0,1,0))</f>
        <v>0</v>
      </c>
      <c r="BA94" s="39" t="n">
        <f aca="false">IF(BA$4=0,0,IF(COUNTIFS(実績!$W$6:$W$505,BA$3,実績!$AI$6:$AI$505,"&lt;="&amp;$A94,実績!$AJ$6:$AJ$505,"&gt;"&amp;$A94,実績!$AK$6:$AK$505,"○")&gt;0,1,0))</f>
        <v>0</v>
      </c>
      <c r="BB94" s="39" t="n">
        <f aca="false">IF(BB$4=0,0,IF(COUNTIFS(実績!$W$6:$W$505,BB$3,実績!$AI$6:$AI$505,"&lt;="&amp;$A94,実績!$AJ$6:$AJ$505,"&gt;"&amp;$A94,実績!$AK$6:$AK$505,"○")&gt;0,1,0))</f>
        <v>0</v>
      </c>
      <c r="BC94" s="39" t="n">
        <f aca="false">IF(BC$4=0,0,IF(COUNTIFS(実績!$W$6:$W$505,BC$3,実績!$AI$6:$AI$505,"&lt;="&amp;$A94,実績!$AJ$6:$AJ$505,"&gt;"&amp;$A94,実績!$AK$6:$AK$505,"○")&gt;0,1,0))</f>
        <v>0</v>
      </c>
      <c r="BD94" s="39" t="n">
        <f aca="false">IF(BD$4=0,0,IF(COUNTIFS(実績!$W$6:$W$505,BD$3,実績!$AI$6:$AI$505,"&lt;="&amp;$A94,実績!$AJ$6:$AJ$505,"&gt;"&amp;$A94,実績!$AK$6:$AK$505,"○")&gt;0,1,0))</f>
        <v>0</v>
      </c>
      <c r="BE94" s="39" t="n">
        <f aca="false">IF(BE$4=0,0,IF(COUNTIFS(実績!$W$6:$W$505,BE$3,実績!$AI$6:$AI$505,"&lt;="&amp;$A94,実績!$AJ$6:$AJ$505,"&gt;"&amp;$A94,実績!$AK$6:$AK$505,"○")&gt;0,1,0))</f>
        <v>0</v>
      </c>
      <c r="BF94" s="39" t="n">
        <f aca="false">IF(BF$4=0,0,IF(COUNTIFS(実績!$W$6:$W$505,BF$3,実績!$AI$6:$AI$505,"&lt;="&amp;$A94,実績!$AJ$6:$AJ$505,"&gt;"&amp;$A94,実績!$AK$6:$AK$505,"○")&gt;0,1,0))</f>
        <v>0</v>
      </c>
      <c r="BG94" s="39" t="n">
        <f aca="false">IF(BG$4=0,0,IF(COUNTIFS(実績!$W$6:$W$505,BG$3,実績!$AI$6:$AI$505,"&lt;="&amp;$A94,実績!$AJ$6:$AJ$505,"&gt;"&amp;$A94,実績!$AK$6:$AK$505,"○")&gt;0,1,0))</f>
        <v>0</v>
      </c>
      <c r="BH94" s="39" t="n">
        <f aca="false">IF(BH$4=0,0,IF(COUNTIFS(実績!$W$6:$W$505,BH$3,実績!$AI$6:$AI$505,"&lt;="&amp;$A94,実績!$AJ$6:$AJ$505,"&gt;"&amp;$A94,実績!$AK$6:$AK$505,"○")&gt;0,1,0))</f>
        <v>0</v>
      </c>
      <c r="BI94" s="39" t="n">
        <f aca="false">IF(BI$4=0,0,IF(COUNTIFS(実績!$W$6:$W$505,BI$3,実績!$AI$6:$AI$505,"&lt;="&amp;$A94,実績!$AJ$6:$AJ$505,"&gt;"&amp;$A94,実績!$AK$6:$AK$505,"○")&gt;0,1,0))</f>
        <v>0</v>
      </c>
      <c r="BJ94" s="39" t="n">
        <f aca="false">IF(BJ$4=0,0,IF(COUNTIFS(実績!$W$6:$W$505,BJ$3,実績!$AI$6:$AI$505,"&lt;="&amp;$A94,実績!$AJ$6:$AJ$505,"&gt;"&amp;$A94,実績!$AK$6:$AK$505,"○")&gt;0,1,0))</f>
        <v>0</v>
      </c>
      <c r="BK94" s="39" t="n">
        <f aca="false">IF(BK$4=0,0,IF(COUNTIFS(実績!$W$6:$W$505,BK$3,実績!$AI$6:$AI$505,"&lt;="&amp;$A94,実績!$AJ$6:$AJ$505,"&gt;"&amp;$A94,実績!$AK$6:$AK$505,"○")&gt;0,1,0))</f>
        <v>0</v>
      </c>
      <c r="BL94" s="39" t="n">
        <f aca="false">IF(BL$4=0,0,IF(COUNTIFS(実績!$W$6:$W$505,BL$3,実績!$AI$6:$AI$505,"&lt;="&amp;$A94,実績!$AJ$6:$AJ$505,"&gt;"&amp;$A94,実績!$AK$6:$AK$505,"○")&gt;0,1,0))</f>
        <v>0</v>
      </c>
      <c r="BM94" s="39" t="n">
        <f aca="false">IF(BM$4=0,0,IF(COUNTIFS(実績!$W$6:$W$505,BM$3,実績!$AI$6:$AI$505,"&lt;="&amp;$A94,実績!$AJ$6:$AJ$505,"&gt;"&amp;$A94,実績!$AK$6:$AK$505,"○")&gt;0,1,0))</f>
        <v>0</v>
      </c>
      <c r="BN94" s="39" t="n">
        <f aca="false">IF(BN$4=0,0,IF(COUNTIFS(実績!$W$6:$W$505,BN$3,実績!$AI$6:$AI$505,"&lt;="&amp;$A94,実績!$AJ$6:$AJ$505,"&gt;"&amp;$A94,実績!$AK$6:$AK$505,"○")&gt;0,1,0))</f>
        <v>0</v>
      </c>
      <c r="BO94" s="39" t="n">
        <f aca="false">IF(BO$4=0,0,IF(COUNTIFS(実績!$W$6:$W$505,BO$3,実績!$AI$6:$AI$505,"&lt;="&amp;$A94,実績!$AJ$6:$AJ$505,"&gt;"&amp;$A94,実績!$AK$6:$AK$505,"○")&gt;0,1,0))</f>
        <v>0</v>
      </c>
      <c r="BP94" s="39" t="n">
        <f aca="false">IF(BP$4=0,0,IF(COUNTIFS(実績!$W$6:$W$505,BP$3,実績!$AI$6:$AI$505,"&lt;="&amp;$A94,実績!$AJ$6:$AJ$505,"&gt;"&amp;$A94,実績!$AK$6:$AK$505,"○")&gt;0,1,0))</f>
        <v>0</v>
      </c>
      <c r="BQ94" s="39" t="n">
        <f aca="false">IF(BQ$4=0,0,IF(COUNTIFS(実績!$W$6:$W$505,BQ$3,実績!$AI$6:$AI$505,"&lt;="&amp;$A94,実績!$AJ$6:$AJ$505,"&gt;"&amp;$A94,実績!$AK$6:$AK$505,"○")&gt;0,1,0))</f>
        <v>0</v>
      </c>
      <c r="BR94" s="39" t="n">
        <f aca="false">IF(BR$4=0,0,IF(COUNTIFS(実績!$W$6:$W$505,BR$3,実績!$AI$6:$AI$505,"&lt;="&amp;$A94,実績!$AJ$6:$AJ$505,"&gt;"&amp;$A94,実績!$AK$6:$AK$505,"○")&gt;0,1,0))</f>
        <v>0</v>
      </c>
      <c r="BS94" s="39" t="n">
        <f aca="false">IF(BS$4=0,0,IF(COUNTIFS(実績!$W$6:$W$505,BS$3,実績!$AI$6:$AI$505,"&lt;="&amp;$A94,実績!$AJ$6:$AJ$505,"&gt;"&amp;$A94,実績!$AK$6:$AK$505,"○")&gt;0,1,0))</f>
        <v>0</v>
      </c>
      <c r="BT94" s="39" t="n">
        <f aca="false">IF(BT$4=0,0,IF(COUNTIFS(実績!$W$6:$W$505,BT$3,実績!$AI$6:$AI$505,"&lt;="&amp;$A94,実績!$AJ$6:$AJ$505,"&gt;"&amp;$A94,実績!$AK$6:$AK$505,"○")&gt;0,1,0))</f>
        <v>0</v>
      </c>
      <c r="BU94" s="39" t="n">
        <f aca="false">IF(BU$4=0,0,IF(COUNTIFS(実績!$W$6:$W$505,BU$3,実績!$AI$6:$AI$505,"&lt;="&amp;$A94,実績!$AJ$6:$AJ$505,"&gt;"&amp;$A94,実績!$AK$6:$AK$505,"○")&gt;0,1,0))</f>
        <v>0</v>
      </c>
      <c r="BV94" s="39" t="n">
        <f aca="false">IF(BV$4=0,0,IF(COUNTIFS(実績!$W$6:$W$505,BV$3,実績!$AI$6:$AI$505,"&lt;="&amp;$A94,実績!$AJ$6:$AJ$505,"&gt;"&amp;$A94,実績!$AK$6:$AK$505,"○")&gt;0,1,0))</f>
        <v>0</v>
      </c>
      <c r="BW94" s="39" t="n">
        <f aca="false">IF(BW$4=0,0,IF(COUNTIFS(実績!$W$6:$W$505,BW$3,実績!$AI$6:$AI$505,"&lt;="&amp;$A94,実績!$AJ$6:$AJ$505,"&gt;"&amp;$A94,実績!$AK$6:$AK$505,"○")&gt;0,1,0))</f>
        <v>0</v>
      </c>
      <c r="BX94" s="39" t="n">
        <f aca="false">IF(BX$4=0,0,IF(COUNTIFS(実績!$W$6:$W$505,BX$3,実績!$AI$6:$AI$505,"&lt;="&amp;$A94,実績!$AJ$6:$AJ$505,"&gt;"&amp;$A94,実績!$AK$6:$AK$505,"○")&gt;0,1,0))</f>
        <v>0</v>
      </c>
      <c r="BY94" s="39" t="n">
        <f aca="false">IF(BY$4=0,0,IF(COUNTIFS(実績!$W$6:$W$505,BY$3,実績!$AI$6:$AI$505,"&lt;="&amp;$A94,実績!$AJ$6:$AJ$505,"&gt;"&amp;$A94,実績!$AK$6:$AK$505,"○")&gt;0,1,0))</f>
        <v>0</v>
      </c>
      <c r="BZ94" s="39" t="n">
        <f aca="false">IF(BZ$4=0,0,IF(COUNTIFS(実績!$W$6:$W$505,BZ$3,実績!$AI$6:$AI$505,"&lt;="&amp;$A94,実績!$AJ$6:$AJ$505,"&gt;"&amp;$A94,実績!$AK$6:$AK$505,"○")&gt;0,1,0))</f>
        <v>0</v>
      </c>
      <c r="CA94" s="39" t="n">
        <f aca="false">IF(CA$4=0,0,IF(COUNTIFS(実績!$W$6:$W$505,CA$3,実績!$AI$6:$AI$505,"&lt;="&amp;$A94,実績!$AJ$6:$AJ$505,"&gt;"&amp;$A94,実績!$AK$6:$AK$505,"○")&gt;0,1,0))</f>
        <v>0</v>
      </c>
      <c r="CB94" s="39" t="n">
        <f aca="false">IF(CB$4=0,0,IF(COUNTIFS(実績!$W$6:$W$505,CB$3,実績!$AI$6:$AI$505,"&lt;="&amp;$A94,実績!$AJ$6:$AJ$505,"&gt;"&amp;$A94,実績!$AK$6:$AK$505,"○")&gt;0,1,0))</f>
        <v>0</v>
      </c>
      <c r="CC94" s="39" t="n">
        <f aca="false">IF(CC$4=0,0,IF(COUNTIFS(実績!$W$6:$W$505,CC$3,実績!$AI$6:$AI$505,"&lt;="&amp;$A94,実績!$AJ$6:$AJ$505,"&gt;"&amp;$A94,実績!$AK$6:$AK$505,"○")&gt;0,1,0))</f>
        <v>0</v>
      </c>
      <c r="CD94" s="39" t="n">
        <f aca="false">IF(CD$4=0,0,IF(COUNTIFS(実績!$W$6:$W$505,CD$3,実績!$AI$6:$AI$505,"&lt;="&amp;$A94,実績!$AJ$6:$AJ$505,"&gt;"&amp;$A94,実績!$AK$6:$AK$505,"○")&gt;0,1,0))</f>
        <v>0</v>
      </c>
      <c r="CE94" s="39" t="n">
        <f aca="false">IF(CE$4=0,0,IF(COUNTIFS(実績!$W$6:$W$505,CE$3,実績!$AI$6:$AI$505,"&lt;="&amp;$A94,実績!$AJ$6:$AJ$505,"&gt;"&amp;$A94,実績!$AK$6:$AK$505,"○")&gt;0,1,0))</f>
        <v>0</v>
      </c>
      <c r="CF94" s="39" t="n">
        <f aca="false">IF(CF$4=0,0,IF(COUNTIFS(実績!$W$6:$W$505,CF$3,実績!$AI$6:$AI$505,"&lt;="&amp;$A94,実績!$AJ$6:$AJ$505,"&gt;"&amp;$A94,実績!$AK$6:$AK$505,"○")&gt;0,1,0))</f>
        <v>0</v>
      </c>
      <c r="CG94" s="39" t="n">
        <f aca="false">IF(CG$4=0,0,IF(COUNTIFS(実績!$W$6:$W$505,CG$3,実績!$AI$6:$AI$505,"&lt;="&amp;$A94,実績!$AJ$6:$AJ$505,"&gt;"&amp;$A94,実績!$AK$6:$AK$505,"○")&gt;0,1,0))</f>
        <v>0</v>
      </c>
      <c r="CH94" s="39" t="n">
        <f aca="false">IF(CH$4=0,0,IF(COUNTIFS(実績!$W$6:$W$505,CH$3,実績!$AI$6:$AI$505,"&lt;="&amp;$A94,実績!$AJ$6:$AJ$505,"&gt;"&amp;$A94,実績!$AK$6:$AK$505,"○")&gt;0,1,0))</f>
        <v>0</v>
      </c>
      <c r="CI94" s="39" t="n">
        <f aca="false">IF(CI$4=0,0,IF(COUNTIFS(実績!$W$6:$W$505,CI$3,実績!$AI$6:$AI$505,"&lt;="&amp;$A94,実績!$AJ$6:$AJ$505,"&gt;"&amp;$A94,実績!$AK$6:$AK$505,"○")&gt;0,1,0))</f>
        <v>0</v>
      </c>
      <c r="CJ94" s="39" t="n">
        <f aca="false">IF(CJ$4=0,0,IF(COUNTIFS(実績!$W$6:$W$505,CJ$3,実績!$AI$6:$AI$505,"&lt;="&amp;$A94,実績!$AJ$6:$AJ$505,"&gt;"&amp;$A94,実績!$AK$6:$AK$505,"○")&gt;0,1,0))</f>
        <v>0</v>
      </c>
      <c r="CK94" s="39" t="n">
        <f aca="false">IF(CK$4=0,0,IF(COUNTIFS(実績!$W$6:$W$505,CK$3,実績!$AI$6:$AI$505,"&lt;="&amp;$A94,実績!$AJ$6:$AJ$505,"&gt;"&amp;$A94,実績!$AK$6:$AK$505,"○")&gt;0,1,0))</f>
        <v>0</v>
      </c>
      <c r="CL94" s="39" t="n">
        <f aca="false">IF(CL$4=0,0,IF(COUNTIFS(実績!$W$6:$W$505,CL$3,実績!$AI$6:$AI$505,"&lt;="&amp;$A94,実績!$AJ$6:$AJ$505,"&gt;"&amp;$A94,実績!$AK$6:$AK$505,"○")&gt;0,1,0))</f>
        <v>0</v>
      </c>
      <c r="CM94" s="39" t="n">
        <f aca="false">IF(CM$4=0,0,IF(COUNTIFS(実績!$W$6:$W$505,CM$3,実績!$AI$6:$AI$505,"&lt;="&amp;$A94,実績!$AJ$6:$AJ$505,"&gt;"&amp;$A94,実績!$AK$6:$AK$505,"○")&gt;0,1,0))</f>
        <v>0</v>
      </c>
      <c r="CN94" s="39" t="n">
        <f aca="false">IF(CN$4=0,0,IF(COUNTIFS(実績!$W$6:$W$505,CN$3,実績!$AI$6:$AI$505,"&lt;="&amp;$A94,実績!$AJ$6:$AJ$505,"&gt;"&amp;$A94,実績!$AK$6:$AK$505,"○")&gt;0,1,0))</f>
        <v>0</v>
      </c>
      <c r="CO94" s="39" t="n">
        <f aca="false">IF(CO$4=0,0,IF(COUNTIFS(実績!$W$6:$W$505,CO$3,実績!$AI$6:$AI$505,"&lt;="&amp;$A94,実績!$AJ$6:$AJ$505,"&gt;"&amp;$A94,実績!$AK$6:$AK$505,"○")&gt;0,1,0))</f>
        <v>0</v>
      </c>
      <c r="CP94" s="39" t="n">
        <f aca="false">IF(CP$4=0,0,IF(COUNTIFS(実績!$W$6:$W$505,CP$3,実績!$AI$6:$AI$505,"&lt;="&amp;$A94,実績!$AJ$6:$AJ$505,"&gt;"&amp;$A94,実績!$AK$6:$AK$505,"○")&gt;0,1,0))</f>
        <v>0</v>
      </c>
      <c r="CQ94" s="39" t="n">
        <f aca="false">IF(CQ$4=0,0,IF(COUNTIFS(実績!$W$6:$W$505,CQ$3,実績!$AI$6:$AI$505,"&lt;="&amp;$A94,実績!$AJ$6:$AJ$505,"&gt;"&amp;$A94,実績!$AK$6:$AK$505,"○")&gt;0,1,0))</f>
        <v>0</v>
      </c>
      <c r="CR94" s="39" t="n">
        <f aca="false">IF(CR$4=0,0,IF(COUNTIFS(実績!$W$6:$W$505,CR$3,実績!$AI$6:$AI$505,"&lt;="&amp;$A94,実績!$AJ$6:$AJ$505,"&gt;"&amp;$A94,実績!$AK$6:$AK$505,"○")&gt;0,1,0))</f>
        <v>0</v>
      </c>
      <c r="CS94" s="39" t="n">
        <f aca="false">IF(CS$4=0,0,IF(COUNTIFS(実績!$W$6:$W$505,CS$3,実績!$AI$6:$AI$505,"&lt;="&amp;$A94,実績!$AJ$6:$AJ$505,"&gt;"&amp;$A94,実績!$AK$6:$AK$505,"○")&gt;0,1,0))</f>
        <v>0</v>
      </c>
      <c r="CT94" s="39" t="n">
        <f aca="false">IF(CT$4=0,0,IF(COUNTIFS(実績!$W$6:$W$505,CT$3,実績!$AI$6:$AI$505,"&lt;="&amp;$A94,実績!$AJ$6:$AJ$505,"&gt;"&amp;$A94,実績!$AK$6:$AK$505,"○")&gt;0,1,0))</f>
        <v>0</v>
      </c>
      <c r="CU94" s="39" t="n">
        <f aca="false">IF(CU$4=0,0,IF(COUNTIFS(実績!$W$6:$W$505,CU$3,実績!$AI$6:$AI$505,"&lt;="&amp;$A94,実績!$AJ$6:$AJ$505,"&gt;"&amp;$A94,実績!$AK$6:$AK$505,"○")&gt;0,1,0))</f>
        <v>0</v>
      </c>
      <c r="CV94" s="39" t="n">
        <f aca="false">IF(CV$4=0,0,IF(COUNTIFS(実績!$W$6:$W$505,CV$3,実績!$AI$6:$AI$505,"&lt;="&amp;$A94,実績!$AJ$6:$AJ$505,"&gt;"&amp;$A94,実績!$AK$6:$AK$505,"○")&gt;0,1,0))</f>
        <v>0</v>
      </c>
      <c r="CW94" s="39" t="n">
        <f aca="false">IF(CW$4=0,0,IF(COUNTIFS(実績!$W$6:$W$505,CW$3,実績!$AI$6:$AI$505,"&lt;="&amp;$A94,実績!$AJ$6:$AJ$505,"&gt;"&amp;$A94,実績!$AK$6:$AK$505,"○")&gt;0,1,0))</f>
        <v>0</v>
      </c>
      <c r="CX94" s="39" t="n">
        <f aca="false">IF(CX$4=0,0,IF(COUNTIFS(実績!$W$6:$W$505,CX$3,実績!$AI$6:$AI$505,"&lt;="&amp;$A94,実績!$AJ$6:$AJ$505,"&gt;"&amp;$A94,実績!$AK$6:$AK$505,"○")&gt;0,1,0))</f>
        <v>0</v>
      </c>
      <c r="CY94" s="39" t="n">
        <f aca="false">IF(CY$4=0,0,IF(COUNTIFS(実績!$W$6:$W$505,CY$3,実績!$AI$6:$AI$505,"&lt;="&amp;$A94,実績!$AJ$6:$AJ$505,"&gt;"&amp;$A94,実績!$AK$6:$AK$505,"○")&gt;0,1,0))</f>
        <v>0</v>
      </c>
      <c r="CZ94" s="39" t="n">
        <f aca="false">IF(CZ$4=0,0,IF(COUNTIFS(実績!$W$6:$W$505,CZ$3,実績!$AI$6:$AI$505,"&lt;="&amp;$A94,実績!$AJ$6:$AJ$505,"&gt;"&amp;$A94,実績!$AK$6:$AK$505,"○")&gt;0,1,0))</f>
        <v>0</v>
      </c>
      <c r="DA94" s="39" t="n">
        <f aca="false">IF(DA$4=0,0,IF(COUNTIFS(実績!$W$6:$W$505,DA$3,実績!$AI$6:$AI$505,"&lt;="&amp;$A94,実績!$AJ$6:$AJ$505,"&gt;"&amp;$A94,実績!$AK$6:$AK$505,"○")&gt;0,1,0))</f>
        <v>0</v>
      </c>
      <c r="DB94" s="39" t="n">
        <f aca="false">IF(DB$4=0,0,IF(COUNTIFS(実績!$W$6:$W$505,DB$3,実績!$AI$6:$AI$505,"&lt;="&amp;$A94,実績!$AJ$6:$AJ$505,"&gt;"&amp;$A94,実績!$AK$6:$AK$505,"○")&gt;0,1,0))</f>
        <v>0</v>
      </c>
      <c r="DC94" s="39" t="n">
        <f aca="false">IF(DC$4=0,0,IF(COUNTIFS(実績!$W$6:$W$505,DC$3,実績!$AI$6:$AI$505,"&lt;="&amp;$A94,実績!$AJ$6:$AJ$505,"&gt;"&amp;$A94,実績!$AK$6:$AK$505,"○")&gt;0,1,0))</f>
        <v>0</v>
      </c>
      <c r="DD94" s="39" t="n">
        <f aca="false">IF(DD$4=0,0,IF(COUNTIFS(実績!$W$6:$W$505,DD$3,実績!$AI$6:$AI$505,"&lt;="&amp;$A94,実績!$AJ$6:$AJ$505,"&gt;"&amp;$A94,実績!$AK$6:$AK$505,"○")&gt;0,1,0))</f>
        <v>0</v>
      </c>
      <c r="DE94" s="39" t="n">
        <f aca="false">IF(DE$4=0,0,IF(COUNTIFS(実績!$W$6:$W$505,DE$3,実績!$AI$6:$AI$505,"&lt;="&amp;$A94,実績!$AJ$6:$AJ$505,"&gt;"&amp;$A94,実績!$AK$6:$AK$505,"○")&gt;0,1,0))</f>
        <v>0</v>
      </c>
      <c r="DF94" s="39" t="n">
        <f aca="false">IF(DF$4=0,0,IF(COUNTIFS(実績!$W$6:$W$505,DF$3,実績!$AI$6:$AI$505,"&lt;="&amp;$A94,実績!$AJ$6:$AJ$505,"&gt;"&amp;$A94,実績!$AK$6:$AK$505,"○")&gt;0,1,0))</f>
        <v>0</v>
      </c>
      <c r="DG94" s="39" t="n">
        <f aca="false">IF(DG$4=0,0,IF(COUNTIFS(実績!$W$6:$W$505,DG$3,実績!$AI$6:$AI$505,"&lt;="&amp;$A94,実績!$AJ$6:$AJ$505,"&gt;"&amp;$A94,実績!$AK$6:$AK$505,"○")&gt;0,1,0))</f>
        <v>0</v>
      </c>
      <c r="DH94" s="39" t="n">
        <f aca="false">IF(DH$4=0,0,IF(COUNTIFS(実績!$W$6:$W$505,DH$3,実績!$AI$6:$AI$505,"&lt;="&amp;$A94,実績!$AJ$6:$AJ$505,"&gt;"&amp;$A94,実績!$AK$6:$AK$505,"○")&gt;0,1,0))</f>
        <v>0</v>
      </c>
      <c r="DI94" s="39" t="n">
        <f aca="false">IF(DI$4=0,0,IF(COUNTIFS(実績!$W$6:$W$505,DI$3,実績!$AI$6:$AI$505,"&lt;="&amp;$A94,実績!$AJ$6:$AJ$505,"&gt;"&amp;$A94,実績!$AK$6:$AK$505,"○")&gt;0,1,0))</f>
        <v>0</v>
      </c>
      <c r="DJ94" s="39" t="n">
        <f aca="false">IF(DJ$4=0,0,IF(COUNTIFS(実績!$W$6:$W$505,DJ$3,実績!$AI$6:$AI$505,"&lt;="&amp;$A94,実績!$AJ$6:$AJ$505,"&gt;"&amp;$A94,実績!$AK$6:$AK$505,"○")&gt;0,1,0))</f>
        <v>0</v>
      </c>
      <c r="DK94" s="39" t="n">
        <f aca="false">IF(DK$4=0,0,IF(COUNTIFS(実績!$W$6:$W$505,DK$3,実績!$AI$6:$AI$505,"&lt;="&amp;$A94,実績!$AJ$6:$AJ$505,"&gt;"&amp;$A94,実績!$AK$6:$AK$505,"○")&gt;0,1,0))</f>
        <v>0</v>
      </c>
      <c r="DL94" s="39" t="n">
        <f aca="false">IF(DL$4=0,0,IF(COUNTIFS(実績!$W$6:$W$505,DL$3,実績!$AI$6:$AI$505,"&lt;="&amp;$A94,実績!$AJ$6:$AJ$505,"&gt;"&amp;$A94,実績!$AK$6:$AK$505,"○")&gt;0,1,0))</f>
        <v>0</v>
      </c>
      <c r="DM94" s="39" t="n">
        <f aca="false">IF(DM$4=0,0,IF(COUNTIFS(実績!$W$6:$W$505,DM$3,実績!$AI$6:$AI$505,"&lt;="&amp;$A94,実績!$AJ$6:$AJ$505,"&gt;"&amp;$A94,実績!$AK$6:$AK$505,"○")&gt;0,1,0))</f>
        <v>0</v>
      </c>
      <c r="DN94" s="39" t="n">
        <f aca="false">IF(DN$4=0,0,IF(COUNTIFS(実績!$W$6:$W$505,DN$3,実績!$AI$6:$AI$505,"&lt;="&amp;$A94,実績!$AJ$6:$AJ$505,"&gt;"&amp;$A94,実績!$AK$6:$AK$505,"○")&gt;0,1,0))</f>
        <v>0</v>
      </c>
      <c r="DO94" s="39" t="n">
        <f aca="false">IF(DO$4=0,0,IF(COUNTIFS(実績!$W$6:$W$505,DO$3,実績!$AI$6:$AI$505,"&lt;="&amp;$A94,実績!$AJ$6:$AJ$505,"&gt;"&amp;$A94,実績!$AK$6:$AK$505,"○")&gt;0,1,0))</f>
        <v>0</v>
      </c>
      <c r="DP94" s="39" t="n">
        <f aca="false">IF(DP$4=0,0,IF(COUNTIFS(実績!$W$6:$W$505,DP$3,実績!$AI$6:$AI$505,"&lt;="&amp;$A94,実績!$AJ$6:$AJ$505,"&gt;"&amp;$A94,実績!$AK$6:$AK$505,"○")&gt;0,1,0))</f>
        <v>0</v>
      </c>
      <c r="DQ94" s="39" t="n">
        <f aca="false">IF(DQ$4=0,0,IF(COUNTIFS(実績!$W$6:$W$505,DQ$3,実績!$AI$6:$AI$505,"&lt;="&amp;$A94,実績!$AJ$6:$AJ$505,"&gt;"&amp;$A94,実績!$AK$6:$AK$505,"○")&gt;0,1,0))</f>
        <v>0</v>
      </c>
      <c r="DR94" s="39" t="n">
        <f aca="false">IF(DR$4=0,0,IF(COUNTIFS(実績!$W$6:$W$505,DR$3,実績!$AI$6:$AI$505,"&lt;="&amp;$A94,実績!$AJ$6:$AJ$505,"&gt;"&amp;$A94,実績!$AK$6:$AK$505,"○")&gt;0,1,0))</f>
        <v>0</v>
      </c>
      <c r="DS94" s="39" t="n">
        <f aca="false">SUM(C94:DR94)</f>
        <v>0</v>
      </c>
      <c r="DT94" s="39" t="n">
        <f aca="false">SUMPRODUCT((実績!$C$6:$C$505="○")*ISNUMBER(実績!$AM$6:$AM$505)*(実績!$AM$6:$AM$505&lt;=$A94)*(実績!$AN$6:$AN$505&gt;$A94))</f>
        <v>0</v>
      </c>
      <c r="DU94" s="39" t="n">
        <f aca="false">SUMIF($C$2:$DR$2,"製鉄曳船",C94:DR94)</f>
        <v>0</v>
      </c>
      <c r="DV94" s="39" t="n">
        <f aca="false">SUMIF($C$2:$DR$2,"西日本海運",C94:DR94)</f>
        <v>0</v>
      </c>
    </row>
    <row r="95" customFormat="false" ht="15" hidden="false" customHeight="false" outlineLevel="0" collapsed="false">
      <c r="A95" s="0" t="n">
        <v>445</v>
      </c>
      <c r="B95" s="38" t="n">
        <f aca="false">A95/1440</f>
        <v>0.309027777777778</v>
      </c>
      <c r="C95" s="39" t="n">
        <f aca="false">IF(C$4=0,0,IF(COUNTIFS(実績!$W$6:$W$505,C$3,実績!$AI$6:$AI$505,"&lt;="&amp;$A95,実績!$AJ$6:$AJ$505,"&gt;"&amp;$A95,実績!$AK$6:$AK$505,"○")&gt;0,1,0))</f>
        <v>0</v>
      </c>
      <c r="D95" s="39" t="n">
        <f aca="false">IF(D$4=0,0,IF(COUNTIFS(実績!$W$6:$W$505,D$3,実績!$AI$6:$AI$505,"&lt;="&amp;$A95,実績!$AJ$6:$AJ$505,"&gt;"&amp;$A95,実績!$AK$6:$AK$505,"○")&gt;0,1,0))</f>
        <v>0</v>
      </c>
      <c r="E95" s="39" t="n">
        <f aca="false">IF(E$4=0,0,IF(COUNTIFS(実績!$W$6:$W$505,E$3,実績!$AI$6:$AI$505,"&lt;="&amp;$A95,実績!$AJ$6:$AJ$505,"&gt;"&amp;$A95,実績!$AK$6:$AK$505,"○")&gt;0,1,0))</f>
        <v>0</v>
      </c>
      <c r="F95" s="39" t="n">
        <f aca="false">IF(F$4=0,0,IF(COUNTIFS(実績!$W$6:$W$505,F$3,実績!$AI$6:$AI$505,"&lt;="&amp;$A95,実績!$AJ$6:$AJ$505,"&gt;"&amp;$A95,実績!$AK$6:$AK$505,"○")&gt;0,1,0))</f>
        <v>0</v>
      </c>
      <c r="G95" s="39" t="n">
        <f aca="false">IF(G$4=0,0,IF(COUNTIFS(実績!$W$6:$W$505,G$3,実績!$AI$6:$AI$505,"&lt;="&amp;$A95,実績!$AJ$6:$AJ$505,"&gt;"&amp;$A95,実績!$AK$6:$AK$505,"○")&gt;0,1,0))</f>
        <v>0</v>
      </c>
      <c r="H95" s="39" t="n">
        <f aca="false">IF(H$4=0,0,IF(COUNTIFS(実績!$W$6:$W$505,H$3,実績!$AI$6:$AI$505,"&lt;="&amp;$A95,実績!$AJ$6:$AJ$505,"&gt;"&amp;$A95,実績!$AK$6:$AK$505,"○")&gt;0,1,0))</f>
        <v>0</v>
      </c>
      <c r="I95" s="39" t="n">
        <f aca="false">IF(I$4=0,0,IF(COUNTIFS(実績!$W$6:$W$505,I$3,実績!$AI$6:$AI$505,"&lt;="&amp;$A95,実績!$AJ$6:$AJ$505,"&gt;"&amp;$A95,実績!$AK$6:$AK$505,"○")&gt;0,1,0))</f>
        <v>0</v>
      </c>
      <c r="J95" s="39" t="n">
        <f aca="false">IF(J$4=0,0,IF(COUNTIFS(実績!$W$6:$W$505,J$3,実績!$AI$6:$AI$505,"&lt;="&amp;$A95,実績!$AJ$6:$AJ$505,"&gt;"&amp;$A95,実績!$AK$6:$AK$505,"○")&gt;0,1,0))</f>
        <v>0</v>
      </c>
      <c r="K95" s="39" t="n">
        <f aca="false">IF(K$4=0,0,IF(COUNTIFS(実績!$W$6:$W$505,K$3,実績!$AI$6:$AI$505,"&lt;="&amp;$A95,実績!$AJ$6:$AJ$505,"&gt;"&amp;$A95,実績!$AK$6:$AK$505,"○")&gt;0,1,0))</f>
        <v>0</v>
      </c>
      <c r="L95" s="39" t="n">
        <f aca="false">IF(L$4=0,0,IF(COUNTIFS(実績!$W$6:$W$505,L$3,実績!$AI$6:$AI$505,"&lt;="&amp;$A95,実績!$AJ$6:$AJ$505,"&gt;"&amp;$A95,実績!$AK$6:$AK$505,"○")&gt;0,1,0))</f>
        <v>0</v>
      </c>
      <c r="M95" s="39" t="n">
        <f aca="false">IF(M$4=0,0,IF(COUNTIFS(実績!$W$6:$W$505,M$3,実績!$AI$6:$AI$505,"&lt;="&amp;$A95,実績!$AJ$6:$AJ$505,"&gt;"&amp;$A95,実績!$AK$6:$AK$505,"○")&gt;0,1,0))</f>
        <v>0</v>
      </c>
      <c r="N95" s="39" t="n">
        <f aca="false">IF(N$4=0,0,IF(COUNTIFS(実績!$W$6:$W$505,N$3,実績!$AI$6:$AI$505,"&lt;="&amp;$A95,実績!$AJ$6:$AJ$505,"&gt;"&amp;$A95,実績!$AK$6:$AK$505,"○")&gt;0,1,0))</f>
        <v>0</v>
      </c>
      <c r="O95" s="39" t="n">
        <f aca="false">IF(O$4=0,0,IF(COUNTIFS(実績!$W$6:$W$505,O$3,実績!$AI$6:$AI$505,"&lt;="&amp;$A95,実績!$AJ$6:$AJ$505,"&gt;"&amp;$A95,実績!$AK$6:$AK$505,"○")&gt;0,1,0))</f>
        <v>0</v>
      </c>
      <c r="P95" s="39" t="n">
        <f aca="false">IF(P$4=0,0,IF(COUNTIFS(実績!$W$6:$W$505,P$3,実績!$AI$6:$AI$505,"&lt;="&amp;$A95,実績!$AJ$6:$AJ$505,"&gt;"&amp;$A95,実績!$AK$6:$AK$505,"○")&gt;0,1,0))</f>
        <v>0</v>
      </c>
      <c r="Q95" s="39" t="n">
        <f aca="false">IF(Q$4=0,0,IF(COUNTIFS(実績!$W$6:$W$505,Q$3,実績!$AI$6:$AI$505,"&lt;="&amp;$A95,実績!$AJ$6:$AJ$505,"&gt;"&amp;$A95,実績!$AK$6:$AK$505,"○")&gt;0,1,0))</f>
        <v>0</v>
      </c>
      <c r="R95" s="39" t="n">
        <f aca="false">IF(R$4=0,0,IF(COUNTIFS(実績!$W$6:$W$505,R$3,実績!$AI$6:$AI$505,"&lt;="&amp;$A95,実績!$AJ$6:$AJ$505,"&gt;"&amp;$A95,実績!$AK$6:$AK$505,"○")&gt;0,1,0))</f>
        <v>0</v>
      </c>
      <c r="S95" s="39" t="n">
        <f aca="false">IF(S$4=0,0,IF(COUNTIFS(実績!$W$6:$W$505,S$3,実績!$AI$6:$AI$505,"&lt;="&amp;$A95,実績!$AJ$6:$AJ$505,"&gt;"&amp;$A95,実績!$AK$6:$AK$505,"○")&gt;0,1,0))</f>
        <v>0</v>
      </c>
      <c r="T95" s="39" t="n">
        <f aca="false">IF(T$4=0,0,IF(COUNTIFS(実績!$W$6:$W$505,T$3,実績!$AI$6:$AI$505,"&lt;="&amp;$A95,実績!$AJ$6:$AJ$505,"&gt;"&amp;$A95,実績!$AK$6:$AK$505,"○")&gt;0,1,0))</f>
        <v>0</v>
      </c>
      <c r="U95" s="39" t="n">
        <f aca="false">IF(U$4=0,0,IF(COUNTIFS(実績!$W$6:$W$505,U$3,実績!$AI$6:$AI$505,"&lt;="&amp;$A95,実績!$AJ$6:$AJ$505,"&gt;"&amp;$A95,実績!$AK$6:$AK$505,"○")&gt;0,1,0))</f>
        <v>0</v>
      </c>
      <c r="V95" s="39" t="n">
        <f aca="false">IF(V$4=0,0,IF(COUNTIFS(実績!$W$6:$W$505,V$3,実績!$AI$6:$AI$505,"&lt;="&amp;$A95,実績!$AJ$6:$AJ$505,"&gt;"&amp;$A95,実績!$AK$6:$AK$505,"○")&gt;0,1,0))</f>
        <v>0</v>
      </c>
      <c r="W95" s="39" t="n">
        <f aca="false">IF(W$4=0,0,IF(COUNTIFS(実績!$W$6:$W$505,W$3,実績!$AI$6:$AI$505,"&lt;="&amp;$A95,実績!$AJ$6:$AJ$505,"&gt;"&amp;$A95,実績!$AK$6:$AK$505,"○")&gt;0,1,0))</f>
        <v>0</v>
      </c>
      <c r="X95" s="39" t="n">
        <f aca="false">IF(X$4=0,0,IF(COUNTIFS(実績!$W$6:$W$505,X$3,実績!$AI$6:$AI$505,"&lt;="&amp;$A95,実績!$AJ$6:$AJ$505,"&gt;"&amp;$A95,実績!$AK$6:$AK$505,"○")&gt;0,1,0))</f>
        <v>0</v>
      </c>
      <c r="Y95" s="39" t="n">
        <f aca="false">IF(Y$4=0,0,IF(COUNTIFS(実績!$W$6:$W$505,Y$3,実績!$AI$6:$AI$505,"&lt;="&amp;$A95,実績!$AJ$6:$AJ$505,"&gt;"&amp;$A95,実績!$AK$6:$AK$505,"○")&gt;0,1,0))</f>
        <v>0</v>
      </c>
      <c r="Z95" s="39" t="n">
        <f aca="false">IF(Z$4=0,0,IF(COUNTIFS(実績!$W$6:$W$505,Z$3,実績!$AI$6:$AI$505,"&lt;="&amp;$A95,実績!$AJ$6:$AJ$505,"&gt;"&amp;$A95,実績!$AK$6:$AK$505,"○")&gt;0,1,0))</f>
        <v>0</v>
      </c>
      <c r="AA95" s="39" t="n">
        <f aca="false">IF(AA$4=0,0,IF(COUNTIFS(実績!$W$6:$W$505,AA$3,実績!$AI$6:$AI$505,"&lt;="&amp;$A95,実績!$AJ$6:$AJ$505,"&gt;"&amp;$A95,実績!$AK$6:$AK$505,"○")&gt;0,1,0))</f>
        <v>0</v>
      </c>
      <c r="AB95" s="39" t="n">
        <f aca="false">IF(AB$4=0,0,IF(COUNTIFS(実績!$W$6:$W$505,AB$3,実績!$AI$6:$AI$505,"&lt;="&amp;$A95,実績!$AJ$6:$AJ$505,"&gt;"&amp;$A95,実績!$AK$6:$AK$505,"○")&gt;0,1,0))</f>
        <v>0</v>
      </c>
      <c r="AC95" s="39" t="n">
        <f aca="false">IF(AC$4=0,0,IF(COUNTIFS(実績!$W$6:$W$505,AC$3,実績!$AI$6:$AI$505,"&lt;="&amp;$A95,実績!$AJ$6:$AJ$505,"&gt;"&amp;$A95,実績!$AK$6:$AK$505,"○")&gt;0,1,0))</f>
        <v>0</v>
      </c>
      <c r="AD95" s="39" t="n">
        <f aca="false">IF(AD$4=0,0,IF(COUNTIFS(実績!$W$6:$W$505,AD$3,実績!$AI$6:$AI$505,"&lt;="&amp;$A95,実績!$AJ$6:$AJ$505,"&gt;"&amp;$A95,実績!$AK$6:$AK$505,"○")&gt;0,1,0))</f>
        <v>0</v>
      </c>
      <c r="AE95" s="39" t="n">
        <f aca="false">IF(AE$4=0,0,IF(COUNTIFS(実績!$W$6:$W$505,AE$3,実績!$AI$6:$AI$505,"&lt;="&amp;$A95,実績!$AJ$6:$AJ$505,"&gt;"&amp;$A95,実績!$AK$6:$AK$505,"○")&gt;0,1,0))</f>
        <v>0</v>
      </c>
      <c r="AF95" s="39" t="n">
        <f aca="false">IF(AF$4=0,0,IF(COUNTIFS(実績!$W$6:$W$505,AF$3,実績!$AI$6:$AI$505,"&lt;="&amp;$A95,実績!$AJ$6:$AJ$505,"&gt;"&amp;$A95,実績!$AK$6:$AK$505,"○")&gt;0,1,0))</f>
        <v>0</v>
      </c>
      <c r="AG95" s="39" t="n">
        <f aca="false">IF(AG$4=0,0,IF(COUNTIFS(実績!$W$6:$W$505,AG$3,実績!$AI$6:$AI$505,"&lt;="&amp;$A95,実績!$AJ$6:$AJ$505,"&gt;"&amp;$A95,実績!$AK$6:$AK$505,"○")&gt;0,1,0))</f>
        <v>0</v>
      </c>
      <c r="AH95" s="39" t="n">
        <f aca="false">IF(AH$4=0,0,IF(COUNTIFS(実績!$W$6:$W$505,AH$3,実績!$AI$6:$AI$505,"&lt;="&amp;$A95,実績!$AJ$6:$AJ$505,"&gt;"&amp;$A95,実績!$AK$6:$AK$505,"○")&gt;0,1,0))</f>
        <v>0</v>
      </c>
      <c r="AI95" s="39" t="n">
        <f aca="false">IF(AI$4=0,0,IF(COUNTIFS(実績!$W$6:$W$505,AI$3,実績!$AI$6:$AI$505,"&lt;="&amp;$A95,実績!$AJ$6:$AJ$505,"&gt;"&amp;$A95,実績!$AK$6:$AK$505,"○")&gt;0,1,0))</f>
        <v>0</v>
      </c>
      <c r="AJ95" s="39" t="n">
        <f aca="false">IF(AJ$4=0,0,IF(COUNTIFS(実績!$W$6:$W$505,AJ$3,実績!$AI$6:$AI$505,"&lt;="&amp;$A95,実績!$AJ$6:$AJ$505,"&gt;"&amp;$A95,実績!$AK$6:$AK$505,"○")&gt;0,1,0))</f>
        <v>0</v>
      </c>
      <c r="AK95" s="39" t="n">
        <f aca="false">IF(AK$4=0,0,IF(COUNTIFS(実績!$W$6:$W$505,AK$3,実績!$AI$6:$AI$505,"&lt;="&amp;$A95,実績!$AJ$6:$AJ$505,"&gt;"&amp;$A95,実績!$AK$6:$AK$505,"○")&gt;0,1,0))</f>
        <v>0</v>
      </c>
      <c r="AL95" s="39" t="n">
        <f aca="false">IF(AL$4=0,0,IF(COUNTIFS(実績!$W$6:$W$505,AL$3,実績!$AI$6:$AI$505,"&lt;="&amp;$A95,実績!$AJ$6:$AJ$505,"&gt;"&amp;$A95,実績!$AK$6:$AK$505,"○")&gt;0,1,0))</f>
        <v>0</v>
      </c>
      <c r="AM95" s="39" t="n">
        <f aca="false">IF(AM$4=0,0,IF(COUNTIFS(実績!$W$6:$W$505,AM$3,実績!$AI$6:$AI$505,"&lt;="&amp;$A95,実績!$AJ$6:$AJ$505,"&gt;"&amp;$A95,実績!$AK$6:$AK$505,"○")&gt;0,1,0))</f>
        <v>0</v>
      </c>
      <c r="AN95" s="39" t="n">
        <f aca="false">IF(AN$4=0,0,IF(COUNTIFS(実績!$W$6:$W$505,AN$3,実績!$AI$6:$AI$505,"&lt;="&amp;$A95,実績!$AJ$6:$AJ$505,"&gt;"&amp;$A95,実績!$AK$6:$AK$505,"○")&gt;0,1,0))</f>
        <v>0</v>
      </c>
      <c r="AO95" s="39" t="n">
        <f aca="false">IF(AO$4=0,0,IF(COUNTIFS(実績!$W$6:$W$505,AO$3,実績!$AI$6:$AI$505,"&lt;="&amp;$A95,実績!$AJ$6:$AJ$505,"&gt;"&amp;$A95,実績!$AK$6:$AK$505,"○")&gt;0,1,0))</f>
        <v>0</v>
      </c>
      <c r="AP95" s="39" t="n">
        <f aca="false">IF(AP$4=0,0,IF(COUNTIFS(実績!$W$6:$W$505,AP$3,実績!$AI$6:$AI$505,"&lt;="&amp;$A95,実績!$AJ$6:$AJ$505,"&gt;"&amp;$A95,実績!$AK$6:$AK$505,"○")&gt;0,1,0))</f>
        <v>0</v>
      </c>
      <c r="AQ95" s="39" t="n">
        <f aca="false">IF(AQ$4=0,0,IF(COUNTIFS(実績!$W$6:$W$505,AQ$3,実績!$AI$6:$AI$505,"&lt;="&amp;$A95,実績!$AJ$6:$AJ$505,"&gt;"&amp;$A95,実績!$AK$6:$AK$505,"○")&gt;0,1,0))</f>
        <v>0</v>
      </c>
      <c r="AR95" s="39" t="n">
        <f aca="false">IF(AR$4=0,0,IF(COUNTIFS(実績!$W$6:$W$505,AR$3,実績!$AI$6:$AI$505,"&lt;="&amp;$A95,実績!$AJ$6:$AJ$505,"&gt;"&amp;$A95,実績!$AK$6:$AK$505,"○")&gt;0,1,0))</f>
        <v>0</v>
      </c>
      <c r="AS95" s="39" t="n">
        <f aca="false">IF(AS$4=0,0,IF(COUNTIFS(実績!$W$6:$W$505,AS$3,実績!$AI$6:$AI$505,"&lt;="&amp;$A95,実績!$AJ$6:$AJ$505,"&gt;"&amp;$A95,実績!$AK$6:$AK$505,"○")&gt;0,1,0))</f>
        <v>0</v>
      </c>
      <c r="AT95" s="39" t="n">
        <f aca="false">IF(AT$4=0,0,IF(COUNTIFS(実績!$W$6:$W$505,AT$3,実績!$AI$6:$AI$505,"&lt;="&amp;$A95,実績!$AJ$6:$AJ$505,"&gt;"&amp;$A95,実績!$AK$6:$AK$505,"○")&gt;0,1,0))</f>
        <v>0</v>
      </c>
      <c r="AU95" s="39" t="n">
        <f aca="false">IF(AU$4=0,0,IF(COUNTIFS(実績!$W$6:$W$505,AU$3,実績!$AI$6:$AI$505,"&lt;="&amp;$A95,実績!$AJ$6:$AJ$505,"&gt;"&amp;$A95,実績!$AK$6:$AK$505,"○")&gt;0,1,0))</f>
        <v>0</v>
      </c>
      <c r="AV95" s="39" t="n">
        <f aca="false">IF(AV$4=0,0,IF(COUNTIFS(実績!$W$6:$W$505,AV$3,実績!$AI$6:$AI$505,"&lt;="&amp;$A95,実績!$AJ$6:$AJ$505,"&gt;"&amp;$A95,実績!$AK$6:$AK$505,"○")&gt;0,1,0))</f>
        <v>0</v>
      </c>
      <c r="AW95" s="39" t="n">
        <f aca="false">IF(AW$4=0,0,IF(COUNTIFS(実績!$W$6:$W$505,AW$3,実績!$AI$6:$AI$505,"&lt;="&amp;$A95,実績!$AJ$6:$AJ$505,"&gt;"&amp;$A95,実績!$AK$6:$AK$505,"○")&gt;0,1,0))</f>
        <v>0</v>
      </c>
      <c r="AX95" s="39" t="n">
        <f aca="false">IF(AX$4=0,0,IF(COUNTIFS(実績!$W$6:$W$505,AX$3,実績!$AI$6:$AI$505,"&lt;="&amp;$A95,実績!$AJ$6:$AJ$505,"&gt;"&amp;$A95,実績!$AK$6:$AK$505,"○")&gt;0,1,0))</f>
        <v>0</v>
      </c>
      <c r="AY95" s="39" t="n">
        <f aca="false">IF(AY$4=0,0,IF(COUNTIFS(実績!$W$6:$W$505,AY$3,実績!$AI$6:$AI$505,"&lt;="&amp;$A95,実績!$AJ$6:$AJ$505,"&gt;"&amp;$A95,実績!$AK$6:$AK$505,"○")&gt;0,1,0))</f>
        <v>0</v>
      </c>
      <c r="AZ95" s="39" t="n">
        <f aca="false">IF(AZ$4=0,0,IF(COUNTIFS(実績!$W$6:$W$505,AZ$3,実績!$AI$6:$AI$505,"&lt;="&amp;$A95,実績!$AJ$6:$AJ$505,"&gt;"&amp;$A95,実績!$AK$6:$AK$505,"○")&gt;0,1,0))</f>
        <v>0</v>
      </c>
      <c r="BA95" s="39" t="n">
        <f aca="false">IF(BA$4=0,0,IF(COUNTIFS(実績!$W$6:$W$505,BA$3,実績!$AI$6:$AI$505,"&lt;="&amp;$A95,実績!$AJ$6:$AJ$505,"&gt;"&amp;$A95,実績!$AK$6:$AK$505,"○")&gt;0,1,0))</f>
        <v>0</v>
      </c>
      <c r="BB95" s="39" t="n">
        <f aca="false">IF(BB$4=0,0,IF(COUNTIFS(実績!$W$6:$W$505,BB$3,実績!$AI$6:$AI$505,"&lt;="&amp;$A95,実績!$AJ$6:$AJ$505,"&gt;"&amp;$A95,実績!$AK$6:$AK$505,"○")&gt;0,1,0))</f>
        <v>0</v>
      </c>
      <c r="BC95" s="39" t="n">
        <f aca="false">IF(BC$4=0,0,IF(COUNTIFS(実績!$W$6:$W$505,BC$3,実績!$AI$6:$AI$505,"&lt;="&amp;$A95,実績!$AJ$6:$AJ$505,"&gt;"&amp;$A95,実績!$AK$6:$AK$505,"○")&gt;0,1,0))</f>
        <v>0</v>
      </c>
      <c r="BD95" s="39" t="n">
        <f aca="false">IF(BD$4=0,0,IF(COUNTIFS(実績!$W$6:$W$505,BD$3,実績!$AI$6:$AI$505,"&lt;="&amp;$A95,実績!$AJ$6:$AJ$505,"&gt;"&amp;$A95,実績!$AK$6:$AK$505,"○")&gt;0,1,0))</f>
        <v>0</v>
      </c>
      <c r="BE95" s="39" t="n">
        <f aca="false">IF(BE$4=0,0,IF(COUNTIFS(実績!$W$6:$W$505,BE$3,実績!$AI$6:$AI$505,"&lt;="&amp;$A95,実績!$AJ$6:$AJ$505,"&gt;"&amp;$A95,実績!$AK$6:$AK$505,"○")&gt;0,1,0))</f>
        <v>0</v>
      </c>
      <c r="BF95" s="39" t="n">
        <f aca="false">IF(BF$4=0,0,IF(COUNTIFS(実績!$W$6:$W$505,BF$3,実績!$AI$6:$AI$505,"&lt;="&amp;$A95,実績!$AJ$6:$AJ$505,"&gt;"&amp;$A95,実績!$AK$6:$AK$505,"○")&gt;0,1,0))</f>
        <v>0</v>
      </c>
      <c r="BG95" s="39" t="n">
        <f aca="false">IF(BG$4=0,0,IF(COUNTIFS(実績!$W$6:$W$505,BG$3,実績!$AI$6:$AI$505,"&lt;="&amp;$A95,実績!$AJ$6:$AJ$505,"&gt;"&amp;$A95,実績!$AK$6:$AK$505,"○")&gt;0,1,0))</f>
        <v>0</v>
      </c>
      <c r="BH95" s="39" t="n">
        <f aca="false">IF(BH$4=0,0,IF(COUNTIFS(実績!$W$6:$W$505,BH$3,実績!$AI$6:$AI$505,"&lt;="&amp;$A95,実績!$AJ$6:$AJ$505,"&gt;"&amp;$A95,実績!$AK$6:$AK$505,"○")&gt;0,1,0))</f>
        <v>0</v>
      </c>
      <c r="BI95" s="39" t="n">
        <f aca="false">IF(BI$4=0,0,IF(COUNTIFS(実績!$W$6:$W$505,BI$3,実績!$AI$6:$AI$505,"&lt;="&amp;$A95,実績!$AJ$6:$AJ$505,"&gt;"&amp;$A95,実績!$AK$6:$AK$505,"○")&gt;0,1,0))</f>
        <v>0</v>
      </c>
      <c r="BJ95" s="39" t="n">
        <f aca="false">IF(BJ$4=0,0,IF(COUNTIFS(実績!$W$6:$W$505,BJ$3,実績!$AI$6:$AI$505,"&lt;="&amp;$A95,実績!$AJ$6:$AJ$505,"&gt;"&amp;$A95,実績!$AK$6:$AK$505,"○")&gt;0,1,0))</f>
        <v>0</v>
      </c>
      <c r="BK95" s="39" t="n">
        <f aca="false">IF(BK$4=0,0,IF(COUNTIFS(実績!$W$6:$W$505,BK$3,実績!$AI$6:$AI$505,"&lt;="&amp;$A95,実績!$AJ$6:$AJ$505,"&gt;"&amp;$A95,実績!$AK$6:$AK$505,"○")&gt;0,1,0))</f>
        <v>0</v>
      </c>
      <c r="BL95" s="39" t="n">
        <f aca="false">IF(BL$4=0,0,IF(COUNTIFS(実績!$W$6:$W$505,BL$3,実績!$AI$6:$AI$505,"&lt;="&amp;$A95,実績!$AJ$6:$AJ$505,"&gt;"&amp;$A95,実績!$AK$6:$AK$505,"○")&gt;0,1,0))</f>
        <v>0</v>
      </c>
      <c r="BM95" s="39" t="n">
        <f aca="false">IF(BM$4=0,0,IF(COUNTIFS(実績!$W$6:$W$505,BM$3,実績!$AI$6:$AI$505,"&lt;="&amp;$A95,実績!$AJ$6:$AJ$505,"&gt;"&amp;$A95,実績!$AK$6:$AK$505,"○")&gt;0,1,0))</f>
        <v>0</v>
      </c>
      <c r="BN95" s="39" t="n">
        <f aca="false">IF(BN$4=0,0,IF(COUNTIFS(実績!$W$6:$W$505,BN$3,実績!$AI$6:$AI$505,"&lt;="&amp;$A95,実績!$AJ$6:$AJ$505,"&gt;"&amp;$A95,実績!$AK$6:$AK$505,"○")&gt;0,1,0))</f>
        <v>0</v>
      </c>
      <c r="BO95" s="39" t="n">
        <f aca="false">IF(BO$4=0,0,IF(COUNTIFS(実績!$W$6:$W$505,BO$3,実績!$AI$6:$AI$505,"&lt;="&amp;$A95,実績!$AJ$6:$AJ$505,"&gt;"&amp;$A95,実績!$AK$6:$AK$505,"○")&gt;0,1,0))</f>
        <v>0</v>
      </c>
      <c r="BP95" s="39" t="n">
        <f aca="false">IF(BP$4=0,0,IF(COUNTIFS(実績!$W$6:$W$505,BP$3,実績!$AI$6:$AI$505,"&lt;="&amp;$A95,実績!$AJ$6:$AJ$505,"&gt;"&amp;$A95,実績!$AK$6:$AK$505,"○")&gt;0,1,0))</f>
        <v>0</v>
      </c>
      <c r="BQ95" s="39" t="n">
        <f aca="false">IF(BQ$4=0,0,IF(COUNTIFS(実績!$W$6:$W$505,BQ$3,実績!$AI$6:$AI$505,"&lt;="&amp;$A95,実績!$AJ$6:$AJ$505,"&gt;"&amp;$A95,実績!$AK$6:$AK$505,"○")&gt;0,1,0))</f>
        <v>0</v>
      </c>
      <c r="BR95" s="39" t="n">
        <f aca="false">IF(BR$4=0,0,IF(COUNTIFS(実績!$W$6:$W$505,BR$3,実績!$AI$6:$AI$505,"&lt;="&amp;$A95,実績!$AJ$6:$AJ$505,"&gt;"&amp;$A95,実績!$AK$6:$AK$505,"○")&gt;0,1,0))</f>
        <v>0</v>
      </c>
      <c r="BS95" s="39" t="n">
        <f aca="false">IF(BS$4=0,0,IF(COUNTIFS(実績!$W$6:$W$505,BS$3,実績!$AI$6:$AI$505,"&lt;="&amp;$A95,実績!$AJ$6:$AJ$505,"&gt;"&amp;$A95,実績!$AK$6:$AK$505,"○")&gt;0,1,0))</f>
        <v>0</v>
      </c>
      <c r="BT95" s="39" t="n">
        <f aca="false">IF(BT$4=0,0,IF(COUNTIFS(実績!$W$6:$W$505,BT$3,実績!$AI$6:$AI$505,"&lt;="&amp;$A95,実績!$AJ$6:$AJ$505,"&gt;"&amp;$A95,実績!$AK$6:$AK$505,"○")&gt;0,1,0))</f>
        <v>0</v>
      </c>
      <c r="BU95" s="39" t="n">
        <f aca="false">IF(BU$4=0,0,IF(COUNTIFS(実績!$W$6:$W$505,BU$3,実績!$AI$6:$AI$505,"&lt;="&amp;$A95,実績!$AJ$6:$AJ$505,"&gt;"&amp;$A95,実績!$AK$6:$AK$505,"○")&gt;0,1,0))</f>
        <v>0</v>
      </c>
      <c r="BV95" s="39" t="n">
        <f aca="false">IF(BV$4=0,0,IF(COUNTIFS(実績!$W$6:$W$505,BV$3,実績!$AI$6:$AI$505,"&lt;="&amp;$A95,実績!$AJ$6:$AJ$505,"&gt;"&amp;$A95,実績!$AK$6:$AK$505,"○")&gt;0,1,0))</f>
        <v>0</v>
      </c>
      <c r="BW95" s="39" t="n">
        <f aca="false">IF(BW$4=0,0,IF(COUNTIFS(実績!$W$6:$W$505,BW$3,実績!$AI$6:$AI$505,"&lt;="&amp;$A95,実績!$AJ$6:$AJ$505,"&gt;"&amp;$A95,実績!$AK$6:$AK$505,"○")&gt;0,1,0))</f>
        <v>0</v>
      </c>
      <c r="BX95" s="39" t="n">
        <f aca="false">IF(BX$4=0,0,IF(COUNTIFS(実績!$W$6:$W$505,BX$3,実績!$AI$6:$AI$505,"&lt;="&amp;$A95,実績!$AJ$6:$AJ$505,"&gt;"&amp;$A95,実績!$AK$6:$AK$505,"○")&gt;0,1,0))</f>
        <v>0</v>
      </c>
      <c r="BY95" s="39" t="n">
        <f aca="false">IF(BY$4=0,0,IF(COUNTIFS(実績!$W$6:$W$505,BY$3,実績!$AI$6:$AI$505,"&lt;="&amp;$A95,実績!$AJ$6:$AJ$505,"&gt;"&amp;$A95,実績!$AK$6:$AK$505,"○")&gt;0,1,0))</f>
        <v>0</v>
      </c>
      <c r="BZ95" s="39" t="n">
        <f aca="false">IF(BZ$4=0,0,IF(COUNTIFS(実績!$W$6:$W$505,BZ$3,実績!$AI$6:$AI$505,"&lt;="&amp;$A95,実績!$AJ$6:$AJ$505,"&gt;"&amp;$A95,実績!$AK$6:$AK$505,"○")&gt;0,1,0))</f>
        <v>0</v>
      </c>
      <c r="CA95" s="39" t="n">
        <f aca="false">IF(CA$4=0,0,IF(COUNTIFS(実績!$W$6:$W$505,CA$3,実績!$AI$6:$AI$505,"&lt;="&amp;$A95,実績!$AJ$6:$AJ$505,"&gt;"&amp;$A95,実績!$AK$6:$AK$505,"○")&gt;0,1,0))</f>
        <v>0</v>
      </c>
      <c r="CB95" s="39" t="n">
        <f aca="false">IF(CB$4=0,0,IF(COUNTIFS(実績!$W$6:$W$505,CB$3,実績!$AI$6:$AI$505,"&lt;="&amp;$A95,実績!$AJ$6:$AJ$505,"&gt;"&amp;$A95,実績!$AK$6:$AK$505,"○")&gt;0,1,0))</f>
        <v>0</v>
      </c>
      <c r="CC95" s="39" t="n">
        <f aca="false">IF(CC$4=0,0,IF(COUNTIFS(実績!$W$6:$W$505,CC$3,実績!$AI$6:$AI$505,"&lt;="&amp;$A95,実績!$AJ$6:$AJ$505,"&gt;"&amp;$A95,実績!$AK$6:$AK$505,"○")&gt;0,1,0))</f>
        <v>0</v>
      </c>
      <c r="CD95" s="39" t="n">
        <f aca="false">IF(CD$4=0,0,IF(COUNTIFS(実績!$W$6:$W$505,CD$3,実績!$AI$6:$AI$505,"&lt;="&amp;$A95,実績!$AJ$6:$AJ$505,"&gt;"&amp;$A95,実績!$AK$6:$AK$505,"○")&gt;0,1,0))</f>
        <v>0</v>
      </c>
      <c r="CE95" s="39" t="n">
        <f aca="false">IF(CE$4=0,0,IF(COUNTIFS(実績!$W$6:$W$505,CE$3,実績!$AI$6:$AI$505,"&lt;="&amp;$A95,実績!$AJ$6:$AJ$505,"&gt;"&amp;$A95,実績!$AK$6:$AK$505,"○")&gt;0,1,0))</f>
        <v>0</v>
      </c>
      <c r="CF95" s="39" t="n">
        <f aca="false">IF(CF$4=0,0,IF(COUNTIFS(実績!$W$6:$W$505,CF$3,実績!$AI$6:$AI$505,"&lt;="&amp;$A95,実績!$AJ$6:$AJ$505,"&gt;"&amp;$A95,実績!$AK$6:$AK$505,"○")&gt;0,1,0))</f>
        <v>0</v>
      </c>
      <c r="CG95" s="39" t="n">
        <f aca="false">IF(CG$4=0,0,IF(COUNTIFS(実績!$W$6:$W$505,CG$3,実績!$AI$6:$AI$505,"&lt;="&amp;$A95,実績!$AJ$6:$AJ$505,"&gt;"&amp;$A95,実績!$AK$6:$AK$505,"○")&gt;0,1,0))</f>
        <v>0</v>
      </c>
      <c r="CH95" s="39" t="n">
        <f aca="false">IF(CH$4=0,0,IF(COUNTIFS(実績!$W$6:$W$505,CH$3,実績!$AI$6:$AI$505,"&lt;="&amp;$A95,実績!$AJ$6:$AJ$505,"&gt;"&amp;$A95,実績!$AK$6:$AK$505,"○")&gt;0,1,0))</f>
        <v>0</v>
      </c>
      <c r="CI95" s="39" t="n">
        <f aca="false">IF(CI$4=0,0,IF(COUNTIFS(実績!$W$6:$W$505,CI$3,実績!$AI$6:$AI$505,"&lt;="&amp;$A95,実績!$AJ$6:$AJ$505,"&gt;"&amp;$A95,実績!$AK$6:$AK$505,"○")&gt;0,1,0))</f>
        <v>0</v>
      </c>
      <c r="CJ95" s="39" t="n">
        <f aca="false">IF(CJ$4=0,0,IF(COUNTIFS(実績!$W$6:$W$505,CJ$3,実績!$AI$6:$AI$505,"&lt;="&amp;$A95,実績!$AJ$6:$AJ$505,"&gt;"&amp;$A95,実績!$AK$6:$AK$505,"○")&gt;0,1,0))</f>
        <v>0</v>
      </c>
      <c r="CK95" s="39" t="n">
        <f aca="false">IF(CK$4=0,0,IF(COUNTIFS(実績!$W$6:$W$505,CK$3,実績!$AI$6:$AI$505,"&lt;="&amp;$A95,実績!$AJ$6:$AJ$505,"&gt;"&amp;$A95,実績!$AK$6:$AK$505,"○")&gt;0,1,0))</f>
        <v>0</v>
      </c>
      <c r="CL95" s="39" t="n">
        <f aca="false">IF(CL$4=0,0,IF(COUNTIFS(実績!$W$6:$W$505,CL$3,実績!$AI$6:$AI$505,"&lt;="&amp;$A95,実績!$AJ$6:$AJ$505,"&gt;"&amp;$A95,実績!$AK$6:$AK$505,"○")&gt;0,1,0))</f>
        <v>0</v>
      </c>
      <c r="CM95" s="39" t="n">
        <f aca="false">IF(CM$4=0,0,IF(COUNTIFS(実績!$W$6:$W$505,CM$3,実績!$AI$6:$AI$505,"&lt;="&amp;$A95,実績!$AJ$6:$AJ$505,"&gt;"&amp;$A95,実績!$AK$6:$AK$505,"○")&gt;0,1,0))</f>
        <v>0</v>
      </c>
      <c r="CN95" s="39" t="n">
        <f aca="false">IF(CN$4=0,0,IF(COUNTIFS(実績!$W$6:$W$505,CN$3,実績!$AI$6:$AI$505,"&lt;="&amp;$A95,実績!$AJ$6:$AJ$505,"&gt;"&amp;$A95,実績!$AK$6:$AK$505,"○")&gt;0,1,0))</f>
        <v>0</v>
      </c>
      <c r="CO95" s="39" t="n">
        <f aca="false">IF(CO$4=0,0,IF(COUNTIFS(実績!$W$6:$W$505,CO$3,実績!$AI$6:$AI$505,"&lt;="&amp;$A95,実績!$AJ$6:$AJ$505,"&gt;"&amp;$A95,実績!$AK$6:$AK$505,"○")&gt;0,1,0))</f>
        <v>0</v>
      </c>
      <c r="CP95" s="39" t="n">
        <f aca="false">IF(CP$4=0,0,IF(COUNTIFS(実績!$W$6:$W$505,CP$3,実績!$AI$6:$AI$505,"&lt;="&amp;$A95,実績!$AJ$6:$AJ$505,"&gt;"&amp;$A95,実績!$AK$6:$AK$505,"○")&gt;0,1,0))</f>
        <v>0</v>
      </c>
      <c r="CQ95" s="39" t="n">
        <f aca="false">IF(CQ$4=0,0,IF(COUNTIFS(実績!$W$6:$W$505,CQ$3,実績!$AI$6:$AI$505,"&lt;="&amp;$A95,実績!$AJ$6:$AJ$505,"&gt;"&amp;$A95,実績!$AK$6:$AK$505,"○")&gt;0,1,0))</f>
        <v>0</v>
      </c>
      <c r="CR95" s="39" t="n">
        <f aca="false">IF(CR$4=0,0,IF(COUNTIFS(実績!$W$6:$W$505,CR$3,実績!$AI$6:$AI$505,"&lt;="&amp;$A95,実績!$AJ$6:$AJ$505,"&gt;"&amp;$A95,実績!$AK$6:$AK$505,"○")&gt;0,1,0))</f>
        <v>0</v>
      </c>
      <c r="CS95" s="39" t="n">
        <f aca="false">IF(CS$4=0,0,IF(COUNTIFS(実績!$W$6:$W$505,CS$3,実績!$AI$6:$AI$505,"&lt;="&amp;$A95,実績!$AJ$6:$AJ$505,"&gt;"&amp;$A95,実績!$AK$6:$AK$505,"○")&gt;0,1,0))</f>
        <v>0</v>
      </c>
      <c r="CT95" s="39" t="n">
        <f aca="false">IF(CT$4=0,0,IF(COUNTIFS(実績!$W$6:$W$505,CT$3,実績!$AI$6:$AI$505,"&lt;="&amp;$A95,実績!$AJ$6:$AJ$505,"&gt;"&amp;$A95,実績!$AK$6:$AK$505,"○")&gt;0,1,0))</f>
        <v>0</v>
      </c>
      <c r="CU95" s="39" t="n">
        <f aca="false">IF(CU$4=0,0,IF(COUNTIFS(実績!$W$6:$W$505,CU$3,実績!$AI$6:$AI$505,"&lt;="&amp;$A95,実績!$AJ$6:$AJ$505,"&gt;"&amp;$A95,実績!$AK$6:$AK$505,"○")&gt;0,1,0))</f>
        <v>0</v>
      </c>
      <c r="CV95" s="39" t="n">
        <f aca="false">IF(CV$4=0,0,IF(COUNTIFS(実績!$W$6:$W$505,CV$3,実績!$AI$6:$AI$505,"&lt;="&amp;$A95,実績!$AJ$6:$AJ$505,"&gt;"&amp;$A95,実績!$AK$6:$AK$505,"○")&gt;0,1,0))</f>
        <v>0</v>
      </c>
      <c r="CW95" s="39" t="n">
        <f aca="false">IF(CW$4=0,0,IF(COUNTIFS(実績!$W$6:$W$505,CW$3,実績!$AI$6:$AI$505,"&lt;="&amp;$A95,実績!$AJ$6:$AJ$505,"&gt;"&amp;$A95,実績!$AK$6:$AK$505,"○")&gt;0,1,0))</f>
        <v>0</v>
      </c>
      <c r="CX95" s="39" t="n">
        <f aca="false">IF(CX$4=0,0,IF(COUNTIFS(実績!$W$6:$W$505,CX$3,実績!$AI$6:$AI$505,"&lt;="&amp;$A95,実績!$AJ$6:$AJ$505,"&gt;"&amp;$A95,実績!$AK$6:$AK$505,"○")&gt;0,1,0))</f>
        <v>0</v>
      </c>
      <c r="CY95" s="39" t="n">
        <f aca="false">IF(CY$4=0,0,IF(COUNTIFS(実績!$W$6:$W$505,CY$3,実績!$AI$6:$AI$505,"&lt;="&amp;$A95,実績!$AJ$6:$AJ$505,"&gt;"&amp;$A95,実績!$AK$6:$AK$505,"○")&gt;0,1,0))</f>
        <v>0</v>
      </c>
      <c r="CZ95" s="39" t="n">
        <f aca="false">IF(CZ$4=0,0,IF(COUNTIFS(実績!$W$6:$W$505,CZ$3,実績!$AI$6:$AI$505,"&lt;="&amp;$A95,実績!$AJ$6:$AJ$505,"&gt;"&amp;$A95,実績!$AK$6:$AK$505,"○")&gt;0,1,0))</f>
        <v>0</v>
      </c>
      <c r="DA95" s="39" t="n">
        <f aca="false">IF(DA$4=0,0,IF(COUNTIFS(実績!$W$6:$W$505,DA$3,実績!$AI$6:$AI$505,"&lt;="&amp;$A95,実績!$AJ$6:$AJ$505,"&gt;"&amp;$A95,実績!$AK$6:$AK$505,"○")&gt;0,1,0))</f>
        <v>0</v>
      </c>
      <c r="DB95" s="39" t="n">
        <f aca="false">IF(DB$4=0,0,IF(COUNTIFS(実績!$W$6:$W$505,DB$3,実績!$AI$6:$AI$505,"&lt;="&amp;$A95,実績!$AJ$6:$AJ$505,"&gt;"&amp;$A95,実績!$AK$6:$AK$505,"○")&gt;0,1,0))</f>
        <v>0</v>
      </c>
      <c r="DC95" s="39" t="n">
        <f aca="false">IF(DC$4=0,0,IF(COUNTIFS(実績!$W$6:$W$505,DC$3,実績!$AI$6:$AI$505,"&lt;="&amp;$A95,実績!$AJ$6:$AJ$505,"&gt;"&amp;$A95,実績!$AK$6:$AK$505,"○")&gt;0,1,0))</f>
        <v>0</v>
      </c>
      <c r="DD95" s="39" t="n">
        <f aca="false">IF(DD$4=0,0,IF(COUNTIFS(実績!$W$6:$W$505,DD$3,実績!$AI$6:$AI$505,"&lt;="&amp;$A95,実績!$AJ$6:$AJ$505,"&gt;"&amp;$A95,実績!$AK$6:$AK$505,"○")&gt;0,1,0))</f>
        <v>0</v>
      </c>
      <c r="DE95" s="39" t="n">
        <f aca="false">IF(DE$4=0,0,IF(COUNTIFS(実績!$W$6:$W$505,DE$3,実績!$AI$6:$AI$505,"&lt;="&amp;$A95,実績!$AJ$6:$AJ$505,"&gt;"&amp;$A95,実績!$AK$6:$AK$505,"○")&gt;0,1,0))</f>
        <v>0</v>
      </c>
      <c r="DF95" s="39" t="n">
        <f aca="false">IF(DF$4=0,0,IF(COUNTIFS(実績!$W$6:$W$505,DF$3,実績!$AI$6:$AI$505,"&lt;="&amp;$A95,実績!$AJ$6:$AJ$505,"&gt;"&amp;$A95,実績!$AK$6:$AK$505,"○")&gt;0,1,0))</f>
        <v>0</v>
      </c>
      <c r="DG95" s="39" t="n">
        <f aca="false">IF(DG$4=0,0,IF(COUNTIFS(実績!$W$6:$W$505,DG$3,実績!$AI$6:$AI$505,"&lt;="&amp;$A95,実績!$AJ$6:$AJ$505,"&gt;"&amp;$A95,実績!$AK$6:$AK$505,"○")&gt;0,1,0))</f>
        <v>0</v>
      </c>
      <c r="DH95" s="39" t="n">
        <f aca="false">IF(DH$4=0,0,IF(COUNTIFS(実績!$W$6:$W$505,DH$3,実績!$AI$6:$AI$505,"&lt;="&amp;$A95,実績!$AJ$6:$AJ$505,"&gt;"&amp;$A95,実績!$AK$6:$AK$505,"○")&gt;0,1,0))</f>
        <v>0</v>
      </c>
      <c r="DI95" s="39" t="n">
        <f aca="false">IF(DI$4=0,0,IF(COUNTIFS(実績!$W$6:$W$505,DI$3,実績!$AI$6:$AI$505,"&lt;="&amp;$A95,実績!$AJ$6:$AJ$505,"&gt;"&amp;$A95,実績!$AK$6:$AK$505,"○")&gt;0,1,0))</f>
        <v>0</v>
      </c>
      <c r="DJ95" s="39" t="n">
        <f aca="false">IF(DJ$4=0,0,IF(COUNTIFS(実績!$W$6:$W$505,DJ$3,実績!$AI$6:$AI$505,"&lt;="&amp;$A95,実績!$AJ$6:$AJ$505,"&gt;"&amp;$A95,実績!$AK$6:$AK$505,"○")&gt;0,1,0))</f>
        <v>0</v>
      </c>
      <c r="DK95" s="39" t="n">
        <f aca="false">IF(DK$4=0,0,IF(COUNTIFS(実績!$W$6:$W$505,DK$3,実績!$AI$6:$AI$505,"&lt;="&amp;$A95,実績!$AJ$6:$AJ$505,"&gt;"&amp;$A95,実績!$AK$6:$AK$505,"○")&gt;0,1,0))</f>
        <v>0</v>
      </c>
      <c r="DL95" s="39" t="n">
        <f aca="false">IF(DL$4=0,0,IF(COUNTIFS(実績!$W$6:$W$505,DL$3,実績!$AI$6:$AI$505,"&lt;="&amp;$A95,実績!$AJ$6:$AJ$505,"&gt;"&amp;$A95,実績!$AK$6:$AK$505,"○")&gt;0,1,0))</f>
        <v>0</v>
      </c>
      <c r="DM95" s="39" t="n">
        <f aca="false">IF(DM$4=0,0,IF(COUNTIFS(実績!$W$6:$W$505,DM$3,実績!$AI$6:$AI$505,"&lt;="&amp;$A95,実績!$AJ$6:$AJ$505,"&gt;"&amp;$A95,実績!$AK$6:$AK$505,"○")&gt;0,1,0))</f>
        <v>0</v>
      </c>
      <c r="DN95" s="39" t="n">
        <f aca="false">IF(DN$4=0,0,IF(COUNTIFS(実績!$W$6:$W$505,DN$3,実績!$AI$6:$AI$505,"&lt;="&amp;$A95,実績!$AJ$6:$AJ$505,"&gt;"&amp;$A95,実績!$AK$6:$AK$505,"○")&gt;0,1,0))</f>
        <v>0</v>
      </c>
      <c r="DO95" s="39" t="n">
        <f aca="false">IF(DO$4=0,0,IF(COUNTIFS(実績!$W$6:$W$505,DO$3,実績!$AI$6:$AI$505,"&lt;="&amp;$A95,実績!$AJ$6:$AJ$505,"&gt;"&amp;$A95,実績!$AK$6:$AK$505,"○")&gt;0,1,0))</f>
        <v>0</v>
      </c>
      <c r="DP95" s="39" t="n">
        <f aca="false">IF(DP$4=0,0,IF(COUNTIFS(実績!$W$6:$W$505,DP$3,実績!$AI$6:$AI$505,"&lt;="&amp;$A95,実績!$AJ$6:$AJ$505,"&gt;"&amp;$A95,実績!$AK$6:$AK$505,"○")&gt;0,1,0))</f>
        <v>0</v>
      </c>
      <c r="DQ95" s="39" t="n">
        <f aca="false">IF(DQ$4=0,0,IF(COUNTIFS(実績!$W$6:$W$505,DQ$3,実績!$AI$6:$AI$505,"&lt;="&amp;$A95,実績!$AJ$6:$AJ$505,"&gt;"&amp;$A95,実績!$AK$6:$AK$505,"○")&gt;0,1,0))</f>
        <v>0</v>
      </c>
      <c r="DR95" s="39" t="n">
        <f aca="false">IF(DR$4=0,0,IF(COUNTIFS(実績!$W$6:$W$505,DR$3,実績!$AI$6:$AI$505,"&lt;="&amp;$A95,実績!$AJ$6:$AJ$505,"&gt;"&amp;$A95,実績!$AK$6:$AK$505,"○")&gt;0,1,0))</f>
        <v>0</v>
      </c>
      <c r="DS95" s="39" t="n">
        <f aca="false">SUM(C95:DR95)</f>
        <v>0</v>
      </c>
      <c r="DT95" s="39" t="n">
        <f aca="false">SUMPRODUCT((実績!$C$6:$C$505="○")*ISNUMBER(実績!$AM$6:$AM$505)*(実績!$AM$6:$AM$505&lt;=$A95)*(実績!$AN$6:$AN$505&gt;$A95))</f>
        <v>0</v>
      </c>
      <c r="DU95" s="39" t="n">
        <f aca="false">SUMIF($C$2:$DR$2,"製鉄曳船",C95:DR95)</f>
        <v>0</v>
      </c>
      <c r="DV95" s="39" t="n">
        <f aca="false">SUMIF($C$2:$DR$2,"西日本海運",C95:DR95)</f>
        <v>0</v>
      </c>
    </row>
    <row r="96" customFormat="false" ht="15" hidden="false" customHeight="false" outlineLevel="0" collapsed="false">
      <c r="A96" s="0" t="n">
        <v>450</v>
      </c>
      <c r="B96" s="38" t="n">
        <f aca="false">A96/1440</f>
        <v>0.3125</v>
      </c>
      <c r="C96" s="39" t="n">
        <f aca="false">IF(C$4=0,0,IF(COUNTIFS(実績!$W$6:$W$505,C$3,実績!$AI$6:$AI$505,"&lt;="&amp;$A96,実績!$AJ$6:$AJ$505,"&gt;"&amp;$A96,実績!$AK$6:$AK$505,"○")&gt;0,1,0))</f>
        <v>0</v>
      </c>
      <c r="D96" s="39" t="n">
        <f aca="false">IF(D$4=0,0,IF(COUNTIFS(実績!$W$6:$W$505,D$3,実績!$AI$6:$AI$505,"&lt;="&amp;$A96,実績!$AJ$6:$AJ$505,"&gt;"&amp;$A96,実績!$AK$6:$AK$505,"○")&gt;0,1,0))</f>
        <v>0</v>
      </c>
      <c r="E96" s="39" t="n">
        <f aca="false">IF(E$4=0,0,IF(COUNTIFS(実績!$W$6:$W$505,E$3,実績!$AI$6:$AI$505,"&lt;="&amp;$A96,実績!$AJ$6:$AJ$505,"&gt;"&amp;$A96,実績!$AK$6:$AK$505,"○")&gt;0,1,0))</f>
        <v>0</v>
      </c>
      <c r="F96" s="39" t="n">
        <f aca="false">IF(F$4=0,0,IF(COUNTIFS(実績!$W$6:$W$505,F$3,実績!$AI$6:$AI$505,"&lt;="&amp;$A96,実績!$AJ$6:$AJ$505,"&gt;"&amp;$A96,実績!$AK$6:$AK$505,"○")&gt;0,1,0))</f>
        <v>0</v>
      </c>
      <c r="G96" s="39" t="n">
        <f aca="false">IF(G$4=0,0,IF(COUNTIFS(実績!$W$6:$W$505,G$3,実績!$AI$6:$AI$505,"&lt;="&amp;$A96,実績!$AJ$6:$AJ$505,"&gt;"&amp;$A96,実績!$AK$6:$AK$505,"○")&gt;0,1,0))</f>
        <v>0</v>
      </c>
      <c r="H96" s="39" t="n">
        <f aca="false">IF(H$4=0,0,IF(COUNTIFS(実績!$W$6:$W$505,H$3,実績!$AI$6:$AI$505,"&lt;="&amp;$A96,実績!$AJ$6:$AJ$505,"&gt;"&amp;$A96,実績!$AK$6:$AK$505,"○")&gt;0,1,0))</f>
        <v>0</v>
      </c>
      <c r="I96" s="39" t="n">
        <f aca="false">IF(I$4=0,0,IF(COUNTIFS(実績!$W$6:$W$505,I$3,実績!$AI$6:$AI$505,"&lt;="&amp;$A96,実績!$AJ$6:$AJ$505,"&gt;"&amp;$A96,実績!$AK$6:$AK$505,"○")&gt;0,1,0))</f>
        <v>0</v>
      </c>
      <c r="J96" s="39" t="n">
        <f aca="false">IF(J$4=0,0,IF(COUNTIFS(実績!$W$6:$W$505,J$3,実績!$AI$6:$AI$505,"&lt;="&amp;$A96,実績!$AJ$6:$AJ$505,"&gt;"&amp;$A96,実績!$AK$6:$AK$505,"○")&gt;0,1,0))</f>
        <v>0</v>
      </c>
      <c r="K96" s="39" t="n">
        <f aca="false">IF(K$4=0,0,IF(COUNTIFS(実績!$W$6:$W$505,K$3,実績!$AI$6:$AI$505,"&lt;="&amp;$A96,実績!$AJ$6:$AJ$505,"&gt;"&amp;$A96,実績!$AK$6:$AK$505,"○")&gt;0,1,0))</f>
        <v>0</v>
      </c>
      <c r="L96" s="39" t="n">
        <f aca="false">IF(L$4=0,0,IF(COUNTIFS(実績!$W$6:$W$505,L$3,実績!$AI$6:$AI$505,"&lt;="&amp;$A96,実績!$AJ$6:$AJ$505,"&gt;"&amp;$A96,実績!$AK$6:$AK$505,"○")&gt;0,1,0))</f>
        <v>0</v>
      </c>
      <c r="M96" s="39" t="n">
        <f aca="false">IF(M$4=0,0,IF(COUNTIFS(実績!$W$6:$W$505,M$3,実績!$AI$6:$AI$505,"&lt;="&amp;$A96,実績!$AJ$6:$AJ$505,"&gt;"&amp;$A96,実績!$AK$6:$AK$505,"○")&gt;0,1,0))</f>
        <v>0</v>
      </c>
      <c r="N96" s="39" t="n">
        <f aca="false">IF(N$4=0,0,IF(COUNTIFS(実績!$W$6:$W$505,N$3,実績!$AI$6:$AI$505,"&lt;="&amp;$A96,実績!$AJ$6:$AJ$505,"&gt;"&amp;$A96,実績!$AK$6:$AK$505,"○")&gt;0,1,0))</f>
        <v>0</v>
      </c>
      <c r="O96" s="39" t="n">
        <f aca="false">IF(O$4=0,0,IF(COUNTIFS(実績!$W$6:$W$505,O$3,実績!$AI$6:$AI$505,"&lt;="&amp;$A96,実績!$AJ$6:$AJ$505,"&gt;"&amp;$A96,実績!$AK$6:$AK$505,"○")&gt;0,1,0))</f>
        <v>0</v>
      </c>
      <c r="P96" s="39" t="n">
        <f aca="false">IF(P$4=0,0,IF(COUNTIFS(実績!$W$6:$W$505,P$3,実績!$AI$6:$AI$505,"&lt;="&amp;$A96,実績!$AJ$6:$AJ$505,"&gt;"&amp;$A96,実績!$AK$6:$AK$505,"○")&gt;0,1,0))</f>
        <v>0</v>
      </c>
      <c r="Q96" s="39" t="n">
        <f aca="false">IF(Q$4=0,0,IF(COUNTIFS(実績!$W$6:$W$505,Q$3,実績!$AI$6:$AI$505,"&lt;="&amp;$A96,実績!$AJ$6:$AJ$505,"&gt;"&amp;$A96,実績!$AK$6:$AK$505,"○")&gt;0,1,0))</f>
        <v>0</v>
      </c>
      <c r="R96" s="39" t="n">
        <f aca="false">IF(R$4=0,0,IF(COUNTIFS(実績!$W$6:$W$505,R$3,実績!$AI$6:$AI$505,"&lt;="&amp;$A96,実績!$AJ$6:$AJ$505,"&gt;"&amp;$A96,実績!$AK$6:$AK$505,"○")&gt;0,1,0))</f>
        <v>0</v>
      </c>
      <c r="S96" s="39" t="n">
        <f aca="false">IF(S$4=0,0,IF(COUNTIFS(実績!$W$6:$W$505,S$3,実績!$AI$6:$AI$505,"&lt;="&amp;$A96,実績!$AJ$6:$AJ$505,"&gt;"&amp;$A96,実績!$AK$6:$AK$505,"○")&gt;0,1,0))</f>
        <v>0</v>
      </c>
      <c r="T96" s="39" t="n">
        <f aca="false">IF(T$4=0,0,IF(COUNTIFS(実績!$W$6:$W$505,T$3,実績!$AI$6:$AI$505,"&lt;="&amp;$A96,実績!$AJ$6:$AJ$505,"&gt;"&amp;$A96,実績!$AK$6:$AK$505,"○")&gt;0,1,0))</f>
        <v>0</v>
      </c>
      <c r="U96" s="39" t="n">
        <f aca="false">IF(U$4=0,0,IF(COUNTIFS(実績!$W$6:$W$505,U$3,実績!$AI$6:$AI$505,"&lt;="&amp;$A96,実績!$AJ$6:$AJ$505,"&gt;"&amp;$A96,実績!$AK$6:$AK$505,"○")&gt;0,1,0))</f>
        <v>0</v>
      </c>
      <c r="V96" s="39" t="n">
        <f aca="false">IF(V$4=0,0,IF(COUNTIFS(実績!$W$6:$W$505,V$3,実績!$AI$6:$AI$505,"&lt;="&amp;$A96,実績!$AJ$6:$AJ$505,"&gt;"&amp;$A96,実績!$AK$6:$AK$505,"○")&gt;0,1,0))</f>
        <v>0</v>
      </c>
      <c r="W96" s="39" t="n">
        <f aca="false">IF(W$4=0,0,IF(COUNTIFS(実績!$W$6:$W$505,W$3,実績!$AI$6:$AI$505,"&lt;="&amp;$A96,実績!$AJ$6:$AJ$505,"&gt;"&amp;$A96,実績!$AK$6:$AK$505,"○")&gt;0,1,0))</f>
        <v>0</v>
      </c>
      <c r="X96" s="39" t="n">
        <f aca="false">IF(X$4=0,0,IF(COUNTIFS(実績!$W$6:$W$505,X$3,実績!$AI$6:$AI$505,"&lt;="&amp;$A96,実績!$AJ$6:$AJ$505,"&gt;"&amp;$A96,実績!$AK$6:$AK$505,"○")&gt;0,1,0))</f>
        <v>0</v>
      </c>
      <c r="Y96" s="39" t="n">
        <f aca="false">IF(Y$4=0,0,IF(COUNTIFS(実績!$W$6:$W$505,Y$3,実績!$AI$6:$AI$505,"&lt;="&amp;$A96,実績!$AJ$6:$AJ$505,"&gt;"&amp;$A96,実績!$AK$6:$AK$505,"○")&gt;0,1,0))</f>
        <v>0</v>
      </c>
      <c r="Z96" s="39" t="n">
        <f aca="false">IF(Z$4=0,0,IF(COUNTIFS(実績!$W$6:$W$505,Z$3,実績!$AI$6:$AI$505,"&lt;="&amp;$A96,実績!$AJ$6:$AJ$505,"&gt;"&amp;$A96,実績!$AK$6:$AK$505,"○")&gt;0,1,0))</f>
        <v>0</v>
      </c>
      <c r="AA96" s="39" t="n">
        <f aca="false">IF(AA$4=0,0,IF(COUNTIFS(実績!$W$6:$W$505,AA$3,実績!$AI$6:$AI$505,"&lt;="&amp;$A96,実績!$AJ$6:$AJ$505,"&gt;"&amp;$A96,実績!$AK$6:$AK$505,"○")&gt;0,1,0))</f>
        <v>0</v>
      </c>
      <c r="AB96" s="39" t="n">
        <f aca="false">IF(AB$4=0,0,IF(COUNTIFS(実績!$W$6:$W$505,AB$3,実績!$AI$6:$AI$505,"&lt;="&amp;$A96,実績!$AJ$6:$AJ$505,"&gt;"&amp;$A96,実績!$AK$6:$AK$505,"○")&gt;0,1,0))</f>
        <v>0</v>
      </c>
      <c r="AC96" s="39" t="n">
        <f aca="false">IF(AC$4=0,0,IF(COUNTIFS(実績!$W$6:$W$505,AC$3,実績!$AI$6:$AI$505,"&lt;="&amp;$A96,実績!$AJ$6:$AJ$505,"&gt;"&amp;$A96,実績!$AK$6:$AK$505,"○")&gt;0,1,0))</f>
        <v>0</v>
      </c>
      <c r="AD96" s="39" t="n">
        <f aca="false">IF(AD$4=0,0,IF(COUNTIFS(実績!$W$6:$W$505,AD$3,実績!$AI$6:$AI$505,"&lt;="&amp;$A96,実績!$AJ$6:$AJ$505,"&gt;"&amp;$A96,実績!$AK$6:$AK$505,"○")&gt;0,1,0))</f>
        <v>0</v>
      </c>
      <c r="AE96" s="39" t="n">
        <f aca="false">IF(AE$4=0,0,IF(COUNTIFS(実績!$W$6:$W$505,AE$3,実績!$AI$6:$AI$505,"&lt;="&amp;$A96,実績!$AJ$6:$AJ$505,"&gt;"&amp;$A96,実績!$AK$6:$AK$505,"○")&gt;0,1,0))</f>
        <v>0</v>
      </c>
      <c r="AF96" s="39" t="n">
        <f aca="false">IF(AF$4=0,0,IF(COUNTIFS(実績!$W$6:$W$505,AF$3,実績!$AI$6:$AI$505,"&lt;="&amp;$A96,実績!$AJ$6:$AJ$505,"&gt;"&amp;$A96,実績!$AK$6:$AK$505,"○")&gt;0,1,0))</f>
        <v>0</v>
      </c>
      <c r="AG96" s="39" t="n">
        <f aca="false">IF(AG$4=0,0,IF(COUNTIFS(実績!$W$6:$W$505,AG$3,実績!$AI$6:$AI$505,"&lt;="&amp;$A96,実績!$AJ$6:$AJ$505,"&gt;"&amp;$A96,実績!$AK$6:$AK$505,"○")&gt;0,1,0))</f>
        <v>0</v>
      </c>
      <c r="AH96" s="39" t="n">
        <f aca="false">IF(AH$4=0,0,IF(COUNTIFS(実績!$W$6:$W$505,AH$3,実績!$AI$6:$AI$505,"&lt;="&amp;$A96,実績!$AJ$6:$AJ$505,"&gt;"&amp;$A96,実績!$AK$6:$AK$505,"○")&gt;0,1,0))</f>
        <v>0</v>
      </c>
      <c r="AI96" s="39" t="n">
        <f aca="false">IF(AI$4=0,0,IF(COUNTIFS(実績!$W$6:$W$505,AI$3,実績!$AI$6:$AI$505,"&lt;="&amp;$A96,実績!$AJ$6:$AJ$505,"&gt;"&amp;$A96,実績!$AK$6:$AK$505,"○")&gt;0,1,0))</f>
        <v>0</v>
      </c>
      <c r="AJ96" s="39" t="n">
        <f aca="false">IF(AJ$4=0,0,IF(COUNTIFS(実績!$W$6:$W$505,AJ$3,実績!$AI$6:$AI$505,"&lt;="&amp;$A96,実績!$AJ$6:$AJ$505,"&gt;"&amp;$A96,実績!$AK$6:$AK$505,"○")&gt;0,1,0))</f>
        <v>0</v>
      </c>
      <c r="AK96" s="39" t="n">
        <f aca="false">IF(AK$4=0,0,IF(COUNTIFS(実績!$W$6:$W$505,AK$3,実績!$AI$6:$AI$505,"&lt;="&amp;$A96,実績!$AJ$6:$AJ$505,"&gt;"&amp;$A96,実績!$AK$6:$AK$505,"○")&gt;0,1,0))</f>
        <v>0</v>
      </c>
      <c r="AL96" s="39" t="n">
        <f aca="false">IF(AL$4=0,0,IF(COUNTIFS(実績!$W$6:$W$505,AL$3,実績!$AI$6:$AI$505,"&lt;="&amp;$A96,実績!$AJ$6:$AJ$505,"&gt;"&amp;$A96,実績!$AK$6:$AK$505,"○")&gt;0,1,0))</f>
        <v>0</v>
      </c>
      <c r="AM96" s="39" t="n">
        <f aca="false">IF(AM$4=0,0,IF(COUNTIFS(実績!$W$6:$W$505,AM$3,実績!$AI$6:$AI$505,"&lt;="&amp;$A96,実績!$AJ$6:$AJ$505,"&gt;"&amp;$A96,実績!$AK$6:$AK$505,"○")&gt;0,1,0))</f>
        <v>0</v>
      </c>
      <c r="AN96" s="39" t="n">
        <f aca="false">IF(AN$4=0,0,IF(COUNTIFS(実績!$W$6:$W$505,AN$3,実績!$AI$6:$AI$505,"&lt;="&amp;$A96,実績!$AJ$6:$AJ$505,"&gt;"&amp;$A96,実績!$AK$6:$AK$505,"○")&gt;0,1,0))</f>
        <v>0</v>
      </c>
      <c r="AO96" s="39" t="n">
        <f aca="false">IF(AO$4=0,0,IF(COUNTIFS(実績!$W$6:$W$505,AO$3,実績!$AI$6:$AI$505,"&lt;="&amp;$A96,実績!$AJ$6:$AJ$505,"&gt;"&amp;$A96,実績!$AK$6:$AK$505,"○")&gt;0,1,0))</f>
        <v>0</v>
      </c>
      <c r="AP96" s="39" t="n">
        <f aca="false">IF(AP$4=0,0,IF(COUNTIFS(実績!$W$6:$W$505,AP$3,実績!$AI$6:$AI$505,"&lt;="&amp;$A96,実績!$AJ$6:$AJ$505,"&gt;"&amp;$A96,実績!$AK$6:$AK$505,"○")&gt;0,1,0))</f>
        <v>0</v>
      </c>
      <c r="AQ96" s="39" t="n">
        <f aca="false">IF(AQ$4=0,0,IF(COUNTIFS(実績!$W$6:$W$505,AQ$3,実績!$AI$6:$AI$505,"&lt;="&amp;$A96,実績!$AJ$6:$AJ$505,"&gt;"&amp;$A96,実績!$AK$6:$AK$505,"○")&gt;0,1,0))</f>
        <v>0</v>
      </c>
      <c r="AR96" s="39" t="n">
        <f aca="false">IF(AR$4=0,0,IF(COUNTIFS(実績!$W$6:$W$505,AR$3,実績!$AI$6:$AI$505,"&lt;="&amp;$A96,実績!$AJ$6:$AJ$505,"&gt;"&amp;$A96,実績!$AK$6:$AK$505,"○")&gt;0,1,0))</f>
        <v>0</v>
      </c>
      <c r="AS96" s="39" t="n">
        <f aca="false">IF(AS$4=0,0,IF(COUNTIFS(実績!$W$6:$W$505,AS$3,実績!$AI$6:$AI$505,"&lt;="&amp;$A96,実績!$AJ$6:$AJ$505,"&gt;"&amp;$A96,実績!$AK$6:$AK$505,"○")&gt;0,1,0))</f>
        <v>0</v>
      </c>
      <c r="AT96" s="39" t="n">
        <f aca="false">IF(AT$4=0,0,IF(COUNTIFS(実績!$W$6:$W$505,AT$3,実績!$AI$6:$AI$505,"&lt;="&amp;$A96,実績!$AJ$6:$AJ$505,"&gt;"&amp;$A96,実績!$AK$6:$AK$505,"○")&gt;0,1,0))</f>
        <v>0</v>
      </c>
      <c r="AU96" s="39" t="n">
        <f aca="false">IF(AU$4=0,0,IF(COUNTIFS(実績!$W$6:$W$505,AU$3,実績!$AI$6:$AI$505,"&lt;="&amp;$A96,実績!$AJ$6:$AJ$505,"&gt;"&amp;$A96,実績!$AK$6:$AK$505,"○")&gt;0,1,0))</f>
        <v>0</v>
      </c>
      <c r="AV96" s="39" t="n">
        <f aca="false">IF(AV$4=0,0,IF(COUNTIFS(実績!$W$6:$W$505,AV$3,実績!$AI$6:$AI$505,"&lt;="&amp;$A96,実績!$AJ$6:$AJ$505,"&gt;"&amp;$A96,実績!$AK$6:$AK$505,"○")&gt;0,1,0))</f>
        <v>0</v>
      </c>
      <c r="AW96" s="39" t="n">
        <f aca="false">IF(AW$4=0,0,IF(COUNTIFS(実績!$W$6:$W$505,AW$3,実績!$AI$6:$AI$505,"&lt;="&amp;$A96,実績!$AJ$6:$AJ$505,"&gt;"&amp;$A96,実績!$AK$6:$AK$505,"○")&gt;0,1,0))</f>
        <v>0</v>
      </c>
      <c r="AX96" s="39" t="n">
        <f aca="false">IF(AX$4=0,0,IF(COUNTIFS(実績!$W$6:$W$505,AX$3,実績!$AI$6:$AI$505,"&lt;="&amp;$A96,実績!$AJ$6:$AJ$505,"&gt;"&amp;$A96,実績!$AK$6:$AK$505,"○")&gt;0,1,0))</f>
        <v>0</v>
      </c>
      <c r="AY96" s="39" t="n">
        <f aca="false">IF(AY$4=0,0,IF(COUNTIFS(実績!$W$6:$W$505,AY$3,実績!$AI$6:$AI$505,"&lt;="&amp;$A96,実績!$AJ$6:$AJ$505,"&gt;"&amp;$A96,実績!$AK$6:$AK$505,"○")&gt;0,1,0))</f>
        <v>0</v>
      </c>
      <c r="AZ96" s="39" t="n">
        <f aca="false">IF(AZ$4=0,0,IF(COUNTIFS(実績!$W$6:$W$505,AZ$3,実績!$AI$6:$AI$505,"&lt;="&amp;$A96,実績!$AJ$6:$AJ$505,"&gt;"&amp;$A96,実績!$AK$6:$AK$505,"○")&gt;0,1,0))</f>
        <v>0</v>
      </c>
      <c r="BA96" s="39" t="n">
        <f aca="false">IF(BA$4=0,0,IF(COUNTIFS(実績!$W$6:$W$505,BA$3,実績!$AI$6:$AI$505,"&lt;="&amp;$A96,実績!$AJ$6:$AJ$505,"&gt;"&amp;$A96,実績!$AK$6:$AK$505,"○")&gt;0,1,0))</f>
        <v>0</v>
      </c>
      <c r="BB96" s="39" t="n">
        <f aca="false">IF(BB$4=0,0,IF(COUNTIFS(実績!$W$6:$W$505,BB$3,実績!$AI$6:$AI$505,"&lt;="&amp;$A96,実績!$AJ$6:$AJ$505,"&gt;"&amp;$A96,実績!$AK$6:$AK$505,"○")&gt;0,1,0))</f>
        <v>0</v>
      </c>
      <c r="BC96" s="39" t="n">
        <f aca="false">IF(BC$4=0,0,IF(COUNTIFS(実績!$W$6:$W$505,BC$3,実績!$AI$6:$AI$505,"&lt;="&amp;$A96,実績!$AJ$6:$AJ$505,"&gt;"&amp;$A96,実績!$AK$6:$AK$505,"○")&gt;0,1,0))</f>
        <v>0</v>
      </c>
      <c r="BD96" s="39" t="n">
        <f aca="false">IF(BD$4=0,0,IF(COUNTIFS(実績!$W$6:$W$505,BD$3,実績!$AI$6:$AI$505,"&lt;="&amp;$A96,実績!$AJ$6:$AJ$505,"&gt;"&amp;$A96,実績!$AK$6:$AK$505,"○")&gt;0,1,0))</f>
        <v>0</v>
      </c>
      <c r="BE96" s="39" t="n">
        <f aca="false">IF(BE$4=0,0,IF(COUNTIFS(実績!$W$6:$W$505,BE$3,実績!$AI$6:$AI$505,"&lt;="&amp;$A96,実績!$AJ$6:$AJ$505,"&gt;"&amp;$A96,実績!$AK$6:$AK$505,"○")&gt;0,1,0))</f>
        <v>0</v>
      </c>
      <c r="BF96" s="39" t="n">
        <f aca="false">IF(BF$4=0,0,IF(COUNTIFS(実績!$W$6:$W$505,BF$3,実績!$AI$6:$AI$505,"&lt;="&amp;$A96,実績!$AJ$6:$AJ$505,"&gt;"&amp;$A96,実績!$AK$6:$AK$505,"○")&gt;0,1,0))</f>
        <v>0</v>
      </c>
      <c r="BG96" s="39" t="n">
        <f aca="false">IF(BG$4=0,0,IF(COUNTIFS(実績!$W$6:$W$505,BG$3,実績!$AI$6:$AI$505,"&lt;="&amp;$A96,実績!$AJ$6:$AJ$505,"&gt;"&amp;$A96,実績!$AK$6:$AK$505,"○")&gt;0,1,0))</f>
        <v>0</v>
      </c>
      <c r="BH96" s="39" t="n">
        <f aca="false">IF(BH$4=0,0,IF(COUNTIFS(実績!$W$6:$W$505,BH$3,実績!$AI$6:$AI$505,"&lt;="&amp;$A96,実績!$AJ$6:$AJ$505,"&gt;"&amp;$A96,実績!$AK$6:$AK$505,"○")&gt;0,1,0))</f>
        <v>0</v>
      </c>
      <c r="BI96" s="39" t="n">
        <f aca="false">IF(BI$4=0,0,IF(COUNTIFS(実績!$W$6:$W$505,BI$3,実績!$AI$6:$AI$505,"&lt;="&amp;$A96,実績!$AJ$6:$AJ$505,"&gt;"&amp;$A96,実績!$AK$6:$AK$505,"○")&gt;0,1,0))</f>
        <v>0</v>
      </c>
      <c r="BJ96" s="39" t="n">
        <f aca="false">IF(BJ$4=0,0,IF(COUNTIFS(実績!$W$6:$W$505,BJ$3,実績!$AI$6:$AI$505,"&lt;="&amp;$A96,実績!$AJ$6:$AJ$505,"&gt;"&amp;$A96,実績!$AK$6:$AK$505,"○")&gt;0,1,0))</f>
        <v>0</v>
      </c>
      <c r="BK96" s="39" t="n">
        <f aca="false">IF(BK$4=0,0,IF(COUNTIFS(実績!$W$6:$W$505,BK$3,実績!$AI$6:$AI$505,"&lt;="&amp;$A96,実績!$AJ$6:$AJ$505,"&gt;"&amp;$A96,実績!$AK$6:$AK$505,"○")&gt;0,1,0))</f>
        <v>0</v>
      </c>
      <c r="BL96" s="39" t="n">
        <f aca="false">IF(BL$4=0,0,IF(COUNTIFS(実績!$W$6:$W$505,BL$3,実績!$AI$6:$AI$505,"&lt;="&amp;$A96,実績!$AJ$6:$AJ$505,"&gt;"&amp;$A96,実績!$AK$6:$AK$505,"○")&gt;0,1,0))</f>
        <v>0</v>
      </c>
      <c r="BM96" s="39" t="n">
        <f aca="false">IF(BM$4=0,0,IF(COUNTIFS(実績!$W$6:$W$505,BM$3,実績!$AI$6:$AI$505,"&lt;="&amp;$A96,実績!$AJ$6:$AJ$505,"&gt;"&amp;$A96,実績!$AK$6:$AK$505,"○")&gt;0,1,0))</f>
        <v>0</v>
      </c>
      <c r="BN96" s="39" t="n">
        <f aca="false">IF(BN$4=0,0,IF(COUNTIFS(実績!$W$6:$W$505,BN$3,実績!$AI$6:$AI$505,"&lt;="&amp;$A96,実績!$AJ$6:$AJ$505,"&gt;"&amp;$A96,実績!$AK$6:$AK$505,"○")&gt;0,1,0))</f>
        <v>0</v>
      </c>
      <c r="BO96" s="39" t="n">
        <f aca="false">IF(BO$4=0,0,IF(COUNTIFS(実績!$W$6:$W$505,BO$3,実績!$AI$6:$AI$505,"&lt;="&amp;$A96,実績!$AJ$6:$AJ$505,"&gt;"&amp;$A96,実績!$AK$6:$AK$505,"○")&gt;0,1,0))</f>
        <v>0</v>
      </c>
      <c r="BP96" s="39" t="n">
        <f aca="false">IF(BP$4=0,0,IF(COUNTIFS(実績!$W$6:$W$505,BP$3,実績!$AI$6:$AI$505,"&lt;="&amp;$A96,実績!$AJ$6:$AJ$505,"&gt;"&amp;$A96,実績!$AK$6:$AK$505,"○")&gt;0,1,0))</f>
        <v>0</v>
      </c>
      <c r="BQ96" s="39" t="n">
        <f aca="false">IF(BQ$4=0,0,IF(COUNTIFS(実績!$W$6:$W$505,BQ$3,実績!$AI$6:$AI$505,"&lt;="&amp;$A96,実績!$AJ$6:$AJ$505,"&gt;"&amp;$A96,実績!$AK$6:$AK$505,"○")&gt;0,1,0))</f>
        <v>0</v>
      </c>
      <c r="BR96" s="39" t="n">
        <f aca="false">IF(BR$4=0,0,IF(COUNTIFS(実績!$W$6:$W$505,BR$3,実績!$AI$6:$AI$505,"&lt;="&amp;$A96,実績!$AJ$6:$AJ$505,"&gt;"&amp;$A96,実績!$AK$6:$AK$505,"○")&gt;0,1,0))</f>
        <v>0</v>
      </c>
      <c r="BS96" s="39" t="n">
        <f aca="false">IF(BS$4=0,0,IF(COUNTIFS(実績!$W$6:$W$505,BS$3,実績!$AI$6:$AI$505,"&lt;="&amp;$A96,実績!$AJ$6:$AJ$505,"&gt;"&amp;$A96,実績!$AK$6:$AK$505,"○")&gt;0,1,0))</f>
        <v>0</v>
      </c>
      <c r="BT96" s="39" t="n">
        <f aca="false">IF(BT$4=0,0,IF(COUNTIFS(実績!$W$6:$W$505,BT$3,実績!$AI$6:$AI$505,"&lt;="&amp;$A96,実績!$AJ$6:$AJ$505,"&gt;"&amp;$A96,実績!$AK$6:$AK$505,"○")&gt;0,1,0))</f>
        <v>0</v>
      </c>
      <c r="BU96" s="39" t="n">
        <f aca="false">IF(BU$4=0,0,IF(COUNTIFS(実績!$W$6:$W$505,BU$3,実績!$AI$6:$AI$505,"&lt;="&amp;$A96,実績!$AJ$6:$AJ$505,"&gt;"&amp;$A96,実績!$AK$6:$AK$505,"○")&gt;0,1,0))</f>
        <v>0</v>
      </c>
      <c r="BV96" s="39" t="n">
        <f aca="false">IF(BV$4=0,0,IF(COUNTIFS(実績!$W$6:$W$505,BV$3,実績!$AI$6:$AI$505,"&lt;="&amp;$A96,実績!$AJ$6:$AJ$505,"&gt;"&amp;$A96,実績!$AK$6:$AK$505,"○")&gt;0,1,0))</f>
        <v>0</v>
      </c>
      <c r="BW96" s="39" t="n">
        <f aca="false">IF(BW$4=0,0,IF(COUNTIFS(実績!$W$6:$W$505,BW$3,実績!$AI$6:$AI$505,"&lt;="&amp;$A96,実績!$AJ$6:$AJ$505,"&gt;"&amp;$A96,実績!$AK$6:$AK$505,"○")&gt;0,1,0))</f>
        <v>0</v>
      </c>
      <c r="BX96" s="39" t="n">
        <f aca="false">IF(BX$4=0,0,IF(COUNTIFS(実績!$W$6:$W$505,BX$3,実績!$AI$6:$AI$505,"&lt;="&amp;$A96,実績!$AJ$6:$AJ$505,"&gt;"&amp;$A96,実績!$AK$6:$AK$505,"○")&gt;0,1,0))</f>
        <v>0</v>
      </c>
      <c r="BY96" s="39" t="n">
        <f aca="false">IF(BY$4=0,0,IF(COUNTIFS(実績!$W$6:$W$505,BY$3,実績!$AI$6:$AI$505,"&lt;="&amp;$A96,実績!$AJ$6:$AJ$505,"&gt;"&amp;$A96,実績!$AK$6:$AK$505,"○")&gt;0,1,0))</f>
        <v>0</v>
      </c>
      <c r="BZ96" s="39" t="n">
        <f aca="false">IF(BZ$4=0,0,IF(COUNTIFS(実績!$W$6:$W$505,BZ$3,実績!$AI$6:$AI$505,"&lt;="&amp;$A96,実績!$AJ$6:$AJ$505,"&gt;"&amp;$A96,実績!$AK$6:$AK$505,"○")&gt;0,1,0))</f>
        <v>0</v>
      </c>
      <c r="CA96" s="39" t="n">
        <f aca="false">IF(CA$4=0,0,IF(COUNTIFS(実績!$W$6:$W$505,CA$3,実績!$AI$6:$AI$505,"&lt;="&amp;$A96,実績!$AJ$6:$AJ$505,"&gt;"&amp;$A96,実績!$AK$6:$AK$505,"○")&gt;0,1,0))</f>
        <v>0</v>
      </c>
      <c r="CB96" s="39" t="n">
        <f aca="false">IF(CB$4=0,0,IF(COUNTIFS(実績!$W$6:$W$505,CB$3,実績!$AI$6:$AI$505,"&lt;="&amp;$A96,実績!$AJ$6:$AJ$505,"&gt;"&amp;$A96,実績!$AK$6:$AK$505,"○")&gt;0,1,0))</f>
        <v>0</v>
      </c>
      <c r="CC96" s="39" t="n">
        <f aca="false">IF(CC$4=0,0,IF(COUNTIFS(実績!$W$6:$W$505,CC$3,実績!$AI$6:$AI$505,"&lt;="&amp;$A96,実績!$AJ$6:$AJ$505,"&gt;"&amp;$A96,実績!$AK$6:$AK$505,"○")&gt;0,1,0))</f>
        <v>0</v>
      </c>
      <c r="CD96" s="39" t="n">
        <f aca="false">IF(CD$4=0,0,IF(COUNTIFS(実績!$W$6:$W$505,CD$3,実績!$AI$6:$AI$505,"&lt;="&amp;$A96,実績!$AJ$6:$AJ$505,"&gt;"&amp;$A96,実績!$AK$6:$AK$505,"○")&gt;0,1,0))</f>
        <v>0</v>
      </c>
      <c r="CE96" s="39" t="n">
        <f aca="false">IF(CE$4=0,0,IF(COUNTIFS(実績!$W$6:$W$505,CE$3,実績!$AI$6:$AI$505,"&lt;="&amp;$A96,実績!$AJ$6:$AJ$505,"&gt;"&amp;$A96,実績!$AK$6:$AK$505,"○")&gt;0,1,0))</f>
        <v>0</v>
      </c>
      <c r="CF96" s="39" t="n">
        <f aca="false">IF(CF$4=0,0,IF(COUNTIFS(実績!$W$6:$W$505,CF$3,実績!$AI$6:$AI$505,"&lt;="&amp;$A96,実績!$AJ$6:$AJ$505,"&gt;"&amp;$A96,実績!$AK$6:$AK$505,"○")&gt;0,1,0))</f>
        <v>0</v>
      </c>
      <c r="CG96" s="39" t="n">
        <f aca="false">IF(CG$4=0,0,IF(COUNTIFS(実績!$W$6:$W$505,CG$3,実績!$AI$6:$AI$505,"&lt;="&amp;$A96,実績!$AJ$6:$AJ$505,"&gt;"&amp;$A96,実績!$AK$6:$AK$505,"○")&gt;0,1,0))</f>
        <v>0</v>
      </c>
      <c r="CH96" s="39" t="n">
        <f aca="false">IF(CH$4=0,0,IF(COUNTIFS(実績!$W$6:$W$505,CH$3,実績!$AI$6:$AI$505,"&lt;="&amp;$A96,実績!$AJ$6:$AJ$505,"&gt;"&amp;$A96,実績!$AK$6:$AK$505,"○")&gt;0,1,0))</f>
        <v>0</v>
      </c>
      <c r="CI96" s="39" t="n">
        <f aca="false">IF(CI$4=0,0,IF(COUNTIFS(実績!$W$6:$W$505,CI$3,実績!$AI$6:$AI$505,"&lt;="&amp;$A96,実績!$AJ$6:$AJ$505,"&gt;"&amp;$A96,実績!$AK$6:$AK$505,"○")&gt;0,1,0))</f>
        <v>0</v>
      </c>
      <c r="CJ96" s="39" t="n">
        <f aca="false">IF(CJ$4=0,0,IF(COUNTIFS(実績!$W$6:$W$505,CJ$3,実績!$AI$6:$AI$505,"&lt;="&amp;$A96,実績!$AJ$6:$AJ$505,"&gt;"&amp;$A96,実績!$AK$6:$AK$505,"○")&gt;0,1,0))</f>
        <v>0</v>
      </c>
      <c r="CK96" s="39" t="n">
        <f aca="false">IF(CK$4=0,0,IF(COUNTIFS(実績!$W$6:$W$505,CK$3,実績!$AI$6:$AI$505,"&lt;="&amp;$A96,実績!$AJ$6:$AJ$505,"&gt;"&amp;$A96,実績!$AK$6:$AK$505,"○")&gt;0,1,0))</f>
        <v>0</v>
      </c>
      <c r="CL96" s="39" t="n">
        <f aca="false">IF(CL$4=0,0,IF(COUNTIFS(実績!$W$6:$W$505,CL$3,実績!$AI$6:$AI$505,"&lt;="&amp;$A96,実績!$AJ$6:$AJ$505,"&gt;"&amp;$A96,実績!$AK$6:$AK$505,"○")&gt;0,1,0))</f>
        <v>0</v>
      </c>
      <c r="CM96" s="39" t="n">
        <f aca="false">IF(CM$4=0,0,IF(COUNTIFS(実績!$W$6:$W$505,CM$3,実績!$AI$6:$AI$505,"&lt;="&amp;$A96,実績!$AJ$6:$AJ$505,"&gt;"&amp;$A96,実績!$AK$6:$AK$505,"○")&gt;0,1,0))</f>
        <v>0</v>
      </c>
      <c r="CN96" s="39" t="n">
        <f aca="false">IF(CN$4=0,0,IF(COUNTIFS(実績!$W$6:$W$505,CN$3,実績!$AI$6:$AI$505,"&lt;="&amp;$A96,実績!$AJ$6:$AJ$505,"&gt;"&amp;$A96,実績!$AK$6:$AK$505,"○")&gt;0,1,0))</f>
        <v>0</v>
      </c>
      <c r="CO96" s="39" t="n">
        <f aca="false">IF(CO$4=0,0,IF(COUNTIFS(実績!$W$6:$W$505,CO$3,実績!$AI$6:$AI$505,"&lt;="&amp;$A96,実績!$AJ$6:$AJ$505,"&gt;"&amp;$A96,実績!$AK$6:$AK$505,"○")&gt;0,1,0))</f>
        <v>0</v>
      </c>
      <c r="CP96" s="39" t="n">
        <f aca="false">IF(CP$4=0,0,IF(COUNTIFS(実績!$W$6:$W$505,CP$3,実績!$AI$6:$AI$505,"&lt;="&amp;$A96,実績!$AJ$6:$AJ$505,"&gt;"&amp;$A96,実績!$AK$6:$AK$505,"○")&gt;0,1,0))</f>
        <v>0</v>
      </c>
      <c r="CQ96" s="39" t="n">
        <f aca="false">IF(CQ$4=0,0,IF(COUNTIFS(実績!$W$6:$W$505,CQ$3,実績!$AI$6:$AI$505,"&lt;="&amp;$A96,実績!$AJ$6:$AJ$505,"&gt;"&amp;$A96,実績!$AK$6:$AK$505,"○")&gt;0,1,0))</f>
        <v>0</v>
      </c>
      <c r="CR96" s="39" t="n">
        <f aca="false">IF(CR$4=0,0,IF(COUNTIFS(実績!$W$6:$W$505,CR$3,実績!$AI$6:$AI$505,"&lt;="&amp;$A96,実績!$AJ$6:$AJ$505,"&gt;"&amp;$A96,実績!$AK$6:$AK$505,"○")&gt;0,1,0))</f>
        <v>0</v>
      </c>
      <c r="CS96" s="39" t="n">
        <f aca="false">IF(CS$4=0,0,IF(COUNTIFS(実績!$W$6:$W$505,CS$3,実績!$AI$6:$AI$505,"&lt;="&amp;$A96,実績!$AJ$6:$AJ$505,"&gt;"&amp;$A96,実績!$AK$6:$AK$505,"○")&gt;0,1,0))</f>
        <v>0</v>
      </c>
      <c r="CT96" s="39" t="n">
        <f aca="false">IF(CT$4=0,0,IF(COUNTIFS(実績!$W$6:$W$505,CT$3,実績!$AI$6:$AI$505,"&lt;="&amp;$A96,実績!$AJ$6:$AJ$505,"&gt;"&amp;$A96,実績!$AK$6:$AK$505,"○")&gt;0,1,0))</f>
        <v>0</v>
      </c>
      <c r="CU96" s="39" t="n">
        <f aca="false">IF(CU$4=0,0,IF(COUNTIFS(実績!$W$6:$W$505,CU$3,実績!$AI$6:$AI$505,"&lt;="&amp;$A96,実績!$AJ$6:$AJ$505,"&gt;"&amp;$A96,実績!$AK$6:$AK$505,"○")&gt;0,1,0))</f>
        <v>0</v>
      </c>
      <c r="CV96" s="39" t="n">
        <f aca="false">IF(CV$4=0,0,IF(COUNTIFS(実績!$W$6:$W$505,CV$3,実績!$AI$6:$AI$505,"&lt;="&amp;$A96,実績!$AJ$6:$AJ$505,"&gt;"&amp;$A96,実績!$AK$6:$AK$505,"○")&gt;0,1,0))</f>
        <v>0</v>
      </c>
      <c r="CW96" s="39" t="n">
        <f aca="false">IF(CW$4=0,0,IF(COUNTIFS(実績!$W$6:$W$505,CW$3,実績!$AI$6:$AI$505,"&lt;="&amp;$A96,実績!$AJ$6:$AJ$505,"&gt;"&amp;$A96,実績!$AK$6:$AK$505,"○")&gt;0,1,0))</f>
        <v>0</v>
      </c>
      <c r="CX96" s="39" t="n">
        <f aca="false">IF(CX$4=0,0,IF(COUNTIFS(実績!$W$6:$W$505,CX$3,実績!$AI$6:$AI$505,"&lt;="&amp;$A96,実績!$AJ$6:$AJ$505,"&gt;"&amp;$A96,実績!$AK$6:$AK$505,"○")&gt;0,1,0))</f>
        <v>0</v>
      </c>
      <c r="CY96" s="39" t="n">
        <f aca="false">IF(CY$4=0,0,IF(COUNTIFS(実績!$W$6:$W$505,CY$3,実績!$AI$6:$AI$505,"&lt;="&amp;$A96,実績!$AJ$6:$AJ$505,"&gt;"&amp;$A96,実績!$AK$6:$AK$505,"○")&gt;0,1,0))</f>
        <v>0</v>
      </c>
      <c r="CZ96" s="39" t="n">
        <f aca="false">IF(CZ$4=0,0,IF(COUNTIFS(実績!$W$6:$W$505,CZ$3,実績!$AI$6:$AI$505,"&lt;="&amp;$A96,実績!$AJ$6:$AJ$505,"&gt;"&amp;$A96,実績!$AK$6:$AK$505,"○")&gt;0,1,0))</f>
        <v>0</v>
      </c>
      <c r="DA96" s="39" t="n">
        <f aca="false">IF(DA$4=0,0,IF(COUNTIFS(実績!$W$6:$W$505,DA$3,実績!$AI$6:$AI$505,"&lt;="&amp;$A96,実績!$AJ$6:$AJ$505,"&gt;"&amp;$A96,実績!$AK$6:$AK$505,"○")&gt;0,1,0))</f>
        <v>0</v>
      </c>
      <c r="DB96" s="39" t="n">
        <f aca="false">IF(DB$4=0,0,IF(COUNTIFS(実績!$W$6:$W$505,DB$3,実績!$AI$6:$AI$505,"&lt;="&amp;$A96,実績!$AJ$6:$AJ$505,"&gt;"&amp;$A96,実績!$AK$6:$AK$505,"○")&gt;0,1,0))</f>
        <v>0</v>
      </c>
      <c r="DC96" s="39" t="n">
        <f aca="false">IF(DC$4=0,0,IF(COUNTIFS(実績!$W$6:$W$505,DC$3,実績!$AI$6:$AI$505,"&lt;="&amp;$A96,実績!$AJ$6:$AJ$505,"&gt;"&amp;$A96,実績!$AK$6:$AK$505,"○")&gt;0,1,0))</f>
        <v>0</v>
      </c>
      <c r="DD96" s="39" t="n">
        <f aca="false">IF(DD$4=0,0,IF(COUNTIFS(実績!$W$6:$W$505,DD$3,実績!$AI$6:$AI$505,"&lt;="&amp;$A96,実績!$AJ$6:$AJ$505,"&gt;"&amp;$A96,実績!$AK$6:$AK$505,"○")&gt;0,1,0))</f>
        <v>0</v>
      </c>
      <c r="DE96" s="39" t="n">
        <f aca="false">IF(DE$4=0,0,IF(COUNTIFS(実績!$W$6:$W$505,DE$3,実績!$AI$6:$AI$505,"&lt;="&amp;$A96,実績!$AJ$6:$AJ$505,"&gt;"&amp;$A96,実績!$AK$6:$AK$505,"○")&gt;0,1,0))</f>
        <v>0</v>
      </c>
      <c r="DF96" s="39" t="n">
        <f aca="false">IF(DF$4=0,0,IF(COUNTIFS(実績!$W$6:$W$505,DF$3,実績!$AI$6:$AI$505,"&lt;="&amp;$A96,実績!$AJ$6:$AJ$505,"&gt;"&amp;$A96,実績!$AK$6:$AK$505,"○")&gt;0,1,0))</f>
        <v>0</v>
      </c>
      <c r="DG96" s="39" t="n">
        <f aca="false">IF(DG$4=0,0,IF(COUNTIFS(実績!$W$6:$W$505,DG$3,実績!$AI$6:$AI$505,"&lt;="&amp;$A96,実績!$AJ$6:$AJ$505,"&gt;"&amp;$A96,実績!$AK$6:$AK$505,"○")&gt;0,1,0))</f>
        <v>0</v>
      </c>
      <c r="DH96" s="39" t="n">
        <f aca="false">IF(DH$4=0,0,IF(COUNTIFS(実績!$W$6:$W$505,DH$3,実績!$AI$6:$AI$505,"&lt;="&amp;$A96,実績!$AJ$6:$AJ$505,"&gt;"&amp;$A96,実績!$AK$6:$AK$505,"○")&gt;0,1,0))</f>
        <v>0</v>
      </c>
      <c r="DI96" s="39" t="n">
        <f aca="false">IF(DI$4=0,0,IF(COUNTIFS(実績!$W$6:$W$505,DI$3,実績!$AI$6:$AI$505,"&lt;="&amp;$A96,実績!$AJ$6:$AJ$505,"&gt;"&amp;$A96,実績!$AK$6:$AK$505,"○")&gt;0,1,0))</f>
        <v>0</v>
      </c>
      <c r="DJ96" s="39" t="n">
        <f aca="false">IF(DJ$4=0,0,IF(COUNTIFS(実績!$W$6:$W$505,DJ$3,実績!$AI$6:$AI$505,"&lt;="&amp;$A96,実績!$AJ$6:$AJ$505,"&gt;"&amp;$A96,実績!$AK$6:$AK$505,"○")&gt;0,1,0))</f>
        <v>0</v>
      </c>
      <c r="DK96" s="39" t="n">
        <f aca="false">IF(DK$4=0,0,IF(COUNTIFS(実績!$W$6:$W$505,DK$3,実績!$AI$6:$AI$505,"&lt;="&amp;$A96,実績!$AJ$6:$AJ$505,"&gt;"&amp;$A96,実績!$AK$6:$AK$505,"○")&gt;0,1,0))</f>
        <v>0</v>
      </c>
      <c r="DL96" s="39" t="n">
        <f aca="false">IF(DL$4=0,0,IF(COUNTIFS(実績!$W$6:$W$505,DL$3,実績!$AI$6:$AI$505,"&lt;="&amp;$A96,実績!$AJ$6:$AJ$505,"&gt;"&amp;$A96,実績!$AK$6:$AK$505,"○")&gt;0,1,0))</f>
        <v>0</v>
      </c>
      <c r="DM96" s="39" t="n">
        <f aca="false">IF(DM$4=0,0,IF(COUNTIFS(実績!$W$6:$W$505,DM$3,実績!$AI$6:$AI$505,"&lt;="&amp;$A96,実績!$AJ$6:$AJ$505,"&gt;"&amp;$A96,実績!$AK$6:$AK$505,"○")&gt;0,1,0))</f>
        <v>0</v>
      </c>
      <c r="DN96" s="39" t="n">
        <f aca="false">IF(DN$4=0,0,IF(COUNTIFS(実績!$W$6:$W$505,DN$3,実績!$AI$6:$AI$505,"&lt;="&amp;$A96,実績!$AJ$6:$AJ$505,"&gt;"&amp;$A96,実績!$AK$6:$AK$505,"○")&gt;0,1,0))</f>
        <v>0</v>
      </c>
      <c r="DO96" s="39" t="n">
        <f aca="false">IF(DO$4=0,0,IF(COUNTIFS(実績!$W$6:$W$505,DO$3,実績!$AI$6:$AI$505,"&lt;="&amp;$A96,実績!$AJ$6:$AJ$505,"&gt;"&amp;$A96,実績!$AK$6:$AK$505,"○")&gt;0,1,0))</f>
        <v>0</v>
      </c>
      <c r="DP96" s="39" t="n">
        <f aca="false">IF(DP$4=0,0,IF(COUNTIFS(実績!$W$6:$W$505,DP$3,実績!$AI$6:$AI$505,"&lt;="&amp;$A96,実績!$AJ$6:$AJ$505,"&gt;"&amp;$A96,実績!$AK$6:$AK$505,"○")&gt;0,1,0))</f>
        <v>0</v>
      </c>
      <c r="DQ96" s="39" t="n">
        <f aca="false">IF(DQ$4=0,0,IF(COUNTIFS(実績!$W$6:$W$505,DQ$3,実績!$AI$6:$AI$505,"&lt;="&amp;$A96,実績!$AJ$6:$AJ$505,"&gt;"&amp;$A96,実績!$AK$6:$AK$505,"○")&gt;0,1,0))</f>
        <v>0</v>
      </c>
      <c r="DR96" s="39" t="n">
        <f aca="false">IF(DR$4=0,0,IF(COUNTIFS(実績!$W$6:$W$505,DR$3,実績!$AI$6:$AI$505,"&lt;="&amp;$A96,実績!$AJ$6:$AJ$505,"&gt;"&amp;$A96,実績!$AK$6:$AK$505,"○")&gt;0,1,0))</f>
        <v>0</v>
      </c>
      <c r="DS96" s="39" t="n">
        <f aca="false">SUM(C96:DR96)</f>
        <v>0</v>
      </c>
      <c r="DT96" s="39" t="n">
        <f aca="false">SUMPRODUCT((実績!$C$6:$C$505="○")*ISNUMBER(実績!$AM$6:$AM$505)*(実績!$AM$6:$AM$505&lt;=$A96)*(実績!$AN$6:$AN$505&gt;$A96))</f>
        <v>0</v>
      </c>
      <c r="DU96" s="39" t="n">
        <f aca="false">SUMIF($C$2:$DR$2,"製鉄曳船",C96:DR96)</f>
        <v>0</v>
      </c>
      <c r="DV96" s="39" t="n">
        <f aca="false">SUMIF($C$2:$DR$2,"西日本海運",C96:DR96)</f>
        <v>0</v>
      </c>
    </row>
    <row r="97" customFormat="false" ht="15" hidden="false" customHeight="false" outlineLevel="0" collapsed="false">
      <c r="A97" s="0" t="n">
        <v>455</v>
      </c>
      <c r="B97" s="38" t="n">
        <f aca="false">A97/1440</f>
        <v>0.315972222222222</v>
      </c>
      <c r="C97" s="39" t="n">
        <f aca="false">IF(C$4=0,0,IF(COUNTIFS(実績!$W$6:$W$505,C$3,実績!$AI$6:$AI$505,"&lt;="&amp;$A97,実績!$AJ$6:$AJ$505,"&gt;"&amp;$A97,実績!$AK$6:$AK$505,"○")&gt;0,1,0))</f>
        <v>0</v>
      </c>
      <c r="D97" s="39" t="n">
        <f aca="false">IF(D$4=0,0,IF(COUNTIFS(実績!$W$6:$W$505,D$3,実績!$AI$6:$AI$505,"&lt;="&amp;$A97,実績!$AJ$6:$AJ$505,"&gt;"&amp;$A97,実績!$AK$6:$AK$505,"○")&gt;0,1,0))</f>
        <v>0</v>
      </c>
      <c r="E97" s="39" t="n">
        <f aca="false">IF(E$4=0,0,IF(COUNTIFS(実績!$W$6:$W$505,E$3,実績!$AI$6:$AI$505,"&lt;="&amp;$A97,実績!$AJ$6:$AJ$505,"&gt;"&amp;$A97,実績!$AK$6:$AK$505,"○")&gt;0,1,0))</f>
        <v>0</v>
      </c>
      <c r="F97" s="39" t="n">
        <f aca="false">IF(F$4=0,0,IF(COUNTIFS(実績!$W$6:$W$505,F$3,実績!$AI$6:$AI$505,"&lt;="&amp;$A97,実績!$AJ$6:$AJ$505,"&gt;"&amp;$A97,実績!$AK$6:$AK$505,"○")&gt;0,1,0))</f>
        <v>0</v>
      </c>
      <c r="G97" s="39" t="n">
        <f aca="false">IF(G$4=0,0,IF(COUNTIFS(実績!$W$6:$W$505,G$3,実績!$AI$6:$AI$505,"&lt;="&amp;$A97,実績!$AJ$6:$AJ$505,"&gt;"&amp;$A97,実績!$AK$6:$AK$505,"○")&gt;0,1,0))</f>
        <v>0</v>
      </c>
      <c r="H97" s="39" t="n">
        <f aca="false">IF(H$4=0,0,IF(COUNTIFS(実績!$W$6:$W$505,H$3,実績!$AI$6:$AI$505,"&lt;="&amp;$A97,実績!$AJ$6:$AJ$505,"&gt;"&amp;$A97,実績!$AK$6:$AK$505,"○")&gt;0,1,0))</f>
        <v>0</v>
      </c>
      <c r="I97" s="39" t="n">
        <f aca="false">IF(I$4=0,0,IF(COUNTIFS(実績!$W$6:$W$505,I$3,実績!$AI$6:$AI$505,"&lt;="&amp;$A97,実績!$AJ$6:$AJ$505,"&gt;"&amp;$A97,実績!$AK$6:$AK$505,"○")&gt;0,1,0))</f>
        <v>0</v>
      </c>
      <c r="J97" s="39" t="n">
        <f aca="false">IF(J$4=0,0,IF(COUNTIFS(実績!$W$6:$W$505,J$3,実績!$AI$6:$AI$505,"&lt;="&amp;$A97,実績!$AJ$6:$AJ$505,"&gt;"&amp;$A97,実績!$AK$6:$AK$505,"○")&gt;0,1,0))</f>
        <v>0</v>
      </c>
      <c r="K97" s="39" t="n">
        <f aca="false">IF(K$4=0,0,IF(COUNTIFS(実績!$W$6:$W$505,K$3,実績!$AI$6:$AI$505,"&lt;="&amp;$A97,実績!$AJ$6:$AJ$505,"&gt;"&amp;$A97,実績!$AK$6:$AK$505,"○")&gt;0,1,0))</f>
        <v>0</v>
      </c>
      <c r="L97" s="39" t="n">
        <f aca="false">IF(L$4=0,0,IF(COUNTIFS(実績!$W$6:$W$505,L$3,実績!$AI$6:$AI$505,"&lt;="&amp;$A97,実績!$AJ$6:$AJ$505,"&gt;"&amp;$A97,実績!$AK$6:$AK$505,"○")&gt;0,1,0))</f>
        <v>0</v>
      </c>
      <c r="M97" s="39" t="n">
        <f aca="false">IF(M$4=0,0,IF(COUNTIFS(実績!$W$6:$W$505,M$3,実績!$AI$6:$AI$505,"&lt;="&amp;$A97,実績!$AJ$6:$AJ$505,"&gt;"&amp;$A97,実績!$AK$6:$AK$505,"○")&gt;0,1,0))</f>
        <v>0</v>
      </c>
      <c r="N97" s="39" t="n">
        <f aca="false">IF(N$4=0,0,IF(COUNTIFS(実績!$W$6:$W$505,N$3,実績!$AI$6:$AI$505,"&lt;="&amp;$A97,実績!$AJ$6:$AJ$505,"&gt;"&amp;$A97,実績!$AK$6:$AK$505,"○")&gt;0,1,0))</f>
        <v>0</v>
      </c>
      <c r="O97" s="39" t="n">
        <f aca="false">IF(O$4=0,0,IF(COUNTIFS(実績!$W$6:$W$505,O$3,実績!$AI$6:$AI$505,"&lt;="&amp;$A97,実績!$AJ$6:$AJ$505,"&gt;"&amp;$A97,実績!$AK$6:$AK$505,"○")&gt;0,1,0))</f>
        <v>0</v>
      </c>
      <c r="P97" s="39" t="n">
        <f aca="false">IF(P$4=0,0,IF(COUNTIFS(実績!$W$6:$W$505,P$3,実績!$AI$6:$AI$505,"&lt;="&amp;$A97,実績!$AJ$6:$AJ$505,"&gt;"&amp;$A97,実績!$AK$6:$AK$505,"○")&gt;0,1,0))</f>
        <v>0</v>
      </c>
      <c r="Q97" s="39" t="n">
        <f aca="false">IF(Q$4=0,0,IF(COUNTIFS(実績!$W$6:$W$505,Q$3,実績!$AI$6:$AI$505,"&lt;="&amp;$A97,実績!$AJ$6:$AJ$505,"&gt;"&amp;$A97,実績!$AK$6:$AK$505,"○")&gt;0,1,0))</f>
        <v>0</v>
      </c>
      <c r="R97" s="39" t="n">
        <f aca="false">IF(R$4=0,0,IF(COUNTIFS(実績!$W$6:$W$505,R$3,実績!$AI$6:$AI$505,"&lt;="&amp;$A97,実績!$AJ$6:$AJ$505,"&gt;"&amp;$A97,実績!$AK$6:$AK$505,"○")&gt;0,1,0))</f>
        <v>0</v>
      </c>
      <c r="S97" s="39" t="n">
        <f aca="false">IF(S$4=0,0,IF(COUNTIFS(実績!$W$6:$W$505,S$3,実績!$AI$6:$AI$505,"&lt;="&amp;$A97,実績!$AJ$6:$AJ$505,"&gt;"&amp;$A97,実績!$AK$6:$AK$505,"○")&gt;0,1,0))</f>
        <v>0</v>
      </c>
      <c r="T97" s="39" t="n">
        <f aca="false">IF(T$4=0,0,IF(COUNTIFS(実績!$W$6:$W$505,T$3,実績!$AI$6:$AI$505,"&lt;="&amp;$A97,実績!$AJ$6:$AJ$505,"&gt;"&amp;$A97,実績!$AK$6:$AK$505,"○")&gt;0,1,0))</f>
        <v>0</v>
      </c>
      <c r="U97" s="39" t="n">
        <f aca="false">IF(U$4=0,0,IF(COUNTIFS(実績!$W$6:$W$505,U$3,実績!$AI$6:$AI$505,"&lt;="&amp;$A97,実績!$AJ$6:$AJ$505,"&gt;"&amp;$A97,実績!$AK$6:$AK$505,"○")&gt;0,1,0))</f>
        <v>0</v>
      </c>
      <c r="V97" s="39" t="n">
        <f aca="false">IF(V$4=0,0,IF(COUNTIFS(実績!$W$6:$W$505,V$3,実績!$AI$6:$AI$505,"&lt;="&amp;$A97,実績!$AJ$6:$AJ$505,"&gt;"&amp;$A97,実績!$AK$6:$AK$505,"○")&gt;0,1,0))</f>
        <v>0</v>
      </c>
      <c r="W97" s="39" t="n">
        <f aca="false">IF(W$4=0,0,IF(COUNTIFS(実績!$W$6:$W$505,W$3,実績!$AI$6:$AI$505,"&lt;="&amp;$A97,実績!$AJ$6:$AJ$505,"&gt;"&amp;$A97,実績!$AK$6:$AK$505,"○")&gt;0,1,0))</f>
        <v>0</v>
      </c>
      <c r="X97" s="39" t="n">
        <f aca="false">IF(X$4=0,0,IF(COUNTIFS(実績!$W$6:$W$505,X$3,実績!$AI$6:$AI$505,"&lt;="&amp;$A97,実績!$AJ$6:$AJ$505,"&gt;"&amp;$A97,実績!$AK$6:$AK$505,"○")&gt;0,1,0))</f>
        <v>0</v>
      </c>
      <c r="Y97" s="39" t="n">
        <f aca="false">IF(Y$4=0,0,IF(COUNTIFS(実績!$W$6:$W$505,Y$3,実績!$AI$6:$AI$505,"&lt;="&amp;$A97,実績!$AJ$6:$AJ$505,"&gt;"&amp;$A97,実績!$AK$6:$AK$505,"○")&gt;0,1,0))</f>
        <v>0</v>
      </c>
      <c r="Z97" s="39" t="n">
        <f aca="false">IF(Z$4=0,0,IF(COUNTIFS(実績!$W$6:$W$505,Z$3,実績!$AI$6:$AI$505,"&lt;="&amp;$A97,実績!$AJ$6:$AJ$505,"&gt;"&amp;$A97,実績!$AK$6:$AK$505,"○")&gt;0,1,0))</f>
        <v>0</v>
      </c>
      <c r="AA97" s="39" t="n">
        <f aca="false">IF(AA$4=0,0,IF(COUNTIFS(実績!$W$6:$W$505,AA$3,実績!$AI$6:$AI$505,"&lt;="&amp;$A97,実績!$AJ$6:$AJ$505,"&gt;"&amp;$A97,実績!$AK$6:$AK$505,"○")&gt;0,1,0))</f>
        <v>0</v>
      </c>
      <c r="AB97" s="39" t="n">
        <f aca="false">IF(AB$4=0,0,IF(COUNTIFS(実績!$W$6:$W$505,AB$3,実績!$AI$6:$AI$505,"&lt;="&amp;$A97,実績!$AJ$6:$AJ$505,"&gt;"&amp;$A97,実績!$AK$6:$AK$505,"○")&gt;0,1,0))</f>
        <v>0</v>
      </c>
      <c r="AC97" s="39" t="n">
        <f aca="false">IF(AC$4=0,0,IF(COUNTIFS(実績!$W$6:$W$505,AC$3,実績!$AI$6:$AI$505,"&lt;="&amp;$A97,実績!$AJ$6:$AJ$505,"&gt;"&amp;$A97,実績!$AK$6:$AK$505,"○")&gt;0,1,0))</f>
        <v>0</v>
      </c>
      <c r="AD97" s="39" t="n">
        <f aca="false">IF(AD$4=0,0,IF(COUNTIFS(実績!$W$6:$W$505,AD$3,実績!$AI$6:$AI$505,"&lt;="&amp;$A97,実績!$AJ$6:$AJ$505,"&gt;"&amp;$A97,実績!$AK$6:$AK$505,"○")&gt;0,1,0))</f>
        <v>0</v>
      </c>
      <c r="AE97" s="39" t="n">
        <f aca="false">IF(AE$4=0,0,IF(COUNTIFS(実績!$W$6:$W$505,AE$3,実績!$AI$6:$AI$505,"&lt;="&amp;$A97,実績!$AJ$6:$AJ$505,"&gt;"&amp;$A97,実績!$AK$6:$AK$505,"○")&gt;0,1,0))</f>
        <v>0</v>
      </c>
      <c r="AF97" s="39" t="n">
        <f aca="false">IF(AF$4=0,0,IF(COUNTIFS(実績!$W$6:$W$505,AF$3,実績!$AI$6:$AI$505,"&lt;="&amp;$A97,実績!$AJ$6:$AJ$505,"&gt;"&amp;$A97,実績!$AK$6:$AK$505,"○")&gt;0,1,0))</f>
        <v>0</v>
      </c>
      <c r="AG97" s="39" t="n">
        <f aca="false">IF(AG$4=0,0,IF(COUNTIFS(実績!$W$6:$W$505,AG$3,実績!$AI$6:$AI$505,"&lt;="&amp;$A97,実績!$AJ$6:$AJ$505,"&gt;"&amp;$A97,実績!$AK$6:$AK$505,"○")&gt;0,1,0))</f>
        <v>0</v>
      </c>
      <c r="AH97" s="39" t="n">
        <f aca="false">IF(AH$4=0,0,IF(COUNTIFS(実績!$W$6:$W$505,AH$3,実績!$AI$6:$AI$505,"&lt;="&amp;$A97,実績!$AJ$6:$AJ$505,"&gt;"&amp;$A97,実績!$AK$6:$AK$505,"○")&gt;0,1,0))</f>
        <v>0</v>
      </c>
      <c r="AI97" s="39" t="n">
        <f aca="false">IF(AI$4=0,0,IF(COUNTIFS(実績!$W$6:$W$505,AI$3,実績!$AI$6:$AI$505,"&lt;="&amp;$A97,実績!$AJ$6:$AJ$505,"&gt;"&amp;$A97,実績!$AK$6:$AK$505,"○")&gt;0,1,0))</f>
        <v>0</v>
      </c>
      <c r="AJ97" s="39" t="n">
        <f aca="false">IF(AJ$4=0,0,IF(COUNTIFS(実績!$W$6:$W$505,AJ$3,実績!$AI$6:$AI$505,"&lt;="&amp;$A97,実績!$AJ$6:$AJ$505,"&gt;"&amp;$A97,実績!$AK$6:$AK$505,"○")&gt;0,1,0))</f>
        <v>0</v>
      </c>
      <c r="AK97" s="39" t="n">
        <f aca="false">IF(AK$4=0,0,IF(COUNTIFS(実績!$W$6:$W$505,AK$3,実績!$AI$6:$AI$505,"&lt;="&amp;$A97,実績!$AJ$6:$AJ$505,"&gt;"&amp;$A97,実績!$AK$6:$AK$505,"○")&gt;0,1,0))</f>
        <v>0</v>
      </c>
      <c r="AL97" s="39" t="n">
        <f aca="false">IF(AL$4=0,0,IF(COUNTIFS(実績!$W$6:$W$505,AL$3,実績!$AI$6:$AI$505,"&lt;="&amp;$A97,実績!$AJ$6:$AJ$505,"&gt;"&amp;$A97,実績!$AK$6:$AK$505,"○")&gt;0,1,0))</f>
        <v>0</v>
      </c>
      <c r="AM97" s="39" t="n">
        <f aca="false">IF(AM$4=0,0,IF(COUNTIFS(実績!$W$6:$W$505,AM$3,実績!$AI$6:$AI$505,"&lt;="&amp;$A97,実績!$AJ$6:$AJ$505,"&gt;"&amp;$A97,実績!$AK$6:$AK$505,"○")&gt;0,1,0))</f>
        <v>0</v>
      </c>
      <c r="AN97" s="39" t="n">
        <f aca="false">IF(AN$4=0,0,IF(COUNTIFS(実績!$W$6:$W$505,AN$3,実績!$AI$6:$AI$505,"&lt;="&amp;$A97,実績!$AJ$6:$AJ$505,"&gt;"&amp;$A97,実績!$AK$6:$AK$505,"○")&gt;0,1,0))</f>
        <v>0</v>
      </c>
      <c r="AO97" s="39" t="n">
        <f aca="false">IF(AO$4=0,0,IF(COUNTIFS(実績!$W$6:$W$505,AO$3,実績!$AI$6:$AI$505,"&lt;="&amp;$A97,実績!$AJ$6:$AJ$505,"&gt;"&amp;$A97,実績!$AK$6:$AK$505,"○")&gt;0,1,0))</f>
        <v>0</v>
      </c>
      <c r="AP97" s="39" t="n">
        <f aca="false">IF(AP$4=0,0,IF(COUNTIFS(実績!$W$6:$W$505,AP$3,実績!$AI$6:$AI$505,"&lt;="&amp;$A97,実績!$AJ$6:$AJ$505,"&gt;"&amp;$A97,実績!$AK$6:$AK$505,"○")&gt;0,1,0))</f>
        <v>0</v>
      </c>
      <c r="AQ97" s="39" t="n">
        <f aca="false">IF(AQ$4=0,0,IF(COUNTIFS(実績!$W$6:$W$505,AQ$3,実績!$AI$6:$AI$505,"&lt;="&amp;$A97,実績!$AJ$6:$AJ$505,"&gt;"&amp;$A97,実績!$AK$6:$AK$505,"○")&gt;0,1,0))</f>
        <v>0</v>
      </c>
      <c r="AR97" s="39" t="n">
        <f aca="false">IF(AR$4=0,0,IF(COUNTIFS(実績!$W$6:$W$505,AR$3,実績!$AI$6:$AI$505,"&lt;="&amp;$A97,実績!$AJ$6:$AJ$505,"&gt;"&amp;$A97,実績!$AK$6:$AK$505,"○")&gt;0,1,0))</f>
        <v>0</v>
      </c>
      <c r="AS97" s="39" t="n">
        <f aca="false">IF(AS$4=0,0,IF(COUNTIFS(実績!$W$6:$W$505,AS$3,実績!$AI$6:$AI$505,"&lt;="&amp;$A97,実績!$AJ$6:$AJ$505,"&gt;"&amp;$A97,実績!$AK$6:$AK$505,"○")&gt;0,1,0))</f>
        <v>0</v>
      </c>
      <c r="AT97" s="39" t="n">
        <f aca="false">IF(AT$4=0,0,IF(COUNTIFS(実績!$W$6:$W$505,AT$3,実績!$AI$6:$AI$505,"&lt;="&amp;$A97,実績!$AJ$6:$AJ$505,"&gt;"&amp;$A97,実績!$AK$6:$AK$505,"○")&gt;0,1,0))</f>
        <v>0</v>
      </c>
      <c r="AU97" s="39" t="n">
        <f aca="false">IF(AU$4=0,0,IF(COUNTIFS(実績!$W$6:$W$505,AU$3,実績!$AI$6:$AI$505,"&lt;="&amp;$A97,実績!$AJ$6:$AJ$505,"&gt;"&amp;$A97,実績!$AK$6:$AK$505,"○")&gt;0,1,0))</f>
        <v>0</v>
      </c>
      <c r="AV97" s="39" t="n">
        <f aca="false">IF(AV$4=0,0,IF(COUNTIFS(実績!$W$6:$W$505,AV$3,実績!$AI$6:$AI$505,"&lt;="&amp;$A97,実績!$AJ$6:$AJ$505,"&gt;"&amp;$A97,実績!$AK$6:$AK$505,"○")&gt;0,1,0))</f>
        <v>0</v>
      </c>
      <c r="AW97" s="39" t="n">
        <f aca="false">IF(AW$4=0,0,IF(COUNTIFS(実績!$W$6:$W$505,AW$3,実績!$AI$6:$AI$505,"&lt;="&amp;$A97,実績!$AJ$6:$AJ$505,"&gt;"&amp;$A97,実績!$AK$6:$AK$505,"○")&gt;0,1,0))</f>
        <v>0</v>
      </c>
      <c r="AX97" s="39" t="n">
        <f aca="false">IF(AX$4=0,0,IF(COUNTIFS(実績!$W$6:$W$505,AX$3,実績!$AI$6:$AI$505,"&lt;="&amp;$A97,実績!$AJ$6:$AJ$505,"&gt;"&amp;$A97,実績!$AK$6:$AK$505,"○")&gt;0,1,0))</f>
        <v>0</v>
      </c>
      <c r="AY97" s="39" t="n">
        <f aca="false">IF(AY$4=0,0,IF(COUNTIFS(実績!$W$6:$W$505,AY$3,実績!$AI$6:$AI$505,"&lt;="&amp;$A97,実績!$AJ$6:$AJ$505,"&gt;"&amp;$A97,実績!$AK$6:$AK$505,"○")&gt;0,1,0))</f>
        <v>0</v>
      </c>
      <c r="AZ97" s="39" t="n">
        <f aca="false">IF(AZ$4=0,0,IF(COUNTIFS(実績!$W$6:$W$505,AZ$3,実績!$AI$6:$AI$505,"&lt;="&amp;$A97,実績!$AJ$6:$AJ$505,"&gt;"&amp;$A97,実績!$AK$6:$AK$505,"○")&gt;0,1,0))</f>
        <v>0</v>
      </c>
      <c r="BA97" s="39" t="n">
        <f aca="false">IF(BA$4=0,0,IF(COUNTIFS(実績!$W$6:$W$505,BA$3,実績!$AI$6:$AI$505,"&lt;="&amp;$A97,実績!$AJ$6:$AJ$505,"&gt;"&amp;$A97,実績!$AK$6:$AK$505,"○")&gt;0,1,0))</f>
        <v>0</v>
      </c>
      <c r="BB97" s="39" t="n">
        <f aca="false">IF(BB$4=0,0,IF(COUNTIFS(実績!$W$6:$W$505,BB$3,実績!$AI$6:$AI$505,"&lt;="&amp;$A97,実績!$AJ$6:$AJ$505,"&gt;"&amp;$A97,実績!$AK$6:$AK$505,"○")&gt;0,1,0))</f>
        <v>0</v>
      </c>
      <c r="BC97" s="39" t="n">
        <f aca="false">IF(BC$4=0,0,IF(COUNTIFS(実績!$W$6:$W$505,BC$3,実績!$AI$6:$AI$505,"&lt;="&amp;$A97,実績!$AJ$6:$AJ$505,"&gt;"&amp;$A97,実績!$AK$6:$AK$505,"○")&gt;0,1,0))</f>
        <v>0</v>
      </c>
      <c r="BD97" s="39" t="n">
        <f aca="false">IF(BD$4=0,0,IF(COUNTIFS(実績!$W$6:$W$505,BD$3,実績!$AI$6:$AI$505,"&lt;="&amp;$A97,実績!$AJ$6:$AJ$505,"&gt;"&amp;$A97,実績!$AK$6:$AK$505,"○")&gt;0,1,0))</f>
        <v>0</v>
      </c>
      <c r="BE97" s="39" t="n">
        <f aca="false">IF(BE$4=0,0,IF(COUNTIFS(実績!$W$6:$W$505,BE$3,実績!$AI$6:$AI$505,"&lt;="&amp;$A97,実績!$AJ$6:$AJ$505,"&gt;"&amp;$A97,実績!$AK$6:$AK$505,"○")&gt;0,1,0))</f>
        <v>0</v>
      </c>
      <c r="BF97" s="39" t="n">
        <f aca="false">IF(BF$4=0,0,IF(COUNTIFS(実績!$W$6:$W$505,BF$3,実績!$AI$6:$AI$505,"&lt;="&amp;$A97,実績!$AJ$6:$AJ$505,"&gt;"&amp;$A97,実績!$AK$6:$AK$505,"○")&gt;0,1,0))</f>
        <v>0</v>
      </c>
      <c r="BG97" s="39" t="n">
        <f aca="false">IF(BG$4=0,0,IF(COUNTIFS(実績!$W$6:$W$505,BG$3,実績!$AI$6:$AI$505,"&lt;="&amp;$A97,実績!$AJ$6:$AJ$505,"&gt;"&amp;$A97,実績!$AK$6:$AK$505,"○")&gt;0,1,0))</f>
        <v>0</v>
      </c>
      <c r="BH97" s="39" t="n">
        <f aca="false">IF(BH$4=0,0,IF(COUNTIFS(実績!$W$6:$W$505,BH$3,実績!$AI$6:$AI$505,"&lt;="&amp;$A97,実績!$AJ$6:$AJ$505,"&gt;"&amp;$A97,実績!$AK$6:$AK$505,"○")&gt;0,1,0))</f>
        <v>0</v>
      </c>
      <c r="BI97" s="39" t="n">
        <f aca="false">IF(BI$4=0,0,IF(COUNTIFS(実績!$W$6:$W$505,BI$3,実績!$AI$6:$AI$505,"&lt;="&amp;$A97,実績!$AJ$6:$AJ$505,"&gt;"&amp;$A97,実績!$AK$6:$AK$505,"○")&gt;0,1,0))</f>
        <v>0</v>
      </c>
      <c r="BJ97" s="39" t="n">
        <f aca="false">IF(BJ$4=0,0,IF(COUNTIFS(実績!$W$6:$W$505,BJ$3,実績!$AI$6:$AI$505,"&lt;="&amp;$A97,実績!$AJ$6:$AJ$505,"&gt;"&amp;$A97,実績!$AK$6:$AK$505,"○")&gt;0,1,0))</f>
        <v>0</v>
      </c>
      <c r="BK97" s="39" t="n">
        <f aca="false">IF(BK$4=0,0,IF(COUNTIFS(実績!$W$6:$W$505,BK$3,実績!$AI$6:$AI$505,"&lt;="&amp;$A97,実績!$AJ$6:$AJ$505,"&gt;"&amp;$A97,実績!$AK$6:$AK$505,"○")&gt;0,1,0))</f>
        <v>0</v>
      </c>
      <c r="BL97" s="39" t="n">
        <f aca="false">IF(BL$4=0,0,IF(COUNTIFS(実績!$W$6:$W$505,BL$3,実績!$AI$6:$AI$505,"&lt;="&amp;$A97,実績!$AJ$6:$AJ$505,"&gt;"&amp;$A97,実績!$AK$6:$AK$505,"○")&gt;0,1,0))</f>
        <v>0</v>
      </c>
      <c r="BM97" s="39" t="n">
        <f aca="false">IF(BM$4=0,0,IF(COUNTIFS(実績!$W$6:$W$505,BM$3,実績!$AI$6:$AI$505,"&lt;="&amp;$A97,実績!$AJ$6:$AJ$505,"&gt;"&amp;$A97,実績!$AK$6:$AK$505,"○")&gt;0,1,0))</f>
        <v>0</v>
      </c>
      <c r="BN97" s="39" t="n">
        <f aca="false">IF(BN$4=0,0,IF(COUNTIFS(実績!$W$6:$W$505,BN$3,実績!$AI$6:$AI$505,"&lt;="&amp;$A97,実績!$AJ$6:$AJ$505,"&gt;"&amp;$A97,実績!$AK$6:$AK$505,"○")&gt;0,1,0))</f>
        <v>0</v>
      </c>
      <c r="BO97" s="39" t="n">
        <f aca="false">IF(BO$4=0,0,IF(COUNTIFS(実績!$W$6:$W$505,BO$3,実績!$AI$6:$AI$505,"&lt;="&amp;$A97,実績!$AJ$6:$AJ$505,"&gt;"&amp;$A97,実績!$AK$6:$AK$505,"○")&gt;0,1,0))</f>
        <v>0</v>
      </c>
      <c r="BP97" s="39" t="n">
        <f aca="false">IF(BP$4=0,0,IF(COUNTIFS(実績!$W$6:$W$505,BP$3,実績!$AI$6:$AI$505,"&lt;="&amp;$A97,実績!$AJ$6:$AJ$505,"&gt;"&amp;$A97,実績!$AK$6:$AK$505,"○")&gt;0,1,0))</f>
        <v>0</v>
      </c>
      <c r="BQ97" s="39" t="n">
        <f aca="false">IF(BQ$4=0,0,IF(COUNTIFS(実績!$W$6:$W$505,BQ$3,実績!$AI$6:$AI$505,"&lt;="&amp;$A97,実績!$AJ$6:$AJ$505,"&gt;"&amp;$A97,実績!$AK$6:$AK$505,"○")&gt;0,1,0))</f>
        <v>0</v>
      </c>
      <c r="BR97" s="39" t="n">
        <f aca="false">IF(BR$4=0,0,IF(COUNTIFS(実績!$W$6:$W$505,BR$3,実績!$AI$6:$AI$505,"&lt;="&amp;$A97,実績!$AJ$6:$AJ$505,"&gt;"&amp;$A97,実績!$AK$6:$AK$505,"○")&gt;0,1,0))</f>
        <v>0</v>
      </c>
      <c r="BS97" s="39" t="n">
        <f aca="false">IF(BS$4=0,0,IF(COUNTIFS(実績!$W$6:$W$505,BS$3,実績!$AI$6:$AI$505,"&lt;="&amp;$A97,実績!$AJ$6:$AJ$505,"&gt;"&amp;$A97,実績!$AK$6:$AK$505,"○")&gt;0,1,0))</f>
        <v>0</v>
      </c>
      <c r="BT97" s="39" t="n">
        <f aca="false">IF(BT$4=0,0,IF(COUNTIFS(実績!$W$6:$W$505,BT$3,実績!$AI$6:$AI$505,"&lt;="&amp;$A97,実績!$AJ$6:$AJ$505,"&gt;"&amp;$A97,実績!$AK$6:$AK$505,"○")&gt;0,1,0))</f>
        <v>0</v>
      </c>
      <c r="BU97" s="39" t="n">
        <f aca="false">IF(BU$4=0,0,IF(COUNTIFS(実績!$W$6:$W$505,BU$3,実績!$AI$6:$AI$505,"&lt;="&amp;$A97,実績!$AJ$6:$AJ$505,"&gt;"&amp;$A97,実績!$AK$6:$AK$505,"○")&gt;0,1,0))</f>
        <v>0</v>
      </c>
      <c r="BV97" s="39" t="n">
        <f aca="false">IF(BV$4=0,0,IF(COUNTIFS(実績!$W$6:$W$505,BV$3,実績!$AI$6:$AI$505,"&lt;="&amp;$A97,実績!$AJ$6:$AJ$505,"&gt;"&amp;$A97,実績!$AK$6:$AK$505,"○")&gt;0,1,0))</f>
        <v>0</v>
      </c>
      <c r="BW97" s="39" t="n">
        <f aca="false">IF(BW$4=0,0,IF(COUNTIFS(実績!$W$6:$W$505,BW$3,実績!$AI$6:$AI$505,"&lt;="&amp;$A97,実績!$AJ$6:$AJ$505,"&gt;"&amp;$A97,実績!$AK$6:$AK$505,"○")&gt;0,1,0))</f>
        <v>0</v>
      </c>
      <c r="BX97" s="39" t="n">
        <f aca="false">IF(BX$4=0,0,IF(COUNTIFS(実績!$W$6:$W$505,BX$3,実績!$AI$6:$AI$505,"&lt;="&amp;$A97,実績!$AJ$6:$AJ$505,"&gt;"&amp;$A97,実績!$AK$6:$AK$505,"○")&gt;0,1,0))</f>
        <v>0</v>
      </c>
      <c r="BY97" s="39" t="n">
        <f aca="false">IF(BY$4=0,0,IF(COUNTIFS(実績!$W$6:$W$505,BY$3,実績!$AI$6:$AI$505,"&lt;="&amp;$A97,実績!$AJ$6:$AJ$505,"&gt;"&amp;$A97,実績!$AK$6:$AK$505,"○")&gt;0,1,0))</f>
        <v>0</v>
      </c>
      <c r="BZ97" s="39" t="n">
        <f aca="false">IF(BZ$4=0,0,IF(COUNTIFS(実績!$W$6:$W$505,BZ$3,実績!$AI$6:$AI$505,"&lt;="&amp;$A97,実績!$AJ$6:$AJ$505,"&gt;"&amp;$A97,実績!$AK$6:$AK$505,"○")&gt;0,1,0))</f>
        <v>0</v>
      </c>
      <c r="CA97" s="39" t="n">
        <f aca="false">IF(CA$4=0,0,IF(COUNTIFS(実績!$W$6:$W$505,CA$3,実績!$AI$6:$AI$505,"&lt;="&amp;$A97,実績!$AJ$6:$AJ$505,"&gt;"&amp;$A97,実績!$AK$6:$AK$505,"○")&gt;0,1,0))</f>
        <v>0</v>
      </c>
      <c r="CB97" s="39" t="n">
        <f aca="false">IF(CB$4=0,0,IF(COUNTIFS(実績!$W$6:$W$505,CB$3,実績!$AI$6:$AI$505,"&lt;="&amp;$A97,実績!$AJ$6:$AJ$505,"&gt;"&amp;$A97,実績!$AK$6:$AK$505,"○")&gt;0,1,0))</f>
        <v>0</v>
      </c>
      <c r="CC97" s="39" t="n">
        <f aca="false">IF(CC$4=0,0,IF(COUNTIFS(実績!$W$6:$W$505,CC$3,実績!$AI$6:$AI$505,"&lt;="&amp;$A97,実績!$AJ$6:$AJ$505,"&gt;"&amp;$A97,実績!$AK$6:$AK$505,"○")&gt;0,1,0))</f>
        <v>0</v>
      </c>
      <c r="CD97" s="39" t="n">
        <f aca="false">IF(CD$4=0,0,IF(COUNTIFS(実績!$W$6:$W$505,CD$3,実績!$AI$6:$AI$505,"&lt;="&amp;$A97,実績!$AJ$6:$AJ$505,"&gt;"&amp;$A97,実績!$AK$6:$AK$505,"○")&gt;0,1,0))</f>
        <v>0</v>
      </c>
      <c r="CE97" s="39" t="n">
        <f aca="false">IF(CE$4=0,0,IF(COUNTIFS(実績!$W$6:$W$505,CE$3,実績!$AI$6:$AI$505,"&lt;="&amp;$A97,実績!$AJ$6:$AJ$505,"&gt;"&amp;$A97,実績!$AK$6:$AK$505,"○")&gt;0,1,0))</f>
        <v>0</v>
      </c>
      <c r="CF97" s="39" t="n">
        <f aca="false">IF(CF$4=0,0,IF(COUNTIFS(実績!$W$6:$W$505,CF$3,実績!$AI$6:$AI$505,"&lt;="&amp;$A97,実績!$AJ$6:$AJ$505,"&gt;"&amp;$A97,実績!$AK$6:$AK$505,"○")&gt;0,1,0))</f>
        <v>0</v>
      </c>
      <c r="CG97" s="39" t="n">
        <f aca="false">IF(CG$4=0,0,IF(COUNTIFS(実績!$W$6:$W$505,CG$3,実績!$AI$6:$AI$505,"&lt;="&amp;$A97,実績!$AJ$6:$AJ$505,"&gt;"&amp;$A97,実績!$AK$6:$AK$505,"○")&gt;0,1,0))</f>
        <v>0</v>
      </c>
      <c r="CH97" s="39" t="n">
        <f aca="false">IF(CH$4=0,0,IF(COUNTIFS(実績!$W$6:$W$505,CH$3,実績!$AI$6:$AI$505,"&lt;="&amp;$A97,実績!$AJ$6:$AJ$505,"&gt;"&amp;$A97,実績!$AK$6:$AK$505,"○")&gt;0,1,0))</f>
        <v>0</v>
      </c>
      <c r="CI97" s="39" t="n">
        <f aca="false">IF(CI$4=0,0,IF(COUNTIFS(実績!$W$6:$W$505,CI$3,実績!$AI$6:$AI$505,"&lt;="&amp;$A97,実績!$AJ$6:$AJ$505,"&gt;"&amp;$A97,実績!$AK$6:$AK$505,"○")&gt;0,1,0))</f>
        <v>0</v>
      </c>
      <c r="CJ97" s="39" t="n">
        <f aca="false">IF(CJ$4=0,0,IF(COUNTIFS(実績!$W$6:$W$505,CJ$3,実績!$AI$6:$AI$505,"&lt;="&amp;$A97,実績!$AJ$6:$AJ$505,"&gt;"&amp;$A97,実績!$AK$6:$AK$505,"○")&gt;0,1,0))</f>
        <v>0</v>
      </c>
      <c r="CK97" s="39" t="n">
        <f aca="false">IF(CK$4=0,0,IF(COUNTIFS(実績!$W$6:$W$505,CK$3,実績!$AI$6:$AI$505,"&lt;="&amp;$A97,実績!$AJ$6:$AJ$505,"&gt;"&amp;$A97,実績!$AK$6:$AK$505,"○")&gt;0,1,0))</f>
        <v>0</v>
      </c>
      <c r="CL97" s="39" t="n">
        <f aca="false">IF(CL$4=0,0,IF(COUNTIFS(実績!$W$6:$W$505,CL$3,実績!$AI$6:$AI$505,"&lt;="&amp;$A97,実績!$AJ$6:$AJ$505,"&gt;"&amp;$A97,実績!$AK$6:$AK$505,"○")&gt;0,1,0))</f>
        <v>0</v>
      </c>
      <c r="CM97" s="39" t="n">
        <f aca="false">IF(CM$4=0,0,IF(COUNTIFS(実績!$W$6:$W$505,CM$3,実績!$AI$6:$AI$505,"&lt;="&amp;$A97,実績!$AJ$6:$AJ$505,"&gt;"&amp;$A97,実績!$AK$6:$AK$505,"○")&gt;0,1,0))</f>
        <v>0</v>
      </c>
      <c r="CN97" s="39" t="n">
        <f aca="false">IF(CN$4=0,0,IF(COUNTIFS(実績!$W$6:$W$505,CN$3,実績!$AI$6:$AI$505,"&lt;="&amp;$A97,実績!$AJ$6:$AJ$505,"&gt;"&amp;$A97,実績!$AK$6:$AK$505,"○")&gt;0,1,0))</f>
        <v>0</v>
      </c>
      <c r="CO97" s="39" t="n">
        <f aca="false">IF(CO$4=0,0,IF(COUNTIFS(実績!$W$6:$W$505,CO$3,実績!$AI$6:$AI$505,"&lt;="&amp;$A97,実績!$AJ$6:$AJ$505,"&gt;"&amp;$A97,実績!$AK$6:$AK$505,"○")&gt;0,1,0))</f>
        <v>0</v>
      </c>
      <c r="CP97" s="39" t="n">
        <f aca="false">IF(CP$4=0,0,IF(COUNTIFS(実績!$W$6:$W$505,CP$3,実績!$AI$6:$AI$505,"&lt;="&amp;$A97,実績!$AJ$6:$AJ$505,"&gt;"&amp;$A97,実績!$AK$6:$AK$505,"○")&gt;0,1,0))</f>
        <v>0</v>
      </c>
      <c r="CQ97" s="39" t="n">
        <f aca="false">IF(CQ$4=0,0,IF(COUNTIFS(実績!$W$6:$W$505,CQ$3,実績!$AI$6:$AI$505,"&lt;="&amp;$A97,実績!$AJ$6:$AJ$505,"&gt;"&amp;$A97,実績!$AK$6:$AK$505,"○")&gt;0,1,0))</f>
        <v>0</v>
      </c>
      <c r="CR97" s="39" t="n">
        <f aca="false">IF(CR$4=0,0,IF(COUNTIFS(実績!$W$6:$W$505,CR$3,実績!$AI$6:$AI$505,"&lt;="&amp;$A97,実績!$AJ$6:$AJ$505,"&gt;"&amp;$A97,実績!$AK$6:$AK$505,"○")&gt;0,1,0))</f>
        <v>0</v>
      </c>
      <c r="CS97" s="39" t="n">
        <f aca="false">IF(CS$4=0,0,IF(COUNTIFS(実績!$W$6:$W$505,CS$3,実績!$AI$6:$AI$505,"&lt;="&amp;$A97,実績!$AJ$6:$AJ$505,"&gt;"&amp;$A97,実績!$AK$6:$AK$505,"○")&gt;0,1,0))</f>
        <v>0</v>
      </c>
      <c r="CT97" s="39" t="n">
        <f aca="false">IF(CT$4=0,0,IF(COUNTIFS(実績!$W$6:$W$505,CT$3,実績!$AI$6:$AI$505,"&lt;="&amp;$A97,実績!$AJ$6:$AJ$505,"&gt;"&amp;$A97,実績!$AK$6:$AK$505,"○")&gt;0,1,0))</f>
        <v>0</v>
      </c>
      <c r="CU97" s="39" t="n">
        <f aca="false">IF(CU$4=0,0,IF(COUNTIFS(実績!$W$6:$W$505,CU$3,実績!$AI$6:$AI$505,"&lt;="&amp;$A97,実績!$AJ$6:$AJ$505,"&gt;"&amp;$A97,実績!$AK$6:$AK$505,"○")&gt;0,1,0))</f>
        <v>0</v>
      </c>
      <c r="CV97" s="39" t="n">
        <f aca="false">IF(CV$4=0,0,IF(COUNTIFS(実績!$W$6:$W$505,CV$3,実績!$AI$6:$AI$505,"&lt;="&amp;$A97,実績!$AJ$6:$AJ$505,"&gt;"&amp;$A97,実績!$AK$6:$AK$505,"○")&gt;0,1,0))</f>
        <v>0</v>
      </c>
      <c r="CW97" s="39" t="n">
        <f aca="false">IF(CW$4=0,0,IF(COUNTIFS(実績!$W$6:$W$505,CW$3,実績!$AI$6:$AI$505,"&lt;="&amp;$A97,実績!$AJ$6:$AJ$505,"&gt;"&amp;$A97,実績!$AK$6:$AK$505,"○")&gt;0,1,0))</f>
        <v>0</v>
      </c>
      <c r="CX97" s="39" t="n">
        <f aca="false">IF(CX$4=0,0,IF(COUNTIFS(実績!$W$6:$W$505,CX$3,実績!$AI$6:$AI$505,"&lt;="&amp;$A97,実績!$AJ$6:$AJ$505,"&gt;"&amp;$A97,実績!$AK$6:$AK$505,"○")&gt;0,1,0))</f>
        <v>0</v>
      </c>
      <c r="CY97" s="39" t="n">
        <f aca="false">IF(CY$4=0,0,IF(COUNTIFS(実績!$W$6:$W$505,CY$3,実績!$AI$6:$AI$505,"&lt;="&amp;$A97,実績!$AJ$6:$AJ$505,"&gt;"&amp;$A97,実績!$AK$6:$AK$505,"○")&gt;0,1,0))</f>
        <v>0</v>
      </c>
      <c r="CZ97" s="39" t="n">
        <f aca="false">IF(CZ$4=0,0,IF(COUNTIFS(実績!$W$6:$W$505,CZ$3,実績!$AI$6:$AI$505,"&lt;="&amp;$A97,実績!$AJ$6:$AJ$505,"&gt;"&amp;$A97,実績!$AK$6:$AK$505,"○")&gt;0,1,0))</f>
        <v>0</v>
      </c>
      <c r="DA97" s="39" t="n">
        <f aca="false">IF(DA$4=0,0,IF(COUNTIFS(実績!$W$6:$W$505,DA$3,実績!$AI$6:$AI$505,"&lt;="&amp;$A97,実績!$AJ$6:$AJ$505,"&gt;"&amp;$A97,実績!$AK$6:$AK$505,"○")&gt;0,1,0))</f>
        <v>0</v>
      </c>
      <c r="DB97" s="39" t="n">
        <f aca="false">IF(DB$4=0,0,IF(COUNTIFS(実績!$W$6:$W$505,DB$3,実績!$AI$6:$AI$505,"&lt;="&amp;$A97,実績!$AJ$6:$AJ$505,"&gt;"&amp;$A97,実績!$AK$6:$AK$505,"○")&gt;0,1,0))</f>
        <v>0</v>
      </c>
      <c r="DC97" s="39" t="n">
        <f aca="false">IF(DC$4=0,0,IF(COUNTIFS(実績!$W$6:$W$505,DC$3,実績!$AI$6:$AI$505,"&lt;="&amp;$A97,実績!$AJ$6:$AJ$505,"&gt;"&amp;$A97,実績!$AK$6:$AK$505,"○")&gt;0,1,0))</f>
        <v>0</v>
      </c>
      <c r="DD97" s="39" t="n">
        <f aca="false">IF(DD$4=0,0,IF(COUNTIFS(実績!$W$6:$W$505,DD$3,実績!$AI$6:$AI$505,"&lt;="&amp;$A97,実績!$AJ$6:$AJ$505,"&gt;"&amp;$A97,実績!$AK$6:$AK$505,"○")&gt;0,1,0))</f>
        <v>0</v>
      </c>
      <c r="DE97" s="39" t="n">
        <f aca="false">IF(DE$4=0,0,IF(COUNTIFS(実績!$W$6:$W$505,DE$3,実績!$AI$6:$AI$505,"&lt;="&amp;$A97,実績!$AJ$6:$AJ$505,"&gt;"&amp;$A97,実績!$AK$6:$AK$505,"○")&gt;0,1,0))</f>
        <v>0</v>
      </c>
      <c r="DF97" s="39" t="n">
        <f aca="false">IF(DF$4=0,0,IF(COUNTIFS(実績!$W$6:$W$505,DF$3,実績!$AI$6:$AI$505,"&lt;="&amp;$A97,実績!$AJ$6:$AJ$505,"&gt;"&amp;$A97,実績!$AK$6:$AK$505,"○")&gt;0,1,0))</f>
        <v>0</v>
      </c>
      <c r="DG97" s="39" t="n">
        <f aca="false">IF(DG$4=0,0,IF(COUNTIFS(実績!$W$6:$W$505,DG$3,実績!$AI$6:$AI$505,"&lt;="&amp;$A97,実績!$AJ$6:$AJ$505,"&gt;"&amp;$A97,実績!$AK$6:$AK$505,"○")&gt;0,1,0))</f>
        <v>0</v>
      </c>
      <c r="DH97" s="39" t="n">
        <f aca="false">IF(DH$4=0,0,IF(COUNTIFS(実績!$W$6:$W$505,DH$3,実績!$AI$6:$AI$505,"&lt;="&amp;$A97,実績!$AJ$6:$AJ$505,"&gt;"&amp;$A97,実績!$AK$6:$AK$505,"○")&gt;0,1,0))</f>
        <v>0</v>
      </c>
      <c r="DI97" s="39" t="n">
        <f aca="false">IF(DI$4=0,0,IF(COUNTIFS(実績!$W$6:$W$505,DI$3,実績!$AI$6:$AI$505,"&lt;="&amp;$A97,実績!$AJ$6:$AJ$505,"&gt;"&amp;$A97,実績!$AK$6:$AK$505,"○")&gt;0,1,0))</f>
        <v>0</v>
      </c>
      <c r="DJ97" s="39" t="n">
        <f aca="false">IF(DJ$4=0,0,IF(COUNTIFS(実績!$W$6:$W$505,DJ$3,実績!$AI$6:$AI$505,"&lt;="&amp;$A97,実績!$AJ$6:$AJ$505,"&gt;"&amp;$A97,実績!$AK$6:$AK$505,"○")&gt;0,1,0))</f>
        <v>0</v>
      </c>
      <c r="DK97" s="39" t="n">
        <f aca="false">IF(DK$4=0,0,IF(COUNTIFS(実績!$W$6:$W$505,DK$3,実績!$AI$6:$AI$505,"&lt;="&amp;$A97,実績!$AJ$6:$AJ$505,"&gt;"&amp;$A97,実績!$AK$6:$AK$505,"○")&gt;0,1,0))</f>
        <v>0</v>
      </c>
      <c r="DL97" s="39" t="n">
        <f aca="false">IF(DL$4=0,0,IF(COUNTIFS(実績!$W$6:$W$505,DL$3,実績!$AI$6:$AI$505,"&lt;="&amp;$A97,実績!$AJ$6:$AJ$505,"&gt;"&amp;$A97,実績!$AK$6:$AK$505,"○")&gt;0,1,0))</f>
        <v>0</v>
      </c>
      <c r="DM97" s="39" t="n">
        <f aca="false">IF(DM$4=0,0,IF(COUNTIFS(実績!$W$6:$W$505,DM$3,実績!$AI$6:$AI$505,"&lt;="&amp;$A97,実績!$AJ$6:$AJ$505,"&gt;"&amp;$A97,実績!$AK$6:$AK$505,"○")&gt;0,1,0))</f>
        <v>0</v>
      </c>
      <c r="DN97" s="39" t="n">
        <f aca="false">IF(DN$4=0,0,IF(COUNTIFS(実績!$W$6:$W$505,DN$3,実績!$AI$6:$AI$505,"&lt;="&amp;$A97,実績!$AJ$6:$AJ$505,"&gt;"&amp;$A97,実績!$AK$6:$AK$505,"○")&gt;0,1,0))</f>
        <v>0</v>
      </c>
      <c r="DO97" s="39" t="n">
        <f aca="false">IF(DO$4=0,0,IF(COUNTIFS(実績!$W$6:$W$505,DO$3,実績!$AI$6:$AI$505,"&lt;="&amp;$A97,実績!$AJ$6:$AJ$505,"&gt;"&amp;$A97,実績!$AK$6:$AK$505,"○")&gt;0,1,0))</f>
        <v>0</v>
      </c>
      <c r="DP97" s="39" t="n">
        <f aca="false">IF(DP$4=0,0,IF(COUNTIFS(実績!$W$6:$W$505,DP$3,実績!$AI$6:$AI$505,"&lt;="&amp;$A97,実績!$AJ$6:$AJ$505,"&gt;"&amp;$A97,実績!$AK$6:$AK$505,"○")&gt;0,1,0))</f>
        <v>0</v>
      </c>
      <c r="DQ97" s="39" t="n">
        <f aca="false">IF(DQ$4=0,0,IF(COUNTIFS(実績!$W$6:$W$505,DQ$3,実績!$AI$6:$AI$505,"&lt;="&amp;$A97,実績!$AJ$6:$AJ$505,"&gt;"&amp;$A97,実績!$AK$6:$AK$505,"○")&gt;0,1,0))</f>
        <v>0</v>
      </c>
      <c r="DR97" s="39" t="n">
        <f aca="false">IF(DR$4=0,0,IF(COUNTIFS(実績!$W$6:$W$505,DR$3,実績!$AI$6:$AI$505,"&lt;="&amp;$A97,実績!$AJ$6:$AJ$505,"&gt;"&amp;$A97,実績!$AK$6:$AK$505,"○")&gt;0,1,0))</f>
        <v>0</v>
      </c>
      <c r="DS97" s="39" t="n">
        <f aca="false">SUM(C97:DR97)</f>
        <v>0</v>
      </c>
      <c r="DT97" s="39" t="n">
        <f aca="false">SUMPRODUCT((実績!$C$6:$C$505="○")*ISNUMBER(実績!$AM$6:$AM$505)*(実績!$AM$6:$AM$505&lt;=$A97)*(実績!$AN$6:$AN$505&gt;$A97))</f>
        <v>0</v>
      </c>
      <c r="DU97" s="39" t="n">
        <f aca="false">SUMIF($C$2:$DR$2,"製鉄曳船",C97:DR97)</f>
        <v>0</v>
      </c>
      <c r="DV97" s="39" t="n">
        <f aca="false">SUMIF($C$2:$DR$2,"西日本海運",C97:DR97)</f>
        <v>0</v>
      </c>
    </row>
    <row r="98" customFormat="false" ht="15" hidden="false" customHeight="false" outlineLevel="0" collapsed="false">
      <c r="A98" s="0" t="n">
        <v>460</v>
      </c>
      <c r="B98" s="38" t="n">
        <f aca="false">A98/1440</f>
        <v>0.319444444444444</v>
      </c>
      <c r="C98" s="39" t="n">
        <f aca="false">IF(C$4=0,0,IF(COUNTIFS(実績!$W$6:$W$505,C$3,実績!$AI$6:$AI$505,"&lt;="&amp;$A98,実績!$AJ$6:$AJ$505,"&gt;"&amp;$A98,実績!$AK$6:$AK$505,"○")&gt;0,1,0))</f>
        <v>0</v>
      </c>
      <c r="D98" s="39" t="n">
        <f aca="false">IF(D$4=0,0,IF(COUNTIFS(実績!$W$6:$W$505,D$3,実績!$AI$6:$AI$505,"&lt;="&amp;$A98,実績!$AJ$6:$AJ$505,"&gt;"&amp;$A98,実績!$AK$6:$AK$505,"○")&gt;0,1,0))</f>
        <v>0</v>
      </c>
      <c r="E98" s="39" t="n">
        <f aca="false">IF(E$4=0,0,IF(COUNTIFS(実績!$W$6:$W$505,E$3,実績!$AI$6:$AI$505,"&lt;="&amp;$A98,実績!$AJ$6:$AJ$505,"&gt;"&amp;$A98,実績!$AK$6:$AK$505,"○")&gt;0,1,0))</f>
        <v>0</v>
      </c>
      <c r="F98" s="39" t="n">
        <f aca="false">IF(F$4=0,0,IF(COUNTIFS(実績!$W$6:$W$505,F$3,実績!$AI$6:$AI$505,"&lt;="&amp;$A98,実績!$AJ$6:$AJ$505,"&gt;"&amp;$A98,実績!$AK$6:$AK$505,"○")&gt;0,1,0))</f>
        <v>0</v>
      </c>
      <c r="G98" s="39" t="n">
        <f aca="false">IF(G$4=0,0,IF(COUNTIFS(実績!$W$6:$W$505,G$3,実績!$AI$6:$AI$505,"&lt;="&amp;$A98,実績!$AJ$6:$AJ$505,"&gt;"&amp;$A98,実績!$AK$6:$AK$505,"○")&gt;0,1,0))</f>
        <v>0</v>
      </c>
      <c r="H98" s="39" t="n">
        <f aca="false">IF(H$4=0,0,IF(COUNTIFS(実績!$W$6:$W$505,H$3,実績!$AI$6:$AI$505,"&lt;="&amp;$A98,実績!$AJ$6:$AJ$505,"&gt;"&amp;$A98,実績!$AK$6:$AK$505,"○")&gt;0,1,0))</f>
        <v>0</v>
      </c>
      <c r="I98" s="39" t="n">
        <f aca="false">IF(I$4=0,0,IF(COUNTIFS(実績!$W$6:$W$505,I$3,実績!$AI$6:$AI$505,"&lt;="&amp;$A98,実績!$AJ$6:$AJ$505,"&gt;"&amp;$A98,実績!$AK$6:$AK$505,"○")&gt;0,1,0))</f>
        <v>0</v>
      </c>
      <c r="J98" s="39" t="n">
        <f aca="false">IF(J$4=0,0,IF(COUNTIFS(実績!$W$6:$W$505,J$3,実績!$AI$6:$AI$505,"&lt;="&amp;$A98,実績!$AJ$6:$AJ$505,"&gt;"&amp;$A98,実績!$AK$6:$AK$505,"○")&gt;0,1,0))</f>
        <v>0</v>
      </c>
      <c r="K98" s="39" t="n">
        <f aca="false">IF(K$4=0,0,IF(COUNTIFS(実績!$W$6:$W$505,K$3,実績!$AI$6:$AI$505,"&lt;="&amp;$A98,実績!$AJ$6:$AJ$505,"&gt;"&amp;$A98,実績!$AK$6:$AK$505,"○")&gt;0,1,0))</f>
        <v>0</v>
      </c>
      <c r="L98" s="39" t="n">
        <f aca="false">IF(L$4=0,0,IF(COUNTIFS(実績!$W$6:$W$505,L$3,実績!$AI$6:$AI$505,"&lt;="&amp;$A98,実績!$AJ$6:$AJ$505,"&gt;"&amp;$A98,実績!$AK$6:$AK$505,"○")&gt;0,1,0))</f>
        <v>0</v>
      </c>
      <c r="M98" s="39" t="n">
        <f aca="false">IF(M$4=0,0,IF(COUNTIFS(実績!$W$6:$W$505,M$3,実績!$AI$6:$AI$505,"&lt;="&amp;$A98,実績!$AJ$6:$AJ$505,"&gt;"&amp;$A98,実績!$AK$6:$AK$505,"○")&gt;0,1,0))</f>
        <v>0</v>
      </c>
      <c r="N98" s="39" t="n">
        <f aca="false">IF(N$4=0,0,IF(COUNTIFS(実績!$W$6:$W$505,N$3,実績!$AI$6:$AI$505,"&lt;="&amp;$A98,実績!$AJ$6:$AJ$505,"&gt;"&amp;$A98,実績!$AK$6:$AK$505,"○")&gt;0,1,0))</f>
        <v>0</v>
      </c>
      <c r="O98" s="39" t="n">
        <f aca="false">IF(O$4=0,0,IF(COUNTIFS(実績!$W$6:$W$505,O$3,実績!$AI$6:$AI$505,"&lt;="&amp;$A98,実績!$AJ$6:$AJ$505,"&gt;"&amp;$A98,実績!$AK$6:$AK$505,"○")&gt;0,1,0))</f>
        <v>0</v>
      </c>
      <c r="P98" s="39" t="n">
        <f aca="false">IF(P$4=0,0,IF(COUNTIFS(実績!$W$6:$W$505,P$3,実績!$AI$6:$AI$505,"&lt;="&amp;$A98,実績!$AJ$6:$AJ$505,"&gt;"&amp;$A98,実績!$AK$6:$AK$505,"○")&gt;0,1,0))</f>
        <v>0</v>
      </c>
      <c r="Q98" s="39" t="n">
        <f aca="false">IF(Q$4=0,0,IF(COUNTIFS(実績!$W$6:$W$505,Q$3,実績!$AI$6:$AI$505,"&lt;="&amp;$A98,実績!$AJ$6:$AJ$505,"&gt;"&amp;$A98,実績!$AK$6:$AK$505,"○")&gt;0,1,0))</f>
        <v>0</v>
      </c>
      <c r="R98" s="39" t="n">
        <f aca="false">IF(R$4=0,0,IF(COUNTIFS(実績!$W$6:$W$505,R$3,実績!$AI$6:$AI$505,"&lt;="&amp;$A98,実績!$AJ$6:$AJ$505,"&gt;"&amp;$A98,実績!$AK$6:$AK$505,"○")&gt;0,1,0))</f>
        <v>0</v>
      </c>
      <c r="S98" s="39" t="n">
        <f aca="false">IF(S$4=0,0,IF(COUNTIFS(実績!$W$6:$W$505,S$3,実績!$AI$6:$AI$505,"&lt;="&amp;$A98,実績!$AJ$6:$AJ$505,"&gt;"&amp;$A98,実績!$AK$6:$AK$505,"○")&gt;0,1,0))</f>
        <v>0</v>
      </c>
      <c r="T98" s="39" t="n">
        <f aca="false">IF(T$4=0,0,IF(COUNTIFS(実績!$W$6:$W$505,T$3,実績!$AI$6:$AI$505,"&lt;="&amp;$A98,実績!$AJ$6:$AJ$505,"&gt;"&amp;$A98,実績!$AK$6:$AK$505,"○")&gt;0,1,0))</f>
        <v>0</v>
      </c>
      <c r="U98" s="39" t="n">
        <f aca="false">IF(U$4=0,0,IF(COUNTIFS(実績!$W$6:$W$505,U$3,実績!$AI$6:$AI$505,"&lt;="&amp;$A98,実績!$AJ$6:$AJ$505,"&gt;"&amp;$A98,実績!$AK$6:$AK$505,"○")&gt;0,1,0))</f>
        <v>0</v>
      </c>
      <c r="V98" s="39" t="n">
        <f aca="false">IF(V$4=0,0,IF(COUNTIFS(実績!$W$6:$W$505,V$3,実績!$AI$6:$AI$505,"&lt;="&amp;$A98,実績!$AJ$6:$AJ$505,"&gt;"&amp;$A98,実績!$AK$6:$AK$505,"○")&gt;0,1,0))</f>
        <v>0</v>
      </c>
      <c r="W98" s="39" t="n">
        <f aca="false">IF(W$4=0,0,IF(COUNTIFS(実績!$W$6:$W$505,W$3,実績!$AI$6:$AI$505,"&lt;="&amp;$A98,実績!$AJ$6:$AJ$505,"&gt;"&amp;$A98,実績!$AK$6:$AK$505,"○")&gt;0,1,0))</f>
        <v>0</v>
      </c>
      <c r="X98" s="39" t="n">
        <f aca="false">IF(X$4=0,0,IF(COUNTIFS(実績!$W$6:$W$505,X$3,実績!$AI$6:$AI$505,"&lt;="&amp;$A98,実績!$AJ$6:$AJ$505,"&gt;"&amp;$A98,実績!$AK$6:$AK$505,"○")&gt;0,1,0))</f>
        <v>0</v>
      </c>
      <c r="Y98" s="39" t="n">
        <f aca="false">IF(Y$4=0,0,IF(COUNTIFS(実績!$W$6:$W$505,Y$3,実績!$AI$6:$AI$505,"&lt;="&amp;$A98,実績!$AJ$6:$AJ$505,"&gt;"&amp;$A98,実績!$AK$6:$AK$505,"○")&gt;0,1,0))</f>
        <v>0</v>
      </c>
      <c r="Z98" s="39" t="n">
        <f aca="false">IF(Z$4=0,0,IF(COUNTIFS(実績!$W$6:$W$505,Z$3,実績!$AI$6:$AI$505,"&lt;="&amp;$A98,実績!$AJ$6:$AJ$505,"&gt;"&amp;$A98,実績!$AK$6:$AK$505,"○")&gt;0,1,0))</f>
        <v>0</v>
      </c>
      <c r="AA98" s="39" t="n">
        <f aca="false">IF(AA$4=0,0,IF(COUNTIFS(実績!$W$6:$W$505,AA$3,実績!$AI$6:$AI$505,"&lt;="&amp;$A98,実績!$AJ$6:$AJ$505,"&gt;"&amp;$A98,実績!$AK$6:$AK$505,"○")&gt;0,1,0))</f>
        <v>0</v>
      </c>
      <c r="AB98" s="39" t="n">
        <f aca="false">IF(AB$4=0,0,IF(COUNTIFS(実績!$W$6:$W$505,AB$3,実績!$AI$6:$AI$505,"&lt;="&amp;$A98,実績!$AJ$6:$AJ$505,"&gt;"&amp;$A98,実績!$AK$6:$AK$505,"○")&gt;0,1,0))</f>
        <v>0</v>
      </c>
      <c r="AC98" s="39" t="n">
        <f aca="false">IF(AC$4=0,0,IF(COUNTIFS(実績!$W$6:$W$505,AC$3,実績!$AI$6:$AI$505,"&lt;="&amp;$A98,実績!$AJ$6:$AJ$505,"&gt;"&amp;$A98,実績!$AK$6:$AK$505,"○")&gt;0,1,0))</f>
        <v>0</v>
      </c>
      <c r="AD98" s="39" t="n">
        <f aca="false">IF(AD$4=0,0,IF(COUNTIFS(実績!$W$6:$W$505,AD$3,実績!$AI$6:$AI$505,"&lt;="&amp;$A98,実績!$AJ$6:$AJ$505,"&gt;"&amp;$A98,実績!$AK$6:$AK$505,"○")&gt;0,1,0))</f>
        <v>0</v>
      </c>
      <c r="AE98" s="39" t="n">
        <f aca="false">IF(AE$4=0,0,IF(COUNTIFS(実績!$W$6:$W$505,AE$3,実績!$AI$6:$AI$505,"&lt;="&amp;$A98,実績!$AJ$6:$AJ$505,"&gt;"&amp;$A98,実績!$AK$6:$AK$505,"○")&gt;0,1,0))</f>
        <v>0</v>
      </c>
      <c r="AF98" s="39" t="n">
        <f aca="false">IF(AF$4=0,0,IF(COUNTIFS(実績!$W$6:$W$505,AF$3,実績!$AI$6:$AI$505,"&lt;="&amp;$A98,実績!$AJ$6:$AJ$505,"&gt;"&amp;$A98,実績!$AK$6:$AK$505,"○")&gt;0,1,0))</f>
        <v>0</v>
      </c>
      <c r="AG98" s="39" t="n">
        <f aca="false">IF(AG$4=0,0,IF(COUNTIFS(実績!$W$6:$W$505,AG$3,実績!$AI$6:$AI$505,"&lt;="&amp;$A98,実績!$AJ$6:$AJ$505,"&gt;"&amp;$A98,実績!$AK$6:$AK$505,"○")&gt;0,1,0))</f>
        <v>0</v>
      </c>
      <c r="AH98" s="39" t="n">
        <f aca="false">IF(AH$4=0,0,IF(COUNTIFS(実績!$W$6:$W$505,AH$3,実績!$AI$6:$AI$505,"&lt;="&amp;$A98,実績!$AJ$6:$AJ$505,"&gt;"&amp;$A98,実績!$AK$6:$AK$505,"○")&gt;0,1,0))</f>
        <v>0</v>
      </c>
      <c r="AI98" s="39" t="n">
        <f aca="false">IF(AI$4=0,0,IF(COUNTIFS(実績!$W$6:$W$505,AI$3,実績!$AI$6:$AI$505,"&lt;="&amp;$A98,実績!$AJ$6:$AJ$505,"&gt;"&amp;$A98,実績!$AK$6:$AK$505,"○")&gt;0,1,0))</f>
        <v>0</v>
      </c>
      <c r="AJ98" s="39" t="n">
        <f aca="false">IF(AJ$4=0,0,IF(COUNTIFS(実績!$W$6:$W$505,AJ$3,実績!$AI$6:$AI$505,"&lt;="&amp;$A98,実績!$AJ$6:$AJ$505,"&gt;"&amp;$A98,実績!$AK$6:$AK$505,"○")&gt;0,1,0))</f>
        <v>0</v>
      </c>
      <c r="AK98" s="39" t="n">
        <f aca="false">IF(AK$4=0,0,IF(COUNTIFS(実績!$W$6:$W$505,AK$3,実績!$AI$6:$AI$505,"&lt;="&amp;$A98,実績!$AJ$6:$AJ$505,"&gt;"&amp;$A98,実績!$AK$6:$AK$505,"○")&gt;0,1,0))</f>
        <v>0</v>
      </c>
      <c r="AL98" s="39" t="n">
        <f aca="false">IF(AL$4=0,0,IF(COUNTIFS(実績!$W$6:$W$505,AL$3,実績!$AI$6:$AI$505,"&lt;="&amp;$A98,実績!$AJ$6:$AJ$505,"&gt;"&amp;$A98,実績!$AK$6:$AK$505,"○")&gt;0,1,0))</f>
        <v>0</v>
      </c>
      <c r="AM98" s="39" t="n">
        <f aca="false">IF(AM$4=0,0,IF(COUNTIFS(実績!$W$6:$W$505,AM$3,実績!$AI$6:$AI$505,"&lt;="&amp;$A98,実績!$AJ$6:$AJ$505,"&gt;"&amp;$A98,実績!$AK$6:$AK$505,"○")&gt;0,1,0))</f>
        <v>0</v>
      </c>
      <c r="AN98" s="39" t="n">
        <f aca="false">IF(AN$4=0,0,IF(COUNTIFS(実績!$W$6:$W$505,AN$3,実績!$AI$6:$AI$505,"&lt;="&amp;$A98,実績!$AJ$6:$AJ$505,"&gt;"&amp;$A98,実績!$AK$6:$AK$505,"○")&gt;0,1,0))</f>
        <v>0</v>
      </c>
      <c r="AO98" s="39" t="n">
        <f aca="false">IF(AO$4=0,0,IF(COUNTIFS(実績!$W$6:$W$505,AO$3,実績!$AI$6:$AI$505,"&lt;="&amp;$A98,実績!$AJ$6:$AJ$505,"&gt;"&amp;$A98,実績!$AK$6:$AK$505,"○")&gt;0,1,0))</f>
        <v>0</v>
      </c>
      <c r="AP98" s="39" t="n">
        <f aca="false">IF(AP$4=0,0,IF(COUNTIFS(実績!$W$6:$W$505,AP$3,実績!$AI$6:$AI$505,"&lt;="&amp;$A98,実績!$AJ$6:$AJ$505,"&gt;"&amp;$A98,実績!$AK$6:$AK$505,"○")&gt;0,1,0))</f>
        <v>0</v>
      </c>
      <c r="AQ98" s="39" t="n">
        <f aca="false">IF(AQ$4=0,0,IF(COUNTIFS(実績!$W$6:$W$505,AQ$3,実績!$AI$6:$AI$505,"&lt;="&amp;$A98,実績!$AJ$6:$AJ$505,"&gt;"&amp;$A98,実績!$AK$6:$AK$505,"○")&gt;0,1,0))</f>
        <v>0</v>
      </c>
      <c r="AR98" s="39" t="n">
        <f aca="false">IF(AR$4=0,0,IF(COUNTIFS(実績!$W$6:$W$505,AR$3,実績!$AI$6:$AI$505,"&lt;="&amp;$A98,実績!$AJ$6:$AJ$505,"&gt;"&amp;$A98,実績!$AK$6:$AK$505,"○")&gt;0,1,0))</f>
        <v>0</v>
      </c>
      <c r="AS98" s="39" t="n">
        <f aca="false">IF(AS$4=0,0,IF(COUNTIFS(実績!$W$6:$W$505,AS$3,実績!$AI$6:$AI$505,"&lt;="&amp;$A98,実績!$AJ$6:$AJ$505,"&gt;"&amp;$A98,実績!$AK$6:$AK$505,"○")&gt;0,1,0))</f>
        <v>0</v>
      </c>
      <c r="AT98" s="39" t="n">
        <f aca="false">IF(AT$4=0,0,IF(COUNTIFS(実績!$W$6:$W$505,AT$3,実績!$AI$6:$AI$505,"&lt;="&amp;$A98,実績!$AJ$6:$AJ$505,"&gt;"&amp;$A98,実績!$AK$6:$AK$505,"○")&gt;0,1,0))</f>
        <v>0</v>
      </c>
      <c r="AU98" s="39" t="n">
        <f aca="false">IF(AU$4=0,0,IF(COUNTIFS(実績!$W$6:$W$505,AU$3,実績!$AI$6:$AI$505,"&lt;="&amp;$A98,実績!$AJ$6:$AJ$505,"&gt;"&amp;$A98,実績!$AK$6:$AK$505,"○")&gt;0,1,0))</f>
        <v>0</v>
      </c>
      <c r="AV98" s="39" t="n">
        <f aca="false">IF(AV$4=0,0,IF(COUNTIFS(実績!$W$6:$W$505,AV$3,実績!$AI$6:$AI$505,"&lt;="&amp;$A98,実績!$AJ$6:$AJ$505,"&gt;"&amp;$A98,実績!$AK$6:$AK$505,"○")&gt;0,1,0))</f>
        <v>0</v>
      </c>
      <c r="AW98" s="39" t="n">
        <f aca="false">IF(AW$4=0,0,IF(COUNTIFS(実績!$W$6:$W$505,AW$3,実績!$AI$6:$AI$505,"&lt;="&amp;$A98,実績!$AJ$6:$AJ$505,"&gt;"&amp;$A98,実績!$AK$6:$AK$505,"○")&gt;0,1,0))</f>
        <v>0</v>
      </c>
      <c r="AX98" s="39" t="n">
        <f aca="false">IF(AX$4=0,0,IF(COUNTIFS(実績!$W$6:$W$505,AX$3,実績!$AI$6:$AI$505,"&lt;="&amp;$A98,実績!$AJ$6:$AJ$505,"&gt;"&amp;$A98,実績!$AK$6:$AK$505,"○")&gt;0,1,0))</f>
        <v>0</v>
      </c>
      <c r="AY98" s="39" t="n">
        <f aca="false">IF(AY$4=0,0,IF(COUNTIFS(実績!$W$6:$W$505,AY$3,実績!$AI$6:$AI$505,"&lt;="&amp;$A98,実績!$AJ$6:$AJ$505,"&gt;"&amp;$A98,実績!$AK$6:$AK$505,"○")&gt;0,1,0))</f>
        <v>0</v>
      </c>
      <c r="AZ98" s="39" t="n">
        <f aca="false">IF(AZ$4=0,0,IF(COUNTIFS(実績!$W$6:$W$505,AZ$3,実績!$AI$6:$AI$505,"&lt;="&amp;$A98,実績!$AJ$6:$AJ$505,"&gt;"&amp;$A98,実績!$AK$6:$AK$505,"○")&gt;0,1,0))</f>
        <v>0</v>
      </c>
      <c r="BA98" s="39" t="n">
        <f aca="false">IF(BA$4=0,0,IF(COUNTIFS(実績!$W$6:$W$505,BA$3,実績!$AI$6:$AI$505,"&lt;="&amp;$A98,実績!$AJ$6:$AJ$505,"&gt;"&amp;$A98,実績!$AK$6:$AK$505,"○")&gt;0,1,0))</f>
        <v>0</v>
      </c>
      <c r="BB98" s="39" t="n">
        <f aca="false">IF(BB$4=0,0,IF(COUNTIFS(実績!$W$6:$W$505,BB$3,実績!$AI$6:$AI$505,"&lt;="&amp;$A98,実績!$AJ$6:$AJ$505,"&gt;"&amp;$A98,実績!$AK$6:$AK$505,"○")&gt;0,1,0))</f>
        <v>0</v>
      </c>
      <c r="BC98" s="39" t="n">
        <f aca="false">IF(BC$4=0,0,IF(COUNTIFS(実績!$W$6:$W$505,BC$3,実績!$AI$6:$AI$505,"&lt;="&amp;$A98,実績!$AJ$6:$AJ$505,"&gt;"&amp;$A98,実績!$AK$6:$AK$505,"○")&gt;0,1,0))</f>
        <v>0</v>
      </c>
      <c r="BD98" s="39" t="n">
        <f aca="false">IF(BD$4=0,0,IF(COUNTIFS(実績!$W$6:$W$505,BD$3,実績!$AI$6:$AI$505,"&lt;="&amp;$A98,実績!$AJ$6:$AJ$505,"&gt;"&amp;$A98,実績!$AK$6:$AK$505,"○")&gt;0,1,0))</f>
        <v>0</v>
      </c>
      <c r="BE98" s="39" t="n">
        <f aca="false">IF(BE$4=0,0,IF(COUNTIFS(実績!$W$6:$W$505,BE$3,実績!$AI$6:$AI$505,"&lt;="&amp;$A98,実績!$AJ$6:$AJ$505,"&gt;"&amp;$A98,実績!$AK$6:$AK$505,"○")&gt;0,1,0))</f>
        <v>0</v>
      </c>
      <c r="BF98" s="39" t="n">
        <f aca="false">IF(BF$4=0,0,IF(COUNTIFS(実績!$W$6:$W$505,BF$3,実績!$AI$6:$AI$505,"&lt;="&amp;$A98,実績!$AJ$6:$AJ$505,"&gt;"&amp;$A98,実績!$AK$6:$AK$505,"○")&gt;0,1,0))</f>
        <v>0</v>
      </c>
      <c r="BG98" s="39" t="n">
        <f aca="false">IF(BG$4=0,0,IF(COUNTIFS(実績!$W$6:$W$505,BG$3,実績!$AI$6:$AI$505,"&lt;="&amp;$A98,実績!$AJ$6:$AJ$505,"&gt;"&amp;$A98,実績!$AK$6:$AK$505,"○")&gt;0,1,0))</f>
        <v>0</v>
      </c>
      <c r="BH98" s="39" t="n">
        <f aca="false">IF(BH$4=0,0,IF(COUNTIFS(実績!$W$6:$W$505,BH$3,実績!$AI$6:$AI$505,"&lt;="&amp;$A98,実績!$AJ$6:$AJ$505,"&gt;"&amp;$A98,実績!$AK$6:$AK$505,"○")&gt;0,1,0))</f>
        <v>0</v>
      </c>
      <c r="BI98" s="39" t="n">
        <f aca="false">IF(BI$4=0,0,IF(COUNTIFS(実績!$W$6:$W$505,BI$3,実績!$AI$6:$AI$505,"&lt;="&amp;$A98,実績!$AJ$6:$AJ$505,"&gt;"&amp;$A98,実績!$AK$6:$AK$505,"○")&gt;0,1,0))</f>
        <v>0</v>
      </c>
      <c r="BJ98" s="39" t="n">
        <f aca="false">IF(BJ$4=0,0,IF(COUNTIFS(実績!$W$6:$W$505,BJ$3,実績!$AI$6:$AI$505,"&lt;="&amp;$A98,実績!$AJ$6:$AJ$505,"&gt;"&amp;$A98,実績!$AK$6:$AK$505,"○")&gt;0,1,0))</f>
        <v>0</v>
      </c>
      <c r="BK98" s="39" t="n">
        <f aca="false">IF(BK$4=0,0,IF(COUNTIFS(実績!$W$6:$W$505,BK$3,実績!$AI$6:$AI$505,"&lt;="&amp;$A98,実績!$AJ$6:$AJ$505,"&gt;"&amp;$A98,実績!$AK$6:$AK$505,"○")&gt;0,1,0))</f>
        <v>0</v>
      </c>
      <c r="BL98" s="39" t="n">
        <f aca="false">IF(BL$4=0,0,IF(COUNTIFS(実績!$W$6:$W$505,BL$3,実績!$AI$6:$AI$505,"&lt;="&amp;$A98,実績!$AJ$6:$AJ$505,"&gt;"&amp;$A98,実績!$AK$6:$AK$505,"○")&gt;0,1,0))</f>
        <v>0</v>
      </c>
      <c r="BM98" s="39" t="n">
        <f aca="false">IF(BM$4=0,0,IF(COUNTIFS(実績!$W$6:$W$505,BM$3,実績!$AI$6:$AI$505,"&lt;="&amp;$A98,実績!$AJ$6:$AJ$505,"&gt;"&amp;$A98,実績!$AK$6:$AK$505,"○")&gt;0,1,0))</f>
        <v>0</v>
      </c>
      <c r="BN98" s="39" t="n">
        <f aca="false">IF(BN$4=0,0,IF(COUNTIFS(実績!$W$6:$W$505,BN$3,実績!$AI$6:$AI$505,"&lt;="&amp;$A98,実績!$AJ$6:$AJ$505,"&gt;"&amp;$A98,実績!$AK$6:$AK$505,"○")&gt;0,1,0))</f>
        <v>0</v>
      </c>
      <c r="BO98" s="39" t="n">
        <f aca="false">IF(BO$4=0,0,IF(COUNTIFS(実績!$W$6:$W$505,BO$3,実績!$AI$6:$AI$505,"&lt;="&amp;$A98,実績!$AJ$6:$AJ$505,"&gt;"&amp;$A98,実績!$AK$6:$AK$505,"○")&gt;0,1,0))</f>
        <v>0</v>
      </c>
      <c r="BP98" s="39" t="n">
        <f aca="false">IF(BP$4=0,0,IF(COUNTIFS(実績!$W$6:$W$505,BP$3,実績!$AI$6:$AI$505,"&lt;="&amp;$A98,実績!$AJ$6:$AJ$505,"&gt;"&amp;$A98,実績!$AK$6:$AK$505,"○")&gt;0,1,0))</f>
        <v>0</v>
      </c>
      <c r="BQ98" s="39" t="n">
        <f aca="false">IF(BQ$4=0,0,IF(COUNTIFS(実績!$W$6:$W$505,BQ$3,実績!$AI$6:$AI$505,"&lt;="&amp;$A98,実績!$AJ$6:$AJ$505,"&gt;"&amp;$A98,実績!$AK$6:$AK$505,"○")&gt;0,1,0))</f>
        <v>0</v>
      </c>
      <c r="BR98" s="39" t="n">
        <f aca="false">IF(BR$4=0,0,IF(COUNTIFS(実績!$W$6:$W$505,BR$3,実績!$AI$6:$AI$505,"&lt;="&amp;$A98,実績!$AJ$6:$AJ$505,"&gt;"&amp;$A98,実績!$AK$6:$AK$505,"○")&gt;0,1,0))</f>
        <v>0</v>
      </c>
      <c r="BS98" s="39" t="n">
        <f aca="false">IF(BS$4=0,0,IF(COUNTIFS(実績!$W$6:$W$505,BS$3,実績!$AI$6:$AI$505,"&lt;="&amp;$A98,実績!$AJ$6:$AJ$505,"&gt;"&amp;$A98,実績!$AK$6:$AK$505,"○")&gt;0,1,0))</f>
        <v>0</v>
      </c>
      <c r="BT98" s="39" t="n">
        <f aca="false">IF(BT$4=0,0,IF(COUNTIFS(実績!$W$6:$W$505,BT$3,実績!$AI$6:$AI$505,"&lt;="&amp;$A98,実績!$AJ$6:$AJ$505,"&gt;"&amp;$A98,実績!$AK$6:$AK$505,"○")&gt;0,1,0))</f>
        <v>0</v>
      </c>
      <c r="BU98" s="39" t="n">
        <f aca="false">IF(BU$4=0,0,IF(COUNTIFS(実績!$W$6:$W$505,BU$3,実績!$AI$6:$AI$505,"&lt;="&amp;$A98,実績!$AJ$6:$AJ$505,"&gt;"&amp;$A98,実績!$AK$6:$AK$505,"○")&gt;0,1,0))</f>
        <v>0</v>
      </c>
      <c r="BV98" s="39" t="n">
        <f aca="false">IF(BV$4=0,0,IF(COUNTIFS(実績!$W$6:$W$505,BV$3,実績!$AI$6:$AI$505,"&lt;="&amp;$A98,実績!$AJ$6:$AJ$505,"&gt;"&amp;$A98,実績!$AK$6:$AK$505,"○")&gt;0,1,0))</f>
        <v>0</v>
      </c>
      <c r="BW98" s="39" t="n">
        <f aca="false">IF(BW$4=0,0,IF(COUNTIFS(実績!$W$6:$W$505,BW$3,実績!$AI$6:$AI$505,"&lt;="&amp;$A98,実績!$AJ$6:$AJ$505,"&gt;"&amp;$A98,実績!$AK$6:$AK$505,"○")&gt;0,1,0))</f>
        <v>0</v>
      </c>
      <c r="BX98" s="39" t="n">
        <f aca="false">IF(BX$4=0,0,IF(COUNTIFS(実績!$W$6:$W$505,BX$3,実績!$AI$6:$AI$505,"&lt;="&amp;$A98,実績!$AJ$6:$AJ$505,"&gt;"&amp;$A98,実績!$AK$6:$AK$505,"○")&gt;0,1,0))</f>
        <v>0</v>
      </c>
      <c r="BY98" s="39" t="n">
        <f aca="false">IF(BY$4=0,0,IF(COUNTIFS(実績!$W$6:$W$505,BY$3,実績!$AI$6:$AI$505,"&lt;="&amp;$A98,実績!$AJ$6:$AJ$505,"&gt;"&amp;$A98,実績!$AK$6:$AK$505,"○")&gt;0,1,0))</f>
        <v>0</v>
      </c>
      <c r="BZ98" s="39" t="n">
        <f aca="false">IF(BZ$4=0,0,IF(COUNTIFS(実績!$W$6:$W$505,BZ$3,実績!$AI$6:$AI$505,"&lt;="&amp;$A98,実績!$AJ$6:$AJ$505,"&gt;"&amp;$A98,実績!$AK$6:$AK$505,"○")&gt;0,1,0))</f>
        <v>0</v>
      </c>
      <c r="CA98" s="39" t="n">
        <f aca="false">IF(CA$4=0,0,IF(COUNTIFS(実績!$W$6:$W$505,CA$3,実績!$AI$6:$AI$505,"&lt;="&amp;$A98,実績!$AJ$6:$AJ$505,"&gt;"&amp;$A98,実績!$AK$6:$AK$505,"○")&gt;0,1,0))</f>
        <v>0</v>
      </c>
      <c r="CB98" s="39" t="n">
        <f aca="false">IF(CB$4=0,0,IF(COUNTIFS(実績!$W$6:$W$505,CB$3,実績!$AI$6:$AI$505,"&lt;="&amp;$A98,実績!$AJ$6:$AJ$505,"&gt;"&amp;$A98,実績!$AK$6:$AK$505,"○")&gt;0,1,0))</f>
        <v>0</v>
      </c>
      <c r="CC98" s="39" t="n">
        <f aca="false">IF(CC$4=0,0,IF(COUNTIFS(実績!$W$6:$W$505,CC$3,実績!$AI$6:$AI$505,"&lt;="&amp;$A98,実績!$AJ$6:$AJ$505,"&gt;"&amp;$A98,実績!$AK$6:$AK$505,"○")&gt;0,1,0))</f>
        <v>0</v>
      </c>
      <c r="CD98" s="39" t="n">
        <f aca="false">IF(CD$4=0,0,IF(COUNTIFS(実績!$W$6:$W$505,CD$3,実績!$AI$6:$AI$505,"&lt;="&amp;$A98,実績!$AJ$6:$AJ$505,"&gt;"&amp;$A98,実績!$AK$6:$AK$505,"○")&gt;0,1,0))</f>
        <v>0</v>
      </c>
      <c r="CE98" s="39" t="n">
        <f aca="false">IF(CE$4=0,0,IF(COUNTIFS(実績!$W$6:$W$505,CE$3,実績!$AI$6:$AI$505,"&lt;="&amp;$A98,実績!$AJ$6:$AJ$505,"&gt;"&amp;$A98,実績!$AK$6:$AK$505,"○")&gt;0,1,0))</f>
        <v>0</v>
      </c>
      <c r="CF98" s="39" t="n">
        <f aca="false">IF(CF$4=0,0,IF(COUNTIFS(実績!$W$6:$W$505,CF$3,実績!$AI$6:$AI$505,"&lt;="&amp;$A98,実績!$AJ$6:$AJ$505,"&gt;"&amp;$A98,実績!$AK$6:$AK$505,"○")&gt;0,1,0))</f>
        <v>0</v>
      </c>
      <c r="CG98" s="39" t="n">
        <f aca="false">IF(CG$4=0,0,IF(COUNTIFS(実績!$W$6:$W$505,CG$3,実績!$AI$6:$AI$505,"&lt;="&amp;$A98,実績!$AJ$6:$AJ$505,"&gt;"&amp;$A98,実績!$AK$6:$AK$505,"○")&gt;0,1,0))</f>
        <v>0</v>
      </c>
      <c r="CH98" s="39" t="n">
        <f aca="false">IF(CH$4=0,0,IF(COUNTIFS(実績!$W$6:$W$505,CH$3,実績!$AI$6:$AI$505,"&lt;="&amp;$A98,実績!$AJ$6:$AJ$505,"&gt;"&amp;$A98,実績!$AK$6:$AK$505,"○")&gt;0,1,0))</f>
        <v>0</v>
      </c>
      <c r="CI98" s="39" t="n">
        <f aca="false">IF(CI$4=0,0,IF(COUNTIFS(実績!$W$6:$W$505,CI$3,実績!$AI$6:$AI$505,"&lt;="&amp;$A98,実績!$AJ$6:$AJ$505,"&gt;"&amp;$A98,実績!$AK$6:$AK$505,"○")&gt;0,1,0))</f>
        <v>0</v>
      </c>
      <c r="CJ98" s="39" t="n">
        <f aca="false">IF(CJ$4=0,0,IF(COUNTIFS(実績!$W$6:$W$505,CJ$3,実績!$AI$6:$AI$505,"&lt;="&amp;$A98,実績!$AJ$6:$AJ$505,"&gt;"&amp;$A98,実績!$AK$6:$AK$505,"○")&gt;0,1,0))</f>
        <v>0</v>
      </c>
      <c r="CK98" s="39" t="n">
        <f aca="false">IF(CK$4=0,0,IF(COUNTIFS(実績!$W$6:$W$505,CK$3,実績!$AI$6:$AI$505,"&lt;="&amp;$A98,実績!$AJ$6:$AJ$505,"&gt;"&amp;$A98,実績!$AK$6:$AK$505,"○")&gt;0,1,0))</f>
        <v>0</v>
      </c>
      <c r="CL98" s="39" t="n">
        <f aca="false">IF(CL$4=0,0,IF(COUNTIFS(実績!$W$6:$W$505,CL$3,実績!$AI$6:$AI$505,"&lt;="&amp;$A98,実績!$AJ$6:$AJ$505,"&gt;"&amp;$A98,実績!$AK$6:$AK$505,"○")&gt;0,1,0))</f>
        <v>0</v>
      </c>
      <c r="CM98" s="39" t="n">
        <f aca="false">IF(CM$4=0,0,IF(COUNTIFS(実績!$W$6:$W$505,CM$3,実績!$AI$6:$AI$505,"&lt;="&amp;$A98,実績!$AJ$6:$AJ$505,"&gt;"&amp;$A98,実績!$AK$6:$AK$505,"○")&gt;0,1,0))</f>
        <v>0</v>
      </c>
      <c r="CN98" s="39" t="n">
        <f aca="false">IF(CN$4=0,0,IF(COUNTIFS(実績!$W$6:$W$505,CN$3,実績!$AI$6:$AI$505,"&lt;="&amp;$A98,実績!$AJ$6:$AJ$505,"&gt;"&amp;$A98,実績!$AK$6:$AK$505,"○")&gt;0,1,0))</f>
        <v>0</v>
      </c>
      <c r="CO98" s="39" t="n">
        <f aca="false">IF(CO$4=0,0,IF(COUNTIFS(実績!$W$6:$W$505,CO$3,実績!$AI$6:$AI$505,"&lt;="&amp;$A98,実績!$AJ$6:$AJ$505,"&gt;"&amp;$A98,実績!$AK$6:$AK$505,"○")&gt;0,1,0))</f>
        <v>0</v>
      </c>
      <c r="CP98" s="39" t="n">
        <f aca="false">IF(CP$4=0,0,IF(COUNTIFS(実績!$W$6:$W$505,CP$3,実績!$AI$6:$AI$505,"&lt;="&amp;$A98,実績!$AJ$6:$AJ$505,"&gt;"&amp;$A98,実績!$AK$6:$AK$505,"○")&gt;0,1,0))</f>
        <v>0</v>
      </c>
      <c r="CQ98" s="39" t="n">
        <f aca="false">IF(CQ$4=0,0,IF(COUNTIFS(実績!$W$6:$W$505,CQ$3,実績!$AI$6:$AI$505,"&lt;="&amp;$A98,実績!$AJ$6:$AJ$505,"&gt;"&amp;$A98,実績!$AK$6:$AK$505,"○")&gt;0,1,0))</f>
        <v>0</v>
      </c>
      <c r="CR98" s="39" t="n">
        <f aca="false">IF(CR$4=0,0,IF(COUNTIFS(実績!$W$6:$W$505,CR$3,実績!$AI$6:$AI$505,"&lt;="&amp;$A98,実績!$AJ$6:$AJ$505,"&gt;"&amp;$A98,実績!$AK$6:$AK$505,"○")&gt;0,1,0))</f>
        <v>0</v>
      </c>
      <c r="CS98" s="39" t="n">
        <f aca="false">IF(CS$4=0,0,IF(COUNTIFS(実績!$W$6:$W$505,CS$3,実績!$AI$6:$AI$505,"&lt;="&amp;$A98,実績!$AJ$6:$AJ$505,"&gt;"&amp;$A98,実績!$AK$6:$AK$505,"○")&gt;0,1,0))</f>
        <v>0</v>
      </c>
      <c r="CT98" s="39" t="n">
        <f aca="false">IF(CT$4=0,0,IF(COUNTIFS(実績!$W$6:$W$505,CT$3,実績!$AI$6:$AI$505,"&lt;="&amp;$A98,実績!$AJ$6:$AJ$505,"&gt;"&amp;$A98,実績!$AK$6:$AK$505,"○")&gt;0,1,0))</f>
        <v>0</v>
      </c>
      <c r="CU98" s="39" t="n">
        <f aca="false">IF(CU$4=0,0,IF(COUNTIFS(実績!$W$6:$W$505,CU$3,実績!$AI$6:$AI$505,"&lt;="&amp;$A98,実績!$AJ$6:$AJ$505,"&gt;"&amp;$A98,実績!$AK$6:$AK$505,"○")&gt;0,1,0))</f>
        <v>0</v>
      </c>
      <c r="CV98" s="39" t="n">
        <f aca="false">IF(CV$4=0,0,IF(COUNTIFS(実績!$W$6:$W$505,CV$3,実績!$AI$6:$AI$505,"&lt;="&amp;$A98,実績!$AJ$6:$AJ$505,"&gt;"&amp;$A98,実績!$AK$6:$AK$505,"○")&gt;0,1,0))</f>
        <v>0</v>
      </c>
      <c r="CW98" s="39" t="n">
        <f aca="false">IF(CW$4=0,0,IF(COUNTIFS(実績!$W$6:$W$505,CW$3,実績!$AI$6:$AI$505,"&lt;="&amp;$A98,実績!$AJ$6:$AJ$505,"&gt;"&amp;$A98,実績!$AK$6:$AK$505,"○")&gt;0,1,0))</f>
        <v>0</v>
      </c>
      <c r="CX98" s="39" t="n">
        <f aca="false">IF(CX$4=0,0,IF(COUNTIFS(実績!$W$6:$W$505,CX$3,実績!$AI$6:$AI$505,"&lt;="&amp;$A98,実績!$AJ$6:$AJ$505,"&gt;"&amp;$A98,実績!$AK$6:$AK$505,"○")&gt;0,1,0))</f>
        <v>0</v>
      </c>
      <c r="CY98" s="39" t="n">
        <f aca="false">IF(CY$4=0,0,IF(COUNTIFS(実績!$W$6:$W$505,CY$3,実績!$AI$6:$AI$505,"&lt;="&amp;$A98,実績!$AJ$6:$AJ$505,"&gt;"&amp;$A98,実績!$AK$6:$AK$505,"○")&gt;0,1,0))</f>
        <v>0</v>
      </c>
      <c r="CZ98" s="39" t="n">
        <f aca="false">IF(CZ$4=0,0,IF(COUNTIFS(実績!$W$6:$W$505,CZ$3,実績!$AI$6:$AI$505,"&lt;="&amp;$A98,実績!$AJ$6:$AJ$505,"&gt;"&amp;$A98,実績!$AK$6:$AK$505,"○")&gt;0,1,0))</f>
        <v>0</v>
      </c>
      <c r="DA98" s="39" t="n">
        <f aca="false">IF(DA$4=0,0,IF(COUNTIFS(実績!$W$6:$W$505,DA$3,実績!$AI$6:$AI$505,"&lt;="&amp;$A98,実績!$AJ$6:$AJ$505,"&gt;"&amp;$A98,実績!$AK$6:$AK$505,"○")&gt;0,1,0))</f>
        <v>0</v>
      </c>
      <c r="DB98" s="39" t="n">
        <f aca="false">IF(DB$4=0,0,IF(COUNTIFS(実績!$W$6:$W$505,DB$3,実績!$AI$6:$AI$505,"&lt;="&amp;$A98,実績!$AJ$6:$AJ$505,"&gt;"&amp;$A98,実績!$AK$6:$AK$505,"○")&gt;0,1,0))</f>
        <v>0</v>
      </c>
      <c r="DC98" s="39" t="n">
        <f aca="false">IF(DC$4=0,0,IF(COUNTIFS(実績!$W$6:$W$505,DC$3,実績!$AI$6:$AI$505,"&lt;="&amp;$A98,実績!$AJ$6:$AJ$505,"&gt;"&amp;$A98,実績!$AK$6:$AK$505,"○")&gt;0,1,0))</f>
        <v>0</v>
      </c>
      <c r="DD98" s="39" t="n">
        <f aca="false">IF(DD$4=0,0,IF(COUNTIFS(実績!$W$6:$W$505,DD$3,実績!$AI$6:$AI$505,"&lt;="&amp;$A98,実績!$AJ$6:$AJ$505,"&gt;"&amp;$A98,実績!$AK$6:$AK$505,"○")&gt;0,1,0))</f>
        <v>0</v>
      </c>
      <c r="DE98" s="39" t="n">
        <f aca="false">IF(DE$4=0,0,IF(COUNTIFS(実績!$W$6:$W$505,DE$3,実績!$AI$6:$AI$505,"&lt;="&amp;$A98,実績!$AJ$6:$AJ$505,"&gt;"&amp;$A98,実績!$AK$6:$AK$505,"○")&gt;0,1,0))</f>
        <v>0</v>
      </c>
      <c r="DF98" s="39" t="n">
        <f aca="false">IF(DF$4=0,0,IF(COUNTIFS(実績!$W$6:$W$505,DF$3,実績!$AI$6:$AI$505,"&lt;="&amp;$A98,実績!$AJ$6:$AJ$505,"&gt;"&amp;$A98,実績!$AK$6:$AK$505,"○")&gt;0,1,0))</f>
        <v>0</v>
      </c>
      <c r="DG98" s="39" t="n">
        <f aca="false">IF(DG$4=0,0,IF(COUNTIFS(実績!$W$6:$W$505,DG$3,実績!$AI$6:$AI$505,"&lt;="&amp;$A98,実績!$AJ$6:$AJ$505,"&gt;"&amp;$A98,実績!$AK$6:$AK$505,"○")&gt;0,1,0))</f>
        <v>0</v>
      </c>
      <c r="DH98" s="39" t="n">
        <f aca="false">IF(DH$4=0,0,IF(COUNTIFS(実績!$W$6:$W$505,DH$3,実績!$AI$6:$AI$505,"&lt;="&amp;$A98,実績!$AJ$6:$AJ$505,"&gt;"&amp;$A98,実績!$AK$6:$AK$505,"○")&gt;0,1,0))</f>
        <v>0</v>
      </c>
      <c r="DI98" s="39" t="n">
        <f aca="false">IF(DI$4=0,0,IF(COUNTIFS(実績!$W$6:$W$505,DI$3,実績!$AI$6:$AI$505,"&lt;="&amp;$A98,実績!$AJ$6:$AJ$505,"&gt;"&amp;$A98,実績!$AK$6:$AK$505,"○")&gt;0,1,0))</f>
        <v>0</v>
      </c>
      <c r="DJ98" s="39" t="n">
        <f aca="false">IF(DJ$4=0,0,IF(COUNTIFS(実績!$W$6:$W$505,DJ$3,実績!$AI$6:$AI$505,"&lt;="&amp;$A98,実績!$AJ$6:$AJ$505,"&gt;"&amp;$A98,実績!$AK$6:$AK$505,"○")&gt;0,1,0))</f>
        <v>0</v>
      </c>
      <c r="DK98" s="39" t="n">
        <f aca="false">IF(DK$4=0,0,IF(COUNTIFS(実績!$W$6:$W$505,DK$3,実績!$AI$6:$AI$505,"&lt;="&amp;$A98,実績!$AJ$6:$AJ$505,"&gt;"&amp;$A98,実績!$AK$6:$AK$505,"○")&gt;0,1,0))</f>
        <v>0</v>
      </c>
      <c r="DL98" s="39" t="n">
        <f aca="false">IF(DL$4=0,0,IF(COUNTIFS(実績!$W$6:$W$505,DL$3,実績!$AI$6:$AI$505,"&lt;="&amp;$A98,実績!$AJ$6:$AJ$505,"&gt;"&amp;$A98,実績!$AK$6:$AK$505,"○")&gt;0,1,0))</f>
        <v>0</v>
      </c>
      <c r="DM98" s="39" t="n">
        <f aca="false">IF(DM$4=0,0,IF(COUNTIFS(実績!$W$6:$W$505,DM$3,実績!$AI$6:$AI$505,"&lt;="&amp;$A98,実績!$AJ$6:$AJ$505,"&gt;"&amp;$A98,実績!$AK$6:$AK$505,"○")&gt;0,1,0))</f>
        <v>0</v>
      </c>
      <c r="DN98" s="39" t="n">
        <f aca="false">IF(DN$4=0,0,IF(COUNTIFS(実績!$W$6:$W$505,DN$3,実績!$AI$6:$AI$505,"&lt;="&amp;$A98,実績!$AJ$6:$AJ$505,"&gt;"&amp;$A98,実績!$AK$6:$AK$505,"○")&gt;0,1,0))</f>
        <v>0</v>
      </c>
      <c r="DO98" s="39" t="n">
        <f aca="false">IF(DO$4=0,0,IF(COUNTIFS(実績!$W$6:$W$505,DO$3,実績!$AI$6:$AI$505,"&lt;="&amp;$A98,実績!$AJ$6:$AJ$505,"&gt;"&amp;$A98,実績!$AK$6:$AK$505,"○")&gt;0,1,0))</f>
        <v>0</v>
      </c>
      <c r="DP98" s="39" t="n">
        <f aca="false">IF(DP$4=0,0,IF(COUNTIFS(実績!$W$6:$W$505,DP$3,実績!$AI$6:$AI$505,"&lt;="&amp;$A98,実績!$AJ$6:$AJ$505,"&gt;"&amp;$A98,実績!$AK$6:$AK$505,"○")&gt;0,1,0))</f>
        <v>0</v>
      </c>
      <c r="DQ98" s="39" t="n">
        <f aca="false">IF(DQ$4=0,0,IF(COUNTIFS(実績!$W$6:$W$505,DQ$3,実績!$AI$6:$AI$505,"&lt;="&amp;$A98,実績!$AJ$6:$AJ$505,"&gt;"&amp;$A98,実績!$AK$6:$AK$505,"○")&gt;0,1,0))</f>
        <v>0</v>
      </c>
      <c r="DR98" s="39" t="n">
        <f aca="false">IF(DR$4=0,0,IF(COUNTIFS(実績!$W$6:$W$505,DR$3,実績!$AI$6:$AI$505,"&lt;="&amp;$A98,実績!$AJ$6:$AJ$505,"&gt;"&amp;$A98,実績!$AK$6:$AK$505,"○")&gt;0,1,0))</f>
        <v>0</v>
      </c>
      <c r="DS98" s="39" t="n">
        <f aca="false">SUM(C98:DR98)</f>
        <v>0</v>
      </c>
      <c r="DT98" s="39" t="n">
        <f aca="false">SUMPRODUCT((実績!$C$6:$C$505="○")*ISNUMBER(実績!$AM$6:$AM$505)*(実績!$AM$6:$AM$505&lt;=$A98)*(実績!$AN$6:$AN$505&gt;$A98))</f>
        <v>0</v>
      </c>
      <c r="DU98" s="39" t="n">
        <f aca="false">SUMIF($C$2:$DR$2,"製鉄曳船",C98:DR98)</f>
        <v>0</v>
      </c>
      <c r="DV98" s="39" t="n">
        <f aca="false">SUMIF($C$2:$DR$2,"西日本海運",C98:DR98)</f>
        <v>0</v>
      </c>
    </row>
    <row r="99" customFormat="false" ht="15" hidden="false" customHeight="false" outlineLevel="0" collapsed="false">
      <c r="A99" s="0" t="n">
        <v>465</v>
      </c>
      <c r="B99" s="38" t="n">
        <f aca="false">A99/1440</f>
        <v>0.322916666666667</v>
      </c>
      <c r="C99" s="39" t="n">
        <f aca="false">IF(C$4=0,0,IF(COUNTIFS(実績!$W$6:$W$505,C$3,実績!$AI$6:$AI$505,"&lt;="&amp;$A99,実績!$AJ$6:$AJ$505,"&gt;"&amp;$A99,実績!$AK$6:$AK$505,"○")&gt;0,1,0))</f>
        <v>0</v>
      </c>
      <c r="D99" s="39" t="n">
        <f aca="false">IF(D$4=0,0,IF(COUNTIFS(実績!$W$6:$W$505,D$3,実績!$AI$6:$AI$505,"&lt;="&amp;$A99,実績!$AJ$6:$AJ$505,"&gt;"&amp;$A99,実績!$AK$6:$AK$505,"○")&gt;0,1,0))</f>
        <v>0</v>
      </c>
      <c r="E99" s="39" t="n">
        <f aca="false">IF(E$4=0,0,IF(COUNTIFS(実績!$W$6:$W$505,E$3,実績!$AI$6:$AI$505,"&lt;="&amp;$A99,実績!$AJ$6:$AJ$505,"&gt;"&amp;$A99,実績!$AK$6:$AK$505,"○")&gt;0,1,0))</f>
        <v>0</v>
      </c>
      <c r="F99" s="39" t="n">
        <f aca="false">IF(F$4=0,0,IF(COUNTIFS(実績!$W$6:$W$505,F$3,実績!$AI$6:$AI$505,"&lt;="&amp;$A99,実績!$AJ$6:$AJ$505,"&gt;"&amp;$A99,実績!$AK$6:$AK$505,"○")&gt;0,1,0))</f>
        <v>0</v>
      </c>
      <c r="G99" s="39" t="n">
        <f aca="false">IF(G$4=0,0,IF(COUNTIFS(実績!$W$6:$W$505,G$3,実績!$AI$6:$AI$505,"&lt;="&amp;$A99,実績!$AJ$6:$AJ$505,"&gt;"&amp;$A99,実績!$AK$6:$AK$505,"○")&gt;0,1,0))</f>
        <v>0</v>
      </c>
      <c r="H99" s="39" t="n">
        <f aca="false">IF(H$4=0,0,IF(COUNTIFS(実績!$W$6:$W$505,H$3,実績!$AI$6:$AI$505,"&lt;="&amp;$A99,実績!$AJ$6:$AJ$505,"&gt;"&amp;$A99,実績!$AK$6:$AK$505,"○")&gt;0,1,0))</f>
        <v>0</v>
      </c>
      <c r="I99" s="39" t="n">
        <f aca="false">IF(I$4=0,0,IF(COUNTIFS(実績!$W$6:$W$505,I$3,実績!$AI$6:$AI$505,"&lt;="&amp;$A99,実績!$AJ$6:$AJ$505,"&gt;"&amp;$A99,実績!$AK$6:$AK$505,"○")&gt;0,1,0))</f>
        <v>0</v>
      </c>
      <c r="J99" s="39" t="n">
        <f aca="false">IF(J$4=0,0,IF(COUNTIFS(実績!$W$6:$W$505,J$3,実績!$AI$6:$AI$505,"&lt;="&amp;$A99,実績!$AJ$6:$AJ$505,"&gt;"&amp;$A99,実績!$AK$6:$AK$505,"○")&gt;0,1,0))</f>
        <v>0</v>
      </c>
      <c r="K99" s="39" t="n">
        <f aca="false">IF(K$4=0,0,IF(COUNTIFS(実績!$W$6:$W$505,K$3,実績!$AI$6:$AI$505,"&lt;="&amp;$A99,実績!$AJ$6:$AJ$505,"&gt;"&amp;$A99,実績!$AK$6:$AK$505,"○")&gt;0,1,0))</f>
        <v>0</v>
      </c>
      <c r="L99" s="39" t="n">
        <f aca="false">IF(L$4=0,0,IF(COUNTIFS(実績!$W$6:$W$505,L$3,実績!$AI$6:$AI$505,"&lt;="&amp;$A99,実績!$AJ$6:$AJ$505,"&gt;"&amp;$A99,実績!$AK$6:$AK$505,"○")&gt;0,1,0))</f>
        <v>0</v>
      </c>
      <c r="M99" s="39" t="n">
        <f aca="false">IF(M$4=0,0,IF(COUNTIFS(実績!$W$6:$W$505,M$3,実績!$AI$6:$AI$505,"&lt;="&amp;$A99,実績!$AJ$6:$AJ$505,"&gt;"&amp;$A99,実績!$AK$6:$AK$505,"○")&gt;0,1,0))</f>
        <v>0</v>
      </c>
      <c r="N99" s="39" t="n">
        <f aca="false">IF(N$4=0,0,IF(COUNTIFS(実績!$W$6:$W$505,N$3,実績!$AI$6:$AI$505,"&lt;="&amp;$A99,実績!$AJ$6:$AJ$505,"&gt;"&amp;$A99,実績!$AK$6:$AK$505,"○")&gt;0,1,0))</f>
        <v>0</v>
      </c>
      <c r="O99" s="39" t="n">
        <f aca="false">IF(O$4=0,0,IF(COUNTIFS(実績!$W$6:$W$505,O$3,実績!$AI$6:$AI$505,"&lt;="&amp;$A99,実績!$AJ$6:$AJ$505,"&gt;"&amp;$A99,実績!$AK$6:$AK$505,"○")&gt;0,1,0))</f>
        <v>0</v>
      </c>
      <c r="P99" s="39" t="n">
        <f aca="false">IF(P$4=0,0,IF(COUNTIFS(実績!$W$6:$W$505,P$3,実績!$AI$6:$AI$505,"&lt;="&amp;$A99,実績!$AJ$6:$AJ$505,"&gt;"&amp;$A99,実績!$AK$6:$AK$505,"○")&gt;0,1,0))</f>
        <v>0</v>
      </c>
      <c r="Q99" s="39" t="n">
        <f aca="false">IF(Q$4=0,0,IF(COUNTIFS(実績!$W$6:$W$505,Q$3,実績!$AI$6:$AI$505,"&lt;="&amp;$A99,実績!$AJ$6:$AJ$505,"&gt;"&amp;$A99,実績!$AK$6:$AK$505,"○")&gt;0,1,0))</f>
        <v>0</v>
      </c>
      <c r="R99" s="39" t="n">
        <f aca="false">IF(R$4=0,0,IF(COUNTIFS(実績!$W$6:$W$505,R$3,実績!$AI$6:$AI$505,"&lt;="&amp;$A99,実績!$AJ$6:$AJ$505,"&gt;"&amp;$A99,実績!$AK$6:$AK$505,"○")&gt;0,1,0))</f>
        <v>0</v>
      </c>
      <c r="S99" s="39" t="n">
        <f aca="false">IF(S$4=0,0,IF(COUNTIFS(実績!$W$6:$W$505,S$3,実績!$AI$6:$AI$505,"&lt;="&amp;$A99,実績!$AJ$6:$AJ$505,"&gt;"&amp;$A99,実績!$AK$6:$AK$505,"○")&gt;0,1,0))</f>
        <v>0</v>
      </c>
      <c r="T99" s="39" t="n">
        <f aca="false">IF(T$4=0,0,IF(COUNTIFS(実績!$W$6:$W$505,T$3,実績!$AI$6:$AI$505,"&lt;="&amp;$A99,実績!$AJ$6:$AJ$505,"&gt;"&amp;$A99,実績!$AK$6:$AK$505,"○")&gt;0,1,0))</f>
        <v>0</v>
      </c>
      <c r="U99" s="39" t="n">
        <f aca="false">IF(U$4=0,0,IF(COUNTIFS(実績!$W$6:$W$505,U$3,実績!$AI$6:$AI$505,"&lt;="&amp;$A99,実績!$AJ$6:$AJ$505,"&gt;"&amp;$A99,実績!$AK$6:$AK$505,"○")&gt;0,1,0))</f>
        <v>0</v>
      </c>
      <c r="V99" s="39" t="n">
        <f aca="false">IF(V$4=0,0,IF(COUNTIFS(実績!$W$6:$W$505,V$3,実績!$AI$6:$AI$505,"&lt;="&amp;$A99,実績!$AJ$6:$AJ$505,"&gt;"&amp;$A99,実績!$AK$6:$AK$505,"○")&gt;0,1,0))</f>
        <v>0</v>
      </c>
      <c r="W99" s="39" t="n">
        <f aca="false">IF(W$4=0,0,IF(COUNTIFS(実績!$W$6:$W$505,W$3,実績!$AI$6:$AI$505,"&lt;="&amp;$A99,実績!$AJ$6:$AJ$505,"&gt;"&amp;$A99,実績!$AK$6:$AK$505,"○")&gt;0,1,0))</f>
        <v>0</v>
      </c>
      <c r="X99" s="39" t="n">
        <f aca="false">IF(X$4=0,0,IF(COUNTIFS(実績!$W$6:$W$505,X$3,実績!$AI$6:$AI$505,"&lt;="&amp;$A99,実績!$AJ$6:$AJ$505,"&gt;"&amp;$A99,実績!$AK$6:$AK$505,"○")&gt;0,1,0))</f>
        <v>0</v>
      </c>
      <c r="Y99" s="39" t="n">
        <f aca="false">IF(Y$4=0,0,IF(COUNTIFS(実績!$W$6:$W$505,Y$3,実績!$AI$6:$AI$505,"&lt;="&amp;$A99,実績!$AJ$6:$AJ$505,"&gt;"&amp;$A99,実績!$AK$6:$AK$505,"○")&gt;0,1,0))</f>
        <v>0</v>
      </c>
      <c r="Z99" s="39" t="n">
        <f aca="false">IF(Z$4=0,0,IF(COUNTIFS(実績!$W$6:$W$505,Z$3,実績!$AI$6:$AI$505,"&lt;="&amp;$A99,実績!$AJ$6:$AJ$505,"&gt;"&amp;$A99,実績!$AK$6:$AK$505,"○")&gt;0,1,0))</f>
        <v>0</v>
      </c>
      <c r="AA99" s="39" t="n">
        <f aca="false">IF(AA$4=0,0,IF(COUNTIFS(実績!$W$6:$W$505,AA$3,実績!$AI$6:$AI$505,"&lt;="&amp;$A99,実績!$AJ$6:$AJ$505,"&gt;"&amp;$A99,実績!$AK$6:$AK$505,"○")&gt;0,1,0))</f>
        <v>0</v>
      </c>
      <c r="AB99" s="39" t="n">
        <f aca="false">IF(AB$4=0,0,IF(COUNTIFS(実績!$W$6:$W$505,AB$3,実績!$AI$6:$AI$505,"&lt;="&amp;$A99,実績!$AJ$6:$AJ$505,"&gt;"&amp;$A99,実績!$AK$6:$AK$505,"○")&gt;0,1,0))</f>
        <v>0</v>
      </c>
      <c r="AC99" s="39" t="n">
        <f aca="false">IF(AC$4=0,0,IF(COUNTIFS(実績!$W$6:$W$505,AC$3,実績!$AI$6:$AI$505,"&lt;="&amp;$A99,実績!$AJ$6:$AJ$505,"&gt;"&amp;$A99,実績!$AK$6:$AK$505,"○")&gt;0,1,0))</f>
        <v>0</v>
      </c>
      <c r="AD99" s="39" t="n">
        <f aca="false">IF(AD$4=0,0,IF(COUNTIFS(実績!$W$6:$W$505,AD$3,実績!$AI$6:$AI$505,"&lt;="&amp;$A99,実績!$AJ$6:$AJ$505,"&gt;"&amp;$A99,実績!$AK$6:$AK$505,"○")&gt;0,1,0))</f>
        <v>0</v>
      </c>
      <c r="AE99" s="39" t="n">
        <f aca="false">IF(AE$4=0,0,IF(COUNTIFS(実績!$W$6:$W$505,AE$3,実績!$AI$6:$AI$505,"&lt;="&amp;$A99,実績!$AJ$6:$AJ$505,"&gt;"&amp;$A99,実績!$AK$6:$AK$505,"○")&gt;0,1,0))</f>
        <v>0</v>
      </c>
      <c r="AF99" s="39" t="n">
        <f aca="false">IF(AF$4=0,0,IF(COUNTIFS(実績!$W$6:$W$505,AF$3,実績!$AI$6:$AI$505,"&lt;="&amp;$A99,実績!$AJ$6:$AJ$505,"&gt;"&amp;$A99,実績!$AK$6:$AK$505,"○")&gt;0,1,0))</f>
        <v>0</v>
      </c>
      <c r="AG99" s="39" t="n">
        <f aca="false">IF(AG$4=0,0,IF(COUNTIFS(実績!$W$6:$W$505,AG$3,実績!$AI$6:$AI$505,"&lt;="&amp;$A99,実績!$AJ$6:$AJ$505,"&gt;"&amp;$A99,実績!$AK$6:$AK$505,"○")&gt;0,1,0))</f>
        <v>0</v>
      </c>
      <c r="AH99" s="39" t="n">
        <f aca="false">IF(AH$4=0,0,IF(COUNTIFS(実績!$W$6:$W$505,AH$3,実績!$AI$6:$AI$505,"&lt;="&amp;$A99,実績!$AJ$6:$AJ$505,"&gt;"&amp;$A99,実績!$AK$6:$AK$505,"○")&gt;0,1,0))</f>
        <v>0</v>
      </c>
      <c r="AI99" s="39" t="n">
        <f aca="false">IF(AI$4=0,0,IF(COUNTIFS(実績!$W$6:$W$505,AI$3,実績!$AI$6:$AI$505,"&lt;="&amp;$A99,実績!$AJ$6:$AJ$505,"&gt;"&amp;$A99,実績!$AK$6:$AK$505,"○")&gt;0,1,0))</f>
        <v>0</v>
      </c>
      <c r="AJ99" s="39" t="n">
        <f aca="false">IF(AJ$4=0,0,IF(COUNTIFS(実績!$W$6:$W$505,AJ$3,実績!$AI$6:$AI$505,"&lt;="&amp;$A99,実績!$AJ$6:$AJ$505,"&gt;"&amp;$A99,実績!$AK$6:$AK$505,"○")&gt;0,1,0))</f>
        <v>0</v>
      </c>
      <c r="AK99" s="39" t="n">
        <f aca="false">IF(AK$4=0,0,IF(COUNTIFS(実績!$W$6:$W$505,AK$3,実績!$AI$6:$AI$505,"&lt;="&amp;$A99,実績!$AJ$6:$AJ$505,"&gt;"&amp;$A99,実績!$AK$6:$AK$505,"○")&gt;0,1,0))</f>
        <v>0</v>
      </c>
      <c r="AL99" s="39" t="n">
        <f aca="false">IF(AL$4=0,0,IF(COUNTIFS(実績!$W$6:$W$505,AL$3,実績!$AI$6:$AI$505,"&lt;="&amp;$A99,実績!$AJ$6:$AJ$505,"&gt;"&amp;$A99,実績!$AK$6:$AK$505,"○")&gt;0,1,0))</f>
        <v>0</v>
      </c>
      <c r="AM99" s="39" t="n">
        <f aca="false">IF(AM$4=0,0,IF(COUNTIFS(実績!$W$6:$W$505,AM$3,実績!$AI$6:$AI$505,"&lt;="&amp;$A99,実績!$AJ$6:$AJ$505,"&gt;"&amp;$A99,実績!$AK$6:$AK$505,"○")&gt;0,1,0))</f>
        <v>0</v>
      </c>
      <c r="AN99" s="39" t="n">
        <f aca="false">IF(AN$4=0,0,IF(COUNTIFS(実績!$W$6:$W$505,AN$3,実績!$AI$6:$AI$505,"&lt;="&amp;$A99,実績!$AJ$6:$AJ$505,"&gt;"&amp;$A99,実績!$AK$6:$AK$505,"○")&gt;0,1,0))</f>
        <v>0</v>
      </c>
      <c r="AO99" s="39" t="n">
        <f aca="false">IF(AO$4=0,0,IF(COUNTIFS(実績!$W$6:$W$505,AO$3,実績!$AI$6:$AI$505,"&lt;="&amp;$A99,実績!$AJ$6:$AJ$505,"&gt;"&amp;$A99,実績!$AK$6:$AK$505,"○")&gt;0,1,0))</f>
        <v>0</v>
      </c>
      <c r="AP99" s="39" t="n">
        <f aca="false">IF(AP$4=0,0,IF(COUNTIFS(実績!$W$6:$W$505,AP$3,実績!$AI$6:$AI$505,"&lt;="&amp;$A99,実績!$AJ$6:$AJ$505,"&gt;"&amp;$A99,実績!$AK$6:$AK$505,"○")&gt;0,1,0))</f>
        <v>0</v>
      </c>
      <c r="AQ99" s="39" t="n">
        <f aca="false">IF(AQ$4=0,0,IF(COUNTIFS(実績!$W$6:$W$505,AQ$3,実績!$AI$6:$AI$505,"&lt;="&amp;$A99,実績!$AJ$6:$AJ$505,"&gt;"&amp;$A99,実績!$AK$6:$AK$505,"○")&gt;0,1,0))</f>
        <v>0</v>
      </c>
      <c r="AR99" s="39" t="n">
        <f aca="false">IF(AR$4=0,0,IF(COUNTIFS(実績!$W$6:$W$505,AR$3,実績!$AI$6:$AI$505,"&lt;="&amp;$A99,実績!$AJ$6:$AJ$505,"&gt;"&amp;$A99,実績!$AK$6:$AK$505,"○")&gt;0,1,0))</f>
        <v>0</v>
      </c>
      <c r="AS99" s="39" t="n">
        <f aca="false">IF(AS$4=0,0,IF(COUNTIFS(実績!$W$6:$W$505,AS$3,実績!$AI$6:$AI$505,"&lt;="&amp;$A99,実績!$AJ$6:$AJ$505,"&gt;"&amp;$A99,実績!$AK$6:$AK$505,"○")&gt;0,1,0))</f>
        <v>0</v>
      </c>
      <c r="AT99" s="39" t="n">
        <f aca="false">IF(AT$4=0,0,IF(COUNTIFS(実績!$W$6:$W$505,AT$3,実績!$AI$6:$AI$505,"&lt;="&amp;$A99,実績!$AJ$6:$AJ$505,"&gt;"&amp;$A99,実績!$AK$6:$AK$505,"○")&gt;0,1,0))</f>
        <v>0</v>
      </c>
      <c r="AU99" s="39" t="n">
        <f aca="false">IF(AU$4=0,0,IF(COUNTIFS(実績!$W$6:$W$505,AU$3,実績!$AI$6:$AI$505,"&lt;="&amp;$A99,実績!$AJ$6:$AJ$505,"&gt;"&amp;$A99,実績!$AK$6:$AK$505,"○")&gt;0,1,0))</f>
        <v>0</v>
      </c>
      <c r="AV99" s="39" t="n">
        <f aca="false">IF(AV$4=0,0,IF(COUNTIFS(実績!$W$6:$W$505,AV$3,実績!$AI$6:$AI$505,"&lt;="&amp;$A99,実績!$AJ$6:$AJ$505,"&gt;"&amp;$A99,実績!$AK$6:$AK$505,"○")&gt;0,1,0))</f>
        <v>0</v>
      </c>
      <c r="AW99" s="39" t="n">
        <f aca="false">IF(AW$4=0,0,IF(COUNTIFS(実績!$W$6:$W$505,AW$3,実績!$AI$6:$AI$505,"&lt;="&amp;$A99,実績!$AJ$6:$AJ$505,"&gt;"&amp;$A99,実績!$AK$6:$AK$505,"○")&gt;0,1,0))</f>
        <v>0</v>
      </c>
      <c r="AX99" s="39" t="n">
        <f aca="false">IF(AX$4=0,0,IF(COUNTIFS(実績!$W$6:$W$505,AX$3,実績!$AI$6:$AI$505,"&lt;="&amp;$A99,実績!$AJ$6:$AJ$505,"&gt;"&amp;$A99,実績!$AK$6:$AK$505,"○")&gt;0,1,0))</f>
        <v>0</v>
      </c>
      <c r="AY99" s="39" t="n">
        <f aca="false">IF(AY$4=0,0,IF(COUNTIFS(実績!$W$6:$W$505,AY$3,実績!$AI$6:$AI$505,"&lt;="&amp;$A99,実績!$AJ$6:$AJ$505,"&gt;"&amp;$A99,実績!$AK$6:$AK$505,"○")&gt;0,1,0))</f>
        <v>0</v>
      </c>
      <c r="AZ99" s="39" t="n">
        <f aca="false">IF(AZ$4=0,0,IF(COUNTIFS(実績!$W$6:$W$505,AZ$3,実績!$AI$6:$AI$505,"&lt;="&amp;$A99,実績!$AJ$6:$AJ$505,"&gt;"&amp;$A99,実績!$AK$6:$AK$505,"○")&gt;0,1,0))</f>
        <v>0</v>
      </c>
      <c r="BA99" s="39" t="n">
        <f aca="false">IF(BA$4=0,0,IF(COUNTIFS(実績!$W$6:$W$505,BA$3,実績!$AI$6:$AI$505,"&lt;="&amp;$A99,実績!$AJ$6:$AJ$505,"&gt;"&amp;$A99,実績!$AK$6:$AK$505,"○")&gt;0,1,0))</f>
        <v>0</v>
      </c>
      <c r="BB99" s="39" t="n">
        <f aca="false">IF(BB$4=0,0,IF(COUNTIFS(実績!$W$6:$W$505,BB$3,実績!$AI$6:$AI$505,"&lt;="&amp;$A99,実績!$AJ$6:$AJ$505,"&gt;"&amp;$A99,実績!$AK$6:$AK$505,"○")&gt;0,1,0))</f>
        <v>0</v>
      </c>
      <c r="BC99" s="39" t="n">
        <f aca="false">IF(BC$4=0,0,IF(COUNTIFS(実績!$W$6:$W$505,BC$3,実績!$AI$6:$AI$505,"&lt;="&amp;$A99,実績!$AJ$6:$AJ$505,"&gt;"&amp;$A99,実績!$AK$6:$AK$505,"○")&gt;0,1,0))</f>
        <v>0</v>
      </c>
      <c r="BD99" s="39" t="n">
        <f aca="false">IF(BD$4=0,0,IF(COUNTIFS(実績!$W$6:$W$505,BD$3,実績!$AI$6:$AI$505,"&lt;="&amp;$A99,実績!$AJ$6:$AJ$505,"&gt;"&amp;$A99,実績!$AK$6:$AK$505,"○")&gt;0,1,0))</f>
        <v>0</v>
      </c>
      <c r="BE99" s="39" t="n">
        <f aca="false">IF(BE$4=0,0,IF(COUNTIFS(実績!$W$6:$W$505,BE$3,実績!$AI$6:$AI$505,"&lt;="&amp;$A99,実績!$AJ$6:$AJ$505,"&gt;"&amp;$A99,実績!$AK$6:$AK$505,"○")&gt;0,1,0))</f>
        <v>0</v>
      </c>
      <c r="BF99" s="39" t="n">
        <f aca="false">IF(BF$4=0,0,IF(COUNTIFS(実績!$W$6:$W$505,BF$3,実績!$AI$6:$AI$505,"&lt;="&amp;$A99,実績!$AJ$6:$AJ$505,"&gt;"&amp;$A99,実績!$AK$6:$AK$505,"○")&gt;0,1,0))</f>
        <v>0</v>
      </c>
      <c r="BG99" s="39" t="n">
        <f aca="false">IF(BG$4=0,0,IF(COUNTIFS(実績!$W$6:$W$505,BG$3,実績!$AI$6:$AI$505,"&lt;="&amp;$A99,実績!$AJ$6:$AJ$505,"&gt;"&amp;$A99,実績!$AK$6:$AK$505,"○")&gt;0,1,0))</f>
        <v>0</v>
      </c>
      <c r="BH99" s="39" t="n">
        <f aca="false">IF(BH$4=0,0,IF(COUNTIFS(実績!$W$6:$W$505,BH$3,実績!$AI$6:$AI$505,"&lt;="&amp;$A99,実績!$AJ$6:$AJ$505,"&gt;"&amp;$A99,実績!$AK$6:$AK$505,"○")&gt;0,1,0))</f>
        <v>0</v>
      </c>
      <c r="BI99" s="39" t="n">
        <f aca="false">IF(BI$4=0,0,IF(COUNTIFS(実績!$W$6:$W$505,BI$3,実績!$AI$6:$AI$505,"&lt;="&amp;$A99,実績!$AJ$6:$AJ$505,"&gt;"&amp;$A99,実績!$AK$6:$AK$505,"○")&gt;0,1,0))</f>
        <v>0</v>
      </c>
      <c r="BJ99" s="39" t="n">
        <f aca="false">IF(BJ$4=0,0,IF(COUNTIFS(実績!$W$6:$W$505,BJ$3,実績!$AI$6:$AI$505,"&lt;="&amp;$A99,実績!$AJ$6:$AJ$505,"&gt;"&amp;$A99,実績!$AK$6:$AK$505,"○")&gt;0,1,0))</f>
        <v>0</v>
      </c>
      <c r="BK99" s="39" t="n">
        <f aca="false">IF(BK$4=0,0,IF(COUNTIFS(実績!$W$6:$W$505,BK$3,実績!$AI$6:$AI$505,"&lt;="&amp;$A99,実績!$AJ$6:$AJ$505,"&gt;"&amp;$A99,実績!$AK$6:$AK$505,"○")&gt;0,1,0))</f>
        <v>0</v>
      </c>
      <c r="BL99" s="39" t="n">
        <f aca="false">IF(BL$4=0,0,IF(COUNTIFS(実績!$W$6:$W$505,BL$3,実績!$AI$6:$AI$505,"&lt;="&amp;$A99,実績!$AJ$6:$AJ$505,"&gt;"&amp;$A99,実績!$AK$6:$AK$505,"○")&gt;0,1,0))</f>
        <v>0</v>
      </c>
      <c r="BM99" s="39" t="n">
        <f aca="false">IF(BM$4=0,0,IF(COUNTIFS(実績!$W$6:$W$505,BM$3,実績!$AI$6:$AI$505,"&lt;="&amp;$A99,実績!$AJ$6:$AJ$505,"&gt;"&amp;$A99,実績!$AK$6:$AK$505,"○")&gt;0,1,0))</f>
        <v>0</v>
      </c>
      <c r="BN99" s="39" t="n">
        <f aca="false">IF(BN$4=0,0,IF(COUNTIFS(実績!$W$6:$W$505,BN$3,実績!$AI$6:$AI$505,"&lt;="&amp;$A99,実績!$AJ$6:$AJ$505,"&gt;"&amp;$A99,実績!$AK$6:$AK$505,"○")&gt;0,1,0))</f>
        <v>0</v>
      </c>
      <c r="BO99" s="39" t="n">
        <f aca="false">IF(BO$4=0,0,IF(COUNTIFS(実績!$W$6:$W$505,BO$3,実績!$AI$6:$AI$505,"&lt;="&amp;$A99,実績!$AJ$6:$AJ$505,"&gt;"&amp;$A99,実績!$AK$6:$AK$505,"○")&gt;0,1,0))</f>
        <v>0</v>
      </c>
      <c r="BP99" s="39" t="n">
        <f aca="false">IF(BP$4=0,0,IF(COUNTIFS(実績!$W$6:$W$505,BP$3,実績!$AI$6:$AI$505,"&lt;="&amp;$A99,実績!$AJ$6:$AJ$505,"&gt;"&amp;$A99,実績!$AK$6:$AK$505,"○")&gt;0,1,0))</f>
        <v>0</v>
      </c>
      <c r="BQ99" s="39" t="n">
        <f aca="false">IF(BQ$4=0,0,IF(COUNTIFS(実績!$W$6:$W$505,BQ$3,実績!$AI$6:$AI$505,"&lt;="&amp;$A99,実績!$AJ$6:$AJ$505,"&gt;"&amp;$A99,実績!$AK$6:$AK$505,"○")&gt;0,1,0))</f>
        <v>0</v>
      </c>
      <c r="BR99" s="39" t="n">
        <f aca="false">IF(BR$4=0,0,IF(COUNTIFS(実績!$W$6:$W$505,BR$3,実績!$AI$6:$AI$505,"&lt;="&amp;$A99,実績!$AJ$6:$AJ$505,"&gt;"&amp;$A99,実績!$AK$6:$AK$505,"○")&gt;0,1,0))</f>
        <v>0</v>
      </c>
      <c r="BS99" s="39" t="n">
        <f aca="false">IF(BS$4=0,0,IF(COUNTIFS(実績!$W$6:$W$505,BS$3,実績!$AI$6:$AI$505,"&lt;="&amp;$A99,実績!$AJ$6:$AJ$505,"&gt;"&amp;$A99,実績!$AK$6:$AK$505,"○")&gt;0,1,0))</f>
        <v>0</v>
      </c>
      <c r="BT99" s="39" t="n">
        <f aca="false">IF(BT$4=0,0,IF(COUNTIFS(実績!$W$6:$W$505,BT$3,実績!$AI$6:$AI$505,"&lt;="&amp;$A99,実績!$AJ$6:$AJ$505,"&gt;"&amp;$A99,実績!$AK$6:$AK$505,"○")&gt;0,1,0))</f>
        <v>0</v>
      </c>
      <c r="BU99" s="39" t="n">
        <f aca="false">IF(BU$4=0,0,IF(COUNTIFS(実績!$W$6:$W$505,BU$3,実績!$AI$6:$AI$505,"&lt;="&amp;$A99,実績!$AJ$6:$AJ$505,"&gt;"&amp;$A99,実績!$AK$6:$AK$505,"○")&gt;0,1,0))</f>
        <v>0</v>
      </c>
      <c r="BV99" s="39" t="n">
        <f aca="false">IF(BV$4=0,0,IF(COUNTIFS(実績!$W$6:$W$505,BV$3,実績!$AI$6:$AI$505,"&lt;="&amp;$A99,実績!$AJ$6:$AJ$505,"&gt;"&amp;$A99,実績!$AK$6:$AK$505,"○")&gt;0,1,0))</f>
        <v>0</v>
      </c>
      <c r="BW99" s="39" t="n">
        <f aca="false">IF(BW$4=0,0,IF(COUNTIFS(実績!$W$6:$W$505,BW$3,実績!$AI$6:$AI$505,"&lt;="&amp;$A99,実績!$AJ$6:$AJ$505,"&gt;"&amp;$A99,実績!$AK$6:$AK$505,"○")&gt;0,1,0))</f>
        <v>0</v>
      </c>
      <c r="BX99" s="39" t="n">
        <f aca="false">IF(BX$4=0,0,IF(COUNTIFS(実績!$W$6:$W$505,BX$3,実績!$AI$6:$AI$505,"&lt;="&amp;$A99,実績!$AJ$6:$AJ$505,"&gt;"&amp;$A99,実績!$AK$6:$AK$505,"○")&gt;0,1,0))</f>
        <v>0</v>
      </c>
      <c r="BY99" s="39" t="n">
        <f aca="false">IF(BY$4=0,0,IF(COUNTIFS(実績!$W$6:$W$505,BY$3,実績!$AI$6:$AI$505,"&lt;="&amp;$A99,実績!$AJ$6:$AJ$505,"&gt;"&amp;$A99,実績!$AK$6:$AK$505,"○")&gt;0,1,0))</f>
        <v>0</v>
      </c>
      <c r="BZ99" s="39" t="n">
        <f aca="false">IF(BZ$4=0,0,IF(COUNTIFS(実績!$W$6:$W$505,BZ$3,実績!$AI$6:$AI$505,"&lt;="&amp;$A99,実績!$AJ$6:$AJ$505,"&gt;"&amp;$A99,実績!$AK$6:$AK$505,"○")&gt;0,1,0))</f>
        <v>0</v>
      </c>
      <c r="CA99" s="39" t="n">
        <f aca="false">IF(CA$4=0,0,IF(COUNTIFS(実績!$W$6:$W$505,CA$3,実績!$AI$6:$AI$505,"&lt;="&amp;$A99,実績!$AJ$6:$AJ$505,"&gt;"&amp;$A99,実績!$AK$6:$AK$505,"○")&gt;0,1,0))</f>
        <v>0</v>
      </c>
      <c r="CB99" s="39" t="n">
        <f aca="false">IF(CB$4=0,0,IF(COUNTIFS(実績!$W$6:$W$505,CB$3,実績!$AI$6:$AI$505,"&lt;="&amp;$A99,実績!$AJ$6:$AJ$505,"&gt;"&amp;$A99,実績!$AK$6:$AK$505,"○")&gt;0,1,0))</f>
        <v>0</v>
      </c>
      <c r="CC99" s="39" t="n">
        <f aca="false">IF(CC$4=0,0,IF(COUNTIFS(実績!$W$6:$W$505,CC$3,実績!$AI$6:$AI$505,"&lt;="&amp;$A99,実績!$AJ$6:$AJ$505,"&gt;"&amp;$A99,実績!$AK$6:$AK$505,"○")&gt;0,1,0))</f>
        <v>0</v>
      </c>
      <c r="CD99" s="39" t="n">
        <f aca="false">IF(CD$4=0,0,IF(COUNTIFS(実績!$W$6:$W$505,CD$3,実績!$AI$6:$AI$505,"&lt;="&amp;$A99,実績!$AJ$6:$AJ$505,"&gt;"&amp;$A99,実績!$AK$6:$AK$505,"○")&gt;0,1,0))</f>
        <v>0</v>
      </c>
      <c r="CE99" s="39" t="n">
        <f aca="false">IF(CE$4=0,0,IF(COUNTIFS(実績!$W$6:$W$505,CE$3,実績!$AI$6:$AI$505,"&lt;="&amp;$A99,実績!$AJ$6:$AJ$505,"&gt;"&amp;$A99,実績!$AK$6:$AK$505,"○")&gt;0,1,0))</f>
        <v>0</v>
      </c>
      <c r="CF99" s="39" t="n">
        <f aca="false">IF(CF$4=0,0,IF(COUNTIFS(実績!$W$6:$W$505,CF$3,実績!$AI$6:$AI$505,"&lt;="&amp;$A99,実績!$AJ$6:$AJ$505,"&gt;"&amp;$A99,実績!$AK$6:$AK$505,"○")&gt;0,1,0))</f>
        <v>0</v>
      </c>
      <c r="CG99" s="39" t="n">
        <f aca="false">IF(CG$4=0,0,IF(COUNTIFS(実績!$W$6:$W$505,CG$3,実績!$AI$6:$AI$505,"&lt;="&amp;$A99,実績!$AJ$6:$AJ$505,"&gt;"&amp;$A99,実績!$AK$6:$AK$505,"○")&gt;0,1,0))</f>
        <v>0</v>
      </c>
      <c r="CH99" s="39" t="n">
        <f aca="false">IF(CH$4=0,0,IF(COUNTIFS(実績!$W$6:$W$505,CH$3,実績!$AI$6:$AI$505,"&lt;="&amp;$A99,実績!$AJ$6:$AJ$505,"&gt;"&amp;$A99,実績!$AK$6:$AK$505,"○")&gt;0,1,0))</f>
        <v>0</v>
      </c>
      <c r="CI99" s="39" t="n">
        <f aca="false">IF(CI$4=0,0,IF(COUNTIFS(実績!$W$6:$W$505,CI$3,実績!$AI$6:$AI$505,"&lt;="&amp;$A99,実績!$AJ$6:$AJ$505,"&gt;"&amp;$A99,実績!$AK$6:$AK$505,"○")&gt;0,1,0))</f>
        <v>0</v>
      </c>
      <c r="CJ99" s="39" t="n">
        <f aca="false">IF(CJ$4=0,0,IF(COUNTIFS(実績!$W$6:$W$505,CJ$3,実績!$AI$6:$AI$505,"&lt;="&amp;$A99,実績!$AJ$6:$AJ$505,"&gt;"&amp;$A99,実績!$AK$6:$AK$505,"○")&gt;0,1,0))</f>
        <v>0</v>
      </c>
      <c r="CK99" s="39" t="n">
        <f aca="false">IF(CK$4=0,0,IF(COUNTIFS(実績!$W$6:$W$505,CK$3,実績!$AI$6:$AI$505,"&lt;="&amp;$A99,実績!$AJ$6:$AJ$505,"&gt;"&amp;$A99,実績!$AK$6:$AK$505,"○")&gt;0,1,0))</f>
        <v>0</v>
      </c>
      <c r="CL99" s="39" t="n">
        <f aca="false">IF(CL$4=0,0,IF(COUNTIFS(実績!$W$6:$W$505,CL$3,実績!$AI$6:$AI$505,"&lt;="&amp;$A99,実績!$AJ$6:$AJ$505,"&gt;"&amp;$A99,実績!$AK$6:$AK$505,"○")&gt;0,1,0))</f>
        <v>0</v>
      </c>
      <c r="CM99" s="39" t="n">
        <f aca="false">IF(CM$4=0,0,IF(COUNTIFS(実績!$W$6:$W$505,CM$3,実績!$AI$6:$AI$505,"&lt;="&amp;$A99,実績!$AJ$6:$AJ$505,"&gt;"&amp;$A99,実績!$AK$6:$AK$505,"○")&gt;0,1,0))</f>
        <v>0</v>
      </c>
      <c r="CN99" s="39" t="n">
        <f aca="false">IF(CN$4=0,0,IF(COUNTIFS(実績!$W$6:$W$505,CN$3,実績!$AI$6:$AI$505,"&lt;="&amp;$A99,実績!$AJ$6:$AJ$505,"&gt;"&amp;$A99,実績!$AK$6:$AK$505,"○")&gt;0,1,0))</f>
        <v>0</v>
      </c>
      <c r="CO99" s="39" t="n">
        <f aca="false">IF(CO$4=0,0,IF(COUNTIFS(実績!$W$6:$W$505,CO$3,実績!$AI$6:$AI$505,"&lt;="&amp;$A99,実績!$AJ$6:$AJ$505,"&gt;"&amp;$A99,実績!$AK$6:$AK$505,"○")&gt;0,1,0))</f>
        <v>0</v>
      </c>
      <c r="CP99" s="39" t="n">
        <f aca="false">IF(CP$4=0,0,IF(COUNTIFS(実績!$W$6:$W$505,CP$3,実績!$AI$6:$AI$505,"&lt;="&amp;$A99,実績!$AJ$6:$AJ$505,"&gt;"&amp;$A99,実績!$AK$6:$AK$505,"○")&gt;0,1,0))</f>
        <v>0</v>
      </c>
      <c r="CQ99" s="39" t="n">
        <f aca="false">IF(CQ$4=0,0,IF(COUNTIFS(実績!$W$6:$W$505,CQ$3,実績!$AI$6:$AI$505,"&lt;="&amp;$A99,実績!$AJ$6:$AJ$505,"&gt;"&amp;$A99,実績!$AK$6:$AK$505,"○")&gt;0,1,0))</f>
        <v>0</v>
      </c>
      <c r="CR99" s="39" t="n">
        <f aca="false">IF(CR$4=0,0,IF(COUNTIFS(実績!$W$6:$W$505,CR$3,実績!$AI$6:$AI$505,"&lt;="&amp;$A99,実績!$AJ$6:$AJ$505,"&gt;"&amp;$A99,実績!$AK$6:$AK$505,"○")&gt;0,1,0))</f>
        <v>0</v>
      </c>
      <c r="CS99" s="39" t="n">
        <f aca="false">IF(CS$4=0,0,IF(COUNTIFS(実績!$W$6:$W$505,CS$3,実績!$AI$6:$AI$505,"&lt;="&amp;$A99,実績!$AJ$6:$AJ$505,"&gt;"&amp;$A99,実績!$AK$6:$AK$505,"○")&gt;0,1,0))</f>
        <v>0</v>
      </c>
      <c r="CT99" s="39" t="n">
        <f aca="false">IF(CT$4=0,0,IF(COUNTIFS(実績!$W$6:$W$505,CT$3,実績!$AI$6:$AI$505,"&lt;="&amp;$A99,実績!$AJ$6:$AJ$505,"&gt;"&amp;$A99,実績!$AK$6:$AK$505,"○")&gt;0,1,0))</f>
        <v>0</v>
      </c>
      <c r="CU99" s="39" t="n">
        <f aca="false">IF(CU$4=0,0,IF(COUNTIFS(実績!$W$6:$W$505,CU$3,実績!$AI$6:$AI$505,"&lt;="&amp;$A99,実績!$AJ$6:$AJ$505,"&gt;"&amp;$A99,実績!$AK$6:$AK$505,"○")&gt;0,1,0))</f>
        <v>0</v>
      </c>
      <c r="CV99" s="39" t="n">
        <f aca="false">IF(CV$4=0,0,IF(COUNTIFS(実績!$W$6:$W$505,CV$3,実績!$AI$6:$AI$505,"&lt;="&amp;$A99,実績!$AJ$6:$AJ$505,"&gt;"&amp;$A99,実績!$AK$6:$AK$505,"○")&gt;0,1,0))</f>
        <v>0</v>
      </c>
      <c r="CW99" s="39" t="n">
        <f aca="false">IF(CW$4=0,0,IF(COUNTIFS(実績!$W$6:$W$505,CW$3,実績!$AI$6:$AI$505,"&lt;="&amp;$A99,実績!$AJ$6:$AJ$505,"&gt;"&amp;$A99,実績!$AK$6:$AK$505,"○")&gt;0,1,0))</f>
        <v>0</v>
      </c>
      <c r="CX99" s="39" t="n">
        <f aca="false">IF(CX$4=0,0,IF(COUNTIFS(実績!$W$6:$W$505,CX$3,実績!$AI$6:$AI$505,"&lt;="&amp;$A99,実績!$AJ$6:$AJ$505,"&gt;"&amp;$A99,実績!$AK$6:$AK$505,"○")&gt;0,1,0))</f>
        <v>0</v>
      </c>
      <c r="CY99" s="39" t="n">
        <f aca="false">IF(CY$4=0,0,IF(COUNTIFS(実績!$W$6:$W$505,CY$3,実績!$AI$6:$AI$505,"&lt;="&amp;$A99,実績!$AJ$6:$AJ$505,"&gt;"&amp;$A99,実績!$AK$6:$AK$505,"○")&gt;0,1,0))</f>
        <v>0</v>
      </c>
      <c r="CZ99" s="39" t="n">
        <f aca="false">IF(CZ$4=0,0,IF(COUNTIFS(実績!$W$6:$W$505,CZ$3,実績!$AI$6:$AI$505,"&lt;="&amp;$A99,実績!$AJ$6:$AJ$505,"&gt;"&amp;$A99,実績!$AK$6:$AK$505,"○")&gt;0,1,0))</f>
        <v>0</v>
      </c>
      <c r="DA99" s="39" t="n">
        <f aca="false">IF(DA$4=0,0,IF(COUNTIFS(実績!$W$6:$W$505,DA$3,実績!$AI$6:$AI$505,"&lt;="&amp;$A99,実績!$AJ$6:$AJ$505,"&gt;"&amp;$A99,実績!$AK$6:$AK$505,"○")&gt;0,1,0))</f>
        <v>0</v>
      </c>
      <c r="DB99" s="39" t="n">
        <f aca="false">IF(DB$4=0,0,IF(COUNTIFS(実績!$W$6:$W$505,DB$3,実績!$AI$6:$AI$505,"&lt;="&amp;$A99,実績!$AJ$6:$AJ$505,"&gt;"&amp;$A99,実績!$AK$6:$AK$505,"○")&gt;0,1,0))</f>
        <v>0</v>
      </c>
      <c r="DC99" s="39" t="n">
        <f aca="false">IF(DC$4=0,0,IF(COUNTIFS(実績!$W$6:$W$505,DC$3,実績!$AI$6:$AI$505,"&lt;="&amp;$A99,実績!$AJ$6:$AJ$505,"&gt;"&amp;$A99,実績!$AK$6:$AK$505,"○")&gt;0,1,0))</f>
        <v>0</v>
      </c>
      <c r="DD99" s="39" t="n">
        <f aca="false">IF(DD$4=0,0,IF(COUNTIFS(実績!$W$6:$W$505,DD$3,実績!$AI$6:$AI$505,"&lt;="&amp;$A99,実績!$AJ$6:$AJ$505,"&gt;"&amp;$A99,実績!$AK$6:$AK$505,"○")&gt;0,1,0))</f>
        <v>0</v>
      </c>
      <c r="DE99" s="39" t="n">
        <f aca="false">IF(DE$4=0,0,IF(COUNTIFS(実績!$W$6:$W$505,DE$3,実績!$AI$6:$AI$505,"&lt;="&amp;$A99,実績!$AJ$6:$AJ$505,"&gt;"&amp;$A99,実績!$AK$6:$AK$505,"○")&gt;0,1,0))</f>
        <v>0</v>
      </c>
      <c r="DF99" s="39" t="n">
        <f aca="false">IF(DF$4=0,0,IF(COUNTIFS(実績!$W$6:$W$505,DF$3,実績!$AI$6:$AI$505,"&lt;="&amp;$A99,実績!$AJ$6:$AJ$505,"&gt;"&amp;$A99,実績!$AK$6:$AK$505,"○")&gt;0,1,0))</f>
        <v>0</v>
      </c>
      <c r="DG99" s="39" t="n">
        <f aca="false">IF(DG$4=0,0,IF(COUNTIFS(実績!$W$6:$W$505,DG$3,実績!$AI$6:$AI$505,"&lt;="&amp;$A99,実績!$AJ$6:$AJ$505,"&gt;"&amp;$A99,実績!$AK$6:$AK$505,"○")&gt;0,1,0))</f>
        <v>0</v>
      </c>
      <c r="DH99" s="39" t="n">
        <f aca="false">IF(DH$4=0,0,IF(COUNTIFS(実績!$W$6:$W$505,DH$3,実績!$AI$6:$AI$505,"&lt;="&amp;$A99,実績!$AJ$6:$AJ$505,"&gt;"&amp;$A99,実績!$AK$6:$AK$505,"○")&gt;0,1,0))</f>
        <v>0</v>
      </c>
      <c r="DI99" s="39" t="n">
        <f aca="false">IF(DI$4=0,0,IF(COUNTIFS(実績!$W$6:$W$505,DI$3,実績!$AI$6:$AI$505,"&lt;="&amp;$A99,実績!$AJ$6:$AJ$505,"&gt;"&amp;$A99,実績!$AK$6:$AK$505,"○")&gt;0,1,0))</f>
        <v>0</v>
      </c>
      <c r="DJ99" s="39" t="n">
        <f aca="false">IF(DJ$4=0,0,IF(COUNTIFS(実績!$W$6:$W$505,DJ$3,実績!$AI$6:$AI$505,"&lt;="&amp;$A99,実績!$AJ$6:$AJ$505,"&gt;"&amp;$A99,実績!$AK$6:$AK$505,"○")&gt;0,1,0))</f>
        <v>0</v>
      </c>
      <c r="DK99" s="39" t="n">
        <f aca="false">IF(DK$4=0,0,IF(COUNTIFS(実績!$W$6:$W$505,DK$3,実績!$AI$6:$AI$505,"&lt;="&amp;$A99,実績!$AJ$6:$AJ$505,"&gt;"&amp;$A99,実績!$AK$6:$AK$505,"○")&gt;0,1,0))</f>
        <v>0</v>
      </c>
      <c r="DL99" s="39" t="n">
        <f aca="false">IF(DL$4=0,0,IF(COUNTIFS(実績!$W$6:$W$505,DL$3,実績!$AI$6:$AI$505,"&lt;="&amp;$A99,実績!$AJ$6:$AJ$505,"&gt;"&amp;$A99,実績!$AK$6:$AK$505,"○")&gt;0,1,0))</f>
        <v>0</v>
      </c>
      <c r="DM99" s="39" t="n">
        <f aca="false">IF(DM$4=0,0,IF(COUNTIFS(実績!$W$6:$W$505,DM$3,実績!$AI$6:$AI$505,"&lt;="&amp;$A99,実績!$AJ$6:$AJ$505,"&gt;"&amp;$A99,実績!$AK$6:$AK$505,"○")&gt;0,1,0))</f>
        <v>0</v>
      </c>
      <c r="DN99" s="39" t="n">
        <f aca="false">IF(DN$4=0,0,IF(COUNTIFS(実績!$W$6:$W$505,DN$3,実績!$AI$6:$AI$505,"&lt;="&amp;$A99,実績!$AJ$6:$AJ$505,"&gt;"&amp;$A99,実績!$AK$6:$AK$505,"○")&gt;0,1,0))</f>
        <v>0</v>
      </c>
      <c r="DO99" s="39" t="n">
        <f aca="false">IF(DO$4=0,0,IF(COUNTIFS(実績!$W$6:$W$505,DO$3,実績!$AI$6:$AI$505,"&lt;="&amp;$A99,実績!$AJ$6:$AJ$505,"&gt;"&amp;$A99,実績!$AK$6:$AK$505,"○")&gt;0,1,0))</f>
        <v>0</v>
      </c>
      <c r="DP99" s="39" t="n">
        <f aca="false">IF(DP$4=0,0,IF(COUNTIFS(実績!$W$6:$W$505,DP$3,実績!$AI$6:$AI$505,"&lt;="&amp;$A99,実績!$AJ$6:$AJ$505,"&gt;"&amp;$A99,実績!$AK$6:$AK$505,"○")&gt;0,1,0))</f>
        <v>0</v>
      </c>
      <c r="DQ99" s="39" t="n">
        <f aca="false">IF(DQ$4=0,0,IF(COUNTIFS(実績!$W$6:$W$505,DQ$3,実績!$AI$6:$AI$505,"&lt;="&amp;$A99,実績!$AJ$6:$AJ$505,"&gt;"&amp;$A99,実績!$AK$6:$AK$505,"○")&gt;0,1,0))</f>
        <v>0</v>
      </c>
      <c r="DR99" s="39" t="n">
        <f aca="false">IF(DR$4=0,0,IF(COUNTIFS(実績!$W$6:$W$505,DR$3,実績!$AI$6:$AI$505,"&lt;="&amp;$A99,実績!$AJ$6:$AJ$505,"&gt;"&amp;$A99,実績!$AK$6:$AK$505,"○")&gt;0,1,0))</f>
        <v>0</v>
      </c>
      <c r="DS99" s="39" t="n">
        <f aca="false">SUM(C99:DR99)</f>
        <v>0</v>
      </c>
      <c r="DT99" s="39" t="n">
        <f aca="false">SUMPRODUCT((実績!$C$6:$C$505="○")*ISNUMBER(実績!$AM$6:$AM$505)*(実績!$AM$6:$AM$505&lt;=$A99)*(実績!$AN$6:$AN$505&gt;$A99))</f>
        <v>0</v>
      </c>
      <c r="DU99" s="39" t="n">
        <f aca="false">SUMIF($C$2:$DR$2,"製鉄曳船",C99:DR99)</f>
        <v>0</v>
      </c>
      <c r="DV99" s="39" t="n">
        <f aca="false">SUMIF($C$2:$DR$2,"西日本海運",C99:DR99)</f>
        <v>0</v>
      </c>
    </row>
    <row r="100" customFormat="false" ht="15" hidden="false" customHeight="false" outlineLevel="0" collapsed="false">
      <c r="A100" s="0" t="n">
        <v>470</v>
      </c>
      <c r="B100" s="38" t="n">
        <f aca="false">A100/1440</f>
        <v>0.326388888888889</v>
      </c>
      <c r="C100" s="39" t="n">
        <f aca="false">IF(C$4=0,0,IF(COUNTIFS(実績!$W$6:$W$505,C$3,実績!$AI$6:$AI$505,"&lt;="&amp;$A100,実績!$AJ$6:$AJ$505,"&gt;"&amp;$A100,実績!$AK$6:$AK$505,"○")&gt;0,1,0))</f>
        <v>0</v>
      </c>
      <c r="D100" s="39" t="n">
        <f aca="false">IF(D$4=0,0,IF(COUNTIFS(実績!$W$6:$W$505,D$3,実績!$AI$6:$AI$505,"&lt;="&amp;$A100,実績!$AJ$6:$AJ$505,"&gt;"&amp;$A100,実績!$AK$6:$AK$505,"○")&gt;0,1,0))</f>
        <v>0</v>
      </c>
      <c r="E100" s="39" t="n">
        <f aca="false">IF(E$4=0,0,IF(COUNTIFS(実績!$W$6:$W$505,E$3,実績!$AI$6:$AI$505,"&lt;="&amp;$A100,実績!$AJ$6:$AJ$505,"&gt;"&amp;$A100,実績!$AK$6:$AK$505,"○")&gt;0,1,0))</f>
        <v>0</v>
      </c>
      <c r="F100" s="39" t="n">
        <f aca="false">IF(F$4=0,0,IF(COUNTIFS(実績!$W$6:$W$505,F$3,実績!$AI$6:$AI$505,"&lt;="&amp;$A100,実績!$AJ$6:$AJ$505,"&gt;"&amp;$A100,実績!$AK$6:$AK$505,"○")&gt;0,1,0))</f>
        <v>0</v>
      </c>
      <c r="G100" s="39" t="n">
        <f aca="false">IF(G$4=0,0,IF(COUNTIFS(実績!$W$6:$W$505,G$3,実績!$AI$6:$AI$505,"&lt;="&amp;$A100,実績!$AJ$6:$AJ$505,"&gt;"&amp;$A100,実績!$AK$6:$AK$505,"○")&gt;0,1,0))</f>
        <v>0</v>
      </c>
      <c r="H100" s="39" t="n">
        <f aca="false">IF(H$4=0,0,IF(COUNTIFS(実績!$W$6:$W$505,H$3,実績!$AI$6:$AI$505,"&lt;="&amp;$A100,実績!$AJ$6:$AJ$505,"&gt;"&amp;$A100,実績!$AK$6:$AK$505,"○")&gt;0,1,0))</f>
        <v>0</v>
      </c>
      <c r="I100" s="39" t="n">
        <f aca="false">IF(I$4=0,0,IF(COUNTIFS(実績!$W$6:$W$505,I$3,実績!$AI$6:$AI$505,"&lt;="&amp;$A100,実績!$AJ$6:$AJ$505,"&gt;"&amp;$A100,実績!$AK$6:$AK$505,"○")&gt;0,1,0))</f>
        <v>0</v>
      </c>
      <c r="J100" s="39" t="n">
        <f aca="false">IF(J$4=0,0,IF(COUNTIFS(実績!$W$6:$W$505,J$3,実績!$AI$6:$AI$505,"&lt;="&amp;$A100,実績!$AJ$6:$AJ$505,"&gt;"&amp;$A100,実績!$AK$6:$AK$505,"○")&gt;0,1,0))</f>
        <v>0</v>
      </c>
      <c r="K100" s="39" t="n">
        <f aca="false">IF(K$4=0,0,IF(COUNTIFS(実績!$W$6:$W$505,K$3,実績!$AI$6:$AI$505,"&lt;="&amp;$A100,実績!$AJ$6:$AJ$505,"&gt;"&amp;$A100,実績!$AK$6:$AK$505,"○")&gt;0,1,0))</f>
        <v>0</v>
      </c>
      <c r="L100" s="39" t="n">
        <f aca="false">IF(L$4=0,0,IF(COUNTIFS(実績!$W$6:$W$505,L$3,実績!$AI$6:$AI$505,"&lt;="&amp;$A100,実績!$AJ$6:$AJ$505,"&gt;"&amp;$A100,実績!$AK$6:$AK$505,"○")&gt;0,1,0))</f>
        <v>0</v>
      </c>
      <c r="M100" s="39" t="n">
        <f aca="false">IF(M$4=0,0,IF(COUNTIFS(実績!$W$6:$W$505,M$3,実績!$AI$6:$AI$505,"&lt;="&amp;$A100,実績!$AJ$6:$AJ$505,"&gt;"&amp;$A100,実績!$AK$6:$AK$505,"○")&gt;0,1,0))</f>
        <v>0</v>
      </c>
      <c r="N100" s="39" t="n">
        <f aca="false">IF(N$4=0,0,IF(COUNTIFS(実績!$W$6:$W$505,N$3,実績!$AI$6:$AI$505,"&lt;="&amp;$A100,実績!$AJ$6:$AJ$505,"&gt;"&amp;$A100,実績!$AK$6:$AK$505,"○")&gt;0,1,0))</f>
        <v>0</v>
      </c>
      <c r="O100" s="39" t="n">
        <f aca="false">IF(O$4=0,0,IF(COUNTIFS(実績!$W$6:$W$505,O$3,実績!$AI$6:$AI$505,"&lt;="&amp;$A100,実績!$AJ$6:$AJ$505,"&gt;"&amp;$A100,実績!$AK$6:$AK$505,"○")&gt;0,1,0))</f>
        <v>0</v>
      </c>
      <c r="P100" s="39" t="n">
        <f aca="false">IF(P$4=0,0,IF(COUNTIFS(実績!$W$6:$W$505,P$3,実績!$AI$6:$AI$505,"&lt;="&amp;$A100,実績!$AJ$6:$AJ$505,"&gt;"&amp;$A100,実績!$AK$6:$AK$505,"○")&gt;0,1,0))</f>
        <v>0</v>
      </c>
      <c r="Q100" s="39" t="n">
        <f aca="false">IF(Q$4=0,0,IF(COUNTIFS(実績!$W$6:$W$505,Q$3,実績!$AI$6:$AI$505,"&lt;="&amp;$A100,実績!$AJ$6:$AJ$505,"&gt;"&amp;$A100,実績!$AK$6:$AK$505,"○")&gt;0,1,0))</f>
        <v>0</v>
      </c>
      <c r="R100" s="39" t="n">
        <f aca="false">IF(R$4=0,0,IF(COUNTIFS(実績!$W$6:$W$505,R$3,実績!$AI$6:$AI$505,"&lt;="&amp;$A100,実績!$AJ$6:$AJ$505,"&gt;"&amp;$A100,実績!$AK$6:$AK$505,"○")&gt;0,1,0))</f>
        <v>0</v>
      </c>
      <c r="S100" s="39" t="n">
        <f aca="false">IF(S$4=0,0,IF(COUNTIFS(実績!$W$6:$W$505,S$3,実績!$AI$6:$AI$505,"&lt;="&amp;$A100,実績!$AJ$6:$AJ$505,"&gt;"&amp;$A100,実績!$AK$6:$AK$505,"○")&gt;0,1,0))</f>
        <v>0</v>
      </c>
      <c r="T100" s="39" t="n">
        <f aca="false">IF(T$4=0,0,IF(COUNTIFS(実績!$W$6:$W$505,T$3,実績!$AI$6:$AI$505,"&lt;="&amp;$A100,実績!$AJ$6:$AJ$505,"&gt;"&amp;$A100,実績!$AK$6:$AK$505,"○")&gt;0,1,0))</f>
        <v>0</v>
      </c>
      <c r="U100" s="39" t="n">
        <f aca="false">IF(U$4=0,0,IF(COUNTIFS(実績!$W$6:$W$505,U$3,実績!$AI$6:$AI$505,"&lt;="&amp;$A100,実績!$AJ$6:$AJ$505,"&gt;"&amp;$A100,実績!$AK$6:$AK$505,"○")&gt;0,1,0))</f>
        <v>0</v>
      </c>
      <c r="V100" s="39" t="n">
        <f aca="false">IF(V$4=0,0,IF(COUNTIFS(実績!$W$6:$W$505,V$3,実績!$AI$6:$AI$505,"&lt;="&amp;$A100,実績!$AJ$6:$AJ$505,"&gt;"&amp;$A100,実績!$AK$6:$AK$505,"○")&gt;0,1,0))</f>
        <v>0</v>
      </c>
      <c r="W100" s="39" t="n">
        <f aca="false">IF(W$4=0,0,IF(COUNTIFS(実績!$W$6:$W$505,W$3,実績!$AI$6:$AI$505,"&lt;="&amp;$A100,実績!$AJ$6:$AJ$505,"&gt;"&amp;$A100,実績!$AK$6:$AK$505,"○")&gt;0,1,0))</f>
        <v>0</v>
      </c>
      <c r="X100" s="39" t="n">
        <f aca="false">IF(X$4=0,0,IF(COUNTIFS(実績!$W$6:$W$505,X$3,実績!$AI$6:$AI$505,"&lt;="&amp;$A100,実績!$AJ$6:$AJ$505,"&gt;"&amp;$A100,実績!$AK$6:$AK$505,"○")&gt;0,1,0))</f>
        <v>0</v>
      </c>
      <c r="Y100" s="39" t="n">
        <f aca="false">IF(Y$4=0,0,IF(COUNTIFS(実績!$W$6:$W$505,Y$3,実績!$AI$6:$AI$505,"&lt;="&amp;$A100,実績!$AJ$6:$AJ$505,"&gt;"&amp;$A100,実績!$AK$6:$AK$505,"○")&gt;0,1,0))</f>
        <v>0</v>
      </c>
      <c r="Z100" s="39" t="n">
        <f aca="false">IF(Z$4=0,0,IF(COUNTIFS(実績!$W$6:$W$505,Z$3,実績!$AI$6:$AI$505,"&lt;="&amp;$A100,実績!$AJ$6:$AJ$505,"&gt;"&amp;$A100,実績!$AK$6:$AK$505,"○")&gt;0,1,0))</f>
        <v>0</v>
      </c>
      <c r="AA100" s="39" t="n">
        <f aca="false">IF(AA$4=0,0,IF(COUNTIFS(実績!$W$6:$W$505,AA$3,実績!$AI$6:$AI$505,"&lt;="&amp;$A100,実績!$AJ$6:$AJ$505,"&gt;"&amp;$A100,実績!$AK$6:$AK$505,"○")&gt;0,1,0))</f>
        <v>0</v>
      </c>
      <c r="AB100" s="39" t="n">
        <f aca="false">IF(AB$4=0,0,IF(COUNTIFS(実績!$W$6:$W$505,AB$3,実績!$AI$6:$AI$505,"&lt;="&amp;$A100,実績!$AJ$6:$AJ$505,"&gt;"&amp;$A100,実績!$AK$6:$AK$505,"○")&gt;0,1,0))</f>
        <v>0</v>
      </c>
      <c r="AC100" s="39" t="n">
        <f aca="false">IF(AC$4=0,0,IF(COUNTIFS(実績!$W$6:$W$505,AC$3,実績!$AI$6:$AI$505,"&lt;="&amp;$A100,実績!$AJ$6:$AJ$505,"&gt;"&amp;$A100,実績!$AK$6:$AK$505,"○")&gt;0,1,0))</f>
        <v>0</v>
      </c>
      <c r="AD100" s="39" t="n">
        <f aca="false">IF(AD$4=0,0,IF(COUNTIFS(実績!$W$6:$W$505,AD$3,実績!$AI$6:$AI$505,"&lt;="&amp;$A100,実績!$AJ$6:$AJ$505,"&gt;"&amp;$A100,実績!$AK$6:$AK$505,"○")&gt;0,1,0))</f>
        <v>0</v>
      </c>
      <c r="AE100" s="39" t="n">
        <f aca="false">IF(AE$4=0,0,IF(COUNTIFS(実績!$W$6:$W$505,AE$3,実績!$AI$6:$AI$505,"&lt;="&amp;$A100,実績!$AJ$6:$AJ$505,"&gt;"&amp;$A100,実績!$AK$6:$AK$505,"○")&gt;0,1,0))</f>
        <v>0</v>
      </c>
      <c r="AF100" s="39" t="n">
        <f aca="false">IF(AF$4=0,0,IF(COUNTIFS(実績!$W$6:$W$505,AF$3,実績!$AI$6:$AI$505,"&lt;="&amp;$A100,実績!$AJ$6:$AJ$505,"&gt;"&amp;$A100,実績!$AK$6:$AK$505,"○")&gt;0,1,0))</f>
        <v>0</v>
      </c>
      <c r="AG100" s="39" t="n">
        <f aca="false">IF(AG$4=0,0,IF(COUNTIFS(実績!$W$6:$W$505,AG$3,実績!$AI$6:$AI$505,"&lt;="&amp;$A100,実績!$AJ$6:$AJ$505,"&gt;"&amp;$A100,実績!$AK$6:$AK$505,"○")&gt;0,1,0))</f>
        <v>0</v>
      </c>
      <c r="AH100" s="39" t="n">
        <f aca="false">IF(AH$4=0,0,IF(COUNTIFS(実績!$W$6:$W$505,AH$3,実績!$AI$6:$AI$505,"&lt;="&amp;$A100,実績!$AJ$6:$AJ$505,"&gt;"&amp;$A100,実績!$AK$6:$AK$505,"○")&gt;0,1,0))</f>
        <v>0</v>
      </c>
      <c r="AI100" s="39" t="n">
        <f aca="false">IF(AI$4=0,0,IF(COUNTIFS(実績!$W$6:$W$505,AI$3,実績!$AI$6:$AI$505,"&lt;="&amp;$A100,実績!$AJ$6:$AJ$505,"&gt;"&amp;$A100,実績!$AK$6:$AK$505,"○")&gt;0,1,0))</f>
        <v>0</v>
      </c>
      <c r="AJ100" s="39" t="n">
        <f aca="false">IF(AJ$4=0,0,IF(COUNTIFS(実績!$W$6:$W$505,AJ$3,実績!$AI$6:$AI$505,"&lt;="&amp;$A100,実績!$AJ$6:$AJ$505,"&gt;"&amp;$A100,実績!$AK$6:$AK$505,"○")&gt;0,1,0))</f>
        <v>0</v>
      </c>
      <c r="AK100" s="39" t="n">
        <f aca="false">IF(AK$4=0,0,IF(COUNTIFS(実績!$W$6:$W$505,AK$3,実績!$AI$6:$AI$505,"&lt;="&amp;$A100,実績!$AJ$6:$AJ$505,"&gt;"&amp;$A100,実績!$AK$6:$AK$505,"○")&gt;0,1,0))</f>
        <v>0</v>
      </c>
      <c r="AL100" s="39" t="n">
        <f aca="false">IF(AL$4=0,0,IF(COUNTIFS(実績!$W$6:$W$505,AL$3,実績!$AI$6:$AI$505,"&lt;="&amp;$A100,実績!$AJ$6:$AJ$505,"&gt;"&amp;$A100,実績!$AK$6:$AK$505,"○")&gt;0,1,0))</f>
        <v>0</v>
      </c>
      <c r="AM100" s="39" t="n">
        <f aca="false">IF(AM$4=0,0,IF(COUNTIFS(実績!$W$6:$W$505,AM$3,実績!$AI$6:$AI$505,"&lt;="&amp;$A100,実績!$AJ$6:$AJ$505,"&gt;"&amp;$A100,実績!$AK$6:$AK$505,"○")&gt;0,1,0))</f>
        <v>0</v>
      </c>
      <c r="AN100" s="39" t="n">
        <f aca="false">IF(AN$4=0,0,IF(COUNTIFS(実績!$W$6:$W$505,AN$3,実績!$AI$6:$AI$505,"&lt;="&amp;$A100,実績!$AJ$6:$AJ$505,"&gt;"&amp;$A100,実績!$AK$6:$AK$505,"○")&gt;0,1,0))</f>
        <v>0</v>
      </c>
      <c r="AO100" s="39" t="n">
        <f aca="false">IF(AO$4=0,0,IF(COUNTIFS(実績!$W$6:$W$505,AO$3,実績!$AI$6:$AI$505,"&lt;="&amp;$A100,実績!$AJ$6:$AJ$505,"&gt;"&amp;$A100,実績!$AK$6:$AK$505,"○")&gt;0,1,0))</f>
        <v>0</v>
      </c>
      <c r="AP100" s="39" t="n">
        <f aca="false">IF(AP$4=0,0,IF(COUNTIFS(実績!$W$6:$W$505,AP$3,実績!$AI$6:$AI$505,"&lt;="&amp;$A100,実績!$AJ$6:$AJ$505,"&gt;"&amp;$A100,実績!$AK$6:$AK$505,"○")&gt;0,1,0))</f>
        <v>0</v>
      </c>
      <c r="AQ100" s="39" t="n">
        <f aca="false">IF(AQ$4=0,0,IF(COUNTIFS(実績!$W$6:$W$505,AQ$3,実績!$AI$6:$AI$505,"&lt;="&amp;$A100,実績!$AJ$6:$AJ$505,"&gt;"&amp;$A100,実績!$AK$6:$AK$505,"○")&gt;0,1,0))</f>
        <v>0</v>
      </c>
      <c r="AR100" s="39" t="n">
        <f aca="false">IF(AR$4=0,0,IF(COUNTIFS(実績!$W$6:$W$505,AR$3,実績!$AI$6:$AI$505,"&lt;="&amp;$A100,実績!$AJ$6:$AJ$505,"&gt;"&amp;$A100,実績!$AK$6:$AK$505,"○")&gt;0,1,0))</f>
        <v>0</v>
      </c>
      <c r="AS100" s="39" t="n">
        <f aca="false">IF(AS$4=0,0,IF(COUNTIFS(実績!$W$6:$W$505,AS$3,実績!$AI$6:$AI$505,"&lt;="&amp;$A100,実績!$AJ$6:$AJ$505,"&gt;"&amp;$A100,実績!$AK$6:$AK$505,"○")&gt;0,1,0))</f>
        <v>0</v>
      </c>
      <c r="AT100" s="39" t="n">
        <f aca="false">IF(AT$4=0,0,IF(COUNTIFS(実績!$W$6:$W$505,AT$3,実績!$AI$6:$AI$505,"&lt;="&amp;$A100,実績!$AJ$6:$AJ$505,"&gt;"&amp;$A100,実績!$AK$6:$AK$505,"○")&gt;0,1,0))</f>
        <v>0</v>
      </c>
      <c r="AU100" s="39" t="n">
        <f aca="false">IF(AU$4=0,0,IF(COUNTIFS(実績!$W$6:$W$505,AU$3,実績!$AI$6:$AI$505,"&lt;="&amp;$A100,実績!$AJ$6:$AJ$505,"&gt;"&amp;$A100,実績!$AK$6:$AK$505,"○")&gt;0,1,0))</f>
        <v>0</v>
      </c>
      <c r="AV100" s="39" t="n">
        <f aca="false">IF(AV$4=0,0,IF(COUNTIFS(実績!$W$6:$W$505,AV$3,実績!$AI$6:$AI$505,"&lt;="&amp;$A100,実績!$AJ$6:$AJ$505,"&gt;"&amp;$A100,実績!$AK$6:$AK$505,"○")&gt;0,1,0))</f>
        <v>0</v>
      </c>
      <c r="AW100" s="39" t="n">
        <f aca="false">IF(AW$4=0,0,IF(COUNTIFS(実績!$W$6:$W$505,AW$3,実績!$AI$6:$AI$505,"&lt;="&amp;$A100,実績!$AJ$6:$AJ$505,"&gt;"&amp;$A100,実績!$AK$6:$AK$505,"○")&gt;0,1,0))</f>
        <v>0</v>
      </c>
      <c r="AX100" s="39" t="n">
        <f aca="false">IF(AX$4=0,0,IF(COUNTIFS(実績!$W$6:$W$505,AX$3,実績!$AI$6:$AI$505,"&lt;="&amp;$A100,実績!$AJ$6:$AJ$505,"&gt;"&amp;$A100,実績!$AK$6:$AK$505,"○")&gt;0,1,0))</f>
        <v>0</v>
      </c>
      <c r="AY100" s="39" t="n">
        <f aca="false">IF(AY$4=0,0,IF(COUNTIFS(実績!$W$6:$W$505,AY$3,実績!$AI$6:$AI$505,"&lt;="&amp;$A100,実績!$AJ$6:$AJ$505,"&gt;"&amp;$A100,実績!$AK$6:$AK$505,"○")&gt;0,1,0))</f>
        <v>0</v>
      </c>
      <c r="AZ100" s="39" t="n">
        <f aca="false">IF(AZ$4=0,0,IF(COUNTIFS(実績!$W$6:$W$505,AZ$3,実績!$AI$6:$AI$505,"&lt;="&amp;$A100,実績!$AJ$6:$AJ$505,"&gt;"&amp;$A100,実績!$AK$6:$AK$505,"○")&gt;0,1,0))</f>
        <v>0</v>
      </c>
      <c r="BA100" s="39" t="n">
        <f aca="false">IF(BA$4=0,0,IF(COUNTIFS(実績!$W$6:$W$505,BA$3,実績!$AI$6:$AI$505,"&lt;="&amp;$A100,実績!$AJ$6:$AJ$505,"&gt;"&amp;$A100,実績!$AK$6:$AK$505,"○")&gt;0,1,0))</f>
        <v>0</v>
      </c>
      <c r="BB100" s="39" t="n">
        <f aca="false">IF(BB$4=0,0,IF(COUNTIFS(実績!$W$6:$W$505,BB$3,実績!$AI$6:$AI$505,"&lt;="&amp;$A100,実績!$AJ$6:$AJ$505,"&gt;"&amp;$A100,実績!$AK$6:$AK$505,"○")&gt;0,1,0))</f>
        <v>0</v>
      </c>
      <c r="BC100" s="39" t="n">
        <f aca="false">IF(BC$4=0,0,IF(COUNTIFS(実績!$W$6:$W$505,BC$3,実績!$AI$6:$AI$505,"&lt;="&amp;$A100,実績!$AJ$6:$AJ$505,"&gt;"&amp;$A100,実績!$AK$6:$AK$505,"○")&gt;0,1,0))</f>
        <v>0</v>
      </c>
      <c r="BD100" s="39" t="n">
        <f aca="false">IF(BD$4=0,0,IF(COUNTIFS(実績!$W$6:$W$505,BD$3,実績!$AI$6:$AI$505,"&lt;="&amp;$A100,実績!$AJ$6:$AJ$505,"&gt;"&amp;$A100,実績!$AK$6:$AK$505,"○")&gt;0,1,0))</f>
        <v>0</v>
      </c>
      <c r="BE100" s="39" t="n">
        <f aca="false">IF(BE$4=0,0,IF(COUNTIFS(実績!$W$6:$W$505,BE$3,実績!$AI$6:$AI$505,"&lt;="&amp;$A100,実績!$AJ$6:$AJ$505,"&gt;"&amp;$A100,実績!$AK$6:$AK$505,"○")&gt;0,1,0))</f>
        <v>0</v>
      </c>
      <c r="BF100" s="39" t="n">
        <f aca="false">IF(BF$4=0,0,IF(COUNTIFS(実績!$W$6:$W$505,BF$3,実績!$AI$6:$AI$505,"&lt;="&amp;$A100,実績!$AJ$6:$AJ$505,"&gt;"&amp;$A100,実績!$AK$6:$AK$505,"○")&gt;0,1,0))</f>
        <v>0</v>
      </c>
      <c r="BG100" s="39" t="n">
        <f aca="false">IF(BG$4=0,0,IF(COUNTIFS(実績!$W$6:$W$505,BG$3,実績!$AI$6:$AI$505,"&lt;="&amp;$A100,実績!$AJ$6:$AJ$505,"&gt;"&amp;$A100,実績!$AK$6:$AK$505,"○")&gt;0,1,0))</f>
        <v>0</v>
      </c>
      <c r="BH100" s="39" t="n">
        <f aca="false">IF(BH$4=0,0,IF(COUNTIFS(実績!$W$6:$W$505,BH$3,実績!$AI$6:$AI$505,"&lt;="&amp;$A100,実績!$AJ$6:$AJ$505,"&gt;"&amp;$A100,実績!$AK$6:$AK$505,"○")&gt;0,1,0))</f>
        <v>0</v>
      </c>
      <c r="BI100" s="39" t="n">
        <f aca="false">IF(BI$4=0,0,IF(COUNTIFS(実績!$W$6:$W$505,BI$3,実績!$AI$6:$AI$505,"&lt;="&amp;$A100,実績!$AJ$6:$AJ$505,"&gt;"&amp;$A100,実績!$AK$6:$AK$505,"○")&gt;0,1,0))</f>
        <v>0</v>
      </c>
      <c r="BJ100" s="39" t="n">
        <f aca="false">IF(BJ$4=0,0,IF(COUNTIFS(実績!$W$6:$W$505,BJ$3,実績!$AI$6:$AI$505,"&lt;="&amp;$A100,実績!$AJ$6:$AJ$505,"&gt;"&amp;$A100,実績!$AK$6:$AK$505,"○")&gt;0,1,0))</f>
        <v>0</v>
      </c>
      <c r="BK100" s="39" t="n">
        <f aca="false">IF(BK$4=0,0,IF(COUNTIFS(実績!$W$6:$W$505,BK$3,実績!$AI$6:$AI$505,"&lt;="&amp;$A100,実績!$AJ$6:$AJ$505,"&gt;"&amp;$A100,実績!$AK$6:$AK$505,"○")&gt;0,1,0))</f>
        <v>0</v>
      </c>
      <c r="BL100" s="39" t="n">
        <f aca="false">IF(BL$4=0,0,IF(COUNTIFS(実績!$W$6:$W$505,BL$3,実績!$AI$6:$AI$505,"&lt;="&amp;$A100,実績!$AJ$6:$AJ$505,"&gt;"&amp;$A100,実績!$AK$6:$AK$505,"○")&gt;0,1,0))</f>
        <v>0</v>
      </c>
      <c r="BM100" s="39" t="n">
        <f aca="false">IF(BM$4=0,0,IF(COUNTIFS(実績!$W$6:$W$505,BM$3,実績!$AI$6:$AI$505,"&lt;="&amp;$A100,実績!$AJ$6:$AJ$505,"&gt;"&amp;$A100,実績!$AK$6:$AK$505,"○")&gt;0,1,0))</f>
        <v>0</v>
      </c>
      <c r="BN100" s="39" t="n">
        <f aca="false">IF(BN$4=0,0,IF(COUNTIFS(実績!$W$6:$W$505,BN$3,実績!$AI$6:$AI$505,"&lt;="&amp;$A100,実績!$AJ$6:$AJ$505,"&gt;"&amp;$A100,実績!$AK$6:$AK$505,"○")&gt;0,1,0))</f>
        <v>0</v>
      </c>
      <c r="BO100" s="39" t="n">
        <f aca="false">IF(BO$4=0,0,IF(COUNTIFS(実績!$W$6:$W$505,BO$3,実績!$AI$6:$AI$505,"&lt;="&amp;$A100,実績!$AJ$6:$AJ$505,"&gt;"&amp;$A100,実績!$AK$6:$AK$505,"○")&gt;0,1,0))</f>
        <v>0</v>
      </c>
      <c r="BP100" s="39" t="n">
        <f aca="false">IF(BP$4=0,0,IF(COUNTIFS(実績!$W$6:$W$505,BP$3,実績!$AI$6:$AI$505,"&lt;="&amp;$A100,実績!$AJ$6:$AJ$505,"&gt;"&amp;$A100,実績!$AK$6:$AK$505,"○")&gt;0,1,0))</f>
        <v>0</v>
      </c>
      <c r="BQ100" s="39" t="n">
        <f aca="false">IF(BQ$4=0,0,IF(COUNTIFS(実績!$W$6:$W$505,BQ$3,実績!$AI$6:$AI$505,"&lt;="&amp;$A100,実績!$AJ$6:$AJ$505,"&gt;"&amp;$A100,実績!$AK$6:$AK$505,"○")&gt;0,1,0))</f>
        <v>0</v>
      </c>
      <c r="BR100" s="39" t="n">
        <f aca="false">IF(BR$4=0,0,IF(COUNTIFS(実績!$W$6:$W$505,BR$3,実績!$AI$6:$AI$505,"&lt;="&amp;$A100,実績!$AJ$6:$AJ$505,"&gt;"&amp;$A100,実績!$AK$6:$AK$505,"○")&gt;0,1,0))</f>
        <v>0</v>
      </c>
      <c r="BS100" s="39" t="n">
        <f aca="false">IF(BS$4=0,0,IF(COUNTIFS(実績!$W$6:$W$505,BS$3,実績!$AI$6:$AI$505,"&lt;="&amp;$A100,実績!$AJ$6:$AJ$505,"&gt;"&amp;$A100,実績!$AK$6:$AK$505,"○")&gt;0,1,0))</f>
        <v>0</v>
      </c>
      <c r="BT100" s="39" t="n">
        <f aca="false">IF(BT$4=0,0,IF(COUNTIFS(実績!$W$6:$W$505,BT$3,実績!$AI$6:$AI$505,"&lt;="&amp;$A100,実績!$AJ$6:$AJ$505,"&gt;"&amp;$A100,実績!$AK$6:$AK$505,"○")&gt;0,1,0))</f>
        <v>0</v>
      </c>
      <c r="BU100" s="39" t="n">
        <f aca="false">IF(BU$4=0,0,IF(COUNTIFS(実績!$W$6:$W$505,BU$3,実績!$AI$6:$AI$505,"&lt;="&amp;$A100,実績!$AJ$6:$AJ$505,"&gt;"&amp;$A100,実績!$AK$6:$AK$505,"○")&gt;0,1,0))</f>
        <v>0</v>
      </c>
      <c r="BV100" s="39" t="n">
        <f aca="false">IF(BV$4=0,0,IF(COUNTIFS(実績!$W$6:$W$505,BV$3,実績!$AI$6:$AI$505,"&lt;="&amp;$A100,実績!$AJ$6:$AJ$505,"&gt;"&amp;$A100,実績!$AK$6:$AK$505,"○")&gt;0,1,0))</f>
        <v>0</v>
      </c>
      <c r="BW100" s="39" t="n">
        <f aca="false">IF(BW$4=0,0,IF(COUNTIFS(実績!$W$6:$W$505,BW$3,実績!$AI$6:$AI$505,"&lt;="&amp;$A100,実績!$AJ$6:$AJ$505,"&gt;"&amp;$A100,実績!$AK$6:$AK$505,"○")&gt;0,1,0))</f>
        <v>0</v>
      </c>
      <c r="BX100" s="39" t="n">
        <f aca="false">IF(BX$4=0,0,IF(COUNTIFS(実績!$W$6:$W$505,BX$3,実績!$AI$6:$AI$505,"&lt;="&amp;$A100,実績!$AJ$6:$AJ$505,"&gt;"&amp;$A100,実績!$AK$6:$AK$505,"○")&gt;0,1,0))</f>
        <v>0</v>
      </c>
      <c r="BY100" s="39" t="n">
        <f aca="false">IF(BY$4=0,0,IF(COUNTIFS(実績!$W$6:$W$505,BY$3,実績!$AI$6:$AI$505,"&lt;="&amp;$A100,実績!$AJ$6:$AJ$505,"&gt;"&amp;$A100,実績!$AK$6:$AK$505,"○")&gt;0,1,0))</f>
        <v>0</v>
      </c>
      <c r="BZ100" s="39" t="n">
        <f aca="false">IF(BZ$4=0,0,IF(COUNTIFS(実績!$W$6:$W$505,BZ$3,実績!$AI$6:$AI$505,"&lt;="&amp;$A100,実績!$AJ$6:$AJ$505,"&gt;"&amp;$A100,実績!$AK$6:$AK$505,"○")&gt;0,1,0))</f>
        <v>0</v>
      </c>
      <c r="CA100" s="39" t="n">
        <f aca="false">IF(CA$4=0,0,IF(COUNTIFS(実績!$W$6:$W$505,CA$3,実績!$AI$6:$AI$505,"&lt;="&amp;$A100,実績!$AJ$6:$AJ$505,"&gt;"&amp;$A100,実績!$AK$6:$AK$505,"○")&gt;0,1,0))</f>
        <v>0</v>
      </c>
      <c r="CB100" s="39" t="n">
        <f aca="false">IF(CB$4=0,0,IF(COUNTIFS(実績!$W$6:$W$505,CB$3,実績!$AI$6:$AI$505,"&lt;="&amp;$A100,実績!$AJ$6:$AJ$505,"&gt;"&amp;$A100,実績!$AK$6:$AK$505,"○")&gt;0,1,0))</f>
        <v>0</v>
      </c>
      <c r="CC100" s="39" t="n">
        <f aca="false">IF(CC$4=0,0,IF(COUNTIFS(実績!$W$6:$W$505,CC$3,実績!$AI$6:$AI$505,"&lt;="&amp;$A100,実績!$AJ$6:$AJ$505,"&gt;"&amp;$A100,実績!$AK$6:$AK$505,"○")&gt;0,1,0))</f>
        <v>0</v>
      </c>
      <c r="CD100" s="39" t="n">
        <f aca="false">IF(CD$4=0,0,IF(COUNTIFS(実績!$W$6:$W$505,CD$3,実績!$AI$6:$AI$505,"&lt;="&amp;$A100,実績!$AJ$6:$AJ$505,"&gt;"&amp;$A100,実績!$AK$6:$AK$505,"○")&gt;0,1,0))</f>
        <v>0</v>
      </c>
      <c r="CE100" s="39" t="n">
        <f aca="false">IF(CE$4=0,0,IF(COUNTIFS(実績!$W$6:$W$505,CE$3,実績!$AI$6:$AI$505,"&lt;="&amp;$A100,実績!$AJ$6:$AJ$505,"&gt;"&amp;$A100,実績!$AK$6:$AK$505,"○")&gt;0,1,0))</f>
        <v>0</v>
      </c>
      <c r="CF100" s="39" t="n">
        <f aca="false">IF(CF$4=0,0,IF(COUNTIFS(実績!$W$6:$W$505,CF$3,実績!$AI$6:$AI$505,"&lt;="&amp;$A100,実績!$AJ$6:$AJ$505,"&gt;"&amp;$A100,実績!$AK$6:$AK$505,"○")&gt;0,1,0))</f>
        <v>0</v>
      </c>
      <c r="CG100" s="39" t="n">
        <f aca="false">IF(CG$4=0,0,IF(COUNTIFS(実績!$W$6:$W$505,CG$3,実績!$AI$6:$AI$505,"&lt;="&amp;$A100,実績!$AJ$6:$AJ$505,"&gt;"&amp;$A100,実績!$AK$6:$AK$505,"○")&gt;0,1,0))</f>
        <v>0</v>
      </c>
      <c r="CH100" s="39" t="n">
        <f aca="false">IF(CH$4=0,0,IF(COUNTIFS(実績!$W$6:$W$505,CH$3,実績!$AI$6:$AI$505,"&lt;="&amp;$A100,実績!$AJ$6:$AJ$505,"&gt;"&amp;$A100,実績!$AK$6:$AK$505,"○")&gt;0,1,0))</f>
        <v>0</v>
      </c>
      <c r="CI100" s="39" t="n">
        <f aca="false">IF(CI$4=0,0,IF(COUNTIFS(実績!$W$6:$W$505,CI$3,実績!$AI$6:$AI$505,"&lt;="&amp;$A100,実績!$AJ$6:$AJ$505,"&gt;"&amp;$A100,実績!$AK$6:$AK$505,"○")&gt;0,1,0))</f>
        <v>0</v>
      </c>
      <c r="CJ100" s="39" t="n">
        <f aca="false">IF(CJ$4=0,0,IF(COUNTIFS(実績!$W$6:$W$505,CJ$3,実績!$AI$6:$AI$505,"&lt;="&amp;$A100,実績!$AJ$6:$AJ$505,"&gt;"&amp;$A100,実績!$AK$6:$AK$505,"○")&gt;0,1,0))</f>
        <v>0</v>
      </c>
      <c r="CK100" s="39" t="n">
        <f aca="false">IF(CK$4=0,0,IF(COUNTIFS(実績!$W$6:$W$505,CK$3,実績!$AI$6:$AI$505,"&lt;="&amp;$A100,実績!$AJ$6:$AJ$505,"&gt;"&amp;$A100,実績!$AK$6:$AK$505,"○")&gt;0,1,0))</f>
        <v>0</v>
      </c>
      <c r="CL100" s="39" t="n">
        <f aca="false">IF(CL$4=0,0,IF(COUNTIFS(実績!$W$6:$W$505,CL$3,実績!$AI$6:$AI$505,"&lt;="&amp;$A100,実績!$AJ$6:$AJ$505,"&gt;"&amp;$A100,実績!$AK$6:$AK$505,"○")&gt;0,1,0))</f>
        <v>0</v>
      </c>
      <c r="CM100" s="39" t="n">
        <f aca="false">IF(CM$4=0,0,IF(COUNTIFS(実績!$W$6:$W$505,CM$3,実績!$AI$6:$AI$505,"&lt;="&amp;$A100,実績!$AJ$6:$AJ$505,"&gt;"&amp;$A100,実績!$AK$6:$AK$505,"○")&gt;0,1,0))</f>
        <v>0</v>
      </c>
      <c r="CN100" s="39" t="n">
        <f aca="false">IF(CN$4=0,0,IF(COUNTIFS(実績!$W$6:$W$505,CN$3,実績!$AI$6:$AI$505,"&lt;="&amp;$A100,実績!$AJ$6:$AJ$505,"&gt;"&amp;$A100,実績!$AK$6:$AK$505,"○")&gt;0,1,0))</f>
        <v>0</v>
      </c>
      <c r="CO100" s="39" t="n">
        <f aca="false">IF(CO$4=0,0,IF(COUNTIFS(実績!$W$6:$W$505,CO$3,実績!$AI$6:$AI$505,"&lt;="&amp;$A100,実績!$AJ$6:$AJ$505,"&gt;"&amp;$A100,実績!$AK$6:$AK$505,"○")&gt;0,1,0))</f>
        <v>0</v>
      </c>
      <c r="CP100" s="39" t="n">
        <f aca="false">IF(CP$4=0,0,IF(COUNTIFS(実績!$W$6:$W$505,CP$3,実績!$AI$6:$AI$505,"&lt;="&amp;$A100,実績!$AJ$6:$AJ$505,"&gt;"&amp;$A100,実績!$AK$6:$AK$505,"○")&gt;0,1,0))</f>
        <v>0</v>
      </c>
      <c r="CQ100" s="39" t="n">
        <f aca="false">IF(CQ$4=0,0,IF(COUNTIFS(実績!$W$6:$W$505,CQ$3,実績!$AI$6:$AI$505,"&lt;="&amp;$A100,実績!$AJ$6:$AJ$505,"&gt;"&amp;$A100,実績!$AK$6:$AK$505,"○")&gt;0,1,0))</f>
        <v>0</v>
      </c>
      <c r="CR100" s="39" t="n">
        <f aca="false">IF(CR$4=0,0,IF(COUNTIFS(実績!$W$6:$W$505,CR$3,実績!$AI$6:$AI$505,"&lt;="&amp;$A100,実績!$AJ$6:$AJ$505,"&gt;"&amp;$A100,実績!$AK$6:$AK$505,"○")&gt;0,1,0))</f>
        <v>0</v>
      </c>
      <c r="CS100" s="39" t="n">
        <f aca="false">IF(CS$4=0,0,IF(COUNTIFS(実績!$W$6:$W$505,CS$3,実績!$AI$6:$AI$505,"&lt;="&amp;$A100,実績!$AJ$6:$AJ$505,"&gt;"&amp;$A100,実績!$AK$6:$AK$505,"○")&gt;0,1,0))</f>
        <v>0</v>
      </c>
      <c r="CT100" s="39" t="n">
        <f aca="false">IF(CT$4=0,0,IF(COUNTIFS(実績!$W$6:$W$505,CT$3,実績!$AI$6:$AI$505,"&lt;="&amp;$A100,実績!$AJ$6:$AJ$505,"&gt;"&amp;$A100,実績!$AK$6:$AK$505,"○")&gt;0,1,0))</f>
        <v>0</v>
      </c>
      <c r="CU100" s="39" t="n">
        <f aca="false">IF(CU$4=0,0,IF(COUNTIFS(実績!$W$6:$W$505,CU$3,実績!$AI$6:$AI$505,"&lt;="&amp;$A100,実績!$AJ$6:$AJ$505,"&gt;"&amp;$A100,実績!$AK$6:$AK$505,"○")&gt;0,1,0))</f>
        <v>0</v>
      </c>
      <c r="CV100" s="39" t="n">
        <f aca="false">IF(CV$4=0,0,IF(COUNTIFS(実績!$W$6:$W$505,CV$3,実績!$AI$6:$AI$505,"&lt;="&amp;$A100,実績!$AJ$6:$AJ$505,"&gt;"&amp;$A100,実績!$AK$6:$AK$505,"○")&gt;0,1,0))</f>
        <v>0</v>
      </c>
      <c r="CW100" s="39" t="n">
        <f aca="false">IF(CW$4=0,0,IF(COUNTIFS(実績!$W$6:$W$505,CW$3,実績!$AI$6:$AI$505,"&lt;="&amp;$A100,実績!$AJ$6:$AJ$505,"&gt;"&amp;$A100,実績!$AK$6:$AK$505,"○")&gt;0,1,0))</f>
        <v>0</v>
      </c>
      <c r="CX100" s="39" t="n">
        <f aca="false">IF(CX$4=0,0,IF(COUNTIFS(実績!$W$6:$W$505,CX$3,実績!$AI$6:$AI$505,"&lt;="&amp;$A100,実績!$AJ$6:$AJ$505,"&gt;"&amp;$A100,実績!$AK$6:$AK$505,"○")&gt;0,1,0))</f>
        <v>0</v>
      </c>
      <c r="CY100" s="39" t="n">
        <f aca="false">IF(CY$4=0,0,IF(COUNTIFS(実績!$W$6:$W$505,CY$3,実績!$AI$6:$AI$505,"&lt;="&amp;$A100,実績!$AJ$6:$AJ$505,"&gt;"&amp;$A100,実績!$AK$6:$AK$505,"○")&gt;0,1,0))</f>
        <v>0</v>
      </c>
      <c r="CZ100" s="39" t="n">
        <f aca="false">IF(CZ$4=0,0,IF(COUNTIFS(実績!$W$6:$W$505,CZ$3,実績!$AI$6:$AI$505,"&lt;="&amp;$A100,実績!$AJ$6:$AJ$505,"&gt;"&amp;$A100,実績!$AK$6:$AK$505,"○")&gt;0,1,0))</f>
        <v>0</v>
      </c>
      <c r="DA100" s="39" t="n">
        <f aca="false">IF(DA$4=0,0,IF(COUNTIFS(実績!$W$6:$W$505,DA$3,実績!$AI$6:$AI$505,"&lt;="&amp;$A100,実績!$AJ$6:$AJ$505,"&gt;"&amp;$A100,実績!$AK$6:$AK$505,"○")&gt;0,1,0))</f>
        <v>0</v>
      </c>
      <c r="DB100" s="39" t="n">
        <f aca="false">IF(DB$4=0,0,IF(COUNTIFS(実績!$W$6:$W$505,DB$3,実績!$AI$6:$AI$505,"&lt;="&amp;$A100,実績!$AJ$6:$AJ$505,"&gt;"&amp;$A100,実績!$AK$6:$AK$505,"○")&gt;0,1,0))</f>
        <v>0</v>
      </c>
      <c r="DC100" s="39" t="n">
        <f aca="false">IF(DC$4=0,0,IF(COUNTIFS(実績!$W$6:$W$505,DC$3,実績!$AI$6:$AI$505,"&lt;="&amp;$A100,実績!$AJ$6:$AJ$505,"&gt;"&amp;$A100,実績!$AK$6:$AK$505,"○")&gt;0,1,0))</f>
        <v>0</v>
      </c>
      <c r="DD100" s="39" t="n">
        <f aca="false">IF(DD$4=0,0,IF(COUNTIFS(実績!$W$6:$W$505,DD$3,実績!$AI$6:$AI$505,"&lt;="&amp;$A100,実績!$AJ$6:$AJ$505,"&gt;"&amp;$A100,実績!$AK$6:$AK$505,"○")&gt;0,1,0))</f>
        <v>0</v>
      </c>
      <c r="DE100" s="39" t="n">
        <f aca="false">IF(DE$4=0,0,IF(COUNTIFS(実績!$W$6:$W$505,DE$3,実績!$AI$6:$AI$505,"&lt;="&amp;$A100,実績!$AJ$6:$AJ$505,"&gt;"&amp;$A100,実績!$AK$6:$AK$505,"○")&gt;0,1,0))</f>
        <v>0</v>
      </c>
      <c r="DF100" s="39" t="n">
        <f aca="false">IF(DF$4=0,0,IF(COUNTIFS(実績!$W$6:$W$505,DF$3,実績!$AI$6:$AI$505,"&lt;="&amp;$A100,実績!$AJ$6:$AJ$505,"&gt;"&amp;$A100,実績!$AK$6:$AK$505,"○")&gt;0,1,0))</f>
        <v>0</v>
      </c>
      <c r="DG100" s="39" t="n">
        <f aca="false">IF(DG$4=0,0,IF(COUNTIFS(実績!$W$6:$W$505,DG$3,実績!$AI$6:$AI$505,"&lt;="&amp;$A100,実績!$AJ$6:$AJ$505,"&gt;"&amp;$A100,実績!$AK$6:$AK$505,"○")&gt;0,1,0))</f>
        <v>0</v>
      </c>
      <c r="DH100" s="39" t="n">
        <f aca="false">IF(DH$4=0,0,IF(COUNTIFS(実績!$W$6:$W$505,DH$3,実績!$AI$6:$AI$505,"&lt;="&amp;$A100,実績!$AJ$6:$AJ$505,"&gt;"&amp;$A100,実績!$AK$6:$AK$505,"○")&gt;0,1,0))</f>
        <v>0</v>
      </c>
      <c r="DI100" s="39" t="n">
        <f aca="false">IF(DI$4=0,0,IF(COUNTIFS(実績!$W$6:$W$505,DI$3,実績!$AI$6:$AI$505,"&lt;="&amp;$A100,実績!$AJ$6:$AJ$505,"&gt;"&amp;$A100,実績!$AK$6:$AK$505,"○")&gt;0,1,0))</f>
        <v>0</v>
      </c>
      <c r="DJ100" s="39" t="n">
        <f aca="false">IF(DJ$4=0,0,IF(COUNTIFS(実績!$W$6:$W$505,DJ$3,実績!$AI$6:$AI$505,"&lt;="&amp;$A100,実績!$AJ$6:$AJ$505,"&gt;"&amp;$A100,実績!$AK$6:$AK$505,"○")&gt;0,1,0))</f>
        <v>0</v>
      </c>
      <c r="DK100" s="39" t="n">
        <f aca="false">IF(DK$4=0,0,IF(COUNTIFS(実績!$W$6:$W$505,DK$3,実績!$AI$6:$AI$505,"&lt;="&amp;$A100,実績!$AJ$6:$AJ$505,"&gt;"&amp;$A100,実績!$AK$6:$AK$505,"○")&gt;0,1,0))</f>
        <v>0</v>
      </c>
      <c r="DL100" s="39" t="n">
        <f aca="false">IF(DL$4=0,0,IF(COUNTIFS(実績!$W$6:$W$505,DL$3,実績!$AI$6:$AI$505,"&lt;="&amp;$A100,実績!$AJ$6:$AJ$505,"&gt;"&amp;$A100,実績!$AK$6:$AK$505,"○")&gt;0,1,0))</f>
        <v>0</v>
      </c>
      <c r="DM100" s="39" t="n">
        <f aca="false">IF(DM$4=0,0,IF(COUNTIFS(実績!$W$6:$W$505,DM$3,実績!$AI$6:$AI$505,"&lt;="&amp;$A100,実績!$AJ$6:$AJ$505,"&gt;"&amp;$A100,実績!$AK$6:$AK$505,"○")&gt;0,1,0))</f>
        <v>0</v>
      </c>
      <c r="DN100" s="39" t="n">
        <f aca="false">IF(DN$4=0,0,IF(COUNTIFS(実績!$W$6:$W$505,DN$3,実績!$AI$6:$AI$505,"&lt;="&amp;$A100,実績!$AJ$6:$AJ$505,"&gt;"&amp;$A100,実績!$AK$6:$AK$505,"○")&gt;0,1,0))</f>
        <v>0</v>
      </c>
      <c r="DO100" s="39" t="n">
        <f aca="false">IF(DO$4=0,0,IF(COUNTIFS(実績!$W$6:$W$505,DO$3,実績!$AI$6:$AI$505,"&lt;="&amp;$A100,実績!$AJ$6:$AJ$505,"&gt;"&amp;$A100,実績!$AK$6:$AK$505,"○")&gt;0,1,0))</f>
        <v>0</v>
      </c>
      <c r="DP100" s="39" t="n">
        <f aca="false">IF(DP$4=0,0,IF(COUNTIFS(実績!$W$6:$W$505,DP$3,実績!$AI$6:$AI$505,"&lt;="&amp;$A100,実績!$AJ$6:$AJ$505,"&gt;"&amp;$A100,実績!$AK$6:$AK$505,"○")&gt;0,1,0))</f>
        <v>0</v>
      </c>
      <c r="DQ100" s="39" t="n">
        <f aca="false">IF(DQ$4=0,0,IF(COUNTIFS(実績!$W$6:$W$505,DQ$3,実績!$AI$6:$AI$505,"&lt;="&amp;$A100,実績!$AJ$6:$AJ$505,"&gt;"&amp;$A100,実績!$AK$6:$AK$505,"○")&gt;0,1,0))</f>
        <v>0</v>
      </c>
      <c r="DR100" s="39" t="n">
        <f aca="false">IF(DR$4=0,0,IF(COUNTIFS(実績!$W$6:$W$505,DR$3,実績!$AI$6:$AI$505,"&lt;="&amp;$A100,実績!$AJ$6:$AJ$505,"&gt;"&amp;$A100,実績!$AK$6:$AK$505,"○")&gt;0,1,0))</f>
        <v>0</v>
      </c>
      <c r="DS100" s="39" t="n">
        <f aca="false">SUM(C100:DR100)</f>
        <v>0</v>
      </c>
      <c r="DT100" s="39" t="n">
        <f aca="false">SUMPRODUCT((実績!$C$6:$C$505="○")*ISNUMBER(実績!$AM$6:$AM$505)*(実績!$AM$6:$AM$505&lt;=$A100)*(実績!$AN$6:$AN$505&gt;$A100))</f>
        <v>0</v>
      </c>
      <c r="DU100" s="39" t="n">
        <f aca="false">SUMIF($C$2:$DR$2,"製鉄曳船",C100:DR100)</f>
        <v>0</v>
      </c>
      <c r="DV100" s="39" t="n">
        <f aca="false">SUMIF($C$2:$DR$2,"西日本海運",C100:DR100)</f>
        <v>0</v>
      </c>
    </row>
    <row r="101" customFormat="false" ht="15" hidden="false" customHeight="false" outlineLevel="0" collapsed="false">
      <c r="A101" s="0" t="n">
        <v>475</v>
      </c>
      <c r="B101" s="38" t="n">
        <f aca="false">A101/1440</f>
        <v>0.329861111111111</v>
      </c>
      <c r="C101" s="39" t="n">
        <f aca="false">IF(C$4=0,0,IF(COUNTIFS(実績!$W$6:$W$505,C$3,実績!$AI$6:$AI$505,"&lt;="&amp;$A101,実績!$AJ$6:$AJ$505,"&gt;"&amp;$A101,実績!$AK$6:$AK$505,"○")&gt;0,1,0))</f>
        <v>0</v>
      </c>
      <c r="D101" s="39" t="n">
        <f aca="false">IF(D$4=0,0,IF(COUNTIFS(実績!$W$6:$W$505,D$3,実績!$AI$6:$AI$505,"&lt;="&amp;$A101,実績!$AJ$6:$AJ$505,"&gt;"&amp;$A101,実績!$AK$6:$AK$505,"○")&gt;0,1,0))</f>
        <v>0</v>
      </c>
      <c r="E101" s="39" t="n">
        <f aca="false">IF(E$4=0,0,IF(COUNTIFS(実績!$W$6:$W$505,E$3,実績!$AI$6:$AI$505,"&lt;="&amp;$A101,実績!$AJ$6:$AJ$505,"&gt;"&amp;$A101,実績!$AK$6:$AK$505,"○")&gt;0,1,0))</f>
        <v>0</v>
      </c>
      <c r="F101" s="39" t="n">
        <f aca="false">IF(F$4=0,0,IF(COUNTIFS(実績!$W$6:$W$505,F$3,実績!$AI$6:$AI$505,"&lt;="&amp;$A101,実績!$AJ$6:$AJ$505,"&gt;"&amp;$A101,実績!$AK$6:$AK$505,"○")&gt;0,1,0))</f>
        <v>0</v>
      </c>
      <c r="G101" s="39" t="n">
        <f aca="false">IF(G$4=0,0,IF(COUNTIFS(実績!$W$6:$W$505,G$3,実績!$AI$6:$AI$505,"&lt;="&amp;$A101,実績!$AJ$6:$AJ$505,"&gt;"&amp;$A101,実績!$AK$6:$AK$505,"○")&gt;0,1,0))</f>
        <v>0</v>
      </c>
      <c r="H101" s="39" t="n">
        <f aca="false">IF(H$4=0,0,IF(COUNTIFS(実績!$W$6:$W$505,H$3,実績!$AI$6:$AI$505,"&lt;="&amp;$A101,実績!$AJ$6:$AJ$505,"&gt;"&amp;$A101,実績!$AK$6:$AK$505,"○")&gt;0,1,0))</f>
        <v>0</v>
      </c>
      <c r="I101" s="39" t="n">
        <f aca="false">IF(I$4=0,0,IF(COUNTIFS(実績!$W$6:$W$505,I$3,実績!$AI$6:$AI$505,"&lt;="&amp;$A101,実績!$AJ$6:$AJ$505,"&gt;"&amp;$A101,実績!$AK$6:$AK$505,"○")&gt;0,1,0))</f>
        <v>0</v>
      </c>
      <c r="J101" s="39" t="n">
        <f aca="false">IF(J$4=0,0,IF(COUNTIFS(実績!$W$6:$W$505,J$3,実績!$AI$6:$AI$505,"&lt;="&amp;$A101,実績!$AJ$6:$AJ$505,"&gt;"&amp;$A101,実績!$AK$6:$AK$505,"○")&gt;0,1,0))</f>
        <v>0</v>
      </c>
      <c r="K101" s="39" t="n">
        <f aca="false">IF(K$4=0,0,IF(COUNTIFS(実績!$W$6:$W$505,K$3,実績!$AI$6:$AI$505,"&lt;="&amp;$A101,実績!$AJ$6:$AJ$505,"&gt;"&amp;$A101,実績!$AK$6:$AK$505,"○")&gt;0,1,0))</f>
        <v>0</v>
      </c>
      <c r="L101" s="39" t="n">
        <f aca="false">IF(L$4=0,0,IF(COUNTIFS(実績!$W$6:$W$505,L$3,実績!$AI$6:$AI$505,"&lt;="&amp;$A101,実績!$AJ$6:$AJ$505,"&gt;"&amp;$A101,実績!$AK$6:$AK$505,"○")&gt;0,1,0))</f>
        <v>0</v>
      </c>
      <c r="M101" s="39" t="n">
        <f aca="false">IF(M$4=0,0,IF(COUNTIFS(実績!$W$6:$W$505,M$3,実績!$AI$6:$AI$505,"&lt;="&amp;$A101,実績!$AJ$6:$AJ$505,"&gt;"&amp;$A101,実績!$AK$6:$AK$505,"○")&gt;0,1,0))</f>
        <v>0</v>
      </c>
      <c r="N101" s="39" t="n">
        <f aca="false">IF(N$4=0,0,IF(COUNTIFS(実績!$W$6:$W$505,N$3,実績!$AI$6:$AI$505,"&lt;="&amp;$A101,実績!$AJ$6:$AJ$505,"&gt;"&amp;$A101,実績!$AK$6:$AK$505,"○")&gt;0,1,0))</f>
        <v>0</v>
      </c>
      <c r="O101" s="39" t="n">
        <f aca="false">IF(O$4=0,0,IF(COUNTIFS(実績!$W$6:$W$505,O$3,実績!$AI$6:$AI$505,"&lt;="&amp;$A101,実績!$AJ$6:$AJ$505,"&gt;"&amp;$A101,実績!$AK$6:$AK$505,"○")&gt;0,1,0))</f>
        <v>0</v>
      </c>
      <c r="P101" s="39" t="n">
        <f aca="false">IF(P$4=0,0,IF(COUNTIFS(実績!$W$6:$W$505,P$3,実績!$AI$6:$AI$505,"&lt;="&amp;$A101,実績!$AJ$6:$AJ$505,"&gt;"&amp;$A101,実績!$AK$6:$AK$505,"○")&gt;0,1,0))</f>
        <v>0</v>
      </c>
      <c r="Q101" s="39" t="n">
        <f aca="false">IF(Q$4=0,0,IF(COUNTIFS(実績!$W$6:$W$505,Q$3,実績!$AI$6:$AI$505,"&lt;="&amp;$A101,実績!$AJ$6:$AJ$505,"&gt;"&amp;$A101,実績!$AK$6:$AK$505,"○")&gt;0,1,0))</f>
        <v>0</v>
      </c>
      <c r="R101" s="39" t="n">
        <f aca="false">IF(R$4=0,0,IF(COUNTIFS(実績!$W$6:$W$505,R$3,実績!$AI$6:$AI$505,"&lt;="&amp;$A101,実績!$AJ$6:$AJ$505,"&gt;"&amp;$A101,実績!$AK$6:$AK$505,"○")&gt;0,1,0))</f>
        <v>0</v>
      </c>
      <c r="S101" s="39" t="n">
        <f aca="false">IF(S$4=0,0,IF(COUNTIFS(実績!$W$6:$W$505,S$3,実績!$AI$6:$AI$505,"&lt;="&amp;$A101,実績!$AJ$6:$AJ$505,"&gt;"&amp;$A101,実績!$AK$6:$AK$505,"○")&gt;0,1,0))</f>
        <v>0</v>
      </c>
      <c r="T101" s="39" t="n">
        <f aca="false">IF(T$4=0,0,IF(COUNTIFS(実績!$W$6:$W$505,T$3,実績!$AI$6:$AI$505,"&lt;="&amp;$A101,実績!$AJ$6:$AJ$505,"&gt;"&amp;$A101,実績!$AK$6:$AK$505,"○")&gt;0,1,0))</f>
        <v>0</v>
      </c>
      <c r="U101" s="39" t="n">
        <f aca="false">IF(U$4=0,0,IF(COUNTIFS(実績!$W$6:$W$505,U$3,実績!$AI$6:$AI$505,"&lt;="&amp;$A101,実績!$AJ$6:$AJ$505,"&gt;"&amp;$A101,実績!$AK$6:$AK$505,"○")&gt;0,1,0))</f>
        <v>0</v>
      </c>
      <c r="V101" s="39" t="n">
        <f aca="false">IF(V$4=0,0,IF(COUNTIFS(実績!$W$6:$W$505,V$3,実績!$AI$6:$AI$505,"&lt;="&amp;$A101,実績!$AJ$6:$AJ$505,"&gt;"&amp;$A101,実績!$AK$6:$AK$505,"○")&gt;0,1,0))</f>
        <v>0</v>
      </c>
      <c r="W101" s="39" t="n">
        <f aca="false">IF(W$4=0,0,IF(COUNTIFS(実績!$W$6:$W$505,W$3,実績!$AI$6:$AI$505,"&lt;="&amp;$A101,実績!$AJ$6:$AJ$505,"&gt;"&amp;$A101,実績!$AK$6:$AK$505,"○")&gt;0,1,0))</f>
        <v>0</v>
      </c>
      <c r="X101" s="39" t="n">
        <f aca="false">IF(X$4=0,0,IF(COUNTIFS(実績!$W$6:$W$505,X$3,実績!$AI$6:$AI$505,"&lt;="&amp;$A101,実績!$AJ$6:$AJ$505,"&gt;"&amp;$A101,実績!$AK$6:$AK$505,"○")&gt;0,1,0))</f>
        <v>0</v>
      </c>
      <c r="Y101" s="39" t="n">
        <f aca="false">IF(Y$4=0,0,IF(COUNTIFS(実績!$W$6:$W$505,Y$3,実績!$AI$6:$AI$505,"&lt;="&amp;$A101,実績!$AJ$6:$AJ$505,"&gt;"&amp;$A101,実績!$AK$6:$AK$505,"○")&gt;0,1,0))</f>
        <v>0</v>
      </c>
      <c r="Z101" s="39" t="n">
        <f aca="false">IF(Z$4=0,0,IF(COUNTIFS(実績!$W$6:$W$505,Z$3,実績!$AI$6:$AI$505,"&lt;="&amp;$A101,実績!$AJ$6:$AJ$505,"&gt;"&amp;$A101,実績!$AK$6:$AK$505,"○")&gt;0,1,0))</f>
        <v>0</v>
      </c>
      <c r="AA101" s="39" t="n">
        <f aca="false">IF(AA$4=0,0,IF(COUNTIFS(実績!$W$6:$W$505,AA$3,実績!$AI$6:$AI$505,"&lt;="&amp;$A101,実績!$AJ$6:$AJ$505,"&gt;"&amp;$A101,実績!$AK$6:$AK$505,"○")&gt;0,1,0))</f>
        <v>0</v>
      </c>
      <c r="AB101" s="39" t="n">
        <f aca="false">IF(AB$4=0,0,IF(COUNTIFS(実績!$W$6:$W$505,AB$3,実績!$AI$6:$AI$505,"&lt;="&amp;$A101,実績!$AJ$6:$AJ$505,"&gt;"&amp;$A101,実績!$AK$6:$AK$505,"○")&gt;0,1,0))</f>
        <v>0</v>
      </c>
      <c r="AC101" s="39" t="n">
        <f aca="false">IF(AC$4=0,0,IF(COUNTIFS(実績!$W$6:$W$505,AC$3,実績!$AI$6:$AI$505,"&lt;="&amp;$A101,実績!$AJ$6:$AJ$505,"&gt;"&amp;$A101,実績!$AK$6:$AK$505,"○")&gt;0,1,0))</f>
        <v>0</v>
      </c>
      <c r="AD101" s="39" t="n">
        <f aca="false">IF(AD$4=0,0,IF(COUNTIFS(実績!$W$6:$W$505,AD$3,実績!$AI$6:$AI$505,"&lt;="&amp;$A101,実績!$AJ$6:$AJ$505,"&gt;"&amp;$A101,実績!$AK$6:$AK$505,"○")&gt;0,1,0))</f>
        <v>0</v>
      </c>
      <c r="AE101" s="39" t="n">
        <f aca="false">IF(AE$4=0,0,IF(COUNTIFS(実績!$W$6:$W$505,AE$3,実績!$AI$6:$AI$505,"&lt;="&amp;$A101,実績!$AJ$6:$AJ$505,"&gt;"&amp;$A101,実績!$AK$6:$AK$505,"○")&gt;0,1,0))</f>
        <v>0</v>
      </c>
      <c r="AF101" s="39" t="n">
        <f aca="false">IF(AF$4=0,0,IF(COUNTIFS(実績!$W$6:$W$505,AF$3,実績!$AI$6:$AI$505,"&lt;="&amp;$A101,実績!$AJ$6:$AJ$505,"&gt;"&amp;$A101,実績!$AK$6:$AK$505,"○")&gt;0,1,0))</f>
        <v>0</v>
      </c>
      <c r="AG101" s="39" t="n">
        <f aca="false">IF(AG$4=0,0,IF(COUNTIFS(実績!$W$6:$W$505,AG$3,実績!$AI$6:$AI$505,"&lt;="&amp;$A101,実績!$AJ$6:$AJ$505,"&gt;"&amp;$A101,実績!$AK$6:$AK$505,"○")&gt;0,1,0))</f>
        <v>0</v>
      </c>
      <c r="AH101" s="39" t="n">
        <f aca="false">IF(AH$4=0,0,IF(COUNTIFS(実績!$W$6:$W$505,AH$3,実績!$AI$6:$AI$505,"&lt;="&amp;$A101,実績!$AJ$6:$AJ$505,"&gt;"&amp;$A101,実績!$AK$6:$AK$505,"○")&gt;0,1,0))</f>
        <v>0</v>
      </c>
      <c r="AI101" s="39" t="n">
        <f aca="false">IF(AI$4=0,0,IF(COUNTIFS(実績!$W$6:$W$505,AI$3,実績!$AI$6:$AI$505,"&lt;="&amp;$A101,実績!$AJ$6:$AJ$505,"&gt;"&amp;$A101,実績!$AK$6:$AK$505,"○")&gt;0,1,0))</f>
        <v>0</v>
      </c>
      <c r="AJ101" s="39" t="n">
        <f aca="false">IF(AJ$4=0,0,IF(COUNTIFS(実績!$W$6:$W$505,AJ$3,実績!$AI$6:$AI$505,"&lt;="&amp;$A101,実績!$AJ$6:$AJ$505,"&gt;"&amp;$A101,実績!$AK$6:$AK$505,"○")&gt;0,1,0))</f>
        <v>0</v>
      </c>
      <c r="AK101" s="39" t="n">
        <f aca="false">IF(AK$4=0,0,IF(COUNTIFS(実績!$W$6:$W$505,AK$3,実績!$AI$6:$AI$505,"&lt;="&amp;$A101,実績!$AJ$6:$AJ$505,"&gt;"&amp;$A101,実績!$AK$6:$AK$505,"○")&gt;0,1,0))</f>
        <v>0</v>
      </c>
      <c r="AL101" s="39" t="n">
        <f aca="false">IF(AL$4=0,0,IF(COUNTIFS(実績!$W$6:$W$505,AL$3,実績!$AI$6:$AI$505,"&lt;="&amp;$A101,実績!$AJ$6:$AJ$505,"&gt;"&amp;$A101,実績!$AK$6:$AK$505,"○")&gt;0,1,0))</f>
        <v>0</v>
      </c>
      <c r="AM101" s="39" t="n">
        <f aca="false">IF(AM$4=0,0,IF(COUNTIFS(実績!$W$6:$W$505,AM$3,実績!$AI$6:$AI$505,"&lt;="&amp;$A101,実績!$AJ$6:$AJ$505,"&gt;"&amp;$A101,実績!$AK$6:$AK$505,"○")&gt;0,1,0))</f>
        <v>0</v>
      </c>
      <c r="AN101" s="39" t="n">
        <f aca="false">IF(AN$4=0,0,IF(COUNTIFS(実績!$W$6:$W$505,AN$3,実績!$AI$6:$AI$505,"&lt;="&amp;$A101,実績!$AJ$6:$AJ$505,"&gt;"&amp;$A101,実績!$AK$6:$AK$505,"○")&gt;0,1,0))</f>
        <v>0</v>
      </c>
      <c r="AO101" s="39" t="n">
        <f aca="false">IF(AO$4=0,0,IF(COUNTIFS(実績!$W$6:$W$505,AO$3,実績!$AI$6:$AI$505,"&lt;="&amp;$A101,実績!$AJ$6:$AJ$505,"&gt;"&amp;$A101,実績!$AK$6:$AK$505,"○")&gt;0,1,0))</f>
        <v>0</v>
      </c>
      <c r="AP101" s="39" t="n">
        <f aca="false">IF(AP$4=0,0,IF(COUNTIFS(実績!$W$6:$W$505,AP$3,実績!$AI$6:$AI$505,"&lt;="&amp;$A101,実績!$AJ$6:$AJ$505,"&gt;"&amp;$A101,実績!$AK$6:$AK$505,"○")&gt;0,1,0))</f>
        <v>0</v>
      </c>
      <c r="AQ101" s="39" t="n">
        <f aca="false">IF(AQ$4=0,0,IF(COUNTIFS(実績!$W$6:$W$505,AQ$3,実績!$AI$6:$AI$505,"&lt;="&amp;$A101,実績!$AJ$6:$AJ$505,"&gt;"&amp;$A101,実績!$AK$6:$AK$505,"○")&gt;0,1,0))</f>
        <v>0</v>
      </c>
      <c r="AR101" s="39" t="n">
        <f aca="false">IF(AR$4=0,0,IF(COUNTIFS(実績!$W$6:$W$505,AR$3,実績!$AI$6:$AI$505,"&lt;="&amp;$A101,実績!$AJ$6:$AJ$505,"&gt;"&amp;$A101,実績!$AK$6:$AK$505,"○")&gt;0,1,0))</f>
        <v>0</v>
      </c>
      <c r="AS101" s="39" t="n">
        <f aca="false">IF(AS$4=0,0,IF(COUNTIFS(実績!$W$6:$W$505,AS$3,実績!$AI$6:$AI$505,"&lt;="&amp;$A101,実績!$AJ$6:$AJ$505,"&gt;"&amp;$A101,実績!$AK$6:$AK$505,"○")&gt;0,1,0))</f>
        <v>0</v>
      </c>
      <c r="AT101" s="39" t="n">
        <f aca="false">IF(AT$4=0,0,IF(COUNTIFS(実績!$W$6:$W$505,AT$3,実績!$AI$6:$AI$505,"&lt;="&amp;$A101,実績!$AJ$6:$AJ$505,"&gt;"&amp;$A101,実績!$AK$6:$AK$505,"○")&gt;0,1,0))</f>
        <v>0</v>
      </c>
      <c r="AU101" s="39" t="n">
        <f aca="false">IF(AU$4=0,0,IF(COUNTIFS(実績!$W$6:$W$505,AU$3,実績!$AI$6:$AI$505,"&lt;="&amp;$A101,実績!$AJ$6:$AJ$505,"&gt;"&amp;$A101,実績!$AK$6:$AK$505,"○")&gt;0,1,0))</f>
        <v>0</v>
      </c>
      <c r="AV101" s="39" t="n">
        <f aca="false">IF(AV$4=0,0,IF(COUNTIFS(実績!$W$6:$W$505,AV$3,実績!$AI$6:$AI$505,"&lt;="&amp;$A101,実績!$AJ$6:$AJ$505,"&gt;"&amp;$A101,実績!$AK$6:$AK$505,"○")&gt;0,1,0))</f>
        <v>0</v>
      </c>
      <c r="AW101" s="39" t="n">
        <f aca="false">IF(AW$4=0,0,IF(COUNTIFS(実績!$W$6:$W$505,AW$3,実績!$AI$6:$AI$505,"&lt;="&amp;$A101,実績!$AJ$6:$AJ$505,"&gt;"&amp;$A101,実績!$AK$6:$AK$505,"○")&gt;0,1,0))</f>
        <v>0</v>
      </c>
      <c r="AX101" s="39" t="n">
        <f aca="false">IF(AX$4=0,0,IF(COUNTIFS(実績!$W$6:$W$505,AX$3,実績!$AI$6:$AI$505,"&lt;="&amp;$A101,実績!$AJ$6:$AJ$505,"&gt;"&amp;$A101,実績!$AK$6:$AK$505,"○")&gt;0,1,0))</f>
        <v>0</v>
      </c>
      <c r="AY101" s="39" t="n">
        <f aca="false">IF(AY$4=0,0,IF(COUNTIFS(実績!$W$6:$W$505,AY$3,実績!$AI$6:$AI$505,"&lt;="&amp;$A101,実績!$AJ$6:$AJ$505,"&gt;"&amp;$A101,実績!$AK$6:$AK$505,"○")&gt;0,1,0))</f>
        <v>0</v>
      </c>
      <c r="AZ101" s="39" t="n">
        <f aca="false">IF(AZ$4=0,0,IF(COUNTIFS(実績!$W$6:$W$505,AZ$3,実績!$AI$6:$AI$505,"&lt;="&amp;$A101,実績!$AJ$6:$AJ$505,"&gt;"&amp;$A101,実績!$AK$6:$AK$505,"○")&gt;0,1,0))</f>
        <v>0</v>
      </c>
      <c r="BA101" s="39" t="n">
        <f aca="false">IF(BA$4=0,0,IF(COUNTIFS(実績!$W$6:$W$505,BA$3,実績!$AI$6:$AI$505,"&lt;="&amp;$A101,実績!$AJ$6:$AJ$505,"&gt;"&amp;$A101,実績!$AK$6:$AK$505,"○")&gt;0,1,0))</f>
        <v>0</v>
      </c>
      <c r="BB101" s="39" t="n">
        <f aca="false">IF(BB$4=0,0,IF(COUNTIFS(実績!$W$6:$W$505,BB$3,実績!$AI$6:$AI$505,"&lt;="&amp;$A101,実績!$AJ$6:$AJ$505,"&gt;"&amp;$A101,実績!$AK$6:$AK$505,"○")&gt;0,1,0))</f>
        <v>0</v>
      </c>
      <c r="BC101" s="39" t="n">
        <f aca="false">IF(BC$4=0,0,IF(COUNTIFS(実績!$W$6:$W$505,BC$3,実績!$AI$6:$AI$505,"&lt;="&amp;$A101,実績!$AJ$6:$AJ$505,"&gt;"&amp;$A101,実績!$AK$6:$AK$505,"○")&gt;0,1,0))</f>
        <v>0</v>
      </c>
      <c r="BD101" s="39" t="n">
        <f aca="false">IF(BD$4=0,0,IF(COUNTIFS(実績!$W$6:$W$505,BD$3,実績!$AI$6:$AI$505,"&lt;="&amp;$A101,実績!$AJ$6:$AJ$505,"&gt;"&amp;$A101,実績!$AK$6:$AK$505,"○")&gt;0,1,0))</f>
        <v>0</v>
      </c>
      <c r="BE101" s="39" t="n">
        <f aca="false">IF(BE$4=0,0,IF(COUNTIFS(実績!$W$6:$W$505,BE$3,実績!$AI$6:$AI$505,"&lt;="&amp;$A101,実績!$AJ$6:$AJ$505,"&gt;"&amp;$A101,実績!$AK$6:$AK$505,"○")&gt;0,1,0))</f>
        <v>0</v>
      </c>
      <c r="BF101" s="39" t="n">
        <f aca="false">IF(BF$4=0,0,IF(COUNTIFS(実績!$W$6:$W$505,BF$3,実績!$AI$6:$AI$505,"&lt;="&amp;$A101,実績!$AJ$6:$AJ$505,"&gt;"&amp;$A101,実績!$AK$6:$AK$505,"○")&gt;0,1,0))</f>
        <v>0</v>
      </c>
      <c r="BG101" s="39" t="n">
        <f aca="false">IF(BG$4=0,0,IF(COUNTIFS(実績!$W$6:$W$505,BG$3,実績!$AI$6:$AI$505,"&lt;="&amp;$A101,実績!$AJ$6:$AJ$505,"&gt;"&amp;$A101,実績!$AK$6:$AK$505,"○")&gt;0,1,0))</f>
        <v>0</v>
      </c>
      <c r="BH101" s="39" t="n">
        <f aca="false">IF(BH$4=0,0,IF(COUNTIFS(実績!$W$6:$W$505,BH$3,実績!$AI$6:$AI$505,"&lt;="&amp;$A101,実績!$AJ$6:$AJ$505,"&gt;"&amp;$A101,実績!$AK$6:$AK$505,"○")&gt;0,1,0))</f>
        <v>0</v>
      </c>
      <c r="BI101" s="39" t="n">
        <f aca="false">IF(BI$4=0,0,IF(COUNTIFS(実績!$W$6:$W$505,BI$3,実績!$AI$6:$AI$505,"&lt;="&amp;$A101,実績!$AJ$6:$AJ$505,"&gt;"&amp;$A101,実績!$AK$6:$AK$505,"○")&gt;0,1,0))</f>
        <v>0</v>
      </c>
      <c r="BJ101" s="39" t="n">
        <f aca="false">IF(BJ$4=0,0,IF(COUNTIFS(実績!$W$6:$W$505,BJ$3,実績!$AI$6:$AI$505,"&lt;="&amp;$A101,実績!$AJ$6:$AJ$505,"&gt;"&amp;$A101,実績!$AK$6:$AK$505,"○")&gt;0,1,0))</f>
        <v>0</v>
      </c>
      <c r="BK101" s="39" t="n">
        <f aca="false">IF(BK$4=0,0,IF(COUNTIFS(実績!$W$6:$W$505,BK$3,実績!$AI$6:$AI$505,"&lt;="&amp;$A101,実績!$AJ$6:$AJ$505,"&gt;"&amp;$A101,実績!$AK$6:$AK$505,"○")&gt;0,1,0))</f>
        <v>0</v>
      </c>
      <c r="BL101" s="39" t="n">
        <f aca="false">IF(BL$4=0,0,IF(COUNTIFS(実績!$W$6:$W$505,BL$3,実績!$AI$6:$AI$505,"&lt;="&amp;$A101,実績!$AJ$6:$AJ$505,"&gt;"&amp;$A101,実績!$AK$6:$AK$505,"○")&gt;0,1,0))</f>
        <v>0</v>
      </c>
      <c r="BM101" s="39" t="n">
        <f aca="false">IF(BM$4=0,0,IF(COUNTIFS(実績!$W$6:$W$505,BM$3,実績!$AI$6:$AI$505,"&lt;="&amp;$A101,実績!$AJ$6:$AJ$505,"&gt;"&amp;$A101,実績!$AK$6:$AK$505,"○")&gt;0,1,0))</f>
        <v>0</v>
      </c>
      <c r="BN101" s="39" t="n">
        <f aca="false">IF(BN$4=0,0,IF(COUNTIFS(実績!$W$6:$W$505,BN$3,実績!$AI$6:$AI$505,"&lt;="&amp;$A101,実績!$AJ$6:$AJ$505,"&gt;"&amp;$A101,実績!$AK$6:$AK$505,"○")&gt;0,1,0))</f>
        <v>0</v>
      </c>
      <c r="BO101" s="39" t="n">
        <f aca="false">IF(BO$4=0,0,IF(COUNTIFS(実績!$W$6:$W$505,BO$3,実績!$AI$6:$AI$505,"&lt;="&amp;$A101,実績!$AJ$6:$AJ$505,"&gt;"&amp;$A101,実績!$AK$6:$AK$505,"○")&gt;0,1,0))</f>
        <v>0</v>
      </c>
      <c r="BP101" s="39" t="n">
        <f aca="false">IF(BP$4=0,0,IF(COUNTIFS(実績!$W$6:$W$505,BP$3,実績!$AI$6:$AI$505,"&lt;="&amp;$A101,実績!$AJ$6:$AJ$505,"&gt;"&amp;$A101,実績!$AK$6:$AK$505,"○")&gt;0,1,0))</f>
        <v>0</v>
      </c>
      <c r="BQ101" s="39" t="n">
        <f aca="false">IF(BQ$4=0,0,IF(COUNTIFS(実績!$W$6:$W$505,BQ$3,実績!$AI$6:$AI$505,"&lt;="&amp;$A101,実績!$AJ$6:$AJ$505,"&gt;"&amp;$A101,実績!$AK$6:$AK$505,"○")&gt;0,1,0))</f>
        <v>0</v>
      </c>
      <c r="BR101" s="39" t="n">
        <f aca="false">IF(BR$4=0,0,IF(COUNTIFS(実績!$W$6:$W$505,BR$3,実績!$AI$6:$AI$505,"&lt;="&amp;$A101,実績!$AJ$6:$AJ$505,"&gt;"&amp;$A101,実績!$AK$6:$AK$505,"○")&gt;0,1,0))</f>
        <v>0</v>
      </c>
      <c r="BS101" s="39" t="n">
        <f aca="false">IF(BS$4=0,0,IF(COUNTIFS(実績!$W$6:$W$505,BS$3,実績!$AI$6:$AI$505,"&lt;="&amp;$A101,実績!$AJ$6:$AJ$505,"&gt;"&amp;$A101,実績!$AK$6:$AK$505,"○")&gt;0,1,0))</f>
        <v>0</v>
      </c>
      <c r="BT101" s="39" t="n">
        <f aca="false">IF(BT$4=0,0,IF(COUNTIFS(実績!$W$6:$W$505,BT$3,実績!$AI$6:$AI$505,"&lt;="&amp;$A101,実績!$AJ$6:$AJ$505,"&gt;"&amp;$A101,実績!$AK$6:$AK$505,"○")&gt;0,1,0))</f>
        <v>0</v>
      </c>
      <c r="BU101" s="39" t="n">
        <f aca="false">IF(BU$4=0,0,IF(COUNTIFS(実績!$W$6:$W$505,BU$3,実績!$AI$6:$AI$505,"&lt;="&amp;$A101,実績!$AJ$6:$AJ$505,"&gt;"&amp;$A101,実績!$AK$6:$AK$505,"○")&gt;0,1,0))</f>
        <v>0</v>
      </c>
      <c r="BV101" s="39" t="n">
        <f aca="false">IF(BV$4=0,0,IF(COUNTIFS(実績!$W$6:$W$505,BV$3,実績!$AI$6:$AI$505,"&lt;="&amp;$A101,実績!$AJ$6:$AJ$505,"&gt;"&amp;$A101,実績!$AK$6:$AK$505,"○")&gt;0,1,0))</f>
        <v>0</v>
      </c>
      <c r="BW101" s="39" t="n">
        <f aca="false">IF(BW$4=0,0,IF(COUNTIFS(実績!$W$6:$W$505,BW$3,実績!$AI$6:$AI$505,"&lt;="&amp;$A101,実績!$AJ$6:$AJ$505,"&gt;"&amp;$A101,実績!$AK$6:$AK$505,"○")&gt;0,1,0))</f>
        <v>0</v>
      </c>
      <c r="BX101" s="39" t="n">
        <f aca="false">IF(BX$4=0,0,IF(COUNTIFS(実績!$W$6:$W$505,BX$3,実績!$AI$6:$AI$505,"&lt;="&amp;$A101,実績!$AJ$6:$AJ$505,"&gt;"&amp;$A101,実績!$AK$6:$AK$505,"○")&gt;0,1,0))</f>
        <v>0</v>
      </c>
      <c r="BY101" s="39" t="n">
        <f aca="false">IF(BY$4=0,0,IF(COUNTIFS(実績!$W$6:$W$505,BY$3,実績!$AI$6:$AI$505,"&lt;="&amp;$A101,実績!$AJ$6:$AJ$505,"&gt;"&amp;$A101,実績!$AK$6:$AK$505,"○")&gt;0,1,0))</f>
        <v>0</v>
      </c>
      <c r="BZ101" s="39" t="n">
        <f aca="false">IF(BZ$4=0,0,IF(COUNTIFS(実績!$W$6:$W$505,BZ$3,実績!$AI$6:$AI$505,"&lt;="&amp;$A101,実績!$AJ$6:$AJ$505,"&gt;"&amp;$A101,実績!$AK$6:$AK$505,"○")&gt;0,1,0))</f>
        <v>0</v>
      </c>
      <c r="CA101" s="39" t="n">
        <f aca="false">IF(CA$4=0,0,IF(COUNTIFS(実績!$W$6:$W$505,CA$3,実績!$AI$6:$AI$505,"&lt;="&amp;$A101,実績!$AJ$6:$AJ$505,"&gt;"&amp;$A101,実績!$AK$6:$AK$505,"○")&gt;0,1,0))</f>
        <v>0</v>
      </c>
      <c r="CB101" s="39" t="n">
        <f aca="false">IF(CB$4=0,0,IF(COUNTIFS(実績!$W$6:$W$505,CB$3,実績!$AI$6:$AI$505,"&lt;="&amp;$A101,実績!$AJ$6:$AJ$505,"&gt;"&amp;$A101,実績!$AK$6:$AK$505,"○")&gt;0,1,0))</f>
        <v>0</v>
      </c>
      <c r="CC101" s="39" t="n">
        <f aca="false">IF(CC$4=0,0,IF(COUNTIFS(実績!$W$6:$W$505,CC$3,実績!$AI$6:$AI$505,"&lt;="&amp;$A101,実績!$AJ$6:$AJ$505,"&gt;"&amp;$A101,実績!$AK$6:$AK$505,"○")&gt;0,1,0))</f>
        <v>0</v>
      </c>
      <c r="CD101" s="39" t="n">
        <f aca="false">IF(CD$4=0,0,IF(COUNTIFS(実績!$W$6:$W$505,CD$3,実績!$AI$6:$AI$505,"&lt;="&amp;$A101,実績!$AJ$6:$AJ$505,"&gt;"&amp;$A101,実績!$AK$6:$AK$505,"○")&gt;0,1,0))</f>
        <v>0</v>
      </c>
      <c r="CE101" s="39" t="n">
        <f aca="false">IF(CE$4=0,0,IF(COUNTIFS(実績!$W$6:$W$505,CE$3,実績!$AI$6:$AI$505,"&lt;="&amp;$A101,実績!$AJ$6:$AJ$505,"&gt;"&amp;$A101,実績!$AK$6:$AK$505,"○")&gt;0,1,0))</f>
        <v>0</v>
      </c>
      <c r="CF101" s="39" t="n">
        <f aca="false">IF(CF$4=0,0,IF(COUNTIFS(実績!$W$6:$W$505,CF$3,実績!$AI$6:$AI$505,"&lt;="&amp;$A101,実績!$AJ$6:$AJ$505,"&gt;"&amp;$A101,実績!$AK$6:$AK$505,"○")&gt;0,1,0))</f>
        <v>0</v>
      </c>
      <c r="CG101" s="39" t="n">
        <f aca="false">IF(CG$4=0,0,IF(COUNTIFS(実績!$W$6:$W$505,CG$3,実績!$AI$6:$AI$505,"&lt;="&amp;$A101,実績!$AJ$6:$AJ$505,"&gt;"&amp;$A101,実績!$AK$6:$AK$505,"○")&gt;0,1,0))</f>
        <v>0</v>
      </c>
      <c r="CH101" s="39" t="n">
        <f aca="false">IF(CH$4=0,0,IF(COUNTIFS(実績!$W$6:$W$505,CH$3,実績!$AI$6:$AI$505,"&lt;="&amp;$A101,実績!$AJ$6:$AJ$505,"&gt;"&amp;$A101,実績!$AK$6:$AK$505,"○")&gt;0,1,0))</f>
        <v>0</v>
      </c>
      <c r="CI101" s="39" t="n">
        <f aca="false">IF(CI$4=0,0,IF(COUNTIFS(実績!$W$6:$W$505,CI$3,実績!$AI$6:$AI$505,"&lt;="&amp;$A101,実績!$AJ$6:$AJ$505,"&gt;"&amp;$A101,実績!$AK$6:$AK$505,"○")&gt;0,1,0))</f>
        <v>0</v>
      </c>
      <c r="CJ101" s="39" t="n">
        <f aca="false">IF(CJ$4=0,0,IF(COUNTIFS(実績!$W$6:$W$505,CJ$3,実績!$AI$6:$AI$505,"&lt;="&amp;$A101,実績!$AJ$6:$AJ$505,"&gt;"&amp;$A101,実績!$AK$6:$AK$505,"○")&gt;0,1,0))</f>
        <v>0</v>
      </c>
      <c r="CK101" s="39" t="n">
        <f aca="false">IF(CK$4=0,0,IF(COUNTIFS(実績!$W$6:$W$505,CK$3,実績!$AI$6:$AI$505,"&lt;="&amp;$A101,実績!$AJ$6:$AJ$505,"&gt;"&amp;$A101,実績!$AK$6:$AK$505,"○")&gt;0,1,0))</f>
        <v>0</v>
      </c>
      <c r="CL101" s="39" t="n">
        <f aca="false">IF(CL$4=0,0,IF(COUNTIFS(実績!$W$6:$W$505,CL$3,実績!$AI$6:$AI$505,"&lt;="&amp;$A101,実績!$AJ$6:$AJ$505,"&gt;"&amp;$A101,実績!$AK$6:$AK$505,"○")&gt;0,1,0))</f>
        <v>0</v>
      </c>
      <c r="CM101" s="39" t="n">
        <f aca="false">IF(CM$4=0,0,IF(COUNTIFS(実績!$W$6:$W$505,CM$3,実績!$AI$6:$AI$505,"&lt;="&amp;$A101,実績!$AJ$6:$AJ$505,"&gt;"&amp;$A101,実績!$AK$6:$AK$505,"○")&gt;0,1,0))</f>
        <v>0</v>
      </c>
      <c r="CN101" s="39" t="n">
        <f aca="false">IF(CN$4=0,0,IF(COUNTIFS(実績!$W$6:$W$505,CN$3,実績!$AI$6:$AI$505,"&lt;="&amp;$A101,実績!$AJ$6:$AJ$505,"&gt;"&amp;$A101,実績!$AK$6:$AK$505,"○")&gt;0,1,0))</f>
        <v>0</v>
      </c>
      <c r="CO101" s="39" t="n">
        <f aca="false">IF(CO$4=0,0,IF(COUNTIFS(実績!$W$6:$W$505,CO$3,実績!$AI$6:$AI$505,"&lt;="&amp;$A101,実績!$AJ$6:$AJ$505,"&gt;"&amp;$A101,実績!$AK$6:$AK$505,"○")&gt;0,1,0))</f>
        <v>0</v>
      </c>
      <c r="CP101" s="39" t="n">
        <f aca="false">IF(CP$4=0,0,IF(COUNTIFS(実績!$W$6:$W$505,CP$3,実績!$AI$6:$AI$505,"&lt;="&amp;$A101,実績!$AJ$6:$AJ$505,"&gt;"&amp;$A101,実績!$AK$6:$AK$505,"○")&gt;0,1,0))</f>
        <v>0</v>
      </c>
      <c r="CQ101" s="39" t="n">
        <f aca="false">IF(CQ$4=0,0,IF(COUNTIFS(実績!$W$6:$W$505,CQ$3,実績!$AI$6:$AI$505,"&lt;="&amp;$A101,実績!$AJ$6:$AJ$505,"&gt;"&amp;$A101,実績!$AK$6:$AK$505,"○")&gt;0,1,0))</f>
        <v>0</v>
      </c>
      <c r="CR101" s="39" t="n">
        <f aca="false">IF(CR$4=0,0,IF(COUNTIFS(実績!$W$6:$W$505,CR$3,実績!$AI$6:$AI$505,"&lt;="&amp;$A101,実績!$AJ$6:$AJ$505,"&gt;"&amp;$A101,実績!$AK$6:$AK$505,"○")&gt;0,1,0))</f>
        <v>0</v>
      </c>
      <c r="CS101" s="39" t="n">
        <f aca="false">IF(CS$4=0,0,IF(COUNTIFS(実績!$W$6:$W$505,CS$3,実績!$AI$6:$AI$505,"&lt;="&amp;$A101,実績!$AJ$6:$AJ$505,"&gt;"&amp;$A101,実績!$AK$6:$AK$505,"○")&gt;0,1,0))</f>
        <v>0</v>
      </c>
      <c r="CT101" s="39" t="n">
        <f aca="false">IF(CT$4=0,0,IF(COUNTIFS(実績!$W$6:$W$505,CT$3,実績!$AI$6:$AI$505,"&lt;="&amp;$A101,実績!$AJ$6:$AJ$505,"&gt;"&amp;$A101,実績!$AK$6:$AK$505,"○")&gt;0,1,0))</f>
        <v>0</v>
      </c>
      <c r="CU101" s="39" t="n">
        <f aca="false">IF(CU$4=0,0,IF(COUNTIFS(実績!$W$6:$W$505,CU$3,実績!$AI$6:$AI$505,"&lt;="&amp;$A101,実績!$AJ$6:$AJ$505,"&gt;"&amp;$A101,実績!$AK$6:$AK$505,"○")&gt;0,1,0))</f>
        <v>0</v>
      </c>
      <c r="CV101" s="39" t="n">
        <f aca="false">IF(CV$4=0,0,IF(COUNTIFS(実績!$W$6:$W$505,CV$3,実績!$AI$6:$AI$505,"&lt;="&amp;$A101,実績!$AJ$6:$AJ$505,"&gt;"&amp;$A101,実績!$AK$6:$AK$505,"○")&gt;0,1,0))</f>
        <v>0</v>
      </c>
      <c r="CW101" s="39" t="n">
        <f aca="false">IF(CW$4=0,0,IF(COUNTIFS(実績!$W$6:$W$505,CW$3,実績!$AI$6:$AI$505,"&lt;="&amp;$A101,実績!$AJ$6:$AJ$505,"&gt;"&amp;$A101,実績!$AK$6:$AK$505,"○")&gt;0,1,0))</f>
        <v>0</v>
      </c>
      <c r="CX101" s="39" t="n">
        <f aca="false">IF(CX$4=0,0,IF(COUNTIFS(実績!$W$6:$W$505,CX$3,実績!$AI$6:$AI$505,"&lt;="&amp;$A101,実績!$AJ$6:$AJ$505,"&gt;"&amp;$A101,実績!$AK$6:$AK$505,"○")&gt;0,1,0))</f>
        <v>0</v>
      </c>
      <c r="CY101" s="39" t="n">
        <f aca="false">IF(CY$4=0,0,IF(COUNTIFS(実績!$W$6:$W$505,CY$3,実績!$AI$6:$AI$505,"&lt;="&amp;$A101,実績!$AJ$6:$AJ$505,"&gt;"&amp;$A101,実績!$AK$6:$AK$505,"○")&gt;0,1,0))</f>
        <v>0</v>
      </c>
      <c r="CZ101" s="39" t="n">
        <f aca="false">IF(CZ$4=0,0,IF(COUNTIFS(実績!$W$6:$W$505,CZ$3,実績!$AI$6:$AI$505,"&lt;="&amp;$A101,実績!$AJ$6:$AJ$505,"&gt;"&amp;$A101,実績!$AK$6:$AK$505,"○")&gt;0,1,0))</f>
        <v>0</v>
      </c>
      <c r="DA101" s="39" t="n">
        <f aca="false">IF(DA$4=0,0,IF(COUNTIFS(実績!$W$6:$W$505,DA$3,実績!$AI$6:$AI$505,"&lt;="&amp;$A101,実績!$AJ$6:$AJ$505,"&gt;"&amp;$A101,実績!$AK$6:$AK$505,"○")&gt;0,1,0))</f>
        <v>0</v>
      </c>
      <c r="DB101" s="39" t="n">
        <f aca="false">IF(DB$4=0,0,IF(COUNTIFS(実績!$W$6:$W$505,DB$3,実績!$AI$6:$AI$505,"&lt;="&amp;$A101,実績!$AJ$6:$AJ$505,"&gt;"&amp;$A101,実績!$AK$6:$AK$505,"○")&gt;0,1,0))</f>
        <v>0</v>
      </c>
      <c r="DC101" s="39" t="n">
        <f aca="false">IF(DC$4=0,0,IF(COUNTIFS(実績!$W$6:$W$505,DC$3,実績!$AI$6:$AI$505,"&lt;="&amp;$A101,実績!$AJ$6:$AJ$505,"&gt;"&amp;$A101,実績!$AK$6:$AK$505,"○")&gt;0,1,0))</f>
        <v>0</v>
      </c>
      <c r="DD101" s="39" t="n">
        <f aca="false">IF(DD$4=0,0,IF(COUNTIFS(実績!$W$6:$W$505,DD$3,実績!$AI$6:$AI$505,"&lt;="&amp;$A101,実績!$AJ$6:$AJ$505,"&gt;"&amp;$A101,実績!$AK$6:$AK$505,"○")&gt;0,1,0))</f>
        <v>0</v>
      </c>
      <c r="DE101" s="39" t="n">
        <f aca="false">IF(DE$4=0,0,IF(COUNTIFS(実績!$W$6:$W$505,DE$3,実績!$AI$6:$AI$505,"&lt;="&amp;$A101,実績!$AJ$6:$AJ$505,"&gt;"&amp;$A101,実績!$AK$6:$AK$505,"○")&gt;0,1,0))</f>
        <v>0</v>
      </c>
      <c r="DF101" s="39" t="n">
        <f aca="false">IF(DF$4=0,0,IF(COUNTIFS(実績!$W$6:$W$505,DF$3,実績!$AI$6:$AI$505,"&lt;="&amp;$A101,実績!$AJ$6:$AJ$505,"&gt;"&amp;$A101,実績!$AK$6:$AK$505,"○")&gt;0,1,0))</f>
        <v>0</v>
      </c>
      <c r="DG101" s="39" t="n">
        <f aca="false">IF(DG$4=0,0,IF(COUNTIFS(実績!$W$6:$W$505,DG$3,実績!$AI$6:$AI$505,"&lt;="&amp;$A101,実績!$AJ$6:$AJ$505,"&gt;"&amp;$A101,実績!$AK$6:$AK$505,"○")&gt;0,1,0))</f>
        <v>0</v>
      </c>
      <c r="DH101" s="39" t="n">
        <f aca="false">IF(DH$4=0,0,IF(COUNTIFS(実績!$W$6:$W$505,DH$3,実績!$AI$6:$AI$505,"&lt;="&amp;$A101,実績!$AJ$6:$AJ$505,"&gt;"&amp;$A101,実績!$AK$6:$AK$505,"○")&gt;0,1,0))</f>
        <v>0</v>
      </c>
      <c r="DI101" s="39" t="n">
        <f aca="false">IF(DI$4=0,0,IF(COUNTIFS(実績!$W$6:$W$505,DI$3,実績!$AI$6:$AI$505,"&lt;="&amp;$A101,実績!$AJ$6:$AJ$505,"&gt;"&amp;$A101,実績!$AK$6:$AK$505,"○")&gt;0,1,0))</f>
        <v>0</v>
      </c>
      <c r="DJ101" s="39" t="n">
        <f aca="false">IF(DJ$4=0,0,IF(COUNTIFS(実績!$W$6:$W$505,DJ$3,実績!$AI$6:$AI$505,"&lt;="&amp;$A101,実績!$AJ$6:$AJ$505,"&gt;"&amp;$A101,実績!$AK$6:$AK$505,"○")&gt;0,1,0))</f>
        <v>0</v>
      </c>
      <c r="DK101" s="39" t="n">
        <f aca="false">IF(DK$4=0,0,IF(COUNTIFS(実績!$W$6:$W$505,DK$3,実績!$AI$6:$AI$505,"&lt;="&amp;$A101,実績!$AJ$6:$AJ$505,"&gt;"&amp;$A101,実績!$AK$6:$AK$505,"○")&gt;0,1,0))</f>
        <v>0</v>
      </c>
      <c r="DL101" s="39" t="n">
        <f aca="false">IF(DL$4=0,0,IF(COUNTIFS(実績!$W$6:$W$505,DL$3,実績!$AI$6:$AI$505,"&lt;="&amp;$A101,実績!$AJ$6:$AJ$505,"&gt;"&amp;$A101,実績!$AK$6:$AK$505,"○")&gt;0,1,0))</f>
        <v>0</v>
      </c>
      <c r="DM101" s="39" t="n">
        <f aca="false">IF(DM$4=0,0,IF(COUNTIFS(実績!$W$6:$W$505,DM$3,実績!$AI$6:$AI$505,"&lt;="&amp;$A101,実績!$AJ$6:$AJ$505,"&gt;"&amp;$A101,実績!$AK$6:$AK$505,"○")&gt;0,1,0))</f>
        <v>0</v>
      </c>
      <c r="DN101" s="39" t="n">
        <f aca="false">IF(DN$4=0,0,IF(COUNTIFS(実績!$W$6:$W$505,DN$3,実績!$AI$6:$AI$505,"&lt;="&amp;$A101,実績!$AJ$6:$AJ$505,"&gt;"&amp;$A101,実績!$AK$6:$AK$505,"○")&gt;0,1,0))</f>
        <v>0</v>
      </c>
      <c r="DO101" s="39" t="n">
        <f aca="false">IF(DO$4=0,0,IF(COUNTIFS(実績!$W$6:$W$505,DO$3,実績!$AI$6:$AI$505,"&lt;="&amp;$A101,実績!$AJ$6:$AJ$505,"&gt;"&amp;$A101,実績!$AK$6:$AK$505,"○")&gt;0,1,0))</f>
        <v>0</v>
      </c>
      <c r="DP101" s="39" t="n">
        <f aca="false">IF(DP$4=0,0,IF(COUNTIFS(実績!$W$6:$W$505,DP$3,実績!$AI$6:$AI$505,"&lt;="&amp;$A101,実績!$AJ$6:$AJ$505,"&gt;"&amp;$A101,実績!$AK$6:$AK$505,"○")&gt;0,1,0))</f>
        <v>0</v>
      </c>
      <c r="DQ101" s="39" t="n">
        <f aca="false">IF(DQ$4=0,0,IF(COUNTIFS(実績!$W$6:$W$505,DQ$3,実績!$AI$6:$AI$505,"&lt;="&amp;$A101,実績!$AJ$6:$AJ$505,"&gt;"&amp;$A101,実績!$AK$6:$AK$505,"○")&gt;0,1,0))</f>
        <v>0</v>
      </c>
      <c r="DR101" s="39" t="n">
        <f aca="false">IF(DR$4=0,0,IF(COUNTIFS(実績!$W$6:$W$505,DR$3,実績!$AI$6:$AI$505,"&lt;="&amp;$A101,実績!$AJ$6:$AJ$505,"&gt;"&amp;$A101,実績!$AK$6:$AK$505,"○")&gt;0,1,0))</f>
        <v>0</v>
      </c>
      <c r="DS101" s="39" t="n">
        <f aca="false">SUM(C101:DR101)</f>
        <v>0</v>
      </c>
      <c r="DT101" s="39" t="n">
        <f aca="false">SUMPRODUCT((実績!$C$6:$C$505="○")*ISNUMBER(実績!$AM$6:$AM$505)*(実績!$AM$6:$AM$505&lt;=$A101)*(実績!$AN$6:$AN$505&gt;$A101))</f>
        <v>0</v>
      </c>
      <c r="DU101" s="39" t="n">
        <f aca="false">SUMIF($C$2:$DR$2,"製鉄曳船",C101:DR101)</f>
        <v>0</v>
      </c>
      <c r="DV101" s="39" t="n">
        <f aca="false">SUMIF($C$2:$DR$2,"西日本海運",C101:DR101)</f>
        <v>0</v>
      </c>
    </row>
    <row r="102" customFormat="false" ht="15" hidden="false" customHeight="false" outlineLevel="0" collapsed="false">
      <c r="A102" s="0" t="n">
        <v>480</v>
      </c>
      <c r="B102" s="38" t="n">
        <f aca="false">A102/1440</f>
        <v>0.333333333333333</v>
      </c>
      <c r="C102" s="39" t="n">
        <f aca="false">IF(C$4=0,0,IF(COUNTIFS(実績!$W$6:$W$505,C$3,実績!$AI$6:$AI$505,"&lt;="&amp;$A102,実績!$AJ$6:$AJ$505,"&gt;"&amp;$A102,実績!$AK$6:$AK$505,"○")&gt;0,1,0))</f>
        <v>0</v>
      </c>
      <c r="D102" s="39" t="n">
        <f aca="false">IF(D$4=0,0,IF(COUNTIFS(実績!$W$6:$W$505,D$3,実績!$AI$6:$AI$505,"&lt;="&amp;$A102,実績!$AJ$6:$AJ$505,"&gt;"&amp;$A102,実績!$AK$6:$AK$505,"○")&gt;0,1,0))</f>
        <v>0</v>
      </c>
      <c r="E102" s="39" t="n">
        <f aca="false">IF(E$4=0,0,IF(COUNTIFS(実績!$W$6:$W$505,E$3,実績!$AI$6:$AI$505,"&lt;="&amp;$A102,実績!$AJ$6:$AJ$505,"&gt;"&amp;$A102,実績!$AK$6:$AK$505,"○")&gt;0,1,0))</f>
        <v>0</v>
      </c>
      <c r="F102" s="39" t="n">
        <f aca="false">IF(F$4=0,0,IF(COUNTIFS(実績!$W$6:$W$505,F$3,実績!$AI$6:$AI$505,"&lt;="&amp;$A102,実績!$AJ$6:$AJ$505,"&gt;"&amp;$A102,実績!$AK$6:$AK$505,"○")&gt;0,1,0))</f>
        <v>0</v>
      </c>
      <c r="G102" s="39" t="n">
        <f aca="false">IF(G$4=0,0,IF(COUNTIFS(実績!$W$6:$W$505,G$3,実績!$AI$6:$AI$505,"&lt;="&amp;$A102,実績!$AJ$6:$AJ$505,"&gt;"&amp;$A102,実績!$AK$6:$AK$505,"○")&gt;0,1,0))</f>
        <v>0</v>
      </c>
      <c r="H102" s="39" t="n">
        <f aca="false">IF(H$4=0,0,IF(COUNTIFS(実績!$W$6:$W$505,H$3,実績!$AI$6:$AI$505,"&lt;="&amp;$A102,実績!$AJ$6:$AJ$505,"&gt;"&amp;$A102,実績!$AK$6:$AK$505,"○")&gt;0,1,0))</f>
        <v>0</v>
      </c>
      <c r="I102" s="39" t="n">
        <f aca="false">IF(I$4=0,0,IF(COUNTIFS(実績!$W$6:$W$505,I$3,実績!$AI$6:$AI$505,"&lt;="&amp;$A102,実績!$AJ$6:$AJ$505,"&gt;"&amp;$A102,実績!$AK$6:$AK$505,"○")&gt;0,1,0))</f>
        <v>0</v>
      </c>
      <c r="J102" s="39" t="n">
        <f aca="false">IF(J$4=0,0,IF(COUNTIFS(実績!$W$6:$W$505,J$3,実績!$AI$6:$AI$505,"&lt;="&amp;$A102,実績!$AJ$6:$AJ$505,"&gt;"&amp;$A102,実績!$AK$6:$AK$505,"○")&gt;0,1,0))</f>
        <v>0</v>
      </c>
      <c r="K102" s="39" t="n">
        <f aca="false">IF(K$4=0,0,IF(COUNTIFS(実績!$W$6:$W$505,K$3,実績!$AI$6:$AI$505,"&lt;="&amp;$A102,実績!$AJ$6:$AJ$505,"&gt;"&amp;$A102,実績!$AK$6:$AK$505,"○")&gt;0,1,0))</f>
        <v>0</v>
      </c>
      <c r="L102" s="39" t="n">
        <f aca="false">IF(L$4=0,0,IF(COUNTIFS(実績!$W$6:$W$505,L$3,実績!$AI$6:$AI$505,"&lt;="&amp;$A102,実績!$AJ$6:$AJ$505,"&gt;"&amp;$A102,実績!$AK$6:$AK$505,"○")&gt;0,1,0))</f>
        <v>0</v>
      </c>
      <c r="M102" s="39" t="n">
        <f aca="false">IF(M$4=0,0,IF(COUNTIFS(実績!$W$6:$W$505,M$3,実績!$AI$6:$AI$505,"&lt;="&amp;$A102,実績!$AJ$6:$AJ$505,"&gt;"&amp;$A102,実績!$AK$6:$AK$505,"○")&gt;0,1,0))</f>
        <v>0</v>
      </c>
      <c r="N102" s="39" t="n">
        <f aca="false">IF(N$4=0,0,IF(COUNTIFS(実績!$W$6:$W$505,N$3,実績!$AI$6:$AI$505,"&lt;="&amp;$A102,実績!$AJ$6:$AJ$505,"&gt;"&amp;$A102,実績!$AK$6:$AK$505,"○")&gt;0,1,0))</f>
        <v>0</v>
      </c>
      <c r="O102" s="39" t="n">
        <f aca="false">IF(O$4=0,0,IF(COUNTIFS(実績!$W$6:$W$505,O$3,実績!$AI$6:$AI$505,"&lt;="&amp;$A102,実績!$AJ$6:$AJ$505,"&gt;"&amp;$A102,実績!$AK$6:$AK$505,"○")&gt;0,1,0))</f>
        <v>0</v>
      </c>
      <c r="P102" s="39" t="n">
        <f aca="false">IF(P$4=0,0,IF(COUNTIFS(実績!$W$6:$W$505,P$3,実績!$AI$6:$AI$505,"&lt;="&amp;$A102,実績!$AJ$6:$AJ$505,"&gt;"&amp;$A102,実績!$AK$6:$AK$505,"○")&gt;0,1,0))</f>
        <v>0</v>
      </c>
      <c r="Q102" s="39" t="n">
        <f aca="false">IF(Q$4=0,0,IF(COUNTIFS(実績!$W$6:$W$505,Q$3,実績!$AI$6:$AI$505,"&lt;="&amp;$A102,実績!$AJ$6:$AJ$505,"&gt;"&amp;$A102,実績!$AK$6:$AK$505,"○")&gt;0,1,0))</f>
        <v>0</v>
      </c>
      <c r="R102" s="39" t="n">
        <f aca="false">IF(R$4=0,0,IF(COUNTIFS(実績!$W$6:$W$505,R$3,実績!$AI$6:$AI$505,"&lt;="&amp;$A102,実績!$AJ$6:$AJ$505,"&gt;"&amp;$A102,実績!$AK$6:$AK$505,"○")&gt;0,1,0))</f>
        <v>0</v>
      </c>
      <c r="S102" s="39" t="n">
        <f aca="false">IF(S$4=0,0,IF(COUNTIFS(実績!$W$6:$W$505,S$3,実績!$AI$6:$AI$505,"&lt;="&amp;$A102,実績!$AJ$6:$AJ$505,"&gt;"&amp;$A102,実績!$AK$6:$AK$505,"○")&gt;0,1,0))</f>
        <v>0</v>
      </c>
      <c r="T102" s="39" t="n">
        <f aca="false">IF(T$4=0,0,IF(COUNTIFS(実績!$W$6:$W$505,T$3,実績!$AI$6:$AI$505,"&lt;="&amp;$A102,実績!$AJ$6:$AJ$505,"&gt;"&amp;$A102,実績!$AK$6:$AK$505,"○")&gt;0,1,0))</f>
        <v>0</v>
      </c>
      <c r="U102" s="39" t="n">
        <f aca="false">IF(U$4=0,0,IF(COUNTIFS(実績!$W$6:$W$505,U$3,実績!$AI$6:$AI$505,"&lt;="&amp;$A102,実績!$AJ$6:$AJ$505,"&gt;"&amp;$A102,実績!$AK$6:$AK$505,"○")&gt;0,1,0))</f>
        <v>0</v>
      </c>
      <c r="V102" s="39" t="n">
        <f aca="false">IF(V$4=0,0,IF(COUNTIFS(実績!$W$6:$W$505,V$3,実績!$AI$6:$AI$505,"&lt;="&amp;$A102,実績!$AJ$6:$AJ$505,"&gt;"&amp;$A102,実績!$AK$6:$AK$505,"○")&gt;0,1,0))</f>
        <v>0</v>
      </c>
      <c r="W102" s="39" t="n">
        <f aca="false">IF(W$4=0,0,IF(COUNTIFS(実績!$W$6:$W$505,W$3,実績!$AI$6:$AI$505,"&lt;="&amp;$A102,実績!$AJ$6:$AJ$505,"&gt;"&amp;$A102,実績!$AK$6:$AK$505,"○")&gt;0,1,0))</f>
        <v>0</v>
      </c>
      <c r="X102" s="39" t="n">
        <f aca="false">IF(X$4=0,0,IF(COUNTIFS(実績!$W$6:$W$505,X$3,実績!$AI$6:$AI$505,"&lt;="&amp;$A102,実績!$AJ$6:$AJ$505,"&gt;"&amp;$A102,実績!$AK$6:$AK$505,"○")&gt;0,1,0))</f>
        <v>0</v>
      </c>
      <c r="Y102" s="39" t="n">
        <f aca="false">IF(Y$4=0,0,IF(COUNTIFS(実績!$W$6:$W$505,Y$3,実績!$AI$6:$AI$505,"&lt;="&amp;$A102,実績!$AJ$6:$AJ$505,"&gt;"&amp;$A102,実績!$AK$6:$AK$505,"○")&gt;0,1,0))</f>
        <v>0</v>
      </c>
      <c r="Z102" s="39" t="n">
        <f aca="false">IF(Z$4=0,0,IF(COUNTIFS(実績!$W$6:$W$505,Z$3,実績!$AI$6:$AI$505,"&lt;="&amp;$A102,実績!$AJ$6:$AJ$505,"&gt;"&amp;$A102,実績!$AK$6:$AK$505,"○")&gt;0,1,0))</f>
        <v>0</v>
      </c>
      <c r="AA102" s="39" t="n">
        <f aca="false">IF(AA$4=0,0,IF(COUNTIFS(実績!$W$6:$W$505,AA$3,実績!$AI$6:$AI$505,"&lt;="&amp;$A102,実績!$AJ$6:$AJ$505,"&gt;"&amp;$A102,実績!$AK$6:$AK$505,"○")&gt;0,1,0))</f>
        <v>0</v>
      </c>
      <c r="AB102" s="39" t="n">
        <f aca="false">IF(AB$4=0,0,IF(COUNTIFS(実績!$W$6:$W$505,AB$3,実績!$AI$6:$AI$505,"&lt;="&amp;$A102,実績!$AJ$6:$AJ$505,"&gt;"&amp;$A102,実績!$AK$6:$AK$505,"○")&gt;0,1,0))</f>
        <v>0</v>
      </c>
      <c r="AC102" s="39" t="n">
        <f aca="false">IF(AC$4=0,0,IF(COUNTIFS(実績!$W$6:$W$505,AC$3,実績!$AI$6:$AI$505,"&lt;="&amp;$A102,実績!$AJ$6:$AJ$505,"&gt;"&amp;$A102,実績!$AK$6:$AK$505,"○")&gt;0,1,0))</f>
        <v>0</v>
      </c>
      <c r="AD102" s="39" t="n">
        <f aca="false">IF(AD$4=0,0,IF(COUNTIFS(実績!$W$6:$W$505,AD$3,実績!$AI$6:$AI$505,"&lt;="&amp;$A102,実績!$AJ$6:$AJ$505,"&gt;"&amp;$A102,実績!$AK$6:$AK$505,"○")&gt;0,1,0))</f>
        <v>0</v>
      </c>
      <c r="AE102" s="39" t="n">
        <f aca="false">IF(AE$4=0,0,IF(COUNTIFS(実績!$W$6:$W$505,AE$3,実績!$AI$6:$AI$505,"&lt;="&amp;$A102,実績!$AJ$6:$AJ$505,"&gt;"&amp;$A102,実績!$AK$6:$AK$505,"○")&gt;0,1,0))</f>
        <v>0</v>
      </c>
      <c r="AF102" s="39" t="n">
        <f aca="false">IF(AF$4=0,0,IF(COUNTIFS(実績!$W$6:$W$505,AF$3,実績!$AI$6:$AI$505,"&lt;="&amp;$A102,実績!$AJ$6:$AJ$505,"&gt;"&amp;$A102,実績!$AK$6:$AK$505,"○")&gt;0,1,0))</f>
        <v>0</v>
      </c>
      <c r="AG102" s="39" t="n">
        <f aca="false">IF(AG$4=0,0,IF(COUNTIFS(実績!$W$6:$W$505,AG$3,実績!$AI$6:$AI$505,"&lt;="&amp;$A102,実績!$AJ$6:$AJ$505,"&gt;"&amp;$A102,実績!$AK$6:$AK$505,"○")&gt;0,1,0))</f>
        <v>0</v>
      </c>
      <c r="AH102" s="39" t="n">
        <f aca="false">IF(AH$4=0,0,IF(COUNTIFS(実績!$W$6:$W$505,AH$3,実績!$AI$6:$AI$505,"&lt;="&amp;$A102,実績!$AJ$6:$AJ$505,"&gt;"&amp;$A102,実績!$AK$6:$AK$505,"○")&gt;0,1,0))</f>
        <v>0</v>
      </c>
      <c r="AI102" s="39" t="n">
        <f aca="false">IF(AI$4=0,0,IF(COUNTIFS(実績!$W$6:$W$505,AI$3,実績!$AI$6:$AI$505,"&lt;="&amp;$A102,実績!$AJ$6:$AJ$505,"&gt;"&amp;$A102,実績!$AK$6:$AK$505,"○")&gt;0,1,0))</f>
        <v>0</v>
      </c>
      <c r="AJ102" s="39" t="n">
        <f aca="false">IF(AJ$4=0,0,IF(COUNTIFS(実績!$W$6:$W$505,AJ$3,実績!$AI$6:$AI$505,"&lt;="&amp;$A102,実績!$AJ$6:$AJ$505,"&gt;"&amp;$A102,実績!$AK$6:$AK$505,"○")&gt;0,1,0))</f>
        <v>0</v>
      </c>
      <c r="AK102" s="39" t="n">
        <f aca="false">IF(AK$4=0,0,IF(COUNTIFS(実績!$W$6:$W$505,AK$3,実績!$AI$6:$AI$505,"&lt;="&amp;$A102,実績!$AJ$6:$AJ$505,"&gt;"&amp;$A102,実績!$AK$6:$AK$505,"○")&gt;0,1,0))</f>
        <v>0</v>
      </c>
      <c r="AL102" s="39" t="n">
        <f aca="false">IF(AL$4=0,0,IF(COUNTIFS(実績!$W$6:$W$505,AL$3,実績!$AI$6:$AI$505,"&lt;="&amp;$A102,実績!$AJ$6:$AJ$505,"&gt;"&amp;$A102,実績!$AK$6:$AK$505,"○")&gt;0,1,0))</f>
        <v>0</v>
      </c>
      <c r="AM102" s="39" t="n">
        <f aca="false">IF(AM$4=0,0,IF(COUNTIFS(実績!$W$6:$W$505,AM$3,実績!$AI$6:$AI$505,"&lt;="&amp;$A102,実績!$AJ$6:$AJ$505,"&gt;"&amp;$A102,実績!$AK$6:$AK$505,"○")&gt;0,1,0))</f>
        <v>0</v>
      </c>
      <c r="AN102" s="39" t="n">
        <f aca="false">IF(AN$4=0,0,IF(COUNTIFS(実績!$W$6:$W$505,AN$3,実績!$AI$6:$AI$505,"&lt;="&amp;$A102,実績!$AJ$6:$AJ$505,"&gt;"&amp;$A102,実績!$AK$6:$AK$505,"○")&gt;0,1,0))</f>
        <v>0</v>
      </c>
      <c r="AO102" s="39" t="n">
        <f aca="false">IF(AO$4=0,0,IF(COUNTIFS(実績!$W$6:$W$505,AO$3,実績!$AI$6:$AI$505,"&lt;="&amp;$A102,実績!$AJ$6:$AJ$505,"&gt;"&amp;$A102,実績!$AK$6:$AK$505,"○")&gt;0,1,0))</f>
        <v>0</v>
      </c>
      <c r="AP102" s="39" t="n">
        <f aca="false">IF(AP$4=0,0,IF(COUNTIFS(実績!$W$6:$W$505,AP$3,実績!$AI$6:$AI$505,"&lt;="&amp;$A102,実績!$AJ$6:$AJ$505,"&gt;"&amp;$A102,実績!$AK$6:$AK$505,"○")&gt;0,1,0))</f>
        <v>0</v>
      </c>
      <c r="AQ102" s="39" t="n">
        <f aca="false">IF(AQ$4=0,0,IF(COUNTIFS(実績!$W$6:$W$505,AQ$3,実績!$AI$6:$AI$505,"&lt;="&amp;$A102,実績!$AJ$6:$AJ$505,"&gt;"&amp;$A102,実績!$AK$6:$AK$505,"○")&gt;0,1,0))</f>
        <v>0</v>
      </c>
      <c r="AR102" s="39" t="n">
        <f aca="false">IF(AR$4=0,0,IF(COUNTIFS(実績!$W$6:$W$505,AR$3,実績!$AI$6:$AI$505,"&lt;="&amp;$A102,実績!$AJ$6:$AJ$505,"&gt;"&amp;$A102,実績!$AK$6:$AK$505,"○")&gt;0,1,0))</f>
        <v>0</v>
      </c>
      <c r="AS102" s="39" t="n">
        <f aca="false">IF(AS$4=0,0,IF(COUNTIFS(実績!$W$6:$W$505,AS$3,実績!$AI$6:$AI$505,"&lt;="&amp;$A102,実績!$AJ$6:$AJ$505,"&gt;"&amp;$A102,実績!$AK$6:$AK$505,"○")&gt;0,1,0))</f>
        <v>0</v>
      </c>
      <c r="AT102" s="39" t="n">
        <f aca="false">IF(AT$4=0,0,IF(COUNTIFS(実績!$W$6:$W$505,AT$3,実績!$AI$6:$AI$505,"&lt;="&amp;$A102,実績!$AJ$6:$AJ$505,"&gt;"&amp;$A102,実績!$AK$6:$AK$505,"○")&gt;0,1,0))</f>
        <v>0</v>
      </c>
      <c r="AU102" s="39" t="n">
        <f aca="false">IF(AU$4=0,0,IF(COUNTIFS(実績!$W$6:$W$505,AU$3,実績!$AI$6:$AI$505,"&lt;="&amp;$A102,実績!$AJ$6:$AJ$505,"&gt;"&amp;$A102,実績!$AK$6:$AK$505,"○")&gt;0,1,0))</f>
        <v>0</v>
      </c>
      <c r="AV102" s="39" t="n">
        <f aca="false">IF(AV$4=0,0,IF(COUNTIFS(実績!$W$6:$W$505,AV$3,実績!$AI$6:$AI$505,"&lt;="&amp;$A102,実績!$AJ$6:$AJ$505,"&gt;"&amp;$A102,実績!$AK$6:$AK$505,"○")&gt;0,1,0))</f>
        <v>0</v>
      </c>
      <c r="AW102" s="39" t="n">
        <f aca="false">IF(AW$4=0,0,IF(COUNTIFS(実績!$W$6:$W$505,AW$3,実績!$AI$6:$AI$505,"&lt;="&amp;$A102,実績!$AJ$6:$AJ$505,"&gt;"&amp;$A102,実績!$AK$6:$AK$505,"○")&gt;0,1,0))</f>
        <v>0</v>
      </c>
      <c r="AX102" s="39" t="n">
        <f aca="false">IF(AX$4=0,0,IF(COUNTIFS(実績!$W$6:$W$505,AX$3,実績!$AI$6:$AI$505,"&lt;="&amp;$A102,実績!$AJ$6:$AJ$505,"&gt;"&amp;$A102,実績!$AK$6:$AK$505,"○")&gt;0,1,0))</f>
        <v>0</v>
      </c>
      <c r="AY102" s="39" t="n">
        <f aca="false">IF(AY$4=0,0,IF(COUNTIFS(実績!$W$6:$W$505,AY$3,実績!$AI$6:$AI$505,"&lt;="&amp;$A102,実績!$AJ$6:$AJ$505,"&gt;"&amp;$A102,実績!$AK$6:$AK$505,"○")&gt;0,1,0))</f>
        <v>0</v>
      </c>
      <c r="AZ102" s="39" t="n">
        <f aca="false">IF(AZ$4=0,0,IF(COUNTIFS(実績!$W$6:$W$505,AZ$3,実績!$AI$6:$AI$505,"&lt;="&amp;$A102,実績!$AJ$6:$AJ$505,"&gt;"&amp;$A102,実績!$AK$6:$AK$505,"○")&gt;0,1,0))</f>
        <v>0</v>
      </c>
      <c r="BA102" s="39" t="n">
        <f aca="false">IF(BA$4=0,0,IF(COUNTIFS(実績!$W$6:$W$505,BA$3,実績!$AI$6:$AI$505,"&lt;="&amp;$A102,実績!$AJ$6:$AJ$505,"&gt;"&amp;$A102,実績!$AK$6:$AK$505,"○")&gt;0,1,0))</f>
        <v>0</v>
      </c>
      <c r="BB102" s="39" t="n">
        <f aca="false">IF(BB$4=0,0,IF(COUNTIFS(実績!$W$6:$W$505,BB$3,実績!$AI$6:$AI$505,"&lt;="&amp;$A102,実績!$AJ$6:$AJ$505,"&gt;"&amp;$A102,実績!$AK$6:$AK$505,"○")&gt;0,1,0))</f>
        <v>0</v>
      </c>
      <c r="BC102" s="39" t="n">
        <f aca="false">IF(BC$4=0,0,IF(COUNTIFS(実績!$W$6:$W$505,BC$3,実績!$AI$6:$AI$505,"&lt;="&amp;$A102,実績!$AJ$6:$AJ$505,"&gt;"&amp;$A102,実績!$AK$6:$AK$505,"○")&gt;0,1,0))</f>
        <v>0</v>
      </c>
      <c r="BD102" s="39" t="n">
        <f aca="false">IF(BD$4=0,0,IF(COUNTIFS(実績!$W$6:$W$505,BD$3,実績!$AI$6:$AI$505,"&lt;="&amp;$A102,実績!$AJ$6:$AJ$505,"&gt;"&amp;$A102,実績!$AK$6:$AK$505,"○")&gt;0,1,0))</f>
        <v>0</v>
      </c>
      <c r="BE102" s="39" t="n">
        <f aca="false">IF(BE$4=0,0,IF(COUNTIFS(実績!$W$6:$W$505,BE$3,実績!$AI$6:$AI$505,"&lt;="&amp;$A102,実績!$AJ$6:$AJ$505,"&gt;"&amp;$A102,実績!$AK$6:$AK$505,"○")&gt;0,1,0))</f>
        <v>0</v>
      </c>
      <c r="BF102" s="39" t="n">
        <f aca="false">IF(BF$4=0,0,IF(COUNTIFS(実績!$W$6:$W$505,BF$3,実績!$AI$6:$AI$505,"&lt;="&amp;$A102,実績!$AJ$6:$AJ$505,"&gt;"&amp;$A102,実績!$AK$6:$AK$505,"○")&gt;0,1,0))</f>
        <v>0</v>
      </c>
      <c r="BG102" s="39" t="n">
        <f aca="false">IF(BG$4=0,0,IF(COUNTIFS(実績!$W$6:$W$505,BG$3,実績!$AI$6:$AI$505,"&lt;="&amp;$A102,実績!$AJ$6:$AJ$505,"&gt;"&amp;$A102,実績!$AK$6:$AK$505,"○")&gt;0,1,0))</f>
        <v>0</v>
      </c>
      <c r="BH102" s="39" t="n">
        <f aca="false">IF(BH$4=0,0,IF(COUNTIFS(実績!$W$6:$W$505,BH$3,実績!$AI$6:$AI$505,"&lt;="&amp;$A102,実績!$AJ$6:$AJ$505,"&gt;"&amp;$A102,実績!$AK$6:$AK$505,"○")&gt;0,1,0))</f>
        <v>0</v>
      </c>
      <c r="BI102" s="39" t="n">
        <f aca="false">IF(BI$4=0,0,IF(COUNTIFS(実績!$W$6:$W$505,BI$3,実績!$AI$6:$AI$505,"&lt;="&amp;$A102,実績!$AJ$6:$AJ$505,"&gt;"&amp;$A102,実績!$AK$6:$AK$505,"○")&gt;0,1,0))</f>
        <v>0</v>
      </c>
      <c r="BJ102" s="39" t="n">
        <f aca="false">IF(BJ$4=0,0,IF(COUNTIFS(実績!$W$6:$W$505,BJ$3,実績!$AI$6:$AI$505,"&lt;="&amp;$A102,実績!$AJ$6:$AJ$505,"&gt;"&amp;$A102,実績!$AK$6:$AK$505,"○")&gt;0,1,0))</f>
        <v>0</v>
      </c>
      <c r="BK102" s="39" t="n">
        <f aca="false">IF(BK$4=0,0,IF(COUNTIFS(実績!$W$6:$W$505,BK$3,実績!$AI$6:$AI$505,"&lt;="&amp;$A102,実績!$AJ$6:$AJ$505,"&gt;"&amp;$A102,実績!$AK$6:$AK$505,"○")&gt;0,1,0))</f>
        <v>0</v>
      </c>
      <c r="BL102" s="39" t="n">
        <f aca="false">IF(BL$4=0,0,IF(COUNTIFS(実績!$W$6:$W$505,BL$3,実績!$AI$6:$AI$505,"&lt;="&amp;$A102,実績!$AJ$6:$AJ$505,"&gt;"&amp;$A102,実績!$AK$6:$AK$505,"○")&gt;0,1,0))</f>
        <v>0</v>
      </c>
      <c r="BM102" s="39" t="n">
        <f aca="false">IF(BM$4=0,0,IF(COUNTIFS(実績!$W$6:$W$505,BM$3,実績!$AI$6:$AI$505,"&lt;="&amp;$A102,実績!$AJ$6:$AJ$505,"&gt;"&amp;$A102,実績!$AK$6:$AK$505,"○")&gt;0,1,0))</f>
        <v>0</v>
      </c>
      <c r="BN102" s="39" t="n">
        <f aca="false">IF(BN$4=0,0,IF(COUNTIFS(実績!$W$6:$W$505,BN$3,実績!$AI$6:$AI$505,"&lt;="&amp;$A102,実績!$AJ$6:$AJ$505,"&gt;"&amp;$A102,実績!$AK$6:$AK$505,"○")&gt;0,1,0))</f>
        <v>0</v>
      </c>
      <c r="BO102" s="39" t="n">
        <f aca="false">IF(BO$4=0,0,IF(COUNTIFS(実績!$W$6:$W$505,BO$3,実績!$AI$6:$AI$505,"&lt;="&amp;$A102,実績!$AJ$6:$AJ$505,"&gt;"&amp;$A102,実績!$AK$6:$AK$505,"○")&gt;0,1,0))</f>
        <v>0</v>
      </c>
      <c r="BP102" s="39" t="n">
        <f aca="false">IF(BP$4=0,0,IF(COUNTIFS(実績!$W$6:$W$505,BP$3,実績!$AI$6:$AI$505,"&lt;="&amp;$A102,実績!$AJ$6:$AJ$505,"&gt;"&amp;$A102,実績!$AK$6:$AK$505,"○")&gt;0,1,0))</f>
        <v>0</v>
      </c>
      <c r="BQ102" s="39" t="n">
        <f aca="false">IF(BQ$4=0,0,IF(COUNTIFS(実績!$W$6:$W$505,BQ$3,実績!$AI$6:$AI$505,"&lt;="&amp;$A102,実績!$AJ$6:$AJ$505,"&gt;"&amp;$A102,実績!$AK$6:$AK$505,"○")&gt;0,1,0))</f>
        <v>0</v>
      </c>
      <c r="BR102" s="39" t="n">
        <f aca="false">IF(BR$4=0,0,IF(COUNTIFS(実績!$W$6:$W$505,BR$3,実績!$AI$6:$AI$505,"&lt;="&amp;$A102,実績!$AJ$6:$AJ$505,"&gt;"&amp;$A102,実績!$AK$6:$AK$505,"○")&gt;0,1,0))</f>
        <v>0</v>
      </c>
      <c r="BS102" s="39" t="n">
        <f aca="false">IF(BS$4=0,0,IF(COUNTIFS(実績!$W$6:$W$505,BS$3,実績!$AI$6:$AI$505,"&lt;="&amp;$A102,実績!$AJ$6:$AJ$505,"&gt;"&amp;$A102,実績!$AK$6:$AK$505,"○")&gt;0,1,0))</f>
        <v>0</v>
      </c>
      <c r="BT102" s="39" t="n">
        <f aca="false">IF(BT$4=0,0,IF(COUNTIFS(実績!$W$6:$W$505,BT$3,実績!$AI$6:$AI$505,"&lt;="&amp;$A102,実績!$AJ$6:$AJ$505,"&gt;"&amp;$A102,実績!$AK$6:$AK$505,"○")&gt;0,1,0))</f>
        <v>0</v>
      </c>
      <c r="BU102" s="39" t="n">
        <f aca="false">IF(BU$4=0,0,IF(COUNTIFS(実績!$W$6:$W$505,BU$3,実績!$AI$6:$AI$505,"&lt;="&amp;$A102,実績!$AJ$6:$AJ$505,"&gt;"&amp;$A102,実績!$AK$6:$AK$505,"○")&gt;0,1,0))</f>
        <v>0</v>
      </c>
      <c r="BV102" s="39" t="n">
        <f aca="false">IF(BV$4=0,0,IF(COUNTIFS(実績!$W$6:$W$505,BV$3,実績!$AI$6:$AI$505,"&lt;="&amp;$A102,実績!$AJ$6:$AJ$505,"&gt;"&amp;$A102,実績!$AK$6:$AK$505,"○")&gt;0,1,0))</f>
        <v>0</v>
      </c>
      <c r="BW102" s="39" t="n">
        <f aca="false">IF(BW$4=0,0,IF(COUNTIFS(実績!$W$6:$W$505,BW$3,実績!$AI$6:$AI$505,"&lt;="&amp;$A102,実績!$AJ$6:$AJ$505,"&gt;"&amp;$A102,実績!$AK$6:$AK$505,"○")&gt;0,1,0))</f>
        <v>0</v>
      </c>
      <c r="BX102" s="39" t="n">
        <f aca="false">IF(BX$4=0,0,IF(COUNTIFS(実績!$W$6:$W$505,BX$3,実績!$AI$6:$AI$505,"&lt;="&amp;$A102,実績!$AJ$6:$AJ$505,"&gt;"&amp;$A102,実績!$AK$6:$AK$505,"○")&gt;0,1,0))</f>
        <v>0</v>
      </c>
      <c r="BY102" s="39" t="n">
        <f aca="false">IF(BY$4=0,0,IF(COUNTIFS(実績!$W$6:$W$505,BY$3,実績!$AI$6:$AI$505,"&lt;="&amp;$A102,実績!$AJ$6:$AJ$505,"&gt;"&amp;$A102,実績!$AK$6:$AK$505,"○")&gt;0,1,0))</f>
        <v>0</v>
      </c>
      <c r="BZ102" s="39" t="n">
        <f aca="false">IF(BZ$4=0,0,IF(COUNTIFS(実績!$W$6:$W$505,BZ$3,実績!$AI$6:$AI$505,"&lt;="&amp;$A102,実績!$AJ$6:$AJ$505,"&gt;"&amp;$A102,実績!$AK$6:$AK$505,"○")&gt;0,1,0))</f>
        <v>0</v>
      </c>
      <c r="CA102" s="39" t="n">
        <f aca="false">IF(CA$4=0,0,IF(COUNTIFS(実績!$W$6:$W$505,CA$3,実績!$AI$6:$AI$505,"&lt;="&amp;$A102,実績!$AJ$6:$AJ$505,"&gt;"&amp;$A102,実績!$AK$6:$AK$505,"○")&gt;0,1,0))</f>
        <v>0</v>
      </c>
      <c r="CB102" s="39" t="n">
        <f aca="false">IF(CB$4=0,0,IF(COUNTIFS(実績!$W$6:$W$505,CB$3,実績!$AI$6:$AI$505,"&lt;="&amp;$A102,実績!$AJ$6:$AJ$505,"&gt;"&amp;$A102,実績!$AK$6:$AK$505,"○")&gt;0,1,0))</f>
        <v>0</v>
      </c>
      <c r="CC102" s="39" t="n">
        <f aca="false">IF(CC$4=0,0,IF(COUNTIFS(実績!$W$6:$W$505,CC$3,実績!$AI$6:$AI$505,"&lt;="&amp;$A102,実績!$AJ$6:$AJ$505,"&gt;"&amp;$A102,実績!$AK$6:$AK$505,"○")&gt;0,1,0))</f>
        <v>0</v>
      </c>
      <c r="CD102" s="39" t="n">
        <f aca="false">IF(CD$4=0,0,IF(COUNTIFS(実績!$W$6:$W$505,CD$3,実績!$AI$6:$AI$505,"&lt;="&amp;$A102,実績!$AJ$6:$AJ$505,"&gt;"&amp;$A102,実績!$AK$6:$AK$505,"○")&gt;0,1,0))</f>
        <v>0</v>
      </c>
      <c r="CE102" s="39" t="n">
        <f aca="false">IF(CE$4=0,0,IF(COUNTIFS(実績!$W$6:$W$505,CE$3,実績!$AI$6:$AI$505,"&lt;="&amp;$A102,実績!$AJ$6:$AJ$505,"&gt;"&amp;$A102,実績!$AK$6:$AK$505,"○")&gt;0,1,0))</f>
        <v>0</v>
      </c>
      <c r="CF102" s="39" t="n">
        <f aca="false">IF(CF$4=0,0,IF(COUNTIFS(実績!$W$6:$W$505,CF$3,実績!$AI$6:$AI$505,"&lt;="&amp;$A102,実績!$AJ$6:$AJ$505,"&gt;"&amp;$A102,実績!$AK$6:$AK$505,"○")&gt;0,1,0))</f>
        <v>0</v>
      </c>
      <c r="CG102" s="39" t="n">
        <f aca="false">IF(CG$4=0,0,IF(COUNTIFS(実績!$W$6:$W$505,CG$3,実績!$AI$6:$AI$505,"&lt;="&amp;$A102,実績!$AJ$6:$AJ$505,"&gt;"&amp;$A102,実績!$AK$6:$AK$505,"○")&gt;0,1,0))</f>
        <v>0</v>
      </c>
      <c r="CH102" s="39" t="n">
        <f aca="false">IF(CH$4=0,0,IF(COUNTIFS(実績!$W$6:$W$505,CH$3,実績!$AI$6:$AI$505,"&lt;="&amp;$A102,実績!$AJ$6:$AJ$505,"&gt;"&amp;$A102,実績!$AK$6:$AK$505,"○")&gt;0,1,0))</f>
        <v>0</v>
      </c>
      <c r="CI102" s="39" t="n">
        <f aca="false">IF(CI$4=0,0,IF(COUNTIFS(実績!$W$6:$W$505,CI$3,実績!$AI$6:$AI$505,"&lt;="&amp;$A102,実績!$AJ$6:$AJ$505,"&gt;"&amp;$A102,実績!$AK$6:$AK$505,"○")&gt;0,1,0))</f>
        <v>0</v>
      </c>
      <c r="CJ102" s="39" t="n">
        <f aca="false">IF(CJ$4=0,0,IF(COUNTIFS(実績!$W$6:$W$505,CJ$3,実績!$AI$6:$AI$505,"&lt;="&amp;$A102,実績!$AJ$6:$AJ$505,"&gt;"&amp;$A102,実績!$AK$6:$AK$505,"○")&gt;0,1,0))</f>
        <v>0</v>
      </c>
      <c r="CK102" s="39" t="n">
        <f aca="false">IF(CK$4=0,0,IF(COUNTIFS(実績!$W$6:$W$505,CK$3,実績!$AI$6:$AI$505,"&lt;="&amp;$A102,実績!$AJ$6:$AJ$505,"&gt;"&amp;$A102,実績!$AK$6:$AK$505,"○")&gt;0,1,0))</f>
        <v>0</v>
      </c>
      <c r="CL102" s="39" t="n">
        <f aca="false">IF(CL$4=0,0,IF(COUNTIFS(実績!$W$6:$W$505,CL$3,実績!$AI$6:$AI$505,"&lt;="&amp;$A102,実績!$AJ$6:$AJ$505,"&gt;"&amp;$A102,実績!$AK$6:$AK$505,"○")&gt;0,1,0))</f>
        <v>0</v>
      </c>
      <c r="CM102" s="39" t="n">
        <f aca="false">IF(CM$4=0,0,IF(COUNTIFS(実績!$W$6:$W$505,CM$3,実績!$AI$6:$AI$505,"&lt;="&amp;$A102,実績!$AJ$6:$AJ$505,"&gt;"&amp;$A102,実績!$AK$6:$AK$505,"○")&gt;0,1,0))</f>
        <v>0</v>
      </c>
      <c r="CN102" s="39" t="n">
        <f aca="false">IF(CN$4=0,0,IF(COUNTIFS(実績!$W$6:$W$505,CN$3,実績!$AI$6:$AI$505,"&lt;="&amp;$A102,実績!$AJ$6:$AJ$505,"&gt;"&amp;$A102,実績!$AK$6:$AK$505,"○")&gt;0,1,0))</f>
        <v>0</v>
      </c>
      <c r="CO102" s="39" t="n">
        <f aca="false">IF(CO$4=0,0,IF(COUNTIFS(実績!$W$6:$W$505,CO$3,実績!$AI$6:$AI$505,"&lt;="&amp;$A102,実績!$AJ$6:$AJ$505,"&gt;"&amp;$A102,実績!$AK$6:$AK$505,"○")&gt;0,1,0))</f>
        <v>0</v>
      </c>
      <c r="CP102" s="39" t="n">
        <f aca="false">IF(CP$4=0,0,IF(COUNTIFS(実績!$W$6:$W$505,CP$3,実績!$AI$6:$AI$505,"&lt;="&amp;$A102,実績!$AJ$6:$AJ$505,"&gt;"&amp;$A102,実績!$AK$6:$AK$505,"○")&gt;0,1,0))</f>
        <v>0</v>
      </c>
      <c r="CQ102" s="39" t="n">
        <f aca="false">IF(CQ$4=0,0,IF(COUNTIFS(実績!$W$6:$W$505,CQ$3,実績!$AI$6:$AI$505,"&lt;="&amp;$A102,実績!$AJ$6:$AJ$505,"&gt;"&amp;$A102,実績!$AK$6:$AK$505,"○")&gt;0,1,0))</f>
        <v>0</v>
      </c>
      <c r="CR102" s="39" t="n">
        <f aca="false">IF(CR$4=0,0,IF(COUNTIFS(実績!$W$6:$W$505,CR$3,実績!$AI$6:$AI$505,"&lt;="&amp;$A102,実績!$AJ$6:$AJ$505,"&gt;"&amp;$A102,実績!$AK$6:$AK$505,"○")&gt;0,1,0))</f>
        <v>0</v>
      </c>
      <c r="CS102" s="39" t="n">
        <f aca="false">IF(CS$4=0,0,IF(COUNTIFS(実績!$W$6:$W$505,CS$3,実績!$AI$6:$AI$505,"&lt;="&amp;$A102,実績!$AJ$6:$AJ$505,"&gt;"&amp;$A102,実績!$AK$6:$AK$505,"○")&gt;0,1,0))</f>
        <v>0</v>
      </c>
      <c r="CT102" s="39" t="n">
        <f aca="false">IF(CT$4=0,0,IF(COUNTIFS(実績!$W$6:$W$505,CT$3,実績!$AI$6:$AI$505,"&lt;="&amp;$A102,実績!$AJ$6:$AJ$505,"&gt;"&amp;$A102,実績!$AK$6:$AK$505,"○")&gt;0,1,0))</f>
        <v>0</v>
      </c>
      <c r="CU102" s="39" t="n">
        <f aca="false">IF(CU$4=0,0,IF(COUNTIFS(実績!$W$6:$W$505,CU$3,実績!$AI$6:$AI$505,"&lt;="&amp;$A102,実績!$AJ$6:$AJ$505,"&gt;"&amp;$A102,実績!$AK$6:$AK$505,"○")&gt;0,1,0))</f>
        <v>0</v>
      </c>
      <c r="CV102" s="39" t="n">
        <f aca="false">IF(CV$4=0,0,IF(COUNTIFS(実績!$W$6:$W$505,CV$3,実績!$AI$6:$AI$505,"&lt;="&amp;$A102,実績!$AJ$6:$AJ$505,"&gt;"&amp;$A102,実績!$AK$6:$AK$505,"○")&gt;0,1,0))</f>
        <v>0</v>
      </c>
      <c r="CW102" s="39" t="n">
        <f aca="false">IF(CW$4=0,0,IF(COUNTIFS(実績!$W$6:$W$505,CW$3,実績!$AI$6:$AI$505,"&lt;="&amp;$A102,実績!$AJ$6:$AJ$505,"&gt;"&amp;$A102,実績!$AK$6:$AK$505,"○")&gt;0,1,0))</f>
        <v>0</v>
      </c>
      <c r="CX102" s="39" t="n">
        <f aca="false">IF(CX$4=0,0,IF(COUNTIFS(実績!$W$6:$W$505,CX$3,実績!$AI$6:$AI$505,"&lt;="&amp;$A102,実績!$AJ$6:$AJ$505,"&gt;"&amp;$A102,実績!$AK$6:$AK$505,"○")&gt;0,1,0))</f>
        <v>0</v>
      </c>
      <c r="CY102" s="39" t="n">
        <f aca="false">IF(CY$4=0,0,IF(COUNTIFS(実績!$W$6:$W$505,CY$3,実績!$AI$6:$AI$505,"&lt;="&amp;$A102,実績!$AJ$6:$AJ$505,"&gt;"&amp;$A102,実績!$AK$6:$AK$505,"○")&gt;0,1,0))</f>
        <v>0</v>
      </c>
      <c r="CZ102" s="39" t="n">
        <f aca="false">IF(CZ$4=0,0,IF(COUNTIFS(実績!$W$6:$W$505,CZ$3,実績!$AI$6:$AI$505,"&lt;="&amp;$A102,実績!$AJ$6:$AJ$505,"&gt;"&amp;$A102,実績!$AK$6:$AK$505,"○")&gt;0,1,0))</f>
        <v>0</v>
      </c>
      <c r="DA102" s="39" t="n">
        <f aca="false">IF(DA$4=0,0,IF(COUNTIFS(実績!$W$6:$W$505,DA$3,実績!$AI$6:$AI$505,"&lt;="&amp;$A102,実績!$AJ$6:$AJ$505,"&gt;"&amp;$A102,実績!$AK$6:$AK$505,"○")&gt;0,1,0))</f>
        <v>0</v>
      </c>
      <c r="DB102" s="39" t="n">
        <f aca="false">IF(DB$4=0,0,IF(COUNTIFS(実績!$W$6:$W$505,DB$3,実績!$AI$6:$AI$505,"&lt;="&amp;$A102,実績!$AJ$6:$AJ$505,"&gt;"&amp;$A102,実績!$AK$6:$AK$505,"○")&gt;0,1,0))</f>
        <v>0</v>
      </c>
      <c r="DC102" s="39" t="n">
        <f aca="false">IF(DC$4=0,0,IF(COUNTIFS(実績!$W$6:$W$505,DC$3,実績!$AI$6:$AI$505,"&lt;="&amp;$A102,実績!$AJ$6:$AJ$505,"&gt;"&amp;$A102,実績!$AK$6:$AK$505,"○")&gt;0,1,0))</f>
        <v>0</v>
      </c>
      <c r="DD102" s="39" t="n">
        <f aca="false">IF(DD$4=0,0,IF(COUNTIFS(実績!$W$6:$W$505,DD$3,実績!$AI$6:$AI$505,"&lt;="&amp;$A102,実績!$AJ$6:$AJ$505,"&gt;"&amp;$A102,実績!$AK$6:$AK$505,"○")&gt;0,1,0))</f>
        <v>0</v>
      </c>
      <c r="DE102" s="39" t="n">
        <f aca="false">IF(DE$4=0,0,IF(COUNTIFS(実績!$W$6:$W$505,DE$3,実績!$AI$6:$AI$505,"&lt;="&amp;$A102,実績!$AJ$6:$AJ$505,"&gt;"&amp;$A102,実績!$AK$6:$AK$505,"○")&gt;0,1,0))</f>
        <v>0</v>
      </c>
      <c r="DF102" s="39" t="n">
        <f aca="false">IF(DF$4=0,0,IF(COUNTIFS(実績!$W$6:$W$505,DF$3,実績!$AI$6:$AI$505,"&lt;="&amp;$A102,実績!$AJ$6:$AJ$505,"&gt;"&amp;$A102,実績!$AK$6:$AK$505,"○")&gt;0,1,0))</f>
        <v>0</v>
      </c>
      <c r="DG102" s="39" t="n">
        <f aca="false">IF(DG$4=0,0,IF(COUNTIFS(実績!$W$6:$W$505,DG$3,実績!$AI$6:$AI$505,"&lt;="&amp;$A102,実績!$AJ$6:$AJ$505,"&gt;"&amp;$A102,実績!$AK$6:$AK$505,"○")&gt;0,1,0))</f>
        <v>0</v>
      </c>
      <c r="DH102" s="39" t="n">
        <f aca="false">IF(DH$4=0,0,IF(COUNTIFS(実績!$W$6:$W$505,DH$3,実績!$AI$6:$AI$505,"&lt;="&amp;$A102,実績!$AJ$6:$AJ$505,"&gt;"&amp;$A102,実績!$AK$6:$AK$505,"○")&gt;0,1,0))</f>
        <v>0</v>
      </c>
      <c r="DI102" s="39" t="n">
        <f aca="false">IF(DI$4=0,0,IF(COUNTIFS(実績!$W$6:$W$505,DI$3,実績!$AI$6:$AI$505,"&lt;="&amp;$A102,実績!$AJ$6:$AJ$505,"&gt;"&amp;$A102,実績!$AK$6:$AK$505,"○")&gt;0,1,0))</f>
        <v>0</v>
      </c>
      <c r="DJ102" s="39" t="n">
        <f aca="false">IF(DJ$4=0,0,IF(COUNTIFS(実績!$W$6:$W$505,DJ$3,実績!$AI$6:$AI$505,"&lt;="&amp;$A102,実績!$AJ$6:$AJ$505,"&gt;"&amp;$A102,実績!$AK$6:$AK$505,"○")&gt;0,1,0))</f>
        <v>0</v>
      </c>
      <c r="DK102" s="39" t="n">
        <f aca="false">IF(DK$4=0,0,IF(COUNTIFS(実績!$W$6:$W$505,DK$3,実績!$AI$6:$AI$505,"&lt;="&amp;$A102,実績!$AJ$6:$AJ$505,"&gt;"&amp;$A102,実績!$AK$6:$AK$505,"○")&gt;0,1,0))</f>
        <v>0</v>
      </c>
      <c r="DL102" s="39" t="n">
        <f aca="false">IF(DL$4=0,0,IF(COUNTIFS(実績!$W$6:$W$505,DL$3,実績!$AI$6:$AI$505,"&lt;="&amp;$A102,実績!$AJ$6:$AJ$505,"&gt;"&amp;$A102,実績!$AK$6:$AK$505,"○")&gt;0,1,0))</f>
        <v>0</v>
      </c>
      <c r="DM102" s="39" t="n">
        <f aca="false">IF(DM$4=0,0,IF(COUNTIFS(実績!$W$6:$W$505,DM$3,実績!$AI$6:$AI$505,"&lt;="&amp;$A102,実績!$AJ$6:$AJ$505,"&gt;"&amp;$A102,実績!$AK$6:$AK$505,"○")&gt;0,1,0))</f>
        <v>0</v>
      </c>
      <c r="DN102" s="39" t="n">
        <f aca="false">IF(DN$4=0,0,IF(COUNTIFS(実績!$W$6:$W$505,DN$3,実績!$AI$6:$AI$505,"&lt;="&amp;$A102,実績!$AJ$6:$AJ$505,"&gt;"&amp;$A102,実績!$AK$6:$AK$505,"○")&gt;0,1,0))</f>
        <v>0</v>
      </c>
      <c r="DO102" s="39" t="n">
        <f aca="false">IF(DO$4=0,0,IF(COUNTIFS(実績!$W$6:$W$505,DO$3,実績!$AI$6:$AI$505,"&lt;="&amp;$A102,実績!$AJ$6:$AJ$505,"&gt;"&amp;$A102,実績!$AK$6:$AK$505,"○")&gt;0,1,0))</f>
        <v>0</v>
      </c>
      <c r="DP102" s="39" t="n">
        <f aca="false">IF(DP$4=0,0,IF(COUNTIFS(実績!$W$6:$W$505,DP$3,実績!$AI$6:$AI$505,"&lt;="&amp;$A102,実績!$AJ$6:$AJ$505,"&gt;"&amp;$A102,実績!$AK$6:$AK$505,"○")&gt;0,1,0))</f>
        <v>0</v>
      </c>
      <c r="DQ102" s="39" t="n">
        <f aca="false">IF(DQ$4=0,0,IF(COUNTIFS(実績!$W$6:$W$505,DQ$3,実績!$AI$6:$AI$505,"&lt;="&amp;$A102,実績!$AJ$6:$AJ$505,"&gt;"&amp;$A102,実績!$AK$6:$AK$505,"○")&gt;0,1,0))</f>
        <v>0</v>
      </c>
      <c r="DR102" s="39" t="n">
        <f aca="false">IF(DR$4=0,0,IF(COUNTIFS(実績!$W$6:$W$505,DR$3,実績!$AI$6:$AI$505,"&lt;="&amp;$A102,実績!$AJ$6:$AJ$505,"&gt;"&amp;$A102,実績!$AK$6:$AK$505,"○")&gt;0,1,0))</f>
        <v>0</v>
      </c>
      <c r="DS102" s="39" t="n">
        <f aca="false">SUM(C102:DR102)</f>
        <v>0</v>
      </c>
      <c r="DT102" s="39" t="n">
        <f aca="false">SUMPRODUCT((実績!$C$6:$C$505="○")*ISNUMBER(実績!$AM$6:$AM$505)*(実績!$AM$6:$AM$505&lt;=$A102)*(実績!$AN$6:$AN$505&gt;$A102))</f>
        <v>0</v>
      </c>
      <c r="DU102" s="39" t="n">
        <f aca="false">SUMIF($C$2:$DR$2,"製鉄曳船",C102:DR102)</f>
        <v>0</v>
      </c>
      <c r="DV102" s="39" t="n">
        <f aca="false">SUMIF($C$2:$DR$2,"西日本海運",C102:DR102)</f>
        <v>0</v>
      </c>
    </row>
    <row r="103" customFormat="false" ht="15" hidden="false" customHeight="false" outlineLevel="0" collapsed="false">
      <c r="A103" s="0" t="n">
        <v>485</v>
      </c>
      <c r="B103" s="38" t="n">
        <f aca="false">A103/1440</f>
        <v>0.336805555555556</v>
      </c>
      <c r="C103" s="39" t="n">
        <f aca="false">IF(C$4=0,0,IF(COUNTIFS(実績!$W$6:$W$505,C$3,実績!$AI$6:$AI$505,"&lt;="&amp;$A103,実績!$AJ$6:$AJ$505,"&gt;"&amp;$A103,実績!$AK$6:$AK$505,"○")&gt;0,1,0))</f>
        <v>0</v>
      </c>
      <c r="D103" s="39" t="n">
        <f aca="false">IF(D$4=0,0,IF(COUNTIFS(実績!$W$6:$W$505,D$3,実績!$AI$6:$AI$505,"&lt;="&amp;$A103,実績!$AJ$6:$AJ$505,"&gt;"&amp;$A103,実績!$AK$6:$AK$505,"○")&gt;0,1,0))</f>
        <v>0</v>
      </c>
      <c r="E103" s="39" t="n">
        <f aca="false">IF(E$4=0,0,IF(COUNTIFS(実績!$W$6:$W$505,E$3,実績!$AI$6:$AI$505,"&lt;="&amp;$A103,実績!$AJ$6:$AJ$505,"&gt;"&amp;$A103,実績!$AK$6:$AK$505,"○")&gt;0,1,0))</f>
        <v>0</v>
      </c>
      <c r="F103" s="39" t="n">
        <f aca="false">IF(F$4=0,0,IF(COUNTIFS(実績!$W$6:$W$505,F$3,実績!$AI$6:$AI$505,"&lt;="&amp;$A103,実績!$AJ$6:$AJ$505,"&gt;"&amp;$A103,実績!$AK$6:$AK$505,"○")&gt;0,1,0))</f>
        <v>0</v>
      </c>
      <c r="G103" s="39" t="n">
        <f aca="false">IF(G$4=0,0,IF(COUNTIFS(実績!$W$6:$W$505,G$3,実績!$AI$6:$AI$505,"&lt;="&amp;$A103,実績!$AJ$6:$AJ$505,"&gt;"&amp;$A103,実績!$AK$6:$AK$505,"○")&gt;0,1,0))</f>
        <v>0</v>
      </c>
      <c r="H103" s="39" t="n">
        <f aca="false">IF(H$4=0,0,IF(COUNTIFS(実績!$W$6:$W$505,H$3,実績!$AI$6:$AI$505,"&lt;="&amp;$A103,実績!$AJ$6:$AJ$505,"&gt;"&amp;$A103,実績!$AK$6:$AK$505,"○")&gt;0,1,0))</f>
        <v>0</v>
      </c>
      <c r="I103" s="39" t="n">
        <f aca="false">IF(I$4=0,0,IF(COUNTIFS(実績!$W$6:$W$505,I$3,実績!$AI$6:$AI$505,"&lt;="&amp;$A103,実績!$AJ$6:$AJ$505,"&gt;"&amp;$A103,実績!$AK$6:$AK$505,"○")&gt;0,1,0))</f>
        <v>0</v>
      </c>
      <c r="J103" s="39" t="n">
        <f aca="false">IF(J$4=0,0,IF(COUNTIFS(実績!$W$6:$W$505,J$3,実績!$AI$6:$AI$505,"&lt;="&amp;$A103,実績!$AJ$6:$AJ$505,"&gt;"&amp;$A103,実績!$AK$6:$AK$505,"○")&gt;0,1,0))</f>
        <v>0</v>
      </c>
      <c r="K103" s="39" t="n">
        <f aca="false">IF(K$4=0,0,IF(COUNTIFS(実績!$W$6:$W$505,K$3,実績!$AI$6:$AI$505,"&lt;="&amp;$A103,実績!$AJ$6:$AJ$505,"&gt;"&amp;$A103,実績!$AK$6:$AK$505,"○")&gt;0,1,0))</f>
        <v>0</v>
      </c>
      <c r="L103" s="39" t="n">
        <f aca="false">IF(L$4=0,0,IF(COUNTIFS(実績!$W$6:$W$505,L$3,実績!$AI$6:$AI$505,"&lt;="&amp;$A103,実績!$AJ$6:$AJ$505,"&gt;"&amp;$A103,実績!$AK$6:$AK$505,"○")&gt;0,1,0))</f>
        <v>0</v>
      </c>
      <c r="M103" s="39" t="n">
        <f aca="false">IF(M$4=0,0,IF(COUNTIFS(実績!$W$6:$W$505,M$3,実績!$AI$6:$AI$505,"&lt;="&amp;$A103,実績!$AJ$6:$AJ$505,"&gt;"&amp;$A103,実績!$AK$6:$AK$505,"○")&gt;0,1,0))</f>
        <v>0</v>
      </c>
      <c r="N103" s="39" t="n">
        <f aca="false">IF(N$4=0,0,IF(COUNTIFS(実績!$W$6:$W$505,N$3,実績!$AI$6:$AI$505,"&lt;="&amp;$A103,実績!$AJ$6:$AJ$505,"&gt;"&amp;$A103,実績!$AK$6:$AK$505,"○")&gt;0,1,0))</f>
        <v>0</v>
      </c>
      <c r="O103" s="39" t="n">
        <f aca="false">IF(O$4=0,0,IF(COUNTIFS(実績!$W$6:$W$505,O$3,実績!$AI$6:$AI$505,"&lt;="&amp;$A103,実績!$AJ$6:$AJ$505,"&gt;"&amp;$A103,実績!$AK$6:$AK$505,"○")&gt;0,1,0))</f>
        <v>0</v>
      </c>
      <c r="P103" s="39" t="n">
        <f aca="false">IF(P$4=0,0,IF(COUNTIFS(実績!$W$6:$W$505,P$3,実績!$AI$6:$AI$505,"&lt;="&amp;$A103,実績!$AJ$6:$AJ$505,"&gt;"&amp;$A103,実績!$AK$6:$AK$505,"○")&gt;0,1,0))</f>
        <v>0</v>
      </c>
      <c r="Q103" s="39" t="n">
        <f aca="false">IF(Q$4=0,0,IF(COUNTIFS(実績!$W$6:$W$505,Q$3,実績!$AI$6:$AI$505,"&lt;="&amp;$A103,実績!$AJ$6:$AJ$505,"&gt;"&amp;$A103,実績!$AK$6:$AK$505,"○")&gt;0,1,0))</f>
        <v>0</v>
      </c>
      <c r="R103" s="39" t="n">
        <f aca="false">IF(R$4=0,0,IF(COUNTIFS(実績!$W$6:$W$505,R$3,実績!$AI$6:$AI$505,"&lt;="&amp;$A103,実績!$AJ$6:$AJ$505,"&gt;"&amp;$A103,実績!$AK$6:$AK$505,"○")&gt;0,1,0))</f>
        <v>0</v>
      </c>
      <c r="S103" s="39" t="n">
        <f aca="false">IF(S$4=0,0,IF(COUNTIFS(実績!$W$6:$W$505,S$3,実績!$AI$6:$AI$505,"&lt;="&amp;$A103,実績!$AJ$6:$AJ$505,"&gt;"&amp;$A103,実績!$AK$6:$AK$505,"○")&gt;0,1,0))</f>
        <v>0</v>
      </c>
      <c r="T103" s="39" t="n">
        <f aca="false">IF(T$4=0,0,IF(COUNTIFS(実績!$W$6:$W$505,T$3,実績!$AI$6:$AI$505,"&lt;="&amp;$A103,実績!$AJ$6:$AJ$505,"&gt;"&amp;$A103,実績!$AK$6:$AK$505,"○")&gt;0,1,0))</f>
        <v>0</v>
      </c>
      <c r="U103" s="39" t="n">
        <f aca="false">IF(U$4=0,0,IF(COUNTIFS(実績!$W$6:$W$505,U$3,実績!$AI$6:$AI$505,"&lt;="&amp;$A103,実績!$AJ$6:$AJ$505,"&gt;"&amp;$A103,実績!$AK$6:$AK$505,"○")&gt;0,1,0))</f>
        <v>0</v>
      </c>
      <c r="V103" s="39" t="n">
        <f aca="false">IF(V$4=0,0,IF(COUNTIFS(実績!$W$6:$W$505,V$3,実績!$AI$6:$AI$505,"&lt;="&amp;$A103,実績!$AJ$6:$AJ$505,"&gt;"&amp;$A103,実績!$AK$6:$AK$505,"○")&gt;0,1,0))</f>
        <v>0</v>
      </c>
      <c r="W103" s="39" t="n">
        <f aca="false">IF(W$4=0,0,IF(COUNTIFS(実績!$W$6:$W$505,W$3,実績!$AI$6:$AI$505,"&lt;="&amp;$A103,実績!$AJ$6:$AJ$505,"&gt;"&amp;$A103,実績!$AK$6:$AK$505,"○")&gt;0,1,0))</f>
        <v>0</v>
      </c>
      <c r="X103" s="39" t="n">
        <f aca="false">IF(X$4=0,0,IF(COUNTIFS(実績!$W$6:$W$505,X$3,実績!$AI$6:$AI$505,"&lt;="&amp;$A103,実績!$AJ$6:$AJ$505,"&gt;"&amp;$A103,実績!$AK$6:$AK$505,"○")&gt;0,1,0))</f>
        <v>0</v>
      </c>
      <c r="Y103" s="39" t="n">
        <f aca="false">IF(Y$4=0,0,IF(COUNTIFS(実績!$W$6:$W$505,Y$3,実績!$AI$6:$AI$505,"&lt;="&amp;$A103,実績!$AJ$6:$AJ$505,"&gt;"&amp;$A103,実績!$AK$6:$AK$505,"○")&gt;0,1,0))</f>
        <v>0</v>
      </c>
      <c r="Z103" s="39" t="n">
        <f aca="false">IF(Z$4=0,0,IF(COUNTIFS(実績!$W$6:$W$505,Z$3,実績!$AI$6:$AI$505,"&lt;="&amp;$A103,実績!$AJ$6:$AJ$505,"&gt;"&amp;$A103,実績!$AK$6:$AK$505,"○")&gt;0,1,0))</f>
        <v>0</v>
      </c>
      <c r="AA103" s="39" t="n">
        <f aca="false">IF(AA$4=0,0,IF(COUNTIFS(実績!$W$6:$W$505,AA$3,実績!$AI$6:$AI$505,"&lt;="&amp;$A103,実績!$AJ$6:$AJ$505,"&gt;"&amp;$A103,実績!$AK$6:$AK$505,"○")&gt;0,1,0))</f>
        <v>0</v>
      </c>
      <c r="AB103" s="39" t="n">
        <f aca="false">IF(AB$4=0,0,IF(COUNTIFS(実績!$W$6:$W$505,AB$3,実績!$AI$6:$AI$505,"&lt;="&amp;$A103,実績!$AJ$6:$AJ$505,"&gt;"&amp;$A103,実績!$AK$6:$AK$505,"○")&gt;0,1,0))</f>
        <v>0</v>
      </c>
      <c r="AC103" s="39" t="n">
        <f aca="false">IF(AC$4=0,0,IF(COUNTIFS(実績!$W$6:$W$505,AC$3,実績!$AI$6:$AI$505,"&lt;="&amp;$A103,実績!$AJ$6:$AJ$505,"&gt;"&amp;$A103,実績!$AK$6:$AK$505,"○")&gt;0,1,0))</f>
        <v>0</v>
      </c>
      <c r="AD103" s="39" t="n">
        <f aca="false">IF(AD$4=0,0,IF(COUNTIFS(実績!$W$6:$W$505,AD$3,実績!$AI$6:$AI$505,"&lt;="&amp;$A103,実績!$AJ$6:$AJ$505,"&gt;"&amp;$A103,実績!$AK$6:$AK$505,"○")&gt;0,1,0))</f>
        <v>0</v>
      </c>
      <c r="AE103" s="39" t="n">
        <f aca="false">IF(AE$4=0,0,IF(COUNTIFS(実績!$W$6:$W$505,AE$3,実績!$AI$6:$AI$505,"&lt;="&amp;$A103,実績!$AJ$6:$AJ$505,"&gt;"&amp;$A103,実績!$AK$6:$AK$505,"○")&gt;0,1,0))</f>
        <v>0</v>
      </c>
      <c r="AF103" s="39" t="n">
        <f aca="false">IF(AF$4=0,0,IF(COUNTIFS(実績!$W$6:$W$505,AF$3,実績!$AI$6:$AI$505,"&lt;="&amp;$A103,実績!$AJ$6:$AJ$505,"&gt;"&amp;$A103,実績!$AK$6:$AK$505,"○")&gt;0,1,0))</f>
        <v>0</v>
      </c>
      <c r="AG103" s="39" t="n">
        <f aca="false">IF(AG$4=0,0,IF(COUNTIFS(実績!$W$6:$W$505,AG$3,実績!$AI$6:$AI$505,"&lt;="&amp;$A103,実績!$AJ$6:$AJ$505,"&gt;"&amp;$A103,実績!$AK$6:$AK$505,"○")&gt;0,1,0))</f>
        <v>0</v>
      </c>
      <c r="AH103" s="39" t="n">
        <f aca="false">IF(AH$4=0,0,IF(COUNTIFS(実績!$W$6:$W$505,AH$3,実績!$AI$6:$AI$505,"&lt;="&amp;$A103,実績!$AJ$6:$AJ$505,"&gt;"&amp;$A103,実績!$AK$6:$AK$505,"○")&gt;0,1,0))</f>
        <v>0</v>
      </c>
      <c r="AI103" s="39" t="n">
        <f aca="false">IF(AI$4=0,0,IF(COUNTIFS(実績!$W$6:$W$505,AI$3,実績!$AI$6:$AI$505,"&lt;="&amp;$A103,実績!$AJ$6:$AJ$505,"&gt;"&amp;$A103,実績!$AK$6:$AK$505,"○")&gt;0,1,0))</f>
        <v>0</v>
      </c>
      <c r="AJ103" s="39" t="n">
        <f aca="false">IF(AJ$4=0,0,IF(COUNTIFS(実績!$W$6:$W$505,AJ$3,実績!$AI$6:$AI$505,"&lt;="&amp;$A103,実績!$AJ$6:$AJ$505,"&gt;"&amp;$A103,実績!$AK$6:$AK$505,"○")&gt;0,1,0))</f>
        <v>0</v>
      </c>
      <c r="AK103" s="39" t="n">
        <f aca="false">IF(AK$4=0,0,IF(COUNTIFS(実績!$W$6:$W$505,AK$3,実績!$AI$6:$AI$505,"&lt;="&amp;$A103,実績!$AJ$6:$AJ$505,"&gt;"&amp;$A103,実績!$AK$6:$AK$505,"○")&gt;0,1,0))</f>
        <v>0</v>
      </c>
      <c r="AL103" s="39" t="n">
        <f aca="false">IF(AL$4=0,0,IF(COUNTIFS(実績!$W$6:$W$505,AL$3,実績!$AI$6:$AI$505,"&lt;="&amp;$A103,実績!$AJ$6:$AJ$505,"&gt;"&amp;$A103,実績!$AK$6:$AK$505,"○")&gt;0,1,0))</f>
        <v>0</v>
      </c>
      <c r="AM103" s="39" t="n">
        <f aca="false">IF(AM$4=0,0,IF(COUNTIFS(実績!$W$6:$W$505,AM$3,実績!$AI$6:$AI$505,"&lt;="&amp;$A103,実績!$AJ$6:$AJ$505,"&gt;"&amp;$A103,実績!$AK$6:$AK$505,"○")&gt;0,1,0))</f>
        <v>0</v>
      </c>
      <c r="AN103" s="39" t="n">
        <f aca="false">IF(AN$4=0,0,IF(COUNTIFS(実績!$W$6:$W$505,AN$3,実績!$AI$6:$AI$505,"&lt;="&amp;$A103,実績!$AJ$6:$AJ$505,"&gt;"&amp;$A103,実績!$AK$6:$AK$505,"○")&gt;0,1,0))</f>
        <v>0</v>
      </c>
      <c r="AO103" s="39" t="n">
        <f aca="false">IF(AO$4=0,0,IF(COUNTIFS(実績!$W$6:$W$505,AO$3,実績!$AI$6:$AI$505,"&lt;="&amp;$A103,実績!$AJ$6:$AJ$505,"&gt;"&amp;$A103,実績!$AK$6:$AK$505,"○")&gt;0,1,0))</f>
        <v>0</v>
      </c>
      <c r="AP103" s="39" t="n">
        <f aca="false">IF(AP$4=0,0,IF(COUNTIFS(実績!$W$6:$W$505,AP$3,実績!$AI$6:$AI$505,"&lt;="&amp;$A103,実績!$AJ$6:$AJ$505,"&gt;"&amp;$A103,実績!$AK$6:$AK$505,"○")&gt;0,1,0))</f>
        <v>0</v>
      </c>
      <c r="AQ103" s="39" t="n">
        <f aca="false">IF(AQ$4=0,0,IF(COUNTIFS(実績!$W$6:$W$505,AQ$3,実績!$AI$6:$AI$505,"&lt;="&amp;$A103,実績!$AJ$6:$AJ$505,"&gt;"&amp;$A103,実績!$AK$6:$AK$505,"○")&gt;0,1,0))</f>
        <v>0</v>
      </c>
      <c r="AR103" s="39" t="n">
        <f aca="false">IF(AR$4=0,0,IF(COUNTIFS(実績!$W$6:$W$505,AR$3,実績!$AI$6:$AI$505,"&lt;="&amp;$A103,実績!$AJ$6:$AJ$505,"&gt;"&amp;$A103,実績!$AK$6:$AK$505,"○")&gt;0,1,0))</f>
        <v>0</v>
      </c>
      <c r="AS103" s="39" t="n">
        <f aca="false">IF(AS$4=0,0,IF(COUNTIFS(実績!$W$6:$W$505,AS$3,実績!$AI$6:$AI$505,"&lt;="&amp;$A103,実績!$AJ$6:$AJ$505,"&gt;"&amp;$A103,実績!$AK$6:$AK$505,"○")&gt;0,1,0))</f>
        <v>0</v>
      </c>
      <c r="AT103" s="39" t="n">
        <f aca="false">IF(AT$4=0,0,IF(COUNTIFS(実績!$W$6:$W$505,AT$3,実績!$AI$6:$AI$505,"&lt;="&amp;$A103,実績!$AJ$6:$AJ$505,"&gt;"&amp;$A103,実績!$AK$6:$AK$505,"○")&gt;0,1,0))</f>
        <v>0</v>
      </c>
      <c r="AU103" s="39" t="n">
        <f aca="false">IF(AU$4=0,0,IF(COUNTIFS(実績!$W$6:$W$505,AU$3,実績!$AI$6:$AI$505,"&lt;="&amp;$A103,実績!$AJ$6:$AJ$505,"&gt;"&amp;$A103,実績!$AK$6:$AK$505,"○")&gt;0,1,0))</f>
        <v>0</v>
      </c>
      <c r="AV103" s="39" t="n">
        <f aca="false">IF(AV$4=0,0,IF(COUNTIFS(実績!$W$6:$W$505,AV$3,実績!$AI$6:$AI$505,"&lt;="&amp;$A103,実績!$AJ$6:$AJ$505,"&gt;"&amp;$A103,実績!$AK$6:$AK$505,"○")&gt;0,1,0))</f>
        <v>0</v>
      </c>
      <c r="AW103" s="39" t="n">
        <f aca="false">IF(AW$4=0,0,IF(COUNTIFS(実績!$W$6:$W$505,AW$3,実績!$AI$6:$AI$505,"&lt;="&amp;$A103,実績!$AJ$6:$AJ$505,"&gt;"&amp;$A103,実績!$AK$6:$AK$505,"○")&gt;0,1,0))</f>
        <v>0</v>
      </c>
      <c r="AX103" s="39" t="n">
        <f aca="false">IF(AX$4=0,0,IF(COUNTIFS(実績!$W$6:$W$505,AX$3,実績!$AI$6:$AI$505,"&lt;="&amp;$A103,実績!$AJ$6:$AJ$505,"&gt;"&amp;$A103,実績!$AK$6:$AK$505,"○")&gt;0,1,0))</f>
        <v>0</v>
      </c>
      <c r="AY103" s="39" t="n">
        <f aca="false">IF(AY$4=0,0,IF(COUNTIFS(実績!$W$6:$W$505,AY$3,実績!$AI$6:$AI$505,"&lt;="&amp;$A103,実績!$AJ$6:$AJ$505,"&gt;"&amp;$A103,実績!$AK$6:$AK$505,"○")&gt;0,1,0))</f>
        <v>0</v>
      </c>
      <c r="AZ103" s="39" t="n">
        <f aca="false">IF(AZ$4=0,0,IF(COUNTIFS(実績!$W$6:$W$505,AZ$3,実績!$AI$6:$AI$505,"&lt;="&amp;$A103,実績!$AJ$6:$AJ$505,"&gt;"&amp;$A103,実績!$AK$6:$AK$505,"○")&gt;0,1,0))</f>
        <v>0</v>
      </c>
      <c r="BA103" s="39" t="n">
        <f aca="false">IF(BA$4=0,0,IF(COUNTIFS(実績!$W$6:$W$505,BA$3,実績!$AI$6:$AI$505,"&lt;="&amp;$A103,実績!$AJ$6:$AJ$505,"&gt;"&amp;$A103,実績!$AK$6:$AK$505,"○")&gt;0,1,0))</f>
        <v>0</v>
      </c>
      <c r="BB103" s="39" t="n">
        <f aca="false">IF(BB$4=0,0,IF(COUNTIFS(実績!$W$6:$W$505,BB$3,実績!$AI$6:$AI$505,"&lt;="&amp;$A103,実績!$AJ$6:$AJ$505,"&gt;"&amp;$A103,実績!$AK$6:$AK$505,"○")&gt;0,1,0))</f>
        <v>0</v>
      </c>
      <c r="BC103" s="39" t="n">
        <f aca="false">IF(BC$4=0,0,IF(COUNTIFS(実績!$W$6:$W$505,BC$3,実績!$AI$6:$AI$505,"&lt;="&amp;$A103,実績!$AJ$6:$AJ$505,"&gt;"&amp;$A103,実績!$AK$6:$AK$505,"○")&gt;0,1,0))</f>
        <v>0</v>
      </c>
      <c r="BD103" s="39" t="n">
        <f aca="false">IF(BD$4=0,0,IF(COUNTIFS(実績!$W$6:$W$505,BD$3,実績!$AI$6:$AI$505,"&lt;="&amp;$A103,実績!$AJ$6:$AJ$505,"&gt;"&amp;$A103,実績!$AK$6:$AK$505,"○")&gt;0,1,0))</f>
        <v>0</v>
      </c>
      <c r="BE103" s="39" t="n">
        <f aca="false">IF(BE$4=0,0,IF(COUNTIFS(実績!$W$6:$W$505,BE$3,実績!$AI$6:$AI$505,"&lt;="&amp;$A103,実績!$AJ$6:$AJ$505,"&gt;"&amp;$A103,実績!$AK$6:$AK$505,"○")&gt;0,1,0))</f>
        <v>0</v>
      </c>
      <c r="BF103" s="39" t="n">
        <f aca="false">IF(BF$4=0,0,IF(COUNTIFS(実績!$W$6:$W$505,BF$3,実績!$AI$6:$AI$505,"&lt;="&amp;$A103,実績!$AJ$6:$AJ$505,"&gt;"&amp;$A103,実績!$AK$6:$AK$505,"○")&gt;0,1,0))</f>
        <v>0</v>
      </c>
      <c r="BG103" s="39" t="n">
        <f aca="false">IF(BG$4=0,0,IF(COUNTIFS(実績!$W$6:$W$505,BG$3,実績!$AI$6:$AI$505,"&lt;="&amp;$A103,実績!$AJ$6:$AJ$505,"&gt;"&amp;$A103,実績!$AK$6:$AK$505,"○")&gt;0,1,0))</f>
        <v>0</v>
      </c>
      <c r="BH103" s="39" t="n">
        <f aca="false">IF(BH$4=0,0,IF(COUNTIFS(実績!$W$6:$W$505,BH$3,実績!$AI$6:$AI$505,"&lt;="&amp;$A103,実績!$AJ$6:$AJ$505,"&gt;"&amp;$A103,実績!$AK$6:$AK$505,"○")&gt;0,1,0))</f>
        <v>0</v>
      </c>
      <c r="BI103" s="39" t="n">
        <f aca="false">IF(BI$4=0,0,IF(COUNTIFS(実績!$W$6:$W$505,BI$3,実績!$AI$6:$AI$505,"&lt;="&amp;$A103,実績!$AJ$6:$AJ$505,"&gt;"&amp;$A103,実績!$AK$6:$AK$505,"○")&gt;0,1,0))</f>
        <v>0</v>
      </c>
      <c r="BJ103" s="39" t="n">
        <f aca="false">IF(BJ$4=0,0,IF(COUNTIFS(実績!$W$6:$W$505,BJ$3,実績!$AI$6:$AI$505,"&lt;="&amp;$A103,実績!$AJ$6:$AJ$505,"&gt;"&amp;$A103,実績!$AK$6:$AK$505,"○")&gt;0,1,0))</f>
        <v>0</v>
      </c>
      <c r="BK103" s="39" t="n">
        <f aca="false">IF(BK$4=0,0,IF(COUNTIFS(実績!$W$6:$W$505,BK$3,実績!$AI$6:$AI$505,"&lt;="&amp;$A103,実績!$AJ$6:$AJ$505,"&gt;"&amp;$A103,実績!$AK$6:$AK$505,"○")&gt;0,1,0))</f>
        <v>0</v>
      </c>
      <c r="BL103" s="39" t="n">
        <f aca="false">IF(BL$4=0,0,IF(COUNTIFS(実績!$W$6:$W$505,BL$3,実績!$AI$6:$AI$505,"&lt;="&amp;$A103,実績!$AJ$6:$AJ$505,"&gt;"&amp;$A103,実績!$AK$6:$AK$505,"○")&gt;0,1,0))</f>
        <v>0</v>
      </c>
      <c r="BM103" s="39" t="n">
        <f aca="false">IF(BM$4=0,0,IF(COUNTIFS(実績!$W$6:$W$505,BM$3,実績!$AI$6:$AI$505,"&lt;="&amp;$A103,実績!$AJ$6:$AJ$505,"&gt;"&amp;$A103,実績!$AK$6:$AK$505,"○")&gt;0,1,0))</f>
        <v>0</v>
      </c>
      <c r="BN103" s="39" t="n">
        <f aca="false">IF(BN$4=0,0,IF(COUNTIFS(実績!$W$6:$W$505,BN$3,実績!$AI$6:$AI$505,"&lt;="&amp;$A103,実績!$AJ$6:$AJ$505,"&gt;"&amp;$A103,実績!$AK$6:$AK$505,"○")&gt;0,1,0))</f>
        <v>0</v>
      </c>
      <c r="BO103" s="39" t="n">
        <f aca="false">IF(BO$4=0,0,IF(COUNTIFS(実績!$W$6:$W$505,BO$3,実績!$AI$6:$AI$505,"&lt;="&amp;$A103,実績!$AJ$6:$AJ$505,"&gt;"&amp;$A103,実績!$AK$6:$AK$505,"○")&gt;0,1,0))</f>
        <v>0</v>
      </c>
      <c r="BP103" s="39" t="n">
        <f aca="false">IF(BP$4=0,0,IF(COUNTIFS(実績!$W$6:$W$505,BP$3,実績!$AI$6:$AI$505,"&lt;="&amp;$A103,実績!$AJ$6:$AJ$505,"&gt;"&amp;$A103,実績!$AK$6:$AK$505,"○")&gt;0,1,0))</f>
        <v>0</v>
      </c>
      <c r="BQ103" s="39" t="n">
        <f aca="false">IF(BQ$4=0,0,IF(COUNTIFS(実績!$W$6:$W$505,BQ$3,実績!$AI$6:$AI$505,"&lt;="&amp;$A103,実績!$AJ$6:$AJ$505,"&gt;"&amp;$A103,実績!$AK$6:$AK$505,"○")&gt;0,1,0))</f>
        <v>0</v>
      </c>
      <c r="BR103" s="39" t="n">
        <f aca="false">IF(BR$4=0,0,IF(COUNTIFS(実績!$W$6:$W$505,BR$3,実績!$AI$6:$AI$505,"&lt;="&amp;$A103,実績!$AJ$6:$AJ$505,"&gt;"&amp;$A103,実績!$AK$6:$AK$505,"○")&gt;0,1,0))</f>
        <v>0</v>
      </c>
      <c r="BS103" s="39" t="n">
        <f aca="false">IF(BS$4=0,0,IF(COUNTIFS(実績!$W$6:$W$505,BS$3,実績!$AI$6:$AI$505,"&lt;="&amp;$A103,実績!$AJ$6:$AJ$505,"&gt;"&amp;$A103,実績!$AK$6:$AK$505,"○")&gt;0,1,0))</f>
        <v>0</v>
      </c>
      <c r="BT103" s="39" t="n">
        <f aca="false">IF(BT$4=0,0,IF(COUNTIFS(実績!$W$6:$W$505,BT$3,実績!$AI$6:$AI$505,"&lt;="&amp;$A103,実績!$AJ$6:$AJ$505,"&gt;"&amp;$A103,実績!$AK$6:$AK$505,"○")&gt;0,1,0))</f>
        <v>0</v>
      </c>
      <c r="BU103" s="39" t="n">
        <f aca="false">IF(BU$4=0,0,IF(COUNTIFS(実績!$W$6:$W$505,BU$3,実績!$AI$6:$AI$505,"&lt;="&amp;$A103,実績!$AJ$6:$AJ$505,"&gt;"&amp;$A103,実績!$AK$6:$AK$505,"○")&gt;0,1,0))</f>
        <v>0</v>
      </c>
      <c r="BV103" s="39" t="n">
        <f aca="false">IF(BV$4=0,0,IF(COUNTIFS(実績!$W$6:$W$505,BV$3,実績!$AI$6:$AI$505,"&lt;="&amp;$A103,実績!$AJ$6:$AJ$505,"&gt;"&amp;$A103,実績!$AK$6:$AK$505,"○")&gt;0,1,0))</f>
        <v>0</v>
      </c>
      <c r="BW103" s="39" t="n">
        <f aca="false">IF(BW$4=0,0,IF(COUNTIFS(実績!$W$6:$W$505,BW$3,実績!$AI$6:$AI$505,"&lt;="&amp;$A103,実績!$AJ$6:$AJ$505,"&gt;"&amp;$A103,実績!$AK$6:$AK$505,"○")&gt;0,1,0))</f>
        <v>0</v>
      </c>
      <c r="BX103" s="39" t="n">
        <f aca="false">IF(BX$4=0,0,IF(COUNTIFS(実績!$W$6:$W$505,BX$3,実績!$AI$6:$AI$505,"&lt;="&amp;$A103,実績!$AJ$6:$AJ$505,"&gt;"&amp;$A103,実績!$AK$6:$AK$505,"○")&gt;0,1,0))</f>
        <v>0</v>
      </c>
      <c r="BY103" s="39" t="n">
        <f aca="false">IF(BY$4=0,0,IF(COUNTIFS(実績!$W$6:$W$505,BY$3,実績!$AI$6:$AI$505,"&lt;="&amp;$A103,実績!$AJ$6:$AJ$505,"&gt;"&amp;$A103,実績!$AK$6:$AK$505,"○")&gt;0,1,0))</f>
        <v>0</v>
      </c>
      <c r="BZ103" s="39" t="n">
        <f aca="false">IF(BZ$4=0,0,IF(COUNTIFS(実績!$W$6:$W$505,BZ$3,実績!$AI$6:$AI$505,"&lt;="&amp;$A103,実績!$AJ$6:$AJ$505,"&gt;"&amp;$A103,実績!$AK$6:$AK$505,"○")&gt;0,1,0))</f>
        <v>0</v>
      </c>
      <c r="CA103" s="39" t="n">
        <f aca="false">IF(CA$4=0,0,IF(COUNTIFS(実績!$W$6:$W$505,CA$3,実績!$AI$6:$AI$505,"&lt;="&amp;$A103,実績!$AJ$6:$AJ$505,"&gt;"&amp;$A103,実績!$AK$6:$AK$505,"○")&gt;0,1,0))</f>
        <v>0</v>
      </c>
      <c r="CB103" s="39" t="n">
        <f aca="false">IF(CB$4=0,0,IF(COUNTIFS(実績!$W$6:$W$505,CB$3,実績!$AI$6:$AI$505,"&lt;="&amp;$A103,実績!$AJ$6:$AJ$505,"&gt;"&amp;$A103,実績!$AK$6:$AK$505,"○")&gt;0,1,0))</f>
        <v>0</v>
      </c>
      <c r="CC103" s="39" t="n">
        <f aca="false">IF(CC$4=0,0,IF(COUNTIFS(実績!$W$6:$W$505,CC$3,実績!$AI$6:$AI$505,"&lt;="&amp;$A103,実績!$AJ$6:$AJ$505,"&gt;"&amp;$A103,実績!$AK$6:$AK$505,"○")&gt;0,1,0))</f>
        <v>0</v>
      </c>
      <c r="CD103" s="39" t="n">
        <f aca="false">IF(CD$4=0,0,IF(COUNTIFS(実績!$W$6:$W$505,CD$3,実績!$AI$6:$AI$505,"&lt;="&amp;$A103,実績!$AJ$6:$AJ$505,"&gt;"&amp;$A103,実績!$AK$6:$AK$505,"○")&gt;0,1,0))</f>
        <v>0</v>
      </c>
      <c r="CE103" s="39" t="n">
        <f aca="false">IF(CE$4=0,0,IF(COUNTIFS(実績!$W$6:$W$505,CE$3,実績!$AI$6:$AI$505,"&lt;="&amp;$A103,実績!$AJ$6:$AJ$505,"&gt;"&amp;$A103,実績!$AK$6:$AK$505,"○")&gt;0,1,0))</f>
        <v>0</v>
      </c>
      <c r="CF103" s="39" t="n">
        <f aca="false">IF(CF$4=0,0,IF(COUNTIFS(実績!$W$6:$W$505,CF$3,実績!$AI$6:$AI$505,"&lt;="&amp;$A103,実績!$AJ$6:$AJ$505,"&gt;"&amp;$A103,実績!$AK$6:$AK$505,"○")&gt;0,1,0))</f>
        <v>0</v>
      </c>
      <c r="CG103" s="39" t="n">
        <f aca="false">IF(CG$4=0,0,IF(COUNTIFS(実績!$W$6:$W$505,CG$3,実績!$AI$6:$AI$505,"&lt;="&amp;$A103,実績!$AJ$6:$AJ$505,"&gt;"&amp;$A103,実績!$AK$6:$AK$505,"○")&gt;0,1,0))</f>
        <v>0</v>
      </c>
      <c r="CH103" s="39" t="n">
        <f aca="false">IF(CH$4=0,0,IF(COUNTIFS(実績!$W$6:$W$505,CH$3,実績!$AI$6:$AI$505,"&lt;="&amp;$A103,実績!$AJ$6:$AJ$505,"&gt;"&amp;$A103,実績!$AK$6:$AK$505,"○")&gt;0,1,0))</f>
        <v>0</v>
      </c>
      <c r="CI103" s="39" t="n">
        <f aca="false">IF(CI$4=0,0,IF(COUNTIFS(実績!$W$6:$W$505,CI$3,実績!$AI$6:$AI$505,"&lt;="&amp;$A103,実績!$AJ$6:$AJ$505,"&gt;"&amp;$A103,実績!$AK$6:$AK$505,"○")&gt;0,1,0))</f>
        <v>0</v>
      </c>
      <c r="CJ103" s="39" t="n">
        <f aca="false">IF(CJ$4=0,0,IF(COUNTIFS(実績!$W$6:$W$505,CJ$3,実績!$AI$6:$AI$505,"&lt;="&amp;$A103,実績!$AJ$6:$AJ$505,"&gt;"&amp;$A103,実績!$AK$6:$AK$505,"○")&gt;0,1,0))</f>
        <v>0</v>
      </c>
      <c r="CK103" s="39" t="n">
        <f aca="false">IF(CK$4=0,0,IF(COUNTIFS(実績!$W$6:$W$505,CK$3,実績!$AI$6:$AI$505,"&lt;="&amp;$A103,実績!$AJ$6:$AJ$505,"&gt;"&amp;$A103,実績!$AK$6:$AK$505,"○")&gt;0,1,0))</f>
        <v>0</v>
      </c>
      <c r="CL103" s="39" t="n">
        <f aca="false">IF(CL$4=0,0,IF(COUNTIFS(実績!$W$6:$W$505,CL$3,実績!$AI$6:$AI$505,"&lt;="&amp;$A103,実績!$AJ$6:$AJ$505,"&gt;"&amp;$A103,実績!$AK$6:$AK$505,"○")&gt;0,1,0))</f>
        <v>0</v>
      </c>
      <c r="CM103" s="39" t="n">
        <f aca="false">IF(CM$4=0,0,IF(COUNTIFS(実績!$W$6:$W$505,CM$3,実績!$AI$6:$AI$505,"&lt;="&amp;$A103,実績!$AJ$6:$AJ$505,"&gt;"&amp;$A103,実績!$AK$6:$AK$505,"○")&gt;0,1,0))</f>
        <v>0</v>
      </c>
      <c r="CN103" s="39" t="n">
        <f aca="false">IF(CN$4=0,0,IF(COUNTIFS(実績!$W$6:$W$505,CN$3,実績!$AI$6:$AI$505,"&lt;="&amp;$A103,実績!$AJ$6:$AJ$505,"&gt;"&amp;$A103,実績!$AK$6:$AK$505,"○")&gt;0,1,0))</f>
        <v>0</v>
      </c>
      <c r="CO103" s="39" t="n">
        <f aca="false">IF(CO$4=0,0,IF(COUNTIFS(実績!$W$6:$W$505,CO$3,実績!$AI$6:$AI$505,"&lt;="&amp;$A103,実績!$AJ$6:$AJ$505,"&gt;"&amp;$A103,実績!$AK$6:$AK$505,"○")&gt;0,1,0))</f>
        <v>0</v>
      </c>
      <c r="CP103" s="39" t="n">
        <f aca="false">IF(CP$4=0,0,IF(COUNTIFS(実績!$W$6:$W$505,CP$3,実績!$AI$6:$AI$505,"&lt;="&amp;$A103,実績!$AJ$6:$AJ$505,"&gt;"&amp;$A103,実績!$AK$6:$AK$505,"○")&gt;0,1,0))</f>
        <v>0</v>
      </c>
      <c r="CQ103" s="39" t="n">
        <f aca="false">IF(CQ$4=0,0,IF(COUNTIFS(実績!$W$6:$W$505,CQ$3,実績!$AI$6:$AI$505,"&lt;="&amp;$A103,実績!$AJ$6:$AJ$505,"&gt;"&amp;$A103,実績!$AK$6:$AK$505,"○")&gt;0,1,0))</f>
        <v>0</v>
      </c>
      <c r="CR103" s="39" t="n">
        <f aca="false">IF(CR$4=0,0,IF(COUNTIFS(実績!$W$6:$W$505,CR$3,実績!$AI$6:$AI$505,"&lt;="&amp;$A103,実績!$AJ$6:$AJ$505,"&gt;"&amp;$A103,実績!$AK$6:$AK$505,"○")&gt;0,1,0))</f>
        <v>0</v>
      </c>
      <c r="CS103" s="39" t="n">
        <f aca="false">IF(CS$4=0,0,IF(COUNTIFS(実績!$W$6:$W$505,CS$3,実績!$AI$6:$AI$505,"&lt;="&amp;$A103,実績!$AJ$6:$AJ$505,"&gt;"&amp;$A103,実績!$AK$6:$AK$505,"○")&gt;0,1,0))</f>
        <v>0</v>
      </c>
      <c r="CT103" s="39" t="n">
        <f aca="false">IF(CT$4=0,0,IF(COUNTIFS(実績!$W$6:$W$505,CT$3,実績!$AI$6:$AI$505,"&lt;="&amp;$A103,実績!$AJ$6:$AJ$505,"&gt;"&amp;$A103,実績!$AK$6:$AK$505,"○")&gt;0,1,0))</f>
        <v>0</v>
      </c>
      <c r="CU103" s="39" t="n">
        <f aca="false">IF(CU$4=0,0,IF(COUNTIFS(実績!$W$6:$W$505,CU$3,実績!$AI$6:$AI$505,"&lt;="&amp;$A103,実績!$AJ$6:$AJ$505,"&gt;"&amp;$A103,実績!$AK$6:$AK$505,"○")&gt;0,1,0))</f>
        <v>0</v>
      </c>
      <c r="CV103" s="39" t="n">
        <f aca="false">IF(CV$4=0,0,IF(COUNTIFS(実績!$W$6:$W$505,CV$3,実績!$AI$6:$AI$505,"&lt;="&amp;$A103,実績!$AJ$6:$AJ$505,"&gt;"&amp;$A103,実績!$AK$6:$AK$505,"○")&gt;0,1,0))</f>
        <v>0</v>
      </c>
      <c r="CW103" s="39" t="n">
        <f aca="false">IF(CW$4=0,0,IF(COUNTIFS(実績!$W$6:$W$505,CW$3,実績!$AI$6:$AI$505,"&lt;="&amp;$A103,実績!$AJ$6:$AJ$505,"&gt;"&amp;$A103,実績!$AK$6:$AK$505,"○")&gt;0,1,0))</f>
        <v>0</v>
      </c>
      <c r="CX103" s="39" t="n">
        <f aca="false">IF(CX$4=0,0,IF(COUNTIFS(実績!$W$6:$W$505,CX$3,実績!$AI$6:$AI$505,"&lt;="&amp;$A103,実績!$AJ$6:$AJ$505,"&gt;"&amp;$A103,実績!$AK$6:$AK$505,"○")&gt;0,1,0))</f>
        <v>0</v>
      </c>
      <c r="CY103" s="39" t="n">
        <f aca="false">IF(CY$4=0,0,IF(COUNTIFS(実績!$W$6:$W$505,CY$3,実績!$AI$6:$AI$505,"&lt;="&amp;$A103,実績!$AJ$6:$AJ$505,"&gt;"&amp;$A103,実績!$AK$6:$AK$505,"○")&gt;0,1,0))</f>
        <v>0</v>
      </c>
      <c r="CZ103" s="39" t="n">
        <f aca="false">IF(CZ$4=0,0,IF(COUNTIFS(実績!$W$6:$W$505,CZ$3,実績!$AI$6:$AI$505,"&lt;="&amp;$A103,実績!$AJ$6:$AJ$505,"&gt;"&amp;$A103,実績!$AK$6:$AK$505,"○")&gt;0,1,0))</f>
        <v>0</v>
      </c>
      <c r="DA103" s="39" t="n">
        <f aca="false">IF(DA$4=0,0,IF(COUNTIFS(実績!$W$6:$W$505,DA$3,実績!$AI$6:$AI$505,"&lt;="&amp;$A103,実績!$AJ$6:$AJ$505,"&gt;"&amp;$A103,実績!$AK$6:$AK$505,"○")&gt;0,1,0))</f>
        <v>0</v>
      </c>
      <c r="DB103" s="39" t="n">
        <f aca="false">IF(DB$4=0,0,IF(COUNTIFS(実績!$W$6:$W$505,DB$3,実績!$AI$6:$AI$505,"&lt;="&amp;$A103,実績!$AJ$6:$AJ$505,"&gt;"&amp;$A103,実績!$AK$6:$AK$505,"○")&gt;0,1,0))</f>
        <v>0</v>
      </c>
      <c r="DC103" s="39" t="n">
        <f aca="false">IF(DC$4=0,0,IF(COUNTIFS(実績!$W$6:$W$505,DC$3,実績!$AI$6:$AI$505,"&lt;="&amp;$A103,実績!$AJ$6:$AJ$505,"&gt;"&amp;$A103,実績!$AK$6:$AK$505,"○")&gt;0,1,0))</f>
        <v>0</v>
      </c>
      <c r="DD103" s="39" t="n">
        <f aca="false">IF(DD$4=0,0,IF(COUNTIFS(実績!$W$6:$W$505,DD$3,実績!$AI$6:$AI$505,"&lt;="&amp;$A103,実績!$AJ$6:$AJ$505,"&gt;"&amp;$A103,実績!$AK$6:$AK$505,"○")&gt;0,1,0))</f>
        <v>0</v>
      </c>
      <c r="DE103" s="39" t="n">
        <f aca="false">IF(DE$4=0,0,IF(COUNTIFS(実績!$W$6:$W$505,DE$3,実績!$AI$6:$AI$505,"&lt;="&amp;$A103,実績!$AJ$6:$AJ$505,"&gt;"&amp;$A103,実績!$AK$6:$AK$505,"○")&gt;0,1,0))</f>
        <v>0</v>
      </c>
      <c r="DF103" s="39" t="n">
        <f aca="false">IF(DF$4=0,0,IF(COUNTIFS(実績!$W$6:$W$505,DF$3,実績!$AI$6:$AI$505,"&lt;="&amp;$A103,実績!$AJ$6:$AJ$505,"&gt;"&amp;$A103,実績!$AK$6:$AK$505,"○")&gt;0,1,0))</f>
        <v>0</v>
      </c>
      <c r="DG103" s="39" t="n">
        <f aca="false">IF(DG$4=0,0,IF(COUNTIFS(実績!$W$6:$W$505,DG$3,実績!$AI$6:$AI$505,"&lt;="&amp;$A103,実績!$AJ$6:$AJ$505,"&gt;"&amp;$A103,実績!$AK$6:$AK$505,"○")&gt;0,1,0))</f>
        <v>0</v>
      </c>
      <c r="DH103" s="39" t="n">
        <f aca="false">IF(DH$4=0,0,IF(COUNTIFS(実績!$W$6:$W$505,DH$3,実績!$AI$6:$AI$505,"&lt;="&amp;$A103,実績!$AJ$6:$AJ$505,"&gt;"&amp;$A103,実績!$AK$6:$AK$505,"○")&gt;0,1,0))</f>
        <v>0</v>
      </c>
      <c r="DI103" s="39" t="n">
        <f aca="false">IF(DI$4=0,0,IF(COUNTIFS(実績!$W$6:$W$505,DI$3,実績!$AI$6:$AI$505,"&lt;="&amp;$A103,実績!$AJ$6:$AJ$505,"&gt;"&amp;$A103,実績!$AK$6:$AK$505,"○")&gt;0,1,0))</f>
        <v>0</v>
      </c>
      <c r="DJ103" s="39" t="n">
        <f aca="false">IF(DJ$4=0,0,IF(COUNTIFS(実績!$W$6:$W$505,DJ$3,実績!$AI$6:$AI$505,"&lt;="&amp;$A103,実績!$AJ$6:$AJ$505,"&gt;"&amp;$A103,実績!$AK$6:$AK$505,"○")&gt;0,1,0))</f>
        <v>0</v>
      </c>
      <c r="DK103" s="39" t="n">
        <f aca="false">IF(DK$4=0,0,IF(COUNTIFS(実績!$W$6:$W$505,DK$3,実績!$AI$6:$AI$505,"&lt;="&amp;$A103,実績!$AJ$6:$AJ$505,"&gt;"&amp;$A103,実績!$AK$6:$AK$505,"○")&gt;0,1,0))</f>
        <v>0</v>
      </c>
      <c r="DL103" s="39" t="n">
        <f aca="false">IF(DL$4=0,0,IF(COUNTIFS(実績!$W$6:$W$505,DL$3,実績!$AI$6:$AI$505,"&lt;="&amp;$A103,実績!$AJ$6:$AJ$505,"&gt;"&amp;$A103,実績!$AK$6:$AK$505,"○")&gt;0,1,0))</f>
        <v>0</v>
      </c>
      <c r="DM103" s="39" t="n">
        <f aca="false">IF(DM$4=0,0,IF(COUNTIFS(実績!$W$6:$W$505,DM$3,実績!$AI$6:$AI$505,"&lt;="&amp;$A103,実績!$AJ$6:$AJ$505,"&gt;"&amp;$A103,実績!$AK$6:$AK$505,"○")&gt;0,1,0))</f>
        <v>0</v>
      </c>
      <c r="DN103" s="39" t="n">
        <f aca="false">IF(DN$4=0,0,IF(COUNTIFS(実績!$W$6:$W$505,DN$3,実績!$AI$6:$AI$505,"&lt;="&amp;$A103,実績!$AJ$6:$AJ$505,"&gt;"&amp;$A103,実績!$AK$6:$AK$505,"○")&gt;0,1,0))</f>
        <v>0</v>
      </c>
      <c r="DO103" s="39" t="n">
        <f aca="false">IF(DO$4=0,0,IF(COUNTIFS(実績!$W$6:$W$505,DO$3,実績!$AI$6:$AI$505,"&lt;="&amp;$A103,実績!$AJ$6:$AJ$505,"&gt;"&amp;$A103,実績!$AK$6:$AK$505,"○")&gt;0,1,0))</f>
        <v>0</v>
      </c>
      <c r="DP103" s="39" t="n">
        <f aca="false">IF(DP$4=0,0,IF(COUNTIFS(実績!$W$6:$W$505,DP$3,実績!$AI$6:$AI$505,"&lt;="&amp;$A103,実績!$AJ$6:$AJ$505,"&gt;"&amp;$A103,実績!$AK$6:$AK$505,"○")&gt;0,1,0))</f>
        <v>0</v>
      </c>
      <c r="DQ103" s="39" t="n">
        <f aca="false">IF(DQ$4=0,0,IF(COUNTIFS(実績!$W$6:$W$505,DQ$3,実績!$AI$6:$AI$505,"&lt;="&amp;$A103,実績!$AJ$6:$AJ$505,"&gt;"&amp;$A103,実績!$AK$6:$AK$505,"○")&gt;0,1,0))</f>
        <v>0</v>
      </c>
      <c r="DR103" s="39" t="n">
        <f aca="false">IF(DR$4=0,0,IF(COUNTIFS(実績!$W$6:$W$505,DR$3,実績!$AI$6:$AI$505,"&lt;="&amp;$A103,実績!$AJ$6:$AJ$505,"&gt;"&amp;$A103,実績!$AK$6:$AK$505,"○")&gt;0,1,0))</f>
        <v>0</v>
      </c>
      <c r="DS103" s="39" t="n">
        <f aca="false">SUM(C103:DR103)</f>
        <v>0</v>
      </c>
      <c r="DT103" s="39" t="n">
        <f aca="false">SUMPRODUCT((実績!$C$6:$C$505="○")*ISNUMBER(実績!$AM$6:$AM$505)*(実績!$AM$6:$AM$505&lt;=$A103)*(実績!$AN$6:$AN$505&gt;$A103))</f>
        <v>0</v>
      </c>
      <c r="DU103" s="39" t="n">
        <f aca="false">SUMIF($C$2:$DR$2,"製鉄曳船",C103:DR103)</f>
        <v>0</v>
      </c>
      <c r="DV103" s="39" t="n">
        <f aca="false">SUMIF($C$2:$DR$2,"西日本海運",C103:DR103)</f>
        <v>0</v>
      </c>
    </row>
    <row r="104" customFormat="false" ht="15" hidden="false" customHeight="false" outlineLevel="0" collapsed="false">
      <c r="A104" s="0" t="n">
        <v>490</v>
      </c>
      <c r="B104" s="38" t="n">
        <f aca="false">A104/1440</f>
        <v>0.340277777777778</v>
      </c>
      <c r="C104" s="39" t="n">
        <f aca="false">IF(C$4=0,0,IF(COUNTIFS(実績!$W$6:$W$505,C$3,実績!$AI$6:$AI$505,"&lt;="&amp;$A104,実績!$AJ$6:$AJ$505,"&gt;"&amp;$A104,実績!$AK$6:$AK$505,"○")&gt;0,1,0))</f>
        <v>0</v>
      </c>
      <c r="D104" s="39" t="n">
        <f aca="false">IF(D$4=0,0,IF(COUNTIFS(実績!$W$6:$W$505,D$3,実績!$AI$6:$AI$505,"&lt;="&amp;$A104,実績!$AJ$6:$AJ$505,"&gt;"&amp;$A104,実績!$AK$6:$AK$505,"○")&gt;0,1,0))</f>
        <v>0</v>
      </c>
      <c r="E104" s="39" t="n">
        <f aca="false">IF(E$4=0,0,IF(COUNTIFS(実績!$W$6:$W$505,E$3,実績!$AI$6:$AI$505,"&lt;="&amp;$A104,実績!$AJ$6:$AJ$505,"&gt;"&amp;$A104,実績!$AK$6:$AK$505,"○")&gt;0,1,0))</f>
        <v>0</v>
      </c>
      <c r="F104" s="39" t="n">
        <f aca="false">IF(F$4=0,0,IF(COUNTIFS(実績!$W$6:$W$505,F$3,実績!$AI$6:$AI$505,"&lt;="&amp;$A104,実績!$AJ$6:$AJ$505,"&gt;"&amp;$A104,実績!$AK$6:$AK$505,"○")&gt;0,1,0))</f>
        <v>0</v>
      </c>
      <c r="G104" s="39" t="n">
        <f aca="false">IF(G$4=0,0,IF(COUNTIFS(実績!$W$6:$W$505,G$3,実績!$AI$6:$AI$505,"&lt;="&amp;$A104,実績!$AJ$6:$AJ$505,"&gt;"&amp;$A104,実績!$AK$6:$AK$505,"○")&gt;0,1,0))</f>
        <v>0</v>
      </c>
      <c r="H104" s="39" t="n">
        <f aca="false">IF(H$4=0,0,IF(COUNTIFS(実績!$W$6:$W$505,H$3,実績!$AI$6:$AI$505,"&lt;="&amp;$A104,実績!$AJ$6:$AJ$505,"&gt;"&amp;$A104,実績!$AK$6:$AK$505,"○")&gt;0,1,0))</f>
        <v>0</v>
      </c>
      <c r="I104" s="39" t="n">
        <f aca="false">IF(I$4=0,0,IF(COUNTIFS(実績!$W$6:$W$505,I$3,実績!$AI$6:$AI$505,"&lt;="&amp;$A104,実績!$AJ$6:$AJ$505,"&gt;"&amp;$A104,実績!$AK$6:$AK$505,"○")&gt;0,1,0))</f>
        <v>0</v>
      </c>
      <c r="J104" s="39" t="n">
        <f aca="false">IF(J$4=0,0,IF(COUNTIFS(実績!$W$6:$W$505,J$3,実績!$AI$6:$AI$505,"&lt;="&amp;$A104,実績!$AJ$6:$AJ$505,"&gt;"&amp;$A104,実績!$AK$6:$AK$505,"○")&gt;0,1,0))</f>
        <v>0</v>
      </c>
      <c r="K104" s="39" t="n">
        <f aca="false">IF(K$4=0,0,IF(COUNTIFS(実績!$W$6:$W$505,K$3,実績!$AI$6:$AI$505,"&lt;="&amp;$A104,実績!$AJ$6:$AJ$505,"&gt;"&amp;$A104,実績!$AK$6:$AK$505,"○")&gt;0,1,0))</f>
        <v>0</v>
      </c>
      <c r="L104" s="39" t="n">
        <f aca="false">IF(L$4=0,0,IF(COUNTIFS(実績!$W$6:$W$505,L$3,実績!$AI$6:$AI$505,"&lt;="&amp;$A104,実績!$AJ$6:$AJ$505,"&gt;"&amp;$A104,実績!$AK$6:$AK$505,"○")&gt;0,1,0))</f>
        <v>0</v>
      </c>
      <c r="M104" s="39" t="n">
        <f aca="false">IF(M$4=0,0,IF(COUNTIFS(実績!$W$6:$W$505,M$3,実績!$AI$6:$AI$505,"&lt;="&amp;$A104,実績!$AJ$6:$AJ$505,"&gt;"&amp;$A104,実績!$AK$6:$AK$505,"○")&gt;0,1,0))</f>
        <v>0</v>
      </c>
      <c r="N104" s="39" t="n">
        <f aca="false">IF(N$4=0,0,IF(COUNTIFS(実績!$W$6:$W$505,N$3,実績!$AI$6:$AI$505,"&lt;="&amp;$A104,実績!$AJ$6:$AJ$505,"&gt;"&amp;$A104,実績!$AK$6:$AK$505,"○")&gt;0,1,0))</f>
        <v>0</v>
      </c>
      <c r="O104" s="39" t="n">
        <f aca="false">IF(O$4=0,0,IF(COUNTIFS(実績!$W$6:$W$505,O$3,実績!$AI$6:$AI$505,"&lt;="&amp;$A104,実績!$AJ$6:$AJ$505,"&gt;"&amp;$A104,実績!$AK$6:$AK$505,"○")&gt;0,1,0))</f>
        <v>0</v>
      </c>
      <c r="P104" s="39" t="n">
        <f aca="false">IF(P$4=0,0,IF(COUNTIFS(実績!$W$6:$W$505,P$3,実績!$AI$6:$AI$505,"&lt;="&amp;$A104,実績!$AJ$6:$AJ$505,"&gt;"&amp;$A104,実績!$AK$6:$AK$505,"○")&gt;0,1,0))</f>
        <v>0</v>
      </c>
      <c r="Q104" s="39" t="n">
        <f aca="false">IF(Q$4=0,0,IF(COUNTIFS(実績!$W$6:$W$505,Q$3,実績!$AI$6:$AI$505,"&lt;="&amp;$A104,実績!$AJ$6:$AJ$505,"&gt;"&amp;$A104,実績!$AK$6:$AK$505,"○")&gt;0,1,0))</f>
        <v>0</v>
      </c>
      <c r="R104" s="39" t="n">
        <f aca="false">IF(R$4=0,0,IF(COUNTIFS(実績!$W$6:$W$505,R$3,実績!$AI$6:$AI$505,"&lt;="&amp;$A104,実績!$AJ$6:$AJ$505,"&gt;"&amp;$A104,実績!$AK$6:$AK$505,"○")&gt;0,1,0))</f>
        <v>0</v>
      </c>
      <c r="S104" s="39" t="n">
        <f aca="false">IF(S$4=0,0,IF(COUNTIFS(実績!$W$6:$W$505,S$3,実績!$AI$6:$AI$505,"&lt;="&amp;$A104,実績!$AJ$6:$AJ$505,"&gt;"&amp;$A104,実績!$AK$6:$AK$505,"○")&gt;0,1,0))</f>
        <v>0</v>
      </c>
      <c r="T104" s="39" t="n">
        <f aca="false">IF(T$4=0,0,IF(COUNTIFS(実績!$W$6:$W$505,T$3,実績!$AI$6:$AI$505,"&lt;="&amp;$A104,実績!$AJ$6:$AJ$505,"&gt;"&amp;$A104,実績!$AK$6:$AK$505,"○")&gt;0,1,0))</f>
        <v>0</v>
      </c>
      <c r="U104" s="39" t="n">
        <f aca="false">IF(U$4=0,0,IF(COUNTIFS(実績!$W$6:$W$505,U$3,実績!$AI$6:$AI$505,"&lt;="&amp;$A104,実績!$AJ$6:$AJ$505,"&gt;"&amp;$A104,実績!$AK$6:$AK$505,"○")&gt;0,1,0))</f>
        <v>0</v>
      </c>
      <c r="V104" s="39" t="n">
        <f aca="false">IF(V$4=0,0,IF(COUNTIFS(実績!$W$6:$W$505,V$3,実績!$AI$6:$AI$505,"&lt;="&amp;$A104,実績!$AJ$6:$AJ$505,"&gt;"&amp;$A104,実績!$AK$6:$AK$505,"○")&gt;0,1,0))</f>
        <v>0</v>
      </c>
      <c r="W104" s="39" t="n">
        <f aca="false">IF(W$4=0,0,IF(COUNTIFS(実績!$W$6:$W$505,W$3,実績!$AI$6:$AI$505,"&lt;="&amp;$A104,実績!$AJ$6:$AJ$505,"&gt;"&amp;$A104,実績!$AK$6:$AK$505,"○")&gt;0,1,0))</f>
        <v>0</v>
      </c>
      <c r="X104" s="39" t="n">
        <f aca="false">IF(X$4=0,0,IF(COUNTIFS(実績!$W$6:$W$505,X$3,実績!$AI$6:$AI$505,"&lt;="&amp;$A104,実績!$AJ$6:$AJ$505,"&gt;"&amp;$A104,実績!$AK$6:$AK$505,"○")&gt;0,1,0))</f>
        <v>0</v>
      </c>
      <c r="Y104" s="39" t="n">
        <f aca="false">IF(Y$4=0,0,IF(COUNTIFS(実績!$W$6:$W$505,Y$3,実績!$AI$6:$AI$505,"&lt;="&amp;$A104,実績!$AJ$6:$AJ$505,"&gt;"&amp;$A104,実績!$AK$6:$AK$505,"○")&gt;0,1,0))</f>
        <v>0</v>
      </c>
      <c r="Z104" s="39" t="n">
        <f aca="false">IF(Z$4=0,0,IF(COUNTIFS(実績!$W$6:$W$505,Z$3,実績!$AI$6:$AI$505,"&lt;="&amp;$A104,実績!$AJ$6:$AJ$505,"&gt;"&amp;$A104,実績!$AK$6:$AK$505,"○")&gt;0,1,0))</f>
        <v>0</v>
      </c>
      <c r="AA104" s="39" t="n">
        <f aca="false">IF(AA$4=0,0,IF(COUNTIFS(実績!$W$6:$W$505,AA$3,実績!$AI$6:$AI$505,"&lt;="&amp;$A104,実績!$AJ$6:$AJ$505,"&gt;"&amp;$A104,実績!$AK$6:$AK$505,"○")&gt;0,1,0))</f>
        <v>0</v>
      </c>
      <c r="AB104" s="39" t="n">
        <f aca="false">IF(AB$4=0,0,IF(COUNTIFS(実績!$W$6:$W$505,AB$3,実績!$AI$6:$AI$505,"&lt;="&amp;$A104,実績!$AJ$6:$AJ$505,"&gt;"&amp;$A104,実績!$AK$6:$AK$505,"○")&gt;0,1,0))</f>
        <v>0</v>
      </c>
      <c r="AC104" s="39" t="n">
        <f aca="false">IF(AC$4=0,0,IF(COUNTIFS(実績!$W$6:$W$505,AC$3,実績!$AI$6:$AI$505,"&lt;="&amp;$A104,実績!$AJ$6:$AJ$505,"&gt;"&amp;$A104,実績!$AK$6:$AK$505,"○")&gt;0,1,0))</f>
        <v>0</v>
      </c>
      <c r="AD104" s="39" t="n">
        <f aca="false">IF(AD$4=0,0,IF(COUNTIFS(実績!$W$6:$W$505,AD$3,実績!$AI$6:$AI$505,"&lt;="&amp;$A104,実績!$AJ$6:$AJ$505,"&gt;"&amp;$A104,実績!$AK$6:$AK$505,"○")&gt;0,1,0))</f>
        <v>0</v>
      </c>
      <c r="AE104" s="39" t="n">
        <f aca="false">IF(AE$4=0,0,IF(COUNTIFS(実績!$W$6:$W$505,AE$3,実績!$AI$6:$AI$505,"&lt;="&amp;$A104,実績!$AJ$6:$AJ$505,"&gt;"&amp;$A104,実績!$AK$6:$AK$505,"○")&gt;0,1,0))</f>
        <v>0</v>
      </c>
      <c r="AF104" s="39" t="n">
        <f aca="false">IF(AF$4=0,0,IF(COUNTIFS(実績!$W$6:$W$505,AF$3,実績!$AI$6:$AI$505,"&lt;="&amp;$A104,実績!$AJ$6:$AJ$505,"&gt;"&amp;$A104,実績!$AK$6:$AK$505,"○")&gt;0,1,0))</f>
        <v>0</v>
      </c>
      <c r="AG104" s="39" t="n">
        <f aca="false">IF(AG$4=0,0,IF(COUNTIFS(実績!$W$6:$W$505,AG$3,実績!$AI$6:$AI$505,"&lt;="&amp;$A104,実績!$AJ$6:$AJ$505,"&gt;"&amp;$A104,実績!$AK$6:$AK$505,"○")&gt;0,1,0))</f>
        <v>0</v>
      </c>
      <c r="AH104" s="39" t="n">
        <f aca="false">IF(AH$4=0,0,IF(COUNTIFS(実績!$W$6:$W$505,AH$3,実績!$AI$6:$AI$505,"&lt;="&amp;$A104,実績!$AJ$6:$AJ$505,"&gt;"&amp;$A104,実績!$AK$6:$AK$505,"○")&gt;0,1,0))</f>
        <v>0</v>
      </c>
      <c r="AI104" s="39" t="n">
        <f aca="false">IF(AI$4=0,0,IF(COUNTIFS(実績!$W$6:$W$505,AI$3,実績!$AI$6:$AI$505,"&lt;="&amp;$A104,実績!$AJ$6:$AJ$505,"&gt;"&amp;$A104,実績!$AK$6:$AK$505,"○")&gt;0,1,0))</f>
        <v>0</v>
      </c>
      <c r="AJ104" s="39" t="n">
        <f aca="false">IF(AJ$4=0,0,IF(COUNTIFS(実績!$W$6:$W$505,AJ$3,実績!$AI$6:$AI$505,"&lt;="&amp;$A104,実績!$AJ$6:$AJ$505,"&gt;"&amp;$A104,実績!$AK$6:$AK$505,"○")&gt;0,1,0))</f>
        <v>0</v>
      </c>
      <c r="AK104" s="39" t="n">
        <f aca="false">IF(AK$4=0,0,IF(COUNTIFS(実績!$W$6:$W$505,AK$3,実績!$AI$6:$AI$505,"&lt;="&amp;$A104,実績!$AJ$6:$AJ$505,"&gt;"&amp;$A104,実績!$AK$6:$AK$505,"○")&gt;0,1,0))</f>
        <v>0</v>
      </c>
      <c r="AL104" s="39" t="n">
        <f aca="false">IF(AL$4=0,0,IF(COUNTIFS(実績!$W$6:$W$505,AL$3,実績!$AI$6:$AI$505,"&lt;="&amp;$A104,実績!$AJ$6:$AJ$505,"&gt;"&amp;$A104,実績!$AK$6:$AK$505,"○")&gt;0,1,0))</f>
        <v>0</v>
      </c>
      <c r="AM104" s="39" t="n">
        <f aca="false">IF(AM$4=0,0,IF(COUNTIFS(実績!$W$6:$W$505,AM$3,実績!$AI$6:$AI$505,"&lt;="&amp;$A104,実績!$AJ$6:$AJ$505,"&gt;"&amp;$A104,実績!$AK$6:$AK$505,"○")&gt;0,1,0))</f>
        <v>0</v>
      </c>
      <c r="AN104" s="39" t="n">
        <f aca="false">IF(AN$4=0,0,IF(COUNTIFS(実績!$W$6:$W$505,AN$3,実績!$AI$6:$AI$505,"&lt;="&amp;$A104,実績!$AJ$6:$AJ$505,"&gt;"&amp;$A104,実績!$AK$6:$AK$505,"○")&gt;0,1,0))</f>
        <v>0</v>
      </c>
      <c r="AO104" s="39" t="n">
        <f aca="false">IF(AO$4=0,0,IF(COUNTIFS(実績!$W$6:$W$505,AO$3,実績!$AI$6:$AI$505,"&lt;="&amp;$A104,実績!$AJ$6:$AJ$505,"&gt;"&amp;$A104,実績!$AK$6:$AK$505,"○")&gt;0,1,0))</f>
        <v>0</v>
      </c>
      <c r="AP104" s="39" t="n">
        <f aca="false">IF(AP$4=0,0,IF(COUNTIFS(実績!$W$6:$W$505,AP$3,実績!$AI$6:$AI$505,"&lt;="&amp;$A104,実績!$AJ$6:$AJ$505,"&gt;"&amp;$A104,実績!$AK$6:$AK$505,"○")&gt;0,1,0))</f>
        <v>0</v>
      </c>
      <c r="AQ104" s="39" t="n">
        <f aca="false">IF(AQ$4=0,0,IF(COUNTIFS(実績!$W$6:$W$505,AQ$3,実績!$AI$6:$AI$505,"&lt;="&amp;$A104,実績!$AJ$6:$AJ$505,"&gt;"&amp;$A104,実績!$AK$6:$AK$505,"○")&gt;0,1,0))</f>
        <v>0</v>
      </c>
      <c r="AR104" s="39" t="n">
        <f aca="false">IF(AR$4=0,0,IF(COUNTIFS(実績!$W$6:$W$505,AR$3,実績!$AI$6:$AI$505,"&lt;="&amp;$A104,実績!$AJ$6:$AJ$505,"&gt;"&amp;$A104,実績!$AK$6:$AK$505,"○")&gt;0,1,0))</f>
        <v>0</v>
      </c>
      <c r="AS104" s="39" t="n">
        <f aca="false">IF(AS$4=0,0,IF(COUNTIFS(実績!$W$6:$W$505,AS$3,実績!$AI$6:$AI$505,"&lt;="&amp;$A104,実績!$AJ$6:$AJ$505,"&gt;"&amp;$A104,実績!$AK$6:$AK$505,"○")&gt;0,1,0))</f>
        <v>0</v>
      </c>
      <c r="AT104" s="39" t="n">
        <f aca="false">IF(AT$4=0,0,IF(COUNTIFS(実績!$W$6:$W$505,AT$3,実績!$AI$6:$AI$505,"&lt;="&amp;$A104,実績!$AJ$6:$AJ$505,"&gt;"&amp;$A104,実績!$AK$6:$AK$505,"○")&gt;0,1,0))</f>
        <v>0</v>
      </c>
      <c r="AU104" s="39" t="n">
        <f aca="false">IF(AU$4=0,0,IF(COUNTIFS(実績!$W$6:$W$505,AU$3,実績!$AI$6:$AI$505,"&lt;="&amp;$A104,実績!$AJ$6:$AJ$505,"&gt;"&amp;$A104,実績!$AK$6:$AK$505,"○")&gt;0,1,0))</f>
        <v>0</v>
      </c>
      <c r="AV104" s="39" t="n">
        <f aca="false">IF(AV$4=0,0,IF(COUNTIFS(実績!$W$6:$W$505,AV$3,実績!$AI$6:$AI$505,"&lt;="&amp;$A104,実績!$AJ$6:$AJ$505,"&gt;"&amp;$A104,実績!$AK$6:$AK$505,"○")&gt;0,1,0))</f>
        <v>0</v>
      </c>
      <c r="AW104" s="39" t="n">
        <f aca="false">IF(AW$4=0,0,IF(COUNTIFS(実績!$W$6:$W$505,AW$3,実績!$AI$6:$AI$505,"&lt;="&amp;$A104,実績!$AJ$6:$AJ$505,"&gt;"&amp;$A104,実績!$AK$6:$AK$505,"○")&gt;0,1,0))</f>
        <v>0</v>
      </c>
      <c r="AX104" s="39" t="n">
        <f aca="false">IF(AX$4=0,0,IF(COUNTIFS(実績!$W$6:$W$505,AX$3,実績!$AI$6:$AI$505,"&lt;="&amp;$A104,実績!$AJ$6:$AJ$505,"&gt;"&amp;$A104,実績!$AK$6:$AK$505,"○")&gt;0,1,0))</f>
        <v>0</v>
      </c>
      <c r="AY104" s="39" t="n">
        <f aca="false">IF(AY$4=0,0,IF(COUNTIFS(実績!$W$6:$W$505,AY$3,実績!$AI$6:$AI$505,"&lt;="&amp;$A104,実績!$AJ$6:$AJ$505,"&gt;"&amp;$A104,実績!$AK$6:$AK$505,"○")&gt;0,1,0))</f>
        <v>0</v>
      </c>
      <c r="AZ104" s="39" t="n">
        <f aca="false">IF(AZ$4=0,0,IF(COUNTIFS(実績!$W$6:$W$505,AZ$3,実績!$AI$6:$AI$505,"&lt;="&amp;$A104,実績!$AJ$6:$AJ$505,"&gt;"&amp;$A104,実績!$AK$6:$AK$505,"○")&gt;0,1,0))</f>
        <v>0</v>
      </c>
      <c r="BA104" s="39" t="n">
        <f aca="false">IF(BA$4=0,0,IF(COUNTIFS(実績!$W$6:$W$505,BA$3,実績!$AI$6:$AI$505,"&lt;="&amp;$A104,実績!$AJ$6:$AJ$505,"&gt;"&amp;$A104,実績!$AK$6:$AK$505,"○")&gt;0,1,0))</f>
        <v>0</v>
      </c>
      <c r="BB104" s="39" t="n">
        <f aca="false">IF(BB$4=0,0,IF(COUNTIFS(実績!$W$6:$W$505,BB$3,実績!$AI$6:$AI$505,"&lt;="&amp;$A104,実績!$AJ$6:$AJ$505,"&gt;"&amp;$A104,実績!$AK$6:$AK$505,"○")&gt;0,1,0))</f>
        <v>0</v>
      </c>
      <c r="BC104" s="39" t="n">
        <f aca="false">IF(BC$4=0,0,IF(COUNTIFS(実績!$W$6:$W$505,BC$3,実績!$AI$6:$AI$505,"&lt;="&amp;$A104,実績!$AJ$6:$AJ$505,"&gt;"&amp;$A104,実績!$AK$6:$AK$505,"○")&gt;0,1,0))</f>
        <v>0</v>
      </c>
      <c r="BD104" s="39" t="n">
        <f aca="false">IF(BD$4=0,0,IF(COUNTIFS(実績!$W$6:$W$505,BD$3,実績!$AI$6:$AI$505,"&lt;="&amp;$A104,実績!$AJ$6:$AJ$505,"&gt;"&amp;$A104,実績!$AK$6:$AK$505,"○")&gt;0,1,0))</f>
        <v>0</v>
      </c>
      <c r="BE104" s="39" t="n">
        <f aca="false">IF(BE$4=0,0,IF(COUNTIFS(実績!$W$6:$W$505,BE$3,実績!$AI$6:$AI$505,"&lt;="&amp;$A104,実績!$AJ$6:$AJ$505,"&gt;"&amp;$A104,実績!$AK$6:$AK$505,"○")&gt;0,1,0))</f>
        <v>0</v>
      </c>
      <c r="BF104" s="39" t="n">
        <f aca="false">IF(BF$4=0,0,IF(COUNTIFS(実績!$W$6:$W$505,BF$3,実績!$AI$6:$AI$505,"&lt;="&amp;$A104,実績!$AJ$6:$AJ$505,"&gt;"&amp;$A104,実績!$AK$6:$AK$505,"○")&gt;0,1,0))</f>
        <v>0</v>
      </c>
      <c r="BG104" s="39" t="n">
        <f aca="false">IF(BG$4=0,0,IF(COUNTIFS(実績!$W$6:$W$505,BG$3,実績!$AI$6:$AI$505,"&lt;="&amp;$A104,実績!$AJ$6:$AJ$505,"&gt;"&amp;$A104,実績!$AK$6:$AK$505,"○")&gt;0,1,0))</f>
        <v>0</v>
      </c>
      <c r="BH104" s="39" t="n">
        <f aca="false">IF(BH$4=0,0,IF(COUNTIFS(実績!$W$6:$W$505,BH$3,実績!$AI$6:$AI$505,"&lt;="&amp;$A104,実績!$AJ$6:$AJ$505,"&gt;"&amp;$A104,実績!$AK$6:$AK$505,"○")&gt;0,1,0))</f>
        <v>0</v>
      </c>
      <c r="BI104" s="39" t="n">
        <f aca="false">IF(BI$4=0,0,IF(COUNTIFS(実績!$W$6:$W$505,BI$3,実績!$AI$6:$AI$505,"&lt;="&amp;$A104,実績!$AJ$6:$AJ$505,"&gt;"&amp;$A104,実績!$AK$6:$AK$505,"○")&gt;0,1,0))</f>
        <v>0</v>
      </c>
      <c r="BJ104" s="39" t="n">
        <f aca="false">IF(BJ$4=0,0,IF(COUNTIFS(実績!$W$6:$W$505,BJ$3,実績!$AI$6:$AI$505,"&lt;="&amp;$A104,実績!$AJ$6:$AJ$505,"&gt;"&amp;$A104,実績!$AK$6:$AK$505,"○")&gt;0,1,0))</f>
        <v>0</v>
      </c>
      <c r="BK104" s="39" t="n">
        <f aca="false">IF(BK$4=0,0,IF(COUNTIFS(実績!$W$6:$W$505,BK$3,実績!$AI$6:$AI$505,"&lt;="&amp;$A104,実績!$AJ$6:$AJ$505,"&gt;"&amp;$A104,実績!$AK$6:$AK$505,"○")&gt;0,1,0))</f>
        <v>0</v>
      </c>
      <c r="BL104" s="39" t="n">
        <f aca="false">IF(BL$4=0,0,IF(COUNTIFS(実績!$W$6:$W$505,BL$3,実績!$AI$6:$AI$505,"&lt;="&amp;$A104,実績!$AJ$6:$AJ$505,"&gt;"&amp;$A104,実績!$AK$6:$AK$505,"○")&gt;0,1,0))</f>
        <v>0</v>
      </c>
      <c r="BM104" s="39" t="n">
        <f aca="false">IF(BM$4=0,0,IF(COUNTIFS(実績!$W$6:$W$505,BM$3,実績!$AI$6:$AI$505,"&lt;="&amp;$A104,実績!$AJ$6:$AJ$505,"&gt;"&amp;$A104,実績!$AK$6:$AK$505,"○")&gt;0,1,0))</f>
        <v>0</v>
      </c>
      <c r="BN104" s="39" t="n">
        <f aca="false">IF(BN$4=0,0,IF(COUNTIFS(実績!$W$6:$W$505,BN$3,実績!$AI$6:$AI$505,"&lt;="&amp;$A104,実績!$AJ$6:$AJ$505,"&gt;"&amp;$A104,実績!$AK$6:$AK$505,"○")&gt;0,1,0))</f>
        <v>0</v>
      </c>
      <c r="BO104" s="39" t="n">
        <f aca="false">IF(BO$4=0,0,IF(COUNTIFS(実績!$W$6:$W$505,BO$3,実績!$AI$6:$AI$505,"&lt;="&amp;$A104,実績!$AJ$6:$AJ$505,"&gt;"&amp;$A104,実績!$AK$6:$AK$505,"○")&gt;0,1,0))</f>
        <v>0</v>
      </c>
      <c r="BP104" s="39" t="n">
        <f aca="false">IF(BP$4=0,0,IF(COUNTIFS(実績!$W$6:$W$505,BP$3,実績!$AI$6:$AI$505,"&lt;="&amp;$A104,実績!$AJ$6:$AJ$505,"&gt;"&amp;$A104,実績!$AK$6:$AK$505,"○")&gt;0,1,0))</f>
        <v>0</v>
      </c>
      <c r="BQ104" s="39" t="n">
        <f aca="false">IF(BQ$4=0,0,IF(COUNTIFS(実績!$W$6:$W$505,BQ$3,実績!$AI$6:$AI$505,"&lt;="&amp;$A104,実績!$AJ$6:$AJ$505,"&gt;"&amp;$A104,実績!$AK$6:$AK$505,"○")&gt;0,1,0))</f>
        <v>0</v>
      </c>
      <c r="BR104" s="39" t="n">
        <f aca="false">IF(BR$4=0,0,IF(COUNTIFS(実績!$W$6:$W$505,BR$3,実績!$AI$6:$AI$505,"&lt;="&amp;$A104,実績!$AJ$6:$AJ$505,"&gt;"&amp;$A104,実績!$AK$6:$AK$505,"○")&gt;0,1,0))</f>
        <v>0</v>
      </c>
      <c r="BS104" s="39" t="n">
        <f aca="false">IF(BS$4=0,0,IF(COUNTIFS(実績!$W$6:$W$505,BS$3,実績!$AI$6:$AI$505,"&lt;="&amp;$A104,実績!$AJ$6:$AJ$505,"&gt;"&amp;$A104,実績!$AK$6:$AK$505,"○")&gt;0,1,0))</f>
        <v>0</v>
      </c>
      <c r="BT104" s="39" t="n">
        <f aca="false">IF(BT$4=0,0,IF(COUNTIFS(実績!$W$6:$W$505,BT$3,実績!$AI$6:$AI$505,"&lt;="&amp;$A104,実績!$AJ$6:$AJ$505,"&gt;"&amp;$A104,実績!$AK$6:$AK$505,"○")&gt;0,1,0))</f>
        <v>0</v>
      </c>
      <c r="BU104" s="39" t="n">
        <f aca="false">IF(BU$4=0,0,IF(COUNTIFS(実績!$W$6:$W$505,BU$3,実績!$AI$6:$AI$505,"&lt;="&amp;$A104,実績!$AJ$6:$AJ$505,"&gt;"&amp;$A104,実績!$AK$6:$AK$505,"○")&gt;0,1,0))</f>
        <v>0</v>
      </c>
      <c r="BV104" s="39" t="n">
        <f aca="false">IF(BV$4=0,0,IF(COUNTIFS(実績!$W$6:$W$505,BV$3,実績!$AI$6:$AI$505,"&lt;="&amp;$A104,実績!$AJ$6:$AJ$505,"&gt;"&amp;$A104,実績!$AK$6:$AK$505,"○")&gt;0,1,0))</f>
        <v>0</v>
      </c>
      <c r="BW104" s="39" t="n">
        <f aca="false">IF(BW$4=0,0,IF(COUNTIFS(実績!$W$6:$W$505,BW$3,実績!$AI$6:$AI$505,"&lt;="&amp;$A104,実績!$AJ$6:$AJ$505,"&gt;"&amp;$A104,実績!$AK$6:$AK$505,"○")&gt;0,1,0))</f>
        <v>0</v>
      </c>
      <c r="BX104" s="39" t="n">
        <f aca="false">IF(BX$4=0,0,IF(COUNTIFS(実績!$W$6:$W$505,BX$3,実績!$AI$6:$AI$505,"&lt;="&amp;$A104,実績!$AJ$6:$AJ$505,"&gt;"&amp;$A104,実績!$AK$6:$AK$505,"○")&gt;0,1,0))</f>
        <v>0</v>
      </c>
      <c r="BY104" s="39" t="n">
        <f aca="false">IF(BY$4=0,0,IF(COUNTIFS(実績!$W$6:$W$505,BY$3,実績!$AI$6:$AI$505,"&lt;="&amp;$A104,実績!$AJ$6:$AJ$505,"&gt;"&amp;$A104,実績!$AK$6:$AK$505,"○")&gt;0,1,0))</f>
        <v>0</v>
      </c>
      <c r="BZ104" s="39" t="n">
        <f aca="false">IF(BZ$4=0,0,IF(COUNTIFS(実績!$W$6:$W$505,BZ$3,実績!$AI$6:$AI$505,"&lt;="&amp;$A104,実績!$AJ$6:$AJ$505,"&gt;"&amp;$A104,実績!$AK$6:$AK$505,"○")&gt;0,1,0))</f>
        <v>0</v>
      </c>
      <c r="CA104" s="39" t="n">
        <f aca="false">IF(CA$4=0,0,IF(COUNTIFS(実績!$W$6:$W$505,CA$3,実績!$AI$6:$AI$505,"&lt;="&amp;$A104,実績!$AJ$6:$AJ$505,"&gt;"&amp;$A104,実績!$AK$6:$AK$505,"○")&gt;0,1,0))</f>
        <v>0</v>
      </c>
      <c r="CB104" s="39" t="n">
        <f aca="false">IF(CB$4=0,0,IF(COUNTIFS(実績!$W$6:$W$505,CB$3,実績!$AI$6:$AI$505,"&lt;="&amp;$A104,実績!$AJ$6:$AJ$505,"&gt;"&amp;$A104,実績!$AK$6:$AK$505,"○")&gt;0,1,0))</f>
        <v>0</v>
      </c>
      <c r="CC104" s="39" t="n">
        <f aca="false">IF(CC$4=0,0,IF(COUNTIFS(実績!$W$6:$W$505,CC$3,実績!$AI$6:$AI$505,"&lt;="&amp;$A104,実績!$AJ$6:$AJ$505,"&gt;"&amp;$A104,実績!$AK$6:$AK$505,"○")&gt;0,1,0))</f>
        <v>0</v>
      </c>
      <c r="CD104" s="39" t="n">
        <f aca="false">IF(CD$4=0,0,IF(COUNTIFS(実績!$W$6:$W$505,CD$3,実績!$AI$6:$AI$505,"&lt;="&amp;$A104,実績!$AJ$6:$AJ$505,"&gt;"&amp;$A104,実績!$AK$6:$AK$505,"○")&gt;0,1,0))</f>
        <v>0</v>
      </c>
      <c r="CE104" s="39" t="n">
        <f aca="false">IF(CE$4=0,0,IF(COUNTIFS(実績!$W$6:$W$505,CE$3,実績!$AI$6:$AI$505,"&lt;="&amp;$A104,実績!$AJ$6:$AJ$505,"&gt;"&amp;$A104,実績!$AK$6:$AK$505,"○")&gt;0,1,0))</f>
        <v>0</v>
      </c>
      <c r="CF104" s="39" t="n">
        <f aca="false">IF(CF$4=0,0,IF(COUNTIFS(実績!$W$6:$W$505,CF$3,実績!$AI$6:$AI$505,"&lt;="&amp;$A104,実績!$AJ$6:$AJ$505,"&gt;"&amp;$A104,実績!$AK$6:$AK$505,"○")&gt;0,1,0))</f>
        <v>0</v>
      </c>
      <c r="CG104" s="39" t="n">
        <f aca="false">IF(CG$4=0,0,IF(COUNTIFS(実績!$W$6:$W$505,CG$3,実績!$AI$6:$AI$505,"&lt;="&amp;$A104,実績!$AJ$6:$AJ$505,"&gt;"&amp;$A104,実績!$AK$6:$AK$505,"○")&gt;0,1,0))</f>
        <v>0</v>
      </c>
      <c r="CH104" s="39" t="n">
        <f aca="false">IF(CH$4=0,0,IF(COUNTIFS(実績!$W$6:$W$505,CH$3,実績!$AI$6:$AI$505,"&lt;="&amp;$A104,実績!$AJ$6:$AJ$505,"&gt;"&amp;$A104,実績!$AK$6:$AK$505,"○")&gt;0,1,0))</f>
        <v>0</v>
      </c>
      <c r="CI104" s="39" t="n">
        <f aca="false">IF(CI$4=0,0,IF(COUNTIFS(実績!$W$6:$W$505,CI$3,実績!$AI$6:$AI$505,"&lt;="&amp;$A104,実績!$AJ$6:$AJ$505,"&gt;"&amp;$A104,実績!$AK$6:$AK$505,"○")&gt;0,1,0))</f>
        <v>0</v>
      </c>
      <c r="CJ104" s="39" t="n">
        <f aca="false">IF(CJ$4=0,0,IF(COUNTIFS(実績!$W$6:$W$505,CJ$3,実績!$AI$6:$AI$505,"&lt;="&amp;$A104,実績!$AJ$6:$AJ$505,"&gt;"&amp;$A104,実績!$AK$6:$AK$505,"○")&gt;0,1,0))</f>
        <v>0</v>
      </c>
      <c r="CK104" s="39" t="n">
        <f aca="false">IF(CK$4=0,0,IF(COUNTIFS(実績!$W$6:$W$505,CK$3,実績!$AI$6:$AI$505,"&lt;="&amp;$A104,実績!$AJ$6:$AJ$505,"&gt;"&amp;$A104,実績!$AK$6:$AK$505,"○")&gt;0,1,0))</f>
        <v>0</v>
      </c>
      <c r="CL104" s="39" t="n">
        <f aca="false">IF(CL$4=0,0,IF(COUNTIFS(実績!$W$6:$W$505,CL$3,実績!$AI$6:$AI$505,"&lt;="&amp;$A104,実績!$AJ$6:$AJ$505,"&gt;"&amp;$A104,実績!$AK$6:$AK$505,"○")&gt;0,1,0))</f>
        <v>0</v>
      </c>
      <c r="CM104" s="39" t="n">
        <f aca="false">IF(CM$4=0,0,IF(COUNTIFS(実績!$W$6:$W$505,CM$3,実績!$AI$6:$AI$505,"&lt;="&amp;$A104,実績!$AJ$6:$AJ$505,"&gt;"&amp;$A104,実績!$AK$6:$AK$505,"○")&gt;0,1,0))</f>
        <v>0</v>
      </c>
      <c r="CN104" s="39" t="n">
        <f aca="false">IF(CN$4=0,0,IF(COUNTIFS(実績!$W$6:$W$505,CN$3,実績!$AI$6:$AI$505,"&lt;="&amp;$A104,実績!$AJ$6:$AJ$505,"&gt;"&amp;$A104,実績!$AK$6:$AK$505,"○")&gt;0,1,0))</f>
        <v>0</v>
      </c>
      <c r="CO104" s="39" t="n">
        <f aca="false">IF(CO$4=0,0,IF(COUNTIFS(実績!$W$6:$W$505,CO$3,実績!$AI$6:$AI$505,"&lt;="&amp;$A104,実績!$AJ$6:$AJ$505,"&gt;"&amp;$A104,実績!$AK$6:$AK$505,"○")&gt;0,1,0))</f>
        <v>0</v>
      </c>
      <c r="CP104" s="39" t="n">
        <f aca="false">IF(CP$4=0,0,IF(COUNTIFS(実績!$W$6:$W$505,CP$3,実績!$AI$6:$AI$505,"&lt;="&amp;$A104,実績!$AJ$6:$AJ$505,"&gt;"&amp;$A104,実績!$AK$6:$AK$505,"○")&gt;0,1,0))</f>
        <v>0</v>
      </c>
      <c r="CQ104" s="39" t="n">
        <f aca="false">IF(CQ$4=0,0,IF(COUNTIFS(実績!$W$6:$W$505,CQ$3,実績!$AI$6:$AI$505,"&lt;="&amp;$A104,実績!$AJ$6:$AJ$505,"&gt;"&amp;$A104,実績!$AK$6:$AK$505,"○")&gt;0,1,0))</f>
        <v>0</v>
      </c>
      <c r="CR104" s="39" t="n">
        <f aca="false">IF(CR$4=0,0,IF(COUNTIFS(実績!$W$6:$W$505,CR$3,実績!$AI$6:$AI$505,"&lt;="&amp;$A104,実績!$AJ$6:$AJ$505,"&gt;"&amp;$A104,実績!$AK$6:$AK$505,"○")&gt;0,1,0))</f>
        <v>0</v>
      </c>
      <c r="CS104" s="39" t="n">
        <f aca="false">IF(CS$4=0,0,IF(COUNTIFS(実績!$W$6:$W$505,CS$3,実績!$AI$6:$AI$505,"&lt;="&amp;$A104,実績!$AJ$6:$AJ$505,"&gt;"&amp;$A104,実績!$AK$6:$AK$505,"○")&gt;0,1,0))</f>
        <v>0</v>
      </c>
      <c r="CT104" s="39" t="n">
        <f aca="false">IF(CT$4=0,0,IF(COUNTIFS(実績!$W$6:$W$505,CT$3,実績!$AI$6:$AI$505,"&lt;="&amp;$A104,実績!$AJ$6:$AJ$505,"&gt;"&amp;$A104,実績!$AK$6:$AK$505,"○")&gt;0,1,0))</f>
        <v>0</v>
      </c>
      <c r="CU104" s="39" t="n">
        <f aca="false">IF(CU$4=0,0,IF(COUNTIFS(実績!$W$6:$W$505,CU$3,実績!$AI$6:$AI$505,"&lt;="&amp;$A104,実績!$AJ$6:$AJ$505,"&gt;"&amp;$A104,実績!$AK$6:$AK$505,"○")&gt;0,1,0))</f>
        <v>0</v>
      </c>
      <c r="CV104" s="39" t="n">
        <f aca="false">IF(CV$4=0,0,IF(COUNTIFS(実績!$W$6:$W$505,CV$3,実績!$AI$6:$AI$505,"&lt;="&amp;$A104,実績!$AJ$6:$AJ$505,"&gt;"&amp;$A104,実績!$AK$6:$AK$505,"○")&gt;0,1,0))</f>
        <v>0</v>
      </c>
      <c r="CW104" s="39" t="n">
        <f aca="false">IF(CW$4=0,0,IF(COUNTIFS(実績!$W$6:$W$505,CW$3,実績!$AI$6:$AI$505,"&lt;="&amp;$A104,実績!$AJ$6:$AJ$505,"&gt;"&amp;$A104,実績!$AK$6:$AK$505,"○")&gt;0,1,0))</f>
        <v>0</v>
      </c>
      <c r="CX104" s="39" t="n">
        <f aca="false">IF(CX$4=0,0,IF(COUNTIFS(実績!$W$6:$W$505,CX$3,実績!$AI$6:$AI$505,"&lt;="&amp;$A104,実績!$AJ$6:$AJ$505,"&gt;"&amp;$A104,実績!$AK$6:$AK$505,"○")&gt;0,1,0))</f>
        <v>0</v>
      </c>
      <c r="CY104" s="39" t="n">
        <f aca="false">IF(CY$4=0,0,IF(COUNTIFS(実績!$W$6:$W$505,CY$3,実績!$AI$6:$AI$505,"&lt;="&amp;$A104,実績!$AJ$6:$AJ$505,"&gt;"&amp;$A104,実績!$AK$6:$AK$505,"○")&gt;0,1,0))</f>
        <v>0</v>
      </c>
      <c r="CZ104" s="39" t="n">
        <f aca="false">IF(CZ$4=0,0,IF(COUNTIFS(実績!$W$6:$W$505,CZ$3,実績!$AI$6:$AI$505,"&lt;="&amp;$A104,実績!$AJ$6:$AJ$505,"&gt;"&amp;$A104,実績!$AK$6:$AK$505,"○")&gt;0,1,0))</f>
        <v>0</v>
      </c>
      <c r="DA104" s="39" t="n">
        <f aca="false">IF(DA$4=0,0,IF(COUNTIFS(実績!$W$6:$W$505,DA$3,実績!$AI$6:$AI$505,"&lt;="&amp;$A104,実績!$AJ$6:$AJ$505,"&gt;"&amp;$A104,実績!$AK$6:$AK$505,"○")&gt;0,1,0))</f>
        <v>0</v>
      </c>
      <c r="DB104" s="39" t="n">
        <f aca="false">IF(DB$4=0,0,IF(COUNTIFS(実績!$W$6:$W$505,DB$3,実績!$AI$6:$AI$505,"&lt;="&amp;$A104,実績!$AJ$6:$AJ$505,"&gt;"&amp;$A104,実績!$AK$6:$AK$505,"○")&gt;0,1,0))</f>
        <v>0</v>
      </c>
      <c r="DC104" s="39" t="n">
        <f aca="false">IF(DC$4=0,0,IF(COUNTIFS(実績!$W$6:$W$505,DC$3,実績!$AI$6:$AI$505,"&lt;="&amp;$A104,実績!$AJ$6:$AJ$505,"&gt;"&amp;$A104,実績!$AK$6:$AK$505,"○")&gt;0,1,0))</f>
        <v>0</v>
      </c>
      <c r="DD104" s="39" t="n">
        <f aca="false">IF(DD$4=0,0,IF(COUNTIFS(実績!$W$6:$W$505,DD$3,実績!$AI$6:$AI$505,"&lt;="&amp;$A104,実績!$AJ$6:$AJ$505,"&gt;"&amp;$A104,実績!$AK$6:$AK$505,"○")&gt;0,1,0))</f>
        <v>0</v>
      </c>
      <c r="DE104" s="39" t="n">
        <f aca="false">IF(DE$4=0,0,IF(COUNTIFS(実績!$W$6:$W$505,DE$3,実績!$AI$6:$AI$505,"&lt;="&amp;$A104,実績!$AJ$6:$AJ$505,"&gt;"&amp;$A104,実績!$AK$6:$AK$505,"○")&gt;0,1,0))</f>
        <v>0</v>
      </c>
      <c r="DF104" s="39" t="n">
        <f aca="false">IF(DF$4=0,0,IF(COUNTIFS(実績!$W$6:$W$505,DF$3,実績!$AI$6:$AI$505,"&lt;="&amp;$A104,実績!$AJ$6:$AJ$505,"&gt;"&amp;$A104,実績!$AK$6:$AK$505,"○")&gt;0,1,0))</f>
        <v>0</v>
      </c>
      <c r="DG104" s="39" t="n">
        <f aca="false">IF(DG$4=0,0,IF(COUNTIFS(実績!$W$6:$W$505,DG$3,実績!$AI$6:$AI$505,"&lt;="&amp;$A104,実績!$AJ$6:$AJ$505,"&gt;"&amp;$A104,実績!$AK$6:$AK$505,"○")&gt;0,1,0))</f>
        <v>0</v>
      </c>
      <c r="DH104" s="39" t="n">
        <f aca="false">IF(DH$4=0,0,IF(COUNTIFS(実績!$W$6:$W$505,DH$3,実績!$AI$6:$AI$505,"&lt;="&amp;$A104,実績!$AJ$6:$AJ$505,"&gt;"&amp;$A104,実績!$AK$6:$AK$505,"○")&gt;0,1,0))</f>
        <v>0</v>
      </c>
      <c r="DI104" s="39" t="n">
        <f aca="false">IF(DI$4=0,0,IF(COUNTIFS(実績!$W$6:$W$505,DI$3,実績!$AI$6:$AI$505,"&lt;="&amp;$A104,実績!$AJ$6:$AJ$505,"&gt;"&amp;$A104,実績!$AK$6:$AK$505,"○")&gt;0,1,0))</f>
        <v>0</v>
      </c>
      <c r="DJ104" s="39" t="n">
        <f aca="false">IF(DJ$4=0,0,IF(COUNTIFS(実績!$W$6:$W$505,DJ$3,実績!$AI$6:$AI$505,"&lt;="&amp;$A104,実績!$AJ$6:$AJ$505,"&gt;"&amp;$A104,実績!$AK$6:$AK$505,"○")&gt;0,1,0))</f>
        <v>0</v>
      </c>
      <c r="DK104" s="39" t="n">
        <f aca="false">IF(DK$4=0,0,IF(COUNTIFS(実績!$W$6:$W$505,DK$3,実績!$AI$6:$AI$505,"&lt;="&amp;$A104,実績!$AJ$6:$AJ$505,"&gt;"&amp;$A104,実績!$AK$6:$AK$505,"○")&gt;0,1,0))</f>
        <v>0</v>
      </c>
      <c r="DL104" s="39" t="n">
        <f aca="false">IF(DL$4=0,0,IF(COUNTIFS(実績!$W$6:$W$505,DL$3,実績!$AI$6:$AI$505,"&lt;="&amp;$A104,実績!$AJ$6:$AJ$505,"&gt;"&amp;$A104,実績!$AK$6:$AK$505,"○")&gt;0,1,0))</f>
        <v>0</v>
      </c>
      <c r="DM104" s="39" t="n">
        <f aca="false">IF(DM$4=0,0,IF(COUNTIFS(実績!$W$6:$W$505,DM$3,実績!$AI$6:$AI$505,"&lt;="&amp;$A104,実績!$AJ$6:$AJ$505,"&gt;"&amp;$A104,実績!$AK$6:$AK$505,"○")&gt;0,1,0))</f>
        <v>0</v>
      </c>
      <c r="DN104" s="39" t="n">
        <f aca="false">IF(DN$4=0,0,IF(COUNTIFS(実績!$W$6:$W$505,DN$3,実績!$AI$6:$AI$505,"&lt;="&amp;$A104,実績!$AJ$6:$AJ$505,"&gt;"&amp;$A104,実績!$AK$6:$AK$505,"○")&gt;0,1,0))</f>
        <v>0</v>
      </c>
      <c r="DO104" s="39" t="n">
        <f aca="false">IF(DO$4=0,0,IF(COUNTIFS(実績!$W$6:$W$505,DO$3,実績!$AI$6:$AI$505,"&lt;="&amp;$A104,実績!$AJ$6:$AJ$505,"&gt;"&amp;$A104,実績!$AK$6:$AK$505,"○")&gt;0,1,0))</f>
        <v>0</v>
      </c>
      <c r="DP104" s="39" t="n">
        <f aca="false">IF(DP$4=0,0,IF(COUNTIFS(実績!$W$6:$W$505,DP$3,実績!$AI$6:$AI$505,"&lt;="&amp;$A104,実績!$AJ$6:$AJ$505,"&gt;"&amp;$A104,実績!$AK$6:$AK$505,"○")&gt;0,1,0))</f>
        <v>0</v>
      </c>
      <c r="DQ104" s="39" t="n">
        <f aca="false">IF(DQ$4=0,0,IF(COUNTIFS(実績!$W$6:$W$505,DQ$3,実績!$AI$6:$AI$505,"&lt;="&amp;$A104,実績!$AJ$6:$AJ$505,"&gt;"&amp;$A104,実績!$AK$6:$AK$505,"○")&gt;0,1,0))</f>
        <v>0</v>
      </c>
      <c r="DR104" s="39" t="n">
        <f aca="false">IF(DR$4=0,0,IF(COUNTIFS(実績!$W$6:$W$505,DR$3,実績!$AI$6:$AI$505,"&lt;="&amp;$A104,実績!$AJ$6:$AJ$505,"&gt;"&amp;$A104,実績!$AK$6:$AK$505,"○")&gt;0,1,0))</f>
        <v>0</v>
      </c>
      <c r="DS104" s="39" t="n">
        <f aca="false">SUM(C104:DR104)</f>
        <v>0</v>
      </c>
      <c r="DT104" s="39" t="n">
        <f aca="false">SUMPRODUCT((実績!$C$6:$C$505="○")*ISNUMBER(実績!$AM$6:$AM$505)*(実績!$AM$6:$AM$505&lt;=$A104)*(実績!$AN$6:$AN$505&gt;$A104))</f>
        <v>0</v>
      </c>
      <c r="DU104" s="39" t="n">
        <f aca="false">SUMIF($C$2:$DR$2,"製鉄曳船",C104:DR104)</f>
        <v>0</v>
      </c>
      <c r="DV104" s="39" t="n">
        <f aca="false">SUMIF($C$2:$DR$2,"西日本海運",C104:DR104)</f>
        <v>0</v>
      </c>
    </row>
    <row r="105" customFormat="false" ht="15" hidden="false" customHeight="false" outlineLevel="0" collapsed="false">
      <c r="A105" s="0" t="n">
        <v>495</v>
      </c>
      <c r="B105" s="38" t="n">
        <f aca="false">A105/1440</f>
        <v>0.34375</v>
      </c>
      <c r="C105" s="39" t="n">
        <f aca="false">IF(C$4=0,0,IF(COUNTIFS(実績!$W$6:$W$505,C$3,実績!$AI$6:$AI$505,"&lt;="&amp;$A105,実績!$AJ$6:$AJ$505,"&gt;"&amp;$A105,実績!$AK$6:$AK$505,"○")&gt;0,1,0))</f>
        <v>0</v>
      </c>
      <c r="D105" s="39" t="n">
        <f aca="false">IF(D$4=0,0,IF(COUNTIFS(実績!$W$6:$W$505,D$3,実績!$AI$6:$AI$505,"&lt;="&amp;$A105,実績!$AJ$6:$AJ$505,"&gt;"&amp;$A105,実績!$AK$6:$AK$505,"○")&gt;0,1,0))</f>
        <v>0</v>
      </c>
      <c r="E105" s="39" t="n">
        <f aca="false">IF(E$4=0,0,IF(COUNTIFS(実績!$W$6:$W$505,E$3,実績!$AI$6:$AI$505,"&lt;="&amp;$A105,実績!$AJ$6:$AJ$505,"&gt;"&amp;$A105,実績!$AK$6:$AK$505,"○")&gt;0,1,0))</f>
        <v>0</v>
      </c>
      <c r="F105" s="39" t="n">
        <f aca="false">IF(F$4=0,0,IF(COUNTIFS(実績!$W$6:$W$505,F$3,実績!$AI$6:$AI$505,"&lt;="&amp;$A105,実績!$AJ$6:$AJ$505,"&gt;"&amp;$A105,実績!$AK$6:$AK$505,"○")&gt;0,1,0))</f>
        <v>0</v>
      </c>
      <c r="G105" s="39" t="n">
        <f aca="false">IF(G$4=0,0,IF(COUNTIFS(実績!$W$6:$W$505,G$3,実績!$AI$6:$AI$505,"&lt;="&amp;$A105,実績!$AJ$6:$AJ$505,"&gt;"&amp;$A105,実績!$AK$6:$AK$505,"○")&gt;0,1,0))</f>
        <v>0</v>
      </c>
      <c r="H105" s="39" t="n">
        <f aca="false">IF(H$4=0,0,IF(COUNTIFS(実績!$W$6:$W$505,H$3,実績!$AI$6:$AI$505,"&lt;="&amp;$A105,実績!$AJ$6:$AJ$505,"&gt;"&amp;$A105,実績!$AK$6:$AK$505,"○")&gt;0,1,0))</f>
        <v>0</v>
      </c>
      <c r="I105" s="39" t="n">
        <f aca="false">IF(I$4=0,0,IF(COUNTIFS(実績!$W$6:$W$505,I$3,実績!$AI$6:$AI$505,"&lt;="&amp;$A105,実績!$AJ$6:$AJ$505,"&gt;"&amp;$A105,実績!$AK$6:$AK$505,"○")&gt;0,1,0))</f>
        <v>0</v>
      </c>
      <c r="J105" s="39" t="n">
        <f aca="false">IF(J$4=0,0,IF(COUNTIFS(実績!$W$6:$W$505,J$3,実績!$AI$6:$AI$505,"&lt;="&amp;$A105,実績!$AJ$6:$AJ$505,"&gt;"&amp;$A105,実績!$AK$6:$AK$505,"○")&gt;0,1,0))</f>
        <v>0</v>
      </c>
      <c r="K105" s="39" t="n">
        <f aca="false">IF(K$4=0,0,IF(COUNTIFS(実績!$W$6:$W$505,K$3,実績!$AI$6:$AI$505,"&lt;="&amp;$A105,実績!$AJ$6:$AJ$505,"&gt;"&amp;$A105,実績!$AK$6:$AK$505,"○")&gt;0,1,0))</f>
        <v>0</v>
      </c>
      <c r="L105" s="39" t="n">
        <f aca="false">IF(L$4=0,0,IF(COUNTIFS(実績!$W$6:$W$505,L$3,実績!$AI$6:$AI$505,"&lt;="&amp;$A105,実績!$AJ$6:$AJ$505,"&gt;"&amp;$A105,実績!$AK$6:$AK$505,"○")&gt;0,1,0))</f>
        <v>0</v>
      </c>
      <c r="M105" s="39" t="n">
        <f aca="false">IF(M$4=0,0,IF(COUNTIFS(実績!$W$6:$W$505,M$3,実績!$AI$6:$AI$505,"&lt;="&amp;$A105,実績!$AJ$6:$AJ$505,"&gt;"&amp;$A105,実績!$AK$6:$AK$505,"○")&gt;0,1,0))</f>
        <v>0</v>
      </c>
      <c r="N105" s="39" t="n">
        <f aca="false">IF(N$4=0,0,IF(COUNTIFS(実績!$W$6:$W$505,N$3,実績!$AI$6:$AI$505,"&lt;="&amp;$A105,実績!$AJ$6:$AJ$505,"&gt;"&amp;$A105,実績!$AK$6:$AK$505,"○")&gt;0,1,0))</f>
        <v>0</v>
      </c>
      <c r="O105" s="39" t="n">
        <f aca="false">IF(O$4=0,0,IF(COUNTIFS(実績!$W$6:$W$505,O$3,実績!$AI$6:$AI$505,"&lt;="&amp;$A105,実績!$AJ$6:$AJ$505,"&gt;"&amp;$A105,実績!$AK$6:$AK$505,"○")&gt;0,1,0))</f>
        <v>0</v>
      </c>
      <c r="P105" s="39" t="n">
        <f aca="false">IF(P$4=0,0,IF(COUNTIFS(実績!$W$6:$W$505,P$3,実績!$AI$6:$AI$505,"&lt;="&amp;$A105,実績!$AJ$6:$AJ$505,"&gt;"&amp;$A105,実績!$AK$6:$AK$505,"○")&gt;0,1,0))</f>
        <v>0</v>
      </c>
      <c r="Q105" s="39" t="n">
        <f aca="false">IF(Q$4=0,0,IF(COUNTIFS(実績!$W$6:$W$505,Q$3,実績!$AI$6:$AI$505,"&lt;="&amp;$A105,実績!$AJ$6:$AJ$505,"&gt;"&amp;$A105,実績!$AK$6:$AK$505,"○")&gt;0,1,0))</f>
        <v>0</v>
      </c>
      <c r="R105" s="39" t="n">
        <f aca="false">IF(R$4=0,0,IF(COUNTIFS(実績!$W$6:$W$505,R$3,実績!$AI$6:$AI$505,"&lt;="&amp;$A105,実績!$AJ$6:$AJ$505,"&gt;"&amp;$A105,実績!$AK$6:$AK$505,"○")&gt;0,1,0))</f>
        <v>0</v>
      </c>
      <c r="S105" s="39" t="n">
        <f aca="false">IF(S$4=0,0,IF(COUNTIFS(実績!$W$6:$W$505,S$3,実績!$AI$6:$AI$505,"&lt;="&amp;$A105,実績!$AJ$6:$AJ$505,"&gt;"&amp;$A105,実績!$AK$6:$AK$505,"○")&gt;0,1,0))</f>
        <v>0</v>
      </c>
      <c r="T105" s="39" t="n">
        <f aca="false">IF(T$4=0,0,IF(COUNTIFS(実績!$W$6:$W$505,T$3,実績!$AI$6:$AI$505,"&lt;="&amp;$A105,実績!$AJ$6:$AJ$505,"&gt;"&amp;$A105,実績!$AK$6:$AK$505,"○")&gt;0,1,0))</f>
        <v>0</v>
      </c>
      <c r="U105" s="39" t="n">
        <f aca="false">IF(U$4=0,0,IF(COUNTIFS(実績!$W$6:$W$505,U$3,実績!$AI$6:$AI$505,"&lt;="&amp;$A105,実績!$AJ$6:$AJ$505,"&gt;"&amp;$A105,実績!$AK$6:$AK$505,"○")&gt;0,1,0))</f>
        <v>0</v>
      </c>
      <c r="V105" s="39" t="n">
        <f aca="false">IF(V$4=0,0,IF(COUNTIFS(実績!$W$6:$W$505,V$3,実績!$AI$6:$AI$505,"&lt;="&amp;$A105,実績!$AJ$6:$AJ$505,"&gt;"&amp;$A105,実績!$AK$6:$AK$505,"○")&gt;0,1,0))</f>
        <v>0</v>
      </c>
      <c r="W105" s="39" t="n">
        <f aca="false">IF(W$4=0,0,IF(COUNTIFS(実績!$W$6:$W$505,W$3,実績!$AI$6:$AI$505,"&lt;="&amp;$A105,実績!$AJ$6:$AJ$505,"&gt;"&amp;$A105,実績!$AK$6:$AK$505,"○")&gt;0,1,0))</f>
        <v>0</v>
      </c>
      <c r="X105" s="39" t="n">
        <f aca="false">IF(X$4=0,0,IF(COUNTIFS(実績!$W$6:$W$505,X$3,実績!$AI$6:$AI$505,"&lt;="&amp;$A105,実績!$AJ$6:$AJ$505,"&gt;"&amp;$A105,実績!$AK$6:$AK$505,"○")&gt;0,1,0))</f>
        <v>0</v>
      </c>
      <c r="Y105" s="39" t="n">
        <f aca="false">IF(Y$4=0,0,IF(COUNTIFS(実績!$W$6:$W$505,Y$3,実績!$AI$6:$AI$505,"&lt;="&amp;$A105,実績!$AJ$6:$AJ$505,"&gt;"&amp;$A105,実績!$AK$6:$AK$505,"○")&gt;0,1,0))</f>
        <v>0</v>
      </c>
      <c r="Z105" s="39" t="n">
        <f aca="false">IF(Z$4=0,0,IF(COUNTIFS(実績!$W$6:$W$505,Z$3,実績!$AI$6:$AI$505,"&lt;="&amp;$A105,実績!$AJ$6:$AJ$505,"&gt;"&amp;$A105,実績!$AK$6:$AK$505,"○")&gt;0,1,0))</f>
        <v>0</v>
      </c>
      <c r="AA105" s="39" t="n">
        <f aca="false">IF(AA$4=0,0,IF(COUNTIFS(実績!$W$6:$W$505,AA$3,実績!$AI$6:$AI$505,"&lt;="&amp;$A105,実績!$AJ$6:$AJ$505,"&gt;"&amp;$A105,実績!$AK$6:$AK$505,"○")&gt;0,1,0))</f>
        <v>0</v>
      </c>
      <c r="AB105" s="39" t="n">
        <f aca="false">IF(AB$4=0,0,IF(COUNTIFS(実績!$W$6:$W$505,AB$3,実績!$AI$6:$AI$505,"&lt;="&amp;$A105,実績!$AJ$6:$AJ$505,"&gt;"&amp;$A105,実績!$AK$6:$AK$505,"○")&gt;0,1,0))</f>
        <v>0</v>
      </c>
      <c r="AC105" s="39" t="n">
        <f aca="false">IF(AC$4=0,0,IF(COUNTIFS(実績!$W$6:$W$505,AC$3,実績!$AI$6:$AI$505,"&lt;="&amp;$A105,実績!$AJ$6:$AJ$505,"&gt;"&amp;$A105,実績!$AK$6:$AK$505,"○")&gt;0,1,0))</f>
        <v>0</v>
      </c>
      <c r="AD105" s="39" t="n">
        <f aca="false">IF(AD$4=0,0,IF(COUNTIFS(実績!$W$6:$W$505,AD$3,実績!$AI$6:$AI$505,"&lt;="&amp;$A105,実績!$AJ$6:$AJ$505,"&gt;"&amp;$A105,実績!$AK$6:$AK$505,"○")&gt;0,1,0))</f>
        <v>0</v>
      </c>
      <c r="AE105" s="39" t="n">
        <f aca="false">IF(AE$4=0,0,IF(COUNTIFS(実績!$W$6:$W$505,AE$3,実績!$AI$6:$AI$505,"&lt;="&amp;$A105,実績!$AJ$6:$AJ$505,"&gt;"&amp;$A105,実績!$AK$6:$AK$505,"○")&gt;0,1,0))</f>
        <v>0</v>
      </c>
      <c r="AF105" s="39" t="n">
        <f aca="false">IF(AF$4=0,0,IF(COUNTIFS(実績!$W$6:$W$505,AF$3,実績!$AI$6:$AI$505,"&lt;="&amp;$A105,実績!$AJ$6:$AJ$505,"&gt;"&amp;$A105,実績!$AK$6:$AK$505,"○")&gt;0,1,0))</f>
        <v>0</v>
      </c>
      <c r="AG105" s="39" t="n">
        <f aca="false">IF(AG$4=0,0,IF(COUNTIFS(実績!$W$6:$W$505,AG$3,実績!$AI$6:$AI$505,"&lt;="&amp;$A105,実績!$AJ$6:$AJ$505,"&gt;"&amp;$A105,実績!$AK$6:$AK$505,"○")&gt;0,1,0))</f>
        <v>0</v>
      </c>
      <c r="AH105" s="39" t="n">
        <f aca="false">IF(AH$4=0,0,IF(COUNTIFS(実績!$W$6:$W$505,AH$3,実績!$AI$6:$AI$505,"&lt;="&amp;$A105,実績!$AJ$6:$AJ$505,"&gt;"&amp;$A105,実績!$AK$6:$AK$505,"○")&gt;0,1,0))</f>
        <v>0</v>
      </c>
      <c r="AI105" s="39" t="n">
        <f aca="false">IF(AI$4=0,0,IF(COUNTIFS(実績!$W$6:$W$505,AI$3,実績!$AI$6:$AI$505,"&lt;="&amp;$A105,実績!$AJ$6:$AJ$505,"&gt;"&amp;$A105,実績!$AK$6:$AK$505,"○")&gt;0,1,0))</f>
        <v>0</v>
      </c>
      <c r="AJ105" s="39" t="n">
        <f aca="false">IF(AJ$4=0,0,IF(COUNTIFS(実績!$W$6:$W$505,AJ$3,実績!$AI$6:$AI$505,"&lt;="&amp;$A105,実績!$AJ$6:$AJ$505,"&gt;"&amp;$A105,実績!$AK$6:$AK$505,"○")&gt;0,1,0))</f>
        <v>0</v>
      </c>
      <c r="AK105" s="39" t="n">
        <f aca="false">IF(AK$4=0,0,IF(COUNTIFS(実績!$W$6:$W$505,AK$3,実績!$AI$6:$AI$505,"&lt;="&amp;$A105,実績!$AJ$6:$AJ$505,"&gt;"&amp;$A105,実績!$AK$6:$AK$505,"○")&gt;0,1,0))</f>
        <v>0</v>
      </c>
      <c r="AL105" s="39" t="n">
        <f aca="false">IF(AL$4=0,0,IF(COUNTIFS(実績!$W$6:$W$505,AL$3,実績!$AI$6:$AI$505,"&lt;="&amp;$A105,実績!$AJ$6:$AJ$505,"&gt;"&amp;$A105,実績!$AK$6:$AK$505,"○")&gt;0,1,0))</f>
        <v>0</v>
      </c>
      <c r="AM105" s="39" t="n">
        <f aca="false">IF(AM$4=0,0,IF(COUNTIFS(実績!$W$6:$W$505,AM$3,実績!$AI$6:$AI$505,"&lt;="&amp;$A105,実績!$AJ$6:$AJ$505,"&gt;"&amp;$A105,実績!$AK$6:$AK$505,"○")&gt;0,1,0))</f>
        <v>0</v>
      </c>
      <c r="AN105" s="39" t="n">
        <f aca="false">IF(AN$4=0,0,IF(COUNTIFS(実績!$W$6:$W$505,AN$3,実績!$AI$6:$AI$505,"&lt;="&amp;$A105,実績!$AJ$6:$AJ$505,"&gt;"&amp;$A105,実績!$AK$6:$AK$505,"○")&gt;0,1,0))</f>
        <v>0</v>
      </c>
      <c r="AO105" s="39" t="n">
        <f aca="false">IF(AO$4=0,0,IF(COUNTIFS(実績!$W$6:$W$505,AO$3,実績!$AI$6:$AI$505,"&lt;="&amp;$A105,実績!$AJ$6:$AJ$505,"&gt;"&amp;$A105,実績!$AK$6:$AK$505,"○")&gt;0,1,0))</f>
        <v>0</v>
      </c>
      <c r="AP105" s="39" t="n">
        <f aca="false">IF(AP$4=0,0,IF(COUNTIFS(実績!$W$6:$W$505,AP$3,実績!$AI$6:$AI$505,"&lt;="&amp;$A105,実績!$AJ$6:$AJ$505,"&gt;"&amp;$A105,実績!$AK$6:$AK$505,"○")&gt;0,1,0))</f>
        <v>0</v>
      </c>
      <c r="AQ105" s="39" t="n">
        <f aca="false">IF(AQ$4=0,0,IF(COUNTIFS(実績!$W$6:$W$505,AQ$3,実績!$AI$6:$AI$505,"&lt;="&amp;$A105,実績!$AJ$6:$AJ$505,"&gt;"&amp;$A105,実績!$AK$6:$AK$505,"○")&gt;0,1,0))</f>
        <v>0</v>
      </c>
      <c r="AR105" s="39" t="n">
        <f aca="false">IF(AR$4=0,0,IF(COUNTIFS(実績!$W$6:$W$505,AR$3,実績!$AI$6:$AI$505,"&lt;="&amp;$A105,実績!$AJ$6:$AJ$505,"&gt;"&amp;$A105,実績!$AK$6:$AK$505,"○")&gt;0,1,0))</f>
        <v>0</v>
      </c>
      <c r="AS105" s="39" t="n">
        <f aca="false">IF(AS$4=0,0,IF(COUNTIFS(実績!$W$6:$W$505,AS$3,実績!$AI$6:$AI$505,"&lt;="&amp;$A105,実績!$AJ$6:$AJ$505,"&gt;"&amp;$A105,実績!$AK$6:$AK$505,"○")&gt;0,1,0))</f>
        <v>0</v>
      </c>
      <c r="AT105" s="39" t="n">
        <f aca="false">IF(AT$4=0,0,IF(COUNTIFS(実績!$W$6:$W$505,AT$3,実績!$AI$6:$AI$505,"&lt;="&amp;$A105,実績!$AJ$6:$AJ$505,"&gt;"&amp;$A105,実績!$AK$6:$AK$505,"○")&gt;0,1,0))</f>
        <v>0</v>
      </c>
      <c r="AU105" s="39" t="n">
        <f aca="false">IF(AU$4=0,0,IF(COUNTIFS(実績!$W$6:$W$505,AU$3,実績!$AI$6:$AI$505,"&lt;="&amp;$A105,実績!$AJ$6:$AJ$505,"&gt;"&amp;$A105,実績!$AK$6:$AK$505,"○")&gt;0,1,0))</f>
        <v>0</v>
      </c>
      <c r="AV105" s="39" t="n">
        <f aca="false">IF(AV$4=0,0,IF(COUNTIFS(実績!$W$6:$W$505,AV$3,実績!$AI$6:$AI$505,"&lt;="&amp;$A105,実績!$AJ$6:$AJ$505,"&gt;"&amp;$A105,実績!$AK$6:$AK$505,"○")&gt;0,1,0))</f>
        <v>0</v>
      </c>
      <c r="AW105" s="39" t="n">
        <f aca="false">IF(AW$4=0,0,IF(COUNTIFS(実績!$W$6:$W$505,AW$3,実績!$AI$6:$AI$505,"&lt;="&amp;$A105,実績!$AJ$6:$AJ$505,"&gt;"&amp;$A105,実績!$AK$6:$AK$505,"○")&gt;0,1,0))</f>
        <v>0</v>
      </c>
      <c r="AX105" s="39" t="n">
        <f aca="false">IF(AX$4=0,0,IF(COUNTIFS(実績!$W$6:$W$505,AX$3,実績!$AI$6:$AI$505,"&lt;="&amp;$A105,実績!$AJ$6:$AJ$505,"&gt;"&amp;$A105,実績!$AK$6:$AK$505,"○")&gt;0,1,0))</f>
        <v>0</v>
      </c>
      <c r="AY105" s="39" t="n">
        <f aca="false">IF(AY$4=0,0,IF(COUNTIFS(実績!$W$6:$W$505,AY$3,実績!$AI$6:$AI$505,"&lt;="&amp;$A105,実績!$AJ$6:$AJ$505,"&gt;"&amp;$A105,実績!$AK$6:$AK$505,"○")&gt;0,1,0))</f>
        <v>0</v>
      </c>
      <c r="AZ105" s="39" t="n">
        <f aca="false">IF(AZ$4=0,0,IF(COUNTIFS(実績!$W$6:$W$505,AZ$3,実績!$AI$6:$AI$505,"&lt;="&amp;$A105,実績!$AJ$6:$AJ$505,"&gt;"&amp;$A105,実績!$AK$6:$AK$505,"○")&gt;0,1,0))</f>
        <v>0</v>
      </c>
      <c r="BA105" s="39" t="n">
        <f aca="false">IF(BA$4=0,0,IF(COUNTIFS(実績!$W$6:$W$505,BA$3,実績!$AI$6:$AI$505,"&lt;="&amp;$A105,実績!$AJ$6:$AJ$505,"&gt;"&amp;$A105,実績!$AK$6:$AK$505,"○")&gt;0,1,0))</f>
        <v>0</v>
      </c>
      <c r="BB105" s="39" t="n">
        <f aca="false">IF(BB$4=0,0,IF(COUNTIFS(実績!$W$6:$W$505,BB$3,実績!$AI$6:$AI$505,"&lt;="&amp;$A105,実績!$AJ$6:$AJ$505,"&gt;"&amp;$A105,実績!$AK$6:$AK$505,"○")&gt;0,1,0))</f>
        <v>0</v>
      </c>
      <c r="BC105" s="39" t="n">
        <f aca="false">IF(BC$4=0,0,IF(COUNTIFS(実績!$W$6:$W$505,BC$3,実績!$AI$6:$AI$505,"&lt;="&amp;$A105,実績!$AJ$6:$AJ$505,"&gt;"&amp;$A105,実績!$AK$6:$AK$505,"○")&gt;0,1,0))</f>
        <v>0</v>
      </c>
      <c r="BD105" s="39" t="n">
        <f aca="false">IF(BD$4=0,0,IF(COUNTIFS(実績!$W$6:$W$505,BD$3,実績!$AI$6:$AI$505,"&lt;="&amp;$A105,実績!$AJ$6:$AJ$505,"&gt;"&amp;$A105,実績!$AK$6:$AK$505,"○")&gt;0,1,0))</f>
        <v>0</v>
      </c>
      <c r="BE105" s="39" t="n">
        <f aca="false">IF(BE$4=0,0,IF(COUNTIFS(実績!$W$6:$W$505,BE$3,実績!$AI$6:$AI$505,"&lt;="&amp;$A105,実績!$AJ$6:$AJ$505,"&gt;"&amp;$A105,実績!$AK$6:$AK$505,"○")&gt;0,1,0))</f>
        <v>0</v>
      </c>
      <c r="BF105" s="39" t="n">
        <f aca="false">IF(BF$4=0,0,IF(COUNTIFS(実績!$W$6:$W$505,BF$3,実績!$AI$6:$AI$505,"&lt;="&amp;$A105,実績!$AJ$6:$AJ$505,"&gt;"&amp;$A105,実績!$AK$6:$AK$505,"○")&gt;0,1,0))</f>
        <v>0</v>
      </c>
      <c r="BG105" s="39" t="n">
        <f aca="false">IF(BG$4=0,0,IF(COUNTIFS(実績!$W$6:$W$505,BG$3,実績!$AI$6:$AI$505,"&lt;="&amp;$A105,実績!$AJ$6:$AJ$505,"&gt;"&amp;$A105,実績!$AK$6:$AK$505,"○")&gt;0,1,0))</f>
        <v>0</v>
      </c>
      <c r="BH105" s="39" t="n">
        <f aca="false">IF(BH$4=0,0,IF(COUNTIFS(実績!$W$6:$W$505,BH$3,実績!$AI$6:$AI$505,"&lt;="&amp;$A105,実績!$AJ$6:$AJ$505,"&gt;"&amp;$A105,実績!$AK$6:$AK$505,"○")&gt;0,1,0))</f>
        <v>0</v>
      </c>
      <c r="BI105" s="39" t="n">
        <f aca="false">IF(BI$4=0,0,IF(COUNTIFS(実績!$W$6:$W$505,BI$3,実績!$AI$6:$AI$505,"&lt;="&amp;$A105,実績!$AJ$6:$AJ$505,"&gt;"&amp;$A105,実績!$AK$6:$AK$505,"○")&gt;0,1,0))</f>
        <v>0</v>
      </c>
      <c r="BJ105" s="39" t="n">
        <f aca="false">IF(BJ$4=0,0,IF(COUNTIFS(実績!$W$6:$W$505,BJ$3,実績!$AI$6:$AI$505,"&lt;="&amp;$A105,実績!$AJ$6:$AJ$505,"&gt;"&amp;$A105,実績!$AK$6:$AK$505,"○")&gt;0,1,0))</f>
        <v>0</v>
      </c>
      <c r="BK105" s="39" t="n">
        <f aca="false">IF(BK$4=0,0,IF(COUNTIFS(実績!$W$6:$W$505,BK$3,実績!$AI$6:$AI$505,"&lt;="&amp;$A105,実績!$AJ$6:$AJ$505,"&gt;"&amp;$A105,実績!$AK$6:$AK$505,"○")&gt;0,1,0))</f>
        <v>0</v>
      </c>
      <c r="BL105" s="39" t="n">
        <f aca="false">IF(BL$4=0,0,IF(COUNTIFS(実績!$W$6:$W$505,BL$3,実績!$AI$6:$AI$505,"&lt;="&amp;$A105,実績!$AJ$6:$AJ$505,"&gt;"&amp;$A105,実績!$AK$6:$AK$505,"○")&gt;0,1,0))</f>
        <v>0</v>
      </c>
      <c r="BM105" s="39" t="n">
        <f aca="false">IF(BM$4=0,0,IF(COUNTIFS(実績!$W$6:$W$505,BM$3,実績!$AI$6:$AI$505,"&lt;="&amp;$A105,実績!$AJ$6:$AJ$505,"&gt;"&amp;$A105,実績!$AK$6:$AK$505,"○")&gt;0,1,0))</f>
        <v>0</v>
      </c>
      <c r="BN105" s="39" t="n">
        <f aca="false">IF(BN$4=0,0,IF(COUNTIFS(実績!$W$6:$W$505,BN$3,実績!$AI$6:$AI$505,"&lt;="&amp;$A105,実績!$AJ$6:$AJ$505,"&gt;"&amp;$A105,実績!$AK$6:$AK$505,"○")&gt;0,1,0))</f>
        <v>0</v>
      </c>
      <c r="BO105" s="39" t="n">
        <f aca="false">IF(BO$4=0,0,IF(COUNTIFS(実績!$W$6:$W$505,BO$3,実績!$AI$6:$AI$505,"&lt;="&amp;$A105,実績!$AJ$6:$AJ$505,"&gt;"&amp;$A105,実績!$AK$6:$AK$505,"○")&gt;0,1,0))</f>
        <v>0</v>
      </c>
      <c r="BP105" s="39" t="n">
        <f aca="false">IF(BP$4=0,0,IF(COUNTIFS(実績!$W$6:$W$505,BP$3,実績!$AI$6:$AI$505,"&lt;="&amp;$A105,実績!$AJ$6:$AJ$505,"&gt;"&amp;$A105,実績!$AK$6:$AK$505,"○")&gt;0,1,0))</f>
        <v>0</v>
      </c>
      <c r="BQ105" s="39" t="n">
        <f aca="false">IF(BQ$4=0,0,IF(COUNTIFS(実績!$W$6:$W$505,BQ$3,実績!$AI$6:$AI$505,"&lt;="&amp;$A105,実績!$AJ$6:$AJ$505,"&gt;"&amp;$A105,実績!$AK$6:$AK$505,"○")&gt;0,1,0))</f>
        <v>0</v>
      </c>
      <c r="BR105" s="39" t="n">
        <f aca="false">IF(BR$4=0,0,IF(COUNTIFS(実績!$W$6:$W$505,BR$3,実績!$AI$6:$AI$505,"&lt;="&amp;$A105,実績!$AJ$6:$AJ$505,"&gt;"&amp;$A105,実績!$AK$6:$AK$505,"○")&gt;0,1,0))</f>
        <v>0</v>
      </c>
      <c r="BS105" s="39" t="n">
        <f aca="false">IF(BS$4=0,0,IF(COUNTIFS(実績!$W$6:$W$505,BS$3,実績!$AI$6:$AI$505,"&lt;="&amp;$A105,実績!$AJ$6:$AJ$505,"&gt;"&amp;$A105,実績!$AK$6:$AK$505,"○")&gt;0,1,0))</f>
        <v>0</v>
      </c>
      <c r="BT105" s="39" t="n">
        <f aca="false">IF(BT$4=0,0,IF(COUNTIFS(実績!$W$6:$W$505,BT$3,実績!$AI$6:$AI$505,"&lt;="&amp;$A105,実績!$AJ$6:$AJ$505,"&gt;"&amp;$A105,実績!$AK$6:$AK$505,"○")&gt;0,1,0))</f>
        <v>0</v>
      </c>
      <c r="BU105" s="39" t="n">
        <f aca="false">IF(BU$4=0,0,IF(COUNTIFS(実績!$W$6:$W$505,BU$3,実績!$AI$6:$AI$505,"&lt;="&amp;$A105,実績!$AJ$6:$AJ$505,"&gt;"&amp;$A105,実績!$AK$6:$AK$505,"○")&gt;0,1,0))</f>
        <v>0</v>
      </c>
      <c r="BV105" s="39" t="n">
        <f aca="false">IF(BV$4=0,0,IF(COUNTIFS(実績!$W$6:$W$505,BV$3,実績!$AI$6:$AI$505,"&lt;="&amp;$A105,実績!$AJ$6:$AJ$505,"&gt;"&amp;$A105,実績!$AK$6:$AK$505,"○")&gt;0,1,0))</f>
        <v>0</v>
      </c>
      <c r="BW105" s="39" t="n">
        <f aca="false">IF(BW$4=0,0,IF(COUNTIFS(実績!$W$6:$W$505,BW$3,実績!$AI$6:$AI$505,"&lt;="&amp;$A105,実績!$AJ$6:$AJ$505,"&gt;"&amp;$A105,実績!$AK$6:$AK$505,"○")&gt;0,1,0))</f>
        <v>0</v>
      </c>
      <c r="BX105" s="39" t="n">
        <f aca="false">IF(BX$4=0,0,IF(COUNTIFS(実績!$W$6:$W$505,BX$3,実績!$AI$6:$AI$505,"&lt;="&amp;$A105,実績!$AJ$6:$AJ$505,"&gt;"&amp;$A105,実績!$AK$6:$AK$505,"○")&gt;0,1,0))</f>
        <v>0</v>
      </c>
      <c r="BY105" s="39" t="n">
        <f aca="false">IF(BY$4=0,0,IF(COUNTIFS(実績!$W$6:$W$505,BY$3,実績!$AI$6:$AI$505,"&lt;="&amp;$A105,実績!$AJ$6:$AJ$505,"&gt;"&amp;$A105,実績!$AK$6:$AK$505,"○")&gt;0,1,0))</f>
        <v>0</v>
      </c>
      <c r="BZ105" s="39" t="n">
        <f aca="false">IF(BZ$4=0,0,IF(COUNTIFS(実績!$W$6:$W$505,BZ$3,実績!$AI$6:$AI$505,"&lt;="&amp;$A105,実績!$AJ$6:$AJ$505,"&gt;"&amp;$A105,実績!$AK$6:$AK$505,"○")&gt;0,1,0))</f>
        <v>0</v>
      </c>
      <c r="CA105" s="39" t="n">
        <f aca="false">IF(CA$4=0,0,IF(COUNTIFS(実績!$W$6:$W$505,CA$3,実績!$AI$6:$AI$505,"&lt;="&amp;$A105,実績!$AJ$6:$AJ$505,"&gt;"&amp;$A105,実績!$AK$6:$AK$505,"○")&gt;0,1,0))</f>
        <v>0</v>
      </c>
      <c r="CB105" s="39" t="n">
        <f aca="false">IF(CB$4=0,0,IF(COUNTIFS(実績!$W$6:$W$505,CB$3,実績!$AI$6:$AI$505,"&lt;="&amp;$A105,実績!$AJ$6:$AJ$505,"&gt;"&amp;$A105,実績!$AK$6:$AK$505,"○")&gt;0,1,0))</f>
        <v>0</v>
      </c>
      <c r="CC105" s="39" t="n">
        <f aca="false">IF(CC$4=0,0,IF(COUNTIFS(実績!$W$6:$W$505,CC$3,実績!$AI$6:$AI$505,"&lt;="&amp;$A105,実績!$AJ$6:$AJ$505,"&gt;"&amp;$A105,実績!$AK$6:$AK$505,"○")&gt;0,1,0))</f>
        <v>0</v>
      </c>
      <c r="CD105" s="39" t="n">
        <f aca="false">IF(CD$4=0,0,IF(COUNTIFS(実績!$W$6:$W$505,CD$3,実績!$AI$6:$AI$505,"&lt;="&amp;$A105,実績!$AJ$6:$AJ$505,"&gt;"&amp;$A105,実績!$AK$6:$AK$505,"○")&gt;0,1,0))</f>
        <v>0</v>
      </c>
      <c r="CE105" s="39" t="n">
        <f aca="false">IF(CE$4=0,0,IF(COUNTIFS(実績!$W$6:$W$505,CE$3,実績!$AI$6:$AI$505,"&lt;="&amp;$A105,実績!$AJ$6:$AJ$505,"&gt;"&amp;$A105,実績!$AK$6:$AK$505,"○")&gt;0,1,0))</f>
        <v>0</v>
      </c>
      <c r="CF105" s="39" t="n">
        <f aca="false">IF(CF$4=0,0,IF(COUNTIFS(実績!$W$6:$W$505,CF$3,実績!$AI$6:$AI$505,"&lt;="&amp;$A105,実績!$AJ$6:$AJ$505,"&gt;"&amp;$A105,実績!$AK$6:$AK$505,"○")&gt;0,1,0))</f>
        <v>0</v>
      </c>
      <c r="CG105" s="39" t="n">
        <f aca="false">IF(CG$4=0,0,IF(COUNTIFS(実績!$W$6:$W$505,CG$3,実績!$AI$6:$AI$505,"&lt;="&amp;$A105,実績!$AJ$6:$AJ$505,"&gt;"&amp;$A105,実績!$AK$6:$AK$505,"○")&gt;0,1,0))</f>
        <v>0</v>
      </c>
      <c r="CH105" s="39" t="n">
        <f aca="false">IF(CH$4=0,0,IF(COUNTIFS(実績!$W$6:$W$505,CH$3,実績!$AI$6:$AI$505,"&lt;="&amp;$A105,実績!$AJ$6:$AJ$505,"&gt;"&amp;$A105,実績!$AK$6:$AK$505,"○")&gt;0,1,0))</f>
        <v>0</v>
      </c>
      <c r="CI105" s="39" t="n">
        <f aca="false">IF(CI$4=0,0,IF(COUNTIFS(実績!$W$6:$W$505,CI$3,実績!$AI$6:$AI$505,"&lt;="&amp;$A105,実績!$AJ$6:$AJ$505,"&gt;"&amp;$A105,実績!$AK$6:$AK$505,"○")&gt;0,1,0))</f>
        <v>0</v>
      </c>
      <c r="CJ105" s="39" t="n">
        <f aca="false">IF(CJ$4=0,0,IF(COUNTIFS(実績!$W$6:$W$505,CJ$3,実績!$AI$6:$AI$505,"&lt;="&amp;$A105,実績!$AJ$6:$AJ$505,"&gt;"&amp;$A105,実績!$AK$6:$AK$505,"○")&gt;0,1,0))</f>
        <v>0</v>
      </c>
      <c r="CK105" s="39" t="n">
        <f aca="false">IF(CK$4=0,0,IF(COUNTIFS(実績!$W$6:$W$505,CK$3,実績!$AI$6:$AI$505,"&lt;="&amp;$A105,実績!$AJ$6:$AJ$505,"&gt;"&amp;$A105,実績!$AK$6:$AK$505,"○")&gt;0,1,0))</f>
        <v>0</v>
      </c>
      <c r="CL105" s="39" t="n">
        <f aca="false">IF(CL$4=0,0,IF(COUNTIFS(実績!$W$6:$W$505,CL$3,実績!$AI$6:$AI$505,"&lt;="&amp;$A105,実績!$AJ$6:$AJ$505,"&gt;"&amp;$A105,実績!$AK$6:$AK$505,"○")&gt;0,1,0))</f>
        <v>0</v>
      </c>
      <c r="CM105" s="39" t="n">
        <f aca="false">IF(CM$4=0,0,IF(COUNTIFS(実績!$W$6:$W$505,CM$3,実績!$AI$6:$AI$505,"&lt;="&amp;$A105,実績!$AJ$6:$AJ$505,"&gt;"&amp;$A105,実績!$AK$6:$AK$505,"○")&gt;0,1,0))</f>
        <v>0</v>
      </c>
      <c r="CN105" s="39" t="n">
        <f aca="false">IF(CN$4=0,0,IF(COUNTIFS(実績!$W$6:$W$505,CN$3,実績!$AI$6:$AI$505,"&lt;="&amp;$A105,実績!$AJ$6:$AJ$505,"&gt;"&amp;$A105,実績!$AK$6:$AK$505,"○")&gt;0,1,0))</f>
        <v>0</v>
      </c>
      <c r="CO105" s="39" t="n">
        <f aca="false">IF(CO$4=0,0,IF(COUNTIFS(実績!$W$6:$W$505,CO$3,実績!$AI$6:$AI$505,"&lt;="&amp;$A105,実績!$AJ$6:$AJ$505,"&gt;"&amp;$A105,実績!$AK$6:$AK$505,"○")&gt;0,1,0))</f>
        <v>0</v>
      </c>
      <c r="CP105" s="39" t="n">
        <f aca="false">IF(CP$4=0,0,IF(COUNTIFS(実績!$W$6:$W$505,CP$3,実績!$AI$6:$AI$505,"&lt;="&amp;$A105,実績!$AJ$6:$AJ$505,"&gt;"&amp;$A105,実績!$AK$6:$AK$505,"○")&gt;0,1,0))</f>
        <v>0</v>
      </c>
      <c r="CQ105" s="39" t="n">
        <f aca="false">IF(CQ$4=0,0,IF(COUNTIFS(実績!$W$6:$W$505,CQ$3,実績!$AI$6:$AI$505,"&lt;="&amp;$A105,実績!$AJ$6:$AJ$505,"&gt;"&amp;$A105,実績!$AK$6:$AK$505,"○")&gt;0,1,0))</f>
        <v>0</v>
      </c>
      <c r="CR105" s="39" t="n">
        <f aca="false">IF(CR$4=0,0,IF(COUNTIFS(実績!$W$6:$W$505,CR$3,実績!$AI$6:$AI$505,"&lt;="&amp;$A105,実績!$AJ$6:$AJ$505,"&gt;"&amp;$A105,実績!$AK$6:$AK$505,"○")&gt;0,1,0))</f>
        <v>0</v>
      </c>
      <c r="CS105" s="39" t="n">
        <f aca="false">IF(CS$4=0,0,IF(COUNTIFS(実績!$W$6:$W$505,CS$3,実績!$AI$6:$AI$505,"&lt;="&amp;$A105,実績!$AJ$6:$AJ$505,"&gt;"&amp;$A105,実績!$AK$6:$AK$505,"○")&gt;0,1,0))</f>
        <v>0</v>
      </c>
      <c r="CT105" s="39" t="n">
        <f aca="false">IF(CT$4=0,0,IF(COUNTIFS(実績!$W$6:$W$505,CT$3,実績!$AI$6:$AI$505,"&lt;="&amp;$A105,実績!$AJ$6:$AJ$505,"&gt;"&amp;$A105,実績!$AK$6:$AK$505,"○")&gt;0,1,0))</f>
        <v>0</v>
      </c>
      <c r="CU105" s="39" t="n">
        <f aca="false">IF(CU$4=0,0,IF(COUNTIFS(実績!$W$6:$W$505,CU$3,実績!$AI$6:$AI$505,"&lt;="&amp;$A105,実績!$AJ$6:$AJ$505,"&gt;"&amp;$A105,実績!$AK$6:$AK$505,"○")&gt;0,1,0))</f>
        <v>0</v>
      </c>
      <c r="CV105" s="39" t="n">
        <f aca="false">IF(CV$4=0,0,IF(COUNTIFS(実績!$W$6:$W$505,CV$3,実績!$AI$6:$AI$505,"&lt;="&amp;$A105,実績!$AJ$6:$AJ$505,"&gt;"&amp;$A105,実績!$AK$6:$AK$505,"○")&gt;0,1,0))</f>
        <v>0</v>
      </c>
      <c r="CW105" s="39" t="n">
        <f aca="false">IF(CW$4=0,0,IF(COUNTIFS(実績!$W$6:$W$505,CW$3,実績!$AI$6:$AI$505,"&lt;="&amp;$A105,実績!$AJ$6:$AJ$505,"&gt;"&amp;$A105,実績!$AK$6:$AK$505,"○")&gt;0,1,0))</f>
        <v>0</v>
      </c>
      <c r="CX105" s="39" t="n">
        <f aca="false">IF(CX$4=0,0,IF(COUNTIFS(実績!$W$6:$W$505,CX$3,実績!$AI$6:$AI$505,"&lt;="&amp;$A105,実績!$AJ$6:$AJ$505,"&gt;"&amp;$A105,実績!$AK$6:$AK$505,"○")&gt;0,1,0))</f>
        <v>0</v>
      </c>
      <c r="CY105" s="39" t="n">
        <f aca="false">IF(CY$4=0,0,IF(COUNTIFS(実績!$W$6:$W$505,CY$3,実績!$AI$6:$AI$505,"&lt;="&amp;$A105,実績!$AJ$6:$AJ$505,"&gt;"&amp;$A105,実績!$AK$6:$AK$505,"○")&gt;0,1,0))</f>
        <v>0</v>
      </c>
      <c r="CZ105" s="39" t="n">
        <f aca="false">IF(CZ$4=0,0,IF(COUNTIFS(実績!$W$6:$W$505,CZ$3,実績!$AI$6:$AI$505,"&lt;="&amp;$A105,実績!$AJ$6:$AJ$505,"&gt;"&amp;$A105,実績!$AK$6:$AK$505,"○")&gt;0,1,0))</f>
        <v>0</v>
      </c>
      <c r="DA105" s="39" t="n">
        <f aca="false">IF(DA$4=0,0,IF(COUNTIFS(実績!$W$6:$W$505,DA$3,実績!$AI$6:$AI$505,"&lt;="&amp;$A105,実績!$AJ$6:$AJ$505,"&gt;"&amp;$A105,実績!$AK$6:$AK$505,"○")&gt;0,1,0))</f>
        <v>0</v>
      </c>
      <c r="DB105" s="39" t="n">
        <f aca="false">IF(DB$4=0,0,IF(COUNTIFS(実績!$W$6:$W$505,DB$3,実績!$AI$6:$AI$505,"&lt;="&amp;$A105,実績!$AJ$6:$AJ$505,"&gt;"&amp;$A105,実績!$AK$6:$AK$505,"○")&gt;0,1,0))</f>
        <v>0</v>
      </c>
      <c r="DC105" s="39" t="n">
        <f aca="false">IF(DC$4=0,0,IF(COUNTIFS(実績!$W$6:$W$505,DC$3,実績!$AI$6:$AI$505,"&lt;="&amp;$A105,実績!$AJ$6:$AJ$505,"&gt;"&amp;$A105,実績!$AK$6:$AK$505,"○")&gt;0,1,0))</f>
        <v>0</v>
      </c>
      <c r="DD105" s="39" t="n">
        <f aca="false">IF(DD$4=0,0,IF(COUNTIFS(実績!$W$6:$W$505,DD$3,実績!$AI$6:$AI$505,"&lt;="&amp;$A105,実績!$AJ$6:$AJ$505,"&gt;"&amp;$A105,実績!$AK$6:$AK$505,"○")&gt;0,1,0))</f>
        <v>0</v>
      </c>
      <c r="DE105" s="39" t="n">
        <f aca="false">IF(DE$4=0,0,IF(COUNTIFS(実績!$W$6:$W$505,DE$3,実績!$AI$6:$AI$505,"&lt;="&amp;$A105,実績!$AJ$6:$AJ$505,"&gt;"&amp;$A105,実績!$AK$6:$AK$505,"○")&gt;0,1,0))</f>
        <v>0</v>
      </c>
      <c r="DF105" s="39" t="n">
        <f aca="false">IF(DF$4=0,0,IF(COUNTIFS(実績!$W$6:$W$505,DF$3,実績!$AI$6:$AI$505,"&lt;="&amp;$A105,実績!$AJ$6:$AJ$505,"&gt;"&amp;$A105,実績!$AK$6:$AK$505,"○")&gt;0,1,0))</f>
        <v>0</v>
      </c>
      <c r="DG105" s="39" t="n">
        <f aca="false">IF(DG$4=0,0,IF(COUNTIFS(実績!$W$6:$W$505,DG$3,実績!$AI$6:$AI$505,"&lt;="&amp;$A105,実績!$AJ$6:$AJ$505,"&gt;"&amp;$A105,実績!$AK$6:$AK$505,"○")&gt;0,1,0))</f>
        <v>0</v>
      </c>
      <c r="DH105" s="39" t="n">
        <f aca="false">IF(DH$4=0,0,IF(COUNTIFS(実績!$W$6:$W$505,DH$3,実績!$AI$6:$AI$505,"&lt;="&amp;$A105,実績!$AJ$6:$AJ$505,"&gt;"&amp;$A105,実績!$AK$6:$AK$505,"○")&gt;0,1,0))</f>
        <v>0</v>
      </c>
      <c r="DI105" s="39" t="n">
        <f aca="false">IF(DI$4=0,0,IF(COUNTIFS(実績!$W$6:$W$505,DI$3,実績!$AI$6:$AI$505,"&lt;="&amp;$A105,実績!$AJ$6:$AJ$505,"&gt;"&amp;$A105,実績!$AK$6:$AK$505,"○")&gt;0,1,0))</f>
        <v>0</v>
      </c>
      <c r="DJ105" s="39" t="n">
        <f aca="false">IF(DJ$4=0,0,IF(COUNTIFS(実績!$W$6:$W$505,DJ$3,実績!$AI$6:$AI$505,"&lt;="&amp;$A105,実績!$AJ$6:$AJ$505,"&gt;"&amp;$A105,実績!$AK$6:$AK$505,"○")&gt;0,1,0))</f>
        <v>0</v>
      </c>
      <c r="DK105" s="39" t="n">
        <f aca="false">IF(DK$4=0,0,IF(COUNTIFS(実績!$W$6:$W$505,DK$3,実績!$AI$6:$AI$505,"&lt;="&amp;$A105,実績!$AJ$6:$AJ$505,"&gt;"&amp;$A105,実績!$AK$6:$AK$505,"○")&gt;0,1,0))</f>
        <v>0</v>
      </c>
      <c r="DL105" s="39" t="n">
        <f aca="false">IF(DL$4=0,0,IF(COUNTIFS(実績!$W$6:$W$505,DL$3,実績!$AI$6:$AI$505,"&lt;="&amp;$A105,実績!$AJ$6:$AJ$505,"&gt;"&amp;$A105,実績!$AK$6:$AK$505,"○")&gt;0,1,0))</f>
        <v>0</v>
      </c>
      <c r="DM105" s="39" t="n">
        <f aca="false">IF(DM$4=0,0,IF(COUNTIFS(実績!$W$6:$W$505,DM$3,実績!$AI$6:$AI$505,"&lt;="&amp;$A105,実績!$AJ$6:$AJ$505,"&gt;"&amp;$A105,実績!$AK$6:$AK$505,"○")&gt;0,1,0))</f>
        <v>0</v>
      </c>
      <c r="DN105" s="39" t="n">
        <f aca="false">IF(DN$4=0,0,IF(COUNTIFS(実績!$W$6:$W$505,DN$3,実績!$AI$6:$AI$505,"&lt;="&amp;$A105,実績!$AJ$6:$AJ$505,"&gt;"&amp;$A105,実績!$AK$6:$AK$505,"○")&gt;0,1,0))</f>
        <v>0</v>
      </c>
      <c r="DO105" s="39" t="n">
        <f aca="false">IF(DO$4=0,0,IF(COUNTIFS(実績!$W$6:$W$505,DO$3,実績!$AI$6:$AI$505,"&lt;="&amp;$A105,実績!$AJ$6:$AJ$505,"&gt;"&amp;$A105,実績!$AK$6:$AK$505,"○")&gt;0,1,0))</f>
        <v>0</v>
      </c>
      <c r="DP105" s="39" t="n">
        <f aca="false">IF(DP$4=0,0,IF(COUNTIFS(実績!$W$6:$W$505,DP$3,実績!$AI$6:$AI$505,"&lt;="&amp;$A105,実績!$AJ$6:$AJ$505,"&gt;"&amp;$A105,実績!$AK$6:$AK$505,"○")&gt;0,1,0))</f>
        <v>0</v>
      </c>
      <c r="DQ105" s="39" t="n">
        <f aca="false">IF(DQ$4=0,0,IF(COUNTIFS(実績!$W$6:$W$505,DQ$3,実績!$AI$6:$AI$505,"&lt;="&amp;$A105,実績!$AJ$6:$AJ$505,"&gt;"&amp;$A105,実績!$AK$6:$AK$505,"○")&gt;0,1,0))</f>
        <v>0</v>
      </c>
      <c r="DR105" s="39" t="n">
        <f aca="false">IF(DR$4=0,0,IF(COUNTIFS(実績!$W$6:$W$505,DR$3,実績!$AI$6:$AI$505,"&lt;="&amp;$A105,実績!$AJ$6:$AJ$505,"&gt;"&amp;$A105,実績!$AK$6:$AK$505,"○")&gt;0,1,0))</f>
        <v>0</v>
      </c>
      <c r="DS105" s="39" t="n">
        <f aca="false">SUM(C105:DR105)</f>
        <v>0</v>
      </c>
      <c r="DT105" s="39" t="n">
        <f aca="false">SUMPRODUCT((実績!$C$6:$C$505="○")*ISNUMBER(実績!$AM$6:$AM$505)*(実績!$AM$6:$AM$505&lt;=$A105)*(実績!$AN$6:$AN$505&gt;$A105))</f>
        <v>0</v>
      </c>
      <c r="DU105" s="39" t="n">
        <f aca="false">SUMIF($C$2:$DR$2,"製鉄曳船",C105:DR105)</f>
        <v>0</v>
      </c>
      <c r="DV105" s="39" t="n">
        <f aca="false">SUMIF($C$2:$DR$2,"西日本海運",C105:DR105)</f>
        <v>0</v>
      </c>
    </row>
    <row r="106" customFormat="false" ht="15" hidden="false" customHeight="false" outlineLevel="0" collapsed="false">
      <c r="A106" s="0" t="n">
        <v>500</v>
      </c>
      <c r="B106" s="38" t="n">
        <f aca="false">A106/1440</f>
        <v>0.347222222222222</v>
      </c>
      <c r="C106" s="39" t="n">
        <f aca="false">IF(C$4=0,0,IF(COUNTIFS(実績!$W$6:$W$505,C$3,実績!$AI$6:$AI$505,"&lt;="&amp;$A106,実績!$AJ$6:$AJ$505,"&gt;"&amp;$A106,実績!$AK$6:$AK$505,"○")&gt;0,1,0))</f>
        <v>0</v>
      </c>
      <c r="D106" s="39" t="n">
        <f aca="false">IF(D$4=0,0,IF(COUNTIFS(実績!$W$6:$W$505,D$3,実績!$AI$6:$AI$505,"&lt;="&amp;$A106,実績!$AJ$6:$AJ$505,"&gt;"&amp;$A106,実績!$AK$6:$AK$505,"○")&gt;0,1,0))</f>
        <v>0</v>
      </c>
      <c r="E106" s="39" t="n">
        <f aca="false">IF(E$4=0,0,IF(COUNTIFS(実績!$W$6:$W$505,E$3,実績!$AI$6:$AI$505,"&lt;="&amp;$A106,実績!$AJ$6:$AJ$505,"&gt;"&amp;$A106,実績!$AK$6:$AK$505,"○")&gt;0,1,0))</f>
        <v>0</v>
      </c>
      <c r="F106" s="39" t="n">
        <f aca="false">IF(F$4=0,0,IF(COUNTIFS(実績!$W$6:$W$505,F$3,実績!$AI$6:$AI$505,"&lt;="&amp;$A106,実績!$AJ$6:$AJ$505,"&gt;"&amp;$A106,実績!$AK$6:$AK$505,"○")&gt;0,1,0))</f>
        <v>0</v>
      </c>
      <c r="G106" s="39" t="n">
        <f aca="false">IF(G$4=0,0,IF(COUNTIFS(実績!$W$6:$W$505,G$3,実績!$AI$6:$AI$505,"&lt;="&amp;$A106,実績!$AJ$6:$AJ$505,"&gt;"&amp;$A106,実績!$AK$6:$AK$505,"○")&gt;0,1,0))</f>
        <v>0</v>
      </c>
      <c r="H106" s="39" t="n">
        <f aca="false">IF(H$4=0,0,IF(COUNTIFS(実績!$W$6:$W$505,H$3,実績!$AI$6:$AI$505,"&lt;="&amp;$A106,実績!$AJ$6:$AJ$505,"&gt;"&amp;$A106,実績!$AK$6:$AK$505,"○")&gt;0,1,0))</f>
        <v>0</v>
      </c>
      <c r="I106" s="39" t="n">
        <f aca="false">IF(I$4=0,0,IF(COUNTIFS(実績!$W$6:$W$505,I$3,実績!$AI$6:$AI$505,"&lt;="&amp;$A106,実績!$AJ$6:$AJ$505,"&gt;"&amp;$A106,実績!$AK$6:$AK$505,"○")&gt;0,1,0))</f>
        <v>0</v>
      </c>
      <c r="J106" s="39" t="n">
        <f aca="false">IF(J$4=0,0,IF(COUNTIFS(実績!$W$6:$W$505,J$3,実績!$AI$6:$AI$505,"&lt;="&amp;$A106,実績!$AJ$6:$AJ$505,"&gt;"&amp;$A106,実績!$AK$6:$AK$505,"○")&gt;0,1,0))</f>
        <v>0</v>
      </c>
      <c r="K106" s="39" t="n">
        <f aca="false">IF(K$4=0,0,IF(COUNTIFS(実績!$W$6:$W$505,K$3,実績!$AI$6:$AI$505,"&lt;="&amp;$A106,実績!$AJ$6:$AJ$505,"&gt;"&amp;$A106,実績!$AK$6:$AK$505,"○")&gt;0,1,0))</f>
        <v>0</v>
      </c>
      <c r="L106" s="39" t="n">
        <f aca="false">IF(L$4=0,0,IF(COUNTIFS(実績!$W$6:$W$505,L$3,実績!$AI$6:$AI$505,"&lt;="&amp;$A106,実績!$AJ$6:$AJ$505,"&gt;"&amp;$A106,実績!$AK$6:$AK$505,"○")&gt;0,1,0))</f>
        <v>0</v>
      </c>
      <c r="M106" s="39" t="n">
        <f aca="false">IF(M$4=0,0,IF(COUNTIFS(実績!$W$6:$W$505,M$3,実績!$AI$6:$AI$505,"&lt;="&amp;$A106,実績!$AJ$6:$AJ$505,"&gt;"&amp;$A106,実績!$AK$6:$AK$505,"○")&gt;0,1,0))</f>
        <v>0</v>
      </c>
      <c r="N106" s="39" t="n">
        <f aca="false">IF(N$4=0,0,IF(COUNTIFS(実績!$W$6:$W$505,N$3,実績!$AI$6:$AI$505,"&lt;="&amp;$A106,実績!$AJ$6:$AJ$505,"&gt;"&amp;$A106,実績!$AK$6:$AK$505,"○")&gt;0,1,0))</f>
        <v>0</v>
      </c>
      <c r="O106" s="39" t="n">
        <f aca="false">IF(O$4=0,0,IF(COUNTIFS(実績!$W$6:$W$505,O$3,実績!$AI$6:$AI$505,"&lt;="&amp;$A106,実績!$AJ$6:$AJ$505,"&gt;"&amp;$A106,実績!$AK$6:$AK$505,"○")&gt;0,1,0))</f>
        <v>0</v>
      </c>
      <c r="P106" s="39" t="n">
        <f aca="false">IF(P$4=0,0,IF(COUNTIFS(実績!$W$6:$W$505,P$3,実績!$AI$6:$AI$505,"&lt;="&amp;$A106,実績!$AJ$6:$AJ$505,"&gt;"&amp;$A106,実績!$AK$6:$AK$505,"○")&gt;0,1,0))</f>
        <v>0</v>
      </c>
      <c r="Q106" s="39" t="n">
        <f aca="false">IF(Q$4=0,0,IF(COUNTIFS(実績!$W$6:$W$505,Q$3,実績!$AI$6:$AI$505,"&lt;="&amp;$A106,実績!$AJ$6:$AJ$505,"&gt;"&amp;$A106,実績!$AK$6:$AK$505,"○")&gt;0,1,0))</f>
        <v>0</v>
      </c>
      <c r="R106" s="39" t="n">
        <f aca="false">IF(R$4=0,0,IF(COUNTIFS(実績!$W$6:$W$505,R$3,実績!$AI$6:$AI$505,"&lt;="&amp;$A106,実績!$AJ$6:$AJ$505,"&gt;"&amp;$A106,実績!$AK$6:$AK$505,"○")&gt;0,1,0))</f>
        <v>0</v>
      </c>
      <c r="S106" s="39" t="n">
        <f aca="false">IF(S$4=0,0,IF(COUNTIFS(実績!$W$6:$W$505,S$3,実績!$AI$6:$AI$505,"&lt;="&amp;$A106,実績!$AJ$6:$AJ$505,"&gt;"&amp;$A106,実績!$AK$6:$AK$505,"○")&gt;0,1,0))</f>
        <v>0</v>
      </c>
      <c r="T106" s="39" t="n">
        <f aca="false">IF(T$4=0,0,IF(COUNTIFS(実績!$W$6:$W$505,T$3,実績!$AI$6:$AI$505,"&lt;="&amp;$A106,実績!$AJ$6:$AJ$505,"&gt;"&amp;$A106,実績!$AK$6:$AK$505,"○")&gt;0,1,0))</f>
        <v>0</v>
      </c>
      <c r="U106" s="39" t="n">
        <f aca="false">IF(U$4=0,0,IF(COUNTIFS(実績!$W$6:$W$505,U$3,実績!$AI$6:$AI$505,"&lt;="&amp;$A106,実績!$AJ$6:$AJ$505,"&gt;"&amp;$A106,実績!$AK$6:$AK$505,"○")&gt;0,1,0))</f>
        <v>0</v>
      </c>
      <c r="V106" s="39" t="n">
        <f aca="false">IF(V$4=0,0,IF(COUNTIFS(実績!$W$6:$W$505,V$3,実績!$AI$6:$AI$505,"&lt;="&amp;$A106,実績!$AJ$6:$AJ$505,"&gt;"&amp;$A106,実績!$AK$6:$AK$505,"○")&gt;0,1,0))</f>
        <v>0</v>
      </c>
      <c r="W106" s="39" t="n">
        <f aca="false">IF(W$4=0,0,IF(COUNTIFS(実績!$W$6:$W$505,W$3,実績!$AI$6:$AI$505,"&lt;="&amp;$A106,実績!$AJ$6:$AJ$505,"&gt;"&amp;$A106,実績!$AK$6:$AK$505,"○")&gt;0,1,0))</f>
        <v>0</v>
      </c>
      <c r="X106" s="39" t="n">
        <f aca="false">IF(X$4=0,0,IF(COUNTIFS(実績!$W$6:$W$505,X$3,実績!$AI$6:$AI$505,"&lt;="&amp;$A106,実績!$AJ$6:$AJ$505,"&gt;"&amp;$A106,実績!$AK$6:$AK$505,"○")&gt;0,1,0))</f>
        <v>0</v>
      </c>
      <c r="Y106" s="39" t="n">
        <f aca="false">IF(Y$4=0,0,IF(COUNTIFS(実績!$W$6:$W$505,Y$3,実績!$AI$6:$AI$505,"&lt;="&amp;$A106,実績!$AJ$6:$AJ$505,"&gt;"&amp;$A106,実績!$AK$6:$AK$505,"○")&gt;0,1,0))</f>
        <v>0</v>
      </c>
      <c r="Z106" s="39" t="n">
        <f aca="false">IF(Z$4=0,0,IF(COUNTIFS(実績!$W$6:$W$505,Z$3,実績!$AI$6:$AI$505,"&lt;="&amp;$A106,実績!$AJ$6:$AJ$505,"&gt;"&amp;$A106,実績!$AK$6:$AK$505,"○")&gt;0,1,0))</f>
        <v>0</v>
      </c>
      <c r="AA106" s="39" t="n">
        <f aca="false">IF(AA$4=0,0,IF(COUNTIFS(実績!$W$6:$W$505,AA$3,実績!$AI$6:$AI$505,"&lt;="&amp;$A106,実績!$AJ$6:$AJ$505,"&gt;"&amp;$A106,実績!$AK$6:$AK$505,"○")&gt;0,1,0))</f>
        <v>0</v>
      </c>
      <c r="AB106" s="39" t="n">
        <f aca="false">IF(AB$4=0,0,IF(COUNTIFS(実績!$W$6:$W$505,AB$3,実績!$AI$6:$AI$505,"&lt;="&amp;$A106,実績!$AJ$6:$AJ$505,"&gt;"&amp;$A106,実績!$AK$6:$AK$505,"○")&gt;0,1,0))</f>
        <v>0</v>
      </c>
      <c r="AC106" s="39" t="n">
        <f aca="false">IF(AC$4=0,0,IF(COUNTIFS(実績!$W$6:$W$505,AC$3,実績!$AI$6:$AI$505,"&lt;="&amp;$A106,実績!$AJ$6:$AJ$505,"&gt;"&amp;$A106,実績!$AK$6:$AK$505,"○")&gt;0,1,0))</f>
        <v>0</v>
      </c>
      <c r="AD106" s="39" t="n">
        <f aca="false">IF(AD$4=0,0,IF(COUNTIFS(実績!$W$6:$W$505,AD$3,実績!$AI$6:$AI$505,"&lt;="&amp;$A106,実績!$AJ$6:$AJ$505,"&gt;"&amp;$A106,実績!$AK$6:$AK$505,"○")&gt;0,1,0))</f>
        <v>0</v>
      </c>
      <c r="AE106" s="39" t="n">
        <f aca="false">IF(AE$4=0,0,IF(COUNTIFS(実績!$W$6:$W$505,AE$3,実績!$AI$6:$AI$505,"&lt;="&amp;$A106,実績!$AJ$6:$AJ$505,"&gt;"&amp;$A106,実績!$AK$6:$AK$505,"○")&gt;0,1,0))</f>
        <v>0</v>
      </c>
      <c r="AF106" s="39" t="n">
        <f aca="false">IF(AF$4=0,0,IF(COUNTIFS(実績!$W$6:$W$505,AF$3,実績!$AI$6:$AI$505,"&lt;="&amp;$A106,実績!$AJ$6:$AJ$505,"&gt;"&amp;$A106,実績!$AK$6:$AK$505,"○")&gt;0,1,0))</f>
        <v>0</v>
      </c>
      <c r="AG106" s="39" t="n">
        <f aca="false">IF(AG$4=0,0,IF(COUNTIFS(実績!$W$6:$W$505,AG$3,実績!$AI$6:$AI$505,"&lt;="&amp;$A106,実績!$AJ$6:$AJ$505,"&gt;"&amp;$A106,実績!$AK$6:$AK$505,"○")&gt;0,1,0))</f>
        <v>0</v>
      </c>
      <c r="AH106" s="39" t="n">
        <f aca="false">IF(AH$4=0,0,IF(COUNTIFS(実績!$W$6:$W$505,AH$3,実績!$AI$6:$AI$505,"&lt;="&amp;$A106,実績!$AJ$6:$AJ$505,"&gt;"&amp;$A106,実績!$AK$6:$AK$505,"○")&gt;0,1,0))</f>
        <v>0</v>
      </c>
      <c r="AI106" s="39" t="n">
        <f aca="false">IF(AI$4=0,0,IF(COUNTIFS(実績!$W$6:$W$505,AI$3,実績!$AI$6:$AI$505,"&lt;="&amp;$A106,実績!$AJ$6:$AJ$505,"&gt;"&amp;$A106,実績!$AK$6:$AK$505,"○")&gt;0,1,0))</f>
        <v>0</v>
      </c>
      <c r="AJ106" s="39" t="n">
        <f aca="false">IF(AJ$4=0,0,IF(COUNTIFS(実績!$W$6:$W$505,AJ$3,実績!$AI$6:$AI$505,"&lt;="&amp;$A106,実績!$AJ$6:$AJ$505,"&gt;"&amp;$A106,実績!$AK$6:$AK$505,"○")&gt;0,1,0))</f>
        <v>0</v>
      </c>
      <c r="AK106" s="39" t="n">
        <f aca="false">IF(AK$4=0,0,IF(COUNTIFS(実績!$W$6:$W$505,AK$3,実績!$AI$6:$AI$505,"&lt;="&amp;$A106,実績!$AJ$6:$AJ$505,"&gt;"&amp;$A106,実績!$AK$6:$AK$505,"○")&gt;0,1,0))</f>
        <v>0</v>
      </c>
      <c r="AL106" s="39" t="n">
        <f aca="false">IF(AL$4=0,0,IF(COUNTIFS(実績!$W$6:$W$505,AL$3,実績!$AI$6:$AI$505,"&lt;="&amp;$A106,実績!$AJ$6:$AJ$505,"&gt;"&amp;$A106,実績!$AK$6:$AK$505,"○")&gt;0,1,0))</f>
        <v>0</v>
      </c>
      <c r="AM106" s="39" t="n">
        <f aca="false">IF(AM$4=0,0,IF(COUNTIFS(実績!$W$6:$W$505,AM$3,実績!$AI$6:$AI$505,"&lt;="&amp;$A106,実績!$AJ$6:$AJ$505,"&gt;"&amp;$A106,実績!$AK$6:$AK$505,"○")&gt;0,1,0))</f>
        <v>0</v>
      </c>
      <c r="AN106" s="39" t="n">
        <f aca="false">IF(AN$4=0,0,IF(COUNTIFS(実績!$W$6:$W$505,AN$3,実績!$AI$6:$AI$505,"&lt;="&amp;$A106,実績!$AJ$6:$AJ$505,"&gt;"&amp;$A106,実績!$AK$6:$AK$505,"○")&gt;0,1,0))</f>
        <v>0</v>
      </c>
      <c r="AO106" s="39" t="n">
        <f aca="false">IF(AO$4=0,0,IF(COUNTIFS(実績!$W$6:$W$505,AO$3,実績!$AI$6:$AI$505,"&lt;="&amp;$A106,実績!$AJ$6:$AJ$505,"&gt;"&amp;$A106,実績!$AK$6:$AK$505,"○")&gt;0,1,0))</f>
        <v>0</v>
      </c>
      <c r="AP106" s="39" t="n">
        <f aca="false">IF(AP$4=0,0,IF(COUNTIFS(実績!$W$6:$W$505,AP$3,実績!$AI$6:$AI$505,"&lt;="&amp;$A106,実績!$AJ$6:$AJ$505,"&gt;"&amp;$A106,実績!$AK$6:$AK$505,"○")&gt;0,1,0))</f>
        <v>0</v>
      </c>
      <c r="AQ106" s="39" t="n">
        <f aca="false">IF(AQ$4=0,0,IF(COUNTIFS(実績!$W$6:$W$505,AQ$3,実績!$AI$6:$AI$505,"&lt;="&amp;$A106,実績!$AJ$6:$AJ$505,"&gt;"&amp;$A106,実績!$AK$6:$AK$505,"○")&gt;0,1,0))</f>
        <v>0</v>
      </c>
      <c r="AR106" s="39" t="n">
        <f aca="false">IF(AR$4=0,0,IF(COUNTIFS(実績!$W$6:$W$505,AR$3,実績!$AI$6:$AI$505,"&lt;="&amp;$A106,実績!$AJ$6:$AJ$505,"&gt;"&amp;$A106,実績!$AK$6:$AK$505,"○")&gt;0,1,0))</f>
        <v>0</v>
      </c>
      <c r="AS106" s="39" t="n">
        <f aca="false">IF(AS$4=0,0,IF(COUNTIFS(実績!$W$6:$W$505,AS$3,実績!$AI$6:$AI$505,"&lt;="&amp;$A106,実績!$AJ$6:$AJ$505,"&gt;"&amp;$A106,実績!$AK$6:$AK$505,"○")&gt;0,1,0))</f>
        <v>0</v>
      </c>
      <c r="AT106" s="39" t="n">
        <f aca="false">IF(AT$4=0,0,IF(COUNTIFS(実績!$W$6:$W$505,AT$3,実績!$AI$6:$AI$505,"&lt;="&amp;$A106,実績!$AJ$6:$AJ$505,"&gt;"&amp;$A106,実績!$AK$6:$AK$505,"○")&gt;0,1,0))</f>
        <v>0</v>
      </c>
      <c r="AU106" s="39" t="n">
        <f aca="false">IF(AU$4=0,0,IF(COUNTIFS(実績!$W$6:$W$505,AU$3,実績!$AI$6:$AI$505,"&lt;="&amp;$A106,実績!$AJ$6:$AJ$505,"&gt;"&amp;$A106,実績!$AK$6:$AK$505,"○")&gt;0,1,0))</f>
        <v>0</v>
      </c>
      <c r="AV106" s="39" t="n">
        <f aca="false">IF(AV$4=0,0,IF(COUNTIFS(実績!$W$6:$W$505,AV$3,実績!$AI$6:$AI$505,"&lt;="&amp;$A106,実績!$AJ$6:$AJ$505,"&gt;"&amp;$A106,実績!$AK$6:$AK$505,"○")&gt;0,1,0))</f>
        <v>0</v>
      </c>
      <c r="AW106" s="39" t="n">
        <f aca="false">IF(AW$4=0,0,IF(COUNTIFS(実績!$W$6:$W$505,AW$3,実績!$AI$6:$AI$505,"&lt;="&amp;$A106,実績!$AJ$6:$AJ$505,"&gt;"&amp;$A106,実績!$AK$6:$AK$505,"○")&gt;0,1,0))</f>
        <v>0</v>
      </c>
      <c r="AX106" s="39" t="n">
        <f aca="false">IF(AX$4=0,0,IF(COUNTIFS(実績!$W$6:$W$505,AX$3,実績!$AI$6:$AI$505,"&lt;="&amp;$A106,実績!$AJ$6:$AJ$505,"&gt;"&amp;$A106,実績!$AK$6:$AK$505,"○")&gt;0,1,0))</f>
        <v>0</v>
      </c>
      <c r="AY106" s="39" t="n">
        <f aca="false">IF(AY$4=0,0,IF(COUNTIFS(実績!$W$6:$W$505,AY$3,実績!$AI$6:$AI$505,"&lt;="&amp;$A106,実績!$AJ$6:$AJ$505,"&gt;"&amp;$A106,実績!$AK$6:$AK$505,"○")&gt;0,1,0))</f>
        <v>0</v>
      </c>
      <c r="AZ106" s="39" t="n">
        <f aca="false">IF(AZ$4=0,0,IF(COUNTIFS(実績!$W$6:$W$505,AZ$3,実績!$AI$6:$AI$505,"&lt;="&amp;$A106,実績!$AJ$6:$AJ$505,"&gt;"&amp;$A106,実績!$AK$6:$AK$505,"○")&gt;0,1,0))</f>
        <v>0</v>
      </c>
      <c r="BA106" s="39" t="n">
        <f aca="false">IF(BA$4=0,0,IF(COUNTIFS(実績!$W$6:$W$505,BA$3,実績!$AI$6:$AI$505,"&lt;="&amp;$A106,実績!$AJ$6:$AJ$505,"&gt;"&amp;$A106,実績!$AK$6:$AK$505,"○")&gt;0,1,0))</f>
        <v>0</v>
      </c>
      <c r="BB106" s="39" t="n">
        <f aca="false">IF(BB$4=0,0,IF(COUNTIFS(実績!$W$6:$W$505,BB$3,実績!$AI$6:$AI$505,"&lt;="&amp;$A106,実績!$AJ$6:$AJ$505,"&gt;"&amp;$A106,実績!$AK$6:$AK$505,"○")&gt;0,1,0))</f>
        <v>0</v>
      </c>
      <c r="BC106" s="39" t="n">
        <f aca="false">IF(BC$4=0,0,IF(COUNTIFS(実績!$W$6:$W$505,BC$3,実績!$AI$6:$AI$505,"&lt;="&amp;$A106,実績!$AJ$6:$AJ$505,"&gt;"&amp;$A106,実績!$AK$6:$AK$505,"○")&gt;0,1,0))</f>
        <v>0</v>
      </c>
      <c r="BD106" s="39" t="n">
        <f aca="false">IF(BD$4=0,0,IF(COUNTIFS(実績!$W$6:$W$505,BD$3,実績!$AI$6:$AI$505,"&lt;="&amp;$A106,実績!$AJ$6:$AJ$505,"&gt;"&amp;$A106,実績!$AK$6:$AK$505,"○")&gt;0,1,0))</f>
        <v>0</v>
      </c>
      <c r="BE106" s="39" t="n">
        <f aca="false">IF(BE$4=0,0,IF(COUNTIFS(実績!$W$6:$W$505,BE$3,実績!$AI$6:$AI$505,"&lt;="&amp;$A106,実績!$AJ$6:$AJ$505,"&gt;"&amp;$A106,実績!$AK$6:$AK$505,"○")&gt;0,1,0))</f>
        <v>0</v>
      </c>
      <c r="BF106" s="39" t="n">
        <f aca="false">IF(BF$4=0,0,IF(COUNTIFS(実績!$W$6:$W$505,BF$3,実績!$AI$6:$AI$505,"&lt;="&amp;$A106,実績!$AJ$6:$AJ$505,"&gt;"&amp;$A106,実績!$AK$6:$AK$505,"○")&gt;0,1,0))</f>
        <v>0</v>
      </c>
      <c r="BG106" s="39" t="n">
        <f aca="false">IF(BG$4=0,0,IF(COUNTIFS(実績!$W$6:$W$505,BG$3,実績!$AI$6:$AI$505,"&lt;="&amp;$A106,実績!$AJ$6:$AJ$505,"&gt;"&amp;$A106,実績!$AK$6:$AK$505,"○")&gt;0,1,0))</f>
        <v>0</v>
      </c>
      <c r="BH106" s="39" t="n">
        <f aca="false">IF(BH$4=0,0,IF(COUNTIFS(実績!$W$6:$W$505,BH$3,実績!$AI$6:$AI$505,"&lt;="&amp;$A106,実績!$AJ$6:$AJ$505,"&gt;"&amp;$A106,実績!$AK$6:$AK$505,"○")&gt;0,1,0))</f>
        <v>0</v>
      </c>
      <c r="BI106" s="39" t="n">
        <f aca="false">IF(BI$4=0,0,IF(COUNTIFS(実績!$W$6:$W$505,BI$3,実績!$AI$6:$AI$505,"&lt;="&amp;$A106,実績!$AJ$6:$AJ$505,"&gt;"&amp;$A106,実績!$AK$6:$AK$505,"○")&gt;0,1,0))</f>
        <v>0</v>
      </c>
      <c r="BJ106" s="39" t="n">
        <f aca="false">IF(BJ$4=0,0,IF(COUNTIFS(実績!$W$6:$W$505,BJ$3,実績!$AI$6:$AI$505,"&lt;="&amp;$A106,実績!$AJ$6:$AJ$505,"&gt;"&amp;$A106,実績!$AK$6:$AK$505,"○")&gt;0,1,0))</f>
        <v>0</v>
      </c>
      <c r="BK106" s="39" t="n">
        <f aca="false">IF(BK$4=0,0,IF(COUNTIFS(実績!$W$6:$W$505,BK$3,実績!$AI$6:$AI$505,"&lt;="&amp;$A106,実績!$AJ$6:$AJ$505,"&gt;"&amp;$A106,実績!$AK$6:$AK$505,"○")&gt;0,1,0))</f>
        <v>0</v>
      </c>
      <c r="BL106" s="39" t="n">
        <f aca="false">IF(BL$4=0,0,IF(COUNTIFS(実績!$W$6:$W$505,BL$3,実績!$AI$6:$AI$505,"&lt;="&amp;$A106,実績!$AJ$6:$AJ$505,"&gt;"&amp;$A106,実績!$AK$6:$AK$505,"○")&gt;0,1,0))</f>
        <v>0</v>
      </c>
      <c r="BM106" s="39" t="n">
        <f aca="false">IF(BM$4=0,0,IF(COUNTIFS(実績!$W$6:$W$505,BM$3,実績!$AI$6:$AI$505,"&lt;="&amp;$A106,実績!$AJ$6:$AJ$505,"&gt;"&amp;$A106,実績!$AK$6:$AK$505,"○")&gt;0,1,0))</f>
        <v>0</v>
      </c>
      <c r="BN106" s="39" t="n">
        <f aca="false">IF(BN$4=0,0,IF(COUNTIFS(実績!$W$6:$W$505,BN$3,実績!$AI$6:$AI$505,"&lt;="&amp;$A106,実績!$AJ$6:$AJ$505,"&gt;"&amp;$A106,実績!$AK$6:$AK$505,"○")&gt;0,1,0))</f>
        <v>0</v>
      </c>
      <c r="BO106" s="39" t="n">
        <f aca="false">IF(BO$4=0,0,IF(COUNTIFS(実績!$W$6:$W$505,BO$3,実績!$AI$6:$AI$505,"&lt;="&amp;$A106,実績!$AJ$6:$AJ$505,"&gt;"&amp;$A106,実績!$AK$6:$AK$505,"○")&gt;0,1,0))</f>
        <v>0</v>
      </c>
      <c r="BP106" s="39" t="n">
        <f aca="false">IF(BP$4=0,0,IF(COUNTIFS(実績!$W$6:$W$505,BP$3,実績!$AI$6:$AI$505,"&lt;="&amp;$A106,実績!$AJ$6:$AJ$505,"&gt;"&amp;$A106,実績!$AK$6:$AK$505,"○")&gt;0,1,0))</f>
        <v>0</v>
      </c>
      <c r="BQ106" s="39" t="n">
        <f aca="false">IF(BQ$4=0,0,IF(COUNTIFS(実績!$W$6:$W$505,BQ$3,実績!$AI$6:$AI$505,"&lt;="&amp;$A106,実績!$AJ$6:$AJ$505,"&gt;"&amp;$A106,実績!$AK$6:$AK$505,"○")&gt;0,1,0))</f>
        <v>0</v>
      </c>
      <c r="BR106" s="39" t="n">
        <f aca="false">IF(BR$4=0,0,IF(COUNTIFS(実績!$W$6:$W$505,BR$3,実績!$AI$6:$AI$505,"&lt;="&amp;$A106,実績!$AJ$6:$AJ$505,"&gt;"&amp;$A106,実績!$AK$6:$AK$505,"○")&gt;0,1,0))</f>
        <v>0</v>
      </c>
      <c r="BS106" s="39" t="n">
        <f aca="false">IF(BS$4=0,0,IF(COUNTIFS(実績!$W$6:$W$505,BS$3,実績!$AI$6:$AI$505,"&lt;="&amp;$A106,実績!$AJ$6:$AJ$505,"&gt;"&amp;$A106,実績!$AK$6:$AK$505,"○")&gt;0,1,0))</f>
        <v>0</v>
      </c>
      <c r="BT106" s="39" t="n">
        <f aca="false">IF(BT$4=0,0,IF(COUNTIFS(実績!$W$6:$W$505,BT$3,実績!$AI$6:$AI$505,"&lt;="&amp;$A106,実績!$AJ$6:$AJ$505,"&gt;"&amp;$A106,実績!$AK$6:$AK$505,"○")&gt;0,1,0))</f>
        <v>0</v>
      </c>
      <c r="BU106" s="39" t="n">
        <f aca="false">IF(BU$4=0,0,IF(COUNTIFS(実績!$W$6:$W$505,BU$3,実績!$AI$6:$AI$505,"&lt;="&amp;$A106,実績!$AJ$6:$AJ$505,"&gt;"&amp;$A106,実績!$AK$6:$AK$505,"○")&gt;0,1,0))</f>
        <v>0</v>
      </c>
      <c r="BV106" s="39" t="n">
        <f aca="false">IF(BV$4=0,0,IF(COUNTIFS(実績!$W$6:$W$505,BV$3,実績!$AI$6:$AI$505,"&lt;="&amp;$A106,実績!$AJ$6:$AJ$505,"&gt;"&amp;$A106,実績!$AK$6:$AK$505,"○")&gt;0,1,0))</f>
        <v>0</v>
      </c>
      <c r="BW106" s="39" t="n">
        <f aca="false">IF(BW$4=0,0,IF(COUNTIFS(実績!$W$6:$W$505,BW$3,実績!$AI$6:$AI$505,"&lt;="&amp;$A106,実績!$AJ$6:$AJ$505,"&gt;"&amp;$A106,実績!$AK$6:$AK$505,"○")&gt;0,1,0))</f>
        <v>0</v>
      </c>
      <c r="BX106" s="39" t="n">
        <f aca="false">IF(BX$4=0,0,IF(COUNTIFS(実績!$W$6:$W$505,BX$3,実績!$AI$6:$AI$505,"&lt;="&amp;$A106,実績!$AJ$6:$AJ$505,"&gt;"&amp;$A106,実績!$AK$6:$AK$505,"○")&gt;0,1,0))</f>
        <v>0</v>
      </c>
      <c r="BY106" s="39" t="n">
        <f aca="false">IF(BY$4=0,0,IF(COUNTIFS(実績!$W$6:$W$505,BY$3,実績!$AI$6:$AI$505,"&lt;="&amp;$A106,実績!$AJ$6:$AJ$505,"&gt;"&amp;$A106,実績!$AK$6:$AK$505,"○")&gt;0,1,0))</f>
        <v>0</v>
      </c>
      <c r="BZ106" s="39" t="n">
        <f aca="false">IF(BZ$4=0,0,IF(COUNTIFS(実績!$W$6:$W$505,BZ$3,実績!$AI$6:$AI$505,"&lt;="&amp;$A106,実績!$AJ$6:$AJ$505,"&gt;"&amp;$A106,実績!$AK$6:$AK$505,"○")&gt;0,1,0))</f>
        <v>0</v>
      </c>
      <c r="CA106" s="39" t="n">
        <f aca="false">IF(CA$4=0,0,IF(COUNTIFS(実績!$W$6:$W$505,CA$3,実績!$AI$6:$AI$505,"&lt;="&amp;$A106,実績!$AJ$6:$AJ$505,"&gt;"&amp;$A106,実績!$AK$6:$AK$505,"○")&gt;0,1,0))</f>
        <v>0</v>
      </c>
      <c r="CB106" s="39" t="n">
        <f aca="false">IF(CB$4=0,0,IF(COUNTIFS(実績!$W$6:$W$505,CB$3,実績!$AI$6:$AI$505,"&lt;="&amp;$A106,実績!$AJ$6:$AJ$505,"&gt;"&amp;$A106,実績!$AK$6:$AK$505,"○")&gt;0,1,0))</f>
        <v>0</v>
      </c>
      <c r="CC106" s="39" t="n">
        <f aca="false">IF(CC$4=0,0,IF(COUNTIFS(実績!$W$6:$W$505,CC$3,実績!$AI$6:$AI$505,"&lt;="&amp;$A106,実績!$AJ$6:$AJ$505,"&gt;"&amp;$A106,実績!$AK$6:$AK$505,"○")&gt;0,1,0))</f>
        <v>0</v>
      </c>
      <c r="CD106" s="39" t="n">
        <f aca="false">IF(CD$4=0,0,IF(COUNTIFS(実績!$W$6:$W$505,CD$3,実績!$AI$6:$AI$505,"&lt;="&amp;$A106,実績!$AJ$6:$AJ$505,"&gt;"&amp;$A106,実績!$AK$6:$AK$505,"○")&gt;0,1,0))</f>
        <v>0</v>
      </c>
      <c r="CE106" s="39" t="n">
        <f aca="false">IF(CE$4=0,0,IF(COUNTIFS(実績!$W$6:$W$505,CE$3,実績!$AI$6:$AI$505,"&lt;="&amp;$A106,実績!$AJ$6:$AJ$505,"&gt;"&amp;$A106,実績!$AK$6:$AK$505,"○")&gt;0,1,0))</f>
        <v>0</v>
      </c>
      <c r="CF106" s="39" t="n">
        <f aca="false">IF(CF$4=0,0,IF(COUNTIFS(実績!$W$6:$W$505,CF$3,実績!$AI$6:$AI$505,"&lt;="&amp;$A106,実績!$AJ$6:$AJ$505,"&gt;"&amp;$A106,実績!$AK$6:$AK$505,"○")&gt;0,1,0))</f>
        <v>0</v>
      </c>
      <c r="CG106" s="39" t="n">
        <f aca="false">IF(CG$4=0,0,IF(COUNTIFS(実績!$W$6:$W$505,CG$3,実績!$AI$6:$AI$505,"&lt;="&amp;$A106,実績!$AJ$6:$AJ$505,"&gt;"&amp;$A106,実績!$AK$6:$AK$505,"○")&gt;0,1,0))</f>
        <v>0</v>
      </c>
      <c r="CH106" s="39" t="n">
        <f aca="false">IF(CH$4=0,0,IF(COUNTIFS(実績!$W$6:$W$505,CH$3,実績!$AI$6:$AI$505,"&lt;="&amp;$A106,実績!$AJ$6:$AJ$505,"&gt;"&amp;$A106,実績!$AK$6:$AK$505,"○")&gt;0,1,0))</f>
        <v>0</v>
      </c>
      <c r="CI106" s="39" t="n">
        <f aca="false">IF(CI$4=0,0,IF(COUNTIFS(実績!$W$6:$W$505,CI$3,実績!$AI$6:$AI$505,"&lt;="&amp;$A106,実績!$AJ$6:$AJ$505,"&gt;"&amp;$A106,実績!$AK$6:$AK$505,"○")&gt;0,1,0))</f>
        <v>0</v>
      </c>
      <c r="CJ106" s="39" t="n">
        <f aca="false">IF(CJ$4=0,0,IF(COUNTIFS(実績!$W$6:$W$505,CJ$3,実績!$AI$6:$AI$505,"&lt;="&amp;$A106,実績!$AJ$6:$AJ$505,"&gt;"&amp;$A106,実績!$AK$6:$AK$505,"○")&gt;0,1,0))</f>
        <v>0</v>
      </c>
      <c r="CK106" s="39" t="n">
        <f aca="false">IF(CK$4=0,0,IF(COUNTIFS(実績!$W$6:$W$505,CK$3,実績!$AI$6:$AI$505,"&lt;="&amp;$A106,実績!$AJ$6:$AJ$505,"&gt;"&amp;$A106,実績!$AK$6:$AK$505,"○")&gt;0,1,0))</f>
        <v>0</v>
      </c>
      <c r="CL106" s="39" t="n">
        <f aca="false">IF(CL$4=0,0,IF(COUNTIFS(実績!$W$6:$W$505,CL$3,実績!$AI$6:$AI$505,"&lt;="&amp;$A106,実績!$AJ$6:$AJ$505,"&gt;"&amp;$A106,実績!$AK$6:$AK$505,"○")&gt;0,1,0))</f>
        <v>0</v>
      </c>
      <c r="CM106" s="39" t="n">
        <f aca="false">IF(CM$4=0,0,IF(COUNTIFS(実績!$W$6:$W$505,CM$3,実績!$AI$6:$AI$505,"&lt;="&amp;$A106,実績!$AJ$6:$AJ$505,"&gt;"&amp;$A106,実績!$AK$6:$AK$505,"○")&gt;0,1,0))</f>
        <v>0</v>
      </c>
      <c r="CN106" s="39" t="n">
        <f aca="false">IF(CN$4=0,0,IF(COUNTIFS(実績!$W$6:$W$505,CN$3,実績!$AI$6:$AI$505,"&lt;="&amp;$A106,実績!$AJ$6:$AJ$505,"&gt;"&amp;$A106,実績!$AK$6:$AK$505,"○")&gt;0,1,0))</f>
        <v>0</v>
      </c>
      <c r="CO106" s="39" t="n">
        <f aca="false">IF(CO$4=0,0,IF(COUNTIFS(実績!$W$6:$W$505,CO$3,実績!$AI$6:$AI$505,"&lt;="&amp;$A106,実績!$AJ$6:$AJ$505,"&gt;"&amp;$A106,実績!$AK$6:$AK$505,"○")&gt;0,1,0))</f>
        <v>0</v>
      </c>
      <c r="CP106" s="39" t="n">
        <f aca="false">IF(CP$4=0,0,IF(COUNTIFS(実績!$W$6:$W$505,CP$3,実績!$AI$6:$AI$505,"&lt;="&amp;$A106,実績!$AJ$6:$AJ$505,"&gt;"&amp;$A106,実績!$AK$6:$AK$505,"○")&gt;0,1,0))</f>
        <v>0</v>
      </c>
      <c r="CQ106" s="39" t="n">
        <f aca="false">IF(CQ$4=0,0,IF(COUNTIFS(実績!$W$6:$W$505,CQ$3,実績!$AI$6:$AI$505,"&lt;="&amp;$A106,実績!$AJ$6:$AJ$505,"&gt;"&amp;$A106,実績!$AK$6:$AK$505,"○")&gt;0,1,0))</f>
        <v>0</v>
      </c>
      <c r="CR106" s="39" t="n">
        <f aca="false">IF(CR$4=0,0,IF(COUNTIFS(実績!$W$6:$W$505,CR$3,実績!$AI$6:$AI$505,"&lt;="&amp;$A106,実績!$AJ$6:$AJ$505,"&gt;"&amp;$A106,実績!$AK$6:$AK$505,"○")&gt;0,1,0))</f>
        <v>0</v>
      </c>
      <c r="CS106" s="39" t="n">
        <f aca="false">IF(CS$4=0,0,IF(COUNTIFS(実績!$W$6:$W$505,CS$3,実績!$AI$6:$AI$505,"&lt;="&amp;$A106,実績!$AJ$6:$AJ$505,"&gt;"&amp;$A106,実績!$AK$6:$AK$505,"○")&gt;0,1,0))</f>
        <v>0</v>
      </c>
      <c r="CT106" s="39" t="n">
        <f aca="false">IF(CT$4=0,0,IF(COUNTIFS(実績!$W$6:$W$505,CT$3,実績!$AI$6:$AI$505,"&lt;="&amp;$A106,実績!$AJ$6:$AJ$505,"&gt;"&amp;$A106,実績!$AK$6:$AK$505,"○")&gt;0,1,0))</f>
        <v>0</v>
      </c>
      <c r="CU106" s="39" t="n">
        <f aca="false">IF(CU$4=0,0,IF(COUNTIFS(実績!$W$6:$W$505,CU$3,実績!$AI$6:$AI$505,"&lt;="&amp;$A106,実績!$AJ$6:$AJ$505,"&gt;"&amp;$A106,実績!$AK$6:$AK$505,"○")&gt;0,1,0))</f>
        <v>0</v>
      </c>
      <c r="CV106" s="39" t="n">
        <f aca="false">IF(CV$4=0,0,IF(COUNTIFS(実績!$W$6:$W$505,CV$3,実績!$AI$6:$AI$505,"&lt;="&amp;$A106,実績!$AJ$6:$AJ$505,"&gt;"&amp;$A106,実績!$AK$6:$AK$505,"○")&gt;0,1,0))</f>
        <v>0</v>
      </c>
      <c r="CW106" s="39" t="n">
        <f aca="false">IF(CW$4=0,0,IF(COUNTIFS(実績!$W$6:$W$505,CW$3,実績!$AI$6:$AI$505,"&lt;="&amp;$A106,実績!$AJ$6:$AJ$505,"&gt;"&amp;$A106,実績!$AK$6:$AK$505,"○")&gt;0,1,0))</f>
        <v>0</v>
      </c>
      <c r="CX106" s="39" t="n">
        <f aca="false">IF(CX$4=0,0,IF(COUNTIFS(実績!$W$6:$W$505,CX$3,実績!$AI$6:$AI$505,"&lt;="&amp;$A106,実績!$AJ$6:$AJ$505,"&gt;"&amp;$A106,実績!$AK$6:$AK$505,"○")&gt;0,1,0))</f>
        <v>0</v>
      </c>
      <c r="CY106" s="39" t="n">
        <f aca="false">IF(CY$4=0,0,IF(COUNTIFS(実績!$W$6:$W$505,CY$3,実績!$AI$6:$AI$505,"&lt;="&amp;$A106,実績!$AJ$6:$AJ$505,"&gt;"&amp;$A106,実績!$AK$6:$AK$505,"○")&gt;0,1,0))</f>
        <v>0</v>
      </c>
      <c r="CZ106" s="39" t="n">
        <f aca="false">IF(CZ$4=0,0,IF(COUNTIFS(実績!$W$6:$W$505,CZ$3,実績!$AI$6:$AI$505,"&lt;="&amp;$A106,実績!$AJ$6:$AJ$505,"&gt;"&amp;$A106,実績!$AK$6:$AK$505,"○")&gt;0,1,0))</f>
        <v>0</v>
      </c>
      <c r="DA106" s="39" t="n">
        <f aca="false">IF(DA$4=0,0,IF(COUNTIFS(実績!$W$6:$W$505,DA$3,実績!$AI$6:$AI$505,"&lt;="&amp;$A106,実績!$AJ$6:$AJ$505,"&gt;"&amp;$A106,実績!$AK$6:$AK$505,"○")&gt;0,1,0))</f>
        <v>0</v>
      </c>
      <c r="DB106" s="39" t="n">
        <f aca="false">IF(DB$4=0,0,IF(COUNTIFS(実績!$W$6:$W$505,DB$3,実績!$AI$6:$AI$505,"&lt;="&amp;$A106,実績!$AJ$6:$AJ$505,"&gt;"&amp;$A106,実績!$AK$6:$AK$505,"○")&gt;0,1,0))</f>
        <v>0</v>
      </c>
      <c r="DC106" s="39" t="n">
        <f aca="false">IF(DC$4=0,0,IF(COUNTIFS(実績!$W$6:$W$505,DC$3,実績!$AI$6:$AI$505,"&lt;="&amp;$A106,実績!$AJ$6:$AJ$505,"&gt;"&amp;$A106,実績!$AK$6:$AK$505,"○")&gt;0,1,0))</f>
        <v>0</v>
      </c>
      <c r="DD106" s="39" t="n">
        <f aca="false">IF(DD$4=0,0,IF(COUNTIFS(実績!$W$6:$W$505,DD$3,実績!$AI$6:$AI$505,"&lt;="&amp;$A106,実績!$AJ$6:$AJ$505,"&gt;"&amp;$A106,実績!$AK$6:$AK$505,"○")&gt;0,1,0))</f>
        <v>0</v>
      </c>
      <c r="DE106" s="39" t="n">
        <f aca="false">IF(DE$4=0,0,IF(COUNTIFS(実績!$W$6:$W$505,DE$3,実績!$AI$6:$AI$505,"&lt;="&amp;$A106,実績!$AJ$6:$AJ$505,"&gt;"&amp;$A106,実績!$AK$6:$AK$505,"○")&gt;0,1,0))</f>
        <v>0</v>
      </c>
      <c r="DF106" s="39" t="n">
        <f aca="false">IF(DF$4=0,0,IF(COUNTIFS(実績!$W$6:$W$505,DF$3,実績!$AI$6:$AI$505,"&lt;="&amp;$A106,実績!$AJ$6:$AJ$505,"&gt;"&amp;$A106,実績!$AK$6:$AK$505,"○")&gt;0,1,0))</f>
        <v>0</v>
      </c>
      <c r="DG106" s="39" t="n">
        <f aca="false">IF(DG$4=0,0,IF(COUNTIFS(実績!$W$6:$W$505,DG$3,実績!$AI$6:$AI$505,"&lt;="&amp;$A106,実績!$AJ$6:$AJ$505,"&gt;"&amp;$A106,実績!$AK$6:$AK$505,"○")&gt;0,1,0))</f>
        <v>0</v>
      </c>
      <c r="DH106" s="39" t="n">
        <f aca="false">IF(DH$4=0,0,IF(COUNTIFS(実績!$W$6:$W$505,DH$3,実績!$AI$6:$AI$505,"&lt;="&amp;$A106,実績!$AJ$6:$AJ$505,"&gt;"&amp;$A106,実績!$AK$6:$AK$505,"○")&gt;0,1,0))</f>
        <v>0</v>
      </c>
      <c r="DI106" s="39" t="n">
        <f aca="false">IF(DI$4=0,0,IF(COUNTIFS(実績!$W$6:$W$505,DI$3,実績!$AI$6:$AI$505,"&lt;="&amp;$A106,実績!$AJ$6:$AJ$505,"&gt;"&amp;$A106,実績!$AK$6:$AK$505,"○")&gt;0,1,0))</f>
        <v>0</v>
      </c>
      <c r="DJ106" s="39" t="n">
        <f aca="false">IF(DJ$4=0,0,IF(COUNTIFS(実績!$W$6:$W$505,DJ$3,実績!$AI$6:$AI$505,"&lt;="&amp;$A106,実績!$AJ$6:$AJ$505,"&gt;"&amp;$A106,実績!$AK$6:$AK$505,"○")&gt;0,1,0))</f>
        <v>0</v>
      </c>
      <c r="DK106" s="39" t="n">
        <f aca="false">IF(DK$4=0,0,IF(COUNTIFS(実績!$W$6:$W$505,DK$3,実績!$AI$6:$AI$505,"&lt;="&amp;$A106,実績!$AJ$6:$AJ$505,"&gt;"&amp;$A106,実績!$AK$6:$AK$505,"○")&gt;0,1,0))</f>
        <v>0</v>
      </c>
      <c r="DL106" s="39" t="n">
        <f aca="false">IF(DL$4=0,0,IF(COUNTIFS(実績!$W$6:$W$505,DL$3,実績!$AI$6:$AI$505,"&lt;="&amp;$A106,実績!$AJ$6:$AJ$505,"&gt;"&amp;$A106,実績!$AK$6:$AK$505,"○")&gt;0,1,0))</f>
        <v>0</v>
      </c>
      <c r="DM106" s="39" t="n">
        <f aca="false">IF(DM$4=0,0,IF(COUNTIFS(実績!$W$6:$W$505,DM$3,実績!$AI$6:$AI$505,"&lt;="&amp;$A106,実績!$AJ$6:$AJ$505,"&gt;"&amp;$A106,実績!$AK$6:$AK$505,"○")&gt;0,1,0))</f>
        <v>0</v>
      </c>
      <c r="DN106" s="39" t="n">
        <f aca="false">IF(DN$4=0,0,IF(COUNTIFS(実績!$W$6:$W$505,DN$3,実績!$AI$6:$AI$505,"&lt;="&amp;$A106,実績!$AJ$6:$AJ$505,"&gt;"&amp;$A106,実績!$AK$6:$AK$505,"○")&gt;0,1,0))</f>
        <v>0</v>
      </c>
      <c r="DO106" s="39" t="n">
        <f aca="false">IF(DO$4=0,0,IF(COUNTIFS(実績!$W$6:$W$505,DO$3,実績!$AI$6:$AI$505,"&lt;="&amp;$A106,実績!$AJ$6:$AJ$505,"&gt;"&amp;$A106,実績!$AK$6:$AK$505,"○")&gt;0,1,0))</f>
        <v>0</v>
      </c>
      <c r="DP106" s="39" t="n">
        <f aca="false">IF(DP$4=0,0,IF(COUNTIFS(実績!$W$6:$W$505,DP$3,実績!$AI$6:$AI$505,"&lt;="&amp;$A106,実績!$AJ$6:$AJ$505,"&gt;"&amp;$A106,実績!$AK$6:$AK$505,"○")&gt;0,1,0))</f>
        <v>0</v>
      </c>
      <c r="DQ106" s="39" t="n">
        <f aca="false">IF(DQ$4=0,0,IF(COUNTIFS(実績!$W$6:$W$505,DQ$3,実績!$AI$6:$AI$505,"&lt;="&amp;$A106,実績!$AJ$6:$AJ$505,"&gt;"&amp;$A106,実績!$AK$6:$AK$505,"○")&gt;0,1,0))</f>
        <v>0</v>
      </c>
      <c r="DR106" s="39" t="n">
        <f aca="false">IF(DR$4=0,0,IF(COUNTIFS(実績!$W$6:$W$505,DR$3,実績!$AI$6:$AI$505,"&lt;="&amp;$A106,実績!$AJ$6:$AJ$505,"&gt;"&amp;$A106,実績!$AK$6:$AK$505,"○")&gt;0,1,0))</f>
        <v>0</v>
      </c>
      <c r="DS106" s="39" t="n">
        <f aca="false">SUM(C106:DR106)</f>
        <v>0</v>
      </c>
      <c r="DT106" s="39" t="n">
        <f aca="false">SUMPRODUCT((実績!$C$6:$C$505="○")*ISNUMBER(実績!$AM$6:$AM$505)*(実績!$AM$6:$AM$505&lt;=$A106)*(実績!$AN$6:$AN$505&gt;$A106))</f>
        <v>0</v>
      </c>
      <c r="DU106" s="39" t="n">
        <f aca="false">SUMIF($C$2:$DR$2,"製鉄曳船",C106:DR106)</f>
        <v>0</v>
      </c>
      <c r="DV106" s="39" t="n">
        <f aca="false">SUMIF($C$2:$DR$2,"西日本海運",C106:DR106)</f>
        <v>0</v>
      </c>
    </row>
    <row r="107" customFormat="false" ht="15" hidden="false" customHeight="false" outlineLevel="0" collapsed="false">
      <c r="A107" s="0" t="n">
        <v>505</v>
      </c>
      <c r="B107" s="38" t="n">
        <f aca="false">A107/1440</f>
        <v>0.350694444444444</v>
      </c>
      <c r="C107" s="39" t="n">
        <f aca="false">IF(C$4=0,0,IF(COUNTIFS(実績!$W$6:$W$505,C$3,実績!$AI$6:$AI$505,"&lt;="&amp;$A107,実績!$AJ$6:$AJ$505,"&gt;"&amp;$A107,実績!$AK$6:$AK$505,"○")&gt;0,1,0))</f>
        <v>0</v>
      </c>
      <c r="D107" s="39" t="n">
        <f aca="false">IF(D$4=0,0,IF(COUNTIFS(実績!$W$6:$W$505,D$3,実績!$AI$6:$AI$505,"&lt;="&amp;$A107,実績!$AJ$6:$AJ$505,"&gt;"&amp;$A107,実績!$AK$6:$AK$505,"○")&gt;0,1,0))</f>
        <v>0</v>
      </c>
      <c r="E107" s="39" t="n">
        <f aca="false">IF(E$4=0,0,IF(COUNTIFS(実績!$W$6:$W$505,E$3,実績!$AI$6:$AI$505,"&lt;="&amp;$A107,実績!$AJ$6:$AJ$505,"&gt;"&amp;$A107,実績!$AK$6:$AK$505,"○")&gt;0,1,0))</f>
        <v>0</v>
      </c>
      <c r="F107" s="39" t="n">
        <f aca="false">IF(F$4=0,0,IF(COUNTIFS(実績!$W$6:$W$505,F$3,実績!$AI$6:$AI$505,"&lt;="&amp;$A107,実績!$AJ$6:$AJ$505,"&gt;"&amp;$A107,実績!$AK$6:$AK$505,"○")&gt;0,1,0))</f>
        <v>0</v>
      </c>
      <c r="G107" s="39" t="n">
        <f aca="false">IF(G$4=0,0,IF(COUNTIFS(実績!$W$6:$W$505,G$3,実績!$AI$6:$AI$505,"&lt;="&amp;$A107,実績!$AJ$6:$AJ$505,"&gt;"&amp;$A107,実績!$AK$6:$AK$505,"○")&gt;0,1,0))</f>
        <v>0</v>
      </c>
      <c r="H107" s="39" t="n">
        <f aca="false">IF(H$4=0,0,IF(COUNTIFS(実績!$W$6:$W$505,H$3,実績!$AI$6:$AI$505,"&lt;="&amp;$A107,実績!$AJ$6:$AJ$505,"&gt;"&amp;$A107,実績!$AK$6:$AK$505,"○")&gt;0,1,0))</f>
        <v>0</v>
      </c>
      <c r="I107" s="39" t="n">
        <f aca="false">IF(I$4=0,0,IF(COUNTIFS(実績!$W$6:$W$505,I$3,実績!$AI$6:$AI$505,"&lt;="&amp;$A107,実績!$AJ$6:$AJ$505,"&gt;"&amp;$A107,実績!$AK$6:$AK$505,"○")&gt;0,1,0))</f>
        <v>0</v>
      </c>
      <c r="J107" s="39" t="n">
        <f aca="false">IF(J$4=0,0,IF(COUNTIFS(実績!$W$6:$W$505,J$3,実績!$AI$6:$AI$505,"&lt;="&amp;$A107,実績!$AJ$6:$AJ$505,"&gt;"&amp;$A107,実績!$AK$6:$AK$505,"○")&gt;0,1,0))</f>
        <v>0</v>
      </c>
      <c r="K107" s="39" t="n">
        <f aca="false">IF(K$4=0,0,IF(COUNTIFS(実績!$W$6:$W$505,K$3,実績!$AI$6:$AI$505,"&lt;="&amp;$A107,実績!$AJ$6:$AJ$505,"&gt;"&amp;$A107,実績!$AK$6:$AK$505,"○")&gt;0,1,0))</f>
        <v>0</v>
      </c>
      <c r="L107" s="39" t="n">
        <f aca="false">IF(L$4=0,0,IF(COUNTIFS(実績!$W$6:$W$505,L$3,実績!$AI$6:$AI$505,"&lt;="&amp;$A107,実績!$AJ$6:$AJ$505,"&gt;"&amp;$A107,実績!$AK$6:$AK$505,"○")&gt;0,1,0))</f>
        <v>0</v>
      </c>
      <c r="M107" s="39" t="n">
        <f aca="false">IF(M$4=0,0,IF(COUNTIFS(実績!$W$6:$W$505,M$3,実績!$AI$6:$AI$505,"&lt;="&amp;$A107,実績!$AJ$6:$AJ$505,"&gt;"&amp;$A107,実績!$AK$6:$AK$505,"○")&gt;0,1,0))</f>
        <v>0</v>
      </c>
      <c r="N107" s="39" t="n">
        <f aca="false">IF(N$4=0,0,IF(COUNTIFS(実績!$W$6:$W$505,N$3,実績!$AI$6:$AI$505,"&lt;="&amp;$A107,実績!$AJ$6:$AJ$505,"&gt;"&amp;$A107,実績!$AK$6:$AK$505,"○")&gt;0,1,0))</f>
        <v>0</v>
      </c>
      <c r="O107" s="39" t="n">
        <f aca="false">IF(O$4=0,0,IF(COUNTIFS(実績!$W$6:$W$505,O$3,実績!$AI$6:$AI$505,"&lt;="&amp;$A107,実績!$AJ$6:$AJ$505,"&gt;"&amp;$A107,実績!$AK$6:$AK$505,"○")&gt;0,1,0))</f>
        <v>0</v>
      </c>
      <c r="P107" s="39" t="n">
        <f aca="false">IF(P$4=0,0,IF(COUNTIFS(実績!$W$6:$W$505,P$3,実績!$AI$6:$AI$505,"&lt;="&amp;$A107,実績!$AJ$6:$AJ$505,"&gt;"&amp;$A107,実績!$AK$6:$AK$505,"○")&gt;0,1,0))</f>
        <v>0</v>
      </c>
      <c r="Q107" s="39" t="n">
        <f aca="false">IF(Q$4=0,0,IF(COUNTIFS(実績!$W$6:$W$505,Q$3,実績!$AI$6:$AI$505,"&lt;="&amp;$A107,実績!$AJ$6:$AJ$505,"&gt;"&amp;$A107,実績!$AK$6:$AK$505,"○")&gt;0,1,0))</f>
        <v>0</v>
      </c>
      <c r="R107" s="39" t="n">
        <f aca="false">IF(R$4=0,0,IF(COUNTIFS(実績!$W$6:$W$505,R$3,実績!$AI$6:$AI$505,"&lt;="&amp;$A107,実績!$AJ$6:$AJ$505,"&gt;"&amp;$A107,実績!$AK$6:$AK$505,"○")&gt;0,1,0))</f>
        <v>0</v>
      </c>
      <c r="S107" s="39" t="n">
        <f aca="false">IF(S$4=0,0,IF(COUNTIFS(実績!$W$6:$W$505,S$3,実績!$AI$6:$AI$505,"&lt;="&amp;$A107,実績!$AJ$6:$AJ$505,"&gt;"&amp;$A107,実績!$AK$6:$AK$505,"○")&gt;0,1,0))</f>
        <v>0</v>
      </c>
      <c r="T107" s="39" t="n">
        <f aca="false">IF(T$4=0,0,IF(COUNTIFS(実績!$W$6:$W$505,T$3,実績!$AI$6:$AI$505,"&lt;="&amp;$A107,実績!$AJ$6:$AJ$505,"&gt;"&amp;$A107,実績!$AK$6:$AK$505,"○")&gt;0,1,0))</f>
        <v>0</v>
      </c>
      <c r="U107" s="39" t="n">
        <f aca="false">IF(U$4=0,0,IF(COUNTIFS(実績!$W$6:$W$505,U$3,実績!$AI$6:$AI$505,"&lt;="&amp;$A107,実績!$AJ$6:$AJ$505,"&gt;"&amp;$A107,実績!$AK$6:$AK$505,"○")&gt;0,1,0))</f>
        <v>0</v>
      </c>
      <c r="V107" s="39" t="n">
        <f aca="false">IF(V$4=0,0,IF(COUNTIFS(実績!$W$6:$W$505,V$3,実績!$AI$6:$AI$505,"&lt;="&amp;$A107,実績!$AJ$6:$AJ$505,"&gt;"&amp;$A107,実績!$AK$6:$AK$505,"○")&gt;0,1,0))</f>
        <v>0</v>
      </c>
      <c r="W107" s="39" t="n">
        <f aca="false">IF(W$4=0,0,IF(COUNTIFS(実績!$W$6:$W$505,W$3,実績!$AI$6:$AI$505,"&lt;="&amp;$A107,実績!$AJ$6:$AJ$505,"&gt;"&amp;$A107,実績!$AK$6:$AK$505,"○")&gt;0,1,0))</f>
        <v>0</v>
      </c>
      <c r="X107" s="39" t="n">
        <f aca="false">IF(X$4=0,0,IF(COUNTIFS(実績!$W$6:$W$505,X$3,実績!$AI$6:$AI$505,"&lt;="&amp;$A107,実績!$AJ$6:$AJ$505,"&gt;"&amp;$A107,実績!$AK$6:$AK$505,"○")&gt;0,1,0))</f>
        <v>0</v>
      </c>
      <c r="Y107" s="39" t="n">
        <f aca="false">IF(Y$4=0,0,IF(COUNTIFS(実績!$W$6:$W$505,Y$3,実績!$AI$6:$AI$505,"&lt;="&amp;$A107,実績!$AJ$6:$AJ$505,"&gt;"&amp;$A107,実績!$AK$6:$AK$505,"○")&gt;0,1,0))</f>
        <v>0</v>
      </c>
      <c r="Z107" s="39" t="n">
        <f aca="false">IF(Z$4=0,0,IF(COUNTIFS(実績!$W$6:$W$505,Z$3,実績!$AI$6:$AI$505,"&lt;="&amp;$A107,実績!$AJ$6:$AJ$505,"&gt;"&amp;$A107,実績!$AK$6:$AK$505,"○")&gt;0,1,0))</f>
        <v>0</v>
      </c>
      <c r="AA107" s="39" t="n">
        <f aca="false">IF(AA$4=0,0,IF(COUNTIFS(実績!$W$6:$W$505,AA$3,実績!$AI$6:$AI$505,"&lt;="&amp;$A107,実績!$AJ$6:$AJ$505,"&gt;"&amp;$A107,実績!$AK$6:$AK$505,"○")&gt;0,1,0))</f>
        <v>0</v>
      </c>
      <c r="AB107" s="39" t="n">
        <f aca="false">IF(AB$4=0,0,IF(COUNTIFS(実績!$W$6:$W$505,AB$3,実績!$AI$6:$AI$505,"&lt;="&amp;$A107,実績!$AJ$6:$AJ$505,"&gt;"&amp;$A107,実績!$AK$6:$AK$505,"○")&gt;0,1,0))</f>
        <v>0</v>
      </c>
      <c r="AC107" s="39" t="n">
        <f aca="false">IF(AC$4=0,0,IF(COUNTIFS(実績!$W$6:$W$505,AC$3,実績!$AI$6:$AI$505,"&lt;="&amp;$A107,実績!$AJ$6:$AJ$505,"&gt;"&amp;$A107,実績!$AK$6:$AK$505,"○")&gt;0,1,0))</f>
        <v>0</v>
      </c>
      <c r="AD107" s="39" t="n">
        <f aca="false">IF(AD$4=0,0,IF(COUNTIFS(実績!$W$6:$W$505,AD$3,実績!$AI$6:$AI$505,"&lt;="&amp;$A107,実績!$AJ$6:$AJ$505,"&gt;"&amp;$A107,実績!$AK$6:$AK$505,"○")&gt;0,1,0))</f>
        <v>0</v>
      </c>
      <c r="AE107" s="39" t="n">
        <f aca="false">IF(AE$4=0,0,IF(COUNTIFS(実績!$W$6:$W$505,AE$3,実績!$AI$6:$AI$505,"&lt;="&amp;$A107,実績!$AJ$6:$AJ$505,"&gt;"&amp;$A107,実績!$AK$6:$AK$505,"○")&gt;0,1,0))</f>
        <v>0</v>
      </c>
      <c r="AF107" s="39" t="n">
        <f aca="false">IF(AF$4=0,0,IF(COUNTIFS(実績!$W$6:$W$505,AF$3,実績!$AI$6:$AI$505,"&lt;="&amp;$A107,実績!$AJ$6:$AJ$505,"&gt;"&amp;$A107,実績!$AK$6:$AK$505,"○")&gt;0,1,0))</f>
        <v>0</v>
      </c>
      <c r="AG107" s="39" t="n">
        <f aca="false">IF(AG$4=0,0,IF(COUNTIFS(実績!$W$6:$W$505,AG$3,実績!$AI$6:$AI$505,"&lt;="&amp;$A107,実績!$AJ$6:$AJ$505,"&gt;"&amp;$A107,実績!$AK$6:$AK$505,"○")&gt;0,1,0))</f>
        <v>0</v>
      </c>
      <c r="AH107" s="39" t="n">
        <f aca="false">IF(AH$4=0,0,IF(COUNTIFS(実績!$W$6:$W$505,AH$3,実績!$AI$6:$AI$505,"&lt;="&amp;$A107,実績!$AJ$6:$AJ$505,"&gt;"&amp;$A107,実績!$AK$6:$AK$505,"○")&gt;0,1,0))</f>
        <v>0</v>
      </c>
      <c r="AI107" s="39" t="n">
        <f aca="false">IF(AI$4=0,0,IF(COUNTIFS(実績!$W$6:$W$505,AI$3,実績!$AI$6:$AI$505,"&lt;="&amp;$A107,実績!$AJ$6:$AJ$505,"&gt;"&amp;$A107,実績!$AK$6:$AK$505,"○")&gt;0,1,0))</f>
        <v>0</v>
      </c>
      <c r="AJ107" s="39" t="n">
        <f aca="false">IF(AJ$4=0,0,IF(COUNTIFS(実績!$W$6:$W$505,AJ$3,実績!$AI$6:$AI$505,"&lt;="&amp;$A107,実績!$AJ$6:$AJ$505,"&gt;"&amp;$A107,実績!$AK$6:$AK$505,"○")&gt;0,1,0))</f>
        <v>0</v>
      </c>
      <c r="AK107" s="39" t="n">
        <f aca="false">IF(AK$4=0,0,IF(COUNTIFS(実績!$W$6:$W$505,AK$3,実績!$AI$6:$AI$505,"&lt;="&amp;$A107,実績!$AJ$6:$AJ$505,"&gt;"&amp;$A107,実績!$AK$6:$AK$505,"○")&gt;0,1,0))</f>
        <v>0</v>
      </c>
      <c r="AL107" s="39" t="n">
        <f aca="false">IF(AL$4=0,0,IF(COUNTIFS(実績!$W$6:$W$505,AL$3,実績!$AI$6:$AI$505,"&lt;="&amp;$A107,実績!$AJ$6:$AJ$505,"&gt;"&amp;$A107,実績!$AK$6:$AK$505,"○")&gt;0,1,0))</f>
        <v>0</v>
      </c>
      <c r="AM107" s="39" t="n">
        <f aca="false">IF(AM$4=0,0,IF(COUNTIFS(実績!$W$6:$W$505,AM$3,実績!$AI$6:$AI$505,"&lt;="&amp;$A107,実績!$AJ$6:$AJ$505,"&gt;"&amp;$A107,実績!$AK$6:$AK$505,"○")&gt;0,1,0))</f>
        <v>0</v>
      </c>
      <c r="AN107" s="39" t="n">
        <f aca="false">IF(AN$4=0,0,IF(COUNTIFS(実績!$W$6:$W$505,AN$3,実績!$AI$6:$AI$505,"&lt;="&amp;$A107,実績!$AJ$6:$AJ$505,"&gt;"&amp;$A107,実績!$AK$6:$AK$505,"○")&gt;0,1,0))</f>
        <v>0</v>
      </c>
      <c r="AO107" s="39" t="n">
        <f aca="false">IF(AO$4=0,0,IF(COUNTIFS(実績!$W$6:$W$505,AO$3,実績!$AI$6:$AI$505,"&lt;="&amp;$A107,実績!$AJ$6:$AJ$505,"&gt;"&amp;$A107,実績!$AK$6:$AK$505,"○")&gt;0,1,0))</f>
        <v>0</v>
      </c>
      <c r="AP107" s="39" t="n">
        <f aca="false">IF(AP$4=0,0,IF(COUNTIFS(実績!$W$6:$W$505,AP$3,実績!$AI$6:$AI$505,"&lt;="&amp;$A107,実績!$AJ$6:$AJ$505,"&gt;"&amp;$A107,実績!$AK$6:$AK$505,"○")&gt;0,1,0))</f>
        <v>0</v>
      </c>
      <c r="AQ107" s="39" t="n">
        <f aca="false">IF(AQ$4=0,0,IF(COUNTIFS(実績!$W$6:$W$505,AQ$3,実績!$AI$6:$AI$505,"&lt;="&amp;$A107,実績!$AJ$6:$AJ$505,"&gt;"&amp;$A107,実績!$AK$6:$AK$505,"○")&gt;0,1,0))</f>
        <v>0</v>
      </c>
      <c r="AR107" s="39" t="n">
        <f aca="false">IF(AR$4=0,0,IF(COUNTIFS(実績!$W$6:$W$505,AR$3,実績!$AI$6:$AI$505,"&lt;="&amp;$A107,実績!$AJ$6:$AJ$505,"&gt;"&amp;$A107,実績!$AK$6:$AK$505,"○")&gt;0,1,0))</f>
        <v>0</v>
      </c>
      <c r="AS107" s="39" t="n">
        <f aca="false">IF(AS$4=0,0,IF(COUNTIFS(実績!$W$6:$W$505,AS$3,実績!$AI$6:$AI$505,"&lt;="&amp;$A107,実績!$AJ$6:$AJ$505,"&gt;"&amp;$A107,実績!$AK$6:$AK$505,"○")&gt;0,1,0))</f>
        <v>0</v>
      </c>
      <c r="AT107" s="39" t="n">
        <f aca="false">IF(AT$4=0,0,IF(COUNTIFS(実績!$W$6:$W$505,AT$3,実績!$AI$6:$AI$505,"&lt;="&amp;$A107,実績!$AJ$6:$AJ$505,"&gt;"&amp;$A107,実績!$AK$6:$AK$505,"○")&gt;0,1,0))</f>
        <v>0</v>
      </c>
      <c r="AU107" s="39" t="n">
        <f aca="false">IF(AU$4=0,0,IF(COUNTIFS(実績!$W$6:$W$505,AU$3,実績!$AI$6:$AI$505,"&lt;="&amp;$A107,実績!$AJ$6:$AJ$505,"&gt;"&amp;$A107,実績!$AK$6:$AK$505,"○")&gt;0,1,0))</f>
        <v>0</v>
      </c>
      <c r="AV107" s="39" t="n">
        <f aca="false">IF(AV$4=0,0,IF(COUNTIFS(実績!$W$6:$W$505,AV$3,実績!$AI$6:$AI$505,"&lt;="&amp;$A107,実績!$AJ$6:$AJ$505,"&gt;"&amp;$A107,実績!$AK$6:$AK$505,"○")&gt;0,1,0))</f>
        <v>0</v>
      </c>
      <c r="AW107" s="39" t="n">
        <f aca="false">IF(AW$4=0,0,IF(COUNTIFS(実績!$W$6:$W$505,AW$3,実績!$AI$6:$AI$505,"&lt;="&amp;$A107,実績!$AJ$6:$AJ$505,"&gt;"&amp;$A107,実績!$AK$6:$AK$505,"○")&gt;0,1,0))</f>
        <v>0</v>
      </c>
      <c r="AX107" s="39" t="n">
        <f aca="false">IF(AX$4=0,0,IF(COUNTIFS(実績!$W$6:$W$505,AX$3,実績!$AI$6:$AI$505,"&lt;="&amp;$A107,実績!$AJ$6:$AJ$505,"&gt;"&amp;$A107,実績!$AK$6:$AK$505,"○")&gt;0,1,0))</f>
        <v>0</v>
      </c>
      <c r="AY107" s="39" t="n">
        <f aca="false">IF(AY$4=0,0,IF(COUNTIFS(実績!$W$6:$W$505,AY$3,実績!$AI$6:$AI$505,"&lt;="&amp;$A107,実績!$AJ$6:$AJ$505,"&gt;"&amp;$A107,実績!$AK$6:$AK$505,"○")&gt;0,1,0))</f>
        <v>0</v>
      </c>
      <c r="AZ107" s="39" t="n">
        <f aca="false">IF(AZ$4=0,0,IF(COUNTIFS(実績!$W$6:$W$505,AZ$3,実績!$AI$6:$AI$505,"&lt;="&amp;$A107,実績!$AJ$6:$AJ$505,"&gt;"&amp;$A107,実績!$AK$6:$AK$505,"○")&gt;0,1,0))</f>
        <v>0</v>
      </c>
      <c r="BA107" s="39" t="n">
        <f aca="false">IF(BA$4=0,0,IF(COUNTIFS(実績!$W$6:$W$505,BA$3,実績!$AI$6:$AI$505,"&lt;="&amp;$A107,実績!$AJ$6:$AJ$505,"&gt;"&amp;$A107,実績!$AK$6:$AK$505,"○")&gt;0,1,0))</f>
        <v>0</v>
      </c>
      <c r="BB107" s="39" t="n">
        <f aca="false">IF(BB$4=0,0,IF(COUNTIFS(実績!$W$6:$W$505,BB$3,実績!$AI$6:$AI$505,"&lt;="&amp;$A107,実績!$AJ$6:$AJ$505,"&gt;"&amp;$A107,実績!$AK$6:$AK$505,"○")&gt;0,1,0))</f>
        <v>0</v>
      </c>
      <c r="BC107" s="39" t="n">
        <f aca="false">IF(BC$4=0,0,IF(COUNTIFS(実績!$W$6:$W$505,BC$3,実績!$AI$6:$AI$505,"&lt;="&amp;$A107,実績!$AJ$6:$AJ$505,"&gt;"&amp;$A107,実績!$AK$6:$AK$505,"○")&gt;0,1,0))</f>
        <v>0</v>
      </c>
      <c r="BD107" s="39" t="n">
        <f aca="false">IF(BD$4=0,0,IF(COUNTIFS(実績!$W$6:$W$505,BD$3,実績!$AI$6:$AI$505,"&lt;="&amp;$A107,実績!$AJ$6:$AJ$505,"&gt;"&amp;$A107,実績!$AK$6:$AK$505,"○")&gt;0,1,0))</f>
        <v>0</v>
      </c>
      <c r="BE107" s="39" t="n">
        <f aca="false">IF(BE$4=0,0,IF(COUNTIFS(実績!$W$6:$W$505,BE$3,実績!$AI$6:$AI$505,"&lt;="&amp;$A107,実績!$AJ$6:$AJ$505,"&gt;"&amp;$A107,実績!$AK$6:$AK$505,"○")&gt;0,1,0))</f>
        <v>0</v>
      </c>
      <c r="BF107" s="39" t="n">
        <f aca="false">IF(BF$4=0,0,IF(COUNTIFS(実績!$W$6:$W$505,BF$3,実績!$AI$6:$AI$505,"&lt;="&amp;$A107,実績!$AJ$6:$AJ$505,"&gt;"&amp;$A107,実績!$AK$6:$AK$505,"○")&gt;0,1,0))</f>
        <v>0</v>
      </c>
      <c r="BG107" s="39" t="n">
        <f aca="false">IF(BG$4=0,0,IF(COUNTIFS(実績!$W$6:$W$505,BG$3,実績!$AI$6:$AI$505,"&lt;="&amp;$A107,実績!$AJ$6:$AJ$505,"&gt;"&amp;$A107,実績!$AK$6:$AK$505,"○")&gt;0,1,0))</f>
        <v>0</v>
      </c>
      <c r="BH107" s="39" t="n">
        <f aca="false">IF(BH$4=0,0,IF(COUNTIFS(実績!$W$6:$W$505,BH$3,実績!$AI$6:$AI$505,"&lt;="&amp;$A107,実績!$AJ$6:$AJ$505,"&gt;"&amp;$A107,実績!$AK$6:$AK$505,"○")&gt;0,1,0))</f>
        <v>0</v>
      </c>
      <c r="BI107" s="39" t="n">
        <f aca="false">IF(BI$4=0,0,IF(COUNTIFS(実績!$W$6:$W$505,BI$3,実績!$AI$6:$AI$505,"&lt;="&amp;$A107,実績!$AJ$6:$AJ$505,"&gt;"&amp;$A107,実績!$AK$6:$AK$505,"○")&gt;0,1,0))</f>
        <v>0</v>
      </c>
      <c r="BJ107" s="39" t="n">
        <f aca="false">IF(BJ$4=0,0,IF(COUNTIFS(実績!$W$6:$W$505,BJ$3,実績!$AI$6:$AI$505,"&lt;="&amp;$A107,実績!$AJ$6:$AJ$505,"&gt;"&amp;$A107,実績!$AK$6:$AK$505,"○")&gt;0,1,0))</f>
        <v>0</v>
      </c>
      <c r="BK107" s="39" t="n">
        <f aca="false">IF(BK$4=0,0,IF(COUNTIFS(実績!$W$6:$W$505,BK$3,実績!$AI$6:$AI$505,"&lt;="&amp;$A107,実績!$AJ$6:$AJ$505,"&gt;"&amp;$A107,実績!$AK$6:$AK$505,"○")&gt;0,1,0))</f>
        <v>0</v>
      </c>
      <c r="BL107" s="39" t="n">
        <f aca="false">IF(BL$4=0,0,IF(COUNTIFS(実績!$W$6:$W$505,BL$3,実績!$AI$6:$AI$505,"&lt;="&amp;$A107,実績!$AJ$6:$AJ$505,"&gt;"&amp;$A107,実績!$AK$6:$AK$505,"○")&gt;0,1,0))</f>
        <v>0</v>
      </c>
      <c r="BM107" s="39" t="n">
        <f aca="false">IF(BM$4=0,0,IF(COUNTIFS(実績!$W$6:$W$505,BM$3,実績!$AI$6:$AI$505,"&lt;="&amp;$A107,実績!$AJ$6:$AJ$505,"&gt;"&amp;$A107,実績!$AK$6:$AK$505,"○")&gt;0,1,0))</f>
        <v>0</v>
      </c>
      <c r="BN107" s="39" t="n">
        <f aca="false">IF(BN$4=0,0,IF(COUNTIFS(実績!$W$6:$W$505,BN$3,実績!$AI$6:$AI$505,"&lt;="&amp;$A107,実績!$AJ$6:$AJ$505,"&gt;"&amp;$A107,実績!$AK$6:$AK$505,"○")&gt;0,1,0))</f>
        <v>0</v>
      </c>
      <c r="BO107" s="39" t="n">
        <f aca="false">IF(BO$4=0,0,IF(COUNTIFS(実績!$W$6:$W$505,BO$3,実績!$AI$6:$AI$505,"&lt;="&amp;$A107,実績!$AJ$6:$AJ$505,"&gt;"&amp;$A107,実績!$AK$6:$AK$505,"○")&gt;0,1,0))</f>
        <v>0</v>
      </c>
      <c r="BP107" s="39" t="n">
        <f aca="false">IF(BP$4=0,0,IF(COUNTIFS(実績!$W$6:$W$505,BP$3,実績!$AI$6:$AI$505,"&lt;="&amp;$A107,実績!$AJ$6:$AJ$505,"&gt;"&amp;$A107,実績!$AK$6:$AK$505,"○")&gt;0,1,0))</f>
        <v>0</v>
      </c>
      <c r="BQ107" s="39" t="n">
        <f aca="false">IF(BQ$4=0,0,IF(COUNTIFS(実績!$W$6:$W$505,BQ$3,実績!$AI$6:$AI$505,"&lt;="&amp;$A107,実績!$AJ$6:$AJ$505,"&gt;"&amp;$A107,実績!$AK$6:$AK$505,"○")&gt;0,1,0))</f>
        <v>0</v>
      </c>
      <c r="BR107" s="39" t="n">
        <f aca="false">IF(BR$4=0,0,IF(COUNTIFS(実績!$W$6:$W$505,BR$3,実績!$AI$6:$AI$505,"&lt;="&amp;$A107,実績!$AJ$6:$AJ$505,"&gt;"&amp;$A107,実績!$AK$6:$AK$505,"○")&gt;0,1,0))</f>
        <v>0</v>
      </c>
      <c r="BS107" s="39" t="n">
        <f aca="false">IF(BS$4=0,0,IF(COUNTIFS(実績!$W$6:$W$505,BS$3,実績!$AI$6:$AI$505,"&lt;="&amp;$A107,実績!$AJ$6:$AJ$505,"&gt;"&amp;$A107,実績!$AK$6:$AK$505,"○")&gt;0,1,0))</f>
        <v>0</v>
      </c>
      <c r="BT107" s="39" t="n">
        <f aca="false">IF(BT$4=0,0,IF(COUNTIFS(実績!$W$6:$W$505,BT$3,実績!$AI$6:$AI$505,"&lt;="&amp;$A107,実績!$AJ$6:$AJ$505,"&gt;"&amp;$A107,実績!$AK$6:$AK$505,"○")&gt;0,1,0))</f>
        <v>0</v>
      </c>
      <c r="BU107" s="39" t="n">
        <f aca="false">IF(BU$4=0,0,IF(COUNTIFS(実績!$W$6:$W$505,BU$3,実績!$AI$6:$AI$505,"&lt;="&amp;$A107,実績!$AJ$6:$AJ$505,"&gt;"&amp;$A107,実績!$AK$6:$AK$505,"○")&gt;0,1,0))</f>
        <v>0</v>
      </c>
      <c r="BV107" s="39" t="n">
        <f aca="false">IF(BV$4=0,0,IF(COUNTIFS(実績!$W$6:$W$505,BV$3,実績!$AI$6:$AI$505,"&lt;="&amp;$A107,実績!$AJ$6:$AJ$505,"&gt;"&amp;$A107,実績!$AK$6:$AK$505,"○")&gt;0,1,0))</f>
        <v>0</v>
      </c>
      <c r="BW107" s="39" t="n">
        <f aca="false">IF(BW$4=0,0,IF(COUNTIFS(実績!$W$6:$W$505,BW$3,実績!$AI$6:$AI$505,"&lt;="&amp;$A107,実績!$AJ$6:$AJ$505,"&gt;"&amp;$A107,実績!$AK$6:$AK$505,"○")&gt;0,1,0))</f>
        <v>0</v>
      </c>
      <c r="BX107" s="39" t="n">
        <f aca="false">IF(BX$4=0,0,IF(COUNTIFS(実績!$W$6:$W$505,BX$3,実績!$AI$6:$AI$505,"&lt;="&amp;$A107,実績!$AJ$6:$AJ$505,"&gt;"&amp;$A107,実績!$AK$6:$AK$505,"○")&gt;0,1,0))</f>
        <v>0</v>
      </c>
      <c r="BY107" s="39" t="n">
        <f aca="false">IF(BY$4=0,0,IF(COUNTIFS(実績!$W$6:$W$505,BY$3,実績!$AI$6:$AI$505,"&lt;="&amp;$A107,実績!$AJ$6:$AJ$505,"&gt;"&amp;$A107,実績!$AK$6:$AK$505,"○")&gt;0,1,0))</f>
        <v>0</v>
      </c>
      <c r="BZ107" s="39" t="n">
        <f aca="false">IF(BZ$4=0,0,IF(COUNTIFS(実績!$W$6:$W$505,BZ$3,実績!$AI$6:$AI$505,"&lt;="&amp;$A107,実績!$AJ$6:$AJ$505,"&gt;"&amp;$A107,実績!$AK$6:$AK$505,"○")&gt;0,1,0))</f>
        <v>0</v>
      </c>
      <c r="CA107" s="39" t="n">
        <f aca="false">IF(CA$4=0,0,IF(COUNTIFS(実績!$W$6:$W$505,CA$3,実績!$AI$6:$AI$505,"&lt;="&amp;$A107,実績!$AJ$6:$AJ$505,"&gt;"&amp;$A107,実績!$AK$6:$AK$505,"○")&gt;0,1,0))</f>
        <v>0</v>
      </c>
      <c r="CB107" s="39" t="n">
        <f aca="false">IF(CB$4=0,0,IF(COUNTIFS(実績!$W$6:$W$505,CB$3,実績!$AI$6:$AI$505,"&lt;="&amp;$A107,実績!$AJ$6:$AJ$505,"&gt;"&amp;$A107,実績!$AK$6:$AK$505,"○")&gt;0,1,0))</f>
        <v>0</v>
      </c>
      <c r="CC107" s="39" t="n">
        <f aca="false">IF(CC$4=0,0,IF(COUNTIFS(実績!$W$6:$W$505,CC$3,実績!$AI$6:$AI$505,"&lt;="&amp;$A107,実績!$AJ$6:$AJ$505,"&gt;"&amp;$A107,実績!$AK$6:$AK$505,"○")&gt;0,1,0))</f>
        <v>0</v>
      </c>
      <c r="CD107" s="39" t="n">
        <f aca="false">IF(CD$4=0,0,IF(COUNTIFS(実績!$W$6:$W$505,CD$3,実績!$AI$6:$AI$505,"&lt;="&amp;$A107,実績!$AJ$6:$AJ$505,"&gt;"&amp;$A107,実績!$AK$6:$AK$505,"○")&gt;0,1,0))</f>
        <v>0</v>
      </c>
      <c r="CE107" s="39" t="n">
        <f aca="false">IF(CE$4=0,0,IF(COUNTIFS(実績!$W$6:$W$505,CE$3,実績!$AI$6:$AI$505,"&lt;="&amp;$A107,実績!$AJ$6:$AJ$505,"&gt;"&amp;$A107,実績!$AK$6:$AK$505,"○")&gt;0,1,0))</f>
        <v>0</v>
      </c>
      <c r="CF107" s="39" t="n">
        <f aca="false">IF(CF$4=0,0,IF(COUNTIFS(実績!$W$6:$W$505,CF$3,実績!$AI$6:$AI$505,"&lt;="&amp;$A107,実績!$AJ$6:$AJ$505,"&gt;"&amp;$A107,実績!$AK$6:$AK$505,"○")&gt;0,1,0))</f>
        <v>0</v>
      </c>
      <c r="CG107" s="39" t="n">
        <f aca="false">IF(CG$4=0,0,IF(COUNTIFS(実績!$W$6:$W$505,CG$3,実績!$AI$6:$AI$505,"&lt;="&amp;$A107,実績!$AJ$6:$AJ$505,"&gt;"&amp;$A107,実績!$AK$6:$AK$505,"○")&gt;0,1,0))</f>
        <v>0</v>
      </c>
      <c r="CH107" s="39" t="n">
        <f aca="false">IF(CH$4=0,0,IF(COUNTIFS(実績!$W$6:$W$505,CH$3,実績!$AI$6:$AI$505,"&lt;="&amp;$A107,実績!$AJ$6:$AJ$505,"&gt;"&amp;$A107,実績!$AK$6:$AK$505,"○")&gt;0,1,0))</f>
        <v>0</v>
      </c>
      <c r="CI107" s="39" t="n">
        <f aca="false">IF(CI$4=0,0,IF(COUNTIFS(実績!$W$6:$W$505,CI$3,実績!$AI$6:$AI$505,"&lt;="&amp;$A107,実績!$AJ$6:$AJ$505,"&gt;"&amp;$A107,実績!$AK$6:$AK$505,"○")&gt;0,1,0))</f>
        <v>0</v>
      </c>
      <c r="CJ107" s="39" t="n">
        <f aca="false">IF(CJ$4=0,0,IF(COUNTIFS(実績!$W$6:$W$505,CJ$3,実績!$AI$6:$AI$505,"&lt;="&amp;$A107,実績!$AJ$6:$AJ$505,"&gt;"&amp;$A107,実績!$AK$6:$AK$505,"○")&gt;0,1,0))</f>
        <v>0</v>
      </c>
      <c r="CK107" s="39" t="n">
        <f aca="false">IF(CK$4=0,0,IF(COUNTIFS(実績!$W$6:$W$505,CK$3,実績!$AI$6:$AI$505,"&lt;="&amp;$A107,実績!$AJ$6:$AJ$505,"&gt;"&amp;$A107,実績!$AK$6:$AK$505,"○")&gt;0,1,0))</f>
        <v>0</v>
      </c>
      <c r="CL107" s="39" t="n">
        <f aca="false">IF(CL$4=0,0,IF(COUNTIFS(実績!$W$6:$W$505,CL$3,実績!$AI$6:$AI$505,"&lt;="&amp;$A107,実績!$AJ$6:$AJ$505,"&gt;"&amp;$A107,実績!$AK$6:$AK$505,"○")&gt;0,1,0))</f>
        <v>0</v>
      </c>
      <c r="CM107" s="39" t="n">
        <f aca="false">IF(CM$4=0,0,IF(COUNTIFS(実績!$W$6:$W$505,CM$3,実績!$AI$6:$AI$505,"&lt;="&amp;$A107,実績!$AJ$6:$AJ$505,"&gt;"&amp;$A107,実績!$AK$6:$AK$505,"○")&gt;0,1,0))</f>
        <v>0</v>
      </c>
      <c r="CN107" s="39" t="n">
        <f aca="false">IF(CN$4=0,0,IF(COUNTIFS(実績!$W$6:$W$505,CN$3,実績!$AI$6:$AI$505,"&lt;="&amp;$A107,実績!$AJ$6:$AJ$505,"&gt;"&amp;$A107,実績!$AK$6:$AK$505,"○")&gt;0,1,0))</f>
        <v>0</v>
      </c>
      <c r="CO107" s="39" t="n">
        <f aca="false">IF(CO$4=0,0,IF(COUNTIFS(実績!$W$6:$W$505,CO$3,実績!$AI$6:$AI$505,"&lt;="&amp;$A107,実績!$AJ$6:$AJ$505,"&gt;"&amp;$A107,実績!$AK$6:$AK$505,"○")&gt;0,1,0))</f>
        <v>0</v>
      </c>
      <c r="CP107" s="39" t="n">
        <f aca="false">IF(CP$4=0,0,IF(COUNTIFS(実績!$W$6:$W$505,CP$3,実績!$AI$6:$AI$505,"&lt;="&amp;$A107,実績!$AJ$6:$AJ$505,"&gt;"&amp;$A107,実績!$AK$6:$AK$505,"○")&gt;0,1,0))</f>
        <v>0</v>
      </c>
      <c r="CQ107" s="39" t="n">
        <f aca="false">IF(CQ$4=0,0,IF(COUNTIFS(実績!$W$6:$W$505,CQ$3,実績!$AI$6:$AI$505,"&lt;="&amp;$A107,実績!$AJ$6:$AJ$505,"&gt;"&amp;$A107,実績!$AK$6:$AK$505,"○")&gt;0,1,0))</f>
        <v>0</v>
      </c>
      <c r="CR107" s="39" t="n">
        <f aca="false">IF(CR$4=0,0,IF(COUNTIFS(実績!$W$6:$W$505,CR$3,実績!$AI$6:$AI$505,"&lt;="&amp;$A107,実績!$AJ$6:$AJ$505,"&gt;"&amp;$A107,実績!$AK$6:$AK$505,"○")&gt;0,1,0))</f>
        <v>0</v>
      </c>
      <c r="CS107" s="39" t="n">
        <f aca="false">IF(CS$4=0,0,IF(COUNTIFS(実績!$W$6:$W$505,CS$3,実績!$AI$6:$AI$505,"&lt;="&amp;$A107,実績!$AJ$6:$AJ$505,"&gt;"&amp;$A107,実績!$AK$6:$AK$505,"○")&gt;0,1,0))</f>
        <v>0</v>
      </c>
      <c r="CT107" s="39" t="n">
        <f aca="false">IF(CT$4=0,0,IF(COUNTIFS(実績!$W$6:$W$505,CT$3,実績!$AI$6:$AI$505,"&lt;="&amp;$A107,実績!$AJ$6:$AJ$505,"&gt;"&amp;$A107,実績!$AK$6:$AK$505,"○")&gt;0,1,0))</f>
        <v>0</v>
      </c>
      <c r="CU107" s="39" t="n">
        <f aca="false">IF(CU$4=0,0,IF(COUNTIFS(実績!$W$6:$W$505,CU$3,実績!$AI$6:$AI$505,"&lt;="&amp;$A107,実績!$AJ$6:$AJ$505,"&gt;"&amp;$A107,実績!$AK$6:$AK$505,"○")&gt;0,1,0))</f>
        <v>0</v>
      </c>
      <c r="CV107" s="39" t="n">
        <f aca="false">IF(CV$4=0,0,IF(COUNTIFS(実績!$W$6:$W$505,CV$3,実績!$AI$6:$AI$505,"&lt;="&amp;$A107,実績!$AJ$6:$AJ$505,"&gt;"&amp;$A107,実績!$AK$6:$AK$505,"○")&gt;0,1,0))</f>
        <v>0</v>
      </c>
      <c r="CW107" s="39" t="n">
        <f aca="false">IF(CW$4=0,0,IF(COUNTIFS(実績!$W$6:$W$505,CW$3,実績!$AI$6:$AI$505,"&lt;="&amp;$A107,実績!$AJ$6:$AJ$505,"&gt;"&amp;$A107,実績!$AK$6:$AK$505,"○")&gt;0,1,0))</f>
        <v>0</v>
      </c>
      <c r="CX107" s="39" t="n">
        <f aca="false">IF(CX$4=0,0,IF(COUNTIFS(実績!$W$6:$W$505,CX$3,実績!$AI$6:$AI$505,"&lt;="&amp;$A107,実績!$AJ$6:$AJ$505,"&gt;"&amp;$A107,実績!$AK$6:$AK$505,"○")&gt;0,1,0))</f>
        <v>0</v>
      </c>
      <c r="CY107" s="39" t="n">
        <f aca="false">IF(CY$4=0,0,IF(COUNTIFS(実績!$W$6:$W$505,CY$3,実績!$AI$6:$AI$505,"&lt;="&amp;$A107,実績!$AJ$6:$AJ$505,"&gt;"&amp;$A107,実績!$AK$6:$AK$505,"○")&gt;0,1,0))</f>
        <v>0</v>
      </c>
      <c r="CZ107" s="39" t="n">
        <f aca="false">IF(CZ$4=0,0,IF(COUNTIFS(実績!$W$6:$W$505,CZ$3,実績!$AI$6:$AI$505,"&lt;="&amp;$A107,実績!$AJ$6:$AJ$505,"&gt;"&amp;$A107,実績!$AK$6:$AK$505,"○")&gt;0,1,0))</f>
        <v>0</v>
      </c>
      <c r="DA107" s="39" t="n">
        <f aca="false">IF(DA$4=0,0,IF(COUNTIFS(実績!$W$6:$W$505,DA$3,実績!$AI$6:$AI$505,"&lt;="&amp;$A107,実績!$AJ$6:$AJ$505,"&gt;"&amp;$A107,実績!$AK$6:$AK$505,"○")&gt;0,1,0))</f>
        <v>0</v>
      </c>
      <c r="DB107" s="39" t="n">
        <f aca="false">IF(DB$4=0,0,IF(COUNTIFS(実績!$W$6:$W$505,DB$3,実績!$AI$6:$AI$505,"&lt;="&amp;$A107,実績!$AJ$6:$AJ$505,"&gt;"&amp;$A107,実績!$AK$6:$AK$505,"○")&gt;0,1,0))</f>
        <v>0</v>
      </c>
      <c r="DC107" s="39" t="n">
        <f aca="false">IF(DC$4=0,0,IF(COUNTIFS(実績!$W$6:$W$505,DC$3,実績!$AI$6:$AI$505,"&lt;="&amp;$A107,実績!$AJ$6:$AJ$505,"&gt;"&amp;$A107,実績!$AK$6:$AK$505,"○")&gt;0,1,0))</f>
        <v>0</v>
      </c>
      <c r="DD107" s="39" t="n">
        <f aca="false">IF(DD$4=0,0,IF(COUNTIFS(実績!$W$6:$W$505,DD$3,実績!$AI$6:$AI$505,"&lt;="&amp;$A107,実績!$AJ$6:$AJ$505,"&gt;"&amp;$A107,実績!$AK$6:$AK$505,"○")&gt;0,1,0))</f>
        <v>0</v>
      </c>
      <c r="DE107" s="39" t="n">
        <f aca="false">IF(DE$4=0,0,IF(COUNTIFS(実績!$W$6:$W$505,DE$3,実績!$AI$6:$AI$505,"&lt;="&amp;$A107,実績!$AJ$6:$AJ$505,"&gt;"&amp;$A107,実績!$AK$6:$AK$505,"○")&gt;0,1,0))</f>
        <v>0</v>
      </c>
      <c r="DF107" s="39" t="n">
        <f aca="false">IF(DF$4=0,0,IF(COUNTIFS(実績!$W$6:$W$505,DF$3,実績!$AI$6:$AI$505,"&lt;="&amp;$A107,実績!$AJ$6:$AJ$505,"&gt;"&amp;$A107,実績!$AK$6:$AK$505,"○")&gt;0,1,0))</f>
        <v>0</v>
      </c>
      <c r="DG107" s="39" t="n">
        <f aca="false">IF(DG$4=0,0,IF(COUNTIFS(実績!$W$6:$W$505,DG$3,実績!$AI$6:$AI$505,"&lt;="&amp;$A107,実績!$AJ$6:$AJ$505,"&gt;"&amp;$A107,実績!$AK$6:$AK$505,"○")&gt;0,1,0))</f>
        <v>0</v>
      </c>
      <c r="DH107" s="39" t="n">
        <f aca="false">IF(DH$4=0,0,IF(COUNTIFS(実績!$W$6:$W$505,DH$3,実績!$AI$6:$AI$505,"&lt;="&amp;$A107,実績!$AJ$6:$AJ$505,"&gt;"&amp;$A107,実績!$AK$6:$AK$505,"○")&gt;0,1,0))</f>
        <v>0</v>
      </c>
      <c r="DI107" s="39" t="n">
        <f aca="false">IF(DI$4=0,0,IF(COUNTIFS(実績!$W$6:$W$505,DI$3,実績!$AI$6:$AI$505,"&lt;="&amp;$A107,実績!$AJ$6:$AJ$505,"&gt;"&amp;$A107,実績!$AK$6:$AK$505,"○")&gt;0,1,0))</f>
        <v>0</v>
      </c>
      <c r="DJ107" s="39" t="n">
        <f aca="false">IF(DJ$4=0,0,IF(COUNTIFS(実績!$W$6:$W$505,DJ$3,実績!$AI$6:$AI$505,"&lt;="&amp;$A107,実績!$AJ$6:$AJ$505,"&gt;"&amp;$A107,実績!$AK$6:$AK$505,"○")&gt;0,1,0))</f>
        <v>0</v>
      </c>
      <c r="DK107" s="39" t="n">
        <f aca="false">IF(DK$4=0,0,IF(COUNTIFS(実績!$W$6:$W$505,DK$3,実績!$AI$6:$AI$505,"&lt;="&amp;$A107,実績!$AJ$6:$AJ$505,"&gt;"&amp;$A107,実績!$AK$6:$AK$505,"○")&gt;0,1,0))</f>
        <v>0</v>
      </c>
      <c r="DL107" s="39" t="n">
        <f aca="false">IF(DL$4=0,0,IF(COUNTIFS(実績!$W$6:$W$505,DL$3,実績!$AI$6:$AI$505,"&lt;="&amp;$A107,実績!$AJ$6:$AJ$505,"&gt;"&amp;$A107,実績!$AK$6:$AK$505,"○")&gt;0,1,0))</f>
        <v>0</v>
      </c>
      <c r="DM107" s="39" t="n">
        <f aca="false">IF(DM$4=0,0,IF(COUNTIFS(実績!$W$6:$W$505,DM$3,実績!$AI$6:$AI$505,"&lt;="&amp;$A107,実績!$AJ$6:$AJ$505,"&gt;"&amp;$A107,実績!$AK$6:$AK$505,"○")&gt;0,1,0))</f>
        <v>0</v>
      </c>
      <c r="DN107" s="39" t="n">
        <f aca="false">IF(DN$4=0,0,IF(COUNTIFS(実績!$W$6:$W$505,DN$3,実績!$AI$6:$AI$505,"&lt;="&amp;$A107,実績!$AJ$6:$AJ$505,"&gt;"&amp;$A107,実績!$AK$6:$AK$505,"○")&gt;0,1,0))</f>
        <v>0</v>
      </c>
      <c r="DO107" s="39" t="n">
        <f aca="false">IF(DO$4=0,0,IF(COUNTIFS(実績!$W$6:$W$505,DO$3,実績!$AI$6:$AI$505,"&lt;="&amp;$A107,実績!$AJ$6:$AJ$505,"&gt;"&amp;$A107,実績!$AK$6:$AK$505,"○")&gt;0,1,0))</f>
        <v>0</v>
      </c>
      <c r="DP107" s="39" t="n">
        <f aca="false">IF(DP$4=0,0,IF(COUNTIFS(実績!$W$6:$W$505,DP$3,実績!$AI$6:$AI$505,"&lt;="&amp;$A107,実績!$AJ$6:$AJ$505,"&gt;"&amp;$A107,実績!$AK$6:$AK$505,"○")&gt;0,1,0))</f>
        <v>0</v>
      </c>
      <c r="DQ107" s="39" t="n">
        <f aca="false">IF(DQ$4=0,0,IF(COUNTIFS(実績!$W$6:$W$505,DQ$3,実績!$AI$6:$AI$505,"&lt;="&amp;$A107,実績!$AJ$6:$AJ$505,"&gt;"&amp;$A107,実績!$AK$6:$AK$505,"○")&gt;0,1,0))</f>
        <v>0</v>
      </c>
      <c r="DR107" s="39" t="n">
        <f aca="false">IF(DR$4=0,0,IF(COUNTIFS(実績!$W$6:$W$505,DR$3,実績!$AI$6:$AI$505,"&lt;="&amp;$A107,実績!$AJ$6:$AJ$505,"&gt;"&amp;$A107,実績!$AK$6:$AK$505,"○")&gt;0,1,0))</f>
        <v>0</v>
      </c>
      <c r="DS107" s="39" t="n">
        <f aca="false">SUM(C107:DR107)</f>
        <v>0</v>
      </c>
      <c r="DT107" s="39" t="n">
        <f aca="false">SUMPRODUCT((実績!$C$6:$C$505="○")*ISNUMBER(実績!$AM$6:$AM$505)*(実績!$AM$6:$AM$505&lt;=$A107)*(実績!$AN$6:$AN$505&gt;$A107))</f>
        <v>0</v>
      </c>
      <c r="DU107" s="39" t="n">
        <f aca="false">SUMIF($C$2:$DR$2,"製鉄曳船",C107:DR107)</f>
        <v>0</v>
      </c>
      <c r="DV107" s="39" t="n">
        <f aca="false">SUMIF($C$2:$DR$2,"西日本海運",C107:DR107)</f>
        <v>0</v>
      </c>
    </row>
    <row r="108" customFormat="false" ht="15" hidden="false" customHeight="false" outlineLevel="0" collapsed="false">
      <c r="A108" s="0" t="n">
        <v>510</v>
      </c>
      <c r="B108" s="38" t="n">
        <f aca="false">A108/1440</f>
        <v>0.354166666666667</v>
      </c>
      <c r="C108" s="39" t="n">
        <f aca="false">IF(C$4=0,0,IF(COUNTIFS(実績!$W$6:$W$505,C$3,実績!$AI$6:$AI$505,"&lt;="&amp;$A108,実績!$AJ$6:$AJ$505,"&gt;"&amp;$A108,実績!$AK$6:$AK$505,"○")&gt;0,1,0))</f>
        <v>0</v>
      </c>
      <c r="D108" s="39" t="n">
        <f aca="false">IF(D$4=0,0,IF(COUNTIFS(実績!$W$6:$W$505,D$3,実績!$AI$6:$AI$505,"&lt;="&amp;$A108,実績!$AJ$6:$AJ$505,"&gt;"&amp;$A108,実績!$AK$6:$AK$505,"○")&gt;0,1,0))</f>
        <v>0</v>
      </c>
      <c r="E108" s="39" t="n">
        <f aca="false">IF(E$4=0,0,IF(COUNTIFS(実績!$W$6:$W$505,E$3,実績!$AI$6:$AI$505,"&lt;="&amp;$A108,実績!$AJ$6:$AJ$505,"&gt;"&amp;$A108,実績!$AK$6:$AK$505,"○")&gt;0,1,0))</f>
        <v>0</v>
      </c>
      <c r="F108" s="39" t="n">
        <f aca="false">IF(F$4=0,0,IF(COUNTIFS(実績!$W$6:$W$505,F$3,実績!$AI$6:$AI$505,"&lt;="&amp;$A108,実績!$AJ$6:$AJ$505,"&gt;"&amp;$A108,実績!$AK$6:$AK$505,"○")&gt;0,1,0))</f>
        <v>0</v>
      </c>
      <c r="G108" s="39" t="n">
        <f aca="false">IF(G$4=0,0,IF(COUNTIFS(実績!$W$6:$W$505,G$3,実績!$AI$6:$AI$505,"&lt;="&amp;$A108,実績!$AJ$6:$AJ$505,"&gt;"&amp;$A108,実績!$AK$6:$AK$505,"○")&gt;0,1,0))</f>
        <v>0</v>
      </c>
      <c r="H108" s="39" t="n">
        <f aca="false">IF(H$4=0,0,IF(COUNTIFS(実績!$W$6:$W$505,H$3,実績!$AI$6:$AI$505,"&lt;="&amp;$A108,実績!$AJ$6:$AJ$505,"&gt;"&amp;$A108,実績!$AK$6:$AK$505,"○")&gt;0,1,0))</f>
        <v>0</v>
      </c>
      <c r="I108" s="39" t="n">
        <f aca="false">IF(I$4=0,0,IF(COUNTIFS(実績!$W$6:$W$505,I$3,実績!$AI$6:$AI$505,"&lt;="&amp;$A108,実績!$AJ$6:$AJ$505,"&gt;"&amp;$A108,実績!$AK$6:$AK$505,"○")&gt;0,1,0))</f>
        <v>0</v>
      </c>
      <c r="J108" s="39" t="n">
        <f aca="false">IF(J$4=0,0,IF(COUNTIFS(実績!$W$6:$W$505,J$3,実績!$AI$6:$AI$505,"&lt;="&amp;$A108,実績!$AJ$6:$AJ$505,"&gt;"&amp;$A108,実績!$AK$6:$AK$505,"○")&gt;0,1,0))</f>
        <v>0</v>
      </c>
      <c r="K108" s="39" t="n">
        <f aca="false">IF(K$4=0,0,IF(COUNTIFS(実績!$W$6:$W$505,K$3,実績!$AI$6:$AI$505,"&lt;="&amp;$A108,実績!$AJ$6:$AJ$505,"&gt;"&amp;$A108,実績!$AK$6:$AK$505,"○")&gt;0,1,0))</f>
        <v>0</v>
      </c>
      <c r="L108" s="39" t="n">
        <f aca="false">IF(L$4=0,0,IF(COUNTIFS(実績!$W$6:$W$505,L$3,実績!$AI$6:$AI$505,"&lt;="&amp;$A108,実績!$AJ$6:$AJ$505,"&gt;"&amp;$A108,実績!$AK$6:$AK$505,"○")&gt;0,1,0))</f>
        <v>0</v>
      </c>
      <c r="M108" s="39" t="n">
        <f aca="false">IF(M$4=0,0,IF(COUNTIFS(実績!$W$6:$W$505,M$3,実績!$AI$6:$AI$505,"&lt;="&amp;$A108,実績!$AJ$6:$AJ$505,"&gt;"&amp;$A108,実績!$AK$6:$AK$505,"○")&gt;0,1,0))</f>
        <v>0</v>
      </c>
      <c r="N108" s="39" t="n">
        <f aca="false">IF(N$4=0,0,IF(COUNTIFS(実績!$W$6:$W$505,N$3,実績!$AI$6:$AI$505,"&lt;="&amp;$A108,実績!$AJ$6:$AJ$505,"&gt;"&amp;$A108,実績!$AK$6:$AK$505,"○")&gt;0,1,0))</f>
        <v>0</v>
      </c>
      <c r="O108" s="39" t="n">
        <f aca="false">IF(O$4=0,0,IF(COUNTIFS(実績!$W$6:$W$505,O$3,実績!$AI$6:$AI$505,"&lt;="&amp;$A108,実績!$AJ$6:$AJ$505,"&gt;"&amp;$A108,実績!$AK$6:$AK$505,"○")&gt;0,1,0))</f>
        <v>0</v>
      </c>
      <c r="P108" s="39" t="n">
        <f aca="false">IF(P$4=0,0,IF(COUNTIFS(実績!$W$6:$W$505,P$3,実績!$AI$6:$AI$505,"&lt;="&amp;$A108,実績!$AJ$6:$AJ$505,"&gt;"&amp;$A108,実績!$AK$6:$AK$505,"○")&gt;0,1,0))</f>
        <v>0</v>
      </c>
      <c r="Q108" s="39" t="n">
        <f aca="false">IF(Q$4=0,0,IF(COUNTIFS(実績!$W$6:$W$505,Q$3,実績!$AI$6:$AI$505,"&lt;="&amp;$A108,実績!$AJ$6:$AJ$505,"&gt;"&amp;$A108,実績!$AK$6:$AK$505,"○")&gt;0,1,0))</f>
        <v>0</v>
      </c>
      <c r="R108" s="39" t="n">
        <f aca="false">IF(R$4=0,0,IF(COUNTIFS(実績!$W$6:$W$505,R$3,実績!$AI$6:$AI$505,"&lt;="&amp;$A108,実績!$AJ$6:$AJ$505,"&gt;"&amp;$A108,実績!$AK$6:$AK$505,"○")&gt;0,1,0))</f>
        <v>0</v>
      </c>
      <c r="S108" s="39" t="n">
        <f aca="false">IF(S$4=0,0,IF(COUNTIFS(実績!$W$6:$W$505,S$3,実績!$AI$6:$AI$505,"&lt;="&amp;$A108,実績!$AJ$6:$AJ$505,"&gt;"&amp;$A108,実績!$AK$6:$AK$505,"○")&gt;0,1,0))</f>
        <v>0</v>
      </c>
      <c r="T108" s="39" t="n">
        <f aca="false">IF(T$4=0,0,IF(COUNTIFS(実績!$W$6:$W$505,T$3,実績!$AI$6:$AI$505,"&lt;="&amp;$A108,実績!$AJ$6:$AJ$505,"&gt;"&amp;$A108,実績!$AK$6:$AK$505,"○")&gt;0,1,0))</f>
        <v>0</v>
      </c>
      <c r="U108" s="39" t="n">
        <f aca="false">IF(U$4=0,0,IF(COUNTIFS(実績!$W$6:$W$505,U$3,実績!$AI$6:$AI$505,"&lt;="&amp;$A108,実績!$AJ$6:$AJ$505,"&gt;"&amp;$A108,実績!$AK$6:$AK$505,"○")&gt;0,1,0))</f>
        <v>0</v>
      </c>
      <c r="V108" s="39" t="n">
        <f aca="false">IF(V$4=0,0,IF(COUNTIFS(実績!$W$6:$W$505,V$3,実績!$AI$6:$AI$505,"&lt;="&amp;$A108,実績!$AJ$6:$AJ$505,"&gt;"&amp;$A108,実績!$AK$6:$AK$505,"○")&gt;0,1,0))</f>
        <v>0</v>
      </c>
      <c r="W108" s="39" t="n">
        <f aca="false">IF(W$4=0,0,IF(COUNTIFS(実績!$W$6:$W$505,W$3,実績!$AI$6:$AI$505,"&lt;="&amp;$A108,実績!$AJ$6:$AJ$505,"&gt;"&amp;$A108,実績!$AK$6:$AK$505,"○")&gt;0,1,0))</f>
        <v>0</v>
      </c>
      <c r="X108" s="39" t="n">
        <f aca="false">IF(X$4=0,0,IF(COUNTIFS(実績!$W$6:$W$505,X$3,実績!$AI$6:$AI$505,"&lt;="&amp;$A108,実績!$AJ$6:$AJ$505,"&gt;"&amp;$A108,実績!$AK$6:$AK$505,"○")&gt;0,1,0))</f>
        <v>0</v>
      </c>
      <c r="Y108" s="39" t="n">
        <f aca="false">IF(Y$4=0,0,IF(COUNTIFS(実績!$W$6:$W$505,Y$3,実績!$AI$6:$AI$505,"&lt;="&amp;$A108,実績!$AJ$6:$AJ$505,"&gt;"&amp;$A108,実績!$AK$6:$AK$505,"○")&gt;0,1,0))</f>
        <v>0</v>
      </c>
      <c r="Z108" s="39" t="n">
        <f aca="false">IF(Z$4=0,0,IF(COUNTIFS(実績!$W$6:$W$505,Z$3,実績!$AI$6:$AI$505,"&lt;="&amp;$A108,実績!$AJ$6:$AJ$505,"&gt;"&amp;$A108,実績!$AK$6:$AK$505,"○")&gt;0,1,0))</f>
        <v>0</v>
      </c>
      <c r="AA108" s="39" t="n">
        <f aca="false">IF(AA$4=0,0,IF(COUNTIFS(実績!$W$6:$W$505,AA$3,実績!$AI$6:$AI$505,"&lt;="&amp;$A108,実績!$AJ$6:$AJ$505,"&gt;"&amp;$A108,実績!$AK$6:$AK$505,"○")&gt;0,1,0))</f>
        <v>0</v>
      </c>
      <c r="AB108" s="39" t="n">
        <f aca="false">IF(AB$4=0,0,IF(COUNTIFS(実績!$W$6:$W$505,AB$3,実績!$AI$6:$AI$505,"&lt;="&amp;$A108,実績!$AJ$6:$AJ$505,"&gt;"&amp;$A108,実績!$AK$6:$AK$505,"○")&gt;0,1,0))</f>
        <v>0</v>
      </c>
      <c r="AC108" s="39" t="n">
        <f aca="false">IF(AC$4=0,0,IF(COUNTIFS(実績!$W$6:$W$505,AC$3,実績!$AI$6:$AI$505,"&lt;="&amp;$A108,実績!$AJ$6:$AJ$505,"&gt;"&amp;$A108,実績!$AK$6:$AK$505,"○")&gt;0,1,0))</f>
        <v>0</v>
      </c>
      <c r="AD108" s="39" t="n">
        <f aca="false">IF(AD$4=0,0,IF(COUNTIFS(実績!$W$6:$W$505,AD$3,実績!$AI$6:$AI$505,"&lt;="&amp;$A108,実績!$AJ$6:$AJ$505,"&gt;"&amp;$A108,実績!$AK$6:$AK$505,"○")&gt;0,1,0))</f>
        <v>0</v>
      </c>
      <c r="AE108" s="39" t="n">
        <f aca="false">IF(AE$4=0,0,IF(COUNTIFS(実績!$W$6:$W$505,AE$3,実績!$AI$6:$AI$505,"&lt;="&amp;$A108,実績!$AJ$6:$AJ$505,"&gt;"&amp;$A108,実績!$AK$6:$AK$505,"○")&gt;0,1,0))</f>
        <v>0</v>
      </c>
      <c r="AF108" s="39" t="n">
        <f aca="false">IF(AF$4=0,0,IF(COUNTIFS(実績!$W$6:$W$505,AF$3,実績!$AI$6:$AI$505,"&lt;="&amp;$A108,実績!$AJ$6:$AJ$505,"&gt;"&amp;$A108,実績!$AK$6:$AK$505,"○")&gt;0,1,0))</f>
        <v>0</v>
      </c>
      <c r="AG108" s="39" t="n">
        <f aca="false">IF(AG$4=0,0,IF(COUNTIFS(実績!$W$6:$W$505,AG$3,実績!$AI$6:$AI$505,"&lt;="&amp;$A108,実績!$AJ$6:$AJ$505,"&gt;"&amp;$A108,実績!$AK$6:$AK$505,"○")&gt;0,1,0))</f>
        <v>0</v>
      </c>
      <c r="AH108" s="39" t="n">
        <f aca="false">IF(AH$4=0,0,IF(COUNTIFS(実績!$W$6:$W$505,AH$3,実績!$AI$6:$AI$505,"&lt;="&amp;$A108,実績!$AJ$6:$AJ$505,"&gt;"&amp;$A108,実績!$AK$6:$AK$505,"○")&gt;0,1,0))</f>
        <v>0</v>
      </c>
      <c r="AI108" s="39" t="n">
        <f aca="false">IF(AI$4=0,0,IF(COUNTIFS(実績!$W$6:$W$505,AI$3,実績!$AI$6:$AI$505,"&lt;="&amp;$A108,実績!$AJ$6:$AJ$505,"&gt;"&amp;$A108,実績!$AK$6:$AK$505,"○")&gt;0,1,0))</f>
        <v>0</v>
      </c>
      <c r="AJ108" s="39" t="n">
        <f aca="false">IF(AJ$4=0,0,IF(COUNTIFS(実績!$W$6:$W$505,AJ$3,実績!$AI$6:$AI$505,"&lt;="&amp;$A108,実績!$AJ$6:$AJ$505,"&gt;"&amp;$A108,実績!$AK$6:$AK$505,"○")&gt;0,1,0))</f>
        <v>0</v>
      </c>
      <c r="AK108" s="39" t="n">
        <f aca="false">IF(AK$4=0,0,IF(COUNTIFS(実績!$W$6:$W$505,AK$3,実績!$AI$6:$AI$505,"&lt;="&amp;$A108,実績!$AJ$6:$AJ$505,"&gt;"&amp;$A108,実績!$AK$6:$AK$505,"○")&gt;0,1,0))</f>
        <v>0</v>
      </c>
      <c r="AL108" s="39" t="n">
        <f aca="false">IF(AL$4=0,0,IF(COUNTIFS(実績!$W$6:$W$505,AL$3,実績!$AI$6:$AI$505,"&lt;="&amp;$A108,実績!$AJ$6:$AJ$505,"&gt;"&amp;$A108,実績!$AK$6:$AK$505,"○")&gt;0,1,0))</f>
        <v>0</v>
      </c>
      <c r="AM108" s="39" t="n">
        <f aca="false">IF(AM$4=0,0,IF(COUNTIFS(実績!$W$6:$W$505,AM$3,実績!$AI$6:$AI$505,"&lt;="&amp;$A108,実績!$AJ$6:$AJ$505,"&gt;"&amp;$A108,実績!$AK$6:$AK$505,"○")&gt;0,1,0))</f>
        <v>0</v>
      </c>
      <c r="AN108" s="39" t="n">
        <f aca="false">IF(AN$4=0,0,IF(COUNTIFS(実績!$W$6:$W$505,AN$3,実績!$AI$6:$AI$505,"&lt;="&amp;$A108,実績!$AJ$6:$AJ$505,"&gt;"&amp;$A108,実績!$AK$6:$AK$505,"○")&gt;0,1,0))</f>
        <v>0</v>
      </c>
      <c r="AO108" s="39" t="n">
        <f aca="false">IF(AO$4=0,0,IF(COUNTIFS(実績!$W$6:$W$505,AO$3,実績!$AI$6:$AI$505,"&lt;="&amp;$A108,実績!$AJ$6:$AJ$505,"&gt;"&amp;$A108,実績!$AK$6:$AK$505,"○")&gt;0,1,0))</f>
        <v>0</v>
      </c>
      <c r="AP108" s="39" t="n">
        <f aca="false">IF(AP$4=0,0,IF(COUNTIFS(実績!$W$6:$W$505,AP$3,実績!$AI$6:$AI$505,"&lt;="&amp;$A108,実績!$AJ$6:$AJ$505,"&gt;"&amp;$A108,実績!$AK$6:$AK$505,"○")&gt;0,1,0))</f>
        <v>0</v>
      </c>
      <c r="AQ108" s="39" t="n">
        <f aca="false">IF(AQ$4=0,0,IF(COUNTIFS(実績!$W$6:$W$505,AQ$3,実績!$AI$6:$AI$505,"&lt;="&amp;$A108,実績!$AJ$6:$AJ$505,"&gt;"&amp;$A108,実績!$AK$6:$AK$505,"○")&gt;0,1,0))</f>
        <v>0</v>
      </c>
      <c r="AR108" s="39" t="n">
        <f aca="false">IF(AR$4=0,0,IF(COUNTIFS(実績!$W$6:$W$505,AR$3,実績!$AI$6:$AI$505,"&lt;="&amp;$A108,実績!$AJ$6:$AJ$505,"&gt;"&amp;$A108,実績!$AK$6:$AK$505,"○")&gt;0,1,0))</f>
        <v>0</v>
      </c>
      <c r="AS108" s="39" t="n">
        <f aca="false">IF(AS$4=0,0,IF(COUNTIFS(実績!$W$6:$W$505,AS$3,実績!$AI$6:$AI$505,"&lt;="&amp;$A108,実績!$AJ$6:$AJ$505,"&gt;"&amp;$A108,実績!$AK$6:$AK$505,"○")&gt;0,1,0))</f>
        <v>0</v>
      </c>
      <c r="AT108" s="39" t="n">
        <f aca="false">IF(AT$4=0,0,IF(COUNTIFS(実績!$W$6:$W$505,AT$3,実績!$AI$6:$AI$505,"&lt;="&amp;$A108,実績!$AJ$6:$AJ$505,"&gt;"&amp;$A108,実績!$AK$6:$AK$505,"○")&gt;0,1,0))</f>
        <v>0</v>
      </c>
      <c r="AU108" s="39" t="n">
        <f aca="false">IF(AU$4=0,0,IF(COUNTIFS(実績!$W$6:$W$505,AU$3,実績!$AI$6:$AI$505,"&lt;="&amp;$A108,実績!$AJ$6:$AJ$505,"&gt;"&amp;$A108,実績!$AK$6:$AK$505,"○")&gt;0,1,0))</f>
        <v>0</v>
      </c>
      <c r="AV108" s="39" t="n">
        <f aca="false">IF(AV$4=0,0,IF(COUNTIFS(実績!$W$6:$W$505,AV$3,実績!$AI$6:$AI$505,"&lt;="&amp;$A108,実績!$AJ$6:$AJ$505,"&gt;"&amp;$A108,実績!$AK$6:$AK$505,"○")&gt;0,1,0))</f>
        <v>0</v>
      </c>
      <c r="AW108" s="39" t="n">
        <f aca="false">IF(AW$4=0,0,IF(COUNTIFS(実績!$W$6:$W$505,AW$3,実績!$AI$6:$AI$505,"&lt;="&amp;$A108,実績!$AJ$6:$AJ$505,"&gt;"&amp;$A108,実績!$AK$6:$AK$505,"○")&gt;0,1,0))</f>
        <v>0</v>
      </c>
      <c r="AX108" s="39" t="n">
        <f aca="false">IF(AX$4=0,0,IF(COUNTIFS(実績!$W$6:$W$505,AX$3,実績!$AI$6:$AI$505,"&lt;="&amp;$A108,実績!$AJ$6:$AJ$505,"&gt;"&amp;$A108,実績!$AK$6:$AK$505,"○")&gt;0,1,0))</f>
        <v>0</v>
      </c>
      <c r="AY108" s="39" t="n">
        <f aca="false">IF(AY$4=0,0,IF(COUNTIFS(実績!$W$6:$W$505,AY$3,実績!$AI$6:$AI$505,"&lt;="&amp;$A108,実績!$AJ$6:$AJ$505,"&gt;"&amp;$A108,実績!$AK$6:$AK$505,"○")&gt;0,1,0))</f>
        <v>0</v>
      </c>
      <c r="AZ108" s="39" t="n">
        <f aca="false">IF(AZ$4=0,0,IF(COUNTIFS(実績!$W$6:$W$505,AZ$3,実績!$AI$6:$AI$505,"&lt;="&amp;$A108,実績!$AJ$6:$AJ$505,"&gt;"&amp;$A108,実績!$AK$6:$AK$505,"○")&gt;0,1,0))</f>
        <v>0</v>
      </c>
      <c r="BA108" s="39" t="n">
        <f aca="false">IF(BA$4=0,0,IF(COUNTIFS(実績!$W$6:$W$505,BA$3,実績!$AI$6:$AI$505,"&lt;="&amp;$A108,実績!$AJ$6:$AJ$505,"&gt;"&amp;$A108,実績!$AK$6:$AK$505,"○")&gt;0,1,0))</f>
        <v>0</v>
      </c>
      <c r="BB108" s="39" t="n">
        <f aca="false">IF(BB$4=0,0,IF(COUNTIFS(実績!$W$6:$W$505,BB$3,実績!$AI$6:$AI$505,"&lt;="&amp;$A108,実績!$AJ$6:$AJ$505,"&gt;"&amp;$A108,実績!$AK$6:$AK$505,"○")&gt;0,1,0))</f>
        <v>0</v>
      </c>
      <c r="BC108" s="39" t="n">
        <f aca="false">IF(BC$4=0,0,IF(COUNTIFS(実績!$W$6:$W$505,BC$3,実績!$AI$6:$AI$505,"&lt;="&amp;$A108,実績!$AJ$6:$AJ$505,"&gt;"&amp;$A108,実績!$AK$6:$AK$505,"○")&gt;0,1,0))</f>
        <v>0</v>
      </c>
      <c r="BD108" s="39" t="n">
        <f aca="false">IF(BD$4=0,0,IF(COUNTIFS(実績!$W$6:$W$505,BD$3,実績!$AI$6:$AI$505,"&lt;="&amp;$A108,実績!$AJ$6:$AJ$505,"&gt;"&amp;$A108,実績!$AK$6:$AK$505,"○")&gt;0,1,0))</f>
        <v>0</v>
      </c>
      <c r="BE108" s="39" t="n">
        <f aca="false">IF(BE$4=0,0,IF(COUNTIFS(実績!$W$6:$W$505,BE$3,実績!$AI$6:$AI$505,"&lt;="&amp;$A108,実績!$AJ$6:$AJ$505,"&gt;"&amp;$A108,実績!$AK$6:$AK$505,"○")&gt;0,1,0))</f>
        <v>0</v>
      </c>
      <c r="BF108" s="39" t="n">
        <f aca="false">IF(BF$4=0,0,IF(COUNTIFS(実績!$W$6:$W$505,BF$3,実績!$AI$6:$AI$505,"&lt;="&amp;$A108,実績!$AJ$6:$AJ$505,"&gt;"&amp;$A108,実績!$AK$6:$AK$505,"○")&gt;0,1,0))</f>
        <v>0</v>
      </c>
      <c r="BG108" s="39" t="n">
        <f aca="false">IF(BG$4=0,0,IF(COUNTIFS(実績!$W$6:$W$505,BG$3,実績!$AI$6:$AI$505,"&lt;="&amp;$A108,実績!$AJ$6:$AJ$505,"&gt;"&amp;$A108,実績!$AK$6:$AK$505,"○")&gt;0,1,0))</f>
        <v>0</v>
      </c>
      <c r="BH108" s="39" t="n">
        <f aca="false">IF(BH$4=0,0,IF(COUNTIFS(実績!$W$6:$W$505,BH$3,実績!$AI$6:$AI$505,"&lt;="&amp;$A108,実績!$AJ$6:$AJ$505,"&gt;"&amp;$A108,実績!$AK$6:$AK$505,"○")&gt;0,1,0))</f>
        <v>0</v>
      </c>
      <c r="BI108" s="39" t="n">
        <f aca="false">IF(BI$4=0,0,IF(COUNTIFS(実績!$W$6:$W$505,BI$3,実績!$AI$6:$AI$505,"&lt;="&amp;$A108,実績!$AJ$6:$AJ$505,"&gt;"&amp;$A108,実績!$AK$6:$AK$505,"○")&gt;0,1,0))</f>
        <v>0</v>
      </c>
      <c r="BJ108" s="39" t="n">
        <f aca="false">IF(BJ$4=0,0,IF(COUNTIFS(実績!$W$6:$W$505,BJ$3,実績!$AI$6:$AI$505,"&lt;="&amp;$A108,実績!$AJ$6:$AJ$505,"&gt;"&amp;$A108,実績!$AK$6:$AK$505,"○")&gt;0,1,0))</f>
        <v>0</v>
      </c>
      <c r="BK108" s="39" t="n">
        <f aca="false">IF(BK$4=0,0,IF(COUNTIFS(実績!$W$6:$W$505,BK$3,実績!$AI$6:$AI$505,"&lt;="&amp;$A108,実績!$AJ$6:$AJ$505,"&gt;"&amp;$A108,実績!$AK$6:$AK$505,"○")&gt;0,1,0))</f>
        <v>0</v>
      </c>
      <c r="BL108" s="39" t="n">
        <f aca="false">IF(BL$4=0,0,IF(COUNTIFS(実績!$W$6:$W$505,BL$3,実績!$AI$6:$AI$505,"&lt;="&amp;$A108,実績!$AJ$6:$AJ$505,"&gt;"&amp;$A108,実績!$AK$6:$AK$505,"○")&gt;0,1,0))</f>
        <v>0</v>
      </c>
      <c r="BM108" s="39" t="n">
        <f aca="false">IF(BM$4=0,0,IF(COUNTIFS(実績!$W$6:$W$505,BM$3,実績!$AI$6:$AI$505,"&lt;="&amp;$A108,実績!$AJ$6:$AJ$505,"&gt;"&amp;$A108,実績!$AK$6:$AK$505,"○")&gt;0,1,0))</f>
        <v>0</v>
      </c>
      <c r="BN108" s="39" t="n">
        <f aca="false">IF(BN$4=0,0,IF(COUNTIFS(実績!$W$6:$W$505,BN$3,実績!$AI$6:$AI$505,"&lt;="&amp;$A108,実績!$AJ$6:$AJ$505,"&gt;"&amp;$A108,実績!$AK$6:$AK$505,"○")&gt;0,1,0))</f>
        <v>0</v>
      </c>
      <c r="BO108" s="39" t="n">
        <f aca="false">IF(BO$4=0,0,IF(COUNTIFS(実績!$W$6:$W$505,BO$3,実績!$AI$6:$AI$505,"&lt;="&amp;$A108,実績!$AJ$6:$AJ$505,"&gt;"&amp;$A108,実績!$AK$6:$AK$505,"○")&gt;0,1,0))</f>
        <v>0</v>
      </c>
      <c r="BP108" s="39" t="n">
        <f aca="false">IF(BP$4=0,0,IF(COUNTIFS(実績!$W$6:$W$505,BP$3,実績!$AI$6:$AI$505,"&lt;="&amp;$A108,実績!$AJ$6:$AJ$505,"&gt;"&amp;$A108,実績!$AK$6:$AK$505,"○")&gt;0,1,0))</f>
        <v>0</v>
      </c>
      <c r="BQ108" s="39" t="n">
        <f aca="false">IF(BQ$4=0,0,IF(COUNTIFS(実績!$W$6:$W$505,BQ$3,実績!$AI$6:$AI$505,"&lt;="&amp;$A108,実績!$AJ$6:$AJ$505,"&gt;"&amp;$A108,実績!$AK$6:$AK$505,"○")&gt;0,1,0))</f>
        <v>0</v>
      </c>
      <c r="BR108" s="39" t="n">
        <f aca="false">IF(BR$4=0,0,IF(COUNTIFS(実績!$W$6:$W$505,BR$3,実績!$AI$6:$AI$505,"&lt;="&amp;$A108,実績!$AJ$6:$AJ$505,"&gt;"&amp;$A108,実績!$AK$6:$AK$505,"○")&gt;0,1,0))</f>
        <v>0</v>
      </c>
      <c r="BS108" s="39" t="n">
        <f aca="false">IF(BS$4=0,0,IF(COUNTIFS(実績!$W$6:$W$505,BS$3,実績!$AI$6:$AI$505,"&lt;="&amp;$A108,実績!$AJ$6:$AJ$505,"&gt;"&amp;$A108,実績!$AK$6:$AK$505,"○")&gt;0,1,0))</f>
        <v>0</v>
      </c>
      <c r="BT108" s="39" t="n">
        <f aca="false">IF(BT$4=0,0,IF(COUNTIFS(実績!$W$6:$W$505,BT$3,実績!$AI$6:$AI$505,"&lt;="&amp;$A108,実績!$AJ$6:$AJ$505,"&gt;"&amp;$A108,実績!$AK$6:$AK$505,"○")&gt;0,1,0))</f>
        <v>0</v>
      </c>
      <c r="BU108" s="39" t="n">
        <f aca="false">IF(BU$4=0,0,IF(COUNTIFS(実績!$W$6:$W$505,BU$3,実績!$AI$6:$AI$505,"&lt;="&amp;$A108,実績!$AJ$6:$AJ$505,"&gt;"&amp;$A108,実績!$AK$6:$AK$505,"○")&gt;0,1,0))</f>
        <v>0</v>
      </c>
      <c r="BV108" s="39" t="n">
        <f aca="false">IF(BV$4=0,0,IF(COUNTIFS(実績!$W$6:$W$505,BV$3,実績!$AI$6:$AI$505,"&lt;="&amp;$A108,実績!$AJ$6:$AJ$505,"&gt;"&amp;$A108,実績!$AK$6:$AK$505,"○")&gt;0,1,0))</f>
        <v>0</v>
      </c>
      <c r="BW108" s="39" t="n">
        <f aca="false">IF(BW$4=0,0,IF(COUNTIFS(実績!$W$6:$W$505,BW$3,実績!$AI$6:$AI$505,"&lt;="&amp;$A108,実績!$AJ$6:$AJ$505,"&gt;"&amp;$A108,実績!$AK$6:$AK$505,"○")&gt;0,1,0))</f>
        <v>0</v>
      </c>
      <c r="BX108" s="39" t="n">
        <f aca="false">IF(BX$4=0,0,IF(COUNTIFS(実績!$W$6:$W$505,BX$3,実績!$AI$6:$AI$505,"&lt;="&amp;$A108,実績!$AJ$6:$AJ$505,"&gt;"&amp;$A108,実績!$AK$6:$AK$505,"○")&gt;0,1,0))</f>
        <v>0</v>
      </c>
      <c r="BY108" s="39" t="n">
        <f aca="false">IF(BY$4=0,0,IF(COUNTIFS(実績!$W$6:$W$505,BY$3,実績!$AI$6:$AI$505,"&lt;="&amp;$A108,実績!$AJ$6:$AJ$505,"&gt;"&amp;$A108,実績!$AK$6:$AK$505,"○")&gt;0,1,0))</f>
        <v>0</v>
      </c>
      <c r="BZ108" s="39" t="n">
        <f aca="false">IF(BZ$4=0,0,IF(COUNTIFS(実績!$W$6:$W$505,BZ$3,実績!$AI$6:$AI$505,"&lt;="&amp;$A108,実績!$AJ$6:$AJ$505,"&gt;"&amp;$A108,実績!$AK$6:$AK$505,"○")&gt;0,1,0))</f>
        <v>0</v>
      </c>
      <c r="CA108" s="39" t="n">
        <f aca="false">IF(CA$4=0,0,IF(COUNTIFS(実績!$W$6:$W$505,CA$3,実績!$AI$6:$AI$505,"&lt;="&amp;$A108,実績!$AJ$6:$AJ$505,"&gt;"&amp;$A108,実績!$AK$6:$AK$505,"○")&gt;0,1,0))</f>
        <v>0</v>
      </c>
      <c r="CB108" s="39" t="n">
        <f aca="false">IF(CB$4=0,0,IF(COUNTIFS(実績!$W$6:$W$505,CB$3,実績!$AI$6:$AI$505,"&lt;="&amp;$A108,実績!$AJ$6:$AJ$505,"&gt;"&amp;$A108,実績!$AK$6:$AK$505,"○")&gt;0,1,0))</f>
        <v>0</v>
      </c>
      <c r="CC108" s="39" t="n">
        <f aca="false">IF(CC$4=0,0,IF(COUNTIFS(実績!$W$6:$W$505,CC$3,実績!$AI$6:$AI$505,"&lt;="&amp;$A108,実績!$AJ$6:$AJ$505,"&gt;"&amp;$A108,実績!$AK$6:$AK$505,"○")&gt;0,1,0))</f>
        <v>0</v>
      </c>
      <c r="CD108" s="39" t="n">
        <f aca="false">IF(CD$4=0,0,IF(COUNTIFS(実績!$W$6:$W$505,CD$3,実績!$AI$6:$AI$505,"&lt;="&amp;$A108,実績!$AJ$6:$AJ$505,"&gt;"&amp;$A108,実績!$AK$6:$AK$505,"○")&gt;0,1,0))</f>
        <v>0</v>
      </c>
      <c r="CE108" s="39" t="n">
        <f aca="false">IF(CE$4=0,0,IF(COUNTIFS(実績!$W$6:$W$505,CE$3,実績!$AI$6:$AI$505,"&lt;="&amp;$A108,実績!$AJ$6:$AJ$505,"&gt;"&amp;$A108,実績!$AK$6:$AK$505,"○")&gt;0,1,0))</f>
        <v>0</v>
      </c>
      <c r="CF108" s="39" t="n">
        <f aca="false">IF(CF$4=0,0,IF(COUNTIFS(実績!$W$6:$W$505,CF$3,実績!$AI$6:$AI$505,"&lt;="&amp;$A108,実績!$AJ$6:$AJ$505,"&gt;"&amp;$A108,実績!$AK$6:$AK$505,"○")&gt;0,1,0))</f>
        <v>0</v>
      </c>
      <c r="CG108" s="39" t="n">
        <f aca="false">IF(CG$4=0,0,IF(COUNTIFS(実績!$W$6:$W$505,CG$3,実績!$AI$6:$AI$505,"&lt;="&amp;$A108,実績!$AJ$6:$AJ$505,"&gt;"&amp;$A108,実績!$AK$6:$AK$505,"○")&gt;0,1,0))</f>
        <v>0</v>
      </c>
      <c r="CH108" s="39" t="n">
        <f aca="false">IF(CH$4=0,0,IF(COUNTIFS(実績!$W$6:$W$505,CH$3,実績!$AI$6:$AI$505,"&lt;="&amp;$A108,実績!$AJ$6:$AJ$505,"&gt;"&amp;$A108,実績!$AK$6:$AK$505,"○")&gt;0,1,0))</f>
        <v>0</v>
      </c>
      <c r="CI108" s="39" t="n">
        <f aca="false">IF(CI$4=0,0,IF(COUNTIFS(実績!$W$6:$W$505,CI$3,実績!$AI$6:$AI$505,"&lt;="&amp;$A108,実績!$AJ$6:$AJ$505,"&gt;"&amp;$A108,実績!$AK$6:$AK$505,"○")&gt;0,1,0))</f>
        <v>0</v>
      </c>
      <c r="CJ108" s="39" t="n">
        <f aca="false">IF(CJ$4=0,0,IF(COUNTIFS(実績!$W$6:$W$505,CJ$3,実績!$AI$6:$AI$505,"&lt;="&amp;$A108,実績!$AJ$6:$AJ$505,"&gt;"&amp;$A108,実績!$AK$6:$AK$505,"○")&gt;0,1,0))</f>
        <v>0</v>
      </c>
      <c r="CK108" s="39" t="n">
        <f aca="false">IF(CK$4=0,0,IF(COUNTIFS(実績!$W$6:$W$505,CK$3,実績!$AI$6:$AI$505,"&lt;="&amp;$A108,実績!$AJ$6:$AJ$505,"&gt;"&amp;$A108,実績!$AK$6:$AK$505,"○")&gt;0,1,0))</f>
        <v>0</v>
      </c>
      <c r="CL108" s="39" t="n">
        <f aca="false">IF(CL$4=0,0,IF(COUNTIFS(実績!$W$6:$W$505,CL$3,実績!$AI$6:$AI$505,"&lt;="&amp;$A108,実績!$AJ$6:$AJ$505,"&gt;"&amp;$A108,実績!$AK$6:$AK$505,"○")&gt;0,1,0))</f>
        <v>0</v>
      </c>
      <c r="CM108" s="39" t="n">
        <f aca="false">IF(CM$4=0,0,IF(COUNTIFS(実績!$W$6:$W$505,CM$3,実績!$AI$6:$AI$505,"&lt;="&amp;$A108,実績!$AJ$6:$AJ$505,"&gt;"&amp;$A108,実績!$AK$6:$AK$505,"○")&gt;0,1,0))</f>
        <v>0</v>
      </c>
      <c r="CN108" s="39" t="n">
        <f aca="false">IF(CN$4=0,0,IF(COUNTIFS(実績!$W$6:$W$505,CN$3,実績!$AI$6:$AI$505,"&lt;="&amp;$A108,実績!$AJ$6:$AJ$505,"&gt;"&amp;$A108,実績!$AK$6:$AK$505,"○")&gt;0,1,0))</f>
        <v>0</v>
      </c>
      <c r="CO108" s="39" t="n">
        <f aca="false">IF(CO$4=0,0,IF(COUNTIFS(実績!$W$6:$W$505,CO$3,実績!$AI$6:$AI$505,"&lt;="&amp;$A108,実績!$AJ$6:$AJ$505,"&gt;"&amp;$A108,実績!$AK$6:$AK$505,"○")&gt;0,1,0))</f>
        <v>0</v>
      </c>
      <c r="CP108" s="39" t="n">
        <f aca="false">IF(CP$4=0,0,IF(COUNTIFS(実績!$W$6:$W$505,CP$3,実績!$AI$6:$AI$505,"&lt;="&amp;$A108,実績!$AJ$6:$AJ$505,"&gt;"&amp;$A108,実績!$AK$6:$AK$505,"○")&gt;0,1,0))</f>
        <v>0</v>
      </c>
      <c r="CQ108" s="39" t="n">
        <f aca="false">IF(CQ$4=0,0,IF(COUNTIFS(実績!$W$6:$W$505,CQ$3,実績!$AI$6:$AI$505,"&lt;="&amp;$A108,実績!$AJ$6:$AJ$505,"&gt;"&amp;$A108,実績!$AK$6:$AK$505,"○")&gt;0,1,0))</f>
        <v>0</v>
      </c>
      <c r="CR108" s="39" t="n">
        <f aca="false">IF(CR$4=0,0,IF(COUNTIFS(実績!$W$6:$W$505,CR$3,実績!$AI$6:$AI$505,"&lt;="&amp;$A108,実績!$AJ$6:$AJ$505,"&gt;"&amp;$A108,実績!$AK$6:$AK$505,"○")&gt;0,1,0))</f>
        <v>0</v>
      </c>
      <c r="CS108" s="39" t="n">
        <f aca="false">IF(CS$4=0,0,IF(COUNTIFS(実績!$W$6:$W$505,CS$3,実績!$AI$6:$AI$505,"&lt;="&amp;$A108,実績!$AJ$6:$AJ$505,"&gt;"&amp;$A108,実績!$AK$6:$AK$505,"○")&gt;0,1,0))</f>
        <v>0</v>
      </c>
      <c r="CT108" s="39" t="n">
        <f aca="false">IF(CT$4=0,0,IF(COUNTIFS(実績!$W$6:$W$505,CT$3,実績!$AI$6:$AI$505,"&lt;="&amp;$A108,実績!$AJ$6:$AJ$505,"&gt;"&amp;$A108,実績!$AK$6:$AK$505,"○")&gt;0,1,0))</f>
        <v>0</v>
      </c>
      <c r="CU108" s="39" t="n">
        <f aca="false">IF(CU$4=0,0,IF(COUNTIFS(実績!$W$6:$W$505,CU$3,実績!$AI$6:$AI$505,"&lt;="&amp;$A108,実績!$AJ$6:$AJ$505,"&gt;"&amp;$A108,実績!$AK$6:$AK$505,"○")&gt;0,1,0))</f>
        <v>0</v>
      </c>
      <c r="CV108" s="39" t="n">
        <f aca="false">IF(CV$4=0,0,IF(COUNTIFS(実績!$W$6:$W$505,CV$3,実績!$AI$6:$AI$505,"&lt;="&amp;$A108,実績!$AJ$6:$AJ$505,"&gt;"&amp;$A108,実績!$AK$6:$AK$505,"○")&gt;0,1,0))</f>
        <v>0</v>
      </c>
      <c r="CW108" s="39" t="n">
        <f aca="false">IF(CW$4=0,0,IF(COUNTIFS(実績!$W$6:$W$505,CW$3,実績!$AI$6:$AI$505,"&lt;="&amp;$A108,実績!$AJ$6:$AJ$505,"&gt;"&amp;$A108,実績!$AK$6:$AK$505,"○")&gt;0,1,0))</f>
        <v>0</v>
      </c>
      <c r="CX108" s="39" t="n">
        <f aca="false">IF(CX$4=0,0,IF(COUNTIFS(実績!$W$6:$W$505,CX$3,実績!$AI$6:$AI$505,"&lt;="&amp;$A108,実績!$AJ$6:$AJ$505,"&gt;"&amp;$A108,実績!$AK$6:$AK$505,"○")&gt;0,1,0))</f>
        <v>0</v>
      </c>
      <c r="CY108" s="39" t="n">
        <f aca="false">IF(CY$4=0,0,IF(COUNTIFS(実績!$W$6:$W$505,CY$3,実績!$AI$6:$AI$505,"&lt;="&amp;$A108,実績!$AJ$6:$AJ$505,"&gt;"&amp;$A108,実績!$AK$6:$AK$505,"○")&gt;0,1,0))</f>
        <v>0</v>
      </c>
      <c r="CZ108" s="39" t="n">
        <f aca="false">IF(CZ$4=0,0,IF(COUNTIFS(実績!$W$6:$W$505,CZ$3,実績!$AI$6:$AI$505,"&lt;="&amp;$A108,実績!$AJ$6:$AJ$505,"&gt;"&amp;$A108,実績!$AK$6:$AK$505,"○")&gt;0,1,0))</f>
        <v>0</v>
      </c>
      <c r="DA108" s="39" t="n">
        <f aca="false">IF(DA$4=0,0,IF(COUNTIFS(実績!$W$6:$W$505,DA$3,実績!$AI$6:$AI$505,"&lt;="&amp;$A108,実績!$AJ$6:$AJ$505,"&gt;"&amp;$A108,実績!$AK$6:$AK$505,"○")&gt;0,1,0))</f>
        <v>0</v>
      </c>
      <c r="DB108" s="39" t="n">
        <f aca="false">IF(DB$4=0,0,IF(COUNTIFS(実績!$W$6:$W$505,DB$3,実績!$AI$6:$AI$505,"&lt;="&amp;$A108,実績!$AJ$6:$AJ$505,"&gt;"&amp;$A108,実績!$AK$6:$AK$505,"○")&gt;0,1,0))</f>
        <v>0</v>
      </c>
      <c r="DC108" s="39" t="n">
        <f aca="false">IF(DC$4=0,0,IF(COUNTIFS(実績!$W$6:$W$505,DC$3,実績!$AI$6:$AI$505,"&lt;="&amp;$A108,実績!$AJ$6:$AJ$505,"&gt;"&amp;$A108,実績!$AK$6:$AK$505,"○")&gt;0,1,0))</f>
        <v>0</v>
      </c>
      <c r="DD108" s="39" t="n">
        <f aca="false">IF(DD$4=0,0,IF(COUNTIFS(実績!$W$6:$W$505,DD$3,実績!$AI$6:$AI$505,"&lt;="&amp;$A108,実績!$AJ$6:$AJ$505,"&gt;"&amp;$A108,実績!$AK$6:$AK$505,"○")&gt;0,1,0))</f>
        <v>0</v>
      </c>
      <c r="DE108" s="39" t="n">
        <f aca="false">IF(DE$4=0,0,IF(COUNTIFS(実績!$W$6:$W$505,DE$3,実績!$AI$6:$AI$505,"&lt;="&amp;$A108,実績!$AJ$6:$AJ$505,"&gt;"&amp;$A108,実績!$AK$6:$AK$505,"○")&gt;0,1,0))</f>
        <v>0</v>
      </c>
      <c r="DF108" s="39" t="n">
        <f aca="false">IF(DF$4=0,0,IF(COUNTIFS(実績!$W$6:$W$505,DF$3,実績!$AI$6:$AI$505,"&lt;="&amp;$A108,実績!$AJ$6:$AJ$505,"&gt;"&amp;$A108,実績!$AK$6:$AK$505,"○")&gt;0,1,0))</f>
        <v>0</v>
      </c>
      <c r="DG108" s="39" t="n">
        <f aca="false">IF(DG$4=0,0,IF(COUNTIFS(実績!$W$6:$W$505,DG$3,実績!$AI$6:$AI$505,"&lt;="&amp;$A108,実績!$AJ$6:$AJ$505,"&gt;"&amp;$A108,実績!$AK$6:$AK$505,"○")&gt;0,1,0))</f>
        <v>0</v>
      </c>
      <c r="DH108" s="39" t="n">
        <f aca="false">IF(DH$4=0,0,IF(COUNTIFS(実績!$W$6:$W$505,DH$3,実績!$AI$6:$AI$505,"&lt;="&amp;$A108,実績!$AJ$6:$AJ$505,"&gt;"&amp;$A108,実績!$AK$6:$AK$505,"○")&gt;0,1,0))</f>
        <v>0</v>
      </c>
      <c r="DI108" s="39" t="n">
        <f aca="false">IF(DI$4=0,0,IF(COUNTIFS(実績!$W$6:$W$505,DI$3,実績!$AI$6:$AI$505,"&lt;="&amp;$A108,実績!$AJ$6:$AJ$505,"&gt;"&amp;$A108,実績!$AK$6:$AK$505,"○")&gt;0,1,0))</f>
        <v>0</v>
      </c>
      <c r="DJ108" s="39" t="n">
        <f aca="false">IF(DJ$4=0,0,IF(COUNTIFS(実績!$W$6:$W$505,DJ$3,実績!$AI$6:$AI$505,"&lt;="&amp;$A108,実績!$AJ$6:$AJ$505,"&gt;"&amp;$A108,実績!$AK$6:$AK$505,"○")&gt;0,1,0))</f>
        <v>0</v>
      </c>
      <c r="DK108" s="39" t="n">
        <f aca="false">IF(DK$4=0,0,IF(COUNTIFS(実績!$W$6:$W$505,DK$3,実績!$AI$6:$AI$505,"&lt;="&amp;$A108,実績!$AJ$6:$AJ$505,"&gt;"&amp;$A108,実績!$AK$6:$AK$505,"○")&gt;0,1,0))</f>
        <v>0</v>
      </c>
      <c r="DL108" s="39" t="n">
        <f aca="false">IF(DL$4=0,0,IF(COUNTIFS(実績!$W$6:$W$505,DL$3,実績!$AI$6:$AI$505,"&lt;="&amp;$A108,実績!$AJ$6:$AJ$505,"&gt;"&amp;$A108,実績!$AK$6:$AK$505,"○")&gt;0,1,0))</f>
        <v>0</v>
      </c>
      <c r="DM108" s="39" t="n">
        <f aca="false">IF(DM$4=0,0,IF(COUNTIFS(実績!$W$6:$W$505,DM$3,実績!$AI$6:$AI$505,"&lt;="&amp;$A108,実績!$AJ$6:$AJ$505,"&gt;"&amp;$A108,実績!$AK$6:$AK$505,"○")&gt;0,1,0))</f>
        <v>0</v>
      </c>
      <c r="DN108" s="39" t="n">
        <f aca="false">IF(DN$4=0,0,IF(COUNTIFS(実績!$W$6:$W$505,DN$3,実績!$AI$6:$AI$505,"&lt;="&amp;$A108,実績!$AJ$6:$AJ$505,"&gt;"&amp;$A108,実績!$AK$6:$AK$505,"○")&gt;0,1,0))</f>
        <v>0</v>
      </c>
      <c r="DO108" s="39" t="n">
        <f aca="false">IF(DO$4=0,0,IF(COUNTIFS(実績!$W$6:$W$505,DO$3,実績!$AI$6:$AI$505,"&lt;="&amp;$A108,実績!$AJ$6:$AJ$505,"&gt;"&amp;$A108,実績!$AK$6:$AK$505,"○")&gt;0,1,0))</f>
        <v>0</v>
      </c>
      <c r="DP108" s="39" t="n">
        <f aca="false">IF(DP$4=0,0,IF(COUNTIFS(実績!$W$6:$W$505,DP$3,実績!$AI$6:$AI$505,"&lt;="&amp;$A108,実績!$AJ$6:$AJ$505,"&gt;"&amp;$A108,実績!$AK$6:$AK$505,"○")&gt;0,1,0))</f>
        <v>0</v>
      </c>
      <c r="DQ108" s="39" t="n">
        <f aca="false">IF(DQ$4=0,0,IF(COUNTIFS(実績!$W$6:$W$505,DQ$3,実績!$AI$6:$AI$505,"&lt;="&amp;$A108,実績!$AJ$6:$AJ$505,"&gt;"&amp;$A108,実績!$AK$6:$AK$505,"○")&gt;0,1,0))</f>
        <v>0</v>
      </c>
      <c r="DR108" s="39" t="n">
        <f aca="false">IF(DR$4=0,0,IF(COUNTIFS(実績!$W$6:$W$505,DR$3,実績!$AI$6:$AI$505,"&lt;="&amp;$A108,実績!$AJ$6:$AJ$505,"&gt;"&amp;$A108,実績!$AK$6:$AK$505,"○")&gt;0,1,0))</f>
        <v>0</v>
      </c>
      <c r="DS108" s="39" t="n">
        <f aca="false">SUM(C108:DR108)</f>
        <v>0</v>
      </c>
      <c r="DT108" s="39" t="n">
        <f aca="false">SUMPRODUCT((実績!$C$6:$C$505="○")*ISNUMBER(実績!$AM$6:$AM$505)*(実績!$AM$6:$AM$505&lt;=$A108)*(実績!$AN$6:$AN$505&gt;$A108))</f>
        <v>0</v>
      </c>
      <c r="DU108" s="39" t="n">
        <f aca="false">SUMIF($C$2:$DR$2,"製鉄曳船",C108:DR108)</f>
        <v>0</v>
      </c>
      <c r="DV108" s="39" t="n">
        <f aca="false">SUMIF($C$2:$DR$2,"西日本海運",C108:DR108)</f>
        <v>0</v>
      </c>
    </row>
    <row r="109" customFormat="false" ht="15" hidden="false" customHeight="false" outlineLevel="0" collapsed="false">
      <c r="A109" s="0" t="n">
        <v>515</v>
      </c>
      <c r="B109" s="38" t="n">
        <f aca="false">A109/1440</f>
        <v>0.357638888888889</v>
      </c>
      <c r="C109" s="39" t="n">
        <f aca="false">IF(C$4=0,0,IF(COUNTIFS(実績!$W$6:$W$505,C$3,実績!$AI$6:$AI$505,"&lt;="&amp;$A109,実績!$AJ$6:$AJ$505,"&gt;"&amp;$A109,実績!$AK$6:$AK$505,"○")&gt;0,1,0))</f>
        <v>0</v>
      </c>
      <c r="D109" s="39" t="n">
        <f aca="false">IF(D$4=0,0,IF(COUNTIFS(実績!$W$6:$W$505,D$3,実績!$AI$6:$AI$505,"&lt;="&amp;$A109,実績!$AJ$6:$AJ$505,"&gt;"&amp;$A109,実績!$AK$6:$AK$505,"○")&gt;0,1,0))</f>
        <v>0</v>
      </c>
      <c r="E109" s="39" t="n">
        <f aca="false">IF(E$4=0,0,IF(COUNTIFS(実績!$W$6:$W$505,E$3,実績!$AI$6:$AI$505,"&lt;="&amp;$A109,実績!$AJ$6:$AJ$505,"&gt;"&amp;$A109,実績!$AK$6:$AK$505,"○")&gt;0,1,0))</f>
        <v>0</v>
      </c>
      <c r="F109" s="39" t="n">
        <f aca="false">IF(F$4=0,0,IF(COUNTIFS(実績!$W$6:$W$505,F$3,実績!$AI$6:$AI$505,"&lt;="&amp;$A109,実績!$AJ$6:$AJ$505,"&gt;"&amp;$A109,実績!$AK$6:$AK$505,"○")&gt;0,1,0))</f>
        <v>0</v>
      </c>
      <c r="G109" s="39" t="n">
        <f aca="false">IF(G$4=0,0,IF(COUNTIFS(実績!$W$6:$W$505,G$3,実績!$AI$6:$AI$505,"&lt;="&amp;$A109,実績!$AJ$6:$AJ$505,"&gt;"&amp;$A109,実績!$AK$6:$AK$505,"○")&gt;0,1,0))</f>
        <v>0</v>
      </c>
      <c r="H109" s="39" t="n">
        <f aca="false">IF(H$4=0,0,IF(COUNTIFS(実績!$W$6:$W$505,H$3,実績!$AI$6:$AI$505,"&lt;="&amp;$A109,実績!$AJ$6:$AJ$505,"&gt;"&amp;$A109,実績!$AK$6:$AK$505,"○")&gt;0,1,0))</f>
        <v>0</v>
      </c>
      <c r="I109" s="39" t="n">
        <f aca="false">IF(I$4=0,0,IF(COUNTIFS(実績!$W$6:$W$505,I$3,実績!$AI$6:$AI$505,"&lt;="&amp;$A109,実績!$AJ$6:$AJ$505,"&gt;"&amp;$A109,実績!$AK$6:$AK$505,"○")&gt;0,1,0))</f>
        <v>0</v>
      </c>
      <c r="J109" s="39" t="n">
        <f aca="false">IF(J$4=0,0,IF(COUNTIFS(実績!$W$6:$W$505,J$3,実績!$AI$6:$AI$505,"&lt;="&amp;$A109,実績!$AJ$6:$AJ$505,"&gt;"&amp;$A109,実績!$AK$6:$AK$505,"○")&gt;0,1,0))</f>
        <v>0</v>
      </c>
      <c r="K109" s="39" t="n">
        <f aca="false">IF(K$4=0,0,IF(COUNTIFS(実績!$W$6:$W$505,K$3,実績!$AI$6:$AI$505,"&lt;="&amp;$A109,実績!$AJ$6:$AJ$505,"&gt;"&amp;$A109,実績!$AK$6:$AK$505,"○")&gt;0,1,0))</f>
        <v>0</v>
      </c>
      <c r="L109" s="39" t="n">
        <f aca="false">IF(L$4=0,0,IF(COUNTIFS(実績!$W$6:$W$505,L$3,実績!$AI$6:$AI$505,"&lt;="&amp;$A109,実績!$AJ$6:$AJ$505,"&gt;"&amp;$A109,実績!$AK$6:$AK$505,"○")&gt;0,1,0))</f>
        <v>0</v>
      </c>
      <c r="M109" s="39" t="n">
        <f aca="false">IF(M$4=0,0,IF(COUNTIFS(実績!$W$6:$W$505,M$3,実績!$AI$6:$AI$505,"&lt;="&amp;$A109,実績!$AJ$6:$AJ$505,"&gt;"&amp;$A109,実績!$AK$6:$AK$505,"○")&gt;0,1,0))</f>
        <v>0</v>
      </c>
      <c r="N109" s="39" t="n">
        <f aca="false">IF(N$4=0,0,IF(COUNTIFS(実績!$W$6:$W$505,N$3,実績!$AI$6:$AI$505,"&lt;="&amp;$A109,実績!$AJ$6:$AJ$505,"&gt;"&amp;$A109,実績!$AK$6:$AK$505,"○")&gt;0,1,0))</f>
        <v>0</v>
      </c>
      <c r="O109" s="39" t="n">
        <f aca="false">IF(O$4=0,0,IF(COUNTIFS(実績!$W$6:$W$505,O$3,実績!$AI$6:$AI$505,"&lt;="&amp;$A109,実績!$AJ$6:$AJ$505,"&gt;"&amp;$A109,実績!$AK$6:$AK$505,"○")&gt;0,1,0))</f>
        <v>0</v>
      </c>
      <c r="P109" s="39" t="n">
        <f aca="false">IF(P$4=0,0,IF(COUNTIFS(実績!$W$6:$W$505,P$3,実績!$AI$6:$AI$505,"&lt;="&amp;$A109,実績!$AJ$6:$AJ$505,"&gt;"&amp;$A109,実績!$AK$6:$AK$505,"○")&gt;0,1,0))</f>
        <v>0</v>
      </c>
      <c r="Q109" s="39" t="n">
        <f aca="false">IF(Q$4=0,0,IF(COUNTIFS(実績!$W$6:$W$505,Q$3,実績!$AI$6:$AI$505,"&lt;="&amp;$A109,実績!$AJ$6:$AJ$505,"&gt;"&amp;$A109,実績!$AK$6:$AK$505,"○")&gt;0,1,0))</f>
        <v>0</v>
      </c>
      <c r="R109" s="39" t="n">
        <f aca="false">IF(R$4=0,0,IF(COUNTIFS(実績!$W$6:$W$505,R$3,実績!$AI$6:$AI$505,"&lt;="&amp;$A109,実績!$AJ$6:$AJ$505,"&gt;"&amp;$A109,実績!$AK$6:$AK$505,"○")&gt;0,1,0))</f>
        <v>0</v>
      </c>
      <c r="S109" s="39" t="n">
        <f aca="false">IF(S$4=0,0,IF(COUNTIFS(実績!$W$6:$W$505,S$3,実績!$AI$6:$AI$505,"&lt;="&amp;$A109,実績!$AJ$6:$AJ$505,"&gt;"&amp;$A109,実績!$AK$6:$AK$505,"○")&gt;0,1,0))</f>
        <v>0</v>
      </c>
      <c r="T109" s="39" t="n">
        <f aca="false">IF(T$4=0,0,IF(COUNTIFS(実績!$W$6:$W$505,T$3,実績!$AI$6:$AI$505,"&lt;="&amp;$A109,実績!$AJ$6:$AJ$505,"&gt;"&amp;$A109,実績!$AK$6:$AK$505,"○")&gt;0,1,0))</f>
        <v>0</v>
      </c>
      <c r="U109" s="39" t="n">
        <f aca="false">IF(U$4=0,0,IF(COUNTIFS(実績!$W$6:$W$505,U$3,実績!$AI$6:$AI$505,"&lt;="&amp;$A109,実績!$AJ$6:$AJ$505,"&gt;"&amp;$A109,実績!$AK$6:$AK$505,"○")&gt;0,1,0))</f>
        <v>0</v>
      </c>
      <c r="V109" s="39" t="n">
        <f aca="false">IF(V$4=0,0,IF(COUNTIFS(実績!$W$6:$W$505,V$3,実績!$AI$6:$AI$505,"&lt;="&amp;$A109,実績!$AJ$6:$AJ$505,"&gt;"&amp;$A109,実績!$AK$6:$AK$505,"○")&gt;0,1,0))</f>
        <v>0</v>
      </c>
      <c r="W109" s="39" t="n">
        <f aca="false">IF(W$4=0,0,IF(COUNTIFS(実績!$W$6:$W$505,W$3,実績!$AI$6:$AI$505,"&lt;="&amp;$A109,実績!$AJ$6:$AJ$505,"&gt;"&amp;$A109,実績!$AK$6:$AK$505,"○")&gt;0,1,0))</f>
        <v>0</v>
      </c>
      <c r="X109" s="39" t="n">
        <f aca="false">IF(X$4=0,0,IF(COUNTIFS(実績!$W$6:$W$505,X$3,実績!$AI$6:$AI$505,"&lt;="&amp;$A109,実績!$AJ$6:$AJ$505,"&gt;"&amp;$A109,実績!$AK$6:$AK$505,"○")&gt;0,1,0))</f>
        <v>0</v>
      </c>
      <c r="Y109" s="39" t="n">
        <f aca="false">IF(Y$4=0,0,IF(COUNTIFS(実績!$W$6:$W$505,Y$3,実績!$AI$6:$AI$505,"&lt;="&amp;$A109,実績!$AJ$6:$AJ$505,"&gt;"&amp;$A109,実績!$AK$6:$AK$505,"○")&gt;0,1,0))</f>
        <v>0</v>
      </c>
      <c r="Z109" s="39" t="n">
        <f aca="false">IF(Z$4=0,0,IF(COUNTIFS(実績!$W$6:$W$505,Z$3,実績!$AI$6:$AI$505,"&lt;="&amp;$A109,実績!$AJ$6:$AJ$505,"&gt;"&amp;$A109,実績!$AK$6:$AK$505,"○")&gt;0,1,0))</f>
        <v>0</v>
      </c>
      <c r="AA109" s="39" t="n">
        <f aca="false">IF(AA$4=0,0,IF(COUNTIFS(実績!$W$6:$W$505,AA$3,実績!$AI$6:$AI$505,"&lt;="&amp;$A109,実績!$AJ$6:$AJ$505,"&gt;"&amp;$A109,実績!$AK$6:$AK$505,"○")&gt;0,1,0))</f>
        <v>0</v>
      </c>
      <c r="AB109" s="39" t="n">
        <f aca="false">IF(AB$4=0,0,IF(COUNTIFS(実績!$W$6:$W$505,AB$3,実績!$AI$6:$AI$505,"&lt;="&amp;$A109,実績!$AJ$6:$AJ$505,"&gt;"&amp;$A109,実績!$AK$6:$AK$505,"○")&gt;0,1,0))</f>
        <v>0</v>
      </c>
      <c r="AC109" s="39" t="n">
        <f aca="false">IF(AC$4=0,0,IF(COUNTIFS(実績!$W$6:$W$505,AC$3,実績!$AI$6:$AI$505,"&lt;="&amp;$A109,実績!$AJ$6:$AJ$505,"&gt;"&amp;$A109,実績!$AK$6:$AK$505,"○")&gt;0,1,0))</f>
        <v>0</v>
      </c>
      <c r="AD109" s="39" t="n">
        <f aca="false">IF(AD$4=0,0,IF(COUNTIFS(実績!$W$6:$W$505,AD$3,実績!$AI$6:$AI$505,"&lt;="&amp;$A109,実績!$AJ$6:$AJ$505,"&gt;"&amp;$A109,実績!$AK$6:$AK$505,"○")&gt;0,1,0))</f>
        <v>0</v>
      </c>
      <c r="AE109" s="39" t="n">
        <f aca="false">IF(AE$4=0,0,IF(COUNTIFS(実績!$W$6:$W$505,AE$3,実績!$AI$6:$AI$505,"&lt;="&amp;$A109,実績!$AJ$6:$AJ$505,"&gt;"&amp;$A109,実績!$AK$6:$AK$505,"○")&gt;0,1,0))</f>
        <v>0</v>
      </c>
      <c r="AF109" s="39" t="n">
        <f aca="false">IF(AF$4=0,0,IF(COUNTIFS(実績!$W$6:$W$505,AF$3,実績!$AI$6:$AI$505,"&lt;="&amp;$A109,実績!$AJ$6:$AJ$505,"&gt;"&amp;$A109,実績!$AK$6:$AK$505,"○")&gt;0,1,0))</f>
        <v>0</v>
      </c>
      <c r="AG109" s="39" t="n">
        <f aca="false">IF(AG$4=0,0,IF(COUNTIFS(実績!$W$6:$W$505,AG$3,実績!$AI$6:$AI$505,"&lt;="&amp;$A109,実績!$AJ$6:$AJ$505,"&gt;"&amp;$A109,実績!$AK$6:$AK$505,"○")&gt;0,1,0))</f>
        <v>0</v>
      </c>
      <c r="AH109" s="39" t="n">
        <f aca="false">IF(AH$4=0,0,IF(COUNTIFS(実績!$W$6:$W$505,AH$3,実績!$AI$6:$AI$505,"&lt;="&amp;$A109,実績!$AJ$6:$AJ$505,"&gt;"&amp;$A109,実績!$AK$6:$AK$505,"○")&gt;0,1,0))</f>
        <v>0</v>
      </c>
      <c r="AI109" s="39" t="n">
        <f aca="false">IF(AI$4=0,0,IF(COUNTIFS(実績!$W$6:$W$505,AI$3,実績!$AI$6:$AI$505,"&lt;="&amp;$A109,実績!$AJ$6:$AJ$505,"&gt;"&amp;$A109,実績!$AK$6:$AK$505,"○")&gt;0,1,0))</f>
        <v>0</v>
      </c>
      <c r="AJ109" s="39" t="n">
        <f aca="false">IF(AJ$4=0,0,IF(COUNTIFS(実績!$W$6:$W$505,AJ$3,実績!$AI$6:$AI$505,"&lt;="&amp;$A109,実績!$AJ$6:$AJ$505,"&gt;"&amp;$A109,実績!$AK$6:$AK$505,"○")&gt;0,1,0))</f>
        <v>0</v>
      </c>
      <c r="AK109" s="39" t="n">
        <f aca="false">IF(AK$4=0,0,IF(COUNTIFS(実績!$W$6:$W$505,AK$3,実績!$AI$6:$AI$505,"&lt;="&amp;$A109,実績!$AJ$6:$AJ$505,"&gt;"&amp;$A109,実績!$AK$6:$AK$505,"○")&gt;0,1,0))</f>
        <v>0</v>
      </c>
      <c r="AL109" s="39" t="n">
        <f aca="false">IF(AL$4=0,0,IF(COUNTIFS(実績!$W$6:$W$505,AL$3,実績!$AI$6:$AI$505,"&lt;="&amp;$A109,実績!$AJ$6:$AJ$505,"&gt;"&amp;$A109,実績!$AK$6:$AK$505,"○")&gt;0,1,0))</f>
        <v>0</v>
      </c>
      <c r="AM109" s="39" t="n">
        <f aca="false">IF(AM$4=0,0,IF(COUNTIFS(実績!$W$6:$W$505,AM$3,実績!$AI$6:$AI$505,"&lt;="&amp;$A109,実績!$AJ$6:$AJ$505,"&gt;"&amp;$A109,実績!$AK$6:$AK$505,"○")&gt;0,1,0))</f>
        <v>0</v>
      </c>
      <c r="AN109" s="39" t="n">
        <f aca="false">IF(AN$4=0,0,IF(COUNTIFS(実績!$W$6:$W$505,AN$3,実績!$AI$6:$AI$505,"&lt;="&amp;$A109,実績!$AJ$6:$AJ$505,"&gt;"&amp;$A109,実績!$AK$6:$AK$505,"○")&gt;0,1,0))</f>
        <v>0</v>
      </c>
      <c r="AO109" s="39" t="n">
        <f aca="false">IF(AO$4=0,0,IF(COUNTIFS(実績!$W$6:$W$505,AO$3,実績!$AI$6:$AI$505,"&lt;="&amp;$A109,実績!$AJ$6:$AJ$505,"&gt;"&amp;$A109,実績!$AK$6:$AK$505,"○")&gt;0,1,0))</f>
        <v>0</v>
      </c>
      <c r="AP109" s="39" t="n">
        <f aca="false">IF(AP$4=0,0,IF(COUNTIFS(実績!$W$6:$W$505,AP$3,実績!$AI$6:$AI$505,"&lt;="&amp;$A109,実績!$AJ$6:$AJ$505,"&gt;"&amp;$A109,実績!$AK$6:$AK$505,"○")&gt;0,1,0))</f>
        <v>0</v>
      </c>
      <c r="AQ109" s="39" t="n">
        <f aca="false">IF(AQ$4=0,0,IF(COUNTIFS(実績!$W$6:$W$505,AQ$3,実績!$AI$6:$AI$505,"&lt;="&amp;$A109,実績!$AJ$6:$AJ$505,"&gt;"&amp;$A109,実績!$AK$6:$AK$505,"○")&gt;0,1,0))</f>
        <v>0</v>
      </c>
      <c r="AR109" s="39" t="n">
        <f aca="false">IF(AR$4=0,0,IF(COUNTIFS(実績!$W$6:$W$505,AR$3,実績!$AI$6:$AI$505,"&lt;="&amp;$A109,実績!$AJ$6:$AJ$505,"&gt;"&amp;$A109,実績!$AK$6:$AK$505,"○")&gt;0,1,0))</f>
        <v>0</v>
      </c>
      <c r="AS109" s="39" t="n">
        <f aca="false">IF(AS$4=0,0,IF(COUNTIFS(実績!$W$6:$W$505,AS$3,実績!$AI$6:$AI$505,"&lt;="&amp;$A109,実績!$AJ$6:$AJ$505,"&gt;"&amp;$A109,実績!$AK$6:$AK$505,"○")&gt;0,1,0))</f>
        <v>0</v>
      </c>
      <c r="AT109" s="39" t="n">
        <f aca="false">IF(AT$4=0,0,IF(COUNTIFS(実績!$W$6:$W$505,AT$3,実績!$AI$6:$AI$505,"&lt;="&amp;$A109,実績!$AJ$6:$AJ$505,"&gt;"&amp;$A109,実績!$AK$6:$AK$505,"○")&gt;0,1,0))</f>
        <v>0</v>
      </c>
      <c r="AU109" s="39" t="n">
        <f aca="false">IF(AU$4=0,0,IF(COUNTIFS(実績!$W$6:$W$505,AU$3,実績!$AI$6:$AI$505,"&lt;="&amp;$A109,実績!$AJ$6:$AJ$505,"&gt;"&amp;$A109,実績!$AK$6:$AK$505,"○")&gt;0,1,0))</f>
        <v>0</v>
      </c>
      <c r="AV109" s="39" t="n">
        <f aca="false">IF(AV$4=0,0,IF(COUNTIFS(実績!$W$6:$W$505,AV$3,実績!$AI$6:$AI$505,"&lt;="&amp;$A109,実績!$AJ$6:$AJ$505,"&gt;"&amp;$A109,実績!$AK$6:$AK$505,"○")&gt;0,1,0))</f>
        <v>0</v>
      </c>
      <c r="AW109" s="39" t="n">
        <f aca="false">IF(AW$4=0,0,IF(COUNTIFS(実績!$W$6:$W$505,AW$3,実績!$AI$6:$AI$505,"&lt;="&amp;$A109,実績!$AJ$6:$AJ$505,"&gt;"&amp;$A109,実績!$AK$6:$AK$505,"○")&gt;0,1,0))</f>
        <v>0</v>
      </c>
      <c r="AX109" s="39" t="n">
        <f aca="false">IF(AX$4=0,0,IF(COUNTIFS(実績!$W$6:$W$505,AX$3,実績!$AI$6:$AI$505,"&lt;="&amp;$A109,実績!$AJ$6:$AJ$505,"&gt;"&amp;$A109,実績!$AK$6:$AK$505,"○")&gt;0,1,0))</f>
        <v>0</v>
      </c>
      <c r="AY109" s="39" t="n">
        <f aca="false">IF(AY$4=0,0,IF(COUNTIFS(実績!$W$6:$W$505,AY$3,実績!$AI$6:$AI$505,"&lt;="&amp;$A109,実績!$AJ$6:$AJ$505,"&gt;"&amp;$A109,実績!$AK$6:$AK$505,"○")&gt;0,1,0))</f>
        <v>0</v>
      </c>
      <c r="AZ109" s="39" t="n">
        <f aca="false">IF(AZ$4=0,0,IF(COUNTIFS(実績!$W$6:$W$505,AZ$3,実績!$AI$6:$AI$505,"&lt;="&amp;$A109,実績!$AJ$6:$AJ$505,"&gt;"&amp;$A109,実績!$AK$6:$AK$505,"○")&gt;0,1,0))</f>
        <v>0</v>
      </c>
      <c r="BA109" s="39" t="n">
        <f aca="false">IF(BA$4=0,0,IF(COUNTIFS(実績!$W$6:$W$505,BA$3,実績!$AI$6:$AI$505,"&lt;="&amp;$A109,実績!$AJ$6:$AJ$505,"&gt;"&amp;$A109,実績!$AK$6:$AK$505,"○")&gt;0,1,0))</f>
        <v>0</v>
      </c>
      <c r="BB109" s="39" t="n">
        <f aca="false">IF(BB$4=0,0,IF(COUNTIFS(実績!$W$6:$W$505,BB$3,実績!$AI$6:$AI$505,"&lt;="&amp;$A109,実績!$AJ$6:$AJ$505,"&gt;"&amp;$A109,実績!$AK$6:$AK$505,"○")&gt;0,1,0))</f>
        <v>0</v>
      </c>
      <c r="BC109" s="39" t="n">
        <f aca="false">IF(BC$4=0,0,IF(COUNTIFS(実績!$W$6:$W$505,BC$3,実績!$AI$6:$AI$505,"&lt;="&amp;$A109,実績!$AJ$6:$AJ$505,"&gt;"&amp;$A109,実績!$AK$6:$AK$505,"○")&gt;0,1,0))</f>
        <v>0</v>
      </c>
      <c r="BD109" s="39" t="n">
        <f aca="false">IF(BD$4=0,0,IF(COUNTIFS(実績!$W$6:$W$505,BD$3,実績!$AI$6:$AI$505,"&lt;="&amp;$A109,実績!$AJ$6:$AJ$505,"&gt;"&amp;$A109,実績!$AK$6:$AK$505,"○")&gt;0,1,0))</f>
        <v>0</v>
      </c>
      <c r="BE109" s="39" t="n">
        <f aca="false">IF(BE$4=0,0,IF(COUNTIFS(実績!$W$6:$W$505,BE$3,実績!$AI$6:$AI$505,"&lt;="&amp;$A109,実績!$AJ$6:$AJ$505,"&gt;"&amp;$A109,実績!$AK$6:$AK$505,"○")&gt;0,1,0))</f>
        <v>0</v>
      </c>
      <c r="BF109" s="39" t="n">
        <f aca="false">IF(BF$4=0,0,IF(COUNTIFS(実績!$W$6:$W$505,BF$3,実績!$AI$6:$AI$505,"&lt;="&amp;$A109,実績!$AJ$6:$AJ$505,"&gt;"&amp;$A109,実績!$AK$6:$AK$505,"○")&gt;0,1,0))</f>
        <v>0</v>
      </c>
      <c r="BG109" s="39" t="n">
        <f aca="false">IF(BG$4=0,0,IF(COUNTIFS(実績!$W$6:$W$505,BG$3,実績!$AI$6:$AI$505,"&lt;="&amp;$A109,実績!$AJ$6:$AJ$505,"&gt;"&amp;$A109,実績!$AK$6:$AK$505,"○")&gt;0,1,0))</f>
        <v>0</v>
      </c>
      <c r="BH109" s="39" t="n">
        <f aca="false">IF(BH$4=0,0,IF(COUNTIFS(実績!$W$6:$W$505,BH$3,実績!$AI$6:$AI$505,"&lt;="&amp;$A109,実績!$AJ$6:$AJ$505,"&gt;"&amp;$A109,実績!$AK$6:$AK$505,"○")&gt;0,1,0))</f>
        <v>0</v>
      </c>
      <c r="BI109" s="39" t="n">
        <f aca="false">IF(BI$4=0,0,IF(COUNTIFS(実績!$W$6:$W$505,BI$3,実績!$AI$6:$AI$505,"&lt;="&amp;$A109,実績!$AJ$6:$AJ$505,"&gt;"&amp;$A109,実績!$AK$6:$AK$505,"○")&gt;0,1,0))</f>
        <v>0</v>
      </c>
      <c r="BJ109" s="39" t="n">
        <f aca="false">IF(BJ$4=0,0,IF(COUNTIFS(実績!$W$6:$W$505,BJ$3,実績!$AI$6:$AI$505,"&lt;="&amp;$A109,実績!$AJ$6:$AJ$505,"&gt;"&amp;$A109,実績!$AK$6:$AK$505,"○")&gt;0,1,0))</f>
        <v>0</v>
      </c>
      <c r="BK109" s="39" t="n">
        <f aca="false">IF(BK$4=0,0,IF(COUNTIFS(実績!$W$6:$W$505,BK$3,実績!$AI$6:$AI$505,"&lt;="&amp;$A109,実績!$AJ$6:$AJ$505,"&gt;"&amp;$A109,実績!$AK$6:$AK$505,"○")&gt;0,1,0))</f>
        <v>0</v>
      </c>
      <c r="BL109" s="39" t="n">
        <f aca="false">IF(BL$4=0,0,IF(COUNTIFS(実績!$W$6:$W$505,BL$3,実績!$AI$6:$AI$505,"&lt;="&amp;$A109,実績!$AJ$6:$AJ$505,"&gt;"&amp;$A109,実績!$AK$6:$AK$505,"○")&gt;0,1,0))</f>
        <v>0</v>
      </c>
      <c r="BM109" s="39" t="n">
        <f aca="false">IF(BM$4=0,0,IF(COUNTIFS(実績!$W$6:$W$505,BM$3,実績!$AI$6:$AI$505,"&lt;="&amp;$A109,実績!$AJ$6:$AJ$505,"&gt;"&amp;$A109,実績!$AK$6:$AK$505,"○")&gt;0,1,0))</f>
        <v>0</v>
      </c>
      <c r="BN109" s="39" t="n">
        <f aca="false">IF(BN$4=0,0,IF(COUNTIFS(実績!$W$6:$W$505,BN$3,実績!$AI$6:$AI$505,"&lt;="&amp;$A109,実績!$AJ$6:$AJ$505,"&gt;"&amp;$A109,実績!$AK$6:$AK$505,"○")&gt;0,1,0))</f>
        <v>0</v>
      </c>
      <c r="BO109" s="39" t="n">
        <f aca="false">IF(BO$4=0,0,IF(COUNTIFS(実績!$W$6:$W$505,BO$3,実績!$AI$6:$AI$505,"&lt;="&amp;$A109,実績!$AJ$6:$AJ$505,"&gt;"&amp;$A109,実績!$AK$6:$AK$505,"○")&gt;0,1,0))</f>
        <v>0</v>
      </c>
      <c r="BP109" s="39" t="n">
        <f aca="false">IF(BP$4=0,0,IF(COUNTIFS(実績!$W$6:$W$505,BP$3,実績!$AI$6:$AI$505,"&lt;="&amp;$A109,実績!$AJ$6:$AJ$505,"&gt;"&amp;$A109,実績!$AK$6:$AK$505,"○")&gt;0,1,0))</f>
        <v>0</v>
      </c>
      <c r="BQ109" s="39" t="n">
        <f aca="false">IF(BQ$4=0,0,IF(COUNTIFS(実績!$W$6:$W$505,BQ$3,実績!$AI$6:$AI$505,"&lt;="&amp;$A109,実績!$AJ$6:$AJ$505,"&gt;"&amp;$A109,実績!$AK$6:$AK$505,"○")&gt;0,1,0))</f>
        <v>0</v>
      </c>
      <c r="BR109" s="39" t="n">
        <f aca="false">IF(BR$4=0,0,IF(COUNTIFS(実績!$W$6:$W$505,BR$3,実績!$AI$6:$AI$505,"&lt;="&amp;$A109,実績!$AJ$6:$AJ$505,"&gt;"&amp;$A109,実績!$AK$6:$AK$505,"○")&gt;0,1,0))</f>
        <v>0</v>
      </c>
      <c r="BS109" s="39" t="n">
        <f aca="false">IF(BS$4=0,0,IF(COUNTIFS(実績!$W$6:$W$505,BS$3,実績!$AI$6:$AI$505,"&lt;="&amp;$A109,実績!$AJ$6:$AJ$505,"&gt;"&amp;$A109,実績!$AK$6:$AK$505,"○")&gt;0,1,0))</f>
        <v>0</v>
      </c>
      <c r="BT109" s="39" t="n">
        <f aca="false">IF(BT$4=0,0,IF(COUNTIFS(実績!$W$6:$W$505,BT$3,実績!$AI$6:$AI$505,"&lt;="&amp;$A109,実績!$AJ$6:$AJ$505,"&gt;"&amp;$A109,実績!$AK$6:$AK$505,"○")&gt;0,1,0))</f>
        <v>0</v>
      </c>
      <c r="BU109" s="39" t="n">
        <f aca="false">IF(BU$4=0,0,IF(COUNTIFS(実績!$W$6:$W$505,BU$3,実績!$AI$6:$AI$505,"&lt;="&amp;$A109,実績!$AJ$6:$AJ$505,"&gt;"&amp;$A109,実績!$AK$6:$AK$505,"○")&gt;0,1,0))</f>
        <v>0</v>
      </c>
      <c r="BV109" s="39" t="n">
        <f aca="false">IF(BV$4=0,0,IF(COUNTIFS(実績!$W$6:$W$505,BV$3,実績!$AI$6:$AI$505,"&lt;="&amp;$A109,実績!$AJ$6:$AJ$505,"&gt;"&amp;$A109,実績!$AK$6:$AK$505,"○")&gt;0,1,0))</f>
        <v>0</v>
      </c>
      <c r="BW109" s="39" t="n">
        <f aca="false">IF(BW$4=0,0,IF(COUNTIFS(実績!$W$6:$W$505,BW$3,実績!$AI$6:$AI$505,"&lt;="&amp;$A109,実績!$AJ$6:$AJ$505,"&gt;"&amp;$A109,実績!$AK$6:$AK$505,"○")&gt;0,1,0))</f>
        <v>0</v>
      </c>
      <c r="BX109" s="39" t="n">
        <f aca="false">IF(BX$4=0,0,IF(COUNTIFS(実績!$W$6:$W$505,BX$3,実績!$AI$6:$AI$505,"&lt;="&amp;$A109,実績!$AJ$6:$AJ$505,"&gt;"&amp;$A109,実績!$AK$6:$AK$505,"○")&gt;0,1,0))</f>
        <v>0</v>
      </c>
      <c r="BY109" s="39" t="n">
        <f aca="false">IF(BY$4=0,0,IF(COUNTIFS(実績!$W$6:$W$505,BY$3,実績!$AI$6:$AI$505,"&lt;="&amp;$A109,実績!$AJ$6:$AJ$505,"&gt;"&amp;$A109,実績!$AK$6:$AK$505,"○")&gt;0,1,0))</f>
        <v>0</v>
      </c>
      <c r="BZ109" s="39" t="n">
        <f aca="false">IF(BZ$4=0,0,IF(COUNTIFS(実績!$W$6:$W$505,BZ$3,実績!$AI$6:$AI$505,"&lt;="&amp;$A109,実績!$AJ$6:$AJ$505,"&gt;"&amp;$A109,実績!$AK$6:$AK$505,"○")&gt;0,1,0))</f>
        <v>0</v>
      </c>
      <c r="CA109" s="39" t="n">
        <f aca="false">IF(CA$4=0,0,IF(COUNTIFS(実績!$W$6:$W$505,CA$3,実績!$AI$6:$AI$505,"&lt;="&amp;$A109,実績!$AJ$6:$AJ$505,"&gt;"&amp;$A109,実績!$AK$6:$AK$505,"○")&gt;0,1,0))</f>
        <v>0</v>
      </c>
      <c r="CB109" s="39" t="n">
        <f aca="false">IF(CB$4=0,0,IF(COUNTIFS(実績!$W$6:$W$505,CB$3,実績!$AI$6:$AI$505,"&lt;="&amp;$A109,実績!$AJ$6:$AJ$505,"&gt;"&amp;$A109,実績!$AK$6:$AK$505,"○")&gt;0,1,0))</f>
        <v>0</v>
      </c>
      <c r="CC109" s="39" t="n">
        <f aca="false">IF(CC$4=0,0,IF(COUNTIFS(実績!$W$6:$W$505,CC$3,実績!$AI$6:$AI$505,"&lt;="&amp;$A109,実績!$AJ$6:$AJ$505,"&gt;"&amp;$A109,実績!$AK$6:$AK$505,"○")&gt;0,1,0))</f>
        <v>0</v>
      </c>
      <c r="CD109" s="39" t="n">
        <f aca="false">IF(CD$4=0,0,IF(COUNTIFS(実績!$W$6:$W$505,CD$3,実績!$AI$6:$AI$505,"&lt;="&amp;$A109,実績!$AJ$6:$AJ$505,"&gt;"&amp;$A109,実績!$AK$6:$AK$505,"○")&gt;0,1,0))</f>
        <v>0</v>
      </c>
      <c r="CE109" s="39" t="n">
        <f aca="false">IF(CE$4=0,0,IF(COUNTIFS(実績!$W$6:$W$505,CE$3,実績!$AI$6:$AI$505,"&lt;="&amp;$A109,実績!$AJ$6:$AJ$505,"&gt;"&amp;$A109,実績!$AK$6:$AK$505,"○")&gt;0,1,0))</f>
        <v>0</v>
      </c>
      <c r="CF109" s="39" t="n">
        <f aca="false">IF(CF$4=0,0,IF(COUNTIFS(実績!$W$6:$W$505,CF$3,実績!$AI$6:$AI$505,"&lt;="&amp;$A109,実績!$AJ$6:$AJ$505,"&gt;"&amp;$A109,実績!$AK$6:$AK$505,"○")&gt;0,1,0))</f>
        <v>0</v>
      </c>
      <c r="CG109" s="39" t="n">
        <f aca="false">IF(CG$4=0,0,IF(COUNTIFS(実績!$W$6:$W$505,CG$3,実績!$AI$6:$AI$505,"&lt;="&amp;$A109,実績!$AJ$6:$AJ$505,"&gt;"&amp;$A109,実績!$AK$6:$AK$505,"○")&gt;0,1,0))</f>
        <v>0</v>
      </c>
      <c r="CH109" s="39" t="n">
        <f aca="false">IF(CH$4=0,0,IF(COUNTIFS(実績!$W$6:$W$505,CH$3,実績!$AI$6:$AI$505,"&lt;="&amp;$A109,実績!$AJ$6:$AJ$505,"&gt;"&amp;$A109,実績!$AK$6:$AK$505,"○")&gt;0,1,0))</f>
        <v>0</v>
      </c>
      <c r="CI109" s="39" t="n">
        <f aca="false">IF(CI$4=0,0,IF(COUNTIFS(実績!$W$6:$W$505,CI$3,実績!$AI$6:$AI$505,"&lt;="&amp;$A109,実績!$AJ$6:$AJ$505,"&gt;"&amp;$A109,実績!$AK$6:$AK$505,"○")&gt;0,1,0))</f>
        <v>0</v>
      </c>
      <c r="CJ109" s="39" t="n">
        <f aca="false">IF(CJ$4=0,0,IF(COUNTIFS(実績!$W$6:$W$505,CJ$3,実績!$AI$6:$AI$505,"&lt;="&amp;$A109,実績!$AJ$6:$AJ$505,"&gt;"&amp;$A109,実績!$AK$6:$AK$505,"○")&gt;0,1,0))</f>
        <v>0</v>
      </c>
      <c r="CK109" s="39" t="n">
        <f aca="false">IF(CK$4=0,0,IF(COUNTIFS(実績!$W$6:$W$505,CK$3,実績!$AI$6:$AI$505,"&lt;="&amp;$A109,実績!$AJ$6:$AJ$505,"&gt;"&amp;$A109,実績!$AK$6:$AK$505,"○")&gt;0,1,0))</f>
        <v>0</v>
      </c>
      <c r="CL109" s="39" t="n">
        <f aca="false">IF(CL$4=0,0,IF(COUNTIFS(実績!$W$6:$W$505,CL$3,実績!$AI$6:$AI$505,"&lt;="&amp;$A109,実績!$AJ$6:$AJ$505,"&gt;"&amp;$A109,実績!$AK$6:$AK$505,"○")&gt;0,1,0))</f>
        <v>0</v>
      </c>
      <c r="CM109" s="39" t="n">
        <f aca="false">IF(CM$4=0,0,IF(COUNTIFS(実績!$W$6:$W$505,CM$3,実績!$AI$6:$AI$505,"&lt;="&amp;$A109,実績!$AJ$6:$AJ$505,"&gt;"&amp;$A109,実績!$AK$6:$AK$505,"○")&gt;0,1,0))</f>
        <v>0</v>
      </c>
      <c r="CN109" s="39" t="n">
        <f aca="false">IF(CN$4=0,0,IF(COUNTIFS(実績!$W$6:$W$505,CN$3,実績!$AI$6:$AI$505,"&lt;="&amp;$A109,実績!$AJ$6:$AJ$505,"&gt;"&amp;$A109,実績!$AK$6:$AK$505,"○")&gt;0,1,0))</f>
        <v>0</v>
      </c>
      <c r="CO109" s="39" t="n">
        <f aca="false">IF(CO$4=0,0,IF(COUNTIFS(実績!$W$6:$W$505,CO$3,実績!$AI$6:$AI$505,"&lt;="&amp;$A109,実績!$AJ$6:$AJ$505,"&gt;"&amp;$A109,実績!$AK$6:$AK$505,"○")&gt;0,1,0))</f>
        <v>0</v>
      </c>
      <c r="CP109" s="39" t="n">
        <f aca="false">IF(CP$4=0,0,IF(COUNTIFS(実績!$W$6:$W$505,CP$3,実績!$AI$6:$AI$505,"&lt;="&amp;$A109,実績!$AJ$6:$AJ$505,"&gt;"&amp;$A109,実績!$AK$6:$AK$505,"○")&gt;0,1,0))</f>
        <v>0</v>
      </c>
      <c r="CQ109" s="39" t="n">
        <f aca="false">IF(CQ$4=0,0,IF(COUNTIFS(実績!$W$6:$W$505,CQ$3,実績!$AI$6:$AI$505,"&lt;="&amp;$A109,実績!$AJ$6:$AJ$505,"&gt;"&amp;$A109,実績!$AK$6:$AK$505,"○")&gt;0,1,0))</f>
        <v>0</v>
      </c>
      <c r="CR109" s="39" t="n">
        <f aca="false">IF(CR$4=0,0,IF(COUNTIFS(実績!$W$6:$W$505,CR$3,実績!$AI$6:$AI$505,"&lt;="&amp;$A109,実績!$AJ$6:$AJ$505,"&gt;"&amp;$A109,実績!$AK$6:$AK$505,"○")&gt;0,1,0))</f>
        <v>0</v>
      </c>
      <c r="CS109" s="39" t="n">
        <f aca="false">IF(CS$4=0,0,IF(COUNTIFS(実績!$W$6:$W$505,CS$3,実績!$AI$6:$AI$505,"&lt;="&amp;$A109,実績!$AJ$6:$AJ$505,"&gt;"&amp;$A109,実績!$AK$6:$AK$505,"○")&gt;0,1,0))</f>
        <v>0</v>
      </c>
      <c r="CT109" s="39" t="n">
        <f aca="false">IF(CT$4=0,0,IF(COUNTIFS(実績!$W$6:$W$505,CT$3,実績!$AI$6:$AI$505,"&lt;="&amp;$A109,実績!$AJ$6:$AJ$505,"&gt;"&amp;$A109,実績!$AK$6:$AK$505,"○")&gt;0,1,0))</f>
        <v>0</v>
      </c>
      <c r="CU109" s="39" t="n">
        <f aca="false">IF(CU$4=0,0,IF(COUNTIFS(実績!$W$6:$W$505,CU$3,実績!$AI$6:$AI$505,"&lt;="&amp;$A109,実績!$AJ$6:$AJ$505,"&gt;"&amp;$A109,実績!$AK$6:$AK$505,"○")&gt;0,1,0))</f>
        <v>0</v>
      </c>
      <c r="CV109" s="39" t="n">
        <f aca="false">IF(CV$4=0,0,IF(COUNTIFS(実績!$W$6:$W$505,CV$3,実績!$AI$6:$AI$505,"&lt;="&amp;$A109,実績!$AJ$6:$AJ$505,"&gt;"&amp;$A109,実績!$AK$6:$AK$505,"○")&gt;0,1,0))</f>
        <v>0</v>
      </c>
      <c r="CW109" s="39" t="n">
        <f aca="false">IF(CW$4=0,0,IF(COUNTIFS(実績!$W$6:$W$505,CW$3,実績!$AI$6:$AI$505,"&lt;="&amp;$A109,実績!$AJ$6:$AJ$505,"&gt;"&amp;$A109,実績!$AK$6:$AK$505,"○")&gt;0,1,0))</f>
        <v>0</v>
      </c>
      <c r="CX109" s="39" t="n">
        <f aca="false">IF(CX$4=0,0,IF(COUNTIFS(実績!$W$6:$W$505,CX$3,実績!$AI$6:$AI$505,"&lt;="&amp;$A109,実績!$AJ$6:$AJ$505,"&gt;"&amp;$A109,実績!$AK$6:$AK$505,"○")&gt;0,1,0))</f>
        <v>0</v>
      </c>
      <c r="CY109" s="39" t="n">
        <f aca="false">IF(CY$4=0,0,IF(COUNTIFS(実績!$W$6:$W$505,CY$3,実績!$AI$6:$AI$505,"&lt;="&amp;$A109,実績!$AJ$6:$AJ$505,"&gt;"&amp;$A109,実績!$AK$6:$AK$505,"○")&gt;0,1,0))</f>
        <v>0</v>
      </c>
      <c r="CZ109" s="39" t="n">
        <f aca="false">IF(CZ$4=0,0,IF(COUNTIFS(実績!$W$6:$W$505,CZ$3,実績!$AI$6:$AI$505,"&lt;="&amp;$A109,実績!$AJ$6:$AJ$505,"&gt;"&amp;$A109,実績!$AK$6:$AK$505,"○")&gt;0,1,0))</f>
        <v>0</v>
      </c>
      <c r="DA109" s="39" t="n">
        <f aca="false">IF(DA$4=0,0,IF(COUNTIFS(実績!$W$6:$W$505,DA$3,実績!$AI$6:$AI$505,"&lt;="&amp;$A109,実績!$AJ$6:$AJ$505,"&gt;"&amp;$A109,実績!$AK$6:$AK$505,"○")&gt;0,1,0))</f>
        <v>0</v>
      </c>
      <c r="DB109" s="39" t="n">
        <f aca="false">IF(DB$4=0,0,IF(COUNTIFS(実績!$W$6:$W$505,DB$3,実績!$AI$6:$AI$505,"&lt;="&amp;$A109,実績!$AJ$6:$AJ$505,"&gt;"&amp;$A109,実績!$AK$6:$AK$505,"○")&gt;0,1,0))</f>
        <v>0</v>
      </c>
      <c r="DC109" s="39" t="n">
        <f aca="false">IF(DC$4=0,0,IF(COUNTIFS(実績!$W$6:$W$505,DC$3,実績!$AI$6:$AI$505,"&lt;="&amp;$A109,実績!$AJ$6:$AJ$505,"&gt;"&amp;$A109,実績!$AK$6:$AK$505,"○")&gt;0,1,0))</f>
        <v>0</v>
      </c>
      <c r="DD109" s="39" t="n">
        <f aca="false">IF(DD$4=0,0,IF(COUNTIFS(実績!$W$6:$W$505,DD$3,実績!$AI$6:$AI$505,"&lt;="&amp;$A109,実績!$AJ$6:$AJ$505,"&gt;"&amp;$A109,実績!$AK$6:$AK$505,"○")&gt;0,1,0))</f>
        <v>0</v>
      </c>
      <c r="DE109" s="39" t="n">
        <f aca="false">IF(DE$4=0,0,IF(COUNTIFS(実績!$W$6:$W$505,DE$3,実績!$AI$6:$AI$505,"&lt;="&amp;$A109,実績!$AJ$6:$AJ$505,"&gt;"&amp;$A109,実績!$AK$6:$AK$505,"○")&gt;0,1,0))</f>
        <v>0</v>
      </c>
      <c r="DF109" s="39" t="n">
        <f aca="false">IF(DF$4=0,0,IF(COUNTIFS(実績!$W$6:$W$505,DF$3,実績!$AI$6:$AI$505,"&lt;="&amp;$A109,実績!$AJ$6:$AJ$505,"&gt;"&amp;$A109,実績!$AK$6:$AK$505,"○")&gt;0,1,0))</f>
        <v>0</v>
      </c>
      <c r="DG109" s="39" t="n">
        <f aca="false">IF(DG$4=0,0,IF(COUNTIFS(実績!$W$6:$W$505,DG$3,実績!$AI$6:$AI$505,"&lt;="&amp;$A109,実績!$AJ$6:$AJ$505,"&gt;"&amp;$A109,実績!$AK$6:$AK$505,"○")&gt;0,1,0))</f>
        <v>0</v>
      </c>
      <c r="DH109" s="39" t="n">
        <f aca="false">IF(DH$4=0,0,IF(COUNTIFS(実績!$W$6:$W$505,DH$3,実績!$AI$6:$AI$505,"&lt;="&amp;$A109,実績!$AJ$6:$AJ$505,"&gt;"&amp;$A109,実績!$AK$6:$AK$505,"○")&gt;0,1,0))</f>
        <v>0</v>
      </c>
      <c r="DI109" s="39" t="n">
        <f aca="false">IF(DI$4=0,0,IF(COUNTIFS(実績!$W$6:$W$505,DI$3,実績!$AI$6:$AI$505,"&lt;="&amp;$A109,実績!$AJ$6:$AJ$505,"&gt;"&amp;$A109,実績!$AK$6:$AK$505,"○")&gt;0,1,0))</f>
        <v>0</v>
      </c>
      <c r="DJ109" s="39" t="n">
        <f aca="false">IF(DJ$4=0,0,IF(COUNTIFS(実績!$W$6:$W$505,DJ$3,実績!$AI$6:$AI$505,"&lt;="&amp;$A109,実績!$AJ$6:$AJ$505,"&gt;"&amp;$A109,実績!$AK$6:$AK$505,"○")&gt;0,1,0))</f>
        <v>0</v>
      </c>
      <c r="DK109" s="39" t="n">
        <f aca="false">IF(DK$4=0,0,IF(COUNTIFS(実績!$W$6:$W$505,DK$3,実績!$AI$6:$AI$505,"&lt;="&amp;$A109,実績!$AJ$6:$AJ$505,"&gt;"&amp;$A109,実績!$AK$6:$AK$505,"○")&gt;0,1,0))</f>
        <v>0</v>
      </c>
      <c r="DL109" s="39" t="n">
        <f aca="false">IF(DL$4=0,0,IF(COUNTIFS(実績!$W$6:$W$505,DL$3,実績!$AI$6:$AI$505,"&lt;="&amp;$A109,実績!$AJ$6:$AJ$505,"&gt;"&amp;$A109,実績!$AK$6:$AK$505,"○")&gt;0,1,0))</f>
        <v>0</v>
      </c>
      <c r="DM109" s="39" t="n">
        <f aca="false">IF(DM$4=0,0,IF(COUNTIFS(実績!$W$6:$W$505,DM$3,実績!$AI$6:$AI$505,"&lt;="&amp;$A109,実績!$AJ$6:$AJ$505,"&gt;"&amp;$A109,実績!$AK$6:$AK$505,"○")&gt;0,1,0))</f>
        <v>0</v>
      </c>
      <c r="DN109" s="39" t="n">
        <f aca="false">IF(DN$4=0,0,IF(COUNTIFS(実績!$W$6:$W$505,DN$3,実績!$AI$6:$AI$505,"&lt;="&amp;$A109,実績!$AJ$6:$AJ$505,"&gt;"&amp;$A109,実績!$AK$6:$AK$505,"○")&gt;0,1,0))</f>
        <v>0</v>
      </c>
      <c r="DO109" s="39" t="n">
        <f aca="false">IF(DO$4=0,0,IF(COUNTIFS(実績!$W$6:$W$505,DO$3,実績!$AI$6:$AI$505,"&lt;="&amp;$A109,実績!$AJ$6:$AJ$505,"&gt;"&amp;$A109,実績!$AK$6:$AK$505,"○")&gt;0,1,0))</f>
        <v>0</v>
      </c>
      <c r="DP109" s="39" t="n">
        <f aca="false">IF(DP$4=0,0,IF(COUNTIFS(実績!$W$6:$W$505,DP$3,実績!$AI$6:$AI$505,"&lt;="&amp;$A109,実績!$AJ$6:$AJ$505,"&gt;"&amp;$A109,実績!$AK$6:$AK$505,"○")&gt;0,1,0))</f>
        <v>0</v>
      </c>
      <c r="DQ109" s="39" t="n">
        <f aca="false">IF(DQ$4=0,0,IF(COUNTIFS(実績!$W$6:$W$505,DQ$3,実績!$AI$6:$AI$505,"&lt;="&amp;$A109,実績!$AJ$6:$AJ$505,"&gt;"&amp;$A109,実績!$AK$6:$AK$505,"○")&gt;0,1,0))</f>
        <v>0</v>
      </c>
      <c r="DR109" s="39" t="n">
        <f aca="false">IF(DR$4=0,0,IF(COUNTIFS(実績!$W$6:$W$505,DR$3,実績!$AI$6:$AI$505,"&lt;="&amp;$A109,実績!$AJ$6:$AJ$505,"&gt;"&amp;$A109,実績!$AK$6:$AK$505,"○")&gt;0,1,0))</f>
        <v>0</v>
      </c>
      <c r="DS109" s="39" t="n">
        <f aca="false">SUM(C109:DR109)</f>
        <v>0</v>
      </c>
      <c r="DT109" s="39" t="n">
        <f aca="false">SUMPRODUCT((実績!$C$6:$C$505="○")*ISNUMBER(実績!$AM$6:$AM$505)*(実績!$AM$6:$AM$505&lt;=$A109)*(実績!$AN$6:$AN$505&gt;$A109))</f>
        <v>0</v>
      </c>
      <c r="DU109" s="39" t="n">
        <f aca="false">SUMIF($C$2:$DR$2,"製鉄曳船",C109:DR109)</f>
        <v>0</v>
      </c>
      <c r="DV109" s="39" t="n">
        <f aca="false">SUMIF($C$2:$DR$2,"西日本海運",C109:DR109)</f>
        <v>0</v>
      </c>
    </row>
    <row r="110" customFormat="false" ht="15" hidden="false" customHeight="false" outlineLevel="0" collapsed="false">
      <c r="A110" s="0" t="n">
        <v>520</v>
      </c>
      <c r="B110" s="38" t="n">
        <f aca="false">A110/1440</f>
        <v>0.361111111111111</v>
      </c>
      <c r="C110" s="39" t="n">
        <f aca="false">IF(C$4=0,0,IF(COUNTIFS(実績!$W$6:$W$505,C$3,実績!$AI$6:$AI$505,"&lt;="&amp;$A110,実績!$AJ$6:$AJ$505,"&gt;"&amp;$A110,実績!$AK$6:$AK$505,"○")&gt;0,1,0))</f>
        <v>0</v>
      </c>
      <c r="D110" s="39" t="n">
        <f aca="false">IF(D$4=0,0,IF(COUNTIFS(実績!$W$6:$W$505,D$3,実績!$AI$6:$AI$505,"&lt;="&amp;$A110,実績!$AJ$6:$AJ$505,"&gt;"&amp;$A110,実績!$AK$6:$AK$505,"○")&gt;0,1,0))</f>
        <v>0</v>
      </c>
      <c r="E110" s="39" t="n">
        <f aca="false">IF(E$4=0,0,IF(COUNTIFS(実績!$W$6:$W$505,E$3,実績!$AI$6:$AI$505,"&lt;="&amp;$A110,実績!$AJ$6:$AJ$505,"&gt;"&amp;$A110,実績!$AK$6:$AK$505,"○")&gt;0,1,0))</f>
        <v>0</v>
      </c>
      <c r="F110" s="39" t="n">
        <f aca="false">IF(F$4=0,0,IF(COUNTIFS(実績!$W$6:$W$505,F$3,実績!$AI$6:$AI$505,"&lt;="&amp;$A110,実績!$AJ$6:$AJ$505,"&gt;"&amp;$A110,実績!$AK$6:$AK$505,"○")&gt;0,1,0))</f>
        <v>0</v>
      </c>
      <c r="G110" s="39" t="n">
        <f aca="false">IF(G$4=0,0,IF(COUNTIFS(実績!$W$6:$W$505,G$3,実績!$AI$6:$AI$505,"&lt;="&amp;$A110,実績!$AJ$6:$AJ$505,"&gt;"&amp;$A110,実績!$AK$6:$AK$505,"○")&gt;0,1,0))</f>
        <v>0</v>
      </c>
      <c r="H110" s="39" t="n">
        <f aca="false">IF(H$4=0,0,IF(COUNTIFS(実績!$W$6:$W$505,H$3,実績!$AI$6:$AI$505,"&lt;="&amp;$A110,実績!$AJ$6:$AJ$505,"&gt;"&amp;$A110,実績!$AK$6:$AK$505,"○")&gt;0,1,0))</f>
        <v>0</v>
      </c>
      <c r="I110" s="39" t="n">
        <f aca="false">IF(I$4=0,0,IF(COUNTIFS(実績!$W$6:$W$505,I$3,実績!$AI$6:$AI$505,"&lt;="&amp;$A110,実績!$AJ$6:$AJ$505,"&gt;"&amp;$A110,実績!$AK$6:$AK$505,"○")&gt;0,1,0))</f>
        <v>0</v>
      </c>
      <c r="J110" s="39" t="n">
        <f aca="false">IF(J$4=0,0,IF(COUNTIFS(実績!$W$6:$W$505,J$3,実績!$AI$6:$AI$505,"&lt;="&amp;$A110,実績!$AJ$6:$AJ$505,"&gt;"&amp;$A110,実績!$AK$6:$AK$505,"○")&gt;0,1,0))</f>
        <v>0</v>
      </c>
      <c r="K110" s="39" t="n">
        <f aca="false">IF(K$4=0,0,IF(COUNTIFS(実績!$W$6:$W$505,K$3,実績!$AI$6:$AI$505,"&lt;="&amp;$A110,実績!$AJ$6:$AJ$505,"&gt;"&amp;$A110,実績!$AK$6:$AK$505,"○")&gt;0,1,0))</f>
        <v>0</v>
      </c>
      <c r="L110" s="39" t="n">
        <f aca="false">IF(L$4=0,0,IF(COUNTIFS(実績!$W$6:$W$505,L$3,実績!$AI$6:$AI$505,"&lt;="&amp;$A110,実績!$AJ$6:$AJ$505,"&gt;"&amp;$A110,実績!$AK$6:$AK$505,"○")&gt;0,1,0))</f>
        <v>0</v>
      </c>
      <c r="M110" s="39" t="n">
        <f aca="false">IF(M$4=0,0,IF(COUNTIFS(実績!$W$6:$W$505,M$3,実績!$AI$6:$AI$505,"&lt;="&amp;$A110,実績!$AJ$6:$AJ$505,"&gt;"&amp;$A110,実績!$AK$6:$AK$505,"○")&gt;0,1,0))</f>
        <v>0</v>
      </c>
      <c r="N110" s="39" t="n">
        <f aca="false">IF(N$4=0,0,IF(COUNTIFS(実績!$W$6:$W$505,N$3,実績!$AI$6:$AI$505,"&lt;="&amp;$A110,実績!$AJ$6:$AJ$505,"&gt;"&amp;$A110,実績!$AK$6:$AK$505,"○")&gt;0,1,0))</f>
        <v>0</v>
      </c>
      <c r="O110" s="39" t="n">
        <f aca="false">IF(O$4=0,0,IF(COUNTIFS(実績!$W$6:$W$505,O$3,実績!$AI$6:$AI$505,"&lt;="&amp;$A110,実績!$AJ$6:$AJ$505,"&gt;"&amp;$A110,実績!$AK$6:$AK$505,"○")&gt;0,1,0))</f>
        <v>0</v>
      </c>
      <c r="P110" s="39" t="n">
        <f aca="false">IF(P$4=0,0,IF(COUNTIFS(実績!$W$6:$W$505,P$3,実績!$AI$6:$AI$505,"&lt;="&amp;$A110,実績!$AJ$6:$AJ$505,"&gt;"&amp;$A110,実績!$AK$6:$AK$505,"○")&gt;0,1,0))</f>
        <v>0</v>
      </c>
      <c r="Q110" s="39" t="n">
        <f aca="false">IF(Q$4=0,0,IF(COUNTIFS(実績!$W$6:$W$505,Q$3,実績!$AI$6:$AI$505,"&lt;="&amp;$A110,実績!$AJ$6:$AJ$505,"&gt;"&amp;$A110,実績!$AK$6:$AK$505,"○")&gt;0,1,0))</f>
        <v>0</v>
      </c>
      <c r="R110" s="39" t="n">
        <f aca="false">IF(R$4=0,0,IF(COUNTIFS(実績!$W$6:$W$505,R$3,実績!$AI$6:$AI$505,"&lt;="&amp;$A110,実績!$AJ$6:$AJ$505,"&gt;"&amp;$A110,実績!$AK$6:$AK$505,"○")&gt;0,1,0))</f>
        <v>0</v>
      </c>
      <c r="S110" s="39" t="n">
        <f aca="false">IF(S$4=0,0,IF(COUNTIFS(実績!$W$6:$W$505,S$3,実績!$AI$6:$AI$505,"&lt;="&amp;$A110,実績!$AJ$6:$AJ$505,"&gt;"&amp;$A110,実績!$AK$6:$AK$505,"○")&gt;0,1,0))</f>
        <v>0</v>
      </c>
      <c r="T110" s="39" t="n">
        <f aca="false">IF(T$4=0,0,IF(COUNTIFS(実績!$W$6:$W$505,T$3,実績!$AI$6:$AI$505,"&lt;="&amp;$A110,実績!$AJ$6:$AJ$505,"&gt;"&amp;$A110,実績!$AK$6:$AK$505,"○")&gt;0,1,0))</f>
        <v>0</v>
      </c>
      <c r="U110" s="39" t="n">
        <f aca="false">IF(U$4=0,0,IF(COUNTIFS(実績!$W$6:$W$505,U$3,実績!$AI$6:$AI$505,"&lt;="&amp;$A110,実績!$AJ$6:$AJ$505,"&gt;"&amp;$A110,実績!$AK$6:$AK$505,"○")&gt;0,1,0))</f>
        <v>0</v>
      </c>
      <c r="V110" s="39" t="n">
        <f aca="false">IF(V$4=0,0,IF(COUNTIFS(実績!$W$6:$W$505,V$3,実績!$AI$6:$AI$505,"&lt;="&amp;$A110,実績!$AJ$6:$AJ$505,"&gt;"&amp;$A110,実績!$AK$6:$AK$505,"○")&gt;0,1,0))</f>
        <v>0</v>
      </c>
      <c r="W110" s="39" t="n">
        <f aca="false">IF(W$4=0,0,IF(COUNTIFS(実績!$W$6:$W$505,W$3,実績!$AI$6:$AI$505,"&lt;="&amp;$A110,実績!$AJ$6:$AJ$505,"&gt;"&amp;$A110,実績!$AK$6:$AK$505,"○")&gt;0,1,0))</f>
        <v>0</v>
      </c>
      <c r="X110" s="39" t="n">
        <f aca="false">IF(X$4=0,0,IF(COUNTIFS(実績!$W$6:$W$505,X$3,実績!$AI$6:$AI$505,"&lt;="&amp;$A110,実績!$AJ$6:$AJ$505,"&gt;"&amp;$A110,実績!$AK$6:$AK$505,"○")&gt;0,1,0))</f>
        <v>0</v>
      </c>
      <c r="Y110" s="39" t="n">
        <f aca="false">IF(Y$4=0,0,IF(COUNTIFS(実績!$W$6:$W$505,Y$3,実績!$AI$6:$AI$505,"&lt;="&amp;$A110,実績!$AJ$6:$AJ$505,"&gt;"&amp;$A110,実績!$AK$6:$AK$505,"○")&gt;0,1,0))</f>
        <v>0</v>
      </c>
      <c r="Z110" s="39" t="n">
        <f aca="false">IF(Z$4=0,0,IF(COUNTIFS(実績!$W$6:$W$505,Z$3,実績!$AI$6:$AI$505,"&lt;="&amp;$A110,実績!$AJ$6:$AJ$505,"&gt;"&amp;$A110,実績!$AK$6:$AK$505,"○")&gt;0,1,0))</f>
        <v>0</v>
      </c>
      <c r="AA110" s="39" t="n">
        <f aca="false">IF(AA$4=0,0,IF(COUNTIFS(実績!$W$6:$W$505,AA$3,実績!$AI$6:$AI$505,"&lt;="&amp;$A110,実績!$AJ$6:$AJ$505,"&gt;"&amp;$A110,実績!$AK$6:$AK$505,"○")&gt;0,1,0))</f>
        <v>0</v>
      </c>
      <c r="AB110" s="39" t="n">
        <f aca="false">IF(AB$4=0,0,IF(COUNTIFS(実績!$W$6:$W$505,AB$3,実績!$AI$6:$AI$505,"&lt;="&amp;$A110,実績!$AJ$6:$AJ$505,"&gt;"&amp;$A110,実績!$AK$6:$AK$505,"○")&gt;0,1,0))</f>
        <v>0</v>
      </c>
      <c r="AC110" s="39" t="n">
        <f aca="false">IF(AC$4=0,0,IF(COUNTIFS(実績!$W$6:$W$505,AC$3,実績!$AI$6:$AI$505,"&lt;="&amp;$A110,実績!$AJ$6:$AJ$505,"&gt;"&amp;$A110,実績!$AK$6:$AK$505,"○")&gt;0,1,0))</f>
        <v>0</v>
      </c>
      <c r="AD110" s="39" t="n">
        <f aca="false">IF(AD$4=0,0,IF(COUNTIFS(実績!$W$6:$W$505,AD$3,実績!$AI$6:$AI$505,"&lt;="&amp;$A110,実績!$AJ$6:$AJ$505,"&gt;"&amp;$A110,実績!$AK$6:$AK$505,"○")&gt;0,1,0))</f>
        <v>0</v>
      </c>
      <c r="AE110" s="39" t="n">
        <f aca="false">IF(AE$4=0,0,IF(COUNTIFS(実績!$W$6:$W$505,AE$3,実績!$AI$6:$AI$505,"&lt;="&amp;$A110,実績!$AJ$6:$AJ$505,"&gt;"&amp;$A110,実績!$AK$6:$AK$505,"○")&gt;0,1,0))</f>
        <v>0</v>
      </c>
      <c r="AF110" s="39" t="n">
        <f aca="false">IF(AF$4=0,0,IF(COUNTIFS(実績!$W$6:$W$505,AF$3,実績!$AI$6:$AI$505,"&lt;="&amp;$A110,実績!$AJ$6:$AJ$505,"&gt;"&amp;$A110,実績!$AK$6:$AK$505,"○")&gt;0,1,0))</f>
        <v>0</v>
      </c>
      <c r="AG110" s="39" t="n">
        <f aca="false">IF(AG$4=0,0,IF(COUNTIFS(実績!$W$6:$W$505,AG$3,実績!$AI$6:$AI$505,"&lt;="&amp;$A110,実績!$AJ$6:$AJ$505,"&gt;"&amp;$A110,実績!$AK$6:$AK$505,"○")&gt;0,1,0))</f>
        <v>0</v>
      </c>
      <c r="AH110" s="39" t="n">
        <f aca="false">IF(AH$4=0,0,IF(COUNTIFS(実績!$W$6:$W$505,AH$3,実績!$AI$6:$AI$505,"&lt;="&amp;$A110,実績!$AJ$6:$AJ$505,"&gt;"&amp;$A110,実績!$AK$6:$AK$505,"○")&gt;0,1,0))</f>
        <v>0</v>
      </c>
      <c r="AI110" s="39" t="n">
        <f aca="false">IF(AI$4=0,0,IF(COUNTIFS(実績!$W$6:$W$505,AI$3,実績!$AI$6:$AI$505,"&lt;="&amp;$A110,実績!$AJ$6:$AJ$505,"&gt;"&amp;$A110,実績!$AK$6:$AK$505,"○")&gt;0,1,0))</f>
        <v>0</v>
      </c>
      <c r="AJ110" s="39" t="n">
        <f aca="false">IF(AJ$4=0,0,IF(COUNTIFS(実績!$W$6:$W$505,AJ$3,実績!$AI$6:$AI$505,"&lt;="&amp;$A110,実績!$AJ$6:$AJ$505,"&gt;"&amp;$A110,実績!$AK$6:$AK$505,"○")&gt;0,1,0))</f>
        <v>0</v>
      </c>
      <c r="AK110" s="39" t="n">
        <f aca="false">IF(AK$4=0,0,IF(COUNTIFS(実績!$W$6:$W$505,AK$3,実績!$AI$6:$AI$505,"&lt;="&amp;$A110,実績!$AJ$6:$AJ$505,"&gt;"&amp;$A110,実績!$AK$6:$AK$505,"○")&gt;0,1,0))</f>
        <v>0</v>
      </c>
      <c r="AL110" s="39" t="n">
        <f aca="false">IF(AL$4=0,0,IF(COUNTIFS(実績!$W$6:$W$505,AL$3,実績!$AI$6:$AI$505,"&lt;="&amp;$A110,実績!$AJ$6:$AJ$505,"&gt;"&amp;$A110,実績!$AK$6:$AK$505,"○")&gt;0,1,0))</f>
        <v>0</v>
      </c>
      <c r="AM110" s="39" t="n">
        <f aca="false">IF(AM$4=0,0,IF(COUNTIFS(実績!$W$6:$W$505,AM$3,実績!$AI$6:$AI$505,"&lt;="&amp;$A110,実績!$AJ$6:$AJ$505,"&gt;"&amp;$A110,実績!$AK$6:$AK$505,"○")&gt;0,1,0))</f>
        <v>0</v>
      </c>
      <c r="AN110" s="39" t="n">
        <f aca="false">IF(AN$4=0,0,IF(COUNTIFS(実績!$W$6:$W$505,AN$3,実績!$AI$6:$AI$505,"&lt;="&amp;$A110,実績!$AJ$6:$AJ$505,"&gt;"&amp;$A110,実績!$AK$6:$AK$505,"○")&gt;0,1,0))</f>
        <v>0</v>
      </c>
      <c r="AO110" s="39" t="n">
        <f aca="false">IF(AO$4=0,0,IF(COUNTIFS(実績!$W$6:$W$505,AO$3,実績!$AI$6:$AI$505,"&lt;="&amp;$A110,実績!$AJ$6:$AJ$505,"&gt;"&amp;$A110,実績!$AK$6:$AK$505,"○")&gt;0,1,0))</f>
        <v>0</v>
      </c>
      <c r="AP110" s="39" t="n">
        <f aca="false">IF(AP$4=0,0,IF(COUNTIFS(実績!$W$6:$W$505,AP$3,実績!$AI$6:$AI$505,"&lt;="&amp;$A110,実績!$AJ$6:$AJ$505,"&gt;"&amp;$A110,実績!$AK$6:$AK$505,"○")&gt;0,1,0))</f>
        <v>0</v>
      </c>
      <c r="AQ110" s="39" t="n">
        <f aca="false">IF(AQ$4=0,0,IF(COUNTIFS(実績!$W$6:$W$505,AQ$3,実績!$AI$6:$AI$505,"&lt;="&amp;$A110,実績!$AJ$6:$AJ$505,"&gt;"&amp;$A110,実績!$AK$6:$AK$505,"○")&gt;0,1,0))</f>
        <v>0</v>
      </c>
      <c r="AR110" s="39" t="n">
        <f aca="false">IF(AR$4=0,0,IF(COUNTIFS(実績!$W$6:$W$505,AR$3,実績!$AI$6:$AI$505,"&lt;="&amp;$A110,実績!$AJ$6:$AJ$505,"&gt;"&amp;$A110,実績!$AK$6:$AK$505,"○")&gt;0,1,0))</f>
        <v>0</v>
      </c>
      <c r="AS110" s="39" t="n">
        <f aca="false">IF(AS$4=0,0,IF(COUNTIFS(実績!$W$6:$W$505,AS$3,実績!$AI$6:$AI$505,"&lt;="&amp;$A110,実績!$AJ$6:$AJ$505,"&gt;"&amp;$A110,実績!$AK$6:$AK$505,"○")&gt;0,1,0))</f>
        <v>0</v>
      </c>
      <c r="AT110" s="39" t="n">
        <f aca="false">IF(AT$4=0,0,IF(COUNTIFS(実績!$W$6:$W$505,AT$3,実績!$AI$6:$AI$505,"&lt;="&amp;$A110,実績!$AJ$6:$AJ$505,"&gt;"&amp;$A110,実績!$AK$6:$AK$505,"○")&gt;0,1,0))</f>
        <v>0</v>
      </c>
      <c r="AU110" s="39" t="n">
        <f aca="false">IF(AU$4=0,0,IF(COUNTIFS(実績!$W$6:$W$505,AU$3,実績!$AI$6:$AI$505,"&lt;="&amp;$A110,実績!$AJ$6:$AJ$505,"&gt;"&amp;$A110,実績!$AK$6:$AK$505,"○")&gt;0,1,0))</f>
        <v>0</v>
      </c>
      <c r="AV110" s="39" t="n">
        <f aca="false">IF(AV$4=0,0,IF(COUNTIFS(実績!$W$6:$W$505,AV$3,実績!$AI$6:$AI$505,"&lt;="&amp;$A110,実績!$AJ$6:$AJ$505,"&gt;"&amp;$A110,実績!$AK$6:$AK$505,"○")&gt;0,1,0))</f>
        <v>0</v>
      </c>
      <c r="AW110" s="39" t="n">
        <f aca="false">IF(AW$4=0,0,IF(COUNTIFS(実績!$W$6:$W$505,AW$3,実績!$AI$6:$AI$505,"&lt;="&amp;$A110,実績!$AJ$6:$AJ$505,"&gt;"&amp;$A110,実績!$AK$6:$AK$505,"○")&gt;0,1,0))</f>
        <v>0</v>
      </c>
      <c r="AX110" s="39" t="n">
        <f aca="false">IF(AX$4=0,0,IF(COUNTIFS(実績!$W$6:$W$505,AX$3,実績!$AI$6:$AI$505,"&lt;="&amp;$A110,実績!$AJ$6:$AJ$505,"&gt;"&amp;$A110,実績!$AK$6:$AK$505,"○")&gt;0,1,0))</f>
        <v>0</v>
      </c>
      <c r="AY110" s="39" t="n">
        <f aca="false">IF(AY$4=0,0,IF(COUNTIFS(実績!$W$6:$W$505,AY$3,実績!$AI$6:$AI$505,"&lt;="&amp;$A110,実績!$AJ$6:$AJ$505,"&gt;"&amp;$A110,実績!$AK$6:$AK$505,"○")&gt;0,1,0))</f>
        <v>0</v>
      </c>
      <c r="AZ110" s="39" t="n">
        <f aca="false">IF(AZ$4=0,0,IF(COUNTIFS(実績!$W$6:$W$505,AZ$3,実績!$AI$6:$AI$505,"&lt;="&amp;$A110,実績!$AJ$6:$AJ$505,"&gt;"&amp;$A110,実績!$AK$6:$AK$505,"○")&gt;0,1,0))</f>
        <v>0</v>
      </c>
      <c r="BA110" s="39" t="n">
        <f aca="false">IF(BA$4=0,0,IF(COUNTIFS(実績!$W$6:$W$505,BA$3,実績!$AI$6:$AI$505,"&lt;="&amp;$A110,実績!$AJ$6:$AJ$505,"&gt;"&amp;$A110,実績!$AK$6:$AK$505,"○")&gt;0,1,0))</f>
        <v>0</v>
      </c>
      <c r="BB110" s="39" t="n">
        <f aca="false">IF(BB$4=0,0,IF(COUNTIFS(実績!$W$6:$W$505,BB$3,実績!$AI$6:$AI$505,"&lt;="&amp;$A110,実績!$AJ$6:$AJ$505,"&gt;"&amp;$A110,実績!$AK$6:$AK$505,"○")&gt;0,1,0))</f>
        <v>0</v>
      </c>
      <c r="BC110" s="39" t="n">
        <f aca="false">IF(BC$4=0,0,IF(COUNTIFS(実績!$W$6:$W$505,BC$3,実績!$AI$6:$AI$505,"&lt;="&amp;$A110,実績!$AJ$6:$AJ$505,"&gt;"&amp;$A110,実績!$AK$6:$AK$505,"○")&gt;0,1,0))</f>
        <v>0</v>
      </c>
      <c r="BD110" s="39" t="n">
        <f aca="false">IF(BD$4=0,0,IF(COUNTIFS(実績!$W$6:$W$505,BD$3,実績!$AI$6:$AI$505,"&lt;="&amp;$A110,実績!$AJ$6:$AJ$505,"&gt;"&amp;$A110,実績!$AK$6:$AK$505,"○")&gt;0,1,0))</f>
        <v>0</v>
      </c>
      <c r="BE110" s="39" t="n">
        <f aca="false">IF(BE$4=0,0,IF(COUNTIFS(実績!$W$6:$W$505,BE$3,実績!$AI$6:$AI$505,"&lt;="&amp;$A110,実績!$AJ$6:$AJ$505,"&gt;"&amp;$A110,実績!$AK$6:$AK$505,"○")&gt;0,1,0))</f>
        <v>0</v>
      </c>
      <c r="BF110" s="39" t="n">
        <f aca="false">IF(BF$4=0,0,IF(COUNTIFS(実績!$W$6:$W$505,BF$3,実績!$AI$6:$AI$505,"&lt;="&amp;$A110,実績!$AJ$6:$AJ$505,"&gt;"&amp;$A110,実績!$AK$6:$AK$505,"○")&gt;0,1,0))</f>
        <v>0</v>
      </c>
      <c r="BG110" s="39" t="n">
        <f aca="false">IF(BG$4=0,0,IF(COUNTIFS(実績!$W$6:$W$505,BG$3,実績!$AI$6:$AI$505,"&lt;="&amp;$A110,実績!$AJ$6:$AJ$505,"&gt;"&amp;$A110,実績!$AK$6:$AK$505,"○")&gt;0,1,0))</f>
        <v>0</v>
      </c>
      <c r="BH110" s="39" t="n">
        <f aca="false">IF(BH$4=0,0,IF(COUNTIFS(実績!$W$6:$W$505,BH$3,実績!$AI$6:$AI$505,"&lt;="&amp;$A110,実績!$AJ$6:$AJ$505,"&gt;"&amp;$A110,実績!$AK$6:$AK$505,"○")&gt;0,1,0))</f>
        <v>0</v>
      </c>
      <c r="BI110" s="39" t="n">
        <f aca="false">IF(BI$4=0,0,IF(COUNTIFS(実績!$W$6:$W$505,BI$3,実績!$AI$6:$AI$505,"&lt;="&amp;$A110,実績!$AJ$6:$AJ$505,"&gt;"&amp;$A110,実績!$AK$6:$AK$505,"○")&gt;0,1,0))</f>
        <v>0</v>
      </c>
      <c r="BJ110" s="39" t="n">
        <f aca="false">IF(BJ$4=0,0,IF(COUNTIFS(実績!$W$6:$W$505,BJ$3,実績!$AI$6:$AI$505,"&lt;="&amp;$A110,実績!$AJ$6:$AJ$505,"&gt;"&amp;$A110,実績!$AK$6:$AK$505,"○")&gt;0,1,0))</f>
        <v>0</v>
      </c>
      <c r="BK110" s="39" t="n">
        <f aca="false">IF(BK$4=0,0,IF(COUNTIFS(実績!$W$6:$W$505,BK$3,実績!$AI$6:$AI$505,"&lt;="&amp;$A110,実績!$AJ$6:$AJ$505,"&gt;"&amp;$A110,実績!$AK$6:$AK$505,"○")&gt;0,1,0))</f>
        <v>0</v>
      </c>
      <c r="BL110" s="39" t="n">
        <f aca="false">IF(BL$4=0,0,IF(COUNTIFS(実績!$W$6:$W$505,BL$3,実績!$AI$6:$AI$505,"&lt;="&amp;$A110,実績!$AJ$6:$AJ$505,"&gt;"&amp;$A110,実績!$AK$6:$AK$505,"○")&gt;0,1,0))</f>
        <v>0</v>
      </c>
      <c r="BM110" s="39" t="n">
        <f aca="false">IF(BM$4=0,0,IF(COUNTIFS(実績!$W$6:$W$505,BM$3,実績!$AI$6:$AI$505,"&lt;="&amp;$A110,実績!$AJ$6:$AJ$505,"&gt;"&amp;$A110,実績!$AK$6:$AK$505,"○")&gt;0,1,0))</f>
        <v>0</v>
      </c>
      <c r="BN110" s="39" t="n">
        <f aca="false">IF(BN$4=0,0,IF(COUNTIFS(実績!$W$6:$W$505,BN$3,実績!$AI$6:$AI$505,"&lt;="&amp;$A110,実績!$AJ$6:$AJ$505,"&gt;"&amp;$A110,実績!$AK$6:$AK$505,"○")&gt;0,1,0))</f>
        <v>0</v>
      </c>
      <c r="BO110" s="39" t="n">
        <f aca="false">IF(BO$4=0,0,IF(COUNTIFS(実績!$W$6:$W$505,BO$3,実績!$AI$6:$AI$505,"&lt;="&amp;$A110,実績!$AJ$6:$AJ$505,"&gt;"&amp;$A110,実績!$AK$6:$AK$505,"○")&gt;0,1,0))</f>
        <v>0</v>
      </c>
      <c r="BP110" s="39" t="n">
        <f aca="false">IF(BP$4=0,0,IF(COUNTIFS(実績!$W$6:$W$505,BP$3,実績!$AI$6:$AI$505,"&lt;="&amp;$A110,実績!$AJ$6:$AJ$505,"&gt;"&amp;$A110,実績!$AK$6:$AK$505,"○")&gt;0,1,0))</f>
        <v>0</v>
      </c>
      <c r="BQ110" s="39" t="n">
        <f aca="false">IF(BQ$4=0,0,IF(COUNTIFS(実績!$W$6:$W$505,BQ$3,実績!$AI$6:$AI$505,"&lt;="&amp;$A110,実績!$AJ$6:$AJ$505,"&gt;"&amp;$A110,実績!$AK$6:$AK$505,"○")&gt;0,1,0))</f>
        <v>0</v>
      </c>
      <c r="BR110" s="39" t="n">
        <f aca="false">IF(BR$4=0,0,IF(COUNTIFS(実績!$W$6:$W$505,BR$3,実績!$AI$6:$AI$505,"&lt;="&amp;$A110,実績!$AJ$6:$AJ$505,"&gt;"&amp;$A110,実績!$AK$6:$AK$505,"○")&gt;0,1,0))</f>
        <v>0</v>
      </c>
      <c r="BS110" s="39" t="n">
        <f aca="false">IF(BS$4=0,0,IF(COUNTIFS(実績!$W$6:$W$505,BS$3,実績!$AI$6:$AI$505,"&lt;="&amp;$A110,実績!$AJ$6:$AJ$505,"&gt;"&amp;$A110,実績!$AK$6:$AK$505,"○")&gt;0,1,0))</f>
        <v>0</v>
      </c>
      <c r="BT110" s="39" t="n">
        <f aca="false">IF(BT$4=0,0,IF(COUNTIFS(実績!$W$6:$W$505,BT$3,実績!$AI$6:$AI$505,"&lt;="&amp;$A110,実績!$AJ$6:$AJ$505,"&gt;"&amp;$A110,実績!$AK$6:$AK$505,"○")&gt;0,1,0))</f>
        <v>0</v>
      </c>
      <c r="BU110" s="39" t="n">
        <f aca="false">IF(BU$4=0,0,IF(COUNTIFS(実績!$W$6:$W$505,BU$3,実績!$AI$6:$AI$505,"&lt;="&amp;$A110,実績!$AJ$6:$AJ$505,"&gt;"&amp;$A110,実績!$AK$6:$AK$505,"○")&gt;0,1,0))</f>
        <v>0</v>
      </c>
      <c r="BV110" s="39" t="n">
        <f aca="false">IF(BV$4=0,0,IF(COUNTIFS(実績!$W$6:$W$505,BV$3,実績!$AI$6:$AI$505,"&lt;="&amp;$A110,実績!$AJ$6:$AJ$505,"&gt;"&amp;$A110,実績!$AK$6:$AK$505,"○")&gt;0,1,0))</f>
        <v>0</v>
      </c>
      <c r="BW110" s="39" t="n">
        <f aca="false">IF(BW$4=0,0,IF(COUNTIFS(実績!$W$6:$W$505,BW$3,実績!$AI$6:$AI$505,"&lt;="&amp;$A110,実績!$AJ$6:$AJ$505,"&gt;"&amp;$A110,実績!$AK$6:$AK$505,"○")&gt;0,1,0))</f>
        <v>0</v>
      </c>
      <c r="BX110" s="39" t="n">
        <f aca="false">IF(BX$4=0,0,IF(COUNTIFS(実績!$W$6:$W$505,BX$3,実績!$AI$6:$AI$505,"&lt;="&amp;$A110,実績!$AJ$6:$AJ$505,"&gt;"&amp;$A110,実績!$AK$6:$AK$505,"○")&gt;0,1,0))</f>
        <v>0</v>
      </c>
      <c r="BY110" s="39" t="n">
        <f aca="false">IF(BY$4=0,0,IF(COUNTIFS(実績!$W$6:$W$505,BY$3,実績!$AI$6:$AI$505,"&lt;="&amp;$A110,実績!$AJ$6:$AJ$505,"&gt;"&amp;$A110,実績!$AK$6:$AK$505,"○")&gt;0,1,0))</f>
        <v>0</v>
      </c>
      <c r="BZ110" s="39" t="n">
        <f aca="false">IF(BZ$4=0,0,IF(COUNTIFS(実績!$W$6:$W$505,BZ$3,実績!$AI$6:$AI$505,"&lt;="&amp;$A110,実績!$AJ$6:$AJ$505,"&gt;"&amp;$A110,実績!$AK$6:$AK$505,"○")&gt;0,1,0))</f>
        <v>0</v>
      </c>
      <c r="CA110" s="39" t="n">
        <f aca="false">IF(CA$4=0,0,IF(COUNTIFS(実績!$W$6:$W$505,CA$3,実績!$AI$6:$AI$505,"&lt;="&amp;$A110,実績!$AJ$6:$AJ$505,"&gt;"&amp;$A110,実績!$AK$6:$AK$505,"○")&gt;0,1,0))</f>
        <v>0</v>
      </c>
      <c r="CB110" s="39" t="n">
        <f aca="false">IF(CB$4=0,0,IF(COUNTIFS(実績!$W$6:$W$505,CB$3,実績!$AI$6:$AI$505,"&lt;="&amp;$A110,実績!$AJ$6:$AJ$505,"&gt;"&amp;$A110,実績!$AK$6:$AK$505,"○")&gt;0,1,0))</f>
        <v>0</v>
      </c>
      <c r="CC110" s="39" t="n">
        <f aca="false">IF(CC$4=0,0,IF(COUNTIFS(実績!$W$6:$W$505,CC$3,実績!$AI$6:$AI$505,"&lt;="&amp;$A110,実績!$AJ$6:$AJ$505,"&gt;"&amp;$A110,実績!$AK$6:$AK$505,"○")&gt;0,1,0))</f>
        <v>0</v>
      </c>
      <c r="CD110" s="39" t="n">
        <f aca="false">IF(CD$4=0,0,IF(COUNTIFS(実績!$W$6:$W$505,CD$3,実績!$AI$6:$AI$505,"&lt;="&amp;$A110,実績!$AJ$6:$AJ$505,"&gt;"&amp;$A110,実績!$AK$6:$AK$505,"○")&gt;0,1,0))</f>
        <v>0</v>
      </c>
      <c r="CE110" s="39" t="n">
        <f aca="false">IF(CE$4=0,0,IF(COUNTIFS(実績!$W$6:$W$505,CE$3,実績!$AI$6:$AI$505,"&lt;="&amp;$A110,実績!$AJ$6:$AJ$505,"&gt;"&amp;$A110,実績!$AK$6:$AK$505,"○")&gt;0,1,0))</f>
        <v>0</v>
      </c>
      <c r="CF110" s="39" t="n">
        <f aca="false">IF(CF$4=0,0,IF(COUNTIFS(実績!$W$6:$W$505,CF$3,実績!$AI$6:$AI$505,"&lt;="&amp;$A110,実績!$AJ$6:$AJ$505,"&gt;"&amp;$A110,実績!$AK$6:$AK$505,"○")&gt;0,1,0))</f>
        <v>0</v>
      </c>
      <c r="CG110" s="39" t="n">
        <f aca="false">IF(CG$4=0,0,IF(COUNTIFS(実績!$W$6:$W$505,CG$3,実績!$AI$6:$AI$505,"&lt;="&amp;$A110,実績!$AJ$6:$AJ$505,"&gt;"&amp;$A110,実績!$AK$6:$AK$505,"○")&gt;0,1,0))</f>
        <v>0</v>
      </c>
      <c r="CH110" s="39" t="n">
        <f aca="false">IF(CH$4=0,0,IF(COUNTIFS(実績!$W$6:$W$505,CH$3,実績!$AI$6:$AI$505,"&lt;="&amp;$A110,実績!$AJ$6:$AJ$505,"&gt;"&amp;$A110,実績!$AK$6:$AK$505,"○")&gt;0,1,0))</f>
        <v>0</v>
      </c>
      <c r="CI110" s="39" t="n">
        <f aca="false">IF(CI$4=0,0,IF(COUNTIFS(実績!$W$6:$W$505,CI$3,実績!$AI$6:$AI$505,"&lt;="&amp;$A110,実績!$AJ$6:$AJ$505,"&gt;"&amp;$A110,実績!$AK$6:$AK$505,"○")&gt;0,1,0))</f>
        <v>0</v>
      </c>
      <c r="CJ110" s="39" t="n">
        <f aca="false">IF(CJ$4=0,0,IF(COUNTIFS(実績!$W$6:$W$505,CJ$3,実績!$AI$6:$AI$505,"&lt;="&amp;$A110,実績!$AJ$6:$AJ$505,"&gt;"&amp;$A110,実績!$AK$6:$AK$505,"○")&gt;0,1,0))</f>
        <v>0</v>
      </c>
      <c r="CK110" s="39" t="n">
        <f aca="false">IF(CK$4=0,0,IF(COUNTIFS(実績!$W$6:$W$505,CK$3,実績!$AI$6:$AI$505,"&lt;="&amp;$A110,実績!$AJ$6:$AJ$505,"&gt;"&amp;$A110,実績!$AK$6:$AK$505,"○")&gt;0,1,0))</f>
        <v>0</v>
      </c>
      <c r="CL110" s="39" t="n">
        <f aca="false">IF(CL$4=0,0,IF(COUNTIFS(実績!$W$6:$W$505,CL$3,実績!$AI$6:$AI$505,"&lt;="&amp;$A110,実績!$AJ$6:$AJ$505,"&gt;"&amp;$A110,実績!$AK$6:$AK$505,"○")&gt;0,1,0))</f>
        <v>0</v>
      </c>
      <c r="CM110" s="39" t="n">
        <f aca="false">IF(CM$4=0,0,IF(COUNTIFS(実績!$W$6:$W$505,CM$3,実績!$AI$6:$AI$505,"&lt;="&amp;$A110,実績!$AJ$6:$AJ$505,"&gt;"&amp;$A110,実績!$AK$6:$AK$505,"○")&gt;0,1,0))</f>
        <v>0</v>
      </c>
      <c r="CN110" s="39" t="n">
        <f aca="false">IF(CN$4=0,0,IF(COUNTIFS(実績!$W$6:$W$505,CN$3,実績!$AI$6:$AI$505,"&lt;="&amp;$A110,実績!$AJ$6:$AJ$505,"&gt;"&amp;$A110,実績!$AK$6:$AK$505,"○")&gt;0,1,0))</f>
        <v>0</v>
      </c>
      <c r="CO110" s="39" t="n">
        <f aca="false">IF(CO$4=0,0,IF(COUNTIFS(実績!$W$6:$W$505,CO$3,実績!$AI$6:$AI$505,"&lt;="&amp;$A110,実績!$AJ$6:$AJ$505,"&gt;"&amp;$A110,実績!$AK$6:$AK$505,"○")&gt;0,1,0))</f>
        <v>0</v>
      </c>
      <c r="CP110" s="39" t="n">
        <f aca="false">IF(CP$4=0,0,IF(COUNTIFS(実績!$W$6:$W$505,CP$3,実績!$AI$6:$AI$505,"&lt;="&amp;$A110,実績!$AJ$6:$AJ$505,"&gt;"&amp;$A110,実績!$AK$6:$AK$505,"○")&gt;0,1,0))</f>
        <v>0</v>
      </c>
      <c r="CQ110" s="39" t="n">
        <f aca="false">IF(CQ$4=0,0,IF(COUNTIFS(実績!$W$6:$W$505,CQ$3,実績!$AI$6:$AI$505,"&lt;="&amp;$A110,実績!$AJ$6:$AJ$505,"&gt;"&amp;$A110,実績!$AK$6:$AK$505,"○")&gt;0,1,0))</f>
        <v>0</v>
      </c>
      <c r="CR110" s="39" t="n">
        <f aca="false">IF(CR$4=0,0,IF(COUNTIFS(実績!$W$6:$W$505,CR$3,実績!$AI$6:$AI$505,"&lt;="&amp;$A110,実績!$AJ$6:$AJ$505,"&gt;"&amp;$A110,実績!$AK$6:$AK$505,"○")&gt;0,1,0))</f>
        <v>0</v>
      </c>
      <c r="CS110" s="39" t="n">
        <f aca="false">IF(CS$4=0,0,IF(COUNTIFS(実績!$W$6:$W$505,CS$3,実績!$AI$6:$AI$505,"&lt;="&amp;$A110,実績!$AJ$6:$AJ$505,"&gt;"&amp;$A110,実績!$AK$6:$AK$505,"○")&gt;0,1,0))</f>
        <v>0</v>
      </c>
      <c r="CT110" s="39" t="n">
        <f aca="false">IF(CT$4=0,0,IF(COUNTIFS(実績!$W$6:$W$505,CT$3,実績!$AI$6:$AI$505,"&lt;="&amp;$A110,実績!$AJ$6:$AJ$505,"&gt;"&amp;$A110,実績!$AK$6:$AK$505,"○")&gt;0,1,0))</f>
        <v>0</v>
      </c>
      <c r="CU110" s="39" t="n">
        <f aca="false">IF(CU$4=0,0,IF(COUNTIFS(実績!$W$6:$W$505,CU$3,実績!$AI$6:$AI$505,"&lt;="&amp;$A110,実績!$AJ$6:$AJ$505,"&gt;"&amp;$A110,実績!$AK$6:$AK$505,"○")&gt;0,1,0))</f>
        <v>0</v>
      </c>
      <c r="CV110" s="39" t="n">
        <f aca="false">IF(CV$4=0,0,IF(COUNTIFS(実績!$W$6:$W$505,CV$3,実績!$AI$6:$AI$505,"&lt;="&amp;$A110,実績!$AJ$6:$AJ$505,"&gt;"&amp;$A110,実績!$AK$6:$AK$505,"○")&gt;0,1,0))</f>
        <v>0</v>
      </c>
      <c r="CW110" s="39" t="n">
        <f aca="false">IF(CW$4=0,0,IF(COUNTIFS(実績!$W$6:$W$505,CW$3,実績!$AI$6:$AI$505,"&lt;="&amp;$A110,実績!$AJ$6:$AJ$505,"&gt;"&amp;$A110,実績!$AK$6:$AK$505,"○")&gt;0,1,0))</f>
        <v>0</v>
      </c>
      <c r="CX110" s="39" t="n">
        <f aca="false">IF(CX$4=0,0,IF(COUNTIFS(実績!$W$6:$W$505,CX$3,実績!$AI$6:$AI$505,"&lt;="&amp;$A110,実績!$AJ$6:$AJ$505,"&gt;"&amp;$A110,実績!$AK$6:$AK$505,"○")&gt;0,1,0))</f>
        <v>0</v>
      </c>
      <c r="CY110" s="39" t="n">
        <f aca="false">IF(CY$4=0,0,IF(COUNTIFS(実績!$W$6:$W$505,CY$3,実績!$AI$6:$AI$505,"&lt;="&amp;$A110,実績!$AJ$6:$AJ$505,"&gt;"&amp;$A110,実績!$AK$6:$AK$505,"○")&gt;0,1,0))</f>
        <v>0</v>
      </c>
      <c r="CZ110" s="39" t="n">
        <f aca="false">IF(CZ$4=0,0,IF(COUNTIFS(実績!$W$6:$W$505,CZ$3,実績!$AI$6:$AI$505,"&lt;="&amp;$A110,実績!$AJ$6:$AJ$505,"&gt;"&amp;$A110,実績!$AK$6:$AK$505,"○")&gt;0,1,0))</f>
        <v>0</v>
      </c>
      <c r="DA110" s="39" t="n">
        <f aca="false">IF(DA$4=0,0,IF(COUNTIFS(実績!$W$6:$W$505,DA$3,実績!$AI$6:$AI$505,"&lt;="&amp;$A110,実績!$AJ$6:$AJ$505,"&gt;"&amp;$A110,実績!$AK$6:$AK$505,"○")&gt;0,1,0))</f>
        <v>0</v>
      </c>
      <c r="DB110" s="39" t="n">
        <f aca="false">IF(DB$4=0,0,IF(COUNTIFS(実績!$W$6:$W$505,DB$3,実績!$AI$6:$AI$505,"&lt;="&amp;$A110,実績!$AJ$6:$AJ$505,"&gt;"&amp;$A110,実績!$AK$6:$AK$505,"○")&gt;0,1,0))</f>
        <v>0</v>
      </c>
      <c r="DC110" s="39" t="n">
        <f aca="false">IF(DC$4=0,0,IF(COUNTIFS(実績!$W$6:$W$505,DC$3,実績!$AI$6:$AI$505,"&lt;="&amp;$A110,実績!$AJ$6:$AJ$505,"&gt;"&amp;$A110,実績!$AK$6:$AK$505,"○")&gt;0,1,0))</f>
        <v>0</v>
      </c>
      <c r="DD110" s="39" t="n">
        <f aca="false">IF(DD$4=0,0,IF(COUNTIFS(実績!$W$6:$W$505,DD$3,実績!$AI$6:$AI$505,"&lt;="&amp;$A110,実績!$AJ$6:$AJ$505,"&gt;"&amp;$A110,実績!$AK$6:$AK$505,"○")&gt;0,1,0))</f>
        <v>0</v>
      </c>
      <c r="DE110" s="39" t="n">
        <f aca="false">IF(DE$4=0,0,IF(COUNTIFS(実績!$W$6:$W$505,DE$3,実績!$AI$6:$AI$505,"&lt;="&amp;$A110,実績!$AJ$6:$AJ$505,"&gt;"&amp;$A110,実績!$AK$6:$AK$505,"○")&gt;0,1,0))</f>
        <v>0</v>
      </c>
      <c r="DF110" s="39" t="n">
        <f aca="false">IF(DF$4=0,0,IF(COUNTIFS(実績!$W$6:$W$505,DF$3,実績!$AI$6:$AI$505,"&lt;="&amp;$A110,実績!$AJ$6:$AJ$505,"&gt;"&amp;$A110,実績!$AK$6:$AK$505,"○")&gt;0,1,0))</f>
        <v>0</v>
      </c>
      <c r="DG110" s="39" t="n">
        <f aca="false">IF(DG$4=0,0,IF(COUNTIFS(実績!$W$6:$W$505,DG$3,実績!$AI$6:$AI$505,"&lt;="&amp;$A110,実績!$AJ$6:$AJ$505,"&gt;"&amp;$A110,実績!$AK$6:$AK$505,"○")&gt;0,1,0))</f>
        <v>0</v>
      </c>
      <c r="DH110" s="39" t="n">
        <f aca="false">IF(DH$4=0,0,IF(COUNTIFS(実績!$W$6:$W$505,DH$3,実績!$AI$6:$AI$505,"&lt;="&amp;$A110,実績!$AJ$6:$AJ$505,"&gt;"&amp;$A110,実績!$AK$6:$AK$505,"○")&gt;0,1,0))</f>
        <v>0</v>
      </c>
      <c r="DI110" s="39" t="n">
        <f aca="false">IF(DI$4=0,0,IF(COUNTIFS(実績!$W$6:$W$505,DI$3,実績!$AI$6:$AI$505,"&lt;="&amp;$A110,実績!$AJ$6:$AJ$505,"&gt;"&amp;$A110,実績!$AK$6:$AK$505,"○")&gt;0,1,0))</f>
        <v>0</v>
      </c>
      <c r="DJ110" s="39" t="n">
        <f aca="false">IF(DJ$4=0,0,IF(COUNTIFS(実績!$W$6:$W$505,DJ$3,実績!$AI$6:$AI$505,"&lt;="&amp;$A110,実績!$AJ$6:$AJ$505,"&gt;"&amp;$A110,実績!$AK$6:$AK$505,"○")&gt;0,1,0))</f>
        <v>0</v>
      </c>
      <c r="DK110" s="39" t="n">
        <f aca="false">IF(DK$4=0,0,IF(COUNTIFS(実績!$W$6:$W$505,DK$3,実績!$AI$6:$AI$505,"&lt;="&amp;$A110,実績!$AJ$6:$AJ$505,"&gt;"&amp;$A110,実績!$AK$6:$AK$505,"○")&gt;0,1,0))</f>
        <v>0</v>
      </c>
      <c r="DL110" s="39" t="n">
        <f aca="false">IF(DL$4=0,0,IF(COUNTIFS(実績!$W$6:$W$505,DL$3,実績!$AI$6:$AI$505,"&lt;="&amp;$A110,実績!$AJ$6:$AJ$505,"&gt;"&amp;$A110,実績!$AK$6:$AK$505,"○")&gt;0,1,0))</f>
        <v>0</v>
      </c>
      <c r="DM110" s="39" t="n">
        <f aca="false">IF(DM$4=0,0,IF(COUNTIFS(実績!$W$6:$W$505,DM$3,実績!$AI$6:$AI$505,"&lt;="&amp;$A110,実績!$AJ$6:$AJ$505,"&gt;"&amp;$A110,実績!$AK$6:$AK$505,"○")&gt;0,1,0))</f>
        <v>0</v>
      </c>
      <c r="DN110" s="39" t="n">
        <f aca="false">IF(DN$4=0,0,IF(COUNTIFS(実績!$W$6:$W$505,DN$3,実績!$AI$6:$AI$505,"&lt;="&amp;$A110,実績!$AJ$6:$AJ$505,"&gt;"&amp;$A110,実績!$AK$6:$AK$505,"○")&gt;0,1,0))</f>
        <v>0</v>
      </c>
      <c r="DO110" s="39" t="n">
        <f aca="false">IF(DO$4=0,0,IF(COUNTIFS(実績!$W$6:$W$505,DO$3,実績!$AI$6:$AI$505,"&lt;="&amp;$A110,実績!$AJ$6:$AJ$505,"&gt;"&amp;$A110,実績!$AK$6:$AK$505,"○")&gt;0,1,0))</f>
        <v>0</v>
      </c>
      <c r="DP110" s="39" t="n">
        <f aca="false">IF(DP$4=0,0,IF(COUNTIFS(実績!$W$6:$W$505,DP$3,実績!$AI$6:$AI$505,"&lt;="&amp;$A110,実績!$AJ$6:$AJ$505,"&gt;"&amp;$A110,実績!$AK$6:$AK$505,"○")&gt;0,1,0))</f>
        <v>0</v>
      </c>
      <c r="DQ110" s="39" t="n">
        <f aca="false">IF(DQ$4=0,0,IF(COUNTIFS(実績!$W$6:$W$505,DQ$3,実績!$AI$6:$AI$505,"&lt;="&amp;$A110,実績!$AJ$6:$AJ$505,"&gt;"&amp;$A110,実績!$AK$6:$AK$505,"○")&gt;0,1,0))</f>
        <v>0</v>
      </c>
      <c r="DR110" s="39" t="n">
        <f aca="false">IF(DR$4=0,0,IF(COUNTIFS(実績!$W$6:$W$505,DR$3,実績!$AI$6:$AI$505,"&lt;="&amp;$A110,実績!$AJ$6:$AJ$505,"&gt;"&amp;$A110,実績!$AK$6:$AK$505,"○")&gt;0,1,0))</f>
        <v>0</v>
      </c>
      <c r="DS110" s="39" t="n">
        <f aca="false">SUM(C110:DR110)</f>
        <v>0</v>
      </c>
      <c r="DT110" s="39" t="n">
        <f aca="false">SUMPRODUCT((実績!$C$6:$C$505="○")*ISNUMBER(実績!$AM$6:$AM$505)*(実績!$AM$6:$AM$505&lt;=$A110)*(実績!$AN$6:$AN$505&gt;$A110))</f>
        <v>0</v>
      </c>
      <c r="DU110" s="39" t="n">
        <f aca="false">SUMIF($C$2:$DR$2,"製鉄曳船",C110:DR110)</f>
        <v>0</v>
      </c>
      <c r="DV110" s="39" t="n">
        <f aca="false">SUMIF($C$2:$DR$2,"西日本海運",C110:DR110)</f>
        <v>0</v>
      </c>
    </row>
    <row r="111" customFormat="false" ht="15" hidden="false" customHeight="false" outlineLevel="0" collapsed="false">
      <c r="A111" s="0" t="n">
        <v>525</v>
      </c>
      <c r="B111" s="38" t="n">
        <f aca="false">A111/1440</f>
        <v>0.364583333333333</v>
      </c>
      <c r="C111" s="39" t="n">
        <f aca="false">IF(C$4=0,0,IF(COUNTIFS(実績!$W$6:$W$505,C$3,実績!$AI$6:$AI$505,"&lt;="&amp;$A111,実績!$AJ$6:$AJ$505,"&gt;"&amp;$A111,実績!$AK$6:$AK$505,"○")&gt;0,1,0))</f>
        <v>0</v>
      </c>
      <c r="D111" s="39" t="n">
        <f aca="false">IF(D$4=0,0,IF(COUNTIFS(実績!$W$6:$W$505,D$3,実績!$AI$6:$AI$505,"&lt;="&amp;$A111,実績!$AJ$6:$AJ$505,"&gt;"&amp;$A111,実績!$AK$6:$AK$505,"○")&gt;0,1,0))</f>
        <v>0</v>
      </c>
      <c r="E111" s="39" t="n">
        <f aca="false">IF(E$4=0,0,IF(COUNTIFS(実績!$W$6:$W$505,E$3,実績!$AI$6:$AI$505,"&lt;="&amp;$A111,実績!$AJ$6:$AJ$505,"&gt;"&amp;$A111,実績!$AK$6:$AK$505,"○")&gt;0,1,0))</f>
        <v>0</v>
      </c>
      <c r="F111" s="39" t="n">
        <f aca="false">IF(F$4=0,0,IF(COUNTIFS(実績!$W$6:$W$505,F$3,実績!$AI$6:$AI$505,"&lt;="&amp;$A111,実績!$AJ$6:$AJ$505,"&gt;"&amp;$A111,実績!$AK$6:$AK$505,"○")&gt;0,1,0))</f>
        <v>0</v>
      </c>
      <c r="G111" s="39" t="n">
        <f aca="false">IF(G$4=0,0,IF(COUNTIFS(実績!$W$6:$W$505,G$3,実績!$AI$6:$AI$505,"&lt;="&amp;$A111,実績!$AJ$6:$AJ$505,"&gt;"&amp;$A111,実績!$AK$6:$AK$505,"○")&gt;0,1,0))</f>
        <v>0</v>
      </c>
      <c r="H111" s="39" t="n">
        <f aca="false">IF(H$4=0,0,IF(COUNTIFS(実績!$W$6:$W$505,H$3,実績!$AI$6:$AI$505,"&lt;="&amp;$A111,実績!$AJ$6:$AJ$505,"&gt;"&amp;$A111,実績!$AK$6:$AK$505,"○")&gt;0,1,0))</f>
        <v>0</v>
      </c>
      <c r="I111" s="39" t="n">
        <f aca="false">IF(I$4=0,0,IF(COUNTIFS(実績!$W$6:$W$505,I$3,実績!$AI$6:$AI$505,"&lt;="&amp;$A111,実績!$AJ$6:$AJ$505,"&gt;"&amp;$A111,実績!$AK$6:$AK$505,"○")&gt;0,1,0))</f>
        <v>0</v>
      </c>
      <c r="J111" s="39" t="n">
        <f aca="false">IF(J$4=0,0,IF(COUNTIFS(実績!$W$6:$W$505,J$3,実績!$AI$6:$AI$505,"&lt;="&amp;$A111,実績!$AJ$6:$AJ$505,"&gt;"&amp;$A111,実績!$AK$6:$AK$505,"○")&gt;0,1,0))</f>
        <v>0</v>
      </c>
      <c r="K111" s="39" t="n">
        <f aca="false">IF(K$4=0,0,IF(COUNTIFS(実績!$W$6:$W$505,K$3,実績!$AI$6:$AI$505,"&lt;="&amp;$A111,実績!$AJ$6:$AJ$505,"&gt;"&amp;$A111,実績!$AK$6:$AK$505,"○")&gt;0,1,0))</f>
        <v>0</v>
      </c>
      <c r="L111" s="39" t="n">
        <f aca="false">IF(L$4=0,0,IF(COUNTIFS(実績!$W$6:$W$505,L$3,実績!$AI$6:$AI$505,"&lt;="&amp;$A111,実績!$AJ$6:$AJ$505,"&gt;"&amp;$A111,実績!$AK$6:$AK$505,"○")&gt;0,1,0))</f>
        <v>0</v>
      </c>
      <c r="M111" s="39" t="n">
        <f aca="false">IF(M$4=0,0,IF(COUNTIFS(実績!$W$6:$W$505,M$3,実績!$AI$6:$AI$505,"&lt;="&amp;$A111,実績!$AJ$6:$AJ$505,"&gt;"&amp;$A111,実績!$AK$6:$AK$505,"○")&gt;0,1,0))</f>
        <v>0</v>
      </c>
      <c r="N111" s="39" t="n">
        <f aca="false">IF(N$4=0,0,IF(COUNTIFS(実績!$W$6:$W$505,N$3,実績!$AI$6:$AI$505,"&lt;="&amp;$A111,実績!$AJ$6:$AJ$505,"&gt;"&amp;$A111,実績!$AK$6:$AK$505,"○")&gt;0,1,0))</f>
        <v>0</v>
      </c>
      <c r="O111" s="39" t="n">
        <f aca="false">IF(O$4=0,0,IF(COUNTIFS(実績!$W$6:$W$505,O$3,実績!$AI$6:$AI$505,"&lt;="&amp;$A111,実績!$AJ$6:$AJ$505,"&gt;"&amp;$A111,実績!$AK$6:$AK$505,"○")&gt;0,1,0))</f>
        <v>0</v>
      </c>
      <c r="P111" s="39" t="n">
        <f aca="false">IF(P$4=0,0,IF(COUNTIFS(実績!$W$6:$W$505,P$3,実績!$AI$6:$AI$505,"&lt;="&amp;$A111,実績!$AJ$6:$AJ$505,"&gt;"&amp;$A111,実績!$AK$6:$AK$505,"○")&gt;0,1,0))</f>
        <v>0</v>
      </c>
      <c r="Q111" s="39" t="n">
        <f aca="false">IF(Q$4=0,0,IF(COUNTIFS(実績!$W$6:$W$505,Q$3,実績!$AI$6:$AI$505,"&lt;="&amp;$A111,実績!$AJ$6:$AJ$505,"&gt;"&amp;$A111,実績!$AK$6:$AK$505,"○")&gt;0,1,0))</f>
        <v>0</v>
      </c>
      <c r="R111" s="39" t="n">
        <f aca="false">IF(R$4=0,0,IF(COUNTIFS(実績!$W$6:$W$505,R$3,実績!$AI$6:$AI$505,"&lt;="&amp;$A111,実績!$AJ$6:$AJ$505,"&gt;"&amp;$A111,実績!$AK$6:$AK$505,"○")&gt;0,1,0))</f>
        <v>0</v>
      </c>
      <c r="S111" s="39" t="n">
        <f aca="false">IF(S$4=0,0,IF(COUNTIFS(実績!$W$6:$W$505,S$3,実績!$AI$6:$AI$505,"&lt;="&amp;$A111,実績!$AJ$6:$AJ$505,"&gt;"&amp;$A111,実績!$AK$6:$AK$505,"○")&gt;0,1,0))</f>
        <v>0</v>
      </c>
      <c r="T111" s="39" t="n">
        <f aca="false">IF(T$4=0,0,IF(COUNTIFS(実績!$W$6:$W$505,T$3,実績!$AI$6:$AI$505,"&lt;="&amp;$A111,実績!$AJ$6:$AJ$505,"&gt;"&amp;$A111,実績!$AK$6:$AK$505,"○")&gt;0,1,0))</f>
        <v>0</v>
      </c>
      <c r="U111" s="39" t="n">
        <f aca="false">IF(U$4=0,0,IF(COUNTIFS(実績!$W$6:$W$505,U$3,実績!$AI$6:$AI$505,"&lt;="&amp;$A111,実績!$AJ$6:$AJ$505,"&gt;"&amp;$A111,実績!$AK$6:$AK$505,"○")&gt;0,1,0))</f>
        <v>0</v>
      </c>
      <c r="V111" s="39" t="n">
        <f aca="false">IF(V$4=0,0,IF(COUNTIFS(実績!$W$6:$W$505,V$3,実績!$AI$6:$AI$505,"&lt;="&amp;$A111,実績!$AJ$6:$AJ$505,"&gt;"&amp;$A111,実績!$AK$6:$AK$505,"○")&gt;0,1,0))</f>
        <v>0</v>
      </c>
      <c r="W111" s="39" t="n">
        <f aca="false">IF(W$4=0,0,IF(COUNTIFS(実績!$W$6:$W$505,W$3,実績!$AI$6:$AI$505,"&lt;="&amp;$A111,実績!$AJ$6:$AJ$505,"&gt;"&amp;$A111,実績!$AK$6:$AK$505,"○")&gt;0,1,0))</f>
        <v>0</v>
      </c>
      <c r="X111" s="39" t="n">
        <f aca="false">IF(X$4=0,0,IF(COUNTIFS(実績!$W$6:$W$505,X$3,実績!$AI$6:$AI$505,"&lt;="&amp;$A111,実績!$AJ$6:$AJ$505,"&gt;"&amp;$A111,実績!$AK$6:$AK$505,"○")&gt;0,1,0))</f>
        <v>0</v>
      </c>
      <c r="Y111" s="39" t="n">
        <f aca="false">IF(Y$4=0,0,IF(COUNTIFS(実績!$W$6:$W$505,Y$3,実績!$AI$6:$AI$505,"&lt;="&amp;$A111,実績!$AJ$6:$AJ$505,"&gt;"&amp;$A111,実績!$AK$6:$AK$505,"○")&gt;0,1,0))</f>
        <v>0</v>
      </c>
      <c r="Z111" s="39" t="n">
        <f aca="false">IF(Z$4=0,0,IF(COUNTIFS(実績!$W$6:$W$505,Z$3,実績!$AI$6:$AI$505,"&lt;="&amp;$A111,実績!$AJ$6:$AJ$505,"&gt;"&amp;$A111,実績!$AK$6:$AK$505,"○")&gt;0,1,0))</f>
        <v>0</v>
      </c>
      <c r="AA111" s="39" t="n">
        <f aca="false">IF(AA$4=0,0,IF(COUNTIFS(実績!$W$6:$W$505,AA$3,実績!$AI$6:$AI$505,"&lt;="&amp;$A111,実績!$AJ$6:$AJ$505,"&gt;"&amp;$A111,実績!$AK$6:$AK$505,"○")&gt;0,1,0))</f>
        <v>0</v>
      </c>
      <c r="AB111" s="39" t="n">
        <f aca="false">IF(AB$4=0,0,IF(COUNTIFS(実績!$W$6:$W$505,AB$3,実績!$AI$6:$AI$505,"&lt;="&amp;$A111,実績!$AJ$6:$AJ$505,"&gt;"&amp;$A111,実績!$AK$6:$AK$505,"○")&gt;0,1,0))</f>
        <v>0</v>
      </c>
      <c r="AC111" s="39" t="n">
        <f aca="false">IF(AC$4=0,0,IF(COUNTIFS(実績!$W$6:$W$505,AC$3,実績!$AI$6:$AI$505,"&lt;="&amp;$A111,実績!$AJ$6:$AJ$505,"&gt;"&amp;$A111,実績!$AK$6:$AK$505,"○")&gt;0,1,0))</f>
        <v>0</v>
      </c>
      <c r="AD111" s="39" t="n">
        <f aca="false">IF(AD$4=0,0,IF(COUNTIFS(実績!$W$6:$W$505,AD$3,実績!$AI$6:$AI$505,"&lt;="&amp;$A111,実績!$AJ$6:$AJ$505,"&gt;"&amp;$A111,実績!$AK$6:$AK$505,"○")&gt;0,1,0))</f>
        <v>0</v>
      </c>
      <c r="AE111" s="39" t="n">
        <f aca="false">IF(AE$4=0,0,IF(COUNTIFS(実績!$W$6:$W$505,AE$3,実績!$AI$6:$AI$505,"&lt;="&amp;$A111,実績!$AJ$6:$AJ$505,"&gt;"&amp;$A111,実績!$AK$6:$AK$505,"○")&gt;0,1,0))</f>
        <v>0</v>
      </c>
      <c r="AF111" s="39" t="n">
        <f aca="false">IF(AF$4=0,0,IF(COUNTIFS(実績!$W$6:$W$505,AF$3,実績!$AI$6:$AI$505,"&lt;="&amp;$A111,実績!$AJ$6:$AJ$505,"&gt;"&amp;$A111,実績!$AK$6:$AK$505,"○")&gt;0,1,0))</f>
        <v>0</v>
      </c>
      <c r="AG111" s="39" t="n">
        <f aca="false">IF(AG$4=0,0,IF(COUNTIFS(実績!$W$6:$W$505,AG$3,実績!$AI$6:$AI$505,"&lt;="&amp;$A111,実績!$AJ$6:$AJ$505,"&gt;"&amp;$A111,実績!$AK$6:$AK$505,"○")&gt;0,1,0))</f>
        <v>0</v>
      </c>
      <c r="AH111" s="39" t="n">
        <f aca="false">IF(AH$4=0,0,IF(COUNTIFS(実績!$W$6:$W$505,AH$3,実績!$AI$6:$AI$505,"&lt;="&amp;$A111,実績!$AJ$6:$AJ$505,"&gt;"&amp;$A111,実績!$AK$6:$AK$505,"○")&gt;0,1,0))</f>
        <v>0</v>
      </c>
      <c r="AI111" s="39" t="n">
        <f aca="false">IF(AI$4=0,0,IF(COUNTIFS(実績!$W$6:$W$505,AI$3,実績!$AI$6:$AI$505,"&lt;="&amp;$A111,実績!$AJ$6:$AJ$505,"&gt;"&amp;$A111,実績!$AK$6:$AK$505,"○")&gt;0,1,0))</f>
        <v>0</v>
      </c>
      <c r="AJ111" s="39" t="n">
        <f aca="false">IF(AJ$4=0,0,IF(COUNTIFS(実績!$W$6:$W$505,AJ$3,実績!$AI$6:$AI$505,"&lt;="&amp;$A111,実績!$AJ$6:$AJ$505,"&gt;"&amp;$A111,実績!$AK$6:$AK$505,"○")&gt;0,1,0))</f>
        <v>0</v>
      </c>
      <c r="AK111" s="39" t="n">
        <f aca="false">IF(AK$4=0,0,IF(COUNTIFS(実績!$W$6:$W$505,AK$3,実績!$AI$6:$AI$505,"&lt;="&amp;$A111,実績!$AJ$6:$AJ$505,"&gt;"&amp;$A111,実績!$AK$6:$AK$505,"○")&gt;0,1,0))</f>
        <v>0</v>
      </c>
      <c r="AL111" s="39" t="n">
        <f aca="false">IF(AL$4=0,0,IF(COUNTIFS(実績!$W$6:$W$505,AL$3,実績!$AI$6:$AI$505,"&lt;="&amp;$A111,実績!$AJ$6:$AJ$505,"&gt;"&amp;$A111,実績!$AK$6:$AK$505,"○")&gt;0,1,0))</f>
        <v>0</v>
      </c>
      <c r="AM111" s="39" t="n">
        <f aca="false">IF(AM$4=0,0,IF(COUNTIFS(実績!$W$6:$W$505,AM$3,実績!$AI$6:$AI$505,"&lt;="&amp;$A111,実績!$AJ$6:$AJ$505,"&gt;"&amp;$A111,実績!$AK$6:$AK$505,"○")&gt;0,1,0))</f>
        <v>0</v>
      </c>
      <c r="AN111" s="39" t="n">
        <f aca="false">IF(AN$4=0,0,IF(COUNTIFS(実績!$W$6:$W$505,AN$3,実績!$AI$6:$AI$505,"&lt;="&amp;$A111,実績!$AJ$6:$AJ$505,"&gt;"&amp;$A111,実績!$AK$6:$AK$505,"○")&gt;0,1,0))</f>
        <v>0</v>
      </c>
      <c r="AO111" s="39" t="n">
        <f aca="false">IF(AO$4=0,0,IF(COUNTIFS(実績!$W$6:$W$505,AO$3,実績!$AI$6:$AI$505,"&lt;="&amp;$A111,実績!$AJ$6:$AJ$505,"&gt;"&amp;$A111,実績!$AK$6:$AK$505,"○")&gt;0,1,0))</f>
        <v>0</v>
      </c>
      <c r="AP111" s="39" t="n">
        <f aca="false">IF(AP$4=0,0,IF(COUNTIFS(実績!$W$6:$W$505,AP$3,実績!$AI$6:$AI$505,"&lt;="&amp;$A111,実績!$AJ$6:$AJ$505,"&gt;"&amp;$A111,実績!$AK$6:$AK$505,"○")&gt;0,1,0))</f>
        <v>0</v>
      </c>
      <c r="AQ111" s="39" t="n">
        <f aca="false">IF(AQ$4=0,0,IF(COUNTIFS(実績!$W$6:$W$505,AQ$3,実績!$AI$6:$AI$505,"&lt;="&amp;$A111,実績!$AJ$6:$AJ$505,"&gt;"&amp;$A111,実績!$AK$6:$AK$505,"○")&gt;0,1,0))</f>
        <v>0</v>
      </c>
      <c r="AR111" s="39" t="n">
        <f aca="false">IF(AR$4=0,0,IF(COUNTIFS(実績!$W$6:$W$505,AR$3,実績!$AI$6:$AI$505,"&lt;="&amp;$A111,実績!$AJ$6:$AJ$505,"&gt;"&amp;$A111,実績!$AK$6:$AK$505,"○")&gt;0,1,0))</f>
        <v>0</v>
      </c>
      <c r="AS111" s="39" t="n">
        <f aca="false">IF(AS$4=0,0,IF(COUNTIFS(実績!$W$6:$W$505,AS$3,実績!$AI$6:$AI$505,"&lt;="&amp;$A111,実績!$AJ$6:$AJ$505,"&gt;"&amp;$A111,実績!$AK$6:$AK$505,"○")&gt;0,1,0))</f>
        <v>0</v>
      </c>
      <c r="AT111" s="39" t="n">
        <f aca="false">IF(AT$4=0,0,IF(COUNTIFS(実績!$W$6:$W$505,AT$3,実績!$AI$6:$AI$505,"&lt;="&amp;$A111,実績!$AJ$6:$AJ$505,"&gt;"&amp;$A111,実績!$AK$6:$AK$505,"○")&gt;0,1,0))</f>
        <v>0</v>
      </c>
      <c r="AU111" s="39" t="n">
        <f aca="false">IF(AU$4=0,0,IF(COUNTIFS(実績!$W$6:$W$505,AU$3,実績!$AI$6:$AI$505,"&lt;="&amp;$A111,実績!$AJ$6:$AJ$505,"&gt;"&amp;$A111,実績!$AK$6:$AK$505,"○")&gt;0,1,0))</f>
        <v>0</v>
      </c>
      <c r="AV111" s="39" t="n">
        <f aca="false">IF(AV$4=0,0,IF(COUNTIFS(実績!$W$6:$W$505,AV$3,実績!$AI$6:$AI$505,"&lt;="&amp;$A111,実績!$AJ$6:$AJ$505,"&gt;"&amp;$A111,実績!$AK$6:$AK$505,"○")&gt;0,1,0))</f>
        <v>0</v>
      </c>
      <c r="AW111" s="39" t="n">
        <f aca="false">IF(AW$4=0,0,IF(COUNTIFS(実績!$W$6:$W$505,AW$3,実績!$AI$6:$AI$505,"&lt;="&amp;$A111,実績!$AJ$6:$AJ$505,"&gt;"&amp;$A111,実績!$AK$6:$AK$505,"○")&gt;0,1,0))</f>
        <v>0</v>
      </c>
      <c r="AX111" s="39" t="n">
        <f aca="false">IF(AX$4=0,0,IF(COUNTIFS(実績!$W$6:$W$505,AX$3,実績!$AI$6:$AI$505,"&lt;="&amp;$A111,実績!$AJ$6:$AJ$505,"&gt;"&amp;$A111,実績!$AK$6:$AK$505,"○")&gt;0,1,0))</f>
        <v>0</v>
      </c>
      <c r="AY111" s="39" t="n">
        <f aca="false">IF(AY$4=0,0,IF(COUNTIFS(実績!$W$6:$W$505,AY$3,実績!$AI$6:$AI$505,"&lt;="&amp;$A111,実績!$AJ$6:$AJ$505,"&gt;"&amp;$A111,実績!$AK$6:$AK$505,"○")&gt;0,1,0))</f>
        <v>0</v>
      </c>
      <c r="AZ111" s="39" t="n">
        <f aca="false">IF(AZ$4=0,0,IF(COUNTIFS(実績!$W$6:$W$505,AZ$3,実績!$AI$6:$AI$505,"&lt;="&amp;$A111,実績!$AJ$6:$AJ$505,"&gt;"&amp;$A111,実績!$AK$6:$AK$505,"○")&gt;0,1,0))</f>
        <v>0</v>
      </c>
      <c r="BA111" s="39" t="n">
        <f aca="false">IF(BA$4=0,0,IF(COUNTIFS(実績!$W$6:$W$505,BA$3,実績!$AI$6:$AI$505,"&lt;="&amp;$A111,実績!$AJ$6:$AJ$505,"&gt;"&amp;$A111,実績!$AK$6:$AK$505,"○")&gt;0,1,0))</f>
        <v>0</v>
      </c>
      <c r="BB111" s="39" t="n">
        <f aca="false">IF(BB$4=0,0,IF(COUNTIFS(実績!$W$6:$W$505,BB$3,実績!$AI$6:$AI$505,"&lt;="&amp;$A111,実績!$AJ$6:$AJ$505,"&gt;"&amp;$A111,実績!$AK$6:$AK$505,"○")&gt;0,1,0))</f>
        <v>0</v>
      </c>
      <c r="BC111" s="39" t="n">
        <f aca="false">IF(BC$4=0,0,IF(COUNTIFS(実績!$W$6:$W$505,BC$3,実績!$AI$6:$AI$505,"&lt;="&amp;$A111,実績!$AJ$6:$AJ$505,"&gt;"&amp;$A111,実績!$AK$6:$AK$505,"○")&gt;0,1,0))</f>
        <v>0</v>
      </c>
      <c r="BD111" s="39" t="n">
        <f aca="false">IF(BD$4=0,0,IF(COUNTIFS(実績!$W$6:$W$505,BD$3,実績!$AI$6:$AI$505,"&lt;="&amp;$A111,実績!$AJ$6:$AJ$505,"&gt;"&amp;$A111,実績!$AK$6:$AK$505,"○")&gt;0,1,0))</f>
        <v>0</v>
      </c>
      <c r="BE111" s="39" t="n">
        <f aca="false">IF(BE$4=0,0,IF(COUNTIFS(実績!$W$6:$W$505,BE$3,実績!$AI$6:$AI$505,"&lt;="&amp;$A111,実績!$AJ$6:$AJ$505,"&gt;"&amp;$A111,実績!$AK$6:$AK$505,"○")&gt;0,1,0))</f>
        <v>0</v>
      </c>
      <c r="BF111" s="39" t="n">
        <f aca="false">IF(BF$4=0,0,IF(COUNTIFS(実績!$W$6:$W$505,BF$3,実績!$AI$6:$AI$505,"&lt;="&amp;$A111,実績!$AJ$6:$AJ$505,"&gt;"&amp;$A111,実績!$AK$6:$AK$505,"○")&gt;0,1,0))</f>
        <v>0</v>
      </c>
      <c r="BG111" s="39" t="n">
        <f aca="false">IF(BG$4=0,0,IF(COUNTIFS(実績!$W$6:$W$505,BG$3,実績!$AI$6:$AI$505,"&lt;="&amp;$A111,実績!$AJ$6:$AJ$505,"&gt;"&amp;$A111,実績!$AK$6:$AK$505,"○")&gt;0,1,0))</f>
        <v>0</v>
      </c>
      <c r="BH111" s="39" t="n">
        <f aca="false">IF(BH$4=0,0,IF(COUNTIFS(実績!$W$6:$W$505,BH$3,実績!$AI$6:$AI$505,"&lt;="&amp;$A111,実績!$AJ$6:$AJ$505,"&gt;"&amp;$A111,実績!$AK$6:$AK$505,"○")&gt;0,1,0))</f>
        <v>0</v>
      </c>
      <c r="BI111" s="39" t="n">
        <f aca="false">IF(BI$4=0,0,IF(COUNTIFS(実績!$W$6:$W$505,BI$3,実績!$AI$6:$AI$505,"&lt;="&amp;$A111,実績!$AJ$6:$AJ$505,"&gt;"&amp;$A111,実績!$AK$6:$AK$505,"○")&gt;0,1,0))</f>
        <v>0</v>
      </c>
      <c r="BJ111" s="39" t="n">
        <f aca="false">IF(BJ$4=0,0,IF(COUNTIFS(実績!$W$6:$W$505,BJ$3,実績!$AI$6:$AI$505,"&lt;="&amp;$A111,実績!$AJ$6:$AJ$505,"&gt;"&amp;$A111,実績!$AK$6:$AK$505,"○")&gt;0,1,0))</f>
        <v>0</v>
      </c>
      <c r="BK111" s="39" t="n">
        <f aca="false">IF(BK$4=0,0,IF(COUNTIFS(実績!$W$6:$W$505,BK$3,実績!$AI$6:$AI$505,"&lt;="&amp;$A111,実績!$AJ$6:$AJ$505,"&gt;"&amp;$A111,実績!$AK$6:$AK$505,"○")&gt;0,1,0))</f>
        <v>0</v>
      </c>
      <c r="BL111" s="39" t="n">
        <f aca="false">IF(BL$4=0,0,IF(COUNTIFS(実績!$W$6:$W$505,BL$3,実績!$AI$6:$AI$505,"&lt;="&amp;$A111,実績!$AJ$6:$AJ$505,"&gt;"&amp;$A111,実績!$AK$6:$AK$505,"○")&gt;0,1,0))</f>
        <v>0</v>
      </c>
      <c r="BM111" s="39" t="n">
        <f aca="false">IF(BM$4=0,0,IF(COUNTIFS(実績!$W$6:$W$505,BM$3,実績!$AI$6:$AI$505,"&lt;="&amp;$A111,実績!$AJ$6:$AJ$505,"&gt;"&amp;$A111,実績!$AK$6:$AK$505,"○")&gt;0,1,0))</f>
        <v>0</v>
      </c>
      <c r="BN111" s="39" t="n">
        <f aca="false">IF(BN$4=0,0,IF(COUNTIFS(実績!$W$6:$W$505,BN$3,実績!$AI$6:$AI$505,"&lt;="&amp;$A111,実績!$AJ$6:$AJ$505,"&gt;"&amp;$A111,実績!$AK$6:$AK$505,"○")&gt;0,1,0))</f>
        <v>0</v>
      </c>
      <c r="BO111" s="39" t="n">
        <f aca="false">IF(BO$4=0,0,IF(COUNTIFS(実績!$W$6:$W$505,BO$3,実績!$AI$6:$AI$505,"&lt;="&amp;$A111,実績!$AJ$6:$AJ$505,"&gt;"&amp;$A111,実績!$AK$6:$AK$505,"○")&gt;0,1,0))</f>
        <v>0</v>
      </c>
      <c r="BP111" s="39" t="n">
        <f aca="false">IF(BP$4=0,0,IF(COUNTIFS(実績!$W$6:$W$505,BP$3,実績!$AI$6:$AI$505,"&lt;="&amp;$A111,実績!$AJ$6:$AJ$505,"&gt;"&amp;$A111,実績!$AK$6:$AK$505,"○")&gt;0,1,0))</f>
        <v>0</v>
      </c>
      <c r="BQ111" s="39" t="n">
        <f aca="false">IF(BQ$4=0,0,IF(COUNTIFS(実績!$W$6:$W$505,BQ$3,実績!$AI$6:$AI$505,"&lt;="&amp;$A111,実績!$AJ$6:$AJ$505,"&gt;"&amp;$A111,実績!$AK$6:$AK$505,"○")&gt;0,1,0))</f>
        <v>0</v>
      </c>
      <c r="BR111" s="39" t="n">
        <f aca="false">IF(BR$4=0,0,IF(COUNTIFS(実績!$W$6:$W$505,BR$3,実績!$AI$6:$AI$505,"&lt;="&amp;$A111,実績!$AJ$6:$AJ$505,"&gt;"&amp;$A111,実績!$AK$6:$AK$505,"○")&gt;0,1,0))</f>
        <v>0</v>
      </c>
      <c r="BS111" s="39" t="n">
        <f aca="false">IF(BS$4=0,0,IF(COUNTIFS(実績!$W$6:$W$505,BS$3,実績!$AI$6:$AI$505,"&lt;="&amp;$A111,実績!$AJ$6:$AJ$505,"&gt;"&amp;$A111,実績!$AK$6:$AK$505,"○")&gt;0,1,0))</f>
        <v>0</v>
      </c>
      <c r="BT111" s="39" t="n">
        <f aca="false">IF(BT$4=0,0,IF(COUNTIFS(実績!$W$6:$W$505,BT$3,実績!$AI$6:$AI$505,"&lt;="&amp;$A111,実績!$AJ$6:$AJ$505,"&gt;"&amp;$A111,実績!$AK$6:$AK$505,"○")&gt;0,1,0))</f>
        <v>0</v>
      </c>
      <c r="BU111" s="39" t="n">
        <f aca="false">IF(BU$4=0,0,IF(COUNTIFS(実績!$W$6:$W$505,BU$3,実績!$AI$6:$AI$505,"&lt;="&amp;$A111,実績!$AJ$6:$AJ$505,"&gt;"&amp;$A111,実績!$AK$6:$AK$505,"○")&gt;0,1,0))</f>
        <v>0</v>
      </c>
      <c r="BV111" s="39" t="n">
        <f aca="false">IF(BV$4=0,0,IF(COUNTIFS(実績!$W$6:$W$505,BV$3,実績!$AI$6:$AI$505,"&lt;="&amp;$A111,実績!$AJ$6:$AJ$505,"&gt;"&amp;$A111,実績!$AK$6:$AK$505,"○")&gt;0,1,0))</f>
        <v>0</v>
      </c>
      <c r="BW111" s="39" t="n">
        <f aca="false">IF(BW$4=0,0,IF(COUNTIFS(実績!$W$6:$W$505,BW$3,実績!$AI$6:$AI$505,"&lt;="&amp;$A111,実績!$AJ$6:$AJ$505,"&gt;"&amp;$A111,実績!$AK$6:$AK$505,"○")&gt;0,1,0))</f>
        <v>0</v>
      </c>
      <c r="BX111" s="39" t="n">
        <f aca="false">IF(BX$4=0,0,IF(COUNTIFS(実績!$W$6:$W$505,BX$3,実績!$AI$6:$AI$505,"&lt;="&amp;$A111,実績!$AJ$6:$AJ$505,"&gt;"&amp;$A111,実績!$AK$6:$AK$505,"○")&gt;0,1,0))</f>
        <v>0</v>
      </c>
      <c r="BY111" s="39" t="n">
        <f aca="false">IF(BY$4=0,0,IF(COUNTIFS(実績!$W$6:$W$505,BY$3,実績!$AI$6:$AI$505,"&lt;="&amp;$A111,実績!$AJ$6:$AJ$505,"&gt;"&amp;$A111,実績!$AK$6:$AK$505,"○")&gt;0,1,0))</f>
        <v>0</v>
      </c>
      <c r="BZ111" s="39" t="n">
        <f aca="false">IF(BZ$4=0,0,IF(COUNTIFS(実績!$W$6:$W$505,BZ$3,実績!$AI$6:$AI$505,"&lt;="&amp;$A111,実績!$AJ$6:$AJ$505,"&gt;"&amp;$A111,実績!$AK$6:$AK$505,"○")&gt;0,1,0))</f>
        <v>0</v>
      </c>
      <c r="CA111" s="39" t="n">
        <f aca="false">IF(CA$4=0,0,IF(COUNTIFS(実績!$W$6:$W$505,CA$3,実績!$AI$6:$AI$505,"&lt;="&amp;$A111,実績!$AJ$6:$AJ$505,"&gt;"&amp;$A111,実績!$AK$6:$AK$505,"○")&gt;0,1,0))</f>
        <v>0</v>
      </c>
      <c r="CB111" s="39" t="n">
        <f aca="false">IF(CB$4=0,0,IF(COUNTIFS(実績!$W$6:$W$505,CB$3,実績!$AI$6:$AI$505,"&lt;="&amp;$A111,実績!$AJ$6:$AJ$505,"&gt;"&amp;$A111,実績!$AK$6:$AK$505,"○")&gt;0,1,0))</f>
        <v>0</v>
      </c>
      <c r="CC111" s="39" t="n">
        <f aca="false">IF(CC$4=0,0,IF(COUNTIFS(実績!$W$6:$W$505,CC$3,実績!$AI$6:$AI$505,"&lt;="&amp;$A111,実績!$AJ$6:$AJ$505,"&gt;"&amp;$A111,実績!$AK$6:$AK$505,"○")&gt;0,1,0))</f>
        <v>0</v>
      </c>
      <c r="CD111" s="39" t="n">
        <f aca="false">IF(CD$4=0,0,IF(COUNTIFS(実績!$W$6:$W$505,CD$3,実績!$AI$6:$AI$505,"&lt;="&amp;$A111,実績!$AJ$6:$AJ$505,"&gt;"&amp;$A111,実績!$AK$6:$AK$505,"○")&gt;0,1,0))</f>
        <v>0</v>
      </c>
      <c r="CE111" s="39" t="n">
        <f aca="false">IF(CE$4=0,0,IF(COUNTIFS(実績!$W$6:$W$505,CE$3,実績!$AI$6:$AI$505,"&lt;="&amp;$A111,実績!$AJ$6:$AJ$505,"&gt;"&amp;$A111,実績!$AK$6:$AK$505,"○")&gt;0,1,0))</f>
        <v>0</v>
      </c>
      <c r="CF111" s="39" t="n">
        <f aca="false">IF(CF$4=0,0,IF(COUNTIFS(実績!$W$6:$W$505,CF$3,実績!$AI$6:$AI$505,"&lt;="&amp;$A111,実績!$AJ$6:$AJ$505,"&gt;"&amp;$A111,実績!$AK$6:$AK$505,"○")&gt;0,1,0))</f>
        <v>0</v>
      </c>
      <c r="CG111" s="39" t="n">
        <f aca="false">IF(CG$4=0,0,IF(COUNTIFS(実績!$W$6:$W$505,CG$3,実績!$AI$6:$AI$505,"&lt;="&amp;$A111,実績!$AJ$6:$AJ$505,"&gt;"&amp;$A111,実績!$AK$6:$AK$505,"○")&gt;0,1,0))</f>
        <v>0</v>
      </c>
      <c r="CH111" s="39" t="n">
        <f aca="false">IF(CH$4=0,0,IF(COUNTIFS(実績!$W$6:$W$505,CH$3,実績!$AI$6:$AI$505,"&lt;="&amp;$A111,実績!$AJ$6:$AJ$505,"&gt;"&amp;$A111,実績!$AK$6:$AK$505,"○")&gt;0,1,0))</f>
        <v>0</v>
      </c>
      <c r="CI111" s="39" t="n">
        <f aca="false">IF(CI$4=0,0,IF(COUNTIFS(実績!$W$6:$W$505,CI$3,実績!$AI$6:$AI$505,"&lt;="&amp;$A111,実績!$AJ$6:$AJ$505,"&gt;"&amp;$A111,実績!$AK$6:$AK$505,"○")&gt;0,1,0))</f>
        <v>0</v>
      </c>
      <c r="CJ111" s="39" t="n">
        <f aca="false">IF(CJ$4=0,0,IF(COUNTIFS(実績!$W$6:$W$505,CJ$3,実績!$AI$6:$AI$505,"&lt;="&amp;$A111,実績!$AJ$6:$AJ$505,"&gt;"&amp;$A111,実績!$AK$6:$AK$505,"○")&gt;0,1,0))</f>
        <v>0</v>
      </c>
      <c r="CK111" s="39" t="n">
        <f aca="false">IF(CK$4=0,0,IF(COUNTIFS(実績!$W$6:$W$505,CK$3,実績!$AI$6:$AI$505,"&lt;="&amp;$A111,実績!$AJ$6:$AJ$505,"&gt;"&amp;$A111,実績!$AK$6:$AK$505,"○")&gt;0,1,0))</f>
        <v>0</v>
      </c>
      <c r="CL111" s="39" t="n">
        <f aca="false">IF(CL$4=0,0,IF(COUNTIFS(実績!$W$6:$W$505,CL$3,実績!$AI$6:$AI$505,"&lt;="&amp;$A111,実績!$AJ$6:$AJ$505,"&gt;"&amp;$A111,実績!$AK$6:$AK$505,"○")&gt;0,1,0))</f>
        <v>0</v>
      </c>
      <c r="CM111" s="39" t="n">
        <f aca="false">IF(CM$4=0,0,IF(COUNTIFS(実績!$W$6:$W$505,CM$3,実績!$AI$6:$AI$505,"&lt;="&amp;$A111,実績!$AJ$6:$AJ$505,"&gt;"&amp;$A111,実績!$AK$6:$AK$505,"○")&gt;0,1,0))</f>
        <v>0</v>
      </c>
      <c r="CN111" s="39" t="n">
        <f aca="false">IF(CN$4=0,0,IF(COUNTIFS(実績!$W$6:$W$505,CN$3,実績!$AI$6:$AI$505,"&lt;="&amp;$A111,実績!$AJ$6:$AJ$505,"&gt;"&amp;$A111,実績!$AK$6:$AK$505,"○")&gt;0,1,0))</f>
        <v>0</v>
      </c>
      <c r="CO111" s="39" t="n">
        <f aca="false">IF(CO$4=0,0,IF(COUNTIFS(実績!$W$6:$W$505,CO$3,実績!$AI$6:$AI$505,"&lt;="&amp;$A111,実績!$AJ$6:$AJ$505,"&gt;"&amp;$A111,実績!$AK$6:$AK$505,"○")&gt;0,1,0))</f>
        <v>0</v>
      </c>
      <c r="CP111" s="39" t="n">
        <f aca="false">IF(CP$4=0,0,IF(COUNTIFS(実績!$W$6:$W$505,CP$3,実績!$AI$6:$AI$505,"&lt;="&amp;$A111,実績!$AJ$6:$AJ$505,"&gt;"&amp;$A111,実績!$AK$6:$AK$505,"○")&gt;0,1,0))</f>
        <v>0</v>
      </c>
      <c r="CQ111" s="39" t="n">
        <f aca="false">IF(CQ$4=0,0,IF(COUNTIFS(実績!$W$6:$W$505,CQ$3,実績!$AI$6:$AI$505,"&lt;="&amp;$A111,実績!$AJ$6:$AJ$505,"&gt;"&amp;$A111,実績!$AK$6:$AK$505,"○")&gt;0,1,0))</f>
        <v>0</v>
      </c>
      <c r="CR111" s="39" t="n">
        <f aca="false">IF(CR$4=0,0,IF(COUNTIFS(実績!$W$6:$W$505,CR$3,実績!$AI$6:$AI$505,"&lt;="&amp;$A111,実績!$AJ$6:$AJ$505,"&gt;"&amp;$A111,実績!$AK$6:$AK$505,"○")&gt;0,1,0))</f>
        <v>0</v>
      </c>
      <c r="CS111" s="39" t="n">
        <f aca="false">IF(CS$4=0,0,IF(COUNTIFS(実績!$W$6:$W$505,CS$3,実績!$AI$6:$AI$505,"&lt;="&amp;$A111,実績!$AJ$6:$AJ$505,"&gt;"&amp;$A111,実績!$AK$6:$AK$505,"○")&gt;0,1,0))</f>
        <v>0</v>
      </c>
      <c r="CT111" s="39" t="n">
        <f aca="false">IF(CT$4=0,0,IF(COUNTIFS(実績!$W$6:$W$505,CT$3,実績!$AI$6:$AI$505,"&lt;="&amp;$A111,実績!$AJ$6:$AJ$505,"&gt;"&amp;$A111,実績!$AK$6:$AK$505,"○")&gt;0,1,0))</f>
        <v>0</v>
      </c>
      <c r="CU111" s="39" t="n">
        <f aca="false">IF(CU$4=0,0,IF(COUNTIFS(実績!$W$6:$W$505,CU$3,実績!$AI$6:$AI$505,"&lt;="&amp;$A111,実績!$AJ$6:$AJ$505,"&gt;"&amp;$A111,実績!$AK$6:$AK$505,"○")&gt;0,1,0))</f>
        <v>0</v>
      </c>
      <c r="CV111" s="39" t="n">
        <f aca="false">IF(CV$4=0,0,IF(COUNTIFS(実績!$W$6:$W$505,CV$3,実績!$AI$6:$AI$505,"&lt;="&amp;$A111,実績!$AJ$6:$AJ$505,"&gt;"&amp;$A111,実績!$AK$6:$AK$505,"○")&gt;0,1,0))</f>
        <v>0</v>
      </c>
      <c r="CW111" s="39" t="n">
        <f aca="false">IF(CW$4=0,0,IF(COUNTIFS(実績!$W$6:$W$505,CW$3,実績!$AI$6:$AI$505,"&lt;="&amp;$A111,実績!$AJ$6:$AJ$505,"&gt;"&amp;$A111,実績!$AK$6:$AK$505,"○")&gt;0,1,0))</f>
        <v>0</v>
      </c>
      <c r="CX111" s="39" t="n">
        <f aca="false">IF(CX$4=0,0,IF(COUNTIFS(実績!$W$6:$W$505,CX$3,実績!$AI$6:$AI$505,"&lt;="&amp;$A111,実績!$AJ$6:$AJ$505,"&gt;"&amp;$A111,実績!$AK$6:$AK$505,"○")&gt;0,1,0))</f>
        <v>0</v>
      </c>
      <c r="CY111" s="39" t="n">
        <f aca="false">IF(CY$4=0,0,IF(COUNTIFS(実績!$W$6:$W$505,CY$3,実績!$AI$6:$AI$505,"&lt;="&amp;$A111,実績!$AJ$6:$AJ$505,"&gt;"&amp;$A111,実績!$AK$6:$AK$505,"○")&gt;0,1,0))</f>
        <v>0</v>
      </c>
      <c r="CZ111" s="39" t="n">
        <f aca="false">IF(CZ$4=0,0,IF(COUNTIFS(実績!$W$6:$W$505,CZ$3,実績!$AI$6:$AI$505,"&lt;="&amp;$A111,実績!$AJ$6:$AJ$505,"&gt;"&amp;$A111,実績!$AK$6:$AK$505,"○")&gt;0,1,0))</f>
        <v>0</v>
      </c>
      <c r="DA111" s="39" t="n">
        <f aca="false">IF(DA$4=0,0,IF(COUNTIFS(実績!$W$6:$W$505,DA$3,実績!$AI$6:$AI$505,"&lt;="&amp;$A111,実績!$AJ$6:$AJ$505,"&gt;"&amp;$A111,実績!$AK$6:$AK$505,"○")&gt;0,1,0))</f>
        <v>0</v>
      </c>
      <c r="DB111" s="39" t="n">
        <f aca="false">IF(DB$4=0,0,IF(COUNTIFS(実績!$W$6:$W$505,DB$3,実績!$AI$6:$AI$505,"&lt;="&amp;$A111,実績!$AJ$6:$AJ$505,"&gt;"&amp;$A111,実績!$AK$6:$AK$505,"○")&gt;0,1,0))</f>
        <v>0</v>
      </c>
      <c r="DC111" s="39" t="n">
        <f aca="false">IF(DC$4=0,0,IF(COUNTIFS(実績!$W$6:$W$505,DC$3,実績!$AI$6:$AI$505,"&lt;="&amp;$A111,実績!$AJ$6:$AJ$505,"&gt;"&amp;$A111,実績!$AK$6:$AK$505,"○")&gt;0,1,0))</f>
        <v>0</v>
      </c>
      <c r="DD111" s="39" t="n">
        <f aca="false">IF(DD$4=0,0,IF(COUNTIFS(実績!$W$6:$W$505,DD$3,実績!$AI$6:$AI$505,"&lt;="&amp;$A111,実績!$AJ$6:$AJ$505,"&gt;"&amp;$A111,実績!$AK$6:$AK$505,"○")&gt;0,1,0))</f>
        <v>0</v>
      </c>
      <c r="DE111" s="39" t="n">
        <f aca="false">IF(DE$4=0,0,IF(COUNTIFS(実績!$W$6:$W$505,DE$3,実績!$AI$6:$AI$505,"&lt;="&amp;$A111,実績!$AJ$6:$AJ$505,"&gt;"&amp;$A111,実績!$AK$6:$AK$505,"○")&gt;0,1,0))</f>
        <v>0</v>
      </c>
      <c r="DF111" s="39" t="n">
        <f aca="false">IF(DF$4=0,0,IF(COUNTIFS(実績!$W$6:$W$505,DF$3,実績!$AI$6:$AI$505,"&lt;="&amp;$A111,実績!$AJ$6:$AJ$505,"&gt;"&amp;$A111,実績!$AK$6:$AK$505,"○")&gt;0,1,0))</f>
        <v>0</v>
      </c>
      <c r="DG111" s="39" t="n">
        <f aca="false">IF(DG$4=0,0,IF(COUNTIFS(実績!$W$6:$W$505,DG$3,実績!$AI$6:$AI$505,"&lt;="&amp;$A111,実績!$AJ$6:$AJ$505,"&gt;"&amp;$A111,実績!$AK$6:$AK$505,"○")&gt;0,1,0))</f>
        <v>0</v>
      </c>
      <c r="DH111" s="39" t="n">
        <f aca="false">IF(DH$4=0,0,IF(COUNTIFS(実績!$W$6:$W$505,DH$3,実績!$AI$6:$AI$505,"&lt;="&amp;$A111,実績!$AJ$6:$AJ$505,"&gt;"&amp;$A111,実績!$AK$6:$AK$505,"○")&gt;0,1,0))</f>
        <v>0</v>
      </c>
      <c r="DI111" s="39" t="n">
        <f aca="false">IF(DI$4=0,0,IF(COUNTIFS(実績!$W$6:$W$505,DI$3,実績!$AI$6:$AI$505,"&lt;="&amp;$A111,実績!$AJ$6:$AJ$505,"&gt;"&amp;$A111,実績!$AK$6:$AK$505,"○")&gt;0,1,0))</f>
        <v>0</v>
      </c>
      <c r="DJ111" s="39" t="n">
        <f aca="false">IF(DJ$4=0,0,IF(COUNTIFS(実績!$W$6:$W$505,DJ$3,実績!$AI$6:$AI$505,"&lt;="&amp;$A111,実績!$AJ$6:$AJ$505,"&gt;"&amp;$A111,実績!$AK$6:$AK$505,"○")&gt;0,1,0))</f>
        <v>0</v>
      </c>
      <c r="DK111" s="39" t="n">
        <f aca="false">IF(DK$4=0,0,IF(COUNTIFS(実績!$W$6:$W$505,DK$3,実績!$AI$6:$AI$505,"&lt;="&amp;$A111,実績!$AJ$6:$AJ$505,"&gt;"&amp;$A111,実績!$AK$6:$AK$505,"○")&gt;0,1,0))</f>
        <v>0</v>
      </c>
      <c r="DL111" s="39" t="n">
        <f aca="false">IF(DL$4=0,0,IF(COUNTIFS(実績!$W$6:$W$505,DL$3,実績!$AI$6:$AI$505,"&lt;="&amp;$A111,実績!$AJ$6:$AJ$505,"&gt;"&amp;$A111,実績!$AK$6:$AK$505,"○")&gt;0,1,0))</f>
        <v>0</v>
      </c>
      <c r="DM111" s="39" t="n">
        <f aca="false">IF(DM$4=0,0,IF(COUNTIFS(実績!$W$6:$W$505,DM$3,実績!$AI$6:$AI$505,"&lt;="&amp;$A111,実績!$AJ$6:$AJ$505,"&gt;"&amp;$A111,実績!$AK$6:$AK$505,"○")&gt;0,1,0))</f>
        <v>0</v>
      </c>
      <c r="DN111" s="39" t="n">
        <f aca="false">IF(DN$4=0,0,IF(COUNTIFS(実績!$W$6:$W$505,DN$3,実績!$AI$6:$AI$505,"&lt;="&amp;$A111,実績!$AJ$6:$AJ$505,"&gt;"&amp;$A111,実績!$AK$6:$AK$505,"○")&gt;0,1,0))</f>
        <v>0</v>
      </c>
      <c r="DO111" s="39" t="n">
        <f aca="false">IF(DO$4=0,0,IF(COUNTIFS(実績!$W$6:$W$505,DO$3,実績!$AI$6:$AI$505,"&lt;="&amp;$A111,実績!$AJ$6:$AJ$505,"&gt;"&amp;$A111,実績!$AK$6:$AK$505,"○")&gt;0,1,0))</f>
        <v>0</v>
      </c>
      <c r="DP111" s="39" t="n">
        <f aca="false">IF(DP$4=0,0,IF(COUNTIFS(実績!$W$6:$W$505,DP$3,実績!$AI$6:$AI$505,"&lt;="&amp;$A111,実績!$AJ$6:$AJ$505,"&gt;"&amp;$A111,実績!$AK$6:$AK$505,"○")&gt;0,1,0))</f>
        <v>0</v>
      </c>
      <c r="DQ111" s="39" t="n">
        <f aca="false">IF(DQ$4=0,0,IF(COUNTIFS(実績!$W$6:$W$505,DQ$3,実績!$AI$6:$AI$505,"&lt;="&amp;$A111,実績!$AJ$6:$AJ$505,"&gt;"&amp;$A111,実績!$AK$6:$AK$505,"○")&gt;0,1,0))</f>
        <v>0</v>
      </c>
      <c r="DR111" s="39" t="n">
        <f aca="false">IF(DR$4=0,0,IF(COUNTIFS(実績!$W$6:$W$505,DR$3,実績!$AI$6:$AI$505,"&lt;="&amp;$A111,実績!$AJ$6:$AJ$505,"&gt;"&amp;$A111,実績!$AK$6:$AK$505,"○")&gt;0,1,0))</f>
        <v>0</v>
      </c>
      <c r="DS111" s="39" t="n">
        <f aca="false">SUM(C111:DR111)</f>
        <v>0</v>
      </c>
      <c r="DT111" s="39" t="n">
        <f aca="false">SUMPRODUCT((実績!$C$6:$C$505="○")*ISNUMBER(実績!$AM$6:$AM$505)*(実績!$AM$6:$AM$505&lt;=$A111)*(実績!$AN$6:$AN$505&gt;$A111))</f>
        <v>0</v>
      </c>
      <c r="DU111" s="39" t="n">
        <f aca="false">SUMIF($C$2:$DR$2,"製鉄曳船",C111:DR111)</f>
        <v>0</v>
      </c>
      <c r="DV111" s="39" t="n">
        <f aca="false">SUMIF($C$2:$DR$2,"西日本海運",C111:DR111)</f>
        <v>0</v>
      </c>
    </row>
    <row r="112" customFormat="false" ht="15" hidden="false" customHeight="false" outlineLevel="0" collapsed="false">
      <c r="A112" s="0" t="n">
        <v>530</v>
      </c>
      <c r="B112" s="38" t="n">
        <f aca="false">A112/1440</f>
        <v>0.368055555555556</v>
      </c>
      <c r="C112" s="39" t="n">
        <f aca="false">IF(C$4=0,0,IF(COUNTIFS(実績!$W$6:$W$505,C$3,実績!$AI$6:$AI$505,"&lt;="&amp;$A112,実績!$AJ$6:$AJ$505,"&gt;"&amp;$A112,実績!$AK$6:$AK$505,"○")&gt;0,1,0))</f>
        <v>0</v>
      </c>
      <c r="D112" s="39" t="n">
        <f aca="false">IF(D$4=0,0,IF(COUNTIFS(実績!$W$6:$W$505,D$3,実績!$AI$6:$AI$505,"&lt;="&amp;$A112,実績!$AJ$6:$AJ$505,"&gt;"&amp;$A112,実績!$AK$6:$AK$505,"○")&gt;0,1,0))</f>
        <v>0</v>
      </c>
      <c r="E112" s="39" t="n">
        <f aca="false">IF(E$4=0,0,IF(COUNTIFS(実績!$W$6:$W$505,E$3,実績!$AI$6:$AI$505,"&lt;="&amp;$A112,実績!$AJ$6:$AJ$505,"&gt;"&amp;$A112,実績!$AK$6:$AK$505,"○")&gt;0,1,0))</f>
        <v>0</v>
      </c>
      <c r="F112" s="39" t="n">
        <f aca="false">IF(F$4=0,0,IF(COUNTIFS(実績!$W$6:$W$505,F$3,実績!$AI$6:$AI$505,"&lt;="&amp;$A112,実績!$AJ$6:$AJ$505,"&gt;"&amp;$A112,実績!$AK$6:$AK$505,"○")&gt;0,1,0))</f>
        <v>0</v>
      </c>
      <c r="G112" s="39" t="n">
        <f aca="false">IF(G$4=0,0,IF(COUNTIFS(実績!$W$6:$W$505,G$3,実績!$AI$6:$AI$505,"&lt;="&amp;$A112,実績!$AJ$6:$AJ$505,"&gt;"&amp;$A112,実績!$AK$6:$AK$505,"○")&gt;0,1,0))</f>
        <v>0</v>
      </c>
      <c r="H112" s="39" t="n">
        <f aca="false">IF(H$4=0,0,IF(COUNTIFS(実績!$W$6:$W$505,H$3,実績!$AI$6:$AI$505,"&lt;="&amp;$A112,実績!$AJ$6:$AJ$505,"&gt;"&amp;$A112,実績!$AK$6:$AK$505,"○")&gt;0,1,0))</f>
        <v>0</v>
      </c>
      <c r="I112" s="39" t="n">
        <f aca="false">IF(I$4=0,0,IF(COUNTIFS(実績!$W$6:$W$505,I$3,実績!$AI$6:$AI$505,"&lt;="&amp;$A112,実績!$AJ$6:$AJ$505,"&gt;"&amp;$A112,実績!$AK$6:$AK$505,"○")&gt;0,1,0))</f>
        <v>0</v>
      </c>
      <c r="J112" s="39" t="n">
        <f aca="false">IF(J$4=0,0,IF(COUNTIFS(実績!$W$6:$W$505,J$3,実績!$AI$6:$AI$505,"&lt;="&amp;$A112,実績!$AJ$6:$AJ$505,"&gt;"&amp;$A112,実績!$AK$6:$AK$505,"○")&gt;0,1,0))</f>
        <v>0</v>
      </c>
      <c r="K112" s="39" t="n">
        <f aca="false">IF(K$4=0,0,IF(COUNTIFS(実績!$W$6:$W$505,K$3,実績!$AI$6:$AI$505,"&lt;="&amp;$A112,実績!$AJ$6:$AJ$505,"&gt;"&amp;$A112,実績!$AK$6:$AK$505,"○")&gt;0,1,0))</f>
        <v>0</v>
      </c>
      <c r="L112" s="39" t="n">
        <f aca="false">IF(L$4=0,0,IF(COUNTIFS(実績!$W$6:$W$505,L$3,実績!$AI$6:$AI$505,"&lt;="&amp;$A112,実績!$AJ$6:$AJ$505,"&gt;"&amp;$A112,実績!$AK$6:$AK$505,"○")&gt;0,1,0))</f>
        <v>0</v>
      </c>
      <c r="M112" s="39" t="n">
        <f aca="false">IF(M$4=0,0,IF(COUNTIFS(実績!$W$6:$W$505,M$3,実績!$AI$6:$AI$505,"&lt;="&amp;$A112,実績!$AJ$6:$AJ$505,"&gt;"&amp;$A112,実績!$AK$6:$AK$505,"○")&gt;0,1,0))</f>
        <v>0</v>
      </c>
      <c r="N112" s="39" t="n">
        <f aca="false">IF(N$4=0,0,IF(COUNTIFS(実績!$W$6:$W$505,N$3,実績!$AI$6:$AI$505,"&lt;="&amp;$A112,実績!$AJ$6:$AJ$505,"&gt;"&amp;$A112,実績!$AK$6:$AK$505,"○")&gt;0,1,0))</f>
        <v>0</v>
      </c>
      <c r="O112" s="39" t="n">
        <f aca="false">IF(O$4=0,0,IF(COUNTIFS(実績!$W$6:$W$505,O$3,実績!$AI$6:$AI$505,"&lt;="&amp;$A112,実績!$AJ$6:$AJ$505,"&gt;"&amp;$A112,実績!$AK$6:$AK$505,"○")&gt;0,1,0))</f>
        <v>0</v>
      </c>
      <c r="P112" s="39" t="n">
        <f aca="false">IF(P$4=0,0,IF(COUNTIFS(実績!$W$6:$W$505,P$3,実績!$AI$6:$AI$505,"&lt;="&amp;$A112,実績!$AJ$6:$AJ$505,"&gt;"&amp;$A112,実績!$AK$6:$AK$505,"○")&gt;0,1,0))</f>
        <v>0</v>
      </c>
      <c r="Q112" s="39" t="n">
        <f aca="false">IF(Q$4=0,0,IF(COUNTIFS(実績!$W$6:$W$505,Q$3,実績!$AI$6:$AI$505,"&lt;="&amp;$A112,実績!$AJ$6:$AJ$505,"&gt;"&amp;$A112,実績!$AK$6:$AK$505,"○")&gt;0,1,0))</f>
        <v>0</v>
      </c>
      <c r="R112" s="39" t="n">
        <f aca="false">IF(R$4=0,0,IF(COUNTIFS(実績!$W$6:$W$505,R$3,実績!$AI$6:$AI$505,"&lt;="&amp;$A112,実績!$AJ$6:$AJ$505,"&gt;"&amp;$A112,実績!$AK$6:$AK$505,"○")&gt;0,1,0))</f>
        <v>0</v>
      </c>
      <c r="S112" s="39" t="n">
        <f aca="false">IF(S$4=0,0,IF(COUNTIFS(実績!$W$6:$W$505,S$3,実績!$AI$6:$AI$505,"&lt;="&amp;$A112,実績!$AJ$6:$AJ$505,"&gt;"&amp;$A112,実績!$AK$6:$AK$505,"○")&gt;0,1,0))</f>
        <v>0</v>
      </c>
      <c r="T112" s="39" t="n">
        <f aca="false">IF(T$4=0,0,IF(COUNTIFS(実績!$W$6:$W$505,T$3,実績!$AI$6:$AI$505,"&lt;="&amp;$A112,実績!$AJ$6:$AJ$505,"&gt;"&amp;$A112,実績!$AK$6:$AK$505,"○")&gt;0,1,0))</f>
        <v>0</v>
      </c>
      <c r="U112" s="39" t="n">
        <f aca="false">IF(U$4=0,0,IF(COUNTIFS(実績!$W$6:$W$505,U$3,実績!$AI$6:$AI$505,"&lt;="&amp;$A112,実績!$AJ$6:$AJ$505,"&gt;"&amp;$A112,実績!$AK$6:$AK$505,"○")&gt;0,1,0))</f>
        <v>0</v>
      </c>
      <c r="V112" s="39" t="n">
        <f aca="false">IF(V$4=0,0,IF(COUNTIFS(実績!$W$6:$W$505,V$3,実績!$AI$6:$AI$505,"&lt;="&amp;$A112,実績!$AJ$6:$AJ$505,"&gt;"&amp;$A112,実績!$AK$6:$AK$505,"○")&gt;0,1,0))</f>
        <v>0</v>
      </c>
      <c r="W112" s="39" t="n">
        <f aca="false">IF(W$4=0,0,IF(COUNTIFS(実績!$W$6:$W$505,W$3,実績!$AI$6:$AI$505,"&lt;="&amp;$A112,実績!$AJ$6:$AJ$505,"&gt;"&amp;$A112,実績!$AK$6:$AK$505,"○")&gt;0,1,0))</f>
        <v>0</v>
      </c>
      <c r="X112" s="39" t="n">
        <f aca="false">IF(X$4=0,0,IF(COUNTIFS(実績!$W$6:$W$505,X$3,実績!$AI$6:$AI$505,"&lt;="&amp;$A112,実績!$AJ$6:$AJ$505,"&gt;"&amp;$A112,実績!$AK$6:$AK$505,"○")&gt;0,1,0))</f>
        <v>0</v>
      </c>
      <c r="Y112" s="39" t="n">
        <f aca="false">IF(Y$4=0,0,IF(COUNTIFS(実績!$W$6:$W$505,Y$3,実績!$AI$6:$AI$505,"&lt;="&amp;$A112,実績!$AJ$6:$AJ$505,"&gt;"&amp;$A112,実績!$AK$6:$AK$505,"○")&gt;0,1,0))</f>
        <v>0</v>
      </c>
      <c r="Z112" s="39" t="n">
        <f aca="false">IF(Z$4=0,0,IF(COUNTIFS(実績!$W$6:$W$505,Z$3,実績!$AI$6:$AI$505,"&lt;="&amp;$A112,実績!$AJ$6:$AJ$505,"&gt;"&amp;$A112,実績!$AK$6:$AK$505,"○")&gt;0,1,0))</f>
        <v>0</v>
      </c>
      <c r="AA112" s="39" t="n">
        <f aca="false">IF(AA$4=0,0,IF(COUNTIFS(実績!$W$6:$W$505,AA$3,実績!$AI$6:$AI$505,"&lt;="&amp;$A112,実績!$AJ$6:$AJ$505,"&gt;"&amp;$A112,実績!$AK$6:$AK$505,"○")&gt;0,1,0))</f>
        <v>0</v>
      </c>
      <c r="AB112" s="39" t="n">
        <f aca="false">IF(AB$4=0,0,IF(COUNTIFS(実績!$W$6:$W$505,AB$3,実績!$AI$6:$AI$505,"&lt;="&amp;$A112,実績!$AJ$6:$AJ$505,"&gt;"&amp;$A112,実績!$AK$6:$AK$505,"○")&gt;0,1,0))</f>
        <v>0</v>
      </c>
      <c r="AC112" s="39" t="n">
        <f aca="false">IF(AC$4=0,0,IF(COUNTIFS(実績!$W$6:$W$505,AC$3,実績!$AI$6:$AI$505,"&lt;="&amp;$A112,実績!$AJ$6:$AJ$505,"&gt;"&amp;$A112,実績!$AK$6:$AK$505,"○")&gt;0,1,0))</f>
        <v>0</v>
      </c>
      <c r="AD112" s="39" t="n">
        <f aca="false">IF(AD$4=0,0,IF(COUNTIFS(実績!$W$6:$W$505,AD$3,実績!$AI$6:$AI$505,"&lt;="&amp;$A112,実績!$AJ$6:$AJ$505,"&gt;"&amp;$A112,実績!$AK$6:$AK$505,"○")&gt;0,1,0))</f>
        <v>0</v>
      </c>
      <c r="AE112" s="39" t="n">
        <f aca="false">IF(AE$4=0,0,IF(COUNTIFS(実績!$W$6:$W$505,AE$3,実績!$AI$6:$AI$505,"&lt;="&amp;$A112,実績!$AJ$6:$AJ$505,"&gt;"&amp;$A112,実績!$AK$6:$AK$505,"○")&gt;0,1,0))</f>
        <v>0</v>
      </c>
      <c r="AF112" s="39" t="n">
        <f aca="false">IF(AF$4=0,0,IF(COUNTIFS(実績!$W$6:$W$505,AF$3,実績!$AI$6:$AI$505,"&lt;="&amp;$A112,実績!$AJ$6:$AJ$505,"&gt;"&amp;$A112,実績!$AK$6:$AK$505,"○")&gt;0,1,0))</f>
        <v>0</v>
      </c>
      <c r="AG112" s="39" t="n">
        <f aca="false">IF(AG$4=0,0,IF(COUNTIFS(実績!$W$6:$W$505,AG$3,実績!$AI$6:$AI$505,"&lt;="&amp;$A112,実績!$AJ$6:$AJ$505,"&gt;"&amp;$A112,実績!$AK$6:$AK$505,"○")&gt;0,1,0))</f>
        <v>0</v>
      </c>
      <c r="AH112" s="39" t="n">
        <f aca="false">IF(AH$4=0,0,IF(COUNTIFS(実績!$W$6:$W$505,AH$3,実績!$AI$6:$AI$505,"&lt;="&amp;$A112,実績!$AJ$6:$AJ$505,"&gt;"&amp;$A112,実績!$AK$6:$AK$505,"○")&gt;0,1,0))</f>
        <v>0</v>
      </c>
      <c r="AI112" s="39" t="n">
        <f aca="false">IF(AI$4=0,0,IF(COUNTIFS(実績!$W$6:$W$505,AI$3,実績!$AI$6:$AI$505,"&lt;="&amp;$A112,実績!$AJ$6:$AJ$505,"&gt;"&amp;$A112,実績!$AK$6:$AK$505,"○")&gt;0,1,0))</f>
        <v>0</v>
      </c>
      <c r="AJ112" s="39" t="n">
        <f aca="false">IF(AJ$4=0,0,IF(COUNTIFS(実績!$W$6:$W$505,AJ$3,実績!$AI$6:$AI$505,"&lt;="&amp;$A112,実績!$AJ$6:$AJ$505,"&gt;"&amp;$A112,実績!$AK$6:$AK$505,"○")&gt;0,1,0))</f>
        <v>0</v>
      </c>
      <c r="AK112" s="39" t="n">
        <f aca="false">IF(AK$4=0,0,IF(COUNTIFS(実績!$W$6:$W$505,AK$3,実績!$AI$6:$AI$505,"&lt;="&amp;$A112,実績!$AJ$6:$AJ$505,"&gt;"&amp;$A112,実績!$AK$6:$AK$505,"○")&gt;0,1,0))</f>
        <v>0</v>
      </c>
      <c r="AL112" s="39" t="n">
        <f aca="false">IF(AL$4=0,0,IF(COUNTIFS(実績!$W$6:$W$505,AL$3,実績!$AI$6:$AI$505,"&lt;="&amp;$A112,実績!$AJ$6:$AJ$505,"&gt;"&amp;$A112,実績!$AK$6:$AK$505,"○")&gt;0,1,0))</f>
        <v>0</v>
      </c>
      <c r="AM112" s="39" t="n">
        <f aca="false">IF(AM$4=0,0,IF(COUNTIFS(実績!$W$6:$W$505,AM$3,実績!$AI$6:$AI$505,"&lt;="&amp;$A112,実績!$AJ$6:$AJ$505,"&gt;"&amp;$A112,実績!$AK$6:$AK$505,"○")&gt;0,1,0))</f>
        <v>0</v>
      </c>
      <c r="AN112" s="39" t="n">
        <f aca="false">IF(AN$4=0,0,IF(COUNTIFS(実績!$W$6:$W$505,AN$3,実績!$AI$6:$AI$505,"&lt;="&amp;$A112,実績!$AJ$6:$AJ$505,"&gt;"&amp;$A112,実績!$AK$6:$AK$505,"○")&gt;0,1,0))</f>
        <v>0</v>
      </c>
      <c r="AO112" s="39" t="n">
        <f aca="false">IF(AO$4=0,0,IF(COUNTIFS(実績!$W$6:$W$505,AO$3,実績!$AI$6:$AI$505,"&lt;="&amp;$A112,実績!$AJ$6:$AJ$505,"&gt;"&amp;$A112,実績!$AK$6:$AK$505,"○")&gt;0,1,0))</f>
        <v>0</v>
      </c>
      <c r="AP112" s="39" t="n">
        <f aca="false">IF(AP$4=0,0,IF(COUNTIFS(実績!$W$6:$W$505,AP$3,実績!$AI$6:$AI$505,"&lt;="&amp;$A112,実績!$AJ$6:$AJ$505,"&gt;"&amp;$A112,実績!$AK$6:$AK$505,"○")&gt;0,1,0))</f>
        <v>0</v>
      </c>
      <c r="AQ112" s="39" t="n">
        <f aca="false">IF(AQ$4=0,0,IF(COUNTIFS(実績!$W$6:$W$505,AQ$3,実績!$AI$6:$AI$505,"&lt;="&amp;$A112,実績!$AJ$6:$AJ$505,"&gt;"&amp;$A112,実績!$AK$6:$AK$505,"○")&gt;0,1,0))</f>
        <v>0</v>
      </c>
      <c r="AR112" s="39" t="n">
        <f aca="false">IF(AR$4=0,0,IF(COUNTIFS(実績!$W$6:$W$505,AR$3,実績!$AI$6:$AI$505,"&lt;="&amp;$A112,実績!$AJ$6:$AJ$505,"&gt;"&amp;$A112,実績!$AK$6:$AK$505,"○")&gt;0,1,0))</f>
        <v>0</v>
      </c>
      <c r="AS112" s="39" t="n">
        <f aca="false">IF(AS$4=0,0,IF(COUNTIFS(実績!$W$6:$W$505,AS$3,実績!$AI$6:$AI$505,"&lt;="&amp;$A112,実績!$AJ$6:$AJ$505,"&gt;"&amp;$A112,実績!$AK$6:$AK$505,"○")&gt;0,1,0))</f>
        <v>0</v>
      </c>
      <c r="AT112" s="39" t="n">
        <f aca="false">IF(AT$4=0,0,IF(COUNTIFS(実績!$W$6:$W$505,AT$3,実績!$AI$6:$AI$505,"&lt;="&amp;$A112,実績!$AJ$6:$AJ$505,"&gt;"&amp;$A112,実績!$AK$6:$AK$505,"○")&gt;0,1,0))</f>
        <v>0</v>
      </c>
      <c r="AU112" s="39" t="n">
        <f aca="false">IF(AU$4=0,0,IF(COUNTIFS(実績!$W$6:$W$505,AU$3,実績!$AI$6:$AI$505,"&lt;="&amp;$A112,実績!$AJ$6:$AJ$505,"&gt;"&amp;$A112,実績!$AK$6:$AK$505,"○")&gt;0,1,0))</f>
        <v>0</v>
      </c>
      <c r="AV112" s="39" t="n">
        <f aca="false">IF(AV$4=0,0,IF(COUNTIFS(実績!$W$6:$W$505,AV$3,実績!$AI$6:$AI$505,"&lt;="&amp;$A112,実績!$AJ$6:$AJ$505,"&gt;"&amp;$A112,実績!$AK$6:$AK$505,"○")&gt;0,1,0))</f>
        <v>0</v>
      </c>
      <c r="AW112" s="39" t="n">
        <f aca="false">IF(AW$4=0,0,IF(COUNTIFS(実績!$W$6:$W$505,AW$3,実績!$AI$6:$AI$505,"&lt;="&amp;$A112,実績!$AJ$6:$AJ$505,"&gt;"&amp;$A112,実績!$AK$6:$AK$505,"○")&gt;0,1,0))</f>
        <v>0</v>
      </c>
      <c r="AX112" s="39" t="n">
        <f aca="false">IF(AX$4=0,0,IF(COUNTIFS(実績!$W$6:$W$505,AX$3,実績!$AI$6:$AI$505,"&lt;="&amp;$A112,実績!$AJ$6:$AJ$505,"&gt;"&amp;$A112,実績!$AK$6:$AK$505,"○")&gt;0,1,0))</f>
        <v>0</v>
      </c>
      <c r="AY112" s="39" t="n">
        <f aca="false">IF(AY$4=0,0,IF(COUNTIFS(実績!$W$6:$W$505,AY$3,実績!$AI$6:$AI$505,"&lt;="&amp;$A112,実績!$AJ$6:$AJ$505,"&gt;"&amp;$A112,実績!$AK$6:$AK$505,"○")&gt;0,1,0))</f>
        <v>0</v>
      </c>
      <c r="AZ112" s="39" t="n">
        <f aca="false">IF(AZ$4=0,0,IF(COUNTIFS(実績!$W$6:$W$505,AZ$3,実績!$AI$6:$AI$505,"&lt;="&amp;$A112,実績!$AJ$6:$AJ$505,"&gt;"&amp;$A112,実績!$AK$6:$AK$505,"○")&gt;0,1,0))</f>
        <v>0</v>
      </c>
      <c r="BA112" s="39" t="n">
        <f aca="false">IF(BA$4=0,0,IF(COUNTIFS(実績!$W$6:$W$505,BA$3,実績!$AI$6:$AI$505,"&lt;="&amp;$A112,実績!$AJ$6:$AJ$505,"&gt;"&amp;$A112,実績!$AK$6:$AK$505,"○")&gt;0,1,0))</f>
        <v>0</v>
      </c>
      <c r="BB112" s="39" t="n">
        <f aca="false">IF(BB$4=0,0,IF(COUNTIFS(実績!$W$6:$W$505,BB$3,実績!$AI$6:$AI$505,"&lt;="&amp;$A112,実績!$AJ$6:$AJ$505,"&gt;"&amp;$A112,実績!$AK$6:$AK$505,"○")&gt;0,1,0))</f>
        <v>0</v>
      </c>
      <c r="BC112" s="39" t="n">
        <f aca="false">IF(BC$4=0,0,IF(COUNTIFS(実績!$W$6:$W$505,BC$3,実績!$AI$6:$AI$505,"&lt;="&amp;$A112,実績!$AJ$6:$AJ$505,"&gt;"&amp;$A112,実績!$AK$6:$AK$505,"○")&gt;0,1,0))</f>
        <v>0</v>
      </c>
      <c r="BD112" s="39" t="n">
        <f aca="false">IF(BD$4=0,0,IF(COUNTIFS(実績!$W$6:$W$505,BD$3,実績!$AI$6:$AI$505,"&lt;="&amp;$A112,実績!$AJ$6:$AJ$505,"&gt;"&amp;$A112,実績!$AK$6:$AK$505,"○")&gt;0,1,0))</f>
        <v>0</v>
      </c>
      <c r="BE112" s="39" t="n">
        <f aca="false">IF(BE$4=0,0,IF(COUNTIFS(実績!$W$6:$W$505,BE$3,実績!$AI$6:$AI$505,"&lt;="&amp;$A112,実績!$AJ$6:$AJ$505,"&gt;"&amp;$A112,実績!$AK$6:$AK$505,"○")&gt;0,1,0))</f>
        <v>0</v>
      </c>
      <c r="BF112" s="39" t="n">
        <f aca="false">IF(BF$4=0,0,IF(COUNTIFS(実績!$W$6:$W$505,BF$3,実績!$AI$6:$AI$505,"&lt;="&amp;$A112,実績!$AJ$6:$AJ$505,"&gt;"&amp;$A112,実績!$AK$6:$AK$505,"○")&gt;0,1,0))</f>
        <v>0</v>
      </c>
      <c r="BG112" s="39" t="n">
        <f aca="false">IF(BG$4=0,0,IF(COUNTIFS(実績!$W$6:$W$505,BG$3,実績!$AI$6:$AI$505,"&lt;="&amp;$A112,実績!$AJ$6:$AJ$505,"&gt;"&amp;$A112,実績!$AK$6:$AK$505,"○")&gt;0,1,0))</f>
        <v>0</v>
      </c>
      <c r="BH112" s="39" t="n">
        <f aca="false">IF(BH$4=0,0,IF(COUNTIFS(実績!$W$6:$W$505,BH$3,実績!$AI$6:$AI$505,"&lt;="&amp;$A112,実績!$AJ$6:$AJ$505,"&gt;"&amp;$A112,実績!$AK$6:$AK$505,"○")&gt;0,1,0))</f>
        <v>0</v>
      </c>
      <c r="BI112" s="39" t="n">
        <f aca="false">IF(BI$4=0,0,IF(COUNTIFS(実績!$W$6:$W$505,BI$3,実績!$AI$6:$AI$505,"&lt;="&amp;$A112,実績!$AJ$6:$AJ$505,"&gt;"&amp;$A112,実績!$AK$6:$AK$505,"○")&gt;0,1,0))</f>
        <v>0</v>
      </c>
      <c r="BJ112" s="39" t="n">
        <f aca="false">IF(BJ$4=0,0,IF(COUNTIFS(実績!$W$6:$W$505,BJ$3,実績!$AI$6:$AI$505,"&lt;="&amp;$A112,実績!$AJ$6:$AJ$505,"&gt;"&amp;$A112,実績!$AK$6:$AK$505,"○")&gt;0,1,0))</f>
        <v>0</v>
      </c>
      <c r="BK112" s="39" t="n">
        <f aca="false">IF(BK$4=0,0,IF(COUNTIFS(実績!$W$6:$W$505,BK$3,実績!$AI$6:$AI$505,"&lt;="&amp;$A112,実績!$AJ$6:$AJ$505,"&gt;"&amp;$A112,実績!$AK$6:$AK$505,"○")&gt;0,1,0))</f>
        <v>0</v>
      </c>
      <c r="BL112" s="39" t="n">
        <f aca="false">IF(BL$4=0,0,IF(COUNTIFS(実績!$W$6:$W$505,BL$3,実績!$AI$6:$AI$505,"&lt;="&amp;$A112,実績!$AJ$6:$AJ$505,"&gt;"&amp;$A112,実績!$AK$6:$AK$505,"○")&gt;0,1,0))</f>
        <v>0</v>
      </c>
      <c r="BM112" s="39" t="n">
        <f aca="false">IF(BM$4=0,0,IF(COUNTIFS(実績!$W$6:$W$505,BM$3,実績!$AI$6:$AI$505,"&lt;="&amp;$A112,実績!$AJ$6:$AJ$505,"&gt;"&amp;$A112,実績!$AK$6:$AK$505,"○")&gt;0,1,0))</f>
        <v>0</v>
      </c>
      <c r="BN112" s="39" t="n">
        <f aca="false">IF(BN$4=0,0,IF(COUNTIFS(実績!$W$6:$W$505,BN$3,実績!$AI$6:$AI$505,"&lt;="&amp;$A112,実績!$AJ$6:$AJ$505,"&gt;"&amp;$A112,実績!$AK$6:$AK$505,"○")&gt;0,1,0))</f>
        <v>0</v>
      </c>
      <c r="BO112" s="39" t="n">
        <f aca="false">IF(BO$4=0,0,IF(COUNTIFS(実績!$W$6:$W$505,BO$3,実績!$AI$6:$AI$505,"&lt;="&amp;$A112,実績!$AJ$6:$AJ$505,"&gt;"&amp;$A112,実績!$AK$6:$AK$505,"○")&gt;0,1,0))</f>
        <v>0</v>
      </c>
      <c r="BP112" s="39" t="n">
        <f aca="false">IF(BP$4=0,0,IF(COUNTIFS(実績!$W$6:$W$505,BP$3,実績!$AI$6:$AI$505,"&lt;="&amp;$A112,実績!$AJ$6:$AJ$505,"&gt;"&amp;$A112,実績!$AK$6:$AK$505,"○")&gt;0,1,0))</f>
        <v>0</v>
      </c>
      <c r="BQ112" s="39" t="n">
        <f aca="false">IF(BQ$4=0,0,IF(COUNTIFS(実績!$W$6:$W$505,BQ$3,実績!$AI$6:$AI$505,"&lt;="&amp;$A112,実績!$AJ$6:$AJ$505,"&gt;"&amp;$A112,実績!$AK$6:$AK$505,"○")&gt;0,1,0))</f>
        <v>0</v>
      </c>
      <c r="BR112" s="39" t="n">
        <f aca="false">IF(BR$4=0,0,IF(COUNTIFS(実績!$W$6:$W$505,BR$3,実績!$AI$6:$AI$505,"&lt;="&amp;$A112,実績!$AJ$6:$AJ$505,"&gt;"&amp;$A112,実績!$AK$6:$AK$505,"○")&gt;0,1,0))</f>
        <v>0</v>
      </c>
      <c r="BS112" s="39" t="n">
        <f aca="false">IF(BS$4=0,0,IF(COUNTIFS(実績!$W$6:$W$505,BS$3,実績!$AI$6:$AI$505,"&lt;="&amp;$A112,実績!$AJ$6:$AJ$505,"&gt;"&amp;$A112,実績!$AK$6:$AK$505,"○")&gt;0,1,0))</f>
        <v>0</v>
      </c>
      <c r="BT112" s="39" t="n">
        <f aca="false">IF(BT$4=0,0,IF(COUNTIFS(実績!$W$6:$W$505,BT$3,実績!$AI$6:$AI$505,"&lt;="&amp;$A112,実績!$AJ$6:$AJ$505,"&gt;"&amp;$A112,実績!$AK$6:$AK$505,"○")&gt;0,1,0))</f>
        <v>0</v>
      </c>
      <c r="BU112" s="39" t="n">
        <f aca="false">IF(BU$4=0,0,IF(COUNTIFS(実績!$W$6:$W$505,BU$3,実績!$AI$6:$AI$505,"&lt;="&amp;$A112,実績!$AJ$6:$AJ$505,"&gt;"&amp;$A112,実績!$AK$6:$AK$505,"○")&gt;0,1,0))</f>
        <v>0</v>
      </c>
      <c r="BV112" s="39" t="n">
        <f aca="false">IF(BV$4=0,0,IF(COUNTIFS(実績!$W$6:$W$505,BV$3,実績!$AI$6:$AI$505,"&lt;="&amp;$A112,実績!$AJ$6:$AJ$505,"&gt;"&amp;$A112,実績!$AK$6:$AK$505,"○")&gt;0,1,0))</f>
        <v>0</v>
      </c>
      <c r="BW112" s="39" t="n">
        <f aca="false">IF(BW$4=0,0,IF(COUNTIFS(実績!$W$6:$W$505,BW$3,実績!$AI$6:$AI$505,"&lt;="&amp;$A112,実績!$AJ$6:$AJ$505,"&gt;"&amp;$A112,実績!$AK$6:$AK$505,"○")&gt;0,1,0))</f>
        <v>0</v>
      </c>
      <c r="BX112" s="39" t="n">
        <f aca="false">IF(BX$4=0,0,IF(COUNTIFS(実績!$W$6:$W$505,BX$3,実績!$AI$6:$AI$505,"&lt;="&amp;$A112,実績!$AJ$6:$AJ$505,"&gt;"&amp;$A112,実績!$AK$6:$AK$505,"○")&gt;0,1,0))</f>
        <v>0</v>
      </c>
      <c r="BY112" s="39" t="n">
        <f aca="false">IF(BY$4=0,0,IF(COUNTIFS(実績!$W$6:$W$505,BY$3,実績!$AI$6:$AI$505,"&lt;="&amp;$A112,実績!$AJ$6:$AJ$505,"&gt;"&amp;$A112,実績!$AK$6:$AK$505,"○")&gt;0,1,0))</f>
        <v>0</v>
      </c>
      <c r="BZ112" s="39" t="n">
        <f aca="false">IF(BZ$4=0,0,IF(COUNTIFS(実績!$W$6:$W$505,BZ$3,実績!$AI$6:$AI$505,"&lt;="&amp;$A112,実績!$AJ$6:$AJ$505,"&gt;"&amp;$A112,実績!$AK$6:$AK$505,"○")&gt;0,1,0))</f>
        <v>0</v>
      </c>
      <c r="CA112" s="39" t="n">
        <f aca="false">IF(CA$4=0,0,IF(COUNTIFS(実績!$W$6:$W$505,CA$3,実績!$AI$6:$AI$505,"&lt;="&amp;$A112,実績!$AJ$6:$AJ$505,"&gt;"&amp;$A112,実績!$AK$6:$AK$505,"○")&gt;0,1,0))</f>
        <v>0</v>
      </c>
      <c r="CB112" s="39" t="n">
        <f aca="false">IF(CB$4=0,0,IF(COUNTIFS(実績!$W$6:$W$505,CB$3,実績!$AI$6:$AI$505,"&lt;="&amp;$A112,実績!$AJ$6:$AJ$505,"&gt;"&amp;$A112,実績!$AK$6:$AK$505,"○")&gt;0,1,0))</f>
        <v>0</v>
      </c>
      <c r="CC112" s="39" t="n">
        <f aca="false">IF(CC$4=0,0,IF(COUNTIFS(実績!$W$6:$W$505,CC$3,実績!$AI$6:$AI$505,"&lt;="&amp;$A112,実績!$AJ$6:$AJ$505,"&gt;"&amp;$A112,実績!$AK$6:$AK$505,"○")&gt;0,1,0))</f>
        <v>0</v>
      </c>
      <c r="CD112" s="39" t="n">
        <f aca="false">IF(CD$4=0,0,IF(COUNTIFS(実績!$W$6:$W$505,CD$3,実績!$AI$6:$AI$505,"&lt;="&amp;$A112,実績!$AJ$6:$AJ$505,"&gt;"&amp;$A112,実績!$AK$6:$AK$505,"○")&gt;0,1,0))</f>
        <v>0</v>
      </c>
      <c r="CE112" s="39" t="n">
        <f aca="false">IF(CE$4=0,0,IF(COUNTIFS(実績!$W$6:$W$505,CE$3,実績!$AI$6:$AI$505,"&lt;="&amp;$A112,実績!$AJ$6:$AJ$505,"&gt;"&amp;$A112,実績!$AK$6:$AK$505,"○")&gt;0,1,0))</f>
        <v>0</v>
      </c>
      <c r="CF112" s="39" t="n">
        <f aca="false">IF(CF$4=0,0,IF(COUNTIFS(実績!$W$6:$W$505,CF$3,実績!$AI$6:$AI$505,"&lt;="&amp;$A112,実績!$AJ$6:$AJ$505,"&gt;"&amp;$A112,実績!$AK$6:$AK$505,"○")&gt;0,1,0))</f>
        <v>0</v>
      </c>
      <c r="CG112" s="39" t="n">
        <f aca="false">IF(CG$4=0,0,IF(COUNTIFS(実績!$W$6:$W$505,CG$3,実績!$AI$6:$AI$505,"&lt;="&amp;$A112,実績!$AJ$6:$AJ$505,"&gt;"&amp;$A112,実績!$AK$6:$AK$505,"○")&gt;0,1,0))</f>
        <v>0</v>
      </c>
      <c r="CH112" s="39" t="n">
        <f aca="false">IF(CH$4=0,0,IF(COUNTIFS(実績!$W$6:$W$505,CH$3,実績!$AI$6:$AI$505,"&lt;="&amp;$A112,実績!$AJ$6:$AJ$505,"&gt;"&amp;$A112,実績!$AK$6:$AK$505,"○")&gt;0,1,0))</f>
        <v>0</v>
      </c>
      <c r="CI112" s="39" t="n">
        <f aca="false">IF(CI$4=0,0,IF(COUNTIFS(実績!$W$6:$W$505,CI$3,実績!$AI$6:$AI$505,"&lt;="&amp;$A112,実績!$AJ$6:$AJ$505,"&gt;"&amp;$A112,実績!$AK$6:$AK$505,"○")&gt;0,1,0))</f>
        <v>0</v>
      </c>
      <c r="CJ112" s="39" t="n">
        <f aca="false">IF(CJ$4=0,0,IF(COUNTIFS(実績!$W$6:$W$505,CJ$3,実績!$AI$6:$AI$505,"&lt;="&amp;$A112,実績!$AJ$6:$AJ$505,"&gt;"&amp;$A112,実績!$AK$6:$AK$505,"○")&gt;0,1,0))</f>
        <v>0</v>
      </c>
      <c r="CK112" s="39" t="n">
        <f aca="false">IF(CK$4=0,0,IF(COUNTIFS(実績!$W$6:$W$505,CK$3,実績!$AI$6:$AI$505,"&lt;="&amp;$A112,実績!$AJ$6:$AJ$505,"&gt;"&amp;$A112,実績!$AK$6:$AK$505,"○")&gt;0,1,0))</f>
        <v>0</v>
      </c>
      <c r="CL112" s="39" t="n">
        <f aca="false">IF(CL$4=0,0,IF(COUNTIFS(実績!$W$6:$W$505,CL$3,実績!$AI$6:$AI$505,"&lt;="&amp;$A112,実績!$AJ$6:$AJ$505,"&gt;"&amp;$A112,実績!$AK$6:$AK$505,"○")&gt;0,1,0))</f>
        <v>0</v>
      </c>
      <c r="CM112" s="39" t="n">
        <f aca="false">IF(CM$4=0,0,IF(COUNTIFS(実績!$W$6:$W$505,CM$3,実績!$AI$6:$AI$505,"&lt;="&amp;$A112,実績!$AJ$6:$AJ$505,"&gt;"&amp;$A112,実績!$AK$6:$AK$505,"○")&gt;0,1,0))</f>
        <v>0</v>
      </c>
      <c r="CN112" s="39" t="n">
        <f aca="false">IF(CN$4=0,0,IF(COUNTIFS(実績!$W$6:$W$505,CN$3,実績!$AI$6:$AI$505,"&lt;="&amp;$A112,実績!$AJ$6:$AJ$505,"&gt;"&amp;$A112,実績!$AK$6:$AK$505,"○")&gt;0,1,0))</f>
        <v>0</v>
      </c>
      <c r="CO112" s="39" t="n">
        <f aca="false">IF(CO$4=0,0,IF(COUNTIFS(実績!$W$6:$W$505,CO$3,実績!$AI$6:$AI$505,"&lt;="&amp;$A112,実績!$AJ$6:$AJ$505,"&gt;"&amp;$A112,実績!$AK$6:$AK$505,"○")&gt;0,1,0))</f>
        <v>0</v>
      </c>
      <c r="CP112" s="39" t="n">
        <f aca="false">IF(CP$4=0,0,IF(COUNTIFS(実績!$W$6:$W$505,CP$3,実績!$AI$6:$AI$505,"&lt;="&amp;$A112,実績!$AJ$6:$AJ$505,"&gt;"&amp;$A112,実績!$AK$6:$AK$505,"○")&gt;0,1,0))</f>
        <v>0</v>
      </c>
      <c r="CQ112" s="39" t="n">
        <f aca="false">IF(CQ$4=0,0,IF(COUNTIFS(実績!$W$6:$W$505,CQ$3,実績!$AI$6:$AI$505,"&lt;="&amp;$A112,実績!$AJ$6:$AJ$505,"&gt;"&amp;$A112,実績!$AK$6:$AK$505,"○")&gt;0,1,0))</f>
        <v>0</v>
      </c>
      <c r="CR112" s="39" t="n">
        <f aca="false">IF(CR$4=0,0,IF(COUNTIFS(実績!$W$6:$W$505,CR$3,実績!$AI$6:$AI$505,"&lt;="&amp;$A112,実績!$AJ$6:$AJ$505,"&gt;"&amp;$A112,実績!$AK$6:$AK$505,"○")&gt;0,1,0))</f>
        <v>0</v>
      </c>
      <c r="CS112" s="39" t="n">
        <f aca="false">IF(CS$4=0,0,IF(COUNTIFS(実績!$W$6:$W$505,CS$3,実績!$AI$6:$AI$505,"&lt;="&amp;$A112,実績!$AJ$6:$AJ$505,"&gt;"&amp;$A112,実績!$AK$6:$AK$505,"○")&gt;0,1,0))</f>
        <v>0</v>
      </c>
      <c r="CT112" s="39" t="n">
        <f aca="false">IF(CT$4=0,0,IF(COUNTIFS(実績!$W$6:$W$505,CT$3,実績!$AI$6:$AI$505,"&lt;="&amp;$A112,実績!$AJ$6:$AJ$505,"&gt;"&amp;$A112,実績!$AK$6:$AK$505,"○")&gt;0,1,0))</f>
        <v>0</v>
      </c>
      <c r="CU112" s="39" t="n">
        <f aca="false">IF(CU$4=0,0,IF(COUNTIFS(実績!$W$6:$W$505,CU$3,実績!$AI$6:$AI$505,"&lt;="&amp;$A112,実績!$AJ$6:$AJ$505,"&gt;"&amp;$A112,実績!$AK$6:$AK$505,"○")&gt;0,1,0))</f>
        <v>0</v>
      </c>
      <c r="CV112" s="39" t="n">
        <f aca="false">IF(CV$4=0,0,IF(COUNTIFS(実績!$W$6:$W$505,CV$3,実績!$AI$6:$AI$505,"&lt;="&amp;$A112,実績!$AJ$6:$AJ$505,"&gt;"&amp;$A112,実績!$AK$6:$AK$505,"○")&gt;0,1,0))</f>
        <v>0</v>
      </c>
      <c r="CW112" s="39" t="n">
        <f aca="false">IF(CW$4=0,0,IF(COUNTIFS(実績!$W$6:$W$505,CW$3,実績!$AI$6:$AI$505,"&lt;="&amp;$A112,実績!$AJ$6:$AJ$505,"&gt;"&amp;$A112,実績!$AK$6:$AK$505,"○")&gt;0,1,0))</f>
        <v>0</v>
      </c>
      <c r="CX112" s="39" t="n">
        <f aca="false">IF(CX$4=0,0,IF(COUNTIFS(実績!$W$6:$W$505,CX$3,実績!$AI$6:$AI$505,"&lt;="&amp;$A112,実績!$AJ$6:$AJ$505,"&gt;"&amp;$A112,実績!$AK$6:$AK$505,"○")&gt;0,1,0))</f>
        <v>0</v>
      </c>
      <c r="CY112" s="39" t="n">
        <f aca="false">IF(CY$4=0,0,IF(COUNTIFS(実績!$W$6:$W$505,CY$3,実績!$AI$6:$AI$505,"&lt;="&amp;$A112,実績!$AJ$6:$AJ$505,"&gt;"&amp;$A112,実績!$AK$6:$AK$505,"○")&gt;0,1,0))</f>
        <v>0</v>
      </c>
      <c r="CZ112" s="39" t="n">
        <f aca="false">IF(CZ$4=0,0,IF(COUNTIFS(実績!$W$6:$W$505,CZ$3,実績!$AI$6:$AI$505,"&lt;="&amp;$A112,実績!$AJ$6:$AJ$505,"&gt;"&amp;$A112,実績!$AK$6:$AK$505,"○")&gt;0,1,0))</f>
        <v>0</v>
      </c>
      <c r="DA112" s="39" t="n">
        <f aca="false">IF(DA$4=0,0,IF(COUNTIFS(実績!$W$6:$W$505,DA$3,実績!$AI$6:$AI$505,"&lt;="&amp;$A112,実績!$AJ$6:$AJ$505,"&gt;"&amp;$A112,実績!$AK$6:$AK$505,"○")&gt;0,1,0))</f>
        <v>0</v>
      </c>
      <c r="DB112" s="39" t="n">
        <f aca="false">IF(DB$4=0,0,IF(COUNTIFS(実績!$W$6:$W$505,DB$3,実績!$AI$6:$AI$505,"&lt;="&amp;$A112,実績!$AJ$6:$AJ$505,"&gt;"&amp;$A112,実績!$AK$6:$AK$505,"○")&gt;0,1,0))</f>
        <v>0</v>
      </c>
      <c r="DC112" s="39" t="n">
        <f aca="false">IF(DC$4=0,0,IF(COUNTIFS(実績!$W$6:$W$505,DC$3,実績!$AI$6:$AI$505,"&lt;="&amp;$A112,実績!$AJ$6:$AJ$505,"&gt;"&amp;$A112,実績!$AK$6:$AK$505,"○")&gt;0,1,0))</f>
        <v>0</v>
      </c>
      <c r="DD112" s="39" t="n">
        <f aca="false">IF(DD$4=0,0,IF(COUNTIFS(実績!$W$6:$W$505,DD$3,実績!$AI$6:$AI$505,"&lt;="&amp;$A112,実績!$AJ$6:$AJ$505,"&gt;"&amp;$A112,実績!$AK$6:$AK$505,"○")&gt;0,1,0))</f>
        <v>0</v>
      </c>
      <c r="DE112" s="39" t="n">
        <f aca="false">IF(DE$4=0,0,IF(COUNTIFS(実績!$W$6:$W$505,DE$3,実績!$AI$6:$AI$505,"&lt;="&amp;$A112,実績!$AJ$6:$AJ$505,"&gt;"&amp;$A112,実績!$AK$6:$AK$505,"○")&gt;0,1,0))</f>
        <v>0</v>
      </c>
      <c r="DF112" s="39" t="n">
        <f aca="false">IF(DF$4=0,0,IF(COUNTIFS(実績!$W$6:$W$505,DF$3,実績!$AI$6:$AI$505,"&lt;="&amp;$A112,実績!$AJ$6:$AJ$505,"&gt;"&amp;$A112,実績!$AK$6:$AK$505,"○")&gt;0,1,0))</f>
        <v>0</v>
      </c>
      <c r="DG112" s="39" t="n">
        <f aca="false">IF(DG$4=0,0,IF(COUNTIFS(実績!$W$6:$W$505,DG$3,実績!$AI$6:$AI$505,"&lt;="&amp;$A112,実績!$AJ$6:$AJ$505,"&gt;"&amp;$A112,実績!$AK$6:$AK$505,"○")&gt;0,1,0))</f>
        <v>0</v>
      </c>
      <c r="DH112" s="39" t="n">
        <f aca="false">IF(DH$4=0,0,IF(COUNTIFS(実績!$W$6:$W$505,DH$3,実績!$AI$6:$AI$505,"&lt;="&amp;$A112,実績!$AJ$6:$AJ$505,"&gt;"&amp;$A112,実績!$AK$6:$AK$505,"○")&gt;0,1,0))</f>
        <v>0</v>
      </c>
      <c r="DI112" s="39" t="n">
        <f aca="false">IF(DI$4=0,0,IF(COUNTIFS(実績!$W$6:$W$505,DI$3,実績!$AI$6:$AI$505,"&lt;="&amp;$A112,実績!$AJ$6:$AJ$505,"&gt;"&amp;$A112,実績!$AK$6:$AK$505,"○")&gt;0,1,0))</f>
        <v>0</v>
      </c>
      <c r="DJ112" s="39" t="n">
        <f aca="false">IF(DJ$4=0,0,IF(COUNTIFS(実績!$W$6:$W$505,DJ$3,実績!$AI$6:$AI$505,"&lt;="&amp;$A112,実績!$AJ$6:$AJ$505,"&gt;"&amp;$A112,実績!$AK$6:$AK$505,"○")&gt;0,1,0))</f>
        <v>0</v>
      </c>
      <c r="DK112" s="39" t="n">
        <f aca="false">IF(DK$4=0,0,IF(COUNTIFS(実績!$W$6:$W$505,DK$3,実績!$AI$6:$AI$505,"&lt;="&amp;$A112,実績!$AJ$6:$AJ$505,"&gt;"&amp;$A112,実績!$AK$6:$AK$505,"○")&gt;0,1,0))</f>
        <v>0</v>
      </c>
      <c r="DL112" s="39" t="n">
        <f aca="false">IF(DL$4=0,0,IF(COUNTIFS(実績!$W$6:$W$505,DL$3,実績!$AI$6:$AI$505,"&lt;="&amp;$A112,実績!$AJ$6:$AJ$505,"&gt;"&amp;$A112,実績!$AK$6:$AK$505,"○")&gt;0,1,0))</f>
        <v>0</v>
      </c>
      <c r="DM112" s="39" t="n">
        <f aca="false">IF(DM$4=0,0,IF(COUNTIFS(実績!$W$6:$W$505,DM$3,実績!$AI$6:$AI$505,"&lt;="&amp;$A112,実績!$AJ$6:$AJ$505,"&gt;"&amp;$A112,実績!$AK$6:$AK$505,"○")&gt;0,1,0))</f>
        <v>0</v>
      </c>
      <c r="DN112" s="39" t="n">
        <f aca="false">IF(DN$4=0,0,IF(COUNTIFS(実績!$W$6:$W$505,DN$3,実績!$AI$6:$AI$505,"&lt;="&amp;$A112,実績!$AJ$6:$AJ$505,"&gt;"&amp;$A112,実績!$AK$6:$AK$505,"○")&gt;0,1,0))</f>
        <v>0</v>
      </c>
      <c r="DO112" s="39" t="n">
        <f aca="false">IF(DO$4=0,0,IF(COUNTIFS(実績!$W$6:$W$505,DO$3,実績!$AI$6:$AI$505,"&lt;="&amp;$A112,実績!$AJ$6:$AJ$505,"&gt;"&amp;$A112,実績!$AK$6:$AK$505,"○")&gt;0,1,0))</f>
        <v>0</v>
      </c>
      <c r="DP112" s="39" t="n">
        <f aca="false">IF(DP$4=0,0,IF(COUNTIFS(実績!$W$6:$W$505,DP$3,実績!$AI$6:$AI$505,"&lt;="&amp;$A112,実績!$AJ$6:$AJ$505,"&gt;"&amp;$A112,実績!$AK$6:$AK$505,"○")&gt;0,1,0))</f>
        <v>0</v>
      </c>
      <c r="DQ112" s="39" t="n">
        <f aca="false">IF(DQ$4=0,0,IF(COUNTIFS(実績!$W$6:$W$505,DQ$3,実績!$AI$6:$AI$505,"&lt;="&amp;$A112,実績!$AJ$6:$AJ$505,"&gt;"&amp;$A112,実績!$AK$6:$AK$505,"○")&gt;0,1,0))</f>
        <v>0</v>
      </c>
      <c r="DR112" s="39" t="n">
        <f aca="false">IF(DR$4=0,0,IF(COUNTIFS(実績!$W$6:$W$505,DR$3,実績!$AI$6:$AI$505,"&lt;="&amp;$A112,実績!$AJ$6:$AJ$505,"&gt;"&amp;$A112,実績!$AK$6:$AK$505,"○")&gt;0,1,0))</f>
        <v>0</v>
      </c>
      <c r="DS112" s="39" t="n">
        <f aca="false">SUM(C112:DR112)</f>
        <v>0</v>
      </c>
      <c r="DT112" s="39" t="n">
        <f aca="false">SUMPRODUCT((実績!$C$6:$C$505="○")*ISNUMBER(実績!$AM$6:$AM$505)*(実績!$AM$6:$AM$505&lt;=$A112)*(実績!$AN$6:$AN$505&gt;$A112))</f>
        <v>0</v>
      </c>
      <c r="DU112" s="39" t="n">
        <f aca="false">SUMIF($C$2:$DR$2,"製鉄曳船",C112:DR112)</f>
        <v>0</v>
      </c>
      <c r="DV112" s="39" t="n">
        <f aca="false">SUMIF($C$2:$DR$2,"西日本海運",C112:DR112)</f>
        <v>0</v>
      </c>
    </row>
    <row r="113" customFormat="false" ht="15" hidden="false" customHeight="false" outlineLevel="0" collapsed="false">
      <c r="A113" s="0" t="n">
        <v>535</v>
      </c>
      <c r="B113" s="38" t="n">
        <f aca="false">A113/1440</f>
        <v>0.371527777777778</v>
      </c>
      <c r="C113" s="39" t="n">
        <f aca="false">IF(C$4=0,0,IF(COUNTIFS(実績!$W$6:$W$505,C$3,実績!$AI$6:$AI$505,"&lt;="&amp;$A113,実績!$AJ$6:$AJ$505,"&gt;"&amp;$A113,実績!$AK$6:$AK$505,"○")&gt;0,1,0))</f>
        <v>0</v>
      </c>
      <c r="D113" s="39" t="n">
        <f aca="false">IF(D$4=0,0,IF(COUNTIFS(実績!$W$6:$W$505,D$3,実績!$AI$6:$AI$505,"&lt;="&amp;$A113,実績!$AJ$6:$AJ$505,"&gt;"&amp;$A113,実績!$AK$6:$AK$505,"○")&gt;0,1,0))</f>
        <v>0</v>
      </c>
      <c r="E113" s="39" t="n">
        <f aca="false">IF(E$4=0,0,IF(COUNTIFS(実績!$W$6:$W$505,E$3,実績!$AI$6:$AI$505,"&lt;="&amp;$A113,実績!$AJ$6:$AJ$505,"&gt;"&amp;$A113,実績!$AK$6:$AK$505,"○")&gt;0,1,0))</f>
        <v>0</v>
      </c>
      <c r="F113" s="39" t="n">
        <f aca="false">IF(F$4=0,0,IF(COUNTIFS(実績!$W$6:$W$505,F$3,実績!$AI$6:$AI$505,"&lt;="&amp;$A113,実績!$AJ$6:$AJ$505,"&gt;"&amp;$A113,実績!$AK$6:$AK$505,"○")&gt;0,1,0))</f>
        <v>0</v>
      </c>
      <c r="G113" s="39" t="n">
        <f aca="false">IF(G$4=0,0,IF(COUNTIFS(実績!$W$6:$W$505,G$3,実績!$AI$6:$AI$505,"&lt;="&amp;$A113,実績!$AJ$6:$AJ$505,"&gt;"&amp;$A113,実績!$AK$6:$AK$505,"○")&gt;0,1,0))</f>
        <v>0</v>
      </c>
      <c r="H113" s="39" t="n">
        <f aca="false">IF(H$4=0,0,IF(COUNTIFS(実績!$W$6:$W$505,H$3,実績!$AI$6:$AI$505,"&lt;="&amp;$A113,実績!$AJ$6:$AJ$505,"&gt;"&amp;$A113,実績!$AK$6:$AK$505,"○")&gt;0,1,0))</f>
        <v>0</v>
      </c>
      <c r="I113" s="39" t="n">
        <f aca="false">IF(I$4=0,0,IF(COUNTIFS(実績!$W$6:$W$505,I$3,実績!$AI$6:$AI$505,"&lt;="&amp;$A113,実績!$AJ$6:$AJ$505,"&gt;"&amp;$A113,実績!$AK$6:$AK$505,"○")&gt;0,1,0))</f>
        <v>0</v>
      </c>
      <c r="J113" s="39" t="n">
        <f aca="false">IF(J$4=0,0,IF(COUNTIFS(実績!$W$6:$W$505,J$3,実績!$AI$6:$AI$505,"&lt;="&amp;$A113,実績!$AJ$6:$AJ$505,"&gt;"&amp;$A113,実績!$AK$6:$AK$505,"○")&gt;0,1,0))</f>
        <v>0</v>
      </c>
      <c r="K113" s="39" t="n">
        <f aca="false">IF(K$4=0,0,IF(COUNTIFS(実績!$W$6:$W$505,K$3,実績!$AI$6:$AI$505,"&lt;="&amp;$A113,実績!$AJ$6:$AJ$505,"&gt;"&amp;$A113,実績!$AK$6:$AK$505,"○")&gt;0,1,0))</f>
        <v>0</v>
      </c>
      <c r="L113" s="39" t="n">
        <f aca="false">IF(L$4=0,0,IF(COUNTIFS(実績!$W$6:$W$505,L$3,実績!$AI$6:$AI$505,"&lt;="&amp;$A113,実績!$AJ$6:$AJ$505,"&gt;"&amp;$A113,実績!$AK$6:$AK$505,"○")&gt;0,1,0))</f>
        <v>0</v>
      </c>
      <c r="M113" s="39" t="n">
        <f aca="false">IF(M$4=0,0,IF(COUNTIFS(実績!$W$6:$W$505,M$3,実績!$AI$6:$AI$505,"&lt;="&amp;$A113,実績!$AJ$6:$AJ$505,"&gt;"&amp;$A113,実績!$AK$6:$AK$505,"○")&gt;0,1,0))</f>
        <v>0</v>
      </c>
      <c r="N113" s="39" t="n">
        <f aca="false">IF(N$4=0,0,IF(COUNTIFS(実績!$W$6:$W$505,N$3,実績!$AI$6:$AI$505,"&lt;="&amp;$A113,実績!$AJ$6:$AJ$505,"&gt;"&amp;$A113,実績!$AK$6:$AK$505,"○")&gt;0,1,0))</f>
        <v>0</v>
      </c>
      <c r="O113" s="39" t="n">
        <f aca="false">IF(O$4=0,0,IF(COUNTIFS(実績!$W$6:$W$505,O$3,実績!$AI$6:$AI$505,"&lt;="&amp;$A113,実績!$AJ$6:$AJ$505,"&gt;"&amp;$A113,実績!$AK$6:$AK$505,"○")&gt;0,1,0))</f>
        <v>0</v>
      </c>
      <c r="P113" s="39" t="n">
        <f aca="false">IF(P$4=0,0,IF(COUNTIFS(実績!$W$6:$W$505,P$3,実績!$AI$6:$AI$505,"&lt;="&amp;$A113,実績!$AJ$6:$AJ$505,"&gt;"&amp;$A113,実績!$AK$6:$AK$505,"○")&gt;0,1,0))</f>
        <v>0</v>
      </c>
      <c r="Q113" s="39" t="n">
        <f aca="false">IF(Q$4=0,0,IF(COUNTIFS(実績!$W$6:$W$505,Q$3,実績!$AI$6:$AI$505,"&lt;="&amp;$A113,実績!$AJ$6:$AJ$505,"&gt;"&amp;$A113,実績!$AK$6:$AK$505,"○")&gt;0,1,0))</f>
        <v>0</v>
      </c>
      <c r="R113" s="39" t="n">
        <f aca="false">IF(R$4=0,0,IF(COUNTIFS(実績!$W$6:$W$505,R$3,実績!$AI$6:$AI$505,"&lt;="&amp;$A113,実績!$AJ$6:$AJ$505,"&gt;"&amp;$A113,実績!$AK$6:$AK$505,"○")&gt;0,1,0))</f>
        <v>0</v>
      </c>
      <c r="S113" s="39" t="n">
        <f aca="false">IF(S$4=0,0,IF(COUNTIFS(実績!$W$6:$W$505,S$3,実績!$AI$6:$AI$505,"&lt;="&amp;$A113,実績!$AJ$6:$AJ$505,"&gt;"&amp;$A113,実績!$AK$6:$AK$505,"○")&gt;0,1,0))</f>
        <v>0</v>
      </c>
      <c r="T113" s="39" t="n">
        <f aca="false">IF(T$4=0,0,IF(COUNTIFS(実績!$W$6:$W$505,T$3,実績!$AI$6:$AI$505,"&lt;="&amp;$A113,実績!$AJ$6:$AJ$505,"&gt;"&amp;$A113,実績!$AK$6:$AK$505,"○")&gt;0,1,0))</f>
        <v>0</v>
      </c>
      <c r="U113" s="39" t="n">
        <f aca="false">IF(U$4=0,0,IF(COUNTIFS(実績!$W$6:$W$505,U$3,実績!$AI$6:$AI$505,"&lt;="&amp;$A113,実績!$AJ$6:$AJ$505,"&gt;"&amp;$A113,実績!$AK$6:$AK$505,"○")&gt;0,1,0))</f>
        <v>0</v>
      </c>
      <c r="V113" s="39" t="n">
        <f aca="false">IF(V$4=0,0,IF(COUNTIFS(実績!$W$6:$W$505,V$3,実績!$AI$6:$AI$505,"&lt;="&amp;$A113,実績!$AJ$6:$AJ$505,"&gt;"&amp;$A113,実績!$AK$6:$AK$505,"○")&gt;0,1,0))</f>
        <v>0</v>
      </c>
      <c r="W113" s="39" t="n">
        <f aca="false">IF(W$4=0,0,IF(COUNTIFS(実績!$W$6:$W$505,W$3,実績!$AI$6:$AI$505,"&lt;="&amp;$A113,実績!$AJ$6:$AJ$505,"&gt;"&amp;$A113,実績!$AK$6:$AK$505,"○")&gt;0,1,0))</f>
        <v>0</v>
      </c>
      <c r="X113" s="39" t="n">
        <f aca="false">IF(X$4=0,0,IF(COUNTIFS(実績!$W$6:$W$505,X$3,実績!$AI$6:$AI$505,"&lt;="&amp;$A113,実績!$AJ$6:$AJ$505,"&gt;"&amp;$A113,実績!$AK$6:$AK$505,"○")&gt;0,1,0))</f>
        <v>0</v>
      </c>
      <c r="Y113" s="39" t="n">
        <f aca="false">IF(Y$4=0,0,IF(COUNTIFS(実績!$W$6:$W$505,Y$3,実績!$AI$6:$AI$505,"&lt;="&amp;$A113,実績!$AJ$6:$AJ$505,"&gt;"&amp;$A113,実績!$AK$6:$AK$505,"○")&gt;0,1,0))</f>
        <v>0</v>
      </c>
      <c r="Z113" s="39" t="n">
        <f aca="false">IF(Z$4=0,0,IF(COUNTIFS(実績!$W$6:$W$505,Z$3,実績!$AI$6:$AI$505,"&lt;="&amp;$A113,実績!$AJ$6:$AJ$505,"&gt;"&amp;$A113,実績!$AK$6:$AK$505,"○")&gt;0,1,0))</f>
        <v>0</v>
      </c>
      <c r="AA113" s="39" t="n">
        <f aca="false">IF(AA$4=0,0,IF(COUNTIFS(実績!$W$6:$W$505,AA$3,実績!$AI$6:$AI$505,"&lt;="&amp;$A113,実績!$AJ$6:$AJ$505,"&gt;"&amp;$A113,実績!$AK$6:$AK$505,"○")&gt;0,1,0))</f>
        <v>0</v>
      </c>
      <c r="AB113" s="39" t="n">
        <f aca="false">IF(AB$4=0,0,IF(COUNTIFS(実績!$W$6:$W$505,AB$3,実績!$AI$6:$AI$505,"&lt;="&amp;$A113,実績!$AJ$6:$AJ$505,"&gt;"&amp;$A113,実績!$AK$6:$AK$505,"○")&gt;0,1,0))</f>
        <v>0</v>
      </c>
      <c r="AC113" s="39" t="n">
        <f aca="false">IF(AC$4=0,0,IF(COUNTIFS(実績!$W$6:$W$505,AC$3,実績!$AI$6:$AI$505,"&lt;="&amp;$A113,実績!$AJ$6:$AJ$505,"&gt;"&amp;$A113,実績!$AK$6:$AK$505,"○")&gt;0,1,0))</f>
        <v>0</v>
      </c>
      <c r="AD113" s="39" t="n">
        <f aca="false">IF(AD$4=0,0,IF(COUNTIFS(実績!$W$6:$W$505,AD$3,実績!$AI$6:$AI$505,"&lt;="&amp;$A113,実績!$AJ$6:$AJ$505,"&gt;"&amp;$A113,実績!$AK$6:$AK$505,"○")&gt;0,1,0))</f>
        <v>0</v>
      </c>
      <c r="AE113" s="39" t="n">
        <f aca="false">IF(AE$4=0,0,IF(COUNTIFS(実績!$W$6:$W$505,AE$3,実績!$AI$6:$AI$505,"&lt;="&amp;$A113,実績!$AJ$6:$AJ$505,"&gt;"&amp;$A113,実績!$AK$6:$AK$505,"○")&gt;0,1,0))</f>
        <v>0</v>
      </c>
      <c r="AF113" s="39" t="n">
        <f aca="false">IF(AF$4=0,0,IF(COUNTIFS(実績!$W$6:$W$505,AF$3,実績!$AI$6:$AI$505,"&lt;="&amp;$A113,実績!$AJ$6:$AJ$505,"&gt;"&amp;$A113,実績!$AK$6:$AK$505,"○")&gt;0,1,0))</f>
        <v>0</v>
      </c>
      <c r="AG113" s="39" t="n">
        <f aca="false">IF(AG$4=0,0,IF(COUNTIFS(実績!$W$6:$W$505,AG$3,実績!$AI$6:$AI$505,"&lt;="&amp;$A113,実績!$AJ$6:$AJ$505,"&gt;"&amp;$A113,実績!$AK$6:$AK$505,"○")&gt;0,1,0))</f>
        <v>0</v>
      </c>
      <c r="AH113" s="39" t="n">
        <f aca="false">IF(AH$4=0,0,IF(COUNTIFS(実績!$W$6:$W$505,AH$3,実績!$AI$6:$AI$505,"&lt;="&amp;$A113,実績!$AJ$6:$AJ$505,"&gt;"&amp;$A113,実績!$AK$6:$AK$505,"○")&gt;0,1,0))</f>
        <v>0</v>
      </c>
      <c r="AI113" s="39" t="n">
        <f aca="false">IF(AI$4=0,0,IF(COUNTIFS(実績!$W$6:$W$505,AI$3,実績!$AI$6:$AI$505,"&lt;="&amp;$A113,実績!$AJ$6:$AJ$505,"&gt;"&amp;$A113,実績!$AK$6:$AK$505,"○")&gt;0,1,0))</f>
        <v>0</v>
      </c>
      <c r="AJ113" s="39" t="n">
        <f aca="false">IF(AJ$4=0,0,IF(COUNTIFS(実績!$W$6:$W$505,AJ$3,実績!$AI$6:$AI$505,"&lt;="&amp;$A113,実績!$AJ$6:$AJ$505,"&gt;"&amp;$A113,実績!$AK$6:$AK$505,"○")&gt;0,1,0))</f>
        <v>0</v>
      </c>
      <c r="AK113" s="39" t="n">
        <f aca="false">IF(AK$4=0,0,IF(COUNTIFS(実績!$W$6:$W$505,AK$3,実績!$AI$6:$AI$505,"&lt;="&amp;$A113,実績!$AJ$6:$AJ$505,"&gt;"&amp;$A113,実績!$AK$6:$AK$505,"○")&gt;0,1,0))</f>
        <v>0</v>
      </c>
      <c r="AL113" s="39" t="n">
        <f aca="false">IF(AL$4=0,0,IF(COUNTIFS(実績!$W$6:$W$505,AL$3,実績!$AI$6:$AI$505,"&lt;="&amp;$A113,実績!$AJ$6:$AJ$505,"&gt;"&amp;$A113,実績!$AK$6:$AK$505,"○")&gt;0,1,0))</f>
        <v>0</v>
      </c>
      <c r="AM113" s="39" t="n">
        <f aca="false">IF(AM$4=0,0,IF(COUNTIFS(実績!$W$6:$W$505,AM$3,実績!$AI$6:$AI$505,"&lt;="&amp;$A113,実績!$AJ$6:$AJ$505,"&gt;"&amp;$A113,実績!$AK$6:$AK$505,"○")&gt;0,1,0))</f>
        <v>0</v>
      </c>
      <c r="AN113" s="39" t="n">
        <f aca="false">IF(AN$4=0,0,IF(COUNTIFS(実績!$W$6:$W$505,AN$3,実績!$AI$6:$AI$505,"&lt;="&amp;$A113,実績!$AJ$6:$AJ$505,"&gt;"&amp;$A113,実績!$AK$6:$AK$505,"○")&gt;0,1,0))</f>
        <v>0</v>
      </c>
      <c r="AO113" s="39" t="n">
        <f aca="false">IF(AO$4=0,0,IF(COUNTIFS(実績!$W$6:$W$505,AO$3,実績!$AI$6:$AI$505,"&lt;="&amp;$A113,実績!$AJ$6:$AJ$505,"&gt;"&amp;$A113,実績!$AK$6:$AK$505,"○")&gt;0,1,0))</f>
        <v>0</v>
      </c>
      <c r="AP113" s="39" t="n">
        <f aca="false">IF(AP$4=0,0,IF(COUNTIFS(実績!$W$6:$W$505,AP$3,実績!$AI$6:$AI$505,"&lt;="&amp;$A113,実績!$AJ$6:$AJ$505,"&gt;"&amp;$A113,実績!$AK$6:$AK$505,"○")&gt;0,1,0))</f>
        <v>0</v>
      </c>
      <c r="AQ113" s="39" t="n">
        <f aca="false">IF(AQ$4=0,0,IF(COUNTIFS(実績!$W$6:$W$505,AQ$3,実績!$AI$6:$AI$505,"&lt;="&amp;$A113,実績!$AJ$6:$AJ$505,"&gt;"&amp;$A113,実績!$AK$6:$AK$505,"○")&gt;0,1,0))</f>
        <v>0</v>
      </c>
      <c r="AR113" s="39" t="n">
        <f aca="false">IF(AR$4=0,0,IF(COUNTIFS(実績!$W$6:$W$505,AR$3,実績!$AI$6:$AI$505,"&lt;="&amp;$A113,実績!$AJ$6:$AJ$505,"&gt;"&amp;$A113,実績!$AK$6:$AK$505,"○")&gt;0,1,0))</f>
        <v>0</v>
      </c>
      <c r="AS113" s="39" t="n">
        <f aca="false">IF(AS$4=0,0,IF(COUNTIFS(実績!$W$6:$W$505,AS$3,実績!$AI$6:$AI$505,"&lt;="&amp;$A113,実績!$AJ$6:$AJ$505,"&gt;"&amp;$A113,実績!$AK$6:$AK$505,"○")&gt;0,1,0))</f>
        <v>0</v>
      </c>
      <c r="AT113" s="39" t="n">
        <f aca="false">IF(AT$4=0,0,IF(COUNTIFS(実績!$W$6:$W$505,AT$3,実績!$AI$6:$AI$505,"&lt;="&amp;$A113,実績!$AJ$6:$AJ$505,"&gt;"&amp;$A113,実績!$AK$6:$AK$505,"○")&gt;0,1,0))</f>
        <v>0</v>
      </c>
      <c r="AU113" s="39" t="n">
        <f aca="false">IF(AU$4=0,0,IF(COUNTIFS(実績!$W$6:$W$505,AU$3,実績!$AI$6:$AI$505,"&lt;="&amp;$A113,実績!$AJ$6:$AJ$505,"&gt;"&amp;$A113,実績!$AK$6:$AK$505,"○")&gt;0,1,0))</f>
        <v>0</v>
      </c>
      <c r="AV113" s="39" t="n">
        <f aca="false">IF(AV$4=0,0,IF(COUNTIFS(実績!$W$6:$W$505,AV$3,実績!$AI$6:$AI$505,"&lt;="&amp;$A113,実績!$AJ$6:$AJ$505,"&gt;"&amp;$A113,実績!$AK$6:$AK$505,"○")&gt;0,1,0))</f>
        <v>0</v>
      </c>
      <c r="AW113" s="39" t="n">
        <f aca="false">IF(AW$4=0,0,IF(COUNTIFS(実績!$W$6:$W$505,AW$3,実績!$AI$6:$AI$505,"&lt;="&amp;$A113,実績!$AJ$6:$AJ$505,"&gt;"&amp;$A113,実績!$AK$6:$AK$505,"○")&gt;0,1,0))</f>
        <v>0</v>
      </c>
      <c r="AX113" s="39" t="n">
        <f aca="false">IF(AX$4=0,0,IF(COUNTIFS(実績!$W$6:$W$505,AX$3,実績!$AI$6:$AI$505,"&lt;="&amp;$A113,実績!$AJ$6:$AJ$505,"&gt;"&amp;$A113,実績!$AK$6:$AK$505,"○")&gt;0,1,0))</f>
        <v>0</v>
      </c>
      <c r="AY113" s="39" t="n">
        <f aca="false">IF(AY$4=0,0,IF(COUNTIFS(実績!$W$6:$W$505,AY$3,実績!$AI$6:$AI$505,"&lt;="&amp;$A113,実績!$AJ$6:$AJ$505,"&gt;"&amp;$A113,実績!$AK$6:$AK$505,"○")&gt;0,1,0))</f>
        <v>0</v>
      </c>
      <c r="AZ113" s="39" t="n">
        <f aca="false">IF(AZ$4=0,0,IF(COUNTIFS(実績!$W$6:$W$505,AZ$3,実績!$AI$6:$AI$505,"&lt;="&amp;$A113,実績!$AJ$6:$AJ$505,"&gt;"&amp;$A113,実績!$AK$6:$AK$505,"○")&gt;0,1,0))</f>
        <v>0</v>
      </c>
      <c r="BA113" s="39" t="n">
        <f aca="false">IF(BA$4=0,0,IF(COUNTIFS(実績!$W$6:$W$505,BA$3,実績!$AI$6:$AI$505,"&lt;="&amp;$A113,実績!$AJ$6:$AJ$505,"&gt;"&amp;$A113,実績!$AK$6:$AK$505,"○")&gt;0,1,0))</f>
        <v>0</v>
      </c>
      <c r="BB113" s="39" t="n">
        <f aca="false">IF(BB$4=0,0,IF(COUNTIFS(実績!$W$6:$W$505,BB$3,実績!$AI$6:$AI$505,"&lt;="&amp;$A113,実績!$AJ$6:$AJ$505,"&gt;"&amp;$A113,実績!$AK$6:$AK$505,"○")&gt;0,1,0))</f>
        <v>0</v>
      </c>
      <c r="BC113" s="39" t="n">
        <f aca="false">IF(BC$4=0,0,IF(COUNTIFS(実績!$W$6:$W$505,BC$3,実績!$AI$6:$AI$505,"&lt;="&amp;$A113,実績!$AJ$6:$AJ$505,"&gt;"&amp;$A113,実績!$AK$6:$AK$505,"○")&gt;0,1,0))</f>
        <v>0</v>
      </c>
      <c r="BD113" s="39" t="n">
        <f aca="false">IF(BD$4=0,0,IF(COUNTIFS(実績!$W$6:$W$505,BD$3,実績!$AI$6:$AI$505,"&lt;="&amp;$A113,実績!$AJ$6:$AJ$505,"&gt;"&amp;$A113,実績!$AK$6:$AK$505,"○")&gt;0,1,0))</f>
        <v>0</v>
      </c>
      <c r="BE113" s="39" t="n">
        <f aca="false">IF(BE$4=0,0,IF(COUNTIFS(実績!$W$6:$W$505,BE$3,実績!$AI$6:$AI$505,"&lt;="&amp;$A113,実績!$AJ$6:$AJ$505,"&gt;"&amp;$A113,実績!$AK$6:$AK$505,"○")&gt;0,1,0))</f>
        <v>0</v>
      </c>
      <c r="BF113" s="39" t="n">
        <f aca="false">IF(BF$4=0,0,IF(COUNTIFS(実績!$W$6:$W$505,BF$3,実績!$AI$6:$AI$505,"&lt;="&amp;$A113,実績!$AJ$6:$AJ$505,"&gt;"&amp;$A113,実績!$AK$6:$AK$505,"○")&gt;0,1,0))</f>
        <v>0</v>
      </c>
      <c r="BG113" s="39" t="n">
        <f aca="false">IF(BG$4=0,0,IF(COUNTIFS(実績!$W$6:$W$505,BG$3,実績!$AI$6:$AI$505,"&lt;="&amp;$A113,実績!$AJ$6:$AJ$505,"&gt;"&amp;$A113,実績!$AK$6:$AK$505,"○")&gt;0,1,0))</f>
        <v>0</v>
      </c>
      <c r="BH113" s="39" t="n">
        <f aca="false">IF(BH$4=0,0,IF(COUNTIFS(実績!$W$6:$W$505,BH$3,実績!$AI$6:$AI$505,"&lt;="&amp;$A113,実績!$AJ$6:$AJ$505,"&gt;"&amp;$A113,実績!$AK$6:$AK$505,"○")&gt;0,1,0))</f>
        <v>0</v>
      </c>
      <c r="BI113" s="39" t="n">
        <f aca="false">IF(BI$4=0,0,IF(COUNTIFS(実績!$W$6:$W$505,BI$3,実績!$AI$6:$AI$505,"&lt;="&amp;$A113,実績!$AJ$6:$AJ$505,"&gt;"&amp;$A113,実績!$AK$6:$AK$505,"○")&gt;0,1,0))</f>
        <v>0</v>
      </c>
      <c r="BJ113" s="39" t="n">
        <f aca="false">IF(BJ$4=0,0,IF(COUNTIFS(実績!$W$6:$W$505,BJ$3,実績!$AI$6:$AI$505,"&lt;="&amp;$A113,実績!$AJ$6:$AJ$505,"&gt;"&amp;$A113,実績!$AK$6:$AK$505,"○")&gt;0,1,0))</f>
        <v>0</v>
      </c>
      <c r="BK113" s="39" t="n">
        <f aca="false">IF(BK$4=0,0,IF(COUNTIFS(実績!$W$6:$W$505,BK$3,実績!$AI$6:$AI$505,"&lt;="&amp;$A113,実績!$AJ$6:$AJ$505,"&gt;"&amp;$A113,実績!$AK$6:$AK$505,"○")&gt;0,1,0))</f>
        <v>0</v>
      </c>
      <c r="BL113" s="39" t="n">
        <f aca="false">IF(BL$4=0,0,IF(COUNTIFS(実績!$W$6:$W$505,BL$3,実績!$AI$6:$AI$505,"&lt;="&amp;$A113,実績!$AJ$6:$AJ$505,"&gt;"&amp;$A113,実績!$AK$6:$AK$505,"○")&gt;0,1,0))</f>
        <v>0</v>
      </c>
      <c r="BM113" s="39" t="n">
        <f aca="false">IF(BM$4=0,0,IF(COUNTIFS(実績!$W$6:$W$505,BM$3,実績!$AI$6:$AI$505,"&lt;="&amp;$A113,実績!$AJ$6:$AJ$505,"&gt;"&amp;$A113,実績!$AK$6:$AK$505,"○")&gt;0,1,0))</f>
        <v>0</v>
      </c>
      <c r="BN113" s="39" t="n">
        <f aca="false">IF(BN$4=0,0,IF(COUNTIFS(実績!$W$6:$W$505,BN$3,実績!$AI$6:$AI$505,"&lt;="&amp;$A113,実績!$AJ$6:$AJ$505,"&gt;"&amp;$A113,実績!$AK$6:$AK$505,"○")&gt;0,1,0))</f>
        <v>0</v>
      </c>
      <c r="BO113" s="39" t="n">
        <f aca="false">IF(BO$4=0,0,IF(COUNTIFS(実績!$W$6:$W$505,BO$3,実績!$AI$6:$AI$505,"&lt;="&amp;$A113,実績!$AJ$6:$AJ$505,"&gt;"&amp;$A113,実績!$AK$6:$AK$505,"○")&gt;0,1,0))</f>
        <v>0</v>
      </c>
      <c r="BP113" s="39" t="n">
        <f aca="false">IF(BP$4=0,0,IF(COUNTIFS(実績!$W$6:$W$505,BP$3,実績!$AI$6:$AI$505,"&lt;="&amp;$A113,実績!$AJ$6:$AJ$505,"&gt;"&amp;$A113,実績!$AK$6:$AK$505,"○")&gt;0,1,0))</f>
        <v>0</v>
      </c>
      <c r="BQ113" s="39" t="n">
        <f aca="false">IF(BQ$4=0,0,IF(COUNTIFS(実績!$W$6:$W$505,BQ$3,実績!$AI$6:$AI$505,"&lt;="&amp;$A113,実績!$AJ$6:$AJ$505,"&gt;"&amp;$A113,実績!$AK$6:$AK$505,"○")&gt;0,1,0))</f>
        <v>0</v>
      </c>
      <c r="BR113" s="39" t="n">
        <f aca="false">IF(BR$4=0,0,IF(COUNTIFS(実績!$W$6:$W$505,BR$3,実績!$AI$6:$AI$505,"&lt;="&amp;$A113,実績!$AJ$6:$AJ$505,"&gt;"&amp;$A113,実績!$AK$6:$AK$505,"○")&gt;0,1,0))</f>
        <v>0</v>
      </c>
      <c r="BS113" s="39" t="n">
        <f aca="false">IF(BS$4=0,0,IF(COUNTIFS(実績!$W$6:$W$505,BS$3,実績!$AI$6:$AI$505,"&lt;="&amp;$A113,実績!$AJ$6:$AJ$505,"&gt;"&amp;$A113,実績!$AK$6:$AK$505,"○")&gt;0,1,0))</f>
        <v>0</v>
      </c>
      <c r="BT113" s="39" t="n">
        <f aca="false">IF(BT$4=0,0,IF(COUNTIFS(実績!$W$6:$W$505,BT$3,実績!$AI$6:$AI$505,"&lt;="&amp;$A113,実績!$AJ$6:$AJ$505,"&gt;"&amp;$A113,実績!$AK$6:$AK$505,"○")&gt;0,1,0))</f>
        <v>0</v>
      </c>
      <c r="BU113" s="39" t="n">
        <f aca="false">IF(BU$4=0,0,IF(COUNTIFS(実績!$W$6:$W$505,BU$3,実績!$AI$6:$AI$505,"&lt;="&amp;$A113,実績!$AJ$6:$AJ$505,"&gt;"&amp;$A113,実績!$AK$6:$AK$505,"○")&gt;0,1,0))</f>
        <v>0</v>
      </c>
      <c r="BV113" s="39" t="n">
        <f aca="false">IF(BV$4=0,0,IF(COUNTIFS(実績!$W$6:$W$505,BV$3,実績!$AI$6:$AI$505,"&lt;="&amp;$A113,実績!$AJ$6:$AJ$505,"&gt;"&amp;$A113,実績!$AK$6:$AK$505,"○")&gt;0,1,0))</f>
        <v>0</v>
      </c>
      <c r="BW113" s="39" t="n">
        <f aca="false">IF(BW$4=0,0,IF(COUNTIFS(実績!$W$6:$W$505,BW$3,実績!$AI$6:$AI$505,"&lt;="&amp;$A113,実績!$AJ$6:$AJ$505,"&gt;"&amp;$A113,実績!$AK$6:$AK$505,"○")&gt;0,1,0))</f>
        <v>0</v>
      </c>
      <c r="BX113" s="39" t="n">
        <f aca="false">IF(BX$4=0,0,IF(COUNTIFS(実績!$W$6:$W$505,BX$3,実績!$AI$6:$AI$505,"&lt;="&amp;$A113,実績!$AJ$6:$AJ$505,"&gt;"&amp;$A113,実績!$AK$6:$AK$505,"○")&gt;0,1,0))</f>
        <v>0</v>
      </c>
      <c r="BY113" s="39" t="n">
        <f aca="false">IF(BY$4=0,0,IF(COUNTIFS(実績!$W$6:$W$505,BY$3,実績!$AI$6:$AI$505,"&lt;="&amp;$A113,実績!$AJ$6:$AJ$505,"&gt;"&amp;$A113,実績!$AK$6:$AK$505,"○")&gt;0,1,0))</f>
        <v>0</v>
      </c>
      <c r="BZ113" s="39" t="n">
        <f aca="false">IF(BZ$4=0,0,IF(COUNTIFS(実績!$W$6:$W$505,BZ$3,実績!$AI$6:$AI$505,"&lt;="&amp;$A113,実績!$AJ$6:$AJ$505,"&gt;"&amp;$A113,実績!$AK$6:$AK$505,"○")&gt;0,1,0))</f>
        <v>0</v>
      </c>
      <c r="CA113" s="39" t="n">
        <f aca="false">IF(CA$4=0,0,IF(COUNTIFS(実績!$W$6:$W$505,CA$3,実績!$AI$6:$AI$505,"&lt;="&amp;$A113,実績!$AJ$6:$AJ$505,"&gt;"&amp;$A113,実績!$AK$6:$AK$505,"○")&gt;0,1,0))</f>
        <v>0</v>
      </c>
      <c r="CB113" s="39" t="n">
        <f aca="false">IF(CB$4=0,0,IF(COUNTIFS(実績!$W$6:$W$505,CB$3,実績!$AI$6:$AI$505,"&lt;="&amp;$A113,実績!$AJ$6:$AJ$505,"&gt;"&amp;$A113,実績!$AK$6:$AK$505,"○")&gt;0,1,0))</f>
        <v>0</v>
      </c>
      <c r="CC113" s="39" t="n">
        <f aca="false">IF(CC$4=0,0,IF(COUNTIFS(実績!$W$6:$W$505,CC$3,実績!$AI$6:$AI$505,"&lt;="&amp;$A113,実績!$AJ$6:$AJ$505,"&gt;"&amp;$A113,実績!$AK$6:$AK$505,"○")&gt;0,1,0))</f>
        <v>0</v>
      </c>
      <c r="CD113" s="39" t="n">
        <f aca="false">IF(CD$4=0,0,IF(COUNTIFS(実績!$W$6:$W$505,CD$3,実績!$AI$6:$AI$505,"&lt;="&amp;$A113,実績!$AJ$6:$AJ$505,"&gt;"&amp;$A113,実績!$AK$6:$AK$505,"○")&gt;0,1,0))</f>
        <v>0</v>
      </c>
      <c r="CE113" s="39" t="n">
        <f aca="false">IF(CE$4=0,0,IF(COUNTIFS(実績!$W$6:$W$505,CE$3,実績!$AI$6:$AI$505,"&lt;="&amp;$A113,実績!$AJ$6:$AJ$505,"&gt;"&amp;$A113,実績!$AK$6:$AK$505,"○")&gt;0,1,0))</f>
        <v>0</v>
      </c>
      <c r="CF113" s="39" t="n">
        <f aca="false">IF(CF$4=0,0,IF(COUNTIFS(実績!$W$6:$W$505,CF$3,実績!$AI$6:$AI$505,"&lt;="&amp;$A113,実績!$AJ$6:$AJ$505,"&gt;"&amp;$A113,実績!$AK$6:$AK$505,"○")&gt;0,1,0))</f>
        <v>0</v>
      </c>
      <c r="CG113" s="39" t="n">
        <f aca="false">IF(CG$4=0,0,IF(COUNTIFS(実績!$W$6:$W$505,CG$3,実績!$AI$6:$AI$505,"&lt;="&amp;$A113,実績!$AJ$6:$AJ$505,"&gt;"&amp;$A113,実績!$AK$6:$AK$505,"○")&gt;0,1,0))</f>
        <v>0</v>
      </c>
      <c r="CH113" s="39" t="n">
        <f aca="false">IF(CH$4=0,0,IF(COUNTIFS(実績!$W$6:$W$505,CH$3,実績!$AI$6:$AI$505,"&lt;="&amp;$A113,実績!$AJ$6:$AJ$505,"&gt;"&amp;$A113,実績!$AK$6:$AK$505,"○")&gt;0,1,0))</f>
        <v>0</v>
      </c>
      <c r="CI113" s="39" t="n">
        <f aca="false">IF(CI$4=0,0,IF(COUNTIFS(実績!$W$6:$W$505,CI$3,実績!$AI$6:$AI$505,"&lt;="&amp;$A113,実績!$AJ$6:$AJ$505,"&gt;"&amp;$A113,実績!$AK$6:$AK$505,"○")&gt;0,1,0))</f>
        <v>0</v>
      </c>
      <c r="CJ113" s="39" t="n">
        <f aca="false">IF(CJ$4=0,0,IF(COUNTIFS(実績!$W$6:$W$505,CJ$3,実績!$AI$6:$AI$505,"&lt;="&amp;$A113,実績!$AJ$6:$AJ$505,"&gt;"&amp;$A113,実績!$AK$6:$AK$505,"○")&gt;0,1,0))</f>
        <v>0</v>
      </c>
      <c r="CK113" s="39" t="n">
        <f aca="false">IF(CK$4=0,0,IF(COUNTIFS(実績!$W$6:$W$505,CK$3,実績!$AI$6:$AI$505,"&lt;="&amp;$A113,実績!$AJ$6:$AJ$505,"&gt;"&amp;$A113,実績!$AK$6:$AK$505,"○")&gt;0,1,0))</f>
        <v>0</v>
      </c>
      <c r="CL113" s="39" t="n">
        <f aca="false">IF(CL$4=0,0,IF(COUNTIFS(実績!$W$6:$W$505,CL$3,実績!$AI$6:$AI$505,"&lt;="&amp;$A113,実績!$AJ$6:$AJ$505,"&gt;"&amp;$A113,実績!$AK$6:$AK$505,"○")&gt;0,1,0))</f>
        <v>0</v>
      </c>
      <c r="CM113" s="39" t="n">
        <f aca="false">IF(CM$4=0,0,IF(COUNTIFS(実績!$W$6:$W$505,CM$3,実績!$AI$6:$AI$505,"&lt;="&amp;$A113,実績!$AJ$6:$AJ$505,"&gt;"&amp;$A113,実績!$AK$6:$AK$505,"○")&gt;0,1,0))</f>
        <v>0</v>
      </c>
      <c r="CN113" s="39" t="n">
        <f aca="false">IF(CN$4=0,0,IF(COUNTIFS(実績!$W$6:$W$505,CN$3,実績!$AI$6:$AI$505,"&lt;="&amp;$A113,実績!$AJ$6:$AJ$505,"&gt;"&amp;$A113,実績!$AK$6:$AK$505,"○")&gt;0,1,0))</f>
        <v>0</v>
      </c>
      <c r="CO113" s="39" t="n">
        <f aca="false">IF(CO$4=0,0,IF(COUNTIFS(実績!$W$6:$W$505,CO$3,実績!$AI$6:$AI$505,"&lt;="&amp;$A113,実績!$AJ$6:$AJ$505,"&gt;"&amp;$A113,実績!$AK$6:$AK$505,"○")&gt;0,1,0))</f>
        <v>0</v>
      </c>
      <c r="CP113" s="39" t="n">
        <f aca="false">IF(CP$4=0,0,IF(COUNTIFS(実績!$W$6:$W$505,CP$3,実績!$AI$6:$AI$505,"&lt;="&amp;$A113,実績!$AJ$6:$AJ$505,"&gt;"&amp;$A113,実績!$AK$6:$AK$505,"○")&gt;0,1,0))</f>
        <v>0</v>
      </c>
      <c r="CQ113" s="39" t="n">
        <f aca="false">IF(CQ$4=0,0,IF(COUNTIFS(実績!$W$6:$W$505,CQ$3,実績!$AI$6:$AI$505,"&lt;="&amp;$A113,実績!$AJ$6:$AJ$505,"&gt;"&amp;$A113,実績!$AK$6:$AK$505,"○")&gt;0,1,0))</f>
        <v>0</v>
      </c>
      <c r="CR113" s="39" t="n">
        <f aca="false">IF(CR$4=0,0,IF(COUNTIFS(実績!$W$6:$W$505,CR$3,実績!$AI$6:$AI$505,"&lt;="&amp;$A113,実績!$AJ$6:$AJ$505,"&gt;"&amp;$A113,実績!$AK$6:$AK$505,"○")&gt;0,1,0))</f>
        <v>0</v>
      </c>
      <c r="CS113" s="39" t="n">
        <f aca="false">IF(CS$4=0,0,IF(COUNTIFS(実績!$W$6:$W$505,CS$3,実績!$AI$6:$AI$505,"&lt;="&amp;$A113,実績!$AJ$6:$AJ$505,"&gt;"&amp;$A113,実績!$AK$6:$AK$505,"○")&gt;0,1,0))</f>
        <v>0</v>
      </c>
      <c r="CT113" s="39" t="n">
        <f aca="false">IF(CT$4=0,0,IF(COUNTIFS(実績!$W$6:$W$505,CT$3,実績!$AI$6:$AI$505,"&lt;="&amp;$A113,実績!$AJ$6:$AJ$505,"&gt;"&amp;$A113,実績!$AK$6:$AK$505,"○")&gt;0,1,0))</f>
        <v>0</v>
      </c>
      <c r="CU113" s="39" t="n">
        <f aca="false">IF(CU$4=0,0,IF(COUNTIFS(実績!$W$6:$W$505,CU$3,実績!$AI$6:$AI$505,"&lt;="&amp;$A113,実績!$AJ$6:$AJ$505,"&gt;"&amp;$A113,実績!$AK$6:$AK$505,"○")&gt;0,1,0))</f>
        <v>0</v>
      </c>
      <c r="CV113" s="39" t="n">
        <f aca="false">IF(CV$4=0,0,IF(COUNTIFS(実績!$W$6:$W$505,CV$3,実績!$AI$6:$AI$505,"&lt;="&amp;$A113,実績!$AJ$6:$AJ$505,"&gt;"&amp;$A113,実績!$AK$6:$AK$505,"○")&gt;0,1,0))</f>
        <v>0</v>
      </c>
      <c r="CW113" s="39" t="n">
        <f aca="false">IF(CW$4=0,0,IF(COUNTIFS(実績!$W$6:$W$505,CW$3,実績!$AI$6:$AI$505,"&lt;="&amp;$A113,実績!$AJ$6:$AJ$505,"&gt;"&amp;$A113,実績!$AK$6:$AK$505,"○")&gt;0,1,0))</f>
        <v>0</v>
      </c>
      <c r="CX113" s="39" t="n">
        <f aca="false">IF(CX$4=0,0,IF(COUNTIFS(実績!$W$6:$W$505,CX$3,実績!$AI$6:$AI$505,"&lt;="&amp;$A113,実績!$AJ$6:$AJ$505,"&gt;"&amp;$A113,実績!$AK$6:$AK$505,"○")&gt;0,1,0))</f>
        <v>0</v>
      </c>
      <c r="CY113" s="39" t="n">
        <f aca="false">IF(CY$4=0,0,IF(COUNTIFS(実績!$W$6:$W$505,CY$3,実績!$AI$6:$AI$505,"&lt;="&amp;$A113,実績!$AJ$6:$AJ$505,"&gt;"&amp;$A113,実績!$AK$6:$AK$505,"○")&gt;0,1,0))</f>
        <v>0</v>
      </c>
      <c r="CZ113" s="39" t="n">
        <f aca="false">IF(CZ$4=0,0,IF(COUNTIFS(実績!$W$6:$W$505,CZ$3,実績!$AI$6:$AI$505,"&lt;="&amp;$A113,実績!$AJ$6:$AJ$505,"&gt;"&amp;$A113,実績!$AK$6:$AK$505,"○")&gt;0,1,0))</f>
        <v>0</v>
      </c>
      <c r="DA113" s="39" t="n">
        <f aca="false">IF(DA$4=0,0,IF(COUNTIFS(実績!$W$6:$W$505,DA$3,実績!$AI$6:$AI$505,"&lt;="&amp;$A113,実績!$AJ$6:$AJ$505,"&gt;"&amp;$A113,実績!$AK$6:$AK$505,"○")&gt;0,1,0))</f>
        <v>0</v>
      </c>
      <c r="DB113" s="39" t="n">
        <f aca="false">IF(DB$4=0,0,IF(COUNTIFS(実績!$W$6:$W$505,DB$3,実績!$AI$6:$AI$505,"&lt;="&amp;$A113,実績!$AJ$6:$AJ$505,"&gt;"&amp;$A113,実績!$AK$6:$AK$505,"○")&gt;0,1,0))</f>
        <v>0</v>
      </c>
      <c r="DC113" s="39" t="n">
        <f aca="false">IF(DC$4=0,0,IF(COUNTIFS(実績!$W$6:$W$505,DC$3,実績!$AI$6:$AI$505,"&lt;="&amp;$A113,実績!$AJ$6:$AJ$505,"&gt;"&amp;$A113,実績!$AK$6:$AK$505,"○")&gt;0,1,0))</f>
        <v>0</v>
      </c>
      <c r="DD113" s="39" t="n">
        <f aca="false">IF(DD$4=0,0,IF(COUNTIFS(実績!$W$6:$W$505,DD$3,実績!$AI$6:$AI$505,"&lt;="&amp;$A113,実績!$AJ$6:$AJ$505,"&gt;"&amp;$A113,実績!$AK$6:$AK$505,"○")&gt;0,1,0))</f>
        <v>0</v>
      </c>
      <c r="DE113" s="39" t="n">
        <f aca="false">IF(DE$4=0,0,IF(COUNTIFS(実績!$W$6:$W$505,DE$3,実績!$AI$6:$AI$505,"&lt;="&amp;$A113,実績!$AJ$6:$AJ$505,"&gt;"&amp;$A113,実績!$AK$6:$AK$505,"○")&gt;0,1,0))</f>
        <v>0</v>
      </c>
      <c r="DF113" s="39" t="n">
        <f aca="false">IF(DF$4=0,0,IF(COUNTIFS(実績!$W$6:$W$505,DF$3,実績!$AI$6:$AI$505,"&lt;="&amp;$A113,実績!$AJ$6:$AJ$505,"&gt;"&amp;$A113,実績!$AK$6:$AK$505,"○")&gt;0,1,0))</f>
        <v>0</v>
      </c>
      <c r="DG113" s="39" t="n">
        <f aca="false">IF(DG$4=0,0,IF(COUNTIFS(実績!$W$6:$W$505,DG$3,実績!$AI$6:$AI$505,"&lt;="&amp;$A113,実績!$AJ$6:$AJ$505,"&gt;"&amp;$A113,実績!$AK$6:$AK$505,"○")&gt;0,1,0))</f>
        <v>0</v>
      </c>
      <c r="DH113" s="39" t="n">
        <f aca="false">IF(DH$4=0,0,IF(COUNTIFS(実績!$W$6:$W$505,DH$3,実績!$AI$6:$AI$505,"&lt;="&amp;$A113,実績!$AJ$6:$AJ$505,"&gt;"&amp;$A113,実績!$AK$6:$AK$505,"○")&gt;0,1,0))</f>
        <v>0</v>
      </c>
      <c r="DI113" s="39" t="n">
        <f aca="false">IF(DI$4=0,0,IF(COUNTIFS(実績!$W$6:$W$505,DI$3,実績!$AI$6:$AI$505,"&lt;="&amp;$A113,実績!$AJ$6:$AJ$505,"&gt;"&amp;$A113,実績!$AK$6:$AK$505,"○")&gt;0,1,0))</f>
        <v>0</v>
      </c>
      <c r="DJ113" s="39" t="n">
        <f aca="false">IF(DJ$4=0,0,IF(COUNTIFS(実績!$W$6:$W$505,DJ$3,実績!$AI$6:$AI$505,"&lt;="&amp;$A113,実績!$AJ$6:$AJ$505,"&gt;"&amp;$A113,実績!$AK$6:$AK$505,"○")&gt;0,1,0))</f>
        <v>0</v>
      </c>
      <c r="DK113" s="39" t="n">
        <f aca="false">IF(DK$4=0,0,IF(COUNTIFS(実績!$W$6:$W$505,DK$3,実績!$AI$6:$AI$505,"&lt;="&amp;$A113,実績!$AJ$6:$AJ$505,"&gt;"&amp;$A113,実績!$AK$6:$AK$505,"○")&gt;0,1,0))</f>
        <v>0</v>
      </c>
      <c r="DL113" s="39" t="n">
        <f aca="false">IF(DL$4=0,0,IF(COUNTIFS(実績!$W$6:$W$505,DL$3,実績!$AI$6:$AI$505,"&lt;="&amp;$A113,実績!$AJ$6:$AJ$505,"&gt;"&amp;$A113,実績!$AK$6:$AK$505,"○")&gt;0,1,0))</f>
        <v>0</v>
      </c>
      <c r="DM113" s="39" t="n">
        <f aca="false">IF(DM$4=0,0,IF(COUNTIFS(実績!$W$6:$W$505,DM$3,実績!$AI$6:$AI$505,"&lt;="&amp;$A113,実績!$AJ$6:$AJ$505,"&gt;"&amp;$A113,実績!$AK$6:$AK$505,"○")&gt;0,1,0))</f>
        <v>0</v>
      </c>
      <c r="DN113" s="39" t="n">
        <f aca="false">IF(DN$4=0,0,IF(COUNTIFS(実績!$W$6:$W$505,DN$3,実績!$AI$6:$AI$505,"&lt;="&amp;$A113,実績!$AJ$6:$AJ$505,"&gt;"&amp;$A113,実績!$AK$6:$AK$505,"○")&gt;0,1,0))</f>
        <v>0</v>
      </c>
      <c r="DO113" s="39" t="n">
        <f aca="false">IF(DO$4=0,0,IF(COUNTIFS(実績!$W$6:$W$505,DO$3,実績!$AI$6:$AI$505,"&lt;="&amp;$A113,実績!$AJ$6:$AJ$505,"&gt;"&amp;$A113,実績!$AK$6:$AK$505,"○")&gt;0,1,0))</f>
        <v>0</v>
      </c>
      <c r="DP113" s="39" t="n">
        <f aca="false">IF(DP$4=0,0,IF(COUNTIFS(実績!$W$6:$W$505,DP$3,実績!$AI$6:$AI$505,"&lt;="&amp;$A113,実績!$AJ$6:$AJ$505,"&gt;"&amp;$A113,実績!$AK$6:$AK$505,"○")&gt;0,1,0))</f>
        <v>0</v>
      </c>
      <c r="DQ113" s="39" t="n">
        <f aca="false">IF(DQ$4=0,0,IF(COUNTIFS(実績!$W$6:$W$505,DQ$3,実績!$AI$6:$AI$505,"&lt;="&amp;$A113,実績!$AJ$6:$AJ$505,"&gt;"&amp;$A113,実績!$AK$6:$AK$505,"○")&gt;0,1,0))</f>
        <v>0</v>
      </c>
      <c r="DR113" s="39" t="n">
        <f aca="false">IF(DR$4=0,0,IF(COUNTIFS(実績!$W$6:$W$505,DR$3,実績!$AI$6:$AI$505,"&lt;="&amp;$A113,実績!$AJ$6:$AJ$505,"&gt;"&amp;$A113,実績!$AK$6:$AK$505,"○")&gt;0,1,0))</f>
        <v>0</v>
      </c>
      <c r="DS113" s="39" t="n">
        <f aca="false">SUM(C113:DR113)</f>
        <v>0</v>
      </c>
      <c r="DT113" s="39" t="n">
        <f aca="false">SUMPRODUCT((実績!$C$6:$C$505="○")*ISNUMBER(実績!$AM$6:$AM$505)*(実績!$AM$6:$AM$505&lt;=$A113)*(実績!$AN$6:$AN$505&gt;$A113))</f>
        <v>0</v>
      </c>
      <c r="DU113" s="39" t="n">
        <f aca="false">SUMIF($C$2:$DR$2,"製鉄曳船",C113:DR113)</f>
        <v>0</v>
      </c>
      <c r="DV113" s="39" t="n">
        <f aca="false">SUMIF($C$2:$DR$2,"西日本海運",C113:DR113)</f>
        <v>0</v>
      </c>
    </row>
    <row r="114" customFormat="false" ht="15" hidden="false" customHeight="false" outlineLevel="0" collapsed="false">
      <c r="A114" s="0" t="n">
        <v>540</v>
      </c>
      <c r="B114" s="38" t="n">
        <f aca="false">A114/1440</f>
        <v>0.375</v>
      </c>
      <c r="C114" s="39" t="n">
        <f aca="false">IF(C$4=0,0,IF(COUNTIFS(実績!$W$6:$W$505,C$3,実績!$AI$6:$AI$505,"&lt;="&amp;$A114,実績!$AJ$6:$AJ$505,"&gt;"&amp;$A114,実績!$AK$6:$AK$505,"○")&gt;0,1,0))</f>
        <v>0</v>
      </c>
      <c r="D114" s="39" t="n">
        <f aca="false">IF(D$4=0,0,IF(COUNTIFS(実績!$W$6:$W$505,D$3,実績!$AI$6:$AI$505,"&lt;="&amp;$A114,実績!$AJ$6:$AJ$505,"&gt;"&amp;$A114,実績!$AK$6:$AK$505,"○")&gt;0,1,0))</f>
        <v>0</v>
      </c>
      <c r="E114" s="39" t="n">
        <f aca="false">IF(E$4=0,0,IF(COUNTIFS(実績!$W$6:$W$505,E$3,実績!$AI$6:$AI$505,"&lt;="&amp;$A114,実績!$AJ$6:$AJ$505,"&gt;"&amp;$A114,実績!$AK$6:$AK$505,"○")&gt;0,1,0))</f>
        <v>0</v>
      </c>
      <c r="F114" s="39" t="n">
        <f aca="false">IF(F$4=0,0,IF(COUNTIFS(実績!$W$6:$W$505,F$3,実績!$AI$6:$AI$505,"&lt;="&amp;$A114,実績!$AJ$6:$AJ$505,"&gt;"&amp;$A114,実績!$AK$6:$AK$505,"○")&gt;0,1,0))</f>
        <v>0</v>
      </c>
      <c r="G114" s="39" t="n">
        <f aca="false">IF(G$4=0,0,IF(COUNTIFS(実績!$W$6:$W$505,G$3,実績!$AI$6:$AI$505,"&lt;="&amp;$A114,実績!$AJ$6:$AJ$505,"&gt;"&amp;$A114,実績!$AK$6:$AK$505,"○")&gt;0,1,0))</f>
        <v>0</v>
      </c>
      <c r="H114" s="39" t="n">
        <f aca="false">IF(H$4=0,0,IF(COUNTIFS(実績!$W$6:$W$505,H$3,実績!$AI$6:$AI$505,"&lt;="&amp;$A114,実績!$AJ$6:$AJ$505,"&gt;"&amp;$A114,実績!$AK$6:$AK$505,"○")&gt;0,1,0))</f>
        <v>0</v>
      </c>
      <c r="I114" s="39" t="n">
        <f aca="false">IF(I$4=0,0,IF(COUNTIFS(実績!$W$6:$W$505,I$3,実績!$AI$6:$AI$505,"&lt;="&amp;$A114,実績!$AJ$6:$AJ$505,"&gt;"&amp;$A114,実績!$AK$6:$AK$505,"○")&gt;0,1,0))</f>
        <v>0</v>
      </c>
      <c r="J114" s="39" t="n">
        <f aca="false">IF(J$4=0,0,IF(COUNTIFS(実績!$W$6:$W$505,J$3,実績!$AI$6:$AI$505,"&lt;="&amp;$A114,実績!$AJ$6:$AJ$505,"&gt;"&amp;$A114,実績!$AK$6:$AK$505,"○")&gt;0,1,0))</f>
        <v>0</v>
      </c>
      <c r="K114" s="39" t="n">
        <f aca="false">IF(K$4=0,0,IF(COUNTIFS(実績!$W$6:$W$505,K$3,実績!$AI$6:$AI$505,"&lt;="&amp;$A114,実績!$AJ$6:$AJ$505,"&gt;"&amp;$A114,実績!$AK$6:$AK$505,"○")&gt;0,1,0))</f>
        <v>0</v>
      </c>
      <c r="L114" s="39" t="n">
        <f aca="false">IF(L$4=0,0,IF(COUNTIFS(実績!$W$6:$W$505,L$3,実績!$AI$6:$AI$505,"&lt;="&amp;$A114,実績!$AJ$6:$AJ$505,"&gt;"&amp;$A114,実績!$AK$6:$AK$505,"○")&gt;0,1,0))</f>
        <v>0</v>
      </c>
      <c r="M114" s="39" t="n">
        <f aca="false">IF(M$4=0,0,IF(COUNTIFS(実績!$W$6:$W$505,M$3,実績!$AI$6:$AI$505,"&lt;="&amp;$A114,実績!$AJ$6:$AJ$505,"&gt;"&amp;$A114,実績!$AK$6:$AK$505,"○")&gt;0,1,0))</f>
        <v>0</v>
      </c>
      <c r="N114" s="39" t="n">
        <f aca="false">IF(N$4=0,0,IF(COUNTIFS(実績!$W$6:$W$505,N$3,実績!$AI$6:$AI$505,"&lt;="&amp;$A114,実績!$AJ$6:$AJ$505,"&gt;"&amp;$A114,実績!$AK$6:$AK$505,"○")&gt;0,1,0))</f>
        <v>0</v>
      </c>
      <c r="O114" s="39" t="n">
        <f aca="false">IF(O$4=0,0,IF(COUNTIFS(実績!$W$6:$W$505,O$3,実績!$AI$6:$AI$505,"&lt;="&amp;$A114,実績!$AJ$6:$AJ$505,"&gt;"&amp;$A114,実績!$AK$6:$AK$505,"○")&gt;0,1,0))</f>
        <v>0</v>
      </c>
      <c r="P114" s="39" t="n">
        <f aca="false">IF(P$4=0,0,IF(COUNTIFS(実績!$W$6:$W$505,P$3,実績!$AI$6:$AI$505,"&lt;="&amp;$A114,実績!$AJ$6:$AJ$505,"&gt;"&amp;$A114,実績!$AK$6:$AK$505,"○")&gt;0,1,0))</f>
        <v>0</v>
      </c>
      <c r="Q114" s="39" t="n">
        <f aca="false">IF(Q$4=0,0,IF(COUNTIFS(実績!$W$6:$W$505,Q$3,実績!$AI$6:$AI$505,"&lt;="&amp;$A114,実績!$AJ$6:$AJ$505,"&gt;"&amp;$A114,実績!$AK$6:$AK$505,"○")&gt;0,1,0))</f>
        <v>0</v>
      </c>
      <c r="R114" s="39" t="n">
        <f aca="false">IF(R$4=0,0,IF(COUNTIFS(実績!$W$6:$W$505,R$3,実績!$AI$6:$AI$505,"&lt;="&amp;$A114,実績!$AJ$6:$AJ$505,"&gt;"&amp;$A114,実績!$AK$6:$AK$505,"○")&gt;0,1,0))</f>
        <v>0</v>
      </c>
      <c r="S114" s="39" t="n">
        <f aca="false">IF(S$4=0,0,IF(COUNTIFS(実績!$W$6:$W$505,S$3,実績!$AI$6:$AI$505,"&lt;="&amp;$A114,実績!$AJ$6:$AJ$505,"&gt;"&amp;$A114,実績!$AK$6:$AK$505,"○")&gt;0,1,0))</f>
        <v>0</v>
      </c>
      <c r="T114" s="39" t="n">
        <f aca="false">IF(T$4=0,0,IF(COUNTIFS(実績!$W$6:$W$505,T$3,実績!$AI$6:$AI$505,"&lt;="&amp;$A114,実績!$AJ$6:$AJ$505,"&gt;"&amp;$A114,実績!$AK$6:$AK$505,"○")&gt;0,1,0))</f>
        <v>0</v>
      </c>
      <c r="U114" s="39" t="n">
        <f aca="false">IF(U$4=0,0,IF(COUNTIFS(実績!$W$6:$W$505,U$3,実績!$AI$6:$AI$505,"&lt;="&amp;$A114,実績!$AJ$6:$AJ$505,"&gt;"&amp;$A114,実績!$AK$6:$AK$505,"○")&gt;0,1,0))</f>
        <v>0</v>
      </c>
      <c r="V114" s="39" t="n">
        <f aca="false">IF(V$4=0,0,IF(COUNTIFS(実績!$W$6:$W$505,V$3,実績!$AI$6:$AI$505,"&lt;="&amp;$A114,実績!$AJ$6:$AJ$505,"&gt;"&amp;$A114,実績!$AK$6:$AK$505,"○")&gt;0,1,0))</f>
        <v>0</v>
      </c>
      <c r="W114" s="39" t="n">
        <f aca="false">IF(W$4=0,0,IF(COUNTIFS(実績!$W$6:$W$505,W$3,実績!$AI$6:$AI$505,"&lt;="&amp;$A114,実績!$AJ$6:$AJ$505,"&gt;"&amp;$A114,実績!$AK$6:$AK$505,"○")&gt;0,1,0))</f>
        <v>0</v>
      </c>
      <c r="X114" s="39" t="n">
        <f aca="false">IF(X$4=0,0,IF(COUNTIFS(実績!$W$6:$W$505,X$3,実績!$AI$6:$AI$505,"&lt;="&amp;$A114,実績!$AJ$6:$AJ$505,"&gt;"&amp;$A114,実績!$AK$6:$AK$505,"○")&gt;0,1,0))</f>
        <v>0</v>
      </c>
      <c r="Y114" s="39" t="n">
        <f aca="false">IF(Y$4=0,0,IF(COUNTIFS(実績!$W$6:$W$505,Y$3,実績!$AI$6:$AI$505,"&lt;="&amp;$A114,実績!$AJ$6:$AJ$505,"&gt;"&amp;$A114,実績!$AK$6:$AK$505,"○")&gt;0,1,0))</f>
        <v>0</v>
      </c>
      <c r="Z114" s="39" t="n">
        <f aca="false">IF(Z$4=0,0,IF(COUNTIFS(実績!$W$6:$W$505,Z$3,実績!$AI$6:$AI$505,"&lt;="&amp;$A114,実績!$AJ$6:$AJ$505,"&gt;"&amp;$A114,実績!$AK$6:$AK$505,"○")&gt;0,1,0))</f>
        <v>0</v>
      </c>
      <c r="AA114" s="39" t="n">
        <f aca="false">IF(AA$4=0,0,IF(COUNTIFS(実績!$W$6:$W$505,AA$3,実績!$AI$6:$AI$505,"&lt;="&amp;$A114,実績!$AJ$6:$AJ$505,"&gt;"&amp;$A114,実績!$AK$6:$AK$505,"○")&gt;0,1,0))</f>
        <v>0</v>
      </c>
      <c r="AB114" s="39" t="n">
        <f aca="false">IF(AB$4=0,0,IF(COUNTIFS(実績!$W$6:$W$505,AB$3,実績!$AI$6:$AI$505,"&lt;="&amp;$A114,実績!$AJ$6:$AJ$505,"&gt;"&amp;$A114,実績!$AK$6:$AK$505,"○")&gt;0,1,0))</f>
        <v>0</v>
      </c>
      <c r="AC114" s="39" t="n">
        <f aca="false">IF(AC$4=0,0,IF(COUNTIFS(実績!$W$6:$W$505,AC$3,実績!$AI$6:$AI$505,"&lt;="&amp;$A114,実績!$AJ$6:$AJ$505,"&gt;"&amp;$A114,実績!$AK$6:$AK$505,"○")&gt;0,1,0))</f>
        <v>0</v>
      </c>
      <c r="AD114" s="39" t="n">
        <f aca="false">IF(AD$4=0,0,IF(COUNTIFS(実績!$W$6:$W$505,AD$3,実績!$AI$6:$AI$505,"&lt;="&amp;$A114,実績!$AJ$6:$AJ$505,"&gt;"&amp;$A114,実績!$AK$6:$AK$505,"○")&gt;0,1,0))</f>
        <v>0</v>
      </c>
      <c r="AE114" s="39" t="n">
        <f aca="false">IF(AE$4=0,0,IF(COUNTIFS(実績!$W$6:$W$505,AE$3,実績!$AI$6:$AI$505,"&lt;="&amp;$A114,実績!$AJ$6:$AJ$505,"&gt;"&amp;$A114,実績!$AK$6:$AK$505,"○")&gt;0,1,0))</f>
        <v>0</v>
      </c>
      <c r="AF114" s="39" t="n">
        <f aca="false">IF(AF$4=0,0,IF(COUNTIFS(実績!$W$6:$W$505,AF$3,実績!$AI$6:$AI$505,"&lt;="&amp;$A114,実績!$AJ$6:$AJ$505,"&gt;"&amp;$A114,実績!$AK$6:$AK$505,"○")&gt;0,1,0))</f>
        <v>0</v>
      </c>
      <c r="AG114" s="39" t="n">
        <f aca="false">IF(AG$4=0,0,IF(COUNTIFS(実績!$W$6:$W$505,AG$3,実績!$AI$6:$AI$505,"&lt;="&amp;$A114,実績!$AJ$6:$AJ$505,"&gt;"&amp;$A114,実績!$AK$6:$AK$505,"○")&gt;0,1,0))</f>
        <v>0</v>
      </c>
      <c r="AH114" s="39" t="n">
        <f aca="false">IF(AH$4=0,0,IF(COUNTIFS(実績!$W$6:$W$505,AH$3,実績!$AI$6:$AI$505,"&lt;="&amp;$A114,実績!$AJ$6:$AJ$505,"&gt;"&amp;$A114,実績!$AK$6:$AK$505,"○")&gt;0,1,0))</f>
        <v>0</v>
      </c>
      <c r="AI114" s="39" t="n">
        <f aca="false">IF(AI$4=0,0,IF(COUNTIFS(実績!$W$6:$W$505,AI$3,実績!$AI$6:$AI$505,"&lt;="&amp;$A114,実績!$AJ$6:$AJ$505,"&gt;"&amp;$A114,実績!$AK$6:$AK$505,"○")&gt;0,1,0))</f>
        <v>0</v>
      </c>
      <c r="AJ114" s="39" t="n">
        <f aca="false">IF(AJ$4=0,0,IF(COUNTIFS(実績!$W$6:$W$505,AJ$3,実績!$AI$6:$AI$505,"&lt;="&amp;$A114,実績!$AJ$6:$AJ$505,"&gt;"&amp;$A114,実績!$AK$6:$AK$505,"○")&gt;0,1,0))</f>
        <v>0</v>
      </c>
      <c r="AK114" s="39" t="n">
        <f aca="false">IF(AK$4=0,0,IF(COUNTIFS(実績!$W$6:$W$505,AK$3,実績!$AI$6:$AI$505,"&lt;="&amp;$A114,実績!$AJ$6:$AJ$505,"&gt;"&amp;$A114,実績!$AK$6:$AK$505,"○")&gt;0,1,0))</f>
        <v>0</v>
      </c>
      <c r="AL114" s="39" t="n">
        <f aca="false">IF(AL$4=0,0,IF(COUNTIFS(実績!$W$6:$W$505,AL$3,実績!$AI$6:$AI$505,"&lt;="&amp;$A114,実績!$AJ$6:$AJ$505,"&gt;"&amp;$A114,実績!$AK$6:$AK$505,"○")&gt;0,1,0))</f>
        <v>0</v>
      </c>
      <c r="AM114" s="39" t="n">
        <f aca="false">IF(AM$4=0,0,IF(COUNTIFS(実績!$W$6:$W$505,AM$3,実績!$AI$6:$AI$505,"&lt;="&amp;$A114,実績!$AJ$6:$AJ$505,"&gt;"&amp;$A114,実績!$AK$6:$AK$505,"○")&gt;0,1,0))</f>
        <v>0</v>
      </c>
      <c r="AN114" s="39" t="n">
        <f aca="false">IF(AN$4=0,0,IF(COUNTIFS(実績!$W$6:$W$505,AN$3,実績!$AI$6:$AI$505,"&lt;="&amp;$A114,実績!$AJ$6:$AJ$505,"&gt;"&amp;$A114,実績!$AK$6:$AK$505,"○")&gt;0,1,0))</f>
        <v>0</v>
      </c>
      <c r="AO114" s="39" t="n">
        <f aca="false">IF(AO$4=0,0,IF(COUNTIFS(実績!$W$6:$W$505,AO$3,実績!$AI$6:$AI$505,"&lt;="&amp;$A114,実績!$AJ$6:$AJ$505,"&gt;"&amp;$A114,実績!$AK$6:$AK$505,"○")&gt;0,1,0))</f>
        <v>0</v>
      </c>
      <c r="AP114" s="39" t="n">
        <f aca="false">IF(AP$4=0,0,IF(COUNTIFS(実績!$W$6:$W$505,AP$3,実績!$AI$6:$AI$505,"&lt;="&amp;$A114,実績!$AJ$6:$AJ$505,"&gt;"&amp;$A114,実績!$AK$6:$AK$505,"○")&gt;0,1,0))</f>
        <v>0</v>
      </c>
      <c r="AQ114" s="39" t="n">
        <f aca="false">IF(AQ$4=0,0,IF(COUNTIFS(実績!$W$6:$W$505,AQ$3,実績!$AI$6:$AI$505,"&lt;="&amp;$A114,実績!$AJ$6:$AJ$505,"&gt;"&amp;$A114,実績!$AK$6:$AK$505,"○")&gt;0,1,0))</f>
        <v>0</v>
      </c>
      <c r="AR114" s="39" t="n">
        <f aca="false">IF(AR$4=0,0,IF(COUNTIFS(実績!$W$6:$W$505,AR$3,実績!$AI$6:$AI$505,"&lt;="&amp;$A114,実績!$AJ$6:$AJ$505,"&gt;"&amp;$A114,実績!$AK$6:$AK$505,"○")&gt;0,1,0))</f>
        <v>0</v>
      </c>
      <c r="AS114" s="39" t="n">
        <f aca="false">IF(AS$4=0,0,IF(COUNTIFS(実績!$W$6:$W$505,AS$3,実績!$AI$6:$AI$505,"&lt;="&amp;$A114,実績!$AJ$6:$AJ$505,"&gt;"&amp;$A114,実績!$AK$6:$AK$505,"○")&gt;0,1,0))</f>
        <v>0</v>
      </c>
      <c r="AT114" s="39" t="n">
        <f aca="false">IF(AT$4=0,0,IF(COUNTIFS(実績!$W$6:$W$505,AT$3,実績!$AI$6:$AI$505,"&lt;="&amp;$A114,実績!$AJ$6:$AJ$505,"&gt;"&amp;$A114,実績!$AK$6:$AK$505,"○")&gt;0,1,0))</f>
        <v>0</v>
      </c>
      <c r="AU114" s="39" t="n">
        <f aca="false">IF(AU$4=0,0,IF(COUNTIFS(実績!$W$6:$W$505,AU$3,実績!$AI$6:$AI$505,"&lt;="&amp;$A114,実績!$AJ$6:$AJ$505,"&gt;"&amp;$A114,実績!$AK$6:$AK$505,"○")&gt;0,1,0))</f>
        <v>0</v>
      </c>
      <c r="AV114" s="39" t="n">
        <f aca="false">IF(AV$4=0,0,IF(COUNTIFS(実績!$W$6:$W$505,AV$3,実績!$AI$6:$AI$505,"&lt;="&amp;$A114,実績!$AJ$6:$AJ$505,"&gt;"&amp;$A114,実績!$AK$6:$AK$505,"○")&gt;0,1,0))</f>
        <v>0</v>
      </c>
      <c r="AW114" s="39" t="n">
        <f aca="false">IF(AW$4=0,0,IF(COUNTIFS(実績!$W$6:$W$505,AW$3,実績!$AI$6:$AI$505,"&lt;="&amp;$A114,実績!$AJ$6:$AJ$505,"&gt;"&amp;$A114,実績!$AK$6:$AK$505,"○")&gt;0,1,0))</f>
        <v>0</v>
      </c>
      <c r="AX114" s="39" t="n">
        <f aca="false">IF(AX$4=0,0,IF(COUNTIFS(実績!$W$6:$W$505,AX$3,実績!$AI$6:$AI$505,"&lt;="&amp;$A114,実績!$AJ$6:$AJ$505,"&gt;"&amp;$A114,実績!$AK$6:$AK$505,"○")&gt;0,1,0))</f>
        <v>0</v>
      </c>
      <c r="AY114" s="39" t="n">
        <f aca="false">IF(AY$4=0,0,IF(COUNTIFS(実績!$W$6:$W$505,AY$3,実績!$AI$6:$AI$505,"&lt;="&amp;$A114,実績!$AJ$6:$AJ$505,"&gt;"&amp;$A114,実績!$AK$6:$AK$505,"○")&gt;0,1,0))</f>
        <v>0</v>
      </c>
      <c r="AZ114" s="39" t="n">
        <f aca="false">IF(AZ$4=0,0,IF(COUNTIFS(実績!$W$6:$W$505,AZ$3,実績!$AI$6:$AI$505,"&lt;="&amp;$A114,実績!$AJ$6:$AJ$505,"&gt;"&amp;$A114,実績!$AK$6:$AK$505,"○")&gt;0,1,0))</f>
        <v>0</v>
      </c>
      <c r="BA114" s="39" t="n">
        <f aca="false">IF(BA$4=0,0,IF(COUNTIFS(実績!$W$6:$W$505,BA$3,実績!$AI$6:$AI$505,"&lt;="&amp;$A114,実績!$AJ$6:$AJ$505,"&gt;"&amp;$A114,実績!$AK$6:$AK$505,"○")&gt;0,1,0))</f>
        <v>0</v>
      </c>
      <c r="BB114" s="39" t="n">
        <f aca="false">IF(BB$4=0,0,IF(COUNTIFS(実績!$W$6:$W$505,BB$3,実績!$AI$6:$AI$505,"&lt;="&amp;$A114,実績!$AJ$6:$AJ$505,"&gt;"&amp;$A114,実績!$AK$6:$AK$505,"○")&gt;0,1,0))</f>
        <v>0</v>
      </c>
      <c r="BC114" s="39" t="n">
        <f aca="false">IF(BC$4=0,0,IF(COUNTIFS(実績!$W$6:$W$505,BC$3,実績!$AI$6:$AI$505,"&lt;="&amp;$A114,実績!$AJ$6:$AJ$505,"&gt;"&amp;$A114,実績!$AK$6:$AK$505,"○")&gt;0,1,0))</f>
        <v>0</v>
      </c>
      <c r="BD114" s="39" t="n">
        <f aca="false">IF(BD$4=0,0,IF(COUNTIFS(実績!$W$6:$W$505,BD$3,実績!$AI$6:$AI$505,"&lt;="&amp;$A114,実績!$AJ$6:$AJ$505,"&gt;"&amp;$A114,実績!$AK$6:$AK$505,"○")&gt;0,1,0))</f>
        <v>0</v>
      </c>
      <c r="BE114" s="39" t="n">
        <f aca="false">IF(BE$4=0,0,IF(COUNTIFS(実績!$W$6:$W$505,BE$3,実績!$AI$6:$AI$505,"&lt;="&amp;$A114,実績!$AJ$6:$AJ$505,"&gt;"&amp;$A114,実績!$AK$6:$AK$505,"○")&gt;0,1,0))</f>
        <v>0</v>
      </c>
      <c r="BF114" s="39" t="n">
        <f aca="false">IF(BF$4=0,0,IF(COUNTIFS(実績!$W$6:$W$505,BF$3,実績!$AI$6:$AI$505,"&lt;="&amp;$A114,実績!$AJ$6:$AJ$505,"&gt;"&amp;$A114,実績!$AK$6:$AK$505,"○")&gt;0,1,0))</f>
        <v>0</v>
      </c>
      <c r="BG114" s="39" t="n">
        <f aca="false">IF(BG$4=0,0,IF(COUNTIFS(実績!$W$6:$W$505,BG$3,実績!$AI$6:$AI$505,"&lt;="&amp;$A114,実績!$AJ$6:$AJ$505,"&gt;"&amp;$A114,実績!$AK$6:$AK$505,"○")&gt;0,1,0))</f>
        <v>0</v>
      </c>
      <c r="BH114" s="39" t="n">
        <f aca="false">IF(BH$4=0,0,IF(COUNTIFS(実績!$W$6:$W$505,BH$3,実績!$AI$6:$AI$505,"&lt;="&amp;$A114,実績!$AJ$6:$AJ$505,"&gt;"&amp;$A114,実績!$AK$6:$AK$505,"○")&gt;0,1,0))</f>
        <v>0</v>
      </c>
      <c r="BI114" s="39" t="n">
        <f aca="false">IF(BI$4=0,0,IF(COUNTIFS(実績!$W$6:$W$505,BI$3,実績!$AI$6:$AI$505,"&lt;="&amp;$A114,実績!$AJ$6:$AJ$505,"&gt;"&amp;$A114,実績!$AK$6:$AK$505,"○")&gt;0,1,0))</f>
        <v>0</v>
      </c>
      <c r="BJ114" s="39" t="n">
        <f aca="false">IF(BJ$4=0,0,IF(COUNTIFS(実績!$W$6:$W$505,BJ$3,実績!$AI$6:$AI$505,"&lt;="&amp;$A114,実績!$AJ$6:$AJ$505,"&gt;"&amp;$A114,実績!$AK$6:$AK$505,"○")&gt;0,1,0))</f>
        <v>0</v>
      </c>
      <c r="BK114" s="39" t="n">
        <f aca="false">IF(BK$4=0,0,IF(COUNTIFS(実績!$W$6:$W$505,BK$3,実績!$AI$6:$AI$505,"&lt;="&amp;$A114,実績!$AJ$6:$AJ$505,"&gt;"&amp;$A114,実績!$AK$6:$AK$505,"○")&gt;0,1,0))</f>
        <v>0</v>
      </c>
      <c r="BL114" s="39" t="n">
        <f aca="false">IF(BL$4=0,0,IF(COUNTIFS(実績!$W$6:$W$505,BL$3,実績!$AI$6:$AI$505,"&lt;="&amp;$A114,実績!$AJ$6:$AJ$505,"&gt;"&amp;$A114,実績!$AK$6:$AK$505,"○")&gt;0,1,0))</f>
        <v>0</v>
      </c>
      <c r="BM114" s="39" t="n">
        <f aca="false">IF(BM$4=0,0,IF(COUNTIFS(実績!$W$6:$W$505,BM$3,実績!$AI$6:$AI$505,"&lt;="&amp;$A114,実績!$AJ$6:$AJ$505,"&gt;"&amp;$A114,実績!$AK$6:$AK$505,"○")&gt;0,1,0))</f>
        <v>0</v>
      </c>
      <c r="BN114" s="39" t="n">
        <f aca="false">IF(BN$4=0,0,IF(COUNTIFS(実績!$W$6:$W$505,BN$3,実績!$AI$6:$AI$505,"&lt;="&amp;$A114,実績!$AJ$6:$AJ$505,"&gt;"&amp;$A114,実績!$AK$6:$AK$505,"○")&gt;0,1,0))</f>
        <v>0</v>
      </c>
      <c r="BO114" s="39" t="n">
        <f aca="false">IF(BO$4=0,0,IF(COUNTIFS(実績!$W$6:$W$505,BO$3,実績!$AI$6:$AI$505,"&lt;="&amp;$A114,実績!$AJ$6:$AJ$505,"&gt;"&amp;$A114,実績!$AK$6:$AK$505,"○")&gt;0,1,0))</f>
        <v>0</v>
      </c>
      <c r="BP114" s="39" t="n">
        <f aca="false">IF(BP$4=0,0,IF(COUNTIFS(実績!$W$6:$W$505,BP$3,実績!$AI$6:$AI$505,"&lt;="&amp;$A114,実績!$AJ$6:$AJ$505,"&gt;"&amp;$A114,実績!$AK$6:$AK$505,"○")&gt;0,1,0))</f>
        <v>0</v>
      </c>
      <c r="BQ114" s="39" t="n">
        <f aca="false">IF(BQ$4=0,0,IF(COUNTIFS(実績!$W$6:$W$505,BQ$3,実績!$AI$6:$AI$505,"&lt;="&amp;$A114,実績!$AJ$6:$AJ$505,"&gt;"&amp;$A114,実績!$AK$6:$AK$505,"○")&gt;0,1,0))</f>
        <v>0</v>
      </c>
      <c r="BR114" s="39" t="n">
        <f aca="false">IF(BR$4=0,0,IF(COUNTIFS(実績!$W$6:$W$505,BR$3,実績!$AI$6:$AI$505,"&lt;="&amp;$A114,実績!$AJ$6:$AJ$505,"&gt;"&amp;$A114,実績!$AK$6:$AK$505,"○")&gt;0,1,0))</f>
        <v>0</v>
      </c>
      <c r="BS114" s="39" t="n">
        <f aca="false">IF(BS$4=0,0,IF(COUNTIFS(実績!$W$6:$W$505,BS$3,実績!$AI$6:$AI$505,"&lt;="&amp;$A114,実績!$AJ$6:$AJ$505,"&gt;"&amp;$A114,実績!$AK$6:$AK$505,"○")&gt;0,1,0))</f>
        <v>0</v>
      </c>
      <c r="BT114" s="39" t="n">
        <f aca="false">IF(BT$4=0,0,IF(COUNTIFS(実績!$W$6:$W$505,BT$3,実績!$AI$6:$AI$505,"&lt;="&amp;$A114,実績!$AJ$6:$AJ$505,"&gt;"&amp;$A114,実績!$AK$6:$AK$505,"○")&gt;0,1,0))</f>
        <v>0</v>
      </c>
      <c r="BU114" s="39" t="n">
        <f aca="false">IF(BU$4=0,0,IF(COUNTIFS(実績!$W$6:$W$505,BU$3,実績!$AI$6:$AI$505,"&lt;="&amp;$A114,実績!$AJ$6:$AJ$505,"&gt;"&amp;$A114,実績!$AK$6:$AK$505,"○")&gt;0,1,0))</f>
        <v>0</v>
      </c>
      <c r="BV114" s="39" t="n">
        <f aca="false">IF(BV$4=0,0,IF(COUNTIFS(実績!$W$6:$W$505,BV$3,実績!$AI$6:$AI$505,"&lt;="&amp;$A114,実績!$AJ$6:$AJ$505,"&gt;"&amp;$A114,実績!$AK$6:$AK$505,"○")&gt;0,1,0))</f>
        <v>0</v>
      </c>
      <c r="BW114" s="39" t="n">
        <f aca="false">IF(BW$4=0,0,IF(COUNTIFS(実績!$W$6:$W$505,BW$3,実績!$AI$6:$AI$505,"&lt;="&amp;$A114,実績!$AJ$6:$AJ$505,"&gt;"&amp;$A114,実績!$AK$6:$AK$505,"○")&gt;0,1,0))</f>
        <v>0</v>
      </c>
      <c r="BX114" s="39" t="n">
        <f aca="false">IF(BX$4=0,0,IF(COUNTIFS(実績!$W$6:$W$505,BX$3,実績!$AI$6:$AI$505,"&lt;="&amp;$A114,実績!$AJ$6:$AJ$505,"&gt;"&amp;$A114,実績!$AK$6:$AK$505,"○")&gt;0,1,0))</f>
        <v>0</v>
      </c>
      <c r="BY114" s="39" t="n">
        <f aca="false">IF(BY$4=0,0,IF(COUNTIFS(実績!$W$6:$W$505,BY$3,実績!$AI$6:$AI$505,"&lt;="&amp;$A114,実績!$AJ$6:$AJ$505,"&gt;"&amp;$A114,実績!$AK$6:$AK$505,"○")&gt;0,1,0))</f>
        <v>0</v>
      </c>
      <c r="BZ114" s="39" t="n">
        <f aca="false">IF(BZ$4=0,0,IF(COUNTIFS(実績!$W$6:$W$505,BZ$3,実績!$AI$6:$AI$505,"&lt;="&amp;$A114,実績!$AJ$6:$AJ$505,"&gt;"&amp;$A114,実績!$AK$6:$AK$505,"○")&gt;0,1,0))</f>
        <v>0</v>
      </c>
      <c r="CA114" s="39" t="n">
        <f aca="false">IF(CA$4=0,0,IF(COUNTIFS(実績!$W$6:$W$505,CA$3,実績!$AI$6:$AI$505,"&lt;="&amp;$A114,実績!$AJ$6:$AJ$505,"&gt;"&amp;$A114,実績!$AK$6:$AK$505,"○")&gt;0,1,0))</f>
        <v>0</v>
      </c>
      <c r="CB114" s="39" t="n">
        <f aca="false">IF(CB$4=0,0,IF(COUNTIFS(実績!$W$6:$W$505,CB$3,実績!$AI$6:$AI$505,"&lt;="&amp;$A114,実績!$AJ$6:$AJ$505,"&gt;"&amp;$A114,実績!$AK$6:$AK$505,"○")&gt;0,1,0))</f>
        <v>0</v>
      </c>
      <c r="CC114" s="39" t="n">
        <f aca="false">IF(CC$4=0,0,IF(COUNTIFS(実績!$W$6:$W$505,CC$3,実績!$AI$6:$AI$505,"&lt;="&amp;$A114,実績!$AJ$6:$AJ$505,"&gt;"&amp;$A114,実績!$AK$6:$AK$505,"○")&gt;0,1,0))</f>
        <v>0</v>
      </c>
      <c r="CD114" s="39" t="n">
        <f aca="false">IF(CD$4=0,0,IF(COUNTIFS(実績!$W$6:$W$505,CD$3,実績!$AI$6:$AI$505,"&lt;="&amp;$A114,実績!$AJ$6:$AJ$505,"&gt;"&amp;$A114,実績!$AK$6:$AK$505,"○")&gt;0,1,0))</f>
        <v>0</v>
      </c>
      <c r="CE114" s="39" t="n">
        <f aca="false">IF(CE$4=0,0,IF(COUNTIFS(実績!$W$6:$W$505,CE$3,実績!$AI$6:$AI$505,"&lt;="&amp;$A114,実績!$AJ$6:$AJ$505,"&gt;"&amp;$A114,実績!$AK$6:$AK$505,"○")&gt;0,1,0))</f>
        <v>0</v>
      </c>
      <c r="CF114" s="39" t="n">
        <f aca="false">IF(CF$4=0,0,IF(COUNTIFS(実績!$W$6:$W$505,CF$3,実績!$AI$6:$AI$505,"&lt;="&amp;$A114,実績!$AJ$6:$AJ$505,"&gt;"&amp;$A114,実績!$AK$6:$AK$505,"○")&gt;0,1,0))</f>
        <v>0</v>
      </c>
      <c r="CG114" s="39" t="n">
        <f aca="false">IF(CG$4=0,0,IF(COUNTIFS(実績!$W$6:$W$505,CG$3,実績!$AI$6:$AI$505,"&lt;="&amp;$A114,実績!$AJ$6:$AJ$505,"&gt;"&amp;$A114,実績!$AK$6:$AK$505,"○")&gt;0,1,0))</f>
        <v>0</v>
      </c>
      <c r="CH114" s="39" t="n">
        <f aca="false">IF(CH$4=0,0,IF(COUNTIFS(実績!$W$6:$W$505,CH$3,実績!$AI$6:$AI$505,"&lt;="&amp;$A114,実績!$AJ$6:$AJ$505,"&gt;"&amp;$A114,実績!$AK$6:$AK$505,"○")&gt;0,1,0))</f>
        <v>0</v>
      </c>
      <c r="CI114" s="39" t="n">
        <f aca="false">IF(CI$4=0,0,IF(COUNTIFS(実績!$W$6:$W$505,CI$3,実績!$AI$6:$AI$505,"&lt;="&amp;$A114,実績!$AJ$6:$AJ$505,"&gt;"&amp;$A114,実績!$AK$6:$AK$505,"○")&gt;0,1,0))</f>
        <v>0</v>
      </c>
      <c r="CJ114" s="39" t="n">
        <f aca="false">IF(CJ$4=0,0,IF(COUNTIFS(実績!$W$6:$W$505,CJ$3,実績!$AI$6:$AI$505,"&lt;="&amp;$A114,実績!$AJ$6:$AJ$505,"&gt;"&amp;$A114,実績!$AK$6:$AK$505,"○")&gt;0,1,0))</f>
        <v>0</v>
      </c>
      <c r="CK114" s="39" t="n">
        <f aca="false">IF(CK$4=0,0,IF(COUNTIFS(実績!$W$6:$W$505,CK$3,実績!$AI$6:$AI$505,"&lt;="&amp;$A114,実績!$AJ$6:$AJ$505,"&gt;"&amp;$A114,実績!$AK$6:$AK$505,"○")&gt;0,1,0))</f>
        <v>0</v>
      </c>
      <c r="CL114" s="39" t="n">
        <f aca="false">IF(CL$4=0,0,IF(COUNTIFS(実績!$W$6:$W$505,CL$3,実績!$AI$6:$AI$505,"&lt;="&amp;$A114,実績!$AJ$6:$AJ$505,"&gt;"&amp;$A114,実績!$AK$6:$AK$505,"○")&gt;0,1,0))</f>
        <v>0</v>
      </c>
      <c r="CM114" s="39" t="n">
        <f aca="false">IF(CM$4=0,0,IF(COUNTIFS(実績!$W$6:$W$505,CM$3,実績!$AI$6:$AI$505,"&lt;="&amp;$A114,実績!$AJ$6:$AJ$505,"&gt;"&amp;$A114,実績!$AK$6:$AK$505,"○")&gt;0,1,0))</f>
        <v>0</v>
      </c>
      <c r="CN114" s="39" t="n">
        <f aca="false">IF(CN$4=0,0,IF(COUNTIFS(実績!$W$6:$W$505,CN$3,実績!$AI$6:$AI$505,"&lt;="&amp;$A114,実績!$AJ$6:$AJ$505,"&gt;"&amp;$A114,実績!$AK$6:$AK$505,"○")&gt;0,1,0))</f>
        <v>0</v>
      </c>
      <c r="CO114" s="39" t="n">
        <f aca="false">IF(CO$4=0,0,IF(COUNTIFS(実績!$W$6:$W$505,CO$3,実績!$AI$6:$AI$505,"&lt;="&amp;$A114,実績!$AJ$6:$AJ$505,"&gt;"&amp;$A114,実績!$AK$6:$AK$505,"○")&gt;0,1,0))</f>
        <v>0</v>
      </c>
      <c r="CP114" s="39" t="n">
        <f aca="false">IF(CP$4=0,0,IF(COUNTIFS(実績!$W$6:$W$505,CP$3,実績!$AI$6:$AI$505,"&lt;="&amp;$A114,実績!$AJ$6:$AJ$505,"&gt;"&amp;$A114,実績!$AK$6:$AK$505,"○")&gt;0,1,0))</f>
        <v>0</v>
      </c>
      <c r="CQ114" s="39" t="n">
        <f aca="false">IF(CQ$4=0,0,IF(COUNTIFS(実績!$W$6:$W$505,CQ$3,実績!$AI$6:$AI$505,"&lt;="&amp;$A114,実績!$AJ$6:$AJ$505,"&gt;"&amp;$A114,実績!$AK$6:$AK$505,"○")&gt;0,1,0))</f>
        <v>0</v>
      </c>
      <c r="CR114" s="39" t="n">
        <f aca="false">IF(CR$4=0,0,IF(COUNTIFS(実績!$W$6:$W$505,CR$3,実績!$AI$6:$AI$505,"&lt;="&amp;$A114,実績!$AJ$6:$AJ$505,"&gt;"&amp;$A114,実績!$AK$6:$AK$505,"○")&gt;0,1,0))</f>
        <v>0</v>
      </c>
      <c r="CS114" s="39" t="n">
        <f aca="false">IF(CS$4=0,0,IF(COUNTIFS(実績!$W$6:$W$505,CS$3,実績!$AI$6:$AI$505,"&lt;="&amp;$A114,実績!$AJ$6:$AJ$505,"&gt;"&amp;$A114,実績!$AK$6:$AK$505,"○")&gt;0,1,0))</f>
        <v>0</v>
      </c>
      <c r="CT114" s="39" t="n">
        <f aca="false">IF(CT$4=0,0,IF(COUNTIFS(実績!$W$6:$W$505,CT$3,実績!$AI$6:$AI$505,"&lt;="&amp;$A114,実績!$AJ$6:$AJ$505,"&gt;"&amp;$A114,実績!$AK$6:$AK$505,"○")&gt;0,1,0))</f>
        <v>0</v>
      </c>
      <c r="CU114" s="39" t="n">
        <f aca="false">IF(CU$4=0,0,IF(COUNTIFS(実績!$W$6:$W$505,CU$3,実績!$AI$6:$AI$505,"&lt;="&amp;$A114,実績!$AJ$6:$AJ$505,"&gt;"&amp;$A114,実績!$AK$6:$AK$505,"○")&gt;0,1,0))</f>
        <v>0</v>
      </c>
      <c r="CV114" s="39" t="n">
        <f aca="false">IF(CV$4=0,0,IF(COUNTIFS(実績!$W$6:$W$505,CV$3,実績!$AI$6:$AI$505,"&lt;="&amp;$A114,実績!$AJ$6:$AJ$505,"&gt;"&amp;$A114,実績!$AK$6:$AK$505,"○")&gt;0,1,0))</f>
        <v>0</v>
      </c>
      <c r="CW114" s="39" t="n">
        <f aca="false">IF(CW$4=0,0,IF(COUNTIFS(実績!$W$6:$W$505,CW$3,実績!$AI$6:$AI$505,"&lt;="&amp;$A114,実績!$AJ$6:$AJ$505,"&gt;"&amp;$A114,実績!$AK$6:$AK$505,"○")&gt;0,1,0))</f>
        <v>0</v>
      </c>
      <c r="CX114" s="39" t="n">
        <f aca="false">IF(CX$4=0,0,IF(COUNTIFS(実績!$W$6:$W$505,CX$3,実績!$AI$6:$AI$505,"&lt;="&amp;$A114,実績!$AJ$6:$AJ$505,"&gt;"&amp;$A114,実績!$AK$6:$AK$505,"○")&gt;0,1,0))</f>
        <v>0</v>
      </c>
      <c r="CY114" s="39" t="n">
        <f aca="false">IF(CY$4=0,0,IF(COUNTIFS(実績!$W$6:$W$505,CY$3,実績!$AI$6:$AI$505,"&lt;="&amp;$A114,実績!$AJ$6:$AJ$505,"&gt;"&amp;$A114,実績!$AK$6:$AK$505,"○")&gt;0,1,0))</f>
        <v>0</v>
      </c>
      <c r="CZ114" s="39" t="n">
        <f aca="false">IF(CZ$4=0,0,IF(COUNTIFS(実績!$W$6:$W$505,CZ$3,実績!$AI$6:$AI$505,"&lt;="&amp;$A114,実績!$AJ$6:$AJ$505,"&gt;"&amp;$A114,実績!$AK$6:$AK$505,"○")&gt;0,1,0))</f>
        <v>0</v>
      </c>
      <c r="DA114" s="39" t="n">
        <f aca="false">IF(DA$4=0,0,IF(COUNTIFS(実績!$W$6:$W$505,DA$3,実績!$AI$6:$AI$505,"&lt;="&amp;$A114,実績!$AJ$6:$AJ$505,"&gt;"&amp;$A114,実績!$AK$6:$AK$505,"○")&gt;0,1,0))</f>
        <v>0</v>
      </c>
      <c r="DB114" s="39" t="n">
        <f aca="false">IF(DB$4=0,0,IF(COUNTIFS(実績!$W$6:$W$505,DB$3,実績!$AI$6:$AI$505,"&lt;="&amp;$A114,実績!$AJ$6:$AJ$505,"&gt;"&amp;$A114,実績!$AK$6:$AK$505,"○")&gt;0,1,0))</f>
        <v>0</v>
      </c>
      <c r="DC114" s="39" t="n">
        <f aca="false">IF(DC$4=0,0,IF(COUNTIFS(実績!$W$6:$W$505,DC$3,実績!$AI$6:$AI$505,"&lt;="&amp;$A114,実績!$AJ$6:$AJ$505,"&gt;"&amp;$A114,実績!$AK$6:$AK$505,"○")&gt;0,1,0))</f>
        <v>0</v>
      </c>
      <c r="DD114" s="39" t="n">
        <f aca="false">IF(DD$4=0,0,IF(COUNTIFS(実績!$W$6:$W$505,DD$3,実績!$AI$6:$AI$505,"&lt;="&amp;$A114,実績!$AJ$6:$AJ$505,"&gt;"&amp;$A114,実績!$AK$6:$AK$505,"○")&gt;0,1,0))</f>
        <v>0</v>
      </c>
      <c r="DE114" s="39" t="n">
        <f aca="false">IF(DE$4=0,0,IF(COUNTIFS(実績!$W$6:$W$505,DE$3,実績!$AI$6:$AI$505,"&lt;="&amp;$A114,実績!$AJ$6:$AJ$505,"&gt;"&amp;$A114,実績!$AK$6:$AK$505,"○")&gt;0,1,0))</f>
        <v>0</v>
      </c>
      <c r="DF114" s="39" t="n">
        <f aca="false">IF(DF$4=0,0,IF(COUNTIFS(実績!$W$6:$W$505,DF$3,実績!$AI$6:$AI$505,"&lt;="&amp;$A114,実績!$AJ$6:$AJ$505,"&gt;"&amp;$A114,実績!$AK$6:$AK$505,"○")&gt;0,1,0))</f>
        <v>0</v>
      </c>
      <c r="DG114" s="39" t="n">
        <f aca="false">IF(DG$4=0,0,IF(COUNTIFS(実績!$W$6:$W$505,DG$3,実績!$AI$6:$AI$505,"&lt;="&amp;$A114,実績!$AJ$6:$AJ$505,"&gt;"&amp;$A114,実績!$AK$6:$AK$505,"○")&gt;0,1,0))</f>
        <v>0</v>
      </c>
      <c r="DH114" s="39" t="n">
        <f aca="false">IF(DH$4=0,0,IF(COUNTIFS(実績!$W$6:$W$505,DH$3,実績!$AI$6:$AI$505,"&lt;="&amp;$A114,実績!$AJ$6:$AJ$505,"&gt;"&amp;$A114,実績!$AK$6:$AK$505,"○")&gt;0,1,0))</f>
        <v>0</v>
      </c>
      <c r="DI114" s="39" t="n">
        <f aca="false">IF(DI$4=0,0,IF(COUNTIFS(実績!$W$6:$W$505,DI$3,実績!$AI$6:$AI$505,"&lt;="&amp;$A114,実績!$AJ$6:$AJ$505,"&gt;"&amp;$A114,実績!$AK$6:$AK$505,"○")&gt;0,1,0))</f>
        <v>0</v>
      </c>
      <c r="DJ114" s="39" t="n">
        <f aca="false">IF(DJ$4=0,0,IF(COUNTIFS(実績!$W$6:$W$505,DJ$3,実績!$AI$6:$AI$505,"&lt;="&amp;$A114,実績!$AJ$6:$AJ$505,"&gt;"&amp;$A114,実績!$AK$6:$AK$505,"○")&gt;0,1,0))</f>
        <v>0</v>
      </c>
      <c r="DK114" s="39" t="n">
        <f aca="false">IF(DK$4=0,0,IF(COUNTIFS(実績!$W$6:$W$505,DK$3,実績!$AI$6:$AI$505,"&lt;="&amp;$A114,実績!$AJ$6:$AJ$505,"&gt;"&amp;$A114,実績!$AK$6:$AK$505,"○")&gt;0,1,0))</f>
        <v>0</v>
      </c>
      <c r="DL114" s="39" t="n">
        <f aca="false">IF(DL$4=0,0,IF(COUNTIFS(実績!$W$6:$W$505,DL$3,実績!$AI$6:$AI$505,"&lt;="&amp;$A114,実績!$AJ$6:$AJ$505,"&gt;"&amp;$A114,実績!$AK$6:$AK$505,"○")&gt;0,1,0))</f>
        <v>0</v>
      </c>
      <c r="DM114" s="39" t="n">
        <f aca="false">IF(DM$4=0,0,IF(COUNTIFS(実績!$W$6:$W$505,DM$3,実績!$AI$6:$AI$505,"&lt;="&amp;$A114,実績!$AJ$6:$AJ$505,"&gt;"&amp;$A114,実績!$AK$6:$AK$505,"○")&gt;0,1,0))</f>
        <v>0</v>
      </c>
      <c r="DN114" s="39" t="n">
        <f aca="false">IF(DN$4=0,0,IF(COUNTIFS(実績!$W$6:$W$505,DN$3,実績!$AI$6:$AI$505,"&lt;="&amp;$A114,実績!$AJ$6:$AJ$505,"&gt;"&amp;$A114,実績!$AK$6:$AK$505,"○")&gt;0,1,0))</f>
        <v>0</v>
      </c>
      <c r="DO114" s="39" t="n">
        <f aca="false">IF(DO$4=0,0,IF(COUNTIFS(実績!$W$6:$W$505,DO$3,実績!$AI$6:$AI$505,"&lt;="&amp;$A114,実績!$AJ$6:$AJ$505,"&gt;"&amp;$A114,実績!$AK$6:$AK$505,"○")&gt;0,1,0))</f>
        <v>0</v>
      </c>
      <c r="DP114" s="39" t="n">
        <f aca="false">IF(DP$4=0,0,IF(COUNTIFS(実績!$W$6:$W$505,DP$3,実績!$AI$6:$AI$505,"&lt;="&amp;$A114,実績!$AJ$6:$AJ$505,"&gt;"&amp;$A114,実績!$AK$6:$AK$505,"○")&gt;0,1,0))</f>
        <v>0</v>
      </c>
      <c r="DQ114" s="39" t="n">
        <f aca="false">IF(DQ$4=0,0,IF(COUNTIFS(実績!$W$6:$W$505,DQ$3,実績!$AI$6:$AI$505,"&lt;="&amp;$A114,実績!$AJ$6:$AJ$505,"&gt;"&amp;$A114,実績!$AK$6:$AK$505,"○")&gt;0,1,0))</f>
        <v>0</v>
      </c>
      <c r="DR114" s="39" t="n">
        <f aca="false">IF(DR$4=0,0,IF(COUNTIFS(実績!$W$6:$W$505,DR$3,実績!$AI$6:$AI$505,"&lt;="&amp;$A114,実績!$AJ$6:$AJ$505,"&gt;"&amp;$A114,実績!$AK$6:$AK$505,"○")&gt;0,1,0))</f>
        <v>0</v>
      </c>
      <c r="DS114" s="39" t="n">
        <f aca="false">SUM(C114:DR114)</f>
        <v>0</v>
      </c>
      <c r="DT114" s="39" t="n">
        <f aca="false">SUMPRODUCT((実績!$C$6:$C$505="○")*ISNUMBER(実績!$AM$6:$AM$505)*(実績!$AM$6:$AM$505&lt;=$A114)*(実績!$AN$6:$AN$505&gt;$A114))</f>
        <v>0</v>
      </c>
      <c r="DU114" s="39" t="n">
        <f aca="false">SUMIF($C$2:$DR$2,"製鉄曳船",C114:DR114)</f>
        <v>0</v>
      </c>
      <c r="DV114" s="39" t="n">
        <f aca="false">SUMIF($C$2:$DR$2,"西日本海運",C114:DR114)</f>
        <v>0</v>
      </c>
    </row>
    <row r="115" customFormat="false" ht="15" hidden="false" customHeight="false" outlineLevel="0" collapsed="false">
      <c r="A115" s="0" t="n">
        <v>545</v>
      </c>
      <c r="B115" s="38" t="n">
        <f aca="false">A115/1440</f>
        <v>0.378472222222222</v>
      </c>
      <c r="C115" s="39" t="n">
        <f aca="false">IF(C$4=0,0,IF(COUNTIFS(実績!$W$6:$W$505,C$3,実績!$AI$6:$AI$505,"&lt;="&amp;$A115,実績!$AJ$6:$AJ$505,"&gt;"&amp;$A115,実績!$AK$6:$AK$505,"○")&gt;0,1,0))</f>
        <v>0</v>
      </c>
      <c r="D115" s="39" t="n">
        <f aca="false">IF(D$4=0,0,IF(COUNTIFS(実績!$W$6:$W$505,D$3,実績!$AI$6:$AI$505,"&lt;="&amp;$A115,実績!$AJ$6:$AJ$505,"&gt;"&amp;$A115,実績!$AK$6:$AK$505,"○")&gt;0,1,0))</f>
        <v>0</v>
      </c>
      <c r="E115" s="39" t="n">
        <f aca="false">IF(E$4=0,0,IF(COUNTIFS(実績!$W$6:$W$505,E$3,実績!$AI$6:$AI$505,"&lt;="&amp;$A115,実績!$AJ$6:$AJ$505,"&gt;"&amp;$A115,実績!$AK$6:$AK$505,"○")&gt;0,1,0))</f>
        <v>0</v>
      </c>
      <c r="F115" s="39" t="n">
        <f aca="false">IF(F$4=0,0,IF(COUNTIFS(実績!$W$6:$W$505,F$3,実績!$AI$6:$AI$505,"&lt;="&amp;$A115,実績!$AJ$6:$AJ$505,"&gt;"&amp;$A115,実績!$AK$6:$AK$505,"○")&gt;0,1,0))</f>
        <v>0</v>
      </c>
      <c r="G115" s="39" t="n">
        <f aca="false">IF(G$4=0,0,IF(COUNTIFS(実績!$W$6:$W$505,G$3,実績!$AI$6:$AI$505,"&lt;="&amp;$A115,実績!$AJ$6:$AJ$505,"&gt;"&amp;$A115,実績!$AK$6:$AK$505,"○")&gt;0,1,0))</f>
        <v>0</v>
      </c>
      <c r="H115" s="39" t="n">
        <f aca="false">IF(H$4=0,0,IF(COUNTIFS(実績!$W$6:$W$505,H$3,実績!$AI$6:$AI$505,"&lt;="&amp;$A115,実績!$AJ$6:$AJ$505,"&gt;"&amp;$A115,実績!$AK$6:$AK$505,"○")&gt;0,1,0))</f>
        <v>0</v>
      </c>
      <c r="I115" s="39" t="n">
        <f aca="false">IF(I$4=0,0,IF(COUNTIFS(実績!$W$6:$W$505,I$3,実績!$AI$6:$AI$505,"&lt;="&amp;$A115,実績!$AJ$6:$AJ$505,"&gt;"&amp;$A115,実績!$AK$6:$AK$505,"○")&gt;0,1,0))</f>
        <v>0</v>
      </c>
      <c r="J115" s="39" t="n">
        <f aca="false">IF(J$4=0,0,IF(COUNTIFS(実績!$W$6:$W$505,J$3,実績!$AI$6:$AI$505,"&lt;="&amp;$A115,実績!$AJ$6:$AJ$505,"&gt;"&amp;$A115,実績!$AK$6:$AK$505,"○")&gt;0,1,0))</f>
        <v>0</v>
      </c>
      <c r="K115" s="39" t="n">
        <f aca="false">IF(K$4=0,0,IF(COUNTIFS(実績!$W$6:$W$505,K$3,実績!$AI$6:$AI$505,"&lt;="&amp;$A115,実績!$AJ$6:$AJ$505,"&gt;"&amp;$A115,実績!$AK$6:$AK$505,"○")&gt;0,1,0))</f>
        <v>0</v>
      </c>
      <c r="L115" s="39" t="n">
        <f aca="false">IF(L$4=0,0,IF(COUNTIFS(実績!$W$6:$W$505,L$3,実績!$AI$6:$AI$505,"&lt;="&amp;$A115,実績!$AJ$6:$AJ$505,"&gt;"&amp;$A115,実績!$AK$6:$AK$505,"○")&gt;0,1,0))</f>
        <v>0</v>
      </c>
      <c r="M115" s="39" t="n">
        <f aca="false">IF(M$4=0,0,IF(COUNTIFS(実績!$W$6:$W$505,M$3,実績!$AI$6:$AI$505,"&lt;="&amp;$A115,実績!$AJ$6:$AJ$505,"&gt;"&amp;$A115,実績!$AK$6:$AK$505,"○")&gt;0,1,0))</f>
        <v>0</v>
      </c>
      <c r="N115" s="39" t="n">
        <f aca="false">IF(N$4=0,0,IF(COUNTIFS(実績!$W$6:$W$505,N$3,実績!$AI$6:$AI$505,"&lt;="&amp;$A115,実績!$AJ$6:$AJ$505,"&gt;"&amp;$A115,実績!$AK$6:$AK$505,"○")&gt;0,1,0))</f>
        <v>0</v>
      </c>
      <c r="O115" s="39" t="n">
        <f aca="false">IF(O$4=0,0,IF(COUNTIFS(実績!$W$6:$W$505,O$3,実績!$AI$6:$AI$505,"&lt;="&amp;$A115,実績!$AJ$6:$AJ$505,"&gt;"&amp;$A115,実績!$AK$6:$AK$505,"○")&gt;0,1,0))</f>
        <v>0</v>
      </c>
      <c r="P115" s="39" t="n">
        <f aca="false">IF(P$4=0,0,IF(COUNTIFS(実績!$W$6:$W$505,P$3,実績!$AI$6:$AI$505,"&lt;="&amp;$A115,実績!$AJ$6:$AJ$505,"&gt;"&amp;$A115,実績!$AK$6:$AK$505,"○")&gt;0,1,0))</f>
        <v>0</v>
      </c>
      <c r="Q115" s="39" t="n">
        <f aca="false">IF(Q$4=0,0,IF(COUNTIFS(実績!$W$6:$W$505,Q$3,実績!$AI$6:$AI$505,"&lt;="&amp;$A115,実績!$AJ$6:$AJ$505,"&gt;"&amp;$A115,実績!$AK$6:$AK$505,"○")&gt;0,1,0))</f>
        <v>0</v>
      </c>
      <c r="R115" s="39" t="n">
        <f aca="false">IF(R$4=0,0,IF(COUNTIFS(実績!$W$6:$W$505,R$3,実績!$AI$6:$AI$505,"&lt;="&amp;$A115,実績!$AJ$6:$AJ$505,"&gt;"&amp;$A115,実績!$AK$6:$AK$505,"○")&gt;0,1,0))</f>
        <v>0</v>
      </c>
      <c r="S115" s="39" t="n">
        <f aca="false">IF(S$4=0,0,IF(COUNTIFS(実績!$W$6:$W$505,S$3,実績!$AI$6:$AI$505,"&lt;="&amp;$A115,実績!$AJ$6:$AJ$505,"&gt;"&amp;$A115,実績!$AK$6:$AK$505,"○")&gt;0,1,0))</f>
        <v>0</v>
      </c>
      <c r="T115" s="39" t="n">
        <f aca="false">IF(T$4=0,0,IF(COUNTIFS(実績!$W$6:$W$505,T$3,実績!$AI$6:$AI$505,"&lt;="&amp;$A115,実績!$AJ$6:$AJ$505,"&gt;"&amp;$A115,実績!$AK$6:$AK$505,"○")&gt;0,1,0))</f>
        <v>0</v>
      </c>
      <c r="U115" s="39" t="n">
        <f aca="false">IF(U$4=0,0,IF(COUNTIFS(実績!$W$6:$W$505,U$3,実績!$AI$6:$AI$505,"&lt;="&amp;$A115,実績!$AJ$6:$AJ$505,"&gt;"&amp;$A115,実績!$AK$6:$AK$505,"○")&gt;0,1,0))</f>
        <v>0</v>
      </c>
      <c r="V115" s="39" t="n">
        <f aca="false">IF(V$4=0,0,IF(COUNTIFS(実績!$W$6:$W$505,V$3,実績!$AI$6:$AI$505,"&lt;="&amp;$A115,実績!$AJ$6:$AJ$505,"&gt;"&amp;$A115,実績!$AK$6:$AK$505,"○")&gt;0,1,0))</f>
        <v>0</v>
      </c>
      <c r="W115" s="39" t="n">
        <f aca="false">IF(W$4=0,0,IF(COUNTIFS(実績!$W$6:$W$505,W$3,実績!$AI$6:$AI$505,"&lt;="&amp;$A115,実績!$AJ$6:$AJ$505,"&gt;"&amp;$A115,実績!$AK$6:$AK$505,"○")&gt;0,1,0))</f>
        <v>0</v>
      </c>
      <c r="X115" s="39" t="n">
        <f aca="false">IF(X$4=0,0,IF(COUNTIFS(実績!$W$6:$W$505,X$3,実績!$AI$6:$AI$505,"&lt;="&amp;$A115,実績!$AJ$6:$AJ$505,"&gt;"&amp;$A115,実績!$AK$6:$AK$505,"○")&gt;0,1,0))</f>
        <v>0</v>
      </c>
      <c r="Y115" s="39" t="n">
        <f aca="false">IF(Y$4=0,0,IF(COUNTIFS(実績!$W$6:$W$505,Y$3,実績!$AI$6:$AI$505,"&lt;="&amp;$A115,実績!$AJ$6:$AJ$505,"&gt;"&amp;$A115,実績!$AK$6:$AK$505,"○")&gt;0,1,0))</f>
        <v>0</v>
      </c>
      <c r="Z115" s="39" t="n">
        <f aca="false">IF(Z$4=0,0,IF(COUNTIFS(実績!$W$6:$W$505,Z$3,実績!$AI$6:$AI$505,"&lt;="&amp;$A115,実績!$AJ$6:$AJ$505,"&gt;"&amp;$A115,実績!$AK$6:$AK$505,"○")&gt;0,1,0))</f>
        <v>0</v>
      </c>
      <c r="AA115" s="39" t="n">
        <f aca="false">IF(AA$4=0,0,IF(COUNTIFS(実績!$W$6:$W$505,AA$3,実績!$AI$6:$AI$505,"&lt;="&amp;$A115,実績!$AJ$6:$AJ$505,"&gt;"&amp;$A115,実績!$AK$6:$AK$505,"○")&gt;0,1,0))</f>
        <v>0</v>
      </c>
      <c r="AB115" s="39" t="n">
        <f aca="false">IF(AB$4=0,0,IF(COUNTIFS(実績!$W$6:$W$505,AB$3,実績!$AI$6:$AI$505,"&lt;="&amp;$A115,実績!$AJ$6:$AJ$505,"&gt;"&amp;$A115,実績!$AK$6:$AK$505,"○")&gt;0,1,0))</f>
        <v>0</v>
      </c>
      <c r="AC115" s="39" t="n">
        <f aca="false">IF(AC$4=0,0,IF(COUNTIFS(実績!$W$6:$W$505,AC$3,実績!$AI$6:$AI$505,"&lt;="&amp;$A115,実績!$AJ$6:$AJ$505,"&gt;"&amp;$A115,実績!$AK$6:$AK$505,"○")&gt;0,1,0))</f>
        <v>0</v>
      </c>
      <c r="AD115" s="39" t="n">
        <f aca="false">IF(AD$4=0,0,IF(COUNTIFS(実績!$W$6:$W$505,AD$3,実績!$AI$6:$AI$505,"&lt;="&amp;$A115,実績!$AJ$6:$AJ$505,"&gt;"&amp;$A115,実績!$AK$6:$AK$505,"○")&gt;0,1,0))</f>
        <v>0</v>
      </c>
      <c r="AE115" s="39" t="n">
        <f aca="false">IF(AE$4=0,0,IF(COUNTIFS(実績!$W$6:$W$505,AE$3,実績!$AI$6:$AI$505,"&lt;="&amp;$A115,実績!$AJ$6:$AJ$505,"&gt;"&amp;$A115,実績!$AK$6:$AK$505,"○")&gt;0,1,0))</f>
        <v>0</v>
      </c>
      <c r="AF115" s="39" t="n">
        <f aca="false">IF(AF$4=0,0,IF(COUNTIFS(実績!$W$6:$W$505,AF$3,実績!$AI$6:$AI$505,"&lt;="&amp;$A115,実績!$AJ$6:$AJ$505,"&gt;"&amp;$A115,実績!$AK$6:$AK$505,"○")&gt;0,1,0))</f>
        <v>0</v>
      </c>
      <c r="AG115" s="39" t="n">
        <f aca="false">IF(AG$4=0,0,IF(COUNTIFS(実績!$W$6:$W$505,AG$3,実績!$AI$6:$AI$505,"&lt;="&amp;$A115,実績!$AJ$6:$AJ$505,"&gt;"&amp;$A115,実績!$AK$6:$AK$505,"○")&gt;0,1,0))</f>
        <v>0</v>
      </c>
      <c r="AH115" s="39" t="n">
        <f aca="false">IF(AH$4=0,0,IF(COUNTIFS(実績!$W$6:$W$505,AH$3,実績!$AI$6:$AI$505,"&lt;="&amp;$A115,実績!$AJ$6:$AJ$505,"&gt;"&amp;$A115,実績!$AK$6:$AK$505,"○")&gt;0,1,0))</f>
        <v>0</v>
      </c>
      <c r="AI115" s="39" t="n">
        <f aca="false">IF(AI$4=0,0,IF(COUNTIFS(実績!$W$6:$W$505,AI$3,実績!$AI$6:$AI$505,"&lt;="&amp;$A115,実績!$AJ$6:$AJ$505,"&gt;"&amp;$A115,実績!$AK$6:$AK$505,"○")&gt;0,1,0))</f>
        <v>0</v>
      </c>
      <c r="AJ115" s="39" t="n">
        <f aca="false">IF(AJ$4=0,0,IF(COUNTIFS(実績!$W$6:$W$505,AJ$3,実績!$AI$6:$AI$505,"&lt;="&amp;$A115,実績!$AJ$6:$AJ$505,"&gt;"&amp;$A115,実績!$AK$6:$AK$505,"○")&gt;0,1,0))</f>
        <v>0</v>
      </c>
      <c r="AK115" s="39" t="n">
        <f aca="false">IF(AK$4=0,0,IF(COUNTIFS(実績!$W$6:$W$505,AK$3,実績!$AI$6:$AI$505,"&lt;="&amp;$A115,実績!$AJ$6:$AJ$505,"&gt;"&amp;$A115,実績!$AK$6:$AK$505,"○")&gt;0,1,0))</f>
        <v>0</v>
      </c>
      <c r="AL115" s="39" t="n">
        <f aca="false">IF(AL$4=0,0,IF(COUNTIFS(実績!$W$6:$W$505,AL$3,実績!$AI$6:$AI$505,"&lt;="&amp;$A115,実績!$AJ$6:$AJ$505,"&gt;"&amp;$A115,実績!$AK$6:$AK$505,"○")&gt;0,1,0))</f>
        <v>0</v>
      </c>
      <c r="AM115" s="39" t="n">
        <f aca="false">IF(AM$4=0,0,IF(COUNTIFS(実績!$W$6:$W$505,AM$3,実績!$AI$6:$AI$505,"&lt;="&amp;$A115,実績!$AJ$6:$AJ$505,"&gt;"&amp;$A115,実績!$AK$6:$AK$505,"○")&gt;0,1,0))</f>
        <v>0</v>
      </c>
      <c r="AN115" s="39" t="n">
        <f aca="false">IF(AN$4=0,0,IF(COUNTIFS(実績!$W$6:$W$505,AN$3,実績!$AI$6:$AI$505,"&lt;="&amp;$A115,実績!$AJ$6:$AJ$505,"&gt;"&amp;$A115,実績!$AK$6:$AK$505,"○")&gt;0,1,0))</f>
        <v>0</v>
      </c>
      <c r="AO115" s="39" t="n">
        <f aca="false">IF(AO$4=0,0,IF(COUNTIFS(実績!$W$6:$W$505,AO$3,実績!$AI$6:$AI$505,"&lt;="&amp;$A115,実績!$AJ$6:$AJ$505,"&gt;"&amp;$A115,実績!$AK$6:$AK$505,"○")&gt;0,1,0))</f>
        <v>0</v>
      </c>
      <c r="AP115" s="39" t="n">
        <f aca="false">IF(AP$4=0,0,IF(COUNTIFS(実績!$W$6:$W$505,AP$3,実績!$AI$6:$AI$505,"&lt;="&amp;$A115,実績!$AJ$6:$AJ$505,"&gt;"&amp;$A115,実績!$AK$6:$AK$505,"○")&gt;0,1,0))</f>
        <v>0</v>
      </c>
      <c r="AQ115" s="39" t="n">
        <f aca="false">IF(AQ$4=0,0,IF(COUNTIFS(実績!$W$6:$W$505,AQ$3,実績!$AI$6:$AI$505,"&lt;="&amp;$A115,実績!$AJ$6:$AJ$505,"&gt;"&amp;$A115,実績!$AK$6:$AK$505,"○")&gt;0,1,0))</f>
        <v>0</v>
      </c>
      <c r="AR115" s="39" t="n">
        <f aca="false">IF(AR$4=0,0,IF(COUNTIFS(実績!$W$6:$W$505,AR$3,実績!$AI$6:$AI$505,"&lt;="&amp;$A115,実績!$AJ$6:$AJ$505,"&gt;"&amp;$A115,実績!$AK$6:$AK$505,"○")&gt;0,1,0))</f>
        <v>0</v>
      </c>
      <c r="AS115" s="39" t="n">
        <f aca="false">IF(AS$4=0,0,IF(COUNTIFS(実績!$W$6:$W$505,AS$3,実績!$AI$6:$AI$505,"&lt;="&amp;$A115,実績!$AJ$6:$AJ$505,"&gt;"&amp;$A115,実績!$AK$6:$AK$505,"○")&gt;0,1,0))</f>
        <v>0</v>
      </c>
      <c r="AT115" s="39" t="n">
        <f aca="false">IF(AT$4=0,0,IF(COUNTIFS(実績!$W$6:$W$505,AT$3,実績!$AI$6:$AI$505,"&lt;="&amp;$A115,実績!$AJ$6:$AJ$505,"&gt;"&amp;$A115,実績!$AK$6:$AK$505,"○")&gt;0,1,0))</f>
        <v>0</v>
      </c>
      <c r="AU115" s="39" t="n">
        <f aca="false">IF(AU$4=0,0,IF(COUNTIFS(実績!$W$6:$W$505,AU$3,実績!$AI$6:$AI$505,"&lt;="&amp;$A115,実績!$AJ$6:$AJ$505,"&gt;"&amp;$A115,実績!$AK$6:$AK$505,"○")&gt;0,1,0))</f>
        <v>0</v>
      </c>
      <c r="AV115" s="39" t="n">
        <f aca="false">IF(AV$4=0,0,IF(COUNTIFS(実績!$W$6:$W$505,AV$3,実績!$AI$6:$AI$505,"&lt;="&amp;$A115,実績!$AJ$6:$AJ$505,"&gt;"&amp;$A115,実績!$AK$6:$AK$505,"○")&gt;0,1,0))</f>
        <v>0</v>
      </c>
      <c r="AW115" s="39" t="n">
        <f aca="false">IF(AW$4=0,0,IF(COUNTIFS(実績!$W$6:$W$505,AW$3,実績!$AI$6:$AI$505,"&lt;="&amp;$A115,実績!$AJ$6:$AJ$505,"&gt;"&amp;$A115,実績!$AK$6:$AK$505,"○")&gt;0,1,0))</f>
        <v>0</v>
      </c>
      <c r="AX115" s="39" t="n">
        <f aca="false">IF(AX$4=0,0,IF(COUNTIFS(実績!$W$6:$W$505,AX$3,実績!$AI$6:$AI$505,"&lt;="&amp;$A115,実績!$AJ$6:$AJ$505,"&gt;"&amp;$A115,実績!$AK$6:$AK$505,"○")&gt;0,1,0))</f>
        <v>0</v>
      </c>
      <c r="AY115" s="39" t="n">
        <f aca="false">IF(AY$4=0,0,IF(COUNTIFS(実績!$W$6:$W$505,AY$3,実績!$AI$6:$AI$505,"&lt;="&amp;$A115,実績!$AJ$6:$AJ$505,"&gt;"&amp;$A115,実績!$AK$6:$AK$505,"○")&gt;0,1,0))</f>
        <v>0</v>
      </c>
      <c r="AZ115" s="39" t="n">
        <f aca="false">IF(AZ$4=0,0,IF(COUNTIFS(実績!$W$6:$W$505,AZ$3,実績!$AI$6:$AI$505,"&lt;="&amp;$A115,実績!$AJ$6:$AJ$505,"&gt;"&amp;$A115,実績!$AK$6:$AK$505,"○")&gt;0,1,0))</f>
        <v>0</v>
      </c>
      <c r="BA115" s="39" t="n">
        <f aca="false">IF(BA$4=0,0,IF(COUNTIFS(実績!$W$6:$W$505,BA$3,実績!$AI$6:$AI$505,"&lt;="&amp;$A115,実績!$AJ$6:$AJ$505,"&gt;"&amp;$A115,実績!$AK$6:$AK$505,"○")&gt;0,1,0))</f>
        <v>0</v>
      </c>
      <c r="BB115" s="39" t="n">
        <f aca="false">IF(BB$4=0,0,IF(COUNTIFS(実績!$W$6:$W$505,BB$3,実績!$AI$6:$AI$505,"&lt;="&amp;$A115,実績!$AJ$6:$AJ$505,"&gt;"&amp;$A115,実績!$AK$6:$AK$505,"○")&gt;0,1,0))</f>
        <v>0</v>
      </c>
      <c r="BC115" s="39" t="n">
        <f aca="false">IF(BC$4=0,0,IF(COUNTIFS(実績!$W$6:$W$505,BC$3,実績!$AI$6:$AI$505,"&lt;="&amp;$A115,実績!$AJ$6:$AJ$505,"&gt;"&amp;$A115,実績!$AK$6:$AK$505,"○")&gt;0,1,0))</f>
        <v>0</v>
      </c>
      <c r="BD115" s="39" t="n">
        <f aca="false">IF(BD$4=0,0,IF(COUNTIFS(実績!$W$6:$W$505,BD$3,実績!$AI$6:$AI$505,"&lt;="&amp;$A115,実績!$AJ$6:$AJ$505,"&gt;"&amp;$A115,実績!$AK$6:$AK$505,"○")&gt;0,1,0))</f>
        <v>0</v>
      </c>
      <c r="BE115" s="39" t="n">
        <f aca="false">IF(BE$4=0,0,IF(COUNTIFS(実績!$W$6:$W$505,BE$3,実績!$AI$6:$AI$505,"&lt;="&amp;$A115,実績!$AJ$6:$AJ$505,"&gt;"&amp;$A115,実績!$AK$6:$AK$505,"○")&gt;0,1,0))</f>
        <v>0</v>
      </c>
      <c r="BF115" s="39" t="n">
        <f aca="false">IF(BF$4=0,0,IF(COUNTIFS(実績!$W$6:$W$505,BF$3,実績!$AI$6:$AI$505,"&lt;="&amp;$A115,実績!$AJ$6:$AJ$505,"&gt;"&amp;$A115,実績!$AK$6:$AK$505,"○")&gt;0,1,0))</f>
        <v>0</v>
      </c>
      <c r="BG115" s="39" t="n">
        <f aca="false">IF(BG$4=0,0,IF(COUNTIFS(実績!$W$6:$W$505,BG$3,実績!$AI$6:$AI$505,"&lt;="&amp;$A115,実績!$AJ$6:$AJ$505,"&gt;"&amp;$A115,実績!$AK$6:$AK$505,"○")&gt;0,1,0))</f>
        <v>0</v>
      </c>
      <c r="BH115" s="39" t="n">
        <f aca="false">IF(BH$4=0,0,IF(COUNTIFS(実績!$W$6:$W$505,BH$3,実績!$AI$6:$AI$505,"&lt;="&amp;$A115,実績!$AJ$6:$AJ$505,"&gt;"&amp;$A115,実績!$AK$6:$AK$505,"○")&gt;0,1,0))</f>
        <v>0</v>
      </c>
      <c r="BI115" s="39" t="n">
        <f aca="false">IF(BI$4=0,0,IF(COUNTIFS(実績!$W$6:$W$505,BI$3,実績!$AI$6:$AI$505,"&lt;="&amp;$A115,実績!$AJ$6:$AJ$505,"&gt;"&amp;$A115,実績!$AK$6:$AK$505,"○")&gt;0,1,0))</f>
        <v>0</v>
      </c>
      <c r="BJ115" s="39" t="n">
        <f aca="false">IF(BJ$4=0,0,IF(COUNTIFS(実績!$W$6:$W$505,BJ$3,実績!$AI$6:$AI$505,"&lt;="&amp;$A115,実績!$AJ$6:$AJ$505,"&gt;"&amp;$A115,実績!$AK$6:$AK$505,"○")&gt;0,1,0))</f>
        <v>0</v>
      </c>
      <c r="BK115" s="39" t="n">
        <f aca="false">IF(BK$4=0,0,IF(COUNTIFS(実績!$W$6:$W$505,BK$3,実績!$AI$6:$AI$505,"&lt;="&amp;$A115,実績!$AJ$6:$AJ$505,"&gt;"&amp;$A115,実績!$AK$6:$AK$505,"○")&gt;0,1,0))</f>
        <v>0</v>
      </c>
      <c r="BL115" s="39" t="n">
        <f aca="false">IF(BL$4=0,0,IF(COUNTIFS(実績!$W$6:$W$505,BL$3,実績!$AI$6:$AI$505,"&lt;="&amp;$A115,実績!$AJ$6:$AJ$505,"&gt;"&amp;$A115,実績!$AK$6:$AK$505,"○")&gt;0,1,0))</f>
        <v>0</v>
      </c>
      <c r="BM115" s="39" t="n">
        <f aca="false">IF(BM$4=0,0,IF(COUNTIFS(実績!$W$6:$W$505,BM$3,実績!$AI$6:$AI$505,"&lt;="&amp;$A115,実績!$AJ$6:$AJ$505,"&gt;"&amp;$A115,実績!$AK$6:$AK$505,"○")&gt;0,1,0))</f>
        <v>0</v>
      </c>
      <c r="BN115" s="39" t="n">
        <f aca="false">IF(BN$4=0,0,IF(COUNTIFS(実績!$W$6:$W$505,BN$3,実績!$AI$6:$AI$505,"&lt;="&amp;$A115,実績!$AJ$6:$AJ$505,"&gt;"&amp;$A115,実績!$AK$6:$AK$505,"○")&gt;0,1,0))</f>
        <v>0</v>
      </c>
      <c r="BO115" s="39" t="n">
        <f aca="false">IF(BO$4=0,0,IF(COUNTIFS(実績!$W$6:$W$505,BO$3,実績!$AI$6:$AI$505,"&lt;="&amp;$A115,実績!$AJ$6:$AJ$505,"&gt;"&amp;$A115,実績!$AK$6:$AK$505,"○")&gt;0,1,0))</f>
        <v>0</v>
      </c>
      <c r="BP115" s="39" t="n">
        <f aca="false">IF(BP$4=0,0,IF(COUNTIFS(実績!$W$6:$W$505,BP$3,実績!$AI$6:$AI$505,"&lt;="&amp;$A115,実績!$AJ$6:$AJ$505,"&gt;"&amp;$A115,実績!$AK$6:$AK$505,"○")&gt;0,1,0))</f>
        <v>0</v>
      </c>
      <c r="BQ115" s="39" t="n">
        <f aca="false">IF(BQ$4=0,0,IF(COUNTIFS(実績!$W$6:$W$505,BQ$3,実績!$AI$6:$AI$505,"&lt;="&amp;$A115,実績!$AJ$6:$AJ$505,"&gt;"&amp;$A115,実績!$AK$6:$AK$505,"○")&gt;0,1,0))</f>
        <v>0</v>
      </c>
      <c r="BR115" s="39" t="n">
        <f aca="false">IF(BR$4=0,0,IF(COUNTIFS(実績!$W$6:$W$505,BR$3,実績!$AI$6:$AI$505,"&lt;="&amp;$A115,実績!$AJ$6:$AJ$505,"&gt;"&amp;$A115,実績!$AK$6:$AK$505,"○")&gt;0,1,0))</f>
        <v>0</v>
      </c>
      <c r="BS115" s="39" t="n">
        <f aca="false">IF(BS$4=0,0,IF(COUNTIFS(実績!$W$6:$W$505,BS$3,実績!$AI$6:$AI$505,"&lt;="&amp;$A115,実績!$AJ$6:$AJ$505,"&gt;"&amp;$A115,実績!$AK$6:$AK$505,"○")&gt;0,1,0))</f>
        <v>0</v>
      </c>
      <c r="BT115" s="39" t="n">
        <f aca="false">IF(BT$4=0,0,IF(COUNTIFS(実績!$W$6:$W$505,BT$3,実績!$AI$6:$AI$505,"&lt;="&amp;$A115,実績!$AJ$6:$AJ$505,"&gt;"&amp;$A115,実績!$AK$6:$AK$505,"○")&gt;0,1,0))</f>
        <v>0</v>
      </c>
      <c r="BU115" s="39" t="n">
        <f aca="false">IF(BU$4=0,0,IF(COUNTIFS(実績!$W$6:$W$505,BU$3,実績!$AI$6:$AI$505,"&lt;="&amp;$A115,実績!$AJ$6:$AJ$505,"&gt;"&amp;$A115,実績!$AK$6:$AK$505,"○")&gt;0,1,0))</f>
        <v>0</v>
      </c>
      <c r="BV115" s="39" t="n">
        <f aca="false">IF(BV$4=0,0,IF(COUNTIFS(実績!$W$6:$W$505,BV$3,実績!$AI$6:$AI$505,"&lt;="&amp;$A115,実績!$AJ$6:$AJ$505,"&gt;"&amp;$A115,実績!$AK$6:$AK$505,"○")&gt;0,1,0))</f>
        <v>0</v>
      </c>
      <c r="BW115" s="39" t="n">
        <f aca="false">IF(BW$4=0,0,IF(COUNTIFS(実績!$W$6:$W$505,BW$3,実績!$AI$6:$AI$505,"&lt;="&amp;$A115,実績!$AJ$6:$AJ$505,"&gt;"&amp;$A115,実績!$AK$6:$AK$505,"○")&gt;0,1,0))</f>
        <v>0</v>
      </c>
      <c r="BX115" s="39" t="n">
        <f aca="false">IF(BX$4=0,0,IF(COUNTIFS(実績!$W$6:$W$505,BX$3,実績!$AI$6:$AI$505,"&lt;="&amp;$A115,実績!$AJ$6:$AJ$505,"&gt;"&amp;$A115,実績!$AK$6:$AK$505,"○")&gt;0,1,0))</f>
        <v>0</v>
      </c>
      <c r="BY115" s="39" t="n">
        <f aca="false">IF(BY$4=0,0,IF(COUNTIFS(実績!$W$6:$W$505,BY$3,実績!$AI$6:$AI$505,"&lt;="&amp;$A115,実績!$AJ$6:$AJ$505,"&gt;"&amp;$A115,実績!$AK$6:$AK$505,"○")&gt;0,1,0))</f>
        <v>0</v>
      </c>
      <c r="BZ115" s="39" t="n">
        <f aca="false">IF(BZ$4=0,0,IF(COUNTIFS(実績!$W$6:$W$505,BZ$3,実績!$AI$6:$AI$505,"&lt;="&amp;$A115,実績!$AJ$6:$AJ$505,"&gt;"&amp;$A115,実績!$AK$6:$AK$505,"○")&gt;0,1,0))</f>
        <v>0</v>
      </c>
      <c r="CA115" s="39" t="n">
        <f aca="false">IF(CA$4=0,0,IF(COUNTIFS(実績!$W$6:$W$505,CA$3,実績!$AI$6:$AI$505,"&lt;="&amp;$A115,実績!$AJ$6:$AJ$505,"&gt;"&amp;$A115,実績!$AK$6:$AK$505,"○")&gt;0,1,0))</f>
        <v>0</v>
      </c>
      <c r="CB115" s="39" t="n">
        <f aca="false">IF(CB$4=0,0,IF(COUNTIFS(実績!$W$6:$W$505,CB$3,実績!$AI$6:$AI$505,"&lt;="&amp;$A115,実績!$AJ$6:$AJ$505,"&gt;"&amp;$A115,実績!$AK$6:$AK$505,"○")&gt;0,1,0))</f>
        <v>0</v>
      </c>
      <c r="CC115" s="39" t="n">
        <f aca="false">IF(CC$4=0,0,IF(COUNTIFS(実績!$W$6:$W$505,CC$3,実績!$AI$6:$AI$505,"&lt;="&amp;$A115,実績!$AJ$6:$AJ$505,"&gt;"&amp;$A115,実績!$AK$6:$AK$505,"○")&gt;0,1,0))</f>
        <v>0</v>
      </c>
      <c r="CD115" s="39" t="n">
        <f aca="false">IF(CD$4=0,0,IF(COUNTIFS(実績!$W$6:$W$505,CD$3,実績!$AI$6:$AI$505,"&lt;="&amp;$A115,実績!$AJ$6:$AJ$505,"&gt;"&amp;$A115,実績!$AK$6:$AK$505,"○")&gt;0,1,0))</f>
        <v>0</v>
      </c>
      <c r="CE115" s="39" t="n">
        <f aca="false">IF(CE$4=0,0,IF(COUNTIFS(実績!$W$6:$W$505,CE$3,実績!$AI$6:$AI$505,"&lt;="&amp;$A115,実績!$AJ$6:$AJ$505,"&gt;"&amp;$A115,実績!$AK$6:$AK$505,"○")&gt;0,1,0))</f>
        <v>0</v>
      </c>
      <c r="CF115" s="39" t="n">
        <f aca="false">IF(CF$4=0,0,IF(COUNTIFS(実績!$W$6:$W$505,CF$3,実績!$AI$6:$AI$505,"&lt;="&amp;$A115,実績!$AJ$6:$AJ$505,"&gt;"&amp;$A115,実績!$AK$6:$AK$505,"○")&gt;0,1,0))</f>
        <v>0</v>
      </c>
      <c r="CG115" s="39" t="n">
        <f aca="false">IF(CG$4=0,0,IF(COUNTIFS(実績!$W$6:$W$505,CG$3,実績!$AI$6:$AI$505,"&lt;="&amp;$A115,実績!$AJ$6:$AJ$505,"&gt;"&amp;$A115,実績!$AK$6:$AK$505,"○")&gt;0,1,0))</f>
        <v>0</v>
      </c>
      <c r="CH115" s="39" t="n">
        <f aca="false">IF(CH$4=0,0,IF(COUNTIFS(実績!$W$6:$W$505,CH$3,実績!$AI$6:$AI$505,"&lt;="&amp;$A115,実績!$AJ$6:$AJ$505,"&gt;"&amp;$A115,実績!$AK$6:$AK$505,"○")&gt;0,1,0))</f>
        <v>0</v>
      </c>
      <c r="CI115" s="39" t="n">
        <f aca="false">IF(CI$4=0,0,IF(COUNTIFS(実績!$W$6:$W$505,CI$3,実績!$AI$6:$AI$505,"&lt;="&amp;$A115,実績!$AJ$6:$AJ$505,"&gt;"&amp;$A115,実績!$AK$6:$AK$505,"○")&gt;0,1,0))</f>
        <v>0</v>
      </c>
      <c r="CJ115" s="39" t="n">
        <f aca="false">IF(CJ$4=0,0,IF(COUNTIFS(実績!$W$6:$W$505,CJ$3,実績!$AI$6:$AI$505,"&lt;="&amp;$A115,実績!$AJ$6:$AJ$505,"&gt;"&amp;$A115,実績!$AK$6:$AK$505,"○")&gt;0,1,0))</f>
        <v>0</v>
      </c>
      <c r="CK115" s="39" t="n">
        <f aca="false">IF(CK$4=0,0,IF(COUNTIFS(実績!$W$6:$W$505,CK$3,実績!$AI$6:$AI$505,"&lt;="&amp;$A115,実績!$AJ$6:$AJ$505,"&gt;"&amp;$A115,実績!$AK$6:$AK$505,"○")&gt;0,1,0))</f>
        <v>0</v>
      </c>
      <c r="CL115" s="39" t="n">
        <f aca="false">IF(CL$4=0,0,IF(COUNTIFS(実績!$W$6:$W$505,CL$3,実績!$AI$6:$AI$505,"&lt;="&amp;$A115,実績!$AJ$6:$AJ$505,"&gt;"&amp;$A115,実績!$AK$6:$AK$505,"○")&gt;0,1,0))</f>
        <v>0</v>
      </c>
      <c r="CM115" s="39" t="n">
        <f aca="false">IF(CM$4=0,0,IF(COUNTIFS(実績!$W$6:$W$505,CM$3,実績!$AI$6:$AI$505,"&lt;="&amp;$A115,実績!$AJ$6:$AJ$505,"&gt;"&amp;$A115,実績!$AK$6:$AK$505,"○")&gt;0,1,0))</f>
        <v>0</v>
      </c>
      <c r="CN115" s="39" t="n">
        <f aca="false">IF(CN$4=0,0,IF(COUNTIFS(実績!$W$6:$W$505,CN$3,実績!$AI$6:$AI$505,"&lt;="&amp;$A115,実績!$AJ$6:$AJ$505,"&gt;"&amp;$A115,実績!$AK$6:$AK$505,"○")&gt;0,1,0))</f>
        <v>0</v>
      </c>
      <c r="CO115" s="39" t="n">
        <f aca="false">IF(CO$4=0,0,IF(COUNTIFS(実績!$W$6:$W$505,CO$3,実績!$AI$6:$AI$505,"&lt;="&amp;$A115,実績!$AJ$6:$AJ$505,"&gt;"&amp;$A115,実績!$AK$6:$AK$505,"○")&gt;0,1,0))</f>
        <v>0</v>
      </c>
      <c r="CP115" s="39" t="n">
        <f aca="false">IF(CP$4=0,0,IF(COUNTIFS(実績!$W$6:$W$505,CP$3,実績!$AI$6:$AI$505,"&lt;="&amp;$A115,実績!$AJ$6:$AJ$505,"&gt;"&amp;$A115,実績!$AK$6:$AK$505,"○")&gt;0,1,0))</f>
        <v>0</v>
      </c>
      <c r="CQ115" s="39" t="n">
        <f aca="false">IF(CQ$4=0,0,IF(COUNTIFS(実績!$W$6:$W$505,CQ$3,実績!$AI$6:$AI$505,"&lt;="&amp;$A115,実績!$AJ$6:$AJ$505,"&gt;"&amp;$A115,実績!$AK$6:$AK$505,"○")&gt;0,1,0))</f>
        <v>0</v>
      </c>
      <c r="CR115" s="39" t="n">
        <f aca="false">IF(CR$4=0,0,IF(COUNTIFS(実績!$W$6:$W$505,CR$3,実績!$AI$6:$AI$505,"&lt;="&amp;$A115,実績!$AJ$6:$AJ$505,"&gt;"&amp;$A115,実績!$AK$6:$AK$505,"○")&gt;0,1,0))</f>
        <v>0</v>
      </c>
      <c r="CS115" s="39" t="n">
        <f aca="false">IF(CS$4=0,0,IF(COUNTIFS(実績!$W$6:$W$505,CS$3,実績!$AI$6:$AI$505,"&lt;="&amp;$A115,実績!$AJ$6:$AJ$505,"&gt;"&amp;$A115,実績!$AK$6:$AK$505,"○")&gt;0,1,0))</f>
        <v>0</v>
      </c>
      <c r="CT115" s="39" t="n">
        <f aca="false">IF(CT$4=0,0,IF(COUNTIFS(実績!$W$6:$W$505,CT$3,実績!$AI$6:$AI$505,"&lt;="&amp;$A115,実績!$AJ$6:$AJ$505,"&gt;"&amp;$A115,実績!$AK$6:$AK$505,"○")&gt;0,1,0))</f>
        <v>0</v>
      </c>
      <c r="CU115" s="39" t="n">
        <f aca="false">IF(CU$4=0,0,IF(COUNTIFS(実績!$W$6:$W$505,CU$3,実績!$AI$6:$AI$505,"&lt;="&amp;$A115,実績!$AJ$6:$AJ$505,"&gt;"&amp;$A115,実績!$AK$6:$AK$505,"○")&gt;0,1,0))</f>
        <v>0</v>
      </c>
      <c r="CV115" s="39" t="n">
        <f aca="false">IF(CV$4=0,0,IF(COUNTIFS(実績!$W$6:$W$505,CV$3,実績!$AI$6:$AI$505,"&lt;="&amp;$A115,実績!$AJ$6:$AJ$505,"&gt;"&amp;$A115,実績!$AK$6:$AK$505,"○")&gt;0,1,0))</f>
        <v>0</v>
      </c>
      <c r="CW115" s="39" t="n">
        <f aca="false">IF(CW$4=0,0,IF(COUNTIFS(実績!$W$6:$W$505,CW$3,実績!$AI$6:$AI$505,"&lt;="&amp;$A115,実績!$AJ$6:$AJ$505,"&gt;"&amp;$A115,実績!$AK$6:$AK$505,"○")&gt;0,1,0))</f>
        <v>0</v>
      </c>
      <c r="CX115" s="39" t="n">
        <f aca="false">IF(CX$4=0,0,IF(COUNTIFS(実績!$W$6:$W$505,CX$3,実績!$AI$6:$AI$505,"&lt;="&amp;$A115,実績!$AJ$6:$AJ$505,"&gt;"&amp;$A115,実績!$AK$6:$AK$505,"○")&gt;0,1,0))</f>
        <v>0</v>
      </c>
      <c r="CY115" s="39" t="n">
        <f aca="false">IF(CY$4=0,0,IF(COUNTIFS(実績!$W$6:$W$505,CY$3,実績!$AI$6:$AI$505,"&lt;="&amp;$A115,実績!$AJ$6:$AJ$505,"&gt;"&amp;$A115,実績!$AK$6:$AK$505,"○")&gt;0,1,0))</f>
        <v>0</v>
      </c>
      <c r="CZ115" s="39" t="n">
        <f aca="false">IF(CZ$4=0,0,IF(COUNTIFS(実績!$W$6:$W$505,CZ$3,実績!$AI$6:$AI$505,"&lt;="&amp;$A115,実績!$AJ$6:$AJ$505,"&gt;"&amp;$A115,実績!$AK$6:$AK$505,"○")&gt;0,1,0))</f>
        <v>0</v>
      </c>
      <c r="DA115" s="39" t="n">
        <f aca="false">IF(DA$4=0,0,IF(COUNTIFS(実績!$W$6:$W$505,DA$3,実績!$AI$6:$AI$505,"&lt;="&amp;$A115,実績!$AJ$6:$AJ$505,"&gt;"&amp;$A115,実績!$AK$6:$AK$505,"○")&gt;0,1,0))</f>
        <v>0</v>
      </c>
      <c r="DB115" s="39" t="n">
        <f aca="false">IF(DB$4=0,0,IF(COUNTIFS(実績!$W$6:$W$505,DB$3,実績!$AI$6:$AI$505,"&lt;="&amp;$A115,実績!$AJ$6:$AJ$505,"&gt;"&amp;$A115,実績!$AK$6:$AK$505,"○")&gt;0,1,0))</f>
        <v>0</v>
      </c>
      <c r="DC115" s="39" t="n">
        <f aca="false">IF(DC$4=0,0,IF(COUNTIFS(実績!$W$6:$W$505,DC$3,実績!$AI$6:$AI$505,"&lt;="&amp;$A115,実績!$AJ$6:$AJ$505,"&gt;"&amp;$A115,実績!$AK$6:$AK$505,"○")&gt;0,1,0))</f>
        <v>0</v>
      </c>
      <c r="DD115" s="39" t="n">
        <f aca="false">IF(DD$4=0,0,IF(COUNTIFS(実績!$W$6:$W$505,DD$3,実績!$AI$6:$AI$505,"&lt;="&amp;$A115,実績!$AJ$6:$AJ$505,"&gt;"&amp;$A115,実績!$AK$6:$AK$505,"○")&gt;0,1,0))</f>
        <v>0</v>
      </c>
      <c r="DE115" s="39" t="n">
        <f aca="false">IF(DE$4=0,0,IF(COUNTIFS(実績!$W$6:$W$505,DE$3,実績!$AI$6:$AI$505,"&lt;="&amp;$A115,実績!$AJ$6:$AJ$505,"&gt;"&amp;$A115,実績!$AK$6:$AK$505,"○")&gt;0,1,0))</f>
        <v>0</v>
      </c>
      <c r="DF115" s="39" t="n">
        <f aca="false">IF(DF$4=0,0,IF(COUNTIFS(実績!$W$6:$W$505,DF$3,実績!$AI$6:$AI$505,"&lt;="&amp;$A115,実績!$AJ$6:$AJ$505,"&gt;"&amp;$A115,実績!$AK$6:$AK$505,"○")&gt;0,1,0))</f>
        <v>0</v>
      </c>
      <c r="DG115" s="39" t="n">
        <f aca="false">IF(DG$4=0,0,IF(COUNTIFS(実績!$W$6:$W$505,DG$3,実績!$AI$6:$AI$505,"&lt;="&amp;$A115,実績!$AJ$6:$AJ$505,"&gt;"&amp;$A115,実績!$AK$6:$AK$505,"○")&gt;0,1,0))</f>
        <v>0</v>
      </c>
      <c r="DH115" s="39" t="n">
        <f aca="false">IF(DH$4=0,0,IF(COUNTIFS(実績!$W$6:$W$505,DH$3,実績!$AI$6:$AI$505,"&lt;="&amp;$A115,実績!$AJ$6:$AJ$505,"&gt;"&amp;$A115,実績!$AK$6:$AK$505,"○")&gt;0,1,0))</f>
        <v>0</v>
      </c>
      <c r="DI115" s="39" t="n">
        <f aca="false">IF(DI$4=0,0,IF(COUNTIFS(実績!$W$6:$W$505,DI$3,実績!$AI$6:$AI$505,"&lt;="&amp;$A115,実績!$AJ$6:$AJ$505,"&gt;"&amp;$A115,実績!$AK$6:$AK$505,"○")&gt;0,1,0))</f>
        <v>0</v>
      </c>
      <c r="DJ115" s="39" t="n">
        <f aca="false">IF(DJ$4=0,0,IF(COUNTIFS(実績!$W$6:$W$505,DJ$3,実績!$AI$6:$AI$505,"&lt;="&amp;$A115,実績!$AJ$6:$AJ$505,"&gt;"&amp;$A115,実績!$AK$6:$AK$505,"○")&gt;0,1,0))</f>
        <v>0</v>
      </c>
      <c r="DK115" s="39" t="n">
        <f aca="false">IF(DK$4=0,0,IF(COUNTIFS(実績!$W$6:$W$505,DK$3,実績!$AI$6:$AI$505,"&lt;="&amp;$A115,実績!$AJ$6:$AJ$505,"&gt;"&amp;$A115,実績!$AK$6:$AK$505,"○")&gt;0,1,0))</f>
        <v>0</v>
      </c>
      <c r="DL115" s="39" t="n">
        <f aca="false">IF(DL$4=0,0,IF(COUNTIFS(実績!$W$6:$W$505,DL$3,実績!$AI$6:$AI$505,"&lt;="&amp;$A115,実績!$AJ$6:$AJ$505,"&gt;"&amp;$A115,実績!$AK$6:$AK$505,"○")&gt;0,1,0))</f>
        <v>0</v>
      </c>
      <c r="DM115" s="39" t="n">
        <f aca="false">IF(DM$4=0,0,IF(COUNTIFS(実績!$W$6:$W$505,DM$3,実績!$AI$6:$AI$505,"&lt;="&amp;$A115,実績!$AJ$6:$AJ$505,"&gt;"&amp;$A115,実績!$AK$6:$AK$505,"○")&gt;0,1,0))</f>
        <v>0</v>
      </c>
      <c r="DN115" s="39" t="n">
        <f aca="false">IF(DN$4=0,0,IF(COUNTIFS(実績!$W$6:$W$505,DN$3,実績!$AI$6:$AI$505,"&lt;="&amp;$A115,実績!$AJ$6:$AJ$505,"&gt;"&amp;$A115,実績!$AK$6:$AK$505,"○")&gt;0,1,0))</f>
        <v>0</v>
      </c>
      <c r="DO115" s="39" t="n">
        <f aca="false">IF(DO$4=0,0,IF(COUNTIFS(実績!$W$6:$W$505,DO$3,実績!$AI$6:$AI$505,"&lt;="&amp;$A115,実績!$AJ$6:$AJ$505,"&gt;"&amp;$A115,実績!$AK$6:$AK$505,"○")&gt;0,1,0))</f>
        <v>0</v>
      </c>
      <c r="DP115" s="39" t="n">
        <f aca="false">IF(DP$4=0,0,IF(COUNTIFS(実績!$W$6:$W$505,DP$3,実績!$AI$6:$AI$505,"&lt;="&amp;$A115,実績!$AJ$6:$AJ$505,"&gt;"&amp;$A115,実績!$AK$6:$AK$505,"○")&gt;0,1,0))</f>
        <v>0</v>
      </c>
      <c r="DQ115" s="39" t="n">
        <f aca="false">IF(DQ$4=0,0,IF(COUNTIFS(実績!$W$6:$W$505,DQ$3,実績!$AI$6:$AI$505,"&lt;="&amp;$A115,実績!$AJ$6:$AJ$505,"&gt;"&amp;$A115,実績!$AK$6:$AK$505,"○")&gt;0,1,0))</f>
        <v>0</v>
      </c>
      <c r="DR115" s="39" t="n">
        <f aca="false">IF(DR$4=0,0,IF(COUNTIFS(実績!$W$6:$W$505,DR$3,実績!$AI$6:$AI$505,"&lt;="&amp;$A115,実績!$AJ$6:$AJ$505,"&gt;"&amp;$A115,実績!$AK$6:$AK$505,"○")&gt;0,1,0))</f>
        <v>0</v>
      </c>
      <c r="DS115" s="39" t="n">
        <f aca="false">SUM(C115:DR115)</f>
        <v>0</v>
      </c>
      <c r="DT115" s="39" t="n">
        <f aca="false">SUMPRODUCT((実績!$C$6:$C$505="○")*ISNUMBER(実績!$AM$6:$AM$505)*(実績!$AM$6:$AM$505&lt;=$A115)*(実績!$AN$6:$AN$505&gt;$A115))</f>
        <v>0</v>
      </c>
      <c r="DU115" s="39" t="n">
        <f aca="false">SUMIF($C$2:$DR$2,"製鉄曳船",C115:DR115)</f>
        <v>0</v>
      </c>
      <c r="DV115" s="39" t="n">
        <f aca="false">SUMIF($C$2:$DR$2,"西日本海運",C115:DR115)</f>
        <v>0</v>
      </c>
    </row>
    <row r="116" customFormat="false" ht="15" hidden="false" customHeight="false" outlineLevel="0" collapsed="false">
      <c r="A116" s="0" t="n">
        <v>550</v>
      </c>
      <c r="B116" s="38" t="n">
        <f aca="false">A116/1440</f>
        <v>0.381944444444444</v>
      </c>
      <c r="C116" s="39" t="n">
        <f aca="false">IF(C$4=0,0,IF(COUNTIFS(実績!$W$6:$W$505,C$3,実績!$AI$6:$AI$505,"&lt;="&amp;$A116,実績!$AJ$6:$AJ$505,"&gt;"&amp;$A116,実績!$AK$6:$AK$505,"○")&gt;0,1,0))</f>
        <v>0</v>
      </c>
      <c r="D116" s="39" t="n">
        <f aca="false">IF(D$4=0,0,IF(COUNTIFS(実績!$W$6:$W$505,D$3,実績!$AI$6:$AI$505,"&lt;="&amp;$A116,実績!$AJ$6:$AJ$505,"&gt;"&amp;$A116,実績!$AK$6:$AK$505,"○")&gt;0,1,0))</f>
        <v>0</v>
      </c>
      <c r="E116" s="39" t="n">
        <f aca="false">IF(E$4=0,0,IF(COUNTIFS(実績!$W$6:$W$505,E$3,実績!$AI$6:$AI$505,"&lt;="&amp;$A116,実績!$AJ$6:$AJ$505,"&gt;"&amp;$A116,実績!$AK$6:$AK$505,"○")&gt;0,1,0))</f>
        <v>0</v>
      </c>
      <c r="F116" s="39" t="n">
        <f aca="false">IF(F$4=0,0,IF(COUNTIFS(実績!$W$6:$W$505,F$3,実績!$AI$6:$AI$505,"&lt;="&amp;$A116,実績!$AJ$6:$AJ$505,"&gt;"&amp;$A116,実績!$AK$6:$AK$505,"○")&gt;0,1,0))</f>
        <v>0</v>
      </c>
      <c r="G116" s="39" t="n">
        <f aca="false">IF(G$4=0,0,IF(COUNTIFS(実績!$W$6:$W$505,G$3,実績!$AI$6:$AI$505,"&lt;="&amp;$A116,実績!$AJ$6:$AJ$505,"&gt;"&amp;$A116,実績!$AK$6:$AK$505,"○")&gt;0,1,0))</f>
        <v>0</v>
      </c>
      <c r="H116" s="39" t="n">
        <f aca="false">IF(H$4=0,0,IF(COUNTIFS(実績!$W$6:$W$505,H$3,実績!$AI$6:$AI$505,"&lt;="&amp;$A116,実績!$AJ$6:$AJ$505,"&gt;"&amp;$A116,実績!$AK$6:$AK$505,"○")&gt;0,1,0))</f>
        <v>0</v>
      </c>
      <c r="I116" s="39" t="n">
        <f aca="false">IF(I$4=0,0,IF(COUNTIFS(実績!$W$6:$W$505,I$3,実績!$AI$6:$AI$505,"&lt;="&amp;$A116,実績!$AJ$6:$AJ$505,"&gt;"&amp;$A116,実績!$AK$6:$AK$505,"○")&gt;0,1,0))</f>
        <v>0</v>
      </c>
      <c r="J116" s="39" t="n">
        <f aca="false">IF(J$4=0,0,IF(COUNTIFS(実績!$W$6:$W$505,J$3,実績!$AI$6:$AI$505,"&lt;="&amp;$A116,実績!$AJ$6:$AJ$505,"&gt;"&amp;$A116,実績!$AK$6:$AK$505,"○")&gt;0,1,0))</f>
        <v>0</v>
      </c>
      <c r="K116" s="39" t="n">
        <f aca="false">IF(K$4=0,0,IF(COUNTIFS(実績!$W$6:$W$505,K$3,実績!$AI$6:$AI$505,"&lt;="&amp;$A116,実績!$AJ$6:$AJ$505,"&gt;"&amp;$A116,実績!$AK$6:$AK$505,"○")&gt;0,1,0))</f>
        <v>0</v>
      </c>
      <c r="L116" s="39" t="n">
        <f aca="false">IF(L$4=0,0,IF(COUNTIFS(実績!$W$6:$W$505,L$3,実績!$AI$6:$AI$505,"&lt;="&amp;$A116,実績!$AJ$6:$AJ$505,"&gt;"&amp;$A116,実績!$AK$6:$AK$505,"○")&gt;0,1,0))</f>
        <v>0</v>
      </c>
      <c r="M116" s="39" t="n">
        <f aca="false">IF(M$4=0,0,IF(COUNTIFS(実績!$W$6:$W$505,M$3,実績!$AI$6:$AI$505,"&lt;="&amp;$A116,実績!$AJ$6:$AJ$505,"&gt;"&amp;$A116,実績!$AK$6:$AK$505,"○")&gt;0,1,0))</f>
        <v>0</v>
      </c>
      <c r="N116" s="39" t="n">
        <f aca="false">IF(N$4=0,0,IF(COUNTIFS(実績!$W$6:$W$505,N$3,実績!$AI$6:$AI$505,"&lt;="&amp;$A116,実績!$AJ$6:$AJ$505,"&gt;"&amp;$A116,実績!$AK$6:$AK$505,"○")&gt;0,1,0))</f>
        <v>0</v>
      </c>
      <c r="O116" s="39" t="n">
        <f aca="false">IF(O$4=0,0,IF(COUNTIFS(実績!$W$6:$W$505,O$3,実績!$AI$6:$AI$505,"&lt;="&amp;$A116,実績!$AJ$6:$AJ$505,"&gt;"&amp;$A116,実績!$AK$6:$AK$505,"○")&gt;0,1,0))</f>
        <v>0</v>
      </c>
      <c r="P116" s="39" t="n">
        <f aca="false">IF(P$4=0,0,IF(COUNTIFS(実績!$W$6:$W$505,P$3,実績!$AI$6:$AI$505,"&lt;="&amp;$A116,実績!$AJ$6:$AJ$505,"&gt;"&amp;$A116,実績!$AK$6:$AK$505,"○")&gt;0,1,0))</f>
        <v>0</v>
      </c>
      <c r="Q116" s="39" t="n">
        <f aca="false">IF(Q$4=0,0,IF(COUNTIFS(実績!$W$6:$W$505,Q$3,実績!$AI$6:$AI$505,"&lt;="&amp;$A116,実績!$AJ$6:$AJ$505,"&gt;"&amp;$A116,実績!$AK$6:$AK$505,"○")&gt;0,1,0))</f>
        <v>0</v>
      </c>
      <c r="R116" s="39" t="n">
        <f aca="false">IF(R$4=0,0,IF(COUNTIFS(実績!$W$6:$W$505,R$3,実績!$AI$6:$AI$505,"&lt;="&amp;$A116,実績!$AJ$6:$AJ$505,"&gt;"&amp;$A116,実績!$AK$6:$AK$505,"○")&gt;0,1,0))</f>
        <v>0</v>
      </c>
      <c r="S116" s="39" t="n">
        <f aca="false">IF(S$4=0,0,IF(COUNTIFS(実績!$W$6:$W$505,S$3,実績!$AI$6:$AI$505,"&lt;="&amp;$A116,実績!$AJ$6:$AJ$505,"&gt;"&amp;$A116,実績!$AK$6:$AK$505,"○")&gt;0,1,0))</f>
        <v>0</v>
      </c>
      <c r="T116" s="39" t="n">
        <f aca="false">IF(T$4=0,0,IF(COUNTIFS(実績!$W$6:$W$505,T$3,実績!$AI$6:$AI$505,"&lt;="&amp;$A116,実績!$AJ$6:$AJ$505,"&gt;"&amp;$A116,実績!$AK$6:$AK$505,"○")&gt;0,1,0))</f>
        <v>0</v>
      </c>
      <c r="U116" s="39" t="n">
        <f aca="false">IF(U$4=0,0,IF(COUNTIFS(実績!$W$6:$W$505,U$3,実績!$AI$6:$AI$505,"&lt;="&amp;$A116,実績!$AJ$6:$AJ$505,"&gt;"&amp;$A116,実績!$AK$6:$AK$505,"○")&gt;0,1,0))</f>
        <v>0</v>
      </c>
      <c r="V116" s="39" t="n">
        <f aca="false">IF(V$4=0,0,IF(COUNTIFS(実績!$W$6:$W$505,V$3,実績!$AI$6:$AI$505,"&lt;="&amp;$A116,実績!$AJ$6:$AJ$505,"&gt;"&amp;$A116,実績!$AK$6:$AK$505,"○")&gt;0,1,0))</f>
        <v>0</v>
      </c>
      <c r="W116" s="39" t="n">
        <f aca="false">IF(W$4=0,0,IF(COUNTIFS(実績!$W$6:$W$505,W$3,実績!$AI$6:$AI$505,"&lt;="&amp;$A116,実績!$AJ$6:$AJ$505,"&gt;"&amp;$A116,実績!$AK$6:$AK$505,"○")&gt;0,1,0))</f>
        <v>0</v>
      </c>
      <c r="X116" s="39" t="n">
        <f aca="false">IF(X$4=0,0,IF(COUNTIFS(実績!$W$6:$W$505,X$3,実績!$AI$6:$AI$505,"&lt;="&amp;$A116,実績!$AJ$6:$AJ$505,"&gt;"&amp;$A116,実績!$AK$6:$AK$505,"○")&gt;0,1,0))</f>
        <v>0</v>
      </c>
      <c r="Y116" s="39" t="n">
        <f aca="false">IF(Y$4=0,0,IF(COUNTIFS(実績!$W$6:$W$505,Y$3,実績!$AI$6:$AI$505,"&lt;="&amp;$A116,実績!$AJ$6:$AJ$505,"&gt;"&amp;$A116,実績!$AK$6:$AK$505,"○")&gt;0,1,0))</f>
        <v>0</v>
      </c>
      <c r="Z116" s="39" t="n">
        <f aca="false">IF(Z$4=0,0,IF(COUNTIFS(実績!$W$6:$W$505,Z$3,実績!$AI$6:$AI$505,"&lt;="&amp;$A116,実績!$AJ$6:$AJ$505,"&gt;"&amp;$A116,実績!$AK$6:$AK$505,"○")&gt;0,1,0))</f>
        <v>0</v>
      </c>
      <c r="AA116" s="39" t="n">
        <f aca="false">IF(AA$4=0,0,IF(COUNTIFS(実績!$W$6:$W$505,AA$3,実績!$AI$6:$AI$505,"&lt;="&amp;$A116,実績!$AJ$6:$AJ$505,"&gt;"&amp;$A116,実績!$AK$6:$AK$505,"○")&gt;0,1,0))</f>
        <v>0</v>
      </c>
      <c r="AB116" s="39" t="n">
        <f aca="false">IF(AB$4=0,0,IF(COUNTIFS(実績!$W$6:$W$505,AB$3,実績!$AI$6:$AI$505,"&lt;="&amp;$A116,実績!$AJ$6:$AJ$505,"&gt;"&amp;$A116,実績!$AK$6:$AK$505,"○")&gt;0,1,0))</f>
        <v>0</v>
      </c>
      <c r="AC116" s="39" t="n">
        <f aca="false">IF(AC$4=0,0,IF(COUNTIFS(実績!$W$6:$W$505,AC$3,実績!$AI$6:$AI$505,"&lt;="&amp;$A116,実績!$AJ$6:$AJ$505,"&gt;"&amp;$A116,実績!$AK$6:$AK$505,"○")&gt;0,1,0))</f>
        <v>0</v>
      </c>
      <c r="AD116" s="39" t="n">
        <f aca="false">IF(AD$4=0,0,IF(COUNTIFS(実績!$W$6:$W$505,AD$3,実績!$AI$6:$AI$505,"&lt;="&amp;$A116,実績!$AJ$6:$AJ$505,"&gt;"&amp;$A116,実績!$AK$6:$AK$505,"○")&gt;0,1,0))</f>
        <v>0</v>
      </c>
      <c r="AE116" s="39" t="n">
        <f aca="false">IF(AE$4=0,0,IF(COUNTIFS(実績!$W$6:$W$505,AE$3,実績!$AI$6:$AI$505,"&lt;="&amp;$A116,実績!$AJ$6:$AJ$505,"&gt;"&amp;$A116,実績!$AK$6:$AK$505,"○")&gt;0,1,0))</f>
        <v>0</v>
      </c>
      <c r="AF116" s="39" t="n">
        <f aca="false">IF(AF$4=0,0,IF(COUNTIFS(実績!$W$6:$W$505,AF$3,実績!$AI$6:$AI$505,"&lt;="&amp;$A116,実績!$AJ$6:$AJ$505,"&gt;"&amp;$A116,実績!$AK$6:$AK$505,"○")&gt;0,1,0))</f>
        <v>0</v>
      </c>
      <c r="AG116" s="39" t="n">
        <f aca="false">IF(AG$4=0,0,IF(COUNTIFS(実績!$W$6:$W$505,AG$3,実績!$AI$6:$AI$505,"&lt;="&amp;$A116,実績!$AJ$6:$AJ$505,"&gt;"&amp;$A116,実績!$AK$6:$AK$505,"○")&gt;0,1,0))</f>
        <v>0</v>
      </c>
      <c r="AH116" s="39" t="n">
        <f aca="false">IF(AH$4=0,0,IF(COUNTIFS(実績!$W$6:$W$505,AH$3,実績!$AI$6:$AI$505,"&lt;="&amp;$A116,実績!$AJ$6:$AJ$505,"&gt;"&amp;$A116,実績!$AK$6:$AK$505,"○")&gt;0,1,0))</f>
        <v>0</v>
      </c>
      <c r="AI116" s="39" t="n">
        <f aca="false">IF(AI$4=0,0,IF(COUNTIFS(実績!$W$6:$W$505,AI$3,実績!$AI$6:$AI$505,"&lt;="&amp;$A116,実績!$AJ$6:$AJ$505,"&gt;"&amp;$A116,実績!$AK$6:$AK$505,"○")&gt;0,1,0))</f>
        <v>0</v>
      </c>
      <c r="AJ116" s="39" t="n">
        <f aca="false">IF(AJ$4=0,0,IF(COUNTIFS(実績!$W$6:$W$505,AJ$3,実績!$AI$6:$AI$505,"&lt;="&amp;$A116,実績!$AJ$6:$AJ$505,"&gt;"&amp;$A116,実績!$AK$6:$AK$505,"○")&gt;0,1,0))</f>
        <v>0</v>
      </c>
      <c r="AK116" s="39" t="n">
        <f aca="false">IF(AK$4=0,0,IF(COUNTIFS(実績!$W$6:$W$505,AK$3,実績!$AI$6:$AI$505,"&lt;="&amp;$A116,実績!$AJ$6:$AJ$505,"&gt;"&amp;$A116,実績!$AK$6:$AK$505,"○")&gt;0,1,0))</f>
        <v>0</v>
      </c>
      <c r="AL116" s="39" t="n">
        <f aca="false">IF(AL$4=0,0,IF(COUNTIFS(実績!$W$6:$W$505,AL$3,実績!$AI$6:$AI$505,"&lt;="&amp;$A116,実績!$AJ$6:$AJ$505,"&gt;"&amp;$A116,実績!$AK$6:$AK$505,"○")&gt;0,1,0))</f>
        <v>0</v>
      </c>
      <c r="AM116" s="39" t="n">
        <f aca="false">IF(AM$4=0,0,IF(COUNTIFS(実績!$W$6:$W$505,AM$3,実績!$AI$6:$AI$505,"&lt;="&amp;$A116,実績!$AJ$6:$AJ$505,"&gt;"&amp;$A116,実績!$AK$6:$AK$505,"○")&gt;0,1,0))</f>
        <v>0</v>
      </c>
      <c r="AN116" s="39" t="n">
        <f aca="false">IF(AN$4=0,0,IF(COUNTIFS(実績!$W$6:$W$505,AN$3,実績!$AI$6:$AI$505,"&lt;="&amp;$A116,実績!$AJ$6:$AJ$505,"&gt;"&amp;$A116,実績!$AK$6:$AK$505,"○")&gt;0,1,0))</f>
        <v>0</v>
      </c>
      <c r="AO116" s="39" t="n">
        <f aca="false">IF(AO$4=0,0,IF(COUNTIFS(実績!$W$6:$W$505,AO$3,実績!$AI$6:$AI$505,"&lt;="&amp;$A116,実績!$AJ$6:$AJ$505,"&gt;"&amp;$A116,実績!$AK$6:$AK$505,"○")&gt;0,1,0))</f>
        <v>0</v>
      </c>
      <c r="AP116" s="39" t="n">
        <f aca="false">IF(AP$4=0,0,IF(COUNTIFS(実績!$W$6:$W$505,AP$3,実績!$AI$6:$AI$505,"&lt;="&amp;$A116,実績!$AJ$6:$AJ$505,"&gt;"&amp;$A116,実績!$AK$6:$AK$505,"○")&gt;0,1,0))</f>
        <v>0</v>
      </c>
      <c r="AQ116" s="39" t="n">
        <f aca="false">IF(AQ$4=0,0,IF(COUNTIFS(実績!$W$6:$W$505,AQ$3,実績!$AI$6:$AI$505,"&lt;="&amp;$A116,実績!$AJ$6:$AJ$505,"&gt;"&amp;$A116,実績!$AK$6:$AK$505,"○")&gt;0,1,0))</f>
        <v>0</v>
      </c>
      <c r="AR116" s="39" t="n">
        <f aca="false">IF(AR$4=0,0,IF(COUNTIFS(実績!$W$6:$W$505,AR$3,実績!$AI$6:$AI$505,"&lt;="&amp;$A116,実績!$AJ$6:$AJ$505,"&gt;"&amp;$A116,実績!$AK$6:$AK$505,"○")&gt;0,1,0))</f>
        <v>0</v>
      </c>
      <c r="AS116" s="39" t="n">
        <f aca="false">IF(AS$4=0,0,IF(COUNTIFS(実績!$W$6:$W$505,AS$3,実績!$AI$6:$AI$505,"&lt;="&amp;$A116,実績!$AJ$6:$AJ$505,"&gt;"&amp;$A116,実績!$AK$6:$AK$505,"○")&gt;0,1,0))</f>
        <v>0</v>
      </c>
      <c r="AT116" s="39" t="n">
        <f aca="false">IF(AT$4=0,0,IF(COUNTIFS(実績!$W$6:$W$505,AT$3,実績!$AI$6:$AI$505,"&lt;="&amp;$A116,実績!$AJ$6:$AJ$505,"&gt;"&amp;$A116,実績!$AK$6:$AK$505,"○")&gt;0,1,0))</f>
        <v>0</v>
      </c>
      <c r="AU116" s="39" t="n">
        <f aca="false">IF(AU$4=0,0,IF(COUNTIFS(実績!$W$6:$W$505,AU$3,実績!$AI$6:$AI$505,"&lt;="&amp;$A116,実績!$AJ$6:$AJ$505,"&gt;"&amp;$A116,実績!$AK$6:$AK$505,"○")&gt;0,1,0))</f>
        <v>0</v>
      </c>
      <c r="AV116" s="39" t="n">
        <f aca="false">IF(AV$4=0,0,IF(COUNTIFS(実績!$W$6:$W$505,AV$3,実績!$AI$6:$AI$505,"&lt;="&amp;$A116,実績!$AJ$6:$AJ$505,"&gt;"&amp;$A116,実績!$AK$6:$AK$505,"○")&gt;0,1,0))</f>
        <v>0</v>
      </c>
      <c r="AW116" s="39" t="n">
        <f aca="false">IF(AW$4=0,0,IF(COUNTIFS(実績!$W$6:$W$505,AW$3,実績!$AI$6:$AI$505,"&lt;="&amp;$A116,実績!$AJ$6:$AJ$505,"&gt;"&amp;$A116,実績!$AK$6:$AK$505,"○")&gt;0,1,0))</f>
        <v>0</v>
      </c>
      <c r="AX116" s="39" t="n">
        <f aca="false">IF(AX$4=0,0,IF(COUNTIFS(実績!$W$6:$W$505,AX$3,実績!$AI$6:$AI$505,"&lt;="&amp;$A116,実績!$AJ$6:$AJ$505,"&gt;"&amp;$A116,実績!$AK$6:$AK$505,"○")&gt;0,1,0))</f>
        <v>0</v>
      </c>
      <c r="AY116" s="39" t="n">
        <f aca="false">IF(AY$4=0,0,IF(COUNTIFS(実績!$W$6:$W$505,AY$3,実績!$AI$6:$AI$505,"&lt;="&amp;$A116,実績!$AJ$6:$AJ$505,"&gt;"&amp;$A116,実績!$AK$6:$AK$505,"○")&gt;0,1,0))</f>
        <v>0</v>
      </c>
      <c r="AZ116" s="39" t="n">
        <f aca="false">IF(AZ$4=0,0,IF(COUNTIFS(実績!$W$6:$W$505,AZ$3,実績!$AI$6:$AI$505,"&lt;="&amp;$A116,実績!$AJ$6:$AJ$505,"&gt;"&amp;$A116,実績!$AK$6:$AK$505,"○")&gt;0,1,0))</f>
        <v>0</v>
      </c>
      <c r="BA116" s="39" t="n">
        <f aca="false">IF(BA$4=0,0,IF(COUNTIFS(実績!$W$6:$W$505,BA$3,実績!$AI$6:$AI$505,"&lt;="&amp;$A116,実績!$AJ$6:$AJ$505,"&gt;"&amp;$A116,実績!$AK$6:$AK$505,"○")&gt;0,1,0))</f>
        <v>0</v>
      </c>
      <c r="BB116" s="39" t="n">
        <f aca="false">IF(BB$4=0,0,IF(COUNTIFS(実績!$W$6:$W$505,BB$3,実績!$AI$6:$AI$505,"&lt;="&amp;$A116,実績!$AJ$6:$AJ$505,"&gt;"&amp;$A116,実績!$AK$6:$AK$505,"○")&gt;0,1,0))</f>
        <v>0</v>
      </c>
      <c r="BC116" s="39" t="n">
        <f aca="false">IF(BC$4=0,0,IF(COUNTIFS(実績!$W$6:$W$505,BC$3,実績!$AI$6:$AI$505,"&lt;="&amp;$A116,実績!$AJ$6:$AJ$505,"&gt;"&amp;$A116,実績!$AK$6:$AK$505,"○")&gt;0,1,0))</f>
        <v>0</v>
      </c>
      <c r="BD116" s="39" t="n">
        <f aca="false">IF(BD$4=0,0,IF(COUNTIFS(実績!$W$6:$W$505,BD$3,実績!$AI$6:$AI$505,"&lt;="&amp;$A116,実績!$AJ$6:$AJ$505,"&gt;"&amp;$A116,実績!$AK$6:$AK$505,"○")&gt;0,1,0))</f>
        <v>0</v>
      </c>
      <c r="BE116" s="39" t="n">
        <f aca="false">IF(BE$4=0,0,IF(COUNTIFS(実績!$W$6:$W$505,BE$3,実績!$AI$6:$AI$505,"&lt;="&amp;$A116,実績!$AJ$6:$AJ$505,"&gt;"&amp;$A116,実績!$AK$6:$AK$505,"○")&gt;0,1,0))</f>
        <v>0</v>
      </c>
      <c r="BF116" s="39" t="n">
        <f aca="false">IF(BF$4=0,0,IF(COUNTIFS(実績!$W$6:$W$505,BF$3,実績!$AI$6:$AI$505,"&lt;="&amp;$A116,実績!$AJ$6:$AJ$505,"&gt;"&amp;$A116,実績!$AK$6:$AK$505,"○")&gt;0,1,0))</f>
        <v>0</v>
      </c>
      <c r="BG116" s="39" t="n">
        <f aca="false">IF(BG$4=0,0,IF(COUNTIFS(実績!$W$6:$W$505,BG$3,実績!$AI$6:$AI$505,"&lt;="&amp;$A116,実績!$AJ$6:$AJ$505,"&gt;"&amp;$A116,実績!$AK$6:$AK$505,"○")&gt;0,1,0))</f>
        <v>0</v>
      </c>
      <c r="BH116" s="39" t="n">
        <f aca="false">IF(BH$4=0,0,IF(COUNTIFS(実績!$W$6:$W$505,BH$3,実績!$AI$6:$AI$505,"&lt;="&amp;$A116,実績!$AJ$6:$AJ$505,"&gt;"&amp;$A116,実績!$AK$6:$AK$505,"○")&gt;0,1,0))</f>
        <v>0</v>
      </c>
      <c r="BI116" s="39" t="n">
        <f aca="false">IF(BI$4=0,0,IF(COUNTIFS(実績!$W$6:$W$505,BI$3,実績!$AI$6:$AI$505,"&lt;="&amp;$A116,実績!$AJ$6:$AJ$505,"&gt;"&amp;$A116,実績!$AK$6:$AK$505,"○")&gt;0,1,0))</f>
        <v>0</v>
      </c>
      <c r="BJ116" s="39" t="n">
        <f aca="false">IF(BJ$4=0,0,IF(COUNTIFS(実績!$W$6:$W$505,BJ$3,実績!$AI$6:$AI$505,"&lt;="&amp;$A116,実績!$AJ$6:$AJ$505,"&gt;"&amp;$A116,実績!$AK$6:$AK$505,"○")&gt;0,1,0))</f>
        <v>0</v>
      </c>
      <c r="BK116" s="39" t="n">
        <f aca="false">IF(BK$4=0,0,IF(COUNTIFS(実績!$W$6:$W$505,BK$3,実績!$AI$6:$AI$505,"&lt;="&amp;$A116,実績!$AJ$6:$AJ$505,"&gt;"&amp;$A116,実績!$AK$6:$AK$505,"○")&gt;0,1,0))</f>
        <v>0</v>
      </c>
      <c r="BL116" s="39" t="n">
        <f aca="false">IF(BL$4=0,0,IF(COUNTIFS(実績!$W$6:$W$505,BL$3,実績!$AI$6:$AI$505,"&lt;="&amp;$A116,実績!$AJ$6:$AJ$505,"&gt;"&amp;$A116,実績!$AK$6:$AK$505,"○")&gt;0,1,0))</f>
        <v>0</v>
      </c>
      <c r="BM116" s="39" t="n">
        <f aca="false">IF(BM$4=0,0,IF(COUNTIFS(実績!$W$6:$W$505,BM$3,実績!$AI$6:$AI$505,"&lt;="&amp;$A116,実績!$AJ$6:$AJ$505,"&gt;"&amp;$A116,実績!$AK$6:$AK$505,"○")&gt;0,1,0))</f>
        <v>0</v>
      </c>
      <c r="BN116" s="39" t="n">
        <f aca="false">IF(BN$4=0,0,IF(COUNTIFS(実績!$W$6:$W$505,BN$3,実績!$AI$6:$AI$505,"&lt;="&amp;$A116,実績!$AJ$6:$AJ$505,"&gt;"&amp;$A116,実績!$AK$6:$AK$505,"○")&gt;0,1,0))</f>
        <v>0</v>
      </c>
      <c r="BO116" s="39" t="n">
        <f aca="false">IF(BO$4=0,0,IF(COUNTIFS(実績!$W$6:$W$505,BO$3,実績!$AI$6:$AI$505,"&lt;="&amp;$A116,実績!$AJ$6:$AJ$505,"&gt;"&amp;$A116,実績!$AK$6:$AK$505,"○")&gt;0,1,0))</f>
        <v>0</v>
      </c>
      <c r="BP116" s="39" t="n">
        <f aca="false">IF(BP$4=0,0,IF(COUNTIFS(実績!$W$6:$W$505,BP$3,実績!$AI$6:$AI$505,"&lt;="&amp;$A116,実績!$AJ$6:$AJ$505,"&gt;"&amp;$A116,実績!$AK$6:$AK$505,"○")&gt;0,1,0))</f>
        <v>0</v>
      </c>
      <c r="BQ116" s="39" t="n">
        <f aca="false">IF(BQ$4=0,0,IF(COUNTIFS(実績!$W$6:$W$505,BQ$3,実績!$AI$6:$AI$505,"&lt;="&amp;$A116,実績!$AJ$6:$AJ$505,"&gt;"&amp;$A116,実績!$AK$6:$AK$505,"○")&gt;0,1,0))</f>
        <v>0</v>
      </c>
      <c r="BR116" s="39" t="n">
        <f aca="false">IF(BR$4=0,0,IF(COUNTIFS(実績!$W$6:$W$505,BR$3,実績!$AI$6:$AI$505,"&lt;="&amp;$A116,実績!$AJ$6:$AJ$505,"&gt;"&amp;$A116,実績!$AK$6:$AK$505,"○")&gt;0,1,0))</f>
        <v>0</v>
      </c>
      <c r="BS116" s="39" t="n">
        <f aca="false">IF(BS$4=0,0,IF(COUNTIFS(実績!$W$6:$W$505,BS$3,実績!$AI$6:$AI$505,"&lt;="&amp;$A116,実績!$AJ$6:$AJ$505,"&gt;"&amp;$A116,実績!$AK$6:$AK$505,"○")&gt;0,1,0))</f>
        <v>0</v>
      </c>
      <c r="BT116" s="39" t="n">
        <f aca="false">IF(BT$4=0,0,IF(COUNTIFS(実績!$W$6:$W$505,BT$3,実績!$AI$6:$AI$505,"&lt;="&amp;$A116,実績!$AJ$6:$AJ$505,"&gt;"&amp;$A116,実績!$AK$6:$AK$505,"○")&gt;0,1,0))</f>
        <v>0</v>
      </c>
      <c r="BU116" s="39" t="n">
        <f aca="false">IF(BU$4=0,0,IF(COUNTIFS(実績!$W$6:$W$505,BU$3,実績!$AI$6:$AI$505,"&lt;="&amp;$A116,実績!$AJ$6:$AJ$505,"&gt;"&amp;$A116,実績!$AK$6:$AK$505,"○")&gt;0,1,0))</f>
        <v>0</v>
      </c>
      <c r="BV116" s="39" t="n">
        <f aca="false">IF(BV$4=0,0,IF(COUNTIFS(実績!$W$6:$W$505,BV$3,実績!$AI$6:$AI$505,"&lt;="&amp;$A116,実績!$AJ$6:$AJ$505,"&gt;"&amp;$A116,実績!$AK$6:$AK$505,"○")&gt;0,1,0))</f>
        <v>0</v>
      </c>
      <c r="BW116" s="39" t="n">
        <f aca="false">IF(BW$4=0,0,IF(COUNTIFS(実績!$W$6:$W$505,BW$3,実績!$AI$6:$AI$505,"&lt;="&amp;$A116,実績!$AJ$6:$AJ$505,"&gt;"&amp;$A116,実績!$AK$6:$AK$505,"○")&gt;0,1,0))</f>
        <v>0</v>
      </c>
      <c r="BX116" s="39" t="n">
        <f aca="false">IF(BX$4=0,0,IF(COUNTIFS(実績!$W$6:$W$505,BX$3,実績!$AI$6:$AI$505,"&lt;="&amp;$A116,実績!$AJ$6:$AJ$505,"&gt;"&amp;$A116,実績!$AK$6:$AK$505,"○")&gt;0,1,0))</f>
        <v>0</v>
      </c>
      <c r="BY116" s="39" t="n">
        <f aca="false">IF(BY$4=0,0,IF(COUNTIFS(実績!$W$6:$W$505,BY$3,実績!$AI$6:$AI$505,"&lt;="&amp;$A116,実績!$AJ$6:$AJ$505,"&gt;"&amp;$A116,実績!$AK$6:$AK$505,"○")&gt;0,1,0))</f>
        <v>0</v>
      </c>
      <c r="BZ116" s="39" t="n">
        <f aca="false">IF(BZ$4=0,0,IF(COUNTIFS(実績!$W$6:$W$505,BZ$3,実績!$AI$6:$AI$505,"&lt;="&amp;$A116,実績!$AJ$6:$AJ$505,"&gt;"&amp;$A116,実績!$AK$6:$AK$505,"○")&gt;0,1,0))</f>
        <v>0</v>
      </c>
      <c r="CA116" s="39" t="n">
        <f aca="false">IF(CA$4=0,0,IF(COUNTIFS(実績!$W$6:$W$505,CA$3,実績!$AI$6:$AI$505,"&lt;="&amp;$A116,実績!$AJ$6:$AJ$505,"&gt;"&amp;$A116,実績!$AK$6:$AK$505,"○")&gt;0,1,0))</f>
        <v>0</v>
      </c>
      <c r="CB116" s="39" t="n">
        <f aca="false">IF(CB$4=0,0,IF(COUNTIFS(実績!$W$6:$W$505,CB$3,実績!$AI$6:$AI$505,"&lt;="&amp;$A116,実績!$AJ$6:$AJ$505,"&gt;"&amp;$A116,実績!$AK$6:$AK$505,"○")&gt;0,1,0))</f>
        <v>0</v>
      </c>
      <c r="CC116" s="39" t="n">
        <f aca="false">IF(CC$4=0,0,IF(COUNTIFS(実績!$W$6:$W$505,CC$3,実績!$AI$6:$AI$505,"&lt;="&amp;$A116,実績!$AJ$6:$AJ$505,"&gt;"&amp;$A116,実績!$AK$6:$AK$505,"○")&gt;0,1,0))</f>
        <v>0</v>
      </c>
      <c r="CD116" s="39" t="n">
        <f aca="false">IF(CD$4=0,0,IF(COUNTIFS(実績!$W$6:$W$505,CD$3,実績!$AI$6:$AI$505,"&lt;="&amp;$A116,実績!$AJ$6:$AJ$505,"&gt;"&amp;$A116,実績!$AK$6:$AK$505,"○")&gt;0,1,0))</f>
        <v>0</v>
      </c>
      <c r="CE116" s="39" t="n">
        <f aca="false">IF(CE$4=0,0,IF(COUNTIFS(実績!$W$6:$W$505,CE$3,実績!$AI$6:$AI$505,"&lt;="&amp;$A116,実績!$AJ$6:$AJ$505,"&gt;"&amp;$A116,実績!$AK$6:$AK$505,"○")&gt;0,1,0))</f>
        <v>0</v>
      </c>
      <c r="CF116" s="39" t="n">
        <f aca="false">IF(CF$4=0,0,IF(COUNTIFS(実績!$W$6:$W$505,CF$3,実績!$AI$6:$AI$505,"&lt;="&amp;$A116,実績!$AJ$6:$AJ$505,"&gt;"&amp;$A116,実績!$AK$6:$AK$505,"○")&gt;0,1,0))</f>
        <v>0</v>
      </c>
      <c r="CG116" s="39" t="n">
        <f aca="false">IF(CG$4=0,0,IF(COUNTIFS(実績!$W$6:$W$505,CG$3,実績!$AI$6:$AI$505,"&lt;="&amp;$A116,実績!$AJ$6:$AJ$505,"&gt;"&amp;$A116,実績!$AK$6:$AK$505,"○")&gt;0,1,0))</f>
        <v>0</v>
      </c>
      <c r="CH116" s="39" t="n">
        <f aca="false">IF(CH$4=0,0,IF(COUNTIFS(実績!$W$6:$W$505,CH$3,実績!$AI$6:$AI$505,"&lt;="&amp;$A116,実績!$AJ$6:$AJ$505,"&gt;"&amp;$A116,実績!$AK$6:$AK$505,"○")&gt;0,1,0))</f>
        <v>0</v>
      </c>
      <c r="CI116" s="39" t="n">
        <f aca="false">IF(CI$4=0,0,IF(COUNTIFS(実績!$W$6:$W$505,CI$3,実績!$AI$6:$AI$505,"&lt;="&amp;$A116,実績!$AJ$6:$AJ$505,"&gt;"&amp;$A116,実績!$AK$6:$AK$505,"○")&gt;0,1,0))</f>
        <v>0</v>
      </c>
      <c r="CJ116" s="39" t="n">
        <f aca="false">IF(CJ$4=0,0,IF(COUNTIFS(実績!$W$6:$W$505,CJ$3,実績!$AI$6:$AI$505,"&lt;="&amp;$A116,実績!$AJ$6:$AJ$505,"&gt;"&amp;$A116,実績!$AK$6:$AK$505,"○")&gt;0,1,0))</f>
        <v>0</v>
      </c>
      <c r="CK116" s="39" t="n">
        <f aca="false">IF(CK$4=0,0,IF(COUNTIFS(実績!$W$6:$W$505,CK$3,実績!$AI$6:$AI$505,"&lt;="&amp;$A116,実績!$AJ$6:$AJ$505,"&gt;"&amp;$A116,実績!$AK$6:$AK$505,"○")&gt;0,1,0))</f>
        <v>0</v>
      </c>
      <c r="CL116" s="39" t="n">
        <f aca="false">IF(CL$4=0,0,IF(COUNTIFS(実績!$W$6:$W$505,CL$3,実績!$AI$6:$AI$505,"&lt;="&amp;$A116,実績!$AJ$6:$AJ$505,"&gt;"&amp;$A116,実績!$AK$6:$AK$505,"○")&gt;0,1,0))</f>
        <v>0</v>
      </c>
      <c r="CM116" s="39" t="n">
        <f aca="false">IF(CM$4=0,0,IF(COUNTIFS(実績!$W$6:$W$505,CM$3,実績!$AI$6:$AI$505,"&lt;="&amp;$A116,実績!$AJ$6:$AJ$505,"&gt;"&amp;$A116,実績!$AK$6:$AK$505,"○")&gt;0,1,0))</f>
        <v>0</v>
      </c>
      <c r="CN116" s="39" t="n">
        <f aca="false">IF(CN$4=0,0,IF(COUNTIFS(実績!$W$6:$W$505,CN$3,実績!$AI$6:$AI$505,"&lt;="&amp;$A116,実績!$AJ$6:$AJ$505,"&gt;"&amp;$A116,実績!$AK$6:$AK$505,"○")&gt;0,1,0))</f>
        <v>0</v>
      </c>
      <c r="CO116" s="39" t="n">
        <f aca="false">IF(CO$4=0,0,IF(COUNTIFS(実績!$W$6:$W$505,CO$3,実績!$AI$6:$AI$505,"&lt;="&amp;$A116,実績!$AJ$6:$AJ$505,"&gt;"&amp;$A116,実績!$AK$6:$AK$505,"○")&gt;0,1,0))</f>
        <v>0</v>
      </c>
      <c r="CP116" s="39" t="n">
        <f aca="false">IF(CP$4=0,0,IF(COUNTIFS(実績!$W$6:$W$505,CP$3,実績!$AI$6:$AI$505,"&lt;="&amp;$A116,実績!$AJ$6:$AJ$505,"&gt;"&amp;$A116,実績!$AK$6:$AK$505,"○")&gt;0,1,0))</f>
        <v>0</v>
      </c>
      <c r="CQ116" s="39" t="n">
        <f aca="false">IF(CQ$4=0,0,IF(COUNTIFS(実績!$W$6:$W$505,CQ$3,実績!$AI$6:$AI$505,"&lt;="&amp;$A116,実績!$AJ$6:$AJ$505,"&gt;"&amp;$A116,実績!$AK$6:$AK$505,"○")&gt;0,1,0))</f>
        <v>0</v>
      </c>
      <c r="CR116" s="39" t="n">
        <f aca="false">IF(CR$4=0,0,IF(COUNTIFS(実績!$W$6:$W$505,CR$3,実績!$AI$6:$AI$505,"&lt;="&amp;$A116,実績!$AJ$6:$AJ$505,"&gt;"&amp;$A116,実績!$AK$6:$AK$505,"○")&gt;0,1,0))</f>
        <v>0</v>
      </c>
      <c r="CS116" s="39" t="n">
        <f aca="false">IF(CS$4=0,0,IF(COUNTIFS(実績!$W$6:$W$505,CS$3,実績!$AI$6:$AI$505,"&lt;="&amp;$A116,実績!$AJ$6:$AJ$505,"&gt;"&amp;$A116,実績!$AK$6:$AK$505,"○")&gt;0,1,0))</f>
        <v>0</v>
      </c>
      <c r="CT116" s="39" t="n">
        <f aca="false">IF(CT$4=0,0,IF(COUNTIFS(実績!$W$6:$W$505,CT$3,実績!$AI$6:$AI$505,"&lt;="&amp;$A116,実績!$AJ$6:$AJ$505,"&gt;"&amp;$A116,実績!$AK$6:$AK$505,"○")&gt;0,1,0))</f>
        <v>0</v>
      </c>
      <c r="CU116" s="39" t="n">
        <f aca="false">IF(CU$4=0,0,IF(COUNTIFS(実績!$W$6:$W$505,CU$3,実績!$AI$6:$AI$505,"&lt;="&amp;$A116,実績!$AJ$6:$AJ$505,"&gt;"&amp;$A116,実績!$AK$6:$AK$505,"○")&gt;0,1,0))</f>
        <v>0</v>
      </c>
      <c r="CV116" s="39" t="n">
        <f aca="false">IF(CV$4=0,0,IF(COUNTIFS(実績!$W$6:$W$505,CV$3,実績!$AI$6:$AI$505,"&lt;="&amp;$A116,実績!$AJ$6:$AJ$505,"&gt;"&amp;$A116,実績!$AK$6:$AK$505,"○")&gt;0,1,0))</f>
        <v>0</v>
      </c>
      <c r="CW116" s="39" t="n">
        <f aca="false">IF(CW$4=0,0,IF(COUNTIFS(実績!$W$6:$W$505,CW$3,実績!$AI$6:$AI$505,"&lt;="&amp;$A116,実績!$AJ$6:$AJ$505,"&gt;"&amp;$A116,実績!$AK$6:$AK$505,"○")&gt;0,1,0))</f>
        <v>0</v>
      </c>
      <c r="CX116" s="39" t="n">
        <f aca="false">IF(CX$4=0,0,IF(COUNTIFS(実績!$W$6:$W$505,CX$3,実績!$AI$6:$AI$505,"&lt;="&amp;$A116,実績!$AJ$6:$AJ$505,"&gt;"&amp;$A116,実績!$AK$6:$AK$505,"○")&gt;0,1,0))</f>
        <v>0</v>
      </c>
      <c r="CY116" s="39" t="n">
        <f aca="false">IF(CY$4=0,0,IF(COUNTIFS(実績!$W$6:$W$505,CY$3,実績!$AI$6:$AI$505,"&lt;="&amp;$A116,実績!$AJ$6:$AJ$505,"&gt;"&amp;$A116,実績!$AK$6:$AK$505,"○")&gt;0,1,0))</f>
        <v>0</v>
      </c>
      <c r="CZ116" s="39" t="n">
        <f aca="false">IF(CZ$4=0,0,IF(COUNTIFS(実績!$W$6:$W$505,CZ$3,実績!$AI$6:$AI$505,"&lt;="&amp;$A116,実績!$AJ$6:$AJ$505,"&gt;"&amp;$A116,実績!$AK$6:$AK$505,"○")&gt;0,1,0))</f>
        <v>0</v>
      </c>
      <c r="DA116" s="39" t="n">
        <f aca="false">IF(DA$4=0,0,IF(COUNTIFS(実績!$W$6:$W$505,DA$3,実績!$AI$6:$AI$505,"&lt;="&amp;$A116,実績!$AJ$6:$AJ$505,"&gt;"&amp;$A116,実績!$AK$6:$AK$505,"○")&gt;0,1,0))</f>
        <v>0</v>
      </c>
      <c r="DB116" s="39" t="n">
        <f aca="false">IF(DB$4=0,0,IF(COUNTIFS(実績!$W$6:$W$505,DB$3,実績!$AI$6:$AI$505,"&lt;="&amp;$A116,実績!$AJ$6:$AJ$505,"&gt;"&amp;$A116,実績!$AK$6:$AK$505,"○")&gt;0,1,0))</f>
        <v>0</v>
      </c>
      <c r="DC116" s="39" t="n">
        <f aca="false">IF(DC$4=0,0,IF(COUNTIFS(実績!$W$6:$W$505,DC$3,実績!$AI$6:$AI$505,"&lt;="&amp;$A116,実績!$AJ$6:$AJ$505,"&gt;"&amp;$A116,実績!$AK$6:$AK$505,"○")&gt;0,1,0))</f>
        <v>0</v>
      </c>
      <c r="DD116" s="39" t="n">
        <f aca="false">IF(DD$4=0,0,IF(COUNTIFS(実績!$W$6:$W$505,DD$3,実績!$AI$6:$AI$505,"&lt;="&amp;$A116,実績!$AJ$6:$AJ$505,"&gt;"&amp;$A116,実績!$AK$6:$AK$505,"○")&gt;0,1,0))</f>
        <v>0</v>
      </c>
      <c r="DE116" s="39" t="n">
        <f aca="false">IF(DE$4=0,0,IF(COUNTIFS(実績!$W$6:$W$505,DE$3,実績!$AI$6:$AI$505,"&lt;="&amp;$A116,実績!$AJ$6:$AJ$505,"&gt;"&amp;$A116,実績!$AK$6:$AK$505,"○")&gt;0,1,0))</f>
        <v>0</v>
      </c>
      <c r="DF116" s="39" t="n">
        <f aca="false">IF(DF$4=0,0,IF(COUNTIFS(実績!$W$6:$W$505,DF$3,実績!$AI$6:$AI$505,"&lt;="&amp;$A116,実績!$AJ$6:$AJ$505,"&gt;"&amp;$A116,実績!$AK$6:$AK$505,"○")&gt;0,1,0))</f>
        <v>0</v>
      </c>
      <c r="DG116" s="39" t="n">
        <f aca="false">IF(DG$4=0,0,IF(COUNTIFS(実績!$W$6:$W$505,DG$3,実績!$AI$6:$AI$505,"&lt;="&amp;$A116,実績!$AJ$6:$AJ$505,"&gt;"&amp;$A116,実績!$AK$6:$AK$505,"○")&gt;0,1,0))</f>
        <v>0</v>
      </c>
      <c r="DH116" s="39" t="n">
        <f aca="false">IF(DH$4=0,0,IF(COUNTIFS(実績!$W$6:$W$505,DH$3,実績!$AI$6:$AI$505,"&lt;="&amp;$A116,実績!$AJ$6:$AJ$505,"&gt;"&amp;$A116,実績!$AK$6:$AK$505,"○")&gt;0,1,0))</f>
        <v>0</v>
      </c>
      <c r="DI116" s="39" t="n">
        <f aca="false">IF(DI$4=0,0,IF(COUNTIFS(実績!$W$6:$W$505,DI$3,実績!$AI$6:$AI$505,"&lt;="&amp;$A116,実績!$AJ$6:$AJ$505,"&gt;"&amp;$A116,実績!$AK$6:$AK$505,"○")&gt;0,1,0))</f>
        <v>0</v>
      </c>
      <c r="DJ116" s="39" t="n">
        <f aca="false">IF(DJ$4=0,0,IF(COUNTIFS(実績!$W$6:$W$505,DJ$3,実績!$AI$6:$AI$505,"&lt;="&amp;$A116,実績!$AJ$6:$AJ$505,"&gt;"&amp;$A116,実績!$AK$6:$AK$505,"○")&gt;0,1,0))</f>
        <v>0</v>
      </c>
      <c r="DK116" s="39" t="n">
        <f aca="false">IF(DK$4=0,0,IF(COUNTIFS(実績!$W$6:$W$505,DK$3,実績!$AI$6:$AI$505,"&lt;="&amp;$A116,実績!$AJ$6:$AJ$505,"&gt;"&amp;$A116,実績!$AK$6:$AK$505,"○")&gt;0,1,0))</f>
        <v>0</v>
      </c>
      <c r="DL116" s="39" t="n">
        <f aca="false">IF(DL$4=0,0,IF(COUNTIFS(実績!$W$6:$W$505,DL$3,実績!$AI$6:$AI$505,"&lt;="&amp;$A116,実績!$AJ$6:$AJ$505,"&gt;"&amp;$A116,実績!$AK$6:$AK$505,"○")&gt;0,1,0))</f>
        <v>0</v>
      </c>
      <c r="DM116" s="39" t="n">
        <f aca="false">IF(DM$4=0,0,IF(COUNTIFS(実績!$W$6:$W$505,DM$3,実績!$AI$6:$AI$505,"&lt;="&amp;$A116,実績!$AJ$6:$AJ$505,"&gt;"&amp;$A116,実績!$AK$6:$AK$505,"○")&gt;0,1,0))</f>
        <v>0</v>
      </c>
      <c r="DN116" s="39" t="n">
        <f aca="false">IF(DN$4=0,0,IF(COUNTIFS(実績!$W$6:$W$505,DN$3,実績!$AI$6:$AI$505,"&lt;="&amp;$A116,実績!$AJ$6:$AJ$505,"&gt;"&amp;$A116,実績!$AK$6:$AK$505,"○")&gt;0,1,0))</f>
        <v>0</v>
      </c>
      <c r="DO116" s="39" t="n">
        <f aca="false">IF(DO$4=0,0,IF(COUNTIFS(実績!$W$6:$W$505,DO$3,実績!$AI$6:$AI$505,"&lt;="&amp;$A116,実績!$AJ$6:$AJ$505,"&gt;"&amp;$A116,実績!$AK$6:$AK$505,"○")&gt;0,1,0))</f>
        <v>0</v>
      </c>
      <c r="DP116" s="39" t="n">
        <f aca="false">IF(DP$4=0,0,IF(COUNTIFS(実績!$W$6:$W$505,DP$3,実績!$AI$6:$AI$505,"&lt;="&amp;$A116,実績!$AJ$6:$AJ$505,"&gt;"&amp;$A116,実績!$AK$6:$AK$505,"○")&gt;0,1,0))</f>
        <v>0</v>
      </c>
      <c r="DQ116" s="39" t="n">
        <f aca="false">IF(DQ$4=0,0,IF(COUNTIFS(実績!$W$6:$W$505,DQ$3,実績!$AI$6:$AI$505,"&lt;="&amp;$A116,実績!$AJ$6:$AJ$505,"&gt;"&amp;$A116,実績!$AK$6:$AK$505,"○")&gt;0,1,0))</f>
        <v>0</v>
      </c>
      <c r="DR116" s="39" t="n">
        <f aca="false">IF(DR$4=0,0,IF(COUNTIFS(実績!$W$6:$W$505,DR$3,実績!$AI$6:$AI$505,"&lt;="&amp;$A116,実績!$AJ$6:$AJ$505,"&gt;"&amp;$A116,実績!$AK$6:$AK$505,"○")&gt;0,1,0))</f>
        <v>0</v>
      </c>
      <c r="DS116" s="39" t="n">
        <f aca="false">SUM(C116:DR116)</f>
        <v>0</v>
      </c>
      <c r="DT116" s="39" t="n">
        <f aca="false">SUMPRODUCT((実績!$C$6:$C$505="○")*ISNUMBER(実績!$AM$6:$AM$505)*(実績!$AM$6:$AM$505&lt;=$A116)*(実績!$AN$6:$AN$505&gt;$A116))</f>
        <v>0</v>
      </c>
      <c r="DU116" s="39" t="n">
        <f aca="false">SUMIF($C$2:$DR$2,"製鉄曳船",C116:DR116)</f>
        <v>0</v>
      </c>
      <c r="DV116" s="39" t="n">
        <f aca="false">SUMIF($C$2:$DR$2,"西日本海運",C116:DR116)</f>
        <v>0</v>
      </c>
    </row>
    <row r="117" customFormat="false" ht="15" hidden="false" customHeight="false" outlineLevel="0" collapsed="false">
      <c r="A117" s="0" t="n">
        <v>555</v>
      </c>
      <c r="B117" s="38" t="n">
        <f aca="false">A117/1440</f>
        <v>0.385416666666667</v>
      </c>
      <c r="C117" s="39" t="n">
        <f aca="false">IF(C$4=0,0,IF(COUNTIFS(実績!$W$6:$W$505,C$3,実績!$AI$6:$AI$505,"&lt;="&amp;$A117,実績!$AJ$6:$AJ$505,"&gt;"&amp;$A117,実績!$AK$6:$AK$505,"○")&gt;0,1,0))</f>
        <v>0</v>
      </c>
      <c r="D117" s="39" t="n">
        <f aca="false">IF(D$4=0,0,IF(COUNTIFS(実績!$W$6:$W$505,D$3,実績!$AI$6:$AI$505,"&lt;="&amp;$A117,実績!$AJ$6:$AJ$505,"&gt;"&amp;$A117,実績!$AK$6:$AK$505,"○")&gt;0,1,0))</f>
        <v>0</v>
      </c>
      <c r="E117" s="39" t="n">
        <f aca="false">IF(E$4=0,0,IF(COUNTIFS(実績!$W$6:$W$505,E$3,実績!$AI$6:$AI$505,"&lt;="&amp;$A117,実績!$AJ$6:$AJ$505,"&gt;"&amp;$A117,実績!$AK$6:$AK$505,"○")&gt;0,1,0))</f>
        <v>0</v>
      </c>
      <c r="F117" s="39" t="n">
        <f aca="false">IF(F$4=0,0,IF(COUNTIFS(実績!$W$6:$W$505,F$3,実績!$AI$6:$AI$505,"&lt;="&amp;$A117,実績!$AJ$6:$AJ$505,"&gt;"&amp;$A117,実績!$AK$6:$AK$505,"○")&gt;0,1,0))</f>
        <v>0</v>
      </c>
      <c r="G117" s="39" t="n">
        <f aca="false">IF(G$4=0,0,IF(COUNTIFS(実績!$W$6:$W$505,G$3,実績!$AI$6:$AI$505,"&lt;="&amp;$A117,実績!$AJ$6:$AJ$505,"&gt;"&amp;$A117,実績!$AK$6:$AK$505,"○")&gt;0,1,0))</f>
        <v>0</v>
      </c>
      <c r="H117" s="39" t="n">
        <f aca="false">IF(H$4=0,0,IF(COUNTIFS(実績!$W$6:$W$505,H$3,実績!$AI$6:$AI$505,"&lt;="&amp;$A117,実績!$AJ$6:$AJ$505,"&gt;"&amp;$A117,実績!$AK$6:$AK$505,"○")&gt;0,1,0))</f>
        <v>0</v>
      </c>
      <c r="I117" s="39" t="n">
        <f aca="false">IF(I$4=0,0,IF(COUNTIFS(実績!$W$6:$W$505,I$3,実績!$AI$6:$AI$505,"&lt;="&amp;$A117,実績!$AJ$6:$AJ$505,"&gt;"&amp;$A117,実績!$AK$6:$AK$505,"○")&gt;0,1,0))</f>
        <v>0</v>
      </c>
      <c r="J117" s="39" t="n">
        <f aca="false">IF(J$4=0,0,IF(COUNTIFS(実績!$W$6:$W$505,J$3,実績!$AI$6:$AI$505,"&lt;="&amp;$A117,実績!$AJ$6:$AJ$505,"&gt;"&amp;$A117,実績!$AK$6:$AK$505,"○")&gt;0,1,0))</f>
        <v>0</v>
      </c>
      <c r="K117" s="39" t="n">
        <f aca="false">IF(K$4=0,0,IF(COUNTIFS(実績!$W$6:$W$505,K$3,実績!$AI$6:$AI$505,"&lt;="&amp;$A117,実績!$AJ$6:$AJ$505,"&gt;"&amp;$A117,実績!$AK$6:$AK$505,"○")&gt;0,1,0))</f>
        <v>0</v>
      </c>
      <c r="L117" s="39" t="n">
        <f aca="false">IF(L$4=0,0,IF(COUNTIFS(実績!$W$6:$W$505,L$3,実績!$AI$6:$AI$505,"&lt;="&amp;$A117,実績!$AJ$6:$AJ$505,"&gt;"&amp;$A117,実績!$AK$6:$AK$505,"○")&gt;0,1,0))</f>
        <v>0</v>
      </c>
      <c r="M117" s="39" t="n">
        <f aca="false">IF(M$4=0,0,IF(COUNTIFS(実績!$W$6:$W$505,M$3,実績!$AI$6:$AI$505,"&lt;="&amp;$A117,実績!$AJ$6:$AJ$505,"&gt;"&amp;$A117,実績!$AK$6:$AK$505,"○")&gt;0,1,0))</f>
        <v>0</v>
      </c>
      <c r="N117" s="39" t="n">
        <f aca="false">IF(N$4=0,0,IF(COUNTIFS(実績!$W$6:$W$505,N$3,実績!$AI$6:$AI$505,"&lt;="&amp;$A117,実績!$AJ$6:$AJ$505,"&gt;"&amp;$A117,実績!$AK$6:$AK$505,"○")&gt;0,1,0))</f>
        <v>0</v>
      </c>
      <c r="O117" s="39" t="n">
        <f aca="false">IF(O$4=0,0,IF(COUNTIFS(実績!$W$6:$W$505,O$3,実績!$AI$6:$AI$505,"&lt;="&amp;$A117,実績!$AJ$6:$AJ$505,"&gt;"&amp;$A117,実績!$AK$6:$AK$505,"○")&gt;0,1,0))</f>
        <v>0</v>
      </c>
      <c r="P117" s="39" t="n">
        <f aca="false">IF(P$4=0,0,IF(COUNTIFS(実績!$W$6:$W$505,P$3,実績!$AI$6:$AI$505,"&lt;="&amp;$A117,実績!$AJ$6:$AJ$505,"&gt;"&amp;$A117,実績!$AK$6:$AK$505,"○")&gt;0,1,0))</f>
        <v>0</v>
      </c>
      <c r="Q117" s="39" t="n">
        <f aca="false">IF(Q$4=0,0,IF(COUNTIFS(実績!$W$6:$W$505,Q$3,実績!$AI$6:$AI$505,"&lt;="&amp;$A117,実績!$AJ$6:$AJ$505,"&gt;"&amp;$A117,実績!$AK$6:$AK$505,"○")&gt;0,1,0))</f>
        <v>0</v>
      </c>
      <c r="R117" s="39" t="n">
        <f aca="false">IF(R$4=0,0,IF(COUNTIFS(実績!$W$6:$W$505,R$3,実績!$AI$6:$AI$505,"&lt;="&amp;$A117,実績!$AJ$6:$AJ$505,"&gt;"&amp;$A117,実績!$AK$6:$AK$505,"○")&gt;0,1,0))</f>
        <v>0</v>
      </c>
      <c r="S117" s="39" t="n">
        <f aca="false">IF(S$4=0,0,IF(COUNTIFS(実績!$W$6:$W$505,S$3,実績!$AI$6:$AI$505,"&lt;="&amp;$A117,実績!$AJ$6:$AJ$505,"&gt;"&amp;$A117,実績!$AK$6:$AK$505,"○")&gt;0,1,0))</f>
        <v>0</v>
      </c>
      <c r="T117" s="39" t="n">
        <f aca="false">IF(T$4=0,0,IF(COUNTIFS(実績!$W$6:$W$505,T$3,実績!$AI$6:$AI$505,"&lt;="&amp;$A117,実績!$AJ$6:$AJ$505,"&gt;"&amp;$A117,実績!$AK$6:$AK$505,"○")&gt;0,1,0))</f>
        <v>0</v>
      </c>
      <c r="U117" s="39" t="n">
        <f aca="false">IF(U$4=0,0,IF(COUNTIFS(実績!$W$6:$W$505,U$3,実績!$AI$6:$AI$505,"&lt;="&amp;$A117,実績!$AJ$6:$AJ$505,"&gt;"&amp;$A117,実績!$AK$6:$AK$505,"○")&gt;0,1,0))</f>
        <v>0</v>
      </c>
      <c r="V117" s="39" t="n">
        <f aca="false">IF(V$4=0,0,IF(COUNTIFS(実績!$W$6:$W$505,V$3,実績!$AI$6:$AI$505,"&lt;="&amp;$A117,実績!$AJ$6:$AJ$505,"&gt;"&amp;$A117,実績!$AK$6:$AK$505,"○")&gt;0,1,0))</f>
        <v>0</v>
      </c>
      <c r="W117" s="39" t="n">
        <f aca="false">IF(W$4=0,0,IF(COUNTIFS(実績!$W$6:$W$505,W$3,実績!$AI$6:$AI$505,"&lt;="&amp;$A117,実績!$AJ$6:$AJ$505,"&gt;"&amp;$A117,実績!$AK$6:$AK$505,"○")&gt;0,1,0))</f>
        <v>0</v>
      </c>
      <c r="X117" s="39" t="n">
        <f aca="false">IF(X$4=0,0,IF(COUNTIFS(実績!$W$6:$W$505,X$3,実績!$AI$6:$AI$505,"&lt;="&amp;$A117,実績!$AJ$6:$AJ$505,"&gt;"&amp;$A117,実績!$AK$6:$AK$505,"○")&gt;0,1,0))</f>
        <v>0</v>
      </c>
      <c r="Y117" s="39" t="n">
        <f aca="false">IF(Y$4=0,0,IF(COUNTIFS(実績!$W$6:$W$505,Y$3,実績!$AI$6:$AI$505,"&lt;="&amp;$A117,実績!$AJ$6:$AJ$505,"&gt;"&amp;$A117,実績!$AK$6:$AK$505,"○")&gt;0,1,0))</f>
        <v>0</v>
      </c>
      <c r="Z117" s="39" t="n">
        <f aca="false">IF(Z$4=0,0,IF(COUNTIFS(実績!$W$6:$W$505,Z$3,実績!$AI$6:$AI$505,"&lt;="&amp;$A117,実績!$AJ$6:$AJ$505,"&gt;"&amp;$A117,実績!$AK$6:$AK$505,"○")&gt;0,1,0))</f>
        <v>0</v>
      </c>
      <c r="AA117" s="39" t="n">
        <f aca="false">IF(AA$4=0,0,IF(COUNTIFS(実績!$W$6:$W$505,AA$3,実績!$AI$6:$AI$505,"&lt;="&amp;$A117,実績!$AJ$6:$AJ$505,"&gt;"&amp;$A117,実績!$AK$6:$AK$505,"○")&gt;0,1,0))</f>
        <v>0</v>
      </c>
      <c r="AB117" s="39" t="n">
        <f aca="false">IF(AB$4=0,0,IF(COUNTIFS(実績!$W$6:$W$505,AB$3,実績!$AI$6:$AI$505,"&lt;="&amp;$A117,実績!$AJ$6:$AJ$505,"&gt;"&amp;$A117,実績!$AK$6:$AK$505,"○")&gt;0,1,0))</f>
        <v>0</v>
      </c>
      <c r="AC117" s="39" t="n">
        <f aca="false">IF(AC$4=0,0,IF(COUNTIFS(実績!$W$6:$W$505,AC$3,実績!$AI$6:$AI$505,"&lt;="&amp;$A117,実績!$AJ$6:$AJ$505,"&gt;"&amp;$A117,実績!$AK$6:$AK$505,"○")&gt;0,1,0))</f>
        <v>0</v>
      </c>
      <c r="AD117" s="39" t="n">
        <f aca="false">IF(AD$4=0,0,IF(COUNTIFS(実績!$W$6:$W$505,AD$3,実績!$AI$6:$AI$505,"&lt;="&amp;$A117,実績!$AJ$6:$AJ$505,"&gt;"&amp;$A117,実績!$AK$6:$AK$505,"○")&gt;0,1,0))</f>
        <v>0</v>
      </c>
      <c r="AE117" s="39" t="n">
        <f aca="false">IF(AE$4=0,0,IF(COUNTIFS(実績!$W$6:$W$505,AE$3,実績!$AI$6:$AI$505,"&lt;="&amp;$A117,実績!$AJ$6:$AJ$505,"&gt;"&amp;$A117,実績!$AK$6:$AK$505,"○")&gt;0,1,0))</f>
        <v>0</v>
      </c>
      <c r="AF117" s="39" t="n">
        <f aca="false">IF(AF$4=0,0,IF(COUNTIFS(実績!$W$6:$W$505,AF$3,実績!$AI$6:$AI$505,"&lt;="&amp;$A117,実績!$AJ$6:$AJ$505,"&gt;"&amp;$A117,実績!$AK$6:$AK$505,"○")&gt;0,1,0))</f>
        <v>0</v>
      </c>
      <c r="AG117" s="39" t="n">
        <f aca="false">IF(AG$4=0,0,IF(COUNTIFS(実績!$W$6:$W$505,AG$3,実績!$AI$6:$AI$505,"&lt;="&amp;$A117,実績!$AJ$6:$AJ$505,"&gt;"&amp;$A117,実績!$AK$6:$AK$505,"○")&gt;0,1,0))</f>
        <v>0</v>
      </c>
      <c r="AH117" s="39" t="n">
        <f aca="false">IF(AH$4=0,0,IF(COUNTIFS(実績!$W$6:$W$505,AH$3,実績!$AI$6:$AI$505,"&lt;="&amp;$A117,実績!$AJ$6:$AJ$505,"&gt;"&amp;$A117,実績!$AK$6:$AK$505,"○")&gt;0,1,0))</f>
        <v>0</v>
      </c>
      <c r="AI117" s="39" t="n">
        <f aca="false">IF(AI$4=0,0,IF(COUNTIFS(実績!$W$6:$W$505,AI$3,実績!$AI$6:$AI$505,"&lt;="&amp;$A117,実績!$AJ$6:$AJ$505,"&gt;"&amp;$A117,実績!$AK$6:$AK$505,"○")&gt;0,1,0))</f>
        <v>0</v>
      </c>
      <c r="AJ117" s="39" t="n">
        <f aca="false">IF(AJ$4=0,0,IF(COUNTIFS(実績!$W$6:$W$505,AJ$3,実績!$AI$6:$AI$505,"&lt;="&amp;$A117,実績!$AJ$6:$AJ$505,"&gt;"&amp;$A117,実績!$AK$6:$AK$505,"○")&gt;0,1,0))</f>
        <v>0</v>
      </c>
      <c r="AK117" s="39" t="n">
        <f aca="false">IF(AK$4=0,0,IF(COUNTIFS(実績!$W$6:$W$505,AK$3,実績!$AI$6:$AI$505,"&lt;="&amp;$A117,実績!$AJ$6:$AJ$505,"&gt;"&amp;$A117,実績!$AK$6:$AK$505,"○")&gt;0,1,0))</f>
        <v>0</v>
      </c>
      <c r="AL117" s="39" t="n">
        <f aca="false">IF(AL$4=0,0,IF(COUNTIFS(実績!$W$6:$W$505,AL$3,実績!$AI$6:$AI$505,"&lt;="&amp;$A117,実績!$AJ$6:$AJ$505,"&gt;"&amp;$A117,実績!$AK$6:$AK$505,"○")&gt;0,1,0))</f>
        <v>0</v>
      </c>
      <c r="AM117" s="39" t="n">
        <f aca="false">IF(AM$4=0,0,IF(COUNTIFS(実績!$W$6:$W$505,AM$3,実績!$AI$6:$AI$505,"&lt;="&amp;$A117,実績!$AJ$6:$AJ$505,"&gt;"&amp;$A117,実績!$AK$6:$AK$505,"○")&gt;0,1,0))</f>
        <v>0</v>
      </c>
      <c r="AN117" s="39" t="n">
        <f aca="false">IF(AN$4=0,0,IF(COUNTIFS(実績!$W$6:$W$505,AN$3,実績!$AI$6:$AI$505,"&lt;="&amp;$A117,実績!$AJ$6:$AJ$505,"&gt;"&amp;$A117,実績!$AK$6:$AK$505,"○")&gt;0,1,0))</f>
        <v>0</v>
      </c>
      <c r="AO117" s="39" t="n">
        <f aca="false">IF(AO$4=0,0,IF(COUNTIFS(実績!$W$6:$W$505,AO$3,実績!$AI$6:$AI$505,"&lt;="&amp;$A117,実績!$AJ$6:$AJ$505,"&gt;"&amp;$A117,実績!$AK$6:$AK$505,"○")&gt;0,1,0))</f>
        <v>0</v>
      </c>
      <c r="AP117" s="39" t="n">
        <f aca="false">IF(AP$4=0,0,IF(COUNTIFS(実績!$W$6:$W$505,AP$3,実績!$AI$6:$AI$505,"&lt;="&amp;$A117,実績!$AJ$6:$AJ$505,"&gt;"&amp;$A117,実績!$AK$6:$AK$505,"○")&gt;0,1,0))</f>
        <v>0</v>
      </c>
      <c r="AQ117" s="39" t="n">
        <f aca="false">IF(AQ$4=0,0,IF(COUNTIFS(実績!$W$6:$W$505,AQ$3,実績!$AI$6:$AI$505,"&lt;="&amp;$A117,実績!$AJ$6:$AJ$505,"&gt;"&amp;$A117,実績!$AK$6:$AK$505,"○")&gt;0,1,0))</f>
        <v>0</v>
      </c>
      <c r="AR117" s="39" t="n">
        <f aca="false">IF(AR$4=0,0,IF(COUNTIFS(実績!$W$6:$W$505,AR$3,実績!$AI$6:$AI$505,"&lt;="&amp;$A117,実績!$AJ$6:$AJ$505,"&gt;"&amp;$A117,実績!$AK$6:$AK$505,"○")&gt;0,1,0))</f>
        <v>0</v>
      </c>
      <c r="AS117" s="39" t="n">
        <f aca="false">IF(AS$4=0,0,IF(COUNTIFS(実績!$W$6:$W$505,AS$3,実績!$AI$6:$AI$505,"&lt;="&amp;$A117,実績!$AJ$6:$AJ$505,"&gt;"&amp;$A117,実績!$AK$6:$AK$505,"○")&gt;0,1,0))</f>
        <v>0</v>
      </c>
      <c r="AT117" s="39" t="n">
        <f aca="false">IF(AT$4=0,0,IF(COUNTIFS(実績!$W$6:$W$505,AT$3,実績!$AI$6:$AI$505,"&lt;="&amp;$A117,実績!$AJ$6:$AJ$505,"&gt;"&amp;$A117,実績!$AK$6:$AK$505,"○")&gt;0,1,0))</f>
        <v>0</v>
      </c>
      <c r="AU117" s="39" t="n">
        <f aca="false">IF(AU$4=0,0,IF(COUNTIFS(実績!$W$6:$W$505,AU$3,実績!$AI$6:$AI$505,"&lt;="&amp;$A117,実績!$AJ$6:$AJ$505,"&gt;"&amp;$A117,実績!$AK$6:$AK$505,"○")&gt;0,1,0))</f>
        <v>0</v>
      </c>
      <c r="AV117" s="39" t="n">
        <f aca="false">IF(AV$4=0,0,IF(COUNTIFS(実績!$W$6:$W$505,AV$3,実績!$AI$6:$AI$505,"&lt;="&amp;$A117,実績!$AJ$6:$AJ$505,"&gt;"&amp;$A117,実績!$AK$6:$AK$505,"○")&gt;0,1,0))</f>
        <v>0</v>
      </c>
      <c r="AW117" s="39" t="n">
        <f aca="false">IF(AW$4=0,0,IF(COUNTIFS(実績!$W$6:$W$505,AW$3,実績!$AI$6:$AI$505,"&lt;="&amp;$A117,実績!$AJ$6:$AJ$505,"&gt;"&amp;$A117,実績!$AK$6:$AK$505,"○")&gt;0,1,0))</f>
        <v>0</v>
      </c>
      <c r="AX117" s="39" t="n">
        <f aca="false">IF(AX$4=0,0,IF(COUNTIFS(実績!$W$6:$W$505,AX$3,実績!$AI$6:$AI$505,"&lt;="&amp;$A117,実績!$AJ$6:$AJ$505,"&gt;"&amp;$A117,実績!$AK$6:$AK$505,"○")&gt;0,1,0))</f>
        <v>0</v>
      </c>
      <c r="AY117" s="39" t="n">
        <f aca="false">IF(AY$4=0,0,IF(COUNTIFS(実績!$W$6:$W$505,AY$3,実績!$AI$6:$AI$505,"&lt;="&amp;$A117,実績!$AJ$6:$AJ$505,"&gt;"&amp;$A117,実績!$AK$6:$AK$505,"○")&gt;0,1,0))</f>
        <v>0</v>
      </c>
      <c r="AZ117" s="39" t="n">
        <f aca="false">IF(AZ$4=0,0,IF(COUNTIFS(実績!$W$6:$W$505,AZ$3,実績!$AI$6:$AI$505,"&lt;="&amp;$A117,実績!$AJ$6:$AJ$505,"&gt;"&amp;$A117,実績!$AK$6:$AK$505,"○")&gt;0,1,0))</f>
        <v>0</v>
      </c>
      <c r="BA117" s="39" t="n">
        <f aca="false">IF(BA$4=0,0,IF(COUNTIFS(実績!$W$6:$W$505,BA$3,実績!$AI$6:$AI$505,"&lt;="&amp;$A117,実績!$AJ$6:$AJ$505,"&gt;"&amp;$A117,実績!$AK$6:$AK$505,"○")&gt;0,1,0))</f>
        <v>0</v>
      </c>
      <c r="BB117" s="39" t="n">
        <f aca="false">IF(BB$4=0,0,IF(COUNTIFS(実績!$W$6:$W$505,BB$3,実績!$AI$6:$AI$505,"&lt;="&amp;$A117,実績!$AJ$6:$AJ$505,"&gt;"&amp;$A117,実績!$AK$6:$AK$505,"○")&gt;0,1,0))</f>
        <v>0</v>
      </c>
      <c r="BC117" s="39" t="n">
        <f aca="false">IF(BC$4=0,0,IF(COUNTIFS(実績!$W$6:$W$505,BC$3,実績!$AI$6:$AI$505,"&lt;="&amp;$A117,実績!$AJ$6:$AJ$505,"&gt;"&amp;$A117,実績!$AK$6:$AK$505,"○")&gt;0,1,0))</f>
        <v>0</v>
      </c>
      <c r="BD117" s="39" t="n">
        <f aca="false">IF(BD$4=0,0,IF(COUNTIFS(実績!$W$6:$W$505,BD$3,実績!$AI$6:$AI$505,"&lt;="&amp;$A117,実績!$AJ$6:$AJ$505,"&gt;"&amp;$A117,実績!$AK$6:$AK$505,"○")&gt;0,1,0))</f>
        <v>0</v>
      </c>
      <c r="BE117" s="39" t="n">
        <f aca="false">IF(BE$4=0,0,IF(COUNTIFS(実績!$W$6:$W$505,BE$3,実績!$AI$6:$AI$505,"&lt;="&amp;$A117,実績!$AJ$6:$AJ$505,"&gt;"&amp;$A117,実績!$AK$6:$AK$505,"○")&gt;0,1,0))</f>
        <v>0</v>
      </c>
      <c r="BF117" s="39" t="n">
        <f aca="false">IF(BF$4=0,0,IF(COUNTIFS(実績!$W$6:$W$505,BF$3,実績!$AI$6:$AI$505,"&lt;="&amp;$A117,実績!$AJ$6:$AJ$505,"&gt;"&amp;$A117,実績!$AK$6:$AK$505,"○")&gt;0,1,0))</f>
        <v>0</v>
      </c>
      <c r="BG117" s="39" t="n">
        <f aca="false">IF(BG$4=0,0,IF(COUNTIFS(実績!$W$6:$W$505,BG$3,実績!$AI$6:$AI$505,"&lt;="&amp;$A117,実績!$AJ$6:$AJ$505,"&gt;"&amp;$A117,実績!$AK$6:$AK$505,"○")&gt;0,1,0))</f>
        <v>0</v>
      </c>
      <c r="BH117" s="39" t="n">
        <f aca="false">IF(BH$4=0,0,IF(COUNTIFS(実績!$W$6:$W$505,BH$3,実績!$AI$6:$AI$505,"&lt;="&amp;$A117,実績!$AJ$6:$AJ$505,"&gt;"&amp;$A117,実績!$AK$6:$AK$505,"○")&gt;0,1,0))</f>
        <v>0</v>
      </c>
      <c r="BI117" s="39" t="n">
        <f aca="false">IF(BI$4=0,0,IF(COUNTIFS(実績!$W$6:$W$505,BI$3,実績!$AI$6:$AI$505,"&lt;="&amp;$A117,実績!$AJ$6:$AJ$505,"&gt;"&amp;$A117,実績!$AK$6:$AK$505,"○")&gt;0,1,0))</f>
        <v>0</v>
      </c>
      <c r="BJ117" s="39" t="n">
        <f aca="false">IF(BJ$4=0,0,IF(COUNTIFS(実績!$W$6:$W$505,BJ$3,実績!$AI$6:$AI$505,"&lt;="&amp;$A117,実績!$AJ$6:$AJ$505,"&gt;"&amp;$A117,実績!$AK$6:$AK$505,"○")&gt;0,1,0))</f>
        <v>0</v>
      </c>
      <c r="BK117" s="39" t="n">
        <f aca="false">IF(BK$4=0,0,IF(COUNTIFS(実績!$W$6:$W$505,BK$3,実績!$AI$6:$AI$505,"&lt;="&amp;$A117,実績!$AJ$6:$AJ$505,"&gt;"&amp;$A117,実績!$AK$6:$AK$505,"○")&gt;0,1,0))</f>
        <v>0</v>
      </c>
      <c r="BL117" s="39" t="n">
        <f aca="false">IF(BL$4=0,0,IF(COUNTIFS(実績!$W$6:$W$505,BL$3,実績!$AI$6:$AI$505,"&lt;="&amp;$A117,実績!$AJ$6:$AJ$505,"&gt;"&amp;$A117,実績!$AK$6:$AK$505,"○")&gt;0,1,0))</f>
        <v>0</v>
      </c>
      <c r="BM117" s="39" t="n">
        <f aca="false">IF(BM$4=0,0,IF(COUNTIFS(実績!$W$6:$W$505,BM$3,実績!$AI$6:$AI$505,"&lt;="&amp;$A117,実績!$AJ$6:$AJ$505,"&gt;"&amp;$A117,実績!$AK$6:$AK$505,"○")&gt;0,1,0))</f>
        <v>0</v>
      </c>
      <c r="BN117" s="39" t="n">
        <f aca="false">IF(BN$4=0,0,IF(COUNTIFS(実績!$W$6:$W$505,BN$3,実績!$AI$6:$AI$505,"&lt;="&amp;$A117,実績!$AJ$6:$AJ$505,"&gt;"&amp;$A117,実績!$AK$6:$AK$505,"○")&gt;0,1,0))</f>
        <v>0</v>
      </c>
      <c r="BO117" s="39" t="n">
        <f aca="false">IF(BO$4=0,0,IF(COUNTIFS(実績!$W$6:$W$505,BO$3,実績!$AI$6:$AI$505,"&lt;="&amp;$A117,実績!$AJ$6:$AJ$505,"&gt;"&amp;$A117,実績!$AK$6:$AK$505,"○")&gt;0,1,0))</f>
        <v>0</v>
      </c>
      <c r="BP117" s="39" t="n">
        <f aca="false">IF(BP$4=0,0,IF(COUNTIFS(実績!$W$6:$W$505,BP$3,実績!$AI$6:$AI$505,"&lt;="&amp;$A117,実績!$AJ$6:$AJ$505,"&gt;"&amp;$A117,実績!$AK$6:$AK$505,"○")&gt;0,1,0))</f>
        <v>0</v>
      </c>
      <c r="BQ117" s="39" t="n">
        <f aca="false">IF(BQ$4=0,0,IF(COUNTIFS(実績!$W$6:$W$505,BQ$3,実績!$AI$6:$AI$505,"&lt;="&amp;$A117,実績!$AJ$6:$AJ$505,"&gt;"&amp;$A117,実績!$AK$6:$AK$505,"○")&gt;0,1,0))</f>
        <v>0</v>
      </c>
      <c r="BR117" s="39" t="n">
        <f aca="false">IF(BR$4=0,0,IF(COUNTIFS(実績!$W$6:$W$505,BR$3,実績!$AI$6:$AI$505,"&lt;="&amp;$A117,実績!$AJ$6:$AJ$505,"&gt;"&amp;$A117,実績!$AK$6:$AK$505,"○")&gt;0,1,0))</f>
        <v>0</v>
      </c>
      <c r="BS117" s="39" t="n">
        <f aca="false">IF(BS$4=0,0,IF(COUNTIFS(実績!$W$6:$W$505,BS$3,実績!$AI$6:$AI$505,"&lt;="&amp;$A117,実績!$AJ$6:$AJ$505,"&gt;"&amp;$A117,実績!$AK$6:$AK$505,"○")&gt;0,1,0))</f>
        <v>0</v>
      </c>
      <c r="BT117" s="39" t="n">
        <f aca="false">IF(BT$4=0,0,IF(COUNTIFS(実績!$W$6:$W$505,BT$3,実績!$AI$6:$AI$505,"&lt;="&amp;$A117,実績!$AJ$6:$AJ$505,"&gt;"&amp;$A117,実績!$AK$6:$AK$505,"○")&gt;0,1,0))</f>
        <v>0</v>
      </c>
      <c r="BU117" s="39" t="n">
        <f aca="false">IF(BU$4=0,0,IF(COUNTIFS(実績!$W$6:$W$505,BU$3,実績!$AI$6:$AI$505,"&lt;="&amp;$A117,実績!$AJ$6:$AJ$505,"&gt;"&amp;$A117,実績!$AK$6:$AK$505,"○")&gt;0,1,0))</f>
        <v>0</v>
      </c>
      <c r="BV117" s="39" t="n">
        <f aca="false">IF(BV$4=0,0,IF(COUNTIFS(実績!$W$6:$W$505,BV$3,実績!$AI$6:$AI$505,"&lt;="&amp;$A117,実績!$AJ$6:$AJ$505,"&gt;"&amp;$A117,実績!$AK$6:$AK$505,"○")&gt;0,1,0))</f>
        <v>0</v>
      </c>
      <c r="BW117" s="39" t="n">
        <f aca="false">IF(BW$4=0,0,IF(COUNTIFS(実績!$W$6:$W$505,BW$3,実績!$AI$6:$AI$505,"&lt;="&amp;$A117,実績!$AJ$6:$AJ$505,"&gt;"&amp;$A117,実績!$AK$6:$AK$505,"○")&gt;0,1,0))</f>
        <v>0</v>
      </c>
      <c r="BX117" s="39" t="n">
        <f aca="false">IF(BX$4=0,0,IF(COUNTIFS(実績!$W$6:$W$505,BX$3,実績!$AI$6:$AI$505,"&lt;="&amp;$A117,実績!$AJ$6:$AJ$505,"&gt;"&amp;$A117,実績!$AK$6:$AK$505,"○")&gt;0,1,0))</f>
        <v>0</v>
      </c>
      <c r="BY117" s="39" t="n">
        <f aca="false">IF(BY$4=0,0,IF(COUNTIFS(実績!$W$6:$W$505,BY$3,実績!$AI$6:$AI$505,"&lt;="&amp;$A117,実績!$AJ$6:$AJ$505,"&gt;"&amp;$A117,実績!$AK$6:$AK$505,"○")&gt;0,1,0))</f>
        <v>0</v>
      </c>
      <c r="BZ117" s="39" t="n">
        <f aca="false">IF(BZ$4=0,0,IF(COUNTIFS(実績!$W$6:$W$505,BZ$3,実績!$AI$6:$AI$505,"&lt;="&amp;$A117,実績!$AJ$6:$AJ$505,"&gt;"&amp;$A117,実績!$AK$6:$AK$505,"○")&gt;0,1,0))</f>
        <v>0</v>
      </c>
      <c r="CA117" s="39" t="n">
        <f aca="false">IF(CA$4=0,0,IF(COUNTIFS(実績!$W$6:$W$505,CA$3,実績!$AI$6:$AI$505,"&lt;="&amp;$A117,実績!$AJ$6:$AJ$505,"&gt;"&amp;$A117,実績!$AK$6:$AK$505,"○")&gt;0,1,0))</f>
        <v>0</v>
      </c>
      <c r="CB117" s="39" t="n">
        <f aca="false">IF(CB$4=0,0,IF(COUNTIFS(実績!$W$6:$W$505,CB$3,実績!$AI$6:$AI$505,"&lt;="&amp;$A117,実績!$AJ$6:$AJ$505,"&gt;"&amp;$A117,実績!$AK$6:$AK$505,"○")&gt;0,1,0))</f>
        <v>0</v>
      </c>
      <c r="CC117" s="39" t="n">
        <f aca="false">IF(CC$4=0,0,IF(COUNTIFS(実績!$W$6:$W$505,CC$3,実績!$AI$6:$AI$505,"&lt;="&amp;$A117,実績!$AJ$6:$AJ$505,"&gt;"&amp;$A117,実績!$AK$6:$AK$505,"○")&gt;0,1,0))</f>
        <v>0</v>
      </c>
      <c r="CD117" s="39" t="n">
        <f aca="false">IF(CD$4=0,0,IF(COUNTIFS(実績!$W$6:$W$505,CD$3,実績!$AI$6:$AI$505,"&lt;="&amp;$A117,実績!$AJ$6:$AJ$505,"&gt;"&amp;$A117,実績!$AK$6:$AK$505,"○")&gt;0,1,0))</f>
        <v>0</v>
      </c>
      <c r="CE117" s="39" t="n">
        <f aca="false">IF(CE$4=0,0,IF(COUNTIFS(実績!$W$6:$W$505,CE$3,実績!$AI$6:$AI$505,"&lt;="&amp;$A117,実績!$AJ$6:$AJ$505,"&gt;"&amp;$A117,実績!$AK$6:$AK$505,"○")&gt;0,1,0))</f>
        <v>0</v>
      </c>
      <c r="CF117" s="39" t="n">
        <f aca="false">IF(CF$4=0,0,IF(COUNTIFS(実績!$W$6:$W$505,CF$3,実績!$AI$6:$AI$505,"&lt;="&amp;$A117,実績!$AJ$6:$AJ$505,"&gt;"&amp;$A117,実績!$AK$6:$AK$505,"○")&gt;0,1,0))</f>
        <v>0</v>
      </c>
      <c r="CG117" s="39" t="n">
        <f aca="false">IF(CG$4=0,0,IF(COUNTIFS(実績!$W$6:$W$505,CG$3,実績!$AI$6:$AI$505,"&lt;="&amp;$A117,実績!$AJ$6:$AJ$505,"&gt;"&amp;$A117,実績!$AK$6:$AK$505,"○")&gt;0,1,0))</f>
        <v>0</v>
      </c>
      <c r="CH117" s="39" t="n">
        <f aca="false">IF(CH$4=0,0,IF(COUNTIFS(実績!$W$6:$W$505,CH$3,実績!$AI$6:$AI$505,"&lt;="&amp;$A117,実績!$AJ$6:$AJ$505,"&gt;"&amp;$A117,実績!$AK$6:$AK$505,"○")&gt;0,1,0))</f>
        <v>0</v>
      </c>
      <c r="CI117" s="39" t="n">
        <f aca="false">IF(CI$4=0,0,IF(COUNTIFS(実績!$W$6:$W$505,CI$3,実績!$AI$6:$AI$505,"&lt;="&amp;$A117,実績!$AJ$6:$AJ$505,"&gt;"&amp;$A117,実績!$AK$6:$AK$505,"○")&gt;0,1,0))</f>
        <v>0</v>
      </c>
      <c r="CJ117" s="39" t="n">
        <f aca="false">IF(CJ$4=0,0,IF(COUNTIFS(実績!$W$6:$W$505,CJ$3,実績!$AI$6:$AI$505,"&lt;="&amp;$A117,実績!$AJ$6:$AJ$505,"&gt;"&amp;$A117,実績!$AK$6:$AK$505,"○")&gt;0,1,0))</f>
        <v>0</v>
      </c>
      <c r="CK117" s="39" t="n">
        <f aca="false">IF(CK$4=0,0,IF(COUNTIFS(実績!$W$6:$W$505,CK$3,実績!$AI$6:$AI$505,"&lt;="&amp;$A117,実績!$AJ$6:$AJ$505,"&gt;"&amp;$A117,実績!$AK$6:$AK$505,"○")&gt;0,1,0))</f>
        <v>0</v>
      </c>
      <c r="CL117" s="39" t="n">
        <f aca="false">IF(CL$4=0,0,IF(COUNTIFS(実績!$W$6:$W$505,CL$3,実績!$AI$6:$AI$505,"&lt;="&amp;$A117,実績!$AJ$6:$AJ$505,"&gt;"&amp;$A117,実績!$AK$6:$AK$505,"○")&gt;0,1,0))</f>
        <v>0</v>
      </c>
      <c r="CM117" s="39" t="n">
        <f aca="false">IF(CM$4=0,0,IF(COUNTIFS(実績!$W$6:$W$505,CM$3,実績!$AI$6:$AI$505,"&lt;="&amp;$A117,実績!$AJ$6:$AJ$505,"&gt;"&amp;$A117,実績!$AK$6:$AK$505,"○")&gt;0,1,0))</f>
        <v>0</v>
      </c>
      <c r="CN117" s="39" t="n">
        <f aca="false">IF(CN$4=0,0,IF(COUNTIFS(実績!$W$6:$W$505,CN$3,実績!$AI$6:$AI$505,"&lt;="&amp;$A117,実績!$AJ$6:$AJ$505,"&gt;"&amp;$A117,実績!$AK$6:$AK$505,"○")&gt;0,1,0))</f>
        <v>0</v>
      </c>
      <c r="CO117" s="39" t="n">
        <f aca="false">IF(CO$4=0,0,IF(COUNTIFS(実績!$W$6:$W$505,CO$3,実績!$AI$6:$AI$505,"&lt;="&amp;$A117,実績!$AJ$6:$AJ$505,"&gt;"&amp;$A117,実績!$AK$6:$AK$505,"○")&gt;0,1,0))</f>
        <v>0</v>
      </c>
      <c r="CP117" s="39" t="n">
        <f aca="false">IF(CP$4=0,0,IF(COUNTIFS(実績!$W$6:$W$505,CP$3,実績!$AI$6:$AI$505,"&lt;="&amp;$A117,実績!$AJ$6:$AJ$505,"&gt;"&amp;$A117,実績!$AK$6:$AK$505,"○")&gt;0,1,0))</f>
        <v>0</v>
      </c>
      <c r="CQ117" s="39" t="n">
        <f aca="false">IF(CQ$4=0,0,IF(COUNTIFS(実績!$W$6:$W$505,CQ$3,実績!$AI$6:$AI$505,"&lt;="&amp;$A117,実績!$AJ$6:$AJ$505,"&gt;"&amp;$A117,実績!$AK$6:$AK$505,"○")&gt;0,1,0))</f>
        <v>0</v>
      </c>
      <c r="CR117" s="39" t="n">
        <f aca="false">IF(CR$4=0,0,IF(COUNTIFS(実績!$W$6:$W$505,CR$3,実績!$AI$6:$AI$505,"&lt;="&amp;$A117,実績!$AJ$6:$AJ$505,"&gt;"&amp;$A117,実績!$AK$6:$AK$505,"○")&gt;0,1,0))</f>
        <v>0</v>
      </c>
      <c r="CS117" s="39" t="n">
        <f aca="false">IF(CS$4=0,0,IF(COUNTIFS(実績!$W$6:$W$505,CS$3,実績!$AI$6:$AI$505,"&lt;="&amp;$A117,実績!$AJ$6:$AJ$505,"&gt;"&amp;$A117,実績!$AK$6:$AK$505,"○")&gt;0,1,0))</f>
        <v>0</v>
      </c>
      <c r="CT117" s="39" t="n">
        <f aca="false">IF(CT$4=0,0,IF(COUNTIFS(実績!$W$6:$W$505,CT$3,実績!$AI$6:$AI$505,"&lt;="&amp;$A117,実績!$AJ$6:$AJ$505,"&gt;"&amp;$A117,実績!$AK$6:$AK$505,"○")&gt;0,1,0))</f>
        <v>0</v>
      </c>
      <c r="CU117" s="39" t="n">
        <f aca="false">IF(CU$4=0,0,IF(COUNTIFS(実績!$W$6:$W$505,CU$3,実績!$AI$6:$AI$505,"&lt;="&amp;$A117,実績!$AJ$6:$AJ$505,"&gt;"&amp;$A117,実績!$AK$6:$AK$505,"○")&gt;0,1,0))</f>
        <v>0</v>
      </c>
      <c r="CV117" s="39" t="n">
        <f aca="false">IF(CV$4=0,0,IF(COUNTIFS(実績!$W$6:$W$505,CV$3,実績!$AI$6:$AI$505,"&lt;="&amp;$A117,実績!$AJ$6:$AJ$505,"&gt;"&amp;$A117,実績!$AK$6:$AK$505,"○")&gt;0,1,0))</f>
        <v>0</v>
      </c>
      <c r="CW117" s="39" t="n">
        <f aca="false">IF(CW$4=0,0,IF(COUNTIFS(実績!$W$6:$W$505,CW$3,実績!$AI$6:$AI$505,"&lt;="&amp;$A117,実績!$AJ$6:$AJ$505,"&gt;"&amp;$A117,実績!$AK$6:$AK$505,"○")&gt;0,1,0))</f>
        <v>0</v>
      </c>
      <c r="CX117" s="39" t="n">
        <f aca="false">IF(CX$4=0,0,IF(COUNTIFS(実績!$W$6:$W$505,CX$3,実績!$AI$6:$AI$505,"&lt;="&amp;$A117,実績!$AJ$6:$AJ$505,"&gt;"&amp;$A117,実績!$AK$6:$AK$505,"○")&gt;0,1,0))</f>
        <v>0</v>
      </c>
      <c r="CY117" s="39" t="n">
        <f aca="false">IF(CY$4=0,0,IF(COUNTIFS(実績!$W$6:$W$505,CY$3,実績!$AI$6:$AI$505,"&lt;="&amp;$A117,実績!$AJ$6:$AJ$505,"&gt;"&amp;$A117,実績!$AK$6:$AK$505,"○")&gt;0,1,0))</f>
        <v>0</v>
      </c>
      <c r="CZ117" s="39" t="n">
        <f aca="false">IF(CZ$4=0,0,IF(COUNTIFS(実績!$W$6:$W$505,CZ$3,実績!$AI$6:$AI$505,"&lt;="&amp;$A117,実績!$AJ$6:$AJ$505,"&gt;"&amp;$A117,実績!$AK$6:$AK$505,"○")&gt;0,1,0))</f>
        <v>0</v>
      </c>
      <c r="DA117" s="39" t="n">
        <f aca="false">IF(DA$4=0,0,IF(COUNTIFS(実績!$W$6:$W$505,DA$3,実績!$AI$6:$AI$505,"&lt;="&amp;$A117,実績!$AJ$6:$AJ$505,"&gt;"&amp;$A117,実績!$AK$6:$AK$505,"○")&gt;0,1,0))</f>
        <v>0</v>
      </c>
      <c r="DB117" s="39" t="n">
        <f aca="false">IF(DB$4=0,0,IF(COUNTIFS(実績!$W$6:$W$505,DB$3,実績!$AI$6:$AI$505,"&lt;="&amp;$A117,実績!$AJ$6:$AJ$505,"&gt;"&amp;$A117,実績!$AK$6:$AK$505,"○")&gt;0,1,0))</f>
        <v>0</v>
      </c>
      <c r="DC117" s="39" t="n">
        <f aca="false">IF(DC$4=0,0,IF(COUNTIFS(実績!$W$6:$W$505,DC$3,実績!$AI$6:$AI$505,"&lt;="&amp;$A117,実績!$AJ$6:$AJ$505,"&gt;"&amp;$A117,実績!$AK$6:$AK$505,"○")&gt;0,1,0))</f>
        <v>0</v>
      </c>
      <c r="DD117" s="39" t="n">
        <f aca="false">IF(DD$4=0,0,IF(COUNTIFS(実績!$W$6:$W$505,DD$3,実績!$AI$6:$AI$505,"&lt;="&amp;$A117,実績!$AJ$6:$AJ$505,"&gt;"&amp;$A117,実績!$AK$6:$AK$505,"○")&gt;0,1,0))</f>
        <v>0</v>
      </c>
      <c r="DE117" s="39" t="n">
        <f aca="false">IF(DE$4=0,0,IF(COUNTIFS(実績!$W$6:$W$505,DE$3,実績!$AI$6:$AI$505,"&lt;="&amp;$A117,実績!$AJ$6:$AJ$505,"&gt;"&amp;$A117,実績!$AK$6:$AK$505,"○")&gt;0,1,0))</f>
        <v>0</v>
      </c>
      <c r="DF117" s="39" t="n">
        <f aca="false">IF(DF$4=0,0,IF(COUNTIFS(実績!$W$6:$W$505,DF$3,実績!$AI$6:$AI$505,"&lt;="&amp;$A117,実績!$AJ$6:$AJ$505,"&gt;"&amp;$A117,実績!$AK$6:$AK$505,"○")&gt;0,1,0))</f>
        <v>0</v>
      </c>
      <c r="DG117" s="39" t="n">
        <f aca="false">IF(DG$4=0,0,IF(COUNTIFS(実績!$W$6:$W$505,DG$3,実績!$AI$6:$AI$505,"&lt;="&amp;$A117,実績!$AJ$6:$AJ$505,"&gt;"&amp;$A117,実績!$AK$6:$AK$505,"○")&gt;0,1,0))</f>
        <v>0</v>
      </c>
      <c r="DH117" s="39" t="n">
        <f aca="false">IF(DH$4=0,0,IF(COUNTIFS(実績!$W$6:$W$505,DH$3,実績!$AI$6:$AI$505,"&lt;="&amp;$A117,実績!$AJ$6:$AJ$505,"&gt;"&amp;$A117,実績!$AK$6:$AK$505,"○")&gt;0,1,0))</f>
        <v>0</v>
      </c>
      <c r="DI117" s="39" t="n">
        <f aca="false">IF(DI$4=0,0,IF(COUNTIFS(実績!$W$6:$W$505,DI$3,実績!$AI$6:$AI$505,"&lt;="&amp;$A117,実績!$AJ$6:$AJ$505,"&gt;"&amp;$A117,実績!$AK$6:$AK$505,"○")&gt;0,1,0))</f>
        <v>0</v>
      </c>
      <c r="DJ117" s="39" t="n">
        <f aca="false">IF(DJ$4=0,0,IF(COUNTIFS(実績!$W$6:$W$505,DJ$3,実績!$AI$6:$AI$505,"&lt;="&amp;$A117,実績!$AJ$6:$AJ$505,"&gt;"&amp;$A117,実績!$AK$6:$AK$505,"○")&gt;0,1,0))</f>
        <v>0</v>
      </c>
      <c r="DK117" s="39" t="n">
        <f aca="false">IF(DK$4=0,0,IF(COUNTIFS(実績!$W$6:$W$505,DK$3,実績!$AI$6:$AI$505,"&lt;="&amp;$A117,実績!$AJ$6:$AJ$505,"&gt;"&amp;$A117,実績!$AK$6:$AK$505,"○")&gt;0,1,0))</f>
        <v>0</v>
      </c>
      <c r="DL117" s="39" t="n">
        <f aca="false">IF(DL$4=0,0,IF(COUNTIFS(実績!$W$6:$W$505,DL$3,実績!$AI$6:$AI$505,"&lt;="&amp;$A117,実績!$AJ$6:$AJ$505,"&gt;"&amp;$A117,実績!$AK$6:$AK$505,"○")&gt;0,1,0))</f>
        <v>0</v>
      </c>
      <c r="DM117" s="39" t="n">
        <f aca="false">IF(DM$4=0,0,IF(COUNTIFS(実績!$W$6:$W$505,DM$3,実績!$AI$6:$AI$505,"&lt;="&amp;$A117,実績!$AJ$6:$AJ$505,"&gt;"&amp;$A117,実績!$AK$6:$AK$505,"○")&gt;0,1,0))</f>
        <v>0</v>
      </c>
      <c r="DN117" s="39" t="n">
        <f aca="false">IF(DN$4=0,0,IF(COUNTIFS(実績!$W$6:$W$505,DN$3,実績!$AI$6:$AI$505,"&lt;="&amp;$A117,実績!$AJ$6:$AJ$505,"&gt;"&amp;$A117,実績!$AK$6:$AK$505,"○")&gt;0,1,0))</f>
        <v>0</v>
      </c>
      <c r="DO117" s="39" t="n">
        <f aca="false">IF(DO$4=0,0,IF(COUNTIFS(実績!$W$6:$W$505,DO$3,実績!$AI$6:$AI$505,"&lt;="&amp;$A117,実績!$AJ$6:$AJ$505,"&gt;"&amp;$A117,実績!$AK$6:$AK$505,"○")&gt;0,1,0))</f>
        <v>0</v>
      </c>
      <c r="DP117" s="39" t="n">
        <f aca="false">IF(DP$4=0,0,IF(COUNTIFS(実績!$W$6:$W$505,DP$3,実績!$AI$6:$AI$505,"&lt;="&amp;$A117,実績!$AJ$6:$AJ$505,"&gt;"&amp;$A117,実績!$AK$6:$AK$505,"○")&gt;0,1,0))</f>
        <v>0</v>
      </c>
      <c r="DQ117" s="39" t="n">
        <f aca="false">IF(DQ$4=0,0,IF(COUNTIFS(実績!$W$6:$W$505,DQ$3,実績!$AI$6:$AI$505,"&lt;="&amp;$A117,実績!$AJ$6:$AJ$505,"&gt;"&amp;$A117,実績!$AK$6:$AK$505,"○")&gt;0,1,0))</f>
        <v>0</v>
      </c>
      <c r="DR117" s="39" t="n">
        <f aca="false">IF(DR$4=0,0,IF(COUNTIFS(実績!$W$6:$W$505,DR$3,実績!$AI$6:$AI$505,"&lt;="&amp;$A117,実績!$AJ$6:$AJ$505,"&gt;"&amp;$A117,実績!$AK$6:$AK$505,"○")&gt;0,1,0))</f>
        <v>0</v>
      </c>
      <c r="DS117" s="39" t="n">
        <f aca="false">SUM(C117:DR117)</f>
        <v>0</v>
      </c>
      <c r="DT117" s="39" t="n">
        <f aca="false">SUMPRODUCT((実績!$C$6:$C$505="○")*ISNUMBER(実績!$AM$6:$AM$505)*(実績!$AM$6:$AM$505&lt;=$A117)*(実績!$AN$6:$AN$505&gt;$A117))</f>
        <v>0</v>
      </c>
      <c r="DU117" s="39" t="n">
        <f aca="false">SUMIF($C$2:$DR$2,"製鉄曳船",C117:DR117)</f>
        <v>0</v>
      </c>
      <c r="DV117" s="39" t="n">
        <f aca="false">SUMIF($C$2:$DR$2,"西日本海運",C117:DR117)</f>
        <v>0</v>
      </c>
    </row>
    <row r="118" customFormat="false" ht="15" hidden="false" customHeight="false" outlineLevel="0" collapsed="false">
      <c r="A118" s="0" t="n">
        <v>560</v>
      </c>
      <c r="B118" s="38" t="n">
        <f aca="false">A118/1440</f>
        <v>0.388888888888889</v>
      </c>
      <c r="C118" s="39" t="n">
        <f aca="false">IF(C$4=0,0,IF(COUNTIFS(実績!$W$6:$W$505,C$3,実績!$AI$6:$AI$505,"&lt;="&amp;$A118,実績!$AJ$6:$AJ$505,"&gt;"&amp;$A118,実績!$AK$6:$AK$505,"○")&gt;0,1,0))</f>
        <v>0</v>
      </c>
      <c r="D118" s="39" t="n">
        <f aca="false">IF(D$4=0,0,IF(COUNTIFS(実績!$W$6:$W$505,D$3,実績!$AI$6:$AI$505,"&lt;="&amp;$A118,実績!$AJ$6:$AJ$505,"&gt;"&amp;$A118,実績!$AK$6:$AK$505,"○")&gt;0,1,0))</f>
        <v>0</v>
      </c>
      <c r="E118" s="39" t="n">
        <f aca="false">IF(E$4=0,0,IF(COUNTIFS(実績!$W$6:$W$505,E$3,実績!$AI$6:$AI$505,"&lt;="&amp;$A118,実績!$AJ$6:$AJ$505,"&gt;"&amp;$A118,実績!$AK$6:$AK$505,"○")&gt;0,1,0))</f>
        <v>0</v>
      </c>
      <c r="F118" s="39" t="n">
        <f aca="false">IF(F$4=0,0,IF(COUNTIFS(実績!$W$6:$W$505,F$3,実績!$AI$6:$AI$505,"&lt;="&amp;$A118,実績!$AJ$6:$AJ$505,"&gt;"&amp;$A118,実績!$AK$6:$AK$505,"○")&gt;0,1,0))</f>
        <v>0</v>
      </c>
      <c r="G118" s="39" t="n">
        <f aca="false">IF(G$4=0,0,IF(COUNTIFS(実績!$W$6:$W$505,G$3,実績!$AI$6:$AI$505,"&lt;="&amp;$A118,実績!$AJ$6:$AJ$505,"&gt;"&amp;$A118,実績!$AK$6:$AK$505,"○")&gt;0,1,0))</f>
        <v>0</v>
      </c>
      <c r="H118" s="39" t="n">
        <f aca="false">IF(H$4=0,0,IF(COUNTIFS(実績!$W$6:$W$505,H$3,実績!$AI$6:$AI$505,"&lt;="&amp;$A118,実績!$AJ$6:$AJ$505,"&gt;"&amp;$A118,実績!$AK$6:$AK$505,"○")&gt;0,1,0))</f>
        <v>0</v>
      </c>
      <c r="I118" s="39" t="n">
        <f aca="false">IF(I$4=0,0,IF(COUNTIFS(実績!$W$6:$W$505,I$3,実績!$AI$6:$AI$505,"&lt;="&amp;$A118,実績!$AJ$6:$AJ$505,"&gt;"&amp;$A118,実績!$AK$6:$AK$505,"○")&gt;0,1,0))</f>
        <v>0</v>
      </c>
      <c r="J118" s="39" t="n">
        <f aca="false">IF(J$4=0,0,IF(COUNTIFS(実績!$W$6:$W$505,J$3,実績!$AI$6:$AI$505,"&lt;="&amp;$A118,実績!$AJ$6:$AJ$505,"&gt;"&amp;$A118,実績!$AK$6:$AK$505,"○")&gt;0,1,0))</f>
        <v>0</v>
      </c>
      <c r="K118" s="39" t="n">
        <f aca="false">IF(K$4=0,0,IF(COUNTIFS(実績!$W$6:$W$505,K$3,実績!$AI$6:$AI$505,"&lt;="&amp;$A118,実績!$AJ$6:$AJ$505,"&gt;"&amp;$A118,実績!$AK$6:$AK$505,"○")&gt;0,1,0))</f>
        <v>0</v>
      </c>
      <c r="L118" s="39" t="n">
        <f aca="false">IF(L$4=0,0,IF(COUNTIFS(実績!$W$6:$W$505,L$3,実績!$AI$6:$AI$505,"&lt;="&amp;$A118,実績!$AJ$6:$AJ$505,"&gt;"&amp;$A118,実績!$AK$6:$AK$505,"○")&gt;0,1,0))</f>
        <v>0</v>
      </c>
      <c r="M118" s="39" t="n">
        <f aca="false">IF(M$4=0,0,IF(COUNTIFS(実績!$W$6:$W$505,M$3,実績!$AI$6:$AI$505,"&lt;="&amp;$A118,実績!$AJ$6:$AJ$505,"&gt;"&amp;$A118,実績!$AK$6:$AK$505,"○")&gt;0,1,0))</f>
        <v>0</v>
      </c>
      <c r="N118" s="39" t="n">
        <f aca="false">IF(N$4=0,0,IF(COUNTIFS(実績!$W$6:$W$505,N$3,実績!$AI$6:$AI$505,"&lt;="&amp;$A118,実績!$AJ$6:$AJ$505,"&gt;"&amp;$A118,実績!$AK$6:$AK$505,"○")&gt;0,1,0))</f>
        <v>0</v>
      </c>
      <c r="O118" s="39" t="n">
        <f aca="false">IF(O$4=0,0,IF(COUNTIFS(実績!$W$6:$W$505,O$3,実績!$AI$6:$AI$505,"&lt;="&amp;$A118,実績!$AJ$6:$AJ$505,"&gt;"&amp;$A118,実績!$AK$6:$AK$505,"○")&gt;0,1,0))</f>
        <v>0</v>
      </c>
      <c r="P118" s="39" t="n">
        <f aca="false">IF(P$4=0,0,IF(COUNTIFS(実績!$W$6:$W$505,P$3,実績!$AI$6:$AI$505,"&lt;="&amp;$A118,実績!$AJ$6:$AJ$505,"&gt;"&amp;$A118,実績!$AK$6:$AK$505,"○")&gt;0,1,0))</f>
        <v>0</v>
      </c>
      <c r="Q118" s="39" t="n">
        <f aca="false">IF(Q$4=0,0,IF(COUNTIFS(実績!$W$6:$W$505,Q$3,実績!$AI$6:$AI$505,"&lt;="&amp;$A118,実績!$AJ$6:$AJ$505,"&gt;"&amp;$A118,実績!$AK$6:$AK$505,"○")&gt;0,1,0))</f>
        <v>0</v>
      </c>
      <c r="R118" s="39" t="n">
        <f aca="false">IF(R$4=0,0,IF(COUNTIFS(実績!$W$6:$W$505,R$3,実績!$AI$6:$AI$505,"&lt;="&amp;$A118,実績!$AJ$6:$AJ$505,"&gt;"&amp;$A118,実績!$AK$6:$AK$505,"○")&gt;0,1,0))</f>
        <v>0</v>
      </c>
      <c r="S118" s="39" t="n">
        <f aca="false">IF(S$4=0,0,IF(COUNTIFS(実績!$W$6:$W$505,S$3,実績!$AI$6:$AI$505,"&lt;="&amp;$A118,実績!$AJ$6:$AJ$505,"&gt;"&amp;$A118,実績!$AK$6:$AK$505,"○")&gt;0,1,0))</f>
        <v>0</v>
      </c>
      <c r="T118" s="39" t="n">
        <f aca="false">IF(T$4=0,0,IF(COUNTIFS(実績!$W$6:$W$505,T$3,実績!$AI$6:$AI$505,"&lt;="&amp;$A118,実績!$AJ$6:$AJ$505,"&gt;"&amp;$A118,実績!$AK$6:$AK$505,"○")&gt;0,1,0))</f>
        <v>0</v>
      </c>
      <c r="U118" s="39" t="n">
        <f aca="false">IF(U$4=0,0,IF(COUNTIFS(実績!$W$6:$W$505,U$3,実績!$AI$6:$AI$505,"&lt;="&amp;$A118,実績!$AJ$6:$AJ$505,"&gt;"&amp;$A118,実績!$AK$6:$AK$505,"○")&gt;0,1,0))</f>
        <v>0</v>
      </c>
      <c r="V118" s="39" t="n">
        <f aca="false">IF(V$4=0,0,IF(COUNTIFS(実績!$W$6:$W$505,V$3,実績!$AI$6:$AI$505,"&lt;="&amp;$A118,実績!$AJ$6:$AJ$505,"&gt;"&amp;$A118,実績!$AK$6:$AK$505,"○")&gt;0,1,0))</f>
        <v>0</v>
      </c>
      <c r="W118" s="39" t="n">
        <f aca="false">IF(W$4=0,0,IF(COUNTIFS(実績!$W$6:$W$505,W$3,実績!$AI$6:$AI$505,"&lt;="&amp;$A118,実績!$AJ$6:$AJ$505,"&gt;"&amp;$A118,実績!$AK$6:$AK$505,"○")&gt;0,1,0))</f>
        <v>0</v>
      </c>
      <c r="X118" s="39" t="n">
        <f aca="false">IF(X$4=0,0,IF(COUNTIFS(実績!$W$6:$W$505,X$3,実績!$AI$6:$AI$505,"&lt;="&amp;$A118,実績!$AJ$6:$AJ$505,"&gt;"&amp;$A118,実績!$AK$6:$AK$505,"○")&gt;0,1,0))</f>
        <v>0</v>
      </c>
      <c r="Y118" s="39" t="n">
        <f aca="false">IF(Y$4=0,0,IF(COUNTIFS(実績!$W$6:$W$505,Y$3,実績!$AI$6:$AI$505,"&lt;="&amp;$A118,実績!$AJ$6:$AJ$505,"&gt;"&amp;$A118,実績!$AK$6:$AK$505,"○")&gt;0,1,0))</f>
        <v>0</v>
      </c>
      <c r="Z118" s="39" t="n">
        <f aca="false">IF(Z$4=0,0,IF(COUNTIFS(実績!$W$6:$W$505,Z$3,実績!$AI$6:$AI$505,"&lt;="&amp;$A118,実績!$AJ$6:$AJ$505,"&gt;"&amp;$A118,実績!$AK$6:$AK$505,"○")&gt;0,1,0))</f>
        <v>0</v>
      </c>
      <c r="AA118" s="39" t="n">
        <f aca="false">IF(AA$4=0,0,IF(COUNTIFS(実績!$W$6:$W$505,AA$3,実績!$AI$6:$AI$505,"&lt;="&amp;$A118,実績!$AJ$6:$AJ$505,"&gt;"&amp;$A118,実績!$AK$6:$AK$505,"○")&gt;0,1,0))</f>
        <v>0</v>
      </c>
      <c r="AB118" s="39" t="n">
        <f aca="false">IF(AB$4=0,0,IF(COUNTIFS(実績!$W$6:$W$505,AB$3,実績!$AI$6:$AI$505,"&lt;="&amp;$A118,実績!$AJ$6:$AJ$505,"&gt;"&amp;$A118,実績!$AK$6:$AK$505,"○")&gt;0,1,0))</f>
        <v>0</v>
      </c>
      <c r="AC118" s="39" t="n">
        <f aca="false">IF(AC$4=0,0,IF(COUNTIFS(実績!$W$6:$W$505,AC$3,実績!$AI$6:$AI$505,"&lt;="&amp;$A118,実績!$AJ$6:$AJ$505,"&gt;"&amp;$A118,実績!$AK$6:$AK$505,"○")&gt;0,1,0))</f>
        <v>0</v>
      </c>
      <c r="AD118" s="39" t="n">
        <f aca="false">IF(AD$4=0,0,IF(COUNTIFS(実績!$W$6:$W$505,AD$3,実績!$AI$6:$AI$505,"&lt;="&amp;$A118,実績!$AJ$6:$AJ$505,"&gt;"&amp;$A118,実績!$AK$6:$AK$505,"○")&gt;0,1,0))</f>
        <v>0</v>
      </c>
      <c r="AE118" s="39" t="n">
        <f aca="false">IF(AE$4=0,0,IF(COUNTIFS(実績!$W$6:$W$505,AE$3,実績!$AI$6:$AI$505,"&lt;="&amp;$A118,実績!$AJ$6:$AJ$505,"&gt;"&amp;$A118,実績!$AK$6:$AK$505,"○")&gt;0,1,0))</f>
        <v>0</v>
      </c>
      <c r="AF118" s="39" t="n">
        <f aca="false">IF(AF$4=0,0,IF(COUNTIFS(実績!$W$6:$W$505,AF$3,実績!$AI$6:$AI$505,"&lt;="&amp;$A118,実績!$AJ$6:$AJ$505,"&gt;"&amp;$A118,実績!$AK$6:$AK$505,"○")&gt;0,1,0))</f>
        <v>0</v>
      </c>
      <c r="AG118" s="39" t="n">
        <f aca="false">IF(AG$4=0,0,IF(COUNTIFS(実績!$W$6:$W$505,AG$3,実績!$AI$6:$AI$505,"&lt;="&amp;$A118,実績!$AJ$6:$AJ$505,"&gt;"&amp;$A118,実績!$AK$6:$AK$505,"○")&gt;0,1,0))</f>
        <v>0</v>
      </c>
      <c r="AH118" s="39" t="n">
        <f aca="false">IF(AH$4=0,0,IF(COUNTIFS(実績!$W$6:$W$505,AH$3,実績!$AI$6:$AI$505,"&lt;="&amp;$A118,実績!$AJ$6:$AJ$505,"&gt;"&amp;$A118,実績!$AK$6:$AK$505,"○")&gt;0,1,0))</f>
        <v>0</v>
      </c>
      <c r="AI118" s="39" t="n">
        <f aca="false">IF(AI$4=0,0,IF(COUNTIFS(実績!$W$6:$W$505,AI$3,実績!$AI$6:$AI$505,"&lt;="&amp;$A118,実績!$AJ$6:$AJ$505,"&gt;"&amp;$A118,実績!$AK$6:$AK$505,"○")&gt;0,1,0))</f>
        <v>0</v>
      </c>
      <c r="AJ118" s="39" t="n">
        <f aca="false">IF(AJ$4=0,0,IF(COUNTIFS(実績!$W$6:$W$505,AJ$3,実績!$AI$6:$AI$505,"&lt;="&amp;$A118,実績!$AJ$6:$AJ$505,"&gt;"&amp;$A118,実績!$AK$6:$AK$505,"○")&gt;0,1,0))</f>
        <v>0</v>
      </c>
      <c r="AK118" s="39" t="n">
        <f aca="false">IF(AK$4=0,0,IF(COUNTIFS(実績!$W$6:$W$505,AK$3,実績!$AI$6:$AI$505,"&lt;="&amp;$A118,実績!$AJ$6:$AJ$505,"&gt;"&amp;$A118,実績!$AK$6:$AK$505,"○")&gt;0,1,0))</f>
        <v>0</v>
      </c>
      <c r="AL118" s="39" t="n">
        <f aca="false">IF(AL$4=0,0,IF(COUNTIFS(実績!$W$6:$W$505,AL$3,実績!$AI$6:$AI$505,"&lt;="&amp;$A118,実績!$AJ$6:$AJ$505,"&gt;"&amp;$A118,実績!$AK$6:$AK$505,"○")&gt;0,1,0))</f>
        <v>0</v>
      </c>
      <c r="AM118" s="39" t="n">
        <f aca="false">IF(AM$4=0,0,IF(COUNTIFS(実績!$W$6:$W$505,AM$3,実績!$AI$6:$AI$505,"&lt;="&amp;$A118,実績!$AJ$6:$AJ$505,"&gt;"&amp;$A118,実績!$AK$6:$AK$505,"○")&gt;0,1,0))</f>
        <v>0</v>
      </c>
      <c r="AN118" s="39" t="n">
        <f aca="false">IF(AN$4=0,0,IF(COUNTIFS(実績!$W$6:$W$505,AN$3,実績!$AI$6:$AI$505,"&lt;="&amp;$A118,実績!$AJ$6:$AJ$505,"&gt;"&amp;$A118,実績!$AK$6:$AK$505,"○")&gt;0,1,0))</f>
        <v>0</v>
      </c>
      <c r="AO118" s="39" t="n">
        <f aca="false">IF(AO$4=0,0,IF(COUNTIFS(実績!$W$6:$W$505,AO$3,実績!$AI$6:$AI$505,"&lt;="&amp;$A118,実績!$AJ$6:$AJ$505,"&gt;"&amp;$A118,実績!$AK$6:$AK$505,"○")&gt;0,1,0))</f>
        <v>0</v>
      </c>
      <c r="AP118" s="39" t="n">
        <f aca="false">IF(AP$4=0,0,IF(COUNTIFS(実績!$W$6:$W$505,AP$3,実績!$AI$6:$AI$505,"&lt;="&amp;$A118,実績!$AJ$6:$AJ$505,"&gt;"&amp;$A118,実績!$AK$6:$AK$505,"○")&gt;0,1,0))</f>
        <v>0</v>
      </c>
      <c r="AQ118" s="39" t="n">
        <f aca="false">IF(AQ$4=0,0,IF(COUNTIFS(実績!$W$6:$W$505,AQ$3,実績!$AI$6:$AI$505,"&lt;="&amp;$A118,実績!$AJ$6:$AJ$505,"&gt;"&amp;$A118,実績!$AK$6:$AK$505,"○")&gt;0,1,0))</f>
        <v>0</v>
      </c>
      <c r="AR118" s="39" t="n">
        <f aca="false">IF(AR$4=0,0,IF(COUNTIFS(実績!$W$6:$W$505,AR$3,実績!$AI$6:$AI$505,"&lt;="&amp;$A118,実績!$AJ$6:$AJ$505,"&gt;"&amp;$A118,実績!$AK$6:$AK$505,"○")&gt;0,1,0))</f>
        <v>0</v>
      </c>
      <c r="AS118" s="39" t="n">
        <f aca="false">IF(AS$4=0,0,IF(COUNTIFS(実績!$W$6:$W$505,AS$3,実績!$AI$6:$AI$505,"&lt;="&amp;$A118,実績!$AJ$6:$AJ$505,"&gt;"&amp;$A118,実績!$AK$6:$AK$505,"○")&gt;0,1,0))</f>
        <v>0</v>
      </c>
      <c r="AT118" s="39" t="n">
        <f aca="false">IF(AT$4=0,0,IF(COUNTIFS(実績!$W$6:$W$505,AT$3,実績!$AI$6:$AI$505,"&lt;="&amp;$A118,実績!$AJ$6:$AJ$505,"&gt;"&amp;$A118,実績!$AK$6:$AK$505,"○")&gt;0,1,0))</f>
        <v>0</v>
      </c>
      <c r="AU118" s="39" t="n">
        <f aca="false">IF(AU$4=0,0,IF(COUNTIFS(実績!$W$6:$W$505,AU$3,実績!$AI$6:$AI$505,"&lt;="&amp;$A118,実績!$AJ$6:$AJ$505,"&gt;"&amp;$A118,実績!$AK$6:$AK$505,"○")&gt;0,1,0))</f>
        <v>0</v>
      </c>
      <c r="AV118" s="39" t="n">
        <f aca="false">IF(AV$4=0,0,IF(COUNTIFS(実績!$W$6:$W$505,AV$3,実績!$AI$6:$AI$505,"&lt;="&amp;$A118,実績!$AJ$6:$AJ$505,"&gt;"&amp;$A118,実績!$AK$6:$AK$505,"○")&gt;0,1,0))</f>
        <v>0</v>
      </c>
      <c r="AW118" s="39" t="n">
        <f aca="false">IF(AW$4=0,0,IF(COUNTIFS(実績!$W$6:$W$505,AW$3,実績!$AI$6:$AI$505,"&lt;="&amp;$A118,実績!$AJ$6:$AJ$505,"&gt;"&amp;$A118,実績!$AK$6:$AK$505,"○")&gt;0,1,0))</f>
        <v>0</v>
      </c>
      <c r="AX118" s="39" t="n">
        <f aca="false">IF(AX$4=0,0,IF(COUNTIFS(実績!$W$6:$W$505,AX$3,実績!$AI$6:$AI$505,"&lt;="&amp;$A118,実績!$AJ$6:$AJ$505,"&gt;"&amp;$A118,実績!$AK$6:$AK$505,"○")&gt;0,1,0))</f>
        <v>0</v>
      </c>
      <c r="AY118" s="39" t="n">
        <f aca="false">IF(AY$4=0,0,IF(COUNTIFS(実績!$W$6:$W$505,AY$3,実績!$AI$6:$AI$505,"&lt;="&amp;$A118,実績!$AJ$6:$AJ$505,"&gt;"&amp;$A118,実績!$AK$6:$AK$505,"○")&gt;0,1,0))</f>
        <v>0</v>
      </c>
      <c r="AZ118" s="39" t="n">
        <f aca="false">IF(AZ$4=0,0,IF(COUNTIFS(実績!$W$6:$W$505,AZ$3,実績!$AI$6:$AI$505,"&lt;="&amp;$A118,実績!$AJ$6:$AJ$505,"&gt;"&amp;$A118,実績!$AK$6:$AK$505,"○")&gt;0,1,0))</f>
        <v>0</v>
      </c>
      <c r="BA118" s="39" t="n">
        <f aca="false">IF(BA$4=0,0,IF(COUNTIFS(実績!$W$6:$W$505,BA$3,実績!$AI$6:$AI$505,"&lt;="&amp;$A118,実績!$AJ$6:$AJ$505,"&gt;"&amp;$A118,実績!$AK$6:$AK$505,"○")&gt;0,1,0))</f>
        <v>0</v>
      </c>
      <c r="BB118" s="39" t="n">
        <f aca="false">IF(BB$4=0,0,IF(COUNTIFS(実績!$W$6:$W$505,BB$3,実績!$AI$6:$AI$505,"&lt;="&amp;$A118,実績!$AJ$6:$AJ$505,"&gt;"&amp;$A118,実績!$AK$6:$AK$505,"○")&gt;0,1,0))</f>
        <v>0</v>
      </c>
      <c r="BC118" s="39" t="n">
        <f aca="false">IF(BC$4=0,0,IF(COUNTIFS(実績!$W$6:$W$505,BC$3,実績!$AI$6:$AI$505,"&lt;="&amp;$A118,実績!$AJ$6:$AJ$505,"&gt;"&amp;$A118,実績!$AK$6:$AK$505,"○")&gt;0,1,0))</f>
        <v>0</v>
      </c>
      <c r="BD118" s="39" t="n">
        <f aca="false">IF(BD$4=0,0,IF(COUNTIFS(実績!$W$6:$W$505,BD$3,実績!$AI$6:$AI$505,"&lt;="&amp;$A118,実績!$AJ$6:$AJ$505,"&gt;"&amp;$A118,実績!$AK$6:$AK$505,"○")&gt;0,1,0))</f>
        <v>0</v>
      </c>
      <c r="BE118" s="39" t="n">
        <f aca="false">IF(BE$4=0,0,IF(COUNTIFS(実績!$W$6:$W$505,BE$3,実績!$AI$6:$AI$505,"&lt;="&amp;$A118,実績!$AJ$6:$AJ$505,"&gt;"&amp;$A118,実績!$AK$6:$AK$505,"○")&gt;0,1,0))</f>
        <v>0</v>
      </c>
      <c r="BF118" s="39" t="n">
        <f aca="false">IF(BF$4=0,0,IF(COUNTIFS(実績!$W$6:$W$505,BF$3,実績!$AI$6:$AI$505,"&lt;="&amp;$A118,実績!$AJ$6:$AJ$505,"&gt;"&amp;$A118,実績!$AK$6:$AK$505,"○")&gt;0,1,0))</f>
        <v>0</v>
      </c>
      <c r="BG118" s="39" t="n">
        <f aca="false">IF(BG$4=0,0,IF(COUNTIFS(実績!$W$6:$W$505,BG$3,実績!$AI$6:$AI$505,"&lt;="&amp;$A118,実績!$AJ$6:$AJ$505,"&gt;"&amp;$A118,実績!$AK$6:$AK$505,"○")&gt;0,1,0))</f>
        <v>0</v>
      </c>
      <c r="BH118" s="39" t="n">
        <f aca="false">IF(BH$4=0,0,IF(COUNTIFS(実績!$W$6:$W$505,BH$3,実績!$AI$6:$AI$505,"&lt;="&amp;$A118,実績!$AJ$6:$AJ$505,"&gt;"&amp;$A118,実績!$AK$6:$AK$505,"○")&gt;0,1,0))</f>
        <v>0</v>
      </c>
      <c r="BI118" s="39" t="n">
        <f aca="false">IF(BI$4=0,0,IF(COUNTIFS(実績!$W$6:$W$505,BI$3,実績!$AI$6:$AI$505,"&lt;="&amp;$A118,実績!$AJ$6:$AJ$505,"&gt;"&amp;$A118,実績!$AK$6:$AK$505,"○")&gt;0,1,0))</f>
        <v>0</v>
      </c>
      <c r="BJ118" s="39" t="n">
        <f aca="false">IF(BJ$4=0,0,IF(COUNTIFS(実績!$W$6:$W$505,BJ$3,実績!$AI$6:$AI$505,"&lt;="&amp;$A118,実績!$AJ$6:$AJ$505,"&gt;"&amp;$A118,実績!$AK$6:$AK$505,"○")&gt;0,1,0))</f>
        <v>0</v>
      </c>
      <c r="BK118" s="39" t="n">
        <f aca="false">IF(BK$4=0,0,IF(COUNTIFS(実績!$W$6:$W$505,BK$3,実績!$AI$6:$AI$505,"&lt;="&amp;$A118,実績!$AJ$6:$AJ$505,"&gt;"&amp;$A118,実績!$AK$6:$AK$505,"○")&gt;0,1,0))</f>
        <v>0</v>
      </c>
      <c r="BL118" s="39" t="n">
        <f aca="false">IF(BL$4=0,0,IF(COUNTIFS(実績!$W$6:$W$505,BL$3,実績!$AI$6:$AI$505,"&lt;="&amp;$A118,実績!$AJ$6:$AJ$505,"&gt;"&amp;$A118,実績!$AK$6:$AK$505,"○")&gt;0,1,0))</f>
        <v>0</v>
      </c>
      <c r="BM118" s="39" t="n">
        <f aca="false">IF(BM$4=0,0,IF(COUNTIFS(実績!$W$6:$W$505,BM$3,実績!$AI$6:$AI$505,"&lt;="&amp;$A118,実績!$AJ$6:$AJ$505,"&gt;"&amp;$A118,実績!$AK$6:$AK$505,"○")&gt;0,1,0))</f>
        <v>0</v>
      </c>
      <c r="BN118" s="39" t="n">
        <f aca="false">IF(BN$4=0,0,IF(COUNTIFS(実績!$W$6:$W$505,BN$3,実績!$AI$6:$AI$505,"&lt;="&amp;$A118,実績!$AJ$6:$AJ$505,"&gt;"&amp;$A118,実績!$AK$6:$AK$505,"○")&gt;0,1,0))</f>
        <v>0</v>
      </c>
      <c r="BO118" s="39" t="n">
        <f aca="false">IF(BO$4=0,0,IF(COUNTIFS(実績!$W$6:$W$505,BO$3,実績!$AI$6:$AI$505,"&lt;="&amp;$A118,実績!$AJ$6:$AJ$505,"&gt;"&amp;$A118,実績!$AK$6:$AK$505,"○")&gt;0,1,0))</f>
        <v>0</v>
      </c>
      <c r="BP118" s="39" t="n">
        <f aca="false">IF(BP$4=0,0,IF(COUNTIFS(実績!$W$6:$W$505,BP$3,実績!$AI$6:$AI$505,"&lt;="&amp;$A118,実績!$AJ$6:$AJ$505,"&gt;"&amp;$A118,実績!$AK$6:$AK$505,"○")&gt;0,1,0))</f>
        <v>0</v>
      </c>
      <c r="BQ118" s="39" t="n">
        <f aca="false">IF(BQ$4=0,0,IF(COUNTIFS(実績!$W$6:$W$505,BQ$3,実績!$AI$6:$AI$505,"&lt;="&amp;$A118,実績!$AJ$6:$AJ$505,"&gt;"&amp;$A118,実績!$AK$6:$AK$505,"○")&gt;0,1,0))</f>
        <v>0</v>
      </c>
      <c r="BR118" s="39" t="n">
        <f aca="false">IF(BR$4=0,0,IF(COUNTIFS(実績!$W$6:$W$505,BR$3,実績!$AI$6:$AI$505,"&lt;="&amp;$A118,実績!$AJ$6:$AJ$505,"&gt;"&amp;$A118,実績!$AK$6:$AK$505,"○")&gt;0,1,0))</f>
        <v>0</v>
      </c>
      <c r="BS118" s="39" t="n">
        <f aca="false">IF(BS$4=0,0,IF(COUNTIFS(実績!$W$6:$W$505,BS$3,実績!$AI$6:$AI$505,"&lt;="&amp;$A118,実績!$AJ$6:$AJ$505,"&gt;"&amp;$A118,実績!$AK$6:$AK$505,"○")&gt;0,1,0))</f>
        <v>0</v>
      </c>
      <c r="BT118" s="39" t="n">
        <f aca="false">IF(BT$4=0,0,IF(COUNTIFS(実績!$W$6:$W$505,BT$3,実績!$AI$6:$AI$505,"&lt;="&amp;$A118,実績!$AJ$6:$AJ$505,"&gt;"&amp;$A118,実績!$AK$6:$AK$505,"○")&gt;0,1,0))</f>
        <v>0</v>
      </c>
      <c r="BU118" s="39" t="n">
        <f aca="false">IF(BU$4=0,0,IF(COUNTIFS(実績!$W$6:$W$505,BU$3,実績!$AI$6:$AI$505,"&lt;="&amp;$A118,実績!$AJ$6:$AJ$505,"&gt;"&amp;$A118,実績!$AK$6:$AK$505,"○")&gt;0,1,0))</f>
        <v>0</v>
      </c>
      <c r="BV118" s="39" t="n">
        <f aca="false">IF(BV$4=0,0,IF(COUNTIFS(実績!$W$6:$W$505,BV$3,実績!$AI$6:$AI$505,"&lt;="&amp;$A118,実績!$AJ$6:$AJ$505,"&gt;"&amp;$A118,実績!$AK$6:$AK$505,"○")&gt;0,1,0))</f>
        <v>0</v>
      </c>
      <c r="BW118" s="39" t="n">
        <f aca="false">IF(BW$4=0,0,IF(COUNTIFS(実績!$W$6:$W$505,BW$3,実績!$AI$6:$AI$505,"&lt;="&amp;$A118,実績!$AJ$6:$AJ$505,"&gt;"&amp;$A118,実績!$AK$6:$AK$505,"○")&gt;0,1,0))</f>
        <v>0</v>
      </c>
      <c r="BX118" s="39" t="n">
        <f aca="false">IF(BX$4=0,0,IF(COUNTIFS(実績!$W$6:$W$505,BX$3,実績!$AI$6:$AI$505,"&lt;="&amp;$A118,実績!$AJ$6:$AJ$505,"&gt;"&amp;$A118,実績!$AK$6:$AK$505,"○")&gt;0,1,0))</f>
        <v>0</v>
      </c>
      <c r="BY118" s="39" t="n">
        <f aca="false">IF(BY$4=0,0,IF(COUNTIFS(実績!$W$6:$W$505,BY$3,実績!$AI$6:$AI$505,"&lt;="&amp;$A118,実績!$AJ$6:$AJ$505,"&gt;"&amp;$A118,実績!$AK$6:$AK$505,"○")&gt;0,1,0))</f>
        <v>0</v>
      </c>
      <c r="BZ118" s="39" t="n">
        <f aca="false">IF(BZ$4=0,0,IF(COUNTIFS(実績!$W$6:$W$505,BZ$3,実績!$AI$6:$AI$505,"&lt;="&amp;$A118,実績!$AJ$6:$AJ$505,"&gt;"&amp;$A118,実績!$AK$6:$AK$505,"○")&gt;0,1,0))</f>
        <v>0</v>
      </c>
      <c r="CA118" s="39" t="n">
        <f aca="false">IF(CA$4=0,0,IF(COUNTIFS(実績!$W$6:$W$505,CA$3,実績!$AI$6:$AI$505,"&lt;="&amp;$A118,実績!$AJ$6:$AJ$505,"&gt;"&amp;$A118,実績!$AK$6:$AK$505,"○")&gt;0,1,0))</f>
        <v>0</v>
      </c>
      <c r="CB118" s="39" t="n">
        <f aca="false">IF(CB$4=0,0,IF(COUNTIFS(実績!$W$6:$W$505,CB$3,実績!$AI$6:$AI$505,"&lt;="&amp;$A118,実績!$AJ$6:$AJ$505,"&gt;"&amp;$A118,実績!$AK$6:$AK$505,"○")&gt;0,1,0))</f>
        <v>0</v>
      </c>
      <c r="CC118" s="39" t="n">
        <f aca="false">IF(CC$4=0,0,IF(COUNTIFS(実績!$W$6:$W$505,CC$3,実績!$AI$6:$AI$505,"&lt;="&amp;$A118,実績!$AJ$6:$AJ$505,"&gt;"&amp;$A118,実績!$AK$6:$AK$505,"○")&gt;0,1,0))</f>
        <v>0</v>
      </c>
      <c r="CD118" s="39" t="n">
        <f aca="false">IF(CD$4=0,0,IF(COUNTIFS(実績!$W$6:$W$505,CD$3,実績!$AI$6:$AI$505,"&lt;="&amp;$A118,実績!$AJ$6:$AJ$505,"&gt;"&amp;$A118,実績!$AK$6:$AK$505,"○")&gt;0,1,0))</f>
        <v>0</v>
      </c>
      <c r="CE118" s="39" t="n">
        <f aca="false">IF(CE$4=0,0,IF(COUNTIFS(実績!$W$6:$W$505,CE$3,実績!$AI$6:$AI$505,"&lt;="&amp;$A118,実績!$AJ$6:$AJ$505,"&gt;"&amp;$A118,実績!$AK$6:$AK$505,"○")&gt;0,1,0))</f>
        <v>0</v>
      </c>
      <c r="CF118" s="39" t="n">
        <f aca="false">IF(CF$4=0,0,IF(COUNTIFS(実績!$W$6:$W$505,CF$3,実績!$AI$6:$AI$505,"&lt;="&amp;$A118,実績!$AJ$6:$AJ$505,"&gt;"&amp;$A118,実績!$AK$6:$AK$505,"○")&gt;0,1,0))</f>
        <v>0</v>
      </c>
      <c r="CG118" s="39" t="n">
        <f aca="false">IF(CG$4=0,0,IF(COUNTIFS(実績!$W$6:$W$505,CG$3,実績!$AI$6:$AI$505,"&lt;="&amp;$A118,実績!$AJ$6:$AJ$505,"&gt;"&amp;$A118,実績!$AK$6:$AK$505,"○")&gt;0,1,0))</f>
        <v>0</v>
      </c>
      <c r="CH118" s="39" t="n">
        <f aca="false">IF(CH$4=0,0,IF(COUNTIFS(実績!$W$6:$W$505,CH$3,実績!$AI$6:$AI$505,"&lt;="&amp;$A118,実績!$AJ$6:$AJ$505,"&gt;"&amp;$A118,実績!$AK$6:$AK$505,"○")&gt;0,1,0))</f>
        <v>0</v>
      </c>
      <c r="CI118" s="39" t="n">
        <f aca="false">IF(CI$4=0,0,IF(COUNTIFS(実績!$W$6:$W$505,CI$3,実績!$AI$6:$AI$505,"&lt;="&amp;$A118,実績!$AJ$6:$AJ$505,"&gt;"&amp;$A118,実績!$AK$6:$AK$505,"○")&gt;0,1,0))</f>
        <v>0</v>
      </c>
      <c r="CJ118" s="39" t="n">
        <f aca="false">IF(CJ$4=0,0,IF(COUNTIFS(実績!$W$6:$W$505,CJ$3,実績!$AI$6:$AI$505,"&lt;="&amp;$A118,実績!$AJ$6:$AJ$505,"&gt;"&amp;$A118,実績!$AK$6:$AK$505,"○")&gt;0,1,0))</f>
        <v>0</v>
      </c>
      <c r="CK118" s="39" t="n">
        <f aca="false">IF(CK$4=0,0,IF(COUNTIFS(実績!$W$6:$W$505,CK$3,実績!$AI$6:$AI$505,"&lt;="&amp;$A118,実績!$AJ$6:$AJ$505,"&gt;"&amp;$A118,実績!$AK$6:$AK$505,"○")&gt;0,1,0))</f>
        <v>0</v>
      </c>
      <c r="CL118" s="39" t="n">
        <f aca="false">IF(CL$4=0,0,IF(COUNTIFS(実績!$W$6:$W$505,CL$3,実績!$AI$6:$AI$505,"&lt;="&amp;$A118,実績!$AJ$6:$AJ$505,"&gt;"&amp;$A118,実績!$AK$6:$AK$505,"○")&gt;0,1,0))</f>
        <v>0</v>
      </c>
      <c r="CM118" s="39" t="n">
        <f aca="false">IF(CM$4=0,0,IF(COUNTIFS(実績!$W$6:$W$505,CM$3,実績!$AI$6:$AI$505,"&lt;="&amp;$A118,実績!$AJ$6:$AJ$505,"&gt;"&amp;$A118,実績!$AK$6:$AK$505,"○")&gt;0,1,0))</f>
        <v>0</v>
      </c>
      <c r="CN118" s="39" t="n">
        <f aca="false">IF(CN$4=0,0,IF(COUNTIFS(実績!$W$6:$W$505,CN$3,実績!$AI$6:$AI$505,"&lt;="&amp;$A118,実績!$AJ$6:$AJ$505,"&gt;"&amp;$A118,実績!$AK$6:$AK$505,"○")&gt;0,1,0))</f>
        <v>0</v>
      </c>
      <c r="CO118" s="39" t="n">
        <f aca="false">IF(CO$4=0,0,IF(COUNTIFS(実績!$W$6:$W$505,CO$3,実績!$AI$6:$AI$505,"&lt;="&amp;$A118,実績!$AJ$6:$AJ$505,"&gt;"&amp;$A118,実績!$AK$6:$AK$505,"○")&gt;0,1,0))</f>
        <v>0</v>
      </c>
      <c r="CP118" s="39" t="n">
        <f aca="false">IF(CP$4=0,0,IF(COUNTIFS(実績!$W$6:$W$505,CP$3,実績!$AI$6:$AI$505,"&lt;="&amp;$A118,実績!$AJ$6:$AJ$505,"&gt;"&amp;$A118,実績!$AK$6:$AK$505,"○")&gt;0,1,0))</f>
        <v>0</v>
      </c>
      <c r="CQ118" s="39" t="n">
        <f aca="false">IF(CQ$4=0,0,IF(COUNTIFS(実績!$W$6:$W$505,CQ$3,実績!$AI$6:$AI$505,"&lt;="&amp;$A118,実績!$AJ$6:$AJ$505,"&gt;"&amp;$A118,実績!$AK$6:$AK$505,"○")&gt;0,1,0))</f>
        <v>0</v>
      </c>
      <c r="CR118" s="39" t="n">
        <f aca="false">IF(CR$4=0,0,IF(COUNTIFS(実績!$W$6:$W$505,CR$3,実績!$AI$6:$AI$505,"&lt;="&amp;$A118,実績!$AJ$6:$AJ$505,"&gt;"&amp;$A118,実績!$AK$6:$AK$505,"○")&gt;0,1,0))</f>
        <v>0</v>
      </c>
      <c r="CS118" s="39" t="n">
        <f aca="false">IF(CS$4=0,0,IF(COUNTIFS(実績!$W$6:$W$505,CS$3,実績!$AI$6:$AI$505,"&lt;="&amp;$A118,実績!$AJ$6:$AJ$505,"&gt;"&amp;$A118,実績!$AK$6:$AK$505,"○")&gt;0,1,0))</f>
        <v>0</v>
      </c>
      <c r="CT118" s="39" t="n">
        <f aca="false">IF(CT$4=0,0,IF(COUNTIFS(実績!$W$6:$W$505,CT$3,実績!$AI$6:$AI$505,"&lt;="&amp;$A118,実績!$AJ$6:$AJ$505,"&gt;"&amp;$A118,実績!$AK$6:$AK$505,"○")&gt;0,1,0))</f>
        <v>0</v>
      </c>
      <c r="CU118" s="39" t="n">
        <f aca="false">IF(CU$4=0,0,IF(COUNTIFS(実績!$W$6:$W$505,CU$3,実績!$AI$6:$AI$505,"&lt;="&amp;$A118,実績!$AJ$6:$AJ$505,"&gt;"&amp;$A118,実績!$AK$6:$AK$505,"○")&gt;0,1,0))</f>
        <v>0</v>
      </c>
      <c r="CV118" s="39" t="n">
        <f aca="false">IF(CV$4=0,0,IF(COUNTIFS(実績!$W$6:$W$505,CV$3,実績!$AI$6:$AI$505,"&lt;="&amp;$A118,実績!$AJ$6:$AJ$505,"&gt;"&amp;$A118,実績!$AK$6:$AK$505,"○")&gt;0,1,0))</f>
        <v>0</v>
      </c>
      <c r="CW118" s="39" t="n">
        <f aca="false">IF(CW$4=0,0,IF(COUNTIFS(実績!$W$6:$W$505,CW$3,実績!$AI$6:$AI$505,"&lt;="&amp;$A118,実績!$AJ$6:$AJ$505,"&gt;"&amp;$A118,実績!$AK$6:$AK$505,"○")&gt;0,1,0))</f>
        <v>0</v>
      </c>
      <c r="CX118" s="39" t="n">
        <f aca="false">IF(CX$4=0,0,IF(COUNTIFS(実績!$W$6:$W$505,CX$3,実績!$AI$6:$AI$505,"&lt;="&amp;$A118,実績!$AJ$6:$AJ$505,"&gt;"&amp;$A118,実績!$AK$6:$AK$505,"○")&gt;0,1,0))</f>
        <v>0</v>
      </c>
      <c r="CY118" s="39" t="n">
        <f aca="false">IF(CY$4=0,0,IF(COUNTIFS(実績!$W$6:$W$505,CY$3,実績!$AI$6:$AI$505,"&lt;="&amp;$A118,実績!$AJ$6:$AJ$505,"&gt;"&amp;$A118,実績!$AK$6:$AK$505,"○")&gt;0,1,0))</f>
        <v>0</v>
      </c>
      <c r="CZ118" s="39" t="n">
        <f aca="false">IF(CZ$4=0,0,IF(COUNTIFS(実績!$W$6:$W$505,CZ$3,実績!$AI$6:$AI$505,"&lt;="&amp;$A118,実績!$AJ$6:$AJ$505,"&gt;"&amp;$A118,実績!$AK$6:$AK$505,"○")&gt;0,1,0))</f>
        <v>0</v>
      </c>
      <c r="DA118" s="39" t="n">
        <f aca="false">IF(DA$4=0,0,IF(COUNTIFS(実績!$W$6:$W$505,DA$3,実績!$AI$6:$AI$505,"&lt;="&amp;$A118,実績!$AJ$6:$AJ$505,"&gt;"&amp;$A118,実績!$AK$6:$AK$505,"○")&gt;0,1,0))</f>
        <v>0</v>
      </c>
      <c r="DB118" s="39" t="n">
        <f aca="false">IF(DB$4=0,0,IF(COUNTIFS(実績!$W$6:$W$505,DB$3,実績!$AI$6:$AI$505,"&lt;="&amp;$A118,実績!$AJ$6:$AJ$505,"&gt;"&amp;$A118,実績!$AK$6:$AK$505,"○")&gt;0,1,0))</f>
        <v>0</v>
      </c>
      <c r="DC118" s="39" t="n">
        <f aca="false">IF(DC$4=0,0,IF(COUNTIFS(実績!$W$6:$W$505,DC$3,実績!$AI$6:$AI$505,"&lt;="&amp;$A118,実績!$AJ$6:$AJ$505,"&gt;"&amp;$A118,実績!$AK$6:$AK$505,"○")&gt;0,1,0))</f>
        <v>0</v>
      </c>
      <c r="DD118" s="39" t="n">
        <f aca="false">IF(DD$4=0,0,IF(COUNTIFS(実績!$W$6:$W$505,DD$3,実績!$AI$6:$AI$505,"&lt;="&amp;$A118,実績!$AJ$6:$AJ$505,"&gt;"&amp;$A118,実績!$AK$6:$AK$505,"○")&gt;0,1,0))</f>
        <v>0</v>
      </c>
      <c r="DE118" s="39" t="n">
        <f aca="false">IF(DE$4=0,0,IF(COUNTIFS(実績!$W$6:$W$505,DE$3,実績!$AI$6:$AI$505,"&lt;="&amp;$A118,実績!$AJ$6:$AJ$505,"&gt;"&amp;$A118,実績!$AK$6:$AK$505,"○")&gt;0,1,0))</f>
        <v>0</v>
      </c>
      <c r="DF118" s="39" t="n">
        <f aca="false">IF(DF$4=0,0,IF(COUNTIFS(実績!$W$6:$W$505,DF$3,実績!$AI$6:$AI$505,"&lt;="&amp;$A118,実績!$AJ$6:$AJ$505,"&gt;"&amp;$A118,実績!$AK$6:$AK$505,"○")&gt;0,1,0))</f>
        <v>0</v>
      </c>
      <c r="DG118" s="39" t="n">
        <f aca="false">IF(DG$4=0,0,IF(COUNTIFS(実績!$W$6:$W$505,DG$3,実績!$AI$6:$AI$505,"&lt;="&amp;$A118,実績!$AJ$6:$AJ$505,"&gt;"&amp;$A118,実績!$AK$6:$AK$505,"○")&gt;0,1,0))</f>
        <v>0</v>
      </c>
      <c r="DH118" s="39" t="n">
        <f aca="false">IF(DH$4=0,0,IF(COUNTIFS(実績!$W$6:$W$505,DH$3,実績!$AI$6:$AI$505,"&lt;="&amp;$A118,実績!$AJ$6:$AJ$505,"&gt;"&amp;$A118,実績!$AK$6:$AK$505,"○")&gt;0,1,0))</f>
        <v>0</v>
      </c>
      <c r="DI118" s="39" t="n">
        <f aca="false">IF(DI$4=0,0,IF(COUNTIFS(実績!$W$6:$W$505,DI$3,実績!$AI$6:$AI$505,"&lt;="&amp;$A118,実績!$AJ$6:$AJ$505,"&gt;"&amp;$A118,実績!$AK$6:$AK$505,"○")&gt;0,1,0))</f>
        <v>0</v>
      </c>
      <c r="DJ118" s="39" t="n">
        <f aca="false">IF(DJ$4=0,0,IF(COUNTIFS(実績!$W$6:$W$505,DJ$3,実績!$AI$6:$AI$505,"&lt;="&amp;$A118,実績!$AJ$6:$AJ$505,"&gt;"&amp;$A118,実績!$AK$6:$AK$505,"○")&gt;0,1,0))</f>
        <v>0</v>
      </c>
      <c r="DK118" s="39" t="n">
        <f aca="false">IF(DK$4=0,0,IF(COUNTIFS(実績!$W$6:$W$505,DK$3,実績!$AI$6:$AI$505,"&lt;="&amp;$A118,実績!$AJ$6:$AJ$505,"&gt;"&amp;$A118,実績!$AK$6:$AK$505,"○")&gt;0,1,0))</f>
        <v>0</v>
      </c>
      <c r="DL118" s="39" t="n">
        <f aca="false">IF(DL$4=0,0,IF(COUNTIFS(実績!$W$6:$W$505,DL$3,実績!$AI$6:$AI$505,"&lt;="&amp;$A118,実績!$AJ$6:$AJ$505,"&gt;"&amp;$A118,実績!$AK$6:$AK$505,"○")&gt;0,1,0))</f>
        <v>0</v>
      </c>
      <c r="DM118" s="39" t="n">
        <f aca="false">IF(DM$4=0,0,IF(COUNTIFS(実績!$W$6:$W$505,DM$3,実績!$AI$6:$AI$505,"&lt;="&amp;$A118,実績!$AJ$6:$AJ$505,"&gt;"&amp;$A118,実績!$AK$6:$AK$505,"○")&gt;0,1,0))</f>
        <v>0</v>
      </c>
      <c r="DN118" s="39" t="n">
        <f aca="false">IF(DN$4=0,0,IF(COUNTIFS(実績!$W$6:$W$505,DN$3,実績!$AI$6:$AI$505,"&lt;="&amp;$A118,実績!$AJ$6:$AJ$505,"&gt;"&amp;$A118,実績!$AK$6:$AK$505,"○")&gt;0,1,0))</f>
        <v>0</v>
      </c>
      <c r="DO118" s="39" t="n">
        <f aca="false">IF(DO$4=0,0,IF(COUNTIFS(実績!$W$6:$W$505,DO$3,実績!$AI$6:$AI$505,"&lt;="&amp;$A118,実績!$AJ$6:$AJ$505,"&gt;"&amp;$A118,実績!$AK$6:$AK$505,"○")&gt;0,1,0))</f>
        <v>0</v>
      </c>
      <c r="DP118" s="39" t="n">
        <f aca="false">IF(DP$4=0,0,IF(COUNTIFS(実績!$W$6:$W$505,DP$3,実績!$AI$6:$AI$505,"&lt;="&amp;$A118,実績!$AJ$6:$AJ$505,"&gt;"&amp;$A118,実績!$AK$6:$AK$505,"○")&gt;0,1,0))</f>
        <v>0</v>
      </c>
      <c r="DQ118" s="39" t="n">
        <f aca="false">IF(DQ$4=0,0,IF(COUNTIFS(実績!$W$6:$W$505,DQ$3,実績!$AI$6:$AI$505,"&lt;="&amp;$A118,実績!$AJ$6:$AJ$505,"&gt;"&amp;$A118,実績!$AK$6:$AK$505,"○")&gt;0,1,0))</f>
        <v>0</v>
      </c>
      <c r="DR118" s="39" t="n">
        <f aca="false">IF(DR$4=0,0,IF(COUNTIFS(実績!$W$6:$W$505,DR$3,実績!$AI$6:$AI$505,"&lt;="&amp;$A118,実績!$AJ$6:$AJ$505,"&gt;"&amp;$A118,実績!$AK$6:$AK$505,"○")&gt;0,1,0))</f>
        <v>0</v>
      </c>
      <c r="DS118" s="39" t="n">
        <f aca="false">SUM(C118:DR118)</f>
        <v>0</v>
      </c>
      <c r="DT118" s="39" t="n">
        <f aca="false">SUMPRODUCT((実績!$C$6:$C$505="○")*ISNUMBER(実績!$AM$6:$AM$505)*(実績!$AM$6:$AM$505&lt;=$A118)*(実績!$AN$6:$AN$505&gt;$A118))</f>
        <v>0</v>
      </c>
      <c r="DU118" s="39" t="n">
        <f aca="false">SUMIF($C$2:$DR$2,"製鉄曳船",C118:DR118)</f>
        <v>0</v>
      </c>
      <c r="DV118" s="39" t="n">
        <f aca="false">SUMIF($C$2:$DR$2,"西日本海運",C118:DR118)</f>
        <v>0</v>
      </c>
    </row>
    <row r="119" customFormat="false" ht="15" hidden="false" customHeight="false" outlineLevel="0" collapsed="false">
      <c r="A119" s="0" t="n">
        <v>565</v>
      </c>
      <c r="B119" s="38" t="n">
        <f aca="false">A119/1440</f>
        <v>0.392361111111111</v>
      </c>
      <c r="C119" s="39" t="n">
        <f aca="false">IF(C$4=0,0,IF(COUNTIFS(実績!$W$6:$W$505,C$3,実績!$AI$6:$AI$505,"&lt;="&amp;$A119,実績!$AJ$6:$AJ$505,"&gt;"&amp;$A119,実績!$AK$6:$AK$505,"○")&gt;0,1,0))</f>
        <v>0</v>
      </c>
      <c r="D119" s="39" t="n">
        <f aca="false">IF(D$4=0,0,IF(COUNTIFS(実績!$W$6:$W$505,D$3,実績!$AI$6:$AI$505,"&lt;="&amp;$A119,実績!$AJ$6:$AJ$505,"&gt;"&amp;$A119,実績!$AK$6:$AK$505,"○")&gt;0,1,0))</f>
        <v>0</v>
      </c>
      <c r="E119" s="39" t="n">
        <f aca="false">IF(E$4=0,0,IF(COUNTIFS(実績!$W$6:$W$505,E$3,実績!$AI$6:$AI$505,"&lt;="&amp;$A119,実績!$AJ$6:$AJ$505,"&gt;"&amp;$A119,実績!$AK$6:$AK$505,"○")&gt;0,1,0))</f>
        <v>0</v>
      </c>
      <c r="F119" s="39" t="n">
        <f aca="false">IF(F$4=0,0,IF(COUNTIFS(実績!$W$6:$W$505,F$3,実績!$AI$6:$AI$505,"&lt;="&amp;$A119,実績!$AJ$6:$AJ$505,"&gt;"&amp;$A119,実績!$AK$6:$AK$505,"○")&gt;0,1,0))</f>
        <v>0</v>
      </c>
      <c r="G119" s="39" t="n">
        <f aca="false">IF(G$4=0,0,IF(COUNTIFS(実績!$W$6:$W$505,G$3,実績!$AI$6:$AI$505,"&lt;="&amp;$A119,実績!$AJ$6:$AJ$505,"&gt;"&amp;$A119,実績!$AK$6:$AK$505,"○")&gt;0,1,0))</f>
        <v>0</v>
      </c>
      <c r="H119" s="39" t="n">
        <f aca="false">IF(H$4=0,0,IF(COUNTIFS(実績!$W$6:$W$505,H$3,実績!$AI$6:$AI$505,"&lt;="&amp;$A119,実績!$AJ$6:$AJ$505,"&gt;"&amp;$A119,実績!$AK$6:$AK$505,"○")&gt;0,1,0))</f>
        <v>0</v>
      </c>
      <c r="I119" s="39" t="n">
        <f aca="false">IF(I$4=0,0,IF(COUNTIFS(実績!$W$6:$W$505,I$3,実績!$AI$6:$AI$505,"&lt;="&amp;$A119,実績!$AJ$6:$AJ$505,"&gt;"&amp;$A119,実績!$AK$6:$AK$505,"○")&gt;0,1,0))</f>
        <v>0</v>
      </c>
      <c r="J119" s="39" t="n">
        <f aca="false">IF(J$4=0,0,IF(COUNTIFS(実績!$W$6:$W$505,J$3,実績!$AI$6:$AI$505,"&lt;="&amp;$A119,実績!$AJ$6:$AJ$505,"&gt;"&amp;$A119,実績!$AK$6:$AK$505,"○")&gt;0,1,0))</f>
        <v>0</v>
      </c>
      <c r="K119" s="39" t="n">
        <f aca="false">IF(K$4=0,0,IF(COUNTIFS(実績!$W$6:$W$505,K$3,実績!$AI$6:$AI$505,"&lt;="&amp;$A119,実績!$AJ$6:$AJ$505,"&gt;"&amp;$A119,実績!$AK$6:$AK$505,"○")&gt;0,1,0))</f>
        <v>0</v>
      </c>
      <c r="L119" s="39" t="n">
        <f aca="false">IF(L$4=0,0,IF(COUNTIFS(実績!$W$6:$W$505,L$3,実績!$AI$6:$AI$505,"&lt;="&amp;$A119,実績!$AJ$6:$AJ$505,"&gt;"&amp;$A119,実績!$AK$6:$AK$505,"○")&gt;0,1,0))</f>
        <v>0</v>
      </c>
      <c r="M119" s="39" t="n">
        <f aca="false">IF(M$4=0,0,IF(COUNTIFS(実績!$W$6:$W$505,M$3,実績!$AI$6:$AI$505,"&lt;="&amp;$A119,実績!$AJ$6:$AJ$505,"&gt;"&amp;$A119,実績!$AK$6:$AK$505,"○")&gt;0,1,0))</f>
        <v>0</v>
      </c>
      <c r="N119" s="39" t="n">
        <f aca="false">IF(N$4=0,0,IF(COUNTIFS(実績!$W$6:$W$505,N$3,実績!$AI$6:$AI$505,"&lt;="&amp;$A119,実績!$AJ$6:$AJ$505,"&gt;"&amp;$A119,実績!$AK$6:$AK$505,"○")&gt;0,1,0))</f>
        <v>0</v>
      </c>
      <c r="O119" s="39" t="n">
        <f aca="false">IF(O$4=0,0,IF(COUNTIFS(実績!$W$6:$W$505,O$3,実績!$AI$6:$AI$505,"&lt;="&amp;$A119,実績!$AJ$6:$AJ$505,"&gt;"&amp;$A119,実績!$AK$6:$AK$505,"○")&gt;0,1,0))</f>
        <v>0</v>
      </c>
      <c r="P119" s="39" t="n">
        <f aca="false">IF(P$4=0,0,IF(COUNTIFS(実績!$W$6:$W$505,P$3,実績!$AI$6:$AI$505,"&lt;="&amp;$A119,実績!$AJ$6:$AJ$505,"&gt;"&amp;$A119,実績!$AK$6:$AK$505,"○")&gt;0,1,0))</f>
        <v>0</v>
      </c>
      <c r="Q119" s="39" t="n">
        <f aca="false">IF(Q$4=0,0,IF(COUNTIFS(実績!$W$6:$W$505,Q$3,実績!$AI$6:$AI$505,"&lt;="&amp;$A119,実績!$AJ$6:$AJ$505,"&gt;"&amp;$A119,実績!$AK$6:$AK$505,"○")&gt;0,1,0))</f>
        <v>0</v>
      </c>
      <c r="R119" s="39" t="n">
        <f aca="false">IF(R$4=0,0,IF(COUNTIFS(実績!$W$6:$W$505,R$3,実績!$AI$6:$AI$505,"&lt;="&amp;$A119,実績!$AJ$6:$AJ$505,"&gt;"&amp;$A119,実績!$AK$6:$AK$505,"○")&gt;0,1,0))</f>
        <v>0</v>
      </c>
      <c r="S119" s="39" t="n">
        <f aca="false">IF(S$4=0,0,IF(COUNTIFS(実績!$W$6:$W$505,S$3,実績!$AI$6:$AI$505,"&lt;="&amp;$A119,実績!$AJ$6:$AJ$505,"&gt;"&amp;$A119,実績!$AK$6:$AK$505,"○")&gt;0,1,0))</f>
        <v>0</v>
      </c>
      <c r="T119" s="39" t="n">
        <f aca="false">IF(T$4=0,0,IF(COUNTIFS(実績!$W$6:$W$505,T$3,実績!$AI$6:$AI$505,"&lt;="&amp;$A119,実績!$AJ$6:$AJ$505,"&gt;"&amp;$A119,実績!$AK$6:$AK$505,"○")&gt;0,1,0))</f>
        <v>0</v>
      </c>
      <c r="U119" s="39" t="n">
        <f aca="false">IF(U$4=0,0,IF(COUNTIFS(実績!$W$6:$W$505,U$3,実績!$AI$6:$AI$505,"&lt;="&amp;$A119,実績!$AJ$6:$AJ$505,"&gt;"&amp;$A119,実績!$AK$6:$AK$505,"○")&gt;0,1,0))</f>
        <v>0</v>
      </c>
      <c r="V119" s="39" t="n">
        <f aca="false">IF(V$4=0,0,IF(COUNTIFS(実績!$W$6:$W$505,V$3,実績!$AI$6:$AI$505,"&lt;="&amp;$A119,実績!$AJ$6:$AJ$505,"&gt;"&amp;$A119,実績!$AK$6:$AK$505,"○")&gt;0,1,0))</f>
        <v>0</v>
      </c>
      <c r="W119" s="39" t="n">
        <f aca="false">IF(W$4=0,0,IF(COUNTIFS(実績!$W$6:$W$505,W$3,実績!$AI$6:$AI$505,"&lt;="&amp;$A119,実績!$AJ$6:$AJ$505,"&gt;"&amp;$A119,実績!$AK$6:$AK$505,"○")&gt;0,1,0))</f>
        <v>0</v>
      </c>
      <c r="X119" s="39" t="n">
        <f aca="false">IF(X$4=0,0,IF(COUNTIFS(実績!$W$6:$W$505,X$3,実績!$AI$6:$AI$505,"&lt;="&amp;$A119,実績!$AJ$6:$AJ$505,"&gt;"&amp;$A119,実績!$AK$6:$AK$505,"○")&gt;0,1,0))</f>
        <v>0</v>
      </c>
      <c r="Y119" s="39" t="n">
        <f aca="false">IF(Y$4=0,0,IF(COUNTIFS(実績!$W$6:$W$505,Y$3,実績!$AI$6:$AI$505,"&lt;="&amp;$A119,実績!$AJ$6:$AJ$505,"&gt;"&amp;$A119,実績!$AK$6:$AK$505,"○")&gt;0,1,0))</f>
        <v>0</v>
      </c>
      <c r="Z119" s="39" t="n">
        <f aca="false">IF(Z$4=0,0,IF(COUNTIFS(実績!$W$6:$W$505,Z$3,実績!$AI$6:$AI$505,"&lt;="&amp;$A119,実績!$AJ$6:$AJ$505,"&gt;"&amp;$A119,実績!$AK$6:$AK$505,"○")&gt;0,1,0))</f>
        <v>0</v>
      </c>
      <c r="AA119" s="39" t="n">
        <f aca="false">IF(AA$4=0,0,IF(COUNTIFS(実績!$W$6:$W$505,AA$3,実績!$AI$6:$AI$505,"&lt;="&amp;$A119,実績!$AJ$6:$AJ$505,"&gt;"&amp;$A119,実績!$AK$6:$AK$505,"○")&gt;0,1,0))</f>
        <v>0</v>
      </c>
      <c r="AB119" s="39" t="n">
        <f aca="false">IF(AB$4=0,0,IF(COUNTIFS(実績!$W$6:$W$505,AB$3,実績!$AI$6:$AI$505,"&lt;="&amp;$A119,実績!$AJ$6:$AJ$505,"&gt;"&amp;$A119,実績!$AK$6:$AK$505,"○")&gt;0,1,0))</f>
        <v>0</v>
      </c>
      <c r="AC119" s="39" t="n">
        <f aca="false">IF(AC$4=0,0,IF(COUNTIFS(実績!$W$6:$W$505,AC$3,実績!$AI$6:$AI$505,"&lt;="&amp;$A119,実績!$AJ$6:$AJ$505,"&gt;"&amp;$A119,実績!$AK$6:$AK$505,"○")&gt;0,1,0))</f>
        <v>0</v>
      </c>
      <c r="AD119" s="39" t="n">
        <f aca="false">IF(AD$4=0,0,IF(COUNTIFS(実績!$W$6:$W$505,AD$3,実績!$AI$6:$AI$505,"&lt;="&amp;$A119,実績!$AJ$6:$AJ$505,"&gt;"&amp;$A119,実績!$AK$6:$AK$505,"○")&gt;0,1,0))</f>
        <v>0</v>
      </c>
      <c r="AE119" s="39" t="n">
        <f aca="false">IF(AE$4=0,0,IF(COUNTIFS(実績!$W$6:$W$505,AE$3,実績!$AI$6:$AI$505,"&lt;="&amp;$A119,実績!$AJ$6:$AJ$505,"&gt;"&amp;$A119,実績!$AK$6:$AK$505,"○")&gt;0,1,0))</f>
        <v>0</v>
      </c>
      <c r="AF119" s="39" t="n">
        <f aca="false">IF(AF$4=0,0,IF(COUNTIFS(実績!$W$6:$W$505,AF$3,実績!$AI$6:$AI$505,"&lt;="&amp;$A119,実績!$AJ$6:$AJ$505,"&gt;"&amp;$A119,実績!$AK$6:$AK$505,"○")&gt;0,1,0))</f>
        <v>0</v>
      </c>
      <c r="AG119" s="39" t="n">
        <f aca="false">IF(AG$4=0,0,IF(COUNTIFS(実績!$W$6:$W$505,AG$3,実績!$AI$6:$AI$505,"&lt;="&amp;$A119,実績!$AJ$6:$AJ$505,"&gt;"&amp;$A119,実績!$AK$6:$AK$505,"○")&gt;0,1,0))</f>
        <v>0</v>
      </c>
      <c r="AH119" s="39" t="n">
        <f aca="false">IF(AH$4=0,0,IF(COUNTIFS(実績!$W$6:$W$505,AH$3,実績!$AI$6:$AI$505,"&lt;="&amp;$A119,実績!$AJ$6:$AJ$505,"&gt;"&amp;$A119,実績!$AK$6:$AK$505,"○")&gt;0,1,0))</f>
        <v>0</v>
      </c>
      <c r="AI119" s="39" t="n">
        <f aca="false">IF(AI$4=0,0,IF(COUNTIFS(実績!$W$6:$W$505,AI$3,実績!$AI$6:$AI$505,"&lt;="&amp;$A119,実績!$AJ$6:$AJ$505,"&gt;"&amp;$A119,実績!$AK$6:$AK$505,"○")&gt;0,1,0))</f>
        <v>0</v>
      </c>
      <c r="AJ119" s="39" t="n">
        <f aca="false">IF(AJ$4=0,0,IF(COUNTIFS(実績!$W$6:$W$505,AJ$3,実績!$AI$6:$AI$505,"&lt;="&amp;$A119,実績!$AJ$6:$AJ$505,"&gt;"&amp;$A119,実績!$AK$6:$AK$505,"○")&gt;0,1,0))</f>
        <v>0</v>
      </c>
      <c r="AK119" s="39" t="n">
        <f aca="false">IF(AK$4=0,0,IF(COUNTIFS(実績!$W$6:$W$505,AK$3,実績!$AI$6:$AI$505,"&lt;="&amp;$A119,実績!$AJ$6:$AJ$505,"&gt;"&amp;$A119,実績!$AK$6:$AK$505,"○")&gt;0,1,0))</f>
        <v>0</v>
      </c>
      <c r="AL119" s="39" t="n">
        <f aca="false">IF(AL$4=0,0,IF(COUNTIFS(実績!$W$6:$W$505,AL$3,実績!$AI$6:$AI$505,"&lt;="&amp;$A119,実績!$AJ$6:$AJ$505,"&gt;"&amp;$A119,実績!$AK$6:$AK$505,"○")&gt;0,1,0))</f>
        <v>0</v>
      </c>
      <c r="AM119" s="39" t="n">
        <f aca="false">IF(AM$4=0,0,IF(COUNTIFS(実績!$W$6:$W$505,AM$3,実績!$AI$6:$AI$505,"&lt;="&amp;$A119,実績!$AJ$6:$AJ$505,"&gt;"&amp;$A119,実績!$AK$6:$AK$505,"○")&gt;0,1,0))</f>
        <v>0</v>
      </c>
      <c r="AN119" s="39" t="n">
        <f aca="false">IF(AN$4=0,0,IF(COUNTIFS(実績!$W$6:$W$505,AN$3,実績!$AI$6:$AI$505,"&lt;="&amp;$A119,実績!$AJ$6:$AJ$505,"&gt;"&amp;$A119,実績!$AK$6:$AK$505,"○")&gt;0,1,0))</f>
        <v>0</v>
      </c>
      <c r="AO119" s="39" t="n">
        <f aca="false">IF(AO$4=0,0,IF(COUNTIFS(実績!$W$6:$W$505,AO$3,実績!$AI$6:$AI$505,"&lt;="&amp;$A119,実績!$AJ$6:$AJ$505,"&gt;"&amp;$A119,実績!$AK$6:$AK$505,"○")&gt;0,1,0))</f>
        <v>0</v>
      </c>
      <c r="AP119" s="39" t="n">
        <f aca="false">IF(AP$4=0,0,IF(COUNTIFS(実績!$W$6:$W$505,AP$3,実績!$AI$6:$AI$505,"&lt;="&amp;$A119,実績!$AJ$6:$AJ$505,"&gt;"&amp;$A119,実績!$AK$6:$AK$505,"○")&gt;0,1,0))</f>
        <v>0</v>
      </c>
      <c r="AQ119" s="39" t="n">
        <f aca="false">IF(AQ$4=0,0,IF(COUNTIFS(実績!$W$6:$W$505,AQ$3,実績!$AI$6:$AI$505,"&lt;="&amp;$A119,実績!$AJ$6:$AJ$505,"&gt;"&amp;$A119,実績!$AK$6:$AK$505,"○")&gt;0,1,0))</f>
        <v>0</v>
      </c>
      <c r="AR119" s="39" t="n">
        <f aca="false">IF(AR$4=0,0,IF(COUNTIFS(実績!$W$6:$W$505,AR$3,実績!$AI$6:$AI$505,"&lt;="&amp;$A119,実績!$AJ$6:$AJ$505,"&gt;"&amp;$A119,実績!$AK$6:$AK$505,"○")&gt;0,1,0))</f>
        <v>0</v>
      </c>
      <c r="AS119" s="39" t="n">
        <f aca="false">IF(AS$4=0,0,IF(COUNTIFS(実績!$W$6:$W$505,AS$3,実績!$AI$6:$AI$505,"&lt;="&amp;$A119,実績!$AJ$6:$AJ$505,"&gt;"&amp;$A119,実績!$AK$6:$AK$505,"○")&gt;0,1,0))</f>
        <v>0</v>
      </c>
      <c r="AT119" s="39" t="n">
        <f aca="false">IF(AT$4=0,0,IF(COUNTIFS(実績!$W$6:$W$505,AT$3,実績!$AI$6:$AI$505,"&lt;="&amp;$A119,実績!$AJ$6:$AJ$505,"&gt;"&amp;$A119,実績!$AK$6:$AK$505,"○")&gt;0,1,0))</f>
        <v>0</v>
      </c>
      <c r="AU119" s="39" t="n">
        <f aca="false">IF(AU$4=0,0,IF(COUNTIFS(実績!$W$6:$W$505,AU$3,実績!$AI$6:$AI$505,"&lt;="&amp;$A119,実績!$AJ$6:$AJ$505,"&gt;"&amp;$A119,実績!$AK$6:$AK$505,"○")&gt;0,1,0))</f>
        <v>0</v>
      </c>
      <c r="AV119" s="39" t="n">
        <f aca="false">IF(AV$4=0,0,IF(COUNTIFS(実績!$W$6:$W$505,AV$3,実績!$AI$6:$AI$505,"&lt;="&amp;$A119,実績!$AJ$6:$AJ$505,"&gt;"&amp;$A119,実績!$AK$6:$AK$505,"○")&gt;0,1,0))</f>
        <v>0</v>
      </c>
      <c r="AW119" s="39" t="n">
        <f aca="false">IF(AW$4=0,0,IF(COUNTIFS(実績!$W$6:$W$505,AW$3,実績!$AI$6:$AI$505,"&lt;="&amp;$A119,実績!$AJ$6:$AJ$505,"&gt;"&amp;$A119,実績!$AK$6:$AK$505,"○")&gt;0,1,0))</f>
        <v>0</v>
      </c>
      <c r="AX119" s="39" t="n">
        <f aca="false">IF(AX$4=0,0,IF(COUNTIFS(実績!$W$6:$W$505,AX$3,実績!$AI$6:$AI$505,"&lt;="&amp;$A119,実績!$AJ$6:$AJ$505,"&gt;"&amp;$A119,実績!$AK$6:$AK$505,"○")&gt;0,1,0))</f>
        <v>0</v>
      </c>
      <c r="AY119" s="39" t="n">
        <f aca="false">IF(AY$4=0,0,IF(COUNTIFS(実績!$W$6:$W$505,AY$3,実績!$AI$6:$AI$505,"&lt;="&amp;$A119,実績!$AJ$6:$AJ$505,"&gt;"&amp;$A119,実績!$AK$6:$AK$505,"○")&gt;0,1,0))</f>
        <v>0</v>
      </c>
      <c r="AZ119" s="39" t="n">
        <f aca="false">IF(AZ$4=0,0,IF(COUNTIFS(実績!$W$6:$W$505,AZ$3,実績!$AI$6:$AI$505,"&lt;="&amp;$A119,実績!$AJ$6:$AJ$505,"&gt;"&amp;$A119,実績!$AK$6:$AK$505,"○")&gt;0,1,0))</f>
        <v>0</v>
      </c>
      <c r="BA119" s="39" t="n">
        <f aca="false">IF(BA$4=0,0,IF(COUNTIFS(実績!$W$6:$W$505,BA$3,実績!$AI$6:$AI$505,"&lt;="&amp;$A119,実績!$AJ$6:$AJ$505,"&gt;"&amp;$A119,実績!$AK$6:$AK$505,"○")&gt;0,1,0))</f>
        <v>0</v>
      </c>
      <c r="BB119" s="39" t="n">
        <f aca="false">IF(BB$4=0,0,IF(COUNTIFS(実績!$W$6:$W$505,BB$3,実績!$AI$6:$AI$505,"&lt;="&amp;$A119,実績!$AJ$6:$AJ$505,"&gt;"&amp;$A119,実績!$AK$6:$AK$505,"○")&gt;0,1,0))</f>
        <v>0</v>
      </c>
      <c r="BC119" s="39" t="n">
        <f aca="false">IF(BC$4=0,0,IF(COUNTIFS(実績!$W$6:$W$505,BC$3,実績!$AI$6:$AI$505,"&lt;="&amp;$A119,実績!$AJ$6:$AJ$505,"&gt;"&amp;$A119,実績!$AK$6:$AK$505,"○")&gt;0,1,0))</f>
        <v>0</v>
      </c>
      <c r="BD119" s="39" t="n">
        <f aca="false">IF(BD$4=0,0,IF(COUNTIFS(実績!$W$6:$W$505,BD$3,実績!$AI$6:$AI$505,"&lt;="&amp;$A119,実績!$AJ$6:$AJ$505,"&gt;"&amp;$A119,実績!$AK$6:$AK$505,"○")&gt;0,1,0))</f>
        <v>0</v>
      </c>
      <c r="BE119" s="39" t="n">
        <f aca="false">IF(BE$4=0,0,IF(COUNTIFS(実績!$W$6:$W$505,BE$3,実績!$AI$6:$AI$505,"&lt;="&amp;$A119,実績!$AJ$6:$AJ$505,"&gt;"&amp;$A119,実績!$AK$6:$AK$505,"○")&gt;0,1,0))</f>
        <v>0</v>
      </c>
      <c r="BF119" s="39" t="n">
        <f aca="false">IF(BF$4=0,0,IF(COUNTIFS(実績!$W$6:$W$505,BF$3,実績!$AI$6:$AI$505,"&lt;="&amp;$A119,実績!$AJ$6:$AJ$505,"&gt;"&amp;$A119,実績!$AK$6:$AK$505,"○")&gt;0,1,0))</f>
        <v>0</v>
      </c>
      <c r="BG119" s="39" t="n">
        <f aca="false">IF(BG$4=0,0,IF(COUNTIFS(実績!$W$6:$W$505,BG$3,実績!$AI$6:$AI$505,"&lt;="&amp;$A119,実績!$AJ$6:$AJ$505,"&gt;"&amp;$A119,実績!$AK$6:$AK$505,"○")&gt;0,1,0))</f>
        <v>0</v>
      </c>
      <c r="BH119" s="39" t="n">
        <f aca="false">IF(BH$4=0,0,IF(COUNTIFS(実績!$W$6:$W$505,BH$3,実績!$AI$6:$AI$505,"&lt;="&amp;$A119,実績!$AJ$6:$AJ$505,"&gt;"&amp;$A119,実績!$AK$6:$AK$505,"○")&gt;0,1,0))</f>
        <v>0</v>
      </c>
      <c r="BI119" s="39" t="n">
        <f aca="false">IF(BI$4=0,0,IF(COUNTIFS(実績!$W$6:$W$505,BI$3,実績!$AI$6:$AI$505,"&lt;="&amp;$A119,実績!$AJ$6:$AJ$505,"&gt;"&amp;$A119,実績!$AK$6:$AK$505,"○")&gt;0,1,0))</f>
        <v>0</v>
      </c>
      <c r="BJ119" s="39" t="n">
        <f aca="false">IF(BJ$4=0,0,IF(COUNTIFS(実績!$W$6:$W$505,BJ$3,実績!$AI$6:$AI$505,"&lt;="&amp;$A119,実績!$AJ$6:$AJ$505,"&gt;"&amp;$A119,実績!$AK$6:$AK$505,"○")&gt;0,1,0))</f>
        <v>0</v>
      </c>
      <c r="BK119" s="39" t="n">
        <f aca="false">IF(BK$4=0,0,IF(COUNTIFS(実績!$W$6:$W$505,BK$3,実績!$AI$6:$AI$505,"&lt;="&amp;$A119,実績!$AJ$6:$AJ$505,"&gt;"&amp;$A119,実績!$AK$6:$AK$505,"○")&gt;0,1,0))</f>
        <v>0</v>
      </c>
      <c r="BL119" s="39" t="n">
        <f aca="false">IF(BL$4=0,0,IF(COUNTIFS(実績!$W$6:$W$505,BL$3,実績!$AI$6:$AI$505,"&lt;="&amp;$A119,実績!$AJ$6:$AJ$505,"&gt;"&amp;$A119,実績!$AK$6:$AK$505,"○")&gt;0,1,0))</f>
        <v>0</v>
      </c>
      <c r="BM119" s="39" t="n">
        <f aca="false">IF(BM$4=0,0,IF(COUNTIFS(実績!$W$6:$W$505,BM$3,実績!$AI$6:$AI$505,"&lt;="&amp;$A119,実績!$AJ$6:$AJ$505,"&gt;"&amp;$A119,実績!$AK$6:$AK$505,"○")&gt;0,1,0))</f>
        <v>0</v>
      </c>
      <c r="BN119" s="39" t="n">
        <f aca="false">IF(BN$4=0,0,IF(COUNTIFS(実績!$W$6:$W$505,BN$3,実績!$AI$6:$AI$505,"&lt;="&amp;$A119,実績!$AJ$6:$AJ$505,"&gt;"&amp;$A119,実績!$AK$6:$AK$505,"○")&gt;0,1,0))</f>
        <v>0</v>
      </c>
      <c r="BO119" s="39" t="n">
        <f aca="false">IF(BO$4=0,0,IF(COUNTIFS(実績!$W$6:$W$505,BO$3,実績!$AI$6:$AI$505,"&lt;="&amp;$A119,実績!$AJ$6:$AJ$505,"&gt;"&amp;$A119,実績!$AK$6:$AK$505,"○")&gt;0,1,0))</f>
        <v>0</v>
      </c>
      <c r="BP119" s="39" t="n">
        <f aca="false">IF(BP$4=0,0,IF(COUNTIFS(実績!$W$6:$W$505,BP$3,実績!$AI$6:$AI$505,"&lt;="&amp;$A119,実績!$AJ$6:$AJ$505,"&gt;"&amp;$A119,実績!$AK$6:$AK$505,"○")&gt;0,1,0))</f>
        <v>0</v>
      </c>
      <c r="BQ119" s="39" t="n">
        <f aca="false">IF(BQ$4=0,0,IF(COUNTIFS(実績!$W$6:$W$505,BQ$3,実績!$AI$6:$AI$505,"&lt;="&amp;$A119,実績!$AJ$6:$AJ$505,"&gt;"&amp;$A119,実績!$AK$6:$AK$505,"○")&gt;0,1,0))</f>
        <v>0</v>
      </c>
      <c r="BR119" s="39" t="n">
        <f aca="false">IF(BR$4=0,0,IF(COUNTIFS(実績!$W$6:$W$505,BR$3,実績!$AI$6:$AI$505,"&lt;="&amp;$A119,実績!$AJ$6:$AJ$505,"&gt;"&amp;$A119,実績!$AK$6:$AK$505,"○")&gt;0,1,0))</f>
        <v>0</v>
      </c>
      <c r="BS119" s="39" t="n">
        <f aca="false">IF(BS$4=0,0,IF(COUNTIFS(実績!$W$6:$W$505,BS$3,実績!$AI$6:$AI$505,"&lt;="&amp;$A119,実績!$AJ$6:$AJ$505,"&gt;"&amp;$A119,実績!$AK$6:$AK$505,"○")&gt;0,1,0))</f>
        <v>0</v>
      </c>
      <c r="BT119" s="39" t="n">
        <f aca="false">IF(BT$4=0,0,IF(COUNTIFS(実績!$W$6:$W$505,BT$3,実績!$AI$6:$AI$505,"&lt;="&amp;$A119,実績!$AJ$6:$AJ$505,"&gt;"&amp;$A119,実績!$AK$6:$AK$505,"○")&gt;0,1,0))</f>
        <v>0</v>
      </c>
      <c r="BU119" s="39" t="n">
        <f aca="false">IF(BU$4=0,0,IF(COUNTIFS(実績!$W$6:$W$505,BU$3,実績!$AI$6:$AI$505,"&lt;="&amp;$A119,実績!$AJ$6:$AJ$505,"&gt;"&amp;$A119,実績!$AK$6:$AK$505,"○")&gt;0,1,0))</f>
        <v>0</v>
      </c>
      <c r="BV119" s="39" t="n">
        <f aca="false">IF(BV$4=0,0,IF(COUNTIFS(実績!$W$6:$W$505,BV$3,実績!$AI$6:$AI$505,"&lt;="&amp;$A119,実績!$AJ$6:$AJ$505,"&gt;"&amp;$A119,実績!$AK$6:$AK$505,"○")&gt;0,1,0))</f>
        <v>0</v>
      </c>
      <c r="BW119" s="39" t="n">
        <f aca="false">IF(BW$4=0,0,IF(COUNTIFS(実績!$W$6:$W$505,BW$3,実績!$AI$6:$AI$505,"&lt;="&amp;$A119,実績!$AJ$6:$AJ$505,"&gt;"&amp;$A119,実績!$AK$6:$AK$505,"○")&gt;0,1,0))</f>
        <v>0</v>
      </c>
      <c r="BX119" s="39" t="n">
        <f aca="false">IF(BX$4=0,0,IF(COUNTIFS(実績!$W$6:$W$505,BX$3,実績!$AI$6:$AI$505,"&lt;="&amp;$A119,実績!$AJ$6:$AJ$505,"&gt;"&amp;$A119,実績!$AK$6:$AK$505,"○")&gt;0,1,0))</f>
        <v>0</v>
      </c>
      <c r="BY119" s="39" t="n">
        <f aca="false">IF(BY$4=0,0,IF(COUNTIFS(実績!$W$6:$W$505,BY$3,実績!$AI$6:$AI$505,"&lt;="&amp;$A119,実績!$AJ$6:$AJ$505,"&gt;"&amp;$A119,実績!$AK$6:$AK$505,"○")&gt;0,1,0))</f>
        <v>0</v>
      </c>
      <c r="BZ119" s="39" t="n">
        <f aca="false">IF(BZ$4=0,0,IF(COUNTIFS(実績!$W$6:$W$505,BZ$3,実績!$AI$6:$AI$505,"&lt;="&amp;$A119,実績!$AJ$6:$AJ$505,"&gt;"&amp;$A119,実績!$AK$6:$AK$505,"○")&gt;0,1,0))</f>
        <v>0</v>
      </c>
      <c r="CA119" s="39" t="n">
        <f aca="false">IF(CA$4=0,0,IF(COUNTIFS(実績!$W$6:$W$505,CA$3,実績!$AI$6:$AI$505,"&lt;="&amp;$A119,実績!$AJ$6:$AJ$505,"&gt;"&amp;$A119,実績!$AK$6:$AK$505,"○")&gt;0,1,0))</f>
        <v>0</v>
      </c>
      <c r="CB119" s="39" t="n">
        <f aca="false">IF(CB$4=0,0,IF(COUNTIFS(実績!$W$6:$W$505,CB$3,実績!$AI$6:$AI$505,"&lt;="&amp;$A119,実績!$AJ$6:$AJ$505,"&gt;"&amp;$A119,実績!$AK$6:$AK$505,"○")&gt;0,1,0))</f>
        <v>0</v>
      </c>
      <c r="CC119" s="39" t="n">
        <f aca="false">IF(CC$4=0,0,IF(COUNTIFS(実績!$W$6:$W$505,CC$3,実績!$AI$6:$AI$505,"&lt;="&amp;$A119,実績!$AJ$6:$AJ$505,"&gt;"&amp;$A119,実績!$AK$6:$AK$505,"○")&gt;0,1,0))</f>
        <v>0</v>
      </c>
      <c r="CD119" s="39" t="n">
        <f aca="false">IF(CD$4=0,0,IF(COUNTIFS(実績!$W$6:$W$505,CD$3,実績!$AI$6:$AI$505,"&lt;="&amp;$A119,実績!$AJ$6:$AJ$505,"&gt;"&amp;$A119,実績!$AK$6:$AK$505,"○")&gt;0,1,0))</f>
        <v>0</v>
      </c>
      <c r="CE119" s="39" t="n">
        <f aca="false">IF(CE$4=0,0,IF(COUNTIFS(実績!$W$6:$W$505,CE$3,実績!$AI$6:$AI$505,"&lt;="&amp;$A119,実績!$AJ$6:$AJ$505,"&gt;"&amp;$A119,実績!$AK$6:$AK$505,"○")&gt;0,1,0))</f>
        <v>0</v>
      </c>
      <c r="CF119" s="39" t="n">
        <f aca="false">IF(CF$4=0,0,IF(COUNTIFS(実績!$W$6:$W$505,CF$3,実績!$AI$6:$AI$505,"&lt;="&amp;$A119,実績!$AJ$6:$AJ$505,"&gt;"&amp;$A119,実績!$AK$6:$AK$505,"○")&gt;0,1,0))</f>
        <v>0</v>
      </c>
      <c r="CG119" s="39" t="n">
        <f aca="false">IF(CG$4=0,0,IF(COUNTIFS(実績!$W$6:$W$505,CG$3,実績!$AI$6:$AI$505,"&lt;="&amp;$A119,実績!$AJ$6:$AJ$505,"&gt;"&amp;$A119,実績!$AK$6:$AK$505,"○")&gt;0,1,0))</f>
        <v>0</v>
      </c>
      <c r="CH119" s="39" t="n">
        <f aca="false">IF(CH$4=0,0,IF(COUNTIFS(実績!$W$6:$W$505,CH$3,実績!$AI$6:$AI$505,"&lt;="&amp;$A119,実績!$AJ$6:$AJ$505,"&gt;"&amp;$A119,実績!$AK$6:$AK$505,"○")&gt;0,1,0))</f>
        <v>0</v>
      </c>
      <c r="CI119" s="39" t="n">
        <f aca="false">IF(CI$4=0,0,IF(COUNTIFS(実績!$W$6:$W$505,CI$3,実績!$AI$6:$AI$505,"&lt;="&amp;$A119,実績!$AJ$6:$AJ$505,"&gt;"&amp;$A119,実績!$AK$6:$AK$505,"○")&gt;0,1,0))</f>
        <v>0</v>
      </c>
      <c r="CJ119" s="39" t="n">
        <f aca="false">IF(CJ$4=0,0,IF(COUNTIFS(実績!$W$6:$W$505,CJ$3,実績!$AI$6:$AI$505,"&lt;="&amp;$A119,実績!$AJ$6:$AJ$505,"&gt;"&amp;$A119,実績!$AK$6:$AK$505,"○")&gt;0,1,0))</f>
        <v>0</v>
      </c>
      <c r="CK119" s="39" t="n">
        <f aca="false">IF(CK$4=0,0,IF(COUNTIFS(実績!$W$6:$W$505,CK$3,実績!$AI$6:$AI$505,"&lt;="&amp;$A119,実績!$AJ$6:$AJ$505,"&gt;"&amp;$A119,実績!$AK$6:$AK$505,"○")&gt;0,1,0))</f>
        <v>0</v>
      </c>
      <c r="CL119" s="39" t="n">
        <f aca="false">IF(CL$4=0,0,IF(COUNTIFS(実績!$W$6:$W$505,CL$3,実績!$AI$6:$AI$505,"&lt;="&amp;$A119,実績!$AJ$6:$AJ$505,"&gt;"&amp;$A119,実績!$AK$6:$AK$505,"○")&gt;0,1,0))</f>
        <v>0</v>
      </c>
      <c r="CM119" s="39" t="n">
        <f aca="false">IF(CM$4=0,0,IF(COUNTIFS(実績!$W$6:$W$505,CM$3,実績!$AI$6:$AI$505,"&lt;="&amp;$A119,実績!$AJ$6:$AJ$505,"&gt;"&amp;$A119,実績!$AK$6:$AK$505,"○")&gt;0,1,0))</f>
        <v>0</v>
      </c>
      <c r="CN119" s="39" t="n">
        <f aca="false">IF(CN$4=0,0,IF(COUNTIFS(実績!$W$6:$W$505,CN$3,実績!$AI$6:$AI$505,"&lt;="&amp;$A119,実績!$AJ$6:$AJ$505,"&gt;"&amp;$A119,実績!$AK$6:$AK$505,"○")&gt;0,1,0))</f>
        <v>0</v>
      </c>
      <c r="CO119" s="39" t="n">
        <f aca="false">IF(CO$4=0,0,IF(COUNTIFS(実績!$W$6:$W$505,CO$3,実績!$AI$6:$AI$505,"&lt;="&amp;$A119,実績!$AJ$6:$AJ$505,"&gt;"&amp;$A119,実績!$AK$6:$AK$505,"○")&gt;0,1,0))</f>
        <v>0</v>
      </c>
      <c r="CP119" s="39" t="n">
        <f aca="false">IF(CP$4=0,0,IF(COUNTIFS(実績!$W$6:$W$505,CP$3,実績!$AI$6:$AI$505,"&lt;="&amp;$A119,実績!$AJ$6:$AJ$505,"&gt;"&amp;$A119,実績!$AK$6:$AK$505,"○")&gt;0,1,0))</f>
        <v>0</v>
      </c>
      <c r="CQ119" s="39" t="n">
        <f aca="false">IF(CQ$4=0,0,IF(COUNTIFS(実績!$W$6:$W$505,CQ$3,実績!$AI$6:$AI$505,"&lt;="&amp;$A119,実績!$AJ$6:$AJ$505,"&gt;"&amp;$A119,実績!$AK$6:$AK$505,"○")&gt;0,1,0))</f>
        <v>0</v>
      </c>
      <c r="CR119" s="39" t="n">
        <f aca="false">IF(CR$4=0,0,IF(COUNTIFS(実績!$W$6:$W$505,CR$3,実績!$AI$6:$AI$505,"&lt;="&amp;$A119,実績!$AJ$6:$AJ$505,"&gt;"&amp;$A119,実績!$AK$6:$AK$505,"○")&gt;0,1,0))</f>
        <v>0</v>
      </c>
      <c r="CS119" s="39" t="n">
        <f aca="false">IF(CS$4=0,0,IF(COUNTIFS(実績!$W$6:$W$505,CS$3,実績!$AI$6:$AI$505,"&lt;="&amp;$A119,実績!$AJ$6:$AJ$505,"&gt;"&amp;$A119,実績!$AK$6:$AK$505,"○")&gt;0,1,0))</f>
        <v>0</v>
      </c>
      <c r="CT119" s="39" t="n">
        <f aca="false">IF(CT$4=0,0,IF(COUNTIFS(実績!$W$6:$W$505,CT$3,実績!$AI$6:$AI$505,"&lt;="&amp;$A119,実績!$AJ$6:$AJ$505,"&gt;"&amp;$A119,実績!$AK$6:$AK$505,"○")&gt;0,1,0))</f>
        <v>0</v>
      </c>
      <c r="CU119" s="39" t="n">
        <f aca="false">IF(CU$4=0,0,IF(COUNTIFS(実績!$W$6:$W$505,CU$3,実績!$AI$6:$AI$505,"&lt;="&amp;$A119,実績!$AJ$6:$AJ$505,"&gt;"&amp;$A119,実績!$AK$6:$AK$505,"○")&gt;0,1,0))</f>
        <v>0</v>
      </c>
      <c r="CV119" s="39" t="n">
        <f aca="false">IF(CV$4=0,0,IF(COUNTIFS(実績!$W$6:$W$505,CV$3,実績!$AI$6:$AI$505,"&lt;="&amp;$A119,実績!$AJ$6:$AJ$505,"&gt;"&amp;$A119,実績!$AK$6:$AK$505,"○")&gt;0,1,0))</f>
        <v>0</v>
      </c>
      <c r="CW119" s="39" t="n">
        <f aca="false">IF(CW$4=0,0,IF(COUNTIFS(実績!$W$6:$W$505,CW$3,実績!$AI$6:$AI$505,"&lt;="&amp;$A119,実績!$AJ$6:$AJ$505,"&gt;"&amp;$A119,実績!$AK$6:$AK$505,"○")&gt;0,1,0))</f>
        <v>0</v>
      </c>
      <c r="CX119" s="39" t="n">
        <f aca="false">IF(CX$4=0,0,IF(COUNTIFS(実績!$W$6:$W$505,CX$3,実績!$AI$6:$AI$505,"&lt;="&amp;$A119,実績!$AJ$6:$AJ$505,"&gt;"&amp;$A119,実績!$AK$6:$AK$505,"○")&gt;0,1,0))</f>
        <v>0</v>
      </c>
      <c r="CY119" s="39" t="n">
        <f aca="false">IF(CY$4=0,0,IF(COUNTIFS(実績!$W$6:$W$505,CY$3,実績!$AI$6:$AI$505,"&lt;="&amp;$A119,実績!$AJ$6:$AJ$505,"&gt;"&amp;$A119,実績!$AK$6:$AK$505,"○")&gt;0,1,0))</f>
        <v>0</v>
      </c>
      <c r="CZ119" s="39" t="n">
        <f aca="false">IF(CZ$4=0,0,IF(COUNTIFS(実績!$W$6:$W$505,CZ$3,実績!$AI$6:$AI$505,"&lt;="&amp;$A119,実績!$AJ$6:$AJ$505,"&gt;"&amp;$A119,実績!$AK$6:$AK$505,"○")&gt;0,1,0))</f>
        <v>0</v>
      </c>
      <c r="DA119" s="39" t="n">
        <f aca="false">IF(DA$4=0,0,IF(COUNTIFS(実績!$W$6:$W$505,DA$3,実績!$AI$6:$AI$505,"&lt;="&amp;$A119,実績!$AJ$6:$AJ$505,"&gt;"&amp;$A119,実績!$AK$6:$AK$505,"○")&gt;0,1,0))</f>
        <v>0</v>
      </c>
      <c r="DB119" s="39" t="n">
        <f aca="false">IF(DB$4=0,0,IF(COUNTIFS(実績!$W$6:$W$505,DB$3,実績!$AI$6:$AI$505,"&lt;="&amp;$A119,実績!$AJ$6:$AJ$505,"&gt;"&amp;$A119,実績!$AK$6:$AK$505,"○")&gt;0,1,0))</f>
        <v>0</v>
      </c>
      <c r="DC119" s="39" t="n">
        <f aca="false">IF(DC$4=0,0,IF(COUNTIFS(実績!$W$6:$W$505,DC$3,実績!$AI$6:$AI$505,"&lt;="&amp;$A119,実績!$AJ$6:$AJ$505,"&gt;"&amp;$A119,実績!$AK$6:$AK$505,"○")&gt;0,1,0))</f>
        <v>0</v>
      </c>
      <c r="DD119" s="39" t="n">
        <f aca="false">IF(DD$4=0,0,IF(COUNTIFS(実績!$W$6:$W$505,DD$3,実績!$AI$6:$AI$505,"&lt;="&amp;$A119,実績!$AJ$6:$AJ$505,"&gt;"&amp;$A119,実績!$AK$6:$AK$505,"○")&gt;0,1,0))</f>
        <v>0</v>
      </c>
      <c r="DE119" s="39" t="n">
        <f aca="false">IF(DE$4=0,0,IF(COUNTIFS(実績!$W$6:$W$505,DE$3,実績!$AI$6:$AI$505,"&lt;="&amp;$A119,実績!$AJ$6:$AJ$505,"&gt;"&amp;$A119,実績!$AK$6:$AK$505,"○")&gt;0,1,0))</f>
        <v>0</v>
      </c>
      <c r="DF119" s="39" t="n">
        <f aca="false">IF(DF$4=0,0,IF(COUNTIFS(実績!$W$6:$W$505,DF$3,実績!$AI$6:$AI$505,"&lt;="&amp;$A119,実績!$AJ$6:$AJ$505,"&gt;"&amp;$A119,実績!$AK$6:$AK$505,"○")&gt;0,1,0))</f>
        <v>0</v>
      </c>
      <c r="DG119" s="39" t="n">
        <f aca="false">IF(DG$4=0,0,IF(COUNTIFS(実績!$W$6:$W$505,DG$3,実績!$AI$6:$AI$505,"&lt;="&amp;$A119,実績!$AJ$6:$AJ$505,"&gt;"&amp;$A119,実績!$AK$6:$AK$505,"○")&gt;0,1,0))</f>
        <v>0</v>
      </c>
      <c r="DH119" s="39" t="n">
        <f aca="false">IF(DH$4=0,0,IF(COUNTIFS(実績!$W$6:$W$505,DH$3,実績!$AI$6:$AI$505,"&lt;="&amp;$A119,実績!$AJ$6:$AJ$505,"&gt;"&amp;$A119,実績!$AK$6:$AK$505,"○")&gt;0,1,0))</f>
        <v>0</v>
      </c>
      <c r="DI119" s="39" t="n">
        <f aca="false">IF(DI$4=0,0,IF(COUNTIFS(実績!$W$6:$W$505,DI$3,実績!$AI$6:$AI$505,"&lt;="&amp;$A119,実績!$AJ$6:$AJ$505,"&gt;"&amp;$A119,実績!$AK$6:$AK$505,"○")&gt;0,1,0))</f>
        <v>0</v>
      </c>
      <c r="DJ119" s="39" t="n">
        <f aca="false">IF(DJ$4=0,0,IF(COUNTIFS(実績!$W$6:$W$505,DJ$3,実績!$AI$6:$AI$505,"&lt;="&amp;$A119,実績!$AJ$6:$AJ$505,"&gt;"&amp;$A119,実績!$AK$6:$AK$505,"○")&gt;0,1,0))</f>
        <v>0</v>
      </c>
      <c r="DK119" s="39" t="n">
        <f aca="false">IF(DK$4=0,0,IF(COUNTIFS(実績!$W$6:$W$505,DK$3,実績!$AI$6:$AI$505,"&lt;="&amp;$A119,実績!$AJ$6:$AJ$505,"&gt;"&amp;$A119,実績!$AK$6:$AK$505,"○")&gt;0,1,0))</f>
        <v>0</v>
      </c>
      <c r="DL119" s="39" t="n">
        <f aca="false">IF(DL$4=0,0,IF(COUNTIFS(実績!$W$6:$W$505,DL$3,実績!$AI$6:$AI$505,"&lt;="&amp;$A119,実績!$AJ$6:$AJ$505,"&gt;"&amp;$A119,実績!$AK$6:$AK$505,"○")&gt;0,1,0))</f>
        <v>0</v>
      </c>
      <c r="DM119" s="39" t="n">
        <f aca="false">IF(DM$4=0,0,IF(COUNTIFS(実績!$W$6:$W$505,DM$3,実績!$AI$6:$AI$505,"&lt;="&amp;$A119,実績!$AJ$6:$AJ$505,"&gt;"&amp;$A119,実績!$AK$6:$AK$505,"○")&gt;0,1,0))</f>
        <v>0</v>
      </c>
      <c r="DN119" s="39" t="n">
        <f aca="false">IF(DN$4=0,0,IF(COUNTIFS(実績!$W$6:$W$505,DN$3,実績!$AI$6:$AI$505,"&lt;="&amp;$A119,実績!$AJ$6:$AJ$505,"&gt;"&amp;$A119,実績!$AK$6:$AK$505,"○")&gt;0,1,0))</f>
        <v>0</v>
      </c>
      <c r="DO119" s="39" t="n">
        <f aca="false">IF(DO$4=0,0,IF(COUNTIFS(実績!$W$6:$W$505,DO$3,実績!$AI$6:$AI$505,"&lt;="&amp;$A119,実績!$AJ$6:$AJ$505,"&gt;"&amp;$A119,実績!$AK$6:$AK$505,"○")&gt;0,1,0))</f>
        <v>0</v>
      </c>
      <c r="DP119" s="39" t="n">
        <f aca="false">IF(DP$4=0,0,IF(COUNTIFS(実績!$W$6:$W$505,DP$3,実績!$AI$6:$AI$505,"&lt;="&amp;$A119,実績!$AJ$6:$AJ$505,"&gt;"&amp;$A119,実績!$AK$6:$AK$505,"○")&gt;0,1,0))</f>
        <v>0</v>
      </c>
      <c r="DQ119" s="39" t="n">
        <f aca="false">IF(DQ$4=0,0,IF(COUNTIFS(実績!$W$6:$W$505,DQ$3,実績!$AI$6:$AI$505,"&lt;="&amp;$A119,実績!$AJ$6:$AJ$505,"&gt;"&amp;$A119,実績!$AK$6:$AK$505,"○")&gt;0,1,0))</f>
        <v>0</v>
      </c>
      <c r="DR119" s="39" t="n">
        <f aca="false">IF(DR$4=0,0,IF(COUNTIFS(実績!$W$6:$W$505,DR$3,実績!$AI$6:$AI$505,"&lt;="&amp;$A119,実績!$AJ$6:$AJ$505,"&gt;"&amp;$A119,実績!$AK$6:$AK$505,"○")&gt;0,1,0))</f>
        <v>0</v>
      </c>
      <c r="DS119" s="39" t="n">
        <f aca="false">SUM(C119:DR119)</f>
        <v>0</v>
      </c>
      <c r="DT119" s="39" t="n">
        <f aca="false">SUMPRODUCT((実績!$C$6:$C$505="○")*ISNUMBER(実績!$AM$6:$AM$505)*(実績!$AM$6:$AM$505&lt;=$A119)*(実績!$AN$6:$AN$505&gt;$A119))</f>
        <v>0</v>
      </c>
      <c r="DU119" s="39" t="n">
        <f aca="false">SUMIF($C$2:$DR$2,"製鉄曳船",C119:DR119)</f>
        <v>0</v>
      </c>
      <c r="DV119" s="39" t="n">
        <f aca="false">SUMIF($C$2:$DR$2,"西日本海運",C119:DR119)</f>
        <v>0</v>
      </c>
    </row>
    <row r="120" customFormat="false" ht="15" hidden="false" customHeight="false" outlineLevel="0" collapsed="false">
      <c r="A120" s="0" t="n">
        <v>570</v>
      </c>
      <c r="B120" s="38" t="n">
        <f aca="false">A120/1440</f>
        <v>0.395833333333333</v>
      </c>
      <c r="C120" s="39" t="n">
        <f aca="false">IF(C$4=0,0,IF(COUNTIFS(実績!$W$6:$W$505,C$3,実績!$AI$6:$AI$505,"&lt;="&amp;$A120,実績!$AJ$6:$AJ$505,"&gt;"&amp;$A120,実績!$AK$6:$AK$505,"○")&gt;0,1,0))</f>
        <v>0</v>
      </c>
      <c r="D120" s="39" t="n">
        <f aca="false">IF(D$4=0,0,IF(COUNTIFS(実績!$W$6:$W$505,D$3,実績!$AI$6:$AI$505,"&lt;="&amp;$A120,実績!$AJ$6:$AJ$505,"&gt;"&amp;$A120,実績!$AK$6:$AK$505,"○")&gt;0,1,0))</f>
        <v>0</v>
      </c>
      <c r="E120" s="39" t="n">
        <f aca="false">IF(E$4=0,0,IF(COUNTIFS(実績!$W$6:$W$505,E$3,実績!$AI$6:$AI$505,"&lt;="&amp;$A120,実績!$AJ$6:$AJ$505,"&gt;"&amp;$A120,実績!$AK$6:$AK$505,"○")&gt;0,1,0))</f>
        <v>0</v>
      </c>
      <c r="F120" s="39" t="n">
        <f aca="false">IF(F$4=0,0,IF(COUNTIFS(実績!$W$6:$W$505,F$3,実績!$AI$6:$AI$505,"&lt;="&amp;$A120,実績!$AJ$6:$AJ$505,"&gt;"&amp;$A120,実績!$AK$6:$AK$505,"○")&gt;0,1,0))</f>
        <v>0</v>
      </c>
      <c r="G120" s="39" t="n">
        <f aca="false">IF(G$4=0,0,IF(COUNTIFS(実績!$W$6:$W$505,G$3,実績!$AI$6:$AI$505,"&lt;="&amp;$A120,実績!$AJ$6:$AJ$505,"&gt;"&amp;$A120,実績!$AK$6:$AK$505,"○")&gt;0,1,0))</f>
        <v>0</v>
      </c>
      <c r="H120" s="39" t="n">
        <f aca="false">IF(H$4=0,0,IF(COUNTIFS(実績!$W$6:$W$505,H$3,実績!$AI$6:$AI$505,"&lt;="&amp;$A120,実績!$AJ$6:$AJ$505,"&gt;"&amp;$A120,実績!$AK$6:$AK$505,"○")&gt;0,1,0))</f>
        <v>0</v>
      </c>
      <c r="I120" s="39" t="n">
        <f aca="false">IF(I$4=0,0,IF(COUNTIFS(実績!$W$6:$W$505,I$3,実績!$AI$6:$AI$505,"&lt;="&amp;$A120,実績!$AJ$6:$AJ$505,"&gt;"&amp;$A120,実績!$AK$6:$AK$505,"○")&gt;0,1,0))</f>
        <v>0</v>
      </c>
      <c r="J120" s="39" t="n">
        <f aca="false">IF(J$4=0,0,IF(COUNTIFS(実績!$W$6:$W$505,J$3,実績!$AI$6:$AI$505,"&lt;="&amp;$A120,実績!$AJ$6:$AJ$505,"&gt;"&amp;$A120,実績!$AK$6:$AK$505,"○")&gt;0,1,0))</f>
        <v>0</v>
      </c>
      <c r="K120" s="39" t="n">
        <f aca="false">IF(K$4=0,0,IF(COUNTIFS(実績!$W$6:$W$505,K$3,実績!$AI$6:$AI$505,"&lt;="&amp;$A120,実績!$AJ$6:$AJ$505,"&gt;"&amp;$A120,実績!$AK$6:$AK$505,"○")&gt;0,1,0))</f>
        <v>0</v>
      </c>
      <c r="L120" s="39" t="n">
        <f aca="false">IF(L$4=0,0,IF(COUNTIFS(実績!$W$6:$W$505,L$3,実績!$AI$6:$AI$505,"&lt;="&amp;$A120,実績!$AJ$6:$AJ$505,"&gt;"&amp;$A120,実績!$AK$6:$AK$505,"○")&gt;0,1,0))</f>
        <v>0</v>
      </c>
      <c r="M120" s="39" t="n">
        <f aca="false">IF(M$4=0,0,IF(COUNTIFS(実績!$W$6:$W$505,M$3,実績!$AI$6:$AI$505,"&lt;="&amp;$A120,実績!$AJ$6:$AJ$505,"&gt;"&amp;$A120,実績!$AK$6:$AK$505,"○")&gt;0,1,0))</f>
        <v>0</v>
      </c>
      <c r="N120" s="39" t="n">
        <f aca="false">IF(N$4=0,0,IF(COUNTIFS(実績!$W$6:$W$505,N$3,実績!$AI$6:$AI$505,"&lt;="&amp;$A120,実績!$AJ$6:$AJ$505,"&gt;"&amp;$A120,実績!$AK$6:$AK$505,"○")&gt;0,1,0))</f>
        <v>0</v>
      </c>
      <c r="O120" s="39" t="n">
        <f aca="false">IF(O$4=0,0,IF(COUNTIFS(実績!$W$6:$W$505,O$3,実績!$AI$6:$AI$505,"&lt;="&amp;$A120,実績!$AJ$6:$AJ$505,"&gt;"&amp;$A120,実績!$AK$6:$AK$505,"○")&gt;0,1,0))</f>
        <v>0</v>
      </c>
      <c r="P120" s="39" t="n">
        <f aca="false">IF(P$4=0,0,IF(COUNTIFS(実績!$W$6:$W$505,P$3,実績!$AI$6:$AI$505,"&lt;="&amp;$A120,実績!$AJ$6:$AJ$505,"&gt;"&amp;$A120,実績!$AK$6:$AK$505,"○")&gt;0,1,0))</f>
        <v>0</v>
      </c>
      <c r="Q120" s="39" t="n">
        <f aca="false">IF(Q$4=0,0,IF(COUNTIFS(実績!$W$6:$W$505,Q$3,実績!$AI$6:$AI$505,"&lt;="&amp;$A120,実績!$AJ$6:$AJ$505,"&gt;"&amp;$A120,実績!$AK$6:$AK$505,"○")&gt;0,1,0))</f>
        <v>0</v>
      </c>
      <c r="R120" s="39" t="n">
        <f aca="false">IF(R$4=0,0,IF(COUNTIFS(実績!$W$6:$W$505,R$3,実績!$AI$6:$AI$505,"&lt;="&amp;$A120,実績!$AJ$6:$AJ$505,"&gt;"&amp;$A120,実績!$AK$6:$AK$505,"○")&gt;0,1,0))</f>
        <v>0</v>
      </c>
      <c r="S120" s="39" t="n">
        <f aca="false">IF(S$4=0,0,IF(COUNTIFS(実績!$W$6:$W$505,S$3,実績!$AI$6:$AI$505,"&lt;="&amp;$A120,実績!$AJ$6:$AJ$505,"&gt;"&amp;$A120,実績!$AK$6:$AK$505,"○")&gt;0,1,0))</f>
        <v>0</v>
      </c>
      <c r="T120" s="39" t="n">
        <f aca="false">IF(T$4=0,0,IF(COUNTIFS(実績!$W$6:$W$505,T$3,実績!$AI$6:$AI$505,"&lt;="&amp;$A120,実績!$AJ$6:$AJ$505,"&gt;"&amp;$A120,実績!$AK$6:$AK$505,"○")&gt;0,1,0))</f>
        <v>0</v>
      </c>
      <c r="U120" s="39" t="n">
        <f aca="false">IF(U$4=0,0,IF(COUNTIFS(実績!$W$6:$W$505,U$3,実績!$AI$6:$AI$505,"&lt;="&amp;$A120,実績!$AJ$6:$AJ$505,"&gt;"&amp;$A120,実績!$AK$6:$AK$505,"○")&gt;0,1,0))</f>
        <v>0</v>
      </c>
      <c r="V120" s="39" t="n">
        <f aca="false">IF(V$4=0,0,IF(COUNTIFS(実績!$W$6:$W$505,V$3,実績!$AI$6:$AI$505,"&lt;="&amp;$A120,実績!$AJ$6:$AJ$505,"&gt;"&amp;$A120,実績!$AK$6:$AK$505,"○")&gt;0,1,0))</f>
        <v>0</v>
      </c>
      <c r="W120" s="39" t="n">
        <f aca="false">IF(W$4=0,0,IF(COUNTIFS(実績!$W$6:$W$505,W$3,実績!$AI$6:$AI$505,"&lt;="&amp;$A120,実績!$AJ$6:$AJ$505,"&gt;"&amp;$A120,実績!$AK$6:$AK$505,"○")&gt;0,1,0))</f>
        <v>0</v>
      </c>
      <c r="X120" s="39" t="n">
        <f aca="false">IF(X$4=0,0,IF(COUNTIFS(実績!$W$6:$W$505,X$3,実績!$AI$6:$AI$505,"&lt;="&amp;$A120,実績!$AJ$6:$AJ$505,"&gt;"&amp;$A120,実績!$AK$6:$AK$505,"○")&gt;0,1,0))</f>
        <v>0</v>
      </c>
      <c r="Y120" s="39" t="n">
        <f aca="false">IF(Y$4=0,0,IF(COUNTIFS(実績!$W$6:$W$505,Y$3,実績!$AI$6:$AI$505,"&lt;="&amp;$A120,実績!$AJ$6:$AJ$505,"&gt;"&amp;$A120,実績!$AK$6:$AK$505,"○")&gt;0,1,0))</f>
        <v>0</v>
      </c>
      <c r="Z120" s="39" t="n">
        <f aca="false">IF(Z$4=0,0,IF(COUNTIFS(実績!$W$6:$W$505,Z$3,実績!$AI$6:$AI$505,"&lt;="&amp;$A120,実績!$AJ$6:$AJ$505,"&gt;"&amp;$A120,実績!$AK$6:$AK$505,"○")&gt;0,1,0))</f>
        <v>0</v>
      </c>
      <c r="AA120" s="39" t="n">
        <f aca="false">IF(AA$4=0,0,IF(COUNTIFS(実績!$W$6:$W$505,AA$3,実績!$AI$6:$AI$505,"&lt;="&amp;$A120,実績!$AJ$6:$AJ$505,"&gt;"&amp;$A120,実績!$AK$6:$AK$505,"○")&gt;0,1,0))</f>
        <v>0</v>
      </c>
      <c r="AB120" s="39" t="n">
        <f aca="false">IF(AB$4=0,0,IF(COUNTIFS(実績!$W$6:$W$505,AB$3,実績!$AI$6:$AI$505,"&lt;="&amp;$A120,実績!$AJ$6:$AJ$505,"&gt;"&amp;$A120,実績!$AK$6:$AK$505,"○")&gt;0,1,0))</f>
        <v>0</v>
      </c>
      <c r="AC120" s="39" t="n">
        <f aca="false">IF(AC$4=0,0,IF(COUNTIFS(実績!$W$6:$W$505,AC$3,実績!$AI$6:$AI$505,"&lt;="&amp;$A120,実績!$AJ$6:$AJ$505,"&gt;"&amp;$A120,実績!$AK$6:$AK$505,"○")&gt;0,1,0))</f>
        <v>0</v>
      </c>
      <c r="AD120" s="39" t="n">
        <f aca="false">IF(AD$4=0,0,IF(COUNTIFS(実績!$W$6:$W$505,AD$3,実績!$AI$6:$AI$505,"&lt;="&amp;$A120,実績!$AJ$6:$AJ$505,"&gt;"&amp;$A120,実績!$AK$6:$AK$505,"○")&gt;0,1,0))</f>
        <v>0</v>
      </c>
      <c r="AE120" s="39" t="n">
        <f aca="false">IF(AE$4=0,0,IF(COUNTIFS(実績!$W$6:$W$505,AE$3,実績!$AI$6:$AI$505,"&lt;="&amp;$A120,実績!$AJ$6:$AJ$505,"&gt;"&amp;$A120,実績!$AK$6:$AK$505,"○")&gt;0,1,0))</f>
        <v>0</v>
      </c>
      <c r="AF120" s="39" t="n">
        <f aca="false">IF(AF$4=0,0,IF(COUNTIFS(実績!$W$6:$W$505,AF$3,実績!$AI$6:$AI$505,"&lt;="&amp;$A120,実績!$AJ$6:$AJ$505,"&gt;"&amp;$A120,実績!$AK$6:$AK$505,"○")&gt;0,1,0))</f>
        <v>0</v>
      </c>
      <c r="AG120" s="39" t="n">
        <f aca="false">IF(AG$4=0,0,IF(COUNTIFS(実績!$W$6:$W$505,AG$3,実績!$AI$6:$AI$505,"&lt;="&amp;$A120,実績!$AJ$6:$AJ$505,"&gt;"&amp;$A120,実績!$AK$6:$AK$505,"○")&gt;0,1,0))</f>
        <v>0</v>
      </c>
      <c r="AH120" s="39" t="n">
        <f aca="false">IF(AH$4=0,0,IF(COUNTIFS(実績!$W$6:$W$505,AH$3,実績!$AI$6:$AI$505,"&lt;="&amp;$A120,実績!$AJ$6:$AJ$505,"&gt;"&amp;$A120,実績!$AK$6:$AK$505,"○")&gt;0,1,0))</f>
        <v>0</v>
      </c>
      <c r="AI120" s="39" t="n">
        <f aca="false">IF(AI$4=0,0,IF(COUNTIFS(実績!$W$6:$W$505,AI$3,実績!$AI$6:$AI$505,"&lt;="&amp;$A120,実績!$AJ$6:$AJ$505,"&gt;"&amp;$A120,実績!$AK$6:$AK$505,"○")&gt;0,1,0))</f>
        <v>0</v>
      </c>
      <c r="AJ120" s="39" t="n">
        <f aca="false">IF(AJ$4=0,0,IF(COUNTIFS(実績!$W$6:$W$505,AJ$3,実績!$AI$6:$AI$505,"&lt;="&amp;$A120,実績!$AJ$6:$AJ$505,"&gt;"&amp;$A120,実績!$AK$6:$AK$505,"○")&gt;0,1,0))</f>
        <v>0</v>
      </c>
      <c r="AK120" s="39" t="n">
        <f aca="false">IF(AK$4=0,0,IF(COUNTIFS(実績!$W$6:$W$505,AK$3,実績!$AI$6:$AI$505,"&lt;="&amp;$A120,実績!$AJ$6:$AJ$505,"&gt;"&amp;$A120,実績!$AK$6:$AK$505,"○")&gt;0,1,0))</f>
        <v>0</v>
      </c>
      <c r="AL120" s="39" t="n">
        <f aca="false">IF(AL$4=0,0,IF(COUNTIFS(実績!$W$6:$W$505,AL$3,実績!$AI$6:$AI$505,"&lt;="&amp;$A120,実績!$AJ$6:$AJ$505,"&gt;"&amp;$A120,実績!$AK$6:$AK$505,"○")&gt;0,1,0))</f>
        <v>0</v>
      </c>
      <c r="AM120" s="39" t="n">
        <f aca="false">IF(AM$4=0,0,IF(COUNTIFS(実績!$W$6:$W$505,AM$3,実績!$AI$6:$AI$505,"&lt;="&amp;$A120,実績!$AJ$6:$AJ$505,"&gt;"&amp;$A120,実績!$AK$6:$AK$505,"○")&gt;0,1,0))</f>
        <v>0</v>
      </c>
      <c r="AN120" s="39" t="n">
        <f aca="false">IF(AN$4=0,0,IF(COUNTIFS(実績!$W$6:$W$505,AN$3,実績!$AI$6:$AI$505,"&lt;="&amp;$A120,実績!$AJ$6:$AJ$505,"&gt;"&amp;$A120,実績!$AK$6:$AK$505,"○")&gt;0,1,0))</f>
        <v>0</v>
      </c>
      <c r="AO120" s="39" t="n">
        <f aca="false">IF(AO$4=0,0,IF(COUNTIFS(実績!$W$6:$W$505,AO$3,実績!$AI$6:$AI$505,"&lt;="&amp;$A120,実績!$AJ$6:$AJ$505,"&gt;"&amp;$A120,実績!$AK$6:$AK$505,"○")&gt;0,1,0))</f>
        <v>0</v>
      </c>
      <c r="AP120" s="39" t="n">
        <f aca="false">IF(AP$4=0,0,IF(COUNTIFS(実績!$W$6:$W$505,AP$3,実績!$AI$6:$AI$505,"&lt;="&amp;$A120,実績!$AJ$6:$AJ$505,"&gt;"&amp;$A120,実績!$AK$6:$AK$505,"○")&gt;0,1,0))</f>
        <v>0</v>
      </c>
      <c r="AQ120" s="39" t="n">
        <f aca="false">IF(AQ$4=0,0,IF(COUNTIFS(実績!$W$6:$W$505,AQ$3,実績!$AI$6:$AI$505,"&lt;="&amp;$A120,実績!$AJ$6:$AJ$505,"&gt;"&amp;$A120,実績!$AK$6:$AK$505,"○")&gt;0,1,0))</f>
        <v>0</v>
      </c>
      <c r="AR120" s="39" t="n">
        <f aca="false">IF(AR$4=0,0,IF(COUNTIFS(実績!$W$6:$W$505,AR$3,実績!$AI$6:$AI$505,"&lt;="&amp;$A120,実績!$AJ$6:$AJ$505,"&gt;"&amp;$A120,実績!$AK$6:$AK$505,"○")&gt;0,1,0))</f>
        <v>0</v>
      </c>
      <c r="AS120" s="39" t="n">
        <f aca="false">IF(AS$4=0,0,IF(COUNTIFS(実績!$W$6:$W$505,AS$3,実績!$AI$6:$AI$505,"&lt;="&amp;$A120,実績!$AJ$6:$AJ$505,"&gt;"&amp;$A120,実績!$AK$6:$AK$505,"○")&gt;0,1,0))</f>
        <v>0</v>
      </c>
      <c r="AT120" s="39" t="n">
        <f aca="false">IF(AT$4=0,0,IF(COUNTIFS(実績!$W$6:$W$505,AT$3,実績!$AI$6:$AI$505,"&lt;="&amp;$A120,実績!$AJ$6:$AJ$505,"&gt;"&amp;$A120,実績!$AK$6:$AK$505,"○")&gt;0,1,0))</f>
        <v>0</v>
      </c>
      <c r="AU120" s="39" t="n">
        <f aca="false">IF(AU$4=0,0,IF(COUNTIFS(実績!$W$6:$W$505,AU$3,実績!$AI$6:$AI$505,"&lt;="&amp;$A120,実績!$AJ$6:$AJ$505,"&gt;"&amp;$A120,実績!$AK$6:$AK$505,"○")&gt;0,1,0))</f>
        <v>0</v>
      </c>
      <c r="AV120" s="39" t="n">
        <f aca="false">IF(AV$4=0,0,IF(COUNTIFS(実績!$W$6:$W$505,AV$3,実績!$AI$6:$AI$505,"&lt;="&amp;$A120,実績!$AJ$6:$AJ$505,"&gt;"&amp;$A120,実績!$AK$6:$AK$505,"○")&gt;0,1,0))</f>
        <v>0</v>
      </c>
      <c r="AW120" s="39" t="n">
        <f aca="false">IF(AW$4=0,0,IF(COUNTIFS(実績!$W$6:$W$505,AW$3,実績!$AI$6:$AI$505,"&lt;="&amp;$A120,実績!$AJ$6:$AJ$505,"&gt;"&amp;$A120,実績!$AK$6:$AK$505,"○")&gt;0,1,0))</f>
        <v>0</v>
      </c>
      <c r="AX120" s="39" t="n">
        <f aca="false">IF(AX$4=0,0,IF(COUNTIFS(実績!$W$6:$W$505,AX$3,実績!$AI$6:$AI$505,"&lt;="&amp;$A120,実績!$AJ$6:$AJ$505,"&gt;"&amp;$A120,実績!$AK$6:$AK$505,"○")&gt;0,1,0))</f>
        <v>0</v>
      </c>
      <c r="AY120" s="39" t="n">
        <f aca="false">IF(AY$4=0,0,IF(COUNTIFS(実績!$W$6:$W$505,AY$3,実績!$AI$6:$AI$505,"&lt;="&amp;$A120,実績!$AJ$6:$AJ$505,"&gt;"&amp;$A120,実績!$AK$6:$AK$505,"○")&gt;0,1,0))</f>
        <v>0</v>
      </c>
      <c r="AZ120" s="39" t="n">
        <f aca="false">IF(AZ$4=0,0,IF(COUNTIFS(実績!$W$6:$W$505,AZ$3,実績!$AI$6:$AI$505,"&lt;="&amp;$A120,実績!$AJ$6:$AJ$505,"&gt;"&amp;$A120,実績!$AK$6:$AK$505,"○")&gt;0,1,0))</f>
        <v>0</v>
      </c>
      <c r="BA120" s="39" t="n">
        <f aca="false">IF(BA$4=0,0,IF(COUNTIFS(実績!$W$6:$W$505,BA$3,実績!$AI$6:$AI$505,"&lt;="&amp;$A120,実績!$AJ$6:$AJ$505,"&gt;"&amp;$A120,実績!$AK$6:$AK$505,"○")&gt;0,1,0))</f>
        <v>0</v>
      </c>
      <c r="BB120" s="39" t="n">
        <f aca="false">IF(BB$4=0,0,IF(COUNTIFS(実績!$W$6:$W$505,BB$3,実績!$AI$6:$AI$505,"&lt;="&amp;$A120,実績!$AJ$6:$AJ$505,"&gt;"&amp;$A120,実績!$AK$6:$AK$505,"○")&gt;0,1,0))</f>
        <v>0</v>
      </c>
      <c r="BC120" s="39" t="n">
        <f aca="false">IF(BC$4=0,0,IF(COUNTIFS(実績!$W$6:$W$505,BC$3,実績!$AI$6:$AI$505,"&lt;="&amp;$A120,実績!$AJ$6:$AJ$505,"&gt;"&amp;$A120,実績!$AK$6:$AK$505,"○")&gt;0,1,0))</f>
        <v>0</v>
      </c>
      <c r="BD120" s="39" t="n">
        <f aca="false">IF(BD$4=0,0,IF(COUNTIFS(実績!$W$6:$W$505,BD$3,実績!$AI$6:$AI$505,"&lt;="&amp;$A120,実績!$AJ$6:$AJ$505,"&gt;"&amp;$A120,実績!$AK$6:$AK$505,"○")&gt;0,1,0))</f>
        <v>0</v>
      </c>
      <c r="BE120" s="39" t="n">
        <f aca="false">IF(BE$4=0,0,IF(COUNTIFS(実績!$W$6:$W$505,BE$3,実績!$AI$6:$AI$505,"&lt;="&amp;$A120,実績!$AJ$6:$AJ$505,"&gt;"&amp;$A120,実績!$AK$6:$AK$505,"○")&gt;0,1,0))</f>
        <v>0</v>
      </c>
      <c r="BF120" s="39" t="n">
        <f aca="false">IF(BF$4=0,0,IF(COUNTIFS(実績!$W$6:$W$505,BF$3,実績!$AI$6:$AI$505,"&lt;="&amp;$A120,実績!$AJ$6:$AJ$505,"&gt;"&amp;$A120,実績!$AK$6:$AK$505,"○")&gt;0,1,0))</f>
        <v>0</v>
      </c>
      <c r="BG120" s="39" t="n">
        <f aca="false">IF(BG$4=0,0,IF(COUNTIFS(実績!$W$6:$W$505,BG$3,実績!$AI$6:$AI$505,"&lt;="&amp;$A120,実績!$AJ$6:$AJ$505,"&gt;"&amp;$A120,実績!$AK$6:$AK$505,"○")&gt;0,1,0))</f>
        <v>0</v>
      </c>
      <c r="BH120" s="39" t="n">
        <f aca="false">IF(BH$4=0,0,IF(COUNTIFS(実績!$W$6:$W$505,BH$3,実績!$AI$6:$AI$505,"&lt;="&amp;$A120,実績!$AJ$6:$AJ$505,"&gt;"&amp;$A120,実績!$AK$6:$AK$505,"○")&gt;0,1,0))</f>
        <v>0</v>
      </c>
      <c r="BI120" s="39" t="n">
        <f aca="false">IF(BI$4=0,0,IF(COUNTIFS(実績!$W$6:$W$505,BI$3,実績!$AI$6:$AI$505,"&lt;="&amp;$A120,実績!$AJ$6:$AJ$505,"&gt;"&amp;$A120,実績!$AK$6:$AK$505,"○")&gt;0,1,0))</f>
        <v>0</v>
      </c>
      <c r="BJ120" s="39" t="n">
        <f aca="false">IF(BJ$4=0,0,IF(COUNTIFS(実績!$W$6:$W$505,BJ$3,実績!$AI$6:$AI$505,"&lt;="&amp;$A120,実績!$AJ$6:$AJ$505,"&gt;"&amp;$A120,実績!$AK$6:$AK$505,"○")&gt;0,1,0))</f>
        <v>0</v>
      </c>
      <c r="BK120" s="39" t="n">
        <f aca="false">IF(BK$4=0,0,IF(COUNTIFS(実績!$W$6:$W$505,BK$3,実績!$AI$6:$AI$505,"&lt;="&amp;$A120,実績!$AJ$6:$AJ$505,"&gt;"&amp;$A120,実績!$AK$6:$AK$505,"○")&gt;0,1,0))</f>
        <v>0</v>
      </c>
      <c r="BL120" s="39" t="n">
        <f aca="false">IF(BL$4=0,0,IF(COUNTIFS(実績!$W$6:$W$505,BL$3,実績!$AI$6:$AI$505,"&lt;="&amp;$A120,実績!$AJ$6:$AJ$505,"&gt;"&amp;$A120,実績!$AK$6:$AK$505,"○")&gt;0,1,0))</f>
        <v>0</v>
      </c>
      <c r="BM120" s="39" t="n">
        <f aca="false">IF(BM$4=0,0,IF(COUNTIFS(実績!$W$6:$W$505,BM$3,実績!$AI$6:$AI$505,"&lt;="&amp;$A120,実績!$AJ$6:$AJ$505,"&gt;"&amp;$A120,実績!$AK$6:$AK$505,"○")&gt;0,1,0))</f>
        <v>0</v>
      </c>
      <c r="BN120" s="39" t="n">
        <f aca="false">IF(BN$4=0,0,IF(COUNTIFS(実績!$W$6:$W$505,BN$3,実績!$AI$6:$AI$505,"&lt;="&amp;$A120,実績!$AJ$6:$AJ$505,"&gt;"&amp;$A120,実績!$AK$6:$AK$505,"○")&gt;0,1,0))</f>
        <v>0</v>
      </c>
      <c r="BO120" s="39" t="n">
        <f aca="false">IF(BO$4=0,0,IF(COUNTIFS(実績!$W$6:$W$505,BO$3,実績!$AI$6:$AI$505,"&lt;="&amp;$A120,実績!$AJ$6:$AJ$505,"&gt;"&amp;$A120,実績!$AK$6:$AK$505,"○")&gt;0,1,0))</f>
        <v>0</v>
      </c>
      <c r="BP120" s="39" t="n">
        <f aca="false">IF(BP$4=0,0,IF(COUNTIFS(実績!$W$6:$W$505,BP$3,実績!$AI$6:$AI$505,"&lt;="&amp;$A120,実績!$AJ$6:$AJ$505,"&gt;"&amp;$A120,実績!$AK$6:$AK$505,"○")&gt;0,1,0))</f>
        <v>0</v>
      </c>
      <c r="BQ120" s="39" t="n">
        <f aca="false">IF(BQ$4=0,0,IF(COUNTIFS(実績!$W$6:$W$505,BQ$3,実績!$AI$6:$AI$505,"&lt;="&amp;$A120,実績!$AJ$6:$AJ$505,"&gt;"&amp;$A120,実績!$AK$6:$AK$505,"○")&gt;0,1,0))</f>
        <v>0</v>
      </c>
      <c r="BR120" s="39" t="n">
        <f aca="false">IF(BR$4=0,0,IF(COUNTIFS(実績!$W$6:$W$505,BR$3,実績!$AI$6:$AI$505,"&lt;="&amp;$A120,実績!$AJ$6:$AJ$505,"&gt;"&amp;$A120,実績!$AK$6:$AK$505,"○")&gt;0,1,0))</f>
        <v>0</v>
      </c>
      <c r="BS120" s="39" t="n">
        <f aca="false">IF(BS$4=0,0,IF(COUNTIFS(実績!$W$6:$W$505,BS$3,実績!$AI$6:$AI$505,"&lt;="&amp;$A120,実績!$AJ$6:$AJ$505,"&gt;"&amp;$A120,実績!$AK$6:$AK$505,"○")&gt;0,1,0))</f>
        <v>0</v>
      </c>
      <c r="BT120" s="39" t="n">
        <f aca="false">IF(BT$4=0,0,IF(COUNTIFS(実績!$W$6:$W$505,BT$3,実績!$AI$6:$AI$505,"&lt;="&amp;$A120,実績!$AJ$6:$AJ$505,"&gt;"&amp;$A120,実績!$AK$6:$AK$505,"○")&gt;0,1,0))</f>
        <v>0</v>
      </c>
      <c r="BU120" s="39" t="n">
        <f aca="false">IF(BU$4=0,0,IF(COUNTIFS(実績!$W$6:$W$505,BU$3,実績!$AI$6:$AI$505,"&lt;="&amp;$A120,実績!$AJ$6:$AJ$505,"&gt;"&amp;$A120,実績!$AK$6:$AK$505,"○")&gt;0,1,0))</f>
        <v>0</v>
      </c>
      <c r="BV120" s="39" t="n">
        <f aca="false">IF(BV$4=0,0,IF(COUNTIFS(実績!$W$6:$W$505,BV$3,実績!$AI$6:$AI$505,"&lt;="&amp;$A120,実績!$AJ$6:$AJ$505,"&gt;"&amp;$A120,実績!$AK$6:$AK$505,"○")&gt;0,1,0))</f>
        <v>0</v>
      </c>
      <c r="BW120" s="39" t="n">
        <f aca="false">IF(BW$4=0,0,IF(COUNTIFS(実績!$W$6:$W$505,BW$3,実績!$AI$6:$AI$505,"&lt;="&amp;$A120,実績!$AJ$6:$AJ$505,"&gt;"&amp;$A120,実績!$AK$6:$AK$505,"○")&gt;0,1,0))</f>
        <v>0</v>
      </c>
      <c r="BX120" s="39" t="n">
        <f aca="false">IF(BX$4=0,0,IF(COUNTIFS(実績!$W$6:$W$505,BX$3,実績!$AI$6:$AI$505,"&lt;="&amp;$A120,実績!$AJ$6:$AJ$505,"&gt;"&amp;$A120,実績!$AK$6:$AK$505,"○")&gt;0,1,0))</f>
        <v>0</v>
      </c>
      <c r="BY120" s="39" t="n">
        <f aca="false">IF(BY$4=0,0,IF(COUNTIFS(実績!$W$6:$W$505,BY$3,実績!$AI$6:$AI$505,"&lt;="&amp;$A120,実績!$AJ$6:$AJ$505,"&gt;"&amp;$A120,実績!$AK$6:$AK$505,"○")&gt;0,1,0))</f>
        <v>0</v>
      </c>
      <c r="BZ120" s="39" t="n">
        <f aca="false">IF(BZ$4=0,0,IF(COUNTIFS(実績!$W$6:$W$505,BZ$3,実績!$AI$6:$AI$505,"&lt;="&amp;$A120,実績!$AJ$6:$AJ$505,"&gt;"&amp;$A120,実績!$AK$6:$AK$505,"○")&gt;0,1,0))</f>
        <v>0</v>
      </c>
      <c r="CA120" s="39" t="n">
        <f aca="false">IF(CA$4=0,0,IF(COUNTIFS(実績!$W$6:$W$505,CA$3,実績!$AI$6:$AI$505,"&lt;="&amp;$A120,実績!$AJ$6:$AJ$505,"&gt;"&amp;$A120,実績!$AK$6:$AK$505,"○")&gt;0,1,0))</f>
        <v>0</v>
      </c>
      <c r="CB120" s="39" t="n">
        <f aca="false">IF(CB$4=0,0,IF(COUNTIFS(実績!$W$6:$W$505,CB$3,実績!$AI$6:$AI$505,"&lt;="&amp;$A120,実績!$AJ$6:$AJ$505,"&gt;"&amp;$A120,実績!$AK$6:$AK$505,"○")&gt;0,1,0))</f>
        <v>0</v>
      </c>
      <c r="CC120" s="39" t="n">
        <f aca="false">IF(CC$4=0,0,IF(COUNTIFS(実績!$W$6:$W$505,CC$3,実績!$AI$6:$AI$505,"&lt;="&amp;$A120,実績!$AJ$6:$AJ$505,"&gt;"&amp;$A120,実績!$AK$6:$AK$505,"○")&gt;0,1,0))</f>
        <v>0</v>
      </c>
      <c r="CD120" s="39" t="n">
        <f aca="false">IF(CD$4=0,0,IF(COUNTIFS(実績!$W$6:$W$505,CD$3,実績!$AI$6:$AI$505,"&lt;="&amp;$A120,実績!$AJ$6:$AJ$505,"&gt;"&amp;$A120,実績!$AK$6:$AK$505,"○")&gt;0,1,0))</f>
        <v>0</v>
      </c>
      <c r="CE120" s="39" t="n">
        <f aca="false">IF(CE$4=0,0,IF(COUNTIFS(実績!$W$6:$W$505,CE$3,実績!$AI$6:$AI$505,"&lt;="&amp;$A120,実績!$AJ$6:$AJ$505,"&gt;"&amp;$A120,実績!$AK$6:$AK$505,"○")&gt;0,1,0))</f>
        <v>0</v>
      </c>
      <c r="CF120" s="39" t="n">
        <f aca="false">IF(CF$4=0,0,IF(COUNTIFS(実績!$W$6:$W$505,CF$3,実績!$AI$6:$AI$505,"&lt;="&amp;$A120,実績!$AJ$6:$AJ$505,"&gt;"&amp;$A120,実績!$AK$6:$AK$505,"○")&gt;0,1,0))</f>
        <v>0</v>
      </c>
      <c r="CG120" s="39" t="n">
        <f aca="false">IF(CG$4=0,0,IF(COUNTIFS(実績!$W$6:$W$505,CG$3,実績!$AI$6:$AI$505,"&lt;="&amp;$A120,実績!$AJ$6:$AJ$505,"&gt;"&amp;$A120,実績!$AK$6:$AK$505,"○")&gt;0,1,0))</f>
        <v>0</v>
      </c>
      <c r="CH120" s="39" t="n">
        <f aca="false">IF(CH$4=0,0,IF(COUNTIFS(実績!$W$6:$W$505,CH$3,実績!$AI$6:$AI$505,"&lt;="&amp;$A120,実績!$AJ$6:$AJ$505,"&gt;"&amp;$A120,実績!$AK$6:$AK$505,"○")&gt;0,1,0))</f>
        <v>0</v>
      </c>
      <c r="CI120" s="39" t="n">
        <f aca="false">IF(CI$4=0,0,IF(COUNTIFS(実績!$W$6:$W$505,CI$3,実績!$AI$6:$AI$505,"&lt;="&amp;$A120,実績!$AJ$6:$AJ$505,"&gt;"&amp;$A120,実績!$AK$6:$AK$505,"○")&gt;0,1,0))</f>
        <v>0</v>
      </c>
      <c r="CJ120" s="39" t="n">
        <f aca="false">IF(CJ$4=0,0,IF(COUNTIFS(実績!$W$6:$W$505,CJ$3,実績!$AI$6:$AI$505,"&lt;="&amp;$A120,実績!$AJ$6:$AJ$505,"&gt;"&amp;$A120,実績!$AK$6:$AK$505,"○")&gt;0,1,0))</f>
        <v>0</v>
      </c>
      <c r="CK120" s="39" t="n">
        <f aca="false">IF(CK$4=0,0,IF(COUNTIFS(実績!$W$6:$W$505,CK$3,実績!$AI$6:$AI$505,"&lt;="&amp;$A120,実績!$AJ$6:$AJ$505,"&gt;"&amp;$A120,実績!$AK$6:$AK$505,"○")&gt;0,1,0))</f>
        <v>0</v>
      </c>
      <c r="CL120" s="39" t="n">
        <f aca="false">IF(CL$4=0,0,IF(COUNTIFS(実績!$W$6:$W$505,CL$3,実績!$AI$6:$AI$505,"&lt;="&amp;$A120,実績!$AJ$6:$AJ$505,"&gt;"&amp;$A120,実績!$AK$6:$AK$505,"○")&gt;0,1,0))</f>
        <v>0</v>
      </c>
      <c r="CM120" s="39" t="n">
        <f aca="false">IF(CM$4=0,0,IF(COUNTIFS(実績!$W$6:$W$505,CM$3,実績!$AI$6:$AI$505,"&lt;="&amp;$A120,実績!$AJ$6:$AJ$505,"&gt;"&amp;$A120,実績!$AK$6:$AK$505,"○")&gt;0,1,0))</f>
        <v>0</v>
      </c>
      <c r="CN120" s="39" t="n">
        <f aca="false">IF(CN$4=0,0,IF(COUNTIFS(実績!$W$6:$W$505,CN$3,実績!$AI$6:$AI$505,"&lt;="&amp;$A120,実績!$AJ$6:$AJ$505,"&gt;"&amp;$A120,実績!$AK$6:$AK$505,"○")&gt;0,1,0))</f>
        <v>0</v>
      </c>
      <c r="CO120" s="39" t="n">
        <f aca="false">IF(CO$4=0,0,IF(COUNTIFS(実績!$W$6:$W$505,CO$3,実績!$AI$6:$AI$505,"&lt;="&amp;$A120,実績!$AJ$6:$AJ$505,"&gt;"&amp;$A120,実績!$AK$6:$AK$505,"○")&gt;0,1,0))</f>
        <v>0</v>
      </c>
      <c r="CP120" s="39" t="n">
        <f aca="false">IF(CP$4=0,0,IF(COUNTIFS(実績!$W$6:$W$505,CP$3,実績!$AI$6:$AI$505,"&lt;="&amp;$A120,実績!$AJ$6:$AJ$505,"&gt;"&amp;$A120,実績!$AK$6:$AK$505,"○")&gt;0,1,0))</f>
        <v>0</v>
      </c>
      <c r="CQ120" s="39" t="n">
        <f aca="false">IF(CQ$4=0,0,IF(COUNTIFS(実績!$W$6:$W$505,CQ$3,実績!$AI$6:$AI$505,"&lt;="&amp;$A120,実績!$AJ$6:$AJ$505,"&gt;"&amp;$A120,実績!$AK$6:$AK$505,"○")&gt;0,1,0))</f>
        <v>0</v>
      </c>
      <c r="CR120" s="39" t="n">
        <f aca="false">IF(CR$4=0,0,IF(COUNTIFS(実績!$W$6:$W$505,CR$3,実績!$AI$6:$AI$505,"&lt;="&amp;$A120,実績!$AJ$6:$AJ$505,"&gt;"&amp;$A120,実績!$AK$6:$AK$505,"○")&gt;0,1,0))</f>
        <v>0</v>
      </c>
      <c r="CS120" s="39" t="n">
        <f aca="false">IF(CS$4=0,0,IF(COUNTIFS(実績!$W$6:$W$505,CS$3,実績!$AI$6:$AI$505,"&lt;="&amp;$A120,実績!$AJ$6:$AJ$505,"&gt;"&amp;$A120,実績!$AK$6:$AK$505,"○")&gt;0,1,0))</f>
        <v>0</v>
      </c>
      <c r="CT120" s="39" t="n">
        <f aca="false">IF(CT$4=0,0,IF(COUNTIFS(実績!$W$6:$W$505,CT$3,実績!$AI$6:$AI$505,"&lt;="&amp;$A120,実績!$AJ$6:$AJ$505,"&gt;"&amp;$A120,実績!$AK$6:$AK$505,"○")&gt;0,1,0))</f>
        <v>0</v>
      </c>
      <c r="CU120" s="39" t="n">
        <f aca="false">IF(CU$4=0,0,IF(COUNTIFS(実績!$W$6:$W$505,CU$3,実績!$AI$6:$AI$505,"&lt;="&amp;$A120,実績!$AJ$6:$AJ$505,"&gt;"&amp;$A120,実績!$AK$6:$AK$505,"○")&gt;0,1,0))</f>
        <v>0</v>
      </c>
      <c r="CV120" s="39" t="n">
        <f aca="false">IF(CV$4=0,0,IF(COUNTIFS(実績!$W$6:$W$505,CV$3,実績!$AI$6:$AI$505,"&lt;="&amp;$A120,実績!$AJ$6:$AJ$505,"&gt;"&amp;$A120,実績!$AK$6:$AK$505,"○")&gt;0,1,0))</f>
        <v>0</v>
      </c>
      <c r="CW120" s="39" t="n">
        <f aca="false">IF(CW$4=0,0,IF(COUNTIFS(実績!$W$6:$W$505,CW$3,実績!$AI$6:$AI$505,"&lt;="&amp;$A120,実績!$AJ$6:$AJ$505,"&gt;"&amp;$A120,実績!$AK$6:$AK$505,"○")&gt;0,1,0))</f>
        <v>0</v>
      </c>
      <c r="CX120" s="39" t="n">
        <f aca="false">IF(CX$4=0,0,IF(COUNTIFS(実績!$W$6:$W$505,CX$3,実績!$AI$6:$AI$505,"&lt;="&amp;$A120,実績!$AJ$6:$AJ$505,"&gt;"&amp;$A120,実績!$AK$6:$AK$505,"○")&gt;0,1,0))</f>
        <v>0</v>
      </c>
      <c r="CY120" s="39" t="n">
        <f aca="false">IF(CY$4=0,0,IF(COUNTIFS(実績!$W$6:$W$505,CY$3,実績!$AI$6:$AI$505,"&lt;="&amp;$A120,実績!$AJ$6:$AJ$505,"&gt;"&amp;$A120,実績!$AK$6:$AK$505,"○")&gt;0,1,0))</f>
        <v>0</v>
      </c>
      <c r="CZ120" s="39" t="n">
        <f aca="false">IF(CZ$4=0,0,IF(COUNTIFS(実績!$W$6:$W$505,CZ$3,実績!$AI$6:$AI$505,"&lt;="&amp;$A120,実績!$AJ$6:$AJ$505,"&gt;"&amp;$A120,実績!$AK$6:$AK$505,"○")&gt;0,1,0))</f>
        <v>0</v>
      </c>
      <c r="DA120" s="39" t="n">
        <f aca="false">IF(DA$4=0,0,IF(COUNTIFS(実績!$W$6:$W$505,DA$3,実績!$AI$6:$AI$505,"&lt;="&amp;$A120,実績!$AJ$6:$AJ$505,"&gt;"&amp;$A120,実績!$AK$6:$AK$505,"○")&gt;0,1,0))</f>
        <v>0</v>
      </c>
      <c r="DB120" s="39" t="n">
        <f aca="false">IF(DB$4=0,0,IF(COUNTIFS(実績!$W$6:$W$505,DB$3,実績!$AI$6:$AI$505,"&lt;="&amp;$A120,実績!$AJ$6:$AJ$505,"&gt;"&amp;$A120,実績!$AK$6:$AK$505,"○")&gt;0,1,0))</f>
        <v>0</v>
      </c>
      <c r="DC120" s="39" t="n">
        <f aca="false">IF(DC$4=0,0,IF(COUNTIFS(実績!$W$6:$W$505,DC$3,実績!$AI$6:$AI$505,"&lt;="&amp;$A120,実績!$AJ$6:$AJ$505,"&gt;"&amp;$A120,実績!$AK$6:$AK$505,"○")&gt;0,1,0))</f>
        <v>0</v>
      </c>
      <c r="DD120" s="39" t="n">
        <f aca="false">IF(DD$4=0,0,IF(COUNTIFS(実績!$W$6:$W$505,DD$3,実績!$AI$6:$AI$505,"&lt;="&amp;$A120,実績!$AJ$6:$AJ$505,"&gt;"&amp;$A120,実績!$AK$6:$AK$505,"○")&gt;0,1,0))</f>
        <v>0</v>
      </c>
      <c r="DE120" s="39" t="n">
        <f aca="false">IF(DE$4=0,0,IF(COUNTIFS(実績!$W$6:$W$505,DE$3,実績!$AI$6:$AI$505,"&lt;="&amp;$A120,実績!$AJ$6:$AJ$505,"&gt;"&amp;$A120,実績!$AK$6:$AK$505,"○")&gt;0,1,0))</f>
        <v>0</v>
      </c>
      <c r="DF120" s="39" t="n">
        <f aca="false">IF(DF$4=0,0,IF(COUNTIFS(実績!$W$6:$W$505,DF$3,実績!$AI$6:$AI$505,"&lt;="&amp;$A120,実績!$AJ$6:$AJ$505,"&gt;"&amp;$A120,実績!$AK$6:$AK$505,"○")&gt;0,1,0))</f>
        <v>0</v>
      </c>
      <c r="DG120" s="39" t="n">
        <f aca="false">IF(DG$4=0,0,IF(COUNTIFS(実績!$W$6:$W$505,DG$3,実績!$AI$6:$AI$505,"&lt;="&amp;$A120,実績!$AJ$6:$AJ$505,"&gt;"&amp;$A120,実績!$AK$6:$AK$505,"○")&gt;0,1,0))</f>
        <v>0</v>
      </c>
      <c r="DH120" s="39" t="n">
        <f aca="false">IF(DH$4=0,0,IF(COUNTIFS(実績!$W$6:$W$505,DH$3,実績!$AI$6:$AI$505,"&lt;="&amp;$A120,実績!$AJ$6:$AJ$505,"&gt;"&amp;$A120,実績!$AK$6:$AK$505,"○")&gt;0,1,0))</f>
        <v>0</v>
      </c>
      <c r="DI120" s="39" t="n">
        <f aca="false">IF(DI$4=0,0,IF(COUNTIFS(実績!$W$6:$W$505,DI$3,実績!$AI$6:$AI$505,"&lt;="&amp;$A120,実績!$AJ$6:$AJ$505,"&gt;"&amp;$A120,実績!$AK$6:$AK$505,"○")&gt;0,1,0))</f>
        <v>0</v>
      </c>
      <c r="DJ120" s="39" t="n">
        <f aca="false">IF(DJ$4=0,0,IF(COUNTIFS(実績!$W$6:$W$505,DJ$3,実績!$AI$6:$AI$505,"&lt;="&amp;$A120,実績!$AJ$6:$AJ$505,"&gt;"&amp;$A120,実績!$AK$6:$AK$505,"○")&gt;0,1,0))</f>
        <v>0</v>
      </c>
      <c r="DK120" s="39" t="n">
        <f aca="false">IF(DK$4=0,0,IF(COUNTIFS(実績!$W$6:$W$505,DK$3,実績!$AI$6:$AI$505,"&lt;="&amp;$A120,実績!$AJ$6:$AJ$505,"&gt;"&amp;$A120,実績!$AK$6:$AK$505,"○")&gt;0,1,0))</f>
        <v>0</v>
      </c>
      <c r="DL120" s="39" t="n">
        <f aca="false">IF(DL$4=0,0,IF(COUNTIFS(実績!$W$6:$W$505,DL$3,実績!$AI$6:$AI$505,"&lt;="&amp;$A120,実績!$AJ$6:$AJ$505,"&gt;"&amp;$A120,実績!$AK$6:$AK$505,"○")&gt;0,1,0))</f>
        <v>0</v>
      </c>
      <c r="DM120" s="39" t="n">
        <f aca="false">IF(DM$4=0,0,IF(COUNTIFS(実績!$W$6:$W$505,DM$3,実績!$AI$6:$AI$505,"&lt;="&amp;$A120,実績!$AJ$6:$AJ$505,"&gt;"&amp;$A120,実績!$AK$6:$AK$505,"○")&gt;0,1,0))</f>
        <v>0</v>
      </c>
      <c r="DN120" s="39" t="n">
        <f aca="false">IF(DN$4=0,0,IF(COUNTIFS(実績!$W$6:$W$505,DN$3,実績!$AI$6:$AI$505,"&lt;="&amp;$A120,実績!$AJ$6:$AJ$505,"&gt;"&amp;$A120,実績!$AK$6:$AK$505,"○")&gt;0,1,0))</f>
        <v>0</v>
      </c>
      <c r="DO120" s="39" t="n">
        <f aca="false">IF(DO$4=0,0,IF(COUNTIFS(実績!$W$6:$W$505,DO$3,実績!$AI$6:$AI$505,"&lt;="&amp;$A120,実績!$AJ$6:$AJ$505,"&gt;"&amp;$A120,実績!$AK$6:$AK$505,"○")&gt;0,1,0))</f>
        <v>0</v>
      </c>
      <c r="DP120" s="39" t="n">
        <f aca="false">IF(DP$4=0,0,IF(COUNTIFS(実績!$W$6:$W$505,DP$3,実績!$AI$6:$AI$505,"&lt;="&amp;$A120,実績!$AJ$6:$AJ$505,"&gt;"&amp;$A120,実績!$AK$6:$AK$505,"○")&gt;0,1,0))</f>
        <v>0</v>
      </c>
      <c r="DQ120" s="39" t="n">
        <f aca="false">IF(DQ$4=0,0,IF(COUNTIFS(実績!$W$6:$W$505,DQ$3,実績!$AI$6:$AI$505,"&lt;="&amp;$A120,実績!$AJ$6:$AJ$505,"&gt;"&amp;$A120,実績!$AK$6:$AK$505,"○")&gt;0,1,0))</f>
        <v>0</v>
      </c>
      <c r="DR120" s="39" t="n">
        <f aca="false">IF(DR$4=0,0,IF(COUNTIFS(実績!$W$6:$W$505,DR$3,実績!$AI$6:$AI$505,"&lt;="&amp;$A120,実績!$AJ$6:$AJ$505,"&gt;"&amp;$A120,実績!$AK$6:$AK$505,"○")&gt;0,1,0))</f>
        <v>0</v>
      </c>
      <c r="DS120" s="39" t="n">
        <f aca="false">SUM(C120:DR120)</f>
        <v>0</v>
      </c>
      <c r="DT120" s="39" t="n">
        <f aca="false">SUMPRODUCT((実績!$C$6:$C$505="○")*ISNUMBER(実績!$AM$6:$AM$505)*(実績!$AM$6:$AM$505&lt;=$A120)*(実績!$AN$6:$AN$505&gt;$A120))</f>
        <v>0</v>
      </c>
      <c r="DU120" s="39" t="n">
        <f aca="false">SUMIF($C$2:$DR$2,"製鉄曳船",C120:DR120)</f>
        <v>0</v>
      </c>
      <c r="DV120" s="39" t="n">
        <f aca="false">SUMIF($C$2:$DR$2,"西日本海運",C120:DR120)</f>
        <v>0</v>
      </c>
    </row>
    <row r="121" customFormat="false" ht="15" hidden="false" customHeight="false" outlineLevel="0" collapsed="false">
      <c r="A121" s="0" t="n">
        <v>575</v>
      </c>
      <c r="B121" s="38" t="n">
        <f aca="false">A121/1440</f>
        <v>0.399305555555556</v>
      </c>
      <c r="C121" s="39" t="n">
        <f aca="false">IF(C$4=0,0,IF(COUNTIFS(実績!$W$6:$W$505,C$3,実績!$AI$6:$AI$505,"&lt;="&amp;$A121,実績!$AJ$6:$AJ$505,"&gt;"&amp;$A121,実績!$AK$6:$AK$505,"○")&gt;0,1,0))</f>
        <v>0</v>
      </c>
      <c r="D121" s="39" t="n">
        <f aca="false">IF(D$4=0,0,IF(COUNTIFS(実績!$W$6:$W$505,D$3,実績!$AI$6:$AI$505,"&lt;="&amp;$A121,実績!$AJ$6:$AJ$505,"&gt;"&amp;$A121,実績!$AK$6:$AK$505,"○")&gt;0,1,0))</f>
        <v>0</v>
      </c>
      <c r="E121" s="39" t="n">
        <f aca="false">IF(E$4=0,0,IF(COUNTIFS(実績!$W$6:$W$505,E$3,実績!$AI$6:$AI$505,"&lt;="&amp;$A121,実績!$AJ$6:$AJ$505,"&gt;"&amp;$A121,実績!$AK$6:$AK$505,"○")&gt;0,1,0))</f>
        <v>0</v>
      </c>
      <c r="F121" s="39" t="n">
        <f aca="false">IF(F$4=0,0,IF(COUNTIFS(実績!$W$6:$W$505,F$3,実績!$AI$6:$AI$505,"&lt;="&amp;$A121,実績!$AJ$6:$AJ$505,"&gt;"&amp;$A121,実績!$AK$6:$AK$505,"○")&gt;0,1,0))</f>
        <v>0</v>
      </c>
      <c r="G121" s="39" t="n">
        <f aca="false">IF(G$4=0,0,IF(COUNTIFS(実績!$W$6:$W$505,G$3,実績!$AI$6:$AI$505,"&lt;="&amp;$A121,実績!$AJ$6:$AJ$505,"&gt;"&amp;$A121,実績!$AK$6:$AK$505,"○")&gt;0,1,0))</f>
        <v>0</v>
      </c>
      <c r="H121" s="39" t="n">
        <f aca="false">IF(H$4=0,0,IF(COUNTIFS(実績!$W$6:$W$505,H$3,実績!$AI$6:$AI$505,"&lt;="&amp;$A121,実績!$AJ$6:$AJ$505,"&gt;"&amp;$A121,実績!$AK$6:$AK$505,"○")&gt;0,1,0))</f>
        <v>0</v>
      </c>
      <c r="I121" s="39" t="n">
        <f aca="false">IF(I$4=0,0,IF(COUNTIFS(実績!$W$6:$W$505,I$3,実績!$AI$6:$AI$505,"&lt;="&amp;$A121,実績!$AJ$6:$AJ$505,"&gt;"&amp;$A121,実績!$AK$6:$AK$505,"○")&gt;0,1,0))</f>
        <v>0</v>
      </c>
      <c r="J121" s="39" t="n">
        <f aca="false">IF(J$4=0,0,IF(COUNTIFS(実績!$W$6:$W$505,J$3,実績!$AI$6:$AI$505,"&lt;="&amp;$A121,実績!$AJ$6:$AJ$505,"&gt;"&amp;$A121,実績!$AK$6:$AK$505,"○")&gt;0,1,0))</f>
        <v>0</v>
      </c>
      <c r="K121" s="39" t="n">
        <f aca="false">IF(K$4=0,0,IF(COUNTIFS(実績!$W$6:$W$505,K$3,実績!$AI$6:$AI$505,"&lt;="&amp;$A121,実績!$AJ$6:$AJ$505,"&gt;"&amp;$A121,実績!$AK$6:$AK$505,"○")&gt;0,1,0))</f>
        <v>0</v>
      </c>
      <c r="L121" s="39" t="n">
        <f aca="false">IF(L$4=0,0,IF(COUNTIFS(実績!$W$6:$W$505,L$3,実績!$AI$6:$AI$505,"&lt;="&amp;$A121,実績!$AJ$6:$AJ$505,"&gt;"&amp;$A121,実績!$AK$6:$AK$505,"○")&gt;0,1,0))</f>
        <v>0</v>
      </c>
      <c r="M121" s="39" t="n">
        <f aca="false">IF(M$4=0,0,IF(COUNTIFS(実績!$W$6:$W$505,M$3,実績!$AI$6:$AI$505,"&lt;="&amp;$A121,実績!$AJ$6:$AJ$505,"&gt;"&amp;$A121,実績!$AK$6:$AK$505,"○")&gt;0,1,0))</f>
        <v>0</v>
      </c>
      <c r="N121" s="39" t="n">
        <f aca="false">IF(N$4=0,0,IF(COUNTIFS(実績!$W$6:$W$505,N$3,実績!$AI$6:$AI$505,"&lt;="&amp;$A121,実績!$AJ$6:$AJ$505,"&gt;"&amp;$A121,実績!$AK$6:$AK$505,"○")&gt;0,1,0))</f>
        <v>0</v>
      </c>
      <c r="O121" s="39" t="n">
        <f aca="false">IF(O$4=0,0,IF(COUNTIFS(実績!$W$6:$W$505,O$3,実績!$AI$6:$AI$505,"&lt;="&amp;$A121,実績!$AJ$6:$AJ$505,"&gt;"&amp;$A121,実績!$AK$6:$AK$505,"○")&gt;0,1,0))</f>
        <v>0</v>
      </c>
      <c r="P121" s="39" t="n">
        <f aca="false">IF(P$4=0,0,IF(COUNTIFS(実績!$W$6:$W$505,P$3,実績!$AI$6:$AI$505,"&lt;="&amp;$A121,実績!$AJ$6:$AJ$505,"&gt;"&amp;$A121,実績!$AK$6:$AK$505,"○")&gt;0,1,0))</f>
        <v>0</v>
      </c>
      <c r="Q121" s="39" t="n">
        <f aca="false">IF(Q$4=0,0,IF(COUNTIFS(実績!$W$6:$W$505,Q$3,実績!$AI$6:$AI$505,"&lt;="&amp;$A121,実績!$AJ$6:$AJ$505,"&gt;"&amp;$A121,実績!$AK$6:$AK$505,"○")&gt;0,1,0))</f>
        <v>0</v>
      </c>
      <c r="R121" s="39" t="n">
        <f aca="false">IF(R$4=0,0,IF(COUNTIFS(実績!$W$6:$W$505,R$3,実績!$AI$6:$AI$505,"&lt;="&amp;$A121,実績!$AJ$6:$AJ$505,"&gt;"&amp;$A121,実績!$AK$6:$AK$505,"○")&gt;0,1,0))</f>
        <v>0</v>
      </c>
      <c r="S121" s="39" t="n">
        <f aca="false">IF(S$4=0,0,IF(COUNTIFS(実績!$W$6:$W$505,S$3,実績!$AI$6:$AI$505,"&lt;="&amp;$A121,実績!$AJ$6:$AJ$505,"&gt;"&amp;$A121,実績!$AK$6:$AK$505,"○")&gt;0,1,0))</f>
        <v>0</v>
      </c>
      <c r="T121" s="39" t="n">
        <f aca="false">IF(T$4=0,0,IF(COUNTIFS(実績!$W$6:$W$505,T$3,実績!$AI$6:$AI$505,"&lt;="&amp;$A121,実績!$AJ$6:$AJ$505,"&gt;"&amp;$A121,実績!$AK$6:$AK$505,"○")&gt;0,1,0))</f>
        <v>0</v>
      </c>
      <c r="U121" s="39" t="n">
        <f aca="false">IF(U$4=0,0,IF(COUNTIFS(実績!$W$6:$W$505,U$3,実績!$AI$6:$AI$505,"&lt;="&amp;$A121,実績!$AJ$6:$AJ$505,"&gt;"&amp;$A121,実績!$AK$6:$AK$505,"○")&gt;0,1,0))</f>
        <v>0</v>
      </c>
      <c r="V121" s="39" t="n">
        <f aca="false">IF(V$4=0,0,IF(COUNTIFS(実績!$W$6:$W$505,V$3,実績!$AI$6:$AI$505,"&lt;="&amp;$A121,実績!$AJ$6:$AJ$505,"&gt;"&amp;$A121,実績!$AK$6:$AK$505,"○")&gt;0,1,0))</f>
        <v>0</v>
      </c>
      <c r="W121" s="39" t="n">
        <f aca="false">IF(W$4=0,0,IF(COUNTIFS(実績!$W$6:$W$505,W$3,実績!$AI$6:$AI$505,"&lt;="&amp;$A121,実績!$AJ$6:$AJ$505,"&gt;"&amp;$A121,実績!$AK$6:$AK$505,"○")&gt;0,1,0))</f>
        <v>0</v>
      </c>
      <c r="X121" s="39" t="n">
        <f aca="false">IF(X$4=0,0,IF(COUNTIFS(実績!$W$6:$W$505,X$3,実績!$AI$6:$AI$505,"&lt;="&amp;$A121,実績!$AJ$6:$AJ$505,"&gt;"&amp;$A121,実績!$AK$6:$AK$505,"○")&gt;0,1,0))</f>
        <v>0</v>
      </c>
      <c r="Y121" s="39" t="n">
        <f aca="false">IF(Y$4=0,0,IF(COUNTIFS(実績!$W$6:$W$505,Y$3,実績!$AI$6:$AI$505,"&lt;="&amp;$A121,実績!$AJ$6:$AJ$505,"&gt;"&amp;$A121,実績!$AK$6:$AK$505,"○")&gt;0,1,0))</f>
        <v>0</v>
      </c>
      <c r="Z121" s="39" t="n">
        <f aca="false">IF(Z$4=0,0,IF(COUNTIFS(実績!$W$6:$W$505,Z$3,実績!$AI$6:$AI$505,"&lt;="&amp;$A121,実績!$AJ$6:$AJ$505,"&gt;"&amp;$A121,実績!$AK$6:$AK$505,"○")&gt;0,1,0))</f>
        <v>0</v>
      </c>
      <c r="AA121" s="39" t="n">
        <f aca="false">IF(AA$4=0,0,IF(COUNTIFS(実績!$W$6:$W$505,AA$3,実績!$AI$6:$AI$505,"&lt;="&amp;$A121,実績!$AJ$6:$AJ$505,"&gt;"&amp;$A121,実績!$AK$6:$AK$505,"○")&gt;0,1,0))</f>
        <v>0</v>
      </c>
      <c r="AB121" s="39" t="n">
        <f aca="false">IF(AB$4=0,0,IF(COUNTIFS(実績!$W$6:$W$505,AB$3,実績!$AI$6:$AI$505,"&lt;="&amp;$A121,実績!$AJ$6:$AJ$505,"&gt;"&amp;$A121,実績!$AK$6:$AK$505,"○")&gt;0,1,0))</f>
        <v>0</v>
      </c>
      <c r="AC121" s="39" t="n">
        <f aca="false">IF(AC$4=0,0,IF(COUNTIFS(実績!$W$6:$W$505,AC$3,実績!$AI$6:$AI$505,"&lt;="&amp;$A121,実績!$AJ$6:$AJ$505,"&gt;"&amp;$A121,実績!$AK$6:$AK$505,"○")&gt;0,1,0))</f>
        <v>0</v>
      </c>
      <c r="AD121" s="39" t="n">
        <f aca="false">IF(AD$4=0,0,IF(COUNTIFS(実績!$W$6:$W$505,AD$3,実績!$AI$6:$AI$505,"&lt;="&amp;$A121,実績!$AJ$6:$AJ$505,"&gt;"&amp;$A121,実績!$AK$6:$AK$505,"○")&gt;0,1,0))</f>
        <v>0</v>
      </c>
      <c r="AE121" s="39" t="n">
        <f aca="false">IF(AE$4=0,0,IF(COUNTIFS(実績!$W$6:$W$505,AE$3,実績!$AI$6:$AI$505,"&lt;="&amp;$A121,実績!$AJ$6:$AJ$505,"&gt;"&amp;$A121,実績!$AK$6:$AK$505,"○")&gt;0,1,0))</f>
        <v>0</v>
      </c>
      <c r="AF121" s="39" t="n">
        <f aca="false">IF(AF$4=0,0,IF(COUNTIFS(実績!$W$6:$W$505,AF$3,実績!$AI$6:$AI$505,"&lt;="&amp;$A121,実績!$AJ$6:$AJ$505,"&gt;"&amp;$A121,実績!$AK$6:$AK$505,"○")&gt;0,1,0))</f>
        <v>0</v>
      </c>
      <c r="AG121" s="39" t="n">
        <f aca="false">IF(AG$4=0,0,IF(COUNTIFS(実績!$W$6:$W$505,AG$3,実績!$AI$6:$AI$505,"&lt;="&amp;$A121,実績!$AJ$6:$AJ$505,"&gt;"&amp;$A121,実績!$AK$6:$AK$505,"○")&gt;0,1,0))</f>
        <v>0</v>
      </c>
      <c r="AH121" s="39" t="n">
        <f aca="false">IF(AH$4=0,0,IF(COUNTIFS(実績!$W$6:$W$505,AH$3,実績!$AI$6:$AI$505,"&lt;="&amp;$A121,実績!$AJ$6:$AJ$505,"&gt;"&amp;$A121,実績!$AK$6:$AK$505,"○")&gt;0,1,0))</f>
        <v>0</v>
      </c>
      <c r="AI121" s="39" t="n">
        <f aca="false">IF(AI$4=0,0,IF(COUNTIFS(実績!$W$6:$W$505,AI$3,実績!$AI$6:$AI$505,"&lt;="&amp;$A121,実績!$AJ$6:$AJ$505,"&gt;"&amp;$A121,実績!$AK$6:$AK$505,"○")&gt;0,1,0))</f>
        <v>0</v>
      </c>
      <c r="AJ121" s="39" t="n">
        <f aca="false">IF(AJ$4=0,0,IF(COUNTIFS(実績!$W$6:$W$505,AJ$3,実績!$AI$6:$AI$505,"&lt;="&amp;$A121,実績!$AJ$6:$AJ$505,"&gt;"&amp;$A121,実績!$AK$6:$AK$505,"○")&gt;0,1,0))</f>
        <v>0</v>
      </c>
      <c r="AK121" s="39" t="n">
        <f aca="false">IF(AK$4=0,0,IF(COUNTIFS(実績!$W$6:$W$505,AK$3,実績!$AI$6:$AI$505,"&lt;="&amp;$A121,実績!$AJ$6:$AJ$505,"&gt;"&amp;$A121,実績!$AK$6:$AK$505,"○")&gt;0,1,0))</f>
        <v>0</v>
      </c>
      <c r="AL121" s="39" t="n">
        <f aca="false">IF(AL$4=0,0,IF(COUNTIFS(実績!$W$6:$W$505,AL$3,実績!$AI$6:$AI$505,"&lt;="&amp;$A121,実績!$AJ$6:$AJ$505,"&gt;"&amp;$A121,実績!$AK$6:$AK$505,"○")&gt;0,1,0))</f>
        <v>0</v>
      </c>
      <c r="AM121" s="39" t="n">
        <f aca="false">IF(AM$4=0,0,IF(COUNTIFS(実績!$W$6:$W$505,AM$3,実績!$AI$6:$AI$505,"&lt;="&amp;$A121,実績!$AJ$6:$AJ$505,"&gt;"&amp;$A121,実績!$AK$6:$AK$505,"○")&gt;0,1,0))</f>
        <v>0</v>
      </c>
      <c r="AN121" s="39" t="n">
        <f aca="false">IF(AN$4=0,0,IF(COUNTIFS(実績!$W$6:$W$505,AN$3,実績!$AI$6:$AI$505,"&lt;="&amp;$A121,実績!$AJ$6:$AJ$505,"&gt;"&amp;$A121,実績!$AK$6:$AK$505,"○")&gt;0,1,0))</f>
        <v>0</v>
      </c>
      <c r="AO121" s="39" t="n">
        <f aca="false">IF(AO$4=0,0,IF(COUNTIFS(実績!$W$6:$W$505,AO$3,実績!$AI$6:$AI$505,"&lt;="&amp;$A121,実績!$AJ$6:$AJ$505,"&gt;"&amp;$A121,実績!$AK$6:$AK$505,"○")&gt;0,1,0))</f>
        <v>0</v>
      </c>
      <c r="AP121" s="39" t="n">
        <f aca="false">IF(AP$4=0,0,IF(COUNTIFS(実績!$W$6:$W$505,AP$3,実績!$AI$6:$AI$505,"&lt;="&amp;$A121,実績!$AJ$6:$AJ$505,"&gt;"&amp;$A121,実績!$AK$6:$AK$505,"○")&gt;0,1,0))</f>
        <v>0</v>
      </c>
      <c r="AQ121" s="39" t="n">
        <f aca="false">IF(AQ$4=0,0,IF(COUNTIFS(実績!$W$6:$W$505,AQ$3,実績!$AI$6:$AI$505,"&lt;="&amp;$A121,実績!$AJ$6:$AJ$505,"&gt;"&amp;$A121,実績!$AK$6:$AK$505,"○")&gt;0,1,0))</f>
        <v>0</v>
      </c>
      <c r="AR121" s="39" t="n">
        <f aca="false">IF(AR$4=0,0,IF(COUNTIFS(実績!$W$6:$W$505,AR$3,実績!$AI$6:$AI$505,"&lt;="&amp;$A121,実績!$AJ$6:$AJ$505,"&gt;"&amp;$A121,実績!$AK$6:$AK$505,"○")&gt;0,1,0))</f>
        <v>0</v>
      </c>
      <c r="AS121" s="39" t="n">
        <f aca="false">IF(AS$4=0,0,IF(COUNTIFS(実績!$W$6:$W$505,AS$3,実績!$AI$6:$AI$505,"&lt;="&amp;$A121,実績!$AJ$6:$AJ$505,"&gt;"&amp;$A121,実績!$AK$6:$AK$505,"○")&gt;0,1,0))</f>
        <v>0</v>
      </c>
      <c r="AT121" s="39" t="n">
        <f aca="false">IF(AT$4=0,0,IF(COUNTIFS(実績!$W$6:$W$505,AT$3,実績!$AI$6:$AI$505,"&lt;="&amp;$A121,実績!$AJ$6:$AJ$505,"&gt;"&amp;$A121,実績!$AK$6:$AK$505,"○")&gt;0,1,0))</f>
        <v>0</v>
      </c>
      <c r="AU121" s="39" t="n">
        <f aca="false">IF(AU$4=0,0,IF(COUNTIFS(実績!$W$6:$W$505,AU$3,実績!$AI$6:$AI$505,"&lt;="&amp;$A121,実績!$AJ$6:$AJ$505,"&gt;"&amp;$A121,実績!$AK$6:$AK$505,"○")&gt;0,1,0))</f>
        <v>0</v>
      </c>
      <c r="AV121" s="39" t="n">
        <f aca="false">IF(AV$4=0,0,IF(COUNTIFS(実績!$W$6:$W$505,AV$3,実績!$AI$6:$AI$505,"&lt;="&amp;$A121,実績!$AJ$6:$AJ$505,"&gt;"&amp;$A121,実績!$AK$6:$AK$505,"○")&gt;0,1,0))</f>
        <v>0</v>
      </c>
      <c r="AW121" s="39" t="n">
        <f aca="false">IF(AW$4=0,0,IF(COUNTIFS(実績!$W$6:$W$505,AW$3,実績!$AI$6:$AI$505,"&lt;="&amp;$A121,実績!$AJ$6:$AJ$505,"&gt;"&amp;$A121,実績!$AK$6:$AK$505,"○")&gt;0,1,0))</f>
        <v>0</v>
      </c>
      <c r="AX121" s="39" t="n">
        <f aca="false">IF(AX$4=0,0,IF(COUNTIFS(実績!$W$6:$W$505,AX$3,実績!$AI$6:$AI$505,"&lt;="&amp;$A121,実績!$AJ$6:$AJ$505,"&gt;"&amp;$A121,実績!$AK$6:$AK$505,"○")&gt;0,1,0))</f>
        <v>0</v>
      </c>
      <c r="AY121" s="39" t="n">
        <f aca="false">IF(AY$4=0,0,IF(COUNTIFS(実績!$W$6:$W$505,AY$3,実績!$AI$6:$AI$505,"&lt;="&amp;$A121,実績!$AJ$6:$AJ$505,"&gt;"&amp;$A121,実績!$AK$6:$AK$505,"○")&gt;0,1,0))</f>
        <v>0</v>
      </c>
      <c r="AZ121" s="39" t="n">
        <f aca="false">IF(AZ$4=0,0,IF(COUNTIFS(実績!$W$6:$W$505,AZ$3,実績!$AI$6:$AI$505,"&lt;="&amp;$A121,実績!$AJ$6:$AJ$505,"&gt;"&amp;$A121,実績!$AK$6:$AK$505,"○")&gt;0,1,0))</f>
        <v>0</v>
      </c>
      <c r="BA121" s="39" t="n">
        <f aca="false">IF(BA$4=0,0,IF(COUNTIFS(実績!$W$6:$W$505,BA$3,実績!$AI$6:$AI$505,"&lt;="&amp;$A121,実績!$AJ$6:$AJ$505,"&gt;"&amp;$A121,実績!$AK$6:$AK$505,"○")&gt;0,1,0))</f>
        <v>0</v>
      </c>
      <c r="BB121" s="39" t="n">
        <f aca="false">IF(BB$4=0,0,IF(COUNTIFS(実績!$W$6:$W$505,BB$3,実績!$AI$6:$AI$505,"&lt;="&amp;$A121,実績!$AJ$6:$AJ$505,"&gt;"&amp;$A121,実績!$AK$6:$AK$505,"○")&gt;0,1,0))</f>
        <v>0</v>
      </c>
      <c r="BC121" s="39" t="n">
        <f aca="false">IF(BC$4=0,0,IF(COUNTIFS(実績!$W$6:$W$505,BC$3,実績!$AI$6:$AI$505,"&lt;="&amp;$A121,実績!$AJ$6:$AJ$505,"&gt;"&amp;$A121,実績!$AK$6:$AK$505,"○")&gt;0,1,0))</f>
        <v>0</v>
      </c>
      <c r="BD121" s="39" t="n">
        <f aca="false">IF(BD$4=0,0,IF(COUNTIFS(実績!$W$6:$W$505,BD$3,実績!$AI$6:$AI$505,"&lt;="&amp;$A121,実績!$AJ$6:$AJ$505,"&gt;"&amp;$A121,実績!$AK$6:$AK$505,"○")&gt;0,1,0))</f>
        <v>0</v>
      </c>
      <c r="BE121" s="39" t="n">
        <f aca="false">IF(BE$4=0,0,IF(COUNTIFS(実績!$W$6:$W$505,BE$3,実績!$AI$6:$AI$505,"&lt;="&amp;$A121,実績!$AJ$6:$AJ$505,"&gt;"&amp;$A121,実績!$AK$6:$AK$505,"○")&gt;0,1,0))</f>
        <v>0</v>
      </c>
      <c r="BF121" s="39" t="n">
        <f aca="false">IF(BF$4=0,0,IF(COUNTIFS(実績!$W$6:$W$505,BF$3,実績!$AI$6:$AI$505,"&lt;="&amp;$A121,実績!$AJ$6:$AJ$505,"&gt;"&amp;$A121,実績!$AK$6:$AK$505,"○")&gt;0,1,0))</f>
        <v>0</v>
      </c>
      <c r="BG121" s="39" t="n">
        <f aca="false">IF(BG$4=0,0,IF(COUNTIFS(実績!$W$6:$W$505,BG$3,実績!$AI$6:$AI$505,"&lt;="&amp;$A121,実績!$AJ$6:$AJ$505,"&gt;"&amp;$A121,実績!$AK$6:$AK$505,"○")&gt;0,1,0))</f>
        <v>0</v>
      </c>
      <c r="BH121" s="39" t="n">
        <f aca="false">IF(BH$4=0,0,IF(COUNTIFS(実績!$W$6:$W$505,BH$3,実績!$AI$6:$AI$505,"&lt;="&amp;$A121,実績!$AJ$6:$AJ$505,"&gt;"&amp;$A121,実績!$AK$6:$AK$505,"○")&gt;0,1,0))</f>
        <v>0</v>
      </c>
      <c r="BI121" s="39" t="n">
        <f aca="false">IF(BI$4=0,0,IF(COUNTIFS(実績!$W$6:$W$505,BI$3,実績!$AI$6:$AI$505,"&lt;="&amp;$A121,実績!$AJ$6:$AJ$505,"&gt;"&amp;$A121,実績!$AK$6:$AK$505,"○")&gt;0,1,0))</f>
        <v>0</v>
      </c>
      <c r="BJ121" s="39" t="n">
        <f aca="false">IF(BJ$4=0,0,IF(COUNTIFS(実績!$W$6:$W$505,BJ$3,実績!$AI$6:$AI$505,"&lt;="&amp;$A121,実績!$AJ$6:$AJ$505,"&gt;"&amp;$A121,実績!$AK$6:$AK$505,"○")&gt;0,1,0))</f>
        <v>0</v>
      </c>
      <c r="BK121" s="39" t="n">
        <f aca="false">IF(BK$4=0,0,IF(COUNTIFS(実績!$W$6:$W$505,BK$3,実績!$AI$6:$AI$505,"&lt;="&amp;$A121,実績!$AJ$6:$AJ$505,"&gt;"&amp;$A121,実績!$AK$6:$AK$505,"○")&gt;0,1,0))</f>
        <v>0</v>
      </c>
      <c r="BL121" s="39" t="n">
        <f aca="false">IF(BL$4=0,0,IF(COUNTIFS(実績!$W$6:$W$505,BL$3,実績!$AI$6:$AI$505,"&lt;="&amp;$A121,実績!$AJ$6:$AJ$505,"&gt;"&amp;$A121,実績!$AK$6:$AK$505,"○")&gt;0,1,0))</f>
        <v>0</v>
      </c>
      <c r="BM121" s="39" t="n">
        <f aca="false">IF(BM$4=0,0,IF(COUNTIFS(実績!$W$6:$W$505,BM$3,実績!$AI$6:$AI$505,"&lt;="&amp;$A121,実績!$AJ$6:$AJ$505,"&gt;"&amp;$A121,実績!$AK$6:$AK$505,"○")&gt;0,1,0))</f>
        <v>0</v>
      </c>
      <c r="BN121" s="39" t="n">
        <f aca="false">IF(BN$4=0,0,IF(COUNTIFS(実績!$W$6:$W$505,BN$3,実績!$AI$6:$AI$505,"&lt;="&amp;$A121,実績!$AJ$6:$AJ$505,"&gt;"&amp;$A121,実績!$AK$6:$AK$505,"○")&gt;0,1,0))</f>
        <v>0</v>
      </c>
      <c r="BO121" s="39" t="n">
        <f aca="false">IF(BO$4=0,0,IF(COUNTIFS(実績!$W$6:$W$505,BO$3,実績!$AI$6:$AI$505,"&lt;="&amp;$A121,実績!$AJ$6:$AJ$505,"&gt;"&amp;$A121,実績!$AK$6:$AK$505,"○")&gt;0,1,0))</f>
        <v>0</v>
      </c>
      <c r="BP121" s="39" t="n">
        <f aca="false">IF(BP$4=0,0,IF(COUNTIFS(実績!$W$6:$W$505,BP$3,実績!$AI$6:$AI$505,"&lt;="&amp;$A121,実績!$AJ$6:$AJ$505,"&gt;"&amp;$A121,実績!$AK$6:$AK$505,"○")&gt;0,1,0))</f>
        <v>0</v>
      </c>
      <c r="BQ121" s="39" t="n">
        <f aca="false">IF(BQ$4=0,0,IF(COUNTIFS(実績!$W$6:$W$505,BQ$3,実績!$AI$6:$AI$505,"&lt;="&amp;$A121,実績!$AJ$6:$AJ$505,"&gt;"&amp;$A121,実績!$AK$6:$AK$505,"○")&gt;0,1,0))</f>
        <v>0</v>
      </c>
      <c r="BR121" s="39" t="n">
        <f aca="false">IF(BR$4=0,0,IF(COUNTIFS(実績!$W$6:$W$505,BR$3,実績!$AI$6:$AI$505,"&lt;="&amp;$A121,実績!$AJ$6:$AJ$505,"&gt;"&amp;$A121,実績!$AK$6:$AK$505,"○")&gt;0,1,0))</f>
        <v>0</v>
      </c>
      <c r="BS121" s="39" t="n">
        <f aca="false">IF(BS$4=0,0,IF(COUNTIFS(実績!$W$6:$W$505,BS$3,実績!$AI$6:$AI$505,"&lt;="&amp;$A121,実績!$AJ$6:$AJ$505,"&gt;"&amp;$A121,実績!$AK$6:$AK$505,"○")&gt;0,1,0))</f>
        <v>0</v>
      </c>
      <c r="BT121" s="39" t="n">
        <f aca="false">IF(BT$4=0,0,IF(COUNTIFS(実績!$W$6:$W$505,BT$3,実績!$AI$6:$AI$505,"&lt;="&amp;$A121,実績!$AJ$6:$AJ$505,"&gt;"&amp;$A121,実績!$AK$6:$AK$505,"○")&gt;0,1,0))</f>
        <v>0</v>
      </c>
      <c r="BU121" s="39" t="n">
        <f aca="false">IF(BU$4=0,0,IF(COUNTIFS(実績!$W$6:$W$505,BU$3,実績!$AI$6:$AI$505,"&lt;="&amp;$A121,実績!$AJ$6:$AJ$505,"&gt;"&amp;$A121,実績!$AK$6:$AK$505,"○")&gt;0,1,0))</f>
        <v>0</v>
      </c>
      <c r="BV121" s="39" t="n">
        <f aca="false">IF(BV$4=0,0,IF(COUNTIFS(実績!$W$6:$W$505,BV$3,実績!$AI$6:$AI$505,"&lt;="&amp;$A121,実績!$AJ$6:$AJ$505,"&gt;"&amp;$A121,実績!$AK$6:$AK$505,"○")&gt;0,1,0))</f>
        <v>0</v>
      </c>
      <c r="BW121" s="39" t="n">
        <f aca="false">IF(BW$4=0,0,IF(COUNTIFS(実績!$W$6:$W$505,BW$3,実績!$AI$6:$AI$505,"&lt;="&amp;$A121,実績!$AJ$6:$AJ$505,"&gt;"&amp;$A121,実績!$AK$6:$AK$505,"○")&gt;0,1,0))</f>
        <v>0</v>
      </c>
      <c r="BX121" s="39" t="n">
        <f aca="false">IF(BX$4=0,0,IF(COUNTIFS(実績!$W$6:$W$505,BX$3,実績!$AI$6:$AI$505,"&lt;="&amp;$A121,実績!$AJ$6:$AJ$505,"&gt;"&amp;$A121,実績!$AK$6:$AK$505,"○")&gt;0,1,0))</f>
        <v>0</v>
      </c>
      <c r="BY121" s="39" t="n">
        <f aca="false">IF(BY$4=0,0,IF(COUNTIFS(実績!$W$6:$W$505,BY$3,実績!$AI$6:$AI$505,"&lt;="&amp;$A121,実績!$AJ$6:$AJ$505,"&gt;"&amp;$A121,実績!$AK$6:$AK$505,"○")&gt;0,1,0))</f>
        <v>0</v>
      </c>
      <c r="BZ121" s="39" t="n">
        <f aca="false">IF(BZ$4=0,0,IF(COUNTIFS(実績!$W$6:$W$505,BZ$3,実績!$AI$6:$AI$505,"&lt;="&amp;$A121,実績!$AJ$6:$AJ$505,"&gt;"&amp;$A121,実績!$AK$6:$AK$505,"○")&gt;0,1,0))</f>
        <v>0</v>
      </c>
      <c r="CA121" s="39" t="n">
        <f aca="false">IF(CA$4=0,0,IF(COUNTIFS(実績!$W$6:$W$505,CA$3,実績!$AI$6:$AI$505,"&lt;="&amp;$A121,実績!$AJ$6:$AJ$505,"&gt;"&amp;$A121,実績!$AK$6:$AK$505,"○")&gt;0,1,0))</f>
        <v>0</v>
      </c>
      <c r="CB121" s="39" t="n">
        <f aca="false">IF(CB$4=0,0,IF(COUNTIFS(実績!$W$6:$W$505,CB$3,実績!$AI$6:$AI$505,"&lt;="&amp;$A121,実績!$AJ$6:$AJ$505,"&gt;"&amp;$A121,実績!$AK$6:$AK$505,"○")&gt;0,1,0))</f>
        <v>0</v>
      </c>
      <c r="CC121" s="39" t="n">
        <f aca="false">IF(CC$4=0,0,IF(COUNTIFS(実績!$W$6:$W$505,CC$3,実績!$AI$6:$AI$505,"&lt;="&amp;$A121,実績!$AJ$6:$AJ$505,"&gt;"&amp;$A121,実績!$AK$6:$AK$505,"○")&gt;0,1,0))</f>
        <v>0</v>
      </c>
      <c r="CD121" s="39" t="n">
        <f aca="false">IF(CD$4=0,0,IF(COUNTIFS(実績!$W$6:$W$505,CD$3,実績!$AI$6:$AI$505,"&lt;="&amp;$A121,実績!$AJ$6:$AJ$505,"&gt;"&amp;$A121,実績!$AK$6:$AK$505,"○")&gt;0,1,0))</f>
        <v>0</v>
      </c>
      <c r="CE121" s="39" t="n">
        <f aca="false">IF(CE$4=0,0,IF(COUNTIFS(実績!$W$6:$W$505,CE$3,実績!$AI$6:$AI$505,"&lt;="&amp;$A121,実績!$AJ$6:$AJ$505,"&gt;"&amp;$A121,実績!$AK$6:$AK$505,"○")&gt;0,1,0))</f>
        <v>0</v>
      </c>
      <c r="CF121" s="39" t="n">
        <f aca="false">IF(CF$4=0,0,IF(COUNTIFS(実績!$W$6:$W$505,CF$3,実績!$AI$6:$AI$505,"&lt;="&amp;$A121,実績!$AJ$6:$AJ$505,"&gt;"&amp;$A121,実績!$AK$6:$AK$505,"○")&gt;0,1,0))</f>
        <v>0</v>
      </c>
      <c r="CG121" s="39" t="n">
        <f aca="false">IF(CG$4=0,0,IF(COUNTIFS(実績!$W$6:$W$505,CG$3,実績!$AI$6:$AI$505,"&lt;="&amp;$A121,実績!$AJ$6:$AJ$505,"&gt;"&amp;$A121,実績!$AK$6:$AK$505,"○")&gt;0,1,0))</f>
        <v>0</v>
      </c>
      <c r="CH121" s="39" t="n">
        <f aca="false">IF(CH$4=0,0,IF(COUNTIFS(実績!$W$6:$W$505,CH$3,実績!$AI$6:$AI$505,"&lt;="&amp;$A121,実績!$AJ$6:$AJ$505,"&gt;"&amp;$A121,実績!$AK$6:$AK$505,"○")&gt;0,1,0))</f>
        <v>0</v>
      </c>
      <c r="CI121" s="39" t="n">
        <f aca="false">IF(CI$4=0,0,IF(COUNTIFS(実績!$W$6:$W$505,CI$3,実績!$AI$6:$AI$505,"&lt;="&amp;$A121,実績!$AJ$6:$AJ$505,"&gt;"&amp;$A121,実績!$AK$6:$AK$505,"○")&gt;0,1,0))</f>
        <v>0</v>
      </c>
      <c r="CJ121" s="39" t="n">
        <f aca="false">IF(CJ$4=0,0,IF(COUNTIFS(実績!$W$6:$W$505,CJ$3,実績!$AI$6:$AI$505,"&lt;="&amp;$A121,実績!$AJ$6:$AJ$505,"&gt;"&amp;$A121,実績!$AK$6:$AK$505,"○")&gt;0,1,0))</f>
        <v>0</v>
      </c>
      <c r="CK121" s="39" t="n">
        <f aca="false">IF(CK$4=0,0,IF(COUNTIFS(実績!$W$6:$W$505,CK$3,実績!$AI$6:$AI$505,"&lt;="&amp;$A121,実績!$AJ$6:$AJ$505,"&gt;"&amp;$A121,実績!$AK$6:$AK$505,"○")&gt;0,1,0))</f>
        <v>0</v>
      </c>
      <c r="CL121" s="39" t="n">
        <f aca="false">IF(CL$4=0,0,IF(COUNTIFS(実績!$W$6:$W$505,CL$3,実績!$AI$6:$AI$505,"&lt;="&amp;$A121,実績!$AJ$6:$AJ$505,"&gt;"&amp;$A121,実績!$AK$6:$AK$505,"○")&gt;0,1,0))</f>
        <v>0</v>
      </c>
      <c r="CM121" s="39" t="n">
        <f aca="false">IF(CM$4=0,0,IF(COUNTIFS(実績!$W$6:$W$505,CM$3,実績!$AI$6:$AI$505,"&lt;="&amp;$A121,実績!$AJ$6:$AJ$505,"&gt;"&amp;$A121,実績!$AK$6:$AK$505,"○")&gt;0,1,0))</f>
        <v>0</v>
      </c>
      <c r="CN121" s="39" t="n">
        <f aca="false">IF(CN$4=0,0,IF(COUNTIFS(実績!$W$6:$W$505,CN$3,実績!$AI$6:$AI$505,"&lt;="&amp;$A121,実績!$AJ$6:$AJ$505,"&gt;"&amp;$A121,実績!$AK$6:$AK$505,"○")&gt;0,1,0))</f>
        <v>0</v>
      </c>
      <c r="CO121" s="39" t="n">
        <f aca="false">IF(CO$4=0,0,IF(COUNTIFS(実績!$W$6:$W$505,CO$3,実績!$AI$6:$AI$505,"&lt;="&amp;$A121,実績!$AJ$6:$AJ$505,"&gt;"&amp;$A121,実績!$AK$6:$AK$505,"○")&gt;0,1,0))</f>
        <v>0</v>
      </c>
      <c r="CP121" s="39" t="n">
        <f aca="false">IF(CP$4=0,0,IF(COUNTIFS(実績!$W$6:$W$505,CP$3,実績!$AI$6:$AI$505,"&lt;="&amp;$A121,実績!$AJ$6:$AJ$505,"&gt;"&amp;$A121,実績!$AK$6:$AK$505,"○")&gt;0,1,0))</f>
        <v>0</v>
      </c>
      <c r="CQ121" s="39" t="n">
        <f aca="false">IF(CQ$4=0,0,IF(COUNTIFS(実績!$W$6:$W$505,CQ$3,実績!$AI$6:$AI$505,"&lt;="&amp;$A121,実績!$AJ$6:$AJ$505,"&gt;"&amp;$A121,実績!$AK$6:$AK$505,"○")&gt;0,1,0))</f>
        <v>0</v>
      </c>
      <c r="CR121" s="39" t="n">
        <f aca="false">IF(CR$4=0,0,IF(COUNTIFS(実績!$W$6:$W$505,CR$3,実績!$AI$6:$AI$505,"&lt;="&amp;$A121,実績!$AJ$6:$AJ$505,"&gt;"&amp;$A121,実績!$AK$6:$AK$505,"○")&gt;0,1,0))</f>
        <v>0</v>
      </c>
      <c r="CS121" s="39" t="n">
        <f aca="false">IF(CS$4=0,0,IF(COUNTIFS(実績!$W$6:$W$505,CS$3,実績!$AI$6:$AI$505,"&lt;="&amp;$A121,実績!$AJ$6:$AJ$505,"&gt;"&amp;$A121,実績!$AK$6:$AK$505,"○")&gt;0,1,0))</f>
        <v>0</v>
      </c>
      <c r="CT121" s="39" t="n">
        <f aca="false">IF(CT$4=0,0,IF(COUNTIFS(実績!$W$6:$W$505,CT$3,実績!$AI$6:$AI$505,"&lt;="&amp;$A121,実績!$AJ$6:$AJ$505,"&gt;"&amp;$A121,実績!$AK$6:$AK$505,"○")&gt;0,1,0))</f>
        <v>0</v>
      </c>
      <c r="CU121" s="39" t="n">
        <f aca="false">IF(CU$4=0,0,IF(COUNTIFS(実績!$W$6:$W$505,CU$3,実績!$AI$6:$AI$505,"&lt;="&amp;$A121,実績!$AJ$6:$AJ$505,"&gt;"&amp;$A121,実績!$AK$6:$AK$505,"○")&gt;0,1,0))</f>
        <v>0</v>
      </c>
      <c r="CV121" s="39" t="n">
        <f aca="false">IF(CV$4=0,0,IF(COUNTIFS(実績!$W$6:$W$505,CV$3,実績!$AI$6:$AI$505,"&lt;="&amp;$A121,実績!$AJ$6:$AJ$505,"&gt;"&amp;$A121,実績!$AK$6:$AK$505,"○")&gt;0,1,0))</f>
        <v>0</v>
      </c>
      <c r="CW121" s="39" t="n">
        <f aca="false">IF(CW$4=0,0,IF(COUNTIFS(実績!$W$6:$W$505,CW$3,実績!$AI$6:$AI$505,"&lt;="&amp;$A121,実績!$AJ$6:$AJ$505,"&gt;"&amp;$A121,実績!$AK$6:$AK$505,"○")&gt;0,1,0))</f>
        <v>0</v>
      </c>
      <c r="CX121" s="39" t="n">
        <f aca="false">IF(CX$4=0,0,IF(COUNTIFS(実績!$W$6:$W$505,CX$3,実績!$AI$6:$AI$505,"&lt;="&amp;$A121,実績!$AJ$6:$AJ$505,"&gt;"&amp;$A121,実績!$AK$6:$AK$505,"○")&gt;0,1,0))</f>
        <v>0</v>
      </c>
      <c r="CY121" s="39" t="n">
        <f aca="false">IF(CY$4=0,0,IF(COUNTIFS(実績!$W$6:$W$505,CY$3,実績!$AI$6:$AI$505,"&lt;="&amp;$A121,実績!$AJ$6:$AJ$505,"&gt;"&amp;$A121,実績!$AK$6:$AK$505,"○")&gt;0,1,0))</f>
        <v>0</v>
      </c>
      <c r="CZ121" s="39" t="n">
        <f aca="false">IF(CZ$4=0,0,IF(COUNTIFS(実績!$W$6:$W$505,CZ$3,実績!$AI$6:$AI$505,"&lt;="&amp;$A121,実績!$AJ$6:$AJ$505,"&gt;"&amp;$A121,実績!$AK$6:$AK$505,"○")&gt;0,1,0))</f>
        <v>0</v>
      </c>
      <c r="DA121" s="39" t="n">
        <f aca="false">IF(DA$4=0,0,IF(COUNTIFS(実績!$W$6:$W$505,DA$3,実績!$AI$6:$AI$505,"&lt;="&amp;$A121,実績!$AJ$6:$AJ$505,"&gt;"&amp;$A121,実績!$AK$6:$AK$505,"○")&gt;0,1,0))</f>
        <v>0</v>
      </c>
      <c r="DB121" s="39" t="n">
        <f aca="false">IF(DB$4=0,0,IF(COUNTIFS(実績!$W$6:$W$505,DB$3,実績!$AI$6:$AI$505,"&lt;="&amp;$A121,実績!$AJ$6:$AJ$505,"&gt;"&amp;$A121,実績!$AK$6:$AK$505,"○")&gt;0,1,0))</f>
        <v>0</v>
      </c>
      <c r="DC121" s="39" t="n">
        <f aca="false">IF(DC$4=0,0,IF(COUNTIFS(実績!$W$6:$W$505,DC$3,実績!$AI$6:$AI$505,"&lt;="&amp;$A121,実績!$AJ$6:$AJ$505,"&gt;"&amp;$A121,実績!$AK$6:$AK$505,"○")&gt;0,1,0))</f>
        <v>0</v>
      </c>
      <c r="DD121" s="39" t="n">
        <f aca="false">IF(DD$4=0,0,IF(COUNTIFS(実績!$W$6:$W$505,DD$3,実績!$AI$6:$AI$505,"&lt;="&amp;$A121,実績!$AJ$6:$AJ$505,"&gt;"&amp;$A121,実績!$AK$6:$AK$505,"○")&gt;0,1,0))</f>
        <v>0</v>
      </c>
      <c r="DE121" s="39" t="n">
        <f aca="false">IF(DE$4=0,0,IF(COUNTIFS(実績!$W$6:$W$505,DE$3,実績!$AI$6:$AI$505,"&lt;="&amp;$A121,実績!$AJ$6:$AJ$505,"&gt;"&amp;$A121,実績!$AK$6:$AK$505,"○")&gt;0,1,0))</f>
        <v>0</v>
      </c>
      <c r="DF121" s="39" t="n">
        <f aca="false">IF(DF$4=0,0,IF(COUNTIFS(実績!$W$6:$W$505,DF$3,実績!$AI$6:$AI$505,"&lt;="&amp;$A121,実績!$AJ$6:$AJ$505,"&gt;"&amp;$A121,実績!$AK$6:$AK$505,"○")&gt;0,1,0))</f>
        <v>0</v>
      </c>
      <c r="DG121" s="39" t="n">
        <f aca="false">IF(DG$4=0,0,IF(COUNTIFS(実績!$W$6:$W$505,DG$3,実績!$AI$6:$AI$505,"&lt;="&amp;$A121,実績!$AJ$6:$AJ$505,"&gt;"&amp;$A121,実績!$AK$6:$AK$505,"○")&gt;0,1,0))</f>
        <v>0</v>
      </c>
      <c r="DH121" s="39" t="n">
        <f aca="false">IF(DH$4=0,0,IF(COUNTIFS(実績!$W$6:$W$505,DH$3,実績!$AI$6:$AI$505,"&lt;="&amp;$A121,実績!$AJ$6:$AJ$505,"&gt;"&amp;$A121,実績!$AK$6:$AK$505,"○")&gt;0,1,0))</f>
        <v>0</v>
      </c>
      <c r="DI121" s="39" t="n">
        <f aca="false">IF(DI$4=0,0,IF(COUNTIFS(実績!$W$6:$W$505,DI$3,実績!$AI$6:$AI$505,"&lt;="&amp;$A121,実績!$AJ$6:$AJ$505,"&gt;"&amp;$A121,実績!$AK$6:$AK$505,"○")&gt;0,1,0))</f>
        <v>0</v>
      </c>
      <c r="DJ121" s="39" t="n">
        <f aca="false">IF(DJ$4=0,0,IF(COUNTIFS(実績!$W$6:$W$505,DJ$3,実績!$AI$6:$AI$505,"&lt;="&amp;$A121,実績!$AJ$6:$AJ$505,"&gt;"&amp;$A121,実績!$AK$6:$AK$505,"○")&gt;0,1,0))</f>
        <v>0</v>
      </c>
      <c r="DK121" s="39" t="n">
        <f aca="false">IF(DK$4=0,0,IF(COUNTIFS(実績!$W$6:$W$505,DK$3,実績!$AI$6:$AI$505,"&lt;="&amp;$A121,実績!$AJ$6:$AJ$505,"&gt;"&amp;$A121,実績!$AK$6:$AK$505,"○")&gt;0,1,0))</f>
        <v>0</v>
      </c>
      <c r="DL121" s="39" t="n">
        <f aca="false">IF(DL$4=0,0,IF(COUNTIFS(実績!$W$6:$W$505,DL$3,実績!$AI$6:$AI$505,"&lt;="&amp;$A121,実績!$AJ$6:$AJ$505,"&gt;"&amp;$A121,実績!$AK$6:$AK$505,"○")&gt;0,1,0))</f>
        <v>0</v>
      </c>
      <c r="DM121" s="39" t="n">
        <f aca="false">IF(DM$4=0,0,IF(COUNTIFS(実績!$W$6:$W$505,DM$3,実績!$AI$6:$AI$505,"&lt;="&amp;$A121,実績!$AJ$6:$AJ$505,"&gt;"&amp;$A121,実績!$AK$6:$AK$505,"○")&gt;0,1,0))</f>
        <v>0</v>
      </c>
      <c r="DN121" s="39" t="n">
        <f aca="false">IF(DN$4=0,0,IF(COUNTIFS(実績!$W$6:$W$505,DN$3,実績!$AI$6:$AI$505,"&lt;="&amp;$A121,実績!$AJ$6:$AJ$505,"&gt;"&amp;$A121,実績!$AK$6:$AK$505,"○")&gt;0,1,0))</f>
        <v>0</v>
      </c>
      <c r="DO121" s="39" t="n">
        <f aca="false">IF(DO$4=0,0,IF(COUNTIFS(実績!$W$6:$W$505,DO$3,実績!$AI$6:$AI$505,"&lt;="&amp;$A121,実績!$AJ$6:$AJ$505,"&gt;"&amp;$A121,実績!$AK$6:$AK$505,"○")&gt;0,1,0))</f>
        <v>0</v>
      </c>
      <c r="DP121" s="39" t="n">
        <f aca="false">IF(DP$4=0,0,IF(COUNTIFS(実績!$W$6:$W$505,DP$3,実績!$AI$6:$AI$505,"&lt;="&amp;$A121,実績!$AJ$6:$AJ$505,"&gt;"&amp;$A121,実績!$AK$6:$AK$505,"○")&gt;0,1,0))</f>
        <v>0</v>
      </c>
      <c r="DQ121" s="39" t="n">
        <f aca="false">IF(DQ$4=0,0,IF(COUNTIFS(実績!$W$6:$W$505,DQ$3,実績!$AI$6:$AI$505,"&lt;="&amp;$A121,実績!$AJ$6:$AJ$505,"&gt;"&amp;$A121,実績!$AK$6:$AK$505,"○")&gt;0,1,0))</f>
        <v>0</v>
      </c>
      <c r="DR121" s="39" t="n">
        <f aca="false">IF(DR$4=0,0,IF(COUNTIFS(実績!$W$6:$W$505,DR$3,実績!$AI$6:$AI$505,"&lt;="&amp;$A121,実績!$AJ$6:$AJ$505,"&gt;"&amp;$A121,実績!$AK$6:$AK$505,"○")&gt;0,1,0))</f>
        <v>0</v>
      </c>
      <c r="DS121" s="39" t="n">
        <f aca="false">SUM(C121:DR121)</f>
        <v>0</v>
      </c>
      <c r="DT121" s="39" t="n">
        <f aca="false">SUMPRODUCT((実績!$C$6:$C$505="○")*ISNUMBER(実績!$AM$6:$AM$505)*(実績!$AM$6:$AM$505&lt;=$A121)*(実績!$AN$6:$AN$505&gt;$A121))</f>
        <v>0</v>
      </c>
      <c r="DU121" s="39" t="n">
        <f aca="false">SUMIF($C$2:$DR$2,"製鉄曳船",C121:DR121)</f>
        <v>0</v>
      </c>
      <c r="DV121" s="39" t="n">
        <f aca="false">SUMIF($C$2:$DR$2,"西日本海運",C121:DR121)</f>
        <v>0</v>
      </c>
    </row>
    <row r="122" customFormat="false" ht="15" hidden="false" customHeight="false" outlineLevel="0" collapsed="false">
      <c r="A122" s="0" t="n">
        <v>580</v>
      </c>
      <c r="B122" s="38" t="n">
        <f aca="false">A122/1440</f>
        <v>0.402777777777778</v>
      </c>
      <c r="C122" s="39" t="n">
        <f aca="false">IF(C$4=0,0,IF(COUNTIFS(実績!$W$6:$W$505,C$3,実績!$AI$6:$AI$505,"&lt;="&amp;$A122,実績!$AJ$6:$AJ$505,"&gt;"&amp;$A122,実績!$AK$6:$AK$505,"○")&gt;0,1,0))</f>
        <v>0</v>
      </c>
      <c r="D122" s="39" t="n">
        <f aca="false">IF(D$4=0,0,IF(COUNTIFS(実績!$W$6:$W$505,D$3,実績!$AI$6:$AI$505,"&lt;="&amp;$A122,実績!$AJ$6:$AJ$505,"&gt;"&amp;$A122,実績!$AK$6:$AK$505,"○")&gt;0,1,0))</f>
        <v>0</v>
      </c>
      <c r="E122" s="39" t="n">
        <f aca="false">IF(E$4=0,0,IF(COUNTIFS(実績!$W$6:$W$505,E$3,実績!$AI$6:$AI$505,"&lt;="&amp;$A122,実績!$AJ$6:$AJ$505,"&gt;"&amp;$A122,実績!$AK$6:$AK$505,"○")&gt;0,1,0))</f>
        <v>0</v>
      </c>
      <c r="F122" s="39" t="n">
        <f aca="false">IF(F$4=0,0,IF(COUNTIFS(実績!$W$6:$W$505,F$3,実績!$AI$6:$AI$505,"&lt;="&amp;$A122,実績!$AJ$6:$AJ$505,"&gt;"&amp;$A122,実績!$AK$6:$AK$505,"○")&gt;0,1,0))</f>
        <v>0</v>
      </c>
      <c r="G122" s="39" t="n">
        <f aca="false">IF(G$4=0,0,IF(COUNTIFS(実績!$W$6:$W$505,G$3,実績!$AI$6:$AI$505,"&lt;="&amp;$A122,実績!$AJ$6:$AJ$505,"&gt;"&amp;$A122,実績!$AK$6:$AK$505,"○")&gt;0,1,0))</f>
        <v>0</v>
      </c>
      <c r="H122" s="39" t="n">
        <f aca="false">IF(H$4=0,0,IF(COUNTIFS(実績!$W$6:$W$505,H$3,実績!$AI$6:$AI$505,"&lt;="&amp;$A122,実績!$AJ$6:$AJ$505,"&gt;"&amp;$A122,実績!$AK$6:$AK$505,"○")&gt;0,1,0))</f>
        <v>0</v>
      </c>
      <c r="I122" s="39" t="n">
        <f aca="false">IF(I$4=0,0,IF(COUNTIFS(実績!$W$6:$W$505,I$3,実績!$AI$6:$AI$505,"&lt;="&amp;$A122,実績!$AJ$6:$AJ$505,"&gt;"&amp;$A122,実績!$AK$6:$AK$505,"○")&gt;0,1,0))</f>
        <v>0</v>
      </c>
      <c r="J122" s="39" t="n">
        <f aca="false">IF(J$4=0,0,IF(COUNTIFS(実績!$W$6:$W$505,J$3,実績!$AI$6:$AI$505,"&lt;="&amp;$A122,実績!$AJ$6:$AJ$505,"&gt;"&amp;$A122,実績!$AK$6:$AK$505,"○")&gt;0,1,0))</f>
        <v>0</v>
      </c>
      <c r="K122" s="39" t="n">
        <f aca="false">IF(K$4=0,0,IF(COUNTIFS(実績!$W$6:$W$505,K$3,実績!$AI$6:$AI$505,"&lt;="&amp;$A122,実績!$AJ$6:$AJ$505,"&gt;"&amp;$A122,実績!$AK$6:$AK$505,"○")&gt;0,1,0))</f>
        <v>0</v>
      </c>
      <c r="L122" s="39" t="n">
        <f aca="false">IF(L$4=0,0,IF(COUNTIFS(実績!$W$6:$W$505,L$3,実績!$AI$6:$AI$505,"&lt;="&amp;$A122,実績!$AJ$6:$AJ$505,"&gt;"&amp;$A122,実績!$AK$6:$AK$505,"○")&gt;0,1,0))</f>
        <v>0</v>
      </c>
      <c r="M122" s="39" t="n">
        <f aca="false">IF(M$4=0,0,IF(COUNTIFS(実績!$W$6:$W$505,M$3,実績!$AI$6:$AI$505,"&lt;="&amp;$A122,実績!$AJ$6:$AJ$505,"&gt;"&amp;$A122,実績!$AK$6:$AK$505,"○")&gt;0,1,0))</f>
        <v>0</v>
      </c>
      <c r="N122" s="39" t="n">
        <f aca="false">IF(N$4=0,0,IF(COUNTIFS(実績!$W$6:$W$505,N$3,実績!$AI$6:$AI$505,"&lt;="&amp;$A122,実績!$AJ$6:$AJ$505,"&gt;"&amp;$A122,実績!$AK$6:$AK$505,"○")&gt;0,1,0))</f>
        <v>0</v>
      </c>
      <c r="O122" s="39" t="n">
        <f aca="false">IF(O$4=0,0,IF(COUNTIFS(実績!$W$6:$W$505,O$3,実績!$AI$6:$AI$505,"&lt;="&amp;$A122,実績!$AJ$6:$AJ$505,"&gt;"&amp;$A122,実績!$AK$6:$AK$505,"○")&gt;0,1,0))</f>
        <v>0</v>
      </c>
      <c r="P122" s="39" t="n">
        <f aca="false">IF(P$4=0,0,IF(COUNTIFS(実績!$W$6:$W$505,P$3,実績!$AI$6:$AI$505,"&lt;="&amp;$A122,実績!$AJ$6:$AJ$505,"&gt;"&amp;$A122,実績!$AK$6:$AK$505,"○")&gt;0,1,0))</f>
        <v>0</v>
      </c>
      <c r="Q122" s="39" t="n">
        <f aca="false">IF(Q$4=0,0,IF(COUNTIFS(実績!$W$6:$W$505,Q$3,実績!$AI$6:$AI$505,"&lt;="&amp;$A122,実績!$AJ$6:$AJ$505,"&gt;"&amp;$A122,実績!$AK$6:$AK$505,"○")&gt;0,1,0))</f>
        <v>0</v>
      </c>
      <c r="R122" s="39" t="n">
        <f aca="false">IF(R$4=0,0,IF(COUNTIFS(実績!$W$6:$W$505,R$3,実績!$AI$6:$AI$505,"&lt;="&amp;$A122,実績!$AJ$6:$AJ$505,"&gt;"&amp;$A122,実績!$AK$6:$AK$505,"○")&gt;0,1,0))</f>
        <v>0</v>
      </c>
      <c r="S122" s="39" t="n">
        <f aca="false">IF(S$4=0,0,IF(COUNTIFS(実績!$W$6:$W$505,S$3,実績!$AI$6:$AI$505,"&lt;="&amp;$A122,実績!$AJ$6:$AJ$505,"&gt;"&amp;$A122,実績!$AK$6:$AK$505,"○")&gt;0,1,0))</f>
        <v>0</v>
      </c>
      <c r="T122" s="39" t="n">
        <f aca="false">IF(T$4=0,0,IF(COUNTIFS(実績!$W$6:$W$505,T$3,実績!$AI$6:$AI$505,"&lt;="&amp;$A122,実績!$AJ$6:$AJ$505,"&gt;"&amp;$A122,実績!$AK$6:$AK$505,"○")&gt;0,1,0))</f>
        <v>0</v>
      </c>
      <c r="U122" s="39" t="n">
        <f aca="false">IF(U$4=0,0,IF(COUNTIFS(実績!$W$6:$W$505,U$3,実績!$AI$6:$AI$505,"&lt;="&amp;$A122,実績!$AJ$6:$AJ$505,"&gt;"&amp;$A122,実績!$AK$6:$AK$505,"○")&gt;0,1,0))</f>
        <v>0</v>
      </c>
      <c r="V122" s="39" t="n">
        <f aca="false">IF(V$4=0,0,IF(COUNTIFS(実績!$W$6:$W$505,V$3,実績!$AI$6:$AI$505,"&lt;="&amp;$A122,実績!$AJ$6:$AJ$505,"&gt;"&amp;$A122,実績!$AK$6:$AK$505,"○")&gt;0,1,0))</f>
        <v>0</v>
      </c>
      <c r="W122" s="39" t="n">
        <f aca="false">IF(W$4=0,0,IF(COUNTIFS(実績!$W$6:$W$505,W$3,実績!$AI$6:$AI$505,"&lt;="&amp;$A122,実績!$AJ$6:$AJ$505,"&gt;"&amp;$A122,実績!$AK$6:$AK$505,"○")&gt;0,1,0))</f>
        <v>0</v>
      </c>
      <c r="X122" s="39" t="n">
        <f aca="false">IF(X$4=0,0,IF(COUNTIFS(実績!$W$6:$W$505,X$3,実績!$AI$6:$AI$505,"&lt;="&amp;$A122,実績!$AJ$6:$AJ$505,"&gt;"&amp;$A122,実績!$AK$6:$AK$505,"○")&gt;0,1,0))</f>
        <v>0</v>
      </c>
      <c r="Y122" s="39" t="n">
        <f aca="false">IF(Y$4=0,0,IF(COUNTIFS(実績!$W$6:$W$505,Y$3,実績!$AI$6:$AI$505,"&lt;="&amp;$A122,実績!$AJ$6:$AJ$505,"&gt;"&amp;$A122,実績!$AK$6:$AK$505,"○")&gt;0,1,0))</f>
        <v>0</v>
      </c>
      <c r="Z122" s="39" t="n">
        <f aca="false">IF(Z$4=0,0,IF(COUNTIFS(実績!$W$6:$W$505,Z$3,実績!$AI$6:$AI$505,"&lt;="&amp;$A122,実績!$AJ$6:$AJ$505,"&gt;"&amp;$A122,実績!$AK$6:$AK$505,"○")&gt;0,1,0))</f>
        <v>0</v>
      </c>
      <c r="AA122" s="39" t="n">
        <f aca="false">IF(AA$4=0,0,IF(COUNTIFS(実績!$W$6:$W$505,AA$3,実績!$AI$6:$AI$505,"&lt;="&amp;$A122,実績!$AJ$6:$AJ$505,"&gt;"&amp;$A122,実績!$AK$6:$AK$505,"○")&gt;0,1,0))</f>
        <v>0</v>
      </c>
      <c r="AB122" s="39" t="n">
        <f aca="false">IF(AB$4=0,0,IF(COUNTIFS(実績!$W$6:$W$505,AB$3,実績!$AI$6:$AI$505,"&lt;="&amp;$A122,実績!$AJ$6:$AJ$505,"&gt;"&amp;$A122,実績!$AK$6:$AK$505,"○")&gt;0,1,0))</f>
        <v>0</v>
      </c>
      <c r="AC122" s="39" t="n">
        <f aca="false">IF(AC$4=0,0,IF(COUNTIFS(実績!$W$6:$W$505,AC$3,実績!$AI$6:$AI$505,"&lt;="&amp;$A122,実績!$AJ$6:$AJ$505,"&gt;"&amp;$A122,実績!$AK$6:$AK$505,"○")&gt;0,1,0))</f>
        <v>0</v>
      </c>
      <c r="AD122" s="39" t="n">
        <f aca="false">IF(AD$4=0,0,IF(COUNTIFS(実績!$W$6:$W$505,AD$3,実績!$AI$6:$AI$505,"&lt;="&amp;$A122,実績!$AJ$6:$AJ$505,"&gt;"&amp;$A122,実績!$AK$6:$AK$505,"○")&gt;0,1,0))</f>
        <v>0</v>
      </c>
      <c r="AE122" s="39" t="n">
        <f aca="false">IF(AE$4=0,0,IF(COUNTIFS(実績!$W$6:$W$505,AE$3,実績!$AI$6:$AI$505,"&lt;="&amp;$A122,実績!$AJ$6:$AJ$505,"&gt;"&amp;$A122,実績!$AK$6:$AK$505,"○")&gt;0,1,0))</f>
        <v>0</v>
      </c>
      <c r="AF122" s="39" t="n">
        <f aca="false">IF(AF$4=0,0,IF(COUNTIFS(実績!$W$6:$W$505,AF$3,実績!$AI$6:$AI$505,"&lt;="&amp;$A122,実績!$AJ$6:$AJ$505,"&gt;"&amp;$A122,実績!$AK$6:$AK$505,"○")&gt;0,1,0))</f>
        <v>0</v>
      </c>
      <c r="AG122" s="39" t="n">
        <f aca="false">IF(AG$4=0,0,IF(COUNTIFS(実績!$W$6:$W$505,AG$3,実績!$AI$6:$AI$505,"&lt;="&amp;$A122,実績!$AJ$6:$AJ$505,"&gt;"&amp;$A122,実績!$AK$6:$AK$505,"○")&gt;0,1,0))</f>
        <v>0</v>
      </c>
      <c r="AH122" s="39" t="n">
        <f aca="false">IF(AH$4=0,0,IF(COUNTIFS(実績!$W$6:$W$505,AH$3,実績!$AI$6:$AI$505,"&lt;="&amp;$A122,実績!$AJ$6:$AJ$505,"&gt;"&amp;$A122,実績!$AK$6:$AK$505,"○")&gt;0,1,0))</f>
        <v>0</v>
      </c>
      <c r="AI122" s="39" t="n">
        <f aca="false">IF(AI$4=0,0,IF(COUNTIFS(実績!$W$6:$W$505,AI$3,実績!$AI$6:$AI$505,"&lt;="&amp;$A122,実績!$AJ$6:$AJ$505,"&gt;"&amp;$A122,実績!$AK$6:$AK$505,"○")&gt;0,1,0))</f>
        <v>0</v>
      </c>
      <c r="AJ122" s="39" t="n">
        <f aca="false">IF(AJ$4=0,0,IF(COUNTIFS(実績!$W$6:$W$505,AJ$3,実績!$AI$6:$AI$505,"&lt;="&amp;$A122,実績!$AJ$6:$AJ$505,"&gt;"&amp;$A122,実績!$AK$6:$AK$505,"○")&gt;0,1,0))</f>
        <v>0</v>
      </c>
      <c r="AK122" s="39" t="n">
        <f aca="false">IF(AK$4=0,0,IF(COUNTIFS(実績!$W$6:$W$505,AK$3,実績!$AI$6:$AI$505,"&lt;="&amp;$A122,実績!$AJ$6:$AJ$505,"&gt;"&amp;$A122,実績!$AK$6:$AK$505,"○")&gt;0,1,0))</f>
        <v>0</v>
      </c>
      <c r="AL122" s="39" t="n">
        <f aca="false">IF(AL$4=0,0,IF(COUNTIFS(実績!$W$6:$W$505,AL$3,実績!$AI$6:$AI$505,"&lt;="&amp;$A122,実績!$AJ$6:$AJ$505,"&gt;"&amp;$A122,実績!$AK$6:$AK$505,"○")&gt;0,1,0))</f>
        <v>0</v>
      </c>
      <c r="AM122" s="39" t="n">
        <f aca="false">IF(AM$4=0,0,IF(COUNTIFS(実績!$W$6:$W$505,AM$3,実績!$AI$6:$AI$505,"&lt;="&amp;$A122,実績!$AJ$6:$AJ$505,"&gt;"&amp;$A122,実績!$AK$6:$AK$505,"○")&gt;0,1,0))</f>
        <v>0</v>
      </c>
      <c r="AN122" s="39" t="n">
        <f aca="false">IF(AN$4=0,0,IF(COUNTIFS(実績!$W$6:$W$505,AN$3,実績!$AI$6:$AI$505,"&lt;="&amp;$A122,実績!$AJ$6:$AJ$505,"&gt;"&amp;$A122,実績!$AK$6:$AK$505,"○")&gt;0,1,0))</f>
        <v>0</v>
      </c>
      <c r="AO122" s="39" t="n">
        <f aca="false">IF(AO$4=0,0,IF(COUNTIFS(実績!$W$6:$W$505,AO$3,実績!$AI$6:$AI$505,"&lt;="&amp;$A122,実績!$AJ$6:$AJ$505,"&gt;"&amp;$A122,実績!$AK$6:$AK$505,"○")&gt;0,1,0))</f>
        <v>0</v>
      </c>
      <c r="AP122" s="39" t="n">
        <f aca="false">IF(AP$4=0,0,IF(COUNTIFS(実績!$W$6:$W$505,AP$3,実績!$AI$6:$AI$505,"&lt;="&amp;$A122,実績!$AJ$6:$AJ$505,"&gt;"&amp;$A122,実績!$AK$6:$AK$505,"○")&gt;0,1,0))</f>
        <v>0</v>
      </c>
      <c r="AQ122" s="39" t="n">
        <f aca="false">IF(AQ$4=0,0,IF(COUNTIFS(実績!$W$6:$W$505,AQ$3,実績!$AI$6:$AI$505,"&lt;="&amp;$A122,実績!$AJ$6:$AJ$505,"&gt;"&amp;$A122,実績!$AK$6:$AK$505,"○")&gt;0,1,0))</f>
        <v>0</v>
      </c>
      <c r="AR122" s="39" t="n">
        <f aca="false">IF(AR$4=0,0,IF(COUNTIFS(実績!$W$6:$W$505,AR$3,実績!$AI$6:$AI$505,"&lt;="&amp;$A122,実績!$AJ$6:$AJ$505,"&gt;"&amp;$A122,実績!$AK$6:$AK$505,"○")&gt;0,1,0))</f>
        <v>0</v>
      </c>
      <c r="AS122" s="39" t="n">
        <f aca="false">IF(AS$4=0,0,IF(COUNTIFS(実績!$W$6:$W$505,AS$3,実績!$AI$6:$AI$505,"&lt;="&amp;$A122,実績!$AJ$6:$AJ$505,"&gt;"&amp;$A122,実績!$AK$6:$AK$505,"○")&gt;0,1,0))</f>
        <v>0</v>
      </c>
      <c r="AT122" s="39" t="n">
        <f aca="false">IF(AT$4=0,0,IF(COUNTIFS(実績!$W$6:$W$505,AT$3,実績!$AI$6:$AI$505,"&lt;="&amp;$A122,実績!$AJ$6:$AJ$505,"&gt;"&amp;$A122,実績!$AK$6:$AK$505,"○")&gt;0,1,0))</f>
        <v>0</v>
      </c>
      <c r="AU122" s="39" t="n">
        <f aca="false">IF(AU$4=0,0,IF(COUNTIFS(実績!$W$6:$W$505,AU$3,実績!$AI$6:$AI$505,"&lt;="&amp;$A122,実績!$AJ$6:$AJ$505,"&gt;"&amp;$A122,実績!$AK$6:$AK$505,"○")&gt;0,1,0))</f>
        <v>0</v>
      </c>
      <c r="AV122" s="39" t="n">
        <f aca="false">IF(AV$4=0,0,IF(COUNTIFS(実績!$W$6:$W$505,AV$3,実績!$AI$6:$AI$505,"&lt;="&amp;$A122,実績!$AJ$6:$AJ$505,"&gt;"&amp;$A122,実績!$AK$6:$AK$505,"○")&gt;0,1,0))</f>
        <v>0</v>
      </c>
      <c r="AW122" s="39" t="n">
        <f aca="false">IF(AW$4=0,0,IF(COUNTIFS(実績!$W$6:$W$505,AW$3,実績!$AI$6:$AI$505,"&lt;="&amp;$A122,実績!$AJ$6:$AJ$505,"&gt;"&amp;$A122,実績!$AK$6:$AK$505,"○")&gt;0,1,0))</f>
        <v>0</v>
      </c>
      <c r="AX122" s="39" t="n">
        <f aca="false">IF(AX$4=0,0,IF(COUNTIFS(実績!$W$6:$W$505,AX$3,実績!$AI$6:$AI$505,"&lt;="&amp;$A122,実績!$AJ$6:$AJ$505,"&gt;"&amp;$A122,実績!$AK$6:$AK$505,"○")&gt;0,1,0))</f>
        <v>0</v>
      </c>
      <c r="AY122" s="39" t="n">
        <f aca="false">IF(AY$4=0,0,IF(COUNTIFS(実績!$W$6:$W$505,AY$3,実績!$AI$6:$AI$505,"&lt;="&amp;$A122,実績!$AJ$6:$AJ$505,"&gt;"&amp;$A122,実績!$AK$6:$AK$505,"○")&gt;0,1,0))</f>
        <v>0</v>
      </c>
      <c r="AZ122" s="39" t="n">
        <f aca="false">IF(AZ$4=0,0,IF(COUNTIFS(実績!$W$6:$W$505,AZ$3,実績!$AI$6:$AI$505,"&lt;="&amp;$A122,実績!$AJ$6:$AJ$505,"&gt;"&amp;$A122,実績!$AK$6:$AK$505,"○")&gt;0,1,0))</f>
        <v>0</v>
      </c>
      <c r="BA122" s="39" t="n">
        <f aca="false">IF(BA$4=0,0,IF(COUNTIFS(実績!$W$6:$W$505,BA$3,実績!$AI$6:$AI$505,"&lt;="&amp;$A122,実績!$AJ$6:$AJ$505,"&gt;"&amp;$A122,実績!$AK$6:$AK$505,"○")&gt;0,1,0))</f>
        <v>0</v>
      </c>
      <c r="BB122" s="39" t="n">
        <f aca="false">IF(BB$4=0,0,IF(COUNTIFS(実績!$W$6:$W$505,BB$3,実績!$AI$6:$AI$505,"&lt;="&amp;$A122,実績!$AJ$6:$AJ$505,"&gt;"&amp;$A122,実績!$AK$6:$AK$505,"○")&gt;0,1,0))</f>
        <v>0</v>
      </c>
      <c r="BC122" s="39" t="n">
        <f aca="false">IF(BC$4=0,0,IF(COUNTIFS(実績!$W$6:$W$505,BC$3,実績!$AI$6:$AI$505,"&lt;="&amp;$A122,実績!$AJ$6:$AJ$505,"&gt;"&amp;$A122,実績!$AK$6:$AK$505,"○")&gt;0,1,0))</f>
        <v>0</v>
      </c>
      <c r="BD122" s="39" t="n">
        <f aca="false">IF(BD$4=0,0,IF(COUNTIFS(実績!$W$6:$W$505,BD$3,実績!$AI$6:$AI$505,"&lt;="&amp;$A122,実績!$AJ$6:$AJ$505,"&gt;"&amp;$A122,実績!$AK$6:$AK$505,"○")&gt;0,1,0))</f>
        <v>0</v>
      </c>
      <c r="BE122" s="39" t="n">
        <f aca="false">IF(BE$4=0,0,IF(COUNTIFS(実績!$W$6:$W$505,BE$3,実績!$AI$6:$AI$505,"&lt;="&amp;$A122,実績!$AJ$6:$AJ$505,"&gt;"&amp;$A122,実績!$AK$6:$AK$505,"○")&gt;0,1,0))</f>
        <v>0</v>
      </c>
      <c r="BF122" s="39" t="n">
        <f aca="false">IF(BF$4=0,0,IF(COUNTIFS(実績!$W$6:$W$505,BF$3,実績!$AI$6:$AI$505,"&lt;="&amp;$A122,実績!$AJ$6:$AJ$505,"&gt;"&amp;$A122,実績!$AK$6:$AK$505,"○")&gt;0,1,0))</f>
        <v>0</v>
      </c>
      <c r="BG122" s="39" t="n">
        <f aca="false">IF(BG$4=0,0,IF(COUNTIFS(実績!$W$6:$W$505,BG$3,実績!$AI$6:$AI$505,"&lt;="&amp;$A122,実績!$AJ$6:$AJ$505,"&gt;"&amp;$A122,実績!$AK$6:$AK$505,"○")&gt;0,1,0))</f>
        <v>0</v>
      </c>
      <c r="BH122" s="39" t="n">
        <f aca="false">IF(BH$4=0,0,IF(COUNTIFS(実績!$W$6:$W$505,BH$3,実績!$AI$6:$AI$505,"&lt;="&amp;$A122,実績!$AJ$6:$AJ$505,"&gt;"&amp;$A122,実績!$AK$6:$AK$505,"○")&gt;0,1,0))</f>
        <v>0</v>
      </c>
      <c r="BI122" s="39" t="n">
        <f aca="false">IF(BI$4=0,0,IF(COUNTIFS(実績!$W$6:$W$505,BI$3,実績!$AI$6:$AI$505,"&lt;="&amp;$A122,実績!$AJ$6:$AJ$505,"&gt;"&amp;$A122,実績!$AK$6:$AK$505,"○")&gt;0,1,0))</f>
        <v>0</v>
      </c>
      <c r="BJ122" s="39" t="n">
        <f aca="false">IF(BJ$4=0,0,IF(COUNTIFS(実績!$W$6:$W$505,BJ$3,実績!$AI$6:$AI$505,"&lt;="&amp;$A122,実績!$AJ$6:$AJ$505,"&gt;"&amp;$A122,実績!$AK$6:$AK$505,"○")&gt;0,1,0))</f>
        <v>0</v>
      </c>
      <c r="BK122" s="39" t="n">
        <f aca="false">IF(BK$4=0,0,IF(COUNTIFS(実績!$W$6:$W$505,BK$3,実績!$AI$6:$AI$505,"&lt;="&amp;$A122,実績!$AJ$6:$AJ$505,"&gt;"&amp;$A122,実績!$AK$6:$AK$505,"○")&gt;0,1,0))</f>
        <v>0</v>
      </c>
      <c r="BL122" s="39" t="n">
        <f aca="false">IF(BL$4=0,0,IF(COUNTIFS(実績!$W$6:$W$505,BL$3,実績!$AI$6:$AI$505,"&lt;="&amp;$A122,実績!$AJ$6:$AJ$505,"&gt;"&amp;$A122,実績!$AK$6:$AK$505,"○")&gt;0,1,0))</f>
        <v>0</v>
      </c>
      <c r="BM122" s="39" t="n">
        <f aca="false">IF(BM$4=0,0,IF(COUNTIFS(実績!$W$6:$W$505,BM$3,実績!$AI$6:$AI$505,"&lt;="&amp;$A122,実績!$AJ$6:$AJ$505,"&gt;"&amp;$A122,実績!$AK$6:$AK$505,"○")&gt;0,1,0))</f>
        <v>0</v>
      </c>
      <c r="BN122" s="39" t="n">
        <f aca="false">IF(BN$4=0,0,IF(COUNTIFS(実績!$W$6:$W$505,BN$3,実績!$AI$6:$AI$505,"&lt;="&amp;$A122,実績!$AJ$6:$AJ$505,"&gt;"&amp;$A122,実績!$AK$6:$AK$505,"○")&gt;0,1,0))</f>
        <v>0</v>
      </c>
      <c r="BO122" s="39" t="n">
        <f aca="false">IF(BO$4=0,0,IF(COUNTIFS(実績!$W$6:$W$505,BO$3,実績!$AI$6:$AI$505,"&lt;="&amp;$A122,実績!$AJ$6:$AJ$505,"&gt;"&amp;$A122,実績!$AK$6:$AK$505,"○")&gt;0,1,0))</f>
        <v>0</v>
      </c>
      <c r="BP122" s="39" t="n">
        <f aca="false">IF(BP$4=0,0,IF(COUNTIFS(実績!$W$6:$W$505,BP$3,実績!$AI$6:$AI$505,"&lt;="&amp;$A122,実績!$AJ$6:$AJ$505,"&gt;"&amp;$A122,実績!$AK$6:$AK$505,"○")&gt;0,1,0))</f>
        <v>0</v>
      </c>
      <c r="BQ122" s="39" t="n">
        <f aca="false">IF(BQ$4=0,0,IF(COUNTIFS(実績!$W$6:$W$505,BQ$3,実績!$AI$6:$AI$505,"&lt;="&amp;$A122,実績!$AJ$6:$AJ$505,"&gt;"&amp;$A122,実績!$AK$6:$AK$505,"○")&gt;0,1,0))</f>
        <v>0</v>
      </c>
      <c r="BR122" s="39" t="n">
        <f aca="false">IF(BR$4=0,0,IF(COUNTIFS(実績!$W$6:$W$505,BR$3,実績!$AI$6:$AI$505,"&lt;="&amp;$A122,実績!$AJ$6:$AJ$505,"&gt;"&amp;$A122,実績!$AK$6:$AK$505,"○")&gt;0,1,0))</f>
        <v>0</v>
      </c>
      <c r="BS122" s="39" t="n">
        <f aca="false">IF(BS$4=0,0,IF(COUNTIFS(実績!$W$6:$W$505,BS$3,実績!$AI$6:$AI$505,"&lt;="&amp;$A122,実績!$AJ$6:$AJ$505,"&gt;"&amp;$A122,実績!$AK$6:$AK$505,"○")&gt;0,1,0))</f>
        <v>0</v>
      </c>
      <c r="BT122" s="39" t="n">
        <f aca="false">IF(BT$4=0,0,IF(COUNTIFS(実績!$W$6:$W$505,BT$3,実績!$AI$6:$AI$505,"&lt;="&amp;$A122,実績!$AJ$6:$AJ$505,"&gt;"&amp;$A122,実績!$AK$6:$AK$505,"○")&gt;0,1,0))</f>
        <v>0</v>
      </c>
      <c r="BU122" s="39" t="n">
        <f aca="false">IF(BU$4=0,0,IF(COUNTIFS(実績!$W$6:$W$505,BU$3,実績!$AI$6:$AI$505,"&lt;="&amp;$A122,実績!$AJ$6:$AJ$505,"&gt;"&amp;$A122,実績!$AK$6:$AK$505,"○")&gt;0,1,0))</f>
        <v>0</v>
      </c>
      <c r="BV122" s="39" t="n">
        <f aca="false">IF(BV$4=0,0,IF(COUNTIFS(実績!$W$6:$W$505,BV$3,実績!$AI$6:$AI$505,"&lt;="&amp;$A122,実績!$AJ$6:$AJ$505,"&gt;"&amp;$A122,実績!$AK$6:$AK$505,"○")&gt;0,1,0))</f>
        <v>0</v>
      </c>
      <c r="BW122" s="39" t="n">
        <f aca="false">IF(BW$4=0,0,IF(COUNTIFS(実績!$W$6:$W$505,BW$3,実績!$AI$6:$AI$505,"&lt;="&amp;$A122,実績!$AJ$6:$AJ$505,"&gt;"&amp;$A122,実績!$AK$6:$AK$505,"○")&gt;0,1,0))</f>
        <v>0</v>
      </c>
      <c r="BX122" s="39" t="n">
        <f aca="false">IF(BX$4=0,0,IF(COUNTIFS(実績!$W$6:$W$505,BX$3,実績!$AI$6:$AI$505,"&lt;="&amp;$A122,実績!$AJ$6:$AJ$505,"&gt;"&amp;$A122,実績!$AK$6:$AK$505,"○")&gt;0,1,0))</f>
        <v>0</v>
      </c>
      <c r="BY122" s="39" t="n">
        <f aca="false">IF(BY$4=0,0,IF(COUNTIFS(実績!$W$6:$W$505,BY$3,実績!$AI$6:$AI$505,"&lt;="&amp;$A122,実績!$AJ$6:$AJ$505,"&gt;"&amp;$A122,実績!$AK$6:$AK$505,"○")&gt;0,1,0))</f>
        <v>0</v>
      </c>
      <c r="BZ122" s="39" t="n">
        <f aca="false">IF(BZ$4=0,0,IF(COUNTIFS(実績!$W$6:$W$505,BZ$3,実績!$AI$6:$AI$505,"&lt;="&amp;$A122,実績!$AJ$6:$AJ$505,"&gt;"&amp;$A122,実績!$AK$6:$AK$505,"○")&gt;0,1,0))</f>
        <v>0</v>
      </c>
      <c r="CA122" s="39" t="n">
        <f aca="false">IF(CA$4=0,0,IF(COUNTIFS(実績!$W$6:$W$505,CA$3,実績!$AI$6:$AI$505,"&lt;="&amp;$A122,実績!$AJ$6:$AJ$505,"&gt;"&amp;$A122,実績!$AK$6:$AK$505,"○")&gt;0,1,0))</f>
        <v>0</v>
      </c>
      <c r="CB122" s="39" t="n">
        <f aca="false">IF(CB$4=0,0,IF(COUNTIFS(実績!$W$6:$W$505,CB$3,実績!$AI$6:$AI$505,"&lt;="&amp;$A122,実績!$AJ$6:$AJ$505,"&gt;"&amp;$A122,実績!$AK$6:$AK$505,"○")&gt;0,1,0))</f>
        <v>0</v>
      </c>
      <c r="CC122" s="39" t="n">
        <f aca="false">IF(CC$4=0,0,IF(COUNTIFS(実績!$W$6:$W$505,CC$3,実績!$AI$6:$AI$505,"&lt;="&amp;$A122,実績!$AJ$6:$AJ$505,"&gt;"&amp;$A122,実績!$AK$6:$AK$505,"○")&gt;0,1,0))</f>
        <v>0</v>
      </c>
      <c r="CD122" s="39" t="n">
        <f aca="false">IF(CD$4=0,0,IF(COUNTIFS(実績!$W$6:$W$505,CD$3,実績!$AI$6:$AI$505,"&lt;="&amp;$A122,実績!$AJ$6:$AJ$505,"&gt;"&amp;$A122,実績!$AK$6:$AK$505,"○")&gt;0,1,0))</f>
        <v>0</v>
      </c>
      <c r="CE122" s="39" t="n">
        <f aca="false">IF(CE$4=0,0,IF(COUNTIFS(実績!$W$6:$W$505,CE$3,実績!$AI$6:$AI$505,"&lt;="&amp;$A122,実績!$AJ$6:$AJ$505,"&gt;"&amp;$A122,実績!$AK$6:$AK$505,"○")&gt;0,1,0))</f>
        <v>0</v>
      </c>
      <c r="CF122" s="39" t="n">
        <f aca="false">IF(CF$4=0,0,IF(COUNTIFS(実績!$W$6:$W$505,CF$3,実績!$AI$6:$AI$505,"&lt;="&amp;$A122,実績!$AJ$6:$AJ$505,"&gt;"&amp;$A122,実績!$AK$6:$AK$505,"○")&gt;0,1,0))</f>
        <v>0</v>
      </c>
      <c r="CG122" s="39" t="n">
        <f aca="false">IF(CG$4=0,0,IF(COUNTIFS(実績!$W$6:$W$505,CG$3,実績!$AI$6:$AI$505,"&lt;="&amp;$A122,実績!$AJ$6:$AJ$505,"&gt;"&amp;$A122,実績!$AK$6:$AK$505,"○")&gt;0,1,0))</f>
        <v>0</v>
      </c>
      <c r="CH122" s="39" t="n">
        <f aca="false">IF(CH$4=0,0,IF(COUNTIFS(実績!$W$6:$W$505,CH$3,実績!$AI$6:$AI$505,"&lt;="&amp;$A122,実績!$AJ$6:$AJ$505,"&gt;"&amp;$A122,実績!$AK$6:$AK$505,"○")&gt;0,1,0))</f>
        <v>0</v>
      </c>
      <c r="CI122" s="39" t="n">
        <f aca="false">IF(CI$4=0,0,IF(COUNTIFS(実績!$W$6:$W$505,CI$3,実績!$AI$6:$AI$505,"&lt;="&amp;$A122,実績!$AJ$6:$AJ$505,"&gt;"&amp;$A122,実績!$AK$6:$AK$505,"○")&gt;0,1,0))</f>
        <v>0</v>
      </c>
      <c r="CJ122" s="39" t="n">
        <f aca="false">IF(CJ$4=0,0,IF(COUNTIFS(実績!$W$6:$W$505,CJ$3,実績!$AI$6:$AI$505,"&lt;="&amp;$A122,実績!$AJ$6:$AJ$505,"&gt;"&amp;$A122,実績!$AK$6:$AK$505,"○")&gt;0,1,0))</f>
        <v>0</v>
      </c>
      <c r="CK122" s="39" t="n">
        <f aca="false">IF(CK$4=0,0,IF(COUNTIFS(実績!$W$6:$W$505,CK$3,実績!$AI$6:$AI$505,"&lt;="&amp;$A122,実績!$AJ$6:$AJ$505,"&gt;"&amp;$A122,実績!$AK$6:$AK$505,"○")&gt;0,1,0))</f>
        <v>0</v>
      </c>
      <c r="CL122" s="39" t="n">
        <f aca="false">IF(CL$4=0,0,IF(COUNTIFS(実績!$W$6:$W$505,CL$3,実績!$AI$6:$AI$505,"&lt;="&amp;$A122,実績!$AJ$6:$AJ$505,"&gt;"&amp;$A122,実績!$AK$6:$AK$505,"○")&gt;0,1,0))</f>
        <v>0</v>
      </c>
      <c r="CM122" s="39" t="n">
        <f aca="false">IF(CM$4=0,0,IF(COUNTIFS(実績!$W$6:$W$505,CM$3,実績!$AI$6:$AI$505,"&lt;="&amp;$A122,実績!$AJ$6:$AJ$505,"&gt;"&amp;$A122,実績!$AK$6:$AK$505,"○")&gt;0,1,0))</f>
        <v>0</v>
      </c>
      <c r="CN122" s="39" t="n">
        <f aca="false">IF(CN$4=0,0,IF(COUNTIFS(実績!$W$6:$W$505,CN$3,実績!$AI$6:$AI$505,"&lt;="&amp;$A122,実績!$AJ$6:$AJ$505,"&gt;"&amp;$A122,実績!$AK$6:$AK$505,"○")&gt;0,1,0))</f>
        <v>0</v>
      </c>
      <c r="CO122" s="39" t="n">
        <f aca="false">IF(CO$4=0,0,IF(COUNTIFS(実績!$W$6:$W$505,CO$3,実績!$AI$6:$AI$505,"&lt;="&amp;$A122,実績!$AJ$6:$AJ$505,"&gt;"&amp;$A122,実績!$AK$6:$AK$505,"○")&gt;0,1,0))</f>
        <v>0</v>
      </c>
      <c r="CP122" s="39" t="n">
        <f aca="false">IF(CP$4=0,0,IF(COUNTIFS(実績!$W$6:$W$505,CP$3,実績!$AI$6:$AI$505,"&lt;="&amp;$A122,実績!$AJ$6:$AJ$505,"&gt;"&amp;$A122,実績!$AK$6:$AK$505,"○")&gt;0,1,0))</f>
        <v>0</v>
      </c>
      <c r="CQ122" s="39" t="n">
        <f aca="false">IF(CQ$4=0,0,IF(COUNTIFS(実績!$W$6:$W$505,CQ$3,実績!$AI$6:$AI$505,"&lt;="&amp;$A122,実績!$AJ$6:$AJ$505,"&gt;"&amp;$A122,実績!$AK$6:$AK$505,"○")&gt;0,1,0))</f>
        <v>0</v>
      </c>
      <c r="CR122" s="39" t="n">
        <f aca="false">IF(CR$4=0,0,IF(COUNTIFS(実績!$W$6:$W$505,CR$3,実績!$AI$6:$AI$505,"&lt;="&amp;$A122,実績!$AJ$6:$AJ$505,"&gt;"&amp;$A122,実績!$AK$6:$AK$505,"○")&gt;0,1,0))</f>
        <v>0</v>
      </c>
      <c r="CS122" s="39" t="n">
        <f aca="false">IF(CS$4=0,0,IF(COUNTIFS(実績!$W$6:$W$505,CS$3,実績!$AI$6:$AI$505,"&lt;="&amp;$A122,実績!$AJ$6:$AJ$505,"&gt;"&amp;$A122,実績!$AK$6:$AK$505,"○")&gt;0,1,0))</f>
        <v>0</v>
      </c>
      <c r="CT122" s="39" t="n">
        <f aca="false">IF(CT$4=0,0,IF(COUNTIFS(実績!$W$6:$W$505,CT$3,実績!$AI$6:$AI$505,"&lt;="&amp;$A122,実績!$AJ$6:$AJ$505,"&gt;"&amp;$A122,実績!$AK$6:$AK$505,"○")&gt;0,1,0))</f>
        <v>0</v>
      </c>
      <c r="CU122" s="39" t="n">
        <f aca="false">IF(CU$4=0,0,IF(COUNTIFS(実績!$W$6:$W$505,CU$3,実績!$AI$6:$AI$505,"&lt;="&amp;$A122,実績!$AJ$6:$AJ$505,"&gt;"&amp;$A122,実績!$AK$6:$AK$505,"○")&gt;0,1,0))</f>
        <v>0</v>
      </c>
      <c r="CV122" s="39" t="n">
        <f aca="false">IF(CV$4=0,0,IF(COUNTIFS(実績!$W$6:$W$505,CV$3,実績!$AI$6:$AI$505,"&lt;="&amp;$A122,実績!$AJ$6:$AJ$505,"&gt;"&amp;$A122,実績!$AK$6:$AK$505,"○")&gt;0,1,0))</f>
        <v>0</v>
      </c>
      <c r="CW122" s="39" t="n">
        <f aca="false">IF(CW$4=0,0,IF(COUNTIFS(実績!$W$6:$W$505,CW$3,実績!$AI$6:$AI$505,"&lt;="&amp;$A122,実績!$AJ$6:$AJ$505,"&gt;"&amp;$A122,実績!$AK$6:$AK$505,"○")&gt;0,1,0))</f>
        <v>0</v>
      </c>
      <c r="CX122" s="39" t="n">
        <f aca="false">IF(CX$4=0,0,IF(COUNTIFS(実績!$W$6:$W$505,CX$3,実績!$AI$6:$AI$505,"&lt;="&amp;$A122,実績!$AJ$6:$AJ$505,"&gt;"&amp;$A122,実績!$AK$6:$AK$505,"○")&gt;0,1,0))</f>
        <v>0</v>
      </c>
      <c r="CY122" s="39" t="n">
        <f aca="false">IF(CY$4=0,0,IF(COUNTIFS(実績!$W$6:$W$505,CY$3,実績!$AI$6:$AI$505,"&lt;="&amp;$A122,実績!$AJ$6:$AJ$505,"&gt;"&amp;$A122,実績!$AK$6:$AK$505,"○")&gt;0,1,0))</f>
        <v>0</v>
      </c>
      <c r="CZ122" s="39" t="n">
        <f aca="false">IF(CZ$4=0,0,IF(COUNTIFS(実績!$W$6:$W$505,CZ$3,実績!$AI$6:$AI$505,"&lt;="&amp;$A122,実績!$AJ$6:$AJ$505,"&gt;"&amp;$A122,実績!$AK$6:$AK$505,"○")&gt;0,1,0))</f>
        <v>0</v>
      </c>
      <c r="DA122" s="39" t="n">
        <f aca="false">IF(DA$4=0,0,IF(COUNTIFS(実績!$W$6:$W$505,DA$3,実績!$AI$6:$AI$505,"&lt;="&amp;$A122,実績!$AJ$6:$AJ$505,"&gt;"&amp;$A122,実績!$AK$6:$AK$505,"○")&gt;0,1,0))</f>
        <v>0</v>
      </c>
      <c r="DB122" s="39" t="n">
        <f aca="false">IF(DB$4=0,0,IF(COUNTIFS(実績!$W$6:$W$505,DB$3,実績!$AI$6:$AI$505,"&lt;="&amp;$A122,実績!$AJ$6:$AJ$505,"&gt;"&amp;$A122,実績!$AK$6:$AK$505,"○")&gt;0,1,0))</f>
        <v>0</v>
      </c>
      <c r="DC122" s="39" t="n">
        <f aca="false">IF(DC$4=0,0,IF(COUNTIFS(実績!$W$6:$W$505,DC$3,実績!$AI$6:$AI$505,"&lt;="&amp;$A122,実績!$AJ$6:$AJ$505,"&gt;"&amp;$A122,実績!$AK$6:$AK$505,"○")&gt;0,1,0))</f>
        <v>0</v>
      </c>
      <c r="DD122" s="39" t="n">
        <f aca="false">IF(DD$4=0,0,IF(COUNTIFS(実績!$W$6:$W$505,DD$3,実績!$AI$6:$AI$505,"&lt;="&amp;$A122,実績!$AJ$6:$AJ$505,"&gt;"&amp;$A122,実績!$AK$6:$AK$505,"○")&gt;0,1,0))</f>
        <v>0</v>
      </c>
      <c r="DE122" s="39" t="n">
        <f aca="false">IF(DE$4=0,0,IF(COUNTIFS(実績!$W$6:$W$505,DE$3,実績!$AI$6:$AI$505,"&lt;="&amp;$A122,実績!$AJ$6:$AJ$505,"&gt;"&amp;$A122,実績!$AK$6:$AK$505,"○")&gt;0,1,0))</f>
        <v>0</v>
      </c>
      <c r="DF122" s="39" t="n">
        <f aca="false">IF(DF$4=0,0,IF(COUNTIFS(実績!$W$6:$W$505,DF$3,実績!$AI$6:$AI$505,"&lt;="&amp;$A122,実績!$AJ$6:$AJ$505,"&gt;"&amp;$A122,実績!$AK$6:$AK$505,"○")&gt;0,1,0))</f>
        <v>0</v>
      </c>
      <c r="DG122" s="39" t="n">
        <f aca="false">IF(DG$4=0,0,IF(COUNTIFS(実績!$W$6:$W$505,DG$3,実績!$AI$6:$AI$505,"&lt;="&amp;$A122,実績!$AJ$6:$AJ$505,"&gt;"&amp;$A122,実績!$AK$6:$AK$505,"○")&gt;0,1,0))</f>
        <v>0</v>
      </c>
      <c r="DH122" s="39" t="n">
        <f aca="false">IF(DH$4=0,0,IF(COUNTIFS(実績!$W$6:$W$505,DH$3,実績!$AI$6:$AI$505,"&lt;="&amp;$A122,実績!$AJ$6:$AJ$505,"&gt;"&amp;$A122,実績!$AK$6:$AK$505,"○")&gt;0,1,0))</f>
        <v>0</v>
      </c>
      <c r="DI122" s="39" t="n">
        <f aca="false">IF(DI$4=0,0,IF(COUNTIFS(実績!$W$6:$W$505,DI$3,実績!$AI$6:$AI$505,"&lt;="&amp;$A122,実績!$AJ$6:$AJ$505,"&gt;"&amp;$A122,実績!$AK$6:$AK$505,"○")&gt;0,1,0))</f>
        <v>0</v>
      </c>
      <c r="DJ122" s="39" t="n">
        <f aca="false">IF(DJ$4=0,0,IF(COUNTIFS(実績!$W$6:$W$505,DJ$3,実績!$AI$6:$AI$505,"&lt;="&amp;$A122,実績!$AJ$6:$AJ$505,"&gt;"&amp;$A122,実績!$AK$6:$AK$505,"○")&gt;0,1,0))</f>
        <v>0</v>
      </c>
      <c r="DK122" s="39" t="n">
        <f aca="false">IF(DK$4=0,0,IF(COUNTIFS(実績!$W$6:$W$505,DK$3,実績!$AI$6:$AI$505,"&lt;="&amp;$A122,実績!$AJ$6:$AJ$505,"&gt;"&amp;$A122,実績!$AK$6:$AK$505,"○")&gt;0,1,0))</f>
        <v>0</v>
      </c>
      <c r="DL122" s="39" t="n">
        <f aca="false">IF(DL$4=0,0,IF(COUNTIFS(実績!$W$6:$W$505,DL$3,実績!$AI$6:$AI$505,"&lt;="&amp;$A122,実績!$AJ$6:$AJ$505,"&gt;"&amp;$A122,実績!$AK$6:$AK$505,"○")&gt;0,1,0))</f>
        <v>0</v>
      </c>
      <c r="DM122" s="39" t="n">
        <f aca="false">IF(DM$4=0,0,IF(COUNTIFS(実績!$W$6:$W$505,DM$3,実績!$AI$6:$AI$505,"&lt;="&amp;$A122,実績!$AJ$6:$AJ$505,"&gt;"&amp;$A122,実績!$AK$6:$AK$505,"○")&gt;0,1,0))</f>
        <v>0</v>
      </c>
      <c r="DN122" s="39" t="n">
        <f aca="false">IF(DN$4=0,0,IF(COUNTIFS(実績!$W$6:$W$505,DN$3,実績!$AI$6:$AI$505,"&lt;="&amp;$A122,実績!$AJ$6:$AJ$505,"&gt;"&amp;$A122,実績!$AK$6:$AK$505,"○")&gt;0,1,0))</f>
        <v>0</v>
      </c>
      <c r="DO122" s="39" t="n">
        <f aca="false">IF(DO$4=0,0,IF(COUNTIFS(実績!$W$6:$W$505,DO$3,実績!$AI$6:$AI$505,"&lt;="&amp;$A122,実績!$AJ$6:$AJ$505,"&gt;"&amp;$A122,実績!$AK$6:$AK$505,"○")&gt;0,1,0))</f>
        <v>0</v>
      </c>
      <c r="DP122" s="39" t="n">
        <f aca="false">IF(DP$4=0,0,IF(COUNTIFS(実績!$W$6:$W$505,DP$3,実績!$AI$6:$AI$505,"&lt;="&amp;$A122,実績!$AJ$6:$AJ$505,"&gt;"&amp;$A122,実績!$AK$6:$AK$505,"○")&gt;0,1,0))</f>
        <v>0</v>
      </c>
      <c r="DQ122" s="39" t="n">
        <f aca="false">IF(DQ$4=0,0,IF(COUNTIFS(実績!$W$6:$W$505,DQ$3,実績!$AI$6:$AI$505,"&lt;="&amp;$A122,実績!$AJ$6:$AJ$505,"&gt;"&amp;$A122,実績!$AK$6:$AK$505,"○")&gt;0,1,0))</f>
        <v>0</v>
      </c>
      <c r="DR122" s="39" t="n">
        <f aca="false">IF(DR$4=0,0,IF(COUNTIFS(実績!$W$6:$W$505,DR$3,実績!$AI$6:$AI$505,"&lt;="&amp;$A122,実績!$AJ$6:$AJ$505,"&gt;"&amp;$A122,実績!$AK$6:$AK$505,"○")&gt;0,1,0))</f>
        <v>0</v>
      </c>
      <c r="DS122" s="39" t="n">
        <f aca="false">SUM(C122:DR122)</f>
        <v>0</v>
      </c>
      <c r="DT122" s="39" t="n">
        <f aca="false">SUMPRODUCT((実績!$C$6:$C$505="○")*ISNUMBER(実績!$AM$6:$AM$505)*(実績!$AM$6:$AM$505&lt;=$A122)*(実績!$AN$6:$AN$505&gt;$A122))</f>
        <v>0</v>
      </c>
      <c r="DU122" s="39" t="n">
        <f aca="false">SUMIF($C$2:$DR$2,"製鉄曳船",C122:DR122)</f>
        <v>0</v>
      </c>
      <c r="DV122" s="39" t="n">
        <f aca="false">SUMIF($C$2:$DR$2,"西日本海運",C122:DR122)</f>
        <v>0</v>
      </c>
    </row>
    <row r="123" customFormat="false" ht="15" hidden="false" customHeight="false" outlineLevel="0" collapsed="false">
      <c r="A123" s="0" t="n">
        <v>585</v>
      </c>
      <c r="B123" s="38" t="n">
        <f aca="false">A123/1440</f>
        <v>0.40625</v>
      </c>
      <c r="C123" s="39" t="n">
        <f aca="false">IF(C$4=0,0,IF(COUNTIFS(実績!$W$6:$W$505,C$3,実績!$AI$6:$AI$505,"&lt;="&amp;$A123,実績!$AJ$6:$AJ$505,"&gt;"&amp;$A123,実績!$AK$6:$AK$505,"○")&gt;0,1,0))</f>
        <v>0</v>
      </c>
      <c r="D123" s="39" t="n">
        <f aca="false">IF(D$4=0,0,IF(COUNTIFS(実績!$W$6:$W$505,D$3,実績!$AI$6:$AI$505,"&lt;="&amp;$A123,実績!$AJ$6:$AJ$505,"&gt;"&amp;$A123,実績!$AK$6:$AK$505,"○")&gt;0,1,0))</f>
        <v>0</v>
      </c>
      <c r="E123" s="39" t="n">
        <f aca="false">IF(E$4=0,0,IF(COUNTIFS(実績!$W$6:$W$505,E$3,実績!$AI$6:$AI$505,"&lt;="&amp;$A123,実績!$AJ$6:$AJ$505,"&gt;"&amp;$A123,実績!$AK$6:$AK$505,"○")&gt;0,1,0))</f>
        <v>0</v>
      </c>
      <c r="F123" s="39" t="n">
        <f aca="false">IF(F$4=0,0,IF(COUNTIFS(実績!$W$6:$W$505,F$3,実績!$AI$6:$AI$505,"&lt;="&amp;$A123,実績!$AJ$6:$AJ$505,"&gt;"&amp;$A123,実績!$AK$6:$AK$505,"○")&gt;0,1,0))</f>
        <v>0</v>
      </c>
      <c r="G123" s="39" t="n">
        <f aca="false">IF(G$4=0,0,IF(COUNTIFS(実績!$W$6:$W$505,G$3,実績!$AI$6:$AI$505,"&lt;="&amp;$A123,実績!$AJ$6:$AJ$505,"&gt;"&amp;$A123,実績!$AK$6:$AK$505,"○")&gt;0,1,0))</f>
        <v>0</v>
      </c>
      <c r="H123" s="39" t="n">
        <f aca="false">IF(H$4=0,0,IF(COUNTIFS(実績!$W$6:$W$505,H$3,実績!$AI$6:$AI$505,"&lt;="&amp;$A123,実績!$AJ$6:$AJ$505,"&gt;"&amp;$A123,実績!$AK$6:$AK$505,"○")&gt;0,1,0))</f>
        <v>0</v>
      </c>
      <c r="I123" s="39" t="n">
        <f aca="false">IF(I$4=0,0,IF(COUNTIFS(実績!$W$6:$W$505,I$3,実績!$AI$6:$AI$505,"&lt;="&amp;$A123,実績!$AJ$6:$AJ$505,"&gt;"&amp;$A123,実績!$AK$6:$AK$505,"○")&gt;0,1,0))</f>
        <v>0</v>
      </c>
      <c r="J123" s="39" t="n">
        <f aca="false">IF(J$4=0,0,IF(COUNTIFS(実績!$W$6:$W$505,J$3,実績!$AI$6:$AI$505,"&lt;="&amp;$A123,実績!$AJ$6:$AJ$505,"&gt;"&amp;$A123,実績!$AK$6:$AK$505,"○")&gt;0,1,0))</f>
        <v>0</v>
      </c>
      <c r="K123" s="39" t="n">
        <f aca="false">IF(K$4=0,0,IF(COUNTIFS(実績!$W$6:$W$505,K$3,実績!$AI$6:$AI$505,"&lt;="&amp;$A123,実績!$AJ$6:$AJ$505,"&gt;"&amp;$A123,実績!$AK$6:$AK$505,"○")&gt;0,1,0))</f>
        <v>0</v>
      </c>
      <c r="L123" s="39" t="n">
        <f aca="false">IF(L$4=0,0,IF(COUNTIFS(実績!$W$6:$W$505,L$3,実績!$AI$6:$AI$505,"&lt;="&amp;$A123,実績!$AJ$6:$AJ$505,"&gt;"&amp;$A123,実績!$AK$6:$AK$505,"○")&gt;0,1,0))</f>
        <v>0</v>
      </c>
      <c r="M123" s="39" t="n">
        <f aca="false">IF(M$4=0,0,IF(COUNTIFS(実績!$W$6:$W$505,M$3,実績!$AI$6:$AI$505,"&lt;="&amp;$A123,実績!$AJ$6:$AJ$505,"&gt;"&amp;$A123,実績!$AK$6:$AK$505,"○")&gt;0,1,0))</f>
        <v>0</v>
      </c>
      <c r="N123" s="39" t="n">
        <f aca="false">IF(N$4=0,0,IF(COUNTIFS(実績!$W$6:$W$505,N$3,実績!$AI$6:$AI$505,"&lt;="&amp;$A123,実績!$AJ$6:$AJ$505,"&gt;"&amp;$A123,実績!$AK$6:$AK$505,"○")&gt;0,1,0))</f>
        <v>0</v>
      </c>
      <c r="O123" s="39" t="n">
        <f aca="false">IF(O$4=0,0,IF(COUNTIFS(実績!$W$6:$W$505,O$3,実績!$AI$6:$AI$505,"&lt;="&amp;$A123,実績!$AJ$6:$AJ$505,"&gt;"&amp;$A123,実績!$AK$6:$AK$505,"○")&gt;0,1,0))</f>
        <v>0</v>
      </c>
      <c r="P123" s="39" t="n">
        <f aca="false">IF(P$4=0,0,IF(COUNTIFS(実績!$W$6:$W$505,P$3,実績!$AI$6:$AI$505,"&lt;="&amp;$A123,実績!$AJ$6:$AJ$505,"&gt;"&amp;$A123,実績!$AK$6:$AK$505,"○")&gt;0,1,0))</f>
        <v>0</v>
      </c>
      <c r="Q123" s="39" t="n">
        <f aca="false">IF(Q$4=0,0,IF(COUNTIFS(実績!$W$6:$W$505,Q$3,実績!$AI$6:$AI$505,"&lt;="&amp;$A123,実績!$AJ$6:$AJ$505,"&gt;"&amp;$A123,実績!$AK$6:$AK$505,"○")&gt;0,1,0))</f>
        <v>0</v>
      </c>
      <c r="R123" s="39" t="n">
        <f aca="false">IF(R$4=0,0,IF(COUNTIFS(実績!$W$6:$W$505,R$3,実績!$AI$6:$AI$505,"&lt;="&amp;$A123,実績!$AJ$6:$AJ$505,"&gt;"&amp;$A123,実績!$AK$6:$AK$505,"○")&gt;0,1,0))</f>
        <v>0</v>
      </c>
      <c r="S123" s="39" t="n">
        <f aca="false">IF(S$4=0,0,IF(COUNTIFS(実績!$W$6:$W$505,S$3,実績!$AI$6:$AI$505,"&lt;="&amp;$A123,実績!$AJ$6:$AJ$505,"&gt;"&amp;$A123,実績!$AK$6:$AK$505,"○")&gt;0,1,0))</f>
        <v>0</v>
      </c>
      <c r="T123" s="39" t="n">
        <f aca="false">IF(T$4=0,0,IF(COUNTIFS(実績!$W$6:$W$505,T$3,実績!$AI$6:$AI$505,"&lt;="&amp;$A123,実績!$AJ$6:$AJ$505,"&gt;"&amp;$A123,実績!$AK$6:$AK$505,"○")&gt;0,1,0))</f>
        <v>0</v>
      </c>
      <c r="U123" s="39" t="n">
        <f aca="false">IF(U$4=0,0,IF(COUNTIFS(実績!$W$6:$W$505,U$3,実績!$AI$6:$AI$505,"&lt;="&amp;$A123,実績!$AJ$6:$AJ$505,"&gt;"&amp;$A123,実績!$AK$6:$AK$505,"○")&gt;0,1,0))</f>
        <v>0</v>
      </c>
      <c r="V123" s="39" t="n">
        <f aca="false">IF(V$4=0,0,IF(COUNTIFS(実績!$W$6:$W$505,V$3,実績!$AI$6:$AI$505,"&lt;="&amp;$A123,実績!$AJ$6:$AJ$505,"&gt;"&amp;$A123,実績!$AK$6:$AK$505,"○")&gt;0,1,0))</f>
        <v>0</v>
      </c>
      <c r="W123" s="39" t="n">
        <f aca="false">IF(W$4=0,0,IF(COUNTIFS(実績!$W$6:$W$505,W$3,実績!$AI$6:$AI$505,"&lt;="&amp;$A123,実績!$AJ$6:$AJ$505,"&gt;"&amp;$A123,実績!$AK$6:$AK$505,"○")&gt;0,1,0))</f>
        <v>0</v>
      </c>
      <c r="X123" s="39" t="n">
        <f aca="false">IF(X$4=0,0,IF(COUNTIFS(実績!$W$6:$W$505,X$3,実績!$AI$6:$AI$505,"&lt;="&amp;$A123,実績!$AJ$6:$AJ$505,"&gt;"&amp;$A123,実績!$AK$6:$AK$505,"○")&gt;0,1,0))</f>
        <v>0</v>
      </c>
      <c r="Y123" s="39" t="n">
        <f aca="false">IF(Y$4=0,0,IF(COUNTIFS(実績!$W$6:$W$505,Y$3,実績!$AI$6:$AI$505,"&lt;="&amp;$A123,実績!$AJ$6:$AJ$505,"&gt;"&amp;$A123,実績!$AK$6:$AK$505,"○")&gt;0,1,0))</f>
        <v>0</v>
      </c>
      <c r="Z123" s="39" t="n">
        <f aca="false">IF(Z$4=0,0,IF(COUNTIFS(実績!$W$6:$W$505,Z$3,実績!$AI$6:$AI$505,"&lt;="&amp;$A123,実績!$AJ$6:$AJ$505,"&gt;"&amp;$A123,実績!$AK$6:$AK$505,"○")&gt;0,1,0))</f>
        <v>0</v>
      </c>
      <c r="AA123" s="39" t="n">
        <f aca="false">IF(AA$4=0,0,IF(COUNTIFS(実績!$W$6:$W$505,AA$3,実績!$AI$6:$AI$505,"&lt;="&amp;$A123,実績!$AJ$6:$AJ$505,"&gt;"&amp;$A123,実績!$AK$6:$AK$505,"○")&gt;0,1,0))</f>
        <v>0</v>
      </c>
      <c r="AB123" s="39" t="n">
        <f aca="false">IF(AB$4=0,0,IF(COUNTIFS(実績!$W$6:$W$505,AB$3,実績!$AI$6:$AI$505,"&lt;="&amp;$A123,実績!$AJ$6:$AJ$505,"&gt;"&amp;$A123,実績!$AK$6:$AK$505,"○")&gt;0,1,0))</f>
        <v>0</v>
      </c>
      <c r="AC123" s="39" t="n">
        <f aca="false">IF(AC$4=0,0,IF(COUNTIFS(実績!$W$6:$W$505,AC$3,実績!$AI$6:$AI$505,"&lt;="&amp;$A123,実績!$AJ$6:$AJ$505,"&gt;"&amp;$A123,実績!$AK$6:$AK$505,"○")&gt;0,1,0))</f>
        <v>0</v>
      </c>
      <c r="AD123" s="39" t="n">
        <f aca="false">IF(AD$4=0,0,IF(COUNTIFS(実績!$W$6:$W$505,AD$3,実績!$AI$6:$AI$505,"&lt;="&amp;$A123,実績!$AJ$6:$AJ$505,"&gt;"&amp;$A123,実績!$AK$6:$AK$505,"○")&gt;0,1,0))</f>
        <v>0</v>
      </c>
      <c r="AE123" s="39" t="n">
        <f aca="false">IF(AE$4=0,0,IF(COUNTIFS(実績!$W$6:$W$505,AE$3,実績!$AI$6:$AI$505,"&lt;="&amp;$A123,実績!$AJ$6:$AJ$505,"&gt;"&amp;$A123,実績!$AK$6:$AK$505,"○")&gt;0,1,0))</f>
        <v>0</v>
      </c>
      <c r="AF123" s="39" t="n">
        <f aca="false">IF(AF$4=0,0,IF(COUNTIFS(実績!$W$6:$W$505,AF$3,実績!$AI$6:$AI$505,"&lt;="&amp;$A123,実績!$AJ$6:$AJ$505,"&gt;"&amp;$A123,実績!$AK$6:$AK$505,"○")&gt;0,1,0))</f>
        <v>0</v>
      </c>
      <c r="AG123" s="39" t="n">
        <f aca="false">IF(AG$4=0,0,IF(COUNTIFS(実績!$W$6:$W$505,AG$3,実績!$AI$6:$AI$505,"&lt;="&amp;$A123,実績!$AJ$6:$AJ$505,"&gt;"&amp;$A123,実績!$AK$6:$AK$505,"○")&gt;0,1,0))</f>
        <v>0</v>
      </c>
      <c r="AH123" s="39" t="n">
        <f aca="false">IF(AH$4=0,0,IF(COUNTIFS(実績!$W$6:$W$505,AH$3,実績!$AI$6:$AI$505,"&lt;="&amp;$A123,実績!$AJ$6:$AJ$505,"&gt;"&amp;$A123,実績!$AK$6:$AK$505,"○")&gt;0,1,0))</f>
        <v>0</v>
      </c>
      <c r="AI123" s="39" t="n">
        <f aca="false">IF(AI$4=0,0,IF(COUNTIFS(実績!$W$6:$W$505,AI$3,実績!$AI$6:$AI$505,"&lt;="&amp;$A123,実績!$AJ$6:$AJ$505,"&gt;"&amp;$A123,実績!$AK$6:$AK$505,"○")&gt;0,1,0))</f>
        <v>0</v>
      </c>
      <c r="AJ123" s="39" t="n">
        <f aca="false">IF(AJ$4=0,0,IF(COUNTIFS(実績!$W$6:$W$505,AJ$3,実績!$AI$6:$AI$505,"&lt;="&amp;$A123,実績!$AJ$6:$AJ$505,"&gt;"&amp;$A123,実績!$AK$6:$AK$505,"○")&gt;0,1,0))</f>
        <v>0</v>
      </c>
      <c r="AK123" s="39" t="n">
        <f aca="false">IF(AK$4=0,0,IF(COUNTIFS(実績!$W$6:$W$505,AK$3,実績!$AI$6:$AI$505,"&lt;="&amp;$A123,実績!$AJ$6:$AJ$505,"&gt;"&amp;$A123,実績!$AK$6:$AK$505,"○")&gt;0,1,0))</f>
        <v>0</v>
      </c>
      <c r="AL123" s="39" t="n">
        <f aca="false">IF(AL$4=0,0,IF(COUNTIFS(実績!$W$6:$W$505,AL$3,実績!$AI$6:$AI$505,"&lt;="&amp;$A123,実績!$AJ$6:$AJ$505,"&gt;"&amp;$A123,実績!$AK$6:$AK$505,"○")&gt;0,1,0))</f>
        <v>0</v>
      </c>
      <c r="AM123" s="39" t="n">
        <f aca="false">IF(AM$4=0,0,IF(COUNTIFS(実績!$W$6:$W$505,AM$3,実績!$AI$6:$AI$505,"&lt;="&amp;$A123,実績!$AJ$6:$AJ$505,"&gt;"&amp;$A123,実績!$AK$6:$AK$505,"○")&gt;0,1,0))</f>
        <v>0</v>
      </c>
      <c r="AN123" s="39" t="n">
        <f aca="false">IF(AN$4=0,0,IF(COUNTIFS(実績!$W$6:$W$505,AN$3,実績!$AI$6:$AI$505,"&lt;="&amp;$A123,実績!$AJ$6:$AJ$505,"&gt;"&amp;$A123,実績!$AK$6:$AK$505,"○")&gt;0,1,0))</f>
        <v>0</v>
      </c>
      <c r="AO123" s="39" t="n">
        <f aca="false">IF(AO$4=0,0,IF(COUNTIFS(実績!$W$6:$W$505,AO$3,実績!$AI$6:$AI$505,"&lt;="&amp;$A123,実績!$AJ$6:$AJ$505,"&gt;"&amp;$A123,実績!$AK$6:$AK$505,"○")&gt;0,1,0))</f>
        <v>0</v>
      </c>
      <c r="AP123" s="39" t="n">
        <f aca="false">IF(AP$4=0,0,IF(COUNTIFS(実績!$W$6:$W$505,AP$3,実績!$AI$6:$AI$505,"&lt;="&amp;$A123,実績!$AJ$6:$AJ$505,"&gt;"&amp;$A123,実績!$AK$6:$AK$505,"○")&gt;0,1,0))</f>
        <v>0</v>
      </c>
      <c r="AQ123" s="39" t="n">
        <f aca="false">IF(AQ$4=0,0,IF(COUNTIFS(実績!$W$6:$W$505,AQ$3,実績!$AI$6:$AI$505,"&lt;="&amp;$A123,実績!$AJ$6:$AJ$505,"&gt;"&amp;$A123,実績!$AK$6:$AK$505,"○")&gt;0,1,0))</f>
        <v>0</v>
      </c>
      <c r="AR123" s="39" t="n">
        <f aca="false">IF(AR$4=0,0,IF(COUNTIFS(実績!$W$6:$W$505,AR$3,実績!$AI$6:$AI$505,"&lt;="&amp;$A123,実績!$AJ$6:$AJ$505,"&gt;"&amp;$A123,実績!$AK$6:$AK$505,"○")&gt;0,1,0))</f>
        <v>0</v>
      </c>
      <c r="AS123" s="39" t="n">
        <f aca="false">IF(AS$4=0,0,IF(COUNTIFS(実績!$W$6:$W$505,AS$3,実績!$AI$6:$AI$505,"&lt;="&amp;$A123,実績!$AJ$6:$AJ$505,"&gt;"&amp;$A123,実績!$AK$6:$AK$505,"○")&gt;0,1,0))</f>
        <v>0</v>
      </c>
      <c r="AT123" s="39" t="n">
        <f aca="false">IF(AT$4=0,0,IF(COUNTIFS(実績!$W$6:$W$505,AT$3,実績!$AI$6:$AI$505,"&lt;="&amp;$A123,実績!$AJ$6:$AJ$505,"&gt;"&amp;$A123,実績!$AK$6:$AK$505,"○")&gt;0,1,0))</f>
        <v>0</v>
      </c>
      <c r="AU123" s="39" t="n">
        <f aca="false">IF(AU$4=0,0,IF(COUNTIFS(実績!$W$6:$W$505,AU$3,実績!$AI$6:$AI$505,"&lt;="&amp;$A123,実績!$AJ$6:$AJ$505,"&gt;"&amp;$A123,実績!$AK$6:$AK$505,"○")&gt;0,1,0))</f>
        <v>0</v>
      </c>
      <c r="AV123" s="39" t="n">
        <f aca="false">IF(AV$4=0,0,IF(COUNTIFS(実績!$W$6:$W$505,AV$3,実績!$AI$6:$AI$505,"&lt;="&amp;$A123,実績!$AJ$6:$AJ$505,"&gt;"&amp;$A123,実績!$AK$6:$AK$505,"○")&gt;0,1,0))</f>
        <v>0</v>
      </c>
      <c r="AW123" s="39" t="n">
        <f aca="false">IF(AW$4=0,0,IF(COUNTIFS(実績!$W$6:$W$505,AW$3,実績!$AI$6:$AI$505,"&lt;="&amp;$A123,実績!$AJ$6:$AJ$505,"&gt;"&amp;$A123,実績!$AK$6:$AK$505,"○")&gt;0,1,0))</f>
        <v>0</v>
      </c>
      <c r="AX123" s="39" t="n">
        <f aca="false">IF(AX$4=0,0,IF(COUNTIFS(実績!$W$6:$W$505,AX$3,実績!$AI$6:$AI$505,"&lt;="&amp;$A123,実績!$AJ$6:$AJ$505,"&gt;"&amp;$A123,実績!$AK$6:$AK$505,"○")&gt;0,1,0))</f>
        <v>0</v>
      </c>
      <c r="AY123" s="39" t="n">
        <f aca="false">IF(AY$4=0,0,IF(COUNTIFS(実績!$W$6:$W$505,AY$3,実績!$AI$6:$AI$505,"&lt;="&amp;$A123,実績!$AJ$6:$AJ$505,"&gt;"&amp;$A123,実績!$AK$6:$AK$505,"○")&gt;0,1,0))</f>
        <v>0</v>
      </c>
      <c r="AZ123" s="39" t="n">
        <f aca="false">IF(AZ$4=0,0,IF(COUNTIFS(実績!$W$6:$W$505,AZ$3,実績!$AI$6:$AI$505,"&lt;="&amp;$A123,実績!$AJ$6:$AJ$505,"&gt;"&amp;$A123,実績!$AK$6:$AK$505,"○")&gt;0,1,0))</f>
        <v>0</v>
      </c>
      <c r="BA123" s="39" t="n">
        <f aca="false">IF(BA$4=0,0,IF(COUNTIFS(実績!$W$6:$W$505,BA$3,実績!$AI$6:$AI$505,"&lt;="&amp;$A123,実績!$AJ$6:$AJ$505,"&gt;"&amp;$A123,実績!$AK$6:$AK$505,"○")&gt;0,1,0))</f>
        <v>0</v>
      </c>
      <c r="BB123" s="39" t="n">
        <f aca="false">IF(BB$4=0,0,IF(COUNTIFS(実績!$W$6:$W$505,BB$3,実績!$AI$6:$AI$505,"&lt;="&amp;$A123,実績!$AJ$6:$AJ$505,"&gt;"&amp;$A123,実績!$AK$6:$AK$505,"○")&gt;0,1,0))</f>
        <v>0</v>
      </c>
      <c r="BC123" s="39" t="n">
        <f aca="false">IF(BC$4=0,0,IF(COUNTIFS(実績!$W$6:$W$505,BC$3,実績!$AI$6:$AI$505,"&lt;="&amp;$A123,実績!$AJ$6:$AJ$505,"&gt;"&amp;$A123,実績!$AK$6:$AK$505,"○")&gt;0,1,0))</f>
        <v>0</v>
      </c>
      <c r="BD123" s="39" t="n">
        <f aca="false">IF(BD$4=0,0,IF(COUNTIFS(実績!$W$6:$W$505,BD$3,実績!$AI$6:$AI$505,"&lt;="&amp;$A123,実績!$AJ$6:$AJ$505,"&gt;"&amp;$A123,実績!$AK$6:$AK$505,"○")&gt;0,1,0))</f>
        <v>0</v>
      </c>
      <c r="BE123" s="39" t="n">
        <f aca="false">IF(BE$4=0,0,IF(COUNTIFS(実績!$W$6:$W$505,BE$3,実績!$AI$6:$AI$505,"&lt;="&amp;$A123,実績!$AJ$6:$AJ$505,"&gt;"&amp;$A123,実績!$AK$6:$AK$505,"○")&gt;0,1,0))</f>
        <v>0</v>
      </c>
      <c r="BF123" s="39" t="n">
        <f aca="false">IF(BF$4=0,0,IF(COUNTIFS(実績!$W$6:$W$505,BF$3,実績!$AI$6:$AI$505,"&lt;="&amp;$A123,実績!$AJ$6:$AJ$505,"&gt;"&amp;$A123,実績!$AK$6:$AK$505,"○")&gt;0,1,0))</f>
        <v>0</v>
      </c>
      <c r="BG123" s="39" t="n">
        <f aca="false">IF(BG$4=0,0,IF(COUNTIFS(実績!$W$6:$W$505,BG$3,実績!$AI$6:$AI$505,"&lt;="&amp;$A123,実績!$AJ$6:$AJ$505,"&gt;"&amp;$A123,実績!$AK$6:$AK$505,"○")&gt;0,1,0))</f>
        <v>0</v>
      </c>
      <c r="BH123" s="39" t="n">
        <f aca="false">IF(BH$4=0,0,IF(COUNTIFS(実績!$W$6:$W$505,BH$3,実績!$AI$6:$AI$505,"&lt;="&amp;$A123,実績!$AJ$6:$AJ$505,"&gt;"&amp;$A123,実績!$AK$6:$AK$505,"○")&gt;0,1,0))</f>
        <v>0</v>
      </c>
      <c r="BI123" s="39" t="n">
        <f aca="false">IF(BI$4=0,0,IF(COUNTIFS(実績!$W$6:$W$505,BI$3,実績!$AI$6:$AI$505,"&lt;="&amp;$A123,実績!$AJ$6:$AJ$505,"&gt;"&amp;$A123,実績!$AK$6:$AK$505,"○")&gt;0,1,0))</f>
        <v>0</v>
      </c>
      <c r="BJ123" s="39" t="n">
        <f aca="false">IF(BJ$4=0,0,IF(COUNTIFS(実績!$W$6:$W$505,BJ$3,実績!$AI$6:$AI$505,"&lt;="&amp;$A123,実績!$AJ$6:$AJ$505,"&gt;"&amp;$A123,実績!$AK$6:$AK$505,"○")&gt;0,1,0))</f>
        <v>0</v>
      </c>
      <c r="BK123" s="39" t="n">
        <f aca="false">IF(BK$4=0,0,IF(COUNTIFS(実績!$W$6:$W$505,BK$3,実績!$AI$6:$AI$505,"&lt;="&amp;$A123,実績!$AJ$6:$AJ$505,"&gt;"&amp;$A123,実績!$AK$6:$AK$505,"○")&gt;0,1,0))</f>
        <v>0</v>
      </c>
      <c r="BL123" s="39" t="n">
        <f aca="false">IF(BL$4=0,0,IF(COUNTIFS(実績!$W$6:$W$505,BL$3,実績!$AI$6:$AI$505,"&lt;="&amp;$A123,実績!$AJ$6:$AJ$505,"&gt;"&amp;$A123,実績!$AK$6:$AK$505,"○")&gt;0,1,0))</f>
        <v>0</v>
      </c>
      <c r="BM123" s="39" t="n">
        <f aca="false">IF(BM$4=0,0,IF(COUNTIFS(実績!$W$6:$W$505,BM$3,実績!$AI$6:$AI$505,"&lt;="&amp;$A123,実績!$AJ$6:$AJ$505,"&gt;"&amp;$A123,実績!$AK$6:$AK$505,"○")&gt;0,1,0))</f>
        <v>0</v>
      </c>
      <c r="BN123" s="39" t="n">
        <f aca="false">IF(BN$4=0,0,IF(COUNTIFS(実績!$W$6:$W$505,BN$3,実績!$AI$6:$AI$505,"&lt;="&amp;$A123,実績!$AJ$6:$AJ$505,"&gt;"&amp;$A123,実績!$AK$6:$AK$505,"○")&gt;0,1,0))</f>
        <v>0</v>
      </c>
      <c r="BO123" s="39" t="n">
        <f aca="false">IF(BO$4=0,0,IF(COUNTIFS(実績!$W$6:$W$505,BO$3,実績!$AI$6:$AI$505,"&lt;="&amp;$A123,実績!$AJ$6:$AJ$505,"&gt;"&amp;$A123,実績!$AK$6:$AK$505,"○")&gt;0,1,0))</f>
        <v>0</v>
      </c>
      <c r="BP123" s="39" t="n">
        <f aca="false">IF(BP$4=0,0,IF(COUNTIFS(実績!$W$6:$W$505,BP$3,実績!$AI$6:$AI$505,"&lt;="&amp;$A123,実績!$AJ$6:$AJ$505,"&gt;"&amp;$A123,実績!$AK$6:$AK$505,"○")&gt;0,1,0))</f>
        <v>0</v>
      </c>
      <c r="BQ123" s="39" t="n">
        <f aca="false">IF(BQ$4=0,0,IF(COUNTIFS(実績!$W$6:$W$505,BQ$3,実績!$AI$6:$AI$505,"&lt;="&amp;$A123,実績!$AJ$6:$AJ$505,"&gt;"&amp;$A123,実績!$AK$6:$AK$505,"○")&gt;0,1,0))</f>
        <v>0</v>
      </c>
      <c r="BR123" s="39" t="n">
        <f aca="false">IF(BR$4=0,0,IF(COUNTIFS(実績!$W$6:$W$505,BR$3,実績!$AI$6:$AI$505,"&lt;="&amp;$A123,実績!$AJ$6:$AJ$505,"&gt;"&amp;$A123,実績!$AK$6:$AK$505,"○")&gt;0,1,0))</f>
        <v>0</v>
      </c>
      <c r="BS123" s="39" t="n">
        <f aca="false">IF(BS$4=0,0,IF(COUNTIFS(実績!$W$6:$W$505,BS$3,実績!$AI$6:$AI$505,"&lt;="&amp;$A123,実績!$AJ$6:$AJ$505,"&gt;"&amp;$A123,実績!$AK$6:$AK$505,"○")&gt;0,1,0))</f>
        <v>0</v>
      </c>
      <c r="BT123" s="39" t="n">
        <f aca="false">IF(BT$4=0,0,IF(COUNTIFS(実績!$W$6:$W$505,BT$3,実績!$AI$6:$AI$505,"&lt;="&amp;$A123,実績!$AJ$6:$AJ$505,"&gt;"&amp;$A123,実績!$AK$6:$AK$505,"○")&gt;0,1,0))</f>
        <v>0</v>
      </c>
      <c r="BU123" s="39" t="n">
        <f aca="false">IF(BU$4=0,0,IF(COUNTIFS(実績!$W$6:$W$505,BU$3,実績!$AI$6:$AI$505,"&lt;="&amp;$A123,実績!$AJ$6:$AJ$505,"&gt;"&amp;$A123,実績!$AK$6:$AK$505,"○")&gt;0,1,0))</f>
        <v>0</v>
      </c>
      <c r="BV123" s="39" t="n">
        <f aca="false">IF(BV$4=0,0,IF(COUNTIFS(実績!$W$6:$W$505,BV$3,実績!$AI$6:$AI$505,"&lt;="&amp;$A123,実績!$AJ$6:$AJ$505,"&gt;"&amp;$A123,実績!$AK$6:$AK$505,"○")&gt;0,1,0))</f>
        <v>0</v>
      </c>
      <c r="BW123" s="39" t="n">
        <f aca="false">IF(BW$4=0,0,IF(COUNTIFS(実績!$W$6:$W$505,BW$3,実績!$AI$6:$AI$505,"&lt;="&amp;$A123,実績!$AJ$6:$AJ$505,"&gt;"&amp;$A123,実績!$AK$6:$AK$505,"○")&gt;0,1,0))</f>
        <v>0</v>
      </c>
      <c r="BX123" s="39" t="n">
        <f aca="false">IF(BX$4=0,0,IF(COUNTIFS(実績!$W$6:$W$505,BX$3,実績!$AI$6:$AI$505,"&lt;="&amp;$A123,実績!$AJ$6:$AJ$505,"&gt;"&amp;$A123,実績!$AK$6:$AK$505,"○")&gt;0,1,0))</f>
        <v>0</v>
      </c>
      <c r="BY123" s="39" t="n">
        <f aca="false">IF(BY$4=0,0,IF(COUNTIFS(実績!$W$6:$W$505,BY$3,実績!$AI$6:$AI$505,"&lt;="&amp;$A123,実績!$AJ$6:$AJ$505,"&gt;"&amp;$A123,実績!$AK$6:$AK$505,"○")&gt;0,1,0))</f>
        <v>0</v>
      </c>
      <c r="BZ123" s="39" t="n">
        <f aca="false">IF(BZ$4=0,0,IF(COUNTIFS(実績!$W$6:$W$505,BZ$3,実績!$AI$6:$AI$505,"&lt;="&amp;$A123,実績!$AJ$6:$AJ$505,"&gt;"&amp;$A123,実績!$AK$6:$AK$505,"○")&gt;0,1,0))</f>
        <v>0</v>
      </c>
      <c r="CA123" s="39" t="n">
        <f aca="false">IF(CA$4=0,0,IF(COUNTIFS(実績!$W$6:$W$505,CA$3,実績!$AI$6:$AI$505,"&lt;="&amp;$A123,実績!$AJ$6:$AJ$505,"&gt;"&amp;$A123,実績!$AK$6:$AK$505,"○")&gt;0,1,0))</f>
        <v>0</v>
      </c>
      <c r="CB123" s="39" t="n">
        <f aca="false">IF(CB$4=0,0,IF(COUNTIFS(実績!$W$6:$W$505,CB$3,実績!$AI$6:$AI$505,"&lt;="&amp;$A123,実績!$AJ$6:$AJ$505,"&gt;"&amp;$A123,実績!$AK$6:$AK$505,"○")&gt;0,1,0))</f>
        <v>0</v>
      </c>
      <c r="CC123" s="39" t="n">
        <f aca="false">IF(CC$4=0,0,IF(COUNTIFS(実績!$W$6:$W$505,CC$3,実績!$AI$6:$AI$505,"&lt;="&amp;$A123,実績!$AJ$6:$AJ$505,"&gt;"&amp;$A123,実績!$AK$6:$AK$505,"○")&gt;0,1,0))</f>
        <v>0</v>
      </c>
      <c r="CD123" s="39" t="n">
        <f aca="false">IF(CD$4=0,0,IF(COUNTIFS(実績!$W$6:$W$505,CD$3,実績!$AI$6:$AI$505,"&lt;="&amp;$A123,実績!$AJ$6:$AJ$505,"&gt;"&amp;$A123,実績!$AK$6:$AK$505,"○")&gt;0,1,0))</f>
        <v>0</v>
      </c>
      <c r="CE123" s="39" t="n">
        <f aca="false">IF(CE$4=0,0,IF(COUNTIFS(実績!$W$6:$W$505,CE$3,実績!$AI$6:$AI$505,"&lt;="&amp;$A123,実績!$AJ$6:$AJ$505,"&gt;"&amp;$A123,実績!$AK$6:$AK$505,"○")&gt;0,1,0))</f>
        <v>0</v>
      </c>
      <c r="CF123" s="39" t="n">
        <f aca="false">IF(CF$4=0,0,IF(COUNTIFS(実績!$W$6:$W$505,CF$3,実績!$AI$6:$AI$505,"&lt;="&amp;$A123,実績!$AJ$6:$AJ$505,"&gt;"&amp;$A123,実績!$AK$6:$AK$505,"○")&gt;0,1,0))</f>
        <v>0</v>
      </c>
      <c r="CG123" s="39" t="n">
        <f aca="false">IF(CG$4=0,0,IF(COUNTIFS(実績!$W$6:$W$505,CG$3,実績!$AI$6:$AI$505,"&lt;="&amp;$A123,実績!$AJ$6:$AJ$505,"&gt;"&amp;$A123,実績!$AK$6:$AK$505,"○")&gt;0,1,0))</f>
        <v>0</v>
      </c>
      <c r="CH123" s="39" t="n">
        <f aca="false">IF(CH$4=0,0,IF(COUNTIFS(実績!$W$6:$W$505,CH$3,実績!$AI$6:$AI$505,"&lt;="&amp;$A123,実績!$AJ$6:$AJ$505,"&gt;"&amp;$A123,実績!$AK$6:$AK$505,"○")&gt;0,1,0))</f>
        <v>0</v>
      </c>
      <c r="CI123" s="39" t="n">
        <f aca="false">IF(CI$4=0,0,IF(COUNTIFS(実績!$W$6:$W$505,CI$3,実績!$AI$6:$AI$505,"&lt;="&amp;$A123,実績!$AJ$6:$AJ$505,"&gt;"&amp;$A123,実績!$AK$6:$AK$505,"○")&gt;0,1,0))</f>
        <v>0</v>
      </c>
      <c r="CJ123" s="39" t="n">
        <f aca="false">IF(CJ$4=0,0,IF(COUNTIFS(実績!$W$6:$W$505,CJ$3,実績!$AI$6:$AI$505,"&lt;="&amp;$A123,実績!$AJ$6:$AJ$505,"&gt;"&amp;$A123,実績!$AK$6:$AK$505,"○")&gt;0,1,0))</f>
        <v>0</v>
      </c>
      <c r="CK123" s="39" t="n">
        <f aca="false">IF(CK$4=0,0,IF(COUNTIFS(実績!$W$6:$W$505,CK$3,実績!$AI$6:$AI$505,"&lt;="&amp;$A123,実績!$AJ$6:$AJ$505,"&gt;"&amp;$A123,実績!$AK$6:$AK$505,"○")&gt;0,1,0))</f>
        <v>0</v>
      </c>
      <c r="CL123" s="39" t="n">
        <f aca="false">IF(CL$4=0,0,IF(COUNTIFS(実績!$W$6:$W$505,CL$3,実績!$AI$6:$AI$505,"&lt;="&amp;$A123,実績!$AJ$6:$AJ$505,"&gt;"&amp;$A123,実績!$AK$6:$AK$505,"○")&gt;0,1,0))</f>
        <v>0</v>
      </c>
      <c r="CM123" s="39" t="n">
        <f aca="false">IF(CM$4=0,0,IF(COUNTIFS(実績!$W$6:$W$505,CM$3,実績!$AI$6:$AI$505,"&lt;="&amp;$A123,実績!$AJ$6:$AJ$505,"&gt;"&amp;$A123,実績!$AK$6:$AK$505,"○")&gt;0,1,0))</f>
        <v>0</v>
      </c>
      <c r="CN123" s="39" t="n">
        <f aca="false">IF(CN$4=0,0,IF(COUNTIFS(実績!$W$6:$W$505,CN$3,実績!$AI$6:$AI$505,"&lt;="&amp;$A123,実績!$AJ$6:$AJ$505,"&gt;"&amp;$A123,実績!$AK$6:$AK$505,"○")&gt;0,1,0))</f>
        <v>0</v>
      </c>
      <c r="CO123" s="39" t="n">
        <f aca="false">IF(CO$4=0,0,IF(COUNTIFS(実績!$W$6:$W$505,CO$3,実績!$AI$6:$AI$505,"&lt;="&amp;$A123,実績!$AJ$6:$AJ$505,"&gt;"&amp;$A123,実績!$AK$6:$AK$505,"○")&gt;0,1,0))</f>
        <v>0</v>
      </c>
      <c r="CP123" s="39" t="n">
        <f aca="false">IF(CP$4=0,0,IF(COUNTIFS(実績!$W$6:$W$505,CP$3,実績!$AI$6:$AI$505,"&lt;="&amp;$A123,実績!$AJ$6:$AJ$505,"&gt;"&amp;$A123,実績!$AK$6:$AK$505,"○")&gt;0,1,0))</f>
        <v>0</v>
      </c>
      <c r="CQ123" s="39" t="n">
        <f aca="false">IF(CQ$4=0,0,IF(COUNTIFS(実績!$W$6:$W$505,CQ$3,実績!$AI$6:$AI$505,"&lt;="&amp;$A123,実績!$AJ$6:$AJ$505,"&gt;"&amp;$A123,実績!$AK$6:$AK$505,"○")&gt;0,1,0))</f>
        <v>0</v>
      </c>
      <c r="CR123" s="39" t="n">
        <f aca="false">IF(CR$4=0,0,IF(COUNTIFS(実績!$W$6:$W$505,CR$3,実績!$AI$6:$AI$505,"&lt;="&amp;$A123,実績!$AJ$6:$AJ$505,"&gt;"&amp;$A123,実績!$AK$6:$AK$505,"○")&gt;0,1,0))</f>
        <v>0</v>
      </c>
      <c r="CS123" s="39" t="n">
        <f aca="false">IF(CS$4=0,0,IF(COUNTIFS(実績!$W$6:$W$505,CS$3,実績!$AI$6:$AI$505,"&lt;="&amp;$A123,実績!$AJ$6:$AJ$505,"&gt;"&amp;$A123,実績!$AK$6:$AK$505,"○")&gt;0,1,0))</f>
        <v>0</v>
      </c>
      <c r="CT123" s="39" t="n">
        <f aca="false">IF(CT$4=0,0,IF(COUNTIFS(実績!$W$6:$W$505,CT$3,実績!$AI$6:$AI$505,"&lt;="&amp;$A123,実績!$AJ$6:$AJ$505,"&gt;"&amp;$A123,実績!$AK$6:$AK$505,"○")&gt;0,1,0))</f>
        <v>0</v>
      </c>
      <c r="CU123" s="39" t="n">
        <f aca="false">IF(CU$4=0,0,IF(COUNTIFS(実績!$W$6:$W$505,CU$3,実績!$AI$6:$AI$505,"&lt;="&amp;$A123,実績!$AJ$6:$AJ$505,"&gt;"&amp;$A123,実績!$AK$6:$AK$505,"○")&gt;0,1,0))</f>
        <v>0</v>
      </c>
      <c r="CV123" s="39" t="n">
        <f aca="false">IF(CV$4=0,0,IF(COUNTIFS(実績!$W$6:$W$505,CV$3,実績!$AI$6:$AI$505,"&lt;="&amp;$A123,実績!$AJ$6:$AJ$505,"&gt;"&amp;$A123,実績!$AK$6:$AK$505,"○")&gt;0,1,0))</f>
        <v>0</v>
      </c>
      <c r="CW123" s="39" t="n">
        <f aca="false">IF(CW$4=0,0,IF(COUNTIFS(実績!$W$6:$W$505,CW$3,実績!$AI$6:$AI$505,"&lt;="&amp;$A123,実績!$AJ$6:$AJ$505,"&gt;"&amp;$A123,実績!$AK$6:$AK$505,"○")&gt;0,1,0))</f>
        <v>0</v>
      </c>
      <c r="CX123" s="39" t="n">
        <f aca="false">IF(CX$4=0,0,IF(COUNTIFS(実績!$W$6:$W$505,CX$3,実績!$AI$6:$AI$505,"&lt;="&amp;$A123,実績!$AJ$6:$AJ$505,"&gt;"&amp;$A123,実績!$AK$6:$AK$505,"○")&gt;0,1,0))</f>
        <v>0</v>
      </c>
      <c r="CY123" s="39" t="n">
        <f aca="false">IF(CY$4=0,0,IF(COUNTIFS(実績!$W$6:$W$505,CY$3,実績!$AI$6:$AI$505,"&lt;="&amp;$A123,実績!$AJ$6:$AJ$505,"&gt;"&amp;$A123,実績!$AK$6:$AK$505,"○")&gt;0,1,0))</f>
        <v>0</v>
      </c>
      <c r="CZ123" s="39" t="n">
        <f aca="false">IF(CZ$4=0,0,IF(COUNTIFS(実績!$W$6:$W$505,CZ$3,実績!$AI$6:$AI$505,"&lt;="&amp;$A123,実績!$AJ$6:$AJ$505,"&gt;"&amp;$A123,実績!$AK$6:$AK$505,"○")&gt;0,1,0))</f>
        <v>0</v>
      </c>
      <c r="DA123" s="39" t="n">
        <f aca="false">IF(DA$4=0,0,IF(COUNTIFS(実績!$W$6:$W$505,DA$3,実績!$AI$6:$AI$505,"&lt;="&amp;$A123,実績!$AJ$6:$AJ$505,"&gt;"&amp;$A123,実績!$AK$6:$AK$505,"○")&gt;0,1,0))</f>
        <v>0</v>
      </c>
      <c r="DB123" s="39" t="n">
        <f aca="false">IF(DB$4=0,0,IF(COUNTIFS(実績!$W$6:$W$505,DB$3,実績!$AI$6:$AI$505,"&lt;="&amp;$A123,実績!$AJ$6:$AJ$505,"&gt;"&amp;$A123,実績!$AK$6:$AK$505,"○")&gt;0,1,0))</f>
        <v>0</v>
      </c>
      <c r="DC123" s="39" t="n">
        <f aca="false">IF(DC$4=0,0,IF(COUNTIFS(実績!$W$6:$W$505,DC$3,実績!$AI$6:$AI$505,"&lt;="&amp;$A123,実績!$AJ$6:$AJ$505,"&gt;"&amp;$A123,実績!$AK$6:$AK$505,"○")&gt;0,1,0))</f>
        <v>0</v>
      </c>
      <c r="DD123" s="39" t="n">
        <f aca="false">IF(DD$4=0,0,IF(COUNTIFS(実績!$W$6:$W$505,DD$3,実績!$AI$6:$AI$505,"&lt;="&amp;$A123,実績!$AJ$6:$AJ$505,"&gt;"&amp;$A123,実績!$AK$6:$AK$505,"○")&gt;0,1,0))</f>
        <v>0</v>
      </c>
      <c r="DE123" s="39" t="n">
        <f aca="false">IF(DE$4=0,0,IF(COUNTIFS(実績!$W$6:$W$505,DE$3,実績!$AI$6:$AI$505,"&lt;="&amp;$A123,実績!$AJ$6:$AJ$505,"&gt;"&amp;$A123,実績!$AK$6:$AK$505,"○")&gt;0,1,0))</f>
        <v>0</v>
      </c>
      <c r="DF123" s="39" t="n">
        <f aca="false">IF(DF$4=0,0,IF(COUNTIFS(実績!$W$6:$W$505,DF$3,実績!$AI$6:$AI$505,"&lt;="&amp;$A123,実績!$AJ$6:$AJ$505,"&gt;"&amp;$A123,実績!$AK$6:$AK$505,"○")&gt;0,1,0))</f>
        <v>0</v>
      </c>
      <c r="DG123" s="39" t="n">
        <f aca="false">IF(DG$4=0,0,IF(COUNTIFS(実績!$W$6:$W$505,DG$3,実績!$AI$6:$AI$505,"&lt;="&amp;$A123,実績!$AJ$6:$AJ$505,"&gt;"&amp;$A123,実績!$AK$6:$AK$505,"○")&gt;0,1,0))</f>
        <v>0</v>
      </c>
      <c r="DH123" s="39" t="n">
        <f aca="false">IF(DH$4=0,0,IF(COUNTIFS(実績!$W$6:$W$505,DH$3,実績!$AI$6:$AI$505,"&lt;="&amp;$A123,実績!$AJ$6:$AJ$505,"&gt;"&amp;$A123,実績!$AK$6:$AK$505,"○")&gt;0,1,0))</f>
        <v>0</v>
      </c>
      <c r="DI123" s="39" t="n">
        <f aca="false">IF(DI$4=0,0,IF(COUNTIFS(実績!$W$6:$W$505,DI$3,実績!$AI$6:$AI$505,"&lt;="&amp;$A123,実績!$AJ$6:$AJ$505,"&gt;"&amp;$A123,実績!$AK$6:$AK$505,"○")&gt;0,1,0))</f>
        <v>0</v>
      </c>
      <c r="DJ123" s="39" t="n">
        <f aca="false">IF(DJ$4=0,0,IF(COUNTIFS(実績!$W$6:$W$505,DJ$3,実績!$AI$6:$AI$505,"&lt;="&amp;$A123,実績!$AJ$6:$AJ$505,"&gt;"&amp;$A123,実績!$AK$6:$AK$505,"○")&gt;0,1,0))</f>
        <v>0</v>
      </c>
      <c r="DK123" s="39" t="n">
        <f aca="false">IF(DK$4=0,0,IF(COUNTIFS(実績!$W$6:$W$505,DK$3,実績!$AI$6:$AI$505,"&lt;="&amp;$A123,実績!$AJ$6:$AJ$505,"&gt;"&amp;$A123,実績!$AK$6:$AK$505,"○")&gt;0,1,0))</f>
        <v>0</v>
      </c>
      <c r="DL123" s="39" t="n">
        <f aca="false">IF(DL$4=0,0,IF(COUNTIFS(実績!$W$6:$W$505,DL$3,実績!$AI$6:$AI$505,"&lt;="&amp;$A123,実績!$AJ$6:$AJ$505,"&gt;"&amp;$A123,実績!$AK$6:$AK$505,"○")&gt;0,1,0))</f>
        <v>0</v>
      </c>
      <c r="DM123" s="39" t="n">
        <f aca="false">IF(DM$4=0,0,IF(COUNTIFS(実績!$W$6:$W$505,DM$3,実績!$AI$6:$AI$505,"&lt;="&amp;$A123,実績!$AJ$6:$AJ$505,"&gt;"&amp;$A123,実績!$AK$6:$AK$505,"○")&gt;0,1,0))</f>
        <v>0</v>
      </c>
      <c r="DN123" s="39" t="n">
        <f aca="false">IF(DN$4=0,0,IF(COUNTIFS(実績!$W$6:$W$505,DN$3,実績!$AI$6:$AI$505,"&lt;="&amp;$A123,実績!$AJ$6:$AJ$505,"&gt;"&amp;$A123,実績!$AK$6:$AK$505,"○")&gt;0,1,0))</f>
        <v>0</v>
      </c>
      <c r="DO123" s="39" t="n">
        <f aca="false">IF(DO$4=0,0,IF(COUNTIFS(実績!$W$6:$W$505,DO$3,実績!$AI$6:$AI$505,"&lt;="&amp;$A123,実績!$AJ$6:$AJ$505,"&gt;"&amp;$A123,実績!$AK$6:$AK$505,"○")&gt;0,1,0))</f>
        <v>0</v>
      </c>
      <c r="DP123" s="39" t="n">
        <f aca="false">IF(DP$4=0,0,IF(COUNTIFS(実績!$W$6:$W$505,DP$3,実績!$AI$6:$AI$505,"&lt;="&amp;$A123,実績!$AJ$6:$AJ$505,"&gt;"&amp;$A123,実績!$AK$6:$AK$505,"○")&gt;0,1,0))</f>
        <v>0</v>
      </c>
      <c r="DQ123" s="39" t="n">
        <f aca="false">IF(DQ$4=0,0,IF(COUNTIFS(実績!$W$6:$W$505,DQ$3,実績!$AI$6:$AI$505,"&lt;="&amp;$A123,実績!$AJ$6:$AJ$505,"&gt;"&amp;$A123,実績!$AK$6:$AK$505,"○")&gt;0,1,0))</f>
        <v>0</v>
      </c>
      <c r="DR123" s="39" t="n">
        <f aca="false">IF(DR$4=0,0,IF(COUNTIFS(実績!$W$6:$W$505,DR$3,実績!$AI$6:$AI$505,"&lt;="&amp;$A123,実績!$AJ$6:$AJ$505,"&gt;"&amp;$A123,実績!$AK$6:$AK$505,"○")&gt;0,1,0))</f>
        <v>0</v>
      </c>
      <c r="DS123" s="39" t="n">
        <f aca="false">SUM(C123:DR123)</f>
        <v>0</v>
      </c>
      <c r="DT123" s="39" t="n">
        <f aca="false">SUMPRODUCT((実績!$C$6:$C$505="○")*ISNUMBER(実績!$AM$6:$AM$505)*(実績!$AM$6:$AM$505&lt;=$A123)*(実績!$AN$6:$AN$505&gt;$A123))</f>
        <v>0</v>
      </c>
      <c r="DU123" s="39" t="n">
        <f aca="false">SUMIF($C$2:$DR$2,"製鉄曳船",C123:DR123)</f>
        <v>0</v>
      </c>
      <c r="DV123" s="39" t="n">
        <f aca="false">SUMIF($C$2:$DR$2,"西日本海運",C123:DR123)</f>
        <v>0</v>
      </c>
    </row>
    <row r="124" customFormat="false" ht="15" hidden="false" customHeight="false" outlineLevel="0" collapsed="false">
      <c r="A124" s="0" t="n">
        <v>590</v>
      </c>
      <c r="B124" s="38" t="n">
        <f aca="false">A124/1440</f>
        <v>0.409722222222222</v>
      </c>
      <c r="C124" s="39" t="n">
        <f aca="false">IF(C$4=0,0,IF(COUNTIFS(実績!$W$6:$W$505,C$3,実績!$AI$6:$AI$505,"&lt;="&amp;$A124,実績!$AJ$6:$AJ$505,"&gt;"&amp;$A124,実績!$AK$6:$AK$505,"○")&gt;0,1,0))</f>
        <v>0</v>
      </c>
      <c r="D124" s="39" t="n">
        <f aca="false">IF(D$4=0,0,IF(COUNTIFS(実績!$W$6:$W$505,D$3,実績!$AI$6:$AI$505,"&lt;="&amp;$A124,実績!$AJ$6:$AJ$505,"&gt;"&amp;$A124,実績!$AK$6:$AK$505,"○")&gt;0,1,0))</f>
        <v>0</v>
      </c>
      <c r="E124" s="39" t="n">
        <f aca="false">IF(E$4=0,0,IF(COUNTIFS(実績!$W$6:$W$505,E$3,実績!$AI$6:$AI$505,"&lt;="&amp;$A124,実績!$AJ$6:$AJ$505,"&gt;"&amp;$A124,実績!$AK$6:$AK$505,"○")&gt;0,1,0))</f>
        <v>0</v>
      </c>
      <c r="F124" s="39" t="n">
        <f aca="false">IF(F$4=0,0,IF(COUNTIFS(実績!$W$6:$W$505,F$3,実績!$AI$6:$AI$505,"&lt;="&amp;$A124,実績!$AJ$6:$AJ$505,"&gt;"&amp;$A124,実績!$AK$6:$AK$505,"○")&gt;0,1,0))</f>
        <v>0</v>
      </c>
      <c r="G124" s="39" t="n">
        <f aca="false">IF(G$4=0,0,IF(COUNTIFS(実績!$W$6:$W$505,G$3,実績!$AI$6:$AI$505,"&lt;="&amp;$A124,実績!$AJ$6:$AJ$505,"&gt;"&amp;$A124,実績!$AK$6:$AK$505,"○")&gt;0,1,0))</f>
        <v>0</v>
      </c>
      <c r="H124" s="39" t="n">
        <f aca="false">IF(H$4=0,0,IF(COUNTIFS(実績!$W$6:$W$505,H$3,実績!$AI$6:$AI$505,"&lt;="&amp;$A124,実績!$AJ$6:$AJ$505,"&gt;"&amp;$A124,実績!$AK$6:$AK$505,"○")&gt;0,1,0))</f>
        <v>0</v>
      </c>
      <c r="I124" s="39" t="n">
        <f aca="false">IF(I$4=0,0,IF(COUNTIFS(実績!$W$6:$W$505,I$3,実績!$AI$6:$AI$505,"&lt;="&amp;$A124,実績!$AJ$6:$AJ$505,"&gt;"&amp;$A124,実績!$AK$6:$AK$505,"○")&gt;0,1,0))</f>
        <v>0</v>
      </c>
      <c r="J124" s="39" t="n">
        <f aca="false">IF(J$4=0,0,IF(COUNTIFS(実績!$W$6:$W$505,J$3,実績!$AI$6:$AI$505,"&lt;="&amp;$A124,実績!$AJ$6:$AJ$505,"&gt;"&amp;$A124,実績!$AK$6:$AK$505,"○")&gt;0,1,0))</f>
        <v>0</v>
      </c>
      <c r="K124" s="39" t="n">
        <f aca="false">IF(K$4=0,0,IF(COUNTIFS(実績!$W$6:$W$505,K$3,実績!$AI$6:$AI$505,"&lt;="&amp;$A124,実績!$AJ$6:$AJ$505,"&gt;"&amp;$A124,実績!$AK$6:$AK$505,"○")&gt;0,1,0))</f>
        <v>0</v>
      </c>
      <c r="L124" s="39" t="n">
        <f aca="false">IF(L$4=0,0,IF(COUNTIFS(実績!$W$6:$W$505,L$3,実績!$AI$6:$AI$505,"&lt;="&amp;$A124,実績!$AJ$6:$AJ$505,"&gt;"&amp;$A124,実績!$AK$6:$AK$505,"○")&gt;0,1,0))</f>
        <v>0</v>
      </c>
      <c r="M124" s="39" t="n">
        <f aca="false">IF(M$4=0,0,IF(COUNTIFS(実績!$W$6:$W$505,M$3,実績!$AI$6:$AI$505,"&lt;="&amp;$A124,実績!$AJ$6:$AJ$505,"&gt;"&amp;$A124,実績!$AK$6:$AK$505,"○")&gt;0,1,0))</f>
        <v>0</v>
      </c>
      <c r="N124" s="39" t="n">
        <f aca="false">IF(N$4=0,0,IF(COUNTIFS(実績!$W$6:$W$505,N$3,実績!$AI$6:$AI$505,"&lt;="&amp;$A124,実績!$AJ$6:$AJ$505,"&gt;"&amp;$A124,実績!$AK$6:$AK$505,"○")&gt;0,1,0))</f>
        <v>0</v>
      </c>
      <c r="O124" s="39" t="n">
        <f aca="false">IF(O$4=0,0,IF(COUNTIFS(実績!$W$6:$W$505,O$3,実績!$AI$6:$AI$505,"&lt;="&amp;$A124,実績!$AJ$6:$AJ$505,"&gt;"&amp;$A124,実績!$AK$6:$AK$505,"○")&gt;0,1,0))</f>
        <v>0</v>
      </c>
      <c r="P124" s="39" t="n">
        <f aca="false">IF(P$4=0,0,IF(COUNTIFS(実績!$W$6:$W$505,P$3,実績!$AI$6:$AI$505,"&lt;="&amp;$A124,実績!$AJ$6:$AJ$505,"&gt;"&amp;$A124,実績!$AK$6:$AK$505,"○")&gt;0,1,0))</f>
        <v>0</v>
      </c>
      <c r="Q124" s="39" t="n">
        <f aca="false">IF(Q$4=0,0,IF(COUNTIFS(実績!$W$6:$W$505,Q$3,実績!$AI$6:$AI$505,"&lt;="&amp;$A124,実績!$AJ$6:$AJ$505,"&gt;"&amp;$A124,実績!$AK$6:$AK$505,"○")&gt;0,1,0))</f>
        <v>0</v>
      </c>
      <c r="R124" s="39" t="n">
        <f aca="false">IF(R$4=0,0,IF(COUNTIFS(実績!$W$6:$W$505,R$3,実績!$AI$6:$AI$505,"&lt;="&amp;$A124,実績!$AJ$6:$AJ$505,"&gt;"&amp;$A124,実績!$AK$6:$AK$505,"○")&gt;0,1,0))</f>
        <v>0</v>
      </c>
      <c r="S124" s="39" t="n">
        <f aca="false">IF(S$4=0,0,IF(COUNTIFS(実績!$W$6:$W$505,S$3,実績!$AI$6:$AI$505,"&lt;="&amp;$A124,実績!$AJ$6:$AJ$505,"&gt;"&amp;$A124,実績!$AK$6:$AK$505,"○")&gt;0,1,0))</f>
        <v>0</v>
      </c>
      <c r="T124" s="39" t="n">
        <f aca="false">IF(T$4=0,0,IF(COUNTIFS(実績!$W$6:$W$505,T$3,実績!$AI$6:$AI$505,"&lt;="&amp;$A124,実績!$AJ$6:$AJ$505,"&gt;"&amp;$A124,実績!$AK$6:$AK$505,"○")&gt;0,1,0))</f>
        <v>0</v>
      </c>
      <c r="U124" s="39" t="n">
        <f aca="false">IF(U$4=0,0,IF(COUNTIFS(実績!$W$6:$W$505,U$3,実績!$AI$6:$AI$505,"&lt;="&amp;$A124,実績!$AJ$6:$AJ$505,"&gt;"&amp;$A124,実績!$AK$6:$AK$505,"○")&gt;0,1,0))</f>
        <v>0</v>
      </c>
      <c r="V124" s="39" t="n">
        <f aca="false">IF(V$4=0,0,IF(COUNTIFS(実績!$W$6:$W$505,V$3,実績!$AI$6:$AI$505,"&lt;="&amp;$A124,実績!$AJ$6:$AJ$505,"&gt;"&amp;$A124,実績!$AK$6:$AK$505,"○")&gt;0,1,0))</f>
        <v>0</v>
      </c>
      <c r="W124" s="39" t="n">
        <f aca="false">IF(W$4=0,0,IF(COUNTIFS(実績!$W$6:$W$505,W$3,実績!$AI$6:$AI$505,"&lt;="&amp;$A124,実績!$AJ$6:$AJ$505,"&gt;"&amp;$A124,実績!$AK$6:$AK$505,"○")&gt;0,1,0))</f>
        <v>0</v>
      </c>
      <c r="X124" s="39" t="n">
        <f aca="false">IF(X$4=0,0,IF(COUNTIFS(実績!$W$6:$W$505,X$3,実績!$AI$6:$AI$505,"&lt;="&amp;$A124,実績!$AJ$6:$AJ$505,"&gt;"&amp;$A124,実績!$AK$6:$AK$505,"○")&gt;0,1,0))</f>
        <v>0</v>
      </c>
      <c r="Y124" s="39" t="n">
        <f aca="false">IF(Y$4=0,0,IF(COUNTIFS(実績!$W$6:$W$505,Y$3,実績!$AI$6:$AI$505,"&lt;="&amp;$A124,実績!$AJ$6:$AJ$505,"&gt;"&amp;$A124,実績!$AK$6:$AK$505,"○")&gt;0,1,0))</f>
        <v>0</v>
      </c>
      <c r="Z124" s="39" t="n">
        <f aca="false">IF(Z$4=0,0,IF(COUNTIFS(実績!$W$6:$W$505,Z$3,実績!$AI$6:$AI$505,"&lt;="&amp;$A124,実績!$AJ$6:$AJ$505,"&gt;"&amp;$A124,実績!$AK$6:$AK$505,"○")&gt;0,1,0))</f>
        <v>0</v>
      </c>
      <c r="AA124" s="39" t="n">
        <f aca="false">IF(AA$4=0,0,IF(COUNTIFS(実績!$W$6:$W$505,AA$3,実績!$AI$6:$AI$505,"&lt;="&amp;$A124,実績!$AJ$6:$AJ$505,"&gt;"&amp;$A124,実績!$AK$6:$AK$505,"○")&gt;0,1,0))</f>
        <v>0</v>
      </c>
      <c r="AB124" s="39" t="n">
        <f aca="false">IF(AB$4=0,0,IF(COUNTIFS(実績!$W$6:$W$505,AB$3,実績!$AI$6:$AI$505,"&lt;="&amp;$A124,実績!$AJ$6:$AJ$505,"&gt;"&amp;$A124,実績!$AK$6:$AK$505,"○")&gt;0,1,0))</f>
        <v>0</v>
      </c>
      <c r="AC124" s="39" t="n">
        <f aca="false">IF(AC$4=0,0,IF(COUNTIFS(実績!$W$6:$W$505,AC$3,実績!$AI$6:$AI$505,"&lt;="&amp;$A124,実績!$AJ$6:$AJ$505,"&gt;"&amp;$A124,実績!$AK$6:$AK$505,"○")&gt;0,1,0))</f>
        <v>0</v>
      </c>
      <c r="AD124" s="39" t="n">
        <f aca="false">IF(AD$4=0,0,IF(COUNTIFS(実績!$W$6:$W$505,AD$3,実績!$AI$6:$AI$505,"&lt;="&amp;$A124,実績!$AJ$6:$AJ$505,"&gt;"&amp;$A124,実績!$AK$6:$AK$505,"○")&gt;0,1,0))</f>
        <v>0</v>
      </c>
      <c r="AE124" s="39" t="n">
        <f aca="false">IF(AE$4=0,0,IF(COUNTIFS(実績!$W$6:$W$505,AE$3,実績!$AI$6:$AI$505,"&lt;="&amp;$A124,実績!$AJ$6:$AJ$505,"&gt;"&amp;$A124,実績!$AK$6:$AK$505,"○")&gt;0,1,0))</f>
        <v>0</v>
      </c>
      <c r="AF124" s="39" t="n">
        <f aca="false">IF(AF$4=0,0,IF(COUNTIFS(実績!$W$6:$W$505,AF$3,実績!$AI$6:$AI$505,"&lt;="&amp;$A124,実績!$AJ$6:$AJ$505,"&gt;"&amp;$A124,実績!$AK$6:$AK$505,"○")&gt;0,1,0))</f>
        <v>0</v>
      </c>
      <c r="AG124" s="39" t="n">
        <f aca="false">IF(AG$4=0,0,IF(COUNTIFS(実績!$W$6:$W$505,AG$3,実績!$AI$6:$AI$505,"&lt;="&amp;$A124,実績!$AJ$6:$AJ$505,"&gt;"&amp;$A124,実績!$AK$6:$AK$505,"○")&gt;0,1,0))</f>
        <v>0</v>
      </c>
      <c r="AH124" s="39" t="n">
        <f aca="false">IF(AH$4=0,0,IF(COUNTIFS(実績!$W$6:$W$505,AH$3,実績!$AI$6:$AI$505,"&lt;="&amp;$A124,実績!$AJ$6:$AJ$505,"&gt;"&amp;$A124,実績!$AK$6:$AK$505,"○")&gt;0,1,0))</f>
        <v>0</v>
      </c>
      <c r="AI124" s="39" t="n">
        <f aca="false">IF(AI$4=0,0,IF(COUNTIFS(実績!$W$6:$W$505,AI$3,実績!$AI$6:$AI$505,"&lt;="&amp;$A124,実績!$AJ$6:$AJ$505,"&gt;"&amp;$A124,実績!$AK$6:$AK$505,"○")&gt;0,1,0))</f>
        <v>0</v>
      </c>
      <c r="AJ124" s="39" t="n">
        <f aca="false">IF(AJ$4=0,0,IF(COUNTIFS(実績!$W$6:$W$505,AJ$3,実績!$AI$6:$AI$505,"&lt;="&amp;$A124,実績!$AJ$6:$AJ$505,"&gt;"&amp;$A124,実績!$AK$6:$AK$505,"○")&gt;0,1,0))</f>
        <v>0</v>
      </c>
      <c r="AK124" s="39" t="n">
        <f aca="false">IF(AK$4=0,0,IF(COUNTIFS(実績!$W$6:$W$505,AK$3,実績!$AI$6:$AI$505,"&lt;="&amp;$A124,実績!$AJ$6:$AJ$505,"&gt;"&amp;$A124,実績!$AK$6:$AK$505,"○")&gt;0,1,0))</f>
        <v>0</v>
      </c>
      <c r="AL124" s="39" t="n">
        <f aca="false">IF(AL$4=0,0,IF(COUNTIFS(実績!$W$6:$W$505,AL$3,実績!$AI$6:$AI$505,"&lt;="&amp;$A124,実績!$AJ$6:$AJ$505,"&gt;"&amp;$A124,実績!$AK$6:$AK$505,"○")&gt;0,1,0))</f>
        <v>0</v>
      </c>
      <c r="AM124" s="39" t="n">
        <f aca="false">IF(AM$4=0,0,IF(COUNTIFS(実績!$W$6:$W$505,AM$3,実績!$AI$6:$AI$505,"&lt;="&amp;$A124,実績!$AJ$6:$AJ$505,"&gt;"&amp;$A124,実績!$AK$6:$AK$505,"○")&gt;0,1,0))</f>
        <v>0</v>
      </c>
      <c r="AN124" s="39" t="n">
        <f aca="false">IF(AN$4=0,0,IF(COUNTIFS(実績!$W$6:$W$505,AN$3,実績!$AI$6:$AI$505,"&lt;="&amp;$A124,実績!$AJ$6:$AJ$505,"&gt;"&amp;$A124,実績!$AK$6:$AK$505,"○")&gt;0,1,0))</f>
        <v>0</v>
      </c>
      <c r="AO124" s="39" t="n">
        <f aca="false">IF(AO$4=0,0,IF(COUNTIFS(実績!$W$6:$W$505,AO$3,実績!$AI$6:$AI$505,"&lt;="&amp;$A124,実績!$AJ$6:$AJ$505,"&gt;"&amp;$A124,実績!$AK$6:$AK$505,"○")&gt;0,1,0))</f>
        <v>0</v>
      </c>
      <c r="AP124" s="39" t="n">
        <f aca="false">IF(AP$4=0,0,IF(COUNTIFS(実績!$W$6:$W$505,AP$3,実績!$AI$6:$AI$505,"&lt;="&amp;$A124,実績!$AJ$6:$AJ$505,"&gt;"&amp;$A124,実績!$AK$6:$AK$505,"○")&gt;0,1,0))</f>
        <v>0</v>
      </c>
      <c r="AQ124" s="39" t="n">
        <f aca="false">IF(AQ$4=0,0,IF(COUNTIFS(実績!$W$6:$W$505,AQ$3,実績!$AI$6:$AI$505,"&lt;="&amp;$A124,実績!$AJ$6:$AJ$505,"&gt;"&amp;$A124,実績!$AK$6:$AK$505,"○")&gt;0,1,0))</f>
        <v>0</v>
      </c>
      <c r="AR124" s="39" t="n">
        <f aca="false">IF(AR$4=0,0,IF(COUNTIFS(実績!$W$6:$W$505,AR$3,実績!$AI$6:$AI$505,"&lt;="&amp;$A124,実績!$AJ$6:$AJ$505,"&gt;"&amp;$A124,実績!$AK$6:$AK$505,"○")&gt;0,1,0))</f>
        <v>0</v>
      </c>
      <c r="AS124" s="39" t="n">
        <f aca="false">IF(AS$4=0,0,IF(COUNTIFS(実績!$W$6:$W$505,AS$3,実績!$AI$6:$AI$505,"&lt;="&amp;$A124,実績!$AJ$6:$AJ$505,"&gt;"&amp;$A124,実績!$AK$6:$AK$505,"○")&gt;0,1,0))</f>
        <v>0</v>
      </c>
      <c r="AT124" s="39" t="n">
        <f aca="false">IF(AT$4=0,0,IF(COUNTIFS(実績!$W$6:$W$505,AT$3,実績!$AI$6:$AI$505,"&lt;="&amp;$A124,実績!$AJ$6:$AJ$505,"&gt;"&amp;$A124,実績!$AK$6:$AK$505,"○")&gt;0,1,0))</f>
        <v>0</v>
      </c>
      <c r="AU124" s="39" t="n">
        <f aca="false">IF(AU$4=0,0,IF(COUNTIFS(実績!$W$6:$W$505,AU$3,実績!$AI$6:$AI$505,"&lt;="&amp;$A124,実績!$AJ$6:$AJ$505,"&gt;"&amp;$A124,実績!$AK$6:$AK$505,"○")&gt;0,1,0))</f>
        <v>0</v>
      </c>
      <c r="AV124" s="39" t="n">
        <f aca="false">IF(AV$4=0,0,IF(COUNTIFS(実績!$W$6:$W$505,AV$3,実績!$AI$6:$AI$505,"&lt;="&amp;$A124,実績!$AJ$6:$AJ$505,"&gt;"&amp;$A124,実績!$AK$6:$AK$505,"○")&gt;0,1,0))</f>
        <v>0</v>
      </c>
      <c r="AW124" s="39" t="n">
        <f aca="false">IF(AW$4=0,0,IF(COUNTIFS(実績!$W$6:$W$505,AW$3,実績!$AI$6:$AI$505,"&lt;="&amp;$A124,実績!$AJ$6:$AJ$505,"&gt;"&amp;$A124,実績!$AK$6:$AK$505,"○")&gt;0,1,0))</f>
        <v>0</v>
      </c>
      <c r="AX124" s="39" t="n">
        <f aca="false">IF(AX$4=0,0,IF(COUNTIFS(実績!$W$6:$W$505,AX$3,実績!$AI$6:$AI$505,"&lt;="&amp;$A124,実績!$AJ$6:$AJ$505,"&gt;"&amp;$A124,実績!$AK$6:$AK$505,"○")&gt;0,1,0))</f>
        <v>0</v>
      </c>
      <c r="AY124" s="39" t="n">
        <f aca="false">IF(AY$4=0,0,IF(COUNTIFS(実績!$W$6:$W$505,AY$3,実績!$AI$6:$AI$505,"&lt;="&amp;$A124,実績!$AJ$6:$AJ$505,"&gt;"&amp;$A124,実績!$AK$6:$AK$505,"○")&gt;0,1,0))</f>
        <v>0</v>
      </c>
      <c r="AZ124" s="39" t="n">
        <f aca="false">IF(AZ$4=0,0,IF(COUNTIFS(実績!$W$6:$W$505,AZ$3,実績!$AI$6:$AI$505,"&lt;="&amp;$A124,実績!$AJ$6:$AJ$505,"&gt;"&amp;$A124,実績!$AK$6:$AK$505,"○")&gt;0,1,0))</f>
        <v>0</v>
      </c>
      <c r="BA124" s="39" t="n">
        <f aca="false">IF(BA$4=0,0,IF(COUNTIFS(実績!$W$6:$W$505,BA$3,実績!$AI$6:$AI$505,"&lt;="&amp;$A124,実績!$AJ$6:$AJ$505,"&gt;"&amp;$A124,実績!$AK$6:$AK$505,"○")&gt;0,1,0))</f>
        <v>0</v>
      </c>
      <c r="BB124" s="39" t="n">
        <f aca="false">IF(BB$4=0,0,IF(COUNTIFS(実績!$W$6:$W$505,BB$3,実績!$AI$6:$AI$505,"&lt;="&amp;$A124,実績!$AJ$6:$AJ$505,"&gt;"&amp;$A124,実績!$AK$6:$AK$505,"○")&gt;0,1,0))</f>
        <v>0</v>
      </c>
      <c r="BC124" s="39" t="n">
        <f aca="false">IF(BC$4=0,0,IF(COUNTIFS(実績!$W$6:$W$505,BC$3,実績!$AI$6:$AI$505,"&lt;="&amp;$A124,実績!$AJ$6:$AJ$505,"&gt;"&amp;$A124,実績!$AK$6:$AK$505,"○")&gt;0,1,0))</f>
        <v>0</v>
      </c>
      <c r="BD124" s="39" t="n">
        <f aca="false">IF(BD$4=0,0,IF(COUNTIFS(実績!$W$6:$W$505,BD$3,実績!$AI$6:$AI$505,"&lt;="&amp;$A124,実績!$AJ$6:$AJ$505,"&gt;"&amp;$A124,実績!$AK$6:$AK$505,"○")&gt;0,1,0))</f>
        <v>0</v>
      </c>
      <c r="BE124" s="39" t="n">
        <f aca="false">IF(BE$4=0,0,IF(COUNTIFS(実績!$W$6:$W$505,BE$3,実績!$AI$6:$AI$505,"&lt;="&amp;$A124,実績!$AJ$6:$AJ$505,"&gt;"&amp;$A124,実績!$AK$6:$AK$505,"○")&gt;0,1,0))</f>
        <v>0</v>
      </c>
      <c r="BF124" s="39" t="n">
        <f aca="false">IF(BF$4=0,0,IF(COUNTIFS(実績!$W$6:$W$505,BF$3,実績!$AI$6:$AI$505,"&lt;="&amp;$A124,実績!$AJ$6:$AJ$505,"&gt;"&amp;$A124,実績!$AK$6:$AK$505,"○")&gt;0,1,0))</f>
        <v>0</v>
      </c>
      <c r="BG124" s="39" t="n">
        <f aca="false">IF(BG$4=0,0,IF(COUNTIFS(実績!$W$6:$W$505,BG$3,実績!$AI$6:$AI$505,"&lt;="&amp;$A124,実績!$AJ$6:$AJ$505,"&gt;"&amp;$A124,実績!$AK$6:$AK$505,"○")&gt;0,1,0))</f>
        <v>0</v>
      </c>
      <c r="BH124" s="39" t="n">
        <f aca="false">IF(BH$4=0,0,IF(COUNTIFS(実績!$W$6:$W$505,BH$3,実績!$AI$6:$AI$505,"&lt;="&amp;$A124,実績!$AJ$6:$AJ$505,"&gt;"&amp;$A124,実績!$AK$6:$AK$505,"○")&gt;0,1,0))</f>
        <v>0</v>
      </c>
      <c r="BI124" s="39" t="n">
        <f aca="false">IF(BI$4=0,0,IF(COUNTIFS(実績!$W$6:$W$505,BI$3,実績!$AI$6:$AI$505,"&lt;="&amp;$A124,実績!$AJ$6:$AJ$505,"&gt;"&amp;$A124,実績!$AK$6:$AK$505,"○")&gt;0,1,0))</f>
        <v>0</v>
      </c>
      <c r="BJ124" s="39" t="n">
        <f aca="false">IF(BJ$4=0,0,IF(COUNTIFS(実績!$W$6:$W$505,BJ$3,実績!$AI$6:$AI$505,"&lt;="&amp;$A124,実績!$AJ$6:$AJ$505,"&gt;"&amp;$A124,実績!$AK$6:$AK$505,"○")&gt;0,1,0))</f>
        <v>0</v>
      </c>
      <c r="BK124" s="39" t="n">
        <f aca="false">IF(BK$4=0,0,IF(COUNTIFS(実績!$W$6:$W$505,BK$3,実績!$AI$6:$AI$505,"&lt;="&amp;$A124,実績!$AJ$6:$AJ$505,"&gt;"&amp;$A124,実績!$AK$6:$AK$505,"○")&gt;0,1,0))</f>
        <v>0</v>
      </c>
      <c r="BL124" s="39" t="n">
        <f aca="false">IF(BL$4=0,0,IF(COUNTIFS(実績!$W$6:$W$505,BL$3,実績!$AI$6:$AI$505,"&lt;="&amp;$A124,実績!$AJ$6:$AJ$505,"&gt;"&amp;$A124,実績!$AK$6:$AK$505,"○")&gt;0,1,0))</f>
        <v>0</v>
      </c>
      <c r="BM124" s="39" t="n">
        <f aca="false">IF(BM$4=0,0,IF(COUNTIFS(実績!$W$6:$W$505,BM$3,実績!$AI$6:$AI$505,"&lt;="&amp;$A124,実績!$AJ$6:$AJ$505,"&gt;"&amp;$A124,実績!$AK$6:$AK$505,"○")&gt;0,1,0))</f>
        <v>0</v>
      </c>
      <c r="BN124" s="39" t="n">
        <f aca="false">IF(BN$4=0,0,IF(COUNTIFS(実績!$W$6:$W$505,BN$3,実績!$AI$6:$AI$505,"&lt;="&amp;$A124,実績!$AJ$6:$AJ$505,"&gt;"&amp;$A124,実績!$AK$6:$AK$505,"○")&gt;0,1,0))</f>
        <v>0</v>
      </c>
      <c r="BO124" s="39" t="n">
        <f aca="false">IF(BO$4=0,0,IF(COUNTIFS(実績!$W$6:$W$505,BO$3,実績!$AI$6:$AI$505,"&lt;="&amp;$A124,実績!$AJ$6:$AJ$505,"&gt;"&amp;$A124,実績!$AK$6:$AK$505,"○")&gt;0,1,0))</f>
        <v>0</v>
      </c>
      <c r="BP124" s="39" t="n">
        <f aca="false">IF(BP$4=0,0,IF(COUNTIFS(実績!$W$6:$W$505,BP$3,実績!$AI$6:$AI$505,"&lt;="&amp;$A124,実績!$AJ$6:$AJ$505,"&gt;"&amp;$A124,実績!$AK$6:$AK$505,"○")&gt;0,1,0))</f>
        <v>0</v>
      </c>
      <c r="BQ124" s="39" t="n">
        <f aca="false">IF(BQ$4=0,0,IF(COUNTIFS(実績!$W$6:$W$505,BQ$3,実績!$AI$6:$AI$505,"&lt;="&amp;$A124,実績!$AJ$6:$AJ$505,"&gt;"&amp;$A124,実績!$AK$6:$AK$505,"○")&gt;0,1,0))</f>
        <v>0</v>
      </c>
      <c r="BR124" s="39" t="n">
        <f aca="false">IF(BR$4=0,0,IF(COUNTIFS(実績!$W$6:$W$505,BR$3,実績!$AI$6:$AI$505,"&lt;="&amp;$A124,実績!$AJ$6:$AJ$505,"&gt;"&amp;$A124,実績!$AK$6:$AK$505,"○")&gt;0,1,0))</f>
        <v>0</v>
      </c>
      <c r="BS124" s="39" t="n">
        <f aca="false">IF(BS$4=0,0,IF(COUNTIFS(実績!$W$6:$W$505,BS$3,実績!$AI$6:$AI$505,"&lt;="&amp;$A124,実績!$AJ$6:$AJ$505,"&gt;"&amp;$A124,実績!$AK$6:$AK$505,"○")&gt;0,1,0))</f>
        <v>0</v>
      </c>
      <c r="BT124" s="39" t="n">
        <f aca="false">IF(BT$4=0,0,IF(COUNTIFS(実績!$W$6:$W$505,BT$3,実績!$AI$6:$AI$505,"&lt;="&amp;$A124,実績!$AJ$6:$AJ$505,"&gt;"&amp;$A124,実績!$AK$6:$AK$505,"○")&gt;0,1,0))</f>
        <v>0</v>
      </c>
      <c r="BU124" s="39" t="n">
        <f aca="false">IF(BU$4=0,0,IF(COUNTIFS(実績!$W$6:$W$505,BU$3,実績!$AI$6:$AI$505,"&lt;="&amp;$A124,実績!$AJ$6:$AJ$505,"&gt;"&amp;$A124,実績!$AK$6:$AK$505,"○")&gt;0,1,0))</f>
        <v>0</v>
      </c>
      <c r="BV124" s="39" t="n">
        <f aca="false">IF(BV$4=0,0,IF(COUNTIFS(実績!$W$6:$W$505,BV$3,実績!$AI$6:$AI$505,"&lt;="&amp;$A124,実績!$AJ$6:$AJ$505,"&gt;"&amp;$A124,実績!$AK$6:$AK$505,"○")&gt;0,1,0))</f>
        <v>0</v>
      </c>
      <c r="BW124" s="39" t="n">
        <f aca="false">IF(BW$4=0,0,IF(COUNTIFS(実績!$W$6:$W$505,BW$3,実績!$AI$6:$AI$505,"&lt;="&amp;$A124,実績!$AJ$6:$AJ$505,"&gt;"&amp;$A124,実績!$AK$6:$AK$505,"○")&gt;0,1,0))</f>
        <v>0</v>
      </c>
      <c r="BX124" s="39" t="n">
        <f aca="false">IF(BX$4=0,0,IF(COUNTIFS(実績!$W$6:$W$505,BX$3,実績!$AI$6:$AI$505,"&lt;="&amp;$A124,実績!$AJ$6:$AJ$505,"&gt;"&amp;$A124,実績!$AK$6:$AK$505,"○")&gt;0,1,0))</f>
        <v>0</v>
      </c>
      <c r="BY124" s="39" t="n">
        <f aca="false">IF(BY$4=0,0,IF(COUNTIFS(実績!$W$6:$W$505,BY$3,実績!$AI$6:$AI$505,"&lt;="&amp;$A124,実績!$AJ$6:$AJ$505,"&gt;"&amp;$A124,実績!$AK$6:$AK$505,"○")&gt;0,1,0))</f>
        <v>0</v>
      </c>
      <c r="BZ124" s="39" t="n">
        <f aca="false">IF(BZ$4=0,0,IF(COUNTIFS(実績!$W$6:$W$505,BZ$3,実績!$AI$6:$AI$505,"&lt;="&amp;$A124,実績!$AJ$6:$AJ$505,"&gt;"&amp;$A124,実績!$AK$6:$AK$505,"○")&gt;0,1,0))</f>
        <v>0</v>
      </c>
      <c r="CA124" s="39" t="n">
        <f aca="false">IF(CA$4=0,0,IF(COUNTIFS(実績!$W$6:$W$505,CA$3,実績!$AI$6:$AI$505,"&lt;="&amp;$A124,実績!$AJ$6:$AJ$505,"&gt;"&amp;$A124,実績!$AK$6:$AK$505,"○")&gt;0,1,0))</f>
        <v>0</v>
      </c>
      <c r="CB124" s="39" t="n">
        <f aca="false">IF(CB$4=0,0,IF(COUNTIFS(実績!$W$6:$W$505,CB$3,実績!$AI$6:$AI$505,"&lt;="&amp;$A124,実績!$AJ$6:$AJ$505,"&gt;"&amp;$A124,実績!$AK$6:$AK$505,"○")&gt;0,1,0))</f>
        <v>0</v>
      </c>
      <c r="CC124" s="39" t="n">
        <f aca="false">IF(CC$4=0,0,IF(COUNTIFS(実績!$W$6:$W$505,CC$3,実績!$AI$6:$AI$505,"&lt;="&amp;$A124,実績!$AJ$6:$AJ$505,"&gt;"&amp;$A124,実績!$AK$6:$AK$505,"○")&gt;0,1,0))</f>
        <v>0</v>
      </c>
      <c r="CD124" s="39" t="n">
        <f aca="false">IF(CD$4=0,0,IF(COUNTIFS(実績!$W$6:$W$505,CD$3,実績!$AI$6:$AI$505,"&lt;="&amp;$A124,実績!$AJ$6:$AJ$505,"&gt;"&amp;$A124,実績!$AK$6:$AK$505,"○")&gt;0,1,0))</f>
        <v>0</v>
      </c>
      <c r="CE124" s="39" t="n">
        <f aca="false">IF(CE$4=0,0,IF(COUNTIFS(実績!$W$6:$W$505,CE$3,実績!$AI$6:$AI$505,"&lt;="&amp;$A124,実績!$AJ$6:$AJ$505,"&gt;"&amp;$A124,実績!$AK$6:$AK$505,"○")&gt;0,1,0))</f>
        <v>0</v>
      </c>
      <c r="CF124" s="39" t="n">
        <f aca="false">IF(CF$4=0,0,IF(COUNTIFS(実績!$W$6:$W$505,CF$3,実績!$AI$6:$AI$505,"&lt;="&amp;$A124,実績!$AJ$6:$AJ$505,"&gt;"&amp;$A124,実績!$AK$6:$AK$505,"○")&gt;0,1,0))</f>
        <v>0</v>
      </c>
      <c r="CG124" s="39" t="n">
        <f aca="false">IF(CG$4=0,0,IF(COUNTIFS(実績!$W$6:$W$505,CG$3,実績!$AI$6:$AI$505,"&lt;="&amp;$A124,実績!$AJ$6:$AJ$505,"&gt;"&amp;$A124,実績!$AK$6:$AK$505,"○")&gt;0,1,0))</f>
        <v>0</v>
      </c>
      <c r="CH124" s="39" t="n">
        <f aca="false">IF(CH$4=0,0,IF(COUNTIFS(実績!$W$6:$W$505,CH$3,実績!$AI$6:$AI$505,"&lt;="&amp;$A124,実績!$AJ$6:$AJ$505,"&gt;"&amp;$A124,実績!$AK$6:$AK$505,"○")&gt;0,1,0))</f>
        <v>0</v>
      </c>
      <c r="CI124" s="39" t="n">
        <f aca="false">IF(CI$4=0,0,IF(COUNTIFS(実績!$W$6:$W$505,CI$3,実績!$AI$6:$AI$505,"&lt;="&amp;$A124,実績!$AJ$6:$AJ$505,"&gt;"&amp;$A124,実績!$AK$6:$AK$505,"○")&gt;0,1,0))</f>
        <v>0</v>
      </c>
      <c r="CJ124" s="39" t="n">
        <f aca="false">IF(CJ$4=0,0,IF(COUNTIFS(実績!$W$6:$W$505,CJ$3,実績!$AI$6:$AI$505,"&lt;="&amp;$A124,実績!$AJ$6:$AJ$505,"&gt;"&amp;$A124,実績!$AK$6:$AK$505,"○")&gt;0,1,0))</f>
        <v>0</v>
      </c>
      <c r="CK124" s="39" t="n">
        <f aca="false">IF(CK$4=0,0,IF(COUNTIFS(実績!$W$6:$W$505,CK$3,実績!$AI$6:$AI$505,"&lt;="&amp;$A124,実績!$AJ$6:$AJ$505,"&gt;"&amp;$A124,実績!$AK$6:$AK$505,"○")&gt;0,1,0))</f>
        <v>0</v>
      </c>
      <c r="CL124" s="39" t="n">
        <f aca="false">IF(CL$4=0,0,IF(COUNTIFS(実績!$W$6:$W$505,CL$3,実績!$AI$6:$AI$505,"&lt;="&amp;$A124,実績!$AJ$6:$AJ$505,"&gt;"&amp;$A124,実績!$AK$6:$AK$505,"○")&gt;0,1,0))</f>
        <v>0</v>
      </c>
      <c r="CM124" s="39" t="n">
        <f aca="false">IF(CM$4=0,0,IF(COUNTIFS(実績!$W$6:$W$505,CM$3,実績!$AI$6:$AI$505,"&lt;="&amp;$A124,実績!$AJ$6:$AJ$505,"&gt;"&amp;$A124,実績!$AK$6:$AK$505,"○")&gt;0,1,0))</f>
        <v>0</v>
      </c>
      <c r="CN124" s="39" t="n">
        <f aca="false">IF(CN$4=0,0,IF(COUNTIFS(実績!$W$6:$W$505,CN$3,実績!$AI$6:$AI$505,"&lt;="&amp;$A124,実績!$AJ$6:$AJ$505,"&gt;"&amp;$A124,実績!$AK$6:$AK$505,"○")&gt;0,1,0))</f>
        <v>0</v>
      </c>
      <c r="CO124" s="39" t="n">
        <f aca="false">IF(CO$4=0,0,IF(COUNTIFS(実績!$W$6:$W$505,CO$3,実績!$AI$6:$AI$505,"&lt;="&amp;$A124,実績!$AJ$6:$AJ$505,"&gt;"&amp;$A124,実績!$AK$6:$AK$505,"○")&gt;0,1,0))</f>
        <v>0</v>
      </c>
      <c r="CP124" s="39" t="n">
        <f aca="false">IF(CP$4=0,0,IF(COUNTIFS(実績!$W$6:$W$505,CP$3,実績!$AI$6:$AI$505,"&lt;="&amp;$A124,実績!$AJ$6:$AJ$505,"&gt;"&amp;$A124,実績!$AK$6:$AK$505,"○")&gt;0,1,0))</f>
        <v>0</v>
      </c>
      <c r="CQ124" s="39" t="n">
        <f aca="false">IF(CQ$4=0,0,IF(COUNTIFS(実績!$W$6:$W$505,CQ$3,実績!$AI$6:$AI$505,"&lt;="&amp;$A124,実績!$AJ$6:$AJ$505,"&gt;"&amp;$A124,実績!$AK$6:$AK$505,"○")&gt;0,1,0))</f>
        <v>0</v>
      </c>
      <c r="CR124" s="39" t="n">
        <f aca="false">IF(CR$4=0,0,IF(COUNTIFS(実績!$W$6:$W$505,CR$3,実績!$AI$6:$AI$505,"&lt;="&amp;$A124,実績!$AJ$6:$AJ$505,"&gt;"&amp;$A124,実績!$AK$6:$AK$505,"○")&gt;0,1,0))</f>
        <v>0</v>
      </c>
      <c r="CS124" s="39" t="n">
        <f aca="false">IF(CS$4=0,0,IF(COUNTIFS(実績!$W$6:$W$505,CS$3,実績!$AI$6:$AI$505,"&lt;="&amp;$A124,実績!$AJ$6:$AJ$505,"&gt;"&amp;$A124,実績!$AK$6:$AK$505,"○")&gt;0,1,0))</f>
        <v>0</v>
      </c>
      <c r="CT124" s="39" t="n">
        <f aca="false">IF(CT$4=0,0,IF(COUNTIFS(実績!$W$6:$W$505,CT$3,実績!$AI$6:$AI$505,"&lt;="&amp;$A124,実績!$AJ$6:$AJ$505,"&gt;"&amp;$A124,実績!$AK$6:$AK$505,"○")&gt;0,1,0))</f>
        <v>0</v>
      </c>
      <c r="CU124" s="39" t="n">
        <f aca="false">IF(CU$4=0,0,IF(COUNTIFS(実績!$W$6:$W$505,CU$3,実績!$AI$6:$AI$505,"&lt;="&amp;$A124,実績!$AJ$6:$AJ$505,"&gt;"&amp;$A124,実績!$AK$6:$AK$505,"○")&gt;0,1,0))</f>
        <v>0</v>
      </c>
      <c r="CV124" s="39" t="n">
        <f aca="false">IF(CV$4=0,0,IF(COUNTIFS(実績!$W$6:$W$505,CV$3,実績!$AI$6:$AI$505,"&lt;="&amp;$A124,実績!$AJ$6:$AJ$505,"&gt;"&amp;$A124,実績!$AK$6:$AK$505,"○")&gt;0,1,0))</f>
        <v>0</v>
      </c>
      <c r="CW124" s="39" t="n">
        <f aca="false">IF(CW$4=0,0,IF(COUNTIFS(実績!$W$6:$W$505,CW$3,実績!$AI$6:$AI$505,"&lt;="&amp;$A124,実績!$AJ$6:$AJ$505,"&gt;"&amp;$A124,実績!$AK$6:$AK$505,"○")&gt;0,1,0))</f>
        <v>0</v>
      </c>
      <c r="CX124" s="39" t="n">
        <f aca="false">IF(CX$4=0,0,IF(COUNTIFS(実績!$W$6:$W$505,CX$3,実績!$AI$6:$AI$505,"&lt;="&amp;$A124,実績!$AJ$6:$AJ$505,"&gt;"&amp;$A124,実績!$AK$6:$AK$505,"○")&gt;0,1,0))</f>
        <v>0</v>
      </c>
      <c r="CY124" s="39" t="n">
        <f aca="false">IF(CY$4=0,0,IF(COUNTIFS(実績!$W$6:$W$505,CY$3,実績!$AI$6:$AI$505,"&lt;="&amp;$A124,実績!$AJ$6:$AJ$505,"&gt;"&amp;$A124,実績!$AK$6:$AK$505,"○")&gt;0,1,0))</f>
        <v>0</v>
      </c>
      <c r="CZ124" s="39" t="n">
        <f aca="false">IF(CZ$4=0,0,IF(COUNTIFS(実績!$W$6:$W$505,CZ$3,実績!$AI$6:$AI$505,"&lt;="&amp;$A124,実績!$AJ$6:$AJ$505,"&gt;"&amp;$A124,実績!$AK$6:$AK$505,"○")&gt;0,1,0))</f>
        <v>0</v>
      </c>
      <c r="DA124" s="39" t="n">
        <f aca="false">IF(DA$4=0,0,IF(COUNTIFS(実績!$W$6:$W$505,DA$3,実績!$AI$6:$AI$505,"&lt;="&amp;$A124,実績!$AJ$6:$AJ$505,"&gt;"&amp;$A124,実績!$AK$6:$AK$505,"○")&gt;0,1,0))</f>
        <v>0</v>
      </c>
      <c r="DB124" s="39" t="n">
        <f aca="false">IF(DB$4=0,0,IF(COUNTIFS(実績!$W$6:$W$505,DB$3,実績!$AI$6:$AI$505,"&lt;="&amp;$A124,実績!$AJ$6:$AJ$505,"&gt;"&amp;$A124,実績!$AK$6:$AK$505,"○")&gt;0,1,0))</f>
        <v>0</v>
      </c>
      <c r="DC124" s="39" t="n">
        <f aca="false">IF(DC$4=0,0,IF(COUNTIFS(実績!$W$6:$W$505,DC$3,実績!$AI$6:$AI$505,"&lt;="&amp;$A124,実績!$AJ$6:$AJ$505,"&gt;"&amp;$A124,実績!$AK$6:$AK$505,"○")&gt;0,1,0))</f>
        <v>0</v>
      </c>
      <c r="DD124" s="39" t="n">
        <f aca="false">IF(DD$4=0,0,IF(COUNTIFS(実績!$W$6:$W$505,DD$3,実績!$AI$6:$AI$505,"&lt;="&amp;$A124,実績!$AJ$6:$AJ$505,"&gt;"&amp;$A124,実績!$AK$6:$AK$505,"○")&gt;0,1,0))</f>
        <v>0</v>
      </c>
      <c r="DE124" s="39" t="n">
        <f aca="false">IF(DE$4=0,0,IF(COUNTIFS(実績!$W$6:$W$505,DE$3,実績!$AI$6:$AI$505,"&lt;="&amp;$A124,実績!$AJ$6:$AJ$505,"&gt;"&amp;$A124,実績!$AK$6:$AK$505,"○")&gt;0,1,0))</f>
        <v>0</v>
      </c>
      <c r="DF124" s="39" t="n">
        <f aca="false">IF(DF$4=0,0,IF(COUNTIFS(実績!$W$6:$W$505,DF$3,実績!$AI$6:$AI$505,"&lt;="&amp;$A124,実績!$AJ$6:$AJ$505,"&gt;"&amp;$A124,実績!$AK$6:$AK$505,"○")&gt;0,1,0))</f>
        <v>0</v>
      </c>
      <c r="DG124" s="39" t="n">
        <f aca="false">IF(DG$4=0,0,IF(COUNTIFS(実績!$W$6:$W$505,DG$3,実績!$AI$6:$AI$505,"&lt;="&amp;$A124,実績!$AJ$6:$AJ$505,"&gt;"&amp;$A124,実績!$AK$6:$AK$505,"○")&gt;0,1,0))</f>
        <v>0</v>
      </c>
      <c r="DH124" s="39" t="n">
        <f aca="false">IF(DH$4=0,0,IF(COUNTIFS(実績!$W$6:$W$505,DH$3,実績!$AI$6:$AI$505,"&lt;="&amp;$A124,実績!$AJ$6:$AJ$505,"&gt;"&amp;$A124,実績!$AK$6:$AK$505,"○")&gt;0,1,0))</f>
        <v>0</v>
      </c>
      <c r="DI124" s="39" t="n">
        <f aca="false">IF(DI$4=0,0,IF(COUNTIFS(実績!$W$6:$W$505,DI$3,実績!$AI$6:$AI$505,"&lt;="&amp;$A124,実績!$AJ$6:$AJ$505,"&gt;"&amp;$A124,実績!$AK$6:$AK$505,"○")&gt;0,1,0))</f>
        <v>0</v>
      </c>
      <c r="DJ124" s="39" t="n">
        <f aca="false">IF(DJ$4=0,0,IF(COUNTIFS(実績!$W$6:$W$505,DJ$3,実績!$AI$6:$AI$505,"&lt;="&amp;$A124,実績!$AJ$6:$AJ$505,"&gt;"&amp;$A124,実績!$AK$6:$AK$505,"○")&gt;0,1,0))</f>
        <v>0</v>
      </c>
      <c r="DK124" s="39" t="n">
        <f aca="false">IF(DK$4=0,0,IF(COUNTIFS(実績!$W$6:$W$505,DK$3,実績!$AI$6:$AI$505,"&lt;="&amp;$A124,実績!$AJ$6:$AJ$505,"&gt;"&amp;$A124,実績!$AK$6:$AK$505,"○")&gt;0,1,0))</f>
        <v>0</v>
      </c>
      <c r="DL124" s="39" t="n">
        <f aca="false">IF(DL$4=0,0,IF(COUNTIFS(実績!$W$6:$W$505,DL$3,実績!$AI$6:$AI$505,"&lt;="&amp;$A124,実績!$AJ$6:$AJ$505,"&gt;"&amp;$A124,実績!$AK$6:$AK$505,"○")&gt;0,1,0))</f>
        <v>0</v>
      </c>
      <c r="DM124" s="39" t="n">
        <f aca="false">IF(DM$4=0,0,IF(COUNTIFS(実績!$W$6:$W$505,DM$3,実績!$AI$6:$AI$505,"&lt;="&amp;$A124,実績!$AJ$6:$AJ$505,"&gt;"&amp;$A124,実績!$AK$6:$AK$505,"○")&gt;0,1,0))</f>
        <v>0</v>
      </c>
      <c r="DN124" s="39" t="n">
        <f aca="false">IF(DN$4=0,0,IF(COUNTIFS(実績!$W$6:$W$505,DN$3,実績!$AI$6:$AI$505,"&lt;="&amp;$A124,実績!$AJ$6:$AJ$505,"&gt;"&amp;$A124,実績!$AK$6:$AK$505,"○")&gt;0,1,0))</f>
        <v>0</v>
      </c>
      <c r="DO124" s="39" t="n">
        <f aca="false">IF(DO$4=0,0,IF(COUNTIFS(実績!$W$6:$W$505,DO$3,実績!$AI$6:$AI$505,"&lt;="&amp;$A124,実績!$AJ$6:$AJ$505,"&gt;"&amp;$A124,実績!$AK$6:$AK$505,"○")&gt;0,1,0))</f>
        <v>0</v>
      </c>
      <c r="DP124" s="39" t="n">
        <f aca="false">IF(DP$4=0,0,IF(COUNTIFS(実績!$W$6:$W$505,DP$3,実績!$AI$6:$AI$505,"&lt;="&amp;$A124,実績!$AJ$6:$AJ$505,"&gt;"&amp;$A124,実績!$AK$6:$AK$505,"○")&gt;0,1,0))</f>
        <v>0</v>
      </c>
      <c r="DQ124" s="39" t="n">
        <f aca="false">IF(DQ$4=0,0,IF(COUNTIFS(実績!$W$6:$W$505,DQ$3,実績!$AI$6:$AI$505,"&lt;="&amp;$A124,実績!$AJ$6:$AJ$505,"&gt;"&amp;$A124,実績!$AK$6:$AK$505,"○")&gt;0,1,0))</f>
        <v>0</v>
      </c>
      <c r="DR124" s="39" t="n">
        <f aca="false">IF(DR$4=0,0,IF(COUNTIFS(実績!$W$6:$W$505,DR$3,実績!$AI$6:$AI$505,"&lt;="&amp;$A124,実績!$AJ$6:$AJ$505,"&gt;"&amp;$A124,実績!$AK$6:$AK$505,"○")&gt;0,1,0))</f>
        <v>0</v>
      </c>
      <c r="DS124" s="39" t="n">
        <f aca="false">SUM(C124:DR124)</f>
        <v>0</v>
      </c>
      <c r="DT124" s="39" t="n">
        <f aca="false">SUMPRODUCT((実績!$C$6:$C$505="○")*ISNUMBER(実績!$AM$6:$AM$505)*(実績!$AM$6:$AM$505&lt;=$A124)*(実績!$AN$6:$AN$505&gt;$A124))</f>
        <v>0</v>
      </c>
      <c r="DU124" s="39" t="n">
        <f aca="false">SUMIF($C$2:$DR$2,"製鉄曳船",C124:DR124)</f>
        <v>0</v>
      </c>
      <c r="DV124" s="39" t="n">
        <f aca="false">SUMIF($C$2:$DR$2,"西日本海運",C124:DR124)</f>
        <v>0</v>
      </c>
    </row>
    <row r="125" customFormat="false" ht="15" hidden="false" customHeight="false" outlineLevel="0" collapsed="false">
      <c r="A125" s="0" t="n">
        <v>595</v>
      </c>
      <c r="B125" s="38" t="n">
        <f aca="false">A125/1440</f>
        <v>0.413194444444444</v>
      </c>
      <c r="C125" s="39" t="n">
        <f aca="false">IF(C$4=0,0,IF(COUNTIFS(実績!$W$6:$W$505,C$3,実績!$AI$6:$AI$505,"&lt;="&amp;$A125,実績!$AJ$6:$AJ$505,"&gt;"&amp;$A125,実績!$AK$6:$AK$505,"○")&gt;0,1,0))</f>
        <v>0</v>
      </c>
      <c r="D125" s="39" t="n">
        <f aca="false">IF(D$4=0,0,IF(COUNTIFS(実績!$W$6:$W$505,D$3,実績!$AI$6:$AI$505,"&lt;="&amp;$A125,実績!$AJ$6:$AJ$505,"&gt;"&amp;$A125,実績!$AK$6:$AK$505,"○")&gt;0,1,0))</f>
        <v>0</v>
      </c>
      <c r="E125" s="39" t="n">
        <f aca="false">IF(E$4=0,0,IF(COUNTIFS(実績!$W$6:$W$505,E$3,実績!$AI$6:$AI$505,"&lt;="&amp;$A125,実績!$AJ$6:$AJ$505,"&gt;"&amp;$A125,実績!$AK$6:$AK$505,"○")&gt;0,1,0))</f>
        <v>0</v>
      </c>
      <c r="F125" s="39" t="n">
        <f aca="false">IF(F$4=0,0,IF(COUNTIFS(実績!$W$6:$W$505,F$3,実績!$AI$6:$AI$505,"&lt;="&amp;$A125,実績!$AJ$6:$AJ$505,"&gt;"&amp;$A125,実績!$AK$6:$AK$505,"○")&gt;0,1,0))</f>
        <v>0</v>
      </c>
      <c r="G125" s="39" t="n">
        <f aca="false">IF(G$4=0,0,IF(COUNTIFS(実績!$W$6:$W$505,G$3,実績!$AI$6:$AI$505,"&lt;="&amp;$A125,実績!$AJ$6:$AJ$505,"&gt;"&amp;$A125,実績!$AK$6:$AK$505,"○")&gt;0,1,0))</f>
        <v>0</v>
      </c>
      <c r="H125" s="39" t="n">
        <f aca="false">IF(H$4=0,0,IF(COUNTIFS(実績!$W$6:$W$505,H$3,実績!$AI$6:$AI$505,"&lt;="&amp;$A125,実績!$AJ$6:$AJ$505,"&gt;"&amp;$A125,実績!$AK$6:$AK$505,"○")&gt;0,1,0))</f>
        <v>0</v>
      </c>
      <c r="I125" s="39" t="n">
        <f aca="false">IF(I$4=0,0,IF(COUNTIFS(実績!$W$6:$W$505,I$3,実績!$AI$6:$AI$505,"&lt;="&amp;$A125,実績!$AJ$6:$AJ$505,"&gt;"&amp;$A125,実績!$AK$6:$AK$505,"○")&gt;0,1,0))</f>
        <v>0</v>
      </c>
      <c r="J125" s="39" t="n">
        <f aca="false">IF(J$4=0,0,IF(COUNTIFS(実績!$W$6:$W$505,J$3,実績!$AI$6:$AI$505,"&lt;="&amp;$A125,実績!$AJ$6:$AJ$505,"&gt;"&amp;$A125,実績!$AK$6:$AK$505,"○")&gt;0,1,0))</f>
        <v>0</v>
      </c>
      <c r="K125" s="39" t="n">
        <f aca="false">IF(K$4=0,0,IF(COUNTIFS(実績!$W$6:$W$505,K$3,実績!$AI$6:$AI$505,"&lt;="&amp;$A125,実績!$AJ$6:$AJ$505,"&gt;"&amp;$A125,実績!$AK$6:$AK$505,"○")&gt;0,1,0))</f>
        <v>0</v>
      </c>
      <c r="L125" s="39" t="n">
        <f aca="false">IF(L$4=0,0,IF(COUNTIFS(実績!$W$6:$W$505,L$3,実績!$AI$6:$AI$505,"&lt;="&amp;$A125,実績!$AJ$6:$AJ$505,"&gt;"&amp;$A125,実績!$AK$6:$AK$505,"○")&gt;0,1,0))</f>
        <v>0</v>
      </c>
      <c r="M125" s="39" t="n">
        <f aca="false">IF(M$4=0,0,IF(COUNTIFS(実績!$W$6:$W$505,M$3,実績!$AI$6:$AI$505,"&lt;="&amp;$A125,実績!$AJ$6:$AJ$505,"&gt;"&amp;$A125,実績!$AK$6:$AK$505,"○")&gt;0,1,0))</f>
        <v>0</v>
      </c>
      <c r="N125" s="39" t="n">
        <f aca="false">IF(N$4=0,0,IF(COUNTIFS(実績!$W$6:$W$505,N$3,実績!$AI$6:$AI$505,"&lt;="&amp;$A125,実績!$AJ$6:$AJ$505,"&gt;"&amp;$A125,実績!$AK$6:$AK$505,"○")&gt;0,1,0))</f>
        <v>0</v>
      </c>
      <c r="O125" s="39" t="n">
        <f aca="false">IF(O$4=0,0,IF(COUNTIFS(実績!$W$6:$W$505,O$3,実績!$AI$6:$AI$505,"&lt;="&amp;$A125,実績!$AJ$6:$AJ$505,"&gt;"&amp;$A125,実績!$AK$6:$AK$505,"○")&gt;0,1,0))</f>
        <v>0</v>
      </c>
      <c r="P125" s="39" t="n">
        <f aca="false">IF(P$4=0,0,IF(COUNTIFS(実績!$W$6:$W$505,P$3,実績!$AI$6:$AI$505,"&lt;="&amp;$A125,実績!$AJ$6:$AJ$505,"&gt;"&amp;$A125,実績!$AK$6:$AK$505,"○")&gt;0,1,0))</f>
        <v>0</v>
      </c>
      <c r="Q125" s="39" t="n">
        <f aca="false">IF(Q$4=0,0,IF(COUNTIFS(実績!$W$6:$W$505,Q$3,実績!$AI$6:$AI$505,"&lt;="&amp;$A125,実績!$AJ$6:$AJ$505,"&gt;"&amp;$A125,実績!$AK$6:$AK$505,"○")&gt;0,1,0))</f>
        <v>0</v>
      </c>
      <c r="R125" s="39" t="n">
        <f aca="false">IF(R$4=0,0,IF(COUNTIFS(実績!$W$6:$W$505,R$3,実績!$AI$6:$AI$505,"&lt;="&amp;$A125,実績!$AJ$6:$AJ$505,"&gt;"&amp;$A125,実績!$AK$6:$AK$505,"○")&gt;0,1,0))</f>
        <v>0</v>
      </c>
      <c r="S125" s="39" t="n">
        <f aca="false">IF(S$4=0,0,IF(COUNTIFS(実績!$W$6:$W$505,S$3,実績!$AI$6:$AI$505,"&lt;="&amp;$A125,実績!$AJ$6:$AJ$505,"&gt;"&amp;$A125,実績!$AK$6:$AK$505,"○")&gt;0,1,0))</f>
        <v>0</v>
      </c>
      <c r="T125" s="39" t="n">
        <f aca="false">IF(T$4=0,0,IF(COUNTIFS(実績!$W$6:$W$505,T$3,実績!$AI$6:$AI$505,"&lt;="&amp;$A125,実績!$AJ$6:$AJ$505,"&gt;"&amp;$A125,実績!$AK$6:$AK$505,"○")&gt;0,1,0))</f>
        <v>0</v>
      </c>
      <c r="U125" s="39" t="n">
        <f aca="false">IF(U$4=0,0,IF(COUNTIFS(実績!$W$6:$W$505,U$3,実績!$AI$6:$AI$505,"&lt;="&amp;$A125,実績!$AJ$6:$AJ$505,"&gt;"&amp;$A125,実績!$AK$6:$AK$505,"○")&gt;0,1,0))</f>
        <v>0</v>
      </c>
      <c r="V125" s="39" t="n">
        <f aca="false">IF(V$4=0,0,IF(COUNTIFS(実績!$W$6:$W$505,V$3,実績!$AI$6:$AI$505,"&lt;="&amp;$A125,実績!$AJ$6:$AJ$505,"&gt;"&amp;$A125,実績!$AK$6:$AK$505,"○")&gt;0,1,0))</f>
        <v>0</v>
      </c>
      <c r="W125" s="39" t="n">
        <f aca="false">IF(W$4=0,0,IF(COUNTIFS(実績!$W$6:$W$505,W$3,実績!$AI$6:$AI$505,"&lt;="&amp;$A125,実績!$AJ$6:$AJ$505,"&gt;"&amp;$A125,実績!$AK$6:$AK$505,"○")&gt;0,1,0))</f>
        <v>0</v>
      </c>
      <c r="X125" s="39" t="n">
        <f aca="false">IF(X$4=0,0,IF(COUNTIFS(実績!$W$6:$W$505,X$3,実績!$AI$6:$AI$505,"&lt;="&amp;$A125,実績!$AJ$6:$AJ$505,"&gt;"&amp;$A125,実績!$AK$6:$AK$505,"○")&gt;0,1,0))</f>
        <v>0</v>
      </c>
      <c r="Y125" s="39" t="n">
        <f aca="false">IF(Y$4=0,0,IF(COUNTIFS(実績!$W$6:$W$505,Y$3,実績!$AI$6:$AI$505,"&lt;="&amp;$A125,実績!$AJ$6:$AJ$505,"&gt;"&amp;$A125,実績!$AK$6:$AK$505,"○")&gt;0,1,0))</f>
        <v>0</v>
      </c>
      <c r="Z125" s="39" t="n">
        <f aca="false">IF(Z$4=0,0,IF(COUNTIFS(実績!$W$6:$W$505,Z$3,実績!$AI$6:$AI$505,"&lt;="&amp;$A125,実績!$AJ$6:$AJ$505,"&gt;"&amp;$A125,実績!$AK$6:$AK$505,"○")&gt;0,1,0))</f>
        <v>0</v>
      </c>
      <c r="AA125" s="39" t="n">
        <f aca="false">IF(AA$4=0,0,IF(COUNTIFS(実績!$W$6:$W$505,AA$3,実績!$AI$6:$AI$505,"&lt;="&amp;$A125,実績!$AJ$6:$AJ$505,"&gt;"&amp;$A125,実績!$AK$6:$AK$505,"○")&gt;0,1,0))</f>
        <v>0</v>
      </c>
      <c r="AB125" s="39" t="n">
        <f aca="false">IF(AB$4=0,0,IF(COUNTIFS(実績!$W$6:$W$505,AB$3,実績!$AI$6:$AI$505,"&lt;="&amp;$A125,実績!$AJ$6:$AJ$505,"&gt;"&amp;$A125,実績!$AK$6:$AK$505,"○")&gt;0,1,0))</f>
        <v>0</v>
      </c>
      <c r="AC125" s="39" t="n">
        <f aca="false">IF(AC$4=0,0,IF(COUNTIFS(実績!$W$6:$W$505,AC$3,実績!$AI$6:$AI$505,"&lt;="&amp;$A125,実績!$AJ$6:$AJ$505,"&gt;"&amp;$A125,実績!$AK$6:$AK$505,"○")&gt;0,1,0))</f>
        <v>0</v>
      </c>
      <c r="AD125" s="39" t="n">
        <f aca="false">IF(AD$4=0,0,IF(COUNTIFS(実績!$W$6:$W$505,AD$3,実績!$AI$6:$AI$505,"&lt;="&amp;$A125,実績!$AJ$6:$AJ$505,"&gt;"&amp;$A125,実績!$AK$6:$AK$505,"○")&gt;0,1,0))</f>
        <v>0</v>
      </c>
      <c r="AE125" s="39" t="n">
        <f aca="false">IF(AE$4=0,0,IF(COUNTIFS(実績!$W$6:$W$505,AE$3,実績!$AI$6:$AI$505,"&lt;="&amp;$A125,実績!$AJ$6:$AJ$505,"&gt;"&amp;$A125,実績!$AK$6:$AK$505,"○")&gt;0,1,0))</f>
        <v>0</v>
      </c>
      <c r="AF125" s="39" t="n">
        <f aca="false">IF(AF$4=0,0,IF(COUNTIFS(実績!$W$6:$W$505,AF$3,実績!$AI$6:$AI$505,"&lt;="&amp;$A125,実績!$AJ$6:$AJ$505,"&gt;"&amp;$A125,実績!$AK$6:$AK$505,"○")&gt;0,1,0))</f>
        <v>0</v>
      </c>
      <c r="AG125" s="39" t="n">
        <f aca="false">IF(AG$4=0,0,IF(COUNTIFS(実績!$W$6:$W$505,AG$3,実績!$AI$6:$AI$505,"&lt;="&amp;$A125,実績!$AJ$6:$AJ$505,"&gt;"&amp;$A125,実績!$AK$6:$AK$505,"○")&gt;0,1,0))</f>
        <v>0</v>
      </c>
      <c r="AH125" s="39" t="n">
        <f aca="false">IF(AH$4=0,0,IF(COUNTIFS(実績!$W$6:$W$505,AH$3,実績!$AI$6:$AI$505,"&lt;="&amp;$A125,実績!$AJ$6:$AJ$505,"&gt;"&amp;$A125,実績!$AK$6:$AK$505,"○")&gt;0,1,0))</f>
        <v>0</v>
      </c>
      <c r="AI125" s="39" t="n">
        <f aca="false">IF(AI$4=0,0,IF(COUNTIFS(実績!$W$6:$W$505,AI$3,実績!$AI$6:$AI$505,"&lt;="&amp;$A125,実績!$AJ$6:$AJ$505,"&gt;"&amp;$A125,実績!$AK$6:$AK$505,"○")&gt;0,1,0))</f>
        <v>0</v>
      </c>
      <c r="AJ125" s="39" t="n">
        <f aca="false">IF(AJ$4=0,0,IF(COUNTIFS(実績!$W$6:$W$505,AJ$3,実績!$AI$6:$AI$505,"&lt;="&amp;$A125,実績!$AJ$6:$AJ$505,"&gt;"&amp;$A125,実績!$AK$6:$AK$505,"○")&gt;0,1,0))</f>
        <v>0</v>
      </c>
      <c r="AK125" s="39" t="n">
        <f aca="false">IF(AK$4=0,0,IF(COUNTIFS(実績!$W$6:$W$505,AK$3,実績!$AI$6:$AI$505,"&lt;="&amp;$A125,実績!$AJ$6:$AJ$505,"&gt;"&amp;$A125,実績!$AK$6:$AK$505,"○")&gt;0,1,0))</f>
        <v>0</v>
      </c>
      <c r="AL125" s="39" t="n">
        <f aca="false">IF(AL$4=0,0,IF(COUNTIFS(実績!$W$6:$W$505,AL$3,実績!$AI$6:$AI$505,"&lt;="&amp;$A125,実績!$AJ$6:$AJ$505,"&gt;"&amp;$A125,実績!$AK$6:$AK$505,"○")&gt;0,1,0))</f>
        <v>0</v>
      </c>
      <c r="AM125" s="39" t="n">
        <f aca="false">IF(AM$4=0,0,IF(COUNTIFS(実績!$W$6:$W$505,AM$3,実績!$AI$6:$AI$505,"&lt;="&amp;$A125,実績!$AJ$6:$AJ$505,"&gt;"&amp;$A125,実績!$AK$6:$AK$505,"○")&gt;0,1,0))</f>
        <v>0</v>
      </c>
      <c r="AN125" s="39" t="n">
        <f aca="false">IF(AN$4=0,0,IF(COUNTIFS(実績!$W$6:$W$505,AN$3,実績!$AI$6:$AI$505,"&lt;="&amp;$A125,実績!$AJ$6:$AJ$505,"&gt;"&amp;$A125,実績!$AK$6:$AK$505,"○")&gt;0,1,0))</f>
        <v>0</v>
      </c>
      <c r="AO125" s="39" t="n">
        <f aca="false">IF(AO$4=0,0,IF(COUNTIFS(実績!$W$6:$W$505,AO$3,実績!$AI$6:$AI$505,"&lt;="&amp;$A125,実績!$AJ$6:$AJ$505,"&gt;"&amp;$A125,実績!$AK$6:$AK$505,"○")&gt;0,1,0))</f>
        <v>0</v>
      </c>
      <c r="AP125" s="39" t="n">
        <f aca="false">IF(AP$4=0,0,IF(COUNTIFS(実績!$W$6:$W$505,AP$3,実績!$AI$6:$AI$505,"&lt;="&amp;$A125,実績!$AJ$6:$AJ$505,"&gt;"&amp;$A125,実績!$AK$6:$AK$505,"○")&gt;0,1,0))</f>
        <v>0</v>
      </c>
      <c r="AQ125" s="39" t="n">
        <f aca="false">IF(AQ$4=0,0,IF(COUNTIFS(実績!$W$6:$W$505,AQ$3,実績!$AI$6:$AI$505,"&lt;="&amp;$A125,実績!$AJ$6:$AJ$505,"&gt;"&amp;$A125,実績!$AK$6:$AK$505,"○")&gt;0,1,0))</f>
        <v>0</v>
      </c>
      <c r="AR125" s="39" t="n">
        <f aca="false">IF(AR$4=0,0,IF(COUNTIFS(実績!$W$6:$W$505,AR$3,実績!$AI$6:$AI$505,"&lt;="&amp;$A125,実績!$AJ$6:$AJ$505,"&gt;"&amp;$A125,実績!$AK$6:$AK$505,"○")&gt;0,1,0))</f>
        <v>0</v>
      </c>
      <c r="AS125" s="39" t="n">
        <f aca="false">IF(AS$4=0,0,IF(COUNTIFS(実績!$W$6:$W$505,AS$3,実績!$AI$6:$AI$505,"&lt;="&amp;$A125,実績!$AJ$6:$AJ$505,"&gt;"&amp;$A125,実績!$AK$6:$AK$505,"○")&gt;0,1,0))</f>
        <v>0</v>
      </c>
      <c r="AT125" s="39" t="n">
        <f aca="false">IF(AT$4=0,0,IF(COUNTIFS(実績!$W$6:$W$505,AT$3,実績!$AI$6:$AI$505,"&lt;="&amp;$A125,実績!$AJ$6:$AJ$505,"&gt;"&amp;$A125,実績!$AK$6:$AK$505,"○")&gt;0,1,0))</f>
        <v>0</v>
      </c>
      <c r="AU125" s="39" t="n">
        <f aca="false">IF(AU$4=0,0,IF(COUNTIFS(実績!$W$6:$W$505,AU$3,実績!$AI$6:$AI$505,"&lt;="&amp;$A125,実績!$AJ$6:$AJ$505,"&gt;"&amp;$A125,実績!$AK$6:$AK$505,"○")&gt;0,1,0))</f>
        <v>0</v>
      </c>
      <c r="AV125" s="39" t="n">
        <f aca="false">IF(AV$4=0,0,IF(COUNTIFS(実績!$W$6:$W$505,AV$3,実績!$AI$6:$AI$505,"&lt;="&amp;$A125,実績!$AJ$6:$AJ$505,"&gt;"&amp;$A125,実績!$AK$6:$AK$505,"○")&gt;0,1,0))</f>
        <v>0</v>
      </c>
      <c r="AW125" s="39" t="n">
        <f aca="false">IF(AW$4=0,0,IF(COUNTIFS(実績!$W$6:$W$505,AW$3,実績!$AI$6:$AI$505,"&lt;="&amp;$A125,実績!$AJ$6:$AJ$505,"&gt;"&amp;$A125,実績!$AK$6:$AK$505,"○")&gt;0,1,0))</f>
        <v>0</v>
      </c>
      <c r="AX125" s="39" t="n">
        <f aca="false">IF(AX$4=0,0,IF(COUNTIFS(実績!$W$6:$W$505,AX$3,実績!$AI$6:$AI$505,"&lt;="&amp;$A125,実績!$AJ$6:$AJ$505,"&gt;"&amp;$A125,実績!$AK$6:$AK$505,"○")&gt;0,1,0))</f>
        <v>0</v>
      </c>
      <c r="AY125" s="39" t="n">
        <f aca="false">IF(AY$4=0,0,IF(COUNTIFS(実績!$W$6:$W$505,AY$3,実績!$AI$6:$AI$505,"&lt;="&amp;$A125,実績!$AJ$6:$AJ$505,"&gt;"&amp;$A125,実績!$AK$6:$AK$505,"○")&gt;0,1,0))</f>
        <v>0</v>
      </c>
      <c r="AZ125" s="39" t="n">
        <f aca="false">IF(AZ$4=0,0,IF(COUNTIFS(実績!$W$6:$W$505,AZ$3,実績!$AI$6:$AI$505,"&lt;="&amp;$A125,実績!$AJ$6:$AJ$505,"&gt;"&amp;$A125,実績!$AK$6:$AK$505,"○")&gt;0,1,0))</f>
        <v>0</v>
      </c>
      <c r="BA125" s="39" t="n">
        <f aca="false">IF(BA$4=0,0,IF(COUNTIFS(実績!$W$6:$W$505,BA$3,実績!$AI$6:$AI$505,"&lt;="&amp;$A125,実績!$AJ$6:$AJ$505,"&gt;"&amp;$A125,実績!$AK$6:$AK$505,"○")&gt;0,1,0))</f>
        <v>0</v>
      </c>
      <c r="BB125" s="39" t="n">
        <f aca="false">IF(BB$4=0,0,IF(COUNTIFS(実績!$W$6:$W$505,BB$3,実績!$AI$6:$AI$505,"&lt;="&amp;$A125,実績!$AJ$6:$AJ$505,"&gt;"&amp;$A125,実績!$AK$6:$AK$505,"○")&gt;0,1,0))</f>
        <v>0</v>
      </c>
      <c r="BC125" s="39" t="n">
        <f aca="false">IF(BC$4=0,0,IF(COUNTIFS(実績!$W$6:$W$505,BC$3,実績!$AI$6:$AI$505,"&lt;="&amp;$A125,実績!$AJ$6:$AJ$505,"&gt;"&amp;$A125,実績!$AK$6:$AK$505,"○")&gt;0,1,0))</f>
        <v>0</v>
      </c>
      <c r="BD125" s="39" t="n">
        <f aca="false">IF(BD$4=0,0,IF(COUNTIFS(実績!$W$6:$W$505,BD$3,実績!$AI$6:$AI$505,"&lt;="&amp;$A125,実績!$AJ$6:$AJ$505,"&gt;"&amp;$A125,実績!$AK$6:$AK$505,"○")&gt;0,1,0))</f>
        <v>0</v>
      </c>
      <c r="BE125" s="39" t="n">
        <f aca="false">IF(BE$4=0,0,IF(COUNTIFS(実績!$W$6:$W$505,BE$3,実績!$AI$6:$AI$505,"&lt;="&amp;$A125,実績!$AJ$6:$AJ$505,"&gt;"&amp;$A125,実績!$AK$6:$AK$505,"○")&gt;0,1,0))</f>
        <v>0</v>
      </c>
      <c r="BF125" s="39" t="n">
        <f aca="false">IF(BF$4=0,0,IF(COUNTIFS(実績!$W$6:$W$505,BF$3,実績!$AI$6:$AI$505,"&lt;="&amp;$A125,実績!$AJ$6:$AJ$505,"&gt;"&amp;$A125,実績!$AK$6:$AK$505,"○")&gt;0,1,0))</f>
        <v>0</v>
      </c>
      <c r="BG125" s="39" t="n">
        <f aca="false">IF(BG$4=0,0,IF(COUNTIFS(実績!$W$6:$W$505,BG$3,実績!$AI$6:$AI$505,"&lt;="&amp;$A125,実績!$AJ$6:$AJ$505,"&gt;"&amp;$A125,実績!$AK$6:$AK$505,"○")&gt;0,1,0))</f>
        <v>0</v>
      </c>
      <c r="BH125" s="39" t="n">
        <f aca="false">IF(BH$4=0,0,IF(COUNTIFS(実績!$W$6:$W$505,BH$3,実績!$AI$6:$AI$505,"&lt;="&amp;$A125,実績!$AJ$6:$AJ$505,"&gt;"&amp;$A125,実績!$AK$6:$AK$505,"○")&gt;0,1,0))</f>
        <v>0</v>
      </c>
      <c r="BI125" s="39" t="n">
        <f aca="false">IF(BI$4=0,0,IF(COUNTIFS(実績!$W$6:$W$505,BI$3,実績!$AI$6:$AI$505,"&lt;="&amp;$A125,実績!$AJ$6:$AJ$505,"&gt;"&amp;$A125,実績!$AK$6:$AK$505,"○")&gt;0,1,0))</f>
        <v>0</v>
      </c>
      <c r="BJ125" s="39" t="n">
        <f aca="false">IF(BJ$4=0,0,IF(COUNTIFS(実績!$W$6:$W$505,BJ$3,実績!$AI$6:$AI$505,"&lt;="&amp;$A125,実績!$AJ$6:$AJ$505,"&gt;"&amp;$A125,実績!$AK$6:$AK$505,"○")&gt;0,1,0))</f>
        <v>0</v>
      </c>
      <c r="BK125" s="39" t="n">
        <f aca="false">IF(BK$4=0,0,IF(COUNTIFS(実績!$W$6:$W$505,BK$3,実績!$AI$6:$AI$505,"&lt;="&amp;$A125,実績!$AJ$6:$AJ$505,"&gt;"&amp;$A125,実績!$AK$6:$AK$505,"○")&gt;0,1,0))</f>
        <v>0</v>
      </c>
      <c r="BL125" s="39" t="n">
        <f aca="false">IF(BL$4=0,0,IF(COUNTIFS(実績!$W$6:$W$505,BL$3,実績!$AI$6:$AI$505,"&lt;="&amp;$A125,実績!$AJ$6:$AJ$505,"&gt;"&amp;$A125,実績!$AK$6:$AK$505,"○")&gt;0,1,0))</f>
        <v>0</v>
      </c>
      <c r="BM125" s="39" t="n">
        <f aca="false">IF(BM$4=0,0,IF(COUNTIFS(実績!$W$6:$W$505,BM$3,実績!$AI$6:$AI$505,"&lt;="&amp;$A125,実績!$AJ$6:$AJ$505,"&gt;"&amp;$A125,実績!$AK$6:$AK$505,"○")&gt;0,1,0))</f>
        <v>0</v>
      </c>
      <c r="BN125" s="39" t="n">
        <f aca="false">IF(BN$4=0,0,IF(COUNTIFS(実績!$W$6:$W$505,BN$3,実績!$AI$6:$AI$505,"&lt;="&amp;$A125,実績!$AJ$6:$AJ$505,"&gt;"&amp;$A125,実績!$AK$6:$AK$505,"○")&gt;0,1,0))</f>
        <v>0</v>
      </c>
      <c r="BO125" s="39" t="n">
        <f aca="false">IF(BO$4=0,0,IF(COUNTIFS(実績!$W$6:$W$505,BO$3,実績!$AI$6:$AI$505,"&lt;="&amp;$A125,実績!$AJ$6:$AJ$505,"&gt;"&amp;$A125,実績!$AK$6:$AK$505,"○")&gt;0,1,0))</f>
        <v>0</v>
      </c>
      <c r="BP125" s="39" t="n">
        <f aca="false">IF(BP$4=0,0,IF(COUNTIFS(実績!$W$6:$W$505,BP$3,実績!$AI$6:$AI$505,"&lt;="&amp;$A125,実績!$AJ$6:$AJ$505,"&gt;"&amp;$A125,実績!$AK$6:$AK$505,"○")&gt;0,1,0))</f>
        <v>0</v>
      </c>
      <c r="BQ125" s="39" t="n">
        <f aca="false">IF(BQ$4=0,0,IF(COUNTIFS(実績!$W$6:$W$505,BQ$3,実績!$AI$6:$AI$505,"&lt;="&amp;$A125,実績!$AJ$6:$AJ$505,"&gt;"&amp;$A125,実績!$AK$6:$AK$505,"○")&gt;0,1,0))</f>
        <v>0</v>
      </c>
      <c r="BR125" s="39" t="n">
        <f aca="false">IF(BR$4=0,0,IF(COUNTIFS(実績!$W$6:$W$505,BR$3,実績!$AI$6:$AI$505,"&lt;="&amp;$A125,実績!$AJ$6:$AJ$505,"&gt;"&amp;$A125,実績!$AK$6:$AK$505,"○")&gt;0,1,0))</f>
        <v>0</v>
      </c>
      <c r="BS125" s="39" t="n">
        <f aca="false">IF(BS$4=0,0,IF(COUNTIFS(実績!$W$6:$W$505,BS$3,実績!$AI$6:$AI$505,"&lt;="&amp;$A125,実績!$AJ$6:$AJ$505,"&gt;"&amp;$A125,実績!$AK$6:$AK$505,"○")&gt;0,1,0))</f>
        <v>0</v>
      </c>
      <c r="BT125" s="39" t="n">
        <f aca="false">IF(BT$4=0,0,IF(COUNTIFS(実績!$W$6:$W$505,BT$3,実績!$AI$6:$AI$505,"&lt;="&amp;$A125,実績!$AJ$6:$AJ$505,"&gt;"&amp;$A125,実績!$AK$6:$AK$505,"○")&gt;0,1,0))</f>
        <v>0</v>
      </c>
      <c r="BU125" s="39" t="n">
        <f aca="false">IF(BU$4=0,0,IF(COUNTIFS(実績!$W$6:$W$505,BU$3,実績!$AI$6:$AI$505,"&lt;="&amp;$A125,実績!$AJ$6:$AJ$505,"&gt;"&amp;$A125,実績!$AK$6:$AK$505,"○")&gt;0,1,0))</f>
        <v>0</v>
      </c>
      <c r="BV125" s="39" t="n">
        <f aca="false">IF(BV$4=0,0,IF(COUNTIFS(実績!$W$6:$W$505,BV$3,実績!$AI$6:$AI$505,"&lt;="&amp;$A125,実績!$AJ$6:$AJ$505,"&gt;"&amp;$A125,実績!$AK$6:$AK$505,"○")&gt;0,1,0))</f>
        <v>0</v>
      </c>
      <c r="BW125" s="39" t="n">
        <f aca="false">IF(BW$4=0,0,IF(COUNTIFS(実績!$W$6:$W$505,BW$3,実績!$AI$6:$AI$505,"&lt;="&amp;$A125,実績!$AJ$6:$AJ$505,"&gt;"&amp;$A125,実績!$AK$6:$AK$505,"○")&gt;0,1,0))</f>
        <v>0</v>
      </c>
      <c r="BX125" s="39" t="n">
        <f aca="false">IF(BX$4=0,0,IF(COUNTIFS(実績!$W$6:$W$505,BX$3,実績!$AI$6:$AI$505,"&lt;="&amp;$A125,実績!$AJ$6:$AJ$505,"&gt;"&amp;$A125,実績!$AK$6:$AK$505,"○")&gt;0,1,0))</f>
        <v>0</v>
      </c>
      <c r="BY125" s="39" t="n">
        <f aca="false">IF(BY$4=0,0,IF(COUNTIFS(実績!$W$6:$W$505,BY$3,実績!$AI$6:$AI$505,"&lt;="&amp;$A125,実績!$AJ$6:$AJ$505,"&gt;"&amp;$A125,実績!$AK$6:$AK$505,"○")&gt;0,1,0))</f>
        <v>0</v>
      </c>
      <c r="BZ125" s="39" t="n">
        <f aca="false">IF(BZ$4=0,0,IF(COUNTIFS(実績!$W$6:$W$505,BZ$3,実績!$AI$6:$AI$505,"&lt;="&amp;$A125,実績!$AJ$6:$AJ$505,"&gt;"&amp;$A125,実績!$AK$6:$AK$505,"○")&gt;0,1,0))</f>
        <v>0</v>
      </c>
      <c r="CA125" s="39" t="n">
        <f aca="false">IF(CA$4=0,0,IF(COUNTIFS(実績!$W$6:$W$505,CA$3,実績!$AI$6:$AI$505,"&lt;="&amp;$A125,実績!$AJ$6:$AJ$505,"&gt;"&amp;$A125,実績!$AK$6:$AK$505,"○")&gt;0,1,0))</f>
        <v>0</v>
      </c>
      <c r="CB125" s="39" t="n">
        <f aca="false">IF(CB$4=0,0,IF(COUNTIFS(実績!$W$6:$W$505,CB$3,実績!$AI$6:$AI$505,"&lt;="&amp;$A125,実績!$AJ$6:$AJ$505,"&gt;"&amp;$A125,実績!$AK$6:$AK$505,"○")&gt;0,1,0))</f>
        <v>0</v>
      </c>
      <c r="CC125" s="39" t="n">
        <f aca="false">IF(CC$4=0,0,IF(COUNTIFS(実績!$W$6:$W$505,CC$3,実績!$AI$6:$AI$505,"&lt;="&amp;$A125,実績!$AJ$6:$AJ$505,"&gt;"&amp;$A125,実績!$AK$6:$AK$505,"○")&gt;0,1,0))</f>
        <v>0</v>
      </c>
      <c r="CD125" s="39" t="n">
        <f aca="false">IF(CD$4=0,0,IF(COUNTIFS(実績!$W$6:$W$505,CD$3,実績!$AI$6:$AI$505,"&lt;="&amp;$A125,実績!$AJ$6:$AJ$505,"&gt;"&amp;$A125,実績!$AK$6:$AK$505,"○")&gt;0,1,0))</f>
        <v>0</v>
      </c>
      <c r="CE125" s="39" t="n">
        <f aca="false">IF(CE$4=0,0,IF(COUNTIFS(実績!$W$6:$W$505,CE$3,実績!$AI$6:$AI$505,"&lt;="&amp;$A125,実績!$AJ$6:$AJ$505,"&gt;"&amp;$A125,実績!$AK$6:$AK$505,"○")&gt;0,1,0))</f>
        <v>0</v>
      </c>
      <c r="CF125" s="39" t="n">
        <f aca="false">IF(CF$4=0,0,IF(COUNTIFS(実績!$W$6:$W$505,CF$3,実績!$AI$6:$AI$505,"&lt;="&amp;$A125,実績!$AJ$6:$AJ$505,"&gt;"&amp;$A125,実績!$AK$6:$AK$505,"○")&gt;0,1,0))</f>
        <v>0</v>
      </c>
      <c r="CG125" s="39" t="n">
        <f aca="false">IF(CG$4=0,0,IF(COUNTIFS(実績!$W$6:$W$505,CG$3,実績!$AI$6:$AI$505,"&lt;="&amp;$A125,実績!$AJ$6:$AJ$505,"&gt;"&amp;$A125,実績!$AK$6:$AK$505,"○")&gt;0,1,0))</f>
        <v>0</v>
      </c>
      <c r="CH125" s="39" t="n">
        <f aca="false">IF(CH$4=0,0,IF(COUNTIFS(実績!$W$6:$W$505,CH$3,実績!$AI$6:$AI$505,"&lt;="&amp;$A125,実績!$AJ$6:$AJ$505,"&gt;"&amp;$A125,実績!$AK$6:$AK$505,"○")&gt;0,1,0))</f>
        <v>0</v>
      </c>
      <c r="CI125" s="39" t="n">
        <f aca="false">IF(CI$4=0,0,IF(COUNTIFS(実績!$W$6:$W$505,CI$3,実績!$AI$6:$AI$505,"&lt;="&amp;$A125,実績!$AJ$6:$AJ$505,"&gt;"&amp;$A125,実績!$AK$6:$AK$505,"○")&gt;0,1,0))</f>
        <v>0</v>
      </c>
      <c r="CJ125" s="39" t="n">
        <f aca="false">IF(CJ$4=0,0,IF(COUNTIFS(実績!$W$6:$W$505,CJ$3,実績!$AI$6:$AI$505,"&lt;="&amp;$A125,実績!$AJ$6:$AJ$505,"&gt;"&amp;$A125,実績!$AK$6:$AK$505,"○")&gt;0,1,0))</f>
        <v>0</v>
      </c>
      <c r="CK125" s="39" t="n">
        <f aca="false">IF(CK$4=0,0,IF(COUNTIFS(実績!$W$6:$W$505,CK$3,実績!$AI$6:$AI$505,"&lt;="&amp;$A125,実績!$AJ$6:$AJ$505,"&gt;"&amp;$A125,実績!$AK$6:$AK$505,"○")&gt;0,1,0))</f>
        <v>0</v>
      </c>
      <c r="CL125" s="39" t="n">
        <f aca="false">IF(CL$4=0,0,IF(COUNTIFS(実績!$W$6:$W$505,CL$3,実績!$AI$6:$AI$505,"&lt;="&amp;$A125,実績!$AJ$6:$AJ$505,"&gt;"&amp;$A125,実績!$AK$6:$AK$505,"○")&gt;0,1,0))</f>
        <v>0</v>
      </c>
      <c r="CM125" s="39" t="n">
        <f aca="false">IF(CM$4=0,0,IF(COUNTIFS(実績!$W$6:$W$505,CM$3,実績!$AI$6:$AI$505,"&lt;="&amp;$A125,実績!$AJ$6:$AJ$505,"&gt;"&amp;$A125,実績!$AK$6:$AK$505,"○")&gt;0,1,0))</f>
        <v>0</v>
      </c>
      <c r="CN125" s="39" t="n">
        <f aca="false">IF(CN$4=0,0,IF(COUNTIFS(実績!$W$6:$W$505,CN$3,実績!$AI$6:$AI$505,"&lt;="&amp;$A125,実績!$AJ$6:$AJ$505,"&gt;"&amp;$A125,実績!$AK$6:$AK$505,"○")&gt;0,1,0))</f>
        <v>0</v>
      </c>
      <c r="CO125" s="39" t="n">
        <f aca="false">IF(CO$4=0,0,IF(COUNTIFS(実績!$W$6:$W$505,CO$3,実績!$AI$6:$AI$505,"&lt;="&amp;$A125,実績!$AJ$6:$AJ$505,"&gt;"&amp;$A125,実績!$AK$6:$AK$505,"○")&gt;0,1,0))</f>
        <v>0</v>
      </c>
      <c r="CP125" s="39" t="n">
        <f aca="false">IF(CP$4=0,0,IF(COUNTIFS(実績!$W$6:$W$505,CP$3,実績!$AI$6:$AI$505,"&lt;="&amp;$A125,実績!$AJ$6:$AJ$505,"&gt;"&amp;$A125,実績!$AK$6:$AK$505,"○")&gt;0,1,0))</f>
        <v>0</v>
      </c>
      <c r="CQ125" s="39" t="n">
        <f aca="false">IF(CQ$4=0,0,IF(COUNTIFS(実績!$W$6:$W$505,CQ$3,実績!$AI$6:$AI$505,"&lt;="&amp;$A125,実績!$AJ$6:$AJ$505,"&gt;"&amp;$A125,実績!$AK$6:$AK$505,"○")&gt;0,1,0))</f>
        <v>0</v>
      </c>
      <c r="CR125" s="39" t="n">
        <f aca="false">IF(CR$4=0,0,IF(COUNTIFS(実績!$W$6:$W$505,CR$3,実績!$AI$6:$AI$505,"&lt;="&amp;$A125,実績!$AJ$6:$AJ$505,"&gt;"&amp;$A125,実績!$AK$6:$AK$505,"○")&gt;0,1,0))</f>
        <v>0</v>
      </c>
      <c r="CS125" s="39" t="n">
        <f aca="false">IF(CS$4=0,0,IF(COUNTIFS(実績!$W$6:$W$505,CS$3,実績!$AI$6:$AI$505,"&lt;="&amp;$A125,実績!$AJ$6:$AJ$505,"&gt;"&amp;$A125,実績!$AK$6:$AK$505,"○")&gt;0,1,0))</f>
        <v>0</v>
      </c>
      <c r="CT125" s="39" t="n">
        <f aca="false">IF(CT$4=0,0,IF(COUNTIFS(実績!$W$6:$W$505,CT$3,実績!$AI$6:$AI$505,"&lt;="&amp;$A125,実績!$AJ$6:$AJ$505,"&gt;"&amp;$A125,実績!$AK$6:$AK$505,"○")&gt;0,1,0))</f>
        <v>0</v>
      </c>
      <c r="CU125" s="39" t="n">
        <f aca="false">IF(CU$4=0,0,IF(COUNTIFS(実績!$W$6:$W$505,CU$3,実績!$AI$6:$AI$505,"&lt;="&amp;$A125,実績!$AJ$6:$AJ$505,"&gt;"&amp;$A125,実績!$AK$6:$AK$505,"○")&gt;0,1,0))</f>
        <v>0</v>
      </c>
      <c r="CV125" s="39" t="n">
        <f aca="false">IF(CV$4=0,0,IF(COUNTIFS(実績!$W$6:$W$505,CV$3,実績!$AI$6:$AI$505,"&lt;="&amp;$A125,実績!$AJ$6:$AJ$505,"&gt;"&amp;$A125,実績!$AK$6:$AK$505,"○")&gt;0,1,0))</f>
        <v>0</v>
      </c>
      <c r="CW125" s="39" t="n">
        <f aca="false">IF(CW$4=0,0,IF(COUNTIFS(実績!$W$6:$W$505,CW$3,実績!$AI$6:$AI$505,"&lt;="&amp;$A125,実績!$AJ$6:$AJ$505,"&gt;"&amp;$A125,実績!$AK$6:$AK$505,"○")&gt;0,1,0))</f>
        <v>0</v>
      </c>
      <c r="CX125" s="39" t="n">
        <f aca="false">IF(CX$4=0,0,IF(COUNTIFS(実績!$W$6:$W$505,CX$3,実績!$AI$6:$AI$505,"&lt;="&amp;$A125,実績!$AJ$6:$AJ$505,"&gt;"&amp;$A125,実績!$AK$6:$AK$505,"○")&gt;0,1,0))</f>
        <v>0</v>
      </c>
      <c r="CY125" s="39" t="n">
        <f aca="false">IF(CY$4=0,0,IF(COUNTIFS(実績!$W$6:$W$505,CY$3,実績!$AI$6:$AI$505,"&lt;="&amp;$A125,実績!$AJ$6:$AJ$505,"&gt;"&amp;$A125,実績!$AK$6:$AK$505,"○")&gt;0,1,0))</f>
        <v>0</v>
      </c>
      <c r="CZ125" s="39" t="n">
        <f aca="false">IF(CZ$4=0,0,IF(COUNTIFS(実績!$W$6:$W$505,CZ$3,実績!$AI$6:$AI$505,"&lt;="&amp;$A125,実績!$AJ$6:$AJ$505,"&gt;"&amp;$A125,実績!$AK$6:$AK$505,"○")&gt;0,1,0))</f>
        <v>0</v>
      </c>
      <c r="DA125" s="39" t="n">
        <f aca="false">IF(DA$4=0,0,IF(COUNTIFS(実績!$W$6:$W$505,DA$3,実績!$AI$6:$AI$505,"&lt;="&amp;$A125,実績!$AJ$6:$AJ$505,"&gt;"&amp;$A125,実績!$AK$6:$AK$505,"○")&gt;0,1,0))</f>
        <v>0</v>
      </c>
      <c r="DB125" s="39" t="n">
        <f aca="false">IF(DB$4=0,0,IF(COUNTIFS(実績!$W$6:$W$505,DB$3,実績!$AI$6:$AI$505,"&lt;="&amp;$A125,実績!$AJ$6:$AJ$505,"&gt;"&amp;$A125,実績!$AK$6:$AK$505,"○")&gt;0,1,0))</f>
        <v>0</v>
      </c>
      <c r="DC125" s="39" t="n">
        <f aca="false">IF(DC$4=0,0,IF(COUNTIFS(実績!$W$6:$W$505,DC$3,実績!$AI$6:$AI$505,"&lt;="&amp;$A125,実績!$AJ$6:$AJ$505,"&gt;"&amp;$A125,実績!$AK$6:$AK$505,"○")&gt;0,1,0))</f>
        <v>0</v>
      </c>
      <c r="DD125" s="39" t="n">
        <f aca="false">IF(DD$4=0,0,IF(COUNTIFS(実績!$W$6:$W$505,DD$3,実績!$AI$6:$AI$505,"&lt;="&amp;$A125,実績!$AJ$6:$AJ$505,"&gt;"&amp;$A125,実績!$AK$6:$AK$505,"○")&gt;0,1,0))</f>
        <v>0</v>
      </c>
      <c r="DE125" s="39" t="n">
        <f aca="false">IF(DE$4=0,0,IF(COUNTIFS(実績!$W$6:$W$505,DE$3,実績!$AI$6:$AI$505,"&lt;="&amp;$A125,実績!$AJ$6:$AJ$505,"&gt;"&amp;$A125,実績!$AK$6:$AK$505,"○")&gt;0,1,0))</f>
        <v>0</v>
      </c>
      <c r="DF125" s="39" t="n">
        <f aca="false">IF(DF$4=0,0,IF(COUNTIFS(実績!$W$6:$W$505,DF$3,実績!$AI$6:$AI$505,"&lt;="&amp;$A125,実績!$AJ$6:$AJ$505,"&gt;"&amp;$A125,実績!$AK$6:$AK$505,"○")&gt;0,1,0))</f>
        <v>0</v>
      </c>
      <c r="DG125" s="39" t="n">
        <f aca="false">IF(DG$4=0,0,IF(COUNTIFS(実績!$W$6:$W$505,DG$3,実績!$AI$6:$AI$505,"&lt;="&amp;$A125,実績!$AJ$6:$AJ$505,"&gt;"&amp;$A125,実績!$AK$6:$AK$505,"○")&gt;0,1,0))</f>
        <v>0</v>
      </c>
      <c r="DH125" s="39" t="n">
        <f aca="false">IF(DH$4=0,0,IF(COUNTIFS(実績!$W$6:$W$505,DH$3,実績!$AI$6:$AI$505,"&lt;="&amp;$A125,実績!$AJ$6:$AJ$505,"&gt;"&amp;$A125,実績!$AK$6:$AK$505,"○")&gt;0,1,0))</f>
        <v>0</v>
      </c>
      <c r="DI125" s="39" t="n">
        <f aca="false">IF(DI$4=0,0,IF(COUNTIFS(実績!$W$6:$W$505,DI$3,実績!$AI$6:$AI$505,"&lt;="&amp;$A125,実績!$AJ$6:$AJ$505,"&gt;"&amp;$A125,実績!$AK$6:$AK$505,"○")&gt;0,1,0))</f>
        <v>0</v>
      </c>
      <c r="DJ125" s="39" t="n">
        <f aca="false">IF(DJ$4=0,0,IF(COUNTIFS(実績!$W$6:$W$505,DJ$3,実績!$AI$6:$AI$505,"&lt;="&amp;$A125,実績!$AJ$6:$AJ$505,"&gt;"&amp;$A125,実績!$AK$6:$AK$505,"○")&gt;0,1,0))</f>
        <v>0</v>
      </c>
      <c r="DK125" s="39" t="n">
        <f aca="false">IF(DK$4=0,0,IF(COUNTIFS(実績!$W$6:$W$505,DK$3,実績!$AI$6:$AI$505,"&lt;="&amp;$A125,実績!$AJ$6:$AJ$505,"&gt;"&amp;$A125,実績!$AK$6:$AK$505,"○")&gt;0,1,0))</f>
        <v>0</v>
      </c>
      <c r="DL125" s="39" t="n">
        <f aca="false">IF(DL$4=0,0,IF(COUNTIFS(実績!$W$6:$W$505,DL$3,実績!$AI$6:$AI$505,"&lt;="&amp;$A125,実績!$AJ$6:$AJ$505,"&gt;"&amp;$A125,実績!$AK$6:$AK$505,"○")&gt;0,1,0))</f>
        <v>0</v>
      </c>
      <c r="DM125" s="39" t="n">
        <f aca="false">IF(DM$4=0,0,IF(COUNTIFS(実績!$W$6:$W$505,DM$3,実績!$AI$6:$AI$505,"&lt;="&amp;$A125,実績!$AJ$6:$AJ$505,"&gt;"&amp;$A125,実績!$AK$6:$AK$505,"○")&gt;0,1,0))</f>
        <v>0</v>
      </c>
      <c r="DN125" s="39" t="n">
        <f aca="false">IF(DN$4=0,0,IF(COUNTIFS(実績!$W$6:$W$505,DN$3,実績!$AI$6:$AI$505,"&lt;="&amp;$A125,実績!$AJ$6:$AJ$505,"&gt;"&amp;$A125,実績!$AK$6:$AK$505,"○")&gt;0,1,0))</f>
        <v>0</v>
      </c>
      <c r="DO125" s="39" t="n">
        <f aca="false">IF(DO$4=0,0,IF(COUNTIFS(実績!$W$6:$W$505,DO$3,実績!$AI$6:$AI$505,"&lt;="&amp;$A125,実績!$AJ$6:$AJ$505,"&gt;"&amp;$A125,実績!$AK$6:$AK$505,"○")&gt;0,1,0))</f>
        <v>0</v>
      </c>
      <c r="DP125" s="39" t="n">
        <f aca="false">IF(DP$4=0,0,IF(COUNTIFS(実績!$W$6:$W$505,DP$3,実績!$AI$6:$AI$505,"&lt;="&amp;$A125,実績!$AJ$6:$AJ$505,"&gt;"&amp;$A125,実績!$AK$6:$AK$505,"○")&gt;0,1,0))</f>
        <v>0</v>
      </c>
      <c r="DQ125" s="39" t="n">
        <f aca="false">IF(DQ$4=0,0,IF(COUNTIFS(実績!$W$6:$W$505,DQ$3,実績!$AI$6:$AI$505,"&lt;="&amp;$A125,実績!$AJ$6:$AJ$505,"&gt;"&amp;$A125,実績!$AK$6:$AK$505,"○")&gt;0,1,0))</f>
        <v>0</v>
      </c>
      <c r="DR125" s="39" t="n">
        <f aca="false">IF(DR$4=0,0,IF(COUNTIFS(実績!$W$6:$W$505,DR$3,実績!$AI$6:$AI$505,"&lt;="&amp;$A125,実績!$AJ$6:$AJ$505,"&gt;"&amp;$A125,実績!$AK$6:$AK$505,"○")&gt;0,1,0))</f>
        <v>0</v>
      </c>
      <c r="DS125" s="39" t="n">
        <f aca="false">SUM(C125:DR125)</f>
        <v>0</v>
      </c>
      <c r="DT125" s="39" t="n">
        <f aca="false">SUMPRODUCT((実績!$C$6:$C$505="○")*ISNUMBER(実績!$AM$6:$AM$505)*(実績!$AM$6:$AM$505&lt;=$A125)*(実績!$AN$6:$AN$505&gt;$A125))</f>
        <v>0</v>
      </c>
      <c r="DU125" s="39" t="n">
        <f aca="false">SUMIF($C$2:$DR$2,"製鉄曳船",C125:DR125)</f>
        <v>0</v>
      </c>
      <c r="DV125" s="39" t="n">
        <f aca="false">SUMIF($C$2:$DR$2,"西日本海運",C125:DR125)</f>
        <v>0</v>
      </c>
    </row>
    <row r="126" customFormat="false" ht="15" hidden="false" customHeight="false" outlineLevel="0" collapsed="false">
      <c r="A126" s="0" t="n">
        <v>600</v>
      </c>
      <c r="B126" s="38" t="n">
        <f aca="false">A126/1440</f>
        <v>0.416666666666667</v>
      </c>
      <c r="C126" s="39" t="n">
        <f aca="false">IF(C$4=0,0,IF(COUNTIFS(実績!$W$6:$W$505,C$3,実績!$AI$6:$AI$505,"&lt;="&amp;$A126,実績!$AJ$6:$AJ$505,"&gt;"&amp;$A126,実績!$AK$6:$AK$505,"○")&gt;0,1,0))</f>
        <v>0</v>
      </c>
      <c r="D126" s="39" t="n">
        <f aca="false">IF(D$4=0,0,IF(COUNTIFS(実績!$W$6:$W$505,D$3,実績!$AI$6:$AI$505,"&lt;="&amp;$A126,実績!$AJ$6:$AJ$505,"&gt;"&amp;$A126,実績!$AK$6:$AK$505,"○")&gt;0,1,0))</f>
        <v>0</v>
      </c>
      <c r="E126" s="39" t="n">
        <f aca="false">IF(E$4=0,0,IF(COUNTIFS(実績!$W$6:$W$505,E$3,実績!$AI$6:$AI$505,"&lt;="&amp;$A126,実績!$AJ$6:$AJ$505,"&gt;"&amp;$A126,実績!$AK$6:$AK$505,"○")&gt;0,1,0))</f>
        <v>0</v>
      </c>
      <c r="F126" s="39" t="n">
        <f aca="false">IF(F$4=0,0,IF(COUNTIFS(実績!$W$6:$W$505,F$3,実績!$AI$6:$AI$505,"&lt;="&amp;$A126,実績!$AJ$6:$AJ$505,"&gt;"&amp;$A126,実績!$AK$6:$AK$505,"○")&gt;0,1,0))</f>
        <v>0</v>
      </c>
      <c r="G126" s="39" t="n">
        <f aca="false">IF(G$4=0,0,IF(COUNTIFS(実績!$W$6:$W$505,G$3,実績!$AI$6:$AI$505,"&lt;="&amp;$A126,実績!$AJ$6:$AJ$505,"&gt;"&amp;$A126,実績!$AK$6:$AK$505,"○")&gt;0,1,0))</f>
        <v>0</v>
      </c>
      <c r="H126" s="39" t="n">
        <f aca="false">IF(H$4=0,0,IF(COUNTIFS(実績!$W$6:$W$505,H$3,実績!$AI$6:$AI$505,"&lt;="&amp;$A126,実績!$AJ$6:$AJ$505,"&gt;"&amp;$A126,実績!$AK$6:$AK$505,"○")&gt;0,1,0))</f>
        <v>0</v>
      </c>
      <c r="I126" s="39" t="n">
        <f aca="false">IF(I$4=0,0,IF(COUNTIFS(実績!$W$6:$W$505,I$3,実績!$AI$6:$AI$505,"&lt;="&amp;$A126,実績!$AJ$6:$AJ$505,"&gt;"&amp;$A126,実績!$AK$6:$AK$505,"○")&gt;0,1,0))</f>
        <v>0</v>
      </c>
      <c r="J126" s="39" t="n">
        <f aca="false">IF(J$4=0,0,IF(COUNTIFS(実績!$W$6:$W$505,J$3,実績!$AI$6:$AI$505,"&lt;="&amp;$A126,実績!$AJ$6:$AJ$505,"&gt;"&amp;$A126,実績!$AK$6:$AK$505,"○")&gt;0,1,0))</f>
        <v>0</v>
      </c>
      <c r="K126" s="39" t="n">
        <f aca="false">IF(K$4=0,0,IF(COUNTIFS(実績!$W$6:$W$505,K$3,実績!$AI$6:$AI$505,"&lt;="&amp;$A126,実績!$AJ$6:$AJ$505,"&gt;"&amp;$A126,実績!$AK$6:$AK$505,"○")&gt;0,1,0))</f>
        <v>0</v>
      </c>
      <c r="L126" s="39" t="n">
        <f aca="false">IF(L$4=0,0,IF(COUNTIFS(実績!$W$6:$W$505,L$3,実績!$AI$6:$AI$505,"&lt;="&amp;$A126,実績!$AJ$6:$AJ$505,"&gt;"&amp;$A126,実績!$AK$6:$AK$505,"○")&gt;0,1,0))</f>
        <v>0</v>
      </c>
      <c r="M126" s="39" t="n">
        <f aca="false">IF(M$4=0,0,IF(COUNTIFS(実績!$W$6:$W$505,M$3,実績!$AI$6:$AI$505,"&lt;="&amp;$A126,実績!$AJ$6:$AJ$505,"&gt;"&amp;$A126,実績!$AK$6:$AK$505,"○")&gt;0,1,0))</f>
        <v>0</v>
      </c>
      <c r="N126" s="39" t="n">
        <f aca="false">IF(N$4=0,0,IF(COUNTIFS(実績!$W$6:$W$505,N$3,実績!$AI$6:$AI$505,"&lt;="&amp;$A126,実績!$AJ$6:$AJ$505,"&gt;"&amp;$A126,実績!$AK$6:$AK$505,"○")&gt;0,1,0))</f>
        <v>0</v>
      </c>
      <c r="O126" s="39" t="n">
        <f aca="false">IF(O$4=0,0,IF(COUNTIFS(実績!$W$6:$W$505,O$3,実績!$AI$6:$AI$505,"&lt;="&amp;$A126,実績!$AJ$6:$AJ$505,"&gt;"&amp;$A126,実績!$AK$6:$AK$505,"○")&gt;0,1,0))</f>
        <v>0</v>
      </c>
      <c r="P126" s="39" t="n">
        <f aca="false">IF(P$4=0,0,IF(COUNTIFS(実績!$W$6:$W$505,P$3,実績!$AI$6:$AI$505,"&lt;="&amp;$A126,実績!$AJ$6:$AJ$505,"&gt;"&amp;$A126,実績!$AK$6:$AK$505,"○")&gt;0,1,0))</f>
        <v>0</v>
      </c>
      <c r="Q126" s="39" t="n">
        <f aca="false">IF(Q$4=0,0,IF(COUNTIFS(実績!$W$6:$W$505,Q$3,実績!$AI$6:$AI$505,"&lt;="&amp;$A126,実績!$AJ$6:$AJ$505,"&gt;"&amp;$A126,実績!$AK$6:$AK$505,"○")&gt;0,1,0))</f>
        <v>0</v>
      </c>
      <c r="R126" s="39" t="n">
        <f aca="false">IF(R$4=0,0,IF(COUNTIFS(実績!$W$6:$W$505,R$3,実績!$AI$6:$AI$505,"&lt;="&amp;$A126,実績!$AJ$6:$AJ$505,"&gt;"&amp;$A126,実績!$AK$6:$AK$505,"○")&gt;0,1,0))</f>
        <v>0</v>
      </c>
      <c r="S126" s="39" t="n">
        <f aca="false">IF(S$4=0,0,IF(COUNTIFS(実績!$W$6:$W$505,S$3,実績!$AI$6:$AI$505,"&lt;="&amp;$A126,実績!$AJ$6:$AJ$505,"&gt;"&amp;$A126,実績!$AK$6:$AK$505,"○")&gt;0,1,0))</f>
        <v>0</v>
      </c>
      <c r="T126" s="39" t="n">
        <f aca="false">IF(T$4=0,0,IF(COUNTIFS(実績!$W$6:$W$505,T$3,実績!$AI$6:$AI$505,"&lt;="&amp;$A126,実績!$AJ$6:$AJ$505,"&gt;"&amp;$A126,実績!$AK$6:$AK$505,"○")&gt;0,1,0))</f>
        <v>0</v>
      </c>
      <c r="U126" s="39" t="n">
        <f aca="false">IF(U$4=0,0,IF(COUNTIFS(実績!$W$6:$W$505,U$3,実績!$AI$6:$AI$505,"&lt;="&amp;$A126,実績!$AJ$6:$AJ$505,"&gt;"&amp;$A126,実績!$AK$6:$AK$505,"○")&gt;0,1,0))</f>
        <v>0</v>
      </c>
      <c r="V126" s="39" t="n">
        <f aca="false">IF(V$4=0,0,IF(COUNTIFS(実績!$W$6:$W$505,V$3,実績!$AI$6:$AI$505,"&lt;="&amp;$A126,実績!$AJ$6:$AJ$505,"&gt;"&amp;$A126,実績!$AK$6:$AK$505,"○")&gt;0,1,0))</f>
        <v>0</v>
      </c>
      <c r="W126" s="39" t="n">
        <f aca="false">IF(W$4=0,0,IF(COUNTIFS(実績!$W$6:$W$505,W$3,実績!$AI$6:$AI$505,"&lt;="&amp;$A126,実績!$AJ$6:$AJ$505,"&gt;"&amp;$A126,実績!$AK$6:$AK$505,"○")&gt;0,1,0))</f>
        <v>0</v>
      </c>
      <c r="X126" s="39" t="n">
        <f aca="false">IF(X$4=0,0,IF(COUNTIFS(実績!$W$6:$W$505,X$3,実績!$AI$6:$AI$505,"&lt;="&amp;$A126,実績!$AJ$6:$AJ$505,"&gt;"&amp;$A126,実績!$AK$6:$AK$505,"○")&gt;0,1,0))</f>
        <v>0</v>
      </c>
      <c r="Y126" s="39" t="n">
        <f aca="false">IF(Y$4=0,0,IF(COUNTIFS(実績!$W$6:$W$505,Y$3,実績!$AI$6:$AI$505,"&lt;="&amp;$A126,実績!$AJ$6:$AJ$505,"&gt;"&amp;$A126,実績!$AK$6:$AK$505,"○")&gt;0,1,0))</f>
        <v>0</v>
      </c>
      <c r="Z126" s="39" t="n">
        <f aca="false">IF(Z$4=0,0,IF(COUNTIFS(実績!$W$6:$W$505,Z$3,実績!$AI$6:$AI$505,"&lt;="&amp;$A126,実績!$AJ$6:$AJ$505,"&gt;"&amp;$A126,実績!$AK$6:$AK$505,"○")&gt;0,1,0))</f>
        <v>0</v>
      </c>
      <c r="AA126" s="39" t="n">
        <f aca="false">IF(AA$4=0,0,IF(COUNTIFS(実績!$W$6:$W$505,AA$3,実績!$AI$6:$AI$505,"&lt;="&amp;$A126,実績!$AJ$6:$AJ$505,"&gt;"&amp;$A126,実績!$AK$6:$AK$505,"○")&gt;0,1,0))</f>
        <v>0</v>
      </c>
      <c r="AB126" s="39" t="n">
        <f aca="false">IF(AB$4=0,0,IF(COUNTIFS(実績!$W$6:$W$505,AB$3,実績!$AI$6:$AI$505,"&lt;="&amp;$A126,実績!$AJ$6:$AJ$505,"&gt;"&amp;$A126,実績!$AK$6:$AK$505,"○")&gt;0,1,0))</f>
        <v>0</v>
      </c>
      <c r="AC126" s="39" t="n">
        <f aca="false">IF(AC$4=0,0,IF(COUNTIFS(実績!$W$6:$W$505,AC$3,実績!$AI$6:$AI$505,"&lt;="&amp;$A126,実績!$AJ$6:$AJ$505,"&gt;"&amp;$A126,実績!$AK$6:$AK$505,"○")&gt;0,1,0))</f>
        <v>0</v>
      </c>
      <c r="AD126" s="39" t="n">
        <f aca="false">IF(AD$4=0,0,IF(COUNTIFS(実績!$W$6:$W$505,AD$3,実績!$AI$6:$AI$505,"&lt;="&amp;$A126,実績!$AJ$6:$AJ$505,"&gt;"&amp;$A126,実績!$AK$6:$AK$505,"○")&gt;0,1,0))</f>
        <v>0</v>
      </c>
      <c r="AE126" s="39" t="n">
        <f aca="false">IF(AE$4=0,0,IF(COUNTIFS(実績!$W$6:$W$505,AE$3,実績!$AI$6:$AI$505,"&lt;="&amp;$A126,実績!$AJ$6:$AJ$505,"&gt;"&amp;$A126,実績!$AK$6:$AK$505,"○")&gt;0,1,0))</f>
        <v>0</v>
      </c>
      <c r="AF126" s="39" t="n">
        <f aca="false">IF(AF$4=0,0,IF(COUNTIFS(実績!$W$6:$W$505,AF$3,実績!$AI$6:$AI$505,"&lt;="&amp;$A126,実績!$AJ$6:$AJ$505,"&gt;"&amp;$A126,実績!$AK$6:$AK$505,"○")&gt;0,1,0))</f>
        <v>0</v>
      </c>
      <c r="AG126" s="39" t="n">
        <f aca="false">IF(AG$4=0,0,IF(COUNTIFS(実績!$W$6:$W$505,AG$3,実績!$AI$6:$AI$505,"&lt;="&amp;$A126,実績!$AJ$6:$AJ$505,"&gt;"&amp;$A126,実績!$AK$6:$AK$505,"○")&gt;0,1,0))</f>
        <v>0</v>
      </c>
      <c r="AH126" s="39" t="n">
        <f aca="false">IF(AH$4=0,0,IF(COUNTIFS(実績!$W$6:$W$505,AH$3,実績!$AI$6:$AI$505,"&lt;="&amp;$A126,実績!$AJ$6:$AJ$505,"&gt;"&amp;$A126,実績!$AK$6:$AK$505,"○")&gt;0,1,0))</f>
        <v>0</v>
      </c>
      <c r="AI126" s="39" t="n">
        <f aca="false">IF(AI$4=0,0,IF(COUNTIFS(実績!$W$6:$W$505,AI$3,実績!$AI$6:$AI$505,"&lt;="&amp;$A126,実績!$AJ$6:$AJ$505,"&gt;"&amp;$A126,実績!$AK$6:$AK$505,"○")&gt;0,1,0))</f>
        <v>0</v>
      </c>
      <c r="AJ126" s="39" t="n">
        <f aca="false">IF(AJ$4=0,0,IF(COUNTIFS(実績!$W$6:$W$505,AJ$3,実績!$AI$6:$AI$505,"&lt;="&amp;$A126,実績!$AJ$6:$AJ$505,"&gt;"&amp;$A126,実績!$AK$6:$AK$505,"○")&gt;0,1,0))</f>
        <v>0</v>
      </c>
      <c r="AK126" s="39" t="n">
        <f aca="false">IF(AK$4=0,0,IF(COUNTIFS(実績!$W$6:$W$505,AK$3,実績!$AI$6:$AI$505,"&lt;="&amp;$A126,実績!$AJ$6:$AJ$505,"&gt;"&amp;$A126,実績!$AK$6:$AK$505,"○")&gt;0,1,0))</f>
        <v>0</v>
      </c>
      <c r="AL126" s="39" t="n">
        <f aca="false">IF(AL$4=0,0,IF(COUNTIFS(実績!$W$6:$W$505,AL$3,実績!$AI$6:$AI$505,"&lt;="&amp;$A126,実績!$AJ$6:$AJ$505,"&gt;"&amp;$A126,実績!$AK$6:$AK$505,"○")&gt;0,1,0))</f>
        <v>0</v>
      </c>
      <c r="AM126" s="39" t="n">
        <f aca="false">IF(AM$4=0,0,IF(COUNTIFS(実績!$W$6:$W$505,AM$3,実績!$AI$6:$AI$505,"&lt;="&amp;$A126,実績!$AJ$6:$AJ$505,"&gt;"&amp;$A126,実績!$AK$6:$AK$505,"○")&gt;0,1,0))</f>
        <v>0</v>
      </c>
      <c r="AN126" s="39" t="n">
        <f aca="false">IF(AN$4=0,0,IF(COUNTIFS(実績!$W$6:$W$505,AN$3,実績!$AI$6:$AI$505,"&lt;="&amp;$A126,実績!$AJ$6:$AJ$505,"&gt;"&amp;$A126,実績!$AK$6:$AK$505,"○")&gt;0,1,0))</f>
        <v>0</v>
      </c>
      <c r="AO126" s="39" t="n">
        <f aca="false">IF(AO$4=0,0,IF(COUNTIFS(実績!$W$6:$W$505,AO$3,実績!$AI$6:$AI$505,"&lt;="&amp;$A126,実績!$AJ$6:$AJ$505,"&gt;"&amp;$A126,実績!$AK$6:$AK$505,"○")&gt;0,1,0))</f>
        <v>0</v>
      </c>
      <c r="AP126" s="39" t="n">
        <f aca="false">IF(AP$4=0,0,IF(COUNTIFS(実績!$W$6:$W$505,AP$3,実績!$AI$6:$AI$505,"&lt;="&amp;$A126,実績!$AJ$6:$AJ$505,"&gt;"&amp;$A126,実績!$AK$6:$AK$505,"○")&gt;0,1,0))</f>
        <v>0</v>
      </c>
      <c r="AQ126" s="39" t="n">
        <f aca="false">IF(AQ$4=0,0,IF(COUNTIFS(実績!$W$6:$W$505,AQ$3,実績!$AI$6:$AI$505,"&lt;="&amp;$A126,実績!$AJ$6:$AJ$505,"&gt;"&amp;$A126,実績!$AK$6:$AK$505,"○")&gt;0,1,0))</f>
        <v>0</v>
      </c>
      <c r="AR126" s="39" t="n">
        <f aca="false">IF(AR$4=0,0,IF(COUNTIFS(実績!$W$6:$W$505,AR$3,実績!$AI$6:$AI$505,"&lt;="&amp;$A126,実績!$AJ$6:$AJ$505,"&gt;"&amp;$A126,実績!$AK$6:$AK$505,"○")&gt;0,1,0))</f>
        <v>0</v>
      </c>
      <c r="AS126" s="39" t="n">
        <f aca="false">IF(AS$4=0,0,IF(COUNTIFS(実績!$W$6:$W$505,AS$3,実績!$AI$6:$AI$505,"&lt;="&amp;$A126,実績!$AJ$6:$AJ$505,"&gt;"&amp;$A126,実績!$AK$6:$AK$505,"○")&gt;0,1,0))</f>
        <v>0</v>
      </c>
      <c r="AT126" s="39" t="n">
        <f aca="false">IF(AT$4=0,0,IF(COUNTIFS(実績!$W$6:$W$505,AT$3,実績!$AI$6:$AI$505,"&lt;="&amp;$A126,実績!$AJ$6:$AJ$505,"&gt;"&amp;$A126,実績!$AK$6:$AK$505,"○")&gt;0,1,0))</f>
        <v>0</v>
      </c>
      <c r="AU126" s="39" t="n">
        <f aca="false">IF(AU$4=0,0,IF(COUNTIFS(実績!$W$6:$W$505,AU$3,実績!$AI$6:$AI$505,"&lt;="&amp;$A126,実績!$AJ$6:$AJ$505,"&gt;"&amp;$A126,実績!$AK$6:$AK$505,"○")&gt;0,1,0))</f>
        <v>0</v>
      </c>
      <c r="AV126" s="39" t="n">
        <f aca="false">IF(AV$4=0,0,IF(COUNTIFS(実績!$W$6:$W$505,AV$3,実績!$AI$6:$AI$505,"&lt;="&amp;$A126,実績!$AJ$6:$AJ$505,"&gt;"&amp;$A126,実績!$AK$6:$AK$505,"○")&gt;0,1,0))</f>
        <v>0</v>
      </c>
      <c r="AW126" s="39" t="n">
        <f aca="false">IF(AW$4=0,0,IF(COUNTIFS(実績!$W$6:$W$505,AW$3,実績!$AI$6:$AI$505,"&lt;="&amp;$A126,実績!$AJ$6:$AJ$505,"&gt;"&amp;$A126,実績!$AK$6:$AK$505,"○")&gt;0,1,0))</f>
        <v>0</v>
      </c>
      <c r="AX126" s="39" t="n">
        <f aca="false">IF(AX$4=0,0,IF(COUNTIFS(実績!$W$6:$W$505,AX$3,実績!$AI$6:$AI$505,"&lt;="&amp;$A126,実績!$AJ$6:$AJ$505,"&gt;"&amp;$A126,実績!$AK$6:$AK$505,"○")&gt;0,1,0))</f>
        <v>0</v>
      </c>
      <c r="AY126" s="39" t="n">
        <f aca="false">IF(AY$4=0,0,IF(COUNTIFS(実績!$W$6:$W$505,AY$3,実績!$AI$6:$AI$505,"&lt;="&amp;$A126,実績!$AJ$6:$AJ$505,"&gt;"&amp;$A126,実績!$AK$6:$AK$505,"○")&gt;0,1,0))</f>
        <v>0</v>
      </c>
      <c r="AZ126" s="39" t="n">
        <f aca="false">IF(AZ$4=0,0,IF(COUNTIFS(実績!$W$6:$W$505,AZ$3,実績!$AI$6:$AI$505,"&lt;="&amp;$A126,実績!$AJ$6:$AJ$505,"&gt;"&amp;$A126,実績!$AK$6:$AK$505,"○")&gt;0,1,0))</f>
        <v>0</v>
      </c>
      <c r="BA126" s="39" t="n">
        <f aca="false">IF(BA$4=0,0,IF(COUNTIFS(実績!$W$6:$W$505,BA$3,実績!$AI$6:$AI$505,"&lt;="&amp;$A126,実績!$AJ$6:$AJ$505,"&gt;"&amp;$A126,実績!$AK$6:$AK$505,"○")&gt;0,1,0))</f>
        <v>0</v>
      </c>
      <c r="BB126" s="39" t="n">
        <f aca="false">IF(BB$4=0,0,IF(COUNTIFS(実績!$W$6:$W$505,BB$3,実績!$AI$6:$AI$505,"&lt;="&amp;$A126,実績!$AJ$6:$AJ$505,"&gt;"&amp;$A126,実績!$AK$6:$AK$505,"○")&gt;0,1,0))</f>
        <v>0</v>
      </c>
      <c r="BC126" s="39" t="n">
        <f aca="false">IF(BC$4=0,0,IF(COUNTIFS(実績!$W$6:$W$505,BC$3,実績!$AI$6:$AI$505,"&lt;="&amp;$A126,実績!$AJ$6:$AJ$505,"&gt;"&amp;$A126,実績!$AK$6:$AK$505,"○")&gt;0,1,0))</f>
        <v>0</v>
      </c>
      <c r="BD126" s="39" t="n">
        <f aca="false">IF(BD$4=0,0,IF(COUNTIFS(実績!$W$6:$W$505,BD$3,実績!$AI$6:$AI$505,"&lt;="&amp;$A126,実績!$AJ$6:$AJ$505,"&gt;"&amp;$A126,実績!$AK$6:$AK$505,"○")&gt;0,1,0))</f>
        <v>0</v>
      </c>
      <c r="BE126" s="39" t="n">
        <f aca="false">IF(BE$4=0,0,IF(COUNTIFS(実績!$W$6:$W$505,BE$3,実績!$AI$6:$AI$505,"&lt;="&amp;$A126,実績!$AJ$6:$AJ$505,"&gt;"&amp;$A126,実績!$AK$6:$AK$505,"○")&gt;0,1,0))</f>
        <v>0</v>
      </c>
      <c r="BF126" s="39" t="n">
        <f aca="false">IF(BF$4=0,0,IF(COUNTIFS(実績!$W$6:$W$505,BF$3,実績!$AI$6:$AI$505,"&lt;="&amp;$A126,実績!$AJ$6:$AJ$505,"&gt;"&amp;$A126,実績!$AK$6:$AK$505,"○")&gt;0,1,0))</f>
        <v>0</v>
      </c>
      <c r="BG126" s="39" t="n">
        <f aca="false">IF(BG$4=0,0,IF(COUNTIFS(実績!$W$6:$W$505,BG$3,実績!$AI$6:$AI$505,"&lt;="&amp;$A126,実績!$AJ$6:$AJ$505,"&gt;"&amp;$A126,実績!$AK$6:$AK$505,"○")&gt;0,1,0))</f>
        <v>0</v>
      </c>
      <c r="BH126" s="39" t="n">
        <f aca="false">IF(BH$4=0,0,IF(COUNTIFS(実績!$W$6:$W$505,BH$3,実績!$AI$6:$AI$505,"&lt;="&amp;$A126,実績!$AJ$6:$AJ$505,"&gt;"&amp;$A126,実績!$AK$6:$AK$505,"○")&gt;0,1,0))</f>
        <v>0</v>
      </c>
      <c r="BI126" s="39" t="n">
        <f aca="false">IF(BI$4=0,0,IF(COUNTIFS(実績!$W$6:$W$505,BI$3,実績!$AI$6:$AI$505,"&lt;="&amp;$A126,実績!$AJ$6:$AJ$505,"&gt;"&amp;$A126,実績!$AK$6:$AK$505,"○")&gt;0,1,0))</f>
        <v>0</v>
      </c>
      <c r="BJ126" s="39" t="n">
        <f aca="false">IF(BJ$4=0,0,IF(COUNTIFS(実績!$W$6:$W$505,BJ$3,実績!$AI$6:$AI$505,"&lt;="&amp;$A126,実績!$AJ$6:$AJ$505,"&gt;"&amp;$A126,実績!$AK$6:$AK$505,"○")&gt;0,1,0))</f>
        <v>0</v>
      </c>
      <c r="BK126" s="39" t="n">
        <f aca="false">IF(BK$4=0,0,IF(COUNTIFS(実績!$W$6:$W$505,BK$3,実績!$AI$6:$AI$505,"&lt;="&amp;$A126,実績!$AJ$6:$AJ$505,"&gt;"&amp;$A126,実績!$AK$6:$AK$505,"○")&gt;0,1,0))</f>
        <v>0</v>
      </c>
      <c r="BL126" s="39" t="n">
        <f aca="false">IF(BL$4=0,0,IF(COUNTIFS(実績!$W$6:$W$505,BL$3,実績!$AI$6:$AI$505,"&lt;="&amp;$A126,実績!$AJ$6:$AJ$505,"&gt;"&amp;$A126,実績!$AK$6:$AK$505,"○")&gt;0,1,0))</f>
        <v>0</v>
      </c>
      <c r="BM126" s="39" t="n">
        <f aca="false">IF(BM$4=0,0,IF(COUNTIFS(実績!$W$6:$W$505,BM$3,実績!$AI$6:$AI$505,"&lt;="&amp;$A126,実績!$AJ$6:$AJ$505,"&gt;"&amp;$A126,実績!$AK$6:$AK$505,"○")&gt;0,1,0))</f>
        <v>0</v>
      </c>
      <c r="BN126" s="39" t="n">
        <f aca="false">IF(BN$4=0,0,IF(COUNTIFS(実績!$W$6:$W$505,BN$3,実績!$AI$6:$AI$505,"&lt;="&amp;$A126,実績!$AJ$6:$AJ$505,"&gt;"&amp;$A126,実績!$AK$6:$AK$505,"○")&gt;0,1,0))</f>
        <v>0</v>
      </c>
      <c r="BO126" s="39" t="n">
        <f aca="false">IF(BO$4=0,0,IF(COUNTIFS(実績!$W$6:$W$505,BO$3,実績!$AI$6:$AI$505,"&lt;="&amp;$A126,実績!$AJ$6:$AJ$505,"&gt;"&amp;$A126,実績!$AK$6:$AK$505,"○")&gt;0,1,0))</f>
        <v>0</v>
      </c>
      <c r="BP126" s="39" t="n">
        <f aca="false">IF(BP$4=0,0,IF(COUNTIFS(実績!$W$6:$W$505,BP$3,実績!$AI$6:$AI$505,"&lt;="&amp;$A126,実績!$AJ$6:$AJ$505,"&gt;"&amp;$A126,実績!$AK$6:$AK$505,"○")&gt;0,1,0))</f>
        <v>0</v>
      </c>
      <c r="BQ126" s="39" t="n">
        <f aca="false">IF(BQ$4=0,0,IF(COUNTIFS(実績!$W$6:$W$505,BQ$3,実績!$AI$6:$AI$505,"&lt;="&amp;$A126,実績!$AJ$6:$AJ$505,"&gt;"&amp;$A126,実績!$AK$6:$AK$505,"○")&gt;0,1,0))</f>
        <v>0</v>
      </c>
      <c r="BR126" s="39" t="n">
        <f aca="false">IF(BR$4=0,0,IF(COUNTIFS(実績!$W$6:$W$505,BR$3,実績!$AI$6:$AI$505,"&lt;="&amp;$A126,実績!$AJ$6:$AJ$505,"&gt;"&amp;$A126,実績!$AK$6:$AK$505,"○")&gt;0,1,0))</f>
        <v>0</v>
      </c>
      <c r="BS126" s="39" t="n">
        <f aca="false">IF(BS$4=0,0,IF(COUNTIFS(実績!$W$6:$W$505,BS$3,実績!$AI$6:$AI$505,"&lt;="&amp;$A126,実績!$AJ$6:$AJ$505,"&gt;"&amp;$A126,実績!$AK$6:$AK$505,"○")&gt;0,1,0))</f>
        <v>0</v>
      </c>
      <c r="BT126" s="39" t="n">
        <f aca="false">IF(BT$4=0,0,IF(COUNTIFS(実績!$W$6:$W$505,BT$3,実績!$AI$6:$AI$505,"&lt;="&amp;$A126,実績!$AJ$6:$AJ$505,"&gt;"&amp;$A126,実績!$AK$6:$AK$505,"○")&gt;0,1,0))</f>
        <v>0</v>
      </c>
      <c r="BU126" s="39" t="n">
        <f aca="false">IF(BU$4=0,0,IF(COUNTIFS(実績!$W$6:$W$505,BU$3,実績!$AI$6:$AI$505,"&lt;="&amp;$A126,実績!$AJ$6:$AJ$505,"&gt;"&amp;$A126,実績!$AK$6:$AK$505,"○")&gt;0,1,0))</f>
        <v>0</v>
      </c>
      <c r="BV126" s="39" t="n">
        <f aca="false">IF(BV$4=0,0,IF(COUNTIFS(実績!$W$6:$W$505,BV$3,実績!$AI$6:$AI$505,"&lt;="&amp;$A126,実績!$AJ$6:$AJ$505,"&gt;"&amp;$A126,実績!$AK$6:$AK$505,"○")&gt;0,1,0))</f>
        <v>0</v>
      </c>
      <c r="BW126" s="39" t="n">
        <f aca="false">IF(BW$4=0,0,IF(COUNTIFS(実績!$W$6:$W$505,BW$3,実績!$AI$6:$AI$505,"&lt;="&amp;$A126,実績!$AJ$6:$AJ$505,"&gt;"&amp;$A126,実績!$AK$6:$AK$505,"○")&gt;0,1,0))</f>
        <v>0</v>
      </c>
      <c r="BX126" s="39" t="n">
        <f aca="false">IF(BX$4=0,0,IF(COUNTIFS(実績!$W$6:$W$505,BX$3,実績!$AI$6:$AI$505,"&lt;="&amp;$A126,実績!$AJ$6:$AJ$505,"&gt;"&amp;$A126,実績!$AK$6:$AK$505,"○")&gt;0,1,0))</f>
        <v>0</v>
      </c>
      <c r="BY126" s="39" t="n">
        <f aca="false">IF(BY$4=0,0,IF(COUNTIFS(実績!$W$6:$W$505,BY$3,実績!$AI$6:$AI$505,"&lt;="&amp;$A126,実績!$AJ$6:$AJ$505,"&gt;"&amp;$A126,実績!$AK$6:$AK$505,"○")&gt;0,1,0))</f>
        <v>0</v>
      </c>
      <c r="BZ126" s="39" t="n">
        <f aca="false">IF(BZ$4=0,0,IF(COUNTIFS(実績!$W$6:$W$505,BZ$3,実績!$AI$6:$AI$505,"&lt;="&amp;$A126,実績!$AJ$6:$AJ$505,"&gt;"&amp;$A126,実績!$AK$6:$AK$505,"○")&gt;0,1,0))</f>
        <v>0</v>
      </c>
      <c r="CA126" s="39" t="n">
        <f aca="false">IF(CA$4=0,0,IF(COUNTIFS(実績!$W$6:$W$505,CA$3,実績!$AI$6:$AI$505,"&lt;="&amp;$A126,実績!$AJ$6:$AJ$505,"&gt;"&amp;$A126,実績!$AK$6:$AK$505,"○")&gt;0,1,0))</f>
        <v>0</v>
      </c>
      <c r="CB126" s="39" t="n">
        <f aca="false">IF(CB$4=0,0,IF(COUNTIFS(実績!$W$6:$W$505,CB$3,実績!$AI$6:$AI$505,"&lt;="&amp;$A126,実績!$AJ$6:$AJ$505,"&gt;"&amp;$A126,実績!$AK$6:$AK$505,"○")&gt;0,1,0))</f>
        <v>0</v>
      </c>
      <c r="CC126" s="39" t="n">
        <f aca="false">IF(CC$4=0,0,IF(COUNTIFS(実績!$W$6:$W$505,CC$3,実績!$AI$6:$AI$505,"&lt;="&amp;$A126,実績!$AJ$6:$AJ$505,"&gt;"&amp;$A126,実績!$AK$6:$AK$505,"○")&gt;0,1,0))</f>
        <v>0</v>
      </c>
      <c r="CD126" s="39" t="n">
        <f aca="false">IF(CD$4=0,0,IF(COUNTIFS(実績!$W$6:$W$505,CD$3,実績!$AI$6:$AI$505,"&lt;="&amp;$A126,実績!$AJ$6:$AJ$505,"&gt;"&amp;$A126,実績!$AK$6:$AK$505,"○")&gt;0,1,0))</f>
        <v>0</v>
      </c>
      <c r="CE126" s="39" t="n">
        <f aca="false">IF(CE$4=0,0,IF(COUNTIFS(実績!$W$6:$W$505,CE$3,実績!$AI$6:$AI$505,"&lt;="&amp;$A126,実績!$AJ$6:$AJ$505,"&gt;"&amp;$A126,実績!$AK$6:$AK$505,"○")&gt;0,1,0))</f>
        <v>0</v>
      </c>
      <c r="CF126" s="39" t="n">
        <f aca="false">IF(CF$4=0,0,IF(COUNTIFS(実績!$W$6:$W$505,CF$3,実績!$AI$6:$AI$505,"&lt;="&amp;$A126,実績!$AJ$6:$AJ$505,"&gt;"&amp;$A126,実績!$AK$6:$AK$505,"○")&gt;0,1,0))</f>
        <v>0</v>
      </c>
      <c r="CG126" s="39" t="n">
        <f aca="false">IF(CG$4=0,0,IF(COUNTIFS(実績!$W$6:$W$505,CG$3,実績!$AI$6:$AI$505,"&lt;="&amp;$A126,実績!$AJ$6:$AJ$505,"&gt;"&amp;$A126,実績!$AK$6:$AK$505,"○")&gt;0,1,0))</f>
        <v>0</v>
      </c>
      <c r="CH126" s="39" t="n">
        <f aca="false">IF(CH$4=0,0,IF(COUNTIFS(実績!$W$6:$W$505,CH$3,実績!$AI$6:$AI$505,"&lt;="&amp;$A126,実績!$AJ$6:$AJ$505,"&gt;"&amp;$A126,実績!$AK$6:$AK$505,"○")&gt;0,1,0))</f>
        <v>0</v>
      </c>
      <c r="CI126" s="39" t="n">
        <f aca="false">IF(CI$4=0,0,IF(COUNTIFS(実績!$W$6:$W$505,CI$3,実績!$AI$6:$AI$505,"&lt;="&amp;$A126,実績!$AJ$6:$AJ$505,"&gt;"&amp;$A126,実績!$AK$6:$AK$505,"○")&gt;0,1,0))</f>
        <v>0</v>
      </c>
      <c r="CJ126" s="39" t="n">
        <f aca="false">IF(CJ$4=0,0,IF(COUNTIFS(実績!$W$6:$W$505,CJ$3,実績!$AI$6:$AI$505,"&lt;="&amp;$A126,実績!$AJ$6:$AJ$505,"&gt;"&amp;$A126,実績!$AK$6:$AK$505,"○")&gt;0,1,0))</f>
        <v>0</v>
      </c>
      <c r="CK126" s="39" t="n">
        <f aca="false">IF(CK$4=0,0,IF(COUNTIFS(実績!$W$6:$W$505,CK$3,実績!$AI$6:$AI$505,"&lt;="&amp;$A126,実績!$AJ$6:$AJ$505,"&gt;"&amp;$A126,実績!$AK$6:$AK$505,"○")&gt;0,1,0))</f>
        <v>0</v>
      </c>
      <c r="CL126" s="39" t="n">
        <f aca="false">IF(CL$4=0,0,IF(COUNTIFS(実績!$W$6:$W$505,CL$3,実績!$AI$6:$AI$505,"&lt;="&amp;$A126,実績!$AJ$6:$AJ$505,"&gt;"&amp;$A126,実績!$AK$6:$AK$505,"○")&gt;0,1,0))</f>
        <v>0</v>
      </c>
      <c r="CM126" s="39" t="n">
        <f aca="false">IF(CM$4=0,0,IF(COUNTIFS(実績!$W$6:$W$505,CM$3,実績!$AI$6:$AI$505,"&lt;="&amp;$A126,実績!$AJ$6:$AJ$505,"&gt;"&amp;$A126,実績!$AK$6:$AK$505,"○")&gt;0,1,0))</f>
        <v>0</v>
      </c>
      <c r="CN126" s="39" t="n">
        <f aca="false">IF(CN$4=0,0,IF(COUNTIFS(実績!$W$6:$W$505,CN$3,実績!$AI$6:$AI$505,"&lt;="&amp;$A126,実績!$AJ$6:$AJ$505,"&gt;"&amp;$A126,実績!$AK$6:$AK$505,"○")&gt;0,1,0))</f>
        <v>0</v>
      </c>
      <c r="CO126" s="39" t="n">
        <f aca="false">IF(CO$4=0,0,IF(COUNTIFS(実績!$W$6:$W$505,CO$3,実績!$AI$6:$AI$505,"&lt;="&amp;$A126,実績!$AJ$6:$AJ$505,"&gt;"&amp;$A126,実績!$AK$6:$AK$505,"○")&gt;0,1,0))</f>
        <v>0</v>
      </c>
      <c r="CP126" s="39" t="n">
        <f aca="false">IF(CP$4=0,0,IF(COUNTIFS(実績!$W$6:$W$505,CP$3,実績!$AI$6:$AI$505,"&lt;="&amp;$A126,実績!$AJ$6:$AJ$505,"&gt;"&amp;$A126,実績!$AK$6:$AK$505,"○")&gt;0,1,0))</f>
        <v>0</v>
      </c>
      <c r="CQ126" s="39" t="n">
        <f aca="false">IF(CQ$4=0,0,IF(COUNTIFS(実績!$W$6:$W$505,CQ$3,実績!$AI$6:$AI$505,"&lt;="&amp;$A126,実績!$AJ$6:$AJ$505,"&gt;"&amp;$A126,実績!$AK$6:$AK$505,"○")&gt;0,1,0))</f>
        <v>0</v>
      </c>
      <c r="CR126" s="39" t="n">
        <f aca="false">IF(CR$4=0,0,IF(COUNTIFS(実績!$W$6:$W$505,CR$3,実績!$AI$6:$AI$505,"&lt;="&amp;$A126,実績!$AJ$6:$AJ$505,"&gt;"&amp;$A126,実績!$AK$6:$AK$505,"○")&gt;0,1,0))</f>
        <v>0</v>
      </c>
      <c r="CS126" s="39" t="n">
        <f aca="false">IF(CS$4=0,0,IF(COUNTIFS(実績!$W$6:$W$505,CS$3,実績!$AI$6:$AI$505,"&lt;="&amp;$A126,実績!$AJ$6:$AJ$505,"&gt;"&amp;$A126,実績!$AK$6:$AK$505,"○")&gt;0,1,0))</f>
        <v>0</v>
      </c>
      <c r="CT126" s="39" t="n">
        <f aca="false">IF(CT$4=0,0,IF(COUNTIFS(実績!$W$6:$W$505,CT$3,実績!$AI$6:$AI$505,"&lt;="&amp;$A126,実績!$AJ$6:$AJ$505,"&gt;"&amp;$A126,実績!$AK$6:$AK$505,"○")&gt;0,1,0))</f>
        <v>0</v>
      </c>
      <c r="CU126" s="39" t="n">
        <f aca="false">IF(CU$4=0,0,IF(COUNTIFS(実績!$W$6:$W$505,CU$3,実績!$AI$6:$AI$505,"&lt;="&amp;$A126,実績!$AJ$6:$AJ$505,"&gt;"&amp;$A126,実績!$AK$6:$AK$505,"○")&gt;0,1,0))</f>
        <v>0</v>
      </c>
      <c r="CV126" s="39" t="n">
        <f aca="false">IF(CV$4=0,0,IF(COUNTIFS(実績!$W$6:$W$505,CV$3,実績!$AI$6:$AI$505,"&lt;="&amp;$A126,実績!$AJ$6:$AJ$505,"&gt;"&amp;$A126,実績!$AK$6:$AK$505,"○")&gt;0,1,0))</f>
        <v>0</v>
      </c>
      <c r="CW126" s="39" t="n">
        <f aca="false">IF(CW$4=0,0,IF(COUNTIFS(実績!$W$6:$W$505,CW$3,実績!$AI$6:$AI$505,"&lt;="&amp;$A126,実績!$AJ$6:$AJ$505,"&gt;"&amp;$A126,実績!$AK$6:$AK$505,"○")&gt;0,1,0))</f>
        <v>0</v>
      </c>
      <c r="CX126" s="39" t="n">
        <f aca="false">IF(CX$4=0,0,IF(COUNTIFS(実績!$W$6:$W$505,CX$3,実績!$AI$6:$AI$505,"&lt;="&amp;$A126,実績!$AJ$6:$AJ$505,"&gt;"&amp;$A126,実績!$AK$6:$AK$505,"○")&gt;0,1,0))</f>
        <v>0</v>
      </c>
      <c r="CY126" s="39" t="n">
        <f aca="false">IF(CY$4=0,0,IF(COUNTIFS(実績!$W$6:$W$505,CY$3,実績!$AI$6:$AI$505,"&lt;="&amp;$A126,実績!$AJ$6:$AJ$505,"&gt;"&amp;$A126,実績!$AK$6:$AK$505,"○")&gt;0,1,0))</f>
        <v>0</v>
      </c>
      <c r="CZ126" s="39" t="n">
        <f aca="false">IF(CZ$4=0,0,IF(COUNTIFS(実績!$W$6:$W$505,CZ$3,実績!$AI$6:$AI$505,"&lt;="&amp;$A126,実績!$AJ$6:$AJ$505,"&gt;"&amp;$A126,実績!$AK$6:$AK$505,"○")&gt;0,1,0))</f>
        <v>0</v>
      </c>
      <c r="DA126" s="39" t="n">
        <f aca="false">IF(DA$4=0,0,IF(COUNTIFS(実績!$W$6:$W$505,DA$3,実績!$AI$6:$AI$505,"&lt;="&amp;$A126,実績!$AJ$6:$AJ$505,"&gt;"&amp;$A126,実績!$AK$6:$AK$505,"○")&gt;0,1,0))</f>
        <v>0</v>
      </c>
      <c r="DB126" s="39" t="n">
        <f aca="false">IF(DB$4=0,0,IF(COUNTIFS(実績!$W$6:$W$505,DB$3,実績!$AI$6:$AI$505,"&lt;="&amp;$A126,実績!$AJ$6:$AJ$505,"&gt;"&amp;$A126,実績!$AK$6:$AK$505,"○")&gt;0,1,0))</f>
        <v>0</v>
      </c>
      <c r="DC126" s="39" t="n">
        <f aca="false">IF(DC$4=0,0,IF(COUNTIFS(実績!$W$6:$W$505,DC$3,実績!$AI$6:$AI$505,"&lt;="&amp;$A126,実績!$AJ$6:$AJ$505,"&gt;"&amp;$A126,実績!$AK$6:$AK$505,"○")&gt;0,1,0))</f>
        <v>0</v>
      </c>
      <c r="DD126" s="39" t="n">
        <f aca="false">IF(DD$4=0,0,IF(COUNTIFS(実績!$W$6:$W$505,DD$3,実績!$AI$6:$AI$505,"&lt;="&amp;$A126,実績!$AJ$6:$AJ$505,"&gt;"&amp;$A126,実績!$AK$6:$AK$505,"○")&gt;0,1,0))</f>
        <v>0</v>
      </c>
      <c r="DE126" s="39" t="n">
        <f aca="false">IF(DE$4=0,0,IF(COUNTIFS(実績!$W$6:$W$505,DE$3,実績!$AI$6:$AI$505,"&lt;="&amp;$A126,実績!$AJ$6:$AJ$505,"&gt;"&amp;$A126,実績!$AK$6:$AK$505,"○")&gt;0,1,0))</f>
        <v>0</v>
      </c>
      <c r="DF126" s="39" t="n">
        <f aca="false">IF(DF$4=0,0,IF(COUNTIFS(実績!$W$6:$W$505,DF$3,実績!$AI$6:$AI$505,"&lt;="&amp;$A126,実績!$AJ$6:$AJ$505,"&gt;"&amp;$A126,実績!$AK$6:$AK$505,"○")&gt;0,1,0))</f>
        <v>0</v>
      </c>
      <c r="DG126" s="39" t="n">
        <f aca="false">IF(DG$4=0,0,IF(COUNTIFS(実績!$W$6:$W$505,DG$3,実績!$AI$6:$AI$505,"&lt;="&amp;$A126,実績!$AJ$6:$AJ$505,"&gt;"&amp;$A126,実績!$AK$6:$AK$505,"○")&gt;0,1,0))</f>
        <v>0</v>
      </c>
      <c r="DH126" s="39" t="n">
        <f aca="false">IF(DH$4=0,0,IF(COUNTIFS(実績!$W$6:$W$505,DH$3,実績!$AI$6:$AI$505,"&lt;="&amp;$A126,実績!$AJ$6:$AJ$505,"&gt;"&amp;$A126,実績!$AK$6:$AK$505,"○")&gt;0,1,0))</f>
        <v>0</v>
      </c>
      <c r="DI126" s="39" t="n">
        <f aca="false">IF(DI$4=0,0,IF(COUNTIFS(実績!$W$6:$W$505,DI$3,実績!$AI$6:$AI$505,"&lt;="&amp;$A126,実績!$AJ$6:$AJ$505,"&gt;"&amp;$A126,実績!$AK$6:$AK$505,"○")&gt;0,1,0))</f>
        <v>0</v>
      </c>
      <c r="DJ126" s="39" t="n">
        <f aca="false">IF(DJ$4=0,0,IF(COUNTIFS(実績!$W$6:$W$505,DJ$3,実績!$AI$6:$AI$505,"&lt;="&amp;$A126,実績!$AJ$6:$AJ$505,"&gt;"&amp;$A126,実績!$AK$6:$AK$505,"○")&gt;0,1,0))</f>
        <v>0</v>
      </c>
      <c r="DK126" s="39" t="n">
        <f aca="false">IF(DK$4=0,0,IF(COUNTIFS(実績!$W$6:$W$505,DK$3,実績!$AI$6:$AI$505,"&lt;="&amp;$A126,実績!$AJ$6:$AJ$505,"&gt;"&amp;$A126,実績!$AK$6:$AK$505,"○")&gt;0,1,0))</f>
        <v>0</v>
      </c>
      <c r="DL126" s="39" t="n">
        <f aca="false">IF(DL$4=0,0,IF(COUNTIFS(実績!$W$6:$W$505,DL$3,実績!$AI$6:$AI$505,"&lt;="&amp;$A126,実績!$AJ$6:$AJ$505,"&gt;"&amp;$A126,実績!$AK$6:$AK$505,"○")&gt;0,1,0))</f>
        <v>0</v>
      </c>
      <c r="DM126" s="39" t="n">
        <f aca="false">IF(DM$4=0,0,IF(COUNTIFS(実績!$W$6:$W$505,DM$3,実績!$AI$6:$AI$505,"&lt;="&amp;$A126,実績!$AJ$6:$AJ$505,"&gt;"&amp;$A126,実績!$AK$6:$AK$505,"○")&gt;0,1,0))</f>
        <v>0</v>
      </c>
      <c r="DN126" s="39" t="n">
        <f aca="false">IF(DN$4=0,0,IF(COUNTIFS(実績!$W$6:$W$505,DN$3,実績!$AI$6:$AI$505,"&lt;="&amp;$A126,実績!$AJ$6:$AJ$505,"&gt;"&amp;$A126,実績!$AK$6:$AK$505,"○")&gt;0,1,0))</f>
        <v>0</v>
      </c>
      <c r="DO126" s="39" t="n">
        <f aca="false">IF(DO$4=0,0,IF(COUNTIFS(実績!$W$6:$W$505,DO$3,実績!$AI$6:$AI$505,"&lt;="&amp;$A126,実績!$AJ$6:$AJ$505,"&gt;"&amp;$A126,実績!$AK$6:$AK$505,"○")&gt;0,1,0))</f>
        <v>0</v>
      </c>
      <c r="DP126" s="39" t="n">
        <f aca="false">IF(DP$4=0,0,IF(COUNTIFS(実績!$W$6:$W$505,DP$3,実績!$AI$6:$AI$505,"&lt;="&amp;$A126,実績!$AJ$6:$AJ$505,"&gt;"&amp;$A126,実績!$AK$6:$AK$505,"○")&gt;0,1,0))</f>
        <v>0</v>
      </c>
      <c r="DQ126" s="39" t="n">
        <f aca="false">IF(DQ$4=0,0,IF(COUNTIFS(実績!$W$6:$W$505,DQ$3,実績!$AI$6:$AI$505,"&lt;="&amp;$A126,実績!$AJ$6:$AJ$505,"&gt;"&amp;$A126,実績!$AK$6:$AK$505,"○")&gt;0,1,0))</f>
        <v>0</v>
      </c>
      <c r="DR126" s="39" t="n">
        <f aca="false">IF(DR$4=0,0,IF(COUNTIFS(実績!$W$6:$W$505,DR$3,実績!$AI$6:$AI$505,"&lt;="&amp;$A126,実績!$AJ$6:$AJ$505,"&gt;"&amp;$A126,実績!$AK$6:$AK$505,"○")&gt;0,1,0))</f>
        <v>0</v>
      </c>
      <c r="DS126" s="39" t="n">
        <f aca="false">SUM(C126:DR126)</f>
        <v>0</v>
      </c>
      <c r="DT126" s="39" t="n">
        <f aca="false">SUMPRODUCT((実績!$C$6:$C$505="○")*ISNUMBER(実績!$AM$6:$AM$505)*(実績!$AM$6:$AM$505&lt;=$A126)*(実績!$AN$6:$AN$505&gt;$A126))</f>
        <v>0</v>
      </c>
      <c r="DU126" s="39" t="n">
        <f aca="false">SUMIF($C$2:$DR$2,"製鉄曳船",C126:DR126)</f>
        <v>0</v>
      </c>
      <c r="DV126" s="39" t="n">
        <f aca="false">SUMIF($C$2:$DR$2,"西日本海運",C126:DR126)</f>
        <v>0</v>
      </c>
    </row>
    <row r="127" customFormat="false" ht="15" hidden="false" customHeight="false" outlineLevel="0" collapsed="false">
      <c r="A127" s="0" t="n">
        <v>605</v>
      </c>
      <c r="B127" s="38" t="n">
        <f aca="false">A127/1440</f>
        <v>0.420138888888889</v>
      </c>
      <c r="C127" s="39" t="n">
        <f aca="false">IF(C$4=0,0,IF(COUNTIFS(実績!$W$6:$W$505,C$3,実績!$AI$6:$AI$505,"&lt;="&amp;$A127,実績!$AJ$6:$AJ$505,"&gt;"&amp;$A127,実績!$AK$6:$AK$505,"○")&gt;0,1,0))</f>
        <v>0</v>
      </c>
      <c r="D127" s="39" t="n">
        <f aca="false">IF(D$4=0,0,IF(COUNTIFS(実績!$W$6:$W$505,D$3,実績!$AI$6:$AI$505,"&lt;="&amp;$A127,実績!$AJ$6:$AJ$505,"&gt;"&amp;$A127,実績!$AK$6:$AK$505,"○")&gt;0,1,0))</f>
        <v>0</v>
      </c>
      <c r="E127" s="39" t="n">
        <f aca="false">IF(E$4=0,0,IF(COUNTIFS(実績!$W$6:$W$505,E$3,実績!$AI$6:$AI$505,"&lt;="&amp;$A127,実績!$AJ$6:$AJ$505,"&gt;"&amp;$A127,実績!$AK$6:$AK$505,"○")&gt;0,1,0))</f>
        <v>0</v>
      </c>
      <c r="F127" s="39" t="n">
        <f aca="false">IF(F$4=0,0,IF(COUNTIFS(実績!$W$6:$W$505,F$3,実績!$AI$6:$AI$505,"&lt;="&amp;$A127,実績!$AJ$6:$AJ$505,"&gt;"&amp;$A127,実績!$AK$6:$AK$505,"○")&gt;0,1,0))</f>
        <v>0</v>
      </c>
      <c r="G127" s="39" t="n">
        <f aca="false">IF(G$4=0,0,IF(COUNTIFS(実績!$W$6:$W$505,G$3,実績!$AI$6:$AI$505,"&lt;="&amp;$A127,実績!$AJ$6:$AJ$505,"&gt;"&amp;$A127,実績!$AK$6:$AK$505,"○")&gt;0,1,0))</f>
        <v>0</v>
      </c>
      <c r="H127" s="39" t="n">
        <f aca="false">IF(H$4=0,0,IF(COUNTIFS(実績!$W$6:$W$505,H$3,実績!$AI$6:$AI$505,"&lt;="&amp;$A127,実績!$AJ$6:$AJ$505,"&gt;"&amp;$A127,実績!$AK$6:$AK$505,"○")&gt;0,1,0))</f>
        <v>0</v>
      </c>
      <c r="I127" s="39" t="n">
        <f aca="false">IF(I$4=0,0,IF(COUNTIFS(実績!$W$6:$W$505,I$3,実績!$AI$6:$AI$505,"&lt;="&amp;$A127,実績!$AJ$6:$AJ$505,"&gt;"&amp;$A127,実績!$AK$6:$AK$505,"○")&gt;0,1,0))</f>
        <v>0</v>
      </c>
      <c r="J127" s="39" t="n">
        <f aca="false">IF(J$4=0,0,IF(COUNTIFS(実績!$W$6:$W$505,J$3,実績!$AI$6:$AI$505,"&lt;="&amp;$A127,実績!$AJ$6:$AJ$505,"&gt;"&amp;$A127,実績!$AK$6:$AK$505,"○")&gt;0,1,0))</f>
        <v>0</v>
      </c>
      <c r="K127" s="39" t="n">
        <f aca="false">IF(K$4=0,0,IF(COUNTIFS(実績!$W$6:$W$505,K$3,実績!$AI$6:$AI$505,"&lt;="&amp;$A127,実績!$AJ$6:$AJ$505,"&gt;"&amp;$A127,実績!$AK$6:$AK$505,"○")&gt;0,1,0))</f>
        <v>0</v>
      </c>
      <c r="L127" s="39" t="n">
        <f aca="false">IF(L$4=0,0,IF(COUNTIFS(実績!$W$6:$W$505,L$3,実績!$AI$6:$AI$505,"&lt;="&amp;$A127,実績!$AJ$6:$AJ$505,"&gt;"&amp;$A127,実績!$AK$6:$AK$505,"○")&gt;0,1,0))</f>
        <v>0</v>
      </c>
      <c r="M127" s="39" t="n">
        <f aca="false">IF(M$4=0,0,IF(COUNTIFS(実績!$W$6:$W$505,M$3,実績!$AI$6:$AI$505,"&lt;="&amp;$A127,実績!$AJ$6:$AJ$505,"&gt;"&amp;$A127,実績!$AK$6:$AK$505,"○")&gt;0,1,0))</f>
        <v>0</v>
      </c>
      <c r="N127" s="39" t="n">
        <f aca="false">IF(N$4=0,0,IF(COUNTIFS(実績!$W$6:$W$505,N$3,実績!$AI$6:$AI$505,"&lt;="&amp;$A127,実績!$AJ$6:$AJ$505,"&gt;"&amp;$A127,実績!$AK$6:$AK$505,"○")&gt;0,1,0))</f>
        <v>0</v>
      </c>
      <c r="O127" s="39" t="n">
        <f aca="false">IF(O$4=0,0,IF(COUNTIFS(実績!$W$6:$W$505,O$3,実績!$AI$6:$AI$505,"&lt;="&amp;$A127,実績!$AJ$6:$AJ$505,"&gt;"&amp;$A127,実績!$AK$6:$AK$505,"○")&gt;0,1,0))</f>
        <v>0</v>
      </c>
      <c r="P127" s="39" t="n">
        <f aca="false">IF(P$4=0,0,IF(COUNTIFS(実績!$W$6:$W$505,P$3,実績!$AI$6:$AI$505,"&lt;="&amp;$A127,実績!$AJ$6:$AJ$505,"&gt;"&amp;$A127,実績!$AK$6:$AK$505,"○")&gt;0,1,0))</f>
        <v>0</v>
      </c>
      <c r="Q127" s="39" t="n">
        <f aca="false">IF(Q$4=0,0,IF(COUNTIFS(実績!$W$6:$W$505,Q$3,実績!$AI$6:$AI$505,"&lt;="&amp;$A127,実績!$AJ$6:$AJ$505,"&gt;"&amp;$A127,実績!$AK$6:$AK$505,"○")&gt;0,1,0))</f>
        <v>0</v>
      </c>
      <c r="R127" s="39" t="n">
        <f aca="false">IF(R$4=0,0,IF(COUNTIFS(実績!$W$6:$W$505,R$3,実績!$AI$6:$AI$505,"&lt;="&amp;$A127,実績!$AJ$6:$AJ$505,"&gt;"&amp;$A127,実績!$AK$6:$AK$505,"○")&gt;0,1,0))</f>
        <v>0</v>
      </c>
      <c r="S127" s="39" t="n">
        <f aca="false">IF(S$4=0,0,IF(COUNTIFS(実績!$W$6:$W$505,S$3,実績!$AI$6:$AI$505,"&lt;="&amp;$A127,実績!$AJ$6:$AJ$505,"&gt;"&amp;$A127,実績!$AK$6:$AK$505,"○")&gt;0,1,0))</f>
        <v>0</v>
      </c>
      <c r="T127" s="39" t="n">
        <f aca="false">IF(T$4=0,0,IF(COUNTIFS(実績!$W$6:$W$505,T$3,実績!$AI$6:$AI$505,"&lt;="&amp;$A127,実績!$AJ$6:$AJ$505,"&gt;"&amp;$A127,実績!$AK$6:$AK$505,"○")&gt;0,1,0))</f>
        <v>0</v>
      </c>
      <c r="U127" s="39" t="n">
        <f aca="false">IF(U$4=0,0,IF(COUNTIFS(実績!$W$6:$W$505,U$3,実績!$AI$6:$AI$505,"&lt;="&amp;$A127,実績!$AJ$6:$AJ$505,"&gt;"&amp;$A127,実績!$AK$6:$AK$505,"○")&gt;0,1,0))</f>
        <v>0</v>
      </c>
      <c r="V127" s="39" t="n">
        <f aca="false">IF(V$4=0,0,IF(COUNTIFS(実績!$W$6:$W$505,V$3,実績!$AI$6:$AI$505,"&lt;="&amp;$A127,実績!$AJ$6:$AJ$505,"&gt;"&amp;$A127,実績!$AK$6:$AK$505,"○")&gt;0,1,0))</f>
        <v>0</v>
      </c>
      <c r="W127" s="39" t="n">
        <f aca="false">IF(W$4=0,0,IF(COUNTIFS(実績!$W$6:$W$505,W$3,実績!$AI$6:$AI$505,"&lt;="&amp;$A127,実績!$AJ$6:$AJ$505,"&gt;"&amp;$A127,実績!$AK$6:$AK$505,"○")&gt;0,1,0))</f>
        <v>0</v>
      </c>
      <c r="X127" s="39" t="n">
        <f aca="false">IF(X$4=0,0,IF(COUNTIFS(実績!$W$6:$W$505,X$3,実績!$AI$6:$AI$505,"&lt;="&amp;$A127,実績!$AJ$6:$AJ$505,"&gt;"&amp;$A127,実績!$AK$6:$AK$505,"○")&gt;0,1,0))</f>
        <v>0</v>
      </c>
      <c r="Y127" s="39" t="n">
        <f aca="false">IF(Y$4=0,0,IF(COUNTIFS(実績!$W$6:$W$505,Y$3,実績!$AI$6:$AI$505,"&lt;="&amp;$A127,実績!$AJ$6:$AJ$505,"&gt;"&amp;$A127,実績!$AK$6:$AK$505,"○")&gt;0,1,0))</f>
        <v>0</v>
      </c>
      <c r="Z127" s="39" t="n">
        <f aca="false">IF(Z$4=0,0,IF(COUNTIFS(実績!$W$6:$W$505,Z$3,実績!$AI$6:$AI$505,"&lt;="&amp;$A127,実績!$AJ$6:$AJ$505,"&gt;"&amp;$A127,実績!$AK$6:$AK$505,"○")&gt;0,1,0))</f>
        <v>0</v>
      </c>
      <c r="AA127" s="39" t="n">
        <f aca="false">IF(AA$4=0,0,IF(COUNTIFS(実績!$W$6:$W$505,AA$3,実績!$AI$6:$AI$505,"&lt;="&amp;$A127,実績!$AJ$6:$AJ$505,"&gt;"&amp;$A127,実績!$AK$6:$AK$505,"○")&gt;0,1,0))</f>
        <v>0</v>
      </c>
      <c r="AB127" s="39" t="n">
        <f aca="false">IF(AB$4=0,0,IF(COUNTIFS(実績!$W$6:$W$505,AB$3,実績!$AI$6:$AI$505,"&lt;="&amp;$A127,実績!$AJ$6:$AJ$505,"&gt;"&amp;$A127,実績!$AK$6:$AK$505,"○")&gt;0,1,0))</f>
        <v>0</v>
      </c>
      <c r="AC127" s="39" t="n">
        <f aca="false">IF(AC$4=0,0,IF(COUNTIFS(実績!$W$6:$W$505,AC$3,実績!$AI$6:$AI$505,"&lt;="&amp;$A127,実績!$AJ$6:$AJ$505,"&gt;"&amp;$A127,実績!$AK$6:$AK$505,"○")&gt;0,1,0))</f>
        <v>0</v>
      </c>
      <c r="AD127" s="39" t="n">
        <f aca="false">IF(AD$4=0,0,IF(COUNTIFS(実績!$W$6:$W$505,AD$3,実績!$AI$6:$AI$505,"&lt;="&amp;$A127,実績!$AJ$6:$AJ$505,"&gt;"&amp;$A127,実績!$AK$6:$AK$505,"○")&gt;0,1,0))</f>
        <v>0</v>
      </c>
      <c r="AE127" s="39" t="n">
        <f aca="false">IF(AE$4=0,0,IF(COUNTIFS(実績!$W$6:$W$505,AE$3,実績!$AI$6:$AI$505,"&lt;="&amp;$A127,実績!$AJ$6:$AJ$505,"&gt;"&amp;$A127,実績!$AK$6:$AK$505,"○")&gt;0,1,0))</f>
        <v>0</v>
      </c>
      <c r="AF127" s="39" t="n">
        <f aca="false">IF(AF$4=0,0,IF(COUNTIFS(実績!$W$6:$W$505,AF$3,実績!$AI$6:$AI$505,"&lt;="&amp;$A127,実績!$AJ$6:$AJ$505,"&gt;"&amp;$A127,実績!$AK$6:$AK$505,"○")&gt;0,1,0))</f>
        <v>0</v>
      </c>
      <c r="AG127" s="39" t="n">
        <f aca="false">IF(AG$4=0,0,IF(COUNTIFS(実績!$W$6:$W$505,AG$3,実績!$AI$6:$AI$505,"&lt;="&amp;$A127,実績!$AJ$6:$AJ$505,"&gt;"&amp;$A127,実績!$AK$6:$AK$505,"○")&gt;0,1,0))</f>
        <v>0</v>
      </c>
      <c r="AH127" s="39" t="n">
        <f aca="false">IF(AH$4=0,0,IF(COUNTIFS(実績!$W$6:$W$505,AH$3,実績!$AI$6:$AI$505,"&lt;="&amp;$A127,実績!$AJ$6:$AJ$505,"&gt;"&amp;$A127,実績!$AK$6:$AK$505,"○")&gt;0,1,0))</f>
        <v>0</v>
      </c>
      <c r="AI127" s="39" t="n">
        <f aca="false">IF(AI$4=0,0,IF(COUNTIFS(実績!$W$6:$W$505,AI$3,実績!$AI$6:$AI$505,"&lt;="&amp;$A127,実績!$AJ$6:$AJ$505,"&gt;"&amp;$A127,実績!$AK$6:$AK$505,"○")&gt;0,1,0))</f>
        <v>0</v>
      </c>
      <c r="AJ127" s="39" t="n">
        <f aca="false">IF(AJ$4=0,0,IF(COUNTIFS(実績!$W$6:$W$505,AJ$3,実績!$AI$6:$AI$505,"&lt;="&amp;$A127,実績!$AJ$6:$AJ$505,"&gt;"&amp;$A127,実績!$AK$6:$AK$505,"○")&gt;0,1,0))</f>
        <v>0</v>
      </c>
      <c r="AK127" s="39" t="n">
        <f aca="false">IF(AK$4=0,0,IF(COUNTIFS(実績!$W$6:$W$505,AK$3,実績!$AI$6:$AI$505,"&lt;="&amp;$A127,実績!$AJ$6:$AJ$505,"&gt;"&amp;$A127,実績!$AK$6:$AK$505,"○")&gt;0,1,0))</f>
        <v>0</v>
      </c>
      <c r="AL127" s="39" t="n">
        <f aca="false">IF(AL$4=0,0,IF(COUNTIFS(実績!$W$6:$W$505,AL$3,実績!$AI$6:$AI$505,"&lt;="&amp;$A127,実績!$AJ$6:$AJ$505,"&gt;"&amp;$A127,実績!$AK$6:$AK$505,"○")&gt;0,1,0))</f>
        <v>0</v>
      </c>
      <c r="AM127" s="39" t="n">
        <f aca="false">IF(AM$4=0,0,IF(COUNTIFS(実績!$W$6:$W$505,AM$3,実績!$AI$6:$AI$505,"&lt;="&amp;$A127,実績!$AJ$6:$AJ$505,"&gt;"&amp;$A127,実績!$AK$6:$AK$505,"○")&gt;0,1,0))</f>
        <v>0</v>
      </c>
      <c r="AN127" s="39" t="n">
        <f aca="false">IF(AN$4=0,0,IF(COUNTIFS(実績!$W$6:$W$505,AN$3,実績!$AI$6:$AI$505,"&lt;="&amp;$A127,実績!$AJ$6:$AJ$505,"&gt;"&amp;$A127,実績!$AK$6:$AK$505,"○")&gt;0,1,0))</f>
        <v>0</v>
      </c>
      <c r="AO127" s="39" t="n">
        <f aca="false">IF(AO$4=0,0,IF(COUNTIFS(実績!$W$6:$W$505,AO$3,実績!$AI$6:$AI$505,"&lt;="&amp;$A127,実績!$AJ$6:$AJ$505,"&gt;"&amp;$A127,実績!$AK$6:$AK$505,"○")&gt;0,1,0))</f>
        <v>0</v>
      </c>
      <c r="AP127" s="39" t="n">
        <f aca="false">IF(AP$4=0,0,IF(COUNTIFS(実績!$W$6:$W$505,AP$3,実績!$AI$6:$AI$505,"&lt;="&amp;$A127,実績!$AJ$6:$AJ$505,"&gt;"&amp;$A127,実績!$AK$6:$AK$505,"○")&gt;0,1,0))</f>
        <v>0</v>
      </c>
      <c r="AQ127" s="39" t="n">
        <f aca="false">IF(AQ$4=0,0,IF(COUNTIFS(実績!$W$6:$W$505,AQ$3,実績!$AI$6:$AI$505,"&lt;="&amp;$A127,実績!$AJ$6:$AJ$505,"&gt;"&amp;$A127,実績!$AK$6:$AK$505,"○")&gt;0,1,0))</f>
        <v>0</v>
      </c>
      <c r="AR127" s="39" t="n">
        <f aca="false">IF(AR$4=0,0,IF(COUNTIFS(実績!$W$6:$W$505,AR$3,実績!$AI$6:$AI$505,"&lt;="&amp;$A127,実績!$AJ$6:$AJ$505,"&gt;"&amp;$A127,実績!$AK$6:$AK$505,"○")&gt;0,1,0))</f>
        <v>0</v>
      </c>
      <c r="AS127" s="39" t="n">
        <f aca="false">IF(AS$4=0,0,IF(COUNTIFS(実績!$W$6:$W$505,AS$3,実績!$AI$6:$AI$505,"&lt;="&amp;$A127,実績!$AJ$6:$AJ$505,"&gt;"&amp;$A127,実績!$AK$6:$AK$505,"○")&gt;0,1,0))</f>
        <v>0</v>
      </c>
      <c r="AT127" s="39" t="n">
        <f aca="false">IF(AT$4=0,0,IF(COUNTIFS(実績!$W$6:$W$505,AT$3,実績!$AI$6:$AI$505,"&lt;="&amp;$A127,実績!$AJ$6:$AJ$505,"&gt;"&amp;$A127,実績!$AK$6:$AK$505,"○")&gt;0,1,0))</f>
        <v>0</v>
      </c>
      <c r="AU127" s="39" t="n">
        <f aca="false">IF(AU$4=0,0,IF(COUNTIFS(実績!$W$6:$W$505,AU$3,実績!$AI$6:$AI$505,"&lt;="&amp;$A127,実績!$AJ$6:$AJ$505,"&gt;"&amp;$A127,実績!$AK$6:$AK$505,"○")&gt;0,1,0))</f>
        <v>0</v>
      </c>
      <c r="AV127" s="39" t="n">
        <f aca="false">IF(AV$4=0,0,IF(COUNTIFS(実績!$W$6:$W$505,AV$3,実績!$AI$6:$AI$505,"&lt;="&amp;$A127,実績!$AJ$6:$AJ$505,"&gt;"&amp;$A127,実績!$AK$6:$AK$505,"○")&gt;0,1,0))</f>
        <v>0</v>
      </c>
      <c r="AW127" s="39" t="n">
        <f aca="false">IF(AW$4=0,0,IF(COUNTIFS(実績!$W$6:$W$505,AW$3,実績!$AI$6:$AI$505,"&lt;="&amp;$A127,実績!$AJ$6:$AJ$505,"&gt;"&amp;$A127,実績!$AK$6:$AK$505,"○")&gt;0,1,0))</f>
        <v>0</v>
      </c>
      <c r="AX127" s="39" t="n">
        <f aca="false">IF(AX$4=0,0,IF(COUNTIFS(実績!$W$6:$W$505,AX$3,実績!$AI$6:$AI$505,"&lt;="&amp;$A127,実績!$AJ$6:$AJ$505,"&gt;"&amp;$A127,実績!$AK$6:$AK$505,"○")&gt;0,1,0))</f>
        <v>0</v>
      </c>
      <c r="AY127" s="39" t="n">
        <f aca="false">IF(AY$4=0,0,IF(COUNTIFS(実績!$W$6:$W$505,AY$3,実績!$AI$6:$AI$505,"&lt;="&amp;$A127,実績!$AJ$6:$AJ$505,"&gt;"&amp;$A127,実績!$AK$6:$AK$505,"○")&gt;0,1,0))</f>
        <v>0</v>
      </c>
      <c r="AZ127" s="39" t="n">
        <f aca="false">IF(AZ$4=0,0,IF(COUNTIFS(実績!$W$6:$W$505,AZ$3,実績!$AI$6:$AI$505,"&lt;="&amp;$A127,実績!$AJ$6:$AJ$505,"&gt;"&amp;$A127,実績!$AK$6:$AK$505,"○")&gt;0,1,0))</f>
        <v>0</v>
      </c>
      <c r="BA127" s="39" t="n">
        <f aca="false">IF(BA$4=0,0,IF(COUNTIFS(実績!$W$6:$W$505,BA$3,実績!$AI$6:$AI$505,"&lt;="&amp;$A127,実績!$AJ$6:$AJ$505,"&gt;"&amp;$A127,実績!$AK$6:$AK$505,"○")&gt;0,1,0))</f>
        <v>0</v>
      </c>
      <c r="BB127" s="39" t="n">
        <f aca="false">IF(BB$4=0,0,IF(COUNTIFS(実績!$W$6:$W$505,BB$3,実績!$AI$6:$AI$505,"&lt;="&amp;$A127,実績!$AJ$6:$AJ$505,"&gt;"&amp;$A127,実績!$AK$6:$AK$505,"○")&gt;0,1,0))</f>
        <v>0</v>
      </c>
      <c r="BC127" s="39" t="n">
        <f aca="false">IF(BC$4=0,0,IF(COUNTIFS(実績!$W$6:$W$505,BC$3,実績!$AI$6:$AI$505,"&lt;="&amp;$A127,実績!$AJ$6:$AJ$505,"&gt;"&amp;$A127,実績!$AK$6:$AK$505,"○")&gt;0,1,0))</f>
        <v>0</v>
      </c>
      <c r="BD127" s="39" t="n">
        <f aca="false">IF(BD$4=0,0,IF(COUNTIFS(実績!$W$6:$W$505,BD$3,実績!$AI$6:$AI$505,"&lt;="&amp;$A127,実績!$AJ$6:$AJ$505,"&gt;"&amp;$A127,実績!$AK$6:$AK$505,"○")&gt;0,1,0))</f>
        <v>0</v>
      </c>
      <c r="BE127" s="39" t="n">
        <f aca="false">IF(BE$4=0,0,IF(COUNTIFS(実績!$W$6:$W$505,BE$3,実績!$AI$6:$AI$505,"&lt;="&amp;$A127,実績!$AJ$6:$AJ$505,"&gt;"&amp;$A127,実績!$AK$6:$AK$505,"○")&gt;0,1,0))</f>
        <v>0</v>
      </c>
      <c r="BF127" s="39" t="n">
        <f aca="false">IF(BF$4=0,0,IF(COUNTIFS(実績!$W$6:$W$505,BF$3,実績!$AI$6:$AI$505,"&lt;="&amp;$A127,実績!$AJ$6:$AJ$505,"&gt;"&amp;$A127,実績!$AK$6:$AK$505,"○")&gt;0,1,0))</f>
        <v>0</v>
      </c>
      <c r="BG127" s="39" t="n">
        <f aca="false">IF(BG$4=0,0,IF(COUNTIFS(実績!$W$6:$W$505,BG$3,実績!$AI$6:$AI$505,"&lt;="&amp;$A127,実績!$AJ$6:$AJ$505,"&gt;"&amp;$A127,実績!$AK$6:$AK$505,"○")&gt;0,1,0))</f>
        <v>0</v>
      </c>
      <c r="BH127" s="39" t="n">
        <f aca="false">IF(BH$4=0,0,IF(COUNTIFS(実績!$W$6:$W$505,BH$3,実績!$AI$6:$AI$505,"&lt;="&amp;$A127,実績!$AJ$6:$AJ$505,"&gt;"&amp;$A127,実績!$AK$6:$AK$505,"○")&gt;0,1,0))</f>
        <v>0</v>
      </c>
      <c r="BI127" s="39" t="n">
        <f aca="false">IF(BI$4=0,0,IF(COUNTIFS(実績!$W$6:$W$505,BI$3,実績!$AI$6:$AI$505,"&lt;="&amp;$A127,実績!$AJ$6:$AJ$505,"&gt;"&amp;$A127,実績!$AK$6:$AK$505,"○")&gt;0,1,0))</f>
        <v>0</v>
      </c>
      <c r="BJ127" s="39" t="n">
        <f aca="false">IF(BJ$4=0,0,IF(COUNTIFS(実績!$W$6:$W$505,BJ$3,実績!$AI$6:$AI$505,"&lt;="&amp;$A127,実績!$AJ$6:$AJ$505,"&gt;"&amp;$A127,実績!$AK$6:$AK$505,"○")&gt;0,1,0))</f>
        <v>0</v>
      </c>
      <c r="BK127" s="39" t="n">
        <f aca="false">IF(BK$4=0,0,IF(COUNTIFS(実績!$W$6:$W$505,BK$3,実績!$AI$6:$AI$505,"&lt;="&amp;$A127,実績!$AJ$6:$AJ$505,"&gt;"&amp;$A127,実績!$AK$6:$AK$505,"○")&gt;0,1,0))</f>
        <v>0</v>
      </c>
      <c r="BL127" s="39" t="n">
        <f aca="false">IF(BL$4=0,0,IF(COUNTIFS(実績!$W$6:$W$505,BL$3,実績!$AI$6:$AI$505,"&lt;="&amp;$A127,実績!$AJ$6:$AJ$505,"&gt;"&amp;$A127,実績!$AK$6:$AK$505,"○")&gt;0,1,0))</f>
        <v>0</v>
      </c>
      <c r="BM127" s="39" t="n">
        <f aca="false">IF(BM$4=0,0,IF(COUNTIFS(実績!$W$6:$W$505,BM$3,実績!$AI$6:$AI$505,"&lt;="&amp;$A127,実績!$AJ$6:$AJ$505,"&gt;"&amp;$A127,実績!$AK$6:$AK$505,"○")&gt;0,1,0))</f>
        <v>0</v>
      </c>
      <c r="BN127" s="39" t="n">
        <f aca="false">IF(BN$4=0,0,IF(COUNTIFS(実績!$W$6:$W$505,BN$3,実績!$AI$6:$AI$505,"&lt;="&amp;$A127,実績!$AJ$6:$AJ$505,"&gt;"&amp;$A127,実績!$AK$6:$AK$505,"○")&gt;0,1,0))</f>
        <v>0</v>
      </c>
      <c r="BO127" s="39" t="n">
        <f aca="false">IF(BO$4=0,0,IF(COUNTIFS(実績!$W$6:$W$505,BO$3,実績!$AI$6:$AI$505,"&lt;="&amp;$A127,実績!$AJ$6:$AJ$505,"&gt;"&amp;$A127,実績!$AK$6:$AK$505,"○")&gt;0,1,0))</f>
        <v>0</v>
      </c>
      <c r="BP127" s="39" t="n">
        <f aca="false">IF(BP$4=0,0,IF(COUNTIFS(実績!$W$6:$W$505,BP$3,実績!$AI$6:$AI$505,"&lt;="&amp;$A127,実績!$AJ$6:$AJ$505,"&gt;"&amp;$A127,実績!$AK$6:$AK$505,"○")&gt;0,1,0))</f>
        <v>0</v>
      </c>
      <c r="BQ127" s="39" t="n">
        <f aca="false">IF(BQ$4=0,0,IF(COUNTIFS(実績!$W$6:$W$505,BQ$3,実績!$AI$6:$AI$505,"&lt;="&amp;$A127,実績!$AJ$6:$AJ$505,"&gt;"&amp;$A127,実績!$AK$6:$AK$505,"○")&gt;0,1,0))</f>
        <v>0</v>
      </c>
      <c r="BR127" s="39" t="n">
        <f aca="false">IF(BR$4=0,0,IF(COUNTIFS(実績!$W$6:$W$505,BR$3,実績!$AI$6:$AI$505,"&lt;="&amp;$A127,実績!$AJ$6:$AJ$505,"&gt;"&amp;$A127,実績!$AK$6:$AK$505,"○")&gt;0,1,0))</f>
        <v>0</v>
      </c>
      <c r="BS127" s="39" t="n">
        <f aca="false">IF(BS$4=0,0,IF(COUNTIFS(実績!$W$6:$W$505,BS$3,実績!$AI$6:$AI$505,"&lt;="&amp;$A127,実績!$AJ$6:$AJ$505,"&gt;"&amp;$A127,実績!$AK$6:$AK$505,"○")&gt;0,1,0))</f>
        <v>0</v>
      </c>
      <c r="BT127" s="39" t="n">
        <f aca="false">IF(BT$4=0,0,IF(COUNTIFS(実績!$W$6:$W$505,BT$3,実績!$AI$6:$AI$505,"&lt;="&amp;$A127,実績!$AJ$6:$AJ$505,"&gt;"&amp;$A127,実績!$AK$6:$AK$505,"○")&gt;0,1,0))</f>
        <v>0</v>
      </c>
      <c r="BU127" s="39" t="n">
        <f aca="false">IF(BU$4=0,0,IF(COUNTIFS(実績!$W$6:$W$505,BU$3,実績!$AI$6:$AI$505,"&lt;="&amp;$A127,実績!$AJ$6:$AJ$505,"&gt;"&amp;$A127,実績!$AK$6:$AK$505,"○")&gt;0,1,0))</f>
        <v>0</v>
      </c>
      <c r="BV127" s="39" t="n">
        <f aca="false">IF(BV$4=0,0,IF(COUNTIFS(実績!$W$6:$W$505,BV$3,実績!$AI$6:$AI$505,"&lt;="&amp;$A127,実績!$AJ$6:$AJ$505,"&gt;"&amp;$A127,実績!$AK$6:$AK$505,"○")&gt;0,1,0))</f>
        <v>0</v>
      </c>
      <c r="BW127" s="39" t="n">
        <f aca="false">IF(BW$4=0,0,IF(COUNTIFS(実績!$W$6:$W$505,BW$3,実績!$AI$6:$AI$505,"&lt;="&amp;$A127,実績!$AJ$6:$AJ$505,"&gt;"&amp;$A127,実績!$AK$6:$AK$505,"○")&gt;0,1,0))</f>
        <v>0</v>
      </c>
      <c r="BX127" s="39" t="n">
        <f aca="false">IF(BX$4=0,0,IF(COUNTIFS(実績!$W$6:$W$505,BX$3,実績!$AI$6:$AI$505,"&lt;="&amp;$A127,実績!$AJ$6:$AJ$505,"&gt;"&amp;$A127,実績!$AK$6:$AK$505,"○")&gt;0,1,0))</f>
        <v>0</v>
      </c>
      <c r="BY127" s="39" t="n">
        <f aca="false">IF(BY$4=0,0,IF(COUNTIFS(実績!$W$6:$W$505,BY$3,実績!$AI$6:$AI$505,"&lt;="&amp;$A127,実績!$AJ$6:$AJ$505,"&gt;"&amp;$A127,実績!$AK$6:$AK$505,"○")&gt;0,1,0))</f>
        <v>0</v>
      </c>
      <c r="BZ127" s="39" t="n">
        <f aca="false">IF(BZ$4=0,0,IF(COUNTIFS(実績!$W$6:$W$505,BZ$3,実績!$AI$6:$AI$505,"&lt;="&amp;$A127,実績!$AJ$6:$AJ$505,"&gt;"&amp;$A127,実績!$AK$6:$AK$505,"○")&gt;0,1,0))</f>
        <v>0</v>
      </c>
      <c r="CA127" s="39" t="n">
        <f aca="false">IF(CA$4=0,0,IF(COUNTIFS(実績!$W$6:$W$505,CA$3,実績!$AI$6:$AI$505,"&lt;="&amp;$A127,実績!$AJ$6:$AJ$505,"&gt;"&amp;$A127,実績!$AK$6:$AK$505,"○")&gt;0,1,0))</f>
        <v>0</v>
      </c>
      <c r="CB127" s="39" t="n">
        <f aca="false">IF(CB$4=0,0,IF(COUNTIFS(実績!$W$6:$W$505,CB$3,実績!$AI$6:$AI$505,"&lt;="&amp;$A127,実績!$AJ$6:$AJ$505,"&gt;"&amp;$A127,実績!$AK$6:$AK$505,"○")&gt;0,1,0))</f>
        <v>0</v>
      </c>
      <c r="CC127" s="39" t="n">
        <f aca="false">IF(CC$4=0,0,IF(COUNTIFS(実績!$W$6:$W$505,CC$3,実績!$AI$6:$AI$505,"&lt;="&amp;$A127,実績!$AJ$6:$AJ$505,"&gt;"&amp;$A127,実績!$AK$6:$AK$505,"○")&gt;0,1,0))</f>
        <v>0</v>
      </c>
      <c r="CD127" s="39" t="n">
        <f aca="false">IF(CD$4=0,0,IF(COUNTIFS(実績!$W$6:$W$505,CD$3,実績!$AI$6:$AI$505,"&lt;="&amp;$A127,実績!$AJ$6:$AJ$505,"&gt;"&amp;$A127,実績!$AK$6:$AK$505,"○")&gt;0,1,0))</f>
        <v>0</v>
      </c>
      <c r="CE127" s="39" t="n">
        <f aca="false">IF(CE$4=0,0,IF(COUNTIFS(実績!$W$6:$W$505,CE$3,実績!$AI$6:$AI$505,"&lt;="&amp;$A127,実績!$AJ$6:$AJ$505,"&gt;"&amp;$A127,実績!$AK$6:$AK$505,"○")&gt;0,1,0))</f>
        <v>0</v>
      </c>
      <c r="CF127" s="39" t="n">
        <f aca="false">IF(CF$4=0,0,IF(COUNTIFS(実績!$W$6:$W$505,CF$3,実績!$AI$6:$AI$505,"&lt;="&amp;$A127,実績!$AJ$6:$AJ$505,"&gt;"&amp;$A127,実績!$AK$6:$AK$505,"○")&gt;0,1,0))</f>
        <v>0</v>
      </c>
      <c r="CG127" s="39" t="n">
        <f aca="false">IF(CG$4=0,0,IF(COUNTIFS(実績!$W$6:$W$505,CG$3,実績!$AI$6:$AI$505,"&lt;="&amp;$A127,実績!$AJ$6:$AJ$505,"&gt;"&amp;$A127,実績!$AK$6:$AK$505,"○")&gt;0,1,0))</f>
        <v>0</v>
      </c>
      <c r="CH127" s="39" t="n">
        <f aca="false">IF(CH$4=0,0,IF(COUNTIFS(実績!$W$6:$W$505,CH$3,実績!$AI$6:$AI$505,"&lt;="&amp;$A127,実績!$AJ$6:$AJ$505,"&gt;"&amp;$A127,実績!$AK$6:$AK$505,"○")&gt;0,1,0))</f>
        <v>0</v>
      </c>
      <c r="CI127" s="39" t="n">
        <f aca="false">IF(CI$4=0,0,IF(COUNTIFS(実績!$W$6:$W$505,CI$3,実績!$AI$6:$AI$505,"&lt;="&amp;$A127,実績!$AJ$6:$AJ$505,"&gt;"&amp;$A127,実績!$AK$6:$AK$505,"○")&gt;0,1,0))</f>
        <v>0</v>
      </c>
      <c r="CJ127" s="39" t="n">
        <f aca="false">IF(CJ$4=0,0,IF(COUNTIFS(実績!$W$6:$W$505,CJ$3,実績!$AI$6:$AI$505,"&lt;="&amp;$A127,実績!$AJ$6:$AJ$505,"&gt;"&amp;$A127,実績!$AK$6:$AK$505,"○")&gt;0,1,0))</f>
        <v>0</v>
      </c>
      <c r="CK127" s="39" t="n">
        <f aca="false">IF(CK$4=0,0,IF(COUNTIFS(実績!$W$6:$W$505,CK$3,実績!$AI$6:$AI$505,"&lt;="&amp;$A127,実績!$AJ$6:$AJ$505,"&gt;"&amp;$A127,実績!$AK$6:$AK$505,"○")&gt;0,1,0))</f>
        <v>0</v>
      </c>
      <c r="CL127" s="39" t="n">
        <f aca="false">IF(CL$4=0,0,IF(COUNTIFS(実績!$W$6:$W$505,CL$3,実績!$AI$6:$AI$505,"&lt;="&amp;$A127,実績!$AJ$6:$AJ$505,"&gt;"&amp;$A127,実績!$AK$6:$AK$505,"○")&gt;0,1,0))</f>
        <v>0</v>
      </c>
      <c r="CM127" s="39" t="n">
        <f aca="false">IF(CM$4=0,0,IF(COUNTIFS(実績!$W$6:$W$505,CM$3,実績!$AI$6:$AI$505,"&lt;="&amp;$A127,実績!$AJ$6:$AJ$505,"&gt;"&amp;$A127,実績!$AK$6:$AK$505,"○")&gt;0,1,0))</f>
        <v>0</v>
      </c>
      <c r="CN127" s="39" t="n">
        <f aca="false">IF(CN$4=0,0,IF(COUNTIFS(実績!$W$6:$W$505,CN$3,実績!$AI$6:$AI$505,"&lt;="&amp;$A127,実績!$AJ$6:$AJ$505,"&gt;"&amp;$A127,実績!$AK$6:$AK$505,"○")&gt;0,1,0))</f>
        <v>0</v>
      </c>
      <c r="CO127" s="39" t="n">
        <f aca="false">IF(CO$4=0,0,IF(COUNTIFS(実績!$W$6:$W$505,CO$3,実績!$AI$6:$AI$505,"&lt;="&amp;$A127,実績!$AJ$6:$AJ$505,"&gt;"&amp;$A127,実績!$AK$6:$AK$505,"○")&gt;0,1,0))</f>
        <v>0</v>
      </c>
      <c r="CP127" s="39" t="n">
        <f aca="false">IF(CP$4=0,0,IF(COUNTIFS(実績!$W$6:$W$505,CP$3,実績!$AI$6:$AI$505,"&lt;="&amp;$A127,実績!$AJ$6:$AJ$505,"&gt;"&amp;$A127,実績!$AK$6:$AK$505,"○")&gt;0,1,0))</f>
        <v>0</v>
      </c>
      <c r="CQ127" s="39" t="n">
        <f aca="false">IF(CQ$4=0,0,IF(COUNTIFS(実績!$W$6:$W$505,CQ$3,実績!$AI$6:$AI$505,"&lt;="&amp;$A127,実績!$AJ$6:$AJ$505,"&gt;"&amp;$A127,実績!$AK$6:$AK$505,"○")&gt;0,1,0))</f>
        <v>0</v>
      </c>
      <c r="CR127" s="39" t="n">
        <f aca="false">IF(CR$4=0,0,IF(COUNTIFS(実績!$W$6:$W$505,CR$3,実績!$AI$6:$AI$505,"&lt;="&amp;$A127,実績!$AJ$6:$AJ$505,"&gt;"&amp;$A127,実績!$AK$6:$AK$505,"○")&gt;0,1,0))</f>
        <v>0</v>
      </c>
      <c r="CS127" s="39" t="n">
        <f aca="false">IF(CS$4=0,0,IF(COUNTIFS(実績!$W$6:$W$505,CS$3,実績!$AI$6:$AI$505,"&lt;="&amp;$A127,実績!$AJ$6:$AJ$505,"&gt;"&amp;$A127,実績!$AK$6:$AK$505,"○")&gt;0,1,0))</f>
        <v>0</v>
      </c>
      <c r="CT127" s="39" t="n">
        <f aca="false">IF(CT$4=0,0,IF(COUNTIFS(実績!$W$6:$W$505,CT$3,実績!$AI$6:$AI$505,"&lt;="&amp;$A127,実績!$AJ$6:$AJ$505,"&gt;"&amp;$A127,実績!$AK$6:$AK$505,"○")&gt;0,1,0))</f>
        <v>0</v>
      </c>
      <c r="CU127" s="39" t="n">
        <f aca="false">IF(CU$4=0,0,IF(COUNTIFS(実績!$W$6:$W$505,CU$3,実績!$AI$6:$AI$505,"&lt;="&amp;$A127,実績!$AJ$6:$AJ$505,"&gt;"&amp;$A127,実績!$AK$6:$AK$505,"○")&gt;0,1,0))</f>
        <v>0</v>
      </c>
      <c r="CV127" s="39" t="n">
        <f aca="false">IF(CV$4=0,0,IF(COUNTIFS(実績!$W$6:$W$505,CV$3,実績!$AI$6:$AI$505,"&lt;="&amp;$A127,実績!$AJ$6:$AJ$505,"&gt;"&amp;$A127,実績!$AK$6:$AK$505,"○")&gt;0,1,0))</f>
        <v>0</v>
      </c>
      <c r="CW127" s="39" t="n">
        <f aca="false">IF(CW$4=0,0,IF(COUNTIFS(実績!$W$6:$W$505,CW$3,実績!$AI$6:$AI$505,"&lt;="&amp;$A127,実績!$AJ$6:$AJ$505,"&gt;"&amp;$A127,実績!$AK$6:$AK$505,"○")&gt;0,1,0))</f>
        <v>0</v>
      </c>
      <c r="CX127" s="39" t="n">
        <f aca="false">IF(CX$4=0,0,IF(COUNTIFS(実績!$W$6:$W$505,CX$3,実績!$AI$6:$AI$505,"&lt;="&amp;$A127,実績!$AJ$6:$AJ$505,"&gt;"&amp;$A127,実績!$AK$6:$AK$505,"○")&gt;0,1,0))</f>
        <v>0</v>
      </c>
      <c r="CY127" s="39" t="n">
        <f aca="false">IF(CY$4=0,0,IF(COUNTIFS(実績!$W$6:$W$505,CY$3,実績!$AI$6:$AI$505,"&lt;="&amp;$A127,実績!$AJ$6:$AJ$505,"&gt;"&amp;$A127,実績!$AK$6:$AK$505,"○")&gt;0,1,0))</f>
        <v>0</v>
      </c>
      <c r="CZ127" s="39" t="n">
        <f aca="false">IF(CZ$4=0,0,IF(COUNTIFS(実績!$W$6:$W$505,CZ$3,実績!$AI$6:$AI$505,"&lt;="&amp;$A127,実績!$AJ$6:$AJ$505,"&gt;"&amp;$A127,実績!$AK$6:$AK$505,"○")&gt;0,1,0))</f>
        <v>0</v>
      </c>
      <c r="DA127" s="39" t="n">
        <f aca="false">IF(DA$4=0,0,IF(COUNTIFS(実績!$W$6:$W$505,DA$3,実績!$AI$6:$AI$505,"&lt;="&amp;$A127,実績!$AJ$6:$AJ$505,"&gt;"&amp;$A127,実績!$AK$6:$AK$505,"○")&gt;0,1,0))</f>
        <v>0</v>
      </c>
      <c r="DB127" s="39" t="n">
        <f aca="false">IF(DB$4=0,0,IF(COUNTIFS(実績!$W$6:$W$505,DB$3,実績!$AI$6:$AI$505,"&lt;="&amp;$A127,実績!$AJ$6:$AJ$505,"&gt;"&amp;$A127,実績!$AK$6:$AK$505,"○")&gt;0,1,0))</f>
        <v>0</v>
      </c>
      <c r="DC127" s="39" t="n">
        <f aca="false">IF(DC$4=0,0,IF(COUNTIFS(実績!$W$6:$W$505,DC$3,実績!$AI$6:$AI$505,"&lt;="&amp;$A127,実績!$AJ$6:$AJ$505,"&gt;"&amp;$A127,実績!$AK$6:$AK$505,"○")&gt;0,1,0))</f>
        <v>0</v>
      </c>
      <c r="DD127" s="39" t="n">
        <f aca="false">IF(DD$4=0,0,IF(COUNTIFS(実績!$W$6:$W$505,DD$3,実績!$AI$6:$AI$505,"&lt;="&amp;$A127,実績!$AJ$6:$AJ$505,"&gt;"&amp;$A127,実績!$AK$6:$AK$505,"○")&gt;0,1,0))</f>
        <v>0</v>
      </c>
      <c r="DE127" s="39" t="n">
        <f aca="false">IF(DE$4=0,0,IF(COUNTIFS(実績!$W$6:$W$505,DE$3,実績!$AI$6:$AI$505,"&lt;="&amp;$A127,実績!$AJ$6:$AJ$505,"&gt;"&amp;$A127,実績!$AK$6:$AK$505,"○")&gt;0,1,0))</f>
        <v>0</v>
      </c>
      <c r="DF127" s="39" t="n">
        <f aca="false">IF(DF$4=0,0,IF(COUNTIFS(実績!$W$6:$W$505,DF$3,実績!$AI$6:$AI$505,"&lt;="&amp;$A127,実績!$AJ$6:$AJ$505,"&gt;"&amp;$A127,実績!$AK$6:$AK$505,"○")&gt;0,1,0))</f>
        <v>0</v>
      </c>
      <c r="DG127" s="39" t="n">
        <f aca="false">IF(DG$4=0,0,IF(COUNTIFS(実績!$W$6:$W$505,DG$3,実績!$AI$6:$AI$505,"&lt;="&amp;$A127,実績!$AJ$6:$AJ$505,"&gt;"&amp;$A127,実績!$AK$6:$AK$505,"○")&gt;0,1,0))</f>
        <v>0</v>
      </c>
      <c r="DH127" s="39" t="n">
        <f aca="false">IF(DH$4=0,0,IF(COUNTIFS(実績!$W$6:$W$505,DH$3,実績!$AI$6:$AI$505,"&lt;="&amp;$A127,実績!$AJ$6:$AJ$505,"&gt;"&amp;$A127,実績!$AK$6:$AK$505,"○")&gt;0,1,0))</f>
        <v>0</v>
      </c>
      <c r="DI127" s="39" t="n">
        <f aca="false">IF(DI$4=0,0,IF(COUNTIFS(実績!$W$6:$W$505,DI$3,実績!$AI$6:$AI$505,"&lt;="&amp;$A127,実績!$AJ$6:$AJ$505,"&gt;"&amp;$A127,実績!$AK$6:$AK$505,"○")&gt;0,1,0))</f>
        <v>0</v>
      </c>
      <c r="DJ127" s="39" t="n">
        <f aca="false">IF(DJ$4=0,0,IF(COUNTIFS(実績!$W$6:$W$505,DJ$3,実績!$AI$6:$AI$505,"&lt;="&amp;$A127,実績!$AJ$6:$AJ$505,"&gt;"&amp;$A127,実績!$AK$6:$AK$505,"○")&gt;0,1,0))</f>
        <v>0</v>
      </c>
      <c r="DK127" s="39" t="n">
        <f aca="false">IF(DK$4=0,0,IF(COUNTIFS(実績!$W$6:$W$505,DK$3,実績!$AI$6:$AI$505,"&lt;="&amp;$A127,実績!$AJ$6:$AJ$505,"&gt;"&amp;$A127,実績!$AK$6:$AK$505,"○")&gt;0,1,0))</f>
        <v>0</v>
      </c>
      <c r="DL127" s="39" t="n">
        <f aca="false">IF(DL$4=0,0,IF(COUNTIFS(実績!$W$6:$W$505,DL$3,実績!$AI$6:$AI$505,"&lt;="&amp;$A127,実績!$AJ$6:$AJ$505,"&gt;"&amp;$A127,実績!$AK$6:$AK$505,"○")&gt;0,1,0))</f>
        <v>0</v>
      </c>
      <c r="DM127" s="39" t="n">
        <f aca="false">IF(DM$4=0,0,IF(COUNTIFS(実績!$W$6:$W$505,DM$3,実績!$AI$6:$AI$505,"&lt;="&amp;$A127,実績!$AJ$6:$AJ$505,"&gt;"&amp;$A127,実績!$AK$6:$AK$505,"○")&gt;0,1,0))</f>
        <v>0</v>
      </c>
      <c r="DN127" s="39" t="n">
        <f aca="false">IF(DN$4=0,0,IF(COUNTIFS(実績!$W$6:$W$505,DN$3,実績!$AI$6:$AI$505,"&lt;="&amp;$A127,実績!$AJ$6:$AJ$505,"&gt;"&amp;$A127,実績!$AK$6:$AK$505,"○")&gt;0,1,0))</f>
        <v>0</v>
      </c>
      <c r="DO127" s="39" t="n">
        <f aca="false">IF(DO$4=0,0,IF(COUNTIFS(実績!$W$6:$W$505,DO$3,実績!$AI$6:$AI$505,"&lt;="&amp;$A127,実績!$AJ$6:$AJ$505,"&gt;"&amp;$A127,実績!$AK$6:$AK$505,"○")&gt;0,1,0))</f>
        <v>0</v>
      </c>
      <c r="DP127" s="39" t="n">
        <f aca="false">IF(DP$4=0,0,IF(COUNTIFS(実績!$W$6:$W$505,DP$3,実績!$AI$6:$AI$505,"&lt;="&amp;$A127,実績!$AJ$6:$AJ$505,"&gt;"&amp;$A127,実績!$AK$6:$AK$505,"○")&gt;0,1,0))</f>
        <v>0</v>
      </c>
      <c r="DQ127" s="39" t="n">
        <f aca="false">IF(DQ$4=0,0,IF(COUNTIFS(実績!$W$6:$W$505,DQ$3,実績!$AI$6:$AI$505,"&lt;="&amp;$A127,実績!$AJ$6:$AJ$505,"&gt;"&amp;$A127,実績!$AK$6:$AK$505,"○")&gt;0,1,0))</f>
        <v>0</v>
      </c>
      <c r="DR127" s="39" t="n">
        <f aca="false">IF(DR$4=0,0,IF(COUNTIFS(実績!$W$6:$W$505,DR$3,実績!$AI$6:$AI$505,"&lt;="&amp;$A127,実績!$AJ$6:$AJ$505,"&gt;"&amp;$A127,実績!$AK$6:$AK$505,"○")&gt;0,1,0))</f>
        <v>0</v>
      </c>
      <c r="DS127" s="39" t="n">
        <f aca="false">SUM(C127:DR127)</f>
        <v>0</v>
      </c>
      <c r="DT127" s="39" t="n">
        <f aca="false">SUMPRODUCT((実績!$C$6:$C$505="○")*ISNUMBER(実績!$AM$6:$AM$505)*(実績!$AM$6:$AM$505&lt;=$A127)*(実績!$AN$6:$AN$505&gt;$A127))</f>
        <v>0</v>
      </c>
      <c r="DU127" s="39" t="n">
        <f aca="false">SUMIF($C$2:$DR$2,"製鉄曳船",C127:DR127)</f>
        <v>0</v>
      </c>
      <c r="DV127" s="39" t="n">
        <f aca="false">SUMIF($C$2:$DR$2,"西日本海運",C127:DR127)</f>
        <v>0</v>
      </c>
    </row>
    <row r="128" customFormat="false" ht="15" hidden="false" customHeight="false" outlineLevel="0" collapsed="false">
      <c r="A128" s="0" t="n">
        <v>610</v>
      </c>
      <c r="B128" s="38" t="n">
        <f aca="false">A128/1440</f>
        <v>0.423611111111111</v>
      </c>
      <c r="C128" s="39" t="n">
        <f aca="false">IF(C$4=0,0,IF(COUNTIFS(実績!$W$6:$W$505,C$3,実績!$AI$6:$AI$505,"&lt;="&amp;$A128,実績!$AJ$6:$AJ$505,"&gt;"&amp;$A128,実績!$AK$6:$AK$505,"○")&gt;0,1,0))</f>
        <v>0</v>
      </c>
      <c r="D128" s="39" t="n">
        <f aca="false">IF(D$4=0,0,IF(COUNTIFS(実績!$W$6:$W$505,D$3,実績!$AI$6:$AI$505,"&lt;="&amp;$A128,実績!$AJ$6:$AJ$505,"&gt;"&amp;$A128,実績!$AK$6:$AK$505,"○")&gt;0,1,0))</f>
        <v>0</v>
      </c>
      <c r="E128" s="39" t="n">
        <f aca="false">IF(E$4=0,0,IF(COUNTIFS(実績!$W$6:$W$505,E$3,実績!$AI$6:$AI$505,"&lt;="&amp;$A128,実績!$AJ$6:$AJ$505,"&gt;"&amp;$A128,実績!$AK$6:$AK$505,"○")&gt;0,1,0))</f>
        <v>0</v>
      </c>
      <c r="F128" s="39" t="n">
        <f aca="false">IF(F$4=0,0,IF(COUNTIFS(実績!$W$6:$W$505,F$3,実績!$AI$6:$AI$505,"&lt;="&amp;$A128,実績!$AJ$6:$AJ$505,"&gt;"&amp;$A128,実績!$AK$6:$AK$505,"○")&gt;0,1,0))</f>
        <v>0</v>
      </c>
      <c r="G128" s="39" t="n">
        <f aca="false">IF(G$4=0,0,IF(COUNTIFS(実績!$W$6:$W$505,G$3,実績!$AI$6:$AI$505,"&lt;="&amp;$A128,実績!$AJ$6:$AJ$505,"&gt;"&amp;$A128,実績!$AK$6:$AK$505,"○")&gt;0,1,0))</f>
        <v>0</v>
      </c>
      <c r="H128" s="39" t="n">
        <f aca="false">IF(H$4=0,0,IF(COUNTIFS(実績!$W$6:$W$505,H$3,実績!$AI$6:$AI$505,"&lt;="&amp;$A128,実績!$AJ$6:$AJ$505,"&gt;"&amp;$A128,実績!$AK$6:$AK$505,"○")&gt;0,1,0))</f>
        <v>0</v>
      </c>
      <c r="I128" s="39" t="n">
        <f aca="false">IF(I$4=0,0,IF(COUNTIFS(実績!$W$6:$W$505,I$3,実績!$AI$6:$AI$505,"&lt;="&amp;$A128,実績!$AJ$6:$AJ$505,"&gt;"&amp;$A128,実績!$AK$6:$AK$505,"○")&gt;0,1,0))</f>
        <v>0</v>
      </c>
      <c r="J128" s="39" t="n">
        <f aca="false">IF(J$4=0,0,IF(COUNTIFS(実績!$W$6:$W$505,J$3,実績!$AI$6:$AI$505,"&lt;="&amp;$A128,実績!$AJ$6:$AJ$505,"&gt;"&amp;$A128,実績!$AK$6:$AK$505,"○")&gt;0,1,0))</f>
        <v>0</v>
      </c>
      <c r="K128" s="39" t="n">
        <f aca="false">IF(K$4=0,0,IF(COUNTIFS(実績!$W$6:$W$505,K$3,実績!$AI$6:$AI$505,"&lt;="&amp;$A128,実績!$AJ$6:$AJ$505,"&gt;"&amp;$A128,実績!$AK$6:$AK$505,"○")&gt;0,1,0))</f>
        <v>0</v>
      </c>
      <c r="L128" s="39" t="n">
        <f aca="false">IF(L$4=0,0,IF(COUNTIFS(実績!$W$6:$W$505,L$3,実績!$AI$6:$AI$505,"&lt;="&amp;$A128,実績!$AJ$6:$AJ$505,"&gt;"&amp;$A128,実績!$AK$6:$AK$505,"○")&gt;0,1,0))</f>
        <v>0</v>
      </c>
      <c r="M128" s="39" t="n">
        <f aca="false">IF(M$4=0,0,IF(COUNTIFS(実績!$W$6:$W$505,M$3,実績!$AI$6:$AI$505,"&lt;="&amp;$A128,実績!$AJ$6:$AJ$505,"&gt;"&amp;$A128,実績!$AK$6:$AK$505,"○")&gt;0,1,0))</f>
        <v>0</v>
      </c>
      <c r="N128" s="39" t="n">
        <f aca="false">IF(N$4=0,0,IF(COUNTIFS(実績!$W$6:$W$505,N$3,実績!$AI$6:$AI$505,"&lt;="&amp;$A128,実績!$AJ$6:$AJ$505,"&gt;"&amp;$A128,実績!$AK$6:$AK$505,"○")&gt;0,1,0))</f>
        <v>0</v>
      </c>
      <c r="O128" s="39" t="n">
        <f aca="false">IF(O$4=0,0,IF(COUNTIFS(実績!$W$6:$W$505,O$3,実績!$AI$6:$AI$505,"&lt;="&amp;$A128,実績!$AJ$6:$AJ$505,"&gt;"&amp;$A128,実績!$AK$6:$AK$505,"○")&gt;0,1,0))</f>
        <v>0</v>
      </c>
      <c r="P128" s="39" t="n">
        <f aca="false">IF(P$4=0,0,IF(COUNTIFS(実績!$W$6:$W$505,P$3,実績!$AI$6:$AI$505,"&lt;="&amp;$A128,実績!$AJ$6:$AJ$505,"&gt;"&amp;$A128,実績!$AK$6:$AK$505,"○")&gt;0,1,0))</f>
        <v>0</v>
      </c>
      <c r="Q128" s="39" t="n">
        <f aca="false">IF(Q$4=0,0,IF(COUNTIFS(実績!$W$6:$W$505,Q$3,実績!$AI$6:$AI$505,"&lt;="&amp;$A128,実績!$AJ$6:$AJ$505,"&gt;"&amp;$A128,実績!$AK$6:$AK$505,"○")&gt;0,1,0))</f>
        <v>0</v>
      </c>
      <c r="R128" s="39" t="n">
        <f aca="false">IF(R$4=0,0,IF(COUNTIFS(実績!$W$6:$W$505,R$3,実績!$AI$6:$AI$505,"&lt;="&amp;$A128,実績!$AJ$6:$AJ$505,"&gt;"&amp;$A128,実績!$AK$6:$AK$505,"○")&gt;0,1,0))</f>
        <v>0</v>
      </c>
      <c r="S128" s="39" t="n">
        <f aca="false">IF(S$4=0,0,IF(COUNTIFS(実績!$W$6:$W$505,S$3,実績!$AI$6:$AI$505,"&lt;="&amp;$A128,実績!$AJ$6:$AJ$505,"&gt;"&amp;$A128,実績!$AK$6:$AK$505,"○")&gt;0,1,0))</f>
        <v>0</v>
      </c>
      <c r="T128" s="39" t="n">
        <f aca="false">IF(T$4=0,0,IF(COUNTIFS(実績!$W$6:$W$505,T$3,実績!$AI$6:$AI$505,"&lt;="&amp;$A128,実績!$AJ$6:$AJ$505,"&gt;"&amp;$A128,実績!$AK$6:$AK$505,"○")&gt;0,1,0))</f>
        <v>0</v>
      </c>
      <c r="U128" s="39" t="n">
        <f aca="false">IF(U$4=0,0,IF(COUNTIFS(実績!$W$6:$W$505,U$3,実績!$AI$6:$AI$505,"&lt;="&amp;$A128,実績!$AJ$6:$AJ$505,"&gt;"&amp;$A128,実績!$AK$6:$AK$505,"○")&gt;0,1,0))</f>
        <v>0</v>
      </c>
      <c r="V128" s="39" t="n">
        <f aca="false">IF(V$4=0,0,IF(COUNTIFS(実績!$W$6:$W$505,V$3,実績!$AI$6:$AI$505,"&lt;="&amp;$A128,実績!$AJ$6:$AJ$505,"&gt;"&amp;$A128,実績!$AK$6:$AK$505,"○")&gt;0,1,0))</f>
        <v>0</v>
      </c>
      <c r="W128" s="39" t="n">
        <f aca="false">IF(W$4=0,0,IF(COUNTIFS(実績!$W$6:$W$505,W$3,実績!$AI$6:$AI$505,"&lt;="&amp;$A128,実績!$AJ$6:$AJ$505,"&gt;"&amp;$A128,実績!$AK$6:$AK$505,"○")&gt;0,1,0))</f>
        <v>0</v>
      </c>
      <c r="X128" s="39" t="n">
        <f aca="false">IF(X$4=0,0,IF(COUNTIFS(実績!$W$6:$W$505,X$3,実績!$AI$6:$AI$505,"&lt;="&amp;$A128,実績!$AJ$6:$AJ$505,"&gt;"&amp;$A128,実績!$AK$6:$AK$505,"○")&gt;0,1,0))</f>
        <v>0</v>
      </c>
      <c r="Y128" s="39" t="n">
        <f aca="false">IF(Y$4=0,0,IF(COUNTIFS(実績!$W$6:$W$505,Y$3,実績!$AI$6:$AI$505,"&lt;="&amp;$A128,実績!$AJ$6:$AJ$505,"&gt;"&amp;$A128,実績!$AK$6:$AK$505,"○")&gt;0,1,0))</f>
        <v>0</v>
      </c>
      <c r="Z128" s="39" t="n">
        <f aca="false">IF(Z$4=0,0,IF(COUNTIFS(実績!$W$6:$W$505,Z$3,実績!$AI$6:$AI$505,"&lt;="&amp;$A128,実績!$AJ$6:$AJ$505,"&gt;"&amp;$A128,実績!$AK$6:$AK$505,"○")&gt;0,1,0))</f>
        <v>0</v>
      </c>
      <c r="AA128" s="39" t="n">
        <f aca="false">IF(AA$4=0,0,IF(COUNTIFS(実績!$W$6:$W$505,AA$3,実績!$AI$6:$AI$505,"&lt;="&amp;$A128,実績!$AJ$6:$AJ$505,"&gt;"&amp;$A128,実績!$AK$6:$AK$505,"○")&gt;0,1,0))</f>
        <v>0</v>
      </c>
      <c r="AB128" s="39" t="n">
        <f aca="false">IF(AB$4=0,0,IF(COUNTIFS(実績!$W$6:$W$505,AB$3,実績!$AI$6:$AI$505,"&lt;="&amp;$A128,実績!$AJ$6:$AJ$505,"&gt;"&amp;$A128,実績!$AK$6:$AK$505,"○")&gt;0,1,0))</f>
        <v>0</v>
      </c>
      <c r="AC128" s="39" t="n">
        <f aca="false">IF(AC$4=0,0,IF(COUNTIFS(実績!$W$6:$W$505,AC$3,実績!$AI$6:$AI$505,"&lt;="&amp;$A128,実績!$AJ$6:$AJ$505,"&gt;"&amp;$A128,実績!$AK$6:$AK$505,"○")&gt;0,1,0))</f>
        <v>0</v>
      </c>
      <c r="AD128" s="39" t="n">
        <f aca="false">IF(AD$4=0,0,IF(COUNTIFS(実績!$W$6:$W$505,AD$3,実績!$AI$6:$AI$505,"&lt;="&amp;$A128,実績!$AJ$6:$AJ$505,"&gt;"&amp;$A128,実績!$AK$6:$AK$505,"○")&gt;0,1,0))</f>
        <v>0</v>
      </c>
      <c r="AE128" s="39" t="n">
        <f aca="false">IF(AE$4=0,0,IF(COUNTIFS(実績!$W$6:$W$505,AE$3,実績!$AI$6:$AI$505,"&lt;="&amp;$A128,実績!$AJ$6:$AJ$505,"&gt;"&amp;$A128,実績!$AK$6:$AK$505,"○")&gt;0,1,0))</f>
        <v>0</v>
      </c>
      <c r="AF128" s="39" t="n">
        <f aca="false">IF(AF$4=0,0,IF(COUNTIFS(実績!$W$6:$W$505,AF$3,実績!$AI$6:$AI$505,"&lt;="&amp;$A128,実績!$AJ$6:$AJ$505,"&gt;"&amp;$A128,実績!$AK$6:$AK$505,"○")&gt;0,1,0))</f>
        <v>0</v>
      </c>
      <c r="AG128" s="39" t="n">
        <f aca="false">IF(AG$4=0,0,IF(COUNTIFS(実績!$W$6:$W$505,AG$3,実績!$AI$6:$AI$505,"&lt;="&amp;$A128,実績!$AJ$6:$AJ$505,"&gt;"&amp;$A128,実績!$AK$6:$AK$505,"○")&gt;0,1,0))</f>
        <v>0</v>
      </c>
      <c r="AH128" s="39" t="n">
        <f aca="false">IF(AH$4=0,0,IF(COUNTIFS(実績!$W$6:$W$505,AH$3,実績!$AI$6:$AI$505,"&lt;="&amp;$A128,実績!$AJ$6:$AJ$505,"&gt;"&amp;$A128,実績!$AK$6:$AK$505,"○")&gt;0,1,0))</f>
        <v>0</v>
      </c>
      <c r="AI128" s="39" t="n">
        <f aca="false">IF(AI$4=0,0,IF(COUNTIFS(実績!$W$6:$W$505,AI$3,実績!$AI$6:$AI$505,"&lt;="&amp;$A128,実績!$AJ$6:$AJ$505,"&gt;"&amp;$A128,実績!$AK$6:$AK$505,"○")&gt;0,1,0))</f>
        <v>0</v>
      </c>
      <c r="AJ128" s="39" t="n">
        <f aca="false">IF(AJ$4=0,0,IF(COUNTIFS(実績!$W$6:$W$505,AJ$3,実績!$AI$6:$AI$505,"&lt;="&amp;$A128,実績!$AJ$6:$AJ$505,"&gt;"&amp;$A128,実績!$AK$6:$AK$505,"○")&gt;0,1,0))</f>
        <v>0</v>
      </c>
      <c r="AK128" s="39" t="n">
        <f aca="false">IF(AK$4=0,0,IF(COUNTIFS(実績!$W$6:$W$505,AK$3,実績!$AI$6:$AI$505,"&lt;="&amp;$A128,実績!$AJ$6:$AJ$505,"&gt;"&amp;$A128,実績!$AK$6:$AK$505,"○")&gt;0,1,0))</f>
        <v>0</v>
      </c>
      <c r="AL128" s="39" t="n">
        <f aca="false">IF(AL$4=0,0,IF(COUNTIFS(実績!$W$6:$W$505,AL$3,実績!$AI$6:$AI$505,"&lt;="&amp;$A128,実績!$AJ$6:$AJ$505,"&gt;"&amp;$A128,実績!$AK$6:$AK$505,"○")&gt;0,1,0))</f>
        <v>0</v>
      </c>
      <c r="AM128" s="39" t="n">
        <f aca="false">IF(AM$4=0,0,IF(COUNTIFS(実績!$W$6:$W$505,AM$3,実績!$AI$6:$AI$505,"&lt;="&amp;$A128,実績!$AJ$6:$AJ$505,"&gt;"&amp;$A128,実績!$AK$6:$AK$505,"○")&gt;0,1,0))</f>
        <v>0</v>
      </c>
      <c r="AN128" s="39" t="n">
        <f aca="false">IF(AN$4=0,0,IF(COUNTIFS(実績!$W$6:$W$505,AN$3,実績!$AI$6:$AI$505,"&lt;="&amp;$A128,実績!$AJ$6:$AJ$505,"&gt;"&amp;$A128,実績!$AK$6:$AK$505,"○")&gt;0,1,0))</f>
        <v>0</v>
      </c>
      <c r="AO128" s="39" t="n">
        <f aca="false">IF(AO$4=0,0,IF(COUNTIFS(実績!$W$6:$W$505,AO$3,実績!$AI$6:$AI$505,"&lt;="&amp;$A128,実績!$AJ$6:$AJ$505,"&gt;"&amp;$A128,実績!$AK$6:$AK$505,"○")&gt;0,1,0))</f>
        <v>0</v>
      </c>
      <c r="AP128" s="39" t="n">
        <f aca="false">IF(AP$4=0,0,IF(COUNTIFS(実績!$W$6:$W$505,AP$3,実績!$AI$6:$AI$505,"&lt;="&amp;$A128,実績!$AJ$6:$AJ$505,"&gt;"&amp;$A128,実績!$AK$6:$AK$505,"○")&gt;0,1,0))</f>
        <v>0</v>
      </c>
      <c r="AQ128" s="39" t="n">
        <f aca="false">IF(AQ$4=0,0,IF(COUNTIFS(実績!$W$6:$W$505,AQ$3,実績!$AI$6:$AI$505,"&lt;="&amp;$A128,実績!$AJ$6:$AJ$505,"&gt;"&amp;$A128,実績!$AK$6:$AK$505,"○")&gt;0,1,0))</f>
        <v>0</v>
      </c>
      <c r="AR128" s="39" t="n">
        <f aca="false">IF(AR$4=0,0,IF(COUNTIFS(実績!$W$6:$W$505,AR$3,実績!$AI$6:$AI$505,"&lt;="&amp;$A128,実績!$AJ$6:$AJ$505,"&gt;"&amp;$A128,実績!$AK$6:$AK$505,"○")&gt;0,1,0))</f>
        <v>0</v>
      </c>
      <c r="AS128" s="39" t="n">
        <f aca="false">IF(AS$4=0,0,IF(COUNTIFS(実績!$W$6:$W$505,AS$3,実績!$AI$6:$AI$505,"&lt;="&amp;$A128,実績!$AJ$6:$AJ$505,"&gt;"&amp;$A128,実績!$AK$6:$AK$505,"○")&gt;0,1,0))</f>
        <v>0</v>
      </c>
      <c r="AT128" s="39" t="n">
        <f aca="false">IF(AT$4=0,0,IF(COUNTIFS(実績!$W$6:$W$505,AT$3,実績!$AI$6:$AI$505,"&lt;="&amp;$A128,実績!$AJ$6:$AJ$505,"&gt;"&amp;$A128,実績!$AK$6:$AK$505,"○")&gt;0,1,0))</f>
        <v>0</v>
      </c>
      <c r="AU128" s="39" t="n">
        <f aca="false">IF(AU$4=0,0,IF(COUNTIFS(実績!$W$6:$W$505,AU$3,実績!$AI$6:$AI$505,"&lt;="&amp;$A128,実績!$AJ$6:$AJ$505,"&gt;"&amp;$A128,実績!$AK$6:$AK$505,"○")&gt;0,1,0))</f>
        <v>0</v>
      </c>
      <c r="AV128" s="39" t="n">
        <f aca="false">IF(AV$4=0,0,IF(COUNTIFS(実績!$W$6:$W$505,AV$3,実績!$AI$6:$AI$505,"&lt;="&amp;$A128,実績!$AJ$6:$AJ$505,"&gt;"&amp;$A128,実績!$AK$6:$AK$505,"○")&gt;0,1,0))</f>
        <v>0</v>
      </c>
      <c r="AW128" s="39" t="n">
        <f aca="false">IF(AW$4=0,0,IF(COUNTIFS(実績!$W$6:$W$505,AW$3,実績!$AI$6:$AI$505,"&lt;="&amp;$A128,実績!$AJ$6:$AJ$505,"&gt;"&amp;$A128,実績!$AK$6:$AK$505,"○")&gt;0,1,0))</f>
        <v>0</v>
      </c>
      <c r="AX128" s="39" t="n">
        <f aca="false">IF(AX$4=0,0,IF(COUNTIFS(実績!$W$6:$W$505,AX$3,実績!$AI$6:$AI$505,"&lt;="&amp;$A128,実績!$AJ$6:$AJ$505,"&gt;"&amp;$A128,実績!$AK$6:$AK$505,"○")&gt;0,1,0))</f>
        <v>0</v>
      </c>
      <c r="AY128" s="39" t="n">
        <f aca="false">IF(AY$4=0,0,IF(COUNTIFS(実績!$W$6:$W$505,AY$3,実績!$AI$6:$AI$505,"&lt;="&amp;$A128,実績!$AJ$6:$AJ$505,"&gt;"&amp;$A128,実績!$AK$6:$AK$505,"○")&gt;0,1,0))</f>
        <v>0</v>
      </c>
      <c r="AZ128" s="39" t="n">
        <f aca="false">IF(AZ$4=0,0,IF(COUNTIFS(実績!$W$6:$W$505,AZ$3,実績!$AI$6:$AI$505,"&lt;="&amp;$A128,実績!$AJ$6:$AJ$505,"&gt;"&amp;$A128,実績!$AK$6:$AK$505,"○")&gt;0,1,0))</f>
        <v>0</v>
      </c>
      <c r="BA128" s="39" t="n">
        <f aca="false">IF(BA$4=0,0,IF(COUNTIFS(実績!$W$6:$W$505,BA$3,実績!$AI$6:$AI$505,"&lt;="&amp;$A128,実績!$AJ$6:$AJ$505,"&gt;"&amp;$A128,実績!$AK$6:$AK$505,"○")&gt;0,1,0))</f>
        <v>0</v>
      </c>
      <c r="BB128" s="39" t="n">
        <f aca="false">IF(BB$4=0,0,IF(COUNTIFS(実績!$W$6:$W$505,BB$3,実績!$AI$6:$AI$505,"&lt;="&amp;$A128,実績!$AJ$6:$AJ$505,"&gt;"&amp;$A128,実績!$AK$6:$AK$505,"○")&gt;0,1,0))</f>
        <v>0</v>
      </c>
      <c r="BC128" s="39" t="n">
        <f aca="false">IF(BC$4=0,0,IF(COUNTIFS(実績!$W$6:$W$505,BC$3,実績!$AI$6:$AI$505,"&lt;="&amp;$A128,実績!$AJ$6:$AJ$505,"&gt;"&amp;$A128,実績!$AK$6:$AK$505,"○")&gt;0,1,0))</f>
        <v>0</v>
      </c>
      <c r="BD128" s="39" t="n">
        <f aca="false">IF(BD$4=0,0,IF(COUNTIFS(実績!$W$6:$W$505,BD$3,実績!$AI$6:$AI$505,"&lt;="&amp;$A128,実績!$AJ$6:$AJ$505,"&gt;"&amp;$A128,実績!$AK$6:$AK$505,"○")&gt;0,1,0))</f>
        <v>0</v>
      </c>
      <c r="BE128" s="39" t="n">
        <f aca="false">IF(BE$4=0,0,IF(COUNTIFS(実績!$W$6:$W$505,BE$3,実績!$AI$6:$AI$505,"&lt;="&amp;$A128,実績!$AJ$6:$AJ$505,"&gt;"&amp;$A128,実績!$AK$6:$AK$505,"○")&gt;0,1,0))</f>
        <v>0</v>
      </c>
      <c r="BF128" s="39" t="n">
        <f aca="false">IF(BF$4=0,0,IF(COUNTIFS(実績!$W$6:$W$505,BF$3,実績!$AI$6:$AI$505,"&lt;="&amp;$A128,実績!$AJ$6:$AJ$505,"&gt;"&amp;$A128,実績!$AK$6:$AK$505,"○")&gt;0,1,0))</f>
        <v>0</v>
      </c>
      <c r="BG128" s="39" t="n">
        <f aca="false">IF(BG$4=0,0,IF(COUNTIFS(実績!$W$6:$W$505,BG$3,実績!$AI$6:$AI$505,"&lt;="&amp;$A128,実績!$AJ$6:$AJ$505,"&gt;"&amp;$A128,実績!$AK$6:$AK$505,"○")&gt;0,1,0))</f>
        <v>0</v>
      </c>
      <c r="BH128" s="39" t="n">
        <f aca="false">IF(BH$4=0,0,IF(COUNTIFS(実績!$W$6:$W$505,BH$3,実績!$AI$6:$AI$505,"&lt;="&amp;$A128,実績!$AJ$6:$AJ$505,"&gt;"&amp;$A128,実績!$AK$6:$AK$505,"○")&gt;0,1,0))</f>
        <v>0</v>
      </c>
      <c r="BI128" s="39" t="n">
        <f aca="false">IF(BI$4=0,0,IF(COUNTIFS(実績!$W$6:$W$505,BI$3,実績!$AI$6:$AI$505,"&lt;="&amp;$A128,実績!$AJ$6:$AJ$505,"&gt;"&amp;$A128,実績!$AK$6:$AK$505,"○")&gt;0,1,0))</f>
        <v>0</v>
      </c>
      <c r="BJ128" s="39" t="n">
        <f aca="false">IF(BJ$4=0,0,IF(COUNTIFS(実績!$W$6:$W$505,BJ$3,実績!$AI$6:$AI$505,"&lt;="&amp;$A128,実績!$AJ$6:$AJ$505,"&gt;"&amp;$A128,実績!$AK$6:$AK$505,"○")&gt;0,1,0))</f>
        <v>0</v>
      </c>
      <c r="BK128" s="39" t="n">
        <f aca="false">IF(BK$4=0,0,IF(COUNTIFS(実績!$W$6:$W$505,BK$3,実績!$AI$6:$AI$505,"&lt;="&amp;$A128,実績!$AJ$6:$AJ$505,"&gt;"&amp;$A128,実績!$AK$6:$AK$505,"○")&gt;0,1,0))</f>
        <v>0</v>
      </c>
      <c r="BL128" s="39" t="n">
        <f aca="false">IF(BL$4=0,0,IF(COUNTIFS(実績!$W$6:$W$505,BL$3,実績!$AI$6:$AI$505,"&lt;="&amp;$A128,実績!$AJ$6:$AJ$505,"&gt;"&amp;$A128,実績!$AK$6:$AK$505,"○")&gt;0,1,0))</f>
        <v>0</v>
      </c>
      <c r="BM128" s="39" t="n">
        <f aca="false">IF(BM$4=0,0,IF(COUNTIFS(実績!$W$6:$W$505,BM$3,実績!$AI$6:$AI$505,"&lt;="&amp;$A128,実績!$AJ$6:$AJ$505,"&gt;"&amp;$A128,実績!$AK$6:$AK$505,"○")&gt;0,1,0))</f>
        <v>0</v>
      </c>
      <c r="BN128" s="39" t="n">
        <f aca="false">IF(BN$4=0,0,IF(COUNTIFS(実績!$W$6:$W$505,BN$3,実績!$AI$6:$AI$505,"&lt;="&amp;$A128,実績!$AJ$6:$AJ$505,"&gt;"&amp;$A128,実績!$AK$6:$AK$505,"○")&gt;0,1,0))</f>
        <v>0</v>
      </c>
      <c r="BO128" s="39" t="n">
        <f aca="false">IF(BO$4=0,0,IF(COUNTIFS(実績!$W$6:$W$505,BO$3,実績!$AI$6:$AI$505,"&lt;="&amp;$A128,実績!$AJ$6:$AJ$505,"&gt;"&amp;$A128,実績!$AK$6:$AK$505,"○")&gt;0,1,0))</f>
        <v>0</v>
      </c>
      <c r="BP128" s="39" t="n">
        <f aca="false">IF(BP$4=0,0,IF(COUNTIFS(実績!$W$6:$W$505,BP$3,実績!$AI$6:$AI$505,"&lt;="&amp;$A128,実績!$AJ$6:$AJ$505,"&gt;"&amp;$A128,実績!$AK$6:$AK$505,"○")&gt;0,1,0))</f>
        <v>0</v>
      </c>
      <c r="BQ128" s="39" t="n">
        <f aca="false">IF(BQ$4=0,0,IF(COUNTIFS(実績!$W$6:$W$505,BQ$3,実績!$AI$6:$AI$505,"&lt;="&amp;$A128,実績!$AJ$6:$AJ$505,"&gt;"&amp;$A128,実績!$AK$6:$AK$505,"○")&gt;0,1,0))</f>
        <v>0</v>
      </c>
      <c r="BR128" s="39" t="n">
        <f aca="false">IF(BR$4=0,0,IF(COUNTIFS(実績!$W$6:$W$505,BR$3,実績!$AI$6:$AI$505,"&lt;="&amp;$A128,実績!$AJ$6:$AJ$505,"&gt;"&amp;$A128,実績!$AK$6:$AK$505,"○")&gt;0,1,0))</f>
        <v>0</v>
      </c>
      <c r="BS128" s="39" t="n">
        <f aca="false">IF(BS$4=0,0,IF(COUNTIFS(実績!$W$6:$W$505,BS$3,実績!$AI$6:$AI$505,"&lt;="&amp;$A128,実績!$AJ$6:$AJ$505,"&gt;"&amp;$A128,実績!$AK$6:$AK$505,"○")&gt;0,1,0))</f>
        <v>0</v>
      </c>
      <c r="BT128" s="39" t="n">
        <f aca="false">IF(BT$4=0,0,IF(COUNTIFS(実績!$W$6:$W$505,BT$3,実績!$AI$6:$AI$505,"&lt;="&amp;$A128,実績!$AJ$6:$AJ$505,"&gt;"&amp;$A128,実績!$AK$6:$AK$505,"○")&gt;0,1,0))</f>
        <v>0</v>
      </c>
      <c r="BU128" s="39" t="n">
        <f aca="false">IF(BU$4=0,0,IF(COUNTIFS(実績!$W$6:$W$505,BU$3,実績!$AI$6:$AI$505,"&lt;="&amp;$A128,実績!$AJ$6:$AJ$505,"&gt;"&amp;$A128,実績!$AK$6:$AK$505,"○")&gt;0,1,0))</f>
        <v>0</v>
      </c>
      <c r="BV128" s="39" t="n">
        <f aca="false">IF(BV$4=0,0,IF(COUNTIFS(実績!$W$6:$W$505,BV$3,実績!$AI$6:$AI$505,"&lt;="&amp;$A128,実績!$AJ$6:$AJ$505,"&gt;"&amp;$A128,実績!$AK$6:$AK$505,"○")&gt;0,1,0))</f>
        <v>0</v>
      </c>
      <c r="BW128" s="39" t="n">
        <f aca="false">IF(BW$4=0,0,IF(COUNTIFS(実績!$W$6:$W$505,BW$3,実績!$AI$6:$AI$505,"&lt;="&amp;$A128,実績!$AJ$6:$AJ$505,"&gt;"&amp;$A128,実績!$AK$6:$AK$505,"○")&gt;0,1,0))</f>
        <v>0</v>
      </c>
      <c r="BX128" s="39" t="n">
        <f aca="false">IF(BX$4=0,0,IF(COUNTIFS(実績!$W$6:$W$505,BX$3,実績!$AI$6:$AI$505,"&lt;="&amp;$A128,実績!$AJ$6:$AJ$505,"&gt;"&amp;$A128,実績!$AK$6:$AK$505,"○")&gt;0,1,0))</f>
        <v>0</v>
      </c>
      <c r="BY128" s="39" t="n">
        <f aca="false">IF(BY$4=0,0,IF(COUNTIFS(実績!$W$6:$W$505,BY$3,実績!$AI$6:$AI$505,"&lt;="&amp;$A128,実績!$AJ$6:$AJ$505,"&gt;"&amp;$A128,実績!$AK$6:$AK$505,"○")&gt;0,1,0))</f>
        <v>0</v>
      </c>
      <c r="BZ128" s="39" t="n">
        <f aca="false">IF(BZ$4=0,0,IF(COUNTIFS(実績!$W$6:$W$505,BZ$3,実績!$AI$6:$AI$505,"&lt;="&amp;$A128,実績!$AJ$6:$AJ$505,"&gt;"&amp;$A128,実績!$AK$6:$AK$505,"○")&gt;0,1,0))</f>
        <v>0</v>
      </c>
      <c r="CA128" s="39" t="n">
        <f aca="false">IF(CA$4=0,0,IF(COUNTIFS(実績!$W$6:$W$505,CA$3,実績!$AI$6:$AI$505,"&lt;="&amp;$A128,実績!$AJ$6:$AJ$505,"&gt;"&amp;$A128,実績!$AK$6:$AK$505,"○")&gt;0,1,0))</f>
        <v>0</v>
      </c>
      <c r="CB128" s="39" t="n">
        <f aca="false">IF(CB$4=0,0,IF(COUNTIFS(実績!$W$6:$W$505,CB$3,実績!$AI$6:$AI$505,"&lt;="&amp;$A128,実績!$AJ$6:$AJ$505,"&gt;"&amp;$A128,実績!$AK$6:$AK$505,"○")&gt;0,1,0))</f>
        <v>0</v>
      </c>
      <c r="CC128" s="39" t="n">
        <f aca="false">IF(CC$4=0,0,IF(COUNTIFS(実績!$W$6:$W$505,CC$3,実績!$AI$6:$AI$505,"&lt;="&amp;$A128,実績!$AJ$6:$AJ$505,"&gt;"&amp;$A128,実績!$AK$6:$AK$505,"○")&gt;0,1,0))</f>
        <v>0</v>
      </c>
      <c r="CD128" s="39" t="n">
        <f aca="false">IF(CD$4=0,0,IF(COUNTIFS(実績!$W$6:$W$505,CD$3,実績!$AI$6:$AI$505,"&lt;="&amp;$A128,実績!$AJ$6:$AJ$505,"&gt;"&amp;$A128,実績!$AK$6:$AK$505,"○")&gt;0,1,0))</f>
        <v>0</v>
      </c>
      <c r="CE128" s="39" t="n">
        <f aca="false">IF(CE$4=0,0,IF(COUNTIFS(実績!$W$6:$W$505,CE$3,実績!$AI$6:$AI$505,"&lt;="&amp;$A128,実績!$AJ$6:$AJ$505,"&gt;"&amp;$A128,実績!$AK$6:$AK$505,"○")&gt;0,1,0))</f>
        <v>0</v>
      </c>
      <c r="CF128" s="39" t="n">
        <f aca="false">IF(CF$4=0,0,IF(COUNTIFS(実績!$W$6:$W$505,CF$3,実績!$AI$6:$AI$505,"&lt;="&amp;$A128,実績!$AJ$6:$AJ$505,"&gt;"&amp;$A128,実績!$AK$6:$AK$505,"○")&gt;0,1,0))</f>
        <v>0</v>
      </c>
      <c r="CG128" s="39" t="n">
        <f aca="false">IF(CG$4=0,0,IF(COUNTIFS(実績!$W$6:$W$505,CG$3,実績!$AI$6:$AI$505,"&lt;="&amp;$A128,実績!$AJ$6:$AJ$505,"&gt;"&amp;$A128,実績!$AK$6:$AK$505,"○")&gt;0,1,0))</f>
        <v>0</v>
      </c>
      <c r="CH128" s="39" t="n">
        <f aca="false">IF(CH$4=0,0,IF(COUNTIFS(実績!$W$6:$W$505,CH$3,実績!$AI$6:$AI$505,"&lt;="&amp;$A128,実績!$AJ$6:$AJ$505,"&gt;"&amp;$A128,実績!$AK$6:$AK$505,"○")&gt;0,1,0))</f>
        <v>0</v>
      </c>
      <c r="CI128" s="39" t="n">
        <f aca="false">IF(CI$4=0,0,IF(COUNTIFS(実績!$W$6:$W$505,CI$3,実績!$AI$6:$AI$505,"&lt;="&amp;$A128,実績!$AJ$6:$AJ$505,"&gt;"&amp;$A128,実績!$AK$6:$AK$505,"○")&gt;0,1,0))</f>
        <v>0</v>
      </c>
      <c r="CJ128" s="39" t="n">
        <f aca="false">IF(CJ$4=0,0,IF(COUNTIFS(実績!$W$6:$W$505,CJ$3,実績!$AI$6:$AI$505,"&lt;="&amp;$A128,実績!$AJ$6:$AJ$505,"&gt;"&amp;$A128,実績!$AK$6:$AK$505,"○")&gt;0,1,0))</f>
        <v>0</v>
      </c>
      <c r="CK128" s="39" t="n">
        <f aca="false">IF(CK$4=0,0,IF(COUNTIFS(実績!$W$6:$W$505,CK$3,実績!$AI$6:$AI$505,"&lt;="&amp;$A128,実績!$AJ$6:$AJ$505,"&gt;"&amp;$A128,実績!$AK$6:$AK$505,"○")&gt;0,1,0))</f>
        <v>0</v>
      </c>
      <c r="CL128" s="39" t="n">
        <f aca="false">IF(CL$4=0,0,IF(COUNTIFS(実績!$W$6:$W$505,CL$3,実績!$AI$6:$AI$505,"&lt;="&amp;$A128,実績!$AJ$6:$AJ$505,"&gt;"&amp;$A128,実績!$AK$6:$AK$505,"○")&gt;0,1,0))</f>
        <v>0</v>
      </c>
      <c r="CM128" s="39" t="n">
        <f aca="false">IF(CM$4=0,0,IF(COUNTIFS(実績!$W$6:$W$505,CM$3,実績!$AI$6:$AI$505,"&lt;="&amp;$A128,実績!$AJ$6:$AJ$505,"&gt;"&amp;$A128,実績!$AK$6:$AK$505,"○")&gt;0,1,0))</f>
        <v>0</v>
      </c>
      <c r="CN128" s="39" t="n">
        <f aca="false">IF(CN$4=0,0,IF(COUNTIFS(実績!$W$6:$W$505,CN$3,実績!$AI$6:$AI$505,"&lt;="&amp;$A128,実績!$AJ$6:$AJ$505,"&gt;"&amp;$A128,実績!$AK$6:$AK$505,"○")&gt;0,1,0))</f>
        <v>0</v>
      </c>
      <c r="CO128" s="39" t="n">
        <f aca="false">IF(CO$4=0,0,IF(COUNTIFS(実績!$W$6:$W$505,CO$3,実績!$AI$6:$AI$505,"&lt;="&amp;$A128,実績!$AJ$6:$AJ$505,"&gt;"&amp;$A128,実績!$AK$6:$AK$505,"○")&gt;0,1,0))</f>
        <v>0</v>
      </c>
      <c r="CP128" s="39" t="n">
        <f aca="false">IF(CP$4=0,0,IF(COUNTIFS(実績!$W$6:$W$505,CP$3,実績!$AI$6:$AI$505,"&lt;="&amp;$A128,実績!$AJ$6:$AJ$505,"&gt;"&amp;$A128,実績!$AK$6:$AK$505,"○")&gt;0,1,0))</f>
        <v>0</v>
      </c>
      <c r="CQ128" s="39" t="n">
        <f aca="false">IF(CQ$4=0,0,IF(COUNTIFS(実績!$W$6:$W$505,CQ$3,実績!$AI$6:$AI$505,"&lt;="&amp;$A128,実績!$AJ$6:$AJ$505,"&gt;"&amp;$A128,実績!$AK$6:$AK$505,"○")&gt;0,1,0))</f>
        <v>0</v>
      </c>
      <c r="CR128" s="39" t="n">
        <f aca="false">IF(CR$4=0,0,IF(COUNTIFS(実績!$W$6:$W$505,CR$3,実績!$AI$6:$AI$505,"&lt;="&amp;$A128,実績!$AJ$6:$AJ$505,"&gt;"&amp;$A128,実績!$AK$6:$AK$505,"○")&gt;0,1,0))</f>
        <v>0</v>
      </c>
      <c r="CS128" s="39" t="n">
        <f aca="false">IF(CS$4=0,0,IF(COUNTIFS(実績!$W$6:$W$505,CS$3,実績!$AI$6:$AI$505,"&lt;="&amp;$A128,実績!$AJ$6:$AJ$505,"&gt;"&amp;$A128,実績!$AK$6:$AK$505,"○")&gt;0,1,0))</f>
        <v>0</v>
      </c>
      <c r="CT128" s="39" t="n">
        <f aca="false">IF(CT$4=0,0,IF(COUNTIFS(実績!$W$6:$W$505,CT$3,実績!$AI$6:$AI$505,"&lt;="&amp;$A128,実績!$AJ$6:$AJ$505,"&gt;"&amp;$A128,実績!$AK$6:$AK$505,"○")&gt;0,1,0))</f>
        <v>0</v>
      </c>
      <c r="CU128" s="39" t="n">
        <f aca="false">IF(CU$4=0,0,IF(COUNTIFS(実績!$W$6:$W$505,CU$3,実績!$AI$6:$AI$505,"&lt;="&amp;$A128,実績!$AJ$6:$AJ$505,"&gt;"&amp;$A128,実績!$AK$6:$AK$505,"○")&gt;0,1,0))</f>
        <v>0</v>
      </c>
      <c r="CV128" s="39" t="n">
        <f aca="false">IF(CV$4=0,0,IF(COUNTIFS(実績!$W$6:$W$505,CV$3,実績!$AI$6:$AI$505,"&lt;="&amp;$A128,実績!$AJ$6:$AJ$505,"&gt;"&amp;$A128,実績!$AK$6:$AK$505,"○")&gt;0,1,0))</f>
        <v>0</v>
      </c>
      <c r="CW128" s="39" t="n">
        <f aca="false">IF(CW$4=0,0,IF(COUNTIFS(実績!$W$6:$W$505,CW$3,実績!$AI$6:$AI$505,"&lt;="&amp;$A128,実績!$AJ$6:$AJ$505,"&gt;"&amp;$A128,実績!$AK$6:$AK$505,"○")&gt;0,1,0))</f>
        <v>0</v>
      </c>
      <c r="CX128" s="39" t="n">
        <f aca="false">IF(CX$4=0,0,IF(COUNTIFS(実績!$W$6:$W$505,CX$3,実績!$AI$6:$AI$505,"&lt;="&amp;$A128,実績!$AJ$6:$AJ$505,"&gt;"&amp;$A128,実績!$AK$6:$AK$505,"○")&gt;0,1,0))</f>
        <v>0</v>
      </c>
      <c r="CY128" s="39" t="n">
        <f aca="false">IF(CY$4=0,0,IF(COUNTIFS(実績!$W$6:$W$505,CY$3,実績!$AI$6:$AI$505,"&lt;="&amp;$A128,実績!$AJ$6:$AJ$505,"&gt;"&amp;$A128,実績!$AK$6:$AK$505,"○")&gt;0,1,0))</f>
        <v>0</v>
      </c>
      <c r="CZ128" s="39" t="n">
        <f aca="false">IF(CZ$4=0,0,IF(COUNTIFS(実績!$W$6:$W$505,CZ$3,実績!$AI$6:$AI$505,"&lt;="&amp;$A128,実績!$AJ$6:$AJ$505,"&gt;"&amp;$A128,実績!$AK$6:$AK$505,"○")&gt;0,1,0))</f>
        <v>0</v>
      </c>
      <c r="DA128" s="39" t="n">
        <f aca="false">IF(DA$4=0,0,IF(COUNTIFS(実績!$W$6:$W$505,DA$3,実績!$AI$6:$AI$505,"&lt;="&amp;$A128,実績!$AJ$6:$AJ$505,"&gt;"&amp;$A128,実績!$AK$6:$AK$505,"○")&gt;0,1,0))</f>
        <v>0</v>
      </c>
      <c r="DB128" s="39" t="n">
        <f aca="false">IF(DB$4=0,0,IF(COUNTIFS(実績!$W$6:$W$505,DB$3,実績!$AI$6:$AI$505,"&lt;="&amp;$A128,実績!$AJ$6:$AJ$505,"&gt;"&amp;$A128,実績!$AK$6:$AK$505,"○")&gt;0,1,0))</f>
        <v>0</v>
      </c>
      <c r="DC128" s="39" t="n">
        <f aca="false">IF(DC$4=0,0,IF(COUNTIFS(実績!$W$6:$W$505,DC$3,実績!$AI$6:$AI$505,"&lt;="&amp;$A128,実績!$AJ$6:$AJ$505,"&gt;"&amp;$A128,実績!$AK$6:$AK$505,"○")&gt;0,1,0))</f>
        <v>0</v>
      </c>
      <c r="DD128" s="39" t="n">
        <f aca="false">IF(DD$4=0,0,IF(COUNTIFS(実績!$W$6:$W$505,DD$3,実績!$AI$6:$AI$505,"&lt;="&amp;$A128,実績!$AJ$6:$AJ$505,"&gt;"&amp;$A128,実績!$AK$6:$AK$505,"○")&gt;0,1,0))</f>
        <v>0</v>
      </c>
      <c r="DE128" s="39" t="n">
        <f aca="false">IF(DE$4=0,0,IF(COUNTIFS(実績!$W$6:$W$505,DE$3,実績!$AI$6:$AI$505,"&lt;="&amp;$A128,実績!$AJ$6:$AJ$505,"&gt;"&amp;$A128,実績!$AK$6:$AK$505,"○")&gt;0,1,0))</f>
        <v>0</v>
      </c>
      <c r="DF128" s="39" t="n">
        <f aca="false">IF(DF$4=0,0,IF(COUNTIFS(実績!$W$6:$W$505,DF$3,実績!$AI$6:$AI$505,"&lt;="&amp;$A128,実績!$AJ$6:$AJ$505,"&gt;"&amp;$A128,実績!$AK$6:$AK$505,"○")&gt;0,1,0))</f>
        <v>0</v>
      </c>
      <c r="DG128" s="39" t="n">
        <f aca="false">IF(DG$4=0,0,IF(COUNTIFS(実績!$W$6:$W$505,DG$3,実績!$AI$6:$AI$505,"&lt;="&amp;$A128,実績!$AJ$6:$AJ$505,"&gt;"&amp;$A128,実績!$AK$6:$AK$505,"○")&gt;0,1,0))</f>
        <v>0</v>
      </c>
      <c r="DH128" s="39" t="n">
        <f aca="false">IF(DH$4=0,0,IF(COUNTIFS(実績!$W$6:$W$505,DH$3,実績!$AI$6:$AI$505,"&lt;="&amp;$A128,実績!$AJ$6:$AJ$505,"&gt;"&amp;$A128,実績!$AK$6:$AK$505,"○")&gt;0,1,0))</f>
        <v>0</v>
      </c>
      <c r="DI128" s="39" t="n">
        <f aca="false">IF(DI$4=0,0,IF(COUNTIFS(実績!$W$6:$W$505,DI$3,実績!$AI$6:$AI$505,"&lt;="&amp;$A128,実績!$AJ$6:$AJ$505,"&gt;"&amp;$A128,実績!$AK$6:$AK$505,"○")&gt;0,1,0))</f>
        <v>0</v>
      </c>
      <c r="DJ128" s="39" t="n">
        <f aca="false">IF(DJ$4=0,0,IF(COUNTIFS(実績!$W$6:$W$505,DJ$3,実績!$AI$6:$AI$505,"&lt;="&amp;$A128,実績!$AJ$6:$AJ$505,"&gt;"&amp;$A128,実績!$AK$6:$AK$505,"○")&gt;0,1,0))</f>
        <v>0</v>
      </c>
      <c r="DK128" s="39" t="n">
        <f aca="false">IF(DK$4=0,0,IF(COUNTIFS(実績!$W$6:$W$505,DK$3,実績!$AI$6:$AI$505,"&lt;="&amp;$A128,実績!$AJ$6:$AJ$505,"&gt;"&amp;$A128,実績!$AK$6:$AK$505,"○")&gt;0,1,0))</f>
        <v>0</v>
      </c>
      <c r="DL128" s="39" t="n">
        <f aca="false">IF(DL$4=0,0,IF(COUNTIFS(実績!$W$6:$W$505,DL$3,実績!$AI$6:$AI$505,"&lt;="&amp;$A128,実績!$AJ$6:$AJ$505,"&gt;"&amp;$A128,実績!$AK$6:$AK$505,"○")&gt;0,1,0))</f>
        <v>0</v>
      </c>
      <c r="DM128" s="39" t="n">
        <f aca="false">IF(DM$4=0,0,IF(COUNTIFS(実績!$W$6:$W$505,DM$3,実績!$AI$6:$AI$505,"&lt;="&amp;$A128,実績!$AJ$6:$AJ$505,"&gt;"&amp;$A128,実績!$AK$6:$AK$505,"○")&gt;0,1,0))</f>
        <v>0</v>
      </c>
      <c r="DN128" s="39" t="n">
        <f aca="false">IF(DN$4=0,0,IF(COUNTIFS(実績!$W$6:$W$505,DN$3,実績!$AI$6:$AI$505,"&lt;="&amp;$A128,実績!$AJ$6:$AJ$505,"&gt;"&amp;$A128,実績!$AK$6:$AK$505,"○")&gt;0,1,0))</f>
        <v>0</v>
      </c>
      <c r="DO128" s="39" t="n">
        <f aca="false">IF(DO$4=0,0,IF(COUNTIFS(実績!$W$6:$W$505,DO$3,実績!$AI$6:$AI$505,"&lt;="&amp;$A128,実績!$AJ$6:$AJ$505,"&gt;"&amp;$A128,実績!$AK$6:$AK$505,"○")&gt;0,1,0))</f>
        <v>0</v>
      </c>
      <c r="DP128" s="39" t="n">
        <f aca="false">IF(DP$4=0,0,IF(COUNTIFS(実績!$W$6:$W$505,DP$3,実績!$AI$6:$AI$505,"&lt;="&amp;$A128,実績!$AJ$6:$AJ$505,"&gt;"&amp;$A128,実績!$AK$6:$AK$505,"○")&gt;0,1,0))</f>
        <v>0</v>
      </c>
      <c r="DQ128" s="39" t="n">
        <f aca="false">IF(DQ$4=0,0,IF(COUNTIFS(実績!$W$6:$W$505,DQ$3,実績!$AI$6:$AI$505,"&lt;="&amp;$A128,実績!$AJ$6:$AJ$505,"&gt;"&amp;$A128,実績!$AK$6:$AK$505,"○")&gt;0,1,0))</f>
        <v>0</v>
      </c>
      <c r="DR128" s="39" t="n">
        <f aca="false">IF(DR$4=0,0,IF(COUNTIFS(実績!$W$6:$W$505,DR$3,実績!$AI$6:$AI$505,"&lt;="&amp;$A128,実績!$AJ$6:$AJ$505,"&gt;"&amp;$A128,実績!$AK$6:$AK$505,"○")&gt;0,1,0))</f>
        <v>0</v>
      </c>
      <c r="DS128" s="39" t="n">
        <f aca="false">SUM(C128:DR128)</f>
        <v>0</v>
      </c>
      <c r="DT128" s="39" t="n">
        <f aca="false">SUMPRODUCT((実績!$C$6:$C$505="○")*ISNUMBER(実績!$AM$6:$AM$505)*(実績!$AM$6:$AM$505&lt;=$A128)*(実績!$AN$6:$AN$505&gt;$A128))</f>
        <v>0</v>
      </c>
      <c r="DU128" s="39" t="n">
        <f aca="false">SUMIF($C$2:$DR$2,"製鉄曳船",C128:DR128)</f>
        <v>0</v>
      </c>
      <c r="DV128" s="39" t="n">
        <f aca="false">SUMIF($C$2:$DR$2,"西日本海運",C128:DR128)</f>
        <v>0</v>
      </c>
    </row>
    <row r="129" customFormat="false" ht="15" hidden="false" customHeight="false" outlineLevel="0" collapsed="false">
      <c r="A129" s="0" t="n">
        <v>615</v>
      </c>
      <c r="B129" s="38" t="n">
        <f aca="false">A129/1440</f>
        <v>0.427083333333333</v>
      </c>
      <c r="C129" s="39" t="n">
        <f aca="false">IF(C$4=0,0,IF(COUNTIFS(実績!$W$6:$W$505,C$3,実績!$AI$6:$AI$505,"&lt;="&amp;$A129,実績!$AJ$6:$AJ$505,"&gt;"&amp;$A129,実績!$AK$6:$AK$505,"○")&gt;0,1,0))</f>
        <v>0</v>
      </c>
      <c r="D129" s="39" t="n">
        <f aca="false">IF(D$4=0,0,IF(COUNTIFS(実績!$W$6:$W$505,D$3,実績!$AI$6:$AI$505,"&lt;="&amp;$A129,実績!$AJ$6:$AJ$505,"&gt;"&amp;$A129,実績!$AK$6:$AK$505,"○")&gt;0,1,0))</f>
        <v>0</v>
      </c>
      <c r="E129" s="39" t="n">
        <f aca="false">IF(E$4=0,0,IF(COUNTIFS(実績!$W$6:$W$505,E$3,実績!$AI$6:$AI$505,"&lt;="&amp;$A129,実績!$AJ$6:$AJ$505,"&gt;"&amp;$A129,実績!$AK$6:$AK$505,"○")&gt;0,1,0))</f>
        <v>0</v>
      </c>
      <c r="F129" s="39" t="n">
        <f aca="false">IF(F$4=0,0,IF(COUNTIFS(実績!$W$6:$W$505,F$3,実績!$AI$6:$AI$505,"&lt;="&amp;$A129,実績!$AJ$6:$AJ$505,"&gt;"&amp;$A129,実績!$AK$6:$AK$505,"○")&gt;0,1,0))</f>
        <v>0</v>
      </c>
      <c r="G129" s="39" t="n">
        <f aca="false">IF(G$4=0,0,IF(COUNTIFS(実績!$W$6:$W$505,G$3,実績!$AI$6:$AI$505,"&lt;="&amp;$A129,実績!$AJ$6:$AJ$505,"&gt;"&amp;$A129,実績!$AK$6:$AK$505,"○")&gt;0,1,0))</f>
        <v>0</v>
      </c>
      <c r="H129" s="39" t="n">
        <f aca="false">IF(H$4=0,0,IF(COUNTIFS(実績!$W$6:$W$505,H$3,実績!$AI$6:$AI$505,"&lt;="&amp;$A129,実績!$AJ$6:$AJ$505,"&gt;"&amp;$A129,実績!$AK$6:$AK$505,"○")&gt;0,1,0))</f>
        <v>0</v>
      </c>
      <c r="I129" s="39" t="n">
        <f aca="false">IF(I$4=0,0,IF(COUNTIFS(実績!$W$6:$W$505,I$3,実績!$AI$6:$AI$505,"&lt;="&amp;$A129,実績!$AJ$6:$AJ$505,"&gt;"&amp;$A129,実績!$AK$6:$AK$505,"○")&gt;0,1,0))</f>
        <v>0</v>
      </c>
      <c r="J129" s="39" t="n">
        <f aca="false">IF(J$4=0,0,IF(COUNTIFS(実績!$W$6:$W$505,J$3,実績!$AI$6:$AI$505,"&lt;="&amp;$A129,実績!$AJ$6:$AJ$505,"&gt;"&amp;$A129,実績!$AK$6:$AK$505,"○")&gt;0,1,0))</f>
        <v>0</v>
      </c>
      <c r="K129" s="39" t="n">
        <f aca="false">IF(K$4=0,0,IF(COUNTIFS(実績!$W$6:$W$505,K$3,実績!$AI$6:$AI$505,"&lt;="&amp;$A129,実績!$AJ$6:$AJ$505,"&gt;"&amp;$A129,実績!$AK$6:$AK$505,"○")&gt;0,1,0))</f>
        <v>0</v>
      </c>
      <c r="L129" s="39" t="n">
        <f aca="false">IF(L$4=0,0,IF(COUNTIFS(実績!$W$6:$W$505,L$3,実績!$AI$6:$AI$505,"&lt;="&amp;$A129,実績!$AJ$6:$AJ$505,"&gt;"&amp;$A129,実績!$AK$6:$AK$505,"○")&gt;0,1,0))</f>
        <v>0</v>
      </c>
      <c r="M129" s="39" t="n">
        <f aca="false">IF(M$4=0,0,IF(COUNTIFS(実績!$W$6:$W$505,M$3,実績!$AI$6:$AI$505,"&lt;="&amp;$A129,実績!$AJ$6:$AJ$505,"&gt;"&amp;$A129,実績!$AK$6:$AK$505,"○")&gt;0,1,0))</f>
        <v>0</v>
      </c>
      <c r="N129" s="39" t="n">
        <f aca="false">IF(N$4=0,0,IF(COUNTIFS(実績!$W$6:$W$505,N$3,実績!$AI$6:$AI$505,"&lt;="&amp;$A129,実績!$AJ$6:$AJ$505,"&gt;"&amp;$A129,実績!$AK$6:$AK$505,"○")&gt;0,1,0))</f>
        <v>0</v>
      </c>
      <c r="O129" s="39" t="n">
        <f aca="false">IF(O$4=0,0,IF(COUNTIFS(実績!$W$6:$W$505,O$3,実績!$AI$6:$AI$505,"&lt;="&amp;$A129,実績!$AJ$6:$AJ$505,"&gt;"&amp;$A129,実績!$AK$6:$AK$505,"○")&gt;0,1,0))</f>
        <v>0</v>
      </c>
      <c r="P129" s="39" t="n">
        <f aca="false">IF(P$4=0,0,IF(COUNTIFS(実績!$W$6:$W$505,P$3,実績!$AI$6:$AI$505,"&lt;="&amp;$A129,実績!$AJ$6:$AJ$505,"&gt;"&amp;$A129,実績!$AK$6:$AK$505,"○")&gt;0,1,0))</f>
        <v>0</v>
      </c>
      <c r="Q129" s="39" t="n">
        <f aca="false">IF(Q$4=0,0,IF(COUNTIFS(実績!$W$6:$W$505,Q$3,実績!$AI$6:$AI$505,"&lt;="&amp;$A129,実績!$AJ$6:$AJ$505,"&gt;"&amp;$A129,実績!$AK$6:$AK$505,"○")&gt;0,1,0))</f>
        <v>0</v>
      </c>
      <c r="R129" s="39" t="n">
        <f aca="false">IF(R$4=0,0,IF(COUNTIFS(実績!$W$6:$W$505,R$3,実績!$AI$6:$AI$505,"&lt;="&amp;$A129,実績!$AJ$6:$AJ$505,"&gt;"&amp;$A129,実績!$AK$6:$AK$505,"○")&gt;0,1,0))</f>
        <v>0</v>
      </c>
      <c r="S129" s="39" t="n">
        <f aca="false">IF(S$4=0,0,IF(COUNTIFS(実績!$W$6:$W$505,S$3,実績!$AI$6:$AI$505,"&lt;="&amp;$A129,実績!$AJ$6:$AJ$505,"&gt;"&amp;$A129,実績!$AK$6:$AK$505,"○")&gt;0,1,0))</f>
        <v>0</v>
      </c>
      <c r="T129" s="39" t="n">
        <f aca="false">IF(T$4=0,0,IF(COUNTIFS(実績!$W$6:$W$505,T$3,実績!$AI$6:$AI$505,"&lt;="&amp;$A129,実績!$AJ$6:$AJ$505,"&gt;"&amp;$A129,実績!$AK$6:$AK$505,"○")&gt;0,1,0))</f>
        <v>0</v>
      </c>
      <c r="U129" s="39" t="n">
        <f aca="false">IF(U$4=0,0,IF(COUNTIFS(実績!$W$6:$W$505,U$3,実績!$AI$6:$AI$505,"&lt;="&amp;$A129,実績!$AJ$6:$AJ$505,"&gt;"&amp;$A129,実績!$AK$6:$AK$505,"○")&gt;0,1,0))</f>
        <v>0</v>
      </c>
      <c r="V129" s="39" t="n">
        <f aca="false">IF(V$4=0,0,IF(COUNTIFS(実績!$W$6:$W$505,V$3,実績!$AI$6:$AI$505,"&lt;="&amp;$A129,実績!$AJ$6:$AJ$505,"&gt;"&amp;$A129,実績!$AK$6:$AK$505,"○")&gt;0,1,0))</f>
        <v>0</v>
      </c>
      <c r="W129" s="39" t="n">
        <f aca="false">IF(W$4=0,0,IF(COUNTIFS(実績!$W$6:$W$505,W$3,実績!$AI$6:$AI$505,"&lt;="&amp;$A129,実績!$AJ$6:$AJ$505,"&gt;"&amp;$A129,実績!$AK$6:$AK$505,"○")&gt;0,1,0))</f>
        <v>0</v>
      </c>
      <c r="X129" s="39" t="n">
        <f aca="false">IF(X$4=0,0,IF(COUNTIFS(実績!$W$6:$W$505,X$3,実績!$AI$6:$AI$505,"&lt;="&amp;$A129,実績!$AJ$6:$AJ$505,"&gt;"&amp;$A129,実績!$AK$6:$AK$505,"○")&gt;0,1,0))</f>
        <v>0</v>
      </c>
      <c r="Y129" s="39" t="n">
        <f aca="false">IF(Y$4=0,0,IF(COUNTIFS(実績!$W$6:$W$505,Y$3,実績!$AI$6:$AI$505,"&lt;="&amp;$A129,実績!$AJ$6:$AJ$505,"&gt;"&amp;$A129,実績!$AK$6:$AK$505,"○")&gt;0,1,0))</f>
        <v>0</v>
      </c>
      <c r="Z129" s="39" t="n">
        <f aca="false">IF(Z$4=0,0,IF(COUNTIFS(実績!$W$6:$W$505,Z$3,実績!$AI$6:$AI$505,"&lt;="&amp;$A129,実績!$AJ$6:$AJ$505,"&gt;"&amp;$A129,実績!$AK$6:$AK$505,"○")&gt;0,1,0))</f>
        <v>0</v>
      </c>
      <c r="AA129" s="39" t="n">
        <f aca="false">IF(AA$4=0,0,IF(COUNTIFS(実績!$W$6:$W$505,AA$3,実績!$AI$6:$AI$505,"&lt;="&amp;$A129,実績!$AJ$6:$AJ$505,"&gt;"&amp;$A129,実績!$AK$6:$AK$505,"○")&gt;0,1,0))</f>
        <v>0</v>
      </c>
      <c r="AB129" s="39" t="n">
        <f aca="false">IF(AB$4=0,0,IF(COUNTIFS(実績!$W$6:$W$505,AB$3,実績!$AI$6:$AI$505,"&lt;="&amp;$A129,実績!$AJ$6:$AJ$505,"&gt;"&amp;$A129,実績!$AK$6:$AK$505,"○")&gt;0,1,0))</f>
        <v>0</v>
      </c>
      <c r="AC129" s="39" t="n">
        <f aca="false">IF(AC$4=0,0,IF(COUNTIFS(実績!$W$6:$W$505,AC$3,実績!$AI$6:$AI$505,"&lt;="&amp;$A129,実績!$AJ$6:$AJ$505,"&gt;"&amp;$A129,実績!$AK$6:$AK$505,"○")&gt;0,1,0))</f>
        <v>0</v>
      </c>
      <c r="AD129" s="39" t="n">
        <f aca="false">IF(AD$4=0,0,IF(COUNTIFS(実績!$W$6:$W$505,AD$3,実績!$AI$6:$AI$505,"&lt;="&amp;$A129,実績!$AJ$6:$AJ$505,"&gt;"&amp;$A129,実績!$AK$6:$AK$505,"○")&gt;0,1,0))</f>
        <v>0</v>
      </c>
      <c r="AE129" s="39" t="n">
        <f aca="false">IF(AE$4=0,0,IF(COUNTIFS(実績!$W$6:$W$505,AE$3,実績!$AI$6:$AI$505,"&lt;="&amp;$A129,実績!$AJ$6:$AJ$505,"&gt;"&amp;$A129,実績!$AK$6:$AK$505,"○")&gt;0,1,0))</f>
        <v>0</v>
      </c>
      <c r="AF129" s="39" t="n">
        <f aca="false">IF(AF$4=0,0,IF(COUNTIFS(実績!$W$6:$W$505,AF$3,実績!$AI$6:$AI$505,"&lt;="&amp;$A129,実績!$AJ$6:$AJ$505,"&gt;"&amp;$A129,実績!$AK$6:$AK$505,"○")&gt;0,1,0))</f>
        <v>0</v>
      </c>
      <c r="AG129" s="39" t="n">
        <f aca="false">IF(AG$4=0,0,IF(COUNTIFS(実績!$W$6:$W$505,AG$3,実績!$AI$6:$AI$505,"&lt;="&amp;$A129,実績!$AJ$6:$AJ$505,"&gt;"&amp;$A129,実績!$AK$6:$AK$505,"○")&gt;0,1,0))</f>
        <v>0</v>
      </c>
      <c r="AH129" s="39" t="n">
        <f aca="false">IF(AH$4=0,0,IF(COUNTIFS(実績!$W$6:$W$505,AH$3,実績!$AI$6:$AI$505,"&lt;="&amp;$A129,実績!$AJ$6:$AJ$505,"&gt;"&amp;$A129,実績!$AK$6:$AK$505,"○")&gt;0,1,0))</f>
        <v>0</v>
      </c>
      <c r="AI129" s="39" t="n">
        <f aca="false">IF(AI$4=0,0,IF(COUNTIFS(実績!$W$6:$W$505,AI$3,実績!$AI$6:$AI$505,"&lt;="&amp;$A129,実績!$AJ$6:$AJ$505,"&gt;"&amp;$A129,実績!$AK$6:$AK$505,"○")&gt;0,1,0))</f>
        <v>0</v>
      </c>
      <c r="AJ129" s="39" t="n">
        <f aca="false">IF(AJ$4=0,0,IF(COUNTIFS(実績!$W$6:$W$505,AJ$3,実績!$AI$6:$AI$505,"&lt;="&amp;$A129,実績!$AJ$6:$AJ$505,"&gt;"&amp;$A129,実績!$AK$6:$AK$505,"○")&gt;0,1,0))</f>
        <v>0</v>
      </c>
      <c r="AK129" s="39" t="n">
        <f aca="false">IF(AK$4=0,0,IF(COUNTIFS(実績!$W$6:$W$505,AK$3,実績!$AI$6:$AI$505,"&lt;="&amp;$A129,実績!$AJ$6:$AJ$505,"&gt;"&amp;$A129,実績!$AK$6:$AK$505,"○")&gt;0,1,0))</f>
        <v>0</v>
      </c>
      <c r="AL129" s="39" t="n">
        <f aca="false">IF(AL$4=0,0,IF(COUNTIFS(実績!$W$6:$W$505,AL$3,実績!$AI$6:$AI$505,"&lt;="&amp;$A129,実績!$AJ$6:$AJ$505,"&gt;"&amp;$A129,実績!$AK$6:$AK$505,"○")&gt;0,1,0))</f>
        <v>0</v>
      </c>
      <c r="AM129" s="39" t="n">
        <f aca="false">IF(AM$4=0,0,IF(COUNTIFS(実績!$W$6:$W$505,AM$3,実績!$AI$6:$AI$505,"&lt;="&amp;$A129,実績!$AJ$6:$AJ$505,"&gt;"&amp;$A129,実績!$AK$6:$AK$505,"○")&gt;0,1,0))</f>
        <v>0</v>
      </c>
      <c r="AN129" s="39" t="n">
        <f aca="false">IF(AN$4=0,0,IF(COUNTIFS(実績!$W$6:$W$505,AN$3,実績!$AI$6:$AI$505,"&lt;="&amp;$A129,実績!$AJ$6:$AJ$505,"&gt;"&amp;$A129,実績!$AK$6:$AK$505,"○")&gt;0,1,0))</f>
        <v>0</v>
      </c>
      <c r="AO129" s="39" t="n">
        <f aca="false">IF(AO$4=0,0,IF(COUNTIFS(実績!$W$6:$W$505,AO$3,実績!$AI$6:$AI$505,"&lt;="&amp;$A129,実績!$AJ$6:$AJ$505,"&gt;"&amp;$A129,実績!$AK$6:$AK$505,"○")&gt;0,1,0))</f>
        <v>0</v>
      </c>
      <c r="AP129" s="39" t="n">
        <f aca="false">IF(AP$4=0,0,IF(COUNTIFS(実績!$W$6:$W$505,AP$3,実績!$AI$6:$AI$505,"&lt;="&amp;$A129,実績!$AJ$6:$AJ$505,"&gt;"&amp;$A129,実績!$AK$6:$AK$505,"○")&gt;0,1,0))</f>
        <v>0</v>
      </c>
      <c r="AQ129" s="39" t="n">
        <f aca="false">IF(AQ$4=0,0,IF(COUNTIFS(実績!$W$6:$W$505,AQ$3,実績!$AI$6:$AI$505,"&lt;="&amp;$A129,実績!$AJ$6:$AJ$505,"&gt;"&amp;$A129,実績!$AK$6:$AK$505,"○")&gt;0,1,0))</f>
        <v>0</v>
      </c>
      <c r="AR129" s="39" t="n">
        <f aca="false">IF(AR$4=0,0,IF(COUNTIFS(実績!$W$6:$W$505,AR$3,実績!$AI$6:$AI$505,"&lt;="&amp;$A129,実績!$AJ$6:$AJ$505,"&gt;"&amp;$A129,実績!$AK$6:$AK$505,"○")&gt;0,1,0))</f>
        <v>0</v>
      </c>
      <c r="AS129" s="39" t="n">
        <f aca="false">IF(AS$4=0,0,IF(COUNTIFS(実績!$W$6:$W$505,AS$3,実績!$AI$6:$AI$505,"&lt;="&amp;$A129,実績!$AJ$6:$AJ$505,"&gt;"&amp;$A129,実績!$AK$6:$AK$505,"○")&gt;0,1,0))</f>
        <v>0</v>
      </c>
      <c r="AT129" s="39" t="n">
        <f aca="false">IF(AT$4=0,0,IF(COUNTIFS(実績!$W$6:$W$505,AT$3,実績!$AI$6:$AI$505,"&lt;="&amp;$A129,実績!$AJ$6:$AJ$505,"&gt;"&amp;$A129,実績!$AK$6:$AK$505,"○")&gt;0,1,0))</f>
        <v>0</v>
      </c>
      <c r="AU129" s="39" t="n">
        <f aca="false">IF(AU$4=0,0,IF(COUNTIFS(実績!$W$6:$W$505,AU$3,実績!$AI$6:$AI$505,"&lt;="&amp;$A129,実績!$AJ$6:$AJ$505,"&gt;"&amp;$A129,実績!$AK$6:$AK$505,"○")&gt;0,1,0))</f>
        <v>0</v>
      </c>
      <c r="AV129" s="39" t="n">
        <f aca="false">IF(AV$4=0,0,IF(COUNTIFS(実績!$W$6:$W$505,AV$3,実績!$AI$6:$AI$505,"&lt;="&amp;$A129,実績!$AJ$6:$AJ$505,"&gt;"&amp;$A129,実績!$AK$6:$AK$505,"○")&gt;0,1,0))</f>
        <v>0</v>
      </c>
      <c r="AW129" s="39" t="n">
        <f aca="false">IF(AW$4=0,0,IF(COUNTIFS(実績!$W$6:$W$505,AW$3,実績!$AI$6:$AI$505,"&lt;="&amp;$A129,実績!$AJ$6:$AJ$505,"&gt;"&amp;$A129,実績!$AK$6:$AK$505,"○")&gt;0,1,0))</f>
        <v>0</v>
      </c>
      <c r="AX129" s="39" t="n">
        <f aca="false">IF(AX$4=0,0,IF(COUNTIFS(実績!$W$6:$W$505,AX$3,実績!$AI$6:$AI$505,"&lt;="&amp;$A129,実績!$AJ$6:$AJ$505,"&gt;"&amp;$A129,実績!$AK$6:$AK$505,"○")&gt;0,1,0))</f>
        <v>0</v>
      </c>
      <c r="AY129" s="39" t="n">
        <f aca="false">IF(AY$4=0,0,IF(COUNTIFS(実績!$W$6:$W$505,AY$3,実績!$AI$6:$AI$505,"&lt;="&amp;$A129,実績!$AJ$6:$AJ$505,"&gt;"&amp;$A129,実績!$AK$6:$AK$505,"○")&gt;0,1,0))</f>
        <v>0</v>
      </c>
      <c r="AZ129" s="39" t="n">
        <f aca="false">IF(AZ$4=0,0,IF(COUNTIFS(実績!$W$6:$W$505,AZ$3,実績!$AI$6:$AI$505,"&lt;="&amp;$A129,実績!$AJ$6:$AJ$505,"&gt;"&amp;$A129,実績!$AK$6:$AK$505,"○")&gt;0,1,0))</f>
        <v>0</v>
      </c>
      <c r="BA129" s="39" t="n">
        <f aca="false">IF(BA$4=0,0,IF(COUNTIFS(実績!$W$6:$W$505,BA$3,実績!$AI$6:$AI$505,"&lt;="&amp;$A129,実績!$AJ$6:$AJ$505,"&gt;"&amp;$A129,実績!$AK$6:$AK$505,"○")&gt;0,1,0))</f>
        <v>0</v>
      </c>
      <c r="BB129" s="39" t="n">
        <f aca="false">IF(BB$4=0,0,IF(COUNTIFS(実績!$W$6:$W$505,BB$3,実績!$AI$6:$AI$505,"&lt;="&amp;$A129,実績!$AJ$6:$AJ$505,"&gt;"&amp;$A129,実績!$AK$6:$AK$505,"○")&gt;0,1,0))</f>
        <v>0</v>
      </c>
      <c r="BC129" s="39" t="n">
        <f aca="false">IF(BC$4=0,0,IF(COUNTIFS(実績!$W$6:$W$505,BC$3,実績!$AI$6:$AI$505,"&lt;="&amp;$A129,実績!$AJ$6:$AJ$505,"&gt;"&amp;$A129,実績!$AK$6:$AK$505,"○")&gt;0,1,0))</f>
        <v>0</v>
      </c>
      <c r="BD129" s="39" t="n">
        <f aca="false">IF(BD$4=0,0,IF(COUNTIFS(実績!$W$6:$W$505,BD$3,実績!$AI$6:$AI$505,"&lt;="&amp;$A129,実績!$AJ$6:$AJ$505,"&gt;"&amp;$A129,実績!$AK$6:$AK$505,"○")&gt;0,1,0))</f>
        <v>0</v>
      </c>
      <c r="BE129" s="39" t="n">
        <f aca="false">IF(BE$4=0,0,IF(COUNTIFS(実績!$W$6:$W$505,BE$3,実績!$AI$6:$AI$505,"&lt;="&amp;$A129,実績!$AJ$6:$AJ$505,"&gt;"&amp;$A129,実績!$AK$6:$AK$505,"○")&gt;0,1,0))</f>
        <v>0</v>
      </c>
      <c r="BF129" s="39" t="n">
        <f aca="false">IF(BF$4=0,0,IF(COUNTIFS(実績!$W$6:$W$505,BF$3,実績!$AI$6:$AI$505,"&lt;="&amp;$A129,実績!$AJ$6:$AJ$505,"&gt;"&amp;$A129,実績!$AK$6:$AK$505,"○")&gt;0,1,0))</f>
        <v>0</v>
      </c>
      <c r="BG129" s="39" t="n">
        <f aca="false">IF(BG$4=0,0,IF(COUNTIFS(実績!$W$6:$W$505,BG$3,実績!$AI$6:$AI$505,"&lt;="&amp;$A129,実績!$AJ$6:$AJ$505,"&gt;"&amp;$A129,実績!$AK$6:$AK$505,"○")&gt;0,1,0))</f>
        <v>0</v>
      </c>
      <c r="BH129" s="39" t="n">
        <f aca="false">IF(BH$4=0,0,IF(COUNTIFS(実績!$W$6:$W$505,BH$3,実績!$AI$6:$AI$505,"&lt;="&amp;$A129,実績!$AJ$6:$AJ$505,"&gt;"&amp;$A129,実績!$AK$6:$AK$505,"○")&gt;0,1,0))</f>
        <v>0</v>
      </c>
      <c r="BI129" s="39" t="n">
        <f aca="false">IF(BI$4=0,0,IF(COUNTIFS(実績!$W$6:$W$505,BI$3,実績!$AI$6:$AI$505,"&lt;="&amp;$A129,実績!$AJ$6:$AJ$505,"&gt;"&amp;$A129,実績!$AK$6:$AK$505,"○")&gt;0,1,0))</f>
        <v>0</v>
      </c>
      <c r="BJ129" s="39" t="n">
        <f aca="false">IF(BJ$4=0,0,IF(COUNTIFS(実績!$W$6:$W$505,BJ$3,実績!$AI$6:$AI$505,"&lt;="&amp;$A129,実績!$AJ$6:$AJ$505,"&gt;"&amp;$A129,実績!$AK$6:$AK$505,"○")&gt;0,1,0))</f>
        <v>0</v>
      </c>
      <c r="BK129" s="39" t="n">
        <f aca="false">IF(BK$4=0,0,IF(COUNTIFS(実績!$W$6:$W$505,BK$3,実績!$AI$6:$AI$505,"&lt;="&amp;$A129,実績!$AJ$6:$AJ$505,"&gt;"&amp;$A129,実績!$AK$6:$AK$505,"○")&gt;0,1,0))</f>
        <v>0</v>
      </c>
      <c r="BL129" s="39" t="n">
        <f aca="false">IF(BL$4=0,0,IF(COUNTIFS(実績!$W$6:$W$505,BL$3,実績!$AI$6:$AI$505,"&lt;="&amp;$A129,実績!$AJ$6:$AJ$505,"&gt;"&amp;$A129,実績!$AK$6:$AK$505,"○")&gt;0,1,0))</f>
        <v>0</v>
      </c>
      <c r="BM129" s="39" t="n">
        <f aca="false">IF(BM$4=0,0,IF(COUNTIFS(実績!$W$6:$W$505,BM$3,実績!$AI$6:$AI$505,"&lt;="&amp;$A129,実績!$AJ$6:$AJ$505,"&gt;"&amp;$A129,実績!$AK$6:$AK$505,"○")&gt;0,1,0))</f>
        <v>0</v>
      </c>
      <c r="BN129" s="39" t="n">
        <f aca="false">IF(BN$4=0,0,IF(COUNTIFS(実績!$W$6:$W$505,BN$3,実績!$AI$6:$AI$505,"&lt;="&amp;$A129,実績!$AJ$6:$AJ$505,"&gt;"&amp;$A129,実績!$AK$6:$AK$505,"○")&gt;0,1,0))</f>
        <v>0</v>
      </c>
      <c r="BO129" s="39" t="n">
        <f aca="false">IF(BO$4=0,0,IF(COUNTIFS(実績!$W$6:$W$505,BO$3,実績!$AI$6:$AI$505,"&lt;="&amp;$A129,実績!$AJ$6:$AJ$505,"&gt;"&amp;$A129,実績!$AK$6:$AK$505,"○")&gt;0,1,0))</f>
        <v>0</v>
      </c>
      <c r="BP129" s="39" t="n">
        <f aca="false">IF(BP$4=0,0,IF(COUNTIFS(実績!$W$6:$W$505,BP$3,実績!$AI$6:$AI$505,"&lt;="&amp;$A129,実績!$AJ$6:$AJ$505,"&gt;"&amp;$A129,実績!$AK$6:$AK$505,"○")&gt;0,1,0))</f>
        <v>0</v>
      </c>
      <c r="BQ129" s="39" t="n">
        <f aca="false">IF(BQ$4=0,0,IF(COUNTIFS(実績!$W$6:$W$505,BQ$3,実績!$AI$6:$AI$505,"&lt;="&amp;$A129,実績!$AJ$6:$AJ$505,"&gt;"&amp;$A129,実績!$AK$6:$AK$505,"○")&gt;0,1,0))</f>
        <v>0</v>
      </c>
      <c r="BR129" s="39" t="n">
        <f aca="false">IF(BR$4=0,0,IF(COUNTIFS(実績!$W$6:$W$505,BR$3,実績!$AI$6:$AI$505,"&lt;="&amp;$A129,実績!$AJ$6:$AJ$505,"&gt;"&amp;$A129,実績!$AK$6:$AK$505,"○")&gt;0,1,0))</f>
        <v>0</v>
      </c>
      <c r="BS129" s="39" t="n">
        <f aca="false">IF(BS$4=0,0,IF(COUNTIFS(実績!$W$6:$W$505,BS$3,実績!$AI$6:$AI$505,"&lt;="&amp;$A129,実績!$AJ$6:$AJ$505,"&gt;"&amp;$A129,実績!$AK$6:$AK$505,"○")&gt;0,1,0))</f>
        <v>0</v>
      </c>
      <c r="BT129" s="39" t="n">
        <f aca="false">IF(BT$4=0,0,IF(COUNTIFS(実績!$W$6:$W$505,BT$3,実績!$AI$6:$AI$505,"&lt;="&amp;$A129,実績!$AJ$6:$AJ$505,"&gt;"&amp;$A129,実績!$AK$6:$AK$505,"○")&gt;0,1,0))</f>
        <v>0</v>
      </c>
      <c r="BU129" s="39" t="n">
        <f aca="false">IF(BU$4=0,0,IF(COUNTIFS(実績!$W$6:$W$505,BU$3,実績!$AI$6:$AI$505,"&lt;="&amp;$A129,実績!$AJ$6:$AJ$505,"&gt;"&amp;$A129,実績!$AK$6:$AK$505,"○")&gt;0,1,0))</f>
        <v>0</v>
      </c>
      <c r="BV129" s="39" t="n">
        <f aca="false">IF(BV$4=0,0,IF(COUNTIFS(実績!$W$6:$W$505,BV$3,実績!$AI$6:$AI$505,"&lt;="&amp;$A129,実績!$AJ$6:$AJ$505,"&gt;"&amp;$A129,実績!$AK$6:$AK$505,"○")&gt;0,1,0))</f>
        <v>0</v>
      </c>
      <c r="BW129" s="39" t="n">
        <f aca="false">IF(BW$4=0,0,IF(COUNTIFS(実績!$W$6:$W$505,BW$3,実績!$AI$6:$AI$505,"&lt;="&amp;$A129,実績!$AJ$6:$AJ$505,"&gt;"&amp;$A129,実績!$AK$6:$AK$505,"○")&gt;0,1,0))</f>
        <v>0</v>
      </c>
      <c r="BX129" s="39" t="n">
        <f aca="false">IF(BX$4=0,0,IF(COUNTIFS(実績!$W$6:$W$505,BX$3,実績!$AI$6:$AI$505,"&lt;="&amp;$A129,実績!$AJ$6:$AJ$505,"&gt;"&amp;$A129,実績!$AK$6:$AK$505,"○")&gt;0,1,0))</f>
        <v>0</v>
      </c>
      <c r="BY129" s="39" t="n">
        <f aca="false">IF(BY$4=0,0,IF(COUNTIFS(実績!$W$6:$W$505,BY$3,実績!$AI$6:$AI$505,"&lt;="&amp;$A129,実績!$AJ$6:$AJ$505,"&gt;"&amp;$A129,実績!$AK$6:$AK$505,"○")&gt;0,1,0))</f>
        <v>0</v>
      </c>
      <c r="BZ129" s="39" t="n">
        <f aca="false">IF(BZ$4=0,0,IF(COUNTIFS(実績!$W$6:$W$505,BZ$3,実績!$AI$6:$AI$505,"&lt;="&amp;$A129,実績!$AJ$6:$AJ$505,"&gt;"&amp;$A129,実績!$AK$6:$AK$505,"○")&gt;0,1,0))</f>
        <v>0</v>
      </c>
      <c r="CA129" s="39" t="n">
        <f aca="false">IF(CA$4=0,0,IF(COUNTIFS(実績!$W$6:$W$505,CA$3,実績!$AI$6:$AI$505,"&lt;="&amp;$A129,実績!$AJ$6:$AJ$505,"&gt;"&amp;$A129,実績!$AK$6:$AK$505,"○")&gt;0,1,0))</f>
        <v>0</v>
      </c>
      <c r="CB129" s="39" t="n">
        <f aca="false">IF(CB$4=0,0,IF(COUNTIFS(実績!$W$6:$W$505,CB$3,実績!$AI$6:$AI$505,"&lt;="&amp;$A129,実績!$AJ$6:$AJ$505,"&gt;"&amp;$A129,実績!$AK$6:$AK$505,"○")&gt;0,1,0))</f>
        <v>0</v>
      </c>
      <c r="CC129" s="39" t="n">
        <f aca="false">IF(CC$4=0,0,IF(COUNTIFS(実績!$W$6:$W$505,CC$3,実績!$AI$6:$AI$505,"&lt;="&amp;$A129,実績!$AJ$6:$AJ$505,"&gt;"&amp;$A129,実績!$AK$6:$AK$505,"○")&gt;0,1,0))</f>
        <v>0</v>
      </c>
      <c r="CD129" s="39" t="n">
        <f aca="false">IF(CD$4=0,0,IF(COUNTIFS(実績!$W$6:$W$505,CD$3,実績!$AI$6:$AI$505,"&lt;="&amp;$A129,実績!$AJ$6:$AJ$505,"&gt;"&amp;$A129,実績!$AK$6:$AK$505,"○")&gt;0,1,0))</f>
        <v>0</v>
      </c>
      <c r="CE129" s="39" t="n">
        <f aca="false">IF(CE$4=0,0,IF(COUNTIFS(実績!$W$6:$W$505,CE$3,実績!$AI$6:$AI$505,"&lt;="&amp;$A129,実績!$AJ$6:$AJ$505,"&gt;"&amp;$A129,実績!$AK$6:$AK$505,"○")&gt;0,1,0))</f>
        <v>0</v>
      </c>
      <c r="CF129" s="39" t="n">
        <f aca="false">IF(CF$4=0,0,IF(COUNTIFS(実績!$W$6:$W$505,CF$3,実績!$AI$6:$AI$505,"&lt;="&amp;$A129,実績!$AJ$6:$AJ$505,"&gt;"&amp;$A129,実績!$AK$6:$AK$505,"○")&gt;0,1,0))</f>
        <v>0</v>
      </c>
      <c r="CG129" s="39" t="n">
        <f aca="false">IF(CG$4=0,0,IF(COUNTIFS(実績!$W$6:$W$505,CG$3,実績!$AI$6:$AI$505,"&lt;="&amp;$A129,実績!$AJ$6:$AJ$505,"&gt;"&amp;$A129,実績!$AK$6:$AK$505,"○")&gt;0,1,0))</f>
        <v>0</v>
      </c>
      <c r="CH129" s="39" t="n">
        <f aca="false">IF(CH$4=0,0,IF(COUNTIFS(実績!$W$6:$W$505,CH$3,実績!$AI$6:$AI$505,"&lt;="&amp;$A129,実績!$AJ$6:$AJ$505,"&gt;"&amp;$A129,実績!$AK$6:$AK$505,"○")&gt;0,1,0))</f>
        <v>0</v>
      </c>
      <c r="CI129" s="39" t="n">
        <f aca="false">IF(CI$4=0,0,IF(COUNTIFS(実績!$W$6:$W$505,CI$3,実績!$AI$6:$AI$505,"&lt;="&amp;$A129,実績!$AJ$6:$AJ$505,"&gt;"&amp;$A129,実績!$AK$6:$AK$505,"○")&gt;0,1,0))</f>
        <v>0</v>
      </c>
      <c r="CJ129" s="39" t="n">
        <f aca="false">IF(CJ$4=0,0,IF(COUNTIFS(実績!$W$6:$W$505,CJ$3,実績!$AI$6:$AI$505,"&lt;="&amp;$A129,実績!$AJ$6:$AJ$505,"&gt;"&amp;$A129,実績!$AK$6:$AK$505,"○")&gt;0,1,0))</f>
        <v>0</v>
      </c>
      <c r="CK129" s="39" t="n">
        <f aca="false">IF(CK$4=0,0,IF(COUNTIFS(実績!$W$6:$W$505,CK$3,実績!$AI$6:$AI$505,"&lt;="&amp;$A129,実績!$AJ$6:$AJ$505,"&gt;"&amp;$A129,実績!$AK$6:$AK$505,"○")&gt;0,1,0))</f>
        <v>0</v>
      </c>
      <c r="CL129" s="39" t="n">
        <f aca="false">IF(CL$4=0,0,IF(COUNTIFS(実績!$W$6:$W$505,CL$3,実績!$AI$6:$AI$505,"&lt;="&amp;$A129,実績!$AJ$6:$AJ$505,"&gt;"&amp;$A129,実績!$AK$6:$AK$505,"○")&gt;0,1,0))</f>
        <v>0</v>
      </c>
      <c r="CM129" s="39" t="n">
        <f aca="false">IF(CM$4=0,0,IF(COUNTIFS(実績!$W$6:$W$505,CM$3,実績!$AI$6:$AI$505,"&lt;="&amp;$A129,実績!$AJ$6:$AJ$505,"&gt;"&amp;$A129,実績!$AK$6:$AK$505,"○")&gt;0,1,0))</f>
        <v>0</v>
      </c>
      <c r="CN129" s="39" t="n">
        <f aca="false">IF(CN$4=0,0,IF(COUNTIFS(実績!$W$6:$W$505,CN$3,実績!$AI$6:$AI$505,"&lt;="&amp;$A129,実績!$AJ$6:$AJ$505,"&gt;"&amp;$A129,実績!$AK$6:$AK$505,"○")&gt;0,1,0))</f>
        <v>0</v>
      </c>
      <c r="CO129" s="39" t="n">
        <f aca="false">IF(CO$4=0,0,IF(COUNTIFS(実績!$W$6:$W$505,CO$3,実績!$AI$6:$AI$505,"&lt;="&amp;$A129,実績!$AJ$6:$AJ$505,"&gt;"&amp;$A129,実績!$AK$6:$AK$505,"○")&gt;0,1,0))</f>
        <v>0</v>
      </c>
      <c r="CP129" s="39" t="n">
        <f aca="false">IF(CP$4=0,0,IF(COUNTIFS(実績!$W$6:$W$505,CP$3,実績!$AI$6:$AI$505,"&lt;="&amp;$A129,実績!$AJ$6:$AJ$505,"&gt;"&amp;$A129,実績!$AK$6:$AK$505,"○")&gt;0,1,0))</f>
        <v>0</v>
      </c>
      <c r="CQ129" s="39" t="n">
        <f aca="false">IF(CQ$4=0,0,IF(COUNTIFS(実績!$W$6:$W$505,CQ$3,実績!$AI$6:$AI$505,"&lt;="&amp;$A129,実績!$AJ$6:$AJ$505,"&gt;"&amp;$A129,実績!$AK$6:$AK$505,"○")&gt;0,1,0))</f>
        <v>0</v>
      </c>
      <c r="CR129" s="39" t="n">
        <f aca="false">IF(CR$4=0,0,IF(COUNTIFS(実績!$W$6:$W$505,CR$3,実績!$AI$6:$AI$505,"&lt;="&amp;$A129,実績!$AJ$6:$AJ$505,"&gt;"&amp;$A129,実績!$AK$6:$AK$505,"○")&gt;0,1,0))</f>
        <v>0</v>
      </c>
      <c r="CS129" s="39" t="n">
        <f aca="false">IF(CS$4=0,0,IF(COUNTIFS(実績!$W$6:$W$505,CS$3,実績!$AI$6:$AI$505,"&lt;="&amp;$A129,実績!$AJ$6:$AJ$505,"&gt;"&amp;$A129,実績!$AK$6:$AK$505,"○")&gt;0,1,0))</f>
        <v>0</v>
      </c>
      <c r="CT129" s="39" t="n">
        <f aca="false">IF(CT$4=0,0,IF(COUNTIFS(実績!$W$6:$W$505,CT$3,実績!$AI$6:$AI$505,"&lt;="&amp;$A129,実績!$AJ$6:$AJ$505,"&gt;"&amp;$A129,実績!$AK$6:$AK$505,"○")&gt;0,1,0))</f>
        <v>0</v>
      </c>
      <c r="CU129" s="39" t="n">
        <f aca="false">IF(CU$4=0,0,IF(COUNTIFS(実績!$W$6:$W$505,CU$3,実績!$AI$6:$AI$505,"&lt;="&amp;$A129,実績!$AJ$6:$AJ$505,"&gt;"&amp;$A129,実績!$AK$6:$AK$505,"○")&gt;0,1,0))</f>
        <v>0</v>
      </c>
      <c r="CV129" s="39" t="n">
        <f aca="false">IF(CV$4=0,0,IF(COUNTIFS(実績!$W$6:$W$505,CV$3,実績!$AI$6:$AI$505,"&lt;="&amp;$A129,実績!$AJ$6:$AJ$505,"&gt;"&amp;$A129,実績!$AK$6:$AK$505,"○")&gt;0,1,0))</f>
        <v>0</v>
      </c>
      <c r="CW129" s="39" t="n">
        <f aca="false">IF(CW$4=0,0,IF(COUNTIFS(実績!$W$6:$W$505,CW$3,実績!$AI$6:$AI$505,"&lt;="&amp;$A129,実績!$AJ$6:$AJ$505,"&gt;"&amp;$A129,実績!$AK$6:$AK$505,"○")&gt;0,1,0))</f>
        <v>0</v>
      </c>
      <c r="CX129" s="39" t="n">
        <f aca="false">IF(CX$4=0,0,IF(COUNTIFS(実績!$W$6:$W$505,CX$3,実績!$AI$6:$AI$505,"&lt;="&amp;$A129,実績!$AJ$6:$AJ$505,"&gt;"&amp;$A129,実績!$AK$6:$AK$505,"○")&gt;0,1,0))</f>
        <v>0</v>
      </c>
      <c r="CY129" s="39" t="n">
        <f aca="false">IF(CY$4=0,0,IF(COUNTIFS(実績!$W$6:$W$505,CY$3,実績!$AI$6:$AI$505,"&lt;="&amp;$A129,実績!$AJ$6:$AJ$505,"&gt;"&amp;$A129,実績!$AK$6:$AK$505,"○")&gt;0,1,0))</f>
        <v>0</v>
      </c>
      <c r="CZ129" s="39" t="n">
        <f aca="false">IF(CZ$4=0,0,IF(COUNTIFS(実績!$W$6:$W$505,CZ$3,実績!$AI$6:$AI$505,"&lt;="&amp;$A129,実績!$AJ$6:$AJ$505,"&gt;"&amp;$A129,実績!$AK$6:$AK$505,"○")&gt;0,1,0))</f>
        <v>0</v>
      </c>
      <c r="DA129" s="39" t="n">
        <f aca="false">IF(DA$4=0,0,IF(COUNTIFS(実績!$W$6:$W$505,DA$3,実績!$AI$6:$AI$505,"&lt;="&amp;$A129,実績!$AJ$6:$AJ$505,"&gt;"&amp;$A129,実績!$AK$6:$AK$505,"○")&gt;0,1,0))</f>
        <v>0</v>
      </c>
      <c r="DB129" s="39" t="n">
        <f aca="false">IF(DB$4=0,0,IF(COUNTIFS(実績!$W$6:$W$505,DB$3,実績!$AI$6:$AI$505,"&lt;="&amp;$A129,実績!$AJ$6:$AJ$505,"&gt;"&amp;$A129,実績!$AK$6:$AK$505,"○")&gt;0,1,0))</f>
        <v>0</v>
      </c>
      <c r="DC129" s="39" t="n">
        <f aca="false">IF(DC$4=0,0,IF(COUNTIFS(実績!$W$6:$W$505,DC$3,実績!$AI$6:$AI$505,"&lt;="&amp;$A129,実績!$AJ$6:$AJ$505,"&gt;"&amp;$A129,実績!$AK$6:$AK$505,"○")&gt;0,1,0))</f>
        <v>0</v>
      </c>
      <c r="DD129" s="39" t="n">
        <f aca="false">IF(DD$4=0,0,IF(COUNTIFS(実績!$W$6:$W$505,DD$3,実績!$AI$6:$AI$505,"&lt;="&amp;$A129,実績!$AJ$6:$AJ$505,"&gt;"&amp;$A129,実績!$AK$6:$AK$505,"○")&gt;0,1,0))</f>
        <v>0</v>
      </c>
      <c r="DE129" s="39" t="n">
        <f aca="false">IF(DE$4=0,0,IF(COUNTIFS(実績!$W$6:$W$505,DE$3,実績!$AI$6:$AI$505,"&lt;="&amp;$A129,実績!$AJ$6:$AJ$505,"&gt;"&amp;$A129,実績!$AK$6:$AK$505,"○")&gt;0,1,0))</f>
        <v>0</v>
      </c>
      <c r="DF129" s="39" t="n">
        <f aca="false">IF(DF$4=0,0,IF(COUNTIFS(実績!$W$6:$W$505,DF$3,実績!$AI$6:$AI$505,"&lt;="&amp;$A129,実績!$AJ$6:$AJ$505,"&gt;"&amp;$A129,実績!$AK$6:$AK$505,"○")&gt;0,1,0))</f>
        <v>0</v>
      </c>
      <c r="DG129" s="39" t="n">
        <f aca="false">IF(DG$4=0,0,IF(COUNTIFS(実績!$W$6:$W$505,DG$3,実績!$AI$6:$AI$505,"&lt;="&amp;$A129,実績!$AJ$6:$AJ$505,"&gt;"&amp;$A129,実績!$AK$6:$AK$505,"○")&gt;0,1,0))</f>
        <v>0</v>
      </c>
      <c r="DH129" s="39" t="n">
        <f aca="false">IF(DH$4=0,0,IF(COUNTIFS(実績!$W$6:$W$505,DH$3,実績!$AI$6:$AI$505,"&lt;="&amp;$A129,実績!$AJ$6:$AJ$505,"&gt;"&amp;$A129,実績!$AK$6:$AK$505,"○")&gt;0,1,0))</f>
        <v>0</v>
      </c>
      <c r="DI129" s="39" t="n">
        <f aca="false">IF(DI$4=0,0,IF(COUNTIFS(実績!$W$6:$W$505,DI$3,実績!$AI$6:$AI$505,"&lt;="&amp;$A129,実績!$AJ$6:$AJ$505,"&gt;"&amp;$A129,実績!$AK$6:$AK$505,"○")&gt;0,1,0))</f>
        <v>0</v>
      </c>
      <c r="DJ129" s="39" t="n">
        <f aca="false">IF(DJ$4=0,0,IF(COUNTIFS(実績!$W$6:$W$505,DJ$3,実績!$AI$6:$AI$505,"&lt;="&amp;$A129,実績!$AJ$6:$AJ$505,"&gt;"&amp;$A129,実績!$AK$6:$AK$505,"○")&gt;0,1,0))</f>
        <v>0</v>
      </c>
      <c r="DK129" s="39" t="n">
        <f aca="false">IF(DK$4=0,0,IF(COUNTIFS(実績!$W$6:$W$505,DK$3,実績!$AI$6:$AI$505,"&lt;="&amp;$A129,実績!$AJ$6:$AJ$505,"&gt;"&amp;$A129,実績!$AK$6:$AK$505,"○")&gt;0,1,0))</f>
        <v>0</v>
      </c>
      <c r="DL129" s="39" t="n">
        <f aca="false">IF(DL$4=0,0,IF(COUNTIFS(実績!$W$6:$W$505,DL$3,実績!$AI$6:$AI$505,"&lt;="&amp;$A129,実績!$AJ$6:$AJ$505,"&gt;"&amp;$A129,実績!$AK$6:$AK$505,"○")&gt;0,1,0))</f>
        <v>0</v>
      </c>
      <c r="DM129" s="39" t="n">
        <f aca="false">IF(DM$4=0,0,IF(COUNTIFS(実績!$W$6:$W$505,DM$3,実績!$AI$6:$AI$505,"&lt;="&amp;$A129,実績!$AJ$6:$AJ$505,"&gt;"&amp;$A129,実績!$AK$6:$AK$505,"○")&gt;0,1,0))</f>
        <v>0</v>
      </c>
      <c r="DN129" s="39" t="n">
        <f aca="false">IF(DN$4=0,0,IF(COUNTIFS(実績!$W$6:$W$505,DN$3,実績!$AI$6:$AI$505,"&lt;="&amp;$A129,実績!$AJ$6:$AJ$505,"&gt;"&amp;$A129,実績!$AK$6:$AK$505,"○")&gt;0,1,0))</f>
        <v>0</v>
      </c>
      <c r="DO129" s="39" t="n">
        <f aca="false">IF(DO$4=0,0,IF(COUNTIFS(実績!$W$6:$W$505,DO$3,実績!$AI$6:$AI$505,"&lt;="&amp;$A129,実績!$AJ$6:$AJ$505,"&gt;"&amp;$A129,実績!$AK$6:$AK$505,"○")&gt;0,1,0))</f>
        <v>0</v>
      </c>
      <c r="DP129" s="39" t="n">
        <f aca="false">IF(DP$4=0,0,IF(COUNTIFS(実績!$W$6:$W$505,DP$3,実績!$AI$6:$AI$505,"&lt;="&amp;$A129,実績!$AJ$6:$AJ$505,"&gt;"&amp;$A129,実績!$AK$6:$AK$505,"○")&gt;0,1,0))</f>
        <v>0</v>
      </c>
      <c r="DQ129" s="39" t="n">
        <f aca="false">IF(DQ$4=0,0,IF(COUNTIFS(実績!$W$6:$W$505,DQ$3,実績!$AI$6:$AI$505,"&lt;="&amp;$A129,実績!$AJ$6:$AJ$505,"&gt;"&amp;$A129,実績!$AK$6:$AK$505,"○")&gt;0,1,0))</f>
        <v>0</v>
      </c>
      <c r="DR129" s="39" t="n">
        <f aca="false">IF(DR$4=0,0,IF(COUNTIFS(実績!$W$6:$W$505,DR$3,実績!$AI$6:$AI$505,"&lt;="&amp;$A129,実績!$AJ$6:$AJ$505,"&gt;"&amp;$A129,実績!$AK$6:$AK$505,"○")&gt;0,1,0))</f>
        <v>0</v>
      </c>
      <c r="DS129" s="39" t="n">
        <f aca="false">SUM(C129:DR129)</f>
        <v>0</v>
      </c>
      <c r="DT129" s="39" t="n">
        <f aca="false">SUMPRODUCT((実績!$C$6:$C$505="○")*ISNUMBER(実績!$AM$6:$AM$505)*(実績!$AM$6:$AM$505&lt;=$A129)*(実績!$AN$6:$AN$505&gt;$A129))</f>
        <v>0</v>
      </c>
      <c r="DU129" s="39" t="n">
        <f aca="false">SUMIF($C$2:$DR$2,"製鉄曳船",C129:DR129)</f>
        <v>0</v>
      </c>
      <c r="DV129" s="39" t="n">
        <f aca="false">SUMIF($C$2:$DR$2,"西日本海運",C129:DR129)</f>
        <v>0</v>
      </c>
    </row>
    <row r="130" customFormat="false" ht="15" hidden="false" customHeight="false" outlineLevel="0" collapsed="false">
      <c r="A130" s="0" t="n">
        <v>620</v>
      </c>
      <c r="B130" s="38" t="n">
        <f aca="false">A130/1440</f>
        <v>0.430555555555556</v>
      </c>
      <c r="C130" s="39" t="n">
        <f aca="false">IF(C$4=0,0,IF(COUNTIFS(実績!$W$6:$W$505,C$3,実績!$AI$6:$AI$505,"&lt;="&amp;$A130,実績!$AJ$6:$AJ$505,"&gt;"&amp;$A130,実績!$AK$6:$AK$505,"○")&gt;0,1,0))</f>
        <v>0</v>
      </c>
      <c r="D130" s="39" t="n">
        <f aca="false">IF(D$4=0,0,IF(COUNTIFS(実績!$W$6:$W$505,D$3,実績!$AI$6:$AI$505,"&lt;="&amp;$A130,実績!$AJ$6:$AJ$505,"&gt;"&amp;$A130,実績!$AK$6:$AK$505,"○")&gt;0,1,0))</f>
        <v>0</v>
      </c>
      <c r="E130" s="39" t="n">
        <f aca="false">IF(E$4=0,0,IF(COUNTIFS(実績!$W$6:$W$505,E$3,実績!$AI$6:$AI$505,"&lt;="&amp;$A130,実績!$AJ$6:$AJ$505,"&gt;"&amp;$A130,実績!$AK$6:$AK$505,"○")&gt;0,1,0))</f>
        <v>0</v>
      </c>
      <c r="F130" s="39" t="n">
        <f aca="false">IF(F$4=0,0,IF(COUNTIFS(実績!$W$6:$W$505,F$3,実績!$AI$6:$AI$505,"&lt;="&amp;$A130,実績!$AJ$6:$AJ$505,"&gt;"&amp;$A130,実績!$AK$6:$AK$505,"○")&gt;0,1,0))</f>
        <v>0</v>
      </c>
      <c r="G130" s="39" t="n">
        <f aca="false">IF(G$4=0,0,IF(COUNTIFS(実績!$W$6:$W$505,G$3,実績!$AI$6:$AI$505,"&lt;="&amp;$A130,実績!$AJ$6:$AJ$505,"&gt;"&amp;$A130,実績!$AK$6:$AK$505,"○")&gt;0,1,0))</f>
        <v>0</v>
      </c>
      <c r="H130" s="39" t="n">
        <f aca="false">IF(H$4=0,0,IF(COUNTIFS(実績!$W$6:$W$505,H$3,実績!$AI$6:$AI$505,"&lt;="&amp;$A130,実績!$AJ$6:$AJ$505,"&gt;"&amp;$A130,実績!$AK$6:$AK$505,"○")&gt;0,1,0))</f>
        <v>0</v>
      </c>
      <c r="I130" s="39" t="n">
        <f aca="false">IF(I$4=0,0,IF(COUNTIFS(実績!$W$6:$W$505,I$3,実績!$AI$6:$AI$505,"&lt;="&amp;$A130,実績!$AJ$6:$AJ$505,"&gt;"&amp;$A130,実績!$AK$6:$AK$505,"○")&gt;0,1,0))</f>
        <v>0</v>
      </c>
      <c r="J130" s="39" t="n">
        <f aca="false">IF(J$4=0,0,IF(COUNTIFS(実績!$W$6:$W$505,J$3,実績!$AI$6:$AI$505,"&lt;="&amp;$A130,実績!$AJ$6:$AJ$505,"&gt;"&amp;$A130,実績!$AK$6:$AK$505,"○")&gt;0,1,0))</f>
        <v>0</v>
      </c>
      <c r="K130" s="39" t="n">
        <f aca="false">IF(K$4=0,0,IF(COUNTIFS(実績!$W$6:$W$505,K$3,実績!$AI$6:$AI$505,"&lt;="&amp;$A130,実績!$AJ$6:$AJ$505,"&gt;"&amp;$A130,実績!$AK$6:$AK$505,"○")&gt;0,1,0))</f>
        <v>0</v>
      </c>
      <c r="L130" s="39" t="n">
        <f aca="false">IF(L$4=0,0,IF(COUNTIFS(実績!$W$6:$W$505,L$3,実績!$AI$6:$AI$505,"&lt;="&amp;$A130,実績!$AJ$6:$AJ$505,"&gt;"&amp;$A130,実績!$AK$6:$AK$505,"○")&gt;0,1,0))</f>
        <v>0</v>
      </c>
      <c r="M130" s="39" t="n">
        <f aca="false">IF(M$4=0,0,IF(COUNTIFS(実績!$W$6:$W$505,M$3,実績!$AI$6:$AI$505,"&lt;="&amp;$A130,実績!$AJ$6:$AJ$505,"&gt;"&amp;$A130,実績!$AK$6:$AK$505,"○")&gt;0,1,0))</f>
        <v>0</v>
      </c>
      <c r="N130" s="39" t="n">
        <f aca="false">IF(N$4=0,0,IF(COUNTIFS(実績!$W$6:$W$505,N$3,実績!$AI$6:$AI$505,"&lt;="&amp;$A130,実績!$AJ$6:$AJ$505,"&gt;"&amp;$A130,実績!$AK$6:$AK$505,"○")&gt;0,1,0))</f>
        <v>0</v>
      </c>
      <c r="O130" s="39" t="n">
        <f aca="false">IF(O$4=0,0,IF(COUNTIFS(実績!$W$6:$W$505,O$3,実績!$AI$6:$AI$505,"&lt;="&amp;$A130,実績!$AJ$6:$AJ$505,"&gt;"&amp;$A130,実績!$AK$6:$AK$505,"○")&gt;0,1,0))</f>
        <v>0</v>
      </c>
      <c r="P130" s="39" t="n">
        <f aca="false">IF(P$4=0,0,IF(COUNTIFS(実績!$W$6:$W$505,P$3,実績!$AI$6:$AI$505,"&lt;="&amp;$A130,実績!$AJ$6:$AJ$505,"&gt;"&amp;$A130,実績!$AK$6:$AK$505,"○")&gt;0,1,0))</f>
        <v>0</v>
      </c>
      <c r="Q130" s="39" t="n">
        <f aca="false">IF(Q$4=0,0,IF(COUNTIFS(実績!$W$6:$W$505,Q$3,実績!$AI$6:$AI$505,"&lt;="&amp;$A130,実績!$AJ$6:$AJ$505,"&gt;"&amp;$A130,実績!$AK$6:$AK$505,"○")&gt;0,1,0))</f>
        <v>0</v>
      </c>
      <c r="R130" s="39" t="n">
        <f aca="false">IF(R$4=0,0,IF(COUNTIFS(実績!$W$6:$W$505,R$3,実績!$AI$6:$AI$505,"&lt;="&amp;$A130,実績!$AJ$6:$AJ$505,"&gt;"&amp;$A130,実績!$AK$6:$AK$505,"○")&gt;0,1,0))</f>
        <v>0</v>
      </c>
      <c r="S130" s="39" t="n">
        <f aca="false">IF(S$4=0,0,IF(COUNTIFS(実績!$W$6:$W$505,S$3,実績!$AI$6:$AI$505,"&lt;="&amp;$A130,実績!$AJ$6:$AJ$505,"&gt;"&amp;$A130,実績!$AK$6:$AK$505,"○")&gt;0,1,0))</f>
        <v>0</v>
      </c>
      <c r="T130" s="39" t="n">
        <f aca="false">IF(T$4=0,0,IF(COUNTIFS(実績!$W$6:$W$505,T$3,実績!$AI$6:$AI$505,"&lt;="&amp;$A130,実績!$AJ$6:$AJ$505,"&gt;"&amp;$A130,実績!$AK$6:$AK$505,"○")&gt;0,1,0))</f>
        <v>0</v>
      </c>
      <c r="U130" s="39" t="n">
        <f aca="false">IF(U$4=0,0,IF(COUNTIFS(実績!$W$6:$W$505,U$3,実績!$AI$6:$AI$505,"&lt;="&amp;$A130,実績!$AJ$6:$AJ$505,"&gt;"&amp;$A130,実績!$AK$6:$AK$505,"○")&gt;0,1,0))</f>
        <v>0</v>
      </c>
      <c r="V130" s="39" t="n">
        <f aca="false">IF(V$4=0,0,IF(COUNTIFS(実績!$W$6:$W$505,V$3,実績!$AI$6:$AI$505,"&lt;="&amp;$A130,実績!$AJ$6:$AJ$505,"&gt;"&amp;$A130,実績!$AK$6:$AK$505,"○")&gt;0,1,0))</f>
        <v>0</v>
      </c>
      <c r="W130" s="39" t="n">
        <f aca="false">IF(W$4=0,0,IF(COUNTIFS(実績!$W$6:$W$505,W$3,実績!$AI$6:$AI$505,"&lt;="&amp;$A130,実績!$AJ$6:$AJ$505,"&gt;"&amp;$A130,実績!$AK$6:$AK$505,"○")&gt;0,1,0))</f>
        <v>0</v>
      </c>
      <c r="X130" s="39" t="n">
        <f aca="false">IF(X$4=0,0,IF(COUNTIFS(実績!$W$6:$W$505,X$3,実績!$AI$6:$AI$505,"&lt;="&amp;$A130,実績!$AJ$6:$AJ$505,"&gt;"&amp;$A130,実績!$AK$6:$AK$505,"○")&gt;0,1,0))</f>
        <v>0</v>
      </c>
      <c r="Y130" s="39" t="n">
        <f aca="false">IF(Y$4=0,0,IF(COUNTIFS(実績!$W$6:$W$505,Y$3,実績!$AI$6:$AI$505,"&lt;="&amp;$A130,実績!$AJ$6:$AJ$505,"&gt;"&amp;$A130,実績!$AK$6:$AK$505,"○")&gt;0,1,0))</f>
        <v>0</v>
      </c>
      <c r="Z130" s="39" t="n">
        <f aca="false">IF(Z$4=0,0,IF(COUNTIFS(実績!$W$6:$W$505,Z$3,実績!$AI$6:$AI$505,"&lt;="&amp;$A130,実績!$AJ$6:$AJ$505,"&gt;"&amp;$A130,実績!$AK$6:$AK$505,"○")&gt;0,1,0))</f>
        <v>0</v>
      </c>
      <c r="AA130" s="39" t="n">
        <f aca="false">IF(AA$4=0,0,IF(COUNTIFS(実績!$W$6:$W$505,AA$3,実績!$AI$6:$AI$505,"&lt;="&amp;$A130,実績!$AJ$6:$AJ$505,"&gt;"&amp;$A130,実績!$AK$6:$AK$505,"○")&gt;0,1,0))</f>
        <v>0</v>
      </c>
      <c r="AB130" s="39" t="n">
        <f aca="false">IF(AB$4=0,0,IF(COUNTIFS(実績!$W$6:$W$505,AB$3,実績!$AI$6:$AI$505,"&lt;="&amp;$A130,実績!$AJ$6:$AJ$505,"&gt;"&amp;$A130,実績!$AK$6:$AK$505,"○")&gt;0,1,0))</f>
        <v>0</v>
      </c>
      <c r="AC130" s="39" t="n">
        <f aca="false">IF(AC$4=0,0,IF(COUNTIFS(実績!$W$6:$W$505,AC$3,実績!$AI$6:$AI$505,"&lt;="&amp;$A130,実績!$AJ$6:$AJ$505,"&gt;"&amp;$A130,実績!$AK$6:$AK$505,"○")&gt;0,1,0))</f>
        <v>0</v>
      </c>
      <c r="AD130" s="39" t="n">
        <f aca="false">IF(AD$4=0,0,IF(COUNTIFS(実績!$W$6:$W$505,AD$3,実績!$AI$6:$AI$505,"&lt;="&amp;$A130,実績!$AJ$6:$AJ$505,"&gt;"&amp;$A130,実績!$AK$6:$AK$505,"○")&gt;0,1,0))</f>
        <v>0</v>
      </c>
      <c r="AE130" s="39" t="n">
        <f aca="false">IF(AE$4=0,0,IF(COUNTIFS(実績!$W$6:$W$505,AE$3,実績!$AI$6:$AI$505,"&lt;="&amp;$A130,実績!$AJ$6:$AJ$505,"&gt;"&amp;$A130,実績!$AK$6:$AK$505,"○")&gt;0,1,0))</f>
        <v>0</v>
      </c>
      <c r="AF130" s="39" t="n">
        <f aca="false">IF(AF$4=0,0,IF(COUNTIFS(実績!$W$6:$W$505,AF$3,実績!$AI$6:$AI$505,"&lt;="&amp;$A130,実績!$AJ$6:$AJ$505,"&gt;"&amp;$A130,実績!$AK$6:$AK$505,"○")&gt;0,1,0))</f>
        <v>0</v>
      </c>
      <c r="AG130" s="39" t="n">
        <f aca="false">IF(AG$4=0,0,IF(COUNTIFS(実績!$W$6:$W$505,AG$3,実績!$AI$6:$AI$505,"&lt;="&amp;$A130,実績!$AJ$6:$AJ$505,"&gt;"&amp;$A130,実績!$AK$6:$AK$505,"○")&gt;0,1,0))</f>
        <v>0</v>
      </c>
      <c r="AH130" s="39" t="n">
        <f aca="false">IF(AH$4=0,0,IF(COUNTIFS(実績!$W$6:$W$505,AH$3,実績!$AI$6:$AI$505,"&lt;="&amp;$A130,実績!$AJ$6:$AJ$505,"&gt;"&amp;$A130,実績!$AK$6:$AK$505,"○")&gt;0,1,0))</f>
        <v>0</v>
      </c>
      <c r="AI130" s="39" t="n">
        <f aca="false">IF(AI$4=0,0,IF(COUNTIFS(実績!$W$6:$W$505,AI$3,実績!$AI$6:$AI$505,"&lt;="&amp;$A130,実績!$AJ$6:$AJ$505,"&gt;"&amp;$A130,実績!$AK$6:$AK$505,"○")&gt;0,1,0))</f>
        <v>0</v>
      </c>
      <c r="AJ130" s="39" t="n">
        <f aca="false">IF(AJ$4=0,0,IF(COUNTIFS(実績!$W$6:$W$505,AJ$3,実績!$AI$6:$AI$505,"&lt;="&amp;$A130,実績!$AJ$6:$AJ$505,"&gt;"&amp;$A130,実績!$AK$6:$AK$505,"○")&gt;0,1,0))</f>
        <v>0</v>
      </c>
      <c r="AK130" s="39" t="n">
        <f aca="false">IF(AK$4=0,0,IF(COUNTIFS(実績!$W$6:$W$505,AK$3,実績!$AI$6:$AI$505,"&lt;="&amp;$A130,実績!$AJ$6:$AJ$505,"&gt;"&amp;$A130,実績!$AK$6:$AK$505,"○")&gt;0,1,0))</f>
        <v>0</v>
      </c>
      <c r="AL130" s="39" t="n">
        <f aca="false">IF(AL$4=0,0,IF(COUNTIFS(実績!$W$6:$W$505,AL$3,実績!$AI$6:$AI$505,"&lt;="&amp;$A130,実績!$AJ$6:$AJ$505,"&gt;"&amp;$A130,実績!$AK$6:$AK$505,"○")&gt;0,1,0))</f>
        <v>0</v>
      </c>
      <c r="AM130" s="39" t="n">
        <f aca="false">IF(AM$4=0,0,IF(COUNTIFS(実績!$W$6:$W$505,AM$3,実績!$AI$6:$AI$505,"&lt;="&amp;$A130,実績!$AJ$6:$AJ$505,"&gt;"&amp;$A130,実績!$AK$6:$AK$505,"○")&gt;0,1,0))</f>
        <v>0</v>
      </c>
      <c r="AN130" s="39" t="n">
        <f aca="false">IF(AN$4=0,0,IF(COUNTIFS(実績!$W$6:$W$505,AN$3,実績!$AI$6:$AI$505,"&lt;="&amp;$A130,実績!$AJ$6:$AJ$505,"&gt;"&amp;$A130,実績!$AK$6:$AK$505,"○")&gt;0,1,0))</f>
        <v>0</v>
      </c>
      <c r="AO130" s="39" t="n">
        <f aca="false">IF(AO$4=0,0,IF(COUNTIFS(実績!$W$6:$W$505,AO$3,実績!$AI$6:$AI$505,"&lt;="&amp;$A130,実績!$AJ$6:$AJ$505,"&gt;"&amp;$A130,実績!$AK$6:$AK$505,"○")&gt;0,1,0))</f>
        <v>0</v>
      </c>
      <c r="AP130" s="39" t="n">
        <f aca="false">IF(AP$4=0,0,IF(COUNTIFS(実績!$W$6:$W$505,AP$3,実績!$AI$6:$AI$505,"&lt;="&amp;$A130,実績!$AJ$6:$AJ$505,"&gt;"&amp;$A130,実績!$AK$6:$AK$505,"○")&gt;0,1,0))</f>
        <v>0</v>
      </c>
      <c r="AQ130" s="39" t="n">
        <f aca="false">IF(AQ$4=0,0,IF(COUNTIFS(実績!$W$6:$W$505,AQ$3,実績!$AI$6:$AI$505,"&lt;="&amp;$A130,実績!$AJ$6:$AJ$505,"&gt;"&amp;$A130,実績!$AK$6:$AK$505,"○")&gt;0,1,0))</f>
        <v>0</v>
      </c>
      <c r="AR130" s="39" t="n">
        <f aca="false">IF(AR$4=0,0,IF(COUNTIFS(実績!$W$6:$W$505,AR$3,実績!$AI$6:$AI$505,"&lt;="&amp;$A130,実績!$AJ$6:$AJ$505,"&gt;"&amp;$A130,実績!$AK$6:$AK$505,"○")&gt;0,1,0))</f>
        <v>0</v>
      </c>
      <c r="AS130" s="39" t="n">
        <f aca="false">IF(AS$4=0,0,IF(COUNTIFS(実績!$W$6:$W$505,AS$3,実績!$AI$6:$AI$505,"&lt;="&amp;$A130,実績!$AJ$6:$AJ$505,"&gt;"&amp;$A130,実績!$AK$6:$AK$505,"○")&gt;0,1,0))</f>
        <v>0</v>
      </c>
      <c r="AT130" s="39" t="n">
        <f aca="false">IF(AT$4=0,0,IF(COUNTIFS(実績!$W$6:$W$505,AT$3,実績!$AI$6:$AI$505,"&lt;="&amp;$A130,実績!$AJ$6:$AJ$505,"&gt;"&amp;$A130,実績!$AK$6:$AK$505,"○")&gt;0,1,0))</f>
        <v>0</v>
      </c>
      <c r="AU130" s="39" t="n">
        <f aca="false">IF(AU$4=0,0,IF(COUNTIFS(実績!$W$6:$W$505,AU$3,実績!$AI$6:$AI$505,"&lt;="&amp;$A130,実績!$AJ$6:$AJ$505,"&gt;"&amp;$A130,実績!$AK$6:$AK$505,"○")&gt;0,1,0))</f>
        <v>0</v>
      </c>
      <c r="AV130" s="39" t="n">
        <f aca="false">IF(AV$4=0,0,IF(COUNTIFS(実績!$W$6:$W$505,AV$3,実績!$AI$6:$AI$505,"&lt;="&amp;$A130,実績!$AJ$6:$AJ$505,"&gt;"&amp;$A130,実績!$AK$6:$AK$505,"○")&gt;0,1,0))</f>
        <v>0</v>
      </c>
      <c r="AW130" s="39" t="n">
        <f aca="false">IF(AW$4=0,0,IF(COUNTIFS(実績!$W$6:$W$505,AW$3,実績!$AI$6:$AI$505,"&lt;="&amp;$A130,実績!$AJ$6:$AJ$505,"&gt;"&amp;$A130,実績!$AK$6:$AK$505,"○")&gt;0,1,0))</f>
        <v>0</v>
      </c>
      <c r="AX130" s="39" t="n">
        <f aca="false">IF(AX$4=0,0,IF(COUNTIFS(実績!$W$6:$W$505,AX$3,実績!$AI$6:$AI$505,"&lt;="&amp;$A130,実績!$AJ$6:$AJ$505,"&gt;"&amp;$A130,実績!$AK$6:$AK$505,"○")&gt;0,1,0))</f>
        <v>0</v>
      </c>
      <c r="AY130" s="39" t="n">
        <f aca="false">IF(AY$4=0,0,IF(COUNTIFS(実績!$W$6:$W$505,AY$3,実績!$AI$6:$AI$505,"&lt;="&amp;$A130,実績!$AJ$6:$AJ$505,"&gt;"&amp;$A130,実績!$AK$6:$AK$505,"○")&gt;0,1,0))</f>
        <v>0</v>
      </c>
      <c r="AZ130" s="39" t="n">
        <f aca="false">IF(AZ$4=0,0,IF(COUNTIFS(実績!$W$6:$W$505,AZ$3,実績!$AI$6:$AI$505,"&lt;="&amp;$A130,実績!$AJ$6:$AJ$505,"&gt;"&amp;$A130,実績!$AK$6:$AK$505,"○")&gt;0,1,0))</f>
        <v>0</v>
      </c>
      <c r="BA130" s="39" t="n">
        <f aca="false">IF(BA$4=0,0,IF(COUNTIFS(実績!$W$6:$W$505,BA$3,実績!$AI$6:$AI$505,"&lt;="&amp;$A130,実績!$AJ$6:$AJ$505,"&gt;"&amp;$A130,実績!$AK$6:$AK$505,"○")&gt;0,1,0))</f>
        <v>0</v>
      </c>
      <c r="BB130" s="39" t="n">
        <f aca="false">IF(BB$4=0,0,IF(COUNTIFS(実績!$W$6:$W$505,BB$3,実績!$AI$6:$AI$505,"&lt;="&amp;$A130,実績!$AJ$6:$AJ$505,"&gt;"&amp;$A130,実績!$AK$6:$AK$505,"○")&gt;0,1,0))</f>
        <v>0</v>
      </c>
      <c r="BC130" s="39" t="n">
        <f aca="false">IF(BC$4=0,0,IF(COUNTIFS(実績!$W$6:$W$505,BC$3,実績!$AI$6:$AI$505,"&lt;="&amp;$A130,実績!$AJ$6:$AJ$505,"&gt;"&amp;$A130,実績!$AK$6:$AK$505,"○")&gt;0,1,0))</f>
        <v>0</v>
      </c>
      <c r="BD130" s="39" t="n">
        <f aca="false">IF(BD$4=0,0,IF(COUNTIFS(実績!$W$6:$W$505,BD$3,実績!$AI$6:$AI$505,"&lt;="&amp;$A130,実績!$AJ$6:$AJ$505,"&gt;"&amp;$A130,実績!$AK$6:$AK$505,"○")&gt;0,1,0))</f>
        <v>0</v>
      </c>
      <c r="BE130" s="39" t="n">
        <f aca="false">IF(BE$4=0,0,IF(COUNTIFS(実績!$W$6:$W$505,BE$3,実績!$AI$6:$AI$505,"&lt;="&amp;$A130,実績!$AJ$6:$AJ$505,"&gt;"&amp;$A130,実績!$AK$6:$AK$505,"○")&gt;0,1,0))</f>
        <v>0</v>
      </c>
      <c r="BF130" s="39" t="n">
        <f aca="false">IF(BF$4=0,0,IF(COUNTIFS(実績!$W$6:$W$505,BF$3,実績!$AI$6:$AI$505,"&lt;="&amp;$A130,実績!$AJ$6:$AJ$505,"&gt;"&amp;$A130,実績!$AK$6:$AK$505,"○")&gt;0,1,0))</f>
        <v>0</v>
      </c>
      <c r="BG130" s="39" t="n">
        <f aca="false">IF(BG$4=0,0,IF(COUNTIFS(実績!$W$6:$W$505,BG$3,実績!$AI$6:$AI$505,"&lt;="&amp;$A130,実績!$AJ$6:$AJ$505,"&gt;"&amp;$A130,実績!$AK$6:$AK$505,"○")&gt;0,1,0))</f>
        <v>0</v>
      </c>
      <c r="BH130" s="39" t="n">
        <f aca="false">IF(BH$4=0,0,IF(COUNTIFS(実績!$W$6:$W$505,BH$3,実績!$AI$6:$AI$505,"&lt;="&amp;$A130,実績!$AJ$6:$AJ$505,"&gt;"&amp;$A130,実績!$AK$6:$AK$505,"○")&gt;0,1,0))</f>
        <v>0</v>
      </c>
      <c r="BI130" s="39" t="n">
        <f aca="false">IF(BI$4=0,0,IF(COUNTIFS(実績!$W$6:$W$505,BI$3,実績!$AI$6:$AI$505,"&lt;="&amp;$A130,実績!$AJ$6:$AJ$505,"&gt;"&amp;$A130,実績!$AK$6:$AK$505,"○")&gt;0,1,0))</f>
        <v>0</v>
      </c>
      <c r="BJ130" s="39" t="n">
        <f aca="false">IF(BJ$4=0,0,IF(COUNTIFS(実績!$W$6:$W$505,BJ$3,実績!$AI$6:$AI$505,"&lt;="&amp;$A130,実績!$AJ$6:$AJ$505,"&gt;"&amp;$A130,実績!$AK$6:$AK$505,"○")&gt;0,1,0))</f>
        <v>0</v>
      </c>
      <c r="BK130" s="39" t="n">
        <f aca="false">IF(BK$4=0,0,IF(COUNTIFS(実績!$W$6:$W$505,BK$3,実績!$AI$6:$AI$505,"&lt;="&amp;$A130,実績!$AJ$6:$AJ$505,"&gt;"&amp;$A130,実績!$AK$6:$AK$505,"○")&gt;0,1,0))</f>
        <v>0</v>
      </c>
      <c r="BL130" s="39" t="n">
        <f aca="false">IF(BL$4=0,0,IF(COUNTIFS(実績!$W$6:$W$505,BL$3,実績!$AI$6:$AI$505,"&lt;="&amp;$A130,実績!$AJ$6:$AJ$505,"&gt;"&amp;$A130,実績!$AK$6:$AK$505,"○")&gt;0,1,0))</f>
        <v>0</v>
      </c>
      <c r="BM130" s="39" t="n">
        <f aca="false">IF(BM$4=0,0,IF(COUNTIFS(実績!$W$6:$W$505,BM$3,実績!$AI$6:$AI$505,"&lt;="&amp;$A130,実績!$AJ$6:$AJ$505,"&gt;"&amp;$A130,実績!$AK$6:$AK$505,"○")&gt;0,1,0))</f>
        <v>0</v>
      </c>
      <c r="BN130" s="39" t="n">
        <f aca="false">IF(BN$4=0,0,IF(COUNTIFS(実績!$W$6:$W$505,BN$3,実績!$AI$6:$AI$505,"&lt;="&amp;$A130,実績!$AJ$6:$AJ$505,"&gt;"&amp;$A130,実績!$AK$6:$AK$505,"○")&gt;0,1,0))</f>
        <v>0</v>
      </c>
      <c r="BO130" s="39" t="n">
        <f aca="false">IF(BO$4=0,0,IF(COUNTIFS(実績!$W$6:$W$505,BO$3,実績!$AI$6:$AI$505,"&lt;="&amp;$A130,実績!$AJ$6:$AJ$505,"&gt;"&amp;$A130,実績!$AK$6:$AK$505,"○")&gt;0,1,0))</f>
        <v>0</v>
      </c>
      <c r="BP130" s="39" t="n">
        <f aca="false">IF(BP$4=0,0,IF(COUNTIFS(実績!$W$6:$W$505,BP$3,実績!$AI$6:$AI$505,"&lt;="&amp;$A130,実績!$AJ$6:$AJ$505,"&gt;"&amp;$A130,実績!$AK$6:$AK$505,"○")&gt;0,1,0))</f>
        <v>0</v>
      </c>
      <c r="BQ130" s="39" t="n">
        <f aca="false">IF(BQ$4=0,0,IF(COUNTIFS(実績!$W$6:$W$505,BQ$3,実績!$AI$6:$AI$505,"&lt;="&amp;$A130,実績!$AJ$6:$AJ$505,"&gt;"&amp;$A130,実績!$AK$6:$AK$505,"○")&gt;0,1,0))</f>
        <v>0</v>
      </c>
      <c r="BR130" s="39" t="n">
        <f aca="false">IF(BR$4=0,0,IF(COUNTIFS(実績!$W$6:$W$505,BR$3,実績!$AI$6:$AI$505,"&lt;="&amp;$A130,実績!$AJ$6:$AJ$505,"&gt;"&amp;$A130,実績!$AK$6:$AK$505,"○")&gt;0,1,0))</f>
        <v>0</v>
      </c>
      <c r="BS130" s="39" t="n">
        <f aca="false">IF(BS$4=0,0,IF(COUNTIFS(実績!$W$6:$W$505,BS$3,実績!$AI$6:$AI$505,"&lt;="&amp;$A130,実績!$AJ$6:$AJ$505,"&gt;"&amp;$A130,実績!$AK$6:$AK$505,"○")&gt;0,1,0))</f>
        <v>0</v>
      </c>
      <c r="BT130" s="39" t="n">
        <f aca="false">IF(BT$4=0,0,IF(COUNTIFS(実績!$W$6:$W$505,BT$3,実績!$AI$6:$AI$505,"&lt;="&amp;$A130,実績!$AJ$6:$AJ$505,"&gt;"&amp;$A130,実績!$AK$6:$AK$505,"○")&gt;0,1,0))</f>
        <v>0</v>
      </c>
      <c r="BU130" s="39" t="n">
        <f aca="false">IF(BU$4=0,0,IF(COUNTIFS(実績!$W$6:$W$505,BU$3,実績!$AI$6:$AI$505,"&lt;="&amp;$A130,実績!$AJ$6:$AJ$505,"&gt;"&amp;$A130,実績!$AK$6:$AK$505,"○")&gt;0,1,0))</f>
        <v>0</v>
      </c>
      <c r="BV130" s="39" t="n">
        <f aca="false">IF(BV$4=0,0,IF(COUNTIFS(実績!$W$6:$W$505,BV$3,実績!$AI$6:$AI$505,"&lt;="&amp;$A130,実績!$AJ$6:$AJ$505,"&gt;"&amp;$A130,実績!$AK$6:$AK$505,"○")&gt;0,1,0))</f>
        <v>0</v>
      </c>
      <c r="BW130" s="39" t="n">
        <f aca="false">IF(BW$4=0,0,IF(COUNTIFS(実績!$W$6:$W$505,BW$3,実績!$AI$6:$AI$505,"&lt;="&amp;$A130,実績!$AJ$6:$AJ$505,"&gt;"&amp;$A130,実績!$AK$6:$AK$505,"○")&gt;0,1,0))</f>
        <v>0</v>
      </c>
      <c r="BX130" s="39" t="n">
        <f aca="false">IF(BX$4=0,0,IF(COUNTIFS(実績!$W$6:$W$505,BX$3,実績!$AI$6:$AI$505,"&lt;="&amp;$A130,実績!$AJ$6:$AJ$505,"&gt;"&amp;$A130,実績!$AK$6:$AK$505,"○")&gt;0,1,0))</f>
        <v>0</v>
      </c>
      <c r="BY130" s="39" t="n">
        <f aca="false">IF(BY$4=0,0,IF(COUNTIFS(実績!$W$6:$W$505,BY$3,実績!$AI$6:$AI$505,"&lt;="&amp;$A130,実績!$AJ$6:$AJ$505,"&gt;"&amp;$A130,実績!$AK$6:$AK$505,"○")&gt;0,1,0))</f>
        <v>0</v>
      </c>
      <c r="BZ130" s="39" t="n">
        <f aca="false">IF(BZ$4=0,0,IF(COUNTIFS(実績!$W$6:$W$505,BZ$3,実績!$AI$6:$AI$505,"&lt;="&amp;$A130,実績!$AJ$6:$AJ$505,"&gt;"&amp;$A130,実績!$AK$6:$AK$505,"○")&gt;0,1,0))</f>
        <v>0</v>
      </c>
      <c r="CA130" s="39" t="n">
        <f aca="false">IF(CA$4=0,0,IF(COUNTIFS(実績!$W$6:$W$505,CA$3,実績!$AI$6:$AI$505,"&lt;="&amp;$A130,実績!$AJ$6:$AJ$505,"&gt;"&amp;$A130,実績!$AK$6:$AK$505,"○")&gt;0,1,0))</f>
        <v>0</v>
      </c>
      <c r="CB130" s="39" t="n">
        <f aca="false">IF(CB$4=0,0,IF(COUNTIFS(実績!$W$6:$W$505,CB$3,実績!$AI$6:$AI$505,"&lt;="&amp;$A130,実績!$AJ$6:$AJ$505,"&gt;"&amp;$A130,実績!$AK$6:$AK$505,"○")&gt;0,1,0))</f>
        <v>0</v>
      </c>
      <c r="CC130" s="39" t="n">
        <f aca="false">IF(CC$4=0,0,IF(COUNTIFS(実績!$W$6:$W$505,CC$3,実績!$AI$6:$AI$505,"&lt;="&amp;$A130,実績!$AJ$6:$AJ$505,"&gt;"&amp;$A130,実績!$AK$6:$AK$505,"○")&gt;0,1,0))</f>
        <v>0</v>
      </c>
      <c r="CD130" s="39" t="n">
        <f aca="false">IF(CD$4=0,0,IF(COUNTIFS(実績!$W$6:$W$505,CD$3,実績!$AI$6:$AI$505,"&lt;="&amp;$A130,実績!$AJ$6:$AJ$505,"&gt;"&amp;$A130,実績!$AK$6:$AK$505,"○")&gt;0,1,0))</f>
        <v>0</v>
      </c>
      <c r="CE130" s="39" t="n">
        <f aca="false">IF(CE$4=0,0,IF(COUNTIFS(実績!$W$6:$W$505,CE$3,実績!$AI$6:$AI$505,"&lt;="&amp;$A130,実績!$AJ$6:$AJ$505,"&gt;"&amp;$A130,実績!$AK$6:$AK$505,"○")&gt;0,1,0))</f>
        <v>0</v>
      </c>
      <c r="CF130" s="39" t="n">
        <f aca="false">IF(CF$4=0,0,IF(COUNTIFS(実績!$W$6:$W$505,CF$3,実績!$AI$6:$AI$505,"&lt;="&amp;$A130,実績!$AJ$6:$AJ$505,"&gt;"&amp;$A130,実績!$AK$6:$AK$505,"○")&gt;0,1,0))</f>
        <v>0</v>
      </c>
      <c r="CG130" s="39" t="n">
        <f aca="false">IF(CG$4=0,0,IF(COUNTIFS(実績!$W$6:$W$505,CG$3,実績!$AI$6:$AI$505,"&lt;="&amp;$A130,実績!$AJ$6:$AJ$505,"&gt;"&amp;$A130,実績!$AK$6:$AK$505,"○")&gt;0,1,0))</f>
        <v>0</v>
      </c>
      <c r="CH130" s="39" t="n">
        <f aca="false">IF(CH$4=0,0,IF(COUNTIFS(実績!$W$6:$W$505,CH$3,実績!$AI$6:$AI$505,"&lt;="&amp;$A130,実績!$AJ$6:$AJ$505,"&gt;"&amp;$A130,実績!$AK$6:$AK$505,"○")&gt;0,1,0))</f>
        <v>0</v>
      </c>
      <c r="CI130" s="39" t="n">
        <f aca="false">IF(CI$4=0,0,IF(COUNTIFS(実績!$W$6:$W$505,CI$3,実績!$AI$6:$AI$505,"&lt;="&amp;$A130,実績!$AJ$6:$AJ$505,"&gt;"&amp;$A130,実績!$AK$6:$AK$505,"○")&gt;0,1,0))</f>
        <v>0</v>
      </c>
      <c r="CJ130" s="39" t="n">
        <f aca="false">IF(CJ$4=0,0,IF(COUNTIFS(実績!$W$6:$W$505,CJ$3,実績!$AI$6:$AI$505,"&lt;="&amp;$A130,実績!$AJ$6:$AJ$505,"&gt;"&amp;$A130,実績!$AK$6:$AK$505,"○")&gt;0,1,0))</f>
        <v>0</v>
      </c>
      <c r="CK130" s="39" t="n">
        <f aca="false">IF(CK$4=0,0,IF(COUNTIFS(実績!$W$6:$W$505,CK$3,実績!$AI$6:$AI$505,"&lt;="&amp;$A130,実績!$AJ$6:$AJ$505,"&gt;"&amp;$A130,実績!$AK$6:$AK$505,"○")&gt;0,1,0))</f>
        <v>0</v>
      </c>
      <c r="CL130" s="39" t="n">
        <f aca="false">IF(CL$4=0,0,IF(COUNTIFS(実績!$W$6:$W$505,CL$3,実績!$AI$6:$AI$505,"&lt;="&amp;$A130,実績!$AJ$6:$AJ$505,"&gt;"&amp;$A130,実績!$AK$6:$AK$505,"○")&gt;0,1,0))</f>
        <v>0</v>
      </c>
      <c r="CM130" s="39" t="n">
        <f aca="false">IF(CM$4=0,0,IF(COUNTIFS(実績!$W$6:$W$505,CM$3,実績!$AI$6:$AI$505,"&lt;="&amp;$A130,実績!$AJ$6:$AJ$505,"&gt;"&amp;$A130,実績!$AK$6:$AK$505,"○")&gt;0,1,0))</f>
        <v>0</v>
      </c>
      <c r="CN130" s="39" t="n">
        <f aca="false">IF(CN$4=0,0,IF(COUNTIFS(実績!$W$6:$W$505,CN$3,実績!$AI$6:$AI$505,"&lt;="&amp;$A130,実績!$AJ$6:$AJ$505,"&gt;"&amp;$A130,実績!$AK$6:$AK$505,"○")&gt;0,1,0))</f>
        <v>0</v>
      </c>
      <c r="CO130" s="39" t="n">
        <f aca="false">IF(CO$4=0,0,IF(COUNTIFS(実績!$W$6:$W$505,CO$3,実績!$AI$6:$AI$505,"&lt;="&amp;$A130,実績!$AJ$6:$AJ$505,"&gt;"&amp;$A130,実績!$AK$6:$AK$505,"○")&gt;0,1,0))</f>
        <v>0</v>
      </c>
      <c r="CP130" s="39" t="n">
        <f aca="false">IF(CP$4=0,0,IF(COUNTIFS(実績!$W$6:$W$505,CP$3,実績!$AI$6:$AI$505,"&lt;="&amp;$A130,実績!$AJ$6:$AJ$505,"&gt;"&amp;$A130,実績!$AK$6:$AK$505,"○")&gt;0,1,0))</f>
        <v>0</v>
      </c>
      <c r="CQ130" s="39" t="n">
        <f aca="false">IF(CQ$4=0,0,IF(COUNTIFS(実績!$W$6:$W$505,CQ$3,実績!$AI$6:$AI$505,"&lt;="&amp;$A130,実績!$AJ$6:$AJ$505,"&gt;"&amp;$A130,実績!$AK$6:$AK$505,"○")&gt;0,1,0))</f>
        <v>0</v>
      </c>
      <c r="CR130" s="39" t="n">
        <f aca="false">IF(CR$4=0,0,IF(COUNTIFS(実績!$W$6:$W$505,CR$3,実績!$AI$6:$AI$505,"&lt;="&amp;$A130,実績!$AJ$6:$AJ$505,"&gt;"&amp;$A130,実績!$AK$6:$AK$505,"○")&gt;0,1,0))</f>
        <v>0</v>
      </c>
      <c r="CS130" s="39" t="n">
        <f aca="false">IF(CS$4=0,0,IF(COUNTIFS(実績!$W$6:$W$505,CS$3,実績!$AI$6:$AI$505,"&lt;="&amp;$A130,実績!$AJ$6:$AJ$505,"&gt;"&amp;$A130,実績!$AK$6:$AK$505,"○")&gt;0,1,0))</f>
        <v>0</v>
      </c>
      <c r="CT130" s="39" t="n">
        <f aca="false">IF(CT$4=0,0,IF(COUNTIFS(実績!$W$6:$W$505,CT$3,実績!$AI$6:$AI$505,"&lt;="&amp;$A130,実績!$AJ$6:$AJ$505,"&gt;"&amp;$A130,実績!$AK$6:$AK$505,"○")&gt;0,1,0))</f>
        <v>0</v>
      </c>
      <c r="CU130" s="39" t="n">
        <f aca="false">IF(CU$4=0,0,IF(COUNTIFS(実績!$W$6:$W$505,CU$3,実績!$AI$6:$AI$505,"&lt;="&amp;$A130,実績!$AJ$6:$AJ$505,"&gt;"&amp;$A130,実績!$AK$6:$AK$505,"○")&gt;0,1,0))</f>
        <v>0</v>
      </c>
      <c r="CV130" s="39" t="n">
        <f aca="false">IF(CV$4=0,0,IF(COUNTIFS(実績!$W$6:$W$505,CV$3,実績!$AI$6:$AI$505,"&lt;="&amp;$A130,実績!$AJ$6:$AJ$505,"&gt;"&amp;$A130,実績!$AK$6:$AK$505,"○")&gt;0,1,0))</f>
        <v>0</v>
      </c>
      <c r="CW130" s="39" t="n">
        <f aca="false">IF(CW$4=0,0,IF(COUNTIFS(実績!$W$6:$W$505,CW$3,実績!$AI$6:$AI$505,"&lt;="&amp;$A130,実績!$AJ$6:$AJ$505,"&gt;"&amp;$A130,実績!$AK$6:$AK$505,"○")&gt;0,1,0))</f>
        <v>0</v>
      </c>
      <c r="CX130" s="39" t="n">
        <f aca="false">IF(CX$4=0,0,IF(COUNTIFS(実績!$W$6:$W$505,CX$3,実績!$AI$6:$AI$505,"&lt;="&amp;$A130,実績!$AJ$6:$AJ$505,"&gt;"&amp;$A130,実績!$AK$6:$AK$505,"○")&gt;0,1,0))</f>
        <v>0</v>
      </c>
      <c r="CY130" s="39" t="n">
        <f aca="false">IF(CY$4=0,0,IF(COUNTIFS(実績!$W$6:$W$505,CY$3,実績!$AI$6:$AI$505,"&lt;="&amp;$A130,実績!$AJ$6:$AJ$505,"&gt;"&amp;$A130,実績!$AK$6:$AK$505,"○")&gt;0,1,0))</f>
        <v>0</v>
      </c>
      <c r="CZ130" s="39" t="n">
        <f aca="false">IF(CZ$4=0,0,IF(COUNTIFS(実績!$W$6:$W$505,CZ$3,実績!$AI$6:$AI$505,"&lt;="&amp;$A130,実績!$AJ$6:$AJ$505,"&gt;"&amp;$A130,実績!$AK$6:$AK$505,"○")&gt;0,1,0))</f>
        <v>0</v>
      </c>
      <c r="DA130" s="39" t="n">
        <f aca="false">IF(DA$4=0,0,IF(COUNTIFS(実績!$W$6:$W$505,DA$3,実績!$AI$6:$AI$505,"&lt;="&amp;$A130,実績!$AJ$6:$AJ$505,"&gt;"&amp;$A130,実績!$AK$6:$AK$505,"○")&gt;0,1,0))</f>
        <v>0</v>
      </c>
      <c r="DB130" s="39" t="n">
        <f aca="false">IF(DB$4=0,0,IF(COUNTIFS(実績!$W$6:$W$505,DB$3,実績!$AI$6:$AI$505,"&lt;="&amp;$A130,実績!$AJ$6:$AJ$505,"&gt;"&amp;$A130,実績!$AK$6:$AK$505,"○")&gt;0,1,0))</f>
        <v>0</v>
      </c>
      <c r="DC130" s="39" t="n">
        <f aca="false">IF(DC$4=0,0,IF(COUNTIFS(実績!$W$6:$W$505,DC$3,実績!$AI$6:$AI$505,"&lt;="&amp;$A130,実績!$AJ$6:$AJ$505,"&gt;"&amp;$A130,実績!$AK$6:$AK$505,"○")&gt;0,1,0))</f>
        <v>0</v>
      </c>
      <c r="DD130" s="39" t="n">
        <f aca="false">IF(DD$4=0,0,IF(COUNTIFS(実績!$W$6:$W$505,DD$3,実績!$AI$6:$AI$505,"&lt;="&amp;$A130,実績!$AJ$6:$AJ$505,"&gt;"&amp;$A130,実績!$AK$6:$AK$505,"○")&gt;0,1,0))</f>
        <v>0</v>
      </c>
      <c r="DE130" s="39" t="n">
        <f aca="false">IF(DE$4=0,0,IF(COUNTIFS(実績!$W$6:$W$505,DE$3,実績!$AI$6:$AI$505,"&lt;="&amp;$A130,実績!$AJ$6:$AJ$505,"&gt;"&amp;$A130,実績!$AK$6:$AK$505,"○")&gt;0,1,0))</f>
        <v>0</v>
      </c>
      <c r="DF130" s="39" t="n">
        <f aca="false">IF(DF$4=0,0,IF(COUNTIFS(実績!$W$6:$W$505,DF$3,実績!$AI$6:$AI$505,"&lt;="&amp;$A130,実績!$AJ$6:$AJ$505,"&gt;"&amp;$A130,実績!$AK$6:$AK$505,"○")&gt;0,1,0))</f>
        <v>0</v>
      </c>
      <c r="DG130" s="39" t="n">
        <f aca="false">IF(DG$4=0,0,IF(COUNTIFS(実績!$W$6:$W$505,DG$3,実績!$AI$6:$AI$505,"&lt;="&amp;$A130,実績!$AJ$6:$AJ$505,"&gt;"&amp;$A130,実績!$AK$6:$AK$505,"○")&gt;0,1,0))</f>
        <v>0</v>
      </c>
      <c r="DH130" s="39" t="n">
        <f aca="false">IF(DH$4=0,0,IF(COUNTIFS(実績!$W$6:$W$505,DH$3,実績!$AI$6:$AI$505,"&lt;="&amp;$A130,実績!$AJ$6:$AJ$505,"&gt;"&amp;$A130,実績!$AK$6:$AK$505,"○")&gt;0,1,0))</f>
        <v>0</v>
      </c>
      <c r="DI130" s="39" t="n">
        <f aca="false">IF(DI$4=0,0,IF(COUNTIFS(実績!$W$6:$W$505,DI$3,実績!$AI$6:$AI$505,"&lt;="&amp;$A130,実績!$AJ$6:$AJ$505,"&gt;"&amp;$A130,実績!$AK$6:$AK$505,"○")&gt;0,1,0))</f>
        <v>0</v>
      </c>
      <c r="DJ130" s="39" t="n">
        <f aca="false">IF(DJ$4=0,0,IF(COUNTIFS(実績!$W$6:$W$505,DJ$3,実績!$AI$6:$AI$505,"&lt;="&amp;$A130,実績!$AJ$6:$AJ$505,"&gt;"&amp;$A130,実績!$AK$6:$AK$505,"○")&gt;0,1,0))</f>
        <v>0</v>
      </c>
      <c r="DK130" s="39" t="n">
        <f aca="false">IF(DK$4=0,0,IF(COUNTIFS(実績!$W$6:$W$505,DK$3,実績!$AI$6:$AI$505,"&lt;="&amp;$A130,実績!$AJ$6:$AJ$505,"&gt;"&amp;$A130,実績!$AK$6:$AK$505,"○")&gt;0,1,0))</f>
        <v>0</v>
      </c>
      <c r="DL130" s="39" t="n">
        <f aca="false">IF(DL$4=0,0,IF(COUNTIFS(実績!$W$6:$W$505,DL$3,実績!$AI$6:$AI$505,"&lt;="&amp;$A130,実績!$AJ$6:$AJ$505,"&gt;"&amp;$A130,実績!$AK$6:$AK$505,"○")&gt;0,1,0))</f>
        <v>0</v>
      </c>
      <c r="DM130" s="39" t="n">
        <f aca="false">IF(DM$4=0,0,IF(COUNTIFS(実績!$W$6:$W$505,DM$3,実績!$AI$6:$AI$505,"&lt;="&amp;$A130,実績!$AJ$6:$AJ$505,"&gt;"&amp;$A130,実績!$AK$6:$AK$505,"○")&gt;0,1,0))</f>
        <v>0</v>
      </c>
      <c r="DN130" s="39" t="n">
        <f aca="false">IF(DN$4=0,0,IF(COUNTIFS(実績!$W$6:$W$505,DN$3,実績!$AI$6:$AI$505,"&lt;="&amp;$A130,実績!$AJ$6:$AJ$505,"&gt;"&amp;$A130,実績!$AK$6:$AK$505,"○")&gt;0,1,0))</f>
        <v>0</v>
      </c>
      <c r="DO130" s="39" t="n">
        <f aca="false">IF(DO$4=0,0,IF(COUNTIFS(実績!$W$6:$W$505,DO$3,実績!$AI$6:$AI$505,"&lt;="&amp;$A130,実績!$AJ$6:$AJ$505,"&gt;"&amp;$A130,実績!$AK$6:$AK$505,"○")&gt;0,1,0))</f>
        <v>0</v>
      </c>
      <c r="DP130" s="39" t="n">
        <f aca="false">IF(DP$4=0,0,IF(COUNTIFS(実績!$W$6:$W$505,DP$3,実績!$AI$6:$AI$505,"&lt;="&amp;$A130,実績!$AJ$6:$AJ$505,"&gt;"&amp;$A130,実績!$AK$6:$AK$505,"○")&gt;0,1,0))</f>
        <v>0</v>
      </c>
      <c r="DQ130" s="39" t="n">
        <f aca="false">IF(DQ$4=0,0,IF(COUNTIFS(実績!$W$6:$W$505,DQ$3,実績!$AI$6:$AI$505,"&lt;="&amp;$A130,実績!$AJ$6:$AJ$505,"&gt;"&amp;$A130,実績!$AK$6:$AK$505,"○")&gt;0,1,0))</f>
        <v>0</v>
      </c>
      <c r="DR130" s="39" t="n">
        <f aca="false">IF(DR$4=0,0,IF(COUNTIFS(実績!$W$6:$W$505,DR$3,実績!$AI$6:$AI$505,"&lt;="&amp;$A130,実績!$AJ$6:$AJ$505,"&gt;"&amp;$A130,実績!$AK$6:$AK$505,"○")&gt;0,1,0))</f>
        <v>0</v>
      </c>
      <c r="DS130" s="39" t="n">
        <f aca="false">SUM(C130:DR130)</f>
        <v>0</v>
      </c>
      <c r="DT130" s="39" t="n">
        <f aca="false">SUMPRODUCT((実績!$C$6:$C$505="○")*ISNUMBER(実績!$AM$6:$AM$505)*(実績!$AM$6:$AM$505&lt;=$A130)*(実績!$AN$6:$AN$505&gt;$A130))</f>
        <v>0</v>
      </c>
      <c r="DU130" s="39" t="n">
        <f aca="false">SUMIF($C$2:$DR$2,"製鉄曳船",C130:DR130)</f>
        <v>0</v>
      </c>
      <c r="DV130" s="39" t="n">
        <f aca="false">SUMIF($C$2:$DR$2,"西日本海運",C130:DR130)</f>
        <v>0</v>
      </c>
    </row>
    <row r="131" customFormat="false" ht="15" hidden="false" customHeight="false" outlineLevel="0" collapsed="false">
      <c r="A131" s="0" t="n">
        <v>625</v>
      </c>
      <c r="B131" s="38" t="n">
        <f aca="false">A131/1440</f>
        <v>0.434027777777778</v>
      </c>
      <c r="C131" s="39" t="n">
        <f aca="false">IF(C$4=0,0,IF(COUNTIFS(実績!$W$6:$W$505,C$3,実績!$AI$6:$AI$505,"&lt;="&amp;$A131,実績!$AJ$6:$AJ$505,"&gt;"&amp;$A131,実績!$AK$6:$AK$505,"○")&gt;0,1,0))</f>
        <v>0</v>
      </c>
      <c r="D131" s="39" t="n">
        <f aca="false">IF(D$4=0,0,IF(COUNTIFS(実績!$W$6:$W$505,D$3,実績!$AI$6:$AI$505,"&lt;="&amp;$A131,実績!$AJ$6:$AJ$505,"&gt;"&amp;$A131,実績!$AK$6:$AK$505,"○")&gt;0,1,0))</f>
        <v>0</v>
      </c>
      <c r="E131" s="39" t="n">
        <f aca="false">IF(E$4=0,0,IF(COUNTIFS(実績!$W$6:$W$505,E$3,実績!$AI$6:$AI$505,"&lt;="&amp;$A131,実績!$AJ$6:$AJ$505,"&gt;"&amp;$A131,実績!$AK$6:$AK$505,"○")&gt;0,1,0))</f>
        <v>0</v>
      </c>
      <c r="F131" s="39" t="n">
        <f aca="false">IF(F$4=0,0,IF(COUNTIFS(実績!$W$6:$W$505,F$3,実績!$AI$6:$AI$505,"&lt;="&amp;$A131,実績!$AJ$6:$AJ$505,"&gt;"&amp;$A131,実績!$AK$6:$AK$505,"○")&gt;0,1,0))</f>
        <v>0</v>
      </c>
      <c r="G131" s="39" t="n">
        <f aca="false">IF(G$4=0,0,IF(COUNTIFS(実績!$W$6:$W$505,G$3,実績!$AI$6:$AI$505,"&lt;="&amp;$A131,実績!$AJ$6:$AJ$505,"&gt;"&amp;$A131,実績!$AK$6:$AK$505,"○")&gt;0,1,0))</f>
        <v>0</v>
      </c>
      <c r="H131" s="39" t="n">
        <f aca="false">IF(H$4=0,0,IF(COUNTIFS(実績!$W$6:$W$505,H$3,実績!$AI$6:$AI$505,"&lt;="&amp;$A131,実績!$AJ$6:$AJ$505,"&gt;"&amp;$A131,実績!$AK$6:$AK$505,"○")&gt;0,1,0))</f>
        <v>0</v>
      </c>
      <c r="I131" s="39" t="n">
        <f aca="false">IF(I$4=0,0,IF(COUNTIFS(実績!$W$6:$W$505,I$3,実績!$AI$6:$AI$505,"&lt;="&amp;$A131,実績!$AJ$6:$AJ$505,"&gt;"&amp;$A131,実績!$AK$6:$AK$505,"○")&gt;0,1,0))</f>
        <v>0</v>
      </c>
      <c r="J131" s="39" t="n">
        <f aca="false">IF(J$4=0,0,IF(COUNTIFS(実績!$W$6:$W$505,J$3,実績!$AI$6:$AI$505,"&lt;="&amp;$A131,実績!$AJ$6:$AJ$505,"&gt;"&amp;$A131,実績!$AK$6:$AK$505,"○")&gt;0,1,0))</f>
        <v>0</v>
      </c>
      <c r="K131" s="39" t="n">
        <f aca="false">IF(K$4=0,0,IF(COUNTIFS(実績!$W$6:$W$505,K$3,実績!$AI$6:$AI$505,"&lt;="&amp;$A131,実績!$AJ$6:$AJ$505,"&gt;"&amp;$A131,実績!$AK$6:$AK$505,"○")&gt;0,1,0))</f>
        <v>0</v>
      </c>
      <c r="L131" s="39" t="n">
        <f aca="false">IF(L$4=0,0,IF(COUNTIFS(実績!$W$6:$W$505,L$3,実績!$AI$6:$AI$505,"&lt;="&amp;$A131,実績!$AJ$6:$AJ$505,"&gt;"&amp;$A131,実績!$AK$6:$AK$505,"○")&gt;0,1,0))</f>
        <v>0</v>
      </c>
      <c r="M131" s="39" t="n">
        <f aca="false">IF(M$4=0,0,IF(COUNTIFS(実績!$W$6:$W$505,M$3,実績!$AI$6:$AI$505,"&lt;="&amp;$A131,実績!$AJ$6:$AJ$505,"&gt;"&amp;$A131,実績!$AK$6:$AK$505,"○")&gt;0,1,0))</f>
        <v>0</v>
      </c>
      <c r="N131" s="39" t="n">
        <f aca="false">IF(N$4=0,0,IF(COUNTIFS(実績!$W$6:$W$505,N$3,実績!$AI$6:$AI$505,"&lt;="&amp;$A131,実績!$AJ$6:$AJ$505,"&gt;"&amp;$A131,実績!$AK$6:$AK$505,"○")&gt;0,1,0))</f>
        <v>0</v>
      </c>
      <c r="O131" s="39" t="n">
        <f aca="false">IF(O$4=0,0,IF(COUNTIFS(実績!$W$6:$W$505,O$3,実績!$AI$6:$AI$505,"&lt;="&amp;$A131,実績!$AJ$6:$AJ$505,"&gt;"&amp;$A131,実績!$AK$6:$AK$505,"○")&gt;0,1,0))</f>
        <v>0</v>
      </c>
      <c r="P131" s="39" t="n">
        <f aca="false">IF(P$4=0,0,IF(COUNTIFS(実績!$W$6:$W$505,P$3,実績!$AI$6:$AI$505,"&lt;="&amp;$A131,実績!$AJ$6:$AJ$505,"&gt;"&amp;$A131,実績!$AK$6:$AK$505,"○")&gt;0,1,0))</f>
        <v>0</v>
      </c>
      <c r="Q131" s="39" t="n">
        <f aca="false">IF(Q$4=0,0,IF(COUNTIFS(実績!$W$6:$W$505,Q$3,実績!$AI$6:$AI$505,"&lt;="&amp;$A131,実績!$AJ$6:$AJ$505,"&gt;"&amp;$A131,実績!$AK$6:$AK$505,"○")&gt;0,1,0))</f>
        <v>0</v>
      </c>
      <c r="R131" s="39" t="n">
        <f aca="false">IF(R$4=0,0,IF(COUNTIFS(実績!$W$6:$W$505,R$3,実績!$AI$6:$AI$505,"&lt;="&amp;$A131,実績!$AJ$6:$AJ$505,"&gt;"&amp;$A131,実績!$AK$6:$AK$505,"○")&gt;0,1,0))</f>
        <v>0</v>
      </c>
      <c r="S131" s="39" t="n">
        <f aca="false">IF(S$4=0,0,IF(COUNTIFS(実績!$W$6:$W$505,S$3,実績!$AI$6:$AI$505,"&lt;="&amp;$A131,実績!$AJ$6:$AJ$505,"&gt;"&amp;$A131,実績!$AK$6:$AK$505,"○")&gt;0,1,0))</f>
        <v>0</v>
      </c>
      <c r="T131" s="39" t="n">
        <f aca="false">IF(T$4=0,0,IF(COUNTIFS(実績!$W$6:$W$505,T$3,実績!$AI$6:$AI$505,"&lt;="&amp;$A131,実績!$AJ$6:$AJ$505,"&gt;"&amp;$A131,実績!$AK$6:$AK$505,"○")&gt;0,1,0))</f>
        <v>0</v>
      </c>
      <c r="U131" s="39" t="n">
        <f aca="false">IF(U$4=0,0,IF(COUNTIFS(実績!$W$6:$W$505,U$3,実績!$AI$6:$AI$505,"&lt;="&amp;$A131,実績!$AJ$6:$AJ$505,"&gt;"&amp;$A131,実績!$AK$6:$AK$505,"○")&gt;0,1,0))</f>
        <v>0</v>
      </c>
      <c r="V131" s="39" t="n">
        <f aca="false">IF(V$4=0,0,IF(COUNTIFS(実績!$W$6:$W$505,V$3,実績!$AI$6:$AI$505,"&lt;="&amp;$A131,実績!$AJ$6:$AJ$505,"&gt;"&amp;$A131,実績!$AK$6:$AK$505,"○")&gt;0,1,0))</f>
        <v>0</v>
      </c>
      <c r="W131" s="39" t="n">
        <f aca="false">IF(W$4=0,0,IF(COUNTIFS(実績!$W$6:$W$505,W$3,実績!$AI$6:$AI$505,"&lt;="&amp;$A131,実績!$AJ$6:$AJ$505,"&gt;"&amp;$A131,実績!$AK$6:$AK$505,"○")&gt;0,1,0))</f>
        <v>0</v>
      </c>
      <c r="X131" s="39" t="n">
        <f aca="false">IF(X$4=0,0,IF(COUNTIFS(実績!$W$6:$W$505,X$3,実績!$AI$6:$AI$505,"&lt;="&amp;$A131,実績!$AJ$6:$AJ$505,"&gt;"&amp;$A131,実績!$AK$6:$AK$505,"○")&gt;0,1,0))</f>
        <v>0</v>
      </c>
      <c r="Y131" s="39" t="n">
        <f aca="false">IF(Y$4=0,0,IF(COUNTIFS(実績!$W$6:$W$505,Y$3,実績!$AI$6:$AI$505,"&lt;="&amp;$A131,実績!$AJ$6:$AJ$505,"&gt;"&amp;$A131,実績!$AK$6:$AK$505,"○")&gt;0,1,0))</f>
        <v>0</v>
      </c>
      <c r="Z131" s="39" t="n">
        <f aca="false">IF(Z$4=0,0,IF(COUNTIFS(実績!$W$6:$W$505,Z$3,実績!$AI$6:$AI$505,"&lt;="&amp;$A131,実績!$AJ$6:$AJ$505,"&gt;"&amp;$A131,実績!$AK$6:$AK$505,"○")&gt;0,1,0))</f>
        <v>0</v>
      </c>
      <c r="AA131" s="39" t="n">
        <f aca="false">IF(AA$4=0,0,IF(COUNTIFS(実績!$W$6:$W$505,AA$3,実績!$AI$6:$AI$505,"&lt;="&amp;$A131,実績!$AJ$6:$AJ$505,"&gt;"&amp;$A131,実績!$AK$6:$AK$505,"○")&gt;0,1,0))</f>
        <v>0</v>
      </c>
      <c r="AB131" s="39" t="n">
        <f aca="false">IF(AB$4=0,0,IF(COUNTIFS(実績!$W$6:$W$505,AB$3,実績!$AI$6:$AI$505,"&lt;="&amp;$A131,実績!$AJ$6:$AJ$505,"&gt;"&amp;$A131,実績!$AK$6:$AK$505,"○")&gt;0,1,0))</f>
        <v>0</v>
      </c>
      <c r="AC131" s="39" t="n">
        <f aca="false">IF(AC$4=0,0,IF(COUNTIFS(実績!$W$6:$W$505,AC$3,実績!$AI$6:$AI$505,"&lt;="&amp;$A131,実績!$AJ$6:$AJ$505,"&gt;"&amp;$A131,実績!$AK$6:$AK$505,"○")&gt;0,1,0))</f>
        <v>0</v>
      </c>
      <c r="AD131" s="39" t="n">
        <f aca="false">IF(AD$4=0,0,IF(COUNTIFS(実績!$W$6:$W$505,AD$3,実績!$AI$6:$AI$505,"&lt;="&amp;$A131,実績!$AJ$6:$AJ$505,"&gt;"&amp;$A131,実績!$AK$6:$AK$505,"○")&gt;0,1,0))</f>
        <v>0</v>
      </c>
      <c r="AE131" s="39" t="n">
        <f aca="false">IF(AE$4=0,0,IF(COUNTIFS(実績!$W$6:$W$505,AE$3,実績!$AI$6:$AI$505,"&lt;="&amp;$A131,実績!$AJ$6:$AJ$505,"&gt;"&amp;$A131,実績!$AK$6:$AK$505,"○")&gt;0,1,0))</f>
        <v>0</v>
      </c>
      <c r="AF131" s="39" t="n">
        <f aca="false">IF(AF$4=0,0,IF(COUNTIFS(実績!$W$6:$W$505,AF$3,実績!$AI$6:$AI$505,"&lt;="&amp;$A131,実績!$AJ$6:$AJ$505,"&gt;"&amp;$A131,実績!$AK$6:$AK$505,"○")&gt;0,1,0))</f>
        <v>0</v>
      </c>
      <c r="AG131" s="39" t="n">
        <f aca="false">IF(AG$4=0,0,IF(COUNTIFS(実績!$W$6:$W$505,AG$3,実績!$AI$6:$AI$505,"&lt;="&amp;$A131,実績!$AJ$6:$AJ$505,"&gt;"&amp;$A131,実績!$AK$6:$AK$505,"○")&gt;0,1,0))</f>
        <v>0</v>
      </c>
      <c r="AH131" s="39" t="n">
        <f aca="false">IF(AH$4=0,0,IF(COUNTIFS(実績!$W$6:$W$505,AH$3,実績!$AI$6:$AI$505,"&lt;="&amp;$A131,実績!$AJ$6:$AJ$505,"&gt;"&amp;$A131,実績!$AK$6:$AK$505,"○")&gt;0,1,0))</f>
        <v>0</v>
      </c>
      <c r="AI131" s="39" t="n">
        <f aca="false">IF(AI$4=0,0,IF(COUNTIFS(実績!$W$6:$W$505,AI$3,実績!$AI$6:$AI$505,"&lt;="&amp;$A131,実績!$AJ$6:$AJ$505,"&gt;"&amp;$A131,実績!$AK$6:$AK$505,"○")&gt;0,1,0))</f>
        <v>0</v>
      </c>
      <c r="AJ131" s="39" t="n">
        <f aca="false">IF(AJ$4=0,0,IF(COUNTIFS(実績!$W$6:$W$505,AJ$3,実績!$AI$6:$AI$505,"&lt;="&amp;$A131,実績!$AJ$6:$AJ$505,"&gt;"&amp;$A131,実績!$AK$6:$AK$505,"○")&gt;0,1,0))</f>
        <v>0</v>
      </c>
      <c r="AK131" s="39" t="n">
        <f aca="false">IF(AK$4=0,0,IF(COUNTIFS(実績!$W$6:$W$505,AK$3,実績!$AI$6:$AI$505,"&lt;="&amp;$A131,実績!$AJ$6:$AJ$505,"&gt;"&amp;$A131,実績!$AK$6:$AK$505,"○")&gt;0,1,0))</f>
        <v>0</v>
      </c>
      <c r="AL131" s="39" t="n">
        <f aca="false">IF(AL$4=0,0,IF(COUNTIFS(実績!$W$6:$W$505,AL$3,実績!$AI$6:$AI$505,"&lt;="&amp;$A131,実績!$AJ$6:$AJ$505,"&gt;"&amp;$A131,実績!$AK$6:$AK$505,"○")&gt;0,1,0))</f>
        <v>0</v>
      </c>
      <c r="AM131" s="39" t="n">
        <f aca="false">IF(AM$4=0,0,IF(COUNTIFS(実績!$W$6:$W$505,AM$3,実績!$AI$6:$AI$505,"&lt;="&amp;$A131,実績!$AJ$6:$AJ$505,"&gt;"&amp;$A131,実績!$AK$6:$AK$505,"○")&gt;0,1,0))</f>
        <v>0</v>
      </c>
      <c r="AN131" s="39" t="n">
        <f aca="false">IF(AN$4=0,0,IF(COUNTIFS(実績!$W$6:$W$505,AN$3,実績!$AI$6:$AI$505,"&lt;="&amp;$A131,実績!$AJ$6:$AJ$505,"&gt;"&amp;$A131,実績!$AK$6:$AK$505,"○")&gt;0,1,0))</f>
        <v>0</v>
      </c>
      <c r="AO131" s="39" t="n">
        <f aca="false">IF(AO$4=0,0,IF(COUNTIFS(実績!$W$6:$W$505,AO$3,実績!$AI$6:$AI$505,"&lt;="&amp;$A131,実績!$AJ$6:$AJ$505,"&gt;"&amp;$A131,実績!$AK$6:$AK$505,"○")&gt;0,1,0))</f>
        <v>0</v>
      </c>
      <c r="AP131" s="39" t="n">
        <f aca="false">IF(AP$4=0,0,IF(COUNTIFS(実績!$W$6:$W$505,AP$3,実績!$AI$6:$AI$505,"&lt;="&amp;$A131,実績!$AJ$6:$AJ$505,"&gt;"&amp;$A131,実績!$AK$6:$AK$505,"○")&gt;0,1,0))</f>
        <v>0</v>
      </c>
      <c r="AQ131" s="39" t="n">
        <f aca="false">IF(AQ$4=0,0,IF(COUNTIFS(実績!$W$6:$W$505,AQ$3,実績!$AI$6:$AI$505,"&lt;="&amp;$A131,実績!$AJ$6:$AJ$505,"&gt;"&amp;$A131,実績!$AK$6:$AK$505,"○")&gt;0,1,0))</f>
        <v>0</v>
      </c>
      <c r="AR131" s="39" t="n">
        <f aca="false">IF(AR$4=0,0,IF(COUNTIFS(実績!$W$6:$W$505,AR$3,実績!$AI$6:$AI$505,"&lt;="&amp;$A131,実績!$AJ$6:$AJ$505,"&gt;"&amp;$A131,実績!$AK$6:$AK$505,"○")&gt;0,1,0))</f>
        <v>0</v>
      </c>
      <c r="AS131" s="39" t="n">
        <f aca="false">IF(AS$4=0,0,IF(COUNTIFS(実績!$W$6:$W$505,AS$3,実績!$AI$6:$AI$505,"&lt;="&amp;$A131,実績!$AJ$6:$AJ$505,"&gt;"&amp;$A131,実績!$AK$6:$AK$505,"○")&gt;0,1,0))</f>
        <v>0</v>
      </c>
      <c r="AT131" s="39" t="n">
        <f aca="false">IF(AT$4=0,0,IF(COUNTIFS(実績!$W$6:$W$505,AT$3,実績!$AI$6:$AI$505,"&lt;="&amp;$A131,実績!$AJ$6:$AJ$505,"&gt;"&amp;$A131,実績!$AK$6:$AK$505,"○")&gt;0,1,0))</f>
        <v>0</v>
      </c>
      <c r="AU131" s="39" t="n">
        <f aca="false">IF(AU$4=0,0,IF(COUNTIFS(実績!$W$6:$W$505,AU$3,実績!$AI$6:$AI$505,"&lt;="&amp;$A131,実績!$AJ$6:$AJ$505,"&gt;"&amp;$A131,実績!$AK$6:$AK$505,"○")&gt;0,1,0))</f>
        <v>0</v>
      </c>
      <c r="AV131" s="39" t="n">
        <f aca="false">IF(AV$4=0,0,IF(COUNTIFS(実績!$W$6:$W$505,AV$3,実績!$AI$6:$AI$505,"&lt;="&amp;$A131,実績!$AJ$6:$AJ$505,"&gt;"&amp;$A131,実績!$AK$6:$AK$505,"○")&gt;0,1,0))</f>
        <v>0</v>
      </c>
      <c r="AW131" s="39" t="n">
        <f aca="false">IF(AW$4=0,0,IF(COUNTIFS(実績!$W$6:$W$505,AW$3,実績!$AI$6:$AI$505,"&lt;="&amp;$A131,実績!$AJ$6:$AJ$505,"&gt;"&amp;$A131,実績!$AK$6:$AK$505,"○")&gt;0,1,0))</f>
        <v>0</v>
      </c>
      <c r="AX131" s="39" t="n">
        <f aca="false">IF(AX$4=0,0,IF(COUNTIFS(実績!$W$6:$W$505,AX$3,実績!$AI$6:$AI$505,"&lt;="&amp;$A131,実績!$AJ$6:$AJ$505,"&gt;"&amp;$A131,実績!$AK$6:$AK$505,"○")&gt;0,1,0))</f>
        <v>0</v>
      </c>
      <c r="AY131" s="39" t="n">
        <f aca="false">IF(AY$4=0,0,IF(COUNTIFS(実績!$W$6:$W$505,AY$3,実績!$AI$6:$AI$505,"&lt;="&amp;$A131,実績!$AJ$6:$AJ$505,"&gt;"&amp;$A131,実績!$AK$6:$AK$505,"○")&gt;0,1,0))</f>
        <v>0</v>
      </c>
      <c r="AZ131" s="39" t="n">
        <f aca="false">IF(AZ$4=0,0,IF(COUNTIFS(実績!$W$6:$W$505,AZ$3,実績!$AI$6:$AI$505,"&lt;="&amp;$A131,実績!$AJ$6:$AJ$505,"&gt;"&amp;$A131,実績!$AK$6:$AK$505,"○")&gt;0,1,0))</f>
        <v>0</v>
      </c>
      <c r="BA131" s="39" t="n">
        <f aca="false">IF(BA$4=0,0,IF(COUNTIFS(実績!$W$6:$W$505,BA$3,実績!$AI$6:$AI$505,"&lt;="&amp;$A131,実績!$AJ$6:$AJ$505,"&gt;"&amp;$A131,実績!$AK$6:$AK$505,"○")&gt;0,1,0))</f>
        <v>0</v>
      </c>
      <c r="BB131" s="39" t="n">
        <f aca="false">IF(BB$4=0,0,IF(COUNTIFS(実績!$W$6:$W$505,BB$3,実績!$AI$6:$AI$505,"&lt;="&amp;$A131,実績!$AJ$6:$AJ$505,"&gt;"&amp;$A131,実績!$AK$6:$AK$505,"○")&gt;0,1,0))</f>
        <v>0</v>
      </c>
      <c r="BC131" s="39" t="n">
        <f aca="false">IF(BC$4=0,0,IF(COUNTIFS(実績!$W$6:$W$505,BC$3,実績!$AI$6:$AI$505,"&lt;="&amp;$A131,実績!$AJ$6:$AJ$505,"&gt;"&amp;$A131,実績!$AK$6:$AK$505,"○")&gt;0,1,0))</f>
        <v>0</v>
      </c>
      <c r="BD131" s="39" t="n">
        <f aca="false">IF(BD$4=0,0,IF(COUNTIFS(実績!$W$6:$W$505,BD$3,実績!$AI$6:$AI$505,"&lt;="&amp;$A131,実績!$AJ$6:$AJ$505,"&gt;"&amp;$A131,実績!$AK$6:$AK$505,"○")&gt;0,1,0))</f>
        <v>0</v>
      </c>
      <c r="BE131" s="39" t="n">
        <f aca="false">IF(BE$4=0,0,IF(COUNTIFS(実績!$W$6:$W$505,BE$3,実績!$AI$6:$AI$505,"&lt;="&amp;$A131,実績!$AJ$6:$AJ$505,"&gt;"&amp;$A131,実績!$AK$6:$AK$505,"○")&gt;0,1,0))</f>
        <v>0</v>
      </c>
      <c r="BF131" s="39" t="n">
        <f aca="false">IF(BF$4=0,0,IF(COUNTIFS(実績!$W$6:$W$505,BF$3,実績!$AI$6:$AI$505,"&lt;="&amp;$A131,実績!$AJ$6:$AJ$505,"&gt;"&amp;$A131,実績!$AK$6:$AK$505,"○")&gt;0,1,0))</f>
        <v>0</v>
      </c>
      <c r="BG131" s="39" t="n">
        <f aca="false">IF(BG$4=0,0,IF(COUNTIFS(実績!$W$6:$W$505,BG$3,実績!$AI$6:$AI$505,"&lt;="&amp;$A131,実績!$AJ$6:$AJ$505,"&gt;"&amp;$A131,実績!$AK$6:$AK$505,"○")&gt;0,1,0))</f>
        <v>0</v>
      </c>
      <c r="BH131" s="39" t="n">
        <f aca="false">IF(BH$4=0,0,IF(COUNTIFS(実績!$W$6:$W$505,BH$3,実績!$AI$6:$AI$505,"&lt;="&amp;$A131,実績!$AJ$6:$AJ$505,"&gt;"&amp;$A131,実績!$AK$6:$AK$505,"○")&gt;0,1,0))</f>
        <v>0</v>
      </c>
      <c r="BI131" s="39" t="n">
        <f aca="false">IF(BI$4=0,0,IF(COUNTIFS(実績!$W$6:$W$505,BI$3,実績!$AI$6:$AI$505,"&lt;="&amp;$A131,実績!$AJ$6:$AJ$505,"&gt;"&amp;$A131,実績!$AK$6:$AK$505,"○")&gt;0,1,0))</f>
        <v>0</v>
      </c>
      <c r="BJ131" s="39" t="n">
        <f aca="false">IF(BJ$4=0,0,IF(COUNTIFS(実績!$W$6:$W$505,BJ$3,実績!$AI$6:$AI$505,"&lt;="&amp;$A131,実績!$AJ$6:$AJ$505,"&gt;"&amp;$A131,実績!$AK$6:$AK$505,"○")&gt;0,1,0))</f>
        <v>0</v>
      </c>
      <c r="BK131" s="39" t="n">
        <f aca="false">IF(BK$4=0,0,IF(COUNTIFS(実績!$W$6:$W$505,BK$3,実績!$AI$6:$AI$505,"&lt;="&amp;$A131,実績!$AJ$6:$AJ$505,"&gt;"&amp;$A131,実績!$AK$6:$AK$505,"○")&gt;0,1,0))</f>
        <v>0</v>
      </c>
      <c r="BL131" s="39" t="n">
        <f aca="false">IF(BL$4=0,0,IF(COUNTIFS(実績!$W$6:$W$505,BL$3,実績!$AI$6:$AI$505,"&lt;="&amp;$A131,実績!$AJ$6:$AJ$505,"&gt;"&amp;$A131,実績!$AK$6:$AK$505,"○")&gt;0,1,0))</f>
        <v>0</v>
      </c>
      <c r="BM131" s="39" t="n">
        <f aca="false">IF(BM$4=0,0,IF(COUNTIFS(実績!$W$6:$W$505,BM$3,実績!$AI$6:$AI$505,"&lt;="&amp;$A131,実績!$AJ$6:$AJ$505,"&gt;"&amp;$A131,実績!$AK$6:$AK$505,"○")&gt;0,1,0))</f>
        <v>0</v>
      </c>
      <c r="BN131" s="39" t="n">
        <f aca="false">IF(BN$4=0,0,IF(COUNTIFS(実績!$W$6:$W$505,BN$3,実績!$AI$6:$AI$505,"&lt;="&amp;$A131,実績!$AJ$6:$AJ$505,"&gt;"&amp;$A131,実績!$AK$6:$AK$505,"○")&gt;0,1,0))</f>
        <v>0</v>
      </c>
      <c r="BO131" s="39" t="n">
        <f aca="false">IF(BO$4=0,0,IF(COUNTIFS(実績!$W$6:$W$505,BO$3,実績!$AI$6:$AI$505,"&lt;="&amp;$A131,実績!$AJ$6:$AJ$505,"&gt;"&amp;$A131,実績!$AK$6:$AK$505,"○")&gt;0,1,0))</f>
        <v>0</v>
      </c>
      <c r="BP131" s="39" t="n">
        <f aca="false">IF(BP$4=0,0,IF(COUNTIFS(実績!$W$6:$W$505,BP$3,実績!$AI$6:$AI$505,"&lt;="&amp;$A131,実績!$AJ$6:$AJ$505,"&gt;"&amp;$A131,実績!$AK$6:$AK$505,"○")&gt;0,1,0))</f>
        <v>0</v>
      </c>
      <c r="BQ131" s="39" t="n">
        <f aca="false">IF(BQ$4=0,0,IF(COUNTIFS(実績!$W$6:$W$505,BQ$3,実績!$AI$6:$AI$505,"&lt;="&amp;$A131,実績!$AJ$6:$AJ$505,"&gt;"&amp;$A131,実績!$AK$6:$AK$505,"○")&gt;0,1,0))</f>
        <v>0</v>
      </c>
      <c r="BR131" s="39" t="n">
        <f aca="false">IF(BR$4=0,0,IF(COUNTIFS(実績!$W$6:$W$505,BR$3,実績!$AI$6:$AI$505,"&lt;="&amp;$A131,実績!$AJ$6:$AJ$505,"&gt;"&amp;$A131,実績!$AK$6:$AK$505,"○")&gt;0,1,0))</f>
        <v>0</v>
      </c>
      <c r="BS131" s="39" t="n">
        <f aca="false">IF(BS$4=0,0,IF(COUNTIFS(実績!$W$6:$W$505,BS$3,実績!$AI$6:$AI$505,"&lt;="&amp;$A131,実績!$AJ$6:$AJ$505,"&gt;"&amp;$A131,実績!$AK$6:$AK$505,"○")&gt;0,1,0))</f>
        <v>0</v>
      </c>
      <c r="BT131" s="39" t="n">
        <f aca="false">IF(BT$4=0,0,IF(COUNTIFS(実績!$W$6:$W$505,BT$3,実績!$AI$6:$AI$505,"&lt;="&amp;$A131,実績!$AJ$6:$AJ$505,"&gt;"&amp;$A131,実績!$AK$6:$AK$505,"○")&gt;0,1,0))</f>
        <v>0</v>
      </c>
      <c r="BU131" s="39" t="n">
        <f aca="false">IF(BU$4=0,0,IF(COUNTIFS(実績!$W$6:$W$505,BU$3,実績!$AI$6:$AI$505,"&lt;="&amp;$A131,実績!$AJ$6:$AJ$505,"&gt;"&amp;$A131,実績!$AK$6:$AK$505,"○")&gt;0,1,0))</f>
        <v>0</v>
      </c>
      <c r="BV131" s="39" t="n">
        <f aca="false">IF(BV$4=0,0,IF(COUNTIFS(実績!$W$6:$W$505,BV$3,実績!$AI$6:$AI$505,"&lt;="&amp;$A131,実績!$AJ$6:$AJ$505,"&gt;"&amp;$A131,実績!$AK$6:$AK$505,"○")&gt;0,1,0))</f>
        <v>0</v>
      </c>
      <c r="BW131" s="39" t="n">
        <f aca="false">IF(BW$4=0,0,IF(COUNTIFS(実績!$W$6:$W$505,BW$3,実績!$AI$6:$AI$505,"&lt;="&amp;$A131,実績!$AJ$6:$AJ$505,"&gt;"&amp;$A131,実績!$AK$6:$AK$505,"○")&gt;0,1,0))</f>
        <v>0</v>
      </c>
      <c r="BX131" s="39" t="n">
        <f aca="false">IF(BX$4=0,0,IF(COUNTIFS(実績!$W$6:$W$505,BX$3,実績!$AI$6:$AI$505,"&lt;="&amp;$A131,実績!$AJ$6:$AJ$505,"&gt;"&amp;$A131,実績!$AK$6:$AK$505,"○")&gt;0,1,0))</f>
        <v>0</v>
      </c>
      <c r="BY131" s="39" t="n">
        <f aca="false">IF(BY$4=0,0,IF(COUNTIFS(実績!$W$6:$W$505,BY$3,実績!$AI$6:$AI$505,"&lt;="&amp;$A131,実績!$AJ$6:$AJ$505,"&gt;"&amp;$A131,実績!$AK$6:$AK$505,"○")&gt;0,1,0))</f>
        <v>0</v>
      </c>
      <c r="BZ131" s="39" t="n">
        <f aca="false">IF(BZ$4=0,0,IF(COUNTIFS(実績!$W$6:$W$505,BZ$3,実績!$AI$6:$AI$505,"&lt;="&amp;$A131,実績!$AJ$6:$AJ$505,"&gt;"&amp;$A131,実績!$AK$6:$AK$505,"○")&gt;0,1,0))</f>
        <v>0</v>
      </c>
      <c r="CA131" s="39" t="n">
        <f aca="false">IF(CA$4=0,0,IF(COUNTIFS(実績!$W$6:$W$505,CA$3,実績!$AI$6:$AI$505,"&lt;="&amp;$A131,実績!$AJ$6:$AJ$505,"&gt;"&amp;$A131,実績!$AK$6:$AK$505,"○")&gt;0,1,0))</f>
        <v>0</v>
      </c>
      <c r="CB131" s="39" t="n">
        <f aca="false">IF(CB$4=0,0,IF(COUNTIFS(実績!$W$6:$W$505,CB$3,実績!$AI$6:$AI$505,"&lt;="&amp;$A131,実績!$AJ$6:$AJ$505,"&gt;"&amp;$A131,実績!$AK$6:$AK$505,"○")&gt;0,1,0))</f>
        <v>0</v>
      </c>
      <c r="CC131" s="39" t="n">
        <f aca="false">IF(CC$4=0,0,IF(COUNTIFS(実績!$W$6:$W$505,CC$3,実績!$AI$6:$AI$505,"&lt;="&amp;$A131,実績!$AJ$6:$AJ$505,"&gt;"&amp;$A131,実績!$AK$6:$AK$505,"○")&gt;0,1,0))</f>
        <v>0</v>
      </c>
      <c r="CD131" s="39" t="n">
        <f aca="false">IF(CD$4=0,0,IF(COUNTIFS(実績!$W$6:$W$505,CD$3,実績!$AI$6:$AI$505,"&lt;="&amp;$A131,実績!$AJ$6:$AJ$505,"&gt;"&amp;$A131,実績!$AK$6:$AK$505,"○")&gt;0,1,0))</f>
        <v>0</v>
      </c>
      <c r="CE131" s="39" t="n">
        <f aca="false">IF(CE$4=0,0,IF(COUNTIFS(実績!$W$6:$W$505,CE$3,実績!$AI$6:$AI$505,"&lt;="&amp;$A131,実績!$AJ$6:$AJ$505,"&gt;"&amp;$A131,実績!$AK$6:$AK$505,"○")&gt;0,1,0))</f>
        <v>0</v>
      </c>
      <c r="CF131" s="39" t="n">
        <f aca="false">IF(CF$4=0,0,IF(COUNTIFS(実績!$W$6:$W$505,CF$3,実績!$AI$6:$AI$505,"&lt;="&amp;$A131,実績!$AJ$6:$AJ$505,"&gt;"&amp;$A131,実績!$AK$6:$AK$505,"○")&gt;0,1,0))</f>
        <v>0</v>
      </c>
      <c r="CG131" s="39" t="n">
        <f aca="false">IF(CG$4=0,0,IF(COUNTIFS(実績!$W$6:$W$505,CG$3,実績!$AI$6:$AI$505,"&lt;="&amp;$A131,実績!$AJ$6:$AJ$505,"&gt;"&amp;$A131,実績!$AK$6:$AK$505,"○")&gt;0,1,0))</f>
        <v>0</v>
      </c>
      <c r="CH131" s="39" t="n">
        <f aca="false">IF(CH$4=0,0,IF(COUNTIFS(実績!$W$6:$W$505,CH$3,実績!$AI$6:$AI$505,"&lt;="&amp;$A131,実績!$AJ$6:$AJ$505,"&gt;"&amp;$A131,実績!$AK$6:$AK$505,"○")&gt;0,1,0))</f>
        <v>0</v>
      </c>
      <c r="CI131" s="39" t="n">
        <f aca="false">IF(CI$4=0,0,IF(COUNTIFS(実績!$W$6:$W$505,CI$3,実績!$AI$6:$AI$505,"&lt;="&amp;$A131,実績!$AJ$6:$AJ$505,"&gt;"&amp;$A131,実績!$AK$6:$AK$505,"○")&gt;0,1,0))</f>
        <v>0</v>
      </c>
      <c r="CJ131" s="39" t="n">
        <f aca="false">IF(CJ$4=0,0,IF(COUNTIFS(実績!$W$6:$W$505,CJ$3,実績!$AI$6:$AI$505,"&lt;="&amp;$A131,実績!$AJ$6:$AJ$505,"&gt;"&amp;$A131,実績!$AK$6:$AK$505,"○")&gt;0,1,0))</f>
        <v>0</v>
      </c>
      <c r="CK131" s="39" t="n">
        <f aca="false">IF(CK$4=0,0,IF(COUNTIFS(実績!$W$6:$W$505,CK$3,実績!$AI$6:$AI$505,"&lt;="&amp;$A131,実績!$AJ$6:$AJ$505,"&gt;"&amp;$A131,実績!$AK$6:$AK$505,"○")&gt;0,1,0))</f>
        <v>0</v>
      </c>
      <c r="CL131" s="39" t="n">
        <f aca="false">IF(CL$4=0,0,IF(COUNTIFS(実績!$W$6:$W$505,CL$3,実績!$AI$6:$AI$505,"&lt;="&amp;$A131,実績!$AJ$6:$AJ$505,"&gt;"&amp;$A131,実績!$AK$6:$AK$505,"○")&gt;0,1,0))</f>
        <v>0</v>
      </c>
      <c r="CM131" s="39" t="n">
        <f aca="false">IF(CM$4=0,0,IF(COUNTIFS(実績!$W$6:$W$505,CM$3,実績!$AI$6:$AI$505,"&lt;="&amp;$A131,実績!$AJ$6:$AJ$505,"&gt;"&amp;$A131,実績!$AK$6:$AK$505,"○")&gt;0,1,0))</f>
        <v>0</v>
      </c>
      <c r="CN131" s="39" t="n">
        <f aca="false">IF(CN$4=0,0,IF(COUNTIFS(実績!$W$6:$W$505,CN$3,実績!$AI$6:$AI$505,"&lt;="&amp;$A131,実績!$AJ$6:$AJ$505,"&gt;"&amp;$A131,実績!$AK$6:$AK$505,"○")&gt;0,1,0))</f>
        <v>0</v>
      </c>
      <c r="CO131" s="39" t="n">
        <f aca="false">IF(CO$4=0,0,IF(COUNTIFS(実績!$W$6:$W$505,CO$3,実績!$AI$6:$AI$505,"&lt;="&amp;$A131,実績!$AJ$6:$AJ$505,"&gt;"&amp;$A131,実績!$AK$6:$AK$505,"○")&gt;0,1,0))</f>
        <v>0</v>
      </c>
      <c r="CP131" s="39" t="n">
        <f aca="false">IF(CP$4=0,0,IF(COUNTIFS(実績!$W$6:$W$505,CP$3,実績!$AI$6:$AI$505,"&lt;="&amp;$A131,実績!$AJ$6:$AJ$505,"&gt;"&amp;$A131,実績!$AK$6:$AK$505,"○")&gt;0,1,0))</f>
        <v>0</v>
      </c>
      <c r="CQ131" s="39" t="n">
        <f aca="false">IF(CQ$4=0,0,IF(COUNTIFS(実績!$W$6:$W$505,CQ$3,実績!$AI$6:$AI$505,"&lt;="&amp;$A131,実績!$AJ$6:$AJ$505,"&gt;"&amp;$A131,実績!$AK$6:$AK$505,"○")&gt;0,1,0))</f>
        <v>0</v>
      </c>
      <c r="CR131" s="39" t="n">
        <f aca="false">IF(CR$4=0,0,IF(COUNTIFS(実績!$W$6:$W$505,CR$3,実績!$AI$6:$AI$505,"&lt;="&amp;$A131,実績!$AJ$6:$AJ$505,"&gt;"&amp;$A131,実績!$AK$6:$AK$505,"○")&gt;0,1,0))</f>
        <v>0</v>
      </c>
      <c r="CS131" s="39" t="n">
        <f aca="false">IF(CS$4=0,0,IF(COUNTIFS(実績!$W$6:$W$505,CS$3,実績!$AI$6:$AI$505,"&lt;="&amp;$A131,実績!$AJ$6:$AJ$505,"&gt;"&amp;$A131,実績!$AK$6:$AK$505,"○")&gt;0,1,0))</f>
        <v>0</v>
      </c>
      <c r="CT131" s="39" t="n">
        <f aca="false">IF(CT$4=0,0,IF(COUNTIFS(実績!$W$6:$W$505,CT$3,実績!$AI$6:$AI$505,"&lt;="&amp;$A131,実績!$AJ$6:$AJ$505,"&gt;"&amp;$A131,実績!$AK$6:$AK$505,"○")&gt;0,1,0))</f>
        <v>0</v>
      </c>
      <c r="CU131" s="39" t="n">
        <f aca="false">IF(CU$4=0,0,IF(COUNTIFS(実績!$W$6:$W$505,CU$3,実績!$AI$6:$AI$505,"&lt;="&amp;$A131,実績!$AJ$6:$AJ$505,"&gt;"&amp;$A131,実績!$AK$6:$AK$505,"○")&gt;0,1,0))</f>
        <v>0</v>
      </c>
      <c r="CV131" s="39" t="n">
        <f aca="false">IF(CV$4=0,0,IF(COUNTIFS(実績!$W$6:$W$505,CV$3,実績!$AI$6:$AI$505,"&lt;="&amp;$A131,実績!$AJ$6:$AJ$505,"&gt;"&amp;$A131,実績!$AK$6:$AK$505,"○")&gt;0,1,0))</f>
        <v>0</v>
      </c>
      <c r="CW131" s="39" t="n">
        <f aca="false">IF(CW$4=0,0,IF(COUNTIFS(実績!$W$6:$W$505,CW$3,実績!$AI$6:$AI$505,"&lt;="&amp;$A131,実績!$AJ$6:$AJ$505,"&gt;"&amp;$A131,実績!$AK$6:$AK$505,"○")&gt;0,1,0))</f>
        <v>0</v>
      </c>
      <c r="CX131" s="39" t="n">
        <f aca="false">IF(CX$4=0,0,IF(COUNTIFS(実績!$W$6:$W$505,CX$3,実績!$AI$6:$AI$505,"&lt;="&amp;$A131,実績!$AJ$6:$AJ$505,"&gt;"&amp;$A131,実績!$AK$6:$AK$505,"○")&gt;0,1,0))</f>
        <v>0</v>
      </c>
      <c r="CY131" s="39" t="n">
        <f aca="false">IF(CY$4=0,0,IF(COUNTIFS(実績!$W$6:$W$505,CY$3,実績!$AI$6:$AI$505,"&lt;="&amp;$A131,実績!$AJ$6:$AJ$505,"&gt;"&amp;$A131,実績!$AK$6:$AK$505,"○")&gt;0,1,0))</f>
        <v>0</v>
      </c>
      <c r="CZ131" s="39" t="n">
        <f aca="false">IF(CZ$4=0,0,IF(COUNTIFS(実績!$W$6:$W$505,CZ$3,実績!$AI$6:$AI$505,"&lt;="&amp;$A131,実績!$AJ$6:$AJ$505,"&gt;"&amp;$A131,実績!$AK$6:$AK$505,"○")&gt;0,1,0))</f>
        <v>0</v>
      </c>
      <c r="DA131" s="39" t="n">
        <f aca="false">IF(DA$4=0,0,IF(COUNTIFS(実績!$W$6:$W$505,DA$3,実績!$AI$6:$AI$505,"&lt;="&amp;$A131,実績!$AJ$6:$AJ$505,"&gt;"&amp;$A131,実績!$AK$6:$AK$505,"○")&gt;0,1,0))</f>
        <v>0</v>
      </c>
      <c r="DB131" s="39" t="n">
        <f aca="false">IF(DB$4=0,0,IF(COUNTIFS(実績!$W$6:$W$505,DB$3,実績!$AI$6:$AI$505,"&lt;="&amp;$A131,実績!$AJ$6:$AJ$505,"&gt;"&amp;$A131,実績!$AK$6:$AK$505,"○")&gt;0,1,0))</f>
        <v>0</v>
      </c>
      <c r="DC131" s="39" t="n">
        <f aca="false">IF(DC$4=0,0,IF(COUNTIFS(実績!$W$6:$W$505,DC$3,実績!$AI$6:$AI$505,"&lt;="&amp;$A131,実績!$AJ$6:$AJ$505,"&gt;"&amp;$A131,実績!$AK$6:$AK$505,"○")&gt;0,1,0))</f>
        <v>0</v>
      </c>
      <c r="DD131" s="39" t="n">
        <f aca="false">IF(DD$4=0,0,IF(COUNTIFS(実績!$W$6:$W$505,DD$3,実績!$AI$6:$AI$505,"&lt;="&amp;$A131,実績!$AJ$6:$AJ$505,"&gt;"&amp;$A131,実績!$AK$6:$AK$505,"○")&gt;0,1,0))</f>
        <v>0</v>
      </c>
      <c r="DE131" s="39" t="n">
        <f aca="false">IF(DE$4=0,0,IF(COUNTIFS(実績!$W$6:$W$505,DE$3,実績!$AI$6:$AI$505,"&lt;="&amp;$A131,実績!$AJ$6:$AJ$505,"&gt;"&amp;$A131,実績!$AK$6:$AK$505,"○")&gt;0,1,0))</f>
        <v>0</v>
      </c>
      <c r="DF131" s="39" t="n">
        <f aca="false">IF(DF$4=0,0,IF(COUNTIFS(実績!$W$6:$W$505,DF$3,実績!$AI$6:$AI$505,"&lt;="&amp;$A131,実績!$AJ$6:$AJ$505,"&gt;"&amp;$A131,実績!$AK$6:$AK$505,"○")&gt;0,1,0))</f>
        <v>0</v>
      </c>
      <c r="DG131" s="39" t="n">
        <f aca="false">IF(DG$4=0,0,IF(COUNTIFS(実績!$W$6:$W$505,DG$3,実績!$AI$6:$AI$505,"&lt;="&amp;$A131,実績!$AJ$6:$AJ$505,"&gt;"&amp;$A131,実績!$AK$6:$AK$505,"○")&gt;0,1,0))</f>
        <v>0</v>
      </c>
      <c r="DH131" s="39" t="n">
        <f aca="false">IF(DH$4=0,0,IF(COUNTIFS(実績!$W$6:$W$505,DH$3,実績!$AI$6:$AI$505,"&lt;="&amp;$A131,実績!$AJ$6:$AJ$505,"&gt;"&amp;$A131,実績!$AK$6:$AK$505,"○")&gt;0,1,0))</f>
        <v>0</v>
      </c>
      <c r="DI131" s="39" t="n">
        <f aca="false">IF(DI$4=0,0,IF(COUNTIFS(実績!$W$6:$W$505,DI$3,実績!$AI$6:$AI$505,"&lt;="&amp;$A131,実績!$AJ$6:$AJ$505,"&gt;"&amp;$A131,実績!$AK$6:$AK$505,"○")&gt;0,1,0))</f>
        <v>0</v>
      </c>
      <c r="DJ131" s="39" t="n">
        <f aca="false">IF(DJ$4=0,0,IF(COUNTIFS(実績!$W$6:$W$505,DJ$3,実績!$AI$6:$AI$505,"&lt;="&amp;$A131,実績!$AJ$6:$AJ$505,"&gt;"&amp;$A131,実績!$AK$6:$AK$505,"○")&gt;0,1,0))</f>
        <v>0</v>
      </c>
      <c r="DK131" s="39" t="n">
        <f aca="false">IF(DK$4=0,0,IF(COUNTIFS(実績!$W$6:$W$505,DK$3,実績!$AI$6:$AI$505,"&lt;="&amp;$A131,実績!$AJ$6:$AJ$505,"&gt;"&amp;$A131,実績!$AK$6:$AK$505,"○")&gt;0,1,0))</f>
        <v>0</v>
      </c>
      <c r="DL131" s="39" t="n">
        <f aca="false">IF(DL$4=0,0,IF(COUNTIFS(実績!$W$6:$W$505,DL$3,実績!$AI$6:$AI$505,"&lt;="&amp;$A131,実績!$AJ$6:$AJ$505,"&gt;"&amp;$A131,実績!$AK$6:$AK$505,"○")&gt;0,1,0))</f>
        <v>0</v>
      </c>
      <c r="DM131" s="39" t="n">
        <f aca="false">IF(DM$4=0,0,IF(COUNTIFS(実績!$W$6:$W$505,DM$3,実績!$AI$6:$AI$505,"&lt;="&amp;$A131,実績!$AJ$6:$AJ$505,"&gt;"&amp;$A131,実績!$AK$6:$AK$505,"○")&gt;0,1,0))</f>
        <v>0</v>
      </c>
      <c r="DN131" s="39" t="n">
        <f aca="false">IF(DN$4=0,0,IF(COUNTIFS(実績!$W$6:$W$505,DN$3,実績!$AI$6:$AI$505,"&lt;="&amp;$A131,実績!$AJ$6:$AJ$505,"&gt;"&amp;$A131,実績!$AK$6:$AK$505,"○")&gt;0,1,0))</f>
        <v>0</v>
      </c>
      <c r="DO131" s="39" t="n">
        <f aca="false">IF(DO$4=0,0,IF(COUNTIFS(実績!$W$6:$W$505,DO$3,実績!$AI$6:$AI$505,"&lt;="&amp;$A131,実績!$AJ$6:$AJ$505,"&gt;"&amp;$A131,実績!$AK$6:$AK$505,"○")&gt;0,1,0))</f>
        <v>0</v>
      </c>
      <c r="DP131" s="39" t="n">
        <f aca="false">IF(DP$4=0,0,IF(COUNTIFS(実績!$W$6:$W$505,DP$3,実績!$AI$6:$AI$505,"&lt;="&amp;$A131,実績!$AJ$6:$AJ$505,"&gt;"&amp;$A131,実績!$AK$6:$AK$505,"○")&gt;0,1,0))</f>
        <v>0</v>
      </c>
      <c r="DQ131" s="39" t="n">
        <f aca="false">IF(DQ$4=0,0,IF(COUNTIFS(実績!$W$6:$W$505,DQ$3,実績!$AI$6:$AI$505,"&lt;="&amp;$A131,実績!$AJ$6:$AJ$505,"&gt;"&amp;$A131,実績!$AK$6:$AK$505,"○")&gt;0,1,0))</f>
        <v>0</v>
      </c>
      <c r="DR131" s="39" t="n">
        <f aca="false">IF(DR$4=0,0,IF(COUNTIFS(実績!$W$6:$W$505,DR$3,実績!$AI$6:$AI$505,"&lt;="&amp;$A131,実績!$AJ$6:$AJ$505,"&gt;"&amp;$A131,実績!$AK$6:$AK$505,"○")&gt;0,1,0))</f>
        <v>0</v>
      </c>
      <c r="DS131" s="39" t="n">
        <f aca="false">SUM(C131:DR131)</f>
        <v>0</v>
      </c>
      <c r="DT131" s="39" t="n">
        <f aca="false">SUMPRODUCT((実績!$C$6:$C$505="○")*ISNUMBER(実績!$AM$6:$AM$505)*(実績!$AM$6:$AM$505&lt;=$A131)*(実績!$AN$6:$AN$505&gt;$A131))</f>
        <v>0</v>
      </c>
      <c r="DU131" s="39" t="n">
        <f aca="false">SUMIF($C$2:$DR$2,"製鉄曳船",C131:DR131)</f>
        <v>0</v>
      </c>
      <c r="DV131" s="39" t="n">
        <f aca="false">SUMIF($C$2:$DR$2,"西日本海運",C131:DR131)</f>
        <v>0</v>
      </c>
    </row>
    <row r="132" customFormat="false" ht="15" hidden="false" customHeight="false" outlineLevel="0" collapsed="false">
      <c r="A132" s="0" t="n">
        <v>630</v>
      </c>
      <c r="B132" s="38" t="n">
        <f aca="false">A132/1440</f>
        <v>0.4375</v>
      </c>
      <c r="C132" s="39" t="n">
        <f aca="false">IF(C$4=0,0,IF(COUNTIFS(実績!$W$6:$W$505,C$3,実績!$AI$6:$AI$505,"&lt;="&amp;$A132,実績!$AJ$6:$AJ$505,"&gt;"&amp;$A132,実績!$AK$6:$AK$505,"○")&gt;0,1,0))</f>
        <v>0</v>
      </c>
      <c r="D132" s="39" t="n">
        <f aca="false">IF(D$4=0,0,IF(COUNTIFS(実績!$W$6:$W$505,D$3,実績!$AI$6:$AI$505,"&lt;="&amp;$A132,実績!$AJ$6:$AJ$505,"&gt;"&amp;$A132,実績!$AK$6:$AK$505,"○")&gt;0,1,0))</f>
        <v>0</v>
      </c>
      <c r="E132" s="39" t="n">
        <f aca="false">IF(E$4=0,0,IF(COUNTIFS(実績!$W$6:$W$505,E$3,実績!$AI$6:$AI$505,"&lt;="&amp;$A132,実績!$AJ$6:$AJ$505,"&gt;"&amp;$A132,実績!$AK$6:$AK$505,"○")&gt;0,1,0))</f>
        <v>0</v>
      </c>
      <c r="F132" s="39" t="n">
        <f aca="false">IF(F$4=0,0,IF(COUNTIFS(実績!$W$6:$W$505,F$3,実績!$AI$6:$AI$505,"&lt;="&amp;$A132,実績!$AJ$6:$AJ$505,"&gt;"&amp;$A132,実績!$AK$6:$AK$505,"○")&gt;0,1,0))</f>
        <v>0</v>
      </c>
      <c r="G132" s="39" t="n">
        <f aca="false">IF(G$4=0,0,IF(COUNTIFS(実績!$W$6:$W$505,G$3,実績!$AI$6:$AI$505,"&lt;="&amp;$A132,実績!$AJ$6:$AJ$505,"&gt;"&amp;$A132,実績!$AK$6:$AK$505,"○")&gt;0,1,0))</f>
        <v>0</v>
      </c>
      <c r="H132" s="39" t="n">
        <f aca="false">IF(H$4=0,0,IF(COUNTIFS(実績!$W$6:$W$505,H$3,実績!$AI$6:$AI$505,"&lt;="&amp;$A132,実績!$AJ$6:$AJ$505,"&gt;"&amp;$A132,実績!$AK$6:$AK$505,"○")&gt;0,1,0))</f>
        <v>0</v>
      </c>
      <c r="I132" s="39" t="n">
        <f aca="false">IF(I$4=0,0,IF(COUNTIFS(実績!$W$6:$W$505,I$3,実績!$AI$6:$AI$505,"&lt;="&amp;$A132,実績!$AJ$6:$AJ$505,"&gt;"&amp;$A132,実績!$AK$6:$AK$505,"○")&gt;0,1,0))</f>
        <v>0</v>
      </c>
      <c r="J132" s="39" t="n">
        <f aca="false">IF(J$4=0,0,IF(COUNTIFS(実績!$W$6:$W$505,J$3,実績!$AI$6:$AI$505,"&lt;="&amp;$A132,実績!$AJ$6:$AJ$505,"&gt;"&amp;$A132,実績!$AK$6:$AK$505,"○")&gt;0,1,0))</f>
        <v>0</v>
      </c>
      <c r="K132" s="39" t="n">
        <f aca="false">IF(K$4=0,0,IF(COUNTIFS(実績!$W$6:$W$505,K$3,実績!$AI$6:$AI$505,"&lt;="&amp;$A132,実績!$AJ$6:$AJ$505,"&gt;"&amp;$A132,実績!$AK$6:$AK$505,"○")&gt;0,1,0))</f>
        <v>0</v>
      </c>
      <c r="L132" s="39" t="n">
        <f aca="false">IF(L$4=0,0,IF(COUNTIFS(実績!$W$6:$W$505,L$3,実績!$AI$6:$AI$505,"&lt;="&amp;$A132,実績!$AJ$6:$AJ$505,"&gt;"&amp;$A132,実績!$AK$6:$AK$505,"○")&gt;0,1,0))</f>
        <v>0</v>
      </c>
      <c r="M132" s="39" t="n">
        <f aca="false">IF(M$4=0,0,IF(COUNTIFS(実績!$W$6:$W$505,M$3,実績!$AI$6:$AI$505,"&lt;="&amp;$A132,実績!$AJ$6:$AJ$505,"&gt;"&amp;$A132,実績!$AK$6:$AK$505,"○")&gt;0,1,0))</f>
        <v>0</v>
      </c>
      <c r="N132" s="39" t="n">
        <f aca="false">IF(N$4=0,0,IF(COUNTIFS(実績!$W$6:$W$505,N$3,実績!$AI$6:$AI$505,"&lt;="&amp;$A132,実績!$AJ$6:$AJ$505,"&gt;"&amp;$A132,実績!$AK$6:$AK$505,"○")&gt;0,1,0))</f>
        <v>0</v>
      </c>
      <c r="O132" s="39" t="n">
        <f aca="false">IF(O$4=0,0,IF(COUNTIFS(実績!$W$6:$W$505,O$3,実績!$AI$6:$AI$505,"&lt;="&amp;$A132,実績!$AJ$6:$AJ$505,"&gt;"&amp;$A132,実績!$AK$6:$AK$505,"○")&gt;0,1,0))</f>
        <v>0</v>
      </c>
      <c r="P132" s="39" t="n">
        <f aca="false">IF(P$4=0,0,IF(COUNTIFS(実績!$W$6:$W$505,P$3,実績!$AI$6:$AI$505,"&lt;="&amp;$A132,実績!$AJ$6:$AJ$505,"&gt;"&amp;$A132,実績!$AK$6:$AK$505,"○")&gt;0,1,0))</f>
        <v>0</v>
      </c>
      <c r="Q132" s="39" t="n">
        <f aca="false">IF(Q$4=0,0,IF(COUNTIFS(実績!$W$6:$W$505,Q$3,実績!$AI$6:$AI$505,"&lt;="&amp;$A132,実績!$AJ$6:$AJ$505,"&gt;"&amp;$A132,実績!$AK$6:$AK$505,"○")&gt;0,1,0))</f>
        <v>0</v>
      </c>
      <c r="R132" s="39" t="n">
        <f aca="false">IF(R$4=0,0,IF(COUNTIFS(実績!$W$6:$W$505,R$3,実績!$AI$6:$AI$505,"&lt;="&amp;$A132,実績!$AJ$6:$AJ$505,"&gt;"&amp;$A132,実績!$AK$6:$AK$505,"○")&gt;0,1,0))</f>
        <v>0</v>
      </c>
      <c r="S132" s="39" t="n">
        <f aca="false">IF(S$4=0,0,IF(COUNTIFS(実績!$W$6:$W$505,S$3,実績!$AI$6:$AI$505,"&lt;="&amp;$A132,実績!$AJ$6:$AJ$505,"&gt;"&amp;$A132,実績!$AK$6:$AK$505,"○")&gt;0,1,0))</f>
        <v>0</v>
      </c>
      <c r="T132" s="39" t="n">
        <f aca="false">IF(T$4=0,0,IF(COUNTIFS(実績!$W$6:$W$505,T$3,実績!$AI$6:$AI$505,"&lt;="&amp;$A132,実績!$AJ$6:$AJ$505,"&gt;"&amp;$A132,実績!$AK$6:$AK$505,"○")&gt;0,1,0))</f>
        <v>0</v>
      </c>
      <c r="U132" s="39" t="n">
        <f aca="false">IF(U$4=0,0,IF(COUNTIFS(実績!$W$6:$W$505,U$3,実績!$AI$6:$AI$505,"&lt;="&amp;$A132,実績!$AJ$6:$AJ$505,"&gt;"&amp;$A132,実績!$AK$6:$AK$505,"○")&gt;0,1,0))</f>
        <v>0</v>
      </c>
      <c r="V132" s="39" t="n">
        <f aca="false">IF(V$4=0,0,IF(COUNTIFS(実績!$W$6:$W$505,V$3,実績!$AI$6:$AI$505,"&lt;="&amp;$A132,実績!$AJ$6:$AJ$505,"&gt;"&amp;$A132,実績!$AK$6:$AK$505,"○")&gt;0,1,0))</f>
        <v>0</v>
      </c>
      <c r="W132" s="39" t="n">
        <f aca="false">IF(W$4=0,0,IF(COUNTIFS(実績!$W$6:$W$505,W$3,実績!$AI$6:$AI$505,"&lt;="&amp;$A132,実績!$AJ$6:$AJ$505,"&gt;"&amp;$A132,実績!$AK$6:$AK$505,"○")&gt;0,1,0))</f>
        <v>0</v>
      </c>
      <c r="X132" s="39" t="n">
        <f aca="false">IF(X$4=0,0,IF(COUNTIFS(実績!$W$6:$W$505,X$3,実績!$AI$6:$AI$505,"&lt;="&amp;$A132,実績!$AJ$6:$AJ$505,"&gt;"&amp;$A132,実績!$AK$6:$AK$505,"○")&gt;0,1,0))</f>
        <v>0</v>
      </c>
      <c r="Y132" s="39" t="n">
        <f aca="false">IF(Y$4=0,0,IF(COUNTIFS(実績!$W$6:$W$505,Y$3,実績!$AI$6:$AI$505,"&lt;="&amp;$A132,実績!$AJ$6:$AJ$505,"&gt;"&amp;$A132,実績!$AK$6:$AK$505,"○")&gt;0,1,0))</f>
        <v>0</v>
      </c>
      <c r="Z132" s="39" t="n">
        <f aca="false">IF(Z$4=0,0,IF(COUNTIFS(実績!$W$6:$W$505,Z$3,実績!$AI$6:$AI$505,"&lt;="&amp;$A132,実績!$AJ$6:$AJ$505,"&gt;"&amp;$A132,実績!$AK$6:$AK$505,"○")&gt;0,1,0))</f>
        <v>0</v>
      </c>
      <c r="AA132" s="39" t="n">
        <f aca="false">IF(AA$4=0,0,IF(COUNTIFS(実績!$W$6:$W$505,AA$3,実績!$AI$6:$AI$505,"&lt;="&amp;$A132,実績!$AJ$6:$AJ$505,"&gt;"&amp;$A132,実績!$AK$6:$AK$505,"○")&gt;0,1,0))</f>
        <v>0</v>
      </c>
      <c r="AB132" s="39" t="n">
        <f aca="false">IF(AB$4=0,0,IF(COUNTIFS(実績!$W$6:$W$505,AB$3,実績!$AI$6:$AI$505,"&lt;="&amp;$A132,実績!$AJ$6:$AJ$505,"&gt;"&amp;$A132,実績!$AK$6:$AK$505,"○")&gt;0,1,0))</f>
        <v>0</v>
      </c>
      <c r="AC132" s="39" t="n">
        <f aca="false">IF(AC$4=0,0,IF(COUNTIFS(実績!$W$6:$W$505,AC$3,実績!$AI$6:$AI$505,"&lt;="&amp;$A132,実績!$AJ$6:$AJ$505,"&gt;"&amp;$A132,実績!$AK$6:$AK$505,"○")&gt;0,1,0))</f>
        <v>0</v>
      </c>
      <c r="AD132" s="39" t="n">
        <f aca="false">IF(AD$4=0,0,IF(COUNTIFS(実績!$W$6:$W$505,AD$3,実績!$AI$6:$AI$505,"&lt;="&amp;$A132,実績!$AJ$6:$AJ$505,"&gt;"&amp;$A132,実績!$AK$6:$AK$505,"○")&gt;0,1,0))</f>
        <v>0</v>
      </c>
      <c r="AE132" s="39" t="n">
        <f aca="false">IF(AE$4=0,0,IF(COUNTIFS(実績!$W$6:$W$505,AE$3,実績!$AI$6:$AI$505,"&lt;="&amp;$A132,実績!$AJ$6:$AJ$505,"&gt;"&amp;$A132,実績!$AK$6:$AK$505,"○")&gt;0,1,0))</f>
        <v>0</v>
      </c>
      <c r="AF132" s="39" t="n">
        <f aca="false">IF(AF$4=0,0,IF(COUNTIFS(実績!$W$6:$W$505,AF$3,実績!$AI$6:$AI$505,"&lt;="&amp;$A132,実績!$AJ$6:$AJ$505,"&gt;"&amp;$A132,実績!$AK$6:$AK$505,"○")&gt;0,1,0))</f>
        <v>0</v>
      </c>
      <c r="AG132" s="39" t="n">
        <f aca="false">IF(AG$4=0,0,IF(COUNTIFS(実績!$W$6:$W$505,AG$3,実績!$AI$6:$AI$505,"&lt;="&amp;$A132,実績!$AJ$6:$AJ$505,"&gt;"&amp;$A132,実績!$AK$6:$AK$505,"○")&gt;0,1,0))</f>
        <v>0</v>
      </c>
      <c r="AH132" s="39" t="n">
        <f aca="false">IF(AH$4=0,0,IF(COUNTIFS(実績!$W$6:$W$505,AH$3,実績!$AI$6:$AI$505,"&lt;="&amp;$A132,実績!$AJ$6:$AJ$505,"&gt;"&amp;$A132,実績!$AK$6:$AK$505,"○")&gt;0,1,0))</f>
        <v>0</v>
      </c>
      <c r="AI132" s="39" t="n">
        <f aca="false">IF(AI$4=0,0,IF(COUNTIFS(実績!$W$6:$W$505,AI$3,実績!$AI$6:$AI$505,"&lt;="&amp;$A132,実績!$AJ$6:$AJ$505,"&gt;"&amp;$A132,実績!$AK$6:$AK$505,"○")&gt;0,1,0))</f>
        <v>0</v>
      </c>
      <c r="AJ132" s="39" t="n">
        <f aca="false">IF(AJ$4=0,0,IF(COUNTIFS(実績!$W$6:$W$505,AJ$3,実績!$AI$6:$AI$505,"&lt;="&amp;$A132,実績!$AJ$6:$AJ$505,"&gt;"&amp;$A132,実績!$AK$6:$AK$505,"○")&gt;0,1,0))</f>
        <v>0</v>
      </c>
      <c r="AK132" s="39" t="n">
        <f aca="false">IF(AK$4=0,0,IF(COUNTIFS(実績!$W$6:$W$505,AK$3,実績!$AI$6:$AI$505,"&lt;="&amp;$A132,実績!$AJ$6:$AJ$505,"&gt;"&amp;$A132,実績!$AK$6:$AK$505,"○")&gt;0,1,0))</f>
        <v>0</v>
      </c>
      <c r="AL132" s="39" t="n">
        <f aca="false">IF(AL$4=0,0,IF(COUNTIFS(実績!$W$6:$W$505,AL$3,実績!$AI$6:$AI$505,"&lt;="&amp;$A132,実績!$AJ$6:$AJ$505,"&gt;"&amp;$A132,実績!$AK$6:$AK$505,"○")&gt;0,1,0))</f>
        <v>0</v>
      </c>
      <c r="AM132" s="39" t="n">
        <f aca="false">IF(AM$4=0,0,IF(COUNTIFS(実績!$W$6:$W$505,AM$3,実績!$AI$6:$AI$505,"&lt;="&amp;$A132,実績!$AJ$6:$AJ$505,"&gt;"&amp;$A132,実績!$AK$6:$AK$505,"○")&gt;0,1,0))</f>
        <v>0</v>
      </c>
      <c r="AN132" s="39" t="n">
        <f aca="false">IF(AN$4=0,0,IF(COUNTIFS(実績!$W$6:$W$505,AN$3,実績!$AI$6:$AI$505,"&lt;="&amp;$A132,実績!$AJ$6:$AJ$505,"&gt;"&amp;$A132,実績!$AK$6:$AK$505,"○")&gt;0,1,0))</f>
        <v>0</v>
      </c>
      <c r="AO132" s="39" t="n">
        <f aca="false">IF(AO$4=0,0,IF(COUNTIFS(実績!$W$6:$W$505,AO$3,実績!$AI$6:$AI$505,"&lt;="&amp;$A132,実績!$AJ$6:$AJ$505,"&gt;"&amp;$A132,実績!$AK$6:$AK$505,"○")&gt;0,1,0))</f>
        <v>0</v>
      </c>
      <c r="AP132" s="39" t="n">
        <f aca="false">IF(AP$4=0,0,IF(COUNTIFS(実績!$W$6:$W$505,AP$3,実績!$AI$6:$AI$505,"&lt;="&amp;$A132,実績!$AJ$6:$AJ$505,"&gt;"&amp;$A132,実績!$AK$6:$AK$505,"○")&gt;0,1,0))</f>
        <v>0</v>
      </c>
      <c r="AQ132" s="39" t="n">
        <f aca="false">IF(AQ$4=0,0,IF(COUNTIFS(実績!$W$6:$W$505,AQ$3,実績!$AI$6:$AI$505,"&lt;="&amp;$A132,実績!$AJ$6:$AJ$505,"&gt;"&amp;$A132,実績!$AK$6:$AK$505,"○")&gt;0,1,0))</f>
        <v>0</v>
      </c>
      <c r="AR132" s="39" t="n">
        <f aca="false">IF(AR$4=0,0,IF(COUNTIFS(実績!$W$6:$W$505,AR$3,実績!$AI$6:$AI$505,"&lt;="&amp;$A132,実績!$AJ$6:$AJ$505,"&gt;"&amp;$A132,実績!$AK$6:$AK$505,"○")&gt;0,1,0))</f>
        <v>0</v>
      </c>
      <c r="AS132" s="39" t="n">
        <f aca="false">IF(AS$4=0,0,IF(COUNTIFS(実績!$W$6:$W$505,AS$3,実績!$AI$6:$AI$505,"&lt;="&amp;$A132,実績!$AJ$6:$AJ$505,"&gt;"&amp;$A132,実績!$AK$6:$AK$505,"○")&gt;0,1,0))</f>
        <v>0</v>
      </c>
      <c r="AT132" s="39" t="n">
        <f aca="false">IF(AT$4=0,0,IF(COUNTIFS(実績!$W$6:$W$505,AT$3,実績!$AI$6:$AI$505,"&lt;="&amp;$A132,実績!$AJ$6:$AJ$505,"&gt;"&amp;$A132,実績!$AK$6:$AK$505,"○")&gt;0,1,0))</f>
        <v>0</v>
      </c>
      <c r="AU132" s="39" t="n">
        <f aca="false">IF(AU$4=0,0,IF(COUNTIFS(実績!$W$6:$W$505,AU$3,実績!$AI$6:$AI$505,"&lt;="&amp;$A132,実績!$AJ$6:$AJ$505,"&gt;"&amp;$A132,実績!$AK$6:$AK$505,"○")&gt;0,1,0))</f>
        <v>0</v>
      </c>
      <c r="AV132" s="39" t="n">
        <f aca="false">IF(AV$4=0,0,IF(COUNTIFS(実績!$W$6:$W$505,AV$3,実績!$AI$6:$AI$505,"&lt;="&amp;$A132,実績!$AJ$6:$AJ$505,"&gt;"&amp;$A132,実績!$AK$6:$AK$505,"○")&gt;0,1,0))</f>
        <v>0</v>
      </c>
      <c r="AW132" s="39" t="n">
        <f aca="false">IF(AW$4=0,0,IF(COUNTIFS(実績!$W$6:$W$505,AW$3,実績!$AI$6:$AI$505,"&lt;="&amp;$A132,実績!$AJ$6:$AJ$505,"&gt;"&amp;$A132,実績!$AK$6:$AK$505,"○")&gt;0,1,0))</f>
        <v>0</v>
      </c>
      <c r="AX132" s="39" t="n">
        <f aca="false">IF(AX$4=0,0,IF(COUNTIFS(実績!$W$6:$W$505,AX$3,実績!$AI$6:$AI$505,"&lt;="&amp;$A132,実績!$AJ$6:$AJ$505,"&gt;"&amp;$A132,実績!$AK$6:$AK$505,"○")&gt;0,1,0))</f>
        <v>0</v>
      </c>
      <c r="AY132" s="39" t="n">
        <f aca="false">IF(AY$4=0,0,IF(COUNTIFS(実績!$W$6:$W$505,AY$3,実績!$AI$6:$AI$505,"&lt;="&amp;$A132,実績!$AJ$6:$AJ$505,"&gt;"&amp;$A132,実績!$AK$6:$AK$505,"○")&gt;0,1,0))</f>
        <v>0</v>
      </c>
      <c r="AZ132" s="39" t="n">
        <f aca="false">IF(AZ$4=0,0,IF(COUNTIFS(実績!$W$6:$W$505,AZ$3,実績!$AI$6:$AI$505,"&lt;="&amp;$A132,実績!$AJ$6:$AJ$505,"&gt;"&amp;$A132,実績!$AK$6:$AK$505,"○")&gt;0,1,0))</f>
        <v>0</v>
      </c>
      <c r="BA132" s="39" t="n">
        <f aca="false">IF(BA$4=0,0,IF(COUNTIFS(実績!$W$6:$W$505,BA$3,実績!$AI$6:$AI$505,"&lt;="&amp;$A132,実績!$AJ$6:$AJ$505,"&gt;"&amp;$A132,実績!$AK$6:$AK$505,"○")&gt;0,1,0))</f>
        <v>0</v>
      </c>
      <c r="BB132" s="39" t="n">
        <f aca="false">IF(BB$4=0,0,IF(COUNTIFS(実績!$W$6:$W$505,BB$3,実績!$AI$6:$AI$505,"&lt;="&amp;$A132,実績!$AJ$6:$AJ$505,"&gt;"&amp;$A132,実績!$AK$6:$AK$505,"○")&gt;0,1,0))</f>
        <v>0</v>
      </c>
      <c r="BC132" s="39" t="n">
        <f aca="false">IF(BC$4=0,0,IF(COUNTIFS(実績!$W$6:$W$505,BC$3,実績!$AI$6:$AI$505,"&lt;="&amp;$A132,実績!$AJ$6:$AJ$505,"&gt;"&amp;$A132,実績!$AK$6:$AK$505,"○")&gt;0,1,0))</f>
        <v>0</v>
      </c>
      <c r="BD132" s="39" t="n">
        <f aca="false">IF(BD$4=0,0,IF(COUNTIFS(実績!$W$6:$W$505,BD$3,実績!$AI$6:$AI$505,"&lt;="&amp;$A132,実績!$AJ$6:$AJ$505,"&gt;"&amp;$A132,実績!$AK$6:$AK$505,"○")&gt;0,1,0))</f>
        <v>0</v>
      </c>
      <c r="BE132" s="39" t="n">
        <f aca="false">IF(BE$4=0,0,IF(COUNTIFS(実績!$W$6:$W$505,BE$3,実績!$AI$6:$AI$505,"&lt;="&amp;$A132,実績!$AJ$6:$AJ$505,"&gt;"&amp;$A132,実績!$AK$6:$AK$505,"○")&gt;0,1,0))</f>
        <v>0</v>
      </c>
      <c r="BF132" s="39" t="n">
        <f aca="false">IF(BF$4=0,0,IF(COUNTIFS(実績!$W$6:$W$505,BF$3,実績!$AI$6:$AI$505,"&lt;="&amp;$A132,実績!$AJ$6:$AJ$505,"&gt;"&amp;$A132,実績!$AK$6:$AK$505,"○")&gt;0,1,0))</f>
        <v>0</v>
      </c>
      <c r="BG132" s="39" t="n">
        <f aca="false">IF(BG$4=0,0,IF(COUNTIFS(実績!$W$6:$W$505,BG$3,実績!$AI$6:$AI$505,"&lt;="&amp;$A132,実績!$AJ$6:$AJ$505,"&gt;"&amp;$A132,実績!$AK$6:$AK$505,"○")&gt;0,1,0))</f>
        <v>0</v>
      </c>
      <c r="BH132" s="39" t="n">
        <f aca="false">IF(BH$4=0,0,IF(COUNTIFS(実績!$W$6:$W$505,BH$3,実績!$AI$6:$AI$505,"&lt;="&amp;$A132,実績!$AJ$6:$AJ$505,"&gt;"&amp;$A132,実績!$AK$6:$AK$505,"○")&gt;0,1,0))</f>
        <v>0</v>
      </c>
      <c r="BI132" s="39" t="n">
        <f aca="false">IF(BI$4=0,0,IF(COUNTIFS(実績!$W$6:$W$505,BI$3,実績!$AI$6:$AI$505,"&lt;="&amp;$A132,実績!$AJ$6:$AJ$505,"&gt;"&amp;$A132,実績!$AK$6:$AK$505,"○")&gt;0,1,0))</f>
        <v>0</v>
      </c>
      <c r="BJ132" s="39" t="n">
        <f aca="false">IF(BJ$4=0,0,IF(COUNTIFS(実績!$W$6:$W$505,BJ$3,実績!$AI$6:$AI$505,"&lt;="&amp;$A132,実績!$AJ$6:$AJ$505,"&gt;"&amp;$A132,実績!$AK$6:$AK$505,"○")&gt;0,1,0))</f>
        <v>0</v>
      </c>
      <c r="BK132" s="39" t="n">
        <f aca="false">IF(BK$4=0,0,IF(COUNTIFS(実績!$W$6:$W$505,BK$3,実績!$AI$6:$AI$505,"&lt;="&amp;$A132,実績!$AJ$6:$AJ$505,"&gt;"&amp;$A132,実績!$AK$6:$AK$505,"○")&gt;0,1,0))</f>
        <v>0</v>
      </c>
      <c r="BL132" s="39" t="n">
        <f aca="false">IF(BL$4=0,0,IF(COUNTIFS(実績!$W$6:$W$505,BL$3,実績!$AI$6:$AI$505,"&lt;="&amp;$A132,実績!$AJ$6:$AJ$505,"&gt;"&amp;$A132,実績!$AK$6:$AK$505,"○")&gt;0,1,0))</f>
        <v>0</v>
      </c>
      <c r="BM132" s="39" t="n">
        <f aca="false">IF(BM$4=0,0,IF(COUNTIFS(実績!$W$6:$W$505,BM$3,実績!$AI$6:$AI$505,"&lt;="&amp;$A132,実績!$AJ$6:$AJ$505,"&gt;"&amp;$A132,実績!$AK$6:$AK$505,"○")&gt;0,1,0))</f>
        <v>0</v>
      </c>
      <c r="BN132" s="39" t="n">
        <f aca="false">IF(BN$4=0,0,IF(COUNTIFS(実績!$W$6:$W$505,BN$3,実績!$AI$6:$AI$505,"&lt;="&amp;$A132,実績!$AJ$6:$AJ$505,"&gt;"&amp;$A132,実績!$AK$6:$AK$505,"○")&gt;0,1,0))</f>
        <v>0</v>
      </c>
      <c r="BO132" s="39" t="n">
        <f aca="false">IF(BO$4=0,0,IF(COUNTIFS(実績!$W$6:$W$505,BO$3,実績!$AI$6:$AI$505,"&lt;="&amp;$A132,実績!$AJ$6:$AJ$505,"&gt;"&amp;$A132,実績!$AK$6:$AK$505,"○")&gt;0,1,0))</f>
        <v>0</v>
      </c>
      <c r="BP132" s="39" t="n">
        <f aca="false">IF(BP$4=0,0,IF(COUNTIFS(実績!$W$6:$W$505,BP$3,実績!$AI$6:$AI$505,"&lt;="&amp;$A132,実績!$AJ$6:$AJ$505,"&gt;"&amp;$A132,実績!$AK$6:$AK$505,"○")&gt;0,1,0))</f>
        <v>0</v>
      </c>
      <c r="BQ132" s="39" t="n">
        <f aca="false">IF(BQ$4=0,0,IF(COUNTIFS(実績!$W$6:$W$505,BQ$3,実績!$AI$6:$AI$505,"&lt;="&amp;$A132,実績!$AJ$6:$AJ$505,"&gt;"&amp;$A132,実績!$AK$6:$AK$505,"○")&gt;0,1,0))</f>
        <v>0</v>
      </c>
      <c r="BR132" s="39" t="n">
        <f aca="false">IF(BR$4=0,0,IF(COUNTIFS(実績!$W$6:$W$505,BR$3,実績!$AI$6:$AI$505,"&lt;="&amp;$A132,実績!$AJ$6:$AJ$505,"&gt;"&amp;$A132,実績!$AK$6:$AK$505,"○")&gt;0,1,0))</f>
        <v>0</v>
      </c>
      <c r="BS132" s="39" t="n">
        <f aca="false">IF(BS$4=0,0,IF(COUNTIFS(実績!$W$6:$W$505,BS$3,実績!$AI$6:$AI$505,"&lt;="&amp;$A132,実績!$AJ$6:$AJ$505,"&gt;"&amp;$A132,実績!$AK$6:$AK$505,"○")&gt;0,1,0))</f>
        <v>0</v>
      </c>
      <c r="BT132" s="39" t="n">
        <f aca="false">IF(BT$4=0,0,IF(COUNTIFS(実績!$W$6:$W$505,BT$3,実績!$AI$6:$AI$505,"&lt;="&amp;$A132,実績!$AJ$6:$AJ$505,"&gt;"&amp;$A132,実績!$AK$6:$AK$505,"○")&gt;0,1,0))</f>
        <v>0</v>
      </c>
      <c r="BU132" s="39" t="n">
        <f aca="false">IF(BU$4=0,0,IF(COUNTIFS(実績!$W$6:$W$505,BU$3,実績!$AI$6:$AI$505,"&lt;="&amp;$A132,実績!$AJ$6:$AJ$505,"&gt;"&amp;$A132,実績!$AK$6:$AK$505,"○")&gt;0,1,0))</f>
        <v>0</v>
      </c>
      <c r="BV132" s="39" t="n">
        <f aca="false">IF(BV$4=0,0,IF(COUNTIFS(実績!$W$6:$W$505,BV$3,実績!$AI$6:$AI$505,"&lt;="&amp;$A132,実績!$AJ$6:$AJ$505,"&gt;"&amp;$A132,実績!$AK$6:$AK$505,"○")&gt;0,1,0))</f>
        <v>0</v>
      </c>
      <c r="BW132" s="39" t="n">
        <f aca="false">IF(BW$4=0,0,IF(COUNTIFS(実績!$W$6:$W$505,BW$3,実績!$AI$6:$AI$505,"&lt;="&amp;$A132,実績!$AJ$6:$AJ$505,"&gt;"&amp;$A132,実績!$AK$6:$AK$505,"○")&gt;0,1,0))</f>
        <v>0</v>
      </c>
      <c r="BX132" s="39" t="n">
        <f aca="false">IF(BX$4=0,0,IF(COUNTIFS(実績!$W$6:$W$505,BX$3,実績!$AI$6:$AI$505,"&lt;="&amp;$A132,実績!$AJ$6:$AJ$505,"&gt;"&amp;$A132,実績!$AK$6:$AK$505,"○")&gt;0,1,0))</f>
        <v>0</v>
      </c>
      <c r="BY132" s="39" t="n">
        <f aca="false">IF(BY$4=0,0,IF(COUNTIFS(実績!$W$6:$W$505,BY$3,実績!$AI$6:$AI$505,"&lt;="&amp;$A132,実績!$AJ$6:$AJ$505,"&gt;"&amp;$A132,実績!$AK$6:$AK$505,"○")&gt;0,1,0))</f>
        <v>0</v>
      </c>
      <c r="BZ132" s="39" t="n">
        <f aca="false">IF(BZ$4=0,0,IF(COUNTIFS(実績!$W$6:$W$505,BZ$3,実績!$AI$6:$AI$505,"&lt;="&amp;$A132,実績!$AJ$6:$AJ$505,"&gt;"&amp;$A132,実績!$AK$6:$AK$505,"○")&gt;0,1,0))</f>
        <v>0</v>
      </c>
      <c r="CA132" s="39" t="n">
        <f aca="false">IF(CA$4=0,0,IF(COUNTIFS(実績!$W$6:$W$505,CA$3,実績!$AI$6:$AI$505,"&lt;="&amp;$A132,実績!$AJ$6:$AJ$505,"&gt;"&amp;$A132,実績!$AK$6:$AK$505,"○")&gt;0,1,0))</f>
        <v>0</v>
      </c>
      <c r="CB132" s="39" t="n">
        <f aca="false">IF(CB$4=0,0,IF(COUNTIFS(実績!$W$6:$W$505,CB$3,実績!$AI$6:$AI$505,"&lt;="&amp;$A132,実績!$AJ$6:$AJ$505,"&gt;"&amp;$A132,実績!$AK$6:$AK$505,"○")&gt;0,1,0))</f>
        <v>0</v>
      </c>
      <c r="CC132" s="39" t="n">
        <f aca="false">IF(CC$4=0,0,IF(COUNTIFS(実績!$W$6:$W$505,CC$3,実績!$AI$6:$AI$505,"&lt;="&amp;$A132,実績!$AJ$6:$AJ$505,"&gt;"&amp;$A132,実績!$AK$6:$AK$505,"○")&gt;0,1,0))</f>
        <v>0</v>
      </c>
      <c r="CD132" s="39" t="n">
        <f aca="false">IF(CD$4=0,0,IF(COUNTIFS(実績!$W$6:$W$505,CD$3,実績!$AI$6:$AI$505,"&lt;="&amp;$A132,実績!$AJ$6:$AJ$505,"&gt;"&amp;$A132,実績!$AK$6:$AK$505,"○")&gt;0,1,0))</f>
        <v>0</v>
      </c>
      <c r="CE132" s="39" t="n">
        <f aca="false">IF(CE$4=0,0,IF(COUNTIFS(実績!$W$6:$W$505,CE$3,実績!$AI$6:$AI$505,"&lt;="&amp;$A132,実績!$AJ$6:$AJ$505,"&gt;"&amp;$A132,実績!$AK$6:$AK$505,"○")&gt;0,1,0))</f>
        <v>0</v>
      </c>
      <c r="CF132" s="39" t="n">
        <f aca="false">IF(CF$4=0,0,IF(COUNTIFS(実績!$W$6:$W$505,CF$3,実績!$AI$6:$AI$505,"&lt;="&amp;$A132,実績!$AJ$6:$AJ$505,"&gt;"&amp;$A132,実績!$AK$6:$AK$505,"○")&gt;0,1,0))</f>
        <v>0</v>
      </c>
      <c r="CG132" s="39" t="n">
        <f aca="false">IF(CG$4=0,0,IF(COUNTIFS(実績!$W$6:$W$505,CG$3,実績!$AI$6:$AI$505,"&lt;="&amp;$A132,実績!$AJ$6:$AJ$505,"&gt;"&amp;$A132,実績!$AK$6:$AK$505,"○")&gt;0,1,0))</f>
        <v>0</v>
      </c>
      <c r="CH132" s="39" t="n">
        <f aca="false">IF(CH$4=0,0,IF(COUNTIFS(実績!$W$6:$W$505,CH$3,実績!$AI$6:$AI$505,"&lt;="&amp;$A132,実績!$AJ$6:$AJ$505,"&gt;"&amp;$A132,実績!$AK$6:$AK$505,"○")&gt;0,1,0))</f>
        <v>0</v>
      </c>
      <c r="CI132" s="39" t="n">
        <f aca="false">IF(CI$4=0,0,IF(COUNTIFS(実績!$W$6:$W$505,CI$3,実績!$AI$6:$AI$505,"&lt;="&amp;$A132,実績!$AJ$6:$AJ$505,"&gt;"&amp;$A132,実績!$AK$6:$AK$505,"○")&gt;0,1,0))</f>
        <v>0</v>
      </c>
      <c r="CJ132" s="39" t="n">
        <f aca="false">IF(CJ$4=0,0,IF(COUNTIFS(実績!$W$6:$W$505,CJ$3,実績!$AI$6:$AI$505,"&lt;="&amp;$A132,実績!$AJ$6:$AJ$505,"&gt;"&amp;$A132,実績!$AK$6:$AK$505,"○")&gt;0,1,0))</f>
        <v>0</v>
      </c>
      <c r="CK132" s="39" t="n">
        <f aca="false">IF(CK$4=0,0,IF(COUNTIFS(実績!$W$6:$W$505,CK$3,実績!$AI$6:$AI$505,"&lt;="&amp;$A132,実績!$AJ$6:$AJ$505,"&gt;"&amp;$A132,実績!$AK$6:$AK$505,"○")&gt;0,1,0))</f>
        <v>0</v>
      </c>
      <c r="CL132" s="39" t="n">
        <f aca="false">IF(CL$4=0,0,IF(COUNTIFS(実績!$W$6:$W$505,CL$3,実績!$AI$6:$AI$505,"&lt;="&amp;$A132,実績!$AJ$6:$AJ$505,"&gt;"&amp;$A132,実績!$AK$6:$AK$505,"○")&gt;0,1,0))</f>
        <v>0</v>
      </c>
      <c r="CM132" s="39" t="n">
        <f aca="false">IF(CM$4=0,0,IF(COUNTIFS(実績!$W$6:$W$505,CM$3,実績!$AI$6:$AI$505,"&lt;="&amp;$A132,実績!$AJ$6:$AJ$505,"&gt;"&amp;$A132,実績!$AK$6:$AK$505,"○")&gt;0,1,0))</f>
        <v>0</v>
      </c>
      <c r="CN132" s="39" t="n">
        <f aca="false">IF(CN$4=0,0,IF(COUNTIFS(実績!$W$6:$W$505,CN$3,実績!$AI$6:$AI$505,"&lt;="&amp;$A132,実績!$AJ$6:$AJ$505,"&gt;"&amp;$A132,実績!$AK$6:$AK$505,"○")&gt;0,1,0))</f>
        <v>0</v>
      </c>
      <c r="CO132" s="39" t="n">
        <f aca="false">IF(CO$4=0,0,IF(COUNTIFS(実績!$W$6:$W$505,CO$3,実績!$AI$6:$AI$505,"&lt;="&amp;$A132,実績!$AJ$6:$AJ$505,"&gt;"&amp;$A132,実績!$AK$6:$AK$505,"○")&gt;0,1,0))</f>
        <v>0</v>
      </c>
      <c r="CP132" s="39" t="n">
        <f aca="false">IF(CP$4=0,0,IF(COUNTIFS(実績!$W$6:$W$505,CP$3,実績!$AI$6:$AI$505,"&lt;="&amp;$A132,実績!$AJ$6:$AJ$505,"&gt;"&amp;$A132,実績!$AK$6:$AK$505,"○")&gt;0,1,0))</f>
        <v>0</v>
      </c>
      <c r="CQ132" s="39" t="n">
        <f aca="false">IF(CQ$4=0,0,IF(COUNTIFS(実績!$W$6:$W$505,CQ$3,実績!$AI$6:$AI$505,"&lt;="&amp;$A132,実績!$AJ$6:$AJ$505,"&gt;"&amp;$A132,実績!$AK$6:$AK$505,"○")&gt;0,1,0))</f>
        <v>0</v>
      </c>
      <c r="CR132" s="39" t="n">
        <f aca="false">IF(CR$4=0,0,IF(COUNTIFS(実績!$W$6:$W$505,CR$3,実績!$AI$6:$AI$505,"&lt;="&amp;$A132,実績!$AJ$6:$AJ$505,"&gt;"&amp;$A132,実績!$AK$6:$AK$505,"○")&gt;0,1,0))</f>
        <v>0</v>
      </c>
      <c r="CS132" s="39" t="n">
        <f aca="false">IF(CS$4=0,0,IF(COUNTIFS(実績!$W$6:$W$505,CS$3,実績!$AI$6:$AI$505,"&lt;="&amp;$A132,実績!$AJ$6:$AJ$505,"&gt;"&amp;$A132,実績!$AK$6:$AK$505,"○")&gt;0,1,0))</f>
        <v>0</v>
      </c>
      <c r="CT132" s="39" t="n">
        <f aca="false">IF(CT$4=0,0,IF(COUNTIFS(実績!$W$6:$W$505,CT$3,実績!$AI$6:$AI$505,"&lt;="&amp;$A132,実績!$AJ$6:$AJ$505,"&gt;"&amp;$A132,実績!$AK$6:$AK$505,"○")&gt;0,1,0))</f>
        <v>0</v>
      </c>
      <c r="CU132" s="39" t="n">
        <f aca="false">IF(CU$4=0,0,IF(COUNTIFS(実績!$W$6:$W$505,CU$3,実績!$AI$6:$AI$505,"&lt;="&amp;$A132,実績!$AJ$6:$AJ$505,"&gt;"&amp;$A132,実績!$AK$6:$AK$505,"○")&gt;0,1,0))</f>
        <v>0</v>
      </c>
      <c r="CV132" s="39" t="n">
        <f aca="false">IF(CV$4=0,0,IF(COUNTIFS(実績!$W$6:$W$505,CV$3,実績!$AI$6:$AI$505,"&lt;="&amp;$A132,実績!$AJ$6:$AJ$505,"&gt;"&amp;$A132,実績!$AK$6:$AK$505,"○")&gt;0,1,0))</f>
        <v>0</v>
      </c>
      <c r="CW132" s="39" t="n">
        <f aca="false">IF(CW$4=0,0,IF(COUNTIFS(実績!$W$6:$W$505,CW$3,実績!$AI$6:$AI$505,"&lt;="&amp;$A132,実績!$AJ$6:$AJ$505,"&gt;"&amp;$A132,実績!$AK$6:$AK$505,"○")&gt;0,1,0))</f>
        <v>0</v>
      </c>
      <c r="CX132" s="39" t="n">
        <f aca="false">IF(CX$4=0,0,IF(COUNTIFS(実績!$W$6:$W$505,CX$3,実績!$AI$6:$AI$505,"&lt;="&amp;$A132,実績!$AJ$6:$AJ$505,"&gt;"&amp;$A132,実績!$AK$6:$AK$505,"○")&gt;0,1,0))</f>
        <v>0</v>
      </c>
      <c r="CY132" s="39" t="n">
        <f aca="false">IF(CY$4=0,0,IF(COUNTIFS(実績!$W$6:$W$505,CY$3,実績!$AI$6:$AI$505,"&lt;="&amp;$A132,実績!$AJ$6:$AJ$505,"&gt;"&amp;$A132,実績!$AK$6:$AK$505,"○")&gt;0,1,0))</f>
        <v>0</v>
      </c>
      <c r="CZ132" s="39" t="n">
        <f aca="false">IF(CZ$4=0,0,IF(COUNTIFS(実績!$W$6:$W$505,CZ$3,実績!$AI$6:$AI$505,"&lt;="&amp;$A132,実績!$AJ$6:$AJ$505,"&gt;"&amp;$A132,実績!$AK$6:$AK$505,"○")&gt;0,1,0))</f>
        <v>0</v>
      </c>
      <c r="DA132" s="39" t="n">
        <f aca="false">IF(DA$4=0,0,IF(COUNTIFS(実績!$W$6:$W$505,DA$3,実績!$AI$6:$AI$505,"&lt;="&amp;$A132,実績!$AJ$6:$AJ$505,"&gt;"&amp;$A132,実績!$AK$6:$AK$505,"○")&gt;0,1,0))</f>
        <v>0</v>
      </c>
      <c r="DB132" s="39" t="n">
        <f aca="false">IF(DB$4=0,0,IF(COUNTIFS(実績!$W$6:$W$505,DB$3,実績!$AI$6:$AI$505,"&lt;="&amp;$A132,実績!$AJ$6:$AJ$505,"&gt;"&amp;$A132,実績!$AK$6:$AK$505,"○")&gt;0,1,0))</f>
        <v>0</v>
      </c>
      <c r="DC132" s="39" t="n">
        <f aca="false">IF(DC$4=0,0,IF(COUNTIFS(実績!$W$6:$W$505,DC$3,実績!$AI$6:$AI$505,"&lt;="&amp;$A132,実績!$AJ$6:$AJ$505,"&gt;"&amp;$A132,実績!$AK$6:$AK$505,"○")&gt;0,1,0))</f>
        <v>0</v>
      </c>
      <c r="DD132" s="39" t="n">
        <f aca="false">IF(DD$4=0,0,IF(COUNTIFS(実績!$W$6:$W$505,DD$3,実績!$AI$6:$AI$505,"&lt;="&amp;$A132,実績!$AJ$6:$AJ$505,"&gt;"&amp;$A132,実績!$AK$6:$AK$505,"○")&gt;0,1,0))</f>
        <v>0</v>
      </c>
      <c r="DE132" s="39" t="n">
        <f aca="false">IF(DE$4=0,0,IF(COUNTIFS(実績!$W$6:$W$505,DE$3,実績!$AI$6:$AI$505,"&lt;="&amp;$A132,実績!$AJ$6:$AJ$505,"&gt;"&amp;$A132,実績!$AK$6:$AK$505,"○")&gt;0,1,0))</f>
        <v>0</v>
      </c>
      <c r="DF132" s="39" t="n">
        <f aca="false">IF(DF$4=0,0,IF(COUNTIFS(実績!$W$6:$W$505,DF$3,実績!$AI$6:$AI$505,"&lt;="&amp;$A132,実績!$AJ$6:$AJ$505,"&gt;"&amp;$A132,実績!$AK$6:$AK$505,"○")&gt;0,1,0))</f>
        <v>0</v>
      </c>
      <c r="DG132" s="39" t="n">
        <f aca="false">IF(DG$4=0,0,IF(COUNTIFS(実績!$W$6:$W$505,DG$3,実績!$AI$6:$AI$505,"&lt;="&amp;$A132,実績!$AJ$6:$AJ$505,"&gt;"&amp;$A132,実績!$AK$6:$AK$505,"○")&gt;0,1,0))</f>
        <v>0</v>
      </c>
      <c r="DH132" s="39" t="n">
        <f aca="false">IF(DH$4=0,0,IF(COUNTIFS(実績!$W$6:$W$505,DH$3,実績!$AI$6:$AI$505,"&lt;="&amp;$A132,実績!$AJ$6:$AJ$505,"&gt;"&amp;$A132,実績!$AK$6:$AK$505,"○")&gt;0,1,0))</f>
        <v>0</v>
      </c>
      <c r="DI132" s="39" t="n">
        <f aca="false">IF(DI$4=0,0,IF(COUNTIFS(実績!$W$6:$W$505,DI$3,実績!$AI$6:$AI$505,"&lt;="&amp;$A132,実績!$AJ$6:$AJ$505,"&gt;"&amp;$A132,実績!$AK$6:$AK$505,"○")&gt;0,1,0))</f>
        <v>0</v>
      </c>
      <c r="DJ132" s="39" t="n">
        <f aca="false">IF(DJ$4=0,0,IF(COUNTIFS(実績!$W$6:$W$505,DJ$3,実績!$AI$6:$AI$505,"&lt;="&amp;$A132,実績!$AJ$6:$AJ$505,"&gt;"&amp;$A132,実績!$AK$6:$AK$505,"○")&gt;0,1,0))</f>
        <v>0</v>
      </c>
      <c r="DK132" s="39" t="n">
        <f aca="false">IF(DK$4=0,0,IF(COUNTIFS(実績!$W$6:$W$505,DK$3,実績!$AI$6:$AI$505,"&lt;="&amp;$A132,実績!$AJ$6:$AJ$505,"&gt;"&amp;$A132,実績!$AK$6:$AK$505,"○")&gt;0,1,0))</f>
        <v>0</v>
      </c>
      <c r="DL132" s="39" t="n">
        <f aca="false">IF(DL$4=0,0,IF(COUNTIFS(実績!$W$6:$W$505,DL$3,実績!$AI$6:$AI$505,"&lt;="&amp;$A132,実績!$AJ$6:$AJ$505,"&gt;"&amp;$A132,実績!$AK$6:$AK$505,"○")&gt;0,1,0))</f>
        <v>0</v>
      </c>
      <c r="DM132" s="39" t="n">
        <f aca="false">IF(DM$4=0,0,IF(COUNTIFS(実績!$W$6:$W$505,DM$3,実績!$AI$6:$AI$505,"&lt;="&amp;$A132,実績!$AJ$6:$AJ$505,"&gt;"&amp;$A132,実績!$AK$6:$AK$505,"○")&gt;0,1,0))</f>
        <v>0</v>
      </c>
      <c r="DN132" s="39" t="n">
        <f aca="false">IF(DN$4=0,0,IF(COUNTIFS(実績!$W$6:$W$505,DN$3,実績!$AI$6:$AI$505,"&lt;="&amp;$A132,実績!$AJ$6:$AJ$505,"&gt;"&amp;$A132,実績!$AK$6:$AK$505,"○")&gt;0,1,0))</f>
        <v>0</v>
      </c>
      <c r="DO132" s="39" t="n">
        <f aca="false">IF(DO$4=0,0,IF(COUNTIFS(実績!$W$6:$W$505,DO$3,実績!$AI$6:$AI$505,"&lt;="&amp;$A132,実績!$AJ$6:$AJ$505,"&gt;"&amp;$A132,実績!$AK$6:$AK$505,"○")&gt;0,1,0))</f>
        <v>0</v>
      </c>
      <c r="DP132" s="39" t="n">
        <f aca="false">IF(DP$4=0,0,IF(COUNTIFS(実績!$W$6:$W$505,DP$3,実績!$AI$6:$AI$505,"&lt;="&amp;$A132,実績!$AJ$6:$AJ$505,"&gt;"&amp;$A132,実績!$AK$6:$AK$505,"○")&gt;0,1,0))</f>
        <v>0</v>
      </c>
      <c r="DQ132" s="39" t="n">
        <f aca="false">IF(DQ$4=0,0,IF(COUNTIFS(実績!$W$6:$W$505,DQ$3,実績!$AI$6:$AI$505,"&lt;="&amp;$A132,実績!$AJ$6:$AJ$505,"&gt;"&amp;$A132,実績!$AK$6:$AK$505,"○")&gt;0,1,0))</f>
        <v>0</v>
      </c>
      <c r="DR132" s="39" t="n">
        <f aca="false">IF(DR$4=0,0,IF(COUNTIFS(実績!$W$6:$W$505,DR$3,実績!$AI$6:$AI$505,"&lt;="&amp;$A132,実績!$AJ$6:$AJ$505,"&gt;"&amp;$A132,実績!$AK$6:$AK$505,"○")&gt;0,1,0))</f>
        <v>0</v>
      </c>
      <c r="DS132" s="39" t="n">
        <f aca="false">SUM(C132:DR132)</f>
        <v>0</v>
      </c>
      <c r="DT132" s="39" t="n">
        <f aca="false">SUMPRODUCT((実績!$C$6:$C$505="○")*ISNUMBER(実績!$AM$6:$AM$505)*(実績!$AM$6:$AM$505&lt;=$A132)*(実績!$AN$6:$AN$505&gt;$A132))</f>
        <v>0</v>
      </c>
      <c r="DU132" s="39" t="n">
        <f aca="false">SUMIF($C$2:$DR$2,"製鉄曳船",C132:DR132)</f>
        <v>0</v>
      </c>
      <c r="DV132" s="39" t="n">
        <f aca="false">SUMIF($C$2:$DR$2,"西日本海運",C132:DR132)</f>
        <v>0</v>
      </c>
    </row>
    <row r="133" customFormat="false" ht="15" hidden="false" customHeight="false" outlineLevel="0" collapsed="false">
      <c r="A133" s="0" t="n">
        <v>635</v>
      </c>
      <c r="B133" s="38" t="n">
        <f aca="false">A133/1440</f>
        <v>0.440972222222222</v>
      </c>
      <c r="C133" s="39" t="n">
        <f aca="false">IF(C$4=0,0,IF(COUNTIFS(実績!$W$6:$W$505,C$3,実績!$AI$6:$AI$505,"&lt;="&amp;$A133,実績!$AJ$6:$AJ$505,"&gt;"&amp;$A133,実績!$AK$6:$AK$505,"○")&gt;0,1,0))</f>
        <v>0</v>
      </c>
      <c r="D133" s="39" t="n">
        <f aca="false">IF(D$4=0,0,IF(COUNTIFS(実績!$W$6:$W$505,D$3,実績!$AI$6:$AI$505,"&lt;="&amp;$A133,実績!$AJ$6:$AJ$505,"&gt;"&amp;$A133,実績!$AK$6:$AK$505,"○")&gt;0,1,0))</f>
        <v>0</v>
      </c>
      <c r="E133" s="39" t="n">
        <f aca="false">IF(E$4=0,0,IF(COUNTIFS(実績!$W$6:$W$505,E$3,実績!$AI$6:$AI$505,"&lt;="&amp;$A133,実績!$AJ$6:$AJ$505,"&gt;"&amp;$A133,実績!$AK$6:$AK$505,"○")&gt;0,1,0))</f>
        <v>0</v>
      </c>
      <c r="F133" s="39" t="n">
        <f aca="false">IF(F$4=0,0,IF(COUNTIFS(実績!$W$6:$W$505,F$3,実績!$AI$6:$AI$505,"&lt;="&amp;$A133,実績!$AJ$6:$AJ$505,"&gt;"&amp;$A133,実績!$AK$6:$AK$505,"○")&gt;0,1,0))</f>
        <v>0</v>
      </c>
      <c r="G133" s="39" t="n">
        <f aca="false">IF(G$4=0,0,IF(COUNTIFS(実績!$W$6:$W$505,G$3,実績!$AI$6:$AI$505,"&lt;="&amp;$A133,実績!$AJ$6:$AJ$505,"&gt;"&amp;$A133,実績!$AK$6:$AK$505,"○")&gt;0,1,0))</f>
        <v>0</v>
      </c>
      <c r="H133" s="39" t="n">
        <f aca="false">IF(H$4=0,0,IF(COUNTIFS(実績!$W$6:$W$505,H$3,実績!$AI$6:$AI$505,"&lt;="&amp;$A133,実績!$AJ$6:$AJ$505,"&gt;"&amp;$A133,実績!$AK$6:$AK$505,"○")&gt;0,1,0))</f>
        <v>0</v>
      </c>
      <c r="I133" s="39" t="n">
        <f aca="false">IF(I$4=0,0,IF(COUNTIFS(実績!$W$6:$W$505,I$3,実績!$AI$6:$AI$505,"&lt;="&amp;$A133,実績!$AJ$6:$AJ$505,"&gt;"&amp;$A133,実績!$AK$6:$AK$505,"○")&gt;0,1,0))</f>
        <v>0</v>
      </c>
      <c r="J133" s="39" t="n">
        <f aca="false">IF(J$4=0,0,IF(COUNTIFS(実績!$W$6:$W$505,J$3,実績!$AI$6:$AI$505,"&lt;="&amp;$A133,実績!$AJ$6:$AJ$505,"&gt;"&amp;$A133,実績!$AK$6:$AK$505,"○")&gt;0,1,0))</f>
        <v>0</v>
      </c>
      <c r="K133" s="39" t="n">
        <f aca="false">IF(K$4=0,0,IF(COUNTIFS(実績!$W$6:$W$505,K$3,実績!$AI$6:$AI$505,"&lt;="&amp;$A133,実績!$AJ$6:$AJ$505,"&gt;"&amp;$A133,実績!$AK$6:$AK$505,"○")&gt;0,1,0))</f>
        <v>0</v>
      </c>
      <c r="L133" s="39" t="n">
        <f aca="false">IF(L$4=0,0,IF(COUNTIFS(実績!$W$6:$W$505,L$3,実績!$AI$6:$AI$505,"&lt;="&amp;$A133,実績!$AJ$6:$AJ$505,"&gt;"&amp;$A133,実績!$AK$6:$AK$505,"○")&gt;0,1,0))</f>
        <v>0</v>
      </c>
      <c r="M133" s="39" t="n">
        <f aca="false">IF(M$4=0,0,IF(COUNTIFS(実績!$W$6:$W$505,M$3,実績!$AI$6:$AI$505,"&lt;="&amp;$A133,実績!$AJ$6:$AJ$505,"&gt;"&amp;$A133,実績!$AK$6:$AK$505,"○")&gt;0,1,0))</f>
        <v>0</v>
      </c>
      <c r="N133" s="39" t="n">
        <f aca="false">IF(N$4=0,0,IF(COUNTIFS(実績!$W$6:$W$505,N$3,実績!$AI$6:$AI$505,"&lt;="&amp;$A133,実績!$AJ$6:$AJ$505,"&gt;"&amp;$A133,実績!$AK$6:$AK$505,"○")&gt;0,1,0))</f>
        <v>0</v>
      </c>
      <c r="O133" s="39" t="n">
        <f aca="false">IF(O$4=0,0,IF(COUNTIFS(実績!$W$6:$W$505,O$3,実績!$AI$6:$AI$505,"&lt;="&amp;$A133,実績!$AJ$6:$AJ$505,"&gt;"&amp;$A133,実績!$AK$6:$AK$505,"○")&gt;0,1,0))</f>
        <v>0</v>
      </c>
      <c r="P133" s="39" t="n">
        <f aca="false">IF(P$4=0,0,IF(COUNTIFS(実績!$W$6:$W$505,P$3,実績!$AI$6:$AI$505,"&lt;="&amp;$A133,実績!$AJ$6:$AJ$505,"&gt;"&amp;$A133,実績!$AK$6:$AK$505,"○")&gt;0,1,0))</f>
        <v>0</v>
      </c>
      <c r="Q133" s="39" t="n">
        <f aca="false">IF(Q$4=0,0,IF(COUNTIFS(実績!$W$6:$W$505,Q$3,実績!$AI$6:$AI$505,"&lt;="&amp;$A133,実績!$AJ$6:$AJ$505,"&gt;"&amp;$A133,実績!$AK$6:$AK$505,"○")&gt;0,1,0))</f>
        <v>0</v>
      </c>
      <c r="R133" s="39" t="n">
        <f aca="false">IF(R$4=0,0,IF(COUNTIFS(実績!$W$6:$W$505,R$3,実績!$AI$6:$AI$505,"&lt;="&amp;$A133,実績!$AJ$6:$AJ$505,"&gt;"&amp;$A133,実績!$AK$6:$AK$505,"○")&gt;0,1,0))</f>
        <v>0</v>
      </c>
      <c r="S133" s="39" t="n">
        <f aca="false">IF(S$4=0,0,IF(COUNTIFS(実績!$W$6:$W$505,S$3,実績!$AI$6:$AI$505,"&lt;="&amp;$A133,実績!$AJ$6:$AJ$505,"&gt;"&amp;$A133,実績!$AK$6:$AK$505,"○")&gt;0,1,0))</f>
        <v>0</v>
      </c>
      <c r="T133" s="39" t="n">
        <f aca="false">IF(T$4=0,0,IF(COUNTIFS(実績!$W$6:$W$505,T$3,実績!$AI$6:$AI$505,"&lt;="&amp;$A133,実績!$AJ$6:$AJ$505,"&gt;"&amp;$A133,実績!$AK$6:$AK$505,"○")&gt;0,1,0))</f>
        <v>0</v>
      </c>
      <c r="U133" s="39" t="n">
        <f aca="false">IF(U$4=0,0,IF(COUNTIFS(実績!$W$6:$W$505,U$3,実績!$AI$6:$AI$505,"&lt;="&amp;$A133,実績!$AJ$6:$AJ$505,"&gt;"&amp;$A133,実績!$AK$6:$AK$505,"○")&gt;0,1,0))</f>
        <v>0</v>
      </c>
      <c r="V133" s="39" t="n">
        <f aca="false">IF(V$4=0,0,IF(COUNTIFS(実績!$W$6:$W$505,V$3,実績!$AI$6:$AI$505,"&lt;="&amp;$A133,実績!$AJ$6:$AJ$505,"&gt;"&amp;$A133,実績!$AK$6:$AK$505,"○")&gt;0,1,0))</f>
        <v>0</v>
      </c>
      <c r="W133" s="39" t="n">
        <f aca="false">IF(W$4=0,0,IF(COUNTIFS(実績!$W$6:$W$505,W$3,実績!$AI$6:$AI$505,"&lt;="&amp;$A133,実績!$AJ$6:$AJ$505,"&gt;"&amp;$A133,実績!$AK$6:$AK$505,"○")&gt;0,1,0))</f>
        <v>0</v>
      </c>
      <c r="X133" s="39" t="n">
        <f aca="false">IF(X$4=0,0,IF(COUNTIFS(実績!$W$6:$W$505,X$3,実績!$AI$6:$AI$505,"&lt;="&amp;$A133,実績!$AJ$6:$AJ$505,"&gt;"&amp;$A133,実績!$AK$6:$AK$505,"○")&gt;0,1,0))</f>
        <v>0</v>
      </c>
      <c r="Y133" s="39" t="n">
        <f aca="false">IF(Y$4=0,0,IF(COUNTIFS(実績!$W$6:$W$505,Y$3,実績!$AI$6:$AI$505,"&lt;="&amp;$A133,実績!$AJ$6:$AJ$505,"&gt;"&amp;$A133,実績!$AK$6:$AK$505,"○")&gt;0,1,0))</f>
        <v>0</v>
      </c>
      <c r="Z133" s="39" t="n">
        <f aca="false">IF(Z$4=0,0,IF(COUNTIFS(実績!$W$6:$W$505,Z$3,実績!$AI$6:$AI$505,"&lt;="&amp;$A133,実績!$AJ$6:$AJ$505,"&gt;"&amp;$A133,実績!$AK$6:$AK$505,"○")&gt;0,1,0))</f>
        <v>0</v>
      </c>
      <c r="AA133" s="39" t="n">
        <f aca="false">IF(AA$4=0,0,IF(COUNTIFS(実績!$W$6:$W$505,AA$3,実績!$AI$6:$AI$505,"&lt;="&amp;$A133,実績!$AJ$6:$AJ$505,"&gt;"&amp;$A133,実績!$AK$6:$AK$505,"○")&gt;0,1,0))</f>
        <v>0</v>
      </c>
      <c r="AB133" s="39" t="n">
        <f aca="false">IF(AB$4=0,0,IF(COUNTIFS(実績!$W$6:$W$505,AB$3,実績!$AI$6:$AI$505,"&lt;="&amp;$A133,実績!$AJ$6:$AJ$505,"&gt;"&amp;$A133,実績!$AK$6:$AK$505,"○")&gt;0,1,0))</f>
        <v>0</v>
      </c>
      <c r="AC133" s="39" t="n">
        <f aca="false">IF(AC$4=0,0,IF(COUNTIFS(実績!$W$6:$W$505,AC$3,実績!$AI$6:$AI$505,"&lt;="&amp;$A133,実績!$AJ$6:$AJ$505,"&gt;"&amp;$A133,実績!$AK$6:$AK$505,"○")&gt;0,1,0))</f>
        <v>0</v>
      </c>
      <c r="AD133" s="39" t="n">
        <f aca="false">IF(AD$4=0,0,IF(COUNTIFS(実績!$W$6:$W$505,AD$3,実績!$AI$6:$AI$505,"&lt;="&amp;$A133,実績!$AJ$6:$AJ$505,"&gt;"&amp;$A133,実績!$AK$6:$AK$505,"○")&gt;0,1,0))</f>
        <v>0</v>
      </c>
      <c r="AE133" s="39" t="n">
        <f aca="false">IF(AE$4=0,0,IF(COUNTIFS(実績!$W$6:$W$505,AE$3,実績!$AI$6:$AI$505,"&lt;="&amp;$A133,実績!$AJ$6:$AJ$505,"&gt;"&amp;$A133,実績!$AK$6:$AK$505,"○")&gt;0,1,0))</f>
        <v>0</v>
      </c>
      <c r="AF133" s="39" t="n">
        <f aca="false">IF(AF$4=0,0,IF(COUNTIFS(実績!$W$6:$W$505,AF$3,実績!$AI$6:$AI$505,"&lt;="&amp;$A133,実績!$AJ$6:$AJ$505,"&gt;"&amp;$A133,実績!$AK$6:$AK$505,"○")&gt;0,1,0))</f>
        <v>0</v>
      </c>
      <c r="AG133" s="39" t="n">
        <f aca="false">IF(AG$4=0,0,IF(COUNTIFS(実績!$W$6:$W$505,AG$3,実績!$AI$6:$AI$505,"&lt;="&amp;$A133,実績!$AJ$6:$AJ$505,"&gt;"&amp;$A133,実績!$AK$6:$AK$505,"○")&gt;0,1,0))</f>
        <v>0</v>
      </c>
      <c r="AH133" s="39" t="n">
        <f aca="false">IF(AH$4=0,0,IF(COUNTIFS(実績!$W$6:$W$505,AH$3,実績!$AI$6:$AI$505,"&lt;="&amp;$A133,実績!$AJ$6:$AJ$505,"&gt;"&amp;$A133,実績!$AK$6:$AK$505,"○")&gt;0,1,0))</f>
        <v>0</v>
      </c>
      <c r="AI133" s="39" t="n">
        <f aca="false">IF(AI$4=0,0,IF(COUNTIFS(実績!$W$6:$W$505,AI$3,実績!$AI$6:$AI$505,"&lt;="&amp;$A133,実績!$AJ$6:$AJ$505,"&gt;"&amp;$A133,実績!$AK$6:$AK$505,"○")&gt;0,1,0))</f>
        <v>0</v>
      </c>
      <c r="AJ133" s="39" t="n">
        <f aca="false">IF(AJ$4=0,0,IF(COUNTIFS(実績!$W$6:$W$505,AJ$3,実績!$AI$6:$AI$505,"&lt;="&amp;$A133,実績!$AJ$6:$AJ$505,"&gt;"&amp;$A133,実績!$AK$6:$AK$505,"○")&gt;0,1,0))</f>
        <v>0</v>
      </c>
      <c r="AK133" s="39" t="n">
        <f aca="false">IF(AK$4=0,0,IF(COUNTIFS(実績!$W$6:$W$505,AK$3,実績!$AI$6:$AI$505,"&lt;="&amp;$A133,実績!$AJ$6:$AJ$505,"&gt;"&amp;$A133,実績!$AK$6:$AK$505,"○")&gt;0,1,0))</f>
        <v>0</v>
      </c>
      <c r="AL133" s="39" t="n">
        <f aca="false">IF(AL$4=0,0,IF(COUNTIFS(実績!$W$6:$W$505,AL$3,実績!$AI$6:$AI$505,"&lt;="&amp;$A133,実績!$AJ$6:$AJ$505,"&gt;"&amp;$A133,実績!$AK$6:$AK$505,"○")&gt;0,1,0))</f>
        <v>0</v>
      </c>
      <c r="AM133" s="39" t="n">
        <f aca="false">IF(AM$4=0,0,IF(COUNTIFS(実績!$W$6:$W$505,AM$3,実績!$AI$6:$AI$505,"&lt;="&amp;$A133,実績!$AJ$6:$AJ$505,"&gt;"&amp;$A133,実績!$AK$6:$AK$505,"○")&gt;0,1,0))</f>
        <v>0</v>
      </c>
      <c r="AN133" s="39" t="n">
        <f aca="false">IF(AN$4=0,0,IF(COUNTIFS(実績!$W$6:$W$505,AN$3,実績!$AI$6:$AI$505,"&lt;="&amp;$A133,実績!$AJ$6:$AJ$505,"&gt;"&amp;$A133,実績!$AK$6:$AK$505,"○")&gt;0,1,0))</f>
        <v>0</v>
      </c>
      <c r="AO133" s="39" t="n">
        <f aca="false">IF(AO$4=0,0,IF(COUNTIFS(実績!$W$6:$W$505,AO$3,実績!$AI$6:$AI$505,"&lt;="&amp;$A133,実績!$AJ$6:$AJ$505,"&gt;"&amp;$A133,実績!$AK$6:$AK$505,"○")&gt;0,1,0))</f>
        <v>0</v>
      </c>
      <c r="AP133" s="39" t="n">
        <f aca="false">IF(AP$4=0,0,IF(COUNTIFS(実績!$W$6:$W$505,AP$3,実績!$AI$6:$AI$505,"&lt;="&amp;$A133,実績!$AJ$6:$AJ$505,"&gt;"&amp;$A133,実績!$AK$6:$AK$505,"○")&gt;0,1,0))</f>
        <v>0</v>
      </c>
      <c r="AQ133" s="39" t="n">
        <f aca="false">IF(AQ$4=0,0,IF(COUNTIFS(実績!$W$6:$W$505,AQ$3,実績!$AI$6:$AI$505,"&lt;="&amp;$A133,実績!$AJ$6:$AJ$505,"&gt;"&amp;$A133,実績!$AK$6:$AK$505,"○")&gt;0,1,0))</f>
        <v>0</v>
      </c>
      <c r="AR133" s="39" t="n">
        <f aca="false">IF(AR$4=0,0,IF(COUNTIFS(実績!$W$6:$W$505,AR$3,実績!$AI$6:$AI$505,"&lt;="&amp;$A133,実績!$AJ$6:$AJ$505,"&gt;"&amp;$A133,実績!$AK$6:$AK$505,"○")&gt;0,1,0))</f>
        <v>0</v>
      </c>
      <c r="AS133" s="39" t="n">
        <f aca="false">IF(AS$4=0,0,IF(COUNTIFS(実績!$W$6:$W$505,AS$3,実績!$AI$6:$AI$505,"&lt;="&amp;$A133,実績!$AJ$6:$AJ$505,"&gt;"&amp;$A133,実績!$AK$6:$AK$505,"○")&gt;0,1,0))</f>
        <v>0</v>
      </c>
      <c r="AT133" s="39" t="n">
        <f aca="false">IF(AT$4=0,0,IF(COUNTIFS(実績!$W$6:$W$505,AT$3,実績!$AI$6:$AI$505,"&lt;="&amp;$A133,実績!$AJ$6:$AJ$505,"&gt;"&amp;$A133,実績!$AK$6:$AK$505,"○")&gt;0,1,0))</f>
        <v>0</v>
      </c>
      <c r="AU133" s="39" t="n">
        <f aca="false">IF(AU$4=0,0,IF(COUNTIFS(実績!$W$6:$W$505,AU$3,実績!$AI$6:$AI$505,"&lt;="&amp;$A133,実績!$AJ$6:$AJ$505,"&gt;"&amp;$A133,実績!$AK$6:$AK$505,"○")&gt;0,1,0))</f>
        <v>0</v>
      </c>
      <c r="AV133" s="39" t="n">
        <f aca="false">IF(AV$4=0,0,IF(COUNTIFS(実績!$W$6:$W$505,AV$3,実績!$AI$6:$AI$505,"&lt;="&amp;$A133,実績!$AJ$6:$AJ$505,"&gt;"&amp;$A133,実績!$AK$6:$AK$505,"○")&gt;0,1,0))</f>
        <v>0</v>
      </c>
      <c r="AW133" s="39" t="n">
        <f aca="false">IF(AW$4=0,0,IF(COUNTIFS(実績!$W$6:$W$505,AW$3,実績!$AI$6:$AI$505,"&lt;="&amp;$A133,実績!$AJ$6:$AJ$505,"&gt;"&amp;$A133,実績!$AK$6:$AK$505,"○")&gt;0,1,0))</f>
        <v>0</v>
      </c>
      <c r="AX133" s="39" t="n">
        <f aca="false">IF(AX$4=0,0,IF(COUNTIFS(実績!$W$6:$W$505,AX$3,実績!$AI$6:$AI$505,"&lt;="&amp;$A133,実績!$AJ$6:$AJ$505,"&gt;"&amp;$A133,実績!$AK$6:$AK$505,"○")&gt;0,1,0))</f>
        <v>0</v>
      </c>
      <c r="AY133" s="39" t="n">
        <f aca="false">IF(AY$4=0,0,IF(COUNTIFS(実績!$W$6:$W$505,AY$3,実績!$AI$6:$AI$505,"&lt;="&amp;$A133,実績!$AJ$6:$AJ$505,"&gt;"&amp;$A133,実績!$AK$6:$AK$505,"○")&gt;0,1,0))</f>
        <v>0</v>
      </c>
      <c r="AZ133" s="39" t="n">
        <f aca="false">IF(AZ$4=0,0,IF(COUNTIFS(実績!$W$6:$W$505,AZ$3,実績!$AI$6:$AI$505,"&lt;="&amp;$A133,実績!$AJ$6:$AJ$505,"&gt;"&amp;$A133,実績!$AK$6:$AK$505,"○")&gt;0,1,0))</f>
        <v>0</v>
      </c>
      <c r="BA133" s="39" t="n">
        <f aca="false">IF(BA$4=0,0,IF(COUNTIFS(実績!$W$6:$W$505,BA$3,実績!$AI$6:$AI$505,"&lt;="&amp;$A133,実績!$AJ$6:$AJ$505,"&gt;"&amp;$A133,実績!$AK$6:$AK$505,"○")&gt;0,1,0))</f>
        <v>0</v>
      </c>
      <c r="BB133" s="39" t="n">
        <f aca="false">IF(BB$4=0,0,IF(COUNTIFS(実績!$W$6:$W$505,BB$3,実績!$AI$6:$AI$505,"&lt;="&amp;$A133,実績!$AJ$6:$AJ$505,"&gt;"&amp;$A133,実績!$AK$6:$AK$505,"○")&gt;0,1,0))</f>
        <v>0</v>
      </c>
      <c r="BC133" s="39" t="n">
        <f aca="false">IF(BC$4=0,0,IF(COUNTIFS(実績!$W$6:$W$505,BC$3,実績!$AI$6:$AI$505,"&lt;="&amp;$A133,実績!$AJ$6:$AJ$505,"&gt;"&amp;$A133,実績!$AK$6:$AK$505,"○")&gt;0,1,0))</f>
        <v>0</v>
      </c>
      <c r="BD133" s="39" t="n">
        <f aca="false">IF(BD$4=0,0,IF(COUNTIFS(実績!$W$6:$W$505,BD$3,実績!$AI$6:$AI$505,"&lt;="&amp;$A133,実績!$AJ$6:$AJ$505,"&gt;"&amp;$A133,実績!$AK$6:$AK$505,"○")&gt;0,1,0))</f>
        <v>0</v>
      </c>
      <c r="BE133" s="39" t="n">
        <f aca="false">IF(BE$4=0,0,IF(COUNTIFS(実績!$W$6:$W$505,BE$3,実績!$AI$6:$AI$505,"&lt;="&amp;$A133,実績!$AJ$6:$AJ$505,"&gt;"&amp;$A133,実績!$AK$6:$AK$505,"○")&gt;0,1,0))</f>
        <v>0</v>
      </c>
      <c r="BF133" s="39" t="n">
        <f aca="false">IF(BF$4=0,0,IF(COUNTIFS(実績!$W$6:$W$505,BF$3,実績!$AI$6:$AI$505,"&lt;="&amp;$A133,実績!$AJ$6:$AJ$505,"&gt;"&amp;$A133,実績!$AK$6:$AK$505,"○")&gt;0,1,0))</f>
        <v>0</v>
      </c>
      <c r="BG133" s="39" t="n">
        <f aca="false">IF(BG$4=0,0,IF(COUNTIFS(実績!$W$6:$W$505,BG$3,実績!$AI$6:$AI$505,"&lt;="&amp;$A133,実績!$AJ$6:$AJ$505,"&gt;"&amp;$A133,実績!$AK$6:$AK$505,"○")&gt;0,1,0))</f>
        <v>0</v>
      </c>
      <c r="BH133" s="39" t="n">
        <f aca="false">IF(BH$4=0,0,IF(COUNTIFS(実績!$W$6:$W$505,BH$3,実績!$AI$6:$AI$505,"&lt;="&amp;$A133,実績!$AJ$6:$AJ$505,"&gt;"&amp;$A133,実績!$AK$6:$AK$505,"○")&gt;0,1,0))</f>
        <v>0</v>
      </c>
      <c r="BI133" s="39" t="n">
        <f aca="false">IF(BI$4=0,0,IF(COUNTIFS(実績!$W$6:$W$505,BI$3,実績!$AI$6:$AI$505,"&lt;="&amp;$A133,実績!$AJ$6:$AJ$505,"&gt;"&amp;$A133,実績!$AK$6:$AK$505,"○")&gt;0,1,0))</f>
        <v>0</v>
      </c>
      <c r="BJ133" s="39" t="n">
        <f aca="false">IF(BJ$4=0,0,IF(COUNTIFS(実績!$W$6:$W$505,BJ$3,実績!$AI$6:$AI$505,"&lt;="&amp;$A133,実績!$AJ$6:$AJ$505,"&gt;"&amp;$A133,実績!$AK$6:$AK$505,"○")&gt;0,1,0))</f>
        <v>0</v>
      </c>
      <c r="BK133" s="39" t="n">
        <f aca="false">IF(BK$4=0,0,IF(COUNTIFS(実績!$W$6:$W$505,BK$3,実績!$AI$6:$AI$505,"&lt;="&amp;$A133,実績!$AJ$6:$AJ$505,"&gt;"&amp;$A133,実績!$AK$6:$AK$505,"○")&gt;0,1,0))</f>
        <v>0</v>
      </c>
      <c r="BL133" s="39" t="n">
        <f aca="false">IF(BL$4=0,0,IF(COUNTIFS(実績!$W$6:$W$505,BL$3,実績!$AI$6:$AI$505,"&lt;="&amp;$A133,実績!$AJ$6:$AJ$505,"&gt;"&amp;$A133,実績!$AK$6:$AK$505,"○")&gt;0,1,0))</f>
        <v>0</v>
      </c>
      <c r="BM133" s="39" t="n">
        <f aca="false">IF(BM$4=0,0,IF(COUNTIFS(実績!$W$6:$W$505,BM$3,実績!$AI$6:$AI$505,"&lt;="&amp;$A133,実績!$AJ$6:$AJ$505,"&gt;"&amp;$A133,実績!$AK$6:$AK$505,"○")&gt;0,1,0))</f>
        <v>0</v>
      </c>
      <c r="BN133" s="39" t="n">
        <f aca="false">IF(BN$4=0,0,IF(COUNTIFS(実績!$W$6:$W$505,BN$3,実績!$AI$6:$AI$505,"&lt;="&amp;$A133,実績!$AJ$6:$AJ$505,"&gt;"&amp;$A133,実績!$AK$6:$AK$505,"○")&gt;0,1,0))</f>
        <v>0</v>
      </c>
      <c r="BO133" s="39" t="n">
        <f aca="false">IF(BO$4=0,0,IF(COUNTIFS(実績!$W$6:$W$505,BO$3,実績!$AI$6:$AI$505,"&lt;="&amp;$A133,実績!$AJ$6:$AJ$505,"&gt;"&amp;$A133,実績!$AK$6:$AK$505,"○")&gt;0,1,0))</f>
        <v>0</v>
      </c>
      <c r="BP133" s="39" t="n">
        <f aca="false">IF(BP$4=0,0,IF(COUNTIFS(実績!$W$6:$W$505,BP$3,実績!$AI$6:$AI$505,"&lt;="&amp;$A133,実績!$AJ$6:$AJ$505,"&gt;"&amp;$A133,実績!$AK$6:$AK$505,"○")&gt;0,1,0))</f>
        <v>0</v>
      </c>
      <c r="BQ133" s="39" t="n">
        <f aca="false">IF(BQ$4=0,0,IF(COUNTIFS(実績!$W$6:$W$505,BQ$3,実績!$AI$6:$AI$505,"&lt;="&amp;$A133,実績!$AJ$6:$AJ$505,"&gt;"&amp;$A133,実績!$AK$6:$AK$505,"○")&gt;0,1,0))</f>
        <v>0</v>
      </c>
      <c r="BR133" s="39" t="n">
        <f aca="false">IF(BR$4=0,0,IF(COUNTIFS(実績!$W$6:$W$505,BR$3,実績!$AI$6:$AI$505,"&lt;="&amp;$A133,実績!$AJ$6:$AJ$505,"&gt;"&amp;$A133,実績!$AK$6:$AK$505,"○")&gt;0,1,0))</f>
        <v>0</v>
      </c>
      <c r="BS133" s="39" t="n">
        <f aca="false">IF(BS$4=0,0,IF(COUNTIFS(実績!$W$6:$W$505,BS$3,実績!$AI$6:$AI$505,"&lt;="&amp;$A133,実績!$AJ$6:$AJ$505,"&gt;"&amp;$A133,実績!$AK$6:$AK$505,"○")&gt;0,1,0))</f>
        <v>0</v>
      </c>
      <c r="BT133" s="39" t="n">
        <f aca="false">IF(BT$4=0,0,IF(COUNTIFS(実績!$W$6:$W$505,BT$3,実績!$AI$6:$AI$505,"&lt;="&amp;$A133,実績!$AJ$6:$AJ$505,"&gt;"&amp;$A133,実績!$AK$6:$AK$505,"○")&gt;0,1,0))</f>
        <v>0</v>
      </c>
      <c r="BU133" s="39" t="n">
        <f aca="false">IF(BU$4=0,0,IF(COUNTIFS(実績!$W$6:$W$505,BU$3,実績!$AI$6:$AI$505,"&lt;="&amp;$A133,実績!$AJ$6:$AJ$505,"&gt;"&amp;$A133,実績!$AK$6:$AK$505,"○")&gt;0,1,0))</f>
        <v>0</v>
      </c>
      <c r="BV133" s="39" t="n">
        <f aca="false">IF(BV$4=0,0,IF(COUNTIFS(実績!$W$6:$W$505,BV$3,実績!$AI$6:$AI$505,"&lt;="&amp;$A133,実績!$AJ$6:$AJ$505,"&gt;"&amp;$A133,実績!$AK$6:$AK$505,"○")&gt;0,1,0))</f>
        <v>0</v>
      </c>
      <c r="BW133" s="39" t="n">
        <f aca="false">IF(BW$4=0,0,IF(COUNTIFS(実績!$W$6:$W$505,BW$3,実績!$AI$6:$AI$505,"&lt;="&amp;$A133,実績!$AJ$6:$AJ$505,"&gt;"&amp;$A133,実績!$AK$6:$AK$505,"○")&gt;0,1,0))</f>
        <v>0</v>
      </c>
      <c r="BX133" s="39" t="n">
        <f aca="false">IF(BX$4=0,0,IF(COUNTIFS(実績!$W$6:$W$505,BX$3,実績!$AI$6:$AI$505,"&lt;="&amp;$A133,実績!$AJ$6:$AJ$505,"&gt;"&amp;$A133,実績!$AK$6:$AK$505,"○")&gt;0,1,0))</f>
        <v>0</v>
      </c>
      <c r="BY133" s="39" t="n">
        <f aca="false">IF(BY$4=0,0,IF(COUNTIFS(実績!$W$6:$W$505,BY$3,実績!$AI$6:$AI$505,"&lt;="&amp;$A133,実績!$AJ$6:$AJ$505,"&gt;"&amp;$A133,実績!$AK$6:$AK$505,"○")&gt;0,1,0))</f>
        <v>0</v>
      </c>
      <c r="BZ133" s="39" t="n">
        <f aca="false">IF(BZ$4=0,0,IF(COUNTIFS(実績!$W$6:$W$505,BZ$3,実績!$AI$6:$AI$505,"&lt;="&amp;$A133,実績!$AJ$6:$AJ$505,"&gt;"&amp;$A133,実績!$AK$6:$AK$505,"○")&gt;0,1,0))</f>
        <v>0</v>
      </c>
      <c r="CA133" s="39" t="n">
        <f aca="false">IF(CA$4=0,0,IF(COUNTIFS(実績!$W$6:$W$505,CA$3,実績!$AI$6:$AI$505,"&lt;="&amp;$A133,実績!$AJ$6:$AJ$505,"&gt;"&amp;$A133,実績!$AK$6:$AK$505,"○")&gt;0,1,0))</f>
        <v>0</v>
      </c>
      <c r="CB133" s="39" t="n">
        <f aca="false">IF(CB$4=0,0,IF(COUNTIFS(実績!$W$6:$W$505,CB$3,実績!$AI$6:$AI$505,"&lt;="&amp;$A133,実績!$AJ$6:$AJ$505,"&gt;"&amp;$A133,実績!$AK$6:$AK$505,"○")&gt;0,1,0))</f>
        <v>0</v>
      </c>
      <c r="CC133" s="39" t="n">
        <f aca="false">IF(CC$4=0,0,IF(COUNTIFS(実績!$W$6:$W$505,CC$3,実績!$AI$6:$AI$505,"&lt;="&amp;$A133,実績!$AJ$6:$AJ$505,"&gt;"&amp;$A133,実績!$AK$6:$AK$505,"○")&gt;0,1,0))</f>
        <v>0</v>
      </c>
      <c r="CD133" s="39" t="n">
        <f aca="false">IF(CD$4=0,0,IF(COUNTIFS(実績!$W$6:$W$505,CD$3,実績!$AI$6:$AI$505,"&lt;="&amp;$A133,実績!$AJ$6:$AJ$505,"&gt;"&amp;$A133,実績!$AK$6:$AK$505,"○")&gt;0,1,0))</f>
        <v>0</v>
      </c>
      <c r="CE133" s="39" t="n">
        <f aca="false">IF(CE$4=0,0,IF(COUNTIFS(実績!$W$6:$W$505,CE$3,実績!$AI$6:$AI$505,"&lt;="&amp;$A133,実績!$AJ$6:$AJ$505,"&gt;"&amp;$A133,実績!$AK$6:$AK$505,"○")&gt;0,1,0))</f>
        <v>0</v>
      </c>
      <c r="CF133" s="39" t="n">
        <f aca="false">IF(CF$4=0,0,IF(COUNTIFS(実績!$W$6:$W$505,CF$3,実績!$AI$6:$AI$505,"&lt;="&amp;$A133,実績!$AJ$6:$AJ$505,"&gt;"&amp;$A133,実績!$AK$6:$AK$505,"○")&gt;0,1,0))</f>
        <v>0</v>
      </c>
      <c r="CG133" s="39" t="n">
        <f aca="false">IF(CG$4=0,0,IF(COUNTIFS(実績!$W$6:$W$505,CG$3,実績!$AI$6:$AI$505,"&lt;="&amp;$A133,実績!$AJ$6:$AJ$505,"&gt;"&amp;$A133,実績!$AK$6:$AK$505,"○")&gt;0,1,0))</f>
        <v>0</v>
      </c>
      <c r="CH133" s="39" t="n">
        <f aca="false">IF(CH$4=0,0,IF(COUNTIFS(実績!$W$6:$W$505,CH$3,実績!$AI$6:$AI$505,"&lt;="&amp;$A133,実績!$AJ$6:$AJ$505,"&gt;"&amp;$A133,実績!$AK$6:$AK$505,"○")&gt;0,1,0))</f>
        <v>0</v>
      </c>
      <c r="CI133" s="39" t="n">
        <f aca="false">IF(CI$4=0,0,IF(COUNTIFS(実績!$W$6:$W$505,CI$3,実績!$AI$6:$AI$505,"&lt;="&amp;$A133,実績!$AJ$6:$AJ$505,"&gt;"&amp;$A133,実績!$AK$6:$AK$505,"○")&gt;0,1,0))</f>
        <v>0</v>
      </c>
      <c r="CJ133" s="39" t="n">
        <f aca="false">IF(CJ$4=0,0,IF(COUNTIFS(実績!$W$6:$W$505,CJ$3,実績!$AI$6:$AI$505,"&lt;="&amp;$A133,実績!$AJ$6:$AJ$505,"&gt;"&amp;$A133,実績!$AK$6:$AK$505,"○")&gt;0,1,0))</f>
        <v>0</v>
      </c>
      <c r="CK133" s="39" t="n">
        <f aca="false">IF(CK$4=0,0,IF(COUNTIFS(実績!$W$6:$W$505,CK$3,実績!$AI$6:$AI$505,"&lt;="&amp;$A133,実績!$AJ$6:$AJ$505,"&gt;"&amp;$A133,実績!$AK$6:$AK$505,"○")&gt;0,1,0))</f>
        <v>0</v>
      </c>
      <c r="CL133" s="39" t="n">
        <f aca="false">IF(CL$4=0,0,IF(COUNTIFS(実績!$W$6:$W$505,CL$3,実績!$AI$6:$AI$505,"&lt;="&amp;$A133,実績!$AJ$6:$AJ$505,"&gt;"&amp;$A133,実績!$AK$6:$AK$505,"○")&gt;0,1,0))</f>
        <v>0</v>
      </c>
      <c r="CM133" s="39" t="n">
        <f aca="false">IF(CM$4=0,0,IF(COUNTIFS(実績!$W$6:$W$505,CM$3,実績!$AI$6:$AI$505,"&lt;="&amp;$A133,実績!$AJ$6:$AJ$505,"&gt;"&amp;$A133,実績!$AK$6:$AK$505,"○")&gt;0,1,0))</f>
        <v>0</v>
      </c>
      <c r="CN133" s="39" t="n">
        <f aca="false">IF(CN$4=0,0,IF(COUNTIFS(実績!$W$6:$W$505,CN$3,実績!$AI$6:$AI$505,"&lt;="&amp;$A133,実績!$AJ$6:$AJ$505,"&gt;"&amp;$A133,実績!$AK$6:$AK$505,"○")&gt;0,1,0))</f>
        <v>0</v>
      </c>
      <c r="CO133" s="39" t="n">
        <f aca="false">IF(CO$4=0,0,IF(COUNTIFS(実績!$W$6:$W$505,CO$3,実績!$AI$6:$AI$505,"&lt;="&amp;$A133,実績!$AJ$6:$AJ$505,"&gt;"&amp;$A133,実績!$AK$6:$AK$505,"○")&gt;0,1,0))</f>
        <v>0</v>
      </c>
      <c r="CP133" s="39" t="n">
        <f aca="false">IF(CP$4=0,0,IF(COUNTIFS(実績!$W$6:$W$505,CP$3,実績!$AI$6:$AI$505,"&lt;="&amp;$A133,実績!$AJ$6:$AJ$505,"&gt;"&amp;$A133,実績!$AK$6:$AK$505,"○")&gt;0,1,0))</f>
        <v>0</v>
      </c>
      <c r="CQ133" s="39" t="n">
        <f aca="false">IF(CQ$4=0,0,IF(COUNTIFS(実績!$W$6:$W$505,CQ$3,実績!$AI$6:$AI$505,"&lt;="&amp;$A133,実績!$AJ$6:$AJ$505,"&gt;"&amp;$A133,実績!$AK$6:$AK$505,"○")&gt;0,1,0))</f>
        <v>0</v>
      </c>
      <c r="CR133" s="39" t="n">
        <f aca="false">IF(CR$4=0,0,IF(COUNTIFS(実績!$W$6:$W$505,CR$3,実績!$AI$6:$AI$505,"&lt;="&amp;$A133,実績!$AJ$6:$AJ$505,"&gt;"&amp;$A133,実績!$AK$6:$AK$505,"○")&gt;0,1,0))</f>
        <v>0</v>
      </c>
      <c r="CS133" s="39" t="n">
        <f aca="false">IF(CS$4=0,0,IF(COUNTIFS(実績!$W$6:$W$505,CS$3,実績!$AI$6:$AI$505,"&lt;="&amp;$A133,実績!$AJ$6:$AJ$505,"&gt;"&amp;$A133,実績!$AK$6:$AK$505,"○")&gt;0,1,0))</f>
        <v>0</v>
      </c>
      <c r="CT133" s="39" t="n">
        <f aca="false">IF(CT$4=0,0,IF(COUNTIFS(実績!$W$6:$W$505,CT$3,実績!$AI$6:$AI$505,"&lt;="&amp;$A133,実績!$AJ$6:$AJ$505,"&gt;"&amp;$A133,実績!$AK$6:$AK$505,"○")&gt;0,1,0))</f>
        <v>0</v>
      </c>
      <c r="CU133" s="39" t="n">
        <f aca="false">IF(CU$4=0,0,IF(COUNTIFS(実績!$W$6:$W$505,CU$3,実績!$AI$6:$AI$505,"&lt;="&amp;$A133,実績!$AJ$6:$AJ$505,"&gt;"&amp;$A133,実績!$AK$6:$AK$505,"○")&gt;0,1,0))</f>
        <v>0</v>
      </c>
      <c r="CV133" s="39" t="n">
        <f aca="false">IF(CV$4=0,0,IF(COUNTIFS(実績!$W$6:$W$505,CV$3,実績!$AI$6:$AI$505,"&lt;="&amp;$A133,実績!$AJ$6:$AJ$505,"&gt;"&amp;$A133,実績!$AK$6:$AK$505,"○")&gt;0,1,0))</f>
        <v>0</v>
      </c>
      <c r="CW133" s="39" t="n">
        <f aca="false">IF(CW$4=0,0,IF(COUNTIFS(実績!$W$6:$W$505,CW$3,実績!$AI$6:$AI$505,"&lt;="&amp;$A133,実績!$AJ$6:$AJ$505,"&gt;"&amp;$A133,実績!$AK$6:$AK$505,"○")&gt;0,1,0))</f>
        <v>0</v>
      </c>
      <c r="CX133" s="39" t="n">
        <f aca="false">IF(CX$4=0,0,IF(COUNTIFS(実績!$W$6:$W$505,CX$3,実績!$AI$6:$AI$505,"&lt;="&amp;$A133,実績!$AJ$6:$AJ$505,"&gt;"&amp;$A133,実績!$AK$6:$AK$505,"○")&gt;0,1,0))</f>
        <v>0</v>
      </c>
      <c r="CY133" s="39" t="n">
        <f aca="false">IF(CY$4=0,0,IF(COUNTIFS(実績!$W$6:$W$505,CY$3,実績!$AI$6:$AI$505,"&lt;="&amp;$A133,実績!$AJ$6:$AJ$505,"&gt;"&amp;$A133,実績!$AK$6:$AK$505,"○")&gt;0,1,0))</f>
        <v>0</v>
      </c>
      <c r="CZ133" s="39" t="n">
        <f aca="false">IF(CZ$4=0,0,IF(COUNTIFS(実績!$W$6:$W$505,CZ$3,実績!$AI$6:$AI$505,"&lt;="&amp;$A133,実績!$AJ$6:$AJ$505,"&gt;"&amp;$A133,実績!$AK$6:$AK$505,"○")&gt;0,1,0))</f>
        <v>0</v>
      </c>
      <c r="DA133" s="39" t="n">
        <f aca="false">IF(DA$4=0,0,IF(COUNTIFS(実績!$W$6:$W$505,DA$3,実績!$AI$6:$AI$505,"&lt;="&amp;$A133,実績!$AJ$6:$AJ$505,"&gt;"&amp;$A133,実績!$AK$6:$AK$505,"○")&gt;0,1,0))</f>
        <v>0</v>
      </c>
      <c r="DB133" s="39" t="n">
        <f aca="false">IF(DB$4=0,0,IF(COUNTIFS(実績!$W$6:$W$505,DB$3,実績!$AI$6:$AI$505,"&lt;="&amp;$A133,実績!$AJ$6:$AJ$505,"&gt;"&amp;$A133,実績!$AK$6:$AK$505,"○")&gt;0,1,0))</f>
        <v>0</v>
      </c>
      <c r="DC133" s="39" t="n">
        <f aca="false">IF(DC$4=0,0,IF(COUNTIFS(実績!$W$6:$W$505,DC$3,実績!$AI$6:$AI$505,"&lt;="&amp;$A133,実績!$AJ$6:$AJ$505,"&gt;"&amp;$A133,実績!$AK$6:$AK$505,"○")&gt;0,1,0))</f>
        <v>0</v>
      </c>
      <c r="DD133" s="39" t="n">
        <f aca="false">IF(DD$4=0,0,IF(COUNTIFS(実績!$W$6:$W$505,DD$3,実績!$AI$6:$AI$505,"&lt;="&amp;$A133,実績!$AJ$6:$AJ$505,"&gt;"&amp;$A133,実績!$AK$6:$AK$505,"○")&gt;0,1,0))</f>
        <v>0</v>
      </c>
      <c r="DE133" s="39" t="n">
        <f aca="false">IF(DE$4=0,0,IF(COUNTIFS(実績!$W$6:$W$505,DE$3,実績!$AI$6:$AI$505,"&lt;="&amp;$A133,実績!$AJ$6:$AJ$505,"&gt;"&amp;$A133,実績!$AK$6:$AK$505,"○")&gt;0,1,0))</f>
        <v>0</v>
      </c>
      <c r="DF133" s="39" t="n">
        <f aca="false">IF(DF$4=0,0,IF(COUNTIFS(実績!$W$6:$W$505,DF$3,実績!$AI$6:$AI$505,"&lt;="&amp;$A133,実績!$AJ$6:$AJ$505,"&gt;"&amp;$A133,実績!$AK$6:$AK$505,"○")&gt;0,1,0))</f>
        <v>0</v>
      </c>
      <c r="DG133" s="39" t="n">
        <f aca="false">IF(DG$4=0,0,IF(COUNTIFS(実績!$W$6:$W$505,DG$3,実績!$AI$6:$AI$505,"&lt;="&amp;$A133,実績!$AJ$6:$AJ$505,"&gt;"&amp;$A133,実績!$AK$6:$AK$505,"○")&gt;0,1,0))</f>
        <v>0</v>
      </c>
      <c r="DH133" s="39" t="n">
        <f aca="false">IF(DH$4=0,0,IF(COUNTIFS(実績!$W$6:$W$505,DH$3,実績!$AI$6:$AI$505,"&lt;="&amp;$A133,実績!$AJ$6:$AJ$505,"&gt;"&amp;$A133,実績!$AK$6:$AK$505,"○")&gt;0,1,0))</f>
        <v>0</v>
      </c>
      <c r="DI133" s="39" t="n">
        <f aca="false">IF(DI$4=0,0,IF(COUNTIFS(実績!$W$6:$W$505,DI$3,実績!$AI$6:$AI$505,"&lt;="&amp;$A133,実績!$AJ$6:$AJ$505,"&gt;"&amp;$A133,実績!$AK$6:$AK$505,"○")&gt;0,1,0))</f>
        <v>0</v>
      </c>
      <c r="DJ133" s="39" t="n">
        <f aca="false">IF(DJ$4=0,0,IF(COUNTIFS(実績!$W$6:$W$505,DJ$3,実績!$AI$6:$AI$505,"&lt;="&amp;$A133,実績!$AJ$6:$AJ$505,"&gt;"&amp;$A133,実績!$AK$6:$AK$505,"○")&gt;0,1,0))</f>
        <v>0</v>
      </c>
      <c r="DK133" s="39" t="n">
        <f aca="false">IF(DK$4=0,0,IF(COUNTIFS(実績!$W$6:$W$505,DK$3,実績!$AI$6:$AI$505,"&lt;="&amp;$A133,実績!$AJ$6:$AJ$505,"&gt;"&amp;$A133,実績!$AK$6:$AK$505,"○")&gt;0,1,0))</f>
        <v>0</v>
      </c>
      <c r="DL133" s="39" t="n">
        <f aca="false">IF(DL$4=0,0,IF(COUNTIFS(実績!$W$6:$W$505,DL$3,実績!$AI$6:$AI$505,"&lt;="&amp;$A133,実績!$AJ$6:$AJ$505,"&gt;"&amp;$A133,実績!$AK$6:$AK$505,"○")&gt;0,1,0))</f>
        <v>0</v>
      </c>
      <c r="DM133" s="39" t="n">
        <f aca="false">IF(DM$4=0,0,IF(COUNTIFS(実績!$W$6:$W$505,DM$3,実績!$AI$6:$AI$505,"&lt;="&amp;$A133,実績!$AJ$6:$AJ$505,"&gt;"&amp;$A133,実績!$AK$6:$AK$505,"○")&gt;0,1,0))</f>
        <v>0</v>
      </c>
      <c r="DN133" s="39" t="n">
        <f aca="false">IF(DN$4=0,0,IF(COUNTIFS(実績!$W$6:$W$505,DN$3,実績!$AI$6:$AI$505,"&lt;="&amp;$A133,実績!$AJ$6:$AJ$505,"&gt;"&amp;$A133,実績!$AK$6:$AK$505,"○")&gt;0,1,0))</f>
        <v>0</v>
      </c>
      <c r="DO133" s="39" t="n">
        <f aca="false">IF(DO$4=0,0,IF(COUNTIFS(実績!$W$6:$W$505,DO$3,実績!$AI$6:$AI$505,"&lt;="&amp;$A133,実績!$AJ$6:$AJ$505,"&gt;"&amp;$A133,実績!$AK$6:$AK$505,"○")&gt;0,1,0))</f>
        <v>0</v>
      </c>
      <c r="DP133" s="39" t="n">
        <f aca="false">IF(DP$4=0,0,IF(COUNTIFS(実績!$W$6:$W$505,DP$3,実績!$AI$6:$AI$505,"&lt;="&amp;$A133,実績!$AJ$6:$AJ$505,"&gt;"&amp;$A133,実績!$AK$6:$AK$505,"○")&gt;0,1,0))</f>
        <v>0</v>
      </c>
      <c r="DQ133" s="39" t="n">
        <f aca="false">IF(DQ$4=0,0,IF(COUNTIFS(実績!$W$6:$W$505,DQ$3,実績!$AI$6:$AI$505,"&lt;="&amp;$A133,実績!$AJ$6:$AJ$505,"&gt;"&amp;$A133,実績!$AK$6:$AK$505,"○")&gt;0,1,0))</f>
        <v>0</v>
      </c>
      <c r="DR133" s="39" t="n">
        <f aca="false">IF(DR$4=0,0,IF(COUNTIFS(実績!$W$6:$W$505,DR$3,実績!$AI$6:$AI$505,"&lt;="&amp;$A133,実績!$AJ$6:$AJ$505,"&gt;"&amp;$A133,実績!$AK$6:$AK$505,"○")&gt;0,1,0))</f>
        <v>0</v>
      </c>
      <c r="DS133" s="39" t="n">
        <f aca="false">SUM(C133:DR133)</f>
        <v>0</v>
      </c>
      <c r="DT133" s="39" t="n">
        <f aca="false">SUMPRODUCT((実績!$C$6:$C$505="○")*ISNUMBER(実績!$AM$6:$AM$505)*(実績!$AM$6:$AM$505&lt;=$A133)*(実績!$AN$6:$AN$505&gt;$A133))</f>
        <v>0</v>
      </c>
      <c r="DU133" s="39" t="n">
        <f aca="false">SUMIF($C$2:$DR$2,"製鉄曳船",C133:DR133)</f>
        <v>0</v>
      </c>
      <c r="DV133" s="39" t="n">
        <f aca="false">SUMIF($C$2:$DR$2,"西日本海運",C133:DR133)</f>
        <v>0</v>
      </c>
    </row>
    <row r="134" customFormat="false" ht="15" hidden="false" customHeight="false" outlineLevel="0" collapsed="false">
      <c r="A134" s="0" t="n">
        <v>640</v>
      </c>
      <c r="B134" s="38" t="n">
        <f aca="false">A134/1440</f>
        <v>0.444444444444444</v>
      </c>
      <c r="C134" s="39" t="n">
        <f aca="false">IF(C$4=0,0,IF(COUNTIFS(実績!$W$6:$W$505,C$3,実績!$AI$6:$AI$505,"&lt;="&amp;$A134,実績!$AJ$6:$AJ$505,"&gt;"&amp;$A134,実績!$AK$6:$AK$505,"○")&gt;0,1,0))</f>
        <v>0</v>
      </c>
      <c r="D134" s="39" t="n">
        <f aca="false">IF(D$4=0,0,IF(COUNTIFS(実績!$W$6:$W$505,D$3,実績!$AI$6:$AI$505,"&lt;="&amp;$A134,実績!$AJ$6:$AJ$505,"&gt;"&amp;$A134,実績!$AK$6:$AK$505,"○")&gt;0,1,0))</f>
        <v>0</v>
      </c>
      <c r="E134" s="39" t="n">
        <f aca="false">IF(E$4=0,0,IF(COUNTIFS(実績!$W$6:$W$505,E$3,実績!$AI$6:$AI$505,"&lt;="&amp;$A134,実績!$AJ$6:$AJ$505,"&gt;"&amp;$A134,実績!$AK$6:$AK$505,"○")&gt;0,1,0))</f>
        <v>0</v>
      </c>
      <c r="F134" s="39" t="n">
        <f aca="false">IF(F$4=0,0,IF(COUNTIFS(実績!$W$6:$W$505,F$3,実績!$AI$6:$AI$505,"&lt;="&amp;$A134,実績!$AJ$6:$AJ$505,"&gt;"&amp;$A134,実績!$AK$6:$AK$505,"○")&gt;0,1,0))</f>
        <v>0</v>
      </c>
      <c r="G134" s="39" t="n">
        <f aca="false">IF(G$4=0,0,IF(COUNTIFS(実績!$W$6:$W$505,G$3,実績!$AI$6:$AI$505,"&lt;="&amp;$A134,実績!$AJ$6:$AJ$505,"&gt;"&amp;$A134,実績!$AK$6:$AK$505,"○")&gt;0,1,0))</f>
        <v>0</v>
      </c>
      <c r="H134" s="39" t="n">
        <f aca="false">IF(H$4=0,0,IF(COUNTIFS(実績!$W$6:$W$505,H$3,実績!$AI$6:$AI$505,"&lt;="&amp;$A134,実績!$AJ$6:$AJ$505,"&gt;"&amp;$A134,実績!$AK$6:$AK$505,"○")&gt;0,1,0))</f>
        <v>0</v>
      </c>
      <c r="I134" s="39" t="n">
        <f aca="false">IF(I$4=0,0,IF(COUNTIFS(実績!$W$6:$W$505,I$3,実績!$AI$6:$AI$505,"&lt;="&amp;$A134,実績!$AJ$6:$AJ$505,"&gt;"&amp;$A134,実績!$AK$6:$AK$505,"○")&gt;0,1,0))</f>
        <v>0</v>
      </c>
      <c r="J134" s="39" t="n">
        <f aca="false">IF(J$4=0,0,IF(COUNTIFS(実績!$W$6:$W$505,J$3,実績!$AI$6:$AI$505,"&lt;="&amp;$A134,実績!$AJ$6:$AJ$505,"&gt;"&amp;$A134,実績!$AK$6:$AK$505,"○")&gt;0,1,0))</f>
        <v>0</v>
      </c>
      <c r="K134" s="39" t="n">
        <f aca="false">IF(K$4=0,0,IF(COUNTIFS(実績!$W$6:$W$505,K$3,実績!$AI$6:$AI$505,"&lt;="&amp;$A134,実績!$AJ$6:$AJ$505,"&gt;"&amp;$A134,実績!$AK$6:$AK$505,"○")&gt;0,1,0))</f>
        <v>0</v>
      </c>
      <c r="L134" s="39" t="n">
        <f aca="false">IF(L$4=0,0,IF(COUNTIFS(実績!$W$6:$W$505,L$3,実績!$AI$6:$AI$505,"&lt;="&amp;$A134,実績!$AJ$6:$AJ$505,"&gt;"&amp;$A134,実績!$AK$6:$AK$505,"○")&gt;0,1,0))</f>
        <v>0</v>
      </c>
      <c r="M134" s="39" t="n">
        <f aca="false">IF(M$4=0,0,IF(COUNTIFS(実績!$W$6:$W$505,M$3,実績!$AI$6:$AI$505,"&lt;="&amp;$A134,実績!$AJ$6:$AJ$505,"&gt;"&amp;$A134,実績!$AK$6:$AK$505,"○")&gt;0,1,0))</f>
        <v>0</v>
      </c>
      <c r="N134" s="39" t="n">
        <f aca="false">IF(N$4=0,0,IF(COUNTIFS(実績!$W$6:$W$505,N$3,実績!$AI$6:$AI$505,"&lt;="&amp;$A134,実績!$AJ$6:$AJ$505,"&gt;"&amp;$A134,実績!$AK$6:$AK$505,"○")&gt;0,1,0))</f>
        <v>0</v>
      </c>
      <c r="O134" s="39" t="n">
        <f aca="false">IF(O$4=0,0,IF(COUNTIFS(実績!$W$6:$W$505,O$3,実績!$AI$6:$AI$505,"&lt;="&amp;$A134,実績!$AJ$6:$AJ$505,"&gt;"&amp;$A134,実績!$AK$6:$AK$505,"○")&gt;0,1,0))</f>
        <v>0</v>
      </c>
      <c r="P134" s="39" t="n">
        <f aca="false">IF(P$4=0,0,IF(COUNTIFS(実績!$W$6:$W$505,P$3,実績!$AI$6:$AI$505,"&lt;="&amp;$A134,実績!$AJ$6:$AJ$505,"&gt;"&amp;$A134,実績!$AK$6:$AK$505,"○")&gt;0,1,0))</f>
        <v>0</v>
      </c>
      <c r="Q134" s="39" t="n">
        <f aca="false">IF(Q$4=0,0,IF(COUNTIFS(実績!$W$6:$W$505,Q$3,実績!$AI$6:$AI$505,"&lt;="&amp;$A134,実績!$AJ$6:$AJ$505,"&gt;"&amp;$A134,実績!$AK$6:$AK$505,"○")&gt;0,1,0))</f>
        <v>0</v>
      </c>
      <c r="R134" s="39" t="n">
        <f aca="false">IF(R$4=0,0,IF(COUNTIFS(実績!$W$6:$W$505,R$3,実績!$AI$6:$AI$505,"&lt;="&amp;$A134,実績!$AJ$6:$AJ$505,"&gt;"&amp;$A134,実績!$AK$6:$AK$505,"○")&gt;0,1,0))</f>
        <v>0</v>
      </c>
      <c r="S134" s="39" t="n">
        <f aca="false">IF(S$4=0,0,IF(COUNTIFS(実績!$W$6:$W$505,S$3,実績!$AI$6:$AI$505,"&lt;="&amp;$A134,実績!$AJ$6:$AJ$505,"&gt;"&amp;$A134,実績!$AK$6:$AK$505,"○")&gt;0,1,0))</f>
        <v>0</v>
      </c>
      <c r="T134" s="39" t="n">
        <f aca="false">IF(T$4=0,0,IF(COUNTIFS(実績!$W$6:$W$505,T$3,実績!$AI$6:$AI$505,"&lt;="&amp;$A134,実績!$AJ$6:$AJ$505,"&gt;"&amp;$A134,実績!$AK$6:$AK$505,"○")&gt;0,1,0))</f>
        <v>0</v>
      </c>
      <c r="U134" s="39" t="n">
        <f aca="false">IF(U$4=0,0,IF(COUNTIFS(実績!$W$6:$W$505,U$3,実績!$AI$6:$AI$505,"&lt;="&amp;$A134,実績!$AJ$6:$AJ$505,"&gt;"&amp;$A134,実績!$AK$6:$AK$505,"○")&gt;0,1,0))</f>
        <v>0</v>
      </c>
      <c r="V134" s="39" t="n">
        <f aca="false">IF(V$4=0,0,IF(COUNTIFS(実績!$W$6:$W$505,V$3,実績!$AI$6:$AI$505,"&lt;="&amp;$A134,実績!$AJ$6:$AJ$505,"&gt;"&amp;$A134,実績!$AK$6:$AK$505,"○")&gt;0,1,0))</f>
        <v>0</v>
      </c>
      <c r="W134" s="39" t="n">
        <f aca="false">IF(W$4=0,0,IF(COUNTIFS(実績!$W$6:$W$505,W$3,実績!$AI$6:$AI$505,"&lt;="&amp;$A134,実績!$AJ$6:$AJ$505,"&gt;"&amp;$A134,実績!$AK$6:$AK$505,"○")&gt;0,1,0))</f>
        <v>0</v>
      </c>
      <c r="X134" s="39" t="n">
        <f aca="false">IF(X$4=0,0,IF(COUNTIFS(実績!$W$6:$W$505,X$3,実績!$AI$6:$AI$505,"&lt;="&amp;$A134,実績!$AJ$6:$AJ$505,"&gt;"&amp;$A134,実績!$AK$6:$AK$505,"○")&gt;0,1,0))</f>
        <v>0</v>
      </c>
      <c r="Y134" s="39" t="n">
        <f aca="false">IF(Y$4=0,0,IF(COUNTIFS(実績!$W$6:$W$505,Y$3,実績!$AI$6:$AI$505,"&lt;="&amp;$A134,実績!$AJ$6:$AJ$505,"&gt;"&amp;$A134,実績!$AK$6:$AK$505,"○")&gt;0,1,0))</f>
        <v>0</v>
      </c>
      <c r="Z134" s="39" t="n">
        <f aca="false">IF(Z$4=0,0,IF(COUNTIFS(実績!$W$6:$W$505,Z$3,実績!$AI$6:$AI$505,"&lt;="&amp;$A134,実績!$AJ$6:$AJ$505,"&gt;"&amp;$A134,実績!$AK$6:$AK$505,"○")&gt;0,1,0))</f>
        <v>0</v>
      </c>
      <c r="AA134" s="39" t="n">
        <f aca="false">IF(AA$4=0,0,IF(COUNTIFS(実績!$W$6:$W$505,AA$3,実績!$AI$6:$AI$505,"&lt;="&amp;$A134,実績!$AJ$6:$AJ$505,"&gt;"&amp;$A134,実績!$AK$6:$AK$505,"○")&gt;0,1,0))</f>
        <v>0</v>
      </c>
      <c r="AB134" s="39" t="n">
        <f aca="false">IF(AB$4=0,0,IF(COUNTIFS(実績!$W$6:$W$505,AB$3,実績!$AI$6:$AI$505,"&lt;="&amp;$A134,実績!$AJ$6:$AJ$505,"&gt;"&amp;$A134,実績!$AK$6:$AK$505,"○")&gt;0,1,0))</f>
        <v>0</v>
      </c>
      <c r="AC134" s="39" t="n">
        <f aca="false">IF(AC$4=0,0,IF(COUNTIFS(実績!$W$6:$W$505,AC$3,実績!$AI$6:$AI$505,"&lt;="&amp;$A134,実績!$AJ$6:$AJ$505,"&gt;"&amp;$A134,実績!$AK$6:$AK$505,"○")&gt;0,1,0))</f>
        <v>0</v>
      </c>
      <c r="AD134" s="39" t="n">
        <f aca="false">IF(AD$4=0,0,IF(COUNTIFS(実績!$W$6:$W$505,AD$3,実績!$AI$6:$AI$505,"&lt;="&amp;$A134,実績!$AJ$6:$AJ$505,"&gt;"&amp;$A134,実績!$AK$6:$AK$505,"○")&gt;0,1,0))</f>
        <v>0</v>
      </c>
      <c r="AE134" s="39" t="n">
        <f aca="false">IF(AE$4=0,0,IF(COUNTIFS(実績!$W$6:$W$505,AE$3,実績!$AI$6:$AI$505,"&lt;="&amp;$A134,実績!$AJ$6:$AJ$505,"&gt;"&amp;$A134,実績!$AK$6:$AK$505,"○")&gt;0,1,0))</f>
        <v>0</v>
      </c>
      <c r="AF134" s="39" t="n">
        <f aca="false">IF(AF$4=0,0,IF(COUNTIFS(実績!$W$6:$W$505,AF$3,実績!$AI$6:$AI$505,"&lt;="&amp;$A134,実績!$AJ$6:$AJ$505,"&gt;"&amp;$A134,実績!$AK$6:$AK$505,"○")&gt;0,1,0))</f>
        <v>0</v>
      </c>
      <c r="AG134" s="39" t="n">
        <f aca="false">IF(AG$4=0,0,IF(COUNTIFS(実績!$W$6:$W$505,AG$3,実績!$AI$6:$AI$505,"&lt;="&amp;$A134,実績!$AJ$6:$AJ$505,"&gt;"&amp;$A134,実績!$AK$6:$AK$505,"○")&gt;0,1,0))</f>
        <v>0</v>
      </c>
      <c r="AH134" s="39" t="n">
        <f aca="false">IF(AH$4=0,0,IF(COUNTIFS(実績!$W$6:$W$505,AH$3,実績!$AI$6:$AI$505,"&lt;="&amp;$A134,実績!$AJ$6:$AJ$505,"&gt;"&amp;$A134,実績!$AK$6:$AK$505,"○")&gt;0,1,0))</f>
        <v>0</v>
      </c>
      <c r="AI134" s="39" t="n">
        <f aca="false">IF(AI$4=0,0,IF(COUNTIFS(実績!$W$6:$W$505,AI$3,実績!$AI$6:$AI$505,"&lt;="&amp;$A134,実績!$AJ$6:$AJ$505,"&gt;"&amp;$A134,実績!$AK$6:$AK$505,"○")&gt;0,1,0))</f>
        <v>0</v>
      </c>
      <c r="AJ134" s="39" t="n">
        <f aca="false">IF(AJ$4=0,0,IF(COUNTIFS(実績!$W$6:$W$505,AJ$3,実績!$AI$6:$AI$505,"&lt;="&amp;$A134,実績!$AJ$6:$AJ$505,"&gt;"&amp;$A134,実績!$AK$6:$AK$505,"○")&gt;0,1,0))</f>
        <v>0</v>
      </c>
      <c r="AK134" s="39" t="n">
        <f aca="false">IF(AK$4=0,0,IF(COUNTIFS(実績!$W$6:$W$505,AK$3,実績!$AI$6:$AI$505,"&lt;="&amp;$A134,実績!$AJ$6:$AJ$505,"&gt;"&amp;$A134,実績!$AK$6:$AK$505,"○")&gt;0,1,0))</f>
        <v>0</v>
      </c>
      <c r="AL134" s="39" t="n">
        <f aca="false">IF(AL$4=0,0,IF(COUNTIFS(実績!$W$6:$W$505,AL$3,実績!$AI$6:$AI$505,"&lt;="&amp;$A134,実績!$AJ$6:$AJ$505,"&gt;"&amp;$A134,実績!$AK$6:$AK$505,"○")&gt;0,1,0))</f>
        <v>0</v>
      </c>
      <c r="AM134" s="39" t="n">
        <f aca="false">IF(AM$4=0,0,IF(COUNTIFS(実績!$W$6:$W$505,AM$3,実績!$AI$6:$AI$505,"&lt;="&amp;$A134,実績!$AJ$6:$AJ$505,"&gt;"&amp;$A134,実績!$AK$6:$AK$505,"○")&gt;0,1,0))</f>
        <v>0</v>
      </c>
      <c r="AN134" s="39" t="n">
        <f aca="false">IF(AN$4=0,0,IF(COUNTIFS(実績!$W$6:$W$505,AN$3,実績!$AI$6:$AI$505,"&lt;="&amp;$A134,実績!$AJ$6:$AJ$505,"&gt;"&amp;$A134,実績!$AK$6:$AK$505,"○")&gt;0,1,0))</f>
        <v>0</v>
      </c>
      <c r="AO134" s="39" t="n">
        <f aca="false">IF(AO$4=0,0,IF(COUNTIFS(実績!$W$6:$W$505,AO$3,実績!$AI$6:$AI$505,"&lt;="&amp;$A134,実績!$AJ$6:$AJ$505,"&gt;"&amp;$A134,実績!$AK$6:$AK$505,"○")&gt;0,1,0))</f>
        <v>0</v>
      </c>
      <c r="AP134" s="39" t="n">
        <f aca="false">IF(AP$4=0,0,IF(COUNTIFS(実績!$W$6:$W$505,AP$3,実績!$AI$6:$AI$505,"&lt;="&amp;$A134,実績!$AJ$6:$AJ$505,"&gt;"&amp;$A134,実績!$AK$6:$AK$505,"○")&gt;0,1,0))</f>
        <v>0</v>
      </c>
      <c r="AQ134" s="39" t="n">
        <f aca="false">IF(AQ$4=0,0,IF(COUNTIFS(実績!$W$6:$W$505,AQ$3,実績!$AI$6:$AI$505,"&lt;="&amp;$A134,実績!$AJ$6:$AJ$505,"&gt;"&amp;$A134,実績!$AK$6:$AK$505,"○")&gt;0,1,0))</f>
        <v>0</v>
      </c>
      <c r="AR134" s="39" t="n">
        <f aca="false">IF(AR$4=0,0,IF(COUNTIFS(実績!$W$6:$W$505,AR$3,実績!$AI$6:$AI$505,"&lt;="&amp;$A134,実績!$AJ$6:$AJ$505,"&gt;"&amp;$A134,実績!$AK$6:$AK$505,"○")&gt;0,1,0))</f>
        <v>0</v>
      </c>
      <c r="AS134" s="39" t="n">
        <f aca="false">IF(AS$4=0,0,IF(COUNTIFS(実績!$W$6:$W$505,AS$3,実績!$AI$6:$AI$505,"&lt;="&amp;$A134,実績!$AJ$6:$AJ$505,"&gt;"&amp;$A134,実績!$AK$6:$AK$505,"○")&gt;0,1,0))</f>
        <v>0</v>
      </c>
      <c r="AT134" s="39" t="n">
        <f aca="false">IF(AT$4=0,0,IF(COUNTIFS(実績!$W$6:$W$505,AT$3,実績!$AI$6:$AI$505,"&lt;="&amp;$A134,実績!$AJ$6:$AJ$505,"&gt;"&amp;$A134,実績!$AK$6:$AK$505,"○")&gt;0,1,0))</f>
        <v>0</v>
      </c>
      <c r="AU134" s="39" t="n">
        <f aca="false">IF(AU$4=0,0,IF(COUNTIFS(実績!$W$6:$W$505,AU$3,実績!$AI$6:$AI$505,"&lt;="&amp;$A134,実績!$AJ$6:$AJ$505,"&gt;"&amp;$A134,実績!$AK$6:$AK$505,"○")&gt;0,1,0))</f>
        <v>0</v>
      </c>
      <c r="AV134" s="39" t="n">
        <f aca="false">IF(AV$4=0,0,IF(COUNTIFS(実績!$W$6:$W$505,AV$3,実績!$AI$6:$AI$505,"&lt;="&amp;$A134,実績!$AJ$6:$AJ$505,"&gt;"&amp;$A134,実績!$AK$6:$AK$505,"○")&gt;0,1,0))</f>
        <v>0</v>
      </c>
      <c r="AW134" s="39" t="n">
        <f aca="false">IF(AW$4=0,0,IF(COUNTIFS(実績!$W$6:$W$505,AW$3,実績!$AI$6:$AI$505,"&lt;="&amp;$A134,実績!$AJ$6:$AJ$505,"&gt;"&amp;$A134,実績!$AK$6:$AK$505,"○")&gt;0,1,0))</f>
        <v>0</v>
      </c>
      <c r="AX134" s="39" t="n">
        <f aca="false">IF(AX$4=0,0,IF(COUNTIFS(実績!$W$6:$W$505,AX$3,実績!$AI$6:$AI$505,"&lt;="&amp;$A134,実績!$AJ$6:$AJ$505,"&gt;"&amp;$A134,実績!$AK$6:$AK$505,"○")&gt;0,1,0))</f>
        <v>0</v>
      </c>
      <c r="AY134" s="39" t="n">
        <f aca="false">IF(AY$4=0,0,IF(COUNTIFS(実績!$W$6:$W$505,AY$3,実績!$AI$6:$AI$505,"&lt;="&amp;$A134,実績!$AJ$6:$AJ$505,"&gt;"&amp;$A134,実績!$AK$6:$AK$505,"○")&gt;0,1,0))</f>
        <v>0</v>
      </c>
      <c r="AZ134" s="39" t="n">
        <f aca="false">IF(AZ$4=0,0,IF(COUNTIFS(実績!$W$6:$W$505,AZ$3,実績!$AI$6:$AI$505,"&lt;="&amp;$A134,実績!$AJ$6:$AJ$505,"&gt;"&amp;$A134,実績!$AK$6:$AK$505,"○")&gt;0,1,0))</f>
        <v>0</v>
      </c>
      <c r="BA134" s="39" t="n">
        <f aca="false">IF(BA$4=0,0,IF(COUNTIFS(実績!$W$6:$W$505,BA$3,実績!$AI$6:$AI$505,"&lt;="&amp;$A134,実績!$AJ$6:$AJ$505,"&gt;"&amp;$A134,実績!$AK$6:$AK$505,"○")&gt;0,1,0))</f>
        <v>0</v>
      </c>
      <c r="BB134" s="39" t="n">
        <f aca="false">IF(BB$4=0,0,IF(COUNTIFS(実績!$W$6:$W$505,BB$3,実績!$AI$6:$AI$505,"&lt;="&amp;$A134,実績!$AJ$6:$AJ$505,"&gt;"&amp;$A134,実績!$AK$6:$AK$505,"○")&gt;0,1,0))</f>
        <v>0</v>
      </c>
      <c r="BC134" s="39" t="n">
        <f aca="false">IF(BC$4=0,0,IF(COUNTIFS(実績!$W$6:$W$505,BC$3,実績!$AI$6:$AI$505,"&lt;="&amp;$A134,実績!$AJ$6:$AJ$505,"&gt;"&amp;$A134,実績!$AK$6:$AK$505,"○")&gt;0,1,0))</f>
        <v>0</v>
      </c>
      <c r="BD134" s="39" t="n">
        <f aca="false">IF(BD$4=0,0,IF(COUNTIFS(実績!$W$6:$W$505,BD$3,実績!$AI$6:$AI$505,"&lt;="&amp;$A134,実績!$AJ$6:$AJ$505,"&gt;"&amp;$A134,実績!$AK$6:$AK$505,"○")&gt;0,1,0))</f>
        <v>0</v>
      </c>
      <c r="BE134" s="39" t="n">
        <f aca="false">IF(BE$4=0,0,IF(COUNTIFS(実績!$W$6:$W$505,BE$3,実績!$AI$6:$AI$505,"&lt;="&amp;$A134,実績!$AJ$6:$AJ$505,"&gt;"&amp;$A134,実績!$AK$6:$AK$505,"○")&gt;0,1,0))</f>
        <v>0</v>
      </c>
      <c r="BF134" s="39" t="n">
        <f aca="false">IF(BF$4=0,0,IF(COUNTIFS(実績!$W$6:$W$505,BF$3,実績!$AI$6:$AI$505,"&lt;="&amp;$A134,実績!$AJ$6:$AJ$505,"&gt;"&amp;$A134,実績!$AK$6:$AK$505,"○")&gt;0,1,0))</f>
        <v>0</v>
      </c>
      <c r="BG134" s="39" t="n">
        <f aca="false">IF(BG$4=0,0,IF(COUNTIFS(実績!$W$6:$W$505,BG$3,実績!$AI$6:$AI$505,"&lt;="&amp;$A134,実績!$AJ$6:$AJ$505,"&gt;"&amp;$A134,実績!$AK$6:$AK$505,"○")&gt;0,1,0))</f>
        <v>0</v>
      </c>
      <c r="BH134" s="39" t="n">
        <f aca="false">IF(BH$4=0,0,IF(COUNTIFS(実績!$W$6:$W$505,BH$3,実績!$AI$6:$AI$505,"&lt;="&amp;$A134,実績!$AJ$6:$AJ$505,"&gt;"&amp;$A134,実績!$AK$6:$AK$505,"○")&gt;0,1,0))</f>
        <v>0</v>
      </c>
      <c r="BI134" s="39" t="n">
        <f aca="false">IF(BI$4=0,0,IF(COUNTIFS(実績!$W$6:$W$505,BI$3,実績!$AI$6:$AI$505,"&lt;="&amp;$A134,実績!$AJ$6:$AJ$505,"&gt;"&amp;$A134,実績!$AK$6:$AK$505,"○")&gt;0,1,0))</f>
        <v>0</v>
      </c>
      <c r="BJ134" s="39" t="n">
        <f aca="false">IF(BJ$4=0,0,IF(COUNTIFS(実績!$W$6:$W$505,BJ$3,実績!$AI$6:$AI$505,"&lt;="&amp;$A134,実績!$AJ$6:$AJ$505,"&gt;"&amp;$A134,実績!$AK$6:$AK$505,"○")&gt;0,1,0))</f>
        <v>0</v>
      </c>
      <c r="BK134" s="39" t="n">
        <f aca="false">IF(BK$4=0,0,IF(COUNTIFS(実績!$W$6:$W$505,BK$3,実績!$AI$6:$AI$505,"&lt;="&amp;$A134,実績!$AJ$6:$AJ$505,"&gt;"&amp;$A134,実績!$AK$6:$AK$505,"○")&gt;0,1,0))</f>
        <v>0</v>
      </c>
      <c r="BL134" s="39" t="n">
        <f aca="false">IF(BL$4=0,0,IF(COUNTIFS(実績!$W$6:$W$505,BL$3,実績!$AI$6:$AI$505,"&lt;="&amp;$A134,実績!$AJ$6:$AJ$505,"&gt;"&amp;$A134,実績!$AK$6:$AK$505,"○")&gt;0,1,0))</f>
        <v>0</v>
      </c>
      <c r="BM134" s="39" t="n">
        <f aca="false">IF(BM$4=0,0,IF(COUNTIFS(実績!$W$6:$W$505,BM$3,実績!$AI$6:$AI$505,"&lt;="&amp;$A134,実績!$AJ$6:$AJ$505,"&gt;"&amp;$A134,実績!$AK$6:$AK$505,"○")&gt;0,1,0))</f>
        <v>0</v>
      </c>
      <c r="BN134" s="39" t="n">
        <f aca="false">IF(BN$4=0,0,IF(COUNTIFS(実績!$W$6:$W$505,BN$3,実績!$AI$6:$AI$505,"&lt;="&amp;$A134,実績!$AJ$6:$AJ$505,"&gt;"&amp;$A134,実績!$AK$6:$AK$505,"○")&gt;0,1,0))</f>
        <v>0</v>
      </c>
      <c r="BO134" s="39" t="n">
        <f aca="false">IF(BO$4=0,0,IF(COUNTIFS(実績!$W$6:$W$505,BO$3,実績!$AI$6:$AI$505,"&lt;="&amp;$A134,実績!$AJ$6:$AJ$505,"&gt;"&amp;$A134,実績!$AK$6:$AK$505,"○")&gt;0,1,0))</f>
        <v>0</v>
      </c>
      <c r="BP134" s="39" t="n">
        <f aca="false">IF(BP$4=0,0,IF(COUNTIFS(実績!$W$6:$W$505,BP$3,実績!$AI$6:$AI$505,"&lt;="&amp;$A134,実績!$AJ$6:$AJ$505,"&gt;"&amp;$A134,実績!$AK$6:$AK$505,"○")&gt;0,1,0))</f>
        <v>0</v>
      </c>
      <c r="BQ134" s="39" t="n">
        <f aca="false">IF(BQ$4=0,0,IF(COUNTIFS(実績!$W$6:$W$505,BQ$3,実績!$AI$6:$AI$505,"&lt;="&amp;$A134,実績!$AJ$6:$AJ$505,"&gt;"&amp;$A134,実績!$AK$6:$AK$505,"○")&gt;0,1,0))</f>
        <v>0</v>
      </c>
      <c r="BR134" s="39" t="n">
        <f aca="false">IF(BR$4=0,0,IF(COUNTIFS(実績!$W$6:$W$505,BR$3,実績!$AI$6:$AI$505,"&lt;="&amp;$A134,実績!$AJ$6:$AJ$505,"&gt;"&amp;$A134,実績!$AK$6:$AK$505,"○")&gt;0,1,0))</f>
        <v>0</v>
      </c>
      <c r="BS134" s="39" t="n">
        <f aca="false">IF(BS$4=0,0,IF(COUNTIFS(実績!$W$6:$W$505,BS$3,実績!$AI$6:$AI$505,"&lt;="&amp;$A134,実績!$AJ$6:$AJ$505,"&gt;"&amp;$A134,実績!$AK$6:$AK$505,"○")&gt;0,1,0))</f>
        <v>0</v>
      </c>
      <c r="BT134" s="39" t="n">
        <f aca="false">IF(BT$4=0,0,IF(COUNTIFS(実績!$W$6:$W$505,BT$3,実績!$AI$6:$AI$505,"&lt;="&amp;$A134,実績!$AJ$6:$AJ$505,"&gt;"&amp;$A134,実績!$AK$6:$AK$505,"○")&gt;0,1,0))</f>
        <v>0</v>
      </c>
      <c r="BU134" s="39" t="n">
        <f aca="false">IF(BU$4=0,0,IF(COUNTIFS(実績!$W$6:$W$505,BU$3,実績!$AI$6:$AI$505,"&lt;="&amp;$A134,実績!$AJ$6:$AJ$505,"&gt;"&amp;$A134,実績!$AK$6:$AK$505,"○")&gt;0,1,0))</f>
        <v>0</v>
      </c>
      <c r="BV134" s="39" t="n">
        <f aca="false">IF(BV$4=0,0,IF(COUNTIFS(実績!$W$6:$W$505,BV$3,実績!$AI$6:$AI$505,"&lt;="&amp;$A134,実績!$AJ$6:$AJ$505,"&gt;"&amp;$A134,実績!$AK$6:$AK$505,"○")&gt;0,1,0))</f>
        <v>0</v>
      </c>
      <c r="BW134" s="39" t="n">
        <f aca="false">IF(BW$4=0,0,IF(COUNTIFS(実績!$W$6:$W$505,BW$3,実績!$AI$6:$AI$505,"&lt;="&amp;$A134,実績!$AJ$6:$AJ$505,"&gt;"&amp;$A134,実績!$AK$6:$AK$505,"○")&gt;0,1,0))</f>
        <v>0</v>
      </c>
      <c r="BX134" s="39" t="n">
        <f aca="false">IF(BX$4=0,0,IF(COUNTIFS(実績!$W$6:$W$505,BX$3,実績!$AI$6:$AI$505,"&lt;="&amp;$A134,実績!$AJ$6:$AJ$505,"&gt;"&amp;$A134,実績!$AK$6:$AK$505,"○")&gt;0,1,0))</f>
        <v>0</v>
      </c>
      <c r="BY134" s="39" t="n">
        <f aca="false">IF(BY$4=0,0,IF(COUNTIFS(実績!$W$6:$W$505,BY$3,実績!$AI$6:$AI$505,"&lt;="&amp;$A134,実績!$AJ$6:$AJ$505,"&gt;"&amp;$A134,実績!$AK$6:$AK$505,"○")&gt;0,1,0))</f>
        <v>0</v>
      </c>
      <c r="BZ134" s="39" t="n">
        <f aca="false">IF(BZ$4=0,0,IF(COUNTIFS(実績!$W$6:$W$505,BZ$3,実績!$AI$6:$AI$505,"&lt;="&amp;$A134,実績!$AJ$6:$AJ$505,"&gt;"&amp;$A134,実績!$AK$6:$AK$505,"○")&gt;0,1,0))</f>
        <v>0</v>
      </c>
      <c r="CA134" s="39" t="n">
        <f aca="false">IF(CA$4=0,0,IF(COUNTIFS(実績!$W$6:$W$505,CA$3,実績!$AI$6:$AI$505,"&lt;="&amp;$A134,実績!$AJ$6:$AJ$505,"&gt;"&amp;$A134,実績!$AK$6:$AK$505,"○")&gt;0,1,0))</f>
        <v>0</v>
      </c>
      <c r="CB134" s="39" t="n">
        <f aca="false">IF(CB$4=0,0,IF(COUNTIFS(実績!$W$6:$W$505,CB$3,実績!$AI$6:$AI$505,"&lt;="&amp;$A134,実績!$AJ$6:$AJ$505,"&gt;"&amp;$A134,実績!$AK$6:$AK$505,"○")&gt;0,1,0))</f>
        <v>0</v>
      </c>
      <c r="CC134" s="39" t="n">
        <f aca="false">IF(CC$4=0,0,IF(COUNTIFS(実績!$W$6:$W$505,CC$3,実績!$AI$6:$AI$505,"&lt;="&amp;$A134,実績!$AJ$6:$AJ$505,"&gt;"&amp;$A134,実績!$AK$6:$AK$505,"○")&gt;0,1,0))</f>
        <v>0</v>
      </c>
      <c r="CD134" s="39" t="n">
        <f aca="false">IF(CD$4=0,0,IF(COUNTIFS(実績!$W$6:$W$505,CD$3,実績!$AI$6:$AI$505,"&lt;="&amp;$A134,実績!$AJ$6:$AJ$505,"&gt;"&amp;$A134,実績!$AK$6:$AK$505,"○")&gt;0,1,0))</f>
        <v>0</v>
      </c>
      <c r="CE134" s="39" t="n">
        <f aca="false">IF(CE$4=0,0,IF(COUNTIFS(実績!$W$6:$W$505,CE$3,実績!$AI$6:$AI$505,"&lt;="&amp;$A134,実績!$AJ$6:$AJ$505,"&gt;"&amp;$A134,実績!$AK$6:$AK$505,"○")&gt;0,1,0))</f>
        <v>0</v>
      </c>
      <c r="CF134" s="39" t="n">
        <f aca="false">IF(CF$4=0,0,IF(COUNTIFS(実績!$W$6:$W$505,CF$3,実績!$AI$6:$AI$505,"&lt;="&amp;$A134,実績!$AJ$6:$AJ$505,"&gt;"&amp;$A134,実績!$AK$6:$AK$505,"○")&gt;0,1,0))</f>
        <v>0</v>
      </c>
      <c r="CG134" s="39" t="n">
        <f aca="false">IF(CG$4=0,0,IF(COUNTIFS(実績!$W$6:$W$505,CG$3,実績!$AI$6:$AI$505,"&lt;="&amp;$A134,実績!$AJ$6:$AJ$505,"&gt;"&amp;$A134,実績!$AK$6:$AK$505,"○")&gt;0,1,0))</f>
        <v>0</v>
      </c>
      <c r="CH134" s="39" t="n">
        <f aca="false">IF(CH$4=0,0,IF(COUNTIFS(実績!$W$6:$W$505,CH$3,実績!$AI$6:$AI$505,"&lt;="&amp;$A134,実績!$AJ$6:$AJ$505,"&gt;"&amp;$A134,実績!$AK$6:$AK$505,"○")&gt;0,1,0))</f>
        <v>0</v>
      </c>
      <c r="CI134" s="39" t="n">
        <f aca="false">IF(CI$4=0,0,IF(COUNTIFS(実績!$W$6:$W$505,CI$3,実績!$AI$6:$AI$505,"&lt;="&amp;$A134,実績!$AJ$6:$AJ$505,"&gt;"&amp;$A134,実績!$AK$6:$AK$505,"○")&gt;0,1,0))</f>
        <v>0</v>
      </c>
      <c r="CJ134" s="39" t="n">
        <f aca="false">IF(CJ$4=0,0,IF(COUNTIFS(実績!$W$6:$W$505,CJ$3,実績!$AI$6:$AI$505,"&lt;="&amp;$A134,実績!$AJ$6:$AJ$505,"&gt;"&amp;$A134,実績!$AK$6:$AK$505,"○")&gt;0,1,0))</f>
        <v>0</v>
      </c>
      <c r="CK134" s="39" t="n">
        <f aca="false">IF(CK$4=0,0,IF(COUNTIFS(実績!$W$6:$W$505,CK$3,実績!$AI$6:$AI$505,"&lt;="&amp;$A134,実績!$AJ$6:$AJ$505,"&gt;"&amp;$A134,実績!$AK$6:$AK$505,"○")&gt;0,1,0))</f>
        <v>0</v>
      </c>
      <c r="CL134" s="39" t="n">
        <f aca="false">IF(CL$4=0,0,IF(COUNTIFS(実績!$W$6:$W$505,CL$3,実績!$AI$6:$AI$505,"&lt;="&amp;$A134,実績!$AJ$6:$AJ$505,"&gt;"&amp;$A134,実績!$AK$6:$AK$505,"○")&gt;0,1,0))</f>
        <v>0</v>
      </c>
      <c r="CM134" s="39" t="n">
        <f aca="false">IF(CM$4=0,0,IF(COUNTIFS(実績!$W$6:$W$505,CM$3,実績!$AI$6:$AI$505,"&lt;="&amp;$A134,実績!$AJ$6:$AJ$505,"&gt;"&amp;$A134,実績!$AK$6:$AK$505,"○")&gt;0,1,0))</f>
        <v>0</v>
      </c>
      <c r="CN134" s="39" t="n">
        <f aca="false">IF(CN$4=0,0,IF(COUNTIFS(実績!$W$6:$W$505,CN$3,実績!$AI$6:$AI$505,"&lt;="&amp;$A134,実績!$AJ$6:$AJ$505,"&gt;"&amp;$A134,実績!$AK$6:$AK$505,"○")&gt;0,1,0))</f>
        <v>0</v>
      </c>
      <c r="CO134" s="39" t="n">
        <f aca="false">IF(CO$4=0,0,IF(COUNTIFS(実績!$W$6:$W$505,CO$3,実績!$AI$6:$AI$505,"&lt;="&amp;$A134,実績!$AJ$6:$AJ$505,"&gt;"&amp;$A134,実績!$AK$6:$AK$505,"○")&gt;0,1,0))</f>
        <v>0</v>
      </c>
      <c r="CP134" s="39" t="n">
        <f aca="false">IF(CP$4=0,0,IF(COUNTIFS(実績!$W$6:$W$505,CP$3,実績!$AI$6:$AI$505,"&lt;="&amp;$A134,実績!$AJ$6:$AJ$505,"&gt;"&amp;$A134,実績!$AK$6:$AK$505,"○")&gt;0,1,0))</f>
        <v>0</v>
      </c>
      <c r="CQ134" s="39" t="n">
        <f aca="false">IF(CQ$4=0,0,IF(COUNTIFS(実績!$W$6:$W$505,CQ$3,実績!$AI$6:$AI$505,"&lt;="&amp;$A134,実績!$AJ$6:$AJ$505,"&gt;"&amp;$A134,実績!$AK$6:$AK$505,"○")&gt;0,1,0))</f>
        <v>0</v>
      </c>
      <c r="CR134" s="39" t="n">
        <f aca="false">IF(CR$4=0,0,IF(COUNTIFS(実績!$W$6:$W$505,CR$3,実績!$AI$6:$AI$505,"&lt;="&amp;$A134,実績!$AJ$6:$AJ$505,"&gt;"&amp;$A134,実績!$AK$6:$AK$505,"○")&gt;0,1,0))</f>
        <v>0</v>
      </c>
      <c r="CS134" s="39" t="n">
        <f aca="false">IF(CS$4=0,0,IF(COUNTIFS(実績!$W$6:$W$505,CS$3,実績!$AI$6:$AI$505,"&lt;="&amp;$A134,実績!$AJ$6:$AJ$505,"&gt;"&amp;$A134,実績!$AK$6:$AK$505,"○")&gt;0,1,0))</f>
        <v>0</v>
      </c>
      <c r="CT134" s="39" t="n">
        <f aca="false">IF(CT$4=0,0,IF(COUNTIFS(実績!$W$6:$W$505,CT$3,実績!$AI$6:$AI$505,"&lt;="&amp;$A134,実績!$AJ$6:$AJ$505,"&gt;"&amp;$A134,実績!$AK$6:$AK$505,"○")&gt;0,1,0))</f>
        <v>0</v>
      </c>
      <c r="CU134" s="39" t="n">
        <f aca="false">IF(CU$4=0,0,IF(COUNTIFS(実績!$W$6:$W$505,CU$3,実績!$AI$6:$AI$505,"&lt;="&amp;$A134,実績!$AJ$6:$AJ$505,"&gt;"&amp;$A134,実績!$AK$6:$AK$505,"○")&gt;0,1,0))</f>
        <v>0</v>
      </c>
      <c r="CV134" s="39" t="n">
        <f aca="false">IF(CV$4=0,0,IF(COUNTIFS(実績!$W$6:$W$505,CV$3,実績!$AI$6:$AI$505,"&lt;="&amp;$A134,実績!$AJ$6:$AJ$505,"&gt;"&amp;$A134,実績!$AK$6:$AK$505,"○")&gt;0,1,0))</f>
        <v>0</v>
      </c>
      <c r="CW134" s="39" t="n">
        <f aca="false">IF(CW$4=0,0,IF(COUNTIFS(実績!$W$6:$W$505,CW$3,実績!$AI$6:$AI$505,"&lt;="&amp;$A134,実績!$AJ$6:$AJ$505,"&gt;"&amp;$A134,実績!$AK$6:$AK$505,"○")&gt;0,1,0))</f>
        <v>0</v>
      </c>
      <c r="CX134" s="39" t="n">
        <f aca="false">IF(CX$4=0,0,IF(COUNTIFS(実績!$W$6:$W$505,CX$3,実績!$AI$6:$AI$505,"&lt;="&amp;$A134,実績!$AJ$6:$AJ$505,"&gt;"&amp;$A134,実績!$AK$6:$AK$505,"○")&gt;0,1,0))</f>
        <v>0</v>
      </c>
      <c r="CY134" s="39" t="n">
        <f aca="false">IF(CY$4=0,0,IF(COUNTIFS(実績!$W$6:$W$505,CY$3,実績!$AI$6:$AI$505,"&lt;="&amp;$A134,実績!$AJ$6:$AJ$505,"&gt;"&amp;$A134,実績!$AK$6:$AK$505,"○")&gt;0,1,0))</f>
        <v>0</v>
      </c>
      <c r="CZ134" s="39" t="n">
        <f aca="false">IF(CZ$4=0,0,IF(COUNTIFS(実績!$W$6:$W$505,CZ$3,実績!$AI$6:$AI$505,"&lt;="&amp;$A134,実績!$AJ$6:$AJ$505,"&gt;"&amp;$A134,実績!$AK$6:$AK$505,"○")&gt;0,1,0))</f>
        <v>0</v>
      </c>
      <c r="DA134" s="39" t="n">
        <f aca="false">IF(DA$4=0,0,IF(COUNTIFS(実績!$W$6:$W$505,DA$3,実績!$AI$6:$AI$505,"&lt;="&amp;$A134,実績!$AJ$6:$AJ$505,"&gt;"&amp;$A134,実績!$AK$6:$AK$505,"○")&gt;0,1,0))</f>
        <v>0</v>
      </c>
      <c r="DB134" s="39" t="n">
        <f aca="false">IF(DB$4=0,0,IF(COUNTIFS(実績!$W$6:$W$505,DB$3,実績!$AI$6:$AI$505,"&lt;="&amp;$A134,実績!$AJ$6:$AJ$505,"&gt;"&amp;$A134,実績!$AK$6:$AK$505,"○")&gt;0,1,0))</f>
        <v>0</v>
      </c>
      <c r="DC134" s="39" t="n">
        <f aca="false">IF(DC$4=0,0,IF(COUNTIFS(実績!$W$6:$W$505,DC$3,実績!$AI$6:$AI$505,"&lt;="&amp;$A134,実績!$AJ$6:$AJ$505,"&gt;"&amp;$A134,実績!$AK$6:$AK$505,"○")&gt;0,1,0))</f>
        <v>0</v>
      </c>
      <c r="DD134" s="39" t="n">
        <f aca="false">IF(DD$4=0,0,IF(COUNTIFS(実績!$W$6:$W$505,DD$3,実績!$AI$6:$AI$505,"&lt;="&amp;$A134,実績!$AJ$6:$AJ$505,"&gt;"&amp;$A134,実績!$AK$6:$AK$505,"○")&gt;0,1,0))</f>
        <v>0</v>
      </c>
      <c r="DE134" s="39" t="n">
        <f aca="false">IF(DE$4=0,0,IF(COUNTIFS(実績!$W$6:$W$505,DE$3,実績!$AI$6:$AI$505,"&lt;="&amp;$A134,実績!$AJ$6:$AJ$505,"&gt;"&amp;$A134,実績!$AK$6:$AK$505,"○")&gt;0,1,0))</f>
        <v>0</v>
      </c>
      <c r="DF134" s="39" t="n">
        <f aca="false">IF(DF$4=0,0,IF(COUNTIFS(実績!$W$6:$W$505,DF$3,実績!$AI$6:$AI$505,"&lt;="&amp;$A134,実績!$AJ$6:$AJ$505,"&gt;"&amp;$A134,実績!$AK$6:$AK$505,"○")&gt;0,1,0))</f>
        <v>0</v>
      </c>
      <c r="DG134" s="39" t="n">
        <f aca="false">IF(DG$4=0,0,IF(COUNTIFS(実績!$W$6:$W$505,DG$3,実績!$AI$6:$AI$505,"&lt;="&amp;$A134,実績!$AJ$6:$AJ$505,"&gt;"&amp;$A134,実績!$AK$6:$AK$505,"○")&gt;0,1,0))</f>
        <v>0</v>
      </c>
      <c r="DH134" s="39" t="n">
        <f aca="false">IF(DH$4=0,0,IF(COUNTIFS(実績!$W$6:$W$505,DH$3,実績!$AI$6:$AI$505,"&lt;="&amp;$A134,実績!$AJ$6:$AJ$505,"&gt;"&amp;$A134,実績!$AK$6:$AK$505,"○")&gt;0,1,0))</f>
        <v>0</v>
      </c>
      <c r="DI134" s="39" t="n">
        <f aca="false">IF(DI$4=0,0,IF(COUNTIFS(実績!$W$6:$W$505,DI$3,実績!$AI$6:$AI$505,"&lt;="&amp;$A134,実績!$AJ$6:$AJ$505,"&gt;"&amp;$A134,実績!$AK$6:$AK$505,"○")&gt;0,1,0))</f>
        <v>0</v>
      </c>
      <c r="DJ134" s="39" t="n">
        <f aca="false">IF(DJ$4=0,0,IF(COUNTIFS(実績!$W$6:$W$505,DJ$3,実績!$AI$6:$AI$505,"&lt;="&amp;$A134,実績!$AJ$6:$AJ$505,"&gt;"&amp;$A134,実績!$AK$6:$AK$505,"○")&gt;0,1,0))</f>
        <v>0</v>
      </c>
      <c r="DK134" s="39" t="n">
        <f aca="false">IF(DK$4=0,0,IF(COUNTIFS(実績!$W$6:$W$505,DK$3,実績!$AI$6:$AI$505,"&lt;="&amp;$A134,実績!$AJ$6:$AJ$505,"&gt;"&amp;$A134,実績!$AK$6:$AK$505,"○")&gt;0,1,0))</f>
        <v>0</v>
      </c>
      <c r="DL134" s="39" t="n">
        <f aca="false">IF(DL$4=0,0,IF(COUNTIFS(実績!$W$6:$W$505,DL$3,実績!$AI$6:$AI$505,"&lt;="&amp;$A134,実績!$AJ$6:$AJ$505,"&gt;"&amp;$A134,実績!$AK$6:$AK$505,"○")&gt;0,1,0))</f>
        <v>0</v>
      </c>
      <c r="DM134" s="39" t="n">
        <f aca="false">IF(DM$4=0,0,IF(COUNTIFS(実績!$W$6:$W$505,DM$3,実績!$AI$6:$AI$505,"&lt;="&amp;$A134,実績!$AJ$6:$AJ$505,"&gt;"&amp;$A134,実績!$AK$6:$AK$505,"○")&gt;0,1,0))</f>
        <v>0</v>
      </c>
      <c r="DN134" s="39" t="n">
        <f aca="false">IF(DN$4=0,0,IF(COUNTIFS(実績!$W$6:$W$505,DN$3,実績!$AI$6:$AI$505,"&lt;="&amp;$A134,実績!$AJ$6:$AJ$505,"&gt;"&amp;$A134,実績!$AK$6:$AK$505,"○")&gt;0,1,0))</f>
        <v>0</v>
      </c>
      <c r="DO134" s="39" t="n">
        <f aca="false">IF(DO$4=0,0,IF(COUNTIFS(実績!$W$6:$W$505,DO$3,実績!$AI$6:$AI$505,"&lt;="&amp;$A134,実績!$AJ$6:$AJ$505,"&gt;"&amp;$A134,実績!$AK$6:$AK$505,"○")&gt;0,1,0))</f>
        <v>0</v>
      </c>
      <c r="DP134" s="39" t="n">
        <f aca="false">IF(DP$4=0,0,IF(COUNTIFS(実績!$W$6:$W$505,DP$3,実績!$AI$6:$AI$505,"&lt;="&amp;$A134,実績!$AJ$6:$AJ$505,"&gt;"&amp;$A134,実績!$AK$6:$AK$505,"○")&gt;0,1,0))</f>
        <v>0</v>
      </c>
      <c r="DQ134" s="39" t="n">
        <f aca="false">IF(DQ$4=0,0,IF(COUNTIFS(実績!$W$6:$W$505,DQ$3,実績!$AI$6:$AI$505,"&lt;="&amp;$A134,実績!$AJ$6:$AJ$505,"&gt;"&amp;$A134,実績!$AK$6:$AK$505,"○")&gt;0,1,0))</f>
        <v>0</v>
      </c>
      <c r="DR134" s="39" t="n">
        <f aca="false">IF(DR$4=0,0,IF(COUNTIFS(実績!$W$6:$W$505,DR$3,実績!$AI$6:$AI$505,"&lt;="&amp;$A134,実績!$AJ$6:$AJ$505,"&gt;"&amp;$A134,実績!$AK$6:$AK$505,"○")&gt;0,1,0))</f>
        <v>0</v>
      </c>
      <c r="DS134" s="39" t="n">
        <f aca="false">SUM(C134:DR134)</f>
        <v>0</v>
      </c>
      <c r="DT134" s="39" t="n">
        <f aca="false">SUMPRODUCT((実績!$C$6:$C$505="○")*ISNUMBER(実績!$AM$6:$AM$505)*(実績!$AM$6:$AM$505&lt;=$A134)*(実績!$AN$6:$AN$505&gt;$A134))</f>
        <v>0</v>
      </c>
      <c r="DU134" s="39" t="n">
        <f aca="false">SUMIF($C$2:$DR$2,"製鉄曳船",C134:DR134)</f>
        <v>0</v>
      </c>
      <c r="DV134" s="39" t="n">
        <f aca="false">SUMIF($C$2:$DR$2,"西日本海運",C134:DR134)</f>
        <v>0</v>
      </c>
    </row>
    <row r="135" customFormat="false" ht="15" hidden="false" customHeight="false" outlineLevel="0" collapsed="false">
      <c r="A135" s="0" t="n">
        <v>645</v>
      </c>
      <c r="B135" s="38" t="n">
        <f aca="false">A135/1440</f>
        <v>0.447916666666667</v>
      </c>
      <c r="C135" s="39" t="n">
        <f aca="false">IF(C$4=0,0,IF(COUNTIFS(実績!$W$6:$W$505,C$3,実績!$AI$6:$AI$505,"&lt;="&amp;$A135,実績!$AJ$6:$AJ$505,"&gt;"&amp;$A135,実績!$AK$6:$AK$505,"○")&gt;0,1,0))</f>
        <v>0</v>
      </c>
      <c r="D135" s="39" t="n">
        <f aca="false">IF(D$4=0,0,IF(COUNTIFS(実績!$W$6:$W$505,D$3,実績!$AI$6:$AI$505,"&lt;="&amp;$A135,実績!$AJ$6:$AJ$505,"&gt;"&amp;$A135,実績!$AK$6:$AK$505,"○")&gt;0,1,0))</f>
        <v>0</v>
      </c>
      <c r="E135" s="39" t="n">
        <f aca="false">IF(E$4=0,0,IF(COUNTIFS(実績!$W$6:$W$505,E$3,実績!$AI$6:$AI$505,"&lt;="&amp;$A135,実績!$AJ$6:$AJ$505,"&gt;"&amp;$A135,実績!$AK$6:$AK$505,"○")&gt;0,1,0))</f>
        <v>0</v>
      </c>
      <c r="F135" s="39" t="n">
        <f aca="false">IF(F$4=0,0,IF(COUNTIFS(実績!$W$6:$W$505,F$3,実績!$AI$6:$AI$505,"&lt;="&amp;$A135,実績!$AJ$6:$AJ$505,"&gt;"&amp;$A135,実績!$AK$6:$AK$505,"○")&gt;0,1,0))</f>
        <v>0</v>
      </c>
      <c r="G135" s="39" t="n">
        <f aca="false">IF(G$4=0,0,IF(COUNTIFS(実績!$W$6:$W$505,G$3,実績!$AI$6:$AI$505,"&lt;="&amp;$A135,実績!$AJ$6:$AJ$505,"&gt;"&amp;$A135,実績!$AK$6:$AK$505,"○")&gt;0,1,0))</f>
        <v>0</v>
      </c>
      <c r="H135" s="39" t="n">
        <f aca="false">IF(H$4=0,0,IF(COUNTIFS(実績!$W$6:$W$505,H$3,実績!$AI$6:$AI$505,"&lt;="&amp;$A135,実績!$AJ$6:$AJ$505,"&gt;"&amp;$A135,実績!$AK$6:$AK$505,"○")&gt;0,1,0))</f>
        <v>0</v>
      </c>
      <c r="I135" s="39" t="n">
        <f aca="false">IF(I$4=0,0,IF(COUNTIFS(実績!$W$6:$W$505,I$3,実績!$AI$6:$AI$505,"&lt;="&amp;$A135,実績!$AJ$6:$AJ$505,"&gt;"&amp;$A135,実績!$AK$6:$AK$505,"○")&gt;0,1,0))</f>
        <v>0</v>
      </c>
      <c r="J135" s="39" t="n">
        <f aca="false">IF(J$4=0,0,IF(COUNTIFS(実績!$W$6:$W$505,J$3,実績!$AI$6:$AI$505,"&lt;="&amp;$A135,実績!$AJ$6:$AJ$505,"&gt;"&amp;$A135,実績!$AK$6:$AK$505,"○")&gt;0,1,0))</f>
        <v>0</v>
      </c>
      <c r="K135" s="39" t="n">
        <f aca="false">IF(K$4=0,0,IF(COUNTIFS(実績!$W$6:$W$505,K$3,実績!$AI$6:$AI$505,"&lt;="&amp;$A135,実績!$AJ$6:$AJ$505,"&gt;"&amp;$A135,実績!$AK$6:$AK$505,"○")&gt;0,1,0))</f>
        <v>0</v>
      </c>
      <c r="L135" s="39" t="n">
        <f aca="false">IF(L$4=0,0,IF(COUNTIFS(実績!$W$6:$W$505,L$3,実績!$AI$6:$AI$505,"&lt;="&amp;$A135,実績!$AJ$6:$AJ$505,"&gt;"&amp;$A135,実績!$AK$6:$AK$505,"○")&gt;0,1,0))</f>
        <v>0</v>
      </c>
      <c r="M135" s="39" t="n">
        <f aca="false">IF(M$4=0,0,IF(COUNTIFS(実績!$W$6:$W$505,M$3,実績!$AI$6:$AI$505,"&lt;="&amp;$A135,実績!$AJ$6:$AJ$505,"&gt;"&amp;$A135,実績!$AK$6:$AK$505,"○")&gt;0,1,0))</f>
        <v>0</v>
      </c>
      <c r="N135" s="39" t="n">
        <f aca="false">IF(N$4=0,0,IF(COUNTIFS(実績!$W$6:$W$505,N$3,実績!$AI$6:$AI$505,"&lt;="&amp;$A135,実績!$AJ$6:$AJ$505,"&gt;"&amp;$A135,実績!$AK$6:$AK$505,"○")&gt;0,1,0))</f>
        <v>0</v>
      </c>
      <c r="O135" s="39" t="n">
        <f aca="false">IF(O$4=0,0,IF(COUNTIFS(実績!$W$6:$W$505,O$3,実績!$AI$6:$AI$505,"&lt;="&amp;$A135,実績!$AJ$6:$AJ$505,"&gt;"&amp;$A135,実績!$AK$6:$AK$505,"○")&gt;0,1,0))</f>
        <v>0</v>
      </c>
      <c r="P135" s="39" t="n">
        <f aca="false">IF(P$4=0,0,IF(COUNTIFS(実績!$W$6:$W$505,P$3,実績!$AI$6:$AI$505,"&lt;="&amp;$A135,実績!$AJ$6:$AJ$505,"&gt;"&amp;$A135,実績!$AK$6:$AK$505,"○")&gt;0,1,0))</f>
        <v>0</v>
      </c>
      <c r="Q135" s="39" t="n">
        <f aca="false">IF(Q$4=0,0,IF(COUNTIFS(実績!$W$6:$W$505,Q$3,実績!$AI$6:$AI$505,"&lt;="&amp;$A135,実績!$AJ$6:$AJ$505,"&gt;"&amp;$A135,実績!$AK$6:$AK$505,"○")&gt;0,1,0))</f>
        <v>0</v>
      </c>
      <c r="R135" s="39" t="n">
        <f aca="false">IF(R$4=0,0,IF(COUNTIFS(実績!$W$6:$W$505,R$3,実績!$AI$6:$AI$505,"&lt;="&amp;$A135,実績!$AJ$6:$AJ$505,"&gt;"&amp;$A135,実績!$AK$6:$AK$505,"○")&gt;0,1,0))</f>
        <v>0</v>
      </c>
      <c r="S135" s="39" t="n">
        <f aca="false">IF(S$4=0,0,IF(COUNTIFS(実績!$W$6:$W$505,S$3,実績!$AI$6:$AI$505,"&lt;="&amp;$A135,実績!$AJ$6:$AJ$505,"&gt;"&amp;$A135,実績!$AK$6:$AK$505,"○")&gt;0,1,0))</f>
        <v>0</v>
      </c>
      <c r="T135" s="39" t="n">
        <f aca="false">IF(T$4=0,0,IF(COUNTIFS(実績!$W$6:$W$505,T$3,実績!$AI$6:$AI$505,"&lt;="&amp;$A135,実績!$AJ$6:$AJ$505,"&gt;"&amp;$A135,実績!$AK$6:$AK$505,"○")&gt;0,1,0))</f>
        <v>0</v>
      </c>
      <c r="U135" s="39" t="n">
        <f aca="false">IF(U$4=0,0,IF(COUNTIFS(実績!$W$6:$W$505,U$3,実績!$AI$6:$AI$505,"&lt;="&amp;$A135,実績!$AJ$6:$AJ$505,"&gt;"&amp;$A135,実績!$AK$6:$AK$505,"○")&gt;0,1,0))</f>
        <v>0</v>
      </c>
      <c r="V135" s="39" t="n">
        <f aca="false">IF(V$4=0,0,IF(COUNTIFS(実績!$W$6:$W$505,V$3,実績!$AI$6:$AI$505,"&lt;="&amp;$A135,実績!$AJ$6:$AJ$505,"&gt;"&amp;$A135,実績!$AK$6:$AK$505,"○")&gt;0,1,0))</f>
        <v>0</v>
      </c>
      <c r="W135" s="39" t="n">
        <f aca="false">IF(W$4=0,0,IF(COUNTIFS(実績!$W$6:$W$505,W$3,実績!$AI$6:$AI$505,"&lt;="&amp;$A135,実績!$AJ$6:$AJ$505,"&gt;"&amp;$A135,実績!$AK$6:$AK$505,"○")&gt;0,1,0))</f>
        <v>0</v>
      </c>
      <c r="X135" s="39" t="n">
        <f aca="false">IF(X$4=0,0,IF(COUNTIFS(実績!$W$6:$W$505,X$3,実績!$AI$6:$AI$505,"&lt;="&amp;$A135,実績!$AJ$6:$AJ$505,"&gt;"&amp;$A135,実績!$AK$6:$AK$505,"○")&gt;0,1,0))</f>
        <v>0</v>
      </c>
      <c r="Y135" s="39" t="n">
        <f aca="false">IF(Y$4=0,0,IF(COUNTIFS(実績!$W$6:$W$505,Y$3,実績!$AI$6:$AI$505,"&lt;="&amp;$A135,実績!$AJ$6:$AJ$505,"&gt;"&amp;$A135,実績!$AK$6:$AK$505,"○")&gt;0,1,0))</f>
        <v>0</v>
      </c>
      <c r="Z135" s="39" t="n">
        <f aca="false">IF(Z$4=0,0,IF(COUNTIFS(実績!$W$6:$W$505,Z$3,実績!$AI$6:$AI$505,"&lt;="&amp;$A135,実績!$AJ$6:$AJ$505,"&gt;"&amp;$A135,実績!$AK$6:$AK$505,"○")&gt;0,1,0))</f>
        <v>0</v>
      </c>
      <c r="AA135" s="39" t="n">
        <f aca="false">IF(AA$4=0,0,IF(COUNTIFS(実績!$W$6:$W$505,AA$3,実績!$AI$6:$AI$505,"&lt;="&amp;$A135,実績!$AJ$6:$AJ$505,"&gt;"&amp;$A135,実績!$AK$6:$AK$505,"○")&gt;0,1,0))</f>
        <v>0</v>
      </c>
      <c r="AB135" s="39" t="n">
        <f aca="false">IF(AB$4=0,0,IF(COUNTIFS(実績!$W$6:$W$505,AB$3,実績!$AI$6:$AI$505,"&lt;="&amp;$A135,実績!$AJ$6:$AJ$505,"&gt;"&amp;$A135,実績!$AK$6:$AK$505,"○")&gt;0,1,0))</f>
        <v>0</v>
      </c>
      <c r="AC135" s="39" t="n">
        <f aca="false">IF(AC$4=0,0,IF(COUNTIFS(実績!$W$6:$W$505,AC$3,実績!$AI$6:$AI$505,"&lt;="&amp;$A135,実績!$AJ$6:$AJ$505,"&gt;"&amp;$A135,実績!$AK$6:$AK$505,"○")&gt;0,1,0))</f>
        <v>0</v>
      </c>
      <c r="AD135" s="39" t="n">
        <f aca="false">IF(AD$4=0,0,IF(COUNTIFS(実績!$W$6:$W$505,AD$3,実績!$AI$6:$AI$505,"&lt;="&amp;$A135,実績!$AJ$6:$AJ$505,"&gt;"&amp;$A135,実績!$AK$6:$AK$505,"○")&gt;0,1,0))</f>
        <v>0</v>
      </c>
      <c r="AE135" s="39" t="n">
        <f aca="false">IF(AE$4=0,0,IF(COUNTIFS(実績!$W$6:$W$505,AE$3,実績!$AI$6:$AI$505,"&lt;="&amp;$A135,実績!$AJ$6:$AJ$505,"&gt;"&amp;$A135,実績!$AK$6:$AK$505,"○")&gt;0,1,0))</f>
        <v>0</v>
      </c>
      <c r="AF135" s="39" t="n">
        <f aca="false">IF(AF$4=0,0,IF(COUNTIFS(実績!$W$6:$W$505,AF$3,実績!$AI$6:$AI$505,"&lt;="&amp;$A135,実績!$AJ$6:$AJ$505,"&gt;"&amp;$A135,実績!$AK$6:$AK$505,"○")&gt;0,1,0))</f>
        <v>0</v>
      </c>
      <c r="AG135" s="39" t="n">
        <f aca="false">IF(AG$4=0,0,IF(COUNTIFS(実績!$W$6:$W$505,AG$3,実績!$AI$6:$AI$505,"&lt;="&amp;$A135,実績!$AJ$6:$AJ$505,"&gt;"&amp;$A135,実績!$AK$6:$AK$505,"○")&gt;0,1,0))</f>
        <v>0</v>
      </c>
      <c r="AH135" s="39" t="n">
        <f aca="false">IF(AH$4=0,0,IF(COUNTIFS(実績!$W$6:$W$505,AH$3,実績!$AI$6:$AI$505,"&lt;="&amp;$A135,実績!$AJ$6:$AJ$505,"&gt;"&amp;$A135,実績!$AK$6:$AK$505,"○")&gt;0,1,0))</f>
        <v>0</v>
      </c>
      <c r="AI135" s="39" t="n">
        <f aca="false">IF(AI$4=0,0,IF(COUNTIFS(実績!$W$6:$W$505,AI$3,実績!$AI$6:$AI$505,"&lt;="&amp;$A135,実績!$AJ$6:$AJ$505,"&gt;"&amp;$A135,実績!$AK$6:$AK$505,"○")&gt;0,1,0))</f>
        <v>0</v>
      </c>
      <c r="AJ135" s="39" t="n">
        <f aca="false">IF(AJ$4=0,0,IF(COUNTIFS(実績!$W$6:$W$505,AJ$3,実績!$AI$6:$AI$505,"&lt;="&amp;$A135,実績!$AJ$6:$AJ$505,"&gt;"&amp;$A135,実績!$AK$6:$AK$505,"○")&gt;0,1,0))</f>
        <v>0</v>
      </c>
      <c r="AK135" s="39" t="n">
        <f aca="false">IF(AK$4=0,0,IF(COUNTIFS(実績!$W$6:$W$505,AK$3,実績!$AI$6:$AI$505,"&lt;="&amp;$A135,実績!$AJ$6:$AJ$505,"&gt;"&amp;$A135,実績!$AK$6:$AK$505,"○")&gt;0,1,0))</f>
        <v>0</v>
      </c>
      <c r="AL135" s="39" t="n">
        <f aca="false">IF(AL$4=0,0,IF(COUNTIFS(実績!$W$6:$W$505,AL$3,実績!$AI$6:$AI$505,"&lt;="&amp;$A135,実績!$AJ$6:$AJ$505,"&gt;"&amp;$A135,実績!$AK$6:$AK$505,"○")&gt;0,1,0))</f>
        <v>0</v>
      </c>
      <c r="AM135" s="39" t="n">
        <f aca="false">IF(AM$4=0,0,IF(COUNTIFS(実績!$W$6:$W$505,AM$3,実績!$AI$6:$AI$505,"&lt;="&amp;$A135,実績!$AJ$6:$AJ$505,"&gt;"&amp;$A135,実績!$AK$6:$AK$505,"○")&gt;0,1,0))</f>
        <v>0</v>
      </c>
      <c r="AN135" s="39" t="n">
        <f aca="false">IF(AN$4=0,0,IF(COUNTIFS(実績!$W$6:$W$505,AN$3,実績!$AI$6:$AI$505,"&lt;="&amp;$A135,実績!$AJ$6:$AJ$505,"&gt;"&amp;$A135,実績!$AK$6:$AK$505,"○")&gt;0,1,0))</f>
        <v>0</v>
      </c>
      <c r="AO135" s="39" t="n">
        <f aca="false">IF(AO$4=0,0,IF(COUNTIFS(実績!$W$6:$W$505,AO$3,実績!$AI$6:$AI$505,"&lt;="&amp;$A135,実績!$AJ$6:$AJ$505,"&gt;"&amp;$A135,実績!$AK$6:$AK$505,"○")&gt;0,1,0))</f>
        <v>0</v>
      </c>
      <c r="AP135" s="39" t="n">
        <f aca="false">IF(AP$4=0,0,IF(COUNTIFS(実績!$W$6:$W$505,AP$3,実績!$AI$6:$AI$505,"&lt;="&amp;$A135,実績!$AJ$6:$AJ$505,"&gt;"&amp;$A135,実績!$AK$6:$AK$505,"○")&gt;0,1,0))</f>
        <v>0</v>
      </c>
      <c r="AQ135" s="39" t="n">
        <f aca="false">IF(AQ$4=0,0,IF(COUNTIFS(実績!$W$6:$W$505,AQ$3,実績!$AI$6:$AI$505,"&lt;="&amp;$A135,実績!$AJ$6:$AJ$505,"&gt;"&amp;$A135,実績!$AK$6:$AK$505,"○")&gt;0,1,0))</f>
        <v>0</v>
      </c>
      <c r="AR135" s="39" t="n">
        <f aca="false">IF(AR$4=0,0,IF(COUNTIFS(実績!$W$6:$W$505,AR$3,実績!$AI$6:$AI$505,"&lt;="&amp;$A135,実績!$AJ$6:$AJ$505,"&gt;"&amp;$A135,実績!$AK$6:$AK$505,"○")&gt;0,1,0))</f>
        <v>0</v>
      </c>
      <c r="AS135" s="39" t="n">
        <f aca="false">IF(AS$4=0,0,IF(COUNTIFS(実績!$W$6:$W$505,AS$3,実績!$AI$6:$AI$505,"&lt;="&amp;$A135,実績!$AJ$6:$AJ$505,"&gt;"&amp;$A135,実績!$AK$6:$AK$505,"○")&gt;0,1,0))</f>
        <v>0</v>
      </c>
      <c r="AT135" s="39" t="n">
        <f aca="false">IF(AT$4=0,0,IF(COUNTIFS(実績!$W$6:$W$505,AT$3,実績!$AI$6:$AI$505,"&lt;="&amp;$A135,実績!$AJ$6:$AJ$505,"&gt;"&amp;$A135,実績!$AK$6:$AK$505,"○")&gt;0,1,0))</f>
        <v>0</v>
      </c>
      <c r="AU135" s="39" t="n">
        <f aca="false">IF(AU$4=0,0,IF(COUNTIFS(実績!$W$6:$W$505,AU$3,実績!$AI$6:$AI$505,"&lt;="&amp;$A135,実績!$AJ$6:$AJ$505,"&gt;"&amp;$A135,実績!$AK$6:$AK$505,"○")&gt;0,1,0))</f>
        <v>0</v>
      </c>
      <c r="AV135" s="39" t="n">
        <f aca="false">IF(AV$4=0,0,IF(COUNTIFS(実績!$W$6:$W$505,AV$3,実績!$AI$6:$AI$505,"&lt;="&amp;$A135,実績!$AJ$6:$AJ$505,"&gt;"&amp;$A135,実績!$AK$6:$AK$505,"○")&gt;0,1,0))</f>
        <v>0</v>
      </c>
      <c r="AW135" s="39" t="n">
        <f aca="false">IF(AW$4=0,0,IF(COUNTIFS(実績!$W$6:$W$505,AW$3,実績!$AI$6:$AI$505,"&lt;="&amp;$A135,実績!$AJ$6:$AJ$505,"&gt;"&amp;$A135,実績!$AK$6:$AK$505,"○")&gt;0,1,0))</f>
        <v>0</v>
      </c>
      <c r="AX135" s="39" t="n">
        <f aca="false">IF(AX$4=0,0,IF(COUNTIFS(実績!$W$6:$W$505,AX$3,実績!$AI$6:$AI$505,"&lt;="&amp;$A135,実績!$AJ$6:$AJ$505,"&gt;"&amp;$A135,実績!$AK$6:$AK$505,"○")&gt;0,1,0))</f>
        <v>0</v>
      </c>
      <c r="AY135" s="39" t="n">
        <f aca="false">IF(AY$4=0,0,IF(COUNTIFS(実績!$W$6:$W$505,AY$3,実績!$AI$6:$AI$505,"&lt;="&amp;$A135,実績!$AJ$6:$AJ$505,"&gt;"&amp;$A135,実績!$AK$6:$AK$505,"○")&gt;0,1,0))</f>
        <v>0</v>
      </c>
      <c r="AZ135" s="39" t="n">
        <f aca="false">IF(AZ$4=0,0,IF(COUNTIFS(実績!$W$6:$W$505,AZ$3,実績!$AI$6:$AI$505,"&lt;="&amp;$A135,実績!$AJ$6:$AJ$505,"&gt;"&amp;$A135,実績!$AK$6:$AK$505,"○")&gt;0,1,0))</f>
        <v>0</v>
      </c>
      <c r="BA135" s="39" t="n">
        <f aca="false">IF(BA$4=0,0,IF(COUNTIFS(実績!$W$6:$W$505,BA$3,実績!$AI$6:$AI$505,"&lt;="&amp;$A135,実績!$AJ$6:$AJ$505,"&gt;"&amp;$A135,実績!$AK$6:$AK$505,"○")&gt;0,1,0))</f>
        <v>0</v>
      </c>
      <c r="BB135" s="39" t="n">
        <f aca="false">IF(BB$4=0,0,IF(COUNTIFS(実績!$W$6:$W$505,BB$3,実績!$AI$6:$AI$505,"&lt;="&amp;$A135,実績!$AJ$6:$AJ$505,"&gt;"&amp;$A135,実績!$AK$6:$AK$505,"○")&gt;0,1,0))</f>
        <v>0</v>
      </c>
      <c r="BC135" s="39" t="n">
        <f aca="false">IF(BC$4=0,0,IF(COUNTIFS(実績!$W$6:$W$505,BC$3,実績!$AI$6:$AI$505,"&lt;="&amp;$A135,実績!$AJ$6:$AJ$505,"&gt;"&amp;$A135,実績!$AK$6:$AK$505,"○")&gt;0,1,0))</f>
        <v>0</v>
      </c>
      <c r="BD135" s="39" t="n">
        <f aca="false">IF(BD$4=0,0,IF(COUNTIFS(実績!$W$6:$W$505,BD$3,実績!$AI$6:$AI$505,"&lt;="&amp;$A135,実績!$AJ$6:$AJ$505,"&gt;"&amp;$A135,実績!$AK$6:$AK$505,"○")&gt;0,1,0))</f>
        <v>0</v>
      </c>
      <c r="BE135" s="39" t="n">
        <f aca="false">IF(BE$4=0,0,IF(COUNTIFS(実績!$W$6:$W$505,BE$3,実績!$AI$6:$AI$505,"&lt;="&amp;$A135,実績!$AJ$6:$AJ$505,"&gt;"&amp;$A135,実績!$AK$6:$AK$505,"○")&gt;0,1,0))</f>
        <v>0</v>
      </c>
      <c r="BF135" s="39" t="n">
        <f aca="false">IF(BF$4=0,0,IF(COUNTIFS(実績!$W$6:$W$505,BF$3,実績!$AI$6:$AI$505,"&lt;="&amp;$A135,実績!$AJ$6:$AJ$505,"&gt;"&amp;$A135,実績!$AK$6:$AK$505,"○")&gt;0,1,0))</f>
        <v>0</v>
      </c>
      <c r="BG135" s="39" t="n">
        <f aca="false">IF(BG$4=0,0,IF(COUNTIFS(実績!$W$6:$W$505,BG$3,実績!$AI$6:$AI$505,"&lt;="&amp;$A135,実績!$AJ$6:$AJ$505,"&gt;"&amp;$A135,実績!$AK$6:$AK$505,"○")&gt;0,1,0))</f>
        <v>0</v>
      </c>
      <c r="BH135" s="39" t="n">
        <f aca="false">IF(BH$4=0,0,IF(COUNTIFS(実績!$W$6:$W$505,BH$3,実績!$AI$6:$AI$505,"&lt;="&amp;$A135,実績!$AJ$6:$AJ$505,"&gt;"&amp;$A135,実績!$AK$6:$AK$505,"○")&gt;0,1,0))</f>
        <v>0</v>
      </c>
      <c r="BI135" s="39" t="n">
        <f aca="false">IF(BI$4=0,0,IF(COUNTIFS(実績!$W$6:$W$505,BI$3,実績!$AI$6:$AI$505,"&lt;="&amp;$A135,実績!$AJ$6:$AJ$505,"&gt;"&amp;$A135,実績!$AK$6:$AK$505,"○")&gt;0,1,0))</f>
        <v>0</v>
      </c>
      <c r="BJ135" s="39" t="n">
        <f aca="false">IF(BJ$4=0,0,IF(COUNTIFS(実績!$W$6:$W$505,BJ$3,実績!$AI$6:$AI$505,"&lt;="&amp;$A135,実績!$AJ$6:$AJ$505,"&gt;"&amp;$A135,実績!$AK$6:$AK$505,"○")&gt;0,1,0))</f>
        <v>0</v>
      </c>
      <c r="BK135" s="39" t="n">
        <f aca="false">IF(BK$4=0,0,IF(COUNTIFS(実績!$W$6:$W$505,BK$3,実績!$AI$6:$AI$505,"&lt;="&amp;$A135,実績!$AJ$6:$AJ$505,"&gt;"&amp;$A135,実績!$AK$6:$AK$505,"○")&gt;0,1,0))</f>
        <v>0</v>
      </c>
      <c r="BL135" s="39" t="n">
        <f aca="false">IF(BL$4=0,0,IF(COUNTIFS(実績!$W$6:$W$505,BL$3,実績!$AI$6:$AI$505,"&lt;="&amp;$A135,実績!$AJ$6:$AJ$505,"&gt;"&amp;$A135,実績!$AK$6:$AK$505,"○")&gt;0,1,0))</f>
        <v>0</v>
      </c>
      <c r="BM135" s="39" t="n">
        <f aca="false">IF(BM$4=0,0,IF(COUNTIFS(実績!$W$6:$W$505,BM$3,実績!$AI$6:$AI$505,"&lt;="&amp;$A135,実績!$AJ$6:$AJ$505,"&gt;"&amp;$A135,実績!$AK$6:$AK$505,"○")&gt;0,1,0))</f>
        <v>0</v>
      </c>
      <c r="BN135" s="39" t="n">
        <f aca="false">IF(BN$4=0,0,IF(COUNTIFS(実績!$W$6:$W$505,BN$3,実績!$AI$6:$AI$505,"&lt;="&amp;$A135,実績!$AJ$6:$AJ$505,"&gt;"&amp;$A135,実績!$AK$6:$AK$505,"○")&gt;0,1,0))</f>
        <v>0</v>
      </c>
      <c r="BO135" s="39" t="n">
        <f aca="false">IF(BO$4=0,0,IF(COUNTIFS(実績!$W$6:$W$505,BO$3,実績!$AI$6:$AI$505,"&lt;="&amp;$A135,実績!$AJ$6:$AJ$505,"&gt;"&amp;$A135,実績!$AK$6:$AK$505,"○")&gt;0,1,0))</f>
        <v>0</v>
      </c>
      <c r="BP135" s="39" t="n">
        <f aca="false">IF(BP$4=0,0,IF(COUNTIFS(実績!$W$6:$W$505,BP$3,実績!$AI$6:$AI$505,"&lt;="&amp;$A135,実績!$AJ$6:$AJ$505,"&gt;"&amp;$A135,実績!$AK$6:$AK$505,"○")&gt;0,1,0))</f>
        <v>0</v>
      </c>
      <c r="BQ135" s="39" t="n">
        <f aca="false">IF(BQ$4=0,0,IF(COUNTIFS(実績!$W$6:$W$505,BQ$3,実績!$AI$6:$AI$505,"&lt;="&amp;$A135,実績!$AJ$6:$AJ$505,"&gt;"&amp;$A135,実績!$AK$6:$AK$505,"○")&gt;0,1,0))</f>
        <v>0</v>
      </c>
      <c r="BR135" s="39" t="n">
        <f aca="false">IF(BR$4=0,0,IF(COUNTIFS(実績!$W$6:$W$505,BR$3,実績!$AI$6:$AI$505,"&lt;="&amp;$A135,実績!$AJ$6:$AJ$505,"&gt;"&amp;$A135,実績!$AK$6:$AK$505,"○")&gt;0,1,0))</f>
        <v>0</v>
      </c>
      <c r="BS135" s="39" t="n">
        <f aca="false">IF(BS$4=0,0,IF(COUNTIFS(実績!$W$6:$W$505,BS$3,実績!$AI$6:$AI$505,"&lt;="&amp;$A135,実績!$AJ$6:$AJ$505,"&gt;"&amp;$A135,実績!$AK$6:$AK$505,"○")&gt;0,1,0))</f>
        <v>0</v>
      </c>
      <c r="BT135" s="39" t="n">
        <f aca="false">IF(BT$4=0,0,IF(COUNTIFS(実績!$W$6:$W$505,BT$3,実績!$AI$6:$AI$505,"&lt;="&amp;$A135,実績!$AJ$6:$AJ$505,"&gt;"&amp;$A135,実績!$AK$6:$AK$505,"○")&gt;0,1,0))</f>
        <v>0</v>
      </c>
      <c r="BU135" s="39" t="n">
        <f aca="false">IF(BU$4=0,0,IF(COUNTIFS(実績!$W$6:$W$505,BU$3,実績!$AI$6:$AI$505,"&lt;="&amp;$A135,実績!$AJ$6:$AJ$505,"&gt;"&amp;$A135,実績!$AK$6:$AK$505,"○")&gt;0,1,0))</f>
        <v>0</v>
      </c>
      <c r="BV135" s="39" t="n">
        <f aca="false">IF(BV$4=0,0,IF(COUNTIFS(実績!$W$6:$W$505,BV$3,実績!$AI$6:$AI$505,"&lt;="&amp;$A135,実績!$AJ$6:$AJ$505,"&gt;"&amp;$A135,実績!$AK$6:$AK$505,"○")&gt;0,1,0))</f>
        <v>0</v>
      </c>
      <c r="BW135" s="39" t="n">
        <f aca="false">IF(BW$4=0,0,IF(COUNTIFS(実績!$W$6:$W$505,BW$3,実績!$AI$6:$AI$505,"&lt;="&amp;$A135,実績!$AJ$6:$AJ$505,"&gt;"&amp;$A135,実績!$AK$6:$AK$505,"○")&gt;0,1,0))</f>
        <v>0</v>
      </c>
      <c r="BX135" s="39" t="n">
        <f aca="false">IF(BX$4=0,0,IF(COUNTIFS(実績!$W$6:$W$505,BX$3,実績!$AI$6:$AI$505,"&lt;="&amp;$A135,実績!$AJ$6:$AJ$505,"&gt;"&amp;$A135,実績!$AK$6:$AK$505,"○")&gt;0,1,0))</f>
        <v>0</v>
      </c>
      <c r="BY135" s="39" t="n">
        <f aca="false">IF(BY$4=0,0,IF(COUNTIFS(実績!$W$6:$W$505,BY$3,実績!$AI$6:$AI$505,"&lt;="&amp;$A135,実績!$AJ$6:$AJ$505,"&gt;"&amp;$A135,実績!$AK$6:$AK$505,"○")&gt;0,1,0))</f>
        <v>0</v>
      </c>
      <c r="BZ135" s="39" t="n">
        <f aca="false">IF(BZ$4=0,0,IF(COUNTIFS(実績!$W$6:$W$505,BZ$3,実績!$AI$6:$AI$505,"&lt;="&amp;$A135,実績!$AJ$6:$AJ$505,"&gt;"&amp;$A135,実績!$AK$6:$AK$505,"○")&gt;0,1,0))</f>
        <v>0</v>
      </c>
      <c r="CA135" s="39" t="n">
        <f aca="false">IF(CA$4=0,0,IF(COUNTIFS(実績!$W$6:$W$505,CA$3,実績!$AI$6:$AI$505,"&lt;="&amp;$A135,実績!$AJ$6:$AJ$505,"&gt;"&amp;$A135,実績!$AK$6:$AK$505,"○")&gt;0,1,0))</f>
        <v>0</v>
      </c>
      <c r="CB135" s="39" t="n">
        <f aca="false">IF(CB$4=0,0,IF(COUNTIFS(実績!$W$6:$W$505,CB$3,実績!$AI$6:$AI$505,"&lt;="&amp;$A135,実績!$AJ$6:$AJ$505,"&gt;"&amp;$A135,実績!$AK$6:$AK$505,"○")&gt;0,1,0))</f>
        <v>0</v>
      </c>
      <c r="CC135" s="39" t="n">
        <f aca="false">IF(CC$4=0,0,IF(COUNTIFS(実績!$W$6:$W$505,CC$3,実績!$AI$6:$AI$505,"&lt;="&amp;$A135,実績!$AJ$6:$AJ$505,"&gt;"&amp;$A135,実績!$AK$6:$AK$505,"○")&gt;0,1,0))</f>
        <v>0</v>
      </c>
      <c r="CD135" s="39" t="n">
        <f aca="false">IF(CD$4=0,0,IF(COUNTIFS(実績!$W$6:$W$505,CD$3,実績!$AI$6:$AI$505,"&lt;="&amp;$A135,実績!$AJ$6:$AJ$505,"&gt;"&amp;$A135,実績!$AK$6:$AK$505,"○")&gt;0,1,0))</f>
        <v>0</v>
      </c>
      <c r="CE135" s="39" t="n">
        <f aca="false">IF(CE$4=0,0,IF(COUNTIFS(実績!$W$6:$W$505,CE$3,実績!$AI$6:$AI$505,"&lt;="&amp;$A135,実績!$AJ$6:$AJ$505,"&gt;"&amp;$A135,実績!$AK$6:$AK$505,"○")&gt;0,1,0))</f>
        <v>0</v>
      </c>
      <c r="CF135" s="39" t="n">
        <f aca="false">IF(CF$4=0,0,IF(COUNTIFS(実績!$W$6:$W$505,CF$3,実績!$AI$6:$AI$505,"&lt;="&amp;$A135,実績!$AJ$6:$AJ$505,"&gt;"&amp;$A135,実績!$AK$6:$AK$505,"○")&gt;0,1,0))</f>
        <v>0</v>
      </c>
      <c r="CG135" s="39" t="n">
        <f aca="false">IF(CG$4=0,0,IF(COUNTIFS(実績!$W$6:$W$505,CG$3,実績!$AI$6:$AI$505,"&lt;="&amp;$A135,実績!$AJ$6:$AJ$505,"&gt;"&amp;$A135,実績!$AK$6:$AK$505,"○")&gt;0,1,0))</f>
        <v>0</v>
      </c>
      <c r="CH135" s="39" t="n">
        <f aca="false">IF(CH$4=0,0,IF(COUNTIFS(実績!$W$6:$W$505,CH$3,実績!$AI$6:$AI$505,"&lt;="&amp;$A135,実績!$AJ$6:$AJ$505,"&gt;"&amp;$A135,実績!$AK$6:$AK$505,"○")&gt;0,1,0))</f>
        <v>0</v>
      </c>
      <c r="CI135" s="39" t="n">
        <f aca="false">IF(CI$4=0,0,IF(COUNTIFS(実績!$W$6:$W$505,CI$3,実績!$AI$6:$AI$505,"&lt;="&amp;$A135,実績!$AJ$6:$AJ$505,"&gt;"&amp;$A135,実績!$AK$6:$AK$505,"○")&gt;0,1,0))</f>
        <v>0</v>
      </c>
      <c r="CJ135" s="39" t="n">
        <f aca="false">IF(CJ$4=0,0,IF(COUNTIFS(実績!$W$6:$W$505,CJ$3,実績!$AI$6:$AI$505,"&lt;="&amp;$A135,実績!$AJ$6:$AJ$505,"&gt;"&amp;$A135,実績!$AK$6:$AK$505,"○")&gt;0,1,0))</f>
        <v>0</v>
      </c>
      <c r="CK135" s="39" t="n">
        <f aca="false">IF(CK$4=0,0,IF(COUNTIFS(実績!$W$6:$W$505,CK$3,実績!$AI$6:$AI$505,"&lt;="&amp;$A135,実績!$AJ$6:$AJ$505,"&gt;"&amp;$A135,実績!$AK$6:$AK$505,"○")&gt;0,1,0))</f>
        <v>0</v>
      </c>
      <c r="CL135" s="39" t="n">
        <f aca="false">IF(CL$4=0,0,IF(COUNTIFS(実績!$W$6:$W$505,CL$3,実績!$AI$6:$AI$505,"&lt;="&amp;$A135,実績!$AJ$6:$AJ$505,"&gt;"&amp;$A135,実績!$AK$6:$AK$505,"○")&gt;0,1,0))</f>
        <v>0</v>
      </c>
      <c r="CM135" s="39" t="n">
        <f aca="false">IF(CM$4=0,0,IF(COUNTIFS(実績!$W$6:$W$505,CM$3,実績!$AI$6:$AI$505,"&lt;="&amp;$A135,実績!$AJ$6:$AJ$505,"&gt;"&amp;$A135,実績!$AK$6:$AK$505,"○")&gt;0,1,0))</f>
        <v>0</v>
      </c>
      <c r="CN135" s="39" t="n">
        <f aca="false">IF(CN$4=0,0,IF(COUNTIFS(実績!$W$6:$W$505,CN$3,実績!$AI$6:$AI$505,"&lt;="&amp;$A135,実績!$AJ$6:$AJ$505,"&gt;"&amp;$A135,実績!$AK$6:$AK$505,"○")&gt;0,1,0))</f>
        <v>0</v>
      </c>
      <c r="CO135" s="39" t="n">
        <f aca="false">IF(CO$4=0,0,IF(COUNTIFS(実績!$W$6:$W$505,CO$3,実績!$AI$6:$AI$505,"&lt;="&amp;$A135,実績!$AJ$6:$AJ$505,"&gt;"&amp;$A135,実績!$AK$6:$AK$505,"○")&gt;0,1,0))</f>
        <v>0</v>
      </c>
      <c r="CP135" s="39" t="n">
        <f aca="false">IF(CP$4=0,0,IF(COUNTIFS(実績!$W$6:$W$505,CP$3,実績!$AI$6:$AI$505,"&lt;="&amp;$A135,実績!$AJ$6:$AJ$505,"&gt;"&amp;$A135,実績!$AK$6:$AK$505,"○")&gt;0,1,0))</f>
        <v>0</v>
      </c>
      <c r="CQ135" s="39" t="n">
        <f aca="false">IF(CQ$4=0,0,IF(COUNTIFS(実績!$W$6:$W$505,CQ$3,実績!$AI$6:$AI$505,"&lt;="&amp;$A135,実績!$AJ$6:$AJ$505,"&gt;"&amp;$A135,実績!$AK$6:$AK$505,"○")&gt;0,1,0))</f>
        <v>0</v>
      </c>
      <c r="CR135" s="39" t="n">
        <f aca="false">IF(CR$4=0,0,IF(COUNTIFS(実績!$W$6:$W$505,CR$3,実績!$AI$6:$AI$505,"&lt;="&amp;$A135,実績!$AJ$6:$AJ$505,"&gt;"&amp;$A135,実績!$AK$6:$AK$505,"○")&gt;0,1,0))</f>
        <v>0</v>
      </c>
      <c r="CS135" s="39" t="n">
        <f aca="false">IF(CS$4=0,0,IF(COUNTIFS(実績!$W$6:$W$505,CS$3,実績!$AI$6:$AI$505,"&lt;="&amp;$A135,実績!$AJ$6:$AJ$505,"&gt;"&amp;$A135,実績!$AK$6:$AK$505,"○")&gt;0,1,0))</f>
        <v>0</v>
      </c>
      <c r="CT135" s="39" t="n">
        <f aca="false">IF(CT$4=0,0,IF(COUNTIFS(実績!$W$6:$W$505,CT$3,実績!$AI$6:$AI$505,"&lt;="&amp;$A135,実績!$AJ$6:$AJ$505,"&gt;"&amp;$A135,実績!$AK$6:$AK$505,"○")&gt;0,1,0))</f>
        <v>0</v>
      </c>
      <c r="CU135" s="39" t="n">
        <f aca="false">IF(CU$4=0,0,IF(COUNTIFS(実績!$W$6:$W$505,CU$3,実績!$AI$6:$AI$505,"&lt;="&amp;$A135,実績!$AJ$6:$AJ$505,"&gt;"&amp;$A135,実績!$AK$6:$AK$505,"○")&gt;0,1,0))</f>
        <v>0</v>
      </c>
      <c r="CV135" s="39" t="n">
        <f aca="false">IF(CV$4=0,0,IF(COUNTIFS(実績!$W$6:$W$505,CV$3,実績!$AI$6:$AI$505,"&lt;="&amp;$A135,実績!$AJ$6:$AJ$505,"&gt;"&amp;$A135,実績!$AK$6:$AK$505,"○")&gt;0,1,0))</f>
        <v>0</v>
      </c>
      <c r="CW135" s="39" t="n">
        <f aca="false">IF(CW$4=0,0,IF(COUNTIFS(実績!$W$6:$W$505,CW$3,実績!$AI$6:$AI$505,"&lt;="&amp;$A135,実績!$AJ$6:$AJ$505,"&gt;"&amp;$A135,実績!$AK$6:$AK$505,"○")&gt;0,1,0))</f>
        <v>0</v>
      </c>
      <c r="CX135" s="39" t="n">
        <f aca="false">IF(CX$4=0,0,IF(COUNTIFS(実績!$W$6:$W$505,CX$3,実績!$AI$6:$AI$505,"&lt;="&amp;$A135,実績!$AJ$6:$AJ$505,"&gt;"&amp;$A135,実績!$AK$6:$AK$505,"○")&gt;0,1,0))</f>
        <v>0</v>
      </c>
      <c r="CY135" s="39" t="n">
        <f aca="false">IF(CY$4=0,0,IF(COUNTIFS(実績!$W$6:$W$505,CY$3,実績!$AI$6:$AI$505,"&lt;="&amp;$A135,実績!$AJ$6:$AJ$505,"&gt;"&amp;$A135,実績!$AK$6:$AK$505,"○")&gt;0,1,0))</f>
        <v>0</v>
      </c>
      <c r="CZ135" s="39" t="n">
        <f aca="false">IF(CZ$4=0,0,IF(COUNTIFS(実績!$W$6:$W$505,CZ$3,実績!$AI$6:$AI$505,"&lt;="&amp;$A135,実績!$AJ$6:$AJ$505,"&gt;"&amp;$A135,実績!$AK$6:$AK$505,"○")&gt;0,1,0))</f>
        <v>0</v>
      </c>
      <c r="DA135" s="39" t="n">
        <f aca="false">IF(DA$4=0,0,IF(COUNTIFS(実績!$W$6:$W$505,DA$3,実績!$AI$6:$AI$505,"&lt;="&amp;$A135,実績!$AJ$6:$AJ$505,"&gt;"&amp;$A135,実績!$AK$6:$AK$505,"○")&gt;0,1,0))</f>
        <v>0</v>
      </c>
      <c r="DB135" s="39" t="n">
        <f aca="false">IF(DB$4=0,0,IF(COUNTIFS(実績!$W$6:$W$505,DB$3,実績!$AI$6:$AI$505,"&lt;="&amp;$A135,実績!$AJ$6:$AJ$505,"&gt;"&amp;$A135,実績!$AK$6:$AK$505,"○")&gt;0,1,0))</f>
        <v>0</v>
      </c>
      <c r="DC135" s="39" t="n">
        <f aca="false">IF(DC$4=0,0,IF(COUNTIFS(実績!$W$6:$W$505,DC$3,実績!$AI$6:$AI$505,"&lt;="&amp;$A135,実績!$AJ$6:$AJ$505,"&gt;"&amp;$A135,実績!$AK$6:$AK$505,"○")&gt;0,1,0))</f>
        <v>0</v>
      </c>
      <c r="DD135" s="39" t="n">
        <f aca="false">IF(DD$4=0,0,IF(COUNTIFS(実績!$W$6:$W$505,DD$3,実績!$AI$6:$AI$505,"&lt;="&amp;$A135,実績!$AJ$6:$AJ$505,"&gt;"&amp;$A135,実績!$AK$6:$AK$505,"○")&gt;0,1,0))</f>
        <v>0</v>
      </c>
      <c r="DE135" s="39" t="n">
        <f aca="false">IF(DE$4=0,0,IF(COUNTIFS(実績!$W$6:$W$505,DE$3,実績!$AI$6:$AI$505,"&lt;="&amp;$A135,実績!$AJ$6:$AJ$505,"&gt;"&amp;$A135,実績!$AK$6:$AK$505,"○")&gt;0,1,0))</f>
        <v>0</v>
      </c>
      <c r="DF135" s="39" t="n">
        <f aca="false">IF(DF$4=0,0,IF(COUNTIFS(実績!$W$6:$W$505,DF$3,実績!$AI$6:$AI$505,"&lt;="&amp;$A135,実績!$AJ$6:$AJ$505,"&gt;"&amp;$A135,実績!$AK$6:$AK$505,"○")&gt;0,1,0))</f>
        <v>0</v>
      </c>
      <c r="DG135" s="39" t="n">
        <f aca="false">IF(DG$4=0,0,IF(COUNTIFS(実績!$W$6:$W$505,DG$3,実績!$AI$6:$AI$505,"&lt;="&amp;$A135,実績!$AJ$6:$AJ$505,"&gt;"&amp;$A135,実績!$AK$6:$AK$505,"○")&gt;0,1,0))</f>
        <v>0</v>
      </c>
      <c r="DH135" s="39" t="n">
        <f aca="false">IF(DH$4=0,0,IF(COUNTIFS(実績!$W$6:$W$505,DH$3,実績!$AI$6:$AI$505,"&lt;="&amp;$A135,実績!$AJ$6:$AJ$505,"&gt;"&amp;$A135,実績!$AK$6:$AK$505,"○")&gt;0,1,0))</f>
        <v>0</v>
      </c>
      <c r="DI135" s="39" t="n">
        <f aca="false">IF(DI$4=0,0,IF(COUNTIFS(実績!$W$6:$W$505,DI$3,実績!$AI$6:$AI$505,"&lt;="&amp;$A135,実績!$AJ$6:$AJ$505,"&gt;"&amp;$A135,実績!$AK$6:$AK$505,"○")&gt;0,1,0))</f>
        <v>0</v>
      </c>
      <c r="DJ135" s="39" t="n">
        <f aca="false">IF(DJ$4=0,0,IF(COUNTIFS(実績!$W$6:$W$505,DJ$3,実績!$AI$6:$AI$505,"&lt;="&amp;$A135,実績!$AJ$6:$AJ$505,"&gt;"&amp;$A135,実績!$AK$6:$AK$505,"○")&gt;0,1,0))</f>
        <v>0</v>
      </c>
      <c r="DK135" s="39" t="n">
        <f aca="false">IF(DK$4=0,0,IF(COUNTIFS(実績!$W$6:$W$505,DK$3,実績!$AI$6:$AI$505,"&lt;="&amp;$A135,実績!$AJ$6:$AJ$505,"&gt;"&amp;$A135,実績!$AK$6:$AK$505,"○")&gt;0,1,0))</f>
        <v>0</v>
      </c>
      <c r="DL135" s="39" t="n">
        <f aca="false">IF(DL$4=0,0,IF(COUNTIFS(実績!$W$6:$W$505,DL$3,実績!$AI$6:$AI$505,"&lt;="&amp;$A135,実績!$AJ$6:$AJ$505,"&gt;"&amp;$A135,実績!$AK$6:$AK$505,"○")&gt;0,1,0))</f>
        <v>0</v>
      </c>
      <c r="DM135" s="39" t="n">
        <f aca="false">IF(DM$4=0,0,IF(COUNTIFS(実績!$W$6:$W$505,DM$3,実績!$AI$6:$AI$505,"&lt;="&amp;$A135,実績!$AJ$6:$AJ$505,"&gt;"&amp;$A135,実績!$AK$6:$AK$505,"○")&gt;0,1,0))</f>
        <v>0</v>
      </c>
      <c r="DN135" s="39" t="n">
        <f aca="false">IF(DN$4=0,0,IF(COUNTIFS(実績!$W$6:$W$505,DN$3,実績!$AI$6:$AI$505,"&lt;="&amp;$A135,実績!$AJ$6:$AJ$505,"&gt;"&amp;$A135,実績!$AK$6:$AK$505,"○")&gt;0,1,0))</f>
        <v>0</v>
      </c>
      <c r="DO135" s="39" t="n">
        <f aca="false">IF(DO$4=0,0,IF(COUNTIFS(実績!$W$6:$W$505,DO$3,実績!$AI$6:$AI$505,"&lt;="&amp;$A135,実績!$AJ$6:$AJ$505,"&gt;"&amp;$A135,実績!$AK$6:$AK$505,"○")&gt;0,1,0))</f>
        <v>0</v>
      </c>
      <c r="DP135" s="39" t="n">
        <f aca="false">IF(DP$4=0,0,IF(COUNTIFS(実績!$W$6:$W$505,DP$3,実績!$AI$6:$AI$505,"&lt;="&amp;$A135,実績!$AJ$6:$AJ$505,"&gt;"&amp;$A135,実績!$AK$6:$AK$505,"○")&gt;0,1,0))</f>
        <v>0</v>
      </c>
      <c r="DQ135" s="39" t="n">
        <f aca="false">IF(DQ$4=0,0,IF(COUNTIFS(実績!$W$6:$W$505,DQ$3,実績!$AI$6:$AI$505,"&lt;="&amp;$A135,実績!$AJ$6:$AJ$505,"&gt;"&amp;$A135,実績!$AK$6:$AK$505,"○")&gt;0,1,0))</f>
        <v>0</v>
      </c>
      <c r="DR135" s="39" t="n">
        <f aca="false">IF(DR$4=0,0,IF(COUNTIFS(実績!$W$6:$W$505,DR$3,実績!$AI$6:$AI$505,"&lt;="&amp;$A135,実績!$AJ$6:$AJ$505,"&gt;"&amp;$A135,実績!$AK$6:$AK$505,"○")&gt;0,1,0))</f>
        <v>0</v>
      </c>
      <c r="DS135" s="39" t="n">
        <f aca="false">SUM(C135:DR135)</f>
        <v>0</v>
      </c>
      <c r="DT135" s="39" t="n">
        <f aca="false">SUMPRODUCT((実績!$C$6:$C$505="○")*ISNUMBER(実績!$AM$6:$AM$505)*(実績!$AM$6:$AM$505&lt;=$A135)*(実績!$AN$6:$AN$505&gt;$A135))</f>
        <v>0</v>
      </c>
      <c r="DU135" s="39" t="n">
        <f aca="false">SUMIF($C$2:$DR$2,"製鉄曳船",C135:DR135)</f>
        <v>0</v>
      </c>
      <c r="DV135" s="39" t="n">
        <f aca="false">SUMIF($C$2:$DR$2,"西日本海運",C135:DR135)</f>
        <v>0</v>
      </c>
    </row>
    <row r="136" customFormat="false" ht="15" hidden="false" customHeight="false" outlineLevel="0" collapsed="false">
      <c r="A136" s="0" t="n">
        <v>650</v>
      </c>
      <c r="B136" s="38" t="n">
        <f aca="false">A136/1440</f>
        <v>0.451388888888889</v>
      </c>
      <c r="C136" s="39" t="n">
        <f aca="false">IF(C$4=0,0,IF(COUNTIFS(実績!$W$6:$W$505,C$3,実績!$AI$6:$AI$505,"&lt;="&amp;$A136,実績!$AJ$6:$AJ$505,"&gt;"&amp;$A136,実績!$AK$6:$AK$505,"○")&gt;0,1,0))</f>
        <v>0</v>
      </c>
      <c r="D136" s="39" t="n">
        <f aca="false">IF(D$4=0,0,IF(COUNTIFS(実績!$W$6:$W$505,D$3,実績!$AI$6:$AI$505,"&lt;="&amp;$A136,実績!$AJ$6:$AJ$505,"&gt;"&amp;$A136,実績!$AK$6:$AK$505,"○")&gt;0,1,0))</f>
        <v>0</v>
      </c>
      <c r="E136" s="39" t="n">
        <f aca="false">IF(E$4=0,0,IF(COUNTIFS(実績!$W$6:$W$505,E$3,実績!$AI$6:$AI$505,"&lt;="&amp;$A136,実績!$AJ$6:$AJ$505,"&gt;"&amp;$A136,実績!$AK$6:$AK$505,"○")&gt;0,1,0))</f>
        <v>0</v>
      </c>
      <c r="F136" s="39" t="n">
        <f aca="false">IF(F$4=0,0,IF(COUNTIFS(実績!$W$6:$W$505,F$3,実績!$AI$6:$AI$505,"&lt;="&amp;$A136,実績!$AJ$6:$AJ$505,"&gt;"&amp;$A136,実績!$AK$6:$AK$505,"○")&gt;0,1,0))</f>
        <v>0</v>
      </c>
      <c r="G136" s="39" t="n">
        <f aca="false">IF(G$4=0,0,IF(COUNTIFS(実績!$W$6:$W$505,G$3,実績!$AI$6:$AI$505,"&lt;="&amp;$A136,実績!$AJ$6:$AJ$505,"&gt;"&amp;$A136,実績!$AK$6:$AK$505,"○")&gt;0,1,0))</f>
        <v>0</v>
      </c>
      <c r="H136" s="39" t="n">
        <f aca="false">IF(H$4=0,0,IF(COUNTIFS(実績!$W$6:$W$505,H$3,実績!$AI$6:$AI$505,"&lt;="&amp;$A136,実績!$AJ$6:$AJ$505,"&gt;"&amp;$A136,実績!$AK$6:$AK$505,"○")&gt;0,1,0))</f>
        <v>0</v>
      </c>
      <c r="I136" s="39" t="n">
        <f aca="false">IF(I$4=0,0,IF(COUNTIFS(実績!$W$6:$W$505,I$3,実績!$AI$6:$AI$505,"&lt;="&amp;$A136,実績!$AJ$6:$AJ$505,"&gt;"&amp;$A136,実績!$AK$6:$AK$505,"○")&gt;0,1,0))</f>
        <v>0</v>
      </c>
      <c r="J136" s="39" t="n">
        <f aca="false">IF(J$4=0,0,IF(COUNTIFS(実績!$W$6:$W$505,J$3,実績!$AI$6:$AI$505,"&lt;="&amp;$A136,実績!$AJ$6:$AJ$505,"&gt;"&amp;$A136,実績!$AK$6:$AK$505,"○")&gt;0,1,0))</f>
        <v>0</v>
      </c>
      <c r="K136" s="39" t="n">
        <f aca="false">IF(K$4=0,0,IF(COUNTIFS(実績!$W$6:$W$505,K$3,実績!$AI$6:$AI$505,"&lt;="&amp;$A136,実績!$AJ$6:$AJ$505,"&gt;"&amp;$A136,実績!$AK$6:$AK$505,"○")&gt;0,1,0))</f>
        <v>0</v>
      </c>
      <c r="L136" s="39" t="n">
        <f aca="false">IF(L$4=0,0,IF(COUNTIFS(実績!$W$6:$W$505,L$3,実績!$AI$6:$AI$505,"&lt;="&amp;$A136,実績!$AJ$6:$AJ$505,"&gt;"&amp;$A136,実績!$AK$6:$AK$505,"○")&gt;0,1,0))</f>
        <v>0</v>
      </c>
      <c r="M136" s="39" t="n">
        <f aca="false">IF(M$4=0,0,IF(COUNTIFS(実績!$W$6:$W$505,M$3,実績!$AI$6:$AI$505,"&lt;="&amp;$A136,実績!$AJ$6:$AJ$505,"&gt;"&amp;$A136,実績!$AK$6:$AK$505,"○")&gt;0,1,0))</f>
        <v>0</v>
      </c>
      <c r="N136" s="39" t="n">
        <f aca="false">IF(N$4=0,0,IF(COUNTIFS(実績!$W$6:$W$505,N$3,実績!$AI$6:$AI$505,"&lt;="&amp;$A136,実績!$AJ$6:$AJ$505,"&gt;"&amp;$A136,実績!$AK$6:$AK$505,"○")&gt;0,1,0))</f>
        <v>0</v>
      </c>
      <c r="O136" s="39" t="n">
        <f aca="false">IF(O$4=0,0,IF(COUNTIFS(実績!$W$6:$W$505,O$3,実績!$AI$6:$AI$505,"&lt;="&amp;$A136,実績!$AJ$6:$AJ$505,"&gt;"&amp;$A136,実績!$AK$6:$AK$505,"○")&gt;0,1,0))</f>
        <v>0</v>
      </c>
      <c r="P136" s="39" t="n">
        <f aca="false">IF(P$4=0,0,IF(COUNTIFS(実績!$W$6:$W$505,P$3,実績!$AI$6:$AI$505,"&lt;="&amp;$A136,実績!$AJ$6:$AJ$505,"&gt;"&amp;$A136,実績!$AK$6:$AK$505,"○")&gt;0,1,0))</f>
        <v>0</v>
      </c>
      <c r="Q136" s="39" t="n">
        <f aca="false">IF(Q$4=0,0,IF(COUNTIFS(実績!$W$6:$W$505,Q$3,実績!$AI$6:$AI$505,"&lt;="&amp;$A136,実績!$AJ$6:$AJ$505,"&gt;"&amp;$A136,実績!$AK$6:$AK$505,"○")&gt;0,1,0))</f>
        <v>0</v>
      </c>
      <c r="R136" s="39" t="n">
        <f aca="false">IF(R$4=0,0,IF(COUNTIFS(実績!$W$6:$W$505,R$3,実績!$AI$6:$AI$505,"&lt;="&amp;$A136,実績!$AJ$6:$AJ$505,"&gt;"&amp;$A136,実績!$AK$6:$AK$505,"○")&gt;0,1,0))</f>
        <v>0</v>
      </c>
      <c r="S136" s="39" t="n">
        <f aca="false">IF(S$4=0,0,IF(COUNTIFS(実績!$W$6:$W$505,S$3,実績!$AI$6:$AI$505,"&lt;="&amp;$A136,実績!$AJ$6:$AJ$505,"&gt;"&amp;$A136,実績!$AK$6:$AK$505,"○")&gt;0,1,0))</f>
        <v>0</v>
      </c>
      <c r="T136" s="39" t="n">
        <f aca="false">IF(T$4=0,0,IF(COUNTIFS(実績!$W$6:$W$505,T$3,実績!$AI$6:$AI$505,"&lt;="&amp;$A136,実績!$AJ$6:$AJ$505,"&gt;"&amp;$A136,実績!$AK$6:$AK$505,"○")&gt;0,1,0))</f>
        <v>0</v>
      </c>
      <c r="U136" s="39" t="n">
        <f aca="false">IF(U$4=0,0,IF(COUNTIFS(実績!$W$6:$W$505,U$3,実績!$AI$6:$AI$505,"&lt;="&amp;$A136,実績!$AJ$6:$AJ$505,"&gt;"&amp;$A136,実績!$AK$6:$AK$505,"○")&gt;0,1,0))</f>
        <v>0</v>
      </c>
      <c r="V136" s="39" t="n">
        <f aca="false">IF(V$4=0,0,IF(COUNTIFS(実績!$W$6:$W$505,V$3,実績!$AI$6:$AI$505,"&lt;="&amp;$A136,実績!$AJ$6:$AJ$505,"&gt;"&amp;$A136,実績!$AK$6:$AK$505,"○")&gt;0,1,0))</f>
        <v>0</v>
      </c>
      <c r="W136" s="39" t="n">
        <f aca="false">IF(W$4=0,0,IF(COUNTIFS(実績!$W$6:$W$505,W$3,実績!$AI$6:$AI$505,"&lt;="&amp;$A136,実績!$AJ$6:$AJ$505,"&gt;"&amp;$A136,実績!$AK$6:$AK$505,"○")&gt;0,1,0))</f>
        <v>0</v>
      </c>
      <c r="X136" s="39" t="n">
        <f aca="false">IF(X$4=0,0,IF(COUNTIFS(実績!$W$6:$W$505,X$3,実績!$AI$6:$AI$505,"&lt;="&amp;$A136,実績!$AJ$6:$AJ$505,"&gt;"&amp;$A136,実績!$AK$6:$AK$505,"○")&gt;0,1,0))</f>
        <v>0</v>
      </c>
      <c r="Y136" s="39" t="n">
        <f aca="false">IF(Y$4=0,0,IF(COUNTIFS(実績!$W$6:$W$505,Y$3,実績!$AI$6:$AI$505,"&lt;="&amp;$A136,実績!$AJ$6:$AJ$505,"&gt;"&amp;$A136,実績!$AK$6:$AK$505,"○")&gt;0,1,0))</f>
        <v>0</v>
      </c>
      <c r="Z136" s="39" t="n">
        <f aca="false">IF(Z$4=0,0,IF(COUNTIFS(実績!$W$6:$W$505,Z$3,実績!$AI$6:$AI$505,"&lt;="&amp;$A136,実績!$AJ$6:$AJ$505,"&gt;"&amp;$A136,実績!$AK$6:$AK$505,"○")&gt;0,1,0))</f>
        <v>0</v>
      </c>
      <c r="AA136" s="39" t="n">
        <f aca="false">IF(AA$4=0,0,IF(COUNTIFS(実績!$W$6:$W$505,AA$3,実績!$AI$6:$AI$505,"&lt;="&amp;$A136,実績!$AJ$6:$AJ$505,"&gt;"&amp;$A136,実績!$AK$6:$AK$505,"○")&gt;0,1,0))</f>
        <v>0</v>
      </c>
      <c r="AB136" s="39" t="n">
        <f aca="false">IF(AB$4=0,0,IF(COUNTIFS(実績!$W$6:$W$505,AB$3,実績!$AI$6:$AI$505,"&lt;="&amp;$A136,実績!$AJ$6:$AJ$505,"&gt;"&amp;$A136,実績!$AK$6:$AK$505,"○")&gt;0,1,0))</f>
        <v>0</v>
      </c>
      <c r="AC136" s="39" t="n">
        <f aca="false">IF(AC$4=0,0,IF(COUNTIFS(実績!$W$6:$W$505,AC$3,実績!$AI$6:$AI$505,"&lt;="&amp;$A136,実績!$AJ$6:$AJ$505,"&gt;"&amp;$A136,実績!$AK$6:$AK$505,"○")&gt;0,1,0))</f>
        <v>0</v>
      </c>
      <c r="AD136" s="39" t="n">
        <f aca="false">IF(AD$4=0,0,IF(COUNTIFS(実績!$W$6:$W$505,AD$3,実績!$AI$6:$AI$505,"&lt;="&amp;$A136,実績!$AJ$6:$AJ$505,"&gt;"&amp;$A136,実績!$AK$6:$AK$505,"○")&gt;0,1,0))</f>
        <v>0</v>
      </c>
      <c r="AE136" s="39" t="n">
        <f aca="false">IF(AE$4=0,0,IF(COUNTIFS(実績!$W$6:$W$505,AE$3,実績!$AI$6:$AI$505,"&lt;="&amp;$A136,実績!$AJ$6:$AJ$505,"&gt;"&amp;$A136,実績!$AK$6:$AK$505,"○")&gt;0,1,0))</f>
        <v>0</v>
      </c>
      <c r="AF136" s="39" t="n">
        <f aca="false">IF(AF$4=0,0,IF(COUNTIFS(実績!$W$6:$W$505,AF$3,実績!$AI$6:$AI$505,"&lt;="&amp;$A136,実績!$AJ$6:$AJ$505,"&gt;"&amp;$A136,実績!$AK$6:$AK$505,"○")&gt;0,1,0))</f>
        <v>0</v>
      </c>
      <c r="AG136" s="39" t="n">
        <f aca="false">IF(AG$4=0,0,IF(COUNTIFS(実績!$W$6:$W$505,AG$3,実績!$AI$6:$AI$505,"&lt;="&amp;$A136,実績!$AJ$6:$AJ$505,"&gt;"&amp;$A136,実績!$AK$6:$AK$505,"○")&gt;0,1,0))</f>
        <v>0</v>
      </c>
      <c r="AH136" s="39" t="n">
        <f aca="false">IF(AH$4=0,0,IF(COUNTIFS(実績!$W$6:$W$505,AH$3,実績!$AI$6:$AI$505,"&lt;="&amp;$A136,実績!$AJ$6:$AJ$505,"&gt;"&amp;$A136,実績!$AK$6:$AK$505,"○")&gt;0,1,0))</f>
        <v>0</v>
      </c>
      <c r="AI136" s="39" t="n">
        <f aca="false">IF(AI$4=0,0,IF(COUNTIFS(実績!$W$6:$W$505,AI$3,実績!$AI$6:$AI$505,"&lt;="&amp;$A136,実績!$AJ$6:$AJ$505,"&gt;"&amp;$A136,実績!$AK$6:$AK$505,"○")&gt;0,1,0))</f>
        <v>0</v>
      </c>
      <c r="AJ136" s="39" t="n">
        <f aca="false">IF(AJ$4=0,0,IF(COUNTIFS(実績!$W$6:$W$505,AJ$3,実績!$AI$6:$AI$505,"&lt;="&amp;$A136,実績!$AJ$6:$AJ$505,"&gt;"&amp;$A136,実績!$AK$6:$AK$505,"○")&gt;0,1,0))</f>
        <v>0</v>
      </c>
      <c r="AK136" s="39" t="n">
        <f aca="false">IF(AK$4=0,0,IF(COUNTIFS(実績!$W$6:$W$505,AK$3,実績!$AI$6:$AI$505,"&lt;="&amp;$A136,実績!$AJ$6:$AJ$505,"&gt;"&amp;$A136,実績!$AK$6:$AK$505,"○")&gt;0,1,0))</f>
        <v>0</v>
      </c>
      <c r="AL136" s="39" t="n">
        <f aca="false">IF(AL$4=0,0,IF(COUNTIFS(実績!$W$6:$W$505,AL$3,実績!$AI$6:$AI$505,"&lt;="&amp;$A136,実績!$AJ$6:$AJ$505,"&gt;"&amp;$A136,実績!$AK$6:$AK$505,"○")&gt;0,1,0))</f>
        <v>0</v>
      </c>
      <c r="AM136" s="39" t="n">
        <f aca="false">IF(AM$4=0,0,IF(COUNTIFS(実績!$W$6:$W$505,AM$3,実績!$AI$6:$AI$505,"&lt;="&amp;$A136,実績!$AJ$6:$AJ$505,"&gt;"&amp;$A136,実績!$AK$6:$AK$505,"○")&gt;0,1,0))</f>
        <v>0</v>
      </c>
      <c r="AN136" s="39" t="n">
        <f aca="false">IF(AN$4=0,0,IF(COUNTIFS(実績!$W$6:$W$505,AN$3,実績!$AI$6:$AI$505,"&lt;="&amp;$A136,実績!$AJ$6:$AJ$505,"&gt;"&amp;$A136,実績!$AK$6:$AK$505,"○")&gt;0,1,0))</f>
        <v>0</v>
      </c>
      <c r="AO136" s="39" t="n">
        <f aca="false">IF(AO$4=0,0,IF(COUNTIFS(実績!$W$6:$W$505,AO$3,実績!$AI$6:$AI$505,"&lt;="&amp;$A136,実績!$AJ$6:$AJ$505,"&gt;"&amp;$A136,実績!$AK$6:$AK$505,"○")&gt;0,1,0))</f>
        <v>0</v>
      </c>
      <c r="AP136" s="39" t="n">
        <f aca="false">IF(AP$4=0,0,IF(COUNTIFS(実績!$W$6:$W$505,AP$3,実績!$AI$6:$AI$505,"&lt;="&amp;$A136,実績!$AJ$6:$AJ$505,"&gt;"&amp;$A136,実績!$AK$6:$AK$505,"○")&gt;0,1,0))</f>
        <v>0</v>
      </c>
      <c r="AQ136" s="39" t="n">
        <f aca="false">IF(AQ$4=0,0,IF(COUNTIFS(実績!$W$6:$W$505,AQ$3,実績!$AI$6:$AI$505,"&lt;="&amp;$A136,実績!$AJ$6:$AJ$505,"&gt;"&amp;$A136,実績!$AK$6:$AK$505,"○")&gt;0,1,0))</f>
        <v>0</v>
      </c>
      <c r="AR136" s="39" t="n">
        <f aca="false">IF(AR$4=0,0,IF(COUNTIFS(実績!$W$6:$W$505,AR$3,実績!$AI$6:$AI$505,"&lt;="&amp;$A136,実績!$AJ$6:$AJ$505,"&gt;"&amp;$A136,実績!$AK$6:$AK$505,"○")&gt;0,1,0))</f>
        <v>0</v>
      </c>
      <c r="AS136" s="39" t="n">
        <f aca="false">IF(AS$4=0,0,IF(COUNTIFS(実績!$W$6:$W$505,AS$3,実績!$AI$6:$AI$505,"&lt;="&amp;$A136,実績!$AJ$6:$AJ$505,"&gt;"&amp;$A136,実績!$AK$6:$AK$505,"○")&gt;0,1,0))</f>
        <v>0</v>
      </c>
      <c r="AT136" s="39" t="n">
        <f aca="false">IF(AT$4=0,0,IF(COUNTIFS(実績!$W$6:$W$505,AT$3,実績!$AI$6:$AI$505,"&lt;="&amp;$A136,実績!$AJ$6:$AJ$505,"&gt;"&amp;$A136,実績!$AK$6:$AK$505,"○")&gt;0,1,0))</f>
        <v>0</v>
      </c>
      <c r="AU136" s="39" t="n">
        <f aca="false">IF(AU$4=0,0,IF(COUNTIFS(実績!$W$6:$W$505,AU$3,実績!$AI$6:$AI$505,"&lt;="&amp;$A136,実績!$AJ$6:$AJ$505,"&gt;"&amp;$A136,実績!$AK$6:$AK$505,"○")&gt;0,1,0))</f>
        <v>0</v>
      </c>
      <c r="AV136" s="39" t="n">
        <f aca="false">IF(AV$4=0,0,IF(COUNTIFS(実績!$W$6:$W$505,AV$3,実績!$AI$6:$AI$505,"&lt;="&amp;$A136,実績!$AJ$6:$AJ$505,"&gt;"&amp;$A136,実績!$AK$6:$AK$505,"○")&gt;0,1,0))</f>
        <v>0</v>
      </c>
      <c r="AW136" s="39" t="n">
        <f aca="false">IF(AW$4=0,0,IF(COUNTIFS(実績!$W$6:$W$505,AW$3,実績!$AI$6:$AI$505,"&lt;="&amp;$A136,実績!$AJ$6:$AJ$505,"&gt;"&amp;$A136,実績!$AK$6:$AK$505,"○")&gt;0,1,0))</f>
        <v>0</v>
      </c>
      <c r="AX136" s="39" t="n">
        <f aca="false">IF(AX$4=0,0,IF(COUNTIFS(実績!$W$6:$W$505,AX$3,実績!$AI$6:$AI$505,"&lt;="&amp;$A136,実績!$AJ$6:$AJ$505,"&gt;"&amp;$A136,実績!$AK$6:$AK$505,"○")&gt;0,1,0))</f>
        <v>0</v>
      </c>
      <c r="AY136" s="39" t="n">
        <f aca="false">IF(AY$4=0,0,IF(COUNTIFS(実績!$W$6:$W$505,AY$3,実績!$AI$6:$AI$505,"&lt;="&amp;$A136,実績!$AJ$6:$AJ$505,"&gt;"&amp;$A136,実績!$AK$6:$AK$505,"○")&gt;0,1,0))</f>
        <v>0</v>
      </c>
      <c r="AZ136" s="39" t="n">
        <f aca="false">IF(AZ$4=0,0,IF(COUNTIFS(実績!$W$6:$W$505,AZ$3,実績!$AI$6:$AI$505,"&lt;="&amp;$A136,実績!$AJ$6:$AJ$505,"&gt;"&amp;$A136,実績!$AK$6:$AK$505,"○")&gt;0,1,0))</f>
        <v>0</v>
      </c>
      <c r="BA136" s="39" t="n">
        <f aca="false">IF(BA$4=0,0,IF(COUNTIFS(実績!$W$6:$W$505,BA$3,実績!$AI$6:$AI$505,"&lt;="&amp;$A136,実績!$AJ$6:$AJ$505,"&gt;"&amp;$A136,実績!$AK$6:$AK$505,"○")&gt;0,1,0))</f>
        <v>0</v>
      </c>
      <c r="BB136" s="39" t="n">
        <f aca="false">IF(BB$4=0,0,IF(COUNTIFS(実績!$W$6:$W$505,BB$3,実績!$AI$6:$AI$505,"&lt;="&amp;$A136,実績!$AJ$6:$AJ$505,"&gt;"&amp;$A136,実績!$AK$6:$AK$505,"○")&gt;0,1,0))</f>
        <v>0</v>
      </c>
      <c r="BC136" s="39" t="n">
        <f aca="false">IF(BC$4=0,0,IF(COUNTIFS(実績!$W$6:$W$505,BC$3,実績!$AI$6:$AI$505,"&lt;="&amp;$A136,実績!$AJ$6:$AJ$505,"&gt;"&amp;$A136,実績!$AK$6:$AK$505,"○")&gt;0,1,0))</f>
        <v>0</v>
      </c>
      <c r="BD136" s="39" t="n">
        <f aca="false">IF(BD$4=0,0,IF(COUNTIFS(実績!$W$6:$W$505,BD$3,実績!$AI$6:$AI$505,"&lt;="&amp;$A136,実績!$AJ$6:$AJ$505,"&gt;"&amp;$A136,実績!$AK$6:$AK$505,"○")&gt;0,1,0))</f>
        <v>0</v>
      </c>
      <c r="BE136" s="39" t="n">
        <f aca="false">IF(BE$4=0,0,IF(COUNTIFS(実績!$W$6:$W$505,BE$3,実績!$AI$6:$AI$505,"&lt;="&amp;$A136,実績!$AJ$6:$AJ$505,"&gt;"&amp;$A136,実績!$AK$6:$AK$505,"○")&gt;0,1,0))</f>
        <v>0</v>
      </c>
      <c r="BF136" s="39" t="n">
        <f aca="false">IF(BF$4=0,0,IF(COUNTIFS(実績!$W$6:$W$505,BF$3,実績!$AI$6:$AI$505,"&lt;="&amp;$A136,実績!$AJ$6:$AJ$505,"&gt;"&amp;$A136,実績!$AK$6:$AK$505,"○")&gt;0,1,0))</f>
        <v>0</v>
      </c>
      <c r="BG136" s="39" t="n">
        <f aca="false">IF(BG$4=0,0,IF(COUNTIFS(実績!$W$6:$W$505,BG$3,実績!$AI$6:$AI$505,"&lt;="&amp;$A136,実績!$AJ$6:$AJ$505,"&gt;"&amp;$A136,実績!$AK$6:$AK$505,"○")&gt;0,1,0))</f>
        <v>0</v>
      </c>
      <c r="BH136" s="39" t="n">
        <f aca="false">IF(BH$4=0,0,IF(COUNTIFS(実績!$W$6:$W$505,BH$3,実績!$AI$6:$AI$505,"&lt;="&amp;$A136,実績!$AJ$6:$AJ$505,"&gt;"&amp;$A136,実績!$AK$6:$AK$505,"○")&gt;0,1,0))</f>
        <v>0</v>
      </c>
      <c r="BI136" s="39" t="n">
        <f aca="false">IF(BI$4=0,0,IF(COUNTIFS(実績!$W$6:$W$505,BI$3,実績!$AI$6:$AI$505,"&lt;="&amp;$A136,実績!$AJ$6:$AJ$505,"&gt;"&amp;$A136,実績!$AK$6:$AK$505,"○")&gt;0,1,0))</f>
        <v>0</v>
      </c>
      <c r="BJ136" s="39" t="n">
        <f aca="false">IF(BJ$4=0,0,IF(COUNTIFS(実績!$W$6:$W$505,BJ$3,実績!$AI$6:$AI$505,"&lt;="&amp;$A136,実績!$AJ$6:$AJ$505,"&gt;"&amp;$A136,実績!$AK$6:$AK$505,"○")&gt;0,1,0))</f>
        <v>0</v>
      </c>
      <c r="BK136" s="39" t="n">
        <f aca="false">IF(BK$4=0,0,IF(COUNTIFS(実績!$W$6:$W$505,BK$3,実績!$AI$6:$AI$505,"&lt;="&amp;$A136,実績!$AJ$6:$AJ$505,"&gt;"&amp;$A136,実績!$AK$6:$AK$505,"○")&gt;0,1,0))</f>
        <v>0</v>
      </c>
      <c r="BL136" s="39" t="n">
        <f aca="false">IF(BL$4=0,0,IF(COUNTIFS(実績!$W$6:$W$505,BL$3,実績!$AI$6:$AI$505,"&lt;="&amp;$A136,実績!$AJ$6:$AJ$505,"&gt;"&amp;$A136,実績!$AK$6:$AK$505,"○")&gt;0,1,0))</f>
        <v>0</v>
      </c>
      <c r="BM136" s="39" t="n">
        <f aca="false">IF(BM$4=0,0,IF(COUNTIFS(実績!$W$6:$W$505,BM$3,実績!$AI$6:$AI$505,"&lt;="&amp;$A136,実績!$AJ$6:$AJ$505,"&gt;"&amp;$A136,実績!$AK$6:$AK$505,"○")&gt;0,1,0))</f>
        <v>0</v>
      </c>
      <c r="BN136" s="39" t="n">
        <f aca="false">IF(BN$4=0,0,IF(COUNTIFS(実績!$W$6:$W$505,BN$3,実績!$AI$6:$AI$505,"&lt;="&amp;$A136,実績!$AJ$6:$AJ$505,"&gt;"&amp;$A136,実績!$AK$6:$AK$505,"○")&gt;0,1,0))</f>
        <v>0</v>
      </c>
      <c r="BO136" s="39" t="n">
        <f aca="false">IF(BO$4=0,0,IF(COUNTIFS(実績!$W$6:$W$505,BO$3,実績!$AI$6:$AI$505,"&lt;="&amp;$A136,実績!$AJ$6:$AJ$505,"&gt;"&amp;$A136,実績!$AK$6:$AK$505,"○")&gt;0,1,0))</f>
        <v>0</v>
      </c>
      <c r="BP136" s="39" t="n">
        <f aca="false">IF(BP$4=0,0,IF(COUNTIFS(実績!$W$6:$W$505,BP$3,実績!$AI$6:$AI$505,"&lt;="&amp;$A136,実績!$AJ$6:$AJ$505,"&gt;"&amp;$A136,実績!$AK$6:$AK$505,"○")&gt;0,1,0))</f>
        <v>0</v>
      </c>
      <c r="BQ136" s="39" t="n">
        <f aca="false">IF(BQ$4=0,0,IF(COUNTIFS(実績!$W$6:$W$505,BQ$3,実績!$AI$6:$AI$505,"&lt;="&amp;$A136,実績!$AJ$6:$AJ$505,"&gt;"&amp;$A136,実績!$AK$6:$AK$505,"○")&gt;0,1,0))</f>
        <v>0</v>
      </c>
      <c r="BR136" s="39" t="n">
        <f aca="false">IF(BR$4=0,0,IF(COUNTIFS(実績!$W$6:$W$505,BR$3,実績!$AI$6:$AI$505,"&lt;="&amp;$A136,実績!$AJ$6:$AJ$505,"&gt;"&amp;$A136,実績!$AK$6:$AK$505,"○")&gt;0,1,0))</f>
        <v>0</v>
      </c>
      <c r="BS136" s="39" t="n">
        <f aca="false">IF(BS$4=0,0,IF(COUNTIFS(実績!$W$6:$W$505,BS$3,実績!$AI$6:$AI$505,"&lt;="&amp;$A136,実績!$AJ$6:$AJ$505,"&gt;"&amp;$A136,実績!$AK$6:$AK$505,"○")&gt;0,1,0))</f>
        <v>0</v>
      </c>
      <c r="BT136" s="39" t="n">
        <f aca="false">IF(BT$4=0,0,IF(COUNTIFS(実績!$W$6:$W$505,BT$3,実績!$AI$6:$AI$505,"&lt;="&amp;$A136,実績!$AJ$6:$AJ$505,"&gt;"&amp;$A136,実績!$AK$6:$AK$505,"○")&gt;0,1,0))</f>
        <v>0</v>
      </c>
      <c r="BU136" s="39" t="n">
        <f aca="false">IF(BU$4=0,0,IF(COUNTIFS(実績!$W$6:$W$505,BU$3,実績!$AI$6:$AI$505,"&lt;="&amp;$A136,実績!$AJ$6:$AJ$505,"&gt;"&amp;$A136,実績!$AK$6:$AK$505,"○")&gt;0,1,0))</f>
        <v>0</v>
      </c>
      <c r="BV136" s="39" t="n">
        <f aca="false">IF(BV$4=0,0,IF(COUNTIFS(実績!$W$6:$W$505,BV$3,実績!$AI$6:$AI$505,"&lt;="&amp;$A136,実績!$AJ$6:$AJ$505,"&gt;"&amp;$A136,実績!$AK$6:$AK$505,"○")&gt;0,1,0))</f>
        <v>0</v>
      </c>
      <c r="BW136" s="39" t="n">
        <f aca="false">IF(BW$4=0,0,IF(COUNTIFS(実績!$W$6:$W$505,BW$3,実績!$AI$6:$AI$505,"&lt;="&amp;$A136,実績!$AJ$6:$AJ$505,"&gt;"&amp;$A136,実績!$AK$6:$AK$505,"○")&gt;0,1,0))</f>
        <v>0</v>
      </c>
      <c r="BX136" s="39" t="n">
        <f aca="false">IF(BX$4=0,0,IF(COUNTIFS(実績!$W$6:$W$505,BX$3,実績!$AI$6:$AI$505,"&lt;="&amp;$A136,実績!$AJ$6:$AJ$505,"&gt;"&amp;$A136,実績!$AK$6:$AK$505,"○")&gt;0,1,0))</f>
        <v>0</v>
      </c>
      <c r="BY136" s="39" t="n">
        <f aca="false">IF(BY$4=0,0,IF(COUNTIFS(実績!$W$6:$W$505,BY$3,実績!$AI$6:$AI$505,"&lt;="&amp;$A136,実績!$AJ$6:$AJ$505,"&gt;"&amp;$A136,実績!$AK$6:$AK$505,"○")&gt;0,1,0))</f>
        <v>0</v>
      </c>
      <c r="BZ136" s="39" t="n">
        <f aca="false">IF(BZ$4=0,0,IF(COUNTIFS(実績!$W$6:$W$505,BZ$3,実績!$AI$6:$AI$505,"&lt;="&amp;$A136,実績!$AJ$6:$AJ$505,"&gt;"&amp;$A136,実績!$AK$6:$AK$505,"○")&gt;0,1,0))</f>
        <v>0</v>
      </c>
      <c r="CA136" s="39" t="n">
        <f aca="false">IF(CA$4=0,0,IF(COUNTIFS(実績!$W$6:$W$505,CA$3,実績!$AI$6:$AI$505,"&lt;="&amp;$A136,実績!$AJ$6:$AJ$505,"&gt;"&amp;$A136,実績!$AK$6:$AK$505,"○")&gt;0,1,0))</f>
        <v>0</v>
      </c>
      <c r="CB136" s="39" t="n">
        <f aca="false">IF(CB$4=0,0,IF(COUNTIFS(実績!$W$6:$W$505,CB$3,実績!$AI$6:$AI$505,"&lt;="&amp;$A136,実績!$AJ$6:$AJ$505,"&gt;"&amp;$A136,実績!$AK$6:$AK$505,"○")&gt;0,1,0))</f>
        <v>0</v>
      </c>
      <c r="CC136" s="39" t="n">
        <f aca="false">IF(CC$4=0,0,IF(COUNTIFS(実績!$W$6:$W$505,CC$3,実績!$AI$6:$AI$505,"&lt;="&amp;$A136,実績!$AJ$6:$AJ$505,"&gt;"&amp;$A136,実績!$AK$6:$AK$505,"○")&gt;0,1,0))</f>
        <v>0</v>
      </c>
      <c r="CD136" s="39" t="n">
        <f aca="false">IF(CD$4=0,0,IF(COUNTIFS(実績!$W$6:$W$505,CD$3,実績!$AI$6:$AI$505,"&lt;="&amp;$A136,実績!$AJ$6:$AJ$505,"&gt;"&amp;$A136,実績!$AK$6:$AK$505,"○")&gt;0,1,0))</f>
        <v>0</v>
      </c>
      <c r="CE136" s="39" t="n">
        <f aca="false">IF(CE$4=0,0,IF(COUNTIFS(実績!$W$6:$W$505,CE$3,実績!$AI$6:$AI$505,"&lt;="&amp;$A136,実績!$AJ$6:$AJ$505,"&gt;"&amp;$A136,実績!$AK$6:$AK$505,"○")&gt;0,1,0))</f>
        <v>0</v>
      </c>
      <c r="CF136" s="39" t="n">
        <f aca="false">IF(CF$4=0,0,IF(COUNTIFS(実績!$W$6:$W$505,CF$3,実績!$AI$6:$AI$505,"&lt;="&amp;$A136,実績!$AJ$6:$AJ$505,"&gt;"&amp;$A136,実績!$AK$6:$AK$505,"○")&gt;0,1,0))</f>
        <v>0</v>
      </c>
      <c r="CG136" s="39" t="n">
        <f aca="false">IF(CG$4=0,0,IF(COUNTIFS(実績!$W$6:$W$505,CG$3,実績!$AI$6:$AI$505,"&lt;="&amp;$A136,実績!$AJ$6:$AJ$505,"&gt;"&amp;$A136,実績!$AK$6:$AK$505,"○")&gt;0,1,0))</f>
        <v>0</v>
      </c>
      <c r="CH136" s="39" t="n">
        <f aca="false">IF(CH$4=0,0,IF(COUNTIFS(実績!$W$6:$W$505,CH$3,実績!$AI$6:$AI$505,"&lt;="&amp;$A136,実績!$AJ$6:$AJ$505,"&gt;"&amp;$A136,実績!$AK$6:$AK$505,"○")&gt;0,1,0))</f>
        <v>0</v>
      </c>
      <c r="CI136" s="39" t="n">
        <f aca="false">IF(CI$4=0,0,IF(COUNTIFS(実績!$W$6:$W$505,CI$3,実績!$AI$6:$AI$505,"&lt;="&amp;$A136,実績!$AJ$6:$AJ$505,"&gt;"&amp;$A136,実績!$AK$6:$AK$505,"○")&gt;0,1,0))</f>
        <v>0</v>
      </c>
      <c r="CJ136" s="39" t="n">
        <f aca="false">IF(CJ$4=0,0,IF(COUNTIFS(実績!$W$6:$W$505,CJ$3,実績!$AI$6:$AI$505,"&lt;="&amp;$A136,実績!$AJ$6:$AJ$505,"&gt;"&amp;$A136,実績!$AK$6:$AK$505,"○")&gt;0,1,0))</f>
        <v>0</v>
      </c>
      <c r="CK136" s="39" t="n">
        <f aca="false">IF(CK$4=0,0,IF(COUNTIFS(実績!$W$6:$W$505,CK$3,実績!$AI$6:$AI$505,"&lt;="&amp;$A136,実績!$AJ$6:$AJ$505,"&gt;"&amp;$A136,実績!$AK$6:$AK$505,"○")&gt;0,1,0))</f>
        <v>0</v>
      </c>
      <c r="CL136" s="39" t="n">
        <f aca="false">IF(CL$4=0,0,IF(COUNTIFS(実績!$W$6:$W$505,CL$3,実績!$AI$6:$AI$505,"&lt;="&amp;$A136,実績!$AJ$6:$AJ$505,"&gt;"&amp;$A136,実績!$AK$6:$AK$505,"○")&gt;0,1,0))</f>
        <v>0</v>
      </c>
      <c r="CM136" s="39" t="n">
        <f aca="false">IF(CM$4=0,0,IF(COUNTIFS(実績!$W$6:$W$505,CM$3,実績!$AI$6:$AI$505,"&lt;="&amp;$A136,実績!$AJ$6:$AJ$505,"&gt;"&amp;$A136,実績!$AK$6:$AK$505,"○")&gt;0,1,0))</f>
        <v>0</v>
      </c>
      <c r="CN136" s="39" t="n">
        <f aca="false">IF(CN$4=0,0,IF(COUNTIFS(実績!$W$6:$W$505,CN$3,実績!$AI$6:$AI$505,"&lt;="&amp;$A136,実績!$AJ$6:$AJ$505,"&gt;"&amp;$A136,実績!$AK$6:$AK$505,"○")&gt;0,1,0))</f>
        <v>0</v>
      </c>
      <c r="CO136" s="39" t="n">
        <f aca="false">IF(CO$4=0,0,IF(COUNTIFS(実績!$W$6:$W$505,CO$3,実績!$AI$6:$AI$505,"&lt;="&amp;$A136,実績!$AJ$6:$AJ$505,"&gt;"&amp;$A136,実績!$AK$6:$AK$505,"○")&gt;0,1,0))</f>
        <v>0</v>
      </c>
      <c r="CP136" s="39" t="n">
        <f aca="false">IF(CP$4=0,0,IF(COUNTIFS(実績!$W$6:$W$505,CP$3,実績!$AI$6:$AI$505,"&lt;="&amp;$A136,実績!$AJ$6:$AJ$505,"&gt;"&amp;$A136,実績!$AK$6:$AK$505,"○")&gt;0,1,0))</f>
        <v>0</v>
      </c>
      <c r="CQ136" s="39" t="n">
        <f aca="false">IF(CQ$4=0,0,IF(COUNTIFS(実績!$W$6:$W$505,CQ$3,実績!$AI$6:$AI$505,"&lt;="&amp;$A136,実績!$AJ$6:$AJ$505,"&gt;"&amp;$A136,実績!$AK$6:$AK$505,"○")&gt;0,1,0))</f>
        <v>0</v>
      </c>
      <c r="CR136" s="39" t="n">
        <f aca="false">IF(CR$4=0,0,IF(COUNTIFS(実績!$W$6:$W$505,CR$3,実績!$AI$6:$AI$505,"&lt;="&amp;$A136,実績!$AJ$6:$AJ$505,"&gt;"&amp;$A136,実績!$AK$6:$AK$505,"○")&gt;0,1,0))</f>
        <v>0</v>
      </c>
      <c r="CS136" s="39" t="n">
        <f aca="false">IF(CS$4=0,0,IF(COUNTIFS(実績!$W$6:$W$505,CS$3,実績!$AI$6:$AI$505,"&lt;="&amp;$A136,実績!$AJ$6:$AJ$505,"&gt;"&amp;$A136,実績!$AK$6:$AK$505,"○")&gt;0,1,0))</f>
        <v>0</v>
      </c>
      <c r="CT136" s="39" t="n">
        <f aca="false">IF(CT$4=0,0,IF(COUNTIFS(実績!$W$6:$W$505,CT$3,実績!$AI$6:$AI$505,"&lt;="&amp;$A136,実績!$AJ$6:$AJ$505,"&gt;"&amp;$A136,実績!$AK$6:$AK$505,"○")&gt;0,1,0))</f>
        <v>0</v>
      </c>
      <c r="CU136" s="39" t="n">
        <f aca="false">IF(CU$4=0,0,IF(COUNTIFS(実績!$W$6:$W$505,CU$3,実績!$AI$6:$AI$505,"&lt;="&amp;$A136,実績!$AJ$6:$AJ$505,"&gt;"&amp;$A136,実績!$AK$6:$AK$505,"○")&gt;0,1,0))</f>
        <v>0</v>
      </c>
      <c r="CV136" s="39" t="n">
        <f aca="false">IF(CV$4=0,0,IF(COUNTIFS(実績!$W$6:$W$505,CV$3,実績!$AI$6:$AI$505,"&lt;="&amp;$A136,実績!$AJ$6:$AJ$505,"&gt;"&amp;$A136,実績!$AK$6:$AK$505,"○")&gt;0,1,0))</f>
        <v>0</v>
      </c>
      <c r="CW136" s="39" t="n">
        <f aca="false">IF(CW$4=0,0,IF(COUNTIFS(実績!$W$6:$W$505,CW$3,実績!$AI$6:$AI$505,"&lt;="&amp;$A136,実績!$AJ$6:$AJ$505,"&gt;"&amp;$A136,実績!$AK$6:$AK$505,"○")&gt;0,1,0))</f>
        <v>0</v>
      </c>
      <c r="CX136" s="39" t="n">
        <f aca="false">IF(CX$4=0,0,IF(COUNTIFS(実績!$W$6:$W$505,CX$3,実績!$AI$6:$AI$505,"&lt;="&amp;$A136,実績!$AJ$6:$AJ$505,"&gt;"&amp;$A136,実績!$AK$6:$AK$505,"○")&gt;0,1,0))</f>
        <v>0</v>
      </c>
      <c r="CY136" s="39" t="n">
        <f aca="false">IF(CY$4=0,0,IF(COUNTIFS(実績!$W$6:$W$505,CY$3,実績!$AI$6:$AI$505,"&lt;="&amp;$A136,実績!$AJ$6:$AJ$505,"&gt;"&amp;$A136,実績!$AK$6:$AK$505,"○")&gt;0,1,0))</f>
        <v>0</v>
      </c>
      <c r="CZ136" s="39" t="n">
        <f aca="false">IF(CZ$4=0,0,IF(COUNTIFS(実績!$W$6:$W$505,CZ$3,実績!$AI$6:$AI$505,"&lt;="&amp;$A136,実績!$AJ$6:$AJ$505,"&gt;"&amp;$A136,実績!$AK$6:$AK$505,"○")&gt;0,1,0))</f>
        <v>0</v>
      </c>
      <c r="DA136" s="39" t="n">
        <f aca="false">IF(DA$4=0,0,IF(COUNTIFS(実績!$W$6:$W$505,DA$3,実績!$AI$6:$AI$505,"&lt;="&amp;$A136,実績!$AJ$6:$AJ$505,"&gt;"&amp;$A136,実績!$AK$6:$AK$505,"○")&gt;0,1,0))</f>
        <v>0</v>
      </c>
      <c r="DB136" s="39" t="n">
        <f aca="false">IF(DB$4=0,0,IF(COUNTIFS(実績!$W$6:$W$505,DB$3,実績!$AI$6:$AI$505,"&lt;="&amp;$A136,実績!$AJ$6:$AJ$505,"&gt;"&amp;$A136,実績!$AK$6:$AK$505,"○")&gt;0,1,0))</f>
        <v>0</v>
      </c>
      <c r="DC136" s="39" t="n">
        <f aca="false">IF(DC$4=0,0,IF(COUNTIFS(実績!$W$6:$W$505,DC$3,実績!$AI$6:$AI$505,"&lt;="&amp;$A136,実績!$AJ$6:$AJ$505,"&gt;"&amp;$A136,実績!$AK$6:$AK$505,"○")&gt;0,1,0))</f>
        <v>0</v>
      </c>
      <c r="DD136" s="39" t="n">
        <f aca="false">IF(DD$4=0,0,IF(COUNTIFS(実績!$W$6:$W$505,DD$3,実績!$AI$6:$AI$505,"&lt;="&amp;$A136,実績!$AJ$6:$AJ$505,"&gt;"&amp;$A136,実績!$AK$6:$AK$505,"○")&gt;0,1,0))</f>
        <v>0</v>
      </c>
      <c r="DE136" s="39" t="n">
        <f aca="false">IF(DE$4=0,0,IF(COUNTIFS(実績!$W$6:$W$505,DE$3,実績!$AI$6:$AI$505,"&lt;="&amp;$A136,実績!$AJ$6:$AJ$505,"&gt;"&amp;$A136,実績!$AK$6:$AK$505,"○")&gt;0,1,0))</f>
        <v>0</v>
      </c>
      <c r="DF136" s="39" t="n">
        <f aca="false">IF(DF$4=0,0,IF(COUNTIFS(実績!$W$6:$W$505,DF$3,実績!$AI$6:$AI$505,"&lt;="&amp;$A136,実績!$AJ$6:$AJ$505,"&gt;"&amp;$A136,実績!$AK$6:$AK$505,"○")&gt;0,1,0))</f>
        <v>0</v>
      </c>
      <c r="DG136" s="39" t="n">
        <f aca="false">IF(DG$4=0,0,IF(COUNTIFS(実績!$W$6:$W$505,DG$3,実績!$AI$6:$AI$505,"&lt;="&amp;$A136,実績!$AJ$6:$AJ$505,"&gt;"&amp;$A136,実績!$AK$6:$AK$505,"○")&gt;0,1,0))</f>
        <v>0</v>
      </c>
      <c r="DH136" s="39" t="n">
        <f aca="false">IF(DH$4=0,0,IF(COUNTIFS(実績!$W$6:$W$505,DH$3,実績!$AI$6:$AI$505,"&lt;="&amp;$A136,実績!$AJ$6:$AJ$505,"&gt;"&amp;$A136,実績!$AK$6:$AK$505,"○")&gt;0,1,0))</f>
        <v>0</v>
      </c>
      <c r="DI136" s="39" t="n">
        <f aca="false">IF(DI$4=0,0,IF(COUNTIFS(実績!$W$6:$W$505,DI$3,実績!$AI$6:$AI$505,"&lt;="&amp;$A136,実績!$AJ$6:$AJ$505,"&gt;"&amp;$A136,実績!$AK$6:$AK$505,"○")&gt;0,1,0))</f>
        <v>0</v>
      </c>
      <c r="DJ136" s="39" t="n">
        <f aca="false">IF(DJ$4=0,0,IF(COUNTIFS(実績!$W$6:$W$505,DJ$3,実績!$AI$6:$AI$505,"&lt;="&amp;$A136,実績!$AJ$6:$AJ$505,"&gt;"&amp;$A136,実績!$AK$6:$AK$505,"○")&gt;0,1,0))</f>
        <v>0</v>
      </c>
      <c r="DK136" s="39" t="n">
        <f aca="false">IF(DK$4=0,0,IF(COUNTIFS(実績!$W$6:$W$505,DK$3,実績!$AI$6:$AI$505,"&lt;="&amp;$A136,実績!$AJ$6:$AJ$505,"&gt;"&amp;$A136,実績!$AK$6:$AK$505,"○")&gt;0,1,0))</f>
        <v>0</v>
      </c>
      <c r="DL136" s="39" t="n">
        <f aca="false">IF(DL$4=0,0,IF(COUNTIFS(実績!$W$6:$W$505,DL$3,実績!$AI$6:$AI$505,"&lt;="&amp;$A136,実績!$AJ$6:$AJ$505,"&gt;"&amp;$A136,実績!$AK$6:$AK$505,"○")&gt;0,1,0))</f>
        <v>0</v>
      </c>
      <c r="DM136" s="39" t="n">
        <f aca="false">IF(DM$4=0,0,IF(COUNTIFS(実績!$W$6:$W$505,DM$3,実績!$AI$6:$AI$505,"&lt;="&amp;$A136,実績!$AJ$6:$AJ$505,"&gt;"&amp;$A136,実績!$AK$6:$AK$505,"○")&gt;0,1,0))</f>
        <v>0</v>
      </c>
      <c r="DN136" s="39" t="n">
        <f aca="false">IF(DN$4=0,0,IF(COUNTIFS(実績!$W$6:$W$505,DN$3,実績!$AI$6:$AI$505,"&lt;="&amp;$A136,実績!$AJ$6:$AJ$505,"&gt;"&amp;$A136,実績!$AK$6:$AK$505,"○")&gt;0,1,0))</f>
        <v>0</v>
      </c>
      <c r="DO136" s="39" t="n">
        <f aca="false">IF(DO$4=0,0,IF(COUNTIFS(実績!$W$6:$W$505,DO$3,実績!$AI$6:$AI$505,"&lt;="&amp;$A136,実績!$AJ$6:$AJ$505,"&gt;"&amp;$A136,実績!$AK$6:$AK$505,"○")&gt;0,1,0))</f>
        <v>0</v>
      </c>
      <c r="DP136" s="39" t="n">
        <f aca="false">IF(DP$4=0,0,IF(COUNTIFS(実績!$W$6:$W$505,DP$3,実績!$AI$6:$AI$505,"&lt;="&amp;$A136,実績!$AJ$6:$AJ$505,"&gt;"&amp;$A136,実績!$AK$6:$AK$505,"○")&gt;0,1,0))</f>
        <v>0</v>
      </c>
      <c r="DQ136" s="39" t="n">
        <f aca="false">IF(DQ$4=0,0,IF(COUNTIFS(実績!$W$6:$W$505,DQ$3,実績!$AI$6:$AI$505,"&lt;="&amp;$A136,実績!$AJ$6:$AJ$505,"&gt;"&amp;$A136,実績!$AK$6:$AK$505,"○")&gt;0,1,0))</f>
        <v>0</v>
      </c>
      <c r="DR136" s="39" t="n">
        <f aca="false">IF(DR$4=0,0,IF(COUNTIFS(実績!$W$6:$W$505,DR$3,実績!$AI$6:$AI$505,"&lt;="&amp;$A136,実績!$AJ$6:$AJ$505,"&gt;"&amp;$A136,実績!$AK$6:$AK$505,"○")&gt;0,1,0))</f>
        <v>0</v>
      </c>
      <c r="DS136" s="39" t="n">
        <f aca="false">SUM(C136:DR136)</f>
        <v>0</v>
      </c>
      <c r="DT136" s="39" t="n">
        <f aca="false">SUMPRODUCT((実績!$C$6:$C$505="○")*ISNUMBER(実績!$AM$6:$AM$505)*(実績!$AM$6:$AM$505&lt;=$A136)*(実績!$AN$6:$AN$505&gt;$A136))</f>
        <v>0</v>
      </c>
      <c r="DU136" s="39" t="n">
        <f aca="false">SUMIF($C$2:$DR$2,"製鉄曳船",C136:DR136)</f>
        <v>0</v>
      </c>
      <c r="DV136" s="39" t="n">
        <f aca="false">SUMIF($C$2:$DR$2,"西日本海運",C136:DR136)</f>
        <v>0</v>
      </c>
    </row>
    <row r="137" customFormat="false" ht="15" hidden="false" customHeight="false" outlineLevel="0" collapsed="false">
      <c r="A137" s="0" t="n">
        <v>655</v>
      </c>
      <c r="B137" s="38" t="n">
        <f aca="false">A137/1440</f>
        <v>0.454861111111111</v>
      </c>
      <c r="C137" s="39" t="n">
        <f aca="false">IF(C$4=0,0,IF(COUNTIFS(実績!$W$6:$W$505,C$3,実績!$AI$6:$AI$505,"&lt;="&amp;$A137,実績!$AJ$6:$AJ$505,"&gt;"&amp;$A137,実績!$AK$6:$AK$505,"○")&gt;0,1,0))</f>
        <v>0</v>
      </c>
      <c r="D137" s="39" t="n">
        <f aca="false">IF(D$4=0,0,IF(COUNTIFS(実績!$W$6:$W$505,D$3,実績!$AI$6:$AI$505,"&lt;="&amp;$A137,実績!$AJ$6:$AJ$505,"&gt;"&amp;$A137,実績!$AK$6:$AK$505,"○")&gt;0,1,0))</f>
        <v>0</v>
      </c>
      <c r="E137" s="39" t="n">
        <f aca="false">IF(E$4=0,0,IF(COUNTIFS(実績!$W$6:$W$505,E$3,実績!$AI$6:$AI$505,"&lt;="&amp;$A137,実績!$AJ$6:$AJ$505,"&gt;"&amp;$A137,実績!$AK$6:$AK$505,"○")&gt;0,1,0))</f>
        <v>0</v>
      </c>
      <c r="F137" s="39" t="n">
        <f aca="false">IF(F$4=0,0,IF(COUNTIFS(実績!$W$6:$W$505,F$3,実績!$AI$6:$AI$505,"&lt;="&amp;$A137,実績!$AJ$6:$AJ$505,"&gt;"&amp;$A137,実績!$AK$6:$AK$505,"○")&gt;0,1,0))</f>
        <v>0</v>
      </c>
      <c r="G137" s="39" t="n">
        <f aca="false">IF(G$4=0,0,IF(COUNTIFS(実績!$W$6:$W$505,G$3,実績!$AI$6:$AI$505,"&lt;="&amp;$A137,実績!$AJ$6:$AJ$505,"&gt;"&amp;$A137,実績!$AK$6:$AK$505,"○")&gt;0,1,0))</f>
        <v>0</v>
      </c>
      <c r="H137" s="39" t="n">
        <f aca="false">IF(H$4=0,0,IF(COUNTIFS(実績!$W$6:$W$505,H$3,実績!$AI$6:$AI$505,"&lt;="&amp;$A137,実績!$AJ$6:$AJ$505,"&gt;"&amp;$A137,実績!$AK$6:$AK$505,"○")&gt;0,1,0))</f>
        <v>0</v>
      </c>
      <c r="I137" s="39" t="n">
        <f aca="false">IF(I$4=0,0,IF(COUNTIFS(実績!$W$6:$W$505,I$3,実績!$AI$6:$AI$505,"&lt;="&amp;$A137,実績!$AJ$6:$AJ$505,"&gt;"&amp;$A137,実績!$AK$6:$AK$505,"○")&gt;0,1,0))</f>
        <v>0</v>
      </c>
      <c r="J137" s="39" t="n">
        <f aca="false">IF(J$4=0,0,IF(COUNTIFS(実績!$W$6:$W$505,J$3,実績!$AI$6:$AI$505,"&lt;="&amp;$A137,実績!$AJ$6:$AJ$505,"&gt;"&amp;$A137,実績!$AK$6:$AK$505,"○")&gt;0,1,0))</f>
        <v>0</v>
      </c>
      <c r="K137" s="39" t="n">
        <f aca="false">IF(K$4=0,0,IF(COUNTIFS(実績!$W$6:$W$505,K$3,実績!$AI$6:$AI$505,"&lt;="&amp;$A137,実績!$AJ$6:$AJ$505,"&gt;"&amp;$A137,実績!$AK$6:$AK$505,"○")&gt;0,1,0))</f>
        <v>0</v>
      </c>
      <c r="L137" s="39" t="n">
        <f aca="false">IF(L$4=0,0,IF(COUNTIFS(実績!$W$6:$W$505,L$3,実績!$AI$6:$AI$505,"&lt;="&amp;$A137,実績!$AJ$6:$AJ$505,"&gt;"&amp;$A137,実績!$AK$6:$AK$505,"○")&gt;0,1,0))</f>
        <v>0</v>
      </c>
      <c r="M137" s="39" t="n">
        <f aca="false">IF(M$4=0,0,IF(COUNTIFS(実績!$W$6:$W$505,M$3,実績!$AI$6:$AI$505,"&lt;="&amp;$A137,実績!$AJ$6:$AJ$505,"&gt;"&amp;$A137,実績!$AK$6:$AK$505,"○")&gt;0,1,0))</f>
        <v>0</v>
      </c>
      <c r="N137" s="39" t="n">
        <f aca="false">IF(N$4=0,0,IF(COUNTIFS(実績!$W$6:$W$505,N$3,実績!$AI$6:$AI$505,"&lt;="&amp;$A137,実績!$AJ$6:$AJ$505,"&gt;"&amp;$A137,実績!$AK$6:$AK$505,"○")&gt;0,1,0))</f>
        <v>0</v>
      </c>
      <c r="O137" s="39" t="n">
        <f aca="false">IF(O$4=0,0,IF(COUNTIFS(実績!$W$6:$W$505,O$3,実績!$AI$6:$AI$505,"&lt;="&amp;$A137,実績!$AJ$6:$AJ$505,"&gt;"&amp;$A137,実績!$AK$6:$AK$505,"○")&gt;0,1,0))</f>
        <v>0</v>
      </c>
      <c r="P137" s="39" t="n">
        <f aca="false">IF(P$4=0,0,IF(COUNTIFS(実績!$W$6:$W$505,P$3,実績!$AI$6:$AI$505,"&lt;="&amp;$A137,実績!$AJ$6:$AJ$505,"&gt;"&amp;$A137,実績!$AK$6:$AK$505,"○")&gt;0,1,0))</f>
        <v>0</v>
      </c>
      <c r="Q137" s="39" t="n">
        <f aca="false">IF(Q$4=0,0,IF(COUNTIFS(実績!$W$6:$W$505,Q$3,実績!$AI$6:$AI$505,"&lt;="&amp;$A137,実績!$AJ$6:$AJ$505,"&gt;"&amp;$A137,実績!$AK$6:$AK$505,"○")&gt;0,1,0))</f>
        <v>0</v>
      </c>
      <c r="R137" s="39" t="n">
        <f aca="false">IF(R$4=0,0,IF(COUNTIFS(実績!$W$6:$W$505,R$3,実績!$AI$6:$AI$505,"&lt;="&amp;$A137,実績!$AJ$6:$AJ$505,"&gt;"&amp;$A137,実績!$AK$6:$AK$505,"○")&gt;0,1,0))</f>
        <v>0</v>
      </c>
      <c r="S137" s="39" t="n">
        <f aca="false">IF(S$4=0,0,IF(COUNTIFS(実績!$W$6:$W$505,S$3,実績!$AI$6:$AI$505,"&lt;="&amp;$A137,実績!$AJ$6:$AJ$505,"&gt;"&amp;$A137,実績!$AK$6:$AK$505,"○")&gt;0,1,0))</f>
        <v>0</v>
      </c>
      <c r="T137" s="39" t="n">
        <f aca="false">IF(T$4=0,0,IF(COUNTIFS(実績!$W$6:$W$505,T$3,実績!$AI$6:$AI$505,"&lt;="&amp;$A137,実績!$AJ$6:$AJ$505,"&gt;"&amp;$A137,実績!$AK$6:$AK$505,"○")&gt;0,1,0))</f>
        <v>0</v>
      </c>
      <c r="U137" s="39" t="n">
        <f aca="false">IF(U$4=0,0,IF(COUNTIFS(実績!$W$6:$W$505,U$3,実績!$AI$6:$AI$505,"&lt;="&amp;$A137,実績!$AJ$6:$AJ$505,"&gt;"&amp;$A137,実績!$AK$6:$AK$505,"○")&gt;0,1,0))</f>
        <v>0</v>
      </c>
      <c r="V137" s="39" t="n">
        <f aca="false">IF(V$4=0,0,IF(COUNTIFS(実績!$W$6:$W$505,V$3,実績!$AI$6:$AI$505,"&lt;="&amp;$A137,実績!$AJ$6:$AJ$505,"&gt;"&amp;$A137,実績!$AK$6:$AK$505,"○")&gt;0,1,0))</f>
        <v>0</v>
      </c>
      <c r="W137" s="39" t="n">
        <f aca="false">IF(W$4=0,0,IF(COUNTIFS(実績!$W$6:$W$505,W$3,実績!$AI$6:$AI$505,"&lt;="&amp;$A137,実績!$AJ$6:$AJ$505,"&gt;"&amp;$A137,実績!$AK$6:$AK$505,"○")&gt;0,1,0))</f>
        <v>0</v>
      </c>
      <c r="X137" s="39" t="n">
        <f aca="false">IF(X$4=0,0,IF(COUNTIFS(実績!$W$6:$W$505,X$3,実績!$AI$6:$AI$505,"&lt;="&amp;$A137,実績!$AJ$6:$AJ$505,"&gt;"&amp;$A137,実績!$AK$6:$AK$505,"○")&gt;0,1,0))</f>
        <v>0</v>
      </c>
      <c r="Y137" s="39" t="n">
        <f aca="false">IF(Y$4=0,0,IF(COUNTIFS(実績!$W$6:$W$505,Y$3,実績!$AI$6:$AI$505,"&lt;="&amp;$A137,実績!$AJ$6:$AJ$505,"&gt;"&amp;$A137,実績!$AK$6:$AK$505,"○")&gt;0,1,0))</f>
        <v>0</v>
      </c>
      <c r="Z137" s="39" t="n">
        <f aca="false">IF(Z$4=0,0,IF(COUNTIFS(実績!$W$6:$W$505,Z$3,実績!$AI$6:$AI$505,"&lt;="&amp;$A137,実績!$AJ$6:$AJ$505,"&gt;"&amp;$A137,実績!$AK$6:$AK$505,"○")&gt;0,1,0))</f>
        <v>0</v>
      </c>
      <c r="AA137" s="39" t="n">
        <f aca="false">IF(AA$4=0,0,IF(COUNTIFS(実績!$W$6:$W$505,AA$3,実績!$AI$6:$AI$505,"&lt;="&amp;$A137,実績!$AJ$6:$AJ$505,"&gt;"&amp;$A137,実績!$AK$6:$AK$505,"○")&gt;0,1,0))</f>
        <v>0</v>
      </c>
      <c r="AB137" s="39" t="n">
        <f aca="false">IF(AB$4=0,0,IF(COUNTIFS(実績!$W$6:$W$505,AB$3,実績!$AI$6:$AI$505,"&lt;="&amp;$A137,実績!$AJ$6:$AJ$505,"&gt;"&amp;$A137,実績!$AK$6:$AK$505,"○")&gt;0,1,0))</f>
        <v>0</v>
      </c>
      <c r="AC137" s="39" t="n">
        <f aca="false">IF(AC$4=0,0,IF(COUNTIFS(実績!$W$6:$W$505,AC$3,実績!$AI$6:$AI$505,"&lt;="&amp;$A137,実績!$AJ$6:$AJ$505,"&gt;"&amp;$A137,実績!$AK$6:$AK$505,"○")&gt;0,1,0))</f>
        <v>0</v>
      </c>
      <c r="AD137" s="39" t="n">
        <f aca="false">IF(AD$4=0,0,IF(COUNTIFS(実績!$W$6:$W$505,AD$3,実績!$AI$6:$AI$505,"&lt;="&amp;$A137,実績!$AJ$6:$AJ$505,"&gt;"&amp;$A137,実績!$AK$6:$AK$505,"○")&gt;0,1,0))</f>
        <v>0</v>
      </c>
      <c r="AE137" s="39" t="n">
        <f aca="false">IF(AE$4=0,0,IF(COUNTIFS(実績!$W$6:$W$505,AE$3,実績!$AI$6:$AI$505,"&lt;="&amp;$A137,実績!$AJ$6:$AJ$505,"&gt;"&amp;$A137,実績!$AK$6:$AK$505,"○")&gt;0,1,0))</f>
        <v>0</v>
      </c>
      <c r="AF137" s="39" t="n">
        <f aca="false">IF(AF$4=0,0,IF(COUNTIFS(実績!$W$6:$W$505,AF$3,実績!$AI$6:$AI$505,"&lt;="&amp;$A137,実績!$AJ$6:$AJ$505,"&gt;"&amp;$A137,実績!$AK$6:$AK$505,"○")&gt;0,1,0))</f>
        <v>0</v>
      </c>
      <c r="AG137" s="39" t="n">
        <f aca="false">IF(AG$4=0,0,IF(COUNTIFS(実績!$W$6:$W$505,AG$3,実績!$AI$6:$AI$505,"&lt;="&amp;$A137,実績!$AJ$6:$AJ$505,"&gt;"&amp;$A137,実績!$AK$6:$AK$505,"○")&gt;0,1,0))</f>
        <v>0</v>
      </c>
      <c r="AH137" s="39" t="n">
        <f aca="false">IF(AH$4=0,0,IF(COUNTIFS(実績!$W$6:$W$505,AH$3,実績!$AI$6:$AI$505,"&lt;="&amp;$A137,実績!$AJ$6:$AJ$505,"&gt;"&amp;$A137,実績!$AK$6:$AK$505,"○")&gt;0,1,0))</f>
        <v>0</v>
      </c>
      <c r="AI137" s="39" t="n">
        <f aca="false">IF(AI$4=0,0,IF(COUNTIFS(実績!$W$6:$W$505,AI$3,実績!$AI$6:$AI$505,"&lt;="&amp;$A137,実績!$AJ$6:$AJ$505,"&gt;"&amp;$A137,実績!$AK$6:$AK$505,"○")&gt;0,1,0))</f>
        <v>0</v>
      </c>
      <c r="AJ137" s="39" t="n">
        <f aca="false">IF(AJ$4=0,0,IF(COUNTIFS(実績!$W$6:$W$505,AJ$3,実績!$AI$6:$AI$505,"&lt;="&amp;$A137,実績!$AJ$6:$AJ$505,"&gt;"&amp;$A137,実績!$AK$6:$AK$505,"○")&gt;0,1,0))</f>
        <v>0</v>
      </c>
      <c r="AK137" s="39" t="n">
        <f aca="false">IF(AK$4=0,0,IF(COUNTIFS(実績!$W$6:$W$505,AK$3,実績!$AI$6:$AI$505,"&lt;="&amp;$A137,実績!$AJ$6:$AJ$505,"&gt;"&amp;$A137,実績!$AK$6:$AK$505,"○")&gt;0,1,0))</f>
        <v>0</v>
      </c>
      <c r="AL137" s="39" t="n">
        <f aca="false">IF(AL$4=0,0,IF(COUNTIFS(実績!$W$6:$W$505,AL$3,実績!$AI$6:$AI$505,"&lt;="&amp;$A137,実績!$AJ$6:$AJ$505,"&gt;"&amp;$A137,実績!$AK$6:$AK$505,"○")&gt;0,1,0))</f>
        <v>0</v>
      </c>
      <c r="AM137" s="39" t="n">
        <f aca="false">IF(AM$4=0,0,IF(COUNTIFS(実績!$W$6:$W$505,AM$3,実績!$AI$6:$AI$505,"&lt;="&amp;$A137,実績!$AJ$6:$AJ$505,"&gt;"&amp;$A137,実績!$AK$6:$AK$505,"○")&gt;0,1,0))</f>
        <v>0</v>
      </c>
      <c r="AN137" s="39" t="n">
        <f aca="false">IF(AN$4=0,0,IF(COUNTIFS(実績!$W$6:$W$505,AN$3,実績!$AI$6:$AI$505,"&lt;="&amp;$A137,実績!$AJ$6:$AJ$505,"&gt;"&amp;$A137,実績!$AK$6:$AK$505,"○")&gt;0,1,0))</f>
        <v>0</v>
      </c>
      <c r="AO137" s="39" t="n">
        <f aca="false">IF(AO$4=0,0,IF(COUNTIFS(実績!$W$6:$W$505,AO$3,実績!$AI$6:$AI$505,"&lt;="&amp;$A137,実績!$AJ$6:$AJ$505,"&gt;"&amp;$A137,実績!$AK$6:$AK$505,"○")&gt;0,1,0))</f>
        <v>0</v>
      </c>
      <c r="AP137" s="39" t="n">
        <f aca="false">IF(AP$4=0,0,IF(COUNTIFS(実績!$W$6:$W$505,AP$3,実績!$AI$6:$AI$505,"&lt;="&amp;$A137,実績!$AJ$6:$AJ$505,"&gt;"&amp;$A137,実績!$AK$6:$AK$505,"○")&gt;0,1,0))</f>
        <v>0</v>
      </c>
      <c r="AQ137" s="39" t="n">
        <f aca="false">IF(AQ$4=0,0,IF(COUNTIFS(実績!$W$6:$W$505,AQ$3,実績!$AI$6:$AI$505,"&lt;="&amp;$A137,実績!$AJ$6:$AJ$505,"&gt;"&amp;$A137,実績!$AK$6:$AK$505,"○")&gt;0,1,0))</f>
        <v>0</v>
      </c>
      <c r="AR137" s="39" t="n">
        <f aca="false">IF(AR$4=0,0,IF(COUNTIFS(実績!$W$6:$W$505,AR$3,実績!$AI$6:$AI$505,"&lt;="&amp;$A137,実績!$AJ$6:$AJ$505,"&gt;"&amp;$A137,実績!$AK$6:$AK$505,"○")&gt;0,1,0))</f>
        <v>0</v>
      </c>
      <c r="AS137" s="39" t="n">
        <f aca="false">IF(AS$4=0,0,IF(COUNTIFS(実績!$W$6:$W$505,AS$3,実績!$AI$6:$AI$505,"&lt;="&amp;$A137,実績!$AJ$6:$AJ$505,"&gt;"&amp;$A137,実績!$AK$6:$AK$505,"○")&gt;0,1,0))</f>
        <v>0</v>
      </c>
      <c r="AT137" s="39" t="n">
        <f aca="false">IF(AT$4=0,0,IF(COUNTIFS(実績!$W$6:$W$505,AT$3,実績!$AI$6:$AI$505,"&lt;="&amp;$A137,実績!$AJ$6:$AJ$505,"&gt;"&amp;$A137,実績!$AK$6:$AK$505,"○")&gt;0,1,0))</f>
        <v>0</v>
      </c>
      <c r="AU137" s="39" t="n">
        <f aca="false">IF(AU$4=0,0,IF(COUNTIFS(実績!$W$6:$W$505,AU$3,実績!$AI$6:$AI$505,"&lt;="&amp;$A137,実績!$AJ$6:$AJ$505,"&gt;"&amp;$A137,実績!$AK$6:$AK$505,"○")&gt;0,1,0))</f>
        <v>0</v>
      </c>
      <c r="AV137" s="39" t="n">
        <f aca="false">IF(AV$4=0,0,IF(COUNTIFS(実績!$W$6:$W$505,AV$3,実績!$AI$6:$AI$505,"&lt;="&amp;$A137,実績!$AJ$6:$AJ$505,"&gt;"&amp;$A137,実績!$AK$6:$AK$505,"○")&gt;0,1,0))</f>
        <v>0</v>
      </c>
      <c r="AW137" s="39" t="n">
        <f aca="false">IF(AW$4=0,0,IF(COUNTIFS(実績!$W$6:$W$505,AW$3,実績!$AI$6:$AI$505,"&lt;="&amp;$A137,実績!$AJ$6:$AJ$505,"&gt;"&amp;$A137,実績!$AK$6:$AK$505,"○")&gt;0,1,0))</f>
        <v>0</v>
      </c>
      <c r="AX137" s="39" t="n">
        <f aca="false">IF(AX$4=0,0,IF(COUNTIFS(実績!$W$6:$W$505,AX$3,実績!$AI$6:$AI$505,"&lt;="&amp;$A137,実績!$AJ$6:$AJ$505,"&gt;"&amp;$A137,実績!$AK$6:$AK$505,"○")&gt;0,1,0))</f>
        <v>0</v>
      </c>
      <c r="AY137" s="39" t="n">
        <f aca="false">IF(AY$4=0,0,IF(COUNTIFS(実績!$W$6:$W$505,AY$3,実績!$AI$6:$AI$505,"&lt;="&amp;$A137,実績!$AJ$6:$AJ$505,"&gt;"&amp;$A137,実績!$AK$6:$AK$505,"○")&gt;0,1,0))</f>
        <v>0</v>
      </c>
      <c r="AZ137" s="39" t="n">
        <f aca="false">IF(AZ$4=0,0,IF(COUNTIFS(実績!$W$6:$W$505,AZ$3,実績!$AI$6:$AI$505,"&lt;="&amp;$A137,実績!$AJ$6:$AJ$505,"&gt;"&amp;$A137,実績!$AK$6:$AK$505,"○")&gt;0,1,0))</f>
        <v>0</v>
      </c>
      <c r="BA137" s="39" t="n">
        <f aca="false">IF(BA$4=0,0,IF(COUNTIFS(実績!$W$6:$W$505,BA$3,実績!$AI$6:$AI$505,"&lt;="&amp;$A137,実績!$AJ$6:$AJ$505,"&gt;"&amp;$A137,実績!$AK$6:$AK$505,"○")&gt;0,1,0))</f>
        <v>0</v>
      </c>
      <c r="BB137" s="39" t="n">
        <f aca="false">IF(BB$4=0,0,IF(COUNTIFS(実績!$W$6:$W$505,BB$3,実績!$AI$6:$AI$505,"&lt;="&amp;$A137,実績!$AJ$6:$AJ$505,"&gt;"&amp;$A137,実績!$AK$6:$AK$505,"○")&gt;0,1,0))</f>
        <v>0</v>
      </c>
      <c r="BC137" s="39" t="n">
        <f aca="false">IF(BC$4=0,0,IF(COUNTIFS(実績!$W$6:$W$505,BC$3,実績!$AI$6:$AI$505,"&lt;="&amp;$A137,実績!$AJ$6:$AJ$505,"&gt;"&amp;$A137,実績!$AK$6:$AK$505,"○")&gt;0,1,0))</f>
        <v>0</v>
      </c>
      <c r="BD137" s="39" t="n">
        <f aca="false">IF(BD$4=0,0,IF(COUNTIFS(実績!$W$6:$W$505,BD$3,実績!$AI$6:$AI$505,"&lt;="&amp;$A137,実績!$AJ$6:$AJ$505,"&gt;"&amp;$A137,実績!$AK$6:$AK$505,"○")&gt;0,1,0))</f>
        <v>0</v>
      </c>
      <c r="BE137" s="39" t="n">
        <f aca="false">IF(BE$4=0,0,IF(COUNTIFS(実績!$W$6:$W$505,BE$3,実績!$AI$6:$AI$505,"&lt;="&amp;$A137,実績!$AJ$6:$AJ$505,"&gt;"&amp;$A137,実績!$AK$6:$AK$505,"○")&gt;0,1,0))</f>
        <v>0</v>
      </c>
      <c r="BF137" s="39" t="n">
        <f aca="false">IF(BF$4=0,0,IF(COUNTIFS(実績!$W$6:$W$505,BF$3,実績!$AI$6:$AI$505,"&lt;="&amp;$A137,実績!$AJ$6:$AJ$505,"&gt;"&amp;$A137,実績!$AK$6:$AK$505,"○")&gt;0,1,0))</f>
        <v>0</v>
      </c>
      <c r="BG137" s="39" t="n">
        <f aca="false">IF(BG$4=0,0,IF(COUNTIFS(実績!$W$6:$W$505,BG$3,実績!$AI$6:$AI$505,"&lt;="&amp;$A137,実績!$AJ$6:$AJ$505,"&gt;"&amp;$A137,実績!$AK$6:$AK$505,"○")&gt;0,1,0))</f>
        <v>0</v>
      </c>
      <c r="BH137" s="39" t="n">
        <f aca="false">IF(BH$4=0,0,IF(COUNTIFS(実績!$W$6:$W$505,BH$3,実績!$AI$6:$AI$505,"&lt;="&amp;$A137,実績!$AJ$6:$AJ$505,"&gt;"&amp;$A137,実績!$AK$6:$AK$505,"○")&gt;0,1,0))</f>
        <v>0</v>
      </c>
      <c r="BI137" s="39" t="n">
        <f aca="false">IF(BI$4=0,0,IF(COUNTIFS(実績!$W$6:$W$505,BI$3,実績!$AI$6:$AI$505,"&lt;="&amp;$A137,実績!$AJ$6:$AJ$505,"&gt;"&amp;$A137,実績!$AK$6:$AK$505,"○")&gt;0,1,0))</f>
        <v>0</v>
      </c>
      <c r="BJ137" s="39" t="n">
        <f aca="false">IF(BJ$4=0,0,IF(COUNTIFS(実績!$W$6:$W$505,BJ$3,実績!$AI$6:$AI$505,"&lt;="&amp;$A137,実績!$AJ$6:$AJ$505,"&gt;"&amp;$A137,実績!$AK$6:$AK$505,"○")&gt;0,1,0))</f>
        <v>0</v>
      </c>
      <c r="BK137" s="39" t="n">
        <f aca="false">IF(BK$4=0,0,IF(COUNTIFS(実績!$W$6:$W$505,BK$3,実績!$AI$6:$AI$505,"&lt;="&amp;$A137,実績!$AJ$6:$AJ$505,"&gt;"&amp;$A137,実績!$AK$6:$AK$505,"○")&gt;0,1,0))</f>
        <v>0</v>
      </c>
      <c r="BL137" s="39" t="n">
        <f aca="false">IF(BL$4=0,0,IF(COUNTIFS(実績!$W$6:$W$505,BL$3,実績!$AI$6:$AI$505,"&lt;="&amp;$A137,実績!$AJ$6:$AJ$505,"&gt;"&amp;$A137,実績!$AK$6:$AK$505,"○")&gt;0,1,0))</f>
        <v>0</v>
      </c>
      <c r="BM137" s="39" t="n">
        <f aca="false">IF(BM$4=0,0,IF(COUNTIFS(実績!$W$6:$W$505,BM$3,実績!$AI$6:$AI$505,"&lt;="&amp;$A137,実績!$AJ$6:$AJ$505,"&gt;"&amp;$A137,実績!$AK$6:$AK$505,"○")&gt;0,1,0))</f>
        <v>0</v>
      </c>
      <c r="BN137" s="39" t="n">
        <f aca="false">IF(BN$4=0,0,IF(COUNTIFS(実績!$W$6:$W$505,BN$3,実績!$AI$6:$AI$505,"&lt;="&amp;$A137,実績!$AJ$6:$AJ$505,"&gt;"&amp;$A137,実績!$AK$6:$AK$505,"○")&gt;0,1,0))</f>
        <v>0</v>
      </c>
      <c r="BO137" s="39" t="n">
        <f aca="false">IF(BO$4=0,0,IF(COUNTIFS(実績!$W$6:$W$505,BO$3,実績!$AI$6:$AI$505,"&lt;="&amp;$A137,実績!$AJ$6:$AJ$505,"&gt;"&amp;$A137,実績!$AK$6:$AK$505,"○")&gt;0,1,0))</f>
        <v>0</v>
      </c>
      <c r="BP137" s="39" t="n">
        <f aca="false">IF(BP$4=0,0,IF(COUNTIFS(実績!$W$6:$W$505,BP$3,実績!$AI$6:$AI$505,"&lt;="&amp;$A137,実績!$AJ$6:$AJ$505,"&gt;"&amp;$A137,実績!$AK$6:$AK$505,"○")&gt;0,1,0))</f>
        <v>0</v>
      </c>
      <c r="BQ137" s="39" t="n">
        <f aca="false">IF(BQ$4=0,0,IF(COUNTIFS(実績!$W$6:$W$505,BQ$3,実績!$AI$6:$AI$505,"&lt;="&amp;$A137,実績!$AJ$6:$AJ$505,"&gt;"&amp;$A137,実績!$AK$6:$AK$505,"○")&gt;0,1,0))</f>
        <v>0</v>
      </c>
      <c r="BR137" s="39" t="n">
        <f aca="false">IF(BR$4=0,0,IF(COUNTIFS(実績!$W$6:$W$505,BR$3,実績!$AI$6:$AI$505,"&lt;="&amp;$A137,実績!$AJ$6:$AJ$505,"&gt;"&amp;$A137,実績!$AK$6:$AK$505,"○")&gt;0,1,0))</f>
        <v>0</v>
      </c>
      <c r="BS137" s="39" t="n">
        <f aca="false">IF(BS$4=0,0,IF(COUNTIFS(実績!$W$6:$W$505,BS$3,実績!$AI$6:$AI$505,"&lt;="&amp;$A137,実績!$AJ$6:$AJ$505,"&gt;"&amp;$A137,実績!$AK$6:$AK$505,"○")&gt;0,1,0))</f>
        <v>0</v>
      </c>
      <c r="BT137" s="39" t="n">
        <f aca="false">IF(BT$4=0,0,IF(COUNTIFS(実績!$W$6:$W$505,BT$3,実績!$AI$6:$AI$505,"&lt;="&amp;$A137,実績!$AJ$6:$AJ$505,"&gt;"&amp;$A137,実績!$AK$6:$AK$505,"○")&gt;0,1,0))</f>
        <v>0</v>
      </c>
      <c r="BU137" s="39" t="n">
        <f aca="false">IF(BU$4=0,0,IF(COUNTIFS(実績!$W$6:$W$505,BU$3,実績!$AI$6:$AI$505,"&lt;="&amp;$A137,実績!$AJ$6:$AJ$505,"&gt;"&amp;$A137,実績!$AK$6:$AK$505,"○")&gt;0,1,0))</f>
        <v>0</v>
      </c>
      <c r="BV137" s="39" t="n">
        <f aca="false">IF(BV$4=0,0,IF(COUNTIFS(実績!$W$6:$W$505,BV$3,実績!$AI$6:$AI$505,"&lt;="&amp;$A137,実績!$AJ$6:$AJ$505,"&gt;"&amp;$A137,実績!$AK$6:$AK$505,"○")&gt;0,1,0))</f>
        <v>0</v>
      </c>
      <c r="BW137" s="39" t="n">
        <f aca="false">IF(BW$4=0,0,IF(COUNTIFS(実績!$W$6:$W$505,BW$3,実績!$AI$6:$AI$505,"&lt;="&amp;$A137,実績!$AJ$6:$AJ$505,"&gt;"&amp;$A137,実績!$AK$6:$AK$505,"○")&gt;0,1,0))</f>
        <v>0</v>
      </c>
      <c r="BX137" s="39" t="n">
        <f aca="false">IF(BX$4=0,0,IF(COUNTIFS(実績!$W$6:$W$505,BX$3,実績!$AI$6:$AI$505,"&lt;="&amp;$A137,実績!$AJ$6:$AJ$505,"&gt;"&amp;$A137,実績!$AK$6:$AK$505,"○")&gt;0,1,0))</f>
        <v>0</v>
      </c>
      <c r="BY137" s="39" t="n">
        <f aca="false">IF(BY$4=0,0,IF(COUNTIFS(実績!$W$6:$W$505,BY$3,実績!$AI$6:$AI$505,"&lt;="&amp;$A137,実績!$AJ$6:$AJ$505,"&gt;"&amp;$A137,実績!$AK$6:$AK$505,"○")&gt;0,1,0))</f>
        <v>0</v>
      </c>
      <c r="BZ137" s="39" t="n">
        <f aca="false">IF(BZ$4=0,0,IF(COUNTIFS(実績!$W$6:$W$505,BZ$3,実績!$AI$6:$AI$505,"&lt;="&amp;$A137,実績!$AJ$6:$AJ$505,"&gt;"&amp;$A137,実績!$AK$6:$AK$505,"○")&gt;0,1,0))</f>
        <v>0</v>
      </c>
      <c r="CA137" s="39" t="n">
        <f aca="false">IF(CA$4=0,0,IF(COUNTIFS(実績!$W$6:$W$505,CA$3,実績!$AI$6:$AI$505,"&lt;="&amp;$A137,実績!$AJ$6:$AJ$505,"&gt;"&amp;$A137,実績!$AK$6:$AK$505,"○")&gt;0,1,0))</f>
        <v>0</v>
      </c>
      <c r="CB137" s="39" t="n">
        <f aca="false">IF(CB$4=0,0,IF(COUNTIFS(実績!$W$6:$W$505,CB$3,実績!$AI$6:$AI$505,"&lt;="&amp;$A137,実績!$AJ$6:$AJ$505,"&gt;"&amp;$A137,実績!$AK$6:$AK$505,"○")&gt;0,1,0))</f>
        <v>0</v>
      </c>
      <c r="CC137" s="39" t="n">
        <f aca="false">IF(CC$4=0,0,IF(COUNTIFS(実績!$W$6:$W$505,CC$3,実績!$AI$6:$AI$505,"&lt;="&amp;$A137,実績!$AJ$6:$AJ$505,"&gt;"&amp;$A137,実績!$AK$6:$AK$505,"○")&gt;0,1,0))</f>
        <v>0</v>
      </c>
      <c r="CD137" s="39" t="n">
        <f aca="false">IF(CD$4=0,0,IF(COUNTIFS(実績!$W$6:$W$505,CD$3,実績!$AI$6:$AI$505,"&lt;="&amp;$A137,実績!$AJ$6:$AJ$505,"&gt;"&amp;$A137,実績!$AK$6:$AK$505,"○")&gt;0,1,0))</f>
        <v>0</v>
      </c>
      <c r="CE137" s="39" t="n">
        <f aca="false">IF(CE$4=0,0,IF(COUNTIFS(実績!$W$6:$W$505,CE$3,実績!$AI$6:$AI$505,"&lt;="&amp;$A137,実績!$AJ$6:$AJ$505,"&gt;"&amp;$A137,実績!$AK$6:$AK$505,"○")&gt;0,1,0))</f>
        <v>0</v>
      </c>
      <c r="CF137" s="39" t="n">
        <f aca="false">IF(CF$4=0,0,IF(COUNTIFS(実績!$W$6:$W$505,CF$3,実績!$AI$6:$AI$505,"&lt;="&amp;$A137,実績!$AJ$6:$AJ$505,"&gt;"&amp;$A137,実績!$AK$6:$AK$505,"○")&gt;0,1,0))</f>
        <v>0</v>
      </c>
      <c r="CG137" s="39" t="n">
        <f aca="false">IF(CG$4=0,0,IF(COUNTIFS(実績!$W$6:$W$505,CG$3,実績!$AI$6:$AI$505,"&lt;="&amp;$A137,実績!$AJ$6:$AJ$505,"&gt;"&amp;$A137,実績!$AK$6:$AK$505,"○")&gt;0,1,0))</f>
        <v>0</v>
      </c>
      <c r="CH137" s="39" t="n">
        <f aca="false">IF(CH$4=0,0,IF(COUNTIFS(実績!$W$6:$W$505,CH$3,実績!$AI$6:$AI$505,"&lt;="&amp;$A137,実績!$AJ$6:$AJ$505,"&gt;"&amp;$A137,実績!$AK$6:$AK$505,"○")&gt;0,1,0))</f>
        <v>0</v>
      </c>
      <c r="CI137" s="39" t="n">
        <f aca="false">IF(CI$4=0,0,IF(COUNTIFS(実績!$W$6:$W$505,CI$3,実績!$AI$6:$AI$505,"&lt;="&amp;$A137,実績!$AJ$6:$AJ$505,"&gt;"&amp;$A137,実績!$AK$6:$AK$505,"○")&gt;0,1,0))</f>
        <v>0</v>
      </c>
      <c r="CJ137" s="39" t="n">
        <f aca="false">IF(CJ$4=0,0,IF(COUNTIFS(実績!$W$6:$W$505,CJ$3,実績!$AI$6:$AI$505,"&lt;="&amp;$A137,実績!$AJ$6:$AJ$505,"&gt;"&amp;$A137,実績!$AK$6:$AK$505,"○")&gt;0,1,0))</f>
        <v>0</v>
      </c>
      <c r="CK137" s="39" t="n">
        <f aca="false">IF(CK$4=0,0,IF(COUNTIFS(実績!$W$6:$W$505,CK$3,実績!$AI$6:$AI$505,"&lt;="&amp;$A137,実績!$AJ$6:$AJ$505,"&gt;"&amp;$A137,実績!$AK$6:$AK$505,"○")&gt;0,1,0))</f>
        <v>0</v>
      </c>
      <c r="CL137" s="39" t="n">
        <f aca="false">IF(CL$4=0,0,IF(COUNTIFS(実績!$W$6:$W$505,CL$3,実績!$AI$6:$AI$505,"&lt;="&amp;$A137,実績!$AJ$6:$AJ$505,"&gt;"&amp;$A137,実績!$AK$6:$AK$505,"○")&gt;0,1,0))</f>
        <v>0</v>
      </c>
      <c r="CM137" s="39" t="n">
        <f aca="false">IF(CM$4=0,0,IF(COUNTIFS(実績!$W$6:$W$505,CM$3,実績!$AI$6:$AI$505,"&lt;="&amp;$A137,実績!$AJ$6:$AJ$505,"&gt;"&amp;$A137,実績!$AK$6:$AK$505,"○")&gt;0,1,0))</f>
        <v>0</v>
      </c>
      <c r="CN137" s="39" t="n">
        <f aca="false">IF(CN$4=0,0,IF(COUNTIFS(実績!$W$6:$W$505,CN$3,実績!$AI$6:$AI$505,"&lt;="&amp;$A137,実績!$AJ$6:$AJ$505,"&gt;"&amp;$A137,実績!$AK$6:$AK$505,"○")&gt;0,1,0))</f>
        <v>0</v>
      </c>
      <c r="CO137" s="39" t="n">
        <f aca="false">IF(CO$4=0,0,IF(COUNTIFS(実績!$W$6:$W$505,CO$3,実績!$AI$6:$AI$505,"&lt;="&amp;$A137,実績!$AJ$6:$AJ$505,"&gt;"&amp;$A137,実績!$AK$6:$AK$505,"○")&gt;0,1,0))</f>
        <v>0</v>
      </c>
      <c r="CP137" s="39" t="n">
        <f aca="false">IF(CP$4=0,0,IF(COUNTIFS(実績!$W$6:$W$505,CP$3,実績!$AI$6:$AI$505,"&lt;="&amp;$A137,実績!$AJ$6:$AJ$505,"&gt;"&amp;$A137,実績!$AK$6:$AK$505,"○")&gt;0,1,0))</f>
        <v>0</v>
      </c>
      <c r="CQ137" s="39" t="n">
        <f aca="false">IF(CQ$4=0,0,IF(COUNTIFS(実績!$W$6:$W$505,CQ$3,実績!$AI$6:$AI$505,"&lt;="&amp;$A137,実績!$AJ$6:$AJ$505,"&gt;"&amp;$A137,実績!$AK$6:$AK$505,"○")&gt;0,1,0))</f>
        <v>0</v>
      </c>
      <c r="CR137" s="39" t="n">
        <f aca="false">IF(CR$4=0,0,IF(COUNTIFS(実績!$W$6:$W$505,CR$3,実績!$AI$6:$AI$505,"&lt;="&amp;$A137,実績!$AJ$6:$AJ$505,"&gt;"&amp;$A137,実績!$AK$6:$AK$505,"○")&gt;0,1,0))</f>
        <v>0</v>
      </c>
      <c r="CS137" s="39" t="n">
        <f aca="false">IF(CS$4=0,0,IF(COUNTIFS(実績!$W$6:$W$505,CS$3,実績!$AI$6:$AI$505,"&lt;="&amp;$A137,実績!$AJ$6:$AJ$505,"&gt;"&amp;$A137,実績!$AK$6:$AK$505,"○")&gt;0,1,0))</f>
        <v>0</v>
      </c>
      <c r="CT137" s="39" t="n">
        <f aca="false">IF(CT$4=0,0,IF(COUNTIFS(実績!$W$6:$W$505,CT$3,実績!$AI$6:$AI$505,"&lt;="&amp;$A137,実績!$AJ$6:$AJ$505,"&gt;"&amp;$A137,実績!$AK$6:$AK$505,"○")&gt;0,1,0))</f>
        <v>0</v>
      </c>
      <c r="CU137" s="39" t="n">
        <f aca="false">IF(CU$4=0,0,IF(COUNTIFS(実績!$W$6:$W$505,CU$3,実績!$AI$6:$AI$505,"&lt;="&amp;$A137,実績!$AJ$6:$AJ$505,"&gt;"&amp;$A137,実績!$AK$6:$AK$505,"○")&gt;0,1,0))</f>
        <v>0</v>
      </c>
      <c r="CV137" s="39" t="n">
        <f aca="false">IF(CV$4=0,0,IF(COUNTIFS(実績!$W$6:$W$505,CV$3,実績!$AI$6:$AI$505,"&lt;="&amp;$A137,実績!$AJ$6:$AJ$505,"&gt;"&amp;$A137,実績!$AK$6:$AK$505,"○")&gt;0,1,0))</f>
        <v>0</v>
      </c>
      <c r="CW137" s="39" t="n">
        <f aca="false">IF(CW$4=0,0,IF(COUNTIFS(実績!$W$6:$W$505,CW$3,実績!$AI$6:$AI$505,"&lt;="&amp;$A137,実績!$AJ$6:$AJ$505,"&gt;"&amp;$A137,実績!$AK$6:$AK$505,"○")&gt;0,1,0))</f>
        <v>0</v>
      </c>
      <c r="CX137" s="39" t="n">
        <f aca="false">IF(CX$4=0,0,IF(COUNTIFS(実績!$W$6:$W$505,CX$3,実績!$AI$6:$AI$505,"&lt;="&amp;$A137,実績!$AJ$6:$AJ$505,"&gt;"&amp;$A137,実績!$AK$6:$AK$505,"○")&gt;0,1,0))</f>
        <v>0</v>
      </c>
      <c r="CY137" s="39" t="n">
        <f aca="false">IF(CY$4=0,0,IF(COUNTIFS(実績!$W$6:$W$505,CY$3,実績!$AI$6:$AI$505,"&lt;="&amp;$A137,実績!$AJ$6:$AJ$505,"&gt;"&amp;$A137,実績!$AK$6:$AK$505,"○")&gt;0,1,0))</f>
        <v>0</v>
      </c>
      <c r="CZ137" s="39" t="n">
        <f aca="false">IF(CZ$4=0,0,IF(COUNTIFS(実績!$W$6:$W$505,CZ$3,実績!$AI$6:$AI$505,"&lt;="&amp;$A137,実績!$AJ$6:$AJ$505,"&gt;"&amp;$A137,実績!$AK$6:$AK$505,"○")&gt;0,1,0))</f>
        <v>0</v>
      </c>
      <c r="DA137" s="39" t="n">
        <f aca="false">IF(DA$4=0,0,IF(COUNTIFS(実績!$W$6:$W$505,DA$3,実績!$AI$6:$AI$505,"&lt;="&amp;$A137,実績!$AJ$6:$AJ$505,"&gt;"&amp;$A137,実績!$AK$6:$AK$505,"○")&gt;0,1,0))</f>
        <v>0</v>
      </c>
      <c r="DB137" s="39" t="n">
        <f aca="false">IF(DB$4=0,0,IF(COUNTIFS(実績!$W$6:$W$505,DB$3,実績!$AI$6:$AI$505,"&lt;="&amp;$A137,実績!$AJ$6:$AJ$505,"&gt;"&amp;$A137,実績!$AK$6:$AK$505,"○")&gt;0,1,0))</f>
        <v>0</v>
      </c>
      <c r="DC137" s="39" t="n">
        <f aca="false">IF(DC$4=0,0,IF(COUNTIFS(実績!$W$6:$W$505,DC$3,実績!$AI$6:$AI$505,"&lt;="&amp;$A137,実績!$AJ$6:$AJ$505,"&gt;"&amp;$A137,実績!$AK$6:$AK$505,"○")&gt;0,1,0))</f>
        <v>0</v>
      </c>
      <c r="DD137" s="39" t="n">
        <f aca="false">IF(DD$4=0,0,IF(COUNTIFS(実績!$W$6:$W$505,DD$3,実績!$AI$6:$AI$505,"&lt;="&amp;$A137,実績!$AJ$6:$AJ$505,"&gt;"&amp;$A137,実績!$AK$6:$AK$505,"○")&gt;0,1,0))</f>
        <v>0</v>
      </c>
      <c r="DE137" s="39" t="n">
        <f aca="false">IF(DE$4=0,0,IF(COUNTIFS(実績!$W$6:$W$505,DE$3,実績!$AI$6:$AI$505,"&lt;="&amp;$A137,実績!$AJ$6:$AJ$505,"&gt;"&amp;$A137,実績!$AK$6:$AK$505,"○")&gt;0,1,0))</f>
        <v>0</v>
      </c>
      <c r="DF137" s="39" t="n">
        <f aca="false">IF(DF$4=0,0,IF(COUNTIFS(実績!$W$6:$W$505,DF$3,実績!$AI$6:$AI$505,"&lt;="&amp;$A137,実績!$AJ$6:$AJ$505,"&gt;"&amp;$A137,実績!$AK$6:$AK$505,"○")&gt;0,1,0))</f>
        <v>0</v>
      </c>
      <c r="DG137" s="39" t="n">
        <f aca="false">IF(DG$4=0,0,IF(COUNTIFS(実績!$W$6:$W$505,DG$3,実績!$AI$6:$AI$505,"&lt;="&amp;$A137,実績!$AJ$6:$AJ$505,"&gt;"&amp;$A137,実績!$AK$6:$AK$505,"○")&gt;0,1,0))</f>
        <v>0</v>
      </c>
      <c r="DH137" s="39" t="n">
        <f aca="false">IF(DH$4=0,0,IF(COUNTIFS(実績!$W$6:$W$505,DH$3,実績!$AI$6:$AI$505,"&lt;="&amp;$A137,実績!$AJ$6:$AJ$505,"&gt;"&amp;$A137,実績!$AK$6:$AK$505,"○")&gt;0,1,0))</f>
        <v>0</v>
      </c>
      <c r="DI137" s="39" t="n">
        <f aca="false">IF(DI$4=0,0,IF(COUNTIFS(実績!$W$6:$W$505,DI$3,実績!$AI$6:$AI$505,"&lt;="&amp;$A137,実績!$AJ$6:$AJ$505,"&gt;"&amp;$A137,実績!$AK$6:$AK$505,"○")&gt;0,1,0))</f>
        <v>0</v>
      </c>
      <c r="DJ137" s="39" t="n">
        <f aca="false">IF(DJ$4=0,0,IF(COUNTIFS(実績!$W$6:$W$505,DJ$3,実績!$AI$6:$AI$505,"&lt;="&amp;$A137,実績!$AJ$6:$AJ$505,"&gt;"&amp;$A137,実績!$AK$6:$AK$505,"○")&gt;0,1,0))</f>
        <v>0</v>
      </c>
      <c r="DK137" s="39" t="n">
        <f aca="false">IF(DK$4=0,0,IF(COUNTIFS(実績!$W$6:$W$505,DK$3,実績!$AI$6:$AI$505,"&lt;="&amp;$A137,実績!$AJ$6:$AJ$505,"&gt;"&amp;$A137,実績!$AK$6:$AK$505,"○")&gt;0,1,0))</f>
        <v>0</v>
      </c>
      <c r="DL137" s="39" t="n">
        <f aca="false">IF(DL$4=0,0,IF(COUNTIFS(実績!$W$6:$W$505,DL$3,実績!$AI$6:$AI$505,"&lt;="&amp;$A137,実績!$AJ$6:$AJ$505,"&gt;"&amp;$A137,実績!$AK$6:$AK$505,"○")&gt;0,1,0))</f>
        <v>0</v>
      </c>
      <c r="DM137" s="39" t="n">
        <f aca="false">IF(DM$4=0,0,IF(COUNTIFS(実績!$W$6:$W$505,DM$3,実績!$AI$6:$AI$505,"&lt;="&amp;$A137,実績!$AJ$6:$AJ$505,"&gt;"&amp;$A137,実績!$AK$6:$AK$505,"○")&gt;0,1,0))</f>
        <v>0</v>
      </c>
      <c r="DN137" s="39" t="n">
        <f aca="false">IF(DN$4=0,0,IF(COUNTIFS(実績!$W$6:$W$505,DN$3,実績!$AI$6:$AI$505,"&lt;="&amp;$A137,実績!$AJ$6:$AJ$505,"&gt;"&amp;$A137,実績!$AK$6:$AK$505,"○")&gt;0,1,0))</f>
        <v>0</v>
      </c>
      <c r="DO137" s="39" t="n">
        <f aca="false">IF(DO$4=0,0,IF(COUNTIFS(実績!$W$6:$W$505,DO$3,実績!$AI$6:$AI$505,"&lt;="&amp;$A137,実績!$AJ$6:$AJ$505,"&gt;"&amp;$A137,実績!$AK$6:$AK$505,"○")&gt;0,1,0))</f>
        <v>0</v>
      </c>
      <c r="DP137" s="39" t="n">
        <f aca="false">IF(DP$4=0,0,IF(COUNTIFS(実績!$W$6:$W$505,DP$3,実績!$AI$6:$AI$505,"&lt;="&amp;$A137,実績!$AJ$6:$AJ$505,"&gt;"&amp;$A137,実績!$AK$6:$AK$505,"○")&gt;0,1,0))</f>
        <v>0</v>
      </c>
      <c r="DQ137" s="39" t="n">
        <f aca="false">IF(DQ$4=0,0,IF(COUNTIFS(実績!$W$6:$W$505,DQ$3,実績!$AI$6:$AI$505,"&lt;="&amp;$A137,実績!$AJ$6:$AJ$505,"&gt;"&amp;$A137,実績!$AK$6:$AK$505,"○")&gt;0,1,0))</f>
        <v>0</v>
      </c>
      <c r="DR137" s="39" t="n">
        <f aca="false">IF(DR$4=0,0,IF(COUNTIFS(実績!$W$6:$W$505,DR$3,実績!$AI$6:$AI$505,"&lt;="&amp;$A137,実績!$AJ$6:$AJ$505,"&gt;"&amp;$A137,実績!$AK$6:$AK$505,"○")&gt;0,1,0))</f>
        <v>0</v>
      </c>
      <c r="DS137" s="39" t="n">
        <f aca="false">SUM(C137:DR137)</f>
        <v>0</v>
      </c>
      <c r="DT137" s="39" t="n">
        <f aca="false">SUMPRODUCT((実績!$C$6:$C$505="○")*ISNUMBER(実績!$AM$6:$AM$505)*(実績!$AM$6:$AM$505&lt;=$A137)*(実績!$AN$6:$AN$505&gt;$A137))</f>
        <v>0</v>
      </c>
      <c r="DU137" s="39" t="n">
        <f aca="false">SUMIF($C$2:$DR$2,"製鉄曳船",C137:DR137)</f>
        <v>0</v>
      </c>
      <c r="DV137" s="39" t="n">
        <f aca="false">SUMIF($C$2:$DR$2,"西日本海運",C137:DR137)</f>
        <v>0</v>
      </c>
    </row>
    <row r="138" customFormat="false" ht="15" hidden="false" customHeight="false" outlineLevel="0" collapsed="false">
      <c r="A138" s="0" t="n">
        <v>660</v>
      </c>
      <c r="B138" s="38" t="n">
        <f aca="false">A138/1440</f>
        <v>0.458333333333333</v>
      </c>
      <c r="C138" s="39" t="n">
        <f aca="false">IF(C$4=0,0,IF(COUNTIFS(実績!$W$6:$W$505,C$3,実績!$AI$6:$AI$505,"&lt;="&amp;$A138,実績!$AJ$6:$AJ$505,"&gt;"&amp;$A138,実績!$AK$6:$AK$505,"○")&gt;0,1,0))</f>
        <v>0</v>
      </c>
      <c r="D138" s="39" t="n">
        <f aca="false">IF(D$4=0,0,IF(COUNTIFS(実績!$W$6:$W$505,D$3,実績!$AI$6:$AI$505,"&lt;="&amp;$A138,実績!$AJ$6:$AJ$505,"&gt;"&amp;$A138,実績!$AK$6:$AK$505,"○")&gt;0,1,0))</f>
        <v>0</v>
      </c>
      <c r="E138" s="39" t="n">
        <f aca="false">IF(E$4=0,0,IF(COUNTIFS(実績!$W$6:$W$505,E$3,実績!$AI$6:$AI$505,"&lt;="&amp;$A138,実績!$AJ$6:$AJ$505,"&gt;"&amp;$A138,実績!$AK$6:$AK$505,"○")&gt;0,1,0))</f>
        <v>0</v>
      </c>
      <c r="F138" s="39" t="n">
        <f aca="false">IF(F$4=0,0,IF(COUNTIFS(実績!$W$6:$W$505,F$3,実績!$AI$6:$AI$505,"&lt;="&amp;$A138,実績!$AJ$6:$AJ$505,"&gt;"&amp;$A138,実績!$AK$6:$AK$505,"○")&gt;0,1,0))</f>
        <v>0</v>
      </c>
      <c r="G138" s="39" t="n">
        <f aca="false">IF(G$4=0,0,IF(COUNTIFS(実績!$W$6:$W$505,G$3,実績!$AI$6:$AI$505,"&lt;="&amp;$A138,実績!$AJ$6:$AJ$505,"&gt;"&amp;$A138,実績!$AK$6:$AK$505,"○")&gt;0,1,0))</f>
        <v>0</v>
      </c>
      <c r="H138" s="39" t="n">
        <f aca="false">IF(H$4=0,0,IF(COUNTIFS(実績!$W$6:$W$505,H$3,実績!$AI$6:$AI$505,"&lt;="&amp;$A138,実績!$AJ$6:$AJ$505,"&gt;"&amp;$A138,実績!$AK$6:$AK$505,"○")&gt;0,1,0))</f>
        <v>0</v>
      </c>
      <c r="I138" s="39" t="n">
        <f aca="false">IF(I$4=0,0,IF(COUNTIFS(実績!$W$6:$W$505,I$3,実績!$AI$6:$AI$505,"&lt;="&amp;$A138,実績!$AJ$6:$AJ$505,"&gt;"&amp;$A138,実績!$AK$6:$AK$505,"○")&gt;0,1,0))</f>
        <v>0</v>
      </c>
      <c r="J138" s="39" t="n">
        <f aca="false">IF(J$4=0,0,IF(COUNTIFS(実績!$W$6:$W$505,J$3,実績!$AI$6:$AI$505,"&lt;="&amp;$A138,実績!$AJ$6:$AJ$505,"&gt;"&amp;$A138,実績!$AK$6:$AK$505,"○")&gt;0,1,0))</f>
        <v>0</v>
      </c>
      <c r="K138" s="39" t="n">
        <f aca="false">IF(K$4=0,0,IF(COUNTIFS(実績!$W$6:$W$505,K$3,実績!$AI$6:$AI$505,"&lt;="&amp;$A138,実績!$AJ$6:$AJ$505,"&gt;"&amp;$A138,実績!$AK$6:$AK$505,"○")&gt;0,1,0))</f>
        <v>0</v>
      </c>
      <c r="L138" s="39" t="n">
        <f aca="false">IF(L$4=0,0,IF(COUNTIFS(実績!$W$6:$W$505,L$3,実績!$AI$6:$AI$505,"&lt;="&amp;$A138,実績!$AJ$6:$AJ$505,"&gt;"&amp;$A138,実績!$AK$6:$AK$505,"○")&gt;0,1,0))</f>
        <v>0</v>
      </c>
      <c r="M138" s="39" t="n">
        <f aca="false">IF(M$4=0,0,IF(COUNTIFS(実績!$W$6:$W$505,M$3,実績!$AI$6:$AI$505,"&lt;="&amp;$A138,実績!$AJ$6:$AJ$505,"&gt;"&amp;$A138,実績!$AK$6:$AK$505,"○")&gt;0,1,0))</f>
        <v>0</v>
      </c>
      <c r="N138" s="39" t="n">
        <f aca="false">IF(N$4=0,0,IF(COUNTIFS(実績!$W$6:$W$505,N$3,実績!$AI$6:$AI$505,"&lt;="&amp;$A138,実績!$AJ$6:$AJ$505,"&gt;"&amp;$A138,実績!$AK$6:$AK$505,"○")&gt;0,1,0))</f>
        <v>0</v>
      </c>
      <c r="O138" s="39" t="n">
        <f aca="false">IF(O$4=0,0,IF(COUNTIFS(実績!$W$6:$W$505,O$3,実績!$AI$6:$AI$505,"&lt;="&amp;$A138,実績!$AJ$6:$AJ$505,"&gt;"&amp;$A138,実績!$AK$6:$AK$505,"○")&gt;0,1,0))</f>
        <v>0</v>
      </c>
      <c r="P138" s="39" t="n">
        <f aca="false">IF(P$4=0,0,IF(COUNTIFS(実績!$W$6:$W$505,P$3,実績!$AI$6:$AI$505,"&lt;="&amp;$A138,実績!$AJ$6:$AJ$505,"&gt;"&amp;$A138,実績!$AK$6:$AK$505,"○")&gt;0,1,0))</f>
        <v>0</v>
      </c>
      <c r="Q138" s="39" t="n">
        <f aca="false">IF(Q$4=0,0,IF(COUNTIFS(実績!$W$6:$W$505,Q$3,実績!$AI$6:$AI$505,"&lt;="&amp;$A138,実績!$AJ$6:$AJ$505,"&gt;"&amp;$A138,実績!$AK$6:$AK$505,"○")&gt;0,1,0))</f>
        <v>0</v>
      </c>
      <c r="R138" s="39" t="n">
        <f aca="false">IF(R$4=0,0,IF(COUNTIFS(実績!$W$6:$W$505,R$3,実績!$AI$6:$AI$505,"&lt;="&amp;$A138,実績!$AJ$6:$AJ$505,"&gt;"&amp;$A138,実績!$AK$6:$AK$505,"○")&gt;0,1,0))</f>
        <v>0</v>
      </c>
      <c r="S138" s="39" t="n">
        <f aca="false">IF(S$4=0,0,IF(COUNTIFS(実績!$W$6:$W$505,S$3,実績!$AI$6:$AI$505,"&lt;="&amp;$A138,実績!$AJ$6:$AJ$505,"&gt;"&amp;$A138,実績!$AK$6:$AK$505,"○")&gt;0,1,0))</f>
        <v>0</v>
      </c>
      <c r="T138" s="39" t="n">
        <f aca="false">IF(T$4=0,0,IF(COUNTIFS(実績!$W$6:$W$505,T$3,実績!$AI$6:$AI$505,"&lt;="&amp;$A138,実績!$AJ$6:$AJ$505,"&gt;"&amp;$A138,実績!$AK$6:$AK$505,"○")&gt;0,1,0))</f>
        <v>0</v>
      </c>
      <c r="U138" s="39" t="n">
        <f aca="false">IF(U$4=0,0,IF(COUNTIFS(実績!$W$6:$W$505,U$3,実績!$AI$6:$AI$505,"&lt;="&amp;$A138,実績!$AJ$6:$AJ$505,"&gt;"&amp;$A138,実績!$AK$6:$AK$505,"○")&gt;0,1,0))</f>
        <v>0</v>
      </c>
      <c r="V138" s="39" t="n">
        <f aca="false">IF(V$4=0,0,IF(COUNTIFS(実績!$W$6:$W$505,V$3,実績!$AI$6:$AI$505,"&lt;="&amp;$A138,実績!$AJ$6:$AJ$505,"&gt;"&amp;$A138,実績!$AK$6:$AK$505,"○")&gt;0,1,0))</f>
        <v>0</v>
      </c>
      <c r="W138" s="39" t="n">
        <f aca="false">IF(W$4=0,0,IF(COUNTIFS(実績!$W$6:$W$505,W$3,実績!$AI$6:$AI$505,"&lt;="&amp;$A138,実績!$AJ$6:$AJ$505,"&gt;"&amp;$A138,実績!$AK$6:$AK$505,"○")&gt;0,1,0))</f>
        <v>0</v>
      </c>
      <c r="X138" s="39" t="n">
        <f aca="false">IF(X$4=0,0,IF(COUNTIFS(実績!$W$6:$W$505,X$3,実績!$AI$6:$AI$505,"&lt;="&amp;$A138,実績!$AJ$6:$AJ$505,"&gt;"&amp;$A138,実績!$AK$6:$AK$505,"○")&gt;0,1,0))</f>
        <v>0</v>
      </c>
      <c r="Y138" s="39" t="n">
        <f aca="false">IF(Y$4=0,0,IF(COUNTIFS(実績!$W$6:$W$505,Y$3,実績!$AI$6:$AI$505,"&lt;="&amp;$A138,実績!$AJ$6:$AJ$505,"&gt;"&amp;$A138,実績!$AK$6:$AK$505,"○")&gt;0,1,0))</f>
        <v>0</v>
      </c>
      <c r="Z138" s="39" t="n">
        <f aca="false">IF(Z$4=0,0,IF(COUNTIFS(実績!$W$6:$W$505,Z$3,実績!$AI$6:$AI$505,"&lt;="&amp;$A138,実績!$AJ$6:$AJ$505,"&gt;"&amp;$A138,実績!$AK$6:$AK$505,"○")&gt;0,1,0))</f>
        <v>0</v>
      </c>
      <c r="AA138" s="39" t="n">
        <f aca="false">IF(AA$4=0,0,IF(COUNTIFS(実績!$W$6:$W$505,AA$3,実績!$AI$6:$AI$505,"&lt;="&amp;$A138,実績!$AJ$6:$AJ$505,"&gt;"&amp;$A138,実績!$AK$6:$AK$505,"○")&gt;0,1,0))</f>
        <v>0</v>
      </c>
      <c r="AB138" s="39" t="n">
        <f aca="false">IF(AB$4=0,0,IF(COUNTIFS(実績!$W$6:$W$505,AB$3,実績!$AI$6:$AI$505,"&lt;="&amp;$A138,実績!$AJ$6:$AJ$505,"&gt;"&amp;$A138,実績!$AK$6:$AK$505,"○")&gt;0,1,0))</f>
        <v>0</v>
      </c>
      <c r="AC138" s="39" t="n">
        <f aca="false">IF(AC$4=0,0,IF(COUNTIFS(実績!$W$6:$W$505,AC$3,実績!$AI$6:$AI$505,"&lt;="&amp;$A138,実績!$AJ$6:$AJ$505,"&gt;"&amp;$A138,実績!$AK$6:$AK$505,"○")&gt;0,1,0))</f>
        <v>0</v>
      </c>
      <c r="AD138" s="39" t="n">
        <f aca="false">IF(AD$4=0,0,IF(COUNTIFS(実績!$W$6:$W$505,AD$3,実績!$AI$6:$AI$505,"&lt;="&amp;$A138,実績!$AJ$6:$AJ$505,"&gt;"&amp;$A138,実績!$AK$6:$AK$505,"○")&gt;0,1,0))</f>
        <v>0</v>
      </c>
      <c r="AE138" s="39" t="n">
        <f aca="false">IF(AE$4=0,0,IF(COUNTIFS(実績!$W$6:$W$505,AE$3,実績!$AI$6:$AI$505,"&lt;="&amp;$A138,実績!$AJ$6:$AJ$505,"&gt;"&amp;$A138,実績!$AK$6:$AK$505,"○")&gt;0,1,0))</f>
        <v>0</v>
      </c>
      <c r="AF138" s="39" t="n">
        <f aca="false">IF(AF$4=0,0,IF(COUNTIFS(実績!$W$6:$W$505,AF$3,実績!$AI$6:$AI$505,"&lt;="&amp;$A138,実績!$AJ$6:$AJ$505,"&gt;"&amp;$A138,実績!$AK$6:$AK$505,"○")&gt;0,1,0))</f>
        <v>0</v>
      </c>
      <c r="AG138" s="39" t="n">
        <f aca="false">IF(AG$4=0,0,IF(COUNTIFS(実績!$W$6:$W$505,AG$3,実績!$AI$6:$AI$505,"&lt;="&amp;$A138,実績!$AJ$6:$AJ$505,"&gt;"&amp;$A138,実績!$AK$6:$AK$505,"○")&gt;0,1,0))</f>
        <v>0</v>
      </c>
      <c r="AH138" s="39" t="n">
        <f aca="false">IF(AH$4=0,0,IF(COUNTIFS(実績!$W$6:$W$505,AH$3,実績!$AI$6:$AI$505,"&lt;="&amp;$A138,実績!$AJ$6:$AJ$505,"&gt;"&amp;$A138,実績!$AK$6:$AK$505,"○")&gt;0,1,0))</f>
        <v>0</v>
      </c>
      <c r="AI138" s="39" t="n">
        <f aca="false">IF(AI$4=0,0,IF(COUNTIFS(実績!$W$6:$W$505,AI$3,実績!$AI$6:$AI$505,"&lt;="&amp;$A138,実績!$AJ$6:$AJ$505,"&gt;"&amp;$A138,実績!$AK$6:$AK$505,"○")&gt;0,1,0))</f>
        <v>0</v>
      </c>
      <c r="AJ138" s="39" t="n">
        <f aca="false">IF(AJ$4=0,0,IF(COUNTIFS(実績!$W$6:$W$505,AJ$3,実績!$AI$6:$AI$505,"&lt;="&amp;$A138,実績!$AJ$6:$AJ$505,"&gt;"&amp;$A138,実績!$AK$6:$AK$505,"○")&gt;0,1,0))</f>
        <v>0</v>
      </c>
      <c r="AK138" s="39" t="n">
        <f aca="false">IF(AK$4=0,0,IF(COUNTIFS(実績!$W$6:$W$505,AK$3,実績!$AI$6:$AI$505,"&lt;="&amp;$A138,実績!$AJ$6:$AJ$505,"&gt;"&amp;$A138,実績!$AK$6:$AK$505,"○")&gt;0,1,0))</f>
        <v>0</v>
      </c>
      <c r="AL138" s="39" t="n">
        <f aca="false">IF(AL$4=0,0,IF(COUNTIFS(実績!$W$6:$W$505,AL$3,実績!$AI$6:$AI$505,"&lt;="&amp;$A138,実績!$AJ$6:$AJ$505,"&gt;"&amp;$A138,実績!$AK$6:$AK$505,"○")&gt;0,1,0))</f>
        <v>0</v>
      </c>
      <c r="AM138" s="39" t="n">
        <f aca="false">IF(AM$4=0,0,IF(COUNTIFS(実績!$W$6:$W$505,AM$3,実績!$AI$6:$AI$505,"&lt;="&amp;$A138,実績!$AJ$6:$AJ$505,"&gt;"&amp;$A138,実績!$AK$6:$AK$505,"○")&gt;0,1,0))</f>
        <v>0</v>
      </c>
      <c r="AN138" s="39" t="n">
        <f aca="false">IF(AN$4=0,0,IF(COUNTIFS(実績!$W$6:$W$505,AN$3,実績!$AI$6:$AI$505,"&lt;="&amp;$A138,実績!$AJ$6:$AJ$505,"&gt;"&amp;$A138,実績!$AK$6:$AK$505,"○")&gt;0,1,0))</f>
        <v>0</v>
      </c>
      <c r="AO138" s="39" t="n">
        <f aca="false">IF(AO$4=0,0,IF(COUNTIFS(実績!$W$6:$W$505,AO$3,実績!$AI$6:$AI$505,"&lt;="&amp;$A138,実績!$AJ$6:$AJ$505,"&gt;"&amp;$A138,実績!$AK$6:$AK$505,"○")&gt;0,1,0))</f>
        <v>0</v>
      </c>
      <c r="AP138" s="39" t="n">
        <f aca="false">IF(AP$4=0,0,IF(COUNTIFS(実績!$W$6:$W$505,AP$3,実績!$AI$6:$AI$505,"&lt;="&amp;$A138,実績!$AJ$6:$AJ$505,"&gt;"&amp;$A138,実績!$AK$6:$AK$505,"○")&gt;0,1,0))</f>
        <v>0</v>
      </c>
      <c r="AQ138" s="39" t="n">
        <f aca="false">IF(AQ$4=0,0,IF(COUNTIFS(実績!$W$6:$W$505,AQ$3,実績!$AI$6:$AI$505,"&lt;="&amp;$A138,実績!$AJ$6:$AJ$505,"&gt;"&amp;$A138,実績!$AK$6:$AK$505,"○")&gt;0,1,0))</f>
        <v>0</v>
      </c>
      <c r="AR138" s="39" t="n">
        <f aca="false">IF(AR$4=0,0,IF(COUNTIFS(実績!$W$6:$W$505,AR$3,実績!$AI$6:$AI$505,"&lt;="&amp;$A138,実績!$AJ$6:$AJ$505,"&gt;"&amp;$A138,実績!$AK$6:$AK$505,"○")&gt;0,1,0))</f>
        <v>0</v>
      </c>
      <c r="AS138" s="39" t="n">
        <f aca="false">IF(AS$4=0,0,IF(COUNTIFS(実績!$W$6:$W$505,AS$3,実績!$AI$6:$AI$505,"&lt;="&amp;$A138,実績!$AJ$6:$AJ$505,"&gt;"&amp;$A138,実績!$AK$6:$AK$505,"○")&gt;0,1,0))</f>
        <v>0</v>
      </c>
      <c r="AT138" s="39" t="n">
        <f aca="false">IF(AT$4=0,0,IF(COUNTIFS(実績!$W$6:$W$505,AT$3,実績!$AI$6:$AI$505,"&lt;="&amp;$A138,実績!$AJ$6:$AJ$505,"&gt;"&amp;$A138,実績!$AK$6:$AK$505,"○")&gt;0,1,0))</f>
        <v>0</v>
      </c>
      <c r="AU138" s="39" t="n">
        <f aca="false">IF(AU$4=0,0,IF(COUNTIFS(実績!$W$6:$W$505,AU$3,実績!$AI$6:$AI$505,"&lt;="&amp;$A138,実績!$AJ$6:$AJ$505,"&gt;"&amp;$A138,実績!$AK$6:$AK$505,"○")&gt;0,1,0))</f>
        <v>0</v>
      </c>
      <c r="AV138" s="39" t="n">
        <f aca="false">IF(AV$4=0,0,IF(COUNTIFS(実績!$W$6:$W$505,AV$3,実績!$AI$6:$AI$505,"&lt;="&amp;$A138,実績!$AJ$6:$AJ$505,"&gt;"&amp;$A138,実績!$AK$6:$AK$505,"○")&gt;0,1,0))</f>
        <v>0</v>
      </c>
      <c r="AW138" s="39" t="n">
        <f aca="false">IF(AW$4=0,0,IF(COUNTIFS(実績!$W$6:$W$505,AW$3,実績!$AI$6:$AI$505,"&lt;="&amp;$A138,実績!$AJ$6:$AJ$505,"&gt;"&amp;$A138,実績!$AK$6:$AK$505,"○")&gt;0,1,0))</f>
        <v>0</v>
      </c>
      <c r="AX138" s="39" t="n">
        <f aca="false">IF(AX$4=0,0,IF(COUNTIFS(実績!$W$6:$W$505,AX$3,実績!$AI$6:$AI$505,"&lt;="&amp;$A138,実績!$AJ$6:$AJ$505,"&gt;"&amp;$A138,実績!$AK$6:$AK$505,"○")&gt;0,1,0))</f>
        <v>0</v>
      </c>
      <c r="AY138" s="39" t="n">
        <f aca="false">IF(AY$4=0,0,IF(COUNTIFS(実績!$W$6:$W$505,AY$3,実績!$AI$6:$AI$505,"&lt;="&amp;$A138,実績!$AJ$6:$AJ$505,"&gt;"&amp;$A138,実績!$AK$6:$AK$505,"○")&gt;0,1,0))</f>
        <v>0</v>
      </c>
      <c r="AZ138" s="39" t="n">
        <f aca="false">IF(AZ$4=0,0,IF(COUNTIFS(実績!$W$6:$W$505,AZ$3,実績!$AI$6:$AI$505,"&lt;="&amp;$A138,実績!$AJ$6:$AJ$505,"&gt;"&amp;$A138,実績!$AK$6:$AK$505,"○")&gt;0,1,0))</f>
        <v>0</v>
      </c>
      <c r="BA138" s="39" t="n">
        <f aca="false">IF(BA$4=0,0,IF(COUNTIFS(実績!$W$6:$W$505,BA$3,実績!$AI$6:$AI$505,"&lt;="&amp;$A138,実績!$AJ$6:$AJ$505,"&gt;"&amp;$A138,実績!$AK$6:$AK$505,"○")&gt;0,1,0))</f>
        <v>0</v>
      </c>
      <c r="BB138" s="39" t="n">
        <f aca="false">IF(BB$4=0,0,IF(COUNTIFS(実績!$W$6:$W$505,BB$3,実績!$AI$6:$AI$505,"&lt;="&amp;$A138,実績!$AJ$6:$AJ$505,"&gt;"&amp;$A138,実績!$AK$6:$AK$505,"○")&gt;0,1,0))</f>
        <v>0</v>
      </c>
      <c r="BC138" s="39" t="n">
        <f aca="false">IF(BC$4=0,0,IF(COUNTIFS(実績!$W$6:$W$505,BC$3,実績!$AI$6:$AI$505,"&lt;="&amp;$A138,実績!$AJ$6:$AJ$505,"&gt;"&amp;$A138,実績!$AK$6:$AK$505,"○")&gt;0,1,0))</f>
        <v>0</v>
      </c>
      <c r="BD138" s="39" t="n">
        <f aca="false">IF(BD$4=0,0,IF(COUNTIFS(実績!$W$6:$W$505,BD$3,実績!$AI$6:$AI$505,"&lt;="&amp;$A138,実績!$AJ$6:$AJ$505,"&gt;"&amp;$A138,実績!$AK$6:$AK$505,"○")&gt;0,1,0))</f>
        <v>0</v>
      </c>
      <c r="BE138" s="39" t="n">
        <f aca="false">IF(BE$4=0,0,IF(COUNTIFS(実績!$W$6:$W$505,BE$3,実績!$AI$6:$AI$505,"&lt;="&amp;$A138,実績!$AJ$6:$AJ$505,"&gt;"&amp;$A138,実績!$AK$6:$AK$505,"○")&gt;0,1,0))</f>
        <v>0</v>
      </c>
      <c r="BF138" s="39" t="n">
        <f aca="false">IF(BF$4=0,0,IF(COUNTIFS(実績!$W$6:$W$505,BF$3,実績!$AI$6:$AI$505,"&lt;="&amp;$A138,実績!$AJ$6:$AJ$505,"&gt;"&amp;$A138,実績!$AK$6:$AK$505,"○")&gt;0,1,0))</f>
        <v>0</v>
      </c>
      <c r="BG138" s="39" t="n">
        <f aca="false">IF(BG$4=0,0,IF(COUNTIFS(実績!$W$6:$W$505,BG$3,実績!$AI$6:$AI$505,"&lt;="&amp;$A138,実績!$AJ$6:$AJ$505,"&gt;"&amp;$A138,実績!$AK$6:$AK$505,"○")&gt;0,1,0))</f>
        <v>0</v>
      </c>
      <c r="BH138" s="39" t="n">
        <f aca="false">IF(BH$4=0,0,IF(COUNTIFS(実績!$W$6:$W$505,BH$3,実績!$AI$6:$AI$505,"&lt;="&amp;$A138,実績!$AJ$6:$AJ$505,"&gt;"&amp;$A138,実績!$AK$6:$AK$505,"○")&gt;0,1,0))</f>
        <v>0</v>
      </c>
      <c r="BI138" s="39" t="n">
        <f aca="false">IF(BI$4=0,0,IF(COUNTIFS(実績!$W$6:$W$505,BI$3,実績!$AI$6:$AI$505,"&lt;="&amp;$A138,実績!$AJ$6:$AJ$505,"&gt;"&amp;$A138,実績!$AK$6:$AK$505,"○")&gt;0,1,0))</f>
        <v>0</v>
      </c>
      <c r="BJ138" s="39" t="n">
        <f aca="false">IF(BJ$4=0,0,IF(COUNTIFS(実績!$W$6:$W$505,BJ$3,実績!$AI$6:$AI$505,"&lt;="&amp;$A138,実績!$AJ$6:$AJ$505,"&gt;"&amp;$A138,実績!$AK$6:$AK$505,"○")&gt;0,1,0))</f>
        <v>0</v>
      </c>
      <c r="BK138" s="39" t="n">
        <f aca="false">IF(BK$4=0,0,IF(COUNTIFS(実績!$W$6:$W$505,BK$3,実績!$AI$6:$AI$505,"&lt;="&amp;$A138,実績!$AJ$6:$AJ$505,"&gt;"&amp;$A138,実績!$AK$6:$AK$505,"○")&gt;0,1,0))</f>
        <v>0</v>
      </c>
      <c r="BL138" s="39" t="n">
        <f aca="false">IF(BL$4=0,0,IF(COUNTIFS(実績!$W$6:$W$505,BL$3,実績!$AI$6:$AI$505,"&lt;="&amp;$A138,実績!$AJ$6:$AJ$505,"&gt;"&amp;$A138,実績!$AK$6:$AK$505,"○")&gt;0,1,0))</f>
        <v>0</v>
      </c>
      <c r="BM138" s="39" t="n">
        <f aca="false">IF(BM$4=0,0,IF(COUNTIFS(実績!$W$6:$W$505,BM$3,実績!$AI$6:$AI$505,"&lt;="&amp;$A138,実績!$AJ$6:$AJ$505,"&gt;"&amp;$A138,実績!$AK$6:$AK$505,"○")&gt;0,1,0))</f>
        <v>0</v>
      </c>
      <c r="BN138" s="39" t="n">
        <f aca="false">IF(BN$4=0,0,IF(COUNTIFS(実績!$W$6:$W$505,BN$3,実績!$AI$6:$AI$505,"&lt;="&amp;$A138,実績!$AJ$6:$AJ$505,"&gt;"&amp;$A138,実績!$AK$6:$AK$505,"○")&gt;0,1,0))</f>
        <v>0</v>
      </c>
      <c r="BO138" s="39" t="n">
        <f aca="false">IF(BO$4=0,0,IF(COUNTIFS(実績!$W$6:$W$505,BO$3,実績!$AI$6:$AI$505,"&lt;="&amp;$A138,実績!$AJ$6:$AJ$505,"&gt;"&amp;$A138,実績!$AK$6:$AK$505,"○")&gt;0,1,0))</f>
        <v>0</v>
      </c>
      <c r="BP138" s="39" t="n">
        <f aca="false">IF(BP$4=0,0,IF(COUNTIFS(実績!$W$6:$W$505,BP$3,実績!$AI$6:$AI$505,"&lt;="&amp;$A138,実績!$AJ$6:$AJ$505,"&gt;"&amp;$A138,実績!$AK$6:$AK$505,"○")&gt;0,1,0))</f>
        <v>0</v>
      </c>
      <c r="BQ138" s="39" t="n">
        <f aca="false">IF(BQ$4=0,0,IF(COUNTIFS(実績!$W$6:$W$505,BQ$3,実績!$AI$6:$AI$505,"&lt;="&amp;$A138,実績!$AJ$6:$AJ$505,"&gt;"&amp;$A138,実績!$AK$6:$AK$505,"○")&gt;0,1,0))</f>
        <v>0</v>
      </c>
      <c r="BR138" s="39" t="n">
        <f aca="false">IF(BR$4=0,0,IF(COUNTIFS(実績!$W$6:$W$505,BR$3,実績!$AI$6:$AI$505,"&lt;="&amp;$A138,実績!$AJ$6:$AJ$505,"&gt;"&amp;$A138,実績!$AK$6:$AK$505,"○")&gt;0,1,0))</f>
        <v>0</v>
      </c>
      <c r="BS138" s="39" t="n">
        <f aca="false">IF(BS$4=0,0,IF(COUNTIFS(実績!$W$6:$W$505,BS$3,実績!$AI$6:$AI$505,"&lt;="&amp;$A138,実績!$AJ$6:$AJ$505,"&gt;"&amp;$A138,実績!$AK$6:$AK$505,"○")&gt;0,1,0))</f>
        <v>0</v>
      </c>
      <c r="BT138" s="39" t="n">
        <f aca="false">IF(BT$4=0,0,IF(COUNTIFS(実績!$W$6:$W$505,BT$3,実績!$AI$6:$AI$505,"&lt;="&amp;$A138,実績!$AJ$6:$AJ$505,"&gt;"&amp;$A138,実績!$AK$6:$AK$505,"○")&gt;0,1,0))</f>
        <v>0</v>
      </c>
      <c r="BU138" s="39" t="n">
        <f aca="false">IF(BU$4=0,0,IF(COUNTIFS(実績!$W$6:$W$505,BU$3,実績!$AI$6:$AI$505,"&lt;="&amp;$A138,実績!$AJ$6:$AJ$505,"&gt;"&amp;$A138,実績!$AK$6:$AK$505,"○")&gt;0,1,0))</f>
        <v>0</v>
      </c>
      <c r="BV138" s="39" t="n">
        <f aca="false">IF(BV$4=0,0,IF(COUNTIFS(実績!$W$6:$W$505,BV$3,実績!$AI$6:$AI$505,"&lt;="&amp;$A138,実績!$AJ$6:$AJ$505,"&gt;"&amp;$A138,実績!$AK$6:$AK$505,"○")&gt;0,1,0))</f>
        <v>0</v>
      </c>
      <c r="BW138" s="39" t="n">
        <f aca="false">IF(BW$4=0,0,IF(COUNTIFS(実績!$W$6:$W$505,BW$3,実績!$AI$6:$AI$505,"&lt;="&amp;$A138,実績!$AJ$6:$AJ$505,"&gt;"&amp;$A138,実績!$AK$6:$AK$505,"○")&gt;0,1,0))</f>
        <v>0</v>
      </c>
      <c r="BX138" s="39" t="n">
        <f aca="false">IF(BX$4=0,0,IF(COUNTIFS(実績!$W$6:$W$505,BX$3,実績!$AI$6:$AI$505,"&lt;="&amp;$A138,実績!$AJ$6:$AJ$505,"&gt;"&amp;$A138,実績!$AK$6:$AK$505,"○")&gt;0,1,0))</f>
        <v>0</v>
      </c>
      <c r="BY138" s="39" t="n">
        <f aca="false">IF(BY$4=0,0,IF(COUNTIFS(実績!$W$6:$W$505,BY$3,実績!$AI$6:$AI$505,"&lt;="&amp;$A138,実績!$AJ$6:$AJ$505,"&gt;"&amp;$A138,実績!$AK$6:$AK$505,"○")&gt;0,1,0))</f>
        <v>0</v>
      </c>
      <c r="BZ138" s="39" t="n">
        <f aca="false">IF(BZ$4=0,0,IF(COUNTIFS(実績!$W$6:$W$505,BZ$3,実績!$AI$6:$AI$505,"&lt;="&amp;$A138,実績!$AJ$6:$AJ$505,"&gt;"&amp;$A138,実績!$AK$6:$AK$505,"○")&gt;0,1,0))</f>
        <v>0</v>
      </c>
      <c r="CA138" s="39" t="n">
        <f aca="false">IF(CA$4=0,0,IF(COUNTIFS(実績!$W$6:$W$505,CA$3,実績!$AI$6:$AI$505,"&lt;="&amp;$A138,実績!$AJ$6:$AJ$505,"&gt;"&amp;$A138,実績!$AK$6:$AK$505,"○")&gt;0,1,0))</f>
        <v>0</v>
      </c>
      <c r="CB138" s="39" t="n">
        <f aca="false">IF(CB$4=0,0,IF(COUNTIFS(実績!$W$6:$W$505,CB$3,実績!$AI$6:$AI$505,"&lt;="&amp;$A138,実績!$AJ$6:$AJ$505,"&gt;"&amp;$A138,実績!$AK$6:$AK$505,"○")&gt;0,1,0))</f>
        <v>0</v>
      </c>
      <c r="CC138" s="39" t="n">
        <f aca="false">IF(CC$4=0,0,IF(COUNTIFS(実績!$W$6:$W$505,CC$3,実績!$AI$6:$AI$505,"&lt;="&amp;$A138,実績!$AJ$6:$AJ$505,"&gt;"&amp;$A138,実績!$AK$6:$AK$505,"○")&gt;0,1,0))</f>
        <v>0</v>
      </c>
      <c r="CD138" s="39" t="n">
        <f aca="false">IF(CD$4=0,0,IF(COUNTIFS(実績!$W$6:$W$505,CD$3,実績!$AI$6:$AI$505,"&lt;="&amp;$A138,実績!$AJ$6:$AJ$505,"&gt;"&amp;$A138,実績!$AK$6:$AK$505,"○")&gt;0,1,0))</f>
        <v>0</v>
      </c>
      <c r="CE138" s="39" t="n">
        <f aca="false">IF(CE$4=0,0,IF(COUNTIFS(実績!$W$6:$W$505,CE$3,実績!$AI$6:$AI$505,"&lt;="&amp;$A138,実績!$AJ$6:$AJ$505,"&gt;"&amp;$A138,実績!$AK$6:$AK$505,"○")&gt;0,1,0))</f>
        <v>0</v>
      </c>
      <c r="CF138" s="39" t="n">
        <f aca="false">IF(CF$4=0,0,IF(COUNTIFS(実績!$W$6:$W$505,CF$3,実績!$AI$6:$AI$505,"&lt;="&amp;$A138,実績!$AJ$6:$AJ$505,"&gt;"&amp;$A138,実績!$AK$6:$AK$505,"○")&gt;0,1,0))</f>
        <v>0</v>
      </c>
      <c r="CG138" s="39" t="n">
        <f aca="false">IF(CG$4=0,0,IF(COUNTIFS(実績!$W$6:$W$505,CG$3,実績!$AI$6:$AI$505,"&lt;="&amp;$A138,実績!$AJ$6:$AJ$505,"&gt;"&amp;$A138,実績!$AK$6:$AK$505,"○")&gt;0,1,0))</f>
        <v>0</v>
      </c>
      <c r="CH138" s="39" t="n">
        <f aca="false">IF(CH$4=0,0,IF(COUNTIFS(実績!$W$6:$W$505,CH$3,実績!$AI$6:$AI$505,"&lt;="&amp;$A138,実績!$AJ$6:$AJ$505,"&gt;"&amp;$A138,実績!$AK$6:$AK$505,"○")&gt;0,1,0))</f>
        <v>0</v>
      </c>
      <c r="CI138" s="39" t="n">
        <f aca="false">IF(CI$4=0,0,IF(COUNTIFS(実績!$W$6:$W$505,CI$3,実績!$AI$6:$AI$505,"&lt;="&amp;$A138,実績!$AJ$6:$AJ$505,"&gt;"&amp;$A138,実績!$AK$6:$AK$505,"○")&gt;0,1,0))</f>
        <v>0</v>
      </c>
      <c r="CJ138" s="39" t="n">
        <f aca="false">IF(CJ$4=0,0,IF(COUNTIFS(実績!$W$6:$W$505,CJ$3,実績!$AI$6:$AI$505,"&lt;="&amp;$A138,実績!$AJ$6:$AJ$505,"&gt;"&amp;$A138,実績!$AK$6:$AK$505,"○")&gt;0,1,0))</f>
        <v>0</v>
      </c>
      <c r="CK138" s="39" t="n">
        <f aca="false">IF(CK$4=0,0,IF(COUNTIFS(実績!$W$6:$W$505,CK$3,実績!$AI$6:$AI$505,"&lt;="&amp;$A138,実績!$AJ$6:$AJ$505,"&gt;"&amp;$A138,実績!$AK$6:$AK$505,"○")&gt;0,1,0))</f>
        <v>0</v>
      </c>
      <c r="CL138" s="39" t="n">
        <f aca="false">IF(CL$4=0,0,IF(COUNTIFS(実績!$W$6:$W$505,CL$3,実績!$AI$6:$AI$505,"&lt;="&amp;$A138,実績!$AJ$6:$AJ$505,"&gt;"&amp;$A138,実績!$AK$6:$AK$505,"○")&gt;0,1,0))</f>
        <v>0</v>
      </c>
      <c r="CM138" s="39" t="n">
        <f aca="false">IF(CM$4=0,0,IF(COUNTIFS(実績!$W$6:$W$505,CM$3,実績!$AI$6:$AI$505,"&lt;="&amp;$A138,実績!$AJ$6:$AJ$505,"&gt;"&amp;$A138,実績!$AK$6:$AK$505,"○")&gt;0,1,0))</f>
        <v>0</v>
      </c>
      <c r="CN138" s="39" t="n">
        <f aca="false">IF(CN$4=0,0,IF(COUNTIFS(実績!$W$6:$W$505,CN$3,実績!$AI$6:$AI$505,"&lt;="&amp;$A138,実績!$AJ$6:$AJ$505,"&gt;"&amp;$A138,実績!$AK$6:$AK$505,"○")&gt;0,1,0))</f>
        <v>0</v>
      </c>
      <c r="CO138" s="39" t="n">
        <f aca="false">IF(CO$4=0,0,IF(COUNTIFS(実績!$W$6:$W$505,CO$3,実績!$AI$6:$AI$505,"&lt;="&amp;$A138,実績!$AJ$6:$AJ$505,"&gt;"&amp;$A138,実績!$AK$6:$AK$505,"○")&gt;0,1,0))</f>
        <v>0</v>
      </c>
      <c r="CP138" s="39" t="n">
        <f aca="false">IF(CP$4=0,0,IF(COUNTIFS(実績!$W$6:$W$505,CP$3,実績!$AI$6:$AI$505,"&lt;="&amp;$A138,実績!$AJ$6:$AJ$505,"&gt;"&amp;$A138,実績!$AK$6:$AK$505,"○")&gt;0,1,0))</f>
        <v>0</v>
      </c>
      <c r="CQ138" s="39" t="n">
        <f aca="false">IF(CQ$4=0,0,IF(COUNTIFS(実績!$W$6:$W$505,CQ$3,実績!$AI$6:$AI$505,"&lt;="&amp;$A138,実績!$AJ$6:$AJ$505,"&gt;"&amp;$A138,実績!$AK$6:$AK$505,"○")&gt;0,1,0))</f>
        <v>0</v>
      </c>
      <c r="CR138" s="39" t="n">
        <f aca="false">IF(CR$4=0,0,IF(COUNTIFS(実績!$W$6:$W$505,CR$3,実績!$AI$6:$AI$505,"&lt;="&amp;$A138,実績!$AJ$6:$AJ$505,"&gt;"&amp;$A138,実績!$AK$6:$AK$505,"○")&gt;0,1,0))</f>
        <v>0</v>
      </c>
      <c r="CS138" s="39" t="n">
        <f aca="false">IF(CS$4=0,0,IF(COUNTIFS(実績!$W$6:$W$505,CS$3,実績!$AI$6:$AI$505,"&lt;="&amp;$A138,実績!$AJ$6:$AJ$505,"&gt;"&amp;$A138,実績!$AK$6:$AK$505,"○")&gt;0,1,0))</f>
        <v>0</v>
      </c>
      <c r="CT138" s="39" t="n">
        <f aca="false">IF(CT$4=0,0,IF(COUNTIFS(実績!$W$6:$W$505,CT$3,実績!$AI$6:$AI$505,"&lt;="&amp;$A138,実績!$AJ$6:$AJ$505,"&gt;"&amp;$A138,実績!$AK$6:$AK$505,"○")&gt;0,1,0))</f>
        <v>0</v>
      </c>
      <c r="CU138" s="39" t="n">
        <f aca="false">IF(CU$4=0,0,IF(COUNTIFS(実績!$W$6:$W$505,CU$3,実績!$AI$6:$AI$505,"&lt;="&amp;$A138,実績!$AJ$6:$AJ$505,"&gt;"&amp;$A138,実績!$AK$6:$AK$505,"○")&gt;0,1,0))</f>
        <v>0</v>
      </c>
      <c r="CV138" s="39" t="n">
        <f aca="false">IF(CV$4=0,0,IF(COUNTIFS(実績!$W$6:$W$505,CV$3,実績!$AI$6:$AI$505,"&lt;="&amp;$A138,実績!$AJ$6:$AJ$505,"&gt;"&amp;$A138,実績!$AK$6:$AK$505,"○")&gt;0,1,0))</f>
        <v>0</v>
      </c>
      <c r="CW138" s="39" t="n">
        <f aca="false">IF(CW$4=0,0,IF(COUNTIFS(実績!$W$6:$W$505,CW$3,実績!$AI$6:$AI$505,"&lt;="&amp;$A138,実績!$AJ$6:$AJ$505,"&gt;"&amp;$A138,実績!$AK$6:$AK$505,"○")&gt;0,1,0))</f>
        <v>0</v>
      </c>
      <c r="CX138" s="39" t="n">
        <f aca="false">IF(CX$4=0,0,IF(COUNTIFS(実績!$W$6:$W$505,CX$3,実績!$AI$6:$AI$505,"&lt;="&amp;$A138,実績!$AJ$6:$AJ$505,"&gt;"&amp;$A138,実績!$AK$6:$AK$505,"○")&gt;0,1,0))</f>
        <v>0</v>
      </c>
      <c r="CY138" s="39" t="n">
        <f aca="false">IF(CY$4=0,0,IF(COUNTIFS(実績!$W$6:$W$505,CY$3,実績!$AI$6:$AI$505,"&lt;="&amp;$A138,実績!$AJ$6:$AJ$505,"&gt;"&amp;$A138,実績!$AK$6:$AK$505,"○")&gt;0,1,0))</f>
        <v>0</v>
      </c>
      <c r="CZ138" s="39" t="n">
        <f aca="false">IF(CZ$4=0,0,IF(COUNTIFS(実績!$W$6:$W$505,CZ$3,実績!$AI$6:$AI$505,"&lt;="&amp;$A138,実績!$AJ$6:$AJ$505,"&gt;"&amp;$A138,実績!$AK$6:$AK$505,"○")&gt;0,1,0))</f>
        <v>0</v>
      </c>
      <c r="DA138" s="39" t="n">
        <f aca="false">IF(DA$4=0,0,IF(COUNTIFS(実績!$W$6:$W$505,DA$3,実績!$AI$6:$AI$505,"&lt;="&amp;$A138,実績!$AJ$6:$AJ$505,"&gt;"&amp;$A138,実績!$AK$6:$AK$505,"○")&gt;0,1,0))</f>
        <v>0</v>
      </c>
      <c r="DB138" s="39" t="n">
        <f aca="false">IF(DB$4=0,0,IF(COUNTIFS(実績!$W$6:$W$505,DB$3,実績!$AI$6:$AI$505,"&lt;="&amp;$A138,実績!$AJ$6:$AJ$505,"&gt;"&amp;$A138,実績!$AK$6:$AK$505,"○")&gt;0,1,0))</f>
        <v>0</v>
      </c>
      <c r="DC138" s="39" t="n">
        <f aca="false">IF(DC$4=0,0,IF(COUNTIFS(実績!$W$6:$W$505,DC$3,実績!$AI$6:$AI$505,"&lt;="&amp;$A138,実績!$AJ$6:$AJ$505,"&gt;"&amp;$A138,実績!$AK$6:$AK$505,"○")&gt;0,1,0))</f>
        <v>0</v>
      </c>
      <c r="DD138" s="39" t="n">
        <f aca="false">IF(DD$4=0,0,IF(COUNTIFS(実績!$W$6:$W$505,DD$3,実績!$AI$6:$AI$505,"&lt;="&amp;$A138,実績!$AJ$6:$AJ$505,"&gt;"&amp;$A138,実績!$AK$6:$AK$505,"○")&gt;0,1,0))</f>
        <v>0</v>
      </c>
      <c r="DE138" s="39" t="n">
        <f aca="false">IF(DE$4=0,0,IF(COUNTIFS(実績!$W$6:$W$505,DE$3,実績!$AI$6:$AI$505,"&lt;="&amp;$A138,実績!$AJ$6:$AJ$505,"&gt;"&amp;$A138,実績!$AK$6:$AK$505,"○")&gt;0,1,0))</f>
        <v>0</v>
      </c>
      <c r="DF138" s="39" t="n">
        <f aca="false">IF(DF$4=0,0,IF(COUNTIFS(実績!$W$6:$W$505,DF$3,実績!$AI$6:$AI$505,"&lt;="&amp;$A138,実績!$AJ$6:$AJ$505,"&gt;"&amp;$A138,実績!$AK$6:$AK$505,"○")&gt;0,1,0))</f>
        <v>0</v>
      </c>
      <c r="DG138" s="39" t="n">
        <f aca="false">IF(DG$4=0,0,IF(COUNTIFS(実績!$W$6:$W$505,DG$3,実績!$AI$6:$AI$505,"&lt;="&amp;$A138,実績!$AJ$6:$AJ$505,"&gt;"&amp;$A138,実績!$AK$6:$AK$505,"○")&gt;0,1,0))</f>
        <v>0</v>
      </c>
      <c r="DH138" s="39" t="n">
        <f aca="false">IF(DH$4=0,0,IF(COUNTIFS(実績!$W$6:$W$505,DH$3,実績!$AI$6:$AI$505,"&lt;="&amp;$A138,実績!$AJ$6:$AJ$505,"&gt;"&amp;$A138,実績!$AK$6:$AK$505,"○")&gt;0,1,0))</f>
        <v>0</v>
      </c>
      <c r="DI138" s="39" t="n">
        <f aca="false">IF(DI$4=0,0,IF(COUNTIFS(実績!$W$6:$W$505,DI$3,実績!$AI$6:$AI$505,"&lt;="&amp;$A138,実績!$AJ$6:$AJ$505,"&gt;"&amp;$A138,実績!$AK$6:$AK$505,"○")&gt;0,1,0))</f>
        <v>0</v>
      </c>
      <c r="DJ138" s="39" t="n">
        <f aca="false">IF(DJ$4=0,0,IF(COUNTIFS(実績!$W$6:$W$505,DJ$3,実績!$AI$6:$AI$505,"&lt;="&amp;$A138,実績!$AJ$6:$AJ$505,"&gt;"&amp;$A138,実績!$AK$6:$AK$505,"○")&gt;0,1,0))</f>
        <v>0</v>
      </c>
      <c r="DK138" s="39" t="n">
        <f aca="false">IF(DK$4=0,0,IF(COUNTIFS(実績!$W$6:$W$505,DK$3,実績!$AI$6:$AI$505,"&lt;="&amp;$A138,実績!$AJ$6:$AJ$505,"&gt;"&amp;$A138,実績!$AK$6:$AK$505,"○")&gt;0,1,0))</f>
        <v>0</v>
      </c>
      <c r="DL138" s="39" t="n">
        <f aca="false">IF(DL$4=0,0,IF(COUNTIFS(実績!$W$6:$W$505,DL$3,実績!$AI$6:$AI$505,"&lt;="&amp;$A138,実績!$AJ$6:$AJ$505,"&gt;"&amp;$A138,実績!$AK$6:$AK$505,"○")&gt;0,1,0))</f>
        <v>0</v>
      </c>
      <c r="DM138" s="39" t="n">
        <f aca="false">IF(DM$4=0,0,IF(COUNTIFS(実績!$W$6:$W$505,DM$3,実績!$AI$6:$AI$505,"&lt;="&amp;$A138,実績!$AJ$6:$AJ$505,"&gt;"&amp;$A138,実績!$AK$6:$AK$505,"○")&gt;0,1,0))</f>
        <v>0</v>
      </c>
      <c r="DN138" s="39" t="n">
        <f aca="false">IF(DN$4=0,0,IF(COUNTIFS(実績!$W$6:$W$505,DN$3,実績!$AI$6:$AI$505,"&lt;="&amp;$A138,実績!$AJ$6:$AJ$505,"&gt;"&amp;$A138,実績!$AK$6:$AK$505,"○")&gt;0,1,0))</f>
        <v>0</v>
      </c>
      <c r="DO138" s="39" t="n">
        <f aca="false">IF(DO$4=0,0,IF(COUNTIFS(実績!$W$6:$W$505,DO$3,実績!$AI$6:$AI$505,"&lt;="&amp;$A138,実績!$AJ$6:$AJ$505,"&gt;"&amp;$A138,実績!$AK$6:$AK$505,"○")&gt;0,1,0))</f>
        <v>0</v>
      </c>
      <c r="DP138" s="39" t="n">
        <f aca="false">IF(DP$4=0,0,IF(COUNTIFS(実績!$W$6:$W$505,DP$3,実績!$AI$6:$AI$505,"&lt;="&amp;$A138,実績!$AJ$6:$AJ$505,"&gt;"&amp;$A138,実績!$AK$6:$AK$505,"○")&gt;0,1,0))</f>
        <v>0</v>
      </c>
      <c r="DQ138" s="39" t="n">
        <f aca="false">IF(DQ$4=0,0,IF(COUNTIFS(実績!$W$6:$W$505,DQ$3,実績!$AI$6:$AI$505,"&lt;="&amp;$A138,実績!$AJ$6:$AJ$505,"&gt;"&amp;$A138,実績!$AK$6:$AK$505,"○")&gt;0,1,0))</f>
        <v>0</v>
      </c>
      <c r="DR138" s="39" t="n">
        <f aca="false">IF(DR$4=0,0,IF(COUNTIFS(実績!$W$6:$W$505,DR$3,実績!$AI$6:$AI$505,"&lt;="&amp;$A138,実績!$AJ$6:$AJ$505,"&gt;"&amp;$A138,実績!$AK$6:$AK$505,"○")&gt;0,1,0))</f>
        <v>0</v>
      </c>
      <c r="DS138" s="39" t="n">
        <f aca="false">SUM(C138:DR138)</f>
        <v>0</v>
      </c>
      <c r="DT138" s="39" t="n">
        <f aca="false">SUMPRODUCT((実績!$C$6:$C$505="○")*ISNUMBER(実績!$AM$6:$AM$505)*(実績!$AM$6:$AM$505&lt;=$A138)*(実績!$AN$6:$AN$505&gt;$A138))</f>
        <v>0</v>
      </c>
      <c r="DU138" s="39" t="n">
        <f aca="false">SUMIF($C$2:$DR$2,"製鉄曳船",C138:DR138)</f>
        <v>0</v>
      </c>
      <c r="DV138" s="39" t="n">
        <f aca="false">SUMIF($C$2:$DR$2,"西日本海運",C138:DR138)</f>
        <v>0</v>
      </c>
    </row>
    <row r="139" customFormat="false" ht="15" hidden="false" customHeight="false" outlineLevel="0" collapsed="false">
      <c r="A139" s="0" t="n">
        <v>665</v>
      </c>
      <c r="B139" s="38" t="n">
        <f aca="false">A139/1440</f>
        <v>0.461805555555556</v>
      </c>
      <c r="C139" s="39" t="n">
        <f aca="false">IF(C$4=0,0,IF(COUNTIFS(実績!$W$6:$W$505,C$3,実績!$AI$6:$AI$505,"&lt;="&amp;$A139,実績!$AJ$6:$AJ$505,"&gt;"&amp;$A139,実績!$AK$6:$AK$505,"○")&gt;0,1,0))</f>
        <v>0</v>
      </c>
      <c r="D139" s="39" t="n">
        <f aca="false">IF(D$4=0,0,IF(COUNTIFS(実績!$W$6:$W$505,D$3,実績!$AI$6:$AI$505,"&lt;="&amp;$A139,実績!$AJ$6:$AJ$505,"&gt;"&amp;$A139,実績!$AK$6:$AK$505,"○")&gt;0,1,0))</f>
        <v>0</v>
      </c>
      <c r="E139" s="39" t="n">
        <f aca="false">IF(E$4=0,0,IF(COUNTIFS(実績!$W$6:$W$505,E$3,実績!$AI$6:$AI$505,"&lt;="&amp;$A139,実績!$AJ$6:$AJ$505,"&gt;"&amp;$A139,実績!$AK$6:$AK$505,"○")&gt;0,1,0))</f>
        <v>0</v>
      </c>
      <c r="F139" s="39" t="n">
        <f aca="false">IF(F$4=0,0,IF(COUNTIFS(実績!$W$6:$W$505,F$3,実績!$AI$6:$AI$505,"&lt;="&amp;$A139,実績!$AJ$6:$AJ$505,"&gt;"&amp;$A139,実績!$AK$6:$AK$505,"○")&gt;0,1,0))</f>
        <v>0</v>
      </c>
      <c r="G139" s="39" t="n">
        <f aca="false">IF(G$4=0,0,IF(COUNTIFS(実績!$W$6:$W$505,G$3,実績!$AI$6:$AI$505,"&lt;="&amp;$A139,実績!$AJ$6:$AJ$505,"&gt;"&amp;$A139,実績!$AK$6:$AK$505,"○")&gt;0,1,0))</f>
        <v>0</v>
      </c>
      <c r="H139" s="39" t="n">
        <f aca="false">IF(H$4=0,0,IF(COUNTIFS(実績!$W$6:$W$505,H$3,実績!$AI$6:$AI$505,"&lt;="&amp;$A139,実績!$AJ$6:$AJ$505,"&gt;"&amp;$A139,実績!$AK$6:$AK$505,"○")&gt;0,1,0))</f>
        <v>0</v>
      </c>
      <c r="I139" s="39" t="n">
        <f aca="false">IF(I$4=0,0,IF(COUNTIFS(実績!$W$6:$W$505,I$3,実績!$AI$6:$AI$505,"&lt;="&amp;$A139,実績!$AJ$6:$AJ$505,"&gt;"&amp;$A139,実績!$AK$6:$AK$505,"○")&gt;0,1,0))</f>
        <v>0</v>
      </c>
      <c r="J139" s="39" t="n">
        <f aca="false">IF(J$4=0,0,IF(COUNTIFS(実績!$W$6:$W$505,J$3,実績!$AI$6:$AI$505,"&lt;="&amp;$A139,実績!$AJ$6:$AJ$505,"&gt;"&amp;$A139,実績!$AK$6:$AK$505,"○")&gt;0,1,0))</f>
        <v>0</v>
      </c>
      <c r="K139" s="39" t="n">
        <f aca="false">IF(K$4=0,0,IF(COUNTIFS(実績!$W$6:$W$505,K$3,実績!$AI$6:$AI$505,"&lt;="&amp;$A139,実績!$AJ$6:$AJ$505,"&gt;"&amp;$A139,実績!$AK$6:$AK$505,"○")&gt;0,1,0))</f>
        <v>0</v>
      </c>
      <c r="L139" s="39" t="n">
        <f aca="false">IF(L$4=0,0,IF(COUNTIFS(実績!$W$6:$W$505,L$3,実績!$AI$6:$AI$505,"&lt;="&amp;$A139,実績!$AJ$6:$AJ$505,"&gt;"&amp;$A139,実績!$AK$6:$AK$505,"○")&gt;0,1,0))</f>
        <v>0</v>
      </c>
      <c r="M139" s="39" t="n">
        <f aca="false">IF(M$4=0,0,IF(COUNTIFS(実績!$W$6:$W$505,M$3,実績!$AI$6:$AI$505,"&lt;="&amp;$A139,実績!$AJ$6:$AJ$505,"&gt;"&amp;$A139,実績!$AK$6:$AK$505,"○")&gt;0,1,0))</f>
        <v>0</v>
      </c>
      <c r="N139" s="39" t="n">
        <f aca="false">IF(N$4=0,0,IF(COUNTIFS(実績!$W$6:$W$505,N$3,実績!$AI$6:$AI$505,"&lt;="&amp;$A139,実績!$AJ$6:$AJ$505,"&gt;"&amp;$A139,実績!$AK$6:$AK$505,"○")&gt;0,1,0))</f>
        <v>0</v>
      </c>
      <c r="O139" s="39" t="n">
        <f aca="false">IF(O$4=0,0,IF(COUNTIFS(実績!$W$6:$W$505,O$3,実績!$AI$6:$AI$505,"&lt;="&amp;$A139,実績!$AJ$6:$AJ$505,"&gt;"&amp;$A139,実績!$AK$6:$AK$505,"○")&gt;0,1,0))</f>
        <v>0</v>
      </c>
      <c r="P139" s="39" t="n">
        <f aca="false">IF(P$4=0,0,IF(COUNTIFS(実績!$W$6:$W$505,P$3,実績!$AI$6:$AI$505,"&lt;="&amp;$A139,実績!$AJ$6:$AJ$505,"&gt;"&amp;$A139,実績!$AK$6:$AK$505,"○")&gt;0,1,0))</f>
        <v>0</v>
      </c>
      <c r="Q139" s="39" t="n">
        <f aca="false">IF(Q$4=0,0,IF(COUNTIFS(実績!$W$6:$W$505,Q$3,実績!$AI$6:$AI$505,"&lt;="&amp;$A139,実績!$AJ$6:$AJ$505,"&gt;"&amp;$A139,実績!$AK$6:$AK$505,"○")&gt;0,1,0))</f>
        <v>0</v>
      </c>
      <c r="R139" s="39" t="n">
        <f aca="false">IF(R$4=0,0,IF(COUNTIFS(実績!$W$6:$W$505,R$3,実績!$AI$6:$AI$505,"&lt;="&amp;$A139,実績!$AJ$6:$AJ$505,"&gt;"&amp;$A139,実績!$AK$6:$AK$505,"○")&gt;0,1,0))</f>
        <v>0</v>
      </c>
      <c r="S139" s="39" t="n">
        <f aca="false">IF(S$4=0,0,IF(COUNTIFS(実績!$W$6:$W$505,S$3,実績!$AI$6:$AI$505,"&lt;="&amp;$A139,実績!$AJ$6:$AJ$505,"&gt;"&amp;$A139,実績!$AK$6:$AK$505,"○")&gt;0,1,0))</f>
        <v>0</v>
      </c>
      <c r="T139" s="39" t="n">
        <f aca="false">IF(T$4=0,0,IF(COUNTIFS(実績!$W$6:$W$505,T$3,実績!$AI$6:$AI$505,"&lt;="&amp;$A139,実績!$AJ$6:$AJ$505,"&gt;"&amp;$A139,実績!$AK$6:$AK$505,"○")&gt;0,1,0))</f>
        <v>0</v>
      </c>
      <c r="U139" s="39" t="n">
        <f aca="false">IF(U$4=0,0,IF(COUNTIFS(実績!$W$6:$W$505,U$3,実績!$AI$6:$AI$505,"&lt;="&amp;$A139,実績!$AJ$6:$AJ$505,"&gt;"&amp;$A139,実績!$AK$6:$AK$505,"○")&gt;0,1,0))</f>
        <v>0</v>
      </c>
      <c r="V139" s="39" t="n">
        <f aca="false">IF(V$4=0,0,IF(COUNTIFS(実績!$W$6:$W$505,V$3,実績!$AI$6:$AI$505,"&lt;="&amp;$A139,実績!$AJ$6:$AJ$505,"&gt;"&amp;$A139,実績!$AK$6:$AK$505,"○")&gt;0,1,0))</f>
        <v>0</v>
      </c>
      <c r="W139" s="39" t="n">
        <f aca="false">IF(W$4=0,0,IF(COUNTIFS(実績!$W$6:$W$505,W$3,実績!$AI$6:$AI$505,"&lt;="&amp;$A139,実績!$AJ$6:$AJ$505,"&gt;"&amp;$A139,実績!$AK$6:$AK$505,"○")&gt;0,1,0))</f>
        <v>0</v>
      </c>
      <c r="X139" s="39" t="n">
        <f aca="false">IF(X$4=0,0,IF(COUNTIFS(実績!$W$6:$W$505,X$3,実績!$AI$6:$AI$505,"&lt;="&amp;$A139,実績!$AJ$6:$AJ$505,"&gt;"&amp;$A139,実績!$AK$6:$AK$505,"○")&gt;0,1,0))</f>
        <v>0</v>
      </c>
      <c r="Y139" s="39" t="n">
        <f aca="false">IF(Y$4=0,0,IF(COUNTIFS(実績!$W$6:$W$505,Y$3,実績!$AI$6:$AI$505,"&lt;="&amp;$A139,実績!$AJ$6:$AJ$505,"&gt;"&amp;$A139,実績!$AK$6:$AK$505,"○")&gt;0,1,0))</f>
        <v>0</v>
      </c>
      <c r="Z139" s="39" t="n">
        <f aca="false">IF(Z$4=0,0,IF(COUNTIFS(実績!$W$6:$W$505,Z$3,実績!$AI$6:$AI$505,"&lt;="&amp;$A139,実績!$AJ$6:$AJ$505,"&gt;"&amp;$A139,実績!$AK$6:$AK$505,"○")&gt;0,1,0))</f>
        <v>0</v>
      </c>
      <c r="AA139" s="39" t="n">
        <f aca="false">IF(AA$4=0,0,IF(COUNTIFS(実績!$W$6:$W$505,AA$3,実績!$AI$6:$AI$505,"&lt;="&amp;$A139,実績!$AJ$6:$AJ$505,"&gt;"&amp;$A139,実績!$AK$6:$AK$505,"○")&gt;0,1,0))</f>
        <v>0</v>
      </c>
      <c r="AB139" s="39" t="n">
        <f aca="false">IF(AB$4=0,0,IF(COUNTIFS(実績!$W$6:$W$505,AB$3,実績!$AI$6:$AI$505,"&lt;="&amp;$A139,実績!$AJ$6:$AJ$505,"&gt;"&amp;$A139,実績!$AK$6:$AK$505,"○")&gt;0,1,0))</f>
        <v>0</v>
      </c>
      <c r="AC139" s="39" t="n">
        <f aca="false">IF(AC$4=0,0,IF(COUNTIFS(実績!$W$6:$W$505,AC$3,実績!$AI$6:$AI$505,"&lt;="&amp;$A139,実績!$AJ$6:$AJ$505,"&gt;"&amp;$A139,実績!$AK$6:$AK$505,"○")&gt;0,1,0))</f>
        <v>0</v>
      </c>
      <c r="AD139" s="39" t="n">
        <f aca="false">IF(AD$4=0,0,IF(COUNTIFS(実績!$W$6:$W$505,AD$3,実績!$AI$6:$AI$505,"&lt;="&amp;$A139,実績!$AJ$6:$AJ$505,"&gt;"&amp;$A139,実績!$AK$6:$AK$505,"○")&gt;0,1,0))</f>
        <v>0</v>
      </c>
      <c r="AE139" s="39" t="n">
        <f aca="false">IF(AE$4=0,0,IF(COUNTIFS(実績!$W$6:$W$505,AE$3,実績!$AI$6:$AI$505,"&lt;="&amp;$A139,実績!$AJ$6:$AJ$505,"&gt;"&amp;$A139,実績!$AK$6:$AK$505,"○")&gt;0,1,0))</f>
        <v>0</v>
      </c>
      <c r="AF139" s="39" t="n">
        <f aca="false">IF(AF$4=0,0,IF(COUNTIFS(実績!$W$6:$W$505,AF$3,実績!$AI$6:$AI$505,"&lt;="&amp;$A139,実績!$AJ$6:$AJ$505,"&gt;"&amp;$A139,実績!$AK$6:$AK$505,"○")&gt;0,1,0))</f>
        <v>0</v>
      </c>
      <c r="AG139" s="39" t="n">
        <f aca="false">IF(AG$4=0,0,IF(COUNTIFS(実績!$W$6:$W$505,AG$3,実績!$AI$6:$AI$505,"&lt;="&amp;$A139,実績!$AJ$6:$AJ$505,"&gt;"&amp;$A139,実績!$AK$6:$AK$505,"○")&gt;0,1,0))</f>
        <v>0</v>
      </c>
      <c r="AH139" s="39" t="n">
        <f aca="false">IF(AH$4=0,0,IF(COUNTIFS(実績!$W$6:$W$505,AH$3,実績!$AI$6:$AI$505,"&lt;="&amp;$A139,実績!$AJ$6:$AJ$505,"&gt;"&amp;$A139,実績!$AK$6:$AK$505,"○")&gt;0,1,0))</f>
        <v>0</v>
      </c>
      <c r="AI139" s="39" t="n">
        <f aca="false">IF(AI$4=0,0,IF(COUNTIFS(実績!$W$6:$W$505,AI$3,実績!$AI$6:$AI$505,"&lt;="&amp;$A139,実績!$AJ$6:$AJ$505,"&gt;"&amp;$A139,実績!$AK$6:$AK$505,"○")&gt;0,1,0))</f>
        <v>0</v>
      </c>
      <c r="AJ139" s="39" t="n">
        <f aca="false">IF(AJ$4=0,0,IF(COUNTIFS(実績!$W$6:$W$505,AJ$3,実績!$AI$6:$AI$505,"&lt;="&amp;$A139,実績!$AJ$6:$AJ$505,"&gt;"&amp;$A139,実績!$AK$6:$AK$505,"○")&gt;0,1,0))</f>
        <v>0</v>
      </c>
      <c r="AK139" s="39" t="n">
        <f aca="false">IF(AK$4=0,0,IF(COUNTIFS(実績!$W$6:$W$505,AK$3,実績!$AI$6:$AI$505,"&lt;="&amp;$A139,実績!$AJ$6:$AJ$505,"&gt;"&amp;$A139,実績!$AK$6:$AK$505,"○")&gt;0,1,0))</f>
        <v>0</v>
      </c>
      <c r="AL139" s="39" t="n">
        <f aca="false">IF(AL$4=0,0,IF(COUNTIFS(実績!$W$6:$W$505,AL$3,実績!$AI$6:$AI$505,"&lt;="&amp;$A139,実績!$AJ$6:$AJ$505,"&gt;"&amp;$A139,実績!$AK$6:$AK$505,"○")&gt;0,1,0))</f>
        <v>0</v>
      </c>
      <c r="AM139" s="39" t="n">
        <f aca="false">IF(AM$4=0,0,IF(COUNTIFS(実績!$W$6:$W$505,AM$3,実績!$AI$6:$AI$505,"&lt;="&amp;$A139,実績!$AJ$6:$AJ$505,"&gt;"&amp;$A139,実績!$AK$6:$AK$505,"○")&gt;0,1,0))</f>
        <v>0</v>
      </c>
      <c r="AN139" s="39" t="n">
        <f aca="false">IF(AN$4=0,0,IF(COUNTIFS(実績!$W$6:$W$505,AN$3,実績!$AI$6:$AI$505,"&lt;="&amp;$A139,実績!$AJ$6:$AJ$505,"&gt;"&amp;$A139,実績!$AK$6:$AK$505,"○")&gt;0,1,0))</f>
        <v>0</v>
      </c>
      <c r="AO139" s="39" t="n">
        <f aca="false">IF(AO$4=0,0,IF(COUNTIFS(実績!$W$6:$W$505,AO$3,実績!$AI$6:$AI$505,"&lt;="&amp;$A139,実績!$AJ$6:$AJ$505,"&gt;"&amp;$A139,実績!$AK$6:$AK$505,"○")&gt;0,1,0))</f>
        <v>0</v>
      </c>
      <c r="AP139" s="39" t="n">
        <f aca="false">IF(AP$4=0,0,IF(COUNTIFS(実績!$W$6:$W$505,AP$3,実績!$AI$6:$AI$505,"&lt;="&amp;$A139,実績!$AJ$6:$AJ$505,"&gt;"&amp;$A139,実績!$AK$6:$AK$505,"○")&gt;0,1,0))</f>
        <v>0</v>
      </c>
      <c r="AQ139" s="39" t="n">
        <f aca="false">IF(AQ$4=0,0,IF(COUNTIFS(実績!$W$6:$W$505,AQ$3,実績!$AI$6:$AI$505,"&lt;="&amp;$A139,実績!$AJ$6:$AJ$505,"&gt;"&amp;$A139,実績!$AK$6:$AK$505,"○")&gt;0,1,0))</f>
        <v>0</v>
      </c>
      <c r="AR139" s="39" t="n">
        <f aca="false">IF(AR$4=0,0,IF(COUNTIFS(実績!$W$6:$W$505,AR$3,実績!$AI$6:$AI$505,"&lt;="&amp;$A139,実績!$AJ$6:$AJ$505,"&gt;"&amp;$A139,実績!$AK$6:$AK$505,"○")&gt;0,1,0))</f>
        <v>0</v>
      </c>
      <c r="AS139" s="39" t="n">
        <f aca="false">IF(AS$4=0,0,IF(COUNTIFS(実績!$W$6:$W$505,AS$3,実績!$AI$6:$AI$505,"&lt;="&amp;$A139,実績!$AJ$6:$AJ$505,"&gt;"&amp;$A139,実績!$AK$6:$AK$505,"○")&gt;0,1,0))</f>
        <v>0</v>
      </c>
      <c r="AT139" s="39" t="n">
        <f aca="false">IF(AT$4=0,0,IF(COUNTIFS(実績!$W$6:$W$505,AT$3,実績!$AI$6:$AI$505,"&lt;="&amp;$A139,実績!$AJ$6:$AJ$505,"&gt;"&amp;$A139,実績!$AK$6:$AK$505,"○")&gt;0,1,0))</f>
        <v>0</v>
      </c>
      <c r="AU139" s="39" t="n">
        <f aca="false">IF(AU$4=0,0,IF(COUNTIFS(実績!$W$6:$W$505,AU$3,実績!$AI$6:$AI$505,"&lt;="&amp;$A139,実績!$AJ$6:$AJ$505,"&gt;"&amp;$A139,実績!$AK$6:$AK$505,"○")&gt;0,1,0))</f>
        <v>0</v>
      </c>
      <c r="AV139" s="39" t="n">
        <f aca="false">IF(AV$4=0,0,IF(COUNTIFS(実績!$W$6:$W$505,AV$3,実績!$AI$6:$AI$505,"&lt;="&amp;$A139,実績!$AJ$6:$AJ$505,"&gt;"&amp;$A139,実績!$AK$6:$AK$505,"○")&gt;0,1,0))</f>
        <v>0</v>
      </c>
      <c r="AW139" s="39" t="n">
        <f aca="false">IF(AW$4=0,0,IF(COUNTIFS(実績!$W$6:$W$505,AW$3,実績!$AI$6:$AI$505,"&lt;="&amp;$A139,実績!$AJ$6:$AJ$505,"&gt;"&amp;$A139,実績!$AK$6:$AK$505,"○")&gt;0,1,0))</f>
        <v>0</v>
      </c>
      <c r="AX139" s="39" t="n">
        <f aca="false">IF(AX$4=0,0,IF(COUNTIFS(実績!$W$6:$W$505,AX$3,実績!$AI$6:$AI$505,"&lt;="&amp;$A139,実績!$AJ$6:$AJ$505,"&gt;"&amp;$A139,実績!$AK$6:$AK$505,"○")&gt;0,1,0))</f>
        <v>0</v>
      </c>
      <c r="AY139" s="39" t="n">
        <f aca="false">IF(AY$4=0,0,IF(COUNTIFS(実績!$W$6:$W$505,AY$3,実績!$AI$6:$AI$505,"&lt;="&amp;$A139,実績!$AJ$6:$AJ$505,"&gt;"&amp;$A139,実績!$AK$6:$AK$505,"○")&gt;0,1,0))</f>
        <v>0</v>
      </c>
      <c r="AZ139" s="39" t="n">
        <f aca="false">IF(AZ$4=0,0,IF(COUNTIFS(実績!$W$6:$W$505,AZ$3,実績!$AI$6:$AI$505,"&lt;="&amp;$A139,実績!$AJ$6:$AJ$505,"&gt;"&amp;$A139,実績!$AK$6:$AK$505,"○")&gt;0,1,0))</f>
        <v>0</v>
      </c>
      <c r="BA139" s="39" t="n">
        <f aca="false">IF(BA$4=0,0,IF(COUNTIFS(実績!$W$6:$W$505,BA$3,実績!$AI$6:$AI$505,"&lt;="&amp;$A139,実績!$AJ$6:$AJ$505,"&gt;"&amp;$A139,実績!$AK$6:$AK$505,"○")&gt;0,1,0))</f>
        <v>0</v>
      </c>
      <c r="BB139" s="39" t="n">
        <f aca="false">IF(BB$4=0,0,IF(COUNTIFS(実績!$W$6:$W$505,BB$3,実績!$AI$6:$AI$505,"&lt;="&amp;$A139,実績!$AJ$6:$AJ$505,"&gt;"&amp;$A139,実績!$AK$6:$AK$505,"○")&gt;0,1,0))</f>
        <v>0</v>
      </c>
      <c r="BC139" s="39" t="n">
        <f aca="false">IF(BC$4=0,0,IF(COUNTIFS(実績!$W$6:$W$505,BC$3,実績!$AI$6:$AI$505,"&lt;="&amp;$A139,実績!$AJ$6:$AJ$505,"&gt;"&amp;$A139,実績!$AK$6:$AK$505,"○")&gt;0,1,0))</f>
        <v>0</v>
      </c>
      <c r="BD139" s="39" t="n">
        <f aca="false">IF(BD$4=0,0,IF(COUNTIFS(実績!$W$6:$W$505,BD$3,実績!$AI$6:$AI$505,"&lt;="&amp;$A139,実績!$AJ$6:$AJ$505,"&gt;"&amp;$A139,実績!$AK$6:$AK$505,"○")&gt;0,1,0))</f>
        <v>0</v>
      </c>
      <c r="BE139" s="39" t="n">
        <f aca="false">IF(BE$4=0,0,IF(COUNTIFS(実績!$W$6:$W$505,BE$3,実績!$AI$6:$AI$505,"&lt;="&amp;$A139,実績!$AJ$6:$AJ$505,"&gt;"&amp;$A139,実績!$AK$6:$AK$505,"○")&gt;0,1,0))</f>
        <v>0</v>
      </c>
      <c r="BF139" s="39" t="n">
        <f aca="false">IF(BF$4=0,0,IF(COUNTIFS(実績!$W$6:$W$505,BF$3,実績!$AI$6:$AI$505,"&lt;="&amp;$A139,実績!$AJ$6:$AJ$505,"&gt;"&amp;$A139,実績!$AK$6:$AK$505,"○")&gt;0,1,0))</f>
        <v>0</v>
      </c>
      <c r="BG139" s="39" t="n">
        <f aca="false">IF(BG$4=0,0,IF(COUNTIFS(実績!$W$6:$W$505,BG$3,実績!$AI$6:$AI$505,"&lt;="&amp;$A139,実績!$AJ$6:$AJ$505,"&gt;"&amp;$A139,実績!$AK$6:$AK$505,"○")&gt;0,1,0))</f>
        <v>0</v>
      </c>
      <c r="BH139" s="39" t="n">
        <f aca="false">IF(BH$4=0,0,IF(COUNTIFS(実績!$W$6:$W$505,BH$3,実績!$AI$6:$AI$505,"&lt;="&amp;$A139,実績!$AJ$6:$AJ$505,"&gt;"&amp;$A139,実績!$AK$6:$AK$505,"○")&gt;0,1,0))</f>
        <v>0</v>
      </c>
      <c r="BI139" s="39" t="n">
        <f aca="false">IF(BI$4=0,0,IF(COUNTIFS(実績!$W$6:$W$505,BI$3,実績!$AI$6:$AI$505,"&lt;="&amp;$A139,実績!$AJ$6:$AJ$505,"&gt;"&amp;$A139,実績!$AK$6:$AK$505,"○")&gt;0,1,0))</f>
        <v>0</v>
      </c>
      <c r="BJ139" s="39" t="n">
        <f aca="false">IF(BJ$4=0,0,IF(COUNTIFS(実績!$W$6:$W$505,BJ$3,実績!$AI$6:$AI$505,"&lt;="&amp;$A139,実績!$AJ$6:$AJ$505,"&gt;"&amp;$A139,実績!$AK$6:$AK$505,"○")&gt;0,1,0))</f>
        <v>0</v>
      </c>
      <c r="BK139" s="39" t="n">
        <f aca="false">IF(BK$4=0,0,IF(COUNTIFS(実績!$W$6:$W$505,BK$3,実績!$AI$6:$AI$505,"&lt;="&amp;$A139,実績!$AJ$6:$AJ$505,"&gt;"&amp;$A139,実績!$AK$6:$AK$505,"○")&gt;0,1,0))</f>
        <v>0</v>
      </c>
      <c r="BL139" s="39" t="n">
        <f aca="false">IF(BL$4=0,0,IF(COUNTIFS(実績!$W$6:$W$505,BL$3,実績!$AI$6:$AI$505,"&lt;="&amp;$A139,実績!$AJ$6:$AJ$505,"&gt;"&amp;$A139,実績!$AK$6:$AK$505,"○")&gt;0,1,0))</f>
        <v>0</v>
      </c>
      <c r="BM139" s="39" t="n">
        <f aca="false">IF(BM$4=0,0,IF(COUNTIFS(実績!$W$6:$W$505,BM$3,実績!$AI$6:$AI$505,"&lt;="&amp;$A139,実績!$AJ$6:$AJ$505,"&gt;"&amp;$A139,実績!$AK$6:$AK$505,"○")&gt;0,1,0))</f>
        <v>0</v>
      </c>
      <c r="BN139" s="39" t="n">
        <f aca="false">IF(BN$4=0,0,IF(COUNTIFS(実績!$W$6:$W$505,BN$3,実績!$AI$6:$AI$505,"&lt;="&amp;$A139,実績!$AJ$6:$AJ$505,"&gt;"&amp;$A139,実績!$AK$6:$AK$505,"○")&gt;0,1,0))</f>
        <v>0</v>
      </c>
      <c r="BO139" s="39" t="n">
        <f aca="false">IF(BO$4=0,0,IF(COUNTIFS(実績!$W$6:$W$505,BO$3,実績!$AI$6:$AI$505,"&lt;="&amp;$A139,実績!$AJ$6:$AJ$505,"&gt;"&amp;$A139,実績!$AK$6:$AK$505,"○")&gt;0,1,0))</f>
        <v>0</v>
      </c>
      <c r="BP139" s="39" t="n">
        <f aca="false">IF(BP$4=0,0,IF(COUNTIFS(実績!$W$6:$W$505,BP$3,実績!$AI$6:$AI$505,"&lt;="&amp;$A139,実績!$AJ$6:$AJ$505,"&gt;"&amp;$A139,実績!$AK$6:$AK$505,"○")&gt;0,1,0))</f>
        <v>0</v>
      </c>
      <c r="BQ139" s="39" t="n">
        <f aca="false">IF(BQ$4=0,0,IF(COUNTIFS(実績!$W$6:$W$505,BQ$3,実績!$AI$6:$AI$505,"&lt;="&amp;$A139,実績!$AJ$6:$AJ$505,"&gt;"&amp;$A139,実績!$AK$6:$AK$505,"○")&gt;0,1,0))</f>
        <v>0</v>
      </c>
      <c r="BR139" s="39" t="n">
        <f aca="false">IF(BR$4=0,0,IF(COUNTIFS(実績!$W$6:$W$505,BR$3,実績!$AI$6:$AI$505,"&lt;="&amp;$A139,実績!$AJ$6:$AJ$505,"&gt;"&amp;$A139,実績!$AK$6:$AK$505,"○")&gt;0,1,0))</f>
        <v>0</v>
      </c>
      <c r="BS139" s="39" t="n">
        <f aca="false">IF(BS$4=0,0,IF(COUNTIFS(実績!$W$6:$W$505,BS$3,実績!$AI$6:$AI$505,"&lt;="&amp;$A139,実績!$AJ$6:$AJ$505,"&gt;"&amp;$A139,実績!$AK$6:$AK$505,"○")&gt;0,1,0))</f>
        <v>0</v>
      </c>
      <c r="BT139" s="39" t="n">
        <f aca="false">IF(BT$4=0,0,IF(COUNTIFS(実績!$W$6:$W$505,BT$3,実績!$AI$6:$AI$505,"&lt;="&amp;$A139,実績!$AJ$6:$AJ$505,"&gt;"&amp;$A139,実績!$AK$6:$AK$505,"○")&gt;0,1,0))</f>
        <v>0</v>
      </c>
      <c r="BU139" s="39" t="n">
        <f aca="false">IF(BU$4=0,0,IF(COUNTIFS(実績!$W$6:$W$505,BU$3,実績!$AI$6:$AI$505,"&lt;="&amp;$A139,実績!$AJ$6:$AJ$505,"&gt;"&amp;$A139,実績!$AK$6:$AK$505,"○")&gt;0,1,0))</f>
        <v>0</v>
      </c>
      <c r="BV139" s="39" t="n">
        <f aca="false">IF(BV$4=0,0,IF(COUNTIFS(実績!$W$6:$W$505,BV$3,実績!$AI$6:$AI$505,"&lt;="&amp;$A139,実績!$AJ$6:$AJ$505,"&gt;"&amp;$A139,実績!$AK$6:$AK$505,"○")&gt;0,1,0))</f>
        <v>0</v>
      </c>
      <c r="BW139" s="39" t="n">
        <f aca="false">IF(BW$4=0,0,IF(COUNTIFS(実績!$W$6:$W$505,BW$3,実績!$AI$6:$AI$505,"&lt;="&amp;$A139,実績!$AJ$6:$AJ$505,"&gt;"&amp;$A139,実績!$AK$6:$AK$505,"○")&gt;0,1,0))</f>
        <v>0</v>
      </c>
      <c r="BX139" s="39" t="n">
        <f aca="false">IF(BX$4=0,0,IF(COUNTIFS(実績!$W$6:$W$505,BX$3,実績!$AI$6:$AI$505,"&lt;="&amp;$A139,実績!$AJ$6:$AJ$505,"&gt;"&amp;$A139,実績!$AK$6:$AK$505,"○")&gt;0,1,0))</f>
        <v>0</v>
      </c>
      <c r="BY139" s="39" t="n">
        <f aca="false">IF(BY$4=0,0,IF(COUNTIFS(実績!$W$6:$W$505,BY$3,実績!$AI$6:$AI$505,"&lt;="&amp;$A139,実績!$AJ$6:$AJ$505,"&gt;"&amp;$A139,実績!$AK$6:$AK$505,"○")&gt;0,1,0))</f>
        <v>0</v>
      </c>
      <c r="BZ139" s="39" t="n">
        <f aca="false">IF(BZ$4=0,0,IF(COUNTIFS(実績!$W$6:$W$505,BZ$3,実績!$AI$6:$AI$505,"&lt;="&amp;$A139,実績!$AJ$6:$AJ$505,"&gt;"&amp;$A139,実績!$AK$6:$AK$505,"○")&gt;0,1,0))</f>
        <v>0</v>
      </c>
      <c r="CA139" s="39" t="n">
        <f aca="false">IF(CA$4=0,0,IF(COUNTIFS(実績!$W$6:$W$505,CA$3,実績!$AI$6:$AI$505,"&lt;="&amp;$A139,実績!$AJ$6:$AJ$505,"&gt;"&amp;$A139,実績!$AK$6:$AK$505,"○")&gt;0,1,0))</f>
        <v>0</v>
      </c>
      <c r="CB139" s="39" t="n">
        <f aca="false">IF(CB$4=0,0,IF(COUNTIFS(実績!$W$6:$W$505,CB$3,実績!$AI$6:$AI$505,"&lt;="&amp;$A139,実績!$AJ$6:$AJ$505,"&gt;"&amp;$A139,実績!$AK$6:$AK$505,"○")&gt;0,1,0))</f>
        <v>0</v>
      </c>
      <c r="CC139" s="39" t="n">
        <f aca="false">IF(CC$4=0,0,IF(COUNTIFS(実績!$W$6:$W$505,CC$3,実績!$AI$6:$AI$505,"&lt;="&amp;$A139,実績!$AJ$6:$AJ$505,"&gt;"&amp;$A139,実績!$AK$6:$AK$505,"○")&gt;0,1,0))</f>
        <v>0</v>
      </c>
      <c r="CD139" s="39" t="n">
        <f aca="false">IF(CD$4=0,0,IF(COUNTIFS(実績!$W$6:$W$505,CD$3,実績!$AI$6:$AI$505,"&lt;="&amp;$A139,実績!$AJ$6:$AJ$505,"&gt;"&amp;$A139,実績!$AK$6:$AK$505,"○")&gt;0,1,0))</f>
        <v>0</v>
      </c>
      <c r="CE139" s="39" t="n">
        <f aca="false">IF(CE$4=0,0,IF(COUNTIFS(実績!$W$6:$W$505,CE$3,実績!$AI$6:$AI$505,"&lt;="&amp;$A139,実績!$AJ$6:$AJ$505,"&gt;"&amp;$A139,実績!$AK$6:$AK$505,"○")&gt;0,1,0))</f>
        <v>0</v>
      </c>
      <c r="CF139" s="39" t="n">
        <f aca="false">IF(CF$4=0,0,IF(COUNTIFS(実績!$W$6:$W$505,CF$3,実績!$AI$6:$AI$505,"&lt;="&amp;$A139,実績!$AJ$6:$AJ$505,"&gt;"&amp;$A139,実績!$AK$6:$AK$505,"○")&gt;0,1,0))</f>
        <v>0</v>
      </c>
      <c r="CG139" s="39" t="n">
        <f aca="false">IF(CG$4=0,0,IF(COUNTIFS(実績!$W$6:$W$505,CG$3,実績!$AI$6:$AI$505,"&lt;="&amp;$A139,実績!$AJ$6:$AJ$505,"&gt;"&amp;$A139,実績!$AK$6:$AK$505,"○")&gt;0,1,0))</f>
        <v>0</v>
      </c>
      <c r="CH139" s="39" t="n">
        <f aca="false">IF(CH$4=0,0,IF(COUNTIFS(実績!$W$6:$W$505,CH$3,実績!$AI$6:$AI$505,"&lt;="&amp;$A139,実績!$AJ$6:$AJ$505,"&gt;"&amp;$A139,実績!$AK$6:$AK$505,"○")&gt;0,1,0))</f>
        <v>0</v>
      </c>
      <c r="CI139" s="39" t="n">
        <f aca="false">IF(CI$4=0,0,IF(COUNTIFS(実績!$W$6:$W$505,CI$3,実績!$AI$6:$AI$505,"&lt;="&amp;$A139,実績!$AJ$6:$AJ$505,"&gt;"&amp;$A139,実績!$AK$6:$AK$505,"○")&gt;0,1,0))</f>
        <v>0</v>
      </c>
      <c r="CJ139" s="39" t="n">
        <f aca="false">IF(CJ$4=0,0,IF(COUNTIFS(実績!$W$6:$W$505,CJ$3,実績!$AI$6:$AI$505,"&lt;="&amp;$A139,実績!$AJ$6:$AJ$505,"&gt;"&amp;$A139,実績!$AK$6:$AK$505,"○")&gt;0,1,0))</f>
        <v>0</v>
      </c>
      <c r="CK139" s="39" t="n">
        <f aca="false">IF(CK$4=0,0,IF(COUNTIFS(実績!$W$6:$W$505,CK$3,実績!$AI$6:$AI$505,"&lt;="&amp;$A139,実績!$AJ$6:$AJ$505,"&gt;"&amp;$A139,実績!$AK$6:$AK$505,"○")&gt;0,1,0))</f>
        <v>0</v>
      </c>
      <c r="CL139" s="39" t="n">
        <f aca="false">IF(CL$4=0,0,IF(COUNTIFS(実績!$W$6:$W$505,CL$3,実績!$AI$6:$AI$505,"&lt;="&amp;$A139,実績!$AJ$6:$AJ$505,"&gt;"&amp;$A139,実績!$AK$6:$AK$505,"○")&gt;0,1,0))</f>
        <v>0</v>
      </c>
      <c r="CM139" s="39" t="n">
        <f aca="false">IF(CM$4=0,0,IF(COUNTIFS(実績!$W$6:$W$505,CM$3,実績!$AI$6:$AI$505,"&lt;="&amp;$A139,実績!$AJ$6:$AJ$505,"&gt;"&amp;$A139,実績!$AK$6:$AK$505,"○")&gt;0,1,0))</f>
        <v>0</v>
      </c>
      <c r="CN139" s="39" t="n">
        <f aca="false">IF(CN$4=0,0,IF(COUNTIFS(実績!$W$6:$W$505,CN$3,実績!$AI$6:$AI$505,"&lt;="&amp;$A139,実績!$AJ$6:$AJ$505,"&gt;"&amp;$A139,実績!$AK$6:$AK$505,"○")&gt;0,1,0))</f>
        <v>0</v>
      </c>
      <c r="CO139" s="39" t="n">
        <f aca="false">IF(CO$4=0,0,IF(COUNTIFS(実績!$W$6:$W$505,CO$3,実績!$AI$6:$AI$505,"&lt;="&amp;$A139,実績!$AJ$6:$AJ$505,"&gt;"&amp;$A139,実績!$AK$6:$AK$505,"○")&gt;0,1,0))</f>
        <v>0</v>
      </c>
      <c r="CP139" s="39" t="n">
        <f aca="false">IF(CP$4=0,0,IF(COUNTIFS(実績!$W$6:$W$505,CP$3,実績!$AI$6:$AI$505,"&lt;="&amp;$A139,実績!$AJ$6:$AJ$505,"&gt;"&amp;$A139,実績!$AK$6:$AK$505,"○")&gt;0,1,0))</f>
        <v>0</v>
      </c>
      <c r="CQ139" s="39" t="n">
        <f aca="false">IF(CQ$4=0,0,IF(COUNTIFS(実績!$W$6:$W$505,CQ$3,実績!$AI$6:$AI$505,"&lt;="&amp;$A139,実績!$AJ$6:$AJ$505,"&gt;"&amp;$A139,実績!$AK$6:$AK$505,"○")&gt;0,1,0))</f>
        <v>0</v>
      </c>
      <c r="CR139" s="39" t="n">
        <f aca="false">IF(CR$4=0,0,IF(COUNTIFS(実績!$W$6:$W$505,CR$3,実績!$AI$6:$AI$505,"&lt;="&amp;$A139,実績!$AJ$6:$AJ$505,"&gt;"&amp;$A139,実績!$AK$6:$AK$505,"○")&gt;0,1,0))</f>
        <v>0</v>
      </c>
      <c r="CS139" s="39" t="n">
        <f aca="false">IF(CS$4=0,0,IF(COUNTIFS(実績!$W$6:$W$505,CS$3,実績!$AI$6:$AI$505,"&lt;="&amp;$A139,実績!$AJ$6:$AJ$505,"&gt;"&amp;$A139,実績!$AK$6:$AK$505,"○")&gt;0,1,0))</f>
        <v>0</v>
      </c>
      <c r="CT139" s="39" t="n">
        <f aca="false">IF(CT$4=0,0,IF(COUNTIFS(実績!$W$6:$W$505,CT$3,実績!$AI$6:$AI$505,"&lt;="&amp;$A139,実績!$AJ$6:$AJ$505,"&gt;"&amp;$A139,実績!$AK$6:$AK$505,"○")&gt;0,1,0))</f>
        <v>0</v>
      </c>
      <c r="CU139" s="39" t="n">
        <f aca="false">IF(CU$4=0,0,IF(COUNTIFS(実績!$W$6:$W$505,CU$3,実績!$AI$6:$AI$505,"&lt;="&amp;$A139,実績!$AJ$6:$AJ$505,"&gt;"&amp;$A139,実績!$AK$6:$AK$505,"○")&gt;0,1,0))</f>
        <v>0</v>
      </c>
      <c r="CV139" s="39" t="n">
        <f aca="false">IF(CV$4=0,0,IF(COUNTIFS(実績!$W$6:$W$505,CV$3,実績!$AI$6:$AI$505,"&lt;="&amp;$A139,実績!$AJ$6:$AJ$505,"&gt;"&amp;$A139,実績!$AK$6:$AK$505,"○")&gt;0,1,0))</f>
        <v>0</v>
      </c>
      <c r="CW139" s="39" t="n">
        <f aca="false">IF(CW$4=0,0,IF(COUNTIFS(実績!$W$6:$W$505,CW$3,実績!$AI$6:$AI$505,"&lt;="&amp;$A139,実績!$AJ$6:$AJ$505,"&gt;"&amp;$A139,実績!$AK$6:$AK$505,"○")&gt;0,1,0))</f>
        <v>0</v>
      </c>
      <c r="CX139" s="39" t="n">
        <f aca="false">IF(CX$4=0,0,IF(COUNTIFS(実績!$W$6:$W$505,CX$3,実績!$AI$6:$AI$505,"&lt;="&amp;$A139,実績!$AJ$6:$AJ$505,"&gt;"&amp;$A139,実績!$AK$6:$AK$505,"○")&gt;0,1,0))</f>
        <v>0</v>
      </c>
      <c r="CY139" s="39" t="n">
        <f aca="false">IF(CY$4=0,0,IF(COUNTIFS(実績!$W$6:$W$505,CY$3,実績!$AI$6:$AI$505,"&lt;="&amp;$A139,実績!$AJ$6:$AJ$505,"&gt;"&amp;$A139,実績!$AK$6:$AK$505,"○")&gt;0,1,0))</f>
        <v>0</v>
      </c>
      <c r="CZ139" s="39" t="n">
        <f aca="false">IF(CZ$4=0,0,IF(COUNTIFS(実績!$W$6:$W$505,CZ$3,実績!$AI$6:$AI$505,"&lt;="&amp;$A139,実績!$AJ$6:$AJ$505,"&gt;"&amp;$A139,実績!$AK$6:$AK$505,"○")&gt;0,1,0))</f>
        <v>0</v>
      </c>
      <c r="DA139" s="39" t="n">
        <f aca="false">IF(DA$4=0,0,IF(COUNTIFS(実績!$W$6:$W$505,DA$3,実績!$AI$6:$AI$505,"&lt;="&amp;$A139,実績!$AJ$6:$AJ$505,"&gt;"&amp;$A139,実績!$AK$6:$AK$505,"○")&gt;0,1,0))</f>
        <v>0</v>
      </c>
      <c r="DB139" s="39" t="n">
        <f aca="false">IF(DB$4=0,0,IF(COUNTIFS(実績!$W$6:$W$505,DB$3,実績!$AI$6:$AI$505,"&lt;="&amp;$A139,実績!$AJ$6:$AJ$505,"&gt;"&amp;$A139,実績!$AK$6:$AK$505,"○")&gt;0,1,0))</f>
        <v>0</v>
      </c>
      <c r="DC139" s="39" t="n">
        <f aca="false">IF(DC$4=0,0,IF(COUNTIFS(実績!$W$6:$W$505,DC$3,実績!$AI$6:$AI$505,"&lt;="&amp;$A139,実績!$AJ$6:$AJ$505,"&gt;"&amp;$A139,実績!$AK$6:$AK$505,"○")&gt;0,1,0))</f>
        <v>0</v>
      </c>
      <c r="DD139" s="39" t="n">
        <f aca="false">IF(DD$4=0,0,IF(COUNTIFS(実績!$W$6:$W$505,DD$3,実績!$AI$6:$AI$505,"&lt;="&amp;$A139,実績!$AJ$6:$AJ$505,"&gt;"&amp;$A139,実績!$AK$6:$AK$505,"○")&gt;0,1,0))</f>
        <v>0</v>
      </c>
      <c r="DE139" s="39" t="n">
        <f aca="false">IF(DE$4=0,0,IF(COUNTIFS(実績!$W$6:$W$505,DE$3,実績!$AI$6:$AI$505,"&lt;="&amp;$A139,実績!$AJ$6:$AJ$505,"&gt;"&amp;$A139,実績!$AK$6:$AK$505,"○")&gt;0,1,0))</f>
        <v>0</v>
      </c>
      <c r="DF139" s="39" t="n">
        <f aca="false">IF(DF$4=0,0,IF(COUNTIFS(実績!$W$6:$W$505,DF$3,実績!$AI$6:$AI$505,"&lt;="&amp;$A139,実績!$AJ$6:$AJ$505,"&gt;"&amp;$A139,実績!$AK$6:$AK$505,"○")&gt;0,1,0))</f>
        <v>0</v>
      </c>
      <c r="DG139" s="39" t="n">
        <f aca="false">IF(DG$4=0,0,IF(COUNTIFS(実績!$W$6:$W$505,DG$3,実績!$AI$6:$AI$505,"&lt;="&amp;$A139,実績!$AJ$6:$AJ$505,"&gt;"&amp;$A139,実績!$AK$6:$AK$505,"○")&gt;0,1,0))</f>
        <v>0</v>
      </c>
      <c r="DH139" s="39" t="n">
        <f aca="false">IF(DH$4=0,0,IF(COUNTIFS(実績!$W$6:$W$505,DH$3,実績!$AI$6:$AI$505,"&lt;="&amp;$A139,実績!$AJ$6:$AJ$505,"&gt;"&amp;$A139,実績!$AK$6:$AK$505,"○")&gt;0,1,0))</f>
        <v>0</v>
      </c>
      <c r="DI139" s="39" t="n">
        <f aca="false">IF(DI$4=0,0,IF(COUNTIFS(実績!$W$6:$W$505,DI$3,実績!$AI$6:$AI$505,"&lt;="&amp;$A139,実績!$AJ$6:$AJ$505,"&gt;"&amp;$A139,実績!$AK$6:$AK$505,"○")&gt;0,1,0))</f>
        <v>0</v>
      </c>
      <c r="DJ139" s="39" t="n">
        <f aca="false">IF(DJ$4=0,0,IF(COUNTIFS(実績!$W$6:$W$505,DJ$3,実績!$AI$6:$AI$505,"&lt;="&amp;$A139,実績!$AJ$6:$AJ$505,"&gt;"&amp;$A139,実績!$AK$6:$AK$505,"○")&gt;0,1,0))</f>
        <v>0</v>
      </c>
      <c r="DK139" s="39" t="n">
        <f aca="false">IF(DK$4=0,0,IF(COUNTIFS(実績!$W$6:$W$505,DK$3,実績!$AI$6:$AI$505,"&lt;="&amp;$A139,実績!$AJ$6:$AJ$505,"&gt;"&amp;$A139,実績!$AK$6:$AK$505,"○")&gt;0,1,0))</f>
        <v>0</v>
      </c>
      <c r="DL139" s="39" t="n">
        <f aca="false">IF(DL$4=0,0,IF(COUNTIFS(実績!$W$6:$W$505,DL$3,実績!$AI$6:$AI$505,"&lt;="&amp;$A139,実績!$AJ$6:$AJ$505,"&gt;"&amp;$A139,実績!$AK$6:$AK$505,"○")&gt;0,1,0))</f>
        <v>0</v>
      </c>
      <c r="DM139" s="39" t="n">
        <f aca="false">IF(DM$4=0,0,IF(COUNTIFS(実績!$W$6:$W$505,DM$3,実績!$AI$6:$AI$505,"&lt;="&amp;$A139,実績!$AJ$6:$AJ$505,"&gt;"&amp;$A139,実績!$AK$6:$AK$505,"○")&gt;0,1,0))</f>
        <v>0</v>
      </c>
      <c r="DN139" s="39" t="n">
        <f aca="false">IF(DN$4=0,0,IF(COUNTIFS(実績!$W$6:$W$505,DN$3,実績!$AI$6:$AI$505,"&lt;="&amp;$A139,実績!$AJ$6:$AJ$505,"&gt;"&amp;$A139,実績!$AK$6:$AK$505,"○")&gt;0,1,0))</f>
        <v>0</v>
      </c>
      <c r="DO139" s="39" t="n">
        <f aca="false">IF(DO$4=0,0,IF(COUNTIFS(実績!$W$6:$W$505,DO$3,実績!$AI$6:$AI$505,"&lt;="&amp;$A139,実績!$AJ$6:$AJ$505,"&gt;"&amp;$A139,実績!$AK$6:$AK$505,"○")&gt;0,1,0))</f>
        <v>0</v>
      </c>
      <c r="DP139" s="39" t="n">
        <f aca="false">IF(DP$4=0,0,IF(COUNTIFS(実績!$W$6:$W$505,DP$3,実績!$AI$6:$AI$505,"&lt;="&amp;$A139,実績!$AJ$6:$AJ$505,"&gt;"&amp;$A139,実績!$AK$6:$AK$505,"○")&gt;0,1,0))</f>
        <v>0</v>
      </c>
      <c r="DQ139" s="39" t="n">
        <f aca="false">IF(DQ$4=0,0,IF(COUNTIFS(実績!$W$6:$W$505,DQ$3,実績!$AI$6:$AI$505,"&lt;="&amp;$A139,実績!$AJ$6:$AJ$505,"&gt;"&amp;$A139,実績!$AK$6:$AK$505,"○")&gt;0,1,0))</f>
        <v>0</v>
      </c>
      <c r="DR139" s="39" t="n">
        <f aca="false">IF(DR$4=0,0,IF(COUNTIFS(実績!$W$6:$W$505,DR$3,実績!$AI$6:$AI$505,"&lt;="&amp;$A139,実績!$AJ$6:$AJ$505,"&gt;"&amp;$A139,実績!$AK$6:$AK$505,"○")&gt;0,1,0))</f>
        <v>0</v>
      </c>
      <c r="DS139" s="39" t="n">
        <f aca="false">SUM(C139:DR139)</f>
        <v>0</v>
      </c>
      <c r="DT139" s="39" t="n">
        <f aca="false">SUMPRODUCT((実績!$C$6:$C$505="○")*ISNUMBER(実績!$AM$6:$AM$505)*(実績!$AM$6:$AM$505&lt;=$A139)*(実績!$AN$6:$AN$505&gt;$A139))</f>
        <v>0</v>
      </c>
      <c r="DU139" s="39" t="n">
        <f aca="false">SUMIF($C$2:$DR$2,"製鉄曳船",C139:DR139)</f>
        <v>0</v>
      </c>
      <c r="DV139" s="39" t="n">
        <f aca="false">SUMIF($C$2:$DR$2,"西日本海運",C139:DR139)</f>
        <v>0</v>
      </c>
    </row>
    <row r="140" customFormat="false" ht="15" hidden="false" customHeight="false" outlineLevel="0" collapsed="false">
      <c r="A140" s="0" t="n">
        <v>670</v>
      </c>
      <c r="B140" s="38" t="n">
        <f aca="false">A140/1440</f>
        <v>0.465277777777778</v>
      </c>
      <c r="C140" s="39" t="n">
        <f aca="false">IF(C$4=0,0,IF(COUNTIFS(実績!$W$6:$W$505,C$3,実績!$AI$6:$AI$505,"&lt;="&amp;$A140,実績!$AJ$6:$AJ$505,"&gt;"&amp;$A140,実績!$AK$6:$AK$505,"○")&gt;0,1,0))</f>
        <v>0</v>
      </c>
      <c r="D140" s="39" t="n">
        <f aca="false">IF(D$4=0,0,IF(COUNTIFS(実績!$W$6:$W$505,D$3,実績!$AI$6:$AI$505,"&lt;="&amp;$A140,実績!$AJ$6:$AJ$505,"&gt;"&amp;$A140,実績!$AK$6:$AK$505,"○")&gt;0,1,0))</f>
        <v>0</v>
      </c>
      <c r="E140" s="39" t="n">
        <f aca="false">IF(E$4=0,0,IF(COUNTIFS(実績!$W$6:$W$505,E$3,実績!$AI$6:$AI$505,"&lt;="&amp;$A140,実績!$AJ$6:$AJ$505,"&gt;"&amp;$A140,実績!$AK$6:$AK$505,"○")&gt;0,1,0))</f>
        <v>0</v>
      </c>
      <c r="F140" s="39" t="n">
        <f aca="false">IF(F$4=0,0,IF(COUNTIFS(実績!$W$6:$W$505,F$3,実績!$AI$6:$AI$505,"&lt;="&amp;$A140,実績!$AJ$6:$AJ$505,"&gt;"&amp;$A140,実績!$AK$6:$AK$505,"○")&gt;0,1,0))</f>
        <v>0</v>
      </c>
      <c r="G140" s="39" t="n">
        <f aca="false">IF(G$4=0,0,IF(COUNTIFS(実績!$W$6:$W$505,G$3,実績!$AI$6:$AI$505,"&lt;="&amp;$A140,実績!$AJ$6:$AJ$505,"&gt;"&amp;$A140,実績!$AK$6:$AK$505,"○")&gt;0,1,0))</f>
        <v>0</v>
      </c>
      <c r="H140" s="39" t="n">
        <f aca="false">IF(H$4=0,0,IF(COUNTIFS(実績!$W$6:$W$505,H$3,実績!$AI$6:$AI$505,"&lt;="&amp;$A140,実績!$AJ$6:$AJ$505,"&gt;"&amp;$A140,実績!$AK$6:$AK$505,"○")&gt;0,1,0))</f>
        <v>0</v>
      </c>
      <c r="I140" s="39" t="n">
        <f aca="false">IF(I$4=0,0,IF(COUNTIFS(実績!$W$6:$W$505,I$3,実績!$AI$6:$AI$505,"&lt;="&amp;$A140,実績!$AJ$6:$AJ$505,"&gt;"&amp;$A140,実績!$AK$6:$AK$505,"○")&gt;0,1,0))</f>
        <v>0</v>
      </c>
      <c r="J140" s="39" t="n">
        <f aca="false">IF(J$4=0,0,IF(COUNTIFS(実績!$W$6:$W$505,J$3,実績!$AI$6:$AI$505,"&lt;="&amp;$A140,実績!$AJ$6:$AJ$505,"&gt;"&amp;$A140,実績!$AK$6:$AK$505,"○")&gt;0,1,0))</f>
        <v>0</v>
      </c>
      <c r="K140" s="39" t="n">
        <f aca="false">IF(K$4=0,0,IF(COUNTIFS(実績!$W$6:$W$505,K$3,実績!$AI$6:$AI$505,"&lt;="&amp;$A140,実績!$AJ$6:$AJ$505,"&gt;"&amp;$A140,実績!$AK$6:$AK$505,"○")&gt;0,1,0))</f>
        <v>0</v>
      </c>
      <c r="L140" s="39" t="n">
        <f aca="false">IF(L$4=0,0,IF(COUNTIFS(実績!$W$6:$W$505,L$3,実績!$AI$6:$AI$505,"&lt;="&amp;$A140,実績!$AJ$6:$AJ$505,"&gt;"&amp;$A140,実績!$AK$6:$AK$505,"○")&gt;0,1,0))</f>
        <v>0</v>
      </c>
      <c r="M140" s="39" t="n">
        <f aca="false">IF(M$4=0,0,IF(COUNTIFS(実績!$W$6:$W$505,M$3,実績!$AI$6:$AI$505,"&lt;="&amp;$A140,実績!$AJ$6:$AJ$505,"&gt;"&amp;$A140,実績!$AK$6:$AK$505,"○")&gt;0,1,0))</f>
        <v>0</v>
      </c>
      <c r="N140" s="39" t="n">
        <f aca="false">IF(N$4=0,0,IF(COUNTIFS(実績!$W$6:$W$505,N$3,実績!$AI$6:$AI$505,"&lt;="&amp;$A140,実績!$AJ$6:$AJ$505,"&gt;"&amp;$A140,実績!$AK$6:$AK$505,"○")&gt;0,1,0))</f>
        <v>0</v>
      </c>
      <c r="O140" s="39" t="n">
        <f aca="false">IF(O$4=0,0,IF(COUNTIFS(実績!$W$6:$W$505,O$3,実績!$AI$6:$AI$505,"&lt;="&amp;$A140,実績!$AJ$6:$AJ$505,"&gt;"&amp;$A140,実績!$AK$6:$AK$505,"○")&gt;0,1,0))</f>
        <v>0</v>
      </c>
      <c r="P140" s="39" t="n">
        <f aca="false">IF(P$4=0,0,IF(COUNTIFS(実績!$W$6:$W$505,P$3,実績!$AI$6:$AI$505,"&lt;="&amp;$A140,実績!$AJ$6:$AJ$505,"&gt;"&amp;$A140,実績!$AK$6:$AK$505,"○")&gt;0,1,0))</f>
        <v>0</v>
      </c>
      <c r="Q140" s="39" t="n">
        <f aca="false">IF(Q$4=0,0,IF(COUNTIFS(実績!$W$6:$W$505,Q$3,実績!$AI$6:$AI$505,"&lt;="&amp;$A140,実績!$AJ$6:$AJ$505,"&gt;"&amp;$A140,実績!$AK$6:$AK$505,"○")&gt;0,1,0))</f>
        <v>0</v>
      </c>
      <c r="R140" s="39" t="n">
        <f aca="false">IF(R$4=0,0,IF(COUNTIFS(実績!$W$6:$W$505,R$3,実績!$AI$6:$AI$505,"&lt;="&amp;$A140,実績!$AJ$6:$AJ$505,"&gt;"&amp;$A140,実績!$AK$6:$AK$505,"○")&gt;0,1,0))</f>
        <v>0</v>
      </c>
      <c r="S140" s="39" t="n">
        <f aca="false">IF(S$4=0,0,IF(COUNTIFS(実績!$W$6:$W$505,S$3,実績!$AI$6:$AI$505,"&lt;="&amp;$A140,実績!$AJ$6:$AJ$505,"&gt;"&amp;$A140,実績!$AK$6:$AK$505,"○")&gt;0,1,0))</f>
        <v>0</v>
      </c>
      <c r="T140" s="39" t="n">
        <f aca="false">IF(T$4=0,0,IF(COUNTIFS(実績!$W$6:$W$505,T$3,実績!$AI$6:$AI$505,"&lt;="&amp;$A140,実績!$AJ$6:$AJ$505,"&gt;"&amp;$A140,実績!$AK$6:$AK$505,"○")&gt;0,1,0))</f>
        <v>0</v>
      </c>
      <c r="U140" s="39" t="n">
        <f aca="false">IF(U$4=0,0,IF(COUNTIFS(実績!$W$6:$W$505,U$3,実績!$AI$6:$AI$505,"&lt;="&amp;$A140,実績!$AJ$6:$AJ$505,"&gt;"&amp;$A140,実績!$AK$6:$AK$505,"○")&gt;0,1,0))</f>
        <v>0</v>
      </c>
      <c r="V140" s="39" t="n">
        <f aca="false">IF(V$4=0,0,IF(COUNTIFS(実績!$W$6:$W$505,V$3,実績!$AI$6:$AI$505,"&lt;="&amp;$A140,実績!$AJ$6:$AJ$505,"&gt;"&amp;$A140,実績!$AK$6:$AK$505,"○")&gt;0,1,0))</f>
        <v>0</v>
      </c>
      <c r="W140" s="39" t="n">
        <f aca="false">IF(W$4=0,0,IF(COUNTIFS(実績!$W$6:$W$505,W$3,実績!$AI$6:$AI$505,"&lt;="&amp;$A140,実績!$AJ$6:$AJ$505,"&gt;"&amp;$A140,実績!$AK$6:$AK$505,"○")&gt;0,1,0))</f>
        <v>0</v>
      </c>
      <c r="X140" s="39" t="n">
        <f aca="false">IF(X$4=0,0,IF(COUNTIFS(実績!$W$6:$W$505,X$3,実績!$AI$6:$AI$505,"&lt;="&amp;$A140,実績!$AJ$6:$AJ$505,"&gt;"&amp;$A140,実績!$AK$6:$AK$505,"○")&gt;0,1,0))</f>
        <v>0</v>
      </c>
      <c r="Y140" s="39" t="n">
        <f aca="false">IF(Y$4=0,0,IF(COUNTIFS(実績!$W$6:$W$505,Y$3,実績!$AI$6:$AI$505,"&lt;="&amp;$A140,実績!$AJ$6:$AJ$505,"&gt;"&amp;$A140,実績!$AK$6:$AK$505,"○")&gt;0,1,0))</f>
        <v>0</v>
      </c>
      <c r="Z140" s="39" t="n">
        <f aca="false">IF(Z$4=0,0,IF(COUNTIFS(実績!$W$6:$W$505,Z$3,実績!$AI$6:$AI$505,"&lt;="&amp;$A140,実績!$AJ$6:$AJ$505,"&gt;"&amp;$A140,実績!$AK$6:$AK$505,"○")&gt;0,1,0))</f>
        <v>0</v>
      </c>
      <c r="AA140" s="39" t="n">
        <f aca="false">IF(AA$4=0,0,IF(COUNTIFS(実績!$W$6:$W$505,AA$3,実績!$AI$6:$AI$505,"&lt;="&amp;$A140,実績!$AJ$6:$AJ$505,"&gt;"&amp;$A140,実績!$AK$6:$AK$505,"○")&gt;0,1,0))</f>
        <v>0</v>
      </c>
      <c r="AB140" s="39" t="n">
        <f aca="false">IF(AB$4=0,0,IF(COUNTIFS(実績!$W$6:$W$505,AB$3,実績!$AI$6:$AI$505,"&lt;="&amp;$A140,実績!$AJ$6:$AJ$505,"&gt;"&amp;$A140,実績!$AK$6:$AK$505,"○")&gt;0,1,0))</f>
        <v>0</v>
      </c>
      <c r="AC140" s="39" t="n">
        <f aca="false">IF(AC$4=0,0,IF(COUNTIFS(実績!$W$6:$W$505,AC$3,実績!$AI$6:$AI$505,"&lt;="&amp;$A140,実績!$AJ$6:$AJ$505,"&gt;"&amp;$A140,実績!$AK$6:$AK$505,"○")&gt;0,1,0))</f>
        <v>0</v>
      </c>
      <c r="AD140" s="39" t="n">
        <f aca="false">IF(AD$4=0,0,IF(COUNTIFS(実績!$W$6:$W$505,AD$3,実績!$AI$6:$AI$505,"&lt;="&amp;$A140,実績!$AJ$6:$AJ$505,"&gt;"&amp;$A140,実績!$AK$6:$AK$505,"○")&gt;0,1,0))</f>
        <v>0</v>
      </c>
      <c r="AE140" s="39" t="n">
        <f aca="false">IF(AE$4=0,0,IF(COUNTIFS(実績!$W$6:$W$505,AE$3,実績!$AI$6:$AI$505,"&lt;="&amp;$A140,実績!$AJ$6:$AJ$505,"&gt;"&amp;$A140,実績!$AK$6:$AK$505,"○")&gt;0,1,0))</f>
        <v>0</v>
      </c>
      <c r="AF140" s="39" t="n">
        <f aca="false">IF(AF$4=0,0,IF(COUNTIFS(実績!$W$6:$W$505,AF$3,実績!$AI$6:$AI$505,"&lt;="&amp;$A140,実績!$AJ$6:$AJ$505,"&gt;"&amp;$A140,実績!$AK$6:$AK$505,"○")&gt;0,1,0))</f>
        <v>0</v>
      </c>
      <c r="AG140" s="39" t="n">
        <f aca="false">IF(AG$4=0,0,IF(COUNTIFS(実績!$W$6:$W$505,AG$3,実績!$AI$6:$AI$505,"&lt;="&amp;$A140,実績!$AJ$6:$AJ$505,"&gt;"&amp;$A140,実績!$AK$6:$AK$505,"○")&gt;0,1,0))</f>
        <v>0</v>
      </c>
      <c r="AH140" s="39" t="n">
        <f aca="false">IF(AH$4=0,0,IF(COUNTIFS(実績!$W$6:$W$505,AH$3,実績!$AI$6:$AI$505,"&lt;="&amp;$A140,実績!$AJ$6:$AJ$505,"&gt;"&amp;$A140,実績!$AK$6:$AK$505,"○")&gt;0,1,0))</f>
        <v>0</v>
      </c>
      <c r="AI140" s="39" t="n">
        <f aca="false">IF(AI$4=0,0,IF(COUNTIFS(実績!$W$6:$W$505,AI$3,実績!$AI$6:$AI$505,"&lt;="&amp;$A140,実績!$AJ$6:$AJ$505,"&gt;"&amp;$A140,実績!$AK$6:$AK$505,"○")&gt;0,1,0))</f>
        <v>0</v>
      </c>
      <c r="AJ140" s="39" t="n">
        <f aca="false">IF(AJ$4=0,0,IF(COUNTIFS(実績!$W$6:$W$505,AJ$3,実績!$AI$6:$AI$505,"&lt;="&amp;$A140,実績!$AJ$6:$AJ$505,"&gt;"&amp;$A140,実績!$AK$6:$AK$505,"○")&gt;0,1,0))</f>
        <v>0</v>
      </c>
      <c r="AK140" s="39" t="n">
        <f aca="false">IF(AK$4=0,0,IF(COUNTIFS(実績!$W$6:$W$505,AK$3,実績!$AI$6:$AI$505,"&lt;="&amp;$A140,実績!$AJ$6:$AJ$505,"&gt;"&amp;$A140,実績!$AK$6:$AK$505,"○")&gt;0,1,0))</f>
        <v>0</v>
      </c>
      <c r="AL140" s="39" t="n">
        <f aca="false">IF(AL$4=0,0,IF(COUNTIFS(実績!$W$6:$W$505,AL$3,実績!$AI$6:$AI$505,"&lt;="&amp;$A140,実績!$AJ$6:$AJ$505,"&gt;"&amp;$A140,実績!$AK$6:$AK$505,"○")&gt;0,1,0))</f>
        <v>0</v>
      </c>
      <c r="AM140" s="39" t="n">
        <f aca="false">IF(AM$4=0,0,IF(COUNTIFS(実績!$W$6:$W$505,AM$3,実績!$AI$6:$AI$505,"&lt;="&amp;$A140,実績!$AJ$6:$AJ$505,"&gt;"&amp;$A140,実績!$AK$6:$AK$505,"○")&gt;0,1,0))</f>
        <v>0</v>
      </c>
      <c r="AN140" s="39" t="n">
        <f aca="false">IF(AN$4=0,0,IF(COUNTIFS(実績!$W$6:$W$505,AN$3,実績!$AI$6:$AI$505,"&lt;="&amp;$A140,実績!$AJ$6:$AJ$505,"&gt;"&amp;$A140,実績!$AK$6:$AK$505,"○")&gt;0,1,0))</f>
        <v>0</v>
      </c>
      <c r="AO140" s="39" t="n">
        <f aca="false">IF(AO$4=0,0,IF(COUNTIFS(実績!$W$6:$W$505,AO$3,実績!$AI$6:$AI$505,"&lt;="&amp;$A140,実績!$AJ$6:$AJ$505,"&gt;"&amp;$A140,実績!$AK$6:$AK$505,"○")&gt;0,1,0))</f>
        <v>0</v>
      </c>
      <c r="AP140" s="39" t="n">
        <f aca="false">IF(AP$4=0,0,IF(COUNTIFS(実績!$W$6:$W$505,AP$3,実績!$AI$6:$AI$505,"&lt;="&amp;$A140,実績!$AJ$6:$AJ$505,"&gt;"&amp;$A140,実績!$AK$6:$AK$505,"○")&gt;0,1,0))</f>
        <v>0</v>
      </c>
      <c r="AQ140" s="39" t="n">
        <f aca="false">IF(AQ$4=0,0,IF(COUNTIFS(実績!$W$6:$W$505,AQ$3,実績!$AI$6:$AI$505,"&lt;="&amp;$A140,実績!$AJ$6:$AJ$505,"&gt;"&amp;$A140,実績!$AK$6:$AK$505,"○")&gt;0,1,0))</f>
        <v>0</v>
      </c>
      <c r="AR140" s="39" t="n">
        <f aca="false">IF(AR$4=0,0,IF(COUNTIFS(実績!$W$6:$W$505,AR$3,実績!$AI$6:$AI$505,"&lt;="&amp;$A140,実績!$AJ$6:$AJ$505,"&gt;"&amp;$A140,実績!$AK$6:$AK$505,"○")&gt;0,1,0))</f>
        <v>0</v>
      </c>
      <c r="AS140" s="39" t="n">
        <f aca="false">IF(AS$4=0,0,IF(COUNTIFS(実績!$W$6:$W$505,AS$3,実績!$AI$6:$AI$505,"&lt;="&amp;$A140,実績!$AJ$6:$AJ$505,"&gt;"&amp;$A140,実績!$AK$6:$AK$505,"○")&gt;0,1,0))</f>
        <v>0</v>
      </c>
      <c r="AT140" s="39" t="n">
        <f aca="false">IF(AT$4=0,0,IF(COUNTIFS(実績!$W$6:$W$505,AT$3,実績!$AI$6:$AI$505,"&lt;="&amp;$A140,実績!$AJ$6:$AJ$505,"&gt;"&amp;$A140,実績!$AK$6:$AK$505,"○")&gt;0,1,0))</f>
        <v>0</v>
      </c>
      <c r="AU140" s="39" t="n">
        <f aca="false">IF(AU$4=0,0,IF(COUNTIFS(実績!$W$6:$W$505,AU$3,実績!$AI$6:$AI$505,"&lt;="&amp;$A140,実績!$AJ$6:$AJ$505,"&gt;"&amp;$A140,実績!$AK$6:$AK$505,"○")&gt;0,1,0))</f>
        <v>0</v>
      </c>
      <c r="AV140" s="39" t="n">
        <f aca="false">IF(AV$4=0,0,IF(COUNTIFS(実績!$W$6:$W$505,AV$3,実績!$AI$6:$AI$505,"&lt;="&amp;$A140,実績!$AJ$6:$AJ$505,"&gt;"&amp;$A140,実績!$AK$6:$AK$505,"○")&gt;0,1,0))</f>
        <v>0</v>
      </c>
      <c r="AW140" s="39" t="n">
        <f aca="false">IF(AW$4=0,0,IF(COUNTIFS(実績!$W$6:$W$505,AW$3,実績!$AI$6:$AI$505,"&lt;="&amp;$A140,実績!$AJ$6:$AJ$505,"&gt;"&amp;$A140,実績!$AK$6:$AK$505,"○")&gt;0,1,0))</f>
        <v>0</v>
      </c>
      <c r="AX140" s="39" t="n">
        <f aca="false">IF(AX$4=0,0,IF(COUNTIFS(実績!$W$6:$W$505,AX$3,実績!$AI$6:$AI$505,"&lt;="&amp;$A140,実績!$AJ$6:$AJ$505,"&gt;"&amp;$A140,実績!$AK$6:$AK$505,"○")&gt;0,1,0))</f>
        <v>0</v>
      </c>
      <c r="AY140" s="39" t="n">
        <f aca="false">IF(AY$4=0,0,IF(COUNTIFS(実績!$W$6:$W$505,AY$3,実績!$AI$6:$AI$505,"&lt;="&amp;$A140,実績!$AJ$6:$AJ$505,"&gt;"&amp;$A140,実績!$AK$6:$AK$505,"○")&gt;0,1,0))</f>
        <v>0</v>
      </c>
      <c r="AZ140" s="39" t="n">
        <f aca="false">IF(AZ$4=0,0,IF(COUNTIFS(実績!$W$6:$W$505,AZ$3,実績!$AI$6:$AI$505,"&lt;="&amp;$A140,実績!$AJ$6:$AJ$505,"&gt;"&amp;$A140,実績!$AK$6:$AK$505,"○")&gt;0,1,0))</f>
        <v>0</v>
      </c>
      <c r="BA140" s="39" t="n">
        <f aca="false">IF(BA$4=0,0,IF(COUNTIFS(実績!$W$6:$W$505,BA$3,実績!$AI$6:$AI$505,"&lt;="&amp;$A140,実績!$AJ$6:$AJ$505,"&gt;"&amp;$A140,実績!$AK$6:$AK$505,"○")&gt;0,1,0))</f>
        <v>0</v>
      </c>
      <c r="BB140" s="39" t="n">
        <f aca="false">IF(BB$4=0,0,IF(COUNTIFS(実績!$W$6:$W$505,BB$3,実績!$AI$6:$AI$505,"&lt;="&amp;$A140,実績!$AJ$6:$AJ$505,"&gt;"&amp;$A140,実績!$AK$6:$AK$505,"○")&gt;0,1,0))</f>
        <v>0</v>
      </c>
      <c r="BC140" s="39" t="n">
        <f aca="false">IF(BC$4=0,0,IF(COUNTIFS(実績!$W$6:$W$505,BC$3,実績!$AI$6:$AI$505,"&lt;="&amp;$A140,実績!$AJ$6:$AJ$505,"&gt;"&amp;$A140,実績!$AK$6:$AK$505,"○")&gt;0,1,0))</f>
        <v>0</v>
      </c>
      <c r="BD140" s="39" t="n">
        <f aca="false">IF(BD$4=0,0,IF(COUNTIFS(実績!$W$6:$W$505,BD$3,実績!$AI$6:$AI$505,"&lt;="&amp;$A140,実績!$AJ$6:$AJ$505,"&gt;"&amp;$A140,実績!$AK$6:$AK$505,"○")&gt;0,1,0))</f>
        <v>0</v>
      </c>
      <c r="BE140" s="39" t="n">
        <f aca="false">IF(BE$4=0,0,IF(COUNTIFS(実績!$W$6:$W$505,BE$3,実績!$AI$6:$AI$505,"&lt;="&amp;$A140,実績!$AJ$6:$AJ$505,"&gt;"&amp;$A140,実績!$AK$6:$AK$505,"○")&gt;0,1,0))</f>
        <v>0</v>
      </c>
      <c r="BF140" s="39" t="n">
        <f aca="false">IF(BF$4=0,0,IF(COUNTIFS(実績!$W$6:$W$505,BF$3,実績!$AI$6:$AI$505,"&lt;="&amp;$A140,実績!$AJ$6:$AJ$505,"&gt;"&amp;$A140,実績!$AK$6:$AK$505,"○")&gt;0,1,0))</f>
        <v>0</v>
      </c>
      <c r="BG140" s="39" t="n">
        <f aca="false">IF(BG$4=0,0,IF(COUNTIFS(実績!$W$6:$W$505,BG$3,実績!$AI$6:$AI$505,"&lt;="&amp;$A140,実績!$AJ$6:$AJ$505,"&gt;"&amp;$A140,実績!$AK$6:$AK$505,"○")&gt;0,1,0))</f>
        <v>0</v>
      </c>
      <c r="BH140" s="39" t="n">
        <f aca="false">IF(BH$4=0,0,IF(COUNTIFS(実績!$W$6:$W$505,BH$3,実績!$AI$6:$AI$505,"&lt;="&amp;$A140,実績!$AJ$6:$AJ$505,"&gt;"&amp;$A140,実績!$AK$6:$AK$505,"○")&gt;0,1,0))</f>
        <v>0</v>
      </c>
      <c r="BI140" s="39" t="n">
        <f aca="false">IF(BI$4=0,0,IF(COUNTIFS(実績!$W$6:$W$505,BI$3,実績!$AI$6:$AI$505,"&lt;="&amp;$A140,実績!$AJ$6:$AJ$505,"&gt;"&amp;$A140,実績!$AK$6:$AK$505,"○")&gt;0,1,0))</f>
        <v>0</v>
      </c>
      <c r="BJ140" s="39" t="n">
        <f aca="false">IF(BJ$4=0,0,IF(COUNTIFS(実績!$W$6:$W$505,BJ$3,実績!$AI$6:$AI$505,"&lt;="&amp;$A140,実績!$AJ$6:$AJ$505,"&gt;"&amp;$A140,実績!$AK$6:$AK$505,"○")&gt;0,1,0))</f>
        <v>0</v>
      </c>
      <c r="BK140" s="39" t="n">
        <f aca="false">IF(BK$4=0,0,IF(COUNTIFS(実績!$W$6:$W$505,BK$3,実績!$AI$6:$AI$505,"&lt;="&amp;$A140,実績!$AJ$6:$AJ$505,"&gt;"&amp;$A140,実績!$AK$6:$AK$505,"○")&gt;0,1,0))</f>
        <v>0</v>
      </c>
      <c r="BL140" s="39" t="n">
        <f aca="false">IF(BL$4=0,0,IF(COUNTIFS(実績!$W$6:$W$505,BL$3,実績!$AI$6:$AI$505,"&lt;="&amp;$A140,実績!$AJ$6:$AJ$505,"&gt;"&amp;$A140,実績!$AK$6:$AK$505,"○")&gt;0,1,0))</f>
        <v>0</v>
      </c>
      <c r="BM140" s="39" t="n">
        <f aca="false">IF(BM$4=0,0,IF(COUNTIFS(実績!$W$6:$W$505,BM$3,実績!$AI$6:$AI$505,"&lt;="&amp;$A140,実績!$AJ$6:$AJ$505,"&gt;"&amp;$A140,実績!$AK$6:$AK$505,"○")&gt;0,1,0))</f>
        <v>0</v>
      </c>
      <c r="BN140" s="39" t="n">
        <f aca="false">IF(BN$4=0,0,IF(COUNTIFS(実績!$W$6:$W$505,BN$3,実績!$AI$6:$AI$505,"&lt;="&amp;$A140,実績!$AJ$6:$AJ$505,"&gt;"&amp;$A140,実績!$AK$6:$AK$505,"○")&gt;0,1,0))</f>
        <v>0</v>
      </c>
      <c r="BO140" s="39" t="n">
        <f aca="false">IF(BO$4=0,0,IF(COUNTIFS(実績!$W$6:$W$505,BO$3,実績!$AI$6:$AI$505,"&lt;="&amp;$A140,実績!$AJ$6:$AJ$505,"&gt;"&amp;$A140,実績!$AK$6:$AK$505,"○")&gt;0,1,0))</f>
        <v>0</v>
      </c>
      <c r="BP140" s="39" t="n">
        <f aca="false">IF(BP$4=0,0,IF(COUNTIFS(実績!$W$6:$W$505,BP$3,実績!$AI$6:$AI$505,"&lt;="&amp;$A140,実績!$AJ$6:$AJ$505,"&gt;"&amp;$A140,実績!$AK$6:$AK$505,"○")&gt;0,1,0))</f>
        <v>0</v>
      </c>
      <c r="BQ140" s="39" t="n">
        <f aca="false">IF(BQ$4=0,0,IF(COUNTIFS(実績!$W$6:$W$505,BQ$3,実績!$AI$6:$AI$505,"&lt;="&amp;$A140,実績!$AJ$6:$AJ$505,"&gt;"&amp;$A140,実績!$AK$6:$AK$505,"○")&gt;0,1,0))</f>
        <v>0</v>
      </c>
      <c r="BR140" s="39" t="n">
        <f aca="false">IF(BR$4=0,0,IF(COUNTIFS(実績!$W$6:$W$505,BR$3,実績!$AI$6:$AI$505,"&lt;="&amp;$A140,実績!$AJ$6:$AJ$505,"&gt;"&amp;$A140,実績!$AK$6:$AK$505,"○")&gt;0,1,0))</f>
        <v>0</v>
      </c>
      <c r="BS140" s="39" t="n">
        <f aca="false">IF(BS$4=0,0,IF(COUNTIFS(実績!$W$6:$W$505,BS$3,実績!$AI$6:$AI$505,"&lt;="&amp;$A140,実績!$AJ$6:$AJ$505,"&gt;"&amp;$A140,実績!$AK$6:$AK$505,"○")&gt;0,1,0))</f>
        <v>0</v>
      </c>
      <c r="BT140" s="39" t="n">
        <f aca="false">IF(BT$4=0,0,IF(COUNTIFS(実績!$W$6:$W$505,BT$3,実績!$AI$6:$AI$505,"&lt;="&amp;$A140,実績!$AJ$6:$AJ$505,"&gt;"&amp;$A140,実績!$AK$6:$AK$505,"○")&gt;0,1,0))</f>
        <v>0</v>
      </c>
      <c r="BU140" s="39" t="n">
        <f aca="false">IF(BU$4=0,0,IF(COUNTIFS(実績!$W$6:$W$505,BU$3,実績!$AI$6:$AI$505,"&lt;="&amp;$A140,実績!$AJ$6:$AJ$505,"&gt;"&amp;$A140,実績!$AK$6:$AK$505,"○")&gt;0,1,0))</f>
        <v>0</v>
      </c>
      <c r="BV140" s="39" t="n">
        <f aca="false">IF(BV$4=0,0,IF(COUNTIFS(実績!$W$6:$W$505,BV$3,実績!$AI$6:$AI$505,"&lt;="&amp;$A140,実績!$AJ$6:$AJ$505,"&gt;"&amp;$A140,実績!$AK$6:$AK$505,"○")&gt;0,1,0))</f>
        <v>0</v>
      </c>
      <c r="BW140" s="39" t="n">
        <f aca="false">IF(BW$4=0,0,IF(COUNTIFS(実績!$W$6:$W$505,BW$3,実績!$AI$6:$AI$505,"&lt;="&amp;$A140,実績!$AJ$6:$AJ$505,"&gt;"&amp;$A140,実績!$AK$6:$AK$505,"○")&gt;0,1,0))</f>
        <v>0</v>
      </c>
      <c r="BX140" s="39" t="n">
        <f aca="false">IF(BX$4=0,0,IF(COUNTIFS(実績!$W$6:$W$505,BX$3,実績!$AI$6:$AI$505,"&lt;="&amp;$A140,実績!$AJ$6:$AJ$505,"&gt;"&amp;$A140,実績!$AK$6:$AK$505,"○")&gt;0,1,0))</f>
        <v>0</v>
      </c>
      <c r="BY140" s="39" t="n">
        <f aca="false">IF(BY$4=0,0,IF(COUNTIFS(実績!$W$6:$W$505,BY$3,実績!$AI$6:$AI$505,"&lt;="&amp;$A140,実績!$AJ$6:$AJ$505,"&gt;"&amp;$A140,実績!$AK$6:$AK$505,"○")&gt;0,1,0))</f>
        <v>0</v>
      </c>
      <c r="BZ140" s="39" t="n">
        <f aca="false">IF(BZ$4=0,0,IF(COUNTIFS(実績!$W$6:$W$505,BZ$3,実績!$AI$6:$AI$505,"&lt;="&amp;$A140,実績!$AJ$6:$AJ$505,"&gt;"&amp;$A140,実績!$AK$6:$AK$505,"○")&gt;0,1,0))</f>
        <v>0</v>
      </c>
      <c r="CA140" s="39" t="n">
        <f aca="false">IF(CA$4=0,0,IF(COUNTIFS(実績!$W$6:$W$505,CA$3,実績!$AI$6:$AI$505,"&lt;="&amp;$A140,実績!$AJ$6:$AJ$505,"&gt;"&amp;$A140,実績!$AK$6:$AK$505,"○")&gt;0,1,0))</f>
        <v>0</v>
      </c>
      <c r="CB140" s="39" t="n">
        <f aca="false">IF(CB$4=0,0,IF(COUNTIFS(実績!$W$6:$W$505,CB$3,実績!$AI$6:$AI$505,"&lt;="&amp;$A140,実績!$AJ$6:$AJ$505,"&gt;"&amp;$A140,実績!$AK$6:$AK$505,"○")&gt;0,1,0))</f>
        <v>0</v>
      </c>
      <c r="CC140" s="39" t="n">
        <f aca="false">IF(CC$4=0,0,IF(COUNTIFS(実績!$W$6:$W$505,CC$3,実績!$AI$6:$AI$505,"&lt;="&amp;$A140,実績!$AJ$6:$AJ$505,"&gt;"&amp;$A140,実績!$AK$6:$AK$505,"○")&gt;0,1,0))</f>
        <v>0</v>
      </c>
      <c r="CD140" s="39" t="n">
        <f aca="false">IF(CD$4=0,0,IF(COUNTIFS(実績!$W$6:$W$505,CD$3,実績!$AI$6:$AI$505,"&lt;="&amp;$A140,実績!$AJ$6:$AJ$505,"&gt;"&amp;$A140,実績!$AK$6:$AK$505,"○")&gt;0,1,0))</f>
        <v>0</v>
      </c>
      <c r="CE140" s="39" t="n">
        <f aca="false">IF(CE$4=0,0,IF(COUNTIFS(実績!$W$6:$W$505,CE$3,実績!$AI$6:$AI$505,"&lt;="&amp;$A140,実績!$AJ$6:$AJ$505,"&gt;"&amp;$A140,実績!$AK$6:$AK$505,"○")&gt;0,1,0))</f>
        <v>0</v>
      </c>
      <c r="CF140" s="39" t="n">
        <f aca="false">IF(CF$4=0,0,IF(COUNTIFS(実績!$W$6:$W$505,CF$3,実績!$AI$6:$AI$505,"&lt;="&amp;$A140,実績!$AJ$6:$AJ$505,"&gt;"&amp;$A140,実績!$AK$6:$AK$505,"○")&gt;0,1,0))</f>
        <v>0</v>
      </c>
      <c r="CG140" s="39" t="n">
        <f aca="false">IF(CG$4=0,0,IF(COUNTIFS(実績!$W$6:$W$505,CG$3,実績!$AI$6:$AI$505,"&lt;="&amp;$A140,実績!$AJ$6:$AJ$505,"&gt;"&amp;$A140,実績!$AK$6:$AK$505,"○")&gt;0,1,0))</f>
        <v>0</v>
      </c>
      <c r="CH140" s="39" t="n">
        <f aca="false">IF(CH$4=0,0,IF(COUNTIFS(実績!$W$6:$W$505,CH$3,実績!$AI$6:$AI$505,"&lt;="&amp;$A140,実績!$AJ$6:$AJ$505,"&gt;"&amp;$A140,実績!$AK$6:$AK$505,"○")&gt;0,1,0))</f>
        <v>0</v>
      </c>
      <c r="CI140" s="39" t="n">
        <f aca="false">IF(CI$4=0,0,IF(COUNTIFS(実績!$W$6:$W$505,CI$3,実績!$AI$6:$AI$505,"&lt;="&amp;$A140,実績!$AJ$6:$AJ$505,"&gt;"&amp;$A140,実績!$AK$6:$AK$505,"○")&gt;0,1,0))</f>
        <v>0</v>
      </c>
      <c r="CJ140" s="39" t="n">
        <f aca="false">IF(CJ$4=0,0,IF(COUNTIFS(実績!$W$6:$W$505,CJ$3,実績!$AI$6:$AI$505,"&lt;="&amp;$A140,実績!$AJ$6:$AJ$505,"&gt;"&amp;$A140,実績!$AK$6:$AK$505,"○")&gt;0,1,0))</f>
        <v>0</v>
      </c>
      <c r="CK140" s="39" t="n">
        <f aca="false">IF(CK$4=0,0,IF(COUNTIFS(実績!$W$6:$W$505,CK$3,実績!$AI$6:$AI$505,"&lt;="&amp;$A140,実績!$AJ$6:$AJ$505,"&gt;"&amp;$A140,実績!$AK$6:$AK$505,"○")&gt;0,1,0))</f>
        <v>0</v>
      </c>
      <c r="CL140" s="39" t="n">
        <f aca="false">IF(CL$4=0,0,IF(COUNTIFS(実績!$W$6:$W$505,CL$3,実績!$AI$6:$AI$505,"&lt;="&amp;$A140,実績!$AJ$6:$AJ$505,"&gt;"&amp;$A140,実績!$AK$6:$AK$505,"○")&gt;0,1,0))</f>
        <v>0</v>
      </c>
      <c r="CM140" s="39" t="n">
        <f aca="false">IF(CM$4=0,0,IF(COUNTIFS(実績!$W$6:$W$505,CM$3,実績!$AI$6:$AI$505,"&lt;="&amp;$A140,実績!$AJ$6:$AJ$505,"&gt;"&amp;$A140,実績!$AK$6:$AK$505,"○")&gt;0,1,0))</f>
        <v>0</v>
      </c>
      <c r="CN140" s="39" t="n">
        <f aca="false">IF(CN$4=0,0,IF(COUNTIFS(実績!$W$6:$W$505,CN$3,実績!$AI$6:$AI$505,"&lt;="&amp;$A140,実績!$AJ$6:$AJ$505,"&gt;"&amp;$A140,実績!$AK$6:$AK$505,"○")&gt;0,1,0))</f>
        <v>0</v>
      </c>
      <c r="CO140" s="39" t="n">
        <f aca="false">IF(CO$4=0,0,IF(COUNTIFS(実績!$W$6:$W$505,CO$3,実績!$AI$6:$AI$505,"&lt;="&amp;$A140,実績!$AJ$6:$AJ$505,"&gt;"&amp;$A140,実績!$AK$6:$AK$505,"○")&gt;0,1,0))</f>
        <v>0</v>
      </c>
      <c r="CP140" s="39" t="n">
        <f aca="false">IF(CP$4=0,0,IF(COUNTIFS(実績!$W$6:$W$505,CP$3,実績!$AI$6:$AI$505,"&lt;="&amp;$A140,実績!$AJ$6:$AJ$505,"&gt;"&amp;$A140,実績!$AK$6:$AK$505,"○")&gt;0,1,0))</f>
        <v>0</v>
      </c>
      <c r="CQ140" s="39" t="n">
        <f aca="false">IF(CQ$4=0,0,IF(COUNTIFS(実績!$W$6:$W$505,CQ$3,実績!$AI$6:$AI$505,"&lt;="&amp;$A140,実績!$AJ$6:$AJ$505,"&gt;"&amp;$A140,実績!$AK$6:$AK$505,"○")&gt;0,1,0))</f>
        <v>0</v>
      </c>
      <c r="CR140" s="39" t="n">
        <f aca="false">IF(CR$4=0,0,IF(COUNTIFS(実績!$W$6:$W$505,CR$3,実績!$AI$6:$AI$505,"&lt;="&amp;$A140,実績!$AJ$6:$AJ$505,"&gt;"&amp;$A140,実績!$AK$6:$AK$505,"○")&gt;0,1,0))</f>
        <v>0</v>
      </c>
      <c r="CS140" s="39" t="n">
        <f aca="false">IF(CS$4=0,0,IF(COUNTIFS(実績!$W$6:$W$505,CS$3,実績!$AI$6:$AI$505,"&lt;="&amp;$A140,実績!$AJ$6:$AJ$505,"&gt;"&amp;$A140,実績!$AK$6:$AK$505,"○")&gt;0,1,0))</f>
        <v>0</v>
      </c>
      <c r="CT140" s="39" t="n">
        <f aca="false">IF(CT$4=0,0,IF(COUNTIFS(実績!$W$6:$W$505,CT$3,実績!$AI$6:$AI$505,"&lt;="&amp;$A140,実績!$AJ$6:$AJ$505,"&gt;"&amp;$A140,実績!$AK$6:$AK$505,"○")&gt;0,1,0))</f>
        <v>0</v>
      </c>
      <c r="CU140" s="39" t="n">
        <f aca="false">IF(CU$4=0,0,IF(COUNTIFS(実績!$W$6:$W$505,CU$3,実績!$AI$6:$AI$505,"&lt;="&amp;$A140,実績!$AJ$6:$AJ$505,"&gt;"&amp;$A140,実績!$AK$6:$AK$505,"○")&gt;0,1,0))</f>
        <v>0</v>
      </c>
      <c r="CV140" s="39" t="n">
        <f aca="false">IF(CV$4=0,0,IF(COUNTIFS(実績!$W$6:$W$505,CV$3,実績!$AI$6:$AI$505,"&lt;="&amp;$A140,実績!$AJ$6:$AJ$505,"&gt;"&amp;$A140,実績!$AK$6:$AK$505,"○")&gt;0,1,0))</f>
        <v>0</v>
      </c>
      <c r="CW140" s="39" t="n">
        <f aca="false">IF(CW$4=0,0,IF(COUNTIFS(実績!$W$6:$W$505,CW$3,実績!$AI$6:$AI$505,"&lt;="&amp;$A140,実績!$AJ$6:$AJ$505,"&gt;"&amp;$A140,実績!$AK$6:$AK$505,"○")&gt;0,1,0))</f>
        <v>0</v>
      </c>
      <c r="CX140" s="39" t="n">
        <f aca="false">IF(CX$4=0,0,IF(COUNTIFS(実績!$W$6:$W$505,CX$3,実績!$AI$6:$AI$505,"&lt;="&amp;$A140,実績!$AJ$6:$AJ$505,"&gt;"&amp;$A140,実績!$AK$6:$AK$505,"○")&gt;0,1,0))</f>
        <v>0</v>
      </c>
      <c r="CY140" s="39" t="n">
        <f aca="false">IF(CY$4=0,0,IF(COUNTIFS(実績!$W$6:$W$505,CY$3,実績!$AI$6:$AI$505,"&lt;="&amp;$A140,実績!$AJ$6:$AJ$505,"&gt;"&amp;$A140,実績!$AK$6:$AK$505,"○")&gt;0,1,0))</f>
        <v>0</v>
      </c>
      <c r="CZ140" s="39" t="n">
        <f aca="false">IF(CZ$4=0,0,IF(COUNTIFS(実績!$W$6:$W$505,CZ$3,実績!$AI$6:$AI$505,"&lt;="&amp;$A140,実績!$AJ$6:$AJ$505,"&gt;"&amp;$A140,実績!$AK$6:$AK$505,"○")&gt;0,1,0))</f>
        <v>0</v>
      </c>
      <c r="DA140" s="39" t="n">
        <f aca="false">IF(DA$4=0,0,IF(COUNTIFS(実績!$W$6:$W$505,DA$3,実績!$AI$6:$AI$505,"&lt;="&amp;$A140,実績!$AJ$6:$AJ$505,"&gt;"&amp;$A140,実績!$AK$6:$AK$505,"○")&gt;0,1,0))</f>
        <v>0</v>
      </c>
      <c r="DB140" s="39" t="n">
        <f aca="false">IF(DB$4=0,0,IF(COUNTIFS(実績!$W$6:$W$505,DB$3,実績!$AI$6:$AI$505,"&lt;="&amp;$A140,実績!$AJ$6:$AJ$505,"&gt;"&amp;$A140,実績!$AK$6:$AK$505,"○")&gt;0,1,0))</f>
        <v>0</v>
      </c>
      <c r="DC140" s="39" t="n">
        <f aca="false">IF(DC$4=0,0,IF(COUNTIFS(実績!$W$6:$W$505,DC$3,実績!$AI$6:$AI$505,"&lt;="&amp;$A140,実績!$AJ$6:$AJ$505,"&gt;"&amp;$A140,実績!$AK$6:$AK$505,"○")&gt;0,1,0))</f>
        <v>0</v>
      </c>
      <c r="DD140" s="39" t="n">
        <f aca="false">IF(DD$4=0,0,IF(COUNTIFS(実績!$W$6:$W$505,DD$3,実績!$AI$6:$AI$505,"&lt;="&amp;$A140,実績!$AJ$6:$AJ$505,"&gt;"&amp;$A140,実績!$AK$6:$AK$505,"○")&gt;0,1,0))</f>
        <v>0</v>
      </c>
      <c r="DE140" s="39" t="n">
        <f aca="false">IF(DE$4=0,0,IF(COUNTIFS(実績!$W$6:$W$505,DE$3,実績!$AI$6:$AI$505,"&lt;="&amp;$A140,実績!$AJ$6:$AJ$505,"&gt;"&amp;$A140,実績!$AK$6:$AK$505,"○")&gt;0,1,0))</f>
        <v>0</v>
      </c>
      <c r="DF140" s="39" t="n">
        <f aca="false">IF(DF$4=0,0,IF(COUNTIFS(実績!$W$6:$W$505,DF$3,実績!$AI$6:$AI$505,"&lt;="&amp;$A140,実績!$AJ$6:$AJ$505,"&gt;"&amp;$A140,実績!$AK$6:$AK$505,"○")&gt;0,1,0))</f>
        <v>0</v>
      </c>
      <c r="DG140" s="39" t="n">
        <f aca="false">IF(DG$4=0,0,IF(COUNTIFS(実績!$W$6:$W$505,DG$3,実績!$AI$6:$AI$505,"&lt;="&amp;$A140,実績!$AJ$6:$AJ$505,"&gt;"&amp;$A140,実績!$AK$6:$AK$505,"○")&gt;0,1,0))</f>
        <v>0</v>
      </c>
      <c r="DH140" s="39" t="n">
        <f aca="false">IF(DH$4=0,0,IF(COUNTIFS(実績!$W$6:$W$505,DH$3,実績!$AI$6:$AI$505,"&lt;="&amp;$A140,実績!$AJ$6:$AJ$505,"&gt;"&amp;$A140,実績!$AK$6:$AK$505,"○")&gt;0,1,0))</f>
        <v>0</v>
      </c>
      <c r="DI140" s="39" t="n">
        <f aca="false">IF(DI$4=0,0,IF(COUNTIFS(実績!$W$6:$W$505,DI$3,実績!$AI$6:$AI$505,"&lt;="&amp;$A140,実績!$AJ$6:$AJ$505,"&gt;"&amp;$A140,実績!$AK$6:$AK$505,"○")&gt;0,1,0))</f>
        <v>0</v>
      </c>
      <c r="DJ140" s="39" t="n">
        <f aca="false">IF(DJ$4=0,0,IF(COUNTIFS(実績!$W$6:$W$505,DJ$3,実績!$AI$6:$AI$505,"&lt;="&amp;$A140,実績!$AJ$6:$AJ$505,"&gt;"&amp;$A140,実績!$AK$6:$AK$505,"○")&gt;0,1,0))</f>
        <v>0</v>
      </c>
      <c r="DK140" s="39" t="n">
        <f aca="false">IF(DK$4=0,0,IF(COUNTIFS(実績!$W$6:$W$505,DK$3,実績!$AI$6:$AI$505,"&lt;="&amp;$A140,実績!$AJ$6:$AJ$505,"&gt;"&amp;$A140,実績!$AK$6:$AK$505,"○")&gt;0,1,0))</f>
        <v>0</v>
      </c>
      <c r="DL140" s="39" t="n">
        <f aca="false">IF(DL$4=0,0,IF(COUNTIFS(実績!$W$6:$W$505,DL$3,実績!$AI$6:$AI$505,"&lt;="&amp;$A140,実績!$AJ$6:$AJ$505,"&gt;"&amp;$A140,実績!$AK$6:$AK$505,"○")&gt;0,1,0))</f>
        <v>0</v>
      </c>
      <c r="DM140" s="39" t="n">
        <f aca="false">IF(DM$4=0,0,IF(COUNTIFS(実績!$W$6:$W$505,DM$3,実績!$AI$6:$AI$505,"&lt;="&amp;$A140,実績!$AJ$6:$AJ$505,"&gt;"&amp;$A140,実績!$AK$6:$AK$505,"○")&gt;0,1,0))</f>
        <v>0</v>
      </c>
      <c r="DN140" s="39" t="n">
        <f aca="false">IF(DN$4=0,0,IF(COUNTIFS(実績!$W$6:$W$505,DN$3,実績!$AI$6:$AI$505,"&lt;="&amp;$A140,実績!$AJ$6:$AJ$505,"&gt;"&amp;$A140,実績!$AK$6:$AK$505,"○")&gt;0,1,0))</f>
        <v>0</v>
      </c>
      <c r="DO140" s="39" t="n">
        <f aca="false">IF(DO$4=0,0,IF(COUNTIFS(実績!$W$6:$W$505,DO$3,実績!$AI$6:$AI$505,"&lt;="&amp;$A140,実績!$AJ$6:$AJ$505,"&gt;"&amp;$A140,実績!$AK$6:$AK$505,"○")&gt;0,1,0))</f>
        <v>0</v>
      </c>
      <c r="DP140" s="39" t="n">
        <f aca="false">IF(DP$4=0,0,IF(COUNTIFS(実績!$W$6:$W$505,DP$3,実績!$AI$6:$AI$505,"&lt;="&amp;$A140,実績!$AJ$6:$AJ$505,"&gt;"&amp;$A140,実績!$AK$6:$AK$505,"○")&gt;0,1,0))</f>
        <v>0</v>
      </c>
      <c r="DQ140" s="39" t="n">
        <f aca="false">IF(DQ$4=0,0,IF(COUNTIFS(実績!$W$6:$W$505,DQ$3,実績!$AI$6:$AI$505,"&lt;="&amp;$A140,実績!$AJ$6:$AJ$505,"&gt;"&amp;$A140,実績!$AK$6:$AK$505,"○")&gt;0,1,0))</f>
        <v>0</v>
      </c>
      <c r="DR140" s="39" t="n">
        <f aca="false">IF(DR$4=0,0,IF(COUNTIFS(実績!$W$6:$W$505,DR$3,実績!$AI$6:$AI$505,"&lt;="&amp;$A140,実績!$AJ$6:$AJ$505,"&gt;"&amp;$A140,実績!$AK$6:$AK$505,"○")&gt;0,1,0))</f>
        <v>0</v>
      </c>
      <c r="DS140" s="39" t="n">
        <f aca="false">SUM(C140:DR140)</f>
        <v>0</v>
      </c>
      <c r="DT140" s="39" t="n">
        <f aca="false">SUMPRODUCT((実績!$C$6:$C$505="○")*ISNUMBER(実績!$AM$6:$AM$505)*(実績!$AM$6:$AM$505&lt;=$A140)*(実績!$AN$6:$AN$505&gt;$A140))</f>
        <v>0</v>
      </c>
      <c r="DU140" s="39" t="n">
        <f aca="false">SUMIF($C$2:$DR$2,"製鉄曳船",C140:DR140)</f>
        <v>0</v>
      </c>
      <c r="DV140" s="39" t="n">
        <f aca="false">SUMIF($C$2:$DR$2,"西日本海運",C140:DR140)</f>
        <v>0</v>
      </c>
    </row>
    <row r="141" customFormat="false" ht="15" hidden="false" customHeight="false" outlineLevel="0" collapsed="false">
      <c r="A141" s="0" t="n">
        <v>675</v>
      </c>
      <c r="B141" s="38" t="n">
        <f aca="false">A141/1440</f>
        <v>0.46875</v>
      </c>
      <c r="C141" s="39" t="n">
        <f aca="false">IF(C$4=0,0,IF(COUNTIFS(実績!$W$6:$W$505,C$3,実績!$AI$6:$AI$505,"&lt;="&amp;$A141,実績!$AJ$6:$AJ$505,"&gt;"&amp;$A141,実績!$AK$6:$AK$505,"○")&gt;0,1,0))</f>
        <v>0</v>
      </c>
      <c r="D141" s="39" t="n">
        <f aca="false">IF(D$4=0,0,IF(COUNTIFS(実績!$W$6:$W$505,D$3,実績!$AI$6:$AI$505,"&lt;="&amp;$A141,実績!$AJ$6:$AJ$505,"&gt;"&amp;$A141,実績!$AK$6:$AK$505,"○")&gt;0,1,0))</f>
        <v>0</v>
      </c>
      <c r="E141" s="39" t="n">
        <f aca="false">IF(E$4=0,0,IF(COUNTIFS(実績!$W$6:$W$505,E$3,実績!$AI$6:$AI$505,"&lt;="&amp;$A141,実績!$AJ$6:$AJ$505,"&gt;"&amp;$A141,実績!$AK$6:$AK$505,"○")&gt;0,1,0))</f>
        <v>0</v>
      </c>
      <c r="F141" s="39" t="n">
        <f aca="false">IF(F$4=0,0,IF(COUNTIFS(実績!$W$6:$W$505,F$3,実績!$AI$6:$AI$505,"&lt;="&amp;$A141,実績!$AJ$6:$AJ$505,"&gt;"&amp;$A141,実績!$AK$6:$AK$505,"○")&gt;0,1,0))</f>
        <v>0</v>
      </c>
      <c r="G141" s="39" t="n">
        <f aca="false">IF(G$4=0,0,IF(COUNTIFS(実績!$W$6:$W$505,G$3,実績!$AI$6:$AI$505,"&lt;="&amp;$A141,実績!$AJ$6:$AJ$505,"&gt;"&amp;$A141,実績!$AK$6:$AK$505,"○")&gt;0,1,0))</f>
        <v>0</v>
      </c>
      <c r="H141" s="39" t="n">
        <f aca="false">IF(H$4=0,0,IF(COUNTIFS(実績!$W$6:$W$505,H$3,実績!$AI$6:$AI$505,"&lt;="&amp;$A141,実績!$AJ$6:$AJ$505,"&gt;"&amp;$A141,実績!$AK$6:$AK$505,"○")&gt;0,1,0))</f>
        <v>0</v>
      </c>
      <c r="I141" s="39" t="n">
        <f aca="false">IF(I$4=0,0,IF(COUNTIFS(実績!$W$6:$W$505,I$3,実績!$AI$6:$AI$505,"&lt;="&amp;$A141,実績!$AJ$6:$AJ$505,"&gt;"&amp;$A141,実績!$AK$6:$AK$505,"○")&gt;0,1,0))</f>
        <v>0</v>
      </c>
      <c r="J141" s="39" t="n">
        <f aca="false">IF(J$4=0,0,IF(COUNTIFS(実績!$W$6:$W$505,J$3,実績!$AI$6:$AI$505,"&lt;="&amp;$A141,実績!$AJ$6:$AJ$505,"&gt;"&amp;$A141,実績!$AK$6:$AK$505,"○")&gt;0,1,0))</f>
        <v>0</v>
      </c>
      <c r="K141" s="39" t="n">
        <f aca="false">IF(K$4=0,0,IF(COUNTIFS(実績!$W$6:$W$505,K$3,実績!$AI$6:$AI$505,"&lt;="&amp;$A141,実績!$AJ$6:$AJ$505,"&gt;"&amp;$A141,実績!$AK$6:$AK$505,"○")&gt;0,1,0))</f>
        <v>0</v>
      </c>
      <c r="L141" s="39" t="n">
        <f aca="false">IF(L$4=0,0,IF(COUNTIFS(実績!$W$6:$W$505,L$3,実績!$AI$6:$AI$505,"&lt;="&amp;$A141,実績!$AJ$6:$AJ$505,"&gt;"&amp;$A141,実績!$AK$6:$AK$505,"○")&gt;0,1,0))</f>
        <v>0</v>
      </c>
      <c r="M141" s="39" t="n">
        <f aca="false">IF(M$4=0,0,IF(COUNTIFS(実績!$W$6:$W$505,M$3,実績!$AI$6:$AI$505,"&lt;="&amp;$A141,実績!$AJ$6:$AJ$505,"&gt;"&amp;$A141,実績!$AK$6:$AK$505,"○")&gt;0,1,0))</f>
        <v>0</v>
      </c>
      <c r="N141" s="39" t="n">
        <f aca="false">IF(N$4=0,0,IF(COUNTIFS(実績!$W$6:$W$505,N$3,実績!$AI$6:$AI$505,"&lt;="&amp;$A141,実績!$AJ$6:$AJ$505,"&gt;"&amp;$A141,実績!$AK$6:$AK$505,"○")&gt;0,1,0))</f>
        <v>0</v>
      </c>
      <c r="O141" s="39" t="n">
        <f aca="false">IF(O$4=0,0,IF(COUNTIFS(実績!$W$6:$W$505,O$3,実績!$AI$6:$AI$505,"&lt;="&amp;$A141,実績!$AJ$6:$AJ$505,"&gt;"&amp;$A141,実績!$AK$6:$AK$505,"○")&gt;0,1,0))</f>
        <v>0</v>
      </c>
      <c r="P141" s="39" t="n">
        <f aca="false">IF(P$4=0,0,IF(COUNTIFS(実績!$W$6:$W$505,P$3,実績!$AI$6:$AI$505,"&lt;="&amp;$A141,実績!$AJ$6:$AJ$505,"&gt;"&amp;$A141,実績!$AK$6:$AK$505,"○")&gt;0,1,0))</f>
        <v>0</v>
      </c>
      <c r="Q141" s="39" t="n">
        <f aca="false">IF(Q$4=0,0,IF(COUNTIFS(実績!$W$6:$W$505,Q$3,実績!$AI$6:$AI$505,"&lt;="&amp;$A141,実績!$AJ$6:$AJ$505,"&gt;"&amp;$A141,実績!$AK$6:$AK$505,"○")&gt;0,1,0))</f>
        <v>0</v>
      </c>
      <c r="R141" s="39" t="n">
        <f aca="false">IF(R$4=0,0,IF(COUNTIFS(実績!$W$6:$W$505,R$3,実績!$AI$6:$AI$505,"&lt;="&amp;$A141,実績!$AJ$6:$AJ$505,"&gt;"&amp;$A141,実績!$AK$6:$AK$505,"○")&gt;0,1,0))</f>
        <v>0</v>
      </c>
      <c r="S141" s="39" t="n">
        <f aca="false">IF(S$4=0,0,IF(COUNTIFS(実績!$W$6:$W$505,S$3,実績!$AI$6:$AI$505,"&lt;="&amp;$A141,実績!$AJ$6:$AJ$505,"&gt;"&amp;$A141,実績!$AK$6:$AK$505,"○")&gt;0,1,0))</f>
        <v>0</v>
      </c>
      <c r="T141" s="39" t="n">
        <f aca="false">IF(T$4=0,0,IF(COUNTIFS(実績!$W$6:$W$505,T$3,実績!$AI$6:$AI$505,"&lt;="&amp;$A141,実績!$AJ$6:$AJ$505,"&gt;"&amp;$A141,実績!$AK$6:$AK$505,"○")&gt;0,1,0))</f>
        <v>0</v>
      </c>
      <c r="U141" s="39" t="n">
        <f aca="false">IF(U$4=0,0,IF(COUNTIFS(実績!$W$6:$W$505,U$3,実績!$AI$6:$AI$505,"&lt;="&amp;$A141,実績!$AJ$6:$AJ$505,"&gt;"&amp;$A141,実績!$AK$6:$AK$505,"○")&gt;0,1,0))</f>
        <v>0</v>
      </c>
      <c r="V141" s="39" t="n">
        <f aca="false">IF(V$4=0,0,IF(COUNTIFS(実績!$W$6:$W$505,V$3,実績!$AI$6:$AI$505,"&lt;="&amp;$A141,実績!$AJ$6:$AJ$505,"&gt;"&amp;$A141,実績!$AK$6:$AK$505,"○")&gt;0,1,0))</f>
        <v>0</v>
      </c>
      <c r="W141" s="39" t="n">
        <f aca="false">IF(W$4=0,0,IF(COUNTIFS(実績!$W$6:$W$505,W$3,実績!$AI$6:$AI$505,"&lt;="&amp;$A141,実績!$AJ$6:$AJ$505,"&gt;"&amp;$A141,実績!$AK$6:$AK$505,"○")&gt;0,1,0))</f>
        <v>0</v>
      </c>
      <c r="X141" s="39" t="n">
        <f aca="false">IF(X$4=0,0,IF(COUNTIFS(実績!$W$6:$W$505,X$3,実績!$AI$6:$AI$505,"&lt;="&amp;$A141,実績!$AJ$6:$AJ$505,"&gt;"&amp;$A141,実績!$AK$6:$AK$505,"○")&gt;0,1,0))</f>
        <v>0</v>
      </c>
      <c r="Y141" s="39" t="n">
        <f aca="false">IF(Y$4=0,0,IF(COUNTIFS(実績!$W$6:$W$505,Y$3,実績!$AI$6:$AI$505,"&lt;="&amp;$A141,実績!$AJ$6:$AJ$505,"&gt;"&amp;$A141,実績!$AK$6:$AK$505,"○")&gt;0,1,0))</f>
        <v>0</v>
      </c>
      <c r="Z141" s="39" t="n">
        <f aca="false">IF(Z$4=0,0,IF(COUNTIFS(実績!$W$6:$W$505,Z$3,実績!$AI$6:$AI$505,"&lt;="&amp;$A141,実績!$AJ$6:$AJ$505,"&gt;"&amp;$A141,実績!$AK$6:$AK$505,"○")&gt;0,1,0))</f>
        <v>0</v>
      </c>
      <c r="AA141" s="39" t="n">
        <f aca="false">IF(AA$4=0,0,IF(COUNTIFS(実績!$W$6:$W$505,AA$3,実績!$AI$6:$AI$505,"&lt;="&amp;$A141,実績!$AJ$6:$AJ$505,"&gt;"&amp;$A141,実績!$AK$6:$AK$505,"○")&gt;0,1,0))</f>
        <v>0</v>
      </c>
      <c r="AB141" s="39" t="n">
        <f aca="false">IF(AB$4=0,0,IF(COUNTIFS(実績!$W$6:$W$505,AB$3,実績!$AI$6:$AI$505,"&lt;="&amp;$A141,実績!$AJ$6:$AJ$505,"&gt;"&amp;$A141,実績!$AK$6:$AK$505,"○")&gt;0,1,0))</f>
        <v>0</v>
      </c>
      <c r="AC141" s="39" t="n">
        <f aca="false">IF(AC$4=0,0,IF(COUNTIFS(実績!$W$6:$W$505,AC$3,実績!$AI$6:$AI$505,"&lt;="&amp;$A141,実績!$AJ$6:$AJ$505,"&gt;"&amp;$A141,実績!$AK$6:$AK$505,"○")&gt;0,1,0))</f>
        <v>0</v>
      </c>
      <c r="AD141" s="39" t="n">
        <f aca="false">IF(AD$4=0,0,IF(COUNTIFS(実績!$W$6:$W$505,AD$3,実績!$AI$6:$AI$505,"&lt;="&amp;$A141,実績!$AJ$6:$AJ$505,"&gt;"&amp;$A141,実績!$AK$6:$AK$505,"○")&gt;0,1,0))</f>
        <v>0</v>
      </c>
      <c r="AE141" s="39" t="n">
        <f aca="false">IF(AE$4=0,0,IF(COUNTIFS(実績!$W$6:$W$505,AE$3,実績!$AI$6:$AI$505,"&lt;="&amp;$A141,実績!$AJ$6:$AJ$505,"&gt;"&amp;$A141,実績!$AK$6:$AK$505,"○")&gt;0,1,0))</f>
        <v>0</v>
      </c>
      <c r="AF141" s="39" t="n">
        <f aca="false">IF(AF$4=0,0,IF(COUNTIFS(実績!$W$6:$W$505,AF$3,実績!$AI$6:$AI$505,"&lt;="&amp;$A141,実績!$AJ$6:$AJ$505,"&gt;"&amp;$A141,実績!$AK$6:$AK$505,"○")&gt;0,1,0))</f>
        <v>0</v>
      </c>
      <c r="AG141" s="39" t="n">
        <f aca="false">IF(AG$4=0,0,IF(COUNTIFS(実績!$W$6:$W$505,AG$3,実績!$AI$6:$AI$505,"&lt;="&amp;$A141,実績!$AJ$6:$AJ$505,"&gt;"&amp;$A141,実績!$AK$6:$AK$505,"○")&gt;0,1,0))</f>
        <v>0</v>
      </c>
      <c r="AH141" s="39" t="n">
        <f aca="false">IF(AH$4=0,0,IF(COUNTIFS(実績!$W$6:$W$505,AH$3,実績!$AI$6:$AI$505,"&lt;="&amp;$A141,実績!$AJ$6:$AJ$505,"&gt;"&amp;$A141,実績!$AK$6:$AK$505,"○")&gt;0,1,0))</f>
        <v>0</v>
      </c>
      <c r="AI141" s="39" t="n">
        <f aca="false">IF(AI$4=0,0,IF(COUNTIFS(実績!$W$6:$W$505,AI$3,実績!$AI$6:$AI$505,"&lt;="&amp;$A141,実績!$AJ$6:$AJ$505,"&gt;"&amp;$A141,実績!$AK$6:$AK$505,"○")&gt;0,1,0))</f>
        <v>0</v>
      </c>
      <c r="AJ141" s="39" t="n">
        <f aca="false">IF(AJ$4=0,0,IF(COUNTIFS(実績!$W$6:$W$505,AJ$3,実績!$AI$6:$AI$505,"&lt;="&amp;$A141,実績!$AJ$6:$AJ$505,"&gt;"&amp;$A141,実績!$AK$6:$AK$505,"○")&gt;0,1,0))</f>
        <v>0</v>
      </c>
      <c r="AK141" s="39" t="n">
        <f aca="false">IF(AK$4=0,0,IF(COUNTIFS(実績!$W$6:$W$505,AK$3,実績!$AI$6:$AI$505,"&lt;="&amp;$A141,実績!$AJ$6:$AJ$505,"&gt;"&amp;$A141,実績!$AK$6:$AK$505,"○")&gt;0,1,0))</f>
        <v>0</v>
      </c>
      <c r="AL141" s="39" t="n">
        <f aca="false">IF(AL$4=0,0,IF(COUNTIFS(実績!$W$6:$W$505,AL$3,実績!$AI$6:$AI$505,"&lt;="&amp;$A141,実績!$AJ$6:$AJ$505,"&gt;"&amp;$A141,実績!$AK$6:$AK$505,"○")&gt;0,1,0))</f>
        <v>0</v>
      </c>
      <c r="AM141" s="39" t="n">
        <f aca="false">IF(AM$4=0,0,IF(COUNTIFS(実績!$W$6:$W$505,AM$3,実績!$AI$6:$AI$505,"&lt;="&amp;$A141,実績!$AJ$6:$AJ$505,"&gt;"&amp;$A141,実績!$AK$6:$AK$505,"○")&gt;0,1,0))</f>
        <v>0</v>
      </c>
      <c r="AN141" s="39" t="n">
        <f aca="false">IF(AN$4=0,0,IF(COUNTIFS(実績!$W$6:$W$505,AN$3,実績!$AI$6:$AI$505,"&lt;="&amp;$A141,実績!$AJ$6:$AJ$505,"&gt;"&amp;$A141,実績!$AK$6:$AK$505,"○")&gt;0,1,0))</f>
        <v>0</v>
      </c>
      <c r="AO141" s="39" t="n">
        <f aca="false">IF(AO$4=0,0,IF(COUNTIFS(実績!$W$6:$W$505,AO$3,実績!$AI$6:$AI$505,"&lt;="&amp;$A141,実績!$AJ$6:$AJ$505,"&gt;"&amp;$A141,実績!$AK$6:$AK$505,"○")&gt;0,1,0))</f>
        <v>0</v>
      </c>
      <c r="AP141" s="39" t="n">
        <f aca="false">IF(AP$4=0,0,IF(COUNTIFS(実績!$W$6:$W$505,AP$3,実績!$AI$6:$AI$505,"&lt;="&amp;$A141,実績!$AJ$6:$AJ$505,"&gt;"&amp;$A141,実績!$AK$6:$AK$505,"○")&gt;0,1,0))</f>
        <v>0</v>
      </c>
      <c r="AQ141" s="39" t="n">
        <f aca="false">IF(AQ$4=0,0,IF(COUNTIFS(実績!$W$6:$W$505,AQ$3,実績!$AI$6:$AI$505,"&lt;="&amp;$A141,実績!$AJ$6:$AJ$505,"&gt;"&amp;$A141,実績!$AK$6:$AK$505,"○")&gt;0,1,0))</f>
        <v>0</v>
      </c>
      <c r="AR141" s="39" t="n">
        <f aca="false">IF(AR$4=0,0,IF(COUNTIFS(実績!$W$6:$W$505,AR$3,実績!$AI$6:$AI$505,"&lt;="&amp;$A141,実績!$AJ$6:$AJ$505,"&gt;"&amp;$A141,実績!$AK$6:$AK$505,"○")&gt;0,1,0))</f>
        <v>0</v>
      </c>
      <c r="AS141" s="39" t="n">
        <f aca="false">IF(AS$4=0,0,IF(COUNTIFS(実績!$W$6:$W$505,AS$3,実績!$AI$6:$AI$505,"&lt;="&amp;$A141,実績!$AJ$6:$AJ$505,"&gt;"&amp;$A141,実績!$AK$6:$AK$505,"○")&gt;0,1,0))</f>
        <v>0</v>
      </c>
      <c r="AT141" s="39" t="n">
        <f aca="false">IF(AT$4=0,0,IF(COUNTIFS(実績!$W$6:$W$505,AT$3,実績!$AI$6:$AI$505,"&lt;="&amp;$A141,実績!$AJ$6:$AJ$505,"&gt;"&amp;$A141,実績!$AK$6:$AK$505,"○")&gt;0,1,0))</f>
        <v>0</v>
      </c>
      <c r="AU141" s="39" t="n">
        <f aca="false">IF(AU$4=0,0,IF(COUNTIFS(実績!$W$6:$W$505,AU$3,実績!$AI$6:$AI$505,"&lt;="&amp;$A141,実績!$AJ$6:$AJ$505,"&gt;"&amp;$A141,実績!$AK$6:$AK$505,"○")&gt;0,1,0))</f>
        <v>0</v>
      </c>
      <c r="AV141" s="39" t="n">
        <f aca="false">IF(AV$4=0,0,IF(COUNTIFS(実績!$W$6:$W$505,AV$3,実績!$AI$6:$AI$505,"&lt;="&amp;$A141,実績!$AJ$6:$AJ$505,"&gt;"&amp;$A141,実績!$AK$6:$AK$505,"○")&gt;0,1,0))</f>
        <v>0</v>
      </c>
      <c r="AW141" s="39" t="n">
        <f aca="false">IF(AW$4=0,0,IF(COUNTIFS(実績!$W$6:$W$505,AW$3,実績!$AI$6:$AI$505,"&lt;="&amp;$A141,実績!$AJ$6:$AJ$505,"&gt;"&amp;$A141,実績!$AK$6:$AK$505,"○")&gt;0,1,0))</f>
        <v>0</v>
      </c>
      <c r="AX141" s="39" t="n">
        <f aca="false">IF(AX$4=0,0,IF(COUNTIFS(実績!$W$6:$W$505,AX$3,実績!$AI$6:$AI$505,"&lt;="&amp;$A141,実績!$AJ$6:$AJ$505,"&gt;"&amp;$A141,実績!$AK$6:$AK$505,"○")&gt;0,1,0))</f>
        <v>0</v>
      </c>
      <c r="AY141" s="39" t="n">
        <f aca="false">IF(AY$4=0,0,IF(COUNTIFS(実績!$W$6:$W$505,AY$3,実績!$AI$6:$AI$505,"&lt;="&amp;$A141,実績!$AJ$6:$AJ$505,"&gt;"&amp;$A141,実績!$AK$6:$AK$505,"○")&gt;0,1,0))</f>
        <v>0</v>
      </c>
      <c r="AZ141" s="39" t="n">
        <f aca="false">IF(AZ$4=0,0,IF(COUNTIFS(実績!$W$6:$W$505,AZ$3,実績!$AI$6:$AI$505,"&lt;="&amp;$A141,実績!$AJ$6:$AJ$505,"&gt;"&amp;$A141,実績!$AK$6:$AK$505,"○")&gt;0,1,0))</f>
        <v>0</v>
      </c>
      <c r="BA141" s="39" t="n">
        <f aca="false">IF(BA$4=0,0,IF(COUNTIFS(実績!$W$6:$W$505,BA$3,実績!$AI$6:$AI$505,"&lt;="&amp;$A141,実績!$AJ$6:$AJ$505,"&gt;"&amp;$A141,実績!$AK$6:$AK$505,"○")&gt;0,1,0))</f>
        <v>0</v>
      </c>
      <c r="BB141" s="39" t="n">
        <f aca="false">IF(BB$4=0,0,IF(COUNTIFS(実績!$W$6:$W$505,BB$3,実績!$AI$6:$AI$505,"&lt;="&amp;$A141,実績!$AJ$6:$AJ$505,"&gt;"&amp;$A141,実績!$AK$6:$AK$505,"○")&gt;0,1,0))</f>
        <v>0</v>
      </c>
      <c r="BC141" s="39" t="n">
        <f aca="false">IF(BC$4=0,0,IF(COUNTIFS(実績!$W$6:$W$505,BC$3,実績!$AI$6:$AI$505,"&lt;="&amp;$A141,実績!$AJ$6:$AJ$505,"&gt;"&amp;$A141,実績!$AK$6:$AK$505,"○")&gt;0,1,0))</f>
        <v>0</v>
      </c>
      <c r="BD141" s="39" t="n">
        <f aca="false">IF(BD$4=0,0,IF(COUNTIFS(実績!$W$6:$W$505,BD$3,実績!$AI$6:$AI$505,"&lt;="&amp;$A141,実績!$AJ$6:$AJ$505,"&gt;"&amp;$A141,実績!$AK$6:$AK$505,"○")&gt;0,1,0))</f>
        <v>0</v>
      </c>
      <c r="BE141" s="39" t="n">
        <f aca="false">IF(BE$4=0,0,IF(COUNTIFS(実績!$W$6:$W$505,BE$3,実績!$AI$6:$AI$505,"&lt;="&amp;$A141,実績!$AJ$6:$AJ$505,"&gt;"&amp;$A141,実績!$AK$6:$AK$505,"○")&gt;0,1,0))</f>
        <v>0</v>
      </c>
      <c r="BF141" s="39" t="n">
        <f aca="false">IF(BF$4=0,0,IF(COUNTIFS(実績!$W$6:$W$505,BF$3,実績!$AI$6:$AI$505,"&lt;="&amp;$A141,実績!$AJ$6:$AJ$505,"&gt;"&amp;$A141,実績!$AK$6:$AK$505,"○")&gt;0,1,0))</f>
        <v>0</v>
      </c>
      <c r="BG141" s="39" t="n">
        <f aca="false">IF(BG$4=0,0,IF(COUNTIFS(実績!$W$6:$W$505,BG$3,実績!$AI$6:$AI$505,"&lt;="&amp;$A141,実績!$AJ$6:$AJ$505,"&gt;"&amp;$A141,実績!$AK$6:$AK$505,"○")&gt;0,1,0))</f>
        <v>0</v>
      </c>
      <c r="BH141" s="39" t="n">
        <f aca="false">IF(BH$4=0,0,IF(COUNTIFS(実績!$W$6:$W$505,BH$3,実績!$AI$6:$AI$505,"&lt;="&amp;$A141,実績!$AJ$6:$AJ$505,"&gt;"&amp;$A141,実績!$AK$6:$AK$505,"○")&gt;0,1,0))</f>
        <v>0</v>
      </c>
      <c r="BI141" s="39" t="n">
        <f aca="false">IF(BI$4=0,0,IF(COUNTIFS(実績!$W$6:$W$505,BI$3,実績!$AI$6:$AI$505,"&lt;="&amp;$A141,実績!$AJ$6:$AJ$505,"&gt;"&amp;$A141,実績!$AK$6:$AK$505,"○")&gt;0,1,0))</f>
        <v>0</v>
      </c>
      <c r="BJ141" s="39" t="n">
        <f aca="false">IF(BJ$4=0,0,IF(COUNTIFS(実績!$W$6:$W$505,BJ$3,実績!$AI$6:$AI$505,"&lt;="&amp;$A141,実績!$AJ$6:$AJ$505,"&gt;"&amp;$A141,実績!$AK$6:$AK$505,"○")&gt;0,1,0))</f>
        <v>0</v>
      </c>
      <c r="BK141" s="39" t="n">
        <f aca="false">IF(BK$4=0,0,IF(COUNTIFS(実績!$W$6:$W$505,BK$3,実績!$AI$6:$AI$505,"&lt;="&amp;$A141,実績!$AJ$6:$AJ$505,"&gt;"&amp;$A141,実績!$AK$6:$AK$505,"○")&gt;0,1,0))</f>
        <v>0</v>
      </c>
      <c r="BL141" s="39" t="n">
        <f aca="false">IF(BL$4=0,0,IF(COUNTIFS(実績!$W$6:$W$505,BL$3,実績!$AI$6:$AI$505,"&lt;="&amp;$A141,実績!$AJ$6:$AJ$505,"&gt;"&amp;$A141,実績!$AK$6:$AK$505,"○")&gt;0,1,0))</f>
        <v>0</v>
      </c>
      <c r="BM141" s="39" t="n">
        <f aca="false">IF(BM$4=0,0,IF(COUNTIFS(実績!$W$6:$W$505,BM$3,実績!$AI$6:$AI$505,"&lt;="&amp;$A141,実績!$AJ$6:$AJ$505,"&gt;"&amp;$A141,実績!$AK$6:$AK$505,"○")&gt;0,1,0))</f>
        <v>0</v>
      </c>
      <c r="BN141" s="39" t="n">
        <f aca="false">IF(BN$4=0,0,IF(COUNTIFS(実績!$W$6:$W$505,BN$3,実績!$AI$6:$AI$505,"&lt;="&amp;$A141,実績!$AJ$6:$AJ$505,"&gt;"&amp;$A141,実績!$AK$6:$AK$505,"○")&gt;0,1,0))</f>
        <v>0</v>
      </c>
      <c r="BO141" s="39" t="n">
        <f aca="false">IF(BO$4=0,0,IF(COUNTIFS(実績!$W$6:$W$505,BO$3,実績!$AI$6:$AI$505,"&lt;="&amp;$A141,実績!$AJ$6:$AJ$505,"&gt;"&amp;$A141,実績!$AK$6:$AK$505,"○")&gt;0,1,0))</f>
        <v>0</v>
      </c>
      <c r="BP141" s="39" t="n">
        <f aca="false">IF(BP$4=0,0,IF(COUNTIFS(実績!$W$6:$W$505,BP$3,実績!$AI$6:$AI$505,"&lt;="&amp;$A141,実績!$AJ$6:$AJ$505,"&gt;"&amp;$A141,実績!$AK$6:$AK$505,"○")&gt;0,1,0))</f>
        <v>0</v>
      </c>
      <c r="BQ141" s="39" t="n">
        <f aca="false">IF(BQ$4=0,0,IF(COUNTIFS(実績!$W$6:$W$505,BQ$3,実績!$AI$6:$AI$505,"&lt;="&amp;$A141,実績!$AJ$6:$AJ$505,"&gt;"&amp;$A141,実績!$AK$6:$AK$505,"○")&gt;0,1,0))</f>
        <v>0</v>
      </c>
      <c r="BR141" s="39" t="n">
        <f aca="false">IF(BR$4=0,0,IF(COUNTIFS(実績!$W$6:$W$505,BR$3,実績!$AI$6:$AI$505,"&lt;="&amp;$A141,実績!$AJ$6:$AJ$505,"&gt;"&amp;$A141,実績!$AK$6:$AK$505,"○")&gt;0,1,0))</f>
        <v>0</v>
      </c>
      <c r="BS141" s="39" t="n">
        <f aca="false">IF(BS$4=0,0,IF(COUNTIFS(実績!$W$6:$W$505,BS$3,実績!$AI$6:$AI$505,"&lt;="&amp;$A141,実績!$AJ$6:$AJ$505,"&gt;"&amp;$A141,実績!$AK$6:$AK$505,"○")&gt;0,1,0))</f>
        <v>0</v>
      </c>
      <c r="BT141" s="39" t="n">
        <f aca="false">IF(BT$4=0,0,IF(COUNTIFS(実績!$W$6:$W$505,BT$3,実績!$AI$6:$AI$505,"&lt;="&amp;$A141,実績!$AJ$6:$AJ$505,"&gt;"&amp;$A141,実績!$AK$6:$AK$505,"○")&gt;0,1,0))</f>
        <v>0</v>
      </c>
      <c r="BU141" s="39" t="n">
        <f aca="false">IF(BU$4=0,0,IF(COUNTIFS(実績!$W$6:$W$505,BU$3,実績!$AI$6:$AI$505,"&lt;="&amp;$A141,実績!$AJ$6:$AJ$505,"&gt;"&amp;$A141,実績!$AK$6:$AK$505,"○")&gt;0,1,0))</f>
        <v>0</v>
      </c>
      <c r="BV141" s="39" t="n">
        <f aca="false">IF(BV$4=0,0,IF(COUNTIFS(実績!$W$6:$W$505,BV$3,実績!$AI$6:$AI$505,"&lt;="&amp;$A141,実績!$AJ$6:$AJ$505,"&gt;"&amp;$A141,実績!$AK$6:$AK$505,"○")&gt;0,1,0))</f>
        <v>0</v>
      </c>
      <c r="BW141" s="39" t="n">
        <f aca="false">IF(BW$4=0,0,IF(COUNTIFS(実績!$W$6:$W$505,BW$3,実績!$AI$6:$AI$505,"&lt;="&amp;$A141,実績!$AJ$6:$AJ$505,"&gt;"&amp;$A141,実績!$AK$6:$AK$505,"○")&gt;0,1,0))</f>
        <v>0</v>
      </c>
      <c r="BX141" s="39" t="n">
        <f aca="false">IF(BX$4=0,0,IF(COUNTIFS(実績!$W$6:$W$505,BX$3,実績!$AI$6:$AI$505,"&lt;="&amp;$A141,実績!$AJ$6:$AJ$505,"&gt;"&amp;$A141,実績!$AK$6:$AK$505,"○")&gt;0,1,0))</f>
        <v>0</v>
      </c>
      <c r="BY141" s="39" t="n">
        <f aca="false">IF(BY$4=0,0,IF(COUNTIFS(実績!$W$6:$W$505,BY$3,実績!$AI$6:$AI$505,"&lt;="&amp;$A141,実績!$AJ$6:$AJ$505,"&gt;"&amp;$A141,実績!$AK$6:$AK$505,"○")&gt;0,1,0))</f>
        <v>0</v>
      </c>
      <c r="BZ141" s="39" t="n">
        <f aca="false">IF(BZ$4=0,0,IF(COUNTIFS(実績!$W$6:$W$505,BZ$3,実績!$AI$6:$AI$505,"&lt;="&amp;$A141,実績!$AJ$6:$AJ$505,"&gt;"&amp;$A141,実績!$AK$6:$AK$505,"○")&gt;0,1,0))</f>
        <v>0</v>
      </c>
      <c r="CA141" s="39" t="n">
        <f aca="false">IF(CA$4=0,0,IF(COUNTIFS(実績!$W$6:$W$505,CA$3,実績!$AI$6:$AI$505,"&lt;="&amp;$A141,実績!$AJ$6:$AJ$505,"&gt;"&amp;$A141,実績!$AK$6:$AK$505,"○")&gt;0,1,0))</f>
        <v>0</v>
      </c>
      <c r="CB141" s="39" t="n">
        <f aca="false">IF(CB$4=0,0,IF(COUNTIFS(実績!$W$6:$W$505,CB$3,実績!$AI$6:$AI$505,"&lt;="&amp;$A141,実績!$AJ$6:$AJ$505,"&gt;"&amp;$A141,実績!$AK$6:$AK$505,"○")&gt;0,1,0))</f>
        <v>0</v>
      </c>
      <c r="CC141" s="39" t="n">
        <f aca="false">IF(CC$4=0,0,IF(COUNTIFS(実績!$W$6:$W$505,CC$3,実績!$AI$6:$AI$505,"&lt;="&amp;$A141,実績!$AJ$6:$AJ$505,"&gt;"&amp;$A141,実績!$AK$6:$AK$505,"○")&gt;0,1,0))</f>
        <v>0</v>
      </c>
      <c r="CD141" s="39" t="n">
        <f aca="false">IF(CD$4=0,0,IF(COUNTIFS(実績!$W$6:$W$505,CD$3,実績!$AI$6:$AI$505,"&lt;="&amp;$A141,実績!$AJ$6:$AJ$505,"&gt;"&amp;$A141,実績!$AK$6:$AK$505,"○")&gt;0,1,0))</f>
        <v>0</v>
      </c>
      <c r="CE141" s="39" t="n">
        <f aca="false">IF(CE$4=0,0,IF(COUNTIFS(実績!$W$6:$W$505,CE$3,実績!$AI$6:$AI$505,"&lt;="&amp;$A141,実績!$AJ$6:$AJ$505,"&gt;"&amp;$A141,実績!$AK$6:$AK$505,"○")&gt;0,1,0))</f>
        <v>0</v>
      </c>
      <c r="CF141" s="39" t="n">
        <f aca="false">IF(CF$4=0,0,IF(COUNTIFS(実績!$W$6:$W$505,CF$3,実績!$AI$6:$AI$505,"&lt;="&amp;$A141,実績!$AJ$6:$AJ$505,"&gt;"&amp;$A141,実績!$AK$6:$AK$505,"○")&gt;0,1,0))</f>
        <v>0</v>
      </c>
      <c r="CG141" s="39" t="n">
        <f aca="false">IF(CG$4=0,0,IF(COUNTIFS(実績!$W$6:$W$505,CG$3,実績!$AI$6:$AI$505,"&lt;="&amp;$A141,実績!$AJ$6:$AJ$505,"&gt;"&amp;$A141,実績!$AK$6:$AK$505,"○")&gt;0,1,0))</f>
        <v>0</v>
      </c>
      <c r="CH141" s="39" t="n">
        <f aca="false">IF(CH$4=0,0,IF(COUNTIFS(実績!$W$6:$W$505,CH$3,実績!$AI$6:$AI$505,"&lt;="&amp;$A141,実績!$AJ$6:$AJ$505,"&gt;"&amp;$A141,実績!$AK$6:$AK$505,"○")&gt;0,1,0))</f>
        <v>0</v>
      </c>
      <c r="CI141" s="39" t="n">
        <f aca="false">IF(CI$4=0,0,IF(COUNTIFS(実績!$W$6:$W$505,CI$3,実績!$AI$6:$AI$505,"&lt;="&amp;$A141,実績!$AJ$6:$AJ$505,"&gt;"&amp;$A141,実績!$AK$6:$AK$505,"○")&gt;0,1,0))</f>
        <v>0</v>
      </c>
      <c r="CJ141" s="39" t="n">
        <f aca="false">IF(CJ$4=0,0,IF(COUNTIFS(実績!$W$6:$W$505,CJ$3,実績!$AI$6:$AI$505,"&lt;="&amp;$A141,実績!$AJ$6:$AJ$505,"&gt;"&amp;$A141,実績!$AK$6:$AK$505,"○")&gt;0,1,0))</f>
        <v>0</v>
      </c>
      <c r="CK141" s="39" t="n">
        <f aca="false">IF(CK$4=0,0,IF(COUNTIFS(実績!$W$6:$W$505,CK$3,実績!$AI$6:$AI$505,"&lt;="&amp;$A141,実績!$AJ$6:$AJ$505,"&gt;"&amp;$A141,実績!$AK$6:$AK$505,"○")&gt;0,1,0))</f>
        <v>0</v>
      </c>
      <c r="CL141" s="39" t="n">
        <f aca="false">IF(CL$4=0,0,IF(COUNTIFS(実績!$W$6:$W$505,CL$3,実績!$AI$6:$AI$505,"&lt;="&amp;$A141,実績!$AJ$6:$AJ$505,"&gt;"&amp;$A141,実績!$AK$6:$AK$505,"○")&gt;0,1,0))</f>
        <v>0</v>
      </c>
      <c r="CM141" s="39" t="n">
        <f aca="false">IF(CM$4=0,0,IF(COUNTIFS(実績!$W$6:$W$505,CM$3,実績!$AI$6:$AI$505,"&lt;="&amp;$A141,実績!$AJ$6:$AJ$505,"&gt;"&amp;$A141,実績!$AK$6:$AK$505,"○")&gt;0,1,0))</f>
        <v>0</v>
      </c>
      <c r="CN141" s="39" t="n">
        <f aca="false">IF(CN$4=0,0,IF(COUNTIFS(実績!$W$6:$W$505,CN$3,実績!$AI$6:$AI$505,"&lt;="&amp;$A141,実績!$AJ$6:$AJ$505,"&gt;"&amp;$A141,実績!$AK$6:$AK$505,"○")&gt;0,1,0))</f>
        <v>0</v>
      </c>
      <c r="CO141" s="39" t="n">
        <f aca="false">IF(CO$4=0,0,IF(COUNTIFS(実績!$W$6:$W$505,CO$3,実績!$AI$6:$AI$505,"&lt;="&amp;$A141,実績!$AJ$6:$AJ$505,"&gt;"&amp;$A141,実績!$AK$6:$AK$505,"○")&gt;0,1,0))</f>
        <v>0</v>
      </c>
      <c r="CP141" s="39" t="n">
        <f aca="false">IF(CP$4=0,0,IF(COUNTIFS(実績!$W$6:$W$505,CP$3,実績!$AI$6:$AI$505,"&lt;="&amp;$A141,実績!$AJ$6:$AJ$505,"&gt;"&amp;$A141,実績!$AK$6:$AK$505,"○")&gt;0,1,0))</f>
        <v>0</v>
      </c>
      <c r="CQ141" s="39" t="n">
        <f aca="false">IF(CQ$4=0,0,IF(COUNTIFS(実績!$W$6:$W$505,CQ$3,実績!$AI$6:$AI$505,"&lt;="&amp;$A141,実績!$AJ$6:$AJ$505,"&gt;"&amp;$A141,実績!$AK$6:$AK$505,"○")&gt;0,1,0))</f>
        <v>0</v>
      </c>
      <c r="CR141" s="39" t="n">
        <f aca="false">IF(CR$4=0,0,IF(COUNTIFS(実績!$W$6:$W$505,CR$3,実績!$AI$6:$AI$505,"&lt;="&amp;$A141,実績!$AJ$6:$AJ$505,"&gt;"&amp;$A141,実績!$AK$6:$AK$505,"○")&gt;0,1,0))</f>
        <v>0</v>
      </c>
      <c r="CS141" s="39" t="n">
        <f aca="false">IF(CS$4=0,0,IF(COUNTIFS(実績!$W$6:$W$505,CS$3,実績!$AI$6:$AI$505,"&lt;="&amp;$A141,実績!$AJ$6:$AJ$505,"&gt;"&amp;$A141,実績!$AK$6:$AK$505,"○")&gt;0,1,0))</f>
        <v>0</v>
      </c>
      <c r="CT141" s="39" t="n">
        <f aca="false">IF(CT$4=0,0,IF(COUNTIFS(実績!$W$6:$W$505,CT$3,実績!$AI$6:$AI$505,"&lt;="&amp;$A141,実績!$AJ$6:$AJ$505,"&gt;"&amp;$A141,実績!$AK$6:$AK$505,"○")&gt;0,1,0))</f>
        <v>0</v>
      </c>
      <c r="CU141" s="39" t="n">
        <f aca="false">IF(CU$4=0,0,IF(COUNTIFS(実績!$W$6:$W$505,CU$3,実績!$AI$6:$AI$505,"&lt;="&amp;$A141,実績!$AJ$6:$AJ$505,"&gt;"&amp;$A141,実績!$AK$6:$AK$505,"○")&gt;0,1,0))</f>
        <v>0</v>
      </c>
      <c r="CV141" s="39" t="n">
        <f aca="false">IF(CV$4=0,0,IF(COUNTIFS(実績!$W$6:$W$505,CV$3,実績!$AI$6:$AI$505,"&lt;="&amp;$A141,実績!$AJ$6:$AJ$505,"&gt;"&amp;$A141,実績!$AK$6:$AK$505,"○")&gt;0,1,0))</f>
        <v>0</v>
      </c>
      <c r="CW141" s="39" t="n">
        <f aca="false">IF(CW$4=0,0,IF(COUNTIFS(実績!$W$6:$W$505,CW$3,実績!$AI$6:$AI$505,"&lt;="&amp;$A141,実績!$AJ$6:$AJ$505,"&gt;"&amp;$A141,実績!$AK$6:$AK$505,"○")&gt;0,1,0))</f>
        <v>0</v>
      </c>
      <c r="CX141" s="39" t="n">
        <f aca="false">IF(CX$4=0,0,IF(COUNTIFS(実績!$W$6:$W$505,CX$3,実績!$AI$6:$AI$505,"&lt;="&amp;$A141,実績!$AJ$6:$AJ$505,"&gt;"&amp;$A141,実績!$AK$6:$AK$505,"○")&gt;0,1,0))</f>
        <v>0</v>
      </c>
      <c r="CY141" s="39" t="n">
        <f aca="false">IF(CY$4=0,0,IF(COUNTIFS(実績!$W$6:$W$505,CY$3,実績!$AI$6:$AI$505,"&lt;="&amp;$A141,実績!$AJ$6:$AJ$505,"&gt;"&amp;$A141,実績!$AK$6:$AK$505,"○")&gt;0,1,0))</f>
        <v>0</v>
      </c>
      <c r="CZ141" s="39" t="n">
        <f aca="false">IF(CZ$4=0,0,IF(COUNTIFS(実績!$W$6:$W$505,CZ$3,実績!$AI$6:$AI$505,"&lt;="&amp;$A141,実績!$AJ$6:$AJ$505,"&gt;"&amp;$A141,実績!$AK$6:$AK$505,"○")&gt;0,1,0))</f>
        <v>0</v>
      </c>
      <c r="DA141" s="39" t="n">
        <f aca="false">IF(DA$4=0,0,IF(COUNTIFS(実績!$W$6:$W$505,DA$3,実績!$AI$6:$AI$505,"&lt;="&amp;$A141,実績!$AJ$6:$AJ$505,"&gt;"&amp;$A141,実績!$AK$6:$AK$505,"○")&gt;0,1,0))</f>
        <v>0</v>
      </c>
      <c r="DB141" s="39" t="n">
        <f aca="false">IF(DB$4=0,0,IF(COUNTIFS(実績!$W$6:$W$505,DB$3,実績!$AI$6:$AI$505,"&lt;="&amp;$A141,実績!$AJ$6:$AJ$505,"&gt;"&amp;$A141,実績!$AK$6:$AK$505,"○")&gt;0,1,0))</f>
        <v>0</v>
      </c>
      <c r="DC141" s="39" t="n">
        <f aca="false">IF(DC$4=0,0,IF(COUNTIFS(実績!$W$6:$W$505,DC$3,実績!$AI$6:$AI$505,"&lt;="&amp;$A141,実績!$AJ$6:$AJ$505,"&gt;"&amp;$A141,実績!$AK$6:$AK$505,"○")&gt;0,1,0))</f>
        <v>0</v>
      </c>
      <c r="DD141" s="39" t="n">
        <f aca="false">IF(DD$4=0,0,IF(COUNTIFS(実績!$W$6:$W$505,DD$3,実績!$AI$6:$AI$505,"&lt;="&amp;$A141,実績!$AJ$6:$AJ$505,"&gt;"&amp;$A141,実績!$AK$6:$AK$505,"○")&gt;0,1,0))</f>
        <v>0</v>
      </c>
      <c r="DE141" s="39" t="n">
        <f aca="false">IF(DE$4=0,0,IF(COUNTIFS(実績!$W$6:$W$505,DE$3,実績!$AI$6:$AI$505,"&lt;="&amp;$A141,実績!$AJ$6:$AJ$505,"&gt;"&amp;$A141,実績!$AK$6:$AK$505,"○")&gt;0,1,0))</f>
        <v>0</v>
      </c>
      <c r="DF141" s="39" t="n">
        <f aca="false">IF(DF$4=0,0,IF(COUNTIFS(実績!$W$6:$W$505,DF$3,実績!$AI$6:$AI$505,"&lt;="&amp;$A141,実績!$AJ$6:$AJ$505,"&gt;"&amp;$A141,実績!$AK$6:$AK$505,"○")&gt;0,1,0))</f>
        <v>0</v>
      </c>
      <c r="DG141" s="39" t="n">
        <f aca="false">IF(DG$4=0,0,IF(COUNTIFS(実績!$W$6:$W$505,DG$3,実績!$AI$6:$AI$505,"&lt;="&amp;$A141,実績!$AJ$6:$AJ$505,"&gt;"&amp;$A141,実績!$AK$6:$AK$505,"○")&gt;0,1,0))</f>
        <v>0</v>
      </c>
      <c r="DH141" s="39" t="n">
        <f aca="false">IF(DH$4=0,0,IF(COUNTIFS(実績!$W$6:$W$505,DH$3,実績!$AI$6:$AI$505,"&lt;="&amp;$A141,実績!$AJ$6:$AJ$505,"&gt;"&amp;$A141,実績!$AK$6:$AK$505,"○")&gt;0,1,0))</f>
        <v>0</v>
      </c>
      <c r="DI141" s="39" t="n">
        <f aca="false">IF(DI$4=0,0,IF(COUNTIFS(実績!$W$6:$W$505,DI$3,実績!$AI$6:$AI$505,"&lt;="&amp;$A141,実績!$AJ$6:$AJ$505,"&gt;"&amp;$A141,実績!$AK$6:$AK$505,"○")&gt;0,1,0))</f>
        <v>0</v>
      </c>
      <c r="DJ141" s="39" t="n">
        <f aca="false">IF(DJ$4=0,0,IF(COUNTIFS(実績!$W$6:$W$505,DJ$3,実績!$AI$6:$AI$505,"&lt;="&amp;$A141,実績!$AJ$6:$AJ$505,"&gt;"&amp;$A141,実績!$AK$6:$AK$505,"○")&gt;0,1,0))</f>
        <v>0</v>
      </c>
      <c r="DK141" s="39" t="n">
        <f aca="false">IF(DK$4=0,0,IF(COUNTIFS(実績!$W$6:$W$505,DK$3,実績!$AI$6:$AI$505,"&lt;="&amp;$A141,実績!$AJ$6:$AJ$505,"&gt;"&amp;$A141,実績!$AK$6:$AK$505,"○")&gt;0,1,0))</f>
        <v>0</v>
      </c>
      <c r="DL141" s="39" t="n">
        <f aca="false">IF(DL$4=0,0,IF(COUNTIFS(実績!$W$6:$W$505,DL$3,実績!$AI$6:$AI$505,"&lt;="&amp;$A141,実績!$AJ$6:$AJ$505,"&gt;"&amp;$A141,実績!$AK$6:$AK$505,"○")&gt;0,1,0))</f>
        <v>0</v>
      </c>
      <c r="DM141" s="39" t="n">
        <f aca="false">IF(DM$4=0,0,IF(COUNTIFS(実績!$W$6:$W$505,DM$3,実績!$AI$6:$AI$505,"&lt;="&amp;$A141,実績!$AJ$6:$AJ$505,"&gt;"&amp;$A141,実績!$AK$6:$AK$505,"○")&gt;0,1,0))</f>
        <v>0</v>
      </c>
      <c r="DN141" s="39" t="n">
        <f aca="false">IF(DN$4=0,0,IF(COUNTIFS(実績!$W$6:$W$505,DN$3,実績!$AI$6:$AI$505,"&lt;="&amp;$A141,実績!$AJ$6:$AJ$505,"&gt;"&amp;$A141,実績!$AK$6:$AK$505,"○")&gt;0,1,0))</f>
        <v>0</v>
      </c>
      <c r="DO141" s="39" t="n">
        <f aca="false">IF(DO$4=0,0,IF(COUNTIFS(実績!$W$6:$W$505,DO$3,実績!$AI$6:$AI$505,"&lt;="&amp;$A141,実績!$AJ$6:$AJ$505,"&gt;"&amp;$A141,実績!$AK$6:$AK$505,"○")&gt;0,1,0))</f>
        <v>0</v>
      </c>
      <c r="DP141" s="39" t="n">
        <f aca="false">IF(DP$4=0,0,IF(COUNTIFS(実績!$W$6:$W$505,DP$3,実績!$AI$6:$AI$505,"&lt;="&amp;$A141,実績!$AJ$6:$AJ$505,"&gt;"&amp;$A141,実績!$AK$6:$AK$505,"○")&gt;0,1,0))</f>
        <v>0</v>
      </c>
      <c r="DQ141" s="39" t="n">
        <f aca="false">IF(DQ$4=0,0,IF(COUNTIFS(実績!$W$6:$W$505,DQ$3,実績!$AI$6:$AI$505,"&lt;="&amp;$A141,実績!$AJ$6:$AJ$505,"&gt;"&amp;$A141,実績!$AK$6:$AK$505,"○")&gt;0,1,0))</f>
        <v>0</v>
      </c>
      <c r="DR141" s="39" t="n">
        <f aca="false">IF(DR$4=0,0,IF(COUNTIFS(実績!$W$6:$W$505,DR$3,実績!$AI$6:$AI$505,"&lt;="&amp;$A141,実績!$AJ$6:$AJ$505,"&gt;"&amp;$A141,実績!$AK$6:$AK$505,"○")&gt;0,1,0))</f>
        <v>0</v>
      </c>
      <c r="DS141" s="39" t="n">
        <f aca="false">SUM(C141:DR141)</f>
        <v>0</v>
      </c>
      <c r="DT141" s="39" t="n">
        <f aca="false">SUMPRODUCT((実績!$C$6:$C$505="○")*ISNUMBER(実績!$AM$6:$AM$505)*(実績!$AM$6:$AM$505&lt;=$A141)*(実績!$AN$6:$AN$505&gt;$A141))</f>
        <v>0</v>
      </c>
      <c r="DU141" s="39" t="n">
        <f aca="false">SUMIF($C$2:$DR$2,"製鉄曳船",C141:DR141)</f>
        <v>0</v>
      </c>
      <c r="DV141" s="39" t="n">
        <f aca="false">SUMIF($C$2:$DR$2,"西日本海運",C141:DR141)</f>
        <v>0</v>
      </c>
    </row>
    <row r="142" customFormat="false" ht="15" hidden="false" customHeight="false" outlineLevel="0" collapsed="false">
      <c r="A142" s="0" t="n">
        <v>680</v>
      </c>
      <c r="B142" s="38" t="n">
        <f aca="false">A142/1440</f>
        <v>0.472222222222222</v>
      </c>
      <c r="C142" s="39" t="n">
        <f aca="false">IF(C$4=0,0,IF(COUNTIFS(実績!$W$6:$W$505,C$3,実績!$AI$6:$AI$505,"&lt;="&amp;$A142,実績!$AJ$6:$AJ$505,"&gt;"&amp;$A142,実績!$AK$6:$AK$505,"○")&gt;0,1,0))</f>
        <v>0</v>
      </c>
      <c r="D142" s="39" t="n">
        <f aca="false">IF(D$4=0,0,IF(COUNTIFS(実績!$W$6:$W$505,D$3,実績!$AI$6:$AI$505,"&lt;="&amp;$A142,実績!$AJ$6:$AJ$505,"&gt;"&amp;$A142,実績!$AK$6:$AK$505,"○")&gt;0,1,0))</f>
        <v>0</v>
      </c>
      <c r="E142" s="39" t="n">
        <f aca="false">IF(E$4=0,0,IF(COUNTIFS(実績!$W$6:$W$505,E$3,実績!$AI$6:$AI$505,"&lt;="&amp;$A142,実績!$AJ$6:$AJ$505,"&gt;"&amp;$A142,実績!$AK$6:$AK$505,"○")&gt;0,1,0))</f>
        <v>0</v>
      </c>
      <c r="F142" s="39" t="n">
        <f aca="false">IF(F$4=0,0,IF(COUNTIFS(実績!$W$6:$W$505,F$3,実績!$AI$6:$AI$505,"&lt;="&amp;$A142,実績!$AJ$6:$AJ$505,"&gt;"&amp;$A142,実績!$AK$6:$AK$505,"○")&gt;0,1,0))</f>
        <v>0</v>
      </c>
      <c r="G142" s="39" t="n">
        <f aca="false">IF(G$4=0,0,IF(COUNTIFS(実績!$W$6:$W$505,G$3,実績!$AI$6:$AI$505,"&lt;="&amp;$A142,実績!$AJ$6:$AJ$505,"&gt;"&amp;$A142,実績!$AK$6:$AK$505,"○")&gt;0,1,0))</f>
        <v>0</v>
      </c>
      <c r="H142" s="39" t="n">
        <f aca="false">IF(H$4=0,0,IF(COUNTIFS(実績!$W$6:$W$505,H$3,実績!$AI$6:$AI$505,"&lt;="&amp;$A142,実績!$AJ$6:$AJ$505,"&gt;"&amp;$A142,実績!$AK$6:$AK$505,"○")&gt;0,1,0))</f>
        <v>0</v>
      </c>
      <c r="I142" s="39" t="n">
        <f aca="false">IF(I$4=0,0,IF(COUNTIFS(実績!$W$6:$W$505,I$3,実績!$AI$6:$AI$505,"&lt;="&amp;$A142,実績!$AJ$6:$AJ$505,"&gt;"&amp;$A142,実績!$AK$6:$AK$505,"○")&gt;0,1,0))</f>
        <v>0</v>
      </c>
      <c r="J142" s="39" t="n">
        <f aca="false">IF(J$4=0,0,IF(COUNTIFS(実績!$W$6:$W$505,J$3,実績!$AI$6:$AI$505,"&lt;="&amp;$A142,実績!$AJ$6:$AJ$505,"&gt;"&amp;$A142,実績!$AK$6:$AK$505,"○")&gt;0,1,0))</f>
        <v>0</v>
      </c>
      <c r="K142" s="39" t="n">
        <f aca="false">IF(K$4=0,0,IF(COUNTIFS(実績!$W$6:$W$505,K$3,実績!$AI$6:$AI$505,"&lt;="&amp;$A142,実績!$AJ$6:$AJ$505,"&gt;"&amp;$A142,実績!$AK$6:$AK$505,"○")&gt;0,1,0))</f>
        <v>0</v>
      </c>
      <c r="L142" s="39" t="n">
        <f aca="false">IF(L$4=0,0,IF(COUNTIFS(実績!$W$6:$W$505,L$3,実績!$AI$6:$AI$505,"&lt;="&amp;$A142,実績!$AJ$6:$AJ$505,"&gt;"&amp;$A142,実績!$AK$6:$AK$505,"○")&gt;0,1,0))</f>
        <v>0</v>
      </c>
      <c r="M142" s="39" t="n">
        <f aca="false">IF(M$4=0,0,IF(COUNTIFS(実績!$W$6:$W$505,M$3,実績!$AI$6:$AI$505,"&lt;="&amp;$A142,実績!$AJ$6:$AJ$505,"&gt;"&amp;$A142,実績!$AK$6:$AK$505,"○")&gt;0,1,0))</f>
        <v>0</v>
      </c>
      <c r="N142" s="39" t="n">
        <f aca="false">IF(N$4=0,0,IF(COUNTIFS(実績!$W$6:$W$505,N$3,実績!$AI$6:$AI$505,"&lt;="&amp;$A142,実績!$AJ$6:$AJ$505,"&gt;"&amp;$A142,実績!$AK$6:$AK$505,"○")&gt;0,1,0))</f>
        <v>0</v>
      </c>
      <c r="O142" s="39" t="n">
        <f aca="false">IF(O$4=0,0,IF(COUNTIFS(実績!$W$6:$W$505,O$3,実績!$AI$6:$AI$505,"&lt;="&amp;$A142,実績!$AJ$6:$AJ$505,"&gt;"&amp;$A142,実績!$AK$6:$AK$505,"○")&gt;0,1,0))</f>
        <v>0</v>
      </c>
      <c r="P142" s="39" t="n">
        <f aca="false">IF(P$4=0,0,IF(COUNTIFS(実績!$W$6:$W$505,P$3,実績!$AI$6:$AI$505,"&lt;="&amp;$A142,実績!$AJ$6:$AJ$505,"&gt;"&amp;$A142,実績!$AK$6:$AK$505,"○")&gt;0,1,0))</f>
        <v>0</v>
      </c>
      <c r="Q142" s="39" t="n">
        <f aca="false">IF(Q$4=0,0,IF(COUNTIFS(実績!$W$6:$W$505,Q$3,実績!$AI$6:$AI$505,"&lt;="&amp;$A142,実績!$AJ$6:$AJ$505,"&gt;"&amp;$A142,実績!$AK$6:$AK$505,"○")&gt;0,1,0))</f>
        <v>0</v>
      </c>
      <c r="R142" s="39" t="n">
        <f aca="false">IF(R$4=0,0,IF(COUNTIFS(実績!$W$6:$W$505,R$3,実績!$AI$6:$AI$505,"&lt;="&amp;$A142,実績!$AJ$6:$AJ$505,"&gt;"&amp;$A142,実績!$AK$6:$AK$505,"○")&gt;0,1,0))</f>
        <v>0</v>
      </c>
      <c r="S142" s="39" t="n">
        <f aca="false">IF(S$4=0,0,IF(COUNTIFS(実績!$W$6:$W$505,S$3,実績!$AI$6:$AI$505,"&lt;="&amp;$A142,実績!$AJ$6:$AJ$505,"&gt;"&amp;$A142,実績!$AK$6:$AK$505,"○")&gt;0,1,0))</f>
        <v>0</v>
      </c>
      <c r="T142" s="39" t="n">
        <f aca="false">IF(T$4=0,0,IF(COUNTIFS(実績!$W$6:$W$505,T$3,実績!$AI$6:$AI$505,"&lt;="&amp;$A142,実績!$AJ$6:$AJ$505,"&gt;"&amp;$A142,実績!$AK$6:$AK$505,"○")&gt;0,1,0))</f>
        <v>0</v>
      </c>
      <c r="U142" s="39" t="n">
        <f aca="false">IF(U$4=0,0,IF(COUNTIFS(実績!$W$6:$W$505,U$3,実績!$AI$6:$AI$505,"&lt;="&amp;$A142,実績!$AJ$6:$AJ$505,"&gt;"&amp;$A142,実績!$AK$6:$AK$505,"○")&gt;0,1,0))</f>
        <v>0</v>
      </c>
      <c r="V142" s="39" t="n">
        <f aca="false">IF(V$4=0,0,IF(COUNTIFS(実績!$W$6:$W$505,V$3,実績!$AI$6:$AI$505,"&lt;="&amp;$A142,実績!$AJ$6:$AJ$505,"&gt;"&amp;$A142,実績!$AK$6:$AK$505,"○")&gt;0,1,0))</f>
        <v>0</v>
      </c>
      <c r="W142" s="39" t="n">
        <f aca="false">IF(W$4=0,0,IF(COUNTIFS(実績!$W$6:$W$505,W$3,実績!$AI$6:$AI$505,"&lt;="&amp;$A142,実績!$AJ$6:$AJ$505,"&gt;"&amp;$A142,実績!$AK$6:$AK$505,"○")&gt;0,1,0))</f>
        <v>0</v>
      </c>
      <c r="X142" s="39" t="n">
        <f aca="false">IF(X$4=0,0,IF(COUNTIFS(実績!$W$6:$W$505,X$3,実績!$AI$6:$AI$505,"&lt;="&amp;$A142,実績!$AJ$6:$AJ$505,"&gt;"&amp;$A142,実績!$AK$6:$AK$505,"○")&gt;0,1,0))</f>
        <v>0</v>
      </c>
      <c r="Y142" s="39" t="n">
        <f aca="false">IF(Y$4=0,0,IF(COUNTIFS(実績!$W$6:$W$505,Y$3,実績!$AI$6:$AI$505,"&lt;="&amp;$A142,実績!$AJ$6:$AJ$505,"&gt;"&amp;$A142,実績!$AK$6:$AK$505,"○")&gt;0,1,0))</f>
        <v>0</v>
      </c>
      <c r="Z142" s="39" t="n">
        <f aca="false">IF(Z$4=0,0,IF(COUNTIFS(実績!$W$6:$W$505,Z$3,実績!$AI$6:$AI$505,"&lt;="&amp;$A142,実績!$AJ$6:$AJ$505,"&gt;"&amp;$A142,実績!$AK$6:$AK$505,"○")&gt;0,1,0))</f>
        <v>0</v>
      </c>
      <c r="AA142" s="39" t="n">
        <f aca="false">IF(AA$4=0,0,IF(COUNTIFS(実績!$W$6:$W$505,AA$3,実績!$AI$6:$AI$505,"&lt;="&amp;$A142,実績!$AJ$6:$AJ$505,"&gt;"&amp;$A142,実績!$AK$6:$AK$505,"○")&gt;0,1,0))</f>
        <v>0</v>
      </c>
      <c r="AB142" s="39" t="n">
        <f aca="false">IF(AB$4=0,0,IF(COUNTIFS(実績!$W$6:$W$505,AB$3,実績!$AI$6:$AI$505,"&lt;="&amp;$A142,実績!$AJ$6:$AJ$505,"&gt;"&amp;$A142,実績!$AK$6:$AK$505,"○")&gt;0,1,0))</f>
        <v>0</v>
      </c>
      <c r="AC142" s="39" t="n">
        <f aca="false">IF(AC$4=0,0,IF(COUNTIFS(実績!$W$6:$W$505,AC$3,実績!$AI$6:$AI$505,"&lt;="&amp;$A142,実績!$AJ$6:$AJ$505,"&gt;"&amp;$A142,実績!$AK$6:$AK$505,"○")&gt;0,1,0))</f>
        <v>0</v>
      </c>
      <c r="AD142" s="39" t="n">
        <f aca="false">IF(AD$4=0,0,IF(COUNTIFS(実績!$W$6:$W$505,AD$3,実績!$AI$6:$AI$505,"&lt;="&amp;$A142,実績!$AJ$6:$AJ$505,"&gt;"&amp;$A142,実績!$AK$6:$AK$505,"○")&gt;0,1,0))</f>
        <v>0</v>
      </c>
      <c r="AE142" s="39" t="n">
        <f aca="false">IF(AE$4=0,0,IF(COUNTIFS(実績!$W$6:$W$505,AE$3,実績!$AI$6:$AI$505,"&lt;="&amp;$A142,実績!$AJ$6:$AJ$505,"&gt;"&amp;$A142,実績!$AK$6:$AK$505,"○")&gt;0,1,0))</f>
        <v>0</v>
      </c>
      <c r="AF142" s="39" t="n">
        <f aca="false">IF(AF$4=0,0,IF(COUNTIFS(実績!$W$6:$W$505,AF$3,実績!$AI$6:$AI$505,"&lt;="&amp;$A142,実績!$AJ$6:$AJ$505,"&gt;"&amp;$A142,実績!$AK$6:$AK$505,"○")&gt;0,1,0))</f>
        <v>0</v>
      </c>
      <c r="AG142" s="39" t="n">
        <f aca="false">IF(AG$4=0,0,IF(COUNTIFS(実績!$W$6:$W$505,AG$3,実績!$AI$6:$AI$505,"&lt;="&amp;$A142,実績!$AJ$6:$AJ$505,"&gt;"&amp;$A142,実績!$AK$6:$AK$505,"○")&gt;0,1,0))</f>
        <v>0</v>
      </c>
      <c r="AH142" s="39" t="n">
        <f aca="false">IF(AH$4=0,0,IF(COUNTIFS(実績!$W$6:$W$505,AH$3,実績!$AI$6:$AI$505,"&lt;="&amp;$A142,実績!$AJ$6:$AJ$505,"&gt;"&amp;$A142,実績!$AK$6:$AK$505,"○")&gt;0,1,0))</f>
        <v>0</v>
      </c>
      <c r="AI142" s="39" t="n">
        <f aca="false">IF(AI$4=0,0,IF(COUNTIFS(実績!$W$6:$W$505,AI$3,実績!$AI$6:$AI$505,"&lt;="&amp;$A142,実績!$AJ$6:$AJ$505,"&gt;"&amp;$A142,実績!$AK$6:$AK$505,"○")&gt;0,1,0))</f>
        <v>0</v>
      </c>
      <c r="AJ142" s="39" t="n">
        <f aca="false">IF(AJ$4=0,0,IF(COUNTIFS(実績!$W$6:$W$505,AJ$3,実績!$AI$6:$AI$505,"&lt;="&amp;$A142,実績!$AJ$6:$AJ$505,"&gt;"&amp;$A142,実績!$AK$6:$AK$505,"○")&gt;0,1,0))</f>
        <v>0</v>
      </c>
      <c r="AK142" s="39" t="n">
        <f aca="false">IF(AK$4=0,0,IF(COUNTIFS(実績!$W$6:$W$505,AK$3,実績!$AI$6:$AI$505,"&lt;="&amp;$A142,実績!$AJ$6:$AJ$505,"&gt;"&amp;$A142,実績!$AK$6:$AK$505,"○")&gt;0,1,0))</f>
        <v>0</v>
      </c>
      <c r="AL142" s="39" t="n">
        <f aca="false">IF(AL$4=0,0,IF(COUNTIFS(実績!$W$6:$W$505,AL$3,実績!$AI$6:$AI$505,"&lt;="&amp;$A142,実績!$AJ$6:$AJ$505,"&gt;"&amp;$A142,実績!$AK$6:$AK$505,"○")&gt;0,1,0))</f>
        <v>0</v>
      </c>
      <c r="AM142" s="39" t="n">
        <f aca="false">IF(AM$4=0,0,IF(COUNTIFS(実績!$W$6:$W$505,AM$3,実績!$AI$6:$AI$505,"&lt;="&amp;$A142,実績!$AJ$6:$AJ$505,"&gt;"&amp;$A142,実績!$AK$6:$AK$505,"○")&gt;0,1,0))</f>
        <v>0</v>
      </c>
      <c r="AN142" s="39" t="n">
        <f aca="false">IF(AN$4=0,0,IF(COUNTIFS(実績!$W$6:$W$505,AN$3,実績!$AI$6:$AI$505,"&lt;="&amp;$A142,実績!$AJ$6:$AJ$505,"&gt;"&amp;$A142,実績!$AK$6:$AK$505,"○")&gt;0,1,0))</f>
        <v>0</v>
      </c>
      <c r="AO142" s="39" t="n">
        <f aca="false">IF(AO$4=0,0,IF(COUNTIFS(実績!$W$6:$W$505,AO$3,実績!$AI$6:$AI$505,"&lt;="&amp;$A142,実績!$AJ$6:$AJ$505,"&gt;"&amp;$A142,実績!$AK$6:$AK$505,"○")&gt;0,1,0))</f>
        <v>0</v>
      </c>
      <c r="AP142" s="39" t="n">
        <f aca="false">IF(AP$4=0,0,IF(COUNTIFS(実績!$W$6:$W$505,AP$3,実績!$AI$6:$AI$505,"&lt;="&amp;$A142,実績!$AJ$6:$AJ$505,"&gt;"&amp;$A142,実績!$AK$6:$AK$505,"○")&gt;0,1,0))</f>
        <v>0</v>
      </c>
      <c r="AQ142" s="39" t="n">
        <f aca="false">IF(AQ$4=0,0,IF(COUNTIFS(実績!$W$6:$W$505,AQ$3,実績!$AI$6:$AI$505,"&lt;="&amp;$A142,実績!$AJ$6:$AJ$505,"&gt;"&amp;$A142,実績!$AK$6:$AK$505,"○")&gt;0,1,0))</f>
        <v>0</v>
      </c>
      <c r="AR142" s="39" t="n">
        <f aca="false">IF(AR$4=0,0,IF(COUNTIFS(実績!$W$6:$W$505,AR$3,実績!$AI$6:$AI$505,"&lt;="&amp;$A142,実績!$AJ$6:$AJ$505,"&gt;"&amp;$A142,実績!$AK$6:$AK$505,"○")&gt;0,1,0))</f>
        <v>0</v>
      </c>
      <c r="AS142" s="39" t="n">
        <f aca="false">IF(AS$4=0,0,IF(COUNTIFS(実績!$W$6:$W$505,AS$3,実績!$AI$6:$AI$505,"&lt;="&amp;$A142,実績!$AJ$6:$AJ$505,"&gt;"&amp;$A142,実績!$AK$6:$AK$505,"○")&gt;0,1,0))</f>
        <v>0</v>
      </c>
      <c r="AT142" s="39" t="n">
        <f aca="false">IF(AT$4=0,0,IF(COUNTIFS(実績!$W$6:$W$505,AT$3,実績!$AI$6:$AI$505,"&lt;="&amp;$A142,実績!$AJ$6:$AJ$505,"&gt;"&amp;$A142,実績!$AK$6:$AK$505,"○")&gt;0,1,0))</f>
        <v>0</v>
      </c>
      <c r="AU142" s="39" t="n">
        <f aca="false">IF(AU$4=0,0,IF(COUNTIFS(実績!$W$6:$W$505,AU$3,実績!$AI$6:$AI$505,"&lt;="&amp;$A142,実績!$AJ$6:$AJ$505,"&gt;"&amp;$A142,実績!$AK$6:$AK$505,"○")&gt;0,1,0))</f>
        <v>0</v>
      </c>
      <c r="AV142" s="39" t="n">
        <f aca="false">IF(AV$4=0,0,IF(COUNTIFS(実績!$W$6:$W$505,AV$3,実績!$AI$6:$AI$505,"&lt;="&amp;$A142,実績!$AJ$6:$AJ$505,"&gt;"&amp;$A142,実績!$AK$6:$AK$505,"○")&gt;0,1,0))</f>
        <v>0</v>
      </c>
      <c r="AW142" s="39" t="n">
        <f aca="false">IF(AW$4=0,0,IF(COUNTIFS(実績!$W$6:$W$505,AW$3,実績!$AI$6:$AI$505,"&lt;="&amp;$A142,実績!$AJ$6:$AJ$505,"&gt;"&amp;$A142,実績!$AK$6:$AK$505,"○")&gt;0,1,0))</f>
        <v>0</v>
      </c>
      <c r="AX142" s="39" t="n">
        <f aca="false">IF(AX$4=0,0,IF(COUNTIFS(実績!$W$6:$W$505,AX$3,実績!$AI$6:$AI$505,"&lt;="&amp;$A142,実績!$AJ$6:$AJ$505,"&gt;"&amp;$A142,実績!$AK$6:$AK$505,"○")&gt;0,1,0))</f>
        <v>0</v>
      </c>
      <c r="AY142" s="39" t="n">
        <f aca="false">IF(AY$4=0,0,IF(COUNTIFS(実績!$W$6:$W$505,AY$3,実績!$AI$6:$AI$505,"&lt;="&amp;$A142,実績!$AJ$6:$AJ$505,"&gt;"&amp;$A142,実績!$AK$6:$AK$505,"○")&gt;0,1,0))</f>
        <v>0</v>
      </c>
      <c r="AZ142" s="39" t="n">
        <f aca="false">IF(AZ$4=0,0,IF(COUNTIFS(実績!$W$6:$W$505,AZ$3,実績!$AI$6:$AI$505,"&lt;="&amp;$A142,実績!$AJ$6:$AJ$505,"&gt;"&amp;$A142,実績!$AK$6:$AK$505,"○")&gt;0,1,0))</f>
        <v>0</v>
      </c>
      <c r="BA142" s="39" t="n">
        <f aca="false">IF(BA$4=0,0,IF(COUNTIFS(実績!$W$6:$W$505,BA$3,実績!$AI$6:$AI$505,"&lt;="&amp;$A142,実績!$AJ$6:$AJ$505,"&gt;"&amp;$A142,実績!$AK$6:$AK$505,"○")&gt;0,1,0))</f>
        <v>0</v>
      </c>
      <c r="BB142" s="39" t="n">
        <f aca="false">IF(BB$4=0,0,IF(COUNTIFS(実績!$W$6:$W$505,BB$3,実績!$AI$6:$AI$505,"&lt;="&amp;$A142,実績!$AJ$6:$AJ$505,"&gt;"&amp;$A142,実績!$AK$6:$AK$505,"○")&gt;0,1,0))</f>
        <v>0</v>
      </c>
      <c r="BC142" s="39" t="n">
        <f aca="false">IF(BC$4=0,0,IF(COUNTIFS(実績!$W$6:$W$505,BC$3,実績!$AI$6:$AI$505,"&lt;="&amp;$A142,実績!$AJ$6:$AJ$505,"&gt;"&amp;$A142,実績!$AK$6:$AK$505,"○")&gt;0,1,0))</f>
        <v>0</v>
      </c>
      <c r="BD142" s="39" t="n">
        <f aca="false">IF(BD$4=0,0,IF(COUNTIFS(実績!$W$6:$W$505,BD$3,実績!$AI$6:$AI$505,"&lt;="&amp;$A142,実績!$AJ$6:$AJ$505,"&gt;"&amp;$A142,実績!$AK$6:$AK$505,"○")&gt;0,1,0))</f>
        <v>0</v>
      </c>
      <c r="BE142" s="39" t="n">
        <f aca="false">IF(BE$4=0,0,IF(COUNTIFS(実績!$W$6:$W$505,BE$3,実績!$AI$6:$AI$505,"&lt;="&amp;$A142,実績!$AJ$6:$AJ$505,"&gt;"&amp;$A142,実績!$AK$6:$AK$505,"○")&gt;0,1,0))</f>
        <v>0</v>
      </c>
      <c r="BF142" s="39" t="n">
        <f aca="false">IF(BF$4=0,0,IF(COUNTIFS(実績!$W$6:$W$505,BF$3,実績!$AI$6:$AI$505,"&lt;="&amp;$A142,実績!$AJ$6:$AJ$505,"&gt;"&amp;$A142,実績!$AK$6:$AK$505,"○")&gt;0,1,0))</f>
        <v>0</v>
      </c>
      <c r="BG142" s="39" t="n">
        <f aca="false">IF(BG$4=0,0,IF(COUNTIFS(実績!$W$6:$W$505,BG$3,実績!$AI$6:$AI$505,"&lt;="&amp;$A142,実績!$AJ$6:$AJ$505,"&gt;"&amp;$A142,実績!$AK$6:$AK$505,"○")&gt;0,1,0))</f>
        <v>0</v>
      </c>
      <c r="BH142" s="39" t="n">
        <f aca="false">IF(BH$4=0,0,IF(COUNTIFS(実績!$W$6:$W$505,BH$3,実績!$AI$6:$AI$505,"&lt;="&amp;$A142,実績!$AJ$6:$AJ$505,"&gt;"&amp;$A142,実績!$AK$6:$AK$505,"○")&gt;0,1,0))</f>
        <v>0</v>
      </c>
      <c r="BI142" s="39" t="n">
        <f aca="false">IF(BI$4=0,0,IF(COUNTIFS(実績!$W$6:$W$505,BI$3,実績!$AI$6:$AI$505,"&lt;="&amp;$A142,実績!$AJ$6:$AJ$505,"&gt;"&amp;$A142,実績!$AK$6:$AK$505,"○")&gt;0,1,0))</f>
        <v>0</v>
      </c>
      <c r="BJ142" s="39" t="n">
        <f aca="false">IF(BJ$4=0,0,IF(COUNTIFS(実績!$W$6:$W$505,BJ$3,実績!$AI$6:$AI$505,"&lt;="&amp;$A142,実績!$AJ$6:$AJ$505,"&gt;"&amp;$A142,実績!$AK$6:$AK$505,"○")&gt;0,1,0))</f>
        <v>0</v>
      </c>
      <c r="BK142" s="39" t="n">
        <f aca="false">IF(BK$4=0,0,IF(COUNTIFS(実績!$W$6:$W$505,BK$3,実績!$AI$6:$AI$505,"&lt;="&amp;$A142,実績!$AJ$6:$AJ$505,"&gt;"&amp;$A142,実績!$AK$6:$AK$505,"○")&gt;0,1,0))</f>
        <v>0</v>
      </c>
      <c r="BL142" s="39" t="n">
        <f aca="false">IF(BL$4=0,0,IF(COUNTIFS(実績!$W$6:$W$505,BL$3,実績!$AI$6:$AI$505,"&lt;="&amp;$A142,実績!$AJ$6:$AJ$505,"&gt;"&amp;$A142,実績!$AK$6:$AK$505,"○")&gt;0,1,0))</f>
        <v>0</v>
      </c>
      <c r="BM142" s="39" t="n">
        <f aca="false">IF(BM$4=0,0,IF(COUNTIFS(実績!$W$6:$W$505,BM$3,実績!$AI$6:$AI$505,"&lt;="&amp;$A142,実績!$AJ$6:$AJ$505,"&gt;"&amp;$A142,実績!$AK$6:$AK$505,"○")&gt;0,1,0))</f>
        <v>0</v>
      </c>
      <c r="BN142" s="39" t="n">
        <f aca="false">IF(BN$4=0,0,IF(COUNTIFS(実績!$W$6:$W$505,BN$3,実績!$AI$6:$AI$505,"&lt;="&amp;$A142,実績!$AJ$6:$AJ$505,"&gt;"&amp;$A142,実績!$AK$6:$AK$505,"○")&gt;0,1,0))</f>
        <v>0</v>
      </c>
      <c r="BO142" s="39" t="n">
        <f aca="false">IF(BO$4=0,0,IF(COUNTIFS(実績!$W$6:$W$505,BO$3,実績!$AI$6:$AI$505,"&lt;="&amp;$A142,実績!$AJ$6:$AJ$505,"&gt;"&amp;$A142,実績!$AK$6:$AK$505,"○")&gt;0,1,0))</f>
        <v>0</v>
      </c>
      <c r="BP142" s="39" t="n">
        <f aca="false">IF(BP$4=0,0,IF(COUNTIFS(実績!$W$6:$W$505,BP$3,実績!$AI$6:$AI$505,"&lt;="&amp;$A142,実績!$AJ$6:$AJ$505,"&gt;"&amp;$A142,実績!$AK$6:$AK$505,"○")&gt;0,1,0))</f>
        <v>0</v>
      </c>
      <c r="BQ142" s="39" t="n">
        <f aca="false">IF(BQ$4=0,0,IF(COUNTIFS(実績!$W$6:$W$505,BQ$3,実績!$AI$6:$AI$505,"&lt;="&amp;$A142,実績!$AJ$6:$AJ$505,"&gt;"&amp;$A142,実績!$AK$6:$AK$505,"○")&gt;0,1,0))</f>
        <v>0</v>
      </c>
      <c r="BR142" s="39" t="n">
        <f aca="false">IF(BR$4=0,0,IF(COUNTIFS(実績!$W$6:$W$505,BR$3,実績!$AI$6:$AI$505,"&lt;="&amp;$A142,実績!$AJ$6:$AJ$505,"&gt;"&amp;$A142,実績!$AK$6:$AK$505,"○")&gt;0,1,0))</f>
        <v>0</v>
      </c>
      <c r="BS142" s="39" t="n">
        <f aca="false">IF(BS$4=0,0,IF(COUNTIFS(実績!$W$6:$W$505,BS$3,実績!$AI$6:$AI$505,"&lt;="&amp;$A142,実績!$AJ$6:$AJ$505,"&gt;"&amp;$A142,実績!$AK$6:$AK$505,"○")&gt;0,1,0))</f>
        <v>0</v>
      </c>
      <c r="BT142" s="39" t="n">
        <f aca="false">IF(BT$4=0,0,IF(COUNTIFS(実績!$W$6:$W$505,BT$3,実績!$AI$6:$AI$505,"&lt;="&amp;$A142,実績!$AJ$6:$AJ$505,"&gt;"&amp;$A142,実績!$AK$6:$AK$505,"○")&gt;0,1,0))</f>
        <v>0</v>
      </c>
      <c r="BU142" s="39" t="n">
        <f aca="false">IF(BU$4=0,0,IF(COUNTIFS(実績!$W$6:$W$505,BU$3,実績!$AI$6:$AI$505,"&lt;="&amp;$A142,実績!$AJ$6:$AJ$505,"&gt;"&amp;$A142,実績!$AK$6:$AK$505,"○")&gt;0,1,0))</f>
        <v>0</v>
      </c>
      <c r="BV142" s="39" t="n">
        <f aca="false">IF(BV$4=0,0,IF(COUNTIFS(実績!$W$6:$W$505,BV$3,実績!$AI$6:$AI$505,"&lt;="&amp;$A142,実績!$AJ$6:$AJ$505,"&gt;"&amp;$A142,実績!$AK$6:$AK$505,"○")&gt;0,1,0))</f>
        <v>0</v>
      </c>
      <c r="BW142" s="39" t="n">
        <f aca="false">IF(BW$4=0,0,IF(COUNTIFS(実績!$W$6:$W$505,BW$3,実績!$AI$6:$AI$505,"&lt;="&amp;$A142,実績!$AJ$6:$AJ$505,"&gt;"&amp;$A142,実績!$AK$6:$AK$505,"○")&gt;0,1,0))</f>
        <v>0</v>
      </c>
      <c r="BX142" s="39" t="n">
        <f aca="false">IF(BX$4=0,0,IF(COUNTIFS(実績!$W$6:$W$505,BX$3,実績!$AI$6:$AI$505,"&lt;="&amp;$A142,実績!$AJ$6:$AJ$505,"&gt;"&amp;$A142,実績!$AK$6:$AK$505,"○")&gt;0,1,0))</f>
        <v>0</v>
      </c>
      <c r="BY142" s="39" t="n">
        <f aca="false">IF(BY$4=0,0,IF(COUNTIFS(実績!$W$6:$W$505,BY$3,実績!$AI$6:$AI$505,"&lt;="&amp;$A142,実績!$AJ$6:$AJ$505,"&gt;"&amp;$A142,実績!$AK$6:$AK$505,"○")&gt;0,1,0))</f>
        <v>0</v>
      </c>
      <c r="BZ142" s="39" t="n">
        <f aca="false">IF(BZ$4=0,0,IF(COUNTIFS(実績!$W$6:$W$505,BZ$3,実績!$AI$6:$AI$505,"&lt;="&amp;$A142,実績!$AJ$6:$AJ$505,"&gt;"&amp;$A142,実績!$AK$6:$AK$505,"○")&gt;0,1,0))</f>
        <v>0</v>
      </c>
      <c r="CA142" s="39" t="n">
        <f aca="false">IF(CA$4=0,0,IF(COUNTIFS(実績!$W$6:$W$505,CA$3,実績!$AI$6:$AI$505,"&lt;="&amp;$A142,実績!$AJ$6:$AJ$505,"&gt;"&amp;$A142,実績!$AK$6:$AK$505,"○")&gt;0,1,0))</f>
        <v>0</v>
      </c>
      <c r="CB142" s="39" t="n">
        <f aca="false">IF(CB$4=0,0,IF(COUNTIFS(実績!$W$6:$W$505,CB$3,実績!$AI$6:$AI$505,"&lt;="&amp;$A142,実績!$AJ$6:$AJ$505,"&gt;"&amp;$A142,実績!$AK$6:$AK$505,"○")&gt;0,1,0))</f>
        <v>0</v>
      </c>
      <c r="CC142" s="39" t="n">
        <f aca="false">IF(CC$4=0,0,IF(COUNTIFS(実績!$W$6:$W$505,CC$3,実績!$AI$6:$AI$505,"&lt;="&amp;$A142,実績!$AJ$6:$AJ$505,"&gt;"&amp;$A142,実績!$AK$6:$AK$505,"○")&gt;0,1,0))</f>
        <v>0</v>
      </c>
      <c r="CD142" s="39" t="n">
        <f aca="false">IF(CD$4=0,0,IF(COUNTIFS(実績!$W$6:$W$505,CD$3,実績!$AI$6:$AI$505,"&lt;="&amp;$A142,実績!$AJ$6:$AJ$505,"&gt;"&amp;$A142,実績!$AK$6:$AK$505,"○")&gt;0,1,0))</f>
        <v>0</v>
      </c>
      <c r="CE142" s="39" t="n">
        <f aca="false">IF(CE$4=0,0,IF(COUNTIFS(実績!$W$6:$W$505,CE$3,実績!$AI$6:$AI$505,"&lt;="&amp;$A142,実績!$AJ$6:$AJ$505,"&gt;"&amp;$A142,実績!$AK$6:$AK$505,"○")&gt;0,1,0))</f>
        <v>0</v>
      </c>
      <c r="CF142" s="39" t="n">
        <f aca="false">IF(CF$4=0,0,IF(COUNTIFS(実績!$W$6:$W$505,CF$3,実績!$AI$6:$AI$505,"&lt;="&amp;$A142,実績!$AJ$6:$AJ$505,"&gt;"&amp;$A142,実績!$AK$6:$AK$505,"○")&gt;0,1,0))</f>
        <v>0</v>
      </c>
      <c r="CG142" s="39" t="n">
        <f aca="false">IF(CG$4=0,0,IF(COUNTIFS(実績!$W$6:$W$505,CG$3,実績!$AI$6:$AI$505,"&lt;="&amp;$A142,実績!$AJ$6:$AJ$505,"&gt;"&amp;$A142,実績!$AK$6:$AK$505,"○")&gt;0,1,0))</f>
        <v>0</v>
      </c>
      <c r="CH142" s="39" t="n">
        <f aca="false">IF(CH$4=0,0,IF(COUNTIFS(実績!$W$6:$W$505,CH$3,実績!$AI$6:$AI$505,"&lt;="&amp;$A142,実績!$AJ$6:$AJ$505,"&gt;"&amp;$A142,実績!$AK$6:$AK$505,"○")&gt;0,1,0))</f>
        <v>0</v>
      </c>
      <c r="CI142" s="39" t="n">
        <f aca="false">IF(CI$4=0,0,IF(COUNTIFS(実績!$W$6:$W$505,CI$3,実績!$AI$6:$AI$505,"&lt;="&amp;$A142,実績!$AJ$6:$AJ$505,"&gt;"&amp;$A142,実績!$AK$6:$AK$505,"○")&gt;0,1,0))</f>
        <v>0</v>
      </c>
      <c r="CJ142" s="39" t="n">
        <f aca="false">IF(CJ$4=0,0,IF(COUNTIFS(実績!$W$6:$W$505,CJ$3,実績!$AI$6:$AI$505,"&lt;="&amp;$A142,実績!$AJ$6:$AJ$505,"&gt;"&amp;$A142,実績!$AK$6:$AK$505,"○")&gt;0,1,0))</f>
        <v>0</v>
      </c>
      <c r="CK142" s="39" t="n">
        <f aca="false">IF(CK$4=0,0,IF(COUNTIFS(実績!$W$6:$W$505,CK$3,実績!$AI$6:$AI$505,"&lt;="&amp;$A142,実績!$AJ$6:$AJ$505,"&gt;"&amp;$A142,実績!$AK$6:$AK$505,"○")&gt;0,1,0))</f>
        <v>0</v>
      </c>
      <c r="CL142" s="39" t="n">
        <f aca="false">IF(CL$4=0,0,IF(COUNTIFS(実績!$W$6:$W$505,CL$3,実績!$AI$6:$AI$505,"&lt;="&amp;$A142,実績!$AJ$6:$AJ$505,"&gt;"&amp;$A142,実績!$AK$6:$AK$505,"○")&gt;0,1,0))</f>
        <v>0</v>
      </c>
      <c r="CM142" s="39" t="n">
        <f aca="false">IF(CM$4=0,0,IF(COUNTIFS(実績!$W$6:$W$505,CM$3,実績!$AI$6:$AI$505,"&lt;="&amp;$A142,実績!$AJ$6:$AJ$505,"&gt;"&amp;$A142,実績!$AK$6:$AK$505,"○")&gt;0,1,0))</f>
        <v>0</v>
      </c>
      <c r="CN142" s="39" t="n">
        <f aca="false">IF(CN$4=0,0,IF(COUNTIFS(実績!$W$6:$W$505,CN$3,実績!$AI$6:$AI$505,"&lt;="&amp;$A142,実績!$AJ$6:$AJ$505,"&gt;"&amp;$A142,実績!$AK$6:$AK$505,"○")&gt;0,1,0))</f>
        <v>0</v>
      </c>
      <c r="CO142" s="39" t="n">
        <f aca="false">IF(CO$4=0,0,IF(COUNTIFS(実績!$W$6:$W$505,CO$3,実績!$AI$6:$AI$505,"&lt;="&amp;$A142,実績!$AJ$6:$AJ$505,"&gt;"&amp;$A142,実績!$AK$6:$AK$505,"○")&gt;0,1,0))</f>
        <v>0</v>
      </c>
      <c r="CP142" s="39" t="n">
        <f aca="false">IF(CP$4=0,0,IF(COUNTIFS(実績!$W$6:$W$505,CP$3,実績!$AI$6:$AI$505,"&lt;="&amp;$A142,実績!$AJ$6:$AJ$505,"&gt;"&amp;$A142,実績!$AK$6:$AK$505,"○")&gt;0,1,0))</f>
        <v>0</v>
      </c>
      <c r="CQ142" s="39" t="n">
        <f aca="false">IF(CQ$4=0,0,IF(COUNTIFS(実績!$W$6:$W$505,CQ$3,実績!$AI$6:$AI$505,"&lt;="&amp;$A142,実績!$AJ$6:$AJ$505,"&gt;"&amp;$A142,実績!$AK$6:$AK$505,"○")&gt;0,1,0))</f>
        <v>0</v>
      </c>
      <c r="CR142" s="39" t="n">
        <f aca="false">IF(CR$4=0,0,IF(COUNTIFS(実績!$W$6:$W$505,CR$3,実績!$AI$6:$AI$505,"&lt;="&amp;$A142,実績!$AJ$6:$AJ$505,"&gt;"&amp;$A142,実績!$AK$6:$AK$505,"○")&gt;0,1,0))</f>
        <v>0</v>
      </c>
      <c r="CS142" s="39" t="n">
        <f aca="false">IF(CS$4=0,0,IF(COUNTIFS(実績!$W$6:$W$505,CS$3,実績!$AI$6:$AI$505,"&lt;="&amp;$A142,実績!$AJ$6:$AJ$505,"&gt;"&amp;$A142,実績!$AK$6:$AK$505,"○")&gt;0,1,0))</f>
        <v>0</v>
      </c>
      <c r="CT142" s="39" t="n">
        <f aca="false">IF(CT$4=0,0,IF(COUNTIFS(実績!$W$6:$W$505,CT$3,実績!$AI$6:$AI$505,"&lt;="&amp;$A142,実績!$AJ$6:$AJ$505,"&gt;"&amp;$A142,実績!$AK$6:$AK$505,"○")&gt;0,1,0))</f>
        <v>0</v>
      </c>
      <c r="CU142" s="39" t="n">
        <f aca="false">IF(CU$4=0,0,IF(COUNTIFS(実績!$W$6:$W$505,CU$3,実績!$AI$6:$AI$505,"&lt;="&amp;$A142,実績!$AJ$6:$AJ$505,"&gt;"&amp;$A142,実績!$AK$6:$AK$505,"○")&gt;0,1,0))</f>
        <v>0</v>
      </c>
      <c r="CV142" s="39" t="n">
        <f aca="false">IF(CV$4=0,0,IF(COUNTIFS(実績!$W$6:$W$505,CV$3,実績!$AI$6:$AI$505,"&lt;="&amp;$A142,実績!$AJ$6:$AJ$505,"&gt;"&amp;$A142,実績!$AK$6:$AK$505,"○")&gt;0,1,0))</f>
        <v>0</v>
      </c>
      <c r="CW142" s="39" t="n">
        <f aca="false">IF(CW$4=0,0,IF(COUNTIFS(実績!$W$6:$W$505,CW$3,実績!$AI$6:$AI$505,"&lt;="&amp;$A142,実績!$AJ$6:$AJ$505,"&gt;"&amp;$A142,実績!$AK$6:$AK$505,"○")&gt;0,1,0))</f>
        <v>0</v>
      </c>
      <c r="CX142" s="39" t="n">
        <f aca="false">IF(CX$4=0,0,IF(COUNTIFS(実績!$W$6:$W$505,CX$3,実績!$AI$6:$AI$505,"&lt;="&amp;$A142,実績!$AJ$6:$AJ$505,"&gt;"&amp;$A142,実績!$AK$6:$AK$505,"○")&gt;0,1,0))</f>
        <v>0</v>
      </c>
      <c r="CY142" s="39" t="n">
        <f aca="false">IF(CY$4=0,0,IF(COUNTIFS(実績!$W$6:$W$505,CY$3,実績!$AI$6:$AI$505,"&lt;="&amp;$A142,実績!$AJ$6:$AJ$505,"&gt;"&amp;$A142,実績!$AK$6:$AK$505,"○")&gt;0,1,0))</f>
        <v>0</v>
      </c>
      <c r="CZ142" s="39" t="n">
        <f aca="false">IF(CZ$4=0,0,IF(COUNTIFS(実績!$W$6:$W$505,CZ$3,実績!$AI$6:$AI$505,"&lt;="&amp;$A142,実績!$AJ$6:$AJ$505,"&gt;"&amp;$A142,実績!$AK$6:$AK$505,"○")&gt;0,1,0))</f>
        <v>0</v>
      </c>
      <c r="DA142" s="39" t="n">
        <f aca="false">IF(DA$4=0,0,IF(COUNTIFS(実績!$W$6:$W$505,DA$3,実績!$AI$6:$AI$505,"&lt;="&amp;$A142,実績!$AJ$6:$AJ$505,"&gt;"&amp;$A142,実績!$AK$6:$AK$505,"○")&gt;0,1,0))</f>
        <v>0</v>
      </c>
      <c r="DB142" s="39" t="n">
        <f aca="false">IF(DB$4=0,0,IF(COUNTIFS(実績!$W$6:$W$505,DB$3,実績!$AI$6:$AI$505,"&lt;="&amp;$A142,実績!$AJ$6:$AJ$505,"&gt;"&amp;$A142,実績!$AK$6:$AK$505,"○")&gt;0,1,0))</f>
        <v>0</v>
      </c>
      <c r="DC142" s="39" t="n">
        <f aca="false">IF(DC$4=0,0,IF(COUNTIFS(実績!$W$6:$W$505,DC$3,実績!$AI$6:$AI$505,"&lt;="&amp;$A142,実績!$AJ$6:$AJ$505,"&gt;"&amp;$A142,実績!$AK$6:$AK$505,"○")&gt;0,1,0))</f>
        <v>0</v>
      </c>
      <c r="DD142" s="39" t="n">
        <f aca="false">IF(DD$4=0,0,IF(COUNTIFS(実績!$W$6:$W$505,DD$3,実績!$AI$6:$AI$505,"&lt;="&amp;$A142,実績!$AJ$6:$AJ$505,"&gt;"&amp;$A142,実績!$AK$6:$AK$505,"○")&gt;0,1,0))</f>
        <v>0</v>
      </c>
      <c r="DE142" s="39" t="n">
        <f aca="false">IF(DE$4=0,0,IF(COUNTIFS(実績!$W$6:$W$505,DE$3,実績!$AI$6:$AI$505,"&lt;="&amp;$A142,実績!$AJ$6:$AJ$505,"&gt;"&amp;$A142,実績!$AK$6:$AK$505,"○")&gt;0,1,0))</f>
        <v>0</v>
      </c>
      <c r="DF142" s="39" t="n">
        <f aca="false">IF(DF$4=0,0,IF(COUNTIFS(実績!$W$6:$W$505,DF$3,実績!$AI$6:$AI$505,"&lt;="&amp;$A142,実績!$AJ$6:$AJ$505,"&gt;"&amp;$A142,実績!$AK$6:$AK$505,"○")&gt;0,1,0))</f>
        <v>0</v>
      </c>
      <c r="DG142" s="39" t="n">
        <f aca="false">IF(DG$4=0,0,IF(COUNTIFS(実績!$W$6:$W$505,DG$3,実績!$AI$6:$AI$505,"&lt;="&amp;$A142,実績!$AJ$6:$AJ$505,"&gt;"&amp;$A142,実績!$AK$6:$AK$505,"○")&gt;0,1,0))</f>
        <v>0</v>
      </c>
      <c r="DH142" s="39" t="n">
        <f aca="false">IF(DH$4=0,0,IF(COUNTIFS(実績!$W$6:$W$505,DH$3,実績!$AI$6:$AI$505,"&lt;="&amp;$A142,実績!$AJ$6:$AJ$505,"&gt;"&amp;$A142,実績!$AK$6:$AK$505,"○")&gt;0,1,0))</f>
        <v>0</v>
      </c>
      <c r="DI142" s="39" t="n">
        <f aca="false">IF(DI$4=0,0,IF(COUNTIFS(実績!$W$6:$W$505,DI$3,実績!$AI$6:$AI$505,"&lt;="&amp;$A142,実績!$AJ$6:$AJ$505,"&gt;"&amp;$A142,実績!$AK$6:$AK$505,"○")&gt;0,1,0))</f>
        <v>0</v>
      </c>
      <c r="DJ142" s="39" t="n">
        <f aca="false">IF(DJ$4=0,0,IF(COUNTIFS(実績!$W$6:$W$505,DJ$3,実績!$AI$6:$AI$505,"&lt;="&amp;$A142,実績!$AJ$6:$AJ$505,"&gt;"&amp;$A142,実績!$AK$6:$AK$505,"○")&gt;0,1,0))</f>
        <v>0</v>
      </c>
      <c r="DK142" s="39" t="n">
        <f aca="false">IF(DK$4=0,0,IF(COUNTIFS(実績!$W$6:$W$505,DK$3,実績!$AI$6:$AI$505,"&lt;="&amp;$A142,実績!$AJ$6:$AJ$505,"&gt;"&amp;$A142,実績!$AK$6:$AK$505,"○")&gt;0,1,0))</f>
        <v>0</v>
      </c>
      <c r="DL142" s="39" t="n">
        <f aca="false">IF(DL$4=0,0,IF(COUNTIFS(実績!$W$6:$W$505,DL$3,実績!$AI$6:$AI$505,"&lt;="&amp;$A142,実績!$AJ$6:$AJ$505,"&gt;"&amp;$A142,実績!$AK$6:$AK$505,"○")&gt;0,1,0))</f>
        <v>0</v>
      </c>
      <c r="DM142" s="39" t="n">
        <f aca="false">IF(DM$4=0,0,IF(COUNTIFS(実績!$W$6:$W$505,DM$3,実績!$AI$6:$AI$505,"&lt;="&amp;$A142,実績!$AJ$6:$AJ$505,"&gt;"&amp;$A142,実績!$AK$6:$AK$505,"○")&gt;0,1,0))</f>
        <v>0</v>
      </c>
      <c r="DN142" s="39" t="n">
        <f aca="false">IF(DN$4=0,0,IF(COUNTIFS(実績!$W$6:$W$505,DN$3,実績!$AI$6:$AI$505,"&lt;="&amp;$A142,実績!$AJ$6:$AJ$505,"&gt;"&amp;$A142,実績!$AK$6:$AK$505,"○")&gt;0,1,0))</f>
        <v>0</v>
      </c>
      <c r="DO142" s="39" t="n">
        <f aca="false">IF(DO$4=0,0,IF(COUNTIFS(実績!$W$6:$W$505,DO$3,実績!$AI$6:$AI$505,"&lt;="&amp;$A142,実績!$AJ$6:$AJ$505,"&gt;"&amp;$A142,実績!$AK$6:$AK$505,"○")&gt;0,1,0))</f>
        <v>0</v>
      </c>
      <c r="DP142" s="39" t="n">
        <f aca="false">IF(DP$4=0,0,IF(COUNTIFS(実績!$W$6:$W$505,DP$3,実績!$AI$6:$AI$505,"&lt;="&amp;$A142,実績!$AJ$6:$AJ$505,"&gt;"&amp;$A142,実績!$AK$6:$AK$505,"○")&gt;0,1,0))</f>
        <v>0</v>
      </c>
      <c r="DQ142" s="39" t="n">
        <f aca="false">IF(DQ$4=0,0,IF(COUNTIFS(実績!$W$6:$W$505,DQ$3,実績!$AI$6:$AI$505,"&lt;="&amp;$A142,実績!$AJ$6:$AJ$505,"&gt;"&amp;$A142,実績!$AK$6:$AK$505,"○")&gt;0,1,0))</f>
        <v>0</v>
      </c>
      <c r="DR142" s="39" t="n">
        <f aca="false">IF(DR$4=0,0,IF(COUNTIFS(実績!$W$6:$W$505,DR$3,実績!$AI$6:$AI$505,"&lt;="&amp;$A142,実績!$AJ$6:$AJ$505,"&gt;"&amp;$A142,実績!$AK$6:$AK$505,"○")&gt;0,1,0))</f>
        <v>0</v>
      </c>
      <c r="DS142" s="39" t="n">
        <f aca="false">SUM(C142:DR142)</f>
        <v>0</v>
      </c>
      <c r="DT142" s="39" t="n">
        <f aca="false">SUMPRODUCT((実績!$C$6:$C$505="○")*ISNUMBER(実績!$AM$6:$AM$505)*(実績!$AM$6:$AM$505&lt;=$A142)*(実績!$AN$6:$AN$505&gt;$A142))</f>
        <v>0</v>
      </c>
      <c r="DU142" s="39" t="n">
        <f aca="false">SUMIF($C$2:$DR$2,"製鉄曳船",C142:DR142)</f>
        <v>0</v>
      </c>
      <c r="DV142" s="39" t="n">
        <f aca="false">SUMIF($C$2:$DR$2,"西日本海運",C142:DR142)</f>
        <v>0</v>
      </c>
    </row>
    <row r="143" customFormat="false" ht="15" hidden="false" customHeight="false" outlineLevel="0" collapsed="false">
      <c r="A143" s="0" t="n">
        <v>685</v>
      </c>
      <c r="B143" s="38" t="n">
        <f aca="false">A143/1440</f>
        <v>0.475694444444444</v>
      </c>
      <c r="C143" s="39" t="n">
        <f aca="false">IF(C$4=0,0,IF(COUNTIFS(実績!$W$6:$W$505,C$3,実績!$AI$6:$AI$505,"&lt;="&amp;$A143,実績!$AJ$6:$AJ$505,"&gt;"&amp;$A143,実績!$AK$6:$AK$505,"○")&gt;0,1,0))</f>
        <v>0</v>
      </c>
      <c r="D143" s="39" t="n">
        <f aca="false">IF(D$4=0,0,IF(COUNTIFS(実績!$W$6:$W$505,D$3,実績!$AI$6:$AI$505,"&lt;="&amp;$A143,実績!$AJ$6:$AJ$505,"&gt;"&amp;$A143,実績!$AK$6:$AK$505,"○")&gt;0,1,0))</f>
        <v>0</v>
      </c>
      <c r="E143" s="39" t="n">
        <f aca="false">IF(E$4=0,0,IF(COUNTIFS(実績!$W$6:$W$505,E$3,実績!$AI$6:$AI$505,"&lt;="&amp;$A143,実績!$AJ$6:$AJ$505,"&gt;"&amp;$A143,実績!$AK$6:$AK$505,"○")&gt;0,1,0))</f>
        <v>0</v>
      </c>
      <c r="F143" s="39" t="n">
        <f aca="false">IF(F$4=0,0,IF(COUNTIFS(実績!$W$6:$W$505,F$3,実績!$AI$6:$AI$505,"&lt;="&amp;$A143,実績!$AJ$6:$AJ$505,"&gt;"&amp;$A143,実績!$AK$6:$AK$505,"○")&gt;0,1,0))</f>
        <v>0</v>
      </c>
      <c r="G143" s="39" t="n">
        <f aca="false">IF(G$4=0,0,IF(COUNTIFS(実績!$W$6:$W$505,G$3,実績!$AI$6:$AI$505,"&lt;="&amp;$A143,実績!$AJ$6:$AJ$505,"&gt;"&amp;$A143,実績!$AK$6:$AK$505,"○")&gt;0,1,0))</f>
        <v>0</v>
      </c>
      <c r="H143" s="39" t="n">
        <f aca="false">IF(H$4=0,0,IF(COUNTIFS(実績!$W$6:$W$505,H$3,実績!$AI$6:$AI$505,"&lt;="&amp;$A143,実績!$AJ$6:$AJ$505,"&gt;"&amp;$A143,実績!$AK$6:$AK$505,"○")&gt;0,1,0))</f>
        <v>0</v>
      </c>
      <c r="I143" s="39" t="n">
        <f aca="false">IF(I$4=0,0,IF(COUNTIFS(実績!$W$6:$W$505,I$3,実績!$AI$6:$AI$505,"&lt;="&amp;$A143,実績!$AJ$6:$AJ$505,"&gt;"&amp;$A143,実績!$AK$6:$AK$505,"○")&gt;0,1,0))</f>
        <v>0</v>
      </c>
      <c r="J143" s="39" t="n">
        <f aca="false">IF(J$4=0,0,IF(COUNTIFS(実績!$W$6:$W$505,J$3,実績!$AI$6:$AI$505,"&lt;="&amp;$A143,実績!$AJ$6:$AJ$505,"&gt;"&amp;$A143,実績!$AK$6:$AK$505,"○")&gt;0,1,0))</f>
        <v>0</v>
      </c>
      <c r="K143" s="39" t="n">
        <f aca="false">IF(K$4=0,0,IF(COUNTIFS(実績!$W$6:$W$505,K$3,実績!$AI$6:$AI$505,"&lt;="&amp;$A143,実績!$AJ$6:$AJ$505,"&gt;"&amp;$A143,実績!$AK$6:$AK$505,"○")&gt;0,1,0))</f>
        <v>0</v>
      </c>
      <c r="L143" s="39" t="n">
        <f aca="false">IF(L$4=0,0,IF(COUNTIFS(実績!$W$6:$W$505,L$3,実績!$AI$6:$AI$505,"&lt;="&amp;$A143,実績!$AJ$6:$AJ$505,"&gt;"&amp;$A143,実績!$AK$6:$AK$505,"○")&gt;0,1,0))</f>
        <v>0</v>
      </c>
      <c r="M143" s="39" t="n">
        <f aca="false">IF(M$4=0,0,IF(COUNTIFS(実績!$W$6:$W$505,M$3,実績!$AI$6:$AI$505,"&lt;="&amp;$A143,実績!$AJ$6:$AJ$505,"&gt;"&amp;$A143,実績!$AK$6:$AK$505,"○")&gt;0,1,0))</f>
        <v>0</v>
      </c>
      <c r="N143" s="39" t="n">
        <f aca="false">IF(N$4=0,0,IF(COUNTIFS(実績!$W$6:$W$505,N$3,実績!$AI$6:$AI$505,"&lt;="&amp;$A143,実績!$AJ$6:$AJ$505,"&gt;"&amp;$A143,実績!$AK$6:$AK$505,"○")&gt;0,1,0))</f>
        <v>0</v>
      </c>
      <c r="O143" s="39" t="n">
        <f aca="false">IF(O$4=0,0,IF(COUNTIFS(実績!$W$6:$W$505,O$3,実績!$AI$6:$AI$505,"&lt;="&amp;$A143,実績!$AJ$6:$AJ$505,"&gt;"&amp;$A143,実績!$AK$6:$AK$505,"○")&gt;0,1,0))</f>
        <v>0</v>
      </c>
      <c r="P143" s="39" t="n">
        <f aca="false">IF(P$4=0,0,IF(COUNTIFS(実績!$W$6:$W$505,P$3,実績!$AI$6:$AI$505,"&lt;="&amp;$A143,実績!$AJ$6:$AJ$505,"&gt;"&amp;$A143,実績!$AK$6:$AK$505,"○")&gt;0,1,0))</f>
        <v>0</v>
      </c>
      <c r="Q143" s="39" t="n">
        <f aca="false">IF(Q$4=0,0,IF(COUNTIFS(実績!$W$6:$W$505,Q$3,実績!$AI$6:$AI$505,"&lt;="&amp;$A143,実績!$AJ$6:$AJ$505,"&gt;"&amp;$A143,実績!$AK$6:$AK$505,"○")&gt;0,1,0))</f>
        <v>0</v>
      </c>
      <c r="R143" s="39" t="n">
        <f aca="false">IF(R$4=0,0,IF(COUNTIFS(実績!$W$6:$W$505,R$3,実績!$AI$6:$AI$505,"&lt;="&amp;$A143,実績!$AJ$6:$AJ$505,"&gt;"&amp;$A143,実績!$AK$6:$AK$505,"○")&gt;0,1,0))</f>
        <v>0</v>
      </c>
      <c r="S143" s="39" t="n">
        <f aca="false">IF(S$4=0,0,IF(COUNTIFS(実績!$W$6:$W$505,S$3,実績!$AI$6:$AI$505,"&lt;="&amp;$A143,実績!$AJ$6:$AJ$505,"&gt;"&amp;$A143,実績!$AK$6:$AK$505,"○")&gt;0,1,0))</f>
        <v>0</v>
      </c>
      <c r="T143" s="39" t="n">
        <f aca="false">IF(T$4=0,0,IF(COUNTIFS(実績!$W$6:$W$505,T$3,実績!$AI$6:$AI$505,"&lt;="&amp;$A143,実績!$AJ$6:$AJ$505,"&gt;"&amp;$A143,実績!$AK$6:$AK$505,"○")&gt;0,1,0))</f>
        <v>0</v>
      </c>
      <c r="U143" s="39" t="n">
        <f aca="false">IF(U$4=0,0,IF(COUNTIFS(実績!$W$6:$W$505,U$3,実績!$AI$6:$AI$505,"&lt;="&amp;$A143,実績!$AJ$6:$AJ$505,"&gt;"&amp;$A143,実績!$AK$6:$AK$505,"○")&gt;0,1,0))</f>
        <v>0</v>
      </c>
      <c r="V143" s="39" t="n">
        <f aca="false">IF(V$4=0,0,IF(COUNTIFS(実績!$W$6:$W$505,V$3,実績!$AI$6:$AI$505,"&lt;="&amp;$A143,実績!$AJ$6:$AJ$505,"&gt;"&amp;$A143,実績!$AK$6:$AK$505,"○")&gt;0,1,0))</f>
        <v>0</v>
      </c>
      <c r="W143" s="39" t="n">
        <f aca="false">IF(W$4=0,0,IF(COUNTIFS(実績!$W$6:$W$505,W$3,実績!$AI$6:$AI$505,"&lt;="&amp;$A143,実績!$AJ$6:$AJ$505,"&gt;"&amp;$A143,実績!$AK$6:$AK$505,"○")&gt;0,1,0))</f>
        <v>0</v>
      </c>
      <c r="X143" s="39" t="n">
        <f aca="false">IF(X$4=0,0,IF(COUNTIFS(実績!$W$6:$W$505,X$3,実績!$AI$6:$AI$505,"&lt;="&amp;$A143,実績!$AJ$6:$AJ$505,"&gt;"&amp;$A143,実績!$AK$6:$AK$505,"○")&gt;0,1,0))</f>
        <v>0</v>
      </c>
      <c r="Y143" s="39" t="n">
        <f aca="false">IF(Y$4=0,0,IF(COUNTIFS(実績!$W$6:$W$505,Y$3,実績!$AI$6:$AI$505,"&lt;="&amp;$A143,実績!$AJ$6:$AJ$505,"&gt;"&amp;$A143,実績!$AK$6:$AK$505,"○")&gt;0,1,0))</f>
        <v>0</v>
      </c>
      <c r="Z143" s="39" t="n">
        <f aca="false">IF(Z$4=0,0,IF(COUNTIFS(実績!$W$6:$W$505,Z$3,実績!$AI$6:$AI$505,"&lt;="&amp;$A143,実績!$AJ$6:$AJ$505,"&gt;"&amp;$A143,実績!$AK$6:$AK$505,"○")&gt;0,1,0))</f>
        <v>0</v>
      </c>
      <c r="AA143" s="39" t="n">
        <f aca="false">IF(AA$4=0,0,IF(COUNTIFS(実績!$W$6:$W$505,AA$3,実績!$AI$6:$AI$505,"&lt;="&amp;$A143,実績!$AJ$6:$AJ$505,"&gt;"&amp;$A143,実績!$AK$6:$AK$505,"○")&gt;0,1,0))</f>
        <v>0</v>
      </c>
      <c r="AB143" s="39" t="n">
        <f aca="false">IF(AB$4=0,0,IF(COUNTIFS(実績!$W$6:$W$505,AB$3,実績!$AI$6:$AI$505,"&lt;="&amp;$A143,実績!$AJ$6:$AJ$505,"&gt;"&amp;$A143,実績!$AK$6:$AK$505,"○")&gt;0,1,0))</f>
        <v>0</v>
      </c>
      <c r="AC143" s="39" t="n">
        <f aca="false">IF(AC$4=0,0,IF(COUNTIFS(実績!$W$6:$W$505,AC$3,実績!$AI$6:$AI$505,"&lt;="&amp;$A143,実績!$AJ$6:$AJ$505,"&gt;"&amp;$A143,実績!$AK$6:$AK$505,"○")&gt;0,1,0))</f>
        <v>0</v>
      </c>
      <c r="AD143" s="39" t="n">
        <f aca="false">IF(AD$4=0,0,IF(COUNTIFS(実績!$W$6:$W$505,AD$3,実績!$AI$6:$AI$505,"&lt;="&amp;$A143,実績!$AJ$6:$AJ$505,"&gt;"&amp;$A143,実績!$AK$6:$AK$505,"○")&gt;0,1,0))</f>
        <v>0</v>
      </c>
      <c r="AE143" s="39" t="n">
        <f aca="false">IF(AE$4=0,0,IF(COUNTIFS(実績!$W$6:$W$505,AE$3,実績!$AI$6:$AI$505,"&lt;="&amp;$A143,実績!$AJ$6:$AJ$505,"&gt;"&amp;$A143,実績!$AK$6:$AK$505,"○")&gt;0,1,0))</f>
        <v>0</v>
      </c>
      <c r="AF143" s="39" t="n">
        <f aca="false">IF(AF$4=0,0,IF(COUNTIFS(実績!$W$6:$W$505,AF$3,実績!$AI$6:$AI$505,"&lt;="&amp;$A143,実績!$AJ$6:$AJ$505,"&gt;"&amp;$A143,実績!$AK$6:$AK$505,"○")&gt;0,1,0))</f>
        <v>0</v>
      </c>
      <c r="AG143" s="39" t="n">
        <f aca="false">IF(AG$4=0,0,IF(COUNTIFS(実績!$W$6:$W$505,AG$3,実績!$AI$6:$AI$505,"&lt;="&amp;$A143,実績!$AJ$6:$AJ$505,"&gt;"&amp;$A143,実績!$AK$6:$AK$505,"○")&gt;0,1,0))</f>
        <v>0</v>
      </c>
      <c r="AH143" s="39" t="n">
        <f aca="false">IF(AH$4=0,0,IF(COUNTIFS(実績!$W$6:$W$505,AH$3,実績!$AI$6:$AI$505,"&lt;="&amp;$A143,実績!$AJ$6:$AJ$505,"&gt;"&amp;$A143,実績!$AK$6:$AK$505,"○")&gt;0,1,0))</f>
        <v>0</v>
      </c>
      <c r="AI143" s="39" t="n">
        <f aca="false">IF(AI$4=0,0,IF(COUNTIFS(実績!$W$6:$W$505,AI$3,実績!$AI$6:$AI$505,"&lt;="&amp;$A143,実績!$AJ$6:$AJ$505,"&gt;"&amp;$A143,実績!$AK$6:$AK$505,"○")&gt;0,1,0))</f>
        <v>0</v>
      </c>
      <c r="AJ143" s="39" t="n">
        <f aca="false">IF(AJ$4=0,0,IF(COUNTIFS(実績!$W$6:$W$505,AJ$3,実績!$AI$6:$AI$505,"&lt;="&amp;$A143,実績!$AJ$6:$AJ$505,"&gt;"&amp;$A143,実績!$AK$6:$AK$505,"○")&gt;0,1,0))</f>
        <v>0</v>
      </c>
      <c r="AK143" s="39" t="n">
        <f aca="false">IF(AK$4=0,0,IF(COUNTIFS(実績!$W$6:$W$505,AK$3,実績!$AI$6:$AI$505,"&lt;="&amp;$A143,実績!$AJ$6:$AJ$505,"&gt;"&amp;$A143,実績!$AK$6:$AK$505,"○")&gt;0,1,0))</f>
        <v>0</v>
      </c>
      <c r="AL143" s="39" t="n">
        <f aca="false">IF(AL$4=0,0,IF(COUNTIFS(実績!$W$6:$W$505,AL$3,実績!$AI$6:$AI$505,"&lt;="&amp;$A143,実績!$AJ$6:$AJ$505,"&gt;"&amp;$A143,実績!$AK$6:$AK$505,"○")&gt;0,1,0))</f>
        <v>0</v>
      </c>
      <c r="AM143" s="39" t="n">
        <f aca="false">IF(AM$4=0,0,IF(COUNTIFS(実績!$W$6:$W$505,AM$3,実績!$AI$6:$AI$505,"&lt;="&amp;$A143,実績!$AJ$6:$AJ$505,"&gt;"&amp;$A143,実績!$AK$6:$AK$505,"○")&gt;0,1,0))</f>
        <v>0</v>
      </c>
      <c r="AN143" s="39" t="n">
        <f aca="false">IF(AN$4=0,0,IF(COUNTIFS(実績!$W$6:$W$505,AN$3,実績!$AI$6:$AI$505,"&lt;="&amp;$A143,実績!$AJ$6:$AJ$505,"&gt;"&amp;$A143,実績!$AK$6:$AK$505,"○")&gt;0,1,0))</f>
        <v>0</v>
      </c>
      <c r="AO143" s="39" t="n">
        <f aca="false">IF(AO$4=0,0,IF(COUNTIFS(実績!$W$6:$W$505,AO$3,実績!$AI$6:$AI$505,"&lt;="&amp;$A143,実績!$AJ$6:$AJ$505,"&gt;"&amp;$A143,実績!$AK$6:$AK$505,"○")&gt;0,1,0))</f>
        <v>0</v>
      </c>
      <c r="AP143" s="39" t="n">
        <f aca="false">IF(AP$4=0,0,IF(COUNTIFS(実績!$W$6:$W$505,AP$3,実績!$AI$6:$AI$505,"&lt;="&amp;$A143,実績!$AJ$6:$AJ$505,"&gt;"&amp;$A143,実績!$AK$6:$AK$505,"○")&gt;0,1,0))</f>
        <v>0</v>
      </c>
      <c r="AQ143" s="39" t="n">
        <f aca="false">IF(AQ$4=0,0,IF(COUNTIFS(実績!$W$6:$W$505,AQ$3,実績!$AI$6:$AI$505,"&lt;="&amp;$A143,実績!$AJ$6:$AJ$505,"&gt;"&amp;$A143,実績!$AK$6:$AK$505,"○")&gt;0,1,0))</f>
        <v>0</v>
      </c>
      <c r="AR143" s="39" t="n">
        <f aca="false">IF(AR$4=0,0,IF(COUNTIFS(実績!$W$6:$W$505,AR$3,実績!$AI$6:$AI$505,"&lt;="&amp;$A143,実績!$AJ$6:$AJ$505,"&gt;"&amp;$A143,実績!$AK$6:$AK$505,"○")&gt;0,1,0))</f>
        <v>0</v>
      </c>
      <c r="AS143" s="39" t="n">
        <f aca="false">IF(AS$4=0,0,IF(COUNTIFS(実績!$W$6:$W$505,AS$3,実績!$AI$6:$AI$505,"&lt;="&amp;$A143,実績!$AJ$6:$AJ$505,"&gt;"&amp;$A143,実績!$AK$6:$AK$505,"○")&gt;0,1,0))</f>
        <v>0</v>
      </c>
      <c r="AT143" s="39" t="n">
        <f aca="false">IF(AT$4=0,0,IF(COUNTIFS(実績!$W$6:$W$505,AT$3,実績!$AI$6:$AI$505,"&lt;="&amp;$A143,実績!$AJ$6:$AJ$505,"&gt;"&amp;$A143,実績!$AK$6:$AK$505,"○")&gt;0,1,0))</f>
        <v>0</v>
      </c>
      <c r="AU143" s="39" t="n">
        <f aca="false">IF(AU$4=0,0,IF(COUNTIFS(実績!$W$6:$W$505,AU$3,実績!$AI$6:$AI$505,"&lt;="&amp;$A143,実績!$AJ$6:$AJ$505,"&gt;"&amp;$A143,実績!$AK$6:$AK$505,"○")&gt;0,1,0))</f>
        <v>0</v>
      </c>
      <c r="AV143" s="39" t="n">
        <f aca="false">IF(AV$4=0,0,IF(COUNTIFS(実績!$W$6:$W$505,AV$3,実績!$AI$6:$AI$505,"&lt;="&amp;$A143,実績!$AJ$6:$AJ$505,"&gt;"&amp;$A143,実績!$AK$6:$AK$505,"○")&gt;0,1,0))</f>
        <v>0</v>
      </c>
      <c r="AW143" s="39" t="n">
        <f aca="false">IF(AW$4=0,0,IF(COUNTIFS(実績!$W$6:$W$505,AW$3,実績!$AI$6:$AI$505,"&lt;="&amp;$A143,実績!$AJ$6:$AJ$505,"&gt;"&amp;$A143,実績!$AK$6:$AK$505,"○")&gt;0,1,0))</f>
        <v>0</v>
      </c>
      <c r="AX143" s="39" t="n">
        <f aca="false">IF(AX$4=0,0,IF(COUNTIFS(実績!$W$6:$W$505,AX$3,実績!$AI$6:$AI$505,"&lt;="&amp;$A143,実績!$AJ$6:$AJ$505,"&gt;"&amp;$A143,実績!$AK$6:$AK$505,"○")&gt;0,1,0))</f>
        <v>0</v>
      </c>
      <c r="AY143" s="39" t="n">
        <f aca="false">IF(AY$4=0,0,IF(COUNTIFS(実績!$W$6:$W$505,AY$3,実績!$AI$6:$AI$505,"&lt;="&amp;$A143,実績!$AJ$6:$AJ$505,"&gt;"&amp;$A143,実績!$AK$6:$AK$505,"○")&gt;0,1,0))</f>
        <v>0</v>
      </c>
      <c r="AZ143" s="39" t="n">
        <f aca="false">IF(AZ$4=0,0,IF(COUNTIFS(実績!$W$6:$W$505,AZ$3,実績!$AI$6:$AI$505,"&lt;="&amp;$A143,実績!$AJ$6:$AJ$505,"&gt;"&amp;$A143,実績!$AK$6:$AK$505,"○")&gt;0,1,0))</f>
        <v>0</v>
      </c>
      <c r="BA143" s="39" t="n">
        <f aca="false">IF(BA$4=0,0,IF(COUNTIFS(実績!$W$6:$W$505,BA$3,実績!$AI$6:$AI$505,"&lt;="&amp;$A143,実績!$AJ$6:$AJ$505,"&gt;"&amp;$A143,実績!$AK$6:$AK$505,"○")&gt;0,1,0))</f>
        <v>0</v>
      </c>
      <c r="BB143" s="39" t="n">
        <f aca="false">IF(BB$4=0,0,IF(COUNTIFS(実績!$W$6:$W$505,BB$3,実績!$AI$6:$AI$505,"&lt;="&amp;$A143,実績!$AJ$6:$AJ$505,"&gt;"&amp;$A143,実績!$AK$6:$AK$505,"○")&gt;0,1,0))</f>
        <v>0</v>
      </c>
      <c r="BC143" s="39" t="n">
        <f aca="false">IF(BC$4=0,0,IF(COUNTIFS(実績!$W$6:$W$505,BC$3,実績!$AI$6:$AI$505,"&lt;="&amp;$A143,実績!$AJ$6:$AJ$505,"&gt;"&amp;$A143,実績!$AK$6:$AK$505,"○")&gt;0,1,0))</f>
        <v>0</v>
      </c>
      <c r="BD143" s="39" t="n">
        <f aca="false">IF(BD$4=0,0,IF(COUNTIFS(実績!$W$6:$W$505,BD$3,実績!$AI$6:$AI$505,"&lt;="&amp;$A143,実績!$AJ$6:$AJ$505,"&gt;"&amp;$A143,実績!$AK$6:$AK$505,"○")&gt;0,1,0))</f>
        <v>0</v>
      </c>
      <c r="BE143" s="39" t="n">
        <f aca="false">IF(BE$4=0,0,IF(COUNTIFS(実績!$W$6:$W$505,BE$3,実績!$AI$6:$AI$505,"&lt;="&amp;$A143,実績!$AJ$6:$AJ$505,"&gt;"&amp;$A143,実績!$AK$6:$AK$505,"○")&gt;0,1,0))</f>
        <v>0</v>
      </c>
      <c r="BF143" s="39" t="n">
        <f aca="false">IF(BF$4=0,0,IF(COUNTIFS(実績!$W$6:$W$505,BF$3,実績!$AI$6:$AI$505,"&lt;="&amp;$A143,実績!$AJ$6:$AJ$505,"&gt;"&amp;$A143,実績!$AK$6:$AK$505,"○")&gt;0,1,0))</f>
        <v>0</v>
      </c>
      <c r="BG143" s="39" t="n">
        <f aca="false">IF(BG$4=0,0,IF(COUNTIFS(実績!$W$6:$W$505,BG$3,実績!$AI$6:$AI$505,"&lt;="&amp;$A143,実績!$AJ$6:$AJ$505,"&gt;"&amp;$A143,実績!$AK$6:$AK$505,"○")&gt;0,1,0))</f>
        <v>0</v>
      </c>
      <c r="BH143" s="39" t="n">
        <f aca="false">IF(BH$4=0,0,IF(COUNTIFS(実績!$W$6:$W$505,BH$3,実績!$AI$6:$AI$505,"&lt;="&amp;$A143,実績!$AJ$6:$AJ$505,"&gt;"&amp;$A143,実績!$AK$6:$AK$505,"○")&gt;0,1,0))</f>
        <v>0</v>
      </c>
      <c r="BI143" s="39" t="n">
        <f aca="false">IF(BI$4=0,0,IF(COUNTIFS(実績!$W$6:$W$505,BI$3,実績!$AI$6:$AI$505,"&lt;="&amp;$A143,実績!$AJ$6:$AJ$505,"&gt;"&amp;$A143,実績!$AK$6:$AK$505,"○")&gt;0,1,0))</f>
        <v>0</v>
      </c>
      <c r="BJ143" s="39" t="n">
        <f aca="false">IF(BJ$4=0,0,IF(COUNTIFS(実績!$W$6:$W$505,BJ$3,実績!$AI$6:$AI$505,"&lt;="&amp;$A143,実績!$AJ$6:$AJ$505,"&gt;"&amp;$A143,実績!$AK$6:$AK$505,"○")&gt;0,1,0))</f>
        <v>0</v>
      </c>
      <c r="BK143" s="39" t="n">
        <f aca="false">IF(BK$4=0,0,IF(COUNTIFS(実績!$W$6:$W$505,BK$3,実績!$AI$6:$AI$505,"&lt;="&amp;$A143,実績!$AJ$6:$AJ$505,"&gt;"&amp;$A143,実績!$AK$6:$AK$505,"○")&gt;0,1,0))</f>
        <v>0</v>
      </c>
      <c r="BL143" s="39" t="n">
        <f aca="false">IF(BL$4=0,0,IF(COUNTIFS(実績!$W$6:$W$505,BL$3,実績!$AI$6:$AI$505,"&lt;="&amp;$A143,実績!$AJ$6:$AJ$505,"&gt;"&amp;$A143,実績!$AK$6:$AK$505,"○")&gt;0,1,0))</f>
        <v>0</v>
      </c>
      <c r="BM143" s="39" t="n">
        <f aca="false">IF(BM$4=0,0,IF(COUNTIFS(実績!$W$6:$W$505,BM$3,実績!$AI$6:$AI$505,"&lt;="&amp;$A143,実績!$AJ$6:$AJ$505,"&gt;"&amp;$A143,実績!$AK$6:$AK$505,"○")&gt;0,1,0))</f>
        <v>0</v>
      </c>
      <c r="BN143" s="39" t="n">
        <f aca="false">IF(BN$4=0,0,IF(COUNTIFS(実績!$W$6:$W$505,BN$3,実績!$AI$6:$AI$505,"&lt;="&amp;$A143,実績!$AJ$6:$AJ$505,"&gt;"&amp;$A143,実績!$AK$6:$AK$505,"○")&gt;0,1,0))</f>
        <v>0</v>
      </c>
      <c r="BO143" s="39" t="n">
        <f aca="false">IF(BO$4=0,0,IF(COUNTIFS(実績!$W$6:$W$505,BO$3,実績!$AI$6:$AI$505,"&lt;="&amp;$A143,実績!$AJ$6:$AJ$505,"&gt;"&amp;$A143,実績!$AK$6:$AK$505,"○")&gt;0,1,0))</f>
        <v>0</v>
      </c>
      <c r="BP143" s="39" t="n">
        <f aca="false">IF(BP$4=0,0,IF(COUNTIFS(実績!$W$6:$W$505,BP$3,実績!$AI$6:$AI$505,"&lt;="&amp;$A143,実績!$AJ$6:$AJ$505,"&gt;"&amp;$A143,実績!$AK$6:$AK$505,"○")&gt;0,1,0))</f>
        <v>0</v>
      </c>
      <c r="BQ143" s="39" t="n">
        <f aca="false">IF(BQ$4=0,0,IF(COUNTIFS(実績!$W$6:$W$505,BQ$3,実績!$AI$6:$AI$505,"&lt;="&amp;$A143,実績!$AJ$6:$AJ$505,"&gt;"&amp;$A143,実績!$AK$6:$AK$505,"○")&gt;0,1,0))</f>
        <v>0</v>
      </c>
      <c r="BR143" s="39" t="n">
        <f aca="false">IF(BR$4=0,0,IF(COUNTIFS(実績!$W$6:$W$505,BR$3,実績!$AI$6:$AI$505,"&lt;="&amp;$A143,実績!$AJ$6:$AJ$505,"&gt;"&amp;$A143,実績!$AK$6:$AK$505,"○")&gt;0,1,0))</f>
        <v>0</v>
      </c>
      <c r="BS143" s="39" t="n">
        <f aca="false">IF(BS$4=0,0,IF(COUNTIFS(実績!$W$6:$W$505,BS$3,実績!$AI$6:$AI$505,"&lt;="&amp;$A143,実績!$AJ$6:$AJ$505,"&gt;"&amp;$A143,実績!$AK$6:$AK$505,"○")&gt;0,1,0))</f>
        <v>0</v>
      </c>
      <c r="BT143" s="39" t="n">
        <f aca="false">IF(BT$4=0,0,IF(COUNTIFS(実績!$W$6:$W$505,BT$3,実績!$AI$6:$AI$505,"&lt;="&amp;$A143,実績!$AJ$6:$AJ$505,"&gt;"&amp;$A143,実績!$AK$6:$AK$505,"○")&gt;0,1,0))</f>
        <v>0</v>
      </c>
      <c r="BU143" s="39" t="n">
        <f aca="false">IF(BU$4=0,0,IF(COUNTIFS(実績!$W$6:$W$505,BU$3,実績!$AI$6:$AI$505,"&lt;="&amp;$A143,実績!$AJ$6:$AJ$505,"&gt;"&amp;$A143,実績!$AK$6:$AK$505,"○")&gt;0,1,0))</f>
        <v>0</v>
      </c>
      <c r="BV143" s="39" t="n">
        <f aca="false">IF(BV$4=0,0,IF(COUNTIFS(実績!$W$6:$W$505,BV$3,実績!$AI$6:$AI$505,"&lt;="&amp;$A143,実績!$AJ$6:$AJ$505,"&gt;"&amp;$A143,実績!$AK$6:$AK$505,"○")&gt;0,1,0))</f>
        <v>0</v>
      </c>
      <c r="BW143" s="39" t="n">
        <f aca="false">IF(BW$4=0,0,IF(COUNTIFS(実績!$W$6:$W$505,BW$3,実績!$AI$6:$AI$505,"&lt;="&amp;$A143,実績!$AJ$6:$AJ$505,"&gt;"&amp;$A143,実績!$AK$6:$AK$505,"○")&gt;0,1,0))</f>
        <v>0</v>
      </c>
      <c r="BX143" s="39" t="n">
        <f aca="false">IF(BX$4=0,0,IF(COUNTIFS(実績!$W$6:$W$505,BX$3,実績!$AI$6:$AI$505,"&lt;="&amp;$A143,実績!$AJ$6:$AJ$505,"&gt;"&amp;$A143,実績!$AK$6:$AK$505,"○")&gt;0,1,0))</f>
        <v>0</v>
      </c>
      <c r="BY143" s="39" t="n">
        <f aca="false">IF(BY$4=0,0,IF(COUNTIFS(実績!$W$6:$W$505,BY$3,実績!$AI$6:$AI$505,"&lt;="&amp;$A143,実績!$AJ$6:$AJ$505,"&gt;"&amp;$A143,実績!$AK$6:$AK$505,"○")&gt;0,1,0))</f>
        <v>0</v>
      </c>
      <c r="BZ143" s="39" t="n">
        <f aca="false">IF(BZ$4=0,0,IF(COUNTIFS(実績!$W$6:$W$505,BZ$3,実績!$AI$6:$AI$505,"&lt;="&amp;$A143,実績!$AJ$6:$AJ$505,"&gt;"&amp;$A143,実績!$AK$6:$AK$505,"○")&gt;0,1,0))</f>
        <v>0</v>
      </c>
      <c r="CA143" s="39" t="n">
        <f aca="false">IF(CA$4=0,0,IF(COUNTIFS(実績!$W$6:$W$505,CA$3,実績!$AI$6:$AI$505,"&lt;="&amp;$A143,実績!$AJ$6:$AJ$505,"&gt;"&amp;$A143,実績!$AK$6:$AK$505,"○")&gt;0,1,0))</f>
        <v>0</v>
      </c>
      <c r="CB143" s="39" t="n">
        <f aca="false">IF(CB$4=0,0,IF(COUNTIFS(実績!$W$6:$W$505,CB$3,実績!$AI$6:$AI$505,"&lt;="&amp;$A143,実績!$AJ$6:$AJ$505,"&gt;"&amp;$A143,実績!$AK$6:$AK$505,"○")&gt;0,1,0))</f>
        <v>0</v>
      </c>
      <c r="CC143" s="39" t="n">
        <f aca="false">IF(CC$4=0,0,IF(COUNTIFS(実績!$W$6:$W$505,CC$3,実績!$AI$6:$AI$505,"&lt;="&amp;$A143,実績!$AJ$6:$AJ$505,"&gt;"&amp;$A143,実績!$AK$6:$AK$505,"○")&gt;0,1,0))</f>
        <v>0</v>
      </c>
      <c r="CD143" s="39" t="n">
        <f aca="false">IF(CD$4=0,0,IF(COUNTIFS(実績!$W$6:$W$505,CD$3,実績!$AI$6:$AI$505,"&lt;="&amp;$A143,実績!$AJ$6:$AJ$505,"&gt;"&amp;$A143,実績!$AK$6:$AK$505,"○")&gt;0,1,0))</f>
        <v>0</v>
      </c>
      <c r="CE143" s="39" t="n">
        <f aca="false">IF(CE$4=0,0,IF(COUNTIFS(実績!$W$6:$W$505,CE$3,実績!$AI$6:$AI$505,"&lt;="&amp;$A143,実績!$AJ$6:$AJ$505,"&gt;"&amp;$A143,実績!$AK$6:$AK$505,"○")&gt;0,1,0))</f>
        <v>0</v>
      </c>
      <c r="CF143" s="39" t="n">
        <f aca="false">IF(CF$4=0,0,IF(COUNTIFS(実績!$W$6:$W$505,CF$3,実績!$AI$6:$AI$505,"&lt;="&amp;$A143,実績!$AJ$6:$AJ$505,"&gt;"&amp;$A143,実績!$AK$6:$AK$505,"○")&gt;0,1,0))</f>
        <v>0</v>
      </c>
      <c r="CG143" s="39" t="n">
        <f aca="false">IF(CG$4=0,0,IF(COUNTIFS(実績!$W$6:$W$505,CG$3,実績!$AI$6:$AI$505,"&lt;="&amp;$A143,実績!$AJ$6:$AJ$505,"&gt;"&amp;$A143,実績!$AK$6:$AK$505,"○")&gt;0,1,0))</f>
        <v>0</v>
      </c>
      <c r="CH143" s="39" t="n">
        <f aca="false">IF(CH$4=0,0,IF(COUNTIFS(実績!$W$6:$W$505,CH$3,実績!$AI$6:$AI$505,"&lt;="&amp;$A143,実績!$AJ$6:$AJ$505,"&gt;"&amp;$A143,実績!$AK$6:$AK$505,"○")&gt;0,1,0))</f>
        <v>0</v>
      </c>
      <c r="CI143" s="39" t="n">
        <f aca="false">IF(CI$4=0,0,IF(COUNTIFS(実績!$W$6:$W$505,CI$3,実績!$AI$6:$AI$505,"&lt;="&amp;$A143,実績!$AJ$6:$AJ$505,"&gt;"&amp;$A143,実績!$AK$6:$AK$505,"○")&gt;0,1,0))</f>
        <v>0</v>
      </c>
      <c r="CJ143" s="39" t="n">
        <f aca="false">IF(CJ$4=0,0,IF(COUNTIFS(実績!$W$6:$W$505,CJ$3,実績!$AI$6:$AI$505,"&lt;="&amp;$A143,実績!$AJ$6:$AJ$505,"&gt;"&amp;$A143,実績!$AK$6:$AK$505,"○")&gt;0,1,0))</f>
        <v>0</v>
      </c>
      <c r="CK143" s="39" t="n">
        <f aca="false">IF(CK$4=0,0,IF(COUNTIFS(実績!$W$6:$W$505,CK$3,実績!$AI$6:$AI$505,"&lt;="&amp;$A143,実績!$AJ$6:$AJ$505,"&gt;"&amp;$A143,実績!$AK$6:$AK$505,"○")&gt;0,1,0))</f>
        <v>0</v>
      </c>
      <c r="CL143" s="39" t="n">
        <f aca="false">IF(CL$4=0,0,IF(COUNTIFS(実績!$W$6:$W$505,CL$3,実績!$AI$6:$AI$505,"&lt;="&amp;$A143,実績!$AJ$6:$AJ$505,"&gt;"&amp;$A143,実績!$AK$6:$AK$505,"○")&gt;0,1,0))</f>
        <v>0</v>
      </c>
      <c r="CM143" s="39" t="n">
        <f aca="false">IF(CM$4=0,0,IF(COUNTIFS(実績!$W$6:$W$505,CM$3,実績!$AI$6:$AI$505,"&lt;="&amp;$A143,実績!$AJ$6:$AJ$505,"&gt;"&amp;$A143,実績!$AK$6:$AK$505,"○")&gt;0,1,0))</f>
        <v>0</v>
      </c>
      <c r="CN143" s="39" t="n">
        <f aca="false">IF(CN$4=0,0,IF(COUNTIFS(実績!$W$6:$W$505,CN$3,実績!$AI$6:$AI$505,"&lt;="&amp;$A143,実績!$AJ$6:$AJ$505,"&gt;"&amp;$A143,実績!$AK$6:$AK$505,"○")&gt;0,1,0))</f>
        <v>0</v>
      </c>
      <c r="CO143" s="39" t="n">
        <f aca="false">IF(CO$4=0,0,IF(COUNTIFS(実績!$W$6:$W$505,CO$3,実績!$AI$6:$AI$505,"&lt;="&amp;$A143,実績!$AJ$6:$AJ$505,"&gt;"&amp;$A143,実績!$AK$6:$AK$505,"○")&gt;0,1,0))</f>
        <v>0</v>
      </c>
      <c r="CP143" s="39" t="n">
        <f aca="false">IF(CP$4=0,0,IF(COUNTIFS(実績!$W$6:$W$505,CP$3,実績!$AI$6:$AI$505,"&lt;="&amp;$A143,実績!$AJ$6:$AJ$505,"&gt;"&amp;$A143,実績!$AK$6:$AK$505,"○")&gt;0,1,0))</f>
        <v>0</v>
      </c>
      <c r="CQ143" s="39" t="n">
        <f aca="false">IF(CQ$4=0,0,IF(COUNTIFS(実績!$W$6:$W$505,CQ$3,実績!$AI$6:$AI$505,"&lt;="&amp;$A143,実績!$AJ$6:$AJ$505,"&gt;"&amp;$A143,実績!$AK$6:$AK$505,"○")&gt;0,1,0))</f>
        <v>0</v>
      </c>
      <c r="CR143" s="39" t="n">
        <f aca="false">IF(CR$4=0,0,IF(COUNTIFS(実績!$W$6:$W$505,CR$3,実績!$AI$6:$AI$505,"&lt;="&amp;$A143,実績!$AJ$6:$AJ$505,"&gt;"&amp;$A143,実績!$AK$6:$AK$505,"○")&gt;0,1,0))</f>
        <v>0</v>
      </c>
      <c r="CS143" s="39" t="n">
        <f aca="false">IF(CS$4=0,0,IF(COUNTIFS(実績!$W$6:$W$505,CS$3,実績!$AI$6:$AI$505,"&lt;="&amp;$A143,実績!$AJ$6:$AJ$505,"&gt;"&amp;$A143,実績!$AK$6:$AK$505,"○")&gt;0,1,0))</f>
        <v>0</v>
      </c>
      <c r="CT143" s="39" t="n">
        <f aca="false">IF(CT$4=0,0,IF(COUNTIFS(実績!$W$6:$W$505,CT$3,実績!$AI$6:$AI$505,"&lt;="&amp;$A143,実績!$AJ$6:$AJ$505,"&gt;"&amp;$A143,実績!$AK$6:$AK$505,"○")&gt;0,1,0))</f>
        <v>0</v>
      </c>
      <c r="CU143" s="39" t="n">
        <f aca="false">IF(CU$4=0,0,IF(COUNTIFS(実績!$W$6:$W$505,CU$3,実績!$AI$6:$AI$505,"&lt;="&amp;$A143,実績!$AJ$6:$AJ$505,"&gt;"&amp;$A143,実績!$AK$6:$AK$505,"○")&gt;0,1,0))</f>
        <v>0</v>
      </c>
      <c r="CV143" s="39" t="n">
        <f aca="false">IF(CV$4=0,0,IF(COUNTIFS(実績!$W$6:$W$505,CV$3,実績!$AI$6:$AI$505,"&lt;="&amp;$A143,実績!$AJ$6:$AJ$505,"&gt;"&amp;$A143,実績!$AK$6:$AK$505,"○")&gt;0,1,0))</f>
        <v>0</v>
      </c>
      <c r="CW143" s="39" t="n">
        <f aca="false">IF(CW$4=0,0,IF(COUNTIFS(実績!$W$6:$W$505,CW$3,実績!$AI$6:$AI$505,"&lt;="&amp;$A143,実績!$AJ$6:$AJ$505,"&gt;"&amp;$A143,実績!$AK$6:$AK$505,"○")&gt;0,1,0))</f>
        <v>0</v>
      </c>
      <c r="CX143" s="39" t="n">
        <f aca="false">IF(CX$4=0,0,IF(COUNTIFS(実績!$W$6:$W$505,CX$3,実績!$AI$6:$AI$505,"&lt;="&amp;$A143,実績!$AJ$6:$AJ$505,"&gt;"&amp;$A143,実績!$AK$6:$AK$505,"○")&gt;0,1,0))</f>
        <v>0</v>
      </c>
      <c r="CY143" s="39" t="n">
        <f aca="false">IF(CY$4=0,0,IF(COUNTIFS(実績!$W$6:$W$505,CY$3,実績!$AI$6:$AI$505,"&lt;="&amp;$A143,実績!$AJ$6:$AJ$505,"&gt;"&amp;$A143,実績!$AK$6:$AK$505,"○")&gt;0,1,0))</f>
        <v>0</v>
      </c>
      <c r="CZ143" s="39" t="n">
        <f aca="false">IF(CZ$4=0,0,IF(COUNTIFS(実績!$W$6:$W$505,CZ$3,実績!$AI$6:$AI$505,"&lt;="&amp;$A143,実績!$AJ$6:$AJ$505,"&gt;"&amp;$A143,実績!$AK$6:$AK$505,"○")&gt;0,1,0))</f>
        <v>0</v>
      </c>
      <c r="DA143" s="39" t="n">
        <f aca="false">IF(DA$4=0,0,IF(COUNTIFS(実績!$W$6:$W$505,DA$3,実績!$AI$6:$AI$505,"&lt;="&amp;$A143,実績!$AJ$6:$AJ$505,"&gt;"&amp;$A143,実績!$AK$6:$AK$505,"○")&gt;0,1,0))</f>
        <v>0</v>
      </c>
      <c r="DB143" s="39" t="n">
        <f aca="false">IF(DB$4=0,0,IF(COUNTIFS(実績!$W$6:$W$505,DB$3,実績!$AI$6:$AI$505,"&lt;="&amp;$A143,実績!$AJ$6:$AJ$505,"&gt;"&amp;$A143,実績!$AK$6:$AK$505,"○")&gt;0,1,0))</f>
        <v>0</v>
      </c>
      <c r="DC143" s="39" t="n">
        <f aca="false">IF(DC$4=0,0,IF(COUNTIFS(実績!$W$6:$W$505,DC$3,実績!$AI$6:$AI$505,"&lt;="&amp;$A143,実績!$AJ$6:$AJ$505,"&gt;"&amp;$A143,実績!$AK$6:$AK$505,"○")&gt;0,1,0))</f>
        <v>0</v>
      </c>
      <c r="DD143" s="39" t="n">
        <f aca="false">IF(DD$4=0,0,IF(COUNTIFS(実績!$W$6:$W$505,DD$3,実績!$AI$6:$AI$505,"&lt;="&amp;$A143,実績!$AJ$6:$AJ$505,"&gt;"&amp;$A143,実績!$AK$6:$AK$505,"○")&gt;0,1,0))</f>
        <v>0</v>
      </c>
      <c r="DE143" s="39" t="n">
        <f aca="false">IF(DE$4=0,0,IF(COUNTIFS(実績!$W$6:$W$505,DE$3,実績!$AI$6:$AI$505,"&lt;="&amp;$A143,実績!$AJ$6:$AJ$505,"&gt;"&amp;$A143,実績!$AK$6:$AK$505,"○")&gt;0,1,0))</f>
        <v>0</v>
      </c>
      <c r="DF143" s="39" t="n">
        <f aca="false">IF(DF$4=0,0,IF(COUNTIFS(実績!$W$6:$W$505,DF$3,実績!$AI$6:$AI$505,"&lt;="&amp;$A143,実績!$AJ$6:$AJ$505,"&gt;"&amp;$A143,実績!$AK$6:$AK$505,"○")&gt;0,1,0))</f>
        <v>0</v>
      </c>
      <c r="DG143" s="39" t="n">
        <f aca="false">IF(DG$4=0,0,IF(COUNTIFS(実績!$W$6:$W$505,DG$3,実績!$AI$6:$AI$505,"&lt;="&amp;$A143,実績!$AJ$6:$AJ$505,"&gt;"&amp;$A143,実績!$AK$6:$AK$505,"○")&gt;0,1,0))</f>
        <v>0</v>
      </c>
      <c r="DH143" s="39" t="n">
        <f aca="false">IF(DH$4=0,0,IF(COUNTIFS(実績!$W$6:$W$505,DH$3,実績!$AI$6:$AI$505,"&lt;="&amp;$A143,実績!$AJ$6:$AJ$505,"&gt;"&amp;$A143,実績!$AK$6:$AK$505,"○")&gt;0,1,0))</f>
        <v>0</v>
      </c>
      <c r="DI143" s="39" t="n">
        <f aca="false">IF(DI$4=0,0,IF(COUNTIFS(実績!$W$6:$W$505,DI$3,実績!$AI$6:$AI$505,"&lt;="&amp;$A143,実績!$AJ$6:$AJ$505,"&gt;"&amp;$A143,実績!$AK$6:$AK$505,"○")&gt;0,1,0))</f>
        <v>0</v>
      </c>
      <c r="DJ143" s="39" t="n">
        <f aca="false">IF(DJ$4=0,0,IF(COUNTIFS(実績!$W$6:$W$505,DJ$3,実績!$AI$6:$AI$505,"&lt;="&amp;$A143,実績!$AJ$6:$AJ$505,"&gt;"&amp;$A143,実績!$AK$6:$AK$505,"○")&gt;0,1,0))</f>
        <v>0</v>
      </c>
      <c r="DK143" s="39" t="n">
        <f aca="false">IF(DK$4=0,0,IF(COUNTIFS(実績!$W$6:$W$505,DK$3,実績!$AI$6:$AI$505,"&lt;="&amp;$A143,実績!$AJ$6:$AJ$505,"&gt;"&amp;$A143,実績!$AK$6:$AK$505,"○")&gt;0,1,0))</f>
        <v>0</v>
      </c>
      <c r="DL143" s="39" t="n">
        <f aca="false">IF(DL$4=0,0,IF(COUNTIFS(実績!$W$6:$W$505,DL$3,実績!$AI$6:$AI$505,"&lt;="&amp;$A143,実績!$AJ$6:$AJ$505,"&gt;"&amp;$A143,実績!$AK$6:$AK$505,"○")&gt;0,1,0))</f>
        <v>0</v>
      </c>
      <c r="DM143" s="39" t="n">
        <f aca="false">IF(DM$4=0,0,IF(COUNTIFS(実績!$W$6:$W$505,DM$3,実績!$AI$6:$AI$505,"&lt;="&amp;$A143,実績!$AJ$6:$AJ$505,"&gt;"&amp;$A143,実績!$AK$6:$AK$505,"○")&gt;0,1,0))</f>
        <v>0</v>
      </c>
      <c r="DN143" s="39" t="n">
        <f aca="false">IF(DN$4=0,0,IF(COUNTIFS(実績!$W$6:$W$505,DN$3,実績!$AI$6:$AI$505,"&lt;="&amp;$A143,実績!$AJ$6:$AJ$505,"&gt;"&amp;$A143,実績!$AK$6:$AK$505,"○")&gt;0,1,0))</f>
        <v>0</v>
      </c>
      <c r="DO143" s="39" t="n">
        <f aca="false">IF(DO$4=0,0,IF(COUNTIFS(実績!$W$6:$W$505,DO$3,実績!$AI$6:$AI$505,"&lt;="&amp;$A143,実績!$AJ$6:$AJ$505,"&gt;"&amp;$A143,実績!$AK$6:$AK$505,"○")&gt;0,1,0))</f>
        <v>0</v>
      </c>
      <c r="DP143" s="39" t="n">
        <f aca="false">IF(DP$4=0,0,IF(COUNTIFS(実績!$W$6:$W$505,DP$3,実績!$AI$6:$AI$505,"&lt;="&amp;$A143,実績!$AJ$6:$AJ$505,"&gt;"&amp;$A143,実績!$AK$6:$AK$505,"○")&gt;0,1,0))</f>
        <v>0</v>
      </c>
      <c r="DQ143" s="39" t="n">
        <f aca="false">IF(DQ$4=0,0,IF(COUNTIFS(実績!$W$6:$W$505,DQ$3,実績!$AI$6:$AI$505,"&lt;="&amp;$A143,実績!$AJ$6:$AJ$505,"&gt;"&amp;$A143,実績!$AK$6:$AK$505,"○")&gt;0,1,0))</f>
        <v>0</v>
      </c>
      <c r="DR143" s="39" t="n">
        <f aca="false">IF(DR$4=0,0,IF(COUNTIFS(実績!$W$6:$W$505,DR$3,実績!$AI$6:$AI$505,"&lt;="&amp;$A143,実績!$AJ$6:$AJ$505,"&gt;"&amp;$A143,実績!$AK$6:$AK$505,"○")&gt;0,1,0))</f>
        <v>0</v>
      </c>
      <c r="DS143" s="39" t="n">
        <f aca="false">SUM(C143:DR143)</f>
        <v>0</v>
      </c>
      <c r="DT143" s="39" t="n">
        <f aca="false">SUMPRODUCT((実績!$C$6:$C$505="○")*ISNUMBER(実績!$AM$6:$AM$505)*(実績!$AM$6:$AM$505&lt;=$A143)*(実績!$AN$6:$AN$505&gt;$A143))</f>
        <v>0</v>
      </c>
      <c r="DU143" s="39" t="n">
        <f aca="false">SUMIF($C$2:$DR$2,"製鉄曳船",C143:DR143)</f>
        <v>0</v>
      </c>
      <c r="DV143" s="39" t="n">
        <f aca="false">SUMIF($C$2:$DR$2,"西日本海運",C143:DR143)</f>
        <v>0</v>
      </c>
    </row>
    <row r="144" customFormat="false" ht="15" hidden="false" customHeight="false" outlineLevel="0" collapsed="false">
      <c r="A144" s="0" t="n">
        <v>690</v>
      </c>
      <c r="B144" s="38" t="n">
        <f aca="false">A144/1440</f>
        <v>0.479166666666667</v>
      </c>
      <c r="C144" s="39" t="n">
        <f aca="false">IF(C$4=0,0,IF(COUNTIFS(実績!$W$6:$W$505,C$3,実績!$AI$6:$AI$505,"&lt;="&amp;$A144,実績!$AJ$6:$AJ$505,"&gt;"&amp;$A144,実績!$AK$6:$AK$505,"○")&gt;0,1,0))</f>
        <v>0</v>
      </c>
      <c r="D144" s="39" t="n">
        <f aca="false">IF(D$4=0,0,IF(COUNTIFS(実績!$W$6:$W$505,D$3,実績!$AI$6:$AI$505,"&lt;="&amp;$A144,実績!$AJ$6:$AJ$505,"&gt;"&amp;$A144,実績!$AK$6:$AK$505,"○")&gt;0,1,0))</f>
        <v>0</v>
      </c>
      <c r="E144" s="39" t="n">
        <f aca="false">IF(E$4=0,0,IF(COUNTIFS(実績!$W$6:$W$505,E$3,実績!$AI$6:$AI$505,"&lt;="&amp;$A144,実績!$AJ$6:$AJ$505,"&gt;"&amp;$A144,実績!$AK$6:$AK$505,"○")&gt;0,1,0))</f>
        <v>0</v>
      </c>
      <c r="F144" s="39" t="n">
        <f aca="false">IF(F$4=0,0,IF(COUNTIFS(実績!$W$6:$W$505,F$3,実績!$AI$6:$AI$505,"&lt;="&amp;$A144,実績!$AJ$6:$AJ$505,"&gt;"&amp;$A144,実績!$AK$6:$AK$505,"○")&gt;0,1,0))</f>
        <v>0</v>
      </c>
      <c r="G144" s="39" t="n">
        <f aca="false">IF(G$4=0,0,IF(COUNTIFS(実績!$W$6:$W$505,G$3,実績!$AI$6:$AI$505,"&lt;="&amp;$A144,実績!$AJ$6:$AJ$505,"&gt;"&amp;$A144,実績!$AK$6:$AK$505,"○")&gt;0,1,0))</f>
        <v>0</v>
      </c>
      <c r="H144" s="39" t="n">
        <f aca="false">IF(H$4=0,0,IF(COUNTIFS(実績!$W$6:$W$505,H$3,実績!$AI$6:$AI$505,"&lt;="&amp;$A144,実績!$AJ$6:$AJ$505,"&gt;"&amp;$A144,実績!$AK$6:$AK$505,"○")&gt;0,1,0))</f>
        <v>0</v>
      </c>
      <c r="I144" s="39" t="n">
        <f aca="false">IF(I$4=0,0,IF(COUNTIFS(実績!$W$6:$W$505,I$3,実績!$AI$6:$AI$505,"&lt;="&amp;$A144,実績!$AJ$6:$AJ$505,"&gt;"&amp;$A144,実績!$AK$6:$AK$505,"○")&gt;0,1,0))</f>
        <v>0</v>
      </c>
      <c r="J144" s="39" t="n">
        <f aca="false">IF(J$4=0,0,IF(COUNTIFS(実績!$W$6:$W$505,J$3,実績!$AI$6:$AI$505,"&lt;="&amp;$A144,実績!$AJ$6:$AJ$505,"&gt;"&amp;$A144,実績!$AK$6:$AK$505,"○")&gt;0,1,0))</f>
        <v>0</v>
      </c>
      <c r="K144" s="39" t="n">
        <f aca="false">IF(K$4=0,0,IF(COUNTIFS(実績!$W$6:$W$505,K$3,実績!$AI$6:$AI$505,"&lt;="&amp;$A144,実績!$AJ$6:$AJ$505,"&gt;"&amp;$A144,実績!$AK$6:$AK$505,"○")&gt;0,1,0))</f>
        <v>0</v>
      </c>
      <c r="L144" s="39" t="n">
        <f aca="false">IF(L$4=0,0,IF(COUNTIFS(実績!$W$6:$W$505,L$3,実績!$AI$6:$AI$505,"&lt;="&amp;$A144,実績!$AJ$6:$AJ$505,"&gt;"&amp;$A144,実績!$AK$6:$AK$505,"○")&gt;0,1,0))</f>
        <v>0</v>
      </c>
      <c r="M144" s="39" t="n">
        <f aca="false">IF(M$4=0,0,IF(COUNTIFS(実績!$W$6:$W$505,M$3,実績!$AI$6:$AI$505,"&lt;="&amp;$A144,実績!$AJ$6:$AJ$505,"&gt;"&amp;$A144,実績!$AK$6:$AK$505,"○")&gt;0,1,0))</f>
        <v>0</v>
      </c>
      <c r="N144" s="39" t="n">
        <f aca="false">IF(N$4=0,0,IF(COUNTIFS(実績!$W$6:$W$505,N$3,実績!$AI$6:$AI$505,"&lt;="&amp;$A144,実績!$AJ$6:$AJ$505,"&gt;"&amp;$A144,実績!$AK$6:$AK$505,"○")&gt;0,1,0))</f>
        <v>0</v>
      </c>
      <c r="O144" s="39" t="n">
        <f aca="false">IF(O$4=0,0,IF(COUNTIFS(実績!$W$6:$W$505,O$3,実績!$AI$6:$AI$505,"&lt;="&amp;$A144,実績!$AJ$6:$AJ$505,"&gt;"&amp;$A144,実績!$AK$6:$AK$505,"○")&gt;0,1,0))</f>
        <v>0</v>
      </c>
      <c r="P144" s="39" t="n">
        <f aca="false">IF(P$4=0,0,IF(COUNTIFS(実績!$W$6:$W$505,P$3,実績!$AI$6:$AI$505,"&lt;="&amp;$A144,実績!$AJ$6:$AJ$505,"&gt;"&amp;$A144,実績!$AK$6:$AK$505,"○")&gt;0,1,0))</f>
        <v>0</v>
      </c>
      <c r="Q144" s="39" t="n">
        <f aca="false">IF(Q$4=0,0,IF(COUNTIFS(実績!$W$6:$W$505,Q$3,実績!$AI$6:$AI$505,"&lt;="&amp;$A144,実績!$AJ$6:$AJ$505,"&gt;"&amp;$A144,実績!$AK$6:$AK$505,"○")&gt;0,1,0))</f>
        <v>0</v>
      </c>
      <c r="R144" s="39" t="n">
        <f aca="false">IF(R$4=0,0,IF(COUNTIFS(実績!$W$6:$W$505,R$3,実績!$AI$6:$AI$505,"&lt;="&amp;$A144,実績!$AJ$6:$AJ$505,"&gt;"&amp;$A144,実績!$AK$6:$AK$505,"○")&gt;0,1,0))</f>
        <v>0</v>
      </c>
      <c r="S144" s="39" t="n">
        <f aca="false">IF(S$4=0,0,IF(COUNTIFS(実績!$W$6:$W$505,S$3,実績!$AI$6:$AI$505,"&lt;="&amp;$A144,実績!$AJ$6:$AJ$505,"&gt;"&amp;$A144,実績!$AK$6:$AK$505,"○")&gt;0,1,0))</f>
        <v>0</v>
      </c>
      <c r="T144" s="39" t="n">
        <f aca="false">IF(T$4=0,0,IF(COUNTIFS(実績!$W$6:$W$505,T$3,実績!$AI$6:$AI$505,"&lt;="&amp;$A144,実績!$AJ$6:$AJ$505,"&gt;"&amp;$A144,実績!$AK$6:$AK$505,"○")&gt;0,1,0))</f>
        <v>0</v>
      </c>
      <c r="U144" s="39" t="n">
        <f aca="false">IF(U$4=0,0,IF(COUNTIFS(実績!$W$6:$W$505,U$3,実績!$AI$6:$AI$505,"&lt;="&amp;$A144,実績!$AJ$6:$AJ$505,"&gt;"&amp;$A144,実績!$AK$6:$AK$505,"○")&gt;0,1,0))</f>
        <v>0</v>
      </c>
      <c r="V144" s="39" t="n">
        <f aca="false">IF(V$4=0,0,IF(COUNTIFS(実績!$W$6:$W$505,V$3,実績!$AI$6:$AI$505,"&lt;="&amp;$A144,実績!$AJ$6:$AJ$505,"&gt;"&amp;$A144,実績!$AK$6:$AK$505,"○")&gt;0,1,0))</f>
        <v>0</v>
      </c>
      <c r="W144" s="39" t="n">
        <f aca="false">IF(W$4=0,0,IF(COUNTIFS(実績!$W$6:$W$505,W$3,実績!$AI$6:$AI$505,"&lt;="&amp;$A144,実績!$AJ$6:$AJ$505,"&gt;"&amp;$A144,実績!$AK$6:$AK$505,"○")&gt;0,1,0))</f>
        <v>0</v>
      </c>
      <c r="X144" s="39" t="n">
        <f aca="false">IF(X$4=0,0,IF(COUNTIFS(実績!$W$6:$W$505,X$3,実績!$AI$6:$AI$505,"&lt;="&amp;$A144,実績!$AJ$6:$AJ$505,"&gt;"&amp;$A144,実績!$AK$6:$AK$505,"○")&gt;0,1,0))</f>
        <v>0</v>
      </c>
      <c r="Y144" s="39" t="n">
        <f aca="false">IF(Y$4=0,0,IF(COUNTIFS(実績!$W$6:$W$505,Y$3,実績!$AI$6:$AI$505,"&lt;="&amp;$A144,実績!$AJ$6:$AJ$505,"&gt;"&amp;$A144,実績!$AK$6:$AK$505,"○")&gt;0,1,0))</f>
        <v>0</v>
      </c>
      <c r="Z144" s="39" t="n">
        <f aca="false">IF(Z$4=0,0,IF(COUNTIFS(実績!$W$6:$W$505,Z$3,実績!$AI$6:$AI$505,"&lt;="&amp;$A144,実績!$AJ$6:$AJ$505,"&gt;"&amp;$A144,実績!$AK$6:$AK$505,"○")&gt;0,1,0))</f>
        <v>0</v>
      </c>
      <c r="AA144" s="39" t="n">
        <f aca="false">IF(AA$4=0,0,IF(COUNTIFS(実績!$W$6:$W$505,AA$3,実績!$AI$6:$AI$505,"&lt;="&amp;$A144,実績!$AJ$6:$AJ$505,"&gt;"&amp;$A144,実績!$AK$6:$AK$505,"○")&gt;0,1,0))</f>
        <v>0</v>
      </c>
      <c r="AB144" s="39" t="n">
        <f aca="false">IF(AB$4=0,0,IF(COUNTIFS(実績!$W$6:$W$505,AB$3,実績!$AI$6:$AI$505,"&lt;="&amp;$A144,実績!$AJ$6:$AJ$505,"&gt;"&amp;$A144,実績!$AK$6:$AK$505,"○")&gt;0,1,0))</f>
        <v>0</v>
      </c>
      <c r="AC144" s="39" t="n">
        <f aca="false">IF(AC$4=0,0,IF(COUNTIFS(実績!$W$6:$W$505,AC$3,実績!$AI$6:$AI$505,"&lt;="&amp;$A144,実績!$AJ$6:$AJ$505,"&gt;"&amp;$A144,実績!$AK$6:$AK$505,"○")&gt;0,1,0))</f>
        <v>0</v>
      </c>
      <c r="AD144" s="39" t="n">
        <f aca="false">IF(AD$4=0,0,IF(COUNTIFS(実績!$W$6:$W$505,AD$3,実績!$AI$6:$AI$505,"&lt;="&amp;$A144,実績!$AJ$6:$AJ$505,"&gt;"&amp;$A144,実績!$AK$6:$AK$505,"○")&gt;0,1,0))</f>
        <v>0</v>
      </c>
      <c r="AE144" s="39" t="n">
        <f aca="false">IF(AE$4=0,0,IF(COUNTIFS(実績!$W$6:$W$505,AE$3,実績!$AI$6:$AI$505,"&lt;="&amp;$A144,実績!$AJ$6:$AJ$505,"&gt;"&amp;$A144,実績!$AK$6:$AK$505,"○")&gt;0,1,0))</f>
        <v>0</v>
      </c>
      <c r="AF144" s="39" t="n">
        <f aca="false">IF(AF$4=0,0,IF(COUNTIFS(実績!$W$6:$W$505,AF$3,実績!$AI$6:$AI$505,"&lt;="&amp;$A144,実績!$AJ$6:$AJ$505,"&gt;"&amp;$A144,実績!$AK$6:$AK$505,"○")&gt;0,1,0))</f>
        <v>0</v>
      </c>
      <c r="AG144" s="39" t="n">
        <f aca="false">IF(AG$4=0,0,IF(COUNTIFS(実績!$W$6:$W$505,AG$3,実績!$AI$6:$AI$505,"&lt;="&amp;$A144,実績!$AJ$6:$AJ$505,"&gt;"&amp;$A144,実績!$AK$6:$AK$505,"○")&gt;0,1,0))</f>
        <v>0</v>
      </c>
      <c r="AH144" s="39" t="n">
        <f aca="false">IF(AH$4=0,0,IF(COUNTIFS(実績!$W$6:$W$505,AH$3,実績!$AI$6:$AI$505,"&lt;="&amp;$A144,実績!$AJ$6:$AJ$505,"&gt;"&amp;$A144,実績!$AK$6:$AK$505,"○")&gt;0,1,0))</f>
        <v>0</v>
      </c>
      <c r="AI144" s="39" t="n">
        <f aca="false">IF(AI$4=0,0,IF(COUNTIFS(実績!$W$6:$W$505,AI$3,実績!$AI$6:$AI$505,"&lt;="&amp;$A144,実績!$AJ$6:$AJ$505,"&gt;"&amp;$A144,実績!$AK$6:$AK$505,"○")&gt;0,1,0))</f>
        <v>0</v>
      </c>
      <c r="AJ144" s="39" t="n">
        <f aca="false">IF(AJ$4=0,0,IF(COUNTIFS(実績!$W$6:$W$505,AJ$3,実績!$AI$6:$AI$505,"&lt;="&amp;$A144,実績!$AJ$6:$AJ$505,"&gt;"&amp;$A144,実績!$AK$6:$AK$505,"○")&gt;0,1,0))</f>
        <v>0</v>
      </c>
      <c r="AK144" s="39" t="n">
        <f aca="false">IF(AK$4=0,0,IF(COUNTIFS(実績!$W$6:$W$505,AK$3,実績!$AI$6:$AI$505,"&lt;="&amp;$A144,実績!$AJ$6:$AJ$505,"&gt;"&amp;$A144,実績!$AK$6:$AK$505,"○")&gt;0,1,0))</f>
        <v>0</v>
      </c>
      <c r="AL144" s="39" t="n">
        <f aca="false">IF(AL$4=0,0,IF(COUNTIFS(実績!$W$6:$W$505,AL$3,実績!$AI$6:$AI$505,"&lt;="&amp;$A144,実績!$AJ$6:$AJ$505,"&gt;"&amp;$A144,実績!$AK$6:$AK$505,"○")&gt;0,1,0))</f>
        <v>0</v>
      </c>
      <c r="AM144" s="39" t="n">
        <f aca="false">IF(AM$4=0,0,IF(COUNTIFS(実績!$W$6:$W$505,AM$3,実績!$AI$6:$AI$505,"&lt;="&amp;$A144,実績!$AJ$6:$AJ$505,"&gt;"&amp;$A144,実績!$AK$6:$AK$505,"○")&gt;0,1,0))</f>
        <v>0</v>
      </c>
      <c r="AN144" s="39" t="n">
        <f aca="false">IF(AN$4=0,0,IF(COUNTIFS(実績!$W$6:$W$505,AN$3,実績!$AI$6:$AI$505,"&lt;="&amp;$A144,実績!$AJ$6:$AJ$505,"&gt;"&amp;$A144,実績!$AK$6:$AK$505,"○")&gt;0,1,0))</f>
        <v>0</v>
      </c>
      <c r="AO144" s="39" t="n">
        <f aca="false">IF(AO$4=0,0,IF(COUNTIFS(実績!$W$6:$W$505,AO$3,実績!$AI$6:$AI$505,"&lt;="&amp;$A144,実績!$AJ$6:$AJ$505,"&gt;"&amp;$A144,実績!$AK$6:$AK$505,"○")&gt;0,1,0))</f>
        <v>0</v>
      </c>
      <c r="AP144" s="39" t="n">
        <f aca="false">IF(AP$4=0,0,IF(COUNTIFS(実績!$W$6:$W$505,AP$3,実績!$AI$6:$AI$505,"&lt;="&amp;$A144,実績!$AJ$6:$AJ$505,"&gt;"&amp;$A144,実績!$AK$6:$AK$505,"○")&gt;0,1,0))</f>
        <v>0</v>
      </c>
      <c r="AQ144" s="39" t="n">
        <f aca="false">IF(AQ$4=0,0,IF(COUNTIFS(実績!$W$6:$W$505,AQ$3,実績!$AI$6:$AI$505,"&lt;="&amp;$A144,実績!$AJ$6:$AJ$505,"&gt;"&amp;$A144,実績!$AK$6:$AK$505,"○")&gt;0,1,0))</f>
        <v>0</v>
      </c>
      <c r="AR144" s="39" t="n">
        <f aca="false">IF(AR$4=0,0,IF(COUNTIFS(実績!$W$6:$W$505,AR$3,実績!$AI$6:$AI$505,"&lt;="&amp;$A144,実績!$AJ$6:$AJ$505,"&gt;"&amp;$A144,実績!$AK$6:$AK$505,"○")&gt;0,1,0))</f>
        <v>0</v>
      </c>
      <c r="AS144" s="39" t="n">
        <f aca="false">IF(AS$4=0,0,IF(COUNTIFS(実績!$W$6:$W$505,AS$3,実績!$AI$6:$AI$505,"&lt;="&amp;$A144,実績!$AJ$6:$AJ$505,"&gt;"&amp;$A144,実績!$AK$6:$AK$505,"○")&gt;0,1,0))</f>
        <v>0</v>
      </c>
      <c r="AT144" s="39" t="n">
        <f aca="false">IF(AT$4=0,0,IF(COUNTIFS(実績!$W$6:$W$505,AT$3,実績!$AI$6:$AI$505,"&lt;="&amp;$A144,実績!$AJ$6:$AJ$505,"&gt;"&amp;$A144,実績!$AK$6:$AK$505,"○")&gt;0,1,0))</f>
        <v>0</v>
      </c>
      <c r="AU144" s="39" t="n">
        <f aca="false">IF(AU$4=0,0,IF(COUNTIFS(実績!$W$6:$W$505,AU$3,実績!$AI$6:$AI$505,"&lt;="&amp;$A144,実績!$AJ$6:$AJ$505,"&gt;"&amp;$A144,実績!$AK$6:$AK$505,"○")&gt;0,1,0))</f>
        <v>0</v>
      </c>
      <c r="AV144" s="39" t="n">
        <f aca="false">IF(AV$4=0,0,IF(COUNTIFS(実績!$W$6:$W$505,AV$3,実績!$AI$6:$AI$505,"&lt;="&amp;$A144,実績!$AJ$6:$AJ$505,"&gt;"&amp;$A144,実績!$AK$6:$AK$505,"○")&gt;0,1,0))</f>
        <v>0</v>
      </c>
      <c r="AW144" s="39" t="n">
        <f aca="false">IF(AW$4=0,0,IF(COUNTIFS(実績!$W$6:$W$505,AW$3,実績!$AI$6:$AI$505,"&lt;="&amp;$A144,実績!$AJ$6:$AJ$505,"&gt;"&amp;$A144,実績!$AK$6:$AK$505,"○")&gt;0,1,0))</f>
        <v>0</v>
      </c>
      <c r="AX144" s="39" t="n">
        <f aca="false">IF(AX$4=0,0,IF(COUNTIFS(実績!$W$6:$W$505,AX$3,実績!$AI$6:$AI$505,"&lt;="&amp;$A144,実績!$AJ$6:$AJ$505,"&gt;"&amp;$A144,実績!$AK$6:$AK$505,"○")&gt;0,1,0))</f>
        <v>0</v>
      </c>
      <c r="AY144" s="39" t="n">
        <f aca="false">IF(AY$4=0,0,IF(COUNTIFS(実績!$W$6:$W$505,AY$3,実績!$AI$6:$AI$505,"&lt;="&amp;$A144,実績!$AJ$6:$AJ$505,"&gt;"&amp;$A144,実績!$AK$6:$AK$505,"○")&gt;0,1,0))</f>
        <v>0</v>
      </c>
      <c r="AZ144" s="39" t="n">
        <f aca="false">IF(AZ$4=0,0,IF(COUNTIFS(実績!$W$6:$W$505,AZ$3,実績!$AI$6:$AI$505,"&lt;="&amp;$A144,実績!$AJ$6:$AJ$505,"&gt;"&amp;$A144,実績!$AK$6:$AK$505,"○")&gt;0,1,0))</f>
        <v>0</v>
      </c>
      <c r="BA144" s="39" t="n">
        <f aca="false">IF(BA$4=0,0,IF(COUNTIFS(実績!$W$6:$W$505,BA$3,実績!$AI$6:$AI$505,"&lt;="&amp;$A144,実績!$AJ$6:$AJ$505,"&gt;"&amp;$A144,実績!$AK$6:$AK$505,"○")&gt;0,1,0))</f>
        <v>0</v>
      </c>
      <c r="BB144" s="39" t="n">
        <f aca="false">IF(BB$4=0,0,IF(COUNTIFS(実績!$W$6:$W$505,BB$3,実績!$AI$6:$AI$505,"&lt;="&amp;$A144,実績!$AJ$6:$AJ$505,"&gt;"&amp;$A144,実績!$AK$6:$AK$505,"○")&gt;0,1,0))</f>
        <v>0</v>
      </c>
      <c r="BC144" s="39" t="n">
        <f aca="false">IF(BC$4=0,0,IF(COUNTIFS(実績!$W$6:$W$505,BC$3,実績!$AI$6:$AI$505,"&lt;="&amp;$A144,実績!$AJ$6:$AJ$505,"&gt;"&amp;$A144,実績!$AK$6:$AK$505,"○")&gt;0,1,0))</f>
        <v>0</v>
      </c>
      <c r="BD144" s="39" t="n">
        <f aca="false">IF(BD$4=0,0,IF(COUNTIFS(実績!$W$6:$W$505,BD$3,実績!$AI$6:$AI$505,"&lt;="&amp;$A144,実績!$AJ$6:$AJ$505,"&gt;"&amp;$A144,実績!$AK$6:$AK$505,"○")&gt;0,1,0))</f>
        <v>0</v>
      </c>
      <c r="BE144" s="39" t="n">
        <f aca="false">IF(BE$4=0,0,IF(COUNTIFS(実績!$W$6:$W$505,BE$3,実績!$AI$6:$AI$505,"&lt;="&amp;$A144,実績!$AJ$6:$AJ$505,"&gt;"&amp;$A144,実績!$AK$6:$AK$505,"○")&gt;0,1,0))</f>
        <v>0</v>
      </c>
      <c r="BF144" s="39" t="n">
        <f aca="false">IF(BF$4=0,0,IF(COUNTIFS(実績!$W$6:$W$505,BF$3,実績!$AI$6:$AI$505,"&lt;="&amp;$A144,実績!$AJ$6:$AJ$505,"&gt;"&amp;$A144,実績!$AK$6:$AK$505,"○")&gt;0,1,0))</f>
        <v>0</v>
      </c>
      <c r="BG144" s="39" t="n">
        <f aca="false">IF(BG$4=0,0,IF(COUNTIFS(実績!$W$6:$W$505,BG$3,実績!$AI$6:$AI$505,"&lt;="&amp;$A144,実績!$AJ$6:$AJ$505,"&gt;"&amp;$A144,実績!$AK$6:$AK$505,"○")&gt;0,1,0))</f>
        <v>0</v>
      </c>
      <c r="BH144" s="39" t="n">
        <f aca="false">IF(BH$4=0,0,IF(COUNTIFS(実績!$W$6:$W$505,BH$3,実績!$AI$6:$AI$505,"&lt;="&amp;$A144,実績!$AJ$6:$AJ$505,"&gt;"&amp;$A144,実績!$AK$6:$AK$505,"○")&gt;0,1,0))</f>
        <v>0</v>
      </c>
      <c r="BI144" s="39" t="n">
        <f aca="false">IF(BI$4=0,0,IF(COUNTIFS(実績!$W$6:$W$505,BI$3,実績!$AI$6:$AI$505,"&lt;="&amp;$A144,実績!$AJ$6:$AJ$505,"&gt;"&amp;$A144,実績!$AK$6:$AK$505,"○")&gt;0,1,0))</f>
        <v>0</v>
      </c>
      <c r="BJ144" s="39" t="n">
        <f aca="false">IF(BJ$4=0,0,IF(COUNTIFS(実績!$W$6:$W$505,BJ$3,実績!$AI$6:$AI$505,"&lt;="&amp;$A144,実績!$AJ$6:$AJ$505,"&gt;"&amp;$A144,実績!$AK$6:$AK$505,"○")&gt;0,1,0))</f>
        <v>0</v>
      </c>
      <c r="BK144" s="39" t="n">
        <f aca="false">IF(BK$4=0,0,IF(COUNTIFS(実績!$W$6:$W$505,BK$3,実績!$AI$6:$AI$505,"&lt;="&amp;$A144,実績!$AJ$6:$AJ$505,"&gt;"&amp;$A144,実績!$AK$6:$AK$505,"○")&gt;0,1,0))</f>
        <v>0</v>
      </c>
      <c r="BL144" s="39" t="n">
        <f aca="false">IF(BL$4=0,0,IF(COUNTIFS(実績!$W$6:$W$505,BL$3,実績!$AI$6:$AI$505,"&lt;="&amp;$A144,実績!$AJ$6:$AJ$505,"&gt;"&amp;$A144,実績!$AK$6:$AK$505,"○")&gt;0,1,0))</f>
        <v>0</v>
      </c>
      <c r="BM144" s="39" t="n">
        <f aca="false">IF(BM$4=0,0,IF(COUNTIFS(実績!$W$6:$W$505,BM$3,実績!$AI$6:$AI$505,"&lt;="&amp;$A144,実績!$AJ$6:$AJ$505,"&gt;"&amp;$A144,実績!$AK$6:$AK$505,"○")&gt;0,1,0))</f>
        <v>0</v>
      </c>
      <c r="BN144" s="39" t="n">
        <f aca="false">IF(BN$4=0,0,IF(COUNTIFS(実績!$W$6:$W$505,BN$3,実績!$AI$6:$AI$505,"&lt;="&amp;$A144,実績!$AJ$6:$AJ$505,"&gt;"&amp;$A144,実績!$AK$6:$AK$505,"○")&gt;0,1,0))</f>
        <v>0</v>
      </c>
      <c r="BO144" s="39" t="n">
        <f aca="false">IF(BO$4=0,0,IF(COUNTIFS(実績!$W$6:$W$505,BO$3,実績!$AI$6:$AI$505,"&lt;="&amp;$A144,実績!$AJ$6:$AJ$505,"&gt;"&amp;$A144,実績!$AK$6:$AK$505,"○")&gt;0,1,0))</f>
        <v>0</v>
      </c>
      <c r="BP144" s="39" t="n">
        <f aca="false">IF(BP$4=0,0,IF(COUNTIFS(実績!$W$6:$W$505,BP$3,実績!$AI$6:$AI$505,"&lt;="&amp;$A144,実績!$AJ$6:$AJ$505,"&gt;"&amp;$A144,実績!$AK$6:$AK$505,"○")&gt;0,1,0))</f>
        <v>0</v>
      </c>
      <c r="BQ144" s="39" t="n">
        <f aca="false">IF(BQ$4=0,0,IF(COUNTIFS(実績!$W$6:$W$505,BQ$3,実績!$AI$6:$AI$505,"&lt;="&amp;$A144,実績!$AJ$6:$AJ$505,"&gt;"&amp;$A144,実績!$AK$6:$AK$505,"○")&gt;0,1,0))</f>
        <v>0</v>
      </c>
      <c r="BR144" s="39" t="n">
        <f aca="false">IF(BR$4=0,0,IF(COUNTIFS(実績!$W$6:$W$505,BR$3,実績!$AI$6:$AI$505,"&lt;="&amp;$A144,実績!$AJ$6:$AJ$505,"&gt;"&amp;$A144,実績!$AK$6:$AK$505,"○")&gt;0,1,0))</f>
        <v>0</v>
      </c>
      <c r="BS144" s="39" t="n">
        <f aca="false">IF(BS$4=0,0,IF(COUNTIFS(実績!$W$6:$W$505,BS$3,実績!$AI$6:$AI$505,"&lt;="&amp;$A144,実績!$AJ$6:$AJ$505,"&gt;"&amp;$A144,実績!$AK$6:$AK$505,"○")&gt;0,1,0))</f>
        <v>0</v>
      </c>
      <c r="BT144" s="39" t="n">
        <f aca="false">IF(BT$4=0,0,IF(COUNTIFS(実績!$W$6:$W$505,BT$3,実績!$AI$6:$AI$505,"&lt;="&amp;$A144,実績!$AJ$6:$AJ$505,"&gt;"&amp;$A144,実績!$AK$6:$AK$505,"○")&gt;0,1,0))</f>
        <v>0</v>
      </c>
      <c r="BU144" s="39" t="n">
        <f aca="false">IF(BU$4=0,0,IF(COUNTIFS(実績!$W$6:$W$505,BU$3,実績!$AI$6:$AI$505,"&lt;="&amp;$A144,実績!$AJ$6:$AJ$505,"&gt;"&amp;$A144,実績!$AK$6:$AK$505,"○")&gt;0,1,0))</f>
        <v>0</v>
      </c>
      <c r="BV144" s="39" t="n">
        <f aca="false">IF(BV$4=0,0,IF(COUNTIFS(実績!$W$6:$W$505,BV$3,実績!$AI$6:$AI$505,"&lt;="&amp;$A144,実績!$AJ$6:$AJ$505,"&gt;"&amp;$A144,実績!$AK$6:$AK$505,"○")&gt;0,1,0))</f>
        <v>0</v>
      </c>
      <c r="BW144" s="39" t="n">
        <f aca="false">IF(BW$4=0,0,IF(COUNTIFS(実績!$W$6:$W$505,BW$3,実績!$AI$6:$AI$505,"&lt;="&amp;$A144,実績!$AJ$6:$AJ$505,"&gt;"&amp;$A144,実績!$AK$6:$AK$505,"○")&gt;0,1,0))</f>
        <v>0</v>
      </c>
      <c r="BX144" s="39" t="n">
        <f aca="false">IF(BX$4=0,0,IF(COUNTIFS(実績!$W$6:$W$505,BX$3,実績!$AI$6:$AI$505,"&lt;="&amp;$A144,実績!$AJ$6:$AJ$505,"&gt;"&amp;$A144,実績!$AK$6:$AK$505,"○")&gt;0,1,0))</f>
        <v>0</v>
      </c>
      <c r="BY144" s="39" t="n">
        <f aca="false">IF(BY$4=0,0,IF(COUNTIFS(実績!$W$6:$W$505,BY$3,実績!$AI$6:$AI$505,"&lt;="&amp;$A144,実績!$AJ$6:$AJ$505,"&gt;"&amp;$A144,実績!$AK$6:$AK$505,"○")&gt;0,1,0))</f>
        <v>0</v>
      </c>
      <c r="BZ144" s="39" t="n">
        <f aca="false">IF(BZ$4=0,0,IF(COUNTIFS(実績!$W$6:$W$505,BZ$3,実績!$AI$6:$AI$505,"&lt;="&amp;$A144,実績!$AJ$6:$AJ$505,"&gt;"&amp;$A144,実績!$AK$6:$AK$505,"○")&gt;0,1,0))</f>
        <v>0</v>
      </c>
      <c r="CA144" s="39" t="n">
        <f aca="false">IF(CA$4=0,0,IF(COUNTIFS(実績!$W$6:$W$505,CA$3,実績!$AI$6:$AI$505,"&lt;="&amp;$A144,実績!$AJ$6:$AJ$505,"&gt;"&amp;$A144,実績!$AK$6:$AK$505,"○")&gt;0,1,0))</f>
        <v>0</v>
      </c>
      <c r="CB144" s="39" t="n">
        <f aca="false">IF(CB$4=0,0,IF(COUNTIFS(実績!$W$6:$W$505,CB$3,実績!$AI$6:$AI$505,"&lt;="&amp;$A144,実績!$AJ$6:$AJ$505,"&gt;"&amp;$A144,実績!$AK$6:$AK$505,"○")&gt;0,1,0))</f>
        <v>0</v>
      </c>
      <c r="CC144" s="39" t="n">
        <f aca="false">IF(CC$4=0,0,IF(COUNTIFS(実績!$W$6:$W$505,CC$3,実績!$AI$6:$AI$505,"&lt;="&amp;$A144,実績!$AJ$6:$AJ$505,"&gt;"&amp;$A144,実績!$AK$6:$AK$505,"○")&gt;0,1,0))</f>
        <v>0</v>
      </c>
      <c r="CD144" s="39" t="n">
        <f aca="false">IF(CD$4=0,0,IF(COUNTIFS(実績!$W$6:$W$505,CD$3,実績!$AI$6:$AI$505,"&lt;="&amp;$A144,実績!$AJ$6:$AJ$505,"&gt;"&amp;$A144,実績!$AK$6:$AK$505,"○")&gt;0,1,0))</f>
        <v>0</v>
      </c>
      <c r="CE144" s="39" t="n">
        <f aca="false">IF(CE$4=0,0,IF(COUNTIFS(実績!$W$6:$W$505,CE$3,実績!$AI$6:$AI$505,"&lt;="&amp;$A144,実績!$AJ$6:$AJ$505,"&gt;"&amp;$A144,実績!$AK$6:$AK$505,"○")&gt;0,1,0))</f>
        <v>0</v>
      </c>
      <c r="CF144" s="39" t="n">
        <f aca="false">IF(CF$4=0,0,IF(COUNTIFS(実績!$W$6:$W$505,CF$3,実績!$AI$6:$AI$505,"&lt;="&amp;$A144,実績!$AJ$6:$AJ$505,"&gt;"&amp;$A144,実績!$AK$6:$AK$505,"○")&gt;0,1,0))</f>
        <v>0</v>
      </c>
      <c r="CG144" s="39" t="n">
        <f aca="false">IF(CG$4=0,0,IF(COUNTIFS(実績!$W$6:$W$505,CG$3,実績!$AI$6:$AI$505,"&lt;="&amp;$A144,実績!$AJ$6:$AJ$505,"&gt;"&amp;$A144,実績!$AK$6:$AK$505,"○")&gt;0,1,0))</f>
        <v>0</v>
      </c>
      <c r="CH144" s="39" t="n">
        <f aca="false">IF(CH$4=0,0,IF(COUNTIFS(実績!$W$6:$W$505,CH$3,実績!$AI$6:$AI$505,"&lt;="&amp;$A144,実績!$AJ$6:$AJ$505,"&gt;"&amp;$A144,実績!$AK$6:$AK$505,"○")&gt;0,1,0))</f>
        <v>0</v>
      </c>
      <c r="CI144" s="39" t="n">
        <f aca="false">IF(CI$4=0,0,IF(COUNTIFS(実績!$W$6:$W$505,CI$3,実績!$AI$6:$AI$505,"&lt;="&amp;$A144,実績!$AJ$6:$AJ$505,"&gt;"&amp;$A144,実績!$AK$6:$AK$505,"○")&gt;0,1,0))</f>
        <v>0</v>
      </c>
      <c r="CJ144" s="39" t="n">
        <f aca="false">IF(CJ$4=0,0,IF(COUNTIFS(実績!$W$6:$W$505,CJ$3,実績!$AI$6:$AI$505,"&lt;="&amp;$A144,実績!$AJ$6:$AJ$505,"&gt;"&amp;$A144,実績!$AK$6:$AK$505,"○")&gt;0,1,0))</f>
        <v>0</v>
      </c>
      <c r="CK144" s="39" t="n">
        <f aca="false">IF(CK$4=0,0,IF(COUNTIFS(実績!$W$6:$W$505,CK$3,実績!$AI$6:$AI$505,"&lt;="&amp;$A144,実績!$AJ$6:$AJ$505,"&gt;"&amp;$A144,実績!$AK$6:$AK$505,"○")&gt;0,1,0))</f>
        <v>0</v>
      </c>
      <c r="CL144" s="39" t="n">
        <f aca="false">IF(CL$4=0,0,IF(COUNTIFS(実績!$W$6:$W$505,CL$3,実績!$AI$6:$AI$505,"&lt;="&amp;$A144,実績!$AJ$6:$AJ$505,"&gt;"&amp;$A144,実績!$AK$6:$AK$505,"○")&gt;0,1,0))</f>
        <v>0</v>
      </c>
      <c r="CM144" s="39" t="n">
        <f aca="false">IF(CM$4=0,0,IF(COUNTIFS(実績!$W$6:$W$505,CM$3,実績!$AI$6:$AI$505,"&lt;="&amp;$A144,実績!$AJ$6:$AJ$505,"&gt;"&amp;$A144,実績!$AK$6:$AK$505,"○")&gt;0,1,0))</f>
        <v>0</v>
      </c>
      <c r="CN144" s="39" t="n">
        <f aca="false">IF(CN$4=0,0,IF(COUNTIFS(実績!$W$6:$W$505,CN$3,実績!$AI$6:$AI$505,"&lt;="&amp;$A144,実績!$AJ$6:$AJ$505,"&gt;"&amp;$A144,実績!$AK$6:$AK$505,"○")&gt;0,1,0))</f>
        <v>0</v>
      </c>
      <c r="CO144" s="39" t="n">
        <f aca="false">IF(CO$4=0,0,IF(COUNTIFS(実績!$W$6:$W$505,CO$3,実績!$AI$6:$AI$505,"&lt;="&amp;$A144,実績!$AJ$6:$AJ$505,"&gt;"&amp;$A144,実績!$AK$6:$AK$505,"○")&gt;0,1,0))</f>
        <v>0</v>
      </c>
      <c r="CP144" s="39" t="n">
        <f aca="false">IF(CP$4=0,0,IF(COUNTIFS(実績!$W$6:$W$505,CP$3,実績!$AI$6:$AI$505,"&lt;="&amp;$A144,実績!$AJ$6:$AJ$505,"&gt;"&amp;$A144,実績!$AK$6:$AK$505,"○")&gt;0,1,0))</f>
        <v>0</v>
      </c>
      <c r="CQ144" s="39" t="n">
        <f aca="false">IF(CQ$4=0,0,IF(COUNTIFS(実績!$W$6:$W$505,CQ$3,実績!$AI$6:$AI$505,"&lt;="&amp;$A144,実績!$AJ$6:$AJ$505,"&gt;"&amp;$A144,実績!$AK$6:$AK$505,"○")&gt;0,1,0))</f>
        <v>0</v>
      </c>
      <c r="CR144" s="39" t="n">
        <f aca="false">IF(CR$4=0,0,IF(COUNTIFS(実績!$W$6:$W$505,CR$3,実績!$AI$6:$AI$505,"&lt;="&amp;$A144,実績!$AJ$6:$AJ$505,"&gt;"&amp;$A144,実績!$AK$6:$AK$505,"○")&gt;0,1,0))</f>
        <v>0</v>
      </c>
      <c r="CS144" s="39" t="n">
        <f aca="false">IF(CS$4=0,0,IF(COUNTIFS(実績!$W$6:$W$505,CS$3,実績!$AI$6:$AI$505,"&lt;="&amp;$A144,実績!$AJ$6:$AJ$505,"&gt;"&amp;$A144,実績!$AK$6:$AK$505,"○")&gt;0,1,0))</f>
        <v>0</v>
      </c>
      <c r="CT144" s="39" t="n">
        <f aca="false">IF(CT$4=0,0,IF(COUNTIFS(実績!$W$6:$W$505,CT$3,実績!$AI$6:$AI$505,"&lt;="&amp;$A144,実績!$AJ$6:$AJ$505,"&gt;"&amp;$A144,実績!$AK$6:$AK$505,"○")&gt;0,1,0))</f>
        <v>0</v>
      </c>
      <c r="CU144" s="39" t="n">
        <f aca="false">IF(CU$4=0,0,IF(COUNTIFS(実績!$W$6:$W$505,CU$3,実績!$AI$6:$AI$505,"&lt;="&amp;$A144,実績!$AJ$6:$AJ$505,"&gt;"&amp;$A144,実績!$AK$6:$AK$505,"○")&gt;0,1,0))</f>
        <v>0</v>
      </c>
      <c r="CV144" s="39" t="n">
        <f aca="false">IF(CV$4=0,0,IF(COUNTIFS(実績!$W$6:$W$505,CV$3,実績!$AI$6:$AI$505,"&lt;="&amp;$A144,実績!$AJ$6:$AJ$505,"&gt;"&amp;$A144,実績!$AK$6:$AK$505,"○")&gt;0,1,0))</f>
        <v>0</v>
      </c>
      <c r="CW144" s="39" t="n">
        <f aca="false">IF(CW$4=0,0,IF(COUNTIFS(実績!$W$6:$W$505,CW$3,実績!$AI$6:$AI$505,"&lt;="&amp;$A144,実績!$AJ$6:$AJ$505,"&gt;"&amp;$A144,実績!$AK$6:$AK$505,"○")&gt;0,1,0))</f>
        <v>0</v>
      </c>
      <c r="CX144" s="39" t="n">
        <f aca="false">IF(CX$4=0,0,IF(COUNTIFS(実績!$W$6:$W$505,CX$3,実績!$AI$6:$AI$505,"&lt;="&amp;$A144,実績!$AJ$6:$AJ$505,"&gt;"&amp;$A144,実績!$AK$6:$AK$505,"○")&gt;0,1,0))</f>
        <v>0</v>
      </c>
      <c r="CY144" s="39" t="n">
        <f aca="false">IF(CY$4=0,0,IF(COUNTIFS(実績!$W$6:$W$505,CY$3,実績!$AI$6:$AI$505,"&lt;="&amp;$A144,実績!$AJ$6:$AJ$505,"&gt;"&amp;$A144,実績!$AK$6:$AK$505,"○")&gt;0,1,0))</f>
        <v>0</v>
      </c>
      <c r="CZ144" s="39" t="n">
        <f aca="false">IF(CZ$4=0,0,IF(COUNTIFS(実績!$W$6:$W$505,CZ$3,実績!$AI$6:$AI$505,"&lt;="&amp;$A144,実績!$AJ$6:$AJ$505,"&gt;"&amp;$A144,実績!$AK$6:$AK$505,"○")&gt;0,1,0))</f>
        <v>0</v>
      </c>
      <c r="DA144" s="39" t="n">
        <f aca="false">IF(DA$4=0,0,IF(COUNTIFS(実績!$W$6:$W$505,DA$3,実績!$AI$6:$AI$505,"&lt;="&amp;$A144,実績!$AJ$6:$AJ$505,"&gt;"&amp;$A144,実績!$AK$6:$AK$505,"○")&gt;0,1,0))</f>
        <v>0</v>
      </c>
      <c r="DB144" s="39" t="n">
        <f aca="false">IF(DB$4=0,0,IF(COUNTIFS(実績!$W$6:$W$505,DB$3,実績!$AI$6:$AI$505,"&lt;="&amp;$A144,実績!$AJ$6:$AJ$505,"&gt;"&amp;$A144,実績!$AK$6:$AK$505,"○")&gt;0,1,0))</f>
        <v>0</v>
      </c>
      <c r="DC144" s="39" t="n">
        <f aca="false">IF(DC$4=0,0,IF(COUNTIFS(実績!$W$6:$W$505,DC$3,実績!$AI$6:$AI$505,"&lt;="&amp;$A144,実績!$AJ$6:$AJ$505,"&gt;"&amp;$A144,実績!$AK$6:$AK$505,"○")&gt;0,1,0))</f>
        <v>0</v>
      </c>
      <c r="DD144" s="39" t="n">
        <f aca="false">IF(DD$4=0,0,IF(COUNTIFS(実績!$W$6:$W$505,DD$3,実績!$AI$6:$AI$505,"&lt;="&amp;$A144,実績!$AJ$6:$AJ$505,"&gt;"&amp;$A144,実績!$AK$6:$AK$505,"○")&gt;0,1,0))</f>
        <v>0</v>
      </c>
      <c r="DE144" s="39" t="n">
        <f aca="false">IF(DE$4=0,0,IF(COUNTIFS(実績!$W$6:$W$505,DE$3,実績!$AI$6:$AI$505,"&lt;="&amp;$A144,実績!$AJ$6:$AJ$505,"&gt;"&amp;$A144,実績!$AK$6:$AK$505,"○")&gt;0,1,0))</f>
        <v>0</v>
      </c>
      <c r="DF144" s="39" t="n">
        <f aca="false">IF(DF$4=0,0,IF(COUNTIFS(実績!$W$6:$W$505,DF$3,実績!$AI$6:$AI$505,"&lt;="&amp;$A144,実績!$AJ$6:$AJ$505,"&gt;"&amp;$A144,実績!$AK$6:$AK$505,"○")&gt;0,1,0))</f>
        <v>0</v>
      </c>
      <c r="DG144" s="39" t="n">
        <f aca="false">IF(DG$4=0,0,IF(COUNTIFS(実績!$W$6:$W$505,DG$3,実績!$AI$6:$AI$505,"&lt;="&amp;$A144,実績!$AJ$6:$AJ$505,"&gt;"&amp;$A144,実績!$AK$6:$AK$505,"○")&gt;0,1,0))</f>
        <v>0</v>
      </c>
      <c r="DH144" s="39" t="n">
        <f aca="false">IF(DH$4=0,0,IF(COUNTIFS(実績!$W$6:$W$505,DH$3,実績!$AI$6:$AI$505,"&lt;="&amp;$A144,実績!$AJ$6:$AJ$505,"&gt;"&amp;$A144,実績!$AK$6:$AK$505,"○")&gt;0,1,0))</f>
        <v>0</v>
      </c>
      <c r="DI144" s="39" t="n">
        <f aca="false">IF(DI$4=0,0,IF(COUNTIFS(実績!$W$6:$W$505,DI$3,実績!$AI$6:$AI$505,"&lt;="&amp;$A144,実績!$AJ$6:$AJ$505,"&gt;"&amp;$A144,実績!$AK$6:$AK$505,"○")&gt;0,1,0))</f>
        <v>0</v>
      </c>
      <c r="DJ144" s="39" t="n">
        <f aca="false">IF(DJ$4=0,0,IF(COUNTIFS(実績!$W$6:$W$505,DJ$3,実績!$AI$6:$AI$505,"&lt;="&amp;$A144,実績!$AJ$6:$AJ$505,"&gt;"&amp;$A144,実績!$AK$6:$AK$505,"○")&gt;0,1,0))</f>
        <v>0</v>
      </c>
      <c r="DK144" s="39" t="n">
        <f aca="false">IF(DK$4=0,0,IF(COUNTIFS(実績!$W$6:$W$505,DK$3,実績!$AI$6:$AI$505,"&lt;="&amp;$A144,実績!$AJ$6:$AJ$505,"&gt;"&amp;$A144,実績!$AK$6:$AK$505,"○")&gt;0,1,0))</f>
        <v>0</v>
      </c>
      <c r="DL144" s="39" t="n">
        <f aca="false">IF(DL$4=0,0,IF(COUNTIFS(実績!$W$6:$W$505,DL$3,実績!$AI$6:$AI$505,"&lt;="&amp;$A144,実績!$AJ$6:$AJ$505,"&gt;"&amp;$A144,実績!$AK$6:$AK$505,"○")&gt;0,1,0))</f>
        <v>0</v>
      </c>
      <c r="DM144" s="39" t="n">
        <f aca="false">IF(DM$4=0,0,IF(COUNTIFS(実績!$W$6:$W$505,DM$3,実績!$AI$6:$AI$505,"&lt;="&amp;$A144,実績!$AJ$6:$AJ$505,"&gt;"&amp;$A144,実績!$AK$6:$AK$505,"○")&gt;0,1,0))</f>
        <v>0</v>
      </c>
      <c r="DN144" s="39" t="n">
        <f aca="false">IF(DN$4=0,0,IF(COUNTIFS(実績!$W$6:$W$505,DN$3,実績!$AI$6:$AI$505,"&lt;="&amp;$A144,実績!$AJ$6:$AJ$505,"&gt;"&amp;$A144,実績!$AK$6:$AK$505,"○")&gt;0,1,0))</f>
        <v>0</v>
      </c>
      <c r="DO144" s="39" t="n">
        <f aca="false">IF(DO$4=0,0,IF(COUNTIFS(実績!$W$6:$W$505,DO$3,実績!$AI$6:$AI$505,"&lt;="&amp;$A144,実績!$AJ$6:$AJ$505,"&gt;"&amp;$A144,実績!$AK$6:$AK$505,"○")&gt;0,1,0))</f>
        <v>0</v>
      </c>
      <c r="DP144" s="39" t="n">
        <f aca="false">IF(DP$4=0,0,IF(COUNTIFS(実績!$W$6:$W$505,DP$3,実績!$AI$6:$AI$505,"&lt;="&amp;$A144,実績!$AJ$6:$AJ$505,"&gt;"&amp;$A144,実績!$AK$6:$AK$505,"○")&gt;0,1,0))</f>
        <v>0</v>
      </c>
      <c r="DQ144" s="39" t="n">
        <f aca="false">IF(DQ$4=0,0,IF(COUNTIFS(実績!$W$6:$W$505,DQ$3,実績!$AI$6:$AI$505,"&lt;="&amp;$A144,実績!$AJ$6:$AJ$505,"&gt;"&amp;$A144,実績!$AK$6:$AK$505,"○")&gt;0,1,0))</f>
        <v>0</v>
      </c>
      <c r="DR144" s="39" t="n">
        <f aca="false">IF(DR$4=0,0,IF(COUNTIFS(実績!$W$6:$W$505,DR$3,実績!$AI$6:$AI$505,"&lt;="&amp;$A144,実績!$AJ$6:$AJ$505,"&gt;"&amp;$A144,実績!$AK$6:$AK$505,"○")&gt;0,1,0))</f>
        <v>0</v>
      </c>
      <c r="DS144" s="39" t="n">
        <f aca="false">SUM(C144:DR144)</f>
        <v>0</v>
      </c>
      <c r="DT144" s="39" t="n">
        <f aca="false">SUMPRODUCT((実績!$C$6:$C$505="○")*ISNUMBER(実績!$AM$6:$AM$505)*(実績!$AM$6:$AM$505&lt;=$A144)*(実績!$AN$6:$AN$505&gt;$A144))</f>
        <v>0</v>
      </c>
      <c r="DU144" s="39" t="n">
        <f aca="false">SUMIF($C$2:$DR$2,"製鉄曳船",C144:DR144)</f>
        <v>0</v>
      </c>
      <c r="DV144" s="39" t="n">
        <f aca="false">SUMIF($C$2:$DR$2,"西日本海運",C144:DR144)</f>
        <v>0</v>
      </c>
    </row>
    <row r="145" customFormat="false" ht="15" hidden="false" customHeight="false" outlineLevel="0" collapsed="false">
      <c r="A145" s="0" t="n">
        <v>695</v>
      </c>
      <c r="B145" s="38" t="n">
        <f aca="false">A145/1440</f>
        <v>0.482638888888889</v>
      </c>
      <c r="C145" s="39" t="n">
        <f aca="false">IF(C$4=0,0,IF(COUNTIFS(実績!$W$6:$W$505,C$3,実績!$AI$6:$AI$505,"&lt;="&amp;$A145,実績!$AJ$6:$AJ$505,"&gt;"&amp;$A145,実績!$AK$6:$AK$505,"○")&gt;0,1,0))</f>
        <v>0</v>
      </c>
      <c r="D145" s="39" t="n">
        <f aca="false">IF(D$4=0,0,IF(COUNTIFS(実績!$W$6:$W$505,D$3,実績!$AI$6:$AI$505,"&lt;="&amp;$A145,実績!$AJ$6:$AJ$505,"&gt;"&amp;$A145,実績!$AK$6:$AK$505,"○")&gt;0,1,0))</f>
        <v>0</v>
      </c>
      <c r="E145" s="39" t="n">
        <f aca="false">IF(E$4=0,0,IF(COUNTIFS(実績!$W$6:$W$505,E$3,実績!$AI$6:$AI$505,"&lt;="&amp;$A145,実績!$AJ$6:$AJ$505,"&gt;"&amp;$A145,実績!$AK$6:$AK$505,"○")&gt;0,1,0))</f>
        <v>0</v>
      </c>
      <c r="F145" s="39" t="n">
        <f aca="false">IF(F$4=0,0,IF(COUNTIFS(実績!$W$6:$W$505,F$3,実績!$AI$6:$AI$505,"&lt;="&amp;$A145,実績!$AJ$6:$AJ$505,"&gt;"&amp;$A145,実績!$AK$6:$AK$505,"○")&gt;0,1,0))</f>
        <v>0</v>
      </c>
      <c r="G145" s="39" t="n">
        <f aca="false">IF(G$4=0,0,IF(COUNTIFS(実績!$W$6:$W$505,G$3,実績!$AI$6:$AI$505,"&lt;="&amp;$A145,実績!$AJ$6:$AJ$505,"&gt;"&amp;$A145,実績!$AK$6:$AK$505,"○")&gt;0,1,0))</f>
        <v>0</v>
      </c>
      <c r="H145" s="39" t="n">
        <f aca="false">IF(H$4=0,0,IF(COUNTIFS(実績!$W$6:$W$505,H$3,実績!$AI$6:$AI$505,"&lt;="&amp;$A145,実績!$AJ$6:$AJ$505,"&gt;"&amp;$A145,実績!$AK$6:$AK$505,"○")&gt;0,1,0))</f>
        <v>0</v>
      </c>
      <c r="I145" s="39" t="n">
        <f aca="false">IF(I$4=0,0,IF(COUNTIFS(実績!$W$6:$W$505,I$3,実績!$AI$6:$AI$505,"&lt;="&amp;$A145,実績!$AJ$6:$AJ$505,"&gt;"&amp;$A145,実績!$AK$6:$AK$505,"○")&gt;0,1,0))</f>
        <v>0</v>
      </c>
      <c r="J145" s="39" t="n">
        <f aca="false">IF(J$4=0,0,IF(COUNTIFS(実績!$W$6:$W$505,J$3,実績!$AI$6:$AI$505,"&lt;="&amp;$A145,実績!$AJ$6:$AJ$505,"&gt;"&amp;$A145,実績!$AK$6:$AK$505,"○")&gt;0,1,0))</f>
        <v>0</v>
      </c>
      <c r="K145" s="39" t="n">
        <f aca="false">IF(K$4=0,0,IF(COUNTIFS(実績!$W$6:$W$505,K$3,実績!$AI$6:$AI$505,"&lt;="&amp;$A145,実績!$AJ$6:$AJ$505,"&gt;"&amp;$A145,実績!$AK$6:$AK$505,"○")&gt;0,1,0))</f>
        <v>0</v>
      </c>
      <c r="L145" s="39" t="n">
        <f aca="false">IF(L$4=0,0,IF(COUNTIFS(実績!$W$6:$W$505,L$3,実績!$AI$6:$AI$505,"&lt;="&amp;$A145,実績!$AJ$6:$AJ$505,"&gt;"&amp;$A145,実績!$AK$6:$AK$505,"○")&gt;0,1,0))</f>
        <v>0</v>
      </c>
      <c r="M145" s="39" t="n">
        <f aca="false">IF(M$4=0,0,IF(COUNTIFS(実績!$W$6:$W$505,M$3,実績!$AI$6:$AI$505,"&lt;="&amp;$A145,実績!$AJ$6:$AJ$505,"&gt;"&amp;$A145,実績!$AK$6:$AK$505,"○")&gt;0,1,0))</f>
        <v>0</v>
      </c>
      <c r="N145" s="39" t="n">
        <f aca="false">IF(N$4=0,0,IF(COUNTIFS(実績!$W$6:$W$505,N$3,実績!$AI$6:$AI$505,"&lt;="&amp;$A145,実績!$AJ$6:$AJ$505,"&gt;"&amp;$A145,実績!$AK$6:$AK$505,"○")&gt;0,1,0))</f>
        <v>0</v>
      </c>
      <c r="O145" s="39" t="n">
        <f aca="false">IF(O$4=0,0,IF(COUNTIFS(実績!$W$6:$W$505,O$3,実績!$AI$6:$AI$505,"&lt;="&amp;$A145,実績!$AJ$6:$AJ$505,"&gt;"&amp;$A145,実績!$AK$6:$AK$505,"○")&gt;0,1,0))</f>
        <v>0</v>
      </c>
      <c r="P145" s="39" t="n">
        <f aca="false">IF(P$4=0,0,IF(COUNTIFS(実績!$W$6:$W$505,P$3,実績!$AI$6:$AI$505,"&lt;="&amp;$A145,実績!$AJ$6:$AJ$505,"&gt;"&amp;$A145,実績!$AK$6:$AK$505,"○")&gt;0,1,0))</f>
        <v>0</v>
      </c>
      <c r="Q145" s="39" t="n">
        <f aca="false">IF(Q$4=0,0,IF(COUNTIFS(実績!$W$6:$W$505,Q$3,実績!$AI$6:$AI$505,"&lt;="&amp;$A145,実績!$AJ$6:$AJ$505,"&gt;"&amp;$A145,実績!$AK$6:$AK$505,"○")&gt;0,1,0))</f>
        <v>0</v>
      </c>
      <c r="R145" s="39" t="n">
        <f aca="false">IF(R$4=0,0,IF(COUNTIFS(実績!$W$6:$W$505,R$3,実績!$AI$6:$AI$505,"&lt;="&amp;$A145,実績!$AJ$6:$AJ$505,"&gt;"&amp;$A145,実績!$AK$6:$AK$505,"○")&gt;0,1,0))</f>
        <v>0</v>
      </c>
      <c r="S145" s="39" t="n">
        <f aca="false">IF(S$4=0,0,IF(COUNTIFS(実績!$W$6:$W$505,S$3,実績!$AI$6:$AI$505,"&lt;="&amp;$A145,実績!$AJ$6:$AJ$505,"&gt;"&amp;$A145,実績!$AK$6:$AK$505,"○")&gt;0,1,0))</f>
        <v>0</v>
      </c>
      <c r="T145" s="39" t="n">
        <f aca="false">IF(T$4=0,0,IF(COUNTIFS(実績!$W$6:$W$505,T$3,実績!$AI$6:$AI$505,"&lt;="&amp;$A145,実績!$AJ$6:$AJ$505,"&gt;"&amp;$A145,実績!$AK$6:$AK$505,"○")&gt;0,1,0))</f>
        <v>0</v>
      </c>
      <c r="U145" s="39" t="n">
        <f aca="false">IF(U$4=0,0,IF(COUNTIFS(実績!$W$6:$W$505,U$3,実績!$AI$6:$AI$505,"&lt;="&amp;$A145,実績!$AJ$6:$AJ$505,"&gt;"&amp;$A145,実績!$AK$6:$AK$505,"○")&gt;0,1,0))</f>
        <v>0</v>
      </c>
      <c r="V145" s="39" t="n">
        <f aca="false">IF(V$4=0,0,IF(COUNTIFS(実績!$W$6:$W$505,V$3,実績!$AI$6:$AI$505,"&lt;="&amp;$A145,実績!$AJ$6:$AJ$505,"&gt;"&amp;$A145,実績!$AK$6:$AK$505,"○")&gt;0,1,0))</f>
        <v>0</v>
      </c>
      <c r="W145" s="39" t="n">
        <f aca="false">IF(W$4=0,0,IF(COUNTIFS(実績!$W$6:$W$505,W$3,実績!$AI$6:$AI$505,"&lt;="&amp;$A145,実績!$AJ$6:$AJ$505,"&gt;"&amp;$A145,実績!$AK$6:$AK$505,"○")&gt;0,1,0))</f>
        <v>0</v>
      </c>
      <c r="X145" s="39" t="n">
        <f aca="false">IF(X$4=0,0,IF(COUNTIFS(実績!$W$6:$W$505,X$3,実績!$AI$6:$AI$505,"&lt;="&amp;$A145,実績!$AJ$6:$AJ$505,"&gt;"&amp;$A145,実績!$AK$6:$AK$505,"○")&gt;0,1,0))</f>
        <v>0</v>
      </c>
      <c r="Y145" s="39" t="n">
        <f aca="false">IF(Y$4=0,0,IF(COUNTIFS(実績!$W$6:$W$505,Y$3,実績!$AI$6:$AI$505,"&lt;="&amp;$A145,実績!$AJ$6:$AJ$505,"&gt;"&amp;$A145,実績!$AK$6:$AK$505,"○")&gt;0,1,0))</f>
        <v>0</v>
      </c>
      <c r="Z145" s="39" t="n">
        <f aca="false">IF(Z$4=0,0,IF(COUNTIFS(実績!$W$6:$W$505,Z$3,実績!$AI$6:$AI$505,"&lt;="&amp;$A145,実績!$AJ$6:$AJ$505,"&gt;"&amp;$A145,実績!$AK$6:$AK$505,"○")&gt;0,1,0))</f>
        <v>0</v>
      </c>
      <c r="AA145" s="39" t="n">
        <f aca="false">IF(AA$4=0,0,IF(COUNTIFS(実績!$W$6:$W$505,AA$3,実績!$AI$6:$AI$505,"&lt;="&amp;$A145,実績!$AJ$6:$AJ$505,"&gt;"&amp;$A145,実績!$AK$6:$AK$505,"○")&gt;0,1,0))</f>
        <v>0</v>
      </c>
      <c r="AB145" s="39" t="n">
        <f aca="false">IF(AB$4=0,0,IF(COUNTIFS(実績!$W$6:$W$505,AB$3,実績!$AI$6:$AI$505,"&lt;="&amp;$A145,実績!$AJ$6:$AJ$505,"&gt;"&amp;$A145,実績!$AK$6:$AK$505,"○")&gt;0,1,0))</f>
        <v>0</v>
      </c>
      <c r="AC145" s="39" t="n">
        <f aca="false">IF(AC$4=0,0,IF(COUNTIFS(実績!$W$6:$W$505,AC$3,実績!$AI$6:$AI$505,"&lt;="&amp;$A145,実績!$AJ$6:$AJ$505,"&gt;"&amp;$A145,実績!$AK$6:$AK$505,"○")&gt;0,1,0))</f>
        <v>0</v>
      </c>
      <c r="AD145" s="39" t="n">
        <f aca="false">IF(AD$4=0,0,IF(COUNTIFS(実績!$W$6:$W$505,AD$3,実績!$AI$6:$AI$505,"&lt;="&amp;$A145,実績!$AJ$6:$AJ$505,"&gt;"&amp;$A145,実績!$AK$6:$AK$505,"○")&gt;0,1,0))</f>
        <v>0</v>
      </c>
      <c r="AE145" s="39" t="n">
        <f aca="false">IF(AE$4=0,0,IF(COUNTIFS(実績!$W$6:$W$505,AE$3,実績!$AI$6:$AI$505,"&lt;="&amp;$A145,実績!$AJ$6:$AJ$505,"&gt;"&amp;$A145,実績!$AK$6:$AK$505,"○")&gt;0,1,0))</f>
        <v>0</v>
      </c>
      <c r="AF145" s="39" t="n">
        <f aca="false">IF(AF$4=0,0,IF(COUNTIFS(実績!$W$6:$W$505,AF$3,実績!$AI$6:$AI$505,"&lt;="&amp;$A145,実績!$AJ$6:$AJ$505,"&gt;"&amp;$A145,実績!$AK$6:$AK$505,"○")&gt;0,1,0))</f>
        <v>0</v>
      </c>
      <c r="AG145" s="39" t="n">
        <f aca="false">IF(AG$4=0,0,IF(COUNTIFS(実績!$W$6:$W$505,AG$3,実績!$AI$6:$AI$505,"&lt;="&amp;$A145,実績!$AJ$6:$AJ$505,"&gt;"&amp;$A145,実績!$AK$6:$AK$505,"○")&gt;0,1,0))</f>
        <v>0</v>
      </c>
      <c r="AH145" s="39" t="n">
        <f aca="false">IF(AH$4=0,0,IF(COUNTIFS(実績!$W$6:$W$505,AH$3,実績!$AI$6:$AI$505,"&lt;="&amp;$A145,実績!$AJ$6:$AJ$505,"&gt;"&amp;$A145,実績!$AK$6:$AK$505,"○")&gt;0,1,0))</f>
        <v>0</v>
      </c>
      <c r="AI145" s="39" t="n">
        <f aca="false">IF(AI$4=0,0,IF(COUNTIFS(実績!$W$6:$W$505,AI$3,実績!$AI$6:$AI$505,"&lt;="&amp;$A145,実績!$AJ$6:$AJ$505,"&gt;"&amp;$A145,実績!$AK$6:$AK$505,"○")&gt;0,1,0))</f>
        <v>0</v>
      </c>
      <c r="AJ145" s="39" t="n">
        <f aca="false">IF(AJ$4=0,0,IF(COUNTIFS(実績!$W$6:$W$505,AJ$3,実績!$AI$6:$AI$505,"&lt;="&amp;$A145,実績!$AJ$6:$AJ$505,"&gt;"&amp;$A145,実績!$AK$6:$AK$505,"○")&gt;0,1,0))</f>
        <v>0</v>
      </c>
      <c r="AK145" s="39" t="n">
        <f aca="false">IF(AK$4=0,0,IF(COUNTIFS(実績!$W$6:$W$505,AK$3,実績!$AI$6:$AI$505,"&lt;="&amp;$A145,実績!$AJ$6:$AJ$505,"&gt;"&amp;$A145,実績!$AK$6:$AK$505,"○")&gt;0,1,0))</f>
        <v>0</v>
      </c>
      <c r="AL145" s="39" t="n">
        <f aca="false">IF(AL$4=0,0,IF(COUNTIFS(実績!$W$6:$W$505,AL$3,実績!$AI$6:$AI$505,"&lt;="&amp;$A145,実績!$AJ$6:$AJ$505,"&gt;"&amp;$A145,実績!$AK$6:$AK$505,"○")&gt;0,1,0))</f>
        <v>0</v>
      </c>
      <c r="AM145" s="39" t="n">
        <f aca="false">IF(AM$4=0,0,IF(COUNTIFS(実績!$W$6:$W$505,AM$3,実績!$AI$6:$AI$505,"&lt;="&amp;$A145,実績!$AJ$6:$AJ$505,"&gt;"&amp;$A145,実績!$AK$6:$AK$505,"○")&gt;0,1,0))</f>
        <v>0</v>
      </c>
      <c r="AN145" s="39" t="n">
        <f aca="false">IF(AN$4=0,0,IF(COUNTIFS(実績!$W$6:$W$505,AN$3,実績!$AI$6:$AI$505,"&lt;="&amp;$A145,実績!$AJ$6:$AJ$505,"&gt;"&amp;$A145,実績!$AK$6:$AK$505,"○")&gt;0,1,0))</f>
        <v>0</v>
      </c>
      <c r="AO145" s="39" t="n">
        <f aca="false">IF(AO$4=0,0,IF(COUNTIFS(実績!$W$6:$W$505,AO$3,実績!$AI$6:$AI$505,"&lt;="&amp;$A145,実績!$AJ$6:$AJ$505,"&gt;"&amp;$A145,実績!$AK$6:$AK$505,"○")&gt;0,1,0))</f>
        <v>0</v>
      </c>
      <c r="AP145" s="39" t="n">
        <f aca="false">IF(AP$4=0,0,IF(COUNTIFS(実績!$W$6:$W$505,AP$3,実績!$AI$6:$AI$505,"&lt;="&amp;$A145,実績!$AJ$6:$AJ$505,"&gt;"&amp;$A145,実績!$AK$6:$AK$505,"○")&gt;0,1,0))</f>
        <v>0</v>
      </c>
      <c r="AQ145" s="39" t="n">
        <f aca="false">IF(AQ$4=0,0,IF(COUNTIFS(実績!$W$6:$W$505,AQ$3,実績!$AI$6:$AI$505,"&lt;="&amp;$A145,実績!$AJ$6:$AJ$505,"&gt;"&amp;$A145,実績!$AK$6:$AK$505,"○")&gt;0,1,0))</f>
        <v>0</v>
      </c>
      <c r="AR145" s="39" t="n">
        <f aca="false">IF(AR$4=0,0,IF(COUNTIFS(実績!$W$6:$W$505,AR$3,実績!$AI$6:$AI$505,"&lt;="&amp;$A145,実績!$AJ$6:$AJ$505,"&gt;"&amp;$A145,実績!$AK$6:$AK$505,"○")&gt;0,1,0))</f>
        <v>0</v>
      </c>
      <c r="AS145" s="39" t="n">
        <f aca="false">IF(AS$4=0,0,IF(COUNTIFS(実績!$W$6:$W$505,AS$3,実績!$AI$6:$AI$505,"&lt;="&amp;$A145,実績!$AJ$6:$AJ$505,"&gt;"&amp;$A145,実績!$AK$6:$AK$505,"○")&gt;0,1,0))</f>
        <v>0</v>
      </c>
      <c r="AT145" s="39" t="n">
        <f aca="false">IF(AT$4=0,0,IF(COUNTIFS(実績!$W$6:$W$505,AT$3,実績!$AI$6:$AI$505,"&lt;="&amp;$A145,実績!$AJ$6:$AJ$505,"&gt;"&amp;$A145,実績!$AK$6:$AK$505,"○")&gt;0,1,0))</f>
        <v>0</v>
      </c>
      <c r="AU145" s="39" t="n">
        <f aca="false">IF(AU$4=0,0,IF(COUNTIFS(実績!$W$6:$W$505,AU$3,実績!$AI$6:$AI$505,"&lt;="&amp;$A145,実績!$AJ$6:$AJ$505,"&gt;"&amp;$A145,実績!$AK$6:$AK$505,"○")&gt;0,1,0))</f>
        <v>0</v>
      </c>
      <c r="AV145" s="39" t="n">
        <f aca="false">IF(AV$4=0,0,IF(COUNTIFS(実績!$W$6:$W$505,AV$3,実績!$AI$6:$AI$505,"&lt;="&amp;$A145,実績!$AJ$6:$AJ$505,"&gt;"&amp;$A145,実績!$AK$6:$AK$505,"○")&gt;0,1,0))</f>
        <v>0</v>
      </c>
      <c r="AW145" s="39" t="n">
        <f aca="false">IF(AW$4=0,0,IF(COUNTIFS(実績!$W$6:$W$505,AW$3,実績!$AI$6:$AI$505,"&lt;="&amp;$A145,実績!$AJ$6:$AJ$505,"&gt;"&amp;$A145,実績!$AK$6:$AK$505,"○")&gt;0,1,0))</f>
        <v>0</v>
      </c>
      <c r="AX145" s="39" t="n">
        <f aca="false">IF(AX$4=0,0,IF(COUNTIFS(実績!$W$6:$W$505,AX$3,実績!$AI$6:$AI$505,"&lt;="&amp;$A145,実績!$AJ$6:$AJ$505,"&gt;"&amp;$A145,実績!$AK$6:$AK$505,"○")&gt;0,1,0))</f>
        <v>0</v>
      </c>
      <c r="AY145" s="39" t="n">
        <f aca="false">IF(AY$4=0,0,IF(COUNTIFS(実績!$W$6:$W$505,AY$3,実績!$AI$6:$AI$505,"&lt;="&amp;$A145,実績!$AJ$6:$AJ$505,"&gt;"&amp;$A145,実績!$AK$6:$AK$505,"○")&gt;0,1,0))</f>
        <v>0</v>
      </c>
      <c r="AZ145" s="39" t="n">
        <f aca="false">IF(AZ$4=0,0,IF(COUNTIFS(実績!$W$6:$W$505,AZ$3,実績!$AI$6:$AI$505,"&lt;="&amp;$A145,実績!$AJ$6:$AJ$505,"&gt;"&amp;$A145,実績!$AK$6:$AK$505,"○")&gt;0,1,0))</f>
        <v>0</v>
      </c>
      <c r="BA145" s="39" t="n">
        <f aca="false">IF(BA$4=0,0,IF(COUNTIFS(実績!$W$6:$W$505,BA$3,実績!$AI$6:$AI$505,"&lt;="&amp;$A145,実績!$AJ$6:$AJ$505,"&gt;"&amp;$A145,実績!$AK$6:$AK$505,"○")&gt;0,1,0))</f>
        <v>0</v>
      </c>
      <c r="BB145" s="39" t="n">
        <f aca="false">IF(BB$4=0,0,IF(COUNTIFS(実績!$W$6:$W$505,BB$3,実績!$AI$6:$AI$505,"&lt;="&amp;$A145,実績!$AJ$6:$AJ$505,"&gt;"&amp;$A145,実績!$AK$6:$AK$505,"○")&gt;0,1,0))</f>
        <v>0</v>
      </c>
      <c r="BC145" s="39" t="n">
        <f aca="false">IF(BC$4=0,0,IF(COUNTIFS(実績!$W$6:$W$505,BC$3,実績!$AI$6:$AI$505,"&lt;="&amp;$A145,実績!$AJ$6:$AJ$505,"&gt;"&amp;$A145,実績!$AK$6:$AK$505,"○")&gt;0,1,0))</f>
        <v>0</v>
      </c>
      <c r="BD145" s="39" t="n">
        <f aca="false">IF(BD$4=0,0,IF(COUNTIFS(実績!$W$6:$W$505,BD$3,実績!$AI$6:$AI$505,"&lt;="&amp;$A145,実績!$AJ$6:$AJ$505,"&gt;"&amp;$A145,実績!$AK$6:$AK$505,"○")&gt;0,1,0))</f>
        <v>0</v>
      </c>
      <c r="BE145" s="39" t="n">
        <f aca="false">IF(BE$4=0,0,IF(COUNTIFS(実績!$W$6:$W$505,BE$3,実績!$AI$6:$AI$505,"&lt;="&amp;$A145,実績!$AJ$6:$AJ$505,"&gt;"&amp;$A145,実績!$AK$6:$AK$505,"○")&gt;0,1,0))</f>
        <v>0</v>
      </c>
      <c r="BF145" s="39" t="n">
        <f aca="false">IF(BF$4=0,0,IF(COUNTIFS(実績!$W$6:$W$505,BF$3,実績!$AI$6:$AI$505,"&lt;="&amp;$A145,実績!$AJ$6:$AJ$505,"&gt;"&amp;$A145,実績!$AK$6:$AK$505,"○")&gt;0,1,0))</f>
        <v>0</v>
      </c>
      <c r="BG145" s="39" t="n">
        <f aca="false">IF(BG$4=0,0,IF(COUNTIFS(実績!$W$6:$W$505,BG$3,実績!$AI$6:$AI$505,"&lt;="&amp;$A145,実績!$AJ$6:$AJ$505,"&gt;"&amp;$A145,実績!$AK$6:$AK$505,"○")&gt;0,1,0))</f>
        <v>0</v>
      </c>
      <c r="BH145" s="39" t="n">
        <f aca="false">IF(BH$4=0,0,IF(COUNTIFS(実績!$W$6:$W$505,BH$3,実績!$AI$6:$AI$505,"&lt;="&amp;$A145,実績!$AJ$6:$AJ$505,"&gt;"&amp;$A145,実績!$AK$6:$AK$505,"○")&gt;0,1,0))</f>
        <v>0</v>
      </c>
      <c r="BI145" s="39" t="n">
        <f aca="false">IF(BI$4=0,0,IF(COUNTIFS(実績!$W$6:$W$505,BI$3,実績!$AI$6:$AI$505,"&lt;="&amp;$A145,実績!$AJ$6:$AJ$505,"&gt;"&amp;$A145,実績!$AK$6:$AK$505,"○")&gt;0,1,0))</f>
        <v>0</v>
      </c>
      <c r="BJ145" s="39" t="n">
        <f aca="false">IF(BJ$4=0,0,IF(COUNTIFS(実績!$W$6:$W$505,BJ$3,実績!$AI$6:$AI$505,"&lt;="&amp;$A145,実績!$AJ$6:$AJ$505,"&gt;"&amp;$A145,実績!$AK$6:$AK$505,"○")&gt;0,1,0))</f>
        <v>0</v>
      </c>
      <c r="BK145" s="39" t="n">
        <f aca="false">IF(BK$4=0,0,IF(COUNTIFS(実績!$W$6:$W$505,BK$3,実績!$AI$6:$AI$505,"&lt;="&amp;$A145,実績!$AJ$6:$AJ$505,"&gt;"&amp;$A145,実績!$AK$6:$AK$505,"○")&gt;0,1,0))</f>
        <v>0</v>
      </c>
      <c r="BL145" s="39" t="n">
        <f aca="false">IF(BL$4=0,0,IF(COUNTIFS(実績!$W$6:$W$505,BL$3,実績!$AI$6:$AI$505,"&lt;="&amp;$A145,実績!$AJ$6:$AJ$505,"&gt;"&amp;$A145,実績!$AK$6:$AK$505,"○")&gt;0,1,0))</f>
        <v>0</v>
      </c>
      <c r="BM145" s="39" t="n">
        <f aca="false">IF(BM$4=0,0,IF(COUNTIFS(実績!$W$6:$W$505,BM$3,実績!$AI$6:$AI$505,"&lt;="&amp;$A145,実績!$AJ$6:$AJ$505,"&gt;"&amp;$A145,実績!$AK$6:$AK$505,"○")&gt;0,1,0))</f>
        <v>0</v>
      </c>
      <c r="BN145" s="39" t="n">
        <f aca="false">IF(BN$4=0,0,IF(COUNTIFS(実績!$W$6:$W$505,BN$3,実績!$AI$6:$AI$505,"&lt;="&amp;$A145,実績!$AJ$6:$AJ$505,"&gt;"&amp;$A145,実績!$AK$6:$AK$505,"○")&gt;0,1,0))</f>
        <v>0</v>
      </c>
      <c r="BO145" s="39" t="n">
        <f aca="false">IF(BO$4=0,0,IF(COUNTIFS(実績!$W$6:$W$505,BO$3,実績!$AI$6:$AI$505,"&lt;="&amp;$A145,実績!$AJ$6:$AJ$505,"&gt;"&amp;$A145,実績!$AK$6:$AK$505,"○")&gt;0,1,0))</f>
        <v>0</v>
      </c>
      <c r="BP145" s="39" t="n">
        <f aca="false">IF(BP$4=0,0,IF(COUNTIFS(実績!$W$6:$W$505,BP$3,実績!$AI$6:$AI$505,"&lt;="&amp;$A145,実績!$AJ$6:$AJ$505,"&gt;"&amp;$A145,実績!$AK$6:$AK$505,"○")&gt;0,1,0))</f>
        <v>0</v>
      </c>
      <c r="BQ145" s="39" t="n">
        <f aca="false">IF(BQ$4=0,0,IF(COUNTIFS(実績!$W$6:$W$505,BQ$3,実績!$AI$6:$AI$505,"&lt;="&amp;$A145,実績!$AJ$6:$AJ$505,"&gt;"&amp;$A145,実績!$AK$6:$AK$505,"○")&gt;0,1,0))</f>
        <v>0</v>
      </c>
      <c r="BR145" s="39" t="n">
        <f aca="false">IF(BR$4=0,0,IF(COUNTIFS(実績!$W$6:$W$505,BR$3,実績!$AI$6:$AI$505,"&lt;="&amp;$A145,実績!$AJ$6:$AJ$505,"&gt;"&amp;$A145,実績!$AK$6:$AK$505,"○")&gt;0,1,0))</f>
        <v>0</v>
      </c>
      <c r="BS145" s="39" t="n">
        <f aca="false">IF(BS$4=0,0,IF(COUNTIFS(実績!$W$6:$W$505,BS$3,実績!$AI$6:$AI$505,"&lt;="&amp;$A145,実績!$AJ$6:$AJ$505,"&gt;"&amp;$A145,実績!$AK$6:$AK$505,"○")&gt;0,1,0))</f>
        <v>0</v>
      </c>
      <c r="BT145" s="39" t="n">
        <f aca="false">IF(BT$4=0,0,IF(COUNTIFS(実績!$W$6:$W$505,BT$3,実績!$AI$6:$AI$505,"&lt;="&amp;$A145,実績!$AJ$6:$AJ$505,"&gt;"&amp;$A145,実績!$AK$6:$AK$505,"○")&gt;0,1,0))</f>
        <v>0</v>
      </c>
      <c r="BU145" s="39" t="n">
        <f aca="false">IF(BU$4=0,0,IF(COUNTIFS(実績!$W$6:$W$505,BU$3,実績!$AI$6:$AI$505,"&lt;="&amp;$A145,実績!$AJ$6:$AJ$505,"&gt;"&amp;$A145,実績!$AK$6:$AK$505,"○")&gt;0,1,0))</f>
        <v>0</v>
      </c>
      <c r="BV145" s="39" t="n">
        <f aca="false">IF(BV$4=0,0,IF(COUNTIFS(実績!$W$6:$W$505,BV$3,実績!$AI$6:$AI$505,"&lt;="&amp;$A145,実績!$AJ$6:$AJ$505,"&gt;"&amp;$A145,実績!$AK$6:$AK$505,"○")&gt;0,1,0))</f>
        <v>0</v>
      </c>
      <c r="BW145" s="39" t="n">
        <f aca="false">IF(BW$4=0,0,IF(COUNTIFS(実績!$W$6:$W$505,BW$3,実績!$AI$6:$AI$505,"&lt;="&amp;$A145,実績!$AJ$6:$AJ$505,"&gt;"&amp;$A145,実績!$AK$6:$AK$505,"○")&gt;0,1,0))</f>
        <v>0</v>
      </c>
      <c r="BX145" s="39" t="n">
        <f aca="false">IF(BX$4=0,0,IF(COUNTIFS(実績!$W$6:$W$505,BX$3,実績!$AI$6:$AI$505,"&lt;="&amp;$A145,実績!$AJ$6:$AJ$505,"&gt;"&amp;$A145,実績!$AK$6:$AK$505,"○")&gt;0,1,0))</f>
        <v>0</v>
      </c>
      <c r="BY145" s="39" t="n">
        <f aca="false">IF(BY$4=0,0,IF(COUNTIFS(実績!$W$6:$W$505,BY$3,実績!$AI$6:$AI$505,"&lt;="&amp;$A145,実績!$AJ$6:$AJ$505,"&gt;"&amp;$A145,実績!$AK$6:$AK$505,"○")&gt;0,1,0))</f>
        <v>0</v>
      </c>
      <c r="BZ145" s="39" t="n">
        <f aca="false">IF(BZ$4=0,0,IF(COUNTIFS(実績!$W$6:$W$505,BZ$3,実績!$AI$6:$AI$505,"&lt;="&amp;$A145,実績!$AJ$6:$AJ$505,"&gt;"&amp;$A145,実績!$AK$6:$AK$505,"○")&gt;0,1,0))</f>
        <v>0</v>
      </c>
      <c r="CA145" s="39" t="n">
        <f aca="false">IF(CA$4=0,0,IF(COUNTIFS(実績!$W$6:$W$505,CA$3,実績!$AI$6:$AI$505,"&lt;="&amp;$A145,実績!$AJ$6:$AJ$505,"&gt;"&amp;$A145,実績!$AK$6:$AK$505,"○")&gt;0,1,0))</f>
        <v>0</v>
      </c>
      <c r="CB145" s="39" t="n">
        <f aca="false">IF(CB$4=0,0,IF(COUNTIFS(実績!$W$6:$W$505,CB$3,実績!$AI$6:$AI$505,"&lt;="&amp;$A145,実績!$AJ$6:$AJ$505,"&gt;"&amp;$A145,実績!$AK$6:$AK$505,"○")&gt;0,1,0))</f>
        <v>0</v>
      </c>
      <c r="CC145" s="39" t="n">
        <f aca="false">IF(CC$4=0,0,IF(COUNTIFS(実績!$W$6:$W$505,CC$3,実績!$AI$6:$AI$505,"&lt;="&amp;$A145,実績!$AJ$6:$AJ$505,"&gt;"&amp;$A145,実績!$AK$6:$AK$505,"○")&gt;0,1,0))</f>
        <v>0</v>
      </c>
      <c r="CD145" s="39" t="n">
        <f aca="false">IF(CD$4=0,0,IF(COUNTIFS(実績!$W$6:$W$505,CD$3,実績!$AI$6:$AI$505,"&lt;="&amp;$A145,実績!$AJ$6:$AJ$505,"&gt;"&amp;$A145,実績!$AK$6:$AK$505,"○")&gt;0,1,0))</f>
        <v>0</v>
      </c>
      <c r="CE145" s="39" t="n">
        <f aca="false">IF(CE$4=0,0,IF(COUNTIFS(実績!$W$6:$W$505,CE$3,実績!$AI$6:$AI$505,"&lt;="&amp;$A145,実績!$AJ$6:$AJ$505,"&gt;"&amp;$A145,実績!$AK$6:$AK$505,"○")&gt;0,1,0))</f>
        <v>0</v>
      </c>
      <c r="CF145" s="39" t="n">
        <f aca="false">IF(CF$4=0,0,IF(COUNTIFS(実績!$W$6:$W$505,CF$3,実績!$AI$6:$AI$505,"&lt;="&amp;$A145,実績!$AJ$6:$AJ$505,"&gt;"&amp;$A145,実績!$AK$6:$AK$505,"○")&gt;0,1,0))</f>
        <v>0</v>
      </c>
      <c r="CG145" s="39" t="n">
        <f aca="false">IF(CG$4=0,0,IF(COUNTIFS(実績!$W$6:$W$505,CG$3,実績!$AI$6:$AI$505,"&lt;="&amp;$A145,実績!$AJ$6:$AJ$505,"&gt;"&amp;$A145,実績!$AK$6:$AK$505,"○")&gt;0,1,0))</f>
        <v>0</v>
      </c>
      <c r="CH145" s="39" t="n">
        <f aca="false">IF(CH$4=0,0,IF(COUNTIFS(実績!$W$6:$W$505,CH$3,実績!$AI$6:$AI$505,"&lt;="&amp;$A145,実績!$AJ$6:$AJ$505,"&gt;"&amp;$A145,実績!$AK$6:$AK$505,"○")&gt;0,1,0))</f>
        <v>0</v>
      </c>
      <c r="CI145" s="39" t="n">
        <f aca="false">IF(CI$4=0,0,IF(COUNTIFS(実績!$W$6:$W$505,CI$3,実績!$AI$6:$AI$505,"&lt;="&amp;$A145,実績!$AJ$6:$AJ$505,"&gt;"&amp;$A145,実績!$AK$6:$AK$505,"○")&gt;0,1,0))</f>
        <v>0</v>
      </c>
      <c r="CJ145" s="39" t="n">
        <f aca="false">IF(CJ$4=0,0,IF(COUNTIFS(実績!$W$6:$W$505,CJ$3,実績!$AI$6:$AI$505,"&lt;="&amp;$A145,実績!$AJ$6:$AJ$505,"&gt;"&amp;$A145,実績!$AK$6:$AK$505,"○")&gt;0,1,0))</f>
        <v>0</v>
      </c>
      <c r="CK145" s="39" t="n">
        <f aca="false">IF(CK$4=0,0,IF(COUNTIFS(実績!$W$6:$W$505,CK$3,実績!$AI$6:$AI$505,"&lt;="&amp;$A145,実績!$AJ$6:$AJ$505,"&gt;"&amp;$A145,実績!$AK$6:$AK$505,"○")&gt;0,1,0))</f>
        <v>0</v>
      </c>
      <c r="CL145" s="39" t="n">
        <f aca="false">IF(CL$4=0,0,IF(COUNTIFS(実績!$W$6:$W$505,CL$3,実績!$AI$6:$AI$505,"&lt;="&amp;$A145,実績!$AJ$6:$AJ$505,"&gt;"&amp;$A145,実績!$AK$6:$AK$505,"○")&gt;0,1,0))</f>
        <v>0</v>
      </c>
      <c r="CM145" s="39" t="n">
        <f aca="false">IF(CM$4=0,0,IF(COUNTIFS(実績!$W$6:$W$505,CM$3,実績!$AI$6:$AI$505,"&lt;="&amp;$A145,実績!$AJ$6:$AJ$505,"&gt;"&amp;$A145,実績!$AK$6:$AK$505,"○")&gt;0,1,0))</f>
        <v>0</v>
      </c>
      <c r="CN145" s="39" t="n">
        <f aca="false">IF(CN$4=0,0,IF(COUNTIFS(実績!$W$6:$W$505,CN$3,実績!$AI$6:$AI$505,"&lt;="&amp;$A145,実績!$AJ$6:$AJ$505,"&gt;"&amp;$A145,実績!$AK$6:$AK$505,"○")&gt;0,1,0))</f>
        <v>0</v>
      </c>
      <c r="CO145" s="39" t="n">
        <f aca="false">IF(CO$4=0,0,IF(COUNTIFS(実績!$W$6:$W$505,CO$3,実績!$AI$6:$AI$505,"&lt;="&amp;$A145,実績!$AJ$6:$AJ$505,"&gt;"&amp;$A145,実績!$AK$6:$AK$505,"○")&gt;0,1,0))</f>
        <v>0</v>
      </c>
      <c r="CP145" s="39" t="n">
        <f aca="false">IF(CP$4=0,0,IF(COUNTIFS(実績!$W$6:$W$505,CP$3,実績!$AI$6:$AI$505,"&lt;="&amp;$A145,実績!$AJ$6:$AJ$505,"&gt;"&amp;$A145,実績!$AK$6:$AK$505,"○")&gt;0,1,0))</f>
        <v>0</v>
      </c>
      <c r="CQ145" s="39" t="n">
        <f aca="false">IF(CQ$4=0,0,IF(COUNTIFS(実績!$W$6:$W$505,CQ$3,実績!$AI$6:$AI$505,"&lt;="&amp;$A145,実績!$AJ$6:$AJ$505,"&gt;"&amp;$A145,実績!$AK$6:$AK$505,"○")&gt;0,1,0))</f>
        <v>0</v>
      </c>
      <c r="CR145" s="39" t="n">
        <f aca="false">IF(CR$4=0,0,IF(COUNTIFS(実績!$W$6:$W$505,CR$3,実績!$AI$6:$AI$505,"&lt;="&amp;$A145,実績!$AJ$6:$AJ$505,"&gt;"&amp;$A145,実績!$AK$6:$AK$505,"○")&gt;0,1,0))</f>
        <v>0</v>
      </c>
      <c r="CS145" s="39" t="n">
        <f aca="false">IF(CS$4=0,0,IF(COUNTIFS(実績!$W$6:$W$505,CS$3,実績!$AI$6:$AI$505,"&lt;="&amp;$A145,実績!$AJ$6:$AJ$505,"&gt;"&amp;$A145,実績!$AK$6:$AK$505,"○")&gt;0,1,0))</f>
        <v>0</v>
      </c>
      <c r="CT145" s="39" t="n">
        <f aca="false">IF(CT$4=0,0,IF(COUNTIFS(実績!$W$6:$W$505,CT$3,実績!$AI$6:$AI$505,"&lt;="&amp;$A145,実績!$AJ$6:$AJ$505,"&gt;"&amp;$A145,実績!$AK$6:$AK$505,"○")&gt;0,1,0))</f>
        <v>0</v>
      </c>
      <c r="CU145" s="39" t="n">
        <f aca="false">IF(CU$4=0,0,IF(COUNTIFS(実績!$W$6:$W$505,CU$3,実績!$AI$6:$AI$505,"&lt;="&amp;$A145,実績!$AJ$6:$AJ$505,"&gt;"&amp;$A145,実績!$AK$6:$AK$505,"○")&gt;0,1,0))</f>
        <v>0</v>
      </c>
      <c r="CV145" s="39" t="n">
        <f aca="false">IF(CV$4=0,0,IF(COUNTIFS(実績!$W$6:$W$505,CV$3,実績!$AI$6:$AI$505,"&lt;="&amp;$A145,実績!$AJ$6:$AJ$505,"&gt;"&amp;$A145,実績!$AK$6:$AK$505,"○")&gt;0,1,0))</f>
        <v>0</v>
      </c>
      <c r="CW145" s="39" t="n">
        <f aca="false">IF(CW$4=0,0,IF(COUNTIFS(実績!$W$6:$W$505,CW$3,実績!$AI$6:$AI$505,"&lt;="&amp;$A145,実績!$AJ$6:$AJ$505,"&gt;"&amp;$A145,実績!$AK$6:$AK$505,"○")&gt;0,1,0))</f>
        <v>0</v>
      </c>
      <c r="CX145" s="39" t="n">
        <f aca="false">IF(CX$4=0,0,IF(COUNTIFS(実績!$W$6:$W$505,CX$3,実績!$AI$6:$AI$505,"&lt;="&amp;$A145,実績!$AJ$6:$AJ$505,"&gt;"&amp;$A145,実績!$AK$6:$AK$505,"○")&gt;0,1,0))</f>
        <v>0</v>
      </c>
      <c r="CY145" s="39" t="n">
        <f aca="false">IF(CY$4=0,0,IF(COUNTIFS(実績!$W$6:$W$505,CY$3,実績!$AI$6:$AI$505,"&lt;="&amp;$A145,実績!$AJ$6:$AJ$505,"&gt;"&amp;$A145,実績!$AK$6:$AK$505,"○")&gt;0,1,0))</f>
        <v>0</v>
      </c>
      <c r="CZ145" s="39" t="n">
        <f aca="false">IF(CZ$4=0,0,IF(COUNTIFS(実績!$W$6:$W$505,CZ$3,実績!$AI$6:$AI$505,"&lt;="&amp;$A145,実績!$AJ$6:$AJ$505,"&gt;"&amp;$A145,実績!$AK$6:$AK$505,"○")&gt;0,1,0))</f>
        <v>0</v>
      </c>
      <c r="DA145" s="39" t="n">
        <f aca="false">IF(DA$4=0,0,IF(COUNTIFS(実績!$W$6:$W$505,DA$3,実績!$AI$6:$AI$505,"&lt;="&amp;$A145,実績!$AJ$6:$AJ$505,"&gt;"&amp;$A145,実績!$AK$6:$AK$505,"○")&gt;0,1,0))</f>
        <v>0</v>
      </c>
      <c r="DB145" s="39" t="n">
        <f aca="false">IF(DB$4=0,0,IF(COUNTIFS(実績!$W$6:$W$505,DB$3,実績!$AI$6:$AI$505,"&lt;="&amp;$A145,実績!$AJ$6:$AJ$505,"&gt;"&amp;$A145,実績!$AK$6:$AK$505,"○")&gt;0,1,0))</f>
        <v>0</v>
      </c>
      <c r="DC145" s="39" t="n">
        <f aca="false">IF(DC$4=0,0,IF(COUNTIFS(実績!$W$6:$W$505,DC$3,実績!$AI$6:$AI$505,"&lt;="&amp;$A145,実績!$AJ$6:$AJ$505,"&gt;"&amp;$A145,実績!$AK$6:$AK$505,"○")&gt;0,1,0))</f>
        <v>0</v>
      </c>
      <c r="DD145" s="39" t="n">
        <f aca="false">IF(DD$4=0,0,IF(COUNTIFS(実績!$W$6:$W$505,DD$3,実績!$AI$6:$AI$505,"&lt;="&amp;$A145,実績!$AJ$6:$AJ$505,"&gt;"&amp;$A145,実績!$AK$6:$AK$505,"○")&gt;0,1,0))</f>
        <v>0</v>
      </c>
      <c r="DE145" s="39" t="n">
        <f aca="false">IF(DE$4=0,0,IF(COUNTIFS(実績!$W$6:$W$505,DE$3,実績!$AI$6:$AI$505,"&lt;="&amp;$A145,実績!$AJ$6:$AJ$505,"&gt;"&amp;$A145,実績!$AK$6:$AK$505,"○")&gt;0,1,0))</f>
        <v>0</v>
      </c>
      <c r="DF145" s="39" t="n">
        <f aca="false">IF(DF$4=0,0,IF(COUNTIFS(実績!$W$6:$W$505,DF$3,実績!$AI$6:$AI$505,"&lt;="&amp;$A145,実績!$AJ$6:$AJ$505,"&gt;"&amp;$A145,実績!$AK$6:$AK$505,"○")&gt;0,1,0))</f>
        <v>0</v>
      </c>
      <c r="DG145" s="39" t="n">
        <f aca="false">IF(DG$4=0,0,IF(COUNTIFS(実績!$W$6:$W$505,DG$3,実績!$AI$6:$AI$505,"&lt;="&amp;$A145,実績!$AJ$6:$AJ$505,"&gt;"&amp;$A145,実績!$AK$6:$AK$505,"○")&gt;0,1,0))</f>
        <v>0</v>
      </c>
      <c r="DH145" s="39" t="n">
        <f aca="false">IF(DH$4=0,0,IF(COUNTIFS(実績!$W$6:$W$505,DH$3,実績!$AI$6:$AI$505,"&lt;="&amp;$A145,実績!$AJ$6:$AJ$505,"&gt;"&amp;$A145,実績!$AK$6:$AK$505,"○")&gt;0,1,0))</f>
        <v>0</v>
      </c>
      <c r="DI145" s="39" t="n">
        <f aca="false">IF(DI$4=0,0,IF(COUNTIFS(実績!$W$6:$W$505,DI$3,実績!$AI$6:$AI$505,"&lt;="&amp;$A145,実績!$AJ$6:$AJ$505,"&gt;"&amp;$A145,実績!$AK$6:$AK$505,"○")&gt;0,1,0))</f>
        <v>0</v>
      </c>
      <c r="DJ145" s="39" t="n">
        <f aca="false">IF(DJ$4=0,0,IF(COUNTIFS(実績!$W$6:$W$505,DJ$3,実績!$AI$6:$AI$505,"&lt;="&amp;$A145,実績!$AJ$6:$AJ$505,"&gt;"&amp;$A145,実績!$AK$6:$AK$505,"○")&gt;0,1,0))</f>
        <v>0</v>
      </c>
      <c r="DK145" s="39" t="n">
        <f aca="false">IF(DK$4=0,0,IF(COUNTIFS(実績!$W$6:$W$505,DK$3,実績!$AI$6:$AI$505,"&lt;="&amp;$A145,実績!$AJ$6:$AJ$505,"&gt;"&amp;$A145,実績!$AK$6:$AK$505,"○")&gt;0,1,0))</f>
        <v>0</v>
      </c>
      <c r="DL145" s="39" t="n">
        <f aca="false">IF(DL$4=0,0,IF(COUNTIFS(実績!$W$6:$W$505,DL$3,実績!$AI$6:$AI$505,"&lt;="&amp;$A145,実績!$AJ$6:$AJ$505,"&gt;"&amp;$A145,実績!$AK$6:$AK$505,"○")&gt;0,1,0))</f>
        <v>0</v>
      </c>
      <c r="DM145" s="39" t="n">
        <f aca="false">IF(DM$4=0,0,IF(COUNTIFS(実績!$W$6:$W$505,DM$3,実績!$AI$6:$AI$505,"&lt;="&amp;$A145,実績!$AJ$6:$AJ$505,"&gt;"&amp;$A145,実績!$AK$6:$AK$505,"○")&gt;0,1,0))</f>
        <v>0</v>
      </c>
      <c r="DN145" s="39" t="n">
        <f aca="false">IF(DN$4=0,0,IF(COUNTIFS(実績!$W$6:$W$505,DN$3,実績!$AI$6:$AI$505,"&lt;="&amp;$A145,実績!$AJ$6:$AJ$505,"&gt;"&amp;$A145,実績!$AK$6:$AK$505,"○")&gt;0,1,0))</f>
        <v>0</v>
      </c>
      <c r="DO145" s="39" t="n">
        <f aca="false">IF(DO$4=0,0,IF(COUNTIFS(実績!$W$6:$W$505,DO$3,実績!$AI$6:$AI$505,"&lt;="&amp;$A145,実績!$AJ$6:$AJ$505,"&gt;"&amp;$A145,実績!$AK$6:$AK$505,"○")&gt;0,1,0))</f>
        <v>0</v>
      </c>
      <c r="DP145" s="39" t="n">
        <f aca="false">IF(DP$4=0,0,IF(COUNTIFS(実績!$W$6:$W$505,DP$3,実績!$AI$6:$AI$505,"&lt;="&amp;$A145,実績!$AJ$6:$AJ$505,"&gt;"&amp;$A145,実績!$AK$6:$AK$505,"○")&gt;0,1,0))</f>
        <v>0</v>
      </c>
      <c r="DQ145" s="39" t="n">
        <f aca="false">IF(DQ$4=0,0,IF(COUNTIFS(実績!$W$6:$W$505,DQ$3,実績!$AI$6:$AI$505,"&lt;="&amp;$A145,実績!$AJ$6:$AJ$505,"&gt;"&amp;$A145,実績!$AK$6:$AK$505,"○")&gt;0,1,0))</f>
        <v>0</v>
      </c>
      <c r="DR145" s="39" t="n">
        <f aca="false">IF(DR$4=0,0,IF(COUNTIFS(実績!$W$6:$W$505,DR$3,実績!$AI$6:$AI$505,"&lt;="&amp;$A145,実績!$AJ$6:$AJ$505,"&gt;"&amp;$A145,実績!$AK$6:$AK$505,"○")&gt;0,1,0))</f>
        <v>0</v>
      </c>
      <c r="DS145" s="39" t="n">
        <f aca="false">SUM(C145:DR145)</f>
        <v>0</v>
      </c>
      <c r="DT145" s="39" t="n">
        <f aca="false">SUMPRODUCT((実績!$C$6:$C$505="○")*ISNUMBER(実績!$AM$6:$AM$505)*(実績!$AM$6:$AM$505&lt;=$A145)*(実績!$AN$6:$AN$505&gt;$A145))</f>
        <v>0</v>
      </c>
      <c r="DU145" s="39" t="n">
        <f aca="false">SUMIF($C$2:$DR$2,"製鉄曳船",C145:DR145)</f>
        <v>0</v>
      </c>
      <c r="DV145" s="39" t="n">
        <f aca="false">SUMIF($C$2:$DR$2,"西日本海運",C145:DR145)</f>
        <v>0</v>
      </c>
    </row>
    <row r="146" customFormat="false" ht="15" hidden="false" customHeight="false" outlineLevel="0" collapsed="false">
      <c r="A146" s="0" t="n">
        <v>700</v>
      </c>
      <c r="B146" s="38" t="n">
        <f aca="false">A146/1440</f>
        <v>0.486111111111111</v>
      </c>
      <c r="C146" s="39" t="n">
        <f aca="false">IF(C$4=0,0,IF(COUNTIFS(実績!$W$6:$W$505,C$3,実績!$AI$6:$AI$505,"&lt;="&amp;$A146,実績!$AJ$6:$AJ$505,"&gt;"&amp;$A146,実績!$AK$6:$AK$505,"○")&gt;0,1,0))</f>
        <v>0</v>
      </c>
      <c r="D146" s="39" t="n">
        <f aca="false">IF(D$4=0,0,IF(COUNTIFS(実績!$W$6:$W$505,D$3,実績!$AI$6:$AI$505,"&lt;="&amp;$A146,実績!$AJ$6:$AJ$505,"&gt;"&amp;$A146,実績!$AK$6:$AK$505,"○")&gt;0,1,0))</f>
        <v>0</v>
      </c>
      <c r="E146" s="39" t="n">
        <f aca="false">IF(E$4=0,0,IF(COUNTIFS(実績!$W$6:$W$505,E$3,実績!$AI$6:$AI$505,"&lt;="&amp;$A146,実績!$AJ$6:$AJ$505,"&gt;"&amp;$A146,実績!$AK$6:$AK$505,"○")&gt;0,1,0))</f>
        <v>0</v>
      </c>
      <c r="F146" s="39" t="n">
        <f aca="false">IF(F$4=0,0,IF(COUNTIFS(実績!$W$6:$W$505,F$3,実績!$AI$6:$AI$505,"&lt;="&amp;$A146,実績!$AJ$6:$AJ$505,"&gt;"&amp;$A146,実績!$AK$6:$AK$505,"○")&gt;0,1,0))</f>
        <v>0</v>
      </c>
      <c r="G146" s="39" t="n">
        <f aca="false">IF(G$4=0,0,IF(COUNTIFS(実績!$W$6:$W$505,G$3,実績!$AI$6:$AI$505,"&lt;="&amp;$A146,実績!$AJ$6:$AJ$505,"&gt;"&amp;$A146,実績!$AK$6:$AK$505,"○")&gt;0,1,0))</f>
        <v>0</v>
      </c>
      <c r="H146" s="39" t="n">
        <f aca="false">IF(H$4=0,0,IF(COUNTIFS(実績!$W$6:$W$505,H$3,実績!$AI$6:$AI$505,"&lt;="&amp;$A146,実績!$AJ$6:$AJ$505,"&gt;"&amp;$A146,実績!$AK$6:$AK$505,"○")&gt;0,1,0))</f>
        <v>0</v>
      </c>
      <c r="I146" s="39" t="n">
        <f aca="false">IF(I$4=0,0,IF(COUNTIFS(実績!$W$6:$W$505,I$3,実績!$AI$6:$AI$505,"&lt;="&amp;$A146,実績!$AJ$6:$AJ$505,"&gt;"&amp;$A146,実績!$AK$6:$AK$505,"○")&gt;0,1,0))</f>
        <v>0</v>
      </c>
      <c r="J146" s="39" t="n">
        <f aca="false">IF(J$4=0,0,IF(COUNTIFS(実績!$W$6:$W$505,J$3,実績!$AI$6:$AI$505,"&lt;="&amp;$A146,実績!$AJ$6:$AJ$505,"&gt;"&amp;$A146,実績!$AK$6:$AK$505,"○")&gt;0,1,0))</f>
        <v>0</v>
      </c>
      <c r="K146" s="39" t="n">
        <f aca="false">IF(K$4=0,0,IF(COUNTIFS(実績!$W$6:$W$505,K$3,実績!$AI$6:$AI$505,"&lt;="&amp;$A146,実績!$AJ$6:$AJ$505,"&gt;"&amp;$A146,実績!$AK$6:$AK$505,"○")&gt;0,1,0))</f>
        <v>0</v>
      </c>
      <c r="L146" s="39" t="n">
        <f aca="false">IF(L$4=0,0,IF(COUNTIFS(実績!$W$6:$W$505,L$3,実績!$AI$6:$AI$505,"&lt;="&amp;$A146,実績!$AJ$6:$AJ$505,"&gt;"&amp;$A146,実績!$AK$6:$AK$505,"○")&gt;0,1,0))</f>
        <v>0</v>
      </c>
      <c r="M146" s="39" t="n">
        <f aca="false">IF(M$4=0,0,IF(COUNTIFS(実績!$W$6:$W$505,M$3,実績!$AI$6:$AI$505,"&lt;="&amp;$A146,実績!$AJ$6:$AJ$505,"&gt;"&amp;$A146,実績!$AK$6:$AK$505,"○")&gt;0,1,0))</f>
        <v>0</v>
      </c>
      <c r="N146" s="39" t="n">
        <f aca="false">IF(N$4=0,0,IF(COUNTIFS(実績!$W$6:$W$505,N$3,実績!$AI$6:$AI$505,"&lt;="&amp;$A146,実績!$AJ$6:$AJ$505,"&gt;"&amp;$A146,実績!$AK$6:$AK$505,"○")&gt;0,1,0))</f>
        <v>0</v>
      </c>
      <c r="O146" s="39" t="n">
        <f aca="false">IF(O$4=0,0,IF(COUNTIFS(実績!$W$6:$W$505,O$3,実績!$AI$6:$AI$505,"&lt;="&amp;$A146,実績!$AJ$6:$AJ$505,"&gt;"&amp;$A146,実績!$AK$6:$AK$505,"○")&gt;0,1,0))</f>
        <v>0</v>
      </c>
      <c r="P146" s="39" t="n">
        <f aca="false">IF(P$4=0,0,IF(COUNTIFS(実績!$W$6:$W$505,P$3,実績!$AI$6:$AI$505,"&lt;="&amp;$A146,実績!$AJ$6:$AJ$505,"&gt;"&amp;$A146,実績!$AK$6:$AK$505,"○")&gt;0,1,0))</f>
        <v>0</v>
      </c>
      <c r="Q146" s="39" t="n">
        <f aca="false">IF(Q$4=0,0,IF(COUNTIFS(実績!$W$6:$W$505,Q$3,実績!$AI$6:$AI$505,"&lt;="&amp;$A146,実績!$AJ$6:$AJ$505,"&gt;"&amp;$A146,実績!$AK$6:$AK$505,"○")&gt;0,1,0))</f>
        <v>0</v>
      </c>
      <c r="R146" s="39" t="n">
        <f aca="false">IF(R$4=0,0,IF(COUNTIFS(実績!$W$6:$W$505,R$3,実績!$AI$6:$AI$505,"&lt;="&amp;$A146,実績!$AJ$6:$AJ$505,"&gt;"&amp;$A146,実績!$AK$6:$AK$505,"○")&gt;0,1,0))</f>
        <v>0</v>
      </c>
      <c r="S146" s="39" t="n">
        <f aca="false">IF(S$4=0,0,IF(COUNTIFS(実績!$W$6:$W$505,S$3,実績!$AI$6:$AI$505,"&lt;="&amp;$A146,実績!$AJ$6:$AJ$505,"&gt;"&amp;$A146,実績!$AK$6:$AK$505,"○")&gt;0,1,0))</f>
        <v>0</v>
      </c>
      <c r="T146" s="39" t="n">
        <f aca="false">IF(T$4=0,0,IF(COUNTIFS(実績!$W$6:$W$505,T$3,実績!$AI$6:$AI$505,"&lt;="&amp;$A146,実績!$AJ$6:$AJ$505,"&gt;"&amp;$A146,実績!$AK$6:$AK$505,"○")&gt;0,1,0))</f>
        <v>0</v>
      </c>
      <c r="U146" s="39" t="n">
        <f aca="false">IF(U$4=0,0,IF(COUNTIFS(実績!$W$6:$W$505,U$3,実績!$AI$6:$AI$505,"&lt;="&amp;$A146,実績!$AJ$6:$AJ$505,"&gt;"&amp;$A146,実績!$AK$6:$AK$505,"○")&gt;0,1,0))</f>
        <v>0</v>
      </c>
      <c r="V146" s="39" t="n">
        <f aca="false">IF(V$4=0,0,IF(COUNTIFS(実績!$W$6:$W$505,V$3,実績!$AI$6:$AI$505,"&lt;="&amp;$A146,実績!$AJ$6:$AJ$505,"&gt;"&amp;$A146,実績!$AK$6:$AK$505,"○")&gt;0,1,0))</f>
        <v>0</v>
      </c>
      <c r="W146" s="39" t="n">
        <f aca="false">IF(W$4=0,0,IF(COUNTIFS(実績!$W$6:$W$505,W$3,実績!$AI$6:$AI$505,"&lt;="&amp;$A146,実績!$AJ$6:$AJ$505,"&gt;"&amp;$A146,実績!$AK$6:$AK$505,"○")&gt;0,1,0))</f>
        <v>0</v>
      </c>
      <c r="X146" s="39" t="n">
        <f aca="false">IF(X$4=0,0,IF(COUNTIFS(実績!$W$6:$W$505,X$3,実績!$AI$6:$AI$505,"&lt;="&amp;$A146,実績!$AJ$6:$AJ$505,"&gt;"&amp;$A146,実績!$AK$6:$AK$505,"○")&gt;0,1,0))</f>
        <v>0</v>
      </c>
      <c r="Y146" s="39" t="n">
        <f aca="false">IF(Y$4=0,0,IF(COUNTIFS(実績!$W$6:$W$505,Y$3,実績!$AI$6:$AI$505,"&lt;="&amp;$A146,実績!$AJ$6:$AJ$505,"&gt;"&amp;$A146,実績!$AK$6:$AK$505,"○")&gt;0,1,0))</f>
        <v>0</v>
      </c>
      <c r="Z146" s="39" t="n">
        <f aca="false">IF(Z$4=0,0,IF(COUNTIFS(実績!$W$6:$W$505,Z$3,実績!$AI$6:$AI$505,"&lt;="&amp;$A146,実績!$AJ$6:$AJ$505,"&gt;"&amp;$A146,実績!$AK$6:$AK$505,"○")&gt;0,1,0))</f>
        <v>0</v>
      </c>
      <c r="AA146" s="39" t="n">
        <f aca="false">IF(AA$4=0,0,IF(COUNTIFS(実績!$W$6:$W$505,AA$3,実績!$AI$6:$AI$505,"&lt;="&amp;$A146,実績!$AJ$6:$AJ$505,"&gt;"&amp;$A146,実績!$AK$6:$AK$505,"○")&gt;0,1,0))</f>
        <v>0</v>
      </c>
      <c r="AB146" s="39" t="n">
        <f aca="false">IF(AB$4=0,0,IF(COUNTIFS(実績!$W$6:$W$505,AB$3,実績!$AI$6:$AI$505,"&lt;="&amp;$A146,実績!$AJ$6:$AJ$505,"&gt;"&amp;$A146,実績!$AK$6:$AK$505,"○")&gt;0,1,0))</f>
        <v>0</v>
      </c>
      <c r="AC146" s="39" t="n">
        <f aca="false">IF(AC$4=0,0,IF(COUNTIFS(実績!$W$6:$W$505,AC$3,実績!$AI$6:$AI$505,"&lt;="&amp;$A146,実績!$AJ$6:$AJ$505,"&gt;"&amp;$A146,実績!$AK$6:$AK$505,"○")&gt;0,1,0))</f>
        <v>0</v>
      </c>
      <c r="AD146" s="39" t="n">
        <f aca="false">IF(AD$4=0,0,IF(COUNTIFS(実績!$W$6:$W$505,AD$3,実績!$AI$6:$AI$505,"&lt;="&amp;$A146,実績!$AJ$6:$AJ$505,"&gt;"&amp;$A146,実績!$AK$6:$AK$505,"○")&gt;0,1,0))</f>
        <v>0</v>
      </c>
      <c r="AE146" s="39" t="n">
        <f aca="false">IF(AE$4=0,0,IF(COUNTIFS(実績!$W$6:$W$505,AE$3,実績!$AI$6:$AI$505,"&lt;="&amp;$A146,実績!$AJ$6:$AJ$505,"&gt;"&amp;$A146,実績!$AK$6:$AK$505,"○")&gt;0,1,0))</f>
        <v>0</v>
      </c>
      <c r="AF146" s="39" t="n">
        <f aca="false">IF(AF$4=0,0,IF(COUNTIFS(実績!$W$6:$W$505,AF$3,実績!$AI$6:$AI$505,"&lt;="&amp;$A146,実績!$AJ$6:$AJ$505,"&gt;"&amp;$A146,実績!$AK$6:$AK$505,"○")&gt;0,1,0))</f>
        <v>0</v>
      </c>
      <c r="AG146" s="39" t="n">
        <f aca="false">IF(AG$4=0,0,IF(COUNTIFS(実績!$W$6:$W$505,AG$3,実績!$AI$6:$AI$505,"&lt;="&amp;$A146,実績!$AJ$6:$AJ$505,"&gt;"&amp;$A146,実績!$AK$6:$AK$505,"○")&gt;0,1,0))</f>
        <v>0</v>
      </c>
      <c r="AH146" s="39" t="n">
        <f aca="false">IF(AH$4=0,0,IF(COUNTIFS(実績!$W$6:$W$505,AH$3,実績!$AI$6:$AI$505,"&lt;="&amp;$A146,実績!$AJ$6:$AJ$505,"&gt;"&amp;$A146,実績!$AK$6:$AK$505,"○")&gt;0,1,0))</f>
        <v>0</v>
      </c>
      <c r="AI146" s="39" t="n">
        <f aca="false">IF(AI$4=0,0,IF(COUNTIFS(実績!$W$6:$W$505,AI$3,実績!$AI$6:$AI$505,"&lt;="&amp;$A146,実績!$AJ$6:$AJ$505,"&gt;"&amp;$A146,実績!$AK$6:$AK$505,"○")&gt;0,1,0))</f>
        <v>0</v>
      </c>
      <c r="AJ146" s="39" t="n">
        <f aca="false">IF(AJ$4=0,0,IF(COUNTIFS(実績!$W$6:$W$505,AJ$3,実績!$AI$6:$AI$505,"&lt;="&amp;$A146,実績!$AJ$6:$AJ$505,"&gt;"&amp;$A146,実績!$AK$6:$AK$505,"○")&gt;0,1,0))</f>
        <v>0</v>
      </c>
      <c r="AK146" s="39" t="n">
        <f aca="false">IF(AK$4=0,0,IF(COUNTIFS(実績!$W$6:$W$505,AK$3,実績!$AI$6:$AI$505,"&lt;="&amp;$A146,実績!$AJ$6:$AJ$505,"&gt;"&amp;$A146,実績!$AK$6:$AK$505,"○")&gt;0,1,0))</f>
        <v>0</v>
      </c>
      <c r="AL146" s="39" t="n">
        <f aca="false">IF(AL$4=0,0,IF(COUNTIFS(実績!$W$6:$W$505,AL$3,実績!$AI$6:$AI$505,"&lt;="&amp;$A146,実績!$AJ$6:$AJ$505,"&gt;"&amp;$A146,実績!$AK$6:$AK$505,"○")&gt;0,1,0))</f>
        <v>0</v>
      </c>
      <c r="AM146" s="39" t="n">
        <f aca="false">IF(AM$4=0,0,IF(COUNTIFS(実績!$W$6:$W$505,AM$3,実績!$AI$6:$AI$505,"&lt;="&amp;$A146,実績!$AJ$6:$AJ$505,"&gt;"&amp;$A146,実績!$AK$6:$AK$505,"○")&gt;0,1,0))</f>
        <v>0</v>
      </c>
      <c r="AN146" s="39" t="n">
        <f aca="false">IF(AN$4=0,0,IF(COUNTIFS(実績!$W$6:$W$505,AN$3,実績!$AI$6:$AI$505,"&lt;="&amp;$A146,実績!$AJ$6:$AJ$505,"&gt;"&amp;$A146,実績!$AK$6:$AK$505,"○")&gt;0,1,0))</f>
        <v>0</v>
      </c>
      <c r="AO146" s="39" t="n">
        <f aca="false">IF(AO$4=0,0,IF(COUNTIFS(実績!$W$6:$W$505,AO$3,実績!$AI$6:$AI$505,"&lt;="&amp;$A146,実績!$AJ$6:$AJ$505,"&gt;"&amp;$A146,実績!$AK$6:$AK$505,"○")&gt;0,1,0))</f>
        <v>0</v>
      </c>
      <c r="AP146" s="39" t="n">
        <f aca="false">IF(AP$4=0,0,IF(COUNTIFS(実績!$W$6:$W$505,AP$3,実績!$AI$6:$AI$505,"&lt;="&amp;$A146,実績!$AJ$6:$AJ$505,"&gt;"&amp;$A146,実績!$AK$6:$AK$505,"○")&gt;0,1,0))</f>
        <v>0</v>
      </c>
      <c r="AQ146" s="39" t="n">
        <f aca="false">IF(AQ$4=0,0,IF(COUNTIFS(実績!$W$6:$W$505,AQ$3,実績!$AI$6:$AI$505,"&lt;="&amp;$A146,実績!$AJ$6:$AJ$505,"&gt;"&amp;$A146,実績!$AK$6:$AK$505,"○")&gt;0,1,0))</f>
        <v>0</v>
      </c>
      <c r="AR146" s="39" t="n">
        <f aca="false">IF(AR$4=0,0,IF(COUNTIFS(実績!$W$6:$W$505,AR$3,実績!$AI$6:$AI$505,"&lt;="&amp;$A146,実績!$AJ$6:$AJ$505,"&gt;"&amp;$A146,実績!$AK$6:$AK$505,"○")&gt;0,1,0))</f>
        <v>0</v>
      </c>
      <c r="AS146" s="39" t="n">
        <f aca="false">IF(AS$4=0,0,IF(COUNTIFS(実績!$W$6:$W$505,AS$3,実績!$AI$6:$AI$505,"&lt;="&amp;$A146,実績!$AJ$6:$AJ$505,"&gt;"&amp;$A146,実績!$AK$6:$AK$505,"○")&gt;0,1,0))</f>
        <v>0</v>
      </c>
      <c r="AT146" s="39" t="n">
        <f aca="false">IF(AT$4=0,0,IF(COUNTIFS(実績!$W$6:$W$505,AT$3,実績!$AI$6:$AI$505,"&lt;="&amp;$A146,実績!$AJ$6:$AJ$505,"&gt;"&amp;$A146,実績!$AK$6:$AK$505,"○")&gt;0,1,0))</f>
        <v>0</v>
      </c>
      <c r="AU146" s="39" t="n">
        <f aca="false">IF(AU$4=0,0,IF(COUNTIFS(実績!$W$6:$W$505,AU$3,実績!$AI$6:$AI$505,"&lt;="&amp;$A146,実績!$AJ$6:$AJ$505,"&gt;"&amp;$A146,実績!$AK$6:$AK$505,"○")&gt;0,1,0))</f>
        <v>0</v>
      </c>
      <c r="AV146" s="39" t="n">
        <f aca="false">IF(AV$4=0,0,IF(COUNTIFS(実績!$W$6:$W$505,AV$3,実績!$AI$6:$AI$505,"&lt;="&amp;$A146,実績!$AJ$6:$AJ$505,"&gt;"&amp;$A146,実績!$AK$6:$AK$505,"○")&gt;0,1,0))</f>
        <v>0</v>
      </c>
      <c r="AW146" s="39" t="n">
        <f aca="false">IF(AW$4=0,0,IF(COUNTIFS(実績!$W$6:$W$505,AW$3,実績!$AI$6:$AI$505,"&lt;="&amp;$A146,実績!$AJ$6:$AJ$505,"&gt;"&amp;$A146,実績!$AK$6:$AK$505,"○")&gt;0,1,0))</f>
        <v>0</v>
      </c>
      <c r="AX146" s="39" t="n">
        <f aca="false">IF(AX$4=0,0,IF(COUNTIFS(実績!$W$6:$W$505,AX$3,実績!$AI$6:$AI$505,"&lt;="&amp;$A146,実績!$AJ$6:$AJ$505,"&gt;"&amp;$A146,実績!$AK$6:$AK$505,"○")&gt;0,1,0))</f>
        <v>0</v>
      </c>
      <c r="AY146" s="39" t="n">
        <f aca="false">IF(AY$4=0,0,IF(COUNTIFS(実績!$W$6:$W$505,AY$3,実績!$AI$6:$AI$505,"&lt;="&amp;$A146,実績!$AJ$6:$AJ$505,"&gt;"&amp;$A146,実績!$AK$6:$AK$505,"○")&gt;0,1,0))</f>
        <v>0</v>
      </c>
      <c r="AZ146" s="39" t="n">
        <f aca="false">IF(AZ$4=0,0,IF(COUNTIFS(実績!$W$6:$W$505,AZ$3,実績!$AI$6:$AI$505,"&lt;="&amp;$A146,実績!$AJ$6:$AJ$505,"&gt;"&amp;$A146,実績!$AK$6:$AK$505,"○")&gt;0,1,0))</f>
        <v>0</v>
      </c>
      <c r="BA146" s="39" t="n">
        <f aca="false">IF(BA$4=0,0,IF(COUNTIFS(実績!$W$6:$W$505,BA$3,実績!$AI$6:$AI$505,"&lt;="&amp;$A146,実績!$AJ$6:$AJ$505,"&gt;"&amp;$A146,実績!$AK$6:$AK$505,"○")&gt;0,1,0))</f>
        <v>0</v>
      </c>
      <c r="BB146" s="39" t="n">
        <f aca="false">IF(BB$4=0,0,IF(COUNTIFS(実績!$W$6:$W$505,BB$3,実績!$AI$6:$AI$505,"&lt;="&amp;$A146,実績!$AJ$6:$AJ$505,"&gt;"&amp;$A146,実績!$AK$6:$AK$505,"○")&gt;0,1,0))</f>
        <v>0</v>
      </c>
      <c r="BC146" s="39" t="n">
        <f aca="false">IF(BC$4=0,0,IF(COUNTIFS(実績!$W$6:$W$505,BC$3,実績!$AI$6:$AI$505,"&lt;="&amp;$A146,実績!$AJ$6:$AJ$505,"&gt;"&amp;$A146,実績!$AK$6:$AK$505,"○")&gt;0,1,0))</f>
        <v>0</v>
      </c>
      <c r="BD146" s="39" t="n">
        <f aca="false">IF(BD$4=0,0,IF(COUNTIFS(実績!$W$6:$W$505,BD$3,実績!$AI$6:$AI$505,"&lt;="&amp;$A146,実績!$AJ$6:$AJ$505,"&gt;"&amp;$A146,実績!$AK$6:$AK$505,"○")&gt;0,1,0))</f>
        <v>0</v>
      </c>
      <c r="BE146" s="39" t="n">
        <f aca="false">IF(BE$4=0,0,IF(COUNTIFS(実績!$W$6:$W$505,BE$3,実績!$AI$6:$AI$505,"&lt;="&amp;$A146,実績!$AJ$6:$AJ$505,"&gt;"&amp;$A146,実績!$AK$6:$AK$505,"○")&gt;0,1,0))</f>
        <v>0</v>
      </c>
      <c r="BF146" s="39" t="n">
        <f aca="false">IF(BF$4=0,0,IF(COUNTIFS(実績!$W$6:$W$505,BF$3,実績!$AI$6:$AI$505,"&lt;="&amp;$A146,実績!$AJ$6:$AJ$505,"&gt;"&amp;$A146,実績!$AK$6:$AK$505,"○")&gt;0,1,0))</f>
        <v>0</v>
      </c>
      <c r="BG146" s="39" t="n">
        <f aca="false">IF(BG$4=0,0,IF(COUNTIFS(実績!$W$6:$W$505,BG$3,実績!$AI$6:$AI$505,"&lt;="&amp;$A146,実績!$AJ$6:$AJ$505,"&gt;"&amp;$A146,実績!$AK$6:$AK$505,"○")&gt;0,1,0))</f>
        <v>0</v>
      </c>
      <c r="BH146" s="39" t="n">
        <f aca="false">IF(BH$4=0,0,IF(COUNTIFS(実績!$W$6:$W$505,BH$3,実績!$AI$6:$AI$505,"&lt;="&amp;$A146,実績!$AJ$6:$AJ$505,"&gt;"&amp;$A146,実績!$AK$6:$AK$505,"○")&gt;0,1,0))</f>
        <v>0</v>
      </c>
      <c r="BI146" s="39" t="n">
        <f aca="false">IF(BI$4=0,0,IF(COUNTIFS(実績!$W$6:$W$505,BI$3,実績!$AI$6:$AI$505,"&lt;="&amp;$A146,実績!$AJ$6:$AJ$505,"&gt;"&amp;$A146,実績!$AK$6:$AK$505,"○")&gt;0,1,0))</f>
        <v>0</v>
      </c>
      <c r="BJ146" s="39" t="n">
        <f aca="false">IF(BJ$4=0,0,IF(COUNTIFS(実績!$W$6:$W$505,BJ$3,実績!$AI$6:$AI$505,"&lt;="&amp;$A146,実績!$AJ$6:$AJ$505,"&gt;"&amp;$A146,実績!$AK$6:$AK$505,"○")&gt;0,1,0))</f>
        <v>0</v>
      </c>
      <c r="BK146" s="39" t="n">
        <f aca="false">IF(BK$4=0,0,IF(COUNTIFS(実績!$W$6:$W$505,BK$3,実績!$AI$6:$AI$505,"&lt;="&amp;$A146,実績!$AJ$6:$AJ$505,"&gt;"&amp;$A146,実績!$AK$6:$AK$505,"○")&gt;0,1,0))</f>
        <v>0</v>
      </c>
      <c r="BL146" s="39" t="n">
        <f aca="false">IF(BL$4=0,0,IF(COUNTIFS(実績!$W$6:$W$505,BL$3,実績!$AI$6:$AI$505,"&lt;="&amp;$A146,実績!$AJ$6:$AJ$505,"&gt;"&amp;$A146,実績!$AK$6:$AK$505,"○")&gt;0,1,0))</f>
        <v>0</v>
      </c>
      <c r="BM146" s="39" t="n">
        <f aca="false">IF(BM$4=0,0,IF(COUNTIFS(実績!$W$6:$W$505,BM$3,実績!$AI$6:$AI$505,"&lt;="&amp;$A146,実績!$AJ$6:$AJ$505,"&gt;"&amp;$A146,実績!$AK$6:$AK$505,"○")&gt;0,1,0))</f>
        <v>0</v>
      </c>
      <c r="BN146" s="39" t="n">
        <f aca="false">IF(BN$4=0,0,IF(COUNTIFS(実績!$W$6:$W$505,BN$3,実績!$AI$6:$AI$505,"&lt;="&amp;$A146,実績!$AJ$6:$AJ$505,"&gt;"&amp;$A146,実績!$AK$6:$AK$505,"○")&gt;0,1,0))</f>
        <v>0</v>
      </c>
      <c r="BO146" s="39" t="n">
        <f aca="false">IF(BO$4=0,0,IF(COUNTIFS(実績!$W$6:$W$505,BO$3,実績!$AI$6:$AI$505,"&lt;="&amp;$A146,実績!$AJ$6:$AJ$505,"&gt;"&amp;$A146,実績!$AK$6:$AK$505,"○")&gt;0,1,0))</f>
        <v>0</v>
      </c>
      <c r="BP146" s="39" t="n">
        <f aca="false">IF(BP$4=0,0,IF(COUNTIFS(実績!$W$6:$W$505,BP$3,実績!$AI$6:$AI$505,"&lt;="&amp;$A146,実績!$AJ$6:$AJ$505,"&gt;"&amp;$A146,実績!$AK$6:$AK$505,"○")&gt;0,1,0))</f>
        <v>0</v>
      </c>
      <c r="BQ146" s="39" t="n">
        <f aca="false">IF(BQ$4=0,0,IF(COUNTIFS(実績!$W$6:$W$505,BQ$3,実績!$AI$6:$AI$505,"&lt;="&amp;$A146,実績!$AJ$6:$AJ$505,"&gt;"&amp;$A146,実績!$AK$6:$AK$505,"○")&gt;0,1,0))</f>
        <v>0</v>
      </c>
      <c r="BR146" s="39" t="n">
        <f aca="false">IF(BR$4=0,0,IF(COUNTIFS(実績!$W$6:$W$505,BR$3,実績!$AI$6:$AI$505,"&lt;="&amp;$A146,実績!$AJ$6:$AJ$505,"&gt;"&amp;$A146,実績!$AK$6:$AK$505,"○")&gt;0,1,0))</f>
        <v>0</v>
      </c>
      <c r="BS146" s="39" t="n">
        <f aca="false">IF(BS$4=0,0,IF(COUNTIFS(実績!$W$6:$W$505,BS$3,実績!$AI$6:$AI$505,"&lt;="&amp;$A146,実績!$AJ$6:$AJ$505,"&gt;"&amp;$A146,実績!$AK$6:$AK$505,"○")&gt;0,1,0))</f>
        <v>0</v>
      </c>
      <c r="BT146" s="39" t="n">
        <f aca="false">IF(BT$4=0,0,IF(COUNTIFS(実績!$W$6:$W$505,BT$3,実績!$AI$6:$AI$505,"&lt;="&amp;$A146,実績!$AJ$6:$AJ$505,"&gt;"&amp;$A146,実績!$AK$6:$AK$505,"○")&gt;0,1,0))</f>
        <v>0</v>
      </c>
      <c r="BU146" s="39" t="n">
        <f aca="false">IF(BU$4=0,0,IF(COUNTIFS(実績!$W$6:$W$505,BU$3,実績!$AI$6:$AI$505,"&lt;="&amp;$A146,実績!$AJ$6:$AJ$505,"&gt;"&amp;$A146,実績!$AK$6:$AK$505,"○")&gt;0,1,0))</f>
        <v>0</v>
      </c>
      <c r="BV146" s="39" t="n">
        <f aca="false">IF(BV$4=0,0,IF(COUNTIFS(実績!$W$6:$W$505,BV$3,実績!$AI$6:$AI$505,"&lt;="&amp;$A146,実績!$AJ$6:$AJ$505,"&gt;"&amp;$A146,実績!$AK$6:$AK$505,"○")&gt;0,1,0))</f>
        <v>0</v>
      </c>
      <c r="BW146" s="39" t="n">
        <f aca="false">IF(BW$4=0,0,IF(COUNTIFS(実績!$W$6:$W$505,BW$3,実績!$AI$6:$AI$505,"&lt;="&amp;$A146,実績!$AJ$6:$AJ$505,"&gt;"&amp;$A146,実績!$AK$6:$AK$505,"○")&gt;0,1,0))</f>
        <v>0</v>
      </c>
      <c r="BX146" s="39" t="n">
        <f aca="false">IF(BX$4=0,0,IF(COUNTIFS(実績!$W$6:$W$505,BX$3,実績!$AI$6:$AI$505,"&lt;="&amp;$A146,実績!$AJ$6:$AJ$505,"&gt;"&amp;$A146,実績!$AK$6:$AK$505,"○")&gt;0,1,0))</f>
        <v>0</v>
      </c>
      <c r="BY146" s="39" t="n">
        <f aca="false">IF(BY$4=0,0,IF(COUNTIFS(実績!$W$6:$W$505,BY$3,実績!$AI$6:$AI$505,"&lt;="&amp;$A146,実績!$AJ$6:$AJ$505,"&gt;"&amp;$A146,実績!$AK$6:$AK$505,"○")&gt;0,1,0))</f>
        <v>0</v>
      </c>
      <c r="BZ146" s="39" t="n">
        <f aca="false">IF(BZ$4=0,0,IF(COUNTIFS(実績!$W$6:$W$505,BZ$3,実績!$AI$6:$AI$505,"&lt;="&amp;$A146,実績!$AJ$6:$AJ$505,"&gt;"&amp;$A146,実績!$AK$6:$AK$505,"○")&gt;0,1,0))</f>
        <v>0</v>
      </c>
      <c r="CA146" s="39" t="n">
        <f aca="false">IF(CA$4=0,0,IF(COUNTIFS(実績!$W$6:$W$505,CA$3,実績!$AI$6:$AI$505,"&lt;="&amp;$A146,実績!$AJ$6:$AJ$505,"&gt;"&amp;$A146,実績!$AK$6:$AK$505,"○")&gt;0,1,0))</f>
        <v>0</v>
      </c>
      <c r="CB146" s="39" t="n">
        <f aca="false">IF(CB$4=0,0,IF(COUNTIFS(実績!$W$6:$W$505,CB$3,実績!$AI$6:$AI$505,"&lt;="&amp;$A146,実績!$AJ$6:$AJ$505,"&gt;"&amp;$A146,実績!$AK$6:$AK$505,"○")&gt;0,1,0))</f>
        <v>0</v>
      </c>
      <c r="CC146" s="39" t="n">
        <f aca="false">IF(CC$4=0,0,IF(COUNTIFS(実績!$W$6:$W$505,CC$3,実績!$AI$6:$AI$505,"&lt;="&amp;$A146,実績!$AJ$6:$AJ$505,"&gt;"&amp;$A146,実績!$AK$6:$AK$505,"○")&gt;0,1,0))</f>
        <v>0</v>
      </c>
      <c r="CD146" s="39" t="n">
        <f aca="false">IF(CD$4=0,0,IF(COUNTIFS(実績!$W$6:$W$505,CD$3,実績!$AI$6:$AI$505,"&lt;="&amp;$A146,実績!$AJ$6:$AJ$505,"&gt;"&amp;$A146,実績!$AK$6:$AK$505,"○")&gt;0,1,0))</f>
        <v>0</v>
      </c>
      <c r="CE146" s="39" t="n">
        <f aca="false">IF(CE$4=0,0,IF(COUNTIFS(実績!$W$6:$W$505,CE$3,実績!$AI$6:$AI$505,"&lt;="&amp;$A146,実績!$AJ$6:$AJ$505,"&gt;"&amp;$A146,実績!$AK$6:$AK$505,"○")&gt;0,1,0))</f>
        <v>0</v>
      </c>
      <c r="CF146" s="39" t="n">
        <f aca="false">IF(CF$4=0,0,IF(COUNTIFS(実績!$W$6:$W$505,CF$3,実績!$AI$6:$AI$505,"&lt;="&amp;$A146,実績!$AJ$6:$AJ$505,"&gt;"&amp;$A146,実績!$AK$6:$AK$505,"○")&gt;0,1,0))</f>
        <v>0</v>
      </c>
      <c r="CG146" s="39" t="n">
        <f aca="false">IF(CG$4=0,0,IF(COUNTIFS(実績!$W$6:$W$505,CG$3,実績!$AI$6:$AI$505,"&lt;="&amp;$A146,実績!$AJ$6:$AJ$505,"&gt;"&amp;$A146,実績!$AK$6:$AK$505,"○")&gt;0,1,0))</f>
        <v>0</v>
      </c>
      <c r="CH146" s="39" t="n">
        <f aca="false">IF(CH$4=0,0,IF(COUNTIFS(実績!$W$6:$W$505,CH$3,実績!$AI$6:$AI$505,"&lt;="&amp;$A146,実績!$AJ$6:$AJ$505,"&gt;"&amp;$A146,実績!$AK$6:$AK$505,"○")&gt;0,1,0))</f>
        <v>0</v>
      </c>
      <c r="CI146" s="39" t="n">
        <f aca="false">IF(CI$4=0,0,IF(COUNTIFS(実績!$W$6:$W$505,CI$3,実績!$AI$6:$AI$505,"&lt;="&amp;$A146,実績!$AJ$6:$AJ$505,"&gt;"&amp;$A146,実績!$AK$6:$AK$505,"○")&gt;0,1,0))</f>
        <v>0</v>
      </c>
      <c r="CJ146" s="39" t="n">
        <f aca="false">IF(CJ$4=0,0,IF(COUNTIFS(実績!$W$6:$W$505,CJ$3,実績!$AI$6:$AI$505,"&lt;="&amp;$A146,実績!$AJ$6:$AJ$505,"&gt;"&amp;$A146,実績!$AK$6:$AK$505,"○")&gt;0,1,0))</f>
        <v>0</v>
      </c>
      <c r="CK146" s="39" t="n">
        <f aca="false">IF(CK$4=0,0,IF(COUNTIFS(実績!$W$6:$W$505,CK$3,実績!$AI$6:$AI$505,"&lt;="&amp;$A146,実績!$AJ$6:$AJ$505,"&gt;"&amp;$A146,実績!$AK$6:$AK$505,"○")&gt;0,1,0))</f>
        <v>0</v>
      </c>
      <c r="CL146" s="39" t="n">
        <f aca="false">IF(CL$4=0,0,IF(COUNTIFS(実績!$W$6:$W$505,CL$3,実績!$AI$6:$AI$505,"&lt;="&amp;$A146,実績!$AJ$6:$AJ$505,"&gt;"&amp;$A146,実績!$AK$6:$AK$505,"○")&gt;0,1,0))</f>
        <v>0</v>
      </c>
      <c r="CM146" s="39" t="n">
        <f aca="false">IF(CM$4=0,0,IF(COUNTIFS(実績!$W$6:$W$505,CM$3,実績!$AI$6:$AI$505,"&lt;="&amp;$A146,実績!$AJ$6:$AJ$505,"&gt;"&amp;$A146,実績!$AK$6:$AK$505,"○")&gt;0,1,0))</f>
        <v>0</v>
      </c>
      <c r="CN146" s="39" t="n">
        <f aca="false">IF(CN$4=0,0,IF(COUNTIFS(実績!$W$6:$W$505,CN$3,実績!$AI$6:$AI$505,"&lt;="&amp;$A146,実績!$AJ$6:$AJ$505,"&gt;"&amp;$A146,実績!$AK$6:$AK$505,"○")&gt;0,1,0))</f>
        <v>0</v>
      </c>
      <c r="CO146" s="39" t="n">
        <f aca="false">IF(CO$4=0,0,IF(COUNTIFS(実績!$W$6:$W$505,CO$3,実績!$AI$6:$AI$505,"&lt;="&amp;$A146,実績!$AJ$6:$AJ$505,"&gt;"&amp;$A146,実績!$AK$6:$AK$505,"○")&gt;0,1,0))</f>
        <v>0</v>
      </c>
      <c r="CP146" s="39" t="n">
        <f aca="false">IF(CP$4=0,0,IF(COUNTIFS(実績!$W$6:$W$505,CP$3,実績!$AI$6:$AI$505,"&lt;="&amp;$A146,実績!$AJ$6:$AJ$505,"&gt;"&amp;$A146,実績!$AK$6:$AK$505,"○")&gt;0,1,0))</f>
        <v>0</v>
      </c>
      <c r="CQ146" s="39" t="n">
        <f aca="false">IF(CQ$4=0,0,IF(COUNTIFS(実績!$W$6:$W$505,CQ$3,実績!$AI$6:$AI$505,"&lt;="&amp;$A146,実績!$AJ$6:$AJ$505,"&gt;"&amp;$A146,実績!$AK$6:$AK$505,"○")&gt;0,1,0))</f>
        <v>0</v>
      </c>
      <c r="CR146" s="39" t="n">
        <f aca="false">IF(CR$4=0,0,IF(COUNTIFS(実績!$W$6:$W$505,CR$3,実績!$AI$6:$AI$505,"&lt;="&amp;$A146,実績!$AJ$6:$AJ$505,"&gt;"&amp;$A146,実績!$AK$6:$AK$505,"○")&gt;0,1,0))</f>
        <v>0</v>
      </c>
      <c r="CS146" s="39" t="n">
        <f aca="false">IF(CS$4=0,0,IF(COUNTIFS(実績!$W$6:$W$505,CS$3,実績!$AI$6:$AI$505,"&lt;="&amp;$A146,実績!$AJ$6:$AJ$505,"&gt;"&amp;$A146,実績!$AK$6:$AK$505,"○")&gt;0,1,0))</f>
        <v>0</v>
      </c>
      <c r="CT146" s="39" t="n">
        <f aca="false">IF(CT$4=0,0,IF(COUNTIFS(実績!$W$6:$W$505,CT$3,実績!$AI$6:$AI$505,"&lt;="&amp;$A146,実績!$AJ$6:$AJ$505,"&gt;"&amp;$A146,実績!$AK$6:$AK$505,"○")&gt;0,1,0))</f>
        <v>0</v>
      </c>
      <c r="CU146" s="39" t="n">
        <f aca="false">IF(CU$4=0,0,IF(COUNTIFS(実績!$W$6:$W$505,CU$3,実績!$AI$6:$AI$505,"&lt;="&amp;$A146,実績!$AJ$6:$AJ$505,"&gt;"&amp;$A146,実績!$AK$6:$AK$505,"○")&gt;0,1,0))</f>
        <v>0</v>
      </c>
      <c r="CV146" s="39" t="n">
        <f aca="false">IF(CV$4=0,0,IF(COUNTIFS(実績!$W$6:$W$505,CV$3,実績!$AI$6:$AI$505,"&lt;="&amp;$A146,実績!$AJ$6:$AJ$505,"&gt;"&amp;$A146,実績!$AK$6:$AK$505,"○")&gt;0,1,0))</f>
        <v>0</v>
      </c>
      <c r="CW146" s="39" t="n">
        <f aca="false">IF(CW$4=0,0,IF(COUNTIFS(実績!$W$6:$W$505,CW$3,実績!$AI$6:$AI$505,"&lt;="&amp;$A146,実績!$AJ$6:$AJ$505,"&gt;"&amp;$A146,実績!$AK$6:$AK$505,"○")&gt;0,1,0))</f>
        <v>0</v>
      </c>
      <c r="CX146" s="39" t="n">
        <f aca="false">IF(CX$4=0,0,IF(COUNTIFS(実績!$W$6:$W$505,CX$3,実績!$AI$6:$AI$505,"&lt;="&amp;$A146,実績!$AJ$6:$AJ$505,"&gt;"&amp;$A146,実績!$AK$6:$AK$505,"○")&gt;0,1,0))</f>
        <v>0</v>
      </c>
      <c r="CY146" s="39" t="n">
        <f aca="false">IF(CY$4=0,0,IF(COUNTIFS(実績!$W$6:$W$505,CY$3,実績!$AI$6:$AI$505,"&lt;="&amp;$A146,実績!$AJ$6:$AJ$505,"&gt;"&amp;$A146,実績!$AK$6:$AK$505,"○")&gt;0,1,0))</f>
        <v>0</v>
      </c>
      <c r="CZ146" s="39" t="n">
        <f aca="false">IF(CZ$4=0,0,IF(COUNTIFS(実績!$W$6:$W$505,CZ$3,実績!$AI$6:$AI$505,"&lt;="&amp;$A146,実績!$AJ$6:$AJ$505,"&gt;"&amp;$A146,実績!$AK$6:$AK$505,"○")&gt;0,1,0))</f>
        <v>0</v>
      </c>
      <c r="DA146" s="39" t="n">
        <f aca="false">IF(DA$4=0,0,IF(COUNTIFS(実績!$W$6:$W$505,DA$3,実績!$AI$6:$AI$505,"&lt;="&amp;$A146,実績!$AJ$6:$AJ$505,"&gt;"&amp;$A146,実績!$AK$6:$AK$505,"○")&gt;0,1,0))</f>
        <v>0</v>
      </c>
      <c r="DB146" s="39" t="n">
        <f aca="false">IF(DB$4=0,0,IF(COUNTIFS(実績!$W$6:$W$505,DB$3,実績!$AI$6:$AI$505,"&lt;="&amp;$A146,実績!$AJ$6:$AJ$505,"&gt;"&amp;$A146,実績!$AK$6:$AK$505,"○")&gt;0,1,0))</f>
        <v>0</v>
      </c>
      <c r="DC146" s="39" t="n">
        <f aca="false">IF(DC$4=0,0,IF(COUNTIFS(実績!$W$6:$W$505,DC$3,実績!$AI$6:$AI$505,"&lt;="&amp;$A146,実績!$AJ$6:$AJ$505,"&gt;"&amp;$A146,実績!$AK$6:$AK$505,"○")&gt;0,1,0))</f>
        <v>0</v>
      </c>
      <c r="DD146" s="39" t="n">
        <f aca="false">IF(DD$4=0,0,IF(COUNTIFS(実績!$W$6:$W$505,DD$3,実績!$AI$6:$AI$505,"&lt;="&amp;$A146,実績!$AJ$6:$AJ$505,"&gt;"&amp;$A146,実績!$AK$6:$AK$505,"○")&gt;0,1,0))</f>
        <v>0</v>
      </c>
      <c r="DE146" s="39" t="n">
        <f aca="false">IF(DE$4=0,0,IF(COUNTIFS(実績!$W$6:$W$505,DE$3,実績!$AI$6:$AI$505,"&lt;="&amp;$A146,実績!$AJ$6:$AJ$505,"&gt;"&amp;$A146,実績!$AK$6:$AK$505,"○")&gt;0,1,0))</f>
        <v>0</v>
      </c>
      <c r="DF146" s="39" t="n">
        <f aca="false">IF(DF$4=0,0,IF(COUNTIFS(実績!$W$6:$W$505,DF$3,実績!$AI$6:$AI$505,"&lt;="&amp;$A146,実績!$AJ$6:$AJ$505,"&gt;"&amp;$A146,実績!$AK$6:$AK$505,"○")&gt;0,1,0))</f>
        <v>0</v>
      </c>
      <c r="DG146" s="39" t="n">
        <f aca="false">IF(DG$4=0,0,IF(COUNTIFS(実績!$W$6:$W$505,DG$3,実績!$AI$6:$AI$505,"&lt;="&amp;$A146,実績!$AJ$6:$AJ$505,"&gt;"&amp;$A146,実績!$AK$6:$AK$505,"○")&gt;0,1,0))</f>
        <v>0</v>
      </c>
      <c r="DH146" s="39" t="n">
        <f aca="false">IF(DH$4=0,0,IF(COUNTIFS(実績!$W$6:$W$505,DH$3,実績!$AI$6:$AI$505,"&lt;="&amp;$A146,実績!$AJ$6:$AJ$505,"&gt;"&amp;$A146,実績!$AK$6:$AK$505,"○")&gt;0,1,0))</f>
        <v>0</v>
      </c>
      <c r="DI146" s="39" t="n">
        <f aca="false">IF(DI$4=0,0,IF(COUNTIFS(実績!$W$6:$W$505,DI$3,実績!$AI$6:$AI$505,"&lt;="&amp;$A146,実績!$AJ$6:$AJ$505,"&gt;"&amp;$A146,実績!$AK$6:$AK$505,"○")&gt;0,1,0))</f>
        <v>0</v>
      </c>
      <c r="DJ146" s="39" t="n">
        <f aca="false">IF(DJ$4=0,0,IF(COUNTIFS(実績!$W$6:$W$505,DJ$3,実績!$AI$6:$AI$505,"&lt;="&amp;$A146,実績!$AJ$6:$AJ$505,"&gt;"&amp;$A146,実績!$AK$6:$AK$505,"○")&gt;0,1,0))</f>
        <v>0</v>
      </c>
      <c r="DK146" s="39" t="n">
        <f aca="false">IF(DK$4=0,0,IF(COUNTIFS(実績!$W$6:$W$505,DK$3,実績!$AI$6:$AI$505,"&lt;="&amp;$A146,実績!$AJ$6:$AJ$505,"&gt;"&amp;$A146,実績!$AK$6:$AK$505,"○")&gt;0,1,0))</f>
        <v>0</v>
      </c>
      <c r="DL146" s="39" t="n">
        <f aca="false">IF(DL$4=0,0,IF(COUNTIFS(実績!$W$6:$W$505,DL$3,実績!$AI$6:$AI$505,"&lt;="&amp;$A146,実績!$AJ$6:$AJ$505,"&gt;"&amp;$A146,実績!$AK$6:$AK$505,"○")&gt;0,1,0))</f>
        <v>0</v>
      </c>
      <c r="DM146" s="39" t="n">
        <f aca="false">IF(DM$4=0,0,IF(COUNTIFS(実績!$W$6:$W$505,DM$3,実績!$AI$6:$AI$505,"&lt;="&amp;$A146,実績!$AJ$6:$AJ$505,"&gt;"&amp;$A146,実績!$AK$6:$AK$505,"○")&gt;0,1,0))</f>
        <v>0</v>
      </c>
      <c r="DN146" s="39" t="n">
        <f aca="false">IF(DN$4=0,0,IF(COUNTIFS(実績!$W$6:$W$505,DN$3,実績!$AI$6:$AI$505,"&lt;="&amp;$A146,実績!$AJ$6:$AJ$505,"&gt;"&amp;$A146,実績!$AK$6:$AK$505,"○")&gt;0,1,0))</f>
        <v>0</v>
      </c>
      <c r="DO146" s="39" t="n">
        <f aca="false">IF(DO$4=0,0,IF(COUNTIFS(実績!$W$6:$W$505,DO$3,実績!$AI$6:$AI$505,"&lt;="&amp;$A146,実績!$AJ$6:$AJ$505,"&gt;"&amp;$A146,実績!$AK$6:$AK$505,"○")&gt;0,1,0))</f>
        <v>0</v>
      </c>
      <c r="DP146" s="39" t="n">
        <f aca="false">IF(DP$4=0,0,IF(COUNTIFS(実績!$W$6:$W$505,DP$3,実績!$AI$6:$AI$505,"&lt;="&amp;$A146,実績!$AJ$6:$AJ$505,"&gt;"&amp;$A146,実績!$AK$6:$AK$505,"○")&gt;0,1,0))</f>
        <v>0</v>
      </c>
      <c r="DQ146" s="39" t="n">
        <f aca="false">IF(DQ$4=0,0,IF(COUNTIFS(実績!$W$6:$W$505,DQ$3,実績!$AI$6:$AI$505,"&lt;="&amp;$A146,実績!$AJ$6:$AJ$505,"&gt;"&amp;$A146,実績!$AK$6:$AK$505,"○")&gt;0,1,0))</f>
        <v>0</v>
      </c>
      <c r="DR146" s="39" t="n">
        <f aca="false">IF(DR$4=0,0,IF(COUNTIFS(実績!$W$6:$W$505,DR$3,実績!$AI$6:$AI$505,"&lt;="&amp;$A146,実績!$AJ$6:$AJ$505,"&gt;"&amp;$A146,実績!$AK$6:$AK$505,"○")&gt;0,1,0))</f>
        <v>0</v>
      </c>
      <c r="DS146" s="39" t="n">
        <f aca="false">SUM(C146:DR146)</f>
        <v>0</v>
      </c>
      <c r="DT146" s="39" t="n">
        <f aca="false">SUMPRODUCT((実績!$C$6:$C$505="○")*ISNUMBER(実績!$AM$6:$AM$505)*(実績!$AM$6:$AM$505&lt;=$A146)*(実績!$AN$6:$AN$505&gt;$A146))</f>
        <v>0</v>
      </c>
      <c r="DU146" s="39" t="n">
        <f aca="false">SUMIF($C$2:$DR$2,"製鉄曳船",C146:DR146)</f>
        <v>0</v>
      </c>
      <c r="DV146" s="39" t="n">
        <f aca="false">SUMIF($C$2:$DR$2,"西日本海運",C146:DR146)</f>
        <v>0</v>
      </c>
    </row>
    <row r="147" customFormat="false" ht="15" hidden="false" customHeight="false" outlineLevel="0" collapsed="false">
      <c r="A147" s="0" t="n">
        <v>705</v>
      </c>
      <c r="B147" s="38" t="n">
        <f aca="false">A147/1440</f>
        <v>0.489583333333333</v>
      </c>
      <c r="C147" s="39" t="n">
        <f aca="false">IF(C$4=0,0,IF(COUNTIFS(実績!$W$6:$W$505,C$3,実績!$AI$6:$AI$505,"&lt;="&amp;$A147,実績!$AJ$6:$AJ$505,"&gt;"&amp;$A147,実績!$AK$6:$AK$505,"○")&gt;0,1,0))</f>
        <v>0</v>
      </c>
      <c r="D147" s="39" t="n">
        <f aca="false">IF(D$4=0,0,IF(COUNTIFS(実績!$W$6:$W$505,D$3,実績!$AI$6:$AI$505,"&lt;="&amp;$A147,実績!$AJ$6:$AJ$505,"&gt;"&amp;$A147,実績!$AK$6:$AK$505,"○")&gt;0,1,0))</f>
        <v>0</v>
      </c>
      <c r="E147" s="39" t="n">
        <f aca="false">IF(E$4=0,0,IF(COUNTIFS(実績!$W$6:$W$505,E$3,実績!$AI$6:$AI$505,"&lt;="&amp;$A147,実績!$AJ$6:$AJ$505,"&gt;"&amp;$A147,実績!$AK$6:$AK$505,"○")&gt;0,1,0))</f>
        <v>0</v>
      </c>
      <c r="F147" s="39" t="n">
        <f aca="false">IF(F$4=0,0,IF(COUNTIFS(実績!$W$6:$W$505,F$3,実績!$AI$6:$AI$505,"&lt;="&amp;$A147,実績!$AJ$6:$AJ$505,"&gt;"&amp;$A147,実績!$AK$6:$AK$505,"○")&gt;0,1,0))</f>
        <v>0</v>
      </c>
      <c r="G147" s="39" t="n">
        <f aca="false">IF(G$4=0,0,IF(COUNTIFS(実績!$W$6:$W$505,G$3,実績!$AI$6:$AI$505,"&lt;="&amp;$A147,実績!$AJ$6:$AJ$505,"&gt;"&amp;$A147,実績!$AK$6:$AK$505,"○")&gt;0,1,0))</f>
        <v>0</v>
      </c>
      <c r="H147" s="39" t="n">
        <f aca="false">IF(H$4=0,0,IF(COUNTIFS(実績!$W$6:$W$505,H$3,実績!$AI$6:$AI$505,"&lt;="&amp;$A147,実績!$AJ$6:$AJ$505,"&gt;"&amp;$A147,実績!$AK$6:$AK$505,"○")&gt;0,1,0))</f>
        <v>0</v>
      </c>
      <c r="I147" s="39" t="n">
        <f aca="false">IF(I$4=0,0,IF(COUNTIFS(実績!$W$6:$W$505,I$3,実績!$AI$6:$AI$505,"&lt;="&amp;$A147,実績!$AJ$6:$AJ$505,"&gt;"&amp;$A147,実績!$AK$6:$AK$505,"○")&gt;0,1,0))</f>
        <v>0</v>
      </c>
      <c r="J147" s="39" t="n">
        <f aca="false">IF(J$4=0,0,IF(COUNTIFS(実績!$W$6:$W$505,J$3,実績!$AI$6:$AI$505,"&lt;="&amp;$A147,実績!$AJ$6:$AJ$505,"&gt;"&amp;$A147,実績!$AK$6:$AK$505,"○")&gt;0,1,0))</f>
        <v>0</v>
      </c>
      <c r="K147" s="39" t="n">
        <f aca="false">IF(K$4=0,0,IF(COUNTIFS(実績!$W$6:$W$505,K$3,実績!$AI$6:$AI$505,"&lt;="&amp;$A147,実績!$AJ$6:$AJ$505,"&gt;"&amp;$A147,実績!$AK$6:$AK$505,"○")&gt;0,1,0))</f>
        <v>0</v>
      </c>
      <c r="L147" s="39" t="n">
        <f aca="false">IF(L$4=0,0,IF(COUNTIFS(実績!$W$6:$W$505,L$3,実績!$AI$6:$AI$505,"&lt;="&amp;$A147,実績!$AJ$6:$AJ$505,"&gt;"&amp;$A147,実績!$AK$6:$AK$505,"○")&gt;0,1,0))</f>
        <v>0</v>
      </c>
      <c r="M147" s="39" t="n">
        <f aca="false">IF(M$4=0,0,IF(COUNTIFS(実績!$W$6:$W$505,M$3,実績!$AI$6:$AI$505,"&lt;="&amp;$A147,実績!$AJ$6:$AJ$505,"&gt;"&amp;$A147,実績!$AK$6:$AK$505,"○")&gt;0,1,0))</f>
        <v>0</v>
      </c>
      <c r="N147" s="39" t="n">
        <f aca="false">IF(N$4=0,0,IF(COUNTIFS(実績!$W$6:$W$505,N$3,実績!$AI$6:$AI$505,"&lt;="&amp;$A147,実績!$AJ$6:$AJ$505,"&gt;"&amp;$A147,実績!$AK$6:$AK$505,"○")&gt;0,1,0))</f>
        <v>0</v>
      </c>
      <c r="O147" s="39" t="n">
        <f aca="false">IF(O$4=0,0,IF(COUNTIFS(実績!$W$6:$W$505,O$3,実績!$AI$6:$AI$505,"&lt;="&amp;$A147,実績!$AJ$6:$AJ$505,"&gt;"&amp;$A147,実績!$AK$6:$AK$505,"○")&gt;0,1,0))</f>
        <v>0</v>
      </c>
      <c r="P147" s="39" t="n">
        <f aca="false">IF(P$4=0,0,IF(COUNTIFS(実績!$W$6:$W$505,P$3,実績!$AI$6:$AI$505,"&lt;="&amp;$A147,実績!$AJ$6:$AJ$505,"&gt;"&amp;$A147,実績!$AK$6:$AK$505,"○")&gt;0,1,0))</f>
        <v>0</v>
      </c>
      <c r="Q147" s="39" t="n">
        <f aca="false">IF(Q$4=0,0,IF(COUNTIFS(実績!$W$6:$W$505,Q$3,実績!$AI$6:$AI$505,"&lt;="&amp;$A147,実績!$AJ$6:$AJ$505,"&gt;"&amp;$A147,実績!$AK$6:$AK$505,"○")&gt;0,1,0))</f>
        <v>0</v>
      </c>
      <c r="R147" s="39" t="n">
        <f aca="false">IF(R$4=0,0,IF(COUNTIFS(実績!$W$6:$W$505,R$3,実績!$AI$6:$AI$505,"&lt;="&amp;$A147,実績!$AJ$6:$AJ$505,"&gt;"&amp;$A147,実績!$AK$6:$AK$505,"○")&gt;0,1,0))</f>
        <v>0</v>
      </c>
      <c r="S147" s="39" t="n">
        <f aca="false">IF(S$4=0,0,IF(COUNTIFS(実績!$W$6:$W$505,S$3,実績!$AI$6:$AI$505,"&lt;="&amp;$A147,実績!$AJ$6:$AJ$505,"&gt;"&amp;$A147,実績!$AK$6:$AK$505,"○")&gt;0,1,0))</f>
        <v>0</v>
      </c>
      <c r="T147" s="39" t="n">
        <f aca="false">IF(T$4=0,0,IF(COUNTIFS(実績!$W$6:$W$505,T$3,実績!$AI$6:$AI$505,"&lt;="&amp;$A147,実績!$AJ$6:$AJ$505,"&gt;"&amp;$A147,実績!$AK$6:$AK$505,"○")&gt;0,1,0))</f>
        <v>0</v>
      </c>
      <c r="U147" s="39" t="n">
        <f aca="false">IF(U$4=0,0,IF(COUNTIFS(実績!$W$6:$W$505,U$3,実績!$AI$6:$AI$505,"&lt;="&amp;$A147,実績!$AJ$6:$AJ$505,"&gt;"&amp;$A147,実績!$AK$6:$AK$505,"○")&gt;0,1,0))</f>
        <v>0</v>
      </c>
      <c r="V147" s="39" t="n">
        <f aca="false">IF(V$4=0,0,IF(COUNTIFS(実績!$W$6:$W$505,V$3,実績!$AI$6:$AI$505,"&lt;="&amp;$A147,実績!$AJ$6:$AJ$505,"&gt;"&amp;$A147,実績!$AK$6:$AK$505,"○")&gt;0,1,0))</f>
        <v>0</v>
      </c>
      <c r="W147" s="39" t="n">
        <f aca="false">IF(W$4=0,0,IF(COUNTIFS(実績!$W$6:$W$505,W$3,実績!$AI$6:$AI$505,"&lt;="&amp;$A147,実績!$AJ$6:$AJ$505,"&gt;"&amp;$A147,実績!$AK$6:$AK$505,"○")&gt;0,1,0))</f>
        <v>0</v>
      </c>
      <c r="X147" s="39" t="n">
        <f aca="false">IF(X$4=0,0,IF(COUNTIFS(実績!$W$6:$W$505,X$3,実績!$AI$6:$AI$505,"&lt;="&amp;$A147,実績!$AJ$6:$AJ$505,"&gt;"&amp;$A147,実績!$AK$6:$AK$505,"○")&gt;0,1,0))</f>
        <v>0</v>
      </c>
      <c r="Y147" s="39" t="n">
        <f aca="false">IF(Y$4=0,0,IF(COUNTIFS(実績!$W$6:$W$505,Y$3,実績!$AI$6:$AI$505,"&lt;="&amp;$A147,実績!$AJ$6:$AJ$505,"&gt;"&amp;$A147,実績!$AK$6:$AK$505,"○")&gt;0,1,0))</f>
        <v>0</v>
      </c>
      <c r="Z147" s="39" t="n">
        <f aca="false">IF(Z$4=0,0,IF(COUNTIFS(実績!$W$6:$W$505,Z$3,実績!$AI$6:$AI$505,"&lt;="&amp;$A147,実績!$AJ$6:$AJ$505,"&gt;"&amp;$A147,実績!$AK$6:$AK$505,"○")&gt;0,1,0))</f>
        <v>0</v>
      </c>
      <c r="AA147" s="39" t="n">
        <f aca="false">IF(AA$4=0,0,IF(COUNTIFS(実績!$W$6:$W$505,AA$3,実績!$AI$6:$AI$505,"&lt;="&amp;$A147,実績!$AJ$6:$AJ$505,"&gt;"&amp;$A147,実績!$AK$6:$AK$505,"○")&gt;0,1,0))</f>
        <v>0</v>
      </c>
      <c r="AB147" s="39" t="n">
        <f aca="false">IF(AB$4=0,0,IF(COUNTIFS(実績!$W$6:$W$505,AB$3,実績!$AI$6:$AI$505,"&lt;="&amp;$A147,実績!$AJ$6:$AJ$505,"&gt;"&amp;$A147,実績!$AK$6:$AK$505,"○")&gt;0,1,0))</f>
        <v>0</v>
      </c>
      <c r="AC147" s="39" t="n">
        <f aca="false">IF(AC$4=0,0,IF(COUNTIFS(実績!$W$6:$W$505,AC$3,実績!$AI$6:$AI$505,"&lt;="&amp;$A147,実績!$AJ$6:$AJ$505,"&gt;"&amp;$A147,実績!$AK$6:$AK$505,"○")&gt;0,1,0))</f>
        <v>0</v>
      </c>
      <c r="AD147" s="39" t="n">
        <f aca="false">IF(AD$4=0,0,IF(COUNTIFS(実績!$W$6:$W$505,AD$3,実績!$AI$6:$AI$505,"&lt;="&amp;$A147,実績!$AJ$6:$AJ$505,"&gt;"&amp;$A147,実績!$AK$6:$AK$505,"○")&gt;0,1,0))</f>
        <v>0</v>
      </c>
      <c r="AE147" s="39" t="n">
        <f aca="false">IF(AE$4=0,0,IF(COUNTIFS(実績!$W$6:$W$505,AE$3,実績!$AI$6:$AI$505,"&lt;="&amp;$A147,実績!$AJ$6:$AJ$505,"&gt;"&amp;$A147,実績!$AK$6:$AK$505,"○")&gt;0,1,0))</f>
        <v>0</v>
      </c>
      <c r="AF147" s="39" t="n">
        <f aca="false">IF(AF$4=0,0,IF(COUNTIFS(実績!$W$6:$W$505,AF$3,実績!$AI$6:$AI$505,"&lt;="&amp;$A147,実績!$AJ$6:$AJ$505,"&gt;"&amp;$A147,実績!$AK$6:$AK$505,"○")&gt;0,1,0))</f>
        <v>0</v>
      </c>
      <c r="AG147" s="39" t="n">
        <f aca="false">IF(AG$4=0,0,IF(COUNTIFS(実績!$W$6:$W$505,AG$3,実績!$AI$6:$AI$505,"&lt;="&amp;$A147,実績!$AJ$6:$AJ$505,"&gt;"&amp;$A147,実績!$AK$6:$AK$505,"○")&gt;0,1,0))</f>
        <v>0</v>
      </c>
      <c r="AH147" s="39" t="n">
        <f aca="false">IF(AH$4=0,0,IF(COUNTIFS(実績!$W$6:$W$505,AH$3,実績!$AI$6:$AI$505,"&lt;="&amp;$A147,実績!$AJ$6:$AJ$505,"&gt;"&amp;$A147,実績!$AK$6:$AK$505,"○")&gt;0,1,0))</f>
        <v>0</v>
      </c>
      <c r="AI147" s="39" t="n">
        <f aca="false">IF(AI$4=0,0,IF(COUNTIFS(実績!$W$6:$W$505,AI$3,実績!$AI$6:$AI$505,"&lt;="&amp;$A147,実績!$AJ$6:$AJ$505,"&gt;"&amp;$A147,実績!$AK$6:$AK$505,"○")&gt;0,1,0))</f>
        <v>0</v>
      </c>
      <c r="AJ147" s="39" t="n">
        <f aca="false">IF(AJ$4=0,0,IF(COUNTIFS(実績!$W$6:$W$505,AJ$3,実績!$AI$6:$AI$505,"&lt;="&amp;$A147,実績!$AJ$6:$AJ$505,"&gt;"&amp;$A147,実績!$AK$6:$AK$505,"○")&gt;0,1,0))</f>
        <v>0</v>
      </c>
      <c r="AK147" s="39" t="n">
        <f aca="false">IF(AK$4=0,0,IF(COUNTIFS(実績!$W$6:$W$505,AK$3,実績!$AI$6:$AI$505,"&lt;="&amp;$A147,実績!$AJ$6:$AJ$505,"&gt;"&amp;$A147,実績!$AK$6:$AK$505,"○")&gt;0,1,0))</f>
        <v>0</v>
      </c>
      <c r="AL147" s="39" t="n">
        <f aca="false">IF(AL$4=0,0,IF(COUNTIFS(実績!$W$6:$W$505,AL$3,実績!$AI$6:$AI$505,"&lt;="&amp;$A147,実績!$AJ$6:$AJ$505,"&gt;"&amp;$A147,実績!$AK$6:$AK$505,"○")&gt;0,1,0))</f>
        <v>0</v>
      </c>
      <c r="AM147" s="39" t="n">
        <f aca="false">IF(AM$4=0,0,IF(COUNTIFS(実績!$W$6:$W$505,AM$3,実績!$AI$6:$AI$505,"&lt;="&amp;$A147,実績!$AJ$6:$AJ$505,"&gt;"&amp;$A147,実績!$AK$6:$AK$505,"○")&gt;0,1,0))</f>
        <v>0</v>
      </c>
      <c r="AN147" s="39" t="n">
        <f aca="false">IF(AN$4=0,0,IF(COUNTIFS(実績!$W$6:$W$505,AN$3,実績!$AI$6:$AI$505,"&lt;="&amp;$A147,実績!$AJ$6:$AJ$505,"&gt;"&amp;$A147,実績!$AK$6:$AK$505,"○")&gt;0,1,0))</f>
        <v>0</v>
      </c>
      <c r="AO147" s="39" t="n">
        <f aca="false">IF(AO$4=0,0,IF(COUNTIFS(実績!$W$6:$W$505,AO$3,実績!$AI$6:$AI$505,"&lt;="&amp;$A147,実績!$AJ$6:$AJ$505,"&gt;"&amp;$A147,実績!$AK$6:$AK$505,"○")&gt;0,1,0))</f>
        <v>0</v>
      </c>
      <c r="AP147" s="39" t="n">
        <f aca="false">IF(AP$4=0,0,IF(COUNTIFS(実績!$W$6:$W$505,AP$3,実績!$AI$6:$AI$505,"&lt;="&amp;$A147,実績!$AJ$6:$AJ$505,"&gt;"&amp;$A147,実績!$AK$6:$AK$505,"○")&gt;0,1,0))</f>
        <v>0</v>
      </c>
      <c r="AQ147" s="39" t="n">
        <f aca="false">IF(AQ$4=0,0,IF(COUNTIFS(実績!$W$6:$W$505,AQ$3,実績!$AI$6:$AI$505,"&lt;="&amp;$A147,実績!$AJ$6:$AJ$505,"&gt;"&amp;$A147,実績!$AK$6:$AK$505,"○")&gt;0,1,0))</f>
        <v>0</v>
      </c>
      <c r="AR147" s="39" t="n">
        <f aca="false">IF(AR$4=0,0,IF(COUNTIFS(実績!$W$6:$W$505,AR$3,実績!$AI$6:$AI$505,"&lt;="&amp;$A147,実績!$AJ$6:$AJ$505,"&gt;"&amp;$A147,実績!$AK$6:$AK$505,"○")&gt;0,1,0))</f>
        <v>0</v>
      </c>
      <c r="AS147" s="39" t="n">
        <f aca="false">IF(AS$4=0,0,IF(COUNTIFS(実績!$W$6:$W$505,AS$3,実績!$AI$6:$AI$505,"&lt;="&amp;$A147,実績!$AJ$6:$AJ$505,"&gt;"&amp;$A147,実績!$AK$6:$AK$505,"○")&gt;0,1,0))</f>
        <v>0</v>
      </c>
      <c r="AT147" s="39" t="n">
        <f aca="false">IF(AT$4=0,0,IF(COUNTIFS(実績!$W$6:$W$505,AT$3,実績!$AI$6:$AI$505,"&lt;="&amp;$A147,実績!$AJ$6:$AJ$505,"&gt;"&amp;$A147,実績!$AK$6:$AK$505,"○")&gt;0,1,0))</f>
        <v>0</v>
      </c>
      <c r="AU147" s="39" t="n">
        <f aca="false">IF(AU$4=0,0,IF(COUNTIFS(実績!$W$6:$W$505,AU$3,実績!$AI$6:$AI$505,"&lt;="&amp;$A147,実績!$AJ$6:$AJ$505,"&gt;"&amp;$A147,実績!$AK$6:$AK$505,"○")&gt;0,1,0))</f>
        <v>0</v>
      </c>
      <c r="AV147" s="39" t="n">
        <f aca="false">IF(AV$4=0,0,IF(COUNTIFS(実績!$W$6:$W$505,AV$3,実績!$AI$6:$AI$505,"&lt;="&amp;$A147,実績!$AJ$6:$AJ$505,"&gt;"&amp;$A147,実績!$AK$6:$AK$505,"○")&gt;0,1,0))</f>
        <v>0</v>
      </c>
      <c r="AW147" s="39" t="n">
        <f aca="false">IF(AW$4=0,0,IF(COUNTIFS(実績!$W$6:$W$505,AW$3,実績!$AI$6:$AI$505,"&lt;="&amp;$A147,実績!$AJ$6:$AJ$505,"&gt;"&amp;$A147,実績!$AK$6:$AK$505,"○")&gt;0,1,0))</f>
        <v>0</v>
      </c>
      <c r="AX147" s="39" t="n">
        <f aca="false">IF(AX$4=0,0,IF(COUNTIFS(実績!$W$6:$W$505,AX$3,実績!$AI$6:$AI$505,"&lt;="&amp;$A147,実績!$AJ$6:$AJ$505,"&gt;"&amp;$A147,実績!$AK$6:$AK$505,"○")&gt;0,1,0))</f>
        <v>0</v>
      </c>
      <c r="AY147" s="39" t="n">
        <f aca="false">IF(AY$4=0,0,IF(COUNTIFS(実績!$W$6:$W$505,AY$3,実績!$AI$6:$AI$505,"&lt;="&amp;$A147,実績!$AJ$6:$AJ$505,"&gt;"&amp;$A147,実績!$AK$6:$AK$505,"○")&gt;0,1,0))</f>
        <v>0</v>
      </c>
      <c r="AZ147" s="39" t="n">
        <f aca="false">IF(AZ$4=0,0,IF(COUNTIFS(実績!$W$6:$W$505,AZ$3,実績!$AI$6:$AI$505,"&lt;="&amp;$A147,実績!$AJ$6:$AJ$505,"&gt;"&amp;$A147,実績!$AK$6:$AK$505,"○")&gt;0,1,0))</f>
        <v>0</v>
      </c>
      <c r="BA147" s="39" t="n">
        <f aca="false">IF(BA$4=0,0,IF(COUNTIFS(実績!$W$6:$W$505,BA$3,実績!$AI$6:$AI$505,"&lt;="&amp;$A147,実績!$AJ$6:$AJ$505,"&gt;"&amp;$A147,実績!$AK$6:$AK$505,"○")&gt;0,1,0))</f>
        <v>0</v>
      </c>
      <c r="BB147" s="39" t="n">
        <f aca="false">IF(BB$4=0,0,IF(COUNTIFS(実績!$W$6:$W$505,BB$3,実績!$AI$6:$AI$505,"&lt;="&amp;$A147,実績!$AJ$6:$AJ$505,"&gt;"&amp;$A147,実績!$AK$6:$AK$505,"○")&gt;0,1,0))</f>
        <v>0</v>
      </c>
      <c r="BC147" s="39" t="n">
        <f aca="false">IF(BC$4=0,0,IF(COUNTIFS(実績!$W$6:$W$505,BC$3,実績!$AI$6:$AI$505,"&lt;="&amp;$A147,実績!$AJ$6:$AJ$505,"&gt;"&amp;$A147,実績!$AK$6:$AK$505,"○")&gt;0,1,0))</f>
        <v>0</v>
      </c>
      <c r="BD147" s="39" t="n">
        <f aca="false">IF(BD$4=0,0,IF(COUNTIFS(実績!$W$6:$W$505,BD$3,実績!$AI$6:$AI$505,"&lt;="&amp;$A147,実績!$AJ$6:$AJ$505,"&gt;"&amp;$A147,実績!$AK$6:$AK$505,"○")&gt;0,1,0))</f>
        <v>0</v>
      </c>
      <c r="BE147" s="39" t="n">
        <f aca="false">IF(BE$4=0,0,IF(COUNTIFS(実績!$W$6:$W$505,BE$3,実績!$AI$6:$AI$505,"&lt;="&amp;$A147,実績!$AJ$6:$AJ$505,"&gt;"&amp;$A147,実績!$AK$6:$AK$505,"○")&gt;0,1,0))</f>
        <v>0</v>
      </c>
      <c r="BF147" s="39" t="n">
        <f aca="false">IF(BF$4=0,0,IF(COUNTIFS(実績!$W$6:$W$505,BF$3,実績!$AI$6:$AI$505,"&lt;="&amp;$A147,実績!$AJ$6:$AJ$505,"&gt;"&amp;$A147,実績!$AK$6:$AK$505,"○")&gt;0,1,0))</f>
        <v>0</v>
      </c>
      <c r="BG147" s="39" t="n">
        <f aca="false">IF(BG$4=0,0,IF(COUNTIFS(実績!$W$6:$W$505,BG$3,実績!$AI$6:$AI$505,"&lt;="&amp;$A147,実績!$AJ$6:$AJ$505,"&gt;"&amp;$A147,実績!$AK$6:$AK$505,"○")&gt;0,1,0))</f>
        <v>0</v>
      </c>
      <c r="BH147" s="39" t="n">
        <f aca="false">IF(BH$4=0,0,IF(COUNTIFS(実績!$W$6:$W$505,BH$3,実績!$AI$6:$AI$505,"&lt;="&amp;$A147,実績!$AJ$6:$AJ$505,"&gt;"&amp;$A147,実績!$AK$6:$AK$505,"○")&gt;0,1,0))</f>
        <v>0</v>
      </c>
      <c r="BI147" s="39" t="n">
        <f aca="false">IF(BI$4=0,0,IF(COUNTIFS(実績!$W$6:$W$505,BI$3,実績!$AI$6:$AI$505,"&lt;="&amp;$A147,実績!$AJ$6:$AJ$505,"&gt;"&amp;$A147,実績!$AK$6:$AK$505,"○")&gt;0,1,0))</f>
        <v>0</v>
      </c>
      <c r="BJ147" s="39" t="n">
        <f aca="false">IF(BJ$4=0,0,IF(COUNTIFS(実績!$W$6:$W$505,BJ$3,実績!$AI$6:$AI$505,"&lt;="&amp;$A147,実績!$AJ$6:$AJ$505,"&gt;"&amp;$A147,実績!$AK$6:$AK$505,"○")&gt;0,1,0))</f>
        <v>0</v>
      </c>
      <c r="BK147" s="39" t="n">
        <f aca="false">IF(BK$4=0,0,IF(COUNTIFS(実績!$W$6:$W$505,BK$3,実績!$AI$6:$AI$505,"&lt;="&amp;$A147,実績!$AJ$6:$AJ$505,"&gt;"&amp;$A147,実績!$AK$6:$AK$505,"○")&gt;0,1,0))</f>
        <v>0</v>
      </c>
      <c r="BL147" s="39" t="n">
        <f aca="false">IF(BL$4=0,0,IF(COUNTIFS(実績!$W$6:$W$505,BL$3,実績!$AI$6:$AI$505,"&lt;="&amp;$A147,実績!$AJ$6:$AJ$505,"&gt;"&amp;$A147,実績!$AK$6:$AK$505,"○")&gt;0,1,0))</f>
        <v>0</v>
      </c>
      <c r="BM147" s="39" t="n">
        <f aca="false">IF(BM$4=0,0,IF(COUNTIFS(実績!$W$6:$W$505,BM$3,実績!$AI$6:$AI$505,"&lt;="&amp;$A147,実績!$AJ$6:$AJ$505,"&gt;"&amp;$A147,実績!$AK$6:$AK$505,"○")&gt;0,1,0))</f>
        <v>0</v>
      </c>
      <c r="BN147" s="39" t="n">
        <f aca="false">IF(BN$4=0,0,IF(COUNTIFS(実績!$W$6:$W$505,BN$3,実績!$AI$6:$AI$505,"&lt;="&amp;$A147,実績!$AJ$6:$AJ$505,"&gt;"&amp;$A147,実績!$AK$6:$AK$505,"○")&gt;0,1,0))</f>
        <v>0</v>
      </c>
      <c r="BO147" s="39" t="n">
        <f aca="false">IF(BO$4=0,0,IF(COUNTIFS(実績!$W$6:$W$505,BO$3,実績!$AI$6:$AI$505,"&lt;="&amp;$A147,実績!$AJ$6:$AJ$505,"&gt;"&amp;$A147,実績!$AK$6:$AK$505,"○")&gt;0,1,0))</f>
        <v>0</v>
      </c>
      <c r="BP147" s="39" t="n">
        <f aca="false">IF(BP$4=0,0,IF(COUNTIFS(実績!$W$6:$W$505,BP$3,実績!$AI$6:$AI$505,"&lt;="&amp;$A147,実績!$AJ$6:$AJ$505,"&gt;"&amp;$A147,実績!$AK$6:$AK$505,"○")&gt;0,1,0))</f>
        <v>0</v>
      </c>
      <c r="BQ147" s="39" t="n">
        <f aca="false">IF(BQ$4=0,0,IF(COUNTIFS(実績!$W$6:$W$505,BQ$3,実績!$AI$6:$AI$505,"&lt;="&amp;$A147,実績!$AJ$6:$AJ$505,"&gt;"&amp;$A147,実績!$AK$6:$AK$505,"○")&gt;0,1,0))</f>
        <v>0</v>
      </c>
      <c r="BR147" s="39" t="n">
        <f aca="false">IF(BR$4=0,0,IF(COUNTIFS(実績!$W$6:$W$505,BR$3,実績!$AI$6:$AI$505,"&lt;="&amp;$A147,実績!$AJ$6:$AJ$505,"&gt;"&amp;$A147,実績!$AK$6:$AK$505,"○")&gt;0,1,0))</f>
        <v>0</v>
      </c>
      <c r="BS147" s="39" t="n">
        <f aca="false">IF(BS$4=0,0,IF(COUNTIFS(実績!$W$6:$W$505,BS$3,実績!$AI$6:$AI$505,"&lt;="&amp;$A147,実績!$AJ$6:$AJ$505,"&gt;"&amp;$A147,実績!$AK$6:$AK$505,"○")&gt;0,1,0))</f>
        <v>0</v>
      </c>
      <c r="BT147" s="39" t="n">
        <f aca="false">IF(BT$4=0,0,IF(COUNTIFS(実績!$W$6:$W$505,BT$3,実績!$AI$6:$AI$505,"&lt;="&amp;$A147,実績!$AJ$6:$AJ$505,"&gt;"&amp;$A147,実績!$AK$6:$AK$505,"○")&gt;0,1,0))</f>
        <v>0</v>
      </c>
      <c r="BU147" s="39" t="n">
        <f aca="false">IF(BU$4=0,0,IF(COUNTIFS(実績!$W$6:$W$505,BU$3,実績!$AI$6:$AI$505,"&lt;="&amp;$A147,実績!$AJ$6:$AJ$505,"&gt;"&amp;$A147,実績!$AK$6:$AK$505,"○")&gt;0,1,0))</f>
        <v>0</v>
      </c>
      <c r="BV147" s="39" t="n">
        <f aca="false">IF(BV$4=0,0,IF(COUNTIFS(実績!$W$6:$W$505,BV$3,実績!$AI$6:$AI$505,"&lt;="&amp;$A147,実績!$AJ$6:$AJ$505,"&gt;"&amp;$A147,実績!$AK$6:$AK$505,"○")&gt;0,1,0))</f>
        <v>0</v>
      </c>
      <c r="BW147" s="39" t="n">
        <f aca="false">IF(BW$4=0,0,IF(COUNTIFS(実績!$W$6:$W$505,BW$3,実績!$AI$6:$AI$505,"&lt;="&amp;$A147,実績!$AJ$6:$AJ$505,"&gt;"&amp;$A147,実績!$AK$6:$AK$505,"○")&gt;0,1,0))</f>
        <v>0</v>
      </c>
      <c r="BX147" s="39" t="n">
        <f aca="false">IF(BX$4=0,0,IF(COUNTIFS(実績!$W$6:$W$505,BX$3,実績!$AI$6:$AI$505,"&lt;="&amp;$A147,実績!$AJ$6:$AJ$505,"&gt;"&amp;$A147,実績!$AK$6:$AK$505,"○")&gt;0,1,0))</f>
        <v>0</v>
      </c>
      <c r="BY147" s="39" t="n">
        <f aca="false">IF(BY$4=0,0,IF(COUNTIFS(実績!$W$6:$W$505,BY$3,実績!$AI$6:$AI$505,"&lt;="&amp;$A147,実績!$AJ$6:$AJ$505,"&gt;"&amp;$A147,実績!$AK$6:$AK$505,"○")&gt;0,1,0))</f>
        <v>0</v>
      </c>
      <c r="BZ147" s="39" t="n">
        <f aca="false">IF(BZ$4=0,0,IF(COUNTIFS(実績!$W$6:$W$505,BZ$3,実績!$AI$6:$AI$505,"&lt;="&amp;$A147,実績!$AJ$6:$AJ$505,"&gt;"&amp;$A147,実績!$AK$6:$AK$505,"○")&gt;0,1,0))</f>
        <v>0</v>
      </c>
      <c r="CA147" s="39" t="n">
        <f aca="false">IF(CA$4=0,0,IF(COUNTIFS(実績!$W$6:$W$505,CA$3,実績!$AI$6:$AI$505,"&lt;="&amp;$A147,実績!$AJ$6:$AJ$505,"&gt;"&amp;$A147,実績!$AK$6:$AK$505,"○")&gt;0,1,0))</f>
        <v>0</v>
      </c>
      <c r="CB147" s="39" t="n">
        <f aca="false">IF(CB$4=0,0,IF(COUNTIFS(実績!$W$6:$W$505,CB$3,実績!$AI$6:$AI$505,"&lt;="&amp;$A147,実績!$AJ$6:$AJ$505,"&gt;"&amp;$A147,実績!$AK$6:$AK$505,"○")&gt;0,1,0))</f>
        <v>0</v>
      </c>
      <c r="CC147" s="39" t="n">
        <f aca="false">IF(CC$4=0,0,IF(COUNTIFS(実績!$W$6:$W$505,CC$3,実績!$AI$6:$AI$505,"&lt;="&amp;$A147,実績!$AJ$6:$AJ$505,"&gt;"&amp;$A147,実績!$AK$6:$AK$505,"○")&gt;0,1,0))</f>
        <v>0</v>
      </c>
      <c r="CD147" s="39" t="n">
        <f aca="false">IF(CD$4=0,0,IF(COUNTIFS(実績!$W$6:$W$505,CD$3,実績!$AI$6:$AI$505,"&lt;="&amp;$A147,実績!$AJ$6:$AJ$505,"&gt;"&amp;$A147,実績!$AK$6:$AK$505,"○")&gt;0,1,0))</f>
        <v>0</v>
      </c>
      <c r="CE147" s="39" t="n">
        <f aca="false">IF(CE$4=0,0,IF(COUNTIFS(実績!$W$6:$W$505,CE$3,実績!$AI$6:$AI$505,"&lt;="&amp;$A147,実績!$AJ$6:$AJ$505,"&gt;"&amp;$A147,実績!$AK$6:$AK$505,"○")&gt;0,1,0))</f>
        <v>0</v>
      </c>
      <c r="CF147" s="39" t="n">
        <f aca="false">IF(CF$4=0,0,IF(COUNTIFS(実績!$W$6:$W$505,CF$3,実績!$AI$6:$AI$505,"&lt;="&amp;$A147,実績!$AJ$6:$AJ$505,"&gt;"&amp;$A147,実績!$AK$6:$AK$505,"○")&gt;0,1,0))</f>
        <v>0</v>
      </c>
      <c r="CG147" s="39" t="n">
        <f aca="false">IF(CG$4=0,0,IF(COUNTIFS(実績!$W$6:$W$505,CG$3,実績!$AI$6:$AI$505,"&lt;="&amp;$A147,実績!$AJ$6:$AJ$505,"&gt;"&amp;$A147,実績!$AK$6:$AK$505,"○")&gt;0,1,0))</f>
        <v>0</v>
      </c>
      <c r="CH147" s="39" t="n">
        <f aca="false">IF(CH$4=0,0,IF(COUNTIFS(実績!$W$6:$W$505,CH$3,実績!$AI$6:$AI$505,"&lt;="&amp;$A147,実績!$AJ$6:$AJ$505,"&gt;"&amp;$A147,実績!$AK$6:$AK$505,"○")&gt;0,1,0))</f>
        <v>0</v>
      </c>
      <c r="CI147" s="39" t="n">
        <f aca="false">IF(CI$4=0,0,IF(COUNTIFS(実績!$W$6:$W$505,CI$3,実績!$AI$6:$AI$505,"&lt;="&amp;$A147,実績!$AJ$6:$AJ$505,"&gt;"&amp;$A147,実績!$AK$6:$AK$505,"○")&gt;0,1,0))</f>
        <v>0</v>
      </c>
      <c r="CJ147" s="39" t="n">
        <f aca="false">IF(CJ$4=0,0,IF(COUNTIFS(実績!$W$6:$W$505,CJ$3,実績!$AI$6:$AI$505,"&lt;="&amp;$A147,実績!$AJ$6:$AJ$505,"&gt;"&amp;$A147,実績!$AK$6:$AK$505,"○")&gt;0,1,0))</f>
        <v>0</v>
      </c>
      <c r="CK147" s="39" t="n">
        <f aca="false">IF(CK$4=0,0,IF(COUNTIFS(実績!$W$6:$W$505,CK$3,実績!$AI$6:$AI$505,"&lt;="&amp;$A147,実績!$AJ$6:$AJ$505,"&gt;"&amp;$A147,実績!$AK$6:$AK$505,"○")&gt;0,1,0))</f>
        <v>0</v>
      </c>
      <c r="CL147" s="39" t="n">
        <f aca="false">IF(CL$4=0,0,IF(COUNTIFS(実績!$W$6:$W$505,CL$3,実績!$AI$6:$AI$505,"&lt;="&amp;$A147,実績!$AJ$6:$AJ$505,"&gt;"&amp;$A147,実績!$AK$6:$AK$505,"○")&gt;0,1,0))</f>
        <v>0</v>
      </c>
      <c r="CM147" s="39" t="n">
        <f aca="false">IF(CM$4=0,0,IF(COUNTIFS(実績!$W$6:$W$505,CM$3,実績!$AI$6:$AI$505,"&lt;="&amp;$A147,実績!$AJ$6:$AJ$505,"&gt;"&amp;$A147,実績!$AK$6:$AK$505,"○")&gt;0,1,0))</f>
        <v>0</v>
      </c>
      <c r="CN147" s="39" t="n">
        <f aca="false">IF(CN$4=0,0,IF(COUNTIFS(実績!$W$6:$W$505,CN$3,実績!$AI$6:$AI$505,"&lt;="&amp;$A147,実績!$AJ$6:$AJ$505,"&gt;"&amp;$A147,実績!$AK$6:$AK$505,"○")&gt;0,1,0))</f>
        <v>0</v>
      </c>
      <c r="CO147" s="39" t="n">
        <f aca="false">IF(CO$4=0,0,IF(COUNTIFS(実績!$W$6:$W$505,CO$3,実績!$AI$6:$AI$505,"&lt;="&amp;$A147,実績!$AJ$6:$AJ$505,"&gt;"&amp;$A147,実績!$AK$6:$AK$505,"○")&gt;0,1,0))</f>
        <v>0</v>
      </c>
      <c r="CP147" s="39" t="n">
        <f aca="false">IF(CP$4=0,0,IF(COUNTIFS(実績!$W$6:$W$505,CP$3,実績!$AI$6:$AI$505,"&lt;="&amp;$A147,実績!$AJ$6:$AJ$505,"&gt;"&amp;$A147,実績!$AK$6:$AK$505,"○")&gt;0,1,0))</f>
        <v>0</v>
      </c>
      <c r="CQ147" s="39" t="n">
        <f aca="false">IF(CQ$4=0,0,IF(COUNTIFS(実績!$W$6:$W$505,CQ$3,実績!$AI$6:$AI$505,"&lt;="&amp;$A147,実績!$AJ$6:$AJ$505,"&gt;"&amp;$A147,実績!$AK$6:$AK$505,"○")&gt;0,1,0))</f>
        <v>0</v>
      </c>
      <c r="CR147" s="39" t="n">
        <f aca="false">IF(CR$4=0,0,IF(COUNTIFS(実績!$W$6:$W$505,CR$3,実績!$AI$6:$AI$505,"&lt;="&amp;$A147,実績!$AJ$6:$AJ$505,"&gt;"&amp;$A147,実績!$AK$6:$AK$505,"○")&gt;0,1,0))</f>
        <v>0</v>
      </c>
      <c r="CS147" s="39" t="n">
        <f aca="false">IF(CS$4=0,0,IF(COUNTIFS(実績!$W$6:$W$505,CS$3,実績!$AI$6:$AI$505,"&lt;="&amp;$A147,実績!$AJ$6:$AJ$505,"&gt;"&amp;$A147,実績!$AK$6:$AK$505,"○")&gt;0,1,0))</f>
        <v>0</v>
      </c>
      <c r="CT147" s="39" t="n">
        <f aca="false">IF(CT$4=0,0,IF(COUNTIFS(実績!$W$6:$W$505,CT$3,実績!$AI$6:$AI$505,"&lt;="&amp;$A147,実績!$AJ$6:$AJ$505,"&gt;"&amp;$A147,実績!$AK$6:$AK$505,"○")&gt;0,1,0))</f>
        <v>0</v>
      </c>
      <c r="CU147" s="39" t="n">
        <f aca="false">IF(CU$4=0,0,IF(COUNTIFS(実績!$W$6:$W$505,CU$3,実績!$AI$6:$AI$505,"&lt;="&amp;$A147,実績!$AJ$6:$AJ$505,"&gt;"&amp;$A147,実績!$AK$6:$AK$505,"○")&gt;0,1,0))</f>
        <v>0</v>
      </c>
      <c r="CV147" s="39" t="n">
        <f aca="false">IF(CV$4=0,0,IF(COUNTIFS(実績!$W$6:$W$505,CV$3,実績!$AI$6:$AI$505,"&lt;="&amp;$A147,実績!$AJ$6:$AJ$505,"&gt;"&amp;$A147,実績!$AK$6:$AK$505,"○")&gt;0,1,0))</f>
        <v>0</v>
      </c>
      <c r="CW147" s="39" t="n">
        <f aca="false">IF(CW$4=0,0,IF(COUNTIFS(実績!$W$6:$W$505,CW$3,実績!$AI$6:$AI$505,"&lt;="&amp;$A147,実績!$AJ$6:$AJ$505,"&gt;"&amp;$A147,実績!$AK$6:$AK$505,"○")&gt;0,1,0))</f>
        <v>0</v>
      </c>
      <c r="CX147" s="39" t="n">
        <f aca="false">IF(CX$4=0,0,IF(COUNTIFS(実績!$W$6:$W$505,CX$3,実績!$AI$6:$AI$505,"&lt;="&amp;$A147,実績!$AJ$6:$AJ$505,"&gt;"&amp;$A147,実績!$AK$6:$AK$505,"○")&gt;0,1,0))</f>
        <v>0</v>
      </c>
      <c r="CY147" s="39" t="n">
        <f aca="false">IF(CY$4=0,0,IF(COUNTIFS(実績!$W$6:$W$505,CY$3,実績!$AI$6:$AI$505,"&lt;="&amp;$A147,実績!$AJ$6:$AJ$505,"&gt;"&amp;$A147,実績!$AK$6:$AK$505,"○")&gt;0,1,0))</f>
        <v>0</v>
      </c>
      <c r="CZ147" s="39" t="n">
        <f aca="false">IF(CZ$4=0,0,IF(COUNTIFS(実績!$W$6:$W$505,CZ$3,実績!$AI$6:$AI$505,"&lt;="&amp;$A147,実績!$AJ$6:$AJ$505,"&gt;"&amp;$A147,実績!$AK$6:$AK$505,"○")&gt;0,1,0))</f>
        <v>0</v>
      </c>
      <c r="DA147" s="39" t="n">
        <f aca="false">IF(DA$4=0,0,IF(COUNTIFS(実績!$W$6:$W$505,DA$3,実績!$AI$6:$AI$505,"&lt;="&amp;$A147,実績!$AJ$6:$AJ$505,"&gt;"&amp;$A147,実績!$AK$6:$AK$505,"○")&gt;0,1,0))</f>
        <v>0</v>
      </c>
      <c r="DB147" s="39" t="n">
        <f aca="false">IF(DB$4=0,0,IF(COUNTIFS(実績!$W$6:$W$505,DB$3,実績!$AI$6:$AI$505,"&lt;="&amp;$A147,実績!$AJ$6:$AJ$505,"&gt;"&amp;$A147,実績!$AK$6:$AK$505,"○")&gt;0,1,0))</f>
        <v>0</v>
      </c>
      <c r="DC147" s="39" t="n">
        <f aca="false">IF(DC$4=0,0,IF(COUNTIFS(実績!$W$6:$W$505,DC$3,実績!$AI$6:$AI$505,"&lt;="&amp;$A147,実績!$AJ$6:$AJ$505,"&gt;"&amp;$A147,実績!$AK$6:$AK$505,"○")&gt;0,1,0))</f>
        <v>0</v>
      </c>
      <c r="DD147" s="39" t="n">
        <f aca="false">IF(DD$4=0,0,IF(COUNTIFS(実績!$W$6:$W$505,DD$3,実績!$AI$6:$AI$505,"&lt;="&amp;$A147,実績!$AJ$6:$AJ$505,"&gt;"&amp;$A147,実績!$AK$6:$AK$505,"○")&gt;0,1,0))</f>
        <v>0</v>
      </c>
      <c r="DE147" s="39" t="n">
        <f aca="false">IF(DE$4=0,0,IF(COUNTIFS(実績!$W$6:$W$505,DE$3,実績!$AI$6:$AI$505,"&lt;="&amp;$A147,実績!$AJ$6:$AJ$505,"&gt;"&amp;$A147,実績!$AK$6:$AK$505,"○")&gt;0,1,0))</f>
        <v>0</v>
      </c>
      <c r="DF147" s="39" t="n">
        <f aca="false">IF(DF$4=0,0,IF(COUNTIFS(実績!$W$6:$W$505,DF$3,実績!$AI$6:$AI$505,"&lt;="&amp;$A147,実績!$AJ$6:$AJ$505,"&gt;"&amp;$A147,実績!$AK$6:$AK$505,"○")&gt;0,1,0))</f>
        <v>0</v>
      </c>
      <c r="DG147" s="39" t="n">
        <f aca="false">IF(DG$4=0,0,IF(COUNTIFS(実績!$W$6:$W$505,DG$3,実績!$AI$6:$AI$505,"&lt;="&amp;$A147,実績!$AJ$6:$AJ$505,"&gt;"&amp;$A147,実績!$AK$6:$AK$505,"○")&gt;0,1,0))</f>
        <v>0</v>
      </c>
      <c r="DH147" s="39" t="n">
        <f aca="false">IF(DH$4=0,0,IF(COUNTIFS(実績!$W$6:$W$505,DH$3,実績!$AI$6:$AI$505,"&lt;="&amp;$A147,実績!$AJ$6:$AJ$505,"&gt;"&amp;$A147,実績!$AK$6:$AK$505,"○")&gt;0,1,0))</f>
        <v>0</v>
      </c>
      <c r="DI147" s="39" t="n">
        <f aca="false">IF(DI$4=0,0,IF(COUNTIFS(実績!$W$6:$W$505,DI$3,実績!$AI$6:$AI$505,"&lt;="&amp;$A147,実績!$AJ$6:$AJ$505,"&gt;"&amp;$A147,実績!$AK$6:$AK$505,"○")&gt;0,1,0))</f>
        <v>0</v>
      </c>
      <c r="DJ147" s="39" t="n">
        <f aca="false">IF(DJ$4=0,0,IF(COUNTIFS(実績!$W$6:$W$505,DJ$3,実績!$AI$6:$AI$505,"&lt;="&amp;$A147,実績!$AJ$6:$AJ$505,"&gt;"&amp;$A147,実績!$AK$6:$AK$505,"○")&gt;0,1,0))</f>
        <v>0</v>
      </c>
      <c r="DK147" s="39" t="n">
        <f aca="false">IF(DK$4=0,0,IF(COUNTIFS(実績!$W$6:$W$505,DK$3,実績!$AI$6:$AI$505,"&lt;="&amp;$A147,実績!$AJ$6:$AJ$505,"&gt;"&amp;$A147,実績!$AK$6:$AK$505,"○")&gt;0,1,0))</f>
        <v>0</v>
      </c>
      <c r="DL147" s="39" t="n">
        <f aca="false">IF(DL$4=0,0,IF(COUNTIFS(実績!$W$6:$W$505,DL$3,実績!$AI$6:$AI$505,"&lt;="&amp;$A147,実績!$AJ$6:$AJ$505,"&gt;"&amp;$A147,実績!$AK$6:$AK$505,"○")&gt;0,1,0))</f>
        <v>0</v>
      </c>
      <c r="DM147" s="39" t="n">
        <f aca="false">IF(DM$4=0,0,IF(COUNTIFS(実績!$W$6:$W$505,DM$3,実績!$AI$6:$AI$505,"&lt;="&amp;$A147,実績!$AJ$6:$AJ$505,"&gt;"&amp;$A147,実績!$AK$6:$AK$505,"○")&gt;0,1,0))</f>
        <v>0</v>
      </c>
      <c r="DN147" s="39" t="n">
        <f aca="false">IF(DN$4=0,0,IF(COUNTIFS(実績!$W$6:$W$505,DN$3,実績!$AI$6:$AI$505,"&lt;="&amp;$A147,実績!$AJ$6:$AJ$505,"&gt;"&amp;$A147,実績!$AK$6:$AK$505,"○")&gt;0,1,0))</f>
        <v>0</v>
      </c>
      <c r="DO147" s="39" t="n">
        <f aca="false">IF(DO$4=0,0,IF(COUNTIFS(実績!$W$6:$W$505,DO$3,実績!$AI$6:$AI$505,"&lt;="&amp;$A147,実績!$AJ$6:$AJ$505,"&gt;"&amp;$A147,実績!$AK$6:$AK$505,"○")&gt;0,1,0))</f>
        <v>0</v>
      </c>
      <c r="DP147" s="39" t="n">
        <f aca="false">IF(DP$4=0,0,IF(COUNTIFS(実績!$W$6:$W$505,DP$3,実績!$AI$6:$AI$505,"&lt;="&amp;$A147,実績!$AJ$6:$AJ$505,"&gt;"&amp;$A147,実績!$AK$6:$AK$505,"○")&gt;0,1,0))</f>
        <v>0</v>
      </c>
      <c r="DQ147" s="39" t="n">
        <f aca="false">IF(DQ$4=0,0,IF(COUNTIFS(実績!$W$6:$W$505,DQ$3,実績!$AI$6:$AI$505,"&lt;="&amp;$A147,実績!$AJ$6:$AJ$505,"&gt;"&amp;$A147,実績!$AK$6:$AK$505,"○")&gt;0,1,0))</f>
        <v>0</v>
      </c>
      <c r="DR147" s="39" t="n">
        <f aca="false">IF(DR$4=0,0,IF(COUNTIFS(実績!$W$6:$W$505,DR$3,実績!$AI$6:$AI$505,"&lt;="&amp;$A147,実績!$AJ$6:$AJ$505,"&gt;"&amp;$A147,実績!$AK$6:$AK$505,"○")&gt;0,1,0))</f>
        <v>0</v>
      </c>
      <c r="DS147" s="39" t="n">
        <f aca="false">SUM(C147:DR147)</f>
        <v>0</v>
      </c>
      <c r="DT147" s="39" t="n">
        <f aca="false">SUMPRODUCT((実績!$C$6:$C$505="○")*ISNUMBER(実績!$AM$6:$AM$505)*(実績!$AM$6:$AM$505&lt;=$A147)*(実績!$AN$6:$AN$505&gt;$A147))</f>
        <v>0</v>
      </c>
      <c r="DU147" s="39" t="n">
        <f aca="false">SUMIF($C$2:$DR$2,"製鉄曳船",C147:DR147)</f>
        <v>0</v>
      </c>
      <c r="DV147" s="39" t="n">
        <f aca="false">SUMIF($C$2:$DR$2,"西日本海運",C147:DR147)</f>
        <v>0</v>
      </c>
    </row>
    <row r="148" customFormat="false" ht="15" hidden="false" customHeight="false" outlineLevel="0" collapsed="false">
      <c r="A148" s="0" t="n">
        <v>710</v>
      </c>
      <c r="B148" s="38" t="n">
        <f aca="false">A148/1440</f>
        <v>0.493055555555556</v>
      </c>
      <c r="C148" s="39" t="n">
        <f aca="false">IF(C$4=0,0,IF(COUNTIFS(実績!$W$6:$W$505,C$3,実績!$AI$6:$AI$505,"&lt;="&amp;$A148,実績!$AJ$6:$AJ$505,"&gt;"&amp;$A148,実績!$AK$6:$AK$505,"○")&gt;0,1,0))</f>
        <v>0</v>
      </c>
      <c r="D148" s="39" t="n">
        <f aca="false">IF(D$4=0,0,IF(COUNTIFS(実績!$W$6:$W$505,D$3,実績!$AI$6:$AI$505,"&lt;="&amp;$A148,実績!$AJ$6:$AJ$505,"&gt;"&amp;$A148,実績!$AK$6:$AK$505,"○")&gt;0,1,0))</f>
        <v>0</v>
      </c>
      <c r="E148" s="39" t="n">
        <f aca="false">IF(E$4=0,0,IF(COUNTIFS(実績!$W$6:$W$505,E$3,実績!$AI$6:$AI$505,"&lt;="&amp;$A148,実績!$AJ$6:$AJ$505,"&gt;"&amp;$A148,実績!$AK$6:$AK$505,"○")&gt;0,1,0))</f>
        <v>0</v>
      </c>
      <c r="F148" s="39" t="n">
        <f aca="false">IF(F$4=0,0,IF(COUNTIFS(実績!$W$6:$W$505,F$3,実績!$AI$6:$AI$505,"&lt;="&amp;$A148,実績!$AJ$6:$AJ$505,"&gt;"&amp;$A148,実績!$AK$6:$AK$505,"○")&gt;0,1,0))</f>
        <v>0</v>
      </c>
      <c r="G148" s="39" t="n">
        <f aca="false">IF(G$4=0,0,IF(COUNTIFS(実績!$W$6:$W$505,G$3,実績!$AI$6:$AI$505,"&lt;="&amp;$A148,実績!$AJ$6:$AJ$505,"&gt;"&amp;$A148,実績!$AK$6:$AK$505,"○")&gt;0,1,0))</f>
        <v>0</v>
      </c>
      <c r="H148" s="39" t="n">
        <f aca="false">IF(H$4=0,0,IF(COUNTIFS(実績!$W$6:$W$505,H$3,実績!$AI$6:$AI$505,"&lt;="&amp;$A148,実績!$AJ$6:$AJ$505,"&gt;"&amp;$A148,実績!$AK$6:$AK$505,"○")&gt;0,1,0))</f>
        <v>0</v>
      </c>
      <c r="I148" s="39" t="n">
        <f aca="false">IF(I$4=0,0,IF(COUNTIFS(実績!$W$6:$W$505,I$3,実績!$AI$6:$AI$505,"&lt;="&amp;$A148,実績!$AJ$6:$AJ$505,"&gt;"&amp;$A148,実績!$AK$6:$AK$505,"○")&gt;0,1,0))</f>
        <v>0</v>
      </c>
      <c r="J148" s="39" t="n">
        <f aca="false">IF(J$4=0,0,IF(COUNTIFS(実績!$W$6:$W$505,J$3,実績!$AI$6:$AI$505,"&lt;="&amp;$A148,実績!$AJ$6:$AJ$505,"&gt;"&amp;$A148,実績!$AK$6:$AK$505,"○")&gt;0,1,0))</f>
        <v>0</v>
      </c>
      <c r="K148" s="39" t="n">
        <f aca="false">IF(K$4=0,0,IF(COUNTIFS(実績!$W$6:$W$505,K$3,実績!$AI$6:$AI$505,"&lt;="&amp;$A148,実績!$AJ$6:$AJ$505,"&gt;"&amp;$A148,実績!$AK$6:$AK$505,"○")&gt;0,1,0))</f>
        <v>0</v>
      </c>
      <c r="L148" s="39" t="n">
        <f aca="false">IF(L$4=0,0,IF(COUNTIFS(実績!$W$6:$W$505,L$3,実績!$AI$6:$AI$505,"&lt;="&amp;$A148,実績!$AJ$6:$AJ$505,"&gt;"&amp;$A148,実績!$AK$6:$AK$505,"○")&gt;0,1,0))</f>
        <v>0</v>
      </c>
      <c r="M148" s="39" t="n">
        <f aca="false">IF(M$4=0,0,IF(COUNTIFS(実績!$W$6:$W$505,M$3,実績!$AI$6:$AI$505,"&lt;="&amp;$A148,実績!$AJ$6:$AJ$505,"&gt;"&amp;$A148,実績!$AK$6:$AK$505,"○")&gt;0,1,0))</f>
        <v>0</v>
      </c>
      <c r="N148" s="39" t="n">
        <f aca="false">IF(N$4=0,0,IF(COUNTIFS(実績!$W$6:$W$505,N$3,実績!$AI$6:$AI$505,"&lt;="&amp;$A148,実績!$AJ$6:$AJ$505,"&gt;"&amp;$A148,実績!$AK$6:$AK$505,"○")&gt;0,1,0))</f>
        <v>0</v>
      </c>
      <c r="O148" s="39" t="n">
        <f aca="false">IF(O$4=0,0,IF(COUNTIFS(実績!$W$6:$W$505,O$3,実績!$AI$6:$AI$505,"&lt;="&amp;$A148,実績!$AJ$6:$AJ$505,"&gt;"&amp;$A148,実績!$AK$6:$AK$505,"○")&gt;0,1,0))</f>
        <v>0</v>
      </c>
      <c r="P148" s="39" t="n">
        <f aca="false">IF(P$4=0,0,IF(COUNTIFS(実績!$W$6:$W$505,P$3,実績!$AI$6:$AI$505,"&lt;="&amp;$A148,実績!$AJ$6:$AJ$505,"&gt;"&amp;$A148,実績!$AK$6:$AK$505,"○")&gt;0,1,0))</f>
        <v>0</v>
      </c>
      <c r="Q148" s="39" t="n">
        <f aca="false">IF(Q$4=0,0,IF(COUNTIFS(実績!$W$6:$W$505,Q$3,実績!$AI$6:$AI$505,"&lt;="&amp;$A148,実績!$AJ$6:$AJ$505,"&gt;"&amp;$A148,実績!$AK$6:$AK$505,"○")&gt;0,1,0))</f>
        <v>0</v>
      </c>
      <c r="R148" s="39" t="n">
        <f aca="false">IF(R$4=0,0,IF(COUNTIFS(実績!$W$6:$W$505,R$3,実績!$AI$6:$AI$505,"&lt;="&amp;$A148,実績!$AJ$6:$AJ$505,"&gt;"&amp;$A148,実績!$AK$6:$AK$505,"○")&gt;0,1,0))</f>
        <v>0</v>
      </c>
      <c r="S148" s="39" t="n">
        <f aca="false">IF(S$4=0,0,IF(COUNTIFS(実績!$W$6:$W$505,S$3,実績!$AI$6:$AI$505,"&lt;="&amp;$A148,実績!$AJ$6:$AJ$505,"&gt;"&amp;$A148,実績!$AK$6:$AK$505,"○")&gt;0,1,0))</f>
        <v>0</v>
      </c>
      <c r="T148" s="39" t="n">
        <f aca="false">IF(T$4=0,0,IF(COUNTIFS(実績!$W$6:$W$505,T$3,実績!$AI$6:$AI$505,"&lt;="&amp;$A148,実績!$AJ$6:$AJ$505,"&gt;"&amp;$A148,実績!$AK$6:$AK$505,"○")&gt;0,1,0))</f>
        <v>0</v>
      </c>
      <c r="U148" s="39" t="n">
        <f aca="false">IF(U$4=0,0,IF(COUNTIFS(実績!$W$6:$W$505,U$3,実績!$AI$6:$AI$505,"&lt;="&amp;$A148,実績!$AJ$6:$AJ$505,"&gt;"&amp;$A148,実績!$AK$6:$AK$505,"○")&gt;0,1,0))</f>
        <v>0</v>
      </c>
      <c r="V148" s="39" t="n">
        <f aca="false">IF(V$4=0,0,IF(COUNTIFS(実績!$W$6:$W$505,V$3,実績!$AI$6:$AI$505,"&lt;="&amp;$A148,実績!$AJ$6:$AJ$505,"&gt;"&amp;$A148,実績!$AK$6:$AK$505,"○")&gt;0,1,0))</f>
        <v>0</v>
      </c>
      <c r="W148" s="39" t="n">
        <f aca="false">IF(W$4=0,0,IF(COUNTIFS(実績!$W$6:$W$505,W$3,実績!$AI$6:$AI$505,"&lt;="&amp;$A148,実績!$AJ$6:$AJ$505,"&gt;"&amp;$A148,実績!$AK$6:$AK$505,"○")&gt;0,1,0))</f>
        <v>0</v>
      </c>
      <c r="X148" s="39" t="n">
        <f aca="false">IF(X$4=0,0,IF(COUNTIFS(実績!$W$6:$W$505,X$3,実績!$AI$6:$AI$505,"&lt;="&amp;$A148,実績!$AJ$6:$AJ$505,"&gt;"&amp;$A148,実績!$AK$6:$AK$505,"○")&gt;0,1,0))</f>
        <v>0</v>
      </c>
      <c r="Y148" s="39" t="n">
        <f aca="false">IF(Y$4=0,0,IF(COUNTIFS(実績!$W$6:$W$505,Y$3,実績!$AI$6:$AI$505,"&lt;="&amp;$A148,実績!$AJ$6:$AJ$505,"&gt;"&amp;$A148,実績!$AK$6:$AK$505,"○")&gt;0,1,0))</f>
        <v>0</v>
      </c>
      <c r="Z148" s="39" t="n">
        <f aca="false">IF(Z$4=0,0,IF(COUNTIFS(実績!$W$6:$W$505,Z$3,実績!$AI$6:$AI$505,"&lt;="&amp;$A148,実績!$AJ$6:$AJ$505,"&gt;"&amp;$A148,実績!$AK$6:$AK$505,"○")&gt;0,1,0))</f>
        <v>0</v>
      </c>
      <c r="AA148" s="39" t="n">
        <f aca="false">IF(AA$4=0,0,IF(COUNTIFS(実績!$W$6:$W$505,AA$3,実績!$AI$6:$AI$505,"&lt;="&amp;$A148,実績!$AJ$6:$AJ$505,"&gt;"&amp;$A148,実績!$AK$6:$AK$505,"○")&gt;0,1,0))</f>
        <v>0</v>
      </c>
      <c r="AB148" s="39" t="n">
        <f aca="false">IF(AB$4=0,0,IF(COUNTIFS(実績!$W$6:$W$505,AB$3,実績!$AI$6:$AI$505,"&lt;="&amp;$A148,実績!$AJ$6:$AJ$505,"&gt;"&amp;$A148,実績!$AK$6:$AK$505,"○")&gt;0,1,0))</f>
        <v>0</v>
      </c>
      <c r="AC148" s="39" t="n">
        <f aca="false">IF(AC$4=0,0,IF(COUNTIFS(実績!$W$6:$W$505,AC$3,実績!$AI$6:$AI$505,"&lt;="&amp;$A148,実績!$AJ$6:$AJ$505,"&gt;"&amp;$A148,実績!$AK$6:$AK$505,"○")&gt;0,1,0))</f>
        <v>0</v>
      </c>
      <c r="AD148" s="39" t="n">
        <f aca="false">IF(AD$4=0,0,IF(COUNTIFS(実績!$W$6:$W$505,AD$3,実績!$AI$6:$AI$505,"&lt;="&amp;$A148,実績!$AJ$6:$AJ$505,"&gt;"&amp;$A148,実績!$AK$6:$AK$505,"○")&gt;0,1,0))</f>
        <v>0</v>
      </c>
      <c r="AE148" s="39" t="n">
        <f aca="false">IF(AE$4=0,0,IF(COUNTIFS(実績!$W$6:$W$505,AE$3,実績!$AI$6:$AI$505,"&lt;="&amp;$A148,実績!$AJ$6:$AJ$505,"&gt;"&amp;$A148,実績!$AK$6:$AK$505,"○")&gt;0,1,0))</f>
        <v>0</v>
      </c>
      <c r="AF148" s="39" t="n">
        <f aca="false">IF(AF$4=0,0,IF(COUNTIFS(実績!$W$6:$W$505,AF$3,実績!$AI$6:$AI$505,"&lt;="&amp;$A148,実績!$AJ$6:$AJ$505,"&gt;"&amp;$A148,実績!$AK$6:$AK$505,"○")&gt;0,1,0))</f>
        <v>0</v>
      </c>
      <c r="AG148" s="39" t="n">
        <f aca="false">IF(AG$4=0,0,IF(COUNTIFS(実績!$W$6:$W$505,AG$3,実績!$AI$6:$AI$505,"&lt;="&amp;$A148,実績!$AJ$6:$AJ$505,"&gt;"&amp;$A148,実績!$AK$6:$AK$505,"○")&gt;0,1,0))</f>
        <v>0</v>
      </c>
      <c r="AH148" s="39" t="n">
        <f aca="false">IF(AH$4=0,0,IF(COUNTIFS(実績!$W$6:$W$505,AH$3,実績!$AI$6:$AI$505,"&lt;="&amp;$A148,実績!$AJ$6:$AJ$505,"&gt;"&amp;$A148,実績!$AK$6:$AK$505,"○")&gt;0,1,0))</f>
        <v>0</v>
      </c>
      <c r="AI148" s="39" t="n">
        <f aca="false">IF(AI$4=0,0,IF(COUNTIFS(実績!$W$6:$W$505,AI$3,実績!$AI$6:$AI$505,"&lt;="&amp;$A148,実績!$AJ$6:$AJ$505,"&gt;"&amp;$A148,実績!$AK$6:$AK$505,"○")&gt;0,1,0))</f>
        <v>0</v>
      </c>
      <c r="AJ148" s="39" t="n">
        <f aca="false">IF(AJ$4=0,0,IF(COUNTIFS(実績!$W$6:$W$505,AJ$3,実績!$AI$6:$AI$505,"&lt;="&amp;$A148,実績!$AJ$6:$AJ$505,"&gt;"&amp;$A148,実績!$AK$6:$AK$505,"○")&gt;0,1,0))</f>
        <v>0</v>
      </c>
      <c r="AK148" s="39" t="n">
        <f aca="false">IF(AK$4=0,0,IF(COUNTIFS(実績!$W$6:$W$505,AK$3,実績!$AI$6:$AI$505,"&lt;="&amp;$A148,実績!$AJ$6:$AJ$505,"&gt;"&amp;$A148,実績!$AK$6:$AK$505,"○")&gt;0,1,0))</f>
        <v>0</v>
      </c>
      <c r="AL148" s="39" t="n">
        <f aca="false">IF(AL$4=0,0,IF(COUNTIFS(実績!$W$6:$W$505,AL$3,実績!$AI$6:$AI$505,"&lt;="&amp;$A148,実績!$AJ$6:$AJ$505,"&gt;"&amp;$A148,実績!$AK$6:$AK$505,"○")&gt;0,1,0))</f>
        <v>0</v>
      </c>
      <c r="AM148" s="39" t="n">
        <f aca="false">IF(AM$4=0,0,IF(COUNTIFS(実績!$W$6:$W$505,AM$3,実績!$AI$6:$AI$505,"&lt;="&amp;$A148,実績!$AJ$6:$AJ$505,"&gt;"&amp;$A148,実績!$AK$6:$AK$505,"○")&gt;0,1,0))</f>
        <v>0</v>
      </c>
      <c r="AN148" s="39" t="n">
        <f aca="false">IF(AN$4=0,0,IF(COUNTIFS(実績!$W$6:$W$505,AN$3,実績!$AI$6:$AI$505,"&lt;="&amp;$A148,実績!$AJ$6:$AJ$505,"&gt;"&amp;$A148,実績!$AK$6:$AK$505,"○")&gt;0,1,0))</f>
        <v>0</v>
      </c>
      <c r="AO148" s="39" t="n">
        <f aca="false">IF(AO$4=0,0,IF(COUNTIFS(実績!$W$6:$W$505,AO$3,実績!$AI$6:$AI$505,"&lt;="&amp;$A148,実績!$AJ$6:$AJ$505,"&gt;"&amp;$A148,実績!$AK$6:$AK$505,"○")&gt;0,1,0))</f>
        <v>0</v>
      </c>
      <c r="AP148" s="39" t="n">
        <f aca="false">IF(AP$4=0,0,IF(COUNTIFS(実績!$W$6:$W$505,AP$3,実績!$AI$6:$AI$505,"&lt;="&amp;$A148,実績!$AJ$6:$AJ$505,"&gt;"&amp;$A148,実績!$AK$6:$AK$505,"○")&gt;0,1,0))</f>
        <v>0</v>
      </c>
      <c r="AQ148" s="39" t="n">
        <f aca="false">IF(AQ$4=0,0,IF(COUNTIFS(実績!$W$6:$W$505,AQ$3,実績!$AI$6:$AI$505,"&lt;="&amp;$A148,実績!$AJ$6:$AJ$505,"&gt;"&amp;$A148,実績!$AK$6:$AK$505,"○")&gt;0,1,0))</f>
        <v>0</v>
      </c>
      <c r="AR148" s="39" t="n">
        <f aca="false">IF(AR$4=0,0,IF(COUNTIFS(実績!$W$6:$W$505,AR$3,実績!$AI$6:$AI$505,"&lt;="&amp;$A148,実績!$AJ$6:$AJ$505,"&gt;"&amp;$A148,実績!$AK$6:$AK$505,"○")&gt;0,1,0))</f>
        <v>0</v>
      </c>
      <c r="AS148" s="39" t="n">
        <f aca="false">IF(AS$4=0,0,IF(COUNTIFS(実績!$W$6:$W$505,AS$3,実績!$AI$6:$AI$505,"&lt;="&amp;$A148,実績!$AJ$6:$AJ$505,"&gt;"&amp;$A148,実績!$AK$6:$AK$505,"○")&gt;0,1,0))</f>
        <v>0</v>
      </c>
      <c r="AT148" s="39" t="n">
        <f aca="false">IF(AT$4=0,0,IF(COUNTIFS(実績!$W$6:$W$505,AT$3,実績!$AI$6:$AI$505,"&lt;="&amp;$A148,実績!$AJ$6:$AJ$505,"&gt;"&amp;$A148,実績!$AK$6:$AK$505,"○")&gt;0,1,0))</f>
        <v>0</v>
      </c>
      <c r="AU148" s="39" t="n">
        <f aca="false">IF(AU$4=0,0,IF(COUNTIFS(実績!$W$6:$W$505,AU$3,実績!$AI$6:$AI$505,"&lt;="&amp;$A148,実績!$AJ$6:$AJ$505,"&gt;"&amp;$A148,実績!$AK$6:$AK$505,"○")&gt;0,1,0))</f>
        <v>0</v>
      </c>
      <c r="AV148" s="39" t="n">
        <f aca="false">IF(AV$4=0,0,IF(COUNTIFS(実績!$W$6:$W$505,AV$3,実績!$AI$6:$AI$505,"&lt;="&amp;$A148,実績!$AJ$6:$AJ$505,"&gt;"&amp;$A148,実績!$AK$6:$AK$505,"○")&gt;0,1,0))</f>
        <v>0</v>
      </c>
      <c r="AW148" s="39" t="n">
        <f aca="false">IF(AW$4=0,0,IF(COUNTIFS(実績!$W$6:$W$505,AW$3,実績!$AI$6:$AI$505,"&lt;="&amp;$A148,実績!$AJ$6:$AJ$505,"&gt;"&amp;$A148,実績!$AK$6:$AK$505,"○")&gt;0,1,0))</f>
        <v>0</v>
      </c>
      <c r="AX148" s="39" t="n">
        <f aca="false">IF(AX$4=0,0,IF(COUNTIFS(実績!$W$6:$W$505,AX$3,実績!$AI$6:$AI$505,"&lt;="&amp;$A148,実績!$AJ$6:$AJ$505,"&gt;"&amp;$A148,実績!$AK$6:$AK$505,"○")&gt;0,1,0))</f>
        <v>0</v>
      </c>
      <c r="AY148" s="39" t="n">
        <f aca="false">IF(AY$4=0,0,IF(COUNTIFS(実績!$W$6:$W$505,AY$3,実績!$AI$6:$AI$505,"&lt;="&amp;$A148,実績!$AJ$6:$AJ$505,"&gt;"&amp;$A148,実績!$AK$6:$AK$505,"○")&gt;0,1,0))</f>
        <v>0</v>
      </c>
      <c r="AZ148" s="39" t="n">
        <f aca="false">IF(AZ$4=0,0,IF(COUNTIFS(実績!$W$6:$W$505,AZ$3,実績!$AI$6:$AI$505,"&lt;="&amp;$A148,実績!$AJ$6:$AJ$505,"&gt;"&amp;$A148,実績!$AK$6:$AK$505,"○")&gt;0,1,0))</f>
        <v>0</v>
      </c>
      <c r="BA148" s="39" t="n">
        <f aca="false">IF(BA$4=0,0,IF(COUNTIFS(実績!$W$6:$W$505,BA$3,実績!$AI$6:$AI$505,"&lt;="&amp;$A148,実績!$AJ$6:$AJ$505,"&gt;"&amp;$A148,実績!$AK$6:$AK$505,"○")&gt;0,1,0))</f>
        <v>0</v>
      </c>
      <c r="BB148" s="39" t="n">
        <f aca="false">IF(BB$4=0,0,IF(COUNTIFS(実績!$W$6:$W$505,BB$3,実績!$AI$6:$AI$505,"&lt;="&amp;$A148,実績!$AJ$6:$AJ$505,"&gt;"&amp;$A148,実績!$AK$6:$AK$505,"○")&gt;0,1,0))</f>
        <v>0</v>
      </c>
      <c r="BC148" s="39" t="n">
        <f aca="false">IF(BC$4=0,0,IF(COUNTIFS(実績!$W$6:$W$505,BC$3,実績!$AI$6:$AI$505,"&lt;="&amp;$A148,実績!$AJ$6:$AJ$505,"&gt;"&amp;$A148,実績!$AK$6:$AK$505,"○")&gt;0,1,0))</f>
        <v>0</v>
      </c>
      <c r="BD148" s="39" t="n">
        <f aca="false">IF(BD$4=0,0,IF(COUNTIFS(実績!$W$6:$W$505,BD$3,実績!$AI$6:$AI$505,"&lt;="&amp;$A148,実績!$AJ$6:$AJ$505,"&gt;"&amp;$A148,実績!$AK$6:$AK$505,"○")&gt;0,1,0))</f>
        <v>0</v>
      </c>
      <c r="BE148" s="39" t="n">
        <f aca="false">IF(BE$4=0,0,IF(COUNTIFS(実績!$W$6:$W$505,BE$3,実績!$AI$6:$AI$505,"&lt;="&amp;$A148,実績!$AJ$6:$AJ$505,"&gt;"&amp;$A148,実績!$AK$6:$AK$505,"○")&gt;0,1,0))</f>
        <v>0</v>
      </c>
      <c r="BF148" s="39" t="n">
        <f aca="false">IF(BF$4=0,0,IF(COUNTIFS(実績!$W$6:$W$505,BF$3,実績!$AI$6:$AI$505,"&lt;="&amp;$A148,実績!$AJ$6:$AJ$505,"&gt;"&amp;$A148,実績!$AK$6:$AK$505,"○")&gt;0,1,0))</f>
        <v>0</v>
      </c>
      <c r="BG148" s="39" t="n">
        <f aca="false">IF(BG$4=0,0,IF(COUNTIFS(実績!$W$6:$W$505,BG$3,実績!$AI$6:$AI$505,"&lt;="&amp;$A148,実績!$AJ$6:$AJ$505,"&gt;"&amp;$A148,実績!$AK$6:$AK$505,"○")&gt;0,1,0))</f>
        <v>0</v>
      </c>
      <c r="BH148" s="39" t="n">
        <f aca="false">IF(BH$4=0,0,IF(COUNTIFS(実績!$W$6:$W$505,BH$3,実績!$AI$6:$AI$505,"&lt;="&amp;$A148,実績!$AJ$6:$AJ$505,"&gt;"&amp;$A148,実績!$AK$6:$AK$505,"○")&gt;0,1,0))</f>
        <v>0</v>
      </c>
      <c r="BI148" s="39" t="n">
        <f aca="false">IF(BI$4=0,0,IF(COUNTIFS(実績!$W$6:$W$505,BI$3,実績!$AI$6:$AI$505,"&lt;="&amp;$A148,実績!$AJ$6:$AJ$505,"&gt;"&amp;$A148,実績!$AK$6:$AK$505,"○")&gt;0,1,0))</f>
        <v>0</v>
      </c>
      <c r="BJ148" s="39" t="n">
        <f aca="false">IF(BJ$4=0,0,IF(COUNTIFS(実績!$W$6:$W$505,BJ$3,実績!$AI$6:$AI$505,"&lt;="&amp;$A148,実績!$AJ$6:$AJ$505,"&gt;"&amp;$A148,実績!$AK$6:$AK$505,"○")&gt;0,1,0))</f>
        <v>0</v>
      </c>
      <c r="BK148" s="39" t="n">
        <f aca="false">IF(BK$4=0,0,IF(COUNTIFS(実績!$W$6:$W$505,BK$3,実績!$AI$6:$AI$505,"&lt;="&amp;$A148,実績!$AJ$6:$AJ$505,"&gt;"&amp;$A148,実績!$AK$6:$AK$505,"○")&gt;0,1,0))</f>
        <v>0</v>
      </c>
      <c r="BL148" s="39" t="n">
        <f aca="false">IF(BL$4=0,0,IF(COUNTIFS(実績!$W$6:$W$505,BL$3,実績!$AI$6:$AI$505,"&lt;="&amp;$A148,実績!$AJ$6:$AJ$505,"&gt;"&amp;$A148,実績!$AK$6:$AK$505,"○")&gt;0,1,0))</f>
        <v>0</v>
      </c>
      <c r="BM148" s="39" t="n">
        <f aca="false">IF(BM$4=0,0,IF(COUNTIFS(実績!$W$6:$W$505,BM$3,実績!$AI$6:$AI$505,"&lt;="&amp;$A148,実績!$AJ$6:$AJ$505,"&gt;"&amp;$A148,実績!$AK$6:$AK$505,"○")&gt;0,1,0))</f>
        <v>0</v>
      </c>
      <c r="BN148" s="39" t="n">
        <f aca="false">IF(BN$4=0,0,IF(COUNTIFS(実績!$W$6:$W$505,BN$3,実績!$AI$6:$AI$505,"&lt;="&amp;$A148,実績!$AJ$6:$AJ$505,"&gt;"&amp;$A148,実績!$AK$6:$AK$505,"○")&gt;0,1,0))</f>
        <v>0</v>
      </c>
      <c r="BO148" s="39" t="n">
        <f aca="false">IF(BO$4=0,0,IF(COUNTIFS(実績!$W$6:$W$505,BO$3,実績!$AI$6:$AI$505,"&lt;="&amp;$A148,実績!$AJ$6:$AJ$505,"&gt;"&amp;$A148,実績!$AK$6:$AK$505,"○")&gt;0,1,0))</f>
        <v>0</v>
      </c>
      <c r="BP148" s="39" t="n">
        <f aca="false">IF(BP$4=0,0,IF(COUNTIFS(実績!$W$6:$W$505,BP$3,実績!$AI$6:$AI$505,"&lt;="&amp;$A148,実績!$AJ$6:$AJ$505,"&gt;"&amp;$A148,実績!$AK$6:$AK$505,"○")&gt;0,1,0))</f>
        <v>0</v>
      </c>
      <c r="BQ148" s="39" t="n">
        <f aca="false">IF(BQ$4=0,0,IF(COUNTIFS(実績!$W$6:$W$505,BQ$3,実績!$AI$6:$AI$505,"&lt;="&amp;$A148,実績!$AJ$6:$AJ$505,"&gt;"&amp;$A148,実績!$AK$6:$AK$505,"○")&gt;0,1,0))</f>
        <v>0</v>
      </c>
      <c r="BR148" s="39" t="n">
        <f aca="false">IF(BR$4=0,0,IF(COUNTIFS(実績!$W$6:$W$505,BR$3,実績!$AI$6:$AI$505,"&lt;="&amp;$A148,実績!$AJ$6:$AJ$505,"&gt;"&amp;$A148,実績!$AK$6:$AK$505,"○")&gt;0,1,0))</f>
        <v>0</v>
      </c>
      <c r="BS148" s="39" t="n">
        <f aca="false">IF(BS$4=0,0,IF(COUNTIFS(実績!$W$6:$W$505,BS$3,実績!$AI$6:$AI$505,"&lt;="&amp;$A148,実績!$AJ$6:$AJ$505,"&gt;"&amp;$A148,実績!$AK$6:$AK$505,"○")&gt;0,1,0))</f>
        <v>0</v>
      </c>
      <c r="BT148" s="39" t="n">
        <f aca="false">IF(BT$4=0,0,IF(COUNTIFS(実績!$W$6:$W$505,BT$3,実績!$AI$6:$AI$505,"&lt;="&amp;$A148,実績!$AJ$6:$AJ$505,"&gt;"&amp;$A148,実績!$AK$6:$AK$505,"○")&gt;0,1,0))</f>
        <v>0</v>
      </c>
      <c r="BU148" s="39" t="n">
        <f aca="false">IF(BU$4=0,0,IF(COUNTIFS(実績!$W$6:$W$505,BU$3,実績!$AI$6:$AI$505,"&lt;="&amp;$A148,実績!$AJ$6:$AJ$505,"&gt;"&amp;$A148,実績!$AK$6:$AK$505,"○")&gt;0,1,0))</f>
        <v>0</v>
      </c>
      <c r="BV148" s="39" t="n">
        <f aca="false">IF(BV$4=0,0,IF(COUNTIFS(実績!$W$6:$W$505,BV$3,実績!$AI$6:$AI$505,"&lt;="&amp;$A148,実績!$AJ$6:$AJ$505,"&gt;"&amp;$A148,実績!$AK$6:$AK$505,"○")&gt;0,1,0))</f>
        <v>0</v>
      </c>
      <c r="BW148" s="39" t="n">
        <f aca="false">IF(BW$4=0,0,IF(COUNTIFS(実績!$W$6:$W$505,BW$3,実績!$AI$6:$AI$505,"&lt;="&amp;$A148,実績!$AJ$6:$AJ$505,"&gt;"&amp;$A148,実績!$AK$6:$AK$505,"○")&gt;0,1,0))</f>
        <v>0</v>
      </c>
      <c r="BX148" s="39" t="n">
        <f aca="false">IF(BX$4=0,0,IF(COUNTIFS(実績!$W$6:$W$505,BX$3,実績!$AI$6:$AI$505,"&lt;="&amp;$A148,実績!$AJ$6:$AJ$505,"&gt;"&amp;$A148,実績!$AK$6:$AK$505,"○")&gt;0,1,0))</f>
        <v>0</v>
      </c>
      <c r="BY148" s="39" t="n">
        <f aca="false">IF(BY$4=0,0,IF(COUNTIFS(実績!$W$6:$W$505,BY$3,実績!$AI$6:$AI$505,"&lt;="&amp;$A148,実績!$AJ$6:$AJ$505,"&gt;"&amp;$A148,実績!$AK$6:$AK$505,"○")&gt;0,1,0))</f>
        <v>0</v>
      </c>
      <c r="BZ148" s="39" t="n">
        <f aca="false">IF(BZ$4=0,0,IF(COUNTIFS(実績!$W$6:$W$505,BZ$3,実績!$AI$6:$AI$505,"&lt;="&amp;$A148,実績!$AJ$6:$AJ$505,"&gt;"&amp;$A148,実績!$AK$6:$AK$505,"○")&gt;0,1,0))</f>
        <v>0</v>
      </c>
      <c r="CA148" s="39" t="n">
        <f aca="false">IF(CA$4=0,0,IF(COUNTIFS(実績!$W$6:$W$505,CA$3,実績!$AI$6:$AI$505,"&lt;="&amp;$A148,実績!$AJ$6:$AJ$505,"&gt;"&amp;$A148,実績!$AK$6:$AK$505,"○")&gt;0,1,0))</f>
        <v>0</v>
      </c>
      <c r="CB148" s="39" t="n">
        <f aca="false">IF(CB$4=0,0,IF(COUNTIFS(実績!$W$6:$W$505,CB$3,実績!$AI$6:$AI$505,"&lt;="&amp;$A148,実績!$AJ$6:$AJ$505,"&gt;"&amp;$A148,実績!$AK$6:$AK$505,"○")&gt;0,1,0))</f>
        <v>0</v>
      </c>
      <c r="CC148" s="39" t="n">
        <f aca="false">IF(CC$4=0,0,IF(COUNTIFS(実績!$W$6:$W$505,CC$3,実績!$AI$6:$AI$505,"&lt;="&amp;$A148,実績!$AJ$6:$AJ$505,"&gt;"&amp;$A148,実績!$AK$6:$AK$505,"○")&gt;0,1,0))</f>
        <v>0</v>
      </c>
      <c r="CD148" s="39" t="n">
        <f aca="false">IF(CD$4=0,0,IF(COUNTIFS(実績!$W$6:$W$505,CD$3,実績!$AI$6:$AI$505,"&lt;="&amp;$A148,実績!$AJ$6:$AJ$505,"&gt;"&amp;$A148,実績!$AK$6:$AK$505,"○")&gt;0,1,0))</f>
        <v>0</v>
      </c>
      <c r="CE148" s="39" t="n">
        <f aca="false">IF(CE$4=0,0,IF(COUNTIFS(実績!$W$6:$W$505,CE$3,実績!$AI$6:$AI$505,"&lt;="&amp;$A148,実績!$AJ$6:$AJ$505,"&gt;"&amp;$A148,実績!$AK$6:$AK$505,"○")&gt;0,1,0))</f>
        <v>0</v>
      </c>
      <c r="CF148" s="39" t="n">
        <f aca="false">IF(CF$4=0,0,IF(COUNTIFS(実績!$W$6:$W$505,CF$3,実績!$AI$6:$AI$505,"&lt;="&amp;$A148,実績!$AJ$6:$AJ$505,"&gt;"&amp;$A148,実績!$AK$6:$AK$505,"○")&gt;0,1,0))</f>
        <v>0</v>
      </c>
      <c r="CG148" s="39" t="n">
        <f aca="false">IF(CG$4=0,0,IF(COUNTIFS(実績!$W$6:$W$505,CG$3,実績!$AI$6:$AI$505,"&lt;="&amp;$A148,実績!$AJ$6:$AJ$505,"&gt;"&amp;$A148,実績!$AK$6:$AK$505,"○")&gt;0,1,0))</f>
        <v>0</v>
      </c>
      <c r="CH148" s="39" t="n">
        <f aca="false">IF(CH$4=0,0,IF(COUNTIFS(実績!$W$6:$W$505,CH$3,実績!$AI$6:$AI$505,"&lt;="&amp;$A148,実績!$AJ$6:$AJ$505,"&gt;"&amp;$A148,実績!$AK$6:$AK$505,"○")&gt;0,1,0))</f>
        <v>0</v>
      </c>
      <c r="CI148" s="39" t="n">
        <f aca="false">IF(CI$4=0,0,IF(COUNTIFS(実績!$W$6:$W$505,CI$3,実績!$AI$6:$AI$505,"&lt;="&amp;$A148,実績!$AJ$6:$AJ$505,"&gt;"&amp;$A148,実績!$AK$6:$AK$505,"○")&gt;0,1,0))</f>
        <v>0</v>
      </c>
      <c r="CJ148" s="39" t="n">
        <f aca="false">IF(CJ$4=0,0,IF(COUNTIFS(実績!$W$6:$W$505,CJ$3,実績!$AI$6:$AI$505,"&lt;="&amp;$A148,実績!$AJ$6:$AJ$505,"&gt;"&amp;$A148,実績!$AK$6:$AK$505,"○")&gt;0,1,0))</f>
        <v>0</v>
      </c>
      <c r="CK148" s="39" t="n">
        <f aca="false">IF(CK$4=0,0,IF(COUNTIFS(実績!$W$6:$W$505,CK$3,実績!$AI$6:$AI$505,"&lt;="&amp;$A148,実績!$AJ$6:$AJ$505,"&gt;"&amp;$A148,実績!$AK$6:$AK$505,"○")&gt;0,1,0))</f>
        <v>0</v>
      </c>
      <c r="CL148" s="39" t="n">
        <f aca="false">IF(CL$4=0,0,IF(COUNTIFS(実績!$W$6:$W$505,CL$3,実績!$AI$6:$AI$505,"&lt;="&amp;$A148,実績!$AJ$6:$AJ$505,"&gt;"&amp;$A148,実績!$AK$6:$AK$505,"○")&gt;0,1,0))</f>
        <v>0</v>
      </c>
      <c r="CM148" s="39" t="n">
        <f aca="false">IF(CM$4=0,0,IF(COUNTIFS(実績!$W$6:$W$505,CM$3,実績!$AI$6:$AI$505,"&lt;="&amp;$A148,実績!$AJ$6:$AJ$505,"&gt;"&amp;$A148,実績!$AK$6:$AK$505,"○")&gt;0,1,0))</f>
        <v>0</v>
      </c>
      <c r="CN148" s="39" t="n">
        <f aca="false">IF(CN$4=0,0,IF(COUNTIFS(実績!$W$6:$W$505,CN$3,実績!$AI$6:$AI$505,"&lt;="&amp;$A148,実績!$AJ$6:$AJ$505,"&gt;"&amp;$A148,実績!$AK$6:$AK$505,"○")&gt;0,1,0))</f>
        <v>0</v>
      </c>
      <c r="CO148" s="39" t="n">
        <f aca="false">IF(CO$4=0,0,IF(COUNTIFS(実績!$W$6:$W$505,CO$3,実績!$AI$6:$AI$505,"&lt;="&amp;$A148,実績!$AJ$6:$AJ$505,"&gt;"&amp;$A148,実績!$AK$6:$AK$505,"○")&gt;0,1,0))</f>
        <v>0</v>
      </c>
      <c r="CP148" s="39" t="n">
        <f aca="false">IF(CP$4=0,0,IF(COUNTIFS(実績!$W$6:$W$505,CP$3,実績!$AI$6:$AI$505,"&lt;="&amp;$A148,実績!$AJ$6:$AJ$505,"&gt;"&amp;$A148,実績!$AK$6:$AK$505,"○")&gt;0,1,0))</f>
        <v>0</v>
      </c>
      <c r="CQ148" s="39" t="n">
        <f aca="false">IF(CQ$4=0,0,IF(COUNTIFS(実績!$W$6:$W$505,CQ$3,実績!$AI$6:$AI$505,"&lt;="&amp;$A148,実績!$AJ$6:$AJ$505,"&gt;"&amp;$A148,実績!$AK$6:$AK$505,"○")&gt;0,1,0))</f>
        <v>0</v>
      </c>
      <c r="CR148" s="39" t="n">
        <f aca="false">IF(CR$4=0,0,IF(COUNTIFS(実績!$W$6:$W$505,CR$3,実績!$AI$6:$AI$505,"&lt;="&amp;$A148,実績!$AJ$6:$AJ$505,"&gt;"&amp;$A148,実績!$AK$6:$AK$505,"○")&gt;0,1,0))</f>
        <v>0</v>
      </c>
      <c r="CS148" s="39" t="n">
        <f aca="false">IF(CS$4=0,0,IF(COUNTIFS(実績!$W$6:$W$505,CS$3,実績!$AI$6:$AI$505,"&lt;="&amp;$A148,実績!$AJ$6:$AJ$505,"&gt;"&amp;$A148,実績!$AK$6:$AK$505,"○")&gt;0,1,0))</f>
        <v>0</v>
      </c>
      <c r="CT148" s="39" t="n">
        <f aca="false">IF(CT$4=0,0,IF(COUNTIFS(実績!$W$6:$W$505,CT$3,実績!$AI$6:$AI$505,"&lt;="&amp;$A148,実績!$AJ$6:$AJ$505,"&gt;"&amp;$A148,実績!$AK$6:$AK$505,"○")&gt;0,1,0))</f>
        <v>0</v>
      </c>
      <c r="CU148" s="39" t="n">
        <f aca="false">IF(CU$4=0,0,IF(COUNTIFS(実績!$W$6:$W$505,CU$3,実績!$AI$6:$AI$505,"&lt;="&amp;$A148,実績!$AJ$6:$AJ$505,"&gt;"&amp;$A148,実績!$AK$6:$AK$505,"○")&gt;0,1,0))</f>
        <v>0</v>
      </c>
      <c r="CV148" s="39" t="n">
        <f aca="false">IF(CV$4=0,0,IF(COUNTIFS(実績!$W$6:$W$505,CV$3,実績!$AI$6:$AI$505,"&lt;="&amp;$A148,実績!$AJ$6:$AJ$505,"&gt;"&amp;$A148,実績!$AK$6:$AK$505,"○")&gt;0,1,0))</f>
        <v>0</v>
      </c>
      <c r="CW148" s="39" t="n">
        <f aca="false">IF(CW$4=0,0,IF(COUNTIFS(実績!$W$6:$W$505,CW$3,実績!$AI$6:$AI$505,"&lt;="&amp;$A148,実績!$AJ$6:$AJ$505,"&gt;"&amp;$A148,実績!$AK$6:$AK$505,"○")&gt;0,1,0))</f>
        <v>0</v>
      </c>
      <c r="CX148" s="39" t="n">
        <f aca="false">IF(CX$4=0,0,IF(COUNTIFS(実績!$W$6:$W$505,CX$3,実績!$AI$6:$AI$505,"&lt;="&amp;$A148,実績!$AJ$6:$AJ$505,"&gt;"&amp;$A148,実績!$AK$6:$AK$505,"○")&gt;0,1,0))</f>
        <v>0</v>
      </c>
      <c r="CY148" s="39" t="n">
        <f aca="false">IF(CY$4=0,0,IF(COUNTIFS(実績!$W$6:$W$505,CY$3,実績!$AI$6:$AI$505,"&lt;="&amp;$A148,実績!$AJ$6:$AJ$505,"&gt;"&amp;$A148,実績!$AK$6:$AK$505,"○")&gt;0,1,0))</f>
        <v>0</v>
      </c>
      <c r="CZ148" s="39" t="n">
        <f aca="false">IF(CZ$4=0,0,IF(COUNTIFS(実績!$W$6:$W$505,CZ$3,実績!$AI$6:$AI$505,"&lt;="&amp;$A148,実績!$AJ$6:$AJ$505,"&gt;"&amp;$A148,実績!$AK$6:$AK$505,"○")&gt;0,1,0))</f>
        <v>0</v>
      </c>
      <c r="DA148" s="39" t="n">
        <f aca="false">IF(DA$4=0,0,IF(COUNTIFS(実績!$W$6:$W$505,DA$3,実績!$AI$6:$AI$505,"&lt;="&amp;$A148,実績!$AJ$6:$AJ$505,"&gt;"&amp;$A148,実績!$AK$6:$AK$505,"○")&gt;0,1,0))</f>
        <v>0</v>
      </c>
      <c r="DB148" s="39" t="n">
        <f aca="false">IF(DB$4=0,0,IF(COUNTIFS(実績!$W$6:$W$505,DB$3,実績!$AI$6:$AI$505,"&lt;="&amp;$A148,実績!$AJ$6:$AJ$505,"&gt;"&amp;$A148,実績!$AK$6:$AK$505,"○")&gt;0,1,0))</f>
        <v>0</v>
      </c>
      <c r="DC148" s="39" t="n">
        <f aca="false">IF(DC$4=0,0,IF(COUNTIFS(実績!$W$6:$W$505,DC$3,実績!$AI$6:$AI$505,"&lt;="&amp;$A148,実績!$AJ$6:$AJ$505,"&gt;"&amp;$A148,実績!$AK$6:$AK$505,"○")&gt;0,1,0))</f>
        <v>0</v>
      </c>
      <c r="DD148" s="39" t="n">
        <f aca="false">IF(DD$4=0,0,IF(COUNTIFS(実績!$W$6:$W$505,DD$3,実績!$AI$6:$AI$505,"&lt;="&amp;$A148,実績!$AJ$6:$AJ$505,"&gt;"&amp;$A148,実績!$AK$6:$AK$505,"○")&gt;0,1,0))</f>
        <v>0</v>
      </c>
      <c r="DE148" s="39" t="n">
        <f aca="false">IF(DE$4=0,0,IF(COUNTIFS(実績!$W$6:$W$505,DE$3,実績!$AI$6:$AI$505,"&lt;="&amp;$A148,実績!$AJ$6:$AJ$505,"&gt;"&amp;$A148,実績!$AK$6:$AK$505,"○")&gt;0,1,0))</f>
        <v>0</v>
      </c>
      <c r="DF148" s="39" t="n">
        <f aca="false">IF(DF$4=0,0,IF(COUNTIFS(実績!$W$6:$W$505,DF$3,実績!$AI$6:$AI$505,"&lt;="&amp;$A148,実績!$AJ$6:$AJ$505,"&gt;"&amp;$A148,実績!$AK$6:$AK$505,"○")&gt;0,1,0))</f>
        <v>0</v>
      </c>
      <c r="DG148" s="39" t="n">
        <f aca="false">IF(DG$4=0,0,IF(COUNTIFS(実績!$W$6:$W$505,DG$3,実績!$AI$6:$AI$505,"&lt;="&amp;$A148,実績!$AJ$6:$AJ$505,"&gt;"&amp;$A148,実績!$AK$6:$AK$505,"○")&gt;0,1,0))</f>
        <v>0</v>
      </c>
      <c r="DH148" s="39" t="n">
        <f aca="false">IF(DH$4=0,0,IF(COUNTIFS(実績!$W$6:$W$505,DH$3,実績!$AI$6:$AI$505,"&lt;="&amp;$A148,実績!$AJ$6:$AJ$505,"&gt;"&amp;$A148,実績!$AK$6:$AK$505,"○")&gt;0,1,0))</f>
        <v>0</v>
      </c>
      <c r="DI148" s="39" t="n">
        <f aca="false">IF(DI$4=0,0,IF(COUNTIFS(実績!$W$6:$W$505,DI$3,実績!$AI$6:$AI$505,"&lt;="&amp;$A148,実績!$AJ$6:$AJ$505,"&gt;"&amp;$A148,実績!$AK$6:$AK$505,"○")&gt;0,1,0))</f>
        <v>0</v>
      </c>
      <c r="DJ148" s="39" t="n">
        <f aca="false">IF(DJ$4=0,0,IF(COUNTIFS(実績!$W$6:$W$505,DJ$3,実績!$AI$6:$AI$505,"&lt;="&amp;$A148,実績!$AJ$6:$AJ$505,"&gt;"&amp;$A148,実績!$AK$6:$AK$505,"○")&gt;0,1,0))</f>
        <v>0</v>
      </c>
      <c r="DK148" s="39" t="n">
        <f aca="false">IF(DK$4=0,0,IF(COUNTIFS(実績!$W$6:$W$505,DK$3,実績!$AI$6:$AI$505,"&lt;="&amp;$A148,実績!$AJ$6:$AJ$505,"&gt;"&amp;$A148,実績!$AK$6:$AK$505,"○")&gt;0,1,0))</f>
        <v>0</v>
      </c>
      <c r="DL148" s="39" t="n">
        <f aca="false">IF(DL$4=0,0,IF(COUNTIFS(実績!$W$6:$W$505,DL$3,実績!$AI$6:$AI$505,"&lt;="&amp;$A148,実績!$AJ$6:$AJ$505,"&gt;"&amp;$A148,実績!$AK$6:$AK$505,"○")&gt;0,1,0))</f>
        <v>0</v>
      </c>
      <c r="DM148" s="39" t="n">
        <f aca="false">IF(DM$4=0,0,IF(COUNTIFS(実績!$W$6:$W$505,DM$3,実績!$AI$6:$AI$505,"&lt;="&amp;$A148,実績!$AJ$6:$AJ$505,"&gt;"&amp;$A148,実績!$AK$6:$AK$505,"○")&gt;0,1,0))</f>
        <v>0</v>
      </c>
      <c r="DN148" s="39" t="n">
        <f aca="false">IF(DN$4=0,0,IF(COUNTIFS(実績!$W$6:$W$505,DN$3,実績!$AI$6:$AI$505,"&lt;="&amp;$A148,実績!$AJ$6:$AJ$505,"&gt;"&amp;$A148,実績!$AK$6:$AK$505,"○")&gt;0,1,0))</f>
        <v>0</v>
      </c>
      <c r="DO148" s="39" t="n">
        <f aca="false">IF(DO$4=0,0,IF(COUNTIFS(実績!$W$6:$W$505,DO$3,実績!$AI$6:$AI$505,"&lt;="&amp;$A148,実績!$AJ$6:$AJ$505,"&gt;"&amp;$A148,実績!$AK$6:$AK$505,"○")&gt;0,1,0))</f>
        <v>0</v>
      </c>
      <c r="DP148" s="39" t="n">
        <f aca="false">IF(DP$4=0,0,IF(COUNTIFS(実績!$W$6:$W$505,DP$3,実績!$AI$6:$AI$505,"&lt;="&amp;$A148,実績!$AJ$6:$AJ$505,"&gt;"&amp;$A148,実績!$AK$6:$AK$505,"○")&gt;0,1,0))</f>
        <v>0</v>
      </c>
      <c r="DQ148" s="39" t="n">
        <f aca="false">IF(DQ$4=0,0,IF(COUNTIFS(実績!$W$6:$W$505,DQ$3,実績!$AI$6:$AI$505,"&lt;="&amp;$A148,実績!$AJ$6:$AJ$505,"&gt;"&amp;$A148,実績!$AK$6:$AK$505,"○")&gt;0,1,0))</f>
        <v>0</v>
      </c>
      <c r="DR148" s="39" t="n">
        <f aca="false">IF(DR$4=0,0,IF(COUNTIFS(実績!$W$6:$W$505,DR$3,実績!$AI$6:$AI$505,"&lt;="&amp;$A148,実績!$AJ$6:$AJ$505,"&gt;"&amp;$A148,実績!$AK$6:$AK$505,"○")&gt;0,1,0))</f>
        <v>0</v>
      </c>
      <c r="DS148" s="39" t="n">
        <f aca="false">SUM(C148:DR148)</f>
        <v>0</v>
      </c>
      <c r="DT148" s="39" t="n">
        <f aca="false">SUMPRODUCT((実績!$C$6:$C$505="○")*ISNUMBER(実績!$AM$6:$AM$505)*(実績!$AM$6:$AM$505&lt;=$A148)*(実績!$AN$6:$AN$505&gt;$A148))</f>
        <v>0</v>
      </c>
      <c r="DU148" s="39" t="n">
        <f aca="false">SUMIF($C$2:$DR$2,"製鉄曳船",C148:DR148)</f>
        <v>0</v>
      </c>
      <c r="DV148" s="39" t="n">
        <f aca="false">SUMIF($C$2:$DR$2,"西日本海運",C148:DR148)</f>
        <v>0</v>
      </c>
    </row>
    <row r="149" customFormat="false" ht="15" hidden="false" customHeight="false" outlineLevel="0" collapsed="false">
      <c r="A149" s="0" t="n">
        <v>715</v>
      </c>
      <c r="B149" s="38" t="n">
        <f aca="false">A149/1440</f>
        <v>0.496527777777778</v>
      </c>
      <c r="C149" s="39" t="n">
        <f aca="false">IF(C$4=0,0,IF(COUNTIFS(実績!$W$6:$W$505,C$3,実績!$AI$6:$AI$505,"&lt;="&amp;$A149,実績!$AJ$6:$AJ$505,"&gt;"&amp;$A149,実績!$AK$6:$AK$505,"○")&gt;0,1,0))</f>
        <v>0</v>
      </c>
      <c r="D149" s="39" t="n">
        <f aca="false">IF(D$4=0,0,IF(COUNTIFS(実績!$W$6:$W$505,D$3,実績!$AI$6:$AI$505,"&lt;="&amp;$A149,実績!$AJ$6:$AJ$505,"&gt;"&amp;$A149,実績!$AK$6:$AK$505,"○")&gt;0,1,0))</f>
        <v>0</v>
      </c>
      <c r="E149" s="39" t="n">
        <f aca="false">IF(E$4=0,0,IF(COUNTIFS(実績!$W$6:$W$505,E$3,実績!$AI$6:$AI$505,"&lt;="&amp;$A149,実績!$AJ$6:$AJ$505,"&gt;"&amp;$A149,実績!$AK$6:$AK$505,"○")&gt;0,1,0))</f>
        <v>0</v>
      </c>
      <c r="F149" s="39" t="n">
        <f aca="false">IF(F$4=0,0,IF(COUNTIFS(実績!$W$6:$W$505,F$3,実績!$AI$6:$AI$505,"&lt;="&amp;$A149,実績!$AJ$6:$AJ$505,"&gt;"&amp;$A149,実績!$AK$6:$AK$505,"○")&gt;0,1,0))</f>
        <v>0</v>
      </c>
      <c r="G149" s="39" t="n">
        <f aca="false">IF(G$4=0,0,IF(COUNTIFS(実績!$W$6:$W$505,G$3,実績!$AI$6:$AI$505,"&lt;="&amp;$A149,実績!$AJ$6:$AJ$505,"&gt;"&amp;$A149,実績!$AK$6:$AK$505,"○")&gt;0,1,0))</f>
        <v>0</v>
      </c>
      <c r="H149" s="39" t="n">
        <f aca="false">IF(H$4=0,0,IF(COUNTIFS(実績!$W$6:$W$505,H$3,実績!$AI$6:$AI$505,"&lt;="&amp;$A149,実績!$AJ$6:$AJ$505,"&gt;"&amp;$A149,実績!$AK$6:$AK$505,"○")&gt;0,1,0))</f>
        <v>0</v>
      </c>
      <c r="I149" s="39" t="n">
        <f aca="false">IF(I$4=0,0,IF(COUNTIFS(実績!$W$6:$W$505,I$3,実績!$AI$6:$AI$505,"&lt;="&amp;$A149,実績!$AJ$6:$AJ$505,"&gt;"&amp;$A149,実績!$AK$6:$AK$505,"○")&gt;0,1,0))</f>
        <v>0</v>
      </c>
      <c r="J149" s="39" t="n">
        <f aca="false">IF(J$4=0,0,IF(COUNTIFS(実績!$W$6:$W$505,J$3,実績!$AI$6:$AI$505,"&lt;="&amp;$A149,実績!$AJ$6:$AJ$505,"&gt;"&amp;$A149,実績!$AK$6:$AK$505,"○")&gt;0,1,0))</f>
        <v>0</v>
      </c>
      <c r="K149" s="39" t="n">
        <f aca="false">IF(K$4=0,0,IF(COUNTIFS(実績!$W$6:$W$505,K$3,実績!$AI$6:$AI$505,"&lt;="&amp;$A149,実績!$AJ$6:$AJ$505,"&gt;"&amp;$A149,実績!$AK$6:$AK$505,"○")&gt;0,1,0))</f>
        <v>0</v>
      </c>
      <c r="L149" s="39" t="n">
        <f aca="false">IF(L$4=0,0,IF(COUNTIFS(実績!$W$6:$W$505,L$3,実績!$AI$6:$AI$505,"&lt;="&amp;$A149,実績!$AJ$6:$AJ$505,"&gt;"&amp;$A149,実績!$AK$6:$AK$505,"○")&gt;0,1,0))</f>
        <v>0</v>
      </c>
      <c r="M149" s="39" t="n">
        <f aca="false">IF(M$4=0,0,IF(COUNTIFS(実績!$W$6:$W$505,M$3,実績!$AI$6:$AI$505,"&lt;="&amp;$A149,実績!$AJ$6:$AJ$505,"&gt;"&amp;$A149,実績!$AK$6:$AK$505,"○")&gt;0,1,0))</f>
        <v>0</v>
      </c>
      <c r="N149" s="39" t="n">
        <f aca="false">IF(N$4=0,0,IF(COUNTIFS(実績!$W$6:$W$505,N$3,実績!$AI$6:$AI$505,"&lt;="&amp;$A149,実績!$AJ$6:$AJ$505,"&gt;"&amp;$A149,実績!$AK$6:$AK$505,"○")&gt;0,1,0))</f>
        <v>0</v>
      </c>
      <c r="O149" s="39" t="n">
        <f aca="false">IF(O$4=0,0,IF(COUNTIFS(実績!$W$6:$W$505,O$3,実績!$AI$6:$AI$505,"&lt;="&amp;$A149,実績!$AJ$6:$AJ$505,"&gt;"&amp;$A149,実績!$AK$6:$AK$505,"○")&gt;0,1,0))</f>
        <v>0</v>
      </c>
      <c r="P149" s="39" t="n">
        <f aca="false">IF(P$4=0,0,IF(COUNTIFS(実績!$W$6:$W$505,P$3,実績!$AI$6:$AI$505,"&lt;="&amp;$A149,実績!$AJ$6:$AJ$505,"&gt;"&amp;$A149,実績!$AK$6:$AK$505,"○")&gt;0,1,0))</f>
        <v>0</v>
      </c>
      <c r="Q149" s="39" t="n">
        <f aca="false">IF(Q$4=0,0,IF(COUNTIFS(実績!$W$6:$W$505,Q$3,実績!$AI$6:$AI$505,"&lt;="&amp;$A149,実績!$AJ$6:$AJ$505,"&gt;"&amp;$A149,実績!$AK$6:$AK$505,"○")&gt;0,1,0))</f>
        <v>0</v>
      </c>
      <c r="R149" s="39" t="n">
        <f aca="false">IF(R$4=0,0,IF(COUNTIFS(実績!$W$6:$W$505,R$3,実績!$AI$6:$AI$505,"&lt;="&amp;$A149,実績!$AJ$6:$AJ$505,"&gt;"&amp;$A149,実績!$AK$6:$AK$505,"○")&gt;0,1,0))</f>
        <v>0</v>
      </c>
      <c r="S149" s="39" t="n">
        <f aca="false">IF(S$4=0,0,IF(COUNTIFS(実績!$W$6:$W$505,S$3,実績!$AI$6:$AI$505,"&lt;="&amp;$A149,実績!$AJ$6:$AJ$505,"&gt;"&amp;$A149,実績!$AK$6:$AK$505,"○")&gt;0,1,0))</f>
        <v>0</v>
      </c>
      <c r="T149" s="39" t="n">
        <f aca="false">IF(T$4=0,0,IF(COUNTIFS(実績!$W$6:$W$505,T$3,実績!$AI$6:$AI$505,"&lt;="&amp;$A149,実績!$AJ$6:$AJ$505,"&gt;"&amp;$A149,実績!$AK$6:$AK$505,"○")&gt;0,1,0))</f>
        <v>0</v>
      </c>
      <c r="U149" s="39" t="n">
        <f aca="false">IF(U$4=0,0,IF(COUNTIFS(実績!$W$6:$W$505,U$3,実績!$AI$6:$AI$505,"&lt;="&amp;$A149,実績!$AJ$6:$AJ$505,"&gt;"&amp;$A149,実績!$AK$6:$AK$505,"○")&gt;0,1,0))</f>
        <v>0</v>
      </c>
      <c r="V149" s="39" t="n">
        <f aca="false">IF(V$4=0,0,IF(COUNTIFS(実績!$W$6:$W$505,V$3,実績!$AI$6:$AI$505,"&lt;="&amp;$A149,実績!$AJ$6:$AJ$505,"&gt;"&amp;$A149,実績!$AK$6:$AK$505,"○")&gt;0,1,0))</f>
        <v>0</v>
      </c>
      <c r="W149" s="39" t="n">
        <f aca="false">IF(W$4=0,0,IF(COUNTIFS(実績!$W$6:$W$505,W$3,実績!$AI$6:$AI$505,"&lt;="&amp;$A149,実績!$AJ$6:$AJ$505,"&gt;"&amp;$A149,実績!$AK$6:$AK$505,"○")&gt;0,1,0))</f>
        <v>0</v>
      </c>
      <c r="X149" s="39" t="n">
        <f aca="false">IF(X$4=0,0,IF(COUNTIFS(実績!$W$6:$W$505,X$3,実績!$AI$6:$AI$505,"&lt;="&amp;$A149,実績!$AJ$6:$AJ$505,"&gt;"&amp;$A149,実績!$AK$6:$AK$505,"○")&gt;0,1,0))</f>
        <v>0</v>
      </c>
      <c r="Y149" s="39" t="n">
        <f aca="false">IF(Y$4=0,0,IF(COUNTIFS(実績!$W$6:$W$505,Y$3,実績!$AI$6:$AI$505,"&lt;="&amp;$A149,実績!$AJ$6:$AJ$505,"&gt;"&amp;$A149,実績!$AK$6:$AK$505,"○")&gt;0,1,0))</f>
        <v>0</v>
      </c>
      <c r="Z149" s="39" t="n">
        <f aca="false">IF(Z$4=0,0,IF(COUNTIFS(実績!$W$6:$W$505,Z$3,実績!$AI$6:$AI$505,"&lt;="&amp;$A149,実績!$AJ$6:$AJ$505,"&gt;"&amp;$A149,実績!$AK$6:$AK$505,"○")&gt;0,1,0))</f>
        <v>0</v>
      </c>
      <c r="AA149" s="39" t="n">
        <f aca="false">IF(AA$4=0,0,IF(COUNTIFS(実績!$W$6:$W$505,AA$3,実績!$AI$6:$AI$505,"&lt;="&amp;$A149,実績!$AJ$6:$AJ$505,"&gt;"&amp;$A149,実績!$AK$6:$AK$505,"○")&gt;0,1,0))</f>
        <v>0</v>
      </c>
      <c r="AB149" s="39" t="n">
        <f aca="false">IF(AB$4=0,0,IF(COUNTIFS(実績!$W$6:$W$505,AB$3,実績!$AI$6:$AI$505,"&lt;="&amp;$A149,実績!$AJ$6:$AJ$505,"&gt;"&amp;$A149,実績!$AK$6:$AK$505,"○")&gt;0,1,0))</f>
        <v>0</v>
      </c>
      <c r="AC149" s="39" t="n">
        <f aca="false">IF(AC$4=0,0,IF(COUNTIFS(実績!$W$6:$W$505,AC$3,実績!$AI$6:$AI$505,"&lt;="&amp;$A149,実績!$AJ$6:$AJ$505,"&gt;"&amp;$A149,実績!$AK$6:$AK$505,"○")&gt;0,1,0))</f>
        <v>0</v>
      </c>
      <c r="AD149" s="39" t="n">
        <f aca="false">IF(AD$4=0,0,IF(COUNTIFS(実績!$W$6:$W$505,AD$3,実績!$AI$6:$AI$505,"&lt;="&amp;$A149,実績!$AJ$6:$AJ$505,"&gt;"&amp;$A149,実績!$AK$6:$AK$505,"○")&gt;0,1,0))</f>
        <v>0</v>
      </c>
      <c r="AE149" s="39" t="n">
        <f aca="false">IF(AE$4=0,0,IF(COUNTIFS(実績!$W$6:$W$505,AE$3,実績!$AI$6:$AI$505,"&lt;="&amp;$A149,実績!$AJ$6:$AJ$505,"&gt;"&amp;$A149,実績!$AK$6:$AK$505,"○")&gt;0,1,0))</f>
        <v>0</v>
      </c>
      <c r="AF149" s="39" t="n">
        <f aca="false">IF(AF$4=0,0,IF(COUNTIFS(実績!$W$6:$W$505,AF$3,実績!$AI$6:$AI$505,"&lt;="&amp;$A149,実績!$AJ$6:$AJ$505,"&gt;"&amp;$A149,実績!$AK$6:$AK$505,"○")&gt;0,1,0))</f>
        <v>0</v>
      </c>
      <c r="AG149" s="39" t="n">
        <f aca="false">IF(AG$4=0,0,IF(COUNTIFS(実績!$W$6:$W$505,AG$3,実績!$AI$6:$AI$505,"&lt;="&amp;$A149,実績!$AJ$6:$AJ$505,"&gt;"&amp;$A149,実績!$AK$6:$AK$505,"○")&gt;0,1,0))</f>
        <v>0</v>
      </c>
      <c r="AH149" s="39" t="n">
        <f aca="false">IF(AH$4=0,0,IF(COUNTIFS(実績!$W$6:$W$505,AH$3,実績!$AI$6:$AI$505,"&lt;="&amp;$A149,実績!$AJ$6:$AJ$505,"&gt;"&amp;$A149,実績!$AK$6:$AK$505,"○")&gt;0,1,0))</f>
        <v>0</v>
      </c>
      <c r="AI149" s="39" t="n">
        <f aca="false">IF(AI$4=0,0,IF(COUNTIFS(実績!$W$6:$W$505,AI$3,実績!$AI$6:$AI$505,"&lt;="&amp;$A149,実績!$AJ$6:$AJ$505,"&gt;"&amp;$A149,実績!$AK$6:$AK$505,"○")&gt;0,1,0))</f>
        <v>0</v>
      </c>
      <c r="AJ149" s="39" t="n">
        <f aca="false">IF(AJ$4=0,0,IF(COUNTIFS(実績!$W$6:$W$505,AJ$3,実績!$AI$6:$AI$505,"&lt;="&amp;$A149,実績!$AJ$6:$AJ$505,"&gt;"&amp;$A149,実績!$AK$6:$AK$505,"○")&gt;0,1,0))</f>
        <v>0</v>
      </c>
      <c r="AK149" s="39" t="n">
        <f aca="false">IF(AK$4=0,0,IF(COUNTIFS(実績!$W$6:$W$505,AK$3,実績!$AI$6:$AI$505,"&lt;="&amp;$A149,実績!$AJ$6:$AJ$505,"&gt;"&amp;$A149,実績!$AK$6:$AK$505,"○")&gt;0,1,0))</f>
        <v>0</v>
      </c>
      <c r="AL149" s="39" t="n">
        <f aca="false">IF(AL$4=0,0,IF(COUNTIFS(実績!$W$6:$W$505,AL$3,実績!$AI$6:$AI$505,"&lt;="&amp;$A149,実績!$AJ$6:$AJ$505,"&gt;"&amp;$A149,実績!$AK$6:$AK$505,"○")&gt;0,1,0))</f>
        <v>0</v>
      </c>
      <c r="AM149" s="39" t="n">
        <f aca="false">IF(AM$4=0,0,IF(COUNTIFS(実績!$W$6:$W$505,AM$3,実績!$AI$6:$AI$505,"&lt;="&amp;$A149,実績!$AJ$6:$AJ$505,"&gt;"&amp;$A149,実績!$AK$6:$AK$505,"○")&gt;0,1,0))</f>
        <v>0</v>
      </c>
      <c r="AN149" s="39" t="n">
        <f aca="false">IF(AN$4=0,0,IF(COUNTIFS(実績!$W$6:$W$505,AN$3,実績!$AI$6:$AI$505,"&lt;="&amp;$A149,実績!$AJ$6:$AJ$505,"&gt;"&amp;$A149,実績!$AK$6:$AK$505,"○")&gt;0,1,0))</f>
        <v>0</v>
      </c>
      <c r="AO149" s="39" t="n">
        <f aca="false">IF(AO$4=0,0,IF(COUNTIFS(実績!$W$6:$W$505,AO$3,実績!$AI$6:$AI$505,"&lt;="&amp;$A149,実績!$AJ$6:$AJ$505,"&gt;"&amp;$A149,実績!$AK$6:$AK$505,"○")&gt;0,1,0))</f>
        <v>0</v>
      </c>
      <c r="AP149" s="39" t="n">
        <f aca="false">IF(AP$4=0,0,IF(COUNTIFS(実績!$W$6:$W$505,AP$3,実績!$AI$6:$AI$505,"&lt;="&amp;$A149,実績!$AJ$6:$AJ$505,"&gt;"&amp;$A149,実績!$AK$6:$AK$505,"○")&gt;0,1,0))</f>
        <v>0</v>
      </c>
      <c r="AQ149" s="39" t="n">
        <f aca="false">IF(AQ$4=0,0,IF(COUNTIFS(実績!$W$6:$W$505,AQ$3,実績!$AI$6:$AI$505,"&lt;="&amp;$A149,実績!$AJ$6:$AJ$505,"&gt;"&amp;$A149,実績!$AK$6:$AK$505,"○")&gt;0,1,0))</f>
        <v>0</v>
      </c>
      <c r="AR149" s="39" t="n">
        <f aca="false">IF(AR$4=0,0,IF(COUNTIFS(実績!$W$6:$W$505,AR$3,実績!$AI$6:$AI$505,"&lt;="&amp;$A149,実績!$AJ$6:$AJ$505,"&gt;"&amp;$A149,実績!$AK$6:$AK$505,"○")&gt;0,1,0))</f>
        <v>0</v>
      </c>
      <c r="AS149" s="39" t="n">
        <f aca="false">IF(AS$4=0,0,IF(COUNTIFS(実績!$W$6:$W$505,AS$3,実績!$AI$6:$AI$505,"&lt;="&amp;$A149,実績!$AJ$6:$AJ$505,"&gt;"&amp;$A149,実績!$AK$6:$AK$505,"○")&gt;0,1,0))</f>
        <v>0</v>
      </c>
      <c r="AT149" s="39" t="n">
        <f aca="false">IF(AT$4=0,0,IF(COUNTIFS(実績!$W$6:$W$505,AT$3,実績!$AI$6:$AI$505,"&lt;="&amp;$A149,実績!$AJ$6:$AJ$505,"&gt;"&amp;$A149,実績!$AK$6:$AK$505,"○")&gt;0,1,0))</f>
        <v>0</v>
      </c>
      <c r="AU149" s="39" t="n">
        <f aca="false">IF(AU$4=0,0,IF(COUNTIFS(実績!$W$6:$W$505,AU$3,実績!$AI$6:$AI$505,"&lt;="&amp;$A149,実績!$AJ$6:$AJ$505,"&gt;"&amp;$A149,実績!$AK$6:$AK$505,"○")&gt;0,1,0))</f>
        <v>0</v>
      </c>
      <c r="AV149" s="39" t="n">
        <f aca="false">IF(AV$4=0,0,IF(COUNTIFS(実績!$W$6:$W$505,AV$3,実績!$AI$6:$AI$505,"&lt;="&amp;$A149,実績!$AJ$6:$AJ$505,"&gt;"&amp;$A149,実績!$AK$6:$AK$505,"○")&gt;0,1,0))</f>
        <v>0</v>
      </c>
      <c r="AW149" s="39" t="n">
        <f aca="false">IF(AW$4=0,0,IF(COUNTIFS(実績!$W$6:$W$505,AW$3,実績!$AI$6:$AI$505,"&lt;="&amp;$A149,実績!$AJ$6:$AJ$505,"&gt;"&amp;$A149,実績!$AK$6:$AK$505,"○")&gt;0,1,0))</f>
        <v>0</v>
      </c>
      <c r="AX149" s="39" t="n">
        <f aca="false">IF(AX$4=0,0,IF(COUNTIFS(実績!$W$6:$W$505,AX$3,実績!$AI$6:$AI$505,"&lt;="&amp;$A149,実績!$AJ$6:$AJ$505,"&gt;"&amp;$A149,実績!$AK$6:$AK$505,"○")&gt;0,1,0))</f>
        <v>0</v>
      </c>
      <c r="AY149" s="39" t="n">
        <f aca="false">IF(AY$4=0,0,IF(COUNTIFS(実績!$W$6:$W$505,AY$3,実績!$AI$6:$AI$505,"&lt;="&amp;$A149,実績!$AJ$6:$AJ$505,"&gt;"&amp;$A149,実績!$AK$6:$AK$505,"○")&gt;0,1,0))</f>
        <v>0</v>
      </c>
      <c r="AZ149" s="39" t="n">
        <f aca="false">IF(AZ$4=0,0,IF(COUNTIFS(実績!$W$6:$W$505,AZ$3,実績!$AI$6:$AI$505,"&lt;="&amp;$A149,実績!$AJ$6:$AJ$505,"&gt;"&amp;$A149,実績!$AK$6:$AK$505,"○")&gt;0,1,0))</f>
        <v>0</v>
      </c>
      <c r="BA149" s="39" t="n">
        <f aca="false">IF(BA$4=0,0,IF(COUNTIFS(実績!$W$6:$W$505,BA$3,実績!$AI$6:$AI$505,"&lt;="&amp;$A149,実績!$AJ$6:$AJ$505,"&gt;"&amp;$A149,実績!$AK$6:$AK$505,"○")&gt;0,1,0))</f>
        <v>0</v>
      </c>
      <c r="BB149" s="39" t="n">
        <f aca="false">IF(BB$4=0,0,IF(COUNTIFS(実績!$W$6:$W$505,BB$3,実績!$AI$6:$AI$505,"&lt;="&amp;$A149,実績!$AJ$6:$AJ$505,"&gt;"&amp;$A149,実績!$AK$6:$AK$505,"○")&gt;0,1,0))</f>
        <v>0</v>
      </c>
      <c r="BC149" s="39" t="n">
        <f aca="false">IF(BC$4=0,0,IF(COUNTIFS(実績!$W$6:$W$505,BC$3,実績!$AI$6:$AI$505,"&lt;="&amp;$A149,実績!$AJ$6:$AJ$505,"&gt;"&amp;$A149,実績!$AK$6:$AK$505,"○")&gt;0,1,0))</f>
        <v>0</v>
      </c>
      <c r="BD149" s="39" t="n">
        <f aca="false">IF(BD$4=0,0,IF(COUNTIFS(実績!$W$6:$W$505,BD$3,実績!$AI$6:$AI$505,"&lt;="&amp;$A149,実績!$AJ$6:$AJ$505,"&gt;"&amp;$A149,実績!$AK$6:$AK$505,"○")&gt;0,1,0))</f>
        <v>0</v>
      </c>
      <c r="BE149" s="39" t="n">
        <f aca="false">IF(BE$4=0,0,IF(COUNTIFS(実績!$W$6:$W$505,BE$3,実績!$AI$6:$AI$505,"&lt;="&amp;$A149,実績!$AJ$6:$AJ$505,"&gt;"&amp;$A149,実績!$AK$6:$AK$505,"○")&gt;0,1,0))</f>
        <v>0</v>
      </c>
      <c r="BF149" s="39" t="n">
        <f aca="false">IF(BF$4=0,0,IF(COUNTIFS(実績!$W$6:$W$505,BF$3,実績!$AI$6:$AI$505,"&lt;="&amp;$A149,実績!$AJ$6:$AJ$505,"&gt;"&amp;$A149,実績!$AK$6:$AK$505,"○")&gt;0,1,0))</f>
        <v>0</v>
      </c>
      <c r="BG149" s="39" t="n">
        <f aca="false">IF(BG$4=0,0,IF(COUNTIFS(実績!$W$6:$W$505,BG$3,実績!$AI$6:$AI$505,"&lt;="&amp;$A149,実績!$AJ$6:$AJ$505,"&gt;"&amp;$A149,実績!$AK$6:$AK$505,"○")&gt;0,1,0))</f>
        <v>0</v>
      </c>
      <c r="BH149" s="39" t="n">
        <f aca="false">IF(BH$4=0,0,IF(COUNTIFS(実績!$W$6:$W$505,BH$3,実績!$AI$6:$AI$505,"&lt;="&amp;$A149,実績!$AJ$6:$AJ$505,"&gt;"&amp;$A149,実績!$AK$6:$AK$505,"○")&gt;0,1,0))</f>
        <v>0</v>
      </c>
      <c r="BI149" s="39" t="n">
        <f aca="false">IF(BI$4=0,0,IF(COUNTIFS(実績!$W$6:$W$505,BI$3,実績!$AI$6:$AI$505,"&lt;="&amp;$A149,実績!$AJ$6:$AJ$505,"&gt;"&amp;$A149,実績!$AK$6:$AK$505,"○")&gt;0,1,0))</f>
        <v>0</v>
      </c>
      <c r="BJ149" s="39" t="n">
        <f aca="false">IF(BJ$4=0,0,IF(COUNTIFS(実績!$W$6:$W$505,BJ$3,実績!$AI$6:$AI$505,"&lt;="&amp;$A149,実績!$AJ$6:$AJ$505,"&gt;"&amp;$A149,実績!$AK$6:$AK$505,"○")&gt;0,1,0))</f>
        <v>0</v>
      </c>
      <c r="BK149" s="39" t="n">
        <f aca="false">IF(BK$4=0,0,IF(COUNTIFS(実績!$W$6:$W$505,BK$3,実績!$AI$6:$AI$505,"&lt;="&amp;$A149,実績!$AJ$6:$AJ$505,"&gt;"&amp;$A149,実績!$AK$6:$AK$505,"○")&gt;0,1,0))</f>
        <v>0</v>
      </c>
      <c r="BL149" s="39" t="n">
        <f aca="false">IF(BL$4=0,0,IF(COUNTIFS(実績!$W$6:$W$505,BL$3,実績!$AI$6:$AI$505,"&lt;="&amp;$A149,実績!$AJ$6:$AJ$505,"&gt;"&amp;$A149,実績!$AK$6:$AK$505,"○")&gt;0,1,0))</f>
        <v>0</v>
      </c>
      <c r="BM149" s="39" t="n">
        <f aca="false">IF(BM$4=0,0,IF(COUNTIFS(実績!$W$6:$W$505,BM$3,実績!$AI$6:$AI$505,"&lt;="&amp;$A149,実績!$AJ$6:$AJ$505,"&gt;"&amp;$A149,実績!$AK$6:$AK$505,"○")&gt;0,1,0))</f>
        <v>0</v>
      </c>
      <c r="BN149" s="39" t="n">
        <f aca="false">IF(BN$4=0,0,IF(COUNTIFS(実績!$W$6:$W$505,BN$3,実績!$AI$6:$AI$505,"&lt;="&amp;$A149,実績!$AJ$6:$AJ$505,"&gt;"&amp;$A149,実績!$AK$6:$AK$505,"○")&gt;0,1,0))</f>
        <v>0</v>
      </c>
      <c r="BO149" s="39" t="n">
        <f aca="false">IF(BO$4=0,0,IF(COUNTIFS(実績!$W$6:$W$505,BO$3,実績!$AI$6:$AI$505,"&lt;="&amp;$A149,実績!$AJ$6:$AJ$505,"&gt;"&amp;$A149,実績!$AK$6:$AK$505,"○")&gt;0,1,0))</f>
        <v>0</v>
      </c>
      <c r="BP149" s="39" t="n">
        <f aca="false">IF(BP$4=0,0,IF(COUNTIFS(実績!$W$6:$W$505,BP$3,実績!$AI$6:$AI$505,"&lt;="&amp;$A149,実績!$AJ$6:$AJ$505,"&gt;"&amp;$A149,実績!$AK$6:$AK$505,"○")&gt;0,1,0))</f>
        <v>0</v>
      </c>
      <c r="BQ149" s="39" t="n">
        <f aca="false">IF(BQ$4=0,0,IF(COUNTIFS(実績!$W$6:$W$505,BQ$3,実績!$AI$6:$AI$505,"&lt;="&amp;$A149,実績!$AJ$6:$AJ$505,"&gt;"&amp;$A149,実績!$AK$6:$AK$505,"○")&gt;0,1,0))</f>
        <v>0</v>
      </c>
      <c r="BR149" s="39" t="n">
        <f aca="false">IF(BR$4=0,0,IF(COUNTIFS(実績!$W$6:$W$505,BR$3,実績!$AI$6:$AI$505,"&lt;="&amp;$A149,実績!$AJ$6:$AJ$505,"&gt;"&amp;$A149,実績!$AK$6:$AK$505,"○")&gt;0,1,0))</f>
        <v>0</v>
      </c>
      <c r="BS149" s="39" t="n">
        <f aca="false">IF(BS$4=0,0,IF(COUNTIFS(実績!$W$6:$W$505,BS$3,実績!$AI$6:$AI$505,"&lt;="&amp;$A149,実績!$AJ$6:$AJ$505,"&gt;"&amp;$A149,実績!$AK$6:$AK$505,"○")&gt;0,1,0))</f>
        <v>0</v>
      </c>
      <c r="BT149" s="39" t="n">
        <f aca="false">IF(BT$4=0,0,IF(COUNTIFS(実績!$W$6:$W$505,BT$3,実績!$AI$6:$AI$505,"&lt;="&amp;$A149,実績!$AJ$6:$AJ$505,"&gt;"&amp;$A149,実績!$AK$6:$AK$505,"○")&gt;0,1,0))</f>
        <v>0</v>
      </c>
      <c r="BU149" s="39" t="n">
        <f aca="false">IF(BU$4=0,0,IF(COUNTIFS(実績!$W$6:$W$505,BU$3,実績!$AI$6:$AI$505,"&lt;="&amp;$A149,実績!$AJ$6:$AJ$505,"&gt;"&amp;$A149,実績!$AK$6:$AK$505,"○")&gt;0,1,0))</f>
        <v>0</v>
      </c>
      <c r="BV149" s="39" t="n">
        <f aca="false">IF(BV$4=0,0,IF(COUNTIFS(実績!$W$6:$W$505,BV$3,実績!$AI$6:$AI$505,"&lt;="&amp;$A149,実績!$AJ$6:$AJ$505,"&gt;"&amp;$A149,実績!$AK$6:$AK$505,"○")&gt;0,1,0))</f>
        <v>0</v>
      </c>
      <c r="BW149" s="39" t="n">
        <f aca="false">IF(BW$4=0,0,IF(COUNTIFS(実績!$W$6:$W$505,BW$3,実績!$AI$6:$AI$505,"&lt;="&amp;$A149,実績!$AJ$6:$AJ$505,"&gt;"&amp;$A149,実績!$AK$6:$AK$505,"○")&gt;0,1,0))</f>
        <v>0</v>
      </c>
      <c r="BX149" s="39" t="n">
        <f aca="false">IF(BX$4=0,0,IF(COUNTIFS(実績!$W$6:$W$505,BX$3,実績!$AI$6:$AI$505,"&lt;="&amp;$A149,実績!$AJ$6:$AJ$505,"&gt;"&amp;$A149,実績!$AK$6:$AK$505,"○")&gt;0,1,0))</f>
        <v>0</v>
      </c>
      <c r="BY149" s="39" t="n">
        <f aca="false">IF(BY$4=0,0,IF(COUNTIFS(実績!$W$6:$W$505,BY$3,実績!$AI$6:$AI$505,"&lt;="&amp;$A149,実績!$AJ$6:$AJ$505,"&gt;"&amp;$A149,実績!$AK$6:$AK$505,"○")&gt;0,1,0))</f>
        <v>0</v>
      </c>
      <c r="BZ149" s="39" t="n">
        <f aca="false">IF(BZ$4=0,0,IF(COUNTIFS(実績!$W$6:$W$505,BZ$3,実績!$AI$6:$AI$505,"&lt;="&amp;$A149,実績!$AJ$6:$AJ$505,"&gt;"&amp;$A149,実績!$AK$6:$AK$505,"○")&gt;0,1,0))</f>
        <v>0</v>
      </c>
      <c r="CA149" s="39" t="n">
        <f aca="false">IF(CA$4=0,0,IF(COUNTIFS(実績!$W$6:$W$505,CA$3,実績!$AI$6:$AI$505,"&lt;="&amp;$A149,実績!$AJ$6:$AJ$505,"&gt;"&amp;$A149,実績!$AK$6:$AK$505,"○")&gt;0,1,0))</f>
        <v>0</v>
      </c>
      <c r="CB149" s="39" t="n">
        <f aca="false">IF(CB$4=0,0,IF(COUNTIFS(実績!$W$6:$W$505,CB$3,実績!$AI$6:$AI$505,"&lt;="&amp;$A149,実績!$AJ$6:$AJ$505,"&gt;"&amp;$A149,実績!$AK$6:$AK$505,"○")&gt;0,1,0))</f>
        <v>0</v>
      </c>
      <c r="CC149" s="39" t="n">
        <f aca="false">IF(CC$4=0,0,IF(COUNTIFS(実績!$W$6:$W$505,CC$3,実績!$AI$6:$AI$505,"&lt;="&amp;$A149,実績!$AJ$6:$AJ$505,"&gt;"&amp;$A149,実績!$AK$6:$AK$505,"○")&gt;0,1,0))</f>
        <v>0</v>
      </c>
      <c r="CD149" s="39" t="n">
        <f aca="false">IF(CD$4=0,0,IF(COUNTIFS(実績!$W$6:$W$505,CD$3,実績!$AI$6:$AI$505,"&lt;="&amp;$A149,実績!$AJ$6:$AJ$505,"&gt;"&amp;$A149,実績!$AK$6:$AK$505,"○")&gt;0,1,0))</f>
        <v>0</v>
      </c>
      <c r="CE149" s="39" t="n">
        <f aca="false">IF(CE$4=0,0,IF(COUNTIFS(実績!$W$6:$W$505,CE$3,実績!$AI$6:$AI$505,"&lt;="&amp;$A149,実績!$AJ$6:$AJ$505,"&gt;"&amp;$A149,実績!$AK$6:$AK$505,"○")&gt;0,1,0))</f>
        <v>0</v>
      </c>
      <c r="CF149" s="39" t="n">
        <f aca="false">IF(CF$4=0,0,IF(COUNTIFS(実績!$W$6:$W$505,CF$3,実績!$AI$6:$AI$505,"&lt;="&amp;$A149,実績!$AJ$6:$AJ$505,"&gt;"&amp;$A149,実績!$AK$6:$AK$505,"○")&gt;0,1,0))</f>
        <v>0</v>
      </c>
      <c r="CG149" s="39" t="n">
        <f aca="false">IF(CG$4=0,0,IF(COUNTIFS(実績!$W$6:$W$505,CG$3,実績!$AI$6:$AI$505,"&lt;="&amp;$A149,実績!$AJ$6:$AJ$505,"&gt;"&amp;$A149,実績!$AK$6:$AK$505,"○")&gt;0,1,0))</f>
        <v>0</v>
      </c>
      <c r="CH149" s="39" t="n">
        <f aca="false">IF(CH$4=0,0,IF(COUNTIFS(実績!$W$6:$W$505,CH$3,実績!$AI$6:$AI$505,"&lt;="&amp;$A149,実績!$AJ$6:$AJ$505,"&gt;"&amp;$A149,実績!$AK$6:$AK$505,"○")&gt;0,1,0))</f>
        <v>0</v>
      </c>
      <c r="CI149" s="39" t="n">
        <f aca="false">IF(CI$4=0,0,IF(COUNTIFS(実績!$W$6:$W$505,CI$3,実績!$AI$6:$AI$505,"&lt;="&amp;$A149,実績!$AJ$6:$AJ$505,"&gt;"&amp;$A149,実績!$AK$6:$AK$505,"○")&gt;0,1,0))</f>
        <v>0</v>
      </c>
      <c r="CJ149" s="39" t="n">
        <f aca="false">IF(CJ$4=0,0,IF(COUNTIFS(実績!$W$6:$W$505,CJ$3,実績!$AI$6:$AI$505,"&lt;="&amp;$A149,実績!$AJ$6:$AJ$505,"&gt;"&amp;$A149,実績!$AK$6:$AK$505,"○")&gt;0,1,0))</f>
        <v>0</v>
      </c>
      <c r="CK149" s="39" t="n">
        <f aca="false">IF(CK$4=0,0,IF(COUNTIFS(実績!$W$6:$W$505,CK$3,実績!$AI$6:$AI$505,"&lt;="&amp;$A149,実績!$AJ$6:$AJ$505,"&gt;"&amp;$A149,実績!$AK$6:$AK$505,"○")&gt;0,1,0))</f>
        <v>0</v>
      </c>
      <c r="CL149" s="39" t="n">
        <f aca="false">IF(CL$4=0,0,IF(COUNTIFS(実績!$W$6:$W$505,CL$3,実績!$AI$6:$AI$505,"&lt;="&amp;$A149,実績!$AJ$6:$AJ$505,"&gt;"&amp;$A149,実績!$AK$6:$AK$505,"○")&gt;0,1,0))</f>
        <v>0</v>
      </c>
      <c r="CM149" s="39" t="n">
        <f aca="false">IF(CM$4=0,0,IF(COUNTIFS(実績!$W$6:$W$505,CM$3,実績!$AI$6:$AI$505,"&lt;="&amp;$A149,実績!$AJ$6:$AJ$505,"&gt;"&amp;$A149,実績!$AK$6:$AK$505,"○")&gt;0,1,0))</f>
        <v>0</v>
      </c>
      <c r="CN149" s="39" t="n">
        <f aca="false">IF(CN$4=0,0,IF(COUNTIFS(実績!$W$6:$W$505,CN$3,実績!$AI$6:$AI$505,"&lt;="&amp;$A149,実績!$AJ$6:$AJ$505,"&gt;"&amp;$A149,実績!$AK$6:$AK$505,"○")&gt;0,1,0))</f>
        <v>0</v>
      </c>
      <c r="CO149" s="39" t="n">
        <f aca="false">IF(CO$4=0,0,IF(COUNTIFS(実績!$W$6:$W$505,CO$3,実績!$AI$6:$AI$505,"&lt;="&amp;$A149,実績!$AJ$6:$AJ$505,"&gt;"&amp;$A149,実績!$AK$6:$AK$505,"○")&gt;0,1,0))</f>
        <v>0</v>
      </c>
      <c r="CP149" s="39" t="n">
        <f aca="false">IF(CP$4=0,0,IF(COUNTIFS(実績!$W$6:$W$505,CP$3,実績!$AI$6:$AI$505,"&lt;="&amp;$A149,実績!$AJ$6:$AJ$505,"&gt;"&amp;$A149,実績!$AK$6:$AK$505,"○")&gt;0,1,0))</f>
        <v>0</v>
      </c>
      <c r="CQ149" s="39" t="n">
        <f aca="false">IF(CQ$4=0,0,IF(COUNTIFS(実績!$W$6:$W$505,CQ$3,実績!$AI$6:$AI$505,"&lt;="&amp;$A149,実績!$AJ$6:$AJ$505,"&gt;"&amp;$A149,実績!$AK$6:$AK$505,"○")&gt;0,1,0))</f>
        <v>0</v>
      </c>
      <c r="CR149" s="39" t="n">
        <f aca="false">IF(CR$4=0,0,IF(COUNTIFS(実績!$W$6:$W$505,CR$3,実績!$AI$6:$AI$505,"&lt;="&amp;$A149,実績!$AJ$6:$AJ$505,"&gt;"&amp;$A149,実績!$AK$6:$AK$505,"○")&gt;0,1,0))</f>
        <v>0</v>
      </c>
      <c r="CS149" s="39" t="n">
        <f aca="false">IF(CS$4=0,0,IF(COUNTIFS(実績!$W$6:$W$505,CS$3,実績!$AI$6:$AI$505,"&lt;="&amp;$A149,実績!$AJ$6:$AJ$505,"&gt;"&amp;$A149,実績!$AK$6:$AK$505,"○")&gt;0,1,0))</f>
        <v>0</v>
      </c>
      <c r="CT149" s="39" t="n">
        <f aca="false">IF(CT$4=0,0,IF(COUNTIFS(実績!$W$6:$W$505,CT$3,実績!$AI$6:$AI$505,"&lt;="&amp;$A149,実績!$AJ$6:$AJ$505,"&gt;"&amp;$A149,実績!$AK$6:$AK$505,"○")&gt;0,1,0))</f>
        <v>0</v>
      </c>
      <c r="CU149" s="39" t="n">
        <f aca="false">IF(CU$4=0,0,IF(COUNTIFS(実績!$W$6:$W$505,CU$3,実績!$AI$6:$AI$505,"&lt;="&amp;$A149,実績!$AJ$6:$AJ$505,"&gt;"&amp;$A149,実績!$AK$6:$AK$505,"○")&gt;0,1,0))</f>
        <v>0</v>
      </c>
      <c r="CV149" s="39" t="n">
        <f aca="false">IF(CV$4=0,0,IF(COUNTIFS(実績!$W$6:$W$505,CV$3,実績!$AI$6:$AI$505,"&lt;="&amp;$A149,実績!$AJ$6:$AJ$505,"&gt;"&amp;$A149,実績!$AK$6:$AK$505,"○")&gt;0,1,0))</f>
        <v>0</v>
      </c>
      <c r="CW149" s="39" t="n">
        <f aca="false">IF(CW$4=0,0,IF(COUNTIFS(実績!$W$6:$W$505,CW$3,実績!$AI$6:$AI$505,"&lt;="&amp;$A149,実績!$AJ$6:$AJ$505,"&gt;"&amp;$A149,実績!$AK$6:$AK$505,"○")&gt;0,1,0))</f>
        <v>0</v>
      </c>
      <c r="CX149" s="39" t="n">
        <f aca="false">IF(CX$4=0,0,IF(COUNTIFS(実績!$W$6:$W$505,CX$3,実績!$AI$6:$AI$505,"&lt;="&amp;$A149,実績!$AJ$6:$AJ$505,"&gt;"&amp;$A149,実績!$AK$6:$AK$505,"○")&gt;0,1,0))</f>
        <v>0</v>
      </c>
      <c r="CY149" s="39" t="n">
        <f aca="false">IF(CY$4=0,0,IF(COUNTIFS(実績!$W$6:$W$505,CY$3,実績!$AI$6:$AI$505,"&lt;="&amp;$A149,実績!$AJ$6:$AJ$505,"&gt;"&amp;$A149,実績!$AK$6:$AK$505,"○")&gt;0,1,0))</f>
        <v>0</v>
      </c>
      <c r="CZ149" s="39" t="n">
        <f aca="false">IF(CZ$4=0,0,IF(COUNTIFS(実績!$W$6:$W$505,CZ$3,実績!$AI$6:$AI$505,"&lt;="&amp;$A149,実績!$AJ$6:$AJ$505,"&gt;"&amp;$A149,実績!$AK$6:$AK$505,"○")&gt;0,1,0))</f>
        <v>0</v>
      </c>
      <c r="DA149" s="39" t="n">
        <f aca="false">IF(DA$4=0,0,IF(COUNTIFS(実績!$W$6:$W$505,DA$3,実績!$AI$6:$AI$505,"&lt;="&amp;$A149,実績!$AJ$6:$AJ$505,"&gt;"&amp;$A149,実績!$AK$6:$AK$505,"○")&gt;0,1,0))</f>
        <v>0</v>
      </c>
      <c r="DB149" s="39" t="n">
        <f aca="false">IF(DB$4=0,0,IF(COUNTIFS(実績!$W$6:$W$505,DB$3,実績!$AI$6:$AI$505,"&lt;="&amp;$A149,実績!$AJ$6:$AJ$505,"&gt;"&amp;$A149,実績!$AK$6:$AK$505,"○")&gt;0,1,0))</f>
        <v>0</v>
      </c>
      <c r="DC149" s="39" t="n">
        <f aca="false">IF(DC$4=0,0,IF(COUNTIFS(実績!$W$6:$W$505,DC$3,実績!$AI$6:$AI$505,"&lt;="&amp;$A149,実績!$AJ$6:$AJ$505,"&gt;"&amp;$A149,実績!$AK$6:$AK$505,"○")&gt;0,1,0))</f>
        <v>0</v>
      </c>
      <c r="DD149" s="39" t="n">
        <f aca="false">IF(DD$4=0,0,IF(COUNTIFS(実績!$W$6:$W$505,DD$3,実績!$AI$6:$AI$505,"&lt;="&amp;$A149,実績!$AJ$6:$AJ$505,"&gt;"&amp;$A149,実績!$AK$6:$AK$505,"○")&gt;0,1,0))</f>
        <v>0</v>
      </c>
      <c r="DE149" s="39" t="n">
        <f aca="false">IF(DE$4=0,0,IF(COUNTIFS(実績!$W$6:$W$505,DE$3,実績!$AI$6:$AI$505,"&lt;="&amp;$A149,実績!$AJ$6:$AJ$505,"&gt;"&amp;$A149,実績!$AK$6:$AK$505,"○")&gt;0,1,0))</f>
        <v>0</v>
      </c>
      <c r="DF149" s="39" t="n">
        <f aca="false">IF(DF$4=0,0,IF(COUNTIFS(実績!$W$6:$W$505,DF$3,実績!$AI$6:$AI$505,"&lt;="&amp;$A149,実績!$AJ$6:$AJ$505,"&gt;"&amp;$A149,実績!$AK$6:$AK$505,"○")&gt;0,1,0))</f>
        <v>0</v>
      </c>
      <c r="DG149" s="39" t="n">
        <f aca="false">IF(DG$4=0,0,IF(COUNTIFS(実績!$W$6:$W$505,DG$3,実績!$AI$6:$AI$505,"&lt;="&amp;$A149,実績!$AJ$6:$AJ$505,"&gt;"&amp;$A149,実績!$AK$6:$AK$505,"○")&gt;0,1,0))</f>
        <v>0</v>
      </c>
      <c r="DH149" s="39" t="n">
        <f aca="false">IF(DH$4=0,0,IF(COUNTIFS(実績!$W$6:$W$505,DH$3,実績!$AI$6:$AI$505,"&lt;="&amp;$A149,実績!$AJ$6:$AJ$505,"&gt;"&amp;$A149,実績!$AK$6:$AK$505,"○")&gt;0,1,0))</f>
        <v>0</v>
      </c>
      <c r="DI149" s="39" t="n">
        <f aca="false">IF(DI$4=0,0,IF(COUNTIFS(実績!$W$6:$W$505,DI$3,実績!$AI$6:$AI$505,"&lt;="&amp;$A149,実績!$AJ$6:$AJ$505,"&gt;"&amp;$A149,実績!$AK$6:$AK$505,"○")&gt;0,1,0))</f>
        <v>0</v>
      </c>
      <c r="DJ149" s="39" t="n">
        <f aca="false">IF(DJ$4=0,0,IF(COUNTIFS(実績!$W$6:$W$505,DJ$3,実績!$AI$6:$AI$505,"&lt;="&amp;$A149,実績!$AJ$6:$AJ$505,"&gt;"&amp;$A149,実績!$AK$6:$AK$505,"○")&gt;0,1,0))</f>
        <v>0</v>
      </c>
      <c r="DK149" s="39" t="n">
        <f aca="false">IF(DK$4=0,0,IF(COUNTIFS(実績!$W$6:$W$505,DK$3,実績!$AI$6:$AI$505,"&lt;="&amp;$A149,実績!$AJ$6:$AJ$505,"&gt;"&amp;$A149,実績!$AK$6:$AK$505,"○")&gt;0,1,0))</f>
        <v>0</v>
      </c>
      <c r="DL149" s="39" t="n">
        <f aca="false">IF(DL$4=0,0,IF(COUNTIFS(実績!$W$6:$W$505,DL$3,実績!$AI$6:$AI$505,"&lt;="&amp;$A149,実績!$AJ$6:$AJ$505,"&gt;"&amp;$A149,実績!$AK$6:$AK$505,"○")&gt;0,1,0))</f>
        <v>0</v>
      </c>
      <c r="DM149" s="39" t="n">
        <f aca="false">IF(DM$4=0,0,IF(COUNTIFS(実績!$W$6:$W$505,DM$3,実績!$AI$6:$AI$505,"&lt;="&amp;$A149,実績!$AJ$6:$AJ$505,"&gt;"&amp;$A149,実績!$AK$6:$AK$505,"○")&gt;0,1,0))</f>
        <v>0</v>
      </c>
      <c r="DN149" s="39" t="n">
        <f aca="false">IF(DN$4=0,0,IF(COUNTIFS(実績!$W$6:$W$505,DN$3,実績!$AI$6:$AI$505,"&lt;="&amp;$A149,実績!$AJ$6:$AJ$505,"&gt;"&amp;$A149,実績!$AK$6:$AK$505,"○")&gt;0,1,0))</f>
        <v>0</v>
      </c>
      <c r="DO149" s="39" t="n">
        <f aca="false">IF(DO$4=0,0,IF(COUNTIFS(実績!$W$6:$W$505,DO$3,実績!$AI$6:$AI$505,"&lt;="&amp;$A149,実績!$AJ$6:$AJ$505,"&gt;"&amp;$A149,実績!$AK$6:$AK$505,"○")&gt;0,1,0))</f>
        <v>0</v>
      </c>
      <c r="DP149" s="39" t="n">
        <f aca="false">IF(DP$4=0,0,IF(COUNTIFS(実績!$W$6:$W$505,DP$3,実績!$AI$6:$AI$505,"&lt;="&amp;$A149,実績!$AJ$6:$AJ$505,"&gt;"&amp;$A149,実績!$AK$6:$AK$505,"○")&gt;0,1,0))</f>
        <v>0</v>
      </c>
      <c r="DQ149" s="39" t="n">
        <f aca="false">IF(DQ$4=0,0,IF(COUNTIFS(実績!$W$6:$W$505,DQ$3,実績!$AI$6:$AI$505,"&lt;="&amp;$A149,実績!$AJ$6:$AJ$505,"&gt;"&amp;$A149,実績!$AK$6:$AK$505,"○")&gt;0,1,0))</f>
        <v>0</v>
      </c>
      <c r="DR149" s="39" t="n">
        <f aca="false">IF(DR$4=0,0,IF(COUNTIFS(実績!$W$6:$W$505,DR$3,実績!$AI$6:$AI$505,"&lt;="&amp;$A149,実績!$AJ$6:$AJ$505,"&gt;"&amp;$A149,実績!$AK$6:$AK$505,"○")&gt;0,1,0))</f>
        <v>0</v>
      </c>
      <c r="DS149" s="39" t="n">
        <f aca="false">SUM(C149:DR149)</f>
        <v>0</v>
      </c>
      <c r="DT149" s="39" t="n">
        <f aca="false">SUMPRODUCT((実績!$C$6:$C$505="○")*ISNUMBER(実績!$AM$6:$AM$505)*(実績!$AM$6:$AM$505&lt;=$A149)*(実績!$AN$6:$AN$505&gt;$A149))</f>
        <v>0</v>
      </c>
      <c r="DU149" s="39" t="n">
        <f aca="false">SUMIF($C$2:$DR$2,"製鉄曳船",C149:DR149)</f>
        <v>0</v>
      </c>
      <c r="DV149" s="39" t="n">
        <f aca="false">SUMIF($C$2:$DR$2,"西日本海運",C149:DR149)</f>
        <v>0</v>
      </c>
    </row>
    <row r="150" customFormat="false" ht="15" hidden="false" customHeight="false" outlineLevel="0" collapsed="false">
      <c r="A150" s="0" t="n">
        <v>720</v>
      </c>
      <c r="B150" s="38" t="n">
        <f aca="false">A150/1440</f>
        <v>0.5</v>
      </c>
      <c r="C150" s="39" t="n">
        <f aca="false">IF(C$4=0,0,IF(COUNTIFS(実績!$W$6:$W$505,C$3,実績!$AI$6:$AI$505,"&lt;="&amp;$A150,実績!$AJ$6:$AJ$505,"&gt;"&amp;$A150,実績!$AK$6:$AK$505,"○")&gt;0,1,0))</f>
        <v>0</v>
      </c>
      <c r="D150" s="39" t="n">
        <f aca="false">IF(D$4=0,0,IF(COUNTIFS(実績!$W$6:$W$505,D$3,実績!$AI$6:$AI$505,"&lt;="&amp;$A150,実績!$AJ$6:$AJ$505,"&gt;"&amp;$A150,実績!$AK$6:$AK$505,"○")&gt;0,1,0))</f>
        <v>0</v>
      </c>
      <c r="E150" s="39" t="n">
        <f aca="false">IF(E$4=0,0,IF(COUNTIFS(実績!$W$6:$W$505,E$3,実績!$AI$6:$AI$505,"&lt;="&amp;$A150,実績!$AJ$6:$AJ$505,"&gt;"&amp;$A150,実績!$AK$6:$AK$505,"○")&gt;0,1,0))</f>
        <v>0</v>
      </c>
      <c r="F150" s="39" t="n">
        <f aca="false">IF(F$4=0,0,IF(COUNTIFS(実績!$W$6:$W$505,F$3,実績!$AI$6:$AI$505,"&lt;="&amp;$A150,実績!$AJ$6:$AJ$505,"&gt;"&amp;$A150,実績!$AK$6:$AK$505,"○")&gt;0,1,0))</f>
        <v>0</v>
      </c>
      <c r="G150" s="39" t="n">
        <f aca="false">IF(G$4=0,0,IF(COUNTIFS(実績!$W$6:$W$505,G$3,実績!$AI$6:$AI$505,"&lt;="&amp;$A150,実績!$AJ$6:$AJ$505,"&gt;"&amp;$A150,実績!$AK$6:$AK$505,"○")&gt;0,1,0))</f>
        <v>0</v>
      </c>
      <c r="H150" s="39" t="n">
        <f aca="false">IF(H$4=0,0,IF(COUNTIFS(実績!$W$6:$W$505,H$3,実績!$AI$6:$AI$505,"&lt;="&amp;$A150,実績!$AJ$6:$AJ$505,"&gt;"&amp;$A150,実績!$AK$6:$AK$505,"○")&gt;0,1,0))</f>
        <v>0</v>
      </c>
      <c r="I150" s="39" t="n">
        <f aca="false">IF(I$4=0,0,IF(COUNTIFS(実績!$W$6:$W$505,I$3,実績!$AI$6:$AI$505,"&lt;="&amp;$A150,実績!$AJ$6:$AJ$505,"&gt;"&amp;$A150,実績!$AK$6:$AK$505,"○")&gt;0,1,0))</f>
        <v>0</v>
      </c>
      <c r="J150" s="39" t="n">
        <f aca="false">IF(J$4=0,0,IF(COUNTIFS(実績!$W$6:$W$505,J$3,実績!$AI$6:$AI$505,"&lt;="&amp;$A150,実績!$AJ$6:$AJ$505,"&gt;"&amp;$A150,実績!$AK$6:$AK$505,"○")&gt;0,1,0))</f>
        <v>0</v>
      </c>
      <c r="K150" s="39" t="n">
        <f aca="false">IF(K$4=0,0,IF(COUNTIFS(実績!$W$6:$W$505,K$3,実績!$AI$6:$AI$505,"&lt;="&amp;$A150,実績!$AJ$6:$AJ$505,"&gt;"&amp;$A150,実績!$AK$6:$AK$505,"○")&gt;0,1,0))</f>
        <v>0</v>
      </c>
      <c r="L150" s="39" t="n">
        <f aca="false">IF(L$4=0,0,IF(COUNTIFS(実績!$W$6:$W$505,L$3,実績!$AI$6:$AI$505,"&lt;="&amp;$A150,実績!$AJ$6:$AJ$505,"&gt;"&amp;$A150,実績!$AK$6:$AK$505,"○")&gt;0,1,0))</f>
        <v>0</v>
      </c>
      <c r="M150" s="39" t="n">
        <f aca="false">IF(M$4=0,0,IF(COUNTIFS(実績!$W$6:$W$505,M$3,実績!$AI$6:$AI$505,"&lt;="&amp;$A150,実績!$AJ$6:$AJ$505,"&gt;"&amp;$A150,実績!$AK$6:$AK$505,"○")&gt;0,1,0))</f>
        <v>0</v>
      </c>
      <c r="N150" s="39" t="n">
        <f aca="false">IF(N$4=0,0,IF(COUNTIFS(実績!$W$6:$W$505,N$3,実績!$AI$6:$AI$505,"&lt;="&amp;$A150,実績!$AJ$6:$AJ$505,"&gt;"&amp;$A150,実績!$AK$6:$AK$505,"○")&gt;0,1,0))</f>
        <v>0</v>
      </c>
      <c r="O150" s="39" t="n">
        <f aca="false">IF(O$4=0,0,IF(COUNTIFS(実績!$W$6:$W$505,O$3,実績!$AI$6:$AI$505,"&lt;="&amp;$A150,実績!$AJ$6:$AJ$505,"&gt;"&amp;$A150,実績!$AK$6:$AK$505,"○")&gt;0,1,0))</f>
        <v>0</v>
      </c>
      <c r="P150" s="39" t="n">
        <f aca="false">IF(P$4=0,0,IF(COUNTIFS(実績!$W$6:$W$505,P$3,実績!$AI$6:$AI$505,"&lt;="&amp;$A150,実績!$AJ$6:$AJ$505,"&gt;"&amp;$A150,実績!$AK$6:$AK$505,"○")&gt;0,1,0))</f>
        <v>0</v>
      </c>
      <c r="Q150" s="39" t="n">
        <f aca="false">IF(Q$4=0,0,IF(COUNTIFS(実績!$W$6:$W$505,Q$3,実績!$AI$6:$AI$505,"&lt;="&amp;$A150,実績!$AJ$6:$AJ$505,"&gt;"&amp;$A150,実績!$AK$6:$AK$505,"○")&gt;0,1,0))</f>
        <v>0</v>
      </c>
      <c r="R150" s="39" t="n">
        <f aca="false">IF(R$4=0,0,IF(COUNTIFS(実績!$W$6:$W$505,R$3,実績!$AI$6:$AI$505,"&lt;="&amp;$A150,実績!$AJ$6:$AJ$505,"&gt;"&amp;$A150,実績!$AK$6:$AK$505,"○")&gt;0,1,0))</f>
        <v>0</v>
      </c>
      <c r="S150" s="39" t="n">
        <f aca="false">IF(S$4=0,0,IF(COUNTIFS(実績!$W$6:$W$505,S$3,実績!$AI$6:$AI$505,"&lt;="&amp;$A150,実績!$AJ$6:$AJ$505,"&gt;"&amp;$A150,実績!$AK$6:$AK$505,"○")&gt;0,1,0))</f>
        <v>0</v>
      </c>
      <c r="T150" s="39" t="n">
        <f aca="false">IF(T$4=0,0,IF(COUNTIFS(実績!$W$6:$W$505,T$3,実績!$AI$6:$AI$505,"&lt;="&amp;$A150,実績!$AJ$6:$AJ$505,"&gt;"&amp;$A150,実績!$AK$6:$AK$505,"○")&gt;0,1,0))</f>
        <v>0</v>
      </c>
      <c r="U150" s="39" t="n">
        <f aca="false">IF(U$4=0,0,IF(COUNTIFS(実績!$W$6:$W$505,U$3,実績!$AI$6:$AI$505,"&lt;="&amp;$A150,実績!$AJ$6:$AJ$505,"&gt;"&amp;$A150,実績!$AK$6:$AK$505,"○")&gt;0,1,0))</f>
        <v>0</v>
      </c>
      <c r="V150" s="39" t="n">
        <f aca="false">IF(V$4=0,0,IF(COUNTIFS(実績!$W$6:$W$505,V$3,実績!$AI$6:$AI$505,"&lt;="&amp;$A150,実績!$AJ$6:$AJ$505,"&gt;"&amp;$A150,実績!$AK$6:$AK$505,"○")&gt;0,1,0))</f>
        <v>0</v>
      </c>
      <c r="W150" s="39" t="n">
        <f aca="false">IF(W$4=0,0,IF(COUNTIFS(実績!$W$6:$W$505,W$3,実績!$AI$6:$AI$505,"&lt;="&amp;$A150,実績!$AJ$6:$AJ$505,"&gt;"&amp;$A150,実績!$AK$6:$AK$505,"○")&gt;0,1,0))</f>
        <v>0</v>
      </c>
      <c r="X150" s="39" t="n">
        <f aca="false">IF(X$4=0,0,IF(COUNTIFS(実績!$W$6:$W$505,X$3,実績!$AI$6:$AI$505,"&lt;="&amp;$A150,実績!$AJ$6:$AJ$505,"&gt;"&amp;$A150,実績!$AK$6:$AK$505,"○")&gt;0,1,0))</f>
        <v>0</v>
      </c>
      <c r="Y150" s="39" t="n">
        <f aca="false">IF(Y$4=0,0,IF(COUNTIFS(実績!$W$6:$W$505,Y$3,実績!$AI$6:$AI$505,"&lt;="&amp;$A150,実績!$AJ$6:$AJ$505,"&gt;"&amp;$A150,実績!$AK$6:$AK$505,"○")&gt;0,1,0))</f>
        <v>0</v>
      </c>
      <c r="Z150" s="39" t="n">
        <f aca="false">IF(Z$4=0,0,IF(COUNTIFS(実績!$W$6:$W$505,Z$3,実績!$AI$6:$AI$505,"&lt;="&amp;$A150,実績!$AJ$6:$AJ$505,"&gt;"&amp;$A150,実績!$AK$6:$AK$505,"○")&gt;0,1,0))</f>
        <v>0</v>
      </c>
      <c r="AA150" s="39" t="n">
        <f aca="false">IF(AA$4=0,0,IF(COUNTIFS(実績!$W$6:$W$505,AA$3,実績!$AI$6:$AI$505,"&lt;="&amp;$A150,実績!$AJ$6:$AJ$505,"&gt;"&amp;$A150,実績!$AK$6:$AK$505,"○")&gt;0,1,0))</f>
        <v>0</v>
      </c>
      <c r="AB150" s="39" t="n">
        <f aca="false">IF(AB$4=0,0,IF(COUNTIFS(実績!$W$6:$W$505,AB$3,実績!$AI$6:$AI$505,"&lt;="&amp;$A150,実績!$AJ$6:$AJ$505,"&gt;"&amp;$A150,実績!$AK$6:$AK$505,"○")&gt;0,1,0))</f>
        <v>0</v>
      </c>
      <c r="AC150" s="39" t="n">
        <f aca="false">IF(AC$4=0,0,IF(COUNTIFS(実績!$W$6:$W$505,AC$3,実績!$AI$6:$AI$505,"&lt;="&amp;$A150,実績!$AJ$6:$AJ$505,"&gt;"&amp;$A150,実績!$AK$6:$AK$505,"○")&gt;0,1,0))</f>
        <v>0</v>
      </c>
      <c r="AD150" s="39" t="n">
        <f aca="false">IF(AD$4=0,0,IF(COUNTIFS(実績!$W$6:$W$505,AD$3,実績!$AI$6:$AI$505,"&lt;="&amp;$A150,実績!$AJ$6:$AJ$505,"&gt;"&amp;$A150,実績!$AK$6:$AK$505,"○")&gt;0,1,0))</f>
        <v>0</v>
      </c>
      <c r="AE150" s="39" t="n">
        <f aca="false">IF(AE$4=0,0,IF(COUNTIFS(実績!$W$6:$W$505,AE$3,実績!$AI$6:$AI$505,"&lt;="&amp;$A150,実績!$AJ$6:$AJ$505,"&gt;"&amp;$A150,実績!$AK$6:$AK$505,"○")&gt;0,1,0))</f>
        <v>0</v>
      </c>
      <c r="AF150" s="39" t="n">
        <f aca="false">IF(AF$4=0,0,IF(COUNTIFS(実績!$W$6:$W$505,AF$3,実績!$AI$6:$AI$505,"&lt;="&amp;$A150,実績!$AJ$6:$AJ$505,"&gt;"&amp;$A150,実績!$AK$6:$AK$505,"○")&gt;0,1,0))</f>
        <v>0</v>
      </c>
      <c r="AG150" s="39" t="n">
        <f aca="false">IF(AG$4=0,0,IF(COUNTIFS(実績!$W$6:$W$505,AG$3,実績!$AI$6:$AI$505,"&lt;="&amp;$A150,実績!$AJ$6:$AJ$505,"&gt;"&amp;$A150,実績!$AK$6:$AK$505,"○")&gt;0,1,0))</f>
        <v>0</v>
      </c>
      <c r="AH150" s="39" t="n">
        <f aca="false">IF(AH$4=0,0,IF(COUNTIFS(実績!$W$6:$W$505,AH$3,実績!$AI$6:$AI$505,"&lt;="&amp;$A150,実績!$AJ$6:$AJ$505,"&gt;"&amp;$A150,実績!$AK$6:$AK$505,"○")&gt;0,1,0))</f>
        <v>0</v>
      </c>
      <c r="AI150" s="39" t="n">
        <f aca="false">IF(AI$4=0,0,IF(COUNTIFS(実績!$W$6:$W$505,AI$3,実績!$AI$6:$AI$505,"&lt;="&amp;$A150,実績!$AJ$6:$AJ$505,"&gt;"&amp;$A150,実績!$AK$6:$AK$505,"○")&gt;0,1,0))</f>
        <v>0</v>
      </c>
      <c r="AJ150" s="39" t="n">
        <f aca="false">IF(AJ$4=0,0,IF(COUNTIFS(実績!$W$6:$W$505,AJ$3,実績!$AI$6:$AI$505,"&lt;="&amp;$A150,実績!$AJ$6:$AJ$505,"&gt;"&amp;$A150,実績!$AK$6:$AK$505,"○")&gt;0,1,0))</f>
        <v>0</v>
      </c>
      <c r="AK150" s="39" t="n">
        <f aca="false">IF(AK$4=0,0,IF(COUNTIFS(実績!$W$6:$W$505,AK$3,実績!$AI$6:$AI$505,"&lt;="&amp;$A150,実績!$AJ$6:$AJ$505,"&gt;"&amp;$A150,実績!$AK$6:$AK$505,"○")&gt;0,1,0))</f>
        <v>0</v>
      </c>
      <c r="AL150" s="39" t="n">
        <f aca="false">IF(AL$4=0,0,IF(COUNTIFS(実績!$W$6:$W$505,AL$3,実績!$AI$6:$AI$505,"&lt;="&amp;$A150,実績!$AJ$6:$AJ$505,"&gt;"&amp;$A150,実績!$AK$6:$AK$505,"○")&gt;0,1,0))</f>
        <v>0</v>
      </c>
      <c r="AM150" s="39" t="n">
        <f aca="false">IF(AM$4=0,0,IF(COUNTIFS(実績!$W$6:$W$505,AM$3,実績!$AI$6:$AI$505,"&lt;="&amp;$A150,実績!$AJ$6:$AJ$505,"&gt;"&amp;$A150,実績!$AK$6:$AK$505,"○")&gt;0,1,0))</f>
        <v>0</v>
      </c>
      <c r="AN150" s="39" t="n">
        <f aca="false">IF(AN$4=0,0,IF(COUNTIFS(実績!$W$6:$W$505,AN$3,実績!$AI$6:$AI$505,"&lt;="&amp;$A150,実績!$AJ$6:$AJ$505,"&gt;"&amp;$A150,実績!$AK$6:$AK$505,"○")&gt;0,1,0))</f>
        <v>0</v>
      </c>
      <c r="AO150" s="39" t="n">
        <f aca="false">IF(AO$4=0,0,IF(COUNTIFS(実績!$W$6:$W$505,AO$3,実績!$AI$6:$AI$505,"&lt;="&amp;$A150,実績!$AJ$6:$AJ$505,"&gt;"&amp;$A150,実績!$AK$6:$AK$505,"○")&gt;0,1,0))</f>
        <v>0</v>
      </c>
      <c r="AP150" s="39" t="n">
        <f aca="false">IF(AP$4=0,0,IF(COUNTIFS(実績!$W$6:$W$505,AP$3,実績!$AI$6:$AI$505,"&lt;="&amp;$A150,実績!$AJ$6:$AJ$505,"&gt;"&amp;$A150,実績!$AK$6:$AK$505,"○")&gt;0,1,0))</f>
        <v>0</v>
      </c>
      <c r="AQ150" s="39" t="n">
        <f aca="false">IF(AQ$4=0,0,IF(COUNTIFS(実績!$W$6:$W$505,AQ$3,実績!$AI$6:$AI$505,"&lt;="&amp;$A150,実績!$AJ$6:$AJ$505,"&gt;"&amp;$A150,実績!$AK$6:$AK$505,"○")&gt;0,1,0))</f>
        <v>0</v>
      </c>
      <c r="AR150" s="39" t="n">
        <f aca="false">IF(AR$4=0,0,IF(COUNTIFS(実績!$W$6:$W$505,AR$3,実績!$AI$6:$AI$505,"&lt;="&amp;$A150,実績!$AJ$6:$AJ$505,"&gt;"&amp;$A150,実績!$AK$6:$AK$505,"○")&gt;0,1,0))</f>
        <v>0</v>
      </c>
      <c r="AS150" s="39" t="n">
        <f aca="false">IF(AS$4=0,0,IF(COUNTIFS(実績!$W$6:$W$505,AS$3,実績!$AI$6:$AI$505,"&lt;="&amp;$A150,実績!$AJ$6:$AJ$505,"&gt;"&amp;$A150,実績!$AK$6:$AK$505,"○")&gt;0,1,0))</f>
        <v>0</v>
      </c>
      <c r="AT150" s="39" t="n">
        <f aca="false">IF(AT$4=0,0,IF(COUNTIFS(実績!$W$6:$W$505,AT$3,実績!$AI$6:$AI$505,"&lt;="&amp;$A150,実績!$AJ$6:$AJ$505,"&gt;"&amp;$A150,実績!$AK$6:$AK$505,"○")&gt;0,1,0))</f>
        <v>0</v>
      </c>
      <c r="AU150" s="39" t="n">
        <f aca="false">IF(AU$4=0,0,IF(COUNTIFS(実績!$W$6:$W$505,AU$3,実績!$AI$6:$AI$505,"&lt;="&amp;$A150,実績!$AJ$6:$AJ$505,"&gt;"&amp;$A150,実績!$AK$6:$AK$505,"○")&gt;0,1,0))</f>
        <v>0</v>
      </c>
      <c r="AV150" s="39" t="n">
        <f aca="false">IF(AV$4=0,0,IF(COUNTIFS(実績!$W$6:$W$505,AV$3,実績!$AI$6:$AI$505,"&lt;="&amp;$A150,実績!$AJ$6:$AJ$505,"&gt;"&amp;$A150,実績!$AK$6:$AK$505,"○")&gt;0,1,0))</f>
        <v>0</v>
      </c>
      <c r="AW150" s="39" t="n">
        <f aca="false">IF(AW$4=0,0,IF(COUNTIFS(実績!$W$6:$W$505,AW$3,実績!$AI$6:$AI$505,"&lt;="&amp;$A150,実績!$AJ$6:$AJ$505,"&gt;"&amp;$A150,実績!$AK$6:$AK$505,"○")&gt;0,1,0))</f>
        <v>0</v>
      </c>
      <c r="AX150" s="39" t="n">
        <f aca="false">IF(AX$4=0,0,IF(COUNTIFS(実績!$W$6:$W$505,AX$3,実績!$AI$6:$AI$505,"&lt;="&amp;$A150,実績!$AJ$6:$AJ$505,"&gt;"&amp;$A150,実績!$AK$6:$AK$505,"○")&gt;0,1,0))</f>
        <v>0</v>
      </c>
      <c r="AY150" s="39" t="n">
        <f aca="false">IF(AY$4=0,0,IF(COUNTIFS(実績!$W$6:$W$505,AY$3,実績!$AI$6:$AI$505,"&lt;="&amp;$A150,実績!$AJ$6:$AJ$505,"&gt;"&amp;$A150,実績!$AK$6:$AK$505,"○")&gt;0,1,0))</f>
        <v>0</v>
      </c>
      <c r="AZ150" s="39" t="n">
        <f aca="false">IF(AZ$4=0,0,IF(COUNTIFS(実績!$W$6:$W$505,AZ$3,実績!$AI$6:$AI$505,"&lt;="&amp;$A150,実績!$AJ$6:$AJ$505,"&gt;"&amp;$A150,実績!$AK$6:$AK$505,"○")&gt;0,1,0))</f>
        <v>0</v>
      </c>
      <c r="BA150" s="39" t="n">
        <f aca="false">IF(BA$4=0,0,IF(COUNTIFS(実績!$W$6:$W$505,BA$3,実績!$AI$6:$AI$505,"&lt;="&amp;$A150,実績!$AJ$6:$AJ$505,"&gt;"&amp;$A150,実績!$AK$6:$AK$505,"○")&gt;0,1,0))</f>
        <v>0</v>
      </c>
      <c r="BB150" s="39" t="n">
        <f aca="false">IF(BB$4=0,0,IF(COUNTIFS(実績!$W$6:$W$505,BB$3,実績!$AI$6:$AI$505,"&lt;="&amp;$A150,実績!$AJ$6:$AJ$505,"&gt;"&amp;$A150,実績!$AK$6:$AK$505,"○")&gt;0,1,0))</f>
        <v>0</v>
      </c>
      <c r="BC150" s="39" t="n">
        <f aca="false">IF(BC$4=0,0,IF(COUNTIFS(実績!$W$6:$W$505,BC$3,実績!$AI$6:$AI$505,"&lt;="&amp;$A150,実績!$AJ$6:$AJ$505,"&gt;"&amp;$A150,実績!$AK$6:$AK$505,"○")&gt;0,1,0))</f>
        <v>0</v>
      </c>
      <c r="BD150" s="39" t="n">
        <f aca="false">IF(BD$4=0,0,IF(COUNTIFS(実績!$W$6:$W$505,BD$3,実績!$AI$6:$AI$505,"&lt;="&amp;$A150,実績!$AJ$6:$AJ$505,"&gt;"&amp;$A150,実績!$AK$6:$AK$505,"○")&gt;0,1,0))</f>
        <v>0</v>
      </c>
      <c r="BE150" s="39" t="n">
        <f aca="false">IF(BE$4=0,0,IF(COUNTIFS(実績!$W$6:$W$505,BE$3,実績!$AI$6:$AI$505,"&lt;="&amp;$A150,実績!$AJ$6:$AJ$505,"&gt;"&amp;$A150,実績!$AK$6:$AK$505,"○")&gt;0,1,0))</f>
        <v>0</v>
      </c>
      <c r="BF150" s="39" t="n">
        <f aca="false">IF(BF$4=0,0,IF(COUNTIFS(実績!$W$6:$W$505,BF$3,実績!$AI$6:$AI$505,"&lt;="&amp;$A150,実績!$AJ$6:$AJ$505,"&gt;"&amp;$A150,実績!$AK$6:$AK$505,"○")&gt;0,1,0))</f>
        <v>0</v>
      </c>
      <c r="BG150" s="39" t="n">
        <f aca="false">IF(BG$4=0,0,IF(COUNTIFS(実績!$W$6:$W$505,BG$3,実績!$AI$6:$AI$505,"&lt;="&amp;$A150,実績!$AJ$6:$AJ$505,"&gt;"&amp;$A150,実績!$AK$6:$AK$505,"○")&gt;0,1,0))</f>
        <v>0</v>
      </c>
      <c r="BH150" s="39" t="n">
        <f aca="false">IF(BH$4=0,0,IF(COUNTIFS(実績!$W$6:$W$505,BH$3,実績!$AI$6:$AI$505,"&lt;="&amp;$A150,実績!$AJ$6:$AJ$505,"&gt;"&amp;$A150,実績!$AK$6:$AK$505,"○")&gt;0,1,0))</f>
        <v>0</v>
      </c>
      <c r="BI150" s="39" t="n">
        <f aca="false">IF(BI$4=0,0,IF(COUNTIFS(実績!$W$6:$W$505,BI$3,実績!$AI$6:$AI$505,"&lt;="&amp;$A150,実績!$AJ$6:$AJ$505,"&gt;"&amp;$A150,実績!$AK$6:$AK$505,"○")&gt;0,1,0))</f>
        <v>0</v>
      </c>
      <c r="BJ150" s="39" t="n">
        <f aca="false">IF(BJ$4=0,0,IF(COUNTIFS(実績!$W$6:$W$505,BJ$3,実績!$AI$6:$AI$505,"&lt;="&amp;$A150,実績!$AJ$6:$AJ$505,"&gt;"&amp;$A150,実績!$AK$6:$AK$505,"○")&gt;0,1,0))</f>
        <v>0</v>
      </c>
      <c r="BK150" s="39" t="n">
        <f aca="false">IF(BK$4=0,0,IF(COUNTIFS(実績!$W$6:$W$505,BK$3,実績!$AI$6:$AI$505,"&lt;="&amp;$A150,実績!$AJ$6:$AJ$505,"&gt;"&amp;$A150,実績!$AK$6:$AK$505,"○")&gt;0,1,0))</f>
        <v>0</v>
      </c>
      <c r="BL150" s="39" t="n">
        <f aca="false">IF(BL$4=0,0,IF(COUNTIFS(実績!$W$6:$W$505,BL$3,実績!$AI$6:$AI$505,"&lt;="&amp;$A150,実績!$AJ$6:$AJ$505,"&gt;"&amp;$A150,実績!$AK$6:$AK$505,"○")&gt;0,1,0))</f>
        <v>0</v>
      </c>
      <c r="BM150" s="39" t="n">
        <f aca="false">IF(BM$4=0,0,IF(COUNTIFS(実績!$W$6:$W$505,BM$3,実績!$AI$6:$AI$505,"&lt;="&amp;$A150,実績!$AJ$6:$AJ$505,"&gt;"&amp;$A150,実績!$AK$6:$AK$505,"○")&gt;0,1,0))</f>
        <v>0</v>
      </c>
      <c r="BN150" s="39" t="n">
        <f aca="false">IF(BN$4=0,0,IF(COUNTIFS(実績!$W$6:$W$505,BN$3,実績!$AI$6:$AI$505,"&lt;="&amp;$A150,実績!$AJ$6:$AJ$505,"&gt;"&amp;$A150,実績!$AK$6:$AK$505,"○")&gt;0,1,0))</f>
        <v>0</v>
      </c>
      <c r="BO150" s="39" t="n">
        <f aca="false">IF(BO$4=0,0,IF(COUNTIFS(実績!$W$6:$W$505,BO$3,実績!$AI$6:$AI$505,"&lt;="&amp;$A150,実績!$AJ$6:$AJ$505,"&gt;"&amp;$A150,実績!$AK$6:$AK$505,"○")&gt;0,1,0))</f>
        <v>0</v>
      </c>
      <c r="BP150" s="39" t="n">
        <f aca="false">IF(BP$4=0,0,IF(COUNTIFS(実績!$W$6:$W$505,BP$3,実績!$AI$6:$AI$505,"&lt;="&amp;$A150,実績!$AJ$6:$AJ$505,"&gt;"&amp;$A150,実績!$AK$6:$AK$505,"○")&gt;0,1,0))</f>
        <v>0</v>
      </c>
      <c r="BQ150" s="39" t="n">
        <f aca="false">IF(BQ$4=0,0,IF(COUNTIFS(実績!$W$6:$W$505,BQ$3,実績!$AI$6:$AI$505,"&lt;="&amp;$A150,実績!$AJ$6:$AJ$505,"&gt;"&amp;$A150,実績!$AK$6:$AK$505,"○")&gt;0,1,0))</f>
        <v>0</v>
      </c>
      <c r="BR150" s="39" t="n">
        <f aca="false">IF(BR$4=0,0,IF(COUNTIFS(実績!$W$6:$W$505,BR$3,実績!$AI$6:$AI$505,"&lt;="&amp;$A150,実績!$AJ$6:$AJ$505,"&gt;"&amp;$A150,実績!$AK$6:$AK$505,"○")&gt;0,1,0))</f>
        <v>0</v>
      </c>
      <c r="BS150" s="39" t="n">
        <f aca="false">IF(BS$4=0,0,IF(COUNTIFS(実績!$W$6:$W$505,BS$3,実績!$AI$6:$AI$505,"&lt;="&amp;$A150,実績!$AJ$6:$AJ$505,"&gt;"&amp;$A150,実績!$AK$6:$AK$505,"○")&gt;0,1,0))</f>
        <v>0</v>
      </c>
      <c r="BT150" s="39" t="n">
        <f aca="false">IF(BT$4=0,0,IF(COUNTIFS(実績!$W$6:$W$505,BT$3,実績!$AI$6:$AI$505,"&lt;="&amp;$A150,実績!$AJ$6:$AJ$505,"&gt;"&amp;$A150,実績!$AK$6:$AK$505,"○")&gt;0,1,0))</f>
        <v>0</v>
      </c>
      <c r="BU150" s="39" t="n">
        <f aca="false">IF(BU$4=0,0,IF(COUNTIFS(実績!$W$6:$W$505,BU$3,実績!$AI$6:$AI$505,"&lt;="&amp;$A150,実績!$AJ$6:$AJ$505,"&gt;"&amp;$A150,実績!$AK$6:$AK$505,"○")&gt;0,1,0))</f>
        <v>0</v>
      </c>
      <c r="BV150" s="39" t="n">
        <f aca="false">IF(BV$4=0,0,IF(COUNTIFS(実績!$W$6:$W$505,BV$3,実績!$AI$6:$AI$505,"&lt;="&amp;$A150,実績!$AJ$6:$AJ$505,"&gt;"&amp;$A150,実績!$AK$6:$AK$505,"○")&gt;0,1,0))</f>
        <v>0</v>
      </c>
      <c r="BW150" s="39" t="n">
        <f aca="false">IF(BW$4=0,0,IF(COUNTIFS(実績!$W$6:$W$505,BW$3,実績!$AI$6:$AI$505,"&lt;="&amp;$A150,実績!$AJ$6:$AJ$505,"&gt;"&amp;$A150,実績!$AK$6:$AK$505,"○")&gt;0,1,0))</f>
        <v>0</v>
      </c>
      <c r="BX150" s="39" t="n">
        <f aca="false">IF(BX$4=0,0,IF(COUNTIFS(実績!$W$6:$W$505,BX$3,実績!$AI$6:$AI$505,"&lt;="&amp;$A150,実績!$AJ$6:$AJ$505,"&gt;"&amp;$A150,実績!$AK$6:$AK$505,"○")&gt;0,1,0))</f>
        <v>0</v>
      </c>
      <c r="BY150" s="39" t="n">
        <f aca="false">IF(BY$4=0,0,IF(COUNTIFS(実績!$W$6:$W$505,BY$3,実績!$AI$6:$AI$505,"&lt;="&amp;$A150,実績!$AJ$6:$AJ$505,"&gt;"&amp;$A150,実績!$AK$6:$AK$505,"○")&gt;0,1,0))</f>
        <v>0</v>
      </c>
      <c r="BZ150" s="39" t="n">
        <f aca="false">IF(BZ$4=0,0,IF(COUNTIFS(実績!$W$6:$W$505,BZ$3,実績!$AI$6:$AI$505,"&lt;="&amp;$A150,実績!$AJ$6:$AJ$505,"&gt;"&amp;$A150,実績!$AK$6:$AK$505,"○")&gt;0,1,0))</f>
        <v>0</v>
      </c>
      <c r="CA150" s="39" t="n">
        <f aca="false">IF(CA$4=0,0,IF(COUNTIFS(実績!$W$6:$W$505,CA$3,実績!$AI$6:$AI$505,"&lt;="&amp;$A150,実績!$AJ$6:$AJ$505,"&gt;"&amp;$A150,実績!$AK$6:$AK$505,"○")&gt;0,1,0))</f>
        <v>0</v>
      </c>
      <c r="CB150" s="39" t="n">
        <f aca="false">IF(CB$4=0,0,IF(COUNTIFS(実績!$W$6:$W$505,CB$3,実績!$AI$6:$AI$505,"&lt;="&amp;$A150,実績!$AJ$6:$AJ$505,"&gt;"&amp;$A150,実績!$AK$6:$AK$505,"○")&gt;0,1,0))</f>
        <v>0</v>
      </c>
      <c r="CC150" s="39" t="n">
        <f aca="false">IF(CC$4=0,0,IF(COUNTIFS(実績!$W$6:$W$505,CC$3,実績!$AI$6:$AI$505,"&lt;="&amp;$A150,実績!$AJ$6:$AJ$505,"&gt;"&amp;$A150,実績!$AK$6:$AK$505,"○")&gt;0,1,0))</f>
        <v>0</v>
      </c>
      <c r="CD150" s="39" t="n">
        <f aca="false">IF(CD$4=0,0,IF(COUNTIFS(実績!$W$6:$W$505,CD$3,実績!$AI$6:$AI$505,"&lt;="&amp;$A150,実績!$AJ$6:$AJ$505,"&gt;"&amp;$A150,実績!$AK$6:$AK$505,"○")&gt;0,1,0))</f>
        <v>0</v>
      </c>
      <c r="CE150" s="39" t="n">
        <f aca="false">IF(CE$4=0,0,IF(COUNTIFS(実績!$W$6:$W$505,CE$3,実績!$AI$6:$AI$505,"&lt;="&amp;$A150,実績!$AJ$6:$AJ$505,"&gt;"&amp;$A150,実績!$AK$6:$AK$505,"○")&gt;0,1,0))</f>
        <v>0</v>
      </c>
      <c r="CF150" s="39" t="n">
        <f aca="false">IF(CF$4=0,0,IF(COUNTIFS(実績!$W$6:$W$505,CF$3,実績!$AI$6:$AI$505,"&lt;="&amp;$A150,実績!$AJ$6:$AJ$505,"&gt;"&amp;$A150,実績!$AK$6:$AK$505,"○")&gt;0,1,0))</f>
        <v>0</v>
      </c>
      <c r="CG150" s="39" t="n">
        <f aca="false">IF(CG$4=0,0,IF(COUNTIFS(実績!$W$6:$W$505,CG$3,実績!$AI$6:$AI$505,"&lt;="&amp;$A150,実績!$AJ$6:$AJ$505,"&gt;"&amp;$A150,実績!$AK$6:$AK$505,"○")&gt;0,1,0))</f>
        <v>0</v>
      </c>
      <c r="CH150" s="39" t="n">
        <f aca="false">IF(CH$4=0,0,IF(COUNTIFS(実績!$W$6:$W$505,CH$3,実績!$AI$6:$AI$505,"&lt;="&amp;$A150,実績!$AJ$6:$AJ$505,"&gt;"&amp;$A150,実績!$AK$6:$AK$505,"○")&gt;0,1,0))</f>
        <v>0</v>
      </c>
      <c r="CI150" s="39" t="n">
        <f aca="false">IF(CI$4=0,0,IF(COUNTIFS(実績!$W$6:$W$505,CI$3,実績!$AI$6:$AI$505,"&lt;="&amp;$A150,実績!$AJ$6:$AJ$505,"&gt;"&amp;$A150,実績!$AK$6:$AK$505,"○")&gt;0,1,0))</f>
        <v>0</v>
      </c>
      <c r="CJ150" s="39" t="n">
        <f aca="false">IF(CJ$4=0,0,IF(COUNTIFS(実績!$W$6:$W$505,CJ$3,実績!$AI$6:$AI$505,"&lt;="&amp;$A150,実績!$AJ$6:$AJ$505,"&gt;"&amp;$A150,実績!$AK$6:$AK$505,"○")&gt;0,1,0))</f>
        <v>0</v>
      </c>
      <c r="CK150" s="39" t="n">
        <f aca="false">IF(CK$4=0,0,IF(COUNTIFS(実績!$W$6:$W$505,CK$3,実績!$AI$6:$AI$505,"&lt;="&amp;$A150,実績!$AJ$6:$AJ$505,"&gt;"&amp;$A150,実績!$AK$6:$AK$505,"○")&gt;0,1,0))</f>
        <v>0</v>
      </c>
      <c r="CL150" s="39" t="n">
        <f aca="false">IF(CL$4=0,0,IF(COUNTIFS(実績!$W$6:$W$505,CL$3,実績!$AI$6:$AI$505,"&lt;="&amp;$A150,実績!$AJ$6:$AJ$505,"&gt;"&amp;$A150,実績!$AK$6:$AK$505,"○")&gt;0,1,0))</f>
        <v>0</v>
      </c>
      <c r="CM150" s="39" t="n">
        <f aca="false">IF(CM$4=0,0,IF(COUNTIFS(実績!$W$6:$W$505,CM$3,実績!$AI$6:$AI$505,"&lt;="&amp;$A150,実績!$AJ$6:$AJ$505,"&gt;"&amp;$A150,実績!$AK$6:$AK$505,"○")&gt;0,1,0))</f>
        <v>0</v>
      </c>
      <c r="CN150" s="39" t="n">
        <f aca="false">IF(CN$4=0,0,IF(COUNTIFS(実績!$W$6:$W$505,CN$3,実績!$AI$6:$AI$505,"&lt;="&amp;$A150,実績!$AJ$6:$AJ$505,"&gt;"&amp;$A150,実績!$AK$6:$AK$505,"○")&gt;0,1,0))</f>
        <v>0</v>
      </c>
      <c r="CO150" s="39" t="n">
        <f aca="false">IF(CO$4=0,0,IF(COUNTIFS(実績!$W$6:$W$505,CO$3,実績!$AI$6:$AI$505,"&lt;="&amp;$A150,実績!$AJ$6:$AJ$505,"&gt;"&amp;$A150,実績!$AK$6:$AK$505,"○")&gt;0,1,0))</f>
        <v>0</v>
      </c>
      <c r="CP150" s="39" t="n">
        <f aca="false">IF(CP$4=0,0,IF(COUNTIFS(実績!$W$6:$W$505,CP$3,実績!$AI$6:$AI$505,"&lt;="&amp;$A150,実績!$AJ$6:$AJ$505,"&gt;"&amp;$A150,実績!$AK$6:$AK$505,"○")&gt;0,1,0))</f>
        <v>0</v>
      </c>
      <c r="CQ150" s="39" t="n">
        <f aca="false">IF(CQ$4=0,0,IF(COUNTIFS(実績!$W$6:$W$505,CQ$3,実績!$AI$6:$AI$505,"&lt;="&amp;$A150,実績!$AJ$6:$AJ$505,"&gt;"&amp;$A150,実績!$AK$6:$AK$505,"○")&gt;0,1,0))</f>
        <v>0</v>
      </c>
      <c r="CR150" s="39" t="n">
        <f aca="false">IF(CR$4=0,0,IF(COUNTIFS(実績!$W$6:$W$505,CR$3,実績!$AI$6:$AI$505,"&lt;="&amp;$A150,実績!$AJ$6:$AJ$505,"&gt;"&amp;$A150,実績!$AK$6:$AK$505,"○")&gt;0,1,0))</f>
        <v>0</v>
      </c>
      <c r="CS150" s="39" t="n">
        <f aca="false">IF(CS$4=0,0,IF(COUNTIFS(実績!$W$6:$W$505,CS$3,実績!$AI$6:$AI$505,"&lt;="&amp;$A150,実績!$AJ$6:$AJ$505,"&gt;"&amp;$A150,実績!$AK$6:$AK$505,"○")&gt;0,1,0))</f>
        <v>0</v>
      </c>
      <c r="CT150" s="39" t="n">
        <f aca="false">IF(CT$4=0,0,IF(COUNTIFS(実績!$W$6:$W$505,CT$3,実績!$AI$6:$AI$505,"&lt;="&amp;$A150,実績!$AJ$6:$AJ$505,"&gt;"&amp;$A150,実績!$AK$6:$AK$505,"○")&gt;0,1,0))</f>
        <v>0</v>
      </c>
      <c r="CU150" s="39" t="n">
        <f aca="false">IF(CU$4=0,0,IF(COUNTIFS(実績!$W$6:$W$505,CU$3,実績!$AI$6:$AI$505,"&lt;="&amp;$A150,実績!$AJ$6:$AJ$505,"&gt;"&amp;$A150,実績!$AK$6:$AK$505,"○")&gt;0,1,0))</f>
        <v>0</v>
      </c>
      <c r="CV150" s="39" t="n">
        <f aca="false">IF(CV$4=0,0,IF(COUNTIFS(実績!$W$6:$W$505,CV$3,実績!$AI$6:$AI$505,"&lt;="&amp;$A150,実績!$AJ$6:$AJ$505,"&gt;"&amp;$A150,実績!$AK$6:$AK$505,"○")&gt;0,1,0))</f>
        <v>0</v>
      </c>
      <c r="CW150" s="39" t="n">
        <f aca="false">IF(CW$4=0,0,IF(COUNTIFS(実績!$W$6:$W$505,CW$3,実績!$AI$6:$AI$505,"&lt;="&amp;$A150,実績!$AJ$6:$AJ$505,"&gt;"&amp;$A150,実績!$AK$6:$AK$505,"○")&gt;0,1,0))</f>
        <v>0</v>
      </c>
      <c r="CX150" s="39" t="n">
        <f aca="false">IF(CX$4=0,0,IF(COUNTIFS(実績!$W$6:$W$505,CX$3,実績!$AI$6:$AI$505,"&lt;="&amp;$A150,実績!$AJ$6:$AJ$505,"&gt;"&amp;$A150,実績!$AK$6:$AK$505,"○")&gt;0,1,0))</f>
        <v>0</v>
      </c>
      <c r="CY150" s="39" t="n">
        <f aca="false">IF(CY$4=0,0,IF(COUNTIFS(実績!$W$6:$W$505,CY$3,実績!$AI$6:$AI$505,"&lt;="&amp;$A150,実績!$AJ$6:$AJ$505,"&gt;"&amp;$A150,実績!$AK$6:$AK$505,"○")&gt;0,1,0))</f>
        <v>0</v>
      </c>
      <c r="CZ150" s="39" t="n">
        <f aca="false">IF(CZ$4=0,0,IF(COUNTIFS(実績!$W$6:$W$505,CZ$3,実績!$AI$6:$AI$505,"&lt;="&amp;$A150,実績!$AJ$6:$AJ$505,"&gt;"&amp;$A150,実績!$AK$6:$AK$505,"○")&gt;0,1,0))</f>
        <v>0</v>
      </c>
      <c r="DA150" s="39" t="n">
        <f aca="false">IF(DA$4=0,0,IF(COUNTIFS(実績!$W$6:$W$505,DA$3,実績!$AI$6:$AI$505,"&lt;="&amp;$A150,実績!$AJ$6:$AJ$505,"&gt;"&amp;$A150,実績!$AK$6:$AK$505,"○")&gt;0,1,0))</f>
        <v>0</v>
      </c>
      <c r="DB150" s="39" t="n">
        <f aca="false">IF(DB$4=0,0,IF(COUNTIFS(実績!$W$6:$W$505,DB$3,実績!$AI$6:$AI$505,"&lt;="&amp;$A150,実績!$AJ$6:$AJ$505,"&gt;"&amp;$A150,実績!$AK$6:$AK$505,"○")&gt;0,1,0))</f>
        <v>0</v>
      </c>
      <c r="DC150" s="39" t="n">
        <f aca="false">IF(DC$4=0,0,IF(COUNTIFS(実績!$W$6:$W$505,DC$3,実績!$AI$6:$AI$505,"&lt;="&amp;$A150,実績!$AJ$6:$AJ$505,"&gt;"&amp;$A150,実績!$AK$6:$AK$505,"○")&gt;0,1,0))</f>
        <v>0</v>
      </c>
      <c r="DD150" s="39" t="n">
        <f aca="false">IF(DD$4=0,0,IF(COUNTIFS(実績!$W$6:$W$505,DD$3,実績!$AI$6:$AI$505,"&lt;="&amp;$A150,実績!$AJ$6:$AJ$505,"&gt;"&amp;$A150,実績!$AK$6:$AK$505,"○")&gt;0,1,0))</f>
        <v>0</v>
      </c>
      <c r="DE150" s="39" t="n">
        <f aca="false">IF(DE$4=0,0,IF(COUNTIFS(実績!$W$6:$W$505,DE$3,実績!$AI$6:$AI$505,"&lt;="&amp;$A150,実績!$AJ$6:$AJ$505,"&gt;"&amp;$A150,実績!$AK$6:$AK$505,"○")&gt;0,1,0))</f>
        <v>0</v>
      </c>
      <c r="DF150" s="39" t="n">
        <f aca="false">IF(DF$4=0,0,IF(COUNTIFS(実績!$W$6:$W$505,DF$3,実績!$AI$6:$AI$505,"&lt;="&amp;$A150,実績!$AJ$6:$AJ$505,"&gt;"&amp;$A150,実績!$AK$6:$AK$505,"○")&gt;0,1,0))</f>
        <v>0</v>
      </c>
      <c r="DG150" s="39" t="n">
        <f aca="false">IF(DG$4=0,0,IF(COUNTIFS(実績!$W$6:$W$505,DG$3,実績!$AI$6:$AI$505,"&lt;="&amp;$A150,実績!$AJ$6:$AJ$505,"&gt;"&amp;$A150,実績!$AK$6:$AK$505,"○")&gt;0,1,0))</f>
        <v>0</v>
      </c>
      <c r="DH150" s="39" t="n">
        <f aca="false">IF(DH$4=0,0,IF(COUNTIFS(実績!$W$6:$W$505,DH$3,実績!$AI$6:$AI$505,"&lt;="&amp;$A150,実績!$AJ$6:$AJ$505,"&gt;"&amp;$A150,実績!$AK$6:$AK$505,"○")&gt;0,1,0))</f>
        <v>0</v>
      </c>
      <c r="DI150" s="39" t="n">
        <f aca="false">IF(DI$4=0,0,IF(COUNTIFS(実績!$W$6:$W$505,DI$3,実績!$AI$6:$AI$505,"&lt;="&amp;$A150,実績!$AJ$6:$AJ$505,"&gt;"&amp;$A150,実績!$AK$6:$AK$505,"○")&gt;0,1,0))</f>
        <v>0</v>
      </c>
      <c r="DJ150" s="39" t="n">
        <f aca="false">IF(DJ$4=0,0,IF(COUNTIFS(実績!$W$6:$W$505,DJ$3,実績!$AI$6:$AI$505,"&lt;="&amp;$A150,実績!$AJ$6:$AJ$505,"&gt;"&amp;$A150,実績!$AK$6:$AK$505,"○")&gt;0,1,0))</f>
        <v>0</v>
      </c>
      <c r="DK150" s="39" t="n">
        <f aca="false">IF(DK$4=0,0,IF(COUNTIFS(実績!$W$6:$W$505,DK$3,実績!$AI$6:$AI$505,"&lt;="&amp;$A150,実績!$AJ$6:$AJ$505,"&gt;"&amp;$A150,実績!$AK$6:$AK$505,"○")&gt;0,1,0))</f>
        <v>0</v>
      </c>
      <c r="DL150" s="39" t="n">
        <f aca="false">IF(DL$4=0,0,IF(COUNTIFS(実績!$W$6:$W$505,DL$3,実績!$AI$6:$AI$505,"&lt;="&amp;$A150,実績!$AJ$6:$AJ$505,"&gt;"&amp;$A150,実績!$AK$6:$AK$505,"○")&gt;0,1,0))</f>
        <v>0</v>
      </c>
      <c r="DM150" s="39" t="n">
        <f aca="false">IF(DM$4=0,0,IF(COUNTIFS(実績!$W$6:$W$505,DM$3,実績!$AI$6:$AI$505,"&lt;="&amp;$A150,実績!$AJ$6:$AJ$505,"&gt;"&amp;$A150,実績!$AK$6:$AK$505,"○")&gt;0,1,0))</f>
        <v>0</v>
      </c>
      <c r="DN150" s="39" t="n">
        <f aca="false">IF(DN$4=0,0,IF(COUNTIFS(実績!$W$6:$W$505,DN$3,実績!$AI$6:$AI$505,"&lt;="&amp;$A150,実績!$AJ$6:$AJ$505,"&gt;"&amp;$A150,実績!$AK$6:$AK$505,"○")&gt;0,1,0))</f>
        <v>0</v>
      </c>
      <c r="DO150" s="39" t="n">
        <f aca="false">IF(DO$4=0,0,IF(COUNTIFS(実績!$W$6:$W$505,DO$3,実績!$AI$6:$AI$505,"&lt;="&amp;$A150,実績!$AJ$6:$AJ$505,"&gt;"&amp;$A150,実績!$AK$6:$AK$505,"○")&gt;0,1,0))</f>
        <v>0</v>
      </c>
      <c r="DP150" s="39" t="n">
        <f aca="false">IF(DP$4=0,0,IF(COUNTIFS(実績!$W$6:$W$505,DP$3,実績!$AI$6:$AI$505,"&lt;="&amp;$A150,実績!$AJ$6:$AJ$505,"&gt;"&amp;$A150,実績!$AK$6:$AK$505,"○")&gt;0,1,0))</f>
        <v>0</v>
      </c>
      <c r="DQ150" s="39" t="n">
        <f aca="false">IF(DQ$4=0,0,IF(COUNTIFS(実績!$W$6:$W$505,DQ$3,実績!$AI$6:$AI$505,"&lt;="&amp;$A150,実績!$AJ$6:$AJ$505,"&gt;"&amp;$A150,実績!$AK$6:$AK$505,"○")&gt;0,1,0))</f>
        <v>0</v>
      </c>
      <c r="DR150" s="39" t="n">
        <f aca="false">IF(DR$4=0,0,IF(COUNTIFS(実績!$W$6:$W$505,DR$3,実績!$AI$6:$AI$505,"&lt;="&amp;$A150,実績!$AJ$6:$AJ$505,"&gt;"&amp;$A150,実績!$AK$6:$AK$505,"○")&gt;0,1,0))</f>
        <v>0</v>
      </c>
      <c r="DS150" s="39" t="n">
        <f aca="false">SUM(C150:DR150)</f>
        <v>0</v>
      </c>
      <c r="DT150" s="39" t="n">
        <f aca="false">SUMPRODUCT((実績!$C$6:$C$505="○")*ISNUMBER(実績!$AM$6:$AM$505)*(実績!$AM$6:$AM$505&lt;=$A150)*(実績!$AN$6:$AN$505&gt;$A150))</f>
        <v>0</v>
      </c>
      <c r="DU150" s="39" t="n">
        <f aca="false">SUMIF($C$2:$DR$2,"製鉄曳船",C150:DR150)</f>
        <v>0</v>
      </c>
      <c r="DV150" s="39" t="n">
        <f aca="false">SUMIF($C$2:$DR$2,"西日本海運",C150:DR150)</f>
        <v>0</v>
      </c>
    </row>
    <row r="151" customFormat="false" ht="15" hidden="false" customHeight="false" outlineLevel="0" collapsed="false">
      <c r="A151" s="0" t="n">
        <v>725</v>
      </c>
      <c r="B151" s="38" t="n">
        <f aca="false">A151/1440</f>
        <v>0.503472222222222</v>
      </c>
      <c r="C151" s="39" t="n">
        <f aca="false">IF(C$4=0,0,IF(COUNTIFS(実績!$W$6:$W$505,C$3,実績!$AI$6:$AI$505,"&lt;="&amp;$A151,実績!$AJ$6:$AJ$505,"&gt;"&amp;$A151,実績!$AK$6:$AK$505,"○")&gt;0,1,0))</f>
        <v>0</v>
      </c>
      <c r="D151" s="39" t="n">
        <f aca="false">IF(D$4=0,0,IF(COUNTIFS(実績!$W$6:$W$505,D$3,実績!$AI$6:$AI$505,"&lt;="&amp;$A151,実績!$AJ$6:$AJ$505,"&gt;"&amp;$A151,実績!$AK$6:$AK$505,"○")&gt;0,1,0))</f>
        <v>0</v>
      </c>
      <c r="E151" s="39" t="n">
        <f aca="false">IF(E$4=0,0,IF(COUNTIFS(実績!$W$6:$W$505,E$3,実績!$AI$6:$AI$505,"&lt;="&amp;$A151,実績!$AJ$6:$AJ$505,"&gt;"&amp;$A151,実績!$AK$6:$AK$505,"○")&gt;0,1,0))</f>
        <v>0</v>
      </c>
      <c r="F151" s="39" t="n">
        <f aca="false">IF(F$4=0,0,IF(COUNTIFS(実績!$W$6:$W$505,F$3,実績!$AI$6:$AI$505,"&lt;="&amp;$A151,実績!$AJ$6:$AJ$505,"&gt;"&amp;$A151,実績!$AK$6:$AK$505,"○")&gt;0,1,0))</f>
        <v>0</v>
      </c>
      <c r="G151" s="39" t="n">
        <f aca="false">IF(G$4=0,0,IF(COUNTIFS(実績!$W$6:$W$505,G$3,実績!$AI$6:$AI$505,"&lt;="&amp;$A151,実績!$AJ$6:$AJ$505,"&gt;"&amp;$A151,実績!$AK$6:$AK$505,"○")&gt;0,1,0))</f>
        <v>0</v>
      </c>
      <c r="H151" s="39" t="n">
        <f aca="false">IF(H$4=0,0,IF(COUNTIFS(実績!$W$6:$W$505,H$3,実績!$AI$6:$AI$505,"&lt;="&amp;$A151,実績!$AJ$6:$AJ$505,"&gt;"&amp;$A151,実績!$AK$6:$AK$505,"○")&gt;0,1,0))</f>
        <v>0</v>
      </c>
      <c r="I151" s="39" t="n">
        <f aca="false">IF(I$4=0,0,IF(COUNTIFS(実績!$W$6:$W$505,I$3,実績!$AI$6:$AI$505,"&lt;="&amp;$A151,実績!$AJ$6:$AJ$505,"&gt;"&amp;$A151,実績!$AK$6:$AK$505,"○")&gt;0,1,0))</f>
        <v>0</v>
      </c>
      <c r="J151" s="39" t="n">
        <f aca="false">IF(J$4=0,0,IF(COUNTIFS(実績!$W$6:$W$505,J$3,実績!$AI$6:$AI$505,"&lt;="&amp;$A151,実績!$AJ$6:$AJ$505,"&gt;"&amp;$A151,実績!$AK$6:$AK$505,"○")&gt;0,1,0))</f>
        <v>0</v>
      </c>
      <c r="K151" s="39" t="n">
        <f aca="false">IF(K$4=0,0,IF(COUNTIFS(実績!$W$6:$W$505,K$3,実績!$AI$6:$AI$505,"&lt;="&amp;$A151,実績!$AJ$6:$AJ$505,"&gt;"&amp;$A151,実績!$AK$6:$AK$505,"○")&gt;0,1,0))</f>
        <v>0</v>
      </c>
      <c r="L151" s="39" t="n">
        <f aca="false">IF(L$4=0,0,IF(COUNTIFS(実績!$W$6:$W$505,L$3,実績!$AI$6:$AI$505,"&lt;="&amp;$A151,実績!$AJ$6:$AJ$505,"&gt;"&amp;$A151,実績!$AK$6:$AK$505,"○")&gt;0,1,0))</f>
        <v>0</v>
      </c>
      <c r="M151" s="39" t="n">
        <f aca="false">IF(M$4=0,0,IF(COUNTIFS(実績!$W$6:$W$505,M$3,実績!$AI$6:$AI$505,"&lt;="&amp;$A151,実績!$AJ$6:$AJ$505,"&gt;"&amp;$A151,実績!$AK$6:$AK$505,"○")&gt;0,1,0))</f>
        <v>0</v>
      </c>
      <c r="N151" s="39" t="n">
        <f aca="false">IF(N$4=0,0,IF(COUNTIFS(実績!$W$6:$W$505,N$3,実績!$AI$6:$AI$505,"&lt;="&amp;$A151,実績!$AJ$6:$AJ$505,"&gt;"&amp;$A151,実績!$AK$6:$AK$505,"○")&gt;0,1,0))</f>
        <v>0</v>
      </c>
      <c r="O151" s="39" t="n">
        <f aca="false">IF(O$4=0,0,IF(COUNTIFS(実績!$W$6:$W$505,O$3,実績!$AI$6:$AI$505,"&lt;="&amp;$A151,実績!$AJ$6:$AJ$505,"&gt;"&amp;$A151,実績!$AK$6:$AK$505,"○")&gt;0,1,0))</f>
        <v>0</v>
      </c>
      <c r="P151" s="39" t="n">
        <f aca="false">IF(P$4=0,0,IF(COUNTIFS(実績!$W$6:$W$505,P$3,実績!$AI$6:$AI$505,"&lt;="&amp;$A151,実績!$AJ$6:$AJ$505,"&gt;"&amp;$A151,実績!$AK$6:$AK$505,"○")&gt;0,1,0))</f>
        <v>0</v>
      </c>
      <c r="Q151" s="39" t="n">
        <f aca="false">IF(Q$4=0,0,IF(COUNTIFS(実績!$W$6:$W$505,Q$3,実績!$AI$6:$AI$505,"&lt;="&amp;$A151,実績!$AJ$6:$AJ$505,"&gt;"&amp;$A151,実績!$AK$6:$AK$505,"○")&gt;0,1,0))</f>
        <v>0</v>
      </c>
      <c r="R151" s="39" t="n">
        <f aca="false">IF(R$4=0,0,IF(COUNTIFS(実績!$W$6:$W$505,R$3,実績!$AI$6:$AI$505,"&lt;="&amp;$A151,実績!$AJ$6:$AJ$505,"&gt;"&amp;$A151,実績!$AK$6:$AK$505,"○")&gt;0,1,0))</f>
        <v>0</v>
      </c>
      <c r="S151" s="39" t="n">
        <f aca="false">IF(S$4=0,0,IF(COUNTIFS(実績!$W$6:$W$505,S$3,実績!$AI$6:$AI$505,"&lt;="&amp;$A151,実績!$AJ$6:$AJ$505,"&gt;"&amp;$A151,実績!$AK$6:$AK$505,"○")&gt;0,1,0))</f>
        <v>0</v>
      </c>
      <c r="T151" s="39" t="n">
        <f aca="false">IF(T$4=0,0,IF(COUNTIFS(実績!$W$6:$W$505,T$3,実績!$AI$6:$AI$505,"&lt;="&amp;$A151,実績!$AJ$6:$AJ$505,"&gt;"&amp;$A151,実績!$AK$6:$AK$505,"○")&gt;0,1,0))</f>
        <v>0</v>
      </c>
      <c r="U151" s="39" t="n">
        <f aca="false">IF(U$4=0,0,IF(COUNTIFS(実績!$W$6:$W$505,U$3,実績!$AI$6:$AI$505,"&lt;="&amp;$A151,実績!$AJ$6:$AJ$505,"&gt;"&amp;$A151,実績!$AK$6:$AK$505,"○")&gt;0,1,0))</f>
        <v>0</v>
      </c>
      <c r="V151" s="39" t="n">
        <f aca="false">IF(V$4=0,0,IF(COUNTIFS(実績!$W$6:$W$505,V$3,実績!$AI$6:$AI$505,"&lt;="&amp;$A151,実績!$AJ$6:$AJ$505,"&gt;"&amp;$A151,実績!$AK$6:$AK$505,"○")&gt;0,1,0))</f>
        <v>0</v>
      </c>
      <c r="W151" s="39" t="n">
        <f aca="false">IF(W$4=0,0,IF(COUNTIFS(実績!$W$6:$W$505,W$3,実績!$AI$6:$AI$505,"&lt;="&amp;$A151,実績!$AJ$6:$AJ$505,"&gt;"&amp;$A151,実績!$AK$6:$AK$505,"○")&gt;0,1,0))</f>
        <v>0</v>
      </c>
      <c r="X151" s="39" t="n">
        <f aca="false">IF(X$4=0,0,IF(COUNTIFS(実績!$W$6:$W$505,X$3,実績!$AI$6:$AI$505,"&lt;="&amp;$A151,実績!$AJ$6:$AJ$505,"&gt;"&amp;$A151,実績!$AK$6:$AK$505,"○")&gt;0,1,0))</f>
        <v>0</v>
      </c>
      <c r="Y151" s="39" t="n">
        <f aca="false">IF(Y$4=0,0,IF(COUNTIFS(実績!$W$6:$W$505,Y$3,実績!$AI$6:$AI$505,"&lt;="&amp;$A151,実績!$AJ$6:$AJ$505,"&gt;"&amp;$A151,実績!$AK$6:$AK$505,"○")&gt;0,1,0))</f>
        <v>0</v>
      </c>
      <c r="Z151" s="39" t="n">
        <f aca="false">IF(Z$4=0,0,IF(COUNTIFS(実績!$W$6:$W$505,Z$3,実績!$AI$6:$AI$505,"&lt;="&amp;$A151,実績!$AJ$6:$AJ$505,"&gt;"&amp;$A151,実績!$AK$6:$AK$505,"○")&gt;0,1,0))</f>
        <v>0</v>
      </c>
      <c r="AA151" s="39" t="n">
        <f aca="false">IF(AA$4=0,0,IF(COUNTIFS(実績!$W$6:$W$505,AA$3,実績!$AI$6:$AI$505,"&lt;="&amp;$A151,実績!$AJ$6:$AJ$505,"&gt;"&amp;$A151,実績!$AK$6:$AK$505,"○")&gt;0,1,0))</f>
        <v>0</v>
      </c>
      <c r="AB151" s="39" t="n">
        <f aca="false">IF(AB$4=0,0,IF(COUNTIFS(実績!$W$6:$W$505,AB$3,実績!$AI$6:$AI$505,"&lt;="&amp;$A151,実績!$AJ$6:$AJ$505,"&gt;"&amp;$A151,実績!$AK$6:$AK$505,"○")&gt;0,1,0))</f>
        <v>0</v>
      </c>
      <c r="AC151" s="39" t="n">
        <f aca="false">IF(AC$4=0,0,IF(COUNTIFS(実績!$W$6:$W$505,AC$3,実績!$AI$6:$AI$505,"&lt;="&amp;$A151,実績!$AJ$6:$AJ$505,"&gt;"&amp;$A151,実績!$AK$6:$AK$505,"○")&gt;0,1,0))</f>
        <v>0</v>
      </c>
      <c r="AD151" s="39" t="n">
        <f aca="false">IF(AD$4=0,0,IF(COUNTIFS(実績!$W$6:$W$505,AD$3,実績!$AI$6:$AI$505,"&lt;="&amp;$A151,実績!$AJ$6:$AJ$505,"&gt;"&amp;$A151,実績!$AK$6:$AK$505,"○")&gt;0,1,0))</f>
        <v>0</v>
      </c>
      <c r="AE151" s="39" t="n">
        <f aca="false">IF(AE$4=0,0,IF(COUNTIFS(実績!$W$6:$W$505,AE$3,実績!$AI$6:$AI$505,"&lt;="&amp;$A151,実績!$AJ$6:$AJ$505,"&gt;"&amp;$A151,実績!$AK$6:$AK$505,"○")&gt;0,1,0))</f>
        <v>0</v>
      </c>
      <c r="AF151" s="39" t="n">
        <f aca="false">IF(AF$4=0,0,IF(COUNTIFS(実績!$W$6:$W$505,AF$3,実績!$AI$6:$AI$505,"&lt;="&amp;$A151,実績!$AJ$6:$AJ$505,"&gt;"&amp;$A151,実績!$AK$6:$AK$505,"○")&gt;0,1,0))</f>
        <v>0</v>
      </c>
      <c r="AG151" s="39" t="n">
        <f aca="false">IF(AG$4=0,0,IF(COUNTIFS(実績!$W$6:$W$505,AG$3,実績!$AI$6:$AI$505,"&lt;="&amp;$A151,実績!$AJ$6:$AJ$505,"&gt;"&amp;$A151,実績!$AK$6:$AK$505,"○")&gt;0,1,0))</f>
        <v>0</v>
      </c>
      <c r="AH151" s="39" t="n">
        <f aca="false">IF(AH$4=0,0,IF(COUNTIFS(実績!$W$6:$W$505,AH$3,実績!$AI$6:$AI$505,"&lt;="&amp;$A151,実績!$AJ$6:$AJ$505,"&gt;"&amp;$A151,実績!$AK$6:$AK$505,"○")&gt;0,1,0))</f>
        <v>0</v>
      </c>
      <c r="AI151" s="39" t="n">
        <f aca="false">IF(AI$4=0,0,IF(COUNTIFS(実績!$W$6:$W$505,AI$3,実績!$AI$6:$AI$505,"&lt;="&amp;$A151,実績!$AJ$6:$AJ$505,"&gt;"&amp;$A151,実績!$AK$6:$AK$505,"○")&gt;0,1,0))</f>
        <v>0</v>
      </c>
      <c r="AJ151" s="39" t="n">
        <f aca="false">IF(AJ$4=0,0,IF(COUNTIFS(実績!$W$6:$W$505,AJ$3,実績!$AI$6:$AI$505,"&lt;="&amp;$A151,実績!$AJ$6:$AJ$505,"&gt;"&amp;$A151,実績!$AK$6:$AK$505,"○")&gt;0,1,0))</f>
        <v>0</v>
      </c>
      <c r="AK151" s="39" t="n">
        <f aca="false">IF(AK$4=0,0,IF(COUNTIFS(実績!$W$6:$W$505,AK$3,実績!$AI$6:$AI$505,"&lt;="&amp;$A151,実績!$AJ$6:$AJ$505,"&gt;"&amp;$A151,実績!$AK$6:$AK$505,"○")&gt;0,1,0))</f>
        <v>0</v>
      </c>
      <c r="AL151" s="39" t="n">
        <f aca="false">IF(AL$4=0,0,IF(COUNTIFS(実績!$W$6:$W$505,AL$3,実績!$AI$6:$AI$505,"&lt;="&amp;$A151,実績!$AJ$6:$AJ$505,"&gt;"&amp;$A151,実績!$AK$6:$AK$505,"○")&gt;0,1,0))</f>
        <v>0</v>
      </c>
      <c r="AM151" s="39" t="n">
        <f aca="false">IF(AM$4=0,0,IF(COUNTIFS(実績!$W$6:$W$505,AM$3,実績!$AI$6:$AI$505,"&lt;="&amp;$A151,実績!$AJ$6:$AJ$505,"&gt;"&amp;$A151,実績!$AK$6:$AK$505,"○")&gt;0,1,0))</f>
        <v>0</v>
      </c>
      <c r="AN151" s="39" t="n">
        <f aca="false">IF(AN$4=0,0,IF(COUNTIFS(実績!$W$6:$W$505,AN$3,実績!$AI$6:$AI$505,"&lt;="&amp;$A151,実績!$AJ$6:$AJ$505,"&gt;"&amp;$A151,実績!$AK$6:$AK$505,"○")&gt;0,1,0))</f>
        <v>0</v>
      </c>
      <c r="AO151" s="39" t="n">
        <f aca="false">IF(AO$4=0,0,IF(COUNTIFS(実績!$W$6:$W$505,AO$3,実績!$AI$6:$AI$505,"&lt;="&amp;$A151,実績!$AJ$6:$AJ$505,"&gt;"&amp;$A151,実績!$AK$6:$AK$505,"○")&gt;0,1,0))</f>
        <v>0</v>
      </c>
      <c r="AP151" s="39" t="n">
        <f aca="false">IF(AP$4=0,0,IF(COUNTIFS(実績!$W$6:$W$505,AP$3,実績!$AI$6:$AI$505,"&lt;="&amp;$A151,実績!$AJ$6:$AJ$505,"&gt;"&amp;$A151,実績!$AK$6:$AK$505,"○")&gt;0,1,0))</f>
        <v>0</v>
      </c>
      <c r="AQ151" s="39" t="n">
        <f aca="false">IF(AQ$4=0,0,IF(COUNTIFS(実績!$W$6:$W$505,AQ$3,実績!$AI$6:$AI$505,"&lt;="&amp;$A151,実績!$AJ$6:$AJ$505,"&gt;"&amp;$A151,実績!$AK$6:$AK$505,"○")&gt;0,1,0))</f>
        <v>0</v>
      </c>
      <c r="AR151" s="39" t="n">
        <f aca="false">IF(AR$4=0,0,IF(COUNTIFS(実績!$W$6:$W$505,AR$3,実績!$AI$6:$AI$505,"&lt;="&amp;$A151,実績!$AJ$6:$AJ$505,"&gt;"&amp;$A151,実績!$AK$6:$AK$505,"○")&gt;0,1,0))</f>
        <v>0</v>
      </c>
      <c r="AS151" s="39" t="n">
        <f aca="false">IF(AS$4=0,0,IF(COUNTIFS(実績!$W$6:$W$505,AS$3,実績!$AI$6:$AI$505,"&lt;="&amp;$A151,実績!$AJ$6:$AJ$505,"&gt;"&amp;$A151,実績!$AK$6:$AK$505,"○")&gt;0,1,0))</f>
        <v>0</v>
      </c>
      <c r="AT151" s="39" t="n">
        <f aca="false">IF(AT$4=0,0,IF(COUNTIFS(実績!$W$6:$W$505,AT$3,実績!$AI$6:$AI$505,"&lt;="&amp;$A151,実績!$AJ$6:$AJ$505,"&gt;"&amp;$A151,実績!$AK$6:$AK$505,"○")&gt;0,1,0))</f>
        <v>0</v>
      </c>
      <c r="AU151" s="39" t="n">
        <f aca="false">IF(AU$4=0,0,IF(COUNTIFS(実績!$W$6:$W$505,AU$3,実績!$AI$6:$AI$505,"&lt;="&amp;$A151,実績!$AJ$6:$AJ$505,"&gt;"&amp;$A151,実績!$AK$6:$AK$505,"○")&gt;0,1,0))</f>
        <v>0</v>
      </c>
      <c r="AV151" s="39" t="n">
        <f aca="false">IF(AV$4=0,0,IF(COUNTIFS(実績!$W$6:$W$505,AV$3,実績!$AI$6:$AI$505,"&lt;="&amp;$A151,実績!$AJ$6:$AJ$505,"&gt;"&amp;$A151,実績!$AK$6:$AK$505,"○")&gt;0,1,0))</f>
        <v>0</v>
      </c>
      <c r="AW151" s="39" t="n">
        <f aca="false">IF(AW$4=0,0,IF(COUNTIFS(実績!$W$6:$W$505,AW$3,実績!$AI$6:$AI$505,"&lt;="&amp;$A151,実績!$AJ$6:$AJ$505,"&gt;"&amp;$A151,実績!$AK$6:$AK$505,"○")&gt;0,1,0))</f>
        <v>0</v>
      </c>
      <c r="AX151" s="39" t="n">
        <f aca="false">IF(AX$4=0,0,IF(COUNTIFS(実績!$W$6:$W$505,AX$3,実績!$AI$6:$AI$505,"&lt;="&amp;$A151,実績!$AJ$6:$AJ$505,"&gt;"&amp;$A151,実績!$AK$6:$AK$505,"○")&gt;0,1,0))</f>
        <v>0</v>
      </c>
      <c r="AY151" s="39" t="n">
        <f aca="false">IF(AY$4=0,0,IF(COUNTIFS(実績!$W$6:$W$505,AY$3,実績!$AI$6:$AI$505,"&lt;="&amp;$A151,実績!$AJ$6:$AJ$505,"&gt;"&amp;$A151,実績!$AK$6:$AK$505,"○")&gt;0,1,0))</f>
        <v>0</v>
      </c>
      <c r="AZ151" s="39" t="n">
        <f aca="false">IF(AZ$4=0,0,IF(COUNTIFS(実績!$W$6:$W$505,AZ$3,実績!$AI$6:$AI$505,"&lt;="&amp;$A151,実績!$AJ$6:$AJ$505,"&gt;"&amp;$A151,実績!$AK$6:$AK$505,"○")&gt;0,1,0))</f>
        <v>0</v>
      </c>
      <c r="BA151" s="39" t="n">
        <f aca="false">IF(BA$4=0,0,IF(COUNTIFS(実績!$W$6:$W$505,BA$3,実績!$AI$6:$AI$505,"&lt;="&amp;$A151,実績!$AJ$6:$AJ$505,"&gt;"&amp;$A151,実績!$AK$6:$AK$505,"○")&gt;0,1,0))</f>
        <v>0</v>
      </c>
      <c r="BB151" s="39" t="n">
        <f aca="false">IF(BB$4=0,0,IF(COUNTIFS(実績!$W$6:$W$505,BB$3,実績!$AI$6:$AI$505,"&lt;="&amp;$A151,実績!$AJ$6:$AJ$505,"&gt;"&amp;$A151,実績!$AK$6:$AK$505,"○")&gt;0,1,0))</f>
        <v>0</v>
      </c>
      <c r="BC151" s="39" t="n">
        <f aca="false">IF(BC$4=0,0,IF(COUNTIFS(実績!$W$6:$W$505,BC$3,実績!$AI$6:$AI$505,"&lt;="&amp;$A151,実績!$AJ$6:$AJ$505,"&gt;"&amp;$A151,実績!$AK$6:$AK$505,"○")&gt;0,1,0))</f>
        <v>0</v>
      </c>
      <c r="BD151" s="39" t="n">
        <f aca="false">IF(BD$4=0,0,IF(COUNTIFS(実績!$W$6:$W$505,BD$3,実績!$AI$6:$AI$505,"&lt;="&amp;$A151,実績!$AJ$6:$AJ$505,"&gt;"&amp;$A151,実績!$AK$6:$AK$505,"○")&gt;0,1,0))</f>
        <v>0</v>
      </c>
      <c r="BE151" s="39" t="n">
        <f aca="false">IF(BE$4=0,0,IF(COUNTIFS(実績!$W$6:$W$505,BE$3,実績!$AI$6:$AI$505,"&lt;="&amp;$A151,実績!$AJ$6:$AJ$505,"&gt;"&amp;$A151,実績!$AK$6:$AK$505,"○")&gt;0,1,0))</f>
        <v>0</v>
      </c>
      <c r="BF151" s="39" t="n">
        <f aca="false">IF(BF$4=0,0,IF(COUNTIFS(実績!$W$6:$W$505,BF$3,実績!$AI$6:$AI$505,"&lt;="&amp;$A151,実績!$AJ$6:$AJ$505,"&gt;"&amp;$A151,実績!$AK$6:$AK$505,"○")&gt;0,1,0))</f>
        <v>0</v>
      </c>
      <c r="BG151" s="39" t="n">
        <f aca="false">IF(BG$4=0,0,IF(COUNTIFS(実績!$W$6:$W$505,BG$3,実績!$AI$6:$AI$505,"&lt;="&amp;$A151,実績!$AJ$6:$AJ$505,"&gt;"&amp;$A151,実績!$AK$6:$AK$505,"○")&gt;0,1,0))</f>
        <v>0</v>
      </c>
      <c r="BH151" s="39" t="n">
        <f aca="false">IF(BH$4=0,0,IF(COUNTIFS(実績!$W$6:$W$505,BH$3,実績!$AI$6:$AI$505,"&lt;="&amp;$A151,実績!$AJ$6:$AJ$505,"&gt;"&amp;$A151,実績!$AK$6:$AK$505,"○")&gt;0,1,0))</f>
        <v>0</v>
      </c>
      <c r="BI151" s="39" t="n">
        <f aca="false">IF(BI$4=0,0,IF(COUNTIFS(実績!$W$6:$W$505,BI$3,実績!$AI$6:$AI$505,"&lt;="&amp;$A151,実績!$AJ$6:$AJ$505,"&gt;"&amp;$A151,実績!$AK$6:$AK$505,"○")&gt;0,1,0))</f>
        <v>0</v>
      </c>
      <c r="BJ151" s="39" t="n">
        <f aca="false">IF(BJ$4=0,0,IF(COUNTIFS(実績!$W$6:$W$505,BJ$3,実績!$AI$6:$AI$505,"&lt;="&amp;$A151,実績!$AJ$6:$AJ$505,"&gt;"&amp;$A151,実績!$AK$6:$AK$505,"○")&gt;0,1,0))</f>
        <v>0</v>
      </c>
      <c r="BK151" s="39" t="n">
        <f aca="false">IF(BK$4=0,0,IF(COUNTIFS(実績!$W$6:$W$505,BK$3,実績!$AI$6:$AI$505,"&lt;="&amp;$A151,実績!$AJ$6:$AJ$505,"&gt;"&amp;$A151,実績!$AK$6:$AK$505,"○")&gt;0,1,0))</f>
        <v>0</v>
      </c>
      <c r="BL151" s="39" t="n">
        <f aca="false">IF(BL$4=0,0,IF(COUNTIFS(実績!$W$6:$W$505,BL$3,実績!$AI$6:$AI$505,"&lt;="&amp;$A151,実績!$AJ$6:$AJ$505,"&gt;"&amp;$A151,実績!$AK$6:$AK$505,"○")&gt;0,1,0))</f>
        <v>0</v>
      </c>
      <c r="BM151" s="39" t="n">
        <f aca="false">IF(BM$4=0,0,IF(COUNTIFS(実績!$W$6:$W$505,BM$3,実績!$AI$6:$AI$505,"&lt;="&amp;$A151,実績!$AJ$6:$AJ$505,"&gt;"&amp;$A151,実績!$AK$6:$AK$505,"○")&gt;0,1,0))</f>
        <v>0</v>
      </c>
      <c r="BN151" s="39" t="n">
        <f aca="false">IF(BN$4=0,0,IF(COUNTIFS(実績!$W$6:$W$505,BN$3,実績!$AI$6:$AI$505,"&lt;="&amp;$A151,実績!$AJ$6:$AJ$505,"&gt;"&amp;$A151,実績!$AK$6:$AK$505,"○")&gt;0,1,0))</f>
        <v>0</v>
      </c>
      <c r="BO151" s="39" t="n">
        <f aca="false">IF(BO$4=0,0,IF(COUNTIFS(実績!$W$6:$W$505,BO$3,実績!$AI$6:$AI$505,"&lt;="&amp;$A151,実績!$AJ$6:$AJ$505,"&gt;"&amp;$A151,実績!$AK$6:$AK$505,"○")&gt;0,1,0))</f>
        <v>0</v>
      </c>
      <c r="BP151" s="39" t="n">
        <f aca="false">IF(BP$4=0,0,IF(COUNTIFS(実績!$W$6:$W$505,BP$3,実績!$AI$6:$AI$505,"&lt;="&amp;$A151,実績!$AJ$6:$AJ$505,"&gt;"&amp;$A151,実績!$AK$6:$AK$505,"○")&gt;0,1,0))</f>
        <v>0</v>
      </c>
      <c r="BQ151" s="39" t="n">
        <f aca="false">IF(BQ$4=0,0,IF(COUNTIFS(実績!$W$6:$W$505,BQ$3,実績!$AI$6:$AI$505,"&lt;="&amp;$A151,実績!$AJ$6:$AJ$505,"&gt;"&amp;$A151,実績!$AK$6:$AK$505,"○")&gt;0,1,0))</f>
        <v>0</v>
      </c>
      <c r="BR151" s="39" t="n">
        <f aca="false">IF(BR$4=0,0,IF(COUNTIFS(実績!$W$6:$W$505,BR$3,実績!$AI$6:$AI$505,"&lt;="&amp;$A151,実績!$AJ$6:$AJ$505,"&gt;"&amp;$A151,実績!$AK$6:$AK$505,"○")&gt;0,1,0))</f>
        <v>0</v>
      </c>
      <c r="BS151" s="39" t="n">
        <f aca="false">IF(BS$4=0,0,IF(COUNTIFS(実績!$W$6:$W$505,BS$3,実績!$AI$6:$AI$505,"&lt;="&amp;$A151,実績!$AJ$6:$AJ$505,"&gt;"&amp;$A151,実績!$AK$6:$AK$505,"○")&gt;0,1,0))</f>
        <v>0</v>
      </c>
      <c r="BT151" s="39" t="n">
        <f aca="false">IF(BT$4=0,0,IF(COUNTIFS(実績!$W$6:$W$505,BT$3,実績!$AI$6:$AI$505,"&lt;="&amp;$A151,実績!$AJ$6:$AJ$505,"&gt;"&amp;$A151,実績!$AK$6:$AK$505,"○")&gt;0,1,0))</f>
        <v>0</v>
      </c>
      <c r="BU151" s="39" t="n">
        <f aca="false">IF(BU$4=0,0,IF(COUNTIFS(実績!$W$6:$W$505,BU$3,実績!$AI$6:$AI$505,"&lt;="&amp;$A151,実績!$AJ$6:$AJ$505,"&gt;"&amp;$A151,実績!$AK$6:$AK$505,"○")&gt;0,1,0))</f>
        <v>0</v>
      </c>
      <c r="BV151" s="39" t="n">
        <f aca="false">IF(BV$4=0,0,IF(COUNTIFS(実績!$W$6:$W$505,BV$3,実績!$AI$6:$AI$505,"&lt;="&amp;$A151,実績!$AJ$6:$AJ$505,"&gt;"&amp;$A151,実績!$AK$6:$AK$505,"○")&gt;0,1,0))</f>
        <v>0</v>
      </c>
      <c r="BW151" s="39" t="n">
        <f aca="false">IF(BW$4=0,0,IF(COUNTIFS(実績!$W$6:$W$505,BW$3,実績!$AI$6:$AI$505,"&lt;="&amp;$A151,実績!$AJ$6:$AJ$505,"&gt;"&amp;$A151,実績!$AK$6:$AK$505,"○")&gt;0,1,0))</f>
        <v>0</v>
      </c>
      <c r="BX151" s="39" t="n">
        <f aca="false">IF(BX$4=0,0,IF(COUNTIFS(実績!$W$6:$W$505,BX$3,実績!$AI$6:$AI$505,"&lt;="&amp;$A151,実績!$AJ$6:$AJ$505,"&gt;"&amp;$A151,実績!$AK$6:$AK$505,"○")&gt;0,1,0))</f>
        <v>0</v>
      </c>
      <c r="BY151" s="39" t="n">
        <f aca="false">IF(BY$4=0,0,IF(COUNTIFS(実績!$W$6:$W$505,BY$3,実績!$AI$6:$AI$505,"&lt;="&amp;$A151,実績!$AJ$6:$AJ$505,"&gt;"&amp;$A151,実績!$AK$6:$AK$505,"○")&gt;0,1,0))</f>
        <v>0</v>
      </c>
      <c r="BZ151" s="39" t="n">
        <f aca="false">IF(BZ$4=0,0,IF(COUNTIFS(実績!$W$6:$W$505,BZ$3,実績!$AI$6:$AI$505,"&lt;="&amp;$A151,実績!$AJ$6:$AJ$505,"&gt;"&amp;$A151,実績!$AK$6:$AK$505,"○")&gt;0,1,0))</f>
        <v>0</v>
      </c>
      <c r="CA151" s="39" t="n">
        <f aca="false">IF(CA$4=0,0,IF(COUNTIFS(実績!$W$6:$W$505,CA$3,実績!$AI$6:$AI$505,"&lt;="&amp;$A151,実績!$AJ$6:$AJ$505,"&gt;"&amp;$A151,実績!$AK$6:$AK$505,"○")&gt;0,1,0))</f>
        <v>0</v>
      </c>
      <c r="CB151" s="39" t="n">
        <f aca="false">IF(CB$4=0,0,IF(COUNTIFS(実績!$W$6:$W$505,CB$3,実績!$AI$6:$AI$505,"&lt;="&amp;$A151,実績!$AJ$6:$AJ$505,"&gt;"&amp;$A151,実績!$AK$6:$AK$505,"○")&gt;0,1,0))</f>
        <v>0</v>
      </c>
      <c r="CC151" s="39" t="n">
        <f aca="false">IF(CC$4=0,0,IF(COUNTIFS(実績!$W$6:$W$505,CC$3,実績!$AI$6:$AI$505,"&lt;="&amp;$A151,実績!$AJ$6:$AJ$505,"&gt;"&amp;$A151,実績!$AK$6:$AK$505,"○")&gt;0,1,0))</f>
        <v>0</v>
      </c>
      <c r="CD151" s="39" t="n">
        <f aca="false">IF(CD$4=0,0,IF(COUNTIFS(実績!$W$6:$W$505,CD$3,実績!$AI$6:$AI$505,"&lt;="&amp;$A151,実績!$AJ$6:$AJ$505,"&gt;"&amp;$A151,実績!$AK$6:$AK$505,"○")&gt;0,1,0))</f>
        <v>0</v>
      </c>
      <c r="CE151" s="39" t="n">
        <f aca="false">IF(CE$4=0,0,IF(COUNTIFS(実績!$W$6:$W$505,CE$3,実績!$AI$6:$AI$505,"&lt;="&amp;$A151,実績!$AJ$6:$AJ$505,"&gt;"&amp;$A151,実績!$AK$6:$AK$505,"○")&gt;0,1,0))</f>
        <v>0</v>
      </c>
      <c r="CF151" s="39" t="n">
        <f aca="false">IF(CF$4=0,0,IF(COUNTIFS(実績!$W$6:$W$505,CF$3,実績!$AI$6:$AI$505,"&lt;="&amp;$A151,実績!$AJ$6:$AJ$505,"&gt;"&amp;$A151,実績!$AK$6:$AK$505,"○")&gt;0,1,0))</f>
        <v>0</v>
      </c>
      <c r="CG151" s="39" t="n">
        <f aca="false">IF(CG$4=0,0,IF(COUNTIFS(実績!$W$6:$W$505,CG$3,実績!$AI$6:$AI$505,"&lt;="&amp;$A151,実績!$AJ$6:$AJ$505,"&gt;"&amp;$A151,実績!$AK$6:$AK$505,"○")&gt;0,1,0))</f>
        <v>0</v>
      </c>
      <c r="CH151" s="39" t="n">
        <f aca="false">IF(CH$4=0,0,IF(COUNTIFS(実績!$W$6:$W$505,CH$3,実績!$AI$6:$AI$505,"&lt;="&amp;$A151,実績!$AJ$6:$AJ$505,"&gt;"&amp;$A151,実績!$AK$6:$AK$505,"○")&gt;0,1,0))</f>
        <v>0</v>
      </c>
      <c r="CI151" s="39" t="n">
        <f aca="false">IF(CI$4=0,0,IF(COUNTIFS(実績!$W$6:$W$505,CI$3,実績!$AI$6:$AI$505,"&lt;="&amp;$A151,実績!$AJ$6:$AJ$505,"&gt;"&amp;$A151,実績!$AK$6:$AK$505,"○")&gt;0,1,0))</f>
        <v>0</v>
      </c>
      <c r="CJ151" s="39" t="n">
        <f aca="false">IF(CJ$4=0,0,IF(COUNTIFS(実績!$W$6:$W$505,CJ$3,実績!$AI$6:$AI$505,"&lt;="&amp;$A151,実績!$AJ$6:$AJ$505,"&gt;"&amp;$A151,実績!$AK$6:$AK$505,"○")&gt;0,1,0))</f>
        <v>0</v>
      </c>
      <c r="CK151" s="39" t="n">
        <f aca="false">IF(CK$4=0,0,IF(COUNTIFS(実績!$W$6:$W$505,CK$3,実績!$AI$6:$AI$505,"&lt;="&amp;$A151,実績!$AJ$6:$AJ$505,"&gt;"&amp;$A151,実績!$AK$6:$AK$505,"○")&gt;0,1,0))</f>
        <v>0</v>
      </c>
      <c r="CL151" s="39" t="n">
        <f aca="false">IF(CL$4=0,0,IF(COUNTIFS(実績!$W$6:$W$505,CL$3,実績!$AI$6:$AI$505,"&lt;="&amp;$A151,実績!$AJ$6:$AJ$505,"&gt;"&amp;$A151,実績!$AK$6:$AK$505,"○")&gt;0,1,0))</f>
        <v>0</v>
      </c>
      <c r="CM151" s="39" t="n">
        <f aca="false">IF(CM$4=0,0,IF(COUNTIFS(実績!$W$6:$W$505,CM$3,実績!$AI$6:$AI$505,"&lt;="&amp;$A151,実績!$AJ$6:$AJ$505,"&gt;"&amp;$A151,実績!$AK$6:$AK$505,"○")&gt;0,1,0))</f>
        <v>0</v>
      </c>
      <c r="CN151" s="39" t="n">
        <f aca="false">IF(CN$4=0,0,IF(COUNTIFS(実績!$W$6:$W$505,CN$3,実績!$AI$6:$AI$505,"&lt;="&amp;$A151,実績!$AJ$6:$AJ$505,"&gt;"&amp;$A151,実績!$AK$6:$AK$505,"○")&gt;0,1,0))</f>
        <v>0</v>
      </c>
      <c r="CO151" s="39" t="n">
        <f aca="false">IF(CO$4=0,0,IF(COUNTIFS(実績!$W$6:$W$505,CO$3,実績!$AI$6:$AI$505,"&lt;="&amp;$A151,実績!$AJ$6:$AJ$505,"&gt;"&amp;$A151,実績!$AK$6:$AK$505,"○")&gt;0,1,0))</f>
        <v>0</v>
      </c>
      <c r="CP151" s="39" t="n">
        <f aca="false">IF(CP$4=0,0,IF(COUNTIFS(実績!$W$6:$W$505,CP$3,実績!$AI$6:$AI$505,"&lt;="&amp;$A151,実績!$AJ$6:$AJ$505,"&gt;"&amp;$A151,実績!$AK$6:$AK$505,"○")&gt;0,1,0))</f>
        <v>0</v>
      </c>
      <c r="CQ151" s="39" t="n">
        <f aca="false">IF(CQ$4=0,0,IF(COUNTIFS(実績!$W$6:$W$505,CQ$3,実績!$AI$6:$AI$505,"&lt;="&amp;$A151,実績!$AJ$6:$AJ$505,"&gt;"&amp;$A151,実績!$AK$6:$AK$505,"○")&gt;0,1,0))</f>
        <v>0</v>
      </c>
      <c r="CR151" s="39" t="n">
        <f aca="false">IF(CR$4=0,0,IF(COUNTIFS(実績!$W$6:$W$505,CR$3,実績!$AI$6:$AI$505,"&lt;="&amp;$A151,実績!$AJ$6:$AJ$505,"&gt;"&amp;$A151,実績!$AK$6:$AK$505,"○")&gt;0,1,0))</f>
        <v>0</v>
      </c>
      <c r="CS151" s="39" t="n">
        <f aca="false">IF(CS$4=0,0,IF(COUNTIFS(実績!$W$6:$W$505,CS$3,実績!$AI$6:$AI$505,"&lt;="&amp;$A151,実績!$AJ$6:$AJ$505,"&gt;"&amp;$A151,実績!$AK$6:$AK$505,"○")&gt;0,1,0))</f>
        <v>0</v>
      </c>
      <c r="CT151" s="39" t="n">
        <f aca="false">IF(CT$4=0,0,IF(COUNTIFS(実績!$W$6:$W$505,CT$3,実績!$AI$6:$AI$505,"&lt;="&amp;$A151,実績!$AJ$6:$AJ$505,"&gt;"&amp;$A151,実績!$AK$6:$AK$505,"○")&gt;0,1,0))</f>
        <v>0</v>
      </c>
      <c r="CU151" s="39" t="n">
        <f aca="false">IF(CU$4=0,0,IF(COUNTIFS(実績!$W$6:$W$505,CU$3,実績!$AI$6:$AI$505,"&lt;="&amp;$A151,実績!$AJ$6:$AJ$505,"&gt;"&amp;$A151,実績!$AK$6:$AK$505,"○")&gt;0,1,0))</f>
        <v>0</v>
      </c>
      <c r="CV151" s="39" t="n">
        <f aca="false">IF(CV$4=0,0,IF(COUNTIFS(実績!$W$6:$W$505,CV$3,実績!$AI$6:$AI$505,"&lt;="&amp;$A151,実績!$AJ$6:$AJ$505,"&gt;"&amp;$A151,実績!$AK$6:$AK$505,"○")&gt;0,1,0))</f>
        <v>0</v>
      </c>
      <c r="CW151" s="39" t="n">
        <f aca="false">IF(CW$4=0,0,IF(COUNTIFS(実績!$W$6:$W$505,CW$3,実績!$AI$6:$AI$505,"&lt;="&amp;$A151,実績!$AJ$6:$AJ$505,"&gt;"&amp;$A151,実績!$AK$6:$AK$505,"○")&gt;0,1,0))</f>
        <v>0</v>
      </c>
      <c r="CX151" s="39" t="n">
        <f aca="false">IF(CX$4=0,0,IF(COUNTIFS(実績!$W$6:$W$505,CX$3,実績!$AI$6:$AI$505,"&lt;="&amp;$A151,実績!$AJ$6:$AJ$505,"&gt;"&amp;$A151,実績!$AK$6:$AK$505,"○")&gt;0,1,0))</f>
        <v>0</v>
      </c>
      <c r="CY151" s="39" t="n">
        <f aca="false">IF(CY$4=0,0,IF(COUNTIFS(実績!$W$6:$W$505,CY$3,実績!$AI$6:$AI$505,"&lt;="&amp;$A151,実績!$AJ$6:$AJ$505,"&gt;"&amp;$A151,実績!$AK$6:$AK$505,"○")&gt;0,1,0))</f>
        <v>0</v>
      </c>
      <c r="CZ151" s="39" t="n">
        <f aca="false">IF(CZ$4=0,0,IF(COUNTIFS(実績!$W$6:$W$505,CZ$3,実績!$AI$6:$AI$505,"&lt;="&amp;$A151,実績!$AJ$6:$AJ$505,"&gt;"&amp;$A151,実績!$AK$6:$AK$505,"○")&gt;0,1,0))</f>
        <v>0</v>
      </c>
      <c r="DA151" s="39" t="n">
        <f aca="false">IF(DA$4=0,0,IF(COUNTIFS(実績!$W$6:$W$505,DA$3,実績!$AI$6:$AI$505,"&lt;="&amp;$A151,実績!$AJ$6:$AJ$505,"&gt;"&amp;$A151,実績!$AK$6:$AK$505,"○")&gt;0,1,0))</f>
        <v>0</v>
      </c>
      <c r="DB151" s="39" t="n">
        <f aca="false">IF(DB$4=0,0,IF(COUNTIFS(実績!$W$6:$W$505,DB$3,実績!$AI$6:$AI$505,"&lt;="&amp;$A151,実績!$AJ$6:$AJ$505,"&gt;"&amp;$A151,実績!$AK$6:$AK$505,"○")&gt;0,1,0))</f>
        <v>0</v>
      </c>
      <c r="DC151" s="39" t="n">
        <f aca="false">IF(DC$4=0,0,IF(COUNTIFS(実績!$W$6:$W$505,DC$3,実績!$AI$6:$AI$505,"&lt;="&amp;$A151,実績!$AJ$6:$AJ$505,"&gt;"&amp;$A151,実績!$AK$6:$AK$505,"○")&gt;0,1,0))</f>
        <v>0</v>
      </c>
      <c r="DD151" s="39" t="n">
        <f aca="false">IF(DD$4=0,0,IF(COUNTIFS(実績!$W$6:$W$505,DD$3,実績!$AI$6:$AI$505,"&lt;="&amp;$A151,実績!$AJ$6:$AJ$505,"&gt;"&amp;$A151,実績!$AK$6:$AK$505,"○")&gt;0,1,0))</f>
        <v>0</v>
      </c>
      <c r="DE151" s="39" t="n">
        <f aca="false">IF(DE$4=0,0,IF(COUNTIFS(実績!$W$6:$W$505,DE$3,実績!$AI$6:$AI$505,"&lt;="&amp;$A151,実績!$AJ$6:$AJ$505,"&gt;"&amp;$A151,実績!$AK$6:$AK$505,"○")&gt;0,1,0))</f>
        <v>0</v>
      </c>
      <c r="DF151" s="39" t="n">
        <f aca="false">IF(DF$4=0,0,IF(COUNTIFS(実績!$W$6:$W$505,DF$3,実績!$AI$6:$AI$505,"&lt;="&amp;$A151,実績!$AJ$6:$AJ$505,"&gt;"&amp;$A151,実績!$AK$6:$AK$505,"○")&gt;0,1,0))</f>
        <v>0</v>
      </c>
      <c r="DG151" s="39" t="n">
        <f aca="false">IF(DG$4=0,0,IF(COUNTIFS(実績!$W$6:$W$505,DG$3,実績!$AI$6:$AI$505,"&lt;="&amp;$A151,実績!$AJ$6:$AJ$505,"&gt;"&amp;$A151,実績!$AK$6:$AK$505,"○")&gt;0,1,0))</f>
        <v>0</v>
      </c>
      <c r="DH151" s="39" t="n">
        <f aca="false">IF(DH$4=0,0,IF(COUNTIFS(実績!$W$6:$W$505,DH$3,実績!$AI$6:$AI$505,"&lt;="&amp;$A151,実績!$AJ$6:$AJ$505,"&gt;"&amp;$A151,実績!$AK$6:$AK$505,"○")&gt;0,1,0))</f>
        <v>0</v>
      </c>
      <c r="DI151" s="39" t="n">
        <f aca="false">IF(DI$4=0,0,IF(COUNTIFS(実績!$W$6:$W$505,DI$3,実績!$AI$6:$AI$505,"&lt;="&amp;$A151,実績!$AJ$6:$AJ$505,"&gt;"&amp;$A151,実績!$AK$6:$AK$505,"○")&gt;0,1,0))</f>
        <v>0</v>
      </c>
      <c r="DJ151" s="39" t="n">
        <f aca="false">IF(DJ$4=0,0,IF(COUNTIFS(実績!$W$6:$W$505,DJ$3,実績!$AI$6:$AI$505,"&lt;="&amp;$A151,実績!$AJ$6:$AJ$505,"&gt;"&amp;$A151,実績!$AK$6:$AK$505,"○")&gt;0,1,0))</f>
        <v>0</v>
      </c>
      <c r="DK151" s="39" t="n">
        <f aca="false">IF(DK$4=0,0,IF(COUNTIFS(実績!$W$6:$W$505,DK$3,実績!$AI$6:$AI$505,"&lt;="&amp;$A151,実績!$AJ$6:$AJ$505,"&gt;"&amp;$A151,実績!$AK$6:$AK$505,"○")&gt;0,1,0))</f>
        <v>0</v>
      </c>
      <c r="DL151" s="39" t="n">
        <f aca="false">IF(DL$4=0,0,IF(COUNTIFS(実績!$W$6:$W$505,DL$3,実績!$AI$6:$AI$505,"&lt;="&amp;$A151,実績!$AJ$6:$AJ$505,"&gt;"&amp;$A151,実績!$AK$6:$AK$505,"○")&gt;0,1,0))</f>
        <v>0</v>
      </c>
      <c r="DM151" s="39" t="n">
        <f aca="false">IF(DM$4=0,0,IF(COUNTIFS(実績!$W$6:$W$505,DM$3,実績!$AI$6:$AI$505,"&lt;="&amp;$A151,実績!$AJ$6:$AJ$505,"&gt;"&amp;$A151,実績!$AK$6:$AK$505,"○")&gt;0,1,0))</f>
        <v>0</v>
      </c>
      <c r="DN151" s="39" t="n">
        <f aca="false">IF(DN$4=0,0,IF(COUNTIFS(実績!$W$6:$W$505,DN$3,実績!$AI$6:$AI$505,"&lt;="&amp;$A151,実績!$AJ$6:$AJ$505,"&gt;"&amp;$A151,実績!$AK$6:$AK$505,"○")&gt;0,1,0))</f>
        <v>0</v>
      </c>
      <c r="DO151" s="39" t="n">
        <f aca="false">IF(DO$4=0,0,IF(COUNTIFS(実績!$W$6:$W$505,DO$3,実績!$AI$6:$AI$505,"&lt;="&amp;$A151,実績!$AJ$6:$AJ$505,"&gt;"&amp;$A151,実績!$AK$6:$AK$505,"○")&gt;0,1,0))</f>
        <v>0</v>
      </c>
      <c r="DP151" s="39" t="n">
        <f aca="false">IF(DP$4=0,0,IF(COUNTIFS(実績!$W$6:$W$505,DP$3,実績!$AI$6:$AI$505,"&lt;="&amp;$A151,実績!$AJ$6:$AJ$505,"&gt;"&amp;$A151,実績!$AK$6:$AK$505,"○")&gt;0,1,0))</f>
        <v>0</v>
      </c>
      <c r="DQ151" s="39" t="n">
        <f aca="false">IF(DQ$4=0,0,IF(COUNTIFS(実績!$W$6:$W$505,DQ$3,実績!$AI$6:$AI$505,"&lt;="&amp;$A151,実績!$AJ$6:$AJ$505,"&gt;"&amp;$A151,実績!$AK$6:$AK$505,"○")&gt;0,1,0))</f>
        <v>0</v>
      </c>
      <c r="DR151" s="39" t="n">
        <f aca="false">IF(DR$4=0,0,IF(COUNTIFS(実績!$W$6:$W$505,DR$3,実績!$AI$6:$AI$505,"&lt;="&amp;$A151,実績!$AJ$6:$AJ$505,"&gt;"&amp;$A151,実績!$AK$6:$AK$505,"○")&gt;0,1,0))</f>
        <v>0</v>
      </c>
      <c r="DS151" s="39" t="n">
        <f aca="false">SUM(C151:DR151)</f>
        <v>0</v>
      </c>
      <c r="DT151" s="39" t="n">
        <f aca="false">SUMPRODUCT((実績!$C$6:$C$505="○")*ISNUMBER(実績!$AM$6:$AM$505)*(実績!$AM$6:$AM$505&lt;=$A151)*(実績!$AN$6:$AN$505&gt;$A151))</f>
        <v>0</v>
      </c>
      <c r="DU151" s="39" t="n">
        <f aca="false">SUMIF($C$2:$DR$2,"製鉄曳船",C151:DR151)</f>
        <v>0</v>
      </c>
      <c r="DV151" s="39" t="n">
        <f aca="false">SUMIF($C$2:$DR$2,"西日本海運",C151:DR151)</f>
        <v>0</v>
      </c>
    </row>
    <row r="152" customFormat="false" ht="15" hidden="false" customHeight="false" outlineLevel="0" collapsed="false">
      <c r="A152" s="0" t="n">
        <v>730</v>
      </c>
      <c r="B152" s="38" t="n">
        <f aca="false">A152/1440</f>
        <v>0.506944444444444</v>
      </c>
      <c r="C152" s="39" t="n">
        <f aca="false">IF(C$4=0,0,IF(COUNTIFS(実績!$W$6:$W$505,C$3,実績!$AI$6:$AI$505,"&lt;="&amp;$A152,実績!$AJ$6:$AJ$505,"&gt;"&amp;$A152,実績!$AK$6:$AK$505,"○")&gt;0,1,0))</f>
        <v>0</v>
      </c>
      <c r="D152" s="39" t="n">
        <f aca="false">IF(D$4=0,0,IF(COUNTIFS(実績!$W$6:$W$505,D$3,実績!$AI$6:$AI$505,"&lt;="&amp;$A152,実績!$AJ$6:$AJ$505,"&gt;"&amp;$A152,実績!$AK$6:$AK$505,"○")&gt;0,1,0))</f>
        <v>0</v>
      </c>
      <c r="E152" s="39" t="n">
        <f aca="false">IF(E$4=0,0,IF(COUNTIFS(実績!$W$6:$W$505,E$3,実績!$AI$6:$AI$505,"&lt;="&amp;$A152,実績!$AJ$6:$AJ$505,"&gt;"&amp;$A152,実績!$AK$6:$AK$505,"○")&gt;0,1,0))</f>
        <v>0</v>
      </c>
      <c r="F152" s="39" t="n">
        <f aca="false">IF(F$4=0,0,IF(COUNTIFS(実績!$W$6:$W$505,F$3,実績!$AI$6:$AI$505,"&lt;="&amp;$A152,実績!$AJ$6:$AJ$505,"&gt;"&amp;$A152,実績!$AK$6:$AK$505,"○")&gt;0,1,0))</f>
        <v>0</v>
      </c>
      <c r="G152" s="39" t="n">
        <f aca="false">IF(G$4=0,0,IF(COUNTIFS(実績!$W$6:$W$505,G$3,実績!$AI$6:$AI$505,"&lt;="&amp;$A152,実績!$AJ$6:$AJ$505,"&gt;"&amp;$A152,実績!$AK$6:$AK$505,"○")&gt;0,1,0))</f>
        <v>0</v>
      </c>
      <c r="H152" s="39" t="n">
        <f aca="false">IF(H$4=0,0,IF(COUNTIFS(実績!$W$6:$W$505,H$3,実績!$AI$6:$AI$505,"&lt;="&amp;$A152,実績!$AJ$6:$AJ$505,"&gt;"&amp;$A152,実績!$AK$6:$AK$505,"○")&gt;0,1,0))</f>
        <v>0</v>
      </c>
      <c r="I152" s="39" t="n">
        <f aca="false">IF(I$4=0,0,IF(COUNTIFS(実績!$W$6:$W$505,I$3,実績!$AI$6:$AI$505,"&lt;="&amp;$A152,実績!$AJ$6:$AJ$505,"&gt;"&amp;$A152,実績!$AK$6:$AK$505,"○")&gt;0,1,0))</f>
        <v>0</v>
      </c>
      <c r="J152" s="39" t="n">
        <f aca="false">IF(J$4=0,0,IF(COUNTIFS(実績!$W$6:$W$505,J$3,実績!$AI$6:$AI$505,"&lt;="&amp;$A152,実績!$AJ$6:$AJ$505,"&gt;"&amp;$A152,実績!$AK$6:$AK$505,"○")&gt;0,1,0))</f>
        <v>0</v>
      </c>
      <c r="K152" s="39" t="n">
        <f aca="false">IF(K$4=0,0,IF(COUNTIFS(実績!$W$6:$W$505,K$3,実績!$AI$6:$AI$505,"&lt;="&amp;$A152,実績!$AJ$6:$AJ$505,"&gt;"&amp;$A152,実績!$AK$6:$AK$505,"○")&gt;0,1,0))</f>
        <v>0</v>
      </c>
      <c r="L152" s="39" t="n">
        <f aca="false">IF(L$4=0,0,IF(COUNTIFS(実績!$W$6:$W$505,L$3,実績!$AI$6:$AI$505,"&lt;="&amp;$A152,実績!$AJ$6:$AJ$505,"&gt;"&amp;$A152,実績!$AK$6:$AK$505,"○")&gt;0,1,0))</f>
        <v>0</v>
      </c>
      <c r="M152" s="39" t="n">
        <f aca="false">IF(M$4=0,0,IF(COUNTIFS(実績!$W$6:$W$505,M$3,実績!$AI$6:$AI$505,"&lt;="&amp;$A152,実績!$AJ$6:$AJ$505,"&gt;"&amp;$A152,実績!$AK$6:$AK$505,"○")&gt;0,1,0))</f>
        <v>0</v>
      </c>
      <c r="N152" s="39" t="n">
        <f aca="false">IF(N$4=0,0,IF(COUNTIFS(実績!$W$6:$W$505,N$3,実績!$AI$6:$AI$505,"&lt;="&amp;$A152,実績!$AJ$6:$AJ$505,"&gt;"&amp;$A152,実績!$AK$6:$AK$505,"○")&gt;0,1,0))</f>
        <v>0</v>
      </c>
      <c r="O152" s="39" t="n">
        <f aca="false">IF(O$4=0,0,IF(COUNTIFS(実績!$W$6:$W$505,O$3,実績!$AI$6:$AI$505,"&lt;="&amp;$A152,実績!$AJ$6:$AJ$505,"&gt;"&amp;$A152,実績!$AK$6:$AK$505,"○")&gt;0,1,0))</f>
        <v>0</v>
      </c>
      <c r="P152" s="39" t="n">
        <f aca="false">IF(P$4=0,0,IF(COUNTIFS(実績!$W$6:$W$505,P$3,実績!$AI$6:$AI$505,"&lt;="&amp;$A152,実績!$AJ$6:$AJ$505,"&gt;"&amp;$A152,実績!$AK$6:$AK$505,"○")&gt;0,1,0))</f>
        <v>0</v>
      </c>
      <c r="Q152" s="39" t="n">
        <f aca="false">IF(Q$4=0,0,IF(COUNTIFS(実績!$W$6:$W$505,Q$3,実績!$AI$6:$AI$505,"&lt;="&amp;$A152,実績!$AJ$6:$AJ$505,"&gt;"&amp;$A152,実績!$AK$6:$AK$505,"○")&gt;0,1,0))</f>
        <v>0</v>
      </c>
      <c r="R152" s="39" t="n">
        <f aca="false">IF(R$4=0,0,IF(COUNTIFS(実績!$W$6:$W$505,R$3,実績!$AI$6:$AI$505,"&lt;="&amp;$A152,実績!$AJ$6:$AJ$505,"&gt;"&amp;$A152,実績!$AK$6:$AK$505,"○")&gt;0,1,0))</f>
        <v>0</v>
      </c>
      <c r="S152" s="39" t="n">
        <f aca="false">IF(S$4=0,0,IF(COUNTIFS(実績!$W$6:$W$505,S$3,実績!$AI$6:$AI$505,"&lt;="&amp;$A152,実績!$AJ$6:$AJ$505,"&gt;"&amp;$A152,実績!$AK$6:$AK$505,"○")&gt;0,1,0))</f>
        <v>0</v>
      </c>
      <c r="T152" s="39" t="n">
        <f aca="false">IF(T$4=0,0,IF(COUNTIFS(実績!$W$6:$W$505,T$3,実績!$AI$6:$AI$505,"&lt;="&amp;$A152,実績!$AJ$6:$AJ$505,"&gt;"&amp;$A152,実績!$AK$6:$AK$505,"○")&gt;0,1,0))</f>
        <v>0</v>
      </c>
      <c r="U152" s="39" t="n">
        <f aca="false">IF(U$4=0,0,IF(COUNTIFS(実績!$W$6:$W$505,U$3,実績!$AI$6:$AI$505,"&lt;="&amp;$A152,実績!$AJ$6:$AJ$505,"&gt;"&amp;$A152,実績!$AK$6:$AK$505,"○")&gt;0,1,0))</f>
        <v>0</v>
      </c>
      <c r="V152" s="39" t="n">
        <f aca="false">IF(V$4=0,0,IF(COUNTIFS(実績!$W$6:$W$505,V$3,実績!$AI$6:$AI$505,"&lt;="&amp;$A152,実績!$AJ$6:$AJ$505,"&gt;"&amp;$A152,実績!$AK$6:$AK$505,"○")&gt;0,1,0))</f>
        <v>0</v>
      </c>
      <c r="W152" s="39" t="n">
        <f aca="false">IF(W$4=0,0,IF(COUNTIFS(実績!$W$6:$W$505,W$3,実績!$AI$6:$AI$505,"&lt;="&amp;$A152,実績!$AJ$6:$AJ$505,"&gt;"&amp;$A152,実績!$AK$6:$AK$505,"○")&gt;0,1,0))</f>
        <v>0</v>
      </c>
      <c r="X152" s="39" t="n">
        <f aca="false">IF(X$4=0,0,IF(COUNTIFS(実績!$W$6:$W$505,X$3,実績!$AI$6:$AI$505,"&lt;="&amp;$A152,実績!$AJ$6:$AJ$505,"&gt;"&amp;$A152,実績!$AK$6:$AK$505,"○")&gt;0,1,0))</f>
        <v>0</v>
      </c>
      <c r="Y152" s="39" t="n">
        <f aca="false">IF(Y$4=0,0,IF(COUNTIFS(実績!$W$6:$W$505,Y$3,実績!$AI$6:$AI$505,"&lt;="&amp;$A152,実績!$AJ$6:$AJ$505,"&gt;"&amp;$A152,実績!$AK$6:$AK$505,"○")&gt;0,1,0))</f>
        <v>0</v>
      </c>
      <c r="Z152" s="39" t="n">
        <f aca="false">IF(Z$4=0,0,IF(COUNTIFS(実績!$W$6:$W$505,Z$3,実績!$AI$6:$AI$505,"&lt;="&amp;$A152,実績!$AJ$6:$AJ$505,"&gt;"&amp;$A152,実績!$AK$6:$AK$505,"○")&gt;0,1,0))</f>
        <v>0</v>
      </c>
      <c r="AA152" s="39" t="n">
        <f aca="false">IF(AA$4=0,0,IF(COUNTIFS(実績!$W$6:$W$505,AA$3,実績!$AI$6:$AI$505,"&lt;="&amp;$A152,実績!$AJ$6:$AJ$505,"&gt;"&amp;$A152,実績!$AK$6:$AK$505,"○")&gt;0,1,0))</f>
        <v>0</v>
      </c>
      <c r="AB152" s="39" t="n">
        <f aca="false">IF(AB$4=0,0,IF(COUNTIFS(実績!$W$6:$W$505,AB$3,実績!$AI$6:$AI$505,"&lt;="&amp;$A152,実績!$AJ$6:$AJ$505,"&gt;"&amp;$A152,実績!$AK$6:$AK$505,"○")&gt;0,1,0))</f>
        <v>0</v>
      </c>
      <c r="AC152" s="39" t="n">
        <f aca="false">IF(AC$4=0,0,IF(COUNTIFS(実績!$W$6:$W$505,AC$3,実績!$AI$6:$AI$505,"&lt;="&amp;$A152,実績!$AJ$6:$AJ$505,"&gt;"&amp;$A152,実績!$AK$6:$AK$505,"○")&gt;0,1,0))</f>
        <v>0</v>
      </c>
      <c r="AD152" s="39" t="n">
        <f aca="false">IF(AD$4=0,0,IF(COUNTIFS(実績!$W$6:$W$505,AD$3,実績!$AI$6:$AI$505,"&lt;="&amp;$A152,実績!$AJ$6:$AJ$505,"&gt;"&amp;$A152,実績!$AK$6:$AK$505,"○")&gt;0,1,0))</f>
        <v>0</v>
      </c>
      <c r="AE152" s="39" t="n">
        <f aca="false">IF(AE$4=0,0,IF(COUNTIFS(実績!$W$6:$W$505,AE$3,実績!$AI$6:$AI$505,"&lt;="&amp;$A152,実績!$AJ$6:$AJ$505,"&gt;"&amp;$A152,実績!$AK$6:$AK$505,"○")&gt;0,1,0))</f>
        <v>0</v>
      </c>
      <c r="AF152" s="39" t="n">
        <f aca="false">IF(AF$4=0,0,IF(COUNTIFS(実績!$W$6:$W$505,AF$3,実績!$AI$6:$AI$505,"&lt;="&amp;$A152,実績!$AJ$6:$AJ$505,"&gt;"&amp;$A152,実績!$AK$6:$AK$505,"○")&gt;0,1,0))</f>
        <v>0</v>
      </c>
      <c r="AG152" s="39" t="n">
        <f aca="false">IF(AG$4=0,0,IF(COUNTIFS(実績!$W$6:$W$505,AG$3,実績!$AI$6:$AI$505,"&lt;="&amp;$A152,実績!$AJ$6:$AJ$505,"&gt;"&amp;$A152,実績!$AK$6:$AK$505,"○")&gt;0,1,0))</f>
        <v>0</v>
      </c>
      <c r="AH152" s="39" t="n">
        <f aca="false">IF(AH$4=0,0,IF(COUNTIFS(実績!$W$6:$W$505,AH$3,実績!$AI$6:$AI$505,"&lt;="&amp;$A152,実績!$AJ$6:$AJ$505,"&gt;"&amp;$A152,実績!$AK$6:$AK$505,"○")&gt;0,1,0))</f>
        <v>0</v>
      </c>
      <c r="AI152" s="39" t="n">
        <f aca="false">IF(AI$4=0,0,IF(COUNTIFS(実績!$W$6:$W$505,AI$3,実績!$AI$6:$AI$505,"&lt;="&amp;$A152,実績!$AJ$6:$AJ$505,"&gt;"&amp;$A152,実績!$AK$6:$AK$505,"○")&gt;0,1,0))</f>
        <v>0</v>
      </c>
      <c r="AJ152" s="39" t="n">
        <f aca="false">IF(AJ$4=0,0,IF(COUNTIFS(実績!$W$6:$W$505,AJ$3,実績!$AI$6:$AI$505,"&lt;="&amp;$A152,実績!$AJ$6:$AJ$505,"&gt;"&amp;$A152,実績!$AK$6:$AK$505,"○")&gt;0,1,0))</f>
        <v>0</v>
      </c>
      <c r="AK152" s="39" t="n">
        <f aca="false">IF(AK$4=0,0,IF(COUNTIFS(実績!$W$6:$W$505,AK$3,実績!$AI$6:$AI$505,"&lt;="&amp;$A152,実績!$AJ$6:$AJ$505,"&gt;"&amp;$A152,実績!$AK$6:$AK$505,"○")&gt;0,1,0))</f>
        <v>0</v>
      </c>
      <c r="AL152" s="39" t="n">
        <f aca="false">IF(AL$4=0,0,IF(COUNTIFS(実績!$W$6:$W$505,AL$3,実績!$AI$6:$AI$505,"&lt;="&amp;$A152,実績!$AJ$6:$AJ$505,"&gt;"&amp;$A152,実績!$AK$6:$AK$505,"○")&gt;0,1,0))</f>
        <v>0</v>
      </c>
      <c r="AM152" s="39" t="n">
        <f aca="false">IF(AM$4=0,0,IF(COUNTIFS(実績!$W$6:$W$505,AM$3,実績!$AI$6:$AI$505,"&lt;="&amp;$A152,実績!$AJ$6:$AJ$505,"&gt;"&amp;$A152,実績!$AK$6:$AK$505,"○")&gt;0,1,0))</f>
        <v>0</v>
      </c>
      <c r="AN152" s="39" t="n">
        <f aca="false">IF(AN$4=0,0,IF(COUNTIFS(実績!$W$6:$W$505,AN$3,実績!$AI$6:$AI$505,"&lt;="&amp;$A152,実績!$AJ$6:$AJ$505,"&gt;"&amp;$A152,実績!$AK$6:$AK$505,"○")&gt;0,1,0))</f>
        <v>0</v>
      </c>
      <c r="AO152" s="39" t="n">
        <f aca="false">IF(AO$4=0,0,IF(COUNTIFS(実績!$W$6:$W$505,AO$3,実績!$AI$6:$AI$505,"&lt;="&amp;$A152,実績!$AJ$6:$AJ$505,"&gt;"&amp;$A152,実績!$AK$6:$AK$505,"○")&gt;0,1,0))</f>
        <v>0</v>
      </c>
      <c r="AP152" s="39" t="n">
        <f aca="false">IF(AP$4=0,0,IF(COUNTIFS(実績!$W$6:$W$505,AP$3,実績!$AI$6:$AI$505,"&lt;="&amp;$A152,実績!$AJ$6:$AJ$505,"&gt;"&amp;$A152,実績!$AK$6:$AK$505,"○")&gt;0,1,0))</f>
        <v>0</v>
      </c>
      <c r="AQ152" s="39" t="n">
        <f aca="false">IF(AQ$4=0,0,IF(COUNTIFS(実績!$W$6:$W$505,AQ$3,実績!$AI$6:$AI$505,"&lt;="&amp;$A152,実績!$AJ$6:$AJ$505,"&gt;"&amp;$A152,実績!$AK$6:$AK$505,"○")&gt;0,1,0))</f>
        <v>0</v>
      </c>
      <c r="AR152" s="39" t="n">
        <f aca="false">IF(AR$4=0,0,IF(COUNTIFS(実績!$W$6:$W$505,AR$3,実績!$AI$6:$AI$505,"&lt;="&amp;$A152,実績!$AJ$6:$AJ$505,"&gt;"&amp;$A152,実績!$AK$6:$AK$505,"○")&gt;0,1,0))</f>
        <v>0</v>
      </c>
      <c r="AS152" s="39" t="n">
        <f aca="false">IF(AS$4=0,0,IF(COUNTIFS(実績!$W$6:$W$505,AS$3,実績!$AI$6:$AI$505,"&lt;="&amp;$A152,実績!$AJ$6:$AJ$505,"&gt;"&amp;$A152,実績!$AK$6:$AK$505,"○")&gt;0,1,0))</f>
        <v>0</v>
      </c>
      <c r="AT152" s="39" t="n">
        <f aca="false">IF(AT$4=0,0,IF(COUNTIFS(実績!$W$6:$W$505,AT$3,実績!$AI$6:$AI$505,"&lt;="&amp;$A152,実績!$AJ$6:$AJ$505,"&gt;"&amp;$A152,実績!$AK$6:$AK$505,"○")&gt;0,1,0))</f>
        <v>0</v>
      </c>
      <c r="AU152" s="39" t="n">
        <f aca="false">IF(AU$4=0,0,IF(COUNTIFS(実績!$W$6:$W$505,AU$3,実績!$AI$6:$AI$505,"&lt;="&amp;$A152,実績!$AJ$6:$AJ$505,"&gt;"&amp;$A152,実績!$AK$6:$AK$505,"○")&gt;0,1,0))</f>
        <v>0</v>
      </c>
      <c r="AV152" s="39" t="n">
        <f aca="false">IF(AV$4=0,0,IF(COUNTIFS(実績!$W$6:$W$505,AV$3,実績!$AI$6:$AI$505,"&lt;="&amp;$A152,実績!$AJ$6:$AJ$505,"&gt;"&amp;$A152,実績!$AK$6:$AK$505,"○")&gt;0,1,0))</f>
        <v>0</v>
      </c>
      <c r="AW152" s="39" t="n">
        <f aca="false">IF(AW$4=0,0,IF(COUNTIFS(実績!$W$6:$W$505,AW$3,実績!$AI$6:$AI$505,"&lt;="&amp;$A152,実績!$AJ$6:$AJ$505,"&gt;"&amp;$A152,実績!$AK$6:$AK$505,"○")&gt;0,1,0))</f>
        <v>0</v>
      </c>
      <c r="AX152" s="39" t="n">
        <f aca="false">IF(AX$4=0,0,IF(COUNTIFS(実績!$W$6:$W$505,AX$3,実績!$AI$6:$AI$505,"&lt;="&amp;$A152,実績!$AJ$6:$AJ$505,"&gt;"&amp;$A152,実績!$AK$6:$AK$505,"○")&gt;0,1,0))</f>
        <v>0</v>
      </c>
      <c r="AY152" s="39" t="n">
        <f aca="false">IF(AY$4=0,0,IF(COUNTIFS(実績!$W$6:$W$505,AY$3,実績!$AI$6:$AI$505,"&lt;="&amp;$A152,実績!$AJ$6:$AJ$505,"&gt;"&amp;$A152,実績!$AK$6:$AK$505,"○")&gt;0,1,0))</f>
        <v>0</v>
      </c>
      <c r="AZ152" s="39" t="n">
        <f aca="false">IF(AZ$4=0,0,IF(COUNTIFS(実績!$W$6:$W$505,AZ$3,実績!$AI$6:$AI$505,"&lt;="&amp;$A152,実績!$AJ$6:$AJ$505,"&gt;"&amp;$A152,実績!$AK$6:$AK$505,"○")&gt;0,1,0))</f>
        <v>0</v>
      </c>
      <c r="BA152" s="39" t="n">
        <f aca="false">IF(BA$4=0,0,IF(COUNTIFS(実績!$W$6:$W$505,BA$3,実績!$AI$6:$AI$505,"&lt;="&amp;$A152,実績!$AJ$6:$AJ$505,"&gt;"&amp;$A152,実績!$AK$6:$AK$505,"○")&gt;0,1,0))</f>
        <v>0</v>
      </c>
      <c r="BB152" s="39" t="n">
        <f aca="false">IF(BB$4=0,0,IF(COUNTIFS(実績!$W$6:$W$505,BB$3,実績!$AI$6:$AI$505,"&lt;="&amp;$A152,実績!$AJ$6:$AJ$505,"&gt;"&amp;$A152,実績!$AK$6:$AK$505,"○")&gt;0,1,0))</f>
        <v>0</v>
      </c>
      <c r="BC152" s="39" t="n">
        <f aca="false">IF(BC$4=0,0,IF(COUNTIFS(実績!$W$6:$W$505,BC$3,実績!$AI$6:$AI$505,"&lt;="&amp;$A152,実績!$AJ$6:$AJ$505,"&gt;"&amp;$A152,実績!$AK$6:$AK$505,"○")&gt;0,1,0))</f>
        <v>0</v>
      </c>
      <c r="BD152" s="39" t="n">
        <f aca="false">IF(BD$4=0,0,IF(COUNTIFS(実績!$W$6:$W$505,BD$3,実績!$AI$6:$AI$505,"&lt;="&amp;$A152,実績!$AJ$6:$AJ$505,"&gt;"&amp;$A152,実績!$AK$6:$AK$505,"○")&gt;0,1,0))</f>
        <v>0</v>
      </c>
      <c r="BE152" s="39" t="n">
        <f aca="false">IF(BE$4=0,0,IF(COUNTIFS(実績!$W$6:$W$505,BE$3,実績!$AI$6:$AI$505,"&lt;="&amp;$A152,実績!$AJ$6:$AJ$505,"&gt;"&amp;$A152,実績!$AK$6:$AK$505,"○")&gt;0,1,0))</f>
        <v>0</v>
      </c>
      <c r="BF152" s="39" t="n">
        <f aca="false">IF(BF$4=0,0,IF(COUNTIFS(実績!$W$6:$W$505,BF$3,実績!$AI$6:$AI$505,"&lt;="&amp;$A152,実績!$AJ$6:$AJ$505,"&gt;"&amp;$A152,実績!$AK$6:$AK$505,"○")&gt;0,1,0))</f>
        <v>0</v>
      </c>
      <c r="BG152" s="39" t="n">
        <f aca="false">IF(BG$4=0,0,IF(COUNTIFS(実績!$W$6:$W$505,BG$3,実績!$AI$6:$AI$505,"&lt;="&amp;$A152,実績!$AJ$6:$AJ$505,"&gt;"&amp;$A152,実績!$AK$6:$AK$505,"○")&gt;0,1,0))</f>
        <v>0</v>
      </c>
      <c r="BH152" s="39" t="n">
        <f aca="false">IF(BH$4=0,0,IF(COUNTIFS(実績!$W$6:$W$505,BH$3,実績!$AI$6:$AI$505,"&lt;="&amp;$A152,実績!$AJ$6:$AJ$505,"&gt;"&amp;$A152,実績!$AK$6:$AK$505,"○")&gt;0,1,0))</f>
        <v>0</v>
      </c>
      <c r="BI152" s="39" t="n">
        <f aca="false">IF(BI$4=0,0,IF(COUNTIFS(実績!$W$6:$W$505,BI$3,実績!$AI$6:$AI$505,"&lt;="&amp;$A152,実績!$AJ$6:$AJ$505,"&gt;"&amp;$A152,実績!$AK$6:$AK$505,"○")&gt;0,1,0))</f>
        <v>0</v>
      </c>
      <c r="BJ152" s="39" t="n">
        <f aca="false">IF(BJ$4=0,0,IF(COUNTIFS(実績!$W$6:$W$505,BJ$3,実績!$AI$6:$AI$505,"&lt;="&amp;$A152,実績!$AJ$6:$AJ$505,"&gt;"&amp;$A152,実績!$AK$6:$AK$505,"○")&gt;0,1,0))</f>
        <v>0</v>
      </c>
      <c r="BK152" s="39" t="n">
        <f aca="false">IF(BK$4=0,0,IF(COUNTIFS(実績!$W$6:$W$505,BK$3,実績!$AI$6:$AI$505,"&lt;="&amp;$A152,実績!$AJ$6:$AJ$505,"&gt;"&amp;$A152,実績!$AK$6:$AK$505,"○")&gt;0,1,0))</f>
        <v>0</v>
      </c>
      <c r="BL152" s="39" t="n">
        <f aca="false">IF(BL$4=0,0,IF(COUNTIFS(実績!$W$6:$W$505,BL$3,実績!$AI$6:$AI$505,"&lt;="&amp;$A152,実績!$AJ$6:$AJ$505,"&gt;"&amp;$A152,実績!$AK$6:$AK$505,"○")&gt;0,1,0))</f>
        <v>0</v>
      </c>
      <c r="BM152" s="39" t="n">
        <f aca="false">IF(BM$4=0,0,IF(COUNTIFS(実績!$W$6:$W$505,BM$3,実績!$AI$6:$AI$505,"&lt;="&amp;$A152,実績!$AJ$6:$AJ$505,"&gt;"&amp;$A152,実績!$AK$6:$AK$505,"○")&gt;0,1,0))</f>
        <v>0</v>
      </c>
      <c r="BN152" s="39" t="n">
        <f aca="false">IF(BN$4=0,0,IF(COUNTIFS(実績!$W$6:$W$505,BN$3,実績!$AI$6:$AI$505,"&lt;="&amp;$A152,実績!$AJ$6:$AJ$505,"&gt;"&amp;$A152,実績!$AK$6:$AK$505,"○")&gt;0,1,0))</f>
        <v>0</v>
      </c>
      <c r="BO152" s="39" t="n">
        <f aca="false">IF(BO$4=0,0,IF(COUNTIFS(実績!$W$6:$W$505,BO$3,実績!$AI$6:$AI$505,"&lt;="&amp;$A152,実績!$AJ$6:$AJ$505,"&gt;"&amp;$A152,実績!$AK$6:$AK$505,"○")&gt;0,1,0))</f>
        <v>0</v>
      </c>
      <c r="BP152" s="39" t="n">
        <f aca="false">IF(BP$4=0,0,IF(COUNTIFS(実績!$W$6:$W$505,BP$3,実績!$AI$6:$AI$505,"&lt;="&amp;$A152,実績!$AJ$6:$AJ$505,"&gt;"&amp;$A152,実績!$AK$6:$AK$505,"○")&gt;0,1,0))</f>
        <v>0</v>
      </c>
      <c r="BQ152" s="39" t="n">
        <f aca="false">IF(BQ$4=0,0,IF(COUNTIFS(実績!$W$6:$W$505,BQ$3,実績!$AI$6:$AI$505,"&lt;="&amp;$A152,実績!$AJ$6:$AJ$505,"&gt;"&amp;$A152,実績!$AK$6:$AK$505,"○")&gt;0,1,0))</f>
        <v>0</v>
      </c>
      <c r="BR152" s="39" t="n">
        <f aca="false">IF(BR$4=0,0,IF(COUNTIFS(実績!$W$6:$W$505,BR$3,実績!$AI$6:$AI$505,"&lt;="&amp;$A152,実績!$AJ$6:$AJ$505,"&gt;"&amp;$A152,実績!$AK$6:$AK$505,"○")&gt;0,1,0))</f>
        <v>0</v>
      </c>
      <c r="BS152" s="39" t="n">
        <f aca="false">IF(BS$4=0,0,IF(COUNTIFS(実績!$W$6:$W$505,BS$3,実績!$AI$6:$AI$505,"&lt;="&amp;$A152,実績!$AJ$6:$AJ$505,"&gt;"&amp;$A152,実績!$AK$6:$AK$505,"○")&gt;0,1,0))</f>
        <v>0</v>
      </c>
      <c r="BT152" s="39" t="n">
        <f aca="false">IF(BT$4=0,0,IF(COUNTIFS(実績!$W$6:$W$505,BT$3,実績!$AI$6:$AI$505,"&lt;="&amp;$A152,実績!$AJ$6:$AJ$505,"&gt;"&amp;$A152,実績!$AK$6:$AK$505,"○")&gt;0,1,0))</f>
        <v>0</v>
      </c>
      <c r="BU152" s="39" t="n">
        <f aca="false">IF(BU$4=0,0,IF(COUNTIFS(実績!$W$6:$W$505,BU$3,実績!$AI$6:$AI$505,"&lt;="&amp;$A152,実績!$AJ$6:$AJ$505,"&gt;"&amp;$A152,実績!$AK$6:$AK$505,"○")&gt;0,1,0))</f>
        <v>0</v>
      </c>
      <c r="BV152" s="39" t="n">
        <f aca="false">IF(BV$4=0,0,IF(COUNTIFS(実績!$W$6:$W$505,BV$3,実績!$AI$6:$AI$505,"&lt;="&amp;$A152,実績!$AJ$6:$AJ$505,"&gt;"&amp;$A152,実績!$AK$6:$AK$505,"○")&gt;0,1,0))</f>
        <v>0</v>
      </c>
      <c r="BW152" s="39" t="n">
        <f aca="false">IF(BW$4=0,0,IF(COUNTIFS(実績!$W$6:$W$505,BW$3,実績!$AI$6:$AI$505,"&lt;="&amp;$A152,実績!$AJ$6:$AJ$505,"&gt;"&amp;$A152,実績!$AK$6:$AK$505,"○")&gt;0,1,0))</f>
        <v>0</v>
      </c>
      <c r="BX152" s="39" t="n">
        <f aca="false">IF(BX$4=0,0,IF(COUNTIFS(実績!$W$6:$W$505,BX$3,実績!$AI$6:$AI$505,"&lt;="&amp;$A152,実績!$AJ$6:$AJ$505,"&gt;"&amp;$A152,実績!$AK$6:$AK$505,"○")&gt;0,1,0))</f>
        <v>0</v>
      </c>
      <c r="BY152" s="39" t="n">
        <f aca="false">IF(BY$4=0,0,IF(COUNTIFS(実績!$W$6:$W$505,BY$3,実績!$AI$6:$AI$505,"&lt;="&amp;$A152,実績!$AJ$6:$AJ$505,"&gt;"&amp;$A152,実績!$AK$6:$AK$505,"○")&gt;0,1,0))</f>
        <v>0</v>
      </c>
      <c r="BZ152" s="39" t="n">
        <f aca="false">IF(BZ$4=0,0,IF(COUNTIFS(実績!$W$6:$W$505,BZ$3,実績!$AI$6:$AI$505,"&lt;="&amp;$A152,実績!$AJ$6:$AJ$505,"&gt;"&amp;$A152,実績!$AK$6:$AK$505,"○")&gt;0,1,0))</f>
        <v>0</v>
      </c>
      <c r="CA152" s="39" t="n">
        <f aca="false">IF(CA$4=0,0,IF(COUNTIFS(実績!$W$6:$W$505,CA$3,実績!$AI$6:$AI$505,"&lt;="&amp;$A152,実績!$AJ$6:$AJ$505,"&gt;"&amp;$A152,実績!$AK$6:$AK$505,"○")&gt;0,1,0))</f>
        <v>0</v>
      </c>
      <c r="CB152" s="39" t="n">
        <f aca="false">IF(CB$4=0,0,IF(COUNTIFS(実績!$W$6:$W$505,CB$3,実績!$AI$6:$AI$505,"&lt;="&amp;$A152,実績!$AJ$6:$AJ$505,"&gt;"&amp;$A152,実績!$AK$6:$AK$505,"○")&gt;0,1,0))</f>
        <v>0</v>
      </c>
      <c r="CC152" s="39" t="n">
        <f aca="false">IF(CC$4=0,0,IF(COUNTIFS(実績!$W$6:$W$505,CC$3,実績!$AI$6:$AI$505,"&lt;="&amp;$A152,実績!$AJ$6:$AJ$505,"&gt;"&amp;$A152,実績!$AK$6:$AK$505,"○")&gt;0,1,0))</f>
        <v>0</v>
      </c>
      <c r="CD152" s="39" t="n">
        <f aca="false">IF(CD$4=0,0,IF(COUNTIFS(実績!$W$6:$W$505,CD$3,実績!$AI$6:$AI$505,"&lt;="&amp;$A152,実績!$AJ$6:$AJ$505,"&gt;"&amp;$A152,実績!$AK$6:$AK$505,"○")&gt;0,1,0))</f>
        <v>0</v>
      </c>
      <c r="CE152" s="39" t="n">
        <f aca="false">IF(CE$4=0,0,IF(COUNTIFS(実績!$W$6:$W$505,CE$3,実績!$AI$6:$AI$505,"&lt;="&amp;$A152,実績!$AJ$6:$AJ$505,"&gt;"&amp;$A152,実績!$AK$6:$AK$505,"○")&gt;0,1,0))</f>
        <v>0</v>
      </c>
      <c r="CF152" s="39" t="n">
        <f aca="false">IF(CF$4=0,0,IF(COUNTIFS(実績!$W$6:$W$505,CF$3,実績!$AI$6:$AI$505,"&lt;="&amp;$A152,実績!$AJ$6:$AJ$505,"&gt;"&amp;$A152,実績!$AK$6:$AK$505,"○")&gt;0,1,0))</f>
        <v>0</v>
      </c>
      <c r="CG152" s="39" t="n">
        <f aca="false">IF(CG$4=0,0,IF(COUNTIFS(実績!$W$6:$W$505,CG$3,実績!$AI$6:$AI$505,"&lt;="&amp;$A152,実績!$AJ$6:$AJ$505,"&gt;"&amp;$A152,実績!$AK$6:$AK$505,"○")&gt;0,1,0))</f>
        <v>0</v>
      </c>
      <c r="CH152" s="39" t="n">
        <f aca="false">IF(CH$4=0,0,IF(COUNTIFS(実績!$W$6:$W$505,CH$3,実績!$AI$6:$AI$505,"&lt;="&amp;$A152,実績!$AJ$6:$AJ$505,"&gt;"&amp;$A152,実績!$AK$6:$AK$505,"○")&gt;0,1,0))</f>
        <v>0</v>
      </c>
      <c r="CI152" s="39" t="n">
        <f aca="false">IF(CI$4=0,0,IF(COUNTIFS(実績!$W$6:$W$505,CI$3,実績!$AI$6:$AI$505,"&lt;="&amp;$A152,実績!$AJ$6:$AJ$505,"&gt;"&amp;$A152,実績!$AK$6:$AK$505,"○")&gt;0,1,0))</f>
        <v>0</v>
      </c>
      <c r="CJ152" s="39" t="n">
        <f aca="false">IF(CJ$4=0,0,IF(COUNTIFS(実績!$W$6:$W$505,CJ$3,実績!$AI$6:$AI$505,"&lt;="&amp;$A152,実績!$AJ$6:$AJ$505,"&gt;"&amp;$A152,実績!$AK$6:$AK$505,"○")&gt;0,1,0))</f>
        <v>0</v>
      </c>
      <c r="CK152" s="39" t="n">
        <f aca="false">IF(CK$4=0,0,IF(COUNTIFS(実績!$W$6:$W$505,CK$3,実績!$AI$6:$AI$505,"&lt;="&amp;$A152,実績!$AJ$6:$AJ$505,"&gt;"&amp;$A152,実績!$AK$6:$AK$505,"○")&gt;0,1,0))</f>
        <v>0</v>
      </c>
      <c r="CL152" s="39" t="n">
        <f aca="false">IF(CL$4=0,0,IF(COUNTIFS(実績!$W$6:$W$505,CL$3,実績!$AI$6:$AI$505,"&lt;="&amp;$A152,実績!$AJ$6:$AJ$505,"&gt;"&amp;$A152,実績!$AK$6:$AK$505,"○")&gt;0,1,0))</f>
        <v>0</v>
      </c>
      <c r="CM152" s="39" t="n">
        <f aca="false">IF(CM$4=0,0,IF(COUNTIFS(実績!$W$6:$W$505,CM$3,実績!$AI$6:$AI$505,"&lt;="&amp;$A152,実績!$AJ$6:$AJ$505,"&gt;"&amp;$A152,実績!$AK$6:$AK$505,"○")&gt;0,1,0))</f>
        <v>0</v>
      </c>
      <c r="CN152" s="39" t="n">
        <f aca="false">IF(CN$4=0,0,IF(COUNTIFS(実績!$W$6:$W$505,CN$3,実績!$AI$6:$AI$505,"&lt;="&amp;$A152,実績!$AJ$6:$AJ$505,"&gt;"&amp;$A152,実績!$AK$6:$AK$505,"○")&gt;0,1,0))</f>
        <v>0</v>
      </c>
      <c r="CO152" s="39" t="n">
        <f aca="false">IF(CO$4=0,0,IF(COUNTIFS(実績!$W$6:$W$505,CO$3,実績!$AI$6:$AI$505,"&lt;="&amp;$A152,実績!$AJ$6:$AJ$505,"&gt;"&amp;$A152,実績!$AK$6:$AK$505,"○")&gt;0,1,0))</f>
        <v>0</v>
      </c>
      <c r="CP152" s="39" t="n">
        <f aca="false">IF(CP$4=0,0,IF(COUNTIFS(実績!$W$6:$W$505,CP$3,実績!$AI$6:$AI$505,"&lt;="&amp;$A152,実績!$AJ$6:$AJ$505,"&gt;"&amp;$A152,実績!$AK$6:$AK$505,"○")&gt;0,1,0))</f>
        <v>0</v>
      </c>
      <c r="CQ152" s="39" t="n">
        <f aca="false">IF(CQ$4=0,0,IF(COUNTIFS(実績!$W$6:$W$505,CQ$3,実績!$AI$6:$AI$505,"&lt;="&amp;$A152,実績!$AJ$6:$AJ$505,"&gt;"&amp;$A152,実績!$AK$6:$AK$505,"○")&gt;0,1,0))</f>
        <v>0</v>
      </c>
      <c r="CR152" s="39" t="n">
        <f aca="false">IF(CR$4=0,0,IF(COUNTIFS(実績!$W$6:$W$505,CR$3,実績!$AI$6:$AI$505,"&lt;="&amp;$A152,実績!$AJ$6:$AJ$505,"&gt;"&amp;$A152,実績!$AK$6:$AK$505,"○")&gt;0,1,0))</f>
        <v>0</v>
      </c>
      <c r="CS152" s="39" t="n">
        <f aca="false">IF(CS$4=0,0,IF(COUNTIFS(実績!$W$6:$W$505,CS$3,実績!$AI$6:$AI$505,"&lt;="&amp;$A152,実績!$AJ$6:$AJ$505,"&gt;"&amp;$A152,実績!$AK$6:$AK$505,"○")&gt;0,1,0))</f>
        <v>0</v>
      </c>
      <c r="CT152" s="39" t="n">
        <f aca="false">IF(CT$4=0,0,IF(COUNTIFS(実績!$W$6:$W$505,CT$3,実績!$AI$6:$AI$505,"&lt;="&amp;$A152,実績!$AJ$6:$AJ$505,"&gt;"&amp;$A152,実績!$AK$6:$AK$505,"○")&gt;0,1,0))</f>
        <v>0</v>
      </c>
      <c r="CU152" s="39" t="n">
        <f aca="false">IF(CU$4=0,0,IF(COUNTIFS(実績!$W$6:$W$505,CU$3,実績!$AI$6:$AI$505,"&lt;="&amp;$A152,実績!$AJ$6:$AJ$505,"&gt;"&amp;$A152,実績!$AK$6:$AK$505,"○")&gt;0,1,0))</f>
        <v>0</v>
      </c>
      <c r="CV152" s="39" t="n">
        <f aca="false">IF(CV$4=0,0,IF(COUNTIFS(実績!$W$6:$W$505,CV$3,実績!$AI$6:$AI$505,"&lt;="&amp;$A152,実績!$AJ$6:$AJ$505,"&gt;"&amp;$A152,実績!$AK$6:$AK$505,"○")&gt;0,1,0))</f>
        <v>0</v>
      </c>
      <c r="CW152" s="39" t="n">
        <f aca="false">IF(CW$4=0,0,IF(COUNTIFS(実績!$W$6:$W$505,CW$3,実績!$AI$6:$AI$505,"&lt;="&amp;$A152,実績!$AJ$6:$AJ$505,"&gt;"&amp;$A152,実績!$AK$6:$AK$505,"○")&gt;0,1,0))</f>
        <v>0</v>
      </c>
      <c r="CX152" s="39" t="n">
        <f aca="false">IF(CX$4=0,0,IF(COUNTIFS(実績!$W$6:$W$505,CX$3,実績!$AI$6:$AI$505,"&lt;="&amp;$A152,実績!$AJ$6:$AJ$505,"&gt;"&amp;$A152,実績!$AK$6:$AK$505,"○")&gt;0,1,0))</f>
        <v>0</v>
      </c>
      <c r="CY152" s="39" t="n">
        <f aca="false">IF(CY$4=0,0,IF(COUNTIFS(実績!$W$6:$W$505,CY$3,実績!$AI$6:$AI$505,"&lt;="&amp;$A152,実績!$AJ$6:$AJ$505,"&gt;"&amp;$A152,実績!$AK$6:$AK$505,"○")&gt;0,1,0))</f>
        <v>0</v>
      </c>
      <c r="CZ152" s="39" t="n">
        <f aca="false">IF(CZ$4=0,0,IF(COUNTIFS(実績!$W$6:$W$505,CZ$3,実績!$AI$6:$AI$505,"&lt;="&amp;$A152,実績!$AJ$6:$AJ$505,"&gt;"&amp;$A152,実績!$AK$6:$AK$505,"○")&gt;0,1,0))</f>
        <v>0</v>
      </c>
      <c r="DA152" s="39" t="n">
        <f aca="false">IF(DA$4=0,0,IF(COUNTIFS(実績!$W$6:$W$505,DA$3,実績!$AI$6:$AI$505,"&lt;="&amp;$A152,実績!$AJ$6:$AJ$505,"&gt;"&amp;$A152,実績!$AK$6:$AK$505,"○")&gt;0,1,0))</f>
        <v>0</v>
      </c>
      <c r="DB152" s="39" t="n">
        <f aca="false">IF(DB$4=0,0,IF(COUNTIFS(実績!$W$6:$W$505,DB$3,実績!$AI$6:$AI$505,"&lt;="&amp;$A152,実績!$AJ$6:$AJ$505,"&gt;"&amp;$A152,実績!$AK$6:$AK$505,"○")&gt;0,1,0))</f>
        <v>0</v>
      </c>
      <c r="DC152" s="39" t="n">
        <f aca="false">IF(DC$4=0,0,IF(COUNTIFS(実績!$W$6:$W$505,DC$3,実績!$AI$6:$AI$505,"&lt;="&amp;$A152,実績!$AJ$6:$AJ$505,"&gt;"&amp;$A152,実績!$AK$6:$AK$505,"○")&gt;0,1,0))</f>
        <v>0</v>
      </c>
      <c r="DD152" s="39" t="n">
        <f aca="false">IF(DD$4=0,0,IF(COUNTIFS(実績!$W$6:$W$505,DD$3,実績!$AI$6:$AI$505,"&lt;="&amp;$A152,実績!$AJ$6:$AJ$505,"&gt;"&amp;$A152,実績!$AK$6:$AK$505,"○")&gt;0,1,0))</f>
        <v>0</v>
      </c>
      <c r="DE152" s="39" t="n">
        <f aca="false">IF(DE$4=0,0,IF(COUNTIFS(実績!$W$6:$W$505,DE$3,実績!$AI$6:$AI$505,"&lt;="&amp;$A152,実績!$AJ$6:$AJ$505,"&gt;"&amp;$A152,実績!$AK$6:$AK$505,"○")&gt;0,1,0))</f>
        <v>0</v>
      </c>
      <c r="DF152" s="39" t="n">
        <f aca="false">IF(DF$4=0,0,IF(COUNTIFS(実績!$W$6:$W$505,DF$3,実績!$AI$6:$AI$505,"&lt;="&amp;$A152,実績!$AJ$6:$AJ$505,"&gt;"&amp;$A152,実績!$AK$6:$AK$505,"○")&gt;0,1,0))</f>
        <v>0</v>
      </c>
      <c r="DG152" s="39" t="n">
        <f aca="false">IF(DG$4=0,0,IF(COUNTIFS(実績!$W$6:$W$505,DG$3,実績!$AI$6:$AI$505,"&lt;="&amp;$A152,実績!$AJ$6:$AJ$505,"&gt;"&amp;$A152,実績!$AK$6:$AK$505,"○")&gt;0,1,0))</f>
        <v>0</v>
      </c>
      <c r="DH152" s="39" t="n">
        <f aca="false">IF(DH$4=0,0,IF(COUNTIFS(実績!$W$6:$W$505,DH$3,実績!$AI$6:$AI$505,"&lt;="&amp;$A152,実績!$AJ$6:$AJ$505,"&gt;"&amp;$A152,実績!$AK$6:$AK$505,"○")&gt;0,1,0))</f>
        <v>0</v>
      </c>
      <c r="DI152" s="39" t="n">
        <f aca="false">IF(DI$4=0,0,IF(COUNTIFS(実績!$W$6:$W$505,DI$3,実績!$AI$6:$AI$505,"&lt;="&amp;$A152,実績!$AJ$6:$AJ$505,"&gt;"&amp;$A152,実績!$AK$6:$AK$505,"○")&gt;0,1,0))</f>
        <v>0</v>
      </c>
      <c r="DJ152" s="39" t="n">
        <f aca="false">IF(DJ$4=0,0,IF(COUNTIFS(実績!$W$6:$W$505,DJ$3,実績!$AI$6:$AI$505,"&lt;="&amp;$A152,実績!$AJ$6:$AJ$505,"&gt;"&amp;$A152,実績!$AK$6:$AK$505,"○")&gt;0,1,0))</f>
        <v>0</v>
      </c>
      <c r="DK152" s="39" t="n">
        <f aca="false">IF(DK$4=0,0,IF(COUNTIFS(実績!$W$6:$W$505,DK$3,実績!$AI$6:$AI$505,"&lt;="&amp;$A152,実績!$AJ$6:$AJ$505,"&gt;"&amp;$A152,実績!$AK$6:$AK$505,"○")&gt;0,1,0))</f>
        <v>0</v>
      </c>
      <c r="DL152" s="39" t="n">
        <f aca="false">IF(DL$4=0,0,IF(COUNTIFS(実績!$W$6:$W$505,DL$3,実績!$AI$6:$AI$505,"&lt;="&amp;$A152,実績!$AJ$6:$AJ$505,"&gt;"&amp;$A152,実績!$AK$6:$AK$505,"○")&gt;0,1,0))</f>
        <v>0</v>
      </c>
      <c r="DM152" s="39" t="n">
        <f aca="false">IF(DM$4=0,0,IF(COUNTIFS(実績!$W$6:$W$505,DM$3,実績!$AI$6:$AI$505,"&lt;="&amp;$A152,実績!$AJ$6:$AJ$505,"&gt;"&amp;$A152,実績!$AK$6:$AK$505,"○")&gt;0,1,0))</f>
        <v>0</v>
      </c>
      <c r="DN152" s="39" t="n">
        <f aca="false">IF(DN$4=0,0,IF(COUNTIFS(実績!$W$6:$W$505,DN$3,実績!$AI$6:$AI$505,"&lt;="&amp;$A152,実績!$AJ$6:$AJ$505,"&gt;"&amp;$A152,実績!$AK$6:$AK$505,"○")&gt;0,1,0))</f>
        <v>0</v>
      </c>
      <c r="DO152" s="39" t="n">
        <f aca="false">IF(DO$4=0,0,IF(COUNTIFS(実績!$W$6:$W$505,DO$3,実績!$AI$6:$AI$505,"&lt;="&amp;$A152,実績!$AJ$6:$AJ$505,"&gt;"&amp;$A152,実績!$AK$6:$AK$505,"○")&gt;0,1,0))</f>
        <v>0</v>
      </c>
      <c r="DP152" s="39" t="n">
        <f aca="false">IF(DP$4=0,0,IF(COUNTIFS(実績!$W$6:$W$505,DP$3,実績!$AI$6:$AI$505,"&lt;="&amp;$A152,実績!$AJ$6:$AJ$505,"&gt;"&amp;$A152,実績!$AK$6:$AK$505,"○")&gt;0,1,0))</f>
        <v>0</v>
      </c>
      <c r="DQ152" s="39" t="n">
        <f aca="false">IF(DQ$4=0,0,IF(COUNTIFS(実績!$W$6:$W$505,DQ$3,実績!$AI$6:$AI$505,"&lt;="&amp;$A152,実績!$AJ$6:$AJ$505,"&gt;"&amp;$A152,実績!$AK$6:$AK$505,"○")&gt;0,1,0))</f>
        <v>0</v>
      </c>
      <c r="DR152" s="39" t="n">
        <f aca="false">IF(DR$4=0,0,IF(COUNTIFS(実績!$W$6:$W$505,DR$3,実績!$AI$6:$AI$505,"&lt;="&amp;$A152,実績!$AJ$6:$AJ$505,"&gt;"&amp;$A152,実績!$AK$6:$AK$505,"○")&gt;0,1,0))</f>
        <v>0</v>
      </c>
      <c r="DS152" s="39" t="n">
        <f aca="false">SUM(C152:DR152)</f>
        <v>0</v>
      </c>
      <c r="DT152" s="39" t="n">
        <f aca="false">SUMPRODUCT((実績!$C$6:$C$505="○")*ISNUMBER(実績!$AM$6:$AM$505)*(実績!$AM$6:$AM$505&lt;=$A152)*(実績!$AN$6:$AN$505&gt;$A152))</f>
        <v>0</v>
      </c>
      <c r="DU152" s="39" t="n">
        <f aca="false">SUMIF($C$2:$DR$2,"製鉄曳船",C152:DR152)</f>
        <v>0</v>
      </c>
      <c r="DV152" s="39" t="n">
        <f aca="false">SUMIF($C$2:$DR$2,"西日本海運",C152:DR152)</f>
        <v>0</v>
      </c>
    </row>
    <row r="153" customFormat="false" ht="15" hidden="false" customHeight="false" outlineLevel="0" collapsed="false">
      <c r="A153" s="0" t="n">
        <v>735</v>
      </c>
      <c r="B153" s="38" t="n">
        <f aca="false">A153/1440</f>
        <v>0.510416666666667</v>
      </c>
      <c r="C153" s="39" t="n">
        <f aca="false">IF(C$4=0,0,IF(COUNTIFS(実績!$W$6:$W$505,C$3,実績!$AI$6:$AI$505,"&lt;="&amp;$A153,実績!$AJ$6:$AJ$505,"&gt;"&amp;$A153,実績!$AK$6:$AK$505,"○")&gt;0,1,0))</f>
        <v>0</v>
      </c>
      <c r="D153" s="39" t="n">
        <f aca="false">IF(D$4=0,0,IF(COUNTIFS(実績!$W$6:$W$505,D$3,実績!$AI$6:$AI$505,"&lt;="&amp;$A153,実績!$AJ$6:$AJ$505,"&gt;"&amp;$A153,実績!$AK$6:$AK$505,"○")&gt;0,1,0))</f>
        <v>0</v>
      </c>
      <c r="E153" s="39" t="n">
        <f aca="false">IF(E$4=0,0,IF(COUNTIFS(実績!$W$6:$W$505,E$3,実績!$AI$6:$AI$505,"&lt;="&amp;$A153,実績!$AJ$6:$AJ$505,"&gt;"&amp;$A153,実績!$AK$6:$AK$505,"○")&gt;0,1,0))</f>
        <v>0</v>
      </c>
      <c r="F153" s="39" t="n">
        <f aca="false">IF(F$4=0,0,IF(COUNTIFS(実績!$W$6:$W$505,F$3,実績!$AI$6:$AI$505,"&lt;="&amp;$A153,実績!$AJ$6:$AJ$505,"&gt;"&amp;$A153,実績!$AK$6:$AK$505,"○")&gt;0,1,0))</f>
        <v>0</v>
      </c>
      <c r="G153" s="39" t="n">
        <f aca="false">IF(G$4=0,0,IF(COUNTIFS(実績!$W$6:$W$505,G$3,実績!$AI$6:$AI$505,"&lt;="&amp;$A153,実績!$AJ$6:$AJ$505,"&gt;"&amp;$A153,実績!$AK$6:$AK$505,"○")&gt;0,1,0))</f>
        <v>0</v>
      </c>
      <c r="H153" s="39" t="n">
        <f aca="false">IF(H$4=0,0,IF(COUNTIFS(実績!$W$6:$W$505,H$3,実績!$AI$6:$AI$505,"&lt;="&amp;$A153,実績!$AJ$6:$AJ$505,"&gt;"&amp;$A153,実績!$AK$6:$AK$505,"○")&gt;0,1,0))</f>
        <v>0</v>
      </c>
      <c r="I153" s="39" t="n">
        <f aca="false">IF(I$4=0,0,IF(COUNTIFS(実績!$W$6:$W$505,I$3,実績!$AI$6:$AI$505,"&lt;="&amp;$A153,実績!$AJ$6:$AJ$505,"&gt;"&amp;$A153,実績!$AK$6:$AK$505,"○")&gt;0,1,0))</f>
        <v>0</v>
      </c>
      <c r="J153" s="39" t="n">
        <f aca="false">IF(J$4=0,0,IF(COUNTIFS(実績!$W$6:$W$505,J$3,実績!$AI$6:$AI$505,"&lt;="&amp;$A153,実績!$AJ$6:$AJ$505,"&gt;"&amp;$A153,実績!$AK$6:$AK$505,"○")&gt;0,1,0))</f>
        <v>0</v>
      </c>
      <c r="K153" s="39" t="n">
        <f aca="false">IF(K$4=0,0,IF(COUNTIFS(実績!$W$6:$W$505,K$3,実績!$AI$6:$AI$505,"&lt;="&amp;$A153,実績!$AJ$6:$AJ$505,"&gt;"&amp;$A153,実績!$AK$6:$AK$505,"○")&gt;0,1,0))</f>
        <v>0</v>
      </c>
      <c r="L153" s="39" t="n">
        <f aca="false">IF(L$4=0,0,IF(COUNTIFS(実績!$W$6:$W$505,L$3,実績!$AI$6:$AI$505,"&lt;="&amp;$A153,実績!$AJ$6:$AJ$505,"&gt;"&amp;$A153,実績!$AK$6:$AK$505,"○")&gt;0,1,0))</f>
        <v>0</v>
      </c>
      <c r="M153" s="39" t="n">
        <f aca="false">IF(M$4=0,0,IF(COUNTIFS(実績!$W$6:$W$505,M$3,実績!$AI$6:$AI$505,"&lt;="&amp;$A153,実績!$AJ$6:$AJ$505,"&gt;"&amp;$A153,実績!$AK$6:$AK$505,"○")&gt;0,1,0))</f>
        <v>0</v>
      </c>
      <c r="N153" s="39" t="n">
        <f aca="false">IF(N$4=0,0,IF(COUNTIFS(実績!$W$6:$W$505,N$3,実績!$AI$6:$AI$505,"&lt;="&amp;$A153,実績!$AJ$6:$AJ$505,"&gt;"&amp;$A153,実績!$AK$6:$AK$505,"○")&gt;0,1,0))</f>
        <v>0</v>
      </c>
      <c r="O153" s="39" t="n">
        <f aca="false">IF(O$4=0,0,IF(COUNTIFS(実績!$W$6:$W$505,O$3,実績!$AI$6:$AI$505,"&lt;="&amp;$A153,実績!$AJ$6:$AJ$505,"&gt;"&amp;$A153,実績!$AK$6:$AK$505,"○")&gt;0,1,0))</f>
        <v>0</v>
      </c>
      <c r="P153" s="39" t="n">
        <f aca="false">IF(P$4=0,0,IF(COUNTIFS(実績!$W$6:$W$505,P$3,実績!$AI$6:$AI$505,"&lt;="&amp;$A153,実績!$AJ$6:$AJ$505,"&gt;"&amp;$A153,実績!$AK$6:$AK$505,"○")&gt;0,1,0))</f>
        <v>0</v>
      </c>
      <c r="Q153" s="39" t="n">
        <f aca="false">IF(Q$4=0,0,IF(COUNTIFS(実績!$W$6:$W$505,Q$3,実績!$AI$6:$AI$505,"&lt;="&amp;$A153,実績!$AJ$6:$AJ$505,"&gt;"&amp;$A153,実績!$AK$6:$AK$505,"○")&gt;0,1,0))</f>
        <v>0</v>
      </c>
      <c r="R153" s="39" t="n">
        <f aca="false">IF(R$4=0,0,IF(COUNTIFS(実績!$W$6:$W$505,R$3,実績!$AI$6:$AI$505,"&lt;="&amp;$A153,実績!$AJ$6:$AJ$505,"&gt;"&amp;$A153,実績!$AK$6:$AK$505,"○")&gt;0,1,0))</f>
        <v>0</v>
      </c>
      <c r="S153" s="39" t="n">
        <f aca="false">IF(S$4=0,0,IF(COUNTIFS(実績!$W$6:$W$505,S$3,実績!$AI$6:$AI$505,"&lt;="&amp;$A153,実績!$AJ$6:$AJ$505,"&gt;"&amp;$A153,実績!$AK$6:$AK$505,"○")&gt;0,1,0))</f>
        <v>0</v>
      </c>
      <c r="T153" s="39" t="n">
        <f aca="false">IF(T$4=0,0,IF(COUNTIFS(実績!$W$6:$W$505,T$3,実績!$AI$6:$AI$505,"&lt;="&amp;$A153,実績!$AJ$6:$AJ$505,"&gt;"&amp;$A153,実績!$AK$6:$AK$505,"○")&gt;0,1,0))</f>
        <v>0</v>
      </c>
      <c r="U153" s="39" t="n">
        <f aca="false">IF(U$4=0,0,IF(COUNTIFS(実績!$W$6:$W$505,U$3,実績!$AI$6:$AI$505,"&lt;="&amp;$A153,実績!$AJ$6:$AJ$505,"&gt;"&amp;$A153,実績!$AK$6:$AK$505,"○")&gt;0,1,0))</f>
        <v>0</v>
      </c>
      <c r="V153" s="39" t="n">
        <f aca="false">IF(V$4=0,0,IF(COUNTIFS(実績!$W$6:$W$505,V$3,実績!$AI$6:$AI$505,"&lt;="&amp;$A153,実績!$AJ$6:$AJ$505,"&gt;"&amp;$A153,実績!$AK$6:$AK$505,"○")&gt;0,1,0))</f>
        <v>0</v>
      </c>
      <c r="W153" s="39" t="n">
        <f aca="false">IF(W$4=0,0,IF(COUNTIFS(実績!$W$6:$W$505,W$3,実績!$AI$6:$AI$505,"&lt;="&amp;$A153,実績!$AJ$6:$AJ$505,"&gt;"&amp;$A153,実績!$AK$6:$AK$505,"○")&gt;0,1,0))</f>
        <v>0</v>
      </c>
      <c r="X153" s="39" t="n">
        <f aca="false">IF(X$4=0,0,IF(COUNTIFS(実績!$W$6:$W$505,X$3,実績!$AI$6:$AI$505,"&lt;="&amp;$A153,実績!$AJ$6:$AJ$505,"&gt;"&amp;$A153,実績!$AK$6:$AK$505,"○")&gt;0,1,0))</f>
        <v>0</v>
      </c>
      <c r="Y153" s="39" t="n">
        <f aca="false">IF(Y$4=0,0,IF(COUNTIFS(実績!$W$6:$W$505,Y$3,実績!$AI$6:$AI$505,"&lt;="&amp;$A153,実績!$AJ$6:$AJ$505,"&gt;"&amp;$A153,実績!$AK$6:$AK$505,"○")&gt;0,1,0))</f>
        <v>0</v>
      </c>
      <c r="Z153" s="39" t="n">
        <f aca="false">IF(Z$4=0,0,IF(COUNTIFS(実績!$W$6:$W$505,Z$3,実績!$AI$6:$AI$505,"&lt;="&amp;$A153,実績!$AJ$6:$AJ$505,"&gt;"&amp;$A153,実績!$AK$6:$AK$505,"○")&gt;0,1,0))</f>
        <v>0</v>
      </c>
      <c r="AA153" s="39" t="n">
        <f aca="false">IF(AA$4=0,0,IF(COUNTIFS(実績!$W$6:$W$505,AA$3,実績!$AI$6:$AI$505,"&lt;="&amp;$A153,実績!$AJ$6:$AJ$505,"&gt;"&amp;$A153,実績!$AK$6:$AK$505,"○")&gt;0,1,0))</f>
        <v>0</v>
      </c>
      <c r="AB153" s="39" t="n">
        <f aca="false">IF(AB$4=0,0,IF(COUNTIFS(実績!$W$6:$W$505,AB$3,実績!$AI$6:$AI$505,"&lt;="&amp;$A153,実績!$AJ$6:$AJ$505,"&gt;"&amp;$A153,実績!$AK$6:$AK$505,"○")&gt;0,1,0))</f>
        <v>0</v>
      </c>
      <c r="AC153" s="39" t="n">
        <f aca="false">IF(AC$4=0,0,IF(COUNTIFS(実績!$W$6:$W$505,AC$3,実績!$AI$6:$AI$505,"&lt;="&amp;$A153,実績!$AJ$6:$AJ$505,"&gt;"&amp;$A153,実績!$AK$6:$AK$505,"○")&gt;0,1,0))</f>
        <v>0</v>
      </c>
      <c r="AD153" s="39" t="n">
        <f aca="false">IF(AD$4=0,0,IF(COUNTIFS(実績!$W$6:$W$505,AD$3,実績!$AI$6:$AI$505,"&lt;="&amp;$A153,実績!$AJ$6:$AJ$505,"&gt;"&amp;$A153,実績!$AK$6:$AK$505,"○")&gt;0,1,0))</f>
        <v>0</v>
      </c>
      <c r="AE153" s="39" t="n">
        <f aca="false">IF(AE$4=0,0,IF(COUNTIFS(実績!$W$6:$W$505,AE$3,実績!$AI$6:$AI$505,"&lt;="&amp;$A153,実績!$AJ$6:$AJ$505,"&gt;"&amp;$A153,実績!$AK$6:$AK$505,"○")&gt;0,1,0))</f>
        <v>0</v>
      </c>
      <c r="AF153" s="39" t="n">
        <f aca="false">IF(AF$4=0,0,IF(COUNTIFS(実績!$W$6:$W$505,AF$3,実績!$AI$6:$AI$505,"&lt;="&amp;$A153,実績!$AJ$6:$AJ$505,"&gt;"&amp;$A153,実績!$AK$6:$AK$505,"○")&gt;0,1,0))</f>
        <v>0</v>
      </c>
      <c r="AG153" s="39" t="n">
        <f aca="false">IF(AG$4=0,0,IF(COUNTIFS(実績!$W$6:$W$505,AG$3,実績!$AI$6:$AI$505,"&lt;="&amp;$A153,実績!$AJ$6:$AJ$505,"&gt;"&amp;$A153,実績!$AK$6:$AK$505,"○")&gt;0,1,0))</f>
        <v>0</v>
      </c>
      <c r="AH153" s="39" t="n">
        <f aca="false">IF(AH$4=0,0,IF(COUNTIFS(実績!$W$6:$W$505,AH$3,実績!$AI$6:$AI$505,"&lt;="&amp;$A153,実績!$AJ$6:$AJ$505,"&gt;"&amp;$A153,実績!$AK$6:$AK$505,"○")&gt;0,1,0))</f>
        <v>0</v>
      </c>
      <c r="AI153" s="39" t="n">
        <f aca="false">IF(AI$4=0,0,IF(COUNTIFS(実績!$W$6:$W$505,AI$3,実績!$AI$6:$AI$505,"&lt;="&amp;$A153,実績!$AJ$6:$AJ$505,"&gt;"&amp;$A153,実績!$AK$6:$AK$505,"○")&gt;0,1,0))</f>
        <v>0</v>
      </c>
      <c r="AJ153" s="39" t="n">
        <f aca="false">IF(AJ$4=0,0,IF(COUNTIFS(実績!$W$6:$W$505,AJ$3,実績!$AI$6:$AI$505,"&lt;="&amp;$A153,実績!$AJ$6:$AJ$505,"&gt;"&amp;$A153,実績!$AK$6:$AK$505,"○")&gt;0,1,0))</f>
        <v>0</v>
      </c>
      <c r="AK153" s="39" t="n">
        <f aca="false">IF(AK$4=0,0,IF(COUNTIFS(実績!$W$6:$W$505,AK$3,実績!$AI$6:$AI$505,"&lt;="&amp;$A153,実績!$AJ$6:$AJ$505,"&gt;"&amp;$A153,実績!$AK$6:$AK$505,"○")&gt;0,1,0))</f>
        <v>0</v>
      </c>
      <c r="AL153" s="39" t="n">
        <f aca="false">IF(AL$4=0,0,IF(COUNTIFS(実績!$W$6:$W$505,AL$3,実績!$AI$6:$AI$505,"&lt;="&amp;$A153,実績!$AJ$6:$AJ$505,"&gt;"&amp;$A153,実績!$AK$6:$AK$505,"○")&gt;0,1,0))</f>
        <v>0</v>
      </c>
      <c r="AM153" s="39" t="n">
        <f aca="false">IF(AM$4=0,0,IF(COUNTIFS(実績!$W$6:$W$505,AM$3,実績!$AI$6:$AI$505,"&lt;="&amp;$A153,実績!$AJ$6:$AJ$505,"&gt;"&amp;$A153,実績!$AK$6:$AK$505,"○")&gt;0,1,0))</f>
        <v>0</v>
      </c>
      <c r="AN153" s="39" t="n">
        <f aca="false">IF(AN$4=0,0,IF(COUNTIFS(実績!$W$6:$W$505,AN$3,実績!$AI$6:$AI$505,"&lt;="&amp;$A153,実績!$AJ$6:$AJ$505,"&gt;"&amp;$A153,実績!$AK$6:$AK$505,"○")&gt;0,1,0))</f>
        <v>0</v>
      </c>
      <c r="AO153" s="39" t="n">
        <f aca="false">IF(AO$4=0,0,IF(COUNTIFS(実績!$W$6:$W$505,AO$3,実績!$AI$6:$AI$505,"&lt;="&amp;$A153,実績!$AJ$6:$AJ$505,"&gt;"&amp;$A153,実績!$AK$6:$AK$505,"○")&gt;0,1,0))</f>
        <v>0</v>
      </c>
      <c r="AP153" s="39" t="n">
        <f aca="false">IF(AP$4=0,0,IF(COUNTIFS(実績!$W$6:$W$505,AP$3,実績!$AI$6:$AI$505,"&lt;="&amp;$A153,実績!$AJ$6:$AJ$505,"&gt;"&amp;$A153,実績!$AK$6:$AK$505,"○")&gt;0,1,0))</f>
        <v>0</v>
      </c>
      <c r="AQ153" s="39" t="n">
        <f aca="false">IF(AQ$4=0,0,IF(COUNTIFS(実績!$W$6:$W$505,AQ$3,実績!$AI$6:$AI$505,"&lt;="&amp;$A153,実績!$AJ$6:$AJ$505,"&gt;"&amp;$A153,実績!$AK$6:$AK$505,"○")&gt;0,1,0))</f>
        <v>0</v>
      </c>
      <c r="AR153" s="39" t="n">
        <f aca="false">IF(AR$4=0,0,IF(COUNTIFS(実績!$W$6:$W$505,AR$3,実績!$AI$6:$AI$505,"&lt;="&amp;$A153,実績!$AJ$6:$AJ$505,"&gt;"&amp;$A153,実績!$AK$6:$AK$505,"○")&gt;0,1,0))</f>
        <v>0</v>
      </c>
      <c r="AS153" s="39" t="n">
        <f aca="false">IF(AS$4=0,0,IF(COUNTIFS(実績!$W$6:$W$505,AS$3,実績!$AI$6:$AI$505,"&lt;="&amp;$A153,実績!$AJ$6:$AJ$505,"&gt;"&amp;$A153,実績!$AK$6:$AK$505,"○")&gt;0,1,0))</f>
        <v>0</v>
      </c>
      <c r="AT153" s="39" t="n">
        <f aca="false">IF(AT$4=0,0,IF(COUNTIFS(実績!$W$6:$W$505,AT$3,実績!$AI$6:$AI$505,"&lt;="&amp;$A153,実績!$AJ$6:$AJ$505,"&gt;"&amp;$A153,実績!$AK$6:$AK$505,"○")&gt;0,1,0))</f>
        <v>0</v>
      </c>
      <c r="AU153" s="39" t="n">
        <f aca="false">IF(AU$4=0,0,IF(COUNTIFS(実績!$W$6:$W$505,AU$3,実績!$AI$6:$AI$505,"&lt;="&amp;$A153,実績!$AJ$6:$AJ$505,"&gt;"&amp;$A153,実績!$AK$6:$AK$505,"○")&gt;0,1,0))</f>
        <v>0</v>
      </c>
      <c r="AV153" s="39" t="n">
        <f aca="false">IF(AV$4=0,0,IF(COUNTIFS(実績!$W$6:$W$505,AV$3,実績!$AI$6:$AI$505,"&lt;="&amp;$A153,実績!$AJ$6:$AJ$505,"&gt;"&amp;$A153,実績!$AK$6:$AK$505,"○")&gt;0,1,0))</f>
        <v>0</v>
      </c>
      <c r="AW153" s="39" t="n">
        <f aca="false">IF(AW$4=0,0,IF(COUNTIFS(実績!$W$6:$W$505,AW$3,実績!$AI$6:$AI$505,"&lt;="&amp;$A153,実績!$AJ$6:$AJ$505,"&gt;"&amp;$A153,実績!$AK$6:$AK$505,"○")&gt;0,1,0))</f>
        <v>0</v>
      </c>
      <c r="AX153" s="39" t="n">
        <f aca="false">IF(AX$4=0,0,IF(COUNTIFS(実績!$W$6:$W$505,AX$3,実績!$AI$6:$AI$505,"&lt;="&amp;$A153,実績!$AJ$6:$AJ$505,"&gt;"&amp;$A153,実績!$AK$6:$AK$505,"○")&gt;0,1,0))</f>
        <v>0</v>
      </c>
      <c r="AY153" s="39" t="n">
        <f aca="false">IF(AY$4=0,0,IF(COUNTIFS(実績!$W$6:$W$505,AY$3,実績!$AI$6:$AI$505,"&lt;="&amp;$A153,実績!$AJ$6:$AJ$505,"&gt;"&amp;$A153,実績!$AK$6:$AK$505,"○")&gt;0,1,0))</f>
        <v>0</v>
      </c>
      <c r="AZ153" s="39" t="n">
        <f aca="false">IF(AZ$4=0,0,IF(COUNTIFS(実績!$W$6:$W$505,AZ$3,実績!$AI$6:$AI$505,"&lt;="&amp;$A153,実績!$AJ$6:$AJ$505,"&gt;"&amp;$A153,実績!$AK$6:$AK$505,"○")&gt;0,1,0))</f>
        <v>0</v>
      </c>
      <c r="BA153" s="39" t="n">
        <f aca="false">IF(BA$4=0,0,IF(COUNTIFS(実績!$W$6:$W$505,BA$3,実績!$AI$6:$AI$505,"&lt;="&amp;$A153,実績!$AJ$6:$AJ$505,"&gt;"&amp;$A153,実績!$AK$6:$AK$505,"○")&gt;0,1,0))</f>
        <v>0</v>
      </c>
      <c r="BB153" s="39" t="n">
        <f aca="false">IF(BB$4=0,0,IF(COUNTIFS(実績!$W$6:$W$505,BB$3,実績!$AI$6:$AI$505,"&lt;="&amp;$A153,実績!$AJ$6:$AJ$505,"&gt;"&amp;$A153,実績!$AK$6:$AK$505,"○")&gt;0,1,0))</f>
        <v>0</v>
      </c>
      <c r="BC153" s="39" t="n">
        <f aca="false">IF(BC$4=0,0,IF(COUNTIFS(実績!$W$6:$W$505,BC$3,実績!$AI$6:$AI$505,"&lt;="&amp;$A153,実績!$AJ$6:$AJ$505,"&gt;"&amp;$A153,実績!$AK$6:$AK$505,"○")&gt;0,1,0))</f>
        <v>0</v>
      </c>
      <c r="BD153" s="39" t="n">
        <f aca="false">IF(BD$4=0,0,IF(COUNTIFS(実績!$W$6:$W$505,BD$3,実績!$AI$6:$AI$505,"&lt;="&amp;$A153,実績!$AJ$6:$AJ$505,"&gt;"&amp;$A153,実績!$AK$6:$AK$505,"○")&gt;0,1,0))</f>
        <v>0</v>
      </c>
      <c r="BE153" s="39" t="n">
        <f aca="false">IF(BE$4=0,0,IF(COUNTIFS(実績!$W$6:$W$505,BE$3,実績!$AI$6:$AI$505,"&lt;="&amp;$A153,実績!$AJ$6:$AJ$505,"&gt;"&amp;$A153,実績!$AK$6:$AK$505,"○")&gt;0,1,0))</f>
        <v>0</v>
      </c>
      <c r="BF153" s="39" t="n">
        <f aca="false">IF(BF$4=0,0,IF(COUNTIFS(実績!$W$6:$W$505,BF$3,実績!$AI$6:$AI$505,"&lt;="&amp;$A153,実績!$AJ$6:$AJ$505,"&gt;"&amp;$A153,実績!$AK$6:$AK$505,"○")&gt;0,1,0))</f>
        <v>0</v>
      </c>
      <c r="BG153" s="39" t="n">
        <f aca="false">IF(BG$4=0,0,IF(COUNTIFS(実績!$W$6:$W$505,BG$3,実績!$AI$6:$AI$505,"&lt;="&amp;$A153,実績!$AJ$6:$AJ$505,"&gt;"&amp;$A153,実績!$AK$6:$AK$505,"○")&gt;0,1,0))</f>
        <v>0</v>
      </c>
      <c r="BH153" s="39" t="n">
        <f aca="false">IF(BH$4=0,0,IF(COUNTIFS(実績!$W$6:$W$505,BH$3,実績!$AI$6:$AI$505,"&lt;="&amp;$A153,実績!$AJ$6:$AJ$505,"&gt;"&amp;$A153,実績!$AK$6:$AK$505,"○")&gt;0,1,0))</f>
        <v>0</v>
      </c>
      <c r="BI153" s="39" t="n">
        <f aca="false">IF(BI$4=0,0,IF(COUNTIFS(実績!$W$6:$W$505,BI$3,実績!$AI$6:$AI$505,"&lt;="&amp;$A153,実績!$AJ$6:$AJ$505,"&gt;"&amp;$A153,実績!$AK$6:$AK$505,"○")&gt;0,1,0))</f>
        <v>0</v>
      </c>
      <c r="BJ153" s="39" t="n">
        <f aca="false">IF(BJ$4=0,0,IF(COUNTIFS(実績!$W$6:$W$505,BJ$3,実績!$AI$6:$AI$505,"&lt;="&amp;$A153,実績!$AJ$6:$AJ$505,"&gt;"&amp;$A153,実績!$AK$6:$AK$505,"○")&gt;0,1,0))</f>
        <v>0</v>
      </c>
      <c r="BK153" s="39" t="n">
        <f aca="false">IF(BK$4=0,0,IF(COUNTIFS(実績!$W$6:$W$505,BK$3,実績!$AI$6:$AI$505,"&lt;="&amp;$A153,実績!$AJ$6:$AJ$505,"&gt;"&amp;$A153,実績!$AK$6:$AK$505,"○")&gt;0,1,0))</f>
        <v>0</v>
      </c>
      <c r="BL153" s="39" t="n">
        <f aca="false">IF(BL$4=0,0,IF(COUNTIFS(実績!$W$6:$W$505,BL$3,実績!$AI$6:$AI$505,"&lt;="&amp;$A153,実績!$AJ$6:$AJ$505,"&gt;"&amp;$A153,実績!$AK$6:$AK$505,"○")&gt;0,1,0))</f>
        <v>0</v>
      </c>
      <c r="BM153" s="39" t="n">
        <f aca="false">IF(BM$4=0,0,IF(COUNTIFS(実績!$W$6:$W$505,BM$3,実績!$AI$6:$AI$505,"&lt;="&amp;$A153,実績!$AJ$6:$AJ$505,"&gt;"&amp;$A153,実績!$AK$6:$AK$505,"○")&gt;0,1,0))</f>
        <v>0</v>
      </c>
      <c r="BN153" s="39" t="n">
        <f aca="false">IF(BN$4=0,0,IF(COUNTIFS(実績!$W$6:$W$505,BN$3,実績!$AI$6:$AI$505,"&lt;="&amp;$A153,実績!$AJ$6:$AJ$505,"&gt;"&amp;$A153,実績!$AK$6:$AK$505,"○")&gt;0,1,0))</f>
        <v>0</v>
      </c>
      <c r="BO153" s="39" t="n">
        <f aca="false">IF(BO$4=0,0,IF(COUNTIFS(実績!$W$6:$W$505,BO$3,実績!$AI$6:$AI$505,"&lt;="&amp;$A153,実績!$AJ$6:$AJ$505,"&gt;"&amp;$A153,実績!$AK$6:$AK$505,"○")&gt;0,1,0))</f>
        <v>0</v>
      </c>
      <c r="BP153" s="39" t="n">
        <f aca="false">IF(BP$4=0,0,IF(COUNTIFS(実績!$W$6:$W$505,BP$3,実績!$AI$6:$AI$505,"&lt;="&amp;$A153,実績!$AJ$6:$AJ$505,"&gt;"&amp;$A153,実績!$AK$6:$AK$505,"○")&gt;0,1,0))</f>
        <v>0</v>
      </c>
      <c r="BQ153" s="39" t="n">
        <f aca="false">IF(BQ$4=0,0,IF(COUNTIFS(実績!$W$6:$W$505,BQ$3,実績!$AI$6:$AI$505,"&lt;="&amp;$A153,実績!$AJ$6:$AJ$505,"&gt;"&amp;$A153,実績!$AK$6:$AK$505,"○")&gt;0,1,0))</f>
        <v>0</v>
      </c>
      <c r="BR153" s="39" t="n">
        <f aca="false">IF(BR$4=0,0,IF(COUNTIFS(実績!$W$6:$W$505,BR$3,実績!$AI$6:$AI$505,"&lt;="&amp;$A153,実績!$AJ$6:$AJ$505,"&gt;"&amp;$A153,実績!$AK$6:$AK$505,"○")&gt;0,1,0))</f>
        <v>0</v>
      </c>
      <c r="BS153" s="39" t="n">
        <f aca="false">IF(BS$4=0,0,IF(COUNTIFS(実績!$W$6:$W$505,BS$3,実績!$AI$6:$AI$505,"&lt;="&amp;$A153,実績!$AJ$6:$AJ$505,"&gt;"&amp;$A153,実績!$AK$6:$AK$505,"○")&gt;0,1,0))</f>
        <v>0</v>
      </c>
      <c r="BT153" s="39" t="n">
        <f aca="false">IF(BT$4=0,0,IF(COUNTIFS(実績!$W$6:$W$505,BT$3,実績!$AI$6:$AI$505,"&lt;="&amp;$A153,実績!$AJ$6:$AJ$505,"&gt;"&amp;$A153,実績!$AK$6:$AK$505,"○")&gt;0,1,0))</f>
        <v>0</v>
      </c>
      <c r="BU153" s="39" t="n">
        <f aca="false">IF(BU$4=0,0,IF(COUNTIFS(実績!$W$6:$W$505,BU$3,実績!$AI$6:$AI$505,"&lt;="&amp;$A153,実績!$AJ$6:$AJ$505,"&gt;"&amp;$A153,実績!$AK$6:$AK$505,"○")&gt;0,1,0))</f>
        <v>0</v>
      </c>
      <c r="BV153" s="39" t="n">
        <f aca="false">IF(BV$4=0,0,IF(COUNTIFS(実績!$W$6:$W$505,BV$3,実績!$AI$6:$AI$505,"&lt;="&amp;$A153,実績!$AJ$6:$AJ$505,"&gt;"&amp;$A153,実績!$AK$6:$AK$505,"○")&gt;0,1,0))</f>
        <v>0</v>
      </c>
      <c r="BW153" s="39" t="n">
        <f aca="false">IF(BW$4=0,0,IF(COUNTIFS(実績!$W$6:$W$505,BW$3,実績!$AI$6:$AI$505,"&lt;="&amp;$A153,実績!$AJ$6:$AJ$505,"&gt;"&amp;$A153,実績!$AK$6:$AK$505,"○")&gt;0,1,0))</f>
        <v>0</v>
      </c>
      <c r="BX153" s="39" t="n">
        <f aca="false">IF(BX$4=0,0,IF(COUNTIFS(実績!$W$6:$W$505,BX$3,実績!$AI$6:$AI$505,"&lt;="&amp;$A153,実績!$AJ$6:$AJ$505,"&gt;"&amp;$A153,実績!$AK$6:$AK$505,"○")&gt;0,1,0))</f>
        <v>0</v>
      </c>
      <c r="BY153" s="39" t="n">
        <f aca="false">IF(BY$4=0,0,IF(COUNTIFS(実績!$W$6:$W$505,BY$3,実績!$AI$6:$AI$505,"&lt;="&amp;$A153,実績!$AJ$6:$AJ$505,"&gt;"&amp;$A153,実績!$AK$6:$AK$505,"○")&gt;0,1,0))</f>
        <v>0</v>
      </c>
      <c r="BZ153" s="39" t="n">
        <f aca="false">IF(BZ$4=0,0,IF(COUNTIFS(実績!$W$6:$W$505,BZ$3,実績!$AI$6:$AI$505,"&lt;="&amp;$A153,実績!$AJ$6:$AJ$505,"&gt;"&amp;$A153,実績!$AK$6:$AK$505,"○")&gt;0,1,0))</f>
        <v>0</v>
      </c>
      <c r="CA153" s="39" t="n">
        <f aca="false">IF(CA$4=0,0,IF(COUNTIFS(実績!$W$6:$W$505,CA$3,実績!$AI$6:$AI$505,"&lt;="&amp;$A153,実績!$AJ$6:$AJ$505,"&gt;"&amp;$A153,実績!$AK$6:$AK$505,"○")&gt;0,1,0))</f>
        <v>0</v>
      </c>
      <c r="CB153" s="39" t="n">
        <f aca="false">IF(CB$4=0,0,IF(COUNTIFS(実績!$W$6:$W$505,CB$3,実績!$AI$6:$AI$505,"&lt;="&amp;$A153,実績!$AJ$6:$AJ$505,"&gt;"&amp;$A153,実績!$AK$6:$AK$505,"○")&gt;0,1,0))</f>
        <v>0</v>
      </c>
      <c r="CC153" s="39" t="n">
        <f aca="false">IF(CC$4=0,0,IF(COUNTIFS(実績!$W$6:$W$505,CC$3,実績!$AI$6:$AI$505,"&lt;="&amp;$A153,実績!$AJ$6:$AJ$505,"&gt;"&amp;$A153,実績!$AK$6:$AK$505,"○")&gt;0,1,0))</f>
        <v>0</v>
      </c>
      <c r="CD153" s="39" t="n">
        <f aca="false">IF(CD$4=0,0,IF(COUNTIFS(実績!$W$6:$W$505,CD$3,実績!$AI$6:$AI$505,"&lt;="&amp;$A153,実績!$AJ$6:$AJ$505,"&gt;"&amp;$A153,実績!$AK$6:$AK$505,"○")&gt;0,1,0))</f>
        <v>0</v>
      </c>
      <c r="CE153" s="39" t="n">
        <f aca="false">IF(CE$4=0,0,IF(COUNTIFS(実績!$W$6:$W$505,CE$3,実績!$AI$6:$AI$505,"&lt;="&amp;$A153,実績!$AJ$6:$AJ$505,"&gt;"&amp;$A153,実績!$AK$6:$AK$505,"○")&gt;0,1,0))</f>
        <v>0</v>
      </c>
      <c r="CF153" s="39" t="n">
        <f aca="false">IF(CF$4=0,0,IF(COUNTIFS(実績!$W$6:$W$505,CF$3,実績!$AI$6:$AI$505,"&lt;="&amp;$A153,実績!$AJ$6:$AJ$505,"&gt;"&amp;$A153,実績!$AK$6:$AK$505,"○")&gt;0,1,0))</f>
        <v>0</v>
      </c>
      <c r="CG153" s="39" t="n">
        <f aca="false">IF(CG$4=0,0,IF(COUNTIFS(実績!$W$6:$W$505,CG$3,実績!$AI$6:$AI$505,"&lt;="&amp;$A153,実績!$AJ$6:$AJ$505,"&gt;"&amp;$A153,実績!$AK$6:$AK$505,"○")&gt;0,1,0))</f>
        <v>0</v>
      </c>
      <c r="CH153" s="39" t="n">
        <f aca="false">IF(CH$4=0,0,IF(COUNTIFS(実績!$W$6:$W$505,CH$3,実績!$AI$6:$AI$505,"&lt;="&amp;$A153,実績!$AJ$6:$AJ$505,"&gt;"&amp;$A153,実績!$AK$6:$AK$505,"○")&gt;0,1,0))</f>
        <v>0</v>
      </c>
      <c r="CI153" s="39" t="n">
        <f aca="false">IF(CI$4=0,0,IF(COUNTIFS(実績!$W$6:$W$505,CI$3,実績!$AI$6:$AI$505,"&lt;="&amp;$A153,実績!$AJ$6:$AJ$505,"&gt;"&amp;$A153,実績!$AK$6:$AK$505,"○")&gt;0,1,0))</f>
        <v>0</v>
      </c>
      <c r="CJ153" s="39" t="n">
        <f aca="false">IF(CJ$4=0,0,IF(COUNTIFS(実績!$W$6:$W$505,CJ$3,実績!$AI$6:$AI$505,"&lt;="&amp;$A153,実績!$AJ$6:$AJ$505,"&gt;"&amp;$A153,実績!$AK$6:$AK$505,"○")&gt;0,1,0))</f>
        <v>0</v>
      </c>
      <c r="CK153" s="39" t="n">
        <f aca="false">IF(CK$4=0,0,IF(COUNTIFS(実績!$W$6:$W$505,CK$3,実績!$AI$6:$AI$505,"&lt;="&amp;$A153,実績!$AJ$6:$AJ$505,"&gt;"&amp;$A153,実績!$AK$6:$AK$505,"○")&gt;0,1,0))</f>
        <v>0</v>
      </c>
      <c r="CL153" s="39" t="n">
        <f aca="false">IF(CL$4=0,0,IF(COUNTIFS(実績!$W$6:$W$505,CL$3,実績!$AI$6:$AI$505,"&lt;="&amp;$A153,実績!$AJ$6:$AJ$505,"&gt;"&amp;$A153,実績!$AK$6:$AK$505,"○")&gt;0,1,0))</f>
        <v>0</v>
      </c>
      <c r="CM153" s="39" t="n">
        <f aca="false">IF(CM$4=0,0,IF(COUNTIFS(実績!$W$6:$W$505,CM$3,実績!$AI$6:$AI$505,"&lt;="&amp;$A153,実績!$AJ$6:$AJ$505,"&gt;"&amp;$A153,実績!$AK$6:$AK$505,"○")&gt;0,1,0))</f>
        <v>0</v>
      </c>
      <c r="CN153" s="39" t="n">
        <f aca="false">IF(CN$4=0,0,IF(COUNTIFS(実績!$W$6:$W$505,CN$3,実績!$AI$6:$AI$505,"&lt;="&amp;$A153,実績!$AJ$6:$AJ$505,"&gt;"&amp;$A153,実績!$AK$6:$AK$505,"○")&gt;0,1,0))</f>
        <v>0</v>
      </c>
      <c r="CO153" s="39" t="n">
        <f aca="false">IF(CO$4=0,0,IF(COUNTIFS(実績!$W$6:$W$505,CO$3,実績!$AI$6:$AI$505,"&lt;="&amp;$A153,実績!$AJ$6:$AJ$505,"&gt;"&amp;$A153,実績!$AK$6:$AK$505,"○")&gt;0,1,0))</f>
        <v>0</v>
      </c>
      <c r="CP153" s="39" t="n">
        <f aca="false">IF(CP$4=0,0,IF(COUNTIFS(実績!$W$6:$W$505,CP$3,実績!$AI$6:$AI$505,"&lt;="&amp;$A153,実績!$AJ$6:$AJ$505,"&gt;"&amp;$A153,実績!$AK$6:$AK$505,"○")&gt;0,1,0))</f>
        <v>0</v>
      </c>
      <c r="CQ153" s="39" t="n">
        <f aca="false">IF(CQ$4=0,0,IF(COUNTIFS(実績!$W$6:$W$505,CQ$3,実績!$AI$6:$AI$505,"&lt;="&amp;$A153,実績!$AJ$6:$AJ$505,"&gt;"&amp;$A153,実績!$AK$6:$AK$505,"○")&gt;0,1,0))</f>
        <v>0</v>
      </c>
      <c r="CR153" s="39" t="n">
        <f aca="false">IF(CR$4=0,0,IF(COUNTIFS(実績!$W$6:$W$505,CR$3,実績!$AI$6:$AI$505,"&lt;="&amp;$A153,実績!$AJ$6:$AJ$505,"&gt;"&amp;$A153,実績!$AK$6:$AK$505,"○")&gt;0,1,0))</f>
        <v>0</v>
      </c>
      <c r="CS153" s="39" t="n">
        <f aca="false">IF(CS$4=0,0,IF(COUNTIFS(実績!$W$6:$W$505,CS$3,実績!$AI$6:$AI$505,"&lt;="&amp;$A153,実績!$AJ$6:$AJ$505,"&gt;"&amp;$A153,実績!$AK$6:$AK$505,"○")&gt;0,1,0))</f>
        <v>0</v>
      </c>
      <c r="CT153" s="39" t="n">
        <f aca="false">IF(CT$4=0,0,IF(COUNTIFS(実績!$W$6:$W$505,CT$3,実績!$AI$6:$AI$505,"&lt;="&amp;$A153,実績!$AJ$6:$AJ$505,"&gt;"&amp;$A153,実績!$AK$6:$AK$505,"○")&gt;0,1,0))</f>
        <v>0</v>
      </c>
      <c r="CU153" s="39" t="n">
        <f aca="false">IF(CU$4=0,0,IF(COUNTIFS(実績!$W$6:$W$505,CU$3,実績!$AI$6:$AI$505,"&lt;="&amp;$A153,実績!$AJ$6:$AJ$505,"&gt;"&amp;$A153,実績!$AK$6:$AK$505,"○")&gt;0,1,0))</f>
        <v>0</v>
      </c>
      <c r="CV153" s="39" t="n">
        <f aca="false">IF(CV$4=0,0,IF(COUNTIFS(実績!$W$6:$W$505,CV$3,実績!$AI$6:$AI$505,"&lt;="&amp;$A153,実績!$AJ$6:$AJ$505,"&gt;"&amp;$A153,実績!$AK$6:$AK$505,"○")&gt;0,1,0))</f>
        <v>0</v>
      </c>
      <c r="CW153" s="39" t="n">
        <f aca="false">IF(CW$4=0,0,IF(COUNTIFS(実績!$W$6:$W$505,CW$3,実績!$AI$6:$AI$505,"&lt;="&amp;$A153,実績!$AJ$6:$AJ$505,"&gt;"&amp;$A153,実績!$AK$6:$AK$505,"○")&gt;0,1,0))</f>
        <v>0</v>
      </c>
      <c r="CX153" s="39" t="n">
        <f aca="false">IF(CX$4=0,0,IF(COUNTIFS(実績!$W$6:$W$505,CX$3,実績!$AI$6:$AI$505,"&lt;="&amp;$A153,実績!$AJ$6:$AJ$505,"&gt;"&amp;$A153,実績!$AK$6:$AK$505,"○")&gt;0,1,0))</f>
        <v>0</v>
      </c>
      <c r="CY153" s="39" t="n">
        <f aca="false">IF(CY$4=0,0,IF(COUNTIFS(実績!$W$6:$W$505,CY$3,実績!$AI$6:$AI$505,"&lt;="&amp;$A153,実績!$AJ$6:$AJ$505,"&gt;"&amp;$A153,実績!$AK$6:$AK$505,"○")&gt;0,1,0))</f>
        <v>0</v>
      </c>
      <c r="CZ153" s="39" t="n">
        <f aca="false">IF(CZ$4=0,0,IF(COUNTIFS(実績!$W$6:$W$505,CZ$3,実績!$AI$6:$AI$505,"&lt;="&amp;$A153,実績!$AJ$6:$AJ$505,"&gt;"&amp;$A153,実績!$AK$6:$AK$505,"○")&gt;0,1,0))</f>
        <v>0</v>
      </c>
      <c r="DA153" s="39" t="n">
        <f aca="false">IF(DA$4=0,0,IF(COUNTIFS(実績!$W$6:$W$505,DA$3,実績!$AI$6:$AI$505,"&lt;="&amp;$A153,実績!$AJ$6:$AJ$505,"&gt;"&amp;$A153,実績!$AK$6:$AK$505,"○")&gt;0,1,0))</f>
        <v>0</v>
      </c>
      <c r="DB153" s="39" t="n">
        <f aca="false">IF(DB$4=0,0,IF(COUNTIFS(実績!$W$6:$W$505,DB$3,実績!$AI$6:$AI$505,"&lt;="&amp;$A153,実績!$AJ$6:$AJ$505,"&gt;"&amp;$A153,実績!$AK$6:$AK$505,"○")&gt;0,1,0))</f>
        <v>0</v>
      </c>
      <c r="DC153" s="39" t="n">
        <f aca="false">IF(DC$4=0,0,IF(COUNTIFS(実績!$W$6:$W$505,DC$3,実績!$AI$6:$AI$505,"&lt;="&amp;$A153,実績!$AJ$6:$AJ$505,"&gt;"&amp;$A153,実績!$AK$6:$AK$505,"○")&gt;0,1,0))</f>
        <v>0</v>
      </c>
      <c r="DD153" s="39" t="n">
        <f aca="false">IF(DD$4=0,0,IF(COUNTIFS(実績!$W$6:$W$505,DD$3,実績!$AI$6:$AI$505,"&lt;="&amp;$A153,実績!$AJ$6:$AJ$505,"&gt;"&amp;$A153,実績!$AK$6:$AK$505,"○")&gt;0,1,0))</f>
        <v>0</v>
      </c>
      <c r="DE153" s="39" t="n">
        <f aca="false">IF(DE$4=0,0,IF(COUNTIFS(実績!$W$6:$W$505,DE$3,実績!$AI$6:$AI$505,"&lt;="&amp;$A153,実績!$AJ$6:$AJ$505,"&gt;"&amp;$A153,実績!$AK$6:$AK$505,"○")&gt;0,1,0))</f>
        <v>0</v>
      </c>
      <c r="DF153" s="39" t="n">
        <f aca="false">IF(DF$4=0,0,IF(COUNTIFS(実績!$W$6:$W$505,DF$3,実績!$AI$6:$AI$505,"&lt;="&amp;$A153,実績!$AJ$6:$AJ$505,"&gt;"&amp;$A153,実績!$AK$6:$AK$505,"○")&gt;0,1,0))</f>
        <v>0</v>
      </c>
      <c r="DG153" s="39" t="n">
        <f aca="false">IF(DG$4=0,0,IF(COUNTIFS(実績!$W$6:$W$505,DG$3,実績!$AI$6:$AI$505,"&lt;="&amp;$A153,実績!$AJ$6:$AJ$505,"&gt;"&amp;$A153,実績!$AK$6:$AK$505,"○")&gt;0,1,0))</f>
        <v>0</v>
      </c>
      <c r="DH153" s="39" t="n">
        <f aca="false">IF(DH$4=0,0,IF(COUNTIFS(実績!$W$6:$W$505,DH$3,実績!$AI$6:$AI$505,"&lt;="&amp;$A153,実績!$AJ$6:$AJ$505,"&gt;"&amp;$A153,実績!$AK$6:$AK$505,"○")&gt;0,1,0))</f>
        <v>0</v>
      </c>
      <c r="DI153" s="39" t="n">
        <f aca="false">IF(DI$4=0,0,IF(COUNTIFS(実績!$W$6:$W$505,DI$3,実績!$AI$6:$AI$505,"&lt;="&amp;$A153,実績!$AJ$6:$AJ$505,"&gt;"&amp;$A153,実績!$AK$6:$AK$505,"○")&gt;0,1,0))</f>
        <v>0</v>
      </c>
      <c r="DJ153" s="39" t="n">
        <f aca="false">IF(DJ$4=0,0,IF(COUNTIFS(実績!$W$6:$W$505,DJ$3,実績!$AI$6:$AI$505,"&lt;="&amp;$A153,実績!$AJ$6:$AJ$505,"&gt;"&amp;$A153,実績!$AK$6:$AK$505,"○")&gt;0,1,0))</f>
        <v>0</v>
      </c>
      <c r="DK153" s="39" t="n">
        <f aca="false">IF(DK$4=0,0,IF(COUNTIFS(実績!$W$6:$W$505,DK$3,実績!$AI$6:$AI$505,"&lt;="&amp;$A153,実績!$AJ$6:$AJ$505,"&gt;"&amp;$A153,実績!$AK$6:$AK$505,"○")&gt;0,1,0))</f>
        <v>0</v>
      </c>
      <c r="DL153" s="39" t="n">
        <f aca="false">IF(DL$4=0,0,IF(COUNTIFS(実績!$W$6:$W$505,DL$3,実績!$AI$6:$AI$505,"&lt;="&amp;$A153,実績!$AJ$6:$AJ$505,"&gt;"&amp;$A153,実績!$AK$6:$AK$505,"○")&gt;0,1,0))</f>
        <v>0</v>
      </c>
      <c r="DM153" s="39" t="n">
        <f aca="false">IF(DM$4=0,0,IF(COUNTIFS(実績!$W$6:$W$505,DM$3,実績!$AI$6:$AI$505,"&lt;="&amp;$A153,実績!$AJ$6:$AJ$505,"&gt;"&amp;$A153,実績!$AK$6:$AK$505,"○")&gt;0,1,0))</f>
        <v>0</v>
      </c>
      <c r="DN153" s="39" t="n">
        <f aca="false">IF(DN$4=0,0,IF(COUNTIFS(実績!$W$6:$W$505,DN$3,実績!$AI$6:$AI$505,"&lt;="&amp;$A153,実績!$AJ$6:$AJ$505,"&gt;"&amp;$A153,実績!$AK$6:$AK$505,"○")&gt;0,1,0))</f>
        <v>0</v>
      </c>
      <c r="DO153" s="39" t="n">
        <f aca="false">IF(DO$4=0,0,IF(COUNTIFS(実績!$W$6:$W$505,DO$3,実績!$AI$6:$AI$505,"&lt;="&amp;$A153,実績!$AJ$6:$AJ$505,"&gt;"&amp;$A153,実績!$AK$6:$AK$505,"○")&gt;0,1,0))</f>
        <v>0</v>
      </c>
      <c r="DP153" s="39" t="n">
        <f aca="false">IF(DP$4=0,0,IF(COUNTIFS(実績!$W$6:$W$505,DP$3,実績!$AI$6:$AI$505,"&lt;="&amp;$A153,実績!$AJ$6:$AJ$505,"&gt;"&amp;$A153,実績!$AK$6:$AK$505,"○")&gt;0,1,0))</f>
        <v>0</v>
      </c>
      <c r="DQ153" s="39" t="n">
        <f aca="false">IF(DQ$4=0,0,IF(COUNTIFS(実績!$W$6:$W$505,DQ$3,実績!$AI$6:$AI$505,"&lt;="&amp;$A153,実績!$AJ$6:$AJ$505,"&gt;"&amp;$A153,実績!$AK$6:$AK$505,"○")&gt;0,1,0))</f>
        <v>0</v>
      </c>
      <c r="DR153" s="39" t="n">
        <f aca="false">IF(DR$4=0,0,IF(COUNTIFS(実績!$W$6:$W$505,DR$3,実績!$AI$6:$AI$505,"&lt;="&amp;$A153,実績!$AJ$6:$AJ$505,"&gt;"&amp;$A153,実績!$AK$6:$AK$505,"○")&gt;0,1,0))</f>
        <v>0</v>
      </c>
      <c r="DS153" s="39" t="n">
        <f aca="false">SUM(C153:DR153)</f>
        <v>0</v>
      </c>
      <c r="DT153" s="39" t="n">
        <f aca="false">SUMPRODUCT((実績!$C$6:$C$505="○")*ISNUMBER(実績!$AM$6:$AM$505)*(実績!$AM$6:$AM$505&lt;=$A153)*(実績!$AN$6:$AN$505&gt;$A153))</f>
        <v>0</v>
      </c>
      <c r="DU153" s="39" t="n">
        <f aca="false">SUMIF($C$2:$DR$2,"製鉄曳船",C153:DR153)</f>
        <v>0</v>
      </c>
      <c r="DV153" s="39" t="n">
        <f aca="false">SUMIF($C$2:$DR$2,"西日本海運",C153:DR153)</f>
        <v>0</v>
      </c>
    </row>
    <row r="154" customFormat="false" ht="15" hidden="false" customHeight="false" outlineLevel="0" collapsed="false">
      <c r="A154" s="0" t="n">
        <v>740</v>
      </c>
      <c r="B154" s="38" t="n">
        <f aca="false">A154/1440</f>
        <v>0.513888888888889</v>
      </c>
      <c r="C154" s="39" t="n">
        <f aca="false">IF(C$4=0,0,IF(COUNTIFS(実績!$W$6:$W$505,C$3,実績!$AI$6:$AI$505,"&lt;="&amp;$A154,実績!$AJ$6:$AJ$505,"&gt;"&amp;$A154,実績!$AK$6:$AK$505,"○")&gt;0,1,0))</f>
        <v>0</v>
      </c>
      <c r="D154" s="39" t="n">
        <f aca="false">IF(D$4=0,0,IF(COUNTIFS(実績!$W$6:$W$505,D$3,実績!$AI$6:$AI$505,"&lt;="&amp;$A154,実績!$AJ$6:$AJ$505,"&gt;"&amp;$A154,実績!$AK$6:$AK$505,"○")&gt;0,1,0))</f>
        <v>0</v>
      </c>
      <c r="E154" s="39" t="n">
        <f aca="false">IF(E$4=0,0,IF(COUNTIFS(実績!$W$6:$W$505,E$3,実績!$AI$6:$AI$505,"&lt;="&amp;$A154,実績!$AJ$6:$AJ$505,"&gt;"&amp;$A154,実績!$AK$6:$AK$505,"○")&gt;0,1,0))</f>
        <v>0</v>
      </c>
      <c r="F154" s="39" t="n">
        <f aca="false">IF(F$4=0,0,IF(COUNTIFS(実績!$W$6:$W$505,F$3,実績!$AI$6:$AI$505,"&lt;="&amp;$A154,実績!$AJ$6:$AJ$505,"&gt;"&amp;$A154,実績!$AK$6:$AK$505,"○")&gt;0,1,0))</f>
        <v>0</v>
      </c>
      <c r="G154" s="39" t="n">
        <f aca="false">IF(G$4=0,0,IF(COUNTIFS(実績!$W$6:$W$505,G$3,実績!$AI$6:$AI$505,"&lt;="&amp;$A154,実績!$AJ$6:$AJ$505,"&gt;"&amp;$A154,実績!$AK$6:$AK$505,"○")&gt;0,1,0))</f>
        <v>0</v>
      </c>
      <c r="H154" s="39" t="n">
        <f aca="false">IF(H$4=0,0,IF(COUNTIFS(実績!$W$6:$W$505,H$3,実績!$AI$6:$AI$505,"&lt;="&amp;$A154,実績!$AJ$6:$AJ$505,"&gt;"&amp;$A154,実績!$AK$6:$AK$505,"○")&gt;0,1,0))</f>
        <v>0</v>
      </c>
      <c r="I154" s="39" t="n">
        <f aca="false">IF(I$4=0,0,IF(COUNTIFS(実績!$W$6:$W$505,I$3,実績!$AI$6:$AI$505,"&lt;="&amp;$A154,実績!$AJ$6:$AJ$505,"&gt;"&amp;$A154,実績!$AK$6:$AK$505,"○")&gt;0,1,0))</f>
        <v>0</v>
      </c>
      <c r="J154" s="39" t="n">
        <f aca="false">IF(J$4=0,0,IF(COUNTIFS(実績!$W$6:$W$505,J$3,実績!$AI$6:$AI$505,"&lt;="&amp;$A154,実績!$AJ$6:$AJ$505,"&gt;"&amp;$A154,実績!$AK$6:$AK$505,"○")&gt;0,1,0))</f>
        <v>0</v>
      </c>
      <c r="K154" s="39" t="n">
        <f aca="false">IF(K$4=0,0,IF(COUNTIFS(実績!$W$6:$W$505,K$3,実績!$AI$6:$AI$505,"&lt;="&amp;$A154,実績!$AJ$6:$AJ$505,"&gt;"&amp;$A154,実績!$AK$6:$AK$505,"○")&gt;0,1,0))</f>
        <v>0</v>
      </c>
      <c r="L154" s="39" t="n">
        <f aca="false">IF(L$4=0,0,IF(COUNTIFS(実績!$W$6:$W$505,L$3,実績!$AI$6:$AI$505,"&lt;="&amp;$A154,実績!$AJ$6:$AJ$505,"&gt;"&amp;$A154,実績!$AK$6:$AK$505,"○")&gt;0,1,0))</f>
        <v>0</v>
      </c>
      <c r="M154" s="39" t="n">
        <f aca="false">IF(M$4=0,0,IF(COUNTIFS(実績!$W$6:$W$505,M$3,実績!$AI$6:$AI$505,"&lt;="&amp;$A154,実績!$AJ$6:$AJ$505,"&gt;"&amp;$A154,実績!$AK$6:$AK$505,"○")&gt;0,1,0))</f>
        <v>0</v>
      </c>
      <c r="N154" s="39" t="n">
        <f aca="false">IF(N$4=0,0,IF(COUNTIFS(実績!$W$6:$W$505,N$3,実績!$AI$6:$AI$505,"&lt;="&amp;$A154,実績!$AJ$6:$AJ$505,"&gt;"&amp;$A154,実績!$AK$6:$AK$505,"○")&gt;0,1,0))</f>
        <v>0</v>
      </c>
      <c r="O154" s="39" t="n">
        <f aca="false">IF(O$4=0,0,IF(COUNTIFS(実績!$W$6:$W$505,O$3,実績!$AI$6:$AI$505,"&lt;="&amp;$A154,実績!$AJ$6:$AJ$505,"&gt;"&amp;$A154,実績!$AK$6:$AK$505,"○")&gt;0,1,0))</f>
        <v>0</v>
      </c>
      <c r="P154" s="39" t="n">
        <f aca="false">IF(P$4=0,0,IF(COUNTIFS(実績!$W$6:$W$505,P$3,実績!$AI$6:$AI$505,"&lt;="&amp;$A154,実績!$AJ$6:$AJ$505,"&gt;"&amp;$A154,実績!$AK$6:$AK$505,"○")&gt;0,1,0))</f>
        <v>0</v>
      </c>
      <c r="Q154" s="39" t="n">
        <f aca="false">IF(Q$4=0,0,IF(COUNTIFS(実績!$W$6:$W$505,Q$3,実績!$AI$6:$AI$505,"&lt;="&amp;$A154,実績!$AJ$6:$AJ$505,"&gt;"&amp;$A154,実績!$AK$6:$AK$505,"○")&gt;0,1,0))</f>
        <v>0</v>
      </c>
      <c r="R154" s="39" t="n">
        <f aca="false">IF(R$4=0,0,IF(COUNTIFS(実績!$W$6:$W$505,R$3,実績!$AI$6:$AI$505,"&lt;="&amp;$A154,実績!$AJ$6:$AJ$505,"&gt;"&amp;$A154,実績!$AK$6:$AK$505,"○")&gt;0,1,0))</f>
        <v>0</v>
      </c>
      <c r="S154" s="39" t="n">
        <f aca="false">IF(S$4=0,0,IF(COUNTIFS(実績!$W$6:$W$505,S$3,実績!$AI$6:$AI$505,"&lt;="&amp;$A154,実績!$AJ$6:$AJ$505,"&gt;"&amp;$A154,実績!$AK$6:$AK$505,"○")&gt;0,1,0))</f>
        <v>0</v>
      </c>
      <c r="T154" s="39" t="n">
        <f aca="false">IF(T$4=0,0,IF(COUNTIFS(実績!$W$6:$W$505,T$3,実績!$AI$6:$AI$505,"&lt;="&amp;$A154,実績!$AJ$6:$AJ$505,"&gt;"&amp;$A154,実績!$AK$6:$AK$505,"○")&gt;0,1,0))</f>
        <v>0</v>
      </c>
      <c r="U154" s="39" t="n">
        <f aca="false">IF(U$4=0,0,IF(COUNTIFS(実績!$W$6:$W$505,U$3,実績!$AI$6:$AI$505,"&lt;="&amp;$A154,実績!$AJ$6:$AJ$505,"&gt;"&amp;$A154,実績!$AK$6:$AK$505,"○")&gt;0,1,0))</f>
        <v>0</v>
      </c>
      <c r="V154" s="39" t="n">
        <f aca="false">IF(V$4=0,0,IF(COUNTIFS(実績!$W$6:$W$505,V$3,実績!$AI$6:$AI$505,"&lt;="&amp;$A154,実績!$AJ$6:$AJ$505,"&gt;"&amp;$A154,実績!$AK$6:$AK$505,"○")&gt;0,1,0))</f>
        <v>0</v>
      </c>
      <c r="W154" s="39" t="n">
        <f aca="false">IF(W$4=0,0,IF(COUNTIFS(実績!$W$6:$W$505,W$3,実績!$AI$6:$AI$505,"&lt;="&amp;$A154,実績!$AJ$6:$AJ$505,"&gt;"&amp;$A154,実績!$AK$6:$AK$505,"○")&gt;0,1,0))</f>
        <v>0</v>
      </c>
      <c r="X154" s="39" t="n">
        <f aca="false">IF(X$4=0,0,IF(COUNTIFS(実績!$W$6:$W$505,X$3,実績!$AI$6:$AI$505,"&lt;="&amp;$A154,実績!$AJ$6:$AJ$505,"&gt;"&amp;$A154,実績!$AK$6:$AK$505,"○")&gt;0,1,0))</f>
        <v>0</v>
      </c>
      <c r="Y154" s="39" t="n">
        <f aca="false">IF(Y$4=0,0,IF(COUNTIFS(実績!$W$6:$W$505,Y$3,実績!$AI$6:$AI$505,"&lt;="&amp;$A154,実績!$AJ$6:$AJ$505,"&gt;"&amp;$A154,実績!$AK$6:$AK$505,"○")&gt;0,1,0))</f>
        <v>0</v>
      </c>
      <c r="Z154" s="39" t="n">
        <f aca="false">IF(Z$4=0,0,IF(COUNTIFS(実績!$W$6:$W$505,Z$3,実績!$AI$6:$AI$505,"&lt;="&amp;$A154,実績!$AJ$6:$AJ$505,"&gt;"&amp;$A154,実績!$AK$6:$AK$505,"○")&gt;0,1,0))</f>
        <v>0</v>
      </c>
      <c r="AA154" s="39" t="n">
        <f aca="false">IF(AA$4=0,0,IF(COUNTIFS(実績!$W$6:$W$505,AA$3,実績!$AI$6:$AI$505,"&lt;="&amp;$A154,実績!$AJ$6:$AJ$505,"&gt;"&amp;$A154,実績!$AK$6:$AK$505,"○")&gt;0,1,0))</f>
        <v>0</v>
      </c>
      <c r="AB154" s="39" t="n">
        <f aca="false">IF(AB$4=0,0,IF(COUNTIFS(実績!$W$6:$W$505,AB$3,実績!$AI$6:$AI$505,"&lt;="&amp;$A154,実績!$AJ$6:$AJ$505,"&gt;"&amp;$A154,実績!$AK$6:$AK$505,"○")&gt;0,1,0))</f>
        <v>0</v>
      </c>
      <c r="AC154" s="39" t="n">
        <f aca="false">IF(AC$4=0,0,IF(COUNTIFS(実績!$W$6:$W$505,AC$3,実績!$AI$6:$AI$505,"&lt;="&amp;$A154,実績!$AJ$6:$AJ$505,"&gt;"&amp;$A154,実績!$AK$6:$AK$505,"○")&gt;0,1,0))</f>
        <v>0</v>
      </c>
      <c r="AD154" s="39" t="n">
        <f aca="false">IF(AD$4=0,0,IF(COUNTIFS(実績!$W$6:$W$505,AD$3,実績!$AI$6:$AI$505,"&lt;="&amp;$A154,実績!$AJ$6:$AJ$505,"&gt;"&amp;$A154,実績!$AK$6:$AK$505,"○")&gt;0,1,0))</f>
        <v>0</v>
      </c>
      <c r="AE154" s="39" t="n">
        <f aca="false">IF(AE$4=0,0,IF(COUNTIFS(実績!$W$6:$W$505,AE$3,実績!$AI$6:$AI$505,"&lt;="&amp;$A154,実績!$AJ$6:$AJ$505,"&gt;"&amp;$A154,実績!$AK$6:$AK$505,"○")&gt;0,1,0))</f>
        <v>0</v>
      </c>
      <c r="AF154" s="39" t="n">
        <f aca="false">IF(AF$4=0,0,IF(COUNTIFS(実績!$W$6:$W$505,AF$3,実績!$AI$6:$AI$505,"&lt;="&amp;$A154,実績!$AJ$6:$AJ$505,"&gt;"&amp;$A154,実績!$AK$6:$AK$505,"○")&gt;0,1,0))</f>
        <v>0</v>
      </c>
      <c r="AG154" s="39" t="n">
        <f aca="false">IF(AG$4=0,0,IF(COUNTIFS(実績!$W$6:$W$505,AG$3,実績!$AI$6:$AI$505,"&lt;="&amp;$A154,実績!$AJ$6:$AJ$505,"&gt;"&amp;$A154,実績!$AK$6:$AK$505,"○")&gt;0,1,0))</f>
        <v>0</v>
      </c>
      <c r="AH154" s="39" t="n">
        <f aca="false">IF(AH$4=0,0,IF(COUNTIFS(実績!$W$6:$W$505,AH$3,実績!$AI$6:$AI$505,"&lt;="&amp;$A154,実績!$AJ$6:$AJ$505,"&gt;"&amp;$A154,実績!$AK$6:$AK$505,"○")&gt;0,1,0))</f>
        <v>0</v>
      </c>
      <c r="AI154" s="39" t="n">
        <f aca="false">IF(AI$4=0,0,IF(COUNTIFS(実績!$W$6:$W$505,AI$3,実績!$AI$6:$AI$505,"&lt;="&amp;$A154,実績!$AJ$6:$AJ$505,"&gt;"&amp;$A154,実績!$AK$6:$AK$505,"○")&gt;0,1,0))</f>
        <v>0</v>
      </c>
      <c r="AJ154" s="39" t="n">
        <f aca="false">IF(AJ$4=0,0,IF(COUNTIFS(実績!$W$6:$W$505,AJ$3,実績!$AI$6:$AI$505,"&lt;="&amp;$A154,実績!$AJ$6:$AJ$505,"&gt;"&amp;$A154,実績!$AK$6:$AK$505,"○")&gt;0,1,0))</f>
        <v>0</v>
      </c>
      <c r="AK154" s="39" t="n">
        <f aca="false">IF(AK$4=0,0,IF(COUNTIFS(実績!$W$6:$W$505,AK$3,実績!$AI$6:$AI$505,"&lt;="&amp;$A154,実績!$AJ$6:$AJ$505,"&gt;"&amp;$A154,実績!$AK$6:$AK$505,"○")&gt;0,1,0))</f>
        <v>0</v>
      </c>
      <c r="AL154" s="39" t="n">
        <f aca="false">IF(AL$4=0,0,IF(COUNTIFS(実績!$W$6:$W$505,AL$3,実績!$AI$6:$AI$505,"&lt;="&amp;$A154,実績!$AJ$6:$AJ$505,"&gt;"&amp;$A154,実績!$AK$6:$AK$505,"○")&gt;0,1,0))</f>
        <v>0</v>
      </c>
      <c r="AM154" s="39" t="n">
        <f aca="false">IF(AM$4=0,0,IF(COUNTIFS(実績!$W$6:$W$505,AM$3,実績!$AI$6:$AI$505,"&lt;="&amp;$A154,実績!$AJ$6:$AJ$505,"&gt;"&amp;$A154,実績!$AK$6:$AK$505,"○")&gt;0,1,0))</f>
        <v>0</v>
      </c>
      <c r="AN154" s="39" t="n">
        <f aca="false">IF(AN$4=0,0,IF(COUNTIFS(実績!$W$6:$W$505,AN$3,実績!$AI$6:$AI$505,"&lt;="&amp;$A154,実績!$AJ$6:$AJ$505,"&gt;"&amp;$A154,実績!$AK$6:$AK$505,"○")&gt;0,1,0))</f>
        <v>0</v>
      </c>
      <c r="AO154" s="39" t="n">
        <f aca="false">IF(AO$4=0,0,IF(COUNTIFS(実績!$W$6:$W$505,AO$3,実績!$AI$6:$AI$505,"&lt;="&amp;$A154,実績!$AJ$6:$AJ$505,"&gt;"&amp;$A154,実績!$AK$6:$AK$505,"○")&gt;0,1,0))</f>
        <v>0</v>
      </c>
      <c r="AP154" s="39" t="n">
        <f aca="false">IF(AP$4=0,0,IF(COUNTIFS(実績!$W$6:$W$505,AP$3,実績!$AI$6:$AI$505,"&lt;="&amp;$A154,実績!$AJ$6:$AJ$505,"&gt;"&amp;$A154,実績!$AK$6:$AK$505,"○")&gt;0,1,0))</f>
        <v>0</v>
      </c>
      <c r="AQ154" s="39" t="n">
        <f aca="false">IF(AQ$4=0,0,IF(COUNTIFS(実績!$W$6:$W$505,AQ$3,実績!$AI$6:$AI$505,"&lt;="&amp;$A154,実績!$AJ$6:$AJ$505,"&gt;"&amp;$A154,実績!$AK$6:$AK$505,"○")&gt;0,1,0))</f>
        <v>0</v>
      </c>
      <c r="AR154" s="39" t="n">
        <f aca="false">IF(AR$4=0,0,IF(COUNTIFS(実績!$W$6:$W$505,AR$3,実績!$AI$6:$AI$505,"&lt;="&amp;$A154,実績!$AJ$6:$AJ$505,"&gt;"&amp;$A154,実績!$AK$6:$AK$505,"○")&gt;0,1,0))</f>
        <v>0</v>
      </c>
      <c r="AS154" s="39" t="n">
        <f aca="false">IF(AS$4=0,0,IF(COUNTIFS(実績!$W$6:$W$505,AS$3,実績!$AI$6:$AI$505,"&lt;="&amp;$A154,実績!$AJ$6:$AJ$505,"&gt;"&amp;$A154,実績!$AK$6:$AK$505,"○")&gt;0,1,0))</f>
        <v>0</v>
      </c>
      <c r="AT154" s="39" t="n">
        <f aca="false">IF(AT$4=0,0,IF(COUNTIFS(実績!$W$6:$W$505,AT$3,実績!$AI$6:$AI$505,"&lt;="&amp;$A154,実績!$AJ$6:$AJ$505,"&gt;"&amp;$A154,実績!$AK$6:$AK$505,"○")&gt;0,1,0))</f>
        <v>0</v>
      </c>
      <c r="AU154" s="39" t="n">
        <f aca="false">IF(AU$4=0,0,IF(COUNTIFS(実績!$W$6:$W$505,AU$3,実績!$AI$6:$AI$505,"&lt;="&amp;$A154,実績!$AJ$6:$AJ$505,"&gt;"&amp;$A154,実績!$AK$6:$AK$505,"○")&gt;0,1,0))</f>
        <v>0</v>
      </c>
      <c r="AV154" s="39" t="n">
        <f aca="false">IF(AV$4=0,0,IF(COUNTIFS(実績!$W$6:$W$505,AV$3,実績!$AI$6:$AI$505,"&lt;="&amp;$A154,実績!$AJ$6:$AJ$505,"&gt;"&amp;$A154,実績!$AK$6:$AK$505,"○")&gt;0,1,0))</f>
        <v>0</v>
      </c>
      <c r="AW154" s="39" t="n">
        <f aca="false">IF(AW$4=0,0,IF(COUNTIFS(実績!$W$6:$W$505,AW$3,実績!$AI$6:$AI$505,"&lt;="&amp;$A154,実績!$AJ$6:$AJ$505,"&gt;"&amp;$A154,実績!$AK$6:$AK$505,"○")&gt;0,1,0))</f>
        <v>0</v>
      </c>
      <c r="AX154" s="39" t="n">
        <f aca="false">IF(AX$4=0,0,IF(COUNTIFS(実績!$W$6:$W$505,AX$3,実績!$AI$6:$AI$505,"&lt;="&amp;$A154,実績!$AJ$6:$AJ$505,"&gt;"&amp;$A154,実績!$AK$6:$AK$505,"○")&gt;0,1,0))</f>
        <v>0</v>
      </c>
      <c r="AY154" s="39" t="n">
        <f aca="false">IF(AY$4=0,0,IF(COUNTIFS(実績!$W$6:$W$505,AY$3,実績!$AI$6:$AI$505,"&lt;="&amp;$A154,実績!$AJ$6:$AJ$505,"&gt;"&amp;$A154,実績!$AK$6:$AK$505,"○")&gt;0,1,0))</f>
        <v>0</v>
      </c>
      <c r="AZ154" s="39" t="n">
        <f aca="false">IF(AZ$4=0,0,IF(COUNTIFS(実績!$W$6:$W$505,AZ$3,実績!$AI$6:$AI$505,"&lt;="&amp;$A154,実績!$AJ$6:$AJ$505,"&gt;"&amp;$A154,実績!$AK$6:$AK$505,"○")&gt;0,1,0))</f>
        <v>0</v>
      </c>
      <c r="BA154" s="39" t="n">
        <f aca="false">IF(BA$4=0,0,IF(COUNTIFS(実績!$W$6:$W$505,BA$3,実績!$AI$6:$AI$505,"&lt;="&amp;$A154,実績!$AJ$6:$AJ$505,"&gt;"&amp;$A154,実績!$AK$6:$AK$505,"○")&gt;0,1,0))</f>
        <v>0</v>
      </c>
      <c r="BB154" s="39" t="n">
        <f aca="false">IF(BB$4=0,0,IF(COUNTIFS(実績!$W$6:$W$505,BB$3,実績!$AI$6:$AI$505,"&lt;="&amp;$A154,実績!$AJ$6:$AJ$505,"&gt;"&amp;$A154,実績!$AK$6:$AK$505,"○")&gt;0,1,0))</f>
        <v>0</v>
      </c>
      <c r="BC154" s="39" t="n">
        <f aca="false">IF(BC$4=0,0,IF(COUNTIFS(実績!$W$6:$W$505,BC$3,実績!$AI$6:$AI$505,"&lt;="&amp;$A154,実績!$AJ$6:$AJ$505,"&gt;"&amp;$A154,実績!$AK$6:$AK$505,"○")&gt;0,1,0))</f>
        <v>0</v>
      </c>
      <c r="BD154" s="39" t="n">
        <f aca="false">IF(BD$4=0,0,IF(COUNTIFS(実績!$W$6:$W$505,BD$3,実績!$AI$6:$AI$505,"&lt;="&amp;$A154,実績!$AJ$6:$AJ$505,"&gt;"&amp;$A154,実績!$AK$6:$AK$505,"○")&gt;0,1,0))</f>
        <v>0</v>
      </c>
      <c r="BE154" s="39" t="n">
        <f aca="false">IF(BE$4=0,0,IF(COUNTIFS(実績!$W$6:$W$505,BE$3,実績!$AI$6:$AI$505,"&lt;="&amp;$A154,実績!$AJ$6:$AJ$505,"&gt;"&amp;$A154,実績!$AK$6:$AK$505,"○")&gt;0,1,0))</f>
        <v>0</v>
      </c>
      <c r="BF154" s="39" t="n">
        <f aca="false">IF(BF$4=0,0,IF(COUNTIFS(実績!$W$6:$W$505,BF$3,実績!$AI$6:$AI$505,"&lt;="&amp;$A154,実績!$AJ$6:$AJ$505,"&gt;"&amp;$A154,実績!$AK$6:$AK$505,"○")&gt;0,1,0))</f>
        <v>0</v>
      </c>
      <c r="BG154" s="39" t="n">
        <f aca="false">IF(BG$4=0,0,IF(COUNTIFS(実績!$W$6:$W$505,BG$3,実績!$AI$6:$AI$505,"&lt;="&amp;$A154,実績!$AJ$6:$AJ$505,"&gt;"&amp;$A154,実績!$AK$6:$AK$505,"○")&gt;0,1,0))</f>
        <v>0</v>
      </c>
      <c r="BH154" s="39" t="n">
        <f aca="false">IF(BH$4=0,0,IF(COUNTIFS(実績!$W$6:$W$505,BH$3,実績!$AI$6:$AI$505,"&lt;="&amp;$A154,実績!$AJ$6:$AJ$505,"&gt;"&amp;$A154,実績!$AK$6:$AK$505,"○")&gt;0,1,0))</f>
        <v>0</v>
      </c>
      <c r="BI154" s="39" t="n">
        <f aca="false">IF(BI$4=0,0,IF(COUNTIFS(実績!$W$6:$W$505,BI$3,実績!$AI$6:$AI$505,"&lt;="&amp;$A154,実績!$AJ$6:$AJ$505,"&gt;"&amp;$A154,実績!$AK$6:$AK$505,"○")&gt;0,1,0))</f>
        <v>0</v>
      </c>
      <c r="BJ154" s="39" t="n">
        <f aca="false">IF(BJ$4=0,0,IF(COUNTIFS(実績!$W$6:$W$505,BJ$3,実績!$AI$6:$AI$505,"&lt;="&amp;$A154,実績!$AJ$6:$AJ$505,"&gt;"&amp;$A154,実績!$AK$6:$AK$505,"○")&gt;0,1,0))</f>
        <v>0</v>
      </c>
      <c r="BK154" s="39" t="n">
        <f aca="false">IF(BK$4=0,0,IF(COUNTIFS(実績!$W$6:$W$505,BK$3,実績!$AI$6:$AI$505,"&lt;="&amp;$A154,実績!$AJ$6:$AJ$505,"&gt;"&amp;$A154,実績!$AK$6:$AK$505,"○")&gt;0,1,0))</f>
        <v>0</v>
      </c>
      <c r="BL154" s="39" t="n">
        <f aca="false">IF(BL$4=0,0,IF(COUNTIFS(実績!$W$6:$W$505,BL$3,実績!$AI$6:$AI$505,"&lt;="&amp;$A154,実績!$AJ$6:$AJ$505,"&gt;"&amp;$A154,実績!$AK$6:$AK$505,"○")&gt;0,1,0))</f>
        <v>0</v>
      </c>
      <c r="BM154" s="39" t="n">
        <f aca="false">IF(BM$4=0,0,IF(COUNTIFS(実績!$W$6:$W$505,BM$3,実績!$AI$6:$AI$505,"&lt;="&amp;$A154,実績!$AJ$6:$AJ$505,"&gt;"&amp;$A154,実績!$AK$6:$AK$505,"○")&gt;0,1,0))</f>
        <v>0</v>
      </c>
      <c r="BN154" s="39" t="n">
        <f aca="false">IF(BN$4=0,0,IF(COUNTIFS(実績!$W$6:$W$505,BN$3,実績!$AI$6:$AI$505,"&lt;="&amp;$A154,実績!$AJ$6:$AJ$505,"&gt;"&amp;$A154,実績!$AK$6:$AK$505,"○")&gt;0,1,0))</f>
        <v>0</v>
      </c>
      <c r="BO154" s="39" t="n">
        <f aca="false">IF(BO$4=0,0,IF(COUNTIFS(実績!$W$6:$W$505,BO$3,実績!$AI$6:$AI$505,"&lt;="&amp;$A154,実績!$AJ$6:$AJ$505,"&gt;"&amp;$A154,実績!$AK$6:$AK$505,"○")&gt;0,1,0))</f>
        <v>0</v>
      </c>
      <c r="BP154" s="39" t="n">
        <f aca="false">IF(BP$4=0,0,IF(COUNTIFS(実績!$W$6:$W$505,BP$3,実績!$AI$6:$AI$505,"&lt;="&amp;$A154,実績!$AJ$6:$AJ$505,"&gt;"&amp;$A154,実績!$AK$6:$AK$505,"○")&gt;0,1,0))</f>
        <v>0</v>
      </c>
      <c r="BQ154" s="39" t="n">
        <f aca="false">IF(BQ$4=0,0,IF(COUNTIFS(実績!$W$6:$W$505,BQ$3,実績!$AI$6:$AI$505,"&lt;="&amp;$A154,実績!$AJ$6:$AJ$505,"&gt;"&amp;$A154,実績!$AK$6:$AK$505,"○")&gt;0,1,0))</f>
        <v>0</v>
      </c>
      <c r="BR154" s="39" t="n">
        <f aca="false">IF(BR$4=0,0,IF(COUNTIFS(実績!$W$6:$W$505,BR$3,実績!$AI$6:$AI$505,"&lt;="&amp;$A154,実績!$AJ$6:$AJ$505,"&gt;"&amp;$A154,実績!$AK$6:$AK$505,"○")&gt;0,1,0))</f>
        <v>0</v>
      </c>
      <c r="BS154" s="39" t="n">
        <f aca="false">IF(BS$4=0,0,IF(COUNTIFS(実績!$W$6:$W$505,BS$3,実績!$AI$6:$AI$505,"&lt;="&amp;$A154,実績!$AJ$6:$AJ$505,"&gt;"&amp;$A154,実績!$AK$6:$AK$505,"○")&gt;0,1,0))</f>
        <v>0</v>
      </c>
      <c r="BT154" s="39" t="n">
        <f aca="false">IF(BT$4=0,0,IF(COUNTIFS(実績!$W$6:$W$505,BT$3,実績!$AI$6:$AI$505,"&lt;="&amp;$A154,実績!$AJ$6:$AJ$505,"&gt;"&amp;$A154,実績!$AK$6:$AK$505,"○")&gt;0,1,0))</f>
        <v>0</v>
      </c>
      <c r="BU154" s="39" t="n">
        <f aca="false">IF(BU$4=0,0,IF(COUNTIFS(実績!$W$6:$W$505,BU$3,実績!$AI$6:$AI$505,"&lt;="&amp;$A154,実績!$AJ$6:$AJ$505,"&gt;"&amp;$A154,実績!$AK$6:$AK$505,"○")&gt;0,1,0))</f>
        <v>0</v>
      </c>
      <c r="BV154" s="39" t="n">
        <f aca="false">IF(BV$4=0,0,IF(COUNTIFS(実績!$W$6:$W$505,BV$3,実績!$AI$6:$AI$505,"&lt;="&amp;$A154,実績!$AJ$6:$AJ$505,"&gt;"&amp;$A154,実績!$AK$6:$AK$505,"○")&gt;0,1,0))</f>
        <v>0</v>
      </c>
      <c r="BW154" s="39" t="n">
        <f aca="false">IF(BW$4=0,0,IF(COUNTIFS(実績!$W$6:$W$505,BW$3,実績!$AI$6:$AI$505,"&lt;="&amp;$A154,実績!$AJ$6:$AJ$505,"&gt;"&amp;$A154,実績!$AK$6:$AK$505,"○")&gt;0,1,0))</f>
        <v>0</v>
      </c>
      <c r="BX154" s="39" t="n">
        <f aca="false">IF(BX$4=0,0,IF(COUNTIFS(実績!$W$6:$W$505,BX$3,実績!$AI$6:$AI$505,"&lt;="&amp;$A154,実績!$AJ$6:$AJ$505,"&gt;"&amp;$A154,実績!$AK$6:$AK$505,"○")&gt;0,1,0))</f>
        <v>0</v>
      </c>
      <c r="BY154" s="39" t="n">
        <f aca="false">IF(BY$4=0,0,IF(COUNTIFS(実績!$W$6:$W$505,BY$3,実績!$AI$6:$AI$505,"&lt;="&amp;$A154,実績!$AJ$6:$AJ$505,"&gt;"&amp;$A154,実績!$AK$6:$AK$505,"○")&gt;0,1,0))</f>
        <v>0</v>
      </c>
      <c r="BZ154" s="39" t="n">
        <f aca="false">IF(BZ$4=0,0,IF(COUNTIFS(実績!$W$6:$W$505,BZ$3,実績!$AI$6:$AI$505,"&lt;="&amp;$A154,実績!$AJ$6:$AJ$505,"&gt;"&amp;$A154,実績!$AK$6:$AK$505,"○")&gt;0,1,0))</f>
        <v>0</v>
      </c>
      <c r="CA154" s="39" t="n">
        <f aca="false">IF(CA$4=0,0,IF(COUNTIFS(実績!$W$6:$W$505,CA$3,実績!$AI$6:$AI$505,"&lt;="&amp;$A154,実績!$AJ$6:$AJ$505,"&gt;"&amp;$A154,実績!$AK$6:$AK$505,"○")&gt;0,1,0))</f>
        <v>0</v>
      </c>
      <c r="CB154" s="39" t="n">
        <f aca="false">IF(CB$4=0,0,IF(COUNTIFS(実績!$W$6:$W$505,CB$3,実績!$AI$6:$AI$505,"&lt;="&amp;$A154,実績!$AJ$6:$AJ$505,"&gt;"&amp;$A154,実績!$AK$6:$AK$505,"○")&gt;0,1,0))</f>
        <v>0</v>
      </c>
      <c r="CC154" s="39" t="n">
        <f aca="false">IF(CC$4=0,0,IF(COUNTIFS(実績!$W$6:$W$505,CC$3,実績!$AI$6:$AI$505,"&lt;="&amp;$A154,実績!$AJ$6:$AJ$505,"&gt;"&amp;$A154,実績!$AK$6:$AK$505,"○")&gt;0,1,0))</f>
        <v>0</v>
      </c>
      <c r="CD154" s="39" t="n">
        <f aca="false">IF(CD$4=0,0,IF(COUNTIFS(実績!$W$6:$W$505,CD$3,実績!$AI$6:$AI$505,"&lt;="&amp;$A154,実績!$AJ$6:$AJ$505,"&gt;"&amp;$A154,実績!$AK$6:$AK$505,"○")&gt;0,1,0))</f>
        <v>0</v>
      </c>
      <c r="CE154" s="39" t="n">
        <f aca="false">IF(CE$4=0,0,IF(COUNTIFS(実績!$W$6:$W$505,CE$3,実績!$AI$6:$AI$505,"&lt;="&amp;$A154,実績!$AJ$6:$AJ$505,"&gt;"&amp;$A154,実績!$AK$6:$AK$505,"○")&gt;0,1,0))</f>
        <v>0</v>
      </c>
      <c r="CF154" s="39" t="n">
        <f aca="false">IF(CF$4=0,0,IF(COUNTIFS(実績!$W$6:$W$505,CF$3,実績!$AI$6:$AI$505,"&lt;="&amp;$A154,実績!$AJ$6:$AJ$505,"&gt;"&amp;$A154,実績!$AK$6:$AK$505,"○")&gt;0,1,0))</f>
        <v>0</v>
      </c>
      <c r="CG154" s="39" t="n">
        <f aca="false">IF(CG$4=0,0,IF(COUNTIFS(実績!$W$6:$W$505,CG$3,実績!$AI$6:$AI$505,"&lt;="&amp;$A154,実績!$AJ$6:$AJ$505,"&gt;"&amp;$A154,実績!$AK$6:$AK$505,"○")&gt;0,1,0))</f>
        <v>0</v>
      </c>
      <c r="CH154" s="39" t="n">
        <f aca="false">IF(CH$4=0,0,IF(COUNTIFS(実績!$W$6:$W$505,CH$3,実績!$AI$6:$AI$505,"&lt;="&amp;$A154,実績!$AJ$6:$AJ$505,"&gt;"&amp;$A154,実績!$AK$6:$AK$505,"○")&gt;0,1,0))</f>
        <v>0</v>
      </c>
      <c r="CI154" s="39" t="n">
        <f aca="false">IF(CI$4=0,0,IF(COUNTIFS(実績!$W$6:$W$505,CI$3,実績!$AI$6:$AI$505,"&lt;="&amp;$A154,実績!$AJ$6:$AJ$505,"&gt;"&amp;$A154,実績!$AK$6:$AK$505,"○")&gt;0,1,0))</f>
        <v>0</v>
      </c>
      <c r="CJ154" s="39" t="n">
        <f aca="false">IF(CJ$4=0,0,IF(COUNTIFS(実績!$W$6:$W$505,CJ$3,実績!$AI$6:$AI$505,"&lt;="&amp;$A154,実績!$AJ$6:$AJ$505,"&gt;"&amp;$A154,実績!$AK$6:$AK$505,"○")&gt;0,1,0))</f>
        <v>0</v>
      </c>
      <c r="CK154" s="39" t="n">
        <f aca="false">IF(CK$4=0,0,IF(COUNTIFS(実績!$W$6:$W$505,CK$3,実績!$AI$6:$AI$505,"&lt;="&amp;$A154,実績!$AJ$6:$AJ$505,"&gt;"&amp;$A154,実績!$AK$6:$AK$505,"○")&gt;0,1,0))</f>
        <v>0</v>
      </c>
      <c r="CL154" s="39" t="n">
        <f aca="false">IF(CL$4=0,0,IF(COUNTIFS(実績!$W$6:$W$505,CL$3,実績!$AI$6:$AI$505,"&lt;="&amp;$A154,実績!$AJ$6:$AJ$505,"&gt;"&amp;$A154,実績!$AK$6:$AK$505,"○")&gt;0,1,0))</f>
        <v>0</v>
      </c>
      <c r="CM154" s="39" t="n">
        <f aca="false">IF(CM$4=0,0,IF(COUNTIFS(実績!$W$6:$W$505,CM$3,実績!$AI$6:$AI$505,"&lt;="&amp;$A154,実績!$AJ$6:$AJ$505,"&gt;"&amp;$A154,実績!$AK$6:$AK$505,"○")&gt;0,1,0))</f>
        <v>0</v>
      </c>
      <c r="CN154" s="39" t="n">
        <f aca="false">IF(CN$4=0,0,IF(COUNTIFS(実績!$W$6:$W$505,CN$3,実績!$AI$6:$AI$505,"&lt;="&amp;$A154,実績!$AJ$6:$AJ$505,"&gt;"&amp;$A154,実績!$AK$6:$AK$505,"○")&gt;0,1,0))</f>
        <v>0</v>
      </c>
      <c r="CO154" s="39" t="n">
        <f aca="false">IF(CO$4=0,0,IF(COUNTIFS(実績!$W$6:$W$505,CO$3,実績!$AI$6:$AI$505,"&lt;="&amp;$A154,実績!$AJ$6:$AJ$505,"&gt;"&amp;$A154,実績!$AK$6:$AK$505,"○")&gt;0,1,0))</f>
        <v>0</v>
      </c>
      <c r="CP154" s="39" t="n">
        <f aca="false">IF(CP$4=0,0,IF(COUNTIFS(実績!$W$6:$W$505,CP$3,実績!$AI$6:$AI$505,"&lt;="&amp;$A154,実績!$AJ$6:$AJ$505,"&gt;"&amp;$A154,実績!$AK$6:$AK$505,"○")&gt;0,1,0))</f>
        <v>0</v>
      </c>
      <c r="CQ154" s="39" t="n">
        <f aca="false">IF(CQ$4=0,0,IF(COUNTIFS(実績!$W$6:$W$505,CQ$3,実績!$AI$6:$AI$505,"&lt;="&amp;$A154,実績!$AJ$6:$AJ$505,"&gt;"&amp;$A154,実績!$AK$6:$AK$505,"○")&gt;0,1,0))</f>
        <v>0</v>
      </c>
      <c r="CR154" s="39" t="n">
        <f aca="false">IF(CR$4=0,0,IF(COUNTIFS(実績!$W$6:$W$505,CR$3,実績!$AI$6:$AI$505,"&lt;="&amp;$A154,実績!$AJ$6:$AJ$505,"&gt;"&amp;$A154,実績!$AK$6:$AK$505,"○")&gt;0,1,0))</f>
        <v>0</v>
      </c>
      <c r="CS154" s="39" t="n">
        <f aca="false">IF(CS$4=0,0,IF(COUNTIFS(実績!$W$6:$W$505,CS$3,実績!$AI$6:$AI$505,"&lt;="&amp;$A154,実績!$AJ$6:$AJ$505,"&gt;"&amp;$A154,実績!$AK$6:$AK$505,"○")&gt;0,1,0))</f>
        <v>0</v>
      </c>
      <c r="CT154" s="39" t="n">
        <f aca="false">IF(CT$4=0,0,IF(COUNTIFS(実績!$W$6:$W$505,CT$3,実績!$AI$6:$AI$505,"&lt;="&amp;$A154,実績!$AJ$6:$AJ$505,"&gt;"&amp;$A154,実績!$AK$6:$AK$505,"○")&gt;0,1,0))</f>
        <v>0</v>
      </c>
      <c r="CU154" s="39" t="n">
        <f aca="false">IF(CU$4=0,0,IF(COUNTIFS(実績!$W$6:$W$505,CU$3,実績!$AI$6:$AI$505,"&lt;="&amp;$A154,実績!$AJ$6:$AJ$505,"&gt;"&amp;$A154,実績!$AK$6:$AK$505,"○")&gt;0,1,0))</f>
        <v>0</v>
      </c>
      <c r="CV154" s="39" t="n">
        <f aca="false">IF(CV$4=0,0,IF(COUNTIFS(実績!$W$6:$W$505,CV$3,実績!$AI$6:$AI$505,"&lt;="&amp;$A154,実績!$AJ$6:$AJ$505,"&gt;"&amp;$A154,実績!$AK$6:$AK$505,"○")&gt;0,1,0))</f>
        <v>0</v>
      </c>
      <c r="CW154" s="39" t="n">
        <f aca="false">IF(CW$4=0,0,IF(COUNTIFS(実績!$W$6:$W$505,CW$3,実績!$AI$6:$AI$505,"&lt;="&amp;$A154,実績!$AJ$6:$AJ$505,"&gt;"&amp;$A154,実績!$AK$6:$AK$505,"○")&gt;0,1,0))</f>
        <v>0</v>
      </c>
      <c r="CX154" s="39" t="n">
        <f aca="false">IF(CX$4=0,0,IF(COUNTIFS(実績!$W$6:$W$505,CX$3,実績!$AI$6:$AI$505,"&lt;="&amp;$A154,実績!$AJ$6:$AJ$505,"&gt;"&amp;$A154,実績!$AK$6:$AK$505,"○")&gt;0,1,0))</f>
        <v>0</v>
      </c>
      <c r="CY154" s="39" t="n">
        <f aca="false">IF(CY$4=0,0,IF(COUNTIFS(実績!$W$6:$W$505,CY$3,実績!$AI$6:$AI$505,"&lt;="&amp;$A154,実績!$AJ$6:$AJ$505,"&gt;"&amp;$A154,実績!$AK$6:$AK$505,"○")&gt;0,1,0))</f>
        <v>0</v>
      </c>
      <c r="CZ154" s="39" t="n">
        <f aca="false">IF(CZ$4=0,0,IF(COUNTIFS(実績!$W$6:$W$505,CZ$3,実績!$AI$6:$AI$505,"&lt;="&amp;$A154,実績!$AJ$6:$AJ$505,"&gt;"&amp;$A154,実績!$AK$6:$AK$505,"○")&gt;0,1,0))</f>
        <v>0</v>
      </c>
      <c r="DA154" s="39" t="n">
        <f aca="false">IF(DA$4=0,0,IF(COUNTIFS(実績!$W$6:$W$505,DA$3,実績!$AI$6:$AI$505,"&lt;="&amp;$A154,実績!$AJ$6:$AJ$505,"&gt;"&amp;$A154,実績!$AK$6:$AK$505,"○")&gt;0,1,0))</f>
        <v>0</v>
      </c>
      <c r="DB154" s="39" t="n">
        <f aca="false">IF(DB$4=0,0,IF(COUNTIFS(実績!$W$6:$W$505,DB$3,実績!$AI$6:$AI$505,"&lt;="&amp;$A154,実績!$AJ$6:$AJ$505,"&gt;"&amp;$A154,実績!$AK$6:$AK$505,"○")&gt;0,1,0))</f>
        <v>0</v>
      </c>
      <c r="DC154" s="39" t="n">
        <f aca="false">IF(DC$4=0,0,IF(COUNTIFS(実績!$W$6:$W$505,DC$3,実績!$AI$6:$AI$505,"&lt;="&amp;$A154,実績!$AJ$6:$AJ$505,"&gt;"&amp;$A154,実績!$AK$6:$AK$505,"○")&gt;0,1,0))</f>
        <v>0</v>
      </c>
      <c r="DD154" s="39" t="n">
        <f aca="false">IF(DD$4=0,0,IF(COUNTIFS(実績!$W$6:$W$505,DD$3,実績!$AI$6:$AI$505,"&lt;="&amp;$A154,実績!$AJ$6:$AJ$505,"&gt;"&amp;$A154,実績!$AK$6:$AK$505,"○")&gt;0,1,0))</f>
        <v>0</v>
      </c>
      <c r="DE154" s="39" t="n">
        <f aca="false">IF(DE$4=0,0,IF(COUNTIFS(実績!$W$6:$W$505,DE$3,実績!$AI$6:$AI$505,"&lt;="&amp;$A154,実績!$AJ$6:$AJ$505,"&gt;"&amp;$A154,実績!$AK$6:$AK$505,"○")&gt;0,1,0))</f>
        <v>0</v>
      </c>
      <c r="DF154" s="39" t="n">
        <f aca="false">IF(DF$4=0,0,IF(COUNTIFS(実績!$W$6:$W$505,DF$3,実績!$AI$6:$AI$505,"&lt;="&amp;$A154,実績!$AJ$6:$AJ$505,"&gt;"&amp;$A154,実績!$AK$6:$AK$505,"○")&gt;0,1,0))</f>
        <v>0</v>
      </c>
      <c r="DG154" s="39" t="n">
        <f aca="false">IF(DG$4=0,0,IF(COUNTIFS(実績!$W$6:$W$505,DG$3,実績!$AI$6:$AI$505,"&lt;="&amp;$A154,実績!$AJ$6:$AJ$505,"&gt;"&amp;$A154,実績!$AK$6:$AK$505,"○")&gt;0,1,0))</f>
        <v>0</v>
      </c>
      <c r="DH154" s="39" t="n">
        <f aca="false">IF(DH$4=0,0,IF(COUNTIFS(実績!$W$6:$W$505,DH$3,実績!$AI$6:$AI$505,"&lt;="&amp;$A154,実績!$AJ$6:$AJ$505,"&gt;"&amp;$A154,実績!$AK$6:$AK$505,"○")&gt;0,1,0))</f>
        <v>0</v>
      </c>
      <c r="DI154" s="39" t="n">
        <f aca="false">IF(DI$4=0,0,IF(COUNTIFS(実績!$W$6:$W$505,DI$3,実績!$AI$6:$AI$505,"&lt;="&amp;$A154,実績!$AJ$6:$AJ$505,"&gt;"&amp;$A154,実績!$AK$6:$AK$505,"○")&gt;0,1,0))</f>
        <v>0</v>
      </c>
      <c r="DJ154" s="39" t="n">
        <f aca="false">IF(DJ$4=0,0,IF(COUNTIFS(実績!$W$6:$W$505,DJ$3,実績!$AI$6:$AI$505,"&lt;="&amp;$A154,実績!$AJ$6:$AJ$505,"&gt;"&amp;$A154,実績!$AK$6:$AK$505,"○")&gt;0,1,0))</f>
        <v>0</v>
      </c>
      <c r="DK154" s="39" t="n">
        <f aca="false">IF(DK$4=0,0,IF(COUNTIFS(実績!$W$6:$W$505,DK$3,実績!$AI$6:$AI$505,"&lt;="&amp;$A154,実績!$AJ$6:$AJ$505,"&gt;"&amp;$A154,実績!$AK$6:$AK$505,"○")&gt;0,1,0))</f>
        <v>0</v>
      </c>
      <c r="DL154" s="39" t="n">
        <f aca="false">IF(DL$4=0,0,IF(COUNTIFS(実績!$W$6:$W$505,DL$3,実績!$AI$6:$AI$505,"&lt;="&amp;$A154,実績!$AJ$6:$AJ$505,"&gt;"&amp;$A154,実績!$AK$6:$AK$505,"○")&gt;0,1,0))</f>
        <v>0</v>
      </c>
      <c r="DM154" s="39" t="n">
        <f aca="false">IF(DM$4=0,0,IF(COUNTIFS(実績!$W$6:$W$505,DM$3,実績!$AI$6:$AI$505,"&lt;="&amp;$A154,実績!$AJ$6:$AJ$505,"&gt;"&amp;$A154,実績!$AK$6:$AK$505,"○")&gt;0,1,0))</f>
        <v>0</v>
      </c>
      <c r="DN154" s="39" t="n">
        <f aca="false">IF(DN$4=0,0,IF(COUNTIFS(実績!$W$6:$W$505,DN$3,実績!$AI$6:$AI$505,"&lt;="&amp;$A154,実績!$AJ$6:$AJ$505,"&gt;"&amp;$A154,実績!$AK$6:$AK$505,"○")&gt;0,1,0))</f>
        <v>0</v>
      </c>
      <c r="DO154" s="39" t="n">
        <f aca="false">IF(DO$4=0,0,IF(COUNTIFS(実績!$W$6:$W$505,DO$3,実績!$AI$6:$AI$505,"&lt;="&amp;$A154,実績!$AJ$6:$AJ$505,"&gt;"&amp;$A154,実績!$AK$6:$AK$505,"○")&gt;0,1,0))</f>
        <v>0</v>
      </c>
      <c r="DP154" s="39" t="n">
        <f aca="false">IF(DP$4=0,0,IF(COUNTIFS(実績!$W$6:$W$505,DP$3,実績!$AI$6:$AI$505,"&lt;="&amp;$A154,実績!$AJ$6:$AJ$505,"&gt;"&amp;$A154,実績!$AK$6:$AK$505,"○")&gt;0,1,0))</f>
        <v>0</v>
      </c>
      <c r="DQ154" s="39" t="n">
        <f aca="false">IF(DQ$4=0,0,IF(COUNTIFS(実績!$W$6:$W$505,DQ$3,実績!$AI$6:$AI$505,"&lt;="&amp;$A154,実績!$AJ$6:$AJ$505,"&gt;"&amp;$A154,実績!$AK$6:$AK$505,"○")&gt;0,1,0))</f>
        <v>0</v>
      </c>
      <c r="DR154" s="39" t="n">
        <f aca="false">IF(DR$4=0,0,IF(COUNTIFS(実績!$W$6:$W$505,DR$3,実績!$AI$6:$AI$505,"&lt;="&amp;$A154,実績!$AJ$6:$AJ$505,"&gt;"&amp;$A154,実績!$AK$6:$AK$505,"○")&gt;0,1,0))</f>
        <v>0</v>
      </c>
      <c r="DS154" s="39" t="n">
        <f aca="false">SUM(C154:DR154)</f>
        <v>0</v>
      </c>
      <c r="DT154" s="39" t="n">
        <f aca="false">SUMPRODUCT((実績!$C$6:$C$505="○")*ISNUMBER(実績!$AM$6:$AM$505)*(実績!$AM$6:$AM$505&lt;=$A154)*(実績!$AN$6:$AN$505&gt;$A154))</f>
        <v>0</v>
      </c>
      <c r="DU154" s="39" t="n">
        <f aca="false">SUMIF($C$2:$DR$2,"製鉄曳船",C154:DR154)</f>
        <v>0</v>
      </c>
      <c r="DV154" s="39" t="n">
        <f aca="false">SUMIF($C$2:$DR$2,"西日本海運",C154:DR154)</f>
        <v>0</v>
      </c>
    </row>
    <row r="155" customFormat="false" ht="15" hidden="false" customHeight="false" outlineLevel="0" collapsed="false">
      <c r="A155" s="0" t="n">
        <v>745</v>
      </c>
      <c r="B155" s="38" t="n">
        <f aca="false">A155/1440</f>
        <v>0.517361111111111</v>
      </c>
      <c r="C155" s="39" t="n">
        <f aca="false">IF(C$4=0,0,IF(COUNTIFS(実績!$W$6:$W$505,C$3,実績!$AI$6:$AI$505,"&lt;="&amp;$A155,実績!$AJ$6:$AJ$505,"&gt;"&amp;$A155,実績!$AK$6:$AK$505,"○")&gt;0,1,0))</f>
        <v>0</v>
      </c>
      <c r="D155" s="39" t="n">
        <f aca="false">IF(D$4=0,0,IF(COUNTIFS(実績!$W$6:$W$505,D$3,実績!$AI$6:$AI$505,"&lt;="&amp;$A155,実績!$AJ$6:$AJ$505,"&gt;"&amp;$A155,実績!$AK$6:$AK$505,"○")&gt;0,1,0))</f>
        <v>0</v>
      </c>
      <c r="E155" s="39" t="n">
        <f aca="false">IF(E$4=0,0,IF(COUNTIFS(実績!$W$6:$W$505,E$3,実績!$AI$6:$AI$505,"&lt;="&amp;$A155,実績!$AJ$6:$AJ$505,"&gt;"&amp;$A155,実績!$AK$6:$AK$505,"○")&gt;0,1,0))</f>
        <v>0</v>
      </c>
      <c r="F155" s="39" t="n">
        <f aca="false">IF(F$4=0,0,IF(COUNTIFS(実績!$W$6:$W$505,F$3,実績!$AI$6:$AI$505,"&lt;="&amp;$A155,実績!$AJ$6:$AJ$505,"&gt;"&amp;$A155,実績!$AK$6:$AK$505,"○")&gt;0,1,0))</f>
        <v>0</v>
      </c>
      <c r="G155" s="39" t="n">
        <f aca="false">IF(G$4=0,0,IF(COUNTIFS(実績!$W$6:$W$505,G$3,実績!$AI$6:$AI$505,"&lt;="&amp;$A155,実績!$AJ$6:$AJ$505,"&gt;"&amp;$A155,実績!$AK$6:$AK$505,"○")&gt;0,1,0))</f>
        <v>0</v>
      </c>
      <c r="H155" s="39" t="n">
        <f aca="false">IF(H$4=0,0,IF(COUNTIFS(実績!$W$6:$W$505,H$3,実績!$AI$6:$AI$505,"&lt;="&amp;$A155,実績!$AJ$6:$AJ$505,"&gt;"&amp;$A155,実績!$AK$6:$AK$505,"○")&gt;0,1,0))</f>
        <v>0</v>
      </c>
      <c r="I155" s="39" t="n">
        <f aca="false">IF(I$4=0,0,IF(COUNTIFS(実績!$W$6:$W$505,I$3,実績!$AI$6:$AI$505,"&lt;="&amp;$A155,実績!$AJ$6:$AJ$505,"&gt;"&amp;$A155,実績!$AK$6:$AK$505,"○")&gt;0,1,0))</f>
        <v>0</v>
      </c>
      <c r="J155" s="39" t="n">
        <f aca="false">IF(J$4=0,0,IF(COUNTIFS(実績!$W$6:$W$505,J$3,実績!$AI$6:$AI$505,"&lt;="&amp;$A155,実績!$AJ$6:$AJ$505,"&gt;"&amp;$A155,実績!$AK$6:$AK$505,"○")&gt;0,1,0))</f>
        <v>0</v>
      </c>
      <c r="K155" s="39" t="n">
        <f aca="false">IF(K$4=0,0,IF(COUNTIFS(実績!$W$6:$W$505,K$3,実績!$AI$6:$AI$505,"&lt;="&amp;$A155,実績!$AJ$6:$AJ$505,"&gt;"&amp;$A155,実績!$AK$6:$AK$505,"○")&gt;0,1,0))</f>
        <v>0</v>
      </c>
      <c r="L155" s="39" t="n">
        <f aca="false">IF(L$4=0,0,IF(COUNTIFS(実績!$W$6:$W$505,L$3,実績!$AI$6:$AI$505,"&lt;="&amp;$A155,実績!$AJ$6:$AJ$505,"&gt;"&amp;$A155,実績!$AK$6:$AK$505,"○")&gt;0,1,0))</f>
        <v>0</v>
      </c>
      <c r="M155" s="39" t="n">
        <f aca="false">IF(M$4=0,0,IF(COUNTIFS(実績!$W$6:$W$505,M$3,実績!$AI$6:$AI$505,"&lt;="&amp;$A155,実績!$AJ$6:$AJ$505,"&gt;"&amp;$A155,実績!$AK$6:$AK$505,"○")&gt;0,1,0))</f>
        <v>0</v>
      </c>
      <c r="N155" s="39" t="n">
        <f aca="false">IF(N$4=0,0,IF(COUNTIFS(実績!$W$6:$W$505,N$3,実績!$AI$6:$AI$505,"&lt;="&amp;$A155,実績!$AJ$6:$AJ$505,"&gt;"&amp;$A155,実績!$AK$6:$AK$505,"○")&gt;0,1,0))</f>
        <v>0</v>
      </c>
      <c r="O155" s="39" t="n">
        <f aca="false">IF(O$4=0,0,IF(COUNTIFS(実績!$W$6:$W$505,O$3,実績!$AI$6:$AI$505,"&lt;="&amp;$A155,実績!$AJ$6:$AJ$505,"&gt;"&amp;$A155,実績!$AK$6:$AK$505,"○")&gt;0,1,0))</f>
        <v>0</v>
      </c>
      <c r="P155" s="39" t="n">
        <f aca="false">IF(P$4=0,0,IF(COUNTIFS(実績!$W$6:$W$505,P$3,実績!$AI$6:$AI$505,"&lt;="&amp;$A155,実績!$AJ$6:$AJ$505,"&gt;"&amp;$A155,実績!$AK$6:$AK$505,"○")&gt;0,1,0))</f>
        <v>0</v>
      </c>
      <c r="Q155" s="39" t="n">
        <f aca="false">IF(Q$4=0,0,IF(COUNTIFS(実績!$W$6:$W$505,Q$3,実績!$AI$6:$AI$505,"&lt;="&amp;$A155,実績!$AJ$6:$AJ$505,"&gt;"&amp;$A155,実績!$AK$6:$AK$505,"○")&gt;0,1,0))</f>
        <v>0</v>
      </c>
      <c r="R155" s="39" t="n">
        <f aca="false">IF(R$4=0,0,IF(COUNTIFS(実績!$W$6:$W$505,R$3,実績!$AI$6:$AI$505,"&lt;="&amp;$A155,実績!$AJ$6:$AJ$505,"&gt;"&amp;$A155,実績!$AK$6:$AK$505,"○")&gt;0,1,0))</f>
        <v>0</v>
      </c>
      <c r="S155" s="39" t="n">
        <f aca="false">IF(S$4=0,0,IF(COUNTIFS(実績!$W$6:$W$505,S$3,実績!$AI$6:$AI$505,"&lt;="&amp;$A155,実績!$AJ$6:$AJ$505,"&gt;"&amp;$A155,実績!$AK$6:$AK$505,"○")&gt;0,1,0))</f>
        <v>0</v>
      </c>
      <c r="T155" s="39" t="n">
        <f aca="false">IF(T$4=0,0,IF(COUNTIFS(実績!$W$6:$W$505,T$3,実績!$AI$6:$AI$505,"&lt;="&amp;$A155,実績!$AJ$6:$AJ$505,"&gt;"&amp;$A155,実績!$AK$6:$AK$505,"○")&gt;0,1,0))</f>
        <v>0</v>
      </c>
      <c r="U155" s="39" t="n">
        <f aca="false">IF(U$4=0,0,IF(COUNTIFS(実績!$W$6:$W$505,U$3,実績!$AI$6:$AI$505,"&lt;="&amp;$A155,実績!$AJ$6:$AJ$505,"&gt;"&amp;$A155,実績!$AK$6:$AK$505,"○")&gt;0,1,0))</f>
        <v>0</v>
      </c>
      <c r="V155" s="39" t="n">
        <f aca="false">IF(V$4=0,0,IF(COUNTIFS(実績!$W$6:$W$505,V$3,実績!$AI$6:$AI$505,"&lt;="&amp;$A155,実績!$AJ$6:$AJ$505,"&gt;"&amp;$A155,実績!$AK$6:$AK$505,"○")&gt;0,1,0))</f>
        <v>0</v>
      </c>
      <c r="W155" s="39" t="n">
        <f aca="false">IF(W$4=0,0,IF(COUNTIFS(実績!$W$6:$W$505,W$3,実績!$AI$6:$AI$505,"&lt;="&amp;$A155,実績!$AJ$6:$AJ$505,"&gt;"&amp;$A155,実績!$AK$6:$AK$505,"○")&gt;0,1,0))</f>
        <v>0</v>
      </c>
      <c r="X155" s="39" t="n">
        <f aca="false">IF(X$4=0,0,IF(COUNTIFS(実績!$W$6:$W$505,X$3,実績!$AI$6:$AI$505,"&lt;="&amp;$A155,実績!$AJ$6:$AJ$505,"&gt;"&amp;$A155,実績!$AK$6:$AK$505,"○")&gt;0,1,0))</f>
        <v>0</v>
      </c>
      <c r="Y155" s="39" t="n">
        <f aca="false">IF(Y$4=0,0,IF(COUNTIFS(実績!$W$6:$W$505,Y$3,実績!$AI$6:$AI$505,"&lt;="&amp;$A155,実績!$AJ$6:$AJ$505,"&gt;"&amp;$A155,実績!$AK$6:$AK$505,"○")&gt;0,1,0))</f>
        <v>0</v>
      </c>
      <c r="Z155" s="39" t="n">
        <f aca="false">IF(Z$4=0,0,IF(COUNTIFS(実績!$W$6:$W$505,Z$3,実績!$AI$6:$AI$505,"&lt;="&amp;$A155,実績!$AJ$6:$AJ$505,"&gt;"&amp;$A155,実績!$AK$6:$AK$505,"○")&gt;0,1,0))</f>
        <v>0</v>
      </c>
      <c r="AA155" s="39" t="n">
        <f aca="false">IF(AA$4=0,0,IF(COUNTIFS(実績!$W$6:$W$505,AA$3,実績!$AI$6:$AI$505,"&lt;="&amp;$A155,実績!$AJ$6:$AJ$505,"&gt;"&amp;$A155,実績!$AK$6:$AK$505,"○")&gt;0,1,0))</f>
        <v>0</v>
      </c>
      <c r="AB155" s="39" t="n">
        <f aca="false">IF(AB$4=0,0,IF(COUNTIFS(実績!$W$6:$W$505,AB$3,実績!$AI$6:$AI$505,"&lt;="&amp;$A155,実績!$AJ$6:$AJ$505,"&gt;"&amp;$A155,実績!$AK$6:$AK$505,"○")&gt;0,1,0))</f>
        <v>0</v>
      </c>
      <c r="AC155" s="39" t="n">
        <f aca="false">IF(AC$4=0,0,IF(COUNTIFS(実績!$W$6:$W$505,AC$3,実績!$AI$6:$AI$505,"&lt;="&amp;$A155,実績!$AJ$6:$AJ$505,"&gt;"&amp;$A155,実績!$AK$6:$AK$505,"○")&gt;0,1,0))</f>
        <v>0</v>
      </c>
      <c r="AD155" s="39" t="n">
        <f aca="false">IF(AD$4=0,0,IF(COUNTIFS(実績!$W$6:$W$505,AD$3,実績!$AI$6:$AI$505,"&lt;="&amp;$A155,実績!$AJ$6:$AJ$505,"&gt;"&amp;$A155,実績!$AK$6:$AK$505,"○")&gt;0,1,0))</f>
        <v>0</v>
      </c>
      <c r="AE155" s="39" t="n">
        <f aca="false">IF(AE$4=0,0,IF(COUNTIFS(実績!$W$6:$W$505,AE$3,実績!$AI$6:$AI$505,"&lt;="&amp;$A155,実績!$AJ$6:$AJ$505,"&gt;"&amp;$A155,実績!$AK$6:$AK$505,"○")&gt;0,1,0))</f>
        <v>0</v>
      </c>
      <c r="AF155" s="39" t="n">
        <f aca="false">IF(AF$4=0,0,IF(COUNTIFS(実績!$W$6:$W$505,AF$3,実績!$AI$6:$AI$505,"&lt;="&amp;$A155,実績!$AJ$6:$AJ$505,"&gt;"&amp;$A155,実績!$AK$6:$AK$505,"○")&gt;0,1,0))</f>
        <v>0</v>
      </c>
      <c r="AG155" s="39" t="n">
        <f aca="false">IF(AG$4=0,0,IF(COUNTIFS(実績!$W$6:$W$505,AG$3,実績!$AI$6:$AI$505,"&lt;="&amp;$A155,実績!$AJ$6:$AJ$505,"&gt;"&amp;$A155,実績!$AK$6:$AK$505,"○")&gt;0,1,0))</f>
        <v>0</v>
      </c>
      <c r="AH155" s="39" t="n">
        <f aca="false">IF(AH$4=0,0,IF(COUNTIFS(実績!$W$6:$W$505,AH$3,実績!$AI$6:$AI$505,"&lt;="&amp;$A155,実績!$AJ$6:$AJ$505,"&gt;"&amp;$A155,実績!$AK$6:$AK$505,"○")&gt;0,1,0))</f>
        <v>0</v>
      </c>
      <c r="AI155" s="39" t="n">
        <f aca="false">IF(AI$4=0,0,IF(COUNTIFS(実績!$W$6:$W$505,AI$3,実績!$AI$6:$AI$505,"&lt;="&amp;$A155,実績!$AJ$6:$AJ$505,"&gt;"&amp;$A155,実績!$AK$6:$AK$505,"○")&gt;0,1,0))</f>
        <v>0</v>
      </c>
      <c r="AJ155" s="39" t="n">
        <f aca="false">IF(AJ$4=0,0,IF(COUNTIFS(実績!$W$6:$W$505,AJ$3,実績!$AI$6:$AI$505,"&lt;="&amp;$A155,実績!$AJ$6:$AJ$505,"&gt;"&amp;$A155,実績!$AK$6:$AK$505,"○")&gt;0,1,0))</f>
        <v>0</v>
      </c>
      <c r="AK155" s="39" t="n">
        <f aca="false">IF(AK$4=0,0,IF(COUNTIFS(実績!$W$6:$W$505,AK$3,実績!$AI$6:$AI$505,"&lt;="&amp;$A155,実績!$AJ$6:$AJ$505,"&gt;"&amp;$A155,実績!$AK$6:$AK$505,"○")&gt;0,1,0))</f>
        <v>0</v>
      </c>
      <c r="AL155" s="39" t="n">
        <f aca="false">IF(AL$4=0,0,IF(COUNTIFS(実績!$W$6:$W$505,AL$3,実績!$AI$6:$AI$505,"&lt;="&amp;$A155,実績!$AJ$6:$AJ$505,"&gt;"&amp;$A155,実績!$AK$6:$AK$505,"○")&gt;0,1,0))</f>
        <v>0</v>
      </c>
      <c r="AM155" s="39" t="n">
        <f aca="false">IF(AM$4=0,0,IF(COUNTIFS(実績!$W$6:$W$505,AM$3,実績!$AI$6:$AI$505,"&lt;="&amp;$A155,実績!$AJ$6:$AJ$505,"&gt;"&amp;$A155,実績!$AK$6:$AK$505,"○")&gt;0,1,0))</f>
        <v>0</v>
      </c>
      <c r="AN155" s="39" t="n">
        <f aca="false">IF(AN$4=0,0,IF(COUNTIFS(実績!$W$6:$W$505,AN$3,実績!$AI$6:$AI$505,"&lt;="&amp;$A155,実績!$AJ$6:$AJ$505,"&gt;"&amp;$A155,実績!$AK$6:$AK$505,"○")&gt;0,1,0))</f>
        <v>0</v>
      </c>
      <c r="AO155" s="39" t="n">
        <f aca="false">IF(AO$4=0,0,IF(COUNTIFS(実績!$W$6:$W$505,AO$3,実績!$AI$6:$AI$505,"&lt;="&amp;$A155,実績!$AJ$6:$AJ$505,"&gt;"&amp;$A155,実績!$AK$6:$AK$505,"○")&gt;0,1,0))</f>
        <v>0</v>
      </c>
      <c r="AP155" s="39" t="n">
        <f aca="false">IF(AP$4=0,0,IF(COUNTIFS(実績!$W$6:$W$505,AP$3,実績!$AI$6:$AI$505,"&lt;="&amp;$A155,実績!$AJ$6:$AJ$505,"&gt;"&amp;$A155,実績!$AK$6:$AK$505,"○")&gt;0,1,0))</f>
        <v>0</v>
      </c>
      <c r="AQ155" s="39" t="n">
        <f aca="false">IF(AQ$4=0,0,IF(COUNTIFS(実績!$W$6:$W$505,AQ$3,実績!$AI$6:$AI$505,"&lt;="&amp;$A155,実績!$AJ$6:$AJ$505,"&gt;"&amp;$A155,実績!$AK$6:$AK$505,"○")&gt;0,1,0))</f>
        <v>0</v>
      </c>
      <c r="AR155" s="39" t="n">
        <f aca="false">IF(AR$4=0,0,IF(COUNTIFS(実績!$W$6:$W$505,AR$3,実績!$AI$6:$AI$505,"&lt;="&amp;$A155,実績!$AJ$6:$AJ$505,"&gt;"&amp;$A155,実績!$AK$6:$AK$505,"○")&gt;0,1,0))</f>
        <v>0</v>
      </c>
      <c r="AS155" s="39" t="n">
        <f aca="false">IF(AS$4=0,0,IF(COUNTIFS(実績!$W$6:$W$505,AS$3,実績!$AI$6:$AI$505,"&lt;="&amp;$A155,実績!$AJ$6:$AJ$505,"&gt;"&amp;$A155,実績!$AK$6:$AK$505,"○")&gt;0,1,0))</f>
        <v>0</v>
      </c>
      <c r="AT155" s="39" t="n">
        <f aca="false">IF(AT$4=0,0,IF(COUNTIFS(実績!$W$6:$W$505,AT$3,実績!$AI$6:$AI$505,"&lt;="&amp;$A155,実績!$AJ$6:$AJ$505,"&gt;"&amp;$A155,実績!$AK$6:$AK$505,"○")&gt;0,1,0))</f>
        <v>0</v>
      </c>
      <c r="AU155" s="39" t="n">
        <f aca="false">IF(AU$4=0,0,IF(COUNTIFS(実績!$W$6:$W$505,AU$3,実績!$AI$6:$AI$505,"&lt;="&amp;$A155,実績!$AJ$6:$AJ$505,"&gt;"&amp;$A155,実績!$AK$6:$AK$505,"○")&gt;0,1,0))</f>
        <v>0</v>
      </c>
      <c r="AV155" s="39" t="n">
        <f aca="false">IF(AV$4=0,0,IF(COUNTIFS(実績!$W$6:$W$505,AV$3,実績!$AI$6:$AI$505,"&lt;="&amp;$A155,実績!$AJ$6:$AJ$505,"&gt;"&amp;$A155,実績!$AK$6:$AK$505,"○")&gt;0,1,0))</f>
        <v>0</v>
      </c>
      <c r="AW155" s="39" t="n">
        <f aca="false">IF(AW$4=0,0,IF(COUNTIFS(実績!$W$6:$W$505,AW$3,実績!$AI$6:$AI$505,"&lt;="&amp;$A155,実績!$AJ$6:$AJ$505,"&gt;"&amp;$A155,実績!$AK$6:$AK$505,"○")&gt;0,1,0))</f>
        <v>0</v>
      </c>
      <c r="AX155" s="39" t="n">
        <f aca="false">IF(AX$4=0,0,IF(COUNTIFS(実績!$W$6:$W$505,AX$3,実績!$AI$6:$AI$505,"&lt;="&amp;$A155,実績!$AJ$6:$AJ$505,"&gt;"&amp;$A155,実績!$AK$6:$AK$505,"○")&gt;0,1,0))</f>
        <v>0</v>
      </c>
      <c r="AY155" s="39" t="n">
        <f aca="false">IF(AY$4=0,0,IF(COUNTIFS(実績!$W$6:$W$505,AY$3,実績!$AI$6:$AI$505,"&lt;="&amp;$A155,実績!$AJ$6:$AJ$505,"&gt;"&amp;$A155,実績!$AK$6:$AK$505,"○")&gt;0,1,0))</f>
        <v>0</v>
      </c>
      <c r="AZ155" s="39" t="n">
        <f aca="false">IF(AZ$4=0,0,IF(COUNTIFS(実績!$W$6:$W$505,AZ$3,実績!$AI$6:$AI$505,"&lt;="&amp;$A155,実績!$AJ$6:$AJ$505,"&gt;"&amp;$A155,実績!$AK$6:$AK$505,"○")&gt;0,1,0))</f>
        <v>0</v>
      </c>
      <c r="BA155" s="39" t="n">
        <f aca="false">IF(BA$4=0,0,IF(COUNTIFS(実績!$W$6:$W$505,BA$3,実績!$AI$6:$AI$505,"&lt;="&amp;$A155,実績!$AJ$6:$AJ$505,"&gt;"&amp;$A155,実績!$AK$6:$AK$505,"○")&gt;0,1,0))</f>
        <v>0</v>
      </c>
      <c r="BB155" s="39" t="n">
        <f aca="false">IF(BB$4=0,0,IF(COUNTIFS(実績!$W$6:$W$505,BB$3,実績!$AI$6:$AI$505,"&lt;="&amp;$A155,実績!$AJ$6:$AJ$505,"&gt;"&amp;$A155,実績!$AK$6:$AK$505,"○")&gt;0,1,0))</f>
        <v>0</v>
      </c>
      <c r="BC155" s="39" t="n">
        <f aca="false">IF(BC$4=0,0,IF(COUNTIFS(実績!$W$6:$W$505,BC$3,実績!$AI$6:$AI$505,"&lt;="&amp;$A155,実績!$AJ$6:$AJ$505,"&gt;"&amp;$A155,実績!$AK$6:$AK$505,"○")&gt;0,1,0))</f>
        <v>0</v>
      </c>
      <c r="BD155" s="39" t="n">
        <f aca="false">IF(BD$4=0,0,IF(COUNTIFS(実績!$W$6:$W$505,BD$3,実績!$AI$6:$AI$505,"&lt;="&amp;$A155,実績!$AJ$6:$AJ$505,"&gt;"&amp;$A155,実績!$AK$6:$AK$505,"○")&gt;0,1,0))</f>
        <v>0</v>
      </c>
      <c r="BE155" s="39" t="n">
        <f aca="false">IF(BE$4=0,0,IF(COUNTIFS(実績!$W$6:$W$505,BE$3,実績!$AI$6:$AI$505,"&lt;="&amp;$A155,実績!$AJ$6:$AJ$505,"&gt;"&amp;$A155,実績!$AK$6:$AK$505,"○")&gt;0,1,0))</f>
        <v>0</v>
      </c>
      <c r="BF155" s="39" t="n">
        <f aca="false">IF(BF$4=0,0,IF(COUNTIFS(実績!$W$6:$W$505,BF$3,実績!$AI$6:$AI$505,"&lt;="&amp;$A155,実績!$AJ$6:$AJ$505,"&gt;"&amp;$A155,実績!$AK$6:$AK$505,"○")&gt;0,1,0))</f>
        <v>0</v>
      </c>
      <c r="BG155" s="39" t="n">
        <f aca="false">IF(BG$4=0,0,IF(COUNTIFS(実績!$W$6:$W$505,BG$3,実績!$AI$6:$AI$505,"&lt;="&amp;$A155,実績!$AJ$6:$AJ$505,"&gt;"&amp;$A155,実績!$AK$6:$AK$505,"○")&gt;0,1,0))</f>
        <v>0</v>
      </c>
      <c r="BH155" s="39" t="n">
        <f aca="false">IF(BH$4=0,0,IF(COUNTIFS(実績!$W$6:$W$505,BH$3,実績!$AI$6:$AI$505,"&lt;="&amp;$A155,実績!$AJ$6:$AJ$505,"&gt;"&amp;$A155,実績!$AK$6:$AK$505,"○")&gt;0,1,0))</f>
        <v>0</v>
      </c>
      <c r="BI155" s="39" t="n">
        <f aca="false">IF(BI$4=0,0,IF(COUNTIFS(実績!$W$6:$W$505,BI$3,実績!$AI$6:$AI$505,"&lt;="&amp;$A155,実績!$AJ$6:$AJ$505,"&gt;"&amp;$A155,実績!$AK$6:$AK$505,"○")&gt;0,1,0))</f>
        <v>0</v>
      </c>
      <c r="BJ155" s="39" t="n">
        <f aca="false">IF(BJ$4=0,0,IF(COUNTIFS(実績!$W$6:$W$505,BJ$3,実績!$AI$6:$AI$505,"&lt;="&amp;$A155,実績!$AJ$6:$AJ$505,"&gt;"&amp;$A155,実績!$AK$6:$AK$505,"○")&gt;0,1,0))</f>
        <v>0</v>
      </c>
      <c r="BK155" s="39" t="n">
        <f aca="false">IF(BK$4=0,0,IF(COUNTIFS(実績!$W$6:$W$505,BK$3,実績!$AI$6:$AI$505,"&lt;="&amp;$A155,実績!$AJ$6:$AJ$505,"&gt;"&amp;$A155,実績!$AK$6:$AK$505,"○")&gt;0,1,0))</f>
        <v>0</v>
      </c>
      <c r="BL155" s="39" t="n">
        <f aca="false">IF(BL$4=0,0,IF(COUNTIFS(実績!$W$6:$W$505,BL$3,実績!$AI$6:$AI$505,"&lt;="&amp;$A155,実績!$AJ$6:$AJ$505,"&gt;"&amp;$A155,実績!$AK$6:$AK$505,"○")&gt;0,1,0))</f>
        <v>0</v>
      </c>
      <c r="BM155" s="39" t="n">
        <f aca="false">IF(BM$4=0,0,IF(COUNTIFS(実績!$W$6:$W$505,BM$3,実績!$AI$6:$AI$505,"&lt;="&amp;$A155,実績!$AJ$6:$AJ$505,"&gt;"&amp;$A155,実績!$AK$6:$AK$505,"○")&gt;0,1,0))</f>
        <v>0</v>
      </c>
      <c r="BN155" s="39" t="n">
        <f aca="false">IF(BN$4=0,0,IF(COUNTIFS(実績!$W$6:$W$505,BN$3,実績!$AI$6:$AI$505,"&lt;="&amp;$A155,実績!$AJ$6:$AJ$505,"&gt;"&amp;$A155,実績!$AK$6:$AK$505,"○")&gt;0,1,0))</f>
        <v>0</v>
      </c>
      <c r="BO155" s="39" t="n">
        <f aca="false">IF(BO$4=0,0,IF(COUNTIFS(実績!$W$6:$W$505,BO$3,実績!$AI$6:$AI$505,"&lt;="&amp;$A155,実績!$AJ$6:$AJ$505,"&gt;"&amp;$A155,実績!$AK$6:$AK$505,"○")&gt;0,1,0))</f>
        <v>0</v>
      </c>
      <c r="BP155" s="39" t="n">
        <f aca="false">IF(BP$4=0,0,IF(COUNTIFS(実績!$W$6:$W$505,BP$3,実績!$AI$6:$AI$505,"&lt;="&amp;$A155,実績!$AJ$6:$AJ$505,"&gt;"&amp;$A155,実績!$AK$6:$AK$505,"○")&gt;0,1,0))</f>
        <v>0</v>
      </c>
      <c r="BQ155" s="39" t="n">
        <f aca="false">IF(BQ$4=0,0,IF(COUNTIFS(実績!$W$6:$W$505,BQ$3,実績!$AI$6:$AI$505,"&lt;="&amp;$A155,実績!$AJ$6:$AJ$505,"&gt;"&amp;$A155,実績!$AK$6:$AK$505,"○")&gt;0,1,0))</f>
        <v>0</v>
      </c>
      <c r="BR155" s="39" t="n">
        <f aca="false">IF(BR$4=0,0,IF(COUNTIFS(実績!$W$6:$W$505,BR$3,実績!$AI$6:$AI$505,"&lt;="&amp;$A155,実績!$AJ$6:$AJ$505,"&gt;"&amp;$A155,実績!$AK$6:$AK$505,"○")&gt;0,1,0))</f>
        <v>0</v>
      </c>
      <c r="BS155" s="39" t="n">
        <f aca="false">IF(BS$4=0,0,IF(COUNTIFS(実績!$W$6:$W$505,BS$3,実績!$AI$6:$AI$505,"&lt;="&amp;$A155,実績!$AJ$6:$AJ$505,"&gt;"&amp;$A155,実績!$AK$6:$AK$505,"○")&gt;0,1,0))</f>
        <v>0</v>
      </c>
      <c r="BT155" s="39" t="n">
        <f aca="false">IF(BT$4=0,0,IF(COUNTIFS(実績!$W$6:$W$505,BT$3,実績!$AI$6:$AI$505,"&lt;="&amp;$A155,実績!$AJ$6:$AJ$505,"&gt;"&amp;$A155,実績!$AK$6:$AK$505,"○")&gt;0,1,0))</f>
        <v>0</v>
      </c>
      <c r="BU155" s="39" t="n">
        <f aca="false">IF(BU$4=0,0,IF(COUNTIFS(実績!$W$6:$W$505,BU$3,実績!$AI$6:$AI$505,"&lt;="&amp;$A155,実績!$AJ$6:$AJ$505,"&gt;"&amp;$A155,実績!$AK$6:$AK$505,"○")&gt;0,1,0))</f>
        <v>0</v>
      </c>
      <c r="BV155" s="39" t="n">
        <f aca="false">IF(BV$4=0,0,IF(COUNTIFS(実績!$W$6:$W$505,BV$3,実績!$AI$6:$AI$505,"&lt;="&amp;$A155,実績!$AJ$6:$AJ$505,"&gt;"&amp;$A155,実績!$AK$6:$AK$505,"○")&gt;0,1,0))</f>
        <v>0</v>
      </c>
      <c r="BW155" s="39" t="n">
        <f aca="false">IF(BW$4=0,0,IF(COUNTIFS(実績!$W$6:$W$505,BW$3,実績!$AI$6:$AI$505,"&lt;="&amp;$A155,実績!$AJ$6:$AJ$505,"&gt;"&amp;$A155,実績!$AK$6:$AK$505,"○")&gt;0,1,0))</f>
        <v>0</v>
      </c>
      <c r="BX155" s="39" t="n">
        <f aca="false">IF(BX$4=0,0,IF(COUNTIFS(実績!$W$6:$W$505,BX$3,実績!$AI$6:$AI$505,"&lt;="&amp;$A155,実績!$AJ$6:$AJ$505,"&gt;"&amp;$A155,実績!$AK$6:$AK$505,"○")&gt;0,1,0))</f>
        <v>0</v>
      </c>
      <c r="BY155" s="39" t="n">
        <f aca="false">IF(BY$4=0,0,IF(COUNTIFS(実績!$W$6:$W$505,BY$3,実績!$AI$6:$AI$505,"&lt;="&amp;$A155,実績!$AJ$6:$AJ$505,"&gt;"&amp;$A155,実績!$AK$6:$AK$505,"○")&gt;0,1,0))</f>
        <v>0</v>
      </c>
      <c r="BZ155" s="39" t="n">
        <f aca="false">IF(BZ$4=0,0,IF(COUNTIFS(実績!$W$6:$W$505,BZ$3,実績!$AI$6:$AI$505,"&lt;="&amp;$A155,実績!$AJ$6:$AJ$505,"&gt;"&amp;$A155,実績!$AK$6:$AK$505,"○")&gt;0,1,0))</f>
        <v>0</v>
      </c>
      <c r="CA155" s="39" t="n">
        <f aca="false">IF(CA$4=0,0,IF(COUNTIFS(実績!$W$6:$W$505,CA$3,実績!$AI$6:$AI$505,"&lt;="&amp;$A155,実績!$AJ$6:$AJ$505,"&gt;"&amp;$A155,実績!$AK$6:$AK$505,"○")&gt;0,1,0))</f>
        <v>0</v>
      </c>
      <c r="CB155" s="39" t="n">
        <f aca="false">IF(CB$4=0,0,IF(COUNTIFS(実績!$W$6:$W$505,CB$3,実績!$AI$6:$AI$505,"&lt;="&amp;$A155,実績!$AJ$6:$AJ$505,"&gt;"&amp;$A155,実績!$AK$6:$AK$505,"○")&gt;0,1,0))</f>
        <v>0</v>
      </c>
      <c r="CC155" s="39" t="n">
        <f aca="false">IF(CC$4=0,0,IF(COUNTIFS(実績!$W$6:$W$505,CC$3,実績!$AI$6:$AI$505,"&lt;="&amp;$A155,実績!$AJ$6:$AJ$505,"&gt;"&amp;$A155,実績!$AK$6:$AK$505,"○")&gt;0,1,0))</f>
        <v>0</v>
      </c>
      <c r="CD155" s="39" t="n">
        <f aca="false">IF(CD$4=0,0,IF(COUNTIFS(実績!$W$6:$W$505,CD$3,実績!$AI$6:$AI$505,"&lt;="&amp;$A155,実績!$AJ$6:$AJ$505,"&gt;"&amp;$A155,実績!$AK$6:$AK$505,"○")&gt;0,1,0))</f>
        <v>0</v>
      </c>
      <c r="CE155" s="39" t="n">
        <f aca="false">IF(CE$4=0,0,IF(COUNTIFS(実績!$W$6:$W$505,CE$3,実績!$AI$6:$AI$505,"&lt;="&amp;$A155,実績!$AJ$6:$AJ$505,"&gt;"&amp;$A155,実績!$AK$6:$AK$505,"○")&gt;0,1,0))</f>
        <v>0</v>
      </c>
      <c r="CF155" s="39" t="n">
        <f aca="false">IF(CF$4=0,0,IF(COUNTIFS(実績!$W$6:$W$505,CF$3,実績!$AI$6:$AI$505,"&lt;="&amp;$A155,実績!$AJ$6:$AJ$505,"&gt;"&amp;$A155,実績!$AK$6:$AK$505,"○")&gt;0,1,0))</f>
        <v>0</v>
      </c>
      <c r="CG155" s="39" t="n">
        <f aca="false">IF(CG$4=0,0,IF(COUNTIFS(実績!$W$6:$W$505,CG$3,実績!$AI$6:$AI$505,"&lt;="&amp;$A155,実績!$AJ$6:$AJ$505,"&gt;"&amp;$A155,実績!$AK$6:$AK$505,"○")&gt;0,1,0))</f>
        <v>0</v>
      </c>
      <c r="CH155" s="39" t="n">
        <f aca="false">IF(CH$4=0,0,IF(COUNTIFS(実績!$W$6:$W$505,CH$3,実績!$AI$6:$AI$505,"&lt;="&amp;$A155,実績!$AJ$6:$AJ$505,"&gt;"&amp;$A155,実績!$AK$6:$AK$505,"○")&gt;0,1,0))</f>
        <v>0</v>
      </c>
      <c r="CI155" s="39" t="n">
        <f aca="false">IF(CI$4=0,0,IF(COUNTIFS(実績!$W$6:$W$505,CI$3,実績!$AI$6:$AI$505,"&lt;="&amp;$A155,実績!$AJ$6:$AJ$505,"&gt;"&amp;$A155,実績!$AK$6:$AK$505,"○")&gt;0,1,0))</f>
        <v>0</v>
      </c>
      <c r="CJ155" s="39" t="n">
        <f aca="false">IF(CJ$4=0,0,IF(COUNTIFS(実績!$W$6:$W$505,CJ$3,実績!$AI$6:$AI$505,"&lt;="&amp;$A155,実績!$AJ$6:$AJ$505,"&gt;"&amp;$A155,実績!$AK$6:$AK$505,"○")&gt;0,1,0))</f>
        <v>0</v>
      </c>
      <c r="CK155" s="39" t="n">
        <f aca="false">IF(CK$4=0,0,IF(COUNTIFS(実績!$W$6:$W$505,CK$3,実績!$AI$6:$AI$505,"&lt;="&amp;$A155,実績!$AJ$6:$AJ$505,"&gt;"&amp;$A155,実績!$AK$6:$AK$505,"○")&gt;0,1,0))</f>
        <v>0</v>
      </c>
      <c r="CL155" s="39" t="n">
        <f aca="false">IF(CL$4=0,0,IF(COUNTIFS(実績!$W$6:$W$505,CL$3,実績!$AI$6:$AI$505,"&lt;="&amp;$A155,実績!$AJ$6:$AJ$505,"&gt;"&amp;$A155,実績!$AK$6:$AK$505,"○")&gt;0,1,0))</f>
        <v>0</v>
      </c>
      <c r="CM155" s="39" t="n">
        <f aca="false">IF(CM$4=0,0,IF(COUNTIFS(実績!$W$6:$W$505,CM$3,実績!$AI$6:$AI$505,"&lt;="&amp;$A155,実績!$AJ$6:$AJ$505,"&gt;"&amp;$A155,実績!$AK$6:$AK$505,"○")&gt;0,1,0))</f>
        <v>0</v>
      </c>
      <c r="CN155" s="39" t="n">
        <f aca="false">IF(CN$4=0,0,IF(COUNTIFS(実績!$W$6:$W$505,CN$3,実績!$AI$6:$AI$505,"&lt;="&amp;$A155,実績!$AJ$6:$AJ$505,"&gt;"&amp;$A155,実績!$AK$6:$AK$505,"○")&gt;0,1,0))</f>
        <v>0</v>
      </c>
      <c r="CO155" s="39" t="n">
        <f aca="false">IF(CO$4=0,0,IF(COUNTIFS(実績!$W$6:$W$505,CO$3,実績!$AI$6:$AI$505,"&lt;="&amp;$A155,実績!$AJ$6:$AJ$505,"&gt;"&amp;$A155,実績!$AK$6:$AK$505,"○")&gt;0,1,0))</f>
        <v>0</v>
      </c>
      <c r="CP155" s="39" t="n">
        <f aca="false">IF(CP$4=0,0,IF(COUNTIFS(実績!$W$6:$W$505,CP$3,実績!$AI$6:$AI$505,"&lt;="&amp;$A155,実績!$AJ$6:$AJ$505,"&gt;"&amp;$A155,実績!$AK$6:$AK$505,"○")&gt;0,1,0))</f>
        <v>0</v>
      </c>
      <c r="CQ155" s="39" t="n">
        <f aca="false">IF(CQ$4=0,0,IF(COUNTIFS(実績!$W$6:$W$505,CQ$3,実績!$AI$6:$AI$505,"&lt;="&amp;$A155,実績!$AJ$6:$AJ$505,"&gt;"&amp;$A155,実績!$AK$6:$AK$505,"○")&gt;0,1,0))</f>
        <v>0</v>
      </c>
      <c r="CR155" s="39" t="n">
        <f aca="false">IF(CR$4=0,0,IF(COUNTIFS(実績!$W$6:$W$505,CR$3,実績!$AI$6:$AI$505,"&lt;="&amp;$A155,実績!$AJ$6:$AJ$505,"&gt;"&amp;$A155,実績!$AK$6:$AK$505,"○")&gt;0,1,0))</f>
        <v>0</v>
      </c>
      <c r="CS155" s="39" t="n">
        <f aca="false">IF(CS$4=0,0,IF(COUNTIFS(実績!$W$6:$W$505,CS$3,実績!$AI$6:$AI$505,"&lt;="&amp;$A155,実績!$AJ$6:$AJ$505,"&gt;"&amp;$A155,実績!$AK$6:$AK$505,"○")&gt;0,1,0))</f>
        <v>0</v>
      </c>
      <c r="CT155" s="39" t="n">
        <f aca="false">IF(CT$4=0,0,IF(COUNTIFS(実績!$W$6:$W$505,CT$3,実績!$AI$6:$AI$505,"&lt;="&amp;$A155,実績!$AJ$6:$AJ$505,"&gt;"&amp;$A155,実績!$AK$6:$AK$505,"○")&gt;0,1,0))</f>
        <v>0</v>
      </c>
      <c r="CU155" s="39" t="n">
        <f aca="false">IF(CU$4=0,0,IF(COUNTIFS(実績!$W$6:$W$505,CU$3,実績!$AI$6:$AI$505,"&lt;="&amp;$A155,実績!$AJ$6:$AJ$505,"&gt;"&amp;$A155,実績!$AK$6:$AK$505,"○")&gt;0,1,0))</f>
        <v>0</v>
      </c>
      <c r="CV155" s="39" t="n">
        <f aca="false">IF(CV$4=0,0,IF(COUNTIFS(実績!$W$6:$W$505,CV$3,実績!$AI$6:$AI$505,"&lt;="&amp;$A155,実績!$AJ$6:$AJ$505,"&gt;"&amp;$A155,実績!$AK$6:$AK$505,"○")&gt;0,1,0))</f>
        <v>0</v>
      </c>
      <c r="CW155" s="39" t="n">
        <f aca="false">IF(CW$4=0,0,IF(COUNTIFS(実績!$W$6:$W$505,CW$3,実績!$AI$6:$AI$505,"&lt;="&amp;$A155,実績!$AJ$6:$AJ$505,"&gt;"&amp;$A155,実績!$AK$6:$AK$505,"○")&gt;0,1,0))</f>
        <v>0</v>
      </c>
      <c r="CX155" s="39" t="n">
        <f aca="false">IF(CX$4=0,0,IF(COUNTIFS(実績!$W$6:$W$505,CX$3,実績!$AI$6:$AI$505,"&lt;="&amp;$A155,実績!$AJ$6:$AJ$505,"&gt;"&amp;$A155,実績!$AK$6:$AK$505,"○")&gt;0,1,0))</f>
        <v>0</v>
      </c>
      <c r="CY155" s="39" t="n">
        <f aca="false">IF(CY$4=0,0,IF(COUNTIFS(実績!$W$6:$W$505,CY$3,実績!$AI$6:$AI$505,"&lt;="&amp;$A155,実績!$AJ$6:$AJ$505,"&gt;"&amp;$A155,実績!$AK$6:$AK$505,"○")&gt;0,1,0))</f>
        <v>0</v>
      </c>
      <c r="CZ155" s="39" t="n">
        <f aca="false">IF(CZ$4=0,0,IF(COUNTIFS(実績!$W$6:$W$505,CZ$3,実績!$AI$6:$AI$505,"&lt;="&amp;$A155,実績!$AJ$6:$AJ$505,"&gt;"&amp;$A155,実績!$AK$6:$AK$505,"○")&gt;0,1,0))</f>
        <v>0</v>
      </c>
      <c r="DA155" s="39" t="n">
        <f aca="false">IF(DA$4=0,0,IF(COUNTIFS(実績!$W$6:$W$505,DA$3,実績!$AI$6:$AI$505,"&lt;="&amp;$A155,実績!$AJ$6:$AJ$505,"&gt;"&amp;$A155,実績!$AK$6:$AK$505,"○")&gt;0,1,0))</f>
        <v>0</v>
      </c>
      <c r="DB155" s="39" t="n">
        <f aca="false">IF(DB$4=0,0,IF(COUNTIFS(実績!$W$6:$W$505,DB$3,実績!$AI$6:$AI$505,"&lt;="&amp;$A155,実績!$AJ$6:$AJ$505,"&gt;"&amp;$A155,実績!$AK$6:$AK$505,"○")&gt;0,1,0))</f>
        <v>0</v>
      </c>
      <c r="DC155" s="39" t="n">
        <f aca="false">IF(DC$4=0,0,IF(COUNTIFS(実績!$W$6:$W$505,DC$3,実績!$AI$6:$AI$505,"&lt;="&amp;$A155,実績!$AJ$6:$AJ$505,"&gt;"&amp;$A155,実績!$AK$6:$AK$505,"○")&gt;0,1,0))</f>
        <v>0</v>
      </c>
      <c r="DD155" s="39" t="n">
        <f aca="false">IF(DD$4=0,0,IF(COUNTIFS(実績!$W$6:$W$505,DD$3,実績!$AI$6:$AI$505,"&lt;="&amp;$A155,実績!$AJ$6:$AJ$505,"&gt;"&amp;$A155,実績!$AK$6:$AK$505,"○")&gt;0,1,0))</f>
        <v>0</v>
      </c>
      <c r="DE155" s="39" t="n">
        <f aca="false">IF(DE$4=0,0,IF(COUNTIFS(実績!$W$6:$W$505,DE$3,実績!$AI$6:$AI$505,"&lt;="&amp;$A155,実績!$AJ$6:$AJ$505,"&gt;"&amp;$A155,実績!$AK$6:$AK$505,"○")&gt;0,1,0))</f>
        <v>0</v>
      </c>
      <c r="DF155" s="39" t="n">
        <f aca="false">IF(DF$4=0,0,IF(COUNTIFS(実績!$W$6:$W$505,DF$3,実績!$AI$6:$AI$505,"&lt;="&amp;$A155,実績!$AJ$6:$AJ$505,"&gt;"&amp;$A155,実績!$AK$6:$AK$505,"○")&gt;0,1,0))</f>
        <v>0</v>
      </c>
      <c r="DG155" s="39" t="n">
        <f aca="false">IF(DG$4=0,0,IF(COUNTIFS(実績!$W$6:$W$505,DG$3,実績!$AI$6:$AI$505,"&lt;="&amp;$A155,実績!$AJ$6:$AJ$505,"&gt;"&amp;$A155,実績!$AK$6:$AK$505,"○")&gt;0,1,0))</f>
        <v>0</v>
      </c>
      <c r="DH155" s="39" t="n">
        <f aca="false">IF(DH$4=0,0,IF(COUNTIFS(実績!$W$6:$W$505,DH$3,実績!$AI$6:$AI$505,"&lt;="&amp;$A155,実績!$AJ$6:$AJ$505,"&gt;"&amp;$A155,実績!$AK$6:$AK$505,"○")&gt;0,1,0))</f>
        <v>0</v>
      </c>
      <c r="DI155" s="39" t="n">
        <f aca="false">IF(DI$4=0,0,IF(COUNTIFS(実績!$W$6:$W$505,DI$3,実績!$AI$6:$AI$505,"&lt;="&amp;$A155,実績!$AJ$6:$AJ$505,"&gt;"&amp;$A155,実績!$AK$6:$AK$505,"○")&gt;0,1,0))</f>
        <v>0</v>
      </c>
      <c r="DJ155" s="39" t="n">
        <f aca="false">IF(DJ$4=0,0,IF(COUNTIFS(実績!$W$6:$W$505,DJ$3,実績!$AI$6:$AI$505,"&lt;="&amp;$A155,実績!$AJ$6:$AJ$505,"&gt;"&amp;$A155,実績!$AK$6:$AK$505,"○")&gt;0,1,0))</f>
        <v>0</v>
      </c>
      <c r="DK155" s="39" t="n">
        <f aca="false">IF(DK$4=0,0,IF(COUNTIFS(実績!$W$6:$W$505,DK$3,実績!$AI$6:$AI$505,"&lt;="&amp;$A155,実績!$AJ$6:$AJ$505,"&gt;"&amp;$A155,実績!$AK$6:$AK$505,"○")&gt;0,1,0))</f>
        <v>0</v>
      </c>
      <c r="DL155" s="39" t="n">
        <f aca="false">IF(DL$4=0,0,IF(COUNTIFS(実績!$W$6:$W$505,DL$3,実績!$AI$6:$AI$505,"&lt;="&amp;$A155,実績!$AJ$6:$AJ$505,"&gt;"&amp;$A155,実績!$AK$6:$AK$505,"○")&gt;0,1,0))</f>
        <v>0</v>
      </c>
      <c r="DM155" s="39" t="n">
        <f aca="false">IF(DM$4=0,0,IF(COUNTIFS(実績!$W$6:$W$505,DM$3,実績!$AI$6:$AI$505,"&lt;="&amp;$A155,実績!$AJ$6:$AJ$505,"&gt;"&amp;$A155,実績!$AK$6:$AK$505,"○")&gt;0,1,0))</f>
        <v>0</v>
      </c>
      <c r="DN155" s="39" t="n">
        <f aca="false">IF(DN$4=0,0,IF(COUNTIFS(実績!$W$6:$W$505,DN$3,実績!$AI$6:$AI$505,"&lt;="&amp;$A155,実績!$AJ$6:$AJ$505,"&gt;"&amp;$A155,実績!$AK$6:$AK$505,"○")&gt;0,1,0))</f>
        <v>0</v>
      </c>
      <c r="DO155" s="39" t="n">
        <f aca="false">IF(DO$4=0,0,IF(COUNTIFS(実績!$W$6:$W$505,DO$3,実績!$AI$6:$AI$505,"&lt;="&amp;$A155,実績!$AJ$6:$AJ$505,"&gt;"&amp;$A155,実績!$AK$6:$AK$505,"○")&gt;0,1,0))</f>
        <v>0</v>
      </c>
      <c r="DP155" s="39" t="n">
        <f aca="false">IF(DP$4=0,0,IF(COUNTIFS(実績!$W$6:$W$505,DP$3,実績!$AI$6:$AI$505,"&lt;="&amp;$A155,実績!$AJ$6:$AJ$505,"&gt;"&amp;$A155,実績!$AK$6:$AK$505,"○")&gt;0,1,0))</f>
        <v>0</v>
      </c>
      <c r="DQ155" s="39" t="n">
        <f aca="false">IF(DQ$4=0,0,IF(COUNTIFS(実績!$W$6:$W$505,DQ$3,実績!$AI$6:$AI$505,"&lt;="&amp;$A155,実績!$AJ$6:$AJ$505,"&gt;"&amp;$A155,実績!$AK$6:$AK$505,"○")&gt;0,1,0))</f>
        <v>0</v>
      </c>
      <c r="DR155" s="39" t="n">
        <f aca="false">IF(DR$4=0,0,IF(COUNTIFS(実績!$W$6:$W$505,DR$3,実績!$AI$6:$AI$505,"&lt;="&amp;$A155,実績!$AJ$6:$AJ$505,"&gt;"&amp;$A155,実績!$AK$6:$AK$505,"○")&gt;0,1,0))</f>
        <v>0</v>
      </c>
      <c r="DS155" s="39" t="n">
        <f aca="false">SUM(C155:DR155)</f>
        <v>0</v>
      </c>
      <c r="DT155" s="39" t="n">
        <f aca="false">SUMPRODUCT((実績!$C$6:$C$505="○")*ISNUMBER(実績!$AM$6:$AM$505)*(実績!$AM$6:$AM$505&lt;=$A155)*(実績!$AN$6:$AN$505&gt;$A155))</f>
        <v>0</v>
      </c>
      <c r="DU155" s="39" t="n">
        <f aca="false">SUMIF($C$2:$DR$2,"製鉄曳船",C155:DR155)</f>
        <v>0</v>
      </c>
      <c r="DV155" s="39" t="n">
        <f aca="false">SUMIF($C$2:$DR$2,"西日本海運",C155:DR155)</f>
        <v>0</v>
      </c>
    </row>
    <row r="156" customFormat="false" ht="15" hidden="false" customHeight="false" outlineLevel="0" collapsed="false">
      <c r="A156" s="0" t="n">
        <v>750</v>
      </c>
      <c r="B156" s="38" t="n">
        <f aca="false">A156/1440</f>
        <v>0.520833333333333</v>
      </c>
      <c r="C156" s="39" t="n">
        <f aca="false">IF(C$4=0,0,IF(COUNTIFS(実績!$W$6:$W$505,C$3,実績!$AI$6:$AI$505,"&lt;="&amp;$A156,実績!$AJ$6:$AJ$505,"&gt;"&amp;$A156,実績!$AK$6:$AK$505,"○")&gt;0,1,0))</f>
        <v>0</v>
      </c>
      <c r="D156" s="39" t="n">
        <f aca="false">IF(D$4=0,0,IF(COUNTIFS(実績!$W$6:$W$505,D$3,実績!$AI$6:$AI$505,"&lt;="&amp;$A156,実績!$AJ$6:$AJ$505,"&gt;"&amp;$A156,実績!$AK$6:$AK$505,"○")&gt;0,1,0))</f>
        <v>0</v>
      </c>
      <c r="E156" s="39" t="n">
        <f aca="false">IF(E$4=0,0,IF(COUNTIFS(実績!$W$6:$W$505,E$3,実績!$AI$6:$AI$505,"&lt;="&amp;$A156,実績!$AJ$6:$AJ$505,"&gt;"&amp;$A156,実績!$AK$6:$AK$505,"○")&gt;0,1,0))</f>
        <v>0</v>
      </c>
      <c r="F156" s="39" t="n">
        <f aca="false">IF(F$4=0,0,IF(COUNTIFS(実績!$W$6:$W$505,F$3,実績!$AI$6:$AI$505,"&lt;="&amp;$A156,実績!$AJ$6:$AJ$505,"&gt;"&amp;$A156,実績!$AK$6:$AK$505,"○")&gt;0,1,0))</f>
        <v>0</v>
      </c>
      <c r="G156" s="39" t="n">
        <f aca="false">IF(G$4=0,0,IF(COUNTIFS(実績!$W$6:$W$505,G$3,実績!$AI$6:$AI$505,"&lt;="&amp;$A156,実績!$AJ$6:$AJ$505,"&gt;"&amp;$A156,実績!$AK$6:$AK$505,"○")&gt;0,1,0))</f>
        <v>0</v>
      </c>
      <c r="H156" s="39" t="n">
        <f aca="false">IF(H$4=0,0,IF(COUNTIFS(実績!$W$6:$W$505,H$3,実績!$AI$6:$AI$505,"&lt;="&amp;$A156,実績!$AJ$6:$AJ$505,"&gt;"&amp;$A156,実績!$AK$6:$AK$505,"○")&gt;0,1,0))</f>
        <v>0</v>
      </c>
      <c r="I156" s="39" t="n">
        <f aca="false">IF(I$4=0,0,IF(COUNTIFS(実績!$W$6:$W$505,I$3,実績!$AI$6:$AI$505,"&lt;="&amp;$A156,実績!$AJ$6:$AJ$505,"&gt;"&amp;$A156,実績!$AK$6:$AK$505,"○")&gt;0,1,0))</f>
        <v>0</v>
      </c>
      <c r="J156" s="39" t="n">
        <f aca="false">IF(J$4=0,0,IF(COUNTIFS(実績!$W$6:$W$505,J$3,実績!$AI$6:$AI$505,"&lt;="&amp;$A156,実績!$AJ$6:$AJ$505,"&gt;"&amp;$A156,実績!$AK$6:$AK$505,"○")&gt;0,1,0))</f>
        <v>0</v>
      </c>
      <c r="K156" s="39" t="n">
        <f aca="false">IF(K$4=0,0,IF(COUNTIFS(実績!$W$6:$W$505,K$3,実績!$AI$6:$AI$505,"&lt;="&amp;$A156,実績!$AJ$6:$AJ$505,"&gt;"&amp;$A156,実績!$AK$6:$AK$505,"○")&gt;0,1,0))</f>
        <v>0</v>
      </c>
      <c r="L156" s="39" t="n">
        <f aca="false">IF(L$4=0,0,IF(COUNTIFS(実績!$W$6:$W$505,L$3,実績!$AI$6:$AI$505,"&lt;="&amp;$A156,実績!$AJ$6:$AJ$505,"&gt;"&amp;$A156,実績!$AK$6:$AK$505,"○")&gt;0,1,0))</f>
        <v>0</v>
      </c>
      <c r="M156" s="39" t="n">
        <f aca="false">IF(M$4=0,0,IF(COUNTIFS(実績!$W$6:$W$505,M$3,実績!$AI$6:$AI$505,"&lt;="&amp;$A156,実績!$AJ$6:$AJ$505,"&gt;"&amp;$A156,実績!$AK$6:$AK$505,"○")&gt;0,1,0))</f>
        <v>0</v>
      </c>
      <c r="N156" s="39" t="n">
        <f aca="false">IF(N$4=0,0,IF(COUNTIFS(実績!$W$6:$W$505,N$3,実績!$AI$6:$AI$505,"&lt;="&amp;$A156,実績!$AJ$6:$AJ$505,"&gt;"&amp;$A156,実績!$AK$6:$AK$505,"○")&gt;0,1,0))</f>
        <v>0</v>
      </c>
      <c r="O156" s="39" t="n">
        <f aca="false">IF(O$4=0,0,IF(COUNTIFS(実績!$W$6:$W$505,O$3,実績!$AI$6:$AI$505,"&lt;="&amp;$A156,実績!$AJ$6:$AJ$505,"&gt;"&amp;$A156,実績!$AK$6:$AK$505,"○")&gt;0,1,0))</f>
        <v>0</v>
      </c>
      <c r="P156" s="39" t="n">
        <f aca="false">IF(P$4=0,0,IF(COUNTIFS(実績!$W$6:$W$505,P$3,実績!$AI$6:$AI$505,"&lt;="&amp;$A156,実績!$AJ$6:$AJ$505,"&gt;"&amp;$A156,実績!$AK$6:$AK$505,"○")&gt;0,1,0))</f>
        <v>0</v>
      </c>
      <c r="Q156" s="39" t="n">
        <f aca="false">IF(Q$4=0,0,IF(COUNTIFS(実績!$W$6:$W$505,Q$3,実績!$AI$6:$AI$505,"&lt;="&amp;$A156,実績!$AJ$6:$AJ$505,"&gt;"&amp;$A156,実績!$AK$6:$AK$505,"○")&gt;0,1,0))</f>
        <v>0</v>
      </c>
      <c r="R156" s="39" t="n">
        <f aca="false">IF(R$4=0,0,IF(COUNTIFS(実績!$W$6:$W$505,R$3,実績!$AI$6:$AI$505,"&lt;="&amp;$A156,実績!$AJ$6:$AJ$505,"&gt;"&amp;$A156,実績!$AK$6:$AK$505,"○")&gt;0,1,0))</f>
        <v>0</v>
      </c>
      <c r="S156" s="39" t="n">
        <f aca="false">IF(S$4=0,0,IF(COUNTIFS(実績!$W$6:$W$505,S$3,実績!$AI$6:$AI$505,"&lt;="&amp;$A156,実績!$AJ$6:$AJ$505,"&gt;"&amp;$A156,実績!$AK$6:$AK$505,"○")&gt;0,1,0))</f>
        <v>0</v>
      </c>
      <c r="T156" s="39" t="n">
        <f aca="false">IF(T$4=0,0,IF(COUNTIFS(実績!$W$6:$W$505,T$3,実績!$AI$6:$AI$505,"&lt;="&amp;$A156,実績!$AJ$6:$AJ$505,"&gt;"&amp;$A156,実績!$AK$6:$AK$505,"○")&gt;0,1,0))</f>
        <v>0</v>
      </c>
      <c r="U156" s="39" t="n">
        <f aca="false">IF(U$4=0,0,IF(COUNTIFS(実績!$W$6:$W$505,U$3,実績!$AI$6:$AI$505,"&lt;="&amp;$A156,実績!$AJ$6:$AJ$505,"&gt;"&amp;$A156,実績!$AK$6:$AK$505,"○")&gt;0,1,0))</f>
        <v>0</v>
      </c>
      <c r="V156" s="39" t="n">
        <f aca="false">IF(V$4=0,0,IF(COUNTIFS(実績!$W$6:$W$505,V$3,実績!$AI$6:$AI$505,"&lt;="&amp;$A156,実績!$AJ$6:$AJ$505,"&gt;"&amp;$A156,実績!$AK$6:$AK$505,"○")&gt;0,1,0))</f>
        <v>0</v>
      </c>
      <c r="W156" s="39" t="n">
        <f aca="false">IF(W$4=0,0,IF(COUNTIFS(実績!$W$6:$W$505,W$3,実績!$AI$6:$AI$505,"&lt;="&amp;$A156,実績!$AJ$6:$AJ$505,"&gt;"&amp;$A156,実績!$AK$6:$AK$505,"○")&gt;0,1,0))</f>
        <v>0</v>
      </c>
      <c r="X156" s="39" t="n">
        <f aca="false">IF(X$4=0,0,IF(COUNTIFS(実績!$W$6:$W$505,X$3,実績!$AI$6:$AI$505,"&lt;="&amp;$A156,実績!$AJ$6:$AJ$505,"&gt;"&amp;$A156,実績!$AK$6:$AK$505,"○")&gt;0,1,0))</f>
        <v>0</v>
      </c>
      <c r="Y156" s="39" t="n">
        <f aca="false">IF(Y$4=0,0,IF(COUNTIFS(実績!$W$6:$W$505,Y$3,実績!$AI$6:$AI$505,"&lt;="&amp;$A156,実績!$AJ$6:$AJ$505,"&gt;"&amp;$A156,実績!$AK$6:$AK$505,"○")&gt;0,1,0))</f>
        <v>0</v>
      </c>
      <c r="Z156" s="39" t="n">
        <f aca="false">IF(Z$4=0,0,IF(COUNTIFS(実績!$W$6:$W$505,Z$3,実績!$AI$6:$AI$505,"&lt;="&amp;$A156,実績!$AJ$6:$AJ$505,"&gt;"&amp;$A156,実績!$AK$6:$AK$505,"○")&gt;0,1,0))</f>
        <v>0</v>
      </c>
      <c r="AA156" s="39" t="n">
        <f aca="false">IF(AA$4=0,0,IF(COUNTIFS(実績!$W$6:$W$505,AA$3,実績!$AI$6:$AI$505,"&lt;="&amp;$A156,実績!$AJ$6:$AJ$505,"&gt;"&amp;$A156,実績!$AK$6:$AK$505,"○")&gt;0,1,0))</f>
        <v>0</v>
      </c>
      <c r="AB156" s="39" t="n">
        <f aca="false">IF(AB$4=0,0,IF(COUNTIFS(実績!$W$6:$W$505,AB$3,実績!$AI$6:$AI$505,"&lt;="&amp;$A156,実績!$AJ$6:$AJ$505,"&gt;"&amp;$A156,実績!$AK$6:$AK$505,"○")&gt;0,1,0))</f>
        <v>0</v>
      </c>
      <c r="AC156" s="39" t="n">
        <f aca="false">IF(AC$4=0,0,IF(COUNTIFS(実績!$W$6:$W$505,AC$3,実績!$AI$6:$AI$505,"&lt;="&amp;$A156,実績!$AJ$6:$AJ$505,"&gt;"&amp;$A156,実績!$AK$6:$AK$505,"○")&gt;0,1,0))</f>
        <v>0</v>
      </c>
      <c r="AD156" s="39" t="n">
        <f aca="false">IF(AD$4=0,0,IF(COUNTIFS(実績!$W$6:$W$505,AD$3,実績!$AI$6:$AI$505,"&lt;="&amp;$A156,実績!$AJ$6:$AJ$505,"&gt;"&amp;$A156,実績!$AK$6:$AK$505,"○")&gt;0,1,0))</f>
        <v>0</v>
      </c>
      <c r="AE156" s="39" t="n">
        <f aca="false">IF(AE$4=0,0,IF(COUNTIFS(実績!$W$6:$W$505,AE$3,実績!$AI$6:$AI$505,"&lt;="&amp;$A156,実績!$AJ$6:$AJ$505,"&gt;"&amp;$A156,実績!$AK$6:$AK$505,"○")&gt;0,1,0))</f>
        <v>0</v>
      </c>
      <c r="AF156" s="39" t="n">
        <f aca="false">IF(AF$4=0,0,IF(COUNTIFS(実績!$W$6:$W$505,AF$3,実績!$AI$6:$AI$505,"&lt;="&amp;$A156,実績!$AJ$6:$AJ$505,"&gt;"&amp;$A156,実績!$AK$6:$AK$505,"○")&gt;0,1,0))</f>
        <v>0</v>
      </c>
      <c r="AG156" s="39" t="n">
        <f aca="false">IF(AG$4=0,0,IF(COUNTIFS(実績!$W$6:$W$505,AG$3,実績!$AI$6:$AI$505,"&lt;="&amp;$A156,実績!$AJ$6:$AJ$505,"&gt;"&amp;$A156,実績!$AK$6:$AK$505,"○")&gt;0,1,0))</f>
        <v>0</v>
      </c>
      <c r="AH156" s="39" t="n">
        <f aca="false">IF(AH$4=0,0,IF(COUNTIFS(実績!$W$6:$W$505,AH$3,実績!$AI$6:$AI$505,"&lt;="&amp;$A156,実績!$AJ$6:$AJ$505,"&gt;"&amp;$A156,実績!$AK$6:$AK$505,"○")&gt;0,1,0))</f>
        <v>0</v>
      </c>
      <c r="AI156" s="39" t="n">
        <f aca="false">IF(AI$4=0,0,IF(COUNTIFS(実績!$W$6:$W$505,AI$3,実績!$AI$6:$AI$505,"&lt;="&amp;$A156,実績!$AJ$6:$AJ$505,"&gt;"&amp;$A156,実績!$AK$6:$AK$505,"○")&gt;0,1,0))</f>
        <v>0</v>
      </c>
      <c r="AJ156" s="39" t="n">
        <f aca="false">IF(AJ$4=0,0,IF(COUNTIFS(実績!$W$6:$W$505,AJ$3,実績!$AI$6:$AI$505,"&lt;="&amp;$A156,実績!$AJ$6:$AJ$505,"&gt;"&amp;$A156,実績!$AK$6:$AK$505,"○")&gt;0,1,0))</f>
        <v>0</v>
      </c>
      <c r="AK156" s="39" t="n">
        <f aca="false">IF(AK$4=0,0,IF(COUNTIFS(実績!$W$6:$W$505,AK$3,実績!$AI$6:$AI$505,"&lt;="&amp;$A156,実績!$AJ$6:$AJ$505,"&gt;"&amp;$A156,実績!$AK$6:$AK$505,"○")&gt;0,1,0))</f>
        <v>0</v>
      </c>
      <c r="AL156" s="39" t="n">
        <f aca="false">IF(AL$4=0,0,IF(COUNTIFS(実績!$W$6:$W$505,AL$3,実績!$AI$6:$AI$505,"&lt;="&amp;$A156,実績!$AJ$6:$AJ$505,"&gt;"&amp;$A156,実績!$AK$6:$AK$505,"○")&gt;0,1,0))</f>
        <v>0</v>
      </c>
      <c r="AM156" s="39" t="n">
        <f aca="false">IF(AM$4=0,0,IF(COUNTIFS(実績!$W$6:$W$505,AM$3,実績!$AI$6:$AI$505,"&lt;="&amp;$A156,実績!$AJ$6:$AJ$505,"&gt;"&amp;$A156,実績!$AK$6:$AK$505,"○")&gt;0,1,0))</f>
        <v>0</v>
      </c>
      <c r="AN156" s="39" t="n">
        <f aca="false">IF(AN$4=0,0,IF(COUNTIFS(実績!$W$6:$W$505,AN$3,実績!$AI$6:$AI$505,"&lt;="&amp;$A156,実績!$AJ$6:$AJ$505,"&gt;"&amp;$A156,実績!$AK$6:$AK$505,"○")&gt;0,1,0))</f>
        <v>0</v>
      </c>
      <c r="AO156" s="39" t="n">
        <f aca="false">IF(AO$4=0,0,IF(COUNTIFS(実績!$W$6:$W$505,AO$3,実績!$AI$6:$AI$505,"&lt;="&amp;$A156,実績!$AJ$6:$AJ$505,"&gt;"&amp;$A156,実績!$AK$6:$AK$505,"○")&gt;0,1,0))</f>
        <v>0</v>
      </c>
      <c r="AP156" s="39" t="n">
        <f aca="false">IF(AP$4=0,0,IF(COUNTIFS(実績!$W$6:$W$505,AP$3,実績!$AI$6:$AI$505,"&lt;="&amp;$A156,実績!$AJ$6:$AJ$505,"&gt;"&amp;$A156,実績!$AK$6:$AK$505,"○")&gt;0,1,0))</f>
        <v>0</v>
      </c>
      <c r="AQ156" s="39" t="n">
        <f aca="false">IF(AQ$4=0,0,IF(COUNTIFS(実績!$W$6:$W$505,AQ$3,実績!$AI$6:$AI$505,"&lt;="&amp;$A156,実績!$AJ$6:$AJ$505,"&gt;"&amp;$A156,実績!$AK$6:$AK$505,"○")&gt;0,1,0))</f>
        <v>0</v>
      </c>
      <c r="AR156" s="39" t="n">
        <f aca="false">IF(AR$4=0,0,IF(COUNTIFS(実績!$W$6:$W$505,AR$3,実績!$AI$6:$AI$505,"&lt;="&amp;$A156,実績!$AJ$6:$AJ$505,"&gt;"&amp;$A156,実績!$AK$6:$AK$505,"○")&gt;0,1,0))</f>
        <v>0</v>
      </c>
      <c r="AS156" s="39" t="n">
        <f aca="false">IF(AS$4=0,0,IF(COUNTIFS(実績!$W$6:$W$505,AS$3,実績!$AI$6:$AI$505,"&lt;="&amp;$A156,実績!$AJ$6:$AJ$505,"&gt;"&amp;$A156,実績!$AK$6:$AK$505,"○")&gt;0,1,0))</f>
        <v>0</v>
      </c>
      <c r="AT156" s="39" t="n">
        <f aca="false">IF(AT$4=0,0,IF(COUNTIFS(実績!$W$6:$W$505,AT$3,実績!$AI$6:$AI$505,"&lt;="&amp;$A156,実績!$AJ$6:$AJ$505,"&gt;"&amp;$A156,実績!$AK$6:$AK$505,"○")&gt;0,1,0))</f>
        <v>0</v>
      </c>
      <c r="AU156" s="39" t="n">
        <f aca="false">IF(AU$4=0,0,IF(COUNTIFS(実績!$W$6:$W$505,AU$3,実績!$AI$6:$AI$505,"&lt;="&amp;$A156,実績!$AJ$6:$AJ$505,"&gt;"&amp;$A156,実績!$AK$6:$AK$505,"○")&gt;0,1,0))</f>
        <v>0</v>
      </c>
      <c r="AV156" s="39" t="n">
        <f aca="false">IF(AV$4=0,0,IF(COUNTIFS(実績!$W$6:$W$505,AV$3,実績!$AI$6:$AI$505,"&lt;="&amp;$A156,実績!$AJ$6:$AJ$505,"&gt;"&amp;$A156,実績!$AK$6:$AK$505,"○")&gt;0,1,0))</f>
        <v>0</v>
      </c>
      <c r="AW156" s="39" t="n">
        <f aca="false">IF(AW$4=0,0,IF(COUNTIFS(実績!$W$6:$W$505,AW$3,実績!$AI$6:$AI$505,"&lt;="&amp;$A156,実績!$AJ$6:$AJ$505,"&gt;"&amp;$A156,実績!$AK$6:$AK$505,"○")&gt;0,1,0))</f>
        <v>0</v>
      </c>
      <c r="AX156" s="39" t="n">
        <f aca="false">IF(AX$4=0,0,IF(COUNTIFS(実績!$W$6:$W$505,AX$3,実績!$AI$6:$AI$505,"&lt;="&amp;$A156,実績!$AJ$6:$AJ$505,"&gt;"&amp;$A156,実績!$AK$6:$AK$505,"○")&gt;0,1,0))</f>
        <v>0</v>
      </c>
      <c r="AY156" s="39" t="n">
        <f aca="false">IF(AY$4=0,0,IF(COUNTIFS(実績!$W$6:$W$505,AY$3,実績!$AI$6:$AI$505,"&lt;="&amp;$A156,実績!$AJ$6:$AJ$505,"&gt;"&amp;$A156,実績!$AK$6:$AK$505,"○")&gt;0,1,0))</f>
        <v>0</v>
      </c>
      <c r="AZ156" s="39" t="n">
        <f aca="false">IF(AZ$4=0,0,IF(COUNTIFS(実績!$W$6:$W$505,AZ$3,実績!$AI$6:$AI$505,"&lt;="&amp;$A156,実績!$AJ$6:$AJ$505,"&gt;"&amp;$A156,実績!$AK$6:$AK$505,"○")&gt;0,1,0))</f>
        <v>0</v>
      </c>
      <c r="BA156" s="39" t="n">
        <f aca="false">IF(BA$4=0,0,IF(COUNTIFS(実績!$W$6:$W$505,BA$3,実績!$AI$6:$AI$505,"&lt;="&amp;$A156,実績!$AJ$6:$AJ$505,"&gt;"&amp;$A156,実績!$AK$6:$AK$505,"○")&gt;0,1,0))</f>
        <v>0</v>
      </c>
      <c r="BB156" s="39" t="n">
        <f aca="false">IF(BB$4=0,0,IF(COUNTIFS(実績!$W$6:$W$505,BB$3,実績!$AI$6:$AI$505,"&lt;="&amp;$A156,実績!$AJ$6:$AJ$505,"&gt;"&amp;$A156,実績!$AK$6:$AK$505,"○")&gt;0,1,0))</f>
        <v>0</v>
      </c>
      <c r="BC156" s="39" t="n">
        <f aca="false">IF(BC$4=0,0,IF(COUNTIFS(実績!$W$6:$W$505,BC$3,実績!$AI$6:$AI$505,"&lt;="&amp;$A156,実績!$AJ$6:$AJ$505,"&gt;"&amp;$A156,実績!$AK$6:$AK$505,"○")&gt;0,1,0))</f>
        <v>0</v>
      </c>
      <c r="BD156" s="39" t="n">
        <f aca="false">IF(BD$4=0,0,IF(COUNTIFS(実績!$W$6:$W$505,BD$3,実績!$AI$6:$AI$505,"&lt;="&amp;$A156,実績!$AJ$6:$AJ$505,"&gt;"&amp;$A156,実績!$AK$6:$AK$505,"○")&gt;0,1,0))</f>
        <v>0</v>
      </c>
      <c r="BE156" s="39" t="n">
        <f aca="false">IF(BE$4=0,0,IF(COUNTIFS(実績!$W$6:$W$505,BE$3,実績!$AI$6:$AI$505,"&lt;="&amp;$A156,実績!$AJ$6:$AJ$505,"&gt;"&amp;$A156,実績!$AK$6:$AK$505,"○")&gt;0,1,0))</f>
        <v>0</v>
      </c>
      <c r="BF156" s="39" t="n">
        <f aca="false">IF(BF$4=0,0,IF(COUNTIFS(実績!$W$6:$W$505,BF$3,実績!$AI$6:$AI$505,"&lt;="&amp;$A156,実績!$AJ$6:$AJ$505,"&gt;"&amp;$A156,実績!$AK$6:$AK$505,"○")&gt;0,1,0))</f>
        <v>0</v>
      </c>
      <c r="BG156" s="39" t="n">
        <f aca="false">IF(BG$4=0,0,IF(COUNTIFS(実績!$W$6:$W$505,BG$3,実績!$AI$6:$AI$505,"&lt;="&amp;$A156,実績!$AJ$6:$AJ$505,"&gt;"&amp;$A156,実績!$AK$6:$AK$505,"○")&gt;0,1,0))</f>
        <v>0</v>
      </c>
      <c r="BH156" s="39" t="n">
        <f aca="false">IF(BH$4=0,0,IF(COUNTIFS(実績!$W$6:$W$505,BH$3,実績!$AI$6:$AI$505,"&lt;="&amp;$A156,実績!$AJ$6:$AJ$505,"&gt;"&amp;$A156,実績!$AK$6:$AK$505,"○")&gt;0,1,0))</f>
        <v>0</v>
      </c>
      <c r="BI156" s="39" t="n">
        <f aca="false">IF(BI$4=0,0,IF(COUNTIFS(実績!$W$6:$W$505,BI$3,実績!$AI$6:$AI$505,"&lt;="&amp;$A156,実績!$AJ$6:$AJ$505,"&gt;"&amp;$A156,実績!$AK$6:$AK$505,"○")&gt;0,1,0))</f>
        <v>0</v>
      </c>
      <c r="BJ156" s="39" t="n">
        <f aca="false">IF(BJ$4=0,0,IF(COUNTIFS(実績!$W$6:$W$505,BJ$3,実績!$AI$6:$AI$505,"&lt;="&amp;$A156,実績!$AJ$6:$AJ$505,"&gt;"&amp;$A156,実績!$AK$6:$AK$505,"○")&gt;0,1,0))</f>
        <v>0</v>
      </c>
      <c r="BK156" s="39" t="n">
        <f aca="false">IF(BK$4=0,0,IF(COUNTIFS(実績!$W$6:$W$505,BK$3,実績!$AI$6:$AI$505,"&lt;="&amp;$A156,実績!$AJ$6:$AJ$505,"&gt;"&amp;$A156,実績!$AK$6:$AK$505,"○")&gt;0,1,0))</f>
        <v>0</v>
      </c>
      <c r="BL156" s="39" t="n">
        <f aca="false">IF(BL$4=0,0,IF(COUNTIFS(実績!$W$6:$W$505,BL$3,実績!$AI$6:$AI$505,"&lt;="&amp;$A156,実績!$AJ$6:$AJ$505,"&gt;"&amp;$A156,実績!$AK$6:$AK$505,"○")&gt;0,1,0))</f>
        <v>0</v>
      </c>
      <c r="BM156" s="39" t="n">
        <f aca="false">IF(BM$4=0,0,IF(COUNTIFS(実績!$W$6:$W$505,BM$3,実績!$AI$6:$AI$505,"&lt;="&amp;$A156,実績!$AJ$6:$AJ$505,"&gt;"&amp;$A156,実績!$AK$6:$AK$505,"○")&gt;0,1,0))</f>
        <v>0</v>
      </c>
      <c r="BN156" s="39" t="n">
        <f aca="false">IF(BN$4=0,0,IF(COUNTIFS(実績!$W$6:$W$505,BN$3,実績!$AI$6:$AI$505,"&lt;="&amp;$A156,実績!$AJ$6:$AJ$505,"&gt;"&amp;$A156,実績!$AK$6:$AK$505,"○")&gt;0,1,0))</f>
        <v>0</v>
      </c>
      <c r="BO156" s="39" t="n">
        <f aca="false">IF(BO$4=0,0,IF(COUNTIFS(実績!$W$6:$W$505,BO$3,実績!$AI$6:$AI$505,"&lt;="&amp;$A156,実績!$AJ$6:$AJ$505,"&gt;"&amp;$A156,実績!$AK$6:$AK$505,"○")&gt;0,1,0))</f>
        <v>0</v>
      </c>
      <c r="BP156" s="39" t="n">
        <f aca="false">IF(BP$4=0,0,IF(COUNTIFS(実績!$W$6:$W$505,BP$3,実績!$AI$6:$AI$505,"&lt;="&amp;$A156,実績!$AJ$6:$AJ$505,"&gt;"&amp;$A156,実績!$AK$6:$AK$505,"○")&gt;0,1,0))</f>
        <v>0</v>
      </c>
      <c r="BQ156" s="39" t="n">
        <f aca="false">IF(BQ$4=0,0,IF(COUNTIFS(実績!$W$6:$W$505,BQ$3,実績!$AI$6:$AI$505,"&lt;="&amp;$A156,実績!$AJ$6:$AJ$505,"&gt;"&amp;$A156,実績!$AK$6:$AK$505,"○")&gt;0,1,0))</f>
        <v>0</v>
      </c>
      <c r="BR156" s="39" t="n">
        <f aca="false">IF(BR$4=0,0,IF(COUNTIFS(実績!$W$6:$W$505,BR$3,実績!$AI$6:$AI$505,"&lt;="&amp;$A156,実績!$AJ$6:$AJ$505,"&gt;"&amp;$A156,実績!$AK$6:$AK$505,"○")&gt;0,1,0))</f>
        <v>0</v>
      </c>
      <c r="BS156" s="39" t="n">
        <f aca="false">IF(BS$4=0,0,IF(COUNTIFS(実績!$W$6:$W$505,BS$3,実績!$AI$6:$AI$505,"&lt;="&amp;$A156,実績!$AJ$6:$AJ$505,"&gt;"&amp;$A156,実績!$AK$6:$AK$505,"○")&gt;0,1,0))</f>
        <v>0</v>
      </c>
      <c r="BT156" s="39" t="n">
        <f aca="false">IF(BT$4=0,0,IF(COUNTIFS(実績!$W$6:$W$505,BT$3,実績!$AI$6:$AI$505,"&lt;="&amp;$A156,実績!$AJ$6:$AJ$505,"&gt;"&amp;$A156,実績!$AK$6:$AK$505,"○")&gt;0,1,0))</f>
        <v>0</v>
      </c>
      <c r="BU156" s="39" t="n">
        <f aca="false">IF(BU$4=0,0,IF(COUNTIFS(実績!$W$6:$W$505,BU$3,実績!$AI$6:$AI$505,"&lt;="&amp;$A156,実績!$AJ$6:$AJ$505,"&gt;"&amp;$A156,実績!$AK$6:$AK$505,"○")&gt;0,1,0))</f>
        <v>0</v>
      </c>
      <c r="BV156" s="39" t="n">
        <f aca="false">IF(BV$4=0,0,IF(COUNTIFS(実績!$W$6:$W$505,BV$3,実績!$AI$6:$AI$505,"&lt;="&amp;$A156,実績!$AJ$6:$AJ$505,"&gt;"&amp;$A156,実績!$AK$6:$AK$505,"○")&gt;0,1,0))</f>
        <v>0</v>
      </c>
      <c r="BW156" s="39" t="n">
        <f aca="false">IF(BW$4=0,0,IF(COUNTIFS(実績!$W$6:$W$505,BW$3,実績!$AI$6:$AI$505,"&lt;="&amp;$A156,実績!$AJ$6:$AJ$505,"&gt;"&amp;$A156,実績!$AK$6:$AK$505,"○")&gt;0,1,0))</f>
        <v>0</v>
      </c>
      <c r="BX156" s="39" t="n">
        <f aca="false">IF(BX$4=0,0,IF(COUNTIFS(実績!$W$6:$W$505,BX$3,実績!$AI$6:$AI$505,"&lt;="&amp;$A156,実績!$AJ$6:$AJ$505,"&gt;"&amp;$A156,実績!$AK$6:$AK$505,"○")&gt;0,1,0))</f>
        <v>0</v>
      </c>
      <c r="BY156" s="39" t="n">
        <f aca="false">IF(BY$4=0,0,IF(COUNTIFS(実績!$W$6:$W$505,BY$3,実績!$AI$6:$AI$505,"&lt;="&amp;$A156,実績!$AJ$6:$AJ$505,"&gt;"&amp;$A156,実績!$AK$6:$AK$505,"○")&gt;0,1,0))</f>
        <v>0</v>
      </c>
      <c r="BZ156" s="39" t="n">
        <f aca="false">IF(BZ$4=0,0,IF(COUNTIFS(実績!$W$6:$W$505,BZ$3,実績!$AI$6:$AI$505,"&lt;="&amp;$A156,実績!$AJ$6:$AJ$505,"&gt;"&amp;$A156,実績!$AK$6:$AK$505,"○")&gt;0,1,0))</f>
        <v>0</v>
      </c>
      <c r="CA156" s="39" t="n">
        <f aca="false">IF(CA$4=0,0,IF(COUNTIFS(実績!$W$6:$W$505,CA$3,実績!$AI$6:$AI$505,"&lt;="&amp;$A156,実績!$AJ$6:$AJ$505,"&gt;"&amp;$A156,実績!$AK$6:$AK$505,"○")&gt;0,1,0))</f>
        <v>0</v>
      </c>
      <c r="CB156" s="39" t="n">
        <f aca="false">IF(CB$4=0,0,IF(COUNTIFS(実績!$W$6:$W$505,CB$3,実績!$AI$6:$AI$505,"&lt;="&amp;$A156,実績!$AJ$6:$AJ$505,"&gt;"&amp;$A156,実績!$AK$6:$AK$505,"○")&gt;0,1,0))</f>
        <v>0</v>
      </c>
      <c r="CC156" s="39" t="n">
        <f aca="false">IF(CC$4=0,0,IF(COUNTIFS(実績!$W$6:$W$505,CC$3,実績!$AI$6:$AI$505,"&lt;="&amp;$A156,実績!$AJ$6:$AJ$505,"&gt;"&amp;$A156,実績!$AK$6:$AK$505,"○")&gt;0,1,0))</f>
        <v>0</v>
      </c>
      <c r="CD156" s="39" t="n">
        <f aca="false">IF(CD$4=0,0,IF(COUNTIFS(実績!$W$6:$W$505,CD$3,実績!$AI$6:$AI$505,"&lt;="&amp;$A156,実績!$AJ$6:$AJ$505,"&gt;"&amp;$A156,実績!$AK$6:$AK$505,"○")&gt;0,1,0))</f>
        <v>0</v>
      </c>
      <c r="CE156" s="39" t="n">
        <f aca="false">IF(CE$4=0,0,IF(COUNTIFS(実績!$W$6:$W$505,CE$3,実績!$AI$6:$AI$505,"&lt;="&amp;$A156,実績!$AJ$6:$AJ$505,"&gt;"&amp;$A156,実績!$AK$6:$AK$505,"○")&gt;0,1,0))</f>
        <v>0</v>
      </c>
      <c r="CF156" s="39" t="n">
        <f aca="false">IF(CF$4=0,0,IF(COUNTIFS(実績!$W$6:$W$505,CF$3,実績!$AI$6:$AI$505,"&lt;="&amp;$A156,実績!$AJ$6:$AJ$505,"&gt;"&amp;$A156,実績!$AK$6:$AK$505,"○")&gt;0,1,0))</f>
        <v>0</v>
      </c>
      <c r="CG156" s="39" t="n">
        <f aca="false">IF(CG$4=0,0,IF(COUNTIFS(実績!$W$6:$W$505,CG$3,実績!$AI$6:$AI$505,"&lt;="&amp;$A156,実績!$AJ$6:$AJ$505,"&gt;"&amp;$A156,実績!$AK$6:$AK$505,"○")&gt;0,1,0))</f>
        <v>0</v>
      </c>
      <c r="CH156" s="39" t="n">
        <f aca="false">IF(CH$4=0,0,IF(COUNTIFS(実績!$W$6:$W$505,CH$3,実績!$AI$6:$AI$505,"&lt;="&amp;$A156,実績!$AJ$6:$AJ$505,"&gt;"&amp;$A156,実績!$AK$6:$AK$505,"○")&gt;0,1,0))</f>
        <v>0</v>
      </c>
      <c r="CI156" s="39" t="n">
        <f aca="false">IF(CI$4=0,0,IF(COUNTIFS(実績!$W$6:$W$505,CI$3,実績!$AI$6:$AI$505,"&lt;="&amp;$A156,実績!$AJ$6:$AJ$505,"&gt;"&amp;$A156,実績!$AK$6:$AK$505,"○")&gt;0,1,0))</f>
        <v>0</v>
      </c>
      <c r="CJ156" s="39" t="n">
        <f aca="false">IF(CJ$4=0,0,IF(COUNTIFS(実績!$W$6:$W$505,CJ$3,実績!$AI$6:$AI$505,"&lt;="&amp;$A156,実績!$AJ$6:$AJ$505,"&gt;"&amp;$A156,実績!$AK$6:$AK$505,"○")&gt;0,1,0))</f>
        <v>0</v>
      </c>
      <c r="CK156" s="39" t="n">
        <f aca="false">IF(CK$4=0,0,IF(COUNTIFS(実績!$W$6:$W$505,CK$3,実績!$AI$6:$AI$505,"&lt;="&amp;$A156,実績!$AJ$6:$AJ$505,"&gt;"&amp;$A156,実績!$AK$6:$AK$505,"○")&gt;0,1,0))</f>
        <v>0</v>
      </c>
      <c r="CL156" s="39" t="n">
        <f aca="false">IF(CL$4=0,0,IF(COUNTIFS(実績!$W$6:$W$505,CL$3,実績!$AI$6:$AI$505,"&lt;="&amp;$A156,実績!$AJ$6:$AJ$505,"&gt;"&amp;$A156,実績!$AK$6:$AK$505,"○")&gt;0,1,0))</f>
        <v>0</v>
      </c>
      <c r="CM156" s="39" t="n">
        <f aca="false">IF(CM$4=0,0,IF(COUNTIFS(実績!$W$6:$W$505,CM$3,実績!$AI$6:$AI$505,"&lt;="&amp;$A156,実績!$AJ$6:$AJ$505,"&gt;"&amp;$A156,実績!$AK$6:$AK$505,"○")&gt;0,1,0))</f>
        <v>0</v>
      </c>
      <c r="CN156" s="39" t="n">
        <f aca="false">IF(CN$4=0,0,IF(COUNTIFS(実績!$W$6:$W$505,CN$3,実績!$AI$6:$AI$505,"&lt;="&amp;$A156,実績!$AJ$6:$AJ$505,"&gt;"&amp;$A156,実績!$AK$6:$AK$505,"○")&gt;0,1,0))</f>
        <v>0</v>
      </c>
      <c r="CO156" s="39" t="n">
        <f aca="false">IF(CO$4=0,0,IF(COUNTIFS(実績!$W$6:$W$505,CO$3,実績!$AI$6:$AI$505,"&lt;="&amp;$A156,実績!$AJ$6:$AJ$505,"&gt;"&amp;$A156,実績!$AK$6:$AK$505,"○")&gt;0,1,0))</f>
        <v>0</v>
      </c>
      <c r="CP156" s="39" t="n">
        <f aca="false">IF(CP$4=0,0,IF(COUNTIFS(実績!$W$6:$W$505,CP$3,実績!$AI$6:$AI$505,"&lt;="&amp;$A156,実績!$AJ$6:$AJ$505,"&gt;"&amp;$A156,実績!$AK$6:$AK$505,"○")&gt;0,1,0))</f>
        <v>0</v>
      </c>
      <c r="CQ156" s="39" t="n">
        <f aca="false">IF(CQ$4=0,0,IF(COUNTIFS(実績!$W$6:$W$505,CQ$3,実績!$AI$6:$AI$505,"&lt;="&amp;$A156,実績!$AJ$6:$AJ$505,"&gt;"&amp;$A156,実績!$AK$6:$AK$505,"○")&gt;0,1,0))</f>
        <v>0</v>
      </c>
      <c r="CR156" s="39" t="n">
        <f aca="false">IF(CR$4=0,0,IF(COUNTIFS(実績!$W$6:$W$505,CR$3,実績!$AI$6:$AI$505,"&lt;="&amp;$A156,実績!$AJ$6:$AJ$505,"&gt;"&amp;$A156,実績!$AK$6:$AK$505,"○")&gt;0,1,0))</f>
        <v>0</v>
      </c>
      <c r="CS156" s="39" t="n">
        <f aca="false">IF(CS$4=0,0,IF(COUNTIFS(実績!$W$6:$W$505,CS$3,実績!$AI$6:$AI$505,"&lt;="&amp;$A156,実績!$AJ$6:$AJ$505,"&gt;"&amp;$A156,実績!$AK$6:$AK$505,"○")&gt;0,1,0))</f>
        <v>0</v>
      </c>
      <c r="CT156" s="39" t="n">
        <f aca="false">IF(CT$4=0,0,IF(COUNTIFS(実績!$W$6:$W$505,CT$3,実績!$AI$6:$AI$505,"&lt;="&amp;$A156,実績!$AJ$6:$AJ$505,"&gt;"&amp;$A156,実績!$AK$6:$AK$505,"○")&gt;0,1,0))</f>
        <v>0</v>
      </c>
      <c r="CU156" s="39" t="n">
        <f aca="false">IF(CU$4=0,0,IF(COUNTIFS(実績!$W$6:$W$505,CU$3,実績!$AI$6:$AI$505,"&lt;="&amp;$A156,実績!$AJ$6:$AJ$505,"&gt;"&amp;$A156,実績!$AK$6:$AK$505,"○")&gt;0,1,0))</f>
        <v>0</v>
      </c>
      <c r="CV156" s="39" t="n">
        <f aca="false">IF(CV$4=0,0,IF(COUNTIFS(実績!$W$6:$W$505,CV$3,実績!$AI$6:$AI$505,"&lt;="&amp;$A156,実績!$AJ$6:$AJ$505,"&gt;"&amp;$A156,実績!$AK$6:$AK$505,"○")&gt;0,1,0))</f>
        <v>0</v>
      </c>
      <c r="CW156" s="39" t="n">
        <f aca="false">IF(CW$4=0,0,IF(COUNTIFS(実績!$W$6:$W$505,CW$3,実績!$AI$6:$AI$505,"&lt;="&amp;$A156,実績!$AJ$6:$AJ$505,"&gt;"&amp;$A156,実績!$AK$6:$AK$505,"○")&gt;0,1,0))</f>
        <v>0</v>
      </c>
      <c r="CX156" s="39" t="n">
        <f aca="false">IF(CX$4=0,0,IF(COUNTIFS(実績!$W$6:$W$505,CX$3,実績!$AI$6:$AI$505,"&lt;="&amp;$A156,実績!$AJ$6:$AJ$505,"&gt;"&amp;$A156,実績!$AK$6:$AK$505,"○")&gt;0,1,0))</f>
        <v>0</v>
      </c>
      <c r="CY156" s="39" t="n">
        <f aca="false">IF(CY$4=0,0,IF(COUNTIFS(実績!$W$6:$W$505,CY$3,実績!$AI$6:$AI$505,"&lt;="&amp;$A156,実績!$AJ$6:$AJ$505,"&gt;"&amp;$A156,実績!$AK$6:$AK$505,"○")&gt;0,1,0))</f>
        <v>0</v>
      </c>
      <c r="CZ156" s="39" t="n">
        <f aca="false">IF(CZ$4=0,0,IF(COUNTIFS(実績!$W$6:$W$505,CZ$3,実績!$AI$6:$AI$505,"&lt;="&amp;$A156,実績!$AJ$6:$AJ$505,"&gt;"&amp;$A156,実績!$AK$6:$AK$505,"○")&gt;0,1,0))</f>
        <v>0</v>
      </c>
      <c r="DA156" s="39" t="n">
        <f aca="false">IF(DA$4=0,0,IF(COUNTIFS(実績!$W$6:$W$505,DA$3,実績!$AI$6:$AI$505,"&lt;="&amp;$A156,実績!$AJ$6:$AJ$505,"&gt;"&amp;$A156,実績!$AK$6:$AK$505,"○")&gt;0,1,0))</f>
        <v>0</v>
      </c>
      <c r="DB156" s="39" t="n">
        <f aca="false">IF(DB$4=0,0,IF(COUNTIFS(実績!$W$6:$W$505,DB$3,実績!$AI$6:$AI$505,"&lt;="&amp;$A156,実績!$AJ$6:$AJ$505,"&gt;"&amp;$A156,実績!$AK$6:$AK$505,"○")&gt;0,1,0))</f>
        <v>0</v>
      </c>
      <c r="DC156" s="39" t="n">
        <f aca="false">IF(DC$4=0,0,IF(COUNTIFS(実績!$W$6:$W$505,DC$3,実績!$AI$6:$AI$505,"&lt;="&amp;$A156,実績!$AJ$6:$AJ$505,"&gt;"&amp;$A156,実績!$AK$6:$AK$505,"○")&gt;0,1,0))</f>
        <v>0</v>
      </c>
      <c r="DD156" s="39" t="n">
        <f aca="false">IF(DD$4=0,0,IF(COUNTIFS(実績!$W$6:$W$505,DD$3,実績!$AI$6:$AI$505,"&lt;="&amp;$A156,実績!$AJ$6:$AJ$505,"&gt;"&amp;$A156,実績!$AK$6:$AK$505,"○")&gt;0,1,0))</f>
        <v>0</v>
      </c>
      <c r="DE156" s="39" t="n">
        <f aca="false">IF(DE$4=0,0,IF(COUNTIFS(実績!$W$6:$W$505,DE$3,実績!$AI$6:$AI$505,"&lt;="&amp;$A156,実績!$AJ$6:$AJ$505,"&gt;"&amp;$A156,実績!$AK$6:$AK$505,"○")&gt;0,1,0))</f>
        <v>0</v>
      </c>
      <c r="DF156" s="39" t="n">
        <f aca="false">IF(DF$4=0,0,IF(COUNTIFS(実績!$W$6:$W$505,DF$3,実績!$AI$6:$AI$505,"&lt;="&amp;$A156,実績!$AJ$6:$AJ$505,"&gt;"&amp;$A156,実績!$AK$6:$AK$505,"○")&gt;0,1,0))</f>
        <v>0</v>
      </c>
      <c r="DG156" s="39" t="n">
        <f aca="false">IF(DG$4=0,0,IF(COUNTIFS(実績!$W$6:$W$505,DG$3,実績!$AI$6:$AI$505,"&lt;="&amp;$A156,実績!$AJ$6:$AJ$505,"&gt;"&amp;$A156,実績!$AK$6:$AK$505,"○")&gt;0,1,0))</f>
        <v>0</v>
      </c>
      <c r="DH156" s="39" t="n">
        <f aca="false">IF(DH$4=0,0,IF(COUNTIFS(実績!$W$6:$W$505,DH$3,実績!$AI$6:$AI$505,"&lt;="&amp;$A156,実績!$AJ$6:$AJ$505,"&gt;"&amp;$A156,実績!$AK$6:$AK$505,"○")&gt;0,1,0))</f>
        <v>0</v>
      </c>
      <c r="DI156" s="39" t="n">
        <f aca="false">IF(DI$4=0,0,IF(COUNTIFS(実績!$W$6:$W$505,DI$3,実績!$AI$6:$AI$505,"&lt;="&amp;$A156,実績!$AJ$6:$AJ$505,"&gt;"&amp;$A156,実績!$AK$6:$AK$505,"○")&gt;0,1,0))</f>
        <v>0</v>
      </c>
      <c r="DJ156" s="39" t="n">
        <f aca="false">IF(DJ$4=0,0,IF(COUNTIFS(実績!$W$6:$W$505,DJ$3,実績!$AI$6:$AI$505,"&lt;="&amp;$A156,実績!$AJ$6:$AJ$505,"&gt;"&amp;$A156,実績!$AK$6:$AK$505,"○")&gt;0,1,0))</f>
        <v>0</v>
      </c>
      <c r="DK156" s="39" t="n">
        <f aca="false">IF(DK$4=0,0,IF(COUNTIFS(実績!$W$6:$W$505,DK$3,実績!$AI$6:$AI$505,"&lt;="&amp;$A156,実績!$AJ$6:$AJ$505,"&gt;"&amp;$A156,実績!$AK$6:$AK$505,"○")&gt;0,1,0))</f>
        <v>0</v>
      </c>
      <c r="DL156" s="39" t="n">
        <f aca="false">IF(DL$4=0,0,IF(COUNTIFS(実績!$W$6:$W$505,DL$3,実績!$AI$6:$AI$505,"&lt;="&amp;$A156,実績!$AJ$6:$AJ$505,"&gt;"&amp;$A156,実績!$AK$6:$AK$505,"○")&gt;0,1,0))</f>
        <v>0</v>
      </c>
      <c r="DM156" s="39" t="n">
        <f aca="false">IF(DM$4=0,0,IF(COUNTIFS(実績!$W$6:$W$505,DM$3,実績!$AI$6:$AI$505,"&lt;="&amp;$A156,実績!$AJ$6:$AJ$505,"&gt;"&amp;$A156,実績!$AK$6:$AK$505,"○")&gt;0,1,0))</f>
        <v>0</v>
      </c>
      <c r="DN156" s="39" t="n">
        <f aca="false">IF(DN$4=0,0,IF(COUNTIFS(実績!$W$6:$W$505,DN$3,実績!$AI$6:$AI$505,"&lt;="&amp;$A156,実績!$AJ$6:$AJ$505,"&gt;"&amp;$A156,実績!$AK$6:$AK$505,"○")&gt;0,1,0))</f>
        <v>0</v>
      </c>
      <c r="DO156" s="39" t="n">
        <f aca="false">IF(DO$4=0,0,IF(COUNTIFS(実績!$W$6:$W$505,DO$3,実績!$AI$6:$AI$505,"&lt;="&amp;$A156,実績!$AJ$6:$AJ$505,"&gt;"&amp;$A156,実績!$AK$6:$AK$505,"○")&gt;0,1,0))</f>
        <v>0</v>
      </c>
      <c r="DP156" s="39" t="n">
        <f aca="false">IF(DP$4=0,0,IF(COUNTIFS(実績!$W$6:$W$505,DP$3,実績!$AI$6:$AI$505,"&lt;="&amp;$A156,実績!$AJ$6:$AJ$505,"&gt;"&amp;$A156,実績!$AK$6:$AK$505,"○")&gt;0,1,0))</f>
        <v>0</v>
      </c>
      <c r="DQ156" s="39" t="n">
        <f aca="false">IF(DQ$4=0,0,IF(COUNTIFS(実績!$W$6:$W$505,DQ$3,実績!$AI$6:$AI$505,"&lt;="&amp;$A156,実績!$AJ$6:$AJ$505,"&gt;"&amp;$A156,実績!$AK$6:$AK$505,"○")&gt;0,1,0))</f>
        <v>0</v>
      </c>
      <c r="DR156" s="39" t="n">
        <f aca="false">IF(DR$4=0,0,IF(COUNTIFS(実績!$W$6:$W$505,DR$3,実績!$AI$6:$AI$505,"&lt;="&amp;$A156,実績!$AJ$6:$AJ$505,"&gt;"&amp;$A156,実績!$AK$6:$AK$505,"○")&gt;0,1,0))</f>
        <v>0</v>
      </c>
      <c r="DS156" s="39" t="n">
        <f aca="false">SUM(C156:DR156)</f>
        <v>0</v>
      </c>
      <c r="DT156" s="39" t="n">
        <f aca="false">SUMPRODUCT((実績!$C$6:$C$505="○")*ISNUMBER(実績!$AM$6:$AM$505)*(実績!$AM$6:$AM$505&lt;=$A156)*(実績!$AN$6:$AN$505&gt;$A156))</f>
        <v>0</v>
      </c>
      <c r="DU156" s="39" t="n">
        <f aca="false">SUMIF($C$2:$DR$2,"製鉄曳船",C156:DR156)</f>
        <v>0</v>
      </c>
      <c r="DV156" s="39" t="n">
        <f aca="false">SUMIF($C$2:$DR$2,"西日本海運",C156:DR156)</f>
        <v>0</v>
      </c>
    </row>
    <row r="157" customFormat="false" ht="15" hidden="false" customHeight="false" outlineLevel="0" collapsed="false">
      <c r="A157" s="0" t="n">
        <v>755</v>
      </c>
      <c r="B157" s="38" t="n">
        <f aca="false">A157/1440</f>
        <v>0.524305555555556</v>
      </c>
      <c r="C157" s="39" t="n">
        <f aca="false">IF(C$4=0,0,IF(COUNTIFS(実績!$W$6:$W$505,C$3,実績!$AI$6:$AI$505,"&lt;="&amp;$A157,実績!$AJ$6:$AJ$505,"&gt;"&amp;$A157,実績!$AK$6:$AK$505,"○")&gt;0,1,0))</f>
        <v>0</v>
      </c>
      <c r="D157" s="39" t="n">
        <f aca="false">IF(D$4=0,0,IF(COUNTIFS(実績!$W$6:$W$505,D$3,実績!$AI$6:$AI$505,"&lt;="&amp;$A157,実績!$AJ$6:$AJ$505,"&gt;"&amp;$A157,実績!$AK$6:$AK$505,"○")&gt;0,1,0))</f>
        <v>0</v>
      </c>
      <c r="E157" s="39" t="n">
        <f aca="false">IF(E$4=0,0,IF(COUNTIFS(実績!$W$6:$W$505,E$3,実績!$AI$6:$AI$505,"&lt;="&amp;$A157,実績!$AJ$6:$AJ$505,"&gt;"&amp;$A157,実績!$AK$6:$AK$505,"○")&gt;0,1,0))</f>
        <v>0</v>
      </c>
      <c r="F157" s="39" t="n">
        <f aca="false">IF(F$4=0,0,IF(COUNTIFS(実績!$W$6:$W$505,F$3,実績!$AI$6:$AI$505,"&lt;="&amp;$A157,実績!$AJ$6:$AJ$505,"&gt;"&amp;$A157,実績!$AK$6:$AK$505,"○")&gt;0,1,0))</f>
        <v>0</v>
      </c>
      <c r="G157" s="39" t="n">
        <f aca="false">IF(G$4=0,0,IF(COUNTIFS(実績!$W$6:$W$505,G$3,実績!$AI$6:$AI$505,"&lt;="&amp;$A157,実績!$AJ$6:$AJ$505,"&gt;"&amp;$A157,実績!$AK$6:$AK$505,"○")&gt;0,1,0))</f>
        <v>0</v>
      </c>
      <c r="H157" s="39" t="n">
        <f aca="false">IF(H$4=0,0,IF(COUNTIFS(実績!$W$6:$W$505,H$3,実績!$AI$6:$AI$505,"&lt;="&amp;$A157,実績!$AJ$6:$AJ$505,"&gt;"&amp;$A157,実績!$AK$6:$AK$505,"○")&gt;0,1,0))</f>
        <v>0</v>
      </c>
      <c r="I157" s="39" t="n">
        <f aca="false">IF(I$4=0,0,IF(COUNTIFS(実績!$W$6:$W$505,I$3,実績!$AI$6:$AI$505,"&lt;="&amp;$A157,実績!$AJ$6:$AJ$505,"&gt;"&amp;$A157,実績!$AK$6:$AK$505,"○")&gt;0,1,0))</f>
        <v>0</v>
      </c>
      <c r="J157" s="39" t="n">
        <f aca="false">IF(J$4=0,0,IF(COUNTIFS(実績!$W$6:$W$505,J$3,実績!$AI$6:$AI$505,"&lt;="&amp;$A157,実績!$AJ$6:$AJ$505,"&gt;"&amp;$A157,実績!$AK$6:$AK$505,"○")&gt;0,1,0))</f>
        <v>0</v>
      </c>
      <c r="K157" s="39" t="n">
        <f aca="false">IF(K$4=0,0,IF(COUNTIFS(実績!$W$6:$W$505,K$3,実績!$AI$6:$AI$505,"&lt;="&amp;$A157,実績!$AJ$6:$AJ$505,"&gt;"&amp;$A157,実績!$AK$6:$AK$505,"○")&gt;0,1,0))</f>
        <v>0</v>
      </c>
      <c r="L157" s="39" t="n">
        <f aca="false">IF(L$4=0,0,IF(COUNTIFS(実績!$W$6:$W$505,L$3,実績!$AI$6:$AI$505,"&lt;="&amp;$A157,実績!$AJ$6:$AJ$505,"&gt;"&amp;$A157,実績!$AK$6:$AK$505,"○")&gt;0,1,0))</f>
        <v>0</v>
      </c>
      <c r="M157" s="39" t="n">
        <f aca="false">IF(M$4=0,0,IF(COUNTIFS(実績!$W$6:$W$505,M$3,実績!$AI$6:$AI$505,"&lt;="&amp;$A157,実績!$AJ$6:$AJ$505,"&gt;"&amp;$A157,実績!$AK$6:$AK$505,"○")&gt;0,1,0))</f>
        <v>0</v>
      </c>
      <c r="N157" s="39" t="n">
        <f aca="false">IF(N$4=0,0,IF(COUNTIFS(実績!$W$6:$W$505,N$3,実績!$AI$6:$AI$505,"&lt;="&amp;$A157,実績!$AJ$6:$AJ$505,"&gt;"&amp;$A157,実績!$AK$6:$AK$505,"○")&gt;0,1,0))</f>
        <v>0</v>
      </c>
      <c r="O157" s="39" t="n">
        <f aca="false">IF(O$4=0,0,IF(COUNTIFS(実績!$W$6:$W$505,O$3,実績!$AI$6:$AI$505,"&lt;="&amp;$A157,実績!$AJ$6:$AJ$505,"&gt;"&amp;$A157,実績!$AK$6:$AK$505,"○")&gt;0,1,0))</f>
        <v>0</v>
      </c>
      <c r="P157" s="39" t="n">
        <f aca="false">IF(P$4=0,0,IF(COUNTIFS(実績!$W$6:$W$505,P$3,実績!$AI$6:$AI$505,"&lt;="&amp;$A157,実績!$AJ$6:$AJ$505,"&gt;"&amp;$A157,実績!$AK$6:$AK$505,"○")&gt;0,1,0))</f>
        <v>0</v>
      </c>
      <c r="Q157" s="39" t="n">
        <f aca="false">IF(Q$4=0,0,IF(COUNTIFS(実績!$W$6:$W$505,Q$3,実績!$AI$6:$AI$505,"&lt;="&amp;$A157,実績!$AJ$6:$AJ$505,"&gt;"&amp;$A157,実績!$AK$6:$AK$505,"○")&gt;0,1,0))</f>
        <v>0</v>
      </c>
      <c r="R157" s="39" t="n">
        <f aca="false">IF(R$4=0,0,IF(COUNTIFS(実績!$W$6:$W$505,R$3,実績!$AI$6:$AI$505,"&lt;="&amp;$A157,実績!$AJ$6:$AJ$505,"&gt;"&amp;$A157,実績!$AK$6:$AK$505,"○")&gt;0,1,0))</f>
        <v>0</v>
      </c>
      <c r="S157" s="39" t="n">
        <f aca="false">IF(S$4=0,0,IF(COUNTIFS(実績!$W$6:$W$505,S$3,実績!$AI$6:$AI$505,"&lt;="&amp;$A157,実績!$AJ$6:$AJ$505,"&gt;"&amp;$A157,実績!$AK$6:$AK$505,"○")&gt;0,1,0))</f>
        <v>0</v>
      </c>
      <c r="T157" s="39" t="n">
        <f aca="false">IF(T$4=0,0,IF(COUNTIFS(実績!$W$6:$W$505,T$3,実績!$AI$6:$AI$505,"&lt;="&amp;$A157,実績!$AJ$6:$AJ$505,"&gt;"&amp;$A157,実績!$AK$6:$AK$505,"○")&gt;0,1,0))</f>
        <v>0</v>
      </c>
      <c r="U157" s="39" t="n">
        <f aca="false">IF(U$4=0,0,IF(COUNTIFS(実績!$W$6:$W$505,U$3,実績!$AI$6:$AI$505,"&lt;="&amp;$A157,実績!$AJ$6:$AJ$505,"&gt;"&amp;$A157,実績!$AK$6:$AK$505,"○")&gt;0,1,0))</f>
        <v>0</v>
      </c>
      <c r="V157" s="39" t="n">
        <f aca="false">IF(V$4=0,0,IF(COUNTIFS(実績!$W$6:$W$505,V$3,実績!$AI$6:$AI$505,"&lt;="&amp;$A157,実績!$AJ$6:$AJ$505,"&gt;"&amp;$A157,実績!$AK$6:$AK$505,"○")&gt;0,1,0))</f>
        <v>0</v>
      </c>
      <c r="W157" s="39" t="n">
        <f aca="false">IF(W$4=0,0,IF(COUNTIFS(実績!$W$6:$W$505,W$3,実績!$AI$6:$AI$505,"&lt;="&amp;$A157,実績!$AJ$6:$AJ$505,"&gt;"&amp;$A157,実績!$AK$6:$AK$505,"○")&gt;0,1,0))</f>
        <v>0</v>
      </c>
      <c r="X157" s="39" t="n">
        <f aca="false">IF(X$4=0,0,IF(COUNTIFS(実績!$W$6:$W$505,X$3,実績!$AI$6:$AI$505,"&lt;="&amp;$A157,実績!$AJ$6:$AJ$505,"&gt;"&amp;$A157,実績!$AK$6:$AK$505,"○")&gt;0,1,0))</f>
        <v>0</v>
      </c>
      <c r="Y157" s="39" t="n">
        <f aca="false">IF(Y$4=0,0,IF(COUNTIFS(実績!$W$6:$W$505,Y$3,実績!$AI$6:$AI$505,"&lt;="&amp;$A157,実績!$AJ$6:$AJ$505,"&gt;"&amp;$A157,実績!$AK$6:$AK$505,"○")&gt;0,1,0))</f>
        <v>0</v>
      </c>
      <c r="Z157" s="39" t="n">
        <f aca="false">IF(Z$4=0,0,IF(COUNTIFS(実績!$W$6:$W$505,Z$3,実績!$AI$6:$AI$505,"&lt;="&amp;$A157,実績!$AJ$6:$AJ$505,"&gt;"&amp;$A157,実績!$AK$6:$AK$505,"○")&gt;0,1,0))</f>
        <v>0</v>
      </c>
      <c r="AA157" s="39" t="n">
        <f aca="false">IF(AA$4=0,0,IF(COUNTIFS(実績!$W$6:$W$505,AA$3,実績!$AI$6:$AI$505,"&lt;="&amp;$A157,実績!$AJ$6:$AJ$505,"&gt;"&amp;$A157,実績!$AK$6:$AK$505,"○")&gt;0,1,0))</f>
        <v>0</v>
      </c>
      <c r="AB157" s="39" t="n">
        <f aca="false">IF(AB$4=0,0,IF(COUNTIFS(実績!$W$6:$W$505,AB$3,実績!$AI$6:$AI$505,"&lt;="&amp;$A157,実績!$AJ$6:$AJ$505,"&gt;"&amp;$A157,実績!$AK$6:$AK$505,"○")&gt;0,1,0))</f>
        <v>0</v>
      </c>
      <c r="AC157" s="39" t="n">
        <f aca="false">IF(AC$4=0,0,IF(COUNTIFS(実績!$W$6:$W$505,AC$3,実績!$AI$6:$AI$505,"&lt;="&amp;$A157,実績!$AJ$6:$AJ$505,"&gt;"&amp;$A157,実績!$AK$6:$AK$505,"○")&gt;0,1,0))</f>
        <v>0</v>
      </c>
      <c r="AD157" s="39" t="n">
        <f aca="false">IF(AD$4=0,0,IF(COUNTIFS(実績!$W$6:$W$505,AD$3,実績!$AI$6:$AI$505,"&lt;="&amp;$A157,実績!$AJ$6:$AJ$505,"&gt;"&amp;$A157,実績!$AK$6:$AK$505,"○")&gt;0,1,0))</f>
        <v>0</v>
      </c>
      <c r="AE157" s="39" t="n">
        <f aca="false">IF(AE$4=0,0,IF(COUNTIFS(実績!$W$6:$W$505,AE$3,実績!$AI$6:$AI$505,"&lt;="&amp;$A157,実績!$AJ$6:$AJ$505,"&gt;"&amp;$A157,実績!$AK$6:$AK$505,"○")&gt;0,1,0))</f>
        <v>0</v>
      </c>
      <c r="AF157" s="39" t="n">
        <f aca="false">IF(AF$4=0,0,IF(COUNTIFS(実績!$W$6:$W$505,AF$3,実績!$AI$6:$AI$505,"&lt;="&amp;$A157,実績!$AJ$6:$AJ$505,"&gt;"&amp;$A157,実績!$AK$6:$AK$505,"○")&gt;0,1,0))</f>
        <v>0</v>
      </c>
      <c r="AG157" s="39" t="n">
        <f aca="false">IF(AG$4=0,0,IF(COUNTIFS(実績!$W$6:$W$505,AG$3,実績!$AI$6:$AI$505,"&lt;="&amp;$A157,実績!$AJ$6:$AJ$505,"&gt;"&amp;$A157,実績!$AK$6:$AK$505,"○")&gt;0,1,0))</f>
        <v>0</v>
      </c>
      <c r="AH157" s="39" t="n">
        <f aca="false">IF(AH$4=0,0,IF(COUNTIFS(実績!$W$6:$W$505,AH$3,実績!$AI$6:$AI$505,"&lt;="&amp;$A157,実績!$AJ$6:$AJ$505,"&gt;"&amp;$A157,実績!$AK$6:$AK$505,"○")&gt;0,1,0))</f>
        <v>0</v>
      </c>
      <c r="AI157" s="39" t="n">
        <f aca="false">IF(AI$4=0,0,IF(COUNTIFS(実績!$W$6:$W$505,AI$3,実績!$AI$6:$AI$505,"&lt;="&amp;$A157,実績!$AJ$6:$AJ$505,"&gt;"&amp;$A157,実績!$AK$6:$AK$505,"○")&gt;0,1,0))</f>
        <v>0</v>
      </c>
      <c r="AJ157" s="39" t="n">
        <f aca="false">IF(AJ$4=0,0,IF(COUNTIFS(実績!$W$6:$W$505,AJ$3,実績!$AI$6:$AI$505,"&lt;="&amp;$A157,実績!$AJ$6:$AJ$505,"&gt;"&amp;$A157,実績!$AK$6:$AK$505,"○")&gt;0,1,0))</f>
        <v>0</v>
      </c>
      <c r="AK157" s="39" t="n">
        <f aca="false">IF(AK$4=0,0,IF(COUNTIFS(実績!$W$6:$W$505,AK$3,実績!$AI$6:$AI$505,"&lt;="&amp;$A157,実績!$AJ$6:$AJ$505,"&gt;"&amp;$A157,実績!$AK$6:$AK$505,"○")&gt;0,1,0))</f>
        <v>0</v>
      </c>
      <c r="AL157" s="39" t="n">
        <f aca="false">IF(AL$4=0,0,IF(COUNTIFS(実績!$W$6:$W$505,AL$3,実績!$AI$6:$AI$505,"&lt;="&amp;$A157,実績!$AJ$6:$AJ$505,"&gt;"&amp;$A157,実績!$AK$6:$AK$505,"○")&gt;0,1,0))</f>
        <v>0</v>
      </c>
      <c r="AM157" s="39" t="n">
        <f aca="false">IF(AM$4=0,0,IF(COUNTIFS(実績!$W$6:$W$505,AM$3,実績!$AI$6:$AI$505,"&lt;="&amp;$A157,実績!$AJ$6:$AJ$505,"&gt;"&amp;$A157,実績!$AK$6:$AK$505,"○")&gt;0,1,0))</f>
        <v>0</v>
      </c>
      <c r="AN157" s="39" t="n">
        <f aca="false">IF(AN$4=0,0,IF(COUNTIFS(実績!$W$6:$W$505,AN$3,実績!$AI$6:$AI$505,"&lt;="&amp;$A157,実績!$AJ$6:$AJ$505,"&gt;"&amp;$A157,実績!$AK$6:$AK$505,"○")&gt;0,1,0))</f>
        <v>0</v>
      </c>
      <c r="AO157" s="39" t="n">
        <f aca="false">IF(AO$4=0,0,IF(COUNTIFS(実績!$W$6:$W$505,AO$3,実績!$AI$6:$AI$505,"&lt;="&amp;$A157,実績!$AJ$6:$AJ$505,"&gt;"&amp;$A157,実績!$AK$6:$AK$505,"○")&gt;0,1,0))</f>
        <v>0</v>
      </c>
      <c r="AP157" s="39" t="n">
        <f aca="false">IF(AP$4=0,0,IF(COUNTIFS(実績!$W$6:$W$505,AP$3,実績!$AI$6:$AI$505,"&lt;="&amp;$A157,実績!$AJ$6:$AJ$505,"&gt;"&amp;$A157,実績!$AK$6:$AK$505,"○")&gt;0,1,0))</f>
        <v>0</v>
      </c>
      <c r="AQ157" s="39" t="n">
        <f aca="false">IF(AQ$4=0,0,IF(COUNTIFS(実績!$W$6:$W$505,AQ$3,実績!$AI$6:$AI$505,"&lt;="&amp;$A157,実績!$AJ$6:$AJ$505,"&gt;"&amp;$A157,実績!$AK$6:$AK$505,"○")&gt;0,1,0))</f>
        <v>0</v>
      </c>
      <c r="AR157" s="39" t="n">
        <f aca="false">IF(AR$4=0,0,IF(COUNTIFS(実績!$W$6:$W$505,AR$3,実績!$AI$6:$AI$505,"&lt;="&amp;$A157,実績!$AJ$6:$AJ$505,"&gt;"&amp;$A157,実績!$AK$6:$AK$505,"○")&gt;0,1,0))</f>
        <v>0</v>
      </c>
      <c r="AS157" s="39" t="n">
        <f aca="false">IF(AS$4=0,0,IF(COUNTIFS(実績!$W$6:$W$505,AS$3,実績!$AI$6:$AI$505,"&lt;="&amp;$A157,実績!$AJ$6:$AJ$505,"&gt;"&amp;$A157,実績!$AK$6:$AK$505,"○")&gt;0,1,0))</f>
        <v>0</v>
      </c>
      <c r="AT157" s="39" t="n">
        <f aca="false">IF(AT$4=0,0,IF(COUNTIFS(実績!$W$6:$W$505,AT$3,実績!$AI$6:$AI$505,"&lt;="&amp;$A157,実績!$AJ$6:$AJ$505,"&gt;"&amp;$A157,実績!$AK$6:$AK$505,"○")&gt;0,1,0))</f>
        <v>0</v>
      </c>
      <c r="AU157" s="39" t="n">
        <f aca="false">IF(AU$4=0,0,IF(COUNTIFS(実績!$W$6:$W$505,AU$3,実績!$AI$6:$AI$505,"&lt;="&amp;$A157,実績!$AJ$6:$AJ$505,"&gt;"&amp;$A157,実績!$AK$6:$AK$505,"○")&gt;0,1,0))</f>
        <v>0</v>
      </c>
      <c r="AV157" s="39" t="n">
        <f aca="false">IF(AV$4=0,0,IF(COUNTIFS(実績!$W$6:$W$505,AV$3,実績!$AI$6:$AI$505,"&lt;="&amp;$A157,実績!$AJ$6:$AJ$505,"&gt;"&amp;$A157,実績!$AK$6:$AK$505,"○")&gt;0,1,0))</f>
        <v>0</v>
      </c>
      <c r="AW157" s="39" t="n">
        <f aca="false">IF(AW$4=0,0,IF(COUNTIFS(実績!$W$6:$W$505,AW$3,実績!$AI$6:$AI$505,"&lt;="&amp;$A157,実績!$AJ$6:$AJ$505,"&gt;"&amp;$A157,実績!$AK$6:$AK$505,"○")&gt;0,1,0))</f>
        <v>0</v>
      </c>
      <c r="AX157" s="39" t="n">
        <f aca="false">IF(AX$4=0,0,IF(COUNTIFS(実績!$W$6:$W$505,AX$3,実績!$AI$6:$AI$505,"&lt;="&amp;$A157,実績!$AJ$6:$AJ$505,"&gt;"&amp;$A157,実績!$AK$6:$AK$505,"○")&gt;0,1,0))</f>
        <v>0</v>
      </c>
      <c r="AY157" s="39" t="n">
        <f aca="false">IF(AY$4=0,0,IF(COUNTIFS(実績!$W$6:$W$505,AY$3,実績!$AI$6:$AI$505,"&lt;="&amp;$A157,実績!$AJ$6:$AJ$505,"&gt;"&amp;$A157,実績!$AK$6:$AK$505,"○")&gt;0,1,0))</f>
        <v>0</v>
      </c>
      <c r="AZ157" s="39" t="n">
        <f aca="false">IF(AZ$4=0,0,IF(COUNTIFS(実績!$W$6:$W$505,AZ$3,実績!$AI$6:$AI$505,"&lt;="&amp;$A157,実績!$AJ$6:$AJ$505,"&gt;"&amp;$A157,実績!$AK$6:$AK$505,"○")&gt;0,1,0))</f>
        <v>0</v>
      </c>
      <c r="BA157" s="39" t="n">
        <f aca="false">IF(BA$4=0,0,IF(COUNTIFS(実績!$W$6:$W$505,BA$3,実績!$AI$6:$AI$505,"&lt;="&amp;$A157,実績!$AJ$6:$AJ$505,"&gt;"&amp;$A157,実績!$AK$6:$AK$505,"○")&gt;0,1,0))</f>
        <v>0</v>
      </c>
      <c r="BB157" s="39" t="n">
        <f aca="false">IF(BB$4=0,0,IF(COUNTIFS(実績!$W$6:$W$505,BB$3,実績!$AI$6:$AI$505,"&lt;="&amp;$A157,実績!$AJ$6:$AJ$505,"&gt;"&amp;$A157,実績!$AK$6:$AK$505,"○")&gt;0,1,0))</f>
        <v>0</v>
      </c>
      <c r="BC157" s="39" t="n">
        <f aca="false">IF(BC$4=0,0,IF(COUNTIFS(実績!$W$6:$W$505,BC$3,実績!$AI$6:$AI$505,"&lt;="&amp;$A157,実績!$AJ$6:$AJ$505,"&gt;"&amp;$A157,実績!$AK$6:$AK$505,"○")&gt;0,1,0))</f>
        <v>0</v>
      </c>
      <c r="BD157" s="39" t="n">
        <f aca="false">IF(BD$4=0,0,IF(COUNTIFS(実績!$W$6:$W$505,BD$3,実績!$AI$6:$AI$505,"&lt;="&amp;$A157,実績!$AJ$6:$AJ$505,"&gt;"&amp;$A157,実績!$AK$6:$AK$505,"○")&gt;0,1,0))</f>
        <v>0</v>
      </c>
      <c r="BE157" s="39" t="n">
        <f aca="false">IF(BE$4=0,0,IF(COUNTIFS(実績!$W$6:$W$505,BE$3,実績!$AI$6:$AI$505,"&lt;="&amp;$A157,実績!$AJ$6:$AJ$505,"&gt;"&amp;$A157,実績!$AK$6:$AK$505,"○")&gt;0,1,0))</f>
        <v>0</v>
      </c>
      <c r="BF157" s="39" t="n">
        <f aca="false">IF(BF$4=0,0,IF(COUNTIFS(実績!$W$6:$W$505,BF$3,実績!$AI$6:$AI$505,"&lt;="&amp;$A157,実績!$AJ$6:$AJ$505,"&gt;"&amp;$A157,実績!$AK$6:$AK$505,"○")&gt;0,1,0))</f>
        <v>0</v>
      </c>
      <c r="BG157" s="39" t="n">
        <f aca="false">IF(BG$4=0,0,IF(COUNTIFS(実績!$W$6:$W$505,BG$3,実績!$AI$6:$AI$505,"&lt;="&amp;$A157,実績!$AJ$6:$AJ$505,"&gt;"&amp;$A157,実績!$AK$6:$AK$505,"○")&gt;0,1,0))</f>
        <v>0</v>
      </c>
      <c r="BH157" s="39" t="n">
        <f aca="false">IF(BH$4=0,0,IF(COUNTIFS(実績!$W$6:$W$505,BH$3,実績!$AI$6:$AI$505,"&lt;="&amp;$A157,実績!$AJ$6:$AJ$505,"&gt;"&amp;$A157,実績!$AK$6:$AK$505,"○")&gt;0,1,0))</f>
        <v>0</v>
      </c>
      <c r="BI157" s="39" t="n">
        <f aca="false">IF(BI$4=0,0,IF(COUNTIFS(実績!$W$6:$W$505,BI$3,実績!$AI$6:$AI$505,"&lt;="&amp;$A157,実績!$AJ$6:$AJ$505,"&gt;"&amp;$A157,実績!$AK$6:$AK$505,"○")&gt;0,1,0))</f>
        <v>0</v>
      </c>
      <c r="BJ157" s="39" t="n">
        <f aca="false">IF(BJ$4=0,0,IF(COUNTIFS(実績!$W$6:$W$505,BJ$3,実績!$AI$6:$AI$505,"&lt;="&amp;$A157,実績!$AJ$6:$AJ$505,"&gt;"&amp;$A157,実績!$AK$6:$AK$505,"○")&gt;0,1,0))</f>
        <v>0</v>
      </c>
      <c r="BK157" s="39" t="n">
        <f aca="false">IF(BK$4=0,0,IF(COUNTIFS(実績!$W$6:$W$505,BK$3,実績!$AI$6:$AI$505,"&lt;="&amp;$A157,実績!$AJ$6:$AJ$505,"&gt;"&amp;$A157,実績!$AK$6:$AK$505,"○")&gt;0,1,0))</f>
        <v>0</v>
      </c>
      <c r="BL157" s="39" t="n">
        <f aca="false">IF(BL$4=0,0,IF(COUNTIFS(実績!$W$6:$W$505,BL$3,実績!$AI$6:$AI$505,"&lt;="&amp;$A157,実績!$AJ$6:$AJ$505,"&gt;"&amp;$A157,実績!$AK$6:$AK$505,"○")&gt;0,1,0))</f>
        <v>0</v>
      </c>
      <c r="BM157" s="39" t="n">
        <f aca="false">IF(BM$4=0,0,IF(COUNTIFS(実績!$W$6:$W$505,BM$3,実績!$AI$6:$AI$505,"&lt;="&amp;$A157,実績!$AJ$6:$AJ$505,"&gt;"&amp;$A157,実績!$AK$6:$AK$505,"○")&gt;0,1,0))</f>
        <v>0</v>
      </c>
      <c r="BN157" s="39" t="n">
        <f aca="false">IF(BN$4=0,0,IF(COUNTIFS(実績!$W$6:$W$505,BN$3,実績!$AI$6:$AI$505,"&lt;="&amp;$A157,実績!$AJ$6:$AJ$505,"&gt;"&amp;$A157,実績!$AK$6:$AK$505,"○")&gt;0,1,0))</f>
        <v>0</v>
      </c>
      <c r="BO157" s="39" t="n">
        <f aca="false">IF(BO$4=0,0,IF(COUNTIFS(実績!$W$6:$W$505,BO$3,実績!$AI$6:$AI$505,"&lt;="&amp;$A157,実績!$AJ$6:$AJ$505,"&gt;"&amp;$A157,実績!$AK$6:$AK$505,"○")&gt;0,1,0))</f>
        <v>0</v>
      </c>
      <c r="BP157" s="39" t="n">
        <f aca="false">IF(BP$4=0,0,IF(COUNTIFS(実績!$W$6:$W$505,BP$3,実績!$AI$6:$AI$505,"&lt;="&amp;$A157,実績!$AJ$6:$AJ$505,"&gt;"&amp;$A157,実績!$AK$6:$AK$505,"○")&gt;0,1,0))</f>
        <v>0</v>
      </c>
      <c r="BQ157" s="39" t="n">
        <f aca="false">IF(BQ$4=0,0,IF(COUNTIFS(実績!$W$6:$W$505,BQ$3,実績!$AI$6:$AI$505,"&lt;="&amp;$A157,実績!$AJ$6:$AJ$505,"&gt;"&amp;$A157,実績!$AK$6:$AK$505,"○")&gt;0,1,0))</f>
        <v>0</v>
      </c>
      <c r="BR157" s="39" t="n">
        <f aca="false">IF(BR$4=0,0,IF(COUNTIFS(実績!$W$6:$W$505,BR$3,実績!$AI$6:$AI$505,"&lt;="&amp;$A157,実績!$AJ$6:$AJ$505,"&gt;"&amp;$A157,実績!$AK$6:$AK$505,"○")&gt;0,1,0))</f>
        <v>0</v>
      </c>
      <c r="BS157" s="39" t="n">
        <f aca="false">IF(BS$4=0,0,IF(COUNTIFS(実績!$W$6:$W$505,BS$3,実績!$AI$6:$AI$505,"&lt;="&amp;$A157,実績!$AJ$6:$AJ$505,"&gt;"&amp;$A157,実績!$AK$6:$AK$505,"○")&gt;0,1,0))</f>
        <v>0</v>
      </c>
      <c r="BT157" s="39" t="n">
        <f aca="false">IF(BT$4=0,0,IF(COUNTIFS(実績!$W$6:$W$505,BT$3,実績!$AI$6:$AI$505,"&lt;="&amp;$A157,実績!$AJ$6:$AJ$505,"&gt;"&amp;$A157,実績!$AK$6:$AK$505,"○")&gt;0,1,0))</f>
        <v>0</v>
      </c>
      <c r="BU157" s="39" t="n">
        <f aca="false">IF(BU$4=0,0,IF(COUNTIFS(実績!$W$6:$W$505,BU$3,実績!$AI$6:$AI$505,"&lt;="&amp;$A157,実績!$AJ$6:$AJ$505,"&gt;"&amp;$A157,実績!$AK$6:$AK$505,"○")&gt;0,1,0))</f>
        <v>0</v>
      </c>
      <c r="BV157" s="39" t="n">
        <f aca="false">IF(BV$4=0,0,IF(COUNTIFS(実績!$W$6:$W$505,BV$3,実績!$AI$6:$AI$505,"&lt;="&amp;$A157,実績!$AJ$6:$AJ$505,"&gt;"&amp;$A157,実績!$AK$6:$AK$505,"○")&gt;0,1,0))</f>
        <v>0</v>
      </c>
      <c r="BW157" s="39" t="n">
        <f aca="false">IF(BW$4=0,0,IF(COUNTIFS(実績!$W$6:$W$505,BW$3,実績!$AI$6:$AI$505,"&lt;="&amp;$A157,実績!$AJ$6:$AJ$505,"&gt;"&amp;$A157,実績!$AK$6:$AK$505,"○")&gt;0,1,0))</f>
        <v>0</v>
      </c>
      <c r="BX157" s="39" t="n">
        <f aca="false">IF(BX$4=0,0,IF(COUNTIFS(実績!$W$6:$W$505,BX$3,実績!$AI$6:$AI$505,"&lt;="&amp;$A157,実績!$AJ$6:$AJ$505,"&gt;"&amp;$A157,実績!$AK$6:$AK$505,"○")&gt;0,1,0))</f>
        <v>0</v>
      </c>
      <c r="BY157" s="39" t="n">
        <f aca="false">IF(BY$4=0,0,IF(COUNTIFS(実績!$W$6:$W$505,BY$3,実績!$AI$6:$AI$505,"&lt;="&amp;$A157,実績!$AJ$6:$AJ$505,"&gt;"&amp;$A157,実績!$AK$6:$AK$505,"○")&gt;0,1,0))</f>
        <v>0</v>
      </c>
      <c r="BZ157" s="39" t="n">
        <f aca="false">IF(BZ$4=0,0,IF(COUNTIFS(実績!$W$6:$W$505,BZ$3,実績!$AI$6:$AI$505,"&lt;="&amp;$A157,実績!$AJ$6:$AJ$505,"&gt;"&amp;$A157,実績!$AK$6:$AK$505,"○")&gt;0,1,0))</f>
        <v>0</v>
      </c>
      <c r="CA157" s="39" t="n">
        <f aca="false">IF(CA$4=0,0,IF(COUNTIFS(実績!$W$6:$W$505,CA$3,実績!$AI$6:$AI$505,"&lt;="&amp;$A157,実績!$AJ$6:$AJ$505,"&gt;"&amp;$A157,実績!$AK$6:$AK$505,"○")&gt;0,1,0))</f>
        <v>0</v>
      </c>
      <c r="CB157" s="39" t="n">
        <f aca="false">IF(CB$4=0,0,IF(COUNTIFS(実績!$W$6:$W$505,CB$3,実績!$AI$6:$AI$505,"&lt;="&amp;$A157,実績!$AJ$6:$AJ$505,"&gt;"&amp;$A157,実績!$AK$6:$AK$505,"○")&gt;0,1,0))</f>
        <v>0</v>
      </c>
      <c r="CC157" s="39" t="n">
        <f aca="false">IF(CC$4=0,0,IF(COUNTIFS(実績!$W$6:$W$505,CC$3,実績!$AI$6:$AI$505,"&lt;="&amp;$A157,実績!$AJ$6:$AJ$505,"&gt;"&amp;$A157,実績!$AK$6:$AK$505,"○")&gt;0,1,0))</f>
        <v>0</v>
      </c>
      <c r="CD157" s="39" t="n">
        <f aca="false">IF(CD$4=0,0,IF(COUNTIFS(実績!$W$6:$W$505,CD$3,実績!$AI$6:$AI$505,"&lt;="&amp;$A157,実績!$AJ$6:$AJ$505,"&gt;"&amp;$A157,実績!$AK$6:$AK$505,"○")&gt;0,1,0))</f>
        <v>0</v>
      </c>
      <c r="CE157" s="39" t="n">
        <f aca="false">IF(CE$4=0,0,IF(COUNTIFS(実績!$W$6:$W$505,CE$3,実績!$AI$6:$AI$505,"&lt;="&amp;$A157,実績!$AJ$6:$AJ$505,"&gt;"&amp;$A157,実績!$AK$6:$AK$505,"○")&gt;0,1,0))</f>
        <v>0</v>
      </c>
      <c r="CF157" s="39" t="n">
        <f aca="false">IF(CF$4=0,0,IF(COUNTIFS(実績!$W$6:$W$505,CF$3,実績!$AI$6:$AI$505,"&lt;="&amp;$A157,実績!$AJ$6:$AJ$505,"&gt;"&amp;$A157,実績!$AK$6:$AK$505,"○")&gt;0,1,0))</f>
        <v>0</v>
      </c>
      <c r="CG157" s="39" t="n">
        <f aca="false">IF(CG$4=0,0,IF(COUNTIFS(実績!$W$6:$W$505,CG$3,実績!$AI$6:$AI$505,"&lt;="&amp;$A157,実績!$AJ$6:$AJ$505,"&gt;"&amp;$A157,実績!$AK$6:$AK$505,"○")&gt;0,1,0))</f>
        <v>0</v>
      </c>
      <c r="CH157" s="39" t="n">
        <f aca="false">IF(CH$4=0,0,IF(COUNTIFS(実績!$W$6:$W$505,CH$3,実績!$AI$6:$AI$505,"&lt;="&amp;$A157,実績!$AJ$6:$AJ$505,"&gt;"&amp;$A157,実績!$AK$6:$AK$505,"○")&gt;0,1,0))</f>
        <v>0</v>
      </c>
      <c r="CI157" s="39" t="n">
        <f aca="false">IF(CI$4=0,0,IF(COUNTIFS(実績!$W$6:$W$505,CI$3,実績!$AI$6:$AI$505,"&lt;="&amp;$A157,実績!$AJ$6:$AJ$505,"&gt;"&amp;$A157,実績!$AK$6:$AK$505,"○")&gt;0,1,0))</f>
        <v>0</v>
      </c>
      <c r="CJ157" s="39" t="n">
        <f aca="false">IF(CJ$4=0,0,IF(COUNTIFS(実績!$W$6:$W$505,CJ$3,実績!$AI$6:$AI$505,"&lt;="&amp;$A157,実績!$AJ$6:$AJ$505,"&gt;"&amp;$A157,実績!$AK$6:$AK$505,"○")&gt;0,1,0))</f>
        <v>0</v>
      </c>
      <c r="CK157" s="39" t="n">
        <f aca="false">IF(CK$4=0,0,IF(COUNTIFS(実績!$W$6:$W$505,CK$3,実績!$AI$6:$AI$505,"&lt;="&amp;$A157,実績!$AJ$6:$AJ$505,"&gt;"&amp;$A157,実績!$AK$6:$AK$505,"○")&gt;0,1,0))</f>
        <v>0</v>
      </c>
      <c r="CL157" s="39" t="n">
        <f aca="false">IF(CL$4=0,0,IF(COUNTIFS(実績!$W$6:$W$505,CL$3,実績!$AI$6:$AI$505,"&lt;="&amp;$A157,実績!$AJ$6:$AJ$505,"&gt;"&amp;$A157,実績!$AK$6:$AK$505,"○")&gt;0,1,0))</f>
        <v>0</v>
      </c>
      <c r="CM157" s="39" t="n">
        <f aca="false">IF(CM$4=0,0,IF(COUNTIFS(実績!$W$6:$W$505,CM$3,実績!$AI$6:$AI$505,"&lt;="&amp;$A157,実績!$AJ$6:$AJ$505,"&gt;"&amp;$A157,実績!$AK$6:$AK$505,"○")&gt;0,1,0))</f>
        <v>0</v>
      </c>
      <c r="CN157" s="39" t="n">
        <f aca="false">IF(CN$4=0,0,IF(COUNTIFS(実績!$W$6:$W$505,CN$3,実績!$AI$6:$AI$505,"&lt;="&amp;$A157,実績!$AJ$6:$AJ$505,"&gt;"&amp;$A157,実績!$AK$6:$AK$505,"○")&gt;0,1,0))</f>
        <v>0</v>
      </c>
      <c r="CO157" s="39" t="n">
        <f aca="false">IF(CO$4=0,0,IF(COUNTIFS(実績!$W$6:$W$505,CO$3,実績!$AI$6:$AI$505,"&lt;="&amp;$A157,実績!$AJ$6:$AJ$505,"&gt;"&amp;$A157,実績!$AK$6:$AK$505,"○")&gt;0,1,0))</f>
        <v>0</v>
      </c>
      <c r="CP157" s="39" t="n">
        <f aca="false">IF(CP$4=0,0,IF(COUNTIFS(実績!$W$6:$W$505,CP$3,実績!$AI$6:$AI$505,"&lt;="&amp;$A157,実績!$AJ$6:$AJ$505,"&gt;"&amp;$A157,実績!$AK$6:$AK$505,"○")&gt;0,1,0))</f>
        <v>0</v>
      </c>
      <c r="CQ157" s="39" t="n">
        <f aca="false">IF(CQ$4=0,0,IF(COUNTIFS(実績!$W$6:$W$505,CQ$3,実績!$AI$6:$AI$505,"&lt;="&amp;$A157,実績!$AJ$6:$AJ$505,"&gt;"&amp;$A157,実績!$AK$6:$AK$505,"○")&gt;0,1,0))</f>
        <v>0</v>
      </c>
      <c r="CR157" s="39" t="n">
        <f aca="false">IF(CR$4=0,0,IF(COUNTIFS(実績!$W$6:$W$505,CR$3,実績!$AI$6:$AI$505,"&lt;="&amp;$A157,実績!$AJ$6:$AJ$505,"&gt;"&amp;$A157,実績!$AK$6:$AK$505,"○")&gt;0,1,0))</f>
        <v>0</v>
      </c>
      <c r="CS157" s="39" t="n">
        <f aca="false">IF(CS$4=0,0,IF(COUNTIFS(実績!$W$6:$W$505,CS$3,実績!$AI$6:$AI$505,"&lt;="&amp;$A157,実績!$AJ$6:$AJ$505,"&gt;"&amp;$A157,実績!$AK$6:$AK$505,"○")&gt;0,1,0))</f>
        <v>0</v>
      </c>
      <c r="CT157" s="39" t="n">
        <f aca="false">IF(CT$4=0,0,IF(COUNTIFS(実績!$W$6:$W$505,CT$3,実績!$AI$6:$AI$505,"&lt;="&amp;$A157,実績!$AJ$6:$AJ$505,"&gt;"&amp;$A157,実績!$AK$6:$AK$505,"○")&gt;0,1,0))</f>
        <v>0</v>
      </c>
      <c r="CU157" s="39" t="n">
        <f aca="false">IF(CU$4=0,0,IF(COUNTIFS(実績!$W$6:$W$505,CU$3,実績!$AI$6:$AI$505,"&lt;="&amp;$A157,実績!$AJ$6:$AJ$505,"&gt;"&amp;$A157,実績!$AK$6:$AK$505,"○")&gt;0,1,0))</f>
        <v>0</v>
      </c>
      <c r="CV157" s="39" t="n">
        <f aca="false">IF(CV$4=0,0,IF(COUNTIFS(実績!$W$6:$W$505,CV$3,実績!$AI$6:$AI$505,"&lt;="&amp;$A157,実績!$AJ$6:$AJ$505,"&gt;"&amp;$A157,実績!$AK$6:$AK$505,"○")&gt;0,1,0))</f>
        <v>0</v>
      </c>
      <c r="CW157" s="39" t="n">
        <f aca="false">IF(CW$4=0,0,IF(COUNTIFS(実績!$W$6:$W$505,CW$3,実績!$AI$6:$AI$505,"&lt;="&amp;$A157,実績!$AJ$6:$AJ$505,"&gt;"&amp;$A157,実績!$AK$6:$AK$505,"○")&gt;0,1,0))</f>
        <v>0</v>
      </c>
      <c r="CX157" s="39" t="n">
        <f aca="false">IF(CX$4=0,0,IF(COUNTIFS(実績!$W$6:$W$505,CX$3,実績!$AI$6:$AI$505,"&lt;="&amp;$A157,実績!$AJ$6:$AJ$505,"&gt;"&amp;$A157,実績!$AK$6:$AK$505,"○")&gt;0,1,0))</f>
        <v>0</v>
      </c>
      <c r="CY157" s="39" t="n">
        <f aca="false">IF(CY$4=0,0,IF(COUNTIFS(実績!$W$6:$W$505,CY$3,実績!$AI$6:$AI$505,"&lt;="&amp;$A157,実績!$AJ$6:$AJ$505,"&gt;"&amp;$A157,実績!$AK$6:$AK$505,"○")&gt;0,1,0))</f>
        <v>0</v>
      </c>
      <c r="CZ157" s="39" t="n">
        <f aca="false">IF(CZ$4=0,0,IF(COUNTIFS(実績!$W$6:$W$505,CZ$3,実績!$AI$6:$AI$505,"&lt;="&amp;$A157,実績!$AJ$6:$AJ$505,"&gt;"&amp;$A157,実績!$AK$6:$AK$505,"○")&gt;0,1,0))</f>
        <v>0</v>
      </c>
      <c r="DA157" s="39" t="n">
        <f aca="false">IF(DA$4=0,0,IF(COUNTIFS(実績!$W$6:$W$505,DA$3,実績!$AI$6:$AI$505,"&lt;="&amp;$A157,実績!$AJ$6:$AJ$505,"&gt;"&amp;$A157,実績!$AK$6:$AK$505,"○")&gt;0,1,0))</f>
        <v>0</v>
      </c>
      <c r="DB157" s="39" t="n">
        <f aca="false">IF(DB$4=0,0,IF(COUNTIFS(実績!$W$6:$W$505,DB$3,実績!$AI$6:$AI$505,"&lt;="&amp;$A157,実績!$AJ$6:$AJ$505,"&gt;"&amp;$A157,実績!$AK$6:$AK$505,"○")&gt;0,1,0))</f>
        <v>0</v>
      </c>
      <c r="DC157" s="39" t="n">
        <f aca="false">IF(DC$4=0,0,IF(COUNTIFS(実績!$W$6:$W$505,DC$3,実績!$AI$6:$AI$505,"&lt;="&amp;$A157,実績!$AJ$6:$AJ$505,"&gt;"&amp;$A157,実績!$AK$6:$AK$505,"○")&gt;0,1,0))</f>
        <v>0</v>
      </c>
      <c r="DD157" s="39" t="n">
        <f aca="false">IF(DD$4=0,0,IF(COUNTIFS(実績!$W$6:$W$505,DD$3,実績!$AI$6:$AI$505,"&lt;="&amp;$A157,実績!$AJ$6:$AJ$505,"&gt;"&amp;$A157,実績!$AK$6:$AK$505,"○")&gt;0,1,0))</f>
        <v>0</v>
      </c>
      <c r="DE157" s="39" t="n">
        <f aca="false">IF(DE$4=0,0,IF(COUNTIFS(実績!$W$6:$W$505,DE$3,実績!$AI$6:$AI$505,"&lt;="&amp;$A157,実績!$AJ$6:$AJ$505,"&gt;"&amp;$A157,実績!$AK$6:$AK$505,"○")&gt;0,1,0))</f>
        <v>0</v>
      </c>
      <c r="DF157" s="39" t="n">
        <f aca="false">IF(DF$4=0,0,IF(COUNTIFS(実績!$W$6:$W$505,DF$3,実績!$AI$6:$AI$505,"&lt;="&amp;$A157,実績!$AJ$6:$AJ$505,"&gt;"&amp;$A157,実績!$AK$6:$AK$505,"○")&gt;0,1,0))</f>
        <v>0</v>
      </c>
      <c r="DG157" s="39" t="n">
        <f aca="false">IF(DG$4=0,0,IF(COUNTIFS(実績!$W$6:$W$505,DG$3,実績!$AI$6:$AI$505,"&lt;="&amp;$A157,実績!$AJ$6:$AJ$505,"&gt;"&amp;$A157,実績!$AK$6:$AK$505,"○")&gt;0,1,0))</f>
        <v>0</v>
      </c>
      <c r="DH157" s="39" t="n">
        <f aca="false">IF(DH$4=0,0,IF(COUNTIFS(実績!$W$6:$W$505,DH$3,実績!$AI$6:$AI$505,"&lt;="&amp;$A157,実績!$AJ$6:$AJ$505,"&gt;"&amp;$A157,実績!$AK$6:$AK$505,"○")&gt;0,1,0))</f>
        <v>0</v>
      </c>
      <c r="DI157" s="39" t="n">
        <f aca="false">IF(DI$4=0,0,IF(COUNTIFS(実績!$W$6:$W$505,DI$3,実績!$AI$6:$AI$505,"&lt;="&amp;$A157,実績!$AJ$6:$AJ$505,"&gt;"&amp;$A157,実績!$AK$6:$AK$505,"○")&gt;0,1,0))</f>
        <v>0</v>
      </c>
      <c r="DJ157" s="39" t="n">
        <f aca="false">IF(DJ$4=0,0,IF(COUNTIFS(実績!$W$6:$W$505,DJ$3,実績!$AI$6:$AI$505,"&lt;="&amp;$A157,実績!$AJ$6:$AJ$505,"&gt;"&amp;$A157,実績!$AK$6:$AK$505,"○")&gt;0,1,0))</f>
        <v>0</v>
      </c>
      <c r="DK157" s="39" t="n">
        <f aca="false">IF(DK$4=0,0,IF(COUNTIFS(実績!$W$6:$W$505,DK$3,実績!$AI$6:$AI$505,"&lt;="&amp;$A157,実績!$AJ$6:$AJ$505,"&gt;"&amp;$A157,実績!$AK$6:$AK$505,"○")&gt;0,1,0))</f>
        <v>0</v>
      </c>
      <c r="DL157" s="39" t="n">
        <f aca="false">IF(DL$4=0,0,IF(COUNTIFS(実績!$W$6:$W$505,DL$3,実績!$AI$6:$AI$505,"&lt;="&amp;$A157,実績!$AJ$6:$AJ$505,"&gt;"&amp;$A157,実績!$AK$6:$AK$505,"○")&gt;0,1,0))</f>
        <v>0</v>
      </c>
      <c r="DM157" s="39" t="n">
        <f aca="false">IF(DM$4=0,0,IF(COUNTIFS(実績!$W$6:$W$505,DM$3,実績!$AI$6:$AI$505,"&lt;="&amp;$A157,実績!$AJ$6:$AJ$505,"&gt;"&amp;$A157,実績!$AK$6:$AK$505,"○")&gt;0,1,0))</f>
        <v>0</v>
      </c>
      <c r="DN157" s="39" t="n">
        <f aca="false">IF(DN$4=0,0,IF(COUNTIFS(実績!$W$6:$W$505,DN$3,実績!$AI$6:$AI$505,"&lt;="&amp;$A157,実績!$AJ$6:$AJ$505,"&gt;"&amp;$A157,実績!$AK$6:$AK$505,"○")&gt;0,1,0))</f>
        <v>0</v>
      </c>
      <c r="DO157" s="39" t="n">
        <f aca="false">IF(DO$4=0,0,IF(COUNTIFS(実績!$W$6:$W$505,DO$3,実績!$AI$6:$AI$505,"&lt;="&amp;$A157,実績!$AJ$6:$AJ$505,"&gt;"&amp;$A157,実績!$AK$6:$AK$505,"○")&gt;0,1,0))</f>
        <v>0</v>
      </c>
      <c r="DP157" s="39" t="n">
        <f aca="false">IF(DP$4=0,0,IF(COUNTIFS(実績!$W$6:$W$505,DP$3,実績!$AI$6:$AI$505,"&lt;="&amp;$A157,実績!$AJ$6:$AJ$505,"&gt;"&amp;$A157,実績!$AK$6:$AK$505,"○")&gt;0,1,0))</f>
        <v>0</v>
      </c>
      <c r="DQ157" s="39" t="n">
        <f aca="false">IF(DQ$4=0,0,IF(COUNTIFS(実績!$W$6:$W$505,DQ$3,実績!$AI$6:$AI$505,"&lt;="&amp;$A157,実績!$AJ$6:$AJ$505,"&gt;"&amp;$A157,実績!$AK$6:$AK$505,"○")&gt;0,1,0))</f>
        <v>0</v>
      </c>
      <c r="DR157" s="39" t="n">
        <f aca="false">IF(DR$4=0,0,IF(COUNTIFS(実績!$W$6:$W$505,DR$3,実績!$AI$6:$AI$505,"&lt;="&amp;$A157,実績!$AJ$6:$AJ$505,"&gt;"&amp;$A157,実績!$AK$6:$AK$505,"○")&gt;0,1,0))</f>
        <v>0</v>
      </c>
      <c r="DS157" s="39" t="n">
        <f aca="false">SUM(C157:DR157)</f>
        <v>0</v>
      </c>
      <c r="DT157" s="39" t="n">
        <f aca="false">SUMPRODUCT((実績!$C$6:$C$505="○")*ISNUMBER(実績!$AM$6:$AM$505)*(実績!$AM$6:$AM$505&lt;=$A157)*(実績!$AN$6:$AN$505&gt;$A157))</f>
        <v>0</v>
      </c>
      <c r="DU157" s="39" t="n">
        <f aca="false">SUMIF($C$2:$DR$2,"製鉄曳船",C157:DR157)</f>
        <v>0</v>
      </c>
      <c r="DV157" s="39" t="n">
        <f aca="false">SUMIF($C$2:$DR$2,"西日本海運",C157:DR157)</f>
        <v>0</v>
      </c>
    </row>
    <row r="158" customFormat="false" ht="15" hidden="false" customHeight="false" outlineLevel="0" collapsed="false">
      <c r="A158" s="0" t="n">
        <v>760</v>
      </c>
      <c r="B158" s="38" t="n">
        <f aca="false">A158/1440</f>
        <v>0.527777777777778</v>
      </c>
      <c r="C158" s="39" t="n">
        <f aca="false">IF(C$4=0,0,IF(COUNTIFS(実績!$W$6:$W$505,C$3,実績!$AI$6:$AI$505,"&lt;="&amp;$A158,実績!$AJ$6:$AJ$505,"&gt;"&amp;$A158,実績!$AK$6:$AK$505,"○")&gt;0,1,0))</f>
        <v>0</v>
      </c>
      <c r="D158" s="39" t="n">
        <f aca="false">IF(D$4=0,0,IF(COUNTIFS(実績!$W$6:$W$505,D$3,実績!$AI$6:$AI$505,"&lt;="&amp;$A158,実績!$AJ$6:$AJ$505,"&gt;"&amp;$A158,実績!$AK$6:$AK$505,"○")&gt;0,1,0))</f>
        <v>0</v>
      </c>
      <c r="E158" s="39" t="n">
        <f aca="false">IF(E$4=0,0,IF(COUNTIFS(実績!$W$6:$W$505,E$3,実績!$AI$6:$AI$505,"&lt;="&amp;$A158,実績!$AJ$6:$AJ$505,"&gt;"&amp;$A158,実績!$AK$6:$AK$505,"○")&gt;0,1,0))</f>
        <v>0</v>
      </c>
      <c r="F158" s="39" t="n">
        <f aca="false">IF(F$4=0,0,IF(COUNTIFS(実績!$W$6:$W$505,F$3,実績!$AI$6:$AI$505,"&lt;="&amp;$A158,実績!$AJ$6:$AJ$505,"&gt;"&amp;$A158,実績!$AK$6:$AK$505,"○")&gt;0,1,0))</f>
        <v>0</v>
      </c>
      <c r="G158" s="39" t="n">
        <f aca="false">IF(G$4=0,0,IF(COUNTIFS(実績!$W$6:$W$505,G$3,実績!$AI$6:$AI$505,"&lt;="&amp;$A158,実績!$AJ$6:$AJ$505,"&gt;"&amp;$A158,実績!$AK$6:$AK$505,"○")&gt;0,1,0))</f>
        <v>0</v>
      </c>
      <c r="H158" s="39" t="n">
        <f aca="false">IF(H$4=0,0,IF(COUNTIFS(実績!$W$6:$W$505,H$3,実績!$AI$6:$AI$505,"&lt;="&amp;$A158,実績!$AJ$6:$AJ$505,"&gt;"&amp;$A158,実績!$AK$6:$AK$505,"○")&gt;0,1,0))</f>
        <v>0</v>
      </c>
      <c r="I158" s="39" t="n">
        <f aca="false">IF(I$4=0,0,IF(COUNTIFS(実績!$W$6:$W$505,I$3,実績!$AI$6:$AI$505,"&lt;="&amp;$A158,実績!$AJ$6:$AJ$505,"&gt;"&amp;$A158,実績!$AK$6:$AK$505,"○")&gt;0,1,0))</f>
        <v>0</v>
      </c>
      <c r="J158" s="39" t="n">
        <f aca="false">IF(J$4=0,0,IF(COUNTIFS(実績!$W$6:$W$505,J$3,実績!$AI$6:$AI$505,"&lt;="&amp;$A158,実績!$AJ$6:$AJ$505,"&gt;"&amp;$A158,実績!$AK$6:$AK$505,"○")&gt;0,1,0))</f>
        <v>0</v>
      </c>
      <c r="K158" s="39" t="n">
        <f aca="false">IF(K$4=0,0,IF(COUNTIFS(実績!$W$6:$W$505,K$3,実績!$AI$6:$AI$505,"&lt;="&amp;$A158,実績!$AJ$6:$AJ$505,"&gt;"&amp;$A158,実績!$AK$6:$AK$505,"○")&gt;0,1,0))</f>
        <v>0</v>
      </c>
      <c r="L158" s="39" t="n">
        <f aca="false">IF(L$4=0,0,IF(COUNTIFS(実績!$W$6:$W$505,L$3,実績!$AI$6:$AI$505,"&lt;="&amp;$A158,実績!$AJ$6:$AJ$505,"&gt;"&amp;$A158,実績!$AK$6:$AK$505,"○")&gt;0,1,0))</f>
        <v>0</v>
      </c>
      <c r="M158" s="39" t="n">
        <f aca="false">IF(M$4=0,0,IF(COUNTIFS(実績!$W$6:$W$505,M$3,実績!$AI$6:$AI$505,"&lt;="&amp;$A158,実績!$AJ$6:$AJ$505,"&gt;"&amp;$A158,実績!$AK$6:$AK$505,"○")&gt;0,1,0))</f>
        <v>0</v>
      </c>
      <c r="N158" s="39" t="n">
        <f aca="false">IF(N$4=0,0,IF(COUNTIFS(実績!$W$6:$W$505,N$3,実績!$AI$6:$AI$505,"&lt;="&amp;$A158,実績!$AJ$6:$AJ$505,"&gt;"&amp;$A158,実績!$AK$6:$AK$505,"○")&gt;0,1,0))</f>
        <v>0</v>
      </c>
      <c r="O158" s="39" t="n">
        <f aca="false">IF(O$4=0,0,IF(COUNTIFS(実績!$W$6:$W$505,O$3,実績!$AI$6:$AI$505,"&lt;="&amp;$A158,実績!$AJ$6:$AJ$505,"&gt;"&amp;$A158,実績!$AK$6:$AK$505,"○")&gt;0,1,0))</f>
        <v>0</v>
      </c>
      <c r="P158" s="39" t="n">
        <f aca="false">IF(P$4=0,0,IF(COUNTIFS(実績!$W$6:$W$505,P$3,実績!$AI$6:$AI$505,"&lt;="&amp;$A158,実績!$AJ$6:$AJ$505,"&gt;"&amp;$A158,実績!$AK$6:$AK$505,"○")&gt;0,1,0))</f>
        <v>0</v>
      </c>
      <c r="Q158" s="39" t="n">
        <f aca="false">IF(Q$4=0,0,IF(COUNTIFS(実績!$W$6:$W$505,Q$3,実績!$AI$6:$AI$505,"&lt;="&amp;$A158,実績!$AJ$6:$AJ$505,"&gt;"&amp;$A158,実績!$AK$6:$AK$505,"○")&gt;0,1,0))</f>
        <v>0</v>
      </c>
      <c r="R158" s="39" t="n">
        <f aca="false">IF(R$4=0,0,IF(COUNTIFS(実績!$W$6:$W$505,R$3,実績!$AI$6:$AI$505,"&lt;="&amp;$A158,実績!$AJ$6:$AJ$505,"&gt;"&amp;$A158,実績!$AK$6:$AK$505,"○")&gt;0,1,0))</f>
        <v>0</v>
      </c>
      <c r="S158" s="39" t="n">
        <f aca="false">IF(S$4=0,0,IF(COUNTIFS(実績!$W$6:$W$505,S$3,実績!$AI$6:$AI$505,"&lt;="&amp;$A158,実績!$AJ$6:$AJ$505,"&gt;"&amp;$A158,実績!$AK$6:$AK$505,"○")&gt;0,1,0))</f>
        <v>0</v>
      </c>
      <c r="T158" s="39" t="n">
        <f aca="false">IF(T$4=0,0,IF(COUNTIFS(実績!$W$6:$W$505,T$3,実績!$AI$6:$AI$505,"&lt;="&amp;$A158,実績!$AJ$6:$AJ$505,"&gt;"&amp;$A158,実績!$AK$6:$AK$505,"○")&gt;0,1,0))</f>
        <v>0</v>
      </c>
      <c r="U158" s="39" t="n">
        <f aca="false">IF(U$4=0,0,IF(COUNTIFS(実績!$W$6:$W$505,U$3,実績!$AI$6:$AI$505,"&lt;="&amp;$A158,実績!$AJ$6:$AJ$505,"&gt;"&amp;$A158,実績!$AK$6:$AK$505,"○")&gt;0,1,0))</f>
        <v>0</v>
      </c>
      <c r="V158" s="39" t="n">
        <f aca="false">IF(V$4=0,0,IF(COUNTIFS(実績!$W$6:$W$505,V$3,実績!$AI$6:$AI$505,"&lt;="&amp;$A158,実績!$AJ$6:$AJ$505,"&gt;"&amp;$A158,実績!$AK$6:$AK$505,"○")&gt;0,1,0))</f>
        <v>0</v>
      </c>
      <c r="W158" s="39" t="n">
        <f aca="false">IF(W$4=0,0,IF(COUNTIFS(実績!$W$6:$W$505,W$3,実績!$AI$6:$AI$505,"&lt;="&amp;$A158,実績!$AJ$6:$AJ$505,"&gt;"&amp;$A158,実績!$AK$6:$AK$505,"○")&gt;0,1,0))</f>
        <v>0</v>
      </c>
      <c r="X158" s="39" t="n">
        <f aca="false">IF(X$4=0,0,IF(COUNTIFS(実績!$W$6:$W$505,X$3,実績!$AI$6:$AI$505,"&lt;="&amp;$A158,実績!$AJ$6:$AJ$505,"&gt;"&amp;$A158,実績!$AK$6:$AK$505,"○")&gt;0,1,0))</f>
        <v>0</v>
      </c>
      <c r="Y158" s="39" t="n">
        <f aca="false">IF(Y$4=0,0,IF(COUNTIFS(実績!$W$6:$W$505,Y$3,実績!$AI$6:$AI$505,"&lt;="&amp;$A158,実績!$AJ$6:$AJ$505,"&gt;"&amp;$A158,実績!$AK$6:$AK$505,"○")&gt;0,1,0))</f>
        <v>0</v>
      </c>
      <c r="Z158" s="39" t="n">
        <f aca="false">IF(Z$4=0,0,IF(COUNTIFS(実績!$W$6:$W$505,Z$3,実績!$AI$6:$AI$505,"&lt;="&amp;$A158,実績!$AJ$6:$AJ$505,"&gt;"&amp;$A158,実績!$AK$6:$AK$505,"○")&gt;0,1,0))</f>
        <v>0</v>
      </c>
      <c r="AA158" s="39" t="n">
        <f aca="false">IF(AA$4=0,0,IF(COUNTIFS(実績!$W$6:$W$505,AA$3,実績!$AI$6:$AI$505,"&lt;="&amp;$A158,実績!$AJ$6:$AJ$505,"&gt;"&amp;$A158,実績!$AK$6:$AK$505,"○")&gt;0,1,0))</f>
        <v>0</v>
      </c>
      <c r="AB158" s="39" t="n">
        <f aca="false">IF(AB$4=0,0,IF(COUNTIFS(実績!$W$6:$W$505,AB$3,実績!$AI$6:$AI$505,"&lt;="&amp;$A158,実績!$AJ$6:$AJ$505,"&gt;"&amp;$A158,実績!$AK$6:$AK$505,"○")&gt;0,1,0))</f>
        <v>0</v>
      </c>
      <c r="AC158" s="39" t="n">
        <f aca="false">IF(AC$4=0,0,IF(COUNTIFS(実績!$W$6:$W$505,AC$3,実績!$AI$6:$AI$505,"&lt;="&amp;$A158,実績!$AJ$6:$AJ$505,"&gt;"&amp;$A158,実績!$AK$6:$AK$505,"○")&gt;0,1,0))</f>
        <v>0</v>
      </c>
      <c r="AD158" s="39" t="n">
        <f aca="false">IF(AD$4=0,0,IF(COUNTIFS(実績!$W$6:$W$505,AD$3,実績!$AI$6:$AI$505,"&lt;="&amp;$A158,実績!$AJ$6:$AJ$505,"&gt;"&amp;$A158,実績!$AK$6:$AK$505,"○")&gt;0,1,0))</f>
        <v>0</v>
      </c>
      <c r="AE158" s="39" t="n">
        <f aca="false">IF(AE$4=0,0,IF(COUNTIFS(実績!$W$6:$W$505,AE$3,実績!$AI$6:$AI$505,"&lt;="&amp;$A158,実績!$AJ$6:$AJ$505,"&gt;"&amp;$A158,実績!$AK$6:$AK$505,"○")&gt;0,1,0))</f>
        <v>0</v>
      </c>
      <c r="AF158" s="39" t="n">
        <f aca="false">IF(AF$4=0,0,IF(COUNTIFS(実績!$W$6:$W$505,AF$3,実績!$AI$6:$AI$505,"&lt;="&amp;$A158,実績!$AJ$6:$AJ$505,"&gt;"&amp;$A158,実績!$AK$6:$AK$505,"○")&gt;0,1,0))</f>
        <v>0</v>
      </c>
      <c r="AG158" s="39" t="n">
        <f aca="false">IF(AG$4=0,0,IF(COUNTIFS(実績!$W$6:$W$505,AG$3,実績!$AI$6:$AI$505,"&lt;="&amp;$A158,実績!$AJ$6:$AJ$505,"&gt;"&amp;$A158,実績!$AK$6:$AK$505,"○")&gt;0,1,0))</f>
        <v>0</v>
      </c>
      <c r="AH158" s="39" t="n">
        <f aca="false">IF(AH$4=0,0,IF(COUNTIFS(実績!$W$6:$W$505,AH$3,実績!$AI$6:$AI$505,"&lt;="&amp;$A158,実績!$AJ$6:$AJ$505,"&gt;"&amp;$A158,実績!$AK$6:$AK$505,"○")&gt;0,1,0))</f>
        <v>0</v>
      </c>
      <c r="AI158" s="39" t="n">
        <f aca="false">IF(AI$4=0,0,IF(COUNTIFS(実績!$W$6:$W$505,AI$3,実績!$AI$6:$AI$505,"&lt;="&amp;$A158,実績!$AJ$6:$AJ$505,"&gt;"&amp;$A158,実績!$AK$6:$AK$505,"○")&gt;0,1,0))</f>
        <v>0</v>
      </c>
      <c r="AJ158" s="39" t="n">
        <f aca="false">IF(AJ$4=0,0,IF(COUNTIFS(実績!$W$6:$W$505,AJ$3,実績!$AI$6:$AI$505,"&lt;="&amp;$A158,実績!$AJ$6:$AJ$505,"&gt;"&amp;$A158,実績!$AK$6:$AK$505,"○")&gt;0,1,0))</f>
        <v>0</v>
      </c>
      <c r="AK158" s="39" t="n">
        <f aca="false">IF(AK$4=0,0,IF(COUNTIFS(実績!$W$6:$W$505,AK$3,実績!$AI$6:$AI$505,"&lt;="&amp;$A158,実績!$AJ$6:$AJ$505,"&gt;"&amp;$A158,実績!$AK$6:$AK$505,"○")&gt;0,1,0))</f>
        <v>0</v>
      </c>
      <c r="AL158" s="39" t="n">
        <f aca="false">IF(AL$4=0,0,IF(COUNTIFS(実績!$W$6:$W$505,AL$3,実績!$AI$6:$AI$505,"&lt;="&amp;$A158,実績!$AJ$6:$AJ$505,"&gt;"&amp;$A158,実績!$AK$6:$AK$505,"○")&gt;0,1,0))</f>
        <v>0</v>
      </c>
      <c r="AM158" s="39" t="n">
        <f aca="false">IF(AM$4=0,0,IF(COUNTIFS(実績!$W$6:$W$505,AM$3,実績!$AI$6:$AI$505,"&lt;="&amp;$A158,実績!$AJ$6:$AJ$505,"&gt;"&amp;$A158,実績!$AK$6:$AK$505,"○")&gt;0,1,0))</f>
        <v>0</v>
      </c>
      <c r="AN158" s="39" t="n">
        <f aca="false">IF(AN$4=0,0,IF(COUNTIFS(実績!$W$6:$W$505,AN$3,実績!$AI$6:$AI$505,"&lt;="&amp;$A158,実績!$AJ$6:$AJ$505,"&gt;"&amp;$A158,実績!$AK$6:$AK$505,"○")&gt;0,1,0))</f>
        <v>0</v>
      </c>
      <c r="AO158" s="39" t="n">
        <f aca="false">IF(AO$4=0,0,IF(COUNTIFS(実績!$W$6:$W$505,AO$3,実績!$AI$6:$AI$505,"&lt;="&amp;$A158,実績!$AJ$6:$AJ$505,"&gt;"&amp;$A158,実績!$AK$6:$AK$505,"○")&gt;0,1,0))</f>
        <v>0</v>
      </c>
      <c r="AP158" s="39" t="n">
        <f aca="false">IF(AP$4=0,0,IF(COUNTIFS(実績!$W$6:$W$505,AP$3,実績!$AI$6:$AI$505,"&lt;="&amp;$A158,実績!$AJ$6:$AJ$505,"&gt;"&amp;$A158,実績!$AK$6:$AK$505,"○")&gt;0,1,0))</f>
        <v>0</v>
      </c>
      <c r="AQ158" s="39" t="n">
        <f aca="false">IF(AQ$4=0,0,IF(COUNTIFS(実績!$W$6:$W$505,AQ$3,実績!$AI$6:$AI$505,"&lt;="&amp;$A158,実績!$AJ$6:$AJ$505,"&gt;"&amp;$A158,実績!$AK$6:$AK$505,"○")&gt;0,1,0))</f>
        <v>0</v>
      </c>
      <c r="AR158" s="39" t="n">
        <f aca="false">IF(AR$4=0,0,IF(COUNTIFS(実績!$W$6:$W$505,AR$3,実績!$AI$6:$AI$505,"&lt;="&amp;$A158,実績!$AJ$6:$AJ$505,"&gt;"&amp;$A158,実績!$AK$6:$AK$505,"○")&gt;0,1,0))</f>
        <v>0</v>
      </c>
      <c r="AS158" s="39" t="n">
        <f aca="false">IF(AS$4=0,0,IF(COUNTIFS(実績!$W$6:$W$505,AS$3,実績!$AI$6:$AI$505,"&lt;="&amp;$A158,実績!$AJ$6:$AJ$505,"&gt;"&amp;$A158,実績!$AK$6:$AK$505,"○")&gt;0,1,0))</f>
        <v>0</v>
      </c>
      <c r="AT158" s="39" t="n">
        <f aca="false">IF(AT$4=0,0,IF(COUNTIFS(実績!$W$6:$W$505,AT$3,実績!$AI$6:$AI$505,"&lt;="&amp;$A158,実績!$AJ$6:$AJ$505,"&gt;"&amp;$A158,実績!$AK$6:$AK$505,"○")&gt;0,1,0))</f>
        <v>0</v>
      </c>
      <c r="AU158" s="39" t="n">
        <f aca="false">IF(AU$4=0,0,IF(COUNTIFS(実績!$W$6:$W$505,AU$3,実績!$AI$6:$AI$505,"&lt;="&amp;$A158,実績!$AJ$6:$AJ$505,"&gt;"&amp;$A158,実績!$AK$6:$AK$505,"○")&gt;0,1,0))</f>
        <v>0</v>
      </c>
      <c r="AV158" s="39" t="n">
        <f aca="false">IF(AV$4=0,0,IF(COUNTIFS(実績!$W$6:$W$505,AV$3,実績!$AI$6:$AI$505,"&lt;="&amp;$A158,実績!$AJ$6:$AJ$505,"&gt;"&amp;$A158,実績!$AK$6:$AK$505,"○")&gt;0,1,0))</f>
        <v>0</v>
      </c>
      <c r="AW158" s="39" t="n">
        <f aca="false">IF(AW$4=0,0,IF(COUNTIFS(実績!$W$6:$W$505,AW$3,実績!$AI$6:$AI$505,"&lt;="&amp;$A158,実績!$AJ$6:$AJ$505,"&gt;"&amp;$A158,実績!$AK$6:$AK$505,"○")&gt;0,1,0))</f>
        <v>0</v>
      </c>
      <c r="AX158" s="39" t="n">
        <f aca="false">IF(AX$4=0,0,IF(COUNTIFS(実績!$W$6:$W$505,AX$3,実績!$AI$6:$AI$505,"&lt;="&amp;$A158,実績!$AJ$6:$AJ$505,"&gt;"&amp;$A158,実績!$AK$6:$AK$505,"○")&gt;0,1,0))</f>
        <v>0</v>
      </c>
      <c r="AY158" s="39" t="n">
        <f aca="false">IF(AY$4=0,0,IF(COUNTIFS(実績!$W$6:$W$505,AY$3,実績!$AI$6:$AI$505,"&lt;="&amp;$A158,実績!$AJ$6:$AJ$505,"&gt;"&amp;$A158,実績!$AK$6:$AK$505,"○")&gt;0,1,0))</f>
        <v>0</v>
      </c>
      <c r="AZ158" s="39" t="n">
        <f aca="false">IF(AZ$4=0,0,IF(COUNTIFS(実績!$W$6:$W$505,AZ$3,実績!$AI$6:$AI$505,"&lt;="&amp;$A158,実績!$AJ$6:$AJ$505,"&gt;"&amp;$A158,実績!$AK$6:$AK$505,"○")&gt;0,1,0))</f>
        <v>0</v>
      </c>
      <c r="BA158" s="39" t="n">
        <f aca="false">IF(BA$4=0,0,IF(COUNTIFS(実績!$W$6:$W$505,BA$3,実績!$AI$6:$AI$505,"&lt;="&amp;$A158,実績!$AJ$6:$AJ$505,"&gt;"&amp;$A158,実績!$AK$6:$AK$505,"○")&gt;0,1,0))</f>
        <v>0</v>
      </c>
      <c r="BB158" s="39" t="n">
        <f aca="false">IF(BB$4=0,0,IF(COUNTIFS(実績!$W$6:$W$505,BB$3,実績!$AI$6:$AI$505,"&lt;="&amp;$A158,実績!$AJ$6:$AJ$505,"&gt;"&amp;$A158,実績!$AK$6:$AK$505,"○")&gt;0,1,0))</f>
        <v>0</v>
      </c>
      <c r="BC158" s="39" t="n">
        <f aca="false">IF(BC$4=0,0,IF(COUNTIFS(実績!$W$6:$W$505,BC$3,実績!$AI$6:$AI$505,"&lt;="&amp;$A158,実績!$AJ$6:$AJ$505,"&gt;"&amp;$A158,実績!$AK$6:$AK$505,"○")&gt;0,1,0))</f>
        <v>0</v>
      </c>
      <c r="BD158" s="39" t="n">
        <f aca="false">IF(BD$4=0,0,IF(COUNTIFS(実績!$W$6:$W$505,BD$3,実績!$AI$6:$AI$505,"&lt;="&amp;$A158,実績!$AJ$6:$AJ$505,"&gt;"&amp;$A158,実績!$AK$6:$AK$505,"○")&gt;0,1,0))</f>
        <v>0</v>
      </c>
      <c r="BE158" s="39" t="n">
        <f aca="false">IF(BE$4=0,0,IF(COUNTIFS(実績!$W$6:$W$505,BE$3,実績!$AI$6:$AI$505,"&lt;="&amp;$A158,実績!$AJ$6:$AJ$505,"&gt;"&amp;$A158,実績!$AK$6:$AK$505,"○")&gt;0,1,0))</f>
        <v>0</v>
      </c>
      <c r="BF158" s="39" t="n">
        <f aca="false">IF(BF$4=0,0,IF(COUNTIFS(実績!$W$6:$W$505,BF$3,実績!$AI$6:$AI$505,"&lt;="&amp;$A158,実績!$AJ$6:$AJ$505,"&gt;"&amp;$A158,実績!$AK$6:$AK$505,"○")&gt;0,1,0))</f>
        <v>0</v>
      </c>
      <c r="BG158" s="39" t="n">
        <f aca="false">IF(BG$4=0,0,IF(COUNTIFS(実績!$W$6:$W$505,BG$3,実績!$AI$6:$AI$505,"&lt;="&amp;$A158,実績!$AJ$6:$AJ$505,"&gt;"&amp;$A158,実績!$AK$6:$AK$505,"○")&gt;0,1,0))</f>
        <v>0</v>
      </c>
      <c r="BH158" s="39" t="n">
        <f aca="false">IF(BH$4=0,0,IF(COUNTIFS(実績!$W$6:$W$505,BH$3,実績!$AI$6:$AI$505,"&lt;="&amp;$A158,実績!$AJ$6:$AJ$505,"&gt;"&amp;$A158,実績!$AK$6:$AK$505,"○")&gt;0,1,0))</f>
        <v>0</v>
      </c>
      <c r="BI158" s="39" t="n">
        <f aca="false">IF(BI$4=0,0,IF(COUNTIFS(実績!$W$6:$W$505,BI$3,実績!$AI$6:$AI$505,"&lt;="&amp;$A158,実績!$AJ$6:$AJ$505,"&gt;"&amp;$A158,実績!$AK$6:$AK$505,"○")&gt;0,1,0))</f>
        <v>0</v>
      </c>
      <c r="BJ158" s="39" t="n">
        <f aca="false">IF(BJ$4=0,0,IF(COUNTIFS(実績!$W$6:$W$505,BJ$3,実績!$AI$6:$AI$505,"&lt;="&amp;$A158,実績!$AJ$6:$AJ$505,"&gt;"&amp;$A158,実績!$AK$6:$AK$505,"○")&gt;0,1,0))</f>
        <v>0</v>
      </c>
      <c r="BK158" s="39" t="n">
        <f aca="false">IF(BK$4=0,0,IF(COUNTIFS(実績!$W$6:$W$505,BK$3,実績!$AI$6:$AI$505,"&lt;="&amp;$A158,実績!$AJ$6:$AJ$505,"&gt;"&amp;$A158,実績!$AK$6:$AK$505,"○")&gt;0,1,0))</f>
        <v>0</v>
      </c>
      <c r="BL158" s="39" t="n">
        <f aca="false">IF(BL$4=0,0,IF(COUNTIFS(実績!$W$6:$W$505,BL$3,実績!$AI$6:$AI$505,"&lt;="&amp;$A158,実績!$AJ$6:$AJ$505,"&gt;"&amp;$A158,実績!$AK$6:$AK$505,"○")&gt;0,1,0))</f>
        <v>0</v>
      </c>
      <c r="BM158" s="39" t="n">
        <f aca="false">IF(BM$4=0,0,IF(COUNTIFS(実績!$W$6:$W$505,BM$3,実績!$AI$6:$AI$505,"&lt;="&amp;$A158,実績!$AJ$6:$AJ$505,"&gt;"&amp;$A158,実績!$AK$6:$AK$505,"○")&gt;0,1,0))</f>
        <v>0</v>
      </c>
      <c r="BN158" s="39" t="n">
        <f aca="false">IF(BN$4=0,0,IF(COUNTIFS(実績!$W$6:$W$505,BN$3,実績!$AI$6:$AI$505,"&lt;="&amp;$A158,実績!$AJ$6:$AJ$505,"&gt;"&amp;$A158,実績!$AK$6:$AK$505,"○")&gt;0,1,0))</f>
        <v>0</v>
      </c>
      <c r="BO158" s="39" t="n">
        <f aca="false">IF(BO$4=0,0,IF(COUNTIFS(実績!$W$6:$W$505,BO$3,実績!$AI$6:$AI$505,"&lt;="&amp;$A158,実績!$AJ$6:$AJ$505,"&gt;"&amp;$A158,実績!$AK$6:$AK$505,"○")&gt;0,1,0))</f>
        <v>0</v>
      </c>
      <c r="BP158" s="39" t="n">
        <f aca="false">IF(BP$4=0,0,IF(COUNTIFS(実績!$W$6:$W$505,BP$3,実績!$AI$6:$AI$505,"&lt;="&amp;$A158,実績!$AJ$6:$AJ$505,"&gt;"&amp;$A158,実績!$AK$6:$AK$505,"○")&gt;0,1,0))</f>
        <v>0</v>
      </c>
      <c r="BQ158" s="39" t="n">
        <f aca="false">IF(BQ$4=0,0,IF(COUNTIFS(実績!$W$6:$W$505,BQ$3,実績!$AI$6:$AI$505,"&lt;="&amp;$A158,実績!$AJ$6:$AJ$505,"&gt;"&amp;$A158,実績!$AK$6:$AK$505,"○")&gt;0,1,0))</f>
        <v>0</v>
      </c>
      <c r="BR158" s="39" t="n">
        <f aca="false">IF(BR$4=0,0,IF(COUNTIFS(実績!$W$6:$W$505,BR$3,実績!$AI$6:$AI$505,"&lt;="&amp;$A158,実績!$AJ$6:$AJ$505,"&gt;"&amp;$A158,実績!$AK$6:$AK$505,"○")&gt;0,1,0))</f>
        <v>0</v>
      </c>
      <c r="BS158" s="39" t="n">
        <f aca="false">IF(BS$4=0,0,IF(COUNTIFS(実績!$W$6:$W$505,BS$3,実績!$AI$6:$AI$505,"&lt;="&amp;$A158,実績!$AJ$6:$AJ$505,"&gt;"&amp;$A158,実績!$AK$6:$AK$505,"○")&gt;0,1,0))</f>
        <v>0</v>
      </c>
      <c r="BT158" s="39" t="n">
        <f aca="false">IF(BT$4=0,0,IF(COUNTIFS(実績!$W$6:$W$505,BT$3,実績!$AI$6:$AI$505,"&lt;="&amp;$A158,実績!$AJ$6:$AJ$505,"&gt;"&amp;$A158,実績!$AK$6:$AK$505,"○")&gt;0,1,0))</f>
        <v>0</v>
      </c>
      <c r="BU158" s="39" t="n">
        <f aca="false">IF(BU$4=0,0,IF(COUNTIFS(実績!$W$6:$W$505,BU$3,実績!$AI$6:$AI$505,"&lt;="&amp;$A158,実績!$AJ$6:$AJ$505,"&gt;"&amp;$A158,実績!$AK$6:$AK$505,"○")&gt;0,1,0))</f>
        <v>0</v>
      </c>
      <c r="BV158" s="39" t="n">
        <f aca="false">IF(BV$4=0,0,IF(COUNTIFS(実績!$W$6:$W$505,BV$3,実績!$AI$6:$AI$505,"&lt;="&amp;$A158,実績!$AJ$6:$AJ$505,"&gt;"&amp;$A158,実績!$AK$6:$AK$505,"○")&gt;0,1,0))</f>
        <v>0</v>
      </c>
      <c r="BW158" s="39" t="n">
        <f aca="false">IF(BW$4=0,0,IF(COUNTIFS(実績!$W$6:$W$505,BW$3,実績!$AI$6:$AI$505,"&lt;="&amp;$A158,実績!$AJ$6:$AJ$505,"&gt;"&amp;$A158,実績!$AK$6:$AK$505,"○")&gt;0,1,0))</f>
        <v>0</v>
      </c>
      <c r="BX158" s="39" t="n">
        <f aca="false">IF(BX$4=0,0,IF(COUNTIFS(実績!$W$6:$W$505,BX$3,実績!$AI$6:$AI$505,"&lt;="&amp;$A158,実績!$AJ$6:$AJ$505,"&gt;"&amp;$A158,実績!$AK$6:$AK$505,"○")&gt;0,1,0))</f>
        <v>0</v>
      </c>
      <c r="BY158" s="39" t="n">
        <f aca="false">IF(BY$4=0,0,IF(COUNTIFS(実績!$W$6:$W$505,BY$3,実績!$AI$6:$AI$505,"&lt;="&amp;$A158,実績!$AJ$6:$AJ$505,"&gt;"&amp;$A158,実績!$AK$6:$AK$505,"○")&gt;0,1,0))</f>
        <v>0</v>
      </c>
      <c r="BZ158" s="39" t="n">
        <f aca="false">IF(BZ$4=0,0,IF(COUNTIFS(実績!$W$6:$W$505,BZ$3,実績!$AI$6:$AI$505,"&lt;="&amp;$A158,実績!$AJ$6:$AJ$505,"&gt;"&amp;$A158,実績!$AK$6:$AK$505,"○")&gt;0,1,0))</f>
        <v>0</v>
      </c>
      <c r="CA158" s="39" t="n">
        <f aca="false">IF(CA$4=0,0,IF(COUNTIFS(実績!$W$6:$W$505,CA$3,実績!$AI$6:$AI$505,"&lt;="&amp;$A158,実績!$AJ$6:$AJ$505,"&gt;"&amp;$A158,実績!$AK$6:$AK$505,"○")&gt;0,1,0))</f>
        <v>0</v>
      </c>
      <c r="CB158" s="39" t="n">
        <f aca="false">IF(CB$4=0,0,IF(COUNTIFS(実績!$W$6:$W$505,CB$3,実績!$AI$6:$AI$505,"&lt;="&amp;$A158,実績!$AJ$6:$AJ$505,"&gt;"&amp;$A158,実績!$AK$6:$AK$505,"○")&gt;0,1,0))</f>
        <v>0</v>
      </c>
      <c r="CC158" s="39" t="n">
        <f aca="false">IF(CC$4=0,0,IF(COUNTIFS(実績!$W$6:$W$505,CC$3,実績!$AI$6:$AI$505,"&lt;="&amp;$A158,実績!$AJ$6:$AJ$505,"&gt;"&amp;$A158,実績!$AK$6:$AK$505,"○")&gt;0,1,0))</f>
        <v>0</v>
      </c>
      <c r="CD158" s="39" t="n">
        <f aca="false">IF(CD$4=0,0,IF(COUNTIFS(実績!$W$6:$W$505,CD$3,実績!$AI$6:$AI$505,"&lt;="&amp;$A158,実績!$AJ$6:$AJ$505,"&gt;"&amp;$A158,実績!$AK$6:$AK$505,"○")&gt;0,1,0))</f>
        <v>0</v>
      </c>
      <c r="CE158" s="39" t="n">
        <f aca="false">IF(CE$4=0,0,IF(COUNTIFS(実績!$W$6:$W$505,CE$3,実績!$AI$6:$AI$505,"&lt;="&amp;$A158,実績!$AJ$6:$AJ$505,"&gt;"&amp;$A158,実績!$AK$6:$AK$505,"○")&gt;0,1,0))</f>
        <v>0</v>
      </c>
      <c r="CF158" s="39" t="n">
        <f aca="false">IF(CF$4=0,0,IF(COUNTIFS(実績!$W$6:$W$505,CF$3,実績!$AI$6:$AI$505,"&lt;="&amp;$A158,実績!$AJ$6:$AJ$505,"&gt;"&amp;$A158,実績!$AK$6:$AK$505,"○")&gt;0,1,0))</f>
        <v>0</v>
      </c>
      <c r="CG158" s="39" t="n">
        <f aca="false">IF(CG$4=0,0,IF(COUNTIFS(実績!$W$6:$W$505,CG$3,実績!$AI$6:$AI$505,"&lt;="&amp;$A158,実績!$AJ$6:$AJ$505,"&gt;"&amp;$A158,実績!$AK$6:$AK$505,"○")&gt;0,1,0))</f>
        <v>0</v>
      </c>
      <c r="CH158" s="39" t="n">
        <f aca="false">IF(CH$4=0,0,IF(COUNTIFS(実績!$W$6:$W$505,CH$3,実績!$AI$6:$AI$505,"&lt;="&amp;$A158,実績!$AJ$6:$AJ$505,"&gt;"&amp;$A158,実績!$AK$6:$AK$505,"○")&gt;0,1,0))</f>
        <v>0</v>
      </c>
      <c r="CI158" s="39" t="n">
        <f aca="false">IF(CI$4=0,0,IF(COUNTIFS(実績!$W$6:$W$505,CI$3,実績!$AI$6:$AI$505,"&lt;="&amp;$A158,実績!$AJ$6:$AJ$505,"&gt;"&amp;$A158,実績!$AK$6:$AK$505,"○")&gt;0,1,0))</f>
        <v>0</v>
      </c>
      <c r="CJ158" s="39" t="n">
        <f aca="false">IF(CJ$4=0,0,IF(COUNTIFS(実績!$W$6:$W$505,CJ$3,実績!$AI$6:$AI$505,"&lt;="&amp;$A158,実績!$AJ$6:$AJ$505,"&gt;"&amp;$A158,実績!$AK$6:$AK$505,"○")&gt;0,1,0))</f>
        <v>0</v>
      </c>
      <c r="CK158" s="39" t="n">
        <f aca="false">IF(CK$4=0,0,IF(COUNTIFS(実績!$W$6:$W$505,CK$3,実績!$AI$6:$AI$505,"&lt;="&amp;$A158,実績!$AJ$6:$AJ$505,"&gt;"&amp;$A158,実績!$AK$6:$AK$505,"○")&gt;0,1,0))</f>
        <v>0</v>
      </c>
      <c r="CL158" s="39" t="n">
        <f aca="false">IF(CL$4=0,0,IF(COUNTIFS(実績!$W$6:$W$505,CL$3,実績!$AI$6:$AI$505,"&lt;="&amp;$A158,実績!$AJ$6:$AJ$505,"&gt;"&amp;$A158,実績!$AK$6:$AK$505,"○")&gt;0,1,0))</f>
        <v>0</v>
      </c>
      <c r="CM158" s="39" t="n">
        <f aca="false">IF(CM$4=0,0,IF(COUNTIFS(実績!$W$6:$W$505,CM$3,実績!$AI$6:$AI$505,"&lt;="&amp;$A158,実績!$AJ$6:$AJ$505,"&gt;"&amp;$A158,実績!$AK$6:$AK$505,"○")&gt;0,1,0))</f>
        <v>0</v>
      </c>
      <c r="CN158" s="39" t="n">
        <f aca="false">IF(CN$4=0,0,IF(COUNTIFS(実績!$W$6:$W$505,CN$3,実績!$AI$6:$AI$505,"&lt;="&amp;$A158,実績!$AJ$6:$AJ$505,"&gt;"&amp;$A158,実績!$AK$6:$AK$505,"○")&gt;0,1,0))</f>
        <v>0</v>
      </c>
      <c r="CO158" s="39" t="n">
        <f aca="false">IF(CO$4=0,0,IF(COUNTIFS(実績!$W$6:$W$505,CO$3,実績!$AI$6:$AI$505,"&lt;="&amp;$A158,実績!$AJ$6:$AJ$505,"&gt;"&amp;$A158,実績!$AK$6:$AK$505,"○")&gt;0,1,0))</f>
        <v>0</v>
      </c>
      <c r="CP158" s="39" t="n">
        <f aca="false">IF(CP$4=0,0,IF(COUNTIFS(実績!$W$6:$W$505,CP$3,実績!$AI$6:$AI$505,"&lt;="&amp;$A158,実績!$AJ$6:$AJ$505,"&gt;"&amp;$A158,実績!$AK$6:$AK$505,"○")&gt;0,1,0))</f>
        <v>0</v>
      </c>
      <c r="CQ158" s="39" t="n">
        <f aca="false">IF(CQ$4=0,0,IF(COUNTIFS(実績!$W$6:$W$505,CQ$3,実績!$AI$6:$AI$505,"&lt;="&amp;$A158,実績!$AJ$6:$AJ$505,"&gt;"&amp;$A158,実績!$AK$6:$AK$505,"○")&gt;0,1,0))</f>
        <v>0</v>
      </c>
      <c r="CR158" s="39" t="n">
        <f aca="false">IF(CR$4=0,0,IF(COUNTIFS(実績!$W$6:$W$505,CR$3,実績!$AI$6:$AI$505,"&lt;="&amp;$A158,実績!$AJ$6:$AJ$505,"&gt;"&amp;$A158,実績!$AK$6:$AK$505,"○")&gt;0,1,0))</f>
        <v>0</v>
      </c>
      <c r="CS158" s="39" t="n">
        <f aca="false">IF(CS$4=0,0,IF(COUNTIFS(実績!$W$6:$W$505,CS$3,実績!$AI$6:$AI$505,"&lt;="&amp;$A158,実績!$AJ$6:$AJ$505,"&gt;"&amp;$A158,実績!$AK$6:$AK$505,"○")&gt;0,1,0))</f>
        <v>0</v>
      </c>
      <c r="CT158" s="39" t="n">
        <f aca="false">IF(CT$4=0,0,IF(COUNTIFS(実績!$W$6:$W$505,CT$3,実績!$AI$6:$AI$505,"&lt;="&amp;$A158,実績!$AJ$6:$AJ$505,"&gt;"&amp;$A158,実績!$AK$6:$AK$505,"○")&gt;0,1,0))</f>
        <v>0</v>
      </c>
      <c r="CU158" s="39" t="n">
        <f aca="false">IF(CU$4=0,0,IF(COUNTIFS(実績!$W$6:$W$505,CU$3,実績!$AI$6:$AI$505,"&lt;="&amp;$A158,実績!$AJ$6:$AJ$505,"&gt;"&amp;$A158,実績!$AK$6:$AK$505,"○")&gt;0,1,0))</f>
        <v>0</v>
      </c>
      <c r="CV158" s="39" t="n">
        <f aca="false">IF(CV$4=0,0,IF(COUNTIFS(実績!$W$6:$W$505,CV$3,実績!$AI$6:$AI$505,"&lt;="&amp;$A158,実績!$AJ$6:$AJ$505,"&gt;"&amp;$A158,実績!$AK$6:$AK$505,"○")&gt;0,1,0))</f>
        <v>0</v>
      </c>
      <c r="CW158" s="39" t="n">
        <f aca="false">IF(CW$4=0,0,IF(COUNTIFS(実績!$W$6:$W$505,CW$3,実績!$AI$6:$AI$505,"&lt;="&amp;$A158,実績!$AJ$6:$AJ$505,"&gt;"&amp;$A158,実績!$AK$6:$AK$505,"○")&gt;0,1,0))</f>
        <v>0</v>
      </c>
      <c r="CX158" s="39" t="n">
        <f aca="false">IF(CX$4=0,0,IF(COUNTIFS(実績!$W$6:$W$505,CX$3,実績!$AI$6:$AI$505,"&lt;="&amp;$A158,実績!$AJ$6:$AJ$505,"&gt;"&amp;$A158,実績!$AK$6:$AK$505,"○")&gt;0,1,0))</f>
        <v>0</v>
      </c>
      <c r="CY158" s="39" t="n">
        <f aca="false">IF(CY$4=0,0,IF(COUNTIFS(実績!$W$6:$W$505,CY$3,実績!$AI$6:$AI$505,"&lt;="&amp;$A158,実績!$AJ$6:$AJ$505,"&gt;"&amp;$A158,実績!$AK$6:$AK$505,"○")&gt;0,1,0))</f>
        <v>0</v>
      </c>
      <c r="CZ158" s="39" t="n">
        <f aca="false">IF(CZ$4=0,0,IF(COUNTIFS(実績!$W$6:$W$505,CZ$3,実績!$AI$6:$AI$505,"&lt;="&amp;$A158,実績!$AJ$6:$AJ$505,"&gt;"&amp;$A158,実績!$AK$6:$AK$505,"○")&gt;0,1,0))</f>
        <v>0</v>
      </c>
      <c r="DA158" s="39" t="n">
        <f aca="false">IF(DA$4=0,0,IF(COUNTIFS(実績!$W$6:$W$505,DA$3,実績!$AI$6:$AI$505,"&lt;="&amp;$A158,実績!$AJ$6:$AJ$505,"&gt;"&amp;$A158,実績!$AK$6:$AK$505,"○")&gt;0,1,0))</f>
        <v>0</v>
      </c>
      <c r="DB158" s="39" t="n">
        <f aca="false">IF(DB$4=0,0,IF(COUNTIFS(実績!$W$6:$W$505,DB$3,実績!$AI$6:$AI$505,"&lt;="&amp;$A158,実績!$AJ$6:$AJ$505,"&gt;"&amp;$A158,実績!$AK$6:$AK$505,"○")&gt;0,1,0))</f>
        <v>0</v>
      </c>
      <c r="DC158" s="39" t="n">
        <f aca="false">IF(DC$4=0,0,IF(COUNTIFS(実績!$W$6:$W$505,DC$3,実績!$AI$6:$AI$505,"&lt;="&amp;$A158,実績!$AJ$6:$AJ$505,"&gt;"&amp;$A158,実績!$AK$6:$AK$505,"○")&gt;0,1,0))</f>
        <v>0</v>
      </c>
      <c r="DD158" s="39" t="n">
        <f aca="false">IF(DD$4=0,0,IF(COUNTIFS(実績!$W$6:$W$505,DD$3,実績!$AI$6:$AI$505,"&lt;="&amp;$A158,実績!$AJ$6:$AJ$505,"&gt;"&amp;$A158,実績!$AK$6:$AK$505,"○")&gt;0,1,0))</f>
        <v>0</v>
      </c>
      <c r="DE158" s="39" t="n">
        <f aca="false">IF(DE$4=0,0,IF(COUNTIFS(実績!$W$6:$W$505,DE$3,実績!$AI$6:$AI$505,"&lt;="&amp;$A158,実績!$AJ$6:$AJ$505,"&gt;"&amp;$A158,実績!$AK$6:$AK$505,"○")&gt;0,1,0))</f>
        <v>0</v>
      </c>
      <c r="DF158" s="39" t="n">
        <f aca="false">IF(DF$4=0,0,IF(COUNTIFS(実績!$W$6:$W$505,DF$3,実績!$AI$6:$AI$505,"&lt;="&amp;$A158,実績!$AJ$6:$AJ$505,"&gt;"&amp;$A158,実績!$AK$6:$AK$505,"○")&gt;0,1,0))</f>
        <v>0</v>
      </c>
      <c r="DG158" s="39" t="n">
        <f aca="false">IF(DG$4=0,0,IF(COUNTIFS(実績!$W$6:$W$505,DG$3,実績!$AI$6:$AI$505,"&lt;="&amp;$A158,実績!$AJ$6:$AJ$505,"&gt;"&amp;$A158,実績!$AK$6:$AK$505,"○")&gt;0,1,0))</f>
        <v>0</v>
      </c>
      <c r="DH158" s="39" t="n">
        <f aca="false">IF(DH$4=0,0,IF(COUNTIFS(実績!$W$6:$W$505,DH$3,実績!$AI$6:$AI$505,"&lt;="&amp;$A158,実績!$AJ$6:$AJ$505,"&gt;"&amp;$A158,実績!$AK$6:$AK$505,"○")&gt;0,1,0))</f>
        <v>0</v>
      </c>
      <c r="DI158" s="39" t="n">
        <f aca="false">IF(DI$4=0,0,IF(COUNTIFS(実績!$W$6:$W$505,DI$3,実績!$AI$6:$AI$505,"&lt;="&amp;$A158,実績!$AJ$6:$AJ$505,"&gt;"&amp;$A158,実績!$AK$6:$AK$505,"○")&gt;0,1,0))</f>
        <v>0</v>
      </c>
      <c r="DJ158" s="39" t="n">
        <f aca="false">IF(DJ$4=0,0,IF(COUNTIFS(実績!$W$6:$W$505,DJ$3,実績!$AI$6:$AI$505,"&lt;="&amp;$A158,実績!$AJ$6:$AJ$505,"&gt;"&amp;$A158,実績!$AK$6:$AK$505,"○")&gt;0,1,0))</f>
        <v>0</v>
      </c>
      <c r="DK158" s="39" t="n">
        <f aca="false">IF(DK$4=0,0,IF(COUNTIFS(実績!$W$6:$W$505,DK$3,実績!$AI$6:$AI$505,"&lt;="&amp;$A158,実績!$AJ$6:$AJ$505,"&gt;"&amp;$A158,実績!$AK$6:$AK$505,"○")&gt;0,1,0))</f>
        <v>0</v>
      </c>
      <c r="DL158" s="39" t="n">
        <f aca="false">IF(DL$4=0,0,IF(COUNTIFS(実績!$W$6:$W$505,DL$3,実績!$AI$6:$AI$505,"&lt;="&amp;$A158,実績!$AJ$6:$AJ$505,"&gt;"&amp;$A158,実績!$AK$6:$AK$505,"○")&gt;0,1,0))</f>
        <v>0</v>
      </c>
      <c r="DM158" s="39" t="n">
        <f aca="false">IF(DM$4=0,0,IF(COUNTIFS(実績!$W$6:$W$505,DM$3,実績!$AI$6:$AI$505,"&lt;="&amp;$A158,実績!$AJ$6:$AJ$505,"&gt;"&amp;$A158,実績!$AK$6:$AK$505,"○")&gt;0,1,0))</f>
        <v>0</v>
      </c>
      <c r="DN158" s="39" t="n">
        <f aca="false">IF(DN$4=0,0,IF(COUNTIFS(実績!$W$6:$W$505,DN$3,実績!$AI$6:$AI$505,"&lt;="&amp;$A158,実績!$AJ$6:$AJ$505,"&gt;"&amp;$A158,実績!$AK$6:$AK$505,"○")&gt;0,1,0))</f>
        <v>0</v>
      </c>
      <c r="DO158" s="39" t="n">
        <f aca="false">IF(DO$4=0,0,IF(COUNTIFS(実績!$W$6:$W$505,DO$3,実績!$AI$6:$AI$505,"&lt;="&amp;$A158,実績!$AJ$6:$AJ$505,"&gt;"&amp;$A158,実績!$AK$6:$AK$505,"○")&gt;0,1,0))</f>
        <v>0</v>
      </c>
      <c r="DP158" s="39" t="n">
        <f aca="false">IF(DP$4=0,0,IF(COUNTIFS(実績!$W$6:$W$505,DP$3,実績!$AI$6:$AI$505,"&lt;="&amp;$A158,実績!$AJ$6:$AJ$505,"&gt;"&amp;$A158,実績!$AK$6:$AK$505,"○")&gt;0,1,0))</f>
        <v>0</v>
      </c>
      <c r="DQ158" s="39" t="n">
        <f aca="false">IF(DQ$4=0,0,IF(COUNTIFS(実績!$W$6:$W$505,DQ$3,実績!$AI$6:$AI$505,"&lt;="&amp;$A158,実績!$AJ$6:$AJ$505,"&gt;"&amp;$A158,実績!$AK$6:$AK$505,"○")&gt;0,1,0))</f>
        <v>0</v>
      </c>
      <c r="DR158" s="39" t="n">
        <f aca="false">IF(DR$4=0,0,IF(COUNTIFS(実績!$W$6:$W$505,DR$3,実績!$AI$6:$AI$505,"&lt;="&amp;$A158,実績!$AJ$6:$AJ$505,"&gt;"&amp;$A158,実績!$AK$6:$AK$505,"○")&gt;0,1,0))</f>
        <v>0</v>
      </c>
      <c r="DS158" s="39" t="n">
        <f aca="false">SUM(C158:DR158)</f>
        <v>0</v>
      </c>
      <c r="DT158" s="39" t="n">
        <f aca="false">SUMPRODUCT((実績!$C$6:$C$505="○")*ISNUMBER(実績!$AM$6:$AM$505)*(実績!$AM$6:$AM$505&lt;=$A158)*(実績!$AN$6:$AN$505&gt;$A158))</f>
        <v>0</v>
      </c>
      <c r="DU158" s="39" t="n">
        <f aca="false">SUMIF($C$2:$DR$2,"製鉄曳船",C158:DR158)</f>
        <v>0</v>
      </c>
      <c r="DV158" s="39" t="n">
        <f aca="false">SUMIF($C$2:$DR$2,"西日本海運",C158:DR158)</f>
        <v>0</v>
      </c>
    </row>
    <row r="159" customFormat="false" ht="15" hidden="false" customHeight="false" outlineLevel="0" collapsed="false">
      <c r="A159" s="0" t="n">
        <v>765</v>
      </c>
      <c r="B159" s="38" t="n">
        <f aca="false">A159/1440</f>
        <v>0.53125</v>
      </c>
      <c r="C159" s="39" t="n">
        <f aca="false">IF(C$4=0,0,IF(COUNTIFS(実績!$W$6:$W$505,C$3,実績!$AI$6:$AI$505,"&lt;="&amp;$A159,実績!$AJ$6:$AJ$505,"&gt;"&amp;$A159,実績!$AK$6:$AK$505,"○")&gt;0,1,0))</f>
        <v>0</v>
      </c>
      <c r="D159" s="39" t="n">
        <f aca="false">IF(D$4=0,0,IF(COUNTIFS(実績!$W$6:$W$505,D$3,実績!$AI$6:$AI$505,"&lt;="&amp;$A159,実績!$AJ$6:$AJ$505,"&gt;"&amp;$A159,実績!$AK$6:$AK$505,"○")&gt;0,1,0))</f>
        <v>0</v>
      </c>
      <c r="E159" s="39" t="n">
        <f aca="false">IF(E$4=0,0,IF(COUNTIFS(実績!$W$6:$W$505,E$3,実績!$AI$6:$AI$505,"&lt;="&amp;$A159,実績!$AJ$6:$AJ$505,"&gt;"&amp;$A159,実績!$AK$6:$AK$505,"○")&gt;0,1,0))</f>
        <v>0</v>
      </c>
      <c r="F159" s="39" t="n">
        <f aca="false">IF(F$4=0,0,IF(COUNTIFS(実績!$W$6:$W$505,F$3,実績!$AI$6:$AI$505,"&lt;="&amp;$A159,実績!$AJ$6:$AJ$505,"&gt;"&amp;$A159,実績!$AK$6:$AK$505,"○")&gt;0,1,0))</f>
        <v>0</v>
      </c>
      <c r="G159" s="39" t="n">
        <f aca="false">IF(G$4=0,0,IF(COUNTIFS(実績!$W$6:$W$505,G$3,実績!$AI$6:$AI$505,"&lt;="&amp;$A159,実績!$AJ$6:$AJ$505,"&gt;"&amp;$A159,実績!$AK$6:$AK$505,"○")&gt;0,1,0))</f>
        <v>0</v>
      </c>
      <c r="H159" s="39" t="n">
        <f aca="false">IF(H$4=0,0,IF(COUNTIFS(実績!$W$6:$W$505,H$3,実績!$AI$6:$AI$505,"&lt;="&amp;$A159,実績!$AJ$6:$AJ$505,"&gt;"&amp;$A159,実績!$AK$6:$AK$505,"○")&gt;0,1,0))</f>
        <v>0</v>
      </c>
      <c r="I159" s="39" t="n">
        <f aca="false">IF(I$4=0,0,IF(COUNTIFS(実績!$W$6:$W$505,I$3,実績!$AI$6:$AI$505,"&lt;="&amp;$A159,実績!$AJ$6:$AJ$505,"&gt;"&amp;$A159,実績!$AK$6:$AK$505,"○")&gt;0,1,0))</f>
        <v>0</v>
      </c>
      <c r="J159" s="39" t="n">
        <f aca="false">IF(J$4=0,0,IF(COUNTIFS(実績!$W$6:$W$505,J$3,実績!$AI$6:$AI$505,"&lt;="&amp;$A159,実績!$AJ$6:$AJ$505,"&gt;"&amp;$A159,実績!$AK$6:$AK$505,"○")&gt;0,1,0))</f>
        <v>0</v>
      </c>
      <c r="K159" s="39" t="n">
        <f aca="false">IF(K$4=0,0,IF(COUNTIFS(実績!$W$6:$W$505,K$3,実績!$AI$6:$AI$505,"&lt;="&amp;$A159,実績!$AJ$6:$AJ$505,"&gt;"&amp;$A159,実績!$AK$6:$AK$505,"○")&gt;0,1,0))</f>
        <v>0</v>
      </c>
      <c r="L159" s="39" t="n">
        <f aca="false">IF(L$4=0,0,IF(COUNTIFS(実績!$W$6:$W$505,L$3,実績!$AI$6:$AI$505,"&lt;="&amp;$A159,実績!$AJ$6:$AJ$505,"&gt;"&amp;$A159,実績!$AK$6:$AK$505,"○")&gt;0,1,0))</f>
        <v>0</v>
      </c>
      <c r="M159" s="39" t="n">
        <f aca="false">IF(M$4=0,0,IF(COUNTIFS(実績!$W$6:$W$505,M$3,実績!$AI$6:$AI$505,"&lt;="&amp;$A159,実績!$AJ$6:$AJ$505,"&gt;"&amp;$A159,実績!$AK$6:$AK$505,"○")&gt;0,1,0))</f>
        <v>0</v>
      </c>
      <c r="N159" s="39" t="n">
        <f aca="false">IF(N$4=0,0,IF(COUNTIFS(実績!$W$6:$W$505,N$3,実績!$AI$6:$AI$505,"&lt;="&amp;$A159,実績!$AJ$6:$AJ$505,"&gt;"&amp;$A159,実績!$AK$6:$AK$505,"○")&gt;0,1,0))</f>
        <v>0</v>
      </c>
      <c r="O159" s="39" t="n">
        <f aca="false">IF(O$4=0,0,IF(COUNTIFS(実績!$W$6:$W$505,O$3,実績!$AI$6:$AI$505,"&lt;="&amp;$A159,実績!$AJ$6:$AJ$505,"&gt;"&amp;$A159,実績!$AK$6:$AK$505,"○")&gt;0,1,0))</f>
        <v>0</v>
      </c>
      <c r="P159" s="39" t="n">
        <f aca="false">IF(P$4=0,0,IF(COUNTIFS(実績!$W$6:$W$505,P$3,実績!$AI$6:$AI$505,"&lt;="&amp;$A159,実績!$AJ$6:$AJ$505,"&gt;"&amp;$A159,実績!$AK$6:$AK$505,"○")&gt;0,1,0))</f>
        <v>0</v>
      </c>
      <c r="Q159" s="39" t="n">
        <f aca="false">IF(Q$4=0,0,IF(COUNTIFS(実績!$W$6:$W$505,Q$3,実績!$AI$6:$AI$505,"&lt;="&amp;$A159,実績!$AJ$6:$AJ$505,"&gt;"&amp;$A159,実績!$AK$6:$AK$505,"○")&gt;0,1,0))</f>
        <v>0</v>
      </c>
      <c r="R159" s="39" t="n">
        <f aca="false">IF(R$4=0,0,IF(COUNTIFS(実績!$W$6:$W$505,R$3,実績!$AI$6:$AI$505,"&lt;="&amp;$A159,実績!$AJ$6:$AJ$505,"&gt;"&amp;$A159,実績!$AK$6:$AK$505,"○")&gt;0,1,0))</f>
        <v>0</v>
      </c>
      <c r="S159" s="39" t="n">
        <f aca="false">IF(S$4=0,0,IF(COUNTIFS(実績!$W$6:$W$505,S$3,実績!$AI$6:$AI$505,"&lt;="&amp;$A159,実績!$AJ$6:$AJ$505,"&gt;"&amp;$A159,実績!$AK$6:$AK$505,"○")&gt;0,1,0))</f>
        <v>0</v>
      </c>
      <c r="T159" s="39" t="n">
        <f aca="false">IF(T$4=0,0,IF(COUNTIFS(実績!$W$6:$W$505,T$3,実績!$AI$6:$AI$505,"&lt;="&amp;$A159,実績!$AJ$6:$AJ$505,"&gt;"&amp;$A159,実績!$AK$6:$AK$505,"○")&gt;0,1,0))</f>
        <v>0</v>
      </c>
      <c r="U159" s="39" t="n">
        <f aca="false">IF(U$4=0,0,IF(COUNTIFS(実績!$W$6:$W$505,U$3,実績!$AI$6:$AI$505,"&lt;="&amp;$A159,実績!$AJ$6:$AJ$505,"&gt;"&amp;$A159,実績!$AK$6:$AK$505,"○")&gt;0,1,0))</f>
        <v>0</v>
      </c>
      <c r="V159" s="39" t="n">
        <f aca="false">IF(V$4=0,0,IF(COUNTIFS(実績!$W$6:$W$505,V$3,実績!$AI$6:$AI$505,"&lt;="&amp;$A159,実績!$AJ$6:$AJ$505,"&gt;"&amp;$A159,実績!$AK$6:$AK$505,"○")&gt;0,1,0))</f>
        <v>0</v>
      </c>
      <c r="W159" s="39" t="n">
        <f aca="false">IF(W$4=0,0,IF(COUNTIFS(実績!$W$6:$W$505,W$3,実績!$AI$6:$AI$505,"&lt;="&amp;$A159,実績!$AJ$6:$AJ$505,"&gt;"&amp;$A159,実績!$AK$6:$AK$505,"○")&gt;0,1,0))</f>
        <v>0</v>
      </c>
      <c r="X159" s="39" t="n">
        <f aca="false">IF(X$4=0,0,IF(COUNTIFS(実績!$W$6:$W$505,X$3,実績!$AI$6:$AI$505,"&lt;="&amp;$A159,実績!$AJ$6:$AJ$505,"&gt;"&amp;$A159,実績!$AK$6:$AK$505,"○")&gt;0,1,0))</f>
        <v>0</v>
      </c>
      <c r="Y159" s="39" t="n">
        <f aca="false">IF(Y$4=0,0,IF(COUNTIFS(実績!$W$6:$W$505,Y$3,実績!$AI$6:$AI$505,"&lt;="&amp;$A159,実績!$AJ$6:$AJ$505,"&gt;"&amp;$A159,実績!$AK$6:$AK$505,"○")&gt;0,1,0))</f>
        <v>0</v>
      </c>
      <c r="Z159" s="39" t="n">
        <f aca="false">IF(Z$4=0,0,IF(COUNTIFS(実績!$W$6:$W$505,Z$3,実績!$AI$6:$AI$505,"&lt;="&amp;$A159,実績!$AJ$6:$AJ$505,"&gt;"&amp;$A159,実績!$AK$6:$AK$505,"○")&gt;0,1,0))</f>
        <v>0</v>
      </c>
      <c r="AA159" s="39" t="n">
        <f aca="false">IF(AA$4=0,0,IF(COUNTIFS(実績!$W$6:$W$505,AA$3,実績!$AI$6:$AI$505,"&lt;="&amp;$A159,実績!$AJ$6:$AJ$505,"&gt;"&amp;$A159,実績!$AK$6:$AK$505,"○")&gt;0,1,0))</f>
        <v>0</v>
      </c>
      <c r="AB159" s="39" t="n">
        <f aca="false">IF(AB$4=0,0,IF(COUNTIFS(実績!$W$6:$W$505,AB$3,実績!$AI$6:$AI$505,"&lt;="&amp;$A159,実績!$AJ$6:$AJ$505,"&gt;"&amp;$A159,実績!$AK$6:$AK$505,"○")&gt;0,1,0))</f>
        <v>0</v>
      </c>
      <c r="AC159" s="39" t="n">
        <f aca="false">IF(AC$4=0,0,IF(COUNTIFS(実績!$W$6:$W$505,AC$3,実績!$AI$6:$AI$505,"&lt;="&amp;$A159,実績!$AJ$6:$AJ$505,"&gt;"&amp;$A159,実績!$AK$6:$AK$505,"○")&gt;0,1,0))</f>
        <v>0</v>
      </c>
      <c r="AD159" s="39" t="n">
        <f aca="false">IF(AD$4=0,0,IF(COUNTIFS(実績!$W$6:$W$505,AD$3,実績!$AI$6:$AI$505,"&lt;="&amp;$A159,実績!$AJ$6:$AJ$505,"&gt;"&amp;$A159,実績!$AK$6:$AK$505,"○")&gt;0,1,0))</f>
        <v>0</v>
      </c>
      <c r="AE159" s="39" t="n">
        <f aca="false">IF(AE$4=0,0,IF(COUNTIFS(実績!$W$6:$W$505,AE$3,実績!$AI$6:$AI$505,"&lt;="&amp;$A159,実績!$AJ$6:$AJ$505,"&gt;"&amp;$A159,実績!$AK$6:$AK$505,"○")&gt;0,1,0))</f>
        <v>0</v>
      </c>
      <c r="AF159" s="39" t="n">
        <f aca="false">IF(AF$4=0,0,IF(COUNTIFS(実績!$W$6:$W$505,AF$3,実績!$AI$6:$AI$505,"&lt;="&amp;$A159,実績!$AJ$6:$AJ$505,"&gt;"&amp;$A159,実績!$AK$6:$AK$505,"○")&gt;0,1,0))</f>
        <v>0</v>
      </c>
      <c r="AG159" s="39" t="n">
        <f aca="false">IF(AG$4=0,0,IF(COUNTIFS(実績!$W$6:$W$505,AG$3,実績!$AI$6:$AI$505,"&lt;="&amp;$A159,実績!$AJ$6:$AJ$505,"&gt;"&amp;$A159,実績!$AK$6:$AK$505,"○")&gt;0,1,0))</f>
        <v>0</v>
      </c>
      <c r="AH159" s="39" t="n">
        <f aca="false">IF(AH$4=0,0,IF(COUNTIFS(実績!$W$6:$W$505,AH$3,実績!$AI$6:$AI$505,"&lt;="&amp;$A159,実績!$AJ$6:$AJ$505,"&gt;"&amp;$A159,実績!$AK$6:$AK$505,"○")&gt;0,1,0))</f>
        <v>0</v>
      </c>
      <c r="AI159" s="39" t="n">
        <f aca="false">IF(AI$4=0,0,IF(COUNTIFS(実績!$W$6:$W$505,AI$3,実績!$AI$6:$AI$505,"&lt;="&amp;$A159,実績!$AJ$6:$AJ$505,"&gt;"&amp;$A159,実績!$AK$6:$AK$505,"○")&gt;0,1,0))</f>
        <v>0</v>
      </c>
      <c r="AJ159" s="39" t="n">
        <f aca="false">IF(AJ$4=0,0,IF(COUNTIFS(実績!$W$6:$W$505,AJ$3,実績!$AI$6:$AI$505,"&lt;="&amp;$A159,実績!$AJ$6:$AJ$505,"&gt;"&amp;$A159,実績!$AK$6:$AK$505,"○")&gt;0,1,0))</f>
        <v>0</v>
      </c>
      <c r="AK159" s="39" t="n">
        <f aca="false">IF(AK$4=0,0,IF(COUNTIFS(実績!$W$6:$W$505,AK$3,実績!$AI$6:$AI$505,"&lt;="&amp;$A159,実績!$AJ$6:$AJ$505,"&gt;"&amp;$A159,実績!$AK$6:$AK$505,"○")&gt;0,1,0))</f>
        <v>0</v>
      </c>
      <c r="AL159" s="39" t="n">
        <f aca="false">IF(AL$4=0,0,IF(COUNTIFS(実績!$W$6:$W$505,AL$3,実績!$AI$6:$AI$505,"&lt;="&amp;$A159,実績!$AJ$6:$AJ$505,"&gt;"&amp;$A159,実績!$AK$6:$AK$505,"○")&gt;0,1,0))</f>
        <v>0</v>
      </c>
      <c r="AM159" s="39" t="n">
        <f aca="false">IF(AM$4=0,0,IF(COUNTIFS(実績!$W$6:$W$505,AM$3,実績!$AI$6:$AI$505,"&lt;="&amp;$A159,実績!$AJ$6:$AJ$505,"&gt;"&amp;$A159,実績!$AK$6:$AK$505,"○")&gt;0,1,0))</f>
        <v>0</v>
      </c>
      <c r="AN159" s="39" t="n">
        <f aca="false">IF(AN$4=0,0,IF(COUNTIFS(実績!$W$6:$W$505,AN$3,実績!$AI$6:$AI$505,"&lt;="&amp;$A159,実績!$AJ$6:$AJ$505,"&gt;"&amp;$A159,実績!$AK$6:$AK$505,"○")&gt;0,1,0))</f>
        <v>0</v>
      </c>
      <c r="AO159" s="39" t="n">
        <f aca="false">IF(AO$4=0,0,IF(COUNTIFS(実績!$W$6:$W$505,AO$3,実績!$AI$6:$AI$505,"&lt;="&amp;$A159,実績!$AJ$6:$AJ$505,"&gt;"&amp;$A159,実績!$AK$6:$AK$505,"○")&gt;0,1,0))</f>
        <v>0</v>
      </c>
      <c r="AP159" s="39" t="n">
        <f aca="false">IF(AP$4=0,0,IF(COUNTIFS(実績!$W$6:$W$505,AP$3,実績!$AI$6:$AI$505,"&lt;="&amp;$A159,実績!$AJ$6:$AJ$505,"&gt;"&amp;$A159,実績!$AK$6:$AK$505,"○")&gt;0,1,0))</f>
        <v>0</v>
      </c>
      <c r="AQ159" s="39" t="n">
        <f aca="false">IF(AQ$4=0,0,IF(COUNTIFS(実績!$W$6:$W$505,AQ$3,実績!$AI$6:$AI$505,"&lt;="&amp;$A159,実績!$AJ$6:$AJ$505,"&gt;"&amp;$A159,実績!$AK$6:$AK$505,"○")&gt;0,1,0))</f>
        <v>0</v>
      </c>
      <c r="AR159" s="39" t="n">
        <f aca="false">IF(AR$4=0,0,IF(COUNTIFS(実績!$W$6:$W$505,AR$3,実績!$AI$6:$AI$505,"&lt;="&amp;$A159,実績!$AJ$6:$AJ$505,"&gt;"&amp;$A159,実績!$AK$6:$AK$505,"○")&gt;0,1,0))</f>
        <v>0</v>
      </c>
      <c r="AS159" s="39" t="n">
        <f aca="false">IF(AS$4=0,0,IF(COUNTIFS(実績!$W$6:$W$505,AS$3,実績!$AI$6:$AI$505,"&lt;="&amp;$A159,実績!$AJ$6:$AJ$505,"&gt;"&amp;$A159,実績!$AK$6:$AK$505,"○")&gt;0,1,0))</f>
        <v>0</v>
      </c>
      <c r="AT159" s="39" t="n">
        <f aca="false">IF(AT$4=0,0,IF(COUNTIFS(実績!$W$6:$W$505,AT$3,実績!$AI$6:$AI$505,"&lt;="&amp;$A159,実績!$AJ$6:$AJ$505,"&gt;"&amp;$A159,実績!$AK$6:$AK$505,"○")&gt;0,1,0))</f>
        <v>0</v>
      </c>
      <c r="AU159" s="39" t="n">
        <f aca="false">IF(AU$4=0,0,IF(COUNTIFS(実績!$W$6:$W$505,AU$3,実績!$AI$6:$AI$505,"&lt;="&amp;$A159,実績!$AJ$6:$AJ$505,"&gt;"&amp;$A159,実績!$AK$6:$AK$505,"○")&gt;0,1,0))</f>
        <v>0</v>
      </c>
      <c r="AV159" s="39" t="n">
        <f aca="false">IF(AV$4=0,0,IF(COUNTIFS(実績!$W$6:$W$505,AV$3,実績!$AI$6:$AI$505,"&lt;="&amp;$A159,実績!$AJ$6:$AJ$505,"&gt;"&amp;$A159,実績!$AK$6:$AK$505,"○")&gt;0,1,0))</f>
        <v>0</v>
      </c>
      <c r="AW159" s="39" t="n">
        <f aca="false">IF(AW$4=0,0,IF(COUNTIFS(実績!$W$6:$W$505,AW$3,実績!$AI$6:$AI$505,"&lt;="&amp;$A159,実績!$AJ$6:$AJ$505,"&gt;"&amp;$A159,実績!$AK$6:$AK$505,"○")&gt;0,1,0))</f>
        <v>0</v>
      </c>
      <c r="AX159" s="39" t="n">
        <f aca="false">IF(AX$4=0,0,IF(COUNTIFS(実績!$W$6:$W$505,AX$3,実績!$AI$6:$AI$505,"&lt;="&amp;$A159,実績!$AJ$6:$AJ$505,"&gt;"&amp;$A159,実績!$AK$6:$AK$505,"○")&gt;0,1,0))</f>
        <v>0</v>
      </c>
      <c r="AY159" s="39" t="n">
        <f aca="false">IF(AY$4=0,0,IF(COUNTIFS(実績!$W$6:$W$505,AY$3,実績!$AI$6:$AI$505,"&lt;="&amp;$A159,実績!$AJ$6:$AJ$505,"&gt;"&amp;$A159,実績!$AK$6:$AK$505,"○")&gt;0,1,0))</f>
        <v>0</v>
      </c>
      <c r="AZ159" s="39" t="n">
        <f aca="false">IF(AZ$4=0,0,IF(COUNTIFS(実績!$W$6:$W$505,AZ$3,実績!$AI$6:$AI$505,"&lt;="&amp;$A159,実績!$AJ$6:$AJ$505,"&gt;"&amp;$A159,実績!$AK$6:$AK$505,"○")&gt;0,1,0))</f>
        <v>0</v>
      </c>
      <c r="BA159" s="39" t="n">
        <f aca="false">IF(BA$4=0,0,IF(COUNTIFS(実績!$W$6:$W$505,BA$3,実績!$AI$6:$AI$505,"&lt;="&amp;$A159,実績!$AJ$6:$AJ$505,"&gt;"&amp;$A159,実績!$AK$6:$AK$505,"○")&gt;0,1,0))</f>
        <v>0</v>
      </c>
      <c r="BB159" s="39" t="n">
        <f aca="false">IF(BB$4=0,0,IF(COUNTIFS(実績!$W$6:$W$505,BB$3,実績!$AI$6:$AI$505,"&lt;="&amp;$A159,実績!$AJ$6:$AJ$505,"&gt;"&amp;$A159,実績!$AK$6:$AK$505,"○")&gt;0,1,0))</f>
        <v>0</v>
      </c>
      <c r="BC159" s="39" t="n">
        <f aca="false">IF(BC$4=0,0,IF(COUNTIFS(実績!$W$6:$W$505,BC$3,実績!$AI$6:$AI$505,"&lt;="&amp;$A159,実績!$AJ$6:$AJ$505,"&gt;"&amp;$A159,実績!$AK$6:$AK$505,"○")&gt;0,1,0))</f>
        <v>0</v>
      </c>
      <c r="BD159" s="39" t="n">
        <f aca="false">IF(BD$4=0,0,IF(COUNTIFS(実績!$W$6:$W$505,BD$3,実績!$AI$6:$AI$505,"&lt;="&amp;$A159,実績!$AJ$6:$AJ$505,"&gt;"&amp;$A159,実績!$AK$6:$AK$505,"○")&gt;0,1,0))</f>
        <v>0</v>
      </c>
      <c r="BE159" s="39" t="n">
        <f aca="false">IF(BE$4=0,0,IF(COUNTIFS(実績!$W$6:$W$505,BE$3,実績!$AI$6:$AI$505,"&lt;="&amp;$A159,実績!$AJ$6:$AJ$505,"&gt;"&amp;$A159,実績!$AK$6:$AK$505,"○")&gt;0,1,0))</f>
        <v>0</v>
      </c>
      <c r="BF159" s="39" t="n">
        <f aca="false">IF(BF$4=0,0,IF(COUNTIFS(実績!$W$6:$W$505,BF$3,実績!$AI$6:$AI$505,"&lt;="&amp;$A159,実績!$AJ$6:$AJ$505,"&gt;"&amp;$A159,実績!$AK$6:$AK$505,"○")&gt;0,1,0))</f>
        <v>0</v>
      </c>
      <c r="BG159" s="39" t="n">
        <f aca="false">IF(BG$4=0,0,IF(COUNTIFS(実績!$W$6:$W$505,BG$3,実績!$AI$6:$AI$505,"&lt;="&amp;$A159,実績!$AJ$6:$AJ$505,"&gt;"&amp;$A159,実績!$AK$6:$AK$505,"○")&gt;0,1,0))</f>
        <v>0</v>
      </c>
      <c r="BH159" s="39" t="n">
        <f aca="false">IF(BH$4=0,0,IF(COUNTIFS(実績!$W$6:$W$505,BH$3,実績!$AI$6:$AI$505,"&lt;="&amp;$A159,実績!$AJ$6:$AJ$505,"&gt;"&amp;$A159,実績!$AK$6:$AK$505,"○")&gt;0,1,0))</f>
        <v>0</v>
      </c>
      <c r="BI159" s="39" t="n">
        <f aca="false">IF(BI$4=0,0,IF(COUNTIFS(実績!$W$6:$W$505,BI$3,実績!$AI$6:$AI$505,"&lt;="&amp;$A159,実績!$AJ$6:$AJ$505,"&gt;"&amp;$A159,実績!$AK$6:$AK$505,"○")&gt;0,1,0))</f>
        <v>0</v>
      </c>
      <c r="BJ159" s="39" t="n">
        <f aca="false">IF(BJ$4=0,0,IF(COUNTIFS(実績!$W$6:$W$505,BJ$3,実績!$AI$6:$AI$505,"&lt;="&amp;$A159,実績!$AJ$6:$AJ$505,"&gt;"&amp;$A159,実績!$AK$6:$AK$505,"○")&gt;0,1,0))</f>
        <v>0</v>
      </c>
      <c r="BK159" s="39" t="n">
        <f aca="false">IF(BK$4=0,0,IF(COUNTIFS(実績!$W$6:$W$505,BK$3,実績!$AI$6:$AI$505,"&lt;="&amp;$A159,実績!$AJ$6:$AJ$505,"&gt;"&amp;$A159,実績!$AK$6:$AK$505,"○")&gt;0,1,0))</f>
        <v>0</v>
      </c>
      <c r="BL159" s="39" t="n">
        <f aca="false">IF(BL$4=0,0,IF(COUNTIFS(実績!$W$6:$W$505,BL$3,実績!$AI$6:$AI$505,"&lt;="&amp;$A159,実績!$AJ$6:$AJ$505,"&gt;"&amp;$A159,実績!$AK$6:$AK$505,"○")&gt;0,1,0))</f>
        <v>0</v>
      </c>
      <c r="BM159" s="39" t="n">
        <f aca="false">IF(BM$4=0,0,IF(COUNTIFS(実績!$W$6:$W$505,BM$3,実績!$AI$6:$AI$505,"&lt;="&amp;$A159,実績!$AJ$6:$AJ$505,"&gt;"&amp;$A159,実績!$AK$6:$AK$505,"○")&gt;0,1,0))</f>
        <v>0</v>
      </c>
      <c r="BN159" s="39" t="n">
        <f aca="false">IF(BN$4=0,0,IF(COUNTIFS(実績!$W$6:$W$505,BN$3,実績!$AI$6:$AI$505,"&lt;="&amp;$A159,実績!$AJ$6:$AJ$505,"&gt;"&amp;$A159,実績!$AK$6:$AK$505,"○")&gt;0,1,0))</f>
        <v>0</v>
      </c>
      <c r="BO159" s="39" t="n">
        <f aca="false">IF(BO$4=0,0,IF(COUNTIFS(実績!$W$6:$W$505,BO$3,実績!$AI$6:$AI$505,"&lt;="&amp;$A159,実績!$AJ$6:$AJ$505,"&gt;"&amp;$A159,実績!$AK$6:$AK$505,"○")&gt;0,1,0))</f>
        <v>0</v>
      </c>
      <c r="BP159" s="39" t="n">
        <f aca="false">IF(BP$4=0,0,IF(COUNTIFS(実績!$W$6:$W$505,BP$3,実績!$AI$6:$AI$505,"&lt;="&amp;$A159,実績!$AJ$6:$AJ$505,"&gt;"&amp;$A159,実績!$AK$6:$AK$505,"○")&gt;0,1,0))</f>
        <v>0</v>
      </c>
      <c r="BQ159" s="39" t="n">
        <f aca="false">IF(BQ$4=0,0,IF(COUNTIFS(実績!$W$6:$W$505,BQ$3,実績!$AI$6:$AI$505,"&lt;="&amp;$A159,実績!$AJ$6:$AJ$505,"&gt;"&amp;$A159,実績!$AK$6:$AK$505,"○")&gt;0,1,0))</f>
        <v>0</v>
      </c>
      <c r="BR159" s="39" t="n">
        <f aca="false">IF(BR$4=0,0,IF(COUNTIFS(実績!$W$6:$W$505,BR$3,実績!$AI$6:$AI$505,"&lt;="&amp;$A159,実績!$AJ$6:$AJ$505,"&gt;"&amp;$A159,実績!$AK$6:$AK$505,"○")&gt;0,1,0))</f>
        <v>0</v>
      </c>
      <c r="BS159" s="39" t="n">
        <f aca="false">IF(BS$4=0,0,IF(COUNTIFS(実績!$W$6:$W$505,BS$3,実績!$AI$6:$AI$505,"&lt;="&amp;$A159,実績!$AJ$6:$AJ$505,"&gt;"&amp;$A159,実績!$AK$6:$AK$505,"○")&gt;0,1,0))</f>
        <v>0</v>
      </c>
      <c r="BT159" s="39" t="n">
        <f aca="false">IF(BT$4=0,0,IF(COUNTIFS(実績!$W$6:$W$505,BT$3,実績!$AI$6:$AI$505,"&lt;="&amp;$A159,実績!$AJ$6:$AJ$505,"&gt;"&amp;$A159,実績!$AK$6:$AK$505,"○")&gt;0,1,0))</f>
        <v>0</v>
      </c>
      <c r="BU159" s="39" t="n">
        <f aca="false">IF(BU$4=0,0,IF(COUNTIFS(実績!$W$6:$W$505,BU$3,実績!$AI$6:$AI$505,"&lt;="&amp;$A159,実績!$AJ$6:$AJ$505,"&gt;"&amp;$A159,実績!$AK$6:$AK$505,"○")&gt;0,1,0))</f>
        <v>0</v>
      </c>
      <c r="BV159" s="39" t="n">
        <f aca="false">IF(BV$4=0,0,IF(COUNTIFS(実績!$W$6:$W$505,BV$3,実績!$AI$6:$AI$505,"&lt;="&amp;$A159,実績!$AJ$6:$AJ$505,"&gt;"&amp;$A159,実績!$AK$6:$AK$505,"○")&gt;0,1,0))</f>
        <v>0</v>
      </c>
      <c r="BW159" s="39" t="n">
        <f aca="false">IF(BW$4=0,0,IF(COUNTIFS(実績!$W$6:$W$505,BW$3,実績!$AI$6:$AI$505,"&lt;="&amp;$A159,実績!$AJ$6:$AJ$505,"&gt;"&amp;$A159,実績!$AK$6:$AK$505,"○")&gt;0,1,0))</f>
        <v>0</v>
      </c>
      <c r="BX159" s="39" t="n">
        <f aca="false">IF(BX$4=0,0,IF(COUNTIFS(実績!$W$6:$W$505,BX$3,実績!$AI$6:$AI$505,"&lt;="&amp;$A159,実績!$AJ$6:$AJ$505,"&gt;"&amp;$A159,実績!$AK$6:$AK$505,"○")&gt;0,1,0))</f>
        <v>0</v>
      </c>
      <c r="BY159" s="39" t="n">
        <f aca="false">IF(BY$4=0,0,IF(COUNTIFS(実績!$W$6:$W$505,BY$3,実績!$AI$6:$AI$505,"&lt;="&amp;$A159,実績!$AJ$6:$AJ$505,"&gt;"&amp;$A159,実績!$AK$6:$AK$505,"○")&gt;0,1,0))</f>
        <v>0</v>
      </c>
      <c r="BZ159" s="39" t="n">
        <f aca="false">IF(BZ$4=0,0,IF(COUNTIFS(実績!$W$6:$W$505,BZ$3,実績!$AI$6:$AI$505,"&lt;="&amp;$A159,実績!$AJ$6:$AJ$505,"&gt;"&amp;$A159,実績!$AK$6:$AK$505,"○")&gt;0,1,0))</f>
        <v>0</v>
      </c>
      <c r="CA159" s="39" t="n">
        <f aca="false">IF(CA$4=0,0,IF(COUNTIFS(実績!$W$6:$W$505,CA$3,実績!$AI$6:$AI$505,"&lt;="&amp;$A159,実績!$AJ$6:$AJ$505,"&gt;"&amp;$A159,実績!$AK$6:$AK$505,"○")&gt;0,1,0))</f>
        <v>0</v>
      </c>
      <c r="CB159" s="39" t="n">
        <f aca="false">IF(CB$4=0,0,IF(COUNTIFS(実績!$W$6:$W$505,CB$3,実績!$AI$6:$AI$505,"&lt;="&amp;$A159,実績!$AJ$6:$AJ$505,"&gt;"&amp;$A159,実績!$AK$6:$AK$505,"○")&gt;0,1,0))</f>
        <v>0</v>
      </c>
      <c r="CC159" s="39" t="n">
        <f aca="false">IF(CC$4=0,0,IF(COUNTIFS(実績!$W$6:$W$505,CC$3,実績!$AI$6:$AI$505,"&lt;="&amp;$A159,実績!$AJ$6:$AJ$505,"&gt;"&amp;$A159,実績!$AK$6:$AK$505,"○")&gt;0,1,0))</f>
        <v>0</v>
      </c>
      <c r="CD159" s="39" t="n">
        <f aca="false">IF(CD$4=0,0,IF(COUNTIFS(実績!$W$6:$W$505,CD$3,実績!$AI$6:$AI$505,"&lt;="&amp;$A159,実績!$AJ$6:$AJ$505,"&gt;"&amp;$A159,実績!$AK$6:$AK$505,"○")&gt;0,1,0))</f>
        <v>0</v>
      </c>
      <c r="CE159" s="39" t="n">
        <f aca="false">IF(CE$4=0,0,IF(COUNTIFS(実績!$W$6:$W$505,CE$3,実績!$AI$6:$AI$505,"&lt;="&amp;$A159,実績!$AJ$6:$AJ$505,"&gt;"&amp;$A159,実績!$AK$6:$AK$505,"○")&gt;0,1,0))</f>
        <v>0</v>
      </c>
      <c r="CF159" s="39" t="n">
        <f aca="false">IF(CF$4=0,0,IF(COUNTIFS(実績!$W$6:$W$505,CF$3,実績!$AI$6:$AI$505,"&lt;="&amp;$A159,実績!$AJ$6:$AJ$505,"&gt;"&amp;$A159,実績!$AK$6:$AK$505,"○")&gt;0,1,0))</f>
        <v>0</v>
      </c>
      <c r="CG159" s="39" t="n">
        <f aca="false">IF(CG$4=0,0,IF(COUNTIFS(実績!$W$6:$W$505,CG$3,実績!$AI$6:$AI$505,"&lt;="&amp;$A159,実績!$AJ$6:$AJ$505,"&gt;"&amp;$A159,実績!$AK$6:$AK$505,"○")&gt;0,1,0))</f>
        <v>0</v>
      </c>
      <c r="CH159" s="39" t="n">
        <f aca="false">IF(CH$4=0,0,IF(COUNTIFS(実績!$W$6:$W$505,CH$3,実績!$AI$6:$AI$505,"&lt;="&amp;$A159,実績!$AJ$6:$AJ$505,"&gt;"&amp;$A159,実績!$AK$6:$AK$505,"○")&gt;0,1,0))</f>
        <v>0</v>
      </c>
      <c r="CI159" s="39" t="n">
        <f aca="false">IF(CI$4=0,0,IF(COUNTIFS(実績!$W$6:$W$505,CI$3,実績!$AI$6:$AI$505,"&lt;="&amp;$A159,実績!$AJ$6:$AJ$505,"&gt;"&amp;$A159,実績!$AK$6:$AK$505,"○")&gt;0,1,0))</f>
        <v>0</v>
      </c>
      <c r="CJ159" s="39" t="n">
        <f aca="false">IF(CJ$4=0,0,IF(COUNTIFS(実績!$W$6:$W$505,CJ$3,実績!$AI$6:$AI$505,"&lt;="&amp;$A159,実績!$AJ$6:$AJ$505,"&gt;"&amp;$A159,実績!$AK$6:$AK$505,"○")&gt;0,1,0))</f>
        <v>0</v>
      </c>
      <c r="CK159" s="39" t="n">
        <f aca="false">IF(CK$4=0,0,IF(COUNTIFS(実績!$W$6:$W$505,CK$3,実績!$AI$6:$AI$505,"&lt;="&amp;$A159,実績!$AJ$6:$AJ$505,"&gt;"&amp;$A159,実績!$AK$6:$AK$505,"○")&gt;0,1,0))</f>
        <v>0</v>
      </c>
      <c r="CL159" s="39" t="n">
        <f aca="false">IF(CL$4=0,0,IF(COUNTIFS(実績!$W$6:$W$505,CL$3,実績!$AI$6:$AI$505,"&lt;="&amp;$A159,実績!$AJ$6:$AJ$505,"&gt;"&amp;$A159,実績!$AK$6:$AK$505,"○")&gt;0,1,0))</f>
        <v>0</v>
      </c>
      <c r="CM159" s="39" t="n">
        <f aca="false">IF(CM$4=0,0,IF(COUNTIFS(実績!$W$6:$W$505,CM$3,実績!$AI$6:$AI$505,"&lt;="&amp;$A159,実績!$AJ$6:$AJ$505,"&gt;"&amp;$A159,実績!$AK$6:$AK$505,"○")&gt;0,1,0))</f>
        <v>0</v>
      </c>
      <c r="CN159" s="39" t="n">
        <f aca="false">IF(CN$4=0,0,IF(COUNTIFS(実績!$W$6:$W$505,CN$3,実績!$AI$6:$AI$505,"&lt;="&amp;$A159,実績!$AJ$6:$AJ$505,"&gt;"&amp;$A159,実績!$AK$6:$AK$505,"○")&gt;0,1,0))</f>
        <v>0</v>
      </c>
      <c r="CO159" s="39" t="n">
        <f aca="false">IF(CO$4=0,0,IF(COUNTIFS(実績!$W$6:$W$505,CO$3,実績!$AI$6:$AI$505,"&lt;="&amp;$A159,実績!$AJ$6:$AJ$505,"&gt;"&amp;$A159,実績!$AK$6:$AK$505,"○")&gt;0,1,0))</f>
        <v>0</v>
      </c>
      <c r="CP159" s="39" t="n">
        <f aca="false">IF(CP$4=0,0,IF(COUNTIFS(実績!$W$6:$W$505,CP$3,実績!$AI$6:$AI$505,"&lt;="&amp;$A159,実績!$AJ$6:$AJ$505,"&gt;"&amp;$A159,実績!$AK$6:$AK$505,"○")&gt;0,1,0))</f>
        <v>0</v>
      </c>
      <c r="CQ159" s="39" t="n">
        <f aca="false">IF(CQ$4=0,0,IF(COUNTIFS(実績!$W$6:$W$505,CQ$3,実績!$AI$6:$AI$505,"&lt;="&amp;$A159,実績!$AJ$6:$AJ$505,"&gt;"&amp;$A159,実績!$AK$6:$AK$505,"○")&gt;0,1,0))</f>
        <v>0</v>
      </c>
      <c r="CR159" s="39" t="n">
        <f aca="false">IF(CR$4=0,0,IF(COUNTIFS(実績!$W$6:$W$505,CR$3,実績!$AI$6:$AI$505,"&lt;="&amp;$A159,実績!$AJ$6:$AJ$505,"&gt;"&amp;$A159,実績!$AK$6:$AK$505,"○")&gt;0,1,0))</f>
        <v>0</v>
      </c>
      <c r="CS159" s="39" t="n">
        <f aca="false">IF(CS$4=0,0,IF(COUNTIFS(実績!$W$6:$W$505,CS$3,実績!$AI$6:$AI$505,"&lt;="&amp;$A159,実績!$AJ$6:$AJ$505,"&gt;"&amp;$A159,実績!$AK$6:$AK$505,"○")&gt;0,1,0))</f>
        <v>0</v>
      </c>
      <c r="CT159" s="39" t="n">
        <f aca="false">IF(CT$4=0,0,IF(COUNTIFS(実績!$W$6:$W$505,CT$3,実績!$AI$6:$AI$505,"&lt;="&amp;$A159,実績!$AJ$6:$AJ$505,"&gt;"&amp;$A159,実績!$AK$6:$AK$505,"○")&gt;0,1,0))</f>
        <v>0</v>
      </c>
      <c r="CU159" s="39" t="n">
        <f aca="false">IF(CU$4=0,0,IF(COUNTIFS(実績!$W$6:$W$505,CU$3,実績!$AI$6:$AI$505,"&lt;="&amp;$A159,実績!$AJ$6:$AJ$505,"&gt;"&amp;$A159,実績!$AK$6:$AK$505,"○")&gt;0,1,0))</f>
        <v>0</v>
      </c>
      <c r="CV159" s="39" t="n">
        <f aca="false">IF(CV$4=0,0,IF(COUNTIFS(実績!$W$6:$W$505,CV$3,実績!$AI$6:$AI$505,"&lt;="&amp;$A159,実績!$AJ$6:$AJ$505,"&gt;"&amp;$A159,実績!$AK$6:$AK$505,"○")&gt;0,1,0))</f>
        <v>0</v>
      </c>
      <c r="CW159" s="39" t="n">
        <f aca="false">IF(CW$4=0,0,IF(COUNTIFS(実績!$W$6:$W$505,CW$3,実績!$AI$6:$AI$505,"&lt;="&amp;$A159,実績!$AJ$6:$AJ$505,"&gt;"&amp;$A159,実績!$AK$6:$AK$505,"○")&gt;0,1,0))</f>
        <v>0</v>
      </c>
      <c r="CX159" s="39" t="n">
        <f aca="false">IF(CX$4=0,0,IF(COUNTIFS(実績!$W$6:$W$505,CX$3,実績!$AI$6:$AI$505,"&lt;="&amp;$A159,実績!$AJ$6:$AJ$505,"&gt;"&amp;$A159,実績!$AK$6:$AK$505,"○")&gt;0,1,0))</f>
        <v>0</v>
      </c>
      <c r="CY159" s="39" t="n">
        <f aca="false">IF(CY$4=0,0,IF(COUNTIFS(実績!$W$6:$W$505,CY$3,実績!$AI$6:$AI$505,"&lt;="&amp;$A159,実績!$AJ$6:$AJ$505,"&gt;"&amp;$A159,実績!$AK$6:$AK$505,"○")&gt;0,1,0))</f>
        <v>0</v>
      </c>
      <c r="CZ159" s="39" t="n">
        <f aca="false">IF(CZ$4=0,0,IF(COUNTIFS(実績!$W$6:$W$505,CZ$3,実績!$AI$6:$AI$505,"&lt;="&amp;$A159,実績!$AJ$6:$AJ$505,"&gt;"&amp;$A159,実績!$AK$6:$AK$505,"○")&gt;0,1,0))</f>
        <v>0</v>
      </c>
      <c r="DA159" s="39" t="n">
        <f aca="false">IF(DA$4=0,0,IF(COUNTIFS(実績!$W$6:$W$505,DA$3,実績!$AI$6:$AI$505,"&lt;="&amp;$A159,実績!$AJ$6:$AJ$505,"&gt;"&amp;$A159,実績!$AK$6:$AK$505,"○")&gt;0,1,0))</f>
        <v>0</v>
      </c>
      <c r="DB159" s="39" t="n">
        <f aca="false">IF(DB$4=0,0,IF(COUNTIFS(実績!$W$6:$W$505,DB$3,実績!$AI$6:$AI$505,"&lt;="&amp;$A159,実績!$AJ$6:$AJ$505,"&gt;"&amp;$A159,実績!$AK$6:$AK$505,"○")&gt;0,1,0))</f>
        <v>0</v>
      </c>
      <c r="DC159" s="39" t="n">
        <f aca="false">IF(DC$4=0,0,IF(COUNTIFS(実績!$W$6:$W$505,DC$3,実績!$AI$6:$AI$505,"&lt;="&amp;$A159,実績!$AJ$6:$AJ$505,"&gt;"&amp;$A159,実績!$AK$6:$AK$505,"○")&gt;0,1,0))</f>
        <v>0</v>
      </c>
      <c r="DD159" s="39" t="n">
        <f aca="false">IF(DD$4=0,0,IF(COUNTIFS(実績!$W$6:$W$505,DD$3,実績!$AI$6:$AI$505,"&lt;="&amp;$A159,実績!$AJ$6:$AJ$505,"&gt;"&amp;$A159,実績!$AK$6:$AK$505,"○")&gt;0,1,0))</f>
        <v>0</v>
      </c>
      <c r="DE159" s="39" t="n">
        <f aca="false">IF(DE$4=0,0,IF(COUNTIFS(実績!$W$6:$W$505,DE$3,実績!$AI$6:$AI$505,"&lt;="&amp;$A159,実績!$AJ$6:$AJ$505,"&gt;"&amp;$A159,実績!$AK$6:$AK$505,"○")&gt;0,1,0))</f>
        <v>0</v>
      </c>
      <c r="DF159" s="39" t="n">
        <f aca="false">IF(DF$4=0,0,IF(COUNTIFS(実績!$W$6:$W$505,DF$3,実績!$AI$6:$AI$505,"&lt;="&amp;$A159,実績!$AJ$6:$AJ$505,"&gt;"&amp;$A159,実績!$AK$6:$AK$505,"○")&gt;0,1,0))</f>
        <v>0</v>
      </c>
      <c r="DG159" s="39" t="n">
        <f aca="false">IF(DG$4=0,0,IF(COUNTIFS(実績!$W$6:$W$505,DG$3,実績!$AI$6:$AI$505,"&lt;="&amp;$A159,実績!$AJ$6:$AJ$505,"&gt;"&amp;$A159,実績!$AK$6:$AK$505,"○")&gt;0,1,0))</f>
        <v>0</v>
      </c>
      <c r="DH159" s="39" t="n">
        <f aca="false">IF(DH$4=0,0,IF(COUNTIFS(実績!$W$6:$W$505,DH$3,実績!$AI$6:$AI$505,"&lt;="&amp;$A159,実績!$AJ$6:$AJ$505,"&gt;"&amp;$A159,実績!$AK$6:$AK$505,"○")&gt;0,1,0))</f>
        <v>0</v>
      </c>
      <c r="DI159" s="39" t="n">
        <f aca="false">IF(DI$4=0,0,IF(COUNTIFS(実績!$W$6:$W$505,DI$3,実績!$AI$6:$AI$505,"&lt;="&amp;$A159,実績!$AJ$6:$AJ$505,"&gt;"&amp;$A159,実績!$AK$6:$AK$505,"○")&gt;0,1,0))</f>
        <v>0</v>
      </c>
      <c r="DJ159" s="39" t="n">
        <f aca="false">IF(DJ$4=0,0,IF(COUNTIFS(実績!$W$6:$W$505,DJ$3,実績!$AI$6:$AI$505,"&lt;="&amp;$A159,実績!$AJ$6:$AJ$505,"&gt;"&amp;$A159,実績!$AK$6:$AK$505,"○")&gt;0,1,0))</f>
        <v>0</v>
      </c>
      <c r="DK159" s="39" t="n">
        <f aca="false">IF(DK$4=0,0,IF(COUNTIFS(実績!$W$6:$W$505,DK$3,実績!$AI$6:$AI$505,"&lt;="&amp;$A159,実績!$AJ$6:$AJ$505,"&gt;"&amp;$A159,実績!$AK$6:$AK$505,"○")&gt;0,1,0))</f>
        <v>0</v>
      </c>
      <c r="DL159" s="39" t="n">
        <f aca="false">IF(DL$4=0,0,IF(COUNTIFS(実績!$W$6:$W$505,DL$3,実績!$AI$6:$AI$505,"&lt;="&amp;$A159,実績!$AJ$6:$AJ$505,"&gt;"&amp;$A159,実績!$AK$6:$AK$505,"○")&gt;0,1,0))</f>
        <v>0</v>
      </c>
      <c r="DM159" s="39" t="n">
        <f aca="false">IF(DM$4=0,0,IF(COUNTIFS(実績!$W$6:$W$505,DM$3,実績!$AI$6:$AI$505,"&lt;="&amp;$A159,実績!$AJ$6:$AJ$505,"&gt;"&amp;$A159,実績!$AK$6:$AK$505,"○")&gt;0,1,0))</f>
        <v>0</v>
      </c>
      <c r="DN159" s="39" t="n">
        <f aca="false">IF(DN$4=0,0,IF(COUNTIFS(実績!$W$6:$W$505,DN$3,実績!$AI$6:$AI$505,"&lt;="&amp;$A159,実績!$AJ$6:$AJ$505,"&gt;"&amp;$A159,実績!$AK$6:$AK$505,"○")&gt;0,1,0))</f>
        <v>0</v>
      </c>
      <c r="DO159" s="39" t="n">
        <f aca="false">IF(DO$4=0,0,IF(COUNTIFS(実績!$W$6:$W$505,DO$3,実績!$AI$6:$AI$505,"&lt;="&amp;$A159,実績!$AJ$6:$AJ$505,"&gt;"&amp;$A159,実績!$AK$6:$AK$505,"○")&gt;0,1,0))</f>
        <v>0</v>
      </c>
      <c r="DP159" s="39" t="n">
        <f aca="false">IF(DP$4=0,0,IF(COUNTIFS(実績!$W$6:$W$505,DP$3,実績!$AI$6:$AI$505,"&lt;="&amp;$A159,実績!$AJ$6:$AJ$505,"&gt;"&amp;$A159,実績!$AK$6:$AK$505,"○")&gt;0,1,0))</f>
        <v>0</v>
      </c>
      <c r="DQ159" s="39" t="n">
        <f aca="false">IF(DQ$4=0,0,IF(COUNTIFS(実績!$W$6:$W$505,DQ$3,実績!$AI$6:$AI$505,"&lt;="&amp;$A159,実績!$AJ$6:$AJ$505,"&gt;"&amp;$A159,実績!$AK$6:$AK$505,"○")&gt;0,1,0))</f>
        <v>0</v>
      </c>
      <c r="DR159" s="39" t="n">
        <f aca="false">IF(DR$4=0,0,IF(COUNTIFS(実績!$W$6:$W$505,DR$3,実績!$AI$6:$AI$505,"&lt;="&amp;$A159,実績!$AJ$6:$AJ$505,"&gt;"&amp;$A159,実績!$AK$6:$AK$505,"○")&gt;0,1,0))</f>
        <v>0</v>
      </c>
      <c r="DS159" s="39" t="n">
        <f aca="false">SUM(C159:DR159)</f>
        <v>0</v>
      </c>
      <c r="DT159" s="39" t="n">
        <f aca="false">SUMPRODUCT((実績!$C$6:$C$505="○")*ISNUMBER(実績!$AM$6:$AM$505)*(実績!$AM$6:$AM$505&lt;=$A159)*(実績!$AN$6:$AN$505&gt;$A159))</f>
        <v>0</v>
      </c>
      <c r="DU159" s="39" t="n">
        <f aca="false">SUMIF($C$2:$DR$2,"製鉄曳船",C159:DR159)</f>
        <v>0</v>
      </c>
      <c r="DV159" s="39" t="n">
        <f aca="false">SUMIF($C$2:$DR$2,"西日本海運",C159:DR159)</f>
        <v>0</v>
      </c>
    </row>
    <row r="160" customFormat="false" ht="15" hidden="false" customHeight="false" outlineLevel="0" collapsed="false">
      <c r="A160" s="0" t="n">
        <v>770</v>
      </c>
      <c r="B160" s="38" t="n">
        <f aca="false">A160/1440</f>
        <v>0.534722222222222</v>
      </c>
      <c r="C160" s="39" t="n">
        <f aca="false">IF(C$4=0,0,IF(COUNTIFS(実績!$W$6:$W$505,C$3,実績!$AI$6:$AI$505,"&lt;="&amp;$A160,実績!$AJ$6:$AJ$505,"&gt;"&amp;$A160,実績!$AK$6:$AK$505,"○")&gt;0,1,0))</f>
        <v>0</v>
      </c>
      <c r="D160" s="39" t="n">
        <f aca="false">IF(D$4=0,0,IF(COUNTIFS(実績!$W$6:$W$505,D$3,実績!$AI$6:$AI$505,"&lt;="&amp;$A160,実績!$AJ$6:$AJ$505,"&gt;"&amp;$A160,実績!$AK$6:$AK$505,"○")&gt;0,1,0))</f>
        <v>0</v>
      </c>
      <c r="E160" s="39" t="n">
        <f aca="false">IF(E$4=0,0,IF(COUNTIFS(実績!$W$6:$W$505,E$3,実績!$AI$6:$AI$505,"&lt;="&amp;$A160,実績!$AJ$6:$AJ$505,"&gt;"&amp;$A160,実績!$AK$6:$AK$505,"○")&gt;0,1,0))</f>
        <v>0</v>
      </c>
      <c r="F160" s="39" t="n">
        <f aca="false">IF(F$4=0,0,IF(COUNTIFS(実績!$W$6:$W$505,F$3,実績!$AI$6:$AI$505,"&lt;="&amp;$A160,実績!$AJ$6:$AJ$505,"&gt;"&amp;$A160,実績!$AK$6:$AK$505,"○")&gt;0,1,0))</f>
        <v>0</v>
      </c>
      <c r="G160" s="39" t="n">
        <f aca="false">IF(G$4=0,0,IF(COUNTIFS(実績!$W$6:$W$505,G$3,実績!$AI$6:$AI$505,"&lt;="&amp;$A160,実績!$AJ$6:$AJ$505,"&gt;"&amp;$A160,実績!$AK$6:$AK$505,"○")&gt;0,1,0))</f>
        <v>0</v>
      </c>
      <c r="H160" s="39" t="n">
        <f aca="false">IF(H$4=0,0,IF(COUNTIFS(実績!$W$6:$W$505,H$3,実績!$AI$6:$AI$505,"&lt;="&amp;$A160,実績!$AJ$6:$AJ$505,"&gt;"&amp;$A160,実績!$AK$6:$AK$505,"○")&gt;0,1,0))</f>
        <v>0</v>
      </c>
      <c r="I160" s="39" t="n">
        <f aca="false">IF(I$4=0,0,IF(COUNTIFS(実績!$W$6:$W$505,I$3,実績!$AI$6:$AI$505,"&lt;="&amp;$A160,実績!$AJ$6:$AJ$505,"&gt;"&amp;$A160,実績!$AK$6:$AK$505,"○")&gt;0,1,0))</f>
        <v>0</v>
      </c>
      <c r="J160" s="39" t="n">
        <f aca="false">IF(J$4=0,0,IF(COUNTIFS(実績!$W$6:$W$505,J$3,実績!$AI$6:$AI$505,"&lt;="&amp;$A160,実績!$AJ$6:$AJ$505,"&gt;"&amp;$A160,実績!$AK$6:$AK$505,"○")&gt;0,1,0))</f>
        <v>0</v>
      </c>
      <c r="K160" s="39" t="n">
        <f aca="false">IF(K$4=0,0,IF(COUNTIFS(実績!$W$6:$W$505,K$3,実績!$AI$6:$AI$505,"&lt;="&amp;$A160,実績!$AJ$6:$AJ$505,"&gt;"&amp;$A160,実績!$AK$6:$AK$505,"○")&gt;0,1,0))</f>
        <v>0</v>
      </c>
      <c r="L160" s="39" t="n">
        <f aca="false">IF(L$4=0,0,IF(COUNTIFS(実績!$W$6:$W$505,L$3,実績!$AI$6:$AI$505,"&lt;="&amp;$A160,実績!$AJ$6:$AJ$505,"&gt;"&amp;$A160,実績!$AK$6:$AK$505,"○")&gt;0,1,0))</f>
        <v>0</v>
      </c>
      <c r="M160" s="39" t="n">
        <f aca="false">IF(M$4=0,0,IF(COUNTIFS(実績!$W$6:$W$505,M$3,実績!$AI$6:$AI$505,"&lt;="&amp;$A160,実績!$AJ$6:$AJ$505,"&gt;"&amp;$A160,実績!$AK$6:$AK$505,"○")&gt;0,1,0))</f>
        <v>0</v>
      </c>
      <c r="N160" s="39" t="n">
        <f aca="false">IF(N$4=0,0,IF(COUNTIFS(実績!$W$6:$W$505,N$3,実績!$AI$6:$AI$505,"&lt;="&amp;$A160,実績!$AJ$6:$AJ$505,"&gt;"&amp;$A160,実績!$AK$6:$AK$505,"○")&gt;0,1,0))</f>
        <v>0</v>
      </c>
      <c r="O160" s="39" t="n">
        <f aca="false">IF(O$4=0,0,IF(COUNTIFS(実績!$W$6:$W$505,O$3,実績!$AI$6:$AI$505,"&lt;="&amp;$A160,実績!$AJ$6:$AJ$505,"&gt;"&amp;$A160,実績!$AK$6:$AK$505,"○")&gt;0,1,0))</f>
        <v>0</v>
      </c>
      <c r="P160" s="39" t="n">
        <f aca="false">IF(P$4=0,0,IF(COUNTIFS(実績!$W$6:$W$505,P$3,実績!$AI$6:$AI$505,"&lt;="&amp;$A160,実績!$AJ$6:$AJ$505,"&gt;"&amp;$A160,実績!$AK$6:$AK$505,"○")&gt;0,1,0))</f>
        <v>0</v>
      </c>
      <c r="Q160" s="39" t="n">
        <f aca="false">IF(Q$4=0,0,IF(COUNTIFS(実績!$W$6:$W$505,Q$3,実績!$AI$6:$AI$505,"&lt;="&amp;$A160,実績!$AJ$6:$AJ$505,"&gt;"&amp;$A160,実績!$AK$6:$AK$505,"○")&gt;0,1,0))</f>
        <v>0</v>
      </c>
      <c r="R160" s="39" t="n">
        <f aca="false">IF(R$4=0,0,IF(COUNTIFS(実績!$W$6:$W$505,R$3,実績!$AI$6:$AI$505,"&lt;="&amp;$A160,実績!$AJ$6:$AJ$505,"&gt;"&amp;$A160,実績!$AK$6:$AK$505,"○")&gt;0,1,0))</f>
        <v>0</v>
      </c>
      <c r="S160" s="39" t="n">
        <f aca="false">IF(S$4=0,0,IF(COUNTIFS(実績!$W$6:$W$505,S$3,実績!$AI$6:$AI$505,"&lt;="&amp;$A160,実績!$AJ$6:$AJ$505,"&gt;"&amp;$A160,実績!$AK$6:$AK$505,"○")&gt;0,1,0))</f>
        <v>0</v>
      </c>
      <c r="T160" s="39" t="n">
        <f aca="false">IF(T$4=0,0,IF(COUNTIFS(実績!$W$6:$W$505,T$3,実績!$AI$6:$AI$505,"&lt;="&amp;$A160,実績!$AJ$6:$AJ$505,"&gt;"&amp;$A160,実績!$AK$6:$AK$505,"○")&gt;0,1,0))</f>
        <v>0</v>
      </c>
      <c r="U160" s="39" t="n">
        <f aca="false">IF(U$4=0,0,IF(COUNTIFS(実績!$W$6:$W$505,U$3,実績!$AI$6:$AI$505,"&lt;="&amp;$A160,実績!$AJ$6:$AJ$505,"&gt;"&amp;$A160,実績!$AK$6:$AK$505,"○")&gt;0,1,0))</f>
        <v>0</v>
      </c>
      <c r="V160" s="39" t="n">
        <f aca="false">IF(V$4=0,0,IF(COUNTIFS(実績!$W$6:$W$505,V$3,実績!$AI$6:$AI$505,"&lt;="&amp;$A160,実績!$AJ$6:$AJ$505,"&gt;"&amp;$A160,実績!$AK$6:$AK$505,"○")&gt;0,1,0))</f>
        <v>0</v>
      </c>
      <c r="W160" s="39" t="n">
        <f aca="false">IF(W$4=0,0,IF(COUNTIFS(実績!$W$6:$W$505,W$3,実績!$AI$6:$AI$505,"&lt;="&amp;$A160,実績!$AJ$6:$AJ$505,"&gt;"&amp;$A160,実績!$AK$6:$AK$505,"○")&gt;0,1,0))</f>
        <v>0</v>
      </c>
      <c r="X160" s="39" t="n">
        <f aca="false">IF(X$4=0,0,IF(COUNTIFS(実績!$W$6:$W$505,X$3,実績!$AI$6:$AI$505,"&lt;="&amp;$A160,実績!$AJ$6:$AJ$505,"&gt;"&amp;$A160,実績!$AK$6:$AK$505,"○")&gt;0,1,0))</f>
        <v>0</v>
      </c>
      <c r="Y160" s="39" t="n">
        <f aca="false">IF(Y$4=0,0,IF(COUNTIFS(実績!$W$6:$W$505,Y$3,実績!$AI$6:$AI$505,"&lt;="&amp;$A160,実績!$AJ$6:$AJ$505,"&gt;"&amp;$A160,実績!$AK$6:$AK$505,"○")&gt;0,1,0))</f>
        <v>0</v>
      </c>
      <c r="Z160" s="39" t="n">
        <f aca="false">IF(Z$4=0,0,IF(COUNTIFS(実績!$W$6:$W$505,Z$3,実績!$AI$6:$AI$505,"&lt;="&amp;$A160,実績!$AJ$6:$AJ$505,"&gt;"&amp;$A160,実績!$AK$6:$AK$505,"○")&gt;0,1,0))</f>
        <v>0</v>
      </c>
      <c r="AA160" s="39" t="n">
        <f aca="false">IF(AA$4=0,0,IF(COUNTIFS(実績!$W$6:$W$505,AA$3,実績!$AI$6:$AI$505,"&lt;="&amp;$A160,実績!$AJ$6:$AJ$505,"&gt;"&amp;$A160,実績!$AK$6:$AK$505,"○")&gt;0,1,0))</f>
        <v>0</v>
      </c>
      <c r="AB160" s="39" t="n">
        <f aca="false">IF(AB$4=0,0,IF(COUNTIFS(実績!$W$6:$W$505,AB$3,実績!$AI$6:$AI$505,"&lt;="&amp;$A160,実績!$AJ$6:$AJ$505,"&gt;"&amp;$A160,実績!$AK$6:$AK$505,"○")&gt;0,1,0))</f>
        <v>0</v>
      </c>
      <c r="AC160" s="39" t="n">
        <f aca="false">IF(AC$4=0,0,IF(COUNTIFS(実績!$W$6:$W$505,AC$3,実績!$AI$6:$AI$505,"&lt;="&amp;$A160,実績!$AJ$6:$AJ$505,"&gt;"&amp;$A160,実績!$AK$6:$AK$505,"○")&gt;0,1,0))</f>
        <v>0</v>
      </c>
      <c r="AD160" s="39" t="n">
        <f aca="false">IF(AD$4=0,0,IF(COUNTIFS(実績!$W$6:$W$505,AD$3,実績!$AI$6:$AI$505,"&lt;="&amp;$A160,実績!$AJ$6:$AJ$505,"&gt;"&amp;$A160,実績!$AK$6:$AK$505,"○")&gt;0,1,0))</f>
        <v>0</v>
      </c>
      <c r="AE160" s="39" t="n">
        <f aca="false">IF(AE$4=0,0,IF(COUNTIFS(実績!$W$6:$W$505,AE$3,実績!$AI$6:$AI$505,"&lt;="&amp;$A160,実績!$AJ$6:$AJ$505,"&gt;"&amp;$A160,実績!$AK$6:$AK$505,"○")&gt;0,1,0))</f>
        <v>0</v>
      </c>
      <c r="AF160" s="39" t="n">
        <f aca="false">IF(AF$4=0,0,IF(COUNTIFS(実績!$W$6:$W$505,AF$3,実績!$AI$6:$AI$505,"&lt;="&amp;$A160,実績!$AJ$6:$AJ$505,"&gt;"&amp;$A160,実績!$AK$6:$AK$505,"○")&gt;0,1,0))</f>
        <v>0</v>
      </c>
      <c r="AG160" s="39" t="n">
        <f aca="false">IF(AG$4=0,0,IF(COUNTIFS(実績!$W$6:$W$505,AG$3,実績!$AI$6:$AI$505,"&lt;="&amp;$A160,実績!$AJ$6:$AJ$505,"&gt;"&amp;$A160,実績!$AK$6:$AK$505,"○")&gt;0,1,0))</f>
        <v>0</v>
      </c>
      <c r="AH160" s="39" t="n">
        <f aca="false">IF(AH$4=0,0,IF(COUNTIFS(実績!$W$6:$W$505,AH$3,実績!$AI$6:$AI$505,"&lt;="&amp;$A160,実績!$AJ$6:$AJ$505,"&gt;"&amp;$A160,実績!$AK$6:$AK$505,"○")&gt;0,1,0))</f>
        <v>0</v>
      </c>
      <c r="AI160" s="39" t="n">
        <f aca="false">IF(AI$4=0,0,IF(COUNTIFS(実績!$W$6:$W$505,AI$3,実績!$AI$6:$AI$505,"&lt;="&amp;$A160,実績!$AJ$6:$AJ$505,"&gt;"&amp;$A160,実績!$AK$6:$AK$505,"○")&gt;0,1,0))</f>
        <v>0</v>
      </c>
      <c r="AJ160" s="39" t="n">
        <f aca="false">IF(AJ$4=0,0,IF(COUNTIFS(実績!$W$6:$W$505,AJ$3,実績!$AI$6:$AI$505,"&lt;="&amp;$A160,実績!$AJ$6:$AJ$505,"&gt;"&amp;$A160,実績!$AK$6:$AK$505,"○")&gt;0,1,0))</f>
        <v>0</v>
      </c>
      <c r="AK160" s="39" t="n">
        <f aca="false">IF(AK$4=0,0,IF(COUNTIFS(実績!$W$6:$W$505,AK$3,実績!$AI$6:$AI$505,"&lt;="&amp;$A160,実績!$AJ$6:$AJ$505,"&gt;"&amp;$A160,実績!$AK$6:$AK$505,"○")&gt;0,1,0))</f>
        <v>0</v>
      </c>
      <c r="AL160" s="39" t="n">
        <f aca="false">IF(AL$4=0,0,IF(COUNTIFS(実績!$W$6:$W$505,AL$3,実績!$AI$6:$AI$505,"&lt;="&amp;$A160,実績!$AJ$6:$AJ$505,"&gt;"&amp;$A160,実績!$AK$6:$AK$505,"○")&gt;0,1,0))</f>
        <v>0</v>
      </c>
      <c r="AM160" s="39" t="n">
        <f aca="false">IF(AM$4=0,0,IF(COUNTIFS(実績!$W$6:$W$505,AM$3,実績!$AI$6:$AI$505,"&lt;="&amp;$A160,実績!$AJ$6:$AJ$505,"&gt;"&amp;$A160,実績!$AK$6:$AK$505,"○")&gt;0,1,0))</f>
        <v>0</v>
      </c>
      <c r="AN160" s="39" t="n">
        <f aca="false">IF(AN$4=0,0,IF(COUNTIFS(実績!$W$6:$W$505,AN$3,実績!$AI$6:$AI$505,"&lt;="&amp;$A160,実績!$AJ$6:$AJ$505,"&gt;"&amp;$A160,実績!$AK$6:$AK$505,"○")&gt;0,1,0))</f>
        <v>0</v>
      </c>
      <c r="AO160" s="39" t="n">
        <f aca="false">IF(AO$4=0,0,IF(COUNTIFS(実績!$W$6:$W$505,AO$3,実績!$AI$6:$AI$505,"&lt;="&amp;$A160,実績!$AJ$6:$AJ$505,"&gt;"&amp;$A160,実績!$AK$6:$AK$505,"○")&gt;0,1,0))</f>
        <v>0</v>
      </c>
      <c r="AP160" s="39" t="n">
        <f aca="false">IF(AP$4=0,0,IF(COUNTIFS(実績!$W$6:$W$505,AP$3,実績!$AI$6:$AI$505,"&lt;="&amp;$A160,実績!$AJ$6:$AJ$505,"&gt;"&amp;$A160,実績!$AK$6:$AK$505,"○")&gt;0,1,0))</f>
        <v>0</v>
      </c>
      <c r="AQ160" s="39" t="n">
        <f aca="false">IF(AQ$4=0,0,IF(COUNTIFS(実績!$W$6:$W$505,AQ$3,実績!$AI$6:$AI$505,"&lt;="&amp;$A160,実績!$AJ$6:$AJ$505,"&gt;"&amp;$A160,実績!$AK$6:$AK$505,"○")&gt;0,1,0))</f>
        <v>0</v>
      </c>
      <c r="AR160" s="39" t="n">
        <f aca="false">IF(AR$4=0,0,IF(COUNTIFS(実績!$W$6:$W$505,AR$3,実績!$AI$6:$AI$505,"&lt;="&amp;$A160,実績!$AJ$6:$AJ$505,"&gt;"&amp;$A160,実績!$AK$6:$AK$505,"○")&gt;0,1,0))</f>
        <v>0</v>
      </c>
      <c r="AS160" s="39" t="n">
        <f aca="false">IF(AS$4=0,0,IF(COUNTIFS(実績!$W$6:$W$505,AS$3,実績!$AI$6:$AI$505,"&lt;="&amp;$A160,実績!$AJ$6:$AJ$505,"&gt;"&amp;$A160,実績!$AK$6:$AK$505,"○")&gt;0,1,0))</f>
        <v>0</v>
      </c>
      <c r="AT160" s="39" t="n">
        <f aca="false">IF(AT$4=0,0,IF(COUNTIFS(実績!$W$6:$W$505,AT$3,実績!$AI$6:$AI$505,"&lt;="&amp;$A160,実績!$AJ$6:$AJ$505,"&gt;"&amp;$A160,実績!$AK$6:$AK$505,"○")&gt;0,1,0))</f>
        <v>0</v>
      </c>
      <c r="AU160" s="39" t="n">
        <f aca="false">IF(AU$4=0,0,IF(COUNTIFS(実績!$W$6:$W$505,AU$3,実績!$AI$6:$AI$505,"&lt;="&amp;$A160,実績!$AJ$6:$AJ$505,"&gt;"&amp;$A160,実績!$AK$6:$AK$505,"○")&gt;0,1,0))</f>
        <v>0</v>
      </c>
      <c r="AV160" s="39" t="n">
        <f aca="false">IF(AV$4=0,0,IF(COUNTIFS(実績!$W$6:$W$505,AV$3,実績!$AI$6:$AI$505,"&lt;="&amp;$A160,実績!$AJ$6:$AJ$505,"&gt;"&amp;$A160,実績!$AK$6:$AK$505,"○")&gt;0,1,0))</f>
        <v>0</v>
      </c>
      <c r="AW160" s="39" t="n">
        <f aca="false">IF(AW$4=0,0,IF(COUNTIFS(実績!$W$6:$W$505,AW$3,実績!$AI$6:$AI$505,"&lt;="&amp;$A160,実績!$AJ$6:$AJ$505,"&gt;"&amp;$A160,実績!$AK$6:$AK$505,"○")&gt;0,1,0))</f>
        <v>0</v>
      </c>
      <c r="AX160" s="39" t="n">
        <f aca="false">IF(AX$4=0,0,IF(COUNTIFS(実績!$W$6:$W$505,AX$3,実績!$AI$6:$AI$505,"&lt;="&amp;$A160,実績!$AJ$6:$AJ$505,"&gt;"&amp;$A160,実績!$AK$6:$AK$505,"○")&gt;0,1,0))</f>
        <v>0</v>
      </c>
      <c r="AY160" s="39" t="n">
        <f aca="false">IF(AY$4=0,0,IF(COUNTIFS(実績!$W$6:$W$505,AY$3,実績!$AI$6:$AI$505,"&lt;="&amp;$A160,実績!$AJ$6:$AJ$505,"&gt;"&amp;$A160,実績!$AK$6:$AK$505,"○")&gt;0,1,0))</f>
        <v>0</v>
      </c>
      <c r="AZ160" s="39" t="n">
        <f aca="false">IF(AZ$4=0,0,IF(COUNTIFS(実績!$W$6:$W$505,AZ$3,実績!$AI$6:$AI$505,"&lt;="&amp;$A160,実績!$AJ$6:$AJ$505,"&gt;"&amp;$A160,実績!$AK$6:$AK$505,"○")&gt;0,1,0))</f>
        <v>0</v>
      </c>
      <c r="BA160" s="39" t="n">
        <f aca="false">IF(BA$4=0,0,IF(COUNTIFS(実績!$W$6:$W$505,BA$3,実績!$AI$6:$AI$505,"&lt;="&amp;$A160,実績!$AJ$6:$AJ$505,"&gt;"&amp;$A160,実績!$AK$6:$AK$505,"○")&gt;0,1,0))</f>
        <v>0</v>
      </c>
      <c r="BB160" s="39" t="n">
        <f aca="false">IF(BB$4=0,0,IF(COUNTIFS(実績!$W$6:$W$505,BB$3,実績!$AI$6:$AI$505,"&lt;="&amp;$A160,実績!$AJ$6:$AJ$505,"&gt;"&amp;$A160,実績!$AK$6:$AK$505,"○")&gt;0,1,0))</f>
        <v>0</v>
      </c>
      <c r="BC160" s="39" t="n">
        <f aca="false">IF(BC$4=0,0,IF(COUNTIFS(実績!$W$6:$W$505,BC$3,実績!$AI$6:$AI$505,"&lt;="&amp;$A160,実績!$AJ$6:$AJ$505,"&gt;"&amp;$A160,実績!$AK$6:$AK$505,"○")&gt;0,1,0))</f>
        <v>0</v>
      </c>
      <c r="BD160" s="39" t="n">
        <f aca="false">IF(BD$4=0,0,IF(COUNTIFS(実績!$W$6:$W$505,BD$3,実績!$AI$6:$AI$505,"&lt;="&amp;$A160,実績!$AJ$6:$AJ$505,"&gt;"&amp;$A160,実績!$AK$6:$AK$505,"○")&gt;0,1,0))</f>
        <v>0</v>
      </c>
      <c r="BE160" s="39" t="n">
        <f aca="false">IF(BE$4=0,0,IF(COUNTIFS(実績!$W$6:$W$505,BE$3,実績!$AI$6:$AI$505,"&lt;="&amp;$A160,実績!$AJ$6:$AJ$505,"&gt;"&amp;$A160,実績!$AK$6:$AK$505,"○")&gt;0,1,0))</f>
        <v>0</v>
      </c>
      <c r="BF160" s="39" t="n">
        <f aca="false">IF(BF$4=0,0,IF(COUNTIFS(実績!$W$6:$W$505,BF$3,実績!$AI$6:$AI$505,"&lt;="&amp;$A160,実績!$AJ$6:$AJ$505,"&gt;"&amp;$A160,実績!$AK$6:$AK$505,"○")&gt;0,1,0))</f>
        <v>0</v>
      </c>
      <c r="BG160" s="39" t="n">
        <f aca="false">IF(BG$4=0,0,IF(COUNTIFS(実績!$W$6:$W$505,BG$3,実績!$AI$6:$AI$505,"&lt;="&amp;$A160,実績!$AJ$6:$AJ$505,"&gt;"&amp;$A160,実績!$AK$6:$AK$505,"○")&gt;0,1,0))</f>
        <v>0</v>
      </c>
      <c r="BH160" s="39" t="n">
        <f aca="false">IF(BH$4=0,0,IF(COUNTIFS(実績!$W$6:$W$505,BH$3,実績!$AI$6:$AI$505,"&lt;="&amp;$A160,実績!$AJ$6:$AJ$505,"&gt;"&amp;$A160,実績!$AK$6:$AK$505,"○")&gt;0,1,0))</f>
        <v>0</v>
      </c>
      <c r="BI160" s="39" t="n">
        <f aca="false">IF(BI$4=0,0,IF(COUNTIFS(実績!$W$6:$W$505,BI$3,実績!$AI$6:$AI$505,"&lt;="&amp;$A160,実績!$AJ$6:$AJ$505,"&gt;"&amp;$A160,実績!$AK$6:$AK$505,"○")&gt;0,1,0))</f>
        <v>0</v>
      </c>
      <c r="BJ160" s="39" t="n">
        <f aca="false">IF(BJ$4=0,0,IF(COUNTIFS(実績!$W$6:$W$505,BJ$3,実績!$AI$6:$AI$505,"&lt;="&amp;$A160,実績!$AJ$6:$AJ$505,"&gt;"&amp;$A160,実績!$AK$6:$AK$505,"○")&gt;0,1,0))</f>
        <v>0</v>
      </c>
      <c r="BK160" s="39" t="n">
        <f aca="false">IF(BK$4=0,0,IF(COUNTIFS(実績!$W$6:$W$505,BK$3,実績!$AI$6:$AI$505,"&lt;="&amp;$A160,実績!$AJ$6:$AJ$505,"&gt;"&amp;$A160,実績!$AK$6:$AK$505,"○")&gt;0,1,0))</f>
        <v>0</v>
      </c>
      <c r="BL160" s="39" t="n">
        <f aca="false">IF(BL$4=0,0,IF(COUNTIFS(実績!$W$6:$W$505,BL$3,実績!$AI$6:$AI$505,"&lt;="&amp;$A160,実績!$AJ$6:$AJ$505,"&gt;"&amp;$A160,実績!$AK$6:$AK$505,"○")&gt;0,1,0))</f>
        <v>0</v>
      </c>
      <c r="BM160" s="39" t="n">
        <f aca="false">IF(BM$4=0,0,IF(COUNTIFS(実績!$W$6:$W$505,BM$3,実績!$AI$6:$AI$505,"&lt;="&amp;$A160,実績!$AJ$6:$AJ$505,"&gt;"&amp;$A160,実績!$AK$6:$AK$505,"○")&gt;0,1,0))</f>
        <v>0</v>
      </c>
      <c r="BN160" s="39" t="n">
        <f aca="false">IF(BN$4=0,0,IF(COUNTIFS(実績!$W$6:$W$505,BN$3,実績!$AI$6:$AI$505,"&lt;="&amp;$A160,実績!$AJ$6:$AJ$505,"&gt;"&amp;$A160,実績!$AK$6:$AK$505,"○")&gt;0,1,0))</f>
        <v>0</v>
      </c>
      <c r="BO160" s="39" t="n">
        <f aca="false">IF(BO$4=0,0,IF(COUNTIFS(実績!$W$6:$W$505,BO$3,実績!$AI$6:$AI$505,"&lt;="&amp;$A160,実績!$AJ$6:$AJ$505,"&gt;"&amp;$A160,実績!$AK$6:$AK$505,"○")&gt;0,1,0))</f>
        <v>0</v>
      </c>
      <c r="BP160" s="39" t="n">
        <f aca="false">IF(BP$4=0,0,IF(COUNTIFS(実績!$W$6:$W$505,BP$3,実績!$AI$6:$AI$505,"&lt;="&amp;$A160,実績!$AJ$6:$AJ$505,"&gt;"&amp;$A160,実績!$AK$6:$AK$505,"○")&gt;0,1,0))</f>
        <v>0</v>
      </c>
      <c r="BQ160" s="39" t="n">
        <f aca="false">IF(BQ$4=0,0,IF(COUNTIFS(実績!$W$6:$W$505,BQ$3,実績!$AI$6:$AI$505,"&lt;="&amp;$A160,実績!$AJ$6:$AJ$505,"&gt;"&amp;$A160,実績!$AK$6:$AK$505,"○")&gt;0,1,0))</f>
        <v>0</v>
      </c>
      <c r="BR160" s="39" t="n">
        <f aca="false">IF(BR$4=0,0,IF(COUNTIFS(実績!$W$6:$W$505,BR$3,実績!$AI$6:$AI$505,"&lt;="&amp;$A160,実績!$AJ$6:$AJ$505,"&gt;"&amp;$A160,実績!$AK$6:$AK$505,"○")&gt;0,1,0))</f>
        <v>0</v>
      </c>
      <c r="BS160" s="39" t="n">
        <f aca="false">IF(BS$4=0,0,IF(COUNTIFS(実績!$W$6:$W$505,BS$3,実績!$AI$6:$AI$505,"&lt;="&amp;$A160,実績!$AJ$6:$AJ$505,"&gt;"&amp;$A160,実績!$AK$6:$AK$505,"○")&gt;0,1,0))</f>
        <v>0</v>
      </c>
      <c r="BT160" s="39" t="n">
        <f aca="false">IF(BT$4=0,0,IF(COUNTIFS(実績!$W$6:$W$505,BT$3,実績!$AI$6:$AI$505,"&lt;="&amp;$A160,実績!$AJ$6:$AJ$505,"&gt;"&amp;$A160,実績!$AK$6:$AK$505,"○")&gt;0,1,0))</f>
        <v>0</v>
      </c>
      <c r="BU160" s="39" t="n">
        <f aca="false">IF(BU$4=0,0,IF(COUNTIFS(実績!$W$6:$W$505,BU$3,実績!$AI$6:$AI$505,"&lt;="&amp;$A160,実績!$AJ$6:$AJ$505,"&gt;"&amp;$A160,実績!$AK$6:$AK$505,"○")&gt;0,1,0))</f>
        <v>0</v>
      </c>
      <c r="BV160" s="39" t="n">
        <f aca="false">IF(BV$4=0,0,IF(COUNTIFS(実績!$W$6:$W$505,BV$3,実績!$AI$6:$AI$505,"&lt;="&amp;$A160,実績!$AJ$6:$AJ$505,"&gt;"&amp;$A160,実績!$AK$6:$AK$505,"○")&gt;0,1,0))</f>
        <v>0</v>
      </c>
      <c r="BW160" s="39" t="n">
        <f aca="false">IF(BW$4=0,0,IF(COUNTIFS(実績!$W$6:$W$505,BW$3,実績!$AI$6:$AI$505,"&lt;="&amp;$A160,実績!$AJ$6:$AJ$505,"&gt;"&amp;$A160,実績!$AK$6:$AK$505,"○")&gt;0,1,0))</f>
        <v>0</v>
      </c>
      <c r="BX160" s="39" t="n">
        <f aca="false">IF(BX$4=0,0,IF(COUNTIFS(実績!$W$6:$W$505,BX$3,実績!$AI$6:$AI$505,"&lt;="&amp;$A160,実績!$AJ$6:$AJ$505,"&gt;"&amp;$A160,実績!$AK$6:$AK$505,"○")&gt;0,1,0))</f>
        <v>0</v>
      </c>
      <c r="BY160" s="39" t="n">
        <f aca="false">IF(BY$4=0,0,IF(COUNTIFS(実績!$W$6:$W$505,BY$3,実績!$AI$6:$AI$505,"&lt;="&amp;$A160,実績!$AJ$6:$AJ$505,"&gt;"&amp;$A160,実績!$AK$6:$AK$505,"○")&gt;0,1,0))</f>
        <v>0</v>
      </c>
      <c r="BZ160" s="39" t="n">
        <f aca="false">IF(BZ$4=0,0,IF(COUNTIFS(実績!$W$6:$W$505,BZ$3,実績!$AI$6:$AI$505,"&lt;="&amp;$A160,実績!$AJ$6:$AJ$505,"&gt;"&amp;$A160,実績!$AK$6:$AK$505,"○")&gt;0,1,0))</f>
        <v>0</v>
      </c>
      <c r="CA160" s="39" t="n">
        <f aca="false">IF(CA$4=0,0,IF(COUNTIFS(実績!$W$6:$W$505,CA$3,実績!$AI$6:$AI$505,"&lt;="&amp;$A160,実績!$AJ$6:$AJ$505,"&gt;"&amp;$A160,実績!$AK$6:$AK$505,"○")&gt;0,1,0))</f>
        <v>0</v>
      </c>
      <c r="CB160" s="39" t="n">
        <f aca="false">IF(CB$4=0,0,IF(COUNTIFS(実績!$W$6:$W$505,CB$3,実績!$AI$6:$AI$505,"&lt;="&amp;$A160,実績!$AJ$6:$AJ$505,"&gt;"&amp;$A160,実績!$AK$6:$AK$505,"○")&gt;0,1,0))</f>
        <v>0</v>
      </c>
      <c r="CC160" s="39" t="n">
        <f aca="false">IF(CC$4=0,0,IF(COUNTIFS(実績!$W$6:$W$505,CC$3,実績!$AI$6:$AI$505,"&lt;="&amp;$A160,実績!$AJ$6:$AJ$505,"&gt;"&amp;$A160,実績!$AK$6:$AK$505,"○")&gt;0,1,0))</f>
        <v>0</v>
      </c>
      <c r="CD160" s="39" t="n">
        <f aca="false">IF(CD$4=0,0,IF(COUNTIFS(実績!$W$6:$W$505,CD$3,実績!$AI$6:$AI$505,"&lt;="&amp;$A160,実績!$AJ$6:$AJ$505,"&gt;"&amp;$A160,実績!$AK$6:$AK$505,"○")&gt;0,1,0))</f>
        <v>0</v>
      </c>
      <c r="CE160" s="39" t="n">
        <f aca="false">IF(CE$4=0,0,IF(COUNTIFS(実績!$W$6:$W$505,CE$3,実績!$AI$6:$AI$505,"&lt;="&amp;$A160,実績!$AJ$6:$AJ$505,"&gt;"&amp;$A160,実績!$AK$6:$AK$505,"○")&gt;0,1,0))</f>
        <v>0</v>
      </c>
      <c r="CF160" s="39" t="n">
        <f aca="false">IF(CF$4=0,0,IF(COUNTIFS(実績!$W$6:$W$505,CF$3,実績!$AI$6:$AI$505,"&lt;="&amp;$A160,実績!$AJ$6:$AJ$505,"&gt;"&amp;$A160,実績!$AK$6:$AK$505,"○")&gt;0,1,0))</f>
        <v>0</v>
      </c>
      <c r="CG160" s="39" t="n">
        <f aca="false">IF(CG$4=0,0,IF(COUNTIFS(実績!$W$6:$W$505,CG$3,実績!$AI$6:$AI$505,"&lt;="&amp;$A160,実績!$AJ$6:$AJ$505,"&gt;"&amp;$A160,実績!$AK$6:$AK$505,"○")&gt;0,1,0))</f>
        <v>0</v>
      </c>
      <c r="CH160" s="39" t="n">
        <f aca="false">IF(CH$4=0,0,IF(COUNTIFS(実績!$W$6:$W$505,CH$3,実績!$AI$6:$AI$505,"&lt;="&amp;$A160,実績!$AJ$6:$AJ$505,"&gt;"&amp;$A160,実績!$AK$6:$AK$505,"○")&gt;0,1,0))</f>
        <v>0</v>
      </c>
      <c r="CI160" s="39" t="n">
        <f aca="false">IF(CI$4=0,0,IF(COUNTIFS(実績!$W$6:$W$505,CI$3,実績!$AI$6:$AI$505,"&lt;="&amp;$A160,実績!$AJ$6:$AJ$505,"&gt;"&amp;$A160,実績!$AK$6:$AK$505,"○")&gt;0,1,0))</f>
        <v>0</v>
      </c>
      <c r="CJ160" s="39" t="n">
        <f aca="false">IF(CJ$4=0,0,IF(COUNTIFS(実績!$W$6:$W$505,CJ$3,実績!$AI$6:$AI$505,"&lt;="&amp;$A160,実績!$AJ$6:$AJ$505,"&gt;"&amp;$A160,実績!$AK$6:$AK$505,"○")&gt;0,1,0))</f>
        <v>0</v>
      </c>
      <c r="CK160" s="39" t="n">
        <f aca="false">IF(CK$4=0,0,IF(COUNTIFS(実績!$W$6:$W$505,CK$3,実績!$AI$6:$AI$505,"&lt;="&amp;$A160,実績!$AJ$6:$AJ$505,"&gt;"&amp;$A160,実績!$AK$6:$AK$505,"○")&gt;0,1,0))</f>
        <v>0</v>
      </c>
      <c r="CL160" s="39" t="n">
        <f aca="false">IF(CL$4=0,0,IF(COUNTIFS(実績!$W$6:$W$505,CL$3,実績!$AI$6:$AI$505,"&lt;="&amp;$A160,実績!$AJ$6:$AJ$505,"&gt;"&amp;$A160,実績!$AK$6:$AK$505,"○")&gt;0,1,0))</f>
        <v>0</v>
      </c>
      <c r="CM160" s="39" t="n">
        <f aca="false">IF(CM$4=0,0,IF(COUNTIFS(実績!$W$6:$W$505,CM$3,実績!$AI$6:$AI$505,"&lt;="&amp;$A160,実績!$AJ$6:$AJ$505,"&gt;"&amp;$A160,実績!$AK$6:$AK$505,"○")&gt;0,1,0))</f>
        <v>0</v>
      </c>
      <c r="CN160" s="39" t="n">
        <f aca="false">IF(CN$4=0,0,IF(COUNTIFS(実績!$W$6:$W$505,CN$3,実績!$AI$6:$AI$505,"&lt;="&amp;$A160,実績!$AJ$6:$AJ$505,"&gt;"&amp;$A160,実績!$AK$6:$AK$505,"○")&gt;0,1,0))</f>
        <v>0</v>
      </c>
      <c r="CO160" s="39" t="n">
        <f aca="false">IF(CO$4=0,0,IF(COUNTIFS(実績!$W$6:$W$505,CO$3,実績!$AI$6:$AI$505,"&lt;="&amp;$A160,実績!$AJ$6:$AJ$505,"&gt;"&amp;$A160,実績!$AK$6:$AK$505,"○")&gt;0,1,0))</f>
        <v>0</v>
      </c>
      <c r="CP160" s="39" t="n">
        <f aca="false">IF(CP$4=0,0,IF(COUNTIFS(実績!$W$6:$W$505,CP$3,実績!$AI$6:$AI$505,"&lt;="&amp;$A160,実績!$AJ$6:$AJ$505,"&gt;"&amp;$A160,実績!$AK$6:$AK$505,"○")&gt;0,1,0))</f>
        <v>0</v>
      </c>
      <c r="CQ160" s="39" t="n">
        <f aca="false">IF(CQ$4=0,0,IF(COUNTIFS(実績!$W$6:$W$505,CQ$3,実績!$AI$6:$AI$505,"&lt;="&amp;$A160,実績!$AJ$6:$AJ$505,"&gt;"&amp;$A160,実績!$AK$6:$AK$505,"○")&gt;0,1,0))</f>
        <v>0</v>
      </c>
      <c r="CR160" s="39" t="n">
        <f aca="false">IF(CR$4=0,0,IF(COUNTIFS(実績!$W$6:$W$505,CR$3,実績!$AI$6:$AI$505,"&lt;="&amp;$A160,実績!$AJ$6:$AJ$505,"&gt;"&amp;$A160,実績!$AK$6:$AK$505,"○")&gt;0,1,0))</f>
        <v>0</v>
      </c>
      <c r="CS160" s="39" t="n">
        <f aca="false">IF(CS$4=0,0,IF(COUNTIFS(実績!$W$6:$W$505,CS$3,実績!$AI$6:$AI$505,"&lt;="&amp;$A160,実績!$AJ$6:$AJ$505,"&gt;"&amp;$A160,実績!$AK$6:$AK$505,"○")&gt;0,1,0))</f>
        <v>0</v>
      </c>
      <c r="CT160" s="39" t="n">
        <f aca="false">IF(CT$4=0,0,IF(COUNTIFS(実績!$W$6:$W$505,CT$3,実績!$AI$6:$AI$505,"&lt;="&amp;$A160,実績!$AJ$6:$AJ$505,"&gt;"&amp;$A160,実績!$AK$6:$AK$505,"○")&gt;0,1,0))</f>
        <v>0</v>
      </c>
      <c r="CU160" s="39" t="n">
        <f aca="false">IF(CU$4=0,0,IF(COUNTIFS(実績!$W$6:$W$505,CU$3,実績!$AI$6:$AI$505,"&lt;="&amp;$A160,実績!$AJ$6:$AJ$505,"&gt;"&amp;$A160,実績!$AK$6:$AK$505,"○")&gt;0,1,0))</f>
        <v>0</v>
      </c>
      <c r="CV160" s="39" t="n">
        <f aca="false">IF(CV$4=0,0,IF(COUNTIFS(実績!$W$6:$W$505,CV$3,実績!$AI$6:$AI$505,"&lt;="&amp;$A160,実績!$AJ$6:$AJ$505,"&gt;"&amp;$A160,実績!$AK$6:$AK$505,"○")&gt;0,1,0))</f>
        <v>0</v>
      </c>
      <c r="CW160" s="39" t="n">
        <f aca="false">IF(CW$4=0,0,IF(COUNTIFS(実績!$W$6:$W$505,CW$3,実績!$AI$6:$AI$505,"&lt;="&amp;$A160,実績!$AJ$6:$AJ$505,"&gt;"&amp;$A160,実績!$AK$6:$AK$505,"○")&gt;0,1,0))</f>
        <v>0</v>
      </c>
      <c r="CX160" s="39" t="n">
        <f aca="false">IF(CX$4=0,0,IF(COUNTIFS(実績!$W$6:$W$505,CX$3,実績!$AI$6:$AI$505,"&lt;="&amp;$A160,実績!$AJ$6:$AJ$505,"&gt;"&amp;$A160,実績!$AK$6:$AK$505,"○")&gt;0,1,0))</f>
        <v>0</v>
      </c>
      <c r="CY160" s="39" t="n">
        <f aca="false">IF(CY$4=0,0,IF(COUNTIFS(実績!$W$6:$W$505,CY$3,実績!$AI$6:$AI$505,"&lt;="&amp;$A160,実績!$AJ$6:$AJ$505,"&gt;"&amp;$A160,実績!$AK$6:$AK$505,"○")&gt;0,1,0))</f>
        <v>0</v>
      </c>
      <c r="CZ160" s="39" t="n">
        <f aca="false">IF(CZ$4=0,0,IF(COUNTIFS(実績!$W$6:$W$505,CZ$3,実績!$AI$6:$AI$505,"&lt;="&amp;$A160,実績!$AJ$6:$AJ$505,"&gt;"&amp;$A160,実績!$AK$6:$AK$505,"○")&gt;0,1,0))</f>
        <v>0</v>
      </c>
      <c r="DA160" s="39" t="n">
        <f aca="false">IF(DA$4=0,0,IF(COUNTIFS(実績!$W$6:$W$505,DA$3,実績!$AI$6:$AI$505,"&lt;="&amp;$A160,実績!$AJ$6:$AJ$505,"&gt;"&amp;$A160,実績!$AK$6:$AK$505,"○")&gt;0,1,0))</f>
        <v>0</v>
      </c>
      <c r="DB160" s="39" t="n">
        <f aca="false">IF(DB$4=0,0,IF(COUNTIFS(実績!$W$6:$W$505,DB$3,実績!$AI$6:$AI$505,"&lt;="&amp;$A160,実績!$AJ$6:$AJ$505,"&gt;"&amp;$A160,実績!$AK$6:$AK$505,"○")&gt;0,1,0))</f>
        <v>0</v>
      </c>
      <c r="DC160" s="39" t="n">
        <f aca="false">IF(DC$4=0,0,IF(COUNTIFS(実績!$W$6:$W$505,DC$3,実績!$AI$6:$AI$505,"&lt;="&amp;$A160,実績!$AJ$6:$AJ$505,"&gt;"&amp;$A160,実績!$AK$6:$AK$505,"○")&gt;0,1,0))</f>
        <v>0</v>
      </c>
      <c r="DD160" s="39" t="n">
        <f aca="false">IF(DD$4=0,0,IF(COUNTIFS(実績!$W$6:$W$505,DD$3,実績!$AI$6:$AI$505,"&lt;="&amp;$A160,実績!$AJ$6:$AJ$505,"&gt;"&amp;$A160,実績!$AK$6:$AK$505,"○")&gt;0,1,0))</f>
        <v>0</v>
      </c>
      <c r="DE160" s="39" t="n">
        <f aca="false">IF(DE$4=0,0,IF(COUNTIFS(実績!$W$6:$W$505,DE$3,実績!$AI$6:$AI$505,"&lt;="&amp;$A160,実績!$AJ$6:$AJ$505,"&gt;"&amp;$A160,実績!$AK$6:$AK$505,"○")&gt;0,1,0))</f>
        <v>0</v>
      </c>
      <c r="DF160" s="39" t="n">
        <f aca="false">IF(DF$4=0,0,IF(COUNTIFS(実績!$W$6:$W$505,DF$3,実績!$AI$6:$AI$505,"&lt;="&amp;$A160,実績!$AJ$6:$AJ$505,"&gt;"&amp;$A160,実績!$AK$6:$AK$505,"○")&gt;0,1,0))</f>
        <v>0</v>
      </c>
      <c r="DG160" s="39" t="n">
        <f aca="false">IF(DG$4=0,0,IF(COUNTIFS(実績!$W$6:$W$505,DG$3,実績!$AI$6:$AI$505,"&lt;="&amp;$A160,実績!$AJ$6:$AJ$505,"&gt;"&amp;$A160,実績!$AK$6:$AK$505,"○")&gt;0,1,0))</f>
        <v>0</v>
      </c>
      <c r="DH160" s="39" t="n">
        <f aca="false">IF(DH$4=0,0,IF(COUNTIFS(実績!$W$6:$W$505,DH$3,実績!$AI$6:$AI$505,"&lt;="&amp;$A160,実績!$AJ$6:$AJ$505,"&gt;"&amp;$A160,実績!$AK$6:$AK$505,"○")&gt;0,1,0))</f>
        <v>0</v>
      </c>
      <c r="DI160" s="39" t="n">
        <f aca="false">IF(DI$4=0,0,IF(COUNTIFS(実績!$W$6:$W$505,DI$3,実績!$AI$6:$AI$505,"&lt;="&amp;$A160,実績!$AJ$6:$AJ$505,"&gt;"&amp;$A160,実績!$AK$6:$AK$505,"○")&gt;0,1,0))</f>
        <v>0</v>
      </c>
      <c r="DJ160" s="39" t="n">
        <f aca="false">IF(DJ$4=0,0,IF(COUNTIFS(実績!$W$6:$W$505,DJ$3,実績!$AI$6:$AI$505,"&lt;="&amp;$A160,実績!$AJ$6:$AJ$505,"&gt;"&amp;$A160,実績!$AK$6:$AK$505,"○")&gt;0,1,0))</f>
        <v>0</v>
      </c>
      <c r="DK160" s="39" t="n">
        <f aca="false">IF(DK$4=0,0,IF(COUNTIFS(実績!$W$6:$W$505,DK$3,実績!$AI$6:$AI$505,"&lt;="&amp;$A160,実績!$AJ$6:$AJ$505,"&gt;"&amp;$A160,実績!$AK$6:$AK$505,"○")&gt;0,1,0))</f>
        <v>0</v>
      </c>
      <c r="DL160" s="39" t="n">
        <f aca="false">IF(DL$4=0,0,IF(COUNTIFS(実績!$W$6:$W$505,DL$3,実績!$AI$6:$AI$505,"&lt;="&amp;$A160,実績!$AJ$6:$AJ$505,"&gt;"&amp;$A160,実績!$AK$6:$AK$505,"○")&gt;0,1,0))</f>
        <v>0</v>
      </c>
      <c r="DM160" s="39" t="n">
        <f aca="false">IF(DM$4=0,0,IF(COUNTIFS(実績!$W$6:$W$505,DM$3,実績!$AI$6:$AI$505,"&lt;="&amp;$A160,実績!$AJ$6:$AJ$505,"&gt;"&amp;$A160,実績!$AK$6:$AK$505,"○")&gt;0,1,0))</f>
        <v>0</v>
      </c>
      <c r="DN160" s="39" t="n">
        <f aca="false">IF(DN$4=0,0,IF(COUNTIFS(実績!$W$6:$W$505,DN$3,実績!$AI$6:$AI$505,"&lt;="&amp;$A160,実績!$AJ$6:$AJ$505,"&gt;"&amp;$A160,実績!$AK$6:$AK$505,"○")&gt;0,1,0))</f>
        <v>0</v>
      </c>
      <c r="DO160" s="39" t="n">
        <f aca="false">IF(DO$4=0,0,IF(COUNTIFS(実績!$W$6:$W$505,DO$3,実績!$AI$6:$AI$505,"&lt;="&amp;$A160,実績!$AJ$6:$AJ$505,"&gt;"&amp;$A160,実績!$AK$6:$AK$505,"○")&gt;0,1,0))</f>
        <v>0</v>
      </c>
      <c r="DP160" s="39" t="n">
        <f aca="false">IF(DP$4=0,0,IF(COUNTIFS(実績!$W$6:$W$505,DP$3,実績!$AI$6:$AI$505,"&lt;="&amp;$A160,実績!$AJ$6:$AJ$505,"&gt;"&amp;$A160,実績!$AK$6:$AK$505,"○")&gt;0,1,0))</f>
        <v>0</v>
      </c>
      <c r="DQ160" s="39" t="n">
        <f aca="false">IF(DQ$4=0,0,IF(COUNTIFS(実績!$W$6:$W$505,DQ$3,実績!$AI$6:$AI$505,"&lt;="&amp;$A160,実績!$AJ$6:$AJ$505,"&gt;"&amp;$A160,実績!$AK$6:$AK$505,"○")&gt;0,1,0))</f>
        <v>0</v>
      </c>
      <c r="DR160" s="39" t="n">
        <f aca="false">IF(DR$4=0,0,IF(COUNTIFS(実績!$W$6:$W$505,DR$3,実績!$AI$6:$AI$505,"&lt;="&amp;$A160,実績!$AJ$6:$AJ$505,"&gt;"&amp;$A160,実績!$AK$6:$AK$505,"○")&gt;0,1,0))</f>
        <v>0</v>
      </c>
      <c r="DS160" s="39" t="n">
        <f aca="false">SUM(C160:DR160)</f>
        <v>0</v>
      </c>
      <c r="DT160" s="39" t="n">
        <f aca="false">SUMPRODUCT((実績!$C$6:$C$505="○")*ISNUMBER(実績!$AM$6:$AM$505)*(実績!$AM$6:$AM$505&lt;=$A160)*(実績!$AN$6:$AN$505&gt;$A160))</f>
        <v>0</v>
      </c>
      <c r="DU160" s="39" t="n">
        <f aca="false">SUMIF($C$2:$DR$2,"製鉄曳船",C160:DR160)</f>
        <v>0</v>
      </c>
      <c r="DV160" s="39" t="n">
        <f aca="false">SUMIF($C$2:$DR$2,"西日本海運",C160:DR160)</f>
        <v>0</v>
      </c>
    </row>
    <row r="161" customFormat="false" ht="15" hidden="false" customHeight="false" outlineLevel="0" collapsed="false">
      <c r="A161" s="0" t="n">
        <v>775</v>
      </c>
      <c r="B161" s="38" t="n">
        <f aca="false">A161/1440</f>
        <v>0.538194444444444</v>
      </c>
      <c r="C161" s="39" t="n">
        <f aca="false">IF(C$4=0,0,IF(COUNTIFS(実績!$W$6:$W$505,C$3,実績!$AI$6:$AI$505,"&lt;="&amp;$A161,実績!$AJ$6:$AJ$505,"&gt;"&amp;$A161,実績!$AK$6:$AK$505,"○")&gt;0,1,0))</f>
        <v>0</v>
      </c>
      <c r="D161" s="39" t="n">
        <f aca="false">IF(D$4=0,0,IF(COUNTIFS(実績!$W$6:$W$505,D$3,実績!$AI$6:$AI$505,"&lt;="&amp;$A161,実績!$AJ$6:$AJ$505,"&gt;"&amp;$A161,実績!$AK$6:$AK$505,"○")&gt;0,1,0))</f>
        <v>0</v>
      </c>
      <c r="E161" s="39" t="n">
        <f aca="false">IF(E$4=0,0,IF(COUNTIFS(実績!$W$6:$W$505,E$3,実績!$AI$6:$AI$505,"&lt;="&amp;$A161,実績!$AJ$6:$AJ$505,"&gt;"&amp;$A161,実績!$AK$6:$AK$505,"○")&gt;0,1,0))</f>
        <v>0</v>
      </c>
      <c r="F161" s="39" t="n">
        <f aca="false">IF(F$4=0,0,IF(COUNTIFS(実績!$W$6:$W$505,F$3,実績!$AI$6:$AI$505,"&lt;="&amp;$A161,実績!$AJ$6:$AJ$505,"&gt;"&amp;$A161,実績!$AK$6:$AK$505,"○")&gt;0,1,0))</f>
        <v>0</v>
      </c>
      <c r="G161" s="39" t="n">
        <f aca="false">IF(G$4=0,0,IF(COUNTIFS(実績!$W$6:$W$505,G$3,実績!$AI$6:$AI$505,"&lt;="&amp;$A161,実績!$AJ$6:$AJ$505,"&gt;"&amp;$A161,実績!$AK$6:$AK$505,"○")&gt;0,1,0))</f>
        <v>0</v>
      </c>
      <c r="H161" s="39" t="n">
        <f aca="false">IF(H$4=0,0,IF(COUNTIFS(実績!$W$6:$W$505,H$3,実績!$AI$6:$AI$505,"&lt;="&amp;$A161,実績!$AJ$6:$AJ$505,"&gt;"&amp;$A161,実績!$AK$6:$AK$505,"○")&gt;0,1,0))</f>
        <v>0</v>
      </c>
      <c r="I161" s="39" t="n">
        <f aca="false">IF(I$4=0,0,IF(COUNTIFS(実績!$W$6:$W$505,I$3,実績!$AI$6:$AI$505,"&lt;="&amp;$A161,実績!$AJ$6:$AJ$505,"&gt;"&amp;$A161,実績!$AK$6:$AK$505,"○")&gt;0,1,0))</f>
        <v>0</v>
      </c>
      <c r="J161" s="39" t="n">
        <f aca="false">IF(J$4=0,0,IF(COUNTIFS(実績!$W$6:$W$505,J$3,実績!$AI$6:$AI$505,"&lt;="&amp;$A161,実績!$AJ$6:$AJ$505,"&gt;"&amp;$A161,実績!$AK$6:$AK$505,"○")&gt;0,1,0))</f>
        <v>0</v>
      </c>
      <c r="K161" s="39" t="n">
        <f aca="false">IF(K$4=0,0,IF(COUNTIFS(実績!$W$6:$W$505,K$3,実績!$AI$6:$AI$505,"&lt;="&amp;$A161,実績!$AJ$6:$AJ$505,"&gt;"&amp;$A161,実績!$AK$6:$AK$505,"○")&gt;0,1,0))</f>
        <v>0</v>
      </c>
      <c r="L161" s="39" t="n">
        <f aca="false">IF(L$4=0,0,IF(COUNTIFS(実績!$W$6:$W$505,L$3,実績!$AI$6:$AI$505,"&lt;="&amp;$A161,実績!$AJ$6:$AJ$505,"&gt;"&amp;$A161,実績!$AK$6:$AK$505,"○")&gt;0,1,0))</f>
        <v>0</v>
      </c>
      <c r="M161" s="39" t="n">
        <f aca="false">IF(M$4=0,0,IF(COUNTIFS(実績!$W$6:$W$505,M$3,実績!$AI$6:$AI$505,"&lt;="&amp;$A161,実績!$AJ$6:$AJ$505,"&gt;"&amp;$A161,実績!$AK$6:$AK$505,"○")&gt;0,1,0))</f>
        <v>0</v>
      </c>
      <c r="N161" s="39" t="n">
        <f aca="false">IF(N$4=0,0,IF(COUNTIFS(実績!$W$6:$W$505,N$3,実績!$AI$6:$AI$505,"&lt;="&amp;$A161,実績!$AJ$6:$AJ$505,"&gt;"&amp;$A161,実績!$AK$6:$AK$505,"○")&gt;0,1,0))</f>
        <v>0</v>
      </c>
      <c r="O161" s="39" t="n">
        <f aca="false">IF(O$4=0,0,IF(COUNTIFS(実績!$W$6:$W$505,O$3,実績!$AI$6:$AI$505,"&lt;="&amp;$A161,実績!$AJ$6:$AJ$505,"&gt;"&amp;$A161,実績!$AK$6:$AK$505,"○")&gt;0,1,0))</f>
        <v>0</v>
      </c>
      <c r="P161" s="39" t="n">
        <f aca="false">IF(P$4=0,0,IF(COUNTIFS(実績!$W$6:$W$505,P$3,実績!$AI$6:$AI$505,"&lt;="&amp;$A161,実績!$AJ$6:$AJ$505,"&gt;"&amp;$A161,実績!$AK$6:$AK$505,"○")&gt;0,1,0))</f>
        <v>0</v>
      </c>
      <c r="Q161" s="39" t="n">
        <f aca="false">IF(Q$4=0,0,IF(COUNTIFS(実績!$W$6:$W$505,Q$3,実績!$AI$6:$AI$505,"&lt;="&amp;$A161,実績!$AJ$6:$AJ$505,"&gt;"&amp;$A161,実績!$AK$6:$AK$505,"○")&gt;0,1,0))</f>
        <v>0</v>
      </c>
      <c r="R161" s="39" t="n">
        <f aca="false">IF(R$4=0,0,IF(COUNTIFS(実績!$W$6:$W$505,R$3,実績!$AI$6:$AI$505,"&lt;="&amp;$A161,実績!$AJ$6:$AJ$505,"&gt;"&amp;$A161,実績!$AK$6:$AK$505,"○")&gt;0,1,0))</f>
        <v>0</v>
      </c>
      <c r="S161" s="39" t="n">
        <f aca="false">IF(S$4=0,0,IF(COUNTIFS(実績!$W$6:$W$505,S$3,実績!$AI$6:$AI$505,"&lt;="&amp;$A161,実績!$AJ$6:$AJ$505,"&gt;"&amp;$A161,実績!$AK$6:$AK$505,"○")&gt;0,1,0))</f>
        <v>0</v>
      </c>
      <c r="T161" s="39" t="n">
        <f aca="false">IF(T$4=0,0,IF(COUNTIFS(実績!$W$6:$W$505,T$3,実績!$AI$6:$AI$505,"&lt;="&amp;$A161,実績!$AJ$6:$AJ$505,"&gt;"&amp;$A161,実績!$AK$6:$AK$505,"○")&gt;0,1,0))</f>
        <v>0</v>
      </c>
      <c r="U161" s="39" t="n">
        <f aca="false">IF(U$4=0,0,IF(COUNTIFS(実績!$W$6:$W$505,U$3,実績!$AI$6:$AI$505,"&lt;="&amp;$A161,実績!$AJ$6:$AJ$505,"&gt;"&amp;$A161,実績!$AK$6:$AK$505,"○")&gt;0,1,0))</f>
        <v>0</v>
      </c>
      <c r="V161" s="39" t="n">
        <f aca="false">IF(V$4=0,0,IF(COUNTIFS(実績!$W$6:$W$505,V$3,実績!$AI$6:$AI$505,"&lt;="&amp;$A161,実績!$AJ$6:$AJ$505,"&gt;"&amp;$A161,実績!$AK$6:$AK$505,"○")&gt;0,1,0))</f>
        <v>0</v>
      </c>
      <c r="W161" s="39" t="n">
        <f aca="false">IF(W$4=0,0,IF(COUNTIFS(実績!$W$6:$W$505,W$3,実績!$AI$6:$AI$505,"&lt;="&amp;$A161,実績!$AJ$6:$AJ$505,"&gt;"&amp;$A161,実績!$AK$6:$AK$505,"○")&gt;0,1,0))</f>
        <v>0</v>
      </c>
      <c r="X161" s="39" t="n">
        <f aca="false">IF(X$4=0,0,IF(COUNTIFS(実績!$W$6:$W$505,X$3,実績!$AI$6:$AI$505,"&lt;="&amp;$A161,実績!$AJ$6:$AJ$505,"&gt;"&amp;$A161,実績!$AK$6:$AK$505,"○")&gt;0,1,0))</f>
        <v>0</v>
      </c>
      <c r="Y161" s="39" t="n">
        <f aca="false">IF(Y$4=0,0,IF(COUNTIFS(実績!$W$6:$W$505,Y$3,実績!$AI$6:$AI$505,"&lt;="&amp;$A161,実績!$AJ$6:$AJ$505,"&gt;"&amp;$A161,実績!$AK$6:$AK$505,"○")&gt;0,1,0))</f>
        <v>0</v>
      </c>
      <c r="Z161" s="39" t="n">
        <f aca="false">IF(Z$4=0,0,IF(COUNTIFS(実績!$W$6:$W$505,Z$3,実績!$AI$6:$AI$505,"&lt;="&amp;$A161,実績!$AJ$6:$AJ$505,"&gt;"&amp;$A161,実績!$AK$6:$AK$505,"○")&gt;0,1,0))</f>
        <v>0</v>
      </c>
      <c r="AA161" s="39" t="n">
        <f aca="false">IF(AA$4=0,0,IF(COUNTIFS(実績!$W$6:$W$505,AA$3,実績!$AI$6:$AI$505,"&lt;="&amp;$A161,実績!$AJ$6:$AJ$505,"&gt;"&amp;$A161,実績!$AK$6:$AK$505,"○")&gt;0,1,0))</f>
        <v>0</v>
      </c>
      <c r="AB161" s="39" t="n">
        <f aca="false">IF(AB$4=0,0,IF(COUNTIFS(実績!$W$6:$W$505,AB$3,実績!$AI$6:$AI$505,"&lt;="&amp;$A161,実績!$AJ$6:$AJ$505,"&gt;"&amp;$A161,実績!$AK$6:$AK$505,"○")&gt;0,1,0))</f>
        <v>0</v>
      </c>
      <c r="AC161" s="39" t="n">
        <f aca="false">IF(AC$4=0,0,IF(COUNTIFS(実績!$W$6:$W$505,AC$3,実績!$AI$6:$AI$505,"&lt;="&amp;$A161,実績!$AJ$6:$AJ$505,"&gt;"&amp;$A161,実績!$AK$6:$AK$505,"○")&gt;0,1,0))</f>
        <v>0</v>
      </c>
      <c r="AD161" s="39" t="n">
        <f aca="false">IF(AD$4=0,0,IF(COUNTIFS(実績!$W$6:$W$505,AD$3,実績!$AI$6:$AI$505,"&lt;="&amp;$A161,実績!$AJ$6:$AJ$505,"&gt;"&amp;$A161,実績!$AK$6:$AK$505,"○")&gt;0,1,0))</f>
        <v>0</v>
      </c>
      <c r="AE161" s="39" t="n">
        <f aca="false">IF(AE$4=0,0,IF(COUNTIFS(実績!$W$6:$W$505,AE$3,実績!$AI$6:$AI$505,"&lt;="&amp;$A161,実績!$AJ$6:$AJ$505,"&gt;"&amp;$A161,実績!$AK$6:$AK$505,"○")&gt;0,1,0))</f>
        <v>0</v>
      </c>
      <c r="AF161" s="39" t="n">
        <f aca="false">IF(AF$4=0,0,IF(COUNTIFS(実績!$W$6:$W$505,AF$3,実績!$AI$6:$AI$505,"&lt;="&amp;$A161,実績!$AJ$6:$AJ$505,"&gt;"&amp;$A161,実績!$AK$6:$AK$505,"○")&gt;0,1,0))</f>
        <v>0</v>
      </c>
      <c r="AG161" s="39" t="n">
        <f aca="false">IF(AG$4=0,0,IF(COUNTIFS(実績!$W$6:$W$505,AG$3,実績!$AI$6:$AI$505,"&lt;="&amp;$A161,実績!$AJ$6:$AJ$505,"&gt;"&amp;$A161,実績!$AK$6:$AK$505,"○")&gt;0,1,0))</f>
        <v>0</v>
      </c>
      <c r="AH161" s="39" t="n">
        <f aca="false">IF(AH$4=0,0,IF(COUNTIFS(実績!$W$6:$W$505,AH$3,実績!$AI$6:$AI$505,"&lt;="&amp;$A161,実績!$AJ$6:$AJ$505,"&gt;"&amp;$A161,実績!$AK$6:$AK$505,"○")&gt;0,1,0))</f>
        <v>0</v>
      </c>
      <c r="AI161" s="39" t="n">
        <f aca="false">IF(AI$4=0,0,IF(COUNTIFS(実績!$W$6:$W$505,AI$3,実績!$AI$6:$AI$505,"&lt;="&amp;$A161,実績!$AJ$6:$AJ$505,"&gt;"&amp;$A161,実績!$AK$6:$AK$505,"○")&gt;0,1,0))</f>
        <v>0</v>
      </c>
      <c r="AJ161" s="39" t="n">
        <f aca="false">IF(AJ$4=0,0,IF(COUNTIFS(実績!$W$6:$W$505,AJ$3,実績!$AI$6:$AI$505,"&lt;="&amp;$A161,実績!$AJ$6:$AJ$505,"&gt;"&amp;$A161,実績!$AK$6:$AK$505,"○")&gt;0,1,0))</f>
        <v>0</v>
      </c>
      <c r="AK161" s="39" t="n">
        <f aca="false">IF(AK$4=0,0,IF(COUNTIFS(実績!$W$6:$W$505,AK$3,実績!$AI$6:$AI$505,"&lt;="&amp;$A161,実績!$AJ$6:$AJ$505,"&gt;"&amp;$A161,実績!$AK$6:$AK$505,"○")&gt;0,1,0))</f>
        <v>0</v>
      </c>
      <c r="AL161" s="39" t="n">
        <f aca="false">IF(AL$4=0,0,IF(COUNTIFS(実績!$W$6:$W$505,AL$3,実績!$AI$6:$AI$505,"&lt;="&amp;$A161,実績!$AJ$6:$AJ$505,"&gt;"&amp;$A161,実績!$AK$6:$AK$505,"○")&gt;0,1,0))</f>
        <v>0</v>
      </c>
      <c r="AM161" s="39" t="n">
        <f aca="false">IF(AM$4=0,0,IF(COUNTIFS(実績!$W$6:$W$505,AM$3,実績!$AI$6:$AI$505,"&lt;="&amp;$A161,実績!$AJ$6:$AJ$505,"&gt;"&amp;$A161,実績!$AK$6:$AK$505,"○")&gt;0,1,0))</f>
        <v>0</v>
      </c>
      <c r="AN161" s="39" t="n">
        <f aca="false">IF(AN$4=0,0,IF(COUNTIFS(実績!$W$6:$W$505,AN$3,実績!$AI$6:$AI$505,"&lt;="&amp;$A161,実績!$AJ$6:$AJ$505,"&gt;"&amp;$A161,実績!$AK$6:$AK$505,"○")&gt;0,1,0))</f>
        <v>0</v>
      </c>
      <c r="AO161" s="39" t="n">
        <f aca="false">IF(AO$4=0,0,IF(COUNTIFS(実績!$W$6:$W$505,AO$3,実績!$AI$6:$AI$505,"&lt;="&amp;$A161,実績!$AJ$6:$AJ$505,"&gt;"&amp;$A161,実績!$AK$6:$AK$505,"○")&gt;0,1,0))</f>
        <v>0</v>
      </c>
      <c r="AP161" s="39" t="n">
        <f aca="false">IF(AP$4=0,0,IF(COUNTIFS(実績!$W$6:$W$505,AP$3,実績!$AI$6:$AI$505,"&lt;="&amp;$A161,実績!$AJ$6:$AJ$505,"&gt;"&amp;$A161,実績!$AK$6:$AK$505,"○")&gt;0,1,0))</f>
        <v>0</v>
      </c>
      <c r="AQ161" s="39" t="n">
        <f aca="false">IF(AQ$4=0,0,IF(COUNTIFS(実績!$W$6:$W$505,AQ$3,実績!$AI$6:$AI$505,"&lt;="&amp;$A161,実績!$AJ$6:$AJ$505,"&gt;"&amp;$A161,実績!$AK$6:$AK$505,"○")&gt;0,1,0))</f>
        <v>0</v>
      </c>
      <c r="AR161" s="39" t="n">
        <f aca="false">IF(AR$4=0,0,IF(COUNTIFS(実績!$W$6:$W$505,AR$3,実績!$AI$6:$AI$505,"&lt;="&amp;$A161,実績!$AJ$6:$AJ$505,"&gt;"&amp;$A161,実績!$AK$6:$AK$505,"○")&gt;0,1,0))</f>
        <v>0</v>
      </c>
      <c r="AS161" s="39" t="n">
        <f aca="false">IF(AS$4=0,0,IF(COUNTIFS(実績!$W$6:$W$505,AS$3,実績!$AI$6:$AI$505,"&lt;="&amp;$A161,実績!$AJ$6:$AJ$505,"&gt;"&amp;$A161,実績!$AK$6:$AK$505,"○")&gt;0,1,0))</f>
        <v>0</v>
      </c>
      <c r="AT161" s="39" t="n">
        <f aca="false">IF(AT$4=0,0,IF(COUNTIFS(実績!$W$6:$W$505,AT$3,実績!$AI$6:$AI$505,"&lt;="&amp;$A161,実績!$AJ$6:$AJ$505,"&gt;"&amp;$A161,実績!$AK$6:$AK$505,"○")&gt;0,1,0))</f>
        <v>0</v>
      </c>
      <c r="AU161" s="39" t="n">
        <f aca="false">IF(AU$4=0,0,IF(COUNTIFS(実績!$W$6:$W$505,AU$3,実績!$AI$6:$AI$505,"&lt;="&amp;$A161,実績!$AJ$6:$AJ$505,"&gt;"&amp;$A161,実績!$AK$6:$AK$505,"○")&gt;0,1,0))</f>
        <v>0</v>
      </c>
      <c r="AV161" s="39" t="n">
        <f aca="false">IF(AV$4=0,0,IF(COUNTIFS(実績!$W$6:$W$505,AV$3,実績!$AI$6:$AI$505,"&lt;="&amp;$A161,実績!$AJ$6:$AJ$505,"&gt;"&amp;$A161,実績!$AK$6:$AK$505,"○")&gt;0,1,0))</f>
        <v>0</v>
      </c>
      <c r="AW161" s="39" t="n">
        <f aca="false">IF(AW$4=0,0,IF(COUNTIFS(実績!$W$6:$W$505,AW$3,実績!$AI$6:$AI$505,"&lt;="&amp;$A161,実績!$AJ$6:$AJ$505,"&gt;"&amp;$A161,実績!$AK$6:$AK$505,"○")&gt;0,1,0))</f>
        <v>0</v>
      </c>
      <c r="AX161" s="39" t="n">
        <f aca="false">IF(AX$4=0,0,IF(COUNTIFS(実績!$W$6:$W$505,AX$3,実績!$AI$6:$AI$505,"&lt;="&amp;$A161,実績!$AJ$6:$AJ$505,"&gt;"&amp;$A161,実績!$AK$6:$AK$505,"○")&gt;0,1,0))</f>
        <v>0</v>
      </c>
      <c r="AY161" s="39" t="n">
        <f aca="false">IF(AY$4=0,0,IF(COUNTIFS(実績!$W$6:$W$505,AY$3,実績!$AI$6:$AI$505,"&lt;="&amp;$A161,実績!$AJ$6:$AJ$505,"&gt;"&amp;$A161,実績!$AK$6:$AK$505,"○")&gt;0,1,0))</f>
        <v>0</v>
      </c>
      <c r="AZ161" s="39" t="n">
        <f aca="false">IF(AZ$4=0,0,IF(COUNTIFS(実績!$W$6:$W$505,AZ$3,実績!$AI$6:$AI$505,"&lt;="&amp;$A161,実績!$AJ$6:$AJ$505,"&gt;"&amp;$A161,実績!$AK$6:$AK$505,"○")&gt;0,1,0))</f>
        <v>0</v>
      </c>
      <c r="BA161" s="39" t="n">
        <f aca="false">IF(BA$4=0,0,IF(COUNTIFS(実績!$W$6:$W$505,BA$3,実績!$AI$6:$AI$505,"&lt;="&amp;$A161,実績!$AJ$6:$AJ$505,"&gt;"&amp;$A161,実績!$AK$6:$AK$505,"○")&gt;0,1,0))</f>
        <v>0</v>
      </c>
      <c r="BB161" s="39" t="n">
        <f aca="false">IF(BB$4=0,0,IF(COUNTIFS(実績!$W$6:$W$505,BB$3,実績!$AI$6:$AI$505,"&lt;="&amp;$A161,実績!$AJ$6:$AJ$505,"&gt;"&amp;$A161,実績!$AK$6:$AK$505,"○")&gt;0,1,0))</f>
        <v>0</v>
      </c>
      <c r="BC161" s="39" t="n">
        <f aca="false">IF(BC$4=0,0,IF(COUNTIFS(実績!$W$6:$W$505,BC$3,実績!$AI$6:$AI$505,"&lt;="&amp;$A161,実績!$AJ$6:$AJ$505,"&gt;"&amp;$A161,実績!$AK$6:$AK$505,"○")&gt;0,1,0))</f>
        <v>0</v>
      </c>
      <c r="BD161" s="39" t="n">
        <f aca="false">IF(BD$4=0,0,IF(COUNTIFS(実績!$W$6:$W$505,BD$3,実績!$AI$6:$AI$505,"&lt;="&amp;$A161,実績!$AJ$6:$AJ$505,"&gt;"&amp;$A161,実績!$AK$6:$AK$505,"○")&gt;0,1,0))</f>
        <v>0</v>
      </c>
      <c r="BE161" s="39" t="n">
        <f aca="false">IF(BE$4=0,0,IF(COUNTIFS(実績!$W$6:$W$505,BE$3,実績!$AI$6:$AI$505,"&lt;="&amp;$A161,実績!$AJ$6:$AJ$505,"&gt;"&amp;$A161,実績!$AK$6:$AK$505,"○")&gt;0,1,0))</f>
        <v>0</v>
      </c>
      <c r="BF161" s="39" t="n">
        <f aca="false">IF(BF$4=0,0,IF(COUNTIFS(実績!$W$6:$W$505,BF$3,実績!$AI$6:$AI$505,"&lt;="&amp;$A161,実績!$AJ$6:$AJ$505,"&gt;"&amp;$A161,実績!$AK$6:$AK$505,"○")&gt;0,1,0))</f>
        <v>0</v>
      </c>
      <c r="BG161" s="39" t="n">
        <f aca="false">IF(BG$4=0,0,IF(COUNTIFS(実績!$W$6:$W$505,BG$3,実績!$AI$6:$AI$505,"&lt;="&amp;$A161,実績!$AJ$6:$AJ$505,"&gt;"&amp;$A161,実績!$AK$6:$AK$505,"○")&gt;0,1,0))</f>
        <v>0</v>
      </c>
      <c r="BH161" s="39" t="n">
        <f aca="false">IF(BH$4=0,0,IF(COUNTIFS(実績!$W$6:$W$505,BH$3,実績!$AI$6:$AI$505,"&lt;="&amp;$A161,実績!$AJ$6:$AJ$505,"&gt;"&amp;$A161,実績!$AK$6:$AK$505,"○")&gt;0,1,0))</f>
        <v>0</v>
      </c>
      <c r="BI161" s="39" t="n">
        <f aca="false">IF(BI$4=0,0,IF(COUNTIFS(実績!$W$6:$W$505,BI$3,実績!$AI$6:$AI$505,"&lt;="&amp;$A161,実績!$AJ$6:$AJ$505,"&gt;"&amp;$A161,実績!$AK$6:$AK$505,"○")&gt;0,1,0))</f>
        <v>0</v>
      </c>
      <c r="BJ161" s="39" t="n">
        <f aca="false">IF(BJ$4=0,0,IF(COUNTIFS(実績!$W$6:$W$505,BJ$3,実績!$AI$6:$AI$505,"&lt;="&amp;$A161,実績!$AJ$6:$AJ$505,"&gt;"&amp;$A161,実績!$AK$6:$AK$505,"○")&gt;0,1,0))</f>
        <v>0</v>
      </c>
      <c r="BK161" s="39" t="n">
        <f aca="false">IF(BK$4=0,0,IF(COUNTIFS(実績!$W$6:$W$505,BK$3,実績!$AI$6:$AI$505,"&lt;="&amp;$A161,実績!$AJ$6:$AJ$505,"&gt;"&amp;$A161,実績!$AK$6:$AK$505,"○")&gt;0,1,0))</f>
        <v>0</v>
      </c>
      <c r="BL161" s="39" t="n">
        <f aca="false">IF(BL$4=0,0,IF(COUNTIFS(実績!$W$6:$W$505,BL$3,実績!$AI$6:$AI$505,"&lt;="&amp;$A161,実績!$AJ$6:$AJ$505,"&gt;"&amp;$A161,実績!$AK$6:$AK$505,"○")&gt;0,1,0))</f>
        <v>0</v>
      </c>
      <c r="BM161" s="39" t="n">
        <f aca="false">IF(BM$4=0,0,IF(COUNTIFS(実績!$W$6:$W$505,BM$3,実績!$AI$6:$AI$505,"&lt;="&amp;$A161,実績!$AJ$6:$AJ$505,"&gt;"&amp;$A161,実績!$AK$6:$AK$505,"○")&gt;0,1,0))</f>
        <v>0</v>
      </c>
      <c r="BN161" s="39" t="n">
        <f aca="false">IF(BN$4=0,0,IF(COUNTIFS(実績!$W$6:$W$505,BN$3,実績!$AI$6:$AI$505,"&lt;="&amp;$A161,実績!$AJ$6:$AJ$505,"&gt;"&amp;$A161,実績!$AK$6:$AK$505,"○")&gt;0,1,0))</f>
        <v>0</v>
      </c>
      <c r="BO161" s="39" t="n">
        <f aca="false">IF(BO$4=0,0,IF(COUNTIFS(実績!$W$6:$W$505,BO$3,実績!$AI$6:$AI$505,"&lt;="&amp;$A161,実績!$AJ$6:$AJ$505,"&gt;"&amp;$A161,実績!$AK$6:$AK$505,"○")&gt;0,1,0))</f>
        <v>0</v>
      </c>
      <c r="BP161" s="39" t="n">
        <f aca="false">IF(BP$4=0,0,IF(COUNTIFS(実績!$W$6:$W$505,BP$3,実績!$AI$6:$AI$505,"&lt;="&amp;$A161,実績!$AJ$6:$AJ$505,"&gt;"&amp;$A161,実績!$AK$6:$AK$505,"○")&gt;0,1,0))</f>
        <v>0</v>
      </c>
      <c r="BQ161" s="39" t="n">
        <f aca="false">IF(BQ$4=0,0,IF(COUNTIFS(実績!$W$6:$W$505,BQ$3,実績!$AI$6:$AI$505,"&lt;="&amp;$A161,実績!$AJ$6:$AJ$505,"&gt;"&amp;$A161,実績!$AK$6:$AK$505,"○")&gt;0,1,0))</f>
        <v>0</v>
      </c>
      <c r="BR161" s="39" t="n">
        <f aca="false">IF(BR$4=0,0,IF(COUNTIFS(実績!$W$6:$W$505,BR$3,実績!$AI$6:$AI$505,"&lt;="&amp;$A161,実績!$AJ$6:$AJ$505,"&gt;"&amp;$A161,実績!$AK$6:$AK$505,"○")&gt;0,1,0))</f>
        <v>0</v>
      </c>
      <c r="BS161" s="39" t="n">
        <f aca="false">IF(BS$4=0,0,IF(COUNTIFS(実績!$W$6:$W$505,BS$3,実績!$AI$6:$AI$505,"&lt;="&amp;$A161,実績!$AJ$6:$AJ$505,"&gt;"&amp;$A161,実績!$AK$6:$AK$505,"○")&gt;0,1,0))</f>
        <v>0</v>
      </c>
      <c r="BT161" s="39" t="n">
        <f aca="false">IF(BT$4=0,0,IF(COUNTIFS(実績!$W$6:$W$505,BT$3,実績!$AI$6:$AI$505,"&lt;="&amp;$A161,実績!$AJ$6:$AJ$505,"&gt;"&amp;$A161,実績!$AK$6:$AK$505,"○")&gt;0,1,0))</f>
        <v>0</v>
      </c>
      <c r="BU161" s="39" t="n">
        <f aca="false">IF(BU$4=0,0,IF(COUNTIFS(実績!$W$6:$W$505,BU$3,実績!$AI$6:$AI$505,"&lt;="&amp;$A161,実績!$AJ$6:$AJ$505,"&gt;"&amp;$A161,実績!$AK$6:$AK$505,"○")&gt;0,1,0))</f>
        <v>0</v>
      </c>
      <c r="BV161" s="39" t="n">
        <f aca="false">IF(BV$4=0,0,IF(COUNTIFS(実績!$W$6:$W$505,BV$3,実績!$AI$6:$AI$505,"&lt;="&amp;$A161,実績!$AJ$6:$AJ$505,"&gt;"&amp;$A161,実績!$AK$6:$AK$505,"○")&gt;0,1,0))</f>
        <v>0</v>
      </c>
      <c r="BW161" s="39" t="n">
        <f aca="false">IF(BW$4=0,0,IF(COUNTIFS(実績!$W$6:$W$505,BW$3,実績!$AI$6:$AI$505,"&lt;="&amp;$A161,実績!$AJ$6:$AJ$505,"&gt;"&amp;$A161,実績!$AK$6:$AK$505,"○")&gt;0,1,0))</f>
        <v>0</v>
      </c>
      <c r="BX161" s="39" t="n">
        <f aca="false">IF(BX$4=0,0,IF(COUNTIFS(実績!$W$6:$W$505,BX$3,実績!$AI$6:$AI$505,"&lt;="&amp;$A161,実績!$AJ$6:$AJ$505,"&gt;"&amp;$A161,実績!$AK$6:$AK$505,"○")&gt;0,1,0))</f>
        <v>0</v>
      </c>
      <c r="BY161" s="39" t="n">
        <f aca="false">IF(BY$4=0,0,IF(COUNTIFS(実績!$W$6:$W$505,BY$3,実績!$AI$6:$AI$505,"&lt;="&amp;$A161,実績!$AJ$6:$AJ$505,"&gt;"&amp;$A161,実績!$AK$6:$AK$505,"○")&gt;0,1,0))</f>
        <v>0</v>
      </c>
      <c r="BZ161" s="39" t="n">
        <f aca="false">IF(BZ$4=0,0,IF(COUNTIFS(実績!$W$6:$W$505,BZ$3,実績!$AI$6:$AI$505,"&lt;="&amp;$A161,実績!$AJ$6:$AJ$505,"&gt;"&amp;$A161,実績!$AK$6:$AK$505,"○")&gt;0,1,0))</f>
        <v>0</v>
      </c>
      <c r="CA161" s="39" t="n">
        <f aca="false">IF(CA$4=0,0,IF(COUNTIFS(実績!$W$6:$W$505,CA$3,実績!$AI$6:$AI$505,"&lt;="&amp;$A161,実績!$AJ$6:$AJ$505,"&gt;"&amp;$A161,実績!$AK$6:$AK$505,"○")&gt;0,1,0))</f>
        <v>0</v>
      </c>
      <c r="CB161" s="39" t="n">
        <f aca="false">IF(CB$4=0,0,IF(COUNTIFS(実績!$W$6:$W$505,CB$3,実績!$AI$6:$AI$505,"&lt;="&amp;$A161,実績!$AJ$6:$AJ$505,"&gt;"&amp;$A161,実績!$AK$6:$AK$505,"○")&gt;0,1,0))</f>
        <v>0</v>
      </c>
      <c r="CC161" s="39" t="n">
        <f aca="false">IF(CC$4=0,0,IF(COUNTIFS(実績!$W$6:$W$505,CC$3,実績!$AI$6:$AI$505,"&lt;="&amp;$A161,実績!$AJ$6:$AJ$505,"&gt;"&amp;$A161,実績!$AK$6:$AK$505,"○")&gt;0,1,0))</f>
        <v>0</v>
      </c>
      <c r="CD161" s="39" t="n">
        <f aca="false">IF(CD$4=0,0,IF(COUNTIFS(実績!$W$6:$W$505,CD$3,実績!$AI$6:$AI$505,"&lt;="&amp;$A161,実績!$AJ$6:$AJ$505,"&gt;"&amp;$A161,実績!$AK$6:$AK$505,"○")&gt;0,1,0))</f>
        <v>0</v>
      </c>
      <c r="CE161" s="39" t="n">
        <f aca="false">IF(CE$4=0,0,IF(COUNTIFS(実績!$W$6:$W$505,CE$3,実績!$AI$6:$AI$505,"&lt;="&amp;$A161,実績!$AJ$6:$AJ$505,"&gt;"&amp;$A161,実績!$AK$6:$AK$505,"○")&gt;0,1,0))</f>
        <v>0</v>
      </c>
      <c r="CF161" s="39" t="n">
        <f aca="false">IF(CF$4=0,0,IF(COUNTIFS(実績!$W$6:$W$505,CF$3,実績!$AI$6:$AI$505,"&lt;="&amp;$A161,実績!$AJ$6:$AJ$505,"&gt;"&amp;$A161,実績!$AK$6:$AK$505,"○")&gt;0,1,0))</f>
        <v>0</v>
      </c>
      <c r="CG161" s="39" t="n">
        <f aca="false">IF(CG$4=0,0,IF(COUNTIFS(実績!$W$6:$W$505,CG$3,実績!$AI$6:$AI$505,"&lt;="&amp;$A161,実績!$AJ$6:$AJ$505,"&gt;"&amp;$A161,実績!$AK$6:$AK$505,"○")&gt;0,1,0))</f>
        <v>0</v>
      </c>
      <c r="CH161" s="39" t="n">
        <f aca="false">IF(CH$4=0,0,IF(COUNTIFS(実績!$W$6:$W$505,CH$3,実績!$AI$6:$AI$505,"&lt;="&amp;$A161,実績!$AJ$6:$AJ$505,"&gt;"&amp;$A161,実績!$AK$6:$AK$505,"○")&gt;0,1,0))</f>
        <v>0</v>
      </c>
      <c r="CI161" s="39" t="n">
        <f aca="false">IF(CI$4=0,0,IF(COUNTIFS(実績!$W$6:$W$505,CI$3,実績!$AI$6:$AI$505,"&lt;="&amp;$A161,実績!$AJ$6:$AJ$505,"&gt;"&amp;$A161,実績!$AK$6:$AK$505,"○")&gt;0,1,0))</f>
        <v>0</v>
      </c>
      <c r="CJ161" s="39" t="n">
        <f aca="false">IF(CJ$4=0,0,IF(COUNTIFS(実績!$W$6:$W$505,CJ$3,実績!$AI$6:$AI$505,"&lt;="&amp;$A161,実績!$AJ$6:$AJ$505,"&gt;"&amp;$A161,実績!$AK$6:$AK$505,"○")&gt;0,1,0))</f>
        <v>0</v>
      </c>
      <c r="CK161" s="39" t="n">
        <f aca="false">IF(CK$4=0,0,IF(COUNTIFS(実績!$W$6:$W$505,CK$3,実績!$AI$6:$AI$505,"&lt;="&amp;$A161,実績!$AJ$6:$AJ$505,"&gt;"&amp;$A161,実績!$AK$6:$AK$505,"○")&gt;0,1,0))</f>
        <v>0</v>
      </c>
      <c r="CL161" s="39" t="n">
        <f aca="false">IF(CL$4=0,0,IF(COUNTIFS(実績!$W$6:$W$505,CL$3,実績!$AI$6:$AI$505,"&lt;="&amp;$A161,実績!$AJ$6:$AJ$505,"&gt;"&amp;$A161,実績!$AK$6:$AK$505,"○")&gt;0,1,0))</f>
        <v>0</v>
      </c>
      <c r="CM161" s="39" t="n">
        <f aca="false">IF(CM$4=0,0,IF(COUNTIFS(実績!$W$6:$W$505,CM$3,実績!$AI$6:$AI$505,"&lt;="&amp;$A161,実績!$AJ$6:$AJ$505,"&gt;"&amp;$A161,実績!$AK$6:$AK$505,"○")&gt;0,1,0))</f>
        <v>0</v>
      </c>
      <c r="CN161" s="39" t="n">
        <f aca="false">IF(CN$4=0,0,IF(COUNTIFS(実績!$W$6:$W$505,CN$3,実績!$AI$6:$AI$505,"&lt;="&amp;$A161,実績!$AJ$6:$AJ$505,"&gt;"&amp;$A161,実績!$AK$6:$AK$505,"○")&gt;0,1,0))</f>
        <v>0</v>
      </c>
      <c r="CO161" s="39" t="n">
        <f aca="false">IF(CO$4=0,0,IF(COUNTIFS(実績!$W$6:$W$505,CO$3,実績!$AI$6:$AI$505,"&lt;="&amp;$A161,実績!$AJ$6:$AJ$505,"&gt;"&amp;$A161,実績!$AK$6:$AK$505,"○")&gt;0,1,0))</f>
        <v>0</v>
      </c>
      <c r="CP161" s="39" t="n">
        <f aca="false">IF(CP$4=0,0,IF(COUNTIFS(実績!$W$6:$W$505,CP$3,実績!$AI$6:$AI$505,"&lt;="&amp;$A161,実績!$AJ$6:$AJ$505,"&gt;"&amp;$A161,実績!$AK$6:$AK$505,"○")&gt;0,1,0))</f>
        <v>0</v>
      </c>
      <c r="CQ161" s="39" t="n">
        <f aca="false">IF(CQ$4=0,0,IF(COUNTIFS(実績!$W$6:$W$505,CQ$3,実績!$AI$6:$AI$505,"&lt;="&amp;$A161,実績!$AJ$6:$AJ$505,"&gt;"&amp;$A161,実績!$AK$6:$AK$505,"○")&gt;0,1,0))</f>
        <v>0</v>
      </c>
      <c r="CR161" s="39" t="n">
        <f aca="false">IF(CR$4=0,0,IF(COUNTIFS(実績!$W$6:$W$505,CR$3,実績!$AI$6:$AI$505,"&lt;="&amp;$A161,実績!$AJ$6:$AJ$505,"&gt;"&amp;$A161,実績!$AK$6:$AK$505,"○")&gt;0,1,0))</f>
        <v>0</v>
      </c>
      <c r="CS161" s="39" t="n">
        <f aca="false">IF(CS$4=0,0,IF(COUNTIFS(実績!$W$6:$W$505,CS$3,実績!$AI$6:$AI$505,"&lt;="&amp;$A161,実績!$AJ$6:$AJ$505,"&gt;"&amp;$A161,実績!$AK$6:$AK$505,"○")&gt;0,1,0))</f>
        <v>0</v>
      </c>
      <c r="CT161" s="39" t="n">
        <f aca="false">IF(CT$4=0,0,IF(COUNTIFS(実績!$W$6:$W$505,CT$3,実績!$AI$6:$AI$505,"&lt;="&amp;$A161,実績!$AJ$6:$AJ$505,"&gt;"&amp;$A161,実績!$AK$6:$AK$505,"○")&gt;0,1,0))</f>
        <v>0</v>
      </c>
      <c r="CU161" s="39" t="n">
        <f aca="false">IF(CU$4=0,0,IF(COUNTIFS(実績!$W$6:$W$505,CU$3,実績!$AI$6:$AI$505,"&lt;="&amp;$A161,実績!$AJ$6:$AJ$505,"&gt;"&amp;$A161,実績!$AK$6:$AK$505,"○")&gt;0,1,0))</f>
        <v>0</v>
      </c>
      <c r="CV161" s="39" t="n">
        <f aca="false">IF(CV$4=0,0,IF(COUNTIFS(実績!$W$6:$W$505,CV$3,実績!$AI$6:$AI$505,"&lt;="&amp;$A161,実績!$AJ$6:$AJ$505,"&gt;"&amp;$A161,実績!$AK$6:$AK$505,"○")&gt;0,1,0))</f>
        <v>0</v>
      </c>
      <c r="CW161" s="39" t="n">
        <f aca="false">IF(CW$4=0,0,IF(COUNTIFS(実績!$W$6:$W$505,CW$3,実績!$AI$6:$AI$505,"&lt;="&amp;$A161,実績!$AJ$6:$AJ$505,"&gt;"&amp;$A161,実績!$AK$6:$AK$505,"○")&gt;0,1,0))</f>
        <v>0</v>
      </c>
      <c r="CX161" s="39" t="n">
        <f aca="false">IF(CX$4=0,0,IF(COUNTIFS(実績!$W$6:$W$505,CX$3,実績!$AI$6:$AI$505,"&lt;="&amp;$A161,実績!$AJ$6:$AJ$505,"&gt;"&amp;$A161,実績!$AK$6:$AK$505,"○")&gt;0,1,0))</f>
        <v>0</v>
      </c>
      <c r="CY161" s="39" t="n">
        <f aca="false">IF(CY$4=0,0,IF(COUNTIFS(実績!$W$6:$W$505,CY$3,実績!$AI$6:$AI$505,"&lt;="&amp;$A161,実績!$AJ$6:$AJ$505,"&gt;"&amp;$A161,実績!$AK$6:$AK$505,"○")&gt;0,1,0))</f>
        <v>0</v>
      </c>
      <c r="CZ161" s="39" t="n">
        <f aca="false">IF(CZ$4=0,0,IF(COUNTIFS(実績!$W$6:$W$505,CZ$3,実績!$AI$6:$AI$505,"&lt;="&amp;$A161,実績!$AJ$6:$AJ$505,"&gt;"&amp;$A161,実績!$AK$6:$AK$505,"○")&gt;0,1,0))</f>
        <v>0</v>
      </c>
      <c r="DA161" s="39" t="n">
        <f aca="false">IF(DA$4=0,0,IF(COUNTIFS(実績!$W$6:$W$505,DA$3,実績!$AI$6:$AI$505,"&lt;="&amp;$A161,実績!$AJ$6:$AJ$505,"&gt;"&amp;$A161,実績!$AK$6:$AK$505,"○")&gt;0,1,0))</f>
        <v>0</v>
      </c>
      <c r="DB161" s="39" t="n">
        <f aca="false">IF(DB$4=0,0,IF(COUNTIFS(実績!$W$6:$W$505,DB$3,実績!$AI$6:$AI$505,"&lt;="&amp;$A161,実績!$AJ$6:$AJ$505,"&gt;"&amp;$A161,実績!$AK$6:$AK$505,"○")&gt;0,1,0))</f>
        <v>0</v>
      </c>
      <c r="DC161" s="39" t="n">
        <f aca="false">IF(DC$4=0,0,IF(COUNTIFS(実績!$W$6:$W$505,DC$3,実績!$AI$6:$AI$505,"&lt;="&amp;$A161,実績!$AJ$6:$AJ$505,"&gt;"&amp;$A161,実績!$AK$6:$AK$505,"○")&gt;0,1,0))</f>
        <v>0</v>
      </c>
      <c r="DD161" s="39" t="n">
        <f aca="false">IF(DD$4=0,0,IF(COUNTIFS(実績!$W$6:$W$505,DD$3,実績!$AI$6:$AI$505,"&lt;="&amp;$A161,実績!$AJ$6:$AJ$505,"&gt;"&amp;$A161,実績!$AK$6:$AK$505,"○")&gt;0,1,0))</f>
        <v>0</v>
      </c>
      <c r="DE161" s="39" t="n">
        <f aca="false">IF(DE$4=0,0,IF(COUNTIFS(実績!$W$6:$W$505,DE$3,実績!$AI$6:$AI$505,"&lt;="&amp;$A161,実績!$AJ$6:$AJ$505,"&gt;"&amp;$A161,実績!$AK$6:$AK$505,"○")&gt;0,1,0))</f>
        <v>0</v>
      </c>
      <c r="DF161" s="39" t="n">
        <f aca="false">IF(DF$4=0,0,IF(COUNTIFS(実績!$W$6:$W$505,DF$3,実績!$AI$6:$AI$505,"&lt;="&amp;$A161,実績!$AJ$6:$AJ$505,"&gt;"&amp;$A161,実績!$AK$6:$AK$505,"○")&gt;0,1,0))</f>
        <v>0</v>
      </c>
      <c r="DG161" s="39" t="n">
        <f aca="false">IF(DG$4=0,0,IF(COUNTIFS(実績!$W$6:$W$505,DG$3,実績!$AI$6:$AI$505,"&lt;="&amp;$A161,実績!$AJ$6:$AJ$505,"&gt;"&amp;$A161,実績!$AK$6:$AK$505,"○")&gt;0,1,0))</f>
        <v>0</v>
      </c>
      <c r="DH161" s="39" t="n">
        <f aca="false">IF(DH$4=0,0,IF(COUNTIFS(実績!$W$6:$W$505,DH$3,実績!$AI$6:$AI$505,"&lt;="&amp;$A161,実績!$AJ$6:$AJ$505,"&gt;"&amp;$A161,実績!$AK$6:$AK$505,"○")&gt;0,1,0))</f>
        <v>0</v>
      </c>
      <c r="DI161" s="39" t="n">
        <f aca="false">IF(DI$4=0,0,IF(COUNTIFS(実績!$W$6:$W$505,DI$3,実績!$AI$6:$AI$505,"&lt;="&amp;$A161,実績!$AJ$6:$AJ$505,"&gt;"&amp;$A161,実績!$AK$6:$AK$505,"○")&gt;0,1,0))</f>
        <v>0</v>
      </c>
      <c r="DJ161" s="39" t="n">
        <f aca="false">IF(DJ$4=0,0,IF(COUNTIFS(実績!$W$6:$W$505,DJ$3,実績!$AI$6:$AI$505,"&lt;="&amp;$A161,実績!$AJ$6:$AJ$505,"&gt;"&amp;$A161,実績!$AK$6:$AK$505,"○")&gt;0,1,0))</f>
        <v>0</v>
      </c>
      <c r="DK161" s="39" t="n">
        <f aca="false">IF(DK$4=0,0,IF(COUNTIFS(実績!$W$6:$W$505,DK$3,実績!$AI$6:$AI$505,"&lt;="&amp;$A161,実績!$AJ$6:$AJ$505,"&gt;"&amp;$A161,実績!$AK$6:$AK$505,"○")&gt;0,1,0))</f>
        <v>0</v>
      </c>
      <c r="DL161" s="39" t="n">
        <f aca="false">IF(DL$4=0,0,IF(COUNTIFS(実績!$W$6:$W$505,DL$3,実績!$AI$6:$AI$505,"&lt;="&amp;$A161,実績!$AJ$6:$AJ$505,"&gt;"&amp;$A161,実績!$AK$6:$AK$505,"○")&gt;0,1,0))</f>
        <v>0</v>
      </c>
      <c r="DM161" s="39" t="n">
        <f aca="false">IF(DM$4=0,0,IF(COUNTIFS(実績!$W$6:$W$505,DM$3,実績!$AI$6:$AI$505,"&lt;="&amp;$A161,実績!$AJ$6:$AJ$505,"&gt;"&amp;$A161,実績!$AK$6:$AK$505,"○")&gt;0,1,0))</f>
        <v>0</v>
      </c>
      <c r="DN161" s="39" t="n">
        <f aca="false">IF(DN$4=0,0,IF(COUNTIFS(実績!$W$6:$W$505,DN$3,実績!$AI$6:$AI$505,"&lt;="&amp;$A161,実績!$AJ$6:$AJ$505,"&gt;"&amp;$A161,実績!$AK$6:$AK$505,"○")&gt;0,1,0))</f>
        <v>0</v>
      </c>
      <c r="DO161" s="39" t="n">
        <f aca="false">IF(DO$4=0,0,IF(COUNTIFS(実績!$W$6:$W$505,DO$3,実績!$AI$6:$AI$505,"&lt;="&amp;$A161,実績!$AJ$6:$AJ$505,"&gt;"&amp;$A161,実績!$AK$6:$AK$505,"○")&gt;0,1,0))</f>
        <v>0</v>
      </c>
      <c r="DP161" s="39" t="n">
        <f aca="false">IF(DP$4=0,0,IF(COUNTIFS(実績!$W$6:$W$505,DP$3,実績!$AI$6:$AI$505,"&lt;="&amp;$A161,実績!$AJ$6:$AJ$505,"&gt;"&amp;$A161,実績!$AK$6:$AK$505,"○")&gt;0,1,0))</f>
        <v>0</v>
      </c>
      <c r="DQ161" s="39" t="n">
        <f aca="false">IF(DQ$4=0,0,IF(COUNTIFS(実績!$W$6:$W$505,DQ$3,実績!$AI$6:$AI$505,"&lt;="&amp;$A161,実績!$AJ$6:$AJ$505,"&gt;"&amp;$A161,実績!$AK$6:$AK$505,"○")&gt;0,1,0))</f>
        <v>0</v>
      </c>
      <c r="DR161" s="39" t="n">
        <f aca="false">IF(DR$4=0,0,IF(COUNTIFS(実績!$W$6:$W$505,DR$3,実績!$AI$6:$AI$505,"&lt;="&amp;$A161,実績!$AJ$6:$AJ$505,"&gt;"&amp;$A161,実績!$AK$6:$AK$505,"○")&gt;0,1,0))</f>
        <v>0</v>
      </c>
      <c r="DS161" s="39" t="n">
        <f aca="false">SUM(C161:DR161)</f>
        <v>0</v>
      </c>
      <c r="DT161" s="39" t="n">
        <f aca="false">SUMPRODUCT((実績!$C$6:$C$505="○")*ISNUMBER(実績!$AM$6:$AM$505)*(実績!$AM$6:$AM$505&lt;=$A161)*(実績!$AN$6:$AN$505&gt;$A161))</f>
        <v>0</v>
      </c>
      <c r="DU161" s="39" t="n">
        <f aca="false">SUMIF($C$2:$DR$2,"製鉄曳船",C161:DR161)</f>
        <v>0</v>
      </c>
      <c r="DV161" s="39" t="n">
        <f aca="false">SUMIF($C$2:$DR$2,"西日本海運",C161:DR161)</f>
        <v>0</v>
      </c>
    </row>
    <row r="162" customFormat="false" ht="15" hidden="false" customHeight="false" outlineLevel="0" collapsed="false">
      <c r="A162" s="0" t="n">
        <v>780</v>
      </c>
      <c r="B162" s="38" t="n">
        <f aca="false">A162/1440</f>
        <v>0.541666666666667</v>
      </c>
      <c r="C162" s="39" t="n">
        <f aca="false">IF(C$4=0,0,IF(COUNTIFS(実績!$W$6:$W$505,C$3,実績!$AI$6:$AI$505,"&lt;="&amp;$A162,実績!$AJ$6:$AJ$505,"&gt;"&amp;$A162,実績!$AK$6:$AK$505,"○")&gt;0,1,0))</f>
        <v>0</v>
      </c>
      <c r="D162" s="39" t="n">
        <f aca="false">IF(D$4=0,0,IF(COUNTIFS(実績!$W$6:$W$505,D$3,実績!$AI$6:$AI$505,"&lt;="&amp;$A162,実績!$AJ$6:$AJ$505,"&gt;"&amp;$A162,実績!$AK$6:$AK$505,"○")&gt;0,1,0))</f>
        <v>0</v>
      </c>
      <c r="E162" s="39" t="n">
        <f aca="false">IF(E$4=0,0,IF(COUNTIFS(実績!$W$6:$W$505,E$3,実績!$AI$6:$AI$505,"&lt;="&amp;$A162,実績!$AJ$6:$AJ$505,"&gt;"&amp;$A162,実績!$AK$6:$AK$505,"○")&gt;0,1,0))</f>
        <v>0</v>
      </c>
      <c r="F162" s="39" t="n">
        <f aca="false">IF(F$4=0,0,IF(COUNTIFS(実績!$W$6:$W$505,F$3,実績!$AI$6:$AI$505,"&lt;="&amp;$A162,実績!$AJ$6:$AJ$505,"&gt;"&amp;$A162,実績!$AK$6:$AK$505,"○")&gt;0,1,0))</f>
        <v>0</v>
      </c>
      <c r="G162" s="39" t="n">
        <f aca="false">IF(G$4=0,0,IF(COUNTIFS(実績!$W$6:$W$505,G$3,実績!$AI$6:$AI$505,"&lt;="&amp;$A162,実績!$AJ$6:$AJ$505,"&gt;"&amp;$A162,実績!$AK$6:$AK$505,"○")&gt;0,1,0))</f>
        <v>0</v>
      </c>
      <c r="H162" s="39" t="n">
        <f aca="false">IF(H$4=0,0,IF(COUNTIFS(実績!$W$6:$W$505,H$3,実績!$AI$6:$AI$505,"&lt;="&amp;$A162,実績!$AJ$6:$AJ$505,"&gt;"&amp;$A162,実績!$AK$6:$AK$505,"○")&gt;0,1,0))</f>
        <v>0</v>
      </c>
      <c r="I162" s="39" t="n">
        <f aca="false">IF(I$4=0,0,IF(COUNTIFS(実績!$W$6:$W$505,I$3,実績!$AI$6:$AI$505,"&lt;="&amp;$A162,実績!$AJ$6:$AJ$505,"&gt;"&amp;$A162,実績!$AK$6:$AK$505,"○")&gt;0,1,0))</f>
        <v>0</v>
      </c>
      <c r="J162" s="39" t="n">
        <f aca="false">IF(J$4=0,0,IF(COUNTIFS(実績!$W$6:$W$505,J$3,実績!$AI$6:$AI$505,"&lt;="&amp;$A162,実績!$AJ$6:$AJ$505,"&gt;"&amp;$A162,実績!$AK$6:$AK$505,"○")&gt;0,1,0))</f>
        <v>0</v>
      </c>
      <c r="K162" s="39" t="n">
        <f aca="false">IF(K$4=0,0,IF(COUNTIFS(実績!$W$6:$W$505,K$3,実績!$AI$6:$AI$505,"&lt;="&amp;$A162,実績!$AJ$6:$AJ$505,"&gt;"&amp;$A162,実績!$AK$6:$AK$505,"○")&gt;0,1,0))</f>
        <v>0</v>
      </c>
      <c r="L162" s="39" t="n">
        <f aca="false">IF(L$4=0,0,IF(COUNTIFS(実績!$W$6:$W$505,L$3,実績!$AI$6:$AI$505,"&lt;="&amp;$A162,実績!$AJ$6:$AJ$505,"&gt;"&amp;$A162,実績!$AK$6:$AK$505,"○")&gt;0,1,0))</f>
        <v>0</v>
      </c>
      <c r="M162" s="39" t="n">
        <f aca="false">IF(M$4=0,0,IF(COUNTIFS(実績!$W$6:$W$505,M$3,実績!$AI$6:$AI$505,"&lt;="&amp;$A162,実績!$AJ$6:$AJ$505,"&gt;"&amp;$A162,実績!$AK$6:$AK$505,"○")&gt;0,1,0))</f>
        <v>0</v>
      </c>
      <c r="N162" s="39" t="n">
        <f aca="false">IF(N$4=0,0,IF(COUNTIFS(実績!$W$6:$W$505,N$3,実績!$AI$6:$AI$505,"&lt;="&amp;$A162,実績!$AJ$6:$AJ$505,"&gt;"&amp;$A162,実績!$AK$6:$AK$505,"○")&gt;0,1,0))</f>
        <v>0</v>
      </c>
      <c r="O162" s="39" t="n">
        <f aca="false">IF(O$4=0,0,IF(COUNTIFS(実績!$W$6:$W$505,O$3,実績!$AI$6:$AI$505,"&lt;="&amp;$A162,実績!$AJ$6:$AJ$505,"&gt;"&amp;$A162,実績!$AK$6:$AK$505,"○")&gt;0,1,0))</f>
        <v>0</v>
      </c>
      <c r="P162" s="39" t="n">
        <f aca="false">IF(P$4=0,0,IF(COUNTIFS(実績!$W$6:$W$505,P$3,実績!$AI$6:$AI$505,"&lt;="&amp;$A162,実績!$AJ$6:$AJ$505,"&gt;"&amp;$A162,実績!$AK$6:$AK$505,"○")&gt;0,1,0))</f>
        <v>0</v>
      </c>
      <c r="Q162" s="39" t="n">
        <f aca="false">IF(Q$4=0,0,IF(COUNTIFS(実績!$W$6:$W$505,Q$3,実績!$AI$6:$AI$505,"&lt;="&amp;$A162,実績!$AJ$6:$AJ$505,"&gt;"&amp;$A162,実績!$AK$6:$AK$505,"○")&gt;0,1,0))</f>
        <v>0</v>
      </c>
      <c r="R162" s="39" t="n">
        <f aca="false">IF(R$4=0,0,IF(COUNTIFS(実績!$W$6:$W$505,R$3,実績!$AI$6:$AI$505,"&lt;="&amp;$A162,実績!$AJ$6:$AJ$505,"&gt;"&amp;$A162,実績!$AK$6:$AK$505,"○")&gt;0,1,0))</f>
        <v>0</v>
      </c>
      <c r="S162" s="39" t="n">
        <f aca="false">IF(S$4=0,0,IF(COUNTIFS(実績!$W$6:$W$505,S$3,実績!$AI$6:$AI$505,"&lt;="&amp;$A162,実績!$AJ$6:$AJ$505,"&gt;"&amp;$A162,実績!$AK$6:$AK$505,"○")&gt;0,1,0))</f>
        <v>0</v>
      </c>
      <c r="T162" s="39" t="n">
        <f aca="false">IF(T$4=0,0,IF(COUNTIFS(実績!$W$6:$W$505,T$3,実績!$AI$6:$AI$505,"&lt;="&amp;$A162,実績!$AJ$6:$AJ$505,"&gt;"&amp;$A162,実績!$AK$6:$AK$505,"○")&gt;0,1,0))</f>
        <v>0</v>
      </c>
      <c r="U162" s="39" t="n">
        <f aca="false">IF(U$4=0,0,IF(COUNTIFS(実績!$W$6:$W$505,U$3,実績!$AI$6:$AI$505,"&lt;="&amp;$A162,実績!$AJ$6:$AJ$505,"&gt;"&amp;$A162,実績!$AK$6:$AK$505,"○")&gt;0,1,0))</f>
        <v>0</v>
      </c>
      <c r="V162" s="39" t="n">
        <f aca="false">IF(V$4=0,0,IF(COUNTIFS(実績!$W$6:$W$505,V$3,実績!$AI$6:$AI$505,"&lt;="&amp;$A162,実績!$AJ$6:$AJ$505,"&gt;"&amp;$A162,実績!$AK$6:$AK$505,"○")&gt;0,1,0))</f>
        <v>0</v>
      </c>
      <c r="W162" s="39" t="n">
        <f aca="false">IF(W$4=0,0,IF(COUNTIFS(実績!$W$6:$W$505,W$3,実績!$AI$6:$AI$505,"&lt;="&amp;$A162,実績!$AJ$6:$AJ$505,"&gt;"&amp;$A162,実績!$AK$6:$AK$505,"○")&gt;0,1,0))</f>
        <v>0</v>
      </c>
      <c r="X162" s="39" t="n">
        <f aca="false">IF(X$4=0,0,IF(COUNTIFS(実績!$W$6:$W$505,X$3,実績!$AI$6:$AI$505,"&lt;="&amp;$A162,実績!$AJ$6:$AJ$505,"&gt;"&amp;$A162,実績!$AK$6:$AK$505,"○")&gt;0,1,0))</f>
        <v>0</v>
      </c>
      <c r="Y162" s="39" t="n">
        <f aca="false">IF(Y$4=0,0,IF(COUNTIFS(実績!$W$6:$W$505,Y$3,実績!$AI$6:$AI$505,"&lt;="&amp;$A162,実績!$AJ$6:$AJ$505,"&gt;"&amp;$A162,実績!$AK$6:$AK$505,"○")&gt;0,1,0))</f>
        <v>0</v>
      </c>
      <c r="Z162" s="39" t="n">
        <f aca="false">IF(Z$4=0,0,IF(COUNTIFS(実績!$W$6:$W$505,Z$3,実績!$AI$6:$AI$505,"&lt;="&amp;$A162,実績!$AJ$6:$AJ$505,"&gt;"&amp;$A162,実績!$AK$6:$AK$505,"○")&gt;0,1,0))</f>
        <v>0</v>
      </c>
      <c r="AA162" s="39" t="n">
        <f aca="false">IF(AA$4=0,0,IF(COUNTIFS(実績!$W$6:$W$505,AA$3,実績!$AI$6:$AI$505,"&lt;="&amp;$A162,実績!$AJ$6:$AJ$505,"&gt;"&amp;$A162,実績!$AK$6:$AK$505,"○")&gt;0,1,0))</f>
        <v>0</v>
      </c>
      <c r="AB162" s="39" t="n">
        <f aca="false">IF(AB$4=0,0,IF(COUNTIFS(実績!$W$6:$W$505,AB$3,実績!$AI$6:$AI$505,"&lt;="&amp;$A162,実績!$AJ$6:$AJ$505,"&gt;"&amp;$A162,実績!$AK$6:$AK$505,"○")&gt;0,1,0))</f>
        <v>0</v>
      </c>
      <c r="AC162" s="39" t="n">
        <f aca="false">IF(AC$4=0,0,IF(COUNTIFS(実績!$W$6:$W$505,AC$3,実績!$AI$6:$AI$505,"&lt;="&amp;$A162,実績!$AJ$6:$AJ$505,"&gt;"&amp;$A162,実績!$AK$6:$AK$505,"○")&gt;0,1,0))</f>
        <v>0</v>
      </c>
      <c r="AD162" s="39" t="n">
        <f aca="false">IF(AD$4=0,0,IF(COUNTIFS(実績!$W$6:$W$505,AD$3,実績!$AI$6:$AI$505,"&lt;="&amp;$A162,実績!$AJ$6:$AJ$505,"&gt;"&amp;$A162,実績!$AK$6:$AK$505,"○")&gt;0,1,0))</f>
        <v>0</v>
      </c>
      <c r="AE162" s="39" t="n">
        <f aca="false">IF(AE$4=0,0,IF(COUNTIFS(実績!$W$6:$W$505,AE$3,実績!$AI$6:$AI$505,"&lt;="&amp;$A162,実績!$AJ$6:$AJ$505,"&gt;"&amp;$A162,実績!$AK$6:$AK$505,"○")&gt;0,1,0))</f>
        <v>0</v>
      </c>
      <c r="AF162" s="39" t="n">
        <f aca="false">IF(AF$4=0,0,IF(COUNTIFS(実績!$W$6:$W$505,AF$3,実績!$AI$6:$AI$505,"&lt;="&amp;$A162,実績!$AJ$6:$AJ$505,"&gt;"&amp;$A162,実績!$AK$6:$AK$505,"○")&gt;0,1,0))</f>
        <v>0</v>
      </c>
      <c r="AG162" s="39" t="n">
        <f aca="false">IF(AG$4=0,0,IF(COUNTIFS(実績!$W$6:$W$505,AG$3,実績!$AI$6:$AI$505,"&lt;="&amp;$A162,実績!$AJ$6:$AJ$505,"&gt;"&amp;$A162,実績!$AK$6:$AK$505,"○")&gt;0,1,0))</f>
        <v>0</v>
      </c>
      <c r="AH162" s="39" t="n">
        <f aca="false">IF(AH$4=0,0,IF(COUNTIFS(実績!$W$6:$W$505,AH$3,実績!$AI$6:$AI$505,"&lt;="&amp;$A162,実績!$AJ$6:$AJ$505,"&gt;"&amp;$A162,実績!$AK$6:$AK$505,"○")&gt;0,1,0))</f>
        <v>0</v>
      </c>
      <c r="AI162" s="39" t="n">
        <f aca="false">IF(AI$4=0,0,IF(COUNTIFS(実績!$W$6:$W$505,AI$3,実績!$AI$6:$AI$505,"&lt;="&amp;$A162,実績!$AJ$6:$AJ$505,"&gt;"&amp;$A162,実績!$AK$6:$AK$505,"○")&gt;0,1,0))</f>
        <v>0</v>
      </c>
      <c r="AJ162" s="39" t="n">
        <f aca="false">IF(AJ$4=0,0,IF(COUNTIFS(実績!$W$6:$W$505,AJ$3,実績!$AI$6:$AI$505,"&lt;="&amp;$A162,実績!$AJ$6:$AJ$505,"&gt;"&amp;$A162,実績!$AK$6:$AK$505,"○")&gt;0,1,0))</f>
        <v>0</v>
      </c>
      <c r="AK162" s="39" t="n">
        <f aca="false">IF(AK$4=0,0,IF(COUNTIFS(実績!$W$6:$W$505,AK$3,実績!$AI$6:$AI$505,"&lt;="&amp;$A162,実績!$AJ$6:$AJ$505,"&gt;"&amp;$A162,実績!$AK$6:$AK$505,"○")&gt;0,1,0))</f>
        <v>0</v>
      </c>
      <c r="AL162" s="39" t="n">
        <f aca="false">IF(AL$4=0,0,IF(COUNTIFS(実績!$W$6:$W$505,AL$3,実績!$AI$6:$AI$505,"&lt;="&amp;$A162,実績!$AJ$6:$AJ$505,"&gt;"&amp;$A162,実績!$AK$6:$AK$505,"○")&gt;0,1,0))</f>
        <v>0</v>
      </c>
      <c r="AM162" s="39" t="n">
        <f aca="false">IF(AM$4=0,0,IF(COUNTIFS(実績!$W$6:$W$505,AM$3,実績!$AI$6:$AI$505,"&lt;="&amp;$A162,実績!$AJ$6:$AJ$505,"&gt;"&amp;$A162,実績!$AK$6:$AK$505,"○")&gt;0,1,0))</f>
        <v>0</v>
      </c>
      <c r="AN162" s="39" t="n">
        <f aca="false">IF(AN$4=0,0,IF(COUNTIFS(実績!$W$6:$W$505,AN$3,実績!$AI$6:$AI$505,"&lt;="&amp;$A162,実績!$AJ$6:$AJ$505,"&gt;"&amp;$A162,実績!$AK$6:$AK$505,"○")&gt;0,1,0))</f>
        <v>0</v>
      </c>
      <c r="AO162" s="39" t="n">
        <f aca="false">IF(AO$4=0,0,IF(COUNTIFS(実績!$W$6:$W$505,AO$3,実績!$AI$6:$AI$505,"&lt;="&amp;$A162,実績!$AJ$6:$AJ$505,"&gt;"&amp;$A162,実績!$AK$6:$AK$505,"○")&gt;0,1,0))</f>
        <v>0</v>
      </c>
      <c r="AP162" s="39" t="n">
        <f aca="false">IF(AP$4=0,0,IF(COUNTIFS(実績!$W$6:$W$505,AP$3,実績!$AI$6:$AI$505,"&lt;="&amp;$A162,実績!$AJ$6:$AJ$505,"&gt;"&amp;$A162,実績!$AK$6:$AK$505,"○")&gt;0,1,0))</f>
        <v>0</v>
      </c>
      <c r="AQ162" s="39" t="n">
        <f aca="false">IF(AQ$4=0,0,IF(COUNTIFS(実績!$W$6:$W$505,AQ$3,実績!$AI$6:$AI$505,"&lt;="&amp;$A162,実績!$AJ$6:$AJ$505,"&gt;"&amp;$A162,実績!$AK$6:$AK$505,"○")&gt;0,1,0))</f>
        <v>0</v>
      </c>
      <c r="AR162" s="39" t="n">
        <f aca="false">IF(AR$4=0,0,IF(COUNTIFS(実績!$W$6:$W$505,AR$3,実績!$AI$6:$AI$505,"&lt;="&amp;$A162,実績!$AJ$6:$AJ$505,"&gt;"&amp;$A162,実績!$AK$6:$AK$505,"○")&gt;0,1,0))</f>
        <v>0</v>
      </c>
      <c r="AS162" s="39" t="n">
        <f aca="false">IF(AS$4=0,0,IF(COUNTIFS(実績!$W$6:$W$505,AS$3,実績!$AI$6:$AI$505,"&lt;="&amp;$A162,実績!$AJ$6:$AJ$505,"&gt;"&amp;$A162,実績!$AK$6:$AK$505,"○")&gt;0,1,0))</f>
        <v>0</v>
      </c>
      <c r="AT162" s="39" t="n">
        <f aca="false">IF(AT$4=0,0,IF(COUNTIFS(実績!$W$6:$W$505,AT$3,実績!$AI$6:$AI$505,"&lt;="&amp;$A162,実績!$AJ$6:$AJ$505,"&gt;"&amp;$A162,実績!$AK$6:$AK$505,"○")&gt;0,1,0))</f>
        <v>0</v>
      </c>
      <c r="AU162" s="39" t="n">
        <f aca="false">IF(AU$4=0,0,IF(COUNTIFS(実績!$W$6:$W$505,AU$3,実績!$AI$6:$AI$505,"&lt;="&amp;$A162,実績!$AJ$6:$AJ$505,"&gt;"&amp;$A162,実績!$AK$6:$AK$505,"○")&gt;0,1,0))</f>
        <v>0</v>
      </c>
      <c r="AV162" s="39" t="n">
        <f aca="false">IF(AV$4=0,0,IF(COUNTIFS(実績!$W$6:$W$505,AV$3,実績!$AI$6:$AI$505,"&lt;="&amp;$A162,実績!$AJ$6:$AJ$505,"&gt;"&amp;$A162,実績!$AK$6:$AK$505,"○")&gt;0,1,0))</f>
        <v>0</v>
      </c>
      <c r="AW162" s="39" t="n">
        <f aca="false">IF(AW$4=0,0,IF(COUNTIFS(実績!$W$6:$W$505,AW$3,実績!$AI$6:$AI$505,"&lt;="&amp;$A162,実績!$AJ$6:$AJ$505,"&gt;"&amp;$A162,実績!$AK$6:$AK$505,"○")&gt;0,1,0))</f>
        <v>0</v>
      </c>
      <c r="AX162" s="39" t="n">
        <f aca="false">IF(AX$4=0,0,IF(COUNTIFS(実績!$W$6:$W$505,AX$3,実績!$AI$6:$AI$505,"&lt;="&amp;$A162,実績!$AJ$6:$AJ$505,"&gt;"&amp;$A162,実績!$AK$6:$AK$505,"○")&gt;0,1,0))</f>
        <v>0</v>
      </c>
      <c r="AY162" s="39" t="n">
        <f aca="false">IF(AY$4=0,0,IF(COUNTIFS(実績!$W$6:$W$505,AY$3,実績!$AI$6:$AI$505,"&lt;="&amp;$A162,実績!$AJ$6:$AJ$505,"&gt;"&amp;$A162,実績!$AK$6:$AK$505,"○")&gt;0,1,0))</f>
        <v>0</v>
      </c>
      <c r="AZ162" s="39" t="n">
        <f aca="false">IF(AZ$4=0,0,IF(COUNTIFS(実績!$W$6:$W$505,AZ$3,実績!$AI$6:$AI$505,"&lt;="&amp;$A162,実績!$AJ$6:$AJ$505,"&gt;"&amp;$A162,実績!$AK$6:$AK$505,"○")&gt;0,1,0))</f>
        <v>0</v>
      </c>
      <c r="BA162" s="39" t="n">
        <f aca="false">IF(BA$4=0,0,IF(COUNTIFS(実績!$W$6:$W$505,BA$3,実績!$AI$6:$AI$505,"&lt;="&amp;$A162,実績!$AJ$6:$AJ$505,"&gt;"&amp;$A162,実績!$AK$6:$AK$505,"○")&gt;0,1,0))</f>
        <v>0</v>
      </c>
      <c r="BB162" s="39" t="n">
        <f aca="false">IF(BB$4=0,0,IF(COUNTIFS(実績!$W$6:$W$505,BB$3,実績!$AI$6:$AI$505,"&lt;="&amp;$A162,実績!$AJ$6:$AJ$505,"&gt;"&amp;$A162,実績!$AK$6:$AK$505,"○")&gt;0,1,0))</f>
        <v>0</v>
      </c>
      <c r="BC162" s="39" t="n">
        <f aca="false">IF(BC$4=0,0,IF(COUNTIFS(実績!$W$6:$W$505,BC$3,実績!$AI$6:$AI$505,"&lt;="&amp;$A162,実績!$AJ$6:$AJ$505,"&gt;"&amp;$A162,実績!$AK$6:$AK$505,"○")&gt;0,1,0))</f>
        <v>0</v>
      </c>
      <c r="BD162" s="39" t="n">
        <f aca="false">IF(BD$4=0,0,IF(COUNTIFS(実績!$W$6:$W$505,BD$3,実績!$AI$6:$AI$505,"&lt;="&amp;$A162,実績!$AJ$6:$AJ$505,"&gt;"&amp;$A162,実績!$AK$6:$AK$505,"○")&gt;0,1,0))</f>
        <v>0</v>
      </c>
      <c r="BE162" s="39" t="n">
        <f aca="false">IF(BE$4=0,0,IF(COUNTIFS(実績!$W$6:$W$505,BE$3,実績!$AI$6:$AI$505,"&lt;="&amp;$A162,実績!$AJ$6:$AJ$505,"&gt;"&amp;$A162,実績!$AK$6:$AK$505,"○")&gt;0,1,0))</f>
        <v>0</v>
      </c>
      <c r="BF162" s="39" t="n">
        <f aca="false">IF(BF$4=0,0,IF(COUNTIFS(実績!$W$6:$W$505,BF$3,実績!$AI$6:$AI$505,"&lt;="&amp;$A162,実績!$AJ$6:$AJ$505,"&gt;"&amp;$A162,実績!$AK$6:$AK$505,"○")&gt;0,1,0))</f>
        <v>0</v>
      </c>
      <c r="BG162" s="39" t="n">
        <f aca="false">IF(BG$4=0,0,IF(COUNTIFS(実績!$W$6:$W$505,BG$3,実績!$AI$6:$AI$505,"&lt;="&amp;$A162,実績!$AJ$6:$AJ$505,"&gt;"&amp;$A162,実績!$AK$6:$AK$505,"○")&gt;0,1,0))</f>
        <v>0</v>
      </c>
      <c r="BH162" s="39" t="n">
        <f aca="false">IF(BH$4=0,0,IF(COUNTIFS(実績!$W$6:$W$505,BH$3,実績!$AI$6:$AI$505,"&lt;="&amp;$A162,実績!$AJ$6:$AJ$505,"&gt;"&amp;$A162,実績!$AK$6:$AK$505,"○")&gt;0,1,0))</f>
        <v>0</v>
      </c>
      <c r="BI162" s="39" t="n">
        <f aca="false">IF(BI$4=0,0,IF(COUNTIFS(実績!$W$6:$W$505,BI$3,実績!$AI$6:$AI$505,"&lt;="&amp;$A162,実績!$AJ$6:$AJ$505,"&gt;"&amp;$A162,実績!$AK$6:$AK$505,"○")&gt;0,1,0))</f>
        <v>0</v>
      </c>
      <c r="BJ162" s="39" t="n">
        <f aca="false">IF(BJ$4=0,0,IF(COUNTIFS(実績!$W$6:$W$505,BJ$3,実績!$AI$6:$AI$505,"&lt;="&amp;$A162,実績!$AJ$6:$AJ$505,"&gt;"&amp;$A162,実績!$AK$6:$AK$505,"○")&gt;0,1,0))</f>
        <v>0</v>
      </c>
      <c r="BK162" s="39" t="n">
        <f aca="false">IF(BK$4=0,0,IF(COUNTIFS(実績!$W$6:$W$505,BK$3,実績!$AI$6:$AI$505,"&lt;="&amp;$A162,実績!$AJ$6:$AJ$505,"&gt;"&amp;$A162,実績!$AK$6:$AK$505,"○")&gt;0,1,0))</f>
        <v>0</v>
      </c>
      <c r="BL162" s="39" t="n">
        <f aca="false">IF(BL$4=0,0,IF(COUNTIFS(実績!$W$6:$W$505,BL$3,実績!$AI$6:$AI$505,"&lt;="&amp;$A162,実績!$AJ$6:$AJ$505,"&gt;"&amp;$A162,実績!$AK$6:$AK$505,"○")&gt;0,1,0))</f>
        <v>0</v>
      </c>
      <c r="BM162" s="39" t="n">
        <f aca="false">IF(BM$4=0,0,IF(COUNTIFS(実績!$W$6:$W$505,BM$3,実績!$AI$6:$AI$505,"&lt;="&amp;$A162,実績!$AJ$6:$AJ$505,"&gt;"&amp;$A162,実績!$AK$6:$AK$505,"○")&gt;0,1,0))</f>
        <v>0</v>
      </c>
      <c r="BN162" s="39" t="n">
        <f aca="false">IF(BN$4=0,0,IF(COUNTIFS(実績!$W$6:$W$505,BN$3,実績!$AI$6:$AI$505,"&lt;="&amp;$A162,実績!$AJ$6:$AJ$505,"&gt;"&amp;$A162,実績!$AK$6:$AK$505,"○")&gt;0,1,0))</f>
        <v>0</v>
      </c>
      <c r="BO162" s="39" t="n">
        <f aca="false">IF(BO$4=0,0,IF(COUNTIFS(実績!$W$6:$W$505,BO$3,実績!$AI$6:$AI$505,"&lt;="&amp;$A162,実績!$AJ$6:$AJ$505,"&gt;"&amp;$A162,実績!$AK$6:$AK$505,"○")&gt;0,1,0))</f>
        <v>0</v>
      </c>
      <c r="BP162" s="39" t="n">
        <f aca="false">IF(BP$4=0,0,IF(COUNTIFS(実績!$W$6:$W$505,BP$3,実績!$AI$6:$AI$505,"&lt;="&amp;$A162,実績!$AJ$6:$AJ$505,"&gt;"&amp;$A162,実績!$AK$6:$AK$505,"○")&gt;0,1,0))</f>
        <v>0</v>
      </c>
      <c r="BQ162" s="39" t="n">
        <f aca="false">IF(BQ$4=0,0,IF(COUNTIFS(実績!$W$6:$W$505,BQ$3,実績!$AI$6:$AI$505,"&lt;="&amp;$A162,実績!$AJ$6:$AJ$505,"&gt;"&amp;$A162,実績!$AK$6:$AK$505,"○")&gt;0,1,0))</f>
        <v>0</v>
      </c>
      <c r="BR162" s="39" t="n">
        <f aca="false">IF(BR$4=0,0,IF(COUNTIFS(実績!$W$6:$W$505,BR$3,実績!$AI$6:$AI$505,"&lt;="&amp;$A162,実績!$AJ$6:$AJ$505,"&gt;"&amp;$A162,実績!$AK$6:$AK$505,"○")&gt;0,1,0))</f>
        <v>0</v>
      </c>
      <c r="BS162" s="39" t="n">
        <f aca="false">IF(BS$4=0,0,IF(COUNTIFS(実績!$W$6:$W$505,BS$3,実績!$AI$6:$AI$505,"&lt;="&amp;$A162,実績!$AJ$6:$AJ$505,"&gt;"&amp;$A162,実績!$AK$6:$AK$505,"○")&gt;0,1,0))</f>
        <v>0</v>
      </c>
      <c r="BT162" s="39" t="n">
        <f aca="false">IF(BT$4=0,0,IF(COUNTIFS(実績!$W$6:$W$505,BT$3,実績!$AI$6:$AI$505,"&lt;="&amp;$A162,実績!$AJ$6:$AJ$505,"&gt;"&amp;$A162,実績!$AK$6:$AK$505,"○")&gt;0,1,0))</f>
        <v>0</v>
      </c>
      <c r="BU162" s="39" t="n">
        <f aca="false">IF(BU$4=0,0,IF(COUNTIFS(実績!$W$6:$W$505,BU$3,実績!$AI$6:$AI$505,"&lt;="&amp;$A162,実績!$AJ$6:$AJ$505,"&gt;"&amp;$A162,実績!$AK$6:$AK$505,"○")&gt;0,1,0))</f>
        <v>0</v>
      </c>
      <c r="BV162" s="39" t="n">
        <f aca="false">IF(BV$4=0,0,IF(COUNTIFS(実績!$W$6:$W$505,BV$3,実績!$AI$6:$AI$505,"&lt;="&amp;$A162,実績!$AJ$6:$AJ$505,"&gt;"&amp;$A162,実績!$AK$6:$AK$505,"○")&gt;0,1,0))</f>
        <v>0</v>
      </c>
      <c r="BW162" s="39" t="n">
        <f aca="false">IF(BW$4=0,0,IF(COUNTIFS(実績!$W$6:$W$505,BW$3,実績!$AI$6:$AI$505,"&lt;="&amp;$A162,実績!$AJ$6:$AJ$505,"&gt;"&amp;$A162,実績!$AK$6:$AK$505,"○")&gt;0,1,0))</f>
        <v>0</v>
      </c>
      <c r="BX162" s="39" t="n">
        <f aca="false">IF(BX$4=0,0,IF(COUNTIFS(実績!$W$6:$W$505,BX$3,実績!$AI$6:$AI$505,"&lt;="&amp;$A162,実績!$AJ$6:$AJ$505,"&gt;"&amp;$A162,実績!$AK$6:$AK$505,"○")&gt;0,1,0))</f>
        <v>0</v>
      </c>
      <c r="BY162" s="39" t="n">
        <f aca="false">IF(BY$4=0,0,IF(COUNTIFS(実績!$W$6:$W$505,BY$3,実績!$AI$6:$AI$505,"&lt;="&amp;$A162,実績!$AJ$6:$AJ$505,"&gt;"&amp;$A162,実績!$AK$6:$AK$505,"○")&gt;0,1,0))</f>
        <v>0</v>
      </c>
      <c r="BZ162" s="39" t="n">
        <f aca="false">IF(BZ$4=0,0,IF(COUNTIFS(実績!$W$6:$W$505,BZ$3,実績!$AI$6:$AI$505,"&lt;="&amp;$A162,実績!$AJ$6:$AJ$505,"&gt;"&amp;$A162,実績!$AK$6:$AK$505,"○")&gt;0,1,0))</f>
        <v>0</v>
      </c>
      <c r="CA162" s="39" t="n">
        <f aca="false">IF(CA$4=0,0,IF(COUNTIFS(実績!$W$6:$W$505,CA$3,実績!$AI$6:$AI$505,"&lt;="&amp;$A162,実績!$AJ$6:$AJ$505,"&gt;"&amp;$A162,実績!$AK$6:$AK$505,"○")&gt;0,1,0))</f>
        <v>0</v>
      </c>
      <c r="CB162" s="39" t="n">
        <f aca="false">IF(CB$4=0,0,IF(COUNTIFS(実績!$W$6:$W$505,CB$3,実績!$AI$6:$AI$505,"&lt;="&amp;$A162,実績!$AJ$6:$AJ$505,"&gt;"&amp;$A162,実績!$AK$6:$AK$505,"○")&gt;0,1,0))</f>
        <v>0</v>
      </c>
      <c r="CC162" s="39" t="n">
        <f aca="false">IF(CC$4=0,0,IF(COUNTIFS(実績!$W$6:$W$505,CC$3,実績!$AI$6:$AI$505,"&lt;="&amp;$A162,実績!$AJ$6:$AJ$505,"&gt;"&amp;$A162,実績!$AK$6:$AK$505,"○")&gt;0,1,0))</f>
        <v>0</v>
      </c>
      <c r="CD162" s="39" t="n">
        <f aca="false">IF(CD$4=0,0,IF(COUNTIFS(実績!$W$6:$W$505,CD$3,実績!$AI$6:$AI$505,"&lt;="&amp;$A162,実績!$AJ$6:$AJ$505,"&gt;"&amp;$A162,実績!$AK$6:$AK$505,"○")&gt;0,1,0))</f>
        <v>0</v>
      </c>
      <c r="CE162" s="39" t="n">
        <f aca="false">IF(CE$4=0,0,IF(COUNTIFS(実績!$W$6:$W$505,CE$3,実績!$AI$6:$AI$505,"&lt;="&amp;$A162,実績!$AJ$6:$AJ$505,"&gt;"&amp;$A162,実績!$AK$6:$AK$505,"○")&gt;0,1,0))</f>
        <v>0</v>
      </c>
      <c r="CF162" s="39" t="n">
        <f aca="false">IF(CF$4=0,0,IF(COUNTIFS(実績!$W$6:$W$505,CF$3,実績!$AI$6:$AI$505,"&lt;="&amp;$A162,実績!$AJ$6:$AJ$505,"&gt;"&amp;$A162,実績!$AK$6:$AK$505,"○")&gt;0,1,0))</f>
        <v>0</v>
      </c>
      <c r="CG162" s="39" t="n">
        <f aca="false">IF(CG$4=0,0,IF(COUNTIFS(実績!$W$6:$W$505,CG$3,実績!$AI$6:$AI$505,"&lt;="&amp;$A162,実績!$AJ$6:$AJ$505,"&gt;"&amp;$A162,実績!$AK$6:$AK$505,"○")&gt;0,1,0))</f>
        <v>0</v>
      </c>
      <c r="CH162" s="39" t="n">
        <f aca="false">IF(CH$4=0,0,IF(COUNTIFS(実績!$W$6:$W$505,CH$3,実績!$AI$6:$AI$505,"&lt;="&amp;$A162,実績!$AJ$6:$AJ$505,"&gt;"&amp;$A162,実績!$AK$6:$AK$505,"○")&gt;0,1,0))</f>
        <v>0</v>
      </c>
      <c r="CI162" s="39" t="n">
        <f aca="false">IF(CI$4=0,0,IF(COUNTIFS(実績!$W$6:$W$505,CI$3,実績!$AI$6:$AI$505,"&lt;="&amp;$A162,実績!$AJ$6:$AJ$505,"&gt;"&amp;$A162,実績!$AK$6:$AK$505,"○")&gt;0,1,0))</f>
        <v>0</v>
      </c>
      <c r="CJ162" s="39" t="n">
        <f aca="false">IF(CJ$4=0,0,IF(COUNTIFS(実績!$W$6:$W$505,CJ$3,実績!$AI$6:$AI$505,"&lt;="&amp;$A162,実績!$AJ$6:$AJ$505,"&gt;"&amp;$A162,実績!$AK$6:$AK$505,"○")&gt;0,1,0))</f>
        <v>0</v>
      </c>
      <c r="CK162" s="39" t="n">
        <f aca="false">IF(CK$4=0,0,IF(COUNTIFS(実績!$W$6:$W$505,CK$3,実績!$AI$6:$AI$505,"&lt;="&amp;$A162,実績!$AJ$6:$AJ$505,"&gt;"&amp;$A162,実績!$AK$6:$AK$505,"○")&gt;0,1,0))</f>
        <v>0</v>
      </c>
      <c r="CL162" s="39" t="n">
        <f aca="false">IF(CL$4=0,0,IF(COUNTIFS(実績!$W$6:$W$505,CL$3,実績!$AI$6:$AI$505,"&lt;="&amp;$A162,実績!$AJ$6:$AJ$505,"&gt;"&amp;$A162,実績!$AK$6:$AK$505,"○")&gt;0,1,0))</f>
        <v>0</v>
      </c>
      <c r="CM162" s="39" t="n">
        <f aca="false">IF(CM$4=0,0,IF(COUNTIFS(実績!$W$6:$W$505,CM$3,実績!$AI$6:$AI$505,"&lt;="&amp;$A162,実績!$AJ$6:$AJ$505,"&gt;"&amp;$A162,実績!$AK$6:$AK$505,"○")&gt;0,1,0))</f>
        <v>0</v>
      </c>
      <c r="CN162" s="39" t="n">
        <f aca="false">IF(CN$4=0,0,IF(COUNTIFS(実績!$W$6:$W$505,CN$3,実績!$AI$6:$AI$505,"&lt;="&amp;$A162,実績!$AJ$6:$AJ$505,"&gt;"&amp;$A162,実績!$AK$6:$AK$505,"○")&gt;0,1,0))</f>
        <v>0</v>
      </c>
      <c r="CO162" s="39" t="n">
        <f aca="false">IF(CO$4=0,0,IF(COUNTIFS(実績!$W$6:$W$505,CO$3,実績!$AI$6:$AI$505,"&lt;="&amp;$A162,実績!$AJ$6:$AJ$505,"&gt;"&amp;$A162,実績!$AK$6:$AK$505,"○")&gt;0,1,0))</f>
        <v>0</v>
      </c>
      <c r="CP162" s="39" t="n">
        <f aca="false">IF(CP$4=0,0,IF(COUNTIFS(実績!$W$6:$W$505,CP$3,実績!$AI$6:$AI$505,"&lt;="&amp;$A162,実績!$AJ$6:$AJ$505,"&gt;"&amp;$A162,実績!$AK$6:$AK$505,"○")&gt;0,1,0))</f>
        <v>0</v>
      </c>
      <c r="CQ162" s="39" t="n">
        <f aca="false">IF(CQ$4=0,0,IF(COUNTIFS(実績!$W$6:$W$505,CQ$3,実績!$AI$6:$AI$505,"&lt;="&amp;$A162,実績!$AJ$6:$AJ$505,"&gt;"&amp;$A162,実績!$AK$6:$AK$505,"○")&gt;0,1,0))</f>
        <v>0</v>
      </c>
      <c r="CR162" s="39" t="n">
        <f aca="false">IF(CR$4=0,0,IF(COUNTIFS(実績!$W$6:$W$505,CR$3,実績!$AI$6:$AI$505,"&lt;="&amp;$A162,実績!$AJ$6:$AJ$505,"&gt;"&amp;$A162,実績!$AK$6:$AK$505,"○")&gt;0,1,0))</f>
        <v>0</v>
      </c>
      <c r="CS162" s="39" t="n">
        <f aca="false">IF(CS$4=0,0,IF(COUNTIFS(実績!$W$6:$W$505,CS$3,実績!$AI$6:$AI$505,"&lt;="&amp;$A162,実績!$AJ$6:$AJ$505,"&gt;"&amp;$A162,実績!$AK$6:$AK$505,"○")&gt;0,1,0))</f>
        <v>0</v>
      </c>
      <c r="CT162" s="39" t="n">
        <f aca="false">IF(CT$4=0,0,IF(COUNTIFS(実績!$W$6:$W$505,CT$3,実績!$AI$6:$AI$505,"&lt;="&amp;$A162,実績!$AJ$6:$AJ$505,"&gt;"&amp;$A162,実績!$AK$6:$AK$505,"○")&gt;0,1,0))</f>
        <v>0</v>
      </c>
      <c r="CU162" s="39" t="n">
        <f aca="false">IF(CU$4=0,0,IF(COUNTIFS(実績!$W$6:$W$505,CU$3,実績!$AI$6:$AI$505,"&lt;="&amp;$A162,実績!$AJ$6:$AJ$505,"&gt;"&amp;$A162,実績!$AK$6:$AK$505,"○")&gt;0,1,0))</f>
        <v>0</v>
      </c>
      <c r="CV162" s="39" t="n">
        <f aca="false">IF(CV$4=0,0,IF(COUNTIFS(実績!$W$6:$W$505,CV$3,実績!$AI$6:$AI$505,"&lt;="&amp;$A162,実績!$AJ$6:$AJ$505,"&gt;"&amp;$A162,実績!$AK$6:$AK$505,"○")&gt;0,1,0))</f>
        <v>0</v>
      </c>
      <c r="CW162" s="39" t="n">
        <f aca="false">IF(CW$4=0,0,IF(COUNTIFS(実績!$W$6:$W$505,CW$3,実績!$AI$6:$AI$505,"&lt;="&amp;$A162,実績!$AJ$6:$AJ$505,"&gt;"&amp;$A162,実績!$AK$6:$AK$505,"○")&gt;0,1,0))</f>
        <v>0</v>
      </c>
      <c r="CX162" s="39" t="n">
        <f aca="false">IF(CX$4=0,0,IF(COUNTIFS(実績!$W$6:$W$505,CX$3,実績!$AI$6:$AI$505,"&lt;="&amp;$A162,実績!$AJ$6:$AJ$505,"&gt;"&amp;$A162,実績!$AK$6:$AK$505,"○")&gt;0,1,0))</f>
        <v>0</v>
      </c>
      <c r="CY162" s="39" t="n">
        <f aca="false">IF(CY$4=0,0,IF(COUNTIFS(実績!$W$6:$W$505,CY$3,実績!$AI$6:$AI$505,"&lt;="&amp;$A162,実績!$AJ$6:$AJ$505,"&gt;"&amp;$A162,実績!$AK$6:$AK$505,"○")&gt;0,1,0))</f>
        <v>0</v>
      </c>
      <c r="CZ162" s="39" t="n">
        <f aca="false">IF(CZ$4=0,0,IF(COUNTIFS(実績!$W$6:$W$505,CZ$3,実績!$AI$6:$AI$505,"&lt;="&amp;$A162,実績!$AJ$6:$AJ$505,"&gt;"&amp;$A162,実績!$AK$6:$AK$505,"○")&gt;0,1,0))</f>
        <v>0</v>
      </c>
      <c r="DA162" s="39" t="n">
        <f aca="false">IF(DA$4=0,0,IF(COUNTIFS(実績!$W$6:$W$505,DA$3,実績!$AI$6:$AI$505,"&lt;="&amp;$A162,実績!$AJ$6:$AJ$505,"&gt;"&amp;$A162,実績!$AK$6:$AK$505,"○")&gt;0,1,0))</f>
        <v>0</v>
      </c>
      <c r="DB162" s="39" t="n">
        <f aca="false">IF(DB$4=0,0,IF(COUNTIFS(実績!$W$6:$W$505,DB$3,実績!$AI$6:$AI$505,"&lt;="&amp;$A162,実績!$AJ$6:$AJ$505,"&gt;"&amp;$A162,実績!$AK$6:$AK$505,"○")&gt;0,1,0))</f>
        <v>0</v>
      </c>
      <c r="DC162" s="39" t="n">
        <f aca="false">IF(DC$4=0,0,IF(COUNTIFS(実績!$W$6:$W$505,DC$3,実績!$AI$6:$AI$505,"&lt;="&amp;$A162,実績!$AJ$6:$AJ$505,"&gt;"&amp;$A162,実績!$AK$6:$AK$505,"○")&gt;0,1,0))</f>
        <v>0</v>
      </c>
      <c r="DD162" s="39" t="n">
        <f aca="false">IF(DD$4=0,0,IF(COUNTIFS(実績!$W$6:$W$505,DD$3,実績!$AI$6:$AI$505,"&lt;="&amp;$A162,実績!$AJ$6:$AJ$505,"&gt;"&amp;$A162,実績!$AK$6:$AK$505,"○")&gt;0,1,0))</f>
        <v>0</v>
      </c>
      <c r="DE162" s="39" t="n">
        <f aca="false">IF(DE$4=0,0,IF(COUNTIFS(実績!$W$6:$W$505,DE$3,実績!$AI$6:$AI$505,"&lt;="&amp;$A162,実績!$AJ$6:$AJ$505,"&gt;"&amp;$A162,実績!$AK$6:$AK$505,"○")&gt;0,1,0))</f>
        <v>0</v>
      </c>
      <c r="DF162" s="39" t="n">
        <f aca="false">IF(DF$4=0,0,IF(COUNTIFS(実績!$W$6:$W$505,DF$3,実績!$AI$6:$AI$505,"&lt;="&amp;$A162,実績!$AJ$6:$AJ$505,"&gt;"&amp;$A162,実績!$AK$6:$AK$505,"○")&gt;0,1,0))</f>
        <v>0</v>
      </c>
      <c r="DG162" s="39" t="n">
        <f aca="false">IF(DG$4=0,0,IF(COUNTIFS(実績!$W$6:$W$505,DG$3,実績!$AI$6:$AI$505,"&lt;="&amp;$A162,実績!$AJ$6:$AJ$505,"&gt;"&amp;$A162,実績!$AK$6:$AK$505,"○")&gt;0,1,0))</f>
        <v>0</v>
      </c>
      <c r="DH162" s="39" t="n">
        <f aca="false">IF(DH$4=0,0,IF(COUNTIFS(実績!$W$6:$W$505,DH$3,実績!$AI$6:$AI$505,"&lt;="&amp;$A162,実績!$AJ$6:$AJ$505,"&gt;"&amp;$A162,実績!$AK$6:$AK$505,"○")&gt;0,1,0))</f>
        <v>0</v>
      </c>
      <c r="DI162" s="39" t="n">
        <f aca="false">IF(DI$4=0,0,IF(COUNTIFS(実績!$W$6:$W$505,DI$3,実績!$AI$6:$AI$505,"&lt;="&amp;$A162,実績!$AJ$6:$AJ$505,"&gt;"&amp;$A162,実績!$AK$6:$AK$505,"○")&gt;0,1,0))</f>
        <v>0</v>
      </c>
      <c r="DJ162" s="39" t="n">
        <f aca="false">IF(DJ$4=0,0,IF(COUNTIFS(実績!$W$6:$W$505,DJ$3,実績!$AI$6:$AI$505,"&lt;="&amp;$A162,実績!$AJ$6:$AJ$505,"&gt;"&amp;$A162,実績!$AK$6:$AK$505,"○")&gt;0,1,0))</f>
        <v>0</v>
      </c>
      <c r="DK162" s="39" t="n">
        <f aca="false">IF(DK$4=0,0,IF(COUNTIFS(実績!$W$6:$W$505,DK$3,実績!$AI$6:$AI$505,"&lt;="&amp;$A162,実績!$AJ$6:$AJ$505,"&gt;"&amp;$A162,実績!$AK$6:$AK$505,"○")&gt;0,1,0))</f>
        <v>0</v>
      </c>
      <c r="DL162" s="39" t="n">
        <f aca="false">IF(DL$4=0,0,IF(COUNTIFS(実績!$W$6:$W$505,DL$3,実績!$AI$6:$AI$505,"&lt;="&amp;$A162,実績!$AJ$6:$AJ$505,"&gt;"&amp;$A162,実績!$AK$6:$AK$505,"○")&gt;0,1,0))</f>
        <v>0</v>
      </c>
      <c r="DM162" s="39" t="n">
        <f aca="false">IF(DM$4=0,0,IF(COUNTIFS(実績!$W$6:$W$505,DM$3,実績!$AI$6:$AI$505,"&lt;="&amp;$A162,実績!$AJ$6:$AJ$505,"&gt;"&amp;$A162,実績!$AK$6:$AK$505,"○")&gt;0,1,0))</f>
        <v>0</v>
      </c>
      <c r="DN162" s="39" t="n">
        <f aca="false">IF(DN$4=0,0,IF(COUNTIFS(実績!$W$6:$W$505,DN$3,実績!$AI$6:$AI$505,"&lt;="&amp;$A162,実績!$AJ$6:$AJ$505,"&gt;"&amp;$A162,実績!$AK$6:$AK$505,"○")&gt;0,1,0))</f>
        <v>0</v>
      </c>
      <c r="DO162" s="39" t="n">
        <f aca="false">IF(DO$4=0,0,IF(COUNTIFS(実績!$W$6:$W$505,DO$3,実績!$AI$6:$AI$505,"&lt;="&amp;$A162,実績!$AJ$6:$AJ$505,"&gt;"&amp;$A162,実績!$AK$6:$AK$505,"○")&gt;0,1,0))</f>
        <v>0</v>
      </c>
      <c r="DP162" s="39" t="n">
        <f aca="false">IF(DP$4=0,0,IF(COUNTIFS(実績!$W$6:$W$505,DP$3,実績!$AI$6:$AI$505,"&lt;="&amp;$A162,実績!$AJ$6:$AJ$505,"&gt;"&amp;$A162,実績!$AK$6:$AK$505,"○")&gt;0,1,0))</f>
        <v>0</v>
      </c>
      <c r="DQ162" s="39" t="n">
        <f aca="false">IF(DQ$4=0,0,IF(COUNTIFS(実績!$W$6:$W$505,DQ$3,実績!$AI$6:$AI$505,"&lt;="&amp;$A162,実績!$AJ$6:$AJ$505,"&gt;"&amp;$A162,実績!$AK$6:$AK$505,"○")&gt;0,1,0))</f>
        <v>0</v>
      </c>
      <c r="DR162" s="39" t="n">
        <f aca="false">IF(DR$4=0,0,IF(COUNTIFS(実績!$W$6:$W$505,DR$3,実績!$AI$6:$AI$505,"&lt;="&amp;$A162,実績!$AJ$6:$AJ$505,"&gt;"&amp;$A162,実績!$AK$6:$AK$505,"○")&gt;0,1,0))</f>
        <v>0</v>
      </c>
      <c r="DS162" s="39" t="n">
        <f aca="false">SUM(C162:DR162)</f>
        <v>0</v>
      </c>
      <c r="DT162" s="39" t="n">
        <f aca="false">SUMPRODUCT((実績!$C$6:$C$505="○")*ISNUMBER(実績!$AM$6:$AM$505)*(実績!$AM$6:$AM$505&lt;=$A162)*(実績!$AN$6:$AN$505&gt;$A162))</f>
        <v>0</v>
      </c>
      <c r="DU162" s="39" t="n">
        <f aca="false">SUMIF($C$2:$DR$2,"製鉄曳船",C162:DR162)</f>
        <v>0</v>
      </c>
      <c r="DV162" s="39" t="n">
        <f aca="false">SUMIF($C$2:$DR$2,"西日本海運",C162:DR162)</f>
        <v>0</v>
      </c>
    </row>
    <row r="163" customFormat="false" ht="15" hidden="false" customHeight="false" outlineLevel="0" collapsed="false">
      <c r="A163" s="0" t="n">
        <v>785</v>
      </c>
      <c r="B163" s="38" t="n">
        <f aca="false">A163/1440</f>
        <v>0.545138888888889</v>
      </c>
      <c r="C163" s="39" t="n">
        <f aca="false">IF(C$4=0,0,IF(COUNTIFS(実績!$W$6:$W$505,C$3,実績!$AI$6:$AI$505,"&lt;="&amp;$A163,実績!$AJ$6:$AJ$505,"&gt;"&amp;$A163,実績!$AK$6:$AK$505,"○")&gt;0,1,0))</f>
        <v>0</v>
      </c>
      <c r="D163" s="39" t="n">
        <f aca="false">IF(D$4=0,0,IF(COUNTIFS(実績!$W$6:$W$505,D$3,実績!$AI$6:$AI$505,"&lt;="&amp;$A163,実績!$AJ$6:$AJ$505,"&gt;"&amp;$A163,実績!$AK$6:$AK$505,"○")&gt;0,1,0))</f>
        <v>0</v>
      </c>
      <c r="E163" s="39" t="n">
        <f aca="false">IF(E$4=0,0,IF(COUNTIFS(実績!$W$6:$W$505,E$3,実績!$AI$6:$AI$505,"&lt;="&amp;$A163,実績!$AJ$6:$AJ$505,"&gt;"&amp;$A163,実績!$AK$6:$AK$505,"○")&gt;0,1,0))</f>
        <v>0</v>
      </c>
      <c r="F163" s="39" t="n">
        <f aca="false">IF(F$4=0,0,IF(COUNTIFS(実績!$W$6:$W$505,F$3,実績!$AI$6:$AI$505,"&lt;="&amp;$A163,実績!$AJ$6:$AJ$505,"&gt;"&amp;$A163,実績!$AK$6:$AK$505,"○")&gt;0,1,0))</f>
        <v>0</v>
      </c>
      <c r="G163" s="39" t="n">
        <f aca="false">IF(G$4=0,0,IF(COUNTIFS(実績!$W$6:$W$505,G$3,実績!$AI$6:$AI$505,"&lt;="&amp;$A163,実績!$AJ$6:$AJ$505,"&gt;"&amp;$A163,実績!$AK$6:$AK$505,"○")&gt;0,1,0))</f>
        <v>0</v>
      </c>
      <c r="H163" s="39" t="n">
        <f aca="false">IF(H$4=0,0,IF(COUNTIFS(実績!$W$6:$W$505,H$3,実績!$AI$6:$AI$505,"&lt;="&amp;$A163,実績!$AJ$6:$AJ$505,"&gt;"&amp;$A163,実績!$AK$6:$AK$505,"○")&gt;0,1,0))</f>
        <v>0</v>
      </c>
      <c r="I163" s="39" t="n">
        <f aca="false">IF(I$4=0,0,IF(COUNTIFS(実績!$W$6:$W$505,I$3,実績!$AI$6:$AI$505,"&lt;="&amp;$A163,実績!$AJ$6:$AJ$505,"&gt;"&amp;$A163,実績!$AK$6:$AK$505,"○")&gt;0,1,0))</f>
        <v>0</v>
      </c>
      <c r="J163" s="39" t="n">
        <f aca="false">IF(J$4=0,0,IF(COUNTIFS(実績!$W$6:$W$505,J$3,実績!$AI$6:$AI$505,"&lt;="&amp;$A163,実績!$AJ$6:$AJ$505,"&gt;"&amp;$A163,実績!$AK$6:$AK$505,"○")&gt;0,1,0))</f>
        <v>0</v>
      </c>
      <c r="K163" s="39" t="n">
        <f aca="false">IF(K$4=0,0,IF(COUNTIFS(実績!$W$6:$W$505,K$3,実績!$AI$6:$AI$505,"&lt;="&amp;$A163,実績!$AJ$6:$AJ$505,"&gt;"&amp;$A163,実績!$AK$6:$AK$505,"○")&gt;0,1,0))</f>
        <v>0</v>
      </c>
      <c r="L163" s="39" t="n">
        <f aca="false">IF(L$4=0,0,IF(COUNTIFS(実績!$W$6:$W$505,L$3,実績!$AI$6:$AI$505,"&lt;="&amp;$A163,実績!$AJ$6:$AJ$505,"&gt;"&amp;$A163,実績!$AK$6:$AK$505,"○")&gt;0,1,0))</f>
        <v>0</v>
      </c>
      <c r="M163" s="39" t="n">
        <f aca="false">IF(M$4=0,0,IF(COUNTIFS(実績!$W$6:$W$505,M$3,実績!$AI$6:$AI$505,"&lt;="&amp;$A163,実績!$AJ$6:$AJ$505,"&gt;"&amp;$A163,実績!$AK$6:$AK$505,"○")&gt;0,1,0))</f>
        <v>0</v>
      </c>
      <c r="N163" s="39" t="n">
        <f aca="false">IF(N$4=0,0,IF(COUNTIFS(実績!$W$6:$W$505,N$3,実績!$AI$6:$AI$505,"&lt;="&amp;$A163,実績!$AJ$6:$AJ$505,"&gt;"&amp;$A163,実績!$AK$6:$AK$505,"○")&gt;0,1,0))</f>
        <v>0</v>
      </c>
      <c r="O163" s="39" t="n">
        <f aca="false">IF(O$4=0,0,IF(COUNTIFS(実績!$W$6:$W$505,O$3,実績!$AI$6:$AI$505,"&lt;="&amp;$A163,実績!$AJ$6:$AJ$505,"&gt;"&amp;$A163,実績!$AK$6:$AK$505,"○")&gt;0,1,0))</f>
        <v>0</v>
      </c>
      <c r="P163" s="39" t="n">
        <f aca="false">IF(P$4=0,0,IF(COUNTIFS(実績!$W$6:$W$505,P$3,実績!$AI$6:$AI$505,"&lt;="&amp;$A163,実績!$AJ$6:$AJ$505,"&gt;"&amp;$A163,実績!$AK$6:$AK$505,"○")&gt;0,1,0))</f>
        <v>0</v>
      </c>
      <c r="Q163" s="39" t="n">
        <f aca="false">IF(Q$4=0,0,IF(COUNTIFS(実績!$W$6:$W$505,Q$3,実績!$AI$6:$AI$505,"&lt;="&amp;$A163,実績!$AJ$6:$AJ$505,"&gt;"&amp;$A163,実績!$AK$6:$AK$505,"○")&gt;0,1,0))</f>
        <v>0</v>
      </c>
      <c r="R163" s="39" t="n">
        <f aca="false">IF(R$4=0,0,IF(COUNTIFS(実績!$W$6:$W$505,R$3,実績!$AI$6:$AI$505,"&lt;="&amp;$A163,実績!$AJ$6:$AJ$505,"&gt;"&amp;$A163,実績!$AK$6:$AK$505,"○")&gt;0,1,0))</f>
        <v>0</v>
      </c>
      <c r="S163" s="39" t="n">
        <f aca="false">IF(S$4=0,0,IF(COUNTIFS(実績!$W$6:$W$505,S$3,実績!$AI$6:$AI$505,"&lt;="&amp;$A163,実績!$AJ$6:$AJ$505,"&gt;"&amp;$A163,実績!$AK$6:$AK$505,"○")&gt;0,1,0))</f>
        <v>0</v>
      </c>
      <c r="T163" s="39" t="n">
        <f aca="false">IF(T$4=0,0,IF(COUNTIFS(実績!$W$6:$W$505,T$3,実績!$AI$6:$AI$505,"&lt;="&amp;$A163,実績!$AJ$6:$AJ$505,"&gt;"&amp;$A163,実績!$AK$6:$AK$505,"○")&gt;0,1,0))</f>
        <v>0</v>
      </c>
      <c r="U163" s="39" t="n">
        <f aca="false">IF(U$4=0,0,IF(COUNTIFS(実績!$W$6:$W$505,U$3,実績!$AI$6:$AI$505,"&lt;="&amp;$A163,実績!$AJ$6:$AJ$505,"&gt;"&amp;$A163,実績!$AK$6:$AK$505,"○")&gt;0,1,0))</f>
        <v>0</v>
      </c>
      <c r="V163" s="39" t="n">
        <f aca="false">IF(V$4=0,0,IF(COUNTIFS(実績!$W$6:$W$505,V$3,実績!$AI$6:$AI$505,"&lt;="&amp;$A163,実績!$AJ$6:$AJ$505,"&gt;"&amp;$A163,実績!$AK$6:$AK$505,"○")&gt;0,1,0))</f>
        <v>0</v>
      </c>
      <c r="W163" s="39" t="n">
        <f aca="false">IF(W$4=0,0,IF(COUNTIFS(実績!$W$6:$W$505,W$3,実績!$AI$6:$AI$505,"&lt;="&amp;$A163,実績!$AJ$6:$AJ$505,"&gt;"&amp;$A163,実績!$AK$6:$AK$505,"○")&gt;0,1,0))</f>
        <v>0</v>
      </c>
      <c r="X163" s="39" t="n">
        <f aca="false">IF(X$4=0,0,IF(COUNTIFS(実績!$W$6:$W$505,X$3,実績!$AI$6:$AI$505,"&lt;="&amp;$A163,実績!$AJ$6:$AJ$505,"&gt;"&amp;$A163,実績!$AK$6:$AK$505,"○")&gt;0,1,0))</f>
        <v>0</v>
      </c>
      <c r="Y163" s="39" t="n">
        <f aca="false">IF(Y$4=0,0,IF(COUNTIFS(実績!$W$6:$W$505,Y$3,実績!$AI$6:$AI$505,"&lt;="&amp;$A163,実績!$AJ$6:$AJ$505,"&gt;"&amp;$A163,実績!$AK$6:$AK$505,"○")&gt;0,1,0))</f>
        <v>0</v>
      </c>
      <c r="Z163" s="39" t="n">
        <f aca="false">IF(Z$4=0,0,IF(COUNTIFS(実績!$W$6:$W$505,Z$3,実績!$AI$6:$AI$505,"&lt;="&amp;$A163,実績!$AJ$6:$AJ$505,"&gt;"&amp;$A163,実績!$AK$6:$AK$505,"○")&gt;0,1,0))</f>
        <v>0</v>
      </c>
      <c r="AA163" s="39" t="n">
        <f aca="false">IF(AA$4=0,0,IF(COUNTIFS(実績!$W$6:$W$505,AA$3,実績!$AI$6:$AI$505,"&lt;="&amp;$A163,実績!$AJ$6:$AJ$505,"&gt;"&amp;$A163,実績!$AK$6:$AK$505,"○")&gt;0,1,0))</f>
        <v>0</v>
      </c>
      <c r="AB163" s="39" t="n">
        <f aca="false">IF(AB$4=0,0,IF(COUNTIFS(実績!$W$6:$W$505,AB$3,実績!$AI$6:$AI$505,"&lt;="&amp;$A163,実績!$AJ$6:$AJ$505,"&gt;"&amp;$A163,実績!$AK$6:$AK$505,"○")&gt;0,1,0))</f>
        <v>0</v>
      </c>
      <c r="AC163" s="39" t="n">
        <f aca="false">IF(AC$4=0,0,IF(COUNTIFS(実績!$W$6:$W$505,AC$3,実績!$AI$6:$AI$505,"&lt;="&amp;$A163,実績!$AJ$6:$AJ$505,"&gt;"&amp;$A163,実績!$AK$6:$AK$505,"○")&gt;0,1,0))</f>
        <v>0</v>
      </c>
      <c r="AD163" s="39" t="n">
        <f aca="false">IF(AD$4=0,0,IF(COUNTIFS(実績!$W$6:$W$505,AD$3,実績!$AI$6:$AI$505,"&lt;="&amp;$A163,実績!$AJ$6:$AJ$505,"&gt;"&amp;$A163,実績!$AK$6:$AK$505,"○")&gt;0,1,0))</f>
        <v>0</v>
      </c>
      <c r="AE163" s="39" t="n">
        <f aca="false">IF(AE$4=0,0,IF(COUNTIFS(実績!$W$6:$W$505,AE$3,実績!$AI$6:$AI$505,"&lt;="&amp;$A163,実績!$AJ$6:$AJ$505,"&gt;"&amp;$A163,実績!$AK$6:$AK$505,"○")&gt;0,1,0))</f>
        <v>0</v>
      </c>
      <c r="AF163" s="39" t="n">
        <f aca="false">IF(AF$4=0,0,IF(COUNTIFS(実績!$W$6:$W$505,AF$3,実績!$AI$6:$AI$505,"&lt;="&amp;$A163,実績!$AJ$6:$AJ$505,"&gt;"&amp;$A163,実績!$AK$6:$AK$505,"○")&gt;0,1,0))</f>
        <v>0</v>
      </c>
      <c r="AG163" s="39" t="n">
        <f aca="false">IF(AG$4=0,0,IF(COUNTIFS(実績!$W$6:$W$505,AG$3,実績!$AI$6:$AI$505,"&lt;="&amp;$A163,実績!$AJ$6:$AJ$505,"&gt;"&amp;$A163,実績!$AK$6:$AK$505,"○")&gt;0,1,0))</f>
        <v>0</v>
      </c>
      <c r="AH163" s="39" t="n">
        <f aca="false">IF(AH$4=0,0,IF(COUNTIFS(実績!$W$6:$W$505,AH$3,実績!$AI$6:$AI$505,"&lt;="&amp;$A163,実績!$AJ$6:$AJ$505,"&gt;"&amp;$A163,実績!$AK$6:$AK$505,"○")&gt;0,1,0))</f>
        <v>0</v>
      </c>
      <c r="AI163" s="39" t="n">
        <f aca="false">IF(AI$4=0,0,IF(COUNTIFS(実績!$W$6:$W$505,AI$3,実績!$AI$6:$AI$505,"&lt;="&amp;$A163,実績!$AJ$6:$AJ$505,"&gt;"&amp;$A163,実績!$AK$6:$AK$505,"○")&gt;0,1,0))</f>
        <v>0</v>
      </c>
      <c r="AJ163" s="39" t="n">
        <f aca="false">IF(AJ$4=0,0,IF(COUNTIFS(実績!$W$6:$W$505,AJ$3,実績!$AI$6:$AI$505,"&lt;="&amp;$A163,実績!$AJ$6:$AJ$505,"&gt;"&amp;$A163,実績!$AK$6:$AK$505,"○")&gt;0,1,0))</f>
        <v>0</v>
      </c>
      <c r="AK163" s="39" t="n">
        <f aca="false">IF(AK$4=0,0,IF(COUNTIFS(実績!$W$6:$W$505,AK$3,実績!$AI$6:$AI$505,"&lt;="&amp;$A163,実績!$AJ$6:$AJ$505,"&gt;"&amp;$A163,実績!$AK$6:$AK$505,"○")&gt;0,1,0))</f>
        <v>0</v>
      </c>
      <c r="AL163" s="39" t="n">
        <f aca="false">IF(AL$4=0,0,IF(COUNTIFS(実績!$W$6:$W$505,AL$3,実績!$AI$6:$AI$505,"&lt;="&amp;$A163,実績!$AJ$6:$AJ$505,"&gt;"&amp;$A163,実績!$AK$6:$AK$505,"○")&gt;0,1,0))</f>
        <v>0</v>
      </c>
      <c r="AM163" s="39" t="n">
        <f aca="false">IF(AM$4=0,0,IF(COUNTIFS(実績!$W$6:$W$505,AM$3,実績!$AI$6:$AI$505,"&lt;="&amp;$A163,実績!$AJ$6:$AJ$505,"&gt;"&amp;$A163,実績!$AK$6:$AK$505,"○")&gt;0,1,0))</f>
        <v>0</v>
      </c>
      <c r="AN163" s="39" t="n">
        <f aca="false">IF(AN$4=0,0,IF(COUNTIFS(実績!$W$6:$W$505,AN$3,実績!$AI$6:$AI$505,"&lt;="&amp;$A163,実績!$AJ$6:$AJ$505,"&gt;"&amp;$A163,実績!$AK$6:$AK$505,"○")&gt;0,1,0))</f>
        <v>0</v>
      </c>
      <c r="AO163" s="39" t="n">
        <f aca="false">IF(AO$4=0,0,IF(COUNTIFS(実績!$W$6:$W$505,AO$3,実績!$AI$6:$AI$505,"&lt;="&amp;$A163,実績!$AJ$6:$AJ$505,"&gt;"&amp;$A163,実績!$AK$6:$AK$505,"○")&gt;0,1,0))</f>
        <v>0</v>
      </c>
      <c r="AP163" s="39" t="n">
        <f aca="false">IF(AP$4=0,0,IF(COUNTIFS(実績!$W$6:$W$505,AP$3,実績!$AI$6:$AI$505,"&lt;="&amp;$A163,実績!$AJ$6:$AJ$505,"&gt;"&amp;$A163,実績!$AK$6:$AK$505,"○")&gt;0,1,0))</f>
        <v>0</v>
      </c>
      <c r="AQ163" s="39" t="n">
        <f aca="false">IF(AQ$4=0,0,IF(COUNTIFS(実績!$W$6:$W$505,AQ$3,実績!$AI$6:$AI$505,"&lt;="&amp;$A163,実績!$AJ$6:$AJ$505,"&gt;"&amp;$A163,実績!$AK$6:$AK$505,"○")&gt;0,1,0))</f>
        <v>0</v>
      </c>
      <c r="AR163" s="39" t="n">
        <f aca="false">IF(AR$4=0,0,IF(COUNTIFS(実績!$W$6:$W$505,AR$3,実績!$AI$6:$AI$505,"&lt;="&amp;$A163,実績!$AJ$6:$AJ$505,"&gt;"&amp;$A163,実績!$AK$6:$AK$505,"○")&gt;0,1,0))</f>
        <v>0</v>
      </c>
      <c r="AS163" s="39" t="n">
        <f aca="false">IF(AS$4=0,0,IF(COUNTIFS(実績!$W$6:$W$505,AS$3,実績!$AI$6:$AI$505,"&lt;="&amp;$A163,実績!$AJ$6:$AJ$505,"&gt;"&amp;$A163,実績!$AK$6:$AK$505,"○")&gt;0,1,0))</f>
        <v>0</v>
      </c>
      <c r="AT163" s="39" t="n">
        <f aca="false">IF(AT$4=0,0,IF(COUNTIFS(実績!$W$6:$W$505,AT$3,実績!$AI$6:$AI$505,"&lt;="&amp;$A163,実績!$AJ$6:$AJ$505,"&gt;"&amp;$A163,実績!$AK$6:$AK$505,"○")&gt;0,1,0))</f>
        <v>0</v>
      </c>
      <c r="AU163" s="39" t="n">
        <f aca="false">IF(AU$4=0,0,IF(COUNTIFS(実績!$W$6:$W$505,AU$3,実績!$AI$6:$AI$505,"&lt;="&amp;$A163,実績!$AJ$6:$AJ$505,"&gt;"&amp;$A163,実績!$AK$6:$AK$505,"○")&gt;0,1,0))</f>
        <v>0</v>
      </c>
      <c r="AV163" s="39" t="n">
        <f aca="false">IF(AV$4=0,0,IF(COUNTIFS(実績!$W$6:$W$505,AV$3,実績!$AI$6:$AI$505,"&lt;="&amp;$A163,実績!$AJ$6:$AJ$505,"&gt;"&amp;$A163,実績!$AK$6:$AK$505,"○")&gt;0,1,0))</f>
        <v>0</v>
      </c>
      <c r="AW163" s="39" t="n">
        <f aca="false">IF(AW$4=0,0,IF(COUNTIFS(実績!$W$6:$W$505,AW$3,実績!$AI$6:$AI$505,"&lt;="&amp;$A163,実績!$AJ$6:$AJ$505,"&gt;"&amp;$A163,実績!$AK$6:$AK$505,"○")&gt;0,1,0))</f>
        <v>0</v>
      </c>
      <c r="AX163" s="39" t="n">
        <f aca="false">IF(AX$4=0,0,IF(COUNTIFS(実績!$W$6:$W$505,AX$3,実績!$AI$6:$AI$505,"&lt;="&amp;$A163,実績!$AJ$6:$AJ$505,"&gt;"&amp;$A163,実績!$AK$6:$AK$505,"○")&gt;0,1,0))</f>
        <v>0</v>
      </c>
      <c r="AY163" s="39" t="n">
        <f aca="false">IF(AY$4=0,0,IF(COUNTIFS(実績!$W$6:$W$505,AY$3,実績!$AI$6:$AI$505,"&lt;="&amp;$A163,実績!$AJ$6:$AJ$505,"&gt;"&amp;$A163,実績!$AK$6:$AK$505,"○")&gt;0,1,0))</f>
        <v>0</v>
      </c>
      <c r="AZ163" s="39" t="n">
        <f aca="false">IF(AZ$4=0,0,IF(COUNTIFS(実績!$W$6:$W$505,AZ$3,実績!$AI$6:$AI$505,"&lt;="&amp;$A163,実績!$AJ$6:$AJ$505,"&gt;"&amp;$A163,実績!$AK$6:$AK$505,"○")&gt;0,1,0))</f>
        <v>0</v>
      </c>
      <c r="BA163" s="39" t="n">
        <f aca="false">IF(BA$4=0,0,IF(COUNTIFS(実績!$W$6:$W$505,BA$3,実績!$AI$6:$AI$505,"&lt;="&amp;$A163,実績!$AJ$6:$AJ$505,"&gt;"&amp;$A163,実績!$AK$6:$AK$505,"○")&gt;0,1,0))</f>
        <v>0</v>
      </c>
      <c r="BB163" s="39" t="n">
        <f aca="false">IF(BB$4=0,0,IF(COUNTIFS(実績!$W$6:$W$505,BB$3,実績!$AI$6:$AI$505,"&lt;="&amp;$A163,実績!$AJ$6:$AJ$505,"&gt;"&amp;$A163,実績!$AK$6:$AK$505,"○")&gt;0,1,0))</f>
        <v>0</v>
      </c>
      <c r="BC163" s="39" t="n">
        <f aca="false">IF(BC$4=0,0,IF(COUNTIFS(実績!$W$6:$W$505,BC$3,実績!$AI$6:$AI$505,"&lt;="&amp;$A163,実績!$AJ$6:$AJ$505,"&gt;"&amp;$A163,実績!$AK$6:$AK$505,"○")&gt;0,1,0))</f>
        <v>0</v>
      </c>
      <c r="BD163" s="39" t="n">
        <f aca="false">IF(BD$4=0,0,IF(COUNTIFS(実績!$W$6:$W$505,BD$3,実績!$AI$6:$AI$505,"&lt;="&amp;$A163,実績!$AJ$6:$AJ$505,"&gt;"&amp;$A163,実績!$AK$6:$AK$505,"○")&gt;0,1,0))</f>
        <v>0</v>
      </c>
      <c r="BE163" s="39" t="n">
        <f aca="false">IF(BE$4=0,0,IF(COUNTIFS(実績!$W$6:$W$505,BE$3,実績!$AI$6:$AI$505,"&lt;="&amp;$A163,実績!$AJ$6:$AJ$505,"&gt;"&amp;$A163,実績!$AK$6:$AK$505,"○")&gt;0,1,0))</f>
        <v>0</v>
      </c>
      <c r="BF163" s="39" t="n">
        <f aca="false">IF(BF$4=0,0,IF(COUNTIFS(実績!$W$6:$W$505,BF$3,実績!$AI$6:$AI$505,"&lt;="&amp;$A163,実績!$AJ$6:$AJ$505,"&gt;"&amp;$A163,実績!$AK$6:$AK$505,"○")&gt;0,1,0))</f>
        <v>0</v>
      </c>
      <c r="BG163" s="39" t="n">
        <f aca="false">IF(BG$4=0,0,IF(COUNTIFS(実績!$W$6:$W$505,BG$3,実績!$AI$6:$AI$505,"&lt;="&amp;$A163,実績!$AJ$6:$AJ$505,"&gt;"&amp;$A163,実績!$AK$6:$AK$505,"○")&gt;0,1,0))</f>
        <v>0</v>
      </c>
      <c r="BH163" s="39" t="n">
        <f aca="false">IF(BH$4=0,0,IF(COUNTIFS(実績!$W$6:$W$505,BH$3,実績!$AI$6:$AI$505,"&lt;="&amp;$A163,実績!$AJ$6:$AJ$505,"&gt;"&amp;$A163,実績!$AK$6:$AK$505,"○")&gt;0,1,0))</f>
        <v>0</v>
      </c>
      <c r="BI163" s="39" t="n">
        <f aca="false">IF(BI$4=0,0,IF(COUNTIFS(実績!$W$6:$W$505,BI$3,実績!$AI$6:$AI$505,"&lt;="&amp;$A163,実績!$AJ$6:$AJ$505,"&gt;"&amp;$A163,実績!$AK$6:$AK$505,"○")&gt;0,1,0))</f>
        <v>0</v>
      </c>
      <c r="BJ163" s="39" t="n">
        <f aca="false">IF(BJ$4=0,0,IF(COUNTIFS(実績!$W$6:$W$505,BJ$3,実績!$AI$6:$AI$505,"&lt;="&amp;$A163,実績!$AJ$6:$AJ$505,"&gt;"&amp;$A163,実績!$AK$6:$AK$505,"○")&gt;0,1,0))</f>
        <v>0</v>
      </c>
      <c r="BK163" s="39" t="n">
        <f aca="false">IF(BK$4=0,0,IF(COUNTIFS(実績!$W$6:$W$505,BK$3,実績!$AI$6:$AI$505,"&lt;="&amp;$A163,実績!$AJ$6:$AJ$505,"&gt;"&amp;$A163,実績!$AK$6:$AK$505,"○")&gt;0,1,0))</f>
        <v>0</v>
      </c>
      <c r="BL163" s="39" t="n">
        <f aca="false">IF(BL$4=0,0,IF(COUNTIFS(実績!$W$6:$W$505,BL$3,実績!$AI$6:$AI$505,"&lt;="&amp;$A163,実績!$AJ$6:$AJ$505,"&gt;"&amp;$A163,実績!$AK$6:$AK$505,"○")&gt;0,1,0))</f>
        <v>0</v>
      </c>
      <c r="BM163" s="39" t="n">
        <f aca="false">IF(BM$4=0,0,IF(COUNTIFS(実績!$W$6:$W$505,BM$3,実績!$AI$6:$AI$505,"&lt;="&amp;$A163,実績!$AJ$6:$AJ$505,"&gt;"&amp;$A163,実績!$AK$6:$AK$505,"○")&gt;0,1,0))</f>
        <v>0</v>
      </c>
      <c r="BN163" s="39" t="n">
        <f aca="false">IF(BN$4=0,0,IF(COUNTIFS(実績!$W$6:$W$505,BN$3,実績!$AI$6:$AI$505,"&lt;="&amp;$A163,実績!$AJ$6:$AJ$505,"&gt;"&amp;$A163,実績!$AK$6:$AK$505,"○")&gt;0,1,0))</f>
        <v>0</v>
      </c>
      <c r="BO163" s="39" t="n">
        <f aca="false">IF(BO$4=0,0,IF(COUNTIFS(実績!$W$6:$W$505,BO$3,実績!$AI$6:$AI$505,"&lt;="&amp;$A163,実績!$AJ$6:$AJ$505,"&gt;"&amp;$A163,実績!$AK$6:$AK$505,"○")&gt;0,1,0))</f>
        <v>0</v>
      </c>
      <c r="BP163" s="39" t="n">
        <f aca="false">IF(BP$4=0,0,IF(COUNTIFS(実績!$W$6:$W$505,BP$3,実績!$AI$6:$AI$505,"&lt;="&amp;$A163,実績!$AJ$6:$AJ$505,"&gt;"&amp;$A163,実績!$AK$6:$AK$505,"○")&gt;0,1,0))</f>
        <v>0</v>
      </c>
      <c r="BQ163" s="39" t="n">
        <f aca="false">IF(BQ$4=0,0,IF(COUNTIFS(実績!$W$6:$W$505,BQ$3,実績!$AI$6:$AI$505,"&lt;="&amp;$A163,実績!$AJ$6:$AJ$505,"&gt;"&amp;$A163,実績!$AK$6:$AK$505,"○")&gt;0,1,0))</f>
        <v>0</v>
      </c>
      <c r="BR163" s="39" t="n">
        <f aca="false">IF(BR$4=0,0,IF(COUNTIFS(実績!$W$6:$W$505,BR$3,実績!$AI$6:$AI$505,"&lt;="&amp;$A163,実績!$AJ$6:$AJ$505,"&gt;"&amp;$A163,実績!$AK$6:$AK$505,"○")&gt;0,1,0))</f>
        <v>0</v>
      </c>
      <c r="BS163" s="39" t="n">
        <f aca="false">IF(BS$4=0,0,IF(COUNTIFS(実績!$W$6:$W$505,BS$3,実績!$AI$6:$AI$505,"&lt;="&amp;$A163,実績!$AJ$6:$AJ$505,"&gt;"&amp;$A163,実績!$AK$6:$AK$505,"○")&gt;0,1,0))</f>
        <v>0</v>
      </c>
      <c r="BT163" s="39" t="n">
        <f aca="false">IF(BT$4=0,0,IF(COUNTIFS(実績!$W$6:$W$505,BT$3,実績!$AI$6:$AI$505,"&lt;="&amp;$A163,実績!$AJ$6:$AJ$505,"&gt;"&amp;$A163,実績!$AK$6:$AK$505,"○")&gt;0,1,0))</f>
        <v>0</v>
      </c>
      <c r="BU163" s="39" t="n">
        <f aca="false">IF(BU$4=0,0,IF(COUNTIFS(実績!$W$6:$W$505,BU$3,実績!$AI$6:$AI$505,"&lt;="&amp;$A163,実績!$AJ$6:$AJ$505,"&gt;"&amp;$A163,実績!$AK$6:$AK$505,"○")&gt;0,1,0))</f>
        <v>0</v>
      </c>
      <c r="BV163" s="39" t="n">
        <f aca="false">IF(BV$4=0,0,IF(COUNTIFS(実績!$W$6:$W$505,BV$3,実績!$AI$6:$AI$505,"&lt;="&amp;$A163,実績!$AJ$6:$AJ$505,"&gt;"&amp;$A163,実績!$AK$6:$AK$505,"○")&gt;0,1,0))</f>
        <v>0</v>
      </c>
      <c r="BW163" s="39" t="n">
        <f aca="false">IF(BW$4=0,0,IF(COUNTIFS(実績!$W$6:$W$505,BW$3,実績!$AI$6:$AI$505,"&lt;="&amp;$A163,実績!$AJ$6:$AJ$505,"&gt;"&amp;$A163,実績!$AK$6:$AK$505,"○")&gt;0,1,0))</f>
        <v>0</v>
      </c>
      <c r="BX163" s="39" t="n">
        <f aca="false">IF(BX$4=0,0,IF(COUNTIFS(実績!$W$6:$W$505,BX$3,実績!$AI$6:$AI$505,"&lt;="&amp;$A163,実績!$AJ$6:$AJ$505,"&gt;"&amp;$A163,実績!$AK$6:$AK$505,"○")&gt;0,1,0))</f>
        <v>0</v>
      </c>
      <c r="BY163" s="39" t="n">
        <f aca="false">IF(BY$4=0,0,IF(COUNTIFS(実績!$W$6:$W$505,BY$3,実績!$AI$6:$AI$505,"&lt;="&amp;$A163,実績!$AJ$6:$AJ$505,"&gt;"&amp;$A163,実績!$AK$6:$AK$505,"○")&gt;0,1,0))</f>
        <v>0</v>
      </c>
      <c r="BZ163" s="39" t="n">
        <f aca="false">IF(BZ$4=0,0,IF(COUNTIFS(実績!$W$6:$W$505,BZ$3,実績!$AI$6:$AI$505,"&lt;="&amp;$A163,実績!$AJ$6:$AJ$505,"&gt;"&amp;$A163,実績!$AK$6:$AK$505,"○")&gt;0,1,0))</f>
        <v>0</v>
      </c>
      <c r="CA163" s="39" t="n">
        <f aca="false">IF(CA$4=0,0,IF(COUNTIFS(実績!$W$6:$W$505,CA$3,実績!$AI$6:$AI$505,"&lt;="&amp;$A163,実績!$AJ$6:$AJ$505,"&gt;"&amp;$A163,実績!$AK$6:$AK$505,"○")&gt;0,1,0))</f>
        <v>0</v>
      </c>
      <c r="CB163" s="39" t="n">
        <f aca="false">IF(CB$4=0,0,IF(COUNTIFS(実績!$W$6:$W$505,CB$3,実績!$AI$6:$AI$505,"&lt;="&amp;$A163,実績!$AJ$6:$AJ$505,"&gt;"&amp;$A163,実績!$AK$6:$AK$505,"○")&gt;0,1,0))</f>
        <v>0</v>
      </c>
      <c r="CC163" s="39" t="n">
        <f aca="false">IF(CC$4=0,0,IF(COUNTIFS(実績!$W$6:$W$505,CC$3,実績!$AI$6:$AI$505,"&lt;="&amp;$A163,実績!$AJ$6:$AJ$505,"&gt;"&amp;$A163,実績!$AK$6:$AK$505,"○")&gt;0,1,0))</f>
        <v>0</v>
      </c>
      <c r="CD163" s="39" t="n">
        <f aca="false">IF(CD$4=0,0,IF(COUNTIFS(実績!$W$6:$W$505,CD$3,実績!$AI$6:$AI$505,"&lt;="&amp;$A163,実績!$AJ$6:$AJ$505,"&gt;"&amp;$A163,実績!$AK$6:$AK$505,"○")&gt;0,1,0))</f>
        <v>0</v>
      </c>
      <c r="CE163" s="39" t="n">
        <f aca="false">IF(CE$4=0,0,IF(COUNTIFS(実績!$W$6:$W$505,CE$3,実績!$AI$6:$AI$505,"&lt;="&amp;$A163,実績!$AJ$6:$AJ$505,"&gt;"&amp;$A163,実績!$AK$6:$AK$505,"○")&gt;0,1,0))</f>
        <v>0</v>
      </c>
      <c r="CF163" s="39" t="n">
        <f aca="false">IF(CF$4=0,0,IF(COUNTIFS(実績!$W$6:$W$505,CF$3,実績!$AI$6:$AI$505,"&lt;="&amp;$A163,実績!$AJ$6:$AJ$505,"&gt;"&amp;$A163,実績!$AK$6:$AK$505,"○")&gt;0,1,0))</f>
        <v>0</v>
      </c>
      <c r="CG163" s="39" t="n">
        <f aca="false">IF(CG$4=0,0,IF(COUNTIFS(実績!$W$6:$W$505,CG$3,実績!$AI$6:$AI$505,"&lt;="&amp;$A163,実績!$AJ$6:$AJ$505,"&gt;"&amp;$A163,実績!$AK$6:$AK$505,"○")&gt;0,1,0))</f>
        <v>0</v>
      </c>
      <c r="CH163" s="39" t="n">
        <f aca="false">IF(CH$4=0,0,IF(COUNTIFS(実績!$W$6:$W$505,CH$3,実績!$AI$6:$AI$505,"&lt;="&amp;$A163,実績!$AJ$6:$AJ$505,"&gt;"&amp;$A163,実績!$AK$6:$AK$505,"○")&gt;0,1,0))</f>
        <v>0</v>
      </c>
      <c r="CI163" s="39" t="n">
        <f aca="false">IF(CI$4=0,0,IF(COUNTIFS(実績!$W$6:$W$505,CI$3,実績!$AI$6:$AI$505,"&lt;="&amp;$A163,実績!$AJ$6:$AJ$505,"&gt;"&amp;$A163,実績!$AK$6:$AK$505,"○")&gt;0,1,0))</f>
        <v>0</v>
      </c>
      <c r="CJ163" s="39" t="n">
        <f aca="false">IF(CJ$4=0,0,IF(COUNTIFS(実績!$W$6:$W$505,CJ$3,実績!$AI$6:$AI$505,"&lt;="&amp;$A163,実績!$AJ$6:$AJ$505,"&gt;"&amp;$A163,実績!$AK$6:$AK$505,"○")&gt;0,1,0))</f>
        <v>0</v>
      </c>
      <c r="CK163" s="39" t="n">
        <f aca="false">IF(CK$4=0,0,IF(COUNTIFS(実績!$W$6:$W$505,CK$3,実績!$AI$6:$AI$505,"&lt;="&amp;$A163,実績!$AJ$6:$AJ$505,"&gt;"&amp;$A163,実績!$AK$6:$AK$505,"○")&gt;0,1,0))</f>
        <v>0</v>
      </c>
      <c r="CL163" s="39" t="n">
        <f aca="false">IF(CL$4=0,0,IF(COUNTIFS(実績!$W$6:$W$505,CL$3,実績!$AI$6:$AI$505,"&lt;="&amp;$A163,実績!$AJ$6:$AJ$505,"&gt;"&amp;$A163,実績!$AK$6:$AK$505,"○")&gt;0,1,0))</f>
        <v>0</v>
      </c>
      <c r="CM163" s="39" t="n">
        <f aca="false">IF(CM$4=0,0,IF(COUNTIFS(実績!$W$6:$W$505,CM$3,実績!$AI$6:$AI$505,"&lt;="&amp;$A163,実績!$AJ$6:$AJ$505,"&gt;"&amp;$A163,実績!$AK$6:$AK$505,"○")&gt;0,1,0))</f>
        <v>0</v>
      </c>
      <c r="CN163" s="39" t="n">
        <f aca="false">IF(CN$4=0,0,IF(COUNTIFS(実績!$W$6:$W$505,CN$3,実績!$AI$6:$AI$505,"&lt;="&amp;$A163,実績!$AJ$6:$AJ$505,"&gt;"&amp;$A163,実績!$AK$6:$AK$505,"○")&gt;0,1,0))</f>
        <v>0</v>
      </c>
      <c r="CO163" s="39" t="n">
        <f aca="false">IF(CO$4=0,0,IF(COUNTIFS(実績!$W$6:$W$505,CO$3,実績!$AI$6:$AI$505,"&lt;="&amp;$A163,実績!$AJ$6:$AJ$505,"&gt;"&amp;$A163,実績!$AK$6:$AK$505,"○")&gt;0,1,0))</f>
        <v>0</v>
      </c>
      <c r="CP163" s="39" t="n">
        <f aca="false">IF(CP$4=0,0,IF(COUNTIFS(実績!$W$6:$W$505,CP$3,実績!$AI$6:$AI$505,"&lt;="&amp;$A163,実績!$AJ$6:$AJ$505,"&gt;"&amp;$A163,実績!$AK$6:$AK$505,"○")&gt;0,1,0))</f>
        <v>0</v>
      </c>
      <c r="CQ163" s="39" t="n">
        <f aca="false">IF(CQ$4=0,0,IF(COUNTIFS(実績!$W$6:$W$505,CQ$3,実績!$AI$6:$AI$505,"&lt;="&amp;$A163,実績!$AJ$6:$AJ$505,"&gt;"&amp;$A163,実績!$AK$6:$AK$505,"○")&gt;0,1,0))</f>
        <v>0</v>
      </c>
      <c r="CR163" s="39" t="n">
        <f aca="false">IF(CR$4=0,0,IF(COUNTIFS(実績!$W$6:$W$505,CR$3,実績!$AI$6:$AI$505,"&lt;="&amp;$A163,実績!$AJ$6:$AJ$505,"&gt;"&amp;$A163,実績!$AK$6:$AK$505,"○")&gt;0,1,0))</f>
        <v>0</v>
      </c>
      <c r="CS163" s="39" t="n">
        <f aca="false">IF(CS$4=0,0,IF(COUNTIFS(実績!$W$6:$W$505,CS$3,実績!$AI$6:$AI$505,"&lt;="&amp;$A163,実績!$AJ$6:$AJ$505,"&gt;"&amp;$A163,実績!$AK$6:$AK$505,"○")&gt;0,1,0))</f>
        <v>0</v>
      </c>
      <c r="CT163" s="39" t="n">
        <f aca="false">IF(CT$4=0,0,IF(COUNTIFS(実績!$W$6:$W$505,CT$3,実績!$AI$6:$AI$505,"&lt;="&amp;$A163,実績!$AJ$6:$AJ$505,"&gt;"&amp;$A163,実績!$AK$6:$AK$505,"○")&gt;0,1,0))</f>
        <v>0</v>
      </c>
      <c r="CU163" s="39" t="n">
        <f aca="false">IF(CU$4=0,0,IF(COUNTIFS(実績!$W$6:$W$505,CU$3,実績!$AI$6:$AI$505,"&lt;="&amp;$A163,実績!$AJ$6:$AJ$505,"&gt;"&amp;$A163,実績!$AK$6:$AK$505,"○")&gt;0,1,0))</f>
        <v>0</v>
      </c>
      <c r="CV163" s="39" t="n">
        <f aca="false">IF(CV$4=0,0,IF(COUNTIFS(実績!$W$6:$W$505,CV$3,実績!$AI$6:$AI$505,"&lt;="&amp;$A163,実績!$AJ$6:$AJ$505,"&gt;"&amp;$A163,実績!$AK$6:$AK$505,"○")&gt;0,1,0))</f>
        <v>0</v>
      </c>
      <c r="CW163" s="39" t="n">
        <f aca="false">IF(CW$4=0,0,IF(COUNTIFS(実績!$W$6:$W$505,CW$3,実績!$AI$6:$AI$505,"&lt;="&amp;$A163,実績!$AJ$6:$AJ$505,"&gt;"&amp;$A163,実績!$AK$6:$AK$505,"○")&gt;0,1,0))</f>
        <v>0</v>
      </c>
      <c r="CX163" s="39" t="n">
        <f aca="false">IF(CX$4=0,0,IF(COUNTIFS(実績!$W$6:$W$505,CX$3,実績!$AI$6:$AI$505,"&lt;="&amp;$A163,実績!$AJ$6:$AJ$505,"&gt;"&amp;$A163,実績!$AK$6:$AK$505,"○")&gt;0,1,0))</f>
        <v>0</v>
      </c>
      <c r="CY163" s="39" t="n">
        <f aca="false">IF(CY$4=0,0,IF(COUNTIFS(実績!$W$6:$W$505,CY$3,実績!$AI$6:$AI$505,"&lt;="&amp;$A163,実績!$AJ$6:$AJ$505,"&gt;"&amp;$A163,実績!$AK$6:$AK$505,"○")&gt;0,1,0))</f>
        <v>0</v>
      </c>
      <c r="CZ163" s="39" t="n">
        <f aca="false">IF(CZ$4=0,0,IF(COUNTIFS(実績!$W$6:$W$505,CZ$3,実績!$AI$6:$AI$505,"&lt;="&amp;$A163,実績!$AJ$6:$AJ$505,"&gt;"&amp;$A163,実績!$AK$6:$AK$505,"○")&gt;0,1,0))</f>
        <v>0</v>
      </c>
      <c r="DA163" s="39" t="n">
        <f aca="false">IF(DA$4=0,0,IF(COUNTIFS(実績!$W$6:$W$505,DA$3,実績!$AI$6:$AI$505,"&lt;="&amp;$A163,実績!$AJ$6:$AJ$505,"&gt;"&amp;$A163,実績!$AK$6:$AK$505,"○")&gt;0,1,0))</f>
        <v>0</v>
      </c>
      <c r="DB163" s="39" t="n">
        <f aca="false">IF(DB$4=0,0,IF(COUNTIFS(実績!$W$6:$W$505,DB$3,実績!$AI$6:$AI$505,"&lt;="&amp;$A163,実績!$AJ$6:$AJ$505,"&gt;"&amp;$A163,実績!$AK$6:$AK$505,"○")&gt;0,1,0))</f>
        <v>0</v>
      </c>
      <c r="DC163" s="39" t="n">
        <f aca="false">IF(DC$4=0,0,IF(COUNTIFS(実績!$W$6:$W$505,DC$3,実績!$AI$6:$AI$505,"&lt;="&amp;$A163,実績!$AJ$6:$AJ$505,"&gt;"&amp;$A163,実績!$AK$6:$AK$505,"○")&gt;0,1,0))</f>
        <v>0</v>
      </c>
      <c r="DD163" s="39" t="n">
        <f aca="false">IF(DD$4=0,0,IF(COUNTIFS(実績!$W$6:$W$505,DD$3,実績!$AI$6:$AI$505,"&lt;="&amp;$A163,実績!$AJ$6:$AJ$505,"&gt;"&amp;$A163,実績!$AK$6:$AK$505,"○")&gt;0,1,0))</f>
        <v>0</v>
      </c>
      <c r="DE163" s="39" t="n">
        <f aca="false">IF(DE$4=0,0,IF(COUNTIFS(実績!$W$6:$W$505,DE$3,実績!$AI$6:$AI$505,"&lt;="&amp;$A163,実績!$AJ$6:$AJ$505,"&gt;"&amp;$A163,実績!$AK$6:$AK$505,"○")&gt;0,1,0))</f>
        <v>0</v>
      </c>
      <c r="DF163" s="39" t="n">
        <f aca="false">IF(DF$4=0,0,IF(COUNTIFS(実績!$W$6:$W$505,DF$3,実績!$AI$6:$AI$505,"&lt;="&amp;$A163,実績!$AJ$6:$AJ$505,"&gt;"&amp;$A163,実績!$AK$6:$AK$505,"○")&gt;0,1,0))</f>
        <v>0</v>
      </c>
      <c r="DG163" s="39" t="n">
        <f aca="false">IF(DG$4=0,0,IF(COUNTIFS(実績!$W$6:$W$505,DG$3,実績!$AI$6:$AI$505,"&lt;="&amp;$A163,実績!$AJ$6:$AJ$505,"&gt;"&amp;$A163,実績!$AK$6:$AK$505,"○")&gt;0,1,0))</f>
        <v>0</v>
      </c>
      <c r="DH163" s="39" t="n">
        <f aca="false">IF(DH$4=0,0,IF(COUNTIFS(実績!$W$6:$W$505,DH$3,実績!$AI$6:$AI$505,"&lt;="&amp;$A163,実績!$AJ$6:$AJ$505,"&gt;"&amp;$A163,実績!$AK$6:$AK$505,"○")&gt;0,1,0))</f>
        <v>0</v>
      </c>
      <c r="DI163" s="39" t="n">
        <f aca="false">IF(DI$4=0,0,IF(COUNTIFS(実績!$W$6:$W$505,DI$3,実績!$AI$6:$AI$505,"&lt;="&amp;$A163,実績!$AJ$6:$AJ$505,"&gt;"&amp;$A163,実績!$AK$6:$AK$505,"○")&gt;0,1,0))</f>
        <v>0</v>
      </c>
      <c r="DJ163" s="39" t="n">
        <f aca="false">IF(DJ$4=0,0,IF(COUNTIFS(実績!$W$6:$W$505,DJ$3,実績!$AI$6:$AI$505,"&lt;="&amp;$A163,実績!$AJ$6:$AJ$505,"&gt;"&amp;$A163,実績!$AK$6:$AK$505,"○")&gt;0,1,0))</f>
        <v>0</v>
      </c>
      <c r="DK163" s="39" t="n">
        <f aca="false">IF(DK$4=0,0,IF(COUNTIFS(実績!$W$6:$W$505,DK$3,実績!$AI$6:$AI$505,"&lt;="&amp;$A163,実績!$AJ$6:$AJ$505,"&gt;"&amp;$A163,実績!$AK$6:$AK$505,"○")&gt;0,1,0))</f>
        <v>0</v>
      </c>
      <c r="DL163" s="39" t="n">
        <f aca="false">IF(DL$4=0,0,IF(COUNTIFS(実績!$W$6:$W$505,DL$3,実績!$AI$6:$AI$505,"&lt;="&amp;$A163,実績!$AJ$6:$AJ$505,"&gt;"&amp;$A163,実績!$AK$6:$AK$505,"○")&gt;0,1,0))</f>
        <v>0</v>
      </c>
      <c r="DM163" s="39" t="n">
        <f aca="false">IF(DM$4=0,0,IF(COUNTIFS(実績!$W$6:$W$505,DM$3,実績!$AI$6:$AI$505,"&lt;="&amp;$A163,実績!$AJ$6:$AJ$505,"&gt;"&amp;$A163,実績!$AK$6:$AK$505,"○")&gt;0,1,0))</f>
        <v>0</v>
      </c>
      <c r="DN163" s="39" t="n">
        <f aca="false">IF(DN$4=0,0,IF(COUNTIFS(実績!$W$6:$W$505,DN$3,実績!$AI$6:$AI$505,"&lt;="&amp;$A163,実績!$AJ$6:$AJ$505,"&gt;"&amp;$A163,実績!$AK$6:$AK$505,"○")&gt;0,1,0))</f>
        <v>0</v>
      </c>
      <c r="DO163" s="39" t="n">
        <f aca="false">IF(DO$4=0,0,IF(COUNTIFS(実績!$W$6:$W$505,DO$3,実績!$AI$6:$AI$505,"&lt;="&amp;$A163,実績!$AJ$6:$AJ$505,"&gt;"&amp;$A163,実績!$AK$6:$AK$505,"○")&gt;0,1,0))</f>
        <v>0</v>
      </c>
      <c r="DP163" s="39" t="n">
        <f aca="false">IF(DP$4=0,0,IF(COUNTIFS(実績!$W$6:$W$505,DP$3,実績!$AI$6:$AI$505,"&lt;="&amp;$A163,実績!$AJ$6:$AJ$505,"&gt;"&amp;$A163,実績!$AK$6:$AK$505,"○")&gt;0,1,0))</f>
        <v>0</v>
      </c>
      <c r="DQ163" s="39" t="n">
        <f aca="false">IF(DQ$4=0,0,IF(COUNTIFS(実績!$W$6:$W$505,DQ$3,実績!$AI$6:$AI$505,"&lt;="&amp;$A163,実績!$AJ$6:$AJ$505,"&gt;"&amp;$A163,実績!$AK$6:$AK$505,"○")&gt;0,1,0))</f>
        <v>0</v>
      </c>
      <c r="DR163" s="39" t="n">
        <f aca="false">IF(DR$4=0,0,IF(COUNTIFS(実績!$W$6:$W$505,DR$3,実績!$AI$6:$AI$505,"&lt;="&amp;$A163,実績!$AJ$6:$AJ$505,"&gt;"&amp;$A163,実績!$AK$6:$AK$505,"○")&gt;0,1,0))</f>
        <v>0</v>
      </c>
      <c r="DS163" s="39" t="n">
        <f aca="false">SUM(C163:DR163)</f>
        <v>0</v>
      </c>
      <c r="DT163" s="39" t="n">
        <f aca="false">SUMPRODUCT((実績!$C$6:$C$505="○")*ISNUMBER(実績!$AM$6:$AM$505)*(実績!$AM$6:$AM$505&lt;=$A163)*(実績!$AN$6:$AN$505&gt;$A163))</f>
        <v>0</v>
      </c>
      <c r="DU163" s="39" t="n">
        <f aca="false">SUMIF($C$2:$DR$2,"製鉄曳船",C163:DR163)</f>
        <v>0</v>
      </c>
      <c r="DV163" s="39" t="n">
        <f aca="false">SUMIF($C$2:$DR$2,"西日本海運",C163:DR163)</f>
        <v>0</v>
      </c>
    </row>
    <row r="164" customFormat="false" ht="15" hidden="false" customHeight="false" outlineLevel="0" collapsed="false">
      <c r="A164" s="0" t="n">
        <v>790</v>
      </c>
      <c r="B164" s="38" t="n">
        <f aca="false">A164/1440</f>
        <v>0.548611111111111</v>
      </c>
      <c r="C164" s="39" t="n">
        <f aca="false">IF(C$4=0,0,IF(COUNTIFS(実績!$W$6:$W$505,C$3,実績!$AI$6:$AI$505,"&lt;="&amp;$A164,実績!$AJ$6:$AJ$505,"&gt;"&amp;$A164,実績!$AK$6:$AK$505,"○")&gt;0,1,0))</f>
        <v>0</v>
      </c>
      <c r="D164" s="39" t="n">
        <f aca="false">IF(D$4=0,0,IF(COUNTIFS(実績!$W$6:$W$505,D$3,実績!$AI$6:$AI$505,"&lt;="&amp;$A164,実績!$AJ$6:$AJ$505,"&gt;"&amp;$A164,実績!$AK$6:$AK$505,"○")&gt;0,1,0))</f>
        <v>0</v>
      </c>
      <c r="E164" s="39" t="n">
        <f aca="false">IF(E$4=0,0,IF(COUNTIFS(実績!$W$6:$W$505,E$3,実績!$AI$6:$AI$505,"&lt;="&amp;$A164,実績!$AJ$6:$AJ$505,"&gt;"&amp;$A164,実績!$AK$6:$AK$505,"○")&gt;0,1,0))</f>
        <v>0</v>
      </c>
      <c r="F164" s="39" t="n">
        <f aca="false">IF(F$4=0,0,IF(COUNTIFS(実績!$W$6:$W$505,F$3,実績!$AI$6:$AI$505,"&lt;="&amp;$A164,実績!$AJ$6:$AJ$505,"&gt;"&amp;$A164,実績!$AK$6:$AK$505,"○")&gt;0,1,0))</f>
        <v>0</v>
      </c>
      <c r="G164" s="39" t="n">
        <f aca="false">IF(G$4=0,0,IF(COUNTIFS(実績!$W$6:$W$505,G$3,実績!$AI$6:$AI$505,"&lt;="&amp;$A164,実績!$AJ$6:$AJ$505,"&gt;"&amp;$A164,実績!$AK$6:$AK$505,"○")&gt;0,1,0))</f>
        <v>0</v>
      </c>
      <c r="H164" s="39" t="n">
        <f aca="false">IF(H$4=0,0,IF(COUNTIFS(実績!$W$6:$W$505,H$3,実績!$AI$6:$AI$505,"&lt;="&amp;$A164,実績!$AJ$6:$AJ$505,"&gt;"&amp;$A164,実績!$AK$6:$AK$505,"○")&gt;0,1,0))</f>
        <v>0</v>
      </c>
      <c r="I164" s="39" t="n">
        <f aca="false">IF(I$4=0,0,IF(COUNTIFS(実績!$W$6:$W$505,I$3,実績!$AI$6:$AI$505,"&lt;="&amp;$A164,実績!$AJ$6:$AJ$505,"&gt;"&amp;$A164,実績!$AK$6:$AK$505,"○")&gt;0,1,0))</f>
        <v>0</v>
      </c>
      <c r="J164" s="39" t="n">
        <f aca="false">IF(J$4=0,0,IF(COUNTIFS(実績!$W$6:$W$505,J$3,実績!$AI$6:$AI$505,"&lt;="&amp;$A164,実績!$AJ$6:$AJ$505,"&gt;"&amp;$A164,実績!$AK$6:$AK$505,"○")&gt;0,1,0))</f>
        <v>0</v>
      </c>
      <c r="K164" s="39" t="n">
        <f aca="false">IF(K$4=0,0,IF(COUNTIFS(実績!$W$6:$W$505,K$3,実績!$AI$6:$AI$505,"&lt;="&amp;$A164,実績!$AJ$6:$AJ$505,"&gt;"&amp;$A164,実績!$AK$6:$AK$505,"○")&gt;0,1,0))</f>
        <v>0</v>
      </c>
      <c r="L164" s="39" t="n">
        <f aca="false">IF(L$4=0,0,IF(COUNTIFS(実績!$W$6:$W$505,L$3,実績!$AI$6:$AI$505,"&lt;="&amp;$A164,実績!$AJ$6:$AJ$505,"&gt;"&amp;$A164,実績!$AK$6:$AK$505,"○")&gt;0,1,0))</f>
        <v>0</v>
      </c>
      <c r="M164" s="39" t="n">
        <f aca="false">IF(M$4=0,0,IF(COUNTIFS(実績!$W$6:$W$505,M$3,実績!$AI$6:$AI$505,"&lt;="&amp;$A164,実績!$AJ$6:$AJ$505,"&gt;"&amp;$A164,実績!$AK$6:$AK$505,"○")&gt;0,1,0))</f>
        <v>0</v>
      </c>
      <c r="N164" s="39" t="n">
        <f aca="false">IF(N$4=0,0,IF(COUNTIFS(実績!$W$6:$W$505,N$3,実績!$AI$6:$AI$505,"&lt;="&amp;$A164,実績!$AJ$6:$AJ$505,"&gt;"&amp;$A164,実績!$AK$6:$AK$505,"○")&gt;0,1,0))</f>
        <v>0</v>
      </c>
      <c r="O164" s="39" t="n">
        <f aca="false">IF(O$4=0,0,IF(COUNTIFS(実績!$W$6:$W$505,O$3,実績!$AI$6:$AI$505,"&lt;="&amp;$A164,実績!$AJ$6:$AJ$505,"&gt;"&amp;$A164,実績!$AK$6:$AK$505,"○")&gt;0,1,0))</f>
        <v>0</v>
      </c>
      <c r="P164" s="39" t="n">
        <f aca="false">IF(P$4=0,0,IF(COUNTIFS(実績!$W$6:$W$505,P$3,実績!$AI$6:$AI$505,"&lt;="&amp;$A164,実績!$AJ$6:$AJ$505,"&gt;"&amp;$A164,実績!$AK$6:$AK$505,"○")&gt;0,1,0))</f>
        <v>0</v>
      </c>
      <c r="Q164" s="39" t="n">
        <f aca="false">IF(Q$4=0,0,IF(COUNTIFS(実績!$W$6:$W$505,Q$3,実績!$AI$6:$AI$505,"&lt;="&amp;$A164,実績!$AJ$6:$AJ$505,"&gt;"&amp;$A164,実績!$AK$6:$AK$505,"○")&gt;0,1,0))</f>
        <v>0</v>
      </c>
      <c r="R164" s="39" t="n">
        <f aca="false">IF(R$4=0,0,IF(COUNTIFS(実績!$W$6:$W$505,R$3,実績!$AI$6:$AI$505,"&lt;="&amp;$A164,実績!$AJ$6:$AJ$505,"&gt;"&amp;$A164,実績!$AK$6:$AK$505,"○")&gt;0,1,0))</f>
        <v>0</v>
      </c>
      <c r="S164" s="39" t="n">
        <f aca="false">IF(S$4=0,0,IF(COUNTIFS(実績!$W$6:$W$505,S$3,実績!$AI$6:$AI$505,"&lt;="&amp;$A164,実績!$AJ$6:$AJ$505,"&gt;"&amp;$A164,実績!$AK$6:$AK$505,"○")&gt;0,1,0))</f>
        <v>0</v>
      </c>
      <c r="T164" s="39" t="n">
        <f aca="false">IF(T$4=0,0,IF(COUNTIFS(実績!$W$6:$W$505,T$3,実績!$AI$6:$AI$505,"&lt;="&amp;$A164,実績!$AJ$6:$AJ$505,"&gt;"&amp;$A164,実績!$AK$6:$AK$505,"○")&gt;0,1,0))</f>
        <v>0</v>
      </c>
      <c r="U164" s="39" t="n">
        <f aca="false">IF(U$4=0,0,IF(COUNTIFS(実績!$W$6:$W$505,U$3,実績!$AI$6:$AI$505,"&lt;="&amp;$A164,実績!$AJ$6:$AJ$505,"&gt;"&amp;$A164,実績!$AK$6:$AK$505,"○")&gt;0,1,0))</f>
        <v>0</v>
      </c>
      <c r="V164" s="39" t="n">
        <f aca="false">IF(V$4=0,0,IF(COUNTIFS(実績!$W$6:$W$505,V$3,実績!$AI$6:$AI$505,"&lt;="&amp;$A164,実績!$AJ$6:$AJ$505,"&gt;"&amp;$A164,実績!$AK$6:$AK$505,"○")&gt;0,1,0))</f>
        <v>0</v>
      </c>
      <c r="W164" s="39" t="n">
        <f aca="false">IF(W$4=0,0,IF(COUNTIFS(実績!$W$6:$W$505,W$3,実績!$AI$6:$AI$505,"&lt;="&amp;$A164,実績!$AJ$6:$AJ$505,"&gt;"&amp;$A164,実績!$AK$6:$AK$505,"○")&gt;0,1,0))</f>
        <v>0</v>
      </c>
      <c r="X164" s="39" t="n">
        <f aca="false">IF(X$4=0,0,IF(COUNTIFS(実績!$W$6:$W$505,X$3,実績!$AI$6:$AI$505,"&lt;="&amp;$A164,実績!$AJ$6:$AJ$505,"&gt;"&amp;$A164,実績!$AK$6:$AK$505,"○")&gt;0,1,0))</f>
        <v>0</v>
      </c>
      <c r="Y164" s="39" t="n">
        <f aca="false">IF(Y$4=0,0,IF(COUNTIFS(実績!$W$6:$W$505,Y$3,実績!$AI$6:$AI$505,"&lt;="&amp;$A164,実績!$AJ$6:$AJ$505,"&gt;"&amp;$A164,実績!$AK$6:$AK$505,"○")&gt;0,1,0))</f>
        <v>0</v>
      </c>
      <c r="Z164" s="39" t="n">
        <f aca="false">IF(Z$4=0,0,IF(COUNTIFS(実績!$W$6:$W$505,Z$3,実績!$AI$6:$AI$505,"&lt;="&amp;$A164,実績!$AJ$6:$AJ$505,"&gt;"&amp;$A164,実績!$AK$6:$AK$505,"○")&gt;0,1,0))</f>
        <v>0</v>
      </c>
      <c r="AA164" s="39" t="n">
        <f aca="false">IF(AA$4=0,0,IF(COUNTIFS(実績!$W$6:$W$505,AA$3,実績!$AI$6:$AI$505,"&lt;="&amp;$A164,実績!$AJ$6:$AJ$505,"&gt;"&amp;$A164,実績!$AK$6:$AK$505,"○")&gt;0,1,0))</f>
        <v>0</v>
      </c>
      <c r="AB164" s="39" t="n">
        <f aca="false">IF(AB$4=0,0,IF(COUNTIFS(実績!$W$6:$W$505,AB$3,実績!$AI$6:$AI$505,"&lt;="&amp;$A164,実績!$AJ$6:$AJ$505,"&gt;"&amp;$A164,実績!$AK$6:$AK$505,"○")&gt;0,1,0))</f>
        <v>0</v>
      </c>
      <c r="AC164" s="39" t="n">
        <f aca="false">IF(AC$4=0,0,IF(COUNTIFS(実績!$W$6:$W$505,AC$3,実績!$AI$6:$AI$505,"&lt;="&amp;$A164,実績!$AJ$6:$AJ$505,"&gt;"&amp;$A164,実績!$AK$6:$AK$505,"○")&gt;0,1,0))</f>
        <v>0</v>
      </c>
      <c r="AD164" s="39" t="n">
        <f aca="false">IF(AD$4=0,0,IF(COUNTIFS(実績!$W$6:$W$505,AD$3,実績!$AI$6:$AI$505,"&lt;="&amp;$A164,実績!$AJ$6:$AJ$505,"&gt;"&amp;$A164,実績!$AK$6:$AK$505,"○")&gt;0,1,0))</f>
        <v>0</v>
      </c>
      <c r="AE164" s="39" t="n">
        <f aca="false">IF(AE$4=0,0,IF(COUNTIFS(実績!$W$6:$W$505,AE$3,実績!$AI$6:$AI$505,"&lt;="&amp;$A164,実績!$AJ$6:$AJ$505,"&gt;"&amp;$A164,実績!$AK$6:$AK$505,"○")&gt;0,1,0))</f>
        <v>0</v>
      </c>
      <c r="AF164" s="39" t="n">
        <f aca="false">IF(AF$4=0,0,IF(COUNTIFS(実績!$W$6:$W$505,AF$3,実績!$AI$6:$AI$505,"&lt;="&amp;$A164,実績!$AJ$6:$AJ$505,"&gt;"&amp;$A164,実績!$AK$6:$AK$505,"○")&gt;0,1,0))</f>
        <v>0</v>
      </c>
      <c r="AG164" s="39" t="n">
        <f aca="false">IF(AG$4=0,0,IF(COUNTIFS(実績!$W$6:$W$505,AG$3,実績!$AI$6:$AI$505,"&lt;="&amp;$A164,実績!$AJ$6:$AJ$505,"&gt;"&amp;$A164,実績!$AK$6:$AK$505,"○")&gt;0,1,0))</f>
        <v>0</v>
      </c>
      <c r="AH164" s="39" t="n">
        <f aca="false">IF(AH$4=0,0,IF(COUNTIFS(実績!$W$6:$W$505,AH$3,実績!$AI$6:$AI$505,"&lt;="&amp;$A164,実績!$AJ$6:$AJ$505,"&gt;"&amp;$A164,実績!$AK$6:$AK$505,"○")&gt;0,1,0))</f>
        <v>0</v>
      </c>
      <c r="AI164" s="39" t="n">
        <f aca="false">IF(AI$4=0,0,IF(COUNTIFS(実績!$W$6:$W$505,AI$3,実績!$AI$6:$AI$505,"&lt;="&amp;$A164,実績!$AJ$6:$AJ$505,"&gt;"&amp;$A164,実績!$AK$6:$AK$505,"○")&gt;0,1,0))</f>
        <v>0</v>
      </c>
      <c r="AJ164" s="39" t="n">
        <f aca="false">IF(AJ$4=0,0,IF(COUNTIFS(実績!$W$6:$W$505,AJ$3,実績!$AI$6:$AI$505,"&lt;="&amp;$A164,実績!$AJ$6:$AJ$505,"&gt;"&amp;$A164,実績!$AK$6:$AK$505,"○")&gt;0,1,0))</f>
        <v>0</v>
      </c>
      <c r="AK164" s="39" t="n">
        <f aca="false">IF(AK$4=0,0,IF(COUNTIFS(実績!$W$6:$W$505,AK$3,実績!$AI$6:$AI$505,"&lt;="&amp;$A164,実績!$AJ$6:$AJ$505,"&gt;"&amp;$A164,実績!$AK$6:$AK$505,"○")&gt;0,1,0))</f>
        <v>0</v>
      </c>
      <c r="AL164" s="39" t="n">
        <f aca="false">IF(AL$4=0,0,IF(COUNTIFS(実績!$W$6:$W$505,AL$3,実績!$AI$6:$AI$505,"&lt;="&amp;$A164,実績!$AJ$6:$AJ$505,"&gt;"&amp;$A164,実績!$AK$6:$AK$505,"○")&gt;0,1,0))</f>
        <v>0</v>
      </c>
      <c r="AM164" s="39" t="n">
        <f aca="false">IF(AM$4=0,0,IF(COUNTIFS(実績!$W$6:$W$505,AM$3,実績!$AI$6:$AI$505,"&lt;="&amp;$A164,実績!$AJ$6:$AJ$505,"&gt;"&amp;$A164,実績!$AK$6:$AK$505,"○")&gt;0,1,0))</f>
        <v>0</v>
      </c>
      <c r="AN164" s="39" t="n">
        <f aca="false">IF(AN$4=0,0,IF(COUNTIFS(実績!$W$6:$W$505,AN$3,実績!$AI$6:$AI$505,"&lt;="&amp;$A164,実績!$AJ$6:$AJ$505,"&gt;"&amp;$A164,実績!$AK$6:$AK$505,"○")&gt;0,1,0))</f>
        <v>0</v>
      </c>
      <c r="AO164" s="39" t="n">
        <f aca="false">IF(AO$4=0,0,IF(COUNTIFS(実績!$W$6:$W$505,AO$3,実績!$AI$6:$AI$505,"&lt;="&amp;$A164,実績!$AJ$6:$AJ$505,"&gt;"&amp;$A164,実績!$AK$6:$AK$505,"○")&gt;0,1,0))</f>
        <v>0</v>
      </c>
      <c r="AP164" s="39" t="n">
        <f aca="false">IF(AP$4=0,0,IF(COUNTIFS(実績!$W$6:$W$505,AP$3,実績!$AI$6:$AI$505,"&lt;="&amp;$A164,実績!$AJ$6:$AJ$505,"&gt;"&amp;$A164,実績!$AK$6:$AK$505,"○")&gt;0,1,0))</f>
        <v>0</v>
      </c>
      <c r="AQ164" s="39" t="n">
        <f aca="false">IF(AQ$4=0,0,IF(COUNTIFS(実績!$W$6:$W$505,AQ$3,実績!$AI$6:$AI$505,"&lt;="&amp;$A164,実績!$AJ$6:$AJ$505,"&gt;"&amp;$A164,実績!$AK$6:$AK$505,"○")&gt;0,1,0))</f>
        <v>0</v>
      </c>
      <c r="AR164" s="39" t="n">
        <f aca="false">IF(AR$4=0,0,IF(COUNTIFS(実績!$W$6:$W$505,AR$3,実績!$AI$6:$AI$505,"&lt;="&amp;$A164,実績!$AJ$6:$AJ$505,"&gt;"&amp;$A164,実績!$AK$6:$AK$505,"○")&gt;0,1,0))</f>
        <v>0</v>
      </c>
      <c r="AS164" s="39" t="n">
        <f aca="false">IF(AS$4=0,0,IF(COUNTIFS(実績!$W$6:$W$505,AS$3,実績!$AI$6:$AI$505,"&lt;="&amp;$A164,実績!$AJ$6:$AJ$505,"&gt;"&amp;$A164,実績!$AK$6:$AK$505,"○")&gt;0,1,0))</f>
        <v>0</v>
      </c>
      <c r="AT164" s="39" t="n">
        <f aca="false">IF(AT$4=0,0,IF(COUNTIFS(実績!$W$6:$W$505,AT$3,実績!$AI$6:$AI$505,"&lt;="&amp;$A164,実績!$AJ$6:$AJ$505,"&gt;"&amp;$A164,実績!$AK$6:$AK$505,"○")&gt;0,1,0))</f>
        <v>0</v>
      </c>
      <c r="AU164" s="39" t="n">
        <f aca="false">IF(AU$4=0,0,IF(COUNTIFS(実績!$W$6:$W$505,AU$3,実績!$AI$6:$AI$505,"&lt;="&amp;$A164,実績!$AJ$6:$AJ$505,"&gt;"&amp;$A164,実績!$AK$6:$AK$505,"○")&gt;0,1,0))</f>
        <v>0</v>
      </c>
      <c r="AV164" s="39" t="n">
        <f aca="false">IF(AV$4=0,0,IF(COUNTIFS(実績!$W$6:$W$505,AV$3,実績!$AI$6:$AI$505,"&lt;="&amp;$A164,実績!$AJ$6:$AJ$505,"&gt;"&amp;$A164,実績!$AK$6:$AK$505,"○")&gt;0,1,0))</f>
        <v>0</v>
      </c>
      <c r="AW164" s="39" t="n">
        <f aca="false">IF(AW$4=0,0,IF(COUNTIFS(実績!$W$6:$W$505,AW$3,実績!$AI$6:$AI$505,"&lt;="&amp;$A164,実績!$AJ$6:$AJ$505,"&gt;"&amp;$A164,実績!$AK$6:$AK$505,"○")&gt;0,1,0))</f>
        <v>0</v>
      </c>
      <c r="AX164" s="39" t="n">
        <f aca="false">IF(AX$4=0,0,IF(COUNTIFS(実績!$W$6:$W$505,AX$3,実績!$AI$6:$AI$505,"&lt;="&amp;$A164,実績!$AJ$6:$AJ$505,"&gt;"&amp;$A164,実績!$AK$6:$AK$505,"○")&gt;0,1,0))</f>
        <v>0</v>
      </c>
      <c r="AY164" s="39" t="n">
        <f aca="false">IF(AY$4=0,0,IF(COUNTIFS(実績!$W$6:$W$505,AY$3,実績!$AI$6:$AI$505,"&lt;="&amp;$A164,実績!$AJ$6:$AJ$505,"&gt;"&amp;$A164,実績!$AK$6:$AK$505,"○")&gt;0,1,0))</f>
        <v>0</v>
      </c>
      <c r="AZ164" s="39" t="n">
        <f aca="false">IF(AZ$4=0,0,IF(COUNTIFS(実績!$W$6:$W$505,AZ$3,実績!$AI$6:$AI$505,"&lt;="&amp;$A164,実績!$AJ$6:$AJ$505,"&gt;"&amp;$A164,実績!$AK$6:$AK$505,"○")&gt;0,1,0))</f>
        <v>0</v>
      </c>
      <c r="BA164" s="39" t="n">
        <f aca="false">IF(BA$4=0,0,IF(COUNTIFS(実績!$W$6:$W$505,BA$3,実績!$AI$6:$AI$505,"&lt;="&amp;$A164,実績!$AJ$6:$AJ$505,"&gt;"&amp;$A164,実績!$AK$6:$AK$505,"○")&gt;0,1,0))</f>
        <v>0</v>
      </c>
      <c r="BB164" s="39" t="n">
        <f aca="false">IF(BB$4=0,0,IF(COUNTIFS(実績!$W$6:$W$505,BB$3,実績!$AI$6:$AI$505,"&lt;="&amp;$A164,実績!$AJ$6:$AJ$505,"&gt;"&amp;$A164,実績!$AK$6:$AK$505,"○")&gt;0,1,0))</f>
        <v>0</v>
      </c>
      <c r="BC164" s="39" t="n">
        <f aca="false">IF(BC$4=0,0,IF(COUNTIFS(実績!$W$6:$W$505,BC$3,実績!$AI$6:$AI$505,"&lt;="&amp;$A164,実績!$AJ$6:$AJ$505,"&gt;"&amp;$A164,実績!$AK$6:$AK$505,"○")&gt;0,1,0))</f>
        <v>0</v>
      </c>
      <c r="BD164" s="39" t="n">
        <f aca="false">IF(BD$4=0,0,IF(COUNTIFS(実績!$W$6:$W$505,BD$3,実績!$AI$6:$AI$505,"&lt;="&amp;$A164,実績!$AJ$6:$AJ$505,"&gt;"&amp;$A164,実績!$AK$6:$AK$505,"○")&gt;0,1,0))</f>
        <v>0</v>
      </c>
      <c r="BE164" s="39" t="n">
        <f aca="false">IF(BE$4=0,0,IF(COUNTIFS(実績!$W$6:$W$505,BE$3,実績!$AI$6:$AI$505,"&lt;="&amp;$A164,実績!$AJ$6:$AJ$505,"&gt;"&amp;$A164,実績!$AK$6:$AK$505,"○")&gt;0,1,0))</f>
        <v>0</v>
      </c>
      <c r="BF164" s="39" t="n">
        <f aca="false">IF(BF$4=0,0,IF(COUNTIFS(実績!$W$6:$W$505,BF$3,実績!$AI$6:$AI$505,"&lt;="&amp;$A164,実績!$AJ$6:$AJ$505,"&gt;"&amp;$A164,実績!$AK$6:$AK$505,"○")&gt;0,1,0))</f>
        <v>0</v>
      </c>
      <c r="BG164" s="39" t="n">
        <f aca="false">IF(BG$4=0,0,IF(COUNTIFS(実績!$W$6:$W$505,BG$3,実績!$AI$6:$AI$505,"&lt;="&amp;$A164,実績!$AJ$6:$AJ$505,"&gt;"&amp;$A164,実績!$AK$6:$AK$505,"○")&gt;0,1,0))</f>
        <v>0</v>
      </c>
      <c r="BH164" s="39" t="n">
        <f aca="false">IF(BH$4=0,0,IF(COUNTIFS(実績!$W$6:$W$505,BH$3,実績!$AI$6:$AI$505,"&lt;="&amp;$A164,実績!$AJ$6:$AJ$505,"&gt;"&amp;$A164,実績!$AK$6:$AK$505,"○")&gt;0,1,0))</f>
        <v>0</v>
      </c>
      <c r="BI164" s="39" t="n">
        <f aca="false">IF(BI$4=0,0,IF(COUNTIFS(実績!$W$6:$W$505,BI$3,実績!$AI$6:$AI$505,"&lt;="&amp;$A164,実績!$AJ$6:$AJ$505,"&gt;"&amp;$A164,実績!$AK$6:$AK$505,"○")&gt;0,1,0))</f>
        <v>0</v>
      </c>
      <c r="BJ164" s="39" t="n">
        <f aca="false">IF(BJ$4=0,0,IF(COUNTIFS(実績!$W$6:$W$505,BJ$3,実績!$AI$6:$AI$505,"&lt;="&amp;$A164,実績!$AJ$6:$AJ$505,"&gt;"&amp;$A164,実績!$AK$6:$AK$505,"○")&gt;0,1,0))</f>
        <v>0</v>
      </c>
      <c r="BK164" s="39" t="n">
        <f aca="false">IF(BK$4=0,0,IF(COUNTIFS(実績!$W$6:$W$505,BK$3,実績!$AI$6:$AI$505,"&lt;="&amp;$A164,実績!$AJ$6:$AJ$505,"&gt;"&amp;$A164,実績!$AK$6:$AK$505,"○")&gt;0,1,0))</f>
        <v>0</v>
      </c>
      <c r="BL164" s="39" t="n">
        <f aca="false">IF(BL$4=0,0,IF(COUNTIFS(実績!$W$6:$W$505,BL$3,実績!$AI$6:$AI$505,"&lt;="&amp;$A164,実績!$AJ$6:$AJ$505,"&gt;"&amp;$A164,実績!$AK$6:$AK$505,"○")&gt;0,1,0))</f>
        <v>0</v>
      </c>
      <c r="BM164" s="39" t="n">
        <f aca="false">IF(BM$4=0,0,IF(COUNTIFS(実績!$W$6:$W$505,BM$3,実績!$AI$6:$AI$505,"&lt;="&amp;$A164,実績!$AJ$6:$AJ$505,"&gt;"&amp;$A164,実績!$AK$6:$AK$505,"○")&gt;0,1,0))</f>
        <v>0</v>
      </c>
      <c r="BN164" s="39" t="n">
        <f aca="false">IF(BN$4=0,0,IF(COUNTIFS(実績!$W$6:$W$505,BN$3,実績!$AI$6:$AI$505,"&lt;="&amp;$A164,実績!$AJ$6:$AJ$505,"&gt;"&amp;$A164,実績!$AK$6:$AK$505,"○")&gt;0,1,0))</f>
        <v>0</v>
      </c>
      <c r="BO164" s="39" t="n">
        <f aca="false">IF(BO$4=0,0,IF(COUNTIFS(実績!$W$6:$W$505,BO$3,実績!$AI$6:$AI$505,"&lt;="&amp;$A164,実績!$AJ$6:$AJ$505,"&gt;"&amp;$A164,実績!$AK$6:$AK$505,"○")&gt;0,1,0))</f>
        <v>0</v>
      </c>
      <c r="BP164" s="39" t="n">
        <f aca="false">IF(BP$4=0,0,IF(COUNTIFS(実績!$W$6:$W$505,BP$3,実績!$AI$6:$AI$505,"&lt;="&amp;$A164,実績!$AJ$6:$AJ$505,"&gt;"&amp;$A164,実績!$AK$6:$AK$505,"○")&gt;0,1,0))</f>
        <v>0</v>
      </c>
      <c r="BQ164" s="39" t="n">
        <f aca="false">IF(BQ$4=0,0,IF(COUNTIFS(実績!$W$6:$W$505,BQ$3,実績!$AI$6:$AI$505,"&lt;="&amp;$A164,実績!$AJ$6:$AJ$505,"&gt;"&amp;$A164,実績!$AK$6:$AK$505,"○")&gt;0,1,0))</f>
        <v>0</v>
      </c>
      <c r="BR164" s="39" t="n">
        <f aca="false">IF(BR$4=0,0,IF(COUNTIFS(実績!$W$6:$W$505,BR$3,実績!$AI$6:$AI$505,"&lt;="&amp;$A164,実績!$AJ$6:$AJ$505,"&gt;"&amp;$A164,実績!$AK$6:$AK$505,"○")&gt;0,1,0))</f>
        <v>0</v>
      </c>
      <c r="BS164" s="39" t="n">
        <f aca="false">IF(BS$4=0,0,IF(COUNTIFS(実績!$W$6:$W$505,BS$3,実績!$AI$6:$AI$505,"&lt;="&amp;$A164,実績!$AJ$6:$AJ$505,"&gt;"&amp;$A164,実績!$AK$6:$AK$505,"○")&gt;0,1,0))</f>
        <v>0</v>
      </c>
      <c r="BT164" s="39" t="n">
        <f aca="false">IF(BT$4=0,0,IF(COUNTIFS(実績!$W$6:$W$505,BT$3,実績!$AI$6:$AI$505,"&lt;="&amp;$A164,実績!$AJ$6:$AJ$505,"&gt;"&amp;$A164,実績!$AK$6:$AK$505,"○")&gt;0,1,0))</f>
        <v>0</v>
      </c>
      <c r="BU164" s="39" t="n">
        <f aca="false">IF(BU$4=0,0,IF(COUNTIFS(実績!$W$6:$W$505,BU$3,実績!$AI$6:$AI$505,"&lt;="&amp;$A164,実績!$AJ$6:$AJ$505,"&gt;"&amp;$A164,実績!$AK$6:$AK$505,"○")&gt;0,1,0))</f>
        <v>0</v>
      </c>
      <c r="BV164" s="39" t="n">
        <f aca="false">IF(BV$4=0,0,IF(COUNTIFS(実績!$W$6:$W$505,BV$3,実績!$AI$6:$AI$505,"&lt;="&amp;$A164,実績!$AJ$6:$AJ$505,"&gt;"&amp;$A164,実績!$AK$6:$AK$505,"○")&gt;0,1,0))</f>
        <v>0</v>
      </c>
      <c r="BW164" s="39" t="n">
        <f aca="false">IF(BW$4=0,0,IF(COUNTIFS(実績!$W$6:$W$505,BW$3,実績!$AI$6:$AI$505,"&lt;="&amp;$A164,実績!$AJ$6:$AJ$505,"&gt;"&amp;$A164,実績!$AK$6:$AK$505,"○")&gt;0,1,0))</f>
        <v>0</v>
      </c>
      <c r="BX164" s="39" t="n">
        <f aca="false">IF(BX$4=0,0,IF(COUNTIFS(実績!$W$6:$W$505,BX$3,実績!$AI$6:$AI$505,"&lt;="&amp;$A164,実績!$AJ$6:$AJ$505,"&gt;"&amp;$A164,実績!$AK$6:$AK$505,"○")&gt;0,1,0))</f>
        <v>0</v>
      </c>
      <c r="BY164" s="39" t="n">
        <f aca="false">IF(BY$4=0,0,IF(COUNTIFS(実績!$W$6:$W$505,BY$3,実績!$AI$6:$AI$505,"&lt;="&amp;$A164,実績!$AJ$6:$AJ$505,"&gt;"&amp;$A164,実績!$AK$6:$AK$505,"○")&gt;0,1,0))</f>
        <v>0</v>
      </c>
      <c r="BZ164" s="39" t="n">
        <f aca="false">IF(BZ$4=0,0,IF(COUNTIFS(実績!$W$6:$W$505,BZ$3,実績!$AI$6:$AI$505,"&lt;="&amp;$A164,実績!$AJ$6:$AJ$505,"&gt;"&amp;$A164,実績!$AK$6:$AK$505,"○")&gt;0,1,0))</f>
        <v>0</v>
      </c>
      <c r="CA164" s="39" t="n">
        <f aca="false">IF(CA$4=0,0,IF(COUNTIFS(実績!$W$6:$W$505,CA$3,実績!$AI$6:$AI$505,"&lt;="&amp;$A164,実績!$AJ$6:$AJ$505,"&gt;"&amp;$A164,実績!$AK$6:$AK$505,"○")&gt;0,1,0))</f>
        <v>0</v>
      </c>
      <c r="CB164" s="39" t="n">
        <f aca="false">IF(CB$4=0,0,IF(COUNTIFS(実績!$W$6:$W$505,CB$3,実績!$AI$6:$AI$505,"&lt;="&amp;$A164,実績!$AJ$6:$AJ$505,"&gt;"&amp;$A164,実績!$AK$6:$AK$505,"○")&gt;0,1,0))</f>
        <v>0</v>
      </c>
      <c r="CC164" s="39" t="n">
        <f aca="false">IF(CC$4=0,0,IF(COUNTIFS(実績!$W$6:$W$505,CC$3,実績!$AI$6:$AI$505,"&lt;="&amp;$A164,実績!$AJ$6:$AJ$505,"&gt;"&amp;$A164,実績!$AK$6:$AK$505,"○")&gt;0,1,0))</f>
        <v>0</v>
      </c>
      <c r="CD164" s="39" t="n">
        <f aca="false">IF(CD$4=0,0,IF(COUNTIFS(実績!$W$6:$W$505,CD$3,実績!$AI$6:$AI$505,"&lt;="&amp;$A164,実績!$AJ$6:$AJ$505,"&gt;"&amp;$A164,実績!$AK$6:$AK$505,"○")&gt;0,1,0))</f>
        <v>0</v>
      </c>
      <c r="CE164" s="39" t="n">
        <f aca="false">IF(CE$4=0,0,IF(COUNTIFS(実績!$W$6:$W$505,CE$3,実績!$AI$6:$AI$505,"&lt;="&amp;$A164,実績!$AJ$6:$AJ$505,"&gt;"&amp;$A164,実績!$AK$6:$AK$505,"○")&gt;0,1,0))</f>
        <v>0</v>
      </c>
      <c r="CF164" s="39" t="n">
        <f aca="false">IF(CF$4=0,0,IF(COUNTIFS(実績!$W$6:$W$505,CF$3,実績!$AI$6:$AI$505,"&lt;="&amp;$A164,実績!$AJ$6:$AJ$505,"&gt;"&amp;$A164,実績!$AK$6:$AK$505,"○")&gt;0,1,0))</f>
        <v>0</v>
      </c>
      <c r="CG164" s="39" t="n">
        <f aca="false">IF(CG$4=0,0,IF(COUNTIFS(実績!$W$6:$W$505,CG$3,実績!$AI$6:$AI$505,"&lt;="&amp;$A164,実績!$AJ$6:$AJ$505,"&gt;"&amp;$A164,実績!$AK$6:$AK$505,"○")&gt;0,1,0))</f>
        <v>0</v>
      </c>
      <c r="CH164" s="39" t="n">
        <f aca="false">IF(CH$4=0,0,IF(COUNTIFS(実績!$W$6:$W$505,CH$3,実績!$AI$6:$AI$505,"&lt;="&amp;$A164,実績!$AJ$6:$AJ$505,"&gt;"&amp;$A164,実績!$AK$6:$AK$505,"○")&gt;0,1,0))</f>
        <v>0</v>
      </c>
      <c r="CI164" s="39" t="n">
        <f aca="false">IF(CI$4=0,0,IF(COUNTIFS(実績!$W$6:$W$505,CI$3,実績!$AI$6:$AI$505,"&lt;="&amp;$A164,実績!$AJ$6:$AJ$505,"&gt;"&amp;$A164,実績!$AK$6:$AK$505,"○")&gt;0,1,0))</f>
        <v>0</v>
      </c>
      <c r="CJ164" s="39" t="n">
        <f aca="false">IF(CJ$4=0,0,IF(COUNTIFS(実績!$W$6:$W$505,CJ$3,実績!$AI$6:$AI$505,"&lt;="&amp;$A164,実績!$AJ$6:$AJ$505,"&gt;"&amp;$A164,実績!$AK$6:$AK$505,"○")&gt;0,1,0))</f>
        <v>0</v>
      </c>
      <c r="CK164" s="39" t="n">
        <f aca="false">IF(CK$4=0,0,IF(COUNTIFS(実績!$W$6:$W$505,CK$3,実績!$AI$6:$AI$505,"&lt;="&amp;$A164,実績!$AJ$6:$AJ$505,"&gt;"&amp;$A164,実績!$AK$6:$AK$505,"○")&gt;0,1,0))</f>
        <v>0</v>
      </c>
      <c r="CL164" s="39" t="n">
        <f aca="false">IF(CL$4=0,0,IF(COUNTIFS(実績!$W$6:$W$505,CL$3,実績!$AI$6:$AI$505,"&lt;="&amp;$A164,実績!$AJ$6:$AJ$505,"&gt;"&amp;$A164,実績!$AK$6:$AK$505,"○")&gt;0,1,0))</f>
        <v>0</v>
      </c>
      <c r="CM164" s="39" t="n">
        <f aca="false">IF(CM$4=0,0,IF(COUNTIFS(実績!$W$6:$W$505,CM$3,実績!$AI$6:$AI$505,"&lt;="&amp;$A164,実績!$AJ$6:$AJ$505,"&gt;"&amp;$A164,実績!$AK$6:$AK$505,"○")&gt;0,1,0))</f>
        <v>0</v>
      </c>
      <c r="CN164" s="39" t="n">
        <f aca="false">IF(CN$4=0,0,IF(COUNTIFS(実績!$W$6:$W$505,CN$3,実績!$AI$6:$AI$505,"&lt;="&amp;$A164,実績!$AJ$6:$AJ$505,"&gt;"&amp;$A164,実績!$AK$6:$AK$505,"○")&gt;0,1,0))</f>
        <v>0</v>
      </c>
      <c r="CO164" s="39" t="n">
        <f aca="false">IF(CO$4=0,0,IF(COUNTIFS(実績!$W$6:$W$505,CO$3,実績!$AI$6:$AI$505,"&lt;="&amp;$A164,実績!$AJ$6:$AJ$505,"&gt;"&amp;$A164,実績!$AK$6:$AK$505,"○")&gt;0,1,0))</f>
        <v>0</v>
      </c>
      <c r="CP164" s="39" t="n">
        <f aca="false">IF(CP$4=0,0,IF(COUNTIFS(実績!$W$6:$W$505,CP$3,実績!$AI$6:$AI$505,"&lt;="&amp;$A164,実績!$AJ$6:$AJ$505,"&gt;"&amp;$A164,実績!$AK$6:$AK$505,"○")&gt;0,1,0))</f>
        <v>0</v>
      </c>
      <c r="CQ164" s="39" t="n">
        <f aca="false">IF(CQ$4=0,0,IF(COUNTIFS(実績!$W$6:$W$505,CQ$3,実績!$AI$6:$AI$505,"&lt;="&amp;$A164,実績!$AJ$6:$AJ$505,"&gt;"&amp;$A164,実績!$AK$6:$AK$505,"○")&gt;0,1,0))</f>
        <v>0</v>
      </c>
      <c r="CR164" s="39" t="n">
        <f aca="false">IF(CR$4=0,0,IF(COUNTIFS(実績!$W$6:$W$505,CR$3,実績!$AI$6:$AI$505,"&lt;="&amp;$A164,実績!$AJ$6:$AJ$505,"&gt;"&amp;$A164,実績!$AK$6:$AK$505,"○")&gt;0,1,0))</f>
        <v>0</v>
      </c>
      <c r="CS164" s="39" t="n">
        <f aca="false">IF(CS$4=0,0,IF(COUNTIFS(実績!$W$6:$W$505,CS$3,実績!$AI$6:$AI$505,"&lt;="&amp;$A164,実績!$AJ$6:$AJ$505,"&gt;"&amp;$A164,実績!$AK$6:$AK$505,"○")&gt;0,1,0))</f>
        <v>0</v>
      </c>
      <c r="CT164" s="39" t="n">
        <f aca="false">IF(CT$4=0,0,IF(COUNTIFS(実績!$W$6:$W$505,CT$3,実績!$AI$6:$AI$505,"&lt;="&amp;$A164,実績!$AJ$6:$AJ$505,"&gt;"&amp;$A164,実績!$AK$6:$AK$505,"○")&gt;0,1,0))</f>
        <v>0</v>
      </c>
      <c r="CU164" s="39" t="n">
        <f aca="false">IF(CU$4=0,0,IF(COUNTIFS(実績!$W$6:$W$505,CU$3,実績!$AI$6:$AI$505,"&lt;="&amp;$A164,実績!$AJ$6:$AJ$505,"&gt;"&amp;$A164,実績!$AK$6:$AK$505,"○")&gt;0,1,0))</f>
        <v>0</v>
      </c>
      <c r="CV164" s="39" t="n">
        <f aca="false">IF(CV$4=0,0,IF(COUNTIFS(実績!$W$6:$W$505,CV$3,実績!$AI$6:$AI$505,"&lt;="&amp;$A164,実績!$AJ$6:$AJ$505,"&gt;"&amp;$A164,実績!$AK$6:$AK$505,"○")&gt;0,1,0))</f>
        <v>0</v>
      </c>
      <c r="CW164" s="39" t="n">
        <f aca="false">IF(CW$4=0,0,IF(COUNTIFS(実績!$W$6:$W$505,CW$3,実績!$AI$6:$AI$505,"&lt;="&amp;$A164,実績!$AJ$6:$AJ$505,"&gt;"&amp;$A164,実績!$AK$6:$AK$505,"○")&gt;0,1,0))</f>
        <v>0</v>
      </c>
      <c r="CX164" s="39" t="n">
        <f aca="false">IF(CX$4=0,0,IF(COUNTIFS(実績!$W$6:$W$505,CX$3,実績!$AI$6:$AI$505,"&lt;="&amp;$A164,実績!$AJ$6:$AJ$505,"&gt;"&amp;$A164,実績!$AK$6:$AK$505,"○")&gt;0,1,0))</f>
        <v>0</v>
      </c>
      <c r="CY164" s="39" t="n">
        <f aca="false">IF(CY$4=0,0,IF(COUNTIFS(実績!$W$6:$W$505,CY$3,実績!$AI$6:$AI$505,"&lt;="&amp;$A164,実績!$AJ$6:$AJ$505,"&gt;"&amp;$A164,実績!$AK$6:$AK$505,"○")&gt;0,1,0))</f>
        <v>0</v>
      </c>
      <c r="CZ164" s="39" t="n">
        <f aca="false">IF(CZ$4=0,0,IF(COUNTIFS(実績!$W$6:$W$505,CZ$3,実績!$AI$6:$AI$505,"&lt;="&amp;$A164,実績!$AJ$6:$AJ$505,"&gt;"&amp;$A164,実績!$AK$6:$AK$505,"○")&gt;0,1,0))</f>
        <v>0</v>
      </c>
      <c r="DA164" s="39" t="n">
        <f aca="false">IF(DA$4=0,0,IF(COUNTIFS(実績!$W$6:$W$505,DA$3,実績!$AI$6:$AI$505,"&lt;="&amp;$A164,実績!$AJ$6:$AJ$505,"&gt;"&amp;$A164,実績!$AK$6:$AK$505,"○")&gt;0,1,0))</f>
        <v>0</v>
      </c>
      <c r="DB164" s="39" t="n">
        <f aca="false">IF(DB$4=0,0,IF(COUNTIFS(実績!$W$6:$W$505,DB$3,実績!$AI$6:$AI$505,"&lt;="&amp;$A164,実績!$AJ$6:$AJ$505,"&gt;"&amp;$A164,実績!$AK$6:$AK$505,"○")&gt;0,1,0))</f>
        <v>0</v>
      </c>
      <c r="DC164" s="39" t="n">
        <f aca="false">IF(DC$4=0,0,IF(COUNTIFS(実績!$W$6:$W$505,DC$3,実績!$AI$6:$AI$505,"&lt;="&amp;$A164,実績!$AJ$6:$AJ$505,"&gt;"&amp;$A164,実績!$AK$6:$AK$505,"○")&gt;0,1,0))</f>
        <v>0</v>
      </c>
      <c r="DD164" s="39" t="n">
        <f aca="false">IF(DD$4=0,0,IF(COUNTIFS(実績!$W$6:$W$505,DD$3,実績!$AI$6:$AI$505,"&lt;="&amp;$A164,実績!$AJ$6:$AJ$505,"&gt;"&amp;$A164,実績!$AK$6:$AK$505,"○")&gt;0,1,0))</f>
        <v>0</v>
      </c>
      <c r="DE164" s="39" t="n">
        <f aca="false">IF(DE$4=0,0,IF(COUNTIFS(実績!$W$6:$W$505,DE$3,実績!$AI$6:$AI$505,"&lt;="&amp;$A164,実績!$AJ$6:$AJ$505,"&gt;"&amp;$A164,実績!$AK$6:$AK$505,"○")&gt;0,1,0))</f>
        <v>0</v>
      </c>
      <c r="DF164" s="39" t="n">
        <f aca="false">IF(DF$4=0,0,IF(COUNTIFS(実績!$W$6:$W$505,DF$3,実績!$AI$6:$AI$505,"&lt;="&amp;$A164,実績!$AJ$6:$AJ$505,"&gt;"&amp;$A164,実績!$AK$6:$AK$505,"○")&gt;0,1,0))</f>
        <v>0</v>
      </c>
      <c r="DG164" s="39" t="n">
        <f aca="false">IF(DG$4=0,0,IF(COUNTIFS(実績!$W$6:$W$505,DG$3,実績!$AI$6:$AI$505,"&lt;="&amp;$A164,実績!$AJ$6:$AJ$505,"&gt;"&amp;$A164,実績!$AK$6:$AK$505,"○")&gt;0,1,0))</f>
        <v>0</v>
      </c>
      <c r="DH164" s="39" t="n">
        <f aca="false">IF(DH$4=0,0,IF(COUNTIFS(実績!$W$6:$W$505,DH$3,実績!$AI$6:$AI$505,"&lt;="&amp;$A164,実績!$AJ$6:$AJ$505,"&gt;"&amp;$A164,実績!$AK$6:$AK$505,"○")&gt;0,1,0))</f>
        <v>0</v>
      </c>
      <c r="DI164" s="39" t="n">
        <f aca="false">IF(DI$4=0,0,IF(COUNTIFS(実績!$W$6:$W$505,DI$3,実績!$AI$6:$AI$505,"&lt;="&amp;$A164,実績!$AJ$6:$AJ$505,"&gt;"&amp;$A164,実績!$AK$6:$AK$505,"○")&gt;0,1,0))</f>
        <v>0</v>
      </c>
      <c r="DJ164" s="39" t="n">
        <f aca="false">IF(DJ$4=0,0,IF(COUNTIFS(実績!$W$6:$W$505,DJ$3,実績!$AI$6:$AI$505,"&lt;="&amp;$A164,実績!$AJ$6:$AJ$505,"&gt;"&amp;$A164,実績!$AK$6:$AK$505,"○")&gt;0,1,0))</f>
        <v>0</v>
      </c>
      <c r="DK164" s="39" t="n">
        <f aca="false">IF(DK$4=0,0,IF(COUNTIFS(実績!$W$6:$W$505,DK$3,実績!$AI$6:$AI$505,"&lt;="&amp;$A164,実績!$AJ$6:$AJ$505,"&gt;"&amp;$A164,実績!$AK$6:$AK$505,"○")&gt;0,1,0))</f>
        <v>0</v>
      </c>
      <c r="DL164" s="39" t="n">
        <f aca="false">IF(DL$4=0,0,IF(COUNTIFS(実績!$W$6:$W$505,DL$3,実績!$AI$6:$AI$505,"&lt;="&amp;$A164,実績!$AJ$6:$AJ$505,"&gt;"&amp;$A164,実績!$AK$6:$AK$505,"○")&gt;0,1,0))</f>
        <v>0</v>
      </c>
      <c r="DM164" s="39" t="n">
        <f aca="false">IF(DM$4=0,0,IF(COUNTIFS(実績!$W$6:$W$505,DM$3,実績!$AI$6:$AI$505,"&lt;="&amp;$A164,実績!$AJ$6:$AJ$505,"&gt;"&amp;$A164,実績!$AK$6:$AK$505,"○")&gt;0,1,0))</f>
        <v>0</v>
      </c>
      <c r="DN164" s="39" t="n">
        <f aca="false">IF(DN$4=0,0,IF(COUNTIFS(実績!$W$6:$W$505,DN$3,実績!$AI$6:$AI$505,"&lt;="&amp;$A164,実績!$AJ$6:$AJ$505,"&gt;"&amp;$A164,実績!$AK$6:$AK$505,"○")&gt;0,1,0))</f>
        <v>0</v>
      </c>
      <c r="DO164" s="39" t="n">
        <f aca="false">IF(DO$4=0,0,IF(COUNTIFS(実績!$W$6:$W$505,DO$3,実績!$AI$6:$AI$505,"&lt;="&amp;$A164,実績!$AJ$6:$AJ$505,"&gt;"&amp;$A164,実績!$AK$6:$AK$505,"○")&gt;0,1,0))</f>
        <v>0</v>
      </c>
      <c r="DP164" s="39" t="n">
        <f aca="false">IF(DP$4=0,0,IF(COUNTIFS(実績!$W$6:$W$505,DP$3,実績!$AI$6:$AI$505,"&lt;="&amp;$A164,実績!$AJ$6:$AJ$505,"&gt;"&amp;$A164,実績!$AK$6:$AK$505,"○")&gt;0,1,0))</f>
        <v>0</v>
      </c>
      <c r="DQ164" s="39" t="n">
        <f aca="false">IF(DQ$4=0,0,IF(COUNTIFS(実績!$W$6:$W$505,DQ$3,実績!$AI$6:$AI$505,"&lt;="&amp;$A164,実績!$AJ$6:$AJ$505,"&gt;"&amp;$A164,実績!$AK$6:$AK$505,"○")&gt;0,1,0))</f>
        <v>0</v>
      </c>
      <c r="DR164" s="39" t="n">
        <f aca="false">IF(DR$4=0,0,IF(COUNTIFS(実績!$W$6:$W$505,DR$3,実績!$AI$6:$AI$505,"&lt;="&amp;$A164,実績!$AJ$6:$AJ$505,"&gt;"&amp;$A164,実績!$AK$6:$AK$505,"○")&gt;0,1,0))</f>
        <v>0</v>
      </c>
      <c r="DS164" s="39" t="n">
        <f aca="false">SUM(C164:DR164)</f>
        <v>0</v>
      </c>
      <c r="DT164" s="39" t="n">
        <f aca="false">SUMPRODUCT((実績!$C$6:$C$505="○")*ISNUMBER(実績!$AM$6:$AM$505)*(実績!$AM$6:$AM$505&lt;=$A164)*(実績!$AN$6:$AN$505&gt;$A164))</f>
        <v>0</v>
      </c>
      <c r="DU164" s="39" t="n">
        <f aca="false">SUMIF($C$2:$DR$2,"製鉄曳船",C164:DR164)</f>
        <v>0</v>
      </c>
      <c r="DV164" s="39" t="n">
        <f aca="false">SUMIF($C$2:$DR$2,"西日本海運",C164:DR164)</f>
        <v>0</v>
      </c>
    </row>
    <row r="165" customFormat="false" ht="15" hidden="false" customHeight="false" outlineLevel="0" collapsed="false">
      <c r="A165" s="0" t="n">
        <v>795</v>
      </c>
      <c r="B165" s="38" t="n">
        <f aca="false">A165/1440</f>
        <v>0.552083333333333</v>
      </c>
      <c r="C165" s="39" t="n">
        <f aca="false">IF(C$4=0,0,IF(COUNTIFS(実績!$W$6:$W$505,C$3,実績!$AI$6:$AI$505,"&lt;="&amp;$A165,実績!$AJ$6:$AJ$505,"&gt;"&amp;$A165,実績!$AK$6:$AK$505,"○")&gt;0,1,0))</f>
        <v>0</v>
      </c>
      <c r="D165" s="39" t="n">
        <f aca="false">IF(D$4=0,0,IF(COUNTIFS(実績!$W$6:$W$505,D$3,実績!$AI$6:$AI$505,"&lt;="&amp;$A165,実績!$AJ$6:$AJ$505,"&gt;"&amp;$A165,実績!$AK$6:$AK$505,"○")&gt;0,1,0))</f>
        <v>0</v>
      </c>
      <c r="E165" s="39" t="n">
        <f aca="false">IF(E$4=0,0,IF(COUNTIFS(実績!$W$6:$W$505,E$3,実績!$AI$6:$AI$505,"&lt;="&amp;$A165,実績!$AJ$6:$AJ$505,"&gt;"&amp;$A165,実績!$AK$6:$AK$505,"○")&gt;0,1,0))</f>
        <v>0</v>
      </c>
      <c r="F165" s="39" t="n">
        <f aca="false">IF(F$4=0,0,IF(COUNTIFS(実績!$W$6:$W$505,F$3,実績!$AI$6:$AI$505,"&lt;="&amp;$A165,実績!$AJ$6:$AJ$505,"&gt;"&amp;$A165,実績!$AK$6:$AK$505,"○")&gt;0,1,0))</f>
        <v>0</v>
      </c>
      <c r="G165" s="39" t="n">
        <f aca="false">IF(G$4=0,0,IF(COUNTIFS(実績!$W$6:$W$505,G$3,実績!$AI$6:$AI$505,"&lt;="&amp;$A165,実績!$AJ$6:$AJ$505,"&gt;"&amp;$A165,実績!$AK$6:$AK$505,"○")&gt;0,1,0))</f>
        <v>0</v>
      </c>
      <c r="H165" s="39" t="n">
        <f aca="false">IF(H$4=0,0,IF(COUNTIFS(実績!$W$6:$W$505,H$3,実績!$AI$6:$AI$505,"&lt;="&amp;$A165,実績!$AJ$6:$AJ$505,"&gt;"&amp;$A165,実績!$AK$6:$AK$505,"○")&gt;0,1,0))</f>
        <v>0</v>
      </c>
      <c r="I165" s="39" t="n">
        <f aca="false">IF(I$4=0,0,IF(COUNTIFS(実績!$W$6:$W$505,I$3,実績!$AI$6:$AI$505,"&lt;="&amp;$A165,実績!$AJ$6:$AJ$505,"&gt;"&amp;$A165,実績!$AK$6:$AK$505,"○")&gt;0,1,0))</f>
        <v>0</v>
      </c>
      <c r="J165" s="39" t="n">
        <f aca="false">IF(J$4=0,0,IF(COUNTIFS(実績!$W$6:$W$505,J$3,実績!$AI$6:$AI$505,"&lt;="&amp;$A165,実績!$AJ$6:$AJ$505,"&gt;"&amp;$A165,実績!$AK$6:$AK$505,"○")&gt;0,1,0))</f>
        <v>0</v>
      </c>
      <c r="K165" s="39" t="n">
        <f aca="false">IF(K$4=0,0,IF(COUNTIFS(実績!$W$6:$W$505,K$3,実績!$AI$6:$AI$505,"&lt;="&amp;$A165,実績!$AJ$6:$AJ$505,"&gt;"&amp;$A165,実績!$AK$6:$AK$505,"○")&gt;0,1,0))</f>
        <v>0</v>
      </c>
      <c r="L165" s="39" t="n">
        <f aca="false">IF(L$4=0,0,IF(COUNTIFS(実績!$W$6:$W$505,L$3,実績!$AI$6:$AI$505,"&lt;="&amp;$A165,実績!$AJ$6:$AJ$505,"&gt;"&amp;$A165,実績!$AK$6:$AK$505,"○")&gt;0,1,0))</f>
        <v>0</v>
      </c>
      <c r="M165" s="39" t="n">
        <f aca="false">IF(M$4=0,0,IF(COUNTIFS(実績!$W$6:$W$505,M$3,実績!$AI$6:$AI$505,"&lt;="&amp;$A165,実績!$AJ$6:$AJ$505,"&gt;"&amp;$A165,実績!$AK$6:$AK$505,"○")&gt;0,1,0))</f>
        <v>0</v>
      </c>
      <c r="N165" s="39" t="n">
        <f aca="false">IF(N$4=0,0,IF(COUNTIFS(実績!$W$6:$W$505,N$3,実績!$AI$6:$AI$505,"&lt;="&amp;$A165,実績!$AJ$6:$AJ$505,"&gt;"&amp;$A165,実績!$AK$6:$AK$505,"○")&gt;0,1,0))</f>
        <v>0</v>
      </c>
      <c r="O165" s="39" t="n">
        <f aca="false">IF(O$4=0,0,IF(COUNTIFS(実績!$W$6:$W$505,O$3,実績!$AI$6:$AI$505,"&lt;="&amp;$A165,実績!$AJ$6:$AJ$505,"&gt;"&amp;$A165,実績!$AK$6:$AK$505,"○")&gt;0,1,0))</f>
        <v>0</v>
      </c>
      <c r="P165" s="39" t="n">
        <f aca="false">IF(P$4=0,0,IF(COUNTIFS(実績!$W$6:$W$505,P$3,実績!$AI$6:$AI$505,"&lt;="&amp;$A165,実績!$AJ$6:$AJ$505,"&gt;"&amp;$A165,実績!$AK$6:$AK$505,"○")&gt;0,1,0))</f>
        <v>0</v>
      </c>
      <c r="Q165" s="39" t="n">
        <f aca="false">IF(Q$4=0,0,IF(COUNTIFS(実績!$W$6:$W$505,Q$3,実績!$AI$6:$AI$505,"&lt;="&amp;$A165,実績!$AJ$6:$AJ$505,"&gt;"&amp;$A165,実績!$AK$6:$AK$505,"○")&gt;0,1,0))</f>
        <v>0</v>
      </c>
      <c r="R165" s="39" t="n">
        <f aca="false">IF(R$4=0,0,IF(COUNTIFS(実績!$W$6:$W$505,R$3,実績!$AI$6:$AI$505,"&lt;="&amp;$A165,実績!$AJ$6:$AJ$505,"&gt;"&amp;$A165,実績!$AK$6:$AK$505,"○")&gt;0,1,0))</f>
        <v>0</v>
      </c>
      <c r="S165" s="39" t="n">
        <f aca="false">IF(S$4=0,0,IF(COUNTIFS(実績!$W$6:$W$505,S$3,実績!$AI$6:$AI$505,"&lt;="&amp;$A165,実績!$AJ$6:$AJ$505,"&gt;"&amp;$A165,実績!$AK$6:$AK$505,"○")&gt;0,1,0))</f>
        <v>0</v>
      </c>
      <c r="T165" s="39" t="n">
        <f aca="false">IF(T$4=0,0,IF(COUNTIFS(実績!$W$6:$W$505,T$3,実績!$AI$6:$AI$505,"&lt;="&amp;$A165,実績!$AJ$6:$AJ$505,"&gt;"&amp;$A165,実績!$AK$6:$AK$505,"○")&gt;0,1,0))</f>
        <v>0</v>
      </c>
      <c r="U165" s="39" t="n">
        <f aca="false">IF(U$4=0,0,IF(COUNTIFS(実績!$W$6:$W$505,U$3,実績!$AI$6:$AI$505,"&lt;="&amp;$A165,実績!$AJ$6:$AJ$505,"&gt;"&amp;$A165,実績!$AK$6:$AK$505,"○")&gt;0,1,0))</f>
        <v>0</v>
      </c>
      <c r="V165" s="39" t="n">
        <f aca="false">IF(V$4=0,0,IF(COUNTIFS(実績!$W$6:$W$505,V$3,実績!$AI$6:$AI$505,"&lt;="&amp;$A165,実績!$AJ$6:$AJ$505,"&gt;"&amp;$A165,実績!$AK$6:$AK$505,"○")&gt;0,1,0))</f>
        <v>0</v>
      </c>
      <c r="W165" s="39" t="n">
        <f aca="false">IF(W$4=0,0,IF(COUNTIFS(実績!$W$6:$W$505,W$3,実績!$AI$6:$AI$505,"&lt;="&amp;$A165,実績!$AJ$6:$AJ$505,"&gt;"&amp;$A165,実績!$AK$6:$AK$505,"○")&gt;0,1,0))</f>
        <v>0</v>
      </c>
      <c r="X165" s="39" t="n">
        <f aca="false">IF(X$4=0,0,IF(COUNTIFS(実績!$W$6:$W$505,X$3,実績!$AI$6:$AI$505,"&lt;="&amp;$A165,実績!$AJ$6:$AJ$505,"&gt;"&amp;$A165,実績!$AK$6:$AK$505,"○")&gt;0,1,0))</f>
        <v>0</v>
      </c>
      <c r="Y165" s="39" t="n">
        <f aca="false">IF(Y$4=0,0,IF(COUNTIFS(実績!$W$6:$W$505,Y$3,実績!$AI$6:$AI$505,"&lt;="&amp;$A165,実績!$AJ$6:$AJ$505,"&gt;"&amp;$A165,実績!$AK$6:$AK$505,"○")&gt;0,1,0))</f>
        <v>0</v>
      </c>
      <c r="Z165" s="39" t="n">
        <f aca="false">IF(Z$4=0,0,IF(COUNTIFS(実績!$W$6:$W$505,Z$3,実績!$AI$6:$AI$505,"&lt;="&amp;$A165,実績!$AJ$6:$AJ$505,"&gt;"&amp;$A165,実績!$AK$6:$AK$505,"○")&gt;0,1,0))</f>
        <v>0</v>
      </c>
      <c r="AA165" s="39" t="n">
        <f aca="false">IF(AA$4=0,0,IF(COUNTIFS(実績!$W$6:$W$505,AA$3,実績!$AI$6:$AI$505,"&lt;="&amp;$A165,実績!$AJ$6:$AJ$505,"&gt;"&amp;$A165,実績!$AK$6:$AK$505,"○")&gt;0,1,0))</f>
        <v>0</v>
      </c>
      <c r="AB165" s="39" t="n">
        <f aca="false">IF(AB$4=0,0,IF(COUNTIFS(実績!$W$6:$W$505,AB$3,実績!$AI$6:$AI$505,"&lt;="&amp;$A165,実績!$AJ$6:$AJ$505,"&gt;"&amp;$A165,実績!$AK$6:$AK$505,"○")&gt;0,1,0))</f>
        <v>0</v>
      </c>
      <c r="AC165" s="39" t="n">
        <f aca="false">IF(AC$4=0,0,IF(COUNTIFS(実績!$W$6:$W$505,AC$3,実績!$AI$6:$AI$505,"&lt;="&amp;$A165,実績!$AJ$6:$AJ$505,"&gt;"&amp;$A165,実績!$AK$6:$AK$505,"○")&gt;0,1,0))</f>
        <v>0</v>
      </c>
      <c r="AD165" s="39" t="n">
        <f aca="false">IF(AD$4=0,0,IF(COUNTIFS(実績!$W$6:$W$505,AD$3,実績!$AI$6:$AI$505,"&lt;="&amp;$A165,実績!$AJ$6:$AJ$505,"&gt;"&amp;$A165,実績!$AK$6:$AK$505,"○")&gt;0,1,0))</f>
        <v>0</v>
      </c>
      <c r="AE165" s="39" t="n">
        <f aca="false">IF(AE$4=0,0,IF(COUNTIFS(実績!$W$6:$W$505,AE$3,実績!$AI$6:$AI$505,"&lt;="&amp;$A165,実績!$AJ$6:$AJ$505,"&gt;"&amp;$A165,実績!$AK$6:$AK$505,"○")&gt;0,1,0))</f>
        <v>0</v>
      </c>
      <c r="AF165" s="39" t="n">
        <f aca="false">IF(AF$4=0,0,IF(COUNTIFS(実績!$W$6:$W$505,AF$3,実績!$AI$6:$AI$505,"&lt;="&amp;$A165,実績!$AJ$6:$AJ$505,"&gt;"&amp;$A165,実績!$AK$6:$AK$505,"○")&gt;0,1,0))</f>
        <v>0</v>
      </c>
      <c r="AG165" s="39" t="n">
        <f aca="false">IF(AG$4=0,0,IF(COUNTIFS(実績!$W$6:$W$505,AG$3,実績!$AI$6:$AI$505,"&lt;="&amp;$A165,実績!$AJ$6:$AJ$505,"&gt;"&amp;$A165,実績!$AK$6:$AK$505,"○")&gt;0,1,0))</f>
        <v>0</v>
      </c>
      <c r="AH165" s="39" t="n">
        <f aca="false">IF(AH$4=0,0,IF(COUNTIFS(実績!$W$6:$W$505,AH$3,実績!$AI$6:$AI$505,"&lt;="&amp;$A165,実績!$AJ$6:$AJ$505,"&gt;"&amp;$A165,実績!$AK$6:$AK$505,"○")&gt;0,1,0))</f>
        <v>0</v>
      </c>
      <c r="AI165" s="39" t="n">
        <f aca="false">IF(AI$4=0,0,IF(COUNTIFS(実績!$W$6:$W$505,AI$3,実績!$AI$6:$AI$505,"&lt;="&amp;$A165,実績!$AJ$6:$AJ$505,"&gt;"&amp;$A165,実績!$AK$6:$AK$505,"○")&gt;0,1,0))</f>
        <v>0</v>
      </c>
      <c r="AJ165" s="39" t="n">
        <f aca="false">IF(AJ$4=0,0,IF(COUNTIFS(実績!$W$6:$W$505,AJ$3,実績!$AI$6:$AI$505,"&lt;="&amp;$A165,実績!$AJ$6:$AJ$505,"&gt;"&amp;$A165,実績!$AK$6:$AK$505,"○")&gt;0,1,0))</f>
        <v>0</v>
      </c>
      <c r="AK165" s="39" t="n">
        <f aca="false">IF(AK$4=0,0,IF(COUNTIFS(実績!$W$6:$W$505,AK$3,実績!$AI$6:$AI$505,"&lt;="&amp;$A165,実績!$AJ$6:$AJ$505,"&gt;"&amp;$A165,実績!$AK$6:$AK$505,"○")&gt;0,1,0))</f>
        <v>0</v>
      </c>
      <c r="AL165" s="39" t="n">
        <f aca="false">IF(AL$4=0,0,IF(COUNTIFS(実績!$W$6:$W$505,AL$3,実績!$AI$6:$AI$505,"&lt;="&amp;$A165,実績!$AJ$6:$AJ$505,"&gt;"&amp;$A165,実績!$AK$6:$AK$505,"○")&gt;0,1,0))</f>
        <v>0</v>
      </c>
      <c r="AM165" s="39" t="n">
        <f aca="false">IF(AM$4=0,0,IF(COUNTIFS(実績!$W$6:$W$505,AM$3,実績!$AI$6:$AI$505,"&lt;="&amp;$A165,実績!$AJ$6:$AJ$505,"&gt;"&amp;$A165,実績!$AK$6:$AK$505,"○")&gt;0,1,0))</f>
        <v>0</v>
      </c>
      <c r="AN165" s="39" t="n">
        <f aca="false">IF(AN$4=0,0,IF(COUNTIFS(実績!$W$6:$W$505,AN$3,実績!$AI$6:$AI$505,"&lt;="&amp;$A165,実績!$AJ$6:$AJ$505,"&gt;"&amp;$A165,実績!$AK$6:$AK$505,"○")&gt;0,1,0))</f>
        <v>0</v>
      </c>
      <c r="AO165" s="39" t="n">
        <f aca="false">IF(AO$4=0,0,IF(COUNTIFS(実績!$W$6:$W$505,AO$3,実績!$AI$6:$AI$505,"&lt;="&amp;$A165,実績!$AJ$6:$AJ$505,"&gt;"&amp;$A165,実績!$AK$6:$AK$505,"○")&gt;0,1,0))</f>
        <v>0</v>
      </c>
      <c r="AP165" s="39" t="n">
        <f aca="false">IF(AP$4=0,0,IF(COUNTIFS(実績!$W$6:$W$505,AP$3,実績!$AI$6:$AI$505,"&lt;="&amp;$A165,実績!$AJ$6:$AJ$505,"&gt;"&amp;$A165,実績!$AK$6:$AK$505,"○")&gt;0,1,0))</f>
        <v>0</v>
      </c>
      <c r="AQ165" s="39" t="n">
        <f aca="false">IF(AQ$4=0,0,IF(COUNTIFS(実績!$W$6:$W$505,AQ$3,実績!$AI$6:$AI$505,"&lt;="&amp;$A165,実績!$AJ$6:$AJ$505,"&gt;"&amp;$A165,実績!$AK$6:$AK$505,"○")&gt;0,1,0))</f>
        <v>0</v>
      </c>
      <c r="AR165" s="39" t="n">
        <f aca="false">IF(AR$4=0,0,IF(COUNTIFS(実績!$W$6:$W$505,AR$3,実績!$AI$6:$AI$505,"&lt;="&amp;$A165,実績!$AJ$6:$AJ$505,"&gt;"&amp;$A165,実績!$AK$6:$AK$505,"○")&gt;0,1,0))</f>
        <v>0</v>
      </c>
      <c r="AS165" s="39" t="n">
        <f aca="false">IF(AS$4=0,0,IF(COUNTIFS(実績!$W$6:$W$505,AS$3,実績!$AI$6:$AI$505,"&lt;="&amp;$A165,実績!$AJ$6:$AJ$505,"&gt;"&amp;$A165,実績!$AK$6:$AK$505,"○")&gt;0,1,0))</f>
        <v>0</v>
      </c>
      <c r="AT165" s="39" t="n">
        <f aca="false">IF(AT$4=0,0,IF(COUNTIFS(実績!$W$6:$W$505,AT$3,実績!$AI$6:$AI$505,"&lt;="&amp;$A165,実績!$AJ$6:$AJ$505,"&gt;"&amp;$A165,実績!$AK$6:$AK$505,"○")&gt;0,1,0))</f>
        <v>0</v>
      </c>
      <c r="AU165" s="39" t="n">
        <f aca="false">IF(AU$4=0,0,IF(COUNTIFS(実績!$W$6:$W$505,AU$3,実績!$AI$6:$AI$505,"&lt;="&amp;$A165,実績!$AJ$6:$AJ$505,"&gt;"&amp;$A165,実績!$AK$6:$AK$505,"○")&gt;0,1,0))</f>
        <v>0</v>
      </c>
      <c r="AV165" s="39" t="n">
        <f aca="false">IF(AV$4=0,0,IF(COUNTIFS(実績!$W$6:$W$505,AV$3,実績!$AI$6:$AI$505,"&lt;="&amp;$A165,実績!$AJ$6:$AJ$505,"&gt;"&amp;$A165,実績!$AK$6:$AK$505,"○")&gt;0,1,0))</f>
        <v>0</v>
      </c>
      <c r="AW165" s="39" t="n">
        <f aca="false">IF(AW$4=0,0,IF(COUNTIFS(実績!$W$6:$W$505,AW$3,実績!$AI$6:$AI$505,"&lt;="&amp;$A165,実績!$AJ$6:$AJ$505,"&gt;"&amp;$A165,実績!$AK$6:$AK$505,"○")&gt;0,1,0))</f>
        <v>0</v>
      </c>
      <c r="AX165" s="39" t="n">
        <f aca="false">IF(AX$4=0,0,IF(COUNTIFS(実績!$W$6:$W$505,AX$3,実績!$AI$6:$AI$505,"&lt;="&amp;$A165,実績!$AJ$6:$AJ$505,"&gt;"&amp;$A165,実績!$AK$6:$AK$505,"○")&gt;0,1,0))</f>
        <v>0</v>
      </c>
      <c r="AY165" s="39" t="n">
        <f aca="false">IF(AY$4=0,0,IF(COUNTIFS(実績!$W$6:$W$505,AY$3,実績!$AI$6:$AI$505,"&lt;="&amp;$A165,実績!$AJ$6:$AJ$505,"&gt;"&amp;$A165,実績!$AK$6:$AK$505,"○")&gt;0,1,0))</f>
        <v>0</v>
      </c>
      <c r="AZ165" s="39" t="n">
        <f aca="false">IF(AZ$4=0,0,IF(COUNTIFS(実績!$W$6:$W$505,AZ$3,実績!$AI$6:$AI$505,"&lt;="&amp;$A165,実績!$AJ$6:$AJ$505,"&gt;"&amp;$A165,実績!$AK$6:$AK$505,"○")&gt;0,1,0))</f>
        <v>0</v>
      </c>
      <c r="BA165" s="39" t="n">
        <f aca="false">IF(BA$4=0,0,IF(COUNTIFS(実績!$W$6:$W$505,BA$3,実績!$AI$6:$AI$505,"&lt;="&amp;$A165,実績!$AJ$6:$AJ$505,"&gt;"&amp;$A165,実績!$AK$6:$AK$505,"○")&gt;0,1,0))</f>
        <v>0</v>
      </c>
      <c r="BB165" s="39" t="n">
        <f aca="false">IF(BB$4=0,0,IF(COUNTIFS(実績!$W$6:$W$505,BB$3,実績!$AI$6:$AI$505,"&lt;="&amp;$A165,実績!$AJ$6:$AJ$505,"&gt;"&amp;$A165,実績!$AK$6:$AK$505,"○")&gt;0,1,0))</f>
        <v>0</v>
      </c>
      <c r="BC165" s="39" t="n">
        <f aca="false">IF(BC$4=0,0,IF(COUNTIFS(実績!$W$6:$W$505,BC$3,実績!$AI$6:$AI$505,"&lt;="&amp;$A165,実績!$AJ$6:$AJ$505,"&gt;"&amp;$A165,実績!$AK$6:$AK$505,"○")&gt;0,1,0))</f>
        <v>0</v>
      </c>
      <c r="BD165" s="39" t="n">
        <f aca="false">IF(BD$4=0,0,IF(COUNTIFS(実績!$W$6:$W$505,BD$3,実績!$AI$6:$AI$505,"&lt;="&amp;$A165,実績!$AJ$6:$AJ$505,"&gt;"&amp;$A165,実績!$AK$6:$AK$505,"○")&gt;0,1,0))</f>
        <v>0</v>
      </c>
      <c r="BE165" s="39" t="n">
        <f aca="false">IF(BE$4=0,0,IF(COUNTIFS(実績!$W$6:$W$505,BE$3,実績!$AI$6:$AI$505,"&lt;="&amp;$A165,実績!$AJ$6:$AJ$505,"&gt;"&amp;$A165,実績!$AK$6:$AK$505,"○")&gt;0,1,0))</f>
        <v>0</v>
      </c>
      <c r="BF165" s="39" t="n">
        <f aca="false">IF(BF$4=0,0,IF(COUNTIFS(実績!$W$6:$W$505,BF$3,実績!$AI$6:$AI$505,"&lt;="&amp;$A165,実績!$AJ$6:$AJ$505,"&gt;"&amp;$A165,実績!$AK$6:$AK$505,"○")&gt;0,1,0))</f>
        <v>0</v>
      </c>
      <c r="BG165" s="39" t="n">
        <f aca="false">IF(BG$4=0,0,IF(COUNTIFS(実績!$W$6:$W$505,BG$3,実績!$AI$6:$AI$505,"&lt;="&amp;$A165,実績!$AJ$6:$AJ$505,"&gt;"&amp;$A165,実績!$AK$6:$AK$505,"○")&gt;0,1,0))</f>
        <v>0</v>
      </c>
      <c r="BH165" s="39" t="n">
        <f aca="false">IF(BH$4=0,0,IF(COUNTIFS(実績!$W$6:$W$505,BH$3,実績!$AI$6:$AI$505,"&lt;="&amp;$A165,実績!$AJ$6:$AJ$505,"&gt;"&amp;$A165,実績!$AK$6:$AK$505,"○")&gt;0,1,0))</f>
        <v>0</v>
      </c>
      <c r="BI165" s="39" t="n">
        <f aca="false">IF(BI$4=0,0,IF(COUNTIFS(実績!$W$6:$W$505,BI$3,実績!$AI$6:$AI$505,"&lt;="&amp;$A165,実績!$AJ$6:$AJ$505,"&gt;"&amp;$A165,実績!$AK$6:$AK$505,"○")&gt;0,1,0))</f>
        <v>0</v>
      </c>
      <c r="BJ165" s="39" t="n">
        <f aca="false">IF(BJ$4=0,0,IF(COUNTIFS(実績!$W$6:$W$505,BJ$3,実績!$AI$6:$AI$505,"&lt;="&amp;$A165,実績!$AJ$6:$AJ$505,"&gt;"&amp;$A165,実績!$AK$6:$AK$505,"○")&gt;0,1,0))</f>
        <v>0</v>
      </c>
      <c r="BK165" s="39" t="n">
        <f aca="false">IF(BK$4=0,0,IF(COUNTIFS(実績!$W$6:$W$505,BK$3,実績!$AI$6:$AI$505,"&lt;="&amp;$A165,実績!$AJ$6:$AJ$505,"&gt;"&amp;$A165,実績!$AK$6:$AK$505,"○")&gt;0,1,0))</f>
        <v>0</v>
      </c>
      <c r="BL165" s="39" t="n">
        <f aca="false">IF(BL$4=0,0,IF(COUNTIFS(実績!$W$6:$W$505,BL$3,実績!$AI$6:$AI$505,"&lt;="&amp;$A165,実績!$AJ$6:$AJ$505,"&gt;"&amp;$A165,実績!$AK$6:$AK$505,"○")&gt;0,1,0))</f>
        <v>0</v>
      </c>
      <c r="BM165" s="39" t="n">
        <f aca="false">IF(BM$4=0,0,IF(COUNTIFS(実績!$W$6:$W$505,BM$3,実績!$AI$6:$AI$505,"&lt;="&amp;$A165,実績!$AJ$6:$AJ$505,"&gt;"&amp;$A165,実績!$AK$6:$AK$505,"○")&gt;0,1,0))</f>
        <v>0</v>
      </c>
      <c r="BN165" s="39" t="n">
        <f aca="false">IF(BN$4=0,0,IF(COUNTIFS(実績!$W$6:$W$505,BN$3,実績!$AI$6:$AI$505,"&lt;="&amp;$A165,実績!$AJ$6:$AJ$505,"&gt;"&amp;$A165,実績!$AK$6:$AK$505,"○")&gt;0,1,0))</f>
        <v>0</v>
      </c>
      <c r="BO165" s="39" t="n">
        <f aca="false">IF(BO$4=0,0,IF(COUNTIFS(実績!$W$6:$W$505,BO$3,実績!$AI$6:$AI$505,"&lt;="&amp;$A165,実績!$AJ$6:$AJ$505,"&gt;"&amp;$A165,実績!$AK$6:$AK$505,"○")&gt;0,1,0))</f>
        <v>0</v>
      </c>
      <c r="BP165" s="39" t="n">
        <f aca="false">IF(BP$4=0,0,IF(COUNTIFS(実績!$W$6:$W$505,BP$3,実績!$AI$6:$AI$505,"&lt;="&amp;$A165,実績!$AJ$6:$AJ$505,"&gt;"&amp;$A165,実績!$AK$6:$AK$505,"○")&gt;0,1,0))</f>
        <v>0</v>
      </c>
      <c r="BQ165" s="39" t="n">
        <f aca="false">IF(BQ$4=0,0,IF(COUNTIFS(実績!$W$6:$W$505,BQ$3,実績!$AI$6:$AI$505,"&lt;="&amp;$A165,実績!$AJ$6:$AJ$505,"&gt;"&amp;$A165,実績!$AK$6:$AK$505,"○")&gt;0,1,0))</f>
        <v>0</v>
      </c>
      <c r="BR165" s="39" t="n">
        <f aca="false">IF(BR$4=0,0,IF(COUNTIFS(実績!$W$6:$W$505,BR$3,実績!$AI$6:$AI$505,"&lt;="&amp;$A165,実績!$AJ$6:$AJ$505,"&gt;"&amp;$A165,実績!$AK$6:$AK$505,"○")&gt;0,1,0))</f>
        <v>0</v>
      </c>
      <c r="BS165" s="39" t="n">
        <f aca="false">IF(BS$4=0,0,IF(COUNTIFS(実績!$W$6:$W$505,BS$3,実績!$AI$6:$AI$505,"&lt;="&amp;$A165,実績!$AJ$6:$AJ$505,"&gt;"&amp;$A165,実績!$AK$6:$AK$505,"○")&gt;0,1,0))</f>
        <v>0</v>
      </c>
      <c r="BT165" s="39" t="n">
        <f aca="false">IF(BT$4=0,0,IF(COUNTIFS(実績!$W$6:$W$505,BT$3,実績!$AI$6:$AI$505,"&lt;="&amp;$A165,実績!$AJ$6:$AJ$505,"&gt;"&amp;$A165,実績!$AK$6:$AK$505,"○")&gt;0,1,0))</f>
        <v>0</v>
      </c>
      <c r="BU165" s="39" t="n">
        <f aca="false">IF(BU$4=0,0,IF(COUNTIFS(実績!$W$6:$W$505,BU$3,実績!$AI$6:$AI$505,"&lt;="&amp;$A165,実績!$AJ$6:$AJ$505,"&gt;"&amp;$A165,実績!$AK$6:$AK$505,"○")&gt;0,1,0))</f>
        <v>0</v>
      </c>
      <c r="BV165" s="39" t="n">
        <f aca="false">IF(BV$4=0,0,IF(COUNTIFS(実績!$W$6:$W$505,BV$3,実績!$AI$6:$AI$505,"&lt;="&amp;$A165,実績!$AJ$6:$AJ$505,"&gt;"&amp;$A165,実績!$AK$6:$AK$505,"○")&gt;0,1,0))</f>
        <v>0</v>
      </c>
      <c r="BW165" s="39" t="n">
        <f aca="false">IF(BW$4=0,0,IF(COUNTIFS(実績!$W$6:$W$505,BW$3,実績!$AI$6:$AI$505,"&lt;="&amp;$A165,実績!$AJ$6:$AJ$505,"&gt;"&amp;$A165,実績!$AK$6:$AK$505,"○")&gt;0,1,0))</f>
        <v>0</v>
      </c>
      <c r="BX165" s="39" t="n">
        <f aca="false">IF(BX$4=0,0,IF(COUNTIFS(実績!$W$6:$W$505,BX$3,実績!$AI$6:$AI$505,"&lt;="&amp;$A165,実績!$AJ$6:$AJ$505,"&gt;"&amp;$A165,実績!$AK$6:$AK$505,"○")&gt;0,1,0))</f>
        <v>0</v>
      </c>
      <c r="BY165" s="39" t="n">
        <f aca="false">IF(BY$4=0,0,IF(COUNTIFS(実績!$W$6:$W$505,BY$3,実績!$AI$6:$AI$505,"&lt;="&amp;$A165,実績!$AJ$6:$AJ$505,"&gt;"&amp;$A165,実績!$AK$6:$AK$505,"○")&gt;0,1,0))</f>
        <v>0</v>
      </c>
      <c r="BZ165" s="39" t="n">
        <f aca="false">IF(BZ$4=0,0,IF(COUNTIFS(実績!$W$6:$W$505,BZ$3,実績!$AI$6:$AI$505,"&lt;="&amp;$A165,実績!$AJ$6:$AJ$505,"&gt;"&amp;$A165,実績!$AK$6:$AK$505,"○")&gt;0,1,0))</f>
        <v>0</v>
      </c>
      <c r="CA165" s="39" t="n">
        <f aca="false">IF(CA$4=0,0,IF(COUNTIFS(実績!$W$6:$W$505,CA$3,実績!$AI$6:$AI$505,"&lt;="&amp;$A165,実績!$AJ$6:$AJ$505,"&gt;"&amp;$A165,実績!$AK$6:$AK$505,"○")&gt;0,1,0))</f>
        <v>0</v>
      </c>
      <c r="CB165" s="39" t="n">
        <f aca="false">IF(CB$4=0,0,IF(COUNTIFS(実績!$W$6:$W$505,CB$3,実績!$AI$6:$AI$505,"&lt;="&amp;$A165,実績!$AJ$6:$AJ$505,"&gt;"&amp;$A165,実績!$AK$6:$AK$505,"○")&gt;0,1,0))</f>
        <v>0</v>
      </c>
      <c r="CC165" s="39" t="n">
        <f aca="false">IF(CC$4=0,0,IF(COUNTIFS(実績!$W$6:$W$505,CC$3,実績!$AI$6:$AI$505,"&lt;="&amp;$A165,実績!$AJ$6:$AJ$505,"&gt;"&amp;$A165,実績!$AK$6:$AK$505,"○")&gt;0,1,0))</f>
        <v>0</v>
      </c>
      <c r="CD165" s="39" t="n">
        <f aca="false">IF(CD$4=0,0,IF(COUNTIFS(実績!$W$6:$W$505,CD$3,実績!$AI$6:$AI$505,"&lt;="&amp;$A165,実績!$AJ$6:$AJ$505,"&gt;"&amp;$A165,実績!$AK$6:$AK$505,"○")&gt;0,1,0))</f>
        <v>0</v>
      </c>
      <c r="CE165" s="39" t="n">
        <f aca="false">IF(CE$4=0,0,IF(COUNTIFS(実績!$W$6:$W$505,CE$3,実績!$AI$6:$AI$505,"&lt;="&amp;$A165,実績!$AJ$6:$AJ$505,"&gt;"&amp;$A165,実績!$AK$6:$AK$505,"○")&gt;0,1,0))</f>
        <v>0</v>
      </c>
      <c r="CF165" s="39" t="n">
        <f aca="false">IF(CF$4=0,0,IF(COUNTIFS(実績!$W$6:$W$505,CF$3,実績!$AI$6:$AI$505,"&lt;="&amp;$A165,実績!$AJ$6:$AJ$505,"&gt;"&amp;$A165,実績!$AK$6:$AK$505,"○")&gt;0,1,0))</f>
        <v>0</v>
      </c>
      <c r="CG165" s="39" t="n">
        <f aca="false">IF(CG$4=0,0,IF(COUNTIFS(実績!$W$6:$W$505,CG$3,実績!$AI$6:$AI$505,"&lt;="&amp;$A165,実績!$AJ$6:$AJ$505,"&gt;"&amp;$A165,実績!$AK$6:$AK$505,"○")&gt;0,1,0))</f>
        <v>0</v>
      </c>
      <c r="CH165" s="39" t="n">
        <f aca="false">IF(CH$4=0,0,IF(COUNTIFS(実績!$W$6:$W$505,CH$3,実績!$AI$6:$AI$505,"&lt;="&amp;$A165,実績!$AJ$6:$AJ$505,"&gt;"&amp;$A165,実績!$AK$6:$AK$505,"○")&gt;0,1,0))</f>
        <v>0</v>
      </c>
      <c r="CI165" s="39" t="n">
        <f aca="false">IF(CI$4=0,0,IF(COUNTIFS(実績!$W$6:$W$505,CI$3,実績!$AI$6:$AI$505,"&lt;="&amp;$A165,実績!$AJ$6:$AJ$505,"&gt;"&amp;$A165,実績!$AK$6:$AK$505,"○")&gt;0,1,0))</f>
        <v>0</v>
      </c>
      <c r="CJ165" s="39" t="n">
        <f aca="false">IF(CJ$4=0,0,IF(COUNTIFS(実績!$W$6:$W$505,CJ$3,実績!$AI$6:$AI$505,"&lt;="&amp;$A165,実績!$AJ$6:$AJ$505,"&gt;"&amp;$A165,実績!$AK$6:$AK$505,"○")&gt;0,1,0))</f>
        <v>0</v>
      </c>
      <c r="CK165" s="39" t="n">
        <f aca="false">IF(CK$4=0,0,IF(COUNTIFS(実績!$W$6:$W$505,CK$3,実績!$AI$6:$AI$505,"&lt;="&amp;$A165,実績!$AJ$6:$AJ$505,"&gt;"&amp;$A165,実績!$AK$6:$AK$505,"○")&gt;0,1,0))</f>
        <v>0</v>
      </c>
      <c r="CL165" s="39" t="n">
        <f aca="false">IF(CL$4=0,0,IF(COUNTIFS(実績!$W$6:$W$505,CL$3,実績!$AI$6:$AI$505,"&lt;="&amp;$A165,実績!$AJ$6:$AJ$505,"&gt;"&amp;$A165,実績!$AK$6:$AK$505,"○")&gt;0,1,0))</f>
        <v>0</v>
      </c>
      <c r="CM165" s="39" t="n">
        <f aca="false">IF(CM$4=0,0,IF(COUNTIFS(実績!$W$6:$W$505,CM$3,実績!$AI$6:$AI$505,"&lt;="&amp;$A165,実績!$AJ$6:$AJ$505,"&gt;"&amp;$A165,実績!$AK$6:$AK$505,"○")&gt;0,1,0))</f>
        <v>0</v>
      </c>
      <c r="CN165" s="39" t="n">
        <f aca="false">IF(CN$4=0,0,IF(COUNTIFS(実績!$W$6:$W$505,CN$3,実績!$AI$6:$AI$505,"&lt;="&amp;$A165,実績!$AJ$6:$AJ$505,"&gt;"&amp;$A165,実績!$AK$6:$AK$505,"○")&gt;0,1,0))</f>
        <v>0</v>
      </c>
      <c r="CO165" s="39" t="n">
        <f aca="false">IF(CO$4=0,0,IF(COUNTIFS(実績!$W$6:$W$505,CO$3,実績!$AI$6:$AI$505,"&lt;="&amp;$A165,実績!$AJ$6:$AJ$505,"&gt;"&amp;$A165,実績!$AK$6:$AK$505,"○")&gt;0,1,0))</f>
        <v>0</v>
      </c>
      <c r="CP165" s="39" t="n">
        <f aca="false">IF(CP$4=0,0,IF(COUNTIFS(実績!$W$6:$W$505,CP$3,実績!$AI$6:$AI$505,"&lt;="&amp;$A165,実績!$AJ$6:$AJ$505,"&gt;"&amp;$A165,実績!$AK$6:$AK$505,"○")&gt;0,1,0))</f>
        <v>0</v>
      </c>
      <c r="CQ165" s="39" t="n">
        <f aca="false">IF(CQ$4=0,0,IF(COUNTIFS(実績!$W$6:$W$505,CQ$3,実績!$AI$6:$AI$505,"&lt;="&amp;$A165,実績!$AJ$6:$AJ$505,"&gt;"&amp;$A165,実績!$AK$6:$AK$505,"○")&gt;0,1,0))</f>
        <v>0</v>
      </c>
      <c r="CR165" s="39" t="n">
        <f aca="false">IF(CR$4=0,0,IF(COUNTIFS(実績!$W$6:$W$505,CR$3,実績!$AI$6:$AI$505,"&lt;="&amp;$A165,実績!$AJ$6:$AJ$505,"&gt;"&amp;$A165,実績!$AK$6:$AK$505,"○")&gt;0,1,0))</f>
        <v>0</v>
      </c>
      <c r="CS165" s="39" t="n">
        <f aca="false">IF(CS$4=0,0,IF(COUNTIFS(実績!$W$6:$W$505,CS$3,実績!$AI$6:$AI$505,"&lt;="&amp;$A165,実績!$AJ$6:$AJ$505,"&gt;"&amp;$A165,実績!$AK$6:$AK$505,"○")&gt;0,1,0))</f>
        <v>0</v>
      </c>
      <c r="CT165" s="39" t="n">
        <f aca="false">IF(CT$4=0,0,IF(COUNTIFS(実績!$W$6:$W$505,CT$3,実績!$AI$6:$AI$505,"&lt;="&amp;$A165,実績!$AJ$6:$AJ$505,"&gt;"&amp;$A165,実績!$AK$6:$AK$505,"○")&gt;0,1,0))</f>
        <v>0</v>
      </c>
      <c r="CU165" s="39" t="n">
        <f aca="false">IF(CU$4=0,0,IF(COUNTIFS(実績!$W$6:$W$505,CU$3,実績!$AI$6:$AI$505,"&lt;="&amp;$A165,実績!$AJ$6:$AJ$505,"&gt;"&amp;$A165,実績!$AK$6:$AK$505,"○")&gt;0,1,0))</f>
        <v>0</v>
      </c>
      <c r="CV165" s="39" t="n">
        <f aca="false">IF(CV$4=0,0,IF(COUNTIFS(実績!$W$6:$W$505,CV$3,実績!$AI$6:$AI$505,"&lt;="&amp;$A165,実績!$AJ$6:$AJ$505,"&gt;"&amp;$A165,実績!$AK$6:$AK$505,"○")&gt;0,1,0))</f>
        <v>0</v>
      </c>
      <c r="CW165" s="39" t="n">
        <f aca="false">IF(CW$4=0,0,IF(COUNTIFS(実績!$W$6:$W$505,CW$3,実績!$AI$6:$AI$505,"&lt;="&amp;$A165,実績!$AJ$6:$AJ$505,"&gt;"&amp;$A165,実績!$AK$6:$AK$505,"○")&gt;0,1,0))</f>
        <v>0</v>
      </c>
      <c r="CX165" s="39" t="n">
        <f aca="false">IF(CX$4=0,0,IF(COUNTIFS(実績!$W$6:$W$505,CX$3,実績!$AI$6:$AI$505,"&lt;="&amp;$A165,実績!$AJ$6:$AJ$505,"&gt;"&amp;$A165,実績!$AK$6:$AK$505,"○")&gt;0,1,0))</f>
        <v>0</v>
      </c>
      <c r="CY165" s="39" t="n">
        <f aca="false">IF(CY$4=0,0,IF(COUNTIFS(実績!$W$6:$W$505,CY$3,実績!$AI$6:$AI$505,"&lt;="&amp;$A165,実績!$AJ$6:$AJ$505,"&gt;"&amp;$A165,実績!$AK$6:$AK$505,"○")&gt;0,1,0))</f>
        <v>0</v>
      </c>
      <c r="CZ165" s="39" t="n">
        <f aca="false">IF(CZ$4=0,0,IF(COUNTIFS(実績!$W$6:$W$505,CZ$3,実績!$AI$6:$AI$505,"&lt;="&amp;$A165,実績!$AJ$6:$AJ$505,"&gt;"&amp;$A165,実績!$AK$6:$AK$505,"○")&gt;0,1,0))</f>
        <v>0</v>
      </c>
      <c r="DA165" s="39" t="n">
        <f aca="false">IF(DA$4=0,0,IF(COUNTIFS(実績!$W$6:$W$505,DA$3,実績!$AI$6:$AI$505,"&lt;="&amp;$A165,実績!$AJ$6:$AJ$505,"&gt;"&amp;$A165,実績!$AK$6:$AK$505,"○")&gt;0,1,0))</f>
        <v>0</v>
      </c>
      <c r="DB165" s="39" t="n">
        <f aca="false">IF(DB$4=0,0,IF(COUNTIFS(実績!$W$6:$W$505,DB$3,実績!$AI$6:$AI$505,"&lt;="&amp;$A165,実績!$AJ$6:$AJ$505,"&gt;"&amp;$A165,実績!$AK$6:$AK$505,"○")&gt;0,1,0))</f>
        <v>0</v>
      </c>
      <c r="DC165" s="39" t="n">
        <f aca="false">IF(DC$4=0,0,IF(COUNTIFS(実績!$W$6:$W$505,DC$3,実績!$AI$6:$AI$505,"&lt;="&amp;$A165,実績!$AJ$6:$AJ$505,"&gt;"&amp;$A165,実績!$AK$6:$AK$505,"○")&gt;0,1,0))</f>
        <v>0</v>
      </c>
      <c r="DD165" s="39" t="n">
        <f aca="false">IF(DD$4=0,0,IF(COUNTIFS(実績!$W$6:$W$505,DD$3,実績!$AI$6:$AI$505,"&lt;="&amp;$A165,実績!$AJ$6:$AJ$505,"&gt;"&amp;$A165,実績!$AK$6:$AK$505,"○")&gt;0,1,0))</f>
        <v>0</v>
      </c>
      <c r="DE165" s="39" t="n">
        <f aca="false">IF(DE$4=0,0,IF(COUNTIFS(実績!$W$6:$W$505,DE$3,実績!$AI$6:$AI$505,"&lt;="&amp;$A165,実績!$AJ$6:$AJ$505,"&gt;"&amp;$A165,実績!$AK$6:$AK$505,"○")&gt;0,1,0))</f>
        <v>0</v>
      </c>
      <c r="DF165" s="39" t="n">
        <f aca="false">IF(DF$4=0,0,IF(COUNTIFS(実績!$W$6:$W$505,DF$3,実績!$AI$6:$AI$505,"&lt;="&amp;$A165,実績!$AJ$6:$AJ$505,"&gt;"&amp;$A165,実績!$AK$6:$AK$505,"○")&gt;0,1,0))</f>
        <v>0</v>
      </c>
      <c r="DG165" s="39" t="n">
        <f aca="false">IF(DG$4=0,0,IF(COUNTIFS(実績!$W$6:$W$505,DG$3,実績!$AI$6:$AI$505,"&lt;="&amp;$A165,実績!$AJ$6:$AJ$505,"&gt;"&amp;$A165,実績!$AK$6:$AK$505,"○")&gt;0,1,0))</f>
        <v>0</v>
      </c>
      <c r="DH165" s="39" t="n">
        <f aca="false">IF(DH$4=0,0,IF(COUNTIFS(実績!$W$6:$W$505,DH$3,実績!$AI$6:$AI$505,"&lt;="&amp;$A165,実績!$AJ$6:$AJ$505,"&gt;"&amp;$A165,実績!$AK$6:$AK$505,"○")&gt;0,1,0))</f>
        <v>0</v>
      </c>
      <c r="DI165" s="39" t="n">
        <f aca="false">IF(DI$4=0,0,IF(COUNTIFS(実績!$W$6:$W$505,DI$3,実績!$AI$6:$AI$505,"&lt;="&amp;$A165,実績!$AJ$6:$AJ$505,"&gt;"&amp;$A165,実績!$AK$6:$AK$505,"○")&gt;0,1,0))</f>
        <v>0</v>
      </c>
      <c r="DJ165" s="39" t="n">
        <f aca="false">IF(DJ$4=0,0,IF(COUNTIFS(実績!$W$6:$W$505,DJ$3,実績!$AI$6:$AI$505,"&lt;="&amp;$A165,実績!$AJ$6:$AJ$505,"&gt;"&amp;$A165,実績!$AK$6:$AK$505,"○")&gt;0,1,0))</f>
        <v>0</v>
      </c>
      <c r="DK165" s="39" t="n">
        <f aca="false">IF(DK$4=0,0,IF(COUNTIFS(実績!$W$6:$W$505,DK$3,実績!$AI$6:$AI$505,"&lt;="&amp;$A165,実績!$AJ$6:$AJ$505,"&gt;"&amp;$A165,実績!$AK$6:$AK$505,"○")&gt;0,1,0))</f>
        <v>0</v>
      </c>
      <c r="DL165" s="39" t="n">
        <f aca="false">IF(DL$4=0,0,IF(COUNTIFS(実績!$W$6:$W$505,DL$3,実績!$AI$6:$AI$505,"&lt;="&amp;$A165,実績!$AJ$6:$AJ$505,"&gt;"&amp;$A165,実績!$AK$6:$AK$505,"○")&gt;0,1,0))</f>
        <v>0</v>
      </c>
      <c r="DM165" s="39" t="n">
        <f aca="false">IF(DM$4=0,0,IF(COUNTIFS(実績!$W$6:$W$505,DM$3,実績!$AI$6:$AI$505,"&lt;="&amp;$A165,実績!$AJ$6:$AJ$505,"&gt;"&amp;$A165,実績!$AK$6:$AK$505,"○")&gt;0,1,0))</f>
        <v>0</v>
      </c>
      <c r="DN165" s="39" t="n">
        <f aca="false">IF(DN$4=0,0,IF(COUNTIFS(実績!$W$6:$W$505,DN$3,実績!$AI$6:$AI$505,"&lt;="&amp;$A165,実績!$AJ$6:$AJ$505,"&gt;"&amp;$A165,実績!$AK$6:$AK$505,"○")&gt;0,1,0))</f>
        <v>0</v>
      </c>
      <c r="DO165" s="39" t="n">
        <f aca="false">IF(DO$4=0,0,IF(COUNTIFS(実績!$W$6:$W$505,DO$3,実績!$AI$6:$AI$505,"&lt;="&amp;$A165,実績!$AJ$6:$AJ$505,"&gt;"&amp;$A165,実績!$AK$6:$AK$505,"○")&gt;0,1,0))</f>
        <v>0</v>
      </c>
      <c r="DP165" s="39" t="n">
        <f aca="false">IF(DP$4=0,0,IF(COUNTIFS(実績!$W$6:$W$505,DP$3,実績!$AI$6:$AI$505,"&lt;="&amp;$A165,実績!$AJ$6:$AJ$505,"&gt;"&amp;$A165,実績!$AK$6:$AK$505,"○")&gt;0,1,0))</f>
        <v>0</v>
      </c>
      <c r="DQ165" s="39" t="n">
        <f aca="false">IF(DQ$4=0,0,IF(COUNTIFS(実績!$W$6:$W$505,DQ$3,実績!$AI$6:$AI$505,"&lt;="&amp;$A165,実績!$AJ$6:$AJ$505,"&gt;"&amp;$A165,実績!$AK$6:$AK$505,"○")&gt;0,1,0))</f>
        <v>0</v>
      </c>
      <c r="DR165" s="39" t="n">
        <f aca="false">IF(DR$4=0,0,IF(COUNTIFS(実績!$W$6:$W$505,DR$3,実績!$AI$6:$AI$505,"&lt;="&amp;$A165,実績!$AJ$6:$AJ$505,"&gt;"&amp;$A165,実績!$AK$6:$AK$505,"○")&gt;0,1,0))</f>
        <v>0</v>
      </c>
      <c r="DS165" s="39" t="n">
        <f aca="false">SUM(C165:DR165)</f>
        <v>0</v>
      </c>
      <c r="DT165" s="39" t="n">
        <f aca="false">SUMPRODUCT((実績!$C$6:$C$505="○")*ISNUMBER(実績!$AM$6:$AM$505)*(実績!$AM$6:$AM$505&lt;=$A165)*(実績!$AN$6:$AN$505&gt;$A165))</f>
        <v>0</v>
      </c>
      <c r="DU165" s="39" t="n">
        <f aca="false">SUMIF($C$2:$DR$2,"製鉄曳船",C165:DR165)</f>
        <v>0</v>
      </c>
      <c r="DV165" s="39" t="n">
        <f aca="false">SUMIF($C$2:$DR$2,"西日本海運",C165:DR165)</f>
        <v>0</v>
      </c>
    </row>
    <row r="166" customFormat="false" ht="15" hidden="false" customHeight="false" outlineLevel="0" collapsed="false">
      <c r="A166" s="0" t="n">
        <v>800</v>
      </c>
      <c r="B166" s="38" t="n">
        <f aca="false">A166/1440</f>
        <v>0.555555555555556</v>
      </c>
      <c r="C166" s="39" t="n">
        <f aca="false">IF(C$4=0,0,IF(COUNTIFS(実績!$W$6:$W$505,C$3,実績!$AI$6:$AI$505,"&lt;="&amp;$A166,実績!$AJ$6:$AJ$505,"&gt;"&amp;$A166,実績!$AK$6:$AK$505,"○")&gt;0,1,0))</f>
        <v>0</v>
      </c>
      <c r="D166" s="39" t="n">
        <f aca="false">IF(D$4=0,0,IF(COUNTIFS(実績!$W$6:$W$505,D$3,実績!$AI$6:$AI$505,"&lt;="&amp;$A166,実績!$AJ$6:$AJ$505,"&gt;"&amp;$A166,実績!$AK$6:$AK$505,"○")&gt;0,1,0))</f>
        <v>0</v>
      </c>
      <c r="E166" s="39" t="n">
        <f aca="false">IF(E$4=0,0,IF(COUNTIFS(実績!$W$6:$W$505,E$3,実績!$AI$6:$AI$505,"&lt;="&amp;$A166,実績!$AJ$6:$AJ$505,"&gt;"&amp;$A166,実績!$AK$6:$AK$505,"○")&gt;0,1,0))</f>
        <v>0</v>
      </c>
      <c r="F166" s="39" t="n">
        <f aca="false">IF(F$4=0,0,IF(COUNTIFS(実績!$W$6:$W$505,F$3,実績!$AI$6:$AI$505,"&lt;="&amp;$A166,実績!$AJ$6:$AJ$505,"&gt;"&amp;$A166,実績!$AK$6:$AK$505,"○")&gt;0,1,0))</f>
        <v>0</v>
      </c>
      <c r="G166" s="39" t="n">
        <f aca="false">IF(G$4=0,0,IF(COUNTIFS(実績!$W$6:$W$505,G$3,実績!$AI$6:$AI$505,"&lt;="&amp;$A166,実績!$AJ$6:$AJ$505,"&gt;"&amp;$A166,実績!$AK$6:$AK$505,"○")&gt;0,1,0))</f>
        <v>0</v>
      </c>
      <c r="H166" s="39" t="n">
        <f aca="false">IF(H$4=0,0,IF(COUNTIFS(実績!$W$6:$W$505,H$3,実績!$AI$6:$AI$505,"&lt;="&amp;$A166,実績!$AJ$6:$AJ$505,"&gt;"&amp;$A166,実績!$AK$6:$AK$505,"○")&gt;0,1,0))</f>
        <v>0</v>
      </c>
      <c r="I166" s="39" t="n">
        <f aca="false">IF(I$4=0,0,IF(COUNTIFS(実績!$W$6:$W$505,I$3,実績!$AI$6:$AI$505,"&lt;="&amp;$A166,実績!$AJ$6:$AJ$505,"&gt;"&amp;$A166,実績!$AK$6:$AK$505,"○")&gt;0,1,0))</f>
        <v>0</v>
      </c>
      <c r="J166" s="39" t="n">
        <f aca="false">IF(J$4=0,0,IF(COUNTIFS(実績!$W$6:$W$505,J$3,実績!$AI$6:$AI$505,"&lt;="&amp;$A166,実績!$AJ$6:$AJ$505,"&gt;"&amp;$A166,実績!$AK$6:$AK$505,"○")&gt;0,1,0))</f>
        <v>0</v>
      </c>
      <c r="K166" s="39" t="n">
        <f aca="false">IF(K$4=0,0,IF(COUNTIFS(実績!$W$6:$W$505,K$3,実績!$AI$6:$AI$505,"&lt;="&amp;$A166,実績!$AJ$6:$AJ$505,"&gt;"&amp;$A166,実績!$AK$6:$AK$505,"○")&gt;0,1,0))</f>
        <v>0</v>
      </c>
      <c r="L166" s="39" t="n">
        <f aca="false">IF(L$4=0,0,IF(COUNTIFS(実績!$W$6:$W$505,L$3,実績!$AI$6:$AI$505,"&lt;="&amp;$A166,実績!$AJ$6:$AJ$505,"&gt;"&amp;$A166,実績!$AK$6:$AK$505,"○")&gt;0,1,0))</f>
        <v>0</v>
      </c>
      <c r="M166" s="39" t="n">
        <f aca="false">IF(M$4=0,0,IF(COUNTIFS(実績!$W$6:$W$505,M$3,実績!$AI$6:$AI$505,"&lt;="&amp;$A166,実績!$AJ$6:$AJ$505,"&gt;"&amp;$A166,実績!$AK$6:$AK$505,"○")&gt;0,1,0))</f>
        <v>0</v>
      </c>
      <c r="N166" s="39" t="n">
        <f aca="false">IF(N$4=0,0,IF(COUNTIFS(実績!$W$6:$W$505,N$3,実績!$AI$6:$AI$505,"&lt;="&amp;$A166,実績!$AJ$6:$AJ$505,"&gt;"&amp;$A166,実績!$AK$6:$AK$505,"○")&gt;0,1,0))</f>
        <v>0</v>
      </c>
      <c r="O166" s="39" t="n">
        <f aca="false">IF(O$4=0,0,IF(COUNTIFS(実績!$W$6:$W$505,O$3,実績!$AI$6:$AI$505,"&lt;="&amp;$A166,実績!$AJ$6:$AJ$505,"&gt;"&amp;$A166,実績!$AK$6:$AK$505,"○")&gt;0,1,0))</f>
        <v>0</v>
      </c>
      <c r="P166" s="39" t="n">
        <f aca="false">IF(P$4=0,0,IF(COUNTIFS(実績!$W$6:$W$505,P$3,実績!$AI$6:$AI$505,"&lt;="&amp;$A166,実績!$AJ$6:$AJ$505,"&gt;"&amp;$A166,実績!$AK$6:$AK$505,"○")&gt;0,1,0))</f>
        <v>0</v>
      </c>
      <c r="Q166" s="39" t="n">
        <f aca="false">IF(Q$4=0,0,IF(COUNTIFS(実績!$W$6:$W$505,Q$3,実績!$AI$6:$AI$505,"&lt;="&amp;$A166,実績!$AJ$6:$AJ$505,"&gt;"&amp;$A166,実績!$AK$6:$AK$505,"○")&gt;0,1,0))</f>
        <v>0</v>
      </c>
      <c r="R166" s="39" t="n">
        <f aca="false">IF(R$4=0,0,IF(COUNTIFS(実績!$W$6:$W$505,R$3,実績!$AI$6:$AI$505,"&lt;="&amp;$A166,実績!$AJ$6:$AJ$505,"&gt;"&amp;$A166,実績!$AK$6:$AK$505,"○")&gt;0,1,0))</f>
        <v>0</v>
      </c>
      <c r="S166" s="39" t="n">
        <f aca="false">IF(S$4=0,0,IF(COUNTIFS(実績!$W$6:$W$505,S$3,実績!$AI$6:$AI$505,"&lt;="&amp;$A166,実績!$AJ$6:$AJ$505,"&gt;"&amp;$A166,実績!$AK$6:$AK$505,"○")&gt;0,1,0))</f>
        <v>0</v>
      </c>
      <c r="T166" s="39" t="n">
        <f aca="false">IF(T$4=0,0,IF(COUNTIFS(実績!$W$6:$W$505,T$3,実績!$AI$6:$AI$505,"&lt;="&amp;$A166,実績!$AJ$6:$AJ$505,"&gt;"&amp;$A166,実績!$AK$6:$AK$505,"○")&gt;0,1,0))</f>
        <v>0</v>
      </c>
      <c r="U166" s="39" t="n">
        <f aca="false">IF(U$4=0,0,IF(COUNTIFS(実績!$W$6:$W$505,U$3,実績!$AI$6:$AI$505,"&lt;="&amp;$A166,実績!$AJ$6:$AJ$505,"&gt;"&amp;$A166,実績!$AK$6:$AK$505,"○")&gt;0,1,0))</f>
        <v>0</v>
      </c>
      <c r="V166" s="39" t="n">
        <f aca="false">IF(V$4=0,0,IF(COUNTIFS(実績!$W$6:$W$505,V$3,実績!$AI$6:$AI$505,"&lt;="&amp;$A166,実績!$AJ$6:$AJ$505,"&gt;"&amp;$A166,実績!$AK$6:$AK$505,"○")&gt;0,1,0))</f>
        <v>0</v>
      </c>
      <c r="W166" s="39" t="n">
        <f aca="false">IF(W$4=0,0,IF(COUNTIFS(実績!$W$6:$W$505,W$3,実績!$AI$6:$AI$505,"&lt;="&amp;$A166,実績!$AJ$6:$AJ$505,"&gt;"&amp;$A166,実績!$AK$6:$AK$505,"○")&gt;0,1,0))</f>
        <v>0</v>
      </c>
      <c r="X166" s="39" t="n">
        <f aca="false">IF(X$4=0,0,IF(COUNTIFS(実績!$W$6:$W$505,X$3,実績!$AI$6:$AI$505,"&lt;="&amp;$A166,実績!$AJ$6:$AJ$505,"&gt;"&amp;$A166,実績!$AK$6:$AK$505,"○")&gt;0,1,0))</f>
        <v>0</v>
      </c>
      <c r="Y166" s="39" t="n">
        <f aca="false">IF(Y$4=0,0,IF(COUNTIFS(実績!$W$6:$W$505,Y$3,実績!$AI$6:$AI$505,"&lt;="&amp;$A166,実績!$AJ$6:$AJ$505,"&gt;"&amp;$A166,実績!$AK$6:$AK$505,"○")&gt;0,1,0))</f>
        <v>0</v>
      </c>
      <c r="Z166" s="39" t="n">
        <f aca="false">IF(Z$4=0,0,IF(COUNTIFS(実績!$W$6:$W$505,Z$3,実績!$AI$6:$AI$505,"&lt;="&amp;$A166,実績!$AJ$6:$AJ$505,"&gt;"&amp;$A166,実績!$AK$6:$AK$505,"○")&gt;0,1,0))</f>
        <v>0</v>
      </c>
      <c r="AA166" s="39" t="n">
        <f aca="false">IF(AA$4=0,0,IF(COUNTIFS(実績!$W$6:$W$505,AA$3,実績!$AI$6:$AI$505,"&lt;="&amp;$A166,実績!$AJ$6:$AJ$505,"&gt;"&amp;$A166,実績!$AK$6:$AK$505,"○")&gt;0,1,0))</f>
        <v>0</v>
      </c>
      <c r="AB166" s="39" t="n">
        <f aca="false">IF(AB$4=0,0,IF(COUNTIFS(実績!$W$6:$W$505,AB$3,実績!$AI$6:$AI$505,"&lt;="&amp;$A166,実績!$AJ$6:$AJ$505,"&gt;"&amp;$A166,実績!$AK$6:$AK$505,"○")&gt;0,1,0))</f>
        <v>0</v>
      </c>
      <c r="AC166" s="39" t="n">
        <f aca="false">IF(AC$4=0,0,IF(COUNTIFS(実績!$W$6:$W$505,AC$3,実績!$AI$6:$AI$505,"&lt;="&amp;$A166,実績!$AJ$6:$AJ$505,"&gt;"&amp;$A166,実績!$AK$6:$AK$505,"○")&gt;0,1,0))</f>
        <v>0</v>
      </c>
      <c r="AD166" s="39" t="n">
        <f aca="false">IF(AD$4=0,0,IF(COUNTIFS(実績!$W$6:$W$505,AD$3,実績!$AI$6:$AI$505,"&lt;="&amp;$A166,実績!$AJ$6:$AJ$505,"&gt;"&amp;$A166,実績!$AK$6:$AK$505,"○")&gt;0,1,0))</f>
        <v>0</v>
      </c>
      <c r="AE166" s="39" t="n">
        <f aca="false">IF(AE$4=0,0,IF(COUNTIFS(実績!$W$6:$W$505,AE$3,実績!$AI$6:$AI$505,"&lt;="&amp;$A166,実績!$AJ$6:$AJ$505,"&gt;"&amp;$A166,実績!$AK$6:$AK$505,"○")&gt;0,1,0))</f>
        <v>0</v>
      </c>
      <c r="AF166" s="39" t="n">
        <f aca="false">IF(AF$4=0,0,IF(COUNTIFS(実績!$W$6:$W$505,AF$3,実績!$AI$6:$AI$505,"&lt;="&amp;$A166,実績!$AJ$6:$AJ$505,"&gt;"&amp;$A166,実績!$AK$6:$AK$505,"○")&gt;0,1,0))</f>
        <v>0</v>
      </c>
      <c r="AG166" s="39" t="n">
        <f aca="false">IF(AG$4=0,0,IF(COUNTIFS(実績!$W$6:$W$505,AG$3,実績!$AI$6:$AI$505,"&lt;="&amp;$A166,実績!$AJ$6:$AJ$505,"&gt;"&amp;$A166,実績!$AK$6:$AK$505,"○")&gt;0,1,0))</f>
        <v>0</v>
      </c>
      <c r="AH166" s="39" t="n">
        <f aca="false">IF(AH$4=0,0,IF(COUNTIFS(実績!$W$6:$W$505,AH$3,実績!$AI$6:$AI$505,"&lt;="&amp;$A166,実績!$AJ$6:$AJ$505,"&gt;"&amp;$A166,実績!$AK$6:$AK$505,"○")&gt;0,1,0))</f>
        <v>0</v>
      </c>
      <c r="AI166" s="39" t="n">
        <f aca="false">IF(AI$4=0,0,IF(COUNTIFS(実績!$W$6:$W$505,AI$3,実績!$AI$6:$AI$505,"&lt;="&amp;$A166,実績!$AJ$6:$AJ$505,"&gt;"&amp;$A166,実績!$AK$6:$AK$505,"○")&gt;0,1,0))</f>
        <v>0</v>
      </c>
      <c r="AJ166" s="39" t="n">
        <f aca="false">IF(AJ$4=0,0,IF(COUNTIFS(実績!$W$6:$W$505,AJ$3,実績!$AI$6:$AI$505,"&lt;="&amp;$A166,実績!$AJ$6:$AJ$505,"&gt;"&amp;$A166,実績!$AK$6:$AK$505,"○")&gt;0,1,0))</f>
        <v>0</v>
      </c>
      <c r="AK166" s="39" t="n">
        <f aca="false">IF(AK$4=0,0,IF(COUNTIFS(実績!$W$6:$W$505,AK$3,実績!$AI$6:$AI$505,"&lt;="&amp;$A166,実績!$AJ$6:$AJ$505,"&gt;"&amp;$A166,実績!$AK$6:$AK$505,"○")&gt;0,1,0))</f>
        <v>0</v>
      </c>
      <c r="AL166" s="39" t="n">
        <f aca="false">IF(AL$4=0,0,IF(COUNTIFS(実績!$W$6:$W$505,AL$3,実績!$AI$6:$AI$505,"&lt;="&amp;$A166,実績!$AJ$6:$AJ$505,"&gt;"&amp;$A166,実績!$AK$6:$AK$505,"○")&gt;0,1,0))</f>
        <v>0</v>
      </c>
      <c r="AM166" s="39" t="n">
        <f aca="false">IF(AM$4=0,0,IF(COUNTIFS(実績!$W$6:$W$505,AM$3,実績!$AI$6:$AI$505,"&lt;="&amp;$A166,実績!$AJ$6:$AJ$505,"&gt;"&amp;$A166,実績!$AK$6:$AK$505,"○")&gt;0,1,0))</f>
        <v>0</v>
      </c>
      <c r="AN166" s="39" t="n">
        <f aca="false">IF(AN$4=0,0,IF(COUNTIFS(実績!$W$6:$W$505,AN$3,実績!$AI$6:$AI$505,"&lt;="&amp;$A166,実績!$AJ$6:$AJ$505,"&gt;"&amp;$A166,実績!$AK$6:$AK$505,"○")&gt;0,1,0))</f>
        <v>0</v>
      </c>
      <c r="AO166" s="39" t="n">
        <f aca="false">IF(AO$4=0,0,IF(COUNTIFS(実績!$W$6:$W$505,AO$3,実績!$AI$6:$AI$505,"&lt;="&amp;$A166,実績!$AJ$6:$AJ$505,"&gt;"&amp;$A166,実績!$AK$6:$AK$505,"○")&gt;0,1,0))</f>
        <v>0</v>
      </c>
      <c r="AP166" s="39" t="n">
        <f aca="false">IF(AP$4=0,0,IF(COUNTIFS(実績!$W$6:$W$505,AP$3,実績!$AI$6:$AI$505,"&lt;="&amp;$A166,実績!$AJ$6:$AJ$505,"&gt;"&amp;$A166,実績!$AK$6:$AK$505,"○")&gt;0,1,0))</f>
        <v>0</v>
      </c>
      <c r="AQ166" s="39" t="n">
        <f aca="false">IF(AQ$4=0,0,IF(COUNTIFS(実績!$W$6:$W$505,AQ$3,実績!$AI$6:$AI$505,"&lt;="&amp;$A166,実績!$AJ$6:$AJ$505,"&gt;"&amp;$A166,実績!$AK$6:$AK$505,"○")&gt;0,1,0))</f>
        <v>0</v>
      </c>
      <c r="AR166" s="39" t="n">
        <f aca="false">IF(AR$4=0,0,IF(COUNTIFS(実績!$W$6:$W$505,AR$3,実績!$AI$6:$AI$505,"&lt;="&amp;$A166,実績!$AJ$6:$AJ$505,"&gt;"&amp;$A166,実績!$AK$6:$AK$505,"○")&gt;0,1,0))</f>
        <v>0</v>
      </c>
      <c r="AS166" s="39" t="n">
        <f aca="false">IF(AS$4=0,0,IF(COUNTIFS(実績!$W$6:$W$505,AS$3,実績!$AI$6:$AI$505,"&lt;="&amp;$A166,実績!$AJ$6:$AJ$505,"&gt;"&amp;$A166,実績!$AK$6:$AK$505,"○")&gt;0,1,0))</f>
        <v>0</v>
      </c>
      <c r="AT166" s="39" t="n">
        <f aca="false">IF(AT$4=0,0,IF(COUNTIFS(実績!$W$6:$W$505,AT$3,実績!$AI$6:$AI$505,"&lt;="&amp;$A166,実績!$AJ$6:$AJ$505,"&gt;"&amp;$A166,実績!$AK$6:$AK$505,"○")&gt;0,1,0))</f>
        <v>0</v>
      </c>
      <c r="AU166" s="39" t="n">
        <f aca="false">IF(AU$4=0,0,IF(COUNTIFS(実績!$W$6:$W$505,AU$3,実績!$AI$6:$AI$505,"&lt;="&amp;$A166,実績!$AJ$6:$AJ$505,"&gt;"&amp;$A166,実績!$AK$6:$AK$505,"○")&gt;0,1,0))</f>
        <v>0</v>
      </c>
      <c r="AV166" s="39" t="n">
        <f aca="false">IF(AV$4=0,0,IF(COUNTIFS(実績!$W$6:$W$505,AV$3,実績!$AI$6:$AI$505,"&lt;="&amp;$A166,実績!$AJ$6:$AJ$505,"&gt;"&amp;$A166,実績!$AK$6:$AK$505,"○")&gt;0,1,0))</f>
        <v>0</v>
      </c>
      <c r="AW166" s="39" t="n">
        <f aca="false">IF(AW$4=0,0,IF(COUNTIFS(実績!$W$6:$W$505,AW$3,実績!$AI$6:$AI$505,"&lt;="&amp;$A166,実績!$AJ$6:$AJ$505,"&gt;"&amp;$A166,実績!$AK$6:$AK$505,"○")&gt;0,1,0))</f>
        <v>0</v>
      </c>
      <c r="AX166" s="39" t="n">
        <f aca="false">IF(AX$4=0,0,IF(COUNTIFS(実績!$W$6:$W$505,AX$3,実績!$AI$6:$AI$505,"&lt;="&amp;$A166,実績!$AJ$6:$AJ$505,"&gt;"&amp;$A166,実績!$AK$6:$AK$505,"○")&gt;0,1,0))</f>
        <v>0</v>
      </c>
      <c r="AY166" s="39" t="n">
        <f aca="false">IF(AY$4=0,0,IF(COUNTIFS(実績!$W$6:$W$505,AY$3,実績!$AI$6:$AI$505,"&lt;="&amp;$A166,実績!$AJ$6:$AJ$505,"&gt;"&amp;$A166,実績!$AK$6:$AK$505,"○")&gt;0,1,0))</f>
        <v>0</v>
      </c>
      <c r="AZ166" s="39" t="n">
        <f aca="false">IF(AZ$4=0,0,IF(COUNTIFS(実績!$W$6:$W$505,AZ$3,実績!$AI$6:$AI$505,"&lt;="&amp;$A166,実績!$AJ$6:$AJ$505,"&gt;"&amp;$A166,実績!$AK$6:$AK$505,"○")&gt;0,1,0))</f>
        <v>0</v>
      </c>
      <c r="BA166" s="39" t="n">
        <f aca="false">IF(BA$4=0,0,IF(COUNTIFS(実績!$W$6:$W$505,BA$3,実績!$AI$6:$AI$505,"&lt;="&amp;$A166,実績!$AJ$6:$AJ$505,"&gt;"&amp;$A166,実績!$AK$6:$AK$505,"○")&gt;0,1,0))</f>
        <v>0</v>
      </c>
      <c r="BB166" s="39" t="n">
        <f aca="false">IF(BB$4=0,0,IF(COUNTIFS(実績!$W$6:$W$505,BB$3,実績!$AI$6:$AI$505,"&lt;="&amp;$A166,実績!$AJ$6:$AJ$505,"&gt;"&amp;$A166,実績!$AK$6:$AK$505,"○")&gt;0,1,0))</f>
        <v>0</v>
      </c>
      <c r="BC166" s="39" t="n">
        <f aca="false">IF(BC$4=0,0,IF(COUNTIFS(実績!$W$6:$W$505,BC$3,実績!$AI$6:$AI$505,"&lt;="&amp;$A166,実績!$AJ$6:$AJ$505,"&gt;"&amp;$A166,実績!$AK$6:$AK$505,"○")&gt;0,1,0))</f>
        <v>0</v>
      </c>
      <c r="BD166" s="39" t="n">
        <f aca="false">IF(BD$4=0,0,IF(COUNTIFS(実績!$W$6:$W$505,BD$3,実績!$AI$6:$AI$505,"&lt;="&amp;$A166,実績!$AJ$6:$AJ$505,"&gt;"&amp;$A166,実績!$AK$6:$AK$505,"○")&gt;0,1,0))</f>
        <v>0</v>
      </c>
      <c r="BE166" s="39" t="n">
        <f aca="false">IF(BE$4=0,0,IF(COUNTIFS(実績!$W$6:$W$505,BE$3,実績!$AI$6:$AI$505,"&lt;="&amp;$A166,実績!$AJ$6:$AJ$505,"&gt;"&amp;$A166,実績!$AK$6:$AK$505,"○")&gt;0,1,0))</f>
        <v>0</v>
      </c>
      <c r="BF166" s="39" t="n">
        <f aca="false">IF(BF$4=0,0,IF(COUNTIFS(実績!$W$6:$W$505,BF$3,実績!$AI$6:$AI$505,"&lt;="&amp;$A166,実績!$AJ$6:$AJ$505,"&gt;"&amp;$A166,実績!$AK$6:$AK$505,"○")&gt;0,1,0))</f>
        <v>0</v>
      </c>
      <c r="BG166" s="39" t="n">
        <f aca="false">IF(BG$4=0,0,IF(COUNTIFS(実績!$W$6:$W$505,BG$3,実績!$AI$6:$AI$505,"&lt;="&amp;$A166,実績!$AJ$6:$AJ$505,"&gt;"&amp;$A166,実績!$AK$6:$AK$505,"○")&gt;0,1,0))</f>
        <v>0</v>
      </c>
      <c r="BH166" s="39" t="n">
        <f aca="false">IF(BH$4=0,0,IF(COUNTIFS(実績!$W$6:$W$505,BH$3,実績!$AI$6:$AI$505,"&lt;="&amp;$A166,実績!$AJ$6:$AJ$505,"&gt;"&amp;$A166,実績!$AK$6:$AK$505,"○")&gt;0,1,0))</f>
        <v>0</v>
      </c>
      <c r="BI166" s="39" t="n">
        <f aca="false">IF(BI$4=0,0,IF(COUNTIFS(実績!$W$6:$W$505,BI$3,実績!$AI$6:$AI$505,"&lt;="&amp;$A166,実績!$AJ$6:$AJ$505,"&gt;"&amp;$A166,実績!$AK$6:$AK$505,"○")&gt;0,1,0))</f>
        <v>0</v>
      </c>
      <c r="BJ166" s="39" t="n">
        <f aca="false">IF(BJ$4=0,0,IF(COUNTIFS(実績!$W$6:$W$505,BJ$3,実績!$AI$6:$AI$505,"&lt;="&amp;$A166,実績!$AJ$6:$AJ$505,"&gt;"&amp;$A166,実績!$AK$6:$AK$505,"○")&gt;0,1,0))</f>
        <v>0</v>
      </c>
      <c r="BK166" s="39" t="n">
        <f aca="false">IF(BK$4=0,0,IF(COUNTIFS(実績!$W$6:$W$505,BK$3,実績!$AI$6:$AI$505,"&lt;="&amp;$A166,実績!$AJ$6:$AJ$505,"&gt;"&amp;$A166,実績!$AK$6:$AK$505,"○")&gt;0,1,0))</f>
        <v>0</v>
      </c>
      <c r="BL166" s="39" t="n">
        <f aca="false">IF(BL$4=0,0,IF(COUNTIFS(実績!$W$6:$W$505,BL$3,実績!$AI$6:$AI$505,"&lt;="&amp;$A166,実績!$AJ$6:$AJ$505,"&gt;"&amp;$A166,実績!$AK$6:$AK$505,"○")&gt;0,1,0))</f>
        <v>0</v>
      </c>
      <c r="BM166" s="39" t="n">
        <f aca="false">IF(BM$4=0,0,IF(COUNTIFS(実績!$W$6:$W$505,BM$3,実績!$AI$6:$AI$505,"&lt;="&amp;$A166,実績!$AJ$6:$AJ$505,"&gt;"&amp;$A166,実績!$AK$6:$AK$505,"○")&gt;0,1,0))</f>
        <v>0</v>
      </c>
      <c r="BN166" s="39" t="n">
        <f aca="false">IF(BN$4=0,0,IF(COUNTIFS(実績!$W$6:$W$505,BN$3,実績!$AI$6:$AI$505,"&lt;="&amp;$A166,実績!$AJ$6:$AJ$505,"&gt;"&amp;$A166,実績!$AK$6:$AK$505,"○")&gt;0,1,0))</f>
        <v>0</v>
      </c>
      <c r="BO166" s="39" t="n">
        <f aca="false">IF(BO$4=0,0,IF(COUNTIFS(実績!$W$6:$W$505,BO$3,実績!$AI$6:$AI$505,"&lt;="&amp;$A166,実績!$AJ$6:$AJ$505,"&gt;"&amp;$A166,実績!$AK$6:$AK$505,"○")&gt;0,1,0))</f>
        <v>0</v>
      </c>
      <c r="BP166" s="39" t="n">
        <f aca="false">IF(BP$4=0,0,IF(COUNTIFS(実績!$W$6:$W$505,BP$3,実績!$AI$6:$AI$505,"&lt;="&amp;$A166,実績!$AJ$6:$AJ$505,"&gt;"&amp;$A166,実績!$AK$6:$AK$505,"○")&gt;0,1,0))</f>
        <v>0</v>
      </c>
      <c r="BQ166" s="39" t="n">
        <f aca="false">IF(BQ$4=0,0,IF(COUNTIFS(実績!$W$6:$W$505,BQ$3,実績!$AI$6:$AI$505,"&lt;="&amp;$A166,実績!$AJ$6:$AJ$505,"&gt;"&amp;$A166,実績!$AK$6:$AK$505,"○")&gt;0,1,0))</f>
        <v>0</v>
      </c>
      <c r="BR166" s="39" t="n">
        <f aca="false">IF(BR$4=0,0,IF(COUNTIFS(実績!$W$6:$W$505,BR$3,実績!$AI$6:$AI$505,"&lt;="&amp;$A166,実績!$AJ$6:$AJ$505,"&gt;"&amp;$A166,実績!$AK$6:$AK$505,"○")&gt;0,1,0))</f>
        <v>0</v>
      </c>
      <c r="BS166" s="39" t="n">
        <f aca="false">IF(BS$4=0,0,IF(COUNTIFS(実績!$W$6:$W$505,BS$3,実績!$AI$6:$AI$505,"&lt;="&amp;$A166,実績!$AJ$6:$AJ$505,"&gt;"&amp;$A166,実績!$AK$6:$AK$505,"○")&gt;0,1,0))</f>
        <v>0</v>
      </c>
      <c r="BT166" s="39" t="n">
        <f aca="false">IF(BT$4=0,0,IF(COUNTIFS(実績!$W$6:$W$505,BT$3,実績!$AI$6:$AI$505,"&lt;="&amp;$A166,実績!$AJ$6:$AJ$505,"&gt;"&amp;$A166,実績!$AK$6:$AK$505,"○")&gt;0,1,0))</f>
        <v>0</v>
      </c>
      <c r="BU166" s="39" t="n">
        <f aca="false">IF(BU$4=0,0,IF(COUNTIFS(実績!$W$6:$W$505,BU$3,実績!$AI$6:$AI$505,"&lt;="&amp;$A166,実績!$AJ$6:$AJ$505,"&gt;"&amp;$A166,実績!$AK$6:$AK$505,"○")&gt;0,1,0))</f>
        <v>0</v>
      </c>
      <c r="BV166" s="39" t="n">
        <f aca="false">IF(BV$4=0,0,IF(COUNTIFS(実績!$W$6:$W$505,BV$3,実績!$AI$6:$AI$505,"&lt;="&amp;$A166,実績!$AJ$6:$AJ$505,"&gt;"&amp;$A166,実績!$AK$6:$AK$505,"○")&gt;0,1,0))</f>
        <v>0</v>
      </c>
      <c r="BW166" s="39" t="n">
        <f aca="false">IF(BW$4=0,0,IF(COUNTIFS(実績!$W$6:$W$505,BW$3,実績!$AI$6:$AI$505,"&lt;="&amp;$A166,実績!$AJ$6:$AJ$505,"&gt;"&amp;$A166,実績!$AK$6:$AK$505,"○")&gt;0,1,0))</f>
        <v>0</v>
      </c>
      <c r="BX166" s="39" t="n">
        <f aca="false">IF(BX$4=0,0,IF(COUNTIFS(実績!$W$6:$W$505,BX$3,実績!$AI$6:$AI$505,"&lt;="&amp;$A166,実績!$AJ$6:$AJ$505,"&gt;"&amp;$A166,実績!$AK$6:$AK$505,"○")&gt;0,1,0))</f>
        <v>0</v>
      </c>
      <c r="BY166" s="39" t="n">
        <f aca="false">IF(BY$4=0,0,IF(COUNTIFS(実績!$W$6:$W$505,BY$3,実績!$AI$6:$AI$505,"&lt;="&amp;$A166,実績!$AJ$6:$AJ$505,"&gt;"&amp;$A166,実績!$AK$6:$AK$505,"○")&gt;0,1,0))</f>
        <v>0</v>
      </c>
      <c r="BZ166" s="39" t="n">
        <f aca="false">IF(BZ$4=0,0,IF(COUNTIFS(実績!$W$6:$W$505,BZ$3,実績!$AI$6:$AI$505,"&lt;="&amp;$A166,実績!$AJ$6:$AJ$505,"&gt;"&amp;$A166,実績!$AK$6:$AK$505,"○")&gt;0,1,0))</f>
        <v>0</v>
      </c>
      <c r="CA166" s="39" t="n">
        <f aca="false">IF(CA$4=0,0,IF(COUNTIFS(実績!$W$6:$W$505,CA$3,実績!$AI$6:$AI$505,"&lt;="&amp;$A166,実績!$AJ$6:$AJ$505,"&gt;"&amp;$A166,実績!$AK$6:$AK$505,"○")&gt;0,1,0))</f>
        <v>0</v>
      </c>
      <c r="CB166" s="39" t="n">
        <f aca="false">IF(CB$4=0,0,IF(COUNTIFS(実績!$W$6:$W$505,CB$3,実績!$AI$6:$AI$505,"&lt;="&amp;$A166,実績!$AJ$6:$AJ$505,"&gt;"&amp;$A166,実績!$AK$6:$AK$505,"○")&gt;0,1,0))</f>
        <v>0</v>
      </c>
      <c r="CC166" s="39" t="n">
        <f aca="false">IF(CC$4=0,0,IF(COUNTIFS(実績!$W$6:$W$505,CC$3,実績!$AI$6:$AI$505,"&lt;="&amp;$A166,実績!$AJ$6:$AJ$505,"&gt;"&amp;$A166,実績!$AK$6:$AK$505,"○")&gt;0,1,0))</f>
        <v>0</v>
      </c>
      <c r="CD166" s="39" t="n">
        <f aca="false">IF(CD$4=0,0,IF(COUNTIFS(実績!$W$6:$W$505,CD$3,実績!$AI$6:$AI$505,"&lt;="&amp;$A166,実績!$AJ$6:$AJ$505,"&gt;"&amp;$A166,実績!$AK$6:$AK$505,"○")&gt;0,1,0))</f>
        <v>0</v>
      </c>
      <c r="CE166" s="39" t="n">
        <f aca="false">IF(CE$4=0,0,IF(COUNTIFS(実績!$W$6:$W$505,CE$3,実績!$AI$6:$AI$505,"&lt;="&amp;$A166,実績!$AJ$6:$AJ$505,"&gt;"&amp;$A166,実績!$AK$6:$AK$505,"○")&gt;0,1,0))</f>
        <v>0</v>
      </c>
      <c r="CF166" s="39" t="n">
        <f aca="false">IF(CF$4=0,0,IF(COUNTIFS(実績!$W$6:$W$505,CF$3,実績!$AI$6:$AI$505,"&lt;="&amp;$A166,実績!$AJ$6:$AJ$505,"&gt;"&amp;$A166,実績!$AK$6:$AK$505,"○")&gt;0,1,0))</f>
        <v>0</v>
      </c>
      <c r="CG166" s="39" t="n">
        <f aca="false">IF(CG$4=0,0,IF(COUNTIFS(実績!$W$6:$W$505,CG$3,実績!$AI$6:$AI$505,"&lt;="&amp;$A166,実績!$AJ$6:$AJ$505,"&gt;"&amp;$A166,実績!$AK$6:$AK$505,"○")&gt;0,1,0))</f>
        <v>0</v>
      </c>
      <c r="CH166" s="39" t="n">
        <f aca="false">IF(CH$4=0,0,IF(COUNTIFS(実績!$W$6:$W$505,CH$3,実績!$AI$6:$AI$505,"&lt;="&amp;$A166,実績!$AJ$6:$AJ$505,"&gt;"&amp;$A166,実績!$AK$6:$AK$505,"○")&gt;0,1,0))</f>
        <v>0</v>
      </c>
      <c r="CI166" s="39" t="n">
        <f aca="false">IF(CI$4=0,0,IF(COUNTIFS(実績!$W$6:$W$505,CI$3,実績!$AI$6:$AI$505,"&lt;="&amp;$A166,実績!$AJ$6:$AJ$505,"&gt;"&amp;$A166,実績!$AK$6:$AK$505,"○")&gt;0,1,0))</f>
        <v>0</v>
      </c>
      <c r="CJ166" s="39" t="n">
        <f aca="false">IF(CJ$4=0,0,IF(COUNTIFS(実績!$W$6:$W$505,CJ$3,実績!$AI$6:$AI$505,"&lt;="&amp;$A166,実績!$AJ$6:$AJ$505,"&gt;"&amp;$A166,実績!$AK$6:$AK$505,"○")&gt;0,1,0))</f>
        <v>0</v>
      </c>
      <c r="CK166" s="39" t="n">
        <f aca="false">IF(CK$4=0,0,IF(COUNTIFS(実績!$W$6:$W$505,CK$3,実績!$AI$6:$AI$505,"&lt;="&amp;$A166,実績!$AJ$6:$AJ$505,"&gt;"&amp;$A166,実績!$AK$6:$AK$505,"○")&gt;0,1,0))</f>
        <v>0</v>
      </c>
      <c r="CL166" s="39" t="n">
        <f aca="false">IF(CL$4=0,0,IF(COUNTIFS(実績!$W$6:$W$505,CL$3,実績!$AI$6:$AI$505,"&lt;="&amp;$A166,実績!$AJ$6:$AJ$505,"&gt;"&amp;$A166,実績!$AK$6:$AK$505,"○")&gt;0,1,0))</f>
        <v>0</v>
      </c>
      <c r="CM166" s="39" t="n">
        <f aca="false">IF(CM$4=0,0,IF(COUNTIFS(実績!$W$6:$W$505,CM$3,実績!$AI$6:$AI$505,"&lt;="&amp;$A166,実績!$AJ$6:$AJ$505,"&gt;"&amp;$A166,実績!$AK$6:$AK$505,"○")&gt;0,1,0))</f>
        <v>0</v>
      </c>
      <c r="CN166" s="39" t="n">
        <f aca="false">IF(CN$4=0,0,IF(COUNTIFS(実績!$W$6:$W$505,CN$3,実績!$AI$6:$AI$505,"&lt;="&amp;$A166,実績!$AJ$6:$AJ$505,"&gt;"&amp;$A166,実績!$AK$6:$AK$505,"○")&gt;0,1,0))</f>
        <v>0</v>
      </c>
      <c r="CO166" s="39" t="n">
        <f aca="false">IF(CO$4=0,0,IF(COUNTIFS(実績!$W$6:$W$505,CO$3,実績!$AI$6:$AI$505,"&lt;="&amp;$A166,実績!$AJ$6:$AJ$505,"&gt;"&amp;$A166,実績!$AK$6:$AK$505,"○")&gt;0,1,0))</f>
        <v>0</v>
      </c>
      <c r="CP166" s="39" t="n">
        <f aca="false">IF(CP$4=0,0,IF(COUNTIFS(実績!$W$6:$W$505,CP$3,実績!$AI$6:$AI$505,"&lt;="&amp;$A166,実績!$AJ$6:$AJ$505,"&gt;"&amp;$A166,実績!$AK$6:$AK$505,"○")&gt;0,1,0))</f>
        <v>0</v>
      </c>
      <c r="CQ166" s="39" t="n">
        <f aca="false">IF(CQ$4=0,0,IF(COUNTIFS(実績!$W$6:$W$505,CQ$3,実績!$AI$6:$AI$505,"&lt;="&amp;$A166,実績!$AJ$6:$AJ$505,"&gt;"&amp;$A166,実績!$AK$6:$AK$505,"○")&gt;0,1,0))</f>
        <v>0</v>
      </c>
      <c r="CR166" s="39" t="n">
        <f aca="false">IF(CR$4=0,0,IF(COUNTIFS(実績!$W$6:$W$505,CR$3,実績!$AI$6:$AI$505,"&lt;="&amp;$A166,実績!$AJ$6:$AJ$505,"&gt;"&amp;$A166,実績!$AK$6:$AK$505,"○")&gt;0,1,0))</f>
        <v>0</v>
      </c>
      <c r="CS166" s="39" t="n">
        <f aca="false">IF(CS$4=0,0,IF(COUNTIFS(実績!$W$6:$W$505,CS$3,実績!$AI$6:$AI$505,"&lt;="&amp;$A166,実績!$AJ$6:$AJ$505,"&gt;"&amp;$A166,実績!$AK$6:$AK$505,"○")&gt;0,1,0))</f>
        <v>0</v>
      </c>
      <c r="CT166" s="39" t="n">
        <f aca="false">IF(CT$4=0,0,IF(COUNTIFS(実績!$W$6:$W$505,CT$3,実績!$AI$6:$AI$505,"&lt;="&amp;$A166,実績!$AJ$6:$AJ$505,"&gt;"&amp;$A166,実績!$AK$6:$AK$505,"○")&gt;0,1,0))</f>
        <v>0</v>
      </c>
      <c r="CU166" s="39" t="n">
        <f aca="false">IF(CU$4=0,0,IF(COUNTIFS(実績!$W$6:$W$505,CU$3,実績!$AI$6:$AI$505,"&lt;="&amp;$A166,実績!$AJ$6:$AJ$505,"&gt;"&amp;$A166,実績!$AK$6:$AK$505,"○")&gt;0,1,0))</f>
        <v>0</v>
      </c>
      <c r="CV166" s="39" t="n">
        <f aca="false">IF(CV$4=0,0,IF(COUNTIFS(実績!$W$6:$W$505,CV$3,実績!$AI$6:$AI$505,"&lt;="&amp;$A166,実績!$AJ$6:$AJ$505,"&gt;"&amp;$A166,実績!$AK$6:$AK$505,"○")&gt;0,1,0))</f>
        <v>0</v>
      </c>
      <c r="CW166" s="39" t="n">
        <f aca="false">IF(CW$4=0,0,IF(COUNTIFS(実績!$W$6:$W$505,CW$3,実績!$AI$6:$AI$505,"&lt;="&amp;$A166,実績!$AJ$6:$AJ$505,"&gt;"&amp;$A166,実績!$AK$6:$AK$505,"○")&gt;0,1,0))</f>
        <v>0</v>
      </c>
      <c r="CX166" s="39" t="n">
        <f aca="false">IF(CX$4=0,0,IF(COUNTIFS(実績!$W$6:$W$505,CX$3,実績!$AI$6:$AI$505,"&lt;="&amp;$A166,実績!$AJ$6:$AJ$505,"&gt;"&amp;$A166,実績!$AK$6:$AK$505,"○")&gt;0,1,0))</f>
        <v>0</v>
      </c>
      <c r="CY166" s="39" t="n">
        <f aca="false">IF(CY$4=0,0,IF(COUNTIFS(実績!$W$6:$W$505,CY$3,実績!$AI$6:$AI$505,"&lt;="&amp;$A166,実績!$AJ$6:$AJ$505,"&gt;"&amp;$A166,実績!$AK$6:$AK$505,"○")&gt;0,1,0))</f>
        <v>0</v>
      </c>
      <c r="CZ166" s="39" t="n">
        <f aca="false">IF(CZ$4=0,0,IF(COUNTIFS(実績!$W$6:$W$505,CZ$3,実績!$AI$6:$AI$505,"&lt;="&amp;$A166,実績!$AJ$6:$AJ$505,"&gt;"&amp;$A166,実績!$AK$6:$AK$505,"○")&gt;0,1,0))</f>
        <v>0</v>
      </c>
      <c r="DA166" s="39" t="n">
        <f aca="false">IF(DA$4=0,0,IF(COUNTIFS(実績!$W$6:$W$505,DA$3,実績!$AI$6:$AI$505,"&lt;="&amp;$A166,実績!$AJ$6:$AJ$505,"&gt;"&amp;$A166,実績!$AK$6:$AK$505,"○")&gt;0,1,0))</f>
        <v>0</v>
      </c>
      <c r="DB166" s="39" t="n">
        <f aca="false">IF(DB$4=0,0,IF(COUNTIFS(実績!$W$6:$W$505,DB$3,実績!$AI$6:$AI$505,"&lt;="&amp;$A166,実績!$AJ$6:$AJ$505,"&gt;"&amp;$A166,実績!$AK$6:$AK$505,"○")&gt;0,1,0))</f>
        <v>0</v>
      </c>
      <c r="DC166" s="39" t="n">
        <f aca="false">IF(DC$4=0,0,IF(COUNTIFS(実績!$W$6:$W$505,DC$3,実績!$AI$6:$AI$505,"&lt;="&amp;$A166,実績!$AJ$6:$AJ$505,"&gt;"&amp;$A166,実績!$AK$6:$AK$505,"○")&gt;0,1,0))</f>
        <v>0</v>
      </c>
      <c r="DD166" s="39" t="n">
        <f aca="false">IF(DD$4=0,0,IF(COUNTIFS(実績!$W$6:$W$505,DD$3,実績!$AI$6:$AI$505,"&lt;="&amp;$A166,実績!$AJ$6:$AJ$505,"&gt;"&amp;$A166,実績!$AK$6:$AK$505,"○")&gt;0,1,0))</f>
        <v>0</v>
      </c>
      <c r="DE166" s="39" t="n">
        <f aca="false">IF(DE$4=0,0,IF(COUNTIFS(実績!$W$6:$W$505,DE$3,実績!$AI$6:$AI$505,"&lt;="&amp;$A166,実績!$AJ$6:$AJ$505,"&gt;"&amp;$A166,実績!$AK$6:$AK$505,"○")&gt;0,1,0))</f>
        <v>0</v>
      </c>
      <c r="DF166" s="39" t="n">
        <f aca="false">IF(DF$4=0,0,IF(COUNTIFS(実績!$W$6:$W$505,DF$3,実績!$AI$6:$AI$505,"&lt;="&amp;$A166,実績!$AJ$6:$AJ$505,"&gt;"&amp;$A166,実績!$AK$6:$AK$505,"○")&gt;0,1,0))</f>
        <v>0</v>
      </c>
      <c r="DG166" s="39" t="n">
        <f aca="false">IF(DG$4=0,0,IF(COUNTIFS(実績!$W$6:$W$505,DG$3,実績!$AI$6:$AI$505,"&lt;="&amp;$A166,実績!$AJ$6:$AJ$505,"&gt;"&amp;$A166,実績!$AK$6:$AK$505,"○")&gt;0,1,0))</f>
        <v>0</v>
      </c>
      <c r="DH166" s="39" t="n">
        <f aca="false">IF(DH$4=0,0,IF(COUNTIFS(実績!$W$6:$W$505,DH$3,実績!$AI$6:$AI$505,"&lt;="&amp;$A166,実績!$AJ$6:$AJ$505,"&gt;"&amp;$A166,実績!$AK$6:$AK$505,"○")&gt;0,1,0))</f>
        <v>0</v>
      </c>
      <c r="DI166" s="39" t="n">
        <f aca="false">IF(DI$4=0,0,IF(COUNTIFS(実績!$W$6:$W$505,DI$3,実績!$AI$6:$AI$505,"&lt;="&amp;$A166,実績!$AJ$6:$AJ$505,"&gt;"&amp;$A166,実績!$AK$6:$AK$505,"○")&gt;0,1,0))</f>
        <v>0</v>
      </c>
      <c r="DJ166" s="39" t="n">
        <f aca="false">IF(DJ$4=0,0,IF(COUNTIFS(実績!$W$6:$W$505,DJ$3,実績!$AI$6:$AI$505,"&lt;="&amp;$A166,実績!$AJ$6:$AJ$505,"&gt;"&amp;$A166,実績!$AK$6:$AK$505,"○")&gt;0,1,0))</f>
        <v>0</v>
      </c>
      <c r="DK166" s="39" t="n">
        <f aca="false">IF(DK$4=0,0,IF(COUNTIFS(実績!$W$6:$W$505,DK$3,実績!$AI$6:$AI$505,"&lt;="&amp;$A166,実績!$AJ$6:$AJ$505,"&gt;"&amp;$A166,実績!$AK$6:$AK$505,"○")&gt;0,1,0))</f>
        <v>0</v>
      </c>
      <c r="DL166" s="39" t="n">
        <f aca="false">IF(DL$4=0,0,IF(COUNTIFS(実績!$W$6:$W$505,DL$3,実績!$AI$6:$AI$505,"&lt;="&amp;$A166,実績!$AJ$6:$AJ$505,"&gt;"&amp;$A166,実績!$AK$6:$AK$505,"○")&gt;0,1,0))</f>
        <v>0</v>
      </c>
      <c r="DM166" s="39" t="n">
        <f aca="false">IF(DM$4=0,0,IF(COUNTIFS(実績!$W$6:$W$505,DM$3,実績!$AI$6:$AI$505,"&lt;="&amp;$A166,実績!$AJ$6:$AJ$505,"&gt;"&amp;$A166,実績!$AK$6:$AK$505,"○")&gt;0,1,0))</f>
        <v>0</v>
      </c>
      <c r="DN166" s="39" t="n">
        <f aca="false">IF(DN$4=0,0,IF(COUNTIFS(実績!$W$6:$W$505,DN$3,実績!$AI$6:$AI$505,"&lt;="&amp;$A166,実績!$AJ$6:$AJ$505,"&gt;"&amp;$A166,実績!$AK$6:$AK$505,"○")&gt;0,1,0))</f>
        <v>0</v>
      </c>
      <c r="DO166" s="39" t="n">
        <f aca="false">IF(DO$4=0,0,IF(COUNTIFS(実績!$W$6:$W$505,DO$3,実績!$AI$6:$AI$505,"&lt;="&amp;$A166,実績!$AJ$6:$AJ$505,"&gt;"&amp;$A166,実績!$AK$6:$AK$505,"○")&gt;0,1,0))</f>
        <v>0</v>
      </c>
      <c r="DP166" s="39" t="n">
        <f aca="false">IF(DP$4=0,0,IF(COUNTIFS(実績!$W$6:$W$505,DP$3,実績!$AI$6:$AI$505,"&lt;="&amp;$A166,実績!$AJ$6:$AJ$505,"&gt;"&amp;$A166,実績!$AK$6:$AK$505,"○")&gt;0,1,0))</f>
        <v>0</v>
      </c>
      <c r="DQ166" s="39" t="n">
        <f aca="false">IF(DQ$4=0,0,IF(COUNTIFS(実績!$W$6:$W$505,DQ$3,実績!$AI$6:$AI$505,"&lt;="&amp;$A166,実績!$AJ$6:$AJ$505,"&gt;"&amp;$A166,実績!$AK$6:$AK$505,"○")&gt;0,1,0))</f>
        <v>0</v>
      </c>
      <c r="DR166" s="39" t="n">
        <f aca="false">IF(DR$4=0,0,IF(COUNTIFS(実績!$W$6:$W$505,DR$3,実績!$AI$6:$AI$505,"&lt;="&amp;$A166,実績!$AJ$6:$AJ$505,"&gt;"&amp;$A166,実績!$AK$6:$AK$505,"○")&gt;0,1,0))</f>
        <v>0</v>
      </c>
      <c r="DS166" s="39" t="n">
        <f aca="false">SUM(C166:DR166)</f>
        <v>0</v>
      </c>
      <c r="DT166" s="39" t="n">
        <f aca="false">SUMPRODUCT((実績!$C$6:$C$505="○")*ISNUMBER(実績!$AM$6:$AM$505)*(実績!$AM$6:$AM$505&lt;=$A166)*(実績!$AN$6:$AN$505&gt;$A166))</f>
        <v>0</v>
      </c>
      <c r="DU166" s="39" t="n">
        <f aca="false">SUMIF($C$2:$DR$2,"製鉄曳船",C166:DR166)</f>
        <v>0</v>
      </c>
      <c r="DV166" s="39" t="n">
        <f aca="false">SUMIF($C$2:$DR$2,"西日本海運",C166:DR166)</f>
        <v>0</v>
      </c>
    </row>
    <row r="167" customFormat="false" ht="15" hidden="false" customHeight="false" outlineLevel="0" collapsed="false">
      <c r="A167" s="0" t="n">
        <v>805</v>
      </c>
      <c r="B167" s="38" t="n">
        <f aca="false">A167/1440</f>
        <v>0.559027777777778</v>
      </c>
      <c r="C167" s="39" t="n">
        <f aca="false">IF(C$4=0,0,IF(COUNTIFS(実績!$W$6:$W$505,C$3,実績!$AI$6:$AI$505,"&lt;="&amp;$A167,実績!$AJ$6:$AJ$505,"&gt;"&amp;$A167,実績!$AK$6:$AK$505,"○")&gt;0,1,0))</f>
        <v>0</v>
      </c>
      <c r="D167" s="39" t="n">
        <f aca="false">IF(D$4=0,0,IF(COUNTIFS(実績!$W$6:$W$505,D$3,実績!$AI$6:$AI$505,"&lt;="&amp;$A167,実績!$AJ$6:$AJ$505,"&gt;"&amp;$A167,実績!$AK$6:$AK$505,"○")&gt;0,1,0))</f>
        <v>0</v>
      </c>
      <c r="E167" s="39" t="n">
        <f aca="false">IF(E$4=0,0,IF(COUNTIFS(実績!$W$6:$W$505,E$3,実績!$AI$6:$AI$505,"&lt;="&amp;$A167,実績!$AJ$6:$AJ$505,"&gt;"&amp;$A167,実績!$AK$6:$AK$505,"○")&gt;0,1,0))</f>
        <v>0</v>
      </c>
      <c r="F167" s="39" t="n">
        <f aca="false">IF(F$4=0,0,IF(COUNTIFS(実績!$W$6:$W$505,F$3,実績!$AI$6:$AI$505,"&lt;="&amp;$A167,実績!$AJ$6:$AJ$505,"&gt;"&amp;$A167,実績!$AK$6:$AK$505,"○")&gt;0,1,0))</f>
        <v>0</v>
      </c>
      <c r="G167" s="39" t="n">
        <f aca="false">IF(G$4=0,0,IF(COUNTIFS(実績!$W$6:$W$505,G$3,実績!$AI$6:$AI$505,"&lt;="&amp;$A167,実績!$AJ$6:$AJ$505,"&gt;"&amp;$A167,実績!$AK$6:$AK$505,"○")&gt;0,1,0))</f>
        <v>0</v>
      </c>
      <c r="H167" s="39" t="n">
        <f aca="false">IF(H$4=0,0,IF(COUNTIFS(実績!$W$6:$W$505,H$3,実績!$AI$6:$AI$505,"&lt;="&amp;$A167,実績!$AJ$6:$AJ$505,"&gt;"&amp;$A167,実績!$AK$6:$AK$505,"○")&gt;0,1,0))</f>
        <v>0</v>
      </c>
      <c r="I167" s="39" t="n">
        <f aca="false">IF(I$4=0,0,IF(COUNTIFS(実績!$W$6:$W$505,I$3,実績!$AI$6:$AI$505,"&lt;="&amp;$A167,実績!$AJ$6:$AJ$505,"&gt;"&amp;$A167,実績!$AK$6:$AK$505,"○")&gt;0,1,0))</f>
        <v>0</v>
      </c>
      <c r="J167" s="39" t="n">
        <f aca="false">IF(J$4=0,0,IF(COUNTIFS(実績!$W$6:$W$505,J$3,実績!$AI$6:$AI$505,"&lt;="&amp;$A167,実績!$AJ$6:$AJ$505,"&gt;"&amp;$A167,実績!$AK$6:$AK$505,"○")&gt;0,1,0))</f>
        <v>0</v>
      </c>
      <c r="K167" s="39" t="n">
        <f aca="false">IF(K$4=0,0,IF(COUNTIFS(実績!$W$6:$W$505,K$3,実績!$AI$6:$AI$505,"&lt;="&amp;$A167,実績!$AJ$6:$AJ$505,"&gt;"&amp;$A167,実績!$AK$6:$AK$505,"○")&gt;0,1,0))</f>
        <v>0</v>
      </c>
      <c r="L167" s="39" t="n">
        <f aca="false">IF(L$4=0,0,IF(COUNTIFS(実績!$W$6:$W$505,L$3,実績!$AI$6:$AI$505,"&lt;="&amp;$A167,実績!$AJ$6:$AJ$505,"&gt;"&amp;$A167,実績!$AK$6:$AK$505,"○")&gt;0,1,0))</f>
        <v>0</v>
      </c>
      <c r="M167" s="39" t="n">
        <f aca="false">IF(M$4=0,0,IF(COUNTIFS(実績!$W$6:$W$505,M$3,実績!$AI$6:$AI$505,"&lt;="&amp;$A167,実績!$AJ$6:$AJ$505,"&gt;"&amp;$A167,実績!$AK$6:$AK$505,"○")&gt;0,1,0))</f>
        <v>0</v>
      </c>
      <c r="N167" s="39" t="n">
        <f aca="false">IF(N$4=0,0,IF(COUNTIFS(実績!$W$6:$W$505,N$3,実績!$AI$6:$AI$505,"&lt;="&amp;$A167,実績!$AJ$6:$AJ$505,"&gt;"&amp;$A167,実績!$AK$6:$AK$505,"○")&gt;0,1,0))</f>
        <v>0</v>
      </c>
      <c r="O167" s="39" t="n">
        <f aca="false">IF(O$4=0,0,IF(COUNTIFS(実績!$W$6:$W$505,O$3,実績!$AI$6:$AI$505,"&lt;="&amp;$A167,実績!$AJ$6:$AJ$505,"&gt;"&amp;$A167,実績!$AK$6:$AK$505,"○")&gt;0,1,0))</f>
        <v>0</v>
      </c>
      <c r="P167" s="39" t="n">
        <f aca="false">IF(P$4=0,0,IF(COUNTIFS(実績!$W$6:$W$505,P$3,実績!$AI$6:$AI$505,"&lt;="&amp;$A167,実績!$AJ$6:$AJ$505,"&gt;"&amp;$A167,実績!$AK$6:$AK$505,"○")&gt;0,1,0))</f>
        <v>0</v>
      </c>
      <c r="Q167" s="39" t="n">
        <f aca="false">IF(Q$4=0,0,IF(COUNTIFS(実績!$W$6:$W$505,Q$3,実績!$AI$6:$AI$505,"&lt;="&amp;$A167,実績!$AJ$6:$AJ$505,"&gt;"&amp;$A167,実績!$AK$6:$AK$505,"○")&gt;0,1,0))</f>
        <v>0</v>
      </c>
      <c r="R167" s="39" t="n">
        <f aca="false">IF(R$4=0,0,IF(COUNTIFS(実績!$W$6:$W$505,R$3,実績!$AI$6:$AI$505,"&lt;="&amp;$A167,実績!$AJ$6:$AJ$505,"&gt;"&amp;$A167,実績!$AK$6:$AK$505,"○")&gt;0,1,0))</f>
        <v>0</v>
      </c>
      <c r="S167" s="39" t="n">
        <f aca="false">IF(S$4=0,0,IF(COUNTIFS(実績!$W$6:$W$505,S$3,実績!$AI$6:$AI$505,"&lt;="&amp;$A167,実績!$AJ$6:$AJ$505,"&gt;"&amp;$A167,実績!$AK$6:$AK$505,"○")&gt;0,1,0))</f>
        <v>0</v>
      </c>
      <c r="T167" s="39" t="n">
        <f aca="false">IF(T$4=0,0,IF(COUNTIFS(実績!$W$6:$W$505,T$3,実績!$AI$6:$AI$505,"&lt;="&amp;$A167,実績!$AJ$6:$AJ$505,"&gt;"&amp;$A167,実績!$AK$6:$AK$505,"○")&gt;0,1,0))</f>
        <v>0</v>
      </c>
      <c r="U167" s="39" t="n">
        <f aca="false">IF(U$4=0,0,IF(COUNTIFS(実績!$W$6:$W$505,U$3,実績!$AI$6:$AI$505,"&lt;="&amp;$A167,実績!$AJ$6:$AJ$505,"&gt;"&amp;$A167,実績!$AK$6:$AK$505,"○")&gt;0,1,0))</f>
        <v>0</v>
      </c>
      <c r="V167" s="39" t="n">
        <f aca="false">IF(V$4=0,0,IF(COUNTIFS(実績!$W$6:$W$505,V$3,実績!$AI$6:$AI$505,"&lt;="&amp;$A167,実績!$AJ$6:$AJ$505,"&gt;"&amp;$A167,実績!$AK$6:$AK$505,"○")&gt;0,1,0))</f>
        <v>0</v>
      </c>
      <c r="W167" s="39" t="n">
        <f aca="false">IF(W$4=0,0,IF(COUNTIFS(実績!$W$6:$W$505,W$3,実績!$AI$6:$AI$505,"&lt;="&amp;$A167,実績!$AJ$6:$AJ$505,"&gt;"&amp;$A167,実績!$AK$6:$AK$505,"○")&gt;0,1,0))</f>
        <v>0</v>
      </c>
      <c r="X167" s="39" t="n">
        <f aca="false">IF(X$4=0,0,IF(COUNTIFS(実績!$W$6:$W$505,X$3,実績!$AI$6:$AI$505,"&lt;="&amp;$A167,実績!$AJ$6:$AJ$505,"&gt;"&amp;$A167,実績!$AK$6:$AK$505,"○")&gt;0,1,0))</f>
        <v>0</v>
      </c>
      <c r="Y167" s="39" t="n">
        <f aca="false">IF(Y$4=0,0,IF(COUNTIFS(実績!$W$6:$W$505,Y$3,実績!$AI$6:$AI$505,"&lt;="&amp;$A167,実績!$AJ$6:$AJ$505,"&gt;"&amp;$A167,実績!$AK$6:$AK$505,"○")&gt;0,1,0))</f>
        <v>0</v>
      </c>
      <c r="Z167" s="39" t="n">
        <f aca="false">IF(Z$4=0,0,IF(COUNTIFS(実績!$W$6:$W$505,Z$3,実績!$AI$6:$AI$505,"&lt;="&amp;$A167,実績!$AJ$6:$AJ$505,"&gt;"&amp;$A167,実績!$AK$6:$AK$505,"○")&gt;0,1,0))</f>
        <v>0</v>
      </c>
      <c r="AA167" s="39" t="n">
        <f aca="false">IF(AA$4=0,0,IF(COUNTIFS(実績!$W$6:$W$505,AA$3,実績!$AI$6:$AI$505,"&lt;="&amp;$A167,実績!$AJ$6:$AJ$505,"&gt;"&amp;$A167,実績!$AK$6:$AK$505,"○")&gt;0,1,0))</f>
        <v>0</v>
      </c>
      <c r="AB167" s="39" t="n">
        <f aca="false">IF(AB$4=0,0,IF(COUNTIFS(実績!$W$6:$W$505,AB$3,実績!$AI$6:$AI$505,"&lt;="&amp;$A167,実績!$AJ$6:$AJ$505,"&gt;"&amp;$A167,実績!$AK$6:$AK$505,"○")&gt;0,1,0))</f>
        <v>0</v>
      </c>
      <c r="AC167" s="39" t="n">
        <f aca="false">IF(AC$4=0,0,IF(COUNTIFS(実績!$W$6:$W$505,AC$3,実績!$AI$6:$AI$505,"&lt;="&amp;$A167,実績!$AJ$6:$AJ$505,"&gt;"&amp;$A167,実績!$AK$6:$AK$505,"○")&gt;0,1,0))</f>
        <v>0</v>
      </c>
      <c r="AD167" s="39" t="n">
        <f aca="false">IF(AD$4=0,0,IF(COUNTIFS(実績!$W$6:$W$505,AD$3,実績!$AI$6:$AI$505,"&lt;="&amp;$A167,実績!$AJ$6:$AJ$505,"&gt;"&amp;$A167,実績!$AK$6:$AK$505,"○")&gt;0,1,0))</f>
        <v>0</v>
      </c>
      <c r="AE167" s="39" t="n">
        <f aca="false">IF(AE$4=0,0,IF(COUNTIFS(実績!$W$6:$W$505,AE$3,実績!$AI$6:$AI$505,"&lt;="&amp;$A167,実績!$AJ$6:$AJ$505,"&gt;"&amp;$A167,実績!$AK$6:$AK$505,"○")&gt;0,1,0))</f>
        <v>0</v>
      </c>
      <c r="AF167" s="39" t="n">
        <f aca="false">IF(AF$4=0,0,IF(COUNTIFS(実績!$W$6:$W$505,AF$3,実績!$AI$6:$AI$505,"&lt;="&amp;$A167,実績!$AJ$6:$AJ$505,"&gt;"&amp;$A167,実績!$AK$6:$AK$505,"○")&gt;0,1,0))</f>
        <v>0</v>
      </c>
      <c r="AG167" s="39" t="n">
        <f aca="false">IF(AG$4=0,0,IF(COUNTIFS(実績!$W$6:$W$505,AG$3,実績!$AI$6:$AI$505,"&lt;="&amp;$A167,実績!$AJ$6:$AJ$505,"&gt;"&amp;$A167,実績!$AK$6:$AK$505,"○")&gt;0,1,0))</f>
        <v>0</v>
      </c>
      <c r="AH167" s="39" t="n">
        <f aca="false">IF(AH$4=0,0,IF(COUNTIFS(実績!$W$6:$W$505,AH$3,実績!$AI$6:$AI$505,"&lt;="&amp;$A167,実績!$AJ$6:$AJ$505,"&gt;"&amp;$A167,実績!$AK$6:$AK$505,"○")&gt;0,1,0))</f>
        <v>0</v>
      </c>
      <c r="AI167" s="39" t="n">
        <f aca="false">IF(AI$4=0,0,IF(COUNTIFS(実績!$W$6:$W$505,AI$3,実績!$AI$6:$AI$505,"&lt;="&amp;$A167,実績!$AJ$6:$AJ$505,"&gt;"&amp;$A167,実績!$AK$6:$AK$505,"○")&gt;0,1,0))</f>
        <v>0</v>
      </c>
      <c r="AJ167" s="39" t="n">
        <f aca="false">IF(AJ$4=0,0,IF(COUNTIFS(実績!$W$6:$W$505,AJ$3,実績!$AI$6:$AI$505,"&lt;="&amp;$A167,実績!$AJ$6:$AJ$505,"&gt;"&amp;$A167,実績!$AK$6:$AK$505,"○")&gt;0,1,0))</f>
        <v>0</v>
      </c>
      <c r="AK167" s="39" t="n">
        <f aca="false">IF(AK$4=0,0,IF(COUNTIFS(実績!$W$6:$W$505,AK$3,実績!$AI$6:$AI$505,"&lt;="&amp;$A167,実績!$AJ$6:$AJ$505,"&gt;"&amp;$A167,実績!$AK$6:$AK$505,"○")&gt;0,1,0))</f>
        <v>0</v>
      </c>
      <c r="AL167" s="39" t="n">
        <f aca="false">IF(AL$4=0,0,IF(COUNTIFS(実績!$W$6:$W$505,AL$3,実績!$AI$6:$AI$505,"&lt;="&amp;$A167,実績!$AJ$6:$AJ$505,"&gt;"&amp;$A167,実績!$AK$6:$AK$505,"○")&gt;0,1,0))</f>
        <v>0</v>
      </c>
      <c r="AM167" s="39" t="n">
        <f aca="false">IF(AM$4=0,0,IF(COUNTIFS(実績!$W$6:$W$505,AM$3,実績!$AI$6:$AI$505,"&lt;="&amp;$A167,実績!$AJ$6:$AJ$505,"&gt;"&amp;$A167,実績!$AK$6:$AK$505,"○")&gt;0,1,0))</f>
        <v>0</v>
      </c>
      <c r="AN167" s="39" t="n">
        <f aca="false">IF(AN$4=0,0,IF(COUNTIFS(実績!$W$6:$W$505,AN$3,実績!$AI$6:$AI$505,"&lt;="&amp;$A167,実績!$AJ$6:$AJ$505,"&gt;"&amp;$A167,実績!$AK$6:$AK$505,"○")&gt;0,1,0))</f>
        <v>0</v>
      </c>
      <c r="AO167" s="39" t="n">
        <f aca="false">IF(AO$4=0,0,IF(COUNTIFS(実績!$W$6:$W$505,AO$3,実績!$AI$6:$AI$505,"&lt;="&amp;$A167,実績!$AJ$6:$AJ$505,"&gt;"&amp;$A167,実績!$AK$6:$AK$505,"○")&gt;0,1,0))</f>
        <v>0</v>
      </c>
      <c r="AP167" s="39" t="n">
        <f aca="false">IF(AP$4=0,0,IF(COUNTIFS(実績!$W$6:$W$505,AP$3,実績!$AI$6:$AI$505,"&lt;="&amp;$A167,実績!$AJ$6:$AJ$505,"&gt;"&amp;$A167,実績!$AK$6:$AK$505,"○")&gt;0,1,0))</f>
        <v>0</v>
      </c>
      <c r="AQ167" s="39" t="n">
        <f aca="false">IF(AQ$4=0,0,IF(COUNTIFS(実績!$W$6:$W$505,AQ$3,実績!$AI$6:$AI$505,"&lt;="&amp;$A167,実績!$AJ$6:$AJ$505,"&gt;"&amp;$A167,実績!$AK$6:$AK$505,"○")&gt;0,1,0))</f>
        <v>0</v>
      </c>
      <c r="AR167" s="39" t="n">
        <f aca="false">IF(AR$4=0,0,IF(COUNTIFS(実績!$W$6:$W$505,AR$3,実績!$AI$6:$AI$505,"&lt;="&amp;$A167,実績!$AJ$6:$AJ$505,"&gt;"&amp;$A167,実績!$AK$6:$AK$505,"○")&gt;0,1,0))</f>
        <v>0</v>
      </c>
      <c r="AS167" s="39" t="n">
        <f aca="false">IF(AS$4=0,0,IF(COUNTIFS(実績!$W$6:$W$505,AS$3,実績!$AI$6:$AI$505,"&lt;="&amp;$A167,実績!$AJ$6:$AJ$505,"&gt;"&amp;$A167,実績!$AK$6:$AK$505,"○")&gt;0,1,0))</f>
        <v>0</v>
      </c>
      <c r="AT167" s="39" t="n">
        <f aca="false">IF(AT$4=0,0,IF(COUNTIFS(実績!$W$6:$W$505,AT$3,実績!$AI$6:$AI$505,"&lt;="&amp;$A167,実績!$AJ$6:$AJ$505,"&gt;"&amp;$A167,実績!$AK$6:$AK$505,"○")&gt;0,1,0))</f>
        <v>0</v>
      </c>
      <c r="AU167" s="39" t="n">
        <f aca="false">IF(AU$4=0,0,IF(COUNTIFS(実績!$W$6:$W$505,AU$3,実績!$AI$6:$AI$505,"&lt;="&amp;$A167,実績!$AJ$6:$AJ$505,"&gt;"&amp;$A167,実績!$AK$6:$AK$505,"○")&gt;0,1,0))</f>
        <v>0</v>
      </c>
      <c r="AV167" s="39" t="n">
        <f aca="false">IF(AV$4=0,0,IF(COUNTIFS(実績!$W$6:$W$505,AV$3,実績!$AI$6:$AI$505,"&lt;="&amp;$A167,実績!$AJ$6:$AJ$505,"&gt;"&amp;$A167,実績!$AK$6:$AK$505,"○")&gt;0,1,0))</f>
        <v>0</v>
      </c>
      <c r="AW167" s="39" t="n">
        <f aca="false">IF(AW$4=0,0,IF(COUNTIFS(実績!$W$6:$W$505,AW$3,実績!$AI$6:$AI$505,"&lt;="&amp;$A167,実績!$AJ$6:$AJ$505,"&gt;"&amp;$A167,実績!$AK$6:$AK$505,"○")&gt;0,1,0))</f>
        <v>0</v>
      </c>
      <c r="AX167" s="39" t="n">
        <f aca="false">IF(AX$4=0,0,IF(COUNTIFS(実績!$W$6:$W$505,AX$3,実績!$AI$6:$AI$505,"&lt;="&amp;$A167,実績!$AJ$6:$AJ$505,"&gt;"&amp;$A167,実績!$AK$6:$AK$505,"○")&gt;0,1,0))</f>
        <v>0</v>
      </c>
      <c r="AY167" s="39" t="n">
        <f aca="false">IF(AY$4=0,0,IF(COUNTIFS(実績!$W$6:$W$505,AY$3,実績!$AI$6:$AI$505,"&lt;="&amp;$A167,実績!$AJ$6:$AJ$505,"&gt;"&amp;$A167,実績!$AK$6:$AK$505,"○")&gt;0,1,0))</f>
        <v>0</v>
      </c>
      <c r="AZ167" s="39" t="n">
        <f aca="false">IF(AZ$4=0,0,IF(COUNTIFS(実績!$W$6:$W$505,AZ$3,実績!$AI$6:$AI$505,"&lt;="&amp;$A167,実績!$AJ$6:$AJ$505,"&gt;"&amp;$A167,実績!$AK$6:$AK$505,"○")&gt;0,1,0))</f>
        <v>0</v>
      </c>
      <c r="BA167" s="39" t="n">
        <f aca="false">IF(BA$4=0,0,IF(COUNTIFS(実績!$W$6:$W$505,BA$3,実績!$AI$6:$AI$505,"&lt;="&amp;$A167,実績!$AJ$6:$AJ$505,"&gt;"&amp;$A167,実績!$AK$6:$AK$505,"○")&gt;0,1,0))</f>
        <v>0</v>
      </c>
      <c r="BB167" s="39" t="n">
        <f aca="false">IF(BB$4=0,0,IF(COUNTIFS(実績!$W$6:$W$505,BB$3,実績!$AI$6:$AI$505,"&lt;="&amp;$A167,実績!$AJ$6:$AJ$505,"&gt;"&amp;$A167,実績!$AK$6:$AK$505,"○")&gt;0,1,0))</f>
        <v>0</v>
      </c>
      <c r="BC167" s="39" t="n">
        <f aca="false">IF(BC$4=0,0,IF(COUNTIFS(実績!$W$6:$W$505,BC$3,実績!$AI$6:$AI$505,"&lt;="&amp;$A167,実績!$AJ$6:$AJ$505,"&gt;"&amp;$A167,実績!$AK$6:$AK$505,"○")&gt;0,1,0))</f>
        <v>0</v>
      </c>
      <c r="BD167" s="39" t="n">
        <f aca="false">IF(BD$4=0,0,IF(COUNTIFS(実績!$W$6:$W$505,BD$3,実績!$AI$6:$AI$505,"&lt;="&amp;$A167,実績!$AJ$6:$AJ$505,"&gt;"&amp;$A167,実績!$AK$6:$AK$505,"○")&gt;0,1,0))</f>
        <v>0</v>
      </c>
      <c r="BE167" s="39" t="n">
        <f aca="false">IF(BE$4=0,0,IF(COUNTIFS(実績!$W$6:$W$505,BE$3,実績!$AI$6:$AI$505,"&lt;="&amp;$A167,実績!$AJ$6:$AJ$505,"&gt;"&amp;$A167,実績!$AK$6:$AK$505,"○")&gt;0,1,0))</f>
        <v>0</v>
      </c>
      <c r="BF167" s="39" t="n">
        <f aca="false">IF(BF$4=0,0,IF(COUNTIFS(実績!$W$6:$W$505,BF$3,実績!$AI$6:$AI$505,"&lt;="&amp;$A167,実績!$AJ$6:$AJ$505,"&gt;"&amp;$A167,実績!$AK$6:$AK$505,"○")&gt;0,1,0))</f>
        <v>0</v>
      </c>
      <c r="BG167" s="39" t="n">
        <f aca="false">IF(BG$4=0,0,IF(COUNTIFS(実績!$W$6:$W$505,BG$3,実績!$AI$6:$AI$505,"&lt;="&amp;$A167,実績!$AJ$6:$AJ$505,"&gt;"&amp;$A167,実績!$AK$6:$AK$505,"○")&gt;0,1,0))</f>
        <v>0</v>
      </c>
      <c r="BH167" s="39" t="n">
        <f aca="false">IF(BH$4=0,0,IF(COUNTIFS(実績!$W$6:$W$505,BH$3,実績!$AI$6:$AI$505,"&lt;="&amp;$A167,実績!$AJ$6:$AJ$505,"&gt;"&amp;$A167,実績!$AK$6:$AK$505,"○")&gt;0,1,0))</f>
        <v>0</v>
      </c>
      <c r="BI167" s="39" t="n">
        <f aca="false">IF(BI$4=0,0,IF(COUNTIFS(実績!$W$6:$W$505,BI$3,実績!$AI$6:$AI$505,"&lt;="&amp;$A167,実績!$AJ$6:$AJ$505,"&gt;"&amp;$A167,実績!$AK$6:$AK$505,"○")&gt;0,1,0))</f>
        <v>0</v>
      </c>
      <c r="BJ167" s="39" t="n">
        <f aca="false">IF(BJ$4=0,0,IF(COUNTIFS(実績!$W$6:$W$505,BJ$3,実績!$AI$6:$AI$505,"&lt;="&amp;$A167,実績!$AJ$6:$AJ$505,"&gt;"&amp;$A167,実績!$AK$6:$AK$505,"○")&gt;0,1,0))</f>
        <v>0</v>
      </c>
      <c r="BK167" s="39" t="n">
        <f aca="false">IF(BK$4=0,0,IF(COUNTIFS(実績!$W$6:$W$505,BK$3,実績!$AI$6:$AI$505,"&lt;="&amp;$A167,実績!$AJ$6:$AJ$505,"&gt;"&amp;$A167,実績!$AK$6:$AK$505,"○")&gt;0,1,0))</f>
        <v>0</v>
      </c>
      <c r="BL167" s="39" t="n">
        <f aca="false">IF(BL$4=0,0,IF(COUNTIFS(実績!$W$6:$W$505,BL$3,実績!$AI$6:$AI$505,"&lt;="&amp;$A167,実績!$AJ$6:$AJ$505,"&gt;"&amp;$A167,実績!$AK$6:$AK$505,"○")&gt;0,1,0))</f>
        <v>0</v>
      </c>
      <c r="BM167" s="39" t="n">
        <f aca="false">IF(BM$4=0,0,IF(COUNTIFS(実績!$W$6:$W$505,BM$3,実績!$AI$6:$AI$505,"&lt;="&amp;$A167,実績!$AJ$6:$AJ$505,"&gt;"&amp;$A167,実績!$AK$6:$AK$505,"○")&gt;0,1,0))</f>
        <v>0</v>
      </c>
      <c r="BN167" s="39" t="n">
        <f aca="false">IF(BN$4=0,0,IF(COUNTIFS(実績!$W$6:$W$505,BN$3,実績!$AI$6:$AI$505,"&lt;="&amp;$A167,実績!$AJ$6:$AJ$505,"&gt;"&amp;$A167,実績!$AK$6:$AK$505,"○")&gt;0,1,0))</f>
        <v>0</v>
      </c>
      <c r="BO167" s="39" t="n">
        <f aca="false">IF(BO$4=0,0,IF(COUNTIFS(実績!$W$6:$W$505,BO$3,実績!$AI$6:$AI$505,"&lt;="&amp;$A167,実績!$AJ$6:$AJ$505,"&gt;"&amp;$A167,実績!$AK$6:$AK$505,"○")&gt;0,1,0))</f>
        <v>0</v>
      </c>
      <c r="BP167" s="39" t="n">
        <f aca="false">IF(BP$4=0,0,IF(COUNTIFS(実績!$W$6:$W$505,BP$3,実績!$AI$6:$AI$505,"&lt;="&amp;$A167,実績!$AJ$6:$AJ$505,"&gt;"&amp;$A167,実績!$AK$6:$AK$505,"○")&gt;0,1,0))</f>
        <v>0</v>
      </c>
      <c r="BQ167" s="39" t="n">
        <f aca="false">IF(BQ$4=0,0,IF(COUNTIFS(実績!$W$6:$W$505,BQ$3,実績!$AI$6:$AI$505,"&lt;="&amp;$A167,実績!$AJ$6:$AJ$505,"&gt;"&amp;$A167,実績!$AK$6:$AK$505,"○")&gt;0,1,0))</f>
        <v>0</v>
      </c>
      <c r="BR167" s="39" t="n">
        <f aca="false">IF(BR$4=0,0,IF(COUNTIFS(実績!$W$6:$W$505,BR$3,実績!$AI$6:$AI$505,"&lt;="&amp;$A167,実績!$AJ$6:$AJ$505,"&gt;"&amp;$A167,実績!$AK$6:$AK$505,"○")&gt;0,1,0))</f>
        <v>0</v>
      </c>
      <c r="BS167" s="39" t="n">
        <f aca="false">IF(BS$4=0,0,IF(COUNTIFS(実績!$W$6:$W$505,BS$3,実績!$AI$6:$AI$505,"&lt;="&amp;$A167,実績!$AJ$6:$AJ$505,"&gt;"&amp;$A167,実績!$AK$6:$AK$505,"○")&gt;0,1,0))</f>
        <v>0</v>
      </c>
      <c r="BT167" s="39" t="n">
        <f aca="false">IF(BT$4=0,0,IF(COUNTIFS(実績!$W$6:$W$505,BT$3,実績!$AI$6:$AI$505,"&lt;="&amp;$A167,実績!$AJ$6:$AJ$505,"&gt;"&amp;$A167,実績!$AK$6:$AK$505,"○")&gt;0,1,0))</f>
        <v>0</v>
      </c>
      <c r="BU167" s="39" t="n">
        <f aca="false">IF(BU$4=0,0,IF(COUNTIFS(実績!$W$6:$W$505,BU$3,実績!$AI$6:$AI$505,"&lt;="&amp;$A167,実績!$AJ$6:$AJ$505,"&gt;"&amp;$A167,実績!$AK$6:$AK$505,"○")&gt;0,1,0))</f>
        <v>0</v>
      </c>
      <c r="BV167" s="39" t="n">
        <f aca="false">IF(BV$4=0,0,IF(COUNTIFS(実績!$W$6:$W$505,BV$3,実績!$AI$6:$AI$505,"&lt;="&amp;$A167,実績!$AJ$6:$AJ$505,"&gt;"&amp;$A167,実績!$AK$6:$AK$505,"○")&gt;0,1,0))</f>
        <v>0</v>
      </c>
      <c r="BW167" s="39" t="n">
        <f aca="false">IF(BW$4=0,0,IF(COUNTIFS(実績!$W$6:$W$505,BW$3,実績!$AI$6:$AI$505,"&lt;="&amp;$A167,実績!$AJ$6:$AJ$505,"&gt;"&amp;$A167,実績!$AK$6:$AK$505,"○")&gt;0,1,0))</f>
        <v>0</v>
      </c>
      <c r="BX167" s="39" t="n">
        <f aca="false">IF(BX$4=0,0,IF(COUNTIFS(実績!$W$6:$W$505,BX$3,実績!$AI$6:$AI$505,"&lt;="&amp;$A167,実績!$AJ$6:$AJ$505,"&gt;"&amp;$A167,実績!$AK$6:$AK$505,"○")&gt;0,1,0))</f>
        <v>0</v>
      </c>
      <c r="BY167" s="39" t="n">
        <f aca="false">IF(BY$4=0,0,IF(COUNTIFS(実績!$W$6:$W$505,BY$3,実績!$AI$6:$AI$505,"&lt;="&amp;$A167,実績!$AJ$6:$AJ$505,"&gt;"&amp;$A167,実績!$AK$6:$AK$505,"○")&gt;0,1,0))</f>
        <v>0</v>
      </c>
      <c r="BZ167" s="39" t="n">
        <f aca="false">IF(BZ$4=0,0,IF(COUNTIFS(実績!$W$6:$W$505,BZ$3,実績!$AI$6:$AI$505,"&lt;="&amp;$A167,実績!$AJ$6:$AJ$505,"&gt;"&amp;$A167,実績!$AK$6:$AK$505,"○")&gt;0,1,0))</f>
        <v>0</v>
      </c>
      <c r="CA167" s="39" t="n">
        <f aca="false">IF(CA$4=0,0,IF(COUNTIFS(実績!$W$6:$W$505,CA$3,実績!$AI$6:$AI$505,"&lt;="&amp;$A167,実績!$AJ$6:$AJ$505,"&gt;"&amp;$A167,実績!$AK$6:$AK$505,"○")&gt;0,1,0))</f>
        <v>0</v>
      </c>
      <c r="CB167" s="39" t="n">
        <f aca="false">IF(CB$4=0,0,IF(COUNTIFS(実績!$W$6:$W$505,CB$3,実績!$AI$6:$AI$505,"&lt;="&amp;$A167,実績!$AJ$6:$AJ$505,"&gt;"&amp;$A167,実績!$AK$6:$AK$505,"○")&gt;0,1,0))</f>
        <v>0</v>
      </c>
      <c r="CC167" s="39" t="n">
        <f aca="false">IF(CC$4=0,0,IF(COUNTIFS(実績!$W$6:$W$505,CC$3,実績!$AI$6:$AI$505,"&lt;="&amp;$A167,実績!$AJ$6:$AJ$505,"&gt;"&amp;$A167,実績!$AK$6:$AK$505,"○")&gt;0,1,0))</f>
        <v>0</v>
      </c>
      <c r="CD167" s="39" t="n">
        <f aca="false">IF(CD$4=0,0,IF(COUNTIFS(実績!$W$6:$W$505,CD$3,実績!$AI$6:$AI$505,"&lt;="&amp;$A167,実績!$AJ$6:$AJ$505,"&gt;"&amp;$A167,実績!$AK$6:$AK$505,"○")&gt;0,1,0))</f>
        <v>0</v>
      </c>
      <c r="CE167" s="39" t="n">
        <f aca="false">IF(CE$4=0,0,IF(COUNTIFS(実績!$W$6:$W$505,CE$3,実績!$AI$6:$AI$505,"&lt;="&amp;$A167,実績!$AJ$6:$AJ$505,"&gt;"&amp;$A167,実績!$AK$6:$AK$505,"○")&gt;0,1,0))</f>
        <v>0</v>
      </c>
      <c r="CF167" s="39" t="n">
        <f aca="false">IF(CF$4=0,0,IF(COUNTIFS(実績!$W$6:$W$505,CF$3,実績!$AI$6:$AI$505,"&lt;="&amp;$A167,実績!$AJ$6:$AJ$505,"&gt;"&amp;$A167,実績!$AK$6:$AK$505,"○")&gt;0,1,0))</f>
        <v>0</v>
      </c>
      <c r="CG167" s="39" t="n">
        <f aca="false">IF(CG$4=0,0,IF(COUNTIFS(実績!$W$6:$W$505,CG$3,実績!$AI$6:$AI$505,"&lt;="&amp;$A167,実績!$AJ$6:$AJ$505,"&gt;"&amp;$A167,実績!$AK$6:$AK$505,"○")&gt;0,1,0))</f>
        <v>0</v>
      </c>
      <c r="CH167" s="39" t="n">
        <f aca="false">IF(CH$4=0,0,IF(COUNTIFS(実績!$W$6:$W$505,CH$3,実績!$AI$6:$AI$505,"&lt;="&amp;$A167,実績!$AJ$6:$AJ$505,"&gt;"&amp;$A167,実績!$AK$6:$AK$505,"○")&gt;0,1,0))</f>
        <v>0</v>
      </c>
      <c r="CI167" s="39" t="n">
        <f aca="false">IF(CI$4=0,0,IF(COUNTIFS(実績!$W$6:$W$505,CI$3,実績!$AI$6:$AI$505,"&lt;="&amp;$A167,実績!$AJ$6:$AJ$505,"&gt;"&amp;$A167,実績!$AK$6:$AK$505,"○")&gt;0,1,0))</f>
        <v>0</v>
      </c>
      <c r="CJ167" s="39" t="n">
        <f aca="false">IF(CJ$4=0,0,IF(COUNTIFS(実績!$W$6:$W$505,CJ$3,実績!$AI$6:$AI$505,"&lt;="&amp;$A167,実績!$AJ$6:$AJ$505,"&gt;"&amp;$A167,実績!$AK$6:$AK$505,"○")&gt;0,1,0))</f>
        <v>0</v>
      </c>
      <c r="CK167" s="39" t="n">
        <f aca="false">IF(CK$4=0,0,IF(COUNTIFS(実績!$W$6:$W$505,CK$3,実績!$AI$6:$AI$505,"&lt;="&amp;$A167,実績!$AJ$6:$AJ$505,"&gt;"&amp;$A167,実績!$AK$6:$AK$505,"○")&gt;0,1,0))</f>
        <v>0</v>
      </c>
      <c r="CL167" s="39" t="n">
        <f aca="false">IF(CL$4=0,0,IF(COUNTIFS(実績!$W$6:$W$505,CL$3,実績!$AI$6:$AI$505,"&lt;="&amp;$A167,実績!$AJ$6:$AJ$505,"&gt;"&amp;$A167,実績!$AK$6:$AK$505,"○")&gt;0,1,0))</f>
        <v>0</v>
      </c>
      <c r="CM167" s="39" t="n">
        <f aca="false">IF(CM$4=0,0,IF(COUNTIFS(実績!$W$6:$W$505,CM$3,実績!$AI$6:$AI$505,"&lt;="&amp;$A167,実績!$AJ$6:$AJ$505,"&gt;"&amp;$A167,実績!$AK$6:$AK$505,"○")&gt;0,1,0))</f>
        <v>0</v>
      </c>
      <c r="CN167" s="39" t="n">
        <f aca="false">IF(CN$4=0,0,IF(COUNTIFS(実績!$W$6:$W$505,CN$3,実績!$AI$6:$AI$505,"&lt;="&amp;$A167,実績!$AJ$6:$AJ$505,"&gt;"&amp;$A167,実績!$AK$6:$AK$505,"○")&gt;0,1,0))</f>
        <v>0</v>
      </c>
      <c r="CO167" s="39" t="n">
        <f aca="false">IF(CO$4=0,0,IF(COUNTIFS(実績!$W$6:$W$505,CO$3,実績!$AI$6:$AI$505,"&lt;="&amp;$A167,実績!$AJ$6:$AJ$505,"&gt;"&amp;$A167,実績!$AK$6:$AK$505,"○")&gt;0,1,0))</f>
        <v>0</v>
      </c>
      <c r="CP167" s="39" t="n">
        <f aca="false">IF(CP$4=0,0,IF(COUNTIFS(実績!$W$6:$W$505,CP$3,実績!$AI$6:$AI$505,"&lt;="&amp;$A167,実績!$AJ$6:$AJ$505,"&gt;"&amp;$A167,実績!$AK$6:$AK$505,"○")&gt;0,1,0))</f>
        <v>0</v>
      </c>
      <c r="CQ167" s="39" t="n">
        <f aca="false">IF(CQ$4=0,0,IF(COUNTIFS(実績!$W$6:$W$505,CQ$3,実績!$AI$6:$AI$505,"&lt;="&amp;$A167,実績!$AJ$6:$AJ$505,"&gt;"&amp;$A167,実績!$AK$6:$AK$505,"○")&gt;0,1,0))</f>
        <v>0</v>
      </c>
      <c r="CR167" s="39" t="n">
        <f aca="false">IF(CR$4=0,0,IF(COUNTIFS(実績!$W$6:$W$505,CR$3,実績!$AI$6:$AI$505,"&lt;="&amp;$A167,実績!$AJ$6:$AJ$505,"&gt;"&amp;$A167,実績!$AK$6:$AK$505,"○")&gt;0,1,0))</f>
        <v>0</v>
      </c>
      <c r="CS167" s="39" t="n">
        <f aca="false">IF(CS$4=0,0,IF(COUNTIFS(実績!$W$6:$W$505,CS$3,実績!$AI$6:$AI$505,"&lt;="&amp;$A167,実績!$AJ$6:$AJ$505,"&gt;"&amp;$A167,実績!$AK$6:$AK$505,"○")&gt;0,1,0))</f>
        <v>0</v>
      </c>
      <c r="CT167" s="39" t="n">
        <f aca="false">IF(CT$4=0,0,IF(COUNTIFS(実績!$W$6:$W$505,CT$3,実績!$AI$6:$AI$505,"&lt;="&amp;$A167,実績!$AJ$6:$AJ$505,"&gt;"&amp;$A167,実績!$AK$6:$AK$505,"○")&gt;0,1,0))</f>
        <v>0</v>
      </c>
      <c r="CU167" s="39" t="n">
        <f aca="false">IF(CU$4=0,0,IF(COUNTIFS(実績!$W$6:$W$505,CU$3,実績!$AI$6:$AI$505,"&lt;="&amp;$A167,実績!$AJ$6:$AJ$505,"&gt;"&amp;$A167,実績!$AK$6:$AK$505,"○")&gt;0,1,0))</f>
        <v>0</v>
      </c>
      <c r="CV167" s="39" t="n">
        <f aca="false">IF(CV$4=0,0,IF(COUNTIFS(実績!$W$6:$W$505,CV$3,実績!$AI$6:$AI$505,"&lt;="&amp;$A167,実績!$AJ$6:$AJ$505,"&gt;"&amp;$A167,実績!$AK$6:$AK$505,"○")&gt;0,1,0))</f>
        <v>0</v>
      </c>
      <c r="CW167" s="39" t="n">
        <f aca="false">IF(CW$4=0,0,IF(COUNTIFS(実績!$W$6:$W$505,CW$3,実績!$AI$6:$AI$505,"&lt;="&amp;$A167,実績!$AJ$6:$AJ$505,"&gt;"&amp;$A167,実績!$AK$6:$AK$505,"○")&gt;0,1,0))</f>
        <v>0</v>
      </c>
      <c r="CX167" s="39" t="n">
        <f aca="false">IF(CX$4=0,0,IF(COUNTIFS(実績!$W$6:$W$505,CX$3,実績!$AI$6:$AI$505,"&lt;="&amp;$A167,実績!$AJ$6:$AJ$505,"&gt;"&amp;$A167,実績!$AK$6:$AK$505,"○")&gt;0,1,0))</f>
        <v>0</v>
      </c>
      <c r="CY167" s="39" t="n">
        <f aca="false">IF(CY$4=0,0,IF(COUNTIFS(実績!$W$6:$W$505,CY$3,実績!$AI$6:$AI$505,"&lt;="&amp;$A167,実績!$AJ$6:$AJ$505,"&gt;"&amp;$A167,実績!$AK$6:$AK$505,"○")&gt;0,1,0))</f>
        <v>0</v>
      </c>
      <c r="CZ167" s="39" t="n">
        <f aca="false">IF(CZ$4=0,0,IF(COUNTIFS(実績!$W$6:$W$505,CZ$3,実績!$AI$6:$AI$505,"&lt;="&amp;$A167,実績!$AJ$6:$AJ$505,"&gt;"&amp;$A167,実績!$AK$6:$AK$505,"○")&gt;0,1,0))</f>
        <v>0</v>
      </c>
      <c r="DA167" s="39" t="n">
        <f aca="false">IF(DA$4=0,0,IF(COUNTIFS(実績!$W$6:$W$505,DA$3,実績!$AI$6:$AI$505,"&lt;="&amp;$A167,実績!$AJ$6:$AJ$505,"&gt;"&amp;$A167,実績!$AK$6:$AK$505,"○")&gt;0,1,0))</f>
        <v>0</v>
      </c>
      <c r="DB167" s="39" t="n">
        <f aca="false">IF(DB$4=0,0,IF(COUNTIFS(実績!$W$6:$W$505,DB$3,実績!$AI$6:$AI$505,"&lt;="&amp;$A167,実績!$AJ$6:$AJ$505,"&gt;"&amp;$A167,実績!$AK$6:$AK$505,"○")&gt;0,1,0))</f>
        <v>0</v>
      </c>
      <c r="DC167" s="39" t="n">
        <f aca="false">IF(DC$4=0,0,IF(COUNTIFS(実績!$W$6:$W$505,DC$3,実績!$AI$6:$AI$505,"&lt;="&amp;$A167,実績!$AJ$6:$AJ$505,"&gt;"&amp;$A167,実績!$AK$6:$AK$505,"○")&gt;0,1,0))</f>
        <v>0</v>
      </c>
      <c r="DD167" s="39" t="n">
        <f aca="false">IF(DD$4=0,0,IF(COUNTIFS(実績!$W$6:$W$505,DD$3,実績!$AI$6:$AI$505,"&lt;="&amp;$A167,実績!$AJ$6:$AJ$505,"&gt;"&amp;$A167,実績!$AK$6:$AK$505,"○")&gt;0,1,0))</f>
        <v>0</v>
      </c>
      <c r="DE167" s="39" t="n">
        <f aca="false">IF(DE$4=0,0,IF(COUNTIFS(実績!$W$6:$W$505,DE$3,実績!$AI$6:$AI$505,"&lt;="&amp;$A167,実績!$AJ$6:$AJ$505,"&gt;"&amp;$A167,実績!$AK$6:$AK$505,"○")&gt;0,1,0))</f>
        <v>0</v>
      </c>
      <c r="DF167" s="39" t="n">
        <f aca="false">IF(DF$4=0,0,IF(COUNTIFS(実績!$W$6:$W$505,DF$3,実績!$AI$6:$AI$505,"&lt;="&amp;$A167,実績!$AJ$6:$AJ$505,"&gt;"&amp;$A167,実績!$AK$6:$AK$505,"○")&gt;0,1,0))</f>
        <v>0</v>
      </c>
      <c r="DG167" s="39" t="n">
        <f aca="false">IF(DG$4=0,0,IF(COUNTIFS(実績!$W$6:$W$505,DG$3,実績!$AI$6:$AI$505,"&lt;="&amp;$A167,実績!$AJ$6:$AJ$505,"&gt;"&amp;$A167,実績!$AK$6:$AK$505,"○")&gt;0,1,0))</f>
        <v>0</v>
      </c>
      <c r="DH167" s="39" t="n">
        <f aca="false">IF(DH$4=0,0,IF(COUNTIFS(実績!$W$6:$W$505,DH$3,実績!$AI$6:$AI$505,"&lt;="&amp;$A167,実績!$AJ$6:$AJ$505,"&gt;"&amp;$A167,実績!$AK$6:$AK$505,"○")&gt;0,1,0))</f>
        <v>0</v>
      </c>
      <c r="DI167" s="39" t="n">
        <f aca="false">IF(DI$4=0,0,IF(COUNTIFS(実績!$W$6:$W$505,DI$3,実績!$AI$6:$AI$505,"&lt;="&amp;$A167,実績!$AJ$6:$AJ$505,"&gt;"&amp;$A167,実績!$AK$6:$AK$505,"○")&gt;0,1,0))</f>
        <v>0</v>
      </c>
      <c r="DJ167" s="39" t="n">
        <f aca="false">IF(DJ$4=0,0,IF(COUNTIFS(実績!$W$6:$W$505,DJ$3,実績!$AI$6:$AI$505,"&lt;="&amp;$A167,実績!$AJ$6:$AJ$505,"&gt;"&amp;$A167,実績!$AK$6:$AK$505,"○")&gt;0,1,0))</f>
        <v>0</v>
      </c>
      <c r="DK167" s="39" t="n">
        <f aca="false">IF(DK$4=0,0,IF(COUNTIFS(実績!$W$6:$W$505,DK$3,実績!$AI$6:$AI$505,"&lt;="&amp;$A167,実績!$AJ$6:$AJ$505,"&gt;"&amp;$A167,実績!$AK$6:$AK$505,"○")&gt;0,1,0))</f>
        <v>0</v>
      </c>
      <c r="DL167" s="39" t="n">
        <f aca="false">IF(DL$4=0,0,IF(COUNTIFS(実績!$W$6:$W$505,DL$3,実績!$AI$6:$AI$505,"&lt;="&amp;$A167,実績!$AJ$6:$AJ$505,"&gt;"&amp;$A167,実績!$AK$6:$AK$505,"○")&gt;0,1,0))</f>
        <v>0</v>
      </c>
      <c r="DM167" s="39" t="n">
        <f aca="false">IF(DM$4=0,0,IF(COUNTIFS(実績!$W$6:$W$505,DM$3,実績!$AI$6:$AI$505,"&lt;="&amp;$A167,実績!$AJ$6:$AJ$505,"&gt;"&amp;$A167,実績!$AK$6:$AK$505,"○")&gt;0,1,0))</f>
        <v>0</v>
      </c>
      <c r="DN167" s="39" t="n">
        <f aca="false">IF(DN$4=0,0,IF(COUNTIFS(実績!$W$6:$W$505,DN$3,実績!$AI$6:$AI$505,"&lt;="&amp;$A167,実績!$AJ$6:$AJ$505,"&gt;"&amp;$A167,実績!$AK$6:$AK$505,"○")&gt;0,1,0))</f>
        <v>0</v>
      </c>
      <c r="DO167" s="39" t="n">
        <f aca="false">IF(DO$4=0,0,IF(COUNTIFS(実績!$W$6:$W$505,DO$3,実績!$AI$6:$AI$505,"&lt;="&amp;$A167,実績!$AJ$6:$AJ$505,"&gt;"&amp;$A167,実績!$AK$6:$AK$505,"○")&gt;0,1,0))</f>
        <v>0</v>
      </c>
      <c r="DP167" s="39" t="n">
        <f aca="false">IF(DP$4=0,0,IF(COUNTIFS(実績!$W$6:$W$505,DP$3,実績!$AI$6:$AI$505,"&lt;="&amp;$A167,実績!$AJ$6:$AJ$505,"&gt;"&amp;$A167,実績!$AK$6:$AK$505,"○")&gt;0,1,0))</f>
        <v>0</v>
      </c>
      <c r="DQ167" s="39" t="n">
        <f aca="false">IF(DQ$4=0,0,IF(COUNTIFS(実績!$W$6:$W$505,DQ$3,実績!$AI$6:$AI$505,"&lt;="&amp;$A167,実績!$AJ$6:$AJ$505,"&gt;"&amp;$A167,実績!$AK$6:$AK$505,"○")&gt;0,1,0))</f>
        <v>0</v>
      </c>
      <c r="DR167" s="39" t="n">
        <f aca="false">IF(DR$4=0,0,IF(COUNTIFS(実績!$W$6:$W$505,DR$3,実績!$AI$6:$AI$505,"&lt;="&amp;$A167,実績!$AJ$6:$AJ$505,"&gt;"&amp;$A167,実績!$AK$6:$AK$505,"○")&gt;0,1,0))</f>
        <v>0</v>
      </c>
      <c r="DS167" s="39" t="n">
        <f aca="false">SUM(C167:DR167)</f>
        <v>0</v>
      </c>
      <c r="DT167" s="39" t="n">
        <f aca="false">SUMPRODUCT((実績!$C$6:$C$505="○")*ISNUMBER(実績!$AM$6:$AM$505)*(実績!$AM$6:$AM$505&lt;=$A167)*(実績!$AN$6:$AN$505&gt;$A167))</f>
        <v>0</v>
      </c>
      <c r="DU167" s="39" t="n">
        <f aca="false">SUMIF($C$2:$DR$2,"製鉄曳船",C167:DR167)</f>
        <v>0</v>
      </c>
      <c r="DV167" s="39" t="n">
        <f aca="false">SUMIF($C$2:$DR$2,"西日本海運",C167:DR167)</f>
        <v>0</v>
      </c>
    </row>
    <row r="168" customFormat="false" ht="15" hidden="false" customHeight="false" outlineLevel="0" collapsed="false">
      <c r="A168" s="0" t="n">
        <v>810</v>
      </c>
      <c r="B168" s="38" t="n">
        <f aca="false">A168/1440</f>
        <v>0.5625</v>
      </c>
      <c r="C168" s="39" t="n">
        <f aca="false">IF(C$4=0,0,IF(COUNTIFS(実績!$W$6:$W$505,C$3,実績!$AI$6:$AI$505,"&lt;="&amp;$A168,実績!$AJ$6:$AJ$505,"&gt;"&amp;$A168,実績!$AK$6:$AK$505,"○")&gt;0,1,0))</f>
        <v>0</v>
      </c>
      <c r="D168" s="39" t="n">
        <f aca="false">IF(D$4=0,0,IF(COUNTIFS(実績!$W$6:$W$505,D$3,実績!$AI$6:$AI$505,"&lt;="&amp;$A168,実績!$AJ$6:$AJ$505,"&gt;"&amp;$A168,実績!$AK$6:$AK$505,"○")&gt;0,1,0))</f>
        <v>0</v>
      </c>
      <c r="E168" s="39" t="n">
        <f aca="false">IF(E$4=0,0,IF(COUNTIFS(実績!$W$6:$W$505,E$3,実績!$AI$6:$AI$505,"&lt;="&amp;$A168,実績!$AJ$6:$AJ$505,"&gt;"&amp;$A168,実績!$AK$6:$AK$505,"○")&gt;0,1,0))</f>
        <v>0</v>
      </c>
      <c r="F168" s="39" t="n">
        <f aca="false">IF(F$4=0,0,IF(COUNTIFS(実績!$W$6:$W$505,F$3,実績!$AI$6:$AI$505,"&lt;="&amp;$A168,実績!$AJ$6:$AJ$505,"&gt;"&amp;$A168,実績!$AK$6:$AK$505,"○")&gt;0,1,0))</f>
        <v>0</v>
      </c>
      <c r="G168" s="39" t="n">
        <f aca="false">IF(G$4=0,0,IF(COUNTIFS(実績!$W$6:$W$505,G$3,実績!$AI$6:$AI$505,"&lt;="&amp;$A168,実績!$AJ$6:$AJ$505,"&gt;"&amp;$A168,実績!$AK$6:$AK$505,"○")&gt;0,1,0))</f>
        <v>0</v>
      </c>
      <c r="H168" s="39" t="n">
        <f aca="false">IF(H$4=0,0,IF(COUNTIFS(実績!$W$6:$W$505,H$3,実績!$AI$6:$AI$505,"&lt;="&amp;$A168,実績!$AJ$6:$AJ$505,"&gt;"&amp;$A168,実績!$AK$6:$AK$505,"○")&gt;0,1,0))</f>
        <v>0</v>
      </c>
      <c r="I168" s="39" t="n">
        <f aca="false">IF(I$4=0,0,IF(COUNTIFS(実績!$W$6:$W$505,I$3,実績!$AI$6:$AI$505,"&lt;="&amp;$A168,実績!$AJ$6:$AJ$505,"&gt;"&amp;$A168,実績!$AK$6:$AK$505,"○")&gt;0,1,0))</f>
        <v>0</v>
      </c>
      <c r="J168" s="39" t="n">
        <f aca="false">IF(J$4=0,0,IF(COUNTIFS(実績!$W$6:$W$505,J$3,実績!$AI$6:$AI$505,"&lt;="&amp;$A168,実績!$AJ$6:$AJ$505,"&gt;"&amp;$A168,実績!$AK$6:$AK$505,"○")&gt;0,1,0))</f>
        <v>0</v>
      </c>
      <c r="K168" s="39" t="n">
        <f aca="false">IF(K$4=0,0,IF(COUNTIFS(実績!$W$6:$W$505,K$3,実績!$AI$6:$AI$505,"&lt;="&amp;$A168,実績!$AJ$6:$AJ$505,"&gt;"&amp;$A168,実績!$AK$6:$AK$505,"○")&gt;0,1,0))</f>
        <v>0</v>
      </c>
      <c r="L168" s="39" t="n">
        <f aca="false">IF(L$4=0,0,IF(COUNTIFS(実績!$W$6:$W$505,L$3,実績!$AI$6:$AI$505,"&lt;="&amp;$A168,実績!$AJ$6:$AJ$505,"&gt;"&amp;$A168,実績!$AK$6:$AK$505,"○")&gt;0,1,0))</f>
        <v>0</v>
      </c>
      <c r="M168" s="39" t="n">
        <f aca="false">IF(M$4=0,0,IF(COUNTIFS(実績!$W$6:$W$505,M$3,実績!$AI$6:$AI$505,"&lt;="&amp;$A168,実績!$AJ$6:$AJ$505,"&gt;"&amp;$A168,実績!$AK$6:$AK$505,"○")&gt;0,1,0))</f>
        <v>0</v>
      </c>
      <c r="N168" s="39" t="n">
        <f aca="false">IF(N$4=0,0,IF(COUNTIFS(実績!$W$6:$W$505,N$3,実績!$AI$6:$AI$505,"&lt;="&amp;$A168,実績!$AJ$6:$AJ$505,"&gt;"&amp;$A168,実績!$AK$6:$AK$505,"○")&gt;0,1,0))</f>
        <v>0</v>
      </c>
      <c r="O168" s="39" t="n">
        <f aca="false">IF(O$4=0,0,IF(COUNTIFS(実績!$W$6:$W$505,O$3,実績!$AI$6:$AI$505,"&lt;="&amp;$A168,実績!$AJ$6:$AJ$505,"&gt;"&amp;$A168,実績!$AK$6:$AK$505,"○")&gt;0,1,0))</f>
        <v>0</v>
      </c>
      <c r="P168" s="39" t="n">
        <f aca="false">IF(P$4=0,0,IF(COUNTIFS(実績!$W$6:$W$505,P$3,実績!$AI$6:$AI$505,"&lt;="&amp;$A168,実績!$AJ$6:$AJ$505,"&gt;"&amp;$A168,実績!$AK$6:$AK$505,"○")&gt;0,1,0))</f>
        <v>0</v>
      </c>
      <c r="Q168" s="39" t="n">
        <f aca="false">IF(Q$4=0,0,IF(COUNTIFS(実績!$W$6:$W$505,Q$3,実績!$AI$6:$AI$505,"&lt;="&amp;$A168,実績!$AJ$6:$AJ$505,"&gt;"&amp;$A168,実績!$AK$6:$AK$505,"○")&gt;0,1,0))</f>
        <v>0</v>
      </c>
      <c r="R168" s="39" t="n">
        <f aca="false">IF(R$4=0,0,IF(COUNTIFS(実績!$W$6:$W$505,R$3,実績!$AI$6:$AI$505,"&lt;="&amp;$A168,実績!$AJ$6:$AJ$505,"&gt;"&amp;$A168,実績!$AK$6:$AK$505,"○")&gt;0,1,0))</f>
        <v>0</v>
      </c>
      <c r="S168" s="39" t="n">
        <f aca="false">IF(S$4=0,0,IF(COUNTIFS(実績!$W$6:$W$505,S$3,実績!$AI$6:$AI$505,"&lt;="&amp;$A168,実績!$AJ$6:$AJ$505,"&gt;"&amp;$A168,実績!$AK$6:$AK$505,"○")&gt;0,1,0))</f>
        <v>0</v>
      </c>
      <c r="T168" s="39" t="n">
        <f aca="false">IF(T$4=0,0,IF(COUNTIFS(実績!$W$6:$W$505,T$3,実績!$AI$6:$AI$505,"&lt;="&amp;$A168,実績!$AJ$6:$AJ$505,"&gt;"&amp;$A168,実績!$AK$6:$AK$505,"○")&gt;0,1,0))</f>
        <v>0</v>
      </c>
      <c r="U168" s="39" t="n">
        <f aca="false">IF(U$4=0,0,IF(COUNTIFS(実績!$W$6:$W$505,U$3,実績!$AI$6:$AI$505,"&lt;="&amp;$A168,実績!$AJ$6:$AJ$505,"&gt;"&amp;$A168,実績!$AK$6:$AK$505,"○")&gt;0,1,0))</f>
        <v>0</v>
      </c>
      <c r="V168" s="39" t="n">
        <f aca="false">IF(V$4=0,0,IF(COUNTIFS(実績!$W$6:$W$505,V$3,実績!$AI$6:$AI$505,"&lt;="&amp;$A168,実績!$AJ$6:$AJ$505,"&gt;"&amp;$A168,実績!$AK$6:$AK$505,"○")&gt;0,1,0))</f>
        <v>0</v>
      </c>
      <c r="W168" s="39" t="n">
        <f aca="false">IF(W$4=0,0,IF(COUNTIFS(実績!$W$6:$W$505,W$3,実績!$AI$6:$AI$505,"&lt;="&amp;$A168,実績!$AJ$6:$AJ$505,"&gt;"&amp;$A168,実績!$AK$6:$AK$505,"○")&gt;0,1,0))</f>
        <v>0</v>
      </c>
      <c r="X168" s="39" t="n">
        <f aca="false">IF(X$4=0,0,IF(COUNTIFS(実績!$W$6:$W$505,X$3,実績!$AI$6:$AI$505,"&lt;="&amp;$A168,実績!$AJ$6:$AJ$505,"&gt;"&amp;$A168,実績!$AK$6:$AK$505,"○")&gt;0,1,0))</f>
        <v>0</v>
      </c>
      <c r="Y168" s="39" t="n">
        <f aca="false">IF(Y$4=0,0,IF(COUNTIFS(実績!$W$6:$W$505,Y$3,実績!$AI$6:$AI$505,"&lt;="&amp;$A168,実績!$AJ$6:$AJ$505,"&gt;"&amp;$A168,実績!$AK$6:$AK$505,"○")&gt;0,1,0))</f>
        <v>0</v>
      </c>
      <c r="Z168" s="39" t="n">
        <f aca="false">IF(Z$4=0,0,IF(COUNTIFS(実績!$W$6:$W$505,Z$3,実績!$AI$6:$AI$505,"&lt;="&amp;$A168,実績!$AJ$6:$AJ$505,"&gt;"&amp;$A168,実績!$AK$6:$AK$505,"○")&gt;0,1,0))</f>
        <v>0</v>
      </c>
      <c r="AA168" s="39" t="n">
        <f aca="false">IF(AA$4=0,0,IF(COUNTIFS(実績!$W$6:$W$505,AA$3,実績!$AI$6:$AI$505,"&lt;="&amp;$A168,実績!$AJ$6:$AJ$505,"&gt;"&amp;$A168,実績!$AK$6:$AK$505,"○")&gt;0,1,0))</f>
        <v>0</v>
      </c>
      <c r="AB168" s="39" t="n">
        <f aca="false">IF(AB$4=0,0,IF(COUNTIFS(実績!$W$6:$W$505,AB$3,実績!$AI$6:$AI$505,"&lt;="&amp;$A168,実績!$AJ$6:$AJ$505,"&gt;"&amp;$A168,実績!$AK$6:$AK$505,"○")&gt;0,1,0))</f>
        <v>0</v>
      </c>
      <c r="AC168" s="39" t="n">
        <f aca="false">IF(AC$4=0,0,IF(COUNTIFS(実績!$W$6:$W$505,AC$3,実績!$AI$6:$AI$505,"&lt;="&amp;$A168,実績!$AJ$6:$AJ$505,"&gt;"&amp;$A168,実績!$AK$6:$AK$505,"○")&gt;0,1,0))</f>
        <v>0</v>
      </c>
      <c r="AD168" s="39" t="n">
        <f aca="false">IF(AD$4=0,0,IF(COUNTIFS(実績!$W$6:$W$505,AD$3,実績!$AI$6:$AI$505,"&lt;="&amp;$A168,実績!$AJ$6:$AJ$505,"&gt;"&amp;$A168,実績!$AK$6:$AK$505,"○")&gt;0,1,0))</f>
        <v>0</v>
      </c>
      <c r="AE168" s="39" t="n">
        <f aca="false">IF(AE$4=0,0,IF(COUNTIFS(実績!$W$6:$W$505,AE$3,実績!$AI$6:$AI$505,"&lt;="&amp;$A168,実績!$AJ$6:$AJ$505,"&gt;"&amp;$A168,実績!$AK$6:$AK$505,"○")&gt;0,1,0))</f>
        <v>0</v>
      </c>
      <c r="AF168" s="39" t="n">
        <f aca="false">IF(AF$4=0,0,IF(COUNTIFS(実績!$W$6:$W$505,AF$3,実績!$AI$6:$AI$505,"&lt;="&amp;$A168,実績!$AJ$6:$AJ$505,"&gt;"&amp;$A168,実績!$AK$6:$AK$505,"○")&gt;0,1,0))</f>
        <v>0</v>
      </c>
      <c r="AG168" s="39" t="n">
        <f aca="false">IF(AG$4=0,0,IF(COUNTIFS(実績!$W$6:$W$505,AG$3,実績!$AI$6:$AI$505,"&lt;="&amp;$A168,実績!$AJ$6:$AJ$505,"&gt;"&amp;$A168,実績!$AK$6:$AK$505,"○")&gt;0,1,0))</f>
        <v>0</v>
      </c>
      <c r="AH168" s="39" t="n">
        <f aca="false">IF(AH$4=0,0,IF(COUNTIFS(実績!$W$6:$W$505,AH$3,実績!$AI$6:$AI$505,"&lt;="&amp;$A168,実績!$AJ$6:$AJ$505,"&gt;"&amp;$A168,実績!$AK$6:$AK$505,"○")&gt;0,1,0))</f>
        <v>0</v>
      </c>
      <c r="AI168" s="39" t="n">
        <f aca="false">IF(AI$4=0,0,IF(COUNTIFS(実績!$W$6:$W$505,AI$3,実績!$AI$6:$AI$505,"&lt;="&amp;$A168,実績!$AJ$6:$AJ$505,"&gt;"&amp;$A168,実績!$AK$6:$AK$505,"○")&gt;0,1,0))</f>
        <v>0</v>
      </c>
      <c r="AJ168" s="39" t="n">
        <f aca="false">IF(AJ$4=0,0,IF(COUNTIFS(実績!$W$6:$W$505,AJ$3,実績!$AI$6:$AI$505,"&lt;="&amp;$A168,実績!$AJ$6:$AJ$505,"&gt;"&amp;$A168,実績!$AK$6:$AK$505,"○")&gt;0,1,0))</f>
        <v>0</v>
      </c>
      <c r="AK168" s="39" t="n">
        <f aca="false">IF(AK$4=0,0,IF(COUNTIFS(実績!$W$6:$W$505,AK$3,実績!$AI$6:$AI$505,"&lt;="&amp;$A168,実績!$AJ$6:$AJ$505,"&gt;"&amp;$A168,実績!$AK$6:$AK$505,"○")&gt;0,1,0))</f>
        <v>0</v>
      </c>
      <c r="AL168" s="39" t="n">
        <f aca="false">IF(AL$4=0,0,IF(COUNTIFS(実績!$W$6:$W$505,AL$3,実績!$AI$6:$AI$505,"&lt;="&amp;$A168,実績!$AJ$6:$AJ$505,"&gt;"&amp;$A168,実績!$AK$6:$AK$505,"○")&gt;0,1,0))</f>
        <v>0</v>
      </c>
      <c r="AM168" s="39" t="n">
        <f aca="false">IF(AM$4=0,0,IF(COUNTIFS(実績!$W$6:$W$505,AM$3,実績!$AI$6:$AI$505,"&lt;="&amp;$A168,実績!$AJ$6:$AJ$505,"&gt;"&amp;$A168,実績!$AK$6:$AK$505,"○")&gt;0,1,0))</f>
        <v>0</v>
      </c>
      <c r="AN168" s="39" t="n">
        <f aca="false">IF(AN$4=0,0,IF(COUNTIFS(実績!$W$6:$W$505,AN$3,実績!$AI$6:$AI$505,"&lt;="&amp;$A168,実績!$AJ$6:$AJ$505,"&gt;"&amp;$A168,実績!$AK$6:$AK$505,"○")&gt;0,1,0))</f>
        <v>0</v>
      </c>
      <c r="AO168" s="39" t="n">
        <f aca="false">IF(AO$4=0,0,IF(COUNTIFS(実績!$W$6:$W$505,AO$3,実績!$AI$6:$AI$505,"&lt;="&amp;$A168,実績!$AJ$6:$AJ$505,"&gt;"&amp;$A168,実績!$AK$6:$AK$505,"○")&gt;0,1,0))</f>
        <v>0</v>
      </c>
      <c r="AP168" s="39" t="n">
        <f aca="false">IF(AP$4=0,0,IF(COUNTIFS(実績!$W$6:$W$505,AP$3,実績!$AI$6:$AI$505,"&lt;="&amp;$A168,実績!$AJ$6:$AJ$505,"&gt;"&amp;$A168,実績!$AK$6:$AK$505,"○")&gt;0,1,0))</f>
        <v>0</v>
      </c>
      <c r="AQ168" s="39" t="n">
        <f aca="false">IF(AQ$4=0,0,IF(COUNTIFS(実績!$W$6:$W$505,AQ$3,実績!$AI$6:$AI$505,"&lt;="&amp;$A168,実績!$AJ$6:$AJ$505,"&gt;"&amp;$A168,実績!$AK$6:$AK$505,"○")&gt;0,1,0))</f>
        <v>0</v>
      </c>
      <c r="AR168" s="39" t="n">
        <f aca="false">IF(AR$4=0,0,IF(COUNTIFS(実績!$W$6:$W$505,AR$3,実績!$AI$6:$AI$505,"&lt;="&amp;$A168,実績!$AJ$6:$AJ$505,"&gt;"&amp;$A168,実績!$AK$6:$AK$505,"○")&gt;0,1,0))</f>
        <v>0</v>
      </c>
      <c r="AS168" s="39" t="n">
        <f aca="false">IF(AS$4=0,0,IF(COUNTIFS(実績!$W$6:$W$505,AS$3,実績!$AI$6:$AI$505,"&lt;="&amp;$A168,実績!$AJ$6:$AJ$505,"&gt;"&amp;$A168,実績!$AK$6:$AK$505,"○")&gt;0,1,0))</f>
        <v>0</v>
      </c>
      <c r="AT168" s="39" t="n">
        <f aca="false">IF(AT$4=0,0,IF(COUNTIFS(実績!$W$6:$W$505,AT$3,実績!$AI$6:$AI$505,"&lt;="&amp;$A168,実績!$AJ$6:$AJ$505,"&gt;"&amp;$A168,実績!$AK$6:$AK$505,"○")&gt;0,1,0))</f>
        <v>0</v>
      </c>
      <c r="AU168" s="39" t="n">
        <f aca="false">IF(AU$4=0,0,IF(COUNTIFS(実績!$W$6:$W$505,AU$3,実績!$AI$6:$AI$505,"&lt;="&amp;$A168,実績!$AJ$6:$AJ$505,"&gt;"&amp;$A168,実績!$AK$6:$AK$505,"○")&gt;0,1,0))</f>
        <v>0</v>
      </c>
      <c r="AV168" s="39" t="n">
        <f aca="false">IF(AV$4=0,0,IF(COUNTIFS(実績!$W$6:$W$505,AV$3,実績!$AI$6:$AI$505,"&lt;="&amp;$A168,実績!$AJ$6:$AJ$505,"&gt;"&amp;$A168,実績!$AK$6:$AK$505,"○")&gt;0,1,0))</f>
        <v>0</v>
      </c>
      <c r="AW168" s="39" t="n">
        <f aca="false">IF(AW$4=0,0,IF(COUNTIFS(実績!$W$6:$W$505,AW$3,実績!$AI$6:$AI$505,"&lt;="&amp;$A168,実績!$AJ$6:$AJ$505,"&gt;"&amp;$A168,実績!$AK$6:$AK$505,"○")&gt;0,1,0))</f>
        <v>0</v>
      </c>
      <c r="AX168" s="39" t="n">
        <f aca="false">IF(AX$4=0,0,IF(COUNTIFS(実績!$W$6:$W$505,AX$3,実績!$AI$6:$AI$505,"&lt;="&amp;$A168,実績!$AJ$6:$AJ$505,"&gt;"&amp;$A168,実績!$AK$6:$AK$505,"○")&gt;0,1,0))</f>
        <v>0</v>
      </c>
      <c r="AY168" s="39" t="n">
        <f aca="false">IF(AY$4=0,0,IF(COUNTIFS(実績!$W$6:$W$505,AY$3,実績!$AI$6:$AI$505,"&lt;="&amp;$A168,実績!$AJ$6:$AJ$505,"&gt;"&amp;$A168,実績!$AK$6:$AK$505,"○")&gt;0,1,0))</f>
        <v>0</v>
      </c>
      <c r="AZ168" s="39" t="n">
        <f aca="false">IF(AZ$4=0,0,IF(COUNTIFS(実績!$W$6:$W$505,AZ$3,実績!$AI$6:$AI$505,"&lt;="&amp;$A168,実績!$AJ$6:$AJ$505,"&gt;"&amp;$A168,実績!$AK$6:$AK$505,"○")&gt;0,1,0))</f>
        <v>0</v>
      </c>
      <c r="BA168" s="39" t="n">
        <f aca="false">IF(BA$4=0,0,IF(COUNTIFS(実績!$W$6:$W$505,BA$3,実績!$AI$6:$AI$505,"&lt;="&amp;$A168,実績!$AJ$6:$AJ$505,"&gt;"&amp;$A168,実績!$AK$6:$AK$505,"○")&gt;0,1,0))</f>
        <v>0</v>
      </c>
      <c r="BB168" s="39" t="n">
        <f aca="false">IF(BB$4=0,0,IF(COUNTIFS(実績!$W$6:$W$505,BB$3,実績!$AI$6:$AI$505,"&lt;="&amp;$A168,実績!$AJ$6:$AJ$505,"&gt;"&amp;$A168,実績!$AK$6:$AK$505,"○")&gt;0,1,0))</f>
        <v>0</v>
      </c>
      <c r="BC168" s="39" t="n">
        <f aca="false">IF(BC$4=0,0,IF(COUNTIFS(実績!$W$6:$W$505,BC$3,実績!$AI$6:$AI$505,"&lt;="&amp;$A168,実績!$AJ$6:$AJ$505,"&gt;"&amp;$A168,実績!$AK$6:$AK$505,"○")&gt;0,1,0))</f>
        <v>0</v>
      </c>
      <c r="BD168" s="39" t="n">
        <f aca="false">IF(BD$4=0,0,IF(COUNTIFS(実績!$W$6:$W$505,BD$3,実績!$AI$6:$AI$505,"&lt;="&amp;$A168,実績!$AJ$6:$AJ$505,"&gt;"&amp;$A168,実績!$AK$6:$AK$505,"○")&gt;0,1,0))</f>
        <v>0</v>
      </c>
      <c r="BE168" s="39" t="n">
        <f aca="false">IF(BE$4=0,0,IF(COUNTIFS(実績!$W$6:$W$505,BE$3,実績!$AI$6:$AI$505,"&lt;="&amp;$A168,実績!$AJ$6:$AJ$505,"&gt;"&amp;$A168,実績!$AK$6:$AK$505,"○")&gt;0,1,0))</f>
        <v>0</v>
      </c>
      <c r="BF168" s="39" t="n">
        <f aca="false">IF(BF$4=0,0,IF(COUNTIFS(実績!$W$6:$W$505,BF$3,実績!$AI$6:$AI$505,"&lt;="&amp;$A168,実績!$AJ$6:$AJ$505,"&gt;"&amp;$A168,実績!$AK$6:$AK$505,"○")&gt;0,1,0))</f>
        <v>0</v>
      </c>
      <c r="BG168" s="39" t="n">
        <f aca="false">IF(BG$4=0,0,IF(COUNTIFS(実績!$W$6:$W$505,BG$3,実績!$AI$6:$AI$505,"&lt;="&amp;$A168,実績!$AJ$6:$AJ$505,"&gt;"&amp;$A168,実績!$AK$6:$AK$505,"○")&gt;0,1,0))</f>
        <v>0</v>
      </c>
      <c r="BH168" s="39" t="n">
        <f aca="false">IF(BH$4=0,0,IF(COUNTIFS(実績!$W$6:$W$505,BH$3,実績!$AI$6:$AI$505,"&lt;="&amp;$A168,実績!$AJ$6:$AJ$505,"&gt;"&amp;$A168,実績!$AK$6:$AK$505,"○")&gt;0,1,0))</f>
        <v>0</v>
      </c>
      <c r="BI168" s="39" t="n">
        <f aca="false">IF(BI$4=0,0,IF(COUNTIFS(実績!$W$6:$W$505,BI$3,実績!$AI$6:$AI$505,"&lt;="&amp;$A168,実績!$AJ$6:$AJ$505,"&gt;"&amp;$A168,実績!$AK$6:$AK$505,"○")&gt;0,1,0))</f>
        <v>0</v>
      </c>
      <c r="BJ168" s="39" t="n">
        <f aca="false">IF(BJ$4=0,0,IF(COUNTIFS(実績!$W$6:$W$505,BJ$3,実績!$AI$6:$AI$505,"&lt;="&amp;$A168,実績!$AJ$6:$AJ$505,"&gt;"&amp;$A168,実績!$AK$6:$AK$505,"○")&gt;0,1,0))</f>
        <v>0</v>
      </c>
      <c r="BK168" s="39" t="n">
        <f aca="false">IF(BK$4=0,0,IF(COUNTIFS(実績!$W$6:$W$505,BK$3,実績!$AI$6:$AI$505,"&lt;="&amp;$A168,実績!$AJ$6:$AJ$505,"&gt;"&amp;$A168,実績!$AK$6:$AK$505,"○")&gt;0,1,0))</f>
        <v>0</v>
      </c>
      <c r="BL168" s="39" t="n">
        <f aca="false">IF(BL$4=0,0,IF(COUNTIFS(実績!$W$6:$W$505,BL$3,実績!$AI$6:$AI$505,"&lt;="&amp;$A168,実績!$AJ$6:$AJ$505,"&gt;"&amp;$A168,実績!$AK$6:$AK$505,"○")&gt;0,1,0))</f>
        <v>0</v>
      </c>
      <c r="BM168" s="39" t="n">
        <f aca="false">IF(BM$4=0,0,IF(COUNTIFS(実績!$W$6:$W$505,BM$3,実績!$AI$6:$AI$505,"&lt;="&amp;$A168,実績!$AJ$6:$AJ$505,"&gt;"&amp;$A168,実績!$AK$6:$AK$505,"○")&gt;0,1,0))</f>
        <v>0</v>
      </c>
      <c r="BN168" s="39" t="n">
        <f aca="false">IF(BN$4=0,0,IF(COUNTIFS(実績!$W$6:$W$505,BN$3,実績!$AI$6:$AI$505,"&lt;="&amp;$A168,実績!$AJ$6:$AJ$505,"&gt;"&amp;$A168,実績!$AK$6:$AK$505,"○")&gt;0,1,0))</f>
        <v>0</v>
      </c>
      <c r="BO168" s="39" t="n">
        <f aca="false">IF(BO$4=0,0,IF(COUNTIFS(実績!$W$6:$W$505,BO$3,実績!$AI$6:$AI$505,"&lt;="&amp;$A168,実績!$AJ$6:$AJ$505,"&gt;"&amp;$A168,実績!$AK$6:$AK$505,"○")&gt;0,1,0))</f>
        <v>0</v>
      </c>
      <c r="BP168" s="39" t="n">
        <f aca="false">IF(BP$4=0,0,IF(COUNTIFS(実績!$W$6:$W$505,BP$3,実績!$AI$6:$AI$505,"&lt;="&amp;$A168,実績!$AJ$6:$AJ$505,"&gt;"&amp;$A168,実績!$AK$6:$AK$505,"○")&gt;0,1,0))</f>
        <v>0</v>
      </c>
      <c r="BQ168" s="39" t="n">
        <f aca="false">IF(BQ$4=0,0,IF(COUNTIFS(実績!$W$6:$W$505,BQ$3,実績!$AI$6:$AI$505,"&lt;="&amp;$A168,実績!$AJ$6:$AJ$505,"&gt;"&amp;$A168,実績!$AK$6:$AK$505,"○")&gt;0,1,0))</f>
        <v>0</v>
      </c>
      <c r="BR168" s="39" t="n">
        <f aca="false">IF(BR$4=0,0,IF(COUNTIFS(実績!$W$6:$W$505,BR$3,実績!$AI$6:$AI$505,"&lt;="&amp;$A168,実績!$AJ$6:$AJ$505,"&gt;"&amp;$A168,実績!$AK$6:$AK$505,"○")&gt;0,1,0))</f>
        <v>0</v>
      </c>
      <c r="BS168" s="39" t="n">
        <f aca="false">IF(BS$4=0,0,IF(COUNTIFS(実績!$W$6:$W$505,BS$3,実績!$AI$6:$AI$505,"&lt;="&amp;$A168,実績!$AJ$6:$AJ$505,"&gt;"&amp;$A168,実績!$AK$6:$AK$505,"○")&gt;0,1,0))</f>
        <v>0</v>
      </c>
      <c r="BT168" s="39" t="n">
        <f aca="false">IF(BT$4=0,0,IF(COUNTIFS(実績!$W$6:$W$505,BT$3,実績!$AI$6:$AI$505,"&lt;="&amp;$A168,実績!$AJ$6:$AJ$505,"&gt;"&amp;$A168,実績!$AK$6:$AK$505,"○")&gt;0,1,0))</f>
        <v>0</v>
      </c>
      <c r="BU168" s="39" t="n">
        <f aca="false">IF(BU$4=0,0,IF(COUNTIFS(実績!$W$6:$W$505,BU$3,実績!$AI$6:$AI$505,"&lt;="&amp;$A168,実績!$AJ$6:$AJ$505,"&gt;"&amp;$A168,実績!$AK$6:$AK$505,"○")&gt;0,1,0))</f>
        <v>0</v>
      </c>
      <c r="BV168" s="39" t="n">
        <f aca="false">IF(BV$4=0,0,IF(COUNTIFS(実績!$W$6:$W$505,BV$3,実績!$AI$6:$AI$505,"&lt;="&amp;$A168,実績!$AJ$6:$AJ$505,"&gt;"&amp;$A168,実績!$AK$6:$AK$505,"○")&gt;0,1,0))</f>
        <v>0</v>
      </c>
      <c r="BW168" s="39" t="n">
        <f aca="false">IF(BW$4=0,0,IF(COUNTIFS(実績!$W$6:$W$505,BW$3,実績!$AI$6:$AI$505,"&lt;="&amp;$A168,実績!$AJ$6:$AJ$505,"&gt;"&amp;$A168,実績!$AK$6:$AK$505,"○")&gt;0,1,0))</f>
        <v>0</v>
      </c>
      <c r="BX168" s="39" t="n">
        <f aca="false">IF(BX$4=0,0,IF(COUNTIFS(実績!$W$6:$W$505,BX$3,実績!$AI$6:$AI$505,"&lt;="&amp;$A168,実績!$AJ$6:$AJ$505,"&gt;"&amp;$A168,実績!$AK$6:$AK$505,"○")&gt;0,1,0))</f>
        <v>0</v>
      </c>
      <c r="BY168" s="39" t="n">
        <f aca="false">IF(BY$4=0,0,IF(COUNTIFS(実績!$W$6:$W$505,BY$3,実績!$AI$6:$AI$505,"&lt;="&amp;$A168,実績!$AJ$6:$AJ$505,"&gt;"&amp;$A168,実績!$AK$6:$AK$505,"○")&gt;0,1,0))</f>
        <v>0</v>
      </c>
      <c r="BZ168" s="39" t="n">
        <f aca="false">IF(BZ$4=0,0,IF(COUNTIFS(実績!$W$6:$W$505,BZ$3,実績!$AI$6:$AI$505,"&lt;="&amp;$A168,実績!$AJ$6:$AJ$505,"&gt;"&amp;$A168,実績!$AK$6:$AK$505,"○")&gt;0,1,0))</f>
        <v>0</v>
      </c>
      <c r="CA168" s="39" t="n">
        <f aca="false">IF(CA$4=0,0,IF(COUNTIFS(実績!$W$6:$W$505,CA$3,実績!$AI$6:$AI$505,"&lt;="&amp;$A168,実績!$AJ$6:$AJ$505,"&gt;"&amp;$A168,実績!$AK$6:$AK$505,"○")&gt;0,1,0))</f>
        <v>0</v>
      </c>
      <c r="CB168" s="39" t="n">
        <f aca="false">IF(CB$4=0,0,IF(COUNTIFS(実績!$W$6:$W$505,CB$3,実績!$AI$6:$AI$505,"&lt;="&amp;$A168,実績!$AJ$6:$AJ$505,"&gt;"&amp;$A168,実績!$AK$6:$AK$505,"○")&gt;0,1,0))</f>
        <v>0</v>
      </c>
      <c r="CC168" s="39" t="n">
        <f aca="false">IF(CC$4=0,0,IF(COUNTIFS(実績!$W$6:$W$505,CC$3,実績!$AI$6:$AI$505,"&lt;="&amp;$A168,実績!$AJ$6:$AJ$505,"&gt;"&amp;$A168,実績!$AK$6:$AK$505,"○")&gt;0,1,0))</f>
        <v>0</v>
      </c>
      <c r="CD168" s="39" t="n">
        <f aca="false">IF(CD$4=0,0,IF(COUNTIFS(実績!$W$6:$W$505,CD$3,実績!$AI$6:$AI$505,"&lt;="&amp;$A168,実績!$AJ$6:$AJ$505,"&gt;"&amp;$A168,実績!$AK$6:$AK$505,"○")&gt;0,1,0))</f>
        <v>0</v>
      </c>
      <c r="CE168" s="39" t="n">
        <f aca="false">IF(CE$4=0,0,IF(COUNTIFS(実績!$W$6:$W$505,CE$3,実績!$AI$6:$AI$505,"&lt;="&amp;$A168,実績!$AJ$6:$AJ$505,"&gt;"&amp;$A168,実績!$AK$6:$AK$505,"○")&gt;0,1,0))</f>
        <v>0</v>
      </c>
      <c r="CF168" s="39" t="n">
        <f aca="false">IF(CF$4=0,0,IF(COUNTIFS(実績!$W$6:$W$505,CF$3,実績!$AI$6:$AI$505,"&lt;="&amp;$A168,実績!$AJ$6:$AJ$505,"&gt;"&amp;$A168,実績!$AK$6:$AK$505,"○")&gt;0,1,0))</f>
        <v>0</v>
      </c>
      <c r="CG168" s="39" t="n">
        <f aca="false">IF(CG$4=0,0,IF(COUNTIFS(実績!$W$6:$W$505,CG$3,実績!$AI$6:$AI$505,"&lt;="&amp;$A168,実績!$AJ$6:$AJ$505,"&gt;"&amp;$A168,実績!$AK$6:$AK$505,"○")&gt;0,1,0))</f>
        <v>0</v>
      </c>
      <c r="CH168" s="39" t="n">
        <f aca="false">IF(CH$4=0,0,IF(COUNTIFS(実績!$W$6:$W$505,CH$3,実績!$AI$6:$AI$505,"&lt;="&amp;$A168,実績!$AJ$6:$AJ$505,"&gt;"&amp;$A168,実績!$AK$6:$AK$505,"○")&gt;0,1,0))</f>
        <v>0</v>
      </c>
      <c r="CI168" s="39" t="n">
        <f aca="false">IF(CI$4=0,0,IF(COUNTIFS(実績!$W$6:$W$505,CI$3,実績!$AI$6:$AI$505,"&lt;="&amp;$A168,実績!$AJ$6:$AJ$505,"&gt;"&amp;$A168,実績!$AK$6:$AK$505,"○")&gt;0,1,0))</f>
        <v>0</v>
      </c>
      <c r="CJ168" s="39" t="n">
        <f aca="false">IF(CJ$4=0,0,IF(COUNTIFS(実績!$W$6:$W$505,CJ$3,実績!$AI$6:$AI$505,"&lt;="&amp;$A168,実績!$AJ$6:$AJ$505,"&gt;"&amp;$A168,実績!$AK$6:$AK$505,"○")&gt;0,1,0))</f>
        <v>0</v>
      </c>
      <c r="CK168" s="39" t="n">
        <f aca="false">IF(CK$4=0,0,IF(COUNTIFS(実績!$W$6:$W$505,CK$3,実績!$AI$6:$AI$505,"&lt;="&amp;$A168,実績!$AJ$6:$AJ$505,"&gt;"&amp;$A168,実績!$AK$6:$AK$505,"○")&gt;0,1,0))</f>
        <v>0</v>
      </c>
      <c r="CL168" s="39" t="n">
        <f aca="false">IF(CL$4=0,0,IF(COUNTIFS(実績!$W$6:$W$505,CL$3,実績!$AI$6:$AI$505,"&lt;="&amp;$A168,実績!$AJ$6:$AJ$505,"&gt;"&amp;$A168,実績!$AK$6:$AK$505,"○")&gt;0,1,0))</f>
        <v>0</v>
      </c>
      <c r="CM168" s="39" t="n">
        <f aca="false">IF(CM$4=0,0,IF(COUNTIFS(実績!$W$6:$W$505,CM$3,実績!$AI$6:$AI$505,"&lt;="&amp;$A168,実績!$AJ$6:$AJ$505,"&gt;"&amp;$A168,実績!$AK$6:$AK$505,"○")&gt;0,1,0))</f>
        <v>0</v>
      </c>
      <c r="CN168" s="39" t="n">
        <f aca="false">IF(CN$4=0,0,IF(COUNTIFS(実績!$W$6:$W$505,CN$3,実績!$AI$6:$AI$505,"&lt;="&amp;$A168,実績!$AJ$6:$AJ$505,"&gt;"&amp;$A168,実績!$AK$6:$AK$505,"○")&gt;0,1,0))</f>
        <v>0</v>
      </c>
      <c r="CO168" s="39" t="n">
        <f aca="false">IF(CO$4=0,0,IF(COUNTIFS(実績!$W$6:$W$505,CO$3,実績!$AI$6:$AI$505,"&lt;="&amp;$A168,実績!$AJ$6:$AJ$505,"&gt;"&amp;$A168,実績!$AK$6:$AK$505,"○")&gt;0,1,0))</f>
        <v>0</v>
      </c>
      <c r="CP168" s="39" t="n">
        <f aca="false">IF(CP$4=0,0,IF(COUNTIFS(実績!$W$6:$W$505,CP$3,実績!$AI$6:$AI$505,"&lt;="&amp;$A168,実績!$AJ$6:$AJ$505,"&gt;"&amp;$A168,実績!$AK$6:$AK$505,"○")&gt;0,1,0))</f>
        <v>0</v>
      </c>
      <c r="CQ168" s="39" t="n">
        <f aca="false">IF(CQ$4=0,0,IF(COUNTIFS(実績!$W$6:$W$505,CQ$3,実績!$AI$6:$AI$505,"&lt;="&amp;$A168,実績!$AJ$6:$AJ$505,"&gt;"&amp;$A168,実績!$AK$6:$AK$505,"○")&gt;0,1,0))</f>
        <v>0</v>
      </c>
      <c r="CR168" s="39" t="n">
        <f aca="false">IF(CR$4=0,0,IF(COUNTIFS(実績!$W$6:$W$505,CR$3,実績!$AI$6:$AI$505,"&lt;="&amp;$A168,実績!$AJ$6:$AJ$505,"&gt;"&amp;$A168,実績!$AK$6:$AK$505,"○")&gt;0,1,0))</f>
        <v>0</v>
      </c>
      <c r="CS168" s="39" t="n">
        <f aca="false">IF(CS$4=0,0,IF(COUNTIFS(実績!$W$6:$W$505,CS$3,実績!$AI$6:$AI$505,"&lt;="&amp;$A168,実績!$AJ$6:$AJ$505,"&gt;"&amp;$A168,実績!$AK$6:$AK$505,"○")&gt;0,1,0))</f>
        <v>0</v>
      </c>
      <c r="CT168" s="39" t="n">
        <f aca="false">IF(CT$4=0,0,IF(COUNTIFS(実績!$W$6:$W$505,CT$3,実績!$AI$6:$AI$505,"&lt;="&amp;$A168,実績!$AJ$6:$AJ$505,"&gt;"&amp;$A168,実績!$AK$6:$AK$505,"○")&gt;0,1,0))</f>
        <v>0</v>
      </c>
      <c r="CU168" s="39" t="n">
        <f aca="false">IF(CU$4=0,0,IF(COUNTIFS(実績!$W$6:$W$505,CU$3,実績!$AI$6:$AI$505,"&lt;="&amp;$A168,実績!$AJ$6:$AJ$505,"&gt;"&amp;$A168,実績!$AK$6:$AK$505,"○")&gt;0,1,0))</f>
        <v>0</v>
      </c>
      <c r="CV168" s="39" t="n">
        <f aca="false">IF(CV$4=0,0,IF(COUNTIFS(実績!$W$6:$W$505,CV$3,実績!$AI$6:$AI$505,"&lt;="&amp;$A168,実績!$AJ$6:$AJ$505,"&gt;"&amp;$A168,実績!$AK$6:$AK$505,"○")&gt;0,1,0))</f>
        <v>0</v>
      </c>
      <c r="CW168" s="39" t="n">
        <f aca="false">IF(CW$4=0,0,IF(COUNTIFS(実績!$W$6:$W$505,CW$3,実績!$AI$6:$AI$505,"&lt;="&amp;$A168,実績!$AJ$6:$AJ$505,"&gt;"&amp;$A168,実績!$AK$6:$AK$505,"○")&gt;0,1,0))</f>
        <v>0</v>
      </c>
      <c r="CX168" s="39" t="n">
        <f aca="false">IF(CX$4=0,0,IF(COUNTIFS(実績!$W$6:$W$505,CX$3,実績!$AI$6:$AI$505,"&lt;="&amp;$A168,実績!$AJ$6:$AJ$505,"&gt;"&amp;$A168,実績!$AK$6:$AK$505,"○")&gt;0,1,0))</f>
        <v>0</v>
      </c>
      <c r="CY168" s="39" t="n">
        <f aca="false">IF(CY$4=0,0,IF(COUNTIFS(実績!$W$6:$W$505,CY$3,実績!$AI$6:$AI$505,"&lt;="&amp;$A168,実績!$AJ$6:$AJ$505,"&gt;"&amp;$A168,実績!$AK$6:$AK$505,"○")&gt;0,1,0))</f>
        <v>0</v>
      </c>
      <c r="CZ168" s="39" t="n">
        <f aca="false">IF(CZ$4=0,0,IF(COUNTIFS(実績!$W$6:$W$505,CZ$3,実績!$AI$6:$AI$505,"&lt;="&amp;$A168,実績!$AJ$6:$AJ$505,"&gt;"&amp;$A168,実績!$AK$6:$AK$505,"○")&gt;0,1,0))</f>
        <v>0</v>
      </c>
      <c r="DA168" s="39" t="n">
        <f aca="false">IF(DA$4=0,0,IF(COUNTIFS(実績!$W$6:$W$505,DA$3,実績!$AI$6:$AI$505,"&lt;="&amp;$A168,実績!$AJ$6:$AJ$505,"&gt;"&amp;$A168,実績!$AK$6:$AK$505,"○")&gt;0,1,0))</f>
        <v>0</v>
      </c>
      <c r="DB168" s="39" t="n">
        <f aca="false">IF(DB$4=0,0,IF(COUNTIFS(実績!$W$6:$W$505,DB$3,実績!$AI$6:$AI$505,"&lt;="&amp;$A168,実績!$AJ$6:$AJ$505,"&gt;"&amp;$A168,実績!$AK$6:$AK$505,"○")&gt;0,1,0))</f>
        <v>0</v>
      </c>
      <c r="DC168" s="39" t="n">
        <f aca="false">IF(DC$4=0,0,IF(COUNTIFS(実績!$W$6:$W$505,DC$3,実績!$AI$6:$AI$505,"&lt;="&amp;$A168,実績!$AJ$6:$AJ$505,"&gt;"&amp;$A168,実績!$AK$6:$AK$505,"○")&gt;0,1,0))</f>
        <v>0</v>
      </c>
      <c r="DD168" s="39" t="n">
        <f aca="false">IF(DD$4=0,0,IF(COUNTIFS(実績!$W$6:$W$505,DD$3,実績!$AI$6:$AI$505,"&lt;="&amp;$A168,実績!$AJ$6:$AJ$505,"&gt;"&amp;$A168,実績!$AK$6:$AK$505,"○")&gt;0,1,0))</f>
        <v>0</v>
      </c>
      <c r="DE168" s="39" t="n">
        <f aca="false">IF(DE$4=0,0,IF(COUNTIFS(実績!$W$6:$W$505,DE$3,実績!$AI$6:$AI$505,"&lt;="&amp;$A168,実績!$AJ$6:$AJ$505,"&gt;"&amp;$A168,実績!$AK$6:$AK$505,"○")&gt;0,1,0))</f>
        <v>0</v>
      </c>
      <c r="DF168" s="39" t="n">
        <f aca="false">IF(DF$4=0,0,IF(COUNTIFS(実績!$W$6:$W$505,DF$3,実績!$AI$6:$AI$505,"&lt;="&amp;$A168,実績!$AJ$6:$AJ$505,"&gt;"&amp;$A168,実績!$AK$6:$AK$505,"○")&gt;0,1,0))</f>
        <v>0</v>
      </c>
      <c r="DG168" s="39" t="n">
        <f aca="false">IF(DG$4=0,0,IF(COUNTIFS(実績!$W$6:$W$505,DG$3,実績!$AI$6:$AI$505,"&lt;="&amp;$A168,実績!$AJ$6:$AJ$505,"&gt;"&amp;$A168,実績!$AK$6:$AK$505,"○")&gt;0,1,0))</f>
        <v>0</v>
      </c>
      <c r="DH168" s="39" t="n">
        <f aca="false">IF(DH$4=0,0,IF(COUNTIFS(実績!$W$6:$W$505,DH$3,実績!$AI$6:$AI$505,"&lt;="&amp;$A168,実績!$AJ$6:$AJ$505,"&gt;"&amp;$A168,実績!$AK$6:$AK$505,"○")&gt;0,1,0))</f>
        <v>0</v>
      </c>
      <c r="DI168" s="39" t="n">
        <f aca="false">IF(DI$4=0,0,IF(COUNTIFS(実績!$W$6:$W$505,DI$3,実績!$AI$6:$AI$505,"&lt;="&amp;$A168,実績!$AJ$6:$AJ$505,"&gt;"&amp;$A168,実績!$AK$6:$AK$505,"○")&gt;0,1,0))</f>
        <v>0</v>
      </c>
      <c r="DJ168" s="39" t="n">
        <f aca="false">IF(DJ$4=0,0,IF(COUNTIFS(実績!$W$6:$W$505,DJ$3,実績!$AI$6:$AI$505,"&lt;="&amp;$A168,実績!$AJ$6:$AJ$505,"&gt;"&amp;$A168,実績!$AK$6:$AK$505,"○")&gt;0,1,0))</f>
        <v>0</v>
      </c>
      <c r="DK168" s="39" t="n">
        <f aca="false">IF(DK$4=0,0,IF(COUNTIFS(実績!$W$6:$W$505,DK$3,実績!$AI$6:$AI$505,"&lt;="&amp;$A168,実績!$AJ$6:$AJ$505,"&gt;"&amp;$A168,実績!$AK$6:$AK$505,"○")&gt;0,1,0))</f>
        <v>0</v>
      </c>
      <c r="DL168" s="39" t="n">
        <f aca="false">IF(DL$4=0,0,IF(COUNTIFS(実績!$W$6:$W$505,DL$3,実績!$AI$6:$AI$505,"&lt;="&amp;$A168,実績!$AJ$6:$AJ$505,"&gt;"&amp;$A168,実績!$AK$6:$AK$505,"○")&gt;0,1,0))</f>
        <v>0</v>
      </c>
      <c r="DM168" s="39" t="n">
        <f aca="false">IF(DM$4=0,0,IF(COUNTIFS(実績!$W$6:$W$505,DM$3,実績!$AI$6:$AI$505,"&lt;="&amp;$A168,実績!$AJ$6:$AJ$505,"&gt;"&amp;$A168,実績!$AK$6:$AK$505,"○")&gt;0,1,0))</f>
        <v>0</v>
      </c>
      <c r="DN168" s="39" t="n">
        <f aca="false">IF(DN$4=0,0,IF(COUNTIFS(実績!$W$6:$W$505,DN$3,実績!$AI$6:$AI$505,"&lt;="&amp;$A168,実績!$AJ$6:$AJ$505,"&gt;"&amp;$A168,実績!$AK$6:$AK$505,"○")&gt;0,1,0))</f>
        <v>0</v>
      </c>
      <c r="DO168" s="39" t="n">
        <f aca="false">IF(DO$4=0,0,IF(COUNTIFS(実績!$W$6:$W$505,DO$3,実績!$AI$6:$AI$505,"&lt;="&amp;$A168,実績!$AJ$6:$AJ$505,"&gt;"&amp;$A168,実績!$AK$6:$AK$505,"○")&gt;0,1,0))</f>
        <v>0</v>
      </c>
      <c r="DP168" s="39" t="n">
        <f aca="false">IF(DP$4=0,0,IF(COUNTIFS(実績!$W$6:$W$505,DP$3,実績!$AI$6:$AI$505,"&lt;="&amp;$A168,実績!$AJ$6:$AJ$505,"&gt;"&amp;$A168,実績!$AK$6:$AK$505,"○")&gt;0,1,0))</f>
        <v>0</v>
      </c>
      <c r="DQ168" s="39" t="n">
        <f aca="false">IF(DQ$4=0,0,IF(COUNTIFS(実績!$W$6:$W$505,DQ$3,実績!$AI$6:$AI$505,"&lt;="&amp;$A168,実績!$AJ$6:$AJ$505,"&gt;"&amp;$A168,実績!$AK$6:$AK$505,"○")&gt;0,1,0))</f>
        <v>0</v>
      </c>
      <c r="DR168" s="39" t="n">
        <f aca="false">IF(DR$4=0,0,IF(COUNTIFS(実績!$W$6:$W$505,DR$3,実績!$AI$6:$AI$505,"&lt;="&amp;$A168,実績!$AJ$6:$AJ$505,"&gt;"&amp;$A168,実績!$AK$6:$AK$505,"○")&gt;0,1,0))</f>
        <v>0</v>
      </c>
      <c r="DS168" s="39" t="n">
        <f aca="false">SUM(C168:DR168)</f>
        <v>0</v>
      </c>
      <c r="DT168" s="39" t="n">
        <f aca="false">SUMPRODUCT((実績!$C$6:$C$505="○")*ISNUMBER(実績!$AM$6:$AM$505)*(実績!$AM$6:$AM$505&lt;=$A168)*(実績!$AN$6:$AN$505&gt;$A168))</f>
        <v>0</v>
      </c>
      <c r="DU168" s="39" t="n">
        <f aca="false">SUMIF($C$2:$DR$2,"製鉄曳船",C168:DR168)</f>
        <v>0</v>
      </c>
      <c r="DV168" s="39" t="n">
        <f aca="false">SUMIF($C$2:$DR$2,"西日本海運",C168:DR168)</f>
        <v>0</v>
      </c>
    </row>
    <row r="169" customFormat="false" ht="15" hidden="false" customHeight="false" outlineLevel="0" collapsed="false">
      <c r="A169" s="0" t="n">
        <v>815</v>
      </c>
      <c r="B169" s="38" t="n">
        <f aca="false">A169/1440</f>
        <v>0.565972222222222</v>
      </c>
      <c r="C169" s="39" t="n">
        <f aca="false">IF(C$4=0,0,IF(COUNTIFS(実績!$W$6:$W$505,C$3,実績!$AI$6:$AI$505,"&lt;="&amp;$A169,実績!$AJ$6:$AJ$505,"&gt;"&amp;$A169,実績!$AK$6:$AK$505,"○")&gt;0,1,0))</f>
        <v>0</v>
      </c>
      <c r="D169" s="39" t="n">
        <f aca="false">IF(D$4=0,0,IF(COUNTIFS(実績!$W$6:$W$505,D$3,実績!$AI$6:$AI$505,"&lt;="&amp;$A169,実績!$AJ$6:$AJ$505,"&gt;"&amp;$A169,実績!$AK$6:$AK$505,"○")&gt;0,1,0))</f>
        <v>0</v>
      </c>
      <c r="E169" s="39" t="n">
        <f aca="false">IF(E$4=0,0,IF(COUNTIFS(実績!$W$6:$W$505,E$3,実績!$AI$6:$AI$505,"&lt;="&amp;$A169,実績!$AJ$6:$AJ$505,"&gt;"&amp;$A169,実績!$AK$6:$AK$505,"○")&gt;0,1,0))</f>
        <v>0</v>
      </c>
      <c r="F169" s="39" t="n">
        <f aca="false">IF(F$4=0,0,IF(COUNTIFS(実績!$W$6:$W$505,F$3,実績!$AI$6:$AI$505,"&lt;="&amp;$A169,実績!$AJ$6:$AJ$505,"&gt;"&amp;$A169,実績!$AK$6:$AK$505,"○")&gt;0,1,0))</f>
        <v>0</v>
      </c>
      <c r="G169" s="39" t="n">
        <f aca="false">IF(G$4=0,0,IF(COUNTIFS(実績!$W$6:$W$505,G$3,実績!$AI$6:$AI$505,"&lt;="&amp;$A169,実績!$AJ$6:$AJ$505,"&gt;"&amp;$A169,実績!$AK$6:$AK$505,"○")&gt;0,1,0))</f>
        <v>0</v>
      </c>
      <c r="H169" s="39" t="n">
        <f aca="false">IF(H$4=0,0,IF(COUNTIFS(実績!$W$6:$W$505,H$3,実績!$AI$6:$AI$505,"&lt;="&amp;$A169,実績!$AJ$6:$AJ$505,"&gt;"&amp;$A169,実績!$AK$6:$AK$505,"○")&gt;0,1,0))</f>
        <v>0</v>
      </c>
      <c r="I169" s="39" t="n">
        <f aca="false">IF(I$4=0,0,IF(COUNTIFS(実績!$W$6:$W$505,I$3,実績!$AI$6:$AI$505,"&lt;="&amp;$A169,実績!$AJ$6:$AJ$505,"&gt;"&amp;$A169,実績!$AK$6:$AK$505,"○")&gt;0,1,0))</f>
        <v>0</v>
      </c>
      <c r="J169" s="39" t="n">
        <f aca="false">IF(J$4=0,0,IF(COUNTIFS(実績!$W$6:$W$505,J$3,実績!$AI$6:$AI$505,"&lt;="&amp;$A169,実績!$AJ$6:$AJ$505,"&gt;"&amp;$A169,実績!$AK$6:$AK$505,"○")&gt;0,1,0))</f>
        <v>0</v>
      </c>
      <c r="K169" s="39" t="n">
        <f aca="false">IF(K$4=0,0,IF(COUNTIFS(実績!$W$6:$W$505,K$3,実績!$AI$6:$AI$505,"&lt;="&amp;$A169,実績!$AJ$6:$AJ$505,"&gt;"&amp;$A169,実績!$AK$6:$AK$505,"○")&gt;0,1,0))</f>
        <v>0</v>
      </c>
      <c r="L169" s="39" t="n">
        <f aca="false">IF(L$4=0,0,IF(COUNTIFS(実績!$W$6:$W$505,L$3,実績!$AI$6:$AI$505,"&lt;="&amp;$A169,実績!$AJ$6:$AJ$505,"&gt;"&amp;$A169,実績!$AK$6:$AK$505,"○")&gt;0,1,0))</f>
        <v>0</v>
      </c>
      <c r="M169" s="39" t="n">
        <f aca="false">IF(M$4=0,0,IF(COUNTIFS(実績!$W$6:$W$505,M$3,実績!$AI$6:$AI$505,"&lt;="&amp;$A169,実績!$AJ$6:$AJ$505,"&gt;"&amp;$A169,実績!$AK$6:$AK$505,"○")&gt;0,1,0))</f>
        <v>0</v>
      </c>
      <c r="N169" s="39" t="n">
        <f aca="false">IF(N$4=0,0,IF(COUNTIFS(実績!$W$6:$W$505,N$3,実績!$AI$6:$AI$505,"&lt;="&amp;$A169,実績!$AJ$6:$AJ$505,"&gt;"&amp;$A169,実績!$AK$6:$AK$505,"○")&gt;0,1,0))</f>
        <v>0</v>
      </c>
      <c r="O169" s="39" t="n">
        <f aca="false">IF(O$4=0,0,IF(COUNTIFS(実績!$W$6:$W$505,O$3,実績!$AI$6:$AI$505,"&lt;="&amp;$A169,実績!$AJ$6:$AJ$505,"&gt;"&amp;$A169,実績!$AK$6:$AK$505,"○")&gt;0,1,0))</f>
        <v>0</v>
      </c>
      <c r="P169" s="39" t="n">
        <f aca="false">IF(P$4=0,0,IF(COUNTIFS(実績!$W$6:$W$505,P$3,実績!$AI$6:$AI$505,"&lt;="&amp;$A169,実績!$AJ$6:$AJ$505,"&gt;"&amp;$A169,実績!$AK$6:$AK$505,"○")&gt;0,1,0))</f>
        <v>0</v>
      </c>
      <c r="Q169" s="39" t="n">
        <f aca="false">IF(Q$4=0,0,IF(COUNTIFS(実績!$W$6:$W$505,Q$3,実績!$AI$6:$AI$505,"&lt;="&amp;$A169,実績!$AJ$6:$AJ$505,"&gt;"&amp;$A169,実績!$AK$6:$AK$505,"○")&gt;0,1,0))</f>
        <v>0</v>
      </c>
      <c r="R169" s="39" t="n">
        <f aca="false">IF(R$4=0,0,IF(COUNTIFS(実績!$W$6:$W$505,R$3,実績!$AI$6:$AI$505,"&lt;="&amp;$A169,実績!$AJ$6:$AJ$505,"&gt;"&amp;$A169,実績!$AK$6:$AK$505,"○")&gt;0,1,0))</f>
        <v>0</v>
      </c>
      <c r="S169" s="39" t="n">
        <f aca="false">IF(S$4=0,0,IF(COUNTIFS(実績!$W$6:$W$505,S$3,実績!$AI$6:$AI$505,"&lt;="&amp;$A169,実績!$AJ$6:$AJ$505,"&gt;"&amp;$A169,実績!$AK$6:$AK$505,"○")&gt;0,1,0))</f>
        <v>0</v>
      </c>
      <c r="T169" s="39" t="n">
        <f aca="false">IF(T$4=0,0,IF(COUNTIFS(実績!$W$6:$W$505,T$3,実績!$AI$6:$AI$505,"&lt;="&amp;$A169,実績!$AJ$6:$AJ$505,"&gt;"&amp;$A169,実績!$AK$6:$AK$505,"○")&gt;0,1,0))</f>
        <v>0</v>
      </c>
      <c r="U169" s="39" t="n">
        <f aca="false">IF(U$4=0,0,IF(COUNTIFS(実績!$W$6:$W$505,U$3,実績!$AI$6:$AI$505,"&lt;="&amp;$A169,実績!$AJ$6:$AJ$505,"&gt;"&amp;$A169,実績!$AK$6:$AK$505,"○")&gt;0,1,0))</f>
        <v>0</v>
      </c>
      <c r="V169" s="39" t="n">
        <f aca="false">IF(V$4=0,0,IF(COUNTIFS(実績!$W$6:$W$505,V$3,実績!$AI$6:$AI$505,"&lt;="&amp;$A169,実績!$AJ$6:$AJ$505,"&gt;"&amp;$A169,実績!$AK$6:$AK$505,"○")&gt;0,1,0))</f>
        <v>0</v>
      </c>
      <c r="W169" s="39" t="n">
        <f aca="false">IF(W$4=0,0,IF(COUNTIFS(実績!$W$6:$W$505,W$3,実績!$AI$6:$AI$505,"&lt;="&amp;$A169,実績!$AJ$6:$AJ$505,"&gt;"&amp;$A169,実績!$AK$6:$AK$505,"○")&gt;0,1,0))</f>
        <v>0</v>
      </c>
      <c r="X169" s="39" t="n">
        <f aca="false">IF(X$4=0,0,IF(COUNTIFS(実績!$W$6:$W$505,X$3,実績!$AI$6:$AI$505,"&lt;="&amp;$A169,実績!$AJ$6:$AJ$505,"&gt;"&amp;$A169,実績!$AK$6:$AK$505,"○")&gt;0,1,0))</f>
        <v>0</v>
      </c>
      <c r="Y169" s="39" t="n">
        <f aca="false">IF(Y$4=0,0,IF(COUNTIFS(実績!$W$6:$W$505,Y$3,実績!$AI$6:$AI$505,"&lt;="&amp;$A169,実績!$AJ$6:$AJ$505,"&gt;"&amp;$A169,実績!$AK$6:$AK$505,"○")&gt;0,1,0))</f>
        <v>0</v>
      </c>
      <c r="Z169" s="39" t="n">
        <f aca="false">IF(Z$4=0,0,IF(COUNTIFS(実績!$W$6:$W$505,Z$3,実績!$AI$6:$AI$505,"&lt;="&amp;$A169,実績!$AJ$6:$AJ$505,"&gt;"&amp;$A169,実績!$AK$6:$AK$505,"○")&gt;0,1,0))</f>
        <v>0</v>
      </c>
      <c r="AA169" s="39" t="n">
        <f aca="false">IF(AA$4=0,0,IF(COUNTIFS(実績!$W$6:$W$505,AA$3,実績!$AI$6:$AI$505,"&lt;="&amp;$A169,実績!$AJ$6:$AJ$505,"&gt;"&amp;$A169,実績!$AK$6:$AK$505,"○")&gt;0,1,0))</f>
        <v>0</v>
      </c>
      <c r="AB169" s="39" t="n">
        <f aca="false">IF(AB$4=0,0,IF(COUNTIFS(実績!$W$6:$W$505,AB$3,実績!$AI$6:$AI$505,"&lt;="&amp;$A169,実績!$AJ$6:$AJ$505,"&gt;"&amp;$A169,実績!$AK$6:$AK$505,"○")&gt;0,1,0))</f>
        <v>0</v>
      </c>
      <c r="AC169" s="39" t="n">
        <f aca="false">IF(AC$4=0,0,IF(COUNTIFS(実績!$W$6:$W$505,AC$3,実績!$AI$6:$AI$505,"&lt;="&amp;$A169,実績!$AJ$6:$AJ$505,"&gt;"&amp;$A169,実績!$AK$6:$AK$505,"○")&gt;0,1,0))</f>
        <v>0</v>
      </c>
      <c r="AD169" s="39" t="n">
        <f aca="false">IF(AD$4=0,0,IF(COUNTIFS(実績!$W$6:$W$505,AD$3,実績!$AI$6:$AI$505,"&lt;="&amp;$A169,実績!$AJ$6:$AJ$505,"&gt;"&amp;$A169,実績!$AK$6:$AK$505,"○")&gt;0,1,0))</f>
        <v>0</v>
      </c>
      <c r="AE169" s="39" t="n">
        <f aca="false">IF(AE$4=0,0,IF(COUNTIFS(実績!$W$6:$W$505,AE$3,実績!$AI$6:$AI$505,"&lt;="&amp;$A169,実績!$AJ$6:$AJ$505,"&gt;"&amp;$A169,実績!$AK$6:$AK$505,"○")&gt;0,1,0))</f>
        <v>0</v>
      </c>
      <c r="AF169" s="39" t="n">
        <f aca="false">IF(AF$4=0,0,IF(COUNTIFS(実績!$W$6:$W$505,AF$3,実績!$AI$6:$AI$505,"&lt;="&amp;$A169,実績!$AJ$6:$AJ$505,"&gt;"&amp;$A169,実績!$AK$6:$AK$505,"○")&gt;0,1,0))</f>
        <v>0</v>
      </c>
      <c r="AG169" s="39" t="n">
        <f aca="false">IF(AG$4=0,0,IF(COUNTIFS(実績!$W$6:$W$505,AG$3,実績!$AI$6:$AI$505,"&lt;="&amp;$A169,実績!$AJ$6:$AJ$505,"&gt;"&amp;$A169,実績!$AK$6:$AK$505,"○")&gt;0,1,0))</f>
        <v>0</v>
      </c>
      <c r="AH169" s="39" t="n">
        <f aca="false">IF(AH$4=0,0,IF(COUNTIFS(実績!$W$6:$W$505,AH$3,実績!$AI$6:$AI$505,"&lt;="&amp;$A169,実績!$AJ$6:$AJ$505,"&gt;"&amp;$A169,実績!$AK$6:$AK$505,"○")&gt;0,1,0))</f>
        <v>0</v>
      </c>
      <c r="AI169" s="39" t="n">
        <f aca="false">IF(AI$4=0,0,IF(COUNTIFS(実績!$W$6:$W$505,AI$3,実績!$AI$6:$AI$505,"&lt;="&amp;$A169,実績!$AJ$6:$AJ$505,"&gt;"&amp;$A169,実績!$AK$6:$AK$505,"○")&gt;0,1,0))</f>
        <v>0</v>
      </c>
      <c r="AJ169" s="39" t="n">
        <f aca="false">IF(AJ$4=0,0,IF(COUNTIFS(実績!$W$6:$W$505,AJ$3,実績!$AI$6:$AI$505,"&lt;="&amp;$A169,実績!$AJ$6:$AJ$505,"&gt;"&amp;$A169,実績!$AK$6:$AK$505,"○")&gt;0,1,0))</f>
        <v>0</v>
      </c>
      <c r="AK169" s="39" t="n">
        <f aca="false">IF(AK$4=0,0,IF(COUNTIFS(実績!$W$6:$W$505,AK$3,実績!$AI$6:$AI$505,"&lt;="&amp;$A169,実績!$AJ$6:$AJ$505,"&gt;"&amp;$A169,実績!$AK$6:$AK$505,"○")&gt;0,1,0))</f>
        <v>0</v>
      </c>
      <c r="AL169" s="39" t="n">
        <f aca="false">IF(AL$4=0,0,IF(COUNTIFS(実績!$W$6:$W$505,AL$3,実績!$AI$6:$AI$505,"&lt;="&amp;$A169,実績!$AJ$6:$AJ$505,"&gt;"&amp;$A169,実績!$AK$6:$AK$505,"○")&gt;0,1,0))</f>
        <v>0</v>
      </c>
      <c r="AM169" s="39" t="n">
        <f aca="false">IF(AM$4=0,0,IF(COUNTIFS(実績!$W$6:$W$505,AM$3,実績!$AI$6:$AI$505,"&lt;="&amp;$A169,実績!$AJ$6:$AJ$505,"&gt;"&amp;$A169,実績!$AK$6:$AK$505,"○")&gt;0,1,0))</f>
        <v>0</v>
      </c>
      <c r="AN169" s="39" t="n">
        <f aca="false">IF(AN$4=0,0,IF(COUNTIFS(実績!$W$6:$W$505,AN$3,実績!$AI$6:$AI$505,"&lt;="&amp;$A169,実績!$AJ$6:$AJ$505,"&gt;"&amp;$A169,実績!$AK$6:$AK$505,"○")&gt;0,1,0))</f>
        <v>0</v>
      </c>
      <c r="AO169" s="39" t="n">
        <f aca="false">IF(AO$4=0,0,IF(COUNTIFS(実績!$W$6:$W$505,AO$3,実績!$AI$6:$AI$505,"&lt;="&amp;$A169,実績!$AJ$6:$AJ$505,"&gt;"&amp;$A169,実績!$AK$6:$AK$505,"○")&gt;0,1,0))</f>
        <v>0</v>
      </c>
      <c r="AP169" s="39" t="n">
        <f aca="false">IF(AP$4=0,0,IF(COUNTIFS(実績!$W$6:$W$505,AP$3,実績!$AI$6:$AI$505,"&lt;="&amp;$A169,実績!$AJ$6:$AJ$505,"&gt;"&amp;$A169,実績!$AK$6:$AK$505,"○")&gt;0,1,0))</f>
        <v>0</v>
      </c>
      <c r="AQ169" s="39" t="n">
        <f aca="false">IF(AQ$4=0,0,IF(COUNTIFS(実績!$W$6:$W$505,AQ$3,実績!$AI$6:$AI$505,"&lt;="&amp;$A169,実績!$AJ$6:$AJ$505,"&gt;"&amp;$A169,実績!$AK$6:$AK$505,"○")&gt;0,1,0))</f>
        <v>0</v>
      </c>
      <c r="AR169" s="39" t="n">
        <f aca="false">IF(AR$4=0,0,IF(COUNTIFS(実績!$W$6:$W$505,AR$3,実績!$AI$6:$AI$505,"&lt;="&amp;$A169,実績!$AJ$6:$AJ$505,"&gt;"&amp;$A169,実績!$AK$6:$AK$505,"○")&gt;0,1,0))</f>
        <v>0</v>
      </c>
      <c r="AS169" s="39" t="n">
        <f aca="false">IF(AS$4=0,0,IF(COUNTIFS(実績!$W$6:$W$505,AS$3,実績!$AI$6:$AI$505,"&lt;="&amp;$A169,実績!$AJ$6:$AJ$505,"&gt;"&amp;$A169,実績!$AK$6:$AK$505,"○")&gt;0,1,0))</f>
        <v>0</v>
      </c>
      <c r="AT169" s="39" t="n">
        <f aca="false">IF(AT$4=0,0,IF(COUNTIFS(実績!$W$6:$W$505,AT$3,実績!$AI$6:$AI$505,"&lt;="&amp;$A169,実績!$AJ$6:$AJ$505,"&gt;"&amp;$A169,実績!$AK$6:$AK$505,"○")&gt;0,1,0))</f>
        <v>0</v>
      </c>
      <c r="AU169" s="39" t="n">
        <f aca="false">IF(AU$4=0,0,IF(COUNTIFS(実績!$W$6:$W$505,AU$3,実績!$AI$6:$AI$505,"&lt;="&amp;$A169,実績!$AJ$6:$AJ$505,"&gt;"&amp;$A169,実績!$AK$6:$AK$505,"○")&gt;0,1,0))</f>
        <v>0</v>
      </c>
      <c r="AV169" s="39" t="n">
        <f aca="false">IF(AV$4=0,0,IF(COUNTIFS(実績!$W$6:$W$505,AV$3,実績!$AI$6:$AI$505,"&lt;="&amp;$A169,実績!$AJ$6:$AJ$505,"&gt;"&amp;$A169,実績!$AK$6:$AK$505,"○")&gt;0,1,0))</f>
        <v>0</v>
      </c>
      <c r="AW169" s="39" t="n">
        <f aca="false">IF(AW$4=0,0,IF(COUNTIFS(実績!$W$6:$W$505,AW$3,実績!$AI$6:$AI$505,"&lt;="&amp;$A169,実績!$AJ$6:$AJ$505,"&gt;"&amp;$A169,実績!$AK$6:$AK$505,"○")&gt;0,1,0))</f>
        <v>0</v>
      </c>
      <c r="AX169" s="39" t="n">
        <f aca="false">IF(AX$4=0,0,IF(COUNTIFS(実績!$W$6:$W$505,AX$3,実績!$AI$6:$AI$505,"&lt;="&amp;$A169,実績!$AJ$6:$AJ$505,"&gt;"&amp;$A169,実績!$AK$6:$AK$505,"○")&gt;0,1,0))</f>
        <v>0</v>
      </c>
      <c r="AY169" s="39" t="n">
        <f aca="false">IF(AY$4=0,0,IF(COUNTIFS(実績!$W$6:$W$505,AY$3,実績!$AI$6:$AI$505,"&lt;="&amp;$A169,実績!$AJ$6:$AJ$505,"&gt;"&amp;$A169,実績!$AK$6:$AK$505,"○")&gt;0,1,0))</f>
        <v>0</v>
      </c>
      <c r="AZ169" s="39" t="n">
        <f aca="false">IF(AZ$4=0,0,IF(COUNTIFS(実績!$W$6:$W$505,AZ$3,実績!$AI$6:$AI$505,"&lt;="&amp;$A169,実績!$AJ$6:$AJ$505,"&gt;"&amp;$A169,実績!$AK$6:$AK$505,"○")&gt;0,1,0))</f>
        <v>0</v>
      </c>
      <c r="BA169" s="39" t="n">
        <f aca="false">IF(BA$4=0,0,IF(COUNTIFS(実績!$W$6:$W$505,BA$3,実績!$AI$6:$AI$505,"&lt;="&amp;$A169,実績!$AJ$6:$AJ$505,"&gt;"&amp;$A169,実績!$AK$6:$AK$505,"○")&gt;0,1,0))</f>
        <v>0</v>
      </c>
      <c r="BB169" s="39" t="n">
        <f aca="false">IF(BB$4=0,0,IF(COUNTIFS(実績!$W$6:$W$505,BB$3,実績!$AI$6:$AI$505,"&lt;="&amp;$A169,実績!$AJ$6:$AJ$505,"&gt;"&amp;$A169,実績!$AK$6:$AK$505,"○")&gt;0,1,0))</f>
        <v>0</v>
      </c>
      <c r="BC169" s="39" t="n">
        <f aca="false">IF(BC$4=0,0,IF(COUNTIFS(実績!$W$6:$W$505,BC$3,実績!$AI$6:$AI$505,"&lt;="&amp;$A169,実績!$AJ$6:$AJ$505,"&gt;"&amp;$A169,実績!$AK$6:$AK$505,"○")&gt;0,1,0))</f>
        <v>0</v>
      </c>
      <c r="BD169" s="39" t="n">
        <f aca="false">IF(BD$4=0,0,IF(COUNTIFS(実績!$W$6:$W$505,BD$3,実績!$AI$6:$AI$505,"&lt;="&amp;$A169,実績!$AJ$6:$AJ$505,"&gt;"&amp;$A169,実績!$AK$6:$AK$505,"○")&gt;0,1,0))</f>
        <v>0</v>
      </c>
      <c r="BE169" s="39" t="n">
        <f aca="false">IF(BE$4=0,0,IF(COUNTIFS(実績!$W$6:$W$505,BE$3,実績!$AI$6:$AI$505,"&lt;="&amp;$A169,実績!$AJ$6:$AJ$505,"&gt;"&amp;$A169,実績!$AK$6:$AK$505,"○")&gt;0,1,0))</f>
        <v>0</v>
      </c>
      <c r="BF169" s="39" t="n">
        <f aca="false">IF(BF$4=0,0,IF(COUNTIFS(実績!$W$6:$W$505,BF$3,実績!$AI$6:$AI$505,"&lt;="&amp;$A169,実績!$AJ$6:$AJ$505,"&gt;"&amp;$A169,実績!$AK$6:$AK$505,"○")&gt;0,1,0))</f>
        <v>0</v>
      </c>
      <c r="BG169" s="39" t="n">
        <f aca="false">IF(BG$4=0,0,IF(COUNTIFS(実績!$W$6:$W$505,BG$3,実績!$AI$6:$AI$505,"&lt;="&amp;$A169,実績!$AJ$6:$AJ$505,"&gt;"&amp;$A169,実績!$AK$6:$AK$505,"○")&gt;0,1,0))</f>
        <v>0</v>
      </c>
      <c r="BH169" s="39" t="n">
        <f aca="false">IF(BH$4=0,0,IF(COUNTIFS(実績!$W$6:$W$505,BH$3,実績!$AI$6:$AI$505,"&lt;="&amp;$A169,実績!$AJ$6:$AJ$505,"&gt;"&amp;$A169,実績!$AK$6:$AK$505,"○")&gt;0,1,0))</f>
        <v>0</v>
      </c>
      <c r="BI169" s="39" t="n">
        <f aca="false">IF(BI$4=0,0,IF(COUNTIFS(実績!$W$6:$W$505,BI$3,実績!$AI$6:$AI$505,"&lt;="&amp;$A169,実績!$AJ$6:$AJ$505,"&gt;"&amp;$A169,実績!$AK$6:$AK$505,"○")&gt;0,1,0))</f>
        <v>0</v>
      </c>
      <c r="BJ169" s="39" t="n">
        <f aca="false">IF(BJ$4=0,0,IF(COUNTIFS(実績!$W$6:$W$505,BJ$3,実績!$AI$6:$AI$505,"&lt;="&amp;$A169,実績!$AJ$6:$AJ$505,"&gt;"&amp;$A169,実績!$AK$6:$AK$505,"○")&gt;0,1,0))</f>
        <v>0</v>
      </c>
      <c r="BK169" s="39" t="n">
        <f aca="false">IF(BK$4=0,0,IF(COUNTIFS(実績!$W$6:$W$505,BK$3,実績!$AI$6:$AI$505,"&lt;="&amp;$A169,実績!$AJ$6:$AJ$505,"&gt;"&amp;$A169,実績!$AK$6:$AK$505,"○")&gt;0,1,0))</f>
        <v>0</v>
      </c>
      <c r="BL169" s="39" t="n">
        <f aca="false">IF(BL$4=0,0,IF(COUNTIFS(実績!$W$6:$W$505,BL$3,実績!$AI$6:$AI$505,"&lt;="&amp;$A169,実績!$AJ$6:$AJ$505,"&gt;"&amp;$A169,実績!$AK$6:$AK$505,"○")&gt;0,1,0))</f>
        <v>0</v>
      </c>
      <c r="BM169" s="39" t="n">
        <f aca="false">IF(BM$4=0,0,IF(COUNTIFS(実績!$W$6:$W$505,BM$3,実績!$AI$6:$AI$505,"&lt;="&amp;$A169,実績!$AJ$6:$AJ$505,"&gt;"&amp;$A169,実績!$AK$6:$AK$505,"○")&gt;0,1,0))</f>
        <v>0</v>
      </c>
      <c r="BN169" s="39" t="n">
        <f aca="false">IF(BN$4=0,0,IF(COUNTIFS(実績!$W$6:$W$505,BN$3,実績!$AI$6:$AI$505,"&lt;="&amp;$A169,実績!$AJ$6:$AJ$505,"&gt;"&amp;$A169,実績!$AK$6:$AK$505,"○")&gt;0,1,0))</f>
        <v>0</v>
      </c>
      <c r="BO169" s="39" t="n">
        <f aca="false">IF(BO$4=0,0,IF(COUNTIFS(実績!$W$6:$W$505,BO$3,実績!$AI$6:$AI$505,"&lt;="&amp;$A169,実績!$AJ$6:$AJ$505,"&gt;"&amp;$A169,実績!$AK$6:$AK$505,"○")&gt;0,1,0))</f>
        <v>0</v>
      </c>
      <c r="BP169" s="39" t="n">
        <f aca="false">IF(BP$4=0,0,IF(COUNTIFS(実績!$W$6:$W$505,BP$3,実績!$AI$6:$AI$505,"&lt;="&amp;$A169,実績!$AJ$6:$AJ$505,"&gt;"&amp;$A169,実績!$AK$6:$AK$505,"○")&gt;0,1,0))</f>
        <v>0</v>
      </c>
      <c r="BQ169" s="39" t="n">
        <f aca="false">IF(BQ$4=0,0,IF(COUNTIFS(実績!$W$6:$W$505,BQ$3,実績!$AI$6:$AI$505,"&lt;="&amp;$A169,実績!$AJ$6:$AJ$505,"&gt;"&amp;$A169,実績!$AK$6:$AK$505,"○")&gt;0,1,0))</f>
        <v>0</v>
      </c>
      <c r="BR169" s="39" t="n">
        <f aca="false">IF(BR$4=0,0,IF(COUNTIFS(実績!$W$6:$W$505,BR$3,実績!$AI$6:$AI$505,"&lt;="&amp;$A169,実績!$AJ$6:$AJ$505,"&gt;"&amp;$A169,実績!$AK$6:$AK$505,"○")&gt;0,1,0))</f>
        <v>0</v>
      </c>
      <c r="BS169" s="39" t="n">
        <f aca="false">IF(BS$4=0,0,IF(COUNTIFS(実績!$W$6:$W$505,BS$3,実績!$AI$6:$AI$505,"&lt;="&amp;$A169,実績!$AJ$6:$AJ$505,"&gt;"&amp;$A169,実績!$AK$6:$AK$505,"○")&gt;0,1,0))</f>
        <v>0</v>
      </c>
      <c r="BT169" s="39" t="n">
        <f aca="false">IF(BT$4=0,0,IF(COUNTIFS(実績!$W$6:$W$505,BT$3,実績!$AI$6:$AI$505,"&lt;="&amp;$A169,実績!$AJ$6:$AJ$505,"&gt;"&amp;$A169,実績!$AK$6:$AK$505,"○")&gt;0,1,0))</f>
        <v>0</v>
      </c>
      <c r="BU169" s="39" t="n">
        <f aca="false">IF(BU$4=0,0,IF(COUNTIFS(実績!$W$6:$W$505,BU$3,実績!$AI$6:$AI$505,"&lt;="&amp;$A169,実績!$AJ$6:$AJ$505,"&gt;"&amp;$A169,実績!$AK$6:$AK$505,"○")&gt;0,1,0))</f>
        <v>0</v>
      </c>
      <c r="BV169" s="39" t="n">
        <f aca="false">IF(BV$4=0,0,IF(COUNTIFS(実績!$W$6:$W$505,BV$3,実績!$AI$6:$AI$505,"&lt;="&amp;$A169,実績!$AJ$6:$AJ$505,"&gt;"&amp;$A169,実績!$AK$6:$AK$505,"○")&gt;0,1,0))</f>
        <v>0</v>
      </c>
      <c r="BW169" s="39" t="n">
        <f aca="false">IF(BW$4=0,0,IF(COUNTIFS(実績!$W$6:$W$505,BW$3,実績!$AI$6:$AI$505,"&lt;="&amp;$A169,実績!$AJ$6:$AJ$505,"&gt;"&amp;$A169,実績!$AK$6:$AK$505,"○")&gt;0,1,0))</f>
        <v>0</v>
      </c>
      <c r="BX169" s="39" t="n">
        <f aca="false">IF(BX$4=0,0,IF(COUNTIFS(実績!$W$6:$W$505,BX$3,実績!$AI$6:$AI$505,"&lt;="&amp;$A169,実績!$AJ$6:$AJ$505,"&gt;"&amp;$A169,実績!$AK$6:$AK$505,"○")&gt;0,1,0))</f>
        <v>0</v>
      </c>
      <c r="BY169" s="39" t="n">
        <f aca="false">IF(BY$4=0,0,IF(COUNTIFS(実績!$W$6:$W$505,BY$3,実績!$AI$6:$AI$505,"&lt;="&amp;$A169,実績!$AJ$6:$AJ$505,"&gt;"&amp;$A169,実績!$AK$6:$AK$505,"○")&gt;0,1,0))</f>
        <v>0</v>
      </c>
      <c r="BZ169" s="39" t="n">
        <f aca="false">IF(BZ$4=0,0,IF(COUNTIFS(実績!$W$6:$W$505,BZ$3,実績!$AI$6:$AI$505,"&lt;="&amp;$A169,実績!$AJ$6:$AJ$505,"&gt;"&amp;$A169,実績!$AK$6:$AK$505,"○")&gt;0,1,0))</f>
        <v>0</v>
      </c>
      <c r="CA169" s="39" t="n">
        <f aca="false">IF(CA$4=0,0,IF(COUNTIFS(実績!$W$6:$W$505,CA$3,実績!$AI$6:$AI$505,"&lt;="&amp;$A169,実績!$AJ$6:$AJ$505,"&gt;"&amp;$A169,実績!$AK$6:$AK$505,"○")&gt;0,1,0))</f>
        <v>0</v>
      </c>
      <c r="CB169" s="39" t="n">
        <f aca="false">IF(CB$4=0,0,IF(COUNTIFS(実績!$W$6:$W$505,CB$3,実績!$AI$6:$AI$505,"&lt;="&amp;$A169,実績!$AJ$6:$AJ$505,"&gt;"&amp;$A169,実績!$AK$6:$AK$505,"○")&gt;0,1,0))</f>
        <v>0</v>
      </c>
      <c r="CC169" s="39" t="n">
        <f aca="false">IF(CC$4=0,0,IF(COUNTIFS(実績!$W$6:$W$505,CC$3,実績!$AI$6:$AI$505,"&lt;="&amp;$A169,実績!$AJ$6:$AJ$505,"&gt;"&amp;$A169,実績!$AK$6:$AK$505,"○")&gt;0,1,0))</f>
        <v>0</v>
      </c>
      <c r="CD169" s="39" t="n">
        <f aca="false">IF(CD$4=0,0,IF(COUNTIFS(実績!$W$6:$W$505,CD$3,実績!$AI$6:$AI$505,"&lt;="&amp;$A169,実績!$AJ$6:$AJ$505,"&gt;"&amp;$A169,実績!$AK$6:$AK$505,"○")&gt;0,1,0))</f>
        <v>0</v>
      </c>
      <c r="CE169" s="39" t="n">
        <f aca="false">IF(CE$4=0,0,IF(COUNTIFS(実績!$W$6:$W$505,CE$3,実績!$AI$6:$AI$505,"&lt;="&amp;$A169,実績!$AJ$6:$AJ$505,"&gt;"&amp;$A169,実績!$AK$6:$AK$505,"○")&gt;0,1,0))</f>
        <v>0</v>
      </c>
      <c r="CF169" s="39" t="n">
        <f aca="false">IF(CF$4=0,0,IF(COUNTIFS(実績!$W$6:$W$505,CF$3,実績!$AI$6:$AI$505,"&lt;="&amp;$A169,実績!$AJ$6:$AJ$505,"&gt;"&amp;$A169,実績!$AK$6:$AK$505,"○")&gt;0,1,0))</f>
        <v>0</v>
      </c>
      <c r="CG169" s="39" t="n">
        <f aca="false">IF(CG$4=0,0,IF(COUNTIFS(実績!$W$6:$W$505,CG$3,実績!$AI$6:$AI$505,"&lt;="&amp;$A169,実績!$AJ$6:$AJ$505,"&gt;"&amp;$A169,実績!$AK$6:$AK$505,"○")&gt;0,1,0))</f>
        <v>0</v>
      </c>
      <c r="CH169" s="39" t="n">
        <f aca="false">IF(CH$4=0,0,IF(COUNTIFS(実績!$W$6:$W$505,CH$3,実績!$AI$6:$AI$505,"&lt;="&amp;$A169,実績!$AJ$6:$AJ$505,"&gt;"&amp;$A169,実績!$AK$6:$AK$505,"○")&gt;0,1,0))</f>
        <v>0</v>
      </c>
      <c r="CI169" s="39" t="n">
        <f aca="false">IF(CI$4=0,0,IF(COUNTIFS(実績!$W$6:$W$505,CI$3,実績!$AI$6:$AI$505,"&lt;="&amp;$A169,実績!$AJ$6:$AJ$505,"&gt;"&amp;$A169,実績!$AK$6:$AK$505,"○")&gt;0,1,0))</f>
        <v>0</v>
      </c>
      <c r="CJ169" s="39" t="n">
        <f aca="false">IF(CJ$4=0,0,IF(COUNTIFS(実績!$W$6:$W$505,CJ$3,実績!$AI$6:$AI$505,"&lt;="&amp;$A169,実績!$AJ$6:$AJ$505,"&gt;"&amp;$A169,実績!$AK$6:$AK$505,"○")&gt;0,1,0))</f>
        <v>0</v>
      </c>
      <c r="CK169" s="39" t="n">
        <f aca="false">IF(CK$4=0,0,IF(COUNTIFS(実績!$W$6:$W$505,CK$3,実績!$AI$6:$AI$505,"&lt;="&amp;$A169,実績!$AJ$6:$AJ$505,"&gt;"&amp;$A169,実績!$AK$6:$AK$505,"○")&gt;0,1,0))</f>
        <v>0</v>
      </c>
      <c r="CL169" s="39" t="n">
        <f aca="false">IF(CL$4=0,0,IF(COUNTIFS(実績!$W$6:$W$505,CL$3,実績!$AI$6:$AI$505,"&lt;="&amp;$A169,実績!$AJ$6:$AJ$505,"&gt;"&amp;$A169,実績!$AK$6:$AK$505,"○")&gt;0,1,0))</f>
        <v>0</v>
      </c>
      <c r="CM169" s="39" t="n">
        <f aca="false">IF(CM$4=0,0,IF(COUNTIFS(実績!$W$6:$W$505,CM$3,実績!$AI$6:$AI$505,"&lt;="&amp;$A169,実績!$AJ$6:$AJ$505,"&gt;"&amp;$A169,実績!$AK$6:$AK$505,"○")&gt;0,1,0))</f>
        <v>0</v>
      </c>
      <c r="CN169" s="39" t="n">
        <f aca="false">IF(CN$4=0,0,IF(COUNTIFS(実績!$W$6:$W$505,CN$3,実績!$AI$6:$AI$505,"&lt;="&amp;$A169,実績!$AJ$6:$AJ$505,"&gt;"&amp;$A169,実績!$AK$6:$AK$505,"○")&gt;0,1,0))</f>
        <v>0</v>
      </c>
      <c r="CO169" s="39" t="n">
        <f aca="false">IF(CO$4=0,0,IF(COUNTIFS(実績!$W$6:$W$505,CO$3,実績!$AI$6:$AI$505,"&lt;="&amp;$A169,実績!$AJ$6:$AJ$505,"&gt;"&amp;$A169,実績!$AK$6:$AK$505,"○")&gt;0,1,0))</f>
        <v>0</v>
      </c>
      <c r="CP169" s="39" t="n">
        <f aca="false">IF(CP$4=0,0,IF(COUNTIFS(実績!$W$6:$W$505,CP$3,実績!$AI$6:$AI$505,"&lt;="&amp;$A169,実績!$AJ$6:$AJ$505,"&gt;"&amp;$A169,実績!$AK$6:$AK$505,"○")&gt;0,1,0))</f>
        <v>0</v>
      </c>
      <c r="CQ169" s="39" t="n">
        <f aca="false">IF(CQ$4=0,0,IF(COUNTIFS(実績!$W$6:$W$505,CQ$3,実績!$AI$6:$AI$505,"&lt;="&amp;$A169,実績!$AJ$6:$AJ$505,"&gt;"&amp;$A169,実績!$AK$6:$AK$505,"○")&gt;0,1,0))</f>
        <v>0</v>
      </c>
      <c r="CR169" s="39" t="n">
        <f aca="false">IF(CR$4=0,0,IF(COUNTIFS(実績!$W$6:$W$505,CR$3,実績!$AI$6:$AI$505,"&lt;="&amp;$A169,実績!$AJ$6:$AJ$505,"&gt;"&amp;$A169,実績!$AK$6:$AK$505,"○")&gt;0,1,0))</f>
        <v>0</v>
      </c>
      <c r="CS169" s="39" t="n">
        <f aca="false">IF(CS$4=0,0,IF(COUNTIFS(実績!$W$6:$W$505,CS$3,実績!$AI$6:$AI$505,"&lt;="&amp;$A169,実績!$AJ$6:$AJ$505,"&gt;"&amp;$A169,実績!$AK$6:$AK$505,"○")&gt;0,1,0))</f>
        <v>0</v>
      </c>
      <c r="CT169" s="39" t="n">
        <f aca="false">IF(CT$4=0,0,IF(COUNTIFS(実績!$W$6:$W$505,CT$3,実績!$AI$6:$AI$505,"&lt;="&amp;$A169,実績!$AJ$6:$AJ$505,"&gt;"&amp;$A169,実績!$AK$6:$AK$505,"○")&gt;0,1,0))</f>
        <v>0</v>
      </c>
      <c r="CU169" s="39" t="n">
        <f aca="false">IF(CU$4=0,0,IF(COUNTIFS(実績!$W$6:$W$505,CU$3,実績!$AI$6:$AI$505,"&lt;="&amp;$A169,実績!$AJ$6:$AJ$505,"&gt;"&amp;$A169,実績!$AK$6:$AK$505,"○")&gt;0,1,0))</f>
        <v>0</v>
      </c>
      <c r="CV169" s="39" t="n">
        <f aca="false">IF(CV$4=0,0,IF(COUNTIFS(実績!$W$6:$W$505,CV$3,実績!$AI$6:$AI$505,"&lt;="&amp;$A169,実績!$AJ$6:$AJ$505,"&gt;"&amp;$A169,実績!$AK$6:$AK$505,"○")&gt;0,1,0))</f>
        <v>0</v>
      </c>
      <c r="CW169" s="39" t="n">
        <f aca="false">IF(CW$4=0,0,IF(COUNTIFS(実績!$W$6:$W$505,CW$3,実績!$AI$6:$AI$505,"&lt;="&amp;$A169,実績!$AJ$6:$AJ$505,"&gt;"&amp;$A169,実績!$AK$6:$AK$505,"○")&gt;0,1,0))</f>
        <v>0</v>
      </c>
      <c r="CX169" s="39" t="n">
        <f aca="false">IF(CX$4=0,0,IF(COUNTIFS(実績!$W$6:$W$505,CX$3,実績!$AI$6:$AI$505,"&lt;="&amp;$A169,実績!$AJ$6:$AJ$505,"&gt;"&amp;$A169,実績!$AK$6:$AK$505,"○")&gt;0,1,0))</f>
        <v>0</v>
      </c>
      <c r="CY169" s="39" t="n">
        <f aca="false">IF(CY$4=0,0,IF(COUNTIFS(実績!$W$6:$W$505,CY$3,実績!$AI$6:$AI$505,"&lt;="&amp;$A169,実績!$AJ$6:$AJ$505,"&gt;"&amp;$A169,実績!$AK$6:$AK$505,"○")&gt;0,1,0))</f>
        <v>0</v>
      </c>
      <c r="CZ169" s="39" t="n">
        <f aca="false">IF(CZ$4=0,0,IF(COUNTIFS(実績!$W$6:$W$505,CZ$3,実績!$AI$6:$AI$505,"&lt;="&amp;$A169,実績!$AJ$6:$AJ$505,"&gt;"&amp;$A169,実績!$AK$6:$AK$505,"○")&gt;0,1,0))</f>
        <v>0</v>
      </c>
      <c r="DA169" s="39" t="n">
        <f aca="false">IF(DA$4=0,0,IF(COUNTIFS(実績!$W$6:$W$505,DA$3,実績!$AI$6:$AI$505,"&lt;="&amp;$A169,実績!$AJ$6:$AJ$505,"&gt;"&amp;$A169,実績!$AK$6:$AK$505,"○")&gt;0,1,0))</f>
        <v>0</v>
      </c>
      <c r="DB169" s="39" t="n">
        <f aca="false">IF(DB$4=0,0,IF(COUNTIFS(実績!$W$6:$W$505,DB$3,実績!$AI$6:$AI$505,"&lt;="&amp;$A169,実績!$AJ$6:$AJ$505,"&gt;"&amp;$A169,実績!$AK$6:$AK$505,"○")&gt;0,1,0))</f>
        <v>0</v>
      </c>
      <c r="DC169" s="39" t="n">
        <f aca="false">IF(DC$4=0,0,IF(COUNTIFS(実績!$W$6:$W$505,DC$3,実績!$AI$6:$AI$505,"&lt;="&amp;$A169,実績!$AJ$6:$AJ$505,"&gt;"&amp;$A169,実績!$AK$6:$AK$505,"○")&gt;0,1,0))</f>
        <v>0</v>
      </c>
      <c r="DD169" s="39" t="n">
        <f aca="false">IF(DD$4=0,0,IF(COUNTIFS(実績!$W$6:$W$505,DD$3,実績!$AI$6:$AI$505,"&lt;="&amp;$A169,実績!$AJ$6:$AJ$505,"&gt;"&amp;$A169,実績!$AK$6:$AK$505,"○")&gt;0,1,0))</f>
        <v>0</v>
      </c>
      <c r="DE169" s="39" t="n">
        <f aca="false">IF(DE$4=0,0,IF(COUNTIFS(実績!$W$6:$W$505,DE$3,実績!$AI$6:$AI$505,"&lt;="&amp;$A169,実績!$AJ$6:$AJ$505,"&gt;"&amp;$A169,実績!$AK$6:$AK$505,"○")&gt;0,1,0))</f>
        <v>0</v>
      </c>
      <c r="DF169" s="39" t="n">
        <f aca="false">IF(DF$4=0,0,IF(COUNTIFS(実績!$W$6:$W$505,DF$3,実績!$AI$6:$AI$505,"&lt;="&amp;$A169,実績!$AJ$6:$AJ$505,"&gt;"&amp;$A169,実績!$AK$6:$AK$505,"○")&gt;0,1,0))</f>
        <v>0</v>
      </c>
      <c r="DG169" s="39" t="n">
        <f aca="false">IF(DG$4=0,0,IF(COUNTIFS(実績!$W$6:$W$505,DG$3,実績!$AI$6:$AI$505,"&lt;="&amp;$A169,実績!$AJ$6:$AJ$505,"&gt;"&amp;$A169,実績!$AK$6:$AK$505,"○")&gt;0,1,0))</f>
        <v>0</v>
      </c>
      <c r="DH169" s="39" t="n">
        <f aca="false">IF(DH$4=0,0,IF(COUNTIFS(実績!$W$6:$W$505,DH$3,実績!$AI$6:$AI$505,"&lt;="&amp;$A169,実績!$AJ$6:$AJ$505,"&gt;"&amp;$A169,実績!$AK$6:$AK$505,"○")&gt;0,1,0))</f>
        <v>0</v>
      </c>
      <c r="DI169" s="39" t="n">
        <f aca="false">IF(DI$4=0,0,IF(COUNTIFS(実績!$W$6:$W$505,DI$3,実績!$AI$6:$AI$505,"&lt;="&amp;$A169,実績!$AJ$6:$AJ$505,"&gt;"&amp;$A169,実績!$AK$6:$AK$505,"○")&gt;0,1,0))</f>
        <v>0</v>
      </c>
      <c r="DJ169" s="39" t="n">
        <f aca="false">IF(DJ$4=0,0,IF(COUNTIFS(実績!$W$6:$W$505,DJ$3,実績!$AI$6:$AI$505,"&lt;="&amp;$A169,実績!$AJ$6:$AJ$505,"&gt;"&amp;$A169,実績!$AK$6:$AK$505,"○")&gt;0,1,0))</f>
        <v>0</v>
      </c>
      <c r="DK169" s="39" t="n">
        <f aca="false">IF(DK$4=0,0,IF(COUNTIFS(実績!$W$6:$W$505,DK$3,実績!$AI$6:$AI$505,"&lt;="&amp;$A169,実績!$AJ$6:$AJ$505,"&gt;"&amp;$A169,実績!$AK$6:$AK$505,"○")&gt;0,1,0))</f>
        <v>0</v>
      </c>
      <c r="DL169" s="39" t="n">
        <f aca="false">IF(DL$4=0,0,IF(COUNTIFS(実績!$W$6:$W$505,DL$3,実績!$AI$6:$AI$505,"&lt;="&amp;$A169,実績!$AJ$6:$AJ$505,"&gt;"&amp;$A169,実績!$AK$6:$AK$505,"○")&gt;0,1,0))</f>
        <v>0</v>
      </c>
      <c r="DM169" s="39" t="n">
        <f aca="false">IF(DM$4=0,0,IF(COUNTIFS(実績!$W$6:$W$505,DM$3,実績!$AI$6:$AI$505,"&lt;="&amp;$A169,実績!$AJ$6:$AJ$505,"&gt;"&amp;$A169,実績!$AK$6:$AK$505,"○")&gt;0,1,0))</f>
        <v>0</v>
      </c>
      <c r="DN169" s="39" t="n">
        <f aca="false">IF(DN$4=0,0,IF(COUNTIFS(実績!$W$6:$W$505,DN$3,実績!$AI$6:$AI$505,"&lt;="&amp;$A169,実績!$AJ$6:$AJ$505,"&gt;"&amp;$A169,実績!$AK$6:$AK$505,"○")&gt;0,1,0))</f>
        <v>0</v>
      </c>
      <c r="DO169" s="39" t="n">
        <f aca="false">IF(DO$4=0,0,IF(COUNTIFS(実績!$W$6:$W$505,DO$3,実績!$AI$6:$AI$505,"&lt;="&amp;$A169,実績!$AJ$6:$AJ$505,"&gt;"&amp;$A169,実績!$AK$6:$AK$505,"○")&gt;0,1,0))</f>
        <v>0</v>
      </c>
      <c r="DP169" s="39" t="n">
        <f aca="false">IF(DP$4=0,0,IF(COUNTIFS(実績!$W$6:$W$505,DP$3,実績!$AI$6:$AI$505,"&lt;="&amp;$A169,実績!$AJ$6:$AJ$505,"&gt;"&amp;$A169,実績!$AK$6:$AK$505,"○")&gt;0,1,0))</f>
        <v>0</v>
      </c>
      <c r="DQ169" s="39" t="n">
        <f aca="false">IF(DQ$4=0,0,IF(COUNTIFS(実績!$W$6:$W$505,DQ$3,実績!$AI$6:$AI$505,"&lt;="&amp;$A169,実績!$AJ$6:$AJ$505,"&gt;"&amp;$A169,実績!$AK$6:$AK$505,"○")&gt;0,1,0))</f>
        <v>0</v>
      </c>
      <c r="DR169" s="39" t="n">
        <f aca="false">IF(DR$4=0,0,IF(COUNTIFS(実績!$W$6:$W$505,DR$3,実績!$AI$6:$AI$505,"&lt;="&amp;$A169,実績!$AJ$6:$AJ$505,"&gt;"&amp;$A169,実績!$AK$6:$AK$505,"○")&gt;0,1,0))</f>
        <v>0</v>
      </c>
      <c r="DS169" s="39" t="n">
        <f aca="false">SUM(C169:DR169)</f>
        <v>0</v>
      </c>
      <c r="DT169" s="39" t="n">
        <f aca="false">SUMPRODUCT((実績!$C$6:$C$505="○")*ISNUMBER(実績!$AM$6:$AM$505)*(実績!$AM$6:$AM$505&lt;=$A169)*(実績!$AN$6:$AN$505&gt;$A169))</f>
        <v>0</v>
      </c>
      <c r="DU169" s="39" t="n">
        <f aca="false">SUMIF($C$2:$DR$2,"製鉄曳船",C169:DR169)</f>
        <v>0</v>
      </c>
      <c r="DV169" s="39" t="n">
        <f aca="false">SUMIF($C$2:$DR$2,"西日本海運",C169:DR169)</f>
        <v>0</v>
      </c>
    </row>
    <row r="170" customFormat="false" ht="15" hidden="false" customHeight="false" outlineLevel="0" collapsed="false">
      <c r="A170" s="0" t="n">
        <v>820</v>
      </c>
      <c r="B170" s="38" t="n">
        <f aca="false">A170/1440</f>
        <v>0.569444444444444</v>
      </c>
      <c r="C170" s="39" t="n">
        <f aca="false">IF(C$4=0,0,IF(COUNTIFS(実績!$W$6:$W$505,C$3,実績!$AI$6:$AI$505,"&lt;="&amp;$A170,実績!$AJ$6:$AJ$505,"&gt;"&amp;$A170,実績!$AK$6:$AK$505,"○")&gt;0,1,0))</f>
        <v>0</v>
      </c>
      <c r="D170" s="39" t="n">
        <f aca="false">IF(D$4=0,0,IF(COUNTIFS(実績!$W$6:$W$505,D$3,実績!$AI$6:$AI$505,"&lt;="&amp;$A170,実績!$AJ$6:$AJ$505,"&gt;"&amp;$A170,実績!$AK$6:$AK$505,"○")&gt;0,1,0))</f>
        <v>0</v>
      </c>
      <c r="E170" s="39" t="n">
        <f aca="false">IF(E$4=0,0,IF(COUNTIFS(実績!$W$6:$W$505,E$3,実績!$AI$6:$AI$505,"&lt;="&amp;$A170,実績!$AJ$6:$AJ$505,"&gt;"&amp;$A170,実績!$AK$6:$AK$505,"○")&gt;0,1,0))</f>
        <v>0</v>
      </c>
      <c r="F170" s="39" t="n">
        <f aca="false">IF(F$4=0,0,IF(COUNTIFS(実績!$W$6:$W$505,F$3,実績!$AI$6:$AI$505,"&lt;="&amp;$A170,実績!$AJ$6:$AJ$505,"&gt;"&amp;$A170,実績!$AK$6:$AK$505,"○")&gt;0,1,0))</f>
        <v>0</v>
      </c>
      <c r="G170" s="39" t="n">
        <f aca="false">IF(G$4=0,0,IF(COUNTIFS(実績!$W$6:$W$505,G$3,実績!$AI$6:$AI$505,"&lt;="&amp;$A170,実績!$AJ$6:$AJ$505,"&gt;"&amp;$A170,実績!$AK$6:$AK$505,"○")&gt;0,1,0))</f>
        <v>0</v>
      </c>
      <c r="H170" s="39" t="n">
        <f aca="false">IF(H$4=0,0,IF(COUNTIFS(実績!$W$6:$W$505,H$3,実績!$AI$6:$AI$505,"&lt;="&amp;$A170,実績!$AJ$6:$AJ$505,"&gt;"&amp;$A170,実績!$AK$6:$AK$505,"○")&gt;0,1,0))</f>
        <v>0</v>
      </c>
      <c r="I170" s="39" t="n">
        <f aca="false">IF(I$4=0,0,IF(COUNTIFS(実績!$W$6:$W$505,I$3,実績!$AI$6:$AI$505,"&lt;="&amp;$A170,実績!$AJ$6:$AJ$505,"&gt;"&amp;$A170,実績!$AK$6:$AK$505,"○")&gt;0,1,0))</f>
        <v>0</v>
      </c>
      <c r="J170" s="39" t="n">
        <f aca="false">IF(J$4=0,0,IF(COUNTIFS(実績!$W$6:$W$505,J$3,実績!$AI$6:$AI$505,"&lt;="&amp;$A170,実績!$AJ$6:$AJ$505,"&gt;"&amp;$A170,実績!$AK$6:$AK$505,"○")&gt;0,1,0))</f>
        <v>0</v>
      </c>
      <c r="K170" s="39" t="n">
        <f aca="false">IF(K$4=0,0,IF(COUNTIFS(実績!$W$6:$W$505,K$3,実績!$AI$6:$AI$505,"&lt;="&amp;$A170,実績!$AJ$6:$AJ$505,"&gt;"&amp;$A170,実績!$AK$6:$AK$505,"○")&gt;0,1,0))</f>
        <v>0</v>
      </c>
      <c r="L170" s="39" t="n">
        <f aca="false">IF(L$4=0,0,IF(COUNTIFS(実績!$W$6:$W$505,L$3,実績!$AI$6:$AI$505,"&lt;="&amp;$A170,実績!$AJ$6:$AJ$505,"&gt;"&amp;$A170,実績!$AK$6:$AK$505,"○")&gt;0,1,0))</f>
        <v>0</v>
      </c>
      <c r="M170" s="39" t="n">
        <f aca="false">IF(M$4=0,0,IF(COUNTIFS(実績!$W$6:$W$505,M$3,実績!$AI$6:$AI$505,"&lt;="&amp;$A170,実績!$AJ$6:$AJ$505,"&gt;"&amp;$A170,実績!$AK$6:$AK$505,"○")&gt;0,1,0))</f>
        <v>0</v>
      </c>
      <c r="N170" s="39" t="n">
        <f aca="false">IF(N$4=0,0,IF(COUNTIFS(実績!$W$6:$W$505,N$3,実績!$AI$6:$AI$505,"&lt;="&amp;$A170,実績!$AJ$6:$AJ$505,"&gt;"&amp;$A170,実績!$AK$6:$AK$505,"○")&gt;0,1,0))</f>
        <v>0</v>
      </c>
      <c r="O170" s="39" t="n">
        <f aca="false">IF(O$4=0,0,IF(COUNTIFS(実績!$W$6:$W$505,O$3,実績!$AI$6:$AI$505,"&lt;="&amp;$A170,実績!$AJ$6:$AJ$505,"&gt;"&amp;$A170,実績!$AK$6:$AK$505,"○")&gt;0,1,0))</f>
        <v>0</v>
      </c>
      <c r="P170" s="39" t="n">
        <f aca="false">IF(P$4=0,0,IF(COUNTIFS(実績!$W$6:$W$505,P$3,実績!$AI$6:$AI$505,"&lt;="&amp;$A170,実績!$AJ$6:$AJ$505,"&gt;"&amp;$A170,実績!$AK$6:$AK$505,"○")&gt;0,1,0))</f>
        <v>0</v>
      </c>
      <c r="Q170" s="39" t="n">
        <f aca="false">IF(Q$4=0,0,IF(COUNTIFS(実績!$W$6:$W$505,Q$3,実績!$AI$6:$AI$505,"&lt;="&amp;$A170,実績!$AJ$6:$AJ$505,"&gt;"&amp;$A170,実績!$AK$6:$AK$505,"○")&gt;0,1,0))</f>
        <v>0</v>
      </c>
      <c r="R170" s="39" t="n">
        <f aca="false">IF(R$4=0,0,IF(COUNTIFS(実績!$W$6:$W$505,R$3,実績!$AI$6:$AI$505,"&lt;="&amp;$A170,実績!$AJ$6:$AJ$505,"&gt;"&amp;$A170,実績!$AK$6:$AK$505,"○")&gt;0,1,0))</f>
        <v>0</v>
      </c>
      <c r="S170" s="39" t="n">
        <f aca="false">IF(S$4=0,0,IF(COUNTIFS(実績!$W$6:$W$505,S$3,実績!$AI$6:$AI$505,"&lt;="&amp;$A170,実績!$AJ$6:$AJ$505,"&gt;"&amp;$A170,実績!$AK$6:$AK$505,"○")&gt;0,1,0))</f>
        <v>0</v>
      </c>
      <c r="T170" s="39" t="n">
        <f aca="false">IF(T$4=0,0,IF(COUNTIFS(実績!$W$6:$W$505,T$3,実績!$AI$6:$AI$505,"&lt;="&amp;$A170,実績!$AJ$6:$AJ$505,"&gt;"&amp;$A170,実績!$AK$6:$AK$505,"○")&gt;0,1,0))</f>
        <v>0</v>
      </c>
      <c r="U170" s="39" t="n">
        <f aca="false">IF(U$4=0,0,IF(COUNTIFS(実績!$W$6:$W$505,U$3,実績!$AI$6:$AI$505,"&lt;="&amp;$A170,実績!$AJ$6:$AJ$505,"&gt;"&amp;$A170,実績!$AK$6:$AK$505,"○")&gt;0,1,0))</f>
        <v>0</v>
      </c>
      <c r="V170" s="39" t="n">
        <f aca="false">IF(V$4=0,0,IF(COUNTIFS(実績!$W$6:$W$505,V$3,実績!$AI$6:$AI$505,"&lt;="&amp;$A170,実績!$AJ$6:$AJ$505,"&gt;"&amp;$A170,実績!$AK$6:$AK$505,"○")&gt;0,1,0))</f>
        <v>0</v>
      </c>
      <c r="W170" s="39" t="n">
        <f aca="false">IF(W$4=0,0,IF(COUNTIFS(実績!$W$6:$W$505,W$3,実績!$AI$6:$AI$505,"&lt;="&amp;$A170,実績!$AJ$6:$AJ$505,"&gt;"&amp;$A170,実績!$AK$6:$AK$505,"○")&gt;0,1,0))</f>
        <v>0</v>
      </c>
      <c r="X170" s="39" t="n">
        <f aca="false">IF(X$4=0,0,IF(COUNTIFS(実績!$W$6:$W$505,X$3,実績!$AI$6:$AI$505,"&lt;="&amp;$A170,実績!$AJ$6:$AJ$505,"&gt;"&amp;$A170,実績!$AK$6:$AK$505,"○")&gt;0,1,0))</f>
        <v>0</v>
      </c>
      <c r="Y170" s="39" t="n">
        <f aca="false">IF(Y$4=0,0,IF(COUNTIFS(実績!$W$6:$W$505,Y$3,実績!$AI$6:$AI$505,"&lt;="&amp;$A170,実績!$AJ$6:$AJ$505,"&gt;"&amp;$A170,実績!$AK$6:$AK$505,"○")&gt;0,1,0))</f>
        <v>0</v>
      </c>
      <c r="Z170" s="39" t="n">
        <f aca="false">IF(Z$4=0,0,IF(COUNTIFS(実績!$W$6:$W$505,Z$3,実績!$AI$6:$AI$505,"&lt;="&amp;$A170,実績!$AJ$6:$AJ$505,"&gt;"&amp;$A170,実績!$AK$6:$AK$505,"○")&gt;0,1,0))</f>
        <v>0</v>
      </c>
      <c r="AA170" s="39" t="n">
        <f aca="false">IF(AA$4=0,0,IF(COUNTIFS(実績!$W$6:$W$505,AA$3,実績!$AI$6:$AI$505,"&lt;="&amp;$A170,実績!$AJ$6:$AJ$505,"&gt;"&amp;$A170,実績!$AK$6:$AK$505,"○")&gt;0,1,0))</f>
        <v>0</v>
      </c>
      <c r="AB170" s="39" t="n">
        <f aca="false">IF(AB$4=0,0,IF(COUNTIFS(実績!$W$6:$W$505,AB$3,実績!$AI$6:$AI$505,"&lt;="&amp;$A170,実績!$AJ$6:$AJ$505,"&gt;"&amp;$A170,実績!$AK$6:$AK$505,"○")&gt;0,1,0))</f>
        <v>0</v>
      </c>
      <c r="AC170" s="39" t="n">
        <f aca="false">IF(AC$4=0,0,IF(COUNTIFS(実績!$W$6:$W$505,AC$3,実績!$AI$6:$AI$505,"&lt;="&amp;$A170,実績!$AJ$6:$AJ$505,"&gt;"&amp;$A170,実績!$AK$6:$AK$505,"○")&gt;0,1,0))</f>
        <v>0</v>
      </c>
      <c r="AD170" s="39" t="n">
        <f aca="false">IF(AD$4=0,0,IF(COUNTIFS(実績!$W$6:$W$505,AD$3,実績!$AI$6:$AI$505,"&lt;="&amp;$A170,実績!$AJ$6:$AJ$505,"&gt;"&amp;$A170,実績!$AK$6:$AK$505,"○")&gt;0,1,0))</f>
        <v>0</v>
      </c>
      <c r="AE170" s="39" t="n">
        <f aca="false">IF(AE$4=0,0,IF(COUNTIFS(実績!$W$6:$W$505,AE$3,実績!$AI$6:$AI$505,"&lt;="&amp;$A170,実績!$AJ$6:$AJ$505,"&gt;"&amp;$A170,実績!$AK$6:$AK$505,"○")&gt;0,1,0))</f>
        <v>0</v>
      </c>
      <c r="AF170" s="39" t="n">
        <f aca="false">IF(AF$4=0,0,IF(COUNTIFS(実績!$W$6:$W$505,AF$3,実績!$AI$6:$AI$505,"&lt;="&amp;$A170,実績!$AJ$6:$AJ$505,"&gt;"&amp;$A170,実績!$AK$6:$AK$505,"○")&gt;0,1,0))</f>
        <v>0</v>
      </c>
      <c r="AG170" s="39" t="n">
        <f aca="false">IF(AG$4=0,0,IF(COUNTIFS(実績!$W$6:$W$505,AG$3,実績!$AI$6:$AI$505,"&lt;="&amp;$A170,実績!$AJ$6:$AJ$505,"&gt;"&amp;$A170,実績!$AK$6:$AK$505,"○")&gt;0,1,0))</f>
        <v>0</v>
      </c>
      <c r="AH170" s="39" t="n">
        <f aca="false">IF(AH$4=0,0,IF(COUNTIFS(実績!$W$6:$W$505,AH$3,実績!$AI$6:$AI$505,"&lt;="&amp;$A170,実績!$AJ$6:$AJ$505,"&gt;"&amp;$A170,実績!$AK$6:$AK$505,"○")&gt;0,1,0))</f>
        <v>0</v>
      </c>
      <c r="AI170" s="39" t="n">
        <f aca="false">IF(AI$4=0,0,IF(COUNTIFS(実績!$W$6:$W$505,AI$3,実績!$AI$6:$AI$505,"&lt;="&amp;$A170,実績!$AJ$6:$AJ$505,"&gt;"&amp;$A170,実績!$AK$6:$AK$505,"○")&gt;0,1,0))</f>
        <v>0</v>
      </c>
      <c r="AJ170" s="39" t="n">
        <f aca="false">IF(AJ$4=0,0,IF(COUNTIFS(実績!$W$6:$W$505,AJ$3,実績!$AI$6:$AI$505,"&lt;="&amp;$A170,実績!$AJ$6:$AJ$505,"&gt;"&amp;$A170,実績!$AK$6:$AK$505,"○")&gt;0,1,0))</f>
        <v>0</v>
      </c>
      <c r="AK170" s="39" t="n">
        <f aca="false">IF(AK$4=0,0,IF(COUNTIFS(実績!$W$6:$W$505,AK$3,実績!$AI$6:$AI$505,"&lt;="&amp;$A170,実績!$AJ$6:$AJ$505,"&gt;"&amp;$A170,実績!$AK$6:$AK$505,"○")&gt;0,1,0))</f>
        <v>0</v>
      </c>
      <c r="AL170" s="39" t="n">
        <f aca="false">IF(AL$4=0,0,IF(COUNTIFS(実績!$W$6:$W$505,AL$3,実績!$AI$6:$AI$505,"&lt;="&amp;$A170,実績!$AJ$6:$AJ$505,"&gt;"&amp;$A170,実績!$AK$6:$AK$505,"○")&gt;0,1,0))</f>
        <v>0</v>
      </c>
      <c r="AM170" s="39" t="n">
        <f aca="false">IF(AM$4=0,0,IF(COUNTIFS(実績!$W$6:$W$505,AM$3,実績!$AI$6:$AI$505,"&lt;="&amp;$A170,実績!$AJ$6:$AJ$505,"&gt;"&amp;$A170,実績!$AK$6:$AK$505,"○")&gt;0,1,0))</f>
        <v>0</v>
      </c>
      <c r="AN170" s="39" t="n">
        <f aca="false">IF(AN$4=0,0,IF(COUNTIFS(実績!$W$6:$W$505,AN$3,実績!$AI$6:$AI$505,"&lt;="&amp;$A170,実績!$AJ$6:$AJ$505,"&gt;"&amp;$A170,実績!$AK$6:$AK$505,"○")&gt;0,1,0))</f>
        <v>0</v>
      </c>
      <c r="AO170" s="39" t="n">
        <f aca="false">IF(AO$4=0,0,IF(COUNTIFS(実績!$W$6:$W$505,AO$3,実績!$AI$6:$AI$505,"&lt;="&amp;$A170,実績!$AJ$6:$AJ$505,"&gt;"&amp;$A170,実績!$AK$6:$AK$505,"○")&gt;0,1,0))</f>
        <v>0</v>
      </c>
      <c r="AP170" s="39" t="n">
        <f aca="false">IF(AP$4=0,0,IF(COUNTIFS(実績!$W$6:$W$505,AP$3,実績!$AI$6:$AI$505,"&lt;="&amp;$A170,実績!$AJ$6:$AJ$505,"&gt;"&amp;$A170,実績!$AK$6:$AK$505,"○")&gt;0,1,0))</f>
        <v>0</v>
      </c>
      <c r="AQ170" s="39" t="n">
        <f aca="false">IF(AQ$4=0,0,IF(COUNTIFS(実績!$W$6:$W$505,AQ$3,実績!$AI$6:$AI$505,"&lt;="&amp;$A170,実績!$AJ$6:$AJ$505,"&gt;"&amp;$A170,実績!$AK$6:$AK$505,"○")&gt;0,1,0))</f>
        <v>0</v>
      </c>
      <c r="AR170" s="39" t="n">
        <f aca="false">IF(AR$4=0,0,IF(COUNTIFS(実績!$W$6:$W$505,AR$3,実績!$AI$6:$AI$505,"&lt;="&amp;$A170,実績!$AJ$6:$AJ$505,"&gt;"&amp;$A170,実績!$AK$6:$AK$505,"○")&gt;0,1,0))</f>
        <v>0</v>
      </c>
      <c r="AS170" s="39" t="n">
        <f aca="false">IF(AS$4=0,0,IF(COUNTIFS(実績!$W$6:$W$505,AS$3,実績!$AI$6:$AI$505,"&lt;="&amp;$A170,実績!$AJ$6:$AJ$505,"&gt;"&amp;$A170,実績!$AK$6:$AK$505,"○")&gt;0,1,0))</f>
        <v>0</v>
      </c>
      <c r="AT170" s="39" t="n">
        <f aca="false">IF(AT$4=0,0,IF(COUNTIFS(実績!$W$6:$W$505,AT$3,実績!$AI$6:$AI$505,"&lt;="&amp;$A170,実績!$AJ$6:$AJ$505,"&gt;"&amp;$A170,実績!$AK$6:$AK$505,"○")&gt;0,1,0))</f>
        <v>0</v>
      </c>
      <c r="AU170" s="39" t="n">
        <f aca="false">IF(AU$4=0,0,IF(COUNTIFS(実績!$W$6:$W$505,AU$3,実績!$AI$6:$AI$505,"&lt;="&amp;$A170,実績!$AJ$6:$AJ$505,"&gt;"&amp;$A170,実績!$AK$6:$AK$505,"○")&gt;0,1,0))</f>
        <v>0</v>
      </c>
      <c r="AV170" s="39" t="n">
        <f aca="false">IF(AV$4=0,0,IF(COUNTIFS(実績!$W$6:$W$505,AV$3,実績!$AI$6:$AI$505,"&lt;="&amp;$A170,実績!$AJ$6:$AJ$505,"&gt;"&amp;$A170,実績!$AK$6:$AK$505,"○")&gt;0,1,0))</f>
        <v>0</v>
      </c>
      <c r="AW170" s="39" t="n">
        <f aca="false">IF(AW$4=0,0,IF(COUNTIFS(実績!$W$6:$W$505,AW$3,実績!$AI$6:$AI$505,"&lt;="&amp;$A170,実績!$AJ$6:$AJ$505,"&gt;"&amp;$A170,実績!$AK$6:$AK$505,"○")&gt;0,1,0))</f>
        <v>0</v>
      </c>
      <c r="AX170" s="39" t="n">
        <f aca="false">IF(AX$4=0,0,IF(COUNTIFS(実績!$W$6:$W$505,AX$3,実績!$AI$6:$AI$505,"&lt;="&amp;$A170,実績!$AJ$6:$AJ$505,"&gt;"&amp;$A170,実績!$AK$6:$AK$505,"○")&gt;0,1,0))</f>
        <v>0</v>
      </c>
      <c r="AY170" s="39" t="n">
        <f aca="false">IF(AY$4=0,0,IF(COUNTIFS(実績!$W$6:$W$505,AY$3,実績!$AI$6:$AI$505,"&lt;="&amp;$A170,実績!$AJ$6:$AJ$505,"&gt;"&amp;$A170,実績!$AK$6:$AK$505,"○")&gt;0,1,0))</f>
        <v>0</v>
      </c>
      <c r="AZ170" s="39" t="n">
        <f aca="false">IF(AZ$4=0,0,IF(COUNTIFS(実績!$W$6:$W$505,AZ$3,実績!$AI$6:$AI$505,"&lt;="&amp;$A170,実績!$AJ$6:$AJ$505,"&gt;"&amp;$A170,実績!$AK$6:$AK$505,"○")&gt;0,1,0))</f>
        <v>0</v>
      </c>
      <c r="BA170" s="39" t="n">
        <f aca="false">IF(BA$4=0,0,IF(COUNTIFS(実績!$W$6:$W$505,BA$3,実績!$AI$6:$AI$505,"&lt;="&amp;$A170,実績!$AJ$6:$AJ$505,"&gt;"&amp;$A170,実績!$AK$6:$AK$505,"○")&gt;0,1,0))</f>
        <v>0</v>
      </c>
      <c r="BB170" s="39" t="n">
        <f aca="false">IF(BB$4=0,0,IF(COUNTIFS(実績!$W$6:$W$505,BB$3,実績!$AI$6:$AI$505,"&lt;="&amp;$A170,実績!$AJ$6:$AJ$505,"&gt;"&amp;$A170,実績!$AK$6:$AK$505,"○")&gt;0,1,0))</f>
        <v>0</v>
      </c>
      <c r="BC170" s="39" t="n">
        <f aca="false">IF(BC$4=0,0,IF(COUNTIFS(実績!$W$6:$W$505,BC$3,実績!$AI$6:$AI$505,"&lt;="&amp;$A170,実績!$AJ$6:$AJ$505,"&gt;"&amp;$A170,実績!$AK$6:$AK$505,"○")&gt;0,1,0))</f>
        <v>0</v>
      </c>
      <c r="BD170" s="39" t="n">
        <f aca="false">IF(BD$4=0,0,IF(COUNTIFS(実績!$W$6:$W$505,BD$3,実績!$AI$6:$AI$505,"&lt;="&amp;$A170,実績!$AJ$6:$AJ$505,"&gt;"&amp;$A170,実績!$AK$6:$AK$505,"○")&gt;0,1,0))</f>
        <v>0</v>
      </c>
      <c r="BE170" s="39" t="n">
        <f aca="false">IF(BE$4=0,0,IF(COUNTIFS(実績!$W$6:$W$505,BE$3,実績!$AI$6:$AI$505,"&lt;="&amp;$A170,実績!$AJ$6:$AJ$505,"&gt;"&amp;$A170,実績!$AK$6:$AK$505,"○")&gt;0,1,0))</f>
        <v>0</v>
      </c>
      <c r="BF170" s="39" t="n">
        <f aca="false">IF(BF$4=0,0,IF(COUNTIFS(実績!$W$6:$W$505,BF$3,実績!$AI$6:$AI$505,"&lt;="&amp;$A170,実績!$AJ$6:$AJ$505,"&gt;"&amp;$A170,実績!$AK$6:$AK$505,"○")&gt;0,1,0))</f>
        <v>0</v>
      </c>
      <c r="BG170" s="39" t="n">
        <f aca="false">IF(BG$4=0,0,IF(COUNTIFS(実績!$W$6:$W$505,BG$3,実績!$AI$6:$AI$505,"&lt;="&amp;$A170,実績!$AJ$6:$AJ$505,"&gt;"&amp;$A170,実績!$AK$6:$AK$505,"○")&gt;0,1,0))</f>
        <v>0</v>
      </c>
      <c r="BH170" s="39" t="n">
        <f aca="false">IF(BH$4=0,0,IF(COUNTIFS(実績!$W$6:$W$505,BH$3,実績!$AI$6:$AI$505,"&lt;="&amp;$A170,実績!$AJ$6:$AJ$505,"&gt;"&amp;$A170,実績!$AK$6:$AK$505,"○")&gt;0,1,0))</f>
        <v>0</v>
      </c>
      <c r="BI170" s="39" t="n">
        <f aca="false">IF(BI$4=0,0,IF(COUNTIFS(実績!$W$6:$W$505,BI$3,実績!$AI$6:$AI$505,"&lt;="&amp;$A170,実績!$AJ$6:$AJ$505,"&gt;"&amp;$A170,実績!$AK$6:$AK$505,"○")&gt;0,1,0))</f>
        <v>0</v>
      </c>
      <c r="BJ170" s="39" t="n">
        <f aca="false">IF(BJ$4=0,0,IF(COUNTIFS(実績!$W$6:$W$505,BJ$3,実績!$AI$6:$AI$505,"&lt;="&amp;$A170,実績!$AJ$6:$AJ$505,"&gt;"&amp;$A170,実績!$AK$6:$AK$505,"○")&gt;0,1,0))</f>
        <v>0</v>
      </c>
      <c r="BK170" s="39" t="n">
        <f aca="false">IF(BK$4=0,0,IF(COUNTIFS(実績!$W$6:$W$505,BK$3,実績!$AI$6:$AI$505,"&lt;="&amp;$A170,実績!$AJ$6:$AJ$505,"&gt;"&amp;$A170,実績!$AK$6:$AK$505,"○")&gt;0,1,0))</f>
        <v>0</v>
      </c>
      <c r="BL170" s="39" t="n">
        <f aca="false">IF(BL$4=0,0,IF(COUNTIFS(実績!$W$6:$W$505,BL$3,実績!$AI$6:$AI$505,"&lt;="&amp;$A170,実績!$AJ$6:$AJ$505,"&gt;"&amp;$A170,実績!$AK$6:$AK$505,"○")&gt;0,1,0))</f>
        <v>0</v>
      </c>
      <c r="BM170" s="39" t="n">
        <f aca="false">IF(BM$4=0,0,IF(COUNTIFS(実績!$W$6:$W$505,BM$3,実績!$AI$6:$AI$505,"&lt;="&amp;$A170,実績!$AJ$6:$AJ$505,"&gt;"&amp;$A170,実績!$AK$6:$AK$505,"○")&gt;0,1,0))</f>
        <v>0</v>
      </c>
      <c r="BN170" s="39" t="n">
        <f aca="false">IF(BN$4=0,0,IF(COUNTIFS(実績!$W$6:$W$505,BN$3,実績!$AI$6:$AI$505,"&lt;="&amp;$A170,実績!$AJ$6:$AJ$505,"&gt;"&amp;$A170,実績!$AK$6:$AK$505,"○")&gt;0,1,0))</f>
        <v>0</v>
      </c>
      <c r="BO170" s="39" t="n">
        <f aca="false">IF(BO$4=0,0,IF(COUNTIFS(実績!$W$6:$W$505,BO$3,実績!$AI$6:$AI$505,"&lt;="&amp;$A170,実績!$AJ$6:$AJ$505,"&gt;"&amp;$A170,実績!$AK$6:$AK$505,"○")&gt;0,1,0))</f>
        <v>0</v>
      </c>
      <c r="BP170" s="39" t="n">
        <f aca="false">IF(BP$4=0,0,IF(COUNTIFS(実績!$W$6:$W$505,BP$3,実績!$AI$6:$AI$505,"&lt;="&amp;$A170,実績!$AJ$6:$AJ$505,"&gt;"&amp;$A170,実績!$AK$6:$AK$505,"○")&gt;0,1,0))</f>
        <v>0</v>
      </c>
      <c r="BQ170" s="39" t="n">
        <f aca="false">IF(BQ$4=0,0,IF(COUNTIFS(実績!$W$6:$W$505,BQ$3,実績!$AI$6:$AI$505,"&lt;="&amp;$A170,実績!$AJ$6:$AJ$505,"&gt;"&amp;$A170,実績!$AK$6:$AK$505,"○")&gt;0,1,0))</f>
        <v>0</v>
      </c>
      <c r="BR170" s="39" t="n">
        <f aca="false">IF(BR$4=0,0,IF(COUNTIFS(実績!$W$6:$W$505,BR$3,実績!$AI$6:$AI$505,"&lt;="&amp;$A170,実績!$AJ$6:$AJ$505,"&gt;"&amp;$A170,実績!$AK$6:$AK$505,"○")&gt;0,1,0))</f>
        <v>0</v>
      </c>
      <c r="BS170" s="39" t="n">
        <f aca="false">IF(BS$4=0,0,IF(COUNTIFS(実績!$W$6:$W$505,BS$3,実績!$AI$6:$AI$505,"&lt;="&amp;$A170,実績!$AJ$6:$AJ$505,"&gt;"&amp;$A170,実績!$AK$6:$AK$505,"○")&gt;0,1,0))</f>
        <v>0</v>
      </c>
      <c r="BT170" s="39" t="n">
        <f aca="false">IF(BT$4=0,0,IF(COUNTIFS(実績!$W$6:$W$505,BT$3,実績!$AI$6:$AI$505,"&lt;="&amp;$A170,実績!$AJ$6:$AJ$505,"&gt;"&amp;$A170,実績!$AK$6:$AK$505,"○")&gt;0,1,0))</f>
        <v>0</v>
      </c>
      <c r="BU170" s="39" t="n">
        <f aca="false">IF(BU$4=0,0,IF(COUNTIFS(実績!$W$6:$W$505,BU$3,実績!$AI$6:$AI$505,"&lt;="&amp;$A170,実績!$AJ$6:$AJ$505,"&gt;"&amp;$A170,実績!$AK$6:$AK$505,"○")&gt;0,1,0))</f>
        <v>0</v>
      </c>
      <c r="BV170" s="39" t="n">
        <f aca="false">IF(BV$4=0,0,IF(COUNTIFS(実績!$W$6:$W$505,BV$3,実績!$AI$6:$AI$505,"&lt;="&amp;$A170,実績!$AJ$6:$AJ$505,"&gt;"&amp;$A170,実績!$AK$6:$AK$505,"○")&gt;0,1,0))</f>
        <v>0</v>
      </c>
      <c r="BW170" s="39" t="n">
        <f aca="false">IF(BW$4=0,0,IF(COUNTIFS(実績!$W$6:$W$505,BW$3,実績!$AI$6:$AI$505,"&lt;="&amp;$A170,実績!$AJ$6:$AJ$505,"&gt;"&amp;$A170,実績!$AK$6:$AK$505,"○")&gt;0,1,0))</f>
        <v>0</v>
      </c>
      <c r="BX170" s="39" t="n">
        <f aca="false">IF(BX$4=0,0,IF(COUNTIFS(実績!$W$6:$W$505,BX$3,実績!$AI$6:$AI$505,"&lt;="&amp;$A170,実績!$AJ$6:$AJ$505,"&gt;"&amp;$A170,実績!$AK$6:$AK$505,"○")&gt;0,1,0))</f>
        <v>0</v>
      </c>
      <c r="BY170" s="39" t="n">
        <f aca="false">IF(BY$4=0,0,IF(COUNTIFS(実績!$W$6:$W$505,BY$3,実績!$AI$6:$AI$505,"&lt;="&amp;$A170,実績!$AJ$6:$AJ$505,"&gt;"&amp;$A170,実績!$AK$6:$AK$505,"○")&gt;0,1,0))</f>
        <v>0</v>
      </c>
      <c r="BZ170" s="39" t="n">
        <f aca="false">IF(BZ$4=0,0,IF(COUNTIFS(実績!$W$6:$W$505,BZ$3,実績!$AI$6:$AI$505,"&lt;="&amp;$A170,実績!$AJ$6:$AJ$505,"&gt;"&amp;$A170,実績!$AK$6:$AK$505,"○")&gt;0,1,0))</f>
        <v>0</v>
      </c>
      <c r="CA170" s="39" t="n">
        <f aca="false">IF(CA$4=0,0,IF(COUNTIFS(実績!$W$6:$W$505,CA$3,実績!$AI$6:$AI$505,"&lt;="&amp;$A170,実績!$AJ$6:$AJ$505,"&gt;"&amp;$A170,実績!$AK$6:$AK$505,"○")&gt;0,1,0))</f>
        <v>0</v>
      </c>
      <c r="CB170" s="39" t="n">
        <f aca="false">IF(CB$4=0,0,IF(COUNTIFS(実績!$W$6:$W$505,CB$3,実績!$AI$6:$AI$505,"&lt;="&amp;$A170,実績!$AJ$6:$AJ$505,"&gt;"&amp;$A170,実績!$AK$6:$AK$505,"○")&gt;0,1,0))</f>
        <v>0</v>
      </c>
      <c r="CC170" s="39" t="n">
        <f aca="false">IF(CC$4=0,0,IF(COUNTIFS(実績!$W$6:$W$505,CC$3,実績!$AI$6:$AI$505,"&lt;="&amp;$A170,実績!$AJ$6:$AJ$505,"&gt;"&amp;$A170,実績!$AK$6:$AK$505,"○")&gt;0,1,0))</f>
        <v>0</v>
      </c>
      <c r="CD170" s="39" t="n">
        <f aca="false">IF(CD$4=0,0,IF(COUNTIFS(実績!$W$6:$W$505,CD$3,実績!$AI$6:$AI$505,"&lt;="&amp;$A170,実績!$AJ$6:$AJ$505,"&gt;"&amp;$A170,実績!$AK$6:$AK$505,"○")&gt;0,1,0))</f>
        <v>0</v>
      </c>
      <c r="CE170" s="39" t="n">
        <f aca="false">IF(CE$4=0,0,IF(COUNTIFS(実績!$W$6:$W$505,CE$3,実績!$AI$6:$AI$505,"&lt;="&amp;$A170,実績!$AJ$6:$AJ$505,"&gt;"&amp;$A170,実績!$AK$6:$AK$505,"○")&gt;0,1,0))</f>
        <v>0</v>
      </c>
      <c r="CF170" s="39" t="n">
        <f aca="false">IF(CF$4=0,0,IF(COUNTIFS(実績!$W$6:$W$505,CF$3,実績!$AI$6:$AI$505,"&lt;="&amp;$A170,実績!$AJ$6:$AJ$505,"&gt;"&amp;$A170,実績!$AK$6:$AK$505,"○")&gt;0,1,0))</f>
        <v>0</v>
      </c>
      <c r="CG170" s="39" t="n">
        <f aca="false">IF(CG$4=0,0,IF(COUNTIFS(実績!$W$6:$W$505,CG$3,実績!$AI$6:$AI$505,"&lt;="&amp;$A170,実績!$AJ$6:$AJ$505,"&gt;"&amp;$A170,実績!$AK$6:$AK$505,"○")&gt;0,1,0))</f>
        <v>0</v>
      </c>
      <c r="CH170" s="39" t="n">
        <f aca="false">IF(CH$4=0,0,IF(COUNTIFS(実績!$W$6:$W$505,CH$3,実績!$AI$6:$AI$505,"&lt;="&amp;$A170,実績!$AJ$6:$AJ$505,"&gt;"&amp;$A170,実績!$AK$6:$AK$505,"○")&gt;0,1,0))</f>
        <v>0</v>
      </c>
      <c r="CI170" s="39" t="n">
        <f aca="false">IF(CI$4=0,0,IF(COUNTIFS(実績!$W$6:$W$505,CI$3,実績!$AI$6:$AI$505,"&lt;="&amp;$A170,実績!$AJ$6:$AJ$505,"&gt;"&amp;$A170,実績!$AK$6:$AK$505,"○")&gt;0,1,0))</f>
        <v>0</v>
      </c>
      <c r="CJ170" s="39" t="n">
        <f aca="false">IF(CJ$4=0,0,IF(COUNTIFS(実績!$W$6:$W$505,CJ$3,実績!$AI$6:$AI$505,"&lt;="&amp;$A170,実績!$AJ$6:$AJ$505,"&gt;"&amp;$A170,実績!$AK$6:$AK$505,"○")&gt;0,1,0))</f>
        <v>0</v>
      </c>
      <c r="CK170" s="39" t="n">
        <f aca="false">IF(CK$4=0,0,IF(COUNTIFS(実績!$W$6:$W$505,CK$3,実績!$AI$6:$AI$505,"&lt;="&amp;$A170,実績!$AJ$6:$AJ$505,"&gt;"&amp;$A170,実績!$AK$6:$AK$505,"○")&gt;0,1,0))</f>
        <v>0</v>
      </c>
      <c r="CL170" s="39" t="n">
        <f aca="false">IF(CL$4=0,0,IF(COUNTIFS(実績!$W$6:$W$505,CL$3,実績!$AI$6:$AI$505,"&lt;="&amp;$A170,実績!$AJ$6:$AJ$505,"&gt;"&amp;$A170,実績!$AK$6:$AK$505,"○")&gt;0,1,0))</f>
        <v>0</v>
      </c>
      <c r="CM170" s="39" t="n">
        <f aca="false">IF(CM$4=0,0,IF(COUNTIFS(実績!$W$6:$W$505,CM$3,実績!$AI$6:$AI$505,"&lt;="&amp;$A170,実績!$AJ$6:$AJ$505,"&gt;"&amp;$A170,実績!$AK$6:$AK$505,"○")&gt;0,1,0))</f>
        <v>0</v>
      </c>
      <c r="CN170" s="39" t="n">
        <f aca="false">IF(CN$4=0,0,IF(COUNTIFS(実績!$W$6:$W$505,CN$3,実績!$AI$6:$AI$505,"&lt;="&amp;$A170,実績!$AJ$6:$AJ$505,"&gt;"&amp;$A170,実績!$AK$6:$AK$505,"○")&gt;0,1,0))</f>
        <v>0</v>
      </c>
      <c r="CO170" s="39" t="n">
        <f aca="false">IF(CO$4=0,0,IF(COUNTIFS(実績!$W$6:$W$505,CO$3,実績!$AI$6:$AI$505,"&lt;="&amp;$A170,実績!$AJ$6:$AJ$505,"&gt;"&amp;$A170,実績!$AK$6:$AK$505,"○")&gt;0,1,0))</f>
        <v>0</v>
      </c>
      <c r="CP170" s="39" t="n">
        <f aca="false">IF(CP$4=0,0,IF(COUNTIFS(実績!$W$6:$W$505,CP$3,実績!$AI$6:$AI$505,"&lt;="&amp;$A170,実績!$AJ$6:$AJ$505,"&gt;"&amp;$A170,実績!$AK$6:$AK$505,"○")&gt;0,1,0))</f>
        <v>0</v>
      </c>
      <c r="CQ170" s="39" t="n">
        <f aca="false">IF(CQ$4=0,0,IF(COUNTIFS(実績!$W$6:$W$505,CQ$3,実績!$AI$6:$AI$505,"&lt;="&amp;$A170,実績!$AJ$6:$AJ$505,"&gt;"&amp;$A170,実績!$AK$6:$AK$505,"○")&gt;0,1,0))</f>
        <v>0</v>
      </c>
      <c r="CR170" s="39" t="n">
        <f aca="false">IF(CR$4=0,0,IF(COUNTIFS(実績!$W$6:$W$505,CR$3,実績!$AI$6:$AI$505,"&lt;="&amp;$A170,実績!$AJ$6:$AJ$505,"&gt;"&amp;$A170,実績!$AK$6:$AK$505,"○")&gt;0,1,0))</f>
        <v>0</v>
      </c>
      <c r="CS170" s="39" t="n">
        <f aca="false">IF(CS$4=0,0,IF(COUNTIFS(実績!$W$6:$W$505,CS$3,実績!$AI$6:$AI$505,"&lt;="&amp;$A170,実績!$AJ$6:$AJ$505,"&gt;"&amp;$A170,実績!$AK$6:$AK$505,"○")&gt;0,1,0))</f>
        <v>0</v>
      </c>
      <c r="CT170" s="39" t="n">
        <f aca="false">IF(CT$4=0,0,IF(COUNTIFS(実績!$W$6:$W$505,CT$3,実績!$AI$6:$AI$505,"&lt;="&amp;$A170,実績!$AJ$6:$AJ$505,"&gt;"&amp;$A170,実績!$AK$6:$AK$505,"○")&gt;0,1,0))</f>
        <v>0</v>
      </c>
      <c r="CU170" s="39" t="n">
        <f aca="false">IF(CU$4=0,0,IF(COUNTIFS(実績!$W$6:$W$505,CU$3,実績!$AI$6:$AI$505,"&lt;="&amp;$A170,実績!$AJ$6:$AJ$505,"&gt;"&amp;$A170,実績!$AK$6:$AK$505,"○")&gt;0,1,0))</f>
        <v>0</v>
      </c>
      <c r="CV170" s="39" t="n">
        <f aca="false">IF(CV$4=0,0,IF(COUNTIFS(実績!$W$6:$W$505,CV$3,実績!$AI$6:$AI$505,"&lt;="&amp;$A170,実績!$AJ$6:$AJ$505,"&gt;"&amp;$A170,実績!$AK$6:$AK$505,"○")&gt;0,1,0))</f>
        <v>0</v>
      </c>
      <c r="CW170" s="39" t="n">
        <f aca="false">IF(CW$4=0,0,IF(COUNTIFS(実績!$W$6:$W$505,CW$3,実績!$AI$6:$AI$505,"&lt;="&amp;$A170,実績!$AJ$6:$AJ$505,"&gt;"&amp;$A170,実績!$AK$6:$AK$505,"○")&gt;0,1,0))</f>
        <v>0</v>
      </c>
      <c r="CX170" s="39" t="n">
        <f aca="false">IF(CX$4=0,0,IF(COUNTIFS(実績!$W$6:$W$505,CX$3,実績!$AI$6:$AI$505,"&lt;="&amp;$A170,実績!$AJ$6:$AJ$505,"&gt;"&amp;$A170,実績!$AK$6:$AK$505,"○")&gt;0,1,0))</f>
        <v>0</v>
      </c>
      <c r="CY170" s="39" t="n">
        <f aca="false">IF(CY$4=0,0,IF(COUNTIFS(実績!$W$6:$W$505,CY$3,実績!$AI$6:$AI$505,"&lt;="&amp;$A170,実績!$AJ$6:$AJ$505,"&gt;"&amp;$A170,実績!$AK$6:$AK$505,"○")&gt;0,1,0))</f>
        <v>0</v>
      </c>
      <c r="CZ170" s="39" t="n">
        <f aca="false">IF(CZ$4=0,0,IF(COUNTIFS(実績!$W$6:$W$505,CZ$3,実績!$AI$6:$AI$505,"&lt;="&amp;$A170,実績!$AJ$6:$AJ$505,"&gt;"&amp;$A170,実績!$AK$6:$AK$505,"○")&gt;0,1,0))</f>
        <v>0</v>
      </c>
      <c r="DA170" s="39" t="n">
        <f aca="false">IF(DA$4=0,0,IF(COUNTIFS(実績!$W$6:$W$505,DA$3,実績!$AI$6:$AI$505,"&lt;="&amp;$A170,実績!$AJ$6:$AJ$505,"&gt;"&amp;$A170,実績!$AK$6:$AK$505,"○")&gt;0,1,0))</f>
        <v>0</v>
      </c>
      <c r="DB170" s="39" t="n">
        <f aca="false">IF(DB$4=0,0,IF(COUNTIFS(実績!$W$6:$W$505,DB$3,実績!$AI$6:$AI$505,"&lt;="&amp;$A170,実績!$AJ$6:$AJ$505,"&gt;"&amp;$A170,実績!$AK$6:$AK$505,"○")&gt;0,1,0))</f>
        <v>0</v>
      </c>
      <c r="DC170" s="39" t="n">
        <f aca="false">IF(DC$4=0,0,IF(COUNTIFS(実績!$W$6:$W$505,DC$3,実績!$AI$6:$AI$505,"&lt;="&amp;$A170,実績!$AJ$6:$AJ$505,"&gt;"&amp;$A170,実績!$AK$6:$AK$505,"○")&gt;0,1,0))</f>
        <v>0</v>
      </c>
      <c r="DD170" s="39" t="n">
        <f aca="false">IF(DD$4=0,0,IF(COUNTIFS(実績!$W$6:$W$505,DD$3,実績!$AI$6:$AI$505,"&lt;="&amp;$A170,実績!$AJ$6:$AJ$505,"&gt;"&amp;$A170,実績!$AK$6:$AK$505,"○")&gt;0,1,0))</f>
        <v>0</v>
      </c>
      <c r="DE170" s="39" t="n">
        <f aca="false">IF(DE$4=0,0,IF(COUNTIFS(実績!$W$6:$W$505,DE$3,実績!$AI$6:$AI$505,"&lt;="&amp;$A170,実績!$AJ$6:$AJ$505,"&gt;"&amp;$A170,実績!$AK$6:$AK$505,"○")&gt;0,1,0))</f>
        <v>0</v>
      </c>
      <c r="DF170" s="39" t="n">
        <f aca="false">IF(DF$4=0,0,IF(COUNTIFS(実績!$W$6:$W$505,DF$3,実績!$AI$6:$AI$505,"&lt;="&amp;$A170,実績!$AJ$6:$AJ$505,"&gt;"&amp;$A170,実績!$AK$6:$AK$505,"○")&gt;0,1,0))</f>
        <v>0</v>
      </c>
      <c r="DG170" s="39" t="n">
        <f aca="false">IF(DG$4=0,0,IF(COUNTIFS(実績!$W$6:$W$505,DG$3,実績!$AI$6:$AI$505,"&lt;="&amp;$A170,実績!$AJ$6:$AJ$505,"&gt;"&amp;$A170,実績!$AK$6:$AK$505,"○")&gt;0,1,0))</f>
        <v>0</v>
      </c>
      <c r="DH170" s="39" t="n">
        <f aca="false">IF(DH$4=0,0,IF(COUNTIFS(実績!$W$6:$W$505,DH$3,実績!$AI$6:$AI$505,"&lt;="&amp;$A170,実績!$AJ$6:$AJ$505,"&gt;"&amp;$A170,実績!$AK$6:$AK$505,"○")&gt;0,1,0))</f>
        <v>0</v>
      </c>
      <c r="DI170" s="39" t="n">
        <f aca="false">IF(DI$4=0,0,IF(COUNTIFS(実績!$W$6:$W$505,DI$3,実績!$AI$6:$AI$505,"&lt;="&amp;$A170,実績!$AJ$6:$AJ$505,"&gt;"&amp;$A170,実績!$AK$6:$AK$505,"○")&gt;0,1,0))</f>
        <v>0</v>
      </c>
      <c r="DJ170" s="39" t="n">
        <f aca="false">IF(DJ$4=0,0,IF(COUNTIFS(実績!$W$6:$W$505,DJ$3,実績!$AI$6:$AI$505,"&lt;="&amp;$A170,実績!$AJ$6:$AJ$505,"&gt;"&amp;$A170,実績!$AK$6:$AK$505,"○")&gt;0,1,0))</f>
        <v>0</v>
      </c>
      <c r="DK170" s="39" t="n">
        <f aca="false">IF(DK$4=0,0,IF(COUNTIFS(実績!$W$6:$W$505,DK$3,実績!$AI$6:$AI$505,"&lt;="&amp;$A170,実績!$AJ$6:$AJ$505,"&gt;"&amp;$A170,実績!$AK$6:$AK$505,"○")&gt;0,1,0))</f>
        <v>0</v>
      </c>
      <c r="DL170" s="39" t="n">
        <f aca="false">IF(DL$4=0,0,IF(COUNTIFS(実績!$W$6:$W$505,DL$3,実績!$AI$6:$AI$505,"&lt;="&amp;$A170,実績!$AJ$6:$AJ$505,"&gt;"&amp;$A170,実績!$AK$6:$AK$505,"○")&gt;0,1,0))</f>
        <v>0</v>
      </c>
      <c r="DM170" s="39" t="n">
        <f aca="false">IF(DM$4=0,0,IF(COUNTIFS(実績!$W$6:$W$505,DM$3,実績!$AI$6:$AI$505,"&lt;="&amp;$A170,実績!$AJ$6:$AJ$505,"&gt;"&amp;$A170,実績!$AK$6:$AK$505,"○")&gt;0,1,0))</f>
        <v>0</v>
      </c>
      <c r="DN170" s="39" t="n">
        <f aca="false">IF(DN$4=0,0,IF(COUNTIFS(実績!$W$6:$W$505,DN$3,実績!$AI$6:$AI$505,"&lt;="&amp;$A170,実績!$AJ$6:$AJ$505,"&gt;"&amp;$A170,実績!$AK$6:$AK$505,"○")&gt;0,1,0))</f>
        <v>0</v>
      </c>
      <c r="DO170" s="39" t="n">
        <f aca="false">IF(DO$4=0,0,IF(COUNTIFS(実績!$W$6:$W$505,DO$3,実績!$AI$6:$AI$505,"&lt;="&amp;$A170,実績!$AJ$6:$AJ$505,"&gt;"&amp;$A170,実績!$AK$6:$AK$505,"○")&gt;0,1,0))</f>
        <v>0</v>
      </c>
      <c r="DP170" s="39" t="n">
        <f aca="false">IF(DP$4=0,0,IF(COUNTIFS(実績!$W$6:$W$505,DP$3,実績!$AI$6:$AI$505,"&lt;="&amp;$A170,実績!$AJ$6:$AJ$505,"&gt;"&amp;$A170,実績!$AK$6:$AK$505,"○")&gt;0,1,0))</f>
        <v>0</v>
      </c>
      <c r="DQ170" s="39" t="n">
        <f aca="false">IF(DQ$4=0,0,IF(COUNTIFS(実績!$W$6:$W$505,DQ$3,実績!$AI$6:$AI$505,"&lt;="&amp;$A170,実績!$AJ$6:$AJ$505,"&gt;"&amp;$A170,実績!$AK$6:$AK$505,"○")&gt;0,1,0))</f>
        <v>0</v>
      </c>
      <c r="DR170" s="39" t="n">
        <f aca="false">IF(DR$4=0,0,IF(COUNTIFS(実績!$W$6:$W$505,DR$3,実績!$AI$6:$AI$505,"&lt;="&amp;$A170,実績!$AJ$6:$AJ$505,"&gt;"&amp;$A170,実績!$AK$6:$AK$505,"○")&gt;0,1,0))</f>
        <v>0</v>
      </c>
      <c r="DS170" s="39" t="n">
        <f aca="false">SUM(C170:DR170)</f>
        <v>0</v>
      </c>
      <c r="DT170" s="39" t="n">
        <f aca="false">SUMPRODUCT((実績!$C$6:$C$505="○")*ISNUMBER(実績!$AM$6:$AM$505)*(実績!$AM$6:$AM$505&lt;=$A170)*(実績!$AN$6:$AN$505&gt;$A170))</f>
        <v>0</v>
      </c>
      <c r="DU170" s="39" t="n">
        <f aca="false">SUMIF($C$2:$DR$2,"製鉄曳船",C170:DR170)</f>
        <v>0</v>
      </c>
      <c r="DV170" s="39" t="n">
        <f aca="false">SUMIF($C$2:$DR$2,"西日本海運",C170:DR170)</f>
        <v>0</v>
      </c>
    </row>
    <row r="171" customFormat="false" ht="15" hidden="false" customHeight="false" outlineLevel="0" collapsed="false">
      <c r="A171" s="0" t="n">
        <v>825</v>
      </c>
      <c r="B171" s="38" t="n">
        <f aca="false">A171/1440</f>
        <v>0.572916666666667</v>
      </c>
      <c r="C171" s="39" t="n">
        <f aca="false">IF(C$4=0,0,IF(COUNTIFS(実績!$W$6:$W$505,C$3,実績!$AI$6:$AI$505,"&lt;="&amp;$A171,実績!$AJ$6:$AJ$505,"&gt;"&amp;$A171,実績!$AK$6:$AK$505,"○")&gt;0,1,0))</f>
        <v>0</v>
      </c>
      <c r="D171" s="39" t="n">
        <f aca="false">IF(D$4=0,0,IF(COUNTIFS(実績!$W$6:$W$505,D$3,実績!$AI$6:$AI$505,"&lt;="&amp;$A171,実績!$AJ$6:$AJ$505,"&gt;"&amp;$A171,実績!$AK$6:$AK$505,"○")&gt;0,1,0))</f>
        <v>0</v>
      </c>
      <c r="E171" s="39" t="n">
        <f aca="false">IF(E$4=0,0,IF(COUNTIFS(実績!$W$6:$W$505,E$3,実績!$AI$6:$AI$505,"&lt;="&amp;$A171,実績!$AJ$6:$AJ$505,"&gt;"&amp;$A171,実績!$AK$6:$AK$505,"○")&gt;0,1,0))</f>
        <v>0</v>
      </c>
      <c r="F171" s="39" t="n">
        <f aca="false">IF(F$4=0,0,IF(COUNTIFS(実績!$W$6:$W$505,F$3,実績!$AI$6:$AI$505,"&lt;="&amp;$A171,実績!$AJ$6:$AJ$505,"&gt;"&amp;$A171,実績!$AK$6:$AK$505,"○")&gt;0,1,0))</f>
        <v>0</v>
      </c>
      <c r="G171" s="39" t="n">
        <f aca="false">IF(G$4=0,0,IF(COUNTIFS(実績!$W$6:$W$505,G$3,実績!$AI$6:$AI$505,"&lt;="&amp;$A171,実績!$AJ$6:$AJ$505,"&gt;"&amp;$A171,実績!$AK$6:$AK$505,"○")&gt;0,1,0))</f>
        <v>0</v>
      </c>
      <c r="H171" s="39" t="n">
        <f aca="false">IF(H$4=0,0,IF(COUNTIFS(実績!$W$6:$W$505,H$3,実績!$AI$6:$AI$505,"&lt;="&amp;$A171,実績!$AJ$6:$AJ$505,"&gt;"&amp;$A171,実績!$AK$6:$AK$505,"○")&gt;0,1,0))</f>
        <v>0</v>
      </c>
      <c r="I171" s="39" t="n">
        <f aca="false">IF(I$4=0,0,IF(COUNTIFS(実績!$W$6:$W$505,I$3,実績!$AI$6:$AI$505,"&lt;="&amp;$A171,実績!$AJ$6:$AJ$505,"&gt;"&amp;$A171,実績!$AK$6:$AK$505,"○")&gt;0,1,0))</f>
        <v>0</v>
      </c>
      <c r="J171" s="39" t="n">
        <f aca="false">IF(J$4=0,0,IF(COUNTIFS(実績!$W$6:$W$505,J$3,実績!$AI$6:$AI$505,"&lt;="&amp;$A171,実績!$AJ$6:$AJ$505,"&gt;"&amp;$A171,実績!$AK$6:$AK$505,"○")&gt;0,1,0))</f>
        <v>0</v>
      </c>
      <c r="K171" s="39" t="n">
        <f aca="false">IF(K$4=0,0,IF(COUNTIFS(実績!$W$6:$W$505,K$3,実績!$AI$6:$AI$505,"&lt;="&amp;$A171,実績!$AJ$6:$AJ$505,"&gt;"&amp;$A171,実績!$AK$6:$AK$505,"○")&gt;0,1,0))</f>
        <v>0</v>
      </c>
      <c r="L171" s="39" t="n">
        <f aca="false">IF(L$4=0,0,IF(COUNTIFS(実績!$W$6:$W$505,L$3,実績!$AI$6:$AI$505,"&lt;="&amp;$A171,実績!$AJ$6:$AJ$505,"&gt;"&amp;$A171,実績!$AK$6:$AK$505,"○")&gt;0,1,0))</f>
        <v>0</v>
      </c>
      <c r="M171" s="39" t="n">
        <f aca="false">IF(M$4=0,0,IF(COUNTIFS(実績!$W$6:$W$505,M$3,実績!$AI$6:$AI$505,"&lt;="&amp;$A171,実績!$AJ$6:$AJ$505,"&gt;"&amp;$A171,実績!$AK$6:$AK$505,"○")&gt;0,1,0))</f>
        <v>0</v>
      </c>
      <c r="N171" s="39" t="n">
        <f aca="false">IF(N$4=0,0,IF(COUNTIFS(実績!$W$6:$W$505,N$3,実績!$AI$6:$AI$505,"&lt;="&amp;$A171,実績!$AJ$6:$AJ$505,"&gt;"&amp;$A171,実績!$AK$6:$AK$505,"○")&gt;0,1,0))</f>
        <v>0</v>
      </c>
      <c r="O171" s="39" t="n">
        <f aca="false">IF(O$4=0,0,IF(COUNTIFS(実績!$W$6:$W$505,O$3,実績!$AI$6:$AI$505,"&lt;="&amp;$A171,実績!$AJ$6:$AJ$505,"&gt;"&amp;$A171,実績!$AK$6:$AK$505,"○")&gt;0,1,0))</f>
        <v>0</v>
      </c>
      <c r="P171" s="39" t="n">
        <f aca="false">IF(P$4=0,0,IF(COUNTIFS(実績!$W$6:$W$505,P$3,実績!$AI$6:$AI$505,"&lt;="&amp;$A171,実績!$AJ$6:$AJ$505,"&gt;"&amp;$A171,実績!$AK$6:$AK$505,"○")&gt;0,1,0))</f>
        <v>0</v>
      </c>
      <c r="Q171" s="39" t="n">
        <f aca="false">IF(Q$4=0,0,IF(COUNTIFS(実績!$W$6:$W$505,Q$3,実績!$AI$6:$AI$505,"&lt;="&amp;$A171,実績!$AJ$6:$AJ$505,"&gt;"&amp;$A171,実績!$AK$6:$AK$505,"○")&gt;0,1,0))</f>
        <v>0</v>
      </c>
      <c r="R171" s="39" t="n">
        <f aca="false">IF(R$4=0,0,IF(COUNTIFS(実績!$W$6:$W$505,R$3,実績!$AI$6:$AI$505,"&lt;="&amp;$A171,実績!$AJ$6:$AJ$505,"&gt;"&amp;$A171,実績!$AK$6:$AK$505,"○")&gt;0,1,0))</f>
        <v>0</v>
      </c>
      <c r="S171" s="39" t="n">
        <f aca="false">IF(S$4=0,0,IF(COUNTIFS(実績!$W$6:$W$505,S$3,実績!$AI$6:$AI$505,"&lt;="&amp;$A171,実績!$AJ$6:$AJ$505,"&gt;"&amp;$A171,実績!$AK$6:$AK$505,"○")&gt;0,1,0))</f>
        <v>0</v>
      </c>
      <c r="T171" s="39" t="n">
        <f aca="false">IF(T$4=0,0,IF(COUNTIFS(実績!$W$6:$W$505,T$3,実績!$AI$6:$AI$505,"&lt;="&amp;$A171,実績!$AJ$6:$AJ$505,"&gt;"&amp;$A171,実績!$AK$6:$AK$505,"○")&gt;0,1,0))</f>
        <v>0</v>
      </c>
      <c r="U171" s="39" t="n">
        <f aca="false">IF(U$4=0,0,IF(COUNTIFS(実績!$W$6:$W$505,U$3,実績!$AI$6:$AI$505,"&lt;="&amp;$A171,実績!$AJ$6:$AJ$505,"&gt;"&amp;$A171,実績!$AK$6:$AK$505,"○")&gt;0,1,0))</f>
        <v>0</v>
      </c>
      <c r="V171" s="39" t="n">
        <f aca="false">IF(V$4=0,0,IF(COUNTIFS(実績!$W$6:$W$505,V$3,実績!$AI$6:$AI$505,"&lt;="&amp;$A171,実績!$AJ$6:$AJ$505,"&gt;"&amp;$A171,実績!$AK$6:$AK$505,"○")&gt;0,1,0))</f>
        <v>0</v>
      </c>
      <c r="W171" s="39" t="n">
        <f aca="false">IF(W$4=0,0,IF(COUNTIFS(実績!$W$6:$W$505,W$3,実績!$AI$6:$AI$505,"&lt;="&amp;$A171,実績!$AJ$6:$AJ$505,"&gt;"&amp;$A171,実績!$AK$6:$AK$505,"○")&gt;0,1,0))</f>
        <v>0</v>
      </c>
      <c r="X171" s="39" t="n">
        <f aca="false">IF(X$4=0,0,IF(COUNTIFS(実績!$W$6:$W$505,X$3,実績!$AI$6:$AI$505,"&lt;="&amp;$A171,実績!$AJ$6:$AJ$505,"&gt;"&amp;$A171,実績!$AK$6:$AK$505,"○")&gt;0,1,0))</f>
        <v>0</v>
      </c>
      <c r="Y171" s="39" t="n">
        <f aca="false">IF(Y$4=0,0,IF(COUNTIFS(実績!$W$6:$W$505,Y$3,実績!$AI$6:$AI$505,"&lt;="&amp;$A171,実績!$AJ$6:$AJ$505,"&gt;"&amp;$A171,実績!$AK$6:$AK$505,"○")&gt;0,1,0))</f>
        <v>0</v>
      </c>
      <c r="Z171" s="39" t="n">
        <f aca="false">IF(Z$4=0,0,IF(COUNTIFS(実績!$W$6:$W$505,Z$3,実績!$AI$6:$AI$505,"&lt;="&amp;$A171,実績!$AJ$6:$AJ$505,"&gt;"&amp;$A171,実績!$AK$6:$AK$505,"○")&gt;0,1,0))</f>
        <v>0</v>
      </c>
      <c r="AA171" s="39" t="n">
        <f aca="false">IF(AA$4=0,0,IF(COUNTIFS(実績!$W$6:$W$505,AA$3,実績!$AI$6:$AI$505,"&lt;="&amp;$A171,実績!$AJ$6:$AJ$505,"&gt;"&amp;$A171,実績!$AK$6:$AK$505,"○")&gt;0,1,0))</f>
        <v>0</v>
      </c>
      <c r="AB171" s="39" t="n">
        <f aca="false">IF(AB$4=0,0,IF(COUNTIFS(実績!$W$6:$W$505,AB$3,実績!$AI$6:$AI$505,"&lt;="&amp;$A171,実績!$AJ$6:$AJ$505,"&gt;"&amp;$A171,実績!$AK$6:$AK$505,"○")&gt;0,1,0))</f>
        <v>0</v>
      </c>
      <c r="AC171" s="39" t="n">
        <f aca="false">IF(AC$4=0,0,IF(COUNTIFS(実績!$W$6:$W$505,AC$3,実績!$AI$6:$AI$505,"&lt;="&amp;$A171,実績!$AJ$6:$AJ$505,"&gt;"&amp;$A171,実績!$AK$6:$AK$505,"○")&gt;0,1,0))</f>
        <v>0</v>
      </c>
      <c r="AD171" s="39" t="n">
        <f aca="false">IF(AD$4=0,0,IF(COUNTIFS(実績!$W$6:$W$505,AD$3,実績!$AI$6:$AI$505,"&lt;="&amp;$A171,実績!$AJ$6:$AJ$505,"&gt;"&amp;$A171,実績!$AK$6:$AK$505,"○")&gt;0,1,0))</f>
        <v>0</v>
      </c>
      <c r="AE171" s="39" t="n">
        <f aca="false">IF(AE$4=0,0,IF(COUNTIFS(実績!$W$6:$W$505,AE$3,実績!$AI$6:$AI$505,"&lt;="&amp;$A171,実績!$AJ$6:$AJ$505,"&gt;"&amp;$A171,実績!$AK$6:$AK$505,"○")&gt;0,1,0))</f>
        <v>0</v>
      </c>
      <c r="AF171" s="39" t="n">
        <f aca="false">IF(AF$4=0,0,IF(COUNTIFS(実績!$W$6:$W$505,AF$3,実績!$AI$6:$AI$505,"&lt;="&amp;$A171,実績!$AJ$6:$AJ$505,"&gt;"&amp;$A171,実績!$AK$6:$AK$505,"○")&gt;0,1,0))</f>
        <v>0</v>
      </c>
      <c r="AG171" s="39" t="n">
        <f aca="false">IF(AG$4=0,0,IF(COUNTIFS(実績!$W$6:$W$505,AG$3,実績!$AI$6:$AI$505,"&lt;="&amp;$A171,実績!$AJ$6:$AJ$505,"&gt;"&amp;$A171,実績!$AK$6:$AK$505,"○")&gt;0,1,0))</f>
        <v>0</v>
      </c>
      <c r="AH171" s="39" t="n">
        <f aca="false">IF(AH$4=0,0,IF(COUNTIFS(実績!$W$6:$W$505,AH$3,実績!$AI$6:$AI$505,"&lt;="&amp;$A171,実績!$AJ$6:$AJ$505,"&gt;"&amp;$A171,実績!$AK$6:$AK$505,"○")&gt;0,1,0))</f>
        <v>0</v>
      </c>
      <c r="AI171" s="39" t="n">
        <f aca="false">IF(AI$4=0,0,IF(COUNTIFS(実績!$W$6:$W$505,AI$3,実績!$AI$6:$AI$505,"&lt;="&amp;$A171,実績!$AJ$6:$AJ$505,"&gt;"&amp;$A171,実績!$AK$6:$AK$505,"○")&gt;0,1,0))</f>
        <v>0</v>
      </c>
      <c r="AJ171" s="39" t="n">
        <f aca="false">IF(AJ$4=0,0,IF(COUNTIFS(実績!$W$6:$W$505,AJ$3,実績!$AI$6:$AI$505,"&lt;="&amp;$A171,実績!$AJ$6:$AJ$505,"&gt;"&amp;$A171,実績!$AK$6:$AK$505,"○")&gt;0,1,0))</f>
        <v>0</v>
      </c>
      <c r="AK171" s="39" t="n">
        <f aca="false">IF(AK$4=0,0,IF(COUNTIFS(実績!$W$6:$W$505,AK$3,実績!$AI$6:$AI$505,"&lt;="&amp;$A171,実績!$AJ$6:$AJ$505,"&gt;"&amp;$A171,実績!$AK$6:$AK$505,"○")&gt;0,1,0))</f>
        <v>0</v>
      </c>
      <c r="AL171" s="39" t="n">
        <f aca="false">IF(AL$4=0,0,IF(COUNTIFS(実績!$W$6:$W$505,AL$3,実績!$AI$6:$AI$505,"&lt;="&amp;$A171,実績!$AJ$6:$AJ$505,"&gt;"&amp;$A171,実績!$AK$6:$AK$505,"○")&gt;0,1,0))</f>
        <v>0</v>
      </c>
      <c r="AM171" s="39" t="n">
        <f aca="false">IF(AM$4=0,0,IF(COUNTIFS(実績!$W$6:$W$505,AM$3,実績!$AI$6:$AI$505,"&lt;="&amp;$A171,実績!$AJ$6:$AJ$505,"&gt;"&amp;$A171,実績!$AK$6:$AK$505,"○")&gt;0,1,0))</f>
        <v>0</v>
      </c>
      <c r="AN171" s="39" t="n">
        <f aca="false">IF(AN$4=0,0,IF(COUNTIFS(実績!$W$6:$W$505,AN$3,実績!$AI$6:$AI$505,"&lt;="&amp;$A171,実績!$AJ$6:$AJ$505,"&gt;"&amp;$A171,実績!$AK$6:$AK$505,"○")&gt;0,1,0))</f>
        <v>0</v>
      </c>
      <c r="AO171" s="39" t="n">
        <f aca="false">IF(AO$4=0,0,IF(COUNTIFS(実績!$W$6:$W$505,AO$3,実績!$AI$6:$AI$505,"&lt;="&amp;$A171,実績!$AJ$6:$AJ$505,"&gt;"&amp;$A171,実績!$AK$6:$AK$505,"○")&gt;0,1,0))</f>
        <v>0</v>
      </c>
      <c r="AP171" s="39" t="n">
        <f aca="false">IF(AP$4=0,0,IF(COUNTIFS(実績!$W$6:$W$505,AP$3,実績!$AI$6:$AI$505,"&lt;="&amp;$A171,実績!$AJ$6:$AJ$505,"&gt;"&amp;$A171,実績!$AK$6:$AK$505,"○")&gt;0,1,0))</f>
        <v>0</v>
      </c>
      <c r="AQ171" s="39" t="n">
        <f aca="false">IF(AQ$4=0,0,IF(COUNTIFS(実績!$W$6:$W$505,AQ$3,実績!$AI$6:$AI$505,"&lt;="&amp;$A171,実績!$AJ$6:$AJ$505,"&gt;"&amp;$A171,実績!$AK$6:$AK$505,"○")&gt;0,1,0))</f>
        <v>0</v>
      </c>
      <c r="AR171" s="39" t="n">
        <f aca="false">IF(AR$4=0,0,IF(COUNTIFS(実績!$W$6:$W$505,AR$3,実績!$AI$6:$AI$505,"&lt;="&amp;$A171,実績!$AJ$6:$AJ$505,"&gt;"&amp;$A171,実績!$AK$6:$AK$505,"○")&gt;0,1,0))</f>
        <v>0</v>
      </c>
      <c r="AS171" s="39" t="n">
        <f aca="false">IF(AS$4=0,0,IF(COUNTIFS(実績!$W$6:$W$505,AS$3,実績!$AI$6:$AI$505,"&lt;="&amp;$A171,実績!$AJ$6:$AJ$505,"&gt;"&amp;$A171,実績!$AK$6:$AK$505,"○")&gt;0,1,0))</f>
        <v>0</v>
      </c>
      <c r="AT171" s="39" t="n">
        <f aca="false">IF(AT$4=0,0,IF(COUNTIFS(実績!$W$6:$W$505,AT$3,実績!$AI$6:$AI$505,"&lt;="&amp;$A171,実績!$AJ$6:$AJ$505,"&gt;"&amp;$A171,実績!$AK$6:$AK$505,"○")&gt;0,1,0))</f>
        <v>0</v>
      </c>
      <c r="AU171" s="39" t="n">
        <f aca="false">IF(AU$4=0,0,IF(COUNTIFS(実績!$W$6:$W$505,AU$3,実績!$AI$6:$AI$505,"&lt;="&amp;$A171,実績!$AJ$6:$AJ$505,"&gt;"&amp;$A171,実績!$AK$6:$AK$505,"○")&gt;0,1,0))</f>
        <v>0</v>
      </c>
      <c r="AV171" s="39" t="n">
        <f aca="false">IF(AV$4=0,0,IF(COUNTIFS(実績!$W$6:$W$505,AV$3,実績!$AI$6:$AI$505,"&lt;="&amp;$A171,実績!$AJ$6:$AJ$505,"&gt;"&amp;$A171,実績!$AK$6:$AK$505,"○")&gt;0,1,0))</f>
        <v>0</v>
      </c>
      <c r="AW171" s="39" t="n">
        <f aca="false">IF(AW$4=0,0,IF(COUNTIFS(実績!$W$6:$W$505,AW$3,実績!$AI$6:$AI$505,"&lt;="&amp;$A171,実績!$AJ$6:$AJ$505,"&gt;"&amp;$A171,実績!$AK$6:$AK$505,"○")&gt;0,1,0))</f>
        <v>0</v>
      </c>
      <c r="AX171" s="39" t="n">
        <f aca="false">IF(AX$4=0,0,IF(COUNTIFS(実績!$W$6:$W$505,AX$3,実績!$AI$6:$AI$505,"&lt;="&amp;$A171,実績!$AJ$6:$AJ$505,"&gt;"&amp;$A171,実績!$AK$6:$AK$505,"○")&gt;0,1,0))</f>
        <v>0</v>
      </c>
      <c r="AY171" s="39" t="n">
        <f aca="false">IF(AY$4=0,0,IF(COUNTIFS(実績!$W$6:$W$505,AY$3,実績!$AI$6:$AI$505,"&lt;="&amp;$A171,実績!$AJ$6:$AJ$505,"&gt;"&amp;$A171,実績!$AK$6:$AK$505,"○")&gt;0,1,0))</f>
        <v>0</v>
      </c>
      <c r="AZ171" s="39" t="n">
        <f aca="false">IF(AZ$4=0,0,IF(COUNTIFS(実績!$W$6:$W$505,AZ$3,実績!$AI$6:$AI$505,"&lt;="&amp;$A171,実績!$AJ$6:$AJ$505,"&gt;"&amp;$A171,実績!$AK$6:$AK$505,"○")&gt;0,1,0))</f>
        <v>0</v>
      </c>
      <c r="BA171" s="39" t="n">
        <f aca="false">IF(BA$4=0,0,IF(COUNTIFS(実績!$W$6:$W$505,BA$3,実績!$AI$6:$AI$505,"&lt;="&amp;$A171,実績!$AJ$6:$AJ$505,"&gt;"&amp;$A171,実績!$AK$6:$AK$505,"○")&gt;0,1,0))</f>
        <v>0</v>
      </c>
      <c r="BB171" s="39" t="n">
        <f aca="false">IF(BB$4=0,0,IF(COUNTIFS(実績!$W$6:$W$505,BB$3,実績!$AI$6:$AI$505,"&lt;="&amp;$A171,実績!$AJ$6:$AJ$505,"&gt;"&amp;$A171,実績!$AK$6:$AK$505,"○")&gt;0,1,0))</f>
        <v>0</v>
      </c>
      <c r="BC171" s="39" t="n">
        <f aca="false">IF(BC$4=0,0,IF(COUNTIFS(実績!$W$6:$W$505,BC$3,実績!$AI$6:$AI$505,"&lt;="&amp;$A171,実績!$AJ$6:$AJ$505,"&gt;"&amp;$A171,実績!$AK$6:$AK$505,"○")&gt;0,1,0))</f>
        <v>0</v>
      </c>
      <c r="BD171" s="39" t="n">
        <f aca="false">IF(BD$4=0,0,IF(COUNTIFS(実績!$W$6:$W$505,BD$3,実績!$AI$6:$AI$505,"&lt;="&amp;$A171,実績!$AJ$6:$AJ$505,"&gt;"&amp;$A171,実績!$AK$6:$AK$505,"○")&gt;0,1,0))</f>
        <v>0</v>
      </c>
      <c r="BE171" s="39" t="n">
        <f aca="false">IF(BE$4=0,0,IF(COUNTIFS(実績!$W$6:$W$505,BE$3,実績!$AI$6:$AI$505,"&lt;="&amp;$A171,実績!$AJ$6:$AJ$505,"&gt;"&amp;$A171,実績!$AK$6:$AK$505,"○")&gt;0,1,0))</f>
        <v>0</v>
      </c>
      <c r="BF171" s="39" t="n">
        <f aca="false">IF(BF$4=0,0,IF(COUNTIFS(実績!$W$6:$W$505,BF$3,実績!$AI$6:$AI$505,"&lt;="&amp;$A171,実績!$AJ$6:$AJ$505,"&gt;"&amp;$A171,実績!$AK$6:$AK$505,"○")&gt;0,1,0))</f>
        <v>0</v>
      </c>
      <c r="BG171" s="39" t="n">
        <f aca="false">IF(BG$4=0,0,IF(COUNTIFS(実績!$W$6:$W$505,BG$3,実績!$AI$6:$AI$505,"&lt;="&amp;$A171,実績!$AJ$6:$AJ$505,"&gt;"&amp;$A171,実績!$AK$6:$AK$505,"○")&gt;0,1,0))</f>
        <v>0</v>
      </c>
      <c r="BH171" s="39" t="n">
        <f aca="false">IF(BH$4=0,0,IF(COUNTIFS(実績!$W$6:$W$505,BH$3,実績!$AI$6:$AI$505,"&lt;="&amp;$A171,実績!$AJ$6:$AJ$505,"&gt;"&amp;$A171,実績!$AK$6:$AK$505,"○")&gt;0,1,0))</f>
        <v>0</v>
      </c>
      <c r="BI171" s="39" t="n">
        <f aca="false">IF(BI$4=0,0,IF(COUNTIFS(実績!$W$6:$W$505,BI$3,実績!$AI$6:$AI$505,"&lt;="&amp;$A171,実績!$AJ$6:$AJ$505,"&gt;"&amp;$A171,実績!$AK$6:$AK$505,"○")&gt;0,1,0))</f>
        <v>0</v>
      </c>
      <c r="BJ171" s="39" t="n">
        <f aca="false">IF(BJ$4=0,0,IF(COUNTIFS(実績!$W$6:$W$505,BJ$3,実績!$AI$6:$AI$505,"&lt;="&amp;$A171,実績!$AJ$6:$AJ$505,"&gt;"&amp;$A171,実績!$AK$6:$AK$505,"○")&gt;0,1,0))</f>
        <v>0</v>
      </c>
      <c r="BK171" s="39" t="n">
        <f aca="false">IF(BK$4=0,0,IF(COUNTIFS(実績!$W$6:$W$505,BK$3,実績!$AI$6:$AI$505,"&lt;="&amp;$A171,実績!$AJ$6:$AJ$505,"&gt;"&amp;$A171,実績!$AK$6:$AK$505,"○")&gt;0,1,0))</f>
        <v>0</v>
      </c>
      <c r="BL171" s="39" t="n">
        <f aca="false">IF(BL$4=0,0,IF(COUNTIFS(実績!$W$6:$W$505,BL$3,実績!$AI$6:$AI$505,"&lt;="&amp;$A171,実績!$AJ$6:$AJ$505,"&gt;"&amp;$A171,実績!$AK$6:$AK$505,"○")&gt;0,1,0))</f>
        <v>0</v>
      </c>
      <c r="BM171" s="39" t="n">
        <f aca="false">IF(BM$4=0,0,IF(COUNTIFS(実績!$W$6:$W$505,BM$3,実績!$AI$6:$AI$505,"&lt;="&amp;$A171,実績!$AJ$6:$AJ$505,"&gt;"&amp;$A171,実績!$AK$6:$AK$505,"○")&gt;0,1,0))</f>
        <v>0</v>
      </c>
      <c r="BN171" s="39" t="n">
        <f aca="false">IF(BN$4=0,0,IF(COUNTIFS(実績!$W$6:$W$505,BN$3,実績!$AI$6:$AI$505,"&lt;="&amp;$A171,実績!$AJ$6:$AJ$505,"&gt;"&amp;$A171,実績!$AK$6:$AK$505,"○")&gt;0,1,0))</f>
        <v>0</v>
      </c>
      <c r="BO171" s="39" t="n">
        <f aca="false">IF(BO$4=0,0,IF(COUNTIFS(実績!$W$6:$W$505,BO$3,実績!$AI$6:$AI$505,"&lt;="&amp;$A171,実績!$AJ$6:$AJ$505,"&gt;"&amp;$A171,実績!$AK$6:$AK$505,"○")&gt;0,1,0))</f>
        <v>0</v>
      </c>
      <c r="BP171" s="39" t="n">
        <f aca="false">IF(BP$4=0,0,IF(COUNTIFS(実績!$W$6:$W$505,BP$3,実績!$AI$6:$AI$505,"&lt;="&amp;$A171,実績!$AJ$6:$AJ$505,"&gt;"&amp;$A171,実績!$AK$6:$AK$505,"○")&gt;0,1,0))</f>
        <v>0</v>
      </c>
      <c r="BQ171" s="39" t="n">
        <f aca="false">IF(BQ$4=0,0,IF(COUNTIFS(実績!$W$6:$W$505,BQ$3,実績!$AI$6:$AI$505,"&lt;="&amp;$A171,実績!$AJ$6:$AJ$505,"&gt;"&amp;$A171,実績!$AK$6:$AK$505,"○")&gt;0,1,0))</f>
        <v>0</v>
      </c>
      <c r="BR171" s="39" t="n">
        <f aca="false">IF(BR$4=0,0,IF(COUNTIFS(実績!$W$6:$W$505,BR$3,実績!$AI$6:$AI$505,"&lt;="&amp;$A171,実績!$AJ$6:$AJ$505,"&gt;"&amp;$A171,実績!$AK$6:$AK$505,"○")&gt;0,1,0))</f>
        <v>0</v>
      </c>
      <c r="BS171" s="39" t="n">
        <f aca="false">IF(BS$4=0,0,IF(COUNTIFS(実績!$W$6:$W$505,BS$3,実績!$AI$6:$AI$505,"&lt;="&amp;$A171,実績!$AJ$6:$AJ$505,"&gt;"&amp;$A171,実績!$AK$6:$AK$505,"○")&gt;0,1,0))</f>
        <v>0</v>
      </c>
      <c r="BT171" s="39" t="n">
        <f aca="false">IF(BT$4=0,0,IF(COUNTIFS(実績!$W$6:$W$505,BT$3,実績!$AI$6:$AI$505,"&lt;="&amp;$A171,実績!$AJ$6:$AJ$505,"&gt;"&amp;$A171,実績!$AK$6:$AK$505,"○")&gt;0,1,0))</f>
        <v>0</v>
      </c>
      <c r="BU171" s="39" t="n">
        <f aca="false">IF(BU$4=0,0,IF(COUNTIFS(実績!$W$6:$W$505,BU$3,実績!$AI$6:$AI$505,"&lt;="&amp;$A171,実績!$AJ$6:$AJ$505,"&gt;"&amp;$A171,実績!$AK$6:$AK$505,"○")&gt;0,1,0))</f>
        <v>0</v>
      </c>
      <c r="BV171" s="39" t="n">
        <f aca="false">IF(BV$4=0,0,IF(COUNTIFS(実績!$W$6:$W$505,BV$3,実績!$AI$6:$AI$505,"&lt;="&amp;$A171,実績!$AJ$6:$AJ$505,"&gt;"&amp;$A171,実績!$AK$6:$AK$505,"○")&gt;0,1,0))</f>
        <v>0</v>
      </c>
      <c r="BW171" s="39" t="n">
        <f aca="false">IF(BW$4=0,0,IF(COUNTIFS(実績!$W$6:$W$505,BW$3,実績!$AI$6:$AI$505,"&lt;="&amp;$A171,実績!$AJ$6:$AJ$505,"&gt;"&amp;$A171,実績!$AK$6:$AK$505,"○")&gt;0,1,0))</f>
        <v>0</v>
      </c>
      <c r="BX171" s="39" t="n">
        <f aca="false">IF(BX$4=0,0,IF(COUNTIFS(実績!$W$6:$W$505,BX$3,実績!$AI$6:$AI$505,"&lt;="&amp;$A171,実績!$AJ$6:$AJ$505,"&gt;"&amp;$A171,実績!$AK$6:$AK$505,"○")&gt;0,1,0))</f>
        <v>0</v>
      </c>
      <c r="BY171" s="39" t="n">
        <f aca="false">IF(BY$4=0,0,IF(COUNTIFS(実績!$W$6:$W$505,BY$3,実績!$AI$6:$AI$505,"&lt;="&amp;$A171,実績!$AJ$6:$AJ$505,"&gt;"&amp;$A171,実績!$AK$6:$AK$505,"○")&gt;0,1,0))</f>
        <v>0</v>
      </c>
      <c r="BZ171" s="39" t="n">
        <f aca="false">IF(BZ$4=0,0,IF(COUNTIFS(実績!$W$6:$W$505,BZ$3,実績!$AI$6:$AI$505,"&lt;="&amp;$A171,実績!$AJ$6:$AJ$505,"&gt;"&amp;$A171,実績!$AK$6:$AK$505,"○")&gt;0,1,0))</f>
        <v>0</v>
      </c>
      <c r="CA171" s="39" t="n">
        <f aca="false">IF(CA$4=0,0,IF(COUNTIFS(実績!$W$6:$W$505,CA$3,実績!$AI$6:$AI$505,"&lt;="&amp;$A171,実績!$AJ$6:$AJ$505,"&gt;"&amp;$A171,実績!$AK$6:$AK$505,"○")&gt;0,1,0))</f>
        <v>0</v>
      </c>
      <c r="CB171" s="39" t="n">
        <f aca="false">IF(CB$4=0,0,IF(COUNTIFS(実績!$W$6:$W$505,CB$3,実績!$AI$6:$AI$505,"&lt;="&amp;$A171,実績!$AJ$6:$AJ$505,"&gt;"&amp;$A171,実績!$AK$6:$AK$505,"○")&gt;0,1,0))</f>
        <v>0</v>
      </c>
      <c r="CC171" s="39" t="n">
        <f aca="false">IF(CC$4=0,0,IF(COUNTIFS(実績!$W$6:$W$505,CC$3,実績!$AI$6:$AI$505,"&lt;="&amp;$A171,実績!$AJ$6:$AJ$505,"&gt;"&amp;$A171,実績!$AK$6:$AK$505,"○")&gt;0,1,0))</f>
        <v>0</v>
      </c>
      <c r="CD171" s="39" t="n">
        <f aca="false">IF(CD$4=0,0,IF(COUNTIFS(実績!$W$6:$W$505,CD$3,実績!$AI$6:$AI$505,"&lt;="&amp;$A171,実績!$AJ$6:$AJ$505,"&gt;"&amp;$A171,実績!$AK$6:$AK$505,"○")&gt;0,1,0))</f>
        <v>0</v>
      </c>
      <c r="CE171" s="39" t="n">
        <f aca="false">IF(CE$4=0,0,IF(COUNTIFS(実績!$W$6:$W$505,CE$3,実績!$AI$6:$AI$505,"&lt;="&amp;$A171,実績!$AJ$6:$AJ$505,"&gt;"&amp;$A171,実績!$AK$6:$AK$505,"○")&gt;0,1,0))</f>
        <v>0</v>
      </c>
      <c r="CF171" s="39" t="n">
        <f aca="false">IF(CF$4=0,0,IF(COUNTIFS(実績!$W$6:$W$505,CF$3,実績!$AI$6:$AI$505,"&lt;="&amp;$A171,実績!$AJ$6:$AJ$505,"&gt;"&amp;$A171,実績!$AK$6:$AK$505,"○")&gt;0,1,0))</f>
        <v>0</v>
      </c>
      <c r="CG171" s="39" t="n">
        <f aca="false">IF(CG$4=0,0,IF(COUNTIFS(実績!$W$6:$W$505,CG$3,実績!$AI$6:$AI$505,"&lt;="&amp;$A171,実績!$AJ$6:$AJ$505,"&gt;"&amp;$A171,実績!$AK$6:$AK$505,"○")&gt;0,1,0))</f>
        <v>0</v>
      </c>
      <c r="CH171" s="39" t="n">
        <f aca="false">IF(CH$4=0,0,IF(COUNTIFS(実績!$W$6:$W$505,CH$3,実績!$AI$6:$AI$505,"&lt;="&amp;$A171,実績!$AJ$6:$AJ$505,"&gt;"&amp;$A171,実績!$AK$6:$AK$505,"○")&gt;0,1,0))</f>
        <v>0</v>
      </c>
      <c r="CI171" s="39" t="n">
        <f aca="false">IF(CI$4=0,0,IF(COUNTIFS(実績!$W$6:$W$505,CI$3,実績!$AI$6:$AI$505,"&lt;="&amp;$A171,実績!$AJ$6:$AJ$505,"&gt;"&amp;$A171,実績!$AK$6:$AK$505,"○")&gt;0,1,0))</f>
        <v>0</v>
      </c>
      <c r="CJ171" s="39" t="n">
        <f aca="false">IF(CJ$4=0,0,IF(COUNTIFS(実績!$W$6:$W$505,CJ$3,実績!$AI$6:$AI$505,"&lt;="&amp;$A171,実績!$AJ$6:$AJ$505,"&gt;"&amp;$A171,実績!$AK$6:$AK$505,"○")&gt;0,1,0))</f>
        <v>0</v>
      </c>
      <c r="CK171" s="39" t="n">
        <f aca="false">IF(CK$4=0,0,IF(COUNTIFS(実績!$W$6:$W$505,CK$3,実績!$AI$6:$AI$505,"&lt;="&amp;$A171,実績!$AJ$6:$AJ$505,"&gt;"&amp;$A171,実績!$AK$6:$AK$505,"○")&gt;0,1,0))</f>
        <v>0</v>
      </c>
      <c r="CL171" s="39" t="n">
        <f aca="false">IF(CL$4=0,0,IF(COUNTIFS(実績!$W$6:$W$505,CL$3,実績!$AI$6:$AI$505,"&lt;="&amp;$A171,実績!$AJ$6:$AJ$505,"&gt;"&amp;$A171,実績!$AK$6:$AK$505,"○")&gt;0,1,0))</f>
        <v>0</v>
      </c>
      <c r="CM171" s="39" t="n">
        <f aca="false">IF(CM$4=0,0,IF(COUNTIFS(実績!$W$6:$W$505,CM$3,実績!$AI$6:$AI$505,"&lt;="&amp;$A171,実績!$AJ$6:$AJ$505,"&gt;"&amp;$A171,実績!$AK$6:$AK$505,"○")&gt;0,1,0))</f>
        <v>0</v>
      </c>
      <c r="CN171" s="39" t="n">
        <f aca="false">IF(CN$4=0,0,IF(COUNTIFS(実績!$W$6:$W$505,CN$3,実績!$AI$6:$AI$505,"&lt;="&amp;$A171,実績!$AJ$6:$AJ$505,"&gt;"&amp;$A171,実績!$AK$6:$AK$505,"○")&gt;0,1,0))</f>
        <v>0</v>
      </c>
      <c r="CO171" s="39" t="n">
        <f aca="false">IF(CO$4=0,0,IF(COUNTIFS(実績!$W$6:$W$505,CO$3,実績!$AI$6:$AI$505,"&lt;="&amp;$A171,実績!$AJ$6:$AJ$505,"&gt;"&amp;$A171,実績!$AK$6:$AK$505,"○")&gt;0,1,0))</f>
        <v>0</v>
      </c>
      <c r="CP171" s="39" t="n">
        <f aca="false">IF(CP$4=0,0,IF(COUNTIFS(実績!$W$6:$W$505,CP$3,実績!$AI$6:$AI$505,"&lt;="&amp;$A171,実績!$AJ$6:$AJ$505,"&gt;"&amp;$A171,実績!$AK$6:$AK$505,"○")&gt;0,1,0))</f>
        <v>0</v>
      </c>
      <c r="CQ171" s="39" t="n">
        <f aca="false">IF(CQ$4=0,0,IF(COUNTIFS(実績!$W$6:$W$505,CQ$3,実績!$AI$6:$AI$505,"&lt;="&amp;$A171,実績!$AJ$6:$AJ$505,"&gt;"&amp;$A171,実績!$AK$6:$AK$505,"○")&gt;0,1,0))</f>
        <v>0</v>
      </c>
      <c r="CR171" s="39" t="n">
        <f aca="false">IF(CR$4=0,0,IF(COUNTIFS(実績!$W$6:$W$505,CR$3,実績!$AI$6:$AI$505,"&lt;="&amp;$A171,実績!$AJ$6:$AJ$505,"&gt;"&amp;$A171,実績!$AK$6:$AK$505,"○")&gt;0,1,0))</f>
        <v>0</v>
      </c>
      <c r="CS171" s="39" t="n">
        <f aca="false">IF(CS$4=0,0,IF(COUNTIFS(実績!$W$6:$W$505,CS$3,実績!$AI$6:$AI$505,"&lt;="&amp;$A171,実績!$AJ$6:$AJ$505,"&gt;"&amp;$A171,実績!$AK$6:$AK$505,"○")&gt;0,1,0))</f>
        <v>0</v>
      </c>
      <c r="CT171" s="39" t="n">
        <f aca="false">IF(CT$4=0,0,IF(COUNTIFS(実績!$W$6:$W$505,CT$3,実績!$AI$6:$AI$505,"&lt;="&amp;$A171,実績!$AJ$6:$AJ$505,"&gt;"&amp;$A171,実績!$AK$6:$AK$505,"○")&gt;0,1,0))</f>
        <v>0</v>
      </c>
      <c r="CU171" s="39" t="n">
        <f aca="false">IF(CU$4=0,0,IF(COUNTIFS(実績!$W$6:$W$505,CU$3,実績!$AI$6:$AI$505,"&lt;="&amp;$A171,実績!$AJ$6:$AJ$505,"&gt;"&amp;$A171,実績!$AK$6:$AK$505,"○")&gt;0,1,0))</f>
        <v>0</v>
      </c>
      <c r="CV171" s="39" t="n">
        <f aca="false">IF(CV$4=0,0,IF(COUNTIFS(実績!$W$6:$W$505,CV$3,実績!$AI$6:$AI$505,"&lt;="&amp;$A171,実績!$AJ$6:$AJ$505,"&gt;"&amp;$A171,実績!$AK$6:$AK$505,"○")&gt;0,1,0))</f>
        <v>0</v>
      </c>
      <c r="CW171" s="39" t="n">
        <f aca="false">IF(CW$4=0,0,IF(COUNTIFS(実績!$W$6:$W$505,CW$3,実績!$AI$6:$AI$505,"&lt;="&amp;$A171,実績!$AJ$6:$AJ$505,"&gt;"&amp;$A171,実績!$AK$6:$AK$505,"○")&gt;0,1,0))</f>
        <v>0</v>
      </c>
      <c r="CX171" s="39" t="n">
        <f aca="false">IF(CX$4=0,0,IF(COUNTIFS(実績!$W$6:$W$505,CX$3,実績!$AI$6:$AI$505,"&lt;="&amp;$A171,実績!$AJ$6:$AJ$505,"&gt;"&amp;$A171,実績!$AK$6:$AK$505,"○")&gt;0,1,0))</f>
        <v>0</v>
      </c>
      <c r="CY171" s="39" t="n">
        <f aca="false">IF(CY$4=0,0,IF(COUNTIFS(実績!$W$6:$W$505,CY$3,実績!$AI$6:$AI$505,"&lt;="&amp;$A171,実績!$AJ$6:$AJ$505,"&gt;"&amp;$A171,実績!$AK$6:$AK$505,"○")&gt;0,1,0))</f>
        <v>0</v>
      </c>
      <c r="CZ171" s="39" t="n">
        <f aca="false">IF(CZ$4=0,0,IF(COUNTIFS(実績!$W$6:$W$505,CZ$3,実績!$AI$6:$AI$505,"&lt;="&amp;$A171,実績!$AJ$6:$AJ$505,"&gt;"&amp;$A171,実績!$AK$6:$AK$505,"○")&gt;0,1,0))</f>
        <v>0</v>
      </c>
      <c r="DA171" s="39" t="n">
        <f aca="false">IF(DA$4=0,0,IF(COUNTIFS(実績!$W$6:$W$505,DA$3,実績!$AI$6:$AI$505,"&lt;="&amp;$A171,実績!$AJ$6:$AJ$505,"&gt;"&amp;$A171,実績!$AK$6:$AK$505,"○")&gt;0,1,0))</f>
        <v>0</v>
      </c>
      <c r="DB171" s="39" t="n">
        <f aca="false">IF(DB$4=0,0,IF(COUNTIFS(実績!$W$6:$W$505,DB$3,実績!$AI$6:$AI$505,"&lt;="&amp;$A171,実績!$AJ$6:$AJ$505,"&gt;"&amp;$A171,実績!$AK$6:$AK$505,"○")&gt;0,1,0))</f>
        <v>0</v>
      </c>
      <c r="DC171" s="39" t="n">
        <f aca="false">IF(DC$4=0,0,IF(COUNTIFS(実績!$W$6:$W$505,DC$3,実績!$AI$6:$AI$505,"&lt;="&amp;$A171,実績!$AJ$6:$AJ$505,"&gt;"&amp;$A171,実績!$AK$6:$AK$505,"○")&gt;0,1,0))</f>
        <v>0</v>
      </c>
      <c r="DD171" s="39" t="n">
        <f aca="false">IF(DD$4=0,0,IF(COUNTIFS(実績!$W$6:$W$505,DD$3,実績!$AI$6:$AI$505,"&lt;="&amp;$A171,実績!$AJ$6:$AJ$505,"&gt;"&amp;$A171,実績!$AK$6:$AK$505,"○")&gt;0,1,0))</f>
        <v>0</v>
      </c>
      <c r="DE171" s="39" t="n">
        <f aca="false">IF(DE$4=0,0,IF(COUNTIFS(実績!$W$6:$W$505,DE$3,実績!$AI$6:$AI$505,"&lt;="&amp;$A171,実績!$AJ$6:$AJ$505,"&gt;"&amp;$A171,実績!$AK$6:$AK$505,"○")&gt;0,1,0))</f>
        <v>0</v>
      </c>
      <c r="DF171" s="39" t="n">
        <f aca="false">IF(DF$4=0,0,IF(COUNTIFS(実績!$W$6:$W$505,DF$3,実績!$AI$6:$AI$505,"&lt;="&amp;$A171,実績!$AJ$6:$AJ$505,"&gt;"&amp;$A171,実績!$AK$6:$AK$505,"○")&gt;0,1,0))</f>
        <v>0</v>
      </c>
      <c r="DG171" s="39" t="n">
        <f aca="false">IF(DG$4=0,0,IF(COUNTIFS(実績!$W$6:$W$505,DG$3,実績!$AI$6:$AI$505,"&lt;="&amp;$A171,実績!$AJ$6:$AJ$505,"&gt;"&amp;$A171,実績!$AK$6:$AK$505,"○")&gt;0,1,0))</f>
        <v>0</v>
      </c>
      <c r="DH171" s="39" t="n">
        <f aca="false">IF(DH$4=0,0,IF(COUNTIFS(実績!$W$6:$W$505,DH$3,実績!$AI$6:$AI$505,"&lt;="&amp;$A171,実績!$AJ$6:$AJ$505,"&gt;"&amp;$A171,実績!$AK$6:$AK$505,"○")&gt;0,1,0))</f>
        <v>0</v>
      </c>
      <c r="DI171" s="39" t="n">
        <f aca="false">IF(DI$4=0,0,IF(COUNTIFS(実績!$W$6:$W$505,DI$3,実績!$AI$6:$AI$505,"&lt;="&amp;$A171,実績!$AJ$6:$AJ$505,"&gt;"&amp;$A171,実績!$AK$6:$AK$505,"○")&gt;0,1,0))</f>
        <v>0</v>
      </c>
      <c r="DJ171" s="39" t="n">
        <f aca="false">IF(DJ$4=0,0,IF(COUNTIFS(実績!$W$6:$W$505,DJ$3,実績!$AI$6:$AI$505,"&lt;="&amp;$A171,実績!$AJ$6:$AJ$505,"&gt;"&amp;$A171,実績!$AK$6:$AK$505,"○")&gt;0,1,0))</f>
        <v>0</v>
      </c>
      <c r="DK171" s="39" t="n">
        <f aca="false">IF(DK$4=0,0,IF(COUNTIFS(実績!$W$6:$W$505,DK$3,実績!$AI$6:$AI$505,"&lt;="&amp;$A171,実績!$AJ$6:$AJ$505,"&gt;"&amp;$A171,実績!$AK$6:$AK$505,"○")&gt;0,1,0))</f>
        <v>0</v>
      </c>
      <c r="DL171" s="39" t="n">
        <f aca="false">IF(DL$4=0,0,IF(COUNTIFS(実績!$W$6:$W$505,DL$3,実績!$AI$6:$AI$505,"&lt;="&amp;$A171,実績!$AJ$6:$AJ$505,"&gt;"&amp;$A171,実績!$AK$6:$AK$505,"○")&gt;0,1,0))</f>
        <v>0</v>
      </c>
      <c r="DM171" s="39" t="n">
        <f aca="false">IF(DM$4=0,0,IF(COUNTIFS(実績!$W$6:$W$505,DM$3,実績!$AI$6:$AI$505,"&lt;="&amp;$A171,実績!$AJ$6:$AJ$505,"&gt;"&amp;$A171,実績!$AK$6:$AK$505,"○")&gt;0,1,0))</f>
        <v>0</v>
      </c>
      <c r="DN171" s="39" t="n">
        <f aca="false">IF(DN$4=0,0,IF(COUNTIFS(実績!$W$6:$W$505,DN$3,実績!$AI$6:$AI$505,"&lt;="&amp;$A171,実績!$AJ$6:$AJ$505,"&gt;"&amp;$A171,実績!$AK$6:$AK$505,"○")&gt;0,1,0))</f>
        <v>0</v>
      </c>
      <c r="DO171" s="39" t="n">
        <f aca="false">IF(DO$4=0,0,IF(COUNTIFS(実績!$W$6:$W$505,DO$3,実績!$AI$6:$AI$505,"&lt;="&amp;$A171,実績!$AJ$6:$AJ$505,"&gt;"&amp;$A171,実績!$AK$6:$AK$505,"○")&gt;0,1,0))</f>
        <v>0</v>
      </c>
      <c r="DP171" s="39" t="n">
        <f aca="false">IF(DP$4=0,0,IF(COUNTIFS(実績!$W$6:$W$505,DP$3,実績!$AI$6:$AI$505,"&lt;="&amp;$A171,実績!$AJ$6:$AJ$505,"&gt;"&amp;$A171,実績!$AK$6:$AK$505,"○")&gt;0,1,0))</f>
        <v>0</v>
      </c>
      <c r="DQ171" s="39" t="n">
        <f aca="false">IF(DQ$4=0,0,IF(COUNTIFS(実績!$W$6:$W$505,DQ$3,実績!$AI$6:$AI$505,"&lt;="&amp;$A171,実績!$AJ$6:$AJ$505,"&gt;"&amp;$A171,実績!$AK$6:$AK$505,"○")&gt;0,1,0))</f>
        <v>0</v>
      </c>
      <c r="DR171" s="39" t="n">
        <f aca="false">IF(DR$4=0,0,IF(COUNTIFS(実績!$W$6:$W$505,DR$3,実績!$AI$6:$AI$505,"&lt;="&amp;$A171,実績!$AJ$6:$AJ$505,"&gt;"&amp;$A171,実績!$AK$6:$AK$505,"○")&gt;0,1,0))</f>
        <v>0</v>
      </c>
      <c r="DS171" s="39" t="n">
        <f aca="false">SUM(C171:DR171)</f>
        <v>0</v>
      </c>
      <c r="DT171" s="39" t="n">
        <f aca="false">SUMPRODUCT((実績!$C$6:$C$505="○")*ISNUMBER(実績!$AM$6:$AM$505)*(実績!$AM$6:$AM$505&lt;=$A171)*(実績!$AN$6:$AN$505&gt;$A171))</f>
        <v>0</v>
      </c>
      <c r="DU171" s="39" t="n">
        <f aca="false">SUMIF($C$2:$DR$2,"製鉄曳船",C171:DR171)</f>
        <v>0</v>
      </c>
      <c r="DV171" s="39" t="n">
        <f aca="false">SUMIF($C$2:$DR$2,"西日本海運",C171:DR171)</f>
        <v>0</v>
      </c>
    </row>
    <row r="172" customFormat="false" ht="15" hidden="false" customHeight="false" outlineLevel="0" collapsed="false">
      <c r="A172" s="0" t="n">
        <v>830</v>
      </c>
      <c r="B172" s="38" t="n">
        <f aca="false">A172/1440</f>
        <v>0.576388888888889</v>
      </c>
      <c r="C172" s="39" t="n">
        <f aca="false">IF(C$4=0,0,IF(COUNTIFS(実績!$W$6:$W$505,C$3,実績!$AI$6:$AI$505,"&lt;="&amp;$A172,実績!$AJ$6:$AJ$505,"&gt;"&amp;$A172,実績!$AK$6:$AK$505,"○")&gt;0,1,0))</f>
        <v>0</v>
      </c>
      <c r="D172" s="39" t="n">
        <f aca="false">IF(D$4=0,0,IF(COUNTIFS(実績!$W$6:$W$505,D$3,実績!$AI$6:$AI$505,"&lt;="&amp;$A172,実績!$AJ$6:$AJ$505,"&gt;"&amp;$A172,実績!$AK$6:$AK$505,"○")&gt;0,1,0))</f>
        <v>0</v>
      </c>
      <c r="E172" s="39" t="n">
        <f aca="false">IF(E$4=0,0,IF(COUNTIFS(実績!$W$6:$W$505,E$3,実績!$AI$6:$AI$505,"&lt;="&amp;$A172,実績!$AJ$6:$AJ$505,"&gt;"&amp;$A172,実績!$AK$6:$AK$505,"○")&gt;0,1,0))</f>
        <v>0</v>
      </c>
      <c r="F172" s="39" t="n">
        <f aca="false">IF(F$4=0,0,IF(COUNTIFS(実績!$W$6:$W$505,F$3,実績!$AI$6:$AI$505,"&lt;="&amp;$A172,実績!$AJ$6:$AJ$505,"&gt;"&amp;$A172,実績!$AK$6:$AK$505,"○")&gt;0,1,0))</f>
        <v>0</v>
      </c>
      <c r="G172" s="39" t="n">
        <f aca="false">IF(G$4=0,0,IF(COUNTIFS(実績!$W$6:$W$505,G$3,実績!$AI$6:$AI$505,"&lt;="&amp;$A172,実績!$AJ$6:$AJ$505,"&gt;"&amp;$A172,実績!$AK$6:$AK$505,"○")&gt;0,1,0))</f>
        <v>0</v>
      </c>
      <c r="H172" s="39" t="n">
        <f aca="false">IF(H$4=0,0,IF(COUNTIFS(実績!$W$6:$W$505,H$3,実績!$AI$6:$AI$505,"&lt;="&amp;$A172,実績!$AJ$6:$AJ$505,"&gt;"&amp;$A172,実績!$AK$6:$AK$505,"○")&gt;0,1,0))</f>
        <v>0</v>
      </c>
      <c r="I172" s="39" t="n">
        <f aca="false">IF(I$4=0,0,IF(COUNTIFS(実績!$W$6:$W$505,I$3,実績!$AI$6:$AI$505,"&lt;="&amp;$A172,実績!$AJ$6:$AJ$505,"&gt;"&amp;$A172,実績!$AK$6:$AK$505,"○")&gt;0,1,0))</f>
        <v>0</v>
      </c>
      <c r="J172" s="39" t="n">
        <f aca="false">IF(J$4=0,0,IF(COUNTIFS(実績!$W$6:$W$505,J$3,実績!$AI$6:$AI$505,"&lt;="&amp;$A172,実績!$AJ$6:$AJ$505,"&gt;"&amp;$A172,実績!$AK$6:$AK$505,"○")&gt;0,1,0))</f>
        <v>0</v>
      </c>
      <c r="K172" s="39" t="n">
        <f aca="false">IF(K$4=0,0,IF(COUNTIFS(実績!$W$6:$W$505,K$3,実績!$AI$6:$AI$505,"&lt;="&amp;$A172,実績!$AJ$6:$AJ$505,"&gt;"&amp;$A172,実績!$AK$6:$AK$505,"○")&gt;0,1,0))</f>
        <v>0</v>
      </c>
      <c r="L172" s="39" t="n">
        <f aca="false">IF(L$4=0,0,IF(COUNTIFS(実績!$W$6:$W$505,L$3,実績!$AI$6:$AI$505,"&lt;="&amp;$A172,実績!$AJ$6:$AJ$505,"&gt;"&amp;$A172,実績!$AK$6:$AK$505,"○")&gt;0,1,0))</f>
        <v>0</v>
      </c>
      <c r="M172" s="39" t="n">
        <f aca="false">IF(M$4=0,0,IF(COUNTIFS(実績!$W$6:$W$505,M$3,実績!$AI$6:$AI$505,"&lt;="&amp;$A172,実績!$AJ$6:$AJ$505,"&gt;"&amp;$A172,実績!$AK$6:$AK$505,"○")&gt;0,1,0))</f>
        <v>0</v>
      </c>
      <c r="N172" s="39" t="n">
        <f aca="false">IF(N$4=0,0,IF(COUNTIFS(実績!$W$6:$W$505,N$3,実績!$AI$6:$AI$505,"&lt;="&amp;$A172,実績!$AJ$6:$AJ$505,"&gt;"&amp;$A172,実績!$AK$6:$AK$505,"○")&gt;0,1,0))</f>
        <v>0</v>
      </c>
      <c r="O172" s="39" t="n">
        <f aca="false">IF(O$4=0,0,IF(COUNTIFS(実績!$W$6:$W$505,O$3,実績!$AI$6:$AI$505,"&lt;="&amp;$A172,実績!$AJ$6:$AJ$505,"&gt;"&amp;$A172,実績!$AK$6:$AK$505,"○")&gt;0,1,0))</f>
        <v>0</v>
      </c>
      <c r="P172" s="39" t="n">
        <f aca="false">IF(P$4=0,0,IF(COUNTIFS(実績!$W$6:$W$505,P$3,実績!$AI$6:$AI$505,"&lt;="&amp;$A172,実績!$AJ$6:$AJ$505,"&gt;"&amp;$A172,実績!$AK$6:$AK$505,"○")&gt;0,1,0))</f>
        <v>0</v>
      </c>
      <c r="Q172" s="39" t="n">
        <f aca="false">IF(Q$4=0,0,IF(COUNTIFS(実績!$W$6:$W$505,Q$3,実績!$AI$6:$AI$505,"&lt;="&amp;$A172,実績!$AJ$6:$AJ$505,"&gt;"&amp;$A172,実績!$AK$6:$AK$505,"○")&gt;0,1,0))</f>
        <v>0</v>
      </c>
      <c r="R172" s="39" t="n">
        <f aca="false">IF(R$4=0,0,IF(COUNTIFS(実績!$W$6:$W$505,R$3,実績!$AI$6:$AI$505,"&lt;="&amp;$A172,実績!$AJ$6:$AJ$505,"&gt;"&amp;$A172,実績!$AK$6:$AK$505,"○")&gt;0,1,0))</f>
        <v>0</v>
      </c>
      <c r="S172" s="39" t="n">
        <f aca="false">IF(S$4=0,0,IF(COUNTIFS(実績!$W$6:$W$505,S$3,実績!$AI$6:$AI$505,"&lt;="&amp;$A172,実績!$AJ$6:$AJ$505,"&gt;"&amp;$A172,実績!$AK$6:$AK$505,"○")&gt;0,1,0))</f>
        <v>0</v>
      </c>
      <c r="T172" s="39" t="n">
        <f aca="false">IF(T$4=0,0,IF(COUNTIFS(実績!$W$6:$W$505,T$3,実績!$AI$6:$AI$505,"&lt;="&amp;$A172,実績!$AJ$6:$AJ$505,"&gt;"&amp;$A172,実績!$AK$6:$AK$505,"○")&gt;0,1,0))</f>
        <v>0</v>
      </c>
      <c r="U172" s="39" t="n">
        <f aca="false">IF(U$4=0,0,IF(COUNTIFS(実績!$W$6:$W$505,U$3,実績!$AI$6:$AI$505,"&lt;="&amp;$A172,実績!$AJ$6:$AJ$505,"&gt;"&amp;$A172,実績!$AK$6:$AK$505,"○")&gt;0,1,0))</f>
        <v>0</v>
      </c>
      <c r="V172" s="39" t="n">
        <f aca="false">IF(V$4=0,0,IF(COUNTIFS(実績!$W$6:$W$505,V$3,実績!$AI$6:$AI$505,"&lt;="&amp;$A172,実績!$AJ$6:$AJ$505,"&gt;"&amp;$A172,実績!$AK$6:$AK$505,"○")&gt;0,1,0))</f>
        <v>0</v>
      </c>
      <c r="W172" s="39" t="n">
        <f aca="false">IF(W$4=0,0,IF(COUNTIFS(実績!$W$6:$W$505,W$3,実績!$AI$6:$AI$505,"&lt;="&amp;$A172,実績!$AJ$6:$AJ$505,"&gt;"&amp;$A172,実績!$AK$6:$AK$505,"○")&gt;0,1,0))</f>
        <v>0</v>
      </c>
      <c r="X172" s="39" t="n">
        <f aca="false">IF(X$4=0,0,IF(COUNTIFS(実績!$W$6:$W$505,X$3,実績!$AI$6:$AI$505,"&lt;="&amp;$A172,実績!$AJ$6:$AJ$505,"&gt;"&amp;$A172,実績!$AK$6:$AK$505,"○")&gt;0,1,0))</f>
        <v>0</v>
      </c>
      <c r="Y172" s="39" t="n">
        <f aca="false">IF(Y$4=0,0,IF(COUNTIFS(実績!$W$6:$W$505,Y$3,実績!$AI$6:$AI$505,"&lt;="&amp;$A172,実績!$AJ$6:$AJ$505,"&gt;"&amp;$A172,実績!$AK$6:$AK$505,"○")&gt;0,1,0))</f>
        <v>0</v>
      </c>
      <c r="Z172" s="39" t="n">
        <f aca="false">IF(Z$4=0,0,IF(COUNTIFS(実績!$W$6:$W$505,Z$3,実績!$AI$6:$AI$505,"&lt;="&amp;$A172,実績!$AJ$6:$AJ$505,"&gt;"&amp;$A172,実績!$AK$6:$AK$505,"○")&gt;0,1,0))</f>
        <v>0</v>
      </c>
      <c r="AA172" s="39" t="n">
        <f aca="false">IF(AA$4=0,0,IF(COUNTIFS(実績!$W$6:$W$505,AA$3,実績!$AI$6:$AI$505,"&lt;="&amp;$A172,実績!$AJ$6:$AJ$505,"&gt;"&amp;$A172,実績!$AK$6:$AK$505,"○")&gt;0,1,0))</f>
        <v>0</v>
      </c>
      <c r="AB172" s="39" t="n">
        <f aca="false">IF(AB$4=0,0,IF(COUNTIFS(実績!$W$6:$W$505,AB$3,実績!$AI$6:$AI$505,"&lt;="&amp;$A172,実績!$AJ$6:$AJ$505,"&gt;"&amp;$A172,実績!$AK$6:$AK$505,"○")&gt;0,1,0))</f>
        <v>0</v>
      </c>
      <c r="AC172" s="39" t="n">
        <f aca="false">IF(AC$4=0,0,IF(COUNTIFS(実績!$W$6:$W$505,AC$3,実績!$AI$6:$AI$505,"&lt;="&amp;$A172,実績!$AJ$6:$AJ$505,"&gt;"&amp;$A172,実績!$AK$6:$AK$505,"○")&gt;0,1,0))</f>
        <v>0</v>
      </c>
      <c r="AD172" s="39" t="n">
        <f aca="false">IF(AD$4=0,0,IF(COUNTIFS(実績!$W$6:$W$505,AD$3,実績!$AI$6:$AI$505,"&lt;="&amp;$A172,実績!$AJ$6:$AJ$505,"&gt;"&amp;$A172,実績!$AK$6:$AK$505,"○")&gt;0,1,0))</f>
        <v>0</v>
      </c>
      <c r="AE172" s="39" t="n">
        <f aca="false">IF(AE$4=0,0,IF(COUNTIFS(実績!$W$6:$W$505,AE$3,実績!$AI$6:$AI$505,"&lt;="&amp;$A172,実績!$AJ$6:$AJ$505,"&gt;"&amp;$A172,実績!$AK$6:$AK$505,"○")&gt;0,1,0))</f>
        <v>0</v>
      </c>
      <c r="AF172" s="39" t="n">
        <f aca="false">IF(AF$4=0,0,IF(COUNTIFS(実績!$W$6:$W$505,AF$3,実績!$AI$6:$AI$505,"&lt;="&amp;$A172,実績!$AJ$6:$AJ$505,"&gt;"&amp;$A172,実績!$AK$6:$AK$505,"○")&gt;0,1,0))</f>
        <v>0</v>
      </c>
      <c r="AG172" s="39" t="n">
        <f aca="false">IF(AG$4=0,0,IF(COUNTIFS(実績!$W$6:$W$505,AG$3,実績!$AI$6:$AI$505,"&lt;="&amp;$A172,実績!$AJ$6:$AJ$505,"&gt;"&amp;$A172,実績!$AK$6:$AK$505,"○")&gt;0,1,0))</f>
        <v>0</v>
      </c>
      <c r="AH172" s="39" t="n">
        <f aca="false">IF(AH$4=0,0,IF(COUNTIFS(実績!$W$6:$W$505,AH$3,実績!$AI$6:$AI$505,"&lt;="&amp;$A172,実績!$AJ$6:$AJ$505,"&gt;"&amp;$A172,実績!$AK$6:$AK$505,"○")&gt;0,1,0))</f>
        <v>0</v>
      </c>
      <c r="AI172" s="39" t="n">
        <f aca="false">IF(AI$4=0,0,IF(COUNTIFS(実績!$W$6:$W$505,AI$3,実績!$AI$6:$AI$505,"&lt;="&amp;$A172,実績!$AJ$6:$AJ$505,"&gt;"&amp;$A172,実績!$AK$6:$AK$505,"○")&gt;0,1,0))</f>
        <v>0</v>
      </c>
      <c r="AJ172" s="39" t="n">
        <f aca="false">IF(AJ$4=0,0,IF(COUNTIFS(実績!$W$6:$W$505,AJ$3,実績!$AI$6:$AI$505,"&lt;="&amp;$A172,実績!$AJ$6:$AJ$505,"&gt;"&amp;$A172,実績!$AK$6:$AK$505,"○")&gt;0,1,0))</f>
        <v>0</v>
      </c>
      <c r="AK172" s="39" t="n">
        <f aca="false">IF(AK$4=0,0,IF(COUNTIFS(実績!$W$6:$W$505,AK$3,実績!$AI$6:$AI$505,"&lt;="&amp;$A172,実績!$AJ$6:$AJ$505,"&gt;"&amp;$A172,実績!$AK$6:$AK$505,"○")&gt;0,1,0))</f>
        <v>0</v>
      </c>
      <c r="AL172" s="39" t="n">
        <f aca="false">IF(AL$4=0,0,IF(COUNTIFS(実績!$W$6:$W$505,AL$3,実績!$AI$6:$AI$505,"&lt;="&amp;$A172,実績!$AJ$6:$AJ$505,"&gt;"&amp;$A172,実績!$AK$6:$AK$505,"○")&gt;0,1,0))</f>
        <v>0</v>
      </c>
      <c r="AM172" s="39" t="n">
        <f aca="false">IF(AM$4=0,0,IF(COUNTIFS(実績!$W$6:$W$505,AM$3,実績!$AI$6:$AI$505,"&lt;="&amp;$A172,実績!$AJ$6:$AJ$505,"&gt;"&amp;$A172,実績!$AK$6:$AK$505,"○")&gt;0,1,0))</f>
        <v>0</v>
      </c>
      <c r="AN172" s="39" t="n">
        <f aca="false">IF(AN$4=0,0,IF(COUNTIFS(実績!$W$6:$W$505,AN$3,実績!$AI$6:$AI$505,"&lt;="&amp;$A172,実績!$AJ$6:$AJ$505,"&gt;"&amp;$A172,実績!$AK$6:$AK$505,"○")&gt;0,1,0))</f>
        <v>0</v>
      </c>
      <c r="AO172" s="39" t="n">
        <f aca="false">IF(AO$4=0,0,IF(COUNTIFS(実績!$W$6:$W$505,AO$3,実績!$AI$6:$AI$505,"&lt;="&amp;$A172,実績!$AJ$6:$AJ$505,"&gt;"&amp;$A172,実績!$AK$6:$AK$505,"○")&gt;0,1,0))</f>
        <v>0</v>
      </c>
      <c r="AP172" s="39" t="n">
        <f aca="false">IF(AP$4=0,0,IF(COUNTIFS(実績!$W$6:$W$505,AP$3,実績!$AI$6:$AI$505,"&lt;="&amp;$A172,実績!$AJ$6:$AJ$505,"&gt;"&amp;$A172,実績!$AK$6:$AK$505,"○")&gt;0,1,0))</f>
        <v>0</v>
      </c>
      <c r="AQ172" s="39" t="n">
        <f aca="false">IF(AQ$4=0,0,IF(COUNTIFS(実績!$W$6:$W$505,AQ$3,実績!$AI$6:$AI$505,"&lt;="&amp;$A172,実績!$AJ$6:$AJ$505,"&gt;"&amp;$A172,実績!$AK$6:$AK$505,"○")&gt;0,1,0))</f>
        <v>0</v>
      </c>
      <c r="AR172" s="39" t="n">
        <f aca="false">IF(AR$4=0,0,IF(COUNTIFS(実績!$W$6:$W$505,AR$3,実績!$AI$6:$AI$505,"&lt;="&amp;$A172,実績!$AJ$6:$AJ$505,"&gt;"&amp;$A172,実績!$AK$6:$AK$505,"○")&gt;0,1,0))</f>
        <v>0</v>
      </c>
      <c r="AS172" s="39" t="n">
        <f aca="false">IF(AS$4=0,0,IF(COUNTIFS(実績!$W$6:$W$505,AS$3,実績!$AI$6:$AI$505,"&lt;="&amp;$A172,実績!$AJ$6:$AJ$505,"&gt;"&amp;$A172,実績!$AK$6:$AK$505,"○")&gt;0,1,0))</f>
        <v>0</v>
      </c>
      <c r="AT172" s="39" t="n">
        <f aca="false">IF(AT$4=0,0,IF(COUNTIFS(実績!$W$6:$W$505,AT$3,実績!$AI$6:$AI$505,"&lt;="&amp;$A172,実績!$AJ$6:$AJ$505,"&gt;"&amp;$A172,実績!$AK$6:$AK$505,"○")&gt;0,1,0))</f>
        <v>0</v>
      </c>
      <c r="AU172" s="39" t="n">
        <f aca="false">IF(AU$4=0,0,IF(COUNTIFS(実績!$W$6:$W$505,AU$3,実績!$AI$6:$AI$505,"&lt;="&amp;$A172,実績!$AJ$6:$AJ$505,"&gt;"&amp;$A172,実績!$AK$6:$AK$505,"○")&gt;0,1,0))</f>
        <v>0</v>
      </c>
      <c r="AV172" s="39" t="n">
        <f aca="false">IF(AV$4=0,0,IF(COUNTIFS(実績!$W$6:$W$505,AV$3,実績!$AI$6:$AI$505,"&lt;="&amp;$A172,実績!$AJ$6:$AJ$505,"&gt;"&amp;$A172,実績!$AK$6:$AK$505,"○")&gt;0,1,0))</f>
        <v>0</v>
      </c>
      <c r="AW172" s="39" t="n">
        <f aca="false">IF(AW$4=0,0,IF(COUNTIFS(実績!$W$6:$W$505,AW$3,実績!$AI$6:$AI$505,"&lt;="&amp;$A172,実績!$AJ$6:$AJ$505,"&gt;"&amp;$A172,実績!$AK$6:$AK$505,"○")&gt;0,1,0))</f>
        <v>0</v>
      </c>
      <c r="AX172" s="39" t="n">
        <f aca="false">IF(AX$4=0,0,IF(COUNTIFS(実績!$W$6:$W$505,AX$3,実績!$AI$6:$AI$505,"&lt;="&amp;$A172,実績!$AJ$6:$AJ$505,"&gt;"&amp;$A172,実績!$AK$6:$AK$505,"○")&gt;0,1,0))</f>
        <v>0</v>
      </c>
      <c r="AY172" s="39" t="n">
        <f aca="false">IF(AY$4=0,0,IF(COUNTIFS(実績!$W$6:$W$505,AY$3,実績!$AI$6:$AI$505,"&lt;="&amp;$A172,実績!$AJ$6:$AJ$505,"&gt;"&amp;$A172,実績!$AK$6:$AK$505,"○")&gt;0,1,0))</f>
        <v>0</v>
      </c>
      <c r="AZ172" s="39" t="n">
        <f aca="false">IF(AZ$4=0,0,IF(COUNTIFS(実績!$W$6:$W$505,AZ$3,実績!$AI$6:$AI$505,"&lt;="&amp;$A172,実績!$AJ$6:$AJ$505,"&gt;"&amp;$A172,実績!$AK$6:$AK$505,"○")&gt;0,1,0))</f>
        <v>0</v>
      </c>
      <c r="BA172" s="39" t="n">
        <f aca="false">IF(BA$4=0,0,IF(COUNTIFS(実績!$W$6:$W$505,BA$3,実績!$AI$6:$AI$505,"&lt;="&amp;$A172,実績!$AJ$6:$AJ$505,"&gt;"&amp;$A172,実績!$AK$6:$AK$505,"○")&gt;0,1,0))</f>
        <v>0</v>
      </c>
      <c r="BB172" s="39" t="n">
        <f aca="false">IF(BB$4=0,0,IF(COUNTIFS(実績!$W$6:$W$505,BB$3,実績!$AI$6:$AI$505,"&lt;="&amp;$A172,実績!$AJ$6:$AJ$505,"&gt;"&amp;$A172,実績!$AK$6:$AK$505,"○")&gt;0,1,0))</f>
        <v>0</v>
      </c>
      <c r="BC172" s="39" t="n">
        <f aca="false">IF(BC$4=0,0,IF(COUNTIFS(実績!$W$6:$W$505,BC$3,実績!$AI$6:$AI$505,"&lt;="&amp;$A172,実績!$AJ$6:$AJ$505,"&gt;"&amp;$A172,実績!$AK$6:$AK$505,"○")&gt;0,1,0))</f>
        <v>0</v>
      </c>
      <c r="BD172" s="39" t="n">
        <f aca="false">IF(BD$4=0,0,IF(COUNTIFS(実績!$W$6:$W$505,BD$3,実績!$AI$6:$AI$505,"&lt;="&amp;$A172,実績!$AJ$6:$AJ$505,"&gt;"&amp;$A172,実績!$AK$6:$AK$505,"○")&gt;0,1,0))</f>
        <v>0</v>
      </c>
      <c r="BE172" s="39" t="n">
        <f aca="false">IF(BE$4=0,0,IF(COUNTIFS(実績!$W$6:$W$505,BE$3,実績!$AI$6:$AI$505,"&lt;="&amp;$A172,実績!$AJ$6:$AJ$505,"&gt;"&amp;$A172,実績!$AK$6:$AK$505,"○")&gt;0,1,0))</f>
        <v>0</v>
      </c>
      <c r="BF172" s="39" t="n">
        <f aca="false">IF(BF$4=0,0,IF(COUNTIFS(実績!$W$6:$W$505,BF$3,実績!$AI$6:$AI$505,"&lt;="&amp;$A172,実績!$AJ$6:$AJ$505,"&gt;"&amp;$A172,実績!$AK$6:$AK$505,"○")&gt;0,1,0))</f>
        <v>0</v>
      </c>
      <c r="BG172" s="39" t="n">
        <f aca="false">IF(BG$4=0,0,IF(COUNTIFS(実績!$W$6:$W$505,BG$3,実績!$AI$6:$AI$505,"&lt;="&amp;$A172,実績!$AJ$6:$AJ$505,"&gt;"&amp;$A172,実績!$AK$6:$AK$505,"○")&gt;0,1,0))</f>
        <v>0</v>
      </c>
      <c r="BH172" s="39" t="n">
        <f aca="false">IF(BH$4=0,0,IF(COUNTIFS(実績!$W$6:$W$505,BH$3,実績!$AI$6:$AI$505,"&lt;="&amp;$A172,実績!$AJ$6:$AJ$505,"&gt;"&amp;$A172,実績!$AK$6:$AK$505,"○")&gt;0,1,0))</f>
        <v>0</v>
      </c>
      <c r="BI172" s="39" t="n">
        <f aca="false">IF(BI$4=0,0,IF(COUNTIFS(実績!$W$6:$W$505,BI$3,実績!$AI$6:$AI$505,"&lt;="&amp;$A172,実績!$AJ$6:$AJ$505,"&gt;"&amp;$A172,実績!$AK$6:$AK$505,"○")&gt;0,1,0))</f>
        <v>0</v>
      </c>
      <c r="BJ172" s="39" t="n">
        <f aca="false">IF(BJ$4=0,0,IF(COUNTIFS(実績!$W$6:$W$505,BJ$3,実績!$AI$6:$AI$505,"&lt;="&amp;$A172,実績!$AJ$6:$AJ$505,"&gt;"&amp;$A172,実績!$AK$6:$AK$505,"○")&gt;0,1,0))</f>
        <v>0</v>
      </c>
      <c r="BK172" s="39" t="n">
        <f aca="false">IF(BK$4=0,0,IF(COUNTIFS(実績!$W$6:$W$505,BK$3,実績!$AI$6:$AI$505,"&lt;="&amp;$A172,実績!$AJ$6:$AJ$505,"&gt;"&amp;$A172,実績!$AK$6:$AK$505,"○")&gt;0,1,0))</f>
        <v>0</v>
      </c>
      <c r="BL172" s="39" t="n">
        <f aca="false">IF(BL$4=0,0,IF(COUNTIFS(実績!$W$6:$W$505,BL$3,実績!$AI$6:$AI$505,"&lt;="&amp;$A172,実績!$AJ$6:$AJ$505,"&gt;"&amp;$A172,実績!$AK$6:$AK$505,"○")&gt;0,1,0))</f>
        <v>0</v>
      </c>
      <c r="BM172" s="39" t="n">
        <f aca="false">IF(BM$4=0,0,IF(COUNTIFS(実績!$W$6:$W$505,BM$3,実績!$AI$6:$AI$505,"&lt;="&amp;$A172,実績!$AJ$6:$AJ$505,"&gt;"&amp;$A172,実績!$AK$6:$AK$505,"○")&gt;0,1,0))</f>
        <v>0</v>
      </c>
      <c r="BN172" s="39" t="n">
        <f aca="false">IF(BN$4=0,0,IF(COUNTIFS(実績!$W$6:$W$505,BN$3,実績!$AI$6:$AI$505,"&lt;="&amp;$A172,実績!$AJ$6:$AJ$505,"&gt;"&amp;$A172,実績!$AK$6:$AK$505,"○")&gt;0,1,0))</f>
        <v>0</v>
      </c>
      <c r="BO172" s="39" t="n">
        <f aca="false">IF(BO$4=0,0,IF(COUNTIFS(実績!$W$6:$W$505,BO$3,実績!$AI$6:$AI$505,"&lt;="&amp;$A172,実績!$AJ$6:$AJ$505,"&gt;"&amp;$A172,実績!$AK$6:$AK$505,"○")&gt;0,1,0))</f>
        <v>0</v>
      </c>
      <c r="BP172" s="39" t="n">
        <f aca="false">IF(BP$4=0,0,IF(COUNTIFS(実績!$W$6:$W$505,BP$3,実績!$AI$6:$AI$505,"&lt;="&amp;$A172,実績!$AJ$6:$AJ$505,"&gt;"&amp;$A172,実績!$AK$6:$AK$505,"○")&gt;0,1,0))</f>
        <v>0</v>
      </c>
      <c r="BQ172" s="39" t="n">
        <f aca="false">IF(BQ$4=0,0,IF(COUNTIFS(実績!$W$6:$W$505,BQ$3,実績!$AI$6:$AI$505,"&lt;="&amp;$A172,実績!$AJ$6:$AJ$505,"&gt;"&amp;$A172,実績!$AK$6:$AK$505,"○")&gt;0,1,0))</f>
        <v>0</v>
      </c>
      <c r="BR172" s="39" t="n">
        <f aca="false">IF(BR$4=0,0,IF(COUNTIFS(実績!$W$6:$W$505,BR$3,実績!$AI$6:$AI$505,"&lt;="&amp;$A172,実績!$AJ$6:$AJ$505,"&gt;"&amp;$A172,実績!$AK$6:$AK$505,"○")&gt;0,1,0))</f>
        <v>0</v>
      </c>
      <c r="BS172" s="39" t="n">
        <f aca="false">IF(BS$4=0,0,IF(COUNTIFS(実績!$W$6:$W$505,BS$3,実績!$AI$6:$AI$505,"&lt;="&amp;$A172,実績!$AJ$6:$AJ$505,"&gt;"&amp;$A172,実績!$AK$6:$AK$505,"○")&gt;0,1,0))</f>
        <v>0</v>
      </c>
      <c r="BT172" s="39" t="n">
        <f aca="false">IF(BT$4=0,0,IF(COUNTIFS(実績!$W$6:$W$505,BT$3,実績!$AI$6:$AI$505,"&lt;="&amp;$A172,実績!$AJ$6:$AJ$505,"&gt;"&amp;$A172,実績!$AK$6:$AK$505,"○")&gt;0,1,0))</f>
        <v>0</v>
      </c>
      <c r="BU172" s="39" t="n">
        <f aca="false">IF(BU$4=0,0,IF(COUNTIFS(実績!$W$6:$W$505,BU$3,実績!$AI$6:$AI$505,"&lt;="&amp;$A172,実績!$AJ$6:$AJ$505,"&gt;"&amp;$A172,実績!$AK$6:$AK$505,"○")&gt;0,1,0))</f>
        <v>0</v>
      </c>
      <c r="BV172" s="39" t="n">
        <f aca="false">IF(BV$4=0,0,IF(COUNTIFS(実績!$W$6:$W$505,BV$3,実績!$AI$6:$AI$505,"&lt;="&amp;$A172,実績!$AJ$6:$AJ$505,"&gt;"&amp;$A172,実績!$AK$6:$AK$505,"○")&gt;0,1,0))</f>
        <v>0</v>
      </c>
      <c r="BW172" s="39" t="n">
        <f aca="false">IF(BW$4=0,0,IF(COUNTIFS(実績!$W$6:$W$505,BW$3,実績!$AI$6:$AI$505,"&lt;="&amp;$A172,実績!$AJ$6:$AJ$505,"&gt;"&amp;$A172,実績!$AK$6:$AK$505,"○")&gt;0,1,0))</f>
        <v>0</v>
      </c>
      <c r="BX172" s="39" t="n">
        <f aca="false">IF(BX$4=0,0,IF(COUNTIFS(実績!$W$6:$W$505,BX$3,実績!$AI$6:$AI$505,"&lt;="&amp;$A172,実績!$AJ$6:$AJ$505,"&gt;"&amp;$A172,実績!$AK$6:$AK$505,"○")&gt;0,1,0))</f>
        <v>0</v>
      </c>
      <c r="BY172" s="39" t="n">
        <f aca="false">IF(BY$4=0,0,IF(COUNTIFS(実績!$W$6:$W$505,BY$3,実績!$AI$6:$AI$505,"&lt;="&amp;$A172,実績!$AJ$6:$AJ$505,"&gt;"&amp;$A172,実績!$AK$6:$AK$505,"○")&gt;0,1,0))</f>
        <v>0</v>
      </c>
      <c r="BZ172" s="39" t="n">
        <f aca="false">IF(BZ$4=0,0,IF(COUNTIFS(実績!$W$6:$W$505,BZ$3,実績!$AI$6:$AI$505,"&lt;="&amp;$A172,実績!$AJ$6:$AJ$505,"&gt;"&amp;$A172,実績!$AK$6:$AK$505,"○")&gt;0,1,0))</f>
        <v>0</v>
      </c>
      <c r="CA172" s="39" t="n">
        <f aca="false">IF(CA$4=0,0,IF(COUNTIFS(実績!$W$6:$W$505,CA$3,実績!$AI$6:$AI$505,"&lt;="&amp;$A172,実績!$AJ$6:$AJ$505,"&gt;"&amp;$A172,実績!$AK$6:$AK$505,"○")&gt;0,1,0))</f>
        <v>0</v>
      </c>
      <c r="CB172" s="39" t="n">
        <f aca="false">IF(CB$4=0,0,IF(COUNTIFS(実績!$W$6:$W$505,CB$3,実績!$AI$6:$AI$505,"&lt;="&amp;$A172,実績!$AJ$6:$AJ$505,"&gt;"&amp;$A172,実績!$AK$6:$AK$505,"○")&gt;0,1,0))</f>
        <v>0</v>
      </c>
      <c r="CC172" s="39" t="n">
        <f aca="false">IF(CC$4=0,0,IF(COUNTIFS(実績!$W$6:$W$505,CC$3,実績!$AI$6:$AI$505,"&lt;="&amp;$A172,実績!$AJ$6:$AJ$505,"&gt;"&amp;$A172,実績!$AK$6:$AK$505,"○")&gt;0,1,0))</f>
        <v>0</v>
      </c>
      <c r="CD172" s="39" t="n">
        <f aca="false">IF(CD$4=0,0,IF(COUNTIFS(実績!$W$6:$W$505,CD$3,実績!$AI$6:$AI$505,"&lt;="&amp;$A172,実績!$AJ$6:$AJ$505,"&gt;"&amp;$A172,実績!$AK$6:$AK$505,"○")&gt;0,1,0))</f>
        <v>0</v>
      </c>
      <c r="CE172" s="39" t="n">
        <f aca="false">IF(CE$4=0,0,IF(COUNTIFS(実績!$W$6:$W$505,CE$3,実績!$AI$6:$AI$505,"&lt;="&amp;$A172,実績!$AJ$6:$AJ$505,"&gt;"&amp;$A172,実績!$AK$6:$AK$505,"○")&gt;0,1,0))</f>
        <v>0</v>
      </c>
      <c r="CF172" s="39" t="n">
        <f aca="false">IF(CF$4=0,0,IF(COUNTIFS(実績!$W$6:$W$505,CF$3,実績!$AI$6:$AI$505,"&lt;="&amp;$A172,実績!$AJ$6:$AJ$505,"&gt;"&amp;$A172,実績!$AK$6:$AK$505,"○")&gt;0,1,0))</f>
        <v>0</v>
      </c>
      <c r="CG172" s="39" t="n">
        <f aca="false">IF(CG$4=0,0,IF(COUNTIFS(実績!$W$6:$W$505,CG$3,実績!$AI$6:$AI$505,"&lt;="&amp;$A172,実績!$AJ$6:$AJ$505,"&gt;"&amp;$A172,実績!$AK$6:$AK$505,"○")&gt;0,1,0))</f>
        <v>0</v>
      </c>
      <c r="CH172" s="39" t="n">
        <f aca="false">IF(CH$4=0,0,IF(COUNTIFS(実績!$W$6:$W$505,CH$3,実績!$AI$6:$AI$505,"&lt;="&amp;$A172,実績!$AJ$6:$AJ$505,"&gt;"&amp;$A172,実績!$AK$6:$AK$505,"○")&gt;0,1,0))</f>
        <v>0</v>
      </c>
      <c r="CI172" s="39" t="n">
        <f aca="false">IF(CI$4=0,0,IF(COUNTIFS(実績!$W$6:$W$505,CI$3,実績!$AI$6:$AI$505,"&lt;="&amp;$A172,実績!$AJ$6:$AJ$505,"&gt;"&amp;$A172,実績!$AK$6:$AK$505,"○")&gt;0,1,0))</f>
        <v>0</v>
      </c>
      <c r="CJ172" s="39" t="n">
        <f aca="false">IF(CJ$4=0,0,IF(COUNTIFS(実績!$W$6:$W$505,CJ$3,実績!$AI$6:$AI$505,"&lt;="&amp;$A172,実績!$AJ$6:$AJ$505,"&gt;"&amp;$A172,実績!$AK$6:$AK$505,"○")&gt;0,1,0))</f>
        <v>0</v>
      </c>
      <c r="CK172" s="39" t="n">
        <f aca="false">IF(CK$4=0,0,IF(COUNTIFS(実績!$W$6:$W$505,CK$3,実績!$AI$6:$AI$505,"&lt;="&amp;$A172,実績!$AJ$6:$AJ$505,"&gt;"&amp;$A172,実績!$AK$6:$AK$505,"○")&gt;0,1,0))</f>
        <v>0</v>
      </c>
      <c r="CL172" s="39" t="n">
        <f aca="false">IF(CL$4=0,0,IF(COUNTIFS(実績!$W$6:$W$505,CL$3,実績!$AI$6:$AI$505,"&lt;="&amp;$A172,実績!$AJ$6:$AJ$505,"&gt;"&amp;$A172,実績!$AK$6:$AK$505,"○")&gt;0,1,0))</f>
        <v>0</v>
      </c>
      <c r="CM172" s="39" t="n">
        <f aca="false">IF(CM$4=0,0,IF(COUNTIFS(実績!$W$6:$W$505,CM$3,実績!$AI$6:$AI$505,"&lt;="&amp;$A172,実績!$AJ$6:$AJ$505,"&gt;"&amp;$A172,実績!$AK$6:$AK$505,"○")&gt;0,1,0))</f>
        <v>0</v>
      </c>
      <c r="CN172" s="39" t="n">
        <f aca="false">IF(CN$4=0,0,IF(COUNTIFS(実績!$W$6:$W$505,CN$3,実績!$AI$6:$AI$505,"&lt;="&amp;$A172,実績!$AJ$6:$AJ$505,"&gt;"&amp;$A172,実績!$AK$6:$AK$505,"○")&gt;0,1,0))</f>
        <v>0</v>
      </c>
      <c r="CO172" s="39" t="n">
        <f aca="false">IF(CO$4=0,0,IF(COUNTIFS(実績!$W$6:$W$505,CO$3,実績!$AI$6:$AI$505,"&lt;="&amp;$A172,実績!$AJ$6:$AJ$505,"&gt;"&amp;$A172,実績!$AK$6:$AK$505,"○")&gt;0,1,0))</f>
        <v>0</v>
      </c>
      <c r="CP172" s="39" t="n">
        <f aca="false">IF(CP$4=0,0,IF(COUNTIFS(実績!$W$6:$W$505,CP$3,実績!$AI$6:$AI$505,"&lt;="&amp;$A172,実績!$AJ$6:$AJ$505,"&gt;"&amp;$A172,実績!$AK$6:$AK$505,"○")&gt;0,1,0))</f>
        <v>0</v>
      </c>
      <c r="CQ172" s="39" t="n">
        <f aca="false">IF(CQ$4=0,0,IF(COUNTIFS(実績!$W$6:$W$505,CQ$3,実績!$AI$6:$AI$505,"&lt;="&amp;$A172,実績!$AJ$6:$AJ$505,"&gt;"&amp;$A172,実績!$AK$6:$AK$505,"○")&gt;0,1,0))</f>
        <v>0</v>
      </c>
      <c r="CR172" s="39" t="n">
        <f aca="false">IF(CR$4=0,0,IF(COUNTIFS(実績!$W$6:$W$505,CR$3,実績!$AI$6:$AI$505,"&lt;="&amp;$A172,実績!$AJ$6:$AJ$505,"&gt;"&amp;$A172,実績!$AK$6:$AK$505,"○")&gt;0,1,0))</f>
        <v>0</v>
      </c>
      <c r="CS172" s="39" t="n">
        <f aca="false">IF(CS$4=0,0,IF(COUNTIFS(実績!$W$6:$W$505,CS$3,実績!$AI$6:$AI$505,"&lt;="&amp;$A172,実績!$AJ$6:$AJ$505,"&gt;"&amp;$A172,実績!$AK$6:$AK$505,"○")&gt;0,1,0))</f>
        <v>0</v>
      </c>
      <c r="CT172" s="39" t="n">
        <f aca="false">IF(CT$4=0,0,IF(COUNTIFS(実績!$W$6:$W$505,CT$3,実績!$AI$6:$AI$505,"&lt;="&amp;$A172,実績!$AJ$6:$AJ$505,"&gt;"&amp;$A172,実績!$AK$6:$AK$505,"○")&gt;0,1,0))</f>
        <v>0</v>
      </c>
      <c r="CU172" s="39" t="n">
        <f aca="false">IF(CU$4=0,0,IF(COUNTIFS(実績!$W$6:$W$505,CU$3,実績!$AI$6:$AI$505,"&lt;="&amp;$A172,実績!$AJ$6:$AJ$505,"&gt;"&amp;$A172,実績!$AK$6:$AK$505,"○")&gt;0,1,0))</f>
        <v>0</v>
      </c>
      <c r="CV172" s="39" t="n">
        <f aca="false">IF(CV$4=0,0,IF(COUNTIFS(実績!$W$6:$W$505,CV$3,実績!$AI$6:$AI$505,"&lt;="&amp;$A172,実績!$AJ$6:$AJ$505,"&gt;"&amp;$A172,実績!$AK$6:$AK$505,"○")&gt;0,1,0))</f>
        <v>0</v>
      </c>
      <c r="CW172" s="39" t="n">
        <f aca="false">IF(CW$4=0,0,IF(COUNTIFS(実績!$W$6:$W$505,CW$3,実績!$AI$6:$AI$505,"&lt;="&amp;$A172,実績!$AJ$6:$AJ$505,"&gt;"&amp;$A172,実績!$AK$6:$AK$505,"○")&gt;0,1,0))</f>
        <v>0</v>
      </c>
      <c r="CX172" s="39" t="n">
        <f aca="false">IF(CX$4=0,0,IF(COUNTIFS(実績!$W$6:$W$505,CX$3,実績!$AI$6:$AI$505,"&lt;="&amp;$A172,実績!$AJ$6:$AJ$505,"&gt;"&amp;$A172,実績!$AK$6:$AK$505,"○")&gt;0,1,0))</f>
        <v>0</v>
      </c>
      <c r="CY172" s="39" t="n">
        <f aca="false">IF(CY$4=0,0,IF(COUNTIFS(実績!$W$6:$W$505,CY$3,実績!$AI$6:$AI$505,"&lt;="&amp;$A172,実績!$AJ$6:$AJ$505,"&gt;"&amp;$A172,実績!$AK$6:$AK$505,"○")&gt;0,1,0))</f>
        <v>0</v>
      </c>
      <c r="CZ172" s="39" t="n">
        <f aca="false">IF(CZ$4=0,0,IF(COUNTIFS(実績!$W$6:$W$505,CZ$3,実績!$AI$6:$AI$505,"&lt;="&amp;$A172,実績!$AJ$6:$AJ$505,"&gt;"&amp;$A172,実績!$AK$6:$AK$505,"○")&gt;0,1,0))</f>
        <v>0</v>
      </c>
      <c r="DA172" s="39" t="n">
        <f aca="false">IF(DA$4=0,0,IF(COUNTIFS(実績!$W$6:$W$505,DA$3,実績!$AI$6:$AI$505,"&lt;="&amp;$A172,実績!$AJ$6:$AJ$505,"&gt;"&amp;$A172,実績!$AK$6:$AK$505,"○")&gt;0,1,0))</f>
        <v>0</v>
      </c>
      <c r="DB172" s="39" t="n">
        <f aca="false">IF(DB$4=0,0,IF(COUNTIFS(実績!$W$6:$W$505,DB$3,実績!$AI$6:$AI$505,"&lt;="&amp;$A172,実績!$AJ$6:$AJ$505,"&gt;"&amp;$A172,実績!$AK$6:$AK$505,"○")&gt;0,1,0))</f>
        <v>0</v>
      </c>
      <c r="DC172" s="39" t="n">
        <f aca="false">IF(DC$4=0,0,IF(COUNTIFS(実績!$W$6:$W$505,DC$3,実績!$AI$6:$AI$505,"&lt;="&amp;$A172,実績!$AJ$6:$AJ$505,"&gt;"&amp;$A172,実績!$AK$6:$AK$505,"○")&gt;0,1,0))</f>
        <v>0</v>
      </c>
      <c r="DD172" s="39" t="n">
        <f aca="false">IF(DD$4=0,0,IF(COUNTIFS(実績!$W$6:$W$505,DD$3,実績!$AI$6:$AI$505,"&lt;="&amp;$A172,実績!$AJ$6:$AJ$505,"&gt;"&amp;$A172,実績!$AK$6:$AK$505,"○")&gt;0,1,0))</f>
        <v>0</v>
      </c>
      <c r="DE172" s="39" t="n">
        <f aca="false">IF(DE$4=0,0,IF(COUNTIFS(実績!$W$6:$W$505,DE$3,実績!$AI$6:$AI$505,"&lt;="&amp;$A172,実績!$AJ$6:$AJ$505,"&gt;"&amp;$A172,実績!$AK$6:$AK$505,"○")&gt;0,1,0))</f>
        <v>0</v>
      </c>
      <c r="DF172" s="39" t="n">
        <f aca="false">IF(DF$4=0,0,IF(COUNTIFS(実績!$W$6:$W$505,DF$3,実績!$AI$6:$AI$505,"&lt;="&amp;$A172,実績!$AJ$6:$AJ$505,"&gt;"&amp;$A172,実績!$AK$6:$AK$505,"○")&gt;0,1,0))</f>
        <v>0</v>
      </c>
      <c r="DG172" s="39" t="n">
        <f aca="false">IF(DG$4=0,0,IF(COUNTIFS(実績!$W$6:$W$505,DG$3,実績!$AI$6:$AI$505,"&lt;="&amp;$A172,実績!$AJ$6:$AJ$505,"&gt;"&amp;$A172,実績!$AK$6:$AK$505,"○")&gt;0,1,0))</f>
        <v>0</v>
      </c>
      <c r="DH172" s="39" t="n">
        <f aca="false">IF(DH$4=0,0,IF(COUNTIFS(実績!$W$6:$W$505,DH$3,実績!$AI$6:$AI$505,"&lt;="&amp;$A172,実績!$AJ$6:$AJ$505,"&gt;"&amp;$A172,実績!$AK$6:$AK$505,"○")&gt;0,1,0))</f>
        <v>0</v>
      </c>
      <c r="DI172" s="39" t="n">
        <f aca="false">IF(DI$4=0,0,IF(COUNTIFS(実績!$W$6:$W$505,DI$3,実績!$AI$6:$AI$505,"&lt;="&amp;$A172,実績!$AJ$6:$AJ$505,"&gt;"&amp;$A172,実績!$AK$6:$AK$505,"○")&gt;0,1,0))</f>
        <v>0</v>
      </c>
      <c r="DJ172" s="39" t="n">
        <f aca="false">IF(DJ$4=0,0,IF(COUNTIFS(実績!$W$6:$W$505,DJ$3,実績!$AI$6:$AI$505,"&lt;="&amp;$A172,実績!$AJ$6:$AJ$505,"&gt;"&amp;$A172,実績!$AK$6:$AK$505,"○")&gt;0,1,0))</f>
        <v>0</v>
      </c>
      <c r="DK172" s="39" t="n">
        <f aca="false">IF(DK$4=0,0,IF(COUNTIFS(実績!$W$6:$W$505,DK$3,実績!$AI$6:$AI$505,"&lt;="&amp;$A172,実績!$AJ$6:$AJ$505,"&gt;"&amp;$A172,実績!$AK$6:$AK$505,"○")&gt;0,1,0))</f>
        <v>0</v>
      </c>
      <c r="DL172" s="39" t="n">
        <f aca="false">IF(DL$4=0,0,IF(COUNTIFS(実績!$W$6:$W$505,DL$3,実績!$AI$6:$AI$505,"&lt;="&amp;$A172,実績!$AJ$6:$AJ$505,"&gt;"&amp;$A172,実績!$AK$6:$AK$505,"○")&gt;0,1,0))</f>
        <v>0</v>
      </c>
      <c r="DM172" s="39" t="n">
        <f aca="false">IF(DM$4=0,0,IF(COUNTIFS(実績!$W$6:$W$505,DM$3,実績!$AI$6:$AI$505,"&lt;="&amp;$A172,実績!$AJ$6:$AJ$505,"&gt;"&amp;$A172,実績!$AK$6:$AK$505,"○")&gt;0,1,0))</f>
        <v>0</v>
      </c>
      <c r="DN172" s="39" t="n">
        <f aca="false">IF(DN$4=0,0,IF(COUNTIFS(実績!$W$6:$W$505,DN$3,実績!$AI$6:$AI$505,"&lt;="&amp;$A172,実績!$AJ$6:$AJ$505,"&gt;"&amp;$A172,実績!$AK$6:$AK$505,"○")&gt;0,1,0))</f>
        <v>0</v>
      </c>
      <c r="DO172" s="39" t="n">
        <f aca="false">IF(DO$4=0,0,IF(COUNTIFS(実績!$W$6:$W$505,DO$3,実績!$AI$6:$AI$505,"&lt;="&amp;$A172,実績!$AJ$6:$AJ$505,"&gt;"&amp;$A172,実績!$AK$6:$AK$505,"○")&gt;0,1,0))</f>
        <v>0</v>
      </c>
      <c r="DP172" s="39" t="n">
        <f aca="false">IF(DP$4=0,0,IF(COUNTIFS(実績!$W$6:$W$505,DP$3,実績!$AI$6:$AI$505,"&lt;="&amp;$A172,実績!$AJ$6:$AJ$505,"&gt;"&amp;$A172,実績!$AK$6:$AK$505,"○")&gt;0,1,0))</f>
        <v>0</v>
      </c>
      <c r="DQ172" s="39" t="n">
        <f aca="false">IF(DQ$4=0,0,IF(COUNTIFS(実績!$W$6:$W$505,DQ$3,実績!$AI$6:$AI$505,"&lt;="&amp;$A172,実績!$AJ$6:$AJ$505,"&gt;"&amp;$A172,実績!$AK$6:$AK$505,"○")&gt;0,1,0))</f>
        <v>0</v>
      </c>
      <c r="DR172" s="39" t="n">
        <f aca="false">IF(DR$4=0,0,IF(COUNTIFS(実績!$W$6:$W$505,DR$3,実績!$AI$6:$AI$505,"&lt;="&amp;$A172,実績!$AJ$6:$AJ$505,"&gt;"&amp;$A172,実績!$AK$6:$AK$505,"○")&gt;0,1,0))</f>
        <v>0</v>
      </c>
      <c r="DS172" s="39" t="n">
        <f aca="false">SUM(C172:DR172)</f>
        <v>0</v>
      </c>
      <c r="DT172" s="39" t="n">
        <f aca="false">SUMPRODUCT((実績!$C$6:$C$505="○")*ISNUMBER(実績!$AM$6:$AM$505)*(実績!$AM$6:$AM$505&lt;=$A172)*(実績!$AN$6:$AN$505&gt;$A172))</f>
        <v>0</v>
      </c>
      <c r="DU172" s="39" t="n">
        <f aca="false">SUMIF($C$2:$DR$2,"製鉄曳船",C172:DR172)</f>
        <v>0</v>
      </c>
      <c r="DV172" s="39" t="n">
        <f aca="false">SUMIF($C$2:$DR$2,"西日本海運",C172:DR172)</f>
        <v>0</v>
      </c>
    </row>
    <row r="173" customFormat="false" ht="15" hidden="false" customHeight="false" outlineLevel="0" collapsed="false">
      <c r="A173" s="0" t="n">
        <v>835</v>
      </c>
      <c r="B173" s="38" t="n">
        <f aca="false">A173/1440</f>
        <v>0.579861111111111</v>
      </c>
      <c r="C173" s="39" t="n">
        <f aca="false">IF(C$4=0,0,IF(COUNTIFS(実績!$W$6:$W$505,C$3,実績!$AI$6:$AI$505,"&lt;="&amp;$A173,実績!$AJ$6:$AJ$505,"&gt;"&amp;$A173,実績!$AK$6:$AK$505,"○")&gt;0,1,0))</f>
        <v>0</v>
      </c>
      <c r="D173" s="39" t="n">
        <f aca="false">IF(D$4=0,0,IF(COUNTIFS(実績!$W$6:$W$505,D$3,実績!$AI$6:$AI$505,"&lt;="&amp;$A173,実績!$AJ$6:$AJ$505,"&gt;"&amp;$A173,実績!$AK$6:$AK$505,"○")&gt;0,1,0))</f>
        <v>0</v>
      </c>
      <c r="E173" s="39" t="n">
        <f aca="false">IF(E$4=0,0,IF(COUNTIFS(実績!$W$6:$W$505,E$3,実績!$AI$6:$AI$505,"&lt;="&amp;$A173,実績!$AJ$6:$AJ$505,"&gt;"&amp;$A173,実績!$AK$6:$AK$505,"○")&gt;0,1,0))</f>
        <v>0</v>
      </c>
      <c r="F173" s="39" t="n">
        <f aca="false">IF(F$4=0,0,IF(COUNTIFS(実績!$W$6:$W$505,F$3,実績!$AI$6:$AI$505,"&lt;="&amp;$A173,実績!$AJ$6:$AJ$505,"&gt;"&amp;$A173,実績!$AK$6:$AK$505,"○")&gt;0,1,0))</f>
        <v>0</v>
      </c>
      <c r="G173" s="39" t="n">
        <f aca="false">IF(G$4=0,0,IF(COUNTIFS(実績!$W$6:$W$505,G$3,実績!$AI$6:$AI$505,"&lt;="&amp;$A173,実績!$AJ$6:$AJ$505,"&gt;"&amp;$A173,実績!$AK$6:$AK$505,"○")&gt;0,1,0))</f>
        <v>0</v>
      </c>
      <c r="H173" s="39" t="n">
        <f aca="false">IF(H$4=0,0,IF(COUNTIFS(実績!$W$6:$W$505,H$3,実績!$AI$6:$AI$505,"&lt;="&amp;$A173,実績!$AJ$6:$AJ$505,"&gt;"&amp;$A173,実績!$AK$6:$AK$505,"○")&gt;0,1,0))</f>
        <v>0</v>
      </c>
      <c r="I173" s="39" t="n">
        <f aca="false">IF(I$4=0,0,IF(COUNTIFS(実績!$W$6:$W$505,I$3,実績!$AI$6:$AI$505,"&lt;="&amp;$A173,実績!$AJ$6:$AJ$505,"&gt;"&amp;$A173,実績!$AK$6:$AK$505,"○")&gt;0,1,0))</f>
        <v>0</v>
      </c>
      <c r="J173" s="39" t="n">
        <f aca="false">IF(J$4=0,0,IF(COUNTIFS(実績!$W$6:$W$505,J$3,実績!$AI$6:$AI$505,"&lt;="&amp;$A173,実績!$AJ$6:$AJ$505,"&gt;"&amp;$A173,実績!$AK$6:$AK$505,"○")&gt;0,1,0))</f>
        <v>0</v>
      </c>
      <c r="K173" s="39" t="n">
        <f aca="false">IF(K$4=0,0,IF(COUNTIFS(実績!$W$6:$W$505,K$3,実績!$AI$6:$AI$505,"&lt;="&amp;$A173,実績!$AJ$6:$AJ$505,"&gt;"&amp;$A173,実績!$AK$6:$AK$505,"○")&gt;0,1,0))</f>
        <v>0</v>
      </c>
      <c r="L173" s="39" t="n">
        <f aca="false">IF(L$4=0,0,IF(COUNTIFS(実績!$W$6:$W$505,L$3,実績!$AI$6:$AI$505,"&lt;="&amp;$A173,実績!$AJ$6:$AJ$505,"&gt;"&amp;$A173,実績!$AK$6:$AK$505,"○")&gt;0,1,0))</f>
        <v>0</v>
      </c>
      <c r="M173" s="39" t="n">
        <f aca="false">IF(M$4=0,0,IF(COUNTIFS(実績!$W$6:$W$505,M$3,実績!$AI$6:$AI$505,"&lt;="&amp;$A173,実績!$AJ$6:$AJ$505,"&gt;"&amp;$A173,実績!$AK$6:$AK$505,"○")&gt;0,1,0))</f>
        <v>0</v>
      </c>
      <c r="N173" s="39" t="n">
        <f aca="false">IF(N$4=0,0,IF(COUNTIFS(実績!$W$6:$W$505,N$3,実績!$AI$6:$AI$505,"&lt;="&amp;$A173,実績!$AJ$6:$AJ$505,"&gt;"&amp;$A173,実績!$AK$6:$AK$505,"○")&gt;0,1,0))</f>
        <v>0</v>
      </c>
      <c r="O173" s="39" t="n">
        <f aca="false">IF(O$4=0,0,IF(COUNTIFS(実績!$W$6:$W$505,O$3,実績!$AI$6:$AI$505,"&lt;="&amp;$A173,実績!$AJ$6:$AJ$505,"&gt;"&amp;$A173,実績!$AK$6:$AK$505,"○")&gt;0,1,0))</f>
        <v>0</v>
      </c>
      <c r="P173" s="39" t="n">
        <f aca="false">IF(P$4=0,0,IF(COUNTIFS(実績!$W$6:$W$505,P$3,実績!$AI$6:$AI$505,"&lt;="&amp;$A173,実績!$AJ$6:$AJ$505,"&gt;"&amp;$A173,実績!$AK$6:$AK$505,"○")&gt;0,1,0))</f>
        <v>0</v>
      </c>
      <c r="Q173" s="39" t="n">
        <f aca="false">IF(Q$4=0,0,IF(COUNTIFS(実績!$W$6:$W$505,Q$3,実績!$AI$6:$AI$505,"&lt;="&amp;$A173,実績!$AJ$6:$AJ$505,"&gt;"&amp;$A173,実績!$AK$6:$AK$505,"○")&gt;0,1,0))</f>
        <v>0</v>
      </c>
      <c r="R173" s="39" t="n">
        <f aca="false">IF(R$4=0,0,IF(COUNTIFS(実績!$W$6:$W$505,R$3,実績!$AI$6:$AI$505,"&lt;="&amp;$A173,実績!$AJ$6:$AJ$505,"&gt;"&amp;$A173,実績!$AK$6:$AK$505,"○")&gt;0,1,0))</f>
        <v>0</v>
      </c>
      <c r="S173" s="39" t="n">
        <f aca="false">IF(S$4=0,0,IF(COUNTIFS(実績!$W$6:$W$505,S$3,実績!$AI$6:$AI$505,"&lt;="&amp;$A173,実績!$AJ$6:$AJ$505,"&gt;"&amp;$A173,実績!$AK$6:$AK$505,"○")&gt;0,1,0))</f>
        <v>0</v>
      </c>
      <c r="T173" s="39" t="n">
        <f aca="false">IF(T$4=0,0,IF(COUNTIFS(実績!$W$6:$W$505,T$3,実績!$AI$6:$AI$505,"&lt;="&amp;$A173,実績!$AJ$6:$AJ$505,"&gt;"&amp;$A173,実績!$AK$6:$AK$505,"○")&gt;0,1,0))</f>
        <v>0</v>
      </c>
      <c r="U173" s="39" t="n">
        <f aca="false">IF(U$4=0,0,IF(COUNTIFS(実績!$W$6:$W$505,U$3,実績!$AI$6:$AI$505,"&lt;="&amp;$A173,実績!$AJ$6:$AJ$505,"&gt;"&amp;$A173,実績!$AK$6:$AK$505,"○")&gt;0,1,0))</f>
        <v>0</v>
      </c>
      <c r="V173" s="39" t="n">
        <f aca="false">IF(V$4=0,0,IF(COUNTIFS(実績!$W$6:$W$505,V$3,実績!$AI$6:$AI$505,"&lt;="&amp;$A173,実績!$AJ$6:$AJ$505,"&gt;"&amp;$A173,実績!$AK$6:$AK$505,"○")&gt;0,1,0))</f>
        <v>0</v>
      </c>
      <c r="W173" s="39" t="n">
        <f aca="false">IF(W$4=0,0,IF(COUNTIFS(実績!$W$6:$W$505,W$3,実績!$AI$6:$AI$505,"&lt;="&amp;$A173,実績!$AJ$6:$AJ$505,"&gt;"&amp;$A173,実績!$AK$6:$AK$505,"○")&gt;0,1,0))</f>
        <v>0</v>
      </c>
      <c r="X173" s="39" t="n">
        <f aca="false">IF(X$4=0,0,IF(COUNTIFS(実績!$W$6:$W$505,X$3,実績!$AI$6:$AI$505,"&lt;="&amp;$A173,実績!$AJ$6:$AJ$505,"&gt;"&amp;$A173,実績!$AK$6:$AK$505,"○")&gt;0,1,0))</f>
        <v>0</v>
      </c>
      <c r="Y173" s="39" t="n">
        <f aca="false">IF(Y$4=0,0,IF(COUNTIFS(実績!$W$6:$W$505,Y$3,実績!$AI$6:$AI$505,"&lt;="&amp;$A173,実績!$AJ$6:$AJ$505,"&gt;"&amp;$A173,実績!$AK$6:$AK$505,"○")&gt;0,1,0))</f>
        <v>0</v>
      </c>
      <c r="Z173" s="39" t="n">
        <f aca="false">IF(Z$4=0,0,IF(COUNTIFS(実績!$W$6:$W$505,Z$3,実績!$AI$6:$AI$505,"&lt;="&amp;$A173,実績!$AJ$6:$AJ$505,"&gt;"&amp;$A173,実績!$AK$6:$AK$505,"○")&gt;0,1,0))</f>
        <v>0</v>
      </c>
      <c r="AA173" s="39" t="n">
        <f aca="false">IF(AA$4=0,0,IF(COUNTIFS(実績!$W$6:$W$505,AA$3,実績!$AI$6:$AI$505,"&lt;="&amp;$A173,実績!$AJ$6:$AJ$505,"&gt;"&amp;$A173,実績!$AK$6:$AK$505,"○")&gt;0,1,0))</f>
        <v>0</v>
      </c>
      <c r="AB173" s="39" t="n">
        <f aca="false">IF(AB$4=0,0,IF(COUNTIFS(実績!$W$6:$W$505,AB$3,実績!$AI$6:$AI$505,"&lt;="&amp;$A173,実績!$AJ$6:$AJ$505,"&gt;"&amp;$A173,実績!$AK$6:$AK$505,"○")&gt;0,1,0))</f>
        <v>0</v>
      </c>
      <c r="AC173" s="39" t="n">
        <f aca="false">IF(AC$4=0,0,IF(COUNTIFS(実績!$W$6:$W$505,AC$3,実績!$AI$6:$AI$505,"&lt;="&amp;$A173,実績!$AJ$6:$AJ$505,"&gt;"&amp;$A173,実績!$AK$6:$AK$505,"○")&gt;0,1,0))</f>
        <v>0</v>
      </c>
      <c r="AD173" s="39" t="n">
        <f aca="false">IF(AD$4=0,0,IF(COUNTIFS(実績!$W$6:$W$505,AD$3,実績!$AI$6:$AI$505,"&lt;="&amp;$A173,実績!$AJ$6:$AJ$505,"&gt;"&amp;$A173,実績!$AK$6:$AK$505,"○")&gt;0,1,0))</f>
        <v>0</v>
      </c>
      <c r="AE173" s="39" t="n">
        <f aca="false">IF(AE$4=0,0,IF(COUNTIFS(実績!$W$6:$W$505,AE$3,実績!$AI$6:$AI$505,"&lt;="&amp;$A173,実績!$AJ$6:$AJ$505,"&gt;"&amp;$A173,実績!$AK$6:$AK$505,"○")&gt;0,1,0))</f>
        <v>0</v>
      </c>
      <c r="AF173" s="39" t="n">
        <f aca="false">IF(AF$4=0,0,IF(COUNTIFS(実績!$W$6:$W$505,AF$3,実績!$AI$6:$AI$505,"&lt;="&amp;$A173,実績!$AJ$6:$AJ$505,"&gt;"&amp;$A173,実績!$AK$6:$AK$505,"○")&gt;0,1,0))</f>
        <v>0</v>
      </c>
      <c r="AG173" s="39" t="n">
        <f aca="false">IF(AG$4=0,0,IF(COUNTIFS(実績!$W$6:$W$505,AG$3,実績!$AI$6:$AI$505,"&lt;="&amp;$A173,実績!$AJ$6:$AJ$505,"&gt;"&amp;$A173,実績!$AK$6:$AK$505,"○")&gt;0,1,0))</f>
        <v>0</v>
      </c>
      <c r="AH173" s="39" t="n">
        <f aca="false">IF(AH$4=0,0,IF(COUNTIFS(実績!$W$6:$W$505,AH$3,実績!$AI$6:$AI$505,"&lt;="&amp;$A173,実績!$AJ$6:$AJ$505,"&gt;"&amp;$A173,実績!$AK$6:$AK$505,"○")&gt;0,1,0))</f>
        <v>0</v>
      </c>
      <c r="AI173" s="39" t="n">
        <f aca="false">IF(AI$4=0,0,IF(COUNTIFS(実績!$W$6:$W$505,AI$3,実績!$AI$6:$AI$505,"&lt;="&amp;$A173,実績!$AJ$6:$AJ$505,"&gt;"&amp;$A173,実績!$AK$6:$AK$505,"○")&gt;0,1,0))</f>
        <v>0</v>
      </c>
      <c r="AJ173" s="39" t="n">
        <f aca="false">IF(AJ$4=0,0,IF(COUNTIFS(実績!$W$6:$W$505,AJ$3,実績!$AI$6:$AI$505,"&lt;="&amp;$A173,実績!$AJ$6:$AJ$505,"&gt;"&amp;$A173,実績!$AK$6:$AK$505,"○")&gt;0,1,0))</f>
        <v>0</v>
      </c>
      <c r="AK173" s="39" t="n">
        <f aca="false">IF(AK$4=0,0,IF(COUNTIFS(実績!$W$6:$W$505,AK$3,実績!$AI$6:$AI$505,"&lt;="&amp;$A173,実績!$AJ$6:$AJ$505,"&gt;"&amp;$A173,実績!$AK$6:$AK$505,"○")&gt;0,1,0))</f>
        <v>0</v>
      </c>
      <c r="AL173" s="39" t="n">
        <f aca="false">IF(AL$4=0,0,IF(COUNTIFS(実績!$W$6:$W$505,AL$3,実績!$AI$6:$AI$505,"&lt;="&amp;$A173,実績!$AJ$6:$AJ$505,"&gt;"&amp;$A173,実績!$AK$6:$AK$505,"○")&gt;0,1,0))</f>
        <v>0</v>
      </c>
      <c r="AM173" s="39" t="n">
        <f aca="false">IF(AM$4=0,0,IF(COUNTIFS(実績!$W$6:$W$505,AM$3,実績!$AI$6:$AI$505,"&lt;="&amp;$A173,実績!$AJ$6:$AJ$505,"&gt;"&amp;$A173,実績!$AK$6:$AK$505,"○")&gt;0,1,0))</f>
        <v>0</v>
      </c>
      <c r="AN173" s="39" t="n">
        <f aca="false">IF(AN$4=0,0,IF(COUNTIFS(実績!$W$6:$W$505,AN$3,実績!$AI$6:$AI$505,"&lt;="&amp;$A173,実績!$AJ$6:$AJ$505,"&gt;"&amp;$A173,実績!$AK$6:$AK$505,"○")&gt;0,1,0))</f>
        <v>0</v>
      </c>
      <c r="AO173" s="39" t="n">
        <f aca="false">IF(AO$4=0,0,IF(COUNTIFS(実績!$W$6:$W$505,AO$3,実績!$AI$6:$AI$505,"&lt;="&amp;$A173,実績!$AJ$6:$AJ$505,"&gt;"&amp;$A173,実績!$AK$6:$AK$505,"○")&gt;0,1,0))</f>
        <v>0</v>
      </c>
      <c r="AP173" s="39" t="n">
        <f aca="false">IF(AP$4=0,0,IF(COUNTIFS(実績!$W$6:$W$505,AP$3,実績!$AI$6:$AI$505,"&lt;="&amp;$A173,実績!$AJ$6:$AJ$505,"&gt;"&amp;$A173,実績!$AK$6:$AK$505,"○")&gt;0,1,0))</f>
        <v>0</v>
      </c>
      <c r="AQ173" s="39" t="n">
        <f aca="false">IF(AQ$4=0,0,IF(COUNTIFS(実績!$W$6:$W$505,AQ$3,実績!$AI$6:$AI$505,"&lt;="&amp;$A173,実績!$AJ$6:$AJ$505,"&gt;"&amp;$A173,実績!$AK$6:$AK$505,"○")&gt;0,1,0))</f>
        <v>0</v>
      </c>
      <c r="AR173" s="39" t="n">
        <f aca="false">IF(AR$4=0,0,IF(COUNTIFS(実績!$W$6:$W$505,AR$3,実績!$AI$6:$AI$505,"&lt;="&amp;$A173,実績!$AJ$6:$AJ$505,"&gt;"&amp;$A173,実績!$AK$6:$AK$505,"○")&gt;0,1,0))</f>
        <v>0</v>
      </c>
      <c r="AS173" s="39" t="n">
        <f aca="false">IF(AS$4=0,0,IF(COUNTIFS(実績!$W$6:$W$505,AS$3,実績!$AI$6:$AI$505,"&lt;="&amp;$A173,実績!$AJ$6:$AJ$505,"&gt;"&amp;$A173,実績!$AK$6:$AK$505,"○")&gt;0,1,0))</f>
        <v>0</v>
      </c>
      <c r="AT173" s="39" t="n">
        <f aca="false">IF(AT$4=0,0,IF(COUNTIFS(実績!$W$6:$W$505,AT$3,実績!$AI$6:$AI$505,"&lt;="&amp;$A173,実績!$AJ$6:$AJ$505,"&gt;"&amp;$A173,実績!$AK$6:$AK$505,"○")&gt;0,1,0))</f>
        <v>0</v>
      </c>
      <c r="AU173" s="39" t="n">
        <f aca="false">IF(AU$4=0,0,IF(COUNTIFS(実績!$W$6:$W$505,AU$3,実績!$AI$6:$AI$505,"&lt;="&amp;$A173,実績!$AJ$6:$AJ$505,"&gt;"&amp;$A173,実績!$AK$6:$AK$505,"○")&gt;0,1,0))</f>
        <v>0</v>
      </c>
      <c r="AV173" s="39" t="n">
        <f aca="false">IF(AV$4=0,0,IF(COUNTIFS(実績!$W$6:$W$505,AV$3,実績!$AI$6:$AI$505,"&lt;="&amp;$A173,実績!$AJ$6:$AJ$505,"&gt;"&amp;$A173,実績!$AK$6:$AK$505,"○")&gt;0,1,0))</f>
        <v>0</v>
      </c>
      <c r="AW173" s="39" t="n">
        <f aca="false">IF(AW$4=0,0,IF(COUNTIFS(実績!$W$6:$W$505,AW$3,実績!$AI$6:$AI$505,"&lt;="&amp;$A173,実績!$AJ$6:$AJ$505,"&gt;"&amp;$A173,実績!$AK$6:$AK$505,"○")&gt;0,1,0))</f>
        <v>0</v>
      </c>
      <c r="AX173" s="39" t="n">
        <f aca="false">IF(AX$4=0,0,IF(COUNTIFS(実績!$W$6:$W$505,AX$3,実績!$AI$6:$AI$505,"&lt;="&amp;$A173,実績!$AJ$6:$AJ$505,"&gt;"&amp;$A173,実績!$AK$6:$AK$505,"○")&gt;0,1,0))</f>
        <v>0</v>
      </c>
      <c r="AY173" s="39" t="n">
        <f aca="false">IF(AY$4=0,0,IF(COUNTIFS(実績!$W$6:$W$505,AY$3,実績!$AI$6:$AI$505,"&lt;="&amp;$A173,実績!$AJ$6:$AJ$505,"&gt;"&amp;$A173,実績!$AK$6:$AK$505,"○")&gt;0,1,0))</f>
        <v>0</v>
      </c>
      <c r="AZ173" s="39" t="n">
        <f aca="false">IF(AZ$4=0,0,IF(COUNTIFS(実績!$W$6:$W$505,AZ$3,実績!$AI$6:$AI$505,"&lt;="&amp;$A173,実績!$AJ$6:$AJ$505,"&gt;"&amp;$A173,実績!$AK$6:$AK$505,"○")&gt;0,1,0))</f>
        <v>0</v>
      </c>
      <c r="BA173" s="39" t="n">
        <f aca="false">IF(BA$4=0,0,IF(COUNTIFS(実績!$W$6:$W$505,BA$3,実績!$AI$6:$AI$505,"&lt;="&amp;$A173,実績!$AJ$6:$AJ$505,"&gt;"&amp;$A173,実績!$AK$6:$AK$505,"○")&gt;0,1,0))</f>
        <v>0</v>
      </c>
      <c r="BB173" s="39" t="n">
        <f aca="false">IF(BB$4=0,0,IF(COUNTIFS(実績!$W$6:$W$505,BB$3,実績!$AI$6:$AI$505,"&lt;="&amp;$A173,実績!$AJ$6:$AJ$505,"&gt;"&amp;$A173,実績!$AK$6:$AK$505,"○")&gt;0,1,0))</f>
        <v>0</v>
      </c>
      <c r="BC173" s="39" t="n">
        <f aca="false">IF(BC$4=0,0,IF(COUNTIFS(実績!$W$6:$W$505,BC$3,実績!$AI$6:$AI$505,"&lt;="&amp;$A173,実績!$AJ$6:$AJ$505,"&gt;"&amp;$A173,実績!$AK$6:$AK$505,"○")&gt;0,1,0))</f>
        <v>0</v>
      </c>
      <c r="BD173" s="39" t="n">
        <f aca="false">IF(BD$4=0,0,IF(COUNTIFS(実績!$W$6:$W$505,BD$3,実績!$AI$6:$AI$505,"&lt;="&amp;$A173,実績!$AJ$6:$AJ$505,"&gt;"&amp;$A173,実績!$AK$6:$AK$505,"○")&gt;0,1,0))</f>
        <v>0</v>
      </c>
      <c r="BE173" s="39" t="n">
        <f aca="false">IF(BE$4=0,0,IF(COUNTIFS(実績!$W$6:$W$505,BE$3,実績!$AI$6:$AI$505,"&lt;="&amp;$A173,実績!$AJ$6:$AJ$505,"&gt;"&amp;$A173,実績!$AK$6:$AK$505,"○")&gt;0,1,0))</f>
        <v>0</v>
      </c>
      <c r="BF173" s="39" t="n">
        <f aca="false">IF(BF$4=0,0,IF(COUNTIFS(実績!$W$6:$W$505,BF$3,実績!$AI$6:$AI$505,"&lt;="&amp;$A173,実績!$AJ$6:$AJ$505,"&gt;"&amp;$A173,実績!$AK$6:$AK$505,"○")&gt;0,1,0))</f>
        <v>0</v>
      </c>
      <c r="BG173" s="39" t="n">
        <f aca="false">IF(BG$4=0,0,IF(COUNTIFS(実績!$W$6:$W$505,BG$3,実績!$AI$6:$AI$505,"&lt;="&amp;$A173,実績!$AJ$6:$AJ$505,"&gt;"&amp;$A173,実績!$AK$6:$AK$505,"○")&gt;0,1,0))</f>
        <v>0</v>
      </c>
      <c r="BH173" s="39" t="n">
        <f aca="false">IF(BH$4=0,0,IF(COUNTIFS(実績!$W$6:$W$505,BH$3,実績!$AI$6:$AI$505,"&lt;="&amp;$A173,実績!$AJ$6:$AJ$505,"&gt;"&amp;$A173,実績!$AK$6:$AK$505,"○")&gt;0,1,0))</f>
        <v>0</v>
      </c>
      <c r="BI173" s="39" t="n">
        <f aca="false">IF(BI$4=0,0,IF(COUNTIFS(実績!$W$6:$W$505,BI$3,実績!$AI$6:$AI$505,"&lt;="&amp;$A173,実績!$AJ$6:$AJ$505,"&gt;"&amp;$A173,実績!$AK$6:$AK$505,"○")&gt;0,1,0))</f>
        <v>0</v>
      </c>
      <c r="BJ173" s="39" t="n">
        <f aca="false">IF(BJ$4=0,0,IF(COUNTIFS(実績!$W$6:$W$505,BJ$3,実績!$AI$6:$AI$505,"&lt;="&amp;$A173,実績!$AJ$6:$AJ$505,"&gt;"&amp;$A173,実績!$AK$6:$AK$505,"○")&gt;0,1,0))</f>
        <v>0</v>
      </c>
      <c r="BK173" s="39" t="n">
        <f aca="false">IF(BK$4=0,0,IF(COUNTIFS(実績!$W$6:$W$505,BK$3,実績!$AI$6:$AI$505,"&lt;="&amp;$A173,実績!$AJ$6:$AJ$505,"&gt;"&amp;$A173,実績!$AK$6:$AK$505,"○")&gt;0,1,0))</f>
        <v>0</v>
      </c>
      <c r="BL173" s="39" t="n">
        <f aca="false">IF(BL$4=0,0,IF(COUNTIFS(実績!$W$6:$W$505,BL$3,実績!$AI$6:$AI$505,"&lt;="&amp;$A173,実績!$AJ$6:$AJ$505,"&gt;"&amp;$A173,実績!$AK$6:$AK$505,"○")&gt;0,1,0))</f>
        <v>0</v>
      </c>
      <c r="BM173" s="39" t="n">
        <f aca="false">IF(BM$4=0,0,IF(COUNTIFS(実績!$W$6:$W$505,BM$3,実績!$AI$6:$AI$505,"&lt;="&amp;$A173,実績!$AJ$6:$AJ$505,"&gt;"&amp;$A173,実績!$AK$6:$AK$505,"○")&gt;0,1,0))</f>
        <v>0</v>
      </c>
      <c r="BN173" s="39" t="n">
        <f aca="false">IF(BN$4=0,0,IF(COUNTIFS(実績!$W$6:$W$505,BN$3,実績!$AI$6:$AI$505,"&lt;="&amp;$A173,実績!$AJ$6:$AJ$505,"&gt;"&amp;$A173,実績!$AK$6:$AK$505,"○")&gt;0,1,0))</f>
        <v>0</v>
      </c>
      <c r="BO173" s="39" t="n">
        <f aca="false">IF(BO$4=0,0,IF(COUNTIFS(実績!$W$6:$W$505,BO$3,実績!$AI$6:$AI$505,"&lt;="&amp;$A173,実績!$AJ$6:$AJ$505,"&gt;"&amp;$A173,実績!$AK$6:$AK$505,"○")&gt;0,1,0))</f>
        <v>0</v>
      </c>
      <c r="BP173" s="39" t="n">
        <f aca="false">IF(BP$4=0,0,IF(COUNTIFS(実績!$W$6:$W$505,BP$3,実績!$AI$6:$AI$505,"&lt;="&amp;$A173,実績!$AJ$6:$AJ$505,"&gt;"&amp;$A173,実績!$AK$6:$AK$505,"○")&gt;0,1,0))</f>
        <v>0</v>
      </c>
      <c r="BQ173" s="39" t="n">
        <f aca="false">IF(BQ$4=0,0,IF(COUNTIFS(実績!$W$6:$W$505,BQ$3,実績!$AI$6:$AI$505,"&lt;="&amp;$A173,実績!$AJ$6:$AJ$505,"&gt;"&amp;$A173,実績!$AK$6:$AK$505,"○")&gt;0,1,0))</f>
        <v>0</v>
      </c>
      <c r="BR173" s="39" t="n">
        <f aca="false">IF(BR$4=0,0,IF(COUNTIFS(実績!$W$6:$W$505,BR$3,実績!$AI$6:$AI$505,"&lt;="&amp;$A173,実績!$AJ$6:$AJ$505,"&gt;"&amp;$A173,実績!$AK$6:$AK$505,"○")&gt;0,1,0))</f>
        <v>0</v>
      </c>
      <c r="BS173" s="39" t="n">
        <f aca="false">IF(BS$4=0,0,IF(COUNTIFS(実績!$W$6:$W$505,BS$3,実績!$AI$6:$AI$505,"&lt;="&amp;$A173,実績!$AJ$6:$AJ$505,"&gt;"&amp;$A173,実績!$AK$6:$AK$505,"○")&gt;0,1,0))</f>
        <v>0</v>
      </c>
      <c r="BT173" s="39" t="n">
        <f aca="false">IF(BT$4=0,0,IF(COUNTIFS(実績!$W$6:$W$505,BT$3,実績!$AI$6:$AI$505,"&lt;="&amp;$A173,実績!$AJ$6:$AJ$505,"&gt;"&amp;$A173,実績!$AK$6:$AK$505,"○")&gt;0,1,0))</f>
        <v>0</v>
      </c>
      <c r="BU173" s="39" t="n">
        <f aca="false">IF(BU$4=0,0,IF(COUNTIFS(実績!$W$6:$W$505,BU$3,実績!$AI$6:$AI$505,"&lt;="&amp;$A173,実績!$AJ$6:$AJ$505,"&gt;"&amp;$A173,実績!$AK$6:$AK$505,"○")&gt;0,1,0))</f>
        <v>0</v>
      </c>
      <c r="BV173" s="39" t="n">
        <f aca="false">IF(BV$4=0,0,IF(COUNTIFS(実績!$W$6:$W$505,BV$3,実績!$AI$6:$AI$505,"&lt;="&amp;$A173,実績!$AJ$6:$AJ$505,"&gt;"&amp;$A173,実績!$AK$6:$AK$505,"○")&gt;0,1,0))</f>
        <v>0</v>
      </c>
      <c r="BW173" s="39" t="n">
        <f aca="false">IF(BW$4=0,0,IF(COUNTIFS(実績!$W$6:$W$505,BW$3,実績!$AI$6:$AI$505,"&lt;="&amp;$A173,実績!$AJ$6:$AJ$505,"&gt;"&amp;$A173,実績!$AK$6:$AK$505,"○")&gt;0,1,0))</f>
        <v>0</v>
      </c>
      <c r="BX173" s="39" t="n">
        <f aca="false">IF(BX$4=0,0,IF(COUNTIFS(実績!$W$6:$W$505,BX$3,実績!$AI$6:$AI$505,"&lt;="&amp;$A173,実績!$AJ$6:$AJ$505,"&gt;"&amp;$A173,実績!$AK$6:$AK$505,"○")&gt;0,1,0))</f>
        <v>0</v>
      </c>
      <c r="BY173" s="39" t="n">
        <f aca="false">IF(BY$4=0,0,IF(COUNTIFS(実績!$W$6:$W$505,BY$3,実績!$AI$6:$AI$505,"&lt;="&amp;$A173,実績!$AJ$6:$AJ$505,"&gt;"&amp;$A173,実績!$AK$6:$AK$505,"○")&gt;0,1,0))</f>
        <v>0</v>
      </c>
      <c r="BZ173" s="39" t="n">
        <f aca="false">IF(BZ$4=0,0,IF(COUNTIFS(実績!$W$6:$W$505,BZ$3,実績!$AI$6:$AI$505,"&lt;="&amp;$A173,実績!$AJ$6:$AJ$505,"&gt;"&amp;$A173,実績!$AK$6:$AK$505,"○")&gt;0,1,0))</f>
        <v>0</v>
      </c>
      <c r="CA173" s="39" t="n">
        <f aca="false">IF(CA$4=0,0,IF(COUNTIFS(実績!$W$6:$W$505,CA$3,実績!$AI$6:$AI$505,"&lt;="&amp;$A173,実績!$AJ$6:$AJ$505,"&gt;"&amp;$A173,実績!$AK$6:$AK$505,"○")&gt;0,1,0))</f>
        <v>0</v>
      </c>
      <c r="CB173" s="39" t="n">
        <f aca="false">IF(CB$4=0,0,IF(COUNTIFS(実績!$W$6:$W$505,CB$3,実績!$AI$6:$AI$505,"&lt;="&amp;$A173,実績!$AJ$6:$AJ$505,"&gt;"&amp;$A173,実績!$AK$6:$AK$505,"○")&gt;0,1,0))</f>
        <v>0</v>
      </c>
      <c r="CC173" s="39" t="n">
        <f aca="false">IF(CC$4=0,0,IF(COUNTIFS(実績!$W$6:$W$505,CC$3,実績!$AI$6:$AI$505,"&lt;="&amp;$A173,実績!$AJ$6:$AJ$505,"&gt;"&amp;$A173,実績!$AK$6:$AK$505,"○")&gt;0,1,0))</f>
        <v>0</v>
      </c>
      <c r="CD173" s="39" t="n">
        <f aca="false">IF(CD$4=0,0,IF(COUNTIFS(実績!$W$6:$W$505,CD$3,実績!$AI$6:$AI$505,"&lt;="&amp;$A173,実績!$AJ$6:$AJ$505,"&gt;"&amp;$A173,実績!$AK$6:$AK$505,"○")&gt;0,1,0))</f>
        <v>0</v>
      </c>
      <c r="CE173" s="39" t="n">
        <f aca="false">IF(CE$4=0,0,IF(COUNTIFS(実績!$W$6:$W$505,CE$3,実績!$AI$6:$AI$505,"&lt;="&amp;$A173,実績!$AJ$6:$AJ$505,"&gt;"&amp;$A173,実績!$AK$6:$AK$505,"○")&gt;0,1,0))</f>
        <v>0</v>
      </c>
      <c r="CF173" s="39" t="n">
        <f aca="false">IF(CF$4=0,0,IF(COUNTIFS(実績!$W$6:$W$505,CF$3,実績!$AI$6:$AI$505,"&lt;="&amp;$A173,実績!$AJ$6:$AJ$505,"&gt;"&amp;$A173,実績!$AK$6:$AK$505,"○")&gt;0,1,0))</f>
        <v>0</v>
      </c>
      <c r="CG173" s="39" t="n">
        <f aca="false">IF(CG$4=0,0,IF(COUNTIFS(実績!$W$6:$W$505,CG$3,実績!$AI$6:$AI$505,"&lt;="&amp;$A173,実績!$AJ$6:$AJ$505,"&gt;"&amp;$A173,実績!$AK$6:$AK$505,"○")&gt;0,1,0))</f>
        <v>0</v>
      </c>
      <c r="CH173" s="39" t="n">
        <f aca="false">IF(CH$4=0,0,IF(COUNTIFS(実績!$W$6:$W$505,CH$3,実績!$AI$6:$AI$505,"&lt;="&amp;$A173,実績!$AJ$6:$AJ$505,"&gt;"&amp;$A173,実績!$AK$6:$AK$505,"○")&gt;0,1,0))</f>
        <v>0</v>
      </c>
      <c r="CI173" s="39" t="n">
        <f aca="false">IF(CI$4=0,0,IF(COUNTIFS(実績!$W$6:$W$505,CI$3,実績!$AI$6:$AI$505,"&lt;="&amp;$A173,実績!$AJ$6:$AJ$505,"&gt;"&amp;$A173,実績!$AK$6:$AK$505,"○")&gt;0,1,0))</f>
        <v>0</v>
      </c>
      <c r="CJ173" s="39" t="n">
        <f aca="false">IF(CJ$4=0,0,IF(COUNTIFS(実績!$W$6:$W$505,CJ$3,実績!$AI$6:$AI$505,"&lt;="&amp;$A173,実績!$AJ$6:$AJ$505,"&gt;"&amp;$A173,実績!$AK$6:$AK$505,"○")&gt;0,1,0))</f>
        <v>0</v>
      </c>
      <c r="CK173" s="39" t="n">
        <f aca="false">IF(CK$4=0,0,IF(COUNTIFS(実績!$W$6:$W$505,CK$3,実績!$AI$6:$AI$505,"&lt;="&amp;$A173,実績!$AJ$6:$AJ$505,"&gt;"&amp;$A173,実績!$AK$6:$AK$505,"○")&gt;0,1,0))</f>
        <v>0</v>
      </c>
      <c r="CL173" s="39" t="n">
        <f aca="false">IF(CL$4=0,0,IF(COUNTIFS(実績!$W$6:$W$505,CL$3,実績!$AI$6:$AI$505,"&lt;="&amp;$A173,実績!$AJ$6:$AJ$505,"&gt;"&amp;$A173,実績!$AK$6:$AK$505,"○")&gt;0,1,0))</f>
        <v>0</v>
      </c>
      <c r="CM173" s="39" t="n">
        <f aca="false">IF(CM$4=0,0,IF(COUNTIFS(実績!$W$6:$W$505,CM$3,実績!$AI$6:$AI$505,"&lt;="&amp;$A173,実績!$AJ$6:$AJ$505,"&gt;"&amp;$A173,実績!$AK$6:$AK$505,"○")&gt;0,1,0))</f>
        <v>0</v>
      </c>
      <c r="CN173" s="39" t="n">
        <f aca="false">IF(CN$4=0,0,IF(COUNTIFS(実績!$W$6:$W$505,CN$3,実績!$AI$6:$AI$505,"&lt;="&amp;$A173,実績!$AJ$6:$AJ$505,"&gt;"&amp;$A173,実績!$AK$6:$AK$505,"○")&gt;0,1,0))</f>
        <v>0</v>
      </c>
      <c r="CO173" s="39" t="n">
        <f aca="false">IF(CO$4=0,0,IF(COUNTIFS(実績!$W$6:$W$505,CO$3,実績!$AI$6:$AI$505,"&lt;="&amp;$A173,実績!$AJ$6:$AJ$505,"&gt;"&amp;$A173,実績!$AK$6:$AK$505,"○")&gt;0,1,0))</f>
        <v>0</v>
      </c>
      <c r="CP173" s="39" t="n">
        <f aca="false">IF(CP$4=0,0,IF(COUNTIFS(実績!$W$6:$W$505,CP$3,実績!$AI$6:$AI$505,"&lt;="&amp;$A173,実績!$AJ$6:$AJ$505,"&gt;"&amp;$A173,実績!$AK$6:$AK$505,"○")&gt;0,1,0))</f>
        <v>0</v>
      </c>
      <c r="CQ173" s="39" t="n">
        <f aca="false">IF(CQ$4=0,0,IF(COUNTIFS(実績!$W$6:$W$505,CQ$3,実績!$AI$6:$AI$505,"&lt;="&amp;$A173,実績!$AJ$6:$AJ$505,"&gt;"&amp;$A173,実績!$AK$6:$AK$505,"○")&gt;0,1,0))</f>
        <v>0</v>
      </c>
      <c r="CR173" s="39" t="n">
        <f aca="false">IF(CR$4=0,0,IF(COUNTIFS(実績!$W$6:$W$505,CR$3,実績!$AI$6:$AI$505,"&lt;="&amp;$A173,実績!$AJ$6:$AJ$505,"&gt;"&amp;$A173,実績!$AK$6:$AK$505,"○")&gt;0,1,0))</f>
        <v>0</v>
      </c>
      <c r="CS173" s="39" t="n">
        <f aca="false">IF(CS$4=0,0,IF(COUNTIFS(実績!$W$6:$W$505,CS$3,実績!$AI$6:$AI$505,"&lt;="&amp;$A173,実績!$AJ$6:$AJ$505,"&gt;"&amp;$A173,実績!$AK$6:$AK$505,"○")&gt;0,1,0))</f>
        <v>0</v>
      </c>
      <c r="CT173" s="39" t="n">
        <f aca="false">IF(CT$4=0,0,IF(COUNTIFS(実績!$W$6:$W$505,CT$3,実績!$AI$6:$AI$505,"&lt;="&amp;$A173,実績!$AJ$6:$AJ$505,"&gt;"&amp;$A173,実績!$AK$6:$AK$505,"○")&gt;0,1,0))</f>
        <v>0</v>
      </c>
      <c r="CU173" s="39" t="n">
        <f aca="false">IF(CU$4=0,0,IF(COUNTIFS(実績!$W$6:$W$505,CU$3,実績!$AI$6:$AI$505,"&lt;="&amp;$A173,実績!$AJ$6:$AJ$505,"&gt;"&amp;$A173,実績!$AK$6:$AK$505,"○")&gt;0,1,0))</f>
        <v>0</v>
      </c>
      <c r="CV173" s="39" t="n">
        <f aca="false">IF(CV$4=0,0,IF(COUNTIFS(実績!$W$6:$W$505,CV$3,実績!$AI$6:$AI$505,"&lt;="&amp;$A173,実績!$AJ$6:$AJ$505,"&gt;"&amp;$A173,実績!$AK$6:$AK$505,"○")&gt;0,1,0))</f>
        <v>0</v>
      </c>
      <c r="CW173" s="39" t="n">
        <f aca="false">IF(CW$4=0,0,IF(COUNTIFS(実績!$W$6:$W$505,CW$3,実績!$AI$6:$AI$505,"&lt;="&amp;$A173,実績!$AJ$6:$AJ$505,"&gt;"&amp;$A173,実績!$AK$6:$AK$505,"○")&gt;0,1,0))</f>
        <v>0</v>
      </c>
      <c r="CX173" s="39" t="n">
        <f aca="false">IF(CX$4=0,0,IF(COUNTIFS(実績!$W$6:$W$505,CX$3,実績!$AI$6:$AI$505,"&lt;="&amp;$A173,実績!$AJ$6:$AJ$505,"&gt;"&amp;$A173,実績!$AK$6:$AK$505,"○")&gt;0,1,0))</f>
        <v>0</v>
      </c>
      <c r="CY173" s="39" t="n">
        <f aca="false">IF(CY$4=0,0,IF(COUNTIFS(実績!$W$6:$W$505,CY$3,実績!$AI$6:$AI$505,"&lt;="&amp;$A173,実績!$AJ$6:$AJ$505,"&gt;"&amp;$A173,実績!$AK$6:$AK$505,"○")&gt;0,1,0))</f>
        <v>0</v>
      </c>
      <c r="CZ173" s="39" t="n">
        <f aca="false">IF(CZ$4=0,0,IF(COUNTIFS(実績!$W$6:$W$505,CZ$3,実績!$AI$6:$AI$505,"&lt;="&amp;$A173,実績!$AJ$6:$AJ$505,"&gt;"&amp;$A173,実績!$AK$6:$AK$505,"○")&gt;0,1,0))</f>
        <v>0</v>
      </c>
      <c r="DA173" s="39" t="n">
        <f aca="false">IF(DA$4=0,0,IF(COUNTIFS(実績!$W$6:$W$505,DA$3,実績!$AI$6:$AI$505,"&lt;="&amp;$A173,実績!$AJ$6:$AJ$505,"&gt;"&amp;$A173,実績!$AK$6:$AK$505,"○")&gt;0,1,0))</f>
        <v>0</v>
      </c>
      <c r="DB173" s="39" t="n">
        <f aca="false">IF(DB$4=0,0,IF(COUNTIFS(実績!$W$6:$W$505,DB$3,実績!$AI$6:$AI$505,"&lt;="&amp;$A173,実績!$AJ$6:$AJ$505,"&gt;"&amp;$A173,実績!$AK$6:$AK$505,"○")&gt;0,1,0))</f>
        <v>0</v>
      </c>
      <c r="DC173" s="39" t="n">
        <f aca="false">IF(DC$4=0,0,IF(COUNTIFS(実績!$W$6:$W$505,DC$3,実績!$AI$6:$AI$505,"&lt;="&amp;$A173,実績!$AJ$6:$AJ$505,"&gt;"&amp;$A173,実績!$AK$6:$AK$505,"○")&gt;0,1,0))</f>
        <v>0</v>
      </c>
      <c r="DD173" s="39" t="n">
        <f aca="false">IF(DD$4=0,0,IF(COUNTIFS(実績!$W$6:$W$505,DD$3,実績!$AI$6:$AI$505,"&lt;="&amp;$A173,実績!$AJ$6:$AJ$505,"&gt;"&amp;$A173,実績!$AK$6:$AK$505,"○")&gt;0,1,0))</f>
        <v>0</v>
      </c>
      <c r="DE173" s="39" t="n">
        <f aca="false">IF(DE$4=0,0,IF(COUNTIFS(実績!$W$6:$W$505,DE$3,実績!$AI$6:$AI$505,"&lt;="&amp;$A173,実績!$AJ$6:$AJ$505,"&gt;"&amp;$A173,実績!$AK$6:$AK$505,"○")&gt;0,1,0))</f>
        <v>0</v>
      </c>
      <c r="DF173" s="39" t="n">
        <f aca="false">IF(DF$4=0,0,IF(COUNTIFS(実績!$W$6:$W$505,DF$3,実績!$AI$6:$AI$505,"&lt;="&amp;$A173,実績!$AJ$6:$AJ$505,"&gt;"&amp;$A173,実績!$AK$6:$AK$505,"○")&gt;0,1,0))</f>
        <v>0</v>
      </c>
      <c r="DG173" s="39" t="n">
        <f aca="false">IF(DG$4=0,0,IF(COUNTIFS(実績!$W$6:$W$505,DG$3,実績!$AI$6:$AI$505,"&lt;="&amp;$A173,実績!$AJ$6:$AJ$505,"&gt;"&amp;$A173,実績!$AK$6:$AK$505,"○")&gt;0,1,0))</f>
        <v>0</v>
      </c>
      <c r="DH173" s="39" t="n">
        <f aca="false">IF(DH$4=0,0,IF(COUNTIFS(実績!$W$6:$W$505,DH$3,実績!$AI$6:$AI$505,"&lt;="&amp;$A173,実績!$AJ$6:$AJ$505,"&gt;"&amp;$A173,実績!$AK$6:$AK$505,"○")&gt;0,1,0))</f>
        <v>0</v>
      </c>
      <c r="DI173" s="39" t="n">
        <f aca="false">IF(DI$4=0,0,IF(COUNTIFS(実績!$W$6:$W$505,DI$3,実績!$AI$6:$AI$505,"&lt;="&amp;$A173,実績!$AJ$6:$AJ$505,"&gt;"&amp;$A173,実績!$AK$6:$AK$505,"○")&gt;0,1,0))</f>
        <v>0</v>
      </c>
      <c r="DJ173" s="39" t="n">
        <f aca="false">IF(DJ$4=0,0,IF(COUNTIFS(実績!$W$6:$W$505,DJ$3,実績!$AI$6:$AI$505,"&lt;="&amp;$A173,実績!$AJ$6:$AJ$505,"&gt;"&amp;$A173,実績!$AK$6:$AK$505,"○")&gt;0,1,0))</f>
        <v>0</v>
      </c>
      <c r="DK173" s="39" t="n">
        <f aca="false">IF(DK$4=0,0,IF(COUNTIFS(実績!$W$6:$W$505,DK$3,実績!$AI$6:$AI$505,"&lt;="&amp;$A173,実績!$AJ$6:$AJ$505,"&gt;"&amp;$A173,実績!$AK$6:$AK$505,"○")&gt;0,1,0))</f>
        <v>0</v>
      </c>
      <c r="DL173" s="39" t="n">
        <f aca="false">IF(DL$4=0,0,IF(COUNTIFS(実績!$W$6:$W$505,DL$3,実績!$AI$6:$AI$505,"&lt;="&amp;$A173,実績!$AJ$6:$AJ$505,"&gt;"&amp;$A173,実績!$AK$6:$AK$505,"○")&gt;0,1,0))</f>
        <v>0</v>
      </c>
      <c r="DM173" s="39" t="n">
        <f aca="false">IF(DM$4=0,0,IF(COUNTIFS(実績!$W$6:$W$505,DM$3,実績!$AI$6:$AI$505,"&lt;="&amp;$A173,実績!$AJ$6:$AJ$505,"&gt;"&amp;$A173,実績!$AK$6:$AK$505,"○")&gt;0,1,0))</f>
        <v>0</v>
      </c>
      <c r="DN173" s="39" t="n">
        <f aca="false">IF(DN$4=0,0,IF(COUNTIFS(実績!$W$6:$W$505,DN$3,実績!$AI$6:$AI$505,"&lt;="&amp;$A173,実績!$AJ$6:$AJ$505,"&gt;"&amp;$A173,実績!$AK$6:$AK$505,"○")&gt;0,1,0))</f>
        <v>0</v>
      </c>
      <c r="DO173" s="39" t="n">
        <f aca="false">IF(DO$4=0,0,IF(COUNTIFS(実績!$W$6:$W$505,DO$3,実績!$AI$6:$AI$505,"&lt;="&amp;$A173,実績!$AJ$6:$AJ$505,"&gt;"&amp;$A173,実績!$AK$6:$AK$505,"○")&gt;0,1,0))</f>
        <v>0</v>
      </c>
      <c r="DP173" s="39" t="n">
        <f aca="false">IF(DP$4=0,0,IF(COUNTIFS(実績!$W$6:$W$505,DP$3,実績!$AI$6:$AI$505,"&lt;="&amp;$A173,実績!$AJ$6:$AJ$505,"&gt;"&amp;$A173,実績!$AK$6:$AK$505,"○")&gt;0,1,0))</f>
        <v>0</v>
      </c>
      <c r="DQ173" s="39" t="n">
        <f aca="false">IF(DQ$4=0,0,IF(COUNTIFS(実績!$W$6:$W$505,DQ$3,実績!$AI$6:$AI$505,"&lt;="&amp;$A173,実績!$AJ$6:$AJ$505,"&gt;"&amp;$A173,実績!$AK$6:$AK$505,"○")&gt;0,1,0))</f>
        <v>0</v>
      </c>
      <c r="DR173" s="39" t="n">
        <f aca="false">IF(DR$4=0,0,IF(COUNTIFS(実績!$W$6:$W$505,DR$3,実績!$AI$6:$AI$505,"&lt;="&amp;$A173,実績!$AJ$6:$AJ$505,"&gt;"&amp;$A173,実績!$AK$6:$AK$505,"○")&gt;0,1,0))</f>
        <v>0</v>
      </c>
      <c r="DS173" s="39" t="n">
        <f aca="false">SUM(C173:DR173)</f>
        <v>0</v>
      </c>
      <c r="DT173" s="39" t="n">
        <f aca="false">SUMPRODUCT((実績!$C$6:$C$505="○")*ISNUMBER(実績!$AM$6:$AM$505)*(実績!$AM$6:$AM$505&lt;=$A173)*(実績!$AN$6:$AN$505&gt;$A173))</f>
        <v>0</v>
      </c>
      <c r="DU173" s="39" t="n">
        <f aca="false">SUMIF($C$2:$DR$2,"製鉄曳船",C173:DR173)</f>
        <v>0</v>
      </c>
      <c r="DV173" s="39" t="n">
        <f aca="false">SUMIF($C$2:$DR$2,"西日本海運",C173:DR173)</f>
        <v>0</v>
      </c>
    </row>
    <row r="174" customFormat="false" ht="15" hidden="false" customHeight="false" outlineLevel="0" collapsed="false">
      <c r="A174" s="0" t="n">
        <v>840</v>
      </c>
      <c r="B174" s="38" t="n">
        <f aca="false">A174/1440</f>
        <v>0.583333333333333</v>
      </c>
      <c r="C174" s="39" t="n">
        <f aca="false">IF(C$4=0,0,IF(COUNTIFS(実績!$W$6:$W$505,C$3,実績!$AI$6:$AI$505,"&lt;="&amp;$A174,実績!$AJ$6:$AJ$505,"&gt;"&amp;$A174,実績!$AK$6:$AK$505,"○")&gt;0,1,0))</f>
        <v>0</v>
      </c>
      <c r="D174" s="39" t="n">
        <f aca="false">IF(D$4=0,0,IF(COUNTIFS(実績!$W$6:$W$505,D$3,実績!$AI$6:$AI$505,"&lt;="&amp;$A174,実績!$AJ$6:$AJ$505,"&gt;"&amp;$A174,実績!$AK$6:$AK$505,"○")&gt;0,1,0))</f>
        <v>0</v>
      </c>
      <c r="E174" s="39" t="n">
        <f aca="false">IF(E$4=0,0,IF(COUNTIFS(実績!$W$6:$W$505,E$3,実績!$AI$6:$AI$505,"&lt;="&amp;$A174,実績!$AJ$6:$AJ$505,"&gt;"&amp;$A174,実績!$AK$6:$AK$505,"○")&gt;0,1,0))</f>
        <v>0</v>
      </c>
      <c r="F174" s="39" t="n">
        <f aca="false">IF(F$4=0,0,IF(COUNTIFS(実績!$W$6:$W$505,F$3,実績!$AI$6:$AI$505,"&lt;="&amp;$A174,実績!$AJ$6:$AJ$505,"&gt;"&amp;$A174,実績!$AK$6:$AK$505,"○")&gt;0,1,0))</f>
        <v>0</v>
      </c>
      <c r="G174" s="39" t="n">
        <f aca="false">IF(G$4=0,0,IF(COUNTIFS(実績!$W$6:$W$505,G$3,実績!$AI$6:$AI$505,"&lt;="&amp;$A174,実績!$AJ$6:$AJ$505,"&gt;"&amp;$A174,実績!$AK$6:$AK$505,"○")&gt;0,1,0))</f>
        <v>0</v>
      </c>
      <c r="H174" s="39" t="n">
        <f aca="false">IF(H$4=0,0,IF(COUNTIFS(実績!$W$6:$W$505,H$3,実績!$AI$6:$AI$505,"&lt;="&amp;$A174,実績!$AJ$6:$AJ$505,"&gt;"&amp;$A174,実績!$AK$6:$AK$505,"○")&gt;0,1,0))</f>
        <v>0</v>
      </c>
      <c r="I174" s="39" t="n">
        <f aca="false">IF(I$4=0,0,IF(COUNTIFS(実績!$W$6:$W$505,I$3,実績!$AI$6:$AI$505,"&lt;="&amp;$A174,実績!$AJ$6:$AJ$505,"&gt;"&amp;$A174,実績!$AK$6:$AK$505,"○")&gt;0,1,0))</f>
        <v>0</v>
      </c>
      <c r="J174" s="39" t="n">
        <f aca="false">IF(J$4=0,0,IF(COUNTIFS(実績!$W$6:$W$505,J$3,実績!$AI$6:$AI$505,"&lt;="&amp;$A174,実績!$AJ$6:$AJ$505,"&gt;"&amp;$A174,実績!$AK$6:$AK$505,"○")&gt;0,1,0))</f>
        <v>0</v>
      </c>
      <c r="K174" s="39" t="n">
        <f aca="false">IF(K$4=0,0,IF(COUNTIFS(実績!$W$6:$W$505,K$3,実績!$AI$6:$AI$505,"&lt;="&amp;$A174,実績!$AJ$6:$AJ$505,"&gt;"&amp;$A174,実績!$AK$6:$AK$505,"○")&gt;0,1,0))</f>
        <v>0</v>
      </c>
      <c r="L174" s="39" t="n">
        <f aca="false">IF(L$4=0,0,IF(COUNTIFS(実績!$W$6:$W$505,L$3,実績!$AI$6:$AI$505,"&lt;="&amp;$A174,実績!$AJ$6:$AJ$505,"&gt;"&amp;$A174,実績!$AK$6:$AK$505,"○")&gt;0,1,0))</f>
        <v>0</v>
      </c>
      <c r="M174" s="39" t="n">
        <f aca="false">IF(M$4=0,0,IF(COUNTIFS(実績!$W$6:$W$505,M$3,実績!$AI$6:$AI$505,"&lt;="&amp;$A174,実績!$AJ$6:$AJ$505,"&gt;"&amp;$A174,実績!$AK$6:$AK$505,"○")&gt;0,1,0))</f>
        <v>0</v>
      </c>
      <c r="N174" s="39" t="n">
        <f aca="false">IF(N$4=0,0,IF(COUNTIFS(実績!$W$6:$W$505,N$3,実績!$AI$6:$AI$505,"&lt;="&amp;$A174,実績!$AJ$6:$AJ$505,"&gt;"&amp;$A174,実績!$AK$6:$AK$505,"○")&gt;0,1,0))</f>
        <v>0</v>
      </c>
      <c r="O174" s="39" t="n">
        <f aca="false">IF(O$4=0,0,IF(COUNTIFS(実績!$W$6:$W$505,O$3,実績!$AI$6:$AI$505,"&lt;="&amp;$A174,実績!$AJ$6:$AJ$505,"&gt;"&amp;$A174,実績!$AK$6:$AK$505,"○")&gt;0,1,0))</f>
        <v>0</v>
      </c>
      <c r="P174" s="39" t="n">
        <f aca="false">IF(P$4=0,0,IF(COUNTIFS(実績!$W$6:$W$505,P$3,実績!$AI$6:$AI$505,"&lt;="&amp;$A174,実績!$AJ$6:$AJ$505,"&gt;"&amp;$A174,実績!$AK$6:$AK$505,"○")&gt;0,1,0))</f>
        <v>0</v>
      </c>
      <c r="Q174" s="39" t="n">
        <f aca="false">IF(Q$4=0,0,IF(COUNTIFS(実績!$W$6:$W$505,Q$3,実績!$AI$6:$AI$505,"&lt;="&amp;$A174,実績!$AJ$6:$AJ$505,"&gt;"&amp;$A174,実績!$AK$6:$AK$505,"○")&gt;0,1,0))</f>
        <v>0</v>
      </c>
      <c r="R174" s="39" t="n">
        <f aca="false">IF(R$4=0,0,IF(COUNTIFS(実績!$W$6:$W$505,R$3,実績!$AI$6:$AI$505,"&lt;="&amp;$A174,実績!$AJ$6:$AJ$505,"&gt;"&amp;$A174,実績!$AK$6:$AK$505,"○")&gt;0,1,0))</f>
        <v>0</v>
      </c>
      <c r="S174" s="39" t="n">
        <f aca="false">IF(S$4=0,0,IF(COUNTIFS(実績!$W$6:$W$505,S$3,実績!$AI$6:$AI$505,"&lt;="&amp;$A174,実績!$AJ$6:$AJ$505,"&gt;"&amp;$A174,実績!$AK$6:$AK$505,"○")&gt;0,1,0))</f>
        <v>0</v>
      </c>
      <c r="T174" s="39" t="n">
        <f aca="false">IF(T$4=0,0,IF(COUNTIFS(実績!$W$6:$W$505,T$3,実績!$AI$6:$AI$505,"&lt;="&amp;$A174,実績!$AJ$6:$AJ$505,"&gt;"&amp;$A174,実績!$AK$6:$AK$505,"○")&gt;0,1,0))</f>
        <v>0</v>
      </c>
      <c r="U174" s="39" t="n">
        <f aca="false">IF(U$4=0,0,IF(COUNTIFS(実績!$W$6:$W$505,U$3,実績!$AI$6:$AI$505,"&lt;="&amp;$A174,実績!$AJ$6:$AJ$505,"&gt;"&amp;$A174,実績!$AK$6:$AK$505,"○")&gt;0,1,0))</f>
        <v>0</v>
      </c>
      <c r="V174" s="39" t="n">
        <f aca="false">IF(V$4=0,0,IF(COUNTIFS(実績!$W$6:$W$505,V$3,実績!$AI$6:$AI$505,"&lt;="&amp;$A174,実績!$AJ$6:$AJ$505,"&gt;"&amp;$A174,実績!$AK$6:$AK$505,"○")&gt;0,1,0))</f>
        <v>0</v>
      </c>
      <c r="W174" s="39" t="n">
        <f aca="false">IF(W$4=0,0,IF(COUNTIFS(実績!$W$6:$W$505,W$3,実績!$AI$6:$AI$505,"&lt;="&amp;$A174,実績!$AJ$6:$AJ$505,"&gt;"&amp;$A174,実績!$AK$6:$AK$505,"○")&gt;0,1,0))</f>
        <v>0</v>
      </c>
      <c r="X174" s="39" t="n">
        <f aca="false">IF(X$4=0,0,IF(COUNTIFS(実績!$W$6:$W$505,X$3,実績!$AI$6:$AI$505,"&lt;="&amp;$A174,実績!$AJ$6:$AJ$505,"&gt;"&amp;$A174,実績!$AK$6:$AK$505,"○")&gt;0,1,0))</f>
        <v>0</v>
      </c>
      <c r="Y174" s="39" t="n">
        <f aca="false">IF(Y$4=0,0,IF(COUNTIFS(実績!$W$6:$W$505,Y$3,実績!$AI$6:$AI$505,"&lt;="&amp;$A174,実績!$AJ$6:$AJ$505,"&gt;"&amp;$A174,実績!$AK$6:$AK$505,"○")&gt;0,1,0))</f>
        <v>0</v>
      </c>
      <c r="Z174" s="39" t="n">
        <f aca="false">IF(Z$4=0,0,IF(COUNTIFS(実績!$W$6:$W$505,Z$3,実績!$AI$6:$AI$505,"&lt;="&amp;$A174,実績!$AJ$6:$AJ$505,"&gt;"&amp;$A174,実績!$AK$6:$AK$505,"○")&gt;0,1,0))</f>
        <v>0</v>
      </c>
      <c r="AA174" s="39" t="n">
        <f aca="false">IF(AA$4=0,0,IF(COUNTIFS(実績!$W$6:$W$505,AA$3,実績!$AI$6:$AI$505,"&lt;="&amp;$A174,実績!$AJ$6:$AJ$505,"&gt;"&amp;$A174,実績!$AK$6:$AK$505,"○")&gt;0,1,0))</f>
        <v>0</v>
      </c>
      <c r="AB174" s="39" t="n">
        <f aca="false">IF(AB$4=0,0,IF(COUNTIFS(実績!$W$6:$W$505,AB$3,実績!$AI$6:$AI$505,"&lt;="&amp;$A174,実績!$AJ$6:$AJ$505,"&gt;"&amp;$A174,実績!$AK$6:$AK$505,"○")&gt;0,1,0))</f>
        <v>0</v>
      </c>
      <c r="AC174" s="39" t="n">
        <f aca="false">IF(AC$4=0,0,IF(COUNTIFS(実績!$W$6:$W$505,AC$3,実績!$AI$6:$AI$505,"&lt;="&amp;$A174,実績!$AJ$6:$AJ$505,"&gt;"&amp;$A174,実績!$AK$6:$AK$505,"○")&gt;0,1,0))</f>
        <v>0</v>
      </c>
      <c r="AD174" s="39" t="n">
        <f aca="false">IF(AD$4=0,0,IF(COUNTIFS(実績!$W$6:$W$505,AD$3,実績!$AI$6:$AI$505,"&lt;="&amp;$A174,実績!$AJ$6:$AJ$505,"&gt;"&amp;$A174,実績!$AK$6:$AK$505,"○")&gt;0,1,0))</f>
        <v>0</v>
      </c>
      <c r="AE174" s="39" t="n">
        <f aca="false">IF(AE$4=0,0,IF(COUNTIFS(実績!$W$6:$W$505,AE$3,実績!$AI$6:$AI$505,"&lt;="&amp;$A174,実績!$AJ$6:$AJ$505,"&gt;"&amp;$A174,実績!$AK$6:$AK$505,"○")&gt;0,1,0))</f>
        <v>0</v>
      </c>
      <c r="AF174" s="39" t="n">
        <f aca="false">IF(AF$4=0,0,IF(COUNTIFS(実績!$W$6:$W$505,AF$3,実績!$AI$6:$AI$505,"&lt;="&amp;$A174,実績!$AJ$6:$AJ$505,"&gt;"&amp;$A174,実績!$AK$6:$AK$505,"○")&gt;0,1,0))</f>
        <v>0</v>
      </c>
      <c r="AG174" s="39" t="n">
        <f aca="false">IF(AG$4=0,0,IF(COUNTIFS(実績!$W$6:$W$505,AG$3,実績!$AI$6:$AI$505,"&lt;="&amp;$A174,実績!$AJ$6:$AJ$505,"&gt;"&amp;$A174,実績!$AK$6:$AK$505,"○")&gt;0,1,0))</f>
        <v>0</v>
      </c>
      <c r="AH174" s="39" t="n">
        <f aca="false">IF(AH$4=0,0,IF(COUNTIFS(実績!$W$6:$W$505,AH$3,実績!$AI$6:$AI$505,"&lt;="&amp;$A174,実績!$AJ$6:$AJ$505,"&gt;"&amp;$A174,実績!$AK$6:$AK$505,"○")&gt;0,1,0))</f>
        <v>0</v>
      </c>
      <c r="AI174" s="39" t="n">
        <f aca="false">IF(AI$4=0,0,IF(COUNTIFS(実績!$W$6:$W$505,AI$3,実績!$AI$6:$AI$505,"&lt;="&amp;$A174,実績!$AJ$6:$AJ$505,"&gt;"&amp;$A174,実績!$AK$6:$AK$505,"○")&gt;0,1,0))</f>
        <v>0</v>
      </c>
      <c r="AJ174" s="39" t="n">
        <f aca="false">IF(AJ$4=0,0,IF(COUNTIFS(実績!$W$6:$W$505,AJ$3,実績!$AI$6:$AI$505,"&lt;="&amp;$A174,実績!$AJ$6:$AJ$505,"&gt;"&amp;$A174,実績!$AK$6:$AK$505,"○")&gt;0,1,0))</f>
        <v>0</v>
      </c>
      <c r="AK174" s="39" t="n">
        <f aca="false">IF(AK$4=0,0,IF(COUNTIFS(実績!$W$6:$W$505,AK$3,実績!$AI$6:$AI$505,"&lt;="&amp;$A174,実績!$AJ$6:$AJ$505,"&gt;"&amp;$A174,実績!$AK$6:$AK$505,"○")&gt;0,1,0))</f>
        <v>0</v>
      </c>
      <c r="AL174" s="39" t="n">
        <f aca="false">IF(AL$4=0,0,IF(COUNTIFS(実績!$W$6:$W$505,AL$3,実績!$AI$6:$AI$505,"&lt;="&amp;$A174,実績!$AJ$6:$AJ$505,"&gt;"&amp;$A174,実績!$AK$6:$AK$505,"○")&gt;0,1,0))</f>
        <v>0</v>
      </c>
      <c r="AM174" s="39" t="n">
        <f aca="false">IF(AM$4=0,0,IF(COUNTIFS(実績!$W$6:$W$505,AM$3,実績!$AI$6:$AI$505,"&lt;="&amp;$A174,実績!$AJ$6:$AJ$505,"&gt;"&amp;$A174,実績!$AK$6:$AK$505,"○")&gt;0,1,0))</f>
        <v>0</v>
      </c>
      <c r="AN174" s="39" t="n">
        <f aca="false">IF(AN$4=0,0,IF(COUNTIFS(実績!$W$6:$W$505,AN$3,実績!$AI$6:$AI$505,"&lt;="&amp;$A174,実績!$AJ$6:$AJ$505,"&gt;"&amp;$A174,実績!$AK$6:$AK$505,"○")&gt;0,1,0))</f>
        <v>0</v>
      </c>
      <c r="AO174" s="39" t="n">
        <f aca="false">IF(AO$4=0,0,IF(COUNTIFS(実績!$W$6:$W$505,AO$3,実績!$AI$6:$AI$505,"&lt;="&amp;$A174,実績!$AJ$6:$AJ$505,"&gt;"&amp;$A174,実績!$AK$6:$AK$505,"○")&gt;0,1,0))</f>
        <v>0</v>
      </c>
      <c r="AP174" s="39" t="n">
        <f aca="false">IF(AP$4=0,0,IF(COUNTIFS(実績!$W$6:$W$505,AP$3,実績!$AI$6:$AI$505,"&lt;="&amp;$A174,実績!$AJ$6:$AJ$505,"&gt;"&amp;$A174,実績!$AK$6:$AK$505,"○")&gt;0,1,0))</f>
        <v>0</v>
      </c>
      <c r="AQ174" s="39" t="n">
        <f aca="false">IF(AQ$4=0,0,IF(COUNTIFS(実績!$W$6:$W$505,AQ$3,実績!$AI$6:$AI$505,"&lt;="&amp;$A174,実績!$AJ$6:$AJ$505,"&gt;"&amp;$A174,実績!$AK$6:$AK$505,"○")&gt;0,1,0))</f>
        <v>0</v>
      </c>
      <c r="AR174" s="39" t="n">
        <f aca="false">IF(AR$4=0,0,IF(COUNTIFS(実績!$W$6:$W$505,AR$3,実績!$AI$6:$AI$505,"&lt;="&amp;$A174,実績!$AJ$6:$AJ$505,"&gt;"&amp;$A174,実績!$AK$6:$AK$505,"○")&gt;0,1,0))</f>
        <v>0</v>
      </c>
      <c r="AS174" s="39" t="n">
        <f aca="false">IF(AS$4=0,0,IF(COUNTIFS(実績!$W$6:$W$505,AS$3,実績!$AI$6:$AI$505,"&lt;="&amp;$A174,実績!$AJ$6:$AJ$505,"&gt;"&amp;$A174,実績!$AK$6:$AK$505,"○")&gt;0,1,0))</f>
        <v>0</v>
      </c>
      <c r="AT174" s="39" t="n">
        <f aca="false">IF(AT$4=0,0,IF(COUNTIFS(実績!$W$6:$W$505,AT$3,実績!$AI$6:$AI$505,"&lt;="&amp;$A174,実績!$AJ$6:$AJ$505,"&gt;"&amp;$A174,実績!$AK$6:$AK$505,"○")&gt;0,1,0))</f>
        <v>0</v>
      </c>
      <c r="AU174" s="39" t="n">
        <f aca="false">IF(AU$4=0,0,IF(COUNTIFS(実績!$W$6:$W$505,AU$3,実績!$AI$6:$AI$505,"&lt;="&amp;$A174,実績!$AJ$6:$AJ$505,"&gt;"&amp;$A174,実績!$AK$6:$AK$505,"○")&gt;0,1,0))</f>
        <v>0</v>
      </c>
      <c r="AV174" s="39" t="n">
        <f aca="false">IF(AV$4=0,0,IF(COUNTIFS(実績!$W$6:$W$505,AV$3,実績!$AI$6:$AI$505,"&lt;="&amp;$A174,実績!$AJ$6:$AJ$505,"&gt;"&amp;$A174,実績!$AK$6:$AK$505,"○")&gt;0,1,0))</f>
        <v>0</v>
      </c>
      <c r="AW174" s="39" t="n">
        <f aca="false">IF(AW$4=0,0,IF(COUNTIFS(実績!$W$6:$W$505,AW$3,実績!$AI$6:$AI$505,"&lt;="&amp;$A174,実績!$AJ$6:$AJ$505,"&gt;"&amp;$A174,実績!$AK$6:$AK$505,"○")&gt;0,1,0))</f>
        <v>0</v>
      </c>
      <c r="AX174" s="39" t="n">
        <f aca="false">IF(AX$4=0,0,IF(COUNTIFS(実績!$W$6:$W$505,AX$3,実績!$AI$6:$AI$505,"&lt;="&amp;$A174,実績!$AJ$6:$AJ$505,"&gt;"&amp;$A174,実績!$AK$6:$AK$505,"○")&gt;0,1,0))</f>
        <v>0</v>
      </c>
      <c r="AY174" s="39" t="n">
        <f aca="false">IF(AY$4=0,0,IF(COUNTIFS(実績!$W$6:$W$505,AY$3,実績!$AI$6:$AI$505,"&lt;="&amp;$A174,実績!$AJ$6:$AJ$505,"&gt;"&amp;$A174,実績!$AK$6:$AK$505,"○")&gt;0,1,0))</f>
        <v>0</v>
      </c>
      <c r="AZ174" s="39" t="n">
        <f aca="false">IF(AZ$4=0,0,IF(COUNTIFS(実績!$W$6:$W$505,AZ$3,実績!$AI$6:$AI$505,"&lt;="&amp;$A174,実績!$AJ$6:$AJ$505,"&gt;"&amp;$A174,実績!$AK$6:$AK$505,"○")&gt;0,1,0))</f>
        <v>0</v>
      </c>
      <c r="BA174" s="39" t="n">
        <f aca="false">IF(BA$4=0,0,IF(COUNTIFS(実績!$W$6:$W$505,BA$3,実績!$AI$6:$AI$505,"&lt;="&amp;$A174,実績!$AJ$6:$AJ$505,"&gt;"&amp;$A174,実績!$AK$6:$AK$505,"○")&gt;0,1,0))</f>
        <v>0</v>
      </c>
      <c r="BB174" s="39" t="n">
        <f aca="false">IF(BB$4=0,0,IF(COUNTIFS(実績!$W$6:$W$505,BB$3,実績!$AI$6:$AI$505,"&lt;="&amp;$A174,実績!$AJ$6:$AJ$505,"&gt;"&amp;$A174,実績!$AK$6:$AK$505,"○")&gt;0,1,0))</f>
        <v>0</v>
      </c>
      <c r="BC174" s="39" t="n">
        <f aca="false">IF(BC$4=0,0,IF(COUNTIFS(実績!$W$6:$W$505,BC$3,実績!$AI$6:$AI$505,"&lt;="&amp;$A174,実績!$AJ$6:$AJ$505,"&gt;"&amp;$A174,実績!$AK$6:$AK$505,"○")&gt;0,1,0))</f>
        <v>0</v>
      </c>
      <c r="BD174" s="39" t="n">
        <f aca="false">IF(BD$4=0,0,IF(COUNTIFS(実績!$W$6:$W$505,BD$3,実績!$AI$6:$AI$505,"&lt;="&amp;$A174,実績!$AJ$6:$AJ$505,"&gt;"&amp;$A174,実績!$AK$6:$AK$505,"○")&gt;0,1,0))</f>
        <v>0</v>
      </c>
      <c r="BE174" s="39" t="n">
        <f aca="false">IF(BE$4=0,0,IF(COUNTIFS(実績!$W$6:$W$505,BE$3,実績!$AI$6:$AI$505,"&lt;="&amp;$A174,実績!$AJ$6:$AJ$505,"&gt;"&amp;$A174,実績!$AK$6:$AK$505,"○")&gt;0,1,0))</f>
        <v>0</v>
      </c>
      <c r="BF174" s="39" t="n">
        <f aca="false">IF(BF$4=0,0,IF(COUNTIFS(実績!$W$6:$W$505,BF$3,実績!$AI$6:$AI$505,"&lt;="&amp;$A174,実績!$AJ$6:$AJ$505,"&gt;"&amp;$A174,実績!$AK$6:$AK$505,"○")&gt;0,1,0))</f>
        <v>0</v>
      </c>
      <c r="BG174" s="39" t="n">
        <f aca="false">IF(BG$4=0,0,IF(COUNTIFS(実績!$W$6:$W$505,BG$3,実績!$AI$6:$AI$505,"&lt;="&amp;$A174,実績!$AJ$6:$AJ$505,"&gt;"&amp;$A174,実績!$AK$6:$AK$505,"○")&gt;0,1,0))</f>
        <v>0</v>
      </c>
      <c r="BH174" s="39" t="n">
        <f aca="false">IF(BH$4=0,0,IF(COUNTIFS(実績!$W$6:$W$505,BH$3,実績!$AI$6:$AI$505,"&lt;="&amp;$A174,実績!$AJ$6:$AJ$505,"&gt;"&amp;$A174,実績!$AK$6:$AK$505,"○")&gt;0,1,0))</f>
        <v>0</v>
      </c>
      <c r="BI174" s="39" t="n">
        <f aca="false">IF(BI$4=0,0,IF(COUNTIFS(実績!$W$6:$W$505,BI$3,実績!$AI$6:$AI$505,"&lt;="&amp;$A174,実績!$AJ$6:$AJ$505,"&gt;"&amp;$A174,実績!$AK$6:$AK$505,"○")&gt;0,1,0))</f>
        <v>0</v>
      </c>
      <c r="BJ174" s="39" t="n">
        <f aca="false">IF(BJ$4=0,0,IF(COUNTIFS(実績!$W$6:$W$505,BJ$3,実績!$AI$6:$AI$505,"&lt;="&amp;$A174,実績!$AJ$6:$AJ$505,"&gt;"&amp;$A174,実績!$AK$6:$AK$505,"○")&gt;0,1,0))</f>
        <v>0</v>
      </c>
      <c r="BK174" s="39" t="n">
        <f aca="false">IF(BK$4=0,0,IF(COUNTIFS(実績!$W$6:$W$505,BK$3,実績!$AI$6:$AI$505,"&lt;="&amp;$A174,実績!$AJ$6:$AJ$505,"&gt;"&amp;$A174,実績!$AK$6:$AK$505,"○")&gt;0,1,0))</f>
        <v>0</v>
      </c>
      <c r="BL174" s="39" t="n">
        <f aca="false">IF(BL$4=0,0,IF(COUNTIFS(実績!$W$6:$W$505,BL$3,実績!$AI$6:$AI$505,"&lt;="&amp;$A174,実績!$AJ$6:$AJ$505,"&gt;"&amp;$A174,実績!$AK$6:$AK$505,"○")&gt;0,1,0))</f>
        <v>0</v>
      </c>
      <c r="BM174" s="39" t="n">
        <f aca="false">IF(BM$4=0,0,IF(COUNTIFS(実績!$W$6:$W$505,BM$3,実績!$AI$6:$AI$505,"&lt;="&amp;$A174,実績!$AJ$6:$AJ$505,"&gt;"&amp;$A174,実績!$AK$6:$AK$505,"○")&gt;0,1,0))</f>
        <v>0</v>
      </c>
      <c r="BN174" s="39" t="n">
        <f aca="false">IF(BN$4=0,0,IF(COUNTIFS(実績!$W$6:$W$505,BN$3,実績!$AI$6:$AI$505,"&lt;="&amp;$A174,実績!$AJ$6:$AJ$505,"&gt;"&amp;$A174,実績!$AK$6:$AK$505,"○")&gt;0,1,0))</f>
        <v>0</v>
      </c>
      <c r="BO174" s="39" t="n">
        <f aca="false">IF(BO$4=0,0,IF(COUNTIFS(実績!$W$6:$W$505,BO$3,実績!$AI$6:$AI$505,"&lt;="&amp;$A174,実績!$AJ$6:$AJ$505,"&gt;"&amp;$A174,実績!$AK$6:$AK$505,"○")&gt;0,1,0))</f>
        <v>0</v>
      </c>
      <c r="BP174" s="39" t="n">
        <f aca="false">IF(BP$4=0,0,IF(COUNTIFS(実績!$W$6:$W$505,BP$3,実績!$AI$6:$AI$505,"&lt;="&amp;$A174,実績!$AJ$6:$AJ$505,"&gt;"&amp;$A174,実績!$AK$6:$AK$505,"○")&gt;0,1,0))</f>
        <v>0</v>
      </c>
      <c r="BQ174" s="39" t="n">
        <f aca="false">IF(BQ$4=0,0,IF(COUNTIFS(実績!$W$6:$W$505,BQ$3,実績!$AI$6:$AI$505,"&lt;="&amp;$A174,実績!$AJ$6:$AJ$505,"&gt;"&amp;$A174,実績!$AK$6:$AK$505,"○")&gt;0,1,0))</f>
        <v>0</v>
      </c>
      <c r="BR174" s="39" t="n">
        <f aca="false">IF(BR$4=0,0,IF(COUNTIFS(実績!$W$6:$W$505,BR$3,実績!$AI$6:$AI$505,"&lt;="&amp;$A174,実績!$AJ$6:$AJ$505,"&gt;"&amp;$A174,実績!$AK$6:$AK$505,"○")&gt;0,1,0))</f>
        <v>0</v>
      </c>
      <c r="BS174" s="39" t="n">
        <f aca="false">IF(BS$4=0,0,IF(COUNTIFS(実績!$W$6:$W$505,BS$3,実績!$AI$6:$AI$505,"&lt;="&amp;$A174,実績!$AJ$6:$AJ$505,"&gt;"&amp;$A174,実績!$AK$6:$AK$505,"○")&gt;0,1,0))</f>
        <v>0</v>
      </c>
      <c r="BT174" s="39" t="n">
        <f aca="false">IF(BT$4=0,0,IF(COUNTIFS(実績!$W$6:$W$505,BT$3,実績!$AI$6:$AI$505,"&lt;="&amp;$A174,実績!$AJ$6:$AJ$505,"&gt;"&amp;$A174,実績!$AK$6:$AK$505,"○")&gt;0,1,0))</f>
        <v>0</v>
      </c>
      <c r="BU174" s="39" t="n">
        <f aca="false">IF(BU$4=0,0,IF(COUNTIFS(実績!$W$6:$W$505,BU$3,実績!$AI$6:$AI$505,"&lt;="&amp;$A174,実績!$AJ$6:$AJ$505,"&gt;"&amp;$A174,実績!$AK$6:$AK$505,"○")&gt;0,1,0))</f>
        <v>0</v>
      </c>
      <c r="BV174" s="39" t="n">
        <f aca="false">IF(BV$4=0,0,IF(COUNTIFS(実績!$W$6:$W$505,BV$3,実績!$AI$6:$AI$505,"&lt;="&amp;$A174,実績!$AJ$6:$AJ$505,"&gt;"&amp;$A174,実績!$AK$6:$AK$505,"○")&gt;0,1,0))</f>
        <v>0</v>
      </c>
      <c r="BW174" s="39" t="n">
        <f aca="false">IF(BW$4=0,0,IF(COUNTIFS(実績!$W$6:$W$505,BW$3,実績!$AI$6:$AI$505,"&lt;="&amp;$A174,実績!$AJ$6:$AJ$505,"&gt;"&amp;$A174,実績!$AK$6:$AK$505,"○")&gt;0,1,0))</f>
        <v>0</v>
      </c>
      <c r="BX174" s="39" t="n">
        <f aca="false">IF(BX$4=0,0,IF(COUNTIFS(実績!$W$6:$W$505,BX$3,実績!$AI$6:$AI$505,"&lt;="&amp;$A174,実績!$AJ$6:$AJ$505,"&gt;"&amp;$A174,実績!$AK$6:$AK$505,"○")&gt;0,1,0))</f>
        <v>0</v>
      </c>
      <c r="BY174" s="39" t="n">
        <f aca="false">IF(BY$4=0,0,IF(COUNTIFS(実績!$W$6:$W$505,BY$3,実績!$AI$6:$AI$505,"&lt;="&amp;$A174,実績!$AJ$6:$AJ$505,"&gt;"&amp;$A174,実績!$AK$6:$AK$505,"○")&gt;0,1,0))</f>
        <v>0</v>
      </c>
      <c r="BZ174" s="39" t="n">
        <f aca="false">IF(BZ$4=0,0,IF(COUNTIFS(実績!$W$6:$W$505,BZ$3,実績!$AI$6:$AI$505,"&lt;="&amp;$A174,実績!$AJ$6:$AJ$505,"&gt;"&amp;$A174,実績!$AK$6:$AK$505,"○")&gt;0,1,0))</f>
        <v>0</v>
      </c>
      <c r="CA174" s="39" t="n">
        <f aca="false">IF(CA$4=0,0,IF(COUNTIFS(実績!$W$6:$W$505,CA$3,実績!$AI$6:$AI$505,"&lt;="&amp;$A174,実績!$AJ$6:$AJ$505,"&gt;"&amp;$A174,実績!$AK$6:$AK$505,"○")&gt;0,1,0))</f>
        <v>0</v>
      </c>
      <c r="CB174" s="39" t="n">
        <f aca="false">IF(CB$4=0,0,IF(COUNTIFS(実績!$W$6:$W$505,CB$3,実績!$AI$6:$AI$505,"&lt;="&amp;$A174,実績!$AJ$6:$AJ$505,"&gt;"&amp;$A174,実績!$AK$6:$AK$505,"○")&gt;0,1,0))</f>
        <v>0</v>
      </c>
      <c r="CC174" s="39" t="n">
        <f aca="false">IF(CC$4=0,0,IF(COUNTIFS(実績!$W$6:$W$505,CC$3,実績!$AI$6:$AI$505,"&lt;="&amp;$A174,実績!$AJ$6:$AJ$505,"&gt;"&amp;$A174,実績!$AK$6:$AK$505,"○")&gt;0,1,0))</f>
        <v>0</v>
      </c>
      <c r="CD174" s="39" t="n">
        <f aca="false">IF(CD$4=0,0,IF(COUNTIFS(実績!$W$6:$W$505,CD$3,実績!$AI$6:$AI$505,"&lt;="&amp;$A174,実績!$AJ$6:$AJ$505,"&gt;"&amp;$A174,実績!$AK$6:$AK$505,"○")&gt;0,1,0))</f>
        <v>0</v>
      </c>
      <c r="CE174" s="39" t="n">
        <f aca="false">IF(CE$4=0,0,IF(COUNTIFS(実績!$W$6:$W$505,CE$3,実績!$AI$6:$AI$505,"&lt;="&amp;$A174,実績!$AJ$6:$AJ$505,"&gt;"&amp;$A174,実績!$AK$6:$AK$505,"○")&gt;0,1,0))</f>
        <v>0</v>
      </c>
      <c r="CF174" s="39" t="n">
        <f aca="false">IF(CF$4=0,0,IF(COUNTIFS(実績!$W$6:$W$505,CF$3,実績!$AI$6:$AI$505,"&lt;="&amp;$A174,実績!$AJ$6:$AJ$505,"&gt;"&amp;$A174,実績!$AK$6:$AK$505,"○")&gt;0,1,0))</f>
        <v>0</v>
      </c>
      <c r="CG174" s="39" t="n">
        <f aca="false">IF(CG$4=0,0,IF(COUNTIFS(実績!$W$6:$W$505,CG$3,実績!$AI$6:$AI$505,"&lt;="&amp;$A174,実績!$AJ$6:$AJ$505,"&gt;"&amp;$A174,実績!$AK$6:$AK$505,"○")&gt;0,1,0))</f>
        <v>0</v>
      </c>
      <c r="CH174" s="39" t="n">
        <f aca="false">IF(CH$4=0,0,IF(COUNTIFS(実績!$W$6:$W$505,CH$3,実績!$AI$6:$AI$505,"&lt;="&amp;$A174,実績!$AJ$6:$AJ$505,"&gt;"&amp;$A174,実績!$AK$6:$AK$505,"○")&gt;0,1,0))</f>
        <v>0</v>
      </c>
      <c r="CI174" s="39" t="n">
        <f aca="false">IF(CI$4=0,0,IF(COUNTIFS(実績!$W$6:$W$505,CI$3,実績!$AI$6:$AI$505,"&lt;="&amp;$A174,実績!$AJ$6:$AJ$505,"&gt;"&amp;$A174,実績!$AK$6:$AK$505,"○")&gt;0,1,0))</f>
        <v>0</v>
      </c>
      <c r="CJ174" s="39" t="n">
        <f aca="false">IF(CJ$4=0,0,IF(COUNTIFS(実績!$W$6:$W$505,CJ$3,実績!$AI$6:$AI$505,"&lt;="&amp;$A174,実績!$AJ$6:$AJ$505,"&gt;"&amp;$A174,実績!$AK$6:$AK$505,"○")&gt;0,1,0))</f>
        <v>0</v>
      </c>
      <c r="CK174" s="39" t="n">
        <f aca="false">IF(CK$4=0,0,IF(COUNTIFS(実績!$W$6:$W$505,CK$3,実績!$AI$6:$AI$505,"&lt;="&amp;$A174,実績!$AJ$6:$AJ$505,"&gt;"&amp;$A174,実績!$AK$6:$AK$505,"○")&gt;0,1,0))</f>
        <v>0</v>
      </c>
      <c r="CL174" s="39" t="n">
        <f aca="false">IF(CL$4=0,0,IF(COUNTIFS(実績!$W$6:$W$505,CL$3,実績!$AI$6:$AI$505,"&lt;="&amp;$A174,実績!$AJ$6:$AJ$505,"&gt;"&amp;$A174,実績!$AK$6:$AK$505,"○")&gt;0,1,0))</f>
        <v>0</v>
      </c>
      <c r="CM174" s="39" t="n">
        <f aca="false">IF(CM$4=0,0,IF(COUNTIFS(実績!$W$6:$W$505,CM$3,実績!$AI$6:$AI$505,"&lt;="&amp;$A174,実績!$AJ$6:$AJ$505,"&gt;"&amp;$A174,実績!$AK$6:$AK$505,"○")&gt;0,1,0))</f>
        <v>0</v>
      </c>
      <c r="CN174" s="39" t="n">
        <f aca="false">IF(CN$4=0,0,IF(COUNTIFS(実績!$W$6:$W$505,CN$3,実績!$AI$6:$AI$505,"&lt;="&amp;$A174,実績!$AJ$6:$AJ$505,"&gt;"&amp;$A174,実績!$AK$6:$AK$505,"○")&gt;0,1,0))</f>
        <v>0</v>
      </c>
      <c r="CO174" s="39" t="n">
        <f aca="false">IF(CO$4=0,0,IF(COUNTIFS(実績!$W$6:$W$505,CO$3,実績!$AI$6:$AI$505,"&lt;="&amp;$A174,実績!$AJ$6:$AJ$505,"&gt;"&amp;$A174,実績!$AK$6:$AK$505,"○")&gt;0,1,0))</f>
        <v>0</v>
      </c>
      <c r="CP174" s="39" t="n">
        <f aca="false">IF(CP$4=0,0,IF(COUNTIFS(実績!$W$6:$W$505,CP$3,実績!$AI$6:$AI$505,"&lt;="&amp;$A174,実績!$AJ$6:$AJ$505,"&gt;"&amp;$A174,実績!$AK$6:$AK$505,"○")&gt;0,1,0))</f>
        <v>0</v>
      </c>
      <c r="CQ174" s="39" t="n">
        <f aca="false">IF(CQ$4=0,0,IF(COUNTIFS(実績!$W$6:$W$505,CQ$3,実績!$AI$6:$AI$505,"&lt;="&amp;$A174,実績!$AJ$6:$AJ$505,"&gt;"&amp;$A174,実績!$AK$6:$AK$505,"○")&gt;0,1,0))</f>
        <v>0</v>
      </c>
      <c r="CR174" s="39" t="n">
        <f aca="false">IF(CR$4=0,0,IF(COUNTIFS(実績!$W$6:$W$505,CR$3,実績!$AI$6:$AI$505,"&lt;="&amp;$A174,実績!$AJ$6:$AJ$505,"&gt;"&amp;$A174,実績!$AK$6:$AK$505,"○")&gt;0,1,0))</f>
        <v>0</v>
      </c>
      <c r="CS174" s="39" t="n">
        <f aca="false">IF(CS$4=0,0,IF(COUNTIFS(実績!$W$6:$W$505,CS$3,実績!$AI$6:$AI$505,"&lt;="&amp;$A174,実績!$AJ$6:$AJ$505,"&gt;"&amp;$A174,実績!$AK$6:$AK$505,"○")&gt;0,1,0))</f>
        <v>0</v>
      </c>
      <c r="CT174" s="39" t="n">
        <f aca="false">IF(CT$4=0,0,IF(COUNTIFS(実績!$W$6:$W$505,CT$3,実績!$AI$6:$AI$505,"&lt;="&amp;$A174,実績!$AJ$6:$AJ$505,"&gt;"&amp;$A174,実績!$AK$6:$AK$505,"○")&gt;0,1,0))</f>
        <v>0</v>
      </c>
      <c r="CU174" s="39" t="n">
        <f aca="false">IF(CU$4=0,0,IF(COUNTIFS(実績!$W$6:$W$505,CU$3,実績!$AI$6:$AI$505,"&lt;="&amp;$A174,実績!$AJ$6:$AJ$505,"&gt;"&amp;$A174,実績!$AK$6:$AK$505,"○")&gt;0,1,0))</f>
        <v>0</v>
      </c>
      <c r="CV174" s="39" t="n">
        <f aca="false">IF(CV$4=0,0,IF(COUNTIFS(実績!$W$6:$W$505,CV$3,実績!$AI$6:$AI$505,"&lt;="&amp;$A174,実績!$AJ$6:$AJ$505,"&gt;"&amp;$A174,実績!$AK$6:$AK$505,"○")&gt;0,1,0))</f>
        <v>0</v>
      </c>
      <c r="CW174" s="39" t="n">
        <f aca="false">IF(CW$4=0,0,IF(COUNTIFS(実績!$W$6:$W$505,CW$3,実績!$AI$6:$AI$505,"&lt;="&amp;$A174,実績!$AJ$6:$AJ$505,"&gt;"&amp;$A174,実績!$AK$6:$AK$505,"○")&gt;0,1,0))</f>
        <v>0</v>
      </c>
      <c r="CX174" s="39" t="n">
        <f aca="false">IF(CX$4=0,0,IF(COUNTIFS(実績!$W$6:$W$505,CX$3,実績!$AI$6:$AI$505,"&lt;="&amp;$A174,実績!$AJ$6:$AJ$505,"&gt;"&amp;$A174,実績!$AK$6:$AK$505,"○")&gt;0,1,0))</f>
        <v>0</v>
      </c>
      <c r="CY174" s="39" t="n">
        <f aca="false">IF(CY$4=0,0,IF(COUNTIFS(実績!$W$6:$W$505,CY$3,実績!$AI$6:$AI$505,"&lt;="&amp;$A174,実績!$AJ$6:$AJ$505,"&gt;"&amp;$A174,実績!$AK$6:$AK$505,"○")&gt;0,1,0))</f>
        <v>0</v>
      </c>
      <c r="CZ174" s="39" t="n">
        <f aca="false">IF(CZ$4=0,0,IF(COUNTIFS(実績!$W$6:$W$505,CZ$3,実績!$AI$6:$AI$505,"&lt;="&amp;$A174,実績!$AJ$6:$AJ$505,"&gt;"&amp;$A174,実績!$AK$6:$AK$505,"○")&gt;0,1,0))</f>
        <v>0</v>
      </c>
      <c r="DA174" s="39" t="n">
        <f aca="false">IF(DA$4=0,0,IF(COUNTIFS(実績!$W$6:$W$505,DA$3,実績!$AI$6:$AI$505,"&lt;="&amp;$A174,実績!$AJ$6:$AJ$505,"&gt;"&amp;$A174,実績!$AK$6:$AK$505,"○")&gt;0,1,0))</f>
        <v>0</v>
      </c>
      <c r="DB174" s="39" t="n">
        <f aca="false">IF(DB$4=0,0,IF(COUNTIFS(実績!$W$6:$W$505,DB$3,実績!$AI$6:$AI$505,"&lt;="&amp;$A174,実績!$AJ$6:$AJ$505,"&gt;"&amp;$A174,実績!$AK$6:$AK$505,"○")&gt;0,1,0))</f>
        <v>0</v>
      </c>
      <c r="DC174" s="39" t="n">
        <f aca="false">IF(DC$4=0,0,IF(COUNTIFS(実績!$W$6:$W$505,DC$3,実績!$AI$6:$AI$505,"&lt;="&amp;$A174,実績!$AJ$6:$AJ$505,"&gt;"&amp;$A174,実績!$AK$6:$AK$505,"○")&gt;0,1,0))</f>
        <v>0</v>
      </c>
      <c r="DD174" s="39" t="n">
        <f aca="false">IF(DD$4=0,0,IF(COUNTIFS(実績!$W$6:$W$505,DD$3,実績!$AI$6:$AI$505,"&lt;="&amp;$A174,実績!$AJ$6:$AJ$505,"&gt;"&amp;$A174,実績!$AK$6:$AK$505,"○")&gt;0,1,0))</f>
        <v>0</v>
      </c>
      <c r="DE174" s="39" t="n">
        <f aca="false">IF(DE$4=0,0,IF(COUNTIFS(実績!$W$6:$W$505,DE$3,実績!$AI$6:$AI$505,"&lt;="&amp;$A174,実績!$AJ$6:$AJ$505,"&gt;"&amp;$A174,実績!$AK$6:$AK$505,"○")&gt;0,1,0))</f>
        <v>0</v>
      </c>
      <c r="DF174" s="39" t="n">
        <f aca="false">IF(DF$4=0,0,IF(COUNTIFS(実績!$W$6:$W$505,DF$3,実績!$AI$6:$AI$505,"&lt;="&amp;$A174,実績!$AJ$6:$AJ$505,"&gt;"&amp;$A174,実績!$AK$6:$AK$505,"○")&gt;0,1,0))</f>
        <v>0</v>
      </c>
      <c r="DG174" s="39" t="n">
        <f aca="false">IF(DG$4=0,0,IF(COUNTIFS(実績!$W$6:$W$505,DG$3,実績!$AI$6:$AI$505,"&lt;="&amp;$A174,実績!$AJ$6:$AJ$505,"&gt;"&amp;$A174,実績!$AK$6:$AK$505,"○")&gt;0,1,0))</f>
        <v>0</v>
      </c>
      <c r="DH174" s="39" t="n">
        <f aca="false">IF(DH$4=0,0,IF(COUNTIFS(実績!$W$6:$W$505,DH$3,実績!$AI$6:$AI$505,"&lt;="&amp;$A174,実績!$AJ$6:$AJ$505,"&gt;"&amp;$A174,実績!$AK$6:$AK$505,"○")&gt;0,1,0))</f>
        <v>0</v>
      </c>
      <c r="DI174" s="39" t="n">
        <f aca="false">IF(DI$4=0,0,IF(COUNTIFS(実績!$W$6:$W$505,DI$3,実績!$AI$6:$AI$505,"&lt;="&amp;$A174,実績!$AJ$6:$AJ$505,"&gt;"&amp;$A174,実績!$AK$6:$AK$505,"○")&gt;0,1,0))</f>
        <v>0</v>
      </c>
      <c r="DJ174" s="39" t="n">
        <f aca="false">IF(DJ$4=0,0,IF(COUNTIFS(実績!$W$6:$W$505,DJ$3,実績!$AI$6:$AI$505,"&lt;="&amp;$A174,実績!$AJ$6:$AJ$505,"&gt;"&amp;$A174,実績!$AK$6:$AK$505,"○")&gt;0,1,0))</f>
        <v>0</v>
      </c>
      <c r="DK174" s="39" t="n">
        <f aca="false">IF(DK$4=0,0,IF(COUNTIFS(実績!$W$6:$W$505,DK$3,実績!$AI$6:$AI$505,"&lt;="&amp;$A174,実績!$AJ$6:$AJ$505,"&gt;"&amp;$A174,実績!$AK$6:$AK$505,"○")&gt;0,1,0))</f>
        <v>0</v>
      </c>
      <c r="DL174" s="39" t="n">
        <f aca="false">IF(DL$4=0,0,IF(COUNTIFS(実績!$W$6:$W$505,DL$3,実績!$AI$6:$AI$505,"&lt;="&amp;$A174,実績!$AJ$6:$AJ$505,"&gt;"&amp;$A174,実績!$AK$6:$AK$505,"○")&gt;0,1,0))</f>
        <v>0</v>
      </c>
      <c r="DM174" s="39" t="n">
        <f aca="false">IF(DM$4=0,0,IF(COUNTIFS(実績!$W$6:$W$505,DM$3,実績!$AI$6:$AI$505,"&lt;="&amp;$A174,実績!$AJ$6:$AJ$505,"&gt;"&amp;$A174,実績!$AK$6:$AK$505,"○")&gt;0,1,0))</f>
        <v>0</v>
      </c>
      <c r="DN174" s="39" t="n">
        <f aca="false">IF(DN$4=0,0,IF(COUNTIFS(実績!$W$6:$W$505,DN$3,実績!$AI$6:$AI$505,"&lt;="&amp;$A174,実績!$AJ$6:$AJ$505,"&gt;"&amp;$A174,実績!$AK$6:$AK$505,"○")&gt;0,1,0))</f>
        <v>0</v>
      </c>
      <c r="DO174" s="39" t="n">
        <f aca="false">IF(DO$4=0,0,IF(COUNTIFS(実績!$W$6:$W$505,DO$3,実績!$AI$6:$AI$505,"&lt;="&amp;$A174,実績!$AJ$6:$AJ$505,"&gt;"&amp;$A174,実績!$AK$6:$AK$505,"○")&gt;0,1,0))</f>
        <v>0</v>
      </c>
      <c r="DP174" s="39" t="n">
        <f aca="false">IF(DP$4=0,0,IF(COUNTIFS(実績!$W$6:$W$505,DP$3,実績!$AI$6:$AI$505,"&lt;="&amp;$A174,実績!$AJ$6:$AJ$505,"&gt;"&amp;$A174,実績!$AK$6:$AK$505,"○")&gt;0,1,0))</f>
        <v>0</v>
      </c>
      <c r="DQ174" s="39" t="n">
        <f aca="false">IF(DQ$4=0,0,IF(COUNTIFS(実績!$W$6:$W$505,DQ$3,実績!$AI$6:$AI$505,"&lt;="&amp;$A174,実績!$AJ$6:$AJ$505,"&gt;"&amp;$A174,実績!$AK$6:$AK$505,"○")&gt;0,1,0))</f>
        <v>0</v>
      </c>
      <c r="DR174" s="39" t="n">
        <f aca="false">IF(DR$4=0,0,IF(COUNTIFS(実績!$W$6:$W$505,DR$3,実績!$AI$6:$AI$505,"&lt;="&amp;$A174,実績!$AJ$6:$AJ$505,"&gt;"&amp;$A174,実績!$AK$6:$AK$505,"○")&gt;0,1,0))</f>
        <v>0</v>
      </c>
      <c r="DS174" s="39" t="n">
        <f aca="false">SUM(C174:DR174)</f>
        <v>0</v>
      </c>
      <c r="DT174" s="39" t="n">
        <f aca="false">SUMPRODUCT((実績!$C$6:$C$505="○")*ISNUMBER(実績!$AM$6:$AM$505)*(実績!$AM$6:$AM$505&lt;=$A174)*(実績!$AN$6:$AN$505&gt;$A174))</f>
        <v>0</v>
      </c>
      <c r="DU174" s="39" t="n">
        <f aca="false">SUMIF($C$2:$DR$2,"製鉄曳船",C174:DR174)</f>
        <v>0</v>
      </c>
      <c r="DV174" s="39" t="n">
        <f aca="false">SUMIF($C$2:$DR$2,"西日本海運",C174:DR174)</f>
        <v>0</v>
      </c>
    </row>
    <row r="175" customFormat="false" ht="15" hidden="false" customHeight="false" outlineLevel="0" collapsed="false">
      <c r="A175" s="0" t="n">
        <v>845</v>
      </c>
      <c r="B175" s="38" t="n">
        <f aca="false">A175/1440</f>
        <v>0.586805555555556</v>
      </c>
      <c r="C175" s="39" t="n">
        <f aca="false">IF(C$4=0,0,IF(COUNTIFS(実績!$W$6:$W$505,C$3,実績!$AI$6:$AI$505,"&lt;="&amp;$A175,実績!$AJ$6:$AJ$505,"&gt;"&amp;$A175,実績!$AK$6:$AK$505,"○")&gt;0,1,0))</f>
        <v>0</v>
      </c>
      <c r="D175" s="39" t="n">
        <f aca="false">IF(D$4=0,0,IF(COUNTIFS(実績!$W$6:$W$505,D$3,実績!$AI$6:$AI$505,"&lt;="&amp;$A175,実績!$AJ$6:$AJ$505,"&gt;"&amp;$A175,実績!$AK$6:$AK$505,"○")&gt;0,1,0))</f>
        <v>0</v>
      </c>
      <c r="E175" s="39" t="n">
        <f aca="false">IF(E$4=0,0,IF(COUNTIFS(実績!$W$6:$W$505,E$3,実績!$AI$6:$AI$505,"&lt;="&amp;$A175,実績!$AJ$6:$AJ$505,"&gt;"&amp;$A175,実績!$AK$6:$AK$505,"○")&gt;0,1,0))</f>
        <v>0</v>
      </c>
      <c r="F175" s="39" t="n">
        <f aca="false">IF(F$4=0,0,IF(COUNTIFS(実績!$W$6:$W$505,F$3,実績!$AI$6:$AI$505,"&lt;="&amp;$A175,実績!$AJ$6:$AJ$505,"&gt;"&amp;$A175,実績!$AK$6:$AK$505,"○")&gt;0,1,0))</f>
        <v>0</v>
      </c>
      <c r="G175" s="39" t="n">
        <f aca="false">IF(G$4=0,0,IF(COUNTIFS(実績!$W$6:$W$505,G$3,実績!$AI$6:$AI$505,"&lt;="&amp;$A175,実績!$AJ$6:$AJ$505,"&gt;"&amp;$A175,実績!$AK$6:$AK$505,"○")&gt;0,1,0))</f>
        <v>0</v>
      </c>
      <c r="H175" s="39" t="n">
        <f aca="false">IF(H$4=0,0,IF(COUNTIFS(実績!$W$6:$W$505,H$3,実績!$AI$6:$AI$505,"&lt;="&amp;$A175,実績!$AJ$6:$AJ$505,"&gt;"&amp;$A175,実績!$AK$6:$AK$505,"○")&gt;0,1,0))</f>
        <v>0</v>
      </c>
      <c r="I175" s="39" t="n">
        <f aca="false">IF(I$4=0,0,IF(COUNTIFS(実績!$W$6:$W$505,I$3,実績!$AI$6:$AI$505,"&lt;="&amp;$A175,実績!$AJ$6:$AJ$505,"&gt;"&amp;$A175,実績!$AK$6:$AK$505,"○")&gt;0,1,0))</f>
        <v>0</v>
      </c>
      <c r="J175" s="39" t="n">
        <f aca="false">IF(J$4=0,0,IF(COUNTIFS(実績!$W$6:$W$505,J$3,実績!$AI$6:$AI$505,"&lt;="&amp;$A175,実績!$AJ$6:$AJ$505,"&gt;"&amp;$A175,実績!$AK$6:$AK$505,"○")&gt;0,1,0))</f>
        <v>0</v>
      </c>
      <c r="K175" s="39" t="n">
        <f aca="false">IF(K$4=0,0,IF(COUNTIFS(実績!$W$6:$W$505,K$3,実績!$AI$6:$AI$505,"&lt;="&amp;$A175,実績!$AJ$6:$AJ$505,"&gt;"&amp;$A175,実績!$AK$6:$AK$505,"○")&gt;0,1,0))</f>
        <v>0</v>
      </c>
      <c r="L175" s="39" t="n">
        <f aca="false">IF(L$4=0,0,IF(COUNTIFS(実績!$W$6:$W$505,L$3,実績!$AI$6:$AI$505,"&lt;="&amp;$A175,実績!$AJ$6:$AJ$505,"&gt;"&amp;$A175,実績!$AK$6:$AK$505,"○")&gt;0,1,0))</f>
        <v>0</v>
      </c>
      <c r="M175" s="39" t="n">
        <f aca="false">IF(M$4=0,0,IF(COUNTIFS(実績!$W$6:$W$505,M$3,実績!$AI$6:$AI$505,"&lt;="&amp;$A175,実績!$AJ$6:$AJ$505,"&gt;"&amp;$A175,実績!$AK$6:$AK$505,"○")&gt;0,1,0))</f>
        <v>0</v>
      </c>
      <c r="N175" s="39" t="n">
        <f aca="false">IF(N$4=0,0,IF(COUNTIFS(実績!$W$6:$W$505,N$3,実績!$AI$6:$AI$505,"&lt;="&amp;$A175,実績!$AJ$6:$AJ$505,"&gt;"&amp;$A175,実績!$AK$6:$AK$505,"○")&gt;0,1,0))</f>
        <v>0</v>
      </c>
      <c r="O175" s="39" t="n">
        <f aca="false">IF(O$4=0,0,IF(COUNTIFS(実績!$W$6:$W$505,O$3,実績!$AI$6:$AI$505,"&lt;="&amp;$A175,実績!$AJ$6:$AJ$505,"&gt;"&amp;$A175,実績!$AK$6:$AK$505,"○")&gt;0,1,0))</f>
        <v>0</v>
      </c>
      <c r="P175" s="39" t="n">
        <f aca="false">IF(P$4=0,0,IF(COUNTIFS(実績!$W$6:$W$505,P$3,実績!$AI$6:$AI$505,"&lt;="&amp;$A175,実績!$AJ$6:$AJ$505,"&gt;"&amp;$A175,実績!$AK$6:$AK$505,"○")&gt;0,1,0))</f>
        <v>0</v>
      </c>
      <c r="Q175" s="39" t="n">
        <f aca="false">IF(Q$4=0,0,IF(COUNTIFS(実績!$W$6:$W$505,Q$3,実績!$AI$6:$AI$505,"&lt;="&amp;$A175,実績!$AJ$6:$AJ$505,"&gt;"&amp;$A175,実績!$AK$6:$AK$505,"○")&gt;0,1,0))</f>
        <v>0</v>
      </c>
      <c r="R175" s="39" t="n">
        <f aca="false">IF(R$4=0,0,IF(COUNTIFS(実績!$W$6:$W$505,R$3,実績!$AI$6:$AI$505,"&lt;="&amp;$A175,実績!$AJ$6:$AJ$505,"&gt;"&amp;$A175,実績!$AK$6:$AK$505,"○")&gt;0,1,0))</f>
        <v>0</v>
      </c>
      <c r="S175" s="39" t="n">
        <f aca="false">IF(S$4=0,0,IF(COUNTIFS(実績!$W$6:$W$505,S$3,実績!$AI$6:$AI$505,"&lt;="&amp;$A175,実績!$AJ$6:$AJ$505,"&gt;"&amp;$A175,実績!$AK$6:$AK$505,"○")&gt;0,1,0))</f>
        <v>0</v>
      </c>
      <c r="T175" s="39" t="n">
        <f aca="false">IF(T$4=0,0,IF(COUNTIFS(実績!$W$6:$W$505,T$3,実績!$AI$6:$AI$505,"&lt;="&amp;$A175,実績!$AJ$6:$AJ$505,"&gt;"&amp;$A175,実績!$AK$6:$AK$505,"○")&gt;0,1,0))</f>
        <v>0</v>
      </c>
      <c r="U175" s="39" t="n">
        <f aca="false">IF(U$4=0,0,IF(COUNTIFS(実績!$W$6:$W$505,U$3,実績!$AI$6:$AI$505,"&lt;="&amp;$A175,実績!$AJ$6:$AJ$505,"&gt;"&amp;$A175,実績!$AK$6:$AK$505,"○")&gt;0,1,0))</f>
        <v>0</v>
      </c>
      <c r="V175" s="39" t="n">
        <f aca="false">IF(V$4=0,0,IF(COUNTIFS(実績!$W$6:$W$505,V$3,実績!$AI$6:$AI$505,"&lt;="&amp;$A175,実績!$AJ$6:$AJ$505,"&gt;"&amp;$A175,実績!$AK$6:$AK$505,"○")&gt;0,1,0))</f>
        <v>0</v>
      </c>
      <c r="W175" s="39" t="n">
        <f aca="false">IF(W$4=0,0,IF(COUNTIFS(実績!$W$6:$W$505,W$3,実績!$AI$6:$AI$505,"&lt;="&amp;$A175,実績!$AJ$6:$AJ$505,"&gt;"&amp;$A175,実績!$AK$6:$AK$505,"○")&gt;0,1,0))</f>
        <v>0</v>
      </c>
      <c r="X175" s="39" t="n">
        <f aca="false">IF(X$4=0,0,IF(COUNTIFS(実績!$W$6:$W$505,X$3,実績!$AI$6:$AI$505,"&lt;="&amp;$A175,実績!$AJ$6:$AJ$505,"&gt;"&amp;$A175,実績!$AK$6:$AK$505,"○")&gt;0,1,0))</f>
        <v>0</v>
      </c>
      <c r="Y175" s="39" t="n">
        <f aca="false">IF(Y$4=0,0,IF(COUNTIFS(実績!$W$6:$W$505,Y$3,実績!$AI$6:$AI$505,"&lt;="&amp;$A175,実績!$AJ$6:$AJ$505,"&gt;"&amp;$A175,実績!$AK$6:$AK$505,"○")&gt;0,1,0))</f>
        <v>0</v>
      </c>
      <c r="Z175" s="39" t="n">
        <f aca="false">IF(Z$4=0,0,IF(COUNTIFS(実績!$W$6:$W$505,Z$3,実績!$AI$6:$AI$505,"&lt;="&amp;$A175,実績!$AJ$6:$AJ$505,"&gt;"&amp;$A175,実績!$AK$6:$AK$505,"○")&gt;0,1,0))</f>
        <v>0</v>
      </c>
      <c r="AA175" s="39" t="n">
        <f aca="false">IF(AA$4=0,0,IF(COUNTIFS(実績!$W$6:$W$505,AA$3,実績!$AI$6:$AI$505,"&lt;="&amp;$A175,実績!$AJ$6:$AJ$505,"&gt;"&amp;$A175,実績!$AK$6:$AK$505,"○")&gt;0,1,0))</f>
        <v>0</v>
      </c>
      <c r="AB175" s="39" t="n">
        <f aca="false">IF(AB$4=0,0,IF(COUNTIFS(実績!$W$6:$W$505,AB$3,実績!$AI$6:$AI$505,"&lt;="&amp;$A175,実績!$AJ$6:$AJ$505,"&gt;"&amp;$A175,実績!$AK$6:$AK$505,"○")&gt;0,1,0))</f>
        <v>0</v>
      </c>
      <c r="AC175" s="39" t="n">
        <f aca="false">IF(AC$4=0,0,IF(COUNTIFS(実績!$W$6:$W$505,AC$3,実績!$AI$6:$AI$505,"&lt;="&amp;$A175,実績!$AJ$6:$AJ$505,"&gt;"&amp;$A175,実績!$AK$6:$AK$505,"○")&gt;0,1,0))</f>
        <v>0</v>
      </c>
      <c r="AD175" s="39" t="n">
        <f aca="false">IF(AD$4=0,0,IF(COUNTIFS(実績!$W$6:$W$505,AD$3,実績!$AI$6:$AI$505,"&lt;="&amp;$A175,実績!$AJ$6:$AJ$505,"&gt;"&amp;$A175,実績!$AK$6:$AK$505,"○")&gt;0,1,0))</f>
        <v>0</v>
      </c>
      <c r="AE175" s="39" t="n">
        <f aca="false">IF(AE$4=0,0,IF(COUNTIFS(実績!$W$6:$W$505,AE$3,実績!$AI$6:$AI$505,"&lt;="&amp;$A175,実績!$AJ$6:$AJ$505,"&gt;"&amp;$A175,実績!$AK$6:$AK$505,"○")&gt;0,1,0))</f>
        <v>0</v>
      </c>
      <c r="AF175" s="39" t="n">
        <f aca="false">IF(AF$4=0,0,IF(COUNTIFS(実績!$W$6:$W$505,AF$3,実績!$AI$6:$AI$505,"&lt;="&amp;$A175,実績!$AJ$6:$AJ$505,"&gt;"&amp;$A175,実績!$AK$6:$AK$505,"○")&gt;0,1,0))</f>
        <v>0</v>
      </c>
      <c r="AG175" s="39" t="n">
        <f aca="false">IF(AG$4=0,0,IF(COUNTIFS(実績!$W$6:$W$505,AG$3,実績!$AI$6:$AI$505,"&lt;="&amp;$A175,実績!$AJ$6:$AJ$505,"&gt;"&amp;$A175,実績!$AK$6:$AK$505,"○")&gt;0,1,0))</f>
        <v>0</v>
      </c>
      <c r="AH175" s="39" t="n">
        <f aca="false">IF(AH$4=0,0,IF(COUNTIFS(実績!$W$6:$W$505,AH$3,実績!$AI$6:$AI$505,"&lt;="&amp;$A175,実績!$AJ$6:$AJ$505,"&gt;"&amp;$A175,実績!$AK$6:$AK$505,"○")&gt;0,1,0))</f>
        <v>0</v>
      </c>
      <c r="AI175" s="39" t="n">
        <f aca="false">IF(AI$4=0,0,IF(COUNTIFS(実績!$W$6:$W$505,AI$3,実績!$AI$6:$AI$505,"&lt;="&amp;$A175,実績!$AJ$6:$AJ$505,"&gt;"&amp;$A175,実績!$AK$6:$AK$505,"○")&gt;0,1,0))</f>
        <v>0</v>
      </c>
      <c r="AJ175" s="39" t="n">
        <f aca="false">IF(AJ$4=0,0,IF(COUNTIFS(実績!$W$6:$W$505,AJ$3,実績!$AI$6:$AI$505,"&lt;="&amp;$A175,実績!$AJ$6:$AJ$505,"&gt;"&amp;$A175,実績!$AK$6:$AK$505,"○")&gt;0,1,0))</f>
        <v>0</v>
      </c>
      <c r="AK175" s="39" t="n">
        <f aca="false">IF(AK$4=0,0,IF(COUNTIFS(実績!$W$6:$W$505,AK$3,実績!$AI$6:$AI$505,"&lt;="&amp;$A175,実績!$AJ$6:$AJ$505,"&gt;"&amp;$A175,実績!$AK$6:$AK$505,"○")&gt;0,1,0))</f>
        <v>0</v>
      </c>
      <c r="AL175" s="39" t="n">
        <f aca="false">IF(AL$4=0,0,IF(COUNTIFS(実績!$W$6:$W$505,AL$3,実績!$AI$6:$AI$505,"&lt;="&amp;$A175,実績!$AJ$6:$AJ$505,"&gt;"&amp;$A175,実績!$AK$6:$AK$505,"○")&gt;0,1,0))</f>
        <v>0</v>
      </c>
      <c r="AM175" s="39" t="n">
        <f aca="false">IF(AM$4=0,0,IF(COUNTIFS(実績!$W$6:$W$505,AM$3,実績!$AI$6:$AI$505,"&lt;="&amp;$A175,実績!$AJ$6:$AJ$505,"&gt;"&amp;$A175,実績!$AK$6:$AK$505,"○")&gt;0,1,0))</f>
        <v>0</v>
      </c>
      <c r="AN175" s="39" t="n">
        <f aca="false">IF(AN$4=0,0,IF(COUNTIFS(実績!$W$6:$W$505,AN$3,実績!$AI$6:$AI$505,"&lt;="&amp;$A175,実績!$AJ$6:$AJ$505,"&gt;"&amp;$A175,実績!$AK$6:$AK$505,"○")&gt;0,1,0))</f>
        <v>0</v>
      </c>
      <c r="AO175" s="39" t="n">
        <f aca="false">IF(AO$4=0,0,IF(COUNTIFS(実績!$W$6:$W$505,AO$3,実績!$AI$6:$AI$505,"&lt;="&amp;$A175,実績!$AJ$6:$AJ$505,"&gt;"&amp;$A175,実績!$AK$6:$AK$505,"○")&gt;0,1,0))</f>
        <v>0</v>
      </c>
      <c r="AP175" s="39" t="n">
        <f aca="false">IF(AP$4=0,0,IF(COUNTIFS(実績!$W$6:$W$505,AP$3,実績!$AI$6:$AI$505,"&lt;="&amp;$A175,実績!$AJ$6:$AJ$505,"&gt;"&amp;$A175,実績!$AK$6:$AK$505,"○")&gt;0,1,0))</f>
        <v>0</v>
      </c>
      <c r="AQ175" s="39" t="n">
        <f aca="false">IF(AQ$4=0,0,IF(COUNTIFS(実績!$W$6:$W$505,AQ$3,実績!$AI$6:$AI$505,"&lt;="&amp;$A175,実績!$AJ$6:$AJ$505,"&gt;"&amp;$A175,実績!$AK$6:$AK$505,"○")&gt;0,1,0))</f>
        <v>0</v>
      </c>
      <c r="AR175" s="39" t="n">
        <f aca="false">IF(AR$4=0,0,IF(COUNTIFS(実績!$W$6:$W$505,AR$3,実績!$AI$6:$AI$505,"&lt;="&amp;$A175,実績!$AJ$6:$AJ$505,"&gt;"&amp;$A175,実績!$AK$6:$AK$505,"○")&gt;0,1,0))</f>
        <v>0</v>
      </c>
      <c r="AS175" s="39" t="n">
        <f aca="false">IF(AS$4=0,0,IF(COUNTIFS(実績!$W$6:$W$505,AS$3,実績!$AI$6:$AI$505,"&lt;="&amp;$A175,実績!$AJ$6:$AJ$505,"&gt;"&amp;$A175,実績!$AK$6:$AK$505,"○")&gt;0,1,0))</f>
        <v>0</v>
      </c>
      <c r="AT175" s="39" t="n">
        <f aca="false">IF(AT$4=0,0,IF(COUNTIFS(実績!$W$6:$W$505,AT$3,実績!$AI$6:$AI$505,"&lt;="&amp;$A175,実績!$AJ$6:$AJ$505,"&gt;"&amp;$A175,実績!$AK$6:$AK$505,"○")&gt;0,1,0))</f>
        <v>0</v>
      </c>
      <c r="AU175" s="39" t="n">
        <f aca="false">IF(AU$4=0,0,IF(COUNTIFS(実績!$W$6:$W$505,AU$3,実績!$AI$6:$AI$505,"&lt;="&amp;$A175,実績!$AJ$6:$AJ$505,"&gt;"&amp;$A175,実績!$AK$6:$AK$505,"○")&gt;0,1,0))</f>
        <v>0</v>
      </c>
      <c r="AV175" s="39" t="n">
        <f aca="false">IF(AV$4=0,0,IF(COUNTIFS(実績!$W$6:$W$505,AV$3,実績!$AI$6:$AI$505,"&lt;="&amp;$A175,実績!$AJ$6:$AJ$505,"&gt;"&amp;$A175,実績!$AK$6:$AK$505,"○")&gt;0,1,0))</f>
        <v>0</v>
      </c>
      <c r="AW175" s="39" t="n">
        <f aca="false">IF(AW$4=0,0,IF(COUNTIFS(実績!$W$6:$W$505,AW$3,実績!$AI$6:$AI$505,"&lt;="&amp;$A175,実績!$AJ$6:$AJ$505,"&gt;"&amp;$A175,実績!$AK$6:$AK$505,"○")&gt;0,1,0))</f>
        <v>0</v>
      </c>
      <c r="AX175" s="39" t="n">
        <f aca="false">IF(AX$4=0,0,IF(COUNTIFS(実績!$W$6:$W$505,AX$3,実績!$AI$6:$AI$505,"&lt;="&amp;$A175,実績!$AJ$6:$AJ$505,"&gt;"&amp;$A175,実績!$AK$6:$AK$505,"○")&gt;0,1,0))</f>
        <v>0</v>
      </c>
      <c r="AY175" s="39" t="n">
        <f aca="false">IF(AY$4=0,0,IF(COUNTIFS(実績!$W$6:$W$505,AY$3,実績!$AI$6:$AI$505,"&lt;="&amp;$A175,実績!$AJ$6:$AJ$505,"&gt;"&amp;$A175,実績!$AK$6:$AK$505,"○")&gt;0,1,0))</f>
        <v>0</v>
      </c>
      <c r="AZ175" s="39" t="n">
        <f aca="false">IF(AZ$4=0,0,IF(COUNTIFS(実績!$W$6:$W$505,AZ$3,実績!$AI$6:$AI$505,"&lt;="&amp;$A175,実績!$AJ$6:$AJ$505,"&gt;"&amp;$A175,実績!$AK$6:$AK$505,"○")&gt;0,1,0))</f>
        <v>0</v>
      </c>
      <c r="BA175" s="39" t="n">
        <f aca="false">IF(BA$4=0,0,IF(COUNTIFS(実績!$W$6:$W$505,BA$3,実績!$AI$6:$AI$505,"&lt;="&amp;$A175,実績!$AJ$6:$AJ$505,"&gt;"&amp;$A175,実績!$AK$6:$AK$505,"○")&gt;0,1,0))</f>
        <v>0</v>
      </c>
      <c r="BB175" s="39" t="n">
        <f aca="false">IF(BB$4=0,0,IF(COUNTIFS(実績!$W$6:$W$505,BB$3,実績!$AI$6:$AI$505,"&lt;="&amp;$A175,実績!$AJ$6:$AJ$505,"&gt;"&amp;$A175,実績!$AK$6:$AK$505,"○")&gt;0,1,0))</f>
        <v>0</v>
      </c>
      <c r="BC175" s="39" t="n">
        <f aca="false">IF(BC$4=0,0,IF(COUNTIFS(実績!$W$6:$W$505,BC$3,実績!$AI$6:$AI$505,"&lt;="&amp;$A175,実績!$AJ$6:$AJ$505,"&gt;"&amp;$A175,実績!$AK$6:$AK$505,"○")&gt;0,1,0))</f>
        <v>0</v>
      </c>
      <c r="BD175" s="39" t="n">
        <f aca="false">IF(BD$4=0,0,IF(COUNTIFS(実績!$W$6:$W$505,BD$3,実績!$AI$6:$AI$505,"&lt;="&amp;$A175,実績!$AJ$6:$AJ$505,"&gt;"&amp;$A175,実績!$AK$6:$AK$505,"○")&gt;0,1,0))</f>
        <v>0</v>
      </c>
      <c r="BE175" s="39" t="n">
        <f aca="false">IF(BE$4=0,0,IF(COUNTIFS(実績!$W$6:$W$505,BE$3,実績!$AI$6:$AI$505,"&lt;="&amp;$A175,実績!$AJ$6:$AJ$505,"&gt;"&amp;$A175,実績!$AK$6:$AK$505,"○")&gt;0,1,0))</f>
        <v>0</v>
      </c>
      <c r="BF175" s="39" t="n">
        <f aca="false">IF(BF$4=0,0,IF(COUNTIFS(実績!$W$6:$W$505,BF$3,実績!$AI$6:$AI$505,"&lt;="&amp;$A175,実績!$AJ$6:$AJ$505,"&gt;"&amp;$A175,実績!$AK$6:$AK$505,"○")&gt;0,1,0))</f>
        <v>0</v>
      </c>
      <c r="BG175" s="39" t="n">
        <f aca="false">IF(BG$4=0,0,IF(COUNTIFS(実績!$W$6:$W$505,BG$3,実績!$AI$6:$AI$505,"&lt;="&amp;$A175,実績!$AJ$6:$AJ$505,"&gt;"&amp;$A175,実績!$AK$6:$AK$505,"○")&gt;0,1,0))</f>
        <v>0</v>
      </c>
      <c r="BH175" s="39" t="n">
        <f aca="false">IF(BH$4=0,0,IF(COUNTIFS(実績!$W$6:$W$505,BH$3,実績!$AI$6:$AI$505,"&lt;="&amp;$A175,実績!$AJ$6:$AJ$505,"&gt;"&amp;$A175,実績!$AK$6:$AK$505,"○")&gt;0,1,0))</f>
        <v>0</v>
      </c>
      <c r="BI175" s="39" t="n">
        <f aca="false">IF(BI$4=0,0,IF(COUNTIFS(実績!$W$6:$W$505,BI$3,実績!$AI$6:$AI$505,"&lt;="&amp;$A175,実績!$AJ$6:$AJ$505,"&gt;"&amp;$A175,実績!$AK$6:$AK$505,"○")&gt;0,1,0))</f>
        <v>0</v>
      </c>
      <c r="BJ175" s="39" t="n">
        <f aca="false">IF(BJ$4=0,0,IF(COUNTIFS(実績!$W$6:$W$505,BJ$3,実績!$AI$6:$AI$505,"&lt;="&amp;$A175,実績!$AJ$6:$AJ$505,"&gt;"&amp;$A175,実績!$AK$6:$AK$505,"○")&gt;0,1,0))</f>
        <v>0</v>
      </c>
      <c r="BK175" s="39" t="n">
        <f aca="false">IF(BK$4=0,0,IF(COUNTIFS(実績!$W$6:$W$505,BK$3,実績!$AI$6:$AI$505,"&lt;="&amp;$A175,実績!$AJ$6:$AJ$505,"&gt;"&amp;$A175,実績!$AK$6:$AK$505,"○")&gt;0,1,0))</f>
        <v>0</v>
      </c>
      <c r="BL175" s="39" t="n">
        <f aca="false">IF(BL$4=0,0,IF(COUNTIFS(実績!$W$6:$W$505,BL$3,実績!$AI$6:$AI$505,"&lt;="&amp;$A175,実績!$AJ$6:$AJ$505,"&gt;"&amp;$A175,実績!$AK$6:$AK$505,"○")&gt;0,1,0))</f>
        <v>0</v>
      </c>
      <c r="BM175" s="39" t="n">
        <f aca="false">IF(BM$4=0,0,IF(COUNTIFS(実績!$W$6:$W$505,BM$3,実績!$AI$6:$AI$505,"&lt;="&amp;$A175,実績!$AJ$6:$AJ$505,"&gt;"&amp;$A175,実績!$AK$6:$AK$505,"○")&gt;0,1,0))</f>
        <v>0</v>
      </c>
      <c r="BN175" s="39" t="n">
        <f aca="false">IF(BN$4=0,0,IF(COUNTIFS(実績!$W$6:$W$505,BN$3,実績!$AI$6:$AI$505,"&lt;="&amp;$A175,実績!$AJ$6:$AJ$505,"&gt;"&amp;$A175,実績!$AK$6:$AK$505,"○")&gt;0,1,0))</f>
        <v>0</v>
      </c>
      <c r="BO175" s="39" t="n">
        <f aca="false">IF(BO$4=0,0,IF(COUNTIFS(実績!$W$6:$W$505,BO$3,実績!$AI$6:$AI$505,"&lt;="&amp;$A175,実績!$AJ$6:$AJ$505,"&gt;"&amp;$A175,実績!$AK$6:$AK$505,"○")&gt;0,1,0))</f>
        <v>0</v>
      </c>
      <c r="BP175" s="39" t="n">
        <f aca="false">IF(BP$4=0,0,IF(COUNTIFS(実績!$W$6:$W$505,BP$3,実績!$AI$6:$AI$505,"&lt;="&amp;$A175,実績!$AJ$6:$AJ$505,"&gt;"&amp;$A175,実績!$AK$6:$AK$505,"○")&gt;0,1,0))</f>
        <v>0</v>
      </c>
      <c r="BQ175" s="39" t="n">
        <f aca="false">IF(BQ$4=0,0,IF(COUNTIFS(実績!$W$6:$W$505,BQ$3,実績!$AI$6:$AI$505,"&lt;="&amp;$A175,実績!$AJ$6:$AJ$505,"&gt;"&amp;$A175,実績!$AK$6:$AK$505,"○")&gt;0,1,0))</f>
        <v>0</v>
      </c>
      <c r="BR175" s="39" t="n">
        <f aca="false">IF(BR$4=0,0,IF(COUNTIFS(実績!$W$6:$W$505,BR$3,実績!$AI$6:$AI$505,"&lt;="&amp;$A175,実績!$AJ$6:$AJ$505,"&gt;"&amp;$A175,実績!$AK$6:$AK$505,"○")&gt;0,1,0))</f>
        <v>0</v>
      </c>
      <c r="BS175" s="39" t="n">
        <f aca="false">IF(BS$4=0,0,IF(COUNTIFS(実績!$W$6:$W$505,BS$3,実績!$AI$6:$AI$505,"&lt;="&amp;$A175,実績!$AJ$6:$AJ$505,"&gt;"&amp;$A175,実績!$AK$6:$AK$505,"○")&gt;0,1,0))</f>
        <v>0</v>
      </c>
      <c r="BT175" s="39" t="n">
        <f aca="false">IF(BT$4=0,0,IF(COUNTIFS(実績!$W$6:$W$505,BT$3,実績!$AI$6:$AI$505,"&lt;="&amp;$A175,実績!$AJ$6:$AJ$505,"&gt;"&amp;$A175,実績!$AK$6:$AK$505,"○")&gt;0,1,0))</f>
        <v>0</v>
      </c>
      <c r="BU175" s="39" t="n">
        <f aca="false">IF(BU$4=0,0,IF(COUNTIFS(実績!$W$6:$W$505,BU$3,実績!$AI$6:$AI$505,"&lt;="&amp;$A175,実績!$AJ$6:$AJ$505,"&gt;"&amp;$A175,実績!$AK$6:$AK$505,"○")&gt;0,1,0))</f>
        <v>0</v>
      </c>
      <c r="BV175" s="39" t="n">
        <f aca="false">IF(BV$4=0,0,IF(COUNTIFS(実績!$W$6:$W$505,BV$3,実績!$AI$6:$AI$505,"&lt;="&amp;$A175,実績!$AJ$6:$AJ$505,"&gt;"&amp;$A175,実績!$AK$6:$AK$505,"○")&gt;0,1,0))</f>
        <v>0</v>
      </c>
      <c r="BW175" s="39" t="n">
        <f aca="false">IF(BW$4=0,0,IF(COUNTIFS(実績!$W$6:$W$505,BW$3,実績!$AI$6:$AI$505,"&lt;="&amp;$A175,実績!$AJ$6:$AJ$505,"&gt;"&amp;$A175,実績!$AK$6:$AK$505,"○")&gt;0,1,0))</f>
        <v>0</v>
      </c>
      <c r="BX175" s="39" t="n">
        <f aca="false">IF(BX$4=0,0,IF(COUNTIFS(実績!$W$6:$W$505,BX$3,実績!$AI$6:$AI$505,"&lt;="&amp;$A175,実績!$AJ$6:$AJ$505,"&gt;"&amp;$A175,実績!$AK$6:$AK$505,"○")&gt;0,1,0))</f>
        <v>0</v>
      </c>
      <c r="BY175" s="39" t="n">
        <f aca="false">IF(BY$4=0,0,IF(COUNTIFS(実績!$W$6:$W$505,BY$3,実績!$AI$6:$AI$505,"&lt;="&amp;$A175,実績!$AJ$6:$AJ$505,"&gt;"&amp;$A175,実績!$AK$6:$AK$505,"○")&gt;0,1,0))</f>
        <v>0</v>
      </c>
      <c r="BZ175" s="39" t="n">
        <f aca="false">IF(BZ$4=0,0,IF(COUNTIFS(実績!$W$6:$W$505,BZ$3,実績!$AI$6:$AI$505,"&lt;="&amp;$A175,実績!$AJ$6:$AJ$505,"&gt;"&amp;$A175,実績!$AK$6:$AK$505,"○")&gt;0,1,0))</f>
        <v>0</v>
      </c>
      <c r="CA175" s="39" t="n">
        <f aca="false">IF(CA$4=0,0,IF(COUNTIFS(実績!$W$6:$W$505,CA$3,実績!$AI$6:$AI$505,"&lt;="&amp;$A175,実績!$AJ$6:$AJ$505,"&gt;"&amp;$A175,実績!$AK$6:$AK$505,"○")&gt;0,1,0))</f>
        <v>0</v>
      </c>
      <c r="CB175" s="39" t="n">
        <f aca="false">IF(CB$4=0,0,IF(COUNTIFS(実績!$W$6:$W$505,CB$3,実績!$AI$6:$AI$505,"&lt;="&amp;$A175,実績!$AJ$6:$AJ$505,"&gt;"&amp;$A175,実績!$AK$6:$AK$505,"○")&gt;0,1,0))</f>
        <v>0</v>
      </c>
      <c r="CC175" s="39" t="n">
        <f aca="false">IF(CC$4=0,0,IF(COUNTIFS(実績!$W$6:$W$505,CC$3,実績!$AI$6:$AI$505,"&lt;="&amp;$A175,実績!$AJ$6:$AJ$505,"&gt;"&amp;$A175,実績!$AK$6:$AK$505,"○")&gt;0,1,0))</f>
        <v>0</v>
      </c>
      <c r="CD175" s="39" t="n">
        <f aca="false">IF(CD$4=0,0,IF(COUNTIFS(実績!$W$6:$W$505,CD$3,実績!$AI$6:$AI$505,"&lt;="&amp;$A175,実績!$AJ$6:$AJ$505,"&gt;"&amp;$A175,実績!$AK$6:$AK$505,"○")&gt;0,1,0))</f>
        <v>0</v>
      </c>
      <c r="CE175" s="39" t="n">
        <f aca="false">IF(CE$4=0,0,IF(COUNTIFS(実績!$W$6:$W$505,CE$3,実績!$AI$6:$AI$505,"&lt;="&amp;$A175,実績!$AJ$6:$AJ$505,"&gt;"&amp;$A175,実績!$AK$6:$AK$505,"○")&gt;0,1,0))</f>
        <v>0</v>
      </c>
      <c r="CF175" s="39" t="n">
        <f aca="false">IF(CF$4=0,0,IF(COUNTIFS(実績!$W$6:$W$505,CF$3,実績!$AI$6:$AI$505,"&lt;="&amp;$A175,実績!$AJ$6:$AJ$505,"&gt;"&amp;$A175,実績!$AK$6:$AK$505,"○")&gt;0,1,0))</f>
        <v>0</v>
      </c>
      <c r="CG175" s="39" t="n">
        <f aca="false">IF(CG$4=0,0,IF(COUNTIFS(実績!$W$6:$W$505,CG$3,実績!$AI$6:$AI$505,"&lt;="&amp;$A175,実績!$AJ$6:$AJ$505,"&gt;"&amp;$A175,実績!$AK$6:$AK$505,"○")&gt;0,1,0))</f>
        <v>0</v>
      </c>
      <c r="CH175" s="39" t="n">
        <f aca="false">IF(CH$4=0,0,IF(COUNTIFS(実績!$W$6:$W$505,CH$3,実績!$AI$6:$AI$505,"&lt;="&amp;$A175,実績!$AJ$6:$AJ$505,"&gt;"&amp;$A175,実績!$AK$6:$AK$505,"○")&gt;0,1,0))</f>
        <v>0</v>
      </c>
      <c r="CI175" s="39" t="n">
        <f aca="false">IF(CI$4=0,0,IF(COUNTIFS(実績!$W$6:$W$505,CI$3,実績!$AI$6:$AI$505,"&lt;="&amp;$A175,実績!$AJ$6:$AJ$505,"&gt;"&amp;$A175,実績!$AK$6:$AK$505,"○")&gt;0,1,0))</f>
        <v>0</v>
      </c>
      <c r="CJ175" s="39" t="n">
        <f aca="false">IF(CJ$4=0,0,IF(COUNTIFS(実績!$W$6:$W$505,CJ$3,実績!$AI$6:$AI$505,"&lt;="&amp;$A175,実績!$AJ$6:$AJ$505,"&gt;"&amp;$A175,実績!$AK$6:$AK$505,"○")&gt;0,1,0))</f>
        <v>0</v>
      </c>
      <c r="CK175" s="39" t="n">
        <f aca="false">IF(CK$4=0,0,IF(COUNTIFS(実績!$W$6:$W$505,CK$3,実績!$AI$6:$AI$505,"&lt;="&amp;$A175,実績!$AJ$6:$AJ$505,"&gt;"&amp;$A175,実績!$AK$6:$AK$505,"○")&gt;0,1,0))</f>
        <v>0</v>
      </c>
      <c r="CL175" s="39" t="n">
        <f aca="false">IF(CL$4=0,0,IF(COUNTIFS(実績!$W$6:$W$505,CL$3,実績!$AI$6:$AI$505,"&lt;="&amp;$A175,実績!$AJ$6:$AJ$505,"&gt;"&amp;$A175,実績!$AK$6:$AK$505,"○")&gt;0,1,0))</f>
        <v>0</v>
      </c>
      <c r="CM175" s="39" t="n">
        <f aca="false">IF(CM$4=0,0,IF(COUNTIFS(実績!$W$6:$W$505,CM$3,実績!$AI$6:$AI$505,"&lt;="&amp;$A175,実績!$AJ$6:$AJ$505,"&gt;"&amp;$A175,実績!$AK$6:$AK$505,"○")&gt;0,1,0))</f>
        <v>0</v>
      </c>
      <c r="CN175" s="39" t="n">
        <f aca="false">IF(CN$4=0,0,IF(COUNTIFS(実績!$W$6:$W$505,CN$3,実績!$AI$6:$AI$505,"&lt;="&amp;$A175,実績!$AJ$6:$AJ$505,"&gt;"&amp;$A175,実績!$AK$6:$AK$505,"○")&gt;0,1,0))</f>
        <v>0</v>
      </c>
      <c r="CO175" s="39" t="n">
        <f aca="false">IF(CO$4=0,0,IF(COUNTIFS(実績!$W$6:$W$505,CO$3,実績!$AI$6:$AI$505,"&lt;="&amp;$A175,実績!$AJ$6:$AJ$505,"&gt;"&amp;$A175,実績!$AK$6:$AK$505,"○")&gt;0,1,0))</f>
        <v>0</v>
      </c>
      <c r="CP175" s="39" t="n">
        <f aca="false">IF(CP$4=0,0,IF(COUNTIFS(実績!$W$6:$W$505,CP$3,実績!$AI$6:$AI$505,"&lt;="&amp;$A175,実績!$AJ$6:$AJ$505,"&gt;"&amp;$A175,実績!$AK$6:$AK$505,"○")&gt;0,1,0))</f>
        <v>0</v>
      </c>
      <c r="CQ175" s="39" t="n">
        <f aca="false">IF(CQ$4=0,0,IF(COUNTIFS(実績!$W$6:$W$505,CQ$3,実績!$AI$6:$AI$505,"&lt;="&amp;$A175,実績!$AJ$6:$AJ$505,"&gt;"&amp;$A175,実績!$AK$6:$AK$505,"○")&gt;0,1,0))</f>
        <v>0</v>
      </c>
      <c r="CR175" s="39" t="n">
        <f aca="false">IF(CR$4=0,0,IF(COUNTIFS(実績!$W$6:$W$505,CR$3,実績!$AI$6:$AI$505,"&lt;="&amp;$A175,実績!$AJ$6:$AJ$505,"&gt;"&amp;$A175,実績!$AK$6:$AK$505,"○")&gt;0,1,0))</f>
        <v>0</v>
      </c>
      <c r="CS175" s="39" t="n">
        <f aca="false">IF(CS$4=0,0,IF(COUNTIFS(実績!$W$6:$W$505,CS$3,実績!$AI$6:$AI$505,"&lt;="&amp;$A175,実績!$AJ$6:$AJ$505,"&gt;"&amp;$A175,実績!$AK$6:$AK$505,"○")&gt;0,1,0))</f>
        <v>0</v>
      </c>
      <c r="CT175" s="39" t="n">
        <f aca="false">IF(CT$4=0,0,IF(COUNTIFS(実績!$W$6:$W$505,CT$3,実績!$AI$6:$AI$505,"&lt;="&amp;$A175,実績!$AJ$6:$AJ$505,"&gt;"&amp;$A175,実績!$AK$6:$AK$505,"○")&gt;0,1,0))</f>
        <v>0</v>
      </c>
      <c r="CU175" s="39" t="n">
        <f aca="false">IF(CU$4=0,0,IF(COUNTIFS(実績!$W$6:$W$505,CU$3,実績!$AI$6:$AI$505,"&lt;="&amp;$A175,実績!$AJ$6:$AJ$505,"&gt;"&amp;$A175,実績!$AK$6:$AK$505,"○")&gt;0,1,0))</f>
        <v>0</v>
      </c>
      <c r="CV175" s="39" t="n">
        <f aca="false">IF(CV$4=0,0,IF(COUNTIFS(実績!$W$6:$W$505,CV$3,実績!$AI$6:$AI$505,"&lt;="&amp;$A175,実績!$AJ$6:$AJ$505,"&gt;"&amp;$A175,実績!$AK$6:$AK$505,"○")&gt;0,1,0))</f>
        <v>0</v>
      </c>
      <c r="CW175" s="39" t="n">
        <f aca="false">IF(CW$4=0,0,IF(COUNTIFS(実績!$W$6:$W$505,CW$3,実績!$AI$6:$AI$505,"&lt;="&amp;$A175,実績!$AJ$6:$AJ$505,"&gt;"&amp;$A175,実績!$AK$6:$AK$505,"○")&gt;0,1,0))</f>
        <v>0</v>
      </c>
      <c r="CX175" s="39" t="n">
        <f aca="false">IF(CX$4=0,0,IF(COUNTIFS(実績!$W$6:$W$505,CX$3,実績!$AI$6:$AI$505,"&lt;="&amp;$A175,実績!$AJ$6:$AJ$505,"&gt;"&amp;$A175,実績!$AK$6:$AK$505,"○")&gt;0,1,0))</f>
        <v>0</v>
      </c>
      <c r="CY175" s="39" t="n">
        <f aca="false">IF(CY$4=0,0,IF(COUNTIFS(実績!$W$6:$W$505,CY$3,実績!$AI$6:$AI$505,"&lt;="&amp;$A175,実績!$AJ$6:$AJ$505,"&gt;"&amp;$A175,実績!$AK$6:$AK$505,"○")&gt;0,1,0))</f>
        <v>0</v>
      </c>
      <c r="CZ175" s="39" t="n">
        <f aca="false">IF(CZ$4=0,0,IF(COUNTIFS(実績!$W$6:$W$505,CZ$3,実績!$AI$6:$AI$505,"&lt;="&amp;$A175,実績!$AJ$6:$AJ$505,"&gt;"&amp;$A175,実績!$AK$6:$AK$505,"○")&gt;0,1,0))</f>
        <v>0</v>
      </c>
      <c r="DA175" s="39" t="n">
        <f aca="false">IF(DA$4=0,0,IF(COUNTIFS(実績!$W$6:$W$505,DA$3,実績!$AI$6:$AI$505,"&lt;="&amp;$A175,実績!$AJ$6:$AJ$505,"&gt;"&amp;$A175,実績!$AK$6:$AK$505,"○")&gt;0,1,0))</f>
        <v>0</v>
      </c>
      <c r="DB175" s="39" t="n">
        <f aca="false">IF(DB$4=0,0,IF(COUNTIFS(実績!$W$6:$W$505,DB$3,実績!$AI$6:$AI$505,"&lt;="&amp;$A175,実績!$AJ$6:$AJ$505,"&gt;"&amp;$A175,実績!$AK$6:$AK$505,"○")&gt;0,1,0))</f>
        <v>0</v>
      </c>
      <c r="DC175" s="39" t="n">
        <f aca="false">IF(DC$4=0,0,IF(COUNTIFS(実績!$W$6:$W$505,DC$3,実績!$AI$6:$AI$505,"&lt;="&amp;$A175,実績!$AJ$6:$AJ$505,"&gt;"&amp;$A175,実績!$AK$6:$AK$505,"○")&gt;0,1,0))</f>
        <v>0</v>
      </c>
      <c r="DD175" s="39" t="n">
        <f aca="false">IF(DD$4=0,0,IF(COUNTIFS(実績!$W$6:$W$505,DD$3,実績!$AI$6:$AI$505,"&lt;="&amp;$A175,実績!$AJ$6:$AJ$505,"&gt;"&amp;$A175,実績!$AK$6:$AK$505,"○")&gt;0,1,0))</f>
        <v>0</v>
      </c>
      <c r="DE175" s="39" t="n">
        <f aca="false">IF(DE$4=0,0,IF(COUNTIFS(実績!$W$6:$W$505,DE$3,実績!$AI$6:$AI$505,"&lt;="&amp;$A175,実績!$AJ$6:$AJ$505,"&gt;"&amp;$A175,実績!$AK$6:$AK$505,"○")&gt;0,1,0))</f>
        <v>0</v>
      </c>
      <c r="DF175" s="39" t="n">
        <f aca="false">IF(DF$4=0,0,IF(COUNTIFS(実績!$W$6:$W$505,DF$3,実績!$AI$6:$AI$505,"&lt;="&amp;$A175,実績!$AJ$6:$AJ$505,"&gt;"&amp;$A175,実績!$AK$6:$AK$505,"○")&gt;0,1,0))</f>
        <v>0</v>
      </c>
      <c r="DG175" s="39" t="n">
        <f aca="false">IF(DG$4=0,0,IF(COUNTIFS(実績!$W$6:$W$505,DG$3,実績!$AI$6:$AI$505,"&lt;="&amp;$A175,実績!$AJ$6:$AJ$505,"&gt;"&amp;$A175,実績!$AK$6:$AK$505,"○")&gt;0,1,0))</f>
        <v>0</v>
      </c>
      <c r="DH175" s="39" t="n">
        <f aca="false">IF(DH$4=0,0,IF(COUNTIFS(実績!$W$6:$W$505,DH$3,実績!$AI$6:$AI$505,"&lt;="&amp;$A175,実績!$AJ$6:$AJ$505,"&gt;"&amp;$A175,実績!$AK$6:$AK$505,"○")&gt;0,1,0))</f>
        <v>0</v>
      </c>
      <c r="DI175" s="39" t="n">
        <f aca="false">IF(DI$4=0,0,IF(COUNTIFS(実績!$W$6:$W$505,DI$3,実績!$AI$6:$AI$505,"&lt;="&amp;$A175,実績!$AJ$6:$AJ$505,"&gt;"&amp;$A175,実績!$AK$6:$AK$505,"○")&gt;0,1,0))</f>
        <v>0</v>
      </c>
      <c r="DJ175" s="39" t="n">
        <f aca="false">IF(DJ$4=0,0,IF(COUNTIFS(実績!$W$6:$W$505,DJ$3,実績!$AI$6:$AI$505,"&lt;="&amp;$A175,実績!$AJ$6:$AJ$505,"&gt;"&amp;$A175,実績!$AK$6:$AK$505,"○")&gt;0,1,0))</f>
        <v>0</v>
      </c>
      <c r="DK175" s="39" t="n">
        <f aca="false">IF(DK$4=0,0,IF(COUNTIFS(実績!$W$6:$W$505,DK$3,実績!$AI$6:$AI$505,"&lt;="&amp;$A175,実績!$AJ$6:$AJ$505,"&gt;"&amp;$A175,実績!$AK$6:$AK$505,"○")&gt;0,1,0))</f>
        <v>0</v>
      </c>
      <c r="DL175" s="39" t="n">
        <f aca="false">IF(DL$4=0,0,IF(COUNTIFS(実績!$W$6:$W$505,DL$3,実績!$AI$6:$AI$505,"&lt;="&amp;$A175,実績!$AJ$6:$AJ$505,"&gt;"&amp;$A175,実績!$AK$6:$AK$505,"○")&gt;0,1,0))</f>
        <v>0</v>
      </c>
      <c r="DM175" s="39" t="n">
        <f aca="false">IF(DM$4=0,0,IF(COUNTIFS(実績!$W$6:$W$505,DM$3,実績!$AI$6:$AI$505,"&lt;="&amp;$A175,実績!$AJ$6:$AJ$505,"&gt;"&amp;$A175,実績!$AK$6:$AK$505,"○")&gt;0,1,0))</f>
        <v>0</v>
      </c>
      <c r="DN175" s="39" t="n">
        <f aca="false">IF(DN$4=0,0,IF(COUNTIFS(実績!$W$6:$W$505,DN$3,実績!$AI$6:$AI$505,"&lt;="&amp;$A175,実績!$AJ$6:$AJ$505,"&gt;"&amp;$A175,実績!$AK$6:$AK$505,"○")&gt;0,1,0))</f>
        <v>0</v>
      </c>
      <c r="DO175" s="39" t="n">
        <f aca="false">IF(DO$4=0,0,IF(COUNTIFS(実績!$W$6:$W$505,DO$3,実績!$AI$6:$AI$505,"&lt;="&amp;$A175,実績!$AJ$6:$AJ$505,"&gt;"&amp;$A175,実績!$AK$6:$AK$505,"○")&gt;0,1,0))</f>
        <v>0</v>
      </c>
      <c r="DP175" s="39" t="n">
        <f aca="false">IF(DP$4=0,0,IF(COUNTIFS(実績!$W$6:$W$505,DP$3,実績!$AI$6:$AI$505,"&lt;="&amp;$A175,実績!$AJ$6:$AJ$505,"&gt;"&amp;$A175,実績!$AK$6:$AK$505,"○")&gt;0,1,0))</f>
        <v>0</v>
      </c>
      <c r="DQ175" s="39" t="n">
        <f aca="false">IF(DQ$4=0,0,IF(COUNTIFS(実績!$W$6:$W$505,DQ$3,実績!$AI$6:$AI$505,"&lt;="&amp;$A175,実績!$AJ$6:$AJ$505,"&gt;"&amp;$A175,実績!$AK$6:$AK$505,"○")&gt;0,1,0))</f>
        <v>0</v>
      </c>
      <c r="DR175" s="39" t="n">
        <f aca="false">IF(DR$4=0,0,IF(COUNTIFS(実績!$W$6:$W$505,DR$3,実績!$AI$6:$AI$505,"&lt;="&amp;$A175,実績!$AJ$6:$AJ$505,"&gt;"&amp;$A175,実績!$AK$6:$AK$505,"○")&gt;0,1,0))</f>
        <v>0</v>
      </c>
      <c r="DS175" s="39" t="n">
        <f aca="false">SUM(C175:DR175)</f>
        <v>0</v>
      </c>
      <c r="DT175" s="39" t="n">
        <f aca="false">SUMPRODUCT((実績!$C$6:$C$505="○")*ISNUMBER(実績!$AM$6:$AM$505)*(実績!$AM$6:$AM$505&lt;=$A175)*(実績!$AN$6:$AN$505&gt;$A175))</f>
        <v>0</v>
      </c>
      <c r="DU175" s="39" t="n">
        <f aca="false">SUMIF($C$2:$DR$2,"製鉄曳船",C175:DR175)</f>
        <v>0</v>
      </c>
      <c r="DV175" s="39" t="n">
        <f aca="false">SUMIF($C$2:$DR$2,"西日本海運",C175:DR175)</f>
        <v>0</v>
      </c>
    </row>
    <row r="176" customFormat="false" ht="15" hidden="false" customHeight="false" outlineLevel="0" collapsed="false">
      <c r="A176" s="0" t="n">
        <v>850</v>
      </c>
      <c r="B176" s="38" t="n">
        <f aca="false">A176/1440</f>
        <v>0.590277777777778</v>
      </c>
      <c r="C176" s="39" t="n">
        <f aca="false">IF(C$4=0,0,IF(COUNTIFS(実績!$W$6:$W$505,C$3,実績!$AI$6:$AI$505,"&lt;="&amp;$A176,実績!$AJ$6:$AJ$505,"&gt;"&amp;$A176,実績!$AK$6:$AK$505,"○")&gt;0,1,0))</f>
        <v>0</v>
      </c>
      <c r="D176" s="39" t="n">
        <f aca="false">IF(D$4=0,0,IF(COUNTIFS(実績!$W$6:$W$505,D$3,実績!$AI$6:$AI$505,"&lt;="&amp;$A176,実績!$AJ$6:$AJ$505,"&gt;"&amp;$A176,実績!$AK$6:$AK$505,"○")&gt;0,1,0))</f>
        <v>0</v>
      </c>
      <c r="E176" s="39" t="n">
        <f aca="false">IF(E$4=0,0,IF(COUNTIFS(実績!$W$6:$W$505,E$3,実績!$AI$6:$AI$505,"&lt;="&amp;$A176,実績!$AJ$6:$AJ$505,"&gt;"&amp;$A176,実績!$AK$6:$AK$505,"○")&gt;0,1,0))</f>
        <v>0</v>
      </c>
      <c r="F176" s="39" t="n">
        <f aca="false">IF(F$4=0,0,IF(COUNTIFS(実績!$W$6:$W$505,F$3,実績!$AI$6:$AI$505,"&lt;="&amp;$A176,実績!$AJ$6:$AJ$505,"&gt;"&amp;$A176,実績!$AK$6:$AK$505,"○")&gt;0,1,0))</f>
        <v>0</v>
      </c>
      <c r="G176" s="39" t="n">
        <f aca="false">IF(G$4=0,0,IF(COUNTIFS(実績!$W$6:$W$505,G$3,実績!$AI$6:$AI$505,"&lt;="&amp;$A176,実績!$AJ$6:$AJ$505,"&gt;"&amp;$A176,実績!$AK$6:$AK$505,"○")&gt;0,1,0))</f>
        <v>0</v>
      </c>
      <c r="H176" s="39" t="n">
        <f aca="false">IF(H$4=0,0,IF(COUNTIFS(実績!$W$6:$W$505,H$3,実績!$AI$6:$AI$505,"&lt;="&amp;$A176,実績!$AJ$6:$AJ$505,"&gt;"&amp;$A176,実績!$AK$6:$AK$505,"○")&gt;0,1,0))</f>
        <v>0</v>
      </c>
      <c r="I176" s="39" t="n">
        <f aca="false">IF(I$4=0,0,IF(COUNTIFS(実績!$W$6:$W$505,I$3,実績!$AI$6:$AI$505,"&lt;="&amp;$A176,実績!$AJ$6:$AJ$505,"&gt;"&amp;$A176,実績!$AK$6:$AK$505,"○")&gt;0,1,0))</f>
        <v>0</v>
      </c>
      <c r="J176" s="39" t="n">
        <f aca="false">IF(J$4=0,0,IF(COUNTIFS(実績!$W$6:$W$505,J$3,実績!$AI$6:$AI$505,"&lt;="&amp;$A176,実績!$AJ$6:$AJ$505,"&gt;"&amp;$A176,実績!$AK$6:$AK$505,"○")&gt;0,1,0))</f>
        <v>0</v>
      </c>
      <c r="K176" s="39" t="n">
        <f aca="false">IF(K$4=0,0,IF(COUNTIFS(実績!$W$6:$W$505,K$3,実績!$AI$6:$AI$505,"&lt;="&amp;$A176,実績!$AJ$6:$AJ$505,"&gt;"&amp;$A176,実績!$AK$6:$AK$505,"○")&gt;0,1,0))</f>
        <v>0</v>
      </c>
      <c r="L176" s="39" t="n">
        <f aca="false">IF(L$4=0,0,IF(COUNTIFS(実績!$W$6:$W$505,L$3,実績!$AI$6:$AI$505,"&lt;="&amp;$A176,実績!$AJ$6:$AJ$505,"&gt;"&amp;$A176,実績!$AK$6:$AK$505,"○")&gt;0,1,0))</f>
        <v>0</v>
      </c>
      <c r="M176" s="39" t="n">
        <f aca="false">IF(M$4=0,0,IF(COUNTIFS(実績!$W$6:$W$505,M$3,実績!$AI$6:$AI$505,"&lt;="&amp;$A176,実績!$AJ$6:$AJ$505,"&gt;"&amp;$A176,実績!$AK$6:$AK$505,"○")&gt;0,1,0))</f>
        <v>0</v>
      </c>
      <c r="N176" s="39" t="n">
        <f aca="false">IF(N$4=0,0,IF(COUNTIFS(実績!$W$6:$W$505,N$3,実績!$AI$6:$AI$505,"&lt;="&amp;$A176,実績!$AJ$6:$AJ$505,"&gt;"&amp;$A176,実績!$AK$6:$AK$505,"○")&gt;0,1,0))</f>
        <v>0</v>
      </c>
      <c r="O176" s="39" t="n">
        <f aca="false">IF(O$4=0,0,IF(COUNTIFS(実績!$W$6:$W$505,O$3,実績!$AI$6:$AI$505,"&lt;="&amp;$A176,実績!$AJ$6:$AJ$505,"&gt;"&amp;$A176,実績!$AK$6:$AK$505,"○")&gt;0,1,0))</f>
        <v>0</v>
      </c>
      <c r="P176" s="39" t="n">
        <f aca="false">IF(P$4=0,0,IF(COUNTIFS(実績!$W$6:$W$505,P$3,実績!$AI$6:$AI$505,"&lt;="&amp;$A176,実績!$AJ$6:$AJ$505,"&gt;"&amp;$A176,実績!$AK$6:$AK$505,"○")&gt;0,1,0))</f>
        <v>0</v>
      </c>
      <c r="Q176" s="39" t="n">
        <f aca="false">IF(Q$4=0,0,IF(COUNTIFS(実績!$W$6:$W$505,Q$3,実績!$AI$6:$AI$505,"&lt;="&amp;$A176,実績!$AJ$6:$AJ$505,"&gt;"&amp;$A176,実績!$AK$6:$AK$505,"○")&gt;0,1,0))</f>
        <v>0</v>
      </c>
      <c r="R176" s="39" t="n">
        <f aca="false">IF(R$4=0,0,IF(COUNTIFS(実績!$W$6:$W$505,R$3,実績!$AI$6:$AI$505,"&lt;="&amp;$A176,実績!$AJ$6:$AJ$505,"&gt;"&amp;$A176,実績!$AK$6:$AK$505,"○")&gt;0,1,0))</f>
        <v>0</v>
      </c>
      <c r="S176" s="39" t="n">
        <f aca="false">IF(S$4=0,0,IF(COUNTIFS(実績!$W$6:$W$505,S$3,実績!$AI$6:$AI$505,"&lt;="&amp;$A176,実績!$AJ$6:$AJ$505,"&gt;"&amp;$A176,実績!$AK$6:$AK$505,"○")&gt;0,1,0))</f>
        <v>0</v>
      </c>
      <c r="T176" s="39" t="n">
        <f aca="false">IF(T$4=0,0,IF(COUNTIFS(実績!$W$6:$W$505,T$3,実績!$AI$6:$AI$505,"&lt;="&amp;$A176,実績!$AJ$6:$AJ$505,"&gt;"&amp;$A176,実績!$AK$6:$AK$505,"○")&gt;0,1,0))</f>
        <v>0</v>
      </c>
      <c r="U176" s="39" t="n">
        <f aca="false">IF(U$4=0,0,IF(COUNTIFS(実績!$W$6:$W$505,U$3,実績!$AI$6:$AI$505,"&lt;="&amp;$A176,実績!$AJ$6:$AJ$505,"&gt;"&amp;$A176,実績!$AK$6:$AK$505,"○")&gt;0,1,0))</f>
        <v>0</v>
      </c>
      <c r="V176" s="39" t="n">
        <f aca="false">IF(V$4=0,0,IF(COUNTIFS(実績!$W$6:$W$505,V$3,実績!$AI$6:$AI$505,"&lt;="&amp;$A176,実績!$AJ$6:$AJ$505,"&gt;"&amp;$A176,実績!$AK$6:$AK$505,"○")&gt;0,1,0))</f>
        <v>0</v>
      </c>
      <c r="W176" s="39" t="n">
        <f aca="false">IF(W$4=0,0,IF(COUNTIFS(実績!$W$6:$W$505,W$3,実績!$AI$6:$AI$505,"&lt;="&amp;$A176,実績!$AJ$6:$AJ$505,"&gt;"&amp;$A176,実績!$AK$6:$AK$505,"○")&gt;0,1,0))</f>
        <v>0</v>
      </c>
      <c r="X176" s="39" t="n">
        <f aca="false">IF(X$4=0,0,IF(COUNTIFS(実績!$W$6:$W$505,X$3,実績!$AI$6:$AI$505,"&lt;="&amp;$A176,実績!$AJ$6:$AJ$505,"&gt;"&amp;$A176,実績!$AK$6:$AK$505,"○")&gt;0,1,0))</f>
        <v>0</v>
      </c>
      <c r="Y176" s="39" t="n">
        <f aca="false">IF(Y$4=0,0,IF(COUNTIFS(実績!$W$6:$W$505,Y$3,実績!$AI$6:$AI$505,"&lt;="&amp;$A176,実績!$AJ$6:$AJ$505,"&gt;"&amp;$A176,実績!$AK$6:$AK$505,"○")&gt;0,1,0))</f>
        <v>0</v>
      </c>
      <c r="Z176" s="39" t="n">
        <f aca="false">IF(Z$4=0,0,IF(COUNTIFS(実績!$W$6:$W$505,Z$3,実績!$AI$6:$AI$505,"&lt;="&amp;$A176,実績!$AJ$6:$AJ$505,"&gt;"&amp;$A176,実績!$AK$6:$AK$505,"○")&gt;0,1,0))</f>
        <v>0</v>
      </c>
      <c r="AA176" s="39" t="n">
        <f aca="false">IF(AA$4=0,0,IF(COUNTIFS(実績!$W$6:$W$505,AA$3,実績!$AI$6:$AI$505,"&lt;="&amp;$A176,実績!$AJ$6:$AJ$505,"&gt;"&amp;$A176,実績!$AK$6:$AK$505,"○")&gt;0,1,0))</f>
        <v>0</v>
      </c>
      <c r="AB176" s="39" t="n">
        <f aca="false">IF(AB$4=0,0,IF(COUNTIFS(実績!$W$6:$W$505,AB$3,実績!$AI$6:$AI$505,"&lt;="&amp;$A176,実績!$AJ$6:$AJ$505,"&gt;"&amp;$A176,実績!$AK$6:$AK$505,"○")&gt;0,1,0))</f>
        <v>0</v>
      </c>
      <c r="AC176" s="39" t="n">
        <f aca="false">IF(AC$4=0,0,IF(COUNTIFS(実績!$W$6:$W$505,AC$3,実績!$AI$6:$AI$505,"&lt;="&amp;$A176,実績!$AJ$6:$AJ$505,"&gt;"&amp;$A176,実績!$AK$6:$AK$505,"○")&gt;0,1,0))</f>
        <v>0</v>
      </c>
      <c r="AD176" s="39" t="n">
        <f aca="false">IF(AD$4=0,0,IF(COUNTIFS(実績!$W$6:$W$505,AD$3,実績!$AI$6:$AI$505,"&lt;="&amp;$A176,実績!$AJ$6:$AJ$505,"&gt;"&amp;$A176,実績!$AK$6:$AK$505,"○")&gt;0,1,0))</f>
        <v>0</v>
      </c>
      <c r="AE176" s="39" t="n">
        <f aca="false">IF(AE$4=0,0,IF(COUNTIFS(実績!$W$6:$W$505,AE$3,実績!$AI$6:$AI$505,"&lt;="&amp;$A176,実績!$AJ$6:$AJ$505,"&gt;"&amp;$A176,実績!$AK$6:$AK$505,"○")&gt;0,1,0))</f>
        <v>0</v>
      </c>
      <c r="AF176" s="39" t="n">
        <f aca="false">IF(AF$4=0,0,IF(COUNTIFS(実績!$W$6:$W$505,AF$3,実績!$AI$6:$AI$505,"&lt;="&amp;$A176,実績!$AJ$6:$AJ$505,"&gt;"&amp;$A176,実績!$AK$6:$AK$505,"○")&gt;0,1,0))</f>
        <v>0</v>
      </c>
      <c r="AG176" s="39" t="n">
        <f aca="false">IF(AG$4=0,0,IF(COUNTIFS(実績!$W$6:$W$505,AG$3,実績!$AI$6:$AI$505,"&lt;="&amp;$A176,実績!$AJ$6:$AJ$505,"&gt;"&amp;$A176,実績!$AK$6:$AK$505,"○")&gt;0,1,0))</f>
        <v>0</v>
      </c>
      <c r="AH176" s="39" t="n">
        <f aca="false">IF(AH$4=0,0,IF(COUNTIFS(実績!$W$6:$W$505,AH$3,実績!$AI$6:$AI$505,"&lt;="&amp;$A176,実績!$AJ$6:$AJ$505,"&gt;"&amp;$A176,実績!$AK$6:$AK$505,"○")&gt;0,1,0))</f>
        <v>0</v>
      </c>
      <c r="AI176" s="39" t="n">
        <f aca="false">IF(AI$4=0,0,IF(COUNTIFS(実績!$W$6:$W$505,AI$3,実績!$AI$6:$AI$505,"&lt;="&amp;$A176,実績!$AJ$6:$AJ$505,"&gt;"&amp;$A176,実績!$AK$6:$AK$505,"○")&gt;0,1,0))</f>
        <v>0</v>
      </c>
      <c r="AJ176" s="39" t="n">
        <f aca="false">IF(AJ$4=0,0,IF(COUNTIFS(実績!$W$6:$W$505,AJ$3,実績!$AI$6:$AI$505,"&lt;="&amp;$A176,実績!$AJ$6:$AJ$505,"&gt;"&amp;$A176,実績!$AK$6:$AK$505,"○")&gt;0,1,0))</f>
        <v>0</v>
      </c>
      <c r="AK176" s="39" t="n">
        <f aca="false">IF(AK$4=0,0,IF(COUNTIFS(実績!$W$6:$W$505,AK$3,実績!$AI$6:$AI$505,"&lt;="&amp;$A176,実績!$AJ$6:$AJ$505,"&gt;"&amp;$A176,実績!$AK$6:$AK$505,"○")&gt;0,1,0))</f>
        <v>0</v>
      </c>
      <c r="AL176" s="39" t="n">
        <f aca="false">IF(AL$4=0,0,IF(COUNTIFS(実績!$W$6:$W$505,AL$3,実績!$AI$6:$AI$505,"&lt;="&amp;$A176,実績!$AJ$6:$AJ$505,"&gt;"&amp;$A176,実績!$AK$6:$AK$505,"○")&gt;0,1,0))</f>
        <v>0</v>
      </c>
      <c r="AM176" s="39" t="n">
        <f aca="false">IF(AM$4=0,0,IF(COUNTIFS(実績!$W$6:$W$505,AM$3,実績!$AI$6:$AI$505,"&lt;="&amp;$A176,実績!$AJ$6:$AJ$505,"&gt;"&amp;$A176,実績!$AK$6:$AK$505,"○")&gt;0,1,0))</f>
        <v>0</v>
      </c>
      <c r="AN176" s="39" t="n">
        <f aca="false">IF(AN$4=0,0,IF(COUNTIFS(実績!$W$6:$W$505,AN$3,実績!$AI$6:$AI$505,"&lt;="&amp;$A176,実績!$AJ$6:$AJ$505,"&gt;"&amp;$A176,実績!$AK$6:$AK$505,"○")&gt;0,1,0))</f>
        <v>0</v>
      </c>
      <c r="AO176" s="39" t="n">
        <f aca="false">IF(AO$4=0,0,IF(COUNTIFS(実績!$W$6:$W$505,AO$3,実績!$AI$6:$AI$505,"&lt;="&amp;$A176,実績!$AJ$6:$AJ$505,"&gt;"&amp;$A176,実績!$AK$6:$AK$505,"○")&gt;0,1,0))</f>
        <v>0</v>
      </c>
      <c r="AP176" s="39" t="n">
        <f aca="false">IF(AP$4=0,0,IF(COUNTIFS(実績!$W$6:$W$505,AP$3,実績!$AI$6:$AI$505,"&lt;="&amp;$A176,実績!$AJ$6:$AJ$505,"&gt;"&amp;$A176,実績!$AK$6:$AK$505,"○")&gt;0,1,0))</f>
        <v>0</v>
      </c>
      <c r="AQ176" s="39" t="n">
        <f aca="false">IF(AQ$4=0,0,IF(COUNTIFS(実績!$W$6:$W$505,AQ$3,実績!$AI$6:$AI$505,"&lt;="&amp;$A176,実績!$AJ$6:$AJ$505,"&gt;"&amp;$A176,実績!$AK$6:$AK$505,"○")&gt;0,1,0))</f>
        <v>0</v>
      </c>
      <c r="AR176" s="39" t="n">
        <f aca="false">IF(AR$4=0,0,IF(COUNTIFS(実績!$W$6:$W$505,AR$3,実績!$AI$6:$AI$505,"&lt;="&amp;$A176,実績!$AJ$6:$AJ$505,"&gt;"&amp;$A176,実績!$AK$6:$AK$505,"○")&gt;0,1,0))</f>
        <v>0</v>
      </c>
      <c r="AS176" s="39" t="n">
        <f aca="false">IF(AS$4=0,0,IF(COUNTIFS(実績!$W$6:$W$505,AS$3,実績!$AI$6:$AI$505,"&lt;="&amp;$A176,実績!$AJ$6:$AJ$505,"&gt;"&amp;$A176,実績!$AK$6:$AK$505,"○")&gt;0,1,0))</f>
        <v>0</v>
      </c>
      <c r="AT176" s="39" t="n">
        <f aca="false">IF(AT$4=0,0,IF(COUNTIFS(実績!$W$6:$W$505,AT$3,実績!$AI$6:$AI$505,"&lt;="&amp;$A176,実績!$AJ$6:$AJ$505,"&gt;"&amp;$A176,実績!$AK$6:$AK$505,"○")&gt;0,1,0))</f>
        <v>0</v>
      </c>
      <c r="AU176" s="39" t="n">
        <f aca="false">IF(AU$4=0,0,IF(COUNTIFS(実績!$W$6:$W$505,AU$3,実績!$AI$6:$AI$505,"&lt;="&amp;$A176,実績!$AJ$6:$AJ$505,"&gt;"&amp;$A176,実績!$AK$6:$AK$505,"○")&gt;0,1,0))</f>
        <v>0</v>
      </c>
      <c r="AV176" s="39" t="n">
        <f aca="false">IF(AV$4=0,0,IF(COUNTIFS(実績!$W$6:$W$505,AV$3,実績!$AI$6:$AI$505,"&lt;="&amp;$A176,実績!$AJ$6:$AJ$505,"&gt;"&amp;$A176,実績!$AK$6:$AK$505,"○")&gt;0,1,0))</f>
        <v>0</v>
      </c>
      <c r="AW176" s="39" t="n">
        <f aca="false">IF(AW$4=0,0,IF(COUNTIFS(実績!$W$6:$W$505,AW$3,実績!$AI$6:$AI$505,"&lt;="&amp;$A176,実績!$AJ$6:$AJ$505,"&gt;"&amp;$A176,実績!$AK$6:$AK$505,"○")&gt;0,1,0))</f>
        <v>0</v>
      </c>
      <c r="AX176" s="39" t="n">
        <f aca="false">IF(AX$4=0,0,IF(COUNTIFS(実績!$W$6:$W$505,AX$3,実績!$AI$6:$AI$505,"&lt;="&amp;$A176,実績!$AJ$6:$AJ$505,"&gt;"&amp;$A176,実績!$AK$6:$AK$505,"○")&gt;0,1,0))</f>
        <v>0</v>
      </c>
      <c r="AY176" s="39" t="n">
        <f aca="false">IF(AY$4=0,0,IF(COUNTIFS(実績!$W$6:$W$505,AY$3,実績!$AI$6:$AI$505,"&lt;="&amp;$A176,実績!$AJ$6:$AJ$505,"&gt;"&amp;$A176,実績!$AK$6:$AK$505,"○")&gt;0,1,0))</f>
        <v>0</v>
      </c>
      <c r="AZ176" s="39" t="n">
        <f aca="false">IF(AZ$4=0,0,IF(COUNTIFS(実績!$W$6:$W$505,AZ$3,実績!$AI$6:$AI$505,"&lt;="&amp;$A176,実績!$AJ$6:$AJ$505,"&gt;"&amp;$A176,実績!$AK$6:$AK$505,"○")&gt;0,1,0))</f>
        <v>0</v>
      </c>
      <c r="BA176" s="39" t="n">
        <f aca="false">IF(BA$4=0,0,IF(COUNTIFS(実績!$W$6:$W$505,BA$3,実績!$AI$6:$AI$505,"&lt;="&amp;$A176,実績!$AJ$6:$AJ$505,"&gt;"&amp;$A176,実績!$AK$6:$AK$505,"○")&gt;0,1,0))</f>
        <v>0</v>
      </c>
      <c r="BB176" s="39" t="n">
        <f aca="false">IF(BB$4=0,0,IF(COUNTIFS(実績!$W$6:$W$505,BB$3,実績!$AI$6:$AI$505,"&lt;="&amp;$A176,実績!$AJ$6:$AJ$505,"&gt;"&amp;$A176,実績!$AK$6:$AK$505,"○")&gt;0,1,0))</f>
        <v>0</v>
      </c>
      <c r="BC176" s="39" t="n">
        <f aca="false">IF(BC$4=0,0,IF(COUNTIFS(実績!$W$6:$W$505,BC$3,実績!$AI$6:$AI$505,"&lt;="&amp;$A176,実績!$AJ$6:$AJ$505,"&gt;"&amp;$A176,実績!$AK$6:$AK$505,"○")&gt;0,1,0))</f>
        <v>0</v>
      </c>
      <c r="BD176" s="39" t="n">
        <f aca="false">IF(BD$4=0,0,IF(COUNTIFS(実績!$W$6:$W$505,BD$3,実績!$AI$6:$AI$505,"&lt;="&amp;$A176,実績!$AJ$6:$AJ$505,"&gt;"&amp;$A176,実績!$AK$6:$AK$505,"○")&gt;0,1,0))</f>
        <v>0</v>
      </c>
      <c r="BE176" s="39" t="n">
        <f aca="false">IF(BE$4=0,0,IF(COUNTIFS(実績!$W$6:$W$505,BE$3,実績!$AI$6:$AI$505,"&lt;="&amp;$A176,実績!$AJ$6:$AJ$505,"&gt;"&amp;$A176,実績!$AK$6:$AK$505,"○")&gt;0,1,0))</f>
        <v>0</v>
      </c>
      <c r="BF176" s="39" t="n">
        <f aca="false">IF(BF$4=0,0,IF(COUNTIFS(実績!$W$6:$W$505,BF$3,実績!$AI$6:$AI$505,"&lt;="&amp;$A176,実績!$AJ$6:$AJ$505,"&gt;"&amp;$A176,実績!$AK$6:$AK$505,"○")&gt;0,1,0))</f>
        <v>0</v>
      </c>
      <c r="BG176" s="39" t="n">
        <f aca="false">IF(BG$4=0,0,IF(COUNTIFS(実績!$W$6:$W$505,BG$3,実績!$AI$6:$AI$505,"&lt;="&amp;$A176,実績!$AJ$6:$AJ$505,"&gt;"&amp;$A176,実績!$AK$6:$AK$505,"○")&gt;0,1,0))</f>
        <v>0</v>
      </c>
      <c r="BH176" s="39" t="n">
        <f aca="false">IF(BH$4=0,0,IF(COUNTIFS(実績!$W$6:$W$505,BH$3,実績!$AI$6:$AI$505,"&lt;="&amp;$A176,実績!$AJ$6:$AJ$505,"&gt;"&amp;$A176,実績!$AK$6:$AK$505,"○")&gt;0,1,0))</f>
        <v>0</v>
      </c>
      <c r="BI176" s="39" t="n">
        <f aca="false">IF(BI$4=0,0,IF(COUNTIFS(実績!$W$6:$W$505,BI$3,実績!$AI$6:$AI$505,"&lt;="&amp;$A176,実績!$AJ$6:$AJ$505,"&gt;"&amp;$A176,実績!$AK$6:$AK$505,"○")&gt;0,1,0))</f>
        <v>0</v>
      </c>
      <c r="BJ176" s="39" t="n">
        <f aca="false">IF(BJ$4=0,0,IF(COUNTIFS(実績!$W$6:$W$505,BJ$3,実績!$AI$6:$AI$505,"&lt;="&amp;$A176,実績!$AJ$6:$AJ$505,"&gt;"&amp;$A176,実績!$AK$6:$AK$505,"○")&gt;0,1,0))</f>
        <v>0</v>
      </c>
      <c r="BK176" s="39" t="n">
        <f aca="false">IF(BK$4=0,0,IF(COUNTIFS(実績!$W$6:$W$505,BK$3,実績!$AI$6:$AI$505,"&lt;="&amp;$A176,実績!$AJ$6:$AJ$505,"&gt;"&amp;$A176,実績!$AK$6:$AK$505,"○")&gt;0,1,0))</f>
        <v>0</v>
      </c>
      <c r="BL176" s="39" t="n">
        <f aca="false">IF(BL$4=0,0,IF(COUNTIFS(実績!$W$6:$W$505,BL$3,実績!$AI$6:$AI$505,"&lt;="&amp;$A176,実績!$AJ$6:$AJ$505,"&gt;"&amp;$A176,実績!$AK$6:$AK$505,"○")&gt;0,1,0))</f>
        <v>0</v>
      </c>
      <c r="BM176" s="39" t="n">
        <f aca="false">IF(BM$4=0,0,IF(COUNTIFS(実績!$W$6:$W$505,BM$3,実績!$AI$6:$AI$505,"&lt;="&amp;$A176,実績!$AJ$6:$AJ$505,"&gt;"&amp;$A176,実績!$AK$6:$AK$505,"○")&gt;0,1,0))</f>
        <v>0</v>
      </c>
      <c r="BN176" s="39" t="n">
        <f aca="false">IF(BN$4=0,0,IF(COUNTIFS(実績!$W$6:$W$505,BN$3,実績!$AI$6:$AI$505,"&lt;="&amp;$A176,実績!$AJ$6:$AJ$505,"&gt;"&amp;$A176,実績!$AK$6:$AK$505,"○")&gt;0,1,0))</f>
        <v>0</v>
      </c>
      <c r="BO176" s="39" t="n">
        <f aca="false">IF(BO$4=0,0,IF(COUNTIFS(実績!$W$6:$W$505,BO$3,実績!$AI$6:$AI$505,"&lt;="&amp;$A176,実績!$AJ$6:$AJ$505,"&gt;"&amp;$A176,実績!$AK$6:$AK$505,"○")&gt;0,1,0))</f>
        <v>0</v>
      </c>
      <c r="BP176" s="39" t="n">
        <f aca="false">IF(BP$4=0,0,IF(COUNTIFS(実績!$W$6:$W$505,BP$3,実績!$AI$6:$AI$505,"&lt;="&amp;$A176,実績!$AJ$6:$AJ$505,"&gt;"&amp;$A176,実績!$AK$6:$AK$505,"○")&gt;0,1,0))</f>
        <v>0</v>
      </c>
      <c r="BQ176" s="39" t="n">
        <f aca="false">IF(BQ$4=0,0,IF(COUNTIFS(実績!$W$6:$W$505,BQ$3,実績!$AI$6:$AI$505,"&lt;="&amp;$A176,実績!$AJ$6:$AJ$505,"&gt;"&amp;$A176,実績!$AK$6:$AK$505,"○")&gt;0,1,0))</f>
        <v>0</v>
      </c>
      <c r="BR176" s="39" t="n">
        <f aca="false">IF(BR$4=0,0,IF(COUNTIFS(実績!$W$6:$W$505,BR$3,実績!$AI$6:$AI$505,"&lt;="&amp;$A176,実績!$AJ$6:$AJ$505,"&gt;"&amp;$A176,実績!$AK$6:$AK$505,"○")&gt;0,1,0))</f>
        <v>0</v>
      </c>
      <c r="BS176" s="39" t="n">
        <f aca="false">IF(BS$4=0,0,IF(COUNTIFS(実績!$W$6:$W$505,BS$3,実績!$AI$6:$AI$505,"&lt;="&amp;$A176,実績!$AJ$6:$AJ$505,"&gt;"&amp;$A176,実績!$AK$6:$AK$505,"○")&gt;0,1,0))</f>
        <v>0</v>
      </c>
      <c r="BT176" s="39" t="n">
        <f aca="false">IF(BT$4=0,0,IF(COUNTIFS(実績!$W$6:$W$505,BT$3,実績!$AI$6:$AI$505,"&lt;="&amp;$A176,実績!$AJ$6:$AJ$505,"&gt;"&amp;$A176,実績!$AK$6:$AK$505,"○")&gt;0,1,0))</f>
        <v>0</v>
      </c>
      <c r="BU176" s="39" t="n">
        <f aca="false">IF(BU$4=0,0,IF(COUNTIFS(実績!$W$6:$W$505,BU$3,実績!$AI$6:$AI$505,"&lt;="&amp;$A176,実績!$AJ$6:$AJ$505,"&gt;"&amp;$A176,実績!$AK$6:$AK$505,"○")&gt;0,1,0))</f>
        <v>0</v>
      </c>
      <c r="BV176" s="39" t="n">
        <f aca="false">IF(BV$4=0,0,IF(COUNTIFS(実績!$W$6:$W$505,BV$3,実績!$AI$6:$AI$505,"&lt;="&amp;$A176,実績!$AJ$6:$AJ$505,"&gt;"&amp;$A176,実績!$AK$6:$AK$505,"○")&gt;0,1,0))</f>
        <v>0</v>
      </c>
      <c r="BW176" s="39" t="n">
        <f aca="false">IF(BW$4=0,0,IF(COUNTIFS(実績!$W$6:$W$505,BW$3,実績!$AI$6:$AI$505,"&lt;="&amp;$A176,実績!$AJ$6:$AJ$505,"&gt;"&amp;$A176,実績!$AK$6:$AK$505,"○")&gt;0,1,0))</f>
        <v>0</v>
      </c>
      <c r="BX176" s="39" t="n">
        <f aca="false">IF(BX$4=0,0,IF(COUNTIFS(実績!$W$6:$W$505,BX$3,実績!$AI$6:$AI$505,"&lt;="&amp;$A176,実績!$AJ$6:$AJ$505,"&gt;"&amp;$A176,実績!$AK$6:$AK$505,"○")&gt;0,1,0))</f>
        <v>0</v>
      </c>
      <c r="BY176" s="39" t="n">
        <f aca="false">IF(BY$4=0,0,IF(COUNTIFS(実績!$W$6:$W$505,BY$3,実績!$AI$6:$AI$505,"&lt;="&amp;$A176,実績!$AJ$6:$AJ$505,"&gt;"&amp;$A176,実績!$AK$6:$AK$505,"○")&gt;0,1,0))</f>
        <v>0</v>
      </c>
      <c r="BZ176" s="39" t="n">
        <f aca="false">IF(BZ$4=0,0,IF(COUNTIFS(実績!$W$6:$W$505,BZ$3,実績!$AI$6:$AI$505,"&lt;="&amp;$A176,実績!$AJ$6:$AJ$505,"&gt;"&amp;$A176,実績!$AK$6:$AK$505,"○")&gt;0,1,0))</f>
        <v>0</v>
      </c>
      <c r="CA176" s="39" t="n">
        <f aca="false">IF(CA$4=0,0,IF(COUNTIFS(実績!$W$6:$W$505,CA$3,実績!$AI$6:$AI$505,"&lt;="&amp;$A176,実績!$AJ$6:$AJ$505,"&gt;"&amp;$A176,実績!$AK$6:$AK$505,"○")&gt;0,1,0))</f>
        <v>0</v>
      </c>
      <c r="CB176" s="39" t="n">
        <f aca="false">IF(CB$4=0,0,IF(COUNTIFS(実績!$W$6:$W$505,CB$3,実績!$AI$6:$AI$505,"&lt;="&amp;$A176,実績!$AJ$6:$AJ$505,"&gt;"&amp;$A176,実績!$AK$6:$AK$505,"○")&gt;0,1,0))</f>
        <v>0</v>
      </c>
      <c r="CC176" s="39" t="n">
        <f aca="false">IF(CC$4=0,0,IF(COUNTIFS(実績!$W$6:$W$505,CC$3,実績!$AI$6:$AI$505,"&lt;="&amp;$A176,実績!$AJ$6:$AJ$505,"&gt;"&amp;$A176,実績!$AK$6:$AK$505,"○")&gt;0,1,0))</f>
        <v>0</v>
      </c>
      <c r="CD176" s="39" t="n">
        <f aca="false">IF(CD$4=0,0,IF(COUNTIFS(実績!$W$6:$W$505,CD$3,実績!$AI$6:$AI$505,"&lt;="&amp;$A176,実績!$AJ$6:$AJ$505,"&gt;"&amp;$A176,実績!$AK$6:$AK$505,"○")&gt;0,1,0))</f>
        <v>0</v>
      </c>
      <c r="CE176" s="39" t="n">
        <f aca="false">IF(CE$4=0,0,IF(COUNTIFS(実績!$W$6:$W$505,CE$3,実績!$AI$6:$AI$505,"&lt;="&amp;$A176,実績!$AJ$6:$AJ$505,"&gt;"&amp;$A176,実績!$AK$6:$AK$505,"○")&gt;0,1,0))</f>
        <v>0</v>
      </c>
      <c r="CF176" s="39" t="n">
        <f aca="false">IF(CF$4=0,0,IF(COUNTIFS(実績!$W$6:$W$505,CF$3,実績!$AI$6:$AI$505,"&lt;="&amp;$A176,実績!$AJ$6:$AJ$505,"&gt;"&amp;$A176,実績!$AK$6:$AK$505,"○")&gt;0,1,0))</f>
        <v>0</v>
      </c>
      <c r="CG176" s="39" t="n">
        <f aca="false">IF(CG$4=0,0,IF(COUNTIFS(実績!$W$6:$W$505,CG$3,実績!$AI$6:$AI$505,"&lt;="&amp;$A176,実績!$AJ$6:$AJ$505,"&gt;"&amp;$A176,実績!$AK$6:$AK$505,"○")&gt;0,1,0))</f>
        <v>0</v>
      </c>
      <c r="CH176" s="39" t="n">
        <f aca="false">IF(CH$4=0,0,IF(COUNTIFS(実績!$W$6:$W$505,CH$3,実績!$AI$6:$AI$505,"&lt;="&amp;$A176,実績!$AJ$6:$AJ$505,"&gt;"&amp;$A176,実績!$AK$6:$AK$505,"○")&gt;0,1,0))</f>
        <v>0</v>
      </c>
      <c r="CI176" s="39" t="n">
        <f aca="false">IF(CI$4=0,0,IF(COUNTIFS(実績!$W$6:$W$505,CI$3,実績!$AI$6:$AI$505,"&lt;="&amp;$A176,実績!$AJ$6:$AJ$505,"&gt;"&amp;$A176,実績!$AK$6:$AK$505,"○")&gt;0,1,0))</f>
        <v>0</v>
      </c>
      <c r="CJ176" s="39" t="n">
        <f aca="false">IF(CJ$4=0,0,IF(COUNTIFS(実績!$W$6:$W$505,CJ$3,実績!$AI$6:$AI$505,"&lt;="&amp;$A176,実績!$AJ$6:$AJ$505,"&gt;"&amp;$A176,実績!$AK$6:$AK$505,"○")&gt;0,1,0))</f>
        <v>0</v>
      </c>
      <c r="CK176" s="39" t="n">
        <f aca="false">IF(CK$4=0,0,IF(COUNTIFS(実績!$W$6:$W$505,CK$3,実績!$AI$6:$AI$505,"&lt;="&amp;$A176,実績!$AJ$6:$AJ$505,"&gt;"&amp;$A176,実績!$AK$6:$AK$505,"○")&gt;0,1,0))</f>
        <v>0</v>
      </c>
      <c r="CL176" s="39" t="n">
        <f aca="false">IF(CL$4=0,0,IF(COUNTIFS(実績!$W$6:$W$505,CL$3,実績!$AI$6:$AI$505,"&lt;="&amp;$A176,実績!$AJ$6:$AJ$505,"&gt;"&amp;$A176,実績!$AK$6:$AK$505,"○")&gt;0,1,0))</f>
        <v>0</v>
      </c>
      <c r="CM176" s="39" t="n">
        <f aca="false">IF(CM$4=0,0,IF(COUNTIFS(実績!$W$6:$W$505,CM$3,実績!$AI$6:$AI$505,"&lt;="&amp;$A176,実績!$AJ$6:$AJ$505,"&gt;"&amp;$A176,実績!$AK$6:$AK$505,"○")&gt;0,1,0))</f>
        <v>0</v>
      </c>
      <c r="CN176" s="39" t="n">
        <f aca="false">IF(CN$4=0,0,IF(COUNTIFS(実績!$W$6:$W$505,CN$3,実績!$AI$6:$AI$505,"&lt;="&amp;$A176,実績!$AJ$6:$AJ$505,"&gt;"&amp;$A176,実績!$AK$6:$AK$505,"○")&gt;0,1,0))</f>
        <v>0</v>
      </c>
      <c r="CO176" s="39" t="n">
        <f aca="false">IF(CO$4=0,0,IF(COUNTIFS(実績!$W$6:$W$505,CO$3,実績!$AI$6:$AI$505,"&lt;="&amp;$A176,実績!$AJ$6:$AJ$505,"&gt;"&amp;$A176,実績!$AK$6:$AK$505,"○")&gt;0,1,0))</f>
        <v>0</v>
      </c>
      <c r="CP176" s="39" t="n">
        <f aca="false">IF(CP$4=0,0,IF(COUNTIFS(実績!$W$6:$W$505,CP$3,実績!$AI$6:$AI$505,"&lt;="&amp;$A176,実績!$AJ$6:$AJ$505,"&gt;"&amp;$A176,実績!$AK$6:$AK$505,"○")&gt;0,1,0))</f>
        <v>0</v>
      </c>
      <c r="CQ176" s="39" t="n">
        <f aca="false">IF(CQ$4=0,0,IF(COUNTIFS(実績!$W$6:$W$505,CQ$3,実績!$AI$6:$AI$505,"&lt;="&amp;$A176,実績!$AJ$6:$AJ$505,"&gt;"&amp;$A176,実績!$AK$6:$AK$505,"○")&gt;0,1,0))</f>
        <v>0</v>
      </c>
      <c r="CR176" s="39" t="n">
        <f aca="false">IF(CR$4=0,0,IF(COUNTIFS(実績!$W$6:$W$505,CR$3,実績!$AI$6:$AI$505,"&lt;="&amp;$A176,実績!$AJ$6:$AJ$505,"&gt;"&amp;$A176,実績!$AK$6:$AK$505,"○")&gt;0,1,0))</f>
        <v>0</v>
      </c>
      <c r="CS176" s="39" t="n">
        <f aca="false">IF(CS$4=0,0,IF(COUNTIFS(実績!$W$6:$W$505,CS$3,実績!$AI$6:$AI$505,"&lt;="&amp;$A176,実績!$AJ$6:$AJ$505,"&gt;"&amp;$A176,実績!$AK$6:$AK$505,"○")&gt;0,1,0))</f>
        <v>0</v>
      </c>
      <c r="CT176" s="39" t="n">
        <f aca="false">IF(CT$4=0,0,IF(COUNTIFS(実績!$W$6:$W$505,CT$3,実績!$AI$6:$AI$505,"&lt;="&amp;$A176,実績!$AJ$6:$AJ$505,"&gt;"&amp;$A176,実績!$AK$6:$AK$505,"○")&gt;0,1,0))</f>
        <v>0</v>
      </c>
      <c r="CU176" s="39" t="n">
        <f aca="false">IF(CU$4=0,0,IF(COUNTIFS(実績!$W$6:$W$505,CU$3,実績!$AI$6:$AI$505,"&lt;="&amp;$A176,実績!$AJ$6:$AJ$505,"&gt;"&amp;$A176,実績!$AK$6:$AK$505,"○")&gt;0,1,0))</f>
        <v>0</v>
      </c>
      <c r="CV176" s="39" t="n">
        <f aca="false">IF(CV$4=0,0,IF(COUNTIFS(実績!$W$6:$W$505,CV$3,実績!$AI$6:$AI$505,"&lt;="&amp;$A176,実績!$AJ$6:$AJ$505,"&gt;"&amp;$A176,実績!$AK$6:$AK$505,"○")&gt;0,1,0))</f>
        <v>0</v>
      </c>
      <c r="CW176" s="39" t="n">
        <f aca="false">IF(CW$4=0,0,IF(COUNTIFS(実績!$W$6:$W$505,CW$3,実績!$AI$6:$AI$505,"&lt;="&amp;$A176,実績!$AJ$6:$AJ$505,"&gt;"&amp;$A176,実績!$AK$6:$AK$505,"○")&gt;0,1,0))</f>
        <v>0</v>
      </c>
      <c r="CX176" s="39" t="n">
        <f aca="false">IF(CX$4=0,0,IF(COUNTIFS(実績!$W$6:$W$505,CX$3,実績!$AI$6:$AI$505,"&lt;="&amp;$A176,実績!$AJ$6:$AJ$505,"&gt;"&amp;$A176,実績!$AK$6:$AK$505,"○")&gt;0,1,0))</f>
        <v>0</v>
      </c>
      <c r="CY176" s="39" t="n">
        <f aca="false">IF(CY$4=0,0,IF(COUNTIFS(実績!$W$6:$W$505,CY$3,実績!$AI$6:$AI$505,"&lt;="&amp;$A176,実績!$AJ$6:$AJ$505,"&gt;"&amp;$A176,実績!$AK$6:$AK$505,"○")&gt;0,1,0))</f>
        <v>0</v>
      </c>
      <c r="CZ176" s="39" t="n">
        <f aca="false">IF(CZ$4=0,0,IF(COUNTIFS(実績!$W$6:$W$505,CZ$3,実績!$AI$6:$AI$505,"&lt;="&amp;$A176,実績!$AJ$6:$AJ$505,"&gt;"&amp;$A176,実績!$AK$6:$AK$505,"○")&gt;0,1,0))</f>
        <v>0</v>
      </c>
      <c r="DA176" s="39" t="n">
        <f aca="false">IF(DA$4=0,0,IF(COUNTIFS(実績!$W$6:$W$505,DA$3,実績!$AI$6:$AI$505,"&lt;="&amp;$A176,実績!$AJ$6:$AJ$505,"&gt;"&amp;$A176,実績!$AK$6:$AK$505,"○")&gt;0,1,0))</f>
        <v>0</v>
      </c>
      <c r="DB176" s="39" t="n">
        <f aca="false">IF(DB$4=0,0,IF(COUNTIFS(実績!$W$6:$W$505,DB$3,実績!$AI$6:$AI$505,"&lt;="&amp;$A176,実績!$AJ$6:$AJ$505,"&gt;"&amp;$A176,実績!$AK$6:$AK$505,"○")&gt;0,1,0))</f>
        <v>0</v>
      </c>
      <c r="DC176" s="39" t="n">
        <f aca="false">IF(DC$4=0,0,IF(COUNTIFS(実績!$W$6:$W$505,DC$3,実績!$AI$6:$AI$505,"&lt;="&amp;$A176,実績!$AJ$6:$AJ$505,"&gt;"&amp;$A176,実績!$AK$6:$AK$505,"○")&gt;0,1,0))</f>
        <v>0</v>
      </c>
      <c r="DD176" s="39" t="n">
        <f aca="false">IF(DD$4=0,0,IF(COUNTIFS(実績!$W$6:$W$505,DD$3,実績!$AI$6:$AI$505,"&lt;="&amp;$A176,実績!$AJ$6:$AJ$505,"&gt;"&amp;$A176,実績!$AK$6:$AK$505,"○")&gt;0,1,0))</f>
        <v>0</v>
      </c>
      <c r="DE176" s="39" t="n">
        <f aca="false">IF(DE$4=0,0,IF(COUNTIFS(実績!$W$6:$W$505,DE$3,実績!$AI$6:$AI$505,"&lt;="&amp;$A176,実績!$AJ$6:$AJ$505,"&gt;"&amp;$A176,実績!$AK$6:$AK$505,"○")&gt;0,1,0))</f>
        <v>0</v>
      </c>
      <c r="DF176" s="39" t="n">
        <f aca="false">IF(DF$4=0,0,IF(COUNTIFS(実績!$W$6:$W$505,DF$3,実績!$AI$6:$AI$505,"&lt;="&amp;$A176,実績!$AJ$6:$AJ$505,"&gt;"&amp;$A176,実績!$AK$6:$AK$505,"○")&gt;0,1,0))</f>
        <v>0</v>
      </c>
      <c r="DG176" s="39" t="n">
        <f aca="false">IF(DG$4=0,0,IF(COUNTIFS(実績!$W$6:$W$505,DG$3,実績!$AI$6:$AI$505,"&lt;="&amp;$A176,実績!$AJ$6:$AJ$505,"&gt;"&amp;$A176,実績!$AK$6:$AK$505,"○")&gt;0,1,0))</f>
        <v>0</v>
      </c>
      <c r="DH176" s="39" t="n">
        <f aca="false">IF(DH$4=0,0,IF(COUNTIFS(実績!$W$6:$W$505,DH$3,実績!$AI$6:$AI$505,"&lt;="&amp;$A176,実績!$AJ$6:$AJ$505,"&gt;"&amp;$A176,実績!$AK$6:$AK$505,"○")&gt;0,1,0))</f>
        <v>0</v>
      </c>
      <c r="DI176" s="39" t="n">
        <f aca="false">IF(DI$4=0,0,IF(COUNTIFS(実績!$W$6:$W$505,DI$3,実績!$AI$6:$AI$505,"&lt;="&amp;$A176,実績!$AJ$6:$AJ$505,"&gt;"&amp;$A176,実績!$AK$6:$AK$505,"○")&gt;0,1,0))</f>
        <v>0</v>
      </c>
      <c r="DJ176" s="39" t="n">
        <f aca="false">IF(DJ$4=0,0,IF(COUNTIFS(実績!$W$6:$W$505,DJ$3,実績!$AI$6:$AI$505,"&lt;="&amp;$A176,実績!$AJ$6:$AJ$505,"&gt;"&amp;$A176,実績!$AK$6:$AK$505,"○")&gt;0,1,0))</f>
        <v>0</v>
      </c>
      <c r="DK176" s="39" t="n">
        <f aca="false">IF(DK$4=0,0,IF(COUNTIFS(実績!$W$6:$W$505,DK$3,実績!$AI$6:$AI$505,"&lt;="&amp;$A176,実績!$AJ$6:$AJ$505,"&gt;"&amp;$A176,実績!$AK$6:$AK$505,"○")&gt;0,1,0))</f>
        <v>0</v>
      </c>
      <c r="DL176" s="39" t="n">
        <f aca="false">IF(DL$4=0,0,IF(COUNTIFS(実績!$W$6:$W$505,DL$3,実績!$AI$6:$AI$505,"&lt;="&amp;$A176,実績!$AJ$6:$AJ$505,"&gt;"&amp;$A176,実績!$AK$6:$AK$505,"○")&gt;0,1,0))</f>
        <v>0</v>
      </c>
      <c r="DM176" s="39" t="n">
        <f aca="false">IF(DM$4=0,0,IF(COUNTIFS(実績!$W$6:$W$505,DM$3,実績!$AI$6:$AI$505,"&lt;="&amp;$A176,実績!$AJ$6:$AJ$505,"&gt;"&amp;$A176,実績!$AK$6:$AK$505,"○")&gt;0,1,0))</f>
        <v>0</v>
      </c>
      <c r="DN176" s="39" t="n">
        <f aca="false">IF(DN$4=0,0,IF(COUNTIFS(実績!$W$6:$W$505,DN$3,実績!$AI$6:$AI$505,"&lt;="&amp;$A176,実績!$AJ$6:$AJ$505,"&gt;"&amp;$A176,実績!$AK$6:$AK$505,"○")&gt;0,1,0))</f>
        <v>0</v>
      </c>
      <c r="DO176" s="39" t="n">
        <f aca="false">IF(DO$4=0,0,IF(COUNTIFS(実績!$W$6:$W$505,DO$3,実績!$AI$6:$AI$505,"&lt;="&amp;$A176,実績!$AJ$6:$AJ$505,"&gt;"&amp;$A176,実績!$AK$6:$AK$505,"○")&gt;0,1,0))</f>
        <v>0</v>
      </c>
      <c r="DP176" s="39" t="n">
        <f aca="false">IF(DP$4=0,0,IF(COUNTIFS(実績!$W$6:$W$505,DP$3,実績!$AI$6:$AI$505,"&lt;="&amp;$A176,実績!$AJ$6:$AJ$505,"&gt;"&amp;$A176,実績!$AK$6:$AK$505,"○")&gt;0,1,0))</f>
        <v>0</v>
      </c>
      <c r="DQ176" s="39" t="n">
        <f aca="false">IF(DQ$4=0,0,IF(COUNTIFS(実績!$W$6:$W$505,DQ$3,実績!$AI$6:$AI$505,"&lt;="&amp;$A176,実績!$AJ$6:$AJ$505,"&gt;"&amp;$A176,実績!$AK$6:$AK$505,"○")&gt;0,1,0))</f>
        <v>0</v>
      </c>
      <c r="DR176" s="39" t="n">
        <f aca="false">IF(DR$4=0,0,IF(COUNTIFS(実績!$W$6:$W$505,DR$3,実績!$AI$6:$AI$505,"&lt;="&amp;$A176,実績!$AJ$6:$AJ$505,"&gt;"&amp;$A176,実績!$AK$6:$AK$505,"○")&gt;0,1,0))</f>
        <v>0</v>
      </c>
      <c r="DS176" s="39" t="n">
        <f aca="false">SUM(C176:DR176)</f>
        <v>0</v>
      </c>
      <c r="DT176" s="39" t="n">
        <f aca="false">SUMPRODUCT((実績!$C$6:$C$505="○")*ISNUMBER(実績!$AM$6:$AM$505)*(実績!$AM$6:$AM$505&lt;=$A176)*(実績!$AN$6:$AN$505&gt;$A176))</f>
        <v>0</v>
      </c>
      <c r="DU176" s="39" t="n">
        <f aca="false">SUMIF($C$2:$DR$2,"製鉄曳船",C176:DR176)</f>
        <v>0</v>
      </c>
      <c r="DV176" s="39" t="n">
        <f aca="false">SUMIF($C$2:$DR$2,"西日本海運",C176:DR176)</f>
        <v>0</v>
      </c>
    </row>
    <row r="177" customFormat="false" ht="15" hidden="false" customHeight="false" outlineLevel="0" collapsed="false">
      <c r="A177" s="0" t="n">
        <v>855</v>
      </c>
      <c r="B177" s="38" t="n">
        <f aca="false">A177/1440</f>
        <v>0.59375</v>
      </c>
      <c r="C177" s="39" t="n">
        <f aca="false">IF(C$4=0,0,IF(COUNTIFS(実績!$W$6:$W$505,C$3,実績!$AI$6:$AI$505,"&lt;="&amp;$A177,実績!$AJ$6:$AJ$505,"&gt;"&amp;$A177,実績!$AK$6:$AK$505,"○")&gt;0,1,0))</f>
        <v>0</v>
      </c>
      <c r="D177" s="39" t="n">
        <f aca="false">IF(D$4=0,0,IF(COUNTIFS(実績!$W$6:$W$505,D$3,実績!$AI$6:$AI$505,"&lt;="&amp;$A177,実績!$AJ$6:$AJ$505,"&gt;"&amp;$A177,実績!$AK$6:$AK$505,"○")&gt;0,1,0))</f>
        <v>0</v>
      </c>
      <c r="E177" s="39" t="n">
        <f aca="false">IF(E$4=0,0,IF(COUNTIFS(実績!$W$6:$W$505,E$3,実績!$AI$6:$AI$505,"&lt;="&amp;$A177,実績!$AJ$6:$AJ$505,"&gt;"&amp;$A177,実績!$AK$6:$AK$505,"○")&gt;0,1,0))</f>
        <v>0</v>
      </c>
      <c r="F177" s="39" t="n">
        <f aca="false">IF(F$4=0,0,IF(COUNTIFS(実績!$W$6:$W$505,F$3,実績!$AI$6:$AI$505,"&lt;="&amp;$A177,実績!$AJ$6:$AJ$505,"&gt;"&amp;$A177,実績!$AK$6:$AK$505,"○")&gt;0,1,0))</f>
        <v>0</v>
      </c>
      <c r="G177" s="39" t="n">
        <f aca="false">IF(G$4=0,0,IF(COUNTIFS(実績!$W$6:$W$505,G$3,実績!$AI$6:$AI$505,"&lt;="&amp;$A177,実績!$AJ$6:$AJ$505,"&gt;"&amp;$A177,実績!$AK$6:$AK$505,"○")&gt;0,1,0))</f>
        <v>0</v>
      </c>
      <c r="H177" s="39" t="n">
        <f aca="false">IF(H$4=0,0,IF(COUNTIFS(実績!$W$6:$W$505,H$3,実績!$AI$6:$AI$505,"&lt;="&amp;$A177,実績!$AJ$6:$AJ$505,"&gt;"&amp;$A177,実績!$AK$6:$AK$505,"○")&gt;0,1,0))</f>
        <v>0</v>
      </c>
      <c r="I177" s="39" t="n">
        <f aca="false">IF(I$4=0,0,IF(COUNTIFS(実績!$W$6:$W$505,I$3,実績!$AI$6:$AI$505,"&lt;="&amp;$A177,実績!$AJ$6:$AJ$505,"&gt;"&amp;$A177,実績!$AK$6:$AK$505,"○")&gt;0,1,0))</f>
        <v>0</v>
      </c>
      <c r="J177" s="39" t="n">
        <f aca="false">IF(J$4=0,0,IF(COUNTIFS(実績!$W$6:$W$505,J$3,実績!$AI$6:$AI$505,"&lt;="&amp;$A177,実績!$AJ$6:$AJ$505,"&gt;"&amp;$A177,実績!$AK$6:$AK$505,"○")&gt;0,1,0))</f>
        <v>0</v>
      </c>
      <c r="K177" s="39" t="n">
        <f aca="false">IF(K$4=0,0,IF(COUNTIFS(実績!$W$6:$W$505,K$3,実績!$AI$6:$AI$505,"&lt;="&amp;$A177,実績!$AJ$6:$AJ$505,"&gt;"&amp;$A177,実績!$AK$6:$AK$505,"○")&gt;0,1,0))</f>
        <v>0</v>
      </c>
      <c r="L177" s="39" t="n">
        <f aca="false">IF(L$4=0,0,IF(COUNTIFS(実績!$W$6:$W$505,L$3,実績!$AI$6:$AI$505,"&lt;="&amp;$A177,実績!$AJ$6:$AJ$505,"&gt;"&amp;$A177,実績!$AK$6:$AK$505,"○")&gt;0,1,0))</f>
        <v>0</v>
      </c>
      <c r="M177" s="39" t="n">
        <f aca="false">IF(M$4=0,0,IF(COUNTIFS(実績!$W$6:$W$505,M$3,実績!$AI$6:$AI$505,"&lt;="&amp;$A177,実績!$AJ$6:$AJ$505,"&gt;"&amp;$A177,実績!$AK$6:$AK$505,"○")&gt;0,1,0))</f>
        <v>0</v>
      </c>
      <c r="N177" s="39" t="n">
        <f aca="false">IF(N$4=0,0,IF(COUNTIFS(実績!$W$6:$W$505,N$3,実績!$AI$6:$AI$505,"&lt;="&amp;$A177,実績!$AJ$6:$AJ$505,"&gt;"&amp;$A177,実績!$AK$6:$AK$505,"○")&gt;0,1,0))</f>
        <v>0</v>
      </c>
      <c r="O177" s="39" t="n">
        <f aca="false">IF(O$4=0,0,IF(COUNTIFS(実績!$W$6:$W$505,O$3,実績!$AI$6:$AI$505,"&lt;="&amp;$A177,実績!$AJ$6:$AJ$505,"&gt;"&amp;$A177,実績!$AK$6:$AK$505,"○")&gt;0,1,0))</f>
        <v>0</v>
      </c>
      <c r="P177" s="39" t="n">
        <f aca="false">IF(P$4=0,0,IF(COUNTIFS(実績!$W$6:$W$505,P$3,実績!$AI$6:$AI$505,"&lt;="&amp;$A177,実績!$AJ$6:$AJ$505,"&gt;"&amp;$A177,実績!$AK$6:$AK$505,"○")&gt;0,1,0))</f>
        <v>0</v>
      </c>
      <c r="Q177" s="39" t="n">
        <f aca="false">IF(Q$4=0,0,IF(COUNTIFS(実績!$W$6:$W$505,Q$3,実績!$AI$6:$AI$505,"&lt;="&amp;$A177,実績!$AJ$6:$AJ$505,"&gt;"&amp;$A177,実績!$AK$6:$AK$505,"○")&gt;0,1,0))</f>
        <v>0</v>
      </c>
      <c r="R177" s="39" t="n">
        <f aca="false">IF(R$4=0,0,IF(COUNTIFS(実績!$W$6:$W$505,R$3,実績!$AI$6:$AI$505,"&lt;="&amp;$A177,実績!$AJ$6:$AJ$505,"&gt;"&amp;$A177,実績!$AK$6:$AK$505,"○")&gt;0,1,0))</f>
        <v>0</v>
      </c>
      <c r="S177" s="39" t="n">
        <f aca="false">IF(S$4=0,0,IF(COUNTIFS(実績!$W$6:$W$505,S$3,実績!$AI$6:$AI$505,"&lt;="&amp;$A177,実績!$AJ$6:$AJ$505,"&gt;"&amp;$A177,実績!$AK$6:$AK$505,"○")&gt;0,1,0))</f>
        <v>0</v>
      </c>
      <c r="T177" s="39" t="n">
        <f aca="false">IF(T$4=0,0,IF(COUNTIFS(実績!$W$6:$W$505,T$3,実績!$AI$6:$AI$505,"&lt;="&amp;$A177,実績!$AJ$6:$AJ$505,"&gt;"&amp;$A177,実績!$AK$6:$AK$505,"○")&gt;0,1,0))</f>
        <v>0</v>
      </c>
      <c r="U177" s="39" t="n">
        <f aca="false">IF(U$4=0,0,IF(COUNTIFS(実績!$W$6:$W$505,U$3,実績!$AI$6:$AI$505,"&lt;="&amp;$A177,実績!$AJ$6:$AJ$505,"&gt;"&amp;$A177,実績!$AK$6:$AK$505,"○")&gt;0,1,0))</f>
        <v>0</v>
      </c>
      <c r="V177" s="39" t="n">
        <f aca="false">IF(V$4=0,0,IF(COUNTIFS(実績!$W$6:$W$505,V$3,実績!$AI$6:$AI$505,"&lt;="&amp;$A177,実績!$AJ$6:$AJ$505,"&gt;"&amp;$A177,実績!$AK$6:$AK$505,"○")&gt;0,1,0))</f>
        <v>0</v>
      </c>
      <c r="W177" s="39" t="n">
        <f aca="false">IF(W$4=0,0,IF(COUNTIFS(実績!$W$6:$W$505,W$3,実績!$AI$6:$AI$505,"&lt;="&amp;$A177,実績!$AJ$6:$AJ$505,"&gt;"&amp;$A177,実績!$AK$6:$AK$505,"○")&gt;0,1,0))</f>
        <v>0</v>
      </c>
      <c r="X177" s="39" t="n">
        <f aca="false">IF(X$4=0,0,IF(COUNTIFS(実績!$W$6:$W$505,X$3,実績!$AI$6:$AI$505,"&lt;="&amp;$A177,実績!$AJ$6:$AJ$505,"&gt;"&amp;$A177,実績!$AK$6:$AK$505,"○")&gt;0,1,0))</f>
        <v>0</v>
      </c>
      <c r="Y177" s="39" t="n">
        <f aca="false">IF(Y$4=0,0,IF(COUNTIFS(実績!$W$6:$W$505,Y$3,実績!$AI$6:$AI$505,"&lt;="&amp;$A177,実績!$AJ$6:$AJ$505,"&gt;"&amp;$A177,実績!$AK$6:$AK$505,"○")&gt;0,1,0))</f>
        <v>0</v>
      </c>
      <c r="Z177" s="39" t="n">
        <f aca="false">IF(Z$4=0,0,IF(COUNTIFS(実績!$W$6:$W$505,Z$3,実績!$AI$6:$AI$505,"&lt;="&amp;$A177,実績!$AJ$6:$AJ$505,"&gt;"&amp;$A177,実績!$AK$6:$AK$505,"○")&gt;0,1,0))</f>
        <v>0</v>
      </c>
      <c r="AA177" s="39" t="n">
        <f aca="false">IF(AA$4=0,0,IF(COUNTIFS(実績!$W$6:$W$505,AA$3,実績!$AI$6:$AI$505,"&lt;="&amp;$A177,実績!$AJ$6:$AJ$505,"&gt;"&amp;$A177,実績!$AK$6:$AK$505,"○")&gt;0,1,0))</f>
        <v>0</v>
      </c>
      <c r="AB177" s="39" t="n">
        <f aca="false">IF(AB$4=0,0,IF(COUNTIFS(実績!$W$6:$W$505,AB$3,実績!$AI$6:$AI$505,"&lt;="&amp;$A177,実績!$AJ$6:$AJ$505,"&gt;"&amp;$A177,実績!$AK$6:$AK$505,"○")&gt;0,1,0))</f>
        <v>0</v>
      </c>
      <c r="AC177" s="39" t="n">
        <f aca="false">IF(AC$4=0,0,IF(COUNTIFS(実績!$W$6:$W$505,AC$3,実績!$AI$6:$AI$505,"&lt;="&amp;$A177,実績!$AJ$6:$AJ$505,"&gt;"&amp;$A177,実績!$AK$6:$AK$505,"○")&gt;0,1,0))</f>
        <v>0</v>
      </c>
      <c r="AD177" s="39" t="n">
        <f aca="false">IF(AD$4=0,0,IF(COUNTIFS(実績!$W$6:$W$505,AD$3,実績!$AI$6:$AI$505,"&lt;="&amp;$A177,実績!$AJ$6:$AJ$505,"&gt;"&amp;$A177,実績!$AK$6:$AK$505,"○")&gt;0,1,0))</f>
        <v>0</v>
      </c>
      <c r="AE177" s="39" t="n">
        <f aca="false">IF(AE$4=0,0,IF(COUNTIFS(実績!$W$6:$W$505,AE$3,実績!$AI$6:$AI$505,"&lt;="&amp;$A177,実績!$AJ$6:$AJ$505,"&gt;"&amp;$A177,実績!$AK$6:$AK$505,"○")&gt;0,1,0))</f>
        <v>0</v>
      </c>
      <c r="AF177" s="39" t="n">
        <f aca="false">IF(AF$4=0,0,IF(COUNTIFS(実績!$W$6:$W$505,AF$3,実績!$AI$6:$AI$505,"&lt;="&amp;$A177,実績!$AJ$6:$AJ$505,"&gt;"&amp;$A177,実績!$AK$6:$AK$505,"○")&gt;0,1,0))</f>
        <v>0</v>
      </c>
      <c r="AG177" s="39" t="n">
        <f aca="false">IF(AG$4=0,0,IF(COUNTIFS(実績!$W$6:$W$505,AG$3,実績!$AI$6:$AI$505,"&lt;="&amp;$A177,実績!$AJ$6:$AJ$505,"&gt;"&amp;$A177,実績!$AK$6:$AK$505,"○")&gt;0,1,0))</f>
        <v>0</v>
      </c>
      <c r="AH177" s="39" t="n">
        <f aca="false">IF(AH$4=0,0,IF(COUNTIFS(実績!$W$6:$W$505,AH$3,実績!$AI$6:$AI$505,"&lt;="&amp;$A177,実績!$AJ$6:$AJ$505,"&gt;"&amp;$A177,実績!$AK$6:$AK$505,"○")&gt;0,1,0))</f>
        <v>0</v>
      </c>
      <c r="AI177" s="39" t="n">
        <f aca="false">IF(AI$4=0,0,IF(COUNTIFS(実績!$W$6:$W$505,AI$3,実績!$AI$6:$AI$505,"&lt;="&amp;$A177,実績!$AJ$6:$AJ$505,"&gt;"&amp;$A177,実績!$AK$6:$AK$505,"○")&gt;0,1,0))</f>
        <v>0</v>
      </c>
      <c r="AJ177" s="39" t="n">
        <f aca="false">IF(AJ$4=0,0,IF(COUNTIFS(実績!$W$6:$W$505,AJ$3,実績!$AI$6:$AI$505,"&lt;="&amp;$A177,実績!$AJ$6:$AJ$505,"&gt;"&amp;$A177,実績!$AK$6:$AK$505,"○")&gt;0,1,0))</f>
        <v>0</v>
      </c>
      <c r="AK177" s="39" t="n">
        <f aca="false">IF(AK$4=0,0,IF(COUNTIFS(実績!$W$6:$W$505,AK$3,実績!$AI$6:$AI$505,"&lt;="&amp;$A177,実績!$AJ$6:$AJ$505,"&gt;"&amp;$A177,実績!$AK$6:$AK$505,"○")&gt;0,1,0))</f>
        <v>0</v>
      </c>
      <c r="AL177" s="39" t="n">
        <f aca="false">IF(AL$4=0,0,IF(COUNTIFS(実績!$W$6:$W$505,AL$3,実績!$AI$6:$AI$505,"&lt;="&amp;$A177,実績!$AJ$6:$AJ$505,"&gt;"&amp;$A177,実績!$AK$6:$AK$505,"○")&gt;0,1,0))</f>
        <v>0</v>
      </c>
      <c r="AM177" s="39" t="n">
        <f aca="false">IF(AM$4=0,0,IF(COUNTIFS(実績!$W$6:$W$505,AM$3,実績!$AI$6:$AI$505,"&lt;="&amp;$A177,実績!$AJ$6:$AJ$505,"&gt;"&amp;$A177,実績!$AK$6:$AK$505,"○")&gt;0,1,0))</f>
        <v>0</v>
      </c>
      <c r="AN177" s="39" t="n">
        <f aca="false">IF(AN$4=0,0,IF(COUNTIFS(実績!$W$6:$W$505,AN$3,実績!$AI$6:$AI$505,"&lt;="&amp;$A177,実績!$AJ$6:$AJ$505,"&gt;"&amp;$A177,実績!$AK$6:$AK$505,"○")&gt;0,1,0))</f>
        <v>0</v>
      </c>
      <c r="AO177" s="39" t="n">
        <f aca="false">IF(AO$4=0,0,IF(COUNTIFS(実績!$W$6:$W$505,AO$3,実績!$AI$6:$AI$505,"&lt;="&amp;$A177,実績!$AJ$6:$AJ$505,"&gt;"&amp;$A177,実績!$AK$6:$AK$505,"○")&gt;0,1,0))</f>
        <v>0</v>
      </c>
      <c r="AP177" s="39" t="n">
        <f aca="false">IF(AP$4=0,0,IF(COUNTIFS(実績!$W$6:$W$505,AP$3,実績!$AI$6:$AI$505,"&lt;="&amp;$A177,実績!$AJ$6:$AJ$505,"&gt;"&amp;$A177,実績!$AK$6:$AK$505,"○")&gt;0,1,0))</f>
        <v>0</v>
      </c>
      <c r="AQ177" s="39" t="n">
        <f aca="false">IF(AQ$4=0,0,IF(COUNTIFS(実績!$W$6:$W$505,AQ$3,実績!$AI$6:$AI$505,"&lt;="&amp;$A177,実績!$AJ$6:$AJ$505,"&gt;"&amp;$A177,実績!$AK$6:$AK$505,"○")&gt;0,1,0))</f>
        <v>0</v>
      </c>
      <c r="AR177" s="39" t="n">
        <f aca="false">IF(AR$4=0,0,IF(COUNTIFS(実績!$W$6:$W$505,AR$3,実績!$AI$6:$AI$505,"&lt;="&amp;$A177,実績!$AJ$6:$AJ$505,"&gt;"&amp;$A177,実績!$AK$6:$AK$505,"○")&gt;0,1,0))</f>
        <v>0</v>
      </c>
      <c r="AS177" s="39" t="n">
        <f aca="false">IF(AS$4=0,0,IF(COUNTIFS(実績!$W$6:$W$505,AS$3,実績!$AI$6:$AI$505,"&lt;="&amp;$A177,実績!$AJ$6:$AJ$505,"&gt;"&amp;$A177,実績!$AK$6:$AK$505,"○")&gt;0,1,0))</f>
        <v>0</v>
      </c>
      <c r="AT177" s="39" t="n">
        <f aca="false">IF(AT$4=0,0,IF(COUNTIFS(実績!$W$6:$W$505,AT$3,実績!$AI$6:$AI$505,"&lt;="&amp;$A177,実績!$AJ$6:$AJ$505,"&gt;"&amp;$A177,実績!$AK$6:$AK$505,"○")&gt;0,1,0))</f>
        <v>0</v>
      </c>
      <c r="AU177" s="39" t="n">
        <f aca="false">IF(AU$4=0,0,IF(COUNTIFS(実績!$W$6:$W$505,AU$3,実績!$AI$6:$AI$505,"&lt;="&amp;$A177,実績!$AJ$6:$AJ$505,"&gt;"&amp;$A177,実績!$AK$6:$AK$505,"○")&gt;0,1,0))</f>
        <v>0</v>
      </c>
      <c r="AV177" s="39" t="n">
        <f aca="false">IF(AV$4=0,0,IF(COUNTIFS(実績!$W$6:$W$505,AV$3,実績!$AI$6:$AI$505,"&lt;="&amp;$A177,実績!$AJ$6:$AJ$505,"&gt;"&amp;$A177,実績!$AK$6:$AK$505,"○")&gt;0,1,0))</f>
        <v>0</v>
      </c>
      <c r="AW177" s="39" t="n">
        <f aca="false">IF(AW$4=0,0,IF(COUNTIFS(実績!$W$6:$W$505,AW$3,実績!$AI$6:$AI$505,"&lt;="&amp;$A177,実績!$AJ$6:$AJ$505,"&gt;"&amp;$A177,実績!$AK$6:$AK$505,"○")&gt;0,1,0))</f>
        <v>0</v>
      </c>
      <c r="AX177" s="39" t="n">
        <f aca="false">IF(AX$4=0,0,IF(COUNTIFS(実績!$W$6:$W$505,AX$3,実績!$AI$6:$AI$505,"&lt;="&amp;$A177,実績!$AJ$6:$AJ$505,"&gt;"&amp;$A177,実績!$AK$6:$AK$505,"○")&gt;0,1,0))</f>
        <v>0</v>
      </c>
      <c r="AY177" s="39" t="n">
        <f aca="false">IF(AY$4=0,0,IF(COUNTIFS(実績!$W$6:$W$505,AY$3,実績!$AI$6:$AI$505,"&lt;="&amp;$A177,実績!$AJ$6:$AJ$505,"&gt;"&amp;$A177,実績!$AK$6:$AK$505,"○")&gt;0,1,0))</f>
        <v>0</v>
      </c>
      <c r="AZ177" s="39" t="n">
        <f aca="false">IF(AZ$4=0,0,IF(COUNTIFS(実績!$W$6:$W$505,AZ$3,実績!$AI$6:$AI$505,"&lt;="&amp;$A177,実績!$AJ$6:$AJ$505,"&gt;"&amp;$A177,実績!$AK$6:$AK$505,"○")&gt;0,1,0))</f>
        <v>0</v>
      </c>
      <c r="BA177" s="39" t="n">
        <f aca="false">IF(BA$4=0,0,IF(COUNTIFS(実績!$W$6:$W$505,BA$3,実績!$AI$6:$AI$505,"&lt;="&amp;$A177,実績!$AJ$6:$AJ$505,"&gt;"&amp;$A177,実績!$AK$6:$AK$505,"○")&gt;0,1,0))</f>
        <v>0</v>
      </c>
      <c r="BB177" s="39" t="n">
        <f aca="false">IF(BB$4=0,0,IF(COUNTIFS(実績!$W$6:$W$505,BB$3,実績!$AI$6:$AI$505,"&lt;="&amp;$A177,実績!$AJ$6:$AJ$505,"&gt;"&amp;$A177,実績!$AK$6:$AK$505,"○")&gt;0,1,0))</f>
        <v>0</v>
      </c>
      <c r="BC177" s="39" t="n">
        <f aca="false">IF(BC$4=0,0,IF(COUNTIFS(実績!$W$6:$W$505,BC$3,実績!$AI$6:$AI$505,"&lt;="&amp;$A177,実績!$AJ$6:$AJ$505,"&gt;"&amp;$A177,実績!$AK$6:$AK$505,"○")&gt;0,1,0))</f>
        <v>0</v>
      </c>
      <c r="BD177" s="39" t="n">
        <f aca="false">IF(BD$4=0,0,IF(COUNTIFS(実績!$W$6:$W$505,BD$3,実績!$AI$6:$AI$505,"&lt;="&amp;$A177,実績!$AJ$6:$AJ$505,"&gt;"&amp;$A177,実績!$AK$6:$AK$505,"○")&gt;0,1,0))</f>
        <v>0</v>
      </c>
      <c r="BE177" s="39" t="n">
        <f aca="false">IF(BE$4=0,0,IF(COUNTIFS(実績!$W$6:$W$505,BE$3,実績!$AI$6:$AI$505,"&lt;="&amp;$A177,実績!$AJ$6:$AJ$505,"&gt;"&amp;$A177,実績!$AK$6:$AK$505,"○")&gt;0,1,0))</f>
        <v>0</v>
      </c>
      <c r="BF177" s="39" t="n">
        <f aca="false">IF(BF$4=0,0,IF(COUNTIFS(実績!$W$6:$W$505,BF$3,実績!$AI$6:$AI$505,"&lt;="&amp;$A177,実績!$AJ$6:$AJ$505,"&gt;"&amp;$A177,実績!$AK$6:$AK$505,"○")&gt;0,1,0))</f>
        <v>0</v>
      </c>
      <c r="BG177" s="39" t="n">
        <f aca="false">IF(BG$4=0,0,IF(COUNTIFS(実績!$W$6:$W$505,BG$3,実績!$AI$6:$AI$505,"&lt;="&amp;$A177,実績!$AJ$6:$AJ$505,"&gt;"&amp;$A177,実績!$AK$6:$AK$505,"○")&gt;0,1,0))</f>
        <v>0</v>
      </c>
      <c r="BH177" s="39" t="n">
        <f aca="false">IF(BH$4=0,0,IF(COUNTIFS(実績!$W$6:$W$505,BH$3,実績!$AI$6:$AI$505,"&lt;="&amp;$A177,実績!$AJ$6:$AJ$505,"&gt;"&amp;$A177,実績!$AK$6:$AK$505,"○")&gt;0,1,0))</f>
        <v>0</v>
      </c>
      <c r="BI177" s="39" t="n">
        <f aca="false">IF(BI$4=0,0,IF(COUNTIFS(実績!$W$6:$W$505,BI$3,実績!$AI$6:$AI$505,"&lt;="&amp;$A177,実績!$AJ$6:$AJ$505,"&gt;"&amp;$A177,実績!$AK$6:$AK$505,"○")&gt;0,1,0))</f>
        <v>0</v>
      </c>
      <c r="BJ177" s="39" t="n">
        <f aca="false">IF(BJ$4=0,0,IF(COUNTIFS(実績!$W$6:$W$505,BJ$3,実績!$AI$6:$AI$505,"&lt;="&amp;$A177,実績!$AJ$6:$AJ$505,"&gt;"&amp;$A177,実績!$AK$6:$AK$505,"○")&gt;0,1,0))</f>
        <v>0</v>
      </c>
      <c r="BK177" s="39" t="n">
        <f aca="false">IF(BK$4=0,0,IF(COUNTIFS(実績!$W$6:$W$505,BK$3,実績!$AI$6:$AI$505,"&lt;="&amp;$A177,実績!$AJ$6:$AJ$505,"&gt;"&amp;$A177,実績!$AK$6:$AK$505,"○")&gt;0,1,0))</f>
        <v>0</v>
      </c>
      <c r="BL177" s="39" t="n">
        <f aca="false">IF(BL$4=0,0,IF(COUNTIFS(実績!$W$6:$W$505,BL$3,実績!$AI$6:$AI$505,"&lt;="&amp;$A177,実績!$AJ$6:$AJ$505,"&gt;"&amp;$A177,実績!$AK$6:$AK$505,"○")&gt;0,1,0))</f>
        <v>0</v>
      </c>
      <c r="BM177" s="39" t="n">
        <f aca="false">IF(BM$4=0,0,IF(COUNTIFS(実績!$W$6:$W$505,BM$3,実績!$AI$6:$AI$505,"&lt;="&amp;$A177,実績!$AJ$6:$AJ$505,"&gt;"&amp;$A177,実績!$AK$6:$AK$505,"○")&gt;0,1,0))</f>
        <v>0</v>
      </c>
      <c r="BN177" s="39" t="n">
        <f aca="false">IF(BN$4=0,0,IF(COUNTIFS(実績!$W$6:$W$505,BN$3,実績!$AI$6:$AI$505,"&lt;="&amp;$A177,実績!$AJ$6:$AJ$505,"&gt;"&amp;$A177,実績!$AK$6:$AK$505,"○")&gt;0,1,0))</f>
        <v>0</v>
      </c>
      <c r="BO177" s="39" t="n">
        <f aca="false">IF(BO$4=0,0,IF(COUNTIFS(実績!$W$6:$W$505,BO$3,実績!$AI$6:$AI$505,"&lt;="&amp;$A177,実績!$AJ$6:$AJ$505,"&gt;"&amp;$A177,実績!$AK$6:$AK$505,"○")&gt;0,1,0))</f>
        <v>0</v>
      </c>
      <c r="BP177" s="39" t="n">
        <f aca="false">IF(BP$4=0,0,IF(COUNTIFS(実績!$W$6:$W$505,BP$3,実績!$AI$6:$AI$505,"&lt;="&amp;$A177,実績!$AJ$6:$AJ$505,"&gt;"&amp;$A177,実績!$AK$6:$AK$505,"○")&gt;0,1,0))</f>
        <v>0</v>
      </c>
      <c r="BQ177" s="39" t="n">
        <f aca="false">IF(BQ$4=0,0,IF(COUNTIFS(実績!$W$6:$W$505,BQ$3,実績!$AI$6:$AI$505,"&lt;="&amp;$A177,実績!$AJ$6:$AJ$505,"&gt;"&amp;$A177,実績!$AK$6:$AK$505,"○")&gt;0,1,0))</f>
        <v>0</v>
      </c>
      <c r="BR177" s="39" t="n">
        <f aca="false">IF(BR$4=0,0,IF(COUNTIFS(実績!$W$6:$W$505,BR$3,実績!$AI$6:$AI$505,"&lt;="&amp;$A177,実績!$AJ$6:$AJ$505,"&gt;"&amp;$A177,実績!$AK$6:$AK$505,"○")&gt;0,1,0))</f>
        <v>0</v>
      </c>
      <c r="BS177" s="39" t="n">
        <f aca="false">IF(BS$4=0,0,IF(COUNTIFS(実績!$W$6:$W$505,BS$3,実績!$AI$6:$AI$505,"&lt;="&amp;$A177,実績!$AJ$6:$AJ$505,"&gt;"&amp;$A177,実績!$AK$6:$AK$505,"○")&gt;0,1,0))</f>
        <v>0</v>
      </c>
      <c r="BT177" s="39" t="n">
        <f aca="false">IF(BT$4=0,0,IF(COUNTIFS(実績!$W$6:$W$505,BT$3,実績!$AI$6:$AI$505,"&lt;="&amp;$A177,実績!$AJ$6:$AJ$505,"&gt;"&amp;$A177,実績!$AK$6:$AK$505,"○")&gt;0,1,0))</f>
        <v>0</v>
      </c>
      <c r="BU177" s="39" t="n">
        <f aca="false">IF(BU$4=0,0,IF(COUNTIFS(実績!$W$6:$W$505,BU$3,実績!$AI$6:$AI$505,"&lt;="&amp;$A177,実績!$AJ$6:$AJ$505,"&gt;"&amp;$A177,実績!$AK$6:$AK$505,"○")&gt;0,1,0))</f>
        <v>0</v>
      </c>
      <c r="BV177" s="39" t="n">
        <f aca="false">IF(BV$4=0,0,IF(COUNTIFS(実績!$W$6:$W$505,BV$3,実績!$AI$6:$AI$505,"&lt;="&amp;$A177,実績!$AJ$6:$AJ$505,"&gt;"&amp;$A177,実績!$AK$6:$AK$505,"○")&gt;0,1,0))</f>
        <v>0</v>
      </c>
      <c r="BW177" s="39" t="n">
        <f aca="false">IF(BW$4=0,0,IF(COUNTIFS(実績!$W$6:$W$505,BW$3,実績!$AI$6:$AI$505,"&lt;="&amp;$A177,実績!$AJ$6:$AJ$505,"&gt;"&amp;$A177,実績!$AK$6:$AK$505,"○")&gt;0,1,0))</f>
        <v>0</v>
      </c>
      <c r="BX177" s="39" t="n">
        <f aca="false">IF(BX$4=0,0,IF(COUNTIFS(実績!$W$6:$W$505,BX$3,実績!$AI$6:$AI$505,"&lt;="&amp;$A177,実績!$AJ$6:$AJ$505,"&gt;"&amp;$A177,実績!$AK$6:$AK$505,"○")&gt;0,1,0))</f>
        <v>0</v>
      </c>
      <c r="BY177" s="39" t="n">
        <f aca="false">IF(BY$4=0,0,IF(COUNTIFS(実績!$W$6:$W$505,BY$3,実績!$AI$6:$AI$505,"&lt;="&amp;$A177,実績!$AJ$6:$AJ$505,"&gt;"&amp;$A177,実績!$AK$6:$AK$505,"○")&gt;0,1,0))</f>
        <v>0</v>
      </c>
      <c r="BZ177" s="39" t="n">
        <f aca="false">IF(BZ$4=0,0,IF(COUNTIFS(実績!$W$6:$W$505,BZ$3,実績!$AI$6:$AI$505,"&lt;="&amp;$A177,実績!$AJ$6:$AJ$505,"&gt;"&amp;$A177,実績!$AK$6:$AK$505,"○")&gt;0,1,0))</f>
        <v>0</v>
      </c>
      <c r="CA177" s="39" t="n">
        <f aca="false">IF(CA$4=0,0,IF(COUNTIFS(実績!$W$6:$W$505,CA$3,実績!$AI$6:$AI$505,"&lt;="&amp;$A177,実績!$AJ$6:$AJ$505,"&gt;"&amp;$A177,実績!$AK$6:$AK$505,"○")&gt;0,1,0))</f>
        <v>0</v>
      </c>
      <c r="CB177" s="39" t="n">
        <f aca="false">IF(CB$4=0,0,IF(COUNTIFS(実績!$W$6:$W$505,CB$3,実績!$AI$6:$AI$505,"&lt;="&amp;$A177,実績!$AJ$6:$AJ$505,"&gt;"&amp;$A177,実績!$AK$6:$AK$505,"○")&gt;0,1,0))</f>
        <v>0</v>
      </c>
      <c r="CC177" s="39" t="n">
        <f aca="false">IF(CC$4=0,0,IF(COUNTIFS(実績!$W$6:$W$505,CC$3,実績!$AI$6:$AI$505,"&lt;="&amp;$A177,実績!$AJ$6:$AJ$505,"&gt;"&amp;$A177,実績!$AK$6:$AK$505,"○")&gt;0,1,0))</f>
        <v>0</v>
      </c>
      <c r="CD177" s="39" t="n">
        <f aca="false">IF(CD$4=0,0,IF(COUNTIFS(実績!$W$6:$W$505,CD$3,実績!$AI$6:$AI$505,"&lt;="&amp;$A177,実績!$AJ$6:$AJ$505,"&gt;"&amp;$A177,実績!$AK$6:$AK$505,"○")&gt;0,1,0))</f>
        <v>0</v>
      </c>
      <c r="CE177" s="39" t="n">
        <f aca="false">IF(CE$4=0,0,IF(COUNTIFS(実績!$W$6:$W$505,CE$3,実績!$AI$6:$AI$505,"&lt;="&amp;$A177,実績!$AJ$6:$AJ$505,"&gt;"&amp;$A177,実績!$AK$6:$AK$505,"○")&gt;0,1,0))</f>
        <v>0</v>
      </c>
      <c r="CF177" s="39" t="n">
        <f aca="false">IF(CF$4=0,0,IF(COUNTIFS(実績!$W$6:$W$505,CF$3,実績!$AI$6:$AI$505,"&lt;="&amp;$A177,実績!$AJ$6:$AJ$505,"&gt;"&amp;$A177,実績!$AK$6:$AK$505,"○")&gt;0,1,0))</f>
        <v>0</v>
      </c>
      <c r="CG177" s="39" t="n">
        <f aca="false">IF(CG$4=0,0,IF(COUNTIFS(実績!$W$6:$W$505,CG$3,実績!$AI$6:$AI$505,"&lt;="&amp;$A177,実績!$AJ$6:$AJ$505,"&gt;"&amp;$A177,実績!$AK$6:$AK$505,"○")&gt;0,1,0))</f>
        <v>0</v>
      </c>
      <c r="CH177" s="39" t="n">
        <f aca="false">IF(CH$4=0,0,IF(COUNTIFS(実績!$W$6:$W$505,CH$3,実績!$AI$6:$AI$505,"&lt;="&amp;$A177,実績!$AJ$6:$AJ$505,"&gt;"&amp;$A177,実績!$AK$6:$AK$505,"○")&gt;0,1,0))</f>
        <v>0</v>
      </c>
      <c r="CI177" s="39" t="n">
        <f aca="false">IF(CI$4=0,0,IF(COUNTIFS(実績!$W$6:$W$505,CI$3,実績!$AI$6:$AI$505,"&lt;="&amp;$A177,実績!$AJ$6:$AJ$505,"&gt;"&amp;$A177,実績!$AK$6:$AK$505,"○")&gt;0,1,0))</f>
        <v>0</v>
      </c>
      <c r="CJ177" s="39" t="n">
        <f aca="false">IF(CJ$4=0,0,IF(COUNTIFS(実績!$W$6:$W$505,CJ$3,実績!$AI$6:$AI$505,"&lt;="&amp;$A177,実績!$AJ$6:$AJ$505,"&gt;"&amp;$A177,実績!$AK$6:$AK$505,"○")&gt;0,1,0))</f>
        <v>0</v>
      </c>
      <c r="CK177" s="39" t="n">
        <f aca="false">IF(CK$4=0,0,IF(COUNTIFS(実績!$W$6:$W$505,CK$3,実績!$AI$6:$AI$505,"&lt;="&amp;$A177,実績!$AJ$6:$AJ$505,"&gt;"&amp;$A177,実績!$AK$6:$AK$505,"○")&gt;0,1,0))</f>
        <v>0</v>
      </c>
      <c r="CL177" s="39" t="n">
        <f aca="false">IF(CL$4=0,0,IF(COUNTIFS(実績!$W$6:$W$505,CL$3,実績!$AI$6:$AI$505,"&lt;="&amp;$A177,実績!$AJ$6:$AJ$505,"&gt;"&amp;$A177,実績!$AK$6:$AK$505,"○")&gt;0,1,0))</f>
        <v>0</v>
      </c>
      <c r="CM177" s="39" t="n">
        <f aca="false">IF(CM$4=0,0,IF(COUNTIFS(実績!$W$6:$W$505,CM$3,実績!$AI$6:$AI$505,"&lt;="&amp;$A177,実績!$AJ$6:$AJ$505,"&gt;"&amp;$A177,実績!$AK$6:$AK$505,"○")&gt;0,1,0))</f>
        <v>0</v>
      </c>
      <c r="CN177" s="39" t="n">
        <f aca="false">IF(CN$4=0,0,IF(COUNTIFS(実績!$W$6:$W$505,CN$3,実績!$AI$6:$AI$505,"&lt;="&amp;$A177,実績!$AJ$6:$AJ$505,"&gt;"&amp;$A177,実績!$AK$6:$AK$505,"○")&gt;0,1,0))</f>
        <v>0</v>
      </c>
      <c r="CO177" s="39" t="n">
        <f aca="false">IF(CO$4=0,0,IF(COUNTIFS(実績!$W$6:$W$505,CO$3,実績!$AI$6:$AI$505,"&lt;="&amp;$A177,実績!$AJ$6:$AJ$505,"&gt;"&amp;$A177,実績!$AK$6:$AK$505,"○")&gt;0,1,0))</f>
        <v>0</v>
      </c>
      <c r="CP177" s="39" t="n">
        <f aca="false">IF(CP$4=0,0,IF(COUNTIFS(実績!$W$6:$W$505,CP$3,実績!$AI$6:$AI$505,"&lt;="&amp;$A177,実績!$AJ$6:$AJ$505,"&gt;"&amp;$A177,実績!$AK$6:$AK$505,"○")&gt;0,1,0))</f>
        <v>0</v>
      </c>
      <c r="CQ177" s="39" t="n">
        <f aca="false">IF(CQ$4=0,0,IF(COUNTIFS(実績!$W$6:$W$505,CQ$3,実績!$AI$6:$AI$505,"&lt;="&amp;$A177,実績!$AJ$6:$AJ$505,"&gt;"&amp;$A177,実績!$AK$6:$AK$505,"○")&gt;0,1,0))</f>
        <v>0</v>
      </c>
      <c r="CR177" s="39" t="n">
        <f aca="false">IF(CR$4=0,0,IF(COUNTIFS(実績!$W$6:$W$505,CR$3,実績!$AI$6:$AI$505,"&lt;="&amp;$A177,実績!$AJ$6:$AJ$505,"&gt;"&amp;$A177,実績!$AK$6:$AK$505,"○")&gt;0,1,0))</f>
        <v>0</v>
      </c>
      <c r="CS177" s="39" t="n">
        <f aca="false">IF(CS$4=0,0,IF(COUNTIFS(実績!$W$6:$W$505,CS$3,実績!$AI$6:$AI$505,"&lt;="&amp;$A177,実績!$AJ$6:$AJ$505,"&gt;"&amp;$A177,実績!$AK$6:$AK$505,"○")&gt;0,1,0))</f>
        <v>0</v>
      </c>
      <c r="CT177" s="39" t="n">
        <f aca="false">IF(CT$4=0,0,IF(COUNTIFS(実績!$W$6:$W$505,CT$3,実績!$AI$6:$AI$505,"&lt;="&amp;$A177,実績!$AJ$6:$AJ$505,"&gt;"&amp;$A177,実績!$AK$6:$AK$505,"○")&gt;0,1,0))</f>
        <v>0</v>
      </c>
      <c r="CU177" s="39" t="n">
        <f aca="false">IF(CU$4=0,0,IF(COUNTIFS(実績!$W$6:$W$505,CU$3,実績!$AI$6:$AI$505,"&lt;="&amp;$A177,実績!$AJ$6:$AJ$505,"&gt;"&amp;$A177,実績!$AK$6:$AK$505,"○")&gt;0,1,0))</f>
        <v>0</v>
      </c>
      <c r="CV177" s="39" t="n">
        <f aca="false">IF(CV$4=0,0,IF(COUNTIFS(実績!$W$6:$W$505,CV$3,実績!$AI$6:$AI$505,"&lt;="&amp;$A177,実績!$AJ$6:$AJ$505,"&gt;"&amp;$A177,実績!$AK$6:$AK$505,"○")&gt;0,1,0))</f>
        <v>0</v>
      </c>
      <c r="CW177" s="39" t="n">
        <f aca="false">IF(CW$4=0,0,IF(COUNTIFS(実績!$W$6:$W$505,CW$3,実績!$AI$6:$AI$505,"&lt;="&amp;$A177,実績!$AJ$6:$AJ$505,"&gt;"&amp;$A177,実績!$AK$6:$AK$505,"○")&gt;0,1,0))</f>
        <v>0</v>
      </c>
      <c r="CX177" s="39" t="n">
        <f aca="false">IF(CX$4=0,0,IF(COUNTIFS(実績!$W$6:$W$505,CX$3,実績!$AI$6:$AI$505,"&lt;="&amp;$A177,実績!$AJ$6:$AJ$505,"&gt;"&amp;$A177,実績!$AK$6:$AK$505,"○")&gt;0,1,0))</f>
        <v>0</v>
      </c>
      <c r="CY177" s="39" t="n">
        <f aca="false">IF(CY$4=0,0,IF(COUNTIFS(実績!$W$6:$W$505,CY$3,実績!$AI$6:$AI$505,"&lt;="&amp;$A177,実績!$AJ$6:$AJ$505,"&gt;"&amp;$A177,実績!$AK$6:$AK$505,"○")&gt;0,1,0))</f>
        <v>0</v>
      </c>
      <c r="CZ177" s="39" t="n">
        <f aca="false">IF(CZ$4=0,0,IF(COUNTIFS(実績!$W$6:$W$505,CZ$3,実績!$AI$6:$AI$505,"&lt;="&amp;$A177,実績!$AJ$6:$AJ$505,"&gt;"&amp;$A177,実績!$AK$6:$AK$505,"○")&gt;0,1,0))</f>
        <v>0</v>
      </c>
      <c r="DA177" s="39" t="n">
        <f aca="false">IF(DA$4=0,0,IF(COUNTIFS(実績!$W$6:$W$505,DA$3,実績!$AI$6:$AI$505,"&lt;="&amp;$A177,実績!$AJ$6:$AJ$505,"&gt;"&amp;$A177,実績!$AK$6:$AK$505,"○")&gt;0,1,0))</f>
        <v>0</v>
      </c>
      <c r="DB177" s="39" t="n">
        <f aca="false">IF(DB$4=0,0,IF(COUNTIFS(実績!$W$6:$W$505,DB$3,実績!$AI$6:$AI$505,"&lt;="&amp;$A177,実績!$AJ$6:$AJ$505,"&gt;"&amp;$A177,実績!$AK$6:$AK$505,"○")&gt;0,1,0))</f>
        <v>0</v>
      </c>
      <c r="DC177" s="39" t="n">
        <f aca="false">IF(DC$4=0,0,IF(COUNTIFS(実績!$W$6:$W$505,DC$3,実績!$AI$6:$AI$505,"&lt;="&amp;$A177,実績!$AJ$6:$AJ$505,"&gt;"&amp;$A177,実績!$AK$6:$AK$505,"○")&gt;0,1,0))</f>
        <v>0</v>
      </c>
      <c r="DD177" s="39" t="n">
        <f aca="false">IF(DD$4=0,0,IF(COUNTIFS(実績!$W$6:$W$505,DD$3,実績!$AI$6:$AI$505,"&lt;="&amp;$A177,実績!$AJ$6:$AJ$505,"&gt;"&amp;$A177,実績!$AK$6:$AK$505,"○")&gt;0,1,0))</f>
        <v>0</v>
      </c>
      <c r="DE177" s="39" t="n">
        <f aca="false">IF(DE$4=0,0,IF(COUNTIFS(実績!$W$6:$W$505,DE$3,実績!$AI$6:$AI$505,"&lt;="&amp;$A177,実績!$AJ$6:$AJ$505,"&gt;"&amp;$A177,実績!$AK$6:$AK$505,"○")&gt;0,1,0))</f>
        <v>0</v>
      </c>
      <c r="DF177" s="39" t="n">
        <f aca="false">IF(DF$4=0,0,IF(COUNTIFS(実績!$W$6:$W$505,DF$3,実績!$AI$6:$AI$505,"&lt;="&amp;$A177,実績!$AJ$6:$AJ$505,"&gt;"&amp;$A177,実績!$AK$6:$AK$505,"○")&gt;0,1,0))</f>
        <v>0</v>
      </c>
      <c r="DG177" s="39" t="n">
        <f aca="false">IF(DG$4=0,0,IF(COUNTIFS(実績!$W$6:$W$505,DG$3,実績!$AI$6:$AI$505,"&lt;="&amp;$A177,実績!$AJ$6:$AJ$505,"&gt;"&amp;$A177,実績!$AK$6:$AK$505,"○")&gt;0,1,0))</f>
        <v>0</v>
      </c>
      <c r="DH177" s="39" t="n">
        <f aca="false">IF(DH$4=0,0,IF(COUNTIFS(実績!$W$6:$W$505,DH$3,実績!$AI$6:$AI$505,"&lt;="&amp;$A177,実績!$AJ$6:$AJ$505,"&gt;"&amp;$A177,実績!$AK$6:$AK$505,"○")&gt;0,1,0))</f>
        <v>0</v>
      </c>
      <c r="DI177" s="39" t="n">
        <f aca="false">IF(DI$4=0,0,IF(COUNTIFS(実績!$W$6:$W$505,DI$3,実績!$AI$6:$AI$505,"&lt;="&amp;$A177,実績!$AJ$6:$AJ$505,"&gt;"&amp;$A177,実績!$AK$6:$AK$505,"○")&gt;0,1,0))</f>
        <v>0</v>
      </c>
      <c r="DJ177" s="39" t="n">
        <f aca="false">IF(DJ$4=0,0,IF(COUNTIFS(実績!$W$6:$W$505,DJ$3,実績!$AI$6:$AI$505,"&lt;="&amp;$A177,実績!$AJ$6:$AJ$505,"&gt;"&amp;$A177,実績!$AK$6:$AK$505,"○")&gt;0,1,0))</f>
        <v>0</v>
      </c>
      <c r="DK177" s="39" t="n">
        <f aca="false">IF(DK$4=0,0,IF(COUNTIFS(実績!$W$6:$W$505,DK$3,実績!$AI$6:$AI$505,"&lt;="&amp;$A177,実績!$AJ$6:$AJ$505,"&gt;"&amp;$A177,実績!$AK$6:$AK$505,"○")&gt;0,1,0))</f>
        <v>0</v>
      </c>
      <c r="DL177" s="39" t="n">
        <f aca="false">IF(DL$4=0,0,IF(COUNTIFS(実績!$W$6:$W$505,DL$3,実績!$AI$6:$AI$505,"&lt;="&amp;$A177,実績!$AJ$6:$AJ$505,"&gt;"&amp;$A177,実績!$AK$6:$AK$505,"○")&gt;0,1,0))</f>
        <v>0</v>
      </c>
      <c r="DM177" s="39" t="n">
        <f aca="false">IF(DM$4=0,0,IF(COUNTIFS(実績!$W$6:$W$505,DM$3,実績!$AI$6:$AI$505,"&lt;="&amp;$A177,実績!$AJ$6:$AJ$505,"&gt;"&amp;$A177,実績!$AK$6:$AK$505,"○")&gt;0,1,0))</f>
        <v>0</v>
      </c>
      <c r="DN177" s="39" t="n">
        <f aca="false">IF(DN$4=0,0,IF(COUNTIFS(実績!$W$6:$W$505,DN$3,実績!$AI$6:$AI$505,"&lt;="&amp;$A177,実績!$AJ$6:$AJ$505,"&gt;"&amp;$A177,実績!$AK$6:$AK$505,"○")&gt;0,1,0))</f>
        <v>0</v>
      </c>
      <c r="DO177" s="39" t="n">
        <f aca="false">IF(DO$4=0,0,IF(COUNTIFS(実績!$W$6:$W$505,DO$3,実績!$AI$6:$AI$505,"&lt;="&amp;$A177,実績!$AJ$6:$AJ$505,"&gt;"&amp;$A177,実績!$AK$6:$AK$505,"○")&gt;0,1,0))</f>
        <v>0</v>
      </c>
      <c r="DP177" s="39" t="n">
        <f aca="false">IF(DP$4=0,0,IF(COUNTIFS(実績!$W$6:$W$505,DP$3,実績!$AI$6:$AI$505,"&lt;="&amp;$A177,実績!$AJ$6:$AJ$505,"&gt;"&amp;$A177,実績!$AK$6:$AK$505,"○")&gt;0,1,0))</f>
        <v>0</v>
      </c>
      <c r="DQ177" s="39" t="n">
        <f aca="false">IF(DQ$4=0,0,IF(COUNTIFS(実績!$W$6:$W$505,DQ$3,実績!$AI$6:$AI$505,"&lt;="&amp;$A177,実績!$AJ$6:$AJ$505,"&gt;"&amp;$A177,実績!$AK$6:$AK$505,"○")&gt;0,1,0))</f>
        <v>0</v>
      </c>
      <c r="DR177" s="39" t="n">
        <f aca="false">IF(DR$4=0,0,IF(COUNTIFS(実績!$W$6:$W$505,DR$3,実績!$AI$6:$AI$505,"&lt;="&amp;$A177,実績!$AJ$6:$AJ$505,"&gt;"&amp;$A177,実績!$AK$6:$AK$505,"○")&gt;0,1,0))</f>
        <v>0</v>
      </c>
      <c r="DS177" s="39" t="n">
        <f aca="false">SUM(C177:DR177)</f>
        <v>0</v>
      </c>
      <c r="DT177" s="39" t="n">
        <f aca="false">SUMPRODUCT((実績!$C$6:$C$505="○")*ISNUMBER(実績!$AM$6:$AM$505)*(実績!$AM$6:$AM$505&lt;=$A177)*(実績!$AN$6:$AN$505&gt;$A177))</f>
        <v>0</v>
      </c>
      <c r="DU177" s="39" t="n">
        <f aca="false">SUMIF($C$2:$DR$2,"製鉄曳船",C177:DR177)</f>
        <v>0</v>
      </c>
      <c r="DV177" s="39" t="n">
        <f aca="false">SUMIF($C$2:$DR$2,"西日本海運",C177:DR177)</f>
        <v>0</v>
      </c>
    </row>
    <row r="178" customFormat="false" ht="15" hidden="false" customHeight="false" outlineLevel="0" collapsed="false">
      <c r="A178" s="0" t="n">
        <v>860</v>
      </c>
      <c r="B178" s="38" t="n">
        <f aca="false">A178/1440</f>
        <v>0.597222222222222</v>
      </c>
      <c r="C178" s="39" t="n">
        <f aca="false">IF(C$4=0,0,IF(COUNTIFS(実績!$W$6:$W$505,C$3,実績!$AI$6:$AI$505,"&lt;="&amp;$A178,実績!$AJ$6:$AJ$505,"&gt;"&amp;$A178,実績!$AK$6:$AK$505,"○")&gt;0,1,0))</f>
        <v>0</v>
      </c>
      <c r="D178" s="39" t="n">
        <f aca="false">IF(D$4=0,0,IF(COUNTIFS(実績!$W$6:$W$505,D$3,実績!$AI$6:$AI$505,"&lt;="&amp;$A178,実績!$AJ$6:$AJ$505,"&gt;"&amp;$A178,実績!$AK$6:$AK$505,"○")&gt;0,1,0))</f>
        <v>0</v>
      </c>
      <c r="E178" s="39" t="n">
        <f aca="false">IF(E$4=0,0,IF(COUNTIFS(実績!$W$6:$W$505,E$3,実績!$AI$6:$AI$505,"&lt;="&amp;$A178,実績!$AJ$6:$AJ$505,"&gt;"&amp;$A178,実績!$AK$6:$AK$505,"○")&gt;0,1,0))</f>
        <v>0</v>
      </c>
      <c r="F178" s="39" t="n">
        <f aca="false">IF(F$4=0,0,IF(COUNTIFS(実績!$W$6:$W$505,F$3,実績!$AI$6:$AI$505,"&lt;="&amp;$A178,実績!$AJ$6:$AJ$505,"&gt;"&amp;$A178,実績!$AK$6:$AK$505,"○")&gt;0,1,0))</f>
        <v>0</v>
      </c>
      <c r="G178" s="39" t="n">
        <f aca="false">IF(G$4=0,0,IF(COUNTIFS(実績!$W$6:$W$505,G$3,実績!$AI$6:$AI$505,"&lt;="&amp;$A178,実績!$AJ$6:$AJ$505,"&gt;"&amp;$A178,実績!$AK$6:$AK$505,"○")&gt;0,1,0))</f>
        <v>0</v>
      </c>
      <c r="H178" s="39" t="n">
        <f aca="false">IF(H$4=0,0,IF(COUNTIFS(実績!$W$6:$W$505,H$3,実績!$AI$6:$AI$505,"&lt;="&amp;$A178,実績!$AJ$6:$AJ$505,"&gt;"&amp;$A178,実績!$AK$6:$AK$505,"○")&gt;0,1,0))</f>
        <v>0</v>
      </c>
      <c r="I178" s="39" t="n">
        <f aca="false">IF(I$4=0,0,IF(COUNTIFS(実績!$W$6:$W$505,I$3,実績!$AI$6:$AI$505,"&lt;="&amp;$A178,実績!$AJ$6:$AJ$505,"&gt;"&amp;$A178,実績!$AK$6:$AK$505,"○")&gt;0,1,0))</f>
        <v>0</v>
      </c>
      <c r="J178" s="39" t="n">
        <f aca="false">IF(J$4=0,0,IF(COUNTIFS(実績!$W$6:$W$505,J$3,実績!$AI$6:$AI$505,"&lt;="&amp;$A178,実績!$AJ$6:$AJ$505,"&gt;"&amp;$A178,実績!$AK$6:$AK$505,"○")&gt;0,1,0))</f>
        <v>0</v>
      </c>
      <c r="K178" s="39" t="n">
        <f aca="false">IF(K$4=0,0,IF(COUNTIFS(実績!$W$6:$W$505,K$3,実績!$AI$6:$AI$505,"&lt;="&amp;$A178,実績!$AJ$6:$AJ$505,"&gt;"&amp;$A178,実績!$AK$6:$AK$505,"○")&gt;0,1,0))</f>
        <v>0</v>
      </c>
      <c r="L178" s="39" t="n">
        <f aca="false">IF(L$4=0,0,IF(COUNTIFS(実績!$W$6:$W$505,L$3,実績!$AI$6:$AI$505,"&lt;="&amp;$A178,実績!$AJ$6:$AJ$505,"&gt;"&amp;$A178,実績!$AK$6:$AK$505,"○")&gt;0,1,0))</f>
        <v>0</v>
      </c>
      <c r="M178" s="39" t="n">
        <f aca="false">IF(M$4=0,0,IF(COUNTIFS(実績!$W$6:$W$505,M$3,実績!$AI$6:$AI$505,"&lt;="&amp;$A178,実績!$AJ$6:$AJ$505,"&gt;"&amp;$A178,実績!$AK$6:$AK$505,"○")&gt;0,1,0))</f>
        <v>0</v>
      </c>
      <c r="N178" s="39" t="n">
        <f aca="false">IF(N$4=0,0,IF(COUNTIFS(実績!$W$6:$W$505,N$3,実績!$AI$6:$AI$505,"&lt;="&amp;$A178,実績!$AJ$6:$AJ$505,"&gt;"&amp;$A178,実績!$AK$6:$AK$505,"○")&gt;0,1,0))</f>
        <v>0</v>
      </c>
      <c r="O178" s="39" t="n">
        <f aca="false">IF(O$4=0,0,IF(COUNTIFS(実績!$W$6:$W$505,O$3,実績!$AI$6:$AI$505,"&lt;="&amp;$A178,実績!$AJ$6:$AJ$505,"&gt;"&amp;$A178,実績!$AK$6:$AK$505,"○")&gt;0,1,0))</f>
        <v>0</v>
      </c>
      <c r="P178" s="39" t="n">
        <f aca="false">IF(P$4=0,0,IF(COUNTIFS(実績!$W$6:$W$505,P$3,実績!$AI$6:$AI$505,"&lt;="&amp;$A178,実績!$AJ$6:$AJ$505,"&gt;"&amp;$A178,実績!$AK$6:$AK$505,"○")&gt;0,1,0))</f>
        <v>0</v>
      </c>
      <c r="Q178" s="39" t="n">
        <f aca="false">IF(Q$4=0,0,IF(COUNTIFS(実績!$W$6:$W$505,Q$3,実績!$AI$6:$AI$505,"&lt;="&amp;$A178,実績!$AJ$6:$AJ$505,"&gt;"&amp;$A178,実績!$AK$6:$AK$505,"○")&gt;0,1,0))</f>
        <v>0</v>
      </c>
      <c r="R178" s="39" t="n">
        <f aca="false">IF(R$4=0,0,IF(COUNTIFS(実績!$W$6:$W$505,R$3,実績!$AI$6:$AI$505,"&lt;="&amp;$A178,実績!$AJ$6:$AJ$505,"&gt;"&amp;$A178,実績!$AK$6:$AK$505,"○")&gt;0,1,0))</f>
        <v>0</v>
      </c>
      <c r="S178" s="39" t="n">
        <f aca="false">IF(S$4=0,0,IF(COUNTIFS(実績!$W$6:$W$505,S$3,実績!$AI$6:$AI$505,"&lt;="&amp;$A178,実績!$AJ$6:$AJ$505,"&gt;"&amp;$A178,実績!$AK$6:$AK$505,"○")&gt;0,1,0))</f>
        <v>0</v>
      </c>
      <c r="T178" s="39" t="n">
        <f aca="false">IF(T$4=0,0,IF(COUNTIFS(実績!$W$6:$W$505,T$3,実績!$AI$6:$AI$505,"&lt;="&amp;$A178,実績!$AJ$6:$AJ$505,"&gt;"&amp;$A178,実績!$AK$6:$AK$505,"○")&gt;0,1,0))</f>
        <v>0</v>
      </c>
      <c r="U178" s="39" t="n">
        <f aca="false">IF(U$4=0,0,IF(COUNTIFS(実績!$W$6:$W$505,U$3,実績!$AI$6:$AI$505,"&lt;="&amp;$A178,実績!$AJ$6:$AJ$505,"&gt;"&amp;$A178,実績!$AK$6:$AK$505,"○")&gt;0,1,0))</f>
        <v>0</v>
      </c>
      <c r="V178" s="39" t="n">
        <f aca="false">IF(V$4=0,0,IF(COUNTIFS(実績!$W$6:$W$505,V$3,実績!$AI$6:$AI$505,"&lt;="&amp;$A178,実績!$AJ$6:$AJ$505,"&gt;"&amp;$A178,実績!$AK$6:$AK$505,"○")&gt;0,1,0))</f>
        <v>0</v>
      </c>
      <c r="W178" s="39" t="n">
        <f aca="false">IF(W$4=0,0,IF(COUNTIFS(実績!$W$6:$W$505,W$3,実績!$AI$6:$AI$505,"&lt;="&amp;$A178,実績!$AJ$6:$AJ$505,"&gt;"&amp;$A178,実績!$AK$6:$AK$505,"○")&gt;0,1,0))</f>
        <v>0</v>
      </c>
      <c r="X178" s="39" t="n">
        <f aca="false">IF(X$4=0,0,IF(COUNTIFS(実績!$W$6:$W$505,X$3,実績!$AI$6:$AI$505,"&lt;="&amp;$A178,実績!$AJ$6:$AJ$505,"&gt;"&amp;$A178,実績!$AK$6:$AK$505,"○")&gt;0,1,0))</f>
        <v>0</v>
      </c>
      <c r="Y178" s="39" t="n">
        <f aca="false">IF(Y$4=0,0,IF(COUNTIFS(実績!$W$6:$W$505,Y$3,実績!$AI$6:$AI$505,"&lt;="&amp;$A178,実績!$AJ$6:$AJ$505,"&gt;"&amp;$A178,実績!$AK$6:$AK$505,"○")&gt;0,1,0))</f>
        <v>0</v>
      </c>
      <c r="Z178" s="39" t="n">
        <f aca="false">IF(Z$4=0,0,IF(COUNTIFS(実績!$W$6:$W$505,Z$3,実績!$AI$6:$AI$505,"&lt;="&amp;$A178,実績!$AJ$6:$AJ$505,"&gt;"&amp;$A178,実績!$AK$6:$AK$505,"○")&gt;0,1,0))</f>
        <v>0</v>
      </c>
      <c r="AA178" s="39" t="n">
        <f aca="false">IF(AA$4=0,0,IF(COUNTIFS(実績!$W$6:$W$505,AA$3,実績!$AI$6:$AI$505,"&lt;="&amp;$A178,実績!$AJ$6:$AJ$505,"&gt;"&amp;$A178,実績!$AK$6:$AK$505,"○")&gt;0,1,0))</f>
        <v>0</v>
      </c>
      <c r="AB178" s="39" t="n">
        <f aca="false">IF(AB$4=0,0,IF(COUNTIFS(実績!$W$6:$W$505,AB$3,実績!$AI$6:$AI$505,"&lt;="&amp;$A178,実績!$AJ$6:$AJ$505,"&gt;"&amp;$A178,実績!$AK$6:$AK$505,"○")&gt;0,1,0))</f>
        <v>0</v>
      </c>
      <c r="AC178" s="39" t="n">
        <f aca="false">IF(AC$4=0,0,IF(COUNTIFS(実績!$W$6:$W$505,AC$3,実績!$AI$6:$AI$505,"&lt;="&amp;$A178,実績!$AJ$6:$AJ$505,"&gt;"&amp;$A178,実績!$AK$6:$AK$505,"○")&gt;0,1,0))</f>
        <v>0</v>
      </c>
      <c r="AD178" s="39" t="n">
        <f aca="false">IF(AD$4=0,0,IF(COUNTIFS(実績!$W$6:$W$505,AD$3,実績!$AI$6:$AI$505,"&lt;="&amp;$A178,実績!$AJ$6:$AJ$505,"&gt;"&amp;$A178,実績!$AK$6:$AK$505,"○")&gt;0,1,0))</f>
        <v>0</v>
      </c>
      <c r="AE178" s="39" t="n">
        <f aca="false">IF(AE$4=0,0,IF(COUNTIFS(実績!$W$6:$W$505,AE$3,実績!$AI$6:$AI$505,"&lt;="&amp;$A178,実績!$AJ$6:$AJ$505,"&gt;"&amp;$A178,実績!$AK$6:$AK$505,"○")&gt;0,1,0))</f>
        <v>0</v>
      </c>
      <c r="AF178" s="39" t="n">
        <f aca="false">IF(AF$4=0,0,IF(COUNTIFS(実績!$W$6:$W$505,AF$3,実績!$AI$6:$AI$505,"&lt;="&amp;$A178,実績!$AJ$6:$AJ$505,"&gt;"&amp;$A178,実績!$AK$6:$AK$505,"○")&gt;0,1,0))</f>
        <v>0</v>
      </c>
      <c r="AG178" s="39" t="n">
        <f aca="false">IF(AG$4=0,0,IF(COUNTIFS(実績!$W$6:$W$505,AG$3,実績!$AI$6:$AI$505,"&lt;="&amp;$A178,実績!$AJ$6:$AJ$505,"&gt;"&amp;$A178,実績!$AK$6:$AK$505,"○")&gt;0,1,0))</f>
        <v>0</v>
      </c>
      <c r="AH178" s="39" t="n">
        <f aca="false">IF(AH$4=0,0,IF(COUNTIFS(実績!$W$6:$W$505,AH$3,実績!$AI$6:$AI$505,"&lt;="&amp;$A178,実績!$AJ$6:$AJ$505,"&gt;"&amp;$A178,実績!$AK$6:$AK$505,"○")&gt;0,1,0))</f>
        <v>0</v>
      </c>
      <c r="AI178" s="39" t="n">
        <f aca="false">IF(AI$4=0,0,IF(COUNTIFS(実績!$W$6:$W$505,AI$3,実績!$AI$6:$AI$505,"&lt;="&amp;$A178,実績!$AJ$6:$AJ$505,"&gt;"&amp;$A178,実績!$AK$6:$AK$505,"○")&gt;0,1,0))</f>
        <v>0</v>
      </c>
      <c r="AJ178" s="39" t="n">
        <f aca="false">IF(AJ$4=0,0,IF(COUNTIFS(実績!$W$6:$W$505,AJ$3,実績!$AI$6:$AI$505,"&lt;="&amp;$A178,実績!$AJ$6:$AJ$505,"&gt;"&amp;$A178,実績!$AK$6:$AK$505,"○")&gt;0,1,0))</f>
        <v>0</v>
      </c>
      <c r="AK178" s="39" t="n">
        <f aca="false">IF(AK$4=0,0,IF(COUNTIFS(実績!$W$6:$W$505,AK$3,実績!$AI$6:$AI$505,"&lt;="&amp;$A178,実績!$AJ$6:$AJ$505,"&gt;"&amp;$A178,実績!$AK$6:$AK$505,"○")&gt;0,1,0))</f>
        <v>0</v>
      </c>
      <c r="AL178" s="39" t="n">
        <f aca="false">IF(AL$4=0,0,IF(COUNTIFS(実績!$W$6:$W$505,AL$3,実績!$AI$6:$AI$505,"&lt;="&amp;$A178,実績!$AJ$6:$AJ$505,"&gt;"&amp;$A178,実績!$AK$6:$AK$505,"○")&gt;0,1,0))</f>
        <v>0</v>
      </c>
      <c r="AM178" s="39" t="n">
        <f aca="false">IF(AM$4=0,0,IF(COUNTIFS(実績!$W$6:$W$505,AM$3,実績!$AI$6:$AI$505,"&lt;="&amp;$A178,実績!$AJ$6:$AJ$505,"&gt;"&amp;$A178,実績!$AK$6:$AK$505,"○")&gt;0,1,0))</f>
        <v>0</v>
      </c>
      <c r="AN178" s="39" t="n">
        <f aca="false">IF(AN$4=0,0,IF(COUNTIFS(実績!$W$6:$W$505,AN$3,実績!$AI$6:$AI$505,"&lt;="&amp;$A178,実績!$AJ$6:$AJ$505,"&gt;"&amp;$A178,実績!$AK$6:$AK$505,"○")&gt;0,1,0))</f>
        <v>0</v>
      </c>
      <c r="AO178" s="39" t="n">
        <f aca="false">IF(AO$4=0,0,IF(COUNTIFS(実績!$W$6:$W$505,AO$3,実績!$AI$6:$AI$505,"&lt;="&amp;$A178,実績!$AJ$6:$AJ$505,"&gt;"&amp;$A178,実績!$AK$6:$AK$505,"○")&gt;0,1,0))</f>
        <v>0</v>
      </c>
      <c r="AP178" s="39" t="n">
        <f aca="false">IF(AP$4=0,0,IF(COUNTIFS(実績!$W$6:$W$505,AP$3,実績!$AI$6:$AI$505,"&lt;="&amp;$A178,実績!$AJ$6:$AJ$505,"&gt;"&amp;$A178,実績!$AK$6:$AK$505,"○")&gt;0,1,0))</f>
        <v>0</v>
      </c>
      <c r="AQ178" s="39" t="n">
        <f aca="false">IF(AQ$4=0,0,IF(COUNTIFS(実績!$W$6:$W$505,AQ$3,実績!$AI$6:$AI$505,"&lt;="&amp;$A178,実績!$AJ$6:$AJ$505,"&gt;"&amp;$A178,実績!$AK$6:$AK$505,"○")&gt;0,1,0))</f>
        <v>0</v>
      </c>
      <c r="AR178" s="39" t="n">
        <f aca="false">IF(AR$4=0,0,IF(COUNTIFS(実績!$W$6:$W$505,AR$3,実績!$AI$6:$AI$505,"&lt;="&amp;$A178,実績!$AJ$6:$AJ$505,"&gt;"&amp;$A178,実績!$AK$6:$AK$505,"○")&gt;0,1,0))</f>
        <v>0</v>
      </c>
      <c r="AS178" s="39" t="n">
        <f aca="false">IF(AS$4=0,0,IF(COUNTIFS(実績!$W$6:$W$505,AS$3,実績!$AI$6:$AI$505,"&lt;="&amp;$A178,実績!$AJ$6:$AJ$505,"&gt;"&amp;$A178,実績!$AK$6:$AK$505,"○")&gt;0,1,0))</f>
        <v>0</v>
      </c>
      <c r="AT178" s="39" t="n">
        <f aca="false">IF(AT$4=0,0,IF(COUNTIFS(実績!$W$6:$W$505,AT$3,実績!$AI$6:$AI$505,"&lt;="&amp;$A178,実績!$AJ$6:$AJ$505,"&gt;"&amp;$A178,実績!$AK$6:$AK$505,"○")&gt;0,1,0))</f>
        <v>0</v>
      </c>
      <c r="AU178" s="39" t="n">
        <f aca="false">IF(AU$4=0,0,IF(COUNTIFS(実績!$W$6:$W$505,AU$3,実績!$AI$6:$AI$505,"&lt;="&amp;$A178,実績!$AJ$6:$AJ$505,"&gt;"&amp;$A178,実績!$AK$6:$AK$505,"○")&gt;0,1,0))</f>
        <v>0</v>
      </c>
      <c r="AV178" s="39" t="n">
        <f aca="false">IF(AV$4=0,0,IF(COUNTIFS(実績!$W$6:$W$505,AV$3,実績!$AI$6:$AI$505,"&lt;="&amp;$A178,実績!$AJ$6:$AJ$505,"&gt;"&amp;$A178,実績!$AK$6:$AK$505,"○")&gt;0,1,0))</f>
        <v>0</v>
      </c>
      <c r="AW178" s="39" t="n">
        <f aca="false">IF(AW$4=0,0,IF(COUNTIFS(実績!$W$6:$W$505,AW$3,実績!$AI$6:$AI$505,"&lt;="&amp;$A178,実績!$AJ$6:$AJ$505,"&gt;"&amp;$A178,実績!$AK$6:$AK$505,"○")&gt;0,1,0))</f>
        <v>0</v>
      </c>
      <c r="AX178" s="39" t="n">
        <f aca="false">IF(AX$4=0,0,IF(COUNTIFS(実績!$W$6:$W$505,AX$3,実績!$AI$6:$AI$505,"&lt;="&amp;$A178,実績!$AJ$6:$AJ$505,"&gt;"&amp;$A178,実績!$AK$6:$AK$505,"○")&gt;0,1,0))</f>
        <v>0</v>
      </c>
      <c r="AY178" s="39" t="n">
        <f aca="false">IF(AY$4=0,0,IF(COUNTIFS(実績!$W$6:$W$505,AY$3,実績!$AI$6:$AI$505,"&lt;="&amp;$A178,実績!$AJ$6:$AJ$505,"&gt;"&amp;$A178,実績!$AK$6:$AK$505,"○")&gt;0,1,0))</f>
        <v>0</v>
      </c>
      <c r="AZ178" s="39" t="n">
        <f aca="false">IF(AZ$4=0,0,IF(COUNTIFS(実績!$W$6:$W$505,AZ$3,実績!$AI$6:$AI$505,"&lt;="&amp;$A178,実績!$AJ$6:$AJ$505,"&gt;"&amp;$A178,実績!$AK$6:$AK$505,"○")&gt;0,1,0))</f>
        <v>0</v>
      </c>
      <c r="BA178" s="39" t="n">
        <f aca="false">IF(BA$4=0,0,IF(COUNTIFS(実績!$W$6:$W$505,BA$3,実績!$AI$6:$AI$505,"&lt;="&amp;$A178,実績!$AJ$6:$AJ$505,"&gt;"&amp;$A178,実績!$AK$6:$AK$505,"○")&gt;0,1,0))</f>
        <v>0</v>
      </c>
      <c r="BB178" s="39" t="n">
        <f aca="false">IF(BB$4=0,0,IF(COUNTIFS(実績!$W$6:$W$505,BB$3,実績!$AI$6:$AI$505,"&lt;="&amp;$A178,実績!$AJ$6:$AJ$505,"&gt;"&amp;$A178,実績!$AK$6:$AK$505,"○")&gt;0,1,0))</f>
        <v>0</v>
      </c>
      <c r="BC178" s="39" t="n">
        <f aca="false">IF(BC$4=0,0,IF(COUNTIFS(実績!$W$6:$W$505,BC$3,実績!$AI$6:$AI$505,"&lt;="&amp;$A178,実績!$AJ$6:$AJ$505,"&gt;"&amp;$A178,実績!$AK$6:$AK$505,"○")&gt;0,1,0))</f>
        <v>0</v>
      </c>
      <c r="BD178" s="39" t="n">
        <f aca="false">IF(BD$4=0,0,IF(COUNTIFS(実績!$W$6:$W$505,BD$3,実績!$AI$6:$AI$505,"&lt;="&amp;$A178,実績!$AJ$6:$AJ$505,"&gt;"&amp;$A178,実績!$AK$6:$AK$505,"○")&gt;0,1,0))</f>
        <v>0</v>
      </c>
      <c r="BE178" s="39" t="n">
        <f aca="false">IF(BE$4=0,0,IF(COUNTIFS(実績!$W$6:$W$505,BE$3,実績!$AI$6:$AI$505,"&lt;="&amp;$A178,実績!$AJ$6:$AJ$505,"&gt;"&amp;$A178,実績!$AK$6:$AK$505,"○")&gt;0,1,0))</f>
        <v>0</v>
      </c>
      <c r="BF178" s="39" t="n">
        <f aca="false">IF(BF$4=0,0,IF(COUNTIFS(実績!$W$6:$W$505,BF$3,実績!$AI$6:$AI$505,"&lt;="&amp;$A178,実績!$AJ$6:$AJ$505,"&gt;"&amp;$A178,実績!$AK$6:$AK$505,"○")&gt;0,1,0))</f>
        <v>0</v>
      </c>
      <c r="BG178" s="39" t="n">
        <f aca="false">IF(BG$4=0,0,IF(COUNTIFS(実績!$W$6:$W$505,BG$3,実績!$AI$6:$AI$505,"&lt;="&amp;$A178,実績!$AJ$6:$AJ$505,"&gt;"&amp;$A178,実績!$AK$6:$AK$505,"○")&gt;0,1,0))</f>
        <v>0</v>
      </c>
      <c r="BH178" s="39" t="n">
        <f aca="false">IF(BH$4=0,0,IF(COUNTIFS(実績!$W$6:$W$505,BH$3,実績!$AI$6:$AI$505,"&lt;="&amp;$A178,実績!$AJ$6:$AJ$505,"&gt;"&amp;$A178,実績!$AK$6:$AK$505,"○")&gt;0,1,0))</f>
        <v>0</v>
      </c>
      <c r="BI178" s="39" t="n">
        <f aca="false">IF(BI$4=0,0,IF(COUNTIFS(実績!$W$6:$W$505,BI$3,実績!$AI$6:$AI$505,"&lt;="&amp;$A178,実績!$AJ$6:$AJ$505,"&gt;"&amp;$A178,実績!$AK$6:$AK$505,"○")&gt;0,1,0))</f>
        <v>0</v>
      </c>
      <c r="BJ178" s="39" t="n">
        <f aca="false">IF(BJ$4=0,0,IF(COUNTIFS(実績!$W$6:$W$505,BJ$3,実績!$AI$6:$AI$505,"&lt;="&amp;$A178,実績!$AJ$6:$AJ$505,"&gt;"&amp;$A178,実績!$AK$6:$AK$505,"○")&gt;0,1,0))</f>
        <v>0</v>
      </c>
      <c r="BK178" s="39" t="n">
        <f aca="false">IF(BK$4=0,0,IF(COUNTIFS(実績!$W$6:$W$505,BK$3,実績!$AI$6:$AI$505,"&lt;="&amp;$A178,実績!$AJ$6:$AJ$505,"&gt;"&amp;$A178,実績!$AK$6:$AK$505,"○")&gt;0,1,0))</f>
        <v>0</v>
      </c>
      <c r="BL178" s="39" t="n">
        <f aca="false">IF(BL$4=0,0,IF(COUNTIFS(実績!$W$6:$W$505,BL$3,実績!$AI$6:$AI$505,"&lt;="&amp;$A178,実績!$AJ$6:$AJ$505,"&gt;"&amp;$A178,実績!$AK$6:$AK$505,"○")&gt;0,1,0))</f>
        <v>0</v>
      </c>
      <c r="BM178" s="39" t="n">
        <f aca="false">IF(BM$4=0,0,IF(COUNTIFS(実績!$W$6:$W$505,BM$3,実績!$AI$6:$AI$505,"&lt;="&amp;$A178,実績!$AJ$6:$AJ$505,"&gt;"&amp;$A178,実績!$AK$6:$AK$505,"○")&gt;0,1,0))</f>
        <v>0</v>
      </c>
      <c r="BN178" s="39" t="n">
        <f aca="false">IF(BN$4=0,0,IF(COUNTIFS(実績!$W$6:$W$505,BN$3,実績!$AI$6:$AI$505,"&lt;="&amp;$A178,実績!$AJ$6:$AJ$505,"&gt;"&amp;$A178,実績!$AK$6:$AK$505,"○")&gt;0,1,0))</f>
        <v>0</v>
      </c>
      <c r="BO178" s="39" t="n">
        <f aca="false">IF(BO$4=0,0,IF(COUNTIFS(実績!$W$6:$W$505,BO$3,実績!$AI$6:$AI$505,"&lt;="&amp;$A178,実績!$AJ$6:$AJ$505,"&gt;"&amp;$A178,実績!$AK$6:$AK$505,"○")&gt;0,1,0))</f>
        <v>0</v>
      </c>
      <c r="BP178" s="39" t="n">
        <f aca="false">IF(BP$4=0,0,IF(COUNTIFS(実績!$W$6:$W$505,BP$3,実績!$AI$6:$AI$505,"&lt;="&amp;$A178,実績!$AJ$6:$AJ$505,"&gt;"&amp;$A178,実績!$AK$6:$AK$505,"○")&gt;0,1,0))</f>
        <v>0</v>
      </c>
      <c r="BQ178" s="39" t="n">
        <f aca="false">IF(BQ$4=0,0,IF(COUNTIFS(実績!$W$6:$W$505,BQ$3,実績!$AI$6:$AI$505,"&lt;="&amp;$A178,実績!$AJ$6:$AJ$505,"&gt;"&amp;$A178,実績!$AK$6:$AK$505,"○")&gt;0,1,0))</f>
        <v>0</v>
      </c>
      <c r="BR178" s="39" t="n">
        <f aca="false">IF(BR$4=0,0,IF(COUNTIFS(実績!$W$6:$W$505,BR$3,実績!$AI$6:$AI$505,"&lt;="&amp;$A178,実績!$AJ$6:$AJ$505,"&gt;"&amp;$A178,実績!$AK$6:$AK$505,"○")&gt;0,1,0))</f>
        <v>0</v>
      </c>
      <c r="BS178" s="39" t="n">
        <f aca="false">IF(BS$4=0,0,IF(COUNTIFS(実績!$W$6:$W$505,BS$3,実績!$AI$6:$AI$505,"&lt;="&amp;$A178,実績!$AJ$6:$AJ$505,"&gt;"&amp;$A178,実績!$AK$6:$AK$505,"○")&gt;0,1,0))</f>
        <v>0</v>
      </c>
      <c r="BT178" s="39" t="n">
        <f aca="false">IF(BT$4=0,0,IF(COUNTIFS(実績!$W$6:$W$505,BT$3,実績!$AI$6:$AI$505,"&lt;="&amp;$A178,実績!$AJ$6:$AJ$505,"&gt;"&amp;$A178,実績!$AK$6:$AK$505,"○")&gt;0,1,0))</f>
        <v>0</v>
      </c>
      <c r="BU178" s="39" t="n">
        <f aca="false">IF(BU$4=0,0,IF(COUNTIFS(実績!$W$6:$W$505,BU$3,実績!$AI$6:$AI$505,"&lt;="&amp;$A178,実績!$AJ$6:$AJ$505,"&gt;"&amp;$A178,実績!$AK$6:$AK$505,"○")&gt;0,1,0))</f>
        <v>0</v>
      </c>
      <c r="BV178" s="39" t="n">
        <f aca="false">IF(BV$4=0,0,IF(COUNTIFS(実績!$W$6:$W$505,BV$3,実績!$AI$6:$AI$505,"&lt;="&amp;$A178,実績!$AJ$6:$AJ$505,"&gt;"&amp;$A178,実績!$AK$6:$AK$505,"○")&gt;0,1,0))</f>
        <v>0</v>
      </c>
      <c r="BW178" s="39" t="n">
        <f aca="false">IF(BW$4=0,0,IF(COUNTIFS(実績!$W$6:$W$505,BW$3,実績!$AI$6:$AI$505,"&lt;="&amp;$A178,実績!$AJ$6:$AJ$505,"&gt;"&amp;$A178,実績!$AK$6:$AK$505,"○")&gt;0,1,0))</f>
        <v>0</v>
      </c>
      <c r="BX178" s="39" t="n">
        <f aca="false">IF(BX$4=0,0,IF(COUNTIFS(実績!$W$6:$W$505,BX$3,実績!$AI$6:$AI$505,"&lt;="&amp;$A178,実績!$AJ$6:$AJ$505,"&gt;"&amp;$A178,実績!$AK$6:$AK$505,"○")&gt;0,1,0))</f>
        <v>0</v>
      </c>
      <c r="BY178" s="39" t="n">
        <f aca="false">IF(BY$4=0,0,IF(COUNTIFS(実績!$W$6:$W$505,BY$3,実績!$AI$6:$AI$505,"&lt;="&amp;$A178,実績!$AJ$6:$AJ$505,"&gt;"&amp;$A178,実績!$AK$6:$AK$505,"○")&gt;0,1,0))</f>
        <v>0</v>
      </c>
      <c r="BZ178" s="39" t="n">
        <f aca="false">IF(BZ$4=0,0,IF(COUNTIFS(実績!$W$6:$W$505,BZ$3,実績!$AI$6:$AI$505,"&lt;="&amp;$A178,実績!$AJ$6:$AJ$505,"&gt;"&amp;$A178,実績!$AK$6:$AK$505,"○")&gt;0,1,0))</f>
        <v>0</v>
      </c>
      <c r="CA178" s="39" t="n">
        <f aca="false">IF(CA$4=0,0,IF(COUNTIFS(実績!$W$6:$W$505,CA$3,実績!$AI$6:$AI$505,"&lt;="&amp;$A178,実績!$AJ$6:$AJ$505,"&gt;"&amp;$A178,実績!$AK$6:$AK$505,"○")&gt;0,1,0))</f>
        <v>0</v>
      </c>
      <c r="CB178" s="39" t="n">
        <f aca="false">IF(CB$4=0,0,IF(COUNTIFS(実績!$W$6:$W$505,CB$3,実績!$AI$6:$AI$505,"&lt;="&amp;$A178,実績!$AJ$6:$AJ$505,"&gt;"&amp;$A178,実績!$AK$6:$AK$505,"○")&gt;0,1,0))</f>
        <v>0</v>
      </c>
      <c r="CC178" s="39" t="n">
        <f aca="false">IF(CC$4=0,0,IF(COUNTIFS(実績!$W$6:$W$505,CC$3,実績!$AI$6:$AI$505,"&lt;="&amp;$A178,実績!$AJ$6:$AJ$505,"&gt;"&amp;$A178,実績!$AK$6:$AK$505,"○")&gt;0,1,0))</f>
        <v>0</v>
      </c>
      <c r="CD178" s="39" t="n">
        <f aca="false">IF(CD$4=0,0,IF(COUNTIFS(実績!$W$6:$W$505,CD$3,実績!$AI$6:$AI$505,"&lt;="&amp;$A178,実績!$AJ$6:$AJ$505,"&gt;"&amp;$A178,実績!$AK$6:$AK$505,"○")&gt;0,1,0))</f>
        <v>0</v>
      </c>
      <c r="CE178" s="39" t="n">
        <f aca="false">IF(CE$4=0,0,IF(COUNTIFS(実績!$W$6:$W$505,CE$3,実績!$AI$6:$AI$505,"&lt;="&amp;$A178,実績!$AJ$6:$AJ$505,"&gt;"&amp;$A178,実績!$AK$6:$AK$505,"○")&gt;0,1,0))</f>
        <v>0</v>
      </c>
      <c r="CF178" s="39" t="n">
        <f aca="false">IF(CF$4=0,0,IF(COUNTIFS(実績!$W$6:$W$505,CF$3,実績!$AI$6:$AI$505,"&lt;="&amp;$A178,実績!$AJ$6:$AJ$505,"&gt;"&amp;$A178,実績!$AK$6:$AK$505,"○")&gt;0,1,0))</f>
        <v>0</v>
      </c>
      <c r="CG178" s="39" t="n">
        <f aca="false">IF(CG$4=0,0,IF(COUNTIFS(実績!$W$6:$W$505,CG$3,実績!$AI$6:$AI$505,"&lt;="&amp;$A178,実績!$AJ$6:$AJ$505,"&gt;"&amp;$A178,実績!$AK$6:$AK$505,"○")&gt;0,1,0))</f>
        <v>0</v>
      </c>
      <c r="CH178" s="39" t="n">
        <f aca="false">IF(CH$4=0,0,IF(COUNTIFS(実績!$W$6:$W$505,CH$3,実績!$AI$6:$AI$505,"&lt;="&amp;$A178,実績!$AJ$6:$AJ$505,"&gt;"&amp;$A178,実績!$AK$6:$AK$505,"○")&gt;0,1,0))</f>
        <v>0</v>
      </c>
      <c r="CI178" s="39" t="n">
        <f aca="false">IF(CI$4=0,0,IF(COUNTIFS(実績!$W$6:$W$505,CI$3,実績!$AI$6:$AI$505,"&lt;="&amp;$A178,実績!$AJ$6:$AJ$505,"&gt;"&amp;$A178,実績!$AK$6:$AK$505,"○")&gt;0,1,0))</f>
        <v>0</v>
      </c>
      <c r="CJ178" s="39" t="n">
        <f aca="false">IF(CJ$4=0,0,IF(COUNTIFS(実績!$W$6:$W$505,CJ$3,実績!$AI$6:$AI$505,"&lt;="&amp;$A178,実績!$AJ$6:$AJ$505,"&gt;"&amp;$A178,実績!$AK$6:$AK$505,"○")&gt;0,1,0))</f>
        <v>0</v>
      </c>
      <c r="CK178" s="39" t="n">
        <f aca="false">IF(CK$4=0,0,IF(COUNTIFS(実績!$W$6:$W$505,CK$3,実績!$AI$6:$AI$505,"&lt;="&amp;$A178,実績!$AJ$6:$AJ$505,"&gt;"&amp;$A178,実績!$AK$6:$AK$505,"○")&gt;0,1,0))</f>
        <v>0</v>
      </c>
      <c r="CL178" s="39" t="n">
        <f aca="false">IF(CL$4=0,0,IF(COUNTIFS(実績!$W$6:$W$505,CL$3,実績!$AI$6:$AI$505,"&lt;="&amp;$A178,実績!$AJ$6:$AJ$505,"&gt;"&amp;$A178,実績!$AK$6:$AK$505,"○")&gt;0,1,0))</f>
        <v>0</v>
      </c>
      <c r="CM178" s="39" t="n">
        <f aca="false">IF(CM$4=0,0,IF(COUNTIFS(実績!$W$6:$W$505,CM$3,実績!$AI$6:$AI$505,"&lt;="&amp;$A178,実績!$AJ$6:$AJ$505,"&gt;"&amp;$A178,実績!$AK$6:$AK$505,"○")&gt;0,1,0))</f>
        <v>0</v>
      </c>
      <c r="CN178" s="39" t="n">
        <f aca="false">IF(CN$4=0,0,IF(COUNTIFS(実績!$W$6:$W$505,CN$3,実績!$AI$6:$AI$505,"&lt;="&amp;$A178,実績!$AJ$6:$AJ$505,"&gt;"&amp;$A178,実績!$AK$6:$AK$505,"○")&gt;0,1,0))</f>
        <v>0</v>
      </c>
      <c r="CO178" s="39" t="n">
        <f aca="false">IF(CO$4=0,0,IF(COUNTIFS(実績!$W$6:$W$505,CO$3,実績!$AI$6:$AI$505,"&lt;="&amp;$A178,実績!$AJ$6:$AJ$505,"&gt;"&amp;$A178,実績!$AK$6:$AK$505,"○")&gt;0,1,0))</f>
        <v>0</v>
      </c>
      <c r="CP178" s="39" t="n">
        <f aca="false">IF(CP$4=0,0,IF(COUNTIFS(実績!$W$6:$W$505,CP$3,実績!$AI$6:$AI$505,"&lt;="&amp;$A178,実績!$AJ$6:$AJ$505,"&gt;"&amp;$A178,実績!$AK$6:$AK$505,"○")&gt;0,1,0))</f>
        <v>0</v>
      </c>
      <c r="CQ178" s="39" t="n">
        <f aca="false">IF(CQ$4=0,0,IF(COUNTIFS(実績!$W$6:$W$505,CQ$3,実績!$AI$6:$AI$505,"&lt;="&amp;$A178,実績!$AJ$6:$AJ$505,"&gt;"&amp;$A178,実績!$AK$6:$AK$505,"○")&gt;0,1,0))</f>
        <v>0</v>
      </c>
      <c r="CR178" s="39" t="n">
        <f aca="false">IF(CR$4=0,0,IF(COUNTIFS(実績!$W$6:$W$505,CR$3,実績!$AI$6:$AI$505,"&lt;="&amp;$A178,実績!$AJ$6:$AJ$505,"&gt;"&amp;$A178,実績!$AK$6:$AK$505,"○")&gt;0,1,0))</f>
        <v>0</v>
      </c>
      <c r="CS178" s="39" t="n">
        <f aca="false">IF(CS$4=0,0,IF(COUNTIFS(実績!$W$6:$W$505,CS$3,実績!$AI$6:$AI$505,"&lt;="&amp;$A178,実績!$AJ$6:$AJ$505,"&gt;"&amp;$A178,実績!$AK$6:$AK$505,"○")&gt;0,1,0))</f>
        <v>0</v>
      </c>
      <c r="CT178" s="39" t="n">
        <f aca="false">IF(CT$4=0,0,IF(COUNTIFS(実績!$W$6:$W$505,CT$3,実績!$AI$6:$AI$505,"&lt;="&amp;$A178,実績!$AJ$6:$AJ$505,"&gt;"&amp;$A178,実績!$AK$6:$AK$505,"○")&gt;0,1,0))</f>
        <v>0</v>
      </c>
      <c r="CU178" s="39" t="n">
        <f aca="false">IF(CU$4=0,0,IF(COUNTIFS(実績!$W$6:$W$505,CU$3,実績!$AI$6:$AI$505,"&lt;="&amp;$A178,実績!$AJ$6:$AJ$505,"&gt;"&amp;$A178,実績!$AK$6:$AK$505,"○")&gt;0,1,0))</f>
        <v>0</v>
      </c>
      <c r="CV178" s="39" t="n">
        <f aca="false">IF(CV$4=0,0,IF(COUNTIFS(実績!$W$6:$W$505,CV$3,実績!$AI$6:$AI$505,"&lt;="&amp;$A178,実績!$AJ$6:$AJ$505,"&gt;"&amp;$A178,実績!$AK$6:$AK$505,"○")&gt;0,1,0))</f>
        <v>0</v>
      </c>
      <c r="CW178" s="39" t="n">
        <f aca="false">IF(CW$4=0,0,IF(COUNTIFS(実績!$W$6:$W$505,CW$3,実績!$AI$6:$AI$505,"&lt;="&amp;$A178,実績!$AJ$6:$AJ$505,"&gt;"&amp;$A178,実績!$AK$6:$AK$505,"○")&gt;0,1,0))</f>
        <v>0</v>
      </c>
      <c r="CX178" s="39" t="n">
        <f aca="false">IF(CX$4=0,0,IF(COUNTIFS(実績!$W$6:$W$505,CX$3,実績!$AI$6:$AI$505,"&lt;="&amp;$A178,実績!$AJ$6:$AJ$505,"&gt;"&amp;$A178,実績!$AK$6:$AK$505,"○")&gt;0,1,0))</f>
        <v>0</v>
      </c>
      <c r="CY178" s="39" t="n">
        <f aca="false">IF(CY$4=0,0,IF(COUNTIFS(実績!$W$6:$W$505,CY$3,実績!$AI$6:$AI$505,"&lt;="&amp;$A178,実績!$AJ$6:$AJ$505,"&gt;"&amp;$A178,実績!$AK$6:$AK$505,"○")&gt;0,1,0))</f>
        <v>0</v>
      </c>
      <c r="CZ178" s="39" t="n">
        <f aca="false">IF(CZ$4=0,0,IF(COUNTIFS(実績!$W$6:$W$505,CZ$3,実績!$AI$6:$AI$505,"&lt;="&amp;$A178,実績!$AJ$6:$AJ$505,"&gt;"&amp;$A178,実績!$AK$6:$AK$505,"○")&gt;0,1,0))</f>
        <v>0</v>
      </c>
      <c r="DA178" s="39" t="n">
        <f aca="false">IF(DA$4=0,0,IF(COUNTIFS(実績!$W$6:$W$505,DA$3,実績!$AI$6:$AI$505,"&lt;="&amp;$A178,実績!$AJ$6:$AJ$505,"&gt;"&amp;$A178,実績!$AK$6:$AK$505,"○")&gt;0,1,0))</f>
        <v>0</v>
      </c>
      <c r="DB178" s="39" t="n">
        <f aca="false">IF(DB$4=0,0,IF(COUNTIFS(実績!$W$6:$W$505,DB$3,実績!$AI$6:$AI$505,"&lt;="&amp;$A178,実績!$AJ$6:$AJ$505,"&gt;"&amp;$A178,実績!$AK$6:$AK$505,"○")&gt;0,1,0))</f>
        <v>0</v>
      </c>
      <c r="DC178" s="39" t="n">
        <f aca="false">IF(DC$4=0,0,IF(COUNTIFS(実績!$W$6:$W$505,DC$3,実績!$AI$6:$AI$505,"&lt;="&amp;$A178,実績!$AJ$6:$AJ$505,"&gt;"&amp;$A178,実績!$AK$6:$AK$505,"○")&gt;0,1,0))</f>
        <v>0</v>
      </c>
      <c r="DD178" s="39" t="n">
        <f aca="false">IF(DD$4=0,0,IF(COUNTIFS(実績!$W$6:$W$505,DD$3,実績!$AI$6:$AI$505,"&lt;="&amp;$A178,実績!$AJ$6:$AJ$505,"&gt;"&amp;$A178,実績!$AK$6:$AK$505,"○")&gt;0,1,0))</f>
        <v>0</v>
      </c>
      <c r="DE178" s="39" t="n">
        <f aca="false">IF(DE$4=0,0,IF(COUNTIFS(実績!$W$6:$W$505,DE$3,実績!$AI$6:$AI$505,"&lt;="&amp;$A178,実績!$AJ$6:$AJ$505,"&gt;"&amp;$A178,実績!$AK$6:$AK$505,"○")&gt;0,1,0))</f>
        <v>0</v>
      </c>
      <c r="DF178" s="39" t="n">
        <f aca="false">IF(DF$4=0,0,IF(COUNTIFS(実績!$W$6:$W$505,DF$3,実績!$AI$6:$AI$505,"&lt;="&amp;$A178,実績!$AJ$6:$AJ$505,"&gt;"&amp;$A178,実績!$AK$6:$AK$505,"○")&gt;0,1,0))</f>
        <v>0</v>
      </c>
      <c r="DG178" s="39" t="n">
        <f aca="false">IF(DG$4=0,0,IF(COUNTIFS(実績!$W$6:$W$505,DG$3,実績!$AI$6:$AI$505,"&lt;="&amp;$A178,実績!$AJ$6:$AJ$505,"&gt;"&amp;$A178,実績!$AK$6:$AK$505,"○")&gt;0,1,0))</f>
        <v>0</v>
      </c>
      <c r="DH178" s="39" t="n">
        <f aca="false">IF(DH$4=0,0,IF(COUNTIFS(実績!$W$6:$W$505,DH$3,実績!$AI$6:$AI$505,"&lt;="&amp;$A178,実績!$AJ$6:$AJ$505,"&gt;"&amp;$A178,実績!$AK$6:$AK$505,"○")&gt;0,1,0))</f>
        <v>0</v>
      </c>
      <c r="DI178" s="39" t="n">
        <f aca="false">IF(DI$4=0,0,IF(COUNTIFS(実績!$W$6:$W$505,DI$3,実績!$AI$6:$AI$505,"&lt;="&amp;$A178,実績!$AJ$6:$AJ$505,"&gt;"&amp;$A178,実績!$AK$6:$AK$505,"○")&gt;0,1,0))</f>
        <v>0</v>
      </c>
      <c r="DJ178" s="39" t="n">
        <f aca="false">IF(DJ$4=0,0,IF(COUNTIFS(実績!$W$6:$W$505,DJ$3,実績!$AI$6:$AI$505,"&lt;="&amp;$A178,実績!$AJ$6:$AJ$505,"&gt;"&amp;$A178,実績!$AK$6:$AK$505,"○")&gt;0,1,0))</f>
        <v>0</v>
      </c>
      <c r="DK178" s="39" t="n">
        <f aca="false">IF(DK$4=0,0,IF(COUNTIFS(実績!$W$6:$W$505,DK$3,実績!$AI$6:$AI$505,"&lt;="&amp;$A178,実績!$AJ$6:$AJ$505,"&gt;"&amp;$A178,実績!$AK$6:$AK$505,"○")&gt;0,1,0))</f>
        <v>0</v>
      </c>
      <c r="DL178" s="39" t="n">
        <f aca="false">IF(DL$4=0,0,IF(COUNTIFS(実績!$W$6:$W$505,DL$3,実績!$AI$6:$AI$505,"&lt;="&amp;$A178,実績!$AJ$6:$AJ$505,"&gt;"&amp;$A178,実績!$AK$6:$AK$505,"○")&gt;0,1,0))</f>
        <v>0</v>
      </c>
      <c r="DM178" s="39" t="n">
        <f aca="false">IF(DM$4=0,0,IF(COUNTIFS(実績!$W$6:$W$505,DM$3,実績!$AI$6:$AI$505,"&lt;="&amp;$A178,実績!$AJ$6:$AJ$505,"&gt;"&amp;$A178,実績!$AK$6:$AK$505,"○")&gt;0,1,0))</f>
        <v>0</v>
      </c>
      <c r="DN178" s="39" t="n">
        <f aca="false">IF(DN$4=0,0,IF(COUNTIFS(実績!$W$6:$W$505,DN$3,実績!$AI$6:$AI$505,"&lt;="&amp;$A178,実績!$AJ$6:$AJ$505,"&gt;"&amp;$A178,実績!$AK$6:$AK$505,"○")&gt;0,1,0))</f>
        <v>0</v>
      </c>
      <c r="DO178" s="39" t="n">
        <f aca="false">IF(DO$4=0,0,IF(COUNTIFS(実績!$W$6:$W$505,DO$3,実績!$AI$6:$AI$505,"&lt;="&amp;$A178,実績!$AJ$6:$AJ$505,"&gt;"&amp;$A178,実績!$AK$6:$AK$505,"○")&gt;0,1,0))</f>
        <v>0</v>
      </c>
      <c r="DP178" s="39" t="n">
        <f aca="false">IF(DP$4=0,0,IF(COUNTIFS(実績!$W$6:$W$505,DP$3,実績!$AI$6:$AI$505,"&lt;="&amp;$A178,実績!$AJ$6:$AJ$505,"&gt;"&amp;$A178,実績!$AK$6:$AK$505,"○")&gt;0,1,0))</f>
        <v>0</v>
      </c>
      <c r="DQ178" s="39" t="n">
        <f aca="false">IF(DQ$4=0,0,IF(COUNTIFS(実績!$W$6:$W$505,DQ$3,実績!$AI$6:$AI$505,"&lt;="&amp;$A178,実績!$AJ$6:$AJ$505,"&gt;"&amp;$A178,実績!$AK$6:$AK$505,"○")&gt;0,1,0))</f>
        <v>0</v>
      </c>
      <c r="DR178" s="39" t="n">
        <f aca="false">IF(DR$4=0,0,IF(COUNTIFS(実績!$W$6:$W$505,DR$3,実績!$AI$6:$AI$505,"&lt;="&amp;$A178,実績!$AJ$6:$AJ$505,"&gt;"&amp;$A178,実績!$AK$6:$AK$505,"○")&gt;0,1,0))</f>
        <v>0</v>
      </c>
      <c r="DS178" s="39" t="n">
        <f aca="false">SUM(C178:DR178)</f>
        <v>0</v>
      </c>
      <c r="DT178" s="39" t="n">
        <f aca="false">SUMPRODUCT((実績!$C$6:$C$505="○")*ISNUMBER(実績!$AM$6:$AM$505)*(実績!$AM$6:$AM$505&lt;=$A178)*(実績!$AN$6:$AN$505&gt;$A178))</f>
        <v>0</v>
      </c>
      <c r="DU178" s="39" t="n">
        <f aca="false">SUMIF($C$2:$DR$2,"製鉄曳船",C178:DR178)</f>
        <v>0</v>
      </c>
      <c r="DV178" s="39" t="n">
        <f aca="false">SUMIF($C$2:$DR$2,"西日本海運",C178:DR178)</f>
        <v>0</v>
      </c>
    </row>
    <row r="179" customFormat="false" ht="15" hidden="false" customHeight="false" outlineLevel="0" collapsed="false">
      <c r="A179" s="0" t="n">
        <v>865</v>
      </c>
      <c r="B179" s="38" t="n">
        <f aca="false">A179/1440</f>
        <v>0.600694444444444</v>
      </c>
      <c r="C179" s="39" t="n">
        <f aca="false">IF(C$4=0,0,IF(COUNTIFS(実績!$W$6:$W$505,C$3,実績!$AI$6:$AI$505,"&lt;="&amp;$A179,実績!$AJ$6:$AJ$505,"&gt;"&amp;$A179,実績!$AK$6:$AK$505,"○")&gt;0,1,0))</f>
        <v>0</v>
      </c>
      <c r="D179" s="39" t="n">
        <f aca="false">IF(D$4=0,0,IF(COUNTIFS(実績!$W$6:$W$505,D$3,実績!$AI$6:$AI$505,"&lt;="&amp;$A179,実績!$AJ$6:$AJ$505,"&gt;"&amp;$A179,実績!$AK$6:$AK$505,"○")&gt;0,1,0))</f>
        <v>0</v>
      </c>
      <c r="E179" s="39" t="n">
        <f aca="false">IF(E$4=0,0,IF(COUNTIFS(実績!$W$6:$W$505,E$3,実績!$AI$6:$AI$505,"&lt;="&amp;$A179,実績!$AJ$6:$AJ$505,"&gt;"&amp;$A179,実績!$AK$6:$AK$505,"○")&gt;0,1,0))</f>
        <v>0</v>
      </c>
      <c r="F179" s="39" t="n">
        <f aca="false">IF(F$4=0,0,IF(COUNTIFS(実績!$W$6:$W$505,F$3,実績!$AI$6:$AI$505,"&lt;="&amp;$A179,実績!$AJ$6:$AJ$505,"&gt;"&amp;$A179,実績!$AK$6:$AK$505,"○")&gt;0,1,0))</f>
        <v>0</v>
      </c>
      <c r="G179" s="39" t="n">
        <f aca="false">IF(G$4=0,0,IF(COUNTIFS(実績!$W$6:$W$505,G$3,実績!$AI$6:$AI$505,"&lt;="&amp;$A179,実績!$AJ$6:$AJ$505,"&gt;"&amp;$A179,実績!$AK$6:$AK$505,"○")&gt;0,1,0))</f>
        <v>0</v>
      </c>
      <c r="H179" s="39" t="n">
        <f aca="false">IF(H$4=0,0,IF(COUNTIFS(実績!$W$6:$W$505,H$3,実績!$AI$6:$AI$505,"&lt;="&amp;$A179,実績!$AJ$6:$AJ$505,"&gt;"&amp;$A179,実績!$AK$6:$AK$505,"○")&gt;0,1,0))</f>
        <v>0</v>
      </c>
      <c r="I179" s="39" t="n">
        <f aca="false">IF(I$4=0,0,IF(COUNTIFS(実績!$W$6:$W$505,I$3,実績!$AI$6:$AI$505,"&lt;="&amp;$A179,実績!$AJ$6:$AJ$505,"&gt;"&amp;$A179,実績!$AK$6:$AK$505,"○")&gt;0,1,0))</f>
        <v>0</v>
      </c>
      <c r="J179" s="39" t="n">
        <f aca="false">IF(J$4=0,0,IF(COUNTIFS(実績!$W$6:$W$505,J$3,実績!$AI$6:$AI$505,"&lt;="&amp;$A179,実績!$AJ$6:$AJ$505,"&gt;"&amp;$A179,実績!$AK$6:$AK$505,"○")&gt;0,1,0))</f>
        <v>0</v>
      </c>
      <c r="K179" s="39" t="n">
        <f aca="false">IF(K$4=0,0,IF(COUNTIFS(実績!$W$6:$W$505,K$3,実績!$AI$6:$AI$505,"&lt;="&amp;$A179,実績!$AJ$6:$AJ$505,"&gt;"&amp;$A179,実績!$AK$6:$AK$505,"○")&gt;0,1,0))</f>
        <v>0</v>
      </c>
      <c r="L179" s="39" t="n">
        <f aca="false">IF(L$4=0,0,IF(COUNTIFS(実績!$W$6:$W$505,L$3,実績!$AI$6:$AI$505,"&lt;="&amp;$A179,実績!$AJ$6:$AJ$505,"&gt;"&amp;$A179,実績!$AK$6:$AK$505,"○")&gt;0,1,0))</f>
        <v>0</v>
      </c>
      <c r="M179" s="39" t="n">
        <f aca="false">IF(M$4=0,0,IF(COUNTIFS(実績!$W$6:$W$505,M$3,実績!$AI$6:$AI$505,"&lt;="&amp;$A179,実績!$AJ$6:$AJ$505,"&gt;"&amp;$A179,実績!$AK$6:$AK$505,"○")&gt;0,1,0))</f>
        <v>0</v>
      </c>
      <c r="N179" s="39" t="n">
        <f aca="false">IF(N$4=0,0,IF(COUNTIFS(実績!$W$6:$W$505,N$3,実績!$AI$6:$AI$505,"&lt;="&amp;$A179,実績!$AJ$6:$AJ$505,"&gt;"&amp;$A179,実績!$AK$6:$AK$505,"○")&gt;0,1,0))</f>
        <v>0</v>
      </c>
      <c r="O179" s="39" t="n">
        <f aca="false">IF(O$4=0,0,IF(COUNTIFS(実績!$W$6:$W$505,O$3,実績!$AI$6:$AI$505,"&lt;="&amp;$A179,実績!$AJ$6:$AJ$505,"&gt;"&amp;$A179,実績!$AK$6:$AK$505,"○")&gt;0,1,0))</f>
        <v>0</v>
      </c>
      <c r="P179" s="39" t="n">
        <f aca="false">IF(P$4=0,0,IF(COUNTIFS(実績!$W$6:$W$505,P$3,実績!$AI$6:$AI$505,"&lt;="&amp;$A179,実績!$AJ$6:$AJ$505,"&gt;"&amp;$A179,実績!$AK$6:$AK$505,"○")&gt;0,1,0))</f>
        <v>0</v>
      </c>
      <c r="Q179" s="39" t="n">
        <f aca="false">IF(Q$4=0,0,IF(COUNTIFS(実績!$W$6:$W$505,Q$3,実績!$AI$6:$AI$505,"&lt;="&amp;$A179,実績!$AJ$6:$AJ$505,"&gt;"&amp;$A179,実績!$AK$6:$AK$505,"○")&gt;0,1,0))</f>
        <v>0</v>
      </c>
      <c r="R179" s="39" t="n">
        <f aca="false">IF(R$4=0,0,IF(COUNTIFS(実績!$W$6:$W$505,R$3,実績!$AI$6:$AI$505,"&lt;="&amp;$A179,実績!$AJ$6:$AJ$505,"&gt;"&amp;$A179,実績!$AK$6:$AK$505,"○")&gt;0,1,0))</f>
        <v>0</v>
      </c>
      <c r="S179" s="39" t="n">
        <f aca="false">IF(S$4=0,0,IF(COUNTIFS(実績!$W$6:$W$505,S$3,実績!$AI$6:$AI$505,"&lt;="&amp;$A179,実績!$AJ$6:$AJ$505,"&gt;"&amp;$A179,実績!$AK$6:$AK$505,"○")&gt;0,1,0))</f>
        <v>0</v>
      </c>
      <c r="T179" s="39" t="n">
        <f aca="false">IF(T$4=0,0,IF(COUNTIFS(実績!$W$6:$W$505,T$3,実績!$AI$6:$AI$505,"&lt;="&amp;$A179,実績!$AJ$6:$AJ$505,"&gt;"&amp;$A179,実績!$AK$6:$AK$505,"○")&gt;0,1,0))</f>
        <v>0</v>
      </c>
      <c r="U179" s="39" t="n">
        <f aca="false">IF(U$4=0,0,IF(COUNTIFS(実績!$W$6:$W$505,U$3,実績!$AI$6:$AI$505,"&lt;="&amp;$A179,実績!$AJ$6:$AJ$505,"&gt;"&amp;$A179,実績!$AK$6:$AK$505,"○")&gt;0,1,0))</f>
        <v>0</v>
      </c>
      <c r="V179" s="39" t="n">
        <f aca="false">IF(V$4=0,0,IF(COUNTIFS(実績!$W$6:$W$505,V$3,実績!$AI$6:$AI$505,"&lt;="&amp;$A179,実績!$AJ$6:$AJ$505,"&gt;"&amp;$A179,実績!$AK$6:$AK$505,"○")&gt;0,1,0))</f>
        <v>0</v>
      </c>
      <c r="W179" s="39" t="n">
        <f aca="false">IF(W$4=0,0,IF(COUNTIFS(実績!$W$6:$W$505,W$3,実績!$AI$6:$AI$505,"&lt;="&amp;$A179,実績!$AJ$6:$AJ$505,"&gt;"&amp;$A179,実績!$AK$6:$AK$505,"○")&gt;0,1,0))</f>
        <v>0</v>
      </c>
      <c r="X179" s="39" t="n">
        <f aca="false">IF(X$4=0,0,IF(COUNTIFS(実績!$W$6:$W$505,X$3,実績!$AI$6:$AI$505,"&lt;="&amp;$A179,実績!$AJ$6:$AJ$505,"&gt;"&amp;$A179,実績!$AK$6:$AK$505,"○")&gt;0,1,0))</f>
        <v>0</v>
      </c>
      <c r="Y179" s="39" t="n">
        <f aca="false">IF(Y$4=0,0,IF(COUNTIFS(実績!$W$6:$W$505,Y$3,実績!$AI$6:$AI$505,"&lt;="&amp;$A179,実績!$AJ$6:$AJ$505,"&gt;"&amp;$A179,実績!$AK$6:$AK$505,"○")&gt;0,1,0))</f>
        <v>0</v>
      </c>
      <c r="Z179" s="39" t="n">
        <f aca="false">IF(Z$4=0,0,IF(COUNTIFS(実績!$W$6:$W$505,Z$3,実績!$AI$6:$AI$505,"&lt;="&amp;$A179,実績!$AJ$6:$AJ$505,"&gt;"&amp;$A179,実績!$AK$6:$AK$505,"○")&gt;0,1,0))</f>
        <v>0</v>
      </c>
      <c r="AA179" s="39" t="n">
        <f aca="false">IF(AA$4=0,0,IF(COUNTIFS(実績!$W$6:$W$505,AA$3,実績!$AI$6:$AI$505,"&lt;="&amp;$A179,実績!$AJ$6:$AJ$505,"&gt;"&amp;$A179,実績!$AK$6:$AK$505,"○")&gt;0,1,0))</f>
        <v>0</v>
      </c>
      <c r="AB179" s="39" t="n">
        <f aca="false">IF(AB$4=0,0,IF(COUNTIFS(実績!$W$6:$W$505,AB$3,実績!$AI$6:$AI$505,"&lt;="&amp;$A179,実績!$AJ$6:$AJ$505,"&gt;"&amp;$A179,実績!$AK$6:$AK$505,"○")&gt;0,1,0))</f>
        <v>0</v>
      </c>
      <c r="AC179" s="39" t="n">
        <f aca="false">IF(AC$4=0,0,IF(COUNTIFS(実績!$W$6:$W$505,AC$3,実績!$AI$6:$AI$505,"&lt;="&amp;$A179,実績!$AJ$6:$AJ$505,"&gt;"&amp;$A179,実績!$AK$6:$AK$505,"○")&gt;0,1,0))</f>
        <v>0</v>
      </c>
      <c r="AD179" s="39" t="n">
        <f aca="false">IF(AD$4=0,0,IF(COUNTIFS(実績!$W$6:$W$505,AD$3,実績!$AI$6:$AI$505,"&lt;="&amp;$A179,実績!$AJ$6:$AJ$505,"&gt;"&amp;$A179,実績!$AK$6:$AK$505,"○")&gt;0,1,0))</f>
        <v>0</v>
      </c>
      <c r="AE179" s="39" t="n">
        <f aca="false">IF(AE$4=0,0,IF(COUNTIFS(実績!$W$6:$W$505,AE$3,実績!$AI$6:$AI$505,"&lt;="&amp;$A179,実績!$AJ$6:$AJ$505,"&gt;"&amp;$A179,実績!$AK$6:$AK$505,"○")&gt;0,1,0))</f>
        <v>0</v>
      </c>
      <c r="AF179" s="39" t="n">
        <f aca="false">IF(AF$4=0,0,IF(COUNTIFS(実績!$W$6:$W$505,AF$3,実績!$AI$6:$AI$505,"&lt;="&amp;$A179,実績!$AJ$6:$AJ$505,"&gt;"&amp;$A179,実績!$AK$6:$AK$505,"○")&gt;0,1,0))</f>
        <v>0</v>
      </c>
      <c r="AG179" s="39" t="n">
        <f aca="false">IF(AG$4=0,0,IF(COUNTIFS(実績!$W$6:$W$505,AG$3,実績!$AI$6:$AI$505,"&lt;="&amp;$A179,実績!$AJ$6:$AJ$505,"&gt;"&amp;$A179,実績!$AK$6:$AK$505,"○")&gt;0,1,0))</f>
        <v>0</v>
      </c>
      <c r="AH179" s="39" t="n">
        <f aca="false">IF(AH$4=0,0,IF(COUNTIFS(実績!$W$6:$W$505,AH$3,実績!$AI$6:$AI$505,"&lt;="&amp;$A179,実績!$AJ$6:$AJ$505,"&gt;"&amp;$A179,実績!$AK$6:$AK$505,"○")&gt;0,1,0))</f>
        <v>0</v>
      </c>
      <c r="AI179" s="39" t="n">
        <f aca="false">IF(AI$4=0,0,IF(COUNTIFS(実績!$W$6:$W$505,AI$3,実績!$AI$6:$AI$505,"&lt;="&amp;$A179,実績!$AJ$6:$AJ$505,"&gt;"&amp;$A179,実績!$AK$6:$AK$505,"○")&gt;0,1,0))</f>
        <v>0</v>
      </c>
      <c r="AJ179" s="39" t="n">
        <f aca="false">IF(AJ$4=0,0,IF(COUNTIFS(実績!$W$6:$W$505,AJ$3,実績!$AI$6:$AI$505,"&lt;="&amp;$A179,実績!$AJ$6:$AJ$505,"&gt;"&amp;$A179,実績!$AK$6:$AK$505,"○")&gt;0,1,0))</f>
        <v>0</v>
      </c>
      <c r="AK179" s="39" t="n">
        <f aca="false">IF(AK$4=0,0,IF(COUNTIFS(実績!$W$6:$W$505,AK$3,実績!$AI$6:$AI$505,"&lt;="&amp;$A179,実績!$AJ$6:$AJ$505,"&gt;"&amp;$A179,実績!$AK$6:$AK$505,"○")&gt;0,1,0))</f>
        <v>0</v>
      </c>
      <c r="AL179" s="39" t="n">
        <f aca="false">IF(AL$4=0,0,IF(COUNTIFS(実績!$W$6:$W$505,AL$3,実績!$AI$6:$AI$505,"&lt;="&amp;$A179,実績!$AJ$6:$AJ$505,"&gt;"&amp;$A179,実績!$AK$6:$AK$505,"○")&gt;0,1,0))</f>
        <v>0</v>
      </c>
      <c r="AM179" s="39" t="n">
        <f aca="false">IF(AM$4=0,0,IF(COUNTIFS(実績!$W$6:$W$505,AM$3,実績!$AI$6:$AI$505,"&lt;="&amp;$A179,実績!$AJ$6:$AJ$505,"&gt;"&amp;$A179,実績!$AK$6:$AK$505,"○")&gt;0,1,0))</f>
        <v>0</v>
      </c>
      <c r="AN179" s="39" t="n">
        <f aca="false">IF(AN$4=0,0,IF(COUNTIFS(実績!$W$6:$W$505,AN$3,実績!$AI$6:$AI$505,"&lt;="&amp;$A179,実績!$AJ$6:$AJ$505,"&gt;"&amp;$A179,実績!$AK$6:$AK$505,"○")&gt;0,1,0))</f>
        <v>0</v>
      </c>
      <c r="AO179" s="39" t="n">
        <f aca="false">IF(AO$4=0,0,IF(COUNTIFS(実績!$W$6:$W$505,AO$3,実績!$AI$6:$AI$505,"&lt;="&amp;$A179,実績!$AJ$6:$AJ$505,"&gt;"&amp;$A179,実績!$AK$6:$AK$505,"○")&gt;0,1,0))</f>
        <v>0</v>
      </c>
      <c r="AP179" s="39" t="n">
        <f aca="false">IF(AP$4=0,0,IF(COUNTIFS(実績!$W$6:$W$505,AP$3,実績!$AI$6:$AI$505,"&lt;="&amp;$A179,実績!$AJ$6:$AJ$505,"&gt;"&amp;$A179,実績!$AK$6:$AK$505,"○")&gt;0,1,0))</f>
        <v>0</v>
      </c>
      <c r="AQ179" s="39" t="n">
        <f aca="false">IF(AQ$4=0,0,IF(COUNTIFS(実績!$W$6:$W$505,AQ$3,実績!$AI$6:$AI$505,"&lt;="&amp;$A179,実績!$AJ$6:$AJ$505,"&gt;"&amp;$A179,実績!$AK$6:$AK$505,"○")&gt;0,1,0))</f>
        <v>0</v>
      </c>
      <c r="AR179" s="39" t="n">
        <f aca="false">IF(AR$4=0,0,IF(COUNTIFS(実績!$W$6:$W$505,AR$3,実績!$AI$6:$AI$505,"&lt;="&amp;$A179,実績!$AJ$6:$AJ$505,"&gt;"&amp;$A179,実績!$AK$6:$AK$505,"○")&gt;0,1,0))</f>
        <v>0</v>
      </c>
      <c r="AS179" s="39" t="n">
        <f aca="false">IF(AS$4=0,0,IF(COUNTIFS(実績!$W$6:$W$505,AS$3,実績!$AI$6:$AI$505,"&lt;="&amp;$A179,実績!$AJ$6:$AJ$505,"&gt;"&amp;$A179,実績!$AK$6:$AK$505,"○")&gt;0,1,0))</f>
        <v>0</v>
      </c>
      <c r="AT179" s="39" t="n">
        <f aca="false">IF(AT$4=0,0,IF(COUNTIFS(実績!$W$6:$W$505,AT$3,実績!$AI$6:$AI$505,"&lt;="&amp;$A179,実績!$AJ$6:$AJ$505,"&gt;"&amp;$A179,実績!$AK$6:$AK$505,"○")&gt;0,1,0))</f>
        <v>0</v>
      </c>
      <c r="AU179" s="39" t="n">
        <f aca="false">IF(AU$4=0,0,IF(COUNTIFS(実績!$W$6:$W$505,AU$3,実績!$AI$6:$AI$505,"&lt;="&amp;$A179,実績!$AJ$6:$AJ$505,"&gt;"&amp;$A179,実績!$AK$6:$AK$505,"○")&gt;0,1,0))</f>
        <v>0</v>
      </c>
      <c r="AV179" s="39" t="n">
        <f aca="false">IF(AV$4=0,0,IF(COUNTIFS(実績!$W$6:$W$505,AV$3,実績!$AI$6:$AI$505,"&lt;="&amp;$A179,実績!$AJ$6:$AJ$505,"&gt;"&amp;$A179,実績!$AK$6:$AK$505,"○")&gt;0,1,0))</f>
        <v>0</v>
      </c>
      <c r="AW179" s="39" t="n">
        <f aca="false">IF(AW$4=0,0,IF(COUNTIFS(実績!$W$6:$W$505,AW$3,実績!$AI$6:$AI$505,"&lt;="&amp;$A179,実績!$AJ$6:$AJ$505,"&gt;"&amp;$A179,実績!$AK$6:$AK$505,"○")&gt;0,1,0))</f>
        <v>0</v>
      </c>
      <c r="AX179" s="39" t="n">
        <f aca="false">IF(AX$4=0,0,IF(COUNTIFS(実績!$W$6:$W$505,AX$3,実績!$AI$6:$AI$505,"&lt;="&amp;$A179,実績!$AJ$6:$AJ$505,"&gt;"&amp;$A179,実績!$AK$6:$AK$505,"○")&gt;0,1,0))</f>
        <v>0</v>
      </c>
      <c r="AY179" s="39" t="n">
        <f aca="false">IF(AY$4=0,0,IF(COUNTIFS(実績!$W$6:$W$505,AY$3,実績!$AI$6:$AI$505,"&lt;="&amp;$A179,実績!$AJ$6:$AJ$505,"&gt;"&amp;$A179,実績!$AK$6:$AK$505,"○")&gt;0,1,0))</f>
        <v>0</v>
      </c>
      <c r="AZ179" s="39" t="n">
        <f aca="false">IF(AZ$4=0,0,IF(COUNTIFS(実績!$W$6:$W$505,AZ$3,実績!$AI$6:$AI$505,"&lt;="&amp;$A179,実績!$AJ$6:$AJ$505,"&gt;"&amp;$A179,実績!$AK$6:$AK$505,"○")&gt;0,1,0))</f>
        <v>0</v>
      </c>
      <c r="BA179" s="39" t="n">
        <f aca="false">IF(BA$4=0,0,IF(COUNTIFS(実績!$W$6:$W$505,BA$3,実績!$AI$6:$AI$505,"&lt;="&amp;$A179,実績!$AJ$6:$AJ$505,"&gt;"&amp;$A179,実績!$AK$6:$AK$505,"○")&gt;0,1,0))</f>
        <v>0</v>
      </c>
      <c r="BB179" s="39" t="n">
        <f aca="false">IF(BB$4=0,0,IF(COUNTIFS(実績!$W$6:$W$505,BB$3,実績!$AI$6:$AI$505,"&lt;="&amp;$A179,実績!$AJ$6:$AJ$505,"&gt;"&amp;$A179,実績!$AK$6:$AK$505,"○")&gt;0,1,0))</f>
        <v>0</v>
      </c>
      <c r="BC179" s="39" t="n">
        <f aca="false">IF(BC$4=0,0,IF(COUNTIFS(実績!$W$6:$W$505,BC$3,実績!$AI$6:$AI$505,"&lt;="&amp;$A179,実績!$AJ$6:$AJ$505,"&gt;"&amp;$A179,実績!$AK$6:$AK$505,"○")&gt;0,1,0))</f>
        <v>0</v>
      </c>
      <c r="BD179" s="39" t="n">
        <f aca="false">IF(BD$4=0,0,IF(COUNTIFS(実績!$W$6:$W$505,BD$3,実績!$AI$6:$AI$505,"&lt;="&amp;$A179,実績!$AJ$6:$AJ$505,"&gt;"&amp;$A179,実績!$AK$6:$AK$505,"○")&gt;0,1,0))</f>
        <v>0</v>
      </c>
      <c r="BE179" s="39" t="n">
        <f aca="false">IF(BE$4=0,0,IF(COUNTIFS(実績!$W$6:$W$505,BE$3,実績!$AI$6:$AI$505,"&lt;="&amp;$A179,実績!$AJ$6:$AJ$505,"&gt;"&amp;$A179,実績!$AK$6:$AK$505,"○")&gt;0,1,0))</f>
        <v>0</v>
      </c>
      <c r="BF179" s="39" t="n">
        <f aca="false">IF(BF$4=0,0,IF(COUNTIFS(実績!$W$6:$W$505,BF$3,実績!$AI$6:$AI$505,"&lt;="&amp;$A179,実績!$AJ$6:$AJ$505,"&gt;"&amp;$A179,実績!$AK$6:$AK$505,"○")&gt;0,1,0))</f>
        <v>0</v>
      </c>
      <c r="BG179" s="39" t="n">
        <f aca="false">IF(BG$4=0,0,IF(COUNTIFS(実績!$W$6:$W$505,BG$3,実績!$AI$6:$AI$505,"&lt;="&amp;$A179,実績!$AJ$6:$AJ$505,"&gt;"&amp;$A179,実績!$AK$6:$AK$505,"○")&gt;0,1,0))</f>
        <v>0</v>
      </c>
      <c r="BH179" s="39" t="n">
        <f aca="false">IF(BH$4=0,0,IF(COUNTIFS(実績!$W$6:$W$505,BH$3,実績!$AI$6:$AI$505,"&lt;="&amp;$A179,実績!$AJ$6:$AJ$505,"&gt;"&amp;$A179,実績!$AK$6:$AK$505,"○")&gt;0,1,0))</f>
        <v>0</v>
      </c>
      <c r="BI179" s="39" t="n">
        <f aca="false">IF(BI$4=0,0,IF(COUNTIFS(実績!$W$6:$W$505,BI$3,実績!$AI$6:$AI$505,"&lt;="&amp;$A179,実績!$AJ$6:$AJ$505,"&gt;"&amp;$A179,実績!$AK$6:$AK$505,"○")&gt;0,1,0))</f>
        <v>0</v>
      </c>
      <c r="BJ179" s="39" t="n">
        <f aca="false">IF(BJ$4=0,0,IF(COUNTIFS(実績!$W$6:$W$505,BJ$3,実績!$AI$6:$AI$505,"&lt;="&amp;$A179,実績!$AJ$6:$AJ$505,"&gt;"&amp;$A179,実績!$AK$6:$AK$505,"○")&gt;0,1,0))</f>
        <v>0</v>
      </c>
      <c r="BK179" s="39" t="n">
        <f aca="false">IF(BK$4=0,0,IF(COUNTIFS(実績!$W$6:$W$505,BK$3,実績!$AI$6:$AI$505,"&lt;="&amp;$A179,実績!$AJ$6:$AJ$505,"&gt;"&amp;$A179,実績!$AK$6:$AK$505,"○")&gt;0,1,0))</f>
        <v>0</v>
      </c>
      <c r="BL179" s="39" t="n">
        <f aca="false">IF(BL$4=0,0,IF(COUNTIFS(実績!$W$6:$W$505,BL$3,実績!$AI$6:$AI$505,"&lt;="&amp;$A179,実績!$AJ$6:$AJ$505,"&gt;"&amp;$A179,実績!$AK$6:$AK$505,"○")&gt;0,1,0))</f>
        <v>0</v>
      </c>
      <c r="BM179" s="39" t="n">
        <f aca="false">IF(BM$4=0,0,IF(COUNTIFS(実績!$W$6:$W$505,BM$3,実績!$AI$6:$AI$505,"&lt;="&amp;$A179,実績!$AJ$6:$AJ$505,"&gt;"&amp;$A179,実績!$AK$6:$AK$505,"○")&gt;0,1,0))</f>
        <v>0</v>
      </c>
      <c r="BN179" s="39" t="n">
        <f aca="false">IF(BN$4=0,0,IF(COUNTIFS(実績!$W$6:$W$505,BN$3,実績!$AI$6:$AI$505,"&lt;="&amp;$A179,実績!$AJ$6:$AJ$505,"&gt;"&amp;$A179,実績!$AK$6:$AK$505,"○")&gt;0,1,0))</f>
        <v>0</v>
      </c>
      <c r="BO179" s="39" t="n">
        <f aca="false">IF(BO$4=0,0,IF(COUNTIFS(実績!$W$6:$W$505,BO$3,実績!$AI$6:$AI$505,"&lt;="&amp;$A179,実績!$AJ$6:$AJ$505,"&gt;"&amp;$A179,実績!$AK$6:$AK$505,"○")&gt;0,1,0))</f>
        <v>0</v>
      </c>
      <c r="BP179" s="39" t="n">
        <f aca="false">IF(BP$4=0,0,IF(COUNTIFS(実績!$W$6:$W$505,BP$3,実績!$AI$6:$AI$505,"&lt;="&amp;$A179,実績!$AJ$6:$AJ$505,"&gt;"&amp;$A179,実績!$AK$6:$AK$505,"○")&gt;0,1,0))</f>
        <v>0</v>
      </c>
      <c r="BQ179" s="39" t="n">
        <f aca="false">IF(BQ$4=0,0,IF(COUNTIFS(実績!$W$6:$W$505,BQ$3,実績!$AI$6:$AI$505,"&lt;="&amp;$A179,実績!$AJ$6:$AJ$505,"&gt;"&amp;$A179,実績!$AK$6:$AK$505,"○")&gt;0,1,0))</f>
        <v>0</v>
      </c>
      <c r="BR179" s="39" t="n">
        <f aca="false">IF(BR$4=0,0,IF(COUNTIFS(実績!$W$6:$W$505,BR$3,実績!$AI$6:$AI$505,"&lt;="&amp;$A179,実績!$AJ$6:$AJ$505,"&gt;"&amp;$A179,実績!$AK$6:$AK$505,"○")&gt;0,1,0))</f>
        <v>0</v>
      </c>
      <c r="BS179" s="39" t="n">
        <f aca="false">IF(BS$4=0,0,IF(COUNTIFS(実績!$W$6:$W$505,BS$3,実績!$AI$6:$AI$505,"&lt;="&amp;$A179,実績!$AJ$6:$AJ$505,"&gt;"&amp;$A179,実績!$AK$6:$AK$505,"○")&gt;0,1,0))</f>
        <v>0</v>
      </c>
      <c r="BT179" s="39" t="n">
        <f aca="false">IF(BT$4=0,0,IF(COUNTIFS(実績!$W$6:$W$505,BT$3,実績!$AI$6:$AI$505,"&lt;="&amp;$A179,実績!$AJ$6:$AJ$505,"&gt;"&amp;$A179,実績!$AK$6:$AK$505,"○")&gt;0,1,0))</f>
        <v>0</v>
      </c>
      <c r="BU179" s="39" t="n">
        <f aca="false">IF(BU$4=0,0,IF(COUNTIFS(実績!$W$6:$W$505,BU$3,実績!$AI$6:$AI$505,"&lt;="&amp;$A179,実績!$AJ$6:$AJ$505,"&gt;"&amp;$A179,実績!$AK$6:$AK$505,"○")&gt;0,1,0))</f>
        <v>0</v>
      </c>
      <c r="BV179" s="39" t="n">
        <f aca="false">IF(BV$4=0,0,IF(COUNTIFS(実績!$W$6:$W$505,BV$3,実績!$AI$6:$AI$505,"&lt;="&amp;$A179,実績!$AJ$6:$AJ$505,"&gt;"&amp;$A179,実績!$AK$6:$AK$505,"○")&gt;0,1,0))</f>
        <v>0</v>
      </c>
      <c r="BW179" s="39" t="n">
        <f aca="false">IF(BW$4=0,0,IF(COUNTIFS(実績!$W$6:$W$505,BW$3,実績!$AI$6:$AI$505,"&lt;="&amp;$A179,実績!$AJ$6:$AJ$505,"&gt;"&amp;$A179,実績!$AK$6:$AK$505,"○")&gt;0,1,0))</f>
        <v>0</v>
      </c>
      <c r="BX179" s="39" t="n">
        <f aca="false">IF(BX$4=0,0,IF(COUNTIFS(実績!$W$6:$W$505,BX$3,実績!$AI$6:$AI$505,"&lt;="&amp;$A179,実績!$AJ$6:$AJ$505,"&gt;"&amp;$A179,実績!$AK$6:$AK$505,"○")&gt;0,1,0))</f>
        <v>0</v>
      </c>
      <c r="BY179" s="39" t="n">
        <f aca="false">IF(BY$4=0,0,IF(COUNTIFS(実績!$W$6:$W$505,BY$3,実績!$AI$6:$AI$505,"&lt;="&amp;$A179,実績!$AJ$6:$AJ$505,"&gt;"&amp;$A179,実績!$AK$6:$AK$505,"○")&gt;0,1,0))</f>
        <v>0</v>
      </c>
      <c r="BZ179" s="39" t="n">
        <f aca="false">IF(BZ$4=0,0,IF(COUNTIFS(実績!$W$6:$W$505,BZ$3,実績!$AI$6:$AI$505,"&lt;="&amp;$A179,実績!$AJ$6:$AJ$505,"&gt;"&amp;$A179,実績!$AK$6:$AK$505,"○")&gt;0,1,0))</f>
        <v>0</v>
      </c>
      <c r="CA179" s="39" t="n">
        <f aca="false">IF(CA$4=0,0,IF(COUNTIFS(実績!$W$6:$W$505,CA$3,実績!$AI$6:$AI$505,"&lt;="&amp;$A179,実績!$AJ$6:$AJ$505,"&gt;"&amp;$A179,実績!$AK$6:$AK$505,"○")&gt;0,1,0))</f>
        <v>0</v>
      </c>
      <c r="CB179" s="39" t="n">
        <f aca="false">IF(CB$4=0,0,IF(COUNTIFS(実績!$W$6:$W$505,CB$3,実績!$AI$6:$AI$505,"&lt;="&amp;$A179,実績!$AJ$6:$AJ$505,"&gt;"&amp;$A179,実績!$AK$6:$AK$505,"○")&gt;0,1,0))</f>
        <v>0</v>
      </c>
      <c r="CC179" s="39" t="n">
        <f aca="false">IF(CC$4=0,0,IF(COUNTIFS(実績!$W$6:$W$505,CC$3,実績!$AI$6:$AI$505,"&lt;="&amp;$A179,実績!$AJ$6:$AJ$505,"&gt;"&amp;$A179,実績!$AK$6:$AK$505,"○")&gt;0,1,0))</f>
        <v>0</v>
      </c>
      <c r="CD179" s="39" t="n">
        <f aca="false">IF(CD$4=0,0,IF(COUNTIFS(実績!$W$6:$W$505,CD$3,実績!$AI$6:$AI$505,"&lt;="&amp;$A179,実績!$AJ$6:$AJ$505,"&gt;"&amp;$A179,実績!$AK$6:$AK$505,"○")&gt;0,1,0))</f>
        <v>0</v>
      </c>
      <c r="CE179" s="39" t="n">
        <f aca="false">IF(CE$4=0,0,IF(COUNTIFS(実績!$W$6:$W$505,CE$3,実績!$AI$6:$AI$505,"&lt;="&amp;$A179,実績!$AJ$6:$AJ$505,"&gt;"&amp;$A179,実績!$AK$6:$AK$505,"○")&gt;0,1,0))</f>
        <v>0</v>
      </c>
      <c r="CF179" s="39" t="n">
        <f aca="false">IF(CF$4=0,0,IF(COUNTIFS(実績!$W$6:$W$505,CF$3,実績!$AI$6:$AI$505,"&lt;="&amp;$A179,実績!$AJ$6:$AJ$505,"&gt;"&amp;$A179,実績!$AK$6:$AK$505,"○")&gt;0,1,0))</f>
        <v>0</v>
      </c>
      <c r="CG179" s="39" t="n">
        <f aca="false">IF(CG$4=0,0,IF(COUNTIFS(実績!$W$6:$W$505,CG$3,実績!$AI$6:$AI$505,"&lt;="&amp;$A179,実績!$AJ$6:$AJ$505,"&gt;"&amp;$A179,実績!$AK$6:$AK$505,"○")&gt;0,1,0))</f>
        <v>0</v>
      </c>
      <c r="CH179" s="39" t="n">
        <f aca="false">IF(CH$4=0,0,IF(COUNTIFS(実績!$W$6:$W$505,CH$3,実績!$AI$6:$AI$505,"&lt;="&amp;$A179,実績!$AJ$6:$AJ$505,"&gt;"&amp;$A179,実績!$AK$6:$AK$505,"○")&gt;0,1,0))</f>
        <v>0</v>
      </c>
      <c r="CI179" s="39" t="n">
        <f aca="false">IF(CI$4=0,0,IF(COUNTIFS(実績!$W$6:$W$505,CI$3,実績!$AI$6:$AI$505,"&lt;="&amp;$A179,実績!$AJ$6:$AJ$505,"&gt;"&amp;$A179,実績!$AK$6:$AK$505,"○")&gt;0,1,0))</f>
        <v>0</v>
      </c>
      <c r="CJ179" s="39" t="n">
        <f aca="false">IF(CJ$4=0,0,IF(COUNTIFS(実績!$W$6:$W$505,CJ$3,実績!$AI$6:$AI$505,"&lt;="&amp;$A179,実績!$AJ$6:$AJ$505,"&gt;"&amp;$A179,実績!$AK$6:$AK$505,"○")&gt;0,1,0))</f>
        <v>0</v>
      </c>
      <c r="CK179" s="39" t="n">
        <f aca="false">IF(CK$4=0,0,IF(COUNTIFS(実績!$W$6:$W$505,CK$3,実績!$AI$6:$AI$505,"&lt;="&amp;$A179,実績!$AJ$6:$AJ$505,"&gt;"&amp;$A179,実績!$AK$6:$AK$505,"○")&gt;0,1,0))</f>
        <v>0</v>
      </c>
      <c r="CL179" s="39" t="n">
        <f aca="false">IF(CL$4=0,0,IF(COUNTIFS(実績!$W$6:$W$505,CL$3,実績!$AI$6:$AI$505,"&lt;="&amp;$A179,実績!$AJ$6:$AJ$505,"&gt;"&amp;$A179,実績!$AK$6:$AK$505,"○")&gt;0,1,0))</f>
        <v>0</v>
      </c>
      <c r="CM179" s="39" t="n">
        <f aca="false">IF(CM$4=0,0,IF(COUNTIFS(実績!$W$6:$W$505,CM$3,実績!$AI$6:$AI$505,"&lt;="&amp;$A179,実績!$AJ$6:$AJ$505,"&gt;"&amp;$A179,実績!$AK$6:$AK$505,"○")&gt;0,1,0))</f>
        <v>0</v>
      </c>
      <c r="CN179" s="39" t="n">
        <f aca="false">IF(CN$4=0,0,IF(COUNTIFS(実績!$W$6:$W$505,CN$3,実績!$AI$6:$AI$505,"&lt;="&amp;$A179,実績!$AJ$6:$AJ$505,"&gt;"&amp;$A179,実績!$AK$6:$AK$505,"○")&gt;0,1,0))</f>
        <v>0</v>
      </c>
      <c r="CO179" s="39" t="n">
        <f aca="false">IF(CO$4=0,0,IF(COUNTIFS(実績!$W$6:$W$505,CO$3,実績!$AI$6:$AI$505,"&lt;="&amp;$A179,実績!$AJ$6:$AJ$505,"&gt;"&amp;$A179,実績!$AK$6:$AK$505,"○")&gt;0,1,0))</f>
        <v>0</v>
      </c>
      <c r="CP179" s="39" t="n">
        <f aca="false">IF(CP$4=0,0,IF(COUNTIFS(実績!$W$6:$W$505,CP$3,実績!$AI$6:$AI$505,"&lt;="&amp;$A179,実績!$AJ$6:$AJ$505,"&gt;"&amp;$A179,実績!$AK$6:$AK$505,"○")&gt;0,1,0))</f>
        <v>0</v>
      </c>
      <c r="CQ179" s="39" t="n">
        <f aca="false">IF(CQ$4=0,0,IF(COUNTIFS(実績!$W$6:$W$505,CQ$3,実績!$AI$6:$AI$505,"&lt;="&amp;$A179,実績!$AJ$6:$AJ$505,"&gt;"&amp;$A179,実績!$AK$6:$AK$505,"○")&gt;0,1,0))</f>
        <v>0</v>
      </c>
      <c r="CR179" s="39" t="n">
        <f aca="false">IF(CR$4=0,0,IF(COUNTIFS(実績!$W$6:$W$505,CR$3,実績!$AI$6:$AI$505,"&lt;="&amp;$A179,実績!$AJ$6:$AJ$505,"&gt;"&amp;$A179,実績!$AK$6:$AK$505,"○")&gt;0,1,0))</f>
        <v>0</v>
      </c>
      <c r="CS179" s="39" t="n">
        <f aca="false">IF(CS$4=0,0,IF(COUNTIFS(実績!$W$6:$W$505,CS$3,実績!$AI$6:$AI$505,"&lt;="&amp;$A179,実績!$AJ$6:$AJ$505,"&gt;"&amp;$A179,実績!$AK$6:$AK$505,"○")&gt;0,1,0))</f>
        <v>0</v>
      </c>
      <c r="CT179" s="39" t="n">
        <f aca="false">IF(CT$4=0,0,IF(COUNTIFS(実績!$W$6:$W$505,CT$3,実績!$AI$6:$AI$505,"&lt;="&amp;$A179,実績!$AJ$6:$AJ$505,"&gt;"&amp;$A179,実績!$AK$6:$AK$505,"○")&gt;0,1,0))</f>
        <v>0</v>
      </c>
      <c r="CU179" s="39" t="n">
        <f aca="false">IF(CU$4=0,0,IF(COUNTIFS(実績!$W$6:$W$505,CU$3,実績!$AI$6:$AI$505,"&lt;="&amp;$A179,実績!$AJ$6:$AJ$505,"&gt;"&amp;$A179,実績!$AK$6:$AK$505,"○")&gt;0,1,0))</f>
        <v>0</v>
      </c>
      <c r="CV179" s="39" t="n">
        <f aca="false">IF(CV$4=0,0,IF(COUNTIFS(実績!$W$6:$W$505,CV$3,実績!$AI$6:$AI$505,"&lt;="&amp;$A179,実績!$AJ$6:$AJ$505,"&gt;"&amp;$A179,実績!$AK$6:$AK$505,"○")&gt;0,1,0))</f>
        <v>0</v>
      </c>
      <c r="CW179" s="39" t="n">
        <f aca="false">IF(CW$4=0,0,IF(COUNTIFS(実績!$W$6:$W$505,CW$3,実績!$AI$6:$AI$505,"&lt;="&amp;$A179,実績!$AJ$6:$AJ$505,"&gt;"&amp;$A179,実績!$AK$6:$AK$505,"○")&gt;0,1,0))</f>
        <v>0</v>
      </c>
      <c r="CX179" s="39" t="n">
        <f aca="false">IF(CX$4=0,0,IF(COUNTIFS(実績!$W$6:$W$505,CX$3,実績!$AI$6:$AI$505,"&lt;="&amp;$A179,実績!$AJ$6:$AJ$505,"&gt;"&amp;$A179,実績!$AK$6:$AK$505,"○")&gt;0,1,0))</f>
        <v>0</v>
      </c>
      <c r="CY179" s="39" t="n">
        <f aca="false">IF(CY$4=0,0,IF(COUNTIFS(実績!$W$6:$W$505,CY$3,実績!$AI$6:$AI$505,"&lt;="&amp;$A179,実績!$AJ$6:$AJ$505,"&gt;"&amp;$A179,実績!$AK$6:$AK$505,"○")&gt;0,1,0))</f>
        <v>0</v>
      </c>
      <c r="CZ179" s="39" t="n">
        <f aca="false">IF(CZ$4=0,0,IF(COUNTIFS(実績!$W$6:$W$505,CZ$3,実績!$AI$6:$AI$505,"&lt;="&amp;$A179,実績!$AJ$6:$AJ$505,"&gt;"&amp;$A179,実績!$AK$6:$AK$505,"○")&gt;0,1,0))</f>
        <v>0</v>
      </c>
      <c r="DA179" s="39" t="n">
        <f aca="false">IF(DA$4=0,0,IF(COUNTIFS(実績!$W$6:$W$505,DA$3,実績!$AI$6:$AI$505,"&lt;="&amp;$A179,実績!$AJ$6:$AJ$505,"&gt;"&amp;$A179,実績!$AK$6:$AK$505,"○")&gt;0,1,0))</f>
        <v>0</v>
      </c>
      <c r="DB179" s="39" t="n">
        <f aca="false">IF(DB$4=0,0,IF(COUNTIFS(実績!$W$6:$W$505,DB$3,実績!$AI$6:$AI$505,"&lt;="&amp;$A179,実績!$AJ$6:$AJ$505,"&gt;"&amp;$A179,実績!$AK$6:$AK$505,"○")&gt;0,1,0))</f>
        <v>0</v>
      </c>
      <c r="DC179" s="39" t="n">
        <f aca="false">IF(DC$4=0,0,IF(COUNTIFS(実績!$W$6:$W$505,DC$3,実績!$AI$6:$AI$505,"&lt;="&amp;$A179,実績!$AJ$6:$AJ$505,"&gt;"&amp;$A179,実績!$AK$6:$AK$505,"○")&gt;0,1,0))</f>
        <v>0</v>
      </c>
      <c r="DD179" s="39" t="n">
        <f aca="false">IF(DD$4=0,0,IF(COUNTIFS(実績!$W$6:$W$505,DD$3,実績!$AI$6:$AI$505,"&lt;="&amp;$A179,実績!$AJ$6:$AJ$505,"&gt;"&amp;$A179,実績!$AK$6:$AK$505,"○")&gt;0,1,0))</f>
        <v>0</v>
      </c>
      <c r="DE179" s="39" t="n">
        <f aca="false">IF(DE$4=0,0,IF(COUNTIFS(実績!$W$6:$W$505,DE$3,実績!$AI$6:$AI$505,"&lt;="&amp;$A179,実績!$AJ$6:$AJ$505,"&gt;"&amp;$A179,実績!$AK$6:$AK$505,"○")&gt;0,1,0))</f>
        <v>0</v>
      </c>
      <c r="DF179" s="39" t="n">
        <f aca="false">IF(DF$4=0,0,IF(COUNTIFS(実績!$W$6:$W$505,DF$3,実績!$AI$6:$AI$505,"&lt;="&amp;$A179,実績!$AJ$6:$AJ$505,"&gt;"&amp;$A179,実績!$AK$6:$AK$505,"○")&gt;0,1,0))</f>
        <v>0</v>
      </c>
      <c r="DG179" s="39" t="n">
        <f aca="false">IF(DG$4=0,0,IF(COUNTIFS(実績!$W$6:$W$505,DG$3,実績!$AI$6:$AI$505,"&lt;="&amp;$A179,実績!$AJ$6:$AJ$505,"&gt;"&amp;$A179,実績!$AK$6:$AK$505,"○")&gt;0,1,0))</f>
        <v>0</v>
      </c>
      <c r="DH179" s="39" t="n">
        <f aca="false">IF(DH$4=0,0,IF(COUNTIFS(実績!$W$6:$W$505,DH$3,実績!$AI$6:$AI$505,"&lt;="&amp;$A179,実績!$AJ$6:$AJ$505,"&gt;"&amp;$A179,実績!$AK$6:$AK$505,"○")&gt;0,1,0))</f>
        <v>0</v>
      </c>
      <c r="DI179" s="39" t="n">
        <f aca="false">IF(DI$4=0,0,IF(COUNTIFS(実績!$W$6:$W$505,DI$3,実績!$AI$6:$AI$505,"&lt;="&amp;$A179,実績!$AJ$6:$AJ$505,"&gt;"&amp;$A179,実績!$AK$6:$AK$505,"○")&gt;0,1,0))</f>
        <v>0</v>
      </c>
      <c r="DJ179" s="39" t="n">
        <f aca="false">IF(DJ$4=0,0,IF(COUNTIFS(実績!$W$6:$W$505,DJ$3,実績!$AI$6:$AI$505,"&lt;="&amp;$A179,実績!$AJ$6:$AJ$505,"&gt;"&amp;$A179,実績!$AK$6:$AK$505,"○")&gt;0,1,0))</f>
        <v>0</v>
      </c>
      <c r="DK179" s="39" t="n">
        <f aca="false">IF(DK$4=0,0,IF(COUNTIFS(実績!$W$6:$W$505,DK$3,実績!$AI$6:$AI$505,"&lt;="&amp;$A179,実績!$AJ$6:$AJ$505,"&gt;"&amp;$A179,実績!$AK$6:$AK$505,"○")&gt;0,1,0))</f>
        <v>0</v>
      </c>
      <c r="DL179" s="39" t="n">
        <f aca="false">IF(DL$4=0,0,IF(COUNTIFS(実績!$W$6:$W$505,DL$3,実績!$AI$6:$AI$505,"&lt;="&amp;$A179,実績!$AJ$6:$AJ$505,"&gt;"&amp;$A179,実績!$AK$6:$AK$505,"○")&gt;0,1,0))</f>
        <v>0</v>
      </c>
      <c r="DM179" s="39" t="n">
        <f aca="false">IF(DM$4=0,0,IF(COUNTIFS(実績!$W$6:$W$505,DM$3,実績!$AI$6:$AI$505,"&lt;="&amp;$A179,実績!$AJ$6:$AJ$505,"&gt;"&amp;$A179,実績!$AK$6:$AK$505,"○")&gt;0,1,0))</f>
        <v>0</v>
      </c>
      <c r="DN179" s="39" t="n">
        <f aca="false">IF(DN$4=0,0,IF(COUNTIFS(実績!$W$6:$W$505,DN$3,実績!$AI$6:$AI$505,"&lt;="&amp;$A179,実績!$AJ$6:$AJ$505,"&gt;"&amp;$A179,実績!$AK$6:$AK$505,"○")&gt;0,1,0))</f>
        <v>0</v>
      </c>
      <c r="DO179" s="39" t="n">
        <f aca="false">IF(DO$4=0,0,IF(COUNTIFS(実績!$W$6:$W$505,DO$3,実績!$AI$6:$AI$505,"&lt;="&amp;$A179,実績!$AJ$6:$AJ$505,"&gt;"&amp;$A179,実績!$AK$6:$AK$505,"○")&gt;0,1,0))</f>
        <v>0</v>
      </c>
      <c r="DP179" s="39" t="n">
        <f aca="false">IF(DP$4=0,0,IF(COUNTIFS(実績!$W$6:$W$505,DP$3,実績!$AI$6:$AI$505,"&lt;="&amp;$A179,実績!$AJ$6:$AJ$505,"&gt;"&amp;$A179,実績!$AK$6:$AK$505,"○")&gt;0,1,0))</f>
        <v>0</v>
      </c>
      <c r="DQ179" s="39" t="n">
        <f aca="false">IF(DQ$4=0,0,IF(COUNTIFS(実績!$W$6:$W$505,DQ$3,実績!$AI$6:$AI$505,"&lt;="&amp;$A179,実績!$AJ$6:$AJ$505,"&gt;"&amp;$A179,実績!$AK$6:$AK$505,"○")&gt;0,1,0))</f>
        <v>0</v>
      </c>
      <c r="DR179" s="39" t="n">
        <f aca="false">IF(DR$4=0,0,IF(COUNTIFS(実績!$W$6:$W$505,DR$3,実績!$AI$6:$AI$505,"&lt;="&amp;$A179,実績!$AJ$6:$AJ$505,"&gt;"&amp;$A179,実績!$AK$6:$AK$505,"○")&gt;0,1,0))</f>
        <v>0</v>
      </c>
      <c r="DS179" s="39" t="n">
        <f aca="false">SUM(C179:DR179)</f>
        <v>0</v>
      </c>
      <c r="DT179" s="39" t="n">
        <f aca="false">SUMPRODUCT((実績!$C$6:$C$505="○")*ISNUMBER(実績!$AM$6:$AM$505)*(実績!$AM$6:$AM$505&lt;=$A179)*(実績!$AN$6:$AN$505&gt;$A179))</f>
        <v>0</v>
      </c>
      <c r="DU179" s="39" t="n">
        <f aca="false">SUMIF($C$2:$DR$2,"製鉄曳船",C179:DR179)</f>
        <v>0</v>
      </c>
      <c r="DV179" s="39" t="n">
        <f aca="false">SUMIF($C$2:$DR$2,"西日本海運",C179:DR179)</f>
        <v>0</v>
      </c>
    </row>
    <row r="180" customFormat="false" ht="15" hidden="false" customHeight="false" outlineLevel="0" collapsed="false">
      <c r="A180" s="0" t="n">
        <v>870</v>
      </c>
      <c r="B180" s="38" t="n">
        <f aca="false">A180/1440</f>
        <v>0.604166666666667</v>
      </c>
      <c r="C180" s="39" t="n">
        <f aca="false">IF(C$4=0,0,IF(COUNTIFS(実績!$W$6:$W$505,C$3,実績!$AI$6:$AI$505,"&lt;="&amp;$A180,実績!$AJ$6:$AJ$505,"&gt;"&amp;$A180,実績!$AK$6:$AK$505,"○")&gt;0,1,0))</f>
        <v>0</v>
      </c>
      <c r="D180" s="39" t="n">
        <f aca="false">IF(D$4=0,0,IF(COUNTIFS(実績!$W$6:$W$505,D$3,実績!$AI$6:$AI$505,"&lt;="&amp;$A180,実績!$AJ$6:$AJ$505,"&gt;"&amp;$A180,実績!$AK$6:$AK$505,"○")&gt;0,1,0))</f>
        <v>0</v>
      </c>
      <c r="E180" s="39" t="n">
        <f aca="false">IF(E$4=0,0,IF(COUNTIFS(実績!$W$6:$W$505,E$3,実績!$AI$6:$AI$505,"&lt;="&amp;$A180,実績!$AJ$6:$AJ$505,"&gt;"&amp;$A180,実績!$AK$6:$AK$505,"○")&gt;0,1,0))</f>
        <v>0</v>
      </c>
      <c r="F180" s="39" t="n">
        <f aca="false">IF(F$4=0,0,IF(COUNTIFS(実績!$W$6:$W$505,F$3,実績!$AI$6:$AI$505,"&lt;="&amp;$A180,実績!$AJ$6:$AJ$505,"&gt;"&amp;$A180,実績!$AK$6:$AK$505,"○")&gt;0,1,0))</f>
        <v>0</v>
      </c>
      <c r="G180" s="39" t="n">
        <f aca="false">IF(G$4=0,0,IF(COUNTIFS(実績!$W$6:$W$505,G$3,実績!$AI$6:$AI$505,"&lt;="&amp;$A180,実績!$AJ$6:$AJ$505,"&gt;"&amp;$A180,実績!$AK$6:$AK$505,"○")&gt;0,1,0))</f>
        <v>0</v>
      </c>
      <c r="H180" s="39" t="n">
        <f aca="false">IF(H$4=0,0,IF(COUNTIFS(実績!$W$6:$W$505,H$3,実績!$AI$6:$AI$505,"&lt;="&amp;$A180,実績!$AJ$6:$AJ$505,"&gt;"&amp;$A180,実績!$AK$6:$AK$505,"○")&gt;0,1,0))</f>
        <v>0</v>
      </c>
      <c r="I180" s="39" t="n">
        <f aca="false">IF(I$4=0,0,IF(COUNTIFS(実績!$W$6:$W$505,I$3,実績!$AI$6:$AI$505,"&lt;="&amp;$A180,実績!$AJ$6:$AJ$505,"&gt;"&amp;$A180,実績!$AK$6:$AK$505,"○")&gt;0,1,0))</f>
        <v>0</v>
      </c>
      <c r="J180" s="39" t="n">
        <f aca="false">IF(J$4=0,0,IF(COUNTIFS(実績!$W$6:$W$505,J$3,実績!$AI$6:$AI$505,"&lt;="&amp;$A180,実績!$AJ$6:$AJ$505,"&gt;"&amp;$A180,実績!$AK$6:$AK$505,"○")&gt;0,1,0))</f>
        <v>0</v>
      </c>
      <c r="K180" s="39" t="n">
        <f aca="false">IF(K$4=0,0,IF(COUNTIFS(実績!$W$6:$W$505,K$3,実績!$AI$6:$AI$505,"&lt;="&amp;$A180,実績!$AJ$6:$AJ$505,"&gt;"&amp;$A180,実績!$AK$6:$AK$505,"○")&gt;0,1,0))</f>
        <v>0</v>
      </c>
      <c r="L180" s="39" t="n">
        <f aca="false">IF(L$4=0,0,IF(COUNTIFS(実績!$W$6:$W$505,L$3,実績!$AI$6:$AI$505,"&lt;="&amp;$A180,実績!$AJ$6:$AJ$505,"&gt;"&amp;$A180,実績!$AK$6:$AK$505,"○")&gt;0,1,0))</f>
        <v>0</v>
      </c>
      <c r="M180" s="39" t="n">
        <f aca="false">IF(M$4=0,0,IF(COUNTIFS(実績!$W$6:$W$505,M$3,実績!$AI$6:$AI$505,"&lt;="&amp;$A180,実績!$AJ$6:$AJ$505,"&gt;"&amp;$A180,実績!$AK$6:$AK$505,"○")&gt;0,1,0))</f>
        <v>0</v>
      </c>
      <c r="N180" s="39" t="n">
        <f aca="false">IF(N$4=0,0,IF(COUNTIFS(実績!$W$6:$W$505,N$3,実績!$AI$6:$AI$505,"&lt;="&amp;$A180,実績!$AJ$6:$AJ$505,"&gt;"&amp;$A180,実績!$AK$6:$AK$505,"○")&gt;0,1,0))</f>
        <v>0</v>
      </c>
      <c r="O180" s="39" t="n">
        <f aca="false">IF(O$4=0,0,IF(COUNTIFS(実績!$W$6:$W$505,O$3,実績!$AI$6:$AI$505,"&lt;="&amp;$A180,実績!$AJ$6:$AJ$505,"&gt;"&amp;$A180,実績!$AK$6:$AK$505,"○")&gt;0,1,0))</f>
        <v>0</v>
      </c>
      <c r="P180" s="39" t="n">
        <f aca="false">IF(P$4=0,0,IF(COUNTIFS(実績!$W$6:$W$505,P$3,実績!$AI$6:$AI$505,"&lt;="&amp;$A180,実績!$AJ$6:$AJ$505,"&gt;"&amp;$A180,実績!$AK$6:$AK$505,"○")&gt;0,1,0))</f>
        <v>0</v>
      </c>
      <c r="Q180" s="39" t="n">
        <f aca="false">IF(Q$4=0,0,IF(COUNTIFS(実績!$W$6:$W$505,Q$3,実績!$AI$6:$AI$505,"&lt;="&amp;$A180,実績!$AJ$6:$AJ$505,"&gt;"&amp;$A180,実績!$AK$6:$AK$505,"○")&gt;0,1,0))</f>
        <v>0</v>
      </c>
      <c r="R180" s="39" t="n">
        <f aca="false">IF(R$4=0,0,IF(COUNTIFS(実績!$W$6:$W$505,R$3,実績!$AI$6:$AI$505,"&lt;="&amp;$A180,実績!$AJ$6:$AJ$505,"&gt;"&amp;$A180,実績!$AK$6:$AK$505,"○")&gt;0,1,0))</f>
        <v>0</v>
      </c>
      <c r="S180" s="39" t="n">
        <f aca="false">IF(S$4=0,0,IF(COUNTIFS(実績!$W$6:$W$505,S$3,実績!$AI$6:$AI$505,"&lt;="&amp;$A180,実績!$AJ$6:$AJ$505,"&gt;"&amp;$A180,実績!$AK$6:$AK$505,"○")&gt;0,1,0))</f>
        <v>0</v>
      </c>
      <c r="T180" s="39" t="n">
        <f aca="false">IF(T$4=0,0,IF(COUNTIFS(実績!$W$6:$W$505,T$3,実績!$AI$6:$AI$505,"&lt;="&amp;$A180,実績!$AJ$6:$AJ$505,"&gt;"&amp;$A180,実績!$AK$6:$AK$505,"○")&gt;0,1,0))</f>
        <v>0</v>
      </c>
      <c r="U180" s="39" t="n">
        <f aca="false">IF(U$4=0,0,IF(COUNTIFS(実績!$W$6:$W$505,U$3,実績!$AI$6:$AI$505,"&lt;="&amp;$A180,実績!$AJ$6:$AJ$505,"&gt;"&amp;$A180,実績!$AK$6:$AK$505,"○")&gt;0,1,0))</f>
        <v>0</v>
      </c>
      <c r="V180" s="39" t="n">
        <f aca="false">IF(V$4=0,0,IF(COUNTIFS(実績!$W$6:$W$505,V$3,実績!$AI$6:$AI$505,"&lt;="&amp;$A180,実績!$AJ$6:$AJ$505,"&gt;"&amp;$A180,実績!$AK$6:$AK$505,"○")&gt;0,1,0))</f>
        <v>0</v>
      </c>
      <c r="W180" s="39" t="n">
        <f aca="false">IF(W$4=0,0,IF(COUNTIFS(実績!$W$6:$W$505,W$3,実績!$AI$6:$AI$505,"&lt;="&amp;$A180,実績!$AJ$6:$AJ$505,"&gt;"&amp;$A180,実績!$AK$6:$AK$505,"○")&gt;0,1,0))</f>
        <v>0</v>
      </c>
      <c r="X180" s="39" t="n">
        <f aca="false">IF(X$4=0,0,IF(COUNTIFS(実績!$W$6:$W$505,X$3,実績!$AI$6:$AI$505,"&lt;="&amp;$A180,実績!$AJ$6:$AJ$505,"&gt;"&amp;$A180,実績!$AK$6:$AK$505,"○")&gt;0,1,0))</f>
        <v>0</v>
      </c>
      <c r="Y180" s="39" t="n">
        <f aca="false">IF(Y$4=0,0,IF(COUNTIFS(実績!$W$6:$W$505,Y$3,実績!$AI$6:$AI$505,"&lt;="&amp;$A180,実績!$AJ$6:$AJ$505,"&gt;"&amp;$A180,実績!$AK$6:$AK$505,"○")&gt;0,1,0))</f>
        <v>0</v>
      </c>
      <c r="Z180" s="39" t="n">
        <f aca="false">IF(Z$4=0,0,IF(COUNTIFS(実績!$W$6:$W$505,Z$3,実績!$AI$6:$AI$505,"&lt;="&amp;$A180,実績!$AJ$6:$AJ$505,"&gt;"&amp;$A180,実績!$AK$6:$AK$505,"○")&gt;0,1,0))</f>
        <v>0</v>
      </c>
      <c r="AA180" s="39" t="n">
        <f aca="false">IF(AA$4=0,0,IF(COUNTIFS(実績!$W$6:$W$505,AA$3,実績!$AI$6:$AI$505,"&lt;="&amp;$A180,実績!$AJ$6:$AJ$505,"&gt;"&amp;$A180,実績!$AK$6:$AK$505,"○")&gt;0,1,0))</f>
        <v>0</v>
      </c>
      <c r="AB180" s="39" t="n">
        <f aca="false">IF(AB$4=0,0,IF(COUNTIFS(実績!$W$6:$W$505,AB$3,実績!$AI$6:$AI$505,"&lt;="&amp;$A180,実績!$AJ$6:$AJ$505,"&gt;"&amp;$A180,実績!$AK$6:$AK$505,"○")&gt;0,1,0))</f>
        <v>0</v>
      </c>
      <c r="AC180" s="39" t="n">
        <f aca="false">IF(AC$4=0,0,IF(COUNTIFS(実績!$W$6:$W$505,AC$3,実績!$AI$6:$AI$505,"&lt;="&amp;$A180,実績!$AJ$6:$AJ$505,"&gt;"&amp;$A180,実績!$AK$6:$AK$505,"○")&gt;0,1,0))</f>
        <v>0</v>
      </c>
      <c r="AD180" s="39" t="n">
        <f aca="false">IF(AD$4=0,0,IF(COUNTIFS(実績!$W$6:$W$505,AD$3,実績!$AI$6:$AI$505,"&lt;="&amp;$A180,実績!$AJ$6:$AJ$505,"&gt;"&amp;$A180,実績!$AK$6:$AK$505,"○")&gt;0,1,0))</f>
        <v>0</v>
      </c>
      <c r="AE180" s="39" t="n">
        <f aca="false">IF(AE$4=0,0,IF(COUNTIFS(実績!$W$6:$W$505,AE$3,実績!$AI$6:$AI$505,"&lt;="&amp;$A180,実績!$AJ$6:$AJ$505,"&gt;"&amp;$A180,実績!$AK$6:$AK$505,"○")&gt;0,1,0))</f>
        <v>0</v>
      </c>
      <c r="AF180" s="39" t="n">
        <f aca="false">IF(AF$4=0,0,IF(COUNTIFS(実績!$W$6:$W$505,AF$3,実績!$AI$6:$AI$505,"&lt;="&amp;$A180,実績!$AJ$6:$AJ$505,"&gt;"&amp;$A180,実績!$AK$6:$AK$505,"○")&gt;0,1,0))</f>
        <v>0</v>
      </c>
      <c r="AG180" s="39" t="n">
        <f aca="false">IF(AG$4=0,0,IF(COUNTIFS(実績!$W$6:$W$505,AG$3,実績!$AI$6:$AI$505,"&lt;="&amp;$A180,実績!$AJ$6:$AJ$505,"&gt;"&amp;$A180,実績!$AK$6:$AK$505,"○")&gt;0,1,0))</f>
        <v>0</v>
      </c>
      <c r="AH180" s="39" t="n">
        <f aca="false">IF(AH$4=0,0,IF(COUNTIFS(実績!$W$6:$W$505,AH$3,実績!$AI$6:$AI$505,"&lt;="&amp;$A180,実績!$AJ$6:$AJ$505,"&gt;"&amp;$A180,実績!$AK$6:$AK$505,"○")&gt;0,1,0))</f>
        <v>0</v>
      </c>
      <c r="AI180" s="39" t="n">
        <f aca="false">IF(AI$4=0,0,IF(COUNTIFS(実績!$W$6:$W$505,AI$3,実績!$AI$6:$AI$505,"&lt;="&amp;$A180,実績!$AJ$6:$AJ$505,"&gt;"&amp;$A180,実績!$AK$6:$AK$505,"○")&gt;0,1,0))</f>
        <v>0</v>
      </c>
      <c r="AJ180" s="39" t="n">
        <f aca="false">IF(AJ$4=0,0,IF(COUNTIFS(実績!$W$6:$W$505,AJ$3,実績!$AI$6:$AI$505,"&lt;="&amp;$A180,実績!$AJ$6:$AJ$505,"&gt;"&amp;$A180,実績!$AK$6:$AK$505,"○")&gt;0,1,0))</f>
        <v>0</v>
      </c>
      <c r="AK180" s="39" t="n">
        <f aca="false">IF(AK$4=0,0,IF(COUNTIFS(実績!$W$6:$W$505,AK$3,実績!$AI$6:$AI$505,"&lt;="&amp;$A180,実績!$AJ$6:$AJ$505,"&gt;"&amp;$A180,実績!$AK$6:$AK$505,"○")&gt;0,1,0))</f>
        <v>0</v>
      </c>
      <c r="AL180" s="39" t="n">
        <f aca="false">IF(AL$4=0,0,IF(COUNTIFS(実績!$W$6:$W$505,AL$3,実績!$AI$6:$AI$505,"&lt;="&amp;$A180,実績!$AJ$6:$AJ$505,"&gt;"&amp;$A180,実績!$AK$6:$AK$505,"○")&gt;0,1,0))</f>
        <v>0</v>
      </c>
      <c r="AM180" s="39" t="n">
        <f aca="false">IF(AM$4=0,0,IF(COUNTIFS(実績!$W$6:$W$505,AM$3,実績!$AI$6:$AI$505,"&lt;="&amp;$A180,実績!$AJ$6:$AJ$505,"&gt;"&amp;$A180,実績!$AK$6:$AK$505,"○")&gt;0,1,0))</f>
        <v>0</v>
      </c>
      <c r="AN180" s="39" t="n">
        <f aca="false">IF(AN$4=0,0,IF(COUNTIFS(実績!$W$6:$W$505,AN$3,実績!$AI$6:$AI$505,"&lt;="&amp;$A180,実績!$AJ$6:$AJ$505,"&gt;"&amp;$A180,実績!$AK$6:$AK$505,"○")&gt;0,1,0))</f>
        <v>0</v>
      </c>
      <c r="AO180" s="39" t="n">
        <f aca="false">IF(AO$4=0,0,IF(COUNTIFS(実績!$W$6:$W$505,AO$3,実績!$AI$6:$AI$505,"&lt;="&amp;$A180,実績!$AJ$6:$AJ$505,"&gt;"&amp;$A180,実績!$AK$6:$AK$505,"○")&gt;0,1,0))</f>
        <v>0</v>
      </c>
      <c r="AP180" s="39" t="n">
        <f aca="false">IF(AP$4=0,0,IF(COUNTIFS(実績!$W$6:$W$505,AP$3,実績!$AI$6:$AI$505,"&lt;="&amp;$A180,実績!$AJ$6:$AJ$505,"&gt;"&amp;$A180,実績!$AK$6:$AK$505,"○")&gt;0,1,0))</f>
        <v>0</v>
      </c>
      <c r="AQ180" s="39" t="n">
        <f aca="false">IF(AQ$4=0,0,IF(COUNTIFS(実績!$W$6:$W$505,AQ$3,実績!$AI$6:$AI$505,"&lt;="&amp;$A180,実績!$AJ$6:$AJ$505,"&gt;"&amp;$A180,実績!$AK$6:$AK$505,"○")&gt;0,1,0))</f>
        <v>0</v>
      </c>
      <c r="AR180" s="39" t="n">
        <f aca="false">IF(AR$4=0,0,IF(COUNTIFS(実績!$W$6:$W$505,AR$3,実績!$AI$6:$AI$505,"&lt;="&amp;$A180,実績!$AJ$6:$AJ$505,"&gt;"&amp;$A180,実績!$AK$6:$AK$505,"○")&gt;0,1,0))</f>
        <v>0</v>
      </c>
      <c r="AS180" s="39" t="n">
        <f aca="false">IF(AS$4=0,0,IF(COUNTIFS(実績!$W$6:$W$505,AS$3,実績!$AI$6:$AI$505,"&lt;="&amp;$A180,実績!$AJ$6:$AJ$505,"&gt;"&amp;$A180,実績!$AK$6:$AK$505,"○")&gt;0,1,0))</f>
        <v>0</v>
      </c>
      <c r="AT180" s="39" t="n">
        <f aca="false">IF(AT$4=0,0,IF(COUNTIFS(実績!$W$6:$W$505,AT$3,実績!$AI$6:$AI$505,"&lt;="&amp;$A180,実績!$AJ$6:$AJ$505,"&gt;"&amp;$A180,実績!$AK$6:$AK$505,"○")&gt;0,1,0))</f>
        <v>0</v>
      </c>
      <c r="AU180" s="39" t="n">
        <f aca="false">IF(AU$4=0,0,IF(COUNTIFS(実績!$W$6:$W$505,AU$3,実績!$AI$6:$AI$505,"&lt;="&amp;$A180,実績!$AJ$6:$AJ$505,"&gt;"&amp;$A180,実績!$AK$6:$AK$505,"○")&gt;0,1,0))</f>
        <v>0</v>
      </c>
      <c r="AV180" s="39" t="n">
        <f aca="false">IF(AV$4=0,0,IF(COUNTIFS(実績!$W$6:$W$505,AV$3,実績!$AI$6:$AI$505,"&lt;="&amp;$A180,実績!$AJ$6:$AJ$505,"&gt;"&amp;$A180,実績!$AK$6:$AK$505,"○")&gt;0,1,0))</f>
        <v>0</v>
      </c>
      <c r="AW180" s="39" t="n">
        <f aca="false">IF(AW$4=0,0,IF(COUNTIFS(実績!$W$6:$W$505,AW$3,実績!$AI$6:$AI$505,"&lt;="&amp;$A180,実績!$AJ$6:$AJ$505,"&gt;"&amp;$A180,実績!$AK$6:$AK$505,"○")&gt;0,1,0))</f>
        <v>0</v>
      </c>
      <c r="AX180" s="39" t="n">
        <f aca="false">IF(AX$4=0,0,IF(COUNTIFS(実績!$W$6:$W$505,AX$3,実績!$AI$6:$AI$505,"&lt;="&amp;$A180,実績!$AJ$6:$AJ$505,"&gt;"&amp;$A180,実績!$AK$6:$AK$505,"○")&gt;0,1,0))</f>
        <v>0</v>
      </c>
      <c r="AY180" s="39" t="n">
        <f aca="false">IF(AY$4=0,0,IF(COUNTIFS(実績!$W$6:$W$505,AY$3,実績!$AI$6:$AI$505,"&lt;="&amp;$A180,実績!$AJ$6:$AJ$505,"&gt;"&amp;$A180,実績!$AK$6:$AK$505,"○")&gt;0,1,0))</f>
        <v>0</v>
      </c>
      <c r="AZ180" s="39" t="n">
        <f aca="false">IF(AZ$4=0,0,IF(COUNTIFS(実績!$W$6:$W$505,AZ$3,実績!$AI$6:$AI$505,"&lt;="&amp;$A180,実績!$AJ$6:$AJ$505,"&gt;"&amp;$A180,実績!$AK$6:$AK$505,"○")&gt;0,1,0))</f>
        <v>0</v>
      </c>
      <c r="BA180" s="39" t="n">
        <f aca="false">IF(BA$4=0,0,IF(COUNTIFS(実績!$W$6:$W$505,BA$3,実績!$AI$6:$AI$505,"&lt;="&amp;$A180,実績!$AJ$6:$AJ$505,"&gt;"&amp;$A180,実績!$AK$6:$AK$505,"○")&gt;0,1,0))</f>
        <v>0</v>
      </c>
      <c r="BB180" s="39" t="n">
        <f aca="false">IF(BB$4=0,0,IF(COUNTIFS(実績!$W$6:$W$505,BB$3,実績!$AI$6:$AI$505,"&lt;="&amp;$A180,実績!$AJ$6:$AJ$505,"&gt;"&amp;$A180,実績!$AK$6:$AK$505,"○")&gt;0,1,0))</f>
        <v>0</v>
      </c>
      <c r="BC180" s="39" t="n">
        <f aca="false">IF(BC$4=0,0,IF(COUNTIFS(実績!$W$6:$W$505,BC$3,実績!$AI$6:$AI$505,"&lt;="&amp;$A180,実績!$AJ$6:$AJ$505,"&gt;"&amp;$A180,実績!$AK$6:$AK$505,"○")&gt;0,1,0))</f>
        <v>0</v>
      </c>
      <c r="BD180" s="39" t="n">
        <f aca="false">IF(BD$4=0,0,IF(COUNTIFS(実績!$W$6:$W$505,BD$3,実績!$AI$6:$AI$505,"&lt;="&amp;$A180,実績!$AJ$6:$AJ$505,"&gt;"&amp;$A180,実績!$AK$6:$AK$505,"○")&gt;0,1,0))</f>
        <v>0</v>
      </c>
      <c r="BE180" s="39" t="n">
        <f aca="false">IF(BE$4=0,0,IF(COUNTIFS(実績!$W$6:$W$505,BE$3,実績!$AI$6:$AI$505,"&lt;="&amp;$A180,実績!$AJ$6:$AJ$505,"&gt;"&amp;$A180,実績!$AK$6:$AK$505,"○")&gt;0,1,0))</f>
        <v>0</v>
      </c>
      <c r="BF180" s="39" t="n">
        <f aca="false">IF(BF$4=0,0,IF(COUNTIFS(実績!$W$6:$W$505,BF$3,実績!$AI$6:$AI$505,"&lt;="&amp;$A180,実績!$AJ$6:$AJ$505,"&gt;"&amp;$A180,実績!$AK$6:$AK$505,"○")&gt;0,1,0))</f>
        <v>0</v>
      </c>
      <c r="BG180" s="39" t="n">
        <f aca="false">IF(BG$4=0,0,IF(COUNTIFS(実績!$W$6:$W$505,BG$3,実績!$AI$6:$AI$505,"&lt;="&amp;$A180,実績!$AJ$6:$AJ$505,"&gt;"&amp;$A180,実績!$AK$6:$AK$505,"○")&gt;0,1,0))</f>
        <v>0</v>
      </c>
      <c r="BH180" s="39" t="n">
        <f aca="false">IF(BH$4=0,0,IF(COUNTIFS(実績!$W$6:$W$505,BH$3,実績!$AI$6:$AI$505,"&lt;="&amp;$A180,実績!$AJ$6:$AJ$505,"&gt;"&amp;$A180,実績!$AK$6:$AK$505,"○")&gt;0,1,0))</f>
        <v>0</v>
      </c>
      <c r="BI180" s="39" t="n">
        <f aca="false">IF(BI$4=0,0,IF(COUNTIFS(実績!$W$6:$W$505,BI$3,実績!$AI$6:$AI$505,"&lt;="&amp;$A180,実績!$AJ$6:$AJ$505,"&gt;"&amp;$A180,実績!$AK$6:$AK$505,"○")&gt;0,1,0))</f>
        <v>0</v>
      </c>
      <c r="BJ180" s="39" t="n">
        <f aca="false">IF(BJ$4=0,0,IF(COUNTIFS(実績!$W$6:$W$505,BJ$3,実績!$AI$6:$AI$505,"&lt;="&amp;$A180,実績!$AJ$6:$AJ$505,"&gt;"&amp;$A180,実績!$AK$6:$AK$505,"○")&gt;0,1,0))</f>
        <v>0</v>
      </c>
      <c r="BK180" s="39" t="n">
        <f aca="false">IF(BK$4=0,0,IF(COUNTIFS(実績!$W$6:$W$505,BK$3,実績!$AI$6:$AI$505,"&lt;="&amp;$A180,実績!$AJ$6:$AJ$505,"&gt;"&amp;$A180,実績!$AK$6:$AK$505,"○")&gt;0,1,0))</f>
        <v>0</v>
      </c>
      <c r="BL180" s="39" t="n">
        <f aca="false">IF(BL$4=0,0,IF(COUNTIFS(実績!$W$6:$W$505,BL$3,実績!$AI$6:$AI$505,"&lt;="&amp;$A180,実績!$AJ$6:$AJ$505,"&gt;"&amp;$A180,実績!$AK$6:$AK$505,"○")&gt;0,1,0))</f>
        <v>0</v>
      </c>
      <c r="BM180" s="39" t="n">
        <f aca="false">IF(BM$4=0,0,IF(COUNTIFS(実績!$W$6:$W$505,BM$3,実績!$AI$6:$AI$505,"&lt;="&amp;$A180,実績!$AJ$6:$AJ$505,"&gt;"&amp;$A180,実績!$AK$6:$AK$505,"○")&gt;0,1,0))</f>
        <v>0</v>
      </c>
      <c r="BN180" s="39" t="n">
        <f aca="false">IF(BN$4=0,0,IF(COUNTIFS(実績!$W$6:$W$505,BN$3,実績!$AI$6:$AI$505,"&lt;="&amp;$A180,実績!$AJ$6:$AJ$505,"&gt;"&amp;$A180,実績!$AK$6:$AK$505,"○")&gt;0,1,0))</f>
        <v>0</v>
      </c>
      <c r="BO180" s="39" t="n">
        <f aca="false">IF(BO$4=0,0,IF(COUNTIFS(実績!$W$6:$W$505,BO$3,実績!$AI$6:$AI$505,"&lt;="&amp;$A180,実績!$AJ$6:$AJ$505,"&gt;"&amp;$A180,実績!$AK$6:$AK$505,"○")&gt;0,1,0))</f>
        <v>0</v>
      </c>
      <c r="BP180" s="39" t="n">
        <f aca="false">IF(BP$4=0,0,IF(COUNTIFS(実績!$W$6:$W$505,BP$3,実績!$AI$6:$AI$505,"&lt;="&amp;$A180,実績!$AJ$6:$AJ$505,"&gt;"&amp;$A180,実績!$AK$6:$AK$505,"○")&gt;0,1,0))</f>
        <v>0</v>
      </c>
      <c r="BQ180" s="39" t="n">
        <f aca="false">IF(BQ$4=0,0,IF(COUNTIFS(実績!$W$6:$W$505,BQ$3,実績!$AI$6:$AI$505,"&lt;="&amp;$A180,実績!$AJ$6:$AJ$505,"&gt;"&amp;$A180,実績!$AK$6:$AK$505,"○")&gt;0,1,0))</f>
        <v>0</v>
      </c>
      <c r="BR180" s="39" t="n">
        <f aca="false">IF(BR$4=0,0,IF(COUNTIFS(実績!$W$6:$W$505,BR$3,実績!$AI$6:$AI$505,"&lt;="&amp;$A180,実績!$AJ$6:$AJ$505,"&gt;"&amp;$A180,実績!$AK$6:$AK$505,"○")&gt;0,1,0))</f>
        <v>0</v>
      </c>
      <c r="BS180" s="39" t="n">
        <f aca="false">IF(BS$4=0,0,IF(COUNTIFS(実績!$W$6:$W$505,BS$3,実績!$AI$6:$AI$505,"&lt;="&amp;$A180,実績!$AJ$6:$AJ$505,"&gt;"&amp;$A180,実績!$AK$6:$AK$505,"○")&gt;0,1,0))</f>
        <v>0</v>
      </c>
      <c r="BT180" s="39" t="n">
        <f aca="false">IF(BT$4=0,0,IF(COUNTIFS(実績!$W$6:$W$505,BT$3,実績!$AI$6:$AI$505,"&lt;="&amp;$A180,実績!$AJ$6:$AJ$505,"&gt;"&amp;$A180,実績!$AK$6:$AK$505,"○")&gt;0,1,0))</f>
        <v>0</v>
      </c>
      <c r="BU180" s="39" t="n">
        <f aca="false">IF(BU$4=0,0,IF(COUNTIFS(実績!$W$6:$W$505,BU$3,実績!$AI$6:$AI$505,"&lt;="&amp;$A180,実績!$AJ$6:$AJ$505,"&gt;"&amp;$A180,実績!$AK$6:$AK$505,"○")&gt;0,1,0))</f>
        <v>0</v>
      </c>
      <c r="BV180" s="39" t="n">
        <f aca="false">IF(BV$4=0,0,IF(COUNTIFS(実績!$W$6:$W$505,BV$3,実績!$AI$6:$AI$505,"&lt;="&amp;$A180,実績!$AJ$6:$AJ$505,"&gt;"&amp;$A180,実績!$AK$6:$AK$505,"○")&gt;0,1,0))</f>
        <v>0</v>
      </c>
      <c r="BW180" s="39" t="n">
        <f aca="false">IF(BW$4=0,0,IF(COUNTIFS(実績!$W$6:$W$505,BW$3,実績!$AI$6:$AI$505,"&lt;="&amp;$A180,実績!$AJ$6:$AJ$505,"&gt;"&amp;$A180,実績!$AK$6:$AK$505,"○")&gt;0,1,0))</f>
        <v>0</v>
      </c>
      <c r="BX180" s="39" t="n">
        <f aca="false">IF(BX$4=0,0,IF(COUNTIFS(実績!$W$6:$W$505,BX$3,実績!$AI$6:$AI$505,"&lt;="&amp;$A180,実績!$AJ$6:$AJ$505,"&gt;"&amp;$A180,実績!$AK$6:$AK$505,"○")&gt;0,1,0))</f>
        <v>0</v>
      </c>
      <c r="BY180" s="39" t="n">
        <f aca="false">IF(BY$4=0,0,IF(COUNTIFS(実績!$W$6:$W$505,BY$3,実績!$AI$6:$AI$505,"&lt;="&amp;$A180,実績!$AJ$6:$AJ$505,"&gt;"&amp;$A180,実績!$AK$6:$AK$505,"○")&gt;0,1,0))</f>
        <v>0</v>
      </c>
      <c r="BZ180" s="39" t="n">
        <f aca="false">IF(BZ$4=0,0,IF(COUNTIFS(実績!$W$6:$W$505,BZ$3,実績!$AI$6:$AI$505,"&lt;="&amp;$A180,実績!$AJ$6:$AJ$505,"&gt;"&amp;$A180,実績!$AK$6:$AK$505,"○")&gt;0,1,0))</f>
        <v>0</v>
      </c>
      <c r="CA180" s="39" t="n">
        <f aca="false">IF(CA$4=0,0,IF(COUNTIFS(実績!$W$6:$W$505,CA$3,実績!$AI$6:$AI$505,"&lt;="&amp;$A180,実績!$AJ$6:$AJ$505,"&gt;"&amp;$A180,実績!$AK$6:$AK$505,"○")&gt;0,1,0))</f>
        <v>0</v>
      </c>
      <c r="CB180" s="39" t="n">
        <f aca="false">IF(CB$4=0,0,IF(COUNTIFS(実績!$W$6:$W$505,CB$3,実績!$AI$6:$AI$505,"&lt;="&amp;$A180,実績!$AJ$6:$AJ$505,"&gt;"&amp;$A180,実績!$AK$6:$AK$505,"○")&gt;0,1,0))</f>
        <v>0</v>
      </c>
      <c r="CC180" s="39" t="n">
        <f aca="false">IF(CC$4=0,0,IF(COUNTIFS(実績!$W$6:$W$505,CC$3,実績!$AI$6:$AI$505,"&lt;="&amp;$A180,実績!$AJ$6:$AJ$505,"&gt;"&amp;$A180,実績!$AK$6:$AK$505,"○")&gt;0,1,0))</f>
        <v>0</v>
      </c>
      <c r="CD180" s="39" t="n">
        <f aca="false">IF(CD$4=0,0,IF(COUNTIFS(実績!$W$6:$W$505,CD$3,実績!$AI$6:$AI$505,"&lt;="&amp;$A180,実績!$AJ$6:$AJ$505,"&gt;"&amp;$A180,実績!$AK$6:$AK$505,"○")&gt;0,1,0))</f>
        <v>0</v>
      </c>
      <c r="CE180" s="39" t="n">
        <f aca="false">IF(CE$4=0,0,IF(COUNTIFS(実績!$W$6:$W$505,CE$3,実績!$AI$6:$AI$505,"&lt;="&amp;$A180,実績!$AJ$6:$AJ$505,"&gt;"&amp;$A180,実績!$AK$6:$AK$505,"○")&gt;0,1,0))</f>
        <v>0</v>
      </c>
      <c r="CF180" s="39" t="n">
        <f aca="false">IF(CF$4=0,0,IF(COUNTIFS(実績!$W$6:$W$505,CF$3,実績!$AI$6:$AI$505,"&lt;="&amp;$A180,実績!$AJ$6:$AJ$505,"&gt;"&amp;$A180,実績!$AK$6:$AK$505,"○")&gt;0,1,0))</f>
        <v>0</v>
      </c>
      <c r="CG180" s="39" t="n">
        <f aca="false">IF(CG$4=0,0,IF(COUNTIFS(実績!$W$6:$W$505,CG$3,実績!$AI$6:$AI$505,"&lt;="&amp;$A180,実績!$AJ$6:$AJ$505,"&gt;"&amp;$A180,実績!$AK$6:$AK$505,"○")&gt;0,1,0))</f>
        <v>0</v>
      </c>
      <c r="CH180" s="39" t="n">
        <f aca="false">IF(CH$4=0,0,IF(COUNTIFS(実績!$W$6:$W$505,CH$3,実績!$AI$6:$AI$505,"&lt;="&amp;$A180,実績!$AJ$6:$AJ$505,"&gt;"&amp;$A180,実績!$AK$6:$AK$505,"○")&gt;0,1,0))</f>
        <v>0</v>
      </c>
      <c r="CI180" s="39" t="n">
        <f aca="false">IF(CI$4=0,0,IF(COUNTIFS(実績!$W$6:$W$505,CI$3,実績!$AI$6:$AI$505,"&lt;="&amp;$A180,実績!$AJ$6:$AJ$505,"&gt;"&amp;$A180,実績!$AK$6:$AK$505,"○")&gt;0,1,0))</f>
        <v>0</v>
      </c>
      <c r="CJ180" s="39" t="n">
        <f aca="false">IF(CJ$4=0,0,IF(COUNTIFS(実績!$W$6:$W$505,CJ$3,実績!$AI$6:$AI$505,"&lt;="&amp;$A180,実績!$AJ$6:$AJ$505,"&gt;"&amp;$A180,実績!$AK$6:$AK$505,"○")&gt;0,1,0))</f>
        <v>0</v>
      </c>
      <c r="CK180" s="39" t="n">
        <f aca="false">IF(CK$4=0,0,IF(COUNTIFS(実績!$W$6:$W$505,CK$3,実績!$AI$6:$AI$505,"&lt;="&amp;$A180,実績!$AJ$6:$AJ$505,"&gt;"&amp;$A180,実績!$AK$6:$AK$505,"○")&gt;0,1,0))</f>
        <v>0</v>
      </c>
      <c r="CL180" s="39" t="n">
        <f aca="false">IF(CL$4=0,0,IF(COUNTIFS(実績!$W$6:$W$505,CL$3,実績!$AI$6:$AI$505,"&lt;="&amp;$A180,実績!$AJ$6:$AJ$505,"&gt;"&amp;$A180,実績!$AK$6:$AK$505,"○")&gt;0,1,0))</f>
        <v>0</v>
      </c>
      <c r="CM180" s="39" t="n">
        <f aca="false">IF(CM$4=0,0,IF(COUNTIFS(実績!$W$6:$W$505,CM$3,実績!$AI$6:$AI$505,"&lt;="&amp;$A180,実績!$AJ$6:$AJ$505,"&gt;"&amp;$A180,実績!$AK$6:$AK$505,"○")&gt;0,1,0))</f>
        <v>0</v>
      </c>
      <c r="CN180" s="39" t="n">
        <f aca="false">IF(CN$4=0,0,IF(COUNTIFS(実績!$W$6:$W$505,CN$3,実績!$AI$6:$AI$505,"&lt;="&amp;$A180,実績!$AJ$6:$AJ$505,"&gt;"&amp;$A180,実績!$AK$6:$AK$505,"○")&gt;0,1,0))</f>
        <v>0</v>
      </c>
      <c r="CO180" s="39" t="n">
        <f aca="false">IF(CO$4=0,0,IF(COUNTIFS(実績!$W$6:$W$505,CO$3,実績!$AI$6:$AI$505,"&lt;="&amp;$A180,実績!$AJ$6:$AJ$505,"&gt;"&amp;$A180,実績!$AK$6:$AK$505,"○")&gt;0,1,0))</f>
        <v>0</v>
      </c>
      <c r="CP180" s="39" t="n">
        <f aca="false">IF(CP$4=0,0,IF(COUNTIFS(実績!$W$6:$W$505,CP$3,実績!$AI$6:$AI$505,"&lt;="&amp;$A180,実績!$AJ$6:$AJ$505,"&gt;"&amp;$A180,実績!$AK$6:$AK$505,"○")&gt;0,1,0))</f>
        <v>0</v>
      </c>
      <c r="CQ180" s="39" t="n">
        <f aca="false">IF(CQ$4=0,0,IF(COUNTIFS(実績!$W$6:$W$505,CQ$3,実績!$AI$6:$AI$505,"&lt;="&amp;$A180,実績!$AJ$6:$AJ$505,"&gt;"&amp;$A180,実績!$AK$6:$AK$505,"○")&gt;0,1,0))</f>
        <v>0</v>
      </c>
      <c r="CR180" s="39" t="n">
        <f aca="false">IF(CR$4=0,0,IF(COUNTIFS(実績!$W$6:$W$505,CR$3,実績!$AI$6:$AI$505,"&lt;="&amp;$A180,実績!$AJ$6:$AJ$505,"&gt;"&amp;$A180,実績!$AK$6:$AK$505,"○")&gt;0,1,0))</f>
        <v>0</v>
      </c>
      <c r="CS180" s="39" t="n">
        <f aca="false">IF(CS$4=0,0,IF(COUNTIFS(実績!$W$6:$W$505,CS$3,実績!$AI$6:$AI$505,"&lt;="&amp;$A180,実績!$AJ$6:$AJ$505,"&gt;"&amp;$A180,実績!$AK$6:$AK$505,"○")&gt;0,1,0))</f>
        <v>0</v>
      </c>
      <c r="CT180" s="39" t="n">
        <f aca="false">IF(CT$4=0,0,IF(COUNTIFS(実績!$W$6:$W$505,CT$3,実績!$AI$6:$AI$505,"&lt;="&amp;$A180,実績!$AJ$6:$AJ$505,"&gt;"&amp;$A180,実績!$AK$6:$AK$505,"○")&gt;0,1,0))</f>
        <v>0</v>
      </c>
      <c r="CU180" s="39" t="n">
        <f aca="false">IF(CU$4=0,0,IF(COUNTIFS(実績!$W$6:$W$505,CU$3,実績!$AI$6:$AI$505,"&lt;="&amp;$A180,実績!$AJ$6:$AJ$505,"&gt;"&amp;$A180,実績!$AK$6:$AK$505,"○")&gt;0,1,0))</f>
        <v>0</v>
      </c>
      <c r="CV180" s="39" t="n">
        <f aca="false">IF(CV$4=0,0,IF(COUNTIFS(実績!$W$6:$W$505,CV$3,実績!$AI$6:$AI$505,"&lt;="&amp;$A180,実績!$AJ$6:$AJ$505,"&gt;"&amp;$A180,実績!$AK$6:$AK$505,"○")&gt;0,1,0))</f>
        <v>0</v>
      </c>
      <c r="CW180" s="39" t="n">
        <f aca="false">IF(CW$4=0,0,IF(COUNTIFS(実績!$W$6:$W$505,CW$3,実績!$AI$6:$AI$505,"&lt;="&amp;$A180,実績!$AJ$6:$AJ$505,"&gt;"&amp;$A180,実績!$AK$6:$AK$505,"○")&gt;0,1,0))</f>
        <v>0</v>
      </c>
      <c r="CX180" s="39" t="n">
        <f aca="false">IF(CX$4=0,0,IF(COUNTIFS(実績!$W$6:$W$505,CX$3,実績!$AI$6:$AI$505,"&lt;="&amp;$A180,実績!$AJ$6:$AJ$505,"&gt;"&amp;$A180,実績!$AK$6:$AK$505,"○")&gt;0,1,0))</f>
        <v>0</v>
      </c>
      <c r="CY180" s="39" t="n">
        <f aca="false">IF(CY$4=0,0,IF(COUNTIFS(実績!$W$6:$W$505,CY$3,実績!$AI$6:$AI$505,"&lt;="&amp;$A180,実績!$AJ$6:$AJ$505,"&gt;"&amp;$A180,実績!$AK$6:$AK$505,"○")&gt;0,1,0))</f>
        <v>0</v>
      </c>
      <c r="CZ180" s="39" t="n">
        <f aca="false">IF(CZ$4=0,0,IF(COUNTIFS(実績!$W$6:$W$505,CZ$3,実績!$AI$6:$AI$505,"&lt;="&amp;$A180,実績!$AJ$6:$AJ$505,"&gt;"&amp;$A180,実績!$AK$6:$AK$505,"○")&gt;0,1,0))</f>
        <v>0</v>
      </c>
      <c r="DA180" s="39" t="n">
        <f aca="false">IF(DA$4=0,0,IF(COUNTIFS(実績!$W$6:$W$505,DA$3,実績!$AI$6:$AI$505,"&lt;="&amp;$A180,実績!$AJ$6:$AJ$505,"&gt;"&amp;$A180,実績!$AK$6:$AK$505,"○")&gt;0,1,0))</f>
        <v>0</v>
      </c>
      <c r="DB180" s="39" t="n">
        <f aca="false">IF(DB$4=0,0,IF(COUNTIFS(実績!$W$6:$W$505,DB$3,実績!$AI$6:$AI$505,"&lt;="&amp;$A180,実績!$AJ$6:$AJ$505,"&gt;"&amp;$A180,実績!$AK$6:$AK$505,"○")&gt;0,1,0))</f>
        <v>0</v>
      </c>
      <c r="DC180" s="39" t="n">
        <f aca="false">IF(DC$4=0,0,IF(COUNTIFS(実績!$W$6:$W$505,DC$3,実績!$AI$6:$AI$505,"&lt;="&amp;$A180,実績!$AJ$6:$AJ$505,"&gt;"&amp;$A180,実績!$AK$6:$AK$505,"○")&gt;0,1,0))</f>
        <v>0</v>
      </c>
      <c r="DD180" s="39" t="n">
        <f aca="false">IF(DD$4=0,0,IF(COUNTIFS(実績!$W$6:$W$505,DD$3,実績!$AI$6:$AI$505,"&lt;="&amp;$A180,実績!$AJ$6:$AJ$505,"&gt;"&amp;$A180,実績!$AK$6:$AK$505,"○")&gt;0,1,0))</f>
        <v>0</v>
      </c>
      <c r="DE180" s="39" t="n">
        <f aca="false">IF(DE$4=0,0,IF(COUNTIFS(実績!$W$6:$W$505,DE$3,実績!$AI$6:$AI$505,"&lt;="&amp;$A180,実績!$AJ$6:$AJ$505,"&gt;"&amp;$A180,実績!$AK$6:$AK$505,"○")&gt;0,1,0))</f>
        <v>0</v>
      </c>
      <c r="DF180" s="39" t="n">
        <f aca="false">IF(DF$4=0,0,IF(COUNTIFS(実績!$W$6:$W$505,DF$3,実績!$AI$6:$AI$505,"&lt;="&amp;$A180,実績!$AJ$6:$AJ$505,"&gt;"&amp;$A180,実績!$AK$6:$AK$505,"○")&gt;0,1,0))</f>
        <v>0</v>
      </c>
      <c r="DG180" s="39" t="n">
        <f aca="false">IF(DG$4=0,0,IF(COUNTIFS(実績!$W$6:$W$505,DG$3,実績!$AI$6:$AI$505,"&lt;="&amp;$A180,実績!$AJ$6:$AJ$505,"&gt;"&amp;$A180,実績!$AK$6:$AK$505,"○")&gt;0,1,0))</f>
        <v>0</v>
      </c>
      <c r="DH180" s="39" t="n">
        <f aca="false">IF(DH$4=0,0,IF(COUNTIFS(実績!$W$6:$W$505,DH$3,実績!$AI$6:$AI$505,"&lt;="&amp;$A180,実績!$AJ$6:$AJ$505,"&gt;"&amp;$A180,実績!$AK$6:$AK$505,"○")&gt;0,1,0))</f>
        <v>0</v>
      </c>
      <c r="DI180" s="39" t="n">
        <f aca="false">IF(DI$4=0,0,IF(COUNTIFS(実績!$W$6:$W$505,DI$3,実績!$AI$6:$AI$505,"&lt;="&amp;$A180,実績!$AJ$6:$AJ$505,"&gt;"&amp;$A180,実績!$AK$6:$AK$505,"○")&gt;0,1,0))</f>
        <v>0</v>
      </c>
      <c r="DJ180" s="39" t="n">
        <f aca="false">IF(DJ$4=0,0,IF(COUNTIFS(実績!$W$6:$W$505,DJ$3,実績!$AI$6:$AI$505,"&lt;="&amp;$A180,実績!$AJ$6:$AJ$505,"&gt;"&amp;$A180,実績!$AK$6:$AK$505,"○")&gt;0,1,0))</f>
        <v>0</v>
      </c>
      <c r="DK180" s="39" t="n">
        <f aca="false">IF(DK$4=0,0,IF(COUNTIFS(実績!$W$6:$W$505,DK$3,実績!$AI$6:$AI$505,"&lt;="&amp;$A180,実績!$AJ$6:$AJ$505,"&gt;"&amp;$A180,実績!$AK$6:$AK$505,"○")&gt;0,1,0))</f>
        <v>0</v>
      </c>
      <c r="DL180" s="39" t="n">
        <f aca="false">IF(DL$4=0,0,IF(COUNTIFS(実績!$W$6:$W$505,DL$3,実績!$AI$6:$AI$505,"&lt;="&amp;$A180,実績!$AJ$6:$AJ$505,"&gt;"&amp;$A180,実績!$AK$6:$AK$505,"○")&gt;0,1,0))</f>
        <v>0</v>
      </c>
      <c r="DM180" s="39" t="n">
        <f aca="false">IF(DM$4=0,0,IF(COUNTIFS(実績!$W$6:$W$505,DM$3,実績!$AI$6:$AI$505,"&lt;="&amp;$A180,実績!$AJ$6:$AJ$505,"&gt;"&amp;$A180,実績!$AK$6:$AK$505,"○")&gt;0,1,0))</f>
        <v>0</v>
      </c>
      <c r="DN180" s="39" t="n">
        <f aca="false">IF(DN$4=0,0,IF(COUNTIFS(実績!$W$6:$W$505,DN$3,実績!$AI$6:$AI$505,"&lt;="&amp;$A180,実績!$AJ$6:$AJ$505,"&gt;"&amp;$A180,実績!$AK$6:$AK$505,"○")&gt;0,1,0))</f>
        <v>0</v>
      </c>
      <c r="DO180" s="39" t="n">
        <f aca="false">IF(DO$4=0,0,IF(COUNTIFS(実績!$W$6:$W$505,DO$3,実績!$AI$6:$AI$505,"&lt;="&amp;$A180,実績!$AJ$6:$AJ$505,"&gt;"&amp;$A180,実績!$AK$6:$AK$505,"○")&gt;0,1,0))</f>
        <v>0</v>
      </c>
      <c r="DP180" s="39" t="n">
        <f aca="false">IF(DP$4=0,0,IF(COUNTIFS(実績!$W$6:$W$505,DP$3,実績!$AI$6:$AI$505,"&lt;="&amp;$A180,実績!$AJ$6:$AJ$505,"&gt;"&amp;$A180,実績!$AK$6:$AK$505,"○")&gt;0,1,0))</f>
        <v>0</v>
      </c>
      <c r="DQ180" s="39" t="n">
        <f aca="false">IF(DQ$4=0,0,IF(COUNTIFS(実績!$W$6:$W$505,DQ$3,実績!$AI$6:$AI$505,"&lt;="&amp;$A180,実績!$AJ$6:$AJ$505,"&gt;"&amp;$A180,実績!$AK$6:$AK$505,"○")&gt;0,1,0))</f>
        <v>0</v>
      </c>
      <c r="DR180" s="39" t="n">
        <f aca="false">IF(DR$4=0,0,IF(COUNTIFS(実績!$W$6:$W$505,DR$3,実績!$AI$6:$AI$505,"&lt;="&amp;$A180,実績!$AJ$6:$AJ$505,"&gt;"&amp;$A180,実績!$AK$6:$AK$505,"○")&gt;0,1,0))</f>
        <v>0</v>
      </c>
      <c r="DS180" s="39" t="n">
        <f aca="false">SUM(C180:DR180)</f>
        <v>0</v>
      </c>
      <c r="DT180" s="39" t="n">
        <f aca="false">SUMPRODUCT((実績!$C$6:$C$505="○")*ISNUMBER(実績!$AM$6:$AM$505)*(実績!$AM$6:$AM$505&lt;=$A180)*(実績!$AN$6:$AN$505&gt;$A180))</f>
        <v>0</v>
      </c>
      <c r="DU180" s="39" t="n">
        <f aca="false">SUMIF($C$2:$DR$2,"製鉄曳船",C180:DR180)</f>
        <v>0</v>
      </c>
      <c r="DV180" s="39" t="n">
        <f aca="false">SUMIF($C$2:$DR$2,"西日本海運",C180:DR180)</f>
        <v>0</v>
      </c>
    </row>
    <row r="181" customFormat="false" ht="15" hidden="false" customHeight="false" outlineLevel="0" collapsed="false">
      <c r="A181" s="0" t="n">
        <v>875</v>
      </c>
      <c r="B181" s="38" t="n">
        <f aca="false">A181/1440</f>
        <v>0.607638888888889</v>
      </c>
      <c r="C181" s="39" t="n">
        <f aca="false">IF(C$4=0,0,IF(COUNTIFS(実績!$W$6:$W$505,C$3,実績!$AI$6:$AI$505,"&lt;="&amp;$A181,実績!$AJ$6:$AJ$505,"&gt;"&amp;$A181,実績!$AK$6:$AK$505,"○")&gt;0,1,0))</f>
        <v>0</v>
      </c>
      <c r="D181" s="39" t="n">
        <f aca="false">IF(D$4=0,0,IF(COUNTIFS(実績!$W$6:$W$505,D$3,実績!$AI$6:$AI$505,"&lt;="&amp;$A181,実績!$AJ$6:$AJ$505,"&gt;"&amp;$A181,実績!$AK$6:$AK$505,"○")&gt;0,1,0))</f>
        <v>0</v>
      </c>
      <c r="E181" s="39" t="n">
        <f aca="false">IF(E$4=0,0,IF(COUNTIFS(実績!$W$6:$W$505,E$3,実績!$AI$6:$AI$505,"&lt;="&amp;$A181,実績!$AJ$6:$AJ$505,"&gt;"&amp;$A181,実績!$AK$6:$AK$505,"○")&gt;0,1,0))</f>
        <v>0</v>
      </c>
      <c r="F181" s="39" t="n">
        <f aca="false">IF(F$4=0,0,IF(COUNTIFS(実績!$W$6:$W$505,F$3,実績!$AI$6:$AI$505,"&lt;="&amp;$A181,実績!$AJ$6:$AJ$505,"&gt;"&amp;$A181,実績!$AK$6:$AK$505,"○")&gt;0,1,0))</f>
        <v>0</v>
      </c>
      <c r="G181" s="39" t="n">
        <f aca="false">IF(G$4=0,0,IF(COUNTIFS(実績!$W$6:$W$505,G$3,実績!$AI$6:$AI$505,"&lt;="&amp;$A181,実績!$AJ$6:$AJ$505,"&gt;"&amp;$A181,実績!$AK$6:$AK$505,"○")&gt;0,1,0))</f>
        <v>0</v>
      </c>
      <c r="H181" s="39" t="n">
        <f aca="false">IF(H$4=0,0,IF(COUNTIFS(実績!$W$6:$W$505,H$3,実績!$AI$6:$AI$505,"&lt;="&amp;$A181,実績!$AJ$6:$AJ$505,"&gt;"&amp;$A181,実績!$AK$6:$AK$505,"○")&gt;0,1,0))</f>
        <v>0</v>
      </c>
      <c r="I181" s="39" t="n">
        <f aca="false">IF(I$4=0,0,IF(COUNTIFS(実績!$W$6:$W$505,I$3,実績!$AI$6:$AI$505,"&lt;="&amp;$A181,実績!$AJ$6:$AJ$505,"&gt;"&amp;$A181,実績!$AK$6:$AK$505,"○")&gt;0,1,0))</f>
        <v>0</v>
      </c>
      <c r="J181" s="39" t="n">
        <f aca="false">IF(J$4=0,0,IF(COUNTIFS(実績!$W$6:$W$505,J$3,実績!$AI$6:$AI$505,"&lt;="&amp;$A181,実績!$AJ$6:$AJ$505,"&gt;"&amp;$A181,実績!$AK$6:$AK$505,"○")&gt;0,1,0))</f>
        <v>0</v>
      </c>
      <c r="K181" s="39" t="n">
        <f aca="false">IF(K$4=0,0,IF(COUNTIFS(実績!$W$6:$W$505,K$3,実績!$AI$6:$AI$505,"&lt;="&amp;$A181,実績!$AJ$6:$AJ$505,"&gt;"&amp;$A181,実績!$AK$6:$AK$505,"○")&gt;0,1,0))</f>
        <v>0</v>
      </c>
      <c r="L181" s="39" t="n">
        <f aca="false">IF(L$4=0,0,IF(COUNTIFS(実績!$W$6:$W$505,L$3,実績!$AI$6:$AI$505,"&lt;="&amp;$A181,実績!$AJ$6:$AJ$505,"&gt;"&amp;$A181,実績!$AK$6:$AK$505,"○")&gt;0,1,0))</f>
        <v>0</v>
      </c>
      <c r="M181" s="39" t="n">
        <f aca="false">IF(M$4=0,0,IF(COUNTIFS(実績!$W$6:$W$505,M$3,実績!$AI$6:$AI$505,"&lt;="&amp;$A181,実績!$AJ$6:$AJ$505,"&gt;"&amp;$A181,実績!$AK$6:$AK$505,"○")&gt;0,1,0))</f>
        <v>0</v>
      </c>
      <c r="N181" s="39" t="n">
        <f aca="false">IF(N$4=0,0,IF(COUNTIFS(実績!$W$6:$W$505,N$3,実績!$AI$6:$AI$505,"&lt;="&amp;$A181,実績!$AJ$6:$AJ$505,"&gt;"&amp;$A181,実績!$AK$6:$AK$505,"○")&gt;0,1,0))</f>
        <v>0</v>
      </c>
      <c r="O181" s="39" t="n">
        <f aca="false">IF(O$4=0,0,IF(COUNTIFS(実績!$W$6:$W$505,O$3,実績!$AI$6:$AI$505,"&lt;="&amp;$A181,実績!$AJ$6:$AJ$505,"&gt;"&amp;$A181,実績!$AK$6:$AK$505,"○")&gt;0,1,0))</f>
        <v>0</v>
      </c>
      <c r="P181" s="39" t="n">
        <f aca="false">IF(P$4=0,0,IF(COUNTIFS(実績!$W$6:$W$505,P$3,実績!$AI$6:$AI$505,"&lt;="&amp;$A181,実績!$AJ$6:$AJ$505,"&gt;"&amp;$A181,実績!$AK$6:$AK$505,"○")&gt;0,1,0))</f>
        <v>0</v>
      </c>
      <c r="Q181" s="39" t="n">
        <f aca="false">IF(Q$4=0,0,IF(COUNTIFS(実績!$W$6:$W$505,Q$3,実績!$AI$6:$AI$505,"&lt;="&amp;$A181,実績!$AJ$6:$AJ$505,"&gt;"&amp;$A181,実績!$AK$6:$AK$505,"○")&gt;0,1,0))</f>
        <v>0</v>
      </c>
      <c r="R181" s="39" t="n">
        <f aca="false">IF(R$4=0,0,IF(COUNTIFS(実績!$W$6:$W$505,R$3,実績!$AI$6:$AI$505,"&lt;="&amp;$A181,実績!$AJ$6:$AJ$505,"&gt;"&amp;$A181,実績!$AK$6:$AK$505,"○")&gt;0,1,0))</f>
        <v>0</v>
      </c>
      <c r="S181" s="39" t="n">
        <f aca="false">IF(S$4=0,0,IF(COUNTIFS(実績!$W$6:$W$505,S$3,実績!$AI$6:$AI$505,"&lt;="&amp;$A181,実績!$AJ$6:$AJ$505,"&gt;"&amp;$A181,実績!$AK$6:$AK$505,"○")&gt;0,1,0))</f>
        <v>0</v>
      </c>
      <c r="T181" s="39" t="n">
        <f aca="false">IF(T$4=0,0,IF(COUNTIFS(実績!$W$6:$W$505,T$3,実績!$AI$6:$AI$505,"&lt;="&amp;$A181,実績!$AJ$6:$AJ$505,"&gt;"&amp;$A181,実績!$AK$6:$AK$505,"○")&gt;0,1,0))</f>
        <v>0</v>
      </c>
      <c r="U181" s="39" t="n">
        <f aca="false">IF(U$4=0,0,IF(COUNTIFS(実績!$W$6:$W$505,U$3,実績!$AI$6:$AI$505,"&lt;="&amp;$A181,実績!$AJ$6:$AJ$505,"&gt;"&amp;$A181,実績!$AK$6:$AK$505,"○")&gt;0,1,0))</f>
        <v>0</v>
      </c>
      <c r="V181" s="39" t="n">
        <f aca="false">IF(V$4=0,0,IF(COUNTIFS(実績!$W$6:$W$505,V$3,実績!$AI$6:$AI$505,"&lt;="&amp;$A181,実績!$AJ$6:$AJ$505,"&gt;"&amp;$A181,実績!$AK$6:$AK$505,"○")&gt;0,1,0))</f>
        <v>0</v>
      </c>
      <c r="W181" s="39" t="n">
        <f aca="false">IF(W$4=0,0,IF(COUNTIFS(実績!$W$6:$W$505,W$3,実績!$AI$6:$AI$505,"&lt;="&amp;$A181,実績!$AJ$6:$AJ$505,"&gt;"&amp;$A181,実績!$AK$6:$AK$505,"○")&gt;0,1,0))</f>
        <v>0</v>
      </c>
      <c r="X181" s="39" t="n">
        <f aca="false">IF(X$4=0,0,IF(COUNTIFS(実績!$W$6:$W$505,X$3,実績!$AI$6:$AI$505,"&lt;="&amp;$A181,実績!$AJ$6:$AJ$505,"&gt;"&amp;$A181,実績!$AK$6:$AK$505,"○")&gt;0,1,0))</f>
        <v>0</v>
      </c>
      <c r="Y181" s="39" t="n">
        <f aca="false">IF(Y$4=0,0,IF(COUNTIFS(実績!$W$6:$W$505,Y$3,実績!$AI$6:$AI$505,"&lt;="&amp;$A181,実績!$AJ$6:$AJ$505,"&gt;"&amp;$A181,実績!$AK$6:$AK$505,"○")&gt;0,1,0))</f>
        <v>0</v>
      </c>
      <c r="Z181" s="39" t="n">
        <f aca="false">IF(Z$4=0,0,IF(COUNTIFS(実績!$W$6:$W$505,Z$3,実績!$AI$6:$AI$505,"&lt;="&amp;$A181,実績!$AJ$6:$AJ$505,"&gt;"&amp;$A181,実績!$AK$6:$AK$505,"○")&gt;0,1,0))</f>
        <v>0</v>
      </c>
      <c r="AA181" s="39" t="n">
        <f aca="false">IF(AA$4=0,0,IF(COUNTIFS(実績!$W$6:$W$505,AA$3,実績!$AI$6:$AI$505,"&lt;="&amp;$A181,実績!$AJ$6:$AJ$505,"&gt;"&amp;$A181,実績!$AK$6:$AK$505,"○")&gt;0,1,0))</f>
        <v>0</v>
      </c>
      <c r="AB181" s="39" t="n">
        <f aca="false">IF(AB$4=0,0,IF(COUNTIFS(実績!$W$6:$W$505,AB$3,実績!$AI$6:$AI$505,"&lt;="&amp;$A181,実績!$AJ$6:$AJ$505,"&gt;"&amp;$A181,実績!$AK$6:$AK$505,"○")&gt;0,1,0))</f>
        <v>0</v>
      </c>
      <c r="AC181" s="39" t="n">
        <f aca="false">IF(AC$4=0,0,IF(COUNTIFS(実績!$W$6:$W$505,AC$3,実績!$AI$6:$AI$505,"&lt;="&amp;$A181,実績!$AJ$6:$AJ$505,"&gt;"&amp;$A181,実績!$AK$6:$AK$505,"○")&gt;0,1,0))</f>
        <v>0</v>
      </c>
      <c r="AD181" s="39" t="n">
        <f aca="false">IF(AD$4=0,0,IF(COUNTIFS(実績!$W$6:$W$505,AD$3,実績!$AI$6:$AI$505,"&lt;="&amp;$A181,実績!$AJ$6:$AJ$505,"&gt;"&amp;$A181,実績!$AK$6:$AK$505,"○")&gt;0,1,0))</f>
        <v>0</v>
      </c>
      <c r="AE181" s="39" t="n">
        <f aca="false">IF(AE$4=0,0,IF(COUNTIFS(実績!$W$6:$W$505,AE$3,実績!$AI$6:$AI$505,"&lt;="&amp;$A181,実績!$AJ$6:$AJ$505,"&gt;"&amp;$A181,実績!$AK$6:$AK$505,"○")&gt;0,1,0))</f>
        <v>0</v>
      </c>
      <c r="AF181" s="39" t="n">
        <f aca="false">IF(AF$4=0,0,IF(COUNTIFS(実績!$W$6:$W$505,AF$3,実績!$AI$6:$AI$505,"&lt;="&amp;$A181,実績!$AJ$6:$AJ$505,"&gt;"&amp;$A181,実績!$AK$6:$AK$505,"○")&gt;0,1,0))</f>
        <v>0</v>
      </c>
      <c r="AG181" s="39" t="n">
        <f aca="false">IF(AG$4=0,0,IF(COUNTIFS(実績!$W$6:$W$505,AG$3,実績!$AI$6:$AI$505,"&lt;="&amp;$A181,実績!$AJ$6:$AJ$505,"&gt;"&amp;$A181,実績!$AK$6:$AK$505,"○")&gt;0,1,0))</f>
        <v>0</v>
      </c>
      <c r="AH181" s="39" t="n">
        <f aca="false">IF(AH$4=0,0,IF(COUNTIFS(実績!$W$6:$W$505,AH$3,実績!$AI$6:$AI$505,"&lt;="&amp;$A181,実績!$AJ$6:$AJ$505,"&gt;"&amp;$A181,実績!$AK$6:$AK$505,"○")&gt;0,1,0))</f>
        <v>0</v>
      </c>
      <c r="AI181" s="39" t="n">
        <f aca="false">IF(AI$4=0,0,IF(COUNTIFS(実績!$W$6:$W$505,AI$3,実績!$AI$6:$AI$505,"&lt;="&amp;$A181,実績!$AJ$6:$AJ$505,"&gt;"&amp;$A181,実績!$AK$6:$AK$505,"○")&gt;0,1,0))</f>
        <v>0</v>
      </c>
      <c r="AJ181" s="39" t="n">
        <f aca="false">IF(AJ$4=0,0,IF(COUNTIFS(実績!$W$6:$W$505,AJ$3,実績!$AI$6:$AI$505,"&lt;="&amp;$A181,実績!$AJ$6:$AJ$505,"&gt;"&amp;$A181,実績!$AK$6:$AK$505,"○")&gt;0,1,0))</f>
        <v>0</v>
      </c>
      <c r="AK181" s="39" t="n">
        <f aca="false">IF(AK$4=0,0,IF(COUNTIFS(実績!$W$6:$W$505,AK$3,実績!$AI$6:$AI$505,"&lt;="&amp;$A181,実績!$AJ$6:$AJ$505,"&gt;"&amp;$A181,実績!$AK$6:$AK$505,"○")&gt;0,1,0))</f>
        <v>0</v>
      </c>
      <c r="AL181" s="39" t="n">
        <f aca="false">IF(AL$4=0,0,IF(COUNTIFS(実績!$W$6:$W$505,AL$3,実績!$AI$6:$AI$505,"&lt;="&amp;$A181,実績!$AJ$6:$AJ$505,"&gt;"&amp;$A181,実績!$AK$6:$AK$505,"○")&gt;0,1,0))</f>
        <v>0</v>
      </c>
      <c r="AM181" s="39" t="n">
        <f aca="false">IF(AM$4=0,0,IF(COUNTIFS(実績!$W$6:$W$505,AM$3,実績!$AI$6:$AI$505,"&lt;="&amp;$A181,実績!$AJ$6:$AJ$505,"&gt;"&amp;$A181,実績!$AK$6:$AK$505,"○")&gt;0,1,0))</f>
        <v>0</v>
      </c>
      <c r="AN181" s="39" t="n">
        <f aca="false">IF(AN$4=0,0,IF(COUNTIFS(実績!$W$6:$W$505,AN$3,実績!$AI$6:$AI$505,"&lt;="&amp;$A181,実績!$AJ$6:$AJ$505,"&gt;"&amp;$A181,実績!$AK$6:$AK$505,"○")&gt;0,1,0))</f>
        <v>0</v>
      </c>
      <c r="AO181" s="39" t="n">
        <f aca="false">IF(AO$4=0,0,IF(COUNTIFS(実績!$W$6:$W$505,AO$3,実績!$AI$6:$AI$505,"&lt;="&amp;$A181,実績!$AJ$6:$AJ$505,"&gt;"&amp;$A181,実績!$AK$6:$AK$505,"○")&gt;0,1,0))</f>
        <v>0</v>
      </c>
      <c r="AP181" s="39" t="n">
        <f aca="false">IF(AP$4=0,0,IF(COUNTIFS(実績!$W$6:$W$505,AP$3,実績!$AI$6:$AI$505,"&lt;="&amp;$A181,実績!$AJ$6:$AJ$505,"&gt;"&amp;$A181,実績!$AK$6:$AK$505,"○")&gt;0,1,0))</f>
        <v>0</v>
      </c>
      <c r="AQ181" s="39" t="n">
        <f aca="false">IF(AQ$4=0,0,IF(COUNTIFS(実績!$W$6:$W$505,AQ$3,実績!$AI$6:$AI$505,"&lt;="&amp;$A181,実績!$AJ$6:$AJ$505,"&gt;"&amp;$A181,実績!$AK$6:$AK$505,"○")&gt;0,1,0))</f>
        <v>0</v>
      </c>
      <c r="AR181" s="39" t="n">
        <f aca="false">IF(AR$4=0,0,IF(COUNTIFS(実績!$W$6:$W$505,AR$3,実績!$AI$6:$AI$505,"&lt;="&amp;$A181,実績!$AJ$6:$AJ$505,"&gt;"&amp;$A181,実績!$AK$6:$AK$505,"○")&gt;0,1,0))</f>
        <v>0</v>
      </c>
      <c r="AS181" s="39" t="n">
        <f aca="false">IF(AS$4=0,0,IF(COUNTIFS(実績!$W$6:$W$505,AS$3,実績!$AI$6:$AI$505,"&lt;="&amp;$A181,実績!$AJ$6:$AJ$505,"&gt;"&amp;$A181,実績!$AK$6:$AK$505,"○")&gt;0,1,0))</f>
        <v>0</v>
      </c>
      <c r="AT181" s="39" t="n">
        <f aca="false">IF(AT$4=0,0,IF(COUNTIFS(実績!$W$6:$W$505,AT$3,実績!$AI$6:$AI$505,"&lt;="&amp;$A181,実績!$AJ$6:$AJ$505,"&gt;"&amp;$A181,実績!$AK$6:$AK$505,"○")&gt;0,1,0))</f>
        <v>0</v>
      </c>
      <c r="AU181" s="39" t="n">
        <f aca="false">IF(AU$4=0,0,IF(COUNTIFS(実績!$W$6:$W$505,AU$3,実績!$AI$6:$AI$505,"&lt;="&amp;$A181,実績!$AJ$6:$AJ$505,"&gt;"&amp;$A181,実績!$AK$6:$AK$505,"○")&gt;0,1,0))</f>
        <v>0</v>
      </c>
      <c r="AV181" s="39" t="n">
        <f aca="false">IF(AV$4=0,0,IF(COUNTIFS(実績!$W$6:$W$505,AV$3,実績!$AI$6:$AI$505,"&lt;="&amp;$A181,実績!$AJ$6:$AJ$505,"&gt;"&amp;$A181,実績!$AK$6:$AK$505,"○")&gt;0,1,0))</f>
        <v>0</v>
      </c>
      <c r="AW181" s="39" t="n">
        <f aca="false">IF(AW$4=0,0,IF(COUNTIFS(実績!$W$6:$W$505,AW$3,実績!$AI$6:$AI$505,"&lt;="&amp;$A181,実績!$AJ$6:$AJ$505,"&gt;"&amp;$A181,実績!$AK$6:$AK$505,"○")&gt;0,1,0))</f>
        <v>0</v>
      </c>
      <c r="AX181" s="39" t="n">
        <f aca="false">IF(AX$4=0,0,IF(COUNTIFS(実績!$W$6:$W$505,AX$3,実績!$AI$6:$AI$505,"&lt;="&amp;$A181,実績!$AJ$6:$AJ$505,"&gt;"&amp;$A181,実績!$AK$6:$AK$505,"○")&gt;0,1,0))</f>
        <v>0</v>
      </c>
      <c r="AY181" s="39" t="n">
        <f aca="false">IF(AY$4=0,0,IF(COUNTIFS(実績!$W$6:$W$505,AY$3,実績!$AI$6:$AI$505,"&lt;="&amp;$A181,実績!$AJ$6:$AJ$505,"&gt;"&amp;$A181,実績!$AK$6:$AK$505,"○")&gt;0,1,0))</f>
        <v>0</v>
      </c>
      <c r="AZ181" s="39" t="n">
        <f aca="false">IF(AZ$4=0,0,IF(COUNTIFS(実績!$W$6:$W$505,AZ$3,実績!$AI$6:$AI$505,"&lt;="&amp;$A181,実績!$AJ$6:$AJ$505,"&gt;"&amp;$A181,実績!$AK$6:$AK$505,"○")&gt;0,1,0))</f>
        <v>0</v>
      </c>
      <c r="BA181" s="39" t="n">
        <f aca="false">IF(BA$4=0,0,IF(COUNTIFS(実績!$W$6:$W$505,BA$3,実績!$AI$6:$AI$505,"&lt;="&amp;$A181,実績!$AJ$6:$AJ$505,"&gt;"&amp;$A181,実績!$AK$6:$AK$505,"○")&gt;0,1,0))</f>
        <v>0</v>
      </c>
      <c r="BB181" s="39" t="n">
        <f aca="false">IF(BB$4=0,0,IF(COUNTIFS(実績!$W$6:$W$505,BB$3,実績!$AI$6:$AI$505,"&lt;="&amp;$A181,実績!$AJ$6:$AJ$505,"&gt;"&amp;$A181,実績!$AK$6:$AK$505,"○")&gt;0,1,0))</f>
        <v>0</v>
      </c>
      <c r="BC181" s="39" t="n">
        <f aca="false">IF(BC$4=0,0,IF(COUNTIFS(実績!$W$6:$W$505,BC$3,実績!$AI$6:$AI$505,"&lt;="&amp;$A181,実績!$AJ$6:$AJ$505,"&gt;"&amp;$A181,実績!$AK$6:$AK$505,"○")&gt;0,1,0))</f>
        <v>0</v>
      </c>
      <c r="BD181" s="39" t="n">
        <f aca="false">IF(BD$4=0,0,IF(COUNTIFS(実績!$W$6:$W$505,BD$3,実績!$AI$6:$AI$505,"&lt;="&amp;$A181,実績!$AJ$6:$AJ$505,"&gt;"&amp;$A181,実績!$AK$6:$AK$505,"○")&gt;0,1,0))</f>
        <v>0</v>
      </c>
      <c r="BE181" s="39" t="n">
        <f aca="false">IF(BE$4=0,0,IF(COUNTIFS(実績!$W$6:$W$505,BE$3,実績!$AI$6:$AI$505,"&lt;="&amp;$A181,実績!$AJ$6:$AJ$505,"&gt;"&amp;$A181,実績!$AK$6:$AK$505,"○")&gt;0,1,0))</f>
        <v>0</v>
      </c>
      <c r="BF181" s="39" t="n">
        <f aca="false">IF(BF$4=0,0,IF(COUNTIFS(実績!$W$6:$W$505,BF$3,実績!$AI$6:$AI$505,"&lt;="&amp;$A181,実績!$AJ$6:$AJ$505,"&gt;"&amp;$A181,実績!$AK$6:$AK$505,"○")&gt;0,1,0))</f>
        <v>0</v>
      </c>
      <c r="BG181" s="39" t="n">
        <f aca="false">IF(BG$4=0,0,IF(COUNTIFS(実績!$W$6:$W$505,BG$3,実績!$AI$6:$AI$505,"&lt;="&amp;$A181,実績!$AJ$6:$AJ$505,"&gt;"&amp;$A181,実績!$AK$6:$AK$505,"○")&gt;0,1,0))</f>
        <v>0</v>
      </c>
      <c r="BH181" s="39" t="n">
        <f aca="false">IF(BH$4=0,0,IF(COUNTIFS(実績!$W$6:$W$505,BH$3,実績!$AI$6:$AI$505,"&lt;="&amp;$A181,実績!$AJ$6:$AJ$505,"&gt;"&amp;$A181,実績!$AK$6:$AK$505,"○")&gt;0,1,0))</f>
        <v>0</v>
      </c>
      <c r="BI181" s="39" t="n">
        <f aca="false">IF(BI$4=0,0,IF(COUNTIFS(実績!$W$6:$W$505,BI$3,実績!$AI$6:$AI$505,"&lt;="&amp;$A181,実績!$AJ$6:$AJ$505,"&gt;"&amp;$A181,実績!$AK$6:$AK$505,"○")&gt;0,1,0))</f>
        <v>0</v>
      </c>
      <c r="BJ181" s="39" t="n">
        <f aca="false">IF(BJ$4=0,0,IF(COUNTIFS(実績!$W$6:$W$505,BJ$3,実績!$AI$6:$AI$505,"&lt;="&amp;$A181,実績!$AJ$6:$AJ$505,"&gt;"&amp;$A181,実績!$AK$6:$AK$505,"○")&gt;0,1,0))</f>
        <v>0</v>
      </c>
      <c r="BK181" s="39" t="n">
        <f aca="false">IF(BK$4=0,0,IF(COUNTIFS(実績!$W$6:$W$505,BK$3,実績!$AI$6:$AI$505,"&lt;="&amp;$A181,実績!$AJ$6:$AJ$505,"&gt;"&amp;$A181,実績!$AK$6:$AK$505,"○")&gt;0,1,0))</f>
        <v>0</v>
      </c>
      <c r="BL181" s="39" t="n">
        <f aca="false">IF(BL$4=0,0,IF(COUNTIFS(実績!$W$6:$W$505,BL$3,実績!$AI$6:$AI$505,"&lt;="&amp;$A181,実績!$AJ$6:$AJ$505,"&gt;"&amp;$A181,実績!$AK$6:$AK$505,"○")&gt;0,1,0))</f>
        <v>0</v>
      </c>
      <c r="BM181" s="39" t="n">
        <f aca="false">IF(BM$4=0,0,IF(COUNTIFS(実績!$W$6:$W$505,BM$3,実績!$AI$6:$AI$505,"&lt;="&amp;$A181,実績!$AJ$6:$AJ$505,"&gt;"&amp;$A181,実績!$AK$6:$AK$505,"○")&gt;0,1,0))</f>
        <v>0</v>
      </c>
      <c r="BN181" s="39" t="n">
        <f aca="false">IF(BN$4=0,0,IF(COUNTIFS(実績!$W$6:$W$505,BN$3,実績!$AI$6:$AI$505,"&lt;="&amp;$A181,実績!$AJ$6:$AJ$505,"&gt;"&amp;$A181,実績!$AK$6:$AK$505,"○")&gt;0,1,0))</f>
        <v>0</v>
      </c>
      <c r="BO181" s="39" t="n">
        <f aca="false">IF(BO$4=0,0,IF(COUNTIFS(実績!$W$6:$W$505,BO$3,実績!$AI$6:$AI$505,"&lt;="&amp;$A181,実績!$AJ$6:$AJ$505,"&gt;"&amp;$A181,実績!$AK$6:$AK$505,"○")&gt;0,1,0))</f>
        <v>0</v>
      </c>
      <c r="BP181" s="39" t="n">
        <f aca="false">IF(BP$4=0,0,IF(COUNTIFS(実績!$W$6:$W$505,BP$3,実績!$AI$6:$AI$505,"&lt;="&amp;$A181,実績!$AJ$6:$AJ$505,"&gt;"&amp;$A181,実績!$AK$6:$AK$505,"○")&gt;0,1,0))</f>
        <v>0</v>
      </c>
      <c r="BQ181" s="39" t="n">
        <f aca="false">IF(BQ$4=0,0,IF(COUNTIFS(実績!$W$6:$W$505,BQ$3,実績!$AI$6:$AI$505,"&lt;="&amp;$A181,実績!$AJ$6:$AJ$505,"&gt;"&amp;$A181,実績!$AK$6:$AK$505,"○")&gt;0,1,0))</f>
        <v>0</v>
      </c>
      <c r="BR181" s="39" t="n">
        <f aca="false">IF(BR$4=0,0,IF(COUNTIFS(実績!$W$6:$W$505,BR$3,実績!$AI$6:$AI$505,"&lt;="&amp;$A181,実績!$AJ$6:$AJ$505,"&gt;"&amp;$A181,実績!$AK$6:$AK$505,"○")&gt;0,1,0))</f>
        <v>0</v>
      </c>
      <c r="BS181" s="39" t="n">
        <f aca="false">IF(BS$4=0,0,IF(COUNTIFS(実績!$W$6:$W$505,BS$3,実績!$AI$6:$AI$505,"&lt;="&amp;$A181,実績!$AJ$6:$AJ$505,"&gt;"&amp;$A181,実績!$AK$6:$AK$505,"○")&gt;0,1,0))</f>
        <v>0</v>
      </c>
      <c r="BT181" s="39" t="n">
        <f aca="false">IF(BT$4=0,0,IF(COUNTIFS(実績!$W$6:$W$505,BT$3,実績!$AI$6:$AI$505,"&lt;="&amp;$A181,実績!$AJ$6:$AJ$505,"&gt;"&amp;$A181,実績!$AK$6:$AK$505,"○")&gt;0,1,0))</f>
        <v>0</v>
      </c>
      <c r="BU181" s="39" t="n">
        <f aca="false">IF(BU$4=0,0,IF(COUNTIFS(実績!$W$6:$W$505,BU$3,実績!$AI$6:$AI$505,"&lt;="&amp;$A181,実績!$AJ$6:$AJ$505,"&gt;"&amp;$A181,実績!$AK$6:$AK$505,"○")&gt;0,1,0))</f>
        <v>0</v>
      </c>
      <c r="BV181" s="39" t="n">
        <f aca="false">IF(BV$4=0,0,IF(COUNTIFS(実績!$W$6:$W$505,BV$3,実績!$AI$6:$AI$505,"&lt;="&amp;$A181,実績!$AJ$6:$AJ$505,"&gt;"&amp;$A181,実績!$AK$6:$AK$505,"○")&gt;0,1,0))</f>
        <v>0</v>
      </c>
      <c r="BW181" s="39" t="n">
        <f aca="false">IF(BW$4=0,0,IF(COUNTIFS(実績!$W$6:$W$505,BW$3,実績!$AI$6:$AI$505,"&lt;="&amp;$A181,実績!$AJ$6:$AJ$505,"&gt;"&amp;$A181,実績!$AK$6:$AK$505,"○")&gt;0,1,0))</f>
        <v>0</v>
      </c>
      <c r="BX181" s="39" t="n">
        <f aca="false">IF(BX$4=0,0,IF(COUNTIFS(実績!$W$6:$W$505,BX$3,実績!$AI$6:$AI$505,"&lt;="&amp;$A181,実績!$AJ$6:$AJ$505,"&gt;"&amp;$A181,実績!$AK$6:$AK$505,"○")&gt;0,1,0))</f>
        <v>0</v>
      </c>
      <c r="BY181" s="39" t="n">
        <f aca="false">IF(BY$4=0,0,IF(COUNTIFS(実績!$W$6:$W$505,BY$3,実績!$AI$6:$AI$505,"&lt;="&amp;$A181,実績!$AJ$6:$AJ$505,"&gt;"&amp;$A181,実績!$AK$6:$AK$505,"○")&gt;0,1,0))</f>
        <v>0</v>
      </c>
      <c r="BZ181" s="39" t="n">
        <f aca="false">IF(BZ$4=0,0,IF(COUNTIFS(実績!$W$6:$W$505,BZ$3,実績!$AI$6:$AI$505,"&lt;="&amp;$A181,実績!$AJ$6:$AJ$505,"&gt;"&amp;$A181,実績!$AK$6:$AK$505,"○")&gt;0,1,0))</f>
        <v>0</v>
      </c>
      <c r="CA181" s="39" t="n">
        <f aca="false">IF(CA$4=0,0,IF(COUNTIFS(実績!$W$6:$W$505,CA$3,実績!$AI$6:$AI$505,"&lt;="&amp;$A181,実績!$AJ$6:$AJ$505,"&gt;"&amp;$A181,実績!$AK$6:$AK$505,"○")&gt;0,1,0))</f>
        <v>0</v>
      </c>
      <c r="CB181" s="39" t="n">
        <f aca="false">IF(CB$4=0,0,IF(COUNTIFS(実績!$W$6:$W$505,CB$3,実績!$AI$6:$AI$505,"&lt;="&amp;$A181,実績!$AJ$6:$AJ$505,"&gt;"&amp;$A181,実績!$AK$6:$AK$505,"○")&gt;0,1,0))</f>
        <v>0</v>
      </c>
      <c r="CC181" s="39" t="n">
        <f aca="false">IF(CC$4=0,0,IF(COUNTIFS(実績!$W$6:$W$505,CC$3,実績!$AI$6:$AI$505,"&lt;="&amp;$A181,実績!$AJ$6:$AJ$505,"&gt;"&amp;$A181,実績!$AK$6:$AK$505,"○")&gt;0,1,0))</f>
        <v>0</v>
      </c>
      <c r="CD181" s="39" t="n">
        <f aca="false">IF(CD$4=0,0,IF(COUNTIFS(実績!$W$6:$W$505,CD$3,実績!$AI$6:$AI$505,"&lt;="&amp;$A181,実績!$AJ$6:$AJ$505,"&gt;"&amp;$A181,実績!$AK$6:$AK$505,"○")&gt;0,1,0))</f>
        <v>0</v>
      </c>
      <c r="CE181" s="39" t="n">
        <f aca="false">IF(CE$4=0,0,IF(COUNTIFS(実績!$W$6:$W$505,CE$3,実績!$AI$6:$AI$505,"&lt;="&amp;$A181,実績!$AJ$6:$AJ$505,"&gt;"&amp;$A181,実績!$AK$6:$AK$505,"○")&gt;0,1,0))</f>
        <v>0</v>
      </c>
      <c r="CF181" s="39" t="n">
        <f aca="false">IF(CF$4=0,0,IF(COUNTIFS(実績!$W$6:$W$505,CF$3,実績!$AI$6:$AI$505,"&lt;="&amp;$A181,実績!$AJ$6:$AJ$505,"&gt;"&amp;$A181,実績!$AK$6:$AK$505,"○")&gt;0,1,0))</f>
        <v>0</v>
      </c>
      <c r="CG181" s="39" t="n">
        <f aca="false">IF(CG$4=0,0,IF(COUNTIFS(実績!$W$6:$W$505,CG$3,実績!$AI$6:$AI$505,"&lt;="&amp;$A181,実績!$AJ$6:$AJ$505,"&gt;"&amp;$A181,実績!$AK$6:$AK$505,"○")&gt;0,1,0))</f>
        <v>0</v>
      </c>
      <c r="CH181" s="39" t="n">
        <f aca="false">IF(CH$4=0,0,IF(COUNTIFS(実績!$W$6:$W$505,CH$3,実績!$AI$6:$AI$505,"&lt;="&amp;$A181,実績!$AJ$6:$AJ$505,"&gt;"&amp;$A181,実績!$AK$6:$AK$505,"○")&gt;0,1,0))</f>
        <v>0</v>
      </c>
      <c r="CI181" s="39" t="n">
        <f aca="false">IF(CI$4=0,0,IF(COUNTIFS(実績!$W$6:$W$505,CI$3,実績!$AI$6:$AI$505,"&lt;="&amp;$A181,実績!$AJ$6:$AJ$505,"&gt;"&amp;$A181,実績!$AK$6:$AK$505,"○")&gt;0,1,0))</f>
        <v>0</v>
      </c>
      <c r="CJ181" s="39" t="n">
        <f aca="false">IF(CJ$4=0,0,IF(COUNTIFS(実績!$W$6:$W$505,CJ$3,実績!$AI$6:$AI$505,"&lt;="&amp;$A181,実績!$AJ$6:$AJ$505,"&gt;"&amp;$A181,実績!$AK$6:$AK$505,"○")&gt;0,1,0))</f>
        <v>0</v>
      </c>
      <c r="CK181" s="39" t="n">
        <f aca="false">IF(CK$4=0,0,IF(COUNTIFS(実績!$W$6:$W$505,CK$3,実績!$AI$6:$AI$505,"&lt;="&amp;$A181,実績!$AJ$6:$AJ$505,"&gt;"&amp;$A181,実績!$AK$6:$AK$505,"○")&gt;0,1,0))</f>
        <v>0</v>
      </c>
      <c r="CL181" s="39" t="n">
        <f aca="false">IF(CL$4=0,0,IF(COUNTIFS(実績!$W$6:$W$505,CL$3,実績!$AI$6:$AI$505,"&lt;="&amp;$A181,実績!$AJ$6:$AJ$505,"&gt;"&amp;$A181,実績!$AK$6:$AK$505,"○")&gt;0,1,0))</f>
        <v>0</v>
      </c>
      <c r="CM181" s="39" t="n">
        <f aca="false">IF(CM$4=0,0,IF(COUNTIFS(実績!$W$6:$W$505,CM$3,実績!$AI$6:$AI$505,"&lt;="&amp;$A181,実績!$AJ$6:$AJ$505,"&gt;"&amp;$A181,実績!$AK$6:$AK$505,"○")&gt;0,1,0))</f>
        <v>0</v>
      </c>
      <c r="CN181" s="39" t="n">
        <f aca="false">IF(CN$4=0,0,IF(COUNTIFS(実績!$W$6:$W$505,CN$3,実績!$AI$6:$AI$505,"&lt;="&amp;$A181,実績!$AJ$6:$AJ$505,"&gt;"&amp;$A181,実績!$AK$6:$AK$505,"○")&gt;0,1,0))</f>
        <v>0</v>
      </c>
      <c r="CO181" s="39" t="n">
        <f aca="false">IF(CO$4=0,0,IF(COUNTIFS(実績!$W$6:$W$505,CO$3,実績!$AI$6:$AI$505,"&lt;="&amp;$A181,実績!$AJ$6:$AJ$505,"&gt;"&amp;$A181,実績!$AK$6:$AK$505,"○")&gt;0,1,0))</f>
        <v>0</v>
      </c>
      <c r="CP181" s="39" t="n">
        <f aca="false">IF(CP$4=0,0,IF(COUNTIFS(実績!$W$6:$W$505,CP$3,実績!$AI$6:$AI$505,"&lt;="&amp;$A181,実績!$AJ$6:$AJ$505,"&gt;"&amp;$A181,実績!$AK$6:$AK$505,"○")&gt;0,1,0))</f>
        <v>0</v>
      </c>
      <c r="CQ181" s="39" t="n">
        <f aca="false">IF(CQ$4=0,0,IF(COUNTIFS(実績!$W$6:$W$505,CQ$3,実績!$AI$6:$AI$505,"&lt;="&amp;$A181,実績!$AJ$6:$AJ$505,"&gt;"&amp;$A181,実績!$AK$6:$AK$505,"○")&gt;0,1,0))</f>
        <v>0</v>
      </c>
      <c r="CR181" s="39" t="n">
        <f aca="false">IF(CR$4=0,0,IF(COUNTIFS(実績!$W$6:$W$505,CR$3,実績!$AI$6:$AI$505,"&lt;="&amp;$A181,実績!$AJ$6:$AJ$505,"&gt;"&amp;$A181,実績!$AK$6:$AK$505,"○")&gt;0,1,0))</f>
        <v>0</v>
      </c>
      <c r="CS181" s="39" t="n">
        <f aca="false">IF(CS$4=0,0,IF(COUNTIFS(実績!$W$6:$W$505,CS$3,実績!$AI$6:$AI$505,"&lt;="&amp;$A181,実績!$AJ$6:$AJ$505,"&gt;"&amp;$A181,実績!$AK$6:$AK$505,"○")&gt;0,1,0))</f>
        <v>0</v>
      </c>
      <c r="CT181" s="39" t="n">
        <f aca="false">IF(CT$4=0,0,IF(COUNTIFS(実績!$W$6:$W$505,CT$3,実績!$AI$6:$AI$505,"&lt;="&amp;$A181,実績!$AJ$6:$AJ$505,"&gt;"&amp;$A181,実績!$AK$6:$AK$505,"○")&gt;0,1,0))</f>
        <v>0</v>
      </c>
      <c r="CU181" s="39" t="n">
        <f aca="false">IF(CU$4=0,0,IF(COUNTIFS(実績!$W$6:$W$505,CU$3,実績!$AI$6:$AI$505,"&lt;="&amp;$A181,実績!$AJ$6:$AJ$505,"&gt;"&amp;$A181,実績!$AK$6:$AK$505,"○")&gt;0,1,0))</f>
        <v>0</v>
      </c>
      <c r="CV181" s="39" t="n">
        <f aca="false">IF(CV$4=0,0,IF(COUNTIFS(実績!$W$6:$W$505,CV$3,実績!$AI$6:$AI$505,"&lt;="&amp;$A181,実績!$AJ$6:$AJ$505,"&gt;"&amp;$A181,実績!$AK$6:$AK$505,"○")&gt;0,1,0))</f>
        <v>0</v>
      </c>
      <c r="CW181" s="39" t="n">
        <f aca="false">IF(CW$4=0,0,IF(COUNTIFS(実績!$W$6:$W$505,CW$3,実績!$AI$6:$AI$505,"&lt;="&amp;$A181,実績!$AJ$6:$AJ$505,"&gt;"&amp;$A181,実績!$AK$6:$AK$505,"○")&gt;0,1,0))</f>
        <v>0</v>
      </c>
      <c r="CX181" s="39" t="n">
        <f aca="false">IF(CX$4=0,0,IF(COUNTIFS(実績!$W$6:$W$505,CX$3,実績!$AI$6:$AI$505,"&lt;="&amp;$A181,実績!$AJ$6:$AJ$505,"&gt;"&amp;$A181,実績!$AK$6:$AK$505,"○")&gt;0,1,0))</f>
        <v>0</v>
      </c>
      <c r="CY181" s="39" t="n">
        <f aca="false">IF(CY$4=0,0,IF(COUNTIFS(実績!$W$6:$W$505,CY$3,実績!$AI$6:$AI$505,"&lt;="&amp;$A181,実績!$AJ$6:$AJ$505,"&gt;"&amp;$A181,実績!$AK$6:$AK$505,"○")&gt;0,1,0))</f>
        <v>0</v>
      </c>
      <c r="CZ181" s="39" t="n">
        <f aca="false">IF(CZ$4=0,0,IF(COUNTIFS(実績!$W$6:$W$505,CZ$3,実績!$AI$6:$AI$505,"&lt;="&amp;$A181,実績!$AJ$6:$AJ$505,"&gt;"&amp;$A181,実績!$AK$6:$AK$505,"○")&gt;0,1,0))</f>
        <v>0</v>
      </c>
      <c r="DA181" s="39" t="n">
        <f aca="false">IF(DA$4=0,0,IF(COUNTIFS(実績!$W$6:$W$505,DA$3,実績!$AI$6:$AI$505,"&lt;="&amp;$A181,実績!$AJ$6:$AJ$505,"&gt;"&amp;$A181,実績!$AK$6:$AK$505,"○")&gt;0,1,0))</f>
        <v>0</v>
      </c>
      <c r="DB181" s="39" t="n">
        <f aca="false">IF(DB$4=0,0,IF(COUNTIFS(実績!$W$6:$W$505,DB$3,実績!$AI$6:$AI$505,"&lt;="&amp;$A181,実績!$AJ$6:$AJ$505,"&gt;"&amp;$A181,実績!$AK$6:$AK$505,"○")&gt;0,1,0))</f>
        <v>0</v>
      </c>
      <c r="DC181" s="39" t="n">
        <f aca="false">IF(DC$4=0,0,IF(COUNTIFS(実績!$W$6:$W$505,DC$3,実績!$AI$6:$AI$505,"&lt;="&amp;$A181,実績!$AJ$6:$AJ$505,"&gt;"&amp;$A181,実績!$AK$6:$AK$505,"○")&gt;0,1,0))</f>
        <v>0</v>
      </c>
      <c r="DD181" s="39" t="n">
        <f aca="false">IF(DD$4=0,0,IF(COUNTIFS(実績!$W$6:$W$505,DD$3,実績!$AI$6:$AI$505,"&lt;="&amp;$A181,実績!$AJ$6:$AJ$505,"&gt;"&amp;$A181,実績!$AK$6:$AK$505,"○")&gt;0,1,0))</f>
        <v>0</v>
      </c>
      <c r="DE181" s="39" t="n">
        <f aca="false">IF(DE$4=0,0,IF(COUNTIFS(実績!$W$6:$W$505,DE$3,実績!$AI$6:$AI$505,"&lt;="&amp;$A181,実績!$AJ$6:$AJ$505,"&gt;"&amp;$A181,実績!$AK$6:$AK$505,"○")&gt;0,1,0))</f>
        <v>0</v>
      </c>
      <c r="DF181" s="39" t="n">
        <f aca="false">IF(DF$4=0,0,IF(COUNTIFS(実績!$W$6:$W$505,DF$3,実績!$AI$6:$AI$505,"&lt;="&amp;$A181,実績!$AJ$6:$AJ$505,"&gt;"&amp;$A181,実績!$AK$6:$AK$505,"○")&gt;0,1,0))</f>
        <v>0</v>
      </c>
      <c r="DG181" s="39" t="n">
        <f aca="false">IF(DG$4=0,0,IF(COUNTIFS(実績!$W$6:$W$505,DG$3,実績!$AI$6:$AI$505,"&lt;="&amp;$A181,実績!$AJ$6:$AJ$505,"&gt;"&amp;$A181,実績!$AK$6:$AK$505,"○")&gt;0,1,0))</f>
        <v>0</v>
      </c>
      <c r="DH181" s="39" t="n">
        <f aca="false">IF(DH$4=0,0,IF(COUNTIFS(実績!$W$6:$W$505,DH$3,実績!$AI$6:$AI$505,"&lt;="&amp;$A181,実績!$AJ$6:$AJ$505,"&gt;"&amp;$A181,実績!$AK$6:$AK$505,"○")&gt;0,1,0))</f>
        <v>0</v>
      </c>
      <c r="DI181" s="39" t="n">
        <f aca="false">IF(DI$4=0,0,IF(COUNTIFS(実績!$W$6:$W$505,DI$3,実績!$AI$6:$AI$505,"&lt;="&amp;$A181,実績!$AJ$6:$AJ$505,"&gt;"&amp;$A181,実績!$AK$6:$AK$505,"○")&gt;0,1,0))</f>
        <v>0</v>
      </c>
      <c r="DJ181" s="39" t="n">
        <f aca="false">IF(DJ$4=0,0,IF(COUNTIFS(実績!$W$6:$W$505,DJ$3,実績!$AI$6:$AI$505,"&lt;="&amp;$A181,実績!$AJ$6:$AJ$505,"&gt;"&amp;$A181,実績!$AK$6:$AK$505,"○")&gt;0,1,0))</f>
        <v>0</v>
      </c>
      <c r="DK181" s="39" t="n">
        <f aca="false">IF(DK$4=0,0,IF(COUNTIFS(実績!$W$6:$W$505,DK$3,実績!$AI$6:$AI$505,"&lt;="&amp;$A181,実績!$AJ$6:$AJ$505,"&gt;"&amp;$A181,実績!$AK$6:$AK$505,"○")&gt;0,1,0))</f>
        <v>0</v>
      </c>
      <c r="DL181" s="39" t="n">
        <f aca="false">IF(DL$4=0,0,IF(COUNTIFS(実績!$W$6:$W$505,DL$3,実績!$AI$6:$AI$505,"&lt;="&amp;$A181,実績!$AJ$6:$AJ$505,"&gt;"&amp;$A181,実績!$AK$6:$AK$505,"○")&gt;0,1,0))</f>
        <v>0</v>
      </c>
      <c r="DM181" s="39" t="n">
        <f aca="false">IF(DM$4=0,0,IF(COUNTIFS(実績!$W$6:$W$505,DM$3,実績!$AI$6:$AI$505,"&lt;="&amp;$A181,実績!$AJ$6:$AJ$505,"&gt;"&amp;$A181,実績!$AK$6:$AK$505,"○")&gt;0,1,0))</f>
        <v>0</v>
      </c>
      <c r="DN181" s="39" t="n">
        <f aca="false">IF(DN$4=0,0,IF(COUNTIFS(実績!$W$6:$W$505,DN$3,実績!$AI$6:$AI$505,"&lt;="&amp;$A181,実績!$AJ$6:$AJ$505,"&gt;"&amp;$A181,実績!$AK$6:$AK$505,"○")&gt;0,1,0))</f>
        <v>0</v>
      </c>
      <c r="DO181" s="39" t="n">
        <f aca="false">IF(DO$4=0,0,IF(COUNTIFS(実績!$W$6:$W$505,DO$3,実績!$AI$6:$AI$505,"&lt;="&amp;$A181,実績!$AJ$6:$AJ$505,"&gt;"&amp;$A181,実績!$AK$6:$AK$505,"○")&gt;0,1,0))</f>
        <v>0</v>
      </c>
      <c r="DP181" s="39" t="n">
        <f aca="false">IF(DP$4=0,0,IF(COUNTIFS(実績!$W$6:$W$505,DP$3,実績!$AI$6:$AI$505,"&lt;="&amp;$A181,実績!$AJ$6:$AJ$505,"&gt;"&amp;$A181,実績!$AK$6:$AK$505,"○")&gt;0,1,0))</f>
        <v>0</v>
      </c>
      <c r="DQ181" s="39" t="n">
        <f aca="false">IF(DQ$4=0,0,IF(COUNTIFS(実績!$W$6:$W$505,DQ$3,実績!$AI$6:$AI$505,"&lt;="&amp;$A181,実績!$AJ$6:$AJ$505,"&gt;"&amp;$A181,実績!$AK$6:$AK$505,"○")&gt;0,1,0))</f>
        <v>0</v>
      </c>
      <c r="DR181" s="39" t="n">
        <f aca="false">IF(DR$4=0,0,IF(COUNTIFS(実績!$W$6:$W$505,DR$3,実績!$AI$6:$AI$505,"&lt;="&amp;$A181,実績!$AJ$6:$AJ$505,"&gt;"&amp;$A181,実績!$AK$6:$AK$505,"○")&gt;0,1,0))</f>
        <v>0</v>
      </c>
      <c r="DS181" s="39" t="n">
        <f aca="false">SUM(C181:DR181)</f>
        <v>0</v>
      </c>
      <c r="DT181" s="39" t="n">
        <f aca="false">SUMPRODUCT((実績!$C$6:$C$505="○")*ISNUMBER(実績!$AM$6:$AM$505)*(実績!$AM$6:$AM$505&lt;=$A181)*(実績!$AN$6:$AN$505&gt;$A181))</f>
        <v>0</v>
      </c>
      <c r="DU181" s="39" t="n">
        <f aca="false">SUMIF($C$2:$DR$2,"製鉄曳船",C181:DR181)</f>
        <v>0</v>
      </c>
      <c r="DV181" s="39" t="n">
        <f aca="false">SUMIF($C$2:$DR$2,"西日本海運",C181:DR181)</f>
        <v>0</v>
      </c>
    </row>
    <row r="182" customFormat="false" ht="15" hidden="false" customHeight="false" outlineLevel="0" collapsed="false">
      <c r="A182" s="0" t="n">
        <v>880</v>
      </c>
      <c r="B182" s="38" t="n">
        <f aca="false">A182/1440</f>
        <v>0.611111111111111</v>
      </c>
      <c r="C182" s="39" t="n">
        <f aca="false">IF(C$4=0,0,IF(COUNTIFS(実績!$W$6:$W$505,C$3,実績!$AI$6:$AI$505,"&lt;="&amp;$A182,実績!$AJ$6:$AJ$505,"&gt;"&amp;$A182,実績!$AK$6:$AK$505,"○")&gt;0,1,0))</f>
        <v>0</v>
      </c>
      <c r="D182" s="39" t="n">
        <f aca="false">IF(D$4=0,0,IF(COUNTIFS(実績!$W$6:$W$505,D$3,実績!$AI$6:$AI$505,"&lt;="&amp;$A182,実績!$AJ$6:$AJ$505,"&gt;"&amp;$A182,実績!$AK$6:$AK$505,"○")&gt;0,1,0))</f>
        <v>0</v>
      </c>
      <c r="E182" s="39" t="n">
        <f aca="false">IF(E$4=0,0,IF(COUNTIFS(実績!$W$6:$W$505,E$3,実績!$AI$6:$AI$505,"&lt;="&amp;$A182,実績!$AJ$6:$AJ$505,"&gt;"&amp;$A182,実績!$AK$6:$AK$505,"○")&gt;0,1,0))</f>
        <v>0</v>
      </c>
      <c r="F182" s="39" t="n">
        <f aca="false">IF(F$4=0,0,IF(COUNTIFS(実績!$W$6:$W$505,F$3,実績!$AI$6:$AI$505,"&lt;="&amp;$A182,実績!$AJ$6:$AJ$505,"&gt;"&amp;$A182,実績!$AK$6:$AK$505,"○")&gt;0,1,0))</f>
        <v>0</v>
      </c>
      <c r="G182" s="39" t="n">
        <f aca="false">IF(G$4=0,0,IF(COUNTIFS(実績!$W$6:$W$505,G$3,実績!$AI$6:$AI$505,"&lt;="&amp;$A182,実績!$AJ$6:$AJ$505,"&gt;"&amp;$A182,実績!$AK$6:$AK$505,"○")&gt;0,1,0))</f>
        <v>0</v>
      </c>
      <c r="H182" s="39" t="n">
        <f aca="false">IF(H$4=0,0,IF(COUNTIFS(実績!$W$6:$W$505,H$3,実績!$AI$6:$AI$505,"&lt;="&amp;$A182,実績!$AJ$6:$AJ$505,"&gt;"&amp;$A182,実績!$AK$6:$AK$505,"○")&gt;0,1,0))</f>
        <v>0</v>
      </c>
      <c r="I182" s="39" t="n">
        <f aca="false">IF(I$4=0,0,IF(COUNTIFS(実績!$W$6:$W$505,I$3,実績!$AI$6:$AI$505,"&lt;="&amp;$A182,実績!$AJ$6:$AJ$505,"&gt;"&amp;$A182,実績!$AK$6:$AK$505,"○")&gt;0,1,0))</f>
        <v>0</v>
      </c>
      <c r="J182" s="39" t="n">
        <f aca="false">IF(J$4=0,0,IF(COUNTIFS(実績!$W$6:$W$505,J$3,実績!$AI$6:$AI$505,"&lt;="&amp;$A182,実績!$AJ$6:$AJ$505,"&gt;"&amp;$A182,実績!$AK$6:$AK$505,"○")&gt;0,1,0))</f>
        <v>0</v>
      </c>
      <c r="K182" s="39" t="n">
        <f aca="false">IF(K$4=0,0,IF(COUNTIFS(実績!$W$6:$W$505,K$3,実績!$AI$6:$AI$505,"&lt;="&amp;$A182,実績!$AJ$6:$AJ$505,"&gt;"&amp;$A182,実績!$AK$6:$AK$505,"○")&gt;0,1,0))</f>
        <v>0</v>
      </c>
      <c r="L182" s="39" t="n">
        <f aca="false">IF(L$4=0,0,IF(COUNTIFS(実績!$W$6:$W$505,L$3,実績!$AI$6:$AI$505,"&lt;="&amp;$A182,実績!$AJ$6:$AJ$505,"&gt;"&amp;$A182,実績!$AK$6:$AK$505,"○")&gt;0,1,0))</f>
        <v>0</v>
      </c>
      <c r="M182" s="39" t="n">
        <f aca="false">IF(M$4=0,0,IF(COUNTIFS(実績!$W$6:$W$505,M$3,実績!$AI$6:$AI$505,"&lt;="&amp;$A182,実績!$AJ$6:$AJ$505,"&gt;"&amp;$A182,実績!$AK$6:$AK$505,"○")&gt;0,1,0))</f>
        <v>0</v>
      </c>
      <c r="N182" s="39" t="n">
        <f aca="false">IF(N$4=0,0,IF(COUNTIFS(実績!$W$6:$W$505,N$3,実績!$AI$6:$AI$505,"&lt;="&amp;$A182,実績!$AJ$6:$AJ$505,"&gt;"&amp;$A182,実績!$AK$6:$AK$505,"○")&gt;0,1,0))</f>
        <v>0</v>
      </c>
      <c r="O182" s="39" t="n">
        <f aca="false">IF(O$4=0,0,IF(COUNTIFS(実績!$W$6:$W$505,O$3,実績!$AI$6:$AI$505,"&lt;="&amp;$A182,実績!$AJ$6:$AJ$505,"&gt;"&amp;$A182,実績!$AK$6:$AK$505,"○")&gt;0,1,0))</f>
        <v>0</v>
      </c>
      <c r="P182" s="39" t="n">
        <f aca="false">IF(P$4=0,0,IF(COUNTIFS(実績!$W$6:$W$505,P$3,実績!$AI$6:$AI$505,"&lt;="&amp;$A182,実績!$AJ$6:$AJ$505,"&gt;"&amp;$A182,実績!$AK$6:$AK$505,"○")&gt;0,1,0))</f>
        <v>0</v>
      </c>
      <c r="Q182" s="39" t="n">
        <f aca="false">IF(Q$4=0,0,IF(COUNTIFS(実績!$W$6:$W$505,Q$3,実績!$AI$6:$AI$505,"&lt;="&amp;$A182,実績!$AJ$6:$AJ$505,"&gt;"&amp;$A182,実績!$AK$6:$AK$505,"○")&gt;0,1,0))</f>
        <v>0</v>
      </c>
      <c r="R182" s="39" t="n">
        <f aca="false">IF(R$4=0,0,IF(COUNTIFS(実績!$W$6:$W$505,R$3,実績!$AI$6:$AI$505,"&lt;="&amp;$A182,実績!$AJ$6:$AJ$505,"&gt;"&amp;$A182,実績!$AK$6:$AK$505,"○")&gt;0,1,0))</f>
        <v>0</v>
      </c>
      <c r="S182" s="39" t="n">
        <f aca="false">IF(S$4=0,0,IF(COUNTIFS(実績!$W$6:$W$505,S$3,実績!$AI$6:$AI$505,"&lt;="&amp;$A182,実績!$AJ$6:$AJ$505,"&gt;"&amp;$A182,実績!$AK$6:$AK$505,"○")&gt;0,1,0))</f>
        <v>0</v>
      </c>
      <c r="T182" s="39" t="n">
        <f aca="false">IF(T$4=0,0,IF(COUNTIFS(実績!$W$6:$W$505,T$3,実績!$AI$6:$AI$505,"&lt;="&amp;$A182,実績!$AJ$6:$AJ$505,"&gt;"&amp;$A182,実績!$AK$6:$AK$505,"○")&gt;0,1,0))</f>
        <v>0</v>
      </c>
      <c r="U182" s="39" t="n">
        <f aca="false">IF(U$4=0,0,IF(COUNTIFS(実績!$W$6:$W$505,U$3,実績!$AI$6:$AI$505,"&lt;="&amp;$A182,実績!$AJ$6:$AJ$505,"&gt;"&amp;$A182,実績!$AK$6:$AK$505,"○")&gt;0,1,0))</f>
        <v>0</v>
      </c>
      <c r="V182" s="39" t="n">
        <f aca="false">IF(V$4=0,0,IF(COUNTIFS(実績!$W$6:$W$505,V$3,実績!$AI$6:$AI$505,"&lt;="&amp;$A182,実績!$AJ$6:$AJ$505,"&gt;"&amp;$A182,実績!$AK$6:$AK$505,"○")&gt;0,1,0))</f>
        <v>0</v>
      </c>
      <c r="W182" s="39" t="n">
        <f aca="false">IF(W$4=0,0,IF(COUNTIFS(実績!$W$6:$W$505,W$3,実績!$AI$6:$AI$505,"&lt;="&amp;$A182,実績!$AJ$6:$AJ$505,"&gt;"&amp;$A182,実績!$AK$6:$AK$505,"○")&gt;0,1,0))</f>
        <v>0</v>
      </c>
      <c r="X182" s="39" t="n">
        <f aca="false">IF(X$4=0,0,IF(COUNTIFS(実績!$W$6:$W$505,X$3,実績!$AI$6:$AI$505,"&lt;="&amp;$A182,実績!$AJ$6:$AJ$505,"&gt;"&amp;$A182,実績!$AK$6:$AK$505,"○")&gt;0,1,0))</f>
        <v>0</v>
      </c>
      <c r="Y182" s="39" t="n">
        <f aca="false">IF(Y$4=0,0,IF(COUNTIFS(実績!$W$6:$W$505,Y$3,実績!$AI$6:$AI$505,"&lt;="&amp;$A182,実績!$AJ$6:$AJ$505,"&gt;"&amp;$A182,実績!$AK$6:$AK$505,"○")&gt;0,1,0))</f>
        <v>0</v>
      </c>
      <c r="Z182" s="39" t="n">
        <f aca="false">IF(Z$4=0,0,IF(COUNTIFS(実績!$W$6:$W$505,Z$3,実績!$AI$6:$AI$505,"&lt;="&amp;$A182,実績!$AJ$6:$AJ$505,"&gt;"&amp;$A182,実績!$AK$6:$AK$505,"○")&gt;0,1,0))</f>
        <v>0</v>
      </c>
      <c r="AA182" s="39" t="n">
        <f aca="false">IF(AA$4=0,0,IF(COUNTIFS(実績!$W$6:$W$505,AA$3,実績!$AI$6:$AI$505,"&lt;="&amp;$A182,実績!$AJ$6:$AJ$505,"&gt;"&amp;$A182,実績!$AK$6:$AK$505,"○")&gt;0,1,0))</f>
        <v>0</v>
      </c>
      <c r="AB182" s="39" t="n">
        <f aca="false">IF(AB$4=0,0,IF(COUNTIFS(実績!$W$6:$W$505,AB$3,実績!$AI$6:$AI$505,"&lt;="&amp;$A182,実績!$AJ$6:$AJ$505,"&gt;"&amp;$A182,実績!$AK$6:$AK$505,"○")&gt;0,1,0))</f>
        <v>0</v>
      </c>
      <c r="AC182" s="39" t="n">
        <f aca="false">IF(AC$4=0,0,IF(COUNTIFS(実績!$W$6:$W$505,AC$3,実績!$AI$6:$AI$505,"&lt;="&amp;$A182,実績!$AJ$6:$AJ$505,"&gt;"&amp;$A182,実績!$AK$6:$AK$505,"○")&gt;0,1,0))</f>
        <v>0</v>
      </c>
      <c r="AD182" s="39" t="n">
        <f aca="false">IF(AD$4=0,0,IF(COUNTIFS(実績!$W$6:$W$505,AD$3,実績!$AI$6:$AI$505,"&lt;="&amp;$A182,実績!$AJ$6:$AJ$505,"&gt;"&amp;$A182,実績!$AK$6:$AK$505,"○")&gt;0,1,0))</f>
        <v>0</v>
      </c>
      <c r="AE182" s="39" t="n">
        <f aca="false">IF(AE$4=0,0,IF(COUNTIFS(実績!$W$6:$W$505,AE$3,実績!$AI$6:$AI$505,"&lt;="&amp;$A182,実績!$AJ$6:$AJ$505,"&gt;"&amp;$A182,実績!$AK$6:$AK$505,"○")&gt;0,1,0))</f>
        <v>0</v>
      </c>
      <c r="AF182" s="39" t="n">
        <f aca="false">IF(AF$4=0,0,IF(COUNTIFS(実績!$W$6:$W$505,AF$3,実績!$AI$6:$AI$505,"&lt;="&amp;$A182,実績!$AJ$6:$AJ$505,"&gt;"&amp;$A182,実績!$AK$6:$AK$505,"○")&gt;0,1,0))</f>
        <v>0</v>
      </c>
      <c r="AG182" s="39" t="n">
        <f aca="false">IF(AG$4=0,0,IF(COUNTIFS(実績!$W$6:$W$505,AG$3,実績!$AI$6:$AI$505,"&lt;="&amp;$A182,実績!$AJ$6:$AJ$505,"&gt;"&amp;$A182,実績!$AK$6:$AK$505,"○")&gt;0,1,0))</f>
        <v>0</v>
      </c>
      <c r="AH182" s="39" t="n">
        <f aca="false">IF(AH$4=0,0,IF(COUNTIFS(実績!$W$6:$W$505,AH$3,実績!$AI$6:$AI$505,"&lt;="&amp;$A182,実績!$AJ$6:$AJ$505,"&gt;"&amp;$A182,実績!$AK$6:$AK$505,"○")&gt;0,1,0))</f>
        <v>0</v>
      </c>
      <c r="AI182" s="39" t="n">
        <f aca="false">IF(AI$4=0,0,IF(COUNTIFS(実績!$W$6:$W$505,AI$3,実績!$AI$6:$AI$505,"&lt;="&amp;$A182,実績!$AJ$6:$AJ$505,"&gt;"&amp;$A182,実績!$AK$6:$AK$505,"○")&gt;0,1,0))</f>
        <v>0</v>
      </c>
      <c r="AJ182" s="39" t="n">
        <f aca="false">IF(AJ$4=0,0,IF(COUNTIFS(実績!$W$6:$W$505,AJ$3,実績!$AI$6:$AI$505,"&lt;="&amp;$A182,実績!$AJ$6:$AJ$505,"&gt;"&amp;$A182,実績!$AK$6:$AK$505,"○")&gt;0,1,0))</f>
        <v>0</v>
      </c>
      <c r="AK182" s="39" t="n">
        <f aca="false">IF(AK$4=0,0,IF(COUNTIFS(実績!$W$6:$W$505,AK$3,実績!$AI$6:$AI$505,"&lt;="&amp;$A182,実績!$AJ$6:$AJ$505,"&gt;"&amp;$A182,実績!$AK$6:$AK$505,"○")&gt;0,1,0))</f>
        <v>0</v>
      </c>
      <c r="AL182" s="39" t="n">
        <f aca="false">IF(AL$4=0,0,IF(COUNTIFS(実績!$W$6:$W$505,AL$3,実績!$AI$6:$AI$505,"&lt;="&amp;$A182,実績!$AJ$6:$AJ$505,"&gt;"&amp;$A182,実績!$AK$6:$AK$505,"○")&gt;0,1,0))</f>
        <v>0</v>
      </c>
      <c r="AM182" s="39" t="n">
        <f aca="false">IF(AM$4=0,0,IF(COUNTIFS(実績!$W$6:$W$505,AM$3,実績!$AI$6:$AI$505,"&lt;="&amp;$A182,実績!$AJ$6:$AJ$505,"&gt;"&amp;$A182,実績!$AK$6:$AK$505,"○")&gt;0,1,0))</f>
        <v>0</v>
      </c>
      <c r="AN182" s="39" t="n">
        <f aca="false">IF(AN$4=0,0,IF(COUNTIFS(実績!$W$6:$W$505,AN$3,実績!$AI$6:$AI$505,"&lt;="&amp;$A182,実績!$AJ$6:$AJ$505,"&gt;"&amp;$A182,実績!$AK$6:$AK$505,"○")&gt;0,1,0))</f>
        <v>0</v>
      </c>
      <c r="AO182" s="39" t="n">
        <f aca="false">IF(AO$4=0,0,IF(COUNTIFS(実績!$W$6:$W$505,AO$3,実績!$AI$6:$AI$505,"&lt;="&amp;$A182,実績!$AJ$6:$AJ$505,"&gt;"&amp;$A182,実績!$AK$6:$AK$505,"○")&gt;0,1,0))</f>
        <v>0</v>
      </c>
      <c r="AP182" s="39" t="n">
        <f aca="false">IF(AP$4=0,0,IF(COUNTIFS(実績!$W$6:$W$505,AP$3,実績!$AI$6:$AI$505,"&lt;="&amp;$A182,実績!$AJ$6:$AJ$505,"&gt;"&amp;$A182,実績!$AK$6:$AK$505,"○")&gt;0,1,0))</f>
        <v>0</v>
      </c>
      <c r="AQ182" s="39" t="n">
        <f aca="false">IF(AQ$4=0,0,IF(COUNTIFS(実績!$W$6:$W$505,AQ$3,実績!$AI$6:$AI$505,"&lt;="&amp;$A182,実績!$AJ$6:$AJ$505,"&gt;"&amp;$A182,実績!$AK$6:$AK$505,"○")&gt;0,1,0))</f>
        <v>0</v>
      </c>
      <c r="AR182" s="39" t="n">
        <f aca="false">IF(AR$4=0,0,IF(COUNTIFS(実績!$W$6:$W$505,AR$3,実績!$AI$6:$AI$505,"&lt;="&amp;$A182,実績!$AJ$6:$AJ$505,"&gt;"&amp;$A182,実績!$AK$6:$AK$505,"○")&gt;0,1,0))</f>
        <v>0</v>
      </c>
      <c r="AS182" s="39" t="n">
        <f aca="false">IF(AS$4=0,0,IF(COUNTIFS(実績!$W$6:$W$505,AS$3,実績!$AI$6:$AI$505,"&lt;="&amp;$A182,実績!$AJ$6:$AJ$505,"&gt;"&amp;$A182,実績!$AK$6:$AK$505,"○")&gt;0,1,0))</f>
        <v>0</v>
      </c>
      <c r="AT182" s="39" t="n">
        <f aca="false">IF(AT$4=0,0,IF(COUNTIFS(実績!$W$6:$W$505,AT$3,実績!$AI$6:$AI$505,"&lt;="&amp;$A182,実績!$AJ$6:$AJ$505,"&gt;"&amp;$A182,実績!$AK$6:$AK$505,"○")&gt;0,1,0))</f>
        <v>0</v>
      </c>
      <c r="AU182" s="39" t="n">
        <f aca="false">IF(AU$4=0,0,IF(COUNTIFS(実績!$W$6:$W$505,AU$3,実績!$AI$6:$AI$505,"&lt;="&amp;$A182,実績!$AJ$6:$AJ$505,"&gt;"&amp;$A182,実績!$AK$6:$AK$505,"○")&gt;0,1,0))</f>
        <v>0</v>
      </c>
      <c r="AV182" s="39" t="n">
        <f aca="false">IF(AV$4=0,0,IF(COUNTIFS(実績!$W$6:$W$505,AV$3,実績!$AI$6:$AI$505,"&lt;="&amp;$A182,実績!$AJ$6:$AJ$505,"&gt;"&amp;$A182,実績!$AK$6:$AK$505,"○")&gt;0,1,0))</f>
        <v>0</v>
      </c>
      <c r="AW182" s="39" t="n">
        <f aca="false">IF(AW$4=0,0,IF(COUNTIFS(実績!$W$6:$W$505,AW$3,実績!$AI$6:$AI$505,"&lt;="&amp;$A182,実績!$AJ$6:$AJ$505,"&gt;"&amp;$A182,実績!$AK$6:$AK$505,"○")&gt;0,1,0))</f>
        <v>0</v>
      </c>
      <c r="AX182" s="39" t="n">
        <f aca="false">IF(AX$4=0,0,IF(COUNTIFS(実績!$W$6:$W$505,AX$3,実績!$AI$6:$AI$505,"&lt;="&amp;$A182,実績!$AJ$6:$AJ$505,"&gt;"&amp;$A182,実績!$AK$6:$AK$505,"○")&gt;0,1,0))</f>
        <v>0</v>
      </c>
      <c r="AY182" s="39" t="n">
        <f aca="false">IF(AY$4=0,0,IF(COUNTIFS(実績!$W$6:$W$505,AY$3,実績!$AI$6:$AI$505,"&lt;="&amp;$A182,実績!$AJ$6:$AJ$505,"&gt;"&amp;$A182,実績!$AK$6:$AK$505,"○")&gt;0,1,0))</f>
        <v>0</v>
      </c>
      <c r="AZ182" s="39" t="n">
        <f aca="false">IF(AZ$4=0,0,IF(COUNTIFS(実績!$W$6:$W$505,AZ$3,実績!$AI$6:$AI$505,"&lt;="&amp;$A182,実績!$AJ$6:$AJ$505,"&gt;"&amp;$A182,実績!$AK$6:$AK$505,"○")&gt;0,1,0))</f>
        <v>0</v>
      </c>
      <c r="BA182" s="39" t="n">
        <f aca="false">IF(BA$4=0,0,IF(COUNTIFS(実績!$W$6:$W$505,BA$3,実績!$AI$6:$AI$505,"&lt;="&amp;$A182,実績!$AJ$6:$AJ$505,"&gt;"&amp;$A182,実績!$AK$6:$AK$505,"○")&gt;0,1,0))</f>
        <v>0</v>
      </c>
      <c r="BB182" s="39" t="n">
        <f aca="false">IF(BB$4=0,0,IF(COUNTIFS(実績!$W$6:$W$505,BB$3,実績!$AI$6:$AI$505,"&lt;="&amp;$A182,実績!$AJ$6:$AJ$505,"&gt;"&amp;$A182,実績!$AK$6:$AK$505,"○")&gt;0,1,0))</f>
        <v>0</v>
      </c>
      <c r="BC182" s="39" t="n">
        <f aca="false">IF(BC$4=0,0,IF(COUNTIFS(実績!$W$6:$W$505,BC$3,実績!$AI$6:$AI$505,"&lt;="&amp;$A182,実績!$AJ$6:$AJ$505,"&gt;"&amp;$A182,実績!$AK$6:$AK$505,"○")&gt;0,1,0))</f>
        <v>0</v>
      </c>
      <c r="BD182" s="39" t="n">
        <f aca="false">IF(BD$4=0,0,IF(COUNTIFS(実績!$W$6:$W$505,BD$3,実績!$AI$6:$AI$505,"&lt;="&amp;$A182,実績!$AJ$6:$AJ$505,"&gt;"&amp;$A182,実績!$AK$6:$AK$505,"○")&gt;0,1,0))</f>
        <v>0</v>
      </c>
      <c r="BE182" s="39" t="n">
        <f aca="false">IF(BE$4=0,0,IF(COUNTIFS(実績!$W$6:$W$505,BE$3,実績!$AI$6:$AI$505,"&lt;="&amp;$A182,実績!$AJ$6:$AJ$505,"&gt;"&amp;$A182,実績!$AK$6:$AK$505,"○")&gt;0,1,0))</f>
        <v>0</v>
      </c>
      <c r="BF182" s="39" t="n">
        <f aca="false">IF(BF$4=0,0,IF(COUNTIFS(実績!$W$6:$W$505,BF$3,実績!$AI$6:$AI$505,"&lt;="&amp;$A182,実績!$AJ$6:$AJ$505,"&gt;"&amp;$A182,実績!$AK$6:$AK$505,"○")&gt;0,1,0))</f>
        <v>0</v>
      </c>
      <c r="BG182" s="39" t="n">
        <f aca="false">IF(BG$4=0,0,IF(COUNTIFS(実績!$W$6:$W$505,BG$3,実績!$AI$6:$AI$505,"&lt;="&amp;$A182,実績!$AJ$6:$AJ$505,"&gt;"&amp;$A182,実績!$AK$6:$AK$505,"○")&gt;0,1,0))</f>
        <v>0</v>
      </c>
      <c r="BH182" s="39" t="n">
        <f aca="false">IF(BH$4=0,0,IF(COUNTIFS(実績!$W$6:$W$505,BH$3,実績!$AI$6:$AI$505,"&lt;="&amp;$A182,実績!$AJ$6:$AJ$505,"&gt;"&amp;$A182,実績!$AK$6:$AK$505,"○")&gt;0,1,0))</f>
        <v>0</v>
      </c>
      <c r="BI182" s="39" t="n">
        <f aca="false">IF(BI$4=0,0,IF(COUNTIFS(実績!$W$6:$W$505,BI$3,実績!$AI$6:$AI$505,"&lt;="&amp;$A182,実績!$AJ$6:$AJ$505,"&gt;"&amp;$A182,実績!$AK$6:$AK$505,"○")&gt;0,1,0))</f>
        <v>0</v>
      </c>
      <c r="BJ182" s="39" t="n">
        <f aca="false">IF(BJ$4=0,0,IF(COUNTIFS(実績!$W$6:$W$505,BJ$3,実績!$AI$6:$AI$505,"&lt;="&amp;$A182,実績!$AJ$6:$AJ$505,"&gt;"&amp;$A182,実績!$AK$6:$AK$505,"○")&gt;0,1,0))</f>
        <v>0</v>
      </c>
      <c r="BK182" s="39" t="n">
        <f aca="false">IF(BK$4=0,0,IF(COUNTIFS(実績!$W$6:$W$505,BK$3,実績!$AI$6:$AI$505,"&lt;="&amp;$A182,実績!$AJ$6:$AJ$505,"&gt;"&amp;$A182,実績!$AK$6:$AK$505,"○")&gt;0,1,0))</f>
        <v>0</v>
      </c>
      <c r="BL182" s="39" t="n">
        <f aca="false">IF(BL$4=0,0,IF(COUNTIFS(実績!$W$6:$W$505,BL$3,実績!$AI$6:$AI$505,"&lt;="&amp;$A182,実績!$AJ$6:$AJ$505,"&gt;"&amp;$A182,実績!$AK$6:$AK$505,"○")&gt;0,1,0))</f>
        <v>0</v>
      </c>
      <c r="BM182" s="39" t="n">
        <f aca="false">IF(BM$4=0,0,IF(COUNTIFS(実績!$W$6:$W$505,BM$3,実績!$AI$6:$AI$505,"&lt;="&amp;$A182,実績!$AJ$6:$AJ$505,"&gt;"&amp;$A182,実績!$AK$6:$AK$505,"○")&gt;0,1,0))</f>
        <v>0</v>
      </c>
      <c r="BN182" s="39" t="n">
        <f aca="false">IF(BN$4=0,0,IF(COUNTIFS(実績!$W$6:$W$505,BN$3,実績!$AI$6:$AI$505,"&lt;="&amp;$A182,実績!$AJ$6:$AJ$505,"&gt;"&amp;$A182,実績!$AK$6:$AK$505,"○")&gt;0,1,0))</f>
        <v>0</v>
      </c>
      <c r="BO182" s="39" t="n">
        <f aca="false">IF(BO$4=0,0,IF(COUNTIFS(実績!$W$6:$W$505,BO$3,実績!$AI$6:$AI$505,"&lt;="&amp;$A182,実績!$AJ$6:$AJ$505,"&gt;"&amp;$A182,実績!$AK$6:$AK$505,"○")&gt;0,1,0))</f>
        <v>0</v>
      </c>
      <c r="BP182" s="39" t="n">
        <f aca="false">IF(BP$4=0,0,IF(COUNTIFS(実績!$W$6:$W$505,BP$3,実績!$AI$6:$AI$505,"&lt;="&amp;$A182,実績!$AJ$6:$AJ$505,"&gt;"&amp;$A182,実績!$AK$6:$AK$505,"○")&gt;0,1,0))</f>
        <v>0</v>
      </c>
      <c r="BQ182" s="39" t="n">
        <f aca="false">IF(BQ$4=0,0,IF(COUNTIFS(実績!$W$6:$W$505,BQ$3,実績!$AI$6:$AI$505,"&lt;="&amp;$A182,実績!$AJ$6:$AJ$505,"&gt;"&amp;$A182,実績!$AK$6:$AK$505,"○")&gt;0,1,0))</f>
        <v>0</v>
      </c>
      <c r="BR182" s="39" t="n">
        <f aca="false">IF(BR$4=0,0,IF(COUNTIFS(実績!$W$6:$W$505,BR$3,実績!$AI$6:$AI$505,"&lt;="&amp;$A182,実績!$AJ$6:$AJ$505,"&gt;"&amp;$A182,実績!$AK$6:$AK$505,"○")&gt;0,1,0))</f>
        <v>0</v>
      </c>
      <c r="BS182" s="39" t="n">
        <f aca="false">IF(BS$4=0,0,IF(COUNTIFS(実績!$W$6:$W$505,BS$3,実績!$AI$6:$AI$505,"&lt;="&amp;$A182,実績!$AJ$6:$AJ$505,"&gt;"&amp;$A182,実績!$AK$6:$AK$505,"○")&gt;0,1,0))</f>
        <v>0</v>
      </c>
      <c r="BT182" s="39" t="n">
        <f aca="false">IF(BT$4=0,0,IF(COUNTIFS(実績!$W$6:$W$505,BT$3,実績!$AI$6:$AI$505,"&lt;="&amp;$A182,実績!$AJ$6:$AJ$505,"&gt;"&amp;$A182,実績!$AK$6:$AK$505,"○")&gt;0,1,0))</f>
        <v>0</v>
      </c>
      <c r="BU182" s="39" t="n">
        <f aca="false">IF(BU$4=0,0,IF(COUNTIFS(実績!$W$6:$W$505,BU$3,実績!$AI$6:$AI$505,"&lt;="&amp;$A182,実績!$AJ$6:$AJ$505,"&gt;"&amp;$A182,実績!$AK$6:$AK$505,"○")&gt;0,1,0))</f>
        <v>0</v>
      </c>
      <c r="BV182" s="39" t="n">
        <f aca="false">IF(BV$4=0,0,IF(COUNTIFS(実績!$W$6:$W$505,BV$3,実績!$AI$6:$AI$505,"&lt;="&amp;$A182,実績!$AJ$6:$AJ$505,"&gt;"&amp;$A182,実績!$AK$6:$AK$505,"○")&gt;0,1,0))</f>
        <v>0</v>
      </c>
      <c r="BW182" s="39" t="n">
        <f aca="false">IF(BW$4=0,0,IF(COUNTIFS(実績!$W$6:$W$505,BW$3,実績!$AI$6:$AI$505,"&lt;="&amp;$A182,実績!$AJ$6:$AJ$505,"&gt;"&amp;$A182,実績!$AK$6:$AK$505,"○")&gt;0,1,0))</f>
        <v>0</v>
      </c>
      <c r="BX182" s="39" t="n">
        <f aca="false">IF(BX$4=0,0,IF(COUNTIFS(実績!$W$6:$W$505,BX$3,実績!$AI$6:$AI$505,"&lt;="&amp;$A182,実績!$AJ$6:$AJ$505,"&gt;"&amp;$A182,実績!$AK$6:$AK$505,"○")&gt;0,1,0))</f>
        <v>0</v>
      </c>
      <c r="BY182" s="39" t="n">
        <f aca="false">IF(BY$4=0,0,IF(COUNTIFS(実績!$W$6:$W$505,BY$3,実績!$AI$6:$AI$505,"&lt;="&amp;$A182,実績!$AJ$6:$AJ$505,"&gt;"&amp;$A182,実績!$AK$6:$AK$505,"○")&gt;0,1,0))</f>
        <v>0</v>
      </c>
      <c r="BZ182" s="39" t="n">
        <f aca="false">IF(BZ$4=0,0,IF(COUNTIFS(実績!$W$6:$W$505,BZ$3,実績!$AI$6:$AI$505,"&lt;="&amp;$A182,実績!$AJ$6:$AJ$505,"&gt;"&amp;$A182,実績!$AK$6:$AK$505,"○")&gt;0,1,0))</f>
        <v>0</v>
      </c>
      <c r="CA182" s="39" t="n">
        <f aca="false">IF(CA$4=0,0,IF(COUNTIFS(実績!$W$6:$W$505,CA$3,実績!$AI$6:$AI$505,"&lt;="&amp;$A182,実績!$AJ$6:$AJ$505,"&gt;"&amp;$A182,実績!$AK$6:$AK$505,"○")&gt;0,1,0))</f>
        <v>0</v>
      </c>
      <c r="CB182" s="39" t="n">
        <f aca="false">IF(CB$4=0,0,IF(COUNTIFS(実績!$W$6:$W$505,CB$3,実績!$AI$6:$AI$505,"&lt;="&amp;$A182,実績!$AJ$6:$AJ$505,"&gt;"&amp;$A182,実績!$AK$6:$AK$505,"○")&gt;0,1,0))</f>
        <v>0</v>
      </c>
      <c r="CC182" s="39" t="n">
        <f aca="false">IF(CC$4=0,0,IF(COUNTIFS(実績!$W$6:$W$505,CC$3,実績!$AI$6:$AI$505,"&lt;="&amp;$A182,実績!$AJ$6:$AJ$505,"&gt;"&amp;$A182,実績!$AK$6:$AK$505,"○")&gt;0,1,0))</f>
        <v>0</v>
      </c>
      <c r="CD182" s="39" t="n">
        <f aca="false">IF(CD$4=0,0,IF(COUNTIFS(実績!$W$6:$W$505,CD$3,実績!$AI$6:$AI$505,"&lt;="&amp;$A182,実績!$AJ$6:$AJ$505,"&gt;"&amp;$A182,実績!$AK$6:$AK$505,"○")&gt;0,1,0))</f>
        <v>0</v>
      </c>
      <c r="CE182" s="39" t="n">
        <f aca="false">IF(CE$4=0,0,IF(COUNTIFS(実績!$W$6:$W$505,CE$3,実績!$AI$6:$AI$505,"&lt;="&amp;$A182,実績!$AJ$6:$AJ$505,"&gt;"&amp;$A182,実績!$AK$6:$AK$505,"○")&gt;0,1,0))</f>
        <v>0</v>
      </c>
      <c r="CF182" s="39" t="n">
        <f aca="false">IF(CF$4=0,0,IF(COUNTIFS(実績!$W$6:$W$505,CF$3,実績!$AI$6:$AI$505,"&lt;="&amp;$A182,実績!$AJ$6:$AJ$505,"&gt;"&amp;$A182,実績!$AK$6:$AK$505,"○")&gt;0,1,0))</f>
        <v>0</v>
      </c>
      <c r="CG182" s="39" t="n">
        <f aca="false">IF(CG$4=0,0,IF(COUNTIFS(実績!$W$6:$W$505,CG$3,実績!$AI$6:$AI$505,"&lt;="&amp;$A182,実績!$AJ$6:$AJ$505,"&gt;"&amp;$A182,実績!$AK$6:$AK$505,"○")&gt;0,1,0))</f>
        <v>0</v>
      </c>
      <c r="CH182" s="39" t="n">
        <f aca="false">IF(CH$4=0,0,IF(COUNTIFS(実績!$W$6:$W$505,CH$3,実績!$AI$6:$AI$505,"&lt;="&amp;$A182,実績!$AJ$6:$AJ$505,"&gt;"&amp;$A182,実績!$AK$6:$AK$505,"○")&gt;0,1,0))</f>
        <v>0</v>
      </c>
      <c r="CI182" s="39" t="n">
        <f aca="false">IF(CI$4=0,0,IF(COUNTIFS(実績!$W$6:$W$505,CI$3,実績!$AI$6:$AI$505,"&lt;="&amp;$A182,実績!$AJ$6:$AJ$505,"&gt;"&amp;$A182,実績!$AK$6:$AK$505,"○")&gt;0,1,0))</f>
        <v>0</v>
      </c>
      <c r="CJ182" s="39" t="n">
        <f aca="false">IF(CJ$4=0,0,IF(COUNTIFS(実績!$W$6:$W$505,CJ$3,実績!$AI$6:$AI$505,"&lt;="&amp;$A182,実績!$AJ$6:$AJ$505,"&gt;"&amp;$A182,実績!$AK$6:$AK$505,"○")&gt;0,1,0))</f>
        <v>0</v>
      </c>
      <c r="CK182" s="39" t="n">
        <f aca="false">IF(CK$4=0,0,IF(COUNTIFS(実績!$W$6:$W$505,CK$3,実績!$AI$6:$AI$505,"&lt;="&amp;$A182,実績!$AJ$6:$AJ$505,"&gt;"&amp;$A182,実績!$AK$6:$AK$505,"○")&gt;0,1,0))</f>
        <v>0</v>
      </c>
      <c r="CL182" s="39" t="n">
        <f aca="false">IF(CL$4=0,0,IF(COUNTIFS(実績!$W$6:$W$505,CL$3,実績!$AI$6:$AI$505,"&lt;="&amp;$A182,実績!$AJ$6:$AJ$505,"&gt;"&amp;$A182,実績!$AK$6:$AK$505,"○")&gt;0,1,0))</f>
        <v>0</v>
      </c>
      <c r="CM182" s="39" t="n">
        <f aca="false">IF(CM$4=0,0,IF(COUNTIFS(実績!$W$6:$W$505,CM$3,実績!$AI$6:$AI$505,"&lt;="&amp;$A182,実績!$AJ$6:$AJ$505,"&gt;"&amp;$A182,実績!$AK$6:$AK$505,"○")&gt;0,1,0))</f>
        <v>0</v>
      </c>
      <c r="CN182" s="39" t="n">
        <f aca="false">IF(CN$4=0,0,IF(COUNTIFS(実績!$W$6:$W$505,CN$3,実績!$AI$6:$AI$505,"&lt;="&amp;$A182,実績!$AJ$6:$AJ$505,"&gt;"&amp;$A182,実績!$AK$6:$AK$505,"○")&gt;0,1,0))</f>
        <v>0</v>
      </c>
      <c r="CO182" s="39" t="n">
        <f aca="false">IF(CO$4=0,0,IF(COUNTIFS(実績!$W$6:$W$505,CO$3,実績!$AI$6:$AI$505,"&lt;="&amp;$A182,実績!$AJ$6:$AJ$505,"&gt;"&amp;$A182,実績!$AK$6:$AK$505,"○")&gt;0,1,0))</f>
        <v>0</v>
      </c>
      <c r="CP182" s="39" t="n">
        <f aca="false">IF(CP$4=0,0,IF(COUNTIFS(実績!$W$6:$W$505,CP$3,実績!$AI$6:$AI$505,"&lt;="&amp;$A182,実績!$AJ$6:$AJ$505,"&gt;"&amp;$A182,実績!$AK$6:$AK$505,"○")&gt;0,1,0))</f>
        <v>0</v>
      </c>
      <c r="CQ182" s="39" t="n">
        <f aca="false">IF(CQ$4=0,0,IF(COUNTIFS(実績!$W$6:$W$505,CQ$3,実績!$AI$6:$AI$505,"&lt;="&amp;$A182,実績!$AJ$6:$AJ$505,"&gt;"&amp;$A182,実績!$AK$6:$AK$505,"○")&gt;0,1,0))</f>
        <v>0</v>
      </c>
      <c r="CR182" s="39" t="n">
        <f aca="false">IF(CR$4=0,0,IF(COUNTIFS(実績!$W$6:$W$505,CR$3,実績!$AI$6:$AI$505,"&lt;="&amp;$A182,実績!$AJ$6:$AJ$505,"&gt;"&amp;$A182,実績!$AK$6:$AK$505,"○")&gt;0,1,0))</f>
        <v>0</v>
      </c>
      <c r="CS182" s="39" t="n">
        <f aca="false">IF(CS$4=0,0,IF(COUNTIFS(実績!$W$6:$W$505,CS$3,実績!$AI$6:$AI$505,"&lt;="&amp;$A182,実績!$AJ$6:$AJ$505,"&gt;"&amp;$A182,実績!$AK$6:$AK$505,"○")&gt;0,1,0))</f>
        <v>0</v>
      </c>
      <c r="CT182" s="39" t="n">
        <f aca="false">IF(CT$4=0,0,IF(COUNTIFS(実績!$W$6:$W$505,CT$3,実績!$AI$6:$AI$505,"&lt;="&amp;$A182,実績!$AJ$6:$AJ$505,"&gt;"&amp;$A182,実績!$AK$6:$AK$505,"○")&gt;0,1,0))</f>
        <v>0</v>
      </c>
      <c r="CU182" s="39" t="n">
        <f aca="false">IF(CU$4=0,0,IF(COUNTIFS(実績!$W$6:$W$505,CU$3,実績!$AI$6:$AI$505,"&lt;="&amp;$A182,実績!$AJ$6:$AJ$505,"&gt;"&amp;$A182,実績!$AK$6:$AK$505,"○")&gt;0,1,0))</f>
        <v>0</v>
      </c>
      <c r="CV182" s="39" t="n">
        <f aca="false">IF(CV$4=0,0,IF(COUNTIFS(実績!$W$6:$W$505,CV$3,実績!$AI$6:$AI$505,"&lt;="&amp;$A182,実績!$AJ$6:$AJ$505,"&gt;"&amp;$A182,実績!$AK$6:$AK$505,"○")&gt;0,1,0))</f>
        <v>0</v>
      </c>
      <c r="CW182" s="39" t="n">
        <f aca="false">IF(CW$4=0,0,IF(COUNTIFS(実績!$W$6:$W$505,CW$3,実績!$AI$6:$AI$505,"&lt;="&amp;$A182,実績!$AJ$6:$AJ$505,"&gt;"&amp;$A182,実績!$AK$6:$AK$505,"○")&gt;0,1,0))</f>
        <v>0</v>
      </c>
      <c r="CX182" s="39" t="n">
        <f aca="false">IF(CX$4=0,0,IF(COUNTIFS(実績!$W$6:$W$505,CX$3,実績!$AI$6:$AI$505,"&lt;="&amp;$A182,実績!$AJ$6:$AJ$505,"&gt;"&amp;$A182,実績!$AK$6:$AK$505,"○")&gt;0,1,0))</f>
        <v>0</v>
      </c>
      <c r="CY182" s="39" t="n">
        <f aca="false">IF(CY$4=0,0,IF(COUNTIFS(実績!$W$6:$W$505,CY$3,実績!$AI$6:$AI$505,"&lt;="&amp;$A182,実績!$AJ$6:$AJ$505,"&gt;"&amp;$A182,実績!$AK$6:$AK$505,"○")&gt;0,1,0))</f>
        <v>0</v>
      </c>
      <c r="CZ182" s="39" t="n">
        <f aca="false">IF(CZ$4=0,0,IF(COUNTIFS(実績!$W$6:$W$505,CZ$3,実績!$AI$6:$AI$505,"&lt;="&amp;$A182,実績!$AJ$6:$AJ$505,"&gt;"&amp;$A182,実績!$AK$6:$AK$505,"○")&gt;0,1,0))</f>
        <v>0</v>
      </c>
      <c r="DA182" s="39" t="n">
        <f aca="false">IF(DA$4=0,0,IF(COUNTIFS(実績!$W$6:$W$505,DA$3,実績!$AI$6:$AI$505,"&lt;="&amp;$A182,実績!$AJ$6:$AJ$505,"&gt;"&amp;$A182,実績!$AK$6:$AK$505,"○")&gt;0,1,0))</f>
        <v>0</v>
      </c>
      <c r="DB182" s="39" t="n">
        <f aca="false">IF(DB$4=0,0,IF(COUNTIFS(実績!$W$6:$W$505,DB$3,実績!$AI$6:$AI$505,"&lt;="&amp;$A182,実績!$AJ$6:$AJ$505,"&gt;"&amp;$A182,実績!$AK$6:$AK$505,"○")&gt;0,1,0))</f>
        <v>0</v>
      </c>
      <c r="DC182" s="39" t="n">
        <f aca="false">IF(DC$4=0,0,IF(COUNTIFS(実績!$W$6:$W$505,DC$3,実績!$AI$6:$AI$505,"&lt;="&amp;$A182,実績!$AJ$6:$AJ$505,"&gt;"&amp;$A182,実績!$AK$6:$AK$505,"○")&gt;0,1,0))</f>
        <v>0</v>
      </c>
      <c r="DD182" s="39" t="n">
        <f aca="false">IF(DD$4=0,0,IF(COUNTIFS(実績!$W$6:$W$505,DD$3,実績!$AI$6:$AI$505,"&lt;="&amp;$A182,実績!$AJ$6:$AJ$505,"&gt;"&amp;$A182,実績!$AK$6:$AK$505,"○")&gt;0,1,0))</f>
        <v>0</v>
      </c>
      <c r="DE182" s="39" t="n">
        <f aca="false">IF(DE$4=0,0,IF(COUNTIFS(実績!$W$6:$W$505,DE$3,実績!$AI$6:$AI$505,"&lt;="&amp;$A182,実績!$AJ$6:$AJ$505,"&gt;"&amp;$A182,実績!$AK$6:$AK$505,"○")&gt;0,1,0))</f>
        <v>0</v>
      </c>
      <c r="DF182" s="39" t="n">
        <f aca="false">IF(DF$4=0,0,IF(COUNTIFS(実績!$W$6:$W$505,DF$3,実績!$AI$6:$AI$505,"&lt;="&amp;$A182,実績!$AJ$6:$AJ$505,"&gt;"&amp;$A182,実績!$AK$6:$AK$505,"○")&gt;0,1,0))</f>
        <v>0</v>
      </c>
      <c r="DG182" s="39" t="n">
        <f aca="false">IF(DG$4=0,0,IF(COUNTIFS(実績!$W$6:$W$505,DG$3,実績!$AI$6:$AI$505,"&lt;="&amp;$A182,実績!$AJ$6:$AJ$505,"&gt;"&amp;$A182,実績!$AK$6:$AK$505,"○")&gt;0,1,0))</f>
        <v>0</v>
      </c>
      <c r="DH182" s="39" t="n">
        <f aca="false">IF(DH$4=0,0,IF(COUNTIFS(実績!$W$6:$W$505,DH$3,実績!$AI$6:$AI$505,"&lt;="&amp;$A182,実績!$AJ$6:$AJ$505,"&gt;"&amp;$A182,実績!$AK$6:$AK$505,"○")&gt;0,1,0))</f>
        <v>0</v>
      </c>
      <c r="DI182" s="39" t="n">
        <f aca="false">IF(DI$4=0,0,IF(COUNTIFS(実績!$W$6:$W$505,DI$3,実績!$AI$6:$AI$505,"&lt;="&amp;$A182,実績!$AJ$6:$AJ$505,"&gt;"&amp;$A182,実績!$AK$6:$AK$505,"○")&gt;0,1,0))</f>
        <v>0</v>
      </c>
      <c r="DJ182" s="39" t="n">
        <f aca="false">IF(DJ$4=0,0,IF(COUNTIFS(実績!$W$6:$W$505,DJ$3,実績!$AI$6:$AI$505,"&lt;="&amp;$A182,実績!$AJ$6:$AJ$505,"&gt;"&amp;$A182,実績!$AK$6:$AK$505,"○")&gt;0,1,0))</f>
        <v>0</v>
      </c>
      <c r="DK182" s="39" t="n">
        <f aca="false">IF(DK$4=0,0,IF(COUNTIFS(実績!$W$6:$W$505,DK$3,実績!$AI$6:$AI$505,"&lt;="&amp;$A182,実績!$AJ$6:$AJ$505,"&gt;"&amp;$A182,実績!$AK$6:$AK$505,"○")&gt;0,1,0))</f>
        <v>0</v>
      </c>
      <c r="DL182" s="39" t="n">
        <f aca="false">IF(DL$4=0,0,IF(COUNTIFS(実績!$W$6:$W$505,DL$3,実績!$AI$6:$AI$505,"&lt;="&amp;$A182,実績!$AJ$6:$AJ$505,"&gt;"&amp;$A182,実績!$AK$6:$AK$505,"○")&gt;0,1,0))</f>
        <v>0</v>
      </c>
      <c r="DM182" s="39" t="n">
        <f aca="false">IF(DM$4=0,0,IF(COUNTIFS(実績!$W$6:$W$505,DM$3,実績!$AI$6:$AI$505,"&lt;="&amp;$A182,実績!$AJ$6:$AJ$505,"&gt;"&amp;$A182,実績!$AK$6:$AK$505,"○")&gt;0,1,0))</f>
        <v>0</v>
      </c>
      <c r="DN182" s="39" t="n">
        <f aca="false">IF(DN$4=0,0,IF(COUNTIFS(実績!$W$6:$W$505,DN$3,実績!$AI$6:$AI$505,"&lt;="&amp;$A182,実績!$AJ$6:$AJ$505,"&gt;"&amp;$A182,実績!$AK$6:$AK$505,"○")&gt;0,1,0))</f>
        <v>0</v>
      </c>
      <c r="DO182" s="39" t="n">
        <f aca="false">IF(DO$4=0,0,IF(COUNTIFS(実績!$W$6:$W$505,DO$3,実績!$AI$6:$AI$505,"&lt;="&amp;$A182,実績!$AJ$6:$AJ$505,"&gt;"&amp;$A182,実績!$AK$6:$AK$505,"○")&gt;0,1,0))</f>
        <v>0</v>
      </c>
      <c r="DP182" s="39" t="n">
        <f aca="false">IF(DP$4=0,0,IF(COUNTIFS(実績!$W$6:$W$505,DP$3,実績!$AI$6:$AI$505,"&lt;="&amp;$A182,実績!$AJ$6:$AJ$505,"&gt;"&amp;$A182,実績!$AK$6:$AK$505,"○")&gt;0,1,0))</f>
        <v>0</v>
      </c>
      <c r="DQ182" s="39" t="n">
        <f aca="false">IF(DQ$4=0,0,IF(COUNTIFS(実績!$W$6:$W$505,DQ$3,実績!$AI$6:$AI$505,"&lt;="&amp;$A182,実績!$AJ$6:$AJ$505,"&gt;"&amp;$A182,実績!$AK$6:$AK$505,"○")&gt;0,1,0))</f>
        <v>0</v>
      </c>
      <c r="DR182" s="39" t="n">
        <f aca="false">IF(DR$4=0,0,IF(COUNTIFS(実績!$W$6:$W$505,DR$3,実績!$AI$6:$AI$505,"&lt;="&amp;$A182,実績!$AJ$6:$AJ$505,"&gt;"&amp;$A182,実績!$AK$6:$AK$505,"○")&gt;0,1,0))</f>
        <v>0</v>
      </c>
      <c r="DS182" s="39" t="n">
        <f aca="false">SUM(C182:DR182)</f>
        <v>0</v>
      </c>
      <c r="DT182" s="39" t="n">
        <f aca="false">SUMPRODUCT((実績!$C$6:$C$505="○")*ISNUMBER(実績!$AM$6:$AM$505)*(実績!$AM$6:$AM$505&lt;=$A182)*(実績!$AN$6:$AN$505&gt;$A182))</f>
        <v>0</v>
      </c>
      <c r="DU182" s="39" t="n">
        <f aca="false">SUMIF($C$2:$DR$2,"製鉄曳船",C182:DR182)</f>
        <v>0</v>
      </c>
      <c r="DV182" s="39" t="n">
        <f aca="false">SUMIF($C$2:$DR$2,"西日本海運",C182:DR182)</f>
        <v>0</v>
      </c>
    </row>
    <row r="183" customFormat="false" ht="15" hidden="false" customHeight="false" outlineLevel="0" collapsed="false">
      <c r="A183" s="0" t="n">
        <v>885</v>
      </c>
      <c r="B183" s="38" t="n">
        <f aca="false">A183/1440</f>
        <v>0.614583333333333</v>
      </c>
      <c r="C183" s="39" t="n">
        <f aca="false">IF(C$4=0,0,IF(COUNTIFS(実績!$W$6:$W$505,C$3,実績!$AI$6:$AI$505,"&lt;="&amp;$A183,実績!$AJ$6:$AJ$505,"&gt;"&amp;$A183,実績!$AK$6:$AK$505,"○")&gt;0,1,0))</f>
        <v>0</v>
      </c>
      <c r="D183" s="39" t="n">
        <f aca="false">IF(D$4=0,0,IF(COUNTIFS(実績!$W$6:$W$505,D$3,実績!$AI$6:$AI$505,"&lt;="&amp;$A183,実績!$AJ$6:$AJ$505,"&gt;"&amp;$A183,実績!$AK$6:$AK$505,"○")&gt;0,1,0))</f>
        <v>0</v>
      </c>
      <c r="E183" s="39" t="n">
        <f aca="false">IF(E$4=0,0,IF(COUNTIFS(実績!$W$6:$W$505,E$3,実績!$AI$6:$AI$505,"&lt;="&amp;$A183,実績!$AJ$6:$AJ$505,"&gt;"&amp;$A183,実績!$AK$6:$AK$505,"○")&gt;0,1,0))</f>
        <v>0</v>
      </c>
      <c r="F183" s="39" t="n">
        <f aca="false">IF(F$4=0,0,IF(COUNTIFS(実績!$W$6:$W$505,F$3,実績!$AI$6:$AI$505,"&lt;="&amp;$A183,実績!$AJ$6:$AJ$505,"&gt;"&amp;$A183,実績!$AK$6:$AK$505,"○")&gt;0,1,0))</f>
        <v>0</v>
      </c>
      <c r="G183" s="39" t="n">
        <f aca="false">IF(G$4=0,0,IF(COUNTIFS(実績!$W$6:$W$505,G$3,実績!$AI$6:$AI$505,"&lt;="&amp;$A183,実績!$AJ$6:$AJ$505,"&gt;"&amp;$A183,実績!$AK$6:$AK$505,"○")&gt;0,1,0))</f>
        <v>0</v>
      </c>
      <c r="H183" s="39" t="n">
        <f aca="false">IF(H$4=0,0,IF(COUNTIFS(実績!$W$6:$W$505,H$3,実績!$AI$6:$AI$505,"&lt;="&amp;$A183,実績!$AJ$6:$AJ$505,"&gt;"&amp;$A183,実績!$AK$6:$AK$505,"○")&gt;0,1,0))</f>
        <v>0</v>
      </c>
      <c r="I183" s="39" t="n">
        <f aca="false">IF(I$4=0,0,IF(COUNTIFS(実績!$W$6:$W$505,I$3,実績!$AI$6:$AI$505,"&lt;="&amp;$A183,実績!$AJ$6:$AJ$505,"&gt;"&amp;$A183,実績!$AK$6:$AK$505,"○")&gt;0,1,0))</f>
        <v>0</v>
      </c>
      <c r="J183" s="39" t="n">
        <f aca="false">IF(J$4=0,0,IF(COUNTIFS(実績!$W$6:$W$505,J$3,実績!$AI$6:$AI$505,"&lt;="&amp;$A183,実績!$AJ$6:$AJ$505,"&gt;"&amp;$A183,実績!$AK$6:$AK$505,"○")&gt;0,1,0))</f>
        <v>0</v>
      </c>
      <c r="K183" s="39" t="n">
        <f aca="false">IF(K$4=0,0,IF(COUNTIFS(実績!$W$6:$W$505,K$3,実績!$AI$6:$AI$505,"&lt;="&amp;$A183,実績!$AJ$6:$AJ$505,"&gt;"&amp;$A183,実績!$AK$6:$AK$505,"○")&gt;0,1,0))</f>
        <v>0</v>
      </c>
      <c r="L183" s="39" t="n">
        <f aca="false">IF(L$4=0,0,IF(COUNTIFS(実績!$W$6:$W$505,L$3,実績!$AI$6:$AI$505,"&lt;="&amp;$A183,実績!$AJ$6:$AJ$505,"&gt;"&amp;$A183,実績!$AK$6:$AK$505,"○")&gt;0,1,0))</f>
        <v>0</v>
      </c>
      <c r="M183" s="39" t="n">
        <f aca="false">IF(M$4=0,0,IF(COUNTIFS(実績!$W$6:$W$505,M$3,実績!$AI$6:$AI$505,"&lt;="&amp;$A183,実績!$AJ$6:$AJ$505,"&gt;"&amp;$A183,実績!$AK$6:$AK$505,"○")&gt;0,1,0))</f>
        <v>0</v>
      </c>
      <c r="N183" s="39" t="n">
        <f aca="false">IF(N$4=0,0,IF(COUNTIFS(実績!$W$6:$W$505,N$3,実績!$AI$6:$AI$505,"&lt;="&amp;$A183,実績!$AJ$6:$AJ$505,"&gt;"&amp;$A183,実績!$AK$6:$AK$505,"○")&gt;0,1,0))</f>
        <v>0</v>
      </c>
      <c r="O183" s="39" t="n">
        <f aca="false">IF(O$4=0,0,IF(COUNTIFS(実績!$W$6:$W$505,O$3,実績!$AI$6:$AI$505,"&lt;="&amp;$A183,実績!$AJ$6:$AJ$505,"&gt;"&amp;$A183,実績!$AK$6:$AK$505,"○")&gt;0,1,0))</f>
        <v>0</v>
      </c>
      <c r="P183" s="39" t="n">
        <f aca="false">IF(P$4=0,0,IF(COUNTIFS(実績!$W$6:$W$505,P$3,実績!$AI$6:$AI$505,"&lt;="&amp;$A183,実績!$AJ$6:$AJ$505,"&gt;"&amp;$A183,実績!$AK$6:$AK$505,"○")&gt;0,1,0))</f>
        <v>0</v>
      </c>
      <c r="Q183" s="39" t="n">
        <f aca="false">IF(Q$4=0,0,IF(COUNTIFS(実績!$W$6:$W$505,Q$3,実績!$AI$6:$AI$505,"&lt;="&amp;$A183,実績!$AJ$6:$AJ$505,"&gt;"&amp;$A183,実績!$AK$6:$AK$505,"○")&gt;0,1,0))</f>
        <v>0</v>
      </c>
      <c r="R183" s="39" t="n">
        <f aca="false">IF(R$4=0,0,IF(COUNTIFS(実績!$W$6:$W$505,R$3,実績!$AI$6:$AI$505,"&lt;="&amp;$A183,実績!$AJ$6:$AJ$505,"&gt;"&amp;$A183,実績!$AK$6:$AK$505,"○")&gt;0,1,0))</f>
        <v>0</v>
      </c>
      <c r="S183" s="39" t="n">
        <f aca="false">IF(S$4=0,0,IF(COUNTIFS(実績!$W$6:$W$505,S$3,実績!$AI$6:$AI$505,"&lt;="&amp;$A183,実績!$AJ$6:$AJ$505,"&gt;"&amp;$A183,実績!$AK$6:$AK$505,"○")&gt;0,1,0))</f>
        <v>0</v>
      </c>
      <c r="T183" s="39" t="n">
        <f aca="false">IF(T$4=0,0,IF(COUNTIFS(実績!$W$6:$W$505,T$3,実績!$AI$6:$AI$505,"&lt;="&amp;$A183,実績!$AJ$6:$AJ$505,"&gt;"&amp;$A183,実績!$AK$6:$AK$505,"○")&gt;0,1,0))</f>
        <v>0</v>
      </c>
      <c r="U183" s="39" t="n">
        <f aca="false">IF(U$4=0,0,IF(COUNTIFS(実績!$W$6:$W$505,U$3,実績!$AI$6:$AI$505,"&lt;="&amp;$A183,実績!$AJ$6:$AJ$505,"&gt;"&amp;$A183,実績!$AK$6:$AK$505,"○")&gt;0,1,0))</f>
        <v>0</v>
      </c>
      <c r="V183" s="39" t="n">
        <f aca="false">IF(V$4=0,0,IF(COUNTIFS(実績!$W$6:$W$505,V$3,実績!$AI$6:$AI$505,"&lt;="&amp;$A183,実績!$AJ$6:$AJ$505,"&gt;"&amp;$A183,実績!$AK$6:$AK$505,"○")&gt;0,1,0))</f>
        <v>0</v>
      </c>
      <c r="W183" s="39" t="n">
        <f aca="false">IF(W$4=0,0,IF(COUNTIFS(実績!$W$6:$W$505,W$3,実績!$AI$6:$AI$505,"&lt;="&amp;$A183,実績!$AJ$6:$AJ$505,"&gt;"&amp;$A183,実績!$AK$6:$AK$505,"○")&gt;0,1,0))</f>
        <v>0</v>
      </c>
      <c r="X183" s="39" t="n">
        <f aca="false">IF(X$4=0,0,IF(COUNTIFS(実績!$W$6:$W$505,X$3,実績!$AI$6:$AI$505,"&lt;="&amp;$A183,実績!$AJ$6:$AJ$505,"&gt;"&amp;$A183,実績!$AK$6:$AK$505,"○")&gt;0,1,0))</f>
        <v>0</v>
      </c>
      <c r="Y183" s="39" t="n">
        <f aca="false">IF(Y$4=0,0,IF(COUNTIFS(実績!$W$6:$W$505,Y$3,実績!$AI$6:$AI$505,"&lt;="&amp;$A183,実績!$AJ$6:$AJ$505,"&gt;"&amp;$A183,実績!$AK$6:$AK$505,"○")&gt;0,1,0))</f>
        <v>0</v>
      </c>
      <c r="Z183" s="39" t="n">
        <f aca="false">IF(Z$4=0,0,IF(COUNTIFS(実績!$W$6:$W$505,Z$3,実績!$AI$6:$AI$505,"&lt;="&amp;$A183,実績!$AJ$6:$AJ$505,"&gt;"&amp;$A183,実績!$AK$6:$AK$505,"○")&gt;0,1,0))</f>
        <v>0</v>
      </c>
      <c r="AA183" s="39" t="n">
        <f aca="false">IF(AA$4=0,0,IF(COUNTIFS(実績!$W$6:$W$505,AA$3,実績!$AI$6:$AI$505,"&lt;="&amp;$A183,実績!$AJ$6:$AJ$505,"&gt;"&amp;$A183,実績!$AK$6:$AK$505,"○")&gt;0,1,0))</f>
        <v>0</v>
      </c>
      <c r="AB183" s="39" t="n">
        <f aca="false">IF(AB$4=0,0,IF(COUNTIFS(実績!$W$6:$W$505,AB$3,実績!$AI$6:$AI$505,"&lt;="&amp;$A183,実績!$AJ$6:$AJ$505,"&gt;"&amp;$A183,実績!$AK$6:$AK$505,"○")&gt;0,1,0))</f>
        <v>0</v>
      </c>
      <c r="AC183" s="39" t="n">
        <f aca="false">IF(AC$4=0,0,IF(COUNTIFS(実績!$W$6:$W$505,AC$3,実績!$AI$6:$AI$505,"&lt;="&amp;$A183,実績!$AJ$6:$AJ$505,"&gt;"&amp;$A183,実績!$AK$6:$AK$505,"○")&gt;0,1,0))</f>
        <v>0</v>
      </c>
      <c r="AD183" s="39" t="n">
        <f aca="false">IF(AD$4=0,0,IF(COUNTIFS(実績!$W$6:$W$505,AD$3,実績!$AI$6:$AI$505,"&lt;="&amp;$A183,実績!$AJ$6:$AJ$505,"&gt;"&amp;$A183,実績!$AK$6:$AK$505,"○")&gt;0,1,0))</f>
        <v>0</v>
      </c>
      <c r="AE183" s="39" t="n">
        <f aca="false">IF(AE$4=0,0,IF(COUNTIFS(実績!$W$6:$W$505,AE$3,実績!$AI$6:$AI$505,"&lt;="&amp;$A183,実績!$AJ$6:$AJ$505,"&gt;"&amp;$A183,実績!$AK$6:$AK$505,"○")&gt;0,1,0))</f>
        <v>0</v>
      </c>
      <c r="AF183" s="39" t="n">
        <f aca="false">IF(AF$4=0,0,IF(COUNTIFS(実績!$W$6:$W$505,AF$3,実績!$AI$6:$AI$505,"&lt;="&amp;$A183,実績!$AJ$6:$AJ$505,"&gt;"&amp;$A183,実績!$AK$6:$AK$505,"○")&gt;0,1,0))</f>
        <v>0</v>
      </c>
      <c r="AG183" s="39" t="n">
        <f aca="false">IF(AG$4=0,0,IF(COUNTIFS(実績!$W$6:$W$505,AG$3,実績!$AI$6:$AI$505,"&lt;="&amp;$A183,実績!$AJ$6:$AJ$505,"&gt;"&amp;$A183,実績!$AK$6:$AK$505,"○")&gt;0,1,0))</f>
        <v>0</v>
      </c>
      <c r="AH183" s="39" t="n">
        <f aca="false">IF(AH$4=0,0,IF(COUNTIFS(実績!$W$6:$W$505,AH$3,実績!$AI$6:$AI$505,"&lt;="&amp;$A183,実績!$AJ$6:$AJ$505,"&gt;"&amp;$A183,実績!$AK$6:$AK$505,"○")&gt;0,1,0))</f>
        <v>0</v>
      </c>
      <c r="AI183" s="39" t="n">
        <f aca="false">IF(AI$4=0,0,IF(COUNTIFS(実績!$W$6:$W$505,AI$3,実績!$AI$6:$AI$505,"&lt;="&amp;$A183,実績!$AJ$6:$AJ$505,"&gt;"&amp;$A183,実績!$AK$6:$AK$505,"○")&gt;0,1,0))</f>
        <v>0</v>
      </c>
      <c r="AJ183" s="39" t="n">
        <f aca="false">IF(AJ$4=0,0,IF(COUNTIFS(実績!$W$6:$W$505,AJ$3,実績!$AI$6:$AI$505,"&lt;="&amp;$A183,実績!$AJ$6:$AJ$505,"&gt;"&amp;$A183,実績!$AK$6:$AK$505,"○")&gt;0,1,0))</f>
        <v>0</v>
      </c>
      <c r="AK183" s="39" t="n">
        <f aca="false">IF(AK$4=0,0,IF(COUNTIFS(実績!$W$6:$W$505,AK$3,実績!$AI$6:$AI$505,"&lt;="&amp;$A183,実績!$AJ$6:$AJ$505,"&gt;"&amp;$A183,実績!$AK$6:$AK$505,"○")&gt;0,1,0))</f>
        <v>0</v>
      </c>
      <c r="AL183" s="39" t="n">
        <f aca="false">IF(AL$4=0,0,IF(COUNTIFS(実績!$W$6:$W$505,AL$3,実績!$AI$6:$AI$505,"&lt;="&amp;$A183,実績!$AJ$6:$AJ$505,"&gt;"&amp;$A183,実績!$AK$6:$AK$505,"○")&gt;0,1,0))</f>
        <v>0</v>
      </c>
      <c r="AM183" s="39" t="n">
        <f aca="false">IF(AM$4=0,0,IF(COUNTIFS(実績!$W$6:$W$505,AM$3,実績!$AI$6:$AI$505,"&lt;="&amp;$A183,実績!$AJ$6:$AJ$505,"&gt;"&amp;$A183,実績!$AK$6:$AK$505,"○")&gt;0,1,0))</f>
        <v>0</v>
      </c>
      <c r="AN183" s="39" t="n">
        <f aca="false">IF(AN$4=0,0,IF(COUNTIFS(実績!$W$6:$W$505,AN$3,実績!$AI$6:$AI$505,"&lt;="&amp;$A183,実績!$AJ$6:$AJ$505,"&gt;"&amp;$A183,実績!$AK$6:$AK$505,"○")&gt;0,1,0))</f>
        <v>0</v>
      </c>
      <c r="AO183" s="39" t="n">
        <f aca="false">IF(AO$4=0,0,IF(COUNTIFS(実績!$W$6:$W$505,AO$3,実績!$AI$6:$AI$505,"&lt;="&amp;$A183,実績!$AJ$6:$AJ$505,"&gt;"&amp;$A183,実績!$AK$6:$AK$505,"○")&gt;0,1,0))</f>
        <v>0</v>
      </c>
      <c r="AP183" s="39" t="n">
        <f aca="false">IF(AP$4=0,0,IF(COUNTIFS(実績!$W$6:$W$505,AP$3,実績!$AI$6:$AI$505,"&lt;="&amp;$A183,実績!$AJ$6:$AJ$505,"&gt;"&amp;$A183,実績!$AK$6:$AK$505,"○")&gt;0,1,0))</f>
        <v>0</v>
      </c>
      <c r="AQ183" s="39" t="n">
        <f aca="false">IF(AQ$4=0,0,IF(COUNTIFS(実績!$W$6:$W$505,AQ$3,実績!$AI$6:$AI$505,"&lt;="&amp;$A183,実績!$AJ$6:$AJ$505,"&gt;"&amp;$A183,実績!$AK$6:$AK$505,"○")&gt;0,1,0))</f>
        <v>0</v>
      </c>
      <c r="AR183" s="39" t="n">
        <f aca="false">IF(AR$4=0,0,IF(COUNTIFS(実績!$W$6:$W$505,AR$3,実績!$AI$6:$AI$505,"&lt;="&amp;$A183,実績!$AJ$6:$AJ$505,"&gt;"&amp;$A183,実績!$AK$6:$AK$505,"○")&gt;0,1,0))</f>
        <v>0</v>
      </c>
      <c r="AS183" s="39" t="n">
        <f aca="false">IF(AS$4=0,0,IF(COUNTIFS(実績!$W$6:$W$505,AS$3,実績!$AI$6:$AI$505,"&lt;="&amp;$A183,実績!$AJ$6:$AJ$505,"&gt;"&amp;$A183,実績!$AK$6:$AK$505,"○")&gt;0,1,0))</f>
        <v>0</v>
      </c>
      <c r="AT183" s="39" t="n">
        <f aca="false">IF(AT$4=0,0,IF(COUNTIFS(実績!$W$6:$W$505,AT$3,実績!$AI$6:$AI$505,"&lt;="&amp;$A183,実績!$AJ$6:$AJ$505,"&gt;"&amp;$A183,実績!$AK$6:$AK$505,"○")&gt;0,1,0))</f>
        <v>0</v>
      </c>
      <c r="AU183" s="39" t="n">
        <f aca="false">IF(AU$4=0,0,IF(COUNTIFS(実績!$W$6:$W$505,AU$3,実績!$AI$6:$AI$505,"&lt;="&amp;$A183,実績!$AJ$6:$AJ$505,"&gt;"&amp;$A183,実績!$AK$6:$AK$505,"○")&gt;0,1,0))</f>
        <v>0</v>
      </c>
      <c r="AV183" s="39" t="n">
        <f aca="false">IF(AV$4=0,0,IF(COUNTIFS(実績!$W$6:$W$505,AV$3,実績!$AI$6:$AI$505,"&lt;="&amp;$A183,実績!$AJ$6:$AJ$505,"&gt;"&amp;$A183,実績!$AK$6:$AK$505,"○")&gt;0,1,0))</f>
        <v>0</v>
      </c>
      <c r="AW183" s="39" t="n">
        <f aca="false">IF(AW$4=0,0,IF(COUNTIFS(実績!$W$6:$W$505,AW$3,実績!$AI$6:$AI$505,"&lt;="&amp;$A183,実績!$AJ$6:$AJ$505,"&gt;"&amp;$A183,実績!$AK$6:$AK$505,"○")&gt;0,1,0))</f>
        <v>0</v>
      </c>
      <c r="AX183" s="39" t="n">
        <f aca="false">IF(AX$4=0,0,IF(COUNTIFS(実績!$W$6:$W$505,AX$3,実績!$AI$6:$AI$505,"&lt;="&amp;$A183,実績!$AJ$6:$AJ$505,"&gt;"&amp;$A183,実績!$AK$6:$AK$505,"○")&gt;0,1,0))</f>
        <v>0</v>
      </c>
      <c r="AY183" s="39" t="n">
        <f aca="false">IF(AY$4=0,0,IF(COUNTIFS(実績!$W$6:$W$505,AY$3,実績!$AI$6:$AI$505,"&lt;="&amp;$A183,実績!$AJ$6:$AJ$505,"&gt;"&amp;$A183,実績!$AK$6:$AK$505,"○")&gt;0,1,0))</f>
        <v>0</v>
      </c>
      <c r="AZ183" s="39" t="n">
        <f aca="false">IF(AZ$4=0,0,IF(COUNTIFS(実績!$W$6:$W$505,AZ$3,実績!$AI$6:$AI$505,"&lt;="&amp;$A183,実績!$AJ$6:$AJ$505,"&gt;"&amp;$A183,実績!$AK$6:$AK$505,"○")&gt;0,1,0))</f>
        <v>0</v>
      </c>
      <c r="BA183" s="39" t="n">
        <f aca="false">IF(BA$4=0,0,IF(COUNTIFS(実績!$W$6:$W$505,BA$3,実績!$AI$6:$AI$505,"&lt;="&amp;$A183,実績!$AJ$6:$AJ$505,"&gt;"&amp;$A183,実績!$AK$6:$AK$505,"○")&gt;0,1,0))</f>
        <v>0</v>
      </c>
      <c r="BB183" s="39" t="n">
        <f aca="false">IF(BB$4=0,0,IF(COUNTIFS(実績!$W$6:$W$505,BB$3,実績!$AI$6:$AI$505,"&lt;="&amp;$A183,実績!$AJ$6:$AJ$505,"&gt;"&amp;$A183,実績!$AK$6:$AK$505,"○")&gt;0,1,0))</f>
        <v>0</v>
      </c>
      <c r="BC183" s="39" t="n">
        <f aca="false">IF(BC$4=0,0,IF(COUNTIFS(実績!$W$6:$W$505,BC$3,実績!$AI$6:$AI$505,"&lt;="&amp;$A183,実績!$AJ$6:$AJ$505,"&gt;"&amp;$A183,実績!$AK$6:$AK$505,"○")&gt;0,1,0))</f>
        <v>0</v>
      </c>
      <c r="BD183" s="39" t="n">
        <f aca="false">IF(BD$4=0,0,IF(COUNTIFS(実績!$W$6:$W$505,BD$3,実績!$AI$6:$AI$505,"&lt;="&amp;$A183,実績!$AJ$6:$AJ$505,"&gt;"&amp;$A183,実績!$AK$6:$AK$505,"○")&gt;0,1,0))</f>
        <v>0</v>
      </c>
      <c r="BE183" s="39" t="n">
        <f aca="false">IF(BE$4=0,0,IF(COUNTIFS(実績!$W$6:$W$505,BE$3,実績!$AI$6:$AI$505,"&lt;="&amp;$A183,実績!$AJ$6:$AJ$505,"&gt;"&amp;$A183,実績!$AK$6:$AK$505,"○")&gt;0,1,0))</f>
        <v>0</v>
      </c>
      <c r="BF183" s="39" t="n">
        <f aca="false">IF(BF$4=0,0,IF(COUNTIFS(実績!$W$6:$W$505,BF$3,実績!$AI$6:$AI$505,"&lt;="&amp;$A183,実績!$AJ$6:$AJ$505,"&gt;"&amp;$A183,実績!$AK$6:$AK$505,"○")&gt;0,1,0))</f>
        <v>0</v>
      </c>
      <c r="BG183" s="39" t="n">
        <f aca="false">IF(BG$4=0,0,IF(COUNTIFS(実績!$W$6:$W$505,BG$3,実績!$AI$6:$AI$505,"&lt;="&amp;$A183,実績!$AJ$6:$AJ$505,"&gt;"&amp;$A183,実績!$AK$6:$AK$505,"○")&gt;0,1,0))</f>
        <v>0</v>
      </c>
      <c r="BH183" s="39" t="n">
        <f aca="false">IF(BH$4=0,0,IF(COUNTIFS(実績!$W$6:$W$505,BH$3,実績!$AI$6:$AI$505,"&lt;="&amp;$A183,実績!$AJ$6:$AJ$505,"&gt;"&amp;$A183,実績!$AK$6:$AK$505,"○")&gt;0,1,0))</f>
        <v>0</v>
      </c>
      <c r="BI183" s="39" t="n">
        <f aca="false">IF(BI$4=0,0,IF(COUNTIFS(実績!$W$6:$W$505,BI$3,実績!$AI$6:$AI$505,"&lt;="&amp;$A183,実績!$AJ$6:$AJ$505,"&gt;"&amp;$A183,実績!$AK$6:$AK$505,"○")&gt;0,1,0))</f>
        <v>0</v>
      </c>
      <c r="BJ183" s="39" t="n">
        <f aca="false">IF(BJ$4=0,0,IF(COUNTIFS(実績!$W$6:$W$505,BJ$3,実績!$AI$6:$AI$505,"&lt;="&amp;$A183,実績!$AJ$6:$AJ$505,"&gt;"&amp;$A183,実績!$AK$6:$AK$505,"○")&gt;0,1,0))</f>
        <v>0</v>
      </c>
      <c r="BK183" s="39" t="n">
        <f aca="false">IF(BK$4=0,0,IF(COUNTIFS(実績!$W$6:$W$505,BK$3,実績!$AI$6:$AI$505,"&lt;="&amp;$A183,実績!$AJ$6:$AJ$505,"&gt;"&amp;$A183,実績!$AK$6:$AK$505,"○")&gt;0,1,0))</f>
        <v>0</v>
      </c>
      <c r="BL183" s="39" t="n">
        <f aca="false">IF(BL$4=0,0,IF(COUNTIFS(実績!$W$6:$W$505,BL$3,実績!$AI$6:$AI$505,"&lt;="&amp;$A183,実績!$AJ$6:$AJ$505,"&gt;"&amp;$A183,実績!$AK$6:$AK$505,"○")&gt;0,1,0))</f>
        <v>0</v>
      </c>
      <c r="BM183" s="39" t="n">
        <f aca="false">IF(BM$4=0,0,IF(COUNTIFS(実績!$W$6:$W$505,BM$3,実績!$AI$6:$AI$505,"&lt;="&amp;$A183,実績!$AJ$6:$AJ$505,"&gt;"&amp;$A183,実績!$AK$6:$AK$505,"○")&gt;0,1,0))</f>
        <v>0</v>
      </c>
      <c r="BN183" s="39" t="n">
        <f aca="false">IF(BN$4=0,0,IF(COUNTIFS(実績!$W$6:$W$505,BN$3,実績!$AI$6:$AI$505,"&lt;="&amp;$A183,実績!$AJ$6:$AJ$505,"&gt;"&amp;$A183,実績!$AK$6:$AK$505,"○")&gt;0,1,0))</f>
        <v>0</v>
      </c>
      <c r="BO183" s="39" t="n">
        <f aca="false">IF(BO$4=0,0,IF(COUNTIFS(実績!$W$6:$W$505,BO$3,実績!$AI$6:$AI$505,"&lt;="&amp;$A183,実績!$AJ$6:$AJ$505,"&gt;"&amp;$A183,実績!$AK$6:$AK$505,"○")&gt;0,1,0))</f>
        <v>0</v>
      </c>
      <c r="BP183" s="39" t="n">
        <f aca="false">IF(BP$4=0,0,IF(COUNTIFS(実績!$W$6:$W$505,BP$3,実績!$AI$6:$AI$505,"&lt;="&amp;$A183,実績!$AJ$6:$AJ$505,"&gt;"&amp;$A183,実績!$AK$6:$AK$505,"○")&gt;0,1,0))</f>
        <v>0</v>
      </c>
      <c r="BQ183" s="39" t="n">
        <f aca="false">IF(BQ$4=0,0,IF(COUNTIFS(実績!$W$6:$W$505,BQ$3,実績!$AI$6:$AI$505,"&lt;="&amp;$A183,実績!$AJ$6:$AJ$505,"&gt;"&amp;$A183,実績!$AK$6:$AK$505,"○")&gt;0,1,0))</f>
        <v>0</v>
      </c>
      <c r="BR183" s="39" t="n">
        <f aca="false">IF(BR$4=0,0,IF(COUNTIFS(実績!$W$6:$W$505,BR$3,実績!$AI$6:$AI$505,"&lt;="&amp;$A183,実績!$AJ$6:$AJ$505,"&gt;"&amp;$A183,実績!$AK$6:$AK$505,"○")&gt;0,1,0))</f>
        <v>0</v>
      </c>
      <c r="BS183" s="39" t="n">
        <f aca="false">IF(BS$4=0,0,IF(COUNTIFS(実績!$W$6:$W$505,BS$3,実績!$AI$6:$AI$505,"&lt;="&amp;$A183,実績!$AJ$6:$AJ$505,"&gt;"&amp;$A183,実績!$AK$6:$AK$505,"○")&gt;0,1,0))</f>
        <v>0</v>
      </c>
      <c r="BT183" s="39" t="n">
        <f aca="false">IF(BT$4=0,0,IF(COUNTIFS(実績!$W$6:$W$505,BT$3,実績!$AI$6:$AI$505,"&lt;="&amp;$A183,実績!$AJ$6:$AJ$505,"&gt;"&amp;$A183,実績!$AK$6:$AK$505,"○")&gt;0,1,0))</f>
        <v>0</v>
      </c>
      <c r="BU183" s="39" t="n">
        <f aca="false">IF(BU$4=0,0,IF(COUNTIFS(実績!$W$6:$W$505,BU$3,実績!$AI$6:$AI$505,"&lt;="&amp;$A183,実績!$AJ$6:$AJ$505,"&gt;"&amp;$A183,実績!$AK$6:$AK$505,"○")&gt;0,1,0))</f>
        <v>0</v>
      </c>
      <c r="BV183" s="39" t="n">
        <f aca="false">IF(BV$4=0,0,IF(COUNTIFS(実績!$W$6:$W$505,BV$3,実績!$AI$6:$AI$505,"&lt;="&amp;$A183,実績!$AJ$6:$AJ$505,"&gt;"&amp;$A183,実績!$AK$6:$AK$505,"○")&gt;0,1,0))</f>
        <v>0</v>
      </c>
      <c r="BW183" s="39" t="n">
        <f aca="false">IF(BW$4=0,0,IF(COUNTIFS(実績!$W$6:$W$505,BW$3,実績!$AI$6:$AI$505,"&lt;="&amp;$A183,実績!$AJ$6:$AJ$505,"&gt;"&amp;$A183,実績!$AK$6:$AK$505,"○")&gt;0,1,0))</f>
        <v>0</v>
      </c>
      <c r="BX183" s="39" t="n">
        <f aca="false">IF(BX$4=0,0,IF(COUNTIFS(実績!$W$6:$W$505,BX$3,実績!$AI$6:$AI$505,"&lt;="&amp;$A183,実績!$AJ$6:$AJ$505,"&gt;"&amp;$A183,実績!$AK$6:$AK$505,"○")&gt;0,1,0))</f>
        <v>0</v>
      </c>
      <c r="BY183" s="39" t="n">
        <f aca="false">IF(BY$4=0,0,IF(COUNTIFS(実績!$W$6:$W$505,BY$3,実績!$AI$6:$AI$505,"&lt;="&amp;$A183,実績!$AJ$6:$AJ$505,"&gt;"&amp;$A183,実績!$AK$6:$AK$505,"○")&gt;0,1,0))</f>
        <v>0</v>
      </c>
      <c r="BZ183" s="39" t="n">
        <f aca="false">IF(BZ$4=0,0,IF(COUNTIFS(実績!$W$6:$W$505,BZ$3,実績!$AI$6:$AI$505,"&lt;="&amp;$A183,実績!$AJ$6:$AJ$505,"&gt;"&amp;$A183,実績!$AK$6:$AK$505,"○")&gt;0,1,0))</f>
        <v>0</v>
      </c>
      <c r="CA183" s="39" t="n">
        <f aca="false">IF(CA$4=0,0,IF(COUNTIFS(実績!$W$6:$W$505,CA$3,実績!$AI$6:$AI$505,"&lt;="&amp;$A183,実績!$AJ$6:$AJ$505,"&gt;"&amp;$A183,実績!$AK$6:$AK$505,"○")&gt;0,1,0))</f>
        <v>0</v>
      </c>
      <c r="CB183" s="39" t="n">
        <f aca="false">IF(CB$4=0,0,IF(COUNTIFS(実績!$W$6:$W$505,CB$3,実績!$AI$6:$AI$505,"&lt;="&amp;$A183,実績!$AJ$6:$AJ$505,"&gt;"&amp;$A183,実績!$AK$6:$AK$505,"○")&gt;0,1,0))</f>
        <v>0</v>
      </c>
      <c r="CC183" s="39" t="n">
        <f aca="false">IF(CC$4=0,0,IF(COUNTIFS(実績!$W$6:$W$505,CC$3,実績!$AI$6:$AI$505,"&lt;="&amp;$A183,実績!$AJ$6:$AJ$505,"&gt;"&amp;$A183,実績!$AK$6:$AK$505,"○")&gt;0,1,0))</f>
        <v>0</v>
      </c>
      <c r="CD183" s="39" t="n">
        <f aca="false">IF(CD$4=0,0,IF(COUNTIFS(実績!$W$6:$W$505,CD$3,実績!$AI$6:$AI$505,"&lt;="&amp;$A183,実績!$AJ$6:$AJ$505,"&gt;"&amp;$A183,実績!$AK$6:$AK$505,"○")&gt;0,1,0))</f>
        <v>0</v>
      </c>
      <c r="CE183" s="39" t="n">
        <f aca="false">IF(CE$4=0,0,IF(COUNTIFS(実績!$W$6:$W$505,CE$3,実績!$AI$6:$AI$505,"&lt;="&amp;$A183,実績!$AJ$6:$AJ$505,"&gt;"&amp;$A183,実績!$AK$6:$AK$505,"○")&gt;0,1,0))</f>
        <v>0</v>
      </c>
      <c r="CF183" s="39" t="n">
        <f aca="false">IF(CF$4=0,0,IF(COUNTIFS(実績!$W$6:$W$505,CF$3,実績!$AI$6:$AI$505,"&lt;="&amp;$A183,実績!$AJ$6:$AJ$505,"&gt;"&amp;$A183,実績!$AK$6:$AK$505,"○")&gt;0,1,0))</f>
        <v>0</v>
      </c>
      <c r="CG183" s="39" t="n">
        <f aca="false">IF(CG$4=0,0,IF(COUNTIFS(実績!$W$6:$W$505,CG$3,実績!$AI$6:$AI$505,"&lt;="&amp;$A183,実績!$AJ$6:$AJ$505,"&gt;"&amp;$A183,実績!$AK$6:$AK$505,"○")&gt;0,1,0))</f>
        <v>0</v>
      </c>
      <c r="CH183" s="39" t="n">
        <f aca="false">IF(CH$4=0,0,IF(COUNTIFS(実績!$W$6:$W$505,CH$3,実績!$AI$6:$AI$505,"&lt;="&amp;$A183,実績!$AJ$6:$AJ$505,"&gt;"&amp;$A183,実績!$AK$6:$AK$505,"○")&gt;0,1,0))</f>
        <v>0</v>
      </c>
      <c r="CI183" s="39" t="n">
        <f aca="false">IF(CI$4=0,0,IF(COUNTIFS(実績!$W$6:$W$505,CI$3,実績!$AI$6:$AI$505,"&lt;="&amp;$A183,実績!$AJ$6:$AJ$505,"&gt;"&amp;$A183,実績!$AK$6:$AK$505,"○")&gt;0,1,0))</f>
        <v>0</v>
      </c>
      <c r="CJ183" s="39" t="n">
        <f aca="false">IF(CJ$4=0,0,IF(COUNTIFS(実績!$W$6:$W$505,CJ$3,実績!$AI$6:$AI$505,"&lt;="&amp;$A183,実績!$AJ$6:$AJ$505,"&gt;"&amp;$A183,実績!$AK$6:$AK$505,"○")&gt;0,1,0))</f>
        <v>0</v>
      </c>
      <c r="CK183" s="39" t="n">
        <f aca="false">IF(CK$4=0,0,IF(COUNTIFS(実績!$W$6:$W$505,CK$3,実績!$AI$6:$AI$505,"&lt;="&amp;$A183,実績!$AJ$6:$AJ$505,"&gt;"&amp;$A183,実績!$AK$6:$AK$505,"○")&gt;0,1,0))</f>
        <v>0</v>
      </c>
      <c r="CL183" s="39" t="n">
        <f aca="false">IF(CL$4=0,0,IF(COUNTIFS(実績!$W$6:$W$505,CL$3,実績!$AI$6:$AI$505,"&lt;="&amp;$A183,実績!$AJ$6:$AJ$505,"&gt;"&amp;$A183,実績!$AK$6:$AK$505,"○")&gt;0,1,0))</f>
        <v>0</v>
      </c>
      <c r="CM183" s="39" t="n">
        <f aca="false">IF(CM$4=0,0,IF(COUNTIFS(実績!$W$6:$W$505,CM$3,実績!$AI$6:$AI$505,"&lt;="&amp;$A183,実績!$AJ$6:$AJ$505,"&gt;"&amp;$A183,実績!$AK$6:$AK$505,"○")&gt;0,1,0))</f>
        <v>0</v>
      </c>
      <c r="CN183" s="39" t="n">
        <f aca="false">IF(CN$4=0,0,IF(COUNTIFS(実績!$W$6:$W$505,CN$3,実績!$AI$6:$AI$505,"&lt;="&amp;$A183,実績!$AJ$6:$AJ$505,"&gt;"&amp;$A183,実績!$AK$6:$AK$505,"○")&gt;0,1,0))</f>
        <v>0</v>
      </c>
      <c r="CO183" s="39" t="n">
        <f aca="false">IF(CO$4=0,0,IF(COUNTIFS(実績!$W$6:$W$505,CO$3,実績!$AI$6:$AI$505,"&lt;="&amp;$A183,実績!$AJ$6:$AJ$505,"&gt;"&amp;$A183,実績!$AK$6:$AK$505,"○")&gt;0,1,0))</f>
        <v>0</v>
      </c>
      <c r="CP183" s="39" t="n">
        <f aca="false">IF(CP$4=0,0,IF(COUNTIFS(実績!$W$6:$W$505,CP$3,実績!$AI$6:$AI$505,"&lt;="&amp;$A183,実績!$AJ$6:$AJ$505,"&gt;"&amp;$A183,実績!$AK$6:$AK$505,"○")&gt;0,1,0))</f>
        <v>0</v>
      </c>
      <c r="CQ183" s="39" t="n">
        <f aca="false">IF(CQ$4=0,0,IF(COUNTIFS(実績!$W$6:$W$505,CQ$3,実績!$AI$6:$AI$505,"&lt;="&amp;$A183,実績!$AJ$6:$AJ$505,"&gt;"&amp;$A183,実績!$AK$6:$AK$505,"○")&gt;0,1,0))</f>
        <v>0</v>
      </c>
      <c r="CR183" s="39" t="n">
        <f aca="false">IF(CR$4=0,0,IF(COUNTIFS(実績!$W$6:$W$505,CR$3,実績!$AI$6:$AI$505,"&lt;="&amp;$A183,実績!$AJ$6:$AJ$505,"&gt;"&amp;$A183,実績!$AK$6:$AK$505,"○")&gt;0,1,0))</f>
        <v>0</v>
      </c>
      <c r="CS183" s="39" t="n">
        <f aca="false">IF(CS$4=0,0,IF(COUNTIFS(実績!$W$6:$W$505,CS$3,実績!$AI$6:$AI$505,"&lt;="&amp;$A183,実績!$AJ$6:$AJ$505,"&gt;"&amp;$A183,実績!$AK$6:$AK$505,"○")&gt;0,1,0))</f>
        <v>0</v>
      </c>
      <c r="CT183" s="39" t="n">
        <f aca="false">IF(CT$4=0,0,IF(COUNTIFS(実績!$W$6:$W$505,CT$3,実績!$AI$6:$AI$505,"&lt;="&amp;$A183,実績!$AJ$6:$AJ$505,"&gt;"&amp;$A183,実績!$AK$6:$AK$505,"○")&gt;0,1,0))</f>
        <v>0</v>
      </c>
      <c r="CU183" s="39" t="n">
        <f aca="false">IF(CU$4=0,0,IF(COUNTIFS(実績!$W$6:$W$505,CU$3,実績!$AI$6:$AI$505,"&lt;="&amp;$A183,実績!$AJ$6:$AJ$505,"&gt;"&amp;$A183,実績!$AK$6:$AK$505,"○")&gt;0,1,0))</f>
        <v>0</v>
      </c>
      <c r="CV183" s="39" t="n">
        <f aca="false">IF(CV$4=0,0,IF(COUNTIFS(実績!$W$6:$W$505,CV$3,実績!$AI$6:$AI$505,"&lt;="&amp;$A183,実績!$AJ$6:$AJ$505,"&gt;"&amp;$A183,実績!$AK$6:$AK$505,"○")&gt;0,1,0))</f>
        <v>0</v>
      </c>
      <c r="CW183" s="39" t="n">
        <f aca="false">IF(CW$4=0,0,IF(COUNTIFS(実績!$W$6:$W$505,CW$3,実績!$AI$6:$AI$505,"&lt;="&amp;$A183,実績!$AJ$6:$AJ$505,"&gt;"&amp;$A183,実績!$AK$6:$AK$505,"○")&gt;0,1,0))</f>
        <v>0</v>
      </c>
      <c r="CX183" s="39" t="n">
        <f aca="false">IF(CX$4=0,0,IF(COUNTIFS(実績!$W$6:$W$505,CX$3,実績!$AI$6:$AI$505,"&lt;="&amp;$A183,実績!$AJ$6:$AJ$505,"&gt;"&amp;$A183,実績!$AK$6:$AK$505,"○")&gt;0,1,0))</f>
        <v>0</v>
      </c>
      <c r="CY183" s="39" t="n">
        <f aca="false">IF(CY$4=0,0,IF(COUNTIFS(実績!$W$6:$W$505,CY$3,実績!$AI$6:$AI$505,"&lt;="&amp;$A183,実績!$AJ$6:$AJ$505,"&gt;"&amp;$A183,実績!$AK$6:$AK$505,"○")&gt;0,1,0))</f>
        <v>0</v>
      </c>
      <c r="CZ183" s="39" t="n">
        <f aca="false">IF(CZ$4=0,0,IF(COUNTIFS(実績!$W$6:$W$505,CZ$3,実績!$AI$6:$AI$505,"&lt;="&amp;$A183,実績!$AJ$6:$AJ$505,"&gt;"&amp;$A183,実績!$AK$6:$AK$505,"○")&gt;0,1,0))</f>
        <v>0</v>
      </c>
      <c r="DA183" s="39" t="n">
        <f aca="false">IF(DA$4=0,0,IF(COUNTIFS(実績!$W$6:$W$505,DA$3,実績!$AI$6:$AI$505,"&lt;="&amp;$A183,実績!$AJ$6:$AJ$505,"&gt;"&amp;$A183,実績!$AK$6:$AK$505,"○")&gt;0,1,0))</f>
        <v>0</v>
      </c>
      <c r="DB183" s="39" t="n">
        <f aca="false">IF(DB$4=0,0,IF(COUNTIFS(実績!$W$6:$W$505,DB$3,実績!$AI$6:$AI$505,"&lt;="&amp;$A183,実績!$AJ$6:$AJ$505,"&gt;"&amp;$A183,実績!$AK$6:$AK$505,"○")&gt;0,1,0))</f>
        <v>0</v>
      </c>
      <c r="DC183" s="39" t="n">
        <f aca="false">IF(DC$4=0,0,IF(COUNTIFS(実績!$W$6:$W$505,DC$3,実績!$AI$6:$AI$505,"&lt;="&amp;$A183,実績!$AJ$6:$AJ$505,"&gt;"&amp;$A183,実績!$AK$6:$AK$505,"○")&gt;0,1,0))</f>
        <v>0</v>
      </c>
      <c r="DD183" s="39" t="n">
        <f aca="false">IF(DD$4=0,0,IF(COUNTIFS(実績!$W$6:$W$505,DD$3,実績!$AI$6:$AI$505,"&lt;="&amp;$A183,実績!$AJ$6:$AJ$505,"&gt;"&amp;$A183,実績!$AK$6:$AK$505,"○")&gt;0,1,0))</f>
        <v>0</v>
      </c>
      <c r="DE183" s="39" t="n">
        <f aca="false">IF(DE$4=0,0,IF(COUNTIFS(実績!$W$6:$W$505,DE$3,実績!$AI$6:$AI$505,"&lt;="&amp;$A183,実績!$AJ$6:$AJ$505,"&gt;"&amp;$A183,実績!$AK$6:$AK$505,"○")&gt;0,1,0))</f>
        <v>0</v>
      </c>
      <c r="DF183" s="39" t="n">
        <f aca="false">IF(DF$4=0,0,IF(COUNTIFS(実績!$W$6:$W$505,DF$3,実績!$AI$6:$AI$505,"&lt;="&amp;$A183,実績!$AJ$6:$AJ$505,"&gt;"&amp;$A183,実績!$AK$6:$AK$505,"○")&gt;0,1,0))</f>
        <v>0</v>
      </c>
      <c r="DG183" s="39" t="n">
        <f aca="false">IF(DG$4=0,0,IF(COUNTIFS(実績!$W$6:$W$505,DG$3,実績!$AI$6:$AI$505,"&lt;="&amp;$A183,実績!$AJ$6:$AJ$505,"&gt;"&amp;$A183,実績!$AK$6:$AK$505,"○")&gt;0,1,0))</f>
        <v>0</v>
      </c>
      <c r="DH183" s="39" t="n">
        <f aca="false">IF(DH$4=0,0,IF(COUNTIFS(実績!$W$6:$W$505,DH$3,実績!$AI$6:$AI$505,"&lt;="&amp;$A183,実績!$AJ$6:$AJ$505,"&gt;"&amp;$A183,実績!$AK$6:$AK$505,"○")&gt;0,1,0))</f>
        <v>0</v>
      </c>
      <c r="DI183" s="39" t="n">
        <f aca="false">IF(DI$4=0,0,IF(COUNTIFS(実績!$W$6:$W$505,DI$3,実績!$AI$6:$AI$505,"&lt;="&amp;$A183,実績!$AJ$6:$AJ$505,"&gt;"&amp;$A183,実績!$AK$6:$AK$505,"○")&gt;0,1,0))</f>
        <v>0</v>
      </c>
      <c r="DJ183" s="39" t="n">
        <f aca="false">IF(DJ$4=0,0,IF(COUNTIFS(実績!$W$6:$W$505,DJ$3,実績!$AI$6:$AI$505,"&lt;="&amp;$A183,実績!$AJ$6:$AJ$505,"&gt;"&amp;$A183,実績!$AK$6:$AK$505,"○")&gt;0,1,0))</f>
        <v>0</v>
      </c>
      <c r="DK183" s="39" t="n">
        <f aca="false">IF(DK$4=0,0,IF(COUNTIFS(実績!$W$6:$W$505,DK$3,実績!$AI$6:$AI$505,"&lt;="&amp;$A183,実績!$AJ$6:$AJ$505,"&gt;"&amp;$A183,実績!$AK$6:$AK$505,"○")&gt;0,1,0))</f>
        <v>0</v>
      </c>
      <c r="DL183" s="39" t="n">
        <f aca="false">IF(DL$4=0,0,IF(COUNTIFS(実績!$W$6:$W$505,DL$3,実績!$AI$6:$AI$505,"&lt;="&amp;$A183,実績!$AJ$6:$AJ$505,"&gt;"&amp;$A183,実績!$AK$6:$AK$505,"○")&gt;0,1,0))</f>
        <v>0</v>
      </c>
      <c r="DM183" s="39" t="n">
        <f aca="false">IF(DM$4=0,0,IF(COUNTIFS(実績!$W$6:$W$505,DM$3,実績!$AI$6:$AI$505,"&lt;="&amp;$A183,実績!$AJ$6:$AJ$505,"&gt;"&amp;$A183,実績!$AK$6:$AK$505,"○")&gt;0,1,0))</f>
        <v>0</v>
      </c>
      <c r="DN183" s="39" t="n">
        <f aca="false">IF(DN$4=0,0,IF(COUNTIFS(実績!$W$6:$W$505,DN$3,実績!$AI$6:$AI$505,"&lt;="&amp;$A183,実績!$AJ$6:$AJ$505,"&gt;"&amp;$A183,実績!$AK$6:$AK$505,"○")&gt;0,1,0))</f>
        <v>0</v>
      </c>
      <c r="DO183" s="39" t="n">
        <f aca="false">IF(DO$4=0,0,IF(COUNTIFS(実績!$W$6:$W$505,DO$3,実績!$AI$6:$AI$505,"&lt;="&amp;$A183,実績!$AJ$6:$AJ$505,"&gt;"&amp;$A183,実績!$AK$6:$AK$505,"○")&gt;0,1,0))</f>
        <v>0</v>
      </c>
      <c r="DP183" s="39" t="n">
        <f aca="false">IF(DP$4=0,0,IF(COUNTIFS(実績!$W$6:$W$505,DP$3,実績!$AI$6:$AI$505,"&lt;="&amp;$A183,実績!$AJ$6:$AJ$505,"&gt;"&amp;$A183,実績!$AK$6:$AK$505,"○")&gt;0,1,0))</f>
        <v>0</v>
      </c>
      <c r="DQ183" s="39" t="n">
        <f aca="false">IF(DQ$4=0,0,IF(COUNTIFS(実績!$W$6:$W$505,DQ$3,実績!$AI$6:$AI$505,"&lt;="&amp;$A183,実績!$AJ$6:$AJ$505,"&gt;"&amp;$A183,実績!$AK$6:$AK$505,"○")&gt;0,1,0))</f>
        <v>0</v>
      </c>
      <c r="DR183" s="39" t="n">
        <f aca="false">IF(DR$4=0,0,IF(COUNTIFS(実績!$W$6:$W$505,DR$3,実績!$AI$6:$AI$505,"&lt;="&amp;$A183,実績!$AJ$6:$AJ$505,"&gt;"&amp;$A183,実績!$AK$6:$AK$505,"○")&gt;0,1,0))</f>
        <v>0</v>
      </c>
      <c r="DS183" s="39" t="n">
        <f aca="false">SUM(C183:DR183)</f>
        <v>0</v>
      </c>
      <c r="DT183" s="39" t="n">
        <f aca="false">SUMPRODUCT((実績!$C$6:$C$505="○")*ISNUMBER(実績!$AM$6:$AM$505)*(実績!$AM$6:$AM$505&lt;=$A183)*(実績!$AN$6:$AN$505&gt;$A183))</f>
        <v>0</v>
      </c>
      <c r="DU183" s="39" t="n">
        <f aca="false">SUMIF($C$2:$DR$2,"製鉄曳船",C183:DR183)</f>
        <v>0</v>
      </c>
      <c r="DV183" s="39" t="n">
        <f aca="false">SUMIF($C$2:$DR$2,"西日本海運",C183:DR183)</f>
        <v>0</v>
      </c>
    </row>
    <row r="184" customFormat="false" ht="15" hidden="false" customHeight="false" outlineLevel="0" collapsed="false">
      <c r="A184" s="0" t="n">
        <v>890</v>
      </c>
      <c r="B184" s="38" t="n">
        <f aca="false">A184/1440</f>
        <v>0.618055555555556</v>
      </c>
      <c r="C184" s="39" t="n">
        <f aca="false">IF(C$4=0,0,IF(COUNTIFS(実績!$W$6:$W$505,C$3,実績!$AI$6:$AI$505,"&lt;="&amp;$A184,実績!$AJ$6:$AJ$505,"&gt;"&amp;$A184,実績!$AK$6:$AK$505,"○")&gt;0,1,0))</f>
        <v>0</v>
      </c>
      <c r="D184" s="39" t="n">
        <f aca="false">IF(D$4=0,0,IF(COUNTIFS(実績!$W$6:$W$505,D$3,実績!$AI$6:$AI$505,"&lt;="&amp;$A184,実績!$AJ$6:$AJ$505,"&gt;"&amp;$A184,実績!$AK$6:$AK$505,"○")&gt;0,1,0))</f>
        <v>0</v>
      </c>
      <c r="E184" s="39" t="n">
        <f aca="false">IF(E$4=0,0,IF(COUNTIFS(実績!$W$6:$W$505,E$3,実績!$AI$6:$AI$505,"&lt;="&amp;$A184,実績!$AJ$6:$AJ$505,"&gt;"&amp;$A184,実績!$AK$6:$AK$505,"○")&gt;0,1,0))</f>
        <v>0</v>
      </c>
      <c r="F184" s="39" t="n">
        <f aca="false">IF(F$4=0,0,IF(COUNTIFS(実績!$W$6:$W$505,F$3,実績!$AI$6:$AI$505,"&lt;="&amp;$A184,実績!$AJ$6:$AJ$505,"&gt;"&amp;$A184,実績!$AK$6:$AK$505,"○")&gt;0,1,0))</f>
        <v>0</v>
      </c>
      <c r="G184" s="39" t="n">
        <f aca="false">IF(G$4=0,0,IF(COUNTIFS(実績!$W$6:$W$505,G$3,実績!$AI$6:$AI$505,"&lt;="&amp;$A184,実績!$AJ$6:$AJ$505,"&gt;"&amp;$A184,実績!$AK$6:$AK$505,"○")&gt;0,1,0))</f>
        <v>0</v>
      </c>
      <c r="H184" s="39" t="n">
        <f aca="false">IF(H$4=0,0,IF(COUNTIFS(実績!$W$6:$W$505,H$3,実績!$AI$6:$AI$505,"&lt;="&amp;$A184,実績!$AJ$6:$AJ$505,"&gt;"&amp;$A184,実績!$AK$6:$AK$505,"○")&gt;0,1,0))</f>
        <v>0</v>
      </c>
      <c r="I184" s="39" t="n">
        <f aca="false">IF(I$4=0,0,IF(COUNTIFS(実績!$W$6:$W$505,I$3,実績!$AI$6:$AI$505,"&lt;="&amp;$A184,実績!$AJ$6:$AJ$505,"&gt;"&amp;$A184,実績!$AK$6:$AK$505,"○")&gt;0,1,0))</f>
        <v>0</v>
      </c>
      <c r="J184" s="39" t="n">
        <f aca="false">IF(J$4=0,0,IF(COUNTIFS(実績!$W$6:$W$505,J$3,実績!$AI$6:$AI$505,"&lt;="&amp;$A184,実績!$AJ$6:$AJ$505,"&gt;"&amp;$A184,実績!$AK$6:$AK$505,"○")&gt;0,1,0))</f>
        <v>0</v>
      </c>
      <c r="K184" s="39" t="n">
        <f aca="false">IF(K$4=0,0,IF(COUNTIFS(実績!$W$6:$W$505,K$3,実績!$AI$6:$AI$505,"&lt;="&amp;$A184,実績!$AJ$6:$AJ$505,"&gt;"&amp;$A184,実績!$AK$6:$AK$505,"○")&gt;0,1,0))</f>
        <v>0</v>
      </c>
      <c r="L184" s="39" t="n">
        <f aca="false">IF(L$4=0,0,IF(COUNTIFS(実績!$W$6:$W$505,L$3,実績!$AI$6:$AI$505,"&lt;="&amp;$A184,実績!$AJ$6:$AJ$505,"&gt;"&amp;$A184,実績!$AK$6:$AK$505,"○")&gt;0,1,0))</f>
        <v>0</v>
      </c>
      <c r="M184" s="39" t="n">
        <f aca="false">IF(M$4=0,0,IF(COUNTIFS(実績!$W$6:$W$505,M$3,実績!$AI$6:$AI$505,"&lt;="&amp;$A184,実績!$AJ$6:$AJ$505,"&gt;"&amp;$A184,実績!$AK$6:$AK$505,"○")&gt;0,1,0))</f>
        <v>0</v>
      </c>
      <c r="N184" s="39" t="n">
        <f aca="false">IF(N$4=0,0,IF(COUNTIFS(実績!$W$6:$W$505,N$3,実績!$AI$6:$AI$505,"&lt;="&amp;$A184,実績!$AJ$6:$AJ$505,"&gt;"&amp;$A184,実績!$AK$6:$AK$505,"○")&gt;0,1,0))</f>
        <v>0</v>
      </c>
      <c r="O184" s="39" t="n">
        <f aca="false">IF(O$4=0,0,IF(COUNTIFS(実績!$W$6:$W$505,O$3,実績!$AI$6:$AI$505,"&lt;="&amp;$A184,実績!$AJ$6:$AJ$505,"&gt;"&amp;$A184,実績!$AK$6:$AK$505,"○")&gt;0,1,0))</f>
        <v>0</v>
      </c>
      <c r="P184" s="39" t="n">
        <f aca="false">IF(P$4=0,0,IF(COUNTIFS(実績!$W$6:$W$505,P$3,実績!$AI$6:$AI$505,"&lt;="&amp;$A184,実績!$AJ$6:$AJ$505,"&gt;"&amp;$A184,実績!$AK$6:$AK$505,"○")&gt;0,1,0))</f>
        <v>0</v>
      </c>
      <c r="Q184" s="39" t="n">
        <f aca="false">IF(Q$4=0,0,IF(COUNTIFS(実績!$W$6:$W$505,Q$3,実績!$AI$6:$AI$505,"&lt;="&amp;$A184,実績!$AJ$6:$AJ$505,"&gt;"&amp;$A184,実績!$AK$6:$AK$505,"○")&gt;0,1,0))</f>
        <v>0</v>
      </c>
      <c r="R184" s="39" t="n">
        <f aca="false">IF(R$4=0,0,IF(COUNTIFS(実績!$W$6:$W$505,R$3,実績!$AI$6:$AI$505,"&lt;="&amp;$A184,実績!$AJ$6:$AJ$505,"&gt;"&amp;$A184,実績!$AK$6:$AK$505,"○")&gt;0,1,0))</f>
        <v>0</v>
      </c>
      <c r="S184" s="39" t="n">
        <f aca="false">IF(S$4=0,0,IF(COUNTIFS(実績!$W$6:$W$505,S$3,実績!$AI$6:$AI$505,"&lt;="&amp;$A184,実績!$AJ$6:$AJ$505,"&gt;"&amp;$A184,実績!$AK$6:$AK$505,"○")&gt;0,1,0))</f>
        <v>0</v>
      </c>
      <c r="T184" s="39" t="n">
        <f aca="false">IF(T$4=0,0,IF(COUNTIFS(実績!$W$6:$W$505,T$3,実績!$AI$6:$AI$505,"&lt;="&amp;$A184,実績!$AJ$6:$AJ$505,"&gt;"&amp;$A184,実績!$AK$6:$AK$505,"○")&gt;0,1,0))</f>
        <v>0</v>
      </c>
      <c r="U184" s="39" t="n">
        <f aca="false">IF(U$4=0,0,IF(COUNTIFS(実績!$W$6:$W$505,U$3,実績!$AI$6:$AI$505,"&lt;="&amp;$A184,実績!$AJ$6:$AJ$505,"&gt;"&amp;$A184,実績!$AK$6:$AK$505,"○")&gt;0,1,0))</f>
        <v>0</v>
      </c>
      <c r="V184" s="39" t="n">
        <f aca="false">IF(V$4=0,0,IF(COUNTIFS(実績!$W$6:$W$505,V$3,実績!$AI$6:$AI$505,"&lt;="&amp;$A184,実績!$AJ$6:$AJ$505,"&gt;"&amp;$A184,実績!$AK$6:$AK$505,"○")&gt;0,1,0))</f>
        <v>0</v>
      </c>
      <c r="W184" s="39" t="n">
        <f aca="false">IF(W$4=0,0,IF(COUNTIFS(実績!$W$6:$W$505,W$3,実績!$AI$6:$AI$505,"&lt;="&amp;$A184,実績!$AJ$6:$AJ$505,"&gt;"&amp;$A184,実績!$AK$6:$AK$505,"○")&gt;0,1,0))</f>
        <v>0</v>
      </c>
      <c r="X184" s="39" t="n">
        <f aca="false">IF(X$4=0,0,IF(COUNTIFS(実績!$W$6:$W$505,X$3,実績!$AI$6:$AI$505,"&lt;="&amp;$A184,実績!$AJ$6:$AJ$505,"&gt;"&amp;$A184,実績!$AK$6:$AK$505,"○")&gt;0,1,0))</f>
        <v>0</v>
      </c>
      <c r="Y184" s="39" t="n">
        <f aca="false">IF(Y$4=0,0,IF(COUNTIFS(実績!$W$6:$W$505,Y$3,実績!$AI$6:$AI$505,"&lt;="&amp;$A184,実績!$AJ$6:$AJ$505,"&gt;"&amp;$A184,実績!$AK$6:$AK$505,"○")&gt;0,1,0))</f>
        <v>0</v>
      </c>
      <c r="Z184" s="39" t="n">
        <f aca="false">IF(Z$4=0,0,IF(COUNTIFS(実績!$W$6:$W$505,Z$3,実績!$AI$6:$AI$505,"&lt;="&amp;$A184,実績!$AJ$6:$AJ$505,"&gt;"&amp;$A184,実績!$AK$6:$AK$505,"○")&gt;0,1,0))</f>
        <v>0</v>
      </c>
      <c r="AA184" s="39" t="n">
        <f aca="false">IF(AA$4=0,0,IF(COUNTIFS(実績!$W$6:$W$505,AA$3,実績!$AI$6:$AI$505,"&lt;="&amp;$A184,実績!$AJ$6:$AJ$505,"&gt;"&amp;$A184,実績!$AK$6:$AK$505,"○")&gt;0,1,0))</f>
        <v>0</v>
      </c>
      <c r="AB184" s="39" t="n">
        <f aca="false">IF(AB$4=0,0,IF(COUNTIFS(実績!$W$6:$W$505,AB$3,実績!$AI$6:$AI$505,"&lt;="&amp;$A184,実績!$AJ$6:$AJ$505,"&gt;"&amp;$A184,実績!$AK$6:$AK$505,"○")&gt;0,1,0))</f>
        <v>0</v>
      </c>
      <c r="AC184" s="39" t="n">
        <f aca="false">IF(AC$4=0,0,IF(COUNTIFS(実績!$W$6:$W$505,AC$3,実績!$AI$6:$AI$505,"&lt;="&amp;$A184,実績!$AJ$6:$AJ$505,"&gt;"&amp;$A184,実績!$AK$6:$AK$505,"○")&gt;0,1,0))</f>
        <v>0</v>
      </c>
      <c r="AD184" s="39" t="n">
        <f aca="false">IF(AD$4=0,0,IF(COUNTIFS(実績!$W$6:$W$505,AD$3,実績!$AI$6:$AI$505,"&lt;="&amp;$A184,実績!$AJ$6:$AJ$505,"&gt;"&amp;$A184,実績!$AK$6:$AK$505,"○")&gt;0,1,0))</f>
        <v>0</v>
      </c>
      <c r="AE184" s="39" t="n">
        <f aca="false">IF(AE$4=0,0,IF(COUNTIFS(実績!$W$6:$W$505,AE$3,実績!$AI$6:$AI$505,"&lt;="&amp;$A184,実績!$AJ$6:$AJ$505,"&gt;"&amp;$A184,実績!$AK$6:$AK$505,"○")&gt;0,1,0))</f>
        <v>0</v>
      </c>
      <c r="AF184" s="39" t="n">
        <f aca="false">IF(AF$4=0,0,IF(COUNTIFS(実績!$W$6:$W$505,AF$3,実績!$AI$6:$AI$505,"&lt;="&amp;$A184,実績!$AJ$6:$AJ$505,"&gt;"&amp;$A184,実績!$AK$6:$AK$505,"○")&gt;0,1,0))</f>
        <v>0</v>
      </c>
      <c r="AG184" s="39" t="n">
        <f aca="false">IF(AG$4=0,0,IF(COUNTIFS(実績!$W$6:$W$505,AG$3,実績!$AI$6:$AI$505,"&lt;="&amp;$A184,実績!$AJ$6:$AJ$505,"&gt;"&amp;$A184,実績!$AK$6:$AK$505,"○")&gt;0,1,0))</f>
        <v>0</v>
      </c>
      <c r="AH184" s="39" t="n">
        <f aca="false">IF(AH$4=0,0,IF(COUNTIFS(実績!$W$6:$W$505,AH$3,実績!$AI$6:$AI$505,"&lt;="&amp;$A184,実績!$AJ$6:$AJ$505,"&gt;"&amp;$A184,実績!$AK$6:$AK$505,"○")&gt;0,1,0))</f>
        <v>0</v>
      </c>
      <c r="AI184" s="39" t="n">
        <f aca="false">IF(AI$4=0,0,IF(COUNTIFS(実績!$W$6:$W$505,AI$3,実績!$AI$6:$AI$505,"&lt;="&amp;$A184,実績!$AJ$6:$AJ$505,"&gt;"&amp;$A184,実績!$AK$6:$AK$505,"○")&gt;0,1,0))</f>
        <v>0</v>
      </c>
      <c r="AJ184" s="39" t="n">
        <f aca="false">IF(AJ$4=0,0,IF(COUNTIFS(実績!$W$6:$W$505,AJ$3,実績!$AI$6:$AI$505,"&lt;="&amp;$A184,実績!$AJ$6:$AJ$505,"&gt;"&amp;$A184,実績!$AK$6:$AK$505,"○")&gt;0,1,0))</f>
        <v>0</v>
      </c>
      <c r="AK184" s="39" t="n">
        <f aca="false">IF(AK$4=0,0,IF(COUNTIFS(実績!$W$6:$W$505,AK$3,実績!$AI$6:$AI$505,"&lt;="&amp;$A184,実績!$AJ$6:$AJ$505,"&gt;"&amp;$A184,実績!$AK$6:$AK$505,"○")&gt;0,1,0))</f>
        <v>0</v>
      </c>
      <c r="AL184" s="39" t="n">
        <f aca="false">IF(AL$4=0,0,IF(COUNTIFS(実績!$W$6:$W$505,AL$3,実績!$AI$6:$AI$505,"&lt;="&amp;$A184,実績!$AJ$6:$AJ$505,"&gt;"&amp;$A184,実績!$AK$6:$AK$505,"○")&gt;0,1,0))</f>
        <v>0</v>
      </c>
      <c r="AM184" s="39" t="n">
        <f aca="false">IF(AM$4=0,0,IF(COUNTIFS(実績!$W$6:$W$505,AM$3,実績!$AI$6:$AI$505,"&lt;="&amp;$A184,実績!$AJ$6:$AJ$505,"&gt;"&amp;$A184,実績!$AK$6:$AK$505,"○")&gt;0,1,0))</f>
        <v>0</v>
      </c>
      <c r="AN184" s="39" t="n">
        <f aca="false">IF(AN$4=0,0,IF(COUNTIFS(実績!$W$6:$W$505,AN$3,実績!$AI$6:$AI$505,"&lt;="&amp;$A184,実績!$AJ$6:$AJ$505,"&gt;"&amp;$A184,実績!$AK$6:$AK$505,"○")&gt;0,1,0))</f>
        <v>0</v>
      </c>
      <c r="AO184" s="39" t="n">
        <f aca="false">IF(AO$4=0,0,IF(COUNTIFS(実績!$W$6:$W$505,AO$3,実績!$AI$6:$AI$505,"&lt;="&amp;$A184,実績!$AJ$6:$AJ$505,"&gt;"&amp;$A184,実績!$AK$6:$AK$505,"○")&gt;0,1,0))</f>
        <v>0</v>
      </c>
      <c r="AP184" s="39" t="n">
        <f aca="false">IF(AP$4=0,0,IF(COUNTIFS(実績!$W$6:$W$505,AP$3,実績!$AI$6:$AI$505,"&lt;="&amp;$A184,実績!$AJ$6:$AJ$505,"&gt;"&amp;$A184,実績!$AK$6:$AK$505,"○")&gt;0,1,0))</f>
        <v>0</v>
      </c>
      <c r="AQ184" s="39" t="n">
        <f aca="false">IF(AQ$4=0,0,IF(COUNTIFS(実績!$W$6:$W$505,AQ$3,実績!$AI$6:$AI$505,"&lt;="&amp;$A184,実績!$AJ$6:$AJ$505,"&gt;"&amp;$A184,実績!$AK$6:$AK$505,"○")&gt;0,1,0))</f>
        <v>0</v>
      </c>
      <c r="AR184" s="39" t="n">
        <f aca="false">IF(AR$4=0,0,IF(COUNTIFS(実績!$W$6:$W$505,AR$3,実績!$AI$6:$AI$505,"&lt;="&amp;$A184,実績!$AJ$6:$AJ$505,"&gt;"&amp;$A184,実績!$AK$6:$AK$505,"○")&gt;0,1,0))</f>
        <v>0</v>
      </c>
      <c r="AS184" s="39" t="n">
        <f aca="false">IF(AS$4=0,0,IF(COUNTIFS(実績!$W$6:$W$505,AS$3,実績!$AI$6:$AI$505,"&lt;="&amp;$A184,実績!$AJ$6:$AJ$505,"&gt;"&amp;$A184,実績!$AK$6:$AK$505,"○")&gt;0,1,0))</f>
        <v>0</v>
      </c>
      <c r="AT184" s="39" t="n">
        <f aca="false">IF(AT$4=0,0,IF(COUNTIFS(実績!$W$6:$W$505,AT$3,実績!$AI$6:$AI$505,"&lt;="&amp;$A184,実績!$AJ$6:$AJ$505,"&gt;"&amp;$A184,実績!$AK$6:$AK$505,"○")&gt;0,1,0))</f>
        <v>0</v>
      </c>
      <c r="AU184" s="39" t="n">
        <f aca="false">IF(AU$4=0,0,IF(COUNTIFS(実績!$W$6:$W$505,AU$3,実績!$AI$6:$AI$505,"&lt;="&amp;$A184,実績!$AJ$6:$AJ$505,"&gt;"&amp;$A184,実績!$AK$6:$AK$505,"○")&gt;0,1,0))</f>
        <v>0</v>
      </c>
      <c r="AV184" s="39" t="n">
        <f aca="false">IF(AV$4=0,0,IF(COUNTIFS(実績!$W$6:$W$505,AV$3,実績!$AI$6:$AI$505,"&lt;="&amp;$A184,実績!$AJ$6:$AJ$505,"&gt;"&amp;$A184,実績!$AK$6:$AK$505,"○")&gt;0,1,0))</f>
        <v>0</v>
      </c>
      <c r="AW184" s="39" t="n">
        <f aca="false">IF(AW$4=0,0,IF(COUNTIFS(実績!$W$6:$W$505,AW$3,実績!$AI$6:$AI$505,"&lt;="&amp;$A184,実績!$AJ$6:$AJ$505,"&gt;"&amp;$A184,実績!$AK$6:$AK$505,"○")&gt;0,1,0))</f>
        <v>0</v>
      </c>
      <c r="AX184" s="39" t="n">
        <f aca="false">IF(AX$4=0,0,IF(COUNTIFS(実績!$W$6:$W$505,AX$3,実績!$AI$6:$AI$505,"&lt;="&amp;$A184,実績!$AJ$6:$AJ$505,"&gt;"&amp;$A184,実績!$AK$6:$AK$505,"○")&gt;0,1,0))</f>
        <v>0</v>
      </c>
      <c r="AY184" s="39" t="n">
        <f aca="false">IF(AY$4=0,0,IF(COUNTIFS(実績!$W$6:$W$505,AY$3,実績!$AI$6:$AI$505,"&lt;="&amp;$A184,実績!$AJ$6:$AJ$505,"&gt;"&amp;$A184,実績!$AK$6:$AK$505,"○")&gt;0,1,0))</f>
        <v>0</v>
      </c>
      <c r="AZ184" s="39" t="n">
        <f aca="false">IF(AZ$4=0,0,IF(COUNTIFS(実績!$W$6:$W$505,AZ$3,実績!$AI$6:$AI$505,"&lt;="&amp;$A184,実績!$AJ$6:$AJ$505,"&gt;"&amp;$A184,実績!$AK$6:$AK$505,"○")&gt;0,1,0))</f>
        <v>0</v>
      </c>
      <c r="BA184" s="39" t="n">
        <f aca="false">IF(BA$4=0,0,IF(COUNTIFS(実績!$W$6:$W$505,BA$3,実績!$AI$6:$AI$505,"&lt;="&amp;$A184,実績!$AJ$6:$AJ$505,"&gt;"&amp;$A184,実績!$AK$6:$AK$505,"○")&gt;0,1,0))</f>
        <v>0</v>
      </c>
      <c r="BB184" s="39" t="n">
        <f aca="false">IF(BB$4=0,0,IF(COUNTIFS(実績!$W$6:$W$505,BB$3,実績!$AI$6:$AI$505,"&lt;="&amp;$A184,実績!$AJ$6:$AJ$505,"&gt;"&amp;$A184,実績!$AK$6:$AK$505,"○")&gt;0,1,0))</f>
        <v>0</v>
      </c>
      <c r="BC184" s="39" t="n">
        <f aca="false">IF(BC$4=0,0,IF(COUNTIFS(実績!$W$6:$W$505,BC$3,実績!$AI$6:$AI$505,"&lt;="&amp;$A184,実績!$AJ$6:$AJ$505,"&gt;"&amp;$A184,実績!$AK$6:$AK$505,"○")&gt;0,1,0))</f>
        <v>0</v>
      </c>
      <c r="BD184" s="39" t="n">
        <f aca="false">IF(BD$4=0,0,IF(COUNTIFS(実績!$W$6:$W$505,BD$3,実績!$AI$6:$AI$505,"&lt;="&amp;$A184,実績!$AJ$6:$AJ$505,"&gt;"&amp;$A184,実績!$AK$6:$AK$505,"○")&gt;0,1,0))</f>
        <v>0</v>
      </c>
      <c r="BE184" s="39" t="n">
        <f aca="false">IF(BE$4=0,0,IF(COUNTIFS(実績!$W$6:$W$505,BE$3,実績!$AI$6:$AI$505,"&lt;="&amp;$A184,実績!$AJ$6:$AJ$505,"&gt;"&amp;$A184,実績!$AK$6:$AK$505,"○")&gt;0,1,0))</f>
        <v>0</v>
      </c>
      <c r="BF184" s="39" t="n">
        <f aca="false">IF(BF$4=0,0,IF(COUNTIFS(実績!$W$6:$W$505,BF$3,実績!$AI$6:$AI$505,"&lt;="&amp;$A184,実績!$AJ$6:$AJ$505,"&gt;"&amp;$A184,実績!$AK$6:$AK$505,"○")&gt;0,1,0))</f>
        <v>0</v>
      </c>
      <c r="BG184" s="39" t="n">
        <f aca="false">IF(BG$4=0,0,IF(COUNTIFS(実績!$W$6:$W$505,BG$3,実績!$AI$6:$AI$505,"&lt;="&amp;$A184,実績!$AJ$6:$AJ$505,"&gt;"&amp;$A184,実績!$AK$6:$AK$505,"○")&gt;0,1,0))</f>
        <v>0</v>
      </c>
      <c r="BH184" s="39" t="n">
        <f aca="false">IF(BH$4=0,0,IF(COUNTIFS(実績!$W$6:$W$505,BH$3,実績!$AI$6:$AI$505,"&lt;="&amp;$A184,実績!$AJ$6:$AJ$505,"&gt;"&amp;$A184,実績!$AK$6:$AK$505,"○")&gt;0,1,0))</f>
        <v>0</v>
      </c>
      <c r="BI184" s="39" t="n">
        <f aca="false">IF(BI$4=0,0,IF(COUNTIFS(実績!$W$6:$W$505,BI$3,実績!$AI$6:$AI$505,"&lt;="&amp;$A184,実績!$AJ$6:$AJ$505,"&gt;"&amp;$A184,実績!$AK$6:$AK$505,"○")&gt;0,1,0))</f>
        <v>0</v>
      </c>
      <c r="BJ184" s="39" t="n">
        <f aca="false">IF(BJ$4=0,0,IF(COUNTIFS(実績!$W$6:$W$505,BJ$3,実績!$AI$6:$AI$505,"&lt;="&amp;$A184,実績!$AJ$6:$AJ$505,"&gt;"&amp;$A184,実績!$AK$6:$AK$505,"○")&gt;0,1,0))</f>
        <v>0</v>
      </c>
      <c r="BK184" s="39" t="n">
        <f aca="false">IF(BK$4=0,0,IF(COUNTIFS(実績!$W$6:$W$505,BK$3,実績!$AI$6:$AI$505,"&lt;="&amp;$A184,実績!$AJ$6:$AJ$505,"&gt;"&amp;$A184,実績!$AK$6:$AK$505,"○")&gt;0,1,0))</f>
        <v>0</v>
      </c>
      <c r="BL184" s="39" t="n">
        <f aca="false">IF(BL$4=0,0,IF(COUNTIFS(実績!$W$6:$W$505,BL$3,実績!$AI$6:$AI$505,"&lt;="&amp;$A184,実績!$AJ$6:$AJ$505,"&gt;"&amp;$A184,実績!$AK$6:$AK$505,"○")&gt;0,1,0))</f>
        <v>0</v>
      </c>
      <c r="BM184" s="39" t="n">
        <f aca="false">IF(BM$4=0,0,IF(COUNTIFS(実績!$W$6:$W$505,BM$3,実績!$AI$6:$AI$505,"&lt;="&amp;$A184,実績!$AJ$6:$AJ$505,"&gt;"&amp;$A184,実績!$AK$6:$AK$505,"○")&gt;0,1,0))</f>
        <v>0</v>
      </c>
      <c r="BN184" s="39" t="n">
        <f aca="false">IF(BN$4=0,0,IF(COUNTIFS(実績!$W$6:$W$505,BN$3,実績!$AI$6:$AI$505,"&lt;="&amp;$A184,実績!$AJ$6:$AJ$505,"&gt;"&amp;$A184,実績!$AK$6:$AK$505,"○")&gt;0,1,0))</f>
        <v>0</v>
      </c>
      <c r="BO184" s="39" t="n">
        <f aca="false">IF(BO$4=0,0,IF(COUNTIFS(実績!$W$6:$W$505,BO$3,実績!$AI$6:$AI$505,"&lt;="&amp;$A184,実績!$AJ$6:$AJ$505,"&gt;"&amp;$A184,実績!$AK$6:$AK$505,"○")&gt;0,1,0))</f>
        <v>0</v>
      </c>
      <c r="BP184" s="39" t="n">
        <f aca="false">IF(BP$4=0,0,IF(COUNTIFS(実績!$W$6:$W$505,BP$3,実績!$AI$6:$AI$505,"&lt;="&amp;$A184,実績!$AJ$6:$AJ$505,"&gt;"&amp;$A184,実績!$AK$6:$AK$505,"○")&gt;0,1,0))</f>
        <v>0</v>
      </c>
      <c r="BQ184" s="39" t="n">
        <f aca="false">IF(BQ$4=0,0,IF(COUNTIFS(実績!$W$6:$W$505,BQ$3,実績!$AI$6:$AI$505,"&lt;="&amp;$A184,実績!$AJ$6:$AJ$505,"&gt;"&amp;$A184,実績!$AK$6:$AK$505,"○")&gt;0,1,0))</f>
        <v>0</v>
      </c>
      <c r="BR184" s="39" t="n">
        <f aca="false">IF(BR$4=0,0,IF(COUNTIFS(実績!$W$6:$W$505,BR$3,実績!$AI$6:$AI$505,"&lt;="&amp;$A184,実績!$AJ$6:$AJ$505,"&gt;"&amp;$A184,実績!$AK$6:$AK$505,"○")&gt;0,1,0))</f>
        <v>0</v>
      </c>
      <c r="BS184" s="39" t="n">
        <f aca="false">IF(BS$4=0,0,IF(COUNTIFS(実績!$W$6:$W$505,BS$3,実績!$AI$6:$AI$505,"&lt;="&amp;$A184,実績!$AJ$6:$AJ$505,"&gt;"&amp;$A184,実績!$AK$6:$AK$505,"○")&gt;0,1,0))</f>
        <v>0</v>
      </c>
      <c r="BT184" s="39" t="n">
        <f aca="false">IF(BT$4=0,0,IF(COUNTIFS(実績!$W$6:$W$505,BT$3,実績!$AI$6:$AI$505,"&lt;="&amp;$A184,実績!$AJ$6:$AJ$505,"&gt;"&amp;$A184,実績!$AK$6:$AK$505,"○")&gt;0,1,0))</f>
        <v>0</v>
      </c>
      <c r="BU184" s="39" t="n">
        <f aca="false">IF(BU$4=0,0,IF(COUNTIFS(実績!$W$6:$W$505,BU$3,実績!$AI$6:$AI$505,"&lt;="&amp;$A184,実績!$AJ$6:$AJ$505,"&gt;"&amp;$A184,実績!$AK$6:$AK$505,"○")&gt;0,1,0))</f>
        <v>0</v>
      </c>
      <c r="BV184" s="39" t="n">
        <f aca="false">IF(BV$4=0,0,IF(COUNTIFS(実績!$W$6:$W$505,BV$3,実績!$AI$6:$AI$505,"&lt;="&amp;$A184,実績!$AJ$6:$AJ$505,"&gt;"&amp;$A184,実績!$AK$6:$AK$505,"○")&gt;0,1,0))</f>
        <v>0</v>
      </c>
      <c r="BW184" s="39" t="n">
        <f aca="false">IF(BW$4=0,0,IF(COUNTIFS(実績!$W$6:$W$505,BW$3,実績!$AI$6:$AI$505,"&lt;="&amp;$A184,実績!$AJ$6:$AJ$505,"&gt;"&amp;$A184,実績!$AK$6:$AK$505,"○")&gt;0,1,0))</f>
        <v>0</v>
      </c>
      <c r="BX184" s="39" t="n">
        <f aca="false">IF(BX$4=0,0,IF(COUNTIFS(実績!$W$6:$W$505,BX$3,実績!$AI$6:$AI$505,"&lt;="&amp;$A184,実績!$AJ$6:$AJ$505,"&gt;"&amp;$A184,実績!$AK$6:$AK$505,"○")&gt;0,1,0))</f>
        <v>0</v>
      </c>
      <c r="BY184" s="39" t="n">
        <f aca="false">IF(BY$4=0,0,IF(COUNTIFS(実績!$W$6:$W$505,BY$3,実績!$AI$6:$AI$505,"&lt;="&amp;$A184,実績!$AJ$6:$AJ$505,"&gt;"&amp;$A184,実績!$AK$6:$AK$505,"○")&gt;0,1,0))</f>
        <v>0</v>
      </c>
      <c r="BZ184" s="39" t="n">
        <f aca="false">IF(BZ$4=0,0,IF(COUNTIFS(実績!$W$6:$W$505,BZ$3,実績!$AI$6:$AI$505,"&lt;="&amp;$A184,実績!$AJ$6:$AJ$505,"&gt;"&amp;$A184,実績!$AK$6:$AK$505,"○")&gt;0,1,0))</f>
        <v>0</v>
      </c>
      <c r="CA184" s="39" t="n">
        <f aca="false">IF(CA$4=0,0,IF(COUNTIFS(実績!$W$6:$W$505,CA$3,実績!$AI$6:$AI$505,"&lt;="&amp;$A184,実績!$AJ$6:$AJ$505,"&gt;"&amp;$A184,実績!$AK$6:$AK$505,"○")&gt;0,1,0))</f>
        <v>0</v>
      </c>
      <c r="CB184" s="39" t="n">
        <f aca="false">IF(CB$4=0,0,IF(COUNTIFS(実績!$W$6:$W$505,CB$3,実績!$AI$6:$AI$505,"&lt;="&amp;$A184,実績!$AJ$6:$AJ$505,"&gt;"&amp;$A184,実績!$AK$6:$AK$505,"○")&gt;0,1,0))</f>
        <v>0</v>
      </c>
      <c r="CC184" s="39" t="n">
        <f aca="false">IF(CC$4=0,0,IF(COUNTIFS(実績!$W$6:$W$505,CC$3,実績!$AI$6:$AI$505,"&lt;="&amp;$A184,実績!$AJ$6:$AJ$505,"&gt;"&amp;$A184,実績!$AK$6:$AK$505,"○")&gt;0,1,0))</f>
        <v>0</v>
      </c>
      <c r="CD184" s="39" t="n">
        <f aca="false">IF(CD$4=0,0,IF(COUNTIFS(実績!$W$6:$W$505,CD$3,実績!$AI$6:$AI$505,"&lt;="&amp;$A184,実績!$AJ$6:$AJ$505,"&gt;"&amp;$A184,実績!$AK$6:$AK$505,"○")&gt;0,1,0))</f>
        <v>0</v>
      </c>
      <c r="CE184" s="39" t="n">
        <f aca="false">IF(CE$4=0,0,IF(COUNTIFS(実績!$W$6:$W$505,CE$3,実績!$AI$6:$AI$505,"&lt;="&amp;$A184,実績!$AJ$6:$AJ$505,"&gt;"&amp;$A184,実績!$AK$6:$AK$505,"○")&gt;0,1,0))</f>
        <v>0</v>
      </c>
      <c r="CF184" s="39" t="n">
        <f aca="false">IF(CF$4=0,0,IF(COUNTIFS(実績!$W$6:$W$505,CF$3,実績!$AI$6:$AI$505,"&lt;="&amp;$A184,実績!$AJ$6:$AJ$505,"&gt;"&amp;$A184,実績!$AK$6:$AK$505,"○")&gt;0,1,0))</f>
        <v>0</v>
      </c>
      <c r="CG184" s="39" t="n">
        <f aca="false">IF(CG$4=0,0,IF(COUNTIFS(実績!$W$6:$W$505,CG$3,実績!$AI$6:$AI$505,"&lt;="&amp;$A184,実績!$AJ$6:$AJ$505,"&gt;"&amp;$A184,実績!$AK$6:$AK$505,"○")&gt;0,1,0))</f>
        <v>0</v>
      </c>
      <c r="CH184" s="39" t="n">
        <f aca="false">IF(CH$4=0,0,IF(COUNTIFS(実績!$W$6:$W$505,CH$3,実績!$AI$6:$AI$505,"&lt;="&amp;$A184,実績!$AJ$6:$AJ$505,"&gt;"&amp;$A184,実績!$AK$6:$AK$505,"○")&gt;0,1,0))</f>
        <v>0</v>
      </c>
      <c r="CI184" s="39" t="n">
        <f aca="false">IF(CI$4=0,0,IF(COUNTIFS(実績!$W$6:$W$505,CI$3,実績!$AI$6:$AI$505,"&lt;="&amp;$A184,実績!$AJ$6:$AJ$505,"&gt;"&amp;$A184,実績!$AK$6:$AK$505,"○")&gt;0,1,0))</f>
        <v>0</v>
      </c>
      <c r="CJ184" s="39" t="n">
        <f aca="false">IF(CJ$4=0,0,IF(COUNTIFS(実績!$W$6:$W$505,CJ$3,実績!$AI$6:$AI$505,"&lt;="&amp;$A184,実績!$AJ$6:$AJ$505,"&gt;"&amp;$A184,実績!$AK$6:$AK$505,"○")&gt;0,1,0))</f>
        <v>0</v>
      </c>
      <c r="CK184" s="39" t="n">
        <f aca="false">IF(CK$4=0,0,IF(COUNTIFS(実績!$W$6:$W$505,CK$3,実績!$AI$6:$AI$505,"&lt;="&amp;$A184,実績!$AJ$6:$AJ$505,"&gt;"&amp;$A184,実績!$AK$6:$AK$505,"○")&gt;0,1,0))</f>
        <v>0</v>
      </c>
      <c r="CL184" s="39" t="n">
        <f aca="false">IF(CL$4=0,0,IF(COUNTIFS(実績!$W$6:$W$505,CL$3,実績!$AI$6:$AI$505,"&lt;="&amp;$A184,実績!$AJ$6:$AJ$505,"&gt;"&amp;$A184,実績!$AK$6:$AK$505,"○")&gt;0,1,0))</f>
        <v>0</v>
      </c>
      <c r="CM184" s="39" t="n">
        <f aca="false">IF(CM$4=0,0,IF(COUNTIFS(実績!$W$6:$W$505,CM$3,実績!$AI$6:$AI$505,"&lt;="&amp;$A184,実績!$AJ$6:$AJ$505,"&gt;"&amp;$A184,実績!$AK$6:$AK$505,"○")&gt;0,1,0))</f>
        <v>0</v>
      </c>
      <c r="CN184" s="39" t="n">
        <f aca="false">IF(CN$4=0,0,IF(COUNTIFS(実績!$W$6:$W$505,CN$3,実績!$AI$6:$AI$505,"&lt;="&amp;$A184,実績!$AJ$6:$AJ$505,"&gt;"&amp;$A184,実績!$AK$6:$AK$505,"○")&gt;0,1,0))</f>
        <v>0</v>
      </c>
      <c r="CO184" s="39" t="n">
        <f aca="false">IF(CO$4=0,0,IF(COUNTIFS(実績!$W$6:$W$505,CO$3,実績!$AI$6:$AI$505,"&lt;="&amp;$A184,実績!$AJ$6:$AJ$505,"&gt;"&amp;$A184,実績!$AK$6:$AK$505,"○")&gt;0,1,0))</f>
        <v>0</v>
      </c>
      <c r="CP184" s="39" t="n">
        <f aca="false">IF(CP$4=0,0,IF(COUNTIFS(実績!$W$6:$W$505,CP$3,実績!$AI$6:$AI$505,"&lt;="&amp;$A184,実績!$AJ$6:$AJ$505,"&gt;"&amp;$A184,実績!$AK$6:$AK$505,"○")&gt;0,1,0))</f>
        <v>0</v>
      </c>
      <c r="CQ184" s="39" t="n">
        <f aca="false">IF(CQ$4=0,0,IF(COUNTIFS(実績!$W$6:$W$505,CQ$3,実績!$AI$6:$AI$505,"&lt;="&amp;$A184,実績!$AJ$6:$AJ$505,"&gt;"&amp;$A184,実績!$AK$6:$AK$505,"○")&gt;0,1,0))</f>
        <v>0</v>
      </c>
      <c r="CR184" s="39" t="n">
        <f aca="false">IF(CR$4=0,0,IF(COUNTIFS(実績!$W$6:$W$505,CR$3,実績!$AI$6:$AI$505,"&lt;="&amp;$A184,実績!$AJ$6:$AJ$505,"&gt;"&amp;$A184,実績!$AK$6:$AK$505,"○")&gt;0,1,0))</f>
        <v>0</v>
      </c>
      <c r="CS184" s="39" t="n">
        <f aca="false">IF(CS$4=0,0,IF(COUNTIFS(実績!$W$6:$W$505,CS$3,実績!$AI$6:$AI$505,"&lt;="&amp;$A184,実績!$AJ$6:$AJ$505,"&gt;"&amp;$A184,実績!$AK$6:$AK$505,"○")&gt;0,1,0))</f>
        <v>0</v>
      </c>
      <c r="CT184" s="39" t="n">
        <f aca="false">IF(CT$4=0,0,IF(COUNTIFS(実績!$W$6:$W$505,CT$3,実績!$AI$6:$AI$505,"&lt;="&amp;$A184,実績!$AJ$6:$AJ$505,"&gt;"&amp;$A184,実績!$AK$6:$AK$505,"○")&gt;0,1,0))</f>
        <v>0</v>
      </c>
      <c r="CU184" s="39" t="n">
        <f aca="false">IF(CU$4=0,0,IF(COUNTIFS(実績!$W$6:$W$505,CU$3,実績!$AI$6:$AI$505,"&lt;="&amp;$A184,実績!$AJ$6:$AJ$505,"&gt;"&amp;$A184,実績!$AK$6:$AK$505,"○")&gt;0,1,0))</f>
        <v>0</v>
      </c>
      <c r="CV184" s="39" t="n">
        <f aca="false">IF(CV$4=0,0,IF(COUNTIFS(実績!$W$6:$W$505,CV$3,実績!$AI$6:$AI$505,"&lt;="&amp;$A184,実績!$AJ$6:$AJ$505,"&gt;"&amp;$A184,実績!$AK$6:$AK$505,"○")&gt;0,1,0))</f>
        <v>0</v>
      </c>
      <c r="CW184" s="39" t="n">
        <f aca="false">IF(CW$4=0,0,IF(COUNTIFS(実績!$W$6:$W$505,CW$3,実績!$AI$6:$AI$505,"&lt;="&amp;$A184,実績!$AJ$6:$AJ$505,"&gt;"&amp;$A184,実績!$AK$6:$AK$505,"○")&gt;0,1,0))</f>
        <v>0</v>
      </c>
      <c r="CX184" s="39" t="n">
        <f aca="false">IF(CX$4=0,0,IF(COUNTIFS(実績!$W$6:$W$505,CX$3,実績!$AI$6:$AI$505,"&lt;="&amp;$A184,実績!$AJ$6:$AJ$505,"&gt;"&amp;$A184,実績!$AK$6:$AK$505,"○")&gt;0,1,0))</f>
        <v>0</v>
      </c>
      <c r="CY184" s="39" t="n">
        <f aca="false">IF(CY$4=0,0,IF(COUNTIFS(実績!$W$6:$W$505,CY$3,実績!$AI$6:$AI$505,"&lt;="&amp;$A184,実績!$AJ$6:$AJ$505,"&gt;"&amp;$A184,実績!$AK$6:$AK$505,"○")&gt;0,1,0))</f>
        <v>0</v>
      </c>
      <c r="CZ184" s="39" t="n">
        <f aca="false">IF(CZ$4=0,0,IF(COUNTIFS(実績!$W$6:$W$505,CZ$3,実績!$AI$6:$AI$505,"&lt;="&amp;$A184,実績!$AJ$6:$AJ$505,"&gt;"&amp;$A184,実績!$AK$6:$AK$505,"○")&gt;0,1,0))</f>
        <v>0</v>
      </c>
      <c r="DA184" s="39" t="n">
        <f aca="false">IF(DA$4=0,0,IF(COUNTIFS(実績!$W$6:$W$505,DA$3,実績!$AI$6:$AI$505,"&lt;="&amp;$A184,実績!$AJ$6:$AJ$505,"&gt;"&amp;$A184,実績!$AK$6:$AK$505,"○")&gt;0,1,0))</f>
        <v>0</v>
      </c>
      <c r="DB184" s="39" t="n">
        <f aca="false">IF(DB$4=0,0,IF(COUNTIFS(実績!$W$6:$W$505,DB$3,実績!$AI$6:$AI$505,"&lt;="&amp;$A184,実績!$AJ$6:$AJ$505,"&gt;"&amp;$A184,実績!$AK$6:$AK$505,"○")&gt;0,1,0))</f>
        <v>0</v>
      </c>
      <c r="DC184" s="39" t="n">
        <f aca="false">IF(DC$4=0,0,IF(COUNTIFS(実績!$W$6:$W$505,DC$3,実績!$AI$6:$AI$505,"&lt;="&amp;$A184,実績!$AJ$6:$AJ$505,"&gt;"&amp;$A184,実績!$AK$6:$AK$505,"○")&gt;0,1,0))</f>
        <v>0</v>
      </c>
      <c r="DD184" s="39" t="n">
        <f aca="false">IF(DD$4=0,0,IF(COUNTIFS(実績!$W$6:$W$505,DD$3,実績!$AI$6:$AI$505,"&lt;="&amp;$A184,実績!$AJ$6:$AJ$505,"&gt;"&amp;$A184,実績!$AK$6:$AK$505,"○")&gt;0,1,0))</f>
        <v>0</v>
      </c>
      <c r="DE184" s="39" t="n">
        <f aca="false">IF(DE$4=0,0,IF(COUNTIFS(実績!$W$6:$W$505,DE$3,実績!$AI$6:$AI$505,"&lt;="&amp;$A184,実績!$AJ$6:$AJ$505,"&gt;"&amp;$A184,実績!$AK$6:$AK$505,"○")&gt;0,1,0))</f>
        <v>0</v>
      </c>
      <c r="DF184" s="39" t="n">
        <f aca="false">IF(DF$4=0,0,IF(COUNTIFS(実績!$W$6:$W$505,DF$3,実績!$AI$6:$AI$505,"&lt;="&amp;$A184,実績!$AJ$6:$AJ$505,"&gt;"&amp;$A184,実績!$AK$6:$AK$505,"○")&gt;0,1,0))</f>
        <v>0</v>
      </c>
      <c r="DG184" s="39" t="n">
        <f aca="false">IF(DG$4=0,0,IF(COUNTIFS(実績!$W$6:$W$505,DG$3,実績!$AI$6:$AI$505,"&lt;="&amp;$A184,実績!$AJ$6:$AJ$505,"&gt;"&amp;$A184,実績!$AK$6:$AK$505,"○")&gt;0,1,0))</f>
        <v>0</v>
      </c>
      <c r="DH184" s="39" t="n">
        <f aca="false">IF(DH$4=0,0,IF(COUNTIFS(実績!$W$6:$W$505,DH$3,実績!$AI$6:$AI$505,"&lt;="&amp;$A184,実績!$AJ$6:$AJ$505,"&gt;"&amp;$A184,実績!$AK$6:$AK$505,"○")&gt;0,1,0))</f>
        <v>0</v>
      </c>
      <c r="DI184" s="39" t="n">
        <f aca="false">IF(DI$4=0,0,IF(COUNTIFS(実績!$W$6:$W$505,DI$3,実績!$AI$6:$AI$505,"&lt;="&amp;$A184,実績!$AJ$6:$AJ$505,"&gt;"&amp;$A184,実績!$AK$6:$AK$505,"○")&gt;0,1,0))</f>
        <v>0</v>
      </c>
      <c r="DJ184" s="39" t="n">
        <f aca="false">IF(DJ$4=0,0,IF(COUNTIFS(実績!$W$6:$W$505,DJ$3,実績!$AI$6:$AI$505,"&lt;="&amp;$A184,実績!$AJ$6:$AJ$505,"&gt;"&amp;$A184,実績!$AK$6:$AK$505,"○")&gt;0,1,0))</f>
        <v>0</v>
      </c>
      <c r="DK184" s="39" t="n">
        <f aca="false">IF(DK$4=0,0,IF(COUNTIFS(実績!$W$6:$W$505,DK$3,実績!$AI$6:$AI$505,"&lt;="&amp;$A184,実績!$AJ$6:$AJ$505,"&gt;"&amp;$A184,実績!$AK$6:$AK$505,"○")&gt;0,1,0))</f>
        <v>0</v>
      </c>
      <c r="DL184" s="39" t="n">
        <f aca="false">IF(DL$4=0,0,IF(COUNTIFS(実績!$W$6:$W$505,DL$3,実績!$AI$6:$AI$505,"&lt;="&amp;$A184,実績!$AJ$6:$AJ$505,"&gt;"&amp;$A184,実績!$AK$6:$AK$505,"○")&gt;0,1,0))</f>
        <v>0</v>
      </c>
      <c r="DM184" s="39" t="n">
        <f aca="false">IF(DM$4=0,0,IF(COUNTIFS(実績!$W$6:$W$505,DM$3,実績!$AI$6:$AI$505,"&lt;="&amp;$A184,実績!$AJ$6:$AJ$505,"&gt;"&amp;$A184,実績!$AK$6:$AK$505,"○")&gt;0,1,0))</f>
        <v>0</v>
      </c>
      <c r="DN184" s="39" t="n">
        <f aca="false">IF(DN$4=0,0,IF(COUNTIFS(実績!$W$6:$W$505,DN$3,実績!$AI$6:$AI$505,"&lt;="&amp;$A184,実績!$AJ$6:$AJ$505,"&gt;"&amp;$A184,実績!$AK$6:$AK$505,"○")&gt;0,1,0))</f>
        <v>0</v>
      </c>
      <c r="DO184" s="39" t="n">
        <f aca="false">IF(DO$4=0,0,IF(COUNTIFS(実績!$W$6:$W$505,DO$3,実績!$AI$6:$AI$505,"&lt;="&amp;$A184,実績!$AJ$6:$AJ$505,"&gt;"&amp;$A184,実績!$AK$6:$AK$505,"○")&gt;0,1,0))</f>
        <v>0</v>
      </c>
      <c r="DP184" s="39" t="n">
        <f aca="false">IF(DP$4=0,0,IF(COUNTIFS(実績!$W$6:$W$505,DP$3,実績!$AI$6:$AI$505,"&lt;="&amp;$A184,実績!$AJ$6:$AJ$505,"&gt;"&amp;$A184,実績!$AK$6:$AK$505,"○")&gt;0,1,0))</f>
        <v>0</v>
      </c>
      <c r="DQ184" s="39" t="n">
        <f aca="false">IF(DQ$4=0,0,IF(COUNTIFS(実績!$W$6:$W$505,DQ$3,実績!$AI$6:$AI$505,"&lt;="&amp;$A184,実績!$AJ$6:$AJ$505,"&gt;"&amp;$A184,実績!$AK$6:$AK$505,"○")&gt;0,1,0))</f>
        <v>0</v>
      </c>
      <c r="DR184" s="39" t="n">
        <f aca="false">IF(DR$4=0,0,IF(COUNTIFS(実績!$W$6:$W$505,DR$3,実績!$AI$6:$AI$505,"&lt;="&amp;$A184,実績!$AJ$6:$AJ$505,"&gt;"&amp;$A184,実績!$AK$6:$AK$505,"○")&gt;0,1,0))</f>
        <v>0</v>
      </c>
      <c r="DS184" s="39" t="n">
        <f aca="false">SUM(C184:DR184)</f>
        <v>0</v>
      </c>
      <c r="DT184" s="39" t="n">
        <f aca="false">SUMPRODUCT((実績!$C$6:$C$505="○")*ISNUMBER(実績!$AM$6:$AM$505)*(実績!$AM$6:$AM$505&lt;=$A184)*(実績!$AN$6:$AN$505&gt;$A184))</f>
        <v>0</v>
      </c>
      <c r="DU184" s="39" t="n">
        <f aca="false">SUMIF($C$2:$DR$2,"製鉄曳船",C184:DR184)</f>
        <v>0</v>
      </c>
      <c r="DV184" s="39" t="n">
        <f aca="false">SUMIF($C$2:$DR$2,"西日本海運",C184:DR184)</f>
        <v>0</v>
      </c>
    </row>
    <row r="185" customFormat="false" ht="15" hidden="false" customHeight="false" outlineLevel="0" collapsed="false">
      <c r="A185" s="0" t="n">
        <v>895</v>
      </c>
      <c r="B185" s="38" t="n">
        <f aca="false">A185/1440</f>
        <v>0.621527777777778</v>
      </c>
      <c r="C185" s="39" t="n">
        <f aca="false">IF(C$4=0,0,IF(COUNTIFS(実績!$W$6:$W$505,C$3,実績!$AI$6:$AI$505,"&lt;="&amp;$A185,実績!$AJ$6:$AJ$505,"&gt;"&amp;$A185,実績!$AK$6:$AK$505,"○")&gt;0,1,0))</f>
        <v>0</v>
      </c>
      <c r="D185" s="39" t="n">
        <f aca="false">IF(D$4=0,0,IF(COUNTIFS(実績!$W$6:$W$505,D$3,実績!$AI$6:$AI$505,"&lt;="&amp;$A185,実績!$AJ$6:$AJ$505,"&gt;"&amp;$A185,実績!$AK$6:$AK$505,"○")&gt;0,1,0))</f>
        <v>0</v>
      </c>
      <c r="E185" s="39" t="n">
        <f aca="false">IF(E$4=0,0,IF(COUNTIFS(実績!$W$6:$W$505,E$3,実績!$AI$6:$AI$505,"&lt;="&amp;$A185,実績!$AJ$6:$AJ$505,"&gt;"&amp;$A185,実績!$AK$6:$AK$505,"○")&gt;0,1,0))</f>
        <v>0</v>
      </c>
      <c r="F185" s="39" t="n">
        <f aca="false">IF(F$4=0,0,IF(COUNTIFS(実績!$W$6:$W$505,F$3,実績!$AI$6:$AI$505,"&lt;="&amp;$A185,実績!$AJ$6:$AJ$505,"&gt;"&amp;$A185,実績!$AK$6:$AK$505,"○")&gt;0,1,0))</f>
        <v>0</v>
      </c>
      <c r="G185" s="39" t="n">
        <f aca="false">IF(G$4=0,0,IF(COUNTIFS(実績!$W$6:$W$505,G$3,実績!$AI$6:$AI$505,"&lt;="&amp;$A185,実績!$AJ$6:$AJ$505,"&gt;"&amp;$A185,実績!$AK$6:$AK$505,"○")&gt;0,1,0))</f>
        <v>0</v>
      </c>
      <c r="H185" s="39" t="n">
        <f aca="false">IF(H$4=0,0,IF(COUNTIFS(実績!$W$6:$W$505,H$3,実績!$AI$6:$AI$505,"&lt;="&amp;$A185,実績!$AJ$6:$AJ$505,"&gt;"&amp;$A185,実績!$AK$6:$AK$505,"○")&gt;0,1,0))</f>
        <v>0</v>
      </c>
      <c r="I185" s="39" t="n">
        <f aca="false">IF(I$4=0,0,IF(COUNTIFS(実績!$W$6:$W$505,I$3,実績!$AI$6:$AI$505,"&lt;="&amp;$A185,実績!$AJ$6:$AJ$505,"&gt;"&amp;$A185,実績!$AK$6:$AK$505,"○")&gt;0,1,0))</f>
        <v>0</v>
      </c>
      <c r="J185" s="39" t="n">
        <f aca="false">IF(J$4=0,0,IF(COUNTIFS(実績!$W$6:$W$505,J$3,実績!$AI$6:$AI$505,"&lt;="&amp;$A185,実績!$AJ$6:$AJ$505,"&gt;"&amp;$A185,実績!$AK$6:$AK$505,"○")&gt;0,1,0))</f>
        <v>0</v>
      </c>
      <c r="K185" s="39" t="n">
        <f aca="false">IF(K$4=0,0,IF(COUNTIFS(実績!$W$6:$W$505,K$3,実績!$AI$6:$AI$505,"&lt;="&amp;$A185,実績!$AJ$6:$AJ$505,"&gt;"&amp;$A185,実績!$AK$6:$AK$505,"○")&gt;0,1,0))</f>
        <v>0</v>
      </c>
      <c r="L185" s="39" t="n">
        <f aca="false">IF(L$4=0,0,IF(COUNTIFS(実績!$W$6:$W$505,L$3,実績!$AI$6:$AI$505,"&lt;="&amp;$A185,実績!$AJ$6:$AJ$505,"&gt;"&amp;$A185,実績!$AK$6:$AK$505,"○")&gt;0,1,0))</f>
        <v>0</v>
      </c>
      <c r="M185" s="39" t="n">
        <f aca="false">IF(M$4=0,0,IF(COUNTIFS(実績!$W$6:$W$505,M$3,実績!$AI$6:$AI$505,"&lt;="&amp;$A185,実績!$AJ$6:$AJ$505,"&gt;"&amp;$A185,実績!$AK$6:$AK$505,"○")&gt;0,1,0))</f>
        <v>0</v>
      </c>
      <c r="N185" s="39" t="n">
        <f aca="false">IF(N$4=0,0,IF(COUNTIFS(実績!$W$6:$W$505,N$3,実績!$AI$6:$AI$505,"&lt;="&amp;$A185,実績!$AJ$6:$AJ$505,"&gt;"&amp;$A185,実績!$AK$6:$AK$505,"○")&gt;0,1,0))</f>
        <v>0</v>
      </c>
      <c r="O185" s="39" t="n">
        <f aca="false">IF(O$4=0,0,IF(COUNTIFS(実績!$W$6:$W$505,O$3,実績!$AI$6:$AI$505,"&lt;="&amp;$A185,実績!$AJ$6:$AJ$505,"&gt;"&amp;$A185,実績!$AK$6:$AK$505,"○")&gt;0,1,0))</f>
        <v>0</v>
      </c>
      <c r="P185" s="39" t="n">
        <f aca="false">IF(P$4=0,0,IF(COUNTIFS(実績!$W$6:$W$505,P$3,実績!$AI$6:$AI$505,"&lt;="&amp;$A185,実績!$AJ$6:$AJ$505,"&gt;"&amp;$A185,実績!$AK$6:$AK$505,"○")&gt;0,1,0))</f>
        <v>0</v>
      </c>
      <c r="Q185" s="39" t="n">
        <f aca="false">IF(Q$4=0,0,IF(COUNTIFS(実績!$W$6:$W$505,Q$3,実績!$AI$6:$AI$505,"&lt;="&amp;$A185,実績!$AJ$6:$AJ$505,"&gt;"&amp;$A185,実績!$AK$6:$AK$505,"○")&gt;0,1,0))</f>
        <v>0</v>
      </c>
      <c r="R185" s="39" t="n">
        <f aca="false">IF(R$4=0,0,IF(COUNTIFS(実績!$W$6:$W$505,R$3,実績!$AI$6:$AI$505,"&lt;="&amp;$A185,実績!$AJ$6:$AJ$505,"&gt;"&amp;$A185,実績!$AK$6:$AK$505,"○")&gt;0,1,0))</f>
        <v>0</v>
      </c>
      <c r="S185" s="39" t="n">
        <f aca="false">IF(S$4=0,0,IF(COUNTIFS(実績!$W$6:$W$505,S$3,実績!$AI$6:$AI$505,"&lt;="&amp;$A185,実績!$AJ$6:$AJ$505,"&gt;"&amp;$A185,実績!$AK$6:$AK$505,"○")&gt;0,1,0))</f>
        <v>0</v>
      </c>
      <c r="T185" s="39" t="n">
        <f aca="false">IF(T$4=0,0,IF(COUNTIFS(実績!$W$6:$W$505,T$3,実績!$AI$6:$AI$505,"&lt;="&amp;$A185,実績!$AJ$6:$AJ$505,"&gt;"&amp;$A185,実績!$AK$6:$AK$505,"○")&gt;0,1,0))</f>
        <v>0</v>
      </c>
      <c r="U185" s="39" t="n">
        <f aca="false">IF(U$4=0,0,IF(COUNTIFS(実績!$W$6:$W$505,U$3,実績!$AI$6:$AI$505,"&lt;="&amp;$A185,実績!$AJ$6:$AJ$505,"&gt;"&amp;$A185,実績!$AK$6:$AK$505,"○")&gt;0,1,0))</f>
        <v>0</v>
      </c>
      <c r="V185" s="39" t="n">
        <f aca="false">IF(V$4=0,0,IF(COUNTIFS(実績!$W$6:$W$505,V$3,実績!$AI$6:$AI$505,"&lt;="&amp;$A185,実績!$AJ$6:$AJ$505,"&gt;"&amp;$A185,実績!$AK$6:$AK$505,"○")&gt;0,1,0))</f>
        <v>0</v>
      </c>
      <c r="W185" s="39" t="n">
        <f aca="false">IF(W$4=0,0,IF(COUNTIFS(実績!$W$6:$W$505,W$3,実績!$AI$6:$AI$505,"&lt;="&amp;$A185,実績!$AJ$6:$AJ$505,"&gt;"&amp;$A185,実績!$AK$6:$AK$505,"○")&gt;0,1,0))</f>
        <v>0</v>
      </c>
      <c r="X185" s="39" t="n">
        <f aca="false">IF(X$4=0,0,IF(COUNTIFS(実績!$W$6:$W$505,X$3,実績!$AI$6:$AI$505,"&lt;="&amp;$A185,実績!$AJ$6:$AJ$505,"&gt;"&amp;$A185,実績!$AK$6:$AK$505,"○")&gt;0,1,0))</f>
        <v>0</v>
      </c>
      <c r="Y185" s="39" t="n">
        <f aca="false">IF(Y$4=0,0,IF(COUNTIFS(実績!$W$6:$W$505,Y$3,実績!$AI$6:$AI$505,"&lt;="&amp;$A185,実績!$AJ$6:$AJ$505,"&gt;"&amp;$A185,実績!$AK$6:$AK$505,"○")&gt;0,1,0))</f>
        <v>0</v>
      </c>
      <c r="Z185" s="39" t="n">
        <f aca="false">IF(Z$4=0,0,IF(COUNTIFS(実績!$W$6:$W$505,Z$3,実績!$AI$6:$AI$505,"&lt;="&amp;$A185,実績!$AJ$6:$AJ$505,"&gt;"&amp;$A185,実績!$AK$6:$AK$505,"○")&gt;0,1,0))</f>
        <v>0</v>
      </c>
      <c r="AA185" s="39" t="n">
        <f aca="false">IF(AA$4=0,0,IF(COUNTIFS(実績!$W$6:$W$505,AA$3,実績!$AI$6:$AI$505,"&lt;="&amp;$A185,実績!$AJ$6:$AJ$505,"&gt;"&amp;$A185,実績!$AK$6:$AK$505,"○")&gt;0,1,0))</f>
        <v>0</v>
      </c>
      <c r="AB185" s="39" t="n">
        <f aca="false">IF(AB$4=0,0,IF(COUNTIFS(実績!$W$6:$W$505,AB$3,実績!$AI$6:$AI$505,"&lt;="&amp;$A185,実績!$AJ$6:$AJ$505,"&gt;"&amp;$A185,実績!$AK$6:$AK$505,"○")&gt;0,1,0))</f>
        <v>0</v>
      </c>
      <c r="AC185" s="39" t="n">
        <f aca="false">IF(AC$4=0,0,IF(COUNTIFS(実績!$W$6:$W$505,AC$3,実績!$AI$6:$AI$505,"&lt;="&amp;$A185,実績!$AJ$6:$AJ$505,"&gt;"&amp;$A185,実績!$AK$6:$AK$505,"○")&gt;0,1,0))</f>
        <v>0</v>
      </c>
      <c r="AD185" s="39" t="n">
        <f aca="false">IF(AD$4=0,0,IF(COUNTIFS(実績!$W$6:$W$505,AD$3,実績!$AI$6:$AI$505,"&lt;="&amp;$A185,実績!$AJ$6:$AJ$505,"&gt;"&amp;$A185,実績!$AK$6:$AK$505,"○")&gt;0,1,0))</f>
        <v>0</v>
      </c>
      <c r="AE185" s="39" t="n">
        <f aca="false">IF(AE$4=0,0,IF(COUNTIFS(実績!$W$6:$W$505,AE$3,実績!$AI$6:$AI$505,"&lt;="&amp;$A185,実績!$AJ$6:$AJ$505,"&gt;"&amp;$A185,実績!$AK$6:$AK$505,"○")&gt;0,1,0))</f>
        <v>0</v>
      </c>
      <c r="AF185" s="39" t="n">
        <f aca="false">IF(AF$4=0,0,IF(COUNTIFS(実績!$W$6:$W$505,AF$3,実績!$AI$6:$AI$505,"&lt;="&amp;$A185,実績!$AJ$6:$AJ$505,"&gt;"&amp;$A185,実績!$AK$6:$AK$505,"○")&gt;0,1,0))</f>
        <v>0</v>
      </c>
      <c r="AG185" s="39" t="n">
        <f aca="false">IF(AG$4=0,0,IF(COUNTIFS(実績!$W$6:$W$505,AG$3,実績!$AI$6:$AI$505,"&lt;="&amp;$A185,実績!$AJ$6:$AJ$505,"&gt;"&amp;$A185,実績!$AK$6:$AK$505,"○")&gt;0,1,0))</f>
        <v>0</v>
      </c>
      <c r="AH185" s="39" t="n">
        <f aca="false">IF(AH$4=0,0,IF(COUNTIFS(実績!$W$6:$W$505,AH$3,実績!$AI$6:$AI$505,"&lt;="&amp;$A185,実績!$AJ$6:$AJ$505,"&gt;"&amp;$A185,実績!$AK$6:$AK$505,"○")&gt;0,1,0))</f>
        <v>0</v>
      </c>
      <c r="AI185" s="39" t="n">
        <f aca="false">IF(AI$4=0,0,IF(COUNTIFS(実績!$W$6:$W$505,AI$3,実績!$AI$6:$AI$505,"&lt;="&amp;$A185,実績!$AJ$6:$AJ$505,"&gt;"&amp;$A185,実績!$AK$6:$AK$505,"○")&gt;0,1,0))</f>
        <v>0</v>
      </c>
      <c r="AJ185" s="39" t="n">
        <f aca="false">IF(AJ$4=0,0,IF(COUNTIFS(実績!$W$6:$W$505,AJ$3,実績!$AI$6:$AI$505,"&lt;="&amp;$A185,実績!$AJ$6:$AJ$505,"&gt;"&amp;$A185,実績!$AK$6:$AK$505,"○")&gt;0,1,0))</f>
        <v>0</v>
      </c>
      <c r="AK185" s="39" t="n">
        <f aca="false">IF(AK$4=0,0,IF(COUNTIFS(実績!$W$6:$W$505,AK$3,実績!$AI$6:$AI$505,"&lt;="&amp;$A185,実績!$AJ$6:$AJ$505,"&gt;"&amp;$A185,実績!$AK$6:$AK$505,"○")&gt;0,1,0))</f>
        <v>0</v>
      </c>
      <c r="AL185" s="39" t="n">
        <f aca="false">IF(AL$4=0,0,IF(COUNTIFS(実績!$W$6:$W$505,AL$3,実績!$AI$6:$AI$505,"&lt;="&amp;$A185,実績!$AJ$6:$AJ$505,"&gt;"&amp;$A185,実績!$AK$6:$AK$505,"○")&gt;0,1,0))</f>
        <v>0</v>
      </c>
      <c r="AM185" s="39" t="n">
        <f aca="false">IF(AM$4=0,0,IF(COUNTIFS(実績!$W$6:$W$505,AM$3,実績!$AI$6:$AI$505,"&lt;="&amp;$A185,実績!$AJ$6:$AJ$505,"&gt;"&amp;$A185,実績!$AK$6:$AK$505,"○")&gt;0,1,0))</f>
        <v>0</v>
      </c>
      <c r="AN185" s="39" t="n">
        <f aca="false">IF(AN$4=0,0,IF(COUNTIFS(実績!$W$6:$W$505,AN$3,実績!$AI$6:$AI$505,"&lt;="&amp;$A185,実績!$AJ$6:$AJ$505,"&gt;"&amp;$A185,実績!$AK$6:$AK$505,"○")&gt;0,1,0))</f>
        <v>0</v>
      </c>
      <c r="AO185" s="39" t="n">
        <f aca="false">IF(AO$4=0,0,IF(COUNTIFS(実績!$W$6:$W$505,AO$3,実績!$AI$6:$AI$505,"&lt;="&amp;$A185,実績!$AJ$6:$AJ$505,"&gt;"&amp;$A185,実績!$AK$6:$AK$505,"○")&gt;0,1,0))</f>
        <v>0</v>
      </c>
      <c r="AP185" s="39" t="n">
        <f aca="false">IF(AP$4=0,0,IF(COUNTIFS(実績!$W$6:$W$505,AP$3,実績!$AI$6:$AI$505,"&lt;="&amp;$A185,実績!$AJ$6:$AJ$505,"&gt;"&amp;$A185,実績!$AK$6:$AK$505,"○")&gt;0,1,0))</f>
        <v>0</v>
      </c>
      <c r="AQ185" s="39" t="n">
        <f aca="false">IF(AQ$4=0,0,IF(COUNTIFS(実績!$W$6:$W$505,AQ$3,実績!$AI$6:$AI$505,"&lt;="&amp;$A185,実績!$AJ$6:$AJ$505,"&gt;"&amp;$A185,実績!$AK$6:$AK$505,"○")&gt;0,1,0))</f>
        <v>0</v>
      </c>
      <c r="AR185" s="39" t="n">
        <f aca="false">IF(AR$4=0,0,IF(COUNTIFS(実績!$W$6:$W$505,AR$3,実績!$AI$6:$AI$505,"&lt;="&amp;$A185,実績!$AJ$6:$AJ$505,"&gt;"&amp;$A185,実績!$AK$6:$AK$505,"○")&gt;0,1,0))</f>
        <v>0</v>
      </c>
      <c r="AS185" s="39" t="n">
        <f aca="false">IF(AS$4=0,0,IF(COUNTIFS(実績!$W$6:$W$505,AS$3,実績!$AI$6:$AI$505,"&lt;="&amp;$A185,実績!$AJ$6:$AJ$505,"&gt;"&amp;$A185,実績!$AK$6:$AK$505,"○")&gt;0,1,0))</f>
        <v>0</v>
      </c>
      <c r="AT185" s="39" t="n">
        <f aca="false">IF(AT$4=0,0,IF(COUNTIFS(実績!$W$6:$W$505,AT$3,実績!$AI$6:$AI$505,"&lt;="&amp;$A185,実績!$AJ$6:$AJ$505,"&gt;"&amp;$A185,実績!$AK$6:$AK$505,"○")&gt;0,1,0))</f>
        <v>0</v>
      </c>
      <c r="AU185" s="39" t="n">
        <f aca="false">IF(AU$4=0,0,IF(COUNTIFS(実績!$W$6:$W$505,AU$3,実績!$AI$6:$AI$505,"&lt;="&amp;$A185,実績!$AJ$6:$AJ$505,"&gt;"&amp;$A185,実績!$AK$6:$AK$505,"○")&gt;0,1,0))</f>
        <v>0</v>
      </c>
      <c r="AV185" s="39" t="n">
        <f aca="false">IF(AV$4=0,0,IF(COUNTIFS(実績!$W$6:$W$505,AV$3,実績!$AI$6:$AI$505,"&lt;="&amp;$A185,実績!$AJ$6:$AJ$505,"&gt;"&amp;$A185,実績!$AK$6:$AK$505,"○")&gt;0,1,0))</f>
        <v>0</v>
      </c>
      <c r="AW185" s="39" t="n">
        <f aca="false">IF(AW$4=0,0,IF(COUNTIFS(実績!$W$6:$W$505,AW$3,実績!$AI$6:$AI$505,"&lt;="&amp;$A185,実績!$AJ$6:$AJ$505,"&gt;"&amp;$A185,実績!$AK$6:$AK$505,"○")&gt;0,1,0))</f>
        <v>0</v>
      </c>
      <c r="AX185" s="39" t="n">
        <f aca="false">IF(AX$4=0,0,IF(COUNTIFS(実績!$W$6:$W$505,AX$3,実績!$AI$6:$AI$505,"&lt;="&amp;$A185,実績!$AJ$6:$AJ$505,"&gt;"&amp;$A185,実績!$AK$6:$AK$505,"○")&gt;0,1,0))</f>
        <v>0</v>
      </c>
      <c r="AY185" s="39" t="n">
        <f aca="false">IF(AY$4=0,0,IF(COUNTIFS(実績!$W$6:$W$505,AY$3,実績!$AI$6:$AI$505,"&lt;="&amp;$A185,実績!$AJ$6:$AJ$505,"&gt;"&amp;$A185,実績!$AK$6:$AK$505,"○")&gt;0,1,0))</f>
        <v>0</v>
      </c>
      <c r="AZ185" s="39" t="n">
        <f aca="false">IF(AZ$4=0,0,IF(COUNTIFS(実績!$W$6:$W$505,AZ$3,実績!$AI$6:$AI$505,"&lt;="&amp;$A185,実績!$AJ$6:$AJ$505,"&gt;"&amp;$A185,実績!$AK$6:$AK$505,"○")&gt;0,1,0))</f>
        <v>0</v>
      </c>
      <c r="BA185" s="39" t="n">
        <f aca="false">IF(BA$4=0,0,IF(COUNTIFS(実績!$W$6:$W$505,BA$3,実績!$AI$6:$AI$505,"&lt;="&amp;$A185,実績!$AJ$6:$AJ$505,"&gt;"&amp;$A185,実績!$AK$6:$AK$505,"○")&gt;0,1,0))</f>
        <v>0</v>
      </c>
      <c r="BB185" s="39" t="n">
        <f aca="false">IF(BB$4=0,0,IF(COUNTIFS(実績!$W$6:$W$505,BB$3,実績!$AI$6:$AI$505,"&lt;="&amp;$A185,実績!$AJ$6:$AJ$505,"&gt;"&amp;$A185,実績!$AK$6:$AK$505,"○")&gt;0,1,0))</f>
        <v>0</v>
      </c>
      <c r="BC185" s="39" t="n">
        <f aca="false">IF(BC$4=0,0,IF(COUNTIFS(実績!$W$6:$W$505,BC$3,実績!$AI$6:$AI$505,"&lt;="&amp;$A185,実績!$AJ$6:$AJ$505,"&gt;"&amp;$A185,実績!$AK$6:$AK$505,"○")&gt;0,1,0))</f>
        <v>0</v>
      </c>
      <c r="BD185" s="39" t="n">
        <f aca="false">IF(BD$4=0,0,IF(COUNTIFS(実績!$W$6:$W$505,BD$3,実績!$AI$6:$AI$505,"&lt;="&amp;$A185,実績!$AJ$6:$AJ$505,"&gt;"&amp;$A185,実績!$AK$6:$AK$505,"○")&gt;0,1,0))</f>
        <v>0</v>
      </c>
      <c r="BE185" s="39" t="n">
        <f aca="false">IF(BE$4=0,0,IF(COUNTIFS(実績!$W$6:$W$505,BE$3,実績!$AI$6:$AI$505,"&lt;="&amp;$A185,実績!$AJ$6:$AJ$505,"&gt;"&amp;$A185,実績!$AK$6:$AK$505,"○")&gt;0,1,0))</f>
        <v>0</v>
      </c>
      <c r="BF185" s="39" t="n">
        <f aca="false">IF(BF$4=0,0,IF(COUNTIFS(実績!$W$6:$W$505,BF$3,実績!$AI$6:$AI$505,"&lt;="&amp;$A185,実績!$AJ$6:$AJ$505,"&gt;"&amp;$A185,実績!$AK$6:$AK$505,"○")&gt;0,1,0))</f>
        <v>0</v>
      </c>
      <c r="BG185" s="39" t="n">
        <f aca="false">IF(BG$4=0,0,IF(COUNTIFS(実績!$W$6:$W$505,BG$3,実績!$AI$6:$AI$505,"&lt;="&amp;$A185,実績!$AJ$6:$AJ$505,"&gt;"&amp;$A185,実績!$AK$6:$AK$505,"○")&gt;0,1,0))</f>
        <v>0</v>
      </c>
      <c r="BH185" s="39" t="n">
        <f aca="false">IF(BH$4=0,0,IF(COUNTIFS(実績!$W$6:$W$505,BH$3,実績!$AI$6:$AI$505,"&lt;="&amp;$A185,実績!$AJ$6:$AJ$505,"&gt;"&amp;$A185,実績!$AK$6:$AK$505,"○")&gt;0,1,0))</f>
        <v>0</v>
      </c>
      <c r="BI185" s="39" t="n">
        <f aca="false">IF(BI$4=0,0,IF(COUNTIFS(実績!$W$6:$W$505,BI$3,実績!$AI$6:$AI$505,"&lt;="&amp;$A185,実績!$AJ$6:$AJ$505,"&gt;"&amp;$A185,実績!$AK$6:$AK$505,"○")&gt;0,1,0))</f>
        <v>0</v>
      </c>
      <c r="BJ185" s="39" t="n">
        <f aca="false">IF(BJ$4=0,0,IF(COUNTIFS(実績!$W$6:$W$505,BJ$3,実績!$AI$6:$AI$505,"&lt;="&amp;$A185,実績!$AJ$6:$AJ$505,"&gt;"&amp;$A185,実績!$AK$6:$AK$505,"○")&gt;0,1,0))</f>
        <v>0</v>
      </c>
      <c r="BK185" s="39" t="n">
        <f aca="false">IF(BK$4=0,0,IF(COUNTIFS(実績!$W$6:$W$505,BK$3,実績!$AI$6:$AI$505,"&lt;="&amp;$A185,実績!$AJ$6:$AJ$505,"&gt;"&amp;$A185,実績!$AK$6:$AK$505,"○")&gt;0,1,0))</f>
        <v>0</v>
      </c>
      <c r="BL185" s="39" t="n">
        <f aca="false">IF(BL$4=0,0,IF(COUNTIFS(実績!$W$6:$W$505,BL$3,実績!$AI$6:$AI$505,"&lt;="&amp;$A185,実績!$AJ$6:$AJ$505,"&gt;"&amp;$A185,実績!$AK$6:$AK$505,"○")&gt;0,1,0))</f>
        <v>0</v>
      </c>
      <c r="BM185" s="39" t="n">
        <f aca="false">IF(BM$4=0,0,IF(COUNTIFS(実績!$W$6:$W$505,BM$3,実績!$AI$6:$AI$505,"&lt;="&amp;$A185,実績!$AJ$6:$AJ$505,"&gt;"&amp;$A185,実績!$AK$6:$AK$505,"○")&gt;0,1,0))</f>
        <v>0</v>
      </c>
      <c r="BN185" s="39" t="n">
        <f aca="false">IF(BN$4=0,0,IF(COUNTIFS(実績!$W$6:$W$505,BN$3,実績!$AI$6:$AI$505,"&lt;="&amp;$A185,実績!$AJ$6:$AJ$505,"&gt;"&amp;$A185,実績!$AK$6:$AK$505,"○")&gt;0,1,0))</f>
        <v>0</v>
      </c>
      <c r="BO185" s="39" t="n">
        <f aca="false">IF(BO$4=0,0,IF(COUNTIFS(実績!$W$6:$W$505,BO$3,実績!$AI$6:$AI$505,"&lt;="&amp;$A185,実績!$AJ$6:$AJ$505,"&gt;"&amp;$A185,実績!$AK$6:$AK$505,"○")&gt;0,1,0))</f>
        <v>0</v>
      </c>
      <c r="BP185" s="39" t="n">
        <f aca="false">IF(BP$4=0,0,IF(COUNTIFS(実績!$W$6:$W$505,BP$3,実績!$AI$6:$AI$505,"&lt;="&amp;$A185,実績!$AJ$6:$AJ$505,"&gt;"&amp;$A185,実績!$AK$6:$AK$505,"○")&gt;0,1,0))</f>
        <v>0</v>
      </c>
      <c r="BQ185" s="39" t="n">
        <f aca="false">IF(BQ$4=0,0,IF(COUNTIFS(実績!$W$6:$W$505,BQ$3,実績!$AI$6:$AI$505,"&lt;="&amp;$A185,実績!$AJ$6:$AJ$505,"&gt;"&amp;$A185,実績!$AK$6:$AK$505,"○")&gt;0,1,0))</f>
        <v>0</v>
      </c>
      <c r="BR185" s="39" t="n">
        <f aca="false">IF(BR$4=0,0,IF(COUNTIFS(実績!$W$6:$W$505,BR$3,実績!$AI$6:$AI$505,"&lt;="&amp;$A185,実績!$AJ$6:$AJ$505,"&gt;"&amp;$A185,実績!$AK$6:$AK$505,"○")&gt;0,1,0))</f>
        <v>0</v>
      </c>
      <c r="BS185" s="39" t="n">
        <f aca="false">IF(BS$4=0,0,IF(COUNTIFS(実績!$W$6:$W$505,BS$3,実績!$AI$6:$AI$505,"&lt;="&amp;$A185,実績!$AJ$6:$AJ$505,"&gt;"&amp;$A185,実績!$AK$6:$AK$505,"○")&gt;0,1,0))</f>
        <v>0</v>
      </c>
      <c r="BT185" s="39" t="n">
        <f aca="false">IF(BT$4=0,0,IF(COUNTIFS(実績!$W$6:$W$505,BT$3,実績!$AI$6:$AI$505,"&lt;="&amp;$A185,実績!$AJ$6:$AJ$505,"&gt;"&amp;$A185,実績!$AK$6:$AK$505,"○")&gt;0,1,0))</f>
        <v>0</v>
      </c>
      <c r="BU185" s="39" t="n">
        <f aca="false">IF(BU$4=0,0,IF(COUNTIFS(実績!$W$6:$W$505,BU$3,実績!$AI$6:$AI$505,"&lt;="&amp;$A185,実績!$AJ$6:$AJ$505,"&gt;"&amp;$A185,実績!$AK$6:$AK$505,"○")&gt;0,1,0))</f>
        <v>0</v>
      </c>
      <c r="BV185" s="39" t="n">
        <f aca="false">IF(BV$4=0,0,IF(COUNTIFS(実績!$W$6:$W$505,BV$3,実績!$AI$6:$AI$505,"&lt;="&amp;$A185,実績!$AJ$6:$AJ$505,"&gt;"&amp;$A185,実績!$AK$6:$AK$505,"○")&gt;0,1,0))</f>
        <v>0</v>
      </c>
      <c r="BW185" s="39" t="n">
        <f aca="false">IF(BW$4=0,0,IF(COUNTIFS(実績!$W$6:$W$505,BW$3,実績!$AI$6:$AI$505,"&lt;="&amp;$A185,実績!$AJ$6:$AJ$505,"&gt;"&amp;$A185,実績!$AK$6:$AK$505,"○")&gt;0,1,0))</f>
        <v>0</v>
      </c>
      <c r="BX185" s="39" t="n">
        <f aca="false">IF(BX$4=0,0,IF(COUNTIFS(実績!$W$6:$W$505,BX$3,実績!$AI$6:$AI$505,"&lt;="&amp;$A185,実績!$AJ$6:$AJ$505,"&gt;"&amp;$A185,実績!$AK$6:$AK$505,"○")&gt;0,1,0))</f>
        <v>0</v>
      </c>
      <c r="BY185" s="39" t="n">
        <f aca="false">IF(BY$4=0,0,IF(COUNTIFS(実績!$W$6:$W$505,BY$3,実績!$AI$6:$AI$505,"&lt;="&amp;$A185,実績!$AJ$6:$AJ$505,"&gt;"&amp;$A185,実績!$AK$6:$AK$505,"○")&gt;0,1,0))</f>
        <v>0</v>
      </c>
      <c r="BZ185" s="39" t="n">
        <f aca="false">IF(BZ$4=0,0,IF(COUNTIFS(実績!$W$6:$W$505,BZ$3,実績!$AI$6:$AI$505,"&lt;="&amp;$A185,実績!$AJ$6:$AJ$505,"&gt;"&amp;$A185,実績!$AK$6:$AK$505,"○")&gt;0,1,0))</f>
        <v>0</v>
      </c>
      <c r="CA185" s="39" t="n">
        <f aca="false">IF(CA$4=0,0,IF(COUNTIFS(実績!$W$6:$W$505,CA$3,実績!$AI$6:$AI$505,"&lt;="&amp;$A185,実績!$AJ$6:$AJ$505,"&gt;"&amp;$A185,実績!$AK$6:$AK$505,"○")&gt;0,1,0))</f>
        <v>0</v>
      </c>
      <c r="CB185" s="39" t="n">
        <f aca="false">IF(CB$4=0,0,IF(COUNTIFS(実績!$W$6:$W$505,CB$3,実績!$AI$6:$AI$505,"&lt;="&amp;$A185,実績!$AJ$6:$AJ$505,"&gt;"&amp;$A185,実績!$AK$6:$AK$505,"○")&gt;0,1,0))</f>
        <v>0</v>
      </c>
      <c r="CC185" s="39" t="n">
        <f aca="false">IF(CC$4=0,0,IF(COUNTIFS(実績!$W$6:$W$505,CC$3,実績!$AI$6:$AI$505,"&lt;="&amp;$A185,実績!$AJ$6:$AJ$505,"&gt;"&amp;$A185,実績!$AK$6:$AK$505,"○")&gt;0,1,0))</f>
        <v>0</v>
      </c>
      <c r="CD185" s="39" t="n">
        <f aca="false">IF(CD$4=0,0,IF(COUNTIFS(実績!$W$6:$W$505,CD$3,実績!$AI$6:$AI$505,"&lt;="&amp;$A185,実績!$AJ$6:$AJ$505,"&gt;"&amp;$A185,実績!$AK$6:$AK$505,"○")&gt;0,1,0))</f>
        <v>0</v>
      </c>
      <c r="CE185" s="39" t="n">
        <f aca="false">IF(CE$4=0,0,IF(COUNTIFS(実績!$W$6:$W$505,CE$3,実績!$AI$6:$AI$505,"&lt;="&amp;$A185,実績!$AJ$6:$AJ$505,"&gt;"&amp;$A185,実績!$AK$6:$AK$505,"○")&gt;0,1,0))</f>
        <v>0</v>
      </c>
      <c r="CF185" s="39" t="n">
        <f aca="false">IF(CF$4=0,0,IF(COUNTIFS(実績!$W$6:$W$505,CF$3,実績!$AI$6:$AI$505,"&lt;="&amp;$A185,実績!$AJ$6:$AJ$505,"&gt;"&amp;$A185,実績!$AK$6:$AK$505,"○")&gt;0,1,0))</f>
        <v>0</v>
      </c>
      <c r="CG185" s="39" t="n">
        <f aca="false">IF(CG$4=0,0,IF(COUNTIFS(実績!$W$6:$W$505,CG$3,実績!$AI$6:$AI$505,"&lt;="&amp;$A185,実績!$AJ$6:$AJ$505,"&gt;"&amp;$A185,実績!$AK$6:$AK$505,"○")&gt;0,1,0))</f>
        <v>0</v>
      </c>
      <c r="CH185" s="39" t="n">
        <f aca="false">IF(CH$4=0,0,IF(COUNTIFS(実績!$W$6:$W$505,CH$3,実績!$AI$6:$AI$505,"&lt;="&amp;$A185,実績!$AJ$6:$AJ$505,"&gt;"&amp;$A185,実績!$AK$6:$AK$505,"○")&gt;0,1,0))</f>
        <v>0</v>
      </c>
      <c r="CI185" s="39" t="n">
        <f aca="false">IF(CI$4=0,0,IF(COUNTIFS(実績!$W$6:$W$505,CI$3,実績!$AI$6:$AI$505,"&lt;="&amp;$A185,実績!$AJ$6:$AJ$505,"&gt;"&amp;$A185,実績!$AK$6:$AK$505,"○")&gt;0,1,0))</f>
        <v>0</v>
      </c>
      <c r="CJ185" s="39" t="n">
        <f aca="false">IF(CJ$4=0,0,IF(COUNTIFS(実績!$W$6:$W$505,CJ$3,実績!$AI$6:$AI$505,"&lt;="&amp;$A185,実績!$AJ$6:$AJ$505,"&gt;"&amp;$A185,実績!$AK$6:$AK$505,"○")&gt;0,1,0))</f>
        <v>0</v>
      </c>
      <c r="CK185" s="39" t="n">
        <f aca="false">IF(CK$4=0,0,IF(COUNTIFS(実績!$W$6:$W$505,CK$3,実績!$AI$6:$AI$505,"&lt;="&amp;$A185,実績!$AJ$6:$AJ$505,"&gt;"&amp;$A185,実績!$AK$6:$AK$505,"○")&gt;0,1,0))</f>
        <v>0</v>
      </c>
      <c r="CL185" s="39" t="n">
        <f aca="false">IF(CL$4=0,0,IF(COUNTIFS(実績!$W$6:$W$505,CL$3,実績!$AI$6:$AI$505,"&lt;="&amp;$A185,実績!$AJ$6:$AJ$505,"&gt;"&amp;$A185,実績!$AK$6:$AK$505,"○")&gt;0,1,0))</f>
        <v>0</v>
      </c>
      <c r="CM185" s="39" t="n">
        <f aca="false">IF(CM$4=0,0,IF(COUNTIFS(実績!$W$6:$W$505,CM$3,実績!$AI$6:$AI$505,"&lt;="&amp;$A185,実績!$AJ$6:$AJ$505,"&gt;"&amp;$A185,実績!$AK$6:$AK$505,"○")&gt;0,1,0))</f>
        <v>0</v>
      </c>
      <c r="CN185" s="39" t="n">
        <f aca="false">IF(CN$4=0,0,IF(COUNTIFS(実績!$W$6:$W$505,CN$3,実績!$AI$6:$AI$505,"&lt;="&amp;$A185,実績!$AJ$6:$AJ$505,"&gt;"&amp;$A185,実績!$AK$6:$AK$505,"○")&gt;0,1,0))</f>
        <v>0</v>
      </c>
      <c r="CO185" s="39" t="n">
        <f aca="false">IF(CO$4=0,0,IF(COUNTIFS(実績!$W$6:$W$505,CO$3,実績!$AI$6:$AI$505,"&lt;="&amp;$A185,実績!$AJ$6:$AJ$505,"&gt;"&amp;$A185,実績!$AK$6:$AK$505,"○")&gt;0,1,0))</f>
        <v>0</v>
      </c>
      <c r="CP185" s="39" t="n">
        <f aca="false">IF(CP$4=0,0,IF(COUNTIFS(実績!$W$6:$W$505,CP$3,実績!$AI$6:$AI$505,"&lt;="&amp;$A185,実績!$AJ$6:$AJ$505,"&gt;"&amp;$A185,実績!$AK$6:$AK$505,"○")&gt;0,1,0))</f>
        <v>0</v>
      </c>
      <c r="CQ185" s="39" t="n">
        <f aca="false">IF(CQ$4=0,0,IF(COUNTIFS(実績!$W$6:$W$505,CQ$3,実績!$AI$6:$AI$505,"&lt;="&amp;$A185,実績!$AJ$6:$AJ$505,"&gt;"&amp;$A185,実績!$AK$6:$AK$505,"○")&gt;0,1,0))</f>
        <v>0</v>
      </c>
      <c r="CR185" s="39" t="n">
        <f aca="false">IF(CR$4=0,0,IF(COUNTIFS(実績!$W$6:$W$505,CR$3,実績!$AI$6:$AI$505,"&lt;="&amp;$A185,実績!$AJ$6:$AJ$505,"&gt;"&amp;$A185,実績!$AK$6:$AK$505,"○")&gt;0,1,0))</f>
        <v>0</v>
      </c>
      <c r="CS185" s="39" t="n">
        <f aca="false">IF(CS$4=0,0,IF(COUNTIFS(実績!$W$6:$W$505,CS$3,実績!$AI$6:$AI$505,"&lt;="&amp;$A185,実績!$AJ$6:$AJ$505,"&gt;"&amp;$A185,実績!$AK$6:$AK$505,"○")&gt;0,1,0))</f>
        <v>0</v>
      </c>
      <c r="CT185" s="39" t="n">
        <f aca="false">IF(CT$4=0,0,IF(COUNTIFS(実績!$W$6:$W$505,CT$3,実績!$AI$6:$AI$505,"&lt;="&amp;$A185,実績!$AJ$6:$AJ$505,"&gt;"&amp;$A185,実績!$AK$6:$AK$505,"○")&gt;0,1,0))</f>
        <v>0</v>
      </c>
      <c r="CU185" s="39" t="n">
        <f aca="false">IF(CU$4=0,0,IF(COUNTIFS(実績!$W$6:$W$505,CU$3,実績!$AI$6:$AI$505,"&lt;="&amp;$A185,実績!$AJ$6:$AJ$505,"&gt;"&amp;$A185,実績!$AK$6:$AK$505,"○")&gt;0,1,0))</f>
        <v>0</v>
      </c>
      <c r="CV185" s="39" t="n">
        <f aca="false">IF(CV$4=0,0,IF(COUNTIFS(実績!$W$6:$W$505,CV$3,実績!$AI$6:$AI$505,"&lt;="&amp;$A185,実績!$AJ$6:$AJ$505,"&gt;"&amp;$A185,実績!$AK$6:$AK$505,"○")&gt;0,1,0))</f>
        <v>0</v>
      </c>
      <c r="CW185" s="39" t="n">
        <f aca="false">IF(CW$4=0,0,IF(COUNTIFS(実績!$W$6:$W$505,CW$3,実績!$AI$6:$AI$505,"&lt;="&amp;$A185,実績!$AJ$6:$AJ$505,"&gt;"&amp;$A185,実績!$AK$6:$AK$505,"○")&gt;0,1,0))</f>
        <v>0</v>
      </c>
      <c r="CX185" s="39" t="n">
        <f aca="false">IF(CX$4=0,0,IF(COUNTIFS(実績!$W$6:$W$505,CX$3,実績!$AI$6:$AI$505,"&lt;="&amp;$A185,実績!$AJ$6:$AJ$505,"&gt;"&amp;$A185,実績!$AK$6:$AK$505,"○")&gt;0,1,0))</f>
        <v>0</v>
      </c>
      <c r="CY185" s="39" t="n">
        <f aca="false">IF(CY$4=0,0,IF(COUNTIFS(実績!$W$6:$W$505,CY$3,実績!$AI$6:$AI$505,"&lt;="&amp;$A185,実績!$AJ$6:$AJ$505,"&gt;"&amp;$A185,実績!$AK$6:$AK$505,"○")&gt;0,1,0))</f>
        <v>0</v>
      </c>
      <c r="CZ185" s="39" t="n">
        <f aca="false">IF(CZ$4=0,0,IF(COUNTIFS(実績!$W$6:$W$505,CZ$3,実績!$AI$6:$AI$505,"&lt;="&amp;$A185,実績!$AJ$6:$AJ$505,"&gt;"&amp;$A185,実績!$AK$6:$AK$505,"○")&gt;0,1,0))</f>
        <v>0</v>
      </c>
      <c r="DA185" s="39" t="n">
        <f aca="false">IF(DA$4=0,0,IF(COUNTIFS(実績!$W$6:$W$505,DA$3,実績!$AI$6:$AI$505,"&lt;="&amp;$A185,実績!$AJ$6:$AJ$505,"&gt;"&amp;$A185,実績!$AK$6:$AK$505,"○")&gt;0,1,0))</f>
        <v>0</v>
      </c>
      <c r="DB185" s="39" t="n">
        <f aca="false">IF(DB$4=0,0,IF(COUNTIFS(実績!$W$6:$W$505,DB$3,実績!$AI$6:$AI$505,"&lt;="&amp;$A185,実績!$AJ$6:$AJ$505,"&gt;"&amp;$A185,実績!$AK$6:$AK$505,"○")&gt;0,1,0))</f>
        <v>0</v>
      </c>
      <c r="DC185" s="39" t="n">
        <f aca="false">IF(DC$4=0,0,IF(COUNTIFS(実績!$W$6:$W$505,DC$3,実績!$AI$6:$AI$505,"&lt;="&amp;$A185,実績!$AJ$6:$AJ$505,"&gt;"&amp;$A185,実績!$AK$6:$AK$505,"○")&gt;0,1,0))</f>
        <v>0</v>
      </c>
      <c r="DD185" s="39" t="n">
        <f aca="false">IF(DD$4=0,0,IF(COUNTIFS(実績!$W$6:$W$505,DD$3,実績!$AI$6:$AI$505,"&lt;="&amp;$A185,実績!$AJ$6:$AJ$505,"&gt;"&amp;$A185,実績!$AK$6:$AK$505,"○")&gt;0,1,0))</f>
        <v>0</v>
      </c>
      <c r="DE185" s="39" t="n">
        <f aca="false">IF(DE$4=0,0,IF(COUNTIFS(実績!$W$6:$W$505,DE$3,実績!$AI$6:$AI$505,"&lt;="&amp;$A185,実績!$AJ$6:$AJ$505,"&gt;"&amp;$A185,実績!$AK$6:$AK$505,"○")&gt;0,1,0))</f>
        <v>0</v>
      </c>
      <c r="DF185" s="39" t="n">
        <f aca="false">IF(DF$4=0,0,IF(COUNTIFS(実績!$W$6:$W$505,DF$3,実績!$AI$6:$AI$505,"&lt;="&amp;$A185,実績!$AJ$6:$AJ$505,"&gt;"&amp;$A185,実績!$AK$6:$AK$505,"○")&gt;0,1,0))</f>
        <v>0</v>
      </c>
      <c r="DG185" s="39" t="n">
        <f aca="false">IF(DG$4=0,0,IF(COUNTIFS(実績!$W$6:$W$505,DG$3,実績!$AI$6:$AI$505,"&lt;="&amp;$A185,実績!$AJ$6:$AJ$505,"&gt;"&amp;$A185,実績!$AK$6:$AK$505,"○")&gt;0,1,0))</f>
        <v>0</v>
      </c>
      <c r="DH185" s="39" t="n">
        <f aca="false">IF(DH$4=0,0,IF(COUNTIFS(実績!$W$6:$W$505,DH$3,実績!$AI$6:$AI$505,"&lt;="&amp;$A185,実績!$AJ$6:$AJ$505,"&gt;"&amp;$A185,実績!$AK$6:$AK$505,"○")&gt;0,1,0))</f>
        <v>0</v>
      </c>
      <c r="DI185" s="39" t="n">
        <f aca="false">IF(DI$4=0,0,IF(COUNTIFS(実績!$W$6:$W$505,DI$3,実績!$AI$6:$AI$505,"&lt;="&amp;$A185,実績!$AJ$6:$AJ$505,"&gt;"&amp;$A185,実績!$AK$6:$AK$505,"○")&gt;0,1,0))</f>
        <v>0</v>
      </c>
      <c r="DJ185" s="39" t="n">
        <f aca="false">IF(DJ$4=0,0,IF(COUNTIFS(実績!$W$6:$W$505,DJ$3,実績!$AI$6:$AI$505,"&lt;="&amp;$A185,実績!$AJ$6:$AJ$505,"&gt;"&amp;$A185,実績!$AK$6:$AK$505,"○")&gt;0,1,0))</f>
        <v>0</v>
      </c>
      <c r="DK185" s="39" t="n">
        <f aca="false">IF(DK$4=0,0,IF(COUNTIFS(実績!$W$6:$W$505,DK$3,実績!$AI$6:$AI$505,"&lt;="&amp;$A185,実績!$AJ$6:$AJ$505,"&gt;"&amp;$A185,実績!$AK$6:$AK$505,"○")&gt;0,1,0))</f>
        <v>0</v>
      </c>
      <c r="DL185" s="39" t="n">
        <f aca="false">IF(DL$4=0,0,IF(COUNTIFS(実績!$W$6:$W$505,DL$3,実績!$AI$6:$AI$505,"&lt;="&amp;$A185,実績!$AJ$6:$AJ$505,"&gt;"&amp;$A185,実績!$AK$6:$AK$505,"○")&gt;0,1,0))</f>
        <v>0</v>
      </c>
      <c r="DM185" s="39" t="n">
        <f aca="false">IF(DM$4=0,0,IF(COUNTIFS(実績!$W$6:$W$505,DM$3,実績!$AI$6:$AI$505,"&lt;="&amp;$A185,実績!$AJ$6:$AJ$505,"&gt;"&amp;$A185,実績!$AK$6:$AK$505,"○")&gt;0,1,0))</f>
        <v>0</v>
      </c>
      <c r="DN185" s="39" t="n">
        <f aca="false">IF(DN$4=0,0,IF(COUNTIFS(実績!$W$6:$W$505,DN$3,実績!$AI$6:$AI$505,"&lt;="&amp;$A185,実績!$AJ$6:$AJ$505,"&gt;"&amp;$A185,実績!$AK$6:$AK$505,"○")&gt;0,1,0))</f>
        <v>0</v>
      </c>
      <c r="DO185" s="39" t="n">
        <f aca="false">IF(DO$4=0,0,IF(COUNTIFS(実績!$W$6:$W$505,DO$3,実績!$AI$6:$AI$505,"&lt;="&amp;$A185,実績!$AJ$6:$AJ$505,"&gt;"&amp;$A185,実績!$AK$6:$AK$505,"○")&gt;0,1,0))</f>
        <v>0</v>
      </c>
      <c r="DP185" s="39" t="n">
        <f aca="false">IF(DP$4=0,0,IF(COUNTIFS(実績!$W$6:$W$505,DP$3,実績!$AI$6:$AI$505,"&lt;="&amp;$A185,実績!$AJ$6:$AJ$505,"&gt;"&amp;$A185,実績!$AK$6:$AK$505,"○")&gt;0,1,0))</f>
        <v>0</v>
      </c>
      <c r="DQ185" s="39" t="n">
        <f aca="false">IF(DQ$4=0,0,IF(COUNTIFS(実績!$W$6:$W$505,DQ$3,実績!$AI$6:$AI$505,"&lt;="&amp;$A185,実績!$AJ$6:$AJ$505,"&gt;"&amp;$A185,実績!$AK$6:$AK$505,"○")&gt;0,1,0))</f>
        <v>0</v>
      </c>
      <c r="DR185" s="39" t="n">
        <f aca="false">IF(DR$4=0,0,IF(COUNTIFS(実績!$W$6:$W$505,DR$3,実績!$AI$6:$AI$505,"&lt;="&amp;$A185,実績!$AJ$6:$AJ$505,"&gt;"&amp;$A185,実績!$AK$6:$AK$505,"○")&gt;0,1,0))</f>
        <v>0</v>
      </c>
      <c r="DS185" s="39" t="n">
        <f aca="false">SUM(C185:DR185)</f>
        <v>0</v>
      </c>
      <c r="DT185" s="39" t="n">
        <f aca="false">SUMPRODUCT((実績!$C$6:$C$505="○")*ISNUMBER(実績!$AM$6:$AM$505)*(実績!$AM$6:$AM$505&lt;=$A185)*(実績!$AN$6:$AN$505&gt;$A185))</f>
        <v>0</v>
      </c>
      <c r="DU185" s="39" t="n">
        <f aca="false">SUMIF($C$2:$DR$2,"製鉄曳船",C185:DR185)</f>
        <v>0</v>
      </c>
      <c r="DV185" s="39" t="n">
        <f aca="false">SUMIF($C$2:$DR$2,"西日本海運",C185:DR185)</f>
        <v>0</v>
      </c>
    </row>
    <row r="186" customFormat="false" ht="15" hidden="false" customHeight="false" outlineLevel="0" collapsed="false">
      <c r="A186" s="0" t="n">
        <v>900</v>
      </c>
      <c r="B186" s="38" t="n">
        <f aca="false">A186/1440</f>
        <v>0.625</v>
      </c>
      <c r="C186" s="39" t="n">
        <f aca="false">IF(C$4=0,0,IF(COUNTIFS(実績!$W$6:$W$505,C$3,実績!$AI$6:$AI$505,"&lt;="&amp;$A186,実績!$AJ$6:$AJ$505,"&gt;"&amp;$A186,実績!$AK$6:$AK$505,"○")&gt;0,1,0))</f>
        <v>0</v>
      </c>
      <c r="D186" s="39" t="n">
        <f aca="false">IF(D$4=0,0,IF(COUNTIFS(実績!$W$6:$W$505,D$3,実績!$AI$6:$AI$505,"&lt;="&amp;$A186,実績!$AJ$6:$AJ$505,"&gt;"&amp;$A186,実績!$AK$6:$AK$505,"○")&gt;0,1,0))</f>
        <v>0</v>
      </c>
      <c r="E186" s="39" t="n">
        <f aca="false">IF(E$4=0,0,IF(COUNTIFS(実績!$W$6:$W$505,E$3,実績!$AI$6:$AI$505,"&lt;="&amp;$A186,実績!$AJ$6:$AJ$505,"&gt;"&amp;$A186,実績!$AK$6:$AK$505,"○")&gt;0,1,0))</f>
        <v>0</v>
      </c>
      <c r="F186" s="39" t="n">
        <f aca="false">IF(F$4=0,0,IF(COUNTIFS(実績!$W$6:$W$505,F$3,実績!$AI$6:$AI$505,"&lt;="&amp;$A186,実績!$AJ$6:$AJ$505,"&gt;"&amp;$A186,実績!$AK$6:$AK$505,"○")&gt;0,1,0))</f>
        <v>0</v>
      </c>
      <c r="G186" s="39" t="n">
        <f aca="false">IF(G$4=0,0,IF(COUNTIFS(実績!$W$6:$W$505,G$3,実績!$AI$6:$AI$505,"&lt;="&amp;$A186,実績!$AJ$6:$AJ$505,"&gt;"&amp;$A186,実績!$AK$6:$AK$505,"○")&gt;0,1,0))</f>
        <v>0</v>
      </c>
      <c r="H186" s="39" t="n">
        <f aca="false">IF(H$4=0,0,IF(COUNTIFS(実績!$W$6:$W$505,H$3,実績!$AI$6:$AI$505,"&lt;="&amp;$A186,実績!$AJ$6:$AJ$505,"&gt;"&amp;$A186,実績!$AK$6:$AK$505,"○")&gt;0,1,0))</f>
        <v>0</v>
      </c>
      <c r="I186" s="39" t="n">
        <f aca="false">IF(I$4=0,0,IF(COUNTIFS(実績!$W$6:$W$505,I$3,実績!$AI$6:$AI$505,"&lt;="&amp;$A186,実績!$AJ$6:$AJ$505,"&gt;"&amp;$A186,実績!$AK$6:$AK$505,"○")&gt;0,1,0))</f>
        <v>0</v>
      </c>
      <c r="J186" s="39" t="n">
        <f aca="false">IF(J$4=0,0,IF(COUNTIFS(実績!$W$6:$W$505,J$3,実績!$AI$6:$AI$505,"&lt;="&amp;$A186,実績!$AJ$6:$AJ$505,"&gt;"&amp;$A186,実績!$AK$6:$AK$505,"○")&gt;0,1,0))</f>
        <v>0</v>
      </c>
      <c r="K186" s="39" t="n">
        <f aca="false">IF(K$4=0,0,IF(COUNTIFS(実績!$W$6:$W$505,K$3,実績!$AI$6:$AI$505,"&lt;="&amp;$A186,実績!$AJ$6:$AJ$505,"&gt;"&amp;$A186,実績!$AK$6:$AK$505,"○")&gt;0,1,0))</f>
        <v>0</v>
      </c>
      <c r="L186" s="39" t="n">
        <f aca="false">IF(L$4=0,0,IF(COUNTIFS(実績!$W$6:$W$505,L$3,実績!$AI$6:$AI$505,"&lt;="&amp;$A186,実績!$AJ$6:$AJ$505,"&gt;"&amp;$A186,実績!$AK$6:$AK$505,"○")&gt;0,1,0))</f>
        <v>0</v>
      </c>
      <c r="M186" s="39" t="n">
        <f aca="false">IF(M$4=0,0,IF(COUNTIFS(実績!$W$6:$W$505,M$3,実績!$AI$6:$AI$505,"&lt;="&amp;$A186,実績!$AJ$6:$AJ$505,"&gt;"&amp;$A186,実績!$AK$6:$AK$505,"○")&gt;0,1,0))</f>
        <v>0</v>
      </c>
      <c r="N186" s="39" t="n">
        <f aca="false">IF(N$4=0,0,IF(COUNTIFS(実績!$W$6:$W$505,N$3,実績!$AI$6:$AI$505,"&lt;="&amp;$A186,実績!$AJ$6:$AJ$505,"&gt;"&amp;$A186,実績!$AK$6:$AK$505,"○")&gt;0,1,0))</f>
        <v>0</v>
      </c>
      <c r="O186" s="39" t="n">
        <f aca="false">IF(O$4=0,0,IF(COUNTIFS(実績!$W$6:$W$505,O$3,実績!$AI$6:$AI$505,"&lt;="&amp;$A186,実績!$AJ$6:$AJ$505,"&gt;"&amp;$A186,実績!$AK$6:$AK$505,"○")&gt;0,1,0))</f>
        <v>0</v>
      </c>
      <c r="P186" s="39" t="n">
        <f aca="false">IF(P$4=0,0,IF(COUNTIFS(実績!$W$6:$W$505,P$3,実績!$AI$6:$AI$505,"&lt;="&amp;$A186,実績!$AJ$6:$AJ$505,"&gt;"&amp;$A186,実績!$AK$6:$AK$505,"○")&gt;0,1,0))</f>
        <v>0</v>
      </c>
      <c r="Q186" s="39" t="n">
        <f aca="false">IF(Q$4=0,0,IF(COUNTIFS(実績!$W$6:$W$505,Q$3,実績!$AI$6:$AI$505,"&lt;="&amp;$A186,実績!$AJ$6:$AJ$505,"&gt;"&amp;$A186,実績!$AK$6:$AK$505,"○")&gt;0,1,0))</f>
        <v>0</v>
      </c>
      <c r="R186" s="39" t="n">
        <f aca="false">IF(R$4=0,0,IF(COUNTIFS(実績!$W$6:$W$505,R$3,実績!$AI$6:$AI$505,"&lt;="&amp;$A186,実績!$AJ$6:$AJ$505,"&gt;"&amp;$A186,実績!$AK$6:$AK$505,"○")&gt;0,1,0))</f>
        <v>0</v>
      </c>
      <c r="S186" s="39" t="n">
        <f aca="false">IF(S$4=0,0,IF(COUNTIFS(実績!$W$6:$W$505,S$3,実績!$AI$6:$AI$505,"&lt;="&amp;$A186,実績!$AJ$6:$AJ$505,"&gt;"&amp;$A186,実績!$AK$6:$AK$505,"○")&gt;0,1,0))</f>
        <v>0</v>
      </c>
      <c r="T186" s="39" t="n">
        <f aca="false">IF(T$4=0,0,IF(COUNTIFS(実績!$W$6:$W$505,T$3,実績!$AI$6:$AI$505,"&lt;="&amp;$A186,実績!$AJ$6:$AJ$505,"&gt;"&amp;$A186,実績!$AK$6:$AK$505,"○")&gt;0,1,0))</f>
        <v>0</v>
      </c>
      <c r="U186" s="39" t="n">
        <f aca="false">IF(U$4=0,0,IF(COUNTIFS(実績!$W$6:$W$505,U$3,実績!$AI$6:$AI$505,"&lt;="&amp;$A186,実績!$AJ$6:$AJ$505,"&gt;"&amp;$A186,実績!$AK$6:$AK$505,"○")&gt;0,1,0))</f>
        <v>0</v>
      </c>
      <c r="V186" s="39" t="n">
        <f aca="false">IF(V$4=0,0,IF(COUNTIFS(実績!$W$6:$W$505,V$3,実績!$AI$6:$AI$505,"&lt;="&amp;$A186,実績!$AJ$6:$AJ$505,"&gt;"&amp;$A186,実績!$AK$6:$AK$505,"○")&gt;0,1,0))</f>
        <v>0</v>
      </c>
      <c r="W186" s="39" t="n">
        <f aca="false">IF(W$4=0,0,IF(COUNTIFS(実績!$W$6:$W$505,W$3,実績!$AI$6:$AI$505,"&lt;="&amp;$A186,実績!$AJ$6:$AJ$505,"&gt;"&amp;$A186,実績!$AK$6:$AK$505,"○")&gt;0,1,0))</f>
        <v>0</v>
      </c>
      <c r="X186" s="39" t="n">
        <f aca="false">IF(X$4=0,0,IF(COUNTIFS(実績!$W$6:$W$505,X$3,実績!$AI$6:$AI$505,"&lt;="&amp;$A186,実績!$AJ$6:$AJ$505,"&gt;"&amp;$A186,実績!$AK$6:$AK$505,"○")&gt;0,1,0))</f>
        <v>0</v>
      </c>
      <c r="Y186" s="39" t="n">
        <f aca="false">IF(Y$4=0,0,IF(COUNTIFS(実績!$W$6:$W$505,Y$3,実績!$AI$6:$AI$505,"&lt;="&amp;$A186,実績!$AJ$6:$AJ$505,"&gt;"&amp;$A186,実績!$AK$6:$AK$505,"○")&gt;0,1,0))</f>
        <v>0</v>
      </c>
      <c r="Z186" s="39" t="n">
        <f aca="false">IF(Z$4=0,0,IF(COUNTIFS(実績!$W$6:$W$505,Z$3,実績!$AI$6:$AI$505,"&lt;="&amp;$A186,実績!$AJ$6:$AJ$505,"&gt;"&amp;$A186,実績!$AK$6:$AK$505,"○")&gt;0,1,0))</f>
        <v>0</v>
      </c>
      <c r="AA186" s="39" t="n">
        <f aca="false">IF(AA$4=0,0,IF(COUNTIFS(実績!$W$6:$W$505,AA$3,実績!$AI$6:$AI$505,"&lt;="&amp;$A186,実績!$AJ$6:$AJ$505,"&gt;"&amp;$A186,実績!$AK$6:$AK$505,"○")&gt;0,1,0))</f>
        <v>0</v>
      </c>
      <c r="AB186" s="39" t="n">
        <f aca="false">IF(AB$4=0,0,IF(COUNTIFS(実績!$W$6:$W$505,AB$3,実績!$AI$6:$AI$505,"&lt;="&amp;$A186,実績!$AJ$6:$AJ$505,"&gt;"&amp;$A186,実績!$AK$6:$AK$505,"○")&gt;0,1,0))</f>
        <v>0</v>
      </c>
      <c r="AC186" s="39" t="n">
        <f aca="false">IF(AC$4=0,0,IF(COUNTIFS(実績!$W$6:$W$505,AC$3,実績!$AI$6:$AI$505,"&lt;="&amp;$A186,実績!$AJ$6:$AJ$505,"&gt;"&amp;$A186,実績!$AK$6:$AK$505,"○")&gt;0,1,0))</f>
        <v>0</v>
      </c>
      <c r="AD186" s="39" t="n">
        <f aca="false">IF(AD$4=0,0,IF(COUNTIFS(実績!$W$6:$W$505,AD$3,実績!$AI$6:$AI$505,"&lt;="&amp;$A186,実績!$AJ$6:$AJ$505,"&gt;"&amp;$A186,実績!$AK$6:$AK$505,"○")&gt;0,1,0))</f>
        <v>0</v>
      </c>
      <c r="AE186" s="39" t="n">
        <f aca="false">IF(AE$4=0,0,IF(COUNTIFS(実績!$W$6:$W$505,AE$3,実績!$AI$6:$AI$505,"&lt;="&amp;$A186,実績!$AJ$6:$AJ$505,"&gt;"&amp;$A186,実績!$AK$6:$AK$505,"○")&gt;0,1,0))</f>
        <v>0</v>
      </c>
      <c r="AF186" s="39" t="n">
        <f aca="false">IF(AF$4=0,0,IF(COUNTIFS(実績!$W$6:$W$505,AF$3,実績!$AI$6:$AI$505,"&lt;="&amp;$A186,実績!$AJ$6:$AJ$505,"&gt;"&amp;$A186,実績!$AK$6:$AK$505,"○")&gt;0,1,0))</f>
        <v>0</v>
      </c>
      <c r="AG186" s="39" t="n">
        <f aca="false">IF(AG$4=0,0,IF(COUNTIFS(実績!$W$6:$W$505,AG$3,実績!$AI$6:$AI$505,"&lt;="&amp;$A186,実績!$AJ$6:$AJ$505,"&gt;"&amp;$A186,実績!$AK$6:$AK$505,"○")&gt;0,1,0))</f>
        <v>0</v>
      </c>
      <c r="AH186" s="39" t="n">
        <f aca="false">IF(AH$4=0,0,IF(COUNTIFS(実績!$W$6:$W$505,AH$3,実績!$AI$6:$AI$505,"&lt;="&amp;$A186,実績!$AJ$6:$AJ$505,"&gt;"&amp;$A186,実績!$AK$6:$AK$505,"○")&gt;0,1,0))</f>
        <v>0</v>
      </c>
      <c r="AI186" s="39" t="n">
        <f aca="false">IF(AI$4=0,0,IF(COUNTIFS(実績!$W$6:$W$505,AI$3,実績!$AI$6:$AI$505,"&lt;="&amp;$A186,実績!$AJ$6:$AJ$505,"&gt;"&amp;$A186,実績!$AK$6:$AK$505,"○")&gt;0,1,0))</f>
        <v>0</v>
      </c>
      <c r="AJ186" s="39" t="n">
        <f aca="false">IF(AJ$4=0,0,IF(COUNTIFS(実績!$W$6:$W$505,AJ$3,実績!$AI$6:$AI$505,"&lt;="&amp;$A186,実績!$AJ$6:$AJ$505,"&gt;"&amp;$A186,実績!$AK$6:$AK$505,"○")&gt;0,1,0))</f>
        <v>0</v>
      </c>
      <c r="AK186" s="39" t="n">
        <f aca="false">IF(AK$4=0,0,IF(COUNTIFS(実績!$W$6:$W$505,AK$3,実績!$AI$6:$AI$505,"&lt;="&amp;$A186,実績!$AJ$6:$AJ$505,"&gt;"&amp;$A186,実績!$AK$6:$AK$505,"○")&gt;0,1,0))</f>
        <v>0</v>
      </c>
      <c r="AL186" s="39" t="n">
        <f aca="false">IF(AL$4=0,0,IF(COUNTIFS(実績!$W$6:$W$505,AL$3,実績!$AI$6:$AI$505,"&lt;="&amp;$A186,実績!$AJ$6:$AJ$505,"&gt;"&amp;$A186,実績!$AK$6:$AK$505,"○")&gt;0,1,0))</f>
        <v>0</v>
      </c>
      <c r="AM186" s="39" t="n">
        <f aca="false">IF(AM$4=0,0,IF(COUNTIFS(実績!$W$6:$W$505,AM$3,実績!$AI$6:$AI$505,"&lt;="&amp;$A186,実績!$AJ$6:$AJ$505,"&gt;"&amp;$A186,実績!$AK$6:$AK$505,"○")&gt;0,1,0))</f>
        <v>0</v>
      </c>
      <c r="AN186" s="39" t="n">
        <f aca="false">IF(AN$4=0,0,IF(COUNTIFS(実績!$W$6:$W$505,AN$3,実績!$AI$6:$AI$505,"&lt;="&amp;$A186,実績!$AJ$6:$AJ$505,"&gt;"&amp;$A186,実績!$AK$6:$AK$505,"○")&gt;0,1,0))</f>
        <v>0</v>
      </c>
      <c r="AO186" s="39" t="n">
        <f aca="false">IF(AO$4=0,0,IF(COUNTIFS(実績!$W$6:$W$505,AO$3,実績!$AI$6:$AI$505,"&lt;="&amp;$A186,実績!$AJ$6:$AJ$505,"&gt;"&amp;$A186,実績!$AK$6:$AK$505,"○")&gt;0,1,0))</f>
        <v>0</v>
      </c>
      <c r="AP186" s="39" t="n">
        <f aca="false">IF(AP$4=0,0,IF(COUNTIFS(実績!$W$6:$W$505,AP$3,実績!$AI$6:$AI$505,"&lt;="&amp;$A186,実績!$AJ$6:$AJ$505,"&gt;"&amp;$A186,実績!$AK$6:$AK$505,"○")&gt;0,1,0))</f>
        <v>0</v>
      </c>
      <c r="AQ186" s="39" t="n">
        <f aca="false">IF(AQ$4=0,0,IF(COUNTIFS(実績!$W$6:$W$505,AQ$3,実績!$AI$6:$AI$505,"&lt;="&amp;$A186,実績!$AJ$6:$AJ$505,"&gt;"&amp;$A186,実績!$AK$6:$AK$505,"○")&gt;0,1,0))</f>
        <v>0</v>
      </c>
      <c r="AR186" s="39" t="n">
        <f aca="false">IF(AR$4=0,0,IF(COUNTIFS(実績!$W$6:$W$505,AR$3,実績!$AI$6:$AI$505,"&lt;="&amp;$A186,実績!$AJ$6:$AJ$505,"&gt;"&amp;$A186,実績!$AK$6:$AK$505,"○")&gt;0,1,0))</f>
        <v>0</v>
      </c>
      <c r="AS186" s="39" t="n">
        <f aca="false">IF(AS$4=0,0,IF(COUNTIFS(実績!$W$6:$W$505,AS$3,実績!$AI$6:$AI$505,"&lt;="&amp;$A186,実績!$AJ$6:$AJ$505,"&gt;"&amp;$A186,実績!$AK$6:$AK$505,"○")&gt;0,1,0))</f>
        <v>0</v>
      </c>
      <c r="AT186" s="39" t="n">
        <f aca="false">IF(AT$4=0,0,IF(COUNTIFS(実績!$W$6:$W$505,AT$3,実績!$AI$6:$AI$505,"&lt;="&amp;$A186,実績!$AJ$6:$AJ$505,"&gt;"&amp;$A186,実績!$AK$6:$AK$505,"○")&gt;0,1,0))</f>
        <v>0</v>
      </c>
      <c r="AU186" s="39" t="n">
        <f aca="false">IF(AU$4=0,0,IF(COUNTIFS(実績!$W$6:$W$505,AU$3,実績!$AI$6:$AI$505,"&lt;="&amp;$A186,実績!$AJ$6:$AJ$505,"&gt;"&amp;$A186,実績!$AK$6:$AK$505,"○")&gt;0,1,0))</f>
        <v>0</v>
      </c>
      <c r="AV186" s="39" t="n">
        <f aca="false">IF(AV$4=0,0,IF(COUNTIFS(実績!$W$6:$W$505,AV$3,実績!$AI$6:$AI$505,"&lt;="&amp;$A186,実績!$AJ$6:$AJ$505,"&gt;"&amp;$A186,実績!$AK$6:$AK$505,"○")&gt;0,1,0))</f>
        <v>0</v>
      </c>
      <c r="AW186" s="39" t="n">
        <f aca="false">IF(AW$4=0,0,IF(COUNTIFS(実績!$W$6:$W$505,AW$3,実績!$AI$6:$AI$505,"&lt;="&amp;$A186,実績!$AJ$6:$AJ$505,"&gt;"&amp;$A186,実績!$AK$6:$AK$505,"○")&gt;0,1,0))</f>
        <v>0</v>
      </c>
      <c r="AX186" s="39" t="n">
        <f aca="false">IF(AX$4=0,0,IF(COUNTIFS(実績!$W$6:$W$505,AX$3,実績!$AI$6:$AI$505,"&lt;="&amp;$A186,実績!$AJ$6:$AJ$505,"&gt;"&amp;$A186,実績!$AK$6:$AK$505,"○")&gt;0,1,0))</f>
        <v>0</v>
      </c>
      <c r="AY186" s="39" t="n">
        <f aca="false">IF(AY$4=0,0,IF(COUNTIFS(実績!$W$6:$W$505,AY$3,実績!$AI$6:$AI$505,"&lt;="&amp;$A186,実績!$AJ$6:$AJ$505,"&gt;"&amp;$A186,実績!$AK$6:$AK$505,"○")&gt;0,1,0))</f>
        <v>0</v>
      </c>
      <c r="AZ186" s="39" t="n">
        <f aca="false">IF(AZ$4=0,0,IF(COUNTIFS(実績!$W$6:$W$505,AZ$3,実績!$AI$6:$AI$505,"&lt;="&amp;$A186,実績!$AJ$6:$AJ$505,"&gt;"&amp;$A186,実績!$AK$6:$AK$505,"○")&gt;0,1,0))</f>
        <v>0</v>
      </c>
      <c r="BA186" s="39" t="n">
        <f aca="false">IF(BA$4=0,0,IF(COUNTIFS(実績!$W$6:$W$505,BA$3,実績!$AI$6:$AI$505,"&lt;="&amp;$A186,実績!$AJ$6:$AJ$505,"&gt;"&amp;$A186,実績!$AK$6:$AK$505,"○")&gt;0,1,0))</f>
        <v>0</v>
      </c>
      <c r="BB186" s="39" t="n">
        <f aca="false">IF(BB$4=0,0,IF(COUNTIFS(実績!$W$6:$W$505,BB$3,実績!$AI$6:$AI$505,"&lt;="&amp;$A186,実績!$AJ$6:$AJ$505,"&gt;"&amp;$A186,実績!$AK$6:$AK$505,"○")&gt;0,1,0))</f>
        <v>0</v>
      </c>
      <c r="BC186" s="39" t="n">
        <f aca="false">IF(BC$4=0,0,IF(COUNTIFS(実績!$W$6:$W$505,BC$3,実績!$AI$6:$AI$505,"&lt;="&amp;$A186,実績!$AJ$6:$AJ$505,"&gt;"&amp;$A186,実績!$AK$6:$AK$505,"○")&gt;0,1,0))</f>
        <v>0</v>
      </c>
      <c r="BD186" s="39" t="n">
        <f aca="false">IF(BD$4=0,0,IF(COUNTIFS(実績!$W$6:$W$505,BD$3,実績!$AI$6:$AI$505,"&lt;="&amp;$A186,実績!$AJ$6:$AJ$505,"&gt;"&amp;$A186,実績!$AK$6:$AK$505,"○")&gt;0,1,0))</f>
        <v>0</v>
      </c>
      <c r="BE186" s="39" t="n">
        <f aca="false">IF(BE$4=0,0,IF(COUNTIFS(実績!$W$6:$W$505,BE$3,実績!$AI$6:$AI$505,"&lt;="&amp;$A186,実績!$AJ$6:$AJ$505,"&gt;"&amp;$A186,実績!$AK$6:$AK$505,"○")&gt;0,1,0))</f>
        <v>0</v>
      </c>
      <c r="BF186" s="39" t="n">
        <f aca="false">IF(BF$4=0,0,IF(COUNTIFS(実績!$W$6:$W$505,BF$3,実績!$AI$6:$AI$505,"&lt;="&amp;$A186,実績!$AJ$6:$AJ$505,"&gt;"&amp;$A186,実績!$AK$6:$AK$505,"○")&gt;0,1,0))</f>
        <v>0</v>
      </c>
      <c r="BG186" s="39" t="n">
        <f aca="false">IF(BG$4=0,0,IF(COUNTIFS(実績!$W$6:$W$505,BG$3,実績!$AI$6:$AI$505,"&lt;="&amp;$A186,実績!$AJ$6:$AJ$505,"&gt;"&amp;$A186,実績!$AK$6:$AK$505,"○")&gt;0,1,0))</f>
        <v>0</v>
      </c>
      <c r="BH186" s="39" t="n">
        <f aca="false">IF(BH$4=0,0,IF(COUNTIFS(実績!$W$6:$W$505,BH$3,実績!$AI$6:$AI$505,"&lt;="&amp;$A186,実績!$AJ$6:$AJ$505,"&gt;"&amp;$A186,実績!$AK$6:$AK$505,"○")&gt;0,1,0))</f>
        <v>0</v>
      </c>
      <c r="BI186" s="39" t="n">
        <f aca="false">IF(BI$4=0,0,IF(COUNTIFS(実績!$W$6:$W$505,BI$3,実績!$AI$6:$AI$505,"&lt;="&amp;$A186,実績!$AJ$6:$AJ$505,"&gt;"&amp;$A186,実績!$AK$6:$AK$505,"○")&gt;0,1,0))</f>
        <v>0</v>
      </c>
      <c r="BJ186" s="39" t="n">
        <f aca="false">IF(BJ$4=0,0,IF(COUNTIFS(実績!$W$6:$W$505,BJ$3,実績!$AI$6:$AI$505,"&lt;="&amp;$A186,実績!$AJ$6:$AJ$505,"&gt;"&amp;$A186,実績!$AK$6:$AK$505,"○")&gt;0,1,0))</f>
        <v>0</v>
      </c>
      <c r="BK186" s="39" t="n">
        <f aca="false">IF(BK$4=0,0,IF(COUNTIFS(実績!$W$6:$W$505,BK$3,実績!$AI$6:$AI$505,"&lt;="&amp;$A186,実績!$AJ$6:$AJ$505,"&gt;"&amp;$A186,実績!$AK$6:$AK$505,"○")&gt;0,1,0))</f>
        <v>0</v>
      </c>
      <c r="BL186" s="39" t="n">
        <f aca="false">IF(BL$4=0,0,IF(COUNTIFS(実績!$W$6:$W$505,BL$3,実績!$AI$6:$AI$505,"&lt;="&amp;$A186,実績!$AJ$6:$AJ$505,"&gt;"&amp;$A186,実績!$AK$6:$AK$505,"○")&gt;0,1,0))</f>
        <v>0</v>
      </c>
      <c r="BM186" s="39" t="n">
        <f aca="false">IF(BM$4=0,0,IF(COUNTIFS(実績!$W$6:$W$505,BM$3,実績!$AI$6:$AI$505,"&lt;="&amp;$A186,実績!$AJ$6:$AJ$505,"&gt;"&amp;$A186,実績!$AK$6:$AK$505,"○")&gt;0,1,0))</f>
        <v>0</v>
      </c>
      <c r="BN186" s="39" t="n">
        <f aca="false">IF(BN$4=0,0,IF(COUNTIFS(実績!$W$6:$W$505,BN$3,実績!$AI$6:$AI$505,"&lt;="&amp;$A186,実績!$AJ$6:$AJ$505,"&gt;"&amp;$A186,実績!$AK$6:$AK$505,"○")&gt;0,1,0))</f>
        <v>0</v>
      </c>
      <c r="BO186" s="39" t="n">
        <f aca="false">IF(BO$4=0,0,IF(COUNTIFS(実績!$W$6:$W$505,BO$3,実績!$AI$6:$AI$505,"&lt;="&amp;$A186,実績!$AJ$6:$AJ$505,"&gt;"&amp;$A186,実績!$AK$6:$AK$505,"○")&gt;0,1,0))</f>
        <v>0</v>
      </c>
      <c r="BP186" s="39" t="n">
        <f aca="false">IF(BP$4=0,0,IF(COUNTIFS(実績!$W$6:$W$505,BP$3,実績!$AI$6:$AI$505,"&lt;="&amp;$A186,実績!$AJ$6:$AJ$505,"&gt;"&amp;$A186,実績!$AK$6:$AK$505,"○")&gt;0,1,0))</f>
        <v>0</v>
      </c>
      <c r="BQ186" s="39" t="n">
        <f aca="false">IF(BQ$4=0,0,IF(COUNTIFS(実績!$W$6:$W$505,BQ$3,実績!$AI$6:$AI$505,"&lt;="&amp;$A186,実績!$AJ$6:$AJ$505,"&gt;"&amp;$A186,実績!$AK$6:$AK$505,"○")&gt;0,1,0))</f>
        <v>0</v>
      </c>
      <c r="BR186" s="39" t="n">
        <f aca="false">IF(BR$4=0,0,IF(COUNTIFS(実績!$W$6:$W$505,BR$3,実績!$AI$6:$AI$505,"&lt;="&amp;$A186,実績!$AJ$6:$AJ$505,"&gt;"&amp;$A186,実績!$AK$6:$AK$505,"○")&gt;0,1,0))</f>
        <v>0</v>
      </c>
      <c r="BS186" s="39" t="n">
        <f aca="false">IF(BS$4=0,0,IF(COUNTIFS(実績!$W$6:$W$505,BS$3,実績!$AI$6:$AI$505,"&lt;="&amp;$A186,実績!$AJ$6:$AJ$505,"&gt;"&amp;$A186,実績!$AK$6:$AK$505,"○")&gt;0,1,0))</f>
        <v>0</v>
      </c>
      <c r="BT186" s="39" t="n">
        <f aca="false">IF(BT$4=0,0,IF(COUNTIFS(実績!$W$6:$W$505,BT$3,実績!$AI$6:$AI$505,"&lt;="&amp;$A186,実績!$AJ$6:$AJ$505,"&gt;"&amp;$A186,実績!$AK$6:$AK$505,"○")&gt;0,1,0))</f>
        <v>0</v>
      </c>
      <c r="BU186" s="39" t="n">
        <f aca="false">IF(BU$4=0,0,IF(COUNTIFS(実績!$W$6:$W$505,BU$3,実績!$AI$6:$AI$505,"&lt;="&amp;$A186,実績!$AJ$6:$AJ$505,"&gt;"&amp;$A186,実績!$AK$6:$AK$505,"○")&gt;0,1,0))</f>
        <v>0</v>
      </c>
      <c r="BV186" s="39" t="n">
        <f aca="false">IF(BV$4=0,0,IF(COUNTIFS(実績!$W$6:$W$505,BV$3,実績!$AI$6:$AI$505,"&lt;="&amp;$A186,実績!$AJ$6:$AJ$505,"&gt;"&amp;$A186,実績!$AK$6:$AK$505,"○")&gt;0,1,0))</f>
        <v>0</v>
      </c>
      <c r="BW186" s="39" t="n">
        <f aca="false">IF(BW$4=0,0,IF(COUNTIFS(実績!$W$6:$W$505,BW$3,実績!$AI$6:$AI$505,"&lt;="&amp;$A186,実績!$AJ$6:$AJ$505,"&gt;"&amp;$A186,実績!$AK$6:$AK$505,"○")&gt;0,1,0))</f>
        <v>0</v>
      </c>
      <c r="BX186" s="39" t="n">
        <f aca="false">IF(BX$4=0,0,IF(COUNTIFS(実績!$W$6:$W$505,BX$3,実績!$AI$6:$AI$505,"&lt;="&amp;$A186,実績!$AJ$6:$AJ$505,"&gt;"&amp;$A186,実績!$AK$6:$AK$505,"○")&gt;0,1,0))</f>
        <v>0</v>
      </c>
      <c r="BY186" s="39" t="n">
        <f aca="false">IF(BY$4=0,0,IF(COUNTIFS(実績!$W$6:$W$505,BY$3,実績!$AI$6:$AI$505,"&lt;="&amp;$A186,実績!$AJ$6:$AJ$505,"&gt;"&amp;$A186,実績!$AK$6:$AK$505,"○")&gt;0,1,0))</f>
        <v>0</v>
      </c>
      <c r="BZ186" s="39" t="n">
        <f aca="false">IF(BZ$4=0,0,IF(COUNTIFS(実績!$W$6:$W$505,BZ$3,実績!$AI$6:$AI$505,"&lt;="&amp;$A186,実績!$AJ$6:$AJ$505,"&gt;"&amp;$A186,実績!$AK$6:$AK$505,"○")&gt;0,1,0))</f>
        <v>0</v>
      </c>
      <c r="CA186" s="39" t="n">
        <f aca="false">IF(CA$4=0,0,IF(COUNTIFS(実績!$W$6:$W$505,CA$3,実績!$AI$6:$AI$505,"&lt;="&amp;$A186,実績!$AJ$6:$AJ$505,"&gt;"&amp;$A186,実績!$AK$6:$AK$505,"○")&gt;0,1,0))</f>
        <v>0</v>
      </c>
      <c r="CB186" s="39" t="n">
        <f aca="false">IF(CB$4=0,0,IF(COUNTIFS(実績!$W$6:$W$505,CB$3,実績!$AI$6:$AI$505,"&lt;="&amp;$A186,実績!$AJ$6:$AJ$505,"&gt;"&amp;$A186,実績!$AK$6:$AK$505,"○")&gt;0,1,0))</f>
        <v>0</v>
      </c>
      <c r="CC186" s="39" t="n">
        <f aca="false">IF(CC$4=0,0,IF(COUNTIFS(実績!$W$6:$W$505,CC$3,実績!$AI$6:$AI$505,"&lt;="&amp;$A186,実績!$AJ$6:$AJ$505,"&gt;"&amp;$A186,実績!$AK$6:$AK$505,"○")&gt;0,1,0))</f>
        <v>0</v>
      </c>
      <c r="CD186" s="39" t="n">
        <f aca="false">IF(CD$4=0,0,IF(COUNTIFS(実績!$W$6:$W$505,CD$3,実績!$AI$6:$AI$505,"&lt;="&amp;$A186,実績!$AJ$6:$AJ$505,"&gt;"&amp;$A186,実績!$AK$6:$AK$505,"○")&gt;0,1,0))</f>
        <v>0</v>
      </c>
      <c r="CE186" s="39" t="n">
        <f aca="false">IF(CE$4=0,0,IF(COUNTIFS(実績!$W$6:$W$505,CE$3,実績!$AI$6:$AI$505,"&lt;="&amp;$A186,実績!$AJ$6:$AJ$505,"&gt;"&amp;$A186,実績!$AK$6:$AK$505,"○")&gt;0,1,0))</f>
        <v>0</v>
      </c>
      <c r="CF186" s="39" t="n">
        <f aca="false">IF(CF$4=0,0,IF(COUNTIFS(実績!$W$6:$W$505,CF$3,実績!$AI$6:$AI$505,"&lt;="&amp;$A186,実績!$AJ$6:$AJ$505,"&gt;"&amp;$A186,実績!$AK$6:$AK$505,"○")&gt;0,1,0))</f>
        <v>0</v>
      </c>
      <c r="CG186" s="39" t="n">
        <f aca="false">IF(CG$4=0,0,IF(COUNTIFS(実績!$W$6:$W$505,CG$3,実績!$AI$6:$AI$505,"&lt;="&amp;$A186,実績!$AJ$6:$AJ$505,"&gt;"&amp;$A186,実績!$AK$6:$AK$505,"○")&gt;0,1,0))</f>
        <v>0</v>
      </c>
      <c r="CH186" s="39" t="n">
        <f aca="false">IF(CH$4=0,0,IF(COUNTIFS(実績!$W$6:$W$505,CH$3,実績!$AI$6:$AI$505,"&lt;="&amp;$A186,実績!$AJ$6:$AJ$505,"&gt;"&amp;$A186,実績!$AK$6:$AK$505,"○")&gt;0,1,0))</f>
        <v>0</v>
      </c>
      <c r="CI186" s="39" t="n">
        <f aca="false">IF(CI$4=0,0,IF(COUNTIFS(実績!$W$6:$W$505,CI$3,実績!$AI$6:$AI$505,"&lt;="&amp;$A186,実績!$AJ$6:$AJ$505,"&gt;"&amp;$A186,実績!$AK$6:$AK$505,"○")&gt;0,1,0))</f>
        <v>0</v>
      </c>
      <c r="CJ186" s="39" t="n">
        <f aca="false">IF(CJ$4=0,0,IF(COUNTIFS(実績!$W$6:$W$505,CJ$3,実績!$AI$6:$AI$505,"&lt;="&amp;$A186,実績!$AJ$6:$AJ$505,"&gt;"&amp;$A186,実績!$AK$6:$AK$505,"○")&gt;0,1,0))</f>
        <v>0</v>
      </c>
      <c r="CK186" s="39" t="n">
        <f aca="false">IF(CK$4=0,0,IF(COUNTIFS(実績!$W$6:$W$505,CK$3,実績!$AI$6:$AI$505,"&lt;="&amp;$A186,実績!$AJ$6:$AJ$505,"&gt;"&amp;$A186,実績!$AK$6:$AK$505,"○")&gt;0,1,0))</f>
        <v>0</v>
      </c>
      <c r="CL186" s="39" t="n">
        <f aca="false">IF(CL$4=0,0,IF(COUNTIFS(実績!$W$6:$W$505,CL$3,実績!$AI$6:$AI$505,"&lt;="&amp;$A186,実績!$AJ$6:$AJ$505,"&gt;"&amp;$A186,実績!$AK$6:$AK$505,"○")&gt;0,1,0))</f>
        <v>0</v>
      </c>
      <c r="CM186" s="39" t="n">
        <f aca="false">IF(CM$4=0,0,IF(COUNTIFS(実績!$W$6:$W$505,CM$3,実績!$AI$6:$AI$505,"&lt;="&amp;$A186,実績!$AJ$6:$AJ$505,"&gt;"&amp;$A186,実績!$AK$6:$AK$505,"○")&gt;0,1,0))</f>
        <v>0</v>
      </c>
      <c r="CN186" s="39" t="n">
        <f aca="false">IF(CN$4=0,0,IF(COUNTIFS(実績!$W$6:$W$505,CN$3,実績!$AI$6:$AI$505,"&lt;="&amp;$A186,実績!$AJ$6:$AJ$505,"&gt;"&amp;$A186,実績!$AK$6:$AK$505,"○")&gt;0,1,0))</f>
        <v>0</v>
      </c>
      <c r="CO186" s="39" t="n">
        <f aca="false">IF(CO$4=0,0,IF(COUNTIFS(実績!$W$6:$W$505,CO$3,実績!$AI$6:$AI$505,"&lt;="&amp;$A186,実績!$AJ$6:$AJ$505,"&gt;"&amp;$A186,実績!$AK$6:$AK$505,"○")&gt;0,1,0))</f>
        <v>0</v>
      </c>
      <c r="CP186" s="39" t="n">
        <f aca="false">IF(CP$4=0,0,IF(COUNTIFS(実績!$W$6:$W$505,CP$3,実績!$AI$6:$AI$505,"&lt;="&amp;$A186,実績!$AJ$6:$AJ$505,"&gt;"&amp;$A186,実績!$AK$6:$AK$505,"○")&gt;0,1,0))</f>
        <v>0</v>
      </c>
      <c r="CQ186" s="39" t="n">
        <f aca="false">IF(CQ$4=0,0,IF(COUNTIFS(実績!$W$6:$W$505,CQ$3,実績!$AI$6:$AI$505,"&lt;="&amp;$A186,実績!$AJ$6:$AJ$505,"&gt;"&amp;$A186,実績!$AK$6:$AK$505,"○")&gt;0,1,0))</f>
        <v>0</v>
      </c>
      <c r="CR186" s="39" t="n">
        <f aca="false">IF(CR$4=0,0,IF(COUNTIFS(実績!$W$6:$W$505,CR$3,実績!$AI$6:$AI$505,"&lt;="&amp;$A186,実績!$AJ$6:$AJ$505,"&gt;"&amp;$A186,実績!$AK$6:$AK$505,"○")&gt;0,1,0))</f>
        <v>0</v>
      </c>
      <c r="CS186" s="39" t="n">
        <f aca="false">IF(CS$4=0,0,IF(COUNTIFS(実績!$W$6:$W$505,CS$3,実績!$AI$6:$AI$505,"&lt;="&amp;$A186,実績!$AJ$6:$AJ$505,"&gt;"&amp;$A186,実績!$AK$6:$AK$505,"○")&gt;0,1,0))</f>
        <v>0</v>
      </c>
      <c r="CT186" s="39" t="n">
        <f aca="false">IF(CT$4=0,0,IF(COUNTIFS(実績!$W$6:$W$505,CT$3,実績!$AI$6:$AI$505,"&lt;="&amp;$A186,実績!$AJ$6:$AJ$505,"&gt;"&amp;$A186,実績!$AK$6:$AK$505,"○")&gt;0,1,0))</f>
        <v>0</v>
      </c>
      <c r="CU186" s="39" t="n">
        <f aca="false">IF(CU$4=0,0,IF(COUNTIFS(実績!$W$6:$W$505,CU$3,実績!$AI$6:$AI$505,"&lt;="&amp;$A186,実績!$AJ$6:$AJ$505,"&gt;"&amp;$A186,実績!$AK$6:$AK$505,"○")&gt;0,1,0))</f>
        <v>0</v>
      </c>
      <c r="CV186" s="39" t="n">
        <f aca="false">IF(CV$4=0,0,IF(COUNTIFS(実績!$W$6:$W$505,CV$3,実績!$AI$6:$AI$505,"&lt;="&amp;$A186,実績!$AJ$6:$AJ$505,"&gt;"&amp;$A186,実績!$AK$6:$AK$505,"○")&gt;0,1,0))</f>
        <v>0</v>
      </c>
      <c r="CW186" s="39" t="n">
        <f aca="false">IF(CW$4=0,0,IF(COUNTIFS(実績!$W$6:$W$505,CW$3,実績!$AI$6:$AI$505,"&lt;="&amp;$A186,実績!$AJ$6:$AJ$505,"&gt;"&amp;$A186,実績!$AK$6:$AK$505,"○")&gt;0,1,0))</f>
        <v>0</v>
      </c>
      <c r="CX186" s="39" t="n">
        <f aca="false">IF(CX$4=0,0,IF(COUNTIFS(実績!$W$6:$W$505,CX$3,実績!$AI$6:$AI$505,"&lt;="&amp;$A186,実績!$AJ$6:$AJ$505,"&gt;"&amp;$A186,実績!$AK$6:$AK$505,"○")&gt;0,1,0))</f>
        <v>0</v>
      </c>
      <c r="CY186" s="39" t="n">
        <f aca="false">IF(CY$4=0,0,IF(COUNTIFS(実績!$W$6:$W$505,CY$3,実績!$AI$6:$AI$505,"&lt;="&amp;$A186,実績!$AJ$6:$AJ$505,"&gt;"&amp;$A186,実績!$AK$6:$AK$505,"○")&gt;0,1,0))</f>
        <v>0</v>
      </c>
      <c r="CZ186" s="39" t="n">
        <f aca="false">IF(CZ$4=0,0,IF(COUNTIFS(実績!$W$6:$W$505,CZ$3,実績!$AI$6:$AI$505,"&lt;="&amp;$A186,実績!$AJ$6:$AJ$505,"&gt;"&amp;$A186,実績!$AK$6:$AK$505,"○")&gt;0,1,0))</f>
        <v>0</v>
      </c>
      <c r="DA186" s="39" t="n">
        <f aca="false">IF(DA$4=0,0,IF(COUNTIFS(実績!$W$6:$W$505,DA$3,実績!$AI$6:$AI$505,"&lt;="&amp;$A186,実績!$AJ$6:$AJ$505,"&gt;"&amp;$A186,実績!$AK$6:$AK$505,"○")&gt;0,1,0))</f>
        <v>0</v>
      </c>
      <c r="DB186" s="39" t="n">
        <f aca="false">IF(DB$4=0,0,IF(COUNTIFS(実績!$W$6:$W$505,DB$3,実績!$AI$6:$AI$505,"&lt;="&amp;$A186,実績!$AJ$6:$AJ$505,"&gt;"&amp;$A186,実績!$AK$6:$AK$505,"○")&gt;0,1,0))</f>
        <v>0</v>
      </c>
      <c r="DC186" s="39" t="n">
        <f aca="false">IF(DC$4=0,0,IF(COUNTIFS(実績!$W$6:$W$505,DC$3,実績!$AI$6:$AI$505,"&lt;="&amp;$A186,実績!$AJ$6:$AJ$505,"&gt;"&amp;$A186,実績!$AK$6:$AK$505,"○")&gt;0,1,0))</f>
        <v>0</v>
      </c>
      <c r="DD186" s="39" t="n">
        <f aca="false">IF(DD$4=0,0,IF(COUNTIFS(実績!$W$6:$W$505,DD$3,実績!$AI$6:$AI$505,"&lt;="&amp;$A186,実績!$AJ$6:$AJ$505,"&gt;"&amp;$A186,実績!$AK$6:$AK$505,"○")&gt;0,1,0))</f>
        <v>0</v>
      </c>
      <c r="DE186" s="39" t="n">
        <f aca="false">IF(DE$4=0,0,IF(COUNTIFS(実績!$W$6:$W$505,DE$3,実績!$AI$6:$AI$505,"&lt;="&amp;$A186,実績!$AJ$6:$AJ$505,"&gt;"&amp;$A186,実績!$AK$6:$AK$505,"○")&gt;0,1,0))</f>
        <v>0</v>
      </c>
      <c r="DF186" s="39" t="n">
        <f aca="false">IF(DF$4=0,0,IF(COUNTIFS(実績!$W$6:$W$505,DF$3,実績!$AI$6:$AI$505,"&lt;="&amp;$A186,実績!$AJ$6:$AJ$505,"&gt;"&amp;$A186,実績!$AK$6:$AK$505,"○")&gt;0,1,0))</f>
        <v>0</v>
      </c>
      <c r="DG186" s="39" t="n">
        <f aca="false">IF(DG$4=0,0,IF(COUNTIFS(実績!$W$6:$W$505,DG$3,実績!$AI$6:$AI$505,"&lt;="&amp;$A186,実績!$AJ$6:$AJ$505,"&gt;"&amp;$A186,実績!$AK$6:$AK$505,"○")&gt;0,1,0))</f>
        <v>0</v>
      </c>
      <c r="DH186" s="39" t="n">
        <f aca="false">IF(DH$4=0,0,IF(COUNTIFS(実績!$W$6:$W$505,DH$3,実績!$AI$6:$AI$505,"&lt;="&amp;$A186,実績!$AJ$6:$AJ$505,"&gt;"&amp;$A186,実績!$AK$6:$AK$505,"○")&gt;0,1,0))</f>
        <v>0</v>
      </c>
      <c r="DI186" s="39" t="n">
        <f aca="false">IF(DI$4=0,0,IF(COUNTIFS(実績!$W$6:$W$505,DI$3,実績!$AI$6:$AI$505,"&lt;="&amp;$A186,実績!$AJ$6:$AJ$505,"&gt;"&amp;$A186,実績!$AK$6:$AK$505,"○")&gt;0,1,0))</f>
        <v>0</v>
      </c>
      <c r="DJ186" s="39" t="n">
        <f aca="false">IF(DJ$4=0,0,IF(COUNTIFS(実績!$W$6:$W$505,DJ$3,実績!$AI$6:$AI$505,"&lt;="&amp;$A186,実績!$AJ$6:$AJ$505,"&gt;"&amp;$A186,実績!$AK$6:$AK$505,"○")&gt;0,1,0))</f>
        <v>0</v>
      </c>
      <c r="DK186" s="39" t="n">
        <f aca="false">IF(DK$4=0,0,IF(COUNTIFS(実績!$W$6:$W$505,DK$3,実績!$AI$6:$AI$505,"&lt;="&amp;$A186,実績!$AJ$6:$AJ$505,"&gt;"&amp;$A186,実績!$AK$6:$AK$505,"○")&gt;0,1,0))</f>
        <v>0</v>
      </c>
      <c r="DL186" s="39" t="n">
        <f aca="false">IF(DL$4=0,0,IF(COUNTIFS(実績!$W$6:$W$505,DL$3,実績!$AI$6:$AI$505,"&lt;="&amp;$A186,実績!$AJ$6:$AJ$505,"&gt;"&amp;$A186,実績!$AK$6:$AK$505,"○")&gt;0,1,0))</f>
        <v>0</v>
      </c>
      <c r="DM186" s="39" t="n">
        <f aca="false">IF(DM$4=0,0,IF(COUNTIFS(実績!$W$6:$W$505,DM$3,実績!$AI$6:$AI$505,"&lt;="&amp;$A186,実績!$AJ$6:$AJ$505,"&gt;"&amp;$A186,実績!$AK$6:$AK$505,"○")&gt;0,1,0))</f>
        <v>0</v>
      </c>
      <c r="DN186" s="39" t="n">
        <f aca="false">IF(DN$4=0,0,IF(COUNTIFS(実績!$W$6:$W$505,DN$3,実績!$AI$6:$AI$505,"&lt;="&amp;$A186,実績!$AJ$6:$AJ$505,"&gt;"&amp;$A186,実績!$AK$6:$AK$505,"○")&gt;0,1,0))</f>
        <v>0</v>
      </c>
      <c r="DO186" s="39" t="n">
        <f aca="false">IF(DO$4=0,0,IF(COUNTIFS(実績!$W$6:$W$505,DO$3,実績!$AI$6:$AI$505,"&lt;="&amp;$A186,実績!$AJ$6:$AJ$505,"&gt;"&amp;$A186,実績!$AK$6:$AK$505,"○")&gt;0,1,0))</f>
        <v>0</v>
      </c>
      <c r="DP186" s="39" t="n">
        <f aca="false">IF(DP$4=0,0,IF(COUNTIFS(実績!$W$6:$W$505,DP$3,実績!$AI$6:$AI$505,"&lt;="&amp;$A186,実績!$AJ$6:$AJ$505,"&gt;"&amp;$A186,実績!$AK$6:$AK$505,"○")&gt;0,1,0))</f>
        <v>0</v>
      </c>
      <c r="DQ186" s="39" t="n">
        <f aca="false">IF(DQ$4=0,0,IF(COUNTIFS(実績!$W$6:$W$505,DQ$3,実績!$AI$6:$AI$505,"&lt;="&amp;$A186,実績!$AJ$6:$AJ$505,"&gt;"&amp;$A186,実績!$AK$6:$AK$505,"○")&gt;0,1,0))</f>
        <v>0</v>
      </c>
      <c r="DR186" s="39" t="n">
        <f aca="false">IF(DR$4=0,0,IF(COUNTIFS(実績!$W$6:$W$505,DR$3,実績!$AI$6:$AI$505,"&lt;="&amp;$A186,実績!$AJ$6:$AJ$505,"&gt;"&amp;$A186,実績!$AK$6:$AK$505,"○")&gt;0,1,0))</f>
        <v>0</v>
      </c>
      <c r="DS186" s="39" t="n">
        <f aca="false">SUM(C186:DR186)</f>
        <v>0</v>
      </c>
      <c r="DT186" s="39" t="n">
        <f aca="false">SUMPRODUCT((実績!$C$6:$C$505="○")*ISNUMBER(実績!$AM$6:$AM$505)*(実績!$AM$6:$AM$505&lt;=$A186)*(実績!$AN$6:$AN$505&gt;$A186))</f>
        <v>0</v>
      </c>
      <c r="DU186" s="39" t="n">
        <f aca="false">SUMIF($C$2:$DR$2,"製鉄曳船",C186:DR186)</f>
        <v>0</v>
      </c>
      <c r="DV186" s="39" t="n">
        <f aca="false">SUMIF($C$2:$DR$2,"西日本海運",C186:DR186)</f>
        <v>0</v>
      </c>
    </row>
    <row r="187" customFormat="false" ht="15" hidden="false" customHeight="false" outlineLevel="0" collapsed="false">
      <c r="A187" s="0" t="n">
        <v>905</v>
      </c>
      <c r="B187" s="38" t="n">
        <f aca="false">A187/1440</f>
        <v>0.628472222222222</v>
      </c>
      <c r="C187" s="39" t="n">
        <f aca="false">IF(C$4=0,0,IF(COUNTIFS(実績!$W$6:$W$505,C$3,実績!$AI$6:$AI$505,"&lt;="&amp;$A187,実績!$AJ$6:$AJ$505,"&gt;"&amp;$A187,実績!$AK$6:$AK$505,"○")&gt;0,1,0))</f>
        <v>0</v>
      </c>
      <c r="D187" s="39" t="n">
        <f aca="false">IF(D$4=0,0,IF(COUNTIFS(実績!$W$6:$W$505,D$3,実績!$AI$6:$AI$505,"&lt;="&amp;$A187,実績!$AJ$6:$AJ$505,"&gt;"&amp;$A187,実績!$AK$6:$AK$505,"○")&gt;0,1,0))</f>
        <v>0</v>
      </c>
      <c r="E187" s="39" t="n">
        <f aca="false">IF(E$4=0,0,IF(COUNTIFS(実績!$W$6:$W$505,E$3,実績!$AI$6:$AI$505,"&lt;="&amp;$A187,実績!$AJ$6:$AJ$505,"&gt;"&amp;$A187,実績!$AK$6:$AK$505,"○")&gt;0,1,0))</f>
        <v>0</v>
      </c>
      <c r="F187" s="39" t="n">
        <f aca="false">IF(F$4=0,0,IF(COUNTIFS(実績!$W$6:$W$505,F$3,実績!$AI$6:$AI$505,"&lt;="&amp;$A187,実績!$AJ$6:$AJ$505,"&gt;"&amp;$A187,実績!$AK$6:$AK$505,"○")&gt;0,1,0))</f>
        <v>0</v>
      </c>
      <c r="G187" s="39" t="n">
        <f aca="false">IF(G$4=0,0,IF(COUNTIFS(実績!$W$6:$W$505,G$3,実績!$AI$6:$AI$505,"&lt;="&amp;$A187,実績!$AJ$6:$AJ$505,"&gt;"&amp;$A187,実績!$AK$6:$AK$505,"○")&gt;0,1,0))</f>
        <v>0</v>
      </c>
      <c r="H187" s="39" t="n">
        <f aca="false">IF(H$4=0,0,IF(COUNTIFS(実績!$W$6:$W$505,H$3,実績!$AI$6:$AI$505,"&lt;="&amp;$A187,実績!$AJ$6:$AJ$505,"&gt;"&amp;$A187,実績!$AK$6:$AK$505,"○")&gt;0,1,0))</f>
        <v>0</v>
      </c>
      <c r="I187" s="39" t="n">
        <f aca="false">IF(I$4=0,0,IF(COUNTIFS(実績!$W$6:$W$505,I$3,実績!$AI$6:$AI$505,"&lt;="&amp;$A187,実績!$AJ$6:$AJ$505,"&gt;"&amp;$A187,実績!$AK$6:$AK$505,"○")&gt;0,1,0))</f>
        <v>0</v>
      </c>
      <c r="J187" s="39" t="n">
        <f aca="false">IF(J$4=0,0,IF(COUNTIFS(実績!$W$6:$W$505,J$3,実績!$AI$6:$AI$505,"&lt;="&amp;$A187,実績!$AJ$6:$AJ$505,"&gt;"&amp;$A187,実績!$AK$6:$AK$505,"○")&gt;0,1,0))</f>
        <v>0</v>
      </c>
      <c r="K187" s="39" t="n">
        <f aca="false">IF(K$4=0,0,IF(COUNTIFS(実績!$W$6:$W$505,K$3,実績!$AI$6:$AI$505,"&lt;="&amp;$A187,実績!$AJ$6:$AJ$505,"&gt;"&amp;$A187,実績!$AK$6:$AK$505,"○")&gt;0,1,0))</f>
        <v>0</v>
      </c>
      <c r="L187" s="39" t="n">
        <f aca="false">IF(L$4=0,0,IF(COUNTIFS(実績!$W$6:$W$505,L$3,実績!$AI$6:$AI$505,"&lt;="&amp;$A187,実績!$AJ$6:$AJ$505,"&gt;"&amp;$A187,実績!$AK$6:$AK$505,"○")&gt;0,1,0))</f>
        <v>0</v>
      </c>
      <c r="M187" s="39" t="n">
        <f aca="false">IF(M$4=0,0,IF(COUNTIFS(実績!$W$6:$W$505,M$3,実績!$AI$6:$AI$505,"&lt;="&amp;$A187,実績!$AJ$6:$AJ$505,"&gt;"&amp;$A187,実績!$AK$6:$AK$505,"○")&gt;0,1,0))</f>
        <v>0</v>
      </c>
      <c r="N187" s="39" t="n">
        <f aca="false">IF(N$4=0,0,IF(COUNTIFS(実績!$W$6:$W$505,N$3,実績!$AI$6:$AI$505,"&lt;="&amp;$A187,実績!$AJ$6:$AJ$505,"&gt;"&amp;$A187,実績!$AK$6:$AK$505,"○")&gt;0,1,0))</f>
        <v>0</v>
      </c>
      <c r="O187" s="39" t="n">
        <f aca="false">IF(O$4=0,0,IF(COUNTIFS(実績!$W$6:$W$505,O$3,実績!$AI$6:$AI$505,"&lt;="&amp;$A187,実績!$AJ$6:$AJ$505,"&gt;"&amp;$A187,実績!$AK$6:$AK$505,"○")&gt;0,1,0))</f>
        <v>0</v>
      </c>
      <c r="P187" s="39" t="n">
        <f aca="false">IF(P$4=0,0,IF(COUNTIFS(実績!$W$6:$W$505,P$3,実績!$AI$6:$AI$505,"&lt;="&amp;$A187,実績!$AJ$6:$AJ$505,"&gt;"&amp;$A187,実績!$AK$6:$AK$505,"○")&gt;0,1,0))</f>
        <v>0</v>
      </c>
      <c r="Q187" s="39" t="n">
        <f aca="false">IF(Q$4=0,0,IF(COUNTIFS(実績!$W$6:$W$505,Q$3,実績!$AI$6:$AI$505,"&lt;="&amp;$A187,実績!$AJ$6:$AJ$505,"&gt;"&amp;$A187,実績!$AK$6:$AK$505,"○")&gt;0,1,0))</f>
        <v>0</v>
      </c>
      <c r="R187" s="39" t="n">
        <f aca="false">IF(R$4=0,0,IF(COUNTIFS(実績!$W$6:$W$505,R$3,実績!$AI$6:$AI$505,"&lt;="&amp;$A187,実績!$AJ$6:$AJ$505,"&gt;"&amp;$A187,実績!$AK$6:$AK$505,"○")&gt;0,1,0))</f>
        <v>0</v>
      </c>
      <c r="S187" s="39" t="n">
        <f aca="false">IF(S$4=0,0,IF(COUNTIFS(実績!$W$6:$W$505,S$3,実績!$AI$6:$AI$505,"&lt;="&amp;$A187,実績!$AJ$6:$AJ$505,"&gt;"&amp;$A187,実績!$AK$6:$AK$505,"○")&gt;0,1,0))</f>
        <v>0</v>
      </c>
      <c r="T187" s="39" t="n">
        <f aca="false">IF(T$4=0,0,IF(COUNTIFS(実績!$W$6:$W$505,T$3,実績!$AI$6:$AI$505,"&lt;="&amp;$A187,実績!$AJ$6:$AJ$505,"&gt;"&amp;$A187,実績!$AK$6:$AK$505,"○")&gt;0,1,0))</f>
        <v>0</v>
      </c>
      <c r="U187" s="39" t="n">
        <f aca="false">IF(U$4=0,0,IF(COUNTIFS(実績!$W$6:$W$505,U$3,実績!$AI$6:$AI$505,"&lt;="&amp;$A187,実績!$AJ$6:$AJ$505,"&gt;"&amp;$A187,実績!$AK$6:$AK$505,"○")&gt;0,1,0))</f>
        <v>0</v>
      </c>
      <c r="V187" s="39" t="n">
        <f aca="false">IF(V$4=0,0,IF(COUNTIFS(実績!$W$6:$W$505,V$3,実績!$AI$6:$AI$505,"&lt;="&amp;$A187,実績!$AJ$6:$AJ$505,"&gt;"&amp;$A187,実績!$AK$6:$AK$505,"○")&gt;0,1,0))</f>
        <v>0</v>
      </c>
      <c r="W187" s="39" t="n">
        <f aca="false">IF(W$4=0,0,IF(COUNTIFS(実績!$W$6:$W$505,W$3,実績!$AI$6:$AI$505,"&lt;="&amp;$A187,実績!$AJ$6:$AJ$505,"&gt;"&amp;$A187,実績!$AK$6:$AK$505,"○")&gt;0,1,0))</f>
        <v>0</v>
      </c>
      <c r="X187" s="39" t="n">
        <f aca="false">IF(X$4=0,0,IF(COUNTIFS(実績!$W$6:$W$505,X$3,実績!$AI$6:$AI$505,"&lt;="&amp;$A187,実績!$AJ$6:$AJ$505,"&gt;"&amp;$A187,実績!$AK$6:$AK$505,"○")&gt;0,1,0))</f>
        <v>0</v>
      </c>
      <c r="Y187" s="39" t="n">
        <f aca="false">IF(Y$4=0,0,IF(COUNTIFS(実績!$W$6:$W$505,Y$3,実績!$AI$6:$AI$505,"&lt;="&amp;$A187,実績!$AJ$6:$AJ$505,"&gt;"&amp;$A187,実績!$AK$6:$AK$505,"○")&gt;0,1,0))</f>
        <v>0</v>
      </c>
      <c r="Z187" s="39" t="n">
        <f aca="false">IF(Z$4=0,0,IF(COUNTIFS(実績!$W$6:$W$505,Z$3,実績!$AI$6:$AI$505,"&lt;="&amp;$A187,実績!$AJ$6:$AJ$505,"&gt;"&amp;$A187,実績!$AK$6:$AK$505,"○")&gt;0,1,0))</f>
        <v>0</v>
      </c>
      <c r="AA187" s="39" t="n">
        <f aca="false">IF(AA$4=0,0,IF(COUNTIFS(実績!$W$6:$W$505,AA$3,実績!$AI$6:$AI$505,"&lt;="&amp;$A187,実績!$AJ$6:$AJ$505,"&gt;"&amp;$A187,実績!$AK$6:$AK$505,"○")&gt;0,1,0))</f>
        <v>0</v>
      </c>
      <c r="AB187" s="39" t="n">
        <f aca="false">IF(AB$4=0,0,IF(COUNTIFS(実績!$W$6:$W$505,AB$3,実績!$AI$6:$AI$505,"&lt;="&amp;$A187,実績!$AJ$6:$AJ$505,"&gt;"&amp;$A187,実績!$AK$6:$AK$505,"○")&gt;0,1,0))</f>
        <v>0</v>
      </c>
      <c r="AC187" s="39" t="n">
        <f aca="false">IF(AC$4=0,0,IF(COUNTIFS(実績!$W$6:$W$505,AC$3,実績!$AI$6:$AI$505,"&lt;="&amp;$A187,実績!$AJ$6:$AJ$505,"&gt;"&amp;$A187,実績!$AK$6:$AK$505,"○")&gt;0,1,0))</f>
        <v>0</v>
      </c>
      <c r="AD187" s="39" t="n">
        <f aca="false">IF(AD$4=0,0,IF(COUNTIFS(実績!$W$6:$W$505,AD$3,実績!$AI$6:$AI$505,"&lt;="&amp;$A187,実績!$AJ$6:$AJ$505,"&gt;"&amp;$A187,実績!$AK$6:$AK$505,"○")&gt;0,1,0))</f>
        <v>0</v>
      </c>
      <c r="AE187" s="39" t="n">
        <f aca="false">IF(AE$4=0,0,IF(COUNTIFS(実績!$W$6:$W$505,AE$3,実績!$AI$6:$AI$505,"&lt;="&amp;$A187,実績!$AJ$6:$AJ$505,"&gt;"&amp;$A187,実績!$AK$6:$AK$505,"○")&gt;0,1,0))</f>
        <v>0</v>
      </c>
      <c r="AF187" s="39" t="n">
        <f aca="false">IF(AF$4=0,0,IF(COUNTIFS(実績!$W$6:$W$505,AF$3,実績!$AI$6:$AI$505,"&lt;="&amp;$A187,実績!$AJ$6:$AJ$505,"&gt;"&amp;$A187,実績!$AK$6:$AK$505,"○")&gt;0,1,0))</f>
        <v>0</v>
      </c>
      <c r="AG187" s="39" t="n">
        <f aca="false">IF(AG$4=0,0,IF(COUNTIFS(実績!$W$6:$W$505,AG$3,実績!$AI$6:$AI$505,"&lt;="&amp;$A187,実績!$AJ$6:$AJ$505,"&gt;"&amp;$A187,実績!$AK$6:$AK$505,"○")&gt;0,1,0))</f>
        <v>0</v>
      </c>
      <c r="AH187" s="39" t="n">
        <f aca="false">IF(AH$4=0,0,IF(COUNTIFS(実績!$W$6:$W$505,AH$3,実績!$AI$6:$AI$505,"&lt;="&amp;$A187,実績!$AJ$6:$AJ$505,"&gt;"&amp;$A187,実績!$AK$6:$AK$505,"○")&gt;0,1,0))</f>
        <v>0</v>
      </c>
      <c r="AI187" s="39" t="n">
        <f aca="false">IF(AI$4=0,0,IF(COUNTIFS(実績!$W$6:$W$505,AI$3,実績!$AI$6:$AI$505,"&lt;="&amp;$A187,実績!$AJ$6:$AJ$505,"&gt;"&amp;$A187,実績!$AK$6:$AK$505,"○")&gt;0,1,0))</f>
        <v>0</v>
      </c>
      <c r="AJ187" s="39" t="n">
        <f aca="false">IF(AJ$4=0,0,IF(COUNTIFS(実績!$W$6:$W$505,AJ$3,実績!$AI$6:$AI$505,"&lt;="&amp;$A187,実績!$AJ$6:$AJ$505,"&gt;"&amp;$A187,実績!$AK$6:$AK$505,"○")&gt;0,1,0))</f>
        <v>0</v>
      </c>
      <c r="AK187" s="39" t="n">
        <f aca="false">IF(AK$4=0,0,IF(COUNTIFS(実績!$W$6:$W$505,AK$3,実績!$AI$6:$AI$505,"&lt;="&amp;$A187,実績!$AJ$6:$AJ$505,"&gt;"&amp;$A187,実績!$AK$6:$AK$505,"○")&gt;0,1,0))</f>
        <v>0</v>
      </c>
      <c r="AL187" s="39" t="n">
        <f aca="false">IF(AL$4=0,0,IF(COUNTIFS(実績!$W$6:$W$505,AL$3,実績!$AI$6:$AI$505,"&lt;="&amp;$A187,実績!$AJ$6:$AJ$505,"&gt;"&amp;$A187,実績!$AK$6:$AK$505,"○")&gt;0,1,0))</f>
        <v>0</v>
      </c>
      <c r="AM187" s="39" t="n">
        <f aca="false">IF(AM$4=0,0,IF(COUNTIFS(実績!$W$6:$W$505,AM$3,実績!$AI$6:$AI$505,"&lt;="&amp;$A187,実績!$AJ$6:$AJ$505,"&gt;"&amp;$A187,実績!$AK$6:$AK$505,"○")&gt;0,1,0))</f>
        <v>0</v>
      </c>
      <c r="AN187" s="39" t="n">
        <f aca="false">IF(AN$4=0,0,IF(COUNTIFS(実績!$W$6:$W$505,AN$3,実績!$AI$6:$AI$505,"&lt;="&amp;$A187,実績!$AJ$6:$AJ$505,"&gt;"&amp;$A187,実績!$AK$6:$AK$505,"○")&gt;0,1,0))</f>
        <v>0</v>
      </c>
      <c r="AO187" s="39" t="n">
        <f aca="false">IF(AO$4=0,0,IF(COUNTIFS(実績!$W$6:$W$505,AO$3,実績!$AI$6:$AI$505,"&lt;="&amp;$A187,実績!$AJ$6:$AJ$505,"&gt;"&amp;$A187,実績!$AK$6:$AK$505,"○")&gt;0,1,0))</f>
        <v>0</v>
      </c>
      <c r="AP187" s="39" t="n">
        <f aca="false">IF(AP$4=0,0,IF(COUNTIFS(実績!$W$6:$W$505,AP$3,実績!$AI$6:$AI$505,"&lt;="&amp;$A187,実績!$AJ$6:$AJ$505,"&gt;"&amp;$A187,実績!$AK$6:$AK$505,"○")&gt;0,1,0))</f>
        <v>0</v>
      </c>
      <c r="AQ187" s="39" t="n">
        <f aca="false">IF(AQ$4=0,0,IF(COUNTIFS(実績!$W$6:$W$505,AQ$3,実績!$AI$6:$AI$505,"&lt;="&amp;$A187,実績!$AJ$6:$AJ$505,"&gt;"&amp;$A187,実績!$AK$6:$AK$505,"○")&gt;0,1,0))</f>
        <v>0</v>
      </c>
      <c r="AR187" s="39" t="n">
        <f aca="false">IF(AR$4=0,0,IF(COUNTIFS(実績!$W$6:$W$505,AR$3,実績!$AI$6:$AI$505,"&lt;="&amp;$A187,実績!$AJ$6:$AJ$505,"&gt;"&amp;$A187,実績!$AK$6:$AK$505,"○")&gt;0,1,0))</f>
        <v>0</v>
      </c>
      <c r="AS187" s="39" t="n">
        <f aca="false">IF(AS$4=0,0,IF(COUNTIFS(実績!$W$6:$W$505,AS$3,実績!$AI$6:$AI$505,"&lt;="&amp;$A187,実績!$AJ$6:$AJ$505,"&gt;"&amp;$A187,実績!$AK$6:$AK$505,"○")&gt;0,1,0))</f>
        <v>0</v>
      </c>
      <c r="AT187" s="39" t="n">
        <f aca="false">IF(AT$4=0,0,IF(COUNTIFS(実績!$W$6:$W$505,AT$3,実績!$AI$6:$AI$505,"&lt;="&amp;$A187,実績!$AJ$6:$AJ$505,"&gt;"&amp;$A187,実績!$AK$6:$AK$505,"○")&gt;0,1,0))</f>
        <v>0</v>
      </c>
      <c r="AU187" s="39" t="n">
        <f aca="false">IF(AU$4=0,0,IF(COUNTIFS(実績!$W$6:$W$505,AU$3,実績!$AI$6:$AI$505,"&lt;="&amp;$A187,実績!$AJ$6:$AJ$505,"&gt;"&amp;$A187,実績!$AK$6:$AK$505,"○")&gt;0,1,0))</f>
        <v>0</v>
      </c>
      <c r="AV187" s="39" t="n">
        <f aca="false">IF(AV$4=0,0,IF(COUNTIFS(実績!$W$6:$W$505,AV$3,実績!$AI$6:$AI$505,"&lt;="&amp;$A187,実績!$AJ$6:$AJ$505,"&gt;"&amp;$A187,実績!$AK$6:$AK$505,"○")&gt;0,1,0))</f>
        <v>0</v>
      </c>
      <c r="AW187" s="39" t="n">
        <f aca="false">IF(AW$4=0,0,IF(COUNTIFS(実績!$W$6:$W$505,AW$3,実績!$AI$6:$AI$505,"&lt;="&amp;$A187,実績!$AJ$6:$AJ$505,"&gt;"&amp;$A187,実績!$AK$6:$AK$505,"○")&gt;0,1,0))</f>
        <v>0</v>
      </c>
      <c r="AX187" s="39" t="n">
        <f aca="false">IF(AX$4=0,0,IF(COUNTIFS(実績!$W$6:$W$505,AX$3,実績!$AI$6:$AI$505,"&lt;="&amp;$A187,実績!$AJ$6:$AJ$505,"&gt;"&amp;$A187,実績!$AK$6:$AK$505,"○")&gt;0,1,0))</f>
        <v>0</v>
      </c>
      <c r="AY187" s="39" t="n">
        <f aca="false">IF(AY$4=0,0,IF(COUNTIFS(実績!$W$6:$W$505,AY$3,実績!$AI$6:$AI$505,"&lt;="&amp;$A187,実績!$AJ$6:$AJ$505,"&gt;"&amp;$A187,実績!$AK$6:$AK$505,"○")&gt;0,1,0))</f>
        <v>0</v>
      </c>
      <c r="AZ187" s="39" t="n">
        <f aca="false">IF(AZ$4=0,0,IF(COUNTIFS(実績!$W$6:$W$505,AZ$3,実績!$AI$6:$AI$505,"&lt;="&amp;$A187,実績!$AJ$6:$AJ$505,"&gt;"&amp;$A187,実績!$AK$6:$AK$505,"○")&gt;0,1,0))</f>
        <v>0</v>
      </c>
      <c r="BA187" s="39" t="n">
        <f aca="false">IF(BA$4=0,0,IF(COUNTIFS(実績!$W$6:$W$505,BA$3,実績!$AI$6:$AI$505,"&lt;="&amp;$A187,実績!$AJ$6:$AJ$505,"&gt;"&amp;$A187,実績!$AK$6:$AK$505,"○")&gt;0,1,0))</f>
        <v>0</v>
      </c>
      <c r="BB187" s="39" t="n">
        <f aca="false">IF(BB$4=0,0,IF(COUNTIFS(実績!$W$6:$W$505,BB$3,実績!$AI$6:$AI$505,"&lt;="&amp;$A187,実績!$AJ$6:$AJ$505,"&gt;"&amp;$A187,実績!$AK$6:$AK$505,"○")&gt;0,1,0))</f>
        <v>0</v>
      </c>
      <c r="BC187" s="39" t="n">
        <f aca="false">IF(BC$4=0,0,IF(COUNTIFS(実績!$W$6:$W$505,BC$3,実績!$AI$6:$AI$505,"&lt;="&amp;$A187,実績!$AJ$6:$AJ$505,"&gt;"&amp;$A187,実績!$AK$6:$AK$505,"○")&gt;0,1,0))</f>
        <v>0</v>
      </c>
      <c r="BD187" s="39" t="n">
        <f aca="false">IF(BD$4=0,0,IF(COUNTIFS(実績!$W$6:$W$505,BD$3,実績!$AI$6:$AI$505,"&lt;="&amp;$A187,実績!$AJ$6:$AJ$505,"&gt;"&amp;$A187,実績!$AK$6:$AK$505,"○")&gt;0,1,0))</f>
        <v>0</v>
      </c>
      <c r="BE187" s="39" t="n">
        <f aca="false">IF(BE$4=0,0,IF(COUNTIFS(実績!$W$6:$W$505,BE$3,実績!$AI$6:$AI$505,"&lt;="&amp;$A187,実績!$AJ$6:$AJ$505,"&gt;"&amp;$A187,実績!$AK$6:$AK$505,"○")&gt;0,1,0))</f>
        <v>0</v>
      </c>
      <c r="BF187" s="39" t="n">
        <f aca="false">IF(BF$4=0,0,IF(COUNTIFS(実績!$W$6:$W$505,BF$3,実績!$AI$6:$AI$505,"&lt;="&amp;$A187,実績!$AJ$6:$AJ$505,"&gt;"&amp;$A187,実績!$AK$6:$AK$505,"○")&gt;0,1,0))</f>
        <v>0</v>
      </c>
      <c r="BG187" s="39" t="n">
        <f aca="false">IF(BG$4=0,0,IF(COUNTIFS(実績!$W$6:$W$505,BG$3,実績!$AI$6:$AI$505,"&lt;="&amp;$A187,実績!$AJ$6:$AJ$505,"&gt;"&amp;$A187,実績!$AK$6:$AK$505,"○")&gt;0,1,0))</f>
        <v>0</v>
      </c>
      <c r="BH187" s="39" t="n">
        <f aca="false">IF(BH$4=0,0,IF(COUNTIFS(実績!$W$6:$W$505,BH$3,実績!$AI$6:$AI$505,"&lt;="&amp;$A187,実績!$AJ$6:$AJ$505,"&gt;"&amp;$A187,実績!$AK$6:$AK$505,"○")&gt;0,1,0))</f>
        <v>0</v>
      </c>
      <c r="BI187" s="39" t="n">
        <f aca="false">IF(BI$4=0,0,IF(COUNTIFS(実績!$W$6:$W$505,BI$3,実績!$AI$6:$AI$505,"&lt;="&amp;$A187,実績!$AJ$6:$AJ$505,"&gt;"&amp;$A187,実績!$AK$6:$AK$505,"○")&gt;0,1,0))</f>
        <v>0</v>
      </c>
      <c r="BJ187" s="39" t="n">
        <f aca="false">IF(BJ$4=0,0,IF(COUNTIFS(実績!$W$6:$W$505,BJ$3,実績!$AI$6:$AI$505,"&lt;="&amp;$A187,実績!$AJ$6:$AJ$505,"&gt;"&amp;$A187,実績!$AK$6:$AK$505,"○")&gt;0,1,0))</f>
        <v>0</v>
      </c>
      <c r="BK187" s="39" t="n">
        <f aca="false">IF(BK$4=0,0,IF(COUNTIFS(実績!$W$6:$W$505,BK$3,実績!$AI$6:$AI$505,"&lt;="&amp;$A187,実績!$AJ$6:$AJ$505,"&gt;"&amp;$A187,実績!$AK$6:$AK$505,"○")&gt;0,1,0))</f>
        <v>0</v>
      </c>
      <c r="BL187" s="39" t="n">
        <f aca="false">IF(BL$4=0,0,IF(COUNTIFS(実績!$W$6:$W$505,BL$3,実績!$AI$6:$AI$505,"&lt;="&amp;$A187,実績!$AJ$6:$AJ$505,"&gt;"&amp;$A187,実績!$AK$6:$AK$505,"○")&gt;0,1,0))</f>
        <v>0</v>
      </c>
      <c r="BM187" s="39" t="n">
        <f aca="false">IF(BM$4=0,0,IF(COUNTIFS(実績!$W$6:$W$505,BM$3,実績!$AI$6:$AI$505,"&lt;="&amp;$A187,実績!$AJ$6:$AJ$505,"&gt;"&amp;$A187,実績!$AK$6:$AK$505,"○")&gt;0,1,0))</f>
        <v>0</v>
      </c>
      <c r="BN187" s="39" t="n">
        <f aca="false">IF(BN$4=0,0,IF(COUNTIFS(実績!$W$6:$W$505,BN$3,実績!$AI$6:$AI$505,"&lt;="&amp;$A187,実績!$AJ$6:$AJ$505,"&gt;"&amp;$A187,実績!$AK$6:$AK$505,"○")&gt;0,1,0))</f>
        <v>0</v>
      </c>
      <c r="BO187" s="39" t="n">
        <f aca="false">IF(BO$4=0,0,IF(COUNTIFS(実績!$W$6:$W$505,BO$3,実績!$AI$6:$AI$505,"&lt;="&amp;$A187,実績!$AJ$6:$AJ$505,"&gt;"&amp;$A187,実績!$AK$6:$AK$505,"○")&gt;0,1,0))</f>
        <v>0</v>
      </c>
      <c r="BP187" s="39" t="n">
        <f aca="false">IF(BP$4=0,0,IF(COUNTIFS(実績!$W$6:$W$505,BP$3,実績!$AI$6:$AI$505,"&lt;="&amp;$A187,実績!$AJ$6:$AJ$505,"&gt;"&amp;$A187,実績!$AK$6:$AK$505,"○")&gt;0,1,0))</f>
        <v>0</v>
      </c>
      <c r="BQ187" s="39" t="n">
        <f aca="false">IF(BQ$4=0,0,IF(COUNTIFS(実績!$W$6:$W$505,BQ$3,実績!$AI$6:$AI$505,"&lt;="&amp;$A187,実績!$AJ$6:$AJ$505,"&gt;"&amp;$A187,実績!$AK$6:$AK$505,"○")&gt;0,1,0))</f>
        <v>0</v>
      </c>
      <c r="BR187" s="39" t="n">
        <f aca="false">IF(BR$4=0,0,IF(COUNTIFS(実績!$W$6:$W$505,BR$3,実績!$AI$6:$AI$505,"&lt;="&amp;$A187,実績!$AJ$6:$AJ$505,"&gt;"&amp;$A187,実績!$AK$6:$AK$505,"○")&gt;0,1,0))</f>
        <v>0</v>
      </c>
      <c r="BS187" s="39" t="n">
        <f aca="false">IF(BS$4=0,0,IF(COUNTIFS(実績!$W$6:$W$505,BS$3,実績!$AI$6:$AI$505,"&lt;="&amp;$A187,実績!$AJ$6:$AJ$505,"&gt;"&amp;$A187,実績!$AK$6:$AK$505,"○")&gt;0,1,0))</f>
        <v>0</v>
      </c>
      <c r="BT187" s="39" t="n">
        <f aca="false">IF(BT$4=0,0,IF(COUNTIFS(実績!$W$6:$W$505,BT$3,実績!$AI$6:$AI$505,"&lt;="&amp;$A187,実績!$AJ$6:$AJ$505,"&gt;"&amp;$A187,実績!$AK$6:$AK$505,"○")&gt;0,1,0))</f>
        <v>0</v>
      </c>
      <c r="BU187" s="39" t="n">
        <f aca="false">IF(BU$4=0,0,IF(COUNTIFS(実績!$W$6:$W$505,BU$3,実績!$AI$6:$AI$505,"&lt;="&amp;$A187,実績!$AJ$6:$AJ$505,"&gt;"&amp;$A187,実績!$AK$6:$AK$505,"○")&gt;0,1,0))</f>
        <v>0</v>
      </c>
      <c r="BV187" s="39" t="n">
        <f aca="false">IF(BV$4=0,0,IF(COUNTIFS(実績!$W$6:$W$505,BV$3,実績!$AI$6:$AI$505,"&lt;="&amp;$A187,実績!$AJ$6:$AJ$505,"&gt;"&amp;$A187,実績!$AK$6:$AK$505,"○")&gt;0,1,0))</f>
        <v>0</v>
      </c>
      <c r="BW187" s="39" t="n">
        <f aca="false">IF(BW$4=0,0,IF(COUNTIFS(実績!$W$6:$W$505,BW$3,実績!$AI$6:$AI$505,"&lt;="&amp;$A187,実績!$AJ$6:$AJ$505,"&gt;"&amp;$A187,実績!$AK$6:$AK$505,"○")&gt;0,1,0))</f>
        <v>0</v>
      </c>
      <c r="BX187" s="39" t="n">
        <f aca="false">IF(BX$4=0,0,IF(COUNTIFS(実績!$W$6:$W$505,BX$3,実績!$AI$6:$AI$505,"&lt;="&amp;$A187,実績!$AJ$6:$AJ$505,"&gt;"&amp;$A187,実績!$AK$6:$AK$505,"○")&gt;0,1,0))</f>
        <v>0</v>
      </c>
      <c r="BY187" s="39" t="n">
        <f aca="false">IF(BY$4=0,0,IF(COUNTIFS(実績!$W$6:$W$505,BY$3,実績!$AI$6:$AI$505,"&lt;="&amp;$A187,実績!$AJ$6:$AJ$505,"&gt;"&amp;$A187,実績!$AK$6:$AK$505,"○")&gt;0,1,0))</f>
        <v>0</v>
      </c>
      <c r="BZ187" s="39" t="n">
        <f aca="false">IF(BZ$4=0,0,IF(COUNTIFS(実績!$W$6:$W$505,BZ$3,実績!$AI$6:$AI$505,"&lt;="&amp;$A187,実績!$AJ$6:$AJ$505,"&gt;"&amp;$A187,実績!$AK$6:$AK$505,"○")&gt;0,1,0))</f>
        <v>0</v>
      </c>
      <c r="CA187" s="39" t="n">
        <f aca="false">IF(CA$4=0,0,IF(COUNTIFS(実績!$W$6:$W$505,CA$3,実績!$AI$6:$AI$505,"&lt;="&amp;$A187,実績!$AJ$6:$AJ$505,"&gt;"&amp;$A187,実績!$AK$6:$AK$505,"○")&gt;0,1,0))</f>
        <v>0</v>
      </c>
      <c r="CB187" s="39" t="n">
        <f aca="false">IF(CB$4=0,0,IF(COUNTIFS(実績!$W$6:$W$505,CB$3,実績!$AI$6:$AI$505,"&lt;="&amp;$A187,実績!$AJ$6:$AJ$505,"&gt;"&amp;$A187,実績!$AK$6:$AK$505,"○")&gt;0,1,0))</f>
        <v>0</v>
      </c>
      <c r="CC187" s="39" t="n">
        <f aca="false">IF(CC$4=0,0,IF(COUNTIFS(実績!$W$6:$W$505,CC$3,実績!$AI$6:$AI$505,"&lt;="&amp;$A187,実績!$AJ$6:$AJ$505,"&gt;"&amp;$A187,実績!$AK$6:$AK$505,"○")&gt;0,1,0))</f>
        <v>0</v>
      </c>
      <c r="CD187" s="39" t="n">
        <f aca="false">IF(CD$4=0,0,IF(COUNTIFS(実績!$W$6:$W$505,CD$3,実績!$AI$6:$AI$505,"&lt;="&amp;$A187,実績!$AJ$6:$AJ$505,"&gt;"&amp;$A187,実績!$AK$6:$AK$505,"○")&gt;0,1,0))</f>
        <v>0</v>
      </c>
      <c r="CE187" s="39" t="n">
        <f aca="false">IF(CE$4=0,0,IF(COUNTIFS(実績!$W$6:$W$505,CE$3,実績!$AI$6:$AI$505,"&lt;="&amp;$A187,実績!$AJ$6:$AJ$505,"&gt;"&amp;$A187,実績!$AK$6:$AK$505,"○")&gt;0,1,0))</f>
        <v>0</v>
      </c>
      <c r="CF187" s="39" t="n">
        <f aca="false">IF(CF$4=0,0,IF(COUNTIFS(実績!$W$6:$W$505,CF$3,実績!$AI$6:$AI$505,"&lt;="&amp;$A187,実績!$AJ$6:$AJ$505,"&gt;"&amp;$A187,実績!$AK$6:$AK$505,"○")&gt;0,1,0))</f>
        <v>0</v>
      </c>
      <c r="CG187" s="39" t="n">
        <f aca="false">IF(CG$4=0,0,IF(COUNTIFS(実績!$W$6:$W$505,CG$3,実績!$AI$6:$AI$505,"&lt;="&amp;$A187,実績!$AJ$6:$AJ$505,"&gt;"&amp;$A187,実績!$AK$6:$AK$505,"○")&gt;0,1,0))</f>
        <v>0</v>
      </c>
      <c r="CH187" s="39" t="n">
        <f aca="false">IF(CH$4=0,0,IF(COUNTIFS(実績!$W$6:$W$505,CH$3,実績!$AI$6:$AI$505,"&lt;="&amp;$A187,実績!$AJ$6:$AJ$505,"&gt;"&amp;$A187,実績!$AK$6:$AK$505,"○")&gt;0,1,0))</f>
        <v>0</v>
      </c>
      <c r="CI187" s="39" t="n">
        <f aca="false">IF(CI$4=0,0,IF(COUNTIFS(実績!$W$6:$W$505,CI$3,実績!$AI$6:$AI$505,"&lt;="&amp;$A187,実績!$AJ$6:$AJ$505,"&gt;"&amp;$A187,実績!$AK$6:$AK$505,"○")&gt;0,1,0))</f>
        <v>0</v>
      </c>
      <c r="CJ187" s="39" t="n">
        <f aca="false">IF(CJ$4=0,0,IF(COUNTIFS(実績!$W$6:$W$505,CJ$3,実績!$AI$6:$AI$505,"&lt;="&amp;$A187,実績!$AJ$6:$AJ$505,"&gt;"&amp;$A187,実績!$AK$6:$AK$505,"○")&gt;0,1,0))</f>
        <v>0</v>
      </c>
      <c r="CK187" s="39" t="n">
        <f aca="false">IF(CK$4=0,0,IF(COUNTIFS(実績!$W$6:$W$505,CK$3,実績!$AI$6:$AI$505,"&lt;="&amp;$A187,実績!$AJ$6:$AJ$505,"&gt;"&amp;$A187,実績!$AK$6:$AK$505,"○")&gt;0,1,0))</f>
        <v>0</v>
      </c>
      <c r="CL187" s="39" t="n">
        <f aca="false">IF(CL$4=0,0,IF(COUNTIFS(実績!$W$6:$W$505,CL$3,実績!$AI$6:$AI$505,"&lt;="&amp;$A187,実績!$AJ$6:$AJ$505,"&gt;"&amp;$A187,実績!$AK$6:$AK$505,"○")&gt;0,1,0))</f>
        <v>0</v>
      </c>
      <c r="CM187" s="39" t="n">
        <f aca="false">IF(CM$4=0,0,IF(COUNTIFS(実績!$W$6:$W$505,CM$3,実績!$AI$6:$AI$505,"&lt;="&amp;$A187,実績!$AJ$6:$AJ$505,"&gt;"&amp;$A187,実績!$AK$6:$AK$505,"○")&gt;0,1,0))</f>
        <v>0</v>
      </c>
      <c r="CN187" s="39" t="n">
        <f aca="false">IF(CN$4=0,0,IF(COUNTIFS(実績!$W$6:$W$505,CN$3,実績!$AI$6:$AI$505,"&lt;="&amp;$A187,実績!$AJ$6:$AJ$505,"&gt;"&amp;$A187,実績!$AK$6:$AK$505,"○")&gt;0,1,0))</f>
        <v>0</v>
      </c>
      <c r="CO187" s="39" t="n">
        <f aca="false">IF(CO$4=0,0,IF(COUNTIFS(実績!$W$6:$W$505,CO$3,実績!$AI$6:$AI$505,"&lt;="&amp;$A187,実績!$AJ$6:$AJ$505,"&gt;"&amp;$A187,実績!$AK$6:$AK$505,"○")&gt;0,1,0))</f>
        <v>0</v>
      </c>
      <c r="CP187" s="39" t="n">
        <f aca="false">IF(CP$4=0,0,IF(COUNTIFS(実績!$W$6:$W$505,CP$3,実績!$AI$6:$AI$505,"&lt;="&amp;$A187,実績!$AJ$6:$AJ$505,"&gt;"&amp;$A187,実績!$AK$6:$AK$505,"○")&gt;0,1,0))</f>
        <v>0</v>
      </c>
      <c r="CQ187" s="39" t="n">
        <f aca="false">IF(CQ$4=0,0,IF(COUNTIFS(実績!$W$6:$W$505,CQ$3,実績!$AI$6:$AI$505,"&lt;="&amp;$A187,実績!$AJ$6:$AJ$505,"&gt;"&amp;$A187,実績!$AK$6:$AK$505,"○")&gt;0,1,0))</f>
        <v>0</v>
      </c>
      <c r="CR187" s="39" t="n">
        <f aca="false">IF(CR$4=0,0,IF(COUNTIFS(実績!$W$6:$W$505,CR$3,実績!$AI$6:$AI$505,"&lt;="&amp;$A187,実績!$AJ$6:$AJ$505,"&gt;"&amp;$A187,実績!$AK$6:$AK$505,"○")&gt;0,1,0))</f>
        <v>0</v>
      </c>
      <c r="CS187" s="39" t="n">
        <f aca="false">IF(CS$4=0,0,IF(COUNTIFS(実績!$W$6:$W$505,CS$3,実績!$AI$6:$AI$505,"&lt;="&amp;$A187,実績!$AJ$6:$AJ$505,"&gt;"&amp;$A187,実績!$AK$6:$AK$505,"○")&gt;0,1,0))</f>
        <v>0</v>
      </c>
      <c r="CT187" s="39" t="n">
        <f aca="false">IF(CT$4=0,0,IF(COUNTIFS(実績!$W$6:$W$505,CT$3,実績!$AI$6:$AI$505,"&lt;="&amp;$A187,実績!$AJ$6:$AJ$505,"&gt;"&amp;$A187,実績!$AK$6:$AK$505,"○")&gt;0,1,0))</f>
        <v>0</v>
      </c>
      <c r="CU187" s="39" t="n">
        <f aca="false">IF(CU$4=0,0,IF(COUNTIFS(実績!$W$6:$W$505,CU$3,実績!$AI$6:$AI$505,"&lt;="&amp;$A187,実績!$AJ$6:$AJ$505,"&gt;"&amp;$A187,実績!$AK$6:$AK$505,"○")&gt;0,1,0))</f>
        <v>0</v>
      </c>
      <c r="CV187" s="39" t="n">
        <f aca="false">IF(CV$4=0,0,IF(COUNTIFS(実績!$W$6:$W$505,CV$3,実績!$AI$6:$AI$505,"&lt;="&amp;$A187,実績!$AJ$6:$AJ$505,"&gt;"&amp;$A187,実績!$AK$6:$AK$505,"○")&gt;0,1,0))</f>
        <v>0</v>
      </c>
      <c r="CW187" s="39" t="n">
        <f aca="false">IF(CW$4=0,0,IF(COUNTIFS(実績!$W$6:$W$505,CW$3,実績!$AI$6:$AI$505,"&lt;="&amp;$A187,実績!$AJ$6:$AJ$505,"&gt;"&amp;$A187,実績!$AK$6:$AK$505,"○")&gt;0,1,0))</f>
        <v>0</v>
      </c>
      <c r="CX187" s="39" t="n">
        <f aca="false">IF(CX$4=0,0,IF(COUNTIFS(実績!$W$6:$W$505,CX$3,実績!$AI$6:$AI$505,"&lt;="&amp;$A187,実績!$AJ$6:$AJ$505,"&gt;"&amp;$A187,実績!$AK$6:$AK$505,"○")&gt;0,1,0))</f>
        <v>0</v>
      </c>
      <c r="CY187" s="39" t="n">
        <f aca="false">IF(CY$4=0,0,IF(COUNTIFS(実績!$W$6:$W$505,CY$3,実績!$AI$6:$AI$505,"&lt;="&amp;$A187,実績!$AJ$6:$AJ$505,"&gt;"&amp;$A187,実績!$AK$6:$AK$505,"○")&gt;0,1,0))</f>
        <v>0</v>
      </c>
      <c r="CZ187" s="39" t="n">
        <f aca="false">IF(CZ$4=0,0,IF(COUNTIFS(実績!$W$6:$W$505,CZ$3,実績!$AI$6:$AI$505,"&lt;="&amp;$A187,実績!$AJ$6:$AJ$505,"&gt;"&amp;$A187,実績!$AK$6:$AK$505,"○")&gt;0,1,0))</f>
        <v>0</v>
      </c>
      <c r="DA187" s="39" t="n">
        <f aca="false">IF(DA$4=0,0,IF(COUNTIFS(実績!$W$6:$W$505,DA$3,実績!$AI$6:$AI$505,"&lt;="&amp;$A187,実績!$AJ$6:$AJ$505,"&gt;"&amp;$A187,実績!$AK$6:$AK$505,"○")&gt;0,1,0))</f>
        <v>0</v>
      </c>
      <c r="DB187" s="39" t="n">
        <f aca="false">IF(DB$4=0,0,IF(COUNTIFS(実績!$W$6:$W$505,DB$3,実績!$AI$6:$AI$505,"&lt;="&amp;$A187,実績!$AJ$6:$AJ$505,"&gt;"&amp;$A187,実績!$AK$6:$AK$505,"○")&gt;0,1,0))</f>
        <v>0</v>
      </c>
      <c r="DC187" s="39" t="n">
        <f aca="false">IF(DC$4=0,0,IF(COUNTIFS(実績!$W$6:$W$505,DC$3,実績!$AI$6:$AI$505,"&lt;="&amp;$A187,実績!$AJ$6:$AJ$505,"&gt;"&amp;$A187,実績!$AK$6:$AK$505,"○")&gt;0,1,0))</f>
        <v>0</v>
      </c>
      <c r="DD187" s="39" t="n">
        <f aca="false">IF(DD$4=0,0,IF(COUNTIFS(実績!$W$6:$W$505,DD$3,実績!$AI$6:$AI$505,"&lt;="&amp;$A187,実績!$AJ$6:$AJ$505,"&gt;"&amp;$A187,実績!$AK$6:$AK$505,"○")&gt;0,1,0))</f>
        <v>0</v>
      </c>
      <c r="DE187" s="39" t="n">
        <f aca="false">IF(DE$4=0,0,IF(COUNTIFS(実績!$W$6:$W$505,DE$3,実績!$AI$6:$AI$505,"&lt;="&amp;$A187,実績!$AJ$6:$AJ$505,"&gt;"&amp;$A187,実績!$AK$6:$AK$505,"○")&gt;0,1,0))</f>
        <v>0</v>
      </c>
      <c r="DF187" s="39" t="n">
        <f aca="false">IF(DF$4=0,0,IF(COUNTIFS(実績!$W$6:$W$505,DF$3,実績!$AI$6:$AI$505,"&lt;="&amp;$A187,実績!$AJ$6:$AJ$505,"&gt;"&amp;$A187,実績!$AK$6:$AK$505,"○")&gt;0,1,0))</f>
        <v>0</v>
      </c>
      <c r="DG187" s="39" t="n">
        <f aca="false">IF(DG$4=0,0,IF(COUNTIFS(実績!$W$6:$W$505,DG$3,実績!$AI$6:$AI$505,"&lt;="&amp;$A187,実績!$AJ$6:$AJ$505,"&gt;"&amp;$A187,実績!$AK$6:$AK$505,"○")&gt;0,1,0))</f>
        <v>0</v>
      </c>
      <c r="DH187" s="39" t="n">
        <f aca="false">IF(DH$4=0,0,IF(COUNTIFS(実績!$W$6:$W$505,DH$3,実績!$AI$6:$AI$505,"&lt;="&amp;$A187,実績!$AJ$6:$AJ$505,"&gt;"&amp;$A187,実績!$AK$6:$AK$505,"○")&gt;0,1,0))</f>
        <v>0</v>
      </c>
      <c r="DI187" s="39" t="n">
        <f aca="false">IF(DI$4=0,0,IF(COUNTIFS(実績!$W$6:$W$505,DI$3,実績!$AI$6:$AI$505,"&lt;="&amp;$A187,実績!$AJ$6:$AJ$505,"&gt;"&amp;$A187,実績!$AK$6:$AK$505,"○")&gt;0,1,0))</f>
        <v>0</v>
      </c>
      <c r="DJ187" s="39" t="n">
        <f aca="false">IF(DJ$4=0,0,IF(COUNTIFS(実績!$W$6:$W$505,DJ$3,実績!$AI$6:$AI$505,"&lt;="&amp;$A187,実績!$AJ$6:$AJ$505,"&gt;"&amp;$A187,実績!$AK$6:$AK$505,"○")&gt;0,1,0))</f>
        <v>0</v>
      </c>
      <c r="DK187" s="39" t="n">
        <f aca="false">IF(DK$4=0,0,IF(COUNTIFS(実績!$W$6:$W$505,DK$3,実績!$AI$6:$AI$505,"&lt;="&amp;$A187,実績!$AJ$6:$AJ$505,"&gt;"&amp;$A187,実績!$AK$6:$AK$505,"○")&gt;0,1,0))</f>
        <v>0</v>
      </c>
      <c r="DL187" s="39" t="n">
        <f aca="false">IF(DL$4=0,0,IF(COUNTIFS(実績!$W$6:$W$505,DL$3,実績!$AI$6:$AI$505,"&lt;="&amp;$A187,実績!$AJ$6:$AJ$505,"&gt;"&amp;$A187,実績!$AK$6:$AK$505,"○")&gt;0,1,0))</f>
        <v>0</v>
      </c>
      <c r="DM187" s="39" t="n">
        <f aca="false">IF(DM$4=0,0,IF(COUNTIFS(実績!$W$6:$W$505,DM$3,実績!$AI$6:$AI$505,"&lt;="&amp;$A187,実績!$AJ$6:$AJ$505,"&gt;"&amp;$A187,実績!$AK$6:$AK$505,"○")&gt;0,1,0))</f>
        <v>0</v>
      </c>
      <c r="DN187" s="39" t="n">
        <f aca="false">IF(DN$4=0,0,IF(COUNTIFS(実績!$W$6:$W$505,DN$3,実績!$AI$6:$AI$505,"&lt;="&amp;$A187,実績!$AJ$6:$AJ$505,"&gt;"&amp;$A187,実績!$AK$6:$AK$505,"○")&gt;0,1,0))</f>
        <v>0</v>
      </c>
      <c r="DO187" s="39" t="n">
        <f aca="false">IF(DO$4=0,0,IF(COUNTIFS(実績!$W$6:$W$505,DO$3,実績!$AI$6:$AI$505,"&lt;="&amp;$A187,実績!$AJ$6:$AJ$505,"&gt;"&amp;$A187,実績!$AK$6:$AK$505,"○")&gt;0,1,0))</f>
        <v>0</v>
      </c>
      <c r="DP187" s="39" t="n">
        <f aca="false">IF(DP$4=0,0,IF(COUNTIFS(実績!$W$6:$W$505,DP$3,実績!$AI$6:$AI$505,"&lt;="&amp;$A187,実績!$AJ$6:$AJ$505,"&gt;"&amp;$A187,実績!$AK$6:$AK$505,"○")&gt;0,1,0))</f>
        <v>0</v>
      </c>
      <c r="DQ187" s="39" t="n">
        <f aca="false">IF(DQ$4=0,0,IF(COUNTIFS(実績!$W$6:$W$505,DQ$3,実績!$AI$6:$AI$505,"&lt;="&amp;$A187,実績!$AJ$6:$AJ$505,"&gt;"&amp;$A187,実績!$AK$6:$AK$505,"○")&gt;0,1,0))</f>
        <v>0</v>
      </c>
      <c r="DR187" s="39" t="n">
        <f aca="false">IF(DR$4=0,0,IF(COUNTIFS(実績!$W$6:$W$505,DR$3,実績!$AI$6:$AI$505,"&lt;="&amp;$A187,実績!$AJ$6:$AJ$505,"&gt;"&amp;$A187,実績!$AK$6:$AK$505,"○")&gt;0,1,0))</f>
        <v>0</v>
      </c>
      <c r="DS187" s="39" t="n">
        <f aca="false">SUM(C187:DR187)</f>
        <v>0</v>
      </c>
      <c r="DT187" s="39" t="n">
        <f aca="false">SUMPRODUCT((実績!$C$6:$C$505="○")*ISNUMBER(実績!$AM$6:$AM$505)*(実績!$AM$6:$AM$505&lt;=$A187)*(実績!$AN$6:$AN$505&gt;$A187))</f>
        <v>0</v>
      </c>
      <c r="DU187" s="39" t="n">
        <f aca="false">SUMIF($C$2:$DR$2,"製鉄曳船",C187:DR187)</f>
        <v>0</v>
      </c>
      <c r="DV187" s="39" t="n">
        <f aca="false">SUMIF($C$2:$DR$2,"西日本海運",C187:DR187)</f>
        <v>0</v>
      </c>
    </row>
    <row r="188" customFormat="false" ht="15" hidden="false" customHeight="false" outlineLevel="0" collapsed="false">
      <c r="A188" s="0" t="n">
        <v>910</v>
      </c>
      <c r="B188" s="38" t="n">
        <f aca="false">A188/1440</f>
        <v>0.631944444444444</v>
      </c>
      <c r="C188" s="39" t="n">
        <f aca="false">IF(C$4=0,0,IF(COUNTIFS(実績!$W$6:$W$505,C$3,実績!$AI$6:$AI$505,"&lt;="&amp;$A188,実績!$AJ$6:$AJ$505,"&gt;"&amp;$A188,実績!$AK$6:$AK$505,"○")&gt;0,1,0))</f>
        <v>0</v>
      </c>
      <c r="D188" s="39" t="n">
        <f aca="false">IF(D$4=0,0,IF(COUNTIFS(実績!$W$6:$W$505,D$3,実績!$AI$6:$AI$505,"&lt;="&amp;$A188,実績!$AJ$6:$AJ$505,"&gt;"&amp;$A188,実績!$AK$6:$AK$505,"○")&gt;0,1,0))</f>
        <v>0</v>
      </c>
      <c r="E188" s="39" t="n">
        <f aca="false">IF(E$4=0,0,IF(COUNTIFS(実績!$W$6:$W$505,E$3,実績!$AI$6:$AI$505,"&lt;="&amp;$A188,実績!$AJ$6:$AJ$505,"&gt;"&amp;$A188,実績!$AK$6:$AK$505,"○")&gt;0,1,0))</f>
        <v>0</v>
      </c>
      <c r="F188" s="39" t="n">
        <f aca="false">IF(F$4=0,0,IF(COUNTIFS(実績!$W$6:$W$505,F$3,実績!$AI$6:$AI$505,"&lt;="&amp;$A188,実績!$AJ$6:$AJ$505,"&gt;"&amp;$A188,実績!$AK$6:$AK$505,"○")&gt;0,1,0))</f>
        <v>0</v>
      </c>
      <c r="G188" s="39" t="n">
        <f aca="false">IF(G$4=0,0,IF(COUNTIFS(実績!$W$6:$W$505,G$3,実績!$AI$6:$AI$505,"&lt;="&amp;$A188,実績!$AJ$6:$AJ$505,"&gt;"&amp;$A188,実績!$AK$6:$AK$505,"○")&gt;0,1,0))</f>
        <v>0</v>
      </c>
      <c r="H188" s="39" t="n">
        <f aca="false">IF(H$4=0,0,IF(COUNTIFS(実績!$W$6:$W$505,H$3,実績!$AI$6:$AI$505,"&lt;="&amp;$A188,実績!$AJ$6:$AJ$505,"&gt;"&amp;$A188,実績!$AK$6:$AK$505,"○")&gt;0,1,0))</f>
        <v>0</v>
      </c>
      <c r="I188" s="39" t="n">
        <f aca="false">IF(I$4=0,0,IF(COUNTIFS(実績!$W$6:$W$505,I$3,実績!$AI$6:$AI$505,"&lt;="&amp;$A188,実績!$AJ$6:$AJ$505,"&gt;"&amp;$A188,実績!$AK$6:$AK$505,"○")&gt;0,1,0))</f>
        <v>0</v>
      </c>
      <c r="J188" s="39" t="n">
        <f aca="false">IF(J$4=0,0,IF(COUNTIFS(実績!$W$6:$W$505,J$3,実績!$AI$6:$AI$505,"&lt;="&amp;$A188,実績!$AJ$6:$AJ$505,"&gt;"&amp;$A188,実績!$AK$6:$AK$505,"○")&gt;0,1,0))</f>
        <v>0</v>
      </c>
      <c r="K188" s="39" t="n">
        <f aca="false">IF(K$4=0,0,IF(COUNTIFS(実績!$W$6:$W$505,K$3,実績!$AI$6:$AI$505,"&lt;="&amp;$A188,実績!$AJ$6:$AJ$505,"&gt;"&amp;$A188,実績!$AK$6:$AK$505,"○")&gt;0,1,0))</f>
        <v>0</v>
      </c>
      <c r="L188" s="39" t="n">
        <f aca="false">IF(L$4=0,0,IF(COUNTIFS(実績!$W$6:$W$505,L$3,実績!$AI$6:$AI$505,"&lt;="&amp;$A188,実績!$AJ$6:$AJ$505,"&gt;"&amp;$A188,実績!$AK$6:$AK$505,"○")&gt;0,1,0))</f>
        <v>0</v>
      </c>
      <c r="M188" s="39" t="n">
        <f aca="false">IF(M$4=0,0,IF(COUNTIFS(実績!$W$6:$W$505,M$3,実績!$AI$6:$AI$505,"&lt;="&amp;$A188,実績!$AJ$6:$AJ$505,"&gt;"&amp;$A188,実績!$AK$6:$AK$505,"○")&gt;0,1,0))</f>
        <v>0</v>
      </c>
      <c r="N188" s="39" t="n">
        <f aca="false">IF(N$4=0,0,IF(COUNTIFS(実績!$W$6:$W$505,N$3,実績!$AI$6:$AI$505,"&lt;="&amp;$A188,実績!$AJ$6:$AJ$505,"&gt;"&amp;$A188,実績!$AK$6:$AK$505,"○")&gt;0,1,0))</f>
        <v>0</v>
      </c>
      <c r="O188" s="39" t="n">
        <f aca="false">IF(O$4=0,0,IF(COUNTIFS(実績!$W$6:$W$505,O$3,実績!$AI$6:$AI$505,"&lt;="&amp;$A188,実績!$AJ$6:$AJ$505,"&gt;"&amp;$A188,実績!$AK$6:$AK$505,"○")&gt;0,1,0))</f>
        <v>0</v>
      </c>
      <c r="P188" s="39" t="n">
        <f aca="false">IF(P$4=0,0,IF(COUNTIFS(実績!$W$6:$W$505,P$3,実績!$AI$6:$AI$505,"&lt;="&amp;$A188,実績!$AJ$6:$AJ$505,"&gt;"&amp;$A188,実績!$AK$6:$AK$505,"○")&gt;0,1,0))</f>
        <v>0</v>
      </c>
      <c r="Q188" s="39" t="n">
        <f aca="false">IF(Q$4=0,0,IF(COUNTIFS(実績!$W$6:$W$505,Q$3,実績!$AI$6:$AI$505,"&lt;="&amp;$A188,実績!$AJ$6:$AJ$505,"&gt;"&amp;$A188,実績!$AK$6:$AK$505,"○")&gt;0,1,0))</f>
        <v>0</v>
      </c>
      <c r="R188" s="39" t="n">
        <f aca="false">IF(R$4=0,0,IF(COUNTIFS(実績!$W$6:$W$505,R$3,実績!$AI$6:$AI$505,"&lt;="&amp;$A188,実績!$AJ$6:$AJ$505,"&gt;"&amp;$A188,実績!$AK$6:$AK$505,"○")&gt;0,1,0))</f>
        <v>0</v>
      </c>
      <c r="S188" s="39" t="n">
        <f aca="false">IF(S$4=0,0,IF(COUNTIFS(実績!$W$6:$W$505,S$3,実績!$AI$6:$AI$505,"&lt;="&amp;$A188,実績!$AJ$6:$AJ$505,"&gt;"&amp;$A188,実績!$AK$6:$AK$505,"○")&gt;0,1,0))</f>
        <v>0</v>
      </c>
      <c r="T188" s="39" t="n">
        <f aca="false">IF(T$4=0,0,IF(COUNTIFS(実績!$W$6:$W$505,T$3,実績!$AI$6:$AI$505,"&lt;="&amp;$A188,実績!$AJ$6:$AJ$505,"&gt;"&amp;$A188,実績!$AK$6:$AK$505,"○")&gt;0,1,0))</f>
        <v>0</v>
      </c>
      <c r="U188" s="39" t="n">
        <f aca="false">IF(U$4=0,0,IF(COUNTIFS(実績!$W$6:$W$505,U$3,実績!$AI$6:$AI$505,"&lt;="&amp;$A188,実績!$AJ$6:$AJ$505,"&gt;"&amp;$A188,実績!$AK$6:$AK$505,"○")&gt;0,1,0))</f>
        <v>0</v>
      </c>
      <c r="V188" s="39" t="n">
        <f aca="false">IF(V$4=0,0,IF(COUNTIFS(実績!$W$6:$W$505,V$3,実績!$AI$6:$AI$505,"&lt;="&amp;$A188,実績!$AJ$6:$AJ$505,"&gt;"&amp;$A188,実績!$AK$6:$AK$505,"○")&gt;0,1,0))</f>
        <v>0</v>
      </c>
      <c r="W188" s="39" t="n">
        <f aca="false">IF(W$4=0,0,IF(COUNTIFS(実績!$W$6:$W$505,W$3,実績!$AI$6:$AI$505,"&lt;="&amp;$A188,実績!$AJ$6:$AJ$505,"&gt;"&amp;$A188,実績!$AK$6:$AK$505,"○")&gt;0,1,0))</f>
        <v>0</v>
      </c>
      <c r="X188" s="39" t="n">
        <f aca="false">IF(X$4=0,0,IF(COUNTIFS(実績!$W$6:$W$505,X$3,実績!$AI$6:$AI$505,"&lt;="&amp;$A188,実績!$AJ$6:$AJ$505,"&gt;"&amp;$A188,実績!$AK$6:$AK$505,"○")&gt;0,1,0))</f>
        <v>0</v>
      </c>
      <c r="Y188" s="39" t="n">
        <f aca="false">IF(Y$4=0,0,IF(COUNTIFS(実績!$W$6:$W$505,Y$3,実績!$AI$6:$AI$505,"&lt;="&amp;$A188,実績!$AJ$6:$AJ$505,"&gt;"&amp;$A188,実績!$AK$6:$AK$505,"○")&gt;0,1,0))</f>
        <v>0</v>
      </c>
      <c r="Z188" s="39" t="n">
        <f aca="false">IF(Z$4=0,0,IF(COUNTIFS(実績!$W$6:$W$505,Z$3,実績!$AI$6:$AI$505,"&lt;="&amp;$A188,実績!$AJ$6:$AJ$505,"&gt;"&amp;$A188,実績!$AK$6:$AK$505,"○")&gt;0,1,0))</f>
        <v>0</v>
      </c>
      <c r="AA188" s="39" t="n">
        <f aca="false">IF(AA$4=0,0,IF(COUNTIFS(実績!$W$6:$W$505,AA$3,実績!$AI$6:$AI$505,"&lt;="&amp;$A188,実績!$AJ$6:$AJ$505,"&gt;"&amp;$A188,実績!$AK$6:$AK$505,"○")&gt;0,1,0))</f>
        <v>0</v>
      </c>
      <c r="AB188" s="39" t="n">
        <f aca="false">IF(AB$4=0,0,IF(COUNTIFS(実績!$W$6:$W$505,AB$3,実績!$AI$6:$AI$505,"&lt;="&amp;$A188,実績!$AJ$6:$AJ$505,"&gt;"&amp;$A188,実績!$AK$6:$AK$505,"○")&gt;0,1,0))</f>
        <v>0</v>
      </c>
      <c r="AC188" s="39" t="n">
        <f aca="false">IF(AC$4=0,0,IF(COUNTIFS(実績!$W$6:$W$505,AC$3,実績!$AI$6:$AI$505,"&lt;="&amp;$A188,実績!$AJ$6:$AJ$505,"&gt;"&amp;$A188,実績!$AK$6:$AK$505,"○")&gt;0,1,0))</f>
        <v>0</v>
      </c>
      <c r="AD188" s="39" t="n">
        <f aca="false">IF(AD$4=0,0,IF(COUNTIFS(実績!$W$6:$W$505,AD$3,実績!$AI$6:$AI$505,"&lt;="&amp;$A188,実績!$AJ$6:$AJ$505,"&gt;"&amp;$A188,実績!$AK$6:$AK$505,"○")&gt;0,1,0))</f>
        <v>0</v>
      </c>
      <c r="AE188" s="39" t="n">
        <f aca="false">IF(AE$4=0,0,IF(COUNTIFS(実績!$W$6:$W$505,AE$3,実績!$AI$6:$AI$505,"&lt;="&amp;$A188,実績!$AJ$6:$AJ$505,"&gt;"&amp;$A188,実績!$AK$6:$AK$505,"○")&gt;0,1,0))</f>
        <v>0</v>
      </c>
      <c r="AF188" s="39" t="n">
        <f aca="false">IF(AF$4=0,0,IF(COUNTIFS(実績!$W$6:$W$505,AF$3,実績!$AI$6:$AI$505,"&lt;="&amp;$A188,実績!$AJ$6:$AJ$505,"&gt;"&amp;$A188,実績!$AK$6:$AK$505,"○")&gt;0,1,0))</f>
        <v>0</v>
      </c>
      <c r="AG188" s="39" t="n">
        <f aca="false">IF(AG$4=0,0,IF(COUNTIFS(実績!$W$6:$W$505,AG$3,実績!$AI$6:$AI$505,"&lt;="&amp;$A188,実績!$AJ$6:$AJ$505,"&gt;"&amp;$A188,実績!$AK$6:$AK$505,"○")&gt;0,1,0))</f>
        <v>0</v>
      </c>
      <c r="AH188" s="39" t="n">
        <f aca="false">IF(AH$4=0,0,IF(COUNTIFS(実績!$W$6:$W$505,AH$3,実績!$AI$6:$AI$505,"&lt;="&amp;$A188,実績!$AJ$6:$AJ$505,"&gt;"&amp;$A188,実績!$AK$6:$AK$505,"○")&gt;0,1,0))</f>
        <v>0</v>
      </c>
      <c r="AI188" s="39" t="n">
        <f aca="false">IF(AI$4=0,0,IF(COUNTIFS(実績!$W$6:$W$505,AI$3,実績!$AI$6:$AI$505,"&lt;="&amp;$A188,実績!$AJ$6:$AJ$505,"&gt;"&amp;$A188,実績!$AK$6:$AK$505,"○")&gt;0,1,0))</f>
        <v>0</v>
      </c>
      <c r="AJ188" s="39" t="n">
        <f aca="false">IF(AJ$4=0,0,IF(COUNTIFS(実績!$W$6:$W$505,AJ$3,実績!$AI$6:$AI$505,"&lt;="&amp;$A188,実績!$AJ$6:$AJ$505,"&gt;"&amp;$A188,実績!$AK$6:$AK$505,"○")&gt;0,1,0))</f>
        <v>0</v>
      </c>
      <c r="AK188" s="39" t="n">
        <f aca="false">IF(AK$4=0,0,IF(COUNTIFS(実績!$W$6:$W$505,AK$3,実績!$AI$6:$AI$505,"&lt;="&amp;$A188,実績!$AJ$6:$AJ$505,"&gt;"&amp;$A188,実績!$AK$6:$AK$505,"○")&gt;0,1,0))</f>
        <v>0</v>
      </c>
      <c r="AL188" s="39" t="n">
        <f aca="false">IF(AL$4=0,0,IF(COUNTIFS(実績!$W$6:$W$505,AL$3,実績!$AI$6:$AI$505,"&lt;="&amp;$A188,実績!$AJ$6:$AJ$505,"&gt;"&amp;$A188,実績!$AK$6:$AK$505,"○")&gt;0,1,0))</f>
        <v>0</v>
      </c>
      <c r="AM188" s="39" t="n">
        <f aca="false">IF(AM$4=0,0,IF(COUNTIFS(実績!$W$6:$W$505,AM$3,実績!$AI$6:$AI$505,"&lt;="&amp;$A188,実績!$AJ$6:$AJ$505,"&gt;"&amp;$A188,実績!$AK$6:$AK$505,"○")&gt;0,1,0))</f>
        <v>0</v>
      </c>
      <c r="AN188" s="39" t="n">
        <f aca="false">IF(AN$4=0,0,IF(COUNTIFS(実績!$W$6:$W$505,AN$3,実績!$AI$6:$AI$505,"&lt;="&amp;$A188,実績!$AJ$6:$AJ$505,"&gt;"&amp;$A188,実績!$AK$6:$AK$505,"○")&gt;0,1,0))</f>
        <v>0</v>
      </c>
      <c r="AO188" s="39" t="n">
        <f aca="false">IF(AO$4=0,0,IF(COUNTIFS(実績!$W$6:$W$505,AO$3,実績!$AI$6:$AI$505,"&lt;="&amp;$A188,実績!$AJ$6:$AJ$505,"&gt;"&amp;$A188,実績!$AK$6:$AK$505,"○")&gt;0,1,0))</f>
        <v>0</v>
      </c>
      <c r="AP188" s="39" t="n">
        <f aca="false">IF(AP$4=0,0,IF(COUNTIFS(実績!$W$6:$W$505,AP$3,実績!$AI$6:$AI$505,"&lt;="&amp;$A188,実績!$AJ$6:$AJ$505,"&gt;"&amp;$A188,実績!$AK$6:$AK$505,"○")&gt;0,1,0))</f>
        <v>0</v>
      </c>
      <c r="AQ188" s="39" t="n">
        <f aca="false">IF(AQ$4=0,0,IF(COUNTIFS(実績!$W$6:$W$505,AQ$3,実績!$AI$6:$AI$505,"&lt;="&amp;$A188,実績!$AJ$6:$AJ$505,"&gt;"&amp;$A188,実績!$AK$6:$AK$505,"○")&gt;0,1,0))</f>
        <v>0</v>
      </c>
      <c r="AR188" s="39" t="n">
        <f aca="false">IF(AR$4=0,0,IF(COUNTIFS(実績!$W$6:$W$505,AR$3,実績!$AI$6:$AI$505,"&lt;="&amp;$A188,実績!$AJ$6:$AJ$505,"&gt;"&amp;$A188,実績!$AK$6:$AK$505,"○")&gt;0,1,0))</f>
        <v>0</v>
      </c>
      <c r="AS188" s="39" t="n">
        <f aca="false">IF(AS$4=0,0,IF(COUNTIFS(実績!$W$6:$W$505,AS$3,実績!$AI$6:$AI$505,"&lt;="&amp;$A188,実績!$AJ$6:$AJ$505,"&gt;"&amp;$A188,実績!$AK$6:$AK$505,"○")&gt;0,1,0))</f>
        <v>0</v>
      </c>
      <c r="AT188" s="39" t="n">
        <f aca="false">IF(AT$4=0,0,IF(COUNTIFS(実績!$W$6:$W$505,AT$3,実績!$AI$6:$AI$505,"&lt;="&amp;$A188,実績!$AJ$6:$AJ$505,"&gt;"&amp;$A188,実績!$AK$6:$AK$505,"○")&gt;0,1,0))</f>
        <v>0</v>
      </c>
      <c r="AU188" s="39" t="n">
        <f aca="false">IF(AU$4=0,0,IF(COUNTIFS(実績!$W$6:$W$505,AU$3,実績!$AI$6:$AI$505,"&lt;="&amp;$A188,実績!$AJ$6:$AJ$505,"&gt;"&amp;$A188,実績!$AK$6:$AK$505,"○")&gt;0,1,0))</f>
        <v>0</v>
      </c>
      <c r="AV188" s="39" t="n">
        <f aca="false">IF(AV$4=0,0,IF(COUNTIFS(実績!$W$6:$W$505,AV$3,実績!$AI$6:$AI$505,"&lt;="&amp;$A188,実績!$AJ$6:$AJ$505,"&gt;"&amp;$A188,実績!$AK$6:$AK$505,"○")&gt;0,1,0))</f>
        <v>0</v>
      </c>
      <c r="AW188" s="39" t="n">
        <f aca="false">IF(AW$4=0,0,IF(COUNTIFS(実績!$W$6:$W$505,AW$3,実績!$AI$6:$AI$505,"&lt;="&amp;$A188,実績!$AJ$6:$AJ$505,"&gt;"&amp;$A188,実績!$AK$6:$AK$505,"○")&gt;0,1,0))</f>
        <v>0</v>
      </c>
      <c r="AX188" s="39" t="n">
        <f aca="false">IF(AX$4=0,0,IF(COUNTIFS(実績!$W$6:$W$505,AX$3,実績!$AI$6:$AI$505,"&lt;="&amp;$A188,実績!$AJ$6:$AJ$505,"&gt;"&amp;$A188,実績!$AK$6:$AK$505,"○")&gt;0,1,0))</f>
        <v>0</v>
      </c>
      <c r="AY188" s="39" t="n">
        <f aca="false">IF(AY$4=0,0,IF(COUNTIFS(実績!$W$6:$W$505,AY$3,実績!$AI$6:$AI$505,"&lt;="&amp;$A188,実績!$AJ$6:$AJ$505,"&gt;"&amp;$A188,実績!$AK$6:$AK$505,"○")&gt;0,1,0))</f>
        <v>0</v>
      </c>
      <c r="AZ188" s="39" t="n">
        <f aca="false">IF(AZ$4=0,0,IF(COUNTIFS(実績!$W$6:$W$505,AZ$3,実績!$AI$6:$AI$505,"&lt;="&amp;$A188,実績!$AJ$6:$AJ$505,"&gt;"&amp;$A188,実績!$AK$6:$AK$505,"○")&gt;0,1,0))</f>
        <v>0</v>
      </c>
      <c r="BA188" s="39" t="n">
        <f aca="false">IF(BA$4=0,0,IF(COUNTIFS(実績!$W$6:$W$505,BA$3,実績!$AI$6:$AI$505,"&lt;="&amp;$A188,実績!$AJ$6:$AJ$505,"&gt;"&amp;$A188,実績!$AK$6:$AK$505,"○")&gt;0,1,0))</f>
        <v>0</v>
      </c>
      <c r="BB188" s="39" t="n">
        <f aca="false">IF(BB$4=0,0,IF(COUNTIFS(実績!$W$6:$W$505,BB$3,実績!$AI$6:$AI$505,"&lt;="&amp;$A188,実績!$AJ$6:$AJ$505,"&gt;"&amp;$A188,実績!$AK$6:$AK$505,"○")&gt;0,1,0))</f>
        <v>0</v>
      </c>
      <c r="BC188" s="39" t="n">
        <f aca="false">IF(BC$4=0,0,IF(COUNTIFS(実績!$W$6:$W$505,BC$3,実績!$AI$6:$AI$505,"&lt;="&amp;$A188,実績!$AJ$6:$AJ$505,"&gt;"&amp;$A188,実績!$AK$6:$AK$505,"○")&gt;0,1,0))</f>
        <v>0</v>
      </c>
      <c r="BD188" s="39" t="n">
        <f aca="false">IF(BD$4=0,0,IF(COUNTIFS(実績!$W$6:$W$505,BD$3,実績!$AI$6:$AI$505,"&lt;="&amp;$A188,実績!$AJ$6:$AJ$505,"&gt;"&amp;$A188,実績!$AK$6:$AK$505,"○")&gt;0,1,0))</f>
        <v>0</v>
      </c>
      <c r="BE188" s="39" t="n">
        <f aca="false">IF(BE$4=0,0,IF(COUNTIFS(実績!$W$6:$W$505,BE$3,実績!$AI$6:$AI$505,"&lt;="&amp;$A188,実績!$AJ$6:$AJ$505,"&gt;"&amp;$A188,実績!$AK$6:$AK$505,"○")&gt;0,1,0))</f>
        <v>0</v>
      </c>
      <c r="BF188" s="39" t="n">
        <f aca="false">IF(BF$4=0,0,IF(COUNTIFS(実績!$W$6:$W$505,BF$3,実績!$AI$6:$AI$505,"&lt;="&amp;$A188,実績!$AJ$6:$AJ$505,"&gt;"&amp;$A188,実績!$AK$6:$AK$505,"○")&gt;0,1,0))</f>
        <v>0</v>
      </c>
      <c r="BG188" s="39" t="n">
        <f aca="false">IF(BG$4=0,0,IF(COUNTIFS(実績!$W$6:$W$505,BG$3,実績!$AI$6:$AI$505,"&lt;="&amp;$A188,実績!$AJ$6:$AJ$505,"&gt;"&amp;$A188,実績!$AK$6:$AK$505,"○")&gt;0,1,0))</f>
        <v>0</v>
      </c>
      <c r="BH188" s="39" t="n">
        <f aca="false">IF(BH$4=0,0,IF(COUNTIFS(実績!$W$6:$W$505,BH$3,実績!$AI$6:$AI$505,"&lt;="&amp;$A188,実績!$AJ$6:$AJ$505,"&gt;"&amp;$A188,実績!$AK$6:$AK$505,"○")&gt;0,1,0))</f>
        <v>0</v>
      </c>
      <c r="BI188" s="39" t="n">
        <f aca="false">IF(BI$4=0,0,IF(COUNTIFS(実績!$W$6:$W$505,BI$3,実績!$AI$6:$AI$505,"&lt;="&amp;$A188,実績!$AJ$6:$AJ$505,"&gt;"&amp;$A188,実績!$AK$6:$AK$505,"○")&gt;0,1,0))</f>
        <v>0</v>
      </c>
      <c r="BJ188" s="39" t="n">
        <f aca="false">IF(BJ$4=0,0,IF(COUNTIFS(実績!$W$6:$W$505,BJ$3,実績!$AI$6:$AI$505,"&lt;="&amp;$A188,実績!$AJ$6:$AJ$505,"&gt;"&amp;$A188,実績!$AK$6:$AK$505,"○")&gt;0,1,0))</f>
        <v>0</v>
      </c>
      <c r="BK188" s="39" t="n">
        <f aca="false">IF(BK$4=0,0,IF(COUNTIFS(実績!$W$6:$W$505,BK$3,実績!$AI$6:$AI$505,"&lt;="&amp;$A188,実績!$AJ$6:$AJ$505,"&gt;"&amp;$A188,実績!$AK$6:$AK$505,"○")&gt;0,1,0))</f>
        <v>0</v>
      </c>
      <c r="BL188" s="39" t="n">
        <f aca="false">IF(BL$4=0,0,IF(COUNTIFS(実績!$W$6:$W$505,BL$3,実績!$AI$6:$AI$505,"&lt;="&amp;$A188,実績!$AJ$6:$AJ$505,"&gt;"&amp;$A188,実績!$AK$6:$AK$505,"○")&gt;0,1,0))</f>
        <v>0</v>
      </c>
      <c r="BM188" s="39" t="n">
        <f aca="false">IF(BM$4=0,0,IF(COUNTIFS(実績!$W$6:$W$505,BM$3,実績!$AI$6:$AI$505,"&lt;="&amp;$A188,実績!$AJ$6:$AJ$505,"&gt;"&amp;$A188,実績!$AK$6:$AK$505,"○")&gt;0,1,0))</f>
        <v>0</v>
      </c>
      <c r="BN188" s="39" t="n">
        <f aca="false">IF(BN$4=0,0,IF(COUNTIFS(実績!$W$6:$W$505,BN$3,実績!$AI$6:$AI$505,"&lt;="&amp;$A188,実績!$AJ$6:$AJ$505,"&gt;"&amp;$A188,実績!$AK$6:$AK$505,"○")&gt;0,1,0))</f>
        <v>0</v>
      </c>
      <c r="BO188" s="39" t="n">
        <f aca="false">IF(BO$4=0,0,IF(COUNTIFS(実績!$W$6:$W$505,BO$3,実績!$AI$6:$AI$505,"&lt;="&amp;$A188,実績!$AJ$6:$AJ$505,"&gt;"&amp;$A188,実績!$AK$6:$AK$505,"○")&gt;0,1,0))</f>
        <v>0</v>
      </c>
      <c r="BP188" s="39" t="n">
        <f aca="false">IF(BP$4=0,0,IF(COUNTIFS(実績!$W$6:$W$505,BP$3,実績!$AI$6:$AI$505,"&lt;="&amp;$A188,実績!$AJ$6:$AJ$505,"&gt;"&amp;$A188,実績!$AK$6:$AK$505,"○")&gt;0,1,0))</f>
        <v>0</v>
      </c>
      <c r="BQ188" s="39" t="n">
        <f aca="false">IF(BQ$4=0,0,IF(COUNTIFS(実績!$W$6:$W$505,BQ$3,実績!$AI$6:$AI$505,"&lt;="&amp;$A188,実績!$AJ$6:$AJ$505,"&gt;"&amp;$A188,実績!$AK$6:$AK$505,"○")&gt;0,1,0))</f>
        <v>0</v>
      </c>
      <c r="BR188" s="39" t="n">
        <f aca="false">IF(BR$4=0,0,IF(COUNTIFS(実績!$W$6:$W$505,BR$3,実績!$AI$6:$AI$505,"&lt;="&amp;$A188,実績!$AJ$6:$AJ$505,"&gt;"&amp;$A188,実績!$AK$6:$AK$505,"○")&gt;0,1,0))</f>
        <v>0</v>
      </c>
      <c r="BS188" s="39" t="n">
        <f aca="false">IF(BS$4=0,0,IF(COUNTIFS(実績!$W$6:$W$505,BS$3,実績!$AI$6:$AI$505,"&lt;="&amp;$A188,実績!$AJ$6:$AJ$505,"&gt;"&amp;$A188,実績!$AK$6:$AK$505,"○")&gt;0,1,0))</f>
        <v>0</v>
      </c>
      <c r="BT188" s="39" t="n">
        <f aca="false">IF(BT$4=0,0,IF(COUNTIFS(実績!$W$6:$W$505,BT$3,実績!$AI$6:$AI$505,"&lt;="&amp;$A188,実績!$AJ$6:$AJ$505,"&gt;"&amp;$A188,実績!$AK$6:$AK$505,"○")&gt;0,1,0))</f>
        <v>0</v>
      </c>
      <c r="BU188" s="39" t="n">
        <f aca="false">IF(BU$4=0,0,IF(COUNTIFS(実績!$W$6:$W$505,BU$3,実績!$AI$6:$AI$505,"&lt;="&amp;$A188,実績!$AJ$6:$AJ$505,"&gt;"&amp;$A188,実績!$AK$6:$AK$505,"○")&gt;0,1,0))</f>
        <v>0</v>
      </c>
      <c r="BV188" s="39" t="n">
        <f aca="false">IF(BV$4=0,0,IF(COUNTIFS(実績!$W$6:$W$505,BV$3,実績!$AI$6:$AI$505,"&lt;="&amp;$A188,実績!$AJ$6:$AJ$505,"&gt;"&amp;$A188,実績!$AK$6:$AK$505,"○")&gt;0,1,0))</f>
        <v>0</v>
      </c>
      <c r="BW188" s="39" t="n">
        <f aca="false">IF(BW$4=0,0,IF(COUNTIFS(実績!$W$6:$W$505,BW$3,実績!$AI$6:$AI$505,"&lt;="&amp;$A188,実績!$AJ$6:$AJ$505,"&gt;"&amp;$A188,実績!$AK$6:$AK$505,"○")&gt;0,1,0))</f>
        <v>0</v>
      </c>
      <c r="BX188" s="39" t="n">
        <f aca="false">IF(BX$4=0,0,IF(COUNTIFS(実績!$W$6:$W$505,BX$3,実績!$AI$6:$AI$505,"&lt;="&amp;$A188,実績!$AJ$6:$AJ$505,"&gt;"&amp;$A188,実績!$AK$6:$AK$505,"○")&gt;0,1,0))</f>
        <v>0</v>
      </c>
      <c r="BY188" s="39" t="n">
        <f aca="false">IF(BY$4=0,0,IF(COUNTIFS(実績!$W$6:$W$505,BY$3,実績!$AI$6:$AI$505,"&lt;="&amp;$A188,実績!$AJ$6:$AJ$505,"&gt;"&amp;$A188,実績!$AK$6:$AK$505,"○")&gt;0,1,0))</f>
        <v>0</v>
      </c>
      <c r="BZ188" s="39" t="n">
        <f aca="false">IF(BZ$4=0,0,IF(COUNTIFS(実績!$W$6:$W$505,BZ$3,実績!$AI$6:$AI$505,"&lt;="&amp;$A188,実績!$AJ$6:$AJ$505,"&gt;"&amp;$A188,実績!$AK$6:$AK$505,"○")&gt;0,1,0))</f>
        <v>0</v>
      </c>
      <c r="CA188" s="39" t="n">
        <f aca="false">IF(CA$4=0,0,IF(COUNTIFS(実績!$W$6:$W$505,CA$3,実績!$AI$6:$AI$505,"&lt;="&amp;$A188,実績!$AJ$6:$AJ$505,"&gt;"&amp;$A188,実績!$AK$6:$AK$505,"○")&gt;0,1,0))</f>
        <v>0</v>
      </c>
      <c r="CB188" s="39" t="n">
        <f aca="false">IF(CB$4=0,0,IF(COUNTIFS(実績!$W$6:$W$505,CB$3,実績!$AI$6:$AI$505,"&lt;="&amp;$A188,実績!$AJ$6:$AJ$505,"&gt;"&amp;$A188,実績!$AK$6:$AK$505,"○")&gt;0,1,0))</f>
        <v>0</v>
      </c>
      <c r="CC188" s="39" t="n">
        <f aca="false">IF(CC$4=0,0,IF(COUNTIFS(実績!$W$6:$W$505,CC$3,実績!$AI$6:$AI$505,"&lt;="&amp;$A188,実績!$AJ$6:$AJ$505,"&gt;"&amp;$A188,実績!$AK$6:$AK$505,"○")&gt;0,1,0))</f>
        <v>0</v>
      </c>
      <c r="CD188" s="39" t="n">
        <f aca="false">IF(CD$4=0,0,IF(COUNTIFS(実績!$W$6:$W$505,CD$3,実績!$AI$6:$AI$505,"&lt;="&amp;$A188,実績!$AJ$6:$AJ$505,"&gt;"&amp;$A188,実績!$AK$6:$AK$505,"○")&gt;0,1,0))</f>
        <v>0</v>
      </c>
      <c r="CE188" s="39" t="n">
        <f aca="false">IF(CE$4=0,0,IF(COUNTIFS(実績!$W$6:$W$505,CE$3,実績!$AI$6:$AI$505,"&lt;="&amp;$A188,実績!$AJ$6:$AJ$505,"&gt;"&amp;$A188,実績!$AK$6:$AK$505,"○")&gt;0,1,0))</f>
        <v>0</v>
      </c>
      <c r="CF188" s="39" t="n">
        <f aca="false">IF(CF$4=0,0,IF(COUNTIFS(実績!$W$6:$W$505,CF$3,実績!$AI$6:$AI$505,"&lt;="&amp;$A188,実績!$AJ$6:$AJ$505,"&gt;"&amp;$A188,実績!$AK$6:$AK$505,"○")&gt;0,1,0))</f>
        <v>0</v>
      </c>
      <c r="CG188" s="39" t="n">
        <f aca="false">IF(CG$4=0,0,IF(COUNTIFS(実績!$W$6:$W$505,CG$3,実績!$AI$6:$AI$505,"&lt;="&amp;$A188,実績!$AJ$6:$AJ$505,"&gt;"&amp;$A188,実績!$AK$6:$AK$505,"○")&gt;0,1,0))</f>
        <v>0</v>
      </c>
      <c r="CH188" s="39" t="n">
        <f aca="false">IF(CH$4=0,0,IF(COUNTIFS(実績!$W$6:$W$505,CH$3,実績!$AI$6:$AI$505,"&lt;="&amp;$A188,実績!$AJ$6:$AJ$505,"&gt;"&amp;$A188,実績!$AK$6:$AK$505,"○")&gt;0,1,0))</f>
        <v>0</v>
      </c>
      <c r="CI188" s="39" t="n">
        <f aca="false">IF(CI$4=0,0,IF(COUNTIFS(実績!$W$6:$W$505,CI$3,実績!$AI$6:$AI$505,"&lt;="&amp;$A188,実績!$AJ$6:$AJ$505,"&gt;"&amp;$A188,実績!$AK$6:$AK$505,"○")&gt;0,1,0))</f>
        <v>0</v>
      </c>
      <c r="CJ188" s="39" t="n">
        <f aca="false">IF(CJ$4=0,0,IF(COUNTIFS(実績!$W$6:$W$505,CJ$3,実績!$AI$6:$AI$505,"&lt;="&amp;$A188,実績!$AJ$6:$AJ$505,"&gt;"&amp;$A188,実績!$AK$6:$AK$505,"○")&gt;0,1,0))</f>
        <v>0</v>
      </c>
      <c r="CK188" s="39" t="n">
        <f aca="false">IF(CK$4=0,0,IF(COUNTIFS(実績!$W$6:$W$505,CK$3,実績!$AI$6:$AI$505,"&lt;="&amp;$A188,実績!$AJ$6:$AJ$505,"&gt;"&amp;$A188,実績!$AK$6:$AK$505,"○")&gt;0,1,0))</f>
        <v>0</v>
      </c>
      <c r="CL188" s="39" t="n">
        <f aca="false">IF(CL$4=0,0,IF(COUNTIFS(実績!$W$6:$W$505,CL$3,実績!$AI$6:$AI$505,"&lt;="&amp;$A188,実績!$AJ$6:$AJ$505,"&gt;"&amp;$A188,実績!$AK$6:$AK$505,"○")&gt;0,1,0))</f>
        <v>0</v>
      </c>
      <c r="CM188" s="39" t="n">
        <f aca="false">IF(CM$4=0,0,IF(COUNTIFS(実績!$W$6:$W$505,CM$3,実績!$AI$6:$AI$505,"&lt;="&amp;$A188,実績!$AJ$6:$AJ$505,"&gt;"&amp;$A188,実績!$AK$6:$AK$505,"○")&gt;0,1,0))</f>
        <v>0</v>
      </c>
      <c r="CN188" s="39" t="n">
        <f aca="false">IF(CN$4=0,0,IF(COUNTIFS(実績!$W$6:$W$505,CN$3,実績!$AI$6:$AI$505,"&lt;="&amp;$A188,実績!$AJ$6:$AJ$505,"&gt;"&amp;$A188,実績!$AK$6:$AK$505,"○")&gt;0,1,0))</f>
        <v>0</v>
      </c>
      <c r="CO188" s="39" t="n">
        <f aca="false">IF(CO$4=0,0,IF(COUNTIFS(実績!$W$6:$W$505,CO$3,実績!$AI$6:$AI$505,"&lt;="&amp;$A188,実績!$AJ$6:$AJ$505,"&gt;"&amp;$A188,実績!$AK$6:$AK$505,"○")&gt;0,1,0))</f>
        <v>0</v>
      </c>
      <c r="CP188" s="39" t="n">
        <f aca="false">IF(CP$4=0,0,IF(COUNTIFS(実績!$W$6:$W$505,CP$3,実績!$AI$6:$AI$505,"&lt;="&amp;$A188,実績!$AJ$6:$AJ$505,"&gt;"&amp;$A188,実績!$AK$6:$AK$505,"○")&gt;0,1,0))</f>
        <v>0</v>
      </c>
      <c r="CQ188" s="39" t="n">
        <f aca="false">IF(CQ$4=0,0,IF(COUNTIFS(実績!$W$6:$W$505,CQ$3,実績!$AI$6:$AI$505,"&lt;="&amp;$A188,実績!$AJ$6:$AJ$505,"&gt;"&amp;$A188,実績!$AK$6:$AK$505,"○")&gt;0,1,0))</f>
        <v>0</v>
      </c>
      <c r="CR188" s="39" t="n">
        <f aca="false">IF(CR$4=0,0,IF(COUNTIFS(実績!$W$6:$W$505,CR$3,実績!$AI$6:$AI$505,"&lt;="&amp;$A188,実績!$AJ$6:$AJ$505,"&gt;"&amp;$A188,実績!$AK$6:$AK$505,"○")&gt;0,1,0))</f>
        <v>0</v>
      </c>
      <c r="CS188" s="39" t="n">
        <f aca="false">IF(CS$4=0,0,IF(COUNTIFS(実績!$W$6:$W$505,CS$3,実績!$AI$6:$AI$505,"&lt;="&amp;$A188,実績!$AJ$6:$AJ$505,"&gt;"&amp;$A188,実績!$AK$6:$AK$505,"○")&gt;0,1,0))</f>
        <v>0</v>
      </c>
      <c r="CT188" s="39" t="n">
        <f aca="false">IF(CT$4=0,0,IF(COUNTIFS(実績!$W$6:$W$505,CT$3,実績!$AI$6:$AI$505,"&lt;="&amp;$A188,実績!$AJ$6:$AJ$505,"&gt;"&amp;$A188,実績!$AK$6:$AK$505,"○")&gt;0,1,0))</f>
        <v>0</v>
      </c>
      <c r="CU188" s="39" t="n">
        <f aca="false">IF(CU$4=0,0,IF(COUNTIFS(実績!$W$6:$W$505,CU$3,実績!$AI$6:$AI$505,"&lt;="&amp;$A188,実績!$AJ$6:$AJ$505,"&gt;"&amp;$A188,実績!$AK$6:$AK$505,"○")&gt;0,1,0))</f>
        <v>0</v>
      </c>
      <c r="CV188" s="39" t="n">
        <f aca="false">IF(CV$4=0,0,IF(COUNTIFS(実績!$W$6:$W$505,CV$3,実績!$AI$6:$AI$505,"&lt;="&amp;$A188,実績!$AJ$6:$AJ$505,"&gt;"&amp;$A188,実績!$AK$6:$AK$505,"○")&gt;0,1,0))</f>
        <v>0</v>
      </c>
      <c r="CW188" s="39" t="n">
        <f aca="false">IF(CW$4=0,0,IF(COUNTIFS(実績!$W$6:$W$505,CW$3,実績!$AI$6:$AI$505,"&lt;="&amp;$A188,実績!$AJ$6:$AJ$505,"&gt;"&amp;$A188,実績!$AK$6:$AK$505,"○")&gt;0,1,0))</f>
        <v>0</v>
      </c>
      <c r="CX188" s="39" t="n">
        <f aca="false">IF(CX$4=0,0,IF(COUNTIFS(実績!$W$6:$W$505,CX$3,実績!$AI$6:$AI$505,"&lt;="&amp;$A188,実績!$AJ$6:$AJ$505,"&gt;"&amp;$A188,実績!$AK$6:$AK$505,"○")&gt;0,1,0))</f>
        <v>0</v>
      </c>
      <c r="CY188" s="39" t="n">
        <f aca="false">IF(CY$4=0,0,IF(COUNTIFS(実績!$W$6:$W$505,CY$3,実績!$AI$6:$AI$505,"&lt;="&amp;$A188,実績!$AJ$6:$AJ$505,"&gt;"&amp;$A188,実績!$AK$6:$AK$505,"○")&gt;0,1,0))</f>
        <v>0</v>
      </c>
      <c r="CZ188" s="39" t="n">
        <f aca="false">IF(CZ$4=0,0,IF(COUNTIFS(実績!$W$6:$W$505,CZ$3,実績!$AI$6:$AI$505,"&lt;="&amp;$A188,実績!$AJ$6:$AJ$505,"&gt;"&amp;$A188,実績!$AK$6:$AK$505,"○")&gt;0,1,0))</f>
        <v>0</v>
      </c>
      <c r="DA188" s="39" t="n">
        <f aca="false">IF(DA$4=0,0,IF(COUNTIFS(実績!$W$6:$W$505,DA$3,実績!$AI$6:$AI$505,"&lt;="&amp;$A188,実績!$AJ$6:$AJ$505,"&gt;"&amp;$A188,実績!$AK$6:$AK$505,"○")&gt;0,1,0))</f>
        <v>0</v>
      </c>
      <c r="DB188" s="39" t="n">
        <f aca="false">IF(DB$4=0,0,IF(COUNTIFS(実績!$W$6:$W$505,DB$3,実績!$AI$6:$AI$505,"&lt;="&amp;$A188,実績!$AJ$6:$AJ$505,"&gt;"&amp;$A188,実績!$AK$6:$AK$505,"○")&gt;0,1,0))</f>
        <v>0</v>
      </c>
      <c r="DC188" s="39" t="n">
        <f aca="false">IF(DC$4=0,0,IF(COUNTIFS(実績!$W$6:$W$505,DC$3,実績!$AI$6:$AI$505,"&lt;="&amp;$A188,実績!$AJ$6:$AJ$505,"&gt;"&amp;$A188,実績!$AK$6:$AK$505,"○")&gt;0,1,0))</f>
        <v>0</v>
      </c>
      <c r="DD188" s="39" t="n">
        <f aca="false">IF(DD$4=0,0,IF(COUNTIFS(実績!$W$6:$W$505,DD$3,実績!$AI$6:$AI$505,"&lt;="&amp;$A188,実績!$AJ$6:$AJ$505,"&gt;"&amp;$A188,実績!$AK$6:$AK$505,"○")&gt;0,1,0))</f>
        <v>0</v>
      </c>
      <c r="DE188" s="39" t="n">
        <f aca="false">IF(DE$4=0,0,IF(COUNTIFS(実績!$W$6:$W$505,DE$3,実績!$AI$6:$AI$505,"&lt;="&amp;$A188,実績!$AJ$6:$AJ$505,"&gt;"&amp;$A188,実績!$AK$6:$AK$505,"○")&gt;0,1,0))</f>
        <v>0</v>
      </c>
      <c r="DF188" s="39" t="n">
        <f aca="false">IF(DF$4=0,0,IF(COUNTIFS(実績!$W$6:$W$505,DF$3,実績!$AI$6:$AI$505,"&lt;="&amp;$A188,実績!$AJ$6:$AJ$505,"&gt;"&amp;$A188,実績!$AK$6:$AK$505,"○")&gt;0,1,0))</f>
        <v>0</v>
      </c>
      <c r="DG188" s="39" t="n">
        <f aca="false">IF(DG$4=0,0,IF(COUNTIFS(実績!$W$6:$W$505,DG$3,実績!$AI$6:$AI$505,"&lt;="&amp;$A188,実績!$AJ$6:$AJ$505,"&gt;"&amp;$A188,実績!$AK$6:$AK$505,"○")&gt;0,1,0))</f>
        <v>0</v>
      </c>
      <c r="DH188" s="39" t="n">
        <f aca="false">IF(DH$4=0,0,IF(COUNTIFS(実績!$W$6:$W$505,DH$3,実績!$AI$6:$AI$505,"&lt;="&amp;$A188,実績!$AJ$6:$AJ$505,"&gt;"&amp;$A188,実績!$AK$6:$AK$505,"○")&gt;0,1,0))</f>
        <v>0</v>
      </c>
      <c r="DI188" s="39" t="n">
        <f aca="false">IF(DI$4=0,0,IF(COUNTIFS(実績!$W$6:$W$505,DI$3,実績!$AI$6:$AI$505,"&lt;="&amp;$A188,実績!$AJ$6:$AJ$505,"&gt;"&amp;$A188,実績!$AK$6:$AK$505,"○")&gt;0,1,0))</f>
        <v>0</v>
      </c>
      <c r="DJ188" s="39" t="n">
        <f aca="false">IF(DJ$4=0,0,IF(COUNTIFS(実績!$W$6:$W$505,DJ$3,実績!$AI$6:$AI$505,"&lt;="&amp;$A188,実績!$AJ$6:$AJ$505,"&gt;"&amp;$A188,実績!$AK$6:$AK$505,"○")&gt;0,1,0))</f>
        <v>0</v>
      </c>
      <c r="DK188" s="39" t="n">
        <f aca="false">IF(DK$4=0,0,IF(COUNTIFS(実績!$W$6:$W$505,DK$3,実績!$AI$6:$AI$505,"&lt;="&amp;$A188,実績!$AJ$6:$AJ$505,"&gt;"&amp;$A188,実績!$AK$6:$AK$505,"○")&gt;0,1,0))</f>
        <v>0</v>
      </c>
      <c r="DL188" s="39" t="n">
        <f aca="false">IF(DL$4=0,0,IF(COUNTIFS(実績!$W$6:$W$505,DL$3,実績!$AI$6:$AI$505,"&lt;="&amp;$A188,実績!$AJ$6:$AJ$505,"&gt;"&amp;$A188,実績!$AK$6:$AK$505,"○")&gt;0,1,0))</f>
        <v>0</v>
      </c>
      <c r="DM188" s="39" t="n">
        <f aca="false">IF(DM$4=0,0,IF(COUNTIFS(実績!$W$6:$W$505,DM$3,実績!$AI$6:$AI$505,"&lt;="&amp;$A188,実績!$AJ$6:$AJ$505,"&gt;"&amp;$A188,実績!$AK$6:$AK$505,"○")&gt;0,1,0))</f>
        <v>0</v>
      </c>
      <c r="DN188" s="39" t="n">
        <f aca="false">IF(DN$4=0,0,IF(COUNTIFS(実績!$W$6:$W$505,DN$3,実績!$AI$6:$AI$505,"&lt;="&amp;$A188,実績!$AJ$6:$AJ$505,"&gt;"&amp;$A188,実績!$AK$6:$AK$505,"○")&gt;0,1,0))</f>
        <v>0</v>
      </c>
      <c r="DO188" s="39" t="n">
        <f aca="false">IF(DO$4=0,0,IF(COUNTIFS(実績!$W$6:$W$505,DO$3,実績!$AI$6:$AI$505,"&lt;="&amp;$A188,実績!$AJ$6:$AJ$505,"&gt;"&amp;$A188,実績!$AK$6:$AK$505,"○")&gt;0,1,0))</f>
        <v>0</v>
      </c>
      <c r="DP188" s="39" t="n">
        <f aca="false">IF(DP$4=0,0,IF(COUNTIFS(実績!$W$6:$W$505,DP$3,実績!$AI$6:$AI$505,"&lt;="&amp;$A188,実績!$AJ$6:$AJ$505,"&gt;"&amp;$A188,実績!$AK$6:$AK$505,"○")&gt;0,1,0))</f>
        <v>0</v>
      </c>
      <c r="DQ188" s="39" t="n">
        <f aca="false">IF(DQ$4=0,0,IF(COUNTIFS(実績!$W$6:$W$505,DQ$3,実績!$AI$6:$AI$505,"&lt;="&amp;$A188,実績!$AJ$6:$AJ$505,"&gt;"&amp;$A188,実績!$AK$6:$AK$505,"○")&gt;0,1,0))</f>
        <v>0</v>
      </c>
      <c r="DR188" s="39" t="n">
        <f aca="false">IF(DR$4=0,0,IF(COUNTIFS(実績!$W$6:$W$505,DR$3,実績!$AI$6:$AI$505,"&lt;="&amp;$A188,実績!$AJ$6:$AJ$505,"&gt;"&amp;$A188,実績!$AK$6:$AK$505,"○")&gt;0,1,0))</f>
        <v>0</v>
      </c>
      <c r="DS188" s="39" t="n">
        <f aca="false">SUM(C188:DR188)</f>
        <v>0</v>
      </c>
      <c r="DT188" s="39" t="n">
        <f aca="false">SUMPRODUCT((実績!$C$6:$C$505="○")*ISNUMBER(実績!$AM$6:$AM$505)*(実績!$AM$6:$AM$505&lt;=$A188)*(実績!$AN$6:$AN$505&gt;$A188))</f>
        <v>0</v>
      </c>
      <c r="DU188" s="39" t="n">
        <f aca="false">SUMIF($C$2:$DR$2,"製鉄曳船",C188:DR188)</f>
        <v>0</v>
      </c>
      <c r="DV188" s="39" t="n">
        <f aca="false">SUMIF($C$2:$DR$2,"西日本海運",C188:DR188)</f>
        <v>0</v>
      </c>
    </row>
    <row r="189" customFormat="false" ht="15" hidden="false" customHeight="false" outlineLevel="0" collapsed="false">
      <c r="A189" s="0" t="n">
        <v>915</v>
      </c>
      <c r="B189" s="38" t="n">
        <f aca="false">A189/1440</f>
        <v>0.635416666666667</v>
      </c>
      <c r="C189" s="39" t="n">
        <f aca="false">IF(C$4=0,0,IF(COUNTIFS(実績!$W$6:$W$505,C$3,実績!$AI$6:$AI$505,"&lt;="&amp;$A189,実績!$AJ$6:$AJ$505,"&gt;"&amp;$A189,実績!$AK$6:$AK$505,"○")&gt;0,1,0))</f>
        <v>0</v>
      </c>
      <c r="D189" s="39" t="n">
        <f aca="false">IF(D$4=0,0,IF(COUNTIFS(実績!$W$6:$W$505,D$3,実績!$AI$6:$AI$505,"&lt;="&amp;$A189,実績!$AJ$6:$AJ$505,"&gt;"&amp;$A189,実績!$AK$6:$AK$505,"○")&gt;0,1,0))</f>
        <v>0</v>
      </c>
      <c r="E189" s="39" t="n">
        <f aca="false">IF(E$4=0,0,IF(COUNTIFS(実績!$W$6:$W$505,E$3,実績!$AI$6:$AI$505,"&lt;="&amp;$A189,実績!$AJ$6:$AJ$505,"&gt;"&amp;$A189,実績!$AK$6:$AK$505,"○")&gt;0,1,0))</f>
        <v>0</v>
      </c>
      <c r="F189" s="39" t="n">
        <f aca="false">IF(F$4=0,0,IF(COUNTIFS(実績!$W$6:$W$505,F$3,実績!$AI$6:$AI$505,"&lt;="&amp;$A189,実績!$AJ$6:$AJ$505,"&gt;"&amp;$A189,実績!$AK$6:$AK$505,"○")&gt;0,1,0))</f>
        <v>0</v>
      </c>
      <c r="G189" s="39" t="n">
        <f aca="false">IF(G$4=0,0,IF(COUNTIFS(実績!$W$6:$W$505,G$3,実績!$AI$6:$AI$505,"&lt;="&amp;$A189,実績!$AJ$6:$AJ$505,"&gt;"&amp;$A189,実績!$AK$6:$AK$505,"○")&gt;0,1,0))</f>
        <v>0</v>
      </c>
      <c r="H189" s="39" t="n">
        <f aca="false">IF(H$4=0,0,IF(COUNTIFS(実績!$W$6:$W$505,H$3,実績!$AI$6:$AI$505,"&lt;="&amp;$A189,実績!$AJ$6:$AJ$505,"&gt;"&amp;$A189,実績!$AK$6:$AK$505,"○")&gt;0,1,0))</f>
        <v>0</v>
      </c>
      <c r="I189" s="39" t="n">
        <f aca="false">IF(I$4=0,0,IF(COUNTIFS(実績!$W$6:$W$505,I$3,実績!$AI$6:$AI$505,"&lt;="&amp;$A189,実績!$AJ$6:$AJ$505,"&gt;"&amp;$A189,実績!$AK$6:$AK$505,"○")&gt;0,1,0))</f>
        <v>0</v>
      </c>
      <c r="J189" s="39" t="n">
        <f aca="false">IF(J$4=0,0,IF(COUNTIFS(実績!$W$6:$W$505,J$3,実績!$AI$6:$AI$505,"&lt;="&amp;$A189,実績!$AJ$6:$AJ$505,"&gt;"&amp;$A189,実績!$AK$6:$AK$505,"○")&gt;0,1,0))</f>
        <v>0</v>
      </c>
      <c r="K189" s="39" t="n">
        <f aca="false">IF(K$4=0,0,IF(COUNTIFS(実績!$W$6:$W$505,K$3,実績!$AI$6:$AI$505,"&lt;="&amp;$A189,実績!$AJ$6:$AJ$505,"&gt;"&amp;$A189,実績!$AK$6:$AK$505,"○")&gt;0,1,0))</f>
        <v>0</v>
      </c>
      <c r="L189" s="39" t="n">
        <f aca="false">IF(L$4=0,0,IF(COUNTIFS(実績!$W$6:$W$505,L$3,実績!$AI$6:$AI$505,"&lt;="&amp;$A189,実績!$AJ$6:$AJ$505,"&gt;"&amp;$A189,実績!$AK$6:$AK$505,"○")&gt;0,1,0))</f>
        <v>0</v>
      </c>
      <c r="M189" s="39" t="n">
        <f aca="false">IF(M$4=0,0,IF(COUNTIFS(実績!$W$6:$W$505,M$3,実績!$AI$6:$AI$505,"&lt;="&amp;$A189,実績!$AJ$6:$AJ$505,"&gt;"&amp;$A189,実績!$AK$6:$AK$505,"○")&gt;0,1,0))</f>
        <v>0</v>
      </c>
      <c r="N189" s="39" t="n">
        <f aca="false">IF(N$4=0,0,IF(COUNTIFS(実績!$W$6:$W$505,N$3,実績!$AI$6:$AI$505,"&lt;="&amp;$A189,実績!$AJ$6:$AJ$505,"&gt;"&amp;$A189,実績!$AK$6:$AK$505,"○")&gt;0,1,0))</f>
        <v>0</v>
      </c>
      <c r="O189" s="39" t="n">
        <f aca="false">IF(O$4=0,0,IF(COUNTIFS(実績!$W$6:$W$505,O$3,実績!$AI$6:$AI$505,"&lt;="&amp;$A189,実績!$AJ$6:$AJ$505,"&gt;"&amp;$A189,実績!$AK$6:$AK$505,"○")&gt;0,1,0))</f>
        <v>0</v>
      </c>
      <c r="P189" s="39" t="n">
        <f aca="false">IF(P$4=0,0,IF(COUNTIFS(実績!$W$6:$W$505,P$3,実績!$AI$6:$AI$505,"&lt;="&amp;$A189,実績!$AJ$6:$AJ$505,"&gt;"&amp;$A189,実績!$AK$6:$AK$505,"○")&gt;0,1,0))</f>
        <v>0</v>
      </c>
      <c r="Q189" s="39" t="n">
        <f aca="false">IF(Q$4=0,0,IF(COUNTIFS(実績!$W$6:$W$505,Q$3,実績!$AI$6:$AI$505,"&lt;="&amp;$A189,実績!$AJ$6:$AJ$505,"&gt;"&amp;$A189,実績!$AK$6:$AK$505,"○")&gt;0,1,0))</f>
        <v>0</v>
      </c>
      <c r="R189" s="39" t="n">
        <f aca="false">IF(R$4=0,0,IF(COUNTIFS(実績!$W$6:$W$505,R$3,実績!$AI$6:$AI$505,"&lt;="&amp;$A189,実績!$AJ$6:$AJ$505,"&gt;"&amp;$A189,実績!$AK$6:$AK$505,"○")&gt;0,1,0))</f>
        <v>0</v>
      </c>
      <c r="S189" s="39" t="n">
        <f aca="false">IF(S$4=0,0,IF(COUNTIFS(実績!$W$6:$W$505,S$3,実績!$AI$6:$AI$505,"&lt;="&amp;$A189,実績!$AJ$6:$AJ$505,"&gt;"&amp;$A189,実績!$AK$6:$AK$505,"○")&gt;0,1,0))</f>
        <v>0</v>
      </c>
      <c r="T189" s="39" t="n">
        <f aca="false">IF(T$4=0,0,IF(COUNTIFS(実績!$W$6:$W$505,T$3,実績!$AI$6:$AI$505,"&lt;="&amp;$A189,実績!$AJ$6:$AJ$505,"&gt;"&amp;$A189,実績!$AK$6:$AK$505,"○")&gt;0,1,0))</f>
        <v>0</v>
      </c>
      <c r="U189" s="39" t="n">
        <f aca="false">IF(U$4=0,0,IF(COUNTIFS(実績!$W$6:$W$505,U$3,実績!$AI$6:$AI$505,"&lt;="&amp;$A189,実績!$AJ$6:$AJ$505,"&gt;"&amp;$A189,実績!$AK$6:$AK$505,"○")&gt;0,1,0))</f>
        <v>0</v>
      </c>
      <c r="V189" s="39" t="n">
        <f aca="false">IF(V$4=0,0,IF(COUNTIFS(実績!$W$6:$W$505,V$3,実績!$AI$6:$AI$505,"&lt;="&amp;$A189,実績!$AJ$6:$AJ$505,"&gt;"&amp;$A189,実績!$AK$6:$AK$505,"○")&gt;0,1,0))</f>
        <v>0</v>
      </c>
      <c r="W189" s="39" t="n">
        <f aca="false">IF(W$4=0,0,IF(COUNTIFS(実績!$W$6:$W$505,W$3,実績!$AI$6:$AI$505,"&lt;="&amp;$A189,実績!$AJ$6:$AJ$505,"&gt;"&amp;$A189,実績!$AK$6:$AK$505,"○")&gt;0,1,0))</f>
        <v>0</v>
      </c>
      <c r="X189" s="39" t="n">
        <f aca="false">IF(X$4=0,0,IF(COUNTIFS(実績!$W$6:$W$505,X$3,実績!$AI$6:$AI$505,"&lt;="&amp;$A189,実績!$AJ$6:$AJ$505,"&gt;"&amp;$A189,実績!$AK$6:$AK$505,"○")&gt;0,1,0))</f>
        <v>0</v>
      </c>
      <c r="Y189" s="39" t="n">
        <f aca="false">IF(Y$4=0,0,IF(COUNTIFS(実績!$W$6:$W$505,Y$3,実績!$AI$6:$AI$505,"&lt;="&amp;$A189,実績!$AJ$6:$AJ$505,"&gt;"&amp;$A189,実績!$AK$6:$AK$505,"○")&gt;0,1,0))</f>
        <v>0</v>
      </c>
      <c r="Z189" s="39" t="n">
        <f aca="false">IF(Z$4=0,0,IF(COUNTIFS(実績!$W$6:$W$505,Z$3,実績!$AI$6:$AI$505,"&lt;="&amp;$A189,実績!$AJ$6:$AJ$505,"&gt;"&amp;$A189,実績!$AK$6:$AK$505,"○")&gt;0,1,0))</f>
        <v>0</v>
      </c>
      <c r="AA189" s="39" t="n">
        <f aca="false">IF(AA$4=0,0,IF(COUNTIFS(実績!$W$6:$W$505,AA$3,実績!$AI$6:$AI$505,"&lt;="&amp;$A189,実績!$AJ$6:$AJ$505,"&gt;"&amp;$A189,実績!$AK$6:$AK$505,"○")&gt;0,1,0))</f>
        <v>0</v>
      </c>
      <c r="AB189" s="39" t="n">
        <f aca="false">IF(AB$4=0,0,IF(COUNTIFS(実績!$W$6:$W$505,AB$3,実績!$AI$6:$AI$505,"&lt;="&amp;$A189,実績!$AJ$6:$AJ$505,"&gt;"&amp;$A189,実績!$AK$6:$AK$505,"○")&gt;0,1,0))</f>
        <v>0</v>
      </c>
      <c r="AC189" s="39" t="n">
        <f aca="false">IF(AC$4=0,0,IF(COUNTIFS(実績!$W$6:$W$505,AC$3,実績!$AI$6:$AI$505,"&lt;="&amp;$A189,実績!$AJ$6:$AJ$505,"&gt;"&amp;$A189,実績!$AK$6:$AK$505,"○")&gt;0,1,0))</f>
        <v>0</v>
      </c>
      <c r="AD189" s="39" t="n">
        <f aca="false">IF(AD$4=0,0,IF(COUNTIFS(実績!$W$6:$W$505,AD$3,実績!$AI$6:$AI$505,"&lt;="&amp;$A189,実績!$AJ$6:$AJ$505,"&gt;"&amp;$A189,実績!$AK$6:$AK$505,"○")&gt;0,1,0))</f>
        <v>0</v>
      </c>
      <c r="AE189" s="39" t="n">
        <f aca="false">IF(AE$4=0,0,IF(COUNTIFS(実績!$W$6:$W$505,AE$3,実績!$AI$6:$AI$505,"&lt;="&amp;$A189,実績!$AJ$6:$AJ$505,"&gt;"&amp;$A189,実績!$AK$6:$AK$505,"○")&gt;0,1,0))</f>
        <v>0</v>
      </c>
      <c r="AF189" s="39" t="n">
        <f aca="false">IF(AF$4=0,0,IF(COUNTIFS(実績!$W$6:$W$505,AF$3,実績!$AI$6:$AI$505,"&lt;="&amp;$A189,実績!$AJ$6:$AJ$505,"&gt;"&amp;$A189,実績!$AK$6:$AK$505,"○")&gt;0,1,0))</f>
        <v>0</v>
      </c>
      <c r="AG189" s="39" t="n">
        <f aca="false">IF(AG$4=0,0,IF(COUNTIFS(実績!$W$6:$W$505,AG$3,実績!$AI$6:$AI$505,"&lt;="&amp;$A189,実績!$AJ$6:$AJ$505,"&gt;"&amp;$A189,実績!$AK$6:$AK$505,"○")&gt;0,1,0))</f>
        <v>0</v>
      </c>
      <c r="AH189" s="39" t="n">
        <f aca="false">IF(AH$4=0,0,IF(COUNTIFS(実績!$W$6:$W$505,AH$3,実績!$AI$6:$AI$505,"&lt;="&amp;$A189,実績!$AJ$6:$AJ$505,"&gt;"&amp;$A189,実績!$AK$6:$AK$505,"○")&gt;0,1,0))</f>
        <v>0</v>
      </c>
      <c r="AI189" s="39" t="n">
        <f aca="false">IF(AI$4=0,0,IF(COUNTIFS(実績!$W$6:$W$505,AI$3,実績!$AI$6:$AI$505,"&lt;="&amp;$A189,実績!$AJ$6:$AJ$505,"&gt;"&amp;$A189,実績!$AK$6:$AK$505,"○")&gt;0,1,0))</f>
        <v>0</v>
      </c>
      <c r="AJ189" s="39" t="n">
        <f aca="false">IF(AJ$4=0,0,IF(COUNTIFS(実績!$W$6:$W$505,AJ$3,実績!$AI$6:$AI$505,"&lt;="&amp;$A189,実績!$AJ$6:$AJ$505,"&gt;"&amp;$A189,実績!$AK$6:$AK$505,"○")&gt;0,1,0))</f>
        <v>0</v>
      </c>
      <c r="AK189" s="39" t="n">
        <f aca="false">IF(AK$4=0,0,IF(COUNTIFS(実績!$W$6:$W$505,AK$3,実績!$AI$6:$AI$505,"&lt;="&amp;$A189,実績!$AJ$6:$AJ$505,"&gt;"&amp;$A189,実績!$AK$6:$AK$505,"○")&gt;0,1,0))</f>
        <v>0</v>
      </c>
      <c r="AL189" s="39" t="n">
        <f aca="false">IF(AL$4=0,0,IF(COUNTIFS(実績!$W$6:$W$505,AL$3,実績!$AI$6:$AI$505,"&lt;="&amp;$A189,実績!$AJ$6:$AJ$505,"&gt;"&amp;$A189,実績!$AK$6:$AK$505,"○")&gt;0,1,0))</f>
        <v>0</v>
      </c>
      <c r="AM189" s="39" t="n">
        <f aca="false">IF(AM$4=0,0,IF(COUNTIFS(実績!$W$6:$W$505,AM$3,実績!$AI$6:$AI$505,"&lt;="&amp;$A189,実績!$AJ$6:$AJ$505,"&gt;"&amp;$A189,実績!$AK$6:$AK$505,"○")&gt;0,1,0))</f>
        <v>0</v>
      </c>
      <c r="AN189" s="39" t="n">
        <f aca="false">IF(AN$4=0,0,IF(COUNTIFS(実績!$W$6:$W$505,AN$3,実績!$AI$6:$AI$505,"&lt;="&amp;$A189,実績!$AJ$6:$AJ$505,"&gt;"&amp;$A189,実績!$AK$6:$AK$505,"○")&gt;0,1,0))</f>
        <v>0</v>
      </c>
      <c r="AO189" s="39" t="n">
        <f aca="false">IF(AO$4=0,0,IF(COUNTIFS(実績!$W$6:$W$505,AO$3,実績!$AI$6:$AI$505,"&lt;="&amp;$A189,実績!$AJ$6:$AJ$505,"&gt;"&amp;$A189,実績!$AK$6:$AK$505,"○")&gt;0,1,0))</f>
        <v>0</v>
      </c>
      <c r="AP189" s="39" t="n">
        <f aca="false">IF(AP$4=0,0,IF(COUNTIFS(実績!$W$6:$W$505,AP$3,実績!$AI$6:$AI$505,"&lt;="&amp;$A189,実績!$AJ$6:$AJ$505,"&gt;"&amp;$A189,実績!$AK$6:$AK$505,"○")&gt;0,1,0))</f>
        <v>0</v>
      </c>
      <c r="AQ189" s="39" t="n">
        <f aca="false">IF(AQ$4=0,0,IF(COUNTIFS(実績!$W$6:$W$505,AQ$3,実績!$AI$6:$AI$505,"&lt;="&amp;$A189,実績!$AJ$6:$AJ$505,"&gt;"&amp;$A189,実績!$AK$6:$AK$505,"○")&gt;0,1,0))</f>
        <v>0</v>
      </c>
      <c r="AR189" s="39" t="n">
        <f aca="false">IF(AR$4=0,0,IF(COUNTIFS(実績!$W$6:$W$505,AR$3,実績!$AI$6:$AI$505,"&lt;="&amp;$A189,実績!$AJ$6:$AJ$505,"&gt;"&amp;$A189,実績!$AK$6:$AK$505,"○")&gt;0,1,0))</f>
        <v>0</v>
      </c>
      <c r="AS189" s="39" t="n">
        <f aca="false">IF(AS$4=0,0,IF(COUNTIFS(実績!$W$6:$W$505,AS$3,実績!$AI$6:$AI$505,"&lt;="&amp;$A189,実績!$AJ$6:$AJ$505,"&gt;"&amp;$A189,実績!$AK$6:$AK$505,"○")&gt;0,1,0))</f>
        <v>0</v>
      </c>
      <c r="AT189" s="39" t="n">
        <f aca="false">IF(AT$4=0,0,IF(COUNTIFS(実績!$W$6:$W$505,AT$3,実績!$AI$6:$AI$505,"&lt;="&amp;$A189,実績!$AJ$6:$AJ$505,"&gt;"&amp;$A189,実績!$AK$6:$AK$505,"○")&gt;0,1,0))</f>
        <v>0</v>
      </c>
      <c r="AU189" s="39" t="n">
        <f aca="false">IF(AU$4=0,0,IF(COUNTIFS(実績!$W$6:$W$505,AU$3,実績!$AI$6:$AI$505,"&lt;="&amp;$A189,実績!$AJ$6:$AJ$505,"&gt;"&amp;$A189,実績!$AK$6:$AK$505,"○")&gt;0,1,0))</f>
        <v>0</v>
      </c>
      <c r="AV189" s="39" t="n">
        <f aca="false">IF(AV$4=0,0,IF(COUNTIFS(実績!$W$6:$W$505,AV$3,実績!$AI$6:$AI$505,"&lt;="&amp;$A189,実績!$AJ$6:$AJ$505,"&gt;"&amp;$A189,実績!$AK$6:$AK$505,"○")&gt;0,1,0))</f>
        <v>0</v>
      </c>
      <c r="AW189" s="39" t="n">
        <f aca="false">IF(AW$4=0,0,IF(COUNTIFS(実績!$W$6:$W$505,AW$3,実績!$AI$6:$AI$505,"&lt;="&amp;$A189,実績!$AJ$6:$AJ$505,"&gt;"&amp;$A189,実績!$AK$6:$AK$505,"○")&gt;0,1,0))</f>
        <v>0</v>
      </c>
      <c r="AX189" s="39" t="n">
        <f aca="false">IF(AX$4=0,0,IF(COUNTIFS(実績!$W$6:$W$505,AX$3,実績!$AI$6:$AI$505,"&lt;="&amp;$A189,実績!$AJ$6:$AJ$505,"&gt;"&amp;$A189,実績!$AK$6:$AK$505,"○")&gt;0,1,0))</f>
        <v>0</v>
      </c>
      <c r="AY189" s="39" t="n">
        <f aca="false">IF(AY$4=0,0,IF(COUNTIFS(実績!$W$6:$W$505,AY$3,実績!$AI$6:$AI$505,"&lt;="&amp;$A189,実績!$AJ$6:$AJ$505,"&gt;"&amp;$A189,実績!$AK$6:$AK$505,"○")&gt;0,1,0))</f>
        <v>0</v>
      </c>
      <c r="AZ189" s="39" t="n">
        <f aca="false">IF(AZ$4=0,0,IF(COUNTIFS(実績!$W$6:$W$505,AZ$3,実績!$AI$6:$AI$505,"&lt;="&amp;$A189,実績!$AJ$6:$AJ$505,"&gt;"&amp;$A189,実績!$AK$6:$AK$505,"○")&gt;0,1,0))</f>
        <v>0</v>
      </c>
      <c r="BA189" s="39" t="n">
        <f aca="false">IF(BA$4=0,0,IF(COUNTIFS(実績!$W$6:$W$505,BA$3,実績!$AI$6:$AI$505,"&lt;="&amp;$A189,実績!$AJ$6:$AJ$505,"&gt;"&amp;$A189,実績!$AK$6:$AK$505,"○")&gt;0,1,0))</f>
        <v>0</v>
      </c>
      <c r="BB189" s="39" t="n">
        <f aca="false">IF(BB$4=0,0,IF(COUNTIFS(実績!$W$6:$W$505,BB$3,実績!$AI$6:$AI$505,"&lt;="&amp;$A189,実績!$AJ$6:$AJ$505,"&gt;"&amp;$A189,実績!$AK$6:$AK$505,"○")&gt;0,1,0))</f>
        <v>0</v>
      </c>
      <c r="BC189" s="39" t="n">
        <f aca="false">IF(BC$4=0,0,IF(COUNTIFS(実績!$W$6:$W$505,BC$3,実績!$AI$6:$AI$505,"&lt;="&amp;$A189,実績!$AJ$6:$AJ$505,"&gt;"&amp;$A189,実績!$AK$6:$AK$505,"○")&gt;0,1,0))</f>
        <v>0</v>
      </c>
      <c r="BD189" s="39" t="n">
        <f aca="false">IF(BD$4=0,0,IF(COUNTIFS(実績!$W$6:$W$505,BD$3,実績!$AI$6:$AI$505,"&lt;="&amp;$A189,実績!$AJ$6:$AJ$505,"&gt;"&amp;$A189,実績!$AK$6:$AK$505,"○")&gt;0,1,0))</f>
        <v>0</v>
      </c>
      <c r="BE189" s="39" t="n">
        <f aca="false">IF(BE$4=0,0,IF(COUNTIFS(実績!$W$6:$W$505,BE$3,実績!$AI$6:$AI$505,"&lt;="&amp;$A189,実績!$AJ$6:$AJ$505,"&gt;"&amp;$A189,実績!$AK$6:$AK$505,"○")&gt;0,1,0))</f>
        <v>0</v>
      </c>
      <c r="BF189" s="39" t="n">
        <f aca="false">IF(BF$4=0,0,IF(COUNTIFS(実績!$W$6:$W$505,BF$3,実績!$AI$6:$AI$505,"&lt;="&amp;$A189,実績!$AJ$6:$AJ$505,"&gt;"&amp;$A189,実績!$AK$6:$AK$505,"○")&gt;0,1,0))</f>
        <v>0</v>
      </c>
      <c r="BG189" s="39" t="n">
        <f aca="false">IF(BG$4=0,0,IF(COUNTIFS(実績!$W$6:$W$505,BG$3,実績!$AI$6:$AI$505,"&lt;="&amp;$A189,実績!$AJ$6:$AJ$505,"&gt;"&amp;$A189,実績!$AK$6:$AK$505,"○")&gt;0,1,0))</f>
        <v>0</v>
      </c>
      <c r="BH189" s="39" t="n">
        <f aca="false">IF(BH$4=0,0,IF(COUNTIFS(実績!$W$6:$W$505,BH$3,実績!$AI$6:$AI$505,"&lt;="&amp;$A189,実績!$AJ$6:$AJ$505,"&gt;"&amp;$A189,実績!$AK$6:$AK$505,"○")&gt;0,1,0))</f>
        <v>0</v>
      </c>
      <c r="BI189" s="39" t="n">
        <f aca="false">IF(BI$4=0,0,IF(COUNTIFS(実績!$W$6:$W$505,BI$3,実績!$AI$6:$AI$505,"&lt;="&amp;$A189,実績!$AJ$6:$AJ$505,"&gt;"&amp;$A189,実績!$AK$6:$AK$505,"○")&gt;0,1,0))</f>
        <v>0</v>
      </c>
      <c r="BJ189" s="39" t="n">
        <f aca="false">IF(BJ$4=0,0,IF(COUNTIFS(実績!$W$6:$W$505,BJ$3,実績!$AI$6:$AI$505,"&lt;="&amp;$A189,実績!$AJ$6:$AJ$505,"&gt;"&amp;$A189,実績!$AK$6:$AK$505,"○")&gt;0,1,0))</f>
        <v>0</v>
      </c>
      <c r="BK189" s="39" t="n">
        <f aca="false">IF(BK$4=0,0,IF(COUNTIFS(実績!$W$6:$W$505,BK$3,実績!$AI$6:$AI$505,"&lt;="&amp;$A189,実績!$AJ$6:$AJ$505,"&gt;"&amp;$A189,実績!$AK$6:$AK$505,"○")&gt;0,1,0))</f>
        <v>0</v>
      </c>
      <c r="BL189" s="39" t="n">
        <f aca="false">IF(BL$4=0,0,IF(COUNTIFS(実績!$W$6:$W$505,BL$3,実績!$AI$6:$AI$505,"&lt;="&amp;$A189,実績!$AJ$6:$AJ$505,"&gt;"&amp;$A189,実績!$AK$6:$AK$505,"○")&gt;0,1,0))</f>
        <v>0</v>
      </c>
      <c r="BM189" s="39" t="n">
        <f aca="false">IF(BM$4=0,0,IF(COUNTIFS(実績!$W$6:$W$505,BM$3,実績!$AI$6:$AI$505,"&lt;="&amp;$A189,実績!$AJ$6:$AJ$505,"&gt;"&amp;$A189,実績!$AK$6:$AK$505,"○")&gt;0,1,0))</f>
        <v>0</v>
      </c>
      <c r="BN189" s="39" t="n">
        <f aca="false">IF(BN$4=0,0,IF(COUNTIFS(実績!$W$6:$W$505,BN$3,実績!$AI$6:$AI$505,"&lt;="&amp;$A189,実績!$AJ$6:$AJ$505,"&gt;"&amp;$A189,実績!$AK$6:$AK$505,"○")&gt;0,1,0))</f>
        <v>0</v>
      </c>
      <c r="BO189" s="39" t="n">
        <f aca="false">IF(BO$4=0,0,IF(COUNTIFS(実績!$W$6:$W$505,BO$3,実績!$AI$6:$AI$505,"&lt;="&amp;$A189,実績!$AJ$6:$AJ$505,"&gt;"&amp;$A189,実績!$AK$6:$AK$505,"○")&gt;0,1,0))</f>
        <v>0</v>
      </c>
      <c r="BP189" s="39" t="n">
        <f aca="false">IF(BP$4=0,0,IF(COUNTIFS(実績!$W$6:$W$505,BP$3,実績!$AI$6:$AI$505,"&lt;="&amp;$A189,実績!$AJ$6:$AJ$505,"&gt;"&amp;$A189,実績!$AK$6:$AK$505,"○")&gt;0,1,0))</f>
        <v>0</v>
      </c>
      <c r="BQ189" s="39" t="n">
        <f aca="false">IF(BQ$4=0,0,IF(COUNTIFS(実績!$W$6:$W$505,BQ$3,実績!$AI$6:$AI$505,"&lt;="&amp;$A189,実績!$AJ$6:$AJ$505,"&gt;"&amp;$A189,実績!$AK$6:$AK$505,"○")&gt;0,1,0))</f>
        <v>0</v>
      </c>
      <c r="BR189" s="39" t="n">
        <f aca="false">IF(BR$4=0,0,IF(COUNTIFS(実績!$W$6:$W$505,BR$3,実績!$AI$6:$AI$505,"&lt;="&amp;$A189,実績!$AJ$6:$AJ$505,"&gt;"&amp;$A189,実績!$AK$6:$AK$505,"○")&gt;0,1,0))</f>
        <v>0</v>
      </c>
      <c r="BS189" s="39" t="n">
        <f aca="false">IF(BS$4=0,0,IF(COUNTIFS(実績!$W$6:$W$505,BS$3,実績!$AI$6:$AI$505,"&lt;="&amp;$A189,実績!$AJ$6:$AJ$505,"&gt;"&amp;$A189,実績!$AK$6:$AK$505,"○")&gt;0,1,0))</f>
        <v>0</v>
      </c>
      <c r="BT189" s="39" t="n">
        <f aca="false">IF(BT$4=0,0,IF(COUNTIFS(実績!$W$6:$W$505,BT$3,実績!$AI$6:$AI$505,"&lt;="&amp;$A189,実績!$AJ$6:$AJ$505,"&gt;"&amp;$A189,実績!$AK$6:$AK$505,"○")&gt;0,1,0))</f>
        <v>0</v>
      </c>
      <c r="BU189" s="39" t="n">
        <f aca="false">IF(BU$4=0,0,IF(COUNTIFS(実績!$W$6:$W$505,BU$3,実績!$AI$6:$AI$505,"&lt;="&amp;$A189,実績!$AJ$6:$AJ$505,"&gt;"&amp;$A189,実績!$AK$6:$AK$505,"○")&gt;0,1,0))</f>
        <v>0</v>
      </c>
      <c r="BV189" s="39" t="n">
        <f aca="false">IF(BV$4=0,0,IF(COUNTIFS(実績!$W$6:$W$505,BV$3,実績!$AI$6:$AI$505,"&lt;="&amp;$A189,実績!$AJ$6:$AJ$505,"&gt;"&amp;$A189,実績!$AK$6:$AK$505,"○")&gt;0,1,0))</f>
        <v>0</v>
      </c>
      <c r="BW189" s="39" t="n">
        <f aca="false">IF(BW$4=0,0,IF(COUNTIFS(実績!$W$6:$W$505,BW$3,実績!$AI$6:$AI$505,"&lt;="&amp;$A189,実績!$AJ$6:$AJ$505,"&gt;"&amp;$A189,実績!$AK$6:$AK$505,"○")&gt;0,1,0))</f>
        <v>0</v>
      </c>
      <c r="BX189" s="39" t="n">
        <f aca="false">IF(BX$4=0,0,IF(COUNTIFS(実績!$W$6:$W$505,BX$3,実績!$AI$6:$AI$505,"&lt;="&amp;$A189,実績!$AJ$6:$AJ$505,"&gt;"&amp;$A189,実績!$AK$6:$AK$505,"○")&gt;0,1,0))</f>
        <v>0</v>
      </c>
      <c r="BY189" s="39" t="n">
        <f aca="false">IF(BY$4=0,0,IF(COUNTIFS(実績!$W$6:$W$505,BY$3,実績!$AI$6:$AI$505,"&lt;="&amp;$A189,実績!$AJ$6:$AJ$505,"&gt;"&amp;$A189,実績!$AK$6:$AK$505,"○")&gt;0,1,0))</f>
        <v>0</v>
      </c>
      <c r="BZ189" s="39" t="n">
        <f aca="false">IF(BZ$4=0,0,IF(COUNTIFS(実績!$W$6:$W$505,BZ$3,実績!$AI$6:$AI$505,"&lt;="&amp;$A189,実績!$AJ$6:$AJ$505,"&gt;"&amp;$A189,実績!$AK$6:$AK$505,"○")&gt;0,1,0))</f>
        <v>0</v>
      </c>
      <c r="CA189" s="39" t="n">
        <f aca="false">IF(CA$4=0,0,IF(COUNTIFS(実績!$W$6:$W$505,CA$3,実績!$AI$6:$AI$505,"&lt;="&amp;$A189,実績!$AJ$6:$AJ$505,"&gt;"&amp;$A189,実績!$AK$6:$AK$505,"○")&gt;0,1,0))</f>
        <v>0</v>
      </c>
      <c r="CB189" s="39" t="n">
        <f aca="false">IF(CB$4=0,0,IF(COUNTIFS(実績!$W$6:$W$505,CB$3,実績!$AI$6:$AI$505,"&lt;="&amp;$A189,実績!$AJ$6:$AJ$505,"&gt;"&amp;$A189,実績!$AK$6:$AK$505,"○")&gt;0,1,0))</f>
        <v>0</v>
      </c>
      <c r="CC189" s="39" t="n">
        <f aca="false">IF(CC$4=0,0,IF(COUNTIFS(実績!$W$6:$W$505,CC$3,実績!$AI$6:$AI$505,"&lt;="&amp;$A189,実績!$AJ$6:$AJ$505,"&gt;"&amp;$A189,実績!$AK$6:$AK$505,"○")&gt;0,1,0))</f>
        <v>0</v>
      </c>
      <c r="CD189" s="39" t="n">
        <f aca="false">IF(CD$4=0,0,IF(COUNTIFS(実績!$W$6:$W$505,CD$3,実績!$AI$6:$AI$505,"&lt;="&amp;$A189,実績!$AJ$6:$AJ$505,"&gt;"&amp;$A189,実績!$AK$6:$AK$505,"○")&gt;0,1,0))</f>
        <v>0</v>
      </c>
      <c r="CE189" s="39" t="n">
        <f aca="false">IF(CE$4=0,0,IF(COUNTIFS(実績!$W$6:$W$505,CE$3,実績!$AI$6:$AI$505,"&lt;="&amp;$A189,実績!$AJ$6:$AJ$505,"&gt;"&amp;$A189,実績!$AK$6:$AK$505,"○")&gt;0,1,0))</f>
        <v>0</v>
      </c>
      <c r="CF189" s="39" t="n">
        <f aca="false">IF(CF$4=0,0,IF(COUNTIFS(実績!$W$6:$W$505,CF$3,実績!$AI$6:$AI$505,"&lt;="&amp;$A189,実績!$AJ$6:$AJ$505,"&gt;"&amp;$A189,実績!$AK$6:$AK$505,"○")&gt;0,1,0))</f>
        <v>0</v>
      </c>
      <c r="CG189" s="39" t="n">
        <f aca="false">IF(CG$4=0,0,IF(COUNTIFS(実績!$W$6:$W$505,CG$3,実績!$AI$6:$AI$505,"&lt;="&amp;$A189,実績!$AJ$6:$AJ$505,"&gt;"&amp;$A189,実績!$AK$6:$AK$505,"○")&gt;0,1,0))</f>
        <v>0</v>
      </c>
      <c r="CH189" s="39" t="n">
        <f aca="false">IF(CH$4=0,0,IF(COUNTIFS(実績!$W$6:$W$505,CH$3,実績!$AI$6:$AI$505,"&lt;="&amp;$A189,実績!$AJ$6:$AJ$505,"&gt;"&amp;$A189,実績!$AK$6:$AK$505,"○")&gt;0,1,0))</f>
        <v>0</v>
      </c>
      <c r="CI189" s="39" t="n">
        <f aca="false">IF(CI$4=0,0,IF(COUNTIFS(実績!$W$6:$W$505,CI$3,実績!$AI$6:$AI$505,"&lt;="&amp;$A189,実績!$AJ$6:$AJ$505,"&gt;"&amp;$A189,実績!$AK$6:$AK$505,"○")&gt;0,1,0))</f>
        <v>0</v>
      </c>
      <c r="CJ189" s="39" t="n">
        <f aca="false">IF(CJ$4=0,0,IF(COUNTIFS(実績!$W$6:$W$505,CJ$3,実績!$AI$6:$AI$505,"&lt;="&amp;$A189,実績!$AJ$6:$AJ$505,"&gt;"&amp;$A189,実績!$AK$6:$AK$505,"○")&gt;0,1,0))</f>
        <v>0</v>
      </c>
      <c r="CK189" s="39" t="n">
        <f aca="false">IF(CK$4=0,0,IF(COUNTIFS(実績!$W$6:$W$505,CK$3,実績!$AI$6:$AI$505,"&lt;="&amp;$A189,実績!$AJ$6:$AJ$505,"&gt;"&amp;$A189,実績!$AK$6:$AK$505,"○")&gt;0,1,0))</f>
        <v>0</v>
      </c>
      <c r="CL189" s="39" t="n">
        <f aca="false">IF(CL$4=0,0,IF(COUNTIFS(実績!$W$6:$W$505,CL$3,実績!$AI$6:$AI$505,"&lt;="&amp;$A189,実績!$AJ$6:$AJ$505,"&gt;"&amp;$A189,実績!$AK$6:$AK$505,"○")&gt;0,1,0))</f>
        <v>0</v>
      </c>
      <c r="CM189" s="39" t="n">
        <f aca="false">IF(CM$4=0,0,IF(COUNTIFS(実績!$W$6:$W$505,CM$3,実績!$AI$6:$AI$505,"&lt;="&amp;$A189,実績!$AJ$6:$AJ$505,"&gt;"&amp;$A189,実績!$AK$6:$AK$505,"○")&gt;0,1,0))</f>
        <v>0</v>
      </c>
      <c r="CN189" s="39" t="n">
        <f aca="false">IF(CN$4=0,0,IF(COUNTIFS(実績!$W$6:$W$505,CN$3,実績!$AI$6:$AI$505,"&lt;="&amp;$A189,実績!$AJ$6:$AJ$505,"&gt;"&amp;$A189,実績!$AK$6:$AK$505,"○")&gt;0,1,0))</f>
        <v>0</v>
      </c>
      <c r="CO189" s="39" t="n">
        <f aca="false">IF(CO$4=0,0,IF(COUNTIFS(実績!$W$6:$W$505,CO$3,実績!$AI$6:$AI$505,"&lt;="&amp;$A189,実績!$AJ$6:$AJ$505,"&gt;"&amp;$A189,実績!$AK$6:$AK$505,"○")&gt;0,1,0))</f>
        <v>0</v>
      </c>
      <c r="CP189" s="39" t="n">
        <f aca="false">IF(CP$4=0,0,IF(COUNTIFS(実績!$W$6:$W$505,CP$3,実績!$AI$6:$AI$505,"&lt;="&amp;$A189,実績!$AJ$6:$AJ$505,"&gt;"&amp;$A189,実績!$AK$6:$AK$505,"○")&gt;0,1,0))</f>
        <v>0</v>
      </c>
      <c r="CQ189" s="39" t="n">
        <f aca="false">IF(CQ$4=0,0,IF(COUNTIFS(実績!$W$6:$W$505,CQ$3,実績!$AI$6:$AI$505,"&lt;="&amp;$A189,実績!$AJ$6:$AJ$505,"&gt;"&amp;$A189,実績!$AK$6:$AK$505,"○")&gt;0,1,0))</f>
        <v>0</v>
      </c>
      <c r="CR189" s="39" t="n">
        <f aca="false">IF(CR$4=0,0,IF(COUNTIFS(実績!$W$6:$W$505,CR$3,実績!$AI$6:$AI$505,"&lt;="&amp;$A189,実績!$AJ$6:$AJ$505,"&gt;"&amp;$A189,実績!$AK$6:$AK$505,"○")&gt;0,1,0))</f>
        <v>0</v>
      </c>
      <c r="CS189" s="39" t="n">
        <f aca="false">IF(CS$4=0,0,IF(COUNTIFS(実績!$W$6:$W$505,CS$3,実績!$AI$6:$AI$505,"&lt;="&amp;$A189,実績!$AJ$6:$AJ$505,"&gt;"&amp;$A189,実績!$AK$6:$AK$505,"○")&gt;0,1,0))</f>
        <v>0</v>
      </c>
      <c r="CT189" s="39" t="n">
        <f aca="false">IF(CT$4=0,0,IF(COUNTIFS(実績!$W$6:$W$505,CT$3,実績!$AI$6:$AI$505,"&lt;="&amp;$A189,実績!$AJ$6:$AJ$505,"&gt;"&amp;$A189,実績!$AK$6:$AK$505,"○")&gt;0,1,0))</f>
        <v>0</v>
      </c>
      <c r="CU189" s="39" t="n">
        <f aca="false">IF(CU$4=0,0,IF(COUNTIFS(実績!$W$6:$W$505,CU$3,実績!$AI$6:$AI$505,"&lt;="&amp;$A189,実績!$AJ$6:$AJ$505,"&gt;"&amp;$A189,実績!$AK$6:$AK$505,"○")&gt;0,1,0))</f>
        <v>0</v>
      </c>
      <c r="CV189" s="39" t="n">
        <f aca="false">IF(CV$4=0,0,IF(COUNTIFS(実績!$W$6:$W$505,CV$3,実績!$AI$6:$AI$505,"&lt;="&amp;$A189,実績!$AJ$6:$AJ$505,"&gt;"&amp;$A189,実績!$AK$6:$AK$505,"○")&gt;0,1,0))</f>
        <v>0</v>
      </c>
      <c r="CW189" s="39" t="n">
        <f aca="false">IF(CW$4=0,0,IF(COUNTIFS(実績!$W$6:$W$505,CW$3,実績!$AI$6:$AI$505,"&lt;="&amp;$A189,実績!$AJ$6:$AJ$505,"&gt;"&amp;$A189,実績!$AK$6:$AK$505,"○")&gt;0,1,0))</f>
        <v>0</v>
      </c>
      <c r="CX189" s="39" t="n">
        <f aca="false">IF(CX$4=0,0,IF(COUNTIFS(実績!$W$6:$W$505,CX$3,実績!$AI$6:$AI$505,"&lt;="&amp;$A189,実績!$AJ$6:$AJ$505,"&gt;"&amp;$A189,実績!$AK$6:$AK$505,"○")&gt;0,1,0))</f>
        <v>0</v>
      </c>
      <c r="CY189" s="39" t="n">
        <f aca="false">IF(CY$4=0,0,IF(COUNTIFS(実績!$W$6:$W$505,CY$3,実績!$AI$6:$AI$505,"&lt;="&amp;$A189,実績!$AJ$6:$AJ$505,"&gt;"&amp;$A189,実績!$AK$6:$AK$505,"○")&gt;0,1,0))</f>
        <v>0</v>
      </c>
      <c r="CZ189" s="39" t="n">
        <f aca="false">IF(CZ$4=0,0,IF(COUNTIFS(実績!$W$6:$W$505,CZ$3,実績!$AI$6:$AI$505,"&lt;="&amp;$A189,実績!$AJ$6:$AJ$505,"&gt;"&amp;$A189,実績!$AK$6:$AK$505,"○")&gt;0,1,0))</f>
        <v>0</v>
      </c>
      <c r="DA189" s="39" t="n">
        <f aca="false">IF(DA$4=0,0,IF(COUNTIFS(実績!$W$6:$W$505,DA$3,実績!$AI$6:$AI$505,"&lt;="&amp;$A189,実績!$AJ$6:$AJ$505,"&gt;"&amp;$A189,実績!$AK$6:$AK$505,"○")&gt;0,1,0))</f>
        <v>0</v>
      </c>
      <c r="DB189" s="39" t="n">
        <f aca="false">IF(DB$4=0,0,IF(COUNTIFS(実績!$W$6:$W$505,DB$3,実績!$AI$6:$AI$505,"&lt;="&amp;$A189,実績!$AJ$6:$AJ$505,"&gt;"&amp;$A189,実績!$AK$6:$AK$505,"○")&gt;0,1,0))</f>
        <v>0</v>
      </c>
      <c r="DC189" s="39" t="n">
        <f aca="false">IF(DC$4=0,0,IF(COUNTIFS(実績!$W$6:$W$505,DC$3,実績!$AI$6:$AI$505,"&lt;="&amp;$A189,実績!$AJ$6:$AJ$505,"&gt;"&amp;$A189,実績!$AK$6:$AK$505,"○")&gt;0,1,0))</f>
        <v>0</v>
      </c>
      <c r="DD189" s="39" t="n">
        <f aca="false">IF(DD$4=0,0,IF(COUNTIFS(実績!$W$6:$W$505,DD$3,実績!$AI$6:$AI$505,"&lt;="&amp;$A189,実績!$AJ$6:$AJ$505,"&gt;"&amp;$A189,実績!$AK$6:$AK$505,"○")&gt;0,1,0))</f>
        <v>0</v>
      </c>
      <c r="DE189" s="39" t="n">
        <f aca="false">IF(DE$4=0,0,IF(COUNTIFS(実績!$W$6:$W$505,DE$3,実績!$AI$6:$AI$505,"&lt;="&amp;$A189,実績!$AJ$6:$AJ$505,"&gt;"&amp;$A189,実績!$AK$6:$AK$505,"○")&gt;0,1,0))</f>
        <v>0</v>
      </c>
      <c r="DF189" s="39" t="n">
        <f aca="false">IF(DF$4=0,0,IF(COUNTIFS(実績!$W$6:$W$505,DF$3,実績!$AI$6:$AI$505,"&lt;="&amp;$A189,実績!$AJ$6:$AJ$505,"&gt;"&amp;$A189,実績!$AK$6:$AK$505,"○")&gt;0,1,0))</f>
        <v>0</v>
      </c>
      <c r="DG189" s="39" t="n">
        <f aca="false">IF(DG$4=0,0,IF(COUNTIFS(実績!$W$6:$W$505,DG$3,実績!$AI$6:$AI$505,"&lt;="&amp;$A189,実績!$AJ$6:$AJ$505,"&gt;"&amp;$A189,実績!$AK$6:$AK$505,"○")&gt;0,1,0))</f>
        <v>0</v>
      </c>
      <c r="DH189" s="39" t="n">
        <f aca="false">IF(DH$4=0,0,IF(COUNTIFS(実績!$W$6:$W$505,DH$3,実績!$AI$6:$AI$505,"&lt;="&amp;$A189,実績!$AJ$6:$AJ$505,"&gt;"&amp;$A189,実績!$AK$6:$AK$505,"○")&gt;0,1,0))</f>
        <v>0</v>
      </c>
      <c r="DI189" s="39" t="n">
        <f aca="false">IF(DI$4=0,0,IF(COUNTIFS(実績!$W$6:$W$505,DI$3,実績!$AI$6:$AI$505,"&lt;="&amp;$A189,実績!$AJ$6:$AJ$505,"&gt;"&amp;$A189,実績!$AK$6:$AK$505,"○")&gt;0,1,0))</f>
        <v>0</v>
      </c>
      <c r="DJ189" s="39" t="n">
        <f aca="false">IF(DJ$4=0,0,IF(COUNTIFS(実績!$W$6:$W$505,DJ$3,実績!$AI$6:$AI$505,"&lt;="&amp;$A189,実績!$AJ$6:$AJ$505,"&gt;"&amp;$A189,実績!$AK$6:$AK$505,"○")&gt;0,1,0))</f>
        <v>0</v>
      </c>
      <c r="DK189" s="39" t="n">
        <f aca="false">IF(DK$4=0,0,IF(COUNTIFS(実績!$W$6:$W$505,DK$3,実績!$AI$6:$AI$505,"&lt;="&amp;$A189,実績!$AJ$6:$AJ$505,"&gt;"&amp;$A189,実績!$AK$6:$AK$505,"○")&gt;0,1,0))</f>
        <v>0</v>
      </c>
      <c r="DL189" s="39" t="n">
        <f aca="false">IF(DL$4=0,0,IF(COUNTIFS(実績!$W$6:$W$505,DL$3,実績!$AI$6:$AI$505,"&lt;="&amp;$A189,実績!$AJ$6:$AJ$505,"&gt;"&amp;$A189,実績!$AK$6:$AK$505,"○")&gt;0,1,0))</f>
        <v>0</v>
      </c>
      <c r="DM189" s="39" t="n">
        <f aca="false">IF(DM$4=0,0,IF(COUNTIFS(実績!$W$6:$W$505,DM$3,実績!$AI$6:$AI$505,"&lt;="&amp;$A189,実績!$AJ$6:$AJ$505,"&gt;"&amp;$A189,実績!$AK$6:$AK$505,"○")&gt;0,1,0))</f>
        <v>0</v>
      </c>
      <c r="DN189" s="39" t="n">
        <f aca="false">IF(DN$4=0,0,IF(COUNTIFS(実績!$W$6:$W$505,DN$3,実績!$AI$6:$AI$505,"&lt;="&amp;$A189,実績!$AJ$6:$AJ$505,"&gt;"&amp;$A189,実績!$AK$6:$AK$505,"○")&gt;0,1,0))</f>
        <v>0</v>
      </c>
      <c r="DO189" s="39" t="n">
        <f aca="false">IF(DO$4=0,0,IF(COUNTIFS(実績!$W$6:$W$505,DO$3,実績!$AI$6:$AI$505,"&lt;="&amp;$A189,実績!$AJ$6:$AJ$505,"&gt;"&amp;$A189,実績!$AK$6:$AK$505,"○")&gt;0,1,0))</f>
        <v>0</v>
      </c>
      <c r="DP189" s="39" t="n">
        <f aca="false">IF(DP$4=0,0,IF(COUNTIFS(実績!$W$6:$W$505,DP$3,実績!$AI$6:$AI$505,"&lt;="&amp;$A189,実績!$AJ$6:$AJ$505,"&gt;"&amp;$A189,実績!$AK$6:$AK$505,"○")&gt;0,1,0))</f>
        <v>0</v>
      </c>
      <c r="DQ189" s="39" t="n">
        <f aca="false">IF(DQ$4=0,0,IF(COUNTIFS(実績!$W$6:$W$505,DQ$3,実績!$AI$6:$AI$505,"&lt;="&amp;$A189,実績!$AJ$6:$AJ$505,"&gt;"&amp;$A189,実績!$AK$6:$AK$505,"○")&gt;0,1,0))</f>
        <v>0</v>
      </c>
      <c r="DR189" s="39" t="n">
        <f aca="false">IF(DR$4=0,0,IF(COUNTIFS(実績!$W$6:$W$505,DR$3,実績!$AI$6:$AI$505,"&lt;="&amp;$A189,実績!$AJ$6:$AJ$505,"&gt;"&amp;$A189,実績!$AK$6:$AK$505,"○")&gt;0,1,0))</f>
        <v>0</v>
      </c>
      <c r="DS189" s="39" t="n">
        <f aca="false">SUM(C189:DR189)</f>
        <v>0</v>
      </c>
      <c r="DT189" s="39" t="n">
        <f aca="false">SUMPRODUCT((実績!$C$6:$C$505="○")*ISNUMBER(実績!$AM$6:$AM$505)*(実績!$AM$6:$AM$505&lt;=$A189)*(実績!$AN$6:$AN$505&gt;$A189))</f>
        <v>0</v>
      </c>
      <c r="DU189" s="39" t="n">
        <f aca="false">SUMIF($C$2:$DR$2,"製鉄曳船",C189:DR189)</f>
        <v>0</v>
      </c>
      <c r="DV189" s="39" t="n">
        <f aca="false">SUMIF($C$2:$DR$2,"西日本海運",C189:DR189)</f>
        <v>0</v>
      </c>
    </row>
    <row r="190" customFormat="false" ht="15" hidden="false" customHeight="false" outlineLevel="0" collapsed="false">
      <c r="A190" s="0" t="n">
        <v>920</v>
      </c>
      <c r="B190" s="38" t="n">
        <f aca="false">A190/1440</f>
        <v>0.638888888888889</v>
      </c>
      <c r="C190" s="39" t="n">
        <f aca="false">IF(C$4=0,0,IF(COUNTIFS(実績!$W$6:$W$505,C$3,実績!$AI$6:$AI$505,"&lt;="&amp;$A190,実績!$AJ$6:$AJ$505,"&gt;"&amp;$A190,実績!$AK$6:$AK$505,"○")&gt;0,1,0))</f>
        <v>0</v>
      </c>
      <c r="D190" s="39" t="n">
        <f aca="false">IF(D$4=0,0,IF(COUNTIFS(実績!$W$6:$W$505,D$3,実績!$AI$6:$AI$505,"&lt;="&amp;$A190,実績!$AJ$6:$AJ$505,"&gt;"&amp;$A190,実績!$AK$6:$AK$505,"○")&gt;0,1,0))</f>
        <v>0</v>
      </c>
      <c r="E190" s="39" t="n">
        <f aca="false">IF(E$4=0,0,IF(COUNTIFS(実績!$W$6:$W$505,E$3,実績!$AI$6:$AI$505,"&lt;="&amp;$A190,実績!$AJ$6:$AJ$505,"&gt;"&amp;$A190,実績!$AK$6:$AK$505,"○")&gt;0,1,0))</f>
        <v>0</v>
      </c>
      <c r="F190" s="39" t="n">
        <f aca="false">IF(F$4=0,0,IF(COUNTIFS(実績!$W$6:$W$505,F$3,実績!$AI$6:$AI$505,"&lt;="&amp;$A190,実績!$AJ$6:$AJ$505,"&gt;"&amp;$A190,実績!$AK$6:$AK$505,"○")&gt;0,1,0))</f>
        <v>0</v>
      </c>
      <c r="G190" s="39" t="n">
        <f aca="false">IF(G$4=0,0,IF(COUNTIFS(実績!$W$6:$W$505,G$3,実績!$AI$6:$AI$505,"&lt;="&amp;$A190,実績!$AJ$6:$AJ$505,"&gt;"&amp;$A190,実績!$AK$6:$AK$505,"○")&gt;0,1,0))</f>
        <v>0</v>
      </c>
      <c r="H190" s="39" t="n">
        <f aca="false">IF(H$4=0,0,IF(COUNTIFS(実績!$W$6:$W$505,H$3,実績!$AI$6:$AI$505,"&lt;="&amp;$A190,実績!$AJ$6:$AJ$505,"&gt;"&amp;$A190,実績!$AK$6:$AK$505,"○")&gt;0,1,0))</f>
        <v>0</v>
      </c>
      <c r="I190" s="39" t="n">
        <f aca="false">IF(I$4=0,0,IF(COUNTIFS(実績!$W$6:$W$505,I$3,実績!$AI$6:$AI$505,"&lt;="&amp;$A190,実績!$AJ$6:$AJ$505,"&gt;"&amp;$A190,実績!$AK$6:$AK$505,"○")&gt;0,1,0))</f>
        <v>0</v>
      </c>
      <c r="J190" s="39" t="n">
        <f aca="false">IF(J$4=0,0,IF(COUNTIFS(実績!$W$6:$W$505,J$3,実績!$AI$6:$AI$505,"&lt;="&amp;$A190,実績!$AJ$6:$AJ$505,"&gt;"&amp;$A190,実績!$AK$6:$AK$505,"○")&gt;0,1,0))</f>
        <v>0</v>
      </c>
      <c r="K190" s="39" t="n">
        <f aca="false">IF(K$4=0,0,IF(COUNTIFS(実績!$W$6:$W$505,K$3,実績!$AI$6:$AI$505,"&lt;="&amp;$A190,実績!$AJ$6:$AJ$505,"&gt;"&amp;$A190,実績!$AK$6:$AK$505,"○")&gt;0,1,0))</f>
        <v>0</v>
      </c>
      <c r="L190" s="39" t="n">
        <f aca="false">IF(L$4=0,0,IF(COUNTIFS(実績!$W$6:$W$505,L$3,実績!$AI$6:$AI$505,"&lt;="&amp;$A190,実績!$AJ$6:$AJ$505,"&gt;"&amp;$A190,実績!$AK$6:$AK$505,"○")&gt;0,1,0))</f>
        <v>0</v>
      </c>
      <c r="M190" s="39" t="n">
        <f aca="false">IF(M$4=0,0,IF(COUNTIFS(実績!$W$6:$W$505,M$3,実績!$AI$6:$AI$505,"&lt;="&amp;$A190,実績!$AJ$6:$AJ$505,"&gt;"&amp;$A190,実績!$AK$6:$AK$505,"○")&gt;0,1,0))</f>
        <v>0</v>
      </c>
      <c r="N190" s="39" t="n">
        <f aca="false">IF(N$4=0,0,IF(COUNTIFS(実績!$W$6:$W$505,N$3,実績!$AI$6:$AI$505,"&lt;="&amp;$A190,実績!$AJ$6:$AJ$505,"&gt;"&amp;$A190,実績!$AK$6:$AK$505,"○")&gt;0,1,0))</f>
        <v>0</v>
      </c>
      <c r="O190" s="39" t="n">
        <f aca="false">IF(O$4=0,0,IF(COUNTIFS(実績!$W$6:$W$505,O$3,実績!$AI$6:$AI$505,"&lt;="&amp;$A190,実績!$AJ$6:$AJ$505,"&gt;"&amp;$A190,実績!$AK$6:$AK$505,"○")&gt;0,1,0))</f>
        <v>0</v>
      </c>
      <c r="P190" s="39" t="n">
        <f aca="false">IF(P$4=0,0,IF(COUNTIFS(実績!$W$6:$W$505,P$3,実績!$AI$6:$AI$505,"&lt;="&amp;$A190,実績!$AJ$6:$AJ$505,"&gt;"&amp;$A190,実績!$AK$6:$AK$505,"○")&gt;0,1,0))</f>
        <v>0</v>
      </c>
      <c r="Q190" s="39" t="n">
        <f aca="false">IF(Q$4=0,0,IF(COUNTIFS(実績!$W$6:$W$505,Q$3,実績!$AI$6:$AI$505,"&lt;="&amp;$A190,実績!$AJ$6:$AJ$505,"&gt;"&amp;$A190,実績!$AK$6:$AK$505,"○")&gt;0,1,0))</f>
        <v>0</v>
      </c>
      <c r="R190" s="39" t="n">
        <f aca="false">IF(R$4=0,0,IF(COUNTIFS(実績!$W$6:$W$505,R$3,実績!$AI$6:$AI$505,"&lt;="&amp;$A190,実績!$AJ$6:$AJ$505,"&gt;"&amp;$A190,実績!$AK$6:$AK$505,"○")&gt;0,1,0))</f>
        <v>0</v>
      </c>
      <c r="S190" s="39" t="n">
        <f aca="false">IF(S$4=0,0,IF(COUNTIFS(実績!$W$6:$W$505,S$3,実績!$AI$6:$AI$505,"&lt;="&amp;$A190,実績!$AJ$6:$AJ$505,"&gt;"&amp;$A190,実績!$AK$6:$AK$505,"○")&gt;0,1,0))</f>
        <v>0</v>
      </c>
      <c r="T190" s="39" t="n">
        <f aca="false">IF(T$4=0,0,IF(COUNTIFS(実績!$W$6:$W$505,T$3,実績!$AI$6:$AI$505,"&lt;="&amp;$A190,実績!$AJ$6:$AJ$505,"&gt;"&amp;$A190,実績!$AK$6:$AK$505,"○")&gt;0,1,0))</f>
        <v>0</v>
      </c>
      <c r="U190" s="39" t="n">
        <f aca="false">IF(U$4=0,0,IF(COUNTIFS(実績!$W$6:$W$505,U$3,実績!$AI$6:$AI$505,"&lt;="&amp;$A190,実績!$AJ$6:$AJ$505,"&gt;"&amp;$A190,実績!$AK$6:$AK$505,"○")&gt;0,1,0))</f>
        <v>0</v>
      </c>
      <c r="V190" s="39" t="n">
        <f aca="false">IF(V$4=0,0,IF(COUNTIFS(実績!$W$6:$W$505,V$3,実績!$AI$6:$AI$505,"&lt;="&amp;$A190,実績!$AJ$6:$AJ$505,"&gt;"&amp;$A190,実績!$AK$6:$AK$505,"○")&gt;0,1,0))</f>
        <v>0</v>
      </c>
      <c r="W190" s="39" t="n">
        <f aca="false">IF(W$4=0,0,IF(COUNTIFS(実績!$W$6:$W$505,W$3,実績!$AI$6:$AI$505,"&lt;="&amp;$A190,実績!$AJ$6:$AJ$505,"&gt;"&amp;$A190,実績!$AK$6:$AK$505,"○")&gt;0,1,0))</f>
        <v>0</v>
      </c>
      <c r="X190" s="39" t="n">
        <f aca="false">IF(X$4=0,0,IF(COUNTIFS(実績!$W$6:$W$505,X$3,実績!$AI$6:$AI$505,"&lt;="&amp;$A190,実績!$AJ$6:$AJ$505,"&gt;"&amp;$A190,実績!$AK$6:$AK$505,"○")&gt;0,1,0))</f>
        <v>0</v>
      </c>
      <c r="Y190" s="39" t="n">
        <f aca="false">IF(Y$4=0,0,IF(COUNTIFS(実績!$W$6:$W$505,Y$3,実績!$AI$6:$AI$505,"&lt;="&amp;$A190,実績!$AJ$6:$AJ$505,"&gt;"&amp;$A190,実績!$AK$6:$AK$505,"○")&gt;0,1,0))</f>
        <v>0</v>
      </c>
      <c r="Z190" s="39" t="n">
        <f aca="false">IF(Z$4=0,0,IF(COUNTIFS(実績!$W$6:$W$505,Z$3,実績!$AI$6:$AI$505,"&lt;="&amp;$A190,実績!$AJ$6:$AJ$505,"&gt;"&amp;$A190,実績!$AK$6:$AK$505,"○")&gt;0,1,0))</f>
        <v>0</v>
      </c>
      <c r="AA190" s="39" t="n">
        <f aca="false">IF(AA$4=0,0,IF(COUNTIFS(実績!$W$6:$W$505,AA$3,実績!$AI$6:$AI$505,"&lt;="&amp;$A190,実績!$AJ$6:$AJ$505,"&gt;"&amp;$A190,実績!$AK$6:$AK$505,"○")&gt;0,1,0))</f>
        <v>0</v>
      </c>
      <c r="AB190" s="39" t="n">
        <f aca="false">IF(AB$4=0,0,IF(COUNTIFS(実績!$W$6:$W$505,AB$3,実績!$AI$6:$AI$505,"&lt;="&amp;$A190,実績!$AJ$6:$AJ$505,"&gt;"&amp;$A190,実績!$AK$6:$AK$505,"○")&gt;0,1,0))</f>
        <v>0</v>
      </c>
      <c r="AC190" s="39" t="n">
        <f aca="false">IF(AC$4=0,0,IF(COUNTIFS(実績!$W$6:$W$505,AC$3,実績!$AI$6:$AI$505,"&lt;="&amp;$A190,実績!$AJ$6:$AJ$505,"&gt;"&amp;$A190,実績!$AK$6:$AK$505,"○")&gt;0,1,0))</f>
        <v>0</v>
      </c>
      <c r="AD190" s="39" t="n">
        <f aca="false">IF(AD$4=0,0,IF(COUNTIFS(実績!$W$6:$W$505,AD$3,実績!$AI$6:$AI$505,"&lt;="&amp;$A190,実績!$AJ$6:$AJ$505,"&gt;"&amp;$A190,実績!$AK$6:$AK$505,"○")&gt;0,1,0))</f>
        <v>0</v>
      </c>
      <c r="AE190" s="39" t="n">
        <f aca="false">IF(AE$4=0,0,IF(COUNTIFS(実績!$W$6:$W$505,AE$3,実績!$AI$6:$AI$505,"&lt;="&amp;$A190,実績!$AJ$6:$AJ$505,"&gt;"&amp;$A190,実績!$AK$6:$AK$505,"○")&gt;0,1,0))</f>
        <v>0</v>
      </c>
      <c r="AF190" s="39" t="n">
        <f aca="false">IF(AF$4=0,0,IF(COUNTIFS(実績!$W$6:$W$505,AF$3,実績!$AI$6:$AI$505,"&lt;="&amp;$A190,実績!$AJ$6:$AJ$505,"&gt;"&amp;$A190,実績!$AK$6:$AK$505,"○")&gt;0,1,0))</f>
        <v>0</v>
      </c>
      <c r="AG190" s="39" t="n">
        <f aca="false">IF(AG$4=0,0,IF(COUNTIFS(実績!$W$6:$W$505,AG$3,実績!$AI$6:$AI$505,"&lt;="&amp;$A190,実績!$AJ$6:$AJ$505,"&gt;"&amp;$A190,実績!$AK$6:$AK$505,"○")&gt;0,1,0))</f>
        <v>0</v>
      </c>
      <c r="AH190" s="39" t="n">
        <f aca="false">IF(AH$4=0,0,IF(COUNTIFS(実績!$W$6:$W$505,AH$3,実績!$AI$6:$AI$505,"&lt;="&amp;$A190,実績!$AJ$6:$AJ$505,"&gt;"&amp;$A190,実績!$AK$6:$AK$505,"○")&gt;0,1,0))</f>
        <v>0</v>
      </c>
      <c r="AI190" s="39" t="n">
        <f aca="false">IF(AI$4=0,0,IF(COUNTIFS(実績!$W$6:$W$505,AI$3,実績!$AI$6:$AI$505,"&lt;="&amp;$A190,実績!$AJ$6:$AJ$505,"&gt;"&amp;$A190,実績!$AK$6:$AK$505,"○")&gt;0,1,0))</f>
        <v>0</v>
      </c>
      <c r="AJ190" s="39" t="n">
        <f aca="false">IF(AJ$4=0,0,IF(COUNTIFS(実績!$W$6:$W$505,AJ$3,実績!$AI$6:$AI$505,"&lt;="&amp;$A190,実績!$AJ$6:$AJ$505,"&gt;"&amp;$A190,実績!$AK$6:$AK$505,"○")&gt;0,1,0))</f>
        <v>0</v>
      </c>
      <c r="AK190" s="39" t="n">
        <f aca="false">IF(AK$4=0,0,IF(COUNTIFS(実績!$W$6:$W$505,AK$3,実績!$AI$6:$AI$505,"&lt;="&amp;$A190,実績!$AJ$6:$AJ$505,"&gt;"&amp;$A190,実績!$AK$6:$AK$505,"○")&gt;0,1,0))</f>
        <v>0</v>
      </c>
      <c r="AL190" s="39" t="n">
        <f aca="false">IF(AL$4=0,0,IF(COUNTIFS(実績!$W$6:$W$505,AL$3,実績!$AI$6:$AI$505,"&lt;="&amp;$A190,実績!$AJ$6:$AJ$505,"&gt;"&amp;$A190,実績!$AK$6:$AK$505,"○")&gt;0,1,0))</f>
        <v>0</v>
      </c>
      <c r="AM190" s="39" t="n">
        <f aca="false">IF(AM$4=0,0,IF(COUNTIFS(実績!$W$6:$W$505,AM$3,実績!$AI$6:$AI$505,"&lt;="&amp;$A190,実績!$AJ$6:$AJ$505,"&gt;"&amp;$A190,実績!$AK$6:$AK$505,"○")&gt;0,1,0))</f>
        <v>0</v>
      </c>
      <c r="AN190" s="39" t="n">
        <f aca="false">IF(AN$4=0,0,IF(COUNTIFS(実績!$W$6:$W$505,AN$3,実績!$AI$6:$AI$505,"&lt;="&amp;$A190,実績!$AJ$6:$AJ$505,"&gt;"&amp;$A190,実績!$AK$6:$AK$505,"○")&gt;0,1,0))</f>
        <v>0</v>
      </c>
      <c r="AO190" s="39" t="n">
        <f aca="false">IF(AO$4=0,0,IF(COUNTIFS(実績!$W$6:$W$505,AO$3,実績!$AI$6:$AI$505,"&lt;="&amp;$A190,実績!$AJ$6:$AJ$505,"&gt;"&amp;$A190,実績!$AK$6:$AK$505,"○")&gt;0,1,0))</f>
        <v>0</v>
      </c>
      <c r="AP190" s="39" t="n">
        <f aca="false">IF(AP$4=0,0,IF(COUNTIFS(実績!$W$6:$W$505,AP$3,実績!$AI$6:$AI$505,"&lt;="&amp;$A190,実績!$AJ$6:$AJ$505,"&gt;"&amp;$A190,実績!$AK$6:$AK$505,"○")&gt;0,1,0))</f>
        <v>0</v>
      </c>
      <c r="AQ190" s="39" t="n">
        <f aca="false">IF(AQ$4=0,0,IF(COUNTIFS(実績!$W$6:$W$505,AQ$3,実績!$AI$6:$AI$505,"&lt;="&amp;$A190,実績!$AJ$6:$AJ$505,"&gt;"&amp;$A190,実績!$AK$6:$AK$505,"○")&gt;0,1,0))</f>
        <v>0</v>
      </c>
      <c r="AR190" s="39" t="n">
        <f aca="false">IF(AR$4=0,0,IF(COUNTIFS(実績!$W$6:$W$505,AR$3,実績!$AI$6:$AI$505,"&lt;="&amp;$A190,実績!$AJ$6:$AJ$505,"&gt;"&amp;$A190,実績!$AK$6:$AK$505,"○")&gt;0,1,0))</f>
        <v>0</v>
      </c>
      <c r="AS190" s="39" t="n">
        <f aca="false">IF(AS$4=0,0,IF(COUNTIFS(実績!$W$6:$W$505,AS$3,実績!$AI$6:$AI$505,"&lt;="&amp;$A190,実績!$AJ$6:$AJ$505,"&gt;"&amp;$A190,実績!$AK$6:$AK$505,"○")&gt;0,1,0))</f>
        <v>0</v>
      </c>
      <c r="AT190" s="39" t="n">
        <f aca="false">IF(AT$4=0,0,IF(COUNTIFS(実績!$W$6:$W$505,AT$3,実績!$AI$6:$AI$505,"&lt;="&amp;$A190,実績!$AJ$6:$AJ$505,"&gt;"&amp;$A190,実績!$AK$6:$AK$505,"○")&gt;0,1,0))</f>
        <v>0</v>
      </c>
      <c r="AU190" s="39" t="n">
        <f aca="false">IF(AU$4=0,0,IF(COUNTIFS(実績!$W$6:$W$505,AU$3,実績!$AI$6:$AI$505,"&lt;="&amp;$A190,実績!$AJ$6:$AJ$505,"&gt;"&amp;$A190,実績!$AK$6:$AK$505,"○")&gt;0,1,0))</f>
        <v>0</v>
      </c>
      <c r="AV190" s="39" t="n">
        <f aca="false">IF(AV$4=0,0,IF(COUNTIFS(実績!$W$6:$W$505,AV$3,実績!$AI$6:$AI$505,"&lt;="&amp;$A190,実績!$AJ$6:$AJ$505,"&gt;"&amp;$A190,実績!$AK$6:$AK$505,"○")&gt;0,1,0))</f>
        <v>0</v>
      </c>
      <c r="AW190" s="39" t="n">
        <f aca="false">IF(AW$4=0,0,IF(COUNTIFS(実績!$W$6:$W$505,AW$3,実績!$AI$6:$AI$505,"&lt;="&amp;$A190,実績!$AJ$6:$AJ$505,"&gt;"&amp;$A190,実績!$AK$6:$AK$505,"○")&gt;0,1,0))</f>
        <v>0</v>
      </c>
      <c r="AX190" s="39" t="n">
        <f aca="false">IF(AX$4=0,0,IF(COUNTIFS(実績!$W$6:$W$505,AX$3,実績!$AI$6:$AI$505,"&lt;="&amp;$A190,実績!$AJ$6:$AJ$505,"&gt;"&amp;$A190,実績!$AK$6:$AK$505,"○")&gt;0,1,0))</f>
        <v>0</v>
      </c>
      <c r="AY190" s="39" t="n">
        <f aca="false">IF(AY$4=0,0,IF(COUNTIFS(実績!$W$6:$W$505,AY$3,実績!$AI$6:$AI$505,"&lt;="&amp;$A190,実績!$AJ$6:$AJ$505,"&gt;"&amp;$A190,実績!$AK$6:$AK$505,"○")&gt;0,1,0))</f>
        <v>0</v>
      </c>
      <c r="AZ190" s="39" t="n">
        <f aca="false">IF(AZ$4=0,0,IF(COUNTIFS(実績!$W$6:$W$505,AZ$3,実績!$AI$6:$AI$505,"&lt;="&amp;$A190,実績!$AJ$6:$AJ$505,"&gt;"&amp;$A190,実績!$AK$6:$AK$505,"○")&gt;0,1,0))</f>
        <v>0</v>
      </c>
      <c r="BA190" s="39" t="n">
        <f aca="false">IF(BA$4=0,0,IF(COUNTIFS(実績!$W$6:$W$505,BA$3,実績!$AI$6:$AI$505,"&lt;="&amp;$A190,実績!$AJ$6:$AJ$505,"&gt;"&amp;$A190,実績!$AK$6:$AK$505,"○")&gt;0,1,0))</f>
        <v>0</v>
      </c>
      <c r="BB190" s="39" t="n">
        <f aca="false">IF(BB$4=0,0,IF(COUNTIFS(実績!$W$6:$W$505,BB$3,実績!$AI$6:$AI$505,"&lt;="&amp;$A190,実績!$AJ$6:$AJ$505,"&gt;"&amp;$A190,実績!$AK$6:$AK$505,"○")&gt;0,1,0))</f>
        <v>0</v>
      </c>
      <c r="BC190" s="39" t="n">
        <f aca="false">IF(BC$4=0,0,IF(COUNTIFS(実績!$W$6:$W$505,BC$3,実績!$AI$6:$AI$505,"&lt;="&amp;$A190,実績!$AJ$6:$AJ$505,"&gt;"&amp;$A190,実績!$AK$6:$AK$505,"○")&gt;0,1,0))</f>
        <v>0</v>
      </c>
      <c r="BD190" s="39" t="n">
        <f aca="false">IF(BD$4=0,0,IF(COUNTIFS(実績!$W$6:$W$505,BD$3,実績!$AI$6:$AI$505,"&lt;="&amp;$A190,実績!$AJ$6:$AJ$505,"&gt;"&amp;$A190,実績!$AK$6:$AK$505,"○")&gt;0,1,0))</f>
        <v>0</v>
      </c>
      <c r="BE190" s="39" t="n">
        <f aca="false">IF(BE$4=0,0,IF(COUNTIFS(実績!$W$6:$W$505,BE$3,実績!$AI$6:$AI$505,"&lt;="&amp;$A190,実績!$AJ$6:$AJ$505,"&gt;"&amp;$A190,実績!$AK$6:$AK$505,"○")&gt;0,1,0))</f>
        <v>0</v>
      </c>
      <c r="BF190" s="39" t="n">
        <f aca="false">IF(BF$4=0,0,IF(COUNTIFS(実績!$W$6:$W$505,BF$3,実績!$AI$6:$AI$505,"&lt;="&amp;$A190,実績!$AJ$6:$AJ$505,"&gt;"&amp;$A190,実績!$AK$6:$AK$505,"○")&gt;0,1,0))</f>
        <v>0</v>
      </c>
      <c r="BG190" s="39" t="n">
        <f aca="false">IF(BG$4=0,0,IF(COUNTIFS(実績!$W$6:$W$505,BG$3,実績!$AI$6:$AI$505,"&lt;="&amp;$A190,実績!$AJ$6:$AJ$505,"&gt;"&amp;$A190,実績!$AK$6:$AK$505,"○")&gt;0,1,0))</f>
        <v>0</v>
      </c>
      <c r="BH190" s="39" t="n">
        <f aca="false">IF(BH$4=0,0,IF(COUNTIFS(実績!$W$6:$W$505,BH$3,実績!$AI$6:$AI$505,"&lt;="&amp;$A190,実績!$AJ$6:$AJ$505,"&gt;"&amp;$A190,実績!$AK$6:$AK$505,"○")&gt;0,1,0))</f>
        <v>0</v>
      </c>
      <c r="BI190" s="39" t="n">
        <f aca="false">IF(BI$4=0,0,IF(COUNTIFS(実績!$W$6:$W$505,BI$3,実績!$AI$6:$AI$505,"&lt;="&amp;$A190,実績!$AJ$6:$AJ$505,"&gt;"&amp;$A190,実績!$AK$6:$AK$505,"○")&gt;0,1,0))</f>
        <v>0</v>
      </c>
      <c r="BJ190" s="39" t="n">
        <f aca="false">IF(BJ$4=0,0,IF(COUNTIFS(実績!$W$6:$W$505,BJ$3,実績!$AI$6:$AI$505,"&lt;="&amp;$A190,実績!$AJ$6:$AJ$505,"&gt;"&amp;$A190,実績!$AK$6:$AK$505,"○")&gt;0,1,0))</f>
        <v>0</v>
      </c>
      <c r="BK190" s="39" t="n">
        <f aca="false">IF(BK$4=0,0,IF(COUNTIFS(実績!$W$6:$W$505,BK$3,実績!$AI$6:$AI$505,"&lt;="&amp;$A190,実績!$AJ$6:$AJ$505,"&gt;"&amp;$A190,実績!$AK$6:$AK$505,"○")&gt;0,1,0))</f>
        <v>0</v>
      </c>
      <c r="BL190" s="39" t="n">
        <f aca="false">IF(BL$4=0,0,IF(COUNTIFS(実績!$W$6:$W$505,BL$3,実績!$AI$6:$AI$505,"&lt;="&amp;$A190,実績!$AJ$6:$AJ$505,"&gt;"&amp;$A190,実績!$AK$6:$AK$505,"○")&gt;0,1,0))</f>
        <v>0</v>
      </c>
      <c r="BM190" s="39" t="n">
        <f aca="false">IF(BM$4=0,0,IF(COUNTIFS(実績!$W$6:$W$505,BM$3,実績!$AI$6:$AI$505,"&lt;="&amp;$A190,実績!$AJ$6:$AJ$505,"&gt;"&amp;$A190,実績!$AK$6:$AK$505,"○")&gt;0,1,0))</f>
        <v>0</v>
      </c>
      <c r="BN190" s="39" t="n">
        <f aca="false">IF(BN$4=0,0,IF(COUNTIFS(実績!$W$6:$W$505,BN$3,実績!$AI$6:$AI$505,"&lt;="&amp;$A190,実績!$AJ$6:$AJ$505,"&gt;"&amp;$A190,実績!$AK$6:$AK$505,"○")&gt;0,1,0))</f>
        <v>0</v>
      </c>
      <c r="BO190" s="39" t="n">
        <f aca="false">IF(BO$4=0,0,IF(COUNTIFS(実績!$W$6:$W$505,BO$3,実績!$AI$6:$AI$505,"&lt;="&amp;$A190,実績!$AJ$6:$AJ$505,"&gt;"&amp;$A190,実績!$AK$6:$AK$505,"○")&gt;0,1,0))</f>
        <v>0</v>
      </c>
      <c r="BP190" s="39" t="n">
        <f aca="false">IF(BP$4=0,0,IF(COUNTIFS(実績!$W$6:$W$505,BP$3,実績!$AI$6:$AI$505,"&lt;="&amp;$A190,実績!$AJ$6:$AJ$505,"&gt;"&amp;$A190,実績!$AK$6:$AK$505,"○")&gt;0,1,0))</f>
        <v>0</v>
      </c>
      <c r="BQ190" s="39" t="n">
        <f aca="false">IF(BQ$4=0,0,IF(COUNTIFS(実績!$W$6:$W$505,BQ$3,実績!$AI$6:$AI$505,"&lt;="&amp;$A190,実績!$AJ$6:$AJ$505,"&gt;"&amp;$A190,実績!$AK$6:$AK$505,"○")&gt;0,1,0))</f>
        <v>0</v>
      </c>
      <c r="BR190" s="39" t="n">
        <f aca="false">IF(BR$4=0,0,IF(COUNTIFS(実績!$W$6:$W$505,BR$3,実績!$AI$6:$AI$505,"&lt;="&amp;$A190,実績!$AJ$6:$AJ$505,"&gt;"&amp;$A190,実績!$AK$6:$AK$505,"○")&gt;0,1,0))</f>
        <v>0</v>
      </c>
      <c r="BS190" s="39" t="n">
        <f aca="false">IF(BS$4=0,0,IF(COUNTIFS(実績!$W$6:$W$505,BS$3,実績!$AI$6:$AI$505,"&lt;="&amp;$A190,実績!$AJ$6:$AJ$505,"&gt;"&amp;$A190,実績!$AK$6:$AK$505,"○")&gt;0,1,0))</f>
        <v>0</v>
      </c>
      <c r="BT190" s="39" t="n">
        <f aca="false">IF(BT$4=0,0,IF(COUNTIFS(実績!$W$6:$W$505,BT$3,実績!$AI$6:$AI$505,"&lt;="&amp;$A190,実績!$AJ$6:$AJ$505,"&gt;"&amp;$A190,実績!$AK$6:$AK$505,"○")&gt;0,1,0))</f>
        <v>0</v>
      </c>
      <c r="BU190" s="39" t="n">
        <f aca="false">IF(BU$4=0,0,IF(COUNTIFS(実績!$W$6:$W$505,BU$3,実績!$AI$6:$AI$505,"&lt;="&amp;$A190,実績!$AJ$6:$AJ$505,"&gt;"&amp;$A190,実績!$AK$6:$AK$505,"○")&gt;0,1,0))</f>
        <v>0</v>
      </c>
      <c r="BV190" s="39" t="n">
        <f aca="false">IF(BV$4=0,0,IF(COUNTIFS(実績!$W$6:$W$505,BV$3,実績!$AI$6:$AI$505,"&lt;="&amp;$A190,実績!$AJ$6:$AJ$505,"&gt;"&amp;$A190,実績!$AK$6:$AK$505,"○")&gt;0,1,0))</f>
        <v>0</v>
      </c>
      <c r="BW190" s="39" t="n">
        <f aca="false">IF(BW$4=0,0,IF(COUNTIFS(実績!$W$6:$W$505,BW$3,実績!$AI$6:$AI$505,"&lt;="&amp;$A190,実績!$AJ$6:$AJ$505,"&gt;"&amp;$A190,実績!$AK$6:$AK$505,"○")&gt;0,1,0))</f>
        <v>0</v>
      </c>
      <c r="BX190" s="39" t="n">
        <f aca="false">IF(BX$4=0,0,IF(COUNTIFS(実績!$W$6:$W$505,BX$3,実績!$AI$6:$AI$505,"&lt;="&amp;$A190,実績!$AJ$6:$AJ$505,"&gt;"&amp;$A190,実績!$AK$6:$AK$505,"○")&gt;0,1,0))</f>
        <v>0</v>
      </c>
      <c r="BY190" s="39" t="n">
        <f aca="false">IF(BY$4=0,0,IF(COUNTIFS(実績!$W$6:$W$505,BY$3,実績!$AI$6:$AI$505,"&lt;="&amp;$A190,実績!$AJ$6:$AJ$505,"&gt;"&amp;$A190,実績!$AK$6:$AK$505,"○")&gt;0,1,0))</f>
        <v>0</v>
      </c>
      <c r="BZ190" s="39" t="n">
        <f aca="false">IF(BZ$4=0,0,IF(COUNTIFS(実績!$W$6:$W$505,BZ$3,実績!$AI$6:$AI$505,"&lt;="&amp;$A190,実績!$AJ$6:$AJ$505,"&gt;"&amp;$A190,実績!$AK$6:$AK$505,"○")&gt;0,1,0))</f>
        <v>0</v>
      </c>
      <c r="CA190" s="39" t="n">
        <f aca="false">IF(CA$4=0,0,IF(COUNTIFS(実績!$W$6:$W$505,CA$3,実績!$AI$6:$AI$505,"&lt;="&amp;$A190,実績!$AJ$6:$AJ$505,"&gt;"&amp;$A190,実績!$AK$6:$AK$505,"○")&gt;0,1,0))</f>
        <v>0</v>
      </c>
      <c r="CB190" s="39" t="n">
        <f aca="false">IF(CB$4=0,0,IF(COUNTIFS(実績!$W$6:$W$505,CB$3,実績!$AI$6:$AI$505,"&lt;="&amp;$A190,実績!$AJ$6:$AJ$505,"&gt;"&amp;$A190,実績!$AK$6:$AK$505,"○")&gt;0,1,0))</f>
        <v>0</v>
      </c>
      <c r="CC190" s="39" t="n">
        <f aca="false">IF(CC$4=0,0,IF(COUNTIFS(実績!$W$6:$W$505,CC$3,実績!$AI$6:$AI$505,"&lt;="&amp;$A190,実績!$AJ$6:$AJ$505,"&gt;"&amp;$A190,実績!$AK$6:$AK$505,"○")&gt;0,1,0))</f>
        <v>0</v>
      </c>
      <c r="CD190" s="39" t="n">
        <f aca="false">IF(CD$4=0,0,IF(COUNTIFS(実績!$W$6:$W$505,CD$3,実績!$AI$6:$AI$505,"&lt;="&amp;$A190,実績!$AJ$6:$AJ$505,"&gt;"&amp;$A190,実績!$AK$6:$AK$505,"○")&gt;0,1,0))</f>
        <v>0</v>
      </c>
      <c r="CE190" s="39" t="n">
        <f aca="false">IF(CE$4=0,0,IF(COUNTIFS(実績!$W$6:$W$505,CE$3,実績!$AI$6:$AI$505,"&lt;="&amp;$A190,実績!$AJ$6:$AJ$505,"&gt;"&amp;$A190,実績!$AK$6:$AK$505,"○")&gt;0,1,0))</f>
        <v>0</v>
      </c>
      <c r="CF190" s="39" t="n">
        <f aca="false">IF(CF$4=0,0,IF(COUNTIFS(実績!$W$6:$W$505,CF$3,実績!$AI$6:$AI$505,"&lt;="&amp;$A190,実績!$AJ$6:$AJ$505,"&gt;"&amp;$A190,実績!$AK$6:$AK$505,"○")&gt;0,1,0))</f>
        <v>0</v>
      </c>
      <c r="CG190" s="39" t="n">
        <f aca="false">IF(CG$4=0,0,IF(COUNTIFS(実績!$W$6:$W$505,CG$3,実績!$AI$6:$AI$505,"&lt;="&amp;$A190,実績!$AJ$6:$AJ$505,"&gt;"&amp;$A190,実績!$AK$6:$AK$505,"○")&gt;0,1,0))</f>
        <v>0</v>
      </c>
      <c r="CH190" s="39" t="n">
        <f aca="false">IF(CH$4=0,0,IF(COUNTIFS(実績!$W$6:$W$505,CH$3,実績!$AI$6:$AI$505,"&lt;="&amp;$A190,実績!$AJ$6:$AJ$505,"&gt;"&amp;$A190,実績!$AK$6:$AK$505,"○")&gt;0,1,0))</f>
        <v>0</v>
      </c>
      <c r="CI190" s="39" t="n">
        <f aca="false">IF(CI$4=0,0,IF(COUNTIFS(実績!$W$6:$W$505,CI$3,実績!$AI$6:$AI$505,"&lt;="&amp;$A190,実績!$AJ$6:$AJ$505,"&gt;"&amp;$A190,実績!$AK$6:$AK$505,"○")&gt;0,1,0))</f>
        <v>0</v>
      </c>
      <c r="CJ190" s="39" t="n">
        <f aca="false">IF(CJ$4=0,0,IF(COUNTIFS(実績!$W$6:$W$505,CJ$3,実績!$AI$6:$AI$505,"&lt;="&amp;$A190,実績!$AJ$6:$AJ$505,"&gt;"&amp;$A190,実績!$AK$6:$AK$505,"○")&gt;0,1,0))</f>
        <v>0</v>
      </c>
      <c r="CK190" s="39" t="n">
        <f aca="false">IF(CK$4=0,0,IF(COUNTIFS(実績!$W$6:$W$505,CK$3,実績!$AI$6:$AI$505,"&lt;="&amp;$A190,実績!$AJ$6:$AJ$505,"&gt;"&amp;$A190,実績!$AK$6:$AK$505,"○")&gt;0,1,0))</f>
        <v>0</v>
      </c>
      <c r="CL190" s="39" t="n">
        <f aca="false">IF(CL$4=0,0,IF(COUNTIFS(実績!$W$6:$W$505,CL$3,実績!$AI$6:$AI$505,"&lt;="&amp;$A190,実績!$AJ$6:$AJ$505,"&gt;"&amp;$A190,実績!$AK$6:$AK$505,"○")&gt;0,1,0))</f>
        <v>0</v>
      </c>
      <c r="CM190" s="39" t="n">
        <f aca="false">IF(CM$4=0,0,IF(COUNTIFS(実績!$W$6:$W$505,CM$3,実績!$AI$6:$AI$505,"&lt;="&amp;$A190,実績!$AJ$6:$AJ$505,"&gt;"&amp;$A190,実績!$AK$6:$AK$505,"○")&gt;0,1,0))</f>
        <v>0</v>
      </c>
      <c r="CN190" s="39" t="n">
        <f aca="false">IF(CN$4=0,0,IF(COUNTIFS(実績!$W$6:$W$505,CN$3,実績!$AI$6:$AI$505,"&lt;="&amp;$A190,実績!$AJ$6:$AJ$505,"&gt;"&amp;$A190,実績!$AK$6:$AK$505,"○")&gt;0,1,0))</f>
        <v>0</v>
      </c>
      <c r="CO190" s="39" t="n">
        <f aca="false">IF(CO$4=0,0,IF(COUNTIFS(実績!$W$6:$W$505,CO$3,実績!$AI$6:$AI$505,"&lt;="&amp;$A190,実績!$AJ$6:$AJ$505,"&gt;"&amp;$A190,実績!$AK$6:$AK$505,"○")&gt;0,1,0))</f>
        <v>0</v>
      </c>
      <c r="CP190" s="39" t="n">
        <f aca="false">IF(CP$4=0,0,IF(COUNTIFS(実績!$W$6:$W$505,CP$3,実績!$AI$6:$AI$505,"&lt;="&amp;$A190,実績!$AJ$6:$AJ$505,"&gt;"&amp;$A190,実績!$AK$6:$AK$505,"○")&gt;0,1,0))</f>
        <v>0</v>
      </c>
      <c r="CQ190" s="39" t="n">
        <f aca="false">IF(CQ$4=0,0,IF(COUNTIFS(実績!$W$6:$W$505,CQ$3,実績!$AI$6:$AI$505,"&lt;="&amp;$A190,実績!$AJ$6:$AJ$505,"&gt;"&amp;$A190,実績!$AK$6:$AK$505,"○")&gt;0,1,0))</f>
        <v>0</v>
      </c>
      <c r="CR190" s="39" t="n">
        <f aca="false">IF(CR$4=0,0,IF(COUNTIFS(実績!$W$6:$W$505,CR$3,実績!$AI$6:$AI$505,"&lt;="&amp;$A190,実績!$AJ$6:$AJ$505,"&gt;"&amp;$A190,実績!$AK$6:$AK$505,"○")&gt;0,1,0))</f>
        <v>0</v>
      </c>
      <c r="CS190" s="39" t="n">
        <f aca="false">IF(CS$4=0,0,IF(COUNTIFS(実績!$W$6:$W$505,CS$3,実績!$AI$6:$AI$505,"&lt;="&amp;$A190,実績!$AJ$6:$AJ$505,"&gt;"&amp;$A190,実績!$AK$6:$AK$505,"○")&gt;0,1,0))</f>
        <v>0</v>
      </c>
      <c r="CT190" s="39" t="n">
        <f aca="false">IF(CT$4=0,0,IF(COUNTIFS(実績!$W$6:$W$505,CT$3,実績!$AI$6:$AI$505,"&lt;="&amp;$A190,実績!$AJ$6:$AJ$505,"&gt;"&amp;$A190,実績!$AK$6:$AK$505,"○")&gt;0,1,0))</f>
        <v>0</v>
      </c>
      <c r="CU190" s="39" t="n">
        <f aca="false">IF(CU$4=0,0,IF(COUNTIFS(実績!$W$6:$W$505,CU$3,実績!$AI$6:$AI$505,"&lt;="&amp;$A190,実績!$AJ$6:$AJ$505,"&gt;"&amp;$A190,実績!$AK$6:$AK$505,"○")&gt;0,1,0))</f>
        <v>0</v>
      </c>
      <c r="CV190" s="39" t="n">
        <f aca="false">IF(CV$4=0,0,IF(COUNTIFS(実績!$W$6:$W$505,CV$3,実績!$AI$6:$AI$505,"&lt;="&amp;$A190,実績!$AJ$6:$AJ$505,"&gt;"&amp;$A190,実績!$AK$6:$AK$505,"○")&gt;0,1,0))</f>
        <v>0</v>
      </c>
      <c r="CW190" s="39" t="n">
        <f aca="false">IF(CW$4=0,0,IF(COUNTIFS(実績!$W$6:$W$505,CW$3,実績!$AI$6:$AI$505,"&lt;="&amp;$A190,実績!$AJ$6:$AJ$505,"&gt;"&amp;$A190,実績!$AK$6:$AK$505,"○")&gt;0,1,0))</f>
        <v>0</v>
      </c>
      <c r="CX190" s="39" t="n">
        <f aca="false">IF(CX$4=0,0,IF(COUNTIFS(実績!$W$6:$W$505,CX$3,実績!$AI$6:$AI$505,"&lt;="&amp;$A190,実績!$AJ$6:$AJ$505,"&gt;"&amp;$A190,実績!$AK$6:$AK$505,"○")&gt;0,1,0))</f>
        <v>0</v>
      </c>
      <c r="CY190" s="39" t="n">
        <f aca="false">IF(CY$4=0,0,IF(COUNTIFS(実績!$W$6:$W$505,CY$3,実績!$AI$6:$AI$505,"&lt;="&amp;$A190,実績!$AJ$6:$AJ$505,"&gt;"&amp;$A190,実績!$AK$6:$AK$505,"○")&gt;0,1,0))</f>
        <v>0</v>
      </c>
      <c r="CZ190" s="39" t="n">
        <f aca="false">IF(CZ$4=0,0,IF(COUNTIFS(実績!$W$6:$W$505,CZ$3,実績!$AI$6:$AI$505,"&lt;="&amp;$A190,実績!$AJ$6:$AJ$505,"&gt;"&amp;$A190,実績!$AK$6:$AK$505,"○")&gt;0,1,0))</f>
        <v>0</v>
      </c>
      <c r="DA190" s="39" t="n">
        <f aca="false">IF(DA$4=0,0,IF(COUNTIFS(実績!$W$6:$W$505,DA$3,実績!$AI$6:$AI$505,"&lt;="&amp;$A190,実績!$AJ$6:$AJ$505,"&gt;"&amp;$A190,実績!$AK$6:$AK$505,"○")&gt;0,1,0))</f>
        <v>0</v>
      </c>
      <c r="DB190" s="39" t="n">
        <f aca="false">IF(DB$4=0,0,IF(COUNTIFS(実績!$W$6:$W$505,DB$3,実績!$AI$6:$AI$505,"&lt;="&amp;$A190,実績!$AJ$6:$AJ$505,"&gt;"&amp;$A190,実績!$AK$6:$AK$505,"○")&gt;0,1,0))</f>
        <v>0</v>
      </c>
      <c r="DC190" s="39" t="n">
        <f aca="false">IF(DC$4=0,0,IF(COUNTIFS(実績!$W$6:$W$505,DC$3,実績!$AI$6:$AI$505,"&lt;="&amp;$A190,実績!$AJ$6:$AJ$505,"&gt;"&amp;$A190,実績!$AK$6:$AK$505,"○")&gt;0,1,0))</f>
        <v>0</v>
      </c>
      <c r="DD190" s="39" t="n">
        <f aca="false">IF(DD$4=0,0,IF(COUNTIFS(実績!$W$6:$W$505,DD$3,実績!$AI$6:$AI$505,"&lt;="&amp;$A190,実績!$AJ$6:$AJ$505,"&gt;"&amp;$A190,実績!$AK$6:$AK$505,"○")&gt;0,1,0))</f>
        <v>0</v>
      </c>
      <c r="DE190" s="39" t="n">
        <f aca="false">IF(DE$4=0,0,IF(COUNTIFS(実績!$W$6:$W$505,DE$3,実績!$AI$6:$AI$505,"&lt;="&amp;$A190,実績!$AJ$6:$AJ$505,"&gt;"&amp;$A190,実績!$AK$6:$AK$505,"○")&gt;0,1,0))</f>
        <v>0</v>
      </c>
      <c r="DF190" s="39" t="n">
        <f aca="false">IF(DF$4=0,0,IF(COUNTIFS(実績!$W$6:$W$505,DF$3,実績!$AI$6:$AI$505,"&lt;="&amp;$A190,実績!$AJ$6:$AJ$505,"&gt;"&amp;$A190,実績!$AK$6:$AK$505,"○")&gt;0,1,0))</f>
        <v>0</v>
      </c>
      <c r="DG190" s="39" t="n">
        <f aca="false">IF(DG$4=0,0,IF(COUNTIFS(実績!$W$6:$W$505,DG$3,実績!$AI$6:$AI$505,"&lt;="&amp;$A190,実績!$AJ$6:$AJ$505,"&gt;"&amp;$A190,実績!$AK$6:$AK$505,"○")&gt;0,1,0))</f>
        <v>0</v>
      </c>
      <c r="DH190" s="39" t="n">
        <f aca="false">IF(DH$4=0,0,IF(COUNTIFS(実績!$W$6:$W$505,DH$3,実績!$AI$6:$AI$505,"&lt;="&amp;$A190,実績!$AJ$6:$AJ$505,"&gt;"&amp;$A190,実績!$AK$6:$AK$505,"○")&gt;0,1,0))</f>
        <v>0</v>
      </c>
      <c r="DI190" s="39" t="n">
        <f aca="false">IF(DI$4=0,0,IF(COUNTIFS(実績!$W$6:$W$505,DI$3,実績!$AI$6:$AI$505,"&lt;="&amp;$A190,実績!$AJ$6:$AJ$505,"&gt;"&amp;$A190,実績!$AK$6:$AK$505,"○")&gt;0,1,0))</f>
        <v>0</v>
      </c>
      <c r="DJ190" s="39" t="n">
        <f aca="false">IF(DJ$4=0,0,IF(COUNTIFS(実績!$W$6:$W$505,DJ$3,実績!$AI$6:$AI$505,"&lt;="&amp;$A190,実績!$AJ$6:$AJ$505,"&gt;"&amp;$A190,実績!$AK$6:$AK$505,"○")&gt;0,1,0))</f>
        <v>0</v>
      </c>
      <c r="DK190" s="39" t="n">
        <f aca="false">IF(DK$4=0,0,IF(COUNTIFS(実績!$W$6:$W$505,DK$3,実績!$AI$6:$AI$505,"&lt;="&amp;$A190,実績!$AJ$6:$AJ$505,"&gt;"&amp;$A190,実績!$AK$6:$AK$505,"○")&gt;0,1,0))</f>
        <v>0</v>
      </c>
      <c r="DL190" s="39" t="n">
        <f aca="false">IF(DL$4=0,0,IF(COUNTIFS(実績!$W$6:$W$505,DL$3,実績!$AI$6:$AI$505,"&lt;="&amp;$A190,実績!$AJ$6:$AJ$505,"&gt;"&amp;$A190,実績!$AK$6:$AK$505,"○")&gt;0,1,0))</f>
        <v>0</v>
      </c>
      <c r="DM190" s="39" t="n">
        <f aca="false">IF(DM$4=0,0,IF(COUNTIFS(実績!$W$6:$W$505,DM$3,実績!$AI$6:$AI$505,"&lt;="&amp;$A190,実績!$AJ$6:$AJ$505,"&gt;"&amp;$A190,実績!$AK$6:$AK$505,"○")&gt;0,1,0))</f>
        <v>0</v>
      </c>
      <c r="DN190" s="39" t="n">
        <f aca="false">IF(DN$4=0,0,IF(COUNTIFS(実績!$W$6:$W$505,DN$3,実績!$AI$6:$AI$505,"&lt;="&amp;$A190,実績!$AJ$6:$AJ$505,"&gt;"&amp;$A190,実績!$AK$6:$AK$505,"○")&gt;0,1,0))</f>
        <v>0</v>
      </c>
      <c r="DO190" s="39" t="n">
        <f aca="false">IF(DO$4=0,0,IF(COUNTIFS(実績!$W$6:$W$505,DO$3,実績!$AI$6:$AI$505,"&lt;="&amp;$A190,実績!$AJ$6:$AJ$505,"&gt;"&amp;$A190,実績!$AK$6:$AK$505,"○")&gt;0,1,0))</f>
        <v>0</v>
      </c>
      <c r="DP190" s="39" t="n">
        <f aca="false">IF(DP$4=0,0,IF(COUNTIFS(実績!$W$6:$W$505,DP$3,実績!$AI$6:$AI$505,"&lt;="&amp;$A190,実績!$AJ$6:$AJ$505,"&gt;"&amp;$A190,実績!$AK$6:$AK$505,"○")&gt;0,1,0))</f>
        <v>0</v>
      </c>
      <c r="DQ190" s="39" t="n">
        <f aca="false">IF(DQ$4=0,0,IF(COUNTIFS(実績!$W$6:$W$505,DQ$3,実績!$AI$6:$AI$505,"&lt;="&amp;$A190,実績!$AJ$6:$AJ$505,"&gt;"&amp;$A190,実績!$AK$6:$AK$505,"○")&gt;0,1,0))</f>
        <v>0</v>
      </c>
      <c r="DR190" s="39" t="n">
        <f aca="false">IF(DR$4=0,0,IF(COUNTIFS(実績!$W$6:$W$505,DR$3,実績!$AI$6:$AI$505,"&lt;="&amp;$A190,実績!$AJ$6:$AJ$505,"&gt;"&amp;$A190,実績!$AK$6:$AK$505,"○")&gt;0,1,0))</f>
        <v>0</v>
      </c>
      <c r="DS190" s="39" t="n">
        <f aca="false">SUM(C190:DR190)</f>
        <v>0</v>
      </c>
      <c r="DT190" s="39" t="n">
        <f aca="false">SUMPRODUCT((実績!$C$6:$C$505="○")*ISNUMBER(実績!$AM$6:$AM$505)*(実績!$AM$6:$AM$505&lt;=$A190)*(実績!$AN$6:$AN$505&gt;$A190))</f>
        <v>0</v>
      </c>
      <c r="DU190" s="39" t="n">
        <f aca="false">SUMIF($C$2:$DR$2,"製鉄曳船",C190:DR190)</f>
        <v>0</v>
      </c>
      <c r="DV190" s="39" t="n">
        <f aca="false">SUMIF($C$2:$DR$2,"西日本海運",C190:DR190)</f>
        <v>0</v>
      </c>
    </row>
    <row r="191" customFormat="false" ht="15" hidden="false" customHeight="false" outlineLevel="0" collapsed="false">
      <c r="A191" s="0" t="n">
        <v>925</v>
      </c>
      <c r="B191" s="38" t="n">
        <f aca="false">A191/1440</f>
        <v>0.642361111111111</v>
      </c>
      <c r="C191" s="39" t="n">
        <f aca="false">IF(C$4=0,0,IF(COUNTIFS(実績!$W$6:$W$505,C$3,実績!$AI$6:$AI$505,"&lt;="&amp;$A191,実績!$AJ$6:$AJ$505,"&gt;"&amp;$A191,実績!$AK$6:$AK$505,"○")&gt;0,1,0))</f>
        <v>0</v>
      </c>
      <c r="D191" s="39" t="n">
        <f aca="false">IF(D$4=0,0,IF(COUNTIFS(実績!$W$6:$W$505,D$3,実績!$AI$6:$AI$505,"&lt;="&amp;$A191,実績!$AJ$6:$AJ$505,"&gt;"&amp;$A191,実績!$AK$6:$AK$505,"○")&gt;0,1,0))</f>
        <v>0</v>
      </c>
      <c r="E191" s="39" t="n">
        <f aca="false">IF(E$4=0,0,IF(COUNTIFS(実績!$W$6:$W$505,E$3,実績!$AI$6:$AI$505,"&lt;="&amp;$A191,実績!$AJ$6:$AJ$505,"&gt;"&amp;$A191,実績!$AK$6:$AK$505,"○")&gt;0,1,0))</f>
        <v>0</v>
      </c>
      <c r="F191" s="39" t="n">
        <f aca="false">IF(F$4=0,0,IF(COUNTIFS(実績!$W$6:$W$505,F$3,実績!$AI$6:$AI$505,"&lt;="&amp;$A191,実績!$AJ$6:$AJ$505,"&gt;"&amp;$A191,実績!$AK$6:$AK$505,"○")&gt;0,1,0))</f>
        <v>0</v>
      </c>
      <c r="G191" s="39" t="n">
        <f aca="false">IF(G$4=0,0,IF(COUNTIFS(実績!$W$6:$W$505,G$3,実績!$AI$6:$AI$505,"&lt;="&amp;$A191,実績!$AJ$6:$AJ$505,"&gt;"&amp;$A191,実績!$AK$6:$AK$505,"○")&gt;0,1,0))</f>
        <v>0</v>
      </c>
      <c r="H191" s="39" t="n">
        <f aca="false">IF(H$4=0,0,IF(COUNTIFS(実績!$W$6:$W$505,H$3,実績!$AI$6:$AI$505,"&lt;="&amp;$A191,実績!$AJ$6:$AJ$505,"&gt;"&amp;$A191,実績!$AK$6:$AK$505,"○")&gt;0,1,0))</f>
        <v>0</v>
      </c>
      <c r="I191" s="39" t="n">
        <f aca="false">IF(I$4=0,0,IF(COUNTIFS(実績!$W$6:$W$505,I$3,実績!$AI$6:$AI$505,"&lt;="&amp;$A191,実績!$AJ$6:$AJ$505,"&gt;"&amp;$A191,実績!$AK$6:$AK$505,"○")&gt;0,1,0))</f>
        <v>0</v>
      </c>
      <c r="J191" s="39" t="n">
        <f aca="false">IF(J$4=0,0,IF(COUNTIFS(実績!$W$6:$W$505,J$3,実績!$AI$6:$AI$505,"&lt;="&amp;$A191,実績!$AJ$6:$AJ$505,"&gt;"&amp;$A191,実績!$AK$6:$AK$505,"○")&gt;0,1,0))</f>
        <v>0</v>
      </c>
      <c r="K191" s="39" t="n">
        <f aca="false">IF(K$4=0,0,IF(COUNTIFS(実績!$W$6:$W$505,K$3,実績!$AI$6:$AI$505,"&lt;="&amp;$A191,実績!$AJ$6:$AJ$505,"&gt;"&amp;$A191,実績!$AK$6:$AK$505,"○")&gt;0,1,0))</f>
        <v>0</v>
      </c>
      <c r="L191" s="39" t="n">
        <f aca="false">IF(L$4=0,0,IF(COUNTIFS(実績!$W$6:$W$505,L$3,実績!$AI$6:$AI$505,"&lt;="&amp;$A191,実績!$AJ$6:$AJ$505,"&gt;"&amp;$A191,実績!$AK$6:$AK$505,"○")&gt;0,1,0))</f>
        <v>0</v>
      </c>
      <c r="M191" s="39" t="n">
        <f aca="false">IF(M$4=0,0,IF(COUNTIFS(実績!$W$6:$W$505,M$3,実績!$AI$6:$AI$505,"&lt;="&amp;$A191,実績!$AJ$6:$AJ$505,"&gt;"&amp;$A191,実績!$AK$6:$AK$505,"○")&gt;0,1,0))</f>
        <v>0</v>
      </c>
      <c r="N191" s="39" t="n">
        <f aca="false">IF(N$4=0,0,IF(COUNTIFS(実績!$W$6:$W$505,N$3,実績!$AI$6:$AI$505,"&lt;="&amp;$A191,実績!$AJ$6:$AJ$505,"&gt;"&amp;$A191,実績!$AK$6:$AK$505,"○")&gt;0,1,0))</f>
        <v>0</v>
      </c>
      <c r="O191" s="39" t="n">
        <f aca="false">IF(O$4=0,0,IF(COUNTIFS(実績!$W$6:$W$505,O$3,実績!$AI$6:$AI$505,"&lt;="&amp;$A191,実績!$AJ$6:$AJ$505,"&gt;"&amp;$A191,実績!$AK$6:$AK$505,"○")&gt;0,1,0))</f>
        <v>0</v>
      </c>
      <c r="P191" s="39" t="n">
        <f aca="false">IF(P$4=0,0,IF(COUNTIFS(実績!$W$6:$W$505,P$3,実績!$AI$6:$AI$505,"&lt;="&amp;$A191,実績!$AJ$6:$AJ$505,"&gt;"&amp;$A191,実績!$AK$6:$AK$505,"○")&gt;0,1,0))</f>
        <v>0</v>
      </c>
      <c r="Q191" s="39" t="n">
        <f aca="false">IF(Q$4=0,0,IF(COUNTIFS(実績!$W$6:$W$505,Q$3,実績!$AI$6:$AI$505,"&lt;="&amp;$A191,実績!$AJ$6:$AJ$505,"&gt;"&amp;$A191,実績!$AK$6:$AK$505,"○")&gt;0,1,0))</f>
        <v>0</v>
      </c>
      <c r="R191" s="39" t="n">
        <f aca="false">IF(R$4=0,0,IF(COUNTIFS(実績!$W$6:$W$505,R$3,実績!$AI$6:$AI$505,"&lt;="&amp;$A191,実績!$AJ$6:$AJ$505,"&gt;"&amp;$A191,実績!$AK$6:$AK$505,"○")&gt;0,1,0))</f>
        <v>0</v>
      </c>
      <c r="S191" s="39" t="n">
        <f aca="false">IF(S$4=0,0,IF(COUNTIFS(実績!$W$6:$W$505,S$3,実績!$AI$6:$AI$505,"&lt;="&amp;$A191,実績!$AJ$6:$AJ$505,"&gt;"&amp;$A191,実績!$AK$6:$AK$505,"○")&gt;0,1,0))</f>
        <v>0</v>
      </c>
      <c r="T191" s="39" t="n">
        <f aca="false">IF(T$4=0,0,IF(COUNTIFS(実績!$W$6:$W$505,T$3,実績!$AI$6:$AI$505,"&lt;="&amp;$A191,実績!$AJ$6:$AJ$505,"&gt;"&amp;$A191,実績!$AK$6:$AK$505,"○")&gt;0,1,0))</f>
        <v>0</v>
      </c>
      <c r="U191" s="39" t="n">
        <f aca="false">IF(U$4=0,0,IF(COUNTIFS(実績!$W$6:$W$505,U$3,実績!$AI$6:$AI$505,"&lt;="&amp;$A191,実績!$AJ$6:$AJ$505,"&gt;"&amp;$A191,実績!$AK$6:$AK$505,"○")&gt;0,1,0))</f>
        <v>0</v>
      </c>
      <c r="V191" s="39" t="n">
        <f aca="false">IF(V$4=0,0,IF(COUNTIFS(実績!$W$6:$W$505,V$3,実績!$AI$6:$AI$505,"&lt;="&amp;$A191,実績!$AJ$6:$AJ$505,"&gt;"&amp;$A191,実績!$AK$6:$AK$505,"○")&gt;0,1,0))</f>
        <v>0</v>
      </c>
      <c r="W191" s="39" t="n">
        <f aca="false">IF(W$4=0,0,IF(COUNTIFS(実績!$W$6:$W$505,W$3,実績!$AI$6:$AI$505,"&lt;="&amp;$A191,実績!$AJ$6:$AJ$505,"&gt;"&amp;$A191,実績!$AK$6:$AK$505,"○")&gt;0,1,0))</f>
        <v>0</v>
      </c>
      <c r="X191" s="39" t="n">
        <f aca="false">IF(X$4=0,0,IF(COUNTIFS(実績!$W$6:$W$505,X$3,実績!$AI$6:$AI$505,"&lt;="&amp;$A191,実績!$AJ$6:$AJ$505,"&gt;"&amp;$A191,実績!$AK$6:$AK$505,"○")&gt;0,1,0))</f>
        <v>0</v>
      </c>
      <c r="Y191" s="39" t="n">
        <f aca="false">IF(Y$4=0,0,IF(COUNTIFS(実績!$W$6:$W$505,Y$3,実績!$AI$6:$AI$505,"&lt;="&amp;$A191,実績!$AJ$6:$AJ$505,"&gt;"&amp;$A191,実績!$AK$6:$AK$505,"○")&gt;0,1,0))</f>
        <v>0</v>
      </c>
      <c r="Z191" s="39" t="n">
        <f aca="false">IF(Z$4=0,0,IF(COUNTIFS(実績!$W$6:$W$505,Z$3,実績!$AI$6:$AI$505,"&lt;="&amp;$A191,実績!$AJ$6:$AJ$505,"&gt;"&amp;$A191,実績!$AK$6:$AK$505,"○")&gt;0,1,0))</f>
        <v>0</v>
      </c>
      <c r="AA191" s="39" t="n">
        <f aca="false">IF(AA$4=0,0,IF(COUNTIFS(実績!$W$6:$W$505,AA$3,実績!$AI$6:$AI$505,"&lt;="&amp;$A191,実績!$AJ$6:$AJ$505,"&gt;"&amp;$A191,実績!$AK$6:$AK$505,"○")&gt;0,1,0))</f>
        <v>0</v>
      </c>
      <c r="AB191" s="39" t="n">
        <f aca="false">IF(AB$4=0,0,IF(COUNTIFS(実績!$W$6:$W$505,AB$3,実績!$AI$6:$AI$505,"&lt;="&amp;$A191,実績!$AJ$6:$AJ$505,"&gt;"&amp;$A191,実績!$AK$6:$AK$505,"○")&gt;0,1,0))</f>
        <v>0</v>
      </c>
      <c r="AC191" s="39" t="n">
        <f aca="false">IF(AC$4=0,0,IF(COUNTIFS(実績!$W$6:$W$505,AC$3,実績!$AI$6:$AI$505,"&lt;="&amp;$A191,実績!$AJ$6:$AJ$505,"&gt;"&amp;$A191,実績!$AK$6:$AK$505,"○")&gt;0,1,0))</f>
        <v>0</v>
      </c>
      <c r="AD191" s="39" t="n">
        <f aca="false">IF(AD$4=0,0,IF(COUNTIFS(実績!$W$6:$W$505,AD$3,実績!$AI$6:$AI$505,"&lt;="&amp;$A191,実績!$AJ$6:$AJ$505,"&gt;"&amp;$A191,実績!$AK$6:$AK$505,"○")&gt;0,1,0))</f>
        <v>0</v>
      </c>
      <c r="AE191" s="39" t="n">
        <f aca="false">IF(AE$4=0,0,IF(COUNTIFS(実績!$W$6:$W$505,AE$3,実績!$AI$6:$AI$505,"&lt;="&amp;$A191,実績!$AJ$6:$AJ$505,"&gt;"&amp;$A191,実績!$AK$6:$AK$505,"○")&gt;0,1,0))</f>
        <v>0</v>
      </c>
      <c r="AF191" s="39" t="n">
        <f aca="false">IF(AF$4=0,0,IF(COUNTIFS(実績!$W$6:$W$505,AF$3,実績!$AI$6:$AI$505,"&lt;="&amp;$A191,実績!$AJ$6:$AJ$505,"&gt;"&amp;$A191,実績!$AK$6:$AK$505,"○")&gt;0,1,0))</f>
        <v>0</v>
      </c>
      <c r="AG191" s="39" t="n">
        <f aca="false">IF(AG$4=0,0,IF(COUNTIFS(実績!$W$6:$W$505,AG$3,実績!$AI$6:$AI$505,"&lt;="&amp;$A191,実績!$AJ$6:$AJ$505,"&gt;"&amp;$A191,実績!$AK$6:$AK$505,"○")&gt;0,1,0))</f>
        <v>0</v>
      </c>
      <c r="AH191" s="39" t="n">
        <f aca="false">IF(AH$4=0,0,IF(COUNTIFS(実績!$W$6:$W$505,AH$3,実績!$AI$6:$AI$505,"&lt;="&amp;$A191,実績!$AJ$6:$AJ$505,"&gt;"&amp;$A191,実績!$AK$6:$AK$505,"○")&gt;0,1,0))</f>
        <v>0</v>
      </c>
      <c r="AI191" s="39" t="n">
        <f aca="false">IF(AI$4=0,0,IF(COUNTIFS(実績!$W$6:$W$505,AI$3,実績!$AI$6:$AI$505,"&lt;="&amp;$A191,実績!$AJ$6:$AJ$505,"&gt;"&amp;$A191,実績!$AK$6:$AK$505,"○")&gt;0,1,0))</f>
        <v>0</v>
      </c>
      <c r="AJ191" s="39" t="n">
        <f aca="false">IF(AJ$4=0,0,IF(COUNTIFS(実績!$W$6:$W$505,AJ$3,実績!$AI$6:$AI$505,"&lt;="&amp;$A191,実績!$AJ$6:$AJ$505,"&gt;"&amp;$A191,実績!$AK$6:$AK$505,"○")&gt;0,1,0))</f>
        <v>0</v>
      </c>
      <c r="AK191" s="39" t="n">
        <f aca="false">IF(AK$4=0,0,IF(COUNTIFS(実績!$W$6:$W$505,AK$3,実績!$AI$6:$AI$505,"&lt;="&amp;$A191,実績!$AJ$6:$AJ$505,"&gt;"&amp;$A191,実績!$AK$6:$AK$505,"○")&gt;0,1,0))</f>
        <v>0</v>
      </c>
      <c r="AL191" s="39" t="n">
        <f aca="false">IF(AL$4=0,0,IF(COUNTIFS(実績!$W$6:$W$505,AL$3,実績!$AI$6:$AI$505,"&lt;="&amp;$A191,実績!$AJ$6:$AJ$505,"&gt;"&amp;$A191,実績!$AK$6:$AK$505,"○")&gt;0,1,0))</f>
        <v>0</v>
      </c>
      <c r="AM191" s="39" t="n">
        <f aca="false">IF(AM$4=0,0,IF(COUNTIFS(実績!$W$6:$W$505,AM$3,実績!$AI$6:$AI$505,"&lt;="&amp;$A191,実績!$AJ$6:$AJ$505,"&gt;"&amp;$A191,実績!$AK$6:$AK$505,"○")&gt;0,1,0))</f>
        <v>0</v>
      </c>
      <c r="AN191" s="39" t="n">
        <f aca="false">IF(AN$4=0,0,IF(COUNTIFS(実績!$W$6:$W$505,AN$3,実績!$AI$6:$AI$505,"&lt;="&amp;$A191,実績!$AJ$6:$AJ$505,"&gt;"&amp;$A191,実績!$AK$6:$AK$505,"○")&gt;0,1,0))</f>
        <v>0</v>
      </c>
      <c r="AO191" s="39" t="n">
        <f aca="false">IF(AO$4=0,0,IF(COUNTIFS(実績!$W$6:$W$505,AO$3,実績!$AI$6:$AI$505,"&lt;="&amp;$A191,実績!$AJ$6:$AJ$505,"&gt;"&amp;$A191,実績!$AK$6:$AK$505,"○")&gt;0,1,0))</f>
        <v>0</v>
      </c>
      <c r="AP191" s="39" t="n">
        <f aca="false">IF(AP$4=0,0,IF(COUNTIFS(実績!$W$6:$W$505,AP$3,実績!$AI$6:$AI$505,"&lt;="&amp;$A191,実績!$AJ$6:$AJ$505,"&gt;"&amp;$A191,実績!$AK$6:$AK$505,"○")&gt;0,1,0))</f>
        <v>0</v>
      </c>
      <c r="AQ191" s="39" t="n">
        <f aca="false">IF(AQ$4=0,0,IF(COUNTIFS(実績!$W$6:$W$505,AQ$3,実績!$AI$6:$AI$505,"&lt;="&amp;$A191,実績!$AJ$6:$AJ$505,"&gt;"&amp;$A191,実績!$AK$6:$AK$505,"○")&gt;0,1,0))</f>
        <v>0</v>
      </c>
      <c r="AR191" s="39" t="n">
        <f aca="false">IF(AR$4=0,0,IF(COUNTIFS(実績!$W$6:$W$505,AR$3,実績!$AI$6:$AI$505,"&lt;="&amp;$A191,実績!$AJ$6:$AJ$505,"&gt;"&amp;$A191,実績!$AK$6:$AK$505,"○")&gt;0,1,0))</f>
        <v>0</v>
      </c>
      <c r="AS191" s="39" t="n">
        <f aca="false">IF(AS$4=0,0,IF(COUNTIFS(実績!$W$6:$W$505,AS$3,実績!$AI$6:$AI$505,"&lt;="&amp;$A191,実績!$AJ$6:$AJ$505,"&gt;"&amp;$A191,実績!$AK$6:$AK$505,"○")&gt;0,1,0))</f>
        <v>0</v>
      </c>
      <c r="AT191" s="39" t="n">
        <f aca="false">IF(AT$4=0,0,IF(COUNTIFS(実績!$W$6:$W$505,AT$3,実績!$AI$6:$AI$505,"&lt;="&amp;$A191,実績!$AJ$6:$AJ$505,"&gt;"&amp;$A191,実績!$AK$6:$AK$505,"○")&gt;0,1,0))</f>
        <v>0</v>
      </c>
      <c r="AU191" s="39" t="n">
        <f aca="false">IF(AU$4=0,0,IF(COUNTIFS(実績!$W$6:$W$505,AU$3,実績!$AI$6:$AI$505,"&lt;="&amp;$A191,実績!$AJ$6:$AJ$505,"&gt;"&amp;$A191,実績!$AK$6:$AK$505,"○")&gt;0,1,0))</f>
        <v>0</v>
      </c>
      <c r="AV191" s="39" t="n">
        <f aca="false">IF(AV$4=0,0,IF(COUNTIFS(実績!$W$6:$W$505,AV$3,実績!$AI$6:$AI$505,"&lt;="&amp;$A191,実績!$AJ$6:$AJ$505,"&gt;"&amp;$A191,実績!$AK$6:$AK$505,"○")&gt;0,1,0))</f>
        <v>0</v>
      </c>
      <c r="AW191" s="39" t="n">
        <f aca="false">IF(AW$4=0,0,IF(COUNTIFS(実績!$W$6:$W$505,AW$3,実績!$AI$6:$AI$505,"&lt;="&amp;$A191,実績!$AJ$6:$AJ$505,"&gt;"&amp;$A191,実績!$AK$6:$AK$505,"○")&gt;0,1,0))</f>
        <v>0</v>
      </c>
      <c r="AX191" s="39" t="n">
        <f aca="false">IF(AX$4=0,0,IF(COUNTIFS(実績!$W$6:$W$505,AX$3,実績!$AI$6:$AI$505,"&lt;="&amp;$A191,実績!$AJ$6:$AJ$505,"&gt;"&amp;$A191,実績!$AK$6:$AK$505,"○")&gt;0,1,0))</f>
        <v>0</v>
      </c>
      <c r="AY191" s="39" t="n">
        <f aca="false">IF(AY$4=0,0,IF(COUNTIFS(実績!$W$6:$W$505,AY$3,実績!$AI$6:$AI$505,"&lt;="&amp;$A191,実績!$AJ$6:$AJ$505,"&gt;"&amp;$A191,実績!$AK$6:$AK$505,"○")&gt;0,1,0))</f>
        <v>0</v>
      </c>
      <c r="AZ191" s="39" t="n">
        <f aca="false">IF(AZ$4=0,0,IF(COUNTIFS(実績!$W$6:$W$505,AZ$3,実績!$AI$6:$AI$505,"&lt;="&amp;$A191,実績!$AJ$6:$AJ$505,"&gt;"&amp;$A191,実績!$AK$6:$AK$505,"○")&gt;0,1,0))</f>
        <v>0</v>
      </c>
      <c r="BA191" s="39" t="n">
        <f aca="false">IF(BA$4=0,0,IF(COUNTIFS(実績!$W$6:$W$505,BA$3,実績!$AI$6:$AI$505,"&lt;="&amp;$A191,実績!$AJ$6:$AJ$505,"&gt;"&amp;$A191,実績!$AK$6:$AK$505,"○")&gt;0,1,0))</f>
        <v>0</v>
      </c>
      <c r="BB191" s="39" t="n">
        <f aca="false">IF(BB$4=0,0,IF(COUNTIFS(実績!$W$6:$W$505,BB$3,実績!$AI$6:$AI$505,"&lt;="&amp;$A191,実績!$AJ$6:$AJ$505,"&gt;"&amp;$A191,実績!$AK$6:$AK$505,"○")&gt;0,1,0))</f>
        <v>0</v>
      </c>
      <c r="BC191" s="39" t="n">
        <f aca="false">IF(BC$4=0,0,IF(COUNTIFS(実績!$W$6:$W$505,BC$3,実績!$AI$6:$AI$505,"&lt;="&amp;$A191,実績!$AJ$6:$AJ$505,"&gt;"&amp;$A191,実績!$AK$6:$AK$505,"○")&gt;0,1,0))</f>
        <v>0</v>
      </c>
      <c r="BD191" s="39" t="n">
        <f aca="false">IF(BD$4=0,0,IF(COUNTIFS(実績!$W$6:$W$505,BD$3,実績!$AI$6:$AI$505,"&lt;="&amp;$A191,実績!$AJ$6:$AJ$505,"&gt;"&amp;$A191,実績!$AK$6:$AK$505,"○")&gt;0,1,0))</f>
        <v>0</v>
      </c>
      <c r="BE191" s="39" t="n">
        <f aca="false">IF(BE$4=0,0,IF(COUNTIFS(実績!$W$6:$W$505,BE$3,実績!$AI$6:$AI$505,"&lt;="&amp;$A191,実績!$AJ$6:$AJ$505,"&gt;"&amp;$A191,実績!$AK$6:$AK$505,"○")&gt;0,1,0))</f>
        <v>0</v>
      </c>
      <c r="BF191" s="39" t="n">
        <f aca="false">IF(BF$4=0,0,IF(COUNTIFS(実績!$W$6:$W$505,BF$3,実績!$AI$6:$AI$505,"&lt;="&amp;$A191,実績!$AJ$6:$AJ$505,"&gt;"&amp;$A191,実績!$AK$6:$AK$505,"○")&gt;0,1,0))</f>
        <v>0</v>
      </c>
      <c r="BG191" s="39" t="n">
        <f aca="false">IF(BG$4=0,0,IF(COUNTIFS(実績!$W$6:$W$505,BG$3,実績!$AI$6:$AI$505,"&lt;="&amp;$A191,実績!$AJ$6:$AJ$505,"&gt;"&amp;$A191,実績!$AK$6:$AK$505,"○")&gt;0,1,0))</f>
        <v>0</v>
      </c>
      <c r="BH191" s="39" t="n">
        <f aca="false">IF(BH$4=0,0,IF(COUNTIFS(実績!$W$6:$W$505,BH$3,実績!$AI$6:$AI$505,"&lt;="&amp;$A191,実績!$AJ$6:$AJ$505,"&gt;"&amp;$A191,実績!$AK$6:$AK$505,"○")&gt;0,1,0))</f>
        <v>0</v>
      </c>
      <c r="BI191" s="39" t="n">
        <f aca="false">IF(BI$4=0,0,IF(COUNTIFS(実績!$W$6:$W$505,BI$3,実績!$AI$6:$AI$505,"&lt;="&amp;$A191,実績!$AJ$6:$AJ$505,"&gt;"&amp;$A191,実績!$AK$6:$AK$505,"○")&gt;0,1,0))</f>
        <v>0</v>
      </c>
      <c r="BJ191" s="39" t="n">
        <f aca="false">IF(BJ$4=0,0,IF(COUNTIFS(実績!$W$6:$W$505,BJ$3,実績!$AI$6:$AI$505,"&lt;="&amp;$A191,実績!$AJ$6:$AJ$505,"&gt;"&amp;$A191,実績!$AK$6:$AK$505,"○")&gt;0,1,0))</f>
        <v>0</v>
      </c>
      <c r="BK191" s="39" t="n">
        <f aca="false">IF(BK$4=0,0,IF(COUNTIFS(実績!$W$6:$W$505,BK$3,実績!$AI$6:$AI$505,"&lt;="&amp;$A191,実績!$AJ$6:$AJ$505,"&gt;"&amp;$A191,実績!$AK$6:$AK$505,"○")&gt;0,1,0))</f>
        <v>0</v>
      </c>
      <c r="BL191" s="39" t="n">
        <f aca="false">IF(BL$4=0,0,IF(COUNTIFS(実績!$W$6:$W$505,BL$3,実績!$AI$6:$AI$505,"&lt;="&amp;$A191,実績!$AJ$6:$AJ$505,"&gt;"&amp;$A191,実績!$AK$6:$AK$505,"○")&gt;0,1,0))</f>
        <v>0</v>
      </c>
      <c r="BM191" s="39" t="n">
        <f aca="false">IF(BM$4=0,0,IF(COUNTIFS(実績!$W$6:$W$505,BM$3,実績!$AI$6:$AI$505,"&lt;="&amp;$A191,実績!$AJ$6:$AJ$505,"&gt;"&amp;$A191,実績!$AK$6:$AK$505,"○")&gt;0,1,0))</f>
        <v>0</v>
      </c>
      <c r="BN191" s="39" t="n">
        <f aca="false">IF(BN$4=0,0,IF(COUNTIFS(実績!$W$6:$W$505,BN$3,実績!$AI$6:$AI$505,"&lt;="&amp;$A191,実績!$AJ$6:$AJ$505,"&gt;"&amp;$A191,実績!$AK$6:$AK$505,"○")&gt;0,1,0))</f>
        <v>0</v>
      </c>
      <c r="BO191" s="39" t="n">
        <f aca="false">IF(BO$4=0,0,IF(COUNTIFS(実績!$W$6:$W$505,BO$3,実績!$AI$6:$AI$505,"&lt;="&amp;$A191,実績!$AJ$6:$AJ$505,"&gt;"&amp;$A191,実績!$AK$6:$AK$505,"○")&gt;0,1,0))</f>
        <v>0</v>
      </c>
      <c r="BP191" s="39" t="n">
        <f aca="false">IF(BP$4=0,0,IF(COUNTIFS(実績!$W$6:$W$505,BP$3,実績!$AI$6:$AI$505,"&lt;="&amp;$A191,実績!$AJ$6:$AJ$505,"&gt;"&amp;$A191,実績!$AK$6:$AK$505,"○")&gt;0,1,0))</f>
        <v>0</v>
      </c>
      <c r="BQ191" s="39" t="n">
        <f aca="false">IF(BQ$4=0,0,IF(COUNTIFS(実績!$W$6:$W$505,BQ$3,実績!$AI$6:$AI$505,"&lt;="&amp;$A191,実績!$AJ$6:$AJ$505,"&gt;"&amp;$A191,実績!$AK$6:$AK$505,"○")&gt;0,1,0))</f>
        <v>0</v>
      </c>
      <c r="BR191" s="39" t="n">
        <f aca="false">IF(BR$4=0,0,IF(COUNTIFS(実績!$W$6:$W$505,BR$3,実績!$AI$6:$AI$505,"&lt;="&amp;$A191,実績!$AJ$6:$AJ$505,"&gt;"&amp;$A191,実績!$AK$6:$AK$505,"○")&gt;0,1,0))</f>
        <v>0</v>
      </c>
      <c r="BS191" s="39" t="n">
        <f aca="false">IF(BS$4=0,0,IF(COUNTIFS(実績!$W$6:$W$505,BS$3,実績!$AI$6:$AI$505,"&lt;="&amp;$A191,実績!$AJ$6:$AJ$505,"&gt;"&amp;$A191,実績!$AK$6:$AK$505,"○")&gt;0,1,0))</f>
        <v>0</v>
      </c>
      <c r="BT191" s="39" t="n">
        <f aca="false">IF(BT$4=0,0,IF(COUNTIFS(実績!$W$6:$W$505,BT$3,実績!$AI$6:$AI$505,"&lt;="&amp;$A191,実績!$AJ$6:$AJ$505,"&gt;"&amp;$A191,実績!$AK$6:$AK$505,"○")&gt;0,1,0))</f>
        <v>0</v>
      </c>
      <c r="BU191" s="39" t="n">
        <f aca="false">IF(BU$4=0,0,IF(COUNTIFS(実績!$W$6:$W$505,BU$3,実績!$AI$6:$AI$505,"&lt;="&amp;$A191,実績!$AJ$6:$AJ$505,"&gt;"&amp;$A191,実績!$AK$6:$AK$505,"○")&gt;0,1,0))</f>
        <v>0</v>
      </c>
      <c r="BV191" s="39" t="n">
        <f aca="false">IF(BV$4=0,0,IF(COUNTIFS(実績!$W$6:$W$505,BV$3,実績!$AI$6:$AI$505,"&lt;="&amp;$A191,実績!$AJ$6:$AJ$505,"&gt;"&amp;$A191,実績!$AK$6:$AK$505,"○")&gt;0,1,0))</f>
        <v>0</v>
      </c>
      <c r="BW191" s="39" t="n">
        <f aca="false">IF(BW$4=0,0,IF(COUNTIFS(実績!$W$6:$W$505,BW$3,実績!$AI$6:$AI$505,"&lt;="&amp;$A191,実績!$AJ$6:$AJ$505,"&gt;"&amp;$A191,実績!$AK$6:$AK$505,"○")&gt;0,1,0))</f>
        <v>0</v>
      </c>
      <c r="BX191" s="39" t="n">
        <f aca="false">IF(BX$4=0,0,IF(COUNTIFS(実績!$W$6:$W$505,BX$3,実績!$AI$6:$AI$505,"&lt;="&amp;$A191,実績!$AJ$6:$AJ$505,"&gt;"&amp;$A191,実績!$AK$6:$AK$505,"○")&gt;0,1,0))</f>
        <v>0</v>
      </c>
      <c r="BY191" s="39" t="n">
        <f aca="false">IF(BY$4=0,0,IF(COUNTIFS(実績!$W$6:$W$505,BY$3,実績!$AI$6:$AI$505,"&lt;="&amp;$A191,実績!$AJ$6:$AJ$505,"&gt;"&amp;$A191,実績!$AK$6:$AK$505,"○")&gt;0,1,0))</f>
        <v>0</v>
      </c>
      <c r="BZ191" s="39" t="n">
        <f aca="false">IF(BZ$4=0,0,IF(COUNTIFS(実績!$W$6:$W$505,BZ$3,実績!$AI$6:$AI$505,"&lt;="&amp;$A191,実績!$AJ$6:$AJ$505,"&gt;"&amp;$A191,実績!$AK$6:$AK$505,"○")&gt;0,1,0))</f>
        <v>0</v>
      </c>
      <c r="CA191" s="39" t="n">
        <f aca="false">IF(CA$4=0,0,IF(COUNTIFS(実績!$W$6:$W$505,CA$3,実績!$AI$6:$AI$505,"&lt;="&amp;$A191,実績!$AJ$6:$AJ$505,"&gt;"&amp;$A191,実績!$AK$6:$AK$505,"○")&gt;0,1,0))</f>
        <v>0</v>
      </c>
      <c r="CB191" s="39" t="n">
        <f aca="false">IF(CB$4=0,0,IF(COUNTIFS(実績!$W$6:$W$505,CB$3,実績!$AI$6:$AI$505,"&lt;="&amp;$A191,実績!$AJ$6:$AJ$505,"&gt;"&amp;$A191,実績!$AK$6:$AK$505,"○")&gt;0,1,0))</f>
        <v>0</v>
      </c>
      <c r="CC191" s="39" t="n">
        <f aca="false">IF(CC$4=0,0,IF(COUNTIFS(実績!$W$6:$W$505,CC$3,実績!$AI$6:$AI$505,"&lt;="&amp;$A191,実績!$AJ$6:$AJ$505,"&gt;"&amp;$A191,実績!$AK$6:$AK$505,"○")&gt;0,1,0))</f>
        <v>0</v>
      </c>
      <c r="CD191" s="39" t="n">
        <f aca="false">IF(CD$4=0,0,IF(COUNTIFS(実績!$W$6:$W$505,CD$3,実績!$AI$6:$AI$505,"&lt;="&amp;$A191,実績!$AJ$6:$AJ$505,"&gt;"&amp;$A191,実績!$AK$6:$AK$505,"○")&gt;0,1,0))</f>
        <v>0</v>
      </c>
      <c r="CE191" s="39" t="n">
        <f aca="false">IF(CE$4=0,0,IF(COUNTIFS(実績!$W$6:$W$505,CE$3,実績!$AI$6:$AI$505,"&lt;="&amp;$A191,実績!$AJ$6:$AJ$505,"&gt;"&amp;$A191,実績!$AK$6:$AK$505,"○")&gt;0,1,0))</f>
        <v>0</v>
      </c>
      <c r="CF191" s="39" t="n">
        <f aca="false">IF(CF$4=0,0,IF(COUNTIFS(実績!$W$6:$W$505,CF$3,実績!$AI$6:$AI$505,"&lt;="&amp;$A191,実績!$AJ$6:$AJ$505,"&gt;"&amp;$A191,実績!$AK$6:$AK$505,"○")&gt;0,1,0))</f>
        <v>0</v>
      </c>
      <c r="CG191" s="39" t="n">
        <f aca="false">IF(CG$4=0,0,IF(COUNTIFS(実績!$W$6:$W$505,CG$3,実績!$AI$6:$AI$505,"&lt;="&amp;$A191,実績!$AJ$6:$AJ$505,"&gt;"&amp;$A191,実績!$AK$6:$AK$505,"○")&gt;0,1,0))</f>
        <v>0</v>
      </c>
      <c r="CH191" s="39" t="n">
        <f aca="false">IF(CH$4=0,0,IF(COUNTIFS(実績!$W$6:$W$505,CH$3,実績!$AI$6:$AI$505,"&lt;="&amp;$A191,実績!$AJ$6:$AJ$505,"&gt;"&amp;$A191,実績!$AK$6:$AK$505,"○")&gt;0,1,0))</f>
        <v>0</v>
      </c>
      <c r="CI191" s="39" t="n">
        <f aca="false">IF(CI$4=0,0,IF(COUNTIFS(実績!$W$6:$W$505,CI$3,実績!$AI$6:$AI$505,"&lt;="&amp;$A191,実績!$AJ$6:$AJ$505,"&gt;"&amp;$A191,実績!$AK$6:$AK$505,"○")&gt;0,1,0))</f>
        <v>0</v>
      </c>
      <c r="CJ191" s="39" t="n">
        <f aca="false">IF(CJ$4=0,0,IF(COUNTIFS(実績!$W$6:$W$505,CJ$3,実績!$AI$6:$AI$505,"&lt;="&amp;$A191,実績!$AJ$6:$AJ$505,"&gt;"&amp;$A191,実績!$AK$6:$AK$505,"○")&gt;0,1,0))</f>
        <v>0</v>
      </c>
      <c r="CK191" s="39" t="n">
        <f aca="false">IF(CK$4=0,0,IF(COUNTIFS(実績!$W$6:$W$505,CK$3,実績!$AI$6:$AI$505,"&lt;="&amp;$A191,実績!$AJ$6:$AJ$505,"&gt;"&amp;$A191,実績!$AK$6:$AK$505,"○")&gt;0,1,0))</f>
        <v>0</v>
      </c>
      <c r="CL191" s="39" t="n">
        <f aca="false">IF(CL$4=0,0,IF(COUNTIFS(実績!$W$6:$W$505,CL$3,実績!$AI$6:$AI$505,"&lt;="&amp;$A191,実績!$AJ$6:$AJ$505,"&gt;"&amp;$A191,実績!$AK$6:$AK$505,"○")&gt;0,1,0))</f>
        <v>0</v>
      </c>
      <c r="CM191" s="39" t="n">
        <f aca="false">IF(CM$4=0,0,IF(COUNTIFS(実績!$W$6:$W$505,CM$3,実績!$AI$6:$AI$505,"&lt;="&amp;$A191,実績!$AJ$6:$AJ$505,"&gt;"&amp;$A191,実績!$AK$6:$AK$505,"○")&gt;0,1,0))</f>
        <v>0</v>
      </c>
      <c r="CN191" s="39" t="n">
        <f aca="false">IF(CN$4=0,0,IF(COUNTIFS(実績!$W$6:$W$505,CN$3,実績!$AI$6:$AI$505,"&lt;="&amp;$A191,実績!$AJ$6:$AJ$505,"&gt;"&amp;$A191,実績!$AK$6:$AK$505,"○")&gt;0,1,0))</f>
        <v>0</v>
      </c>
      <c r="CO191" s="39" t="n">
        <f aca="false">IF(CO$4=0,0,IF(COUNTIFS(実績!$W$6:$W$505,CO$3,実績!$AI$6:$AI$505,"&lt;="&amp;$A191,実績!$AJ$6:$AJ$505,"&gt;"&amp;$A191,実績!$AK$6:$AK$505,"○")&gt;0,1,0))</f>
        <v>0</v>
      </c>
      <c r="CP191" s="39" t="n">
        <f aca="false">IF(CP$4=0,0,IF(COUNTIFS(実績!$W$6:$W$505,CP$3,実績!$AI$6:$AI$505,"&lt;="&amp;$A191,実績!$AJ$6:$AJ$505,"&gt;"&amp;$A191,実績!$AK$6:$AK$505,"○")&gt;0,1,0))</f>
        <v>0</v>
      </c>
      <c r="CQ191" s="39" t="n">
        <f aca="false">IF(CQ$4=0,0,IF(COUNTIFS(実績!$W$6:$W$505,CQ$3,実績!$AI$6:$AI$505,"&lt;="&amp;$A191,実績!$AJ$6:$AJ$505,"&gt;"&amp;$A191,実績!$AK$6:$AK$505,"○")&gt;0,1,0))</f>
        <v>0</v>
      </c>
      <c r="CR191" s="39" t="n">
        <f aca="false">IF(CR$4=0,0,IF(COUNTIFS(実績!$W$6:$W$505,CR$3,実績!$AI$6:$AI$505,"&lt;="&amp;$A191,実績!$AJ$6:$AJ$505,"&gt;"&amp;$A191,実績!$AK$6:$AK$505,"○")&gt;0,1,0))</f>
        <v>0</v>
      </c>
      <c r="CS191" s="39" t="n">
        <f aca="false">IF(CS$4=0,0,IF(COUNTIFS(実績!$W$6:$W$505,CS$3,実績!$AI$6:$AI$505,"&lt;="&amp;$A191,実績!$AJ$6:$AJ$505,"&gt;"&amp;$A191,実績!$AK$6:$AK$505,"○")&gt;0,1,0))</f>
        <v>0</v>
      </c>
      <c r="CT191" s="39" t="n">
        <f aca="false">IF(CT$4=0,0,IF(COUNTIFS(実績!$W$6:$W$505,CT$3,実績!$AI$6:$AI$505,"&lt;="&amp;$A191,実績!$AJ$6:$AJ$505,"&gt;"&amp;$A191,実績!$AK$6:$AK$505,"○")&gt;0,1,0))</f>
        <v>0</v>
      </c>
      <c r="CU191" s="39" t="n">
        <f aca="false">IF(CU$4=0,0,IF(COUNTIFS(実績!$W$6:$W$505,CU$3,実績!$AI$6:$AI$505,"&lt;="&amp;$A191,実績!$AJ$6:$AJ$505,"&gt;"&amp;$A191,実績!$AK$6:$AK$505,"○")&gt;0,1,0))</f>
        <v>0</v>
      </c>
      <c r="CV191" s="39" t="n">
        <f aca="false">IF(CV$4=0,0,IF(COUNTIFS(実績!$W$6:$W$505,CV$3,実績!$AI$6:$AI$505,"&lt;="&amp;$A191,実績!$AJ$6:$AJ$505,"&gt;"&amp;$A191,実績!$AK$6:$AK$505,"○")&gt;0,1,0))</f>
        <v>0</v>
      </c>
      <c r="CW191" s="39" t="n">
        <f aca="false">IF(CW$4=0,0,IF(COUNTIFS(実績!$W$6:$W$505,CW$3,実績!$AI$6:$AI$505,"&lt;="&amp;$A191,実績!$AJ$6:$AJ$505,"&gt;"&amp;$A191,実績!$AK$6:$AK$505,"○")&gt;0,1,0))</f>
        <v>0</v>
      </c>
      <c r="CX191" s="39" t="n">
        <f aca="false">IF(CX$4=0,0,IF(COUNTIFS(実績!$W$6:$W$505,CX$3,実績!$AI$6:$AI$505,"&lt;="&amp;$A191,実績!$AJ$6:$AJ$505,"&gt;"&amp;$A191,実績!$AK$6:$AK$505,"○")&gt;0,1,0))</f>
        <v>0</v>
      </c>
      <c r="CY191" s="39" t="n">
        <f aca="false">IF(CY$4=0,0,IF(COUNTIFS(実績!$W$6:$W$505,CY$3,実績!$AI$6:$AI$505,"&lt;="&amp;$A191,実績!$AJ$6:$AJ$505,"&gt;"&amp;$A191,実績!$AK$6:$AK$505,"○")&gt;0,1,0))</f>
        <v>0</v>
      </c>
      <c r="CZ191" s="39" t="n">
        <f aca="false">IF(CZ$4=0,0,IF(COUNTIFS(実績!$W$6:$W$505,CZ$3,実績!$AI$6:$AI$505,"&lt;="&amp;$A191,実績!$AJ$6:$AJ$505,"&gt;"&amp;$A191,実績!$AK$6:$AK$505,"○")&gt;0,1,0))</f>
        <v>0</v>
      </c>
      <c r="DA191" s="39" t="n">
        <f aca="false">IF(DA$4=0,0,IF(COUNTIFS(実績!$W$6:$W$505,DA$3,実績!$AI$6:$AI$505,"&lt;="&amp;$A191,実績!$AJ$6:$AJ$505,"&gt;"&amp;$A191,実績!$AK$6:$AK$505,"○")&gt;0,1,0))</f>
        <v>0</v>
      </c>
      <c r="DB191" s="39" t="n">
        <f aca="false">IF(DB$4=0,0,IF(COUNTIFS(実績!$W$6:$W$505,DB$3,実績!$AI$6:$AI$505,"&lt;="&amp;$A191,実績!$AJ$6:$AJ$505,"&gt;"&amp;$A191,実績!$AK$6:$AK$505,"○")&gt;0,1,0))</f>
        <v>0</v>
      </c>
      <c r="DC191" s="39" t="n">
        <f aca="false">IF(DC$4=0,0,IF(COUNTIFS(実績!$W$6:$W$505,DC$3,実績!$AI$6:$AI$505,"&lt;="&amp;$A191,実績!$AJ$6:$AJ$505,"&gt;"&amp;$A191,実績!$AK$6:$AK$505,"○")&gt;0,1,0))</f>
        <v>0</v>
      </c>
      <c r="DD191" s="39" t="n">
        <f aca="false">IF(DD$4=0,0,IF(COUNTIFS(実績!$W$6:$W$505,DD$3,実績!$AI$6:$AI$505,"&lt;="&amp;$A191,実績!$AJ$6:$AJ$505,"&gt;"&amp;$A191,実績!$AK$6:$AK$505,"○")&gt;0,1,0))</f>
        <v>0</v>
      </c>
      <c r="DE191" s="39" t="n">
        <f aca="false">IF(DE$4=0,0,IF(COUNTIFS(実績!$W$6:$W$505,DE$3,実績!$AI$6:$AI$505,"&lt;="&amp;$A191,実績!$AJ$6:$AJ$505,"&gt;"&amp;$A191,実績!$AK$6:$AK$505,"○")&gt;0,1,0))</f>
        <v>0</v>
      </c>
      <c r="DF191" s="39" t="n">
        <f aca="false">IF(DF$4=0,0,IF(COUNTIFS(実績!$W$6:$W$505,DF$3,実績!$AI$6:$AI$505,"&lt;="&amp;$A191,実績!$AJ$6:$AJ$505,"&gt;"&amp;$A191,実績!$AK$6:$AK$505,"○")&gt;0,1,0))</f>
        <v>0</v>
      </c>
      <c r="DG191" s="39" t="n">
        <f aca="false">IF(DG$4=0,0,IF(COUNTIFS(実績!$W$6:$W$505,DG$3,実績!$AI$6:$AI$505,"&lt;="&amp;$A191,実績!$AJ$6:$AJ$505,"&gt;"&amp;$A191,実績!$AK$6:$AK$505,"○")&gt;0,1,0))</f>
        <v>0</v>
      </c>
      <c r="DH191" s="39" t="n">
        <f aca="false">IF(DH$4=0,0,IF(COUNTIFS(実績!$W$6:$W$505,DH$3,実績!$AI$6:$AI$505,"&lt;="&amp;$A191,実績!$AJ$6:$AJ$505,"&gt;"&amp;$A191,実績!$AK$6:$AK$505,"○")&gt;0,1,0))</f>
        <v>0</v>
      </c>
      <c r="DI191" s="39" t="n">
        <f aca="false">IF(DI$4=0,0,IF(COUNTIFS(実績!$W$6:$W$505,DI$3,実績!$AI$6:$AI$505,"&lt;="&amp;$A191,実績!$AJ$6:$AJ$505,"&gt;"&amp;$A191,実績!$AK$6:$AK$505,"○")&gt;0,1,0))</f>
        <v>0</v>
      </c>
      <c r="DJ191" s="39" t="n">
        <f aca="false">IF(DJ$4=0,0,IF(COUNTIFS(実績!$W$6:$W$505,DJ$3,実績!$AI$6:$AI$505,"&lt;="&amp;$A191,実績!$AJ$6:$AJ$505,"&gt;"&amp;$A191,実績!$AK$6:$AK$505,"○")&gt;0,1,0))</f>
        <v>0</v>
      </c>
      <c r="DK191" s="39" t="n">
        <f aca="false">IF(DK$4=0,0,IF(COUNTIFS(実績!$W$6:$W$505,DK$3,実績!$AI$6:$AI$505,"&lt;="&amp;$A191,実績!$AJ$6:$AJ$505,"&gt;"&amp;$A191,実績!$AK$6:$AK$505,"○")&gt;0,1,0))</f>
        <v>0</v>
      </c>
      <c r="DL191" s="39" t="n">
        <f aca="false">IF(DL$4=0,0,IF(COUNTIFS(実績!$W$6:$W$505,DL$3,実績!$AI$6:$AI$505,"&lt;="&amp;$A191,実績!$AJ$6:$AJ$505,"&gt;"&amp;$A191,実績!$AK$6:$AK$505,"○")&gt;0,1,0))</f>
        <v>0</v>
      </c>
      <c r="DM191" s="39" t="n">
        <f aca="false">IF(DM$4=0,0,IF(COUNTIFS(実績!$W$6:$W$505,DM$3,実績!$AI$6:$AI$505,"&lt;="&amp;$A191,実績!$AJ$6:$AJ$505,"&gt;"&amp;$A191,実績!$AK$6:$AK$505,"○")&gt;0,1,0))</f>
        <v>0</v>
      </c>
      <c r="DN191" s="39" t="n">
        <f aca="false">IF(DN$4=0,0,IF(COUNTIFS(実績!$W$6:$W$505,DN$3,実績!$AI$6:$AI$505,"&lt;="&amp;$A191,実績!$AJ$6:$AJ$505,"&gt;"&amp;$A191,実績!$AK$6:$AK$505,"○")&gt;0,1,0))</f>
        <v>0</v>
      </c>
      <c r="DO191" s="39" t="n">
        <f aca="false">IF(DO$4=0,0,IF(COUNTIFS(実績!$W$6:$W$505,DO$3,実績!$AI$6:$AI$505,"&lt;="&amp;$A191,実績!$AJ$6:$AJ$505,"&gt;"&amp;$A191,実績!$AK$6:$AK$505,"○")&gt;0,1,0))</f>
        <v>0</v>
      </c>
      <c r="DP191" s="39" t="n">
        <f aca="false">IF(DP$4=0,0,IF(COUNTIFS(実績!$W$6:$W$505,DP$3,実績!$AI$6:$AI$505,"&lt;="&amp;$A191,実績!$AJ$6:$AJ$505,"&gt;"&amp;$A191,実績!$AK$6:$AK$505,"○")&gt;0,1,0))</f>
        <v>0</v>
      </c>
      <c r="DQ191" s="39" t="n">
        <f aca="false">IF(DQ$4=0,0,IF(COUNTIFS(実績!$W$6:$W$505,DQ$3,実績!$AI$6:$AI$505,"&lt;="&amp;$A191,実績!$AJ$6:$AJ$505,"&gt;"&amp;$A191,実績!$AK$6:$AK$505,"○")&gt;0,1,0))</f>
        <v>0</v>
      </c>
      <c r="DR191" s="39" t="n">
        <f aca="false">IF(DR$4=0,0,IF(COUNTIFS(実績!$W$6:$W$505,DR$3,実績!$AI$6:$AI$505,"&lt;="&amp;$A191,実績!$AJ$6:$AJ$505,"&gt;"&amp;$A191,実績!$AK$6:$AK$505,"○")&gt;0,1,0))</f>
        <v>0</v>
      </c>
      <c r="DS191" s="39" t="n">
        <f aca="false">SUM(C191:DR191)</f>
        <v>0</v>
      </c>
      <c r="DT191" s="39" t="n">
        <f aca="false">SUMPRODUCT((実績!$C$6:$C$505="○")*ISNUMBER(実績!$AM$6:$AM$505)*(実績!$AM$6:$AM$505&lt;=$A191)*(実績!$AN$6:$AN$505&gt;$A191))</f>
        <v>0</v>
      </c>
      <c r="DU191" s="39" t="n">
        <f aca="false">SUMIF($C$2:$DR$2,"製鉄曳船",C191:DR191)</f>
        <v>0</v>
      </c>
      <c r="DV191" s="39" t="n">
        <f aca="false">SUMIF($C$2:$DR$2,"西日本海運",C191:DR191)</f>
        <v>0</v>
      </c>
    </row>
    <row r="192" customFormat="false" ht="15" hidden="false" customHeight="false" outlineLevel="0" collapsed="false">
      <c r="A192" s="0" t="n">
        <v>930</v>
      </c>
      <c r="B192" s="38" t="n">
        <f aca="false">A192/1440</f>
        <v>0.645833333333333</v>
      </c>
      <c r="C192" s="39" t="n">
        <f aca="false">IF(C$4=0,0,IF(COUNTIFS(実績!$W$6:$W$505,C$3,実績!$AI$6:$AI$505,"&lt;="&amp;$A192,実績!$AJ$6:$AJ$505,"&gt;"&amp;$A192,実績!$AK$6:$AK$505,"○")&gt;0,1,0))</f>
        <v>0</v>
      </c>
      <c r="D192" s="39" t="n">
        <f aca="false">IF(D$4=0,0,IF(COUNTIFS(実績!$W$6:$W$505,D$3,実績!$AI$6:$AI$505,"&lt;="&amp;$A192,実績!$AJ$6:$AJ$505,"&gt;"&amp;$A192,実績!$AK$6:$AK$505,"○")&gt;0,1,0))</f>
        <v>0</v>
      </c>
      <c r="E192" s="39" t="n">
        <f aca="false">IF(E$4=0,0,IF(COUNTIFS(実績!$W$6:$W$505,E$3,実績!$AI$6:$AI$505,"&lt;="&amp;$A192,実績!$AJ$6:$AJ$505,"&gt;"&amp;$A192,実績!$AK$6:$AK$505,"○")&gt;0,1,0))</f>
        <v>0</v>
      </c>
      <c r="F192" s="39" t="n">
        <f aca="false">IF(F$4=0,0,IF(COUNTIFS(実績!$W$6:$W$505,F$3,実績!$AI$6:$AI$505,"&lt;="&amp;$A192,実績!$AJ$6:$AJ$505,"&gt;"&amp;$A192,実績!$AK$6:$AK$505,"○")&gt;0,1,0))</f>
        <v>0</v>
      </c>
      <c r="G192" s="39" t="n">
        <f aca="false">IF(G$4=0,0,IF(COUNTIFS(実績!$W$6:$W$505,G$3,実績!$AI$6:$AI$505,"&lt;="&amp;$A192,実績!$AJ$6:$AJ$505,"&gt;"&amp;$A192,実績!$AK$6:$AK$505,"○")&gt;0,1,0))</f>
        <v>0</v>
      </c>
      <c r="H192" s="39" t="n">
        <f aca="false">IF(H$4=0,0,IF(COUNTIFS(実績!$W$6:$W$505,H$3,実績!$AI$6:$AI$505,"&lt;="&amp;$A192,実績!$AJ$6:$AJ$505,"&gt;"&amp;$A192,実績!$AK$6:$AK$505,"○")&gt;0,1,0))</f>
        <v>0</v>
      </c>
      <c r="I192" s="39" t="n">
        <f aca="false">IF(I$4=0,0,IF(COUNTIFS(実績!$W$6:$W$505,I$3,実績!$AI$6:$AI$505,"&lt;="&amp;$A192,実績!$AJ$6:$AJ$505,"&gt;"&amp;$A192,実績!$AK$6:$AK$505,"○")&gt;0,1,0))</f>
        <v>0</v>
      </c>
      <c r="J192" s="39" t="n">
        <f aca="false">IF(J$4=0,0,IF(COUNTIFS(実績!$W$6:$W$505,J$3,実績!$AI$6:$AI$505,"&lt;="&amp;$A192,実績!$AJ$6:$AJ$505,"&gt;"&amp;$A192,実績!$AK$6:$AK$505,"○")&gt;0,1,0))</f>
        <v>0</v>
      </c>
      <c r="K192" s="39" t="n">
        <f aca="false">IF(K$4=0,0,IF(COUNTIFS(実績!$W$6:$W$505,K$3,実績!$AI$6:$AI$505,"&lt;="&amp;$A192,実績!$AJ$6:$AJ$505,"&gt;"&amp;$A192,実績!$AK$6:$AK$505,"○")&gt;0,1,0))</f>
        <v>0</v>
      </c>
      <c r="L192" s="39" t="n">
        <f aca="false">IF(L$4=0,0,IF(COUNTIFS(実績!$W$6:$W$505,L$3,実績!$AI$6:$AI$505,"&lt;="&amp;$A192,実績!$AJ$6:$AJ$505,"&gt;"&amp;$A192,実績!$AK$6:$AK$505,"○")&gt;0,1,0))</f>
        <v>0</v>
      </c>
      <c r="M192" s="39" t="n">
        <f aca="false">IF(M$4=0,0,IF(COUNTIFS(実績!$W$6:$W$505,M$3,実績!$AI$6:$AI$505,"&lt;="&amp;$A192,実績!$AJ$6:$AJ$505,"&gt;"&amp;$A192,実績!$AK$6:$AK$505,"○")&gt;0,1,0))</f>
        <v>0</v>
      </c>
      <c r="N192" s="39" t="n">
        <f aca="false">IF(N$4=0,0,IF(COUNTIFS(実績!$W$6:$W$505,N$3,実績!$AI$6:$AI$505,"&lt;="&amp;$A192,実績!$AJ$6:$AJ$505,"&gt;"&amp;$A192,実績!$AK$6:$AK$505,"○")&gt;0,1,0))</f>
        <v>0</v>
      </c>
      <c r="O192" s="39" t="n">
        <f aca="false">IF(O$4=0,0,IF(COUNTIFS(実績!$W$6:$W$505,O$3,実績!$AI$6:$AI$505,"&lt;="&amp;$A192,実績!$AJ$6:$AJ$505,"&gt;"&amp;$A192,実績!$AK$6:$AK$505,"○")&gt;0,1,0))</f>
        <v>0</v>
      </c>
      <c r="P192" s="39" t="n">
        <f aca="false">IF(P$4=0,0,IF(COUNTIFS(実績!$W$6:$W$505,P$3,実績!$AI$6:$AI$505,"&lt;="&amp;$A192,実績!$AJ$6:$AJ$505,"&gt;"&amp;$A192,実績!$AK$6:$AK$505,"○")&gt;0,1,0))</f>
        <v>0</v>
      </c>
      <c r="Q192" s="39" t="n">
        <f aca="false">IF(Q$4=0,0,IF(COUNTIFS(実績!$W$6:$W$505,Q$3,実績!$AI$6:$AI$505,"&lt;="&amp;$A192,実績!$AJ$6:$AJ$505,"&gt;"&amp;$A192,実績!$AK$6:$AK$505,"○")&gt;0,1,0))</f>
        <v>0</v>
      </c>
      <c r="R192" s="39" t="n">
        <f aca="false">IF(R$4=0,0,IF(COUNTIFS(実績!$W$6:$W$505,R$3,実績!$AI$6:$AI$505,"&lt;="&amp;$A192,実績!$AJ$6:$AJ$505,"&gt;"&amp;$A192,実績!$AK$6:$AK$505,"○")&gt;0,1,0))</f>
        <v>0</v>
      </c>
      <c r="S192" s="39" t="n">
        <f aca="false">IF(S$4=0,0,IF(COUNTIFS(実績!$W$6:$W$505,S$3,実績!$AI$6:$AI$505,"&lt;="&amp;$A192,実績!$AJ$6:$AJ$505,"&gt;"&amp;$A192,実績!$AK$6:$AK$505,"○")&gt;0,1,0))</f>
        <v>0</v>
      </c>
      <c r="T192" s="39" t="n">
        <f aca="false">IF(T$4=0,0,IF(COUNTIFS(実績!$W$6:$W$505,T$3,実績!$AI$6:$AI$505,"&lt;="&amp;$A192,実績!$AJ$6:$AJ$505,"&gt;"&amp;$A192,実績!$AK$6:$AK$505,"○")&gt;0,1,0))</f>
        <v>0</v>
      </c>
      <c r="U192" s="39" t="n">
        <f aca="false">IF(U$4=0,0,IF(COUNTIFS(実績!$W$6:$W$505,U$3,実績!$AI$6:$AI$505,"&lt;="&amp;$A192,実績!$AJ$6:$AJ$505,"&gt;"&amp;$A192,実績!$AK$6:$AK$505,"○")&gt;0,1,0))</f>
        <v>0</v>
      </c>
      <c r="V192" s="39" t="n">
        <f aca="false">IF(V$4=0,0,IF(COUNTIFS(実績!$W$6:$W$505,V$3,実績!$AI$6:$AI$505,"&lt;="&amp;$A192,実績!$AJ$6:$AJ$505,"&gt;"&amp;$A192,実績!$AK$6:$AK$505,"○")&gt;0,1,0))</f>
        <v>0</v>
      </c>
      <c r="W192" s="39" t="n">
        <f aca="false">IF(W$4=0,0,IF(COUNTIFS(実績!$W$6:$W$505,W$3,実績!$AI$6:$AI$505,"&lt;="&amp;$A192,実績!$AJ$6:$AJ$505,"&gt;"&amp;$A192,実績!$AK$6:$AK$505,"○")&gt;0,1,0))</f>
        <v>0</v>
      </c>
      <c r="X192" s="39" t="n">
        <f aca="false">IF(X$4=0,0,IF(COUNTIFS(実績!$W$6:$W$505,X$3,実績!$AI$6:$AI$505,"&lt;="&amp;$A192,実績!$AJ$6:$AJ$505,"&gt;"&amp;$A192,実績!$AK$6:$AK$505,"○")&gt;0,1,0))</f>
        <v>0</v>
      </c>
      <c r="Y192" s="39" t="n">
        <f aca="false">IF(Y$4=0,0,IF(COUNTIFS(実績!$W$6:$W$505,Y$3,実績!$AI$6:$AI$505,"&lt;="&amp;$A192,実績!$AJ$6:$AJ$505,"&gt;"&amp;$A192,実績!$AK$6:$AK$505,"○")&gt;0,1,0))</f>
        <v>0</v>
      </c>
      <c r="Z192" s="39" t="n">
        <f aca="false">IF(Z$4=0,0,IF(COUNTIFS(実績!$W$6:$W$505,Z$3,実績!$AI$6:$AI$505,"&lt;="&amp;$A192,実績!$AJ$6:$AJ$505,"&gt;"&amp;$A192,実績!$AK$6:$AK$505,"○")&gt;0,1,0))</f>
        <v>0</v>
      </c>
      <c r="AA192" s="39" t="n">
        <f aca="false">IF(AA$4=0,0,IF(COUNTIFS(実績!$W$6:$W$505,AA$3,実績!$AI$6:$AI$505,"&lt;="&amp;$A192,実績!$AJ$6:$AJ$505,"&gt;"&amp;$A192,実績!$AK$6:$AK$505,"○")&gt;0,1,0))</f>
        <v>0</v>
      </c>
      <c r="AB192" s="39" t="n">
        <f aca="false">IF(AB$4=0,0,IF(COUNTIFS(実績!$W$6:$W$505,AB$3,実績!$AI$6:$AI$505,"&lt;="&amp;$A192,実績!$AJ$6:$AJ$505,"&gt;"&amp;$A192,実績!$AK$6:$AK$505,"○")&gt;0,1,0))</f>
        <v>0</v>
      </c>
      <c r="AC192" s="39" t="n">
        <f aca="false">IF(AC$4=0,0,IF(COUNTIFS(実績!$W$6:$W$505,AC$3,実績!$AI$6:$AI$505,"&lt;="&amp;$A192,実績!$AJ$6:$AJ$505,"&gt;"&amp;$A192,実績!$AK$6:$AK$505,"○")&gt;0,1,0))</f>
        <v>0</v>
      </c>
      <c r="AD192" s="39" t="n">
        <f aca="false">IF(AD$4=0,0,IF(COUNTIFS(実績!$W$6:$W$505,AD$3,実績!$AI$6:$AI$505,"&lt;="&amp;$A192,実績!$AJ$6:$AJ$505,"&gt;"&amp;$A192,実績!$AK$6:$AK$505,"○")&gt;0,1,0))</f>
        <v>0</v>
      </c>
      <c r="AE192" s="39" t="n">
        <f aca="false">IF(AE$4=0,0,IF(COUNTIFS(実績!$W$6:$W$505,AE$3,実績!$AI$6:$AI$505,"&lt;="&amp;$A192,実績!$AJ$6:$AJ$505,"&gt;"&amp;$A192,実績!$AK$6:$AK$505,"○")&gt;0,1,0))</f>
        <v>0</v>
      </c>
      <c r="AF192" s="39" t="n">
        <f aca="false">IF(AF$4=0,0,IF(COUNTIFS(実績!$W$6:$W$505,AF$3,実績!$AI$6:$AI$505,"&lt;="&amp;$A192,実績!$AJ$6:$AJ$505,"&gt;"&amp;$A192,実績!$AK$6:$AK$505,"○")&gt;0,1,0))</f>
        <v>0</v>
      </c>
      <c r="AG192" s="39" t="n">
        <f aca="false">IF(AG$4=0,0,IF(COUNTIFS(実績!$W$6:$W$505,AG$3,実績!$AI$6:$AI$505,"&lt;="&amp;$A192,実績!$AJ$6:$AJ$505,"&gt;"&amp;$A192,実績!$AK$6:$AK$505,"○")&gt;0,1,0))</f>
        <v>0</v>
      </c>
      <c r="AH192" s="39" t="n">
        <f aca="false">IF(AH$4=0,0,IF(COUNTIFS(実績!$W$6:$W$505,AH$3,実績!$AI$6:$AI$505,"&lt;="&amp;$A192,実績!$AJ$6:$AJ$505,"&gt;"&amp;$A192,実績!$AK$6:$AK$505,"○")&gt;0,1,0))</f>
        <v>0</v>
      </c>
      <c r="AI192" s="39" t="n">
        <f aca="false">IF(AI$4=0,0,IF(COUNTIFS(実績!$W$6:$W$505,AI$3,実績!$AI$6:$AI$505,"&lt;="&amp;$A192,実績!$AJ$6:$AJ$505,"&gt;"&amp;$A192,実績!$AK$6:$AK$505,"○")&gt;0,1,0))</f>
        <v>0</v>
      </c>
      <c r="AJ192" s="39" t="n">
        <f aca="false">IF(AJ$4=0,0,IF(COUNTIFS(実績!$W$6:$W$505,AJ$3,実績!$AI$6:$AI$505,"&lt;="&amp;$A192,実績!$AJ$6:$AJ$505,"&gt;"&amp;$A192,実績!$AK$6:$AK$505,"○")&gt;0,1,0))</f>
        <v>0</v>
      </c>
      <c r="AK192" s="39" t="n">
        <f aca="false">IF(AK$4=0,0,IF(COUNTIFS(実績!$W$6:$W$505,AK$3,実績!$AI$6:$AI$505,"&lt;="&amp;$A192,実績!$AJ$6:$AJ$505,"&gt;"&amp;$A192,実績!$AK$6:$AK$505,"○")&gt;0,1,0))</f>
        <v>0</v>
      </c>
      <c r="AL192" s="39" t="n">
        <f aca="false">IF(AL$4=0,0,IF(COUNTIFS(実績!$W$6:$W$505,AL$3,実績!$AI$6:$AI$505,"&lt;="&amp;$A192,実績!$AJ$6:$AJ$505,"&gt;"&amp;$A192,実績!$AK$6:$AK$505,"○")&gt;0,1,0))</f>
        <v>0</v>
      </c>
      <c r="AM192" s="39" t="n">
        <f aca="false">IF(AM$4=0,0,IF(COUNTIFS(実績!$W$6:$W$505,AM$3,実績!$AI$6:$AI$505,"&lt;="&amp;$A192,実績!$AJ$6:$AJ$505,"&gt;"&amp;$A192,実績!$AK$6:$AK$505,"○")&gt;0,1,0))</f>
        <v>0</v>
      </c>
      <c r="AN192" s="39" t="n">
        <f aca="false">IF(AN$4=0,0,IF(COUNTIFS(実績!$W$6:$W$505,AN$3,実績!$AI$6:$AI$505,"&lt;="&amp;$A192,実績!$AJ$6:$AJ$505,"&gt;"&amp;$A192,実績!$AK$6:$AK$505,"○")&gt;0,1,0))</f>
        <v>0</v>
      </c>
      <c r="AO192" s="39" t="n">
        <f aca="false">IF(AO$4=0,0,IF(COUNTIFS(実績!$W$6:$W$505,AO$3,実績!$AI$6:$AI$505,"&lt;="&amp;$A192,実績!$AJ$6:$AJ$505,"&gt;"&amp;$A192,実績!$AK$6:$AK$505,"○")&gt;0,1,0))</f>
        <v>0</v>
      </c>
      <c r="AP192" s="39" t="n">
        <f aca="false">IF(AP$4=0,0,IF(COUNTIFS(実績!$W$6:$W$505,AP$3,実績!$AI$6:$AI$505,"&lt;="&amp;$A192,実績!$AJ$6:$AJ$505,"&gt;"&amp;$A192,実績!$AK$6:$AK$505,"○")&gt;0,1,0))</f>
        <v>0</v>
      </c>
      <c r="AQ192" s="39" t="n">
        <f aca="false">IF(AQ$4=0,0,IF(COUNTIFS(実績!$W$6:$W$505,AQ$3,実績!$AI$6:$AI$505,"&lt;="&amp;$A192,実績!$AJ$6:$AJ$505,"&gt;"&amp;$A192,実績!$AK$6:$AK$505,"○")&gt;0,1,0))</f>
        <v>0</v>
      </c>
      <c r="AR192" s="39" t="n">
        <f aca="false">IF(AR$4=0,0,IF(COUNTIFS(実績!$W$6:$W$505,AR$3,実績!$AI$6:$AI$505,"&lt;="&amp;$A192,実績!$AJ$6:$AJ$505,"&gt;"&amp;$A192,実績!$AK$6:$AK$505,"○")&gt;0,1,0))</f>
        <v>0</v>
      </c>
      <c r="AS192" s="39" t="n">
        <f aca="false">IF(AS$4=0,0,IF(COUNTIFS(実績!$W$6:$W$505,AS$3,実績!$AI$6:$AI$505,"&lt;="&amp;$A192,実績!$AJ$6:$AJ$505,"&gt;"&amp;$A192,実績!$AK$6:$AK$505,"○")&gt;0,1,0))</f>
        <v>0</v>
      </c>
      <c r="AT192" s="39" t="n">
        <f aca="false">IF(AT$4=0,0,IF(COUNTIFS(実績!$W$6:$W$505,AT$3,実績!$AI$6:$AI$505,"&lt;="&amp;$A192,実績!$AJ$6:$AJ$505,"&gt;"&amp;$A192,実績!$AK$6:$AK$505,"○")&gt;0,1,0))</f>
        <v>0</v>
      </c>
      <c r="AU192" s="39" t="n">
        <f aca="false">IF(AU$4=0,0,IF(COUNTIFS(実績!$W$6:$W$505,AU$3,実績!$AI$6:$AI$505,"&lt;="&amp;$A192,実績!$AJ$6:$AJ$505,"&gt;"&amp;$A192,実績!$AK$6:$AK$505,"○")&gt;0,1,0))</f>
        <v>0</v>
      </c>
      <c r="AV192" s="39" t="n">
        <f aca="false">IF(AV$4=0,0,IF(COUNTIFS(実績!$W$6:$W$505,AV$3,実績!$AI$6:$AI$505,"&lt;="&amp;$A192,実績!$AJ$6:$AJ$505,"&gt;"&amp;$A192,実績!$AK$6:$AK$505,"○")&gt;0,1,0))</f>
        <v>0</v>
      </c>
      <c r="AW192" s="39" t="n">
        <f aca="false">IF(AW$4=0,0,IF(COUNTIFS(実績!$W$6:$W$505,AW$3,実績!$AI$6:$AI$505,"&lt;="&amp;$A192,実績!$AJ$6:$AJ$505,"&gt;"&amp;$A192,実績!$AK$6:$AK$505,"○")&gt;0,1,0))</f>
        <v>0</v>
      </c>
      <c r="AX192" s="39" t="n">
        <f aca="false">IF(AX$4=0,0,IF(COUNTIFS(実績!$W$6:$W$505,AX$3,実績!$AI$6:$AI$505,"&lt;="&amp;$A192,実績!$AJ$6:$AJ$505,"&gt;"&amp;$A192,実績!$AK$6:$AK$505,"○")&gt;0,1,0))</f>
        <v>0</v>
      </c>
      <c r="AY192" s="39" t="n">
        <f aca="false">IF(AY$4=0,0,IF(COUNTIFS(実績!$W$6:$W$505,AY$3,実績!$AI$6:$AI$505,"&lt;="&amp;$A192,実績!$AJ$6:$AJ$505,"&gt;"&amp;$A192,実績!$AK$6:$AK$505,"○")&gt;0,1,0))</f>
        <v>0</v>
      </c>
      <c r="AZ192" s="39" t="n">
        <f aca="false">IF(AZ$4=0,0,IF(COUNTIFS(実績!$W$6:$W$505,AZ$3,実績!$AI$6:$AI$505,"&lt;="&amp;$A192,実績!$AJ$6:$AJ$505,"&gt;"&amp;$A192,実績!$AK$6:$AK$505,"○")&gt;0,1,0))</f>
        <v>0</v>
      </c>
      <c r="BA192" s="39" t="n">
        <f aca="false">IF(BA$4=0,0,IF(COUNTIFS(実績!$W$6:$W$505,BA$3,実績!$AI$6:$AI$505,"&lt;="&amp;$A192,実績!$AJ$6:$AJ$505,"&gt;"&amp;$A192,実績!$AK$6:$AK$505,"○")&gt;0,1,0))</f>
        <v>0</v>
      </c>
      <c r="BB192" s="39" t="n">
        <f aca="false">IF(BB$4=0,0,IF(COUNTIFS(実績!$W$6:$W$505,BB$3,実績!$AI$6:$AI$505,"&lt;="&amp;$A192,実績!$AJ$6:$AJ$505,"&gt;"&amp;$A192,実績!$AK$6:$AK$505,"○")&gt;0,1,0))</f>
        <v>0</v>
      </c>
      <c r="BC192" s="39" t="n">
        <f aca="false">IF(BC$4=0,0,IF(COUNTIFS(実績!$W$6:$W$505,BC$3,実績!$AI$6:$AI$505,"&lt;="&amp;$A192,実績!$AJ$6:$AJ$505,"&gt;"&amp;$A192,実績!$AK$6:$AK$505,"○")&gt;0,1,0))</f>
        <v>0</v>
      </c>
      <c r="BD192" s="39" t="n">
        <f aca="false">IF(BD$4=0,0,IF(COUNTIFS(実績!$W$6:$W$505,BD$3,実績!$AI$6:$AI$505,"&lt;="&amp;$A192,実績!$AJ$6:$AJ$505,"&gt;"&amp;$A192,実績!$AK$6:$AK$505,"○")&gt;0,1,0))</f>
        <v>0</v>
      </c>
      <c r="BE192" s="39" t="n">
        <f aca="false">IF(BE$4=0,0,IF(COUNTIFS(実績!$W$6:$W$505,BE$3,実績!$AI$6:$AI$505,"&lt;="&amp;$A192,実績!$AJ$6:$AJ$505,"&gt;"&amp;$A192,実績!$AK$6:$AK$505,"○")&gt;0,1,0))</f>
        <v>0</v>
      </c>
      <c r="BF192" s="39" t="n">
        <f aca="false">IF(BF$4=0,0,IF(COUNTIFS(実績!$W$6:$W$505,BF$3,実績!$AI$6:$AI$505,"&lt;="&amp;$A192,実績!$AJ$6:$AJ$505,"&gt;"&amp;$A192,実績!$AK$6:$AK$505,"○")&gt;0,1,0))</f>
        <v>0</v>
      </c>
      <c r="BG192" s="39" t="n">
        <f aca="false">IF(BG$4=0,0,IF(COUNTIFS(実績!$W$6:$W$505,BG$3,実績!$AI$6:$AI$505,"&lt;="&amp;$A192,実績!$AJ$6:$AJ$505,"&gt;"&amp;$A192,実績!$AK$6:$AK$505,"○")&gt;0,1,0))</f>
        <v>0</v>
      </c>
      <c r="BH192" s="39" t="n">
        <f aca="false">IF(BH$4=0,0,IF(COUNTIFS(実績!$W$6:$W$505,BH$3,実績!$AI$6:$AI$505,"&lt;="&amp;$A192,実績!$AJ$6:$AJ$505,"&gt;"&amp;$A192,実績!$AK$6:$AK$505,"○")&gt;0,1,0))</f>
        <v>0</v>
      </c>
      <c r="BI192" s="39" t="n">
        <f aca="false">IF(BI$4=0,0,IF(COUNTIFS(実績!$W$6:$W$505,BI$3,実績!$AI$6:$AI$505,"&lt;="&amp;$A192,実績!$AJ$6:$AJ$505,"&gt;"&amp;$A192,実績!$AK$6:$AK$505,"○")&gt;0,1,0))</f>
        <v>0</v>
      </c>
      <c r="BJ192" s="39" t="n">
        <f aca="false">IF(BJ$4=0,0,IF(COUNTIFS(実績!$W$6:$W$505,BJ$3,実績!$AI$6:$AI$505,"&lt;="&amp;$A192,実績!$AJ$6:$AJ$505,"&gt;"&amp;$A192,実績!$AK$6:$AK$505,"○")&gt;0,1,0))</f>
        <v>0</v>
      </c>
      <c r="BK192" s="39" t="n">
        <f aca="false">IF(BK$4=0,0,IF(COUNTIFS(実績!$W$6:$W$505,BK$3,実績!$AI$6:$AI$505,"&lt;="&amp;$A192,実績!$AJ$6:$AJ$505,"&gt;"&amp;$A192,実績!$AK$6:$AK$505,"○")&gt;0,1,0))</f>
        <v>0</v>
      </c>
      <c r="BL192" s="39" t="n">
        <f aca="false">IF(BL$4=0,0,IF(COUNTIFS(実績!$W$6:$W$505,BL$3,実績!$AI$6:$AI$505,"&lt;="&amp;$A192,実績!$AJ$6:$AJ$505,"&gt;"&amp;$A192,実績!$AK$6:$AK$505,"○")&gt;0,1,0))</f>
        <v>0</v>
      </c>
      <c r="BM192" s="39" t="n">
        <f aca="false">IF(BM$4=0,0,IF(COUNTIFS(実績!$W$6:$W$505,BM$3,実績!$AI$6:$AI$505,"&lt;="&amp;$A192,実績!$AJ$6:$AJ$505,"&gt;"&amp;$A192,実績!$AK$6:$AK$505,"○")&gt;0,1,0))</f>
        <v>0</v>
      </c>
      <c r="BN192" s="39" t="n">
        <f aca="false">IF(BN$4=0,0,IF(COUNTIFS(実績!$W$6:$W$505,BN$3,実績!$AI$6:$AI$505,"&lt;="&amp;$A192,実績!$AJ$6:$AJ$505,"&gt;"&amp;$A192,実績!$AK$6:$AK$505,"○")&gt;0,1,0))</f>
        <v>0</v>
      </c>
      <c r="BO192" s="39" t="n">
        <f aca="false">IF(BO$4=0,0,IF(COUNTIFS(実績!$W$6:$W$505,BO$3,実績!$AI$6:$AI$505,"&lt;="&amp;$A192,実績!$AJ$6:$AJ$505,"&gt;"&amp;$A192,実績!$AK$6:$AK$505,"○")&gt;0,1,0))</f>
        <v>0</v>
      </c>
      <c r="BP192" s="39" t="n">
        <f aca="false">IF(BP$4=0,0,IF(COUNTIFS(実績!$W$6:$W$505,BP$3,実績!$AI$6:$AI$505,"&lt;="&amp;$A192,実績!$AJ$6:$AJ$505,"&gt;"&amp;$A192,実績!$AK$6:$AK$505,"○")&gt;0,1,0))</f>
        <v>0</v>
      </c>
      <c r="BQ192" s="39" t="n">
        <f aca="false">IF(BQ$4=0,0,IF(COUNTIFS(実績!$W$6:$W$505,BQ$3,実績!$AI$6:$AI$505,"&lt;="&amp;$A192,実績!$AJ$6:$AJ$505,"&gt;"&amp;$A192,実績!$AK$6:$AK$505,"○")&gt;0,1,0))</f>
        <v>0</v>
      </c>
      <c r="BR192" s="39" t="n">
        <f aca="false">IF(BR$4=0,0,IF(COUNTIFS(実績!$W$6:$W$505,BR$3,実績!$AI$6:$AI$505,"&lt;="&amp;$A192,実績!$AJ$6:$AJ$505,"&gt;"&amp;$A192,実績!$AK$6:$AK$505,"○")&gt;0,1,0))</f>
        <v>0</v>
      </c>
      <c r="BS192" s="39" t="n">
        <f aca="false">IF(BS$4=0,0,IF(COUNTIFS(実績!$W$6:$W$505,BS$3,実績!$AI$6:$AI$505,"&lt;="&amp;$A192,実績!$AJ$6:$AJ$505,"&gt;"&amp;$A192,実績!$AK$6:$AK$505,"○")&gt;0,1,0))</f>
        <v>0</v>
      </c>
      <c r="BT192" s="39" t="n">
        <f aca="false">IF(BT$4=0,0,IF(COUNTIFS(実績!$W$6:$W$505,BT$3,実績!$AI$6:$AI$505,"&lt;="&amp;$A192,実績!$AJ$6:$AJ$505,"&gt;"&amp;$A192,実績!$AK$6:$AK$505,"○")&gt;0,1,0))</f>
        <v>0</v>
      </c>
      <c r="BU192" s="39" t="n">
        <f aca="false">IF(BU$4=0,0,IF(COUNTIFS(実績!$W$6:$W$505,BU$3,実績!$AI$6:$AI$505,"&lt;="&amp;$A192,実績!$AJ$6:$AJ$505,"&gt;"&amp;$A192,実績!$AK$6:$AK$505,"○")&gt;0,1,0))</f>
        <v>0</v>
      </c>
      <c r="BV192" s="39" t="n">
        <f aca="false">IF(BV$4=0,0,IF(COUNTIFS(実績!$W$6:$W$505,BV$3,実績!$AI$6:$AI$505,"&lt;="&amp;$A192,実績!$AJ$6:$AJ$505,"&gt;"&amp;$A192,実績!$AK$6:$AK$505,"○")&gt;0,1,0))</f>
        <v>0</v>
      </c>
      <c r="BW192" s="39" t="n">
        <f aca="false">IF(BW$4=0,0,IF(COUNTIFS(実績!$W$6:$W$505,BW$3,実績!$AI$6:$AI$505,"&lt;="&amp;$A192,実績!$AJ$6:$AJ$505,"&gt;"&amp;$A192,実績!$AK$6:$AK$505,"○")&gt;0,1,0))</f>
        <v>0</v>
      </c>
      <c r="BX192" s="39" t="n">
        <f aca="false">IF(BX$4=0,0,IF(COUNTIFS(実績!$W$6:$W$505,BX$3,実績!$AI$6:$AI$505,"&lt;="&amp;$A192,実績!$AJ$6:$AJ$505,"&gt;"&amp;$A192,実績!$AK$6:$AK$505,"○")&gt;0,1,0))</f>
        <v>0</v>
      </c>
      <c r="BY192" s="39" t="n">
        <f aca="false">IF(BY$4=0,0,IF(COUNTIFS(実績!$W$6:$W$505,BY$3,実績!$AI$6:$AI$505,"&lt;="&amp;$A192,実績!$AJ$6:$AJ$505,"&gt;"&amp;$A192,実績!$AK$6:$AK$505,"○")&gt;0,1,0))</f>
        <v>0</v>
      </c>
      <c r="BZ192" s="39" t="n">
        <f aca="false">IF(BZ$4=0,0,IF(COUNTIFS(実績!$W$6:$W$505,BZ$3,実績!$AI$6:$AI$505,"&lt;="&amp;$A192,実績!$AJ$6:$AJ$505,"&gt;"&amp;$A192,実績!$AK$6:$AK$505,"○")&gt;0,1,0))</f>
        <v>0</v>
      </c>
      <c r="CA192" s="39" t="n">
        <f aca="false">IF(CA$4=0,0,IF(COUNTIFS(実績!$W$6:$W$505,CA$3,実績!$AI$6:$AI$505,"&lt;="&amp;$A192,実績!$AJ$6:$AJ$505,"&gt;"&amp;$A192,実績!$AK$6:$AK$505,"○")&gt;0,1,0))</f>
        <v>0</v>
      </c>
      <c r="CB192" s="39" t="n">
        <f aca="false">IF(CB$4=0,0,IF(COUNTIFS(実績!$W$6:$W$505,CB$3,実績!$AI$6:$AI$505,"&lt;="&amp;$A192,実績!$AJ$6:$AJ$505,"&gt;"&amp;$A192,実績!$AK$6:$AK$505,"○")&gt;0,1,0))</f>
        <v>0</v>
      </c>
      <c r="CC192" s="39" t="n">
        <f aca="false">IF(CC$4=0,0,IF(COUNTIFS(実績!$W$6:$W$505,CC$3,実績!$AI$6:$AI$505,"&lt;="&amp;$A192,実績!$AJ$6:$AJ$505,"&gt;"&amp;$A192,実績!$AK$6:$AK$505,"○")&gt;0,1,0))</f>
        <v>0</v>
      </c>
      <c r="CD192" s="39" t="n">
        <f aca="false">IF(CD$4=0,0,IF(COUNTIFS(実績!$W$6:$W$505,CD$3,実績!$AI$6:$AI$505,"&lt;="&amp;$A192,実績!$AJ$6:$AJ$505,"&gt;"&amp;$A192,実績!$AK$6:$AK$505,"○")&gt;0,1,0))</f>
        <v>0</v>
      </c>
      <c r="CE192" s="39" t="n">
        <f aca="false">IF(CE$4=0,0,IF(COUNTIFS(実績!$W$6:$W$505,CE$3,実績!$AI$6:$AI$505,"&lt;="&amp;$A192,実績!$AJ$6:$AJ$505,"&gt;"&amp;$A192,実績!$AK$6:$AK$505,"○")&gt;0,1,0))</f>
        <v>0</v>
      </c>
      <c r="CF192" s="39" t="n">
        <f aca="false">IF(CF$4=0,0,IF(COUNTIFS(実績!$W$6:$W$505,CF$3,実績!$AI$6:$AI$505,"&lt;="&amp;$A192,実績!$AJ$6:$AJ$505,"&gt;"&amp;$A192,実績!$AK$6:$AK$505,"○")&gt;0,1,0))</f>
        <v>0</v>
      </c>
      <c r="CG192" s="39" t="n">
        <f aca="false">IF(CG$4=0,0,IF(COUNTIFS(実績!$W$6:$W$505,CG$3,実績!$AI$6:$AI$505,"&lt;="&amp;$A192,実績!$AJ$6:$AJ$505,"&gt;"&amp;$A192,実績!$AK$6:$AK$505,"○")&gt;0,1,0))</f>
        <v>0</v>
      </c>
      <c r="CH192" s="39" t="n">
        <f aca="false">IF(CH$4=0,0,IF(COUNTIFS(実績!$W$6:$W$505,CH$3,実績!$AI$6:$AI$505,"&lt;="&amp;$A192,実績!$AJ$6:$AJ$505,"&gt;"&amp;$A192,実績!$AK$6:$AK$505,"○")&gt;0,1,0))</f>
        <v>0</v>
      </c>
      <c r="CI192" s="39" t="n">
        <f aca="false">IF(CI$4=0,0,IF(COUNTIFS(実績!$W$6:$W$505,CI$3,実績!$AI$6:$AI$505,"&lt;="&amp;$A192,実績!$AJ$6:$AJ$505,"&gt;"&amp;$A192,実績!$AK$6:$AK$505,"○")&gt;0,1,0))</f>
        <v>0</v>
      </c>
      <c r="CJ192" s="39" t="n">
        <f aca="false">IF(CJ$4=0,0,IF(COUNTIFS(実績!$W$6:$W$505,CJ$3,実績!$AI$6:$AI$505,"&lt;="&amp;$A192,実績!$AJ$6:$AJ$505,"&gt;"&amp;$A192,実績!$AK$6:$AK$505,"○")&gt;0,1,0))</f>
        <v>0</v>
      </c>
      <c r="CK192" s="39" t="n">
        <f aca="false">IF(CK$4=0,0,IF(COUNTIFS(実績!$W$6:$W$505,CK$3,実績!$AI$6:$AI$505,"&lt;="&amp;$A192,実績!$AJ$6:$AJ$505,"&gt;"&amp;$A192,実績!$AK$6:$AK$505,"○")&gt;0,1,0))</f>
        <v>0</v>
      </c>
      <c r="CL192" s="39" t="n">
        <f aca="false">IF(CL$4=0,0,IF(COUNTIFS(実績!$W$6:$W$505,CL$3,実績!$AI$6:$AI$505,"&lt;="&amp;$A192,実績!$AJ$6:$AJ$505,"&gt;"&amp;$A192,実績!$AK$6:$AK$505,"○")&gt;0,1,0))</f>
        <v>0</v>
      </c>
      <c r="CM192" s="39" t="n">
        <f aca="false">IF(CM$4=0,0,IF(COUNTIFS(実績!$W$6:$W$505,CM$3,実績!$AI$6:$AI$505,"&lt;="&amp;$A192,実績!$AJ$6:$AJ$505,"&gt;"&amp;$A192,実績!$AK$6:$AK$505,"○")&gt;0,1,0))</f>
        <v>0</v>
      </c>
      <c r="CN192" s="39" t="n">
        <f aca="false">IF(CN$4=0,0,IF(COUNTIFS(実績!$W$6:$W$505,CN$3,実績!$AI$6:$AI$505,"&lt;="&amp;$A192,実績!$AJ$6:$AJ$505,"&gt;"&amp;$A192,実績!$AK$6:$AK$505,"○")&gt;0,1,0))</f>
        <v>0</v>
      </c>
      <c r="CO192" s="39" t="n">
        <f aca="false">IF(CO$4=0,0,IF(COUNTIFS(実績!$W$6:$W$505,CO$3,実績!$AI$6:$AI$505,"&lt;="&amp;$A192,実績!$AJ$6:$AJ$505,"&gt;"&amp;$A192,実績!$AK$6:$AK$505,"○")&gt;0,1,0))</f>
        <v>0</v>
      </c>
      <c r="CP192" s="39" t="n">
        <f aca="false">IF(CP$4=0,0,IF(COUNTIFS(実績!$W$6:$W$505,CP$3,実績!$AI$6:$AI$505,"&lt;="&amp;$A192,実績!$AJ$6:$AJ$505,"&gt;"&amp;$A192,実績!$AK$6:$AK$505,"○")&gt;0,1,0))</f>
        <v>0</v>
      </c>
      <c r="CQ192" s="39" t="n">
        <f aca="false">IF(CQ$4=0,0,IF(COUNTIFS(実績!$W$6:$W$505,CQ$3,実績!$AI$6:$AI$505,"&lt;="&amp;$A192,実績!$AJ$6:$AJ$505,"&gt;"&amp;$A192,実績!$AK$6:$AK$505,"○")&gt;0,1,0))</f>
        <v>0</v>
      </c>
      <c r="CR192" s="39" t="n">
        <f aca="false">IF(CR$4=0,0,IF(COUNTIFS(実績!$W$6:$W$505,CR$3,実績!$AI$6:$AI$505,"&lt;="&amp;$A192,実績!$AJ$6:$AJ$505,"&gt;"&amp;$A192,実績!$AK$6:$AK$505,"○")&gt;0,1,0))</f>
        <v>0</v>
      </c>
      <c r="CS192" s="39" t="n">
        <f aca="false">IF(CS$4=0,0,IF(COUNTIFS(実績!$W$6:$W$505,CS$3,実績!$AI$6:$AI$505,"&lt;="&amp;$A192,実績!$AJ$6:$AJ$505,"&gt;"&amp;$A192,実績!$AK$6:$AK$505,"○")&gt;0,1,0))</f>
        <v>0</v>
      </c>
      <c r="CT192" s="39" t="n">
        <f aca="false">IF(CT$4=0,0,IF(COUNTIFS(実績!$W$6:$W$505,CT$3,実績!$AI$6:$AI$505,"&lt;="&amp;$A192,実績!$AJ$6:$AJ$505,"&gt;"&amp;$A192,実績!$AK$6:$AK$505,"○")&gt;0,1,0))</f>
        <v>0</v>
      </c>
      <c r="CU192" s="39" t="n">
        <f aca="false">IF(CU$4=0,0,IF(COUNTIFS(実績!$W$6:$W$505,CU$3,実績!$AI$6:$AI$505,"&lt;="&amp;$A192,実績!$AJ$6:$AJ$505,"&gt;"&amp;$A192,実績!$AK$6:$AK$505,"○")&gt;0,1,0))</f>
        <v>0</v>
      </c>
      <c r="CV192" s="39" t="n">
        <f aca="false">IF(CV$4=0,0,IF(COUNTIFS(実績!$W$6:$W$505,CV$3,実績!$AI$6:$AI$505,"&lt;="&amp;$A192,実績!$AJ$6:$AJ$505,"&gt;"&amp;$A192,実績!$AK$6:$AK$505,"○")&gt;0,1,0))</f>
        <v>0</v>
      </c>
      <c r="CW192" s="39" t="n">
        <f aca="false">IF(CW$4=0,0,IF(COUNTIFS(実績!$W$6:$W$505,CW$3,実績!$AI$6:$AI$505,"&lt;="&amp;$A192,実績!$AJ$6:$AJ$505,"&gt;"&amp;$A192,実績!$AK$6:$AK$505,"○")&gt;0,1,0))</f>
        <v>0</v>
      </c>
      <c r="CX192" s="39" t="n">
        <f aca="false">IF(CX$4=0,0,IF(COUNTIFS(実績!$W$6:$W$505,CX$3,実績!$AI$6:$AI$505,"&lt;="&amp;$A192,実績!$AJ$6:$AJ$505,"&gt;"&amp;$A192,実績!$AK$6:$AK$505,"○")&gt;0,1,0))</f>
        <v>0</v>
      </c>
      <c r="CY192" s="39" t="n">
        <f aca="false">IF(CY$4=0,0,IF(COUNTIFS(実績!$W$6:$W$505,CY$3,実績!$AI$6:$AI$505,"&lt;="&amp;$A192,実績!$AJ$6:$AJ$505,"&gt;"&amp;$A192,実績!$AK$6:$AK$505,"○")&gt;0,1,0))</f>
        <v>0</v>
      </c>
      <c r="CZ192" s="39" t="n">
        <f aca="false">IF(CZ$4=0,0,IF(COUNTIFS(実績!$W$6:$W$505,CZ$3,実績!$AI$6:$AI$505,"&lt;="&amp;$A192,実績!$AJ$6:$AJ$505,"&gt;"&amp;$A192,実績!$AK$6:$AK$505,"○")&gt;0,1,0))</f>
        <v>0</v>
      </c>
      <c r="DA192" s="39" t="n">
        <f aca="false">IF(DA$4=0,0,IF(COUNTIFS(実績!$W$6:$W$505,DA$3,実績!$AI$6:$AI$505,"&lt;="&amp;$A192,実績!$AJ$6:$AJ$505,"&gt;"&amp;$A192,実績!$AK$6:$AK$505,"○")&gt;0,1,0))</f>
        <v>0</v>
      </c>
      <c r="DB192" s="39" t="n">
        <f aca="false">IF(DB$4=0,0,IF(COUNTIFS(実績!$W$6:$W$505,DB$3,実績!$AI$6:$AI$505,"&lt;="&amp;$A192,実績!$AJ$6:$AJ$505,"&gt;"&amp;$A192,実績!$AK$6:$AK$505,"○")&gt;0,1,0))</f>
        <v>0</v>
      </c>
      <c r="DC192" s="39" t="n">
        <f aca="false">IF(DC$4=0,0,IF(COUNTIFS(実績!$W$6:$W$505,DC$3,実績!$AI$6:$AI$505,"&lt;="&amp;$A192,実績!$AJ$6:$AJ$505,"&gt;"&amp;$A192,実績!$AK$6:$AK$505,"○")&gt;0,1,0))</f>
        <v>0</v>
      </c>
      <c r="DD192" s="39" t="n">
        <f aca="false">IF(DD$4=0,0,IF(COUNTIFS(実績!$W$6:$W$505,DD$3,実績!$AI$6:$AI$505,"&lt;="&amp;$A192,実績!$AJ$6:$AJ$505,"&gt;"&amp;$A192,実績!$AK$6:$AK$505,"○")&gt;0,1,0))</f>
        <v>0</v>
      </c>
      <c r="DE192" s="39" t="n">
        <f aca="false">IF(DE$4=0,0,IF(COUNTIFS(実績!$W$6:$W$505,DE$3,実績!$AI$6:$AI$505,"&lt;="&amp;$A192,実績!$AJ$6:$AJ$505,"&gt;"&amp;$A192,実績!$AK$6:$AK$505,"○")&gt;0,1,0))</f>
        <v>0</v>
      </c>
      <c r="DF192" s="39" t="n">
        <f aca="false">IF(DF$4=0,0,IF(COUNTIFS(実績!$W$6:$W$505,DF$3,実績!$AI$6:$AI$505,"&lt;="&amp;$A192,実績!$AJ$6:$AJ$505,"&gt;"&amp;$A192,実績!$AK$6:$AK$505,"○")&gt;0,1,0))</f>
        <v>0</v>
      </c>
      <c r="DG192" s="39" t="n">
        <f aca="false">IF(DG$4=0,0,IF(COUNTIFS(実績!$W$6:$W$505,DG$3,実績!$AI$6:$AI$505,"&lt;="&amp;$A192,実績!$AJ$6:$AJ$505,"&gt;"&amp;$A192,実績!$AK$6:$AK$505,"○")&gt;0,1,0))</f>
        <v>0</v>
      </c>
      <c r="DH192" s="39" t="n">
        <f aca="false">IF(DH$4=0,0,IF(COUNTIFS(実績!$W$6:$W$505,DH$3,実績!$AI$6:$AI$505,"&lt;="&amp;$A192,実績!$AJ$6:$AJ$505,"&gt;"&amp;$A192,実績!$AK$6:$AK$505,"○")&gt;0,1,0))</f>
        <v>0</v>
      </c>
      <c r="DI192" s="39" t="n">
        <f aca="false">IF(DI$4=0,0,IF(COUNTIFS(実績!$W$6:$W$505,DI$3,実績!$AI$6:$AI$505,"&lt;="&amp;$A192,実績!$AJ$6:$AJ$505,"&gt;"&amp;$A192,実績!$AK$6:$AK$505,"○")&gt;0,1,0))</f>
        <v>0</v>
      </c>
      <c r="DJ192" s="39" t="n">
        <f aca="false">IF(DJ$4=0,0,IF(COUNTIFS(実績!$W$6:$W$505,DJ$3,実績!$AI$6:$AI$505,"&lt;="&amp;$A192,実績!$AJ$6:$AJ$505,"&gt;"&amp;$A192,実績!$AK$6:$AK$505,"○")&gt;0,1,0))</f>
        <v>0</v>
      </c>
      <c r="DK192" s="39" t="n">
        <f aca="false">IF(DK$4=0,0,IF(COUNTIFS(実績!$W$6:$W$505,DK$3,実績!$AI$6:$AI$505,"&lt;="&amp;$A192,実績!$AJ$6:$AJ$505,"&gt;"&amp;$A192,実績!$AK$6:$AK$505,"○")&gt;0,1,0))</f>
        <v>0</v>
      </c>
      <c r="DL192" s="39" t="n">
        <f aca="false">IF(DL$4=0,0,IF(COUNTIFS(実績!$W$6:$W$505,DL$3,実績!$AI$6:$AI$505,"&lt;="&amp;$A192,実績!$AJ$6:$AJ$505,"&gt;"&amp;$A192,実績!$AK$6:$AK$505,"○")&gt;0,1,0))</f>
        <v>0</v>
      </c>
      <c r="DM192" s="39" t="n">
        <f aca="false">IF(DM$4=0,0,IF(COUNTIFS(実績!$W$6:$W$505,DM$3,実績!$AI$6:$AI$505,"&lt;="&amp;$A192,実績!$AJ$6:$AJ$505,"&gt;"&amp;$A192,実績!$AK$6:$AK$505,"○")&gt;0,1,0))</f>
        <v>0</v>
      </c>
      <c r="DN192" s="39" t="n">
        <f aca="false">IF(DN$4=0,0,IF(COUNTIFS(実績!$W$6:$W$505,DN$3,実績!$AI$6:$AI$505,"&lt;="&amp;$A192,実績!$AJ$6:$AJ$505,"&gt;"&amp;$A192,実績!$AK$6:$AK$505,"○")&gt;0,1,0))</f>
        <v>0</v>
      </c>
      <c r="DO192" s="39" t="n">
        <f aca="false">IF(DO$4=0,0,IF(COUNTIFS(実績!$W$6:$W$505,DO$3,実績!$AI$6:$AI$505,"&lt;="&amp;$A192,実績!$AJ$6:$AJ$505,"&gt;"&amp;$A192,実績!$AK$6:$AK$505,"○")&gt;0,1,0))</f>
        <v>0</v>
      </c>
      <c r="DP192" s="39" t="n">
        <f aca="false">IF(DP$4=0,0,IF(COUNTIFS(実績!$W$6:$W$505,DP$3,実績!$AI$6:$AI$505,"&lt;="&amp;$A192,実績!$AJ$6:$AJ$505,"&gt;"&amp;$A192,実績!$AK$6:$AK$505,"○")&gt;0,1,0))</f>
        <v>0</v>
      </c>
      <c r="DQ192" s="39" t="n">
        <f aca="false">IF(DQ$4=0,0,IF(COUNTIFS(実績!$W$6:$W$505,DQ$3,実績!$AI$6:$AI$505,"&lt;="&amp;$A192,実績!$AJ$6:$AJ$505,"&gt;"&amp;$A192,実績!$AK$6:$AK$505,"○")&gt;0,1,0))</f>
        <v>0</v>
      </c>
      <c r="DR192" s="39" t="n">
        <f aca="false">IF(DR$4=0,0,IF(COUNTIFS(実績!$W$6:$W$505,DR$3,実績!$AI$6:$AI$505,"&lt;="&amp;$A192,実績!$AJ$6:$AJ$505,"&gt;"&amp;$A192,実績!$AK$6:$AK$505,"○")&gt;0,1,0))</f>
        <v>0</v>
      </c>
      <c r="DS192" s="39" t="n">
        <f aca="false">SUM(C192:DR192)</f>
        <v>0</v>
      </c>
      <c r="DT192" s="39" t="n">
        <f aca="false">SUMPRODUCT((実績!$C$6:$C$505="○")*ISNUMBER(実績!$AM$6:$AM$505)*(実績!$AM$6:$AM$505&lt;=$A192)*(実績!$AN$6:$AN$505&gt;$A192))</f>
        <v>0</v>
      </c>
      <c r="DU192" s="39" t="n">
        <f aca="false">SUMIF($C$2:$DR$2,"製鉄曳船",C192:DR192)</f>
        <v>0</v>
      </c>
      <c r="DV192" s="39" t="n">
        <f aca="false">SUMIF($C$2:$DR$2,"西日本海運",C192:DR192)</f>
        <v>0</v>
      </c>
    </row>
    <row r="193" customFormat="false" ht="15" hidden="false" customHeight="false" outlineLevel="0" collapsed="false">
      <c r="A193" s="0" t="n">
        <v>935</v>
      </c>
      <c r="B193" s="38" t="n">
        <f aca="false">A193/1440</f>
        <v>0.649305555555556</v>
      </c>
      <c r="C193" s="39" t="n">
        <f aca="false">IF(C$4=0,0,IF(COUNTIFS(実績!$W$6:$W$505,C$3,実績!$AI$6:$AI$505,"&lt;="&amp;$A193,実績!$AJ$6:$AJ$505,"&gt;"&amp;$A193,実績!$AK$6:$AK$505,"○")&gt;0,1,0))</f>
        <v>0</v>
      </c>
      <c r="D193" s="39" t="n">
        <f aca="false">IF(D$4=0,0,IF(COUNTIFS(実績!$W$6:$W$505,D$3,実績!$AI$6:$AI$505,"&lt;="&amp;$A193,実績!$AJ$6:$AJ$505,"&gt;"&amp;$A193,実績!$AK$6:$AK$505,"○")&gt;0,1,0))</f>
        <v>0</v>
      </c>
      <c r="E193" s="39" t="n">
        <f aca="false">IF(E$4=0,0,IF(COUNTIFS(実績!$W$6:$W$505,E$3,実績!$AI$6:$AI$505,"&lt;="&amp;$A193,実績!$AJ$6:$AJ$505,"&gt;"&amp;$A193,実績!$AK$6:$AK$505,"○")&gt;0,1,0))</f>
        <v>0</v>
      </c>
      <c r="F193" s="39" t="n">
        <f aca="false">IF(F$4=0,0,IF(COUNTIFS(実績!$W$6:$W$505,F$3,実績!$AI$6:$AI$505,"&lt;="&amp;$A193,実績!$AJ$6:$AJ$505,"&gt;"&amp;$A193,実績!$AK$6:$AK$505,"○")&gt;0,1,0))</f>
        <v>0</v>
      </c>
      <c r="G193" s="39" t="n">
        <f aca="false">IF(G$4=0,0,IF(COUNTIFS(実績!$W$6:$W$505,G$3,実績!$AI$6:$AI$505,"&lt;="&amp;$A193,実績!$AJ$6:$AJ$505,"&gt;"&amp;$A193,実績!$AK$6:$AK$505,"○")&gt;0,1,0))</f>
        <v>0</v>
      </c>
      <c r="H193" s="39" t="n">
        <f aca="false">IF(H$4=0,0,IF(COUNTIFS(実績!$W$6:$W$505,H$3,実績!$AI$6:$AI$505,"&lt;="&amp;$A193,実績!$AJ$6:$AJ$505,"&gt;"&amp;$A193,実績!$AK$6:$AK$505,"○")&gt;0,1,0))</f>
        <v>0</v>
      </c>
      <c r="I193" s="39" t="n">
        <f aca="false">IF(I$4=0,0,IF(COUNTIFS(実績!$W$6:$W$505,I$3,実績!$AI$6:$AI$505,"&lt;="&amp;$A193,実績!$AJ$6:$AJ$505,"&gt;"&amp;$A193,実績!$AK$6:$AK$505,"○")&gt;0,1,0))</f>
        <v>0</v>
      </c>
      <c r="J193" s="39" t="n">
        <f aca="false">IF(J$4=0,0,IF(COUNTIFS(実績!$W$6:$W$505,J$3,実績!$AI$6:$AI$505,"&lt;="&amp;$A193,実績!$AJ$6:$AJ$505,"&gt;"&amp;$A193,実績!$AK$6:$AK$505,"○")&gt;0,1,0))</f>
        <v>0</v>
      </c>
      <c r="K193" s="39" t="n">
        <f aca="false">IF(K$4=0,0,IF(COUNTIFS(実績!$W$6:$W$505,K$3,実績!$AI$6:$AI$505,"&lt;="&amp;$A193,実績!$AJ$6:$AJ$505,"&gt;"&amp;$A193,実績!$AK$6:$AK$505,"○")&gt;0,1,0))</f>
        <v>0</v>
      </c>
      <c r="L193" s="39" t="n">
        <f aca="false">IF(L$4=0,0,IF(COUNTIFS(実績!$W$6:$W$505,L$3,実績!$AI$6:$AI$505,"&lt;="&amp;$A193,実績!$AJ$6:$AJ$505,"&gt;"&amp;$A193,実績!$AK$6:$AK$505,"○")&gt;0,1,0))</f>
        <v>0</v>
      </c>
      <c r="M193" s="39" t="n">
        <f aca="false">IF(M$4=0,0,IF(COUNTIFS(実績!$W$6:$W$505,M$3,実績!$AI$6:$AI$505,"&lt;="&amp;$A193,実績!$AJ$6:$AJ$505,"&gt;"&amp;$A193,実績!$AK$6:$AK$505,"○")&gt;0,1,0))</f>
        <v>0</v>
      </c>
      <c r="N193" s="39" t="n">
        <f aca="false">IF(N$4=0,0,IF(COUNTIFS(実績!$W$6:$W$505,N$3,実績!$AI$6:$AI$505,"&lt;="&amp;$A193,実績!$AJ$6:$AJ$505,"&gt;"&amp;$A193,実績!$AK$6:$AK$505,"○")&gt;0,1,0))</f>
        <v>0</v>
      </c>
      <c r="O193" s="39" t="n">
        <f aca="false">IF(O$4=0,0,IF(COUNTIFS(実績!$W$6:$W$505,O$3,実績!$AI$6:$AI$505,"&lt;="&amp;$A193,実績!$AJ$6:$AJ$505,"&gt;"&amp;$A193,実績!$AK$6:$AK$505,"○")&gt;0,1,0))</f>
        <v>0</v>
      </c>
      <c r="P193" s="39" t="n">
        <f aca="false">IF(P$4=0,0,IF(COUNTIFS(実績!$W$6:$W$505,P$3,実績!$AI$6:$AI$505,"&lt;="&amp;$A193,実績!$AJ$6:$AJ$505,"&gt;"&amp;$A193,実績!$AK$6:$AK$505,"○")&gt;0,1,0))</f>
        <v>0</v>
      </c>
      <c r="Q193" s="39" t="n">
        <f aca="false">IF(Q$4=0,0,IF(COUNTIFS(実績!$W$6:$W$505,Q$3,実績!$AI$6:$AI$505,"&lt;="&amp;$A193,実績!$AJ$6:$AJ$505,"&gt;"&amp;$A193,実績!$AK$6:$AK$505,"○")&gt;0,1,0))</f>
        <v>0</v>
      </c>
      <c r="R193" s="39" t="n">
        <f aca="false">IF(R$4=0,0,IF(COUNTIFS(実績!$W$6:$W$505,R$3,実績!$AI$6:$AI$505,"&lt;="&amp;$A193,実績!$AJ$6:$AJ$505,"&gt;"&amp;$A193,実績!$AK$6:$AK$505,"○")&gt;0,1,0))</f>
        <v>0</v>
      </c>
      <c r="S193" s="39" t="n">
        <f aca="false">IF(S$4=0,0,IF(COUNTIFS(実績!$W$6:$W$505,S$3,実績!$AI$6:$AI$505,"&lt;="&amp;$A193,実績!$AJ$6:$AJ$505,"&gt;"&amp;$A193,実績!$AK$6:$AK$505,"○")&gt;0,1,0))</f>
        <v>0</v>
      </c>
      <c r="T193" s="39" t="n">
        <f aca="false">IF(T$4=0,0,IF(COUNTIFS(実績!$W$6:$W$505,T$3,実績!$AI$6:$AI$505,"&lt;="&amp;$A193,実績!$AJ$6:$AJ$505,"&gt;"&amp;$A193,実績!$AK$6:$AK$505,"○")&gt;0,1,0))</f>
        <v>0</v>
      </c>
      <c r="U193" s="39" t="n">
        <f aca="false">IF(U$4=0,0,IF(COUNTIFS(実績!$W$6:$W$505,U$3,実績!$AI$6:$AI$505,"&lt;="&amp;$A193,実績!$AJ$6:$AJ$505,"&gt;"&amp;$A193,実績!$AK$6:$AK$505,"○")&gt;0,1,0))</f>
        <v>0</v>
      </c>
      <c r="V193" s="39" t="n">
        <f aca="false">IF(V$4=0,0,IF(COUNTIFS(実績!$W$6:$W$505,V$3,実績!$AI$6:$AI$505,"&lt;="&amp;$A193,実績!$AJ$6:$AJ$505,"&gt;"&amp;$A193,実績!$AK$6:$AK$505,"○")&gt;0,1,0))</f>
        <v>0</v>
      </c>
      <c r="W193" s="39" t="n">
        <f aca="false">IF(W$4=0,0,IF(COUNTIFS(実績!$W$6:$W$505,W$3,実績!$AI$6:$AI$505,"&lt;="&amp;$A193,実績!$AJ$6:$AJ$505,"&gt;"&amp;$A193,実績!$AK$6:$AK$505,"○")&gt;0,1,0))</f>
        <v>0</v>
      </c>
      <c r="X193" s="39" t="n">
        <f aca="false">IF(X$4=0,0,IF(COUNTIFS(実績!$W$6:$W$505,X$3,実績!$AI$6:$AI$505,"&lt;="&amp;$A193,実績!$AJ$6:$AJ$505,"&gt;"&amp;$A193,実績!$AK$6:$AK$505,"○")&gt;0,1,0))</f>
        <v>0</v>
      </c>
      <c r="Y193" s="39" t="n">
        <f aca="false">IF(Y$4=0,0,IF(COUNTIFS(実績!$W$6:$W$505,Y$3,実績!$AI$6:$AI$505,"&lt;="&amp;$A193,実績!$AJ$6:$AJ$505,"&gt;"&amp;$A193,実績!$AK$6:$AK$505,"○")&gt;0,1,0))</f>
        <v>0</v>
      </c>
      <c r="Z193" s="39" t="n">
        <f aca="false">IF(Z$4=0,0,IF(COUNTIFS(実績!$W$6:$W$505,Z$3,実績!$AI$6:$AI$505,"&lt;="&amp;$A193,実績!$AJ$6:$AJ$505,"&gt;"&amp;$A193,実績!$AK$6:$AK$505,"○")&gt;0,1,0))</f>
        <v>0</v>
      </c>
      <c r="AA193" s="39" t="n">
        <f aca="false">IF(AA$4=0,0,IF(COUNTIFS(実績!$W$6:$W$505,AA$3,実績!$AI$6:$AI$505,"&lt;="&amp;$A193,実績!$AJ$6:$AJ$505,"&gt;"&amp;$A193,実績!$AK$6:$AK$505,"○")&gt;0,1,0))</f>
        <v>0</v>
      </c>
      <c r="AB193" s="39" t="n">
        <f aca="false">IF(AB$4=0,0,IF(COUNTIFS(実績!$W$6:$W$505,AB$3,実績!$AI$6:$AI$505,"&lt;="&amp;$A193,実績!$AJ$6:$AJ$505,"&gt;"&amp;$A193,実績!$AK$6:$AK$505,"○")&gt;0,1,0))</f>
        <v>0</v>
      </c>
      <c r="AC193" s="39" t="n">
        <f aca="false">IF(AC$4=0,0,IF(COUNTIFS(実績!$W$6:$W$505,AC$3,実績!$AI$6:$AI$505,"&lt;="&amp;$A193,実績!$AJ$6:$AJ$505,"&gt;"&amp;$A193,実績!$AK$6:$AK$505,"○")&gt;0,1,0))</f>
        <v>0</v>
      </c>
      <c r="AD193" s="39" t="n">
        <f aca="false">IF(AD$4=0,0,IF(COUNTIFS(実績!$W$6:$W$505,AD$3,実績!$AI$6:$AI$505,"&lt;="&amp;$A193,実績!$AJ$6:$AJ$505,"&gt;"&amp;$A193,実績!$AK$6:$AK$505,"○")&gt;0,1,0))</f>
        <v>0</v>
      </c>
      <c r="AE193" s="39" t="n">
        <f aca="false">IF(AE$4=0,0,IF(COUNTIFS(実績!$W$6:$W$505,AE$3,実績!$AI$6:$AI$505,"&lt;="&amp;$A193,実績!$AJ$6:$AJ$505,"&gt;"&amp;$A193,実績!$AK$6:$AK$505,"○")&gt;0,1,0))</f>
        <v>0</v>
      </c>
      <c r="AF193" s="39" t="n">
        <f aca="false">IF(AF$4=0,0,IF(COUNTIFS(実績!$W$6:$W$505,AF$3,実績!$AI$6:$AI$505,"&lt;="&amp;$A193,実績!$AJ$6:$AJ$505,"&gt;"&amp;$A193,実績!$AK$6:$AK$505,"○")&gt;0,1,0))</f>
        <v>0</v>
      </c>
      <c r="AG193" s="39" t="n">
        <f aca="false">IF(AG$4=0,0,IF(COUNTIFS(実績!$W$6:$W$505,AG$3,実績!$AI$6:$AI$505,"&lt;="&amp;$A193,実績!$AJ$6:$AJ$505,"&gt;"&amp;$A193,実績!$AK$6:$AK$505,"○")&gt;0,1,0))</f>
        <v>0</v>
      </c>
      <c r="AH193" s="39" t="n">
        <f aca="false">IF(AH$4=0,0,IF(COUNTIFS(実績!$W$6:$W$505,AH$3,実績!$AI$6:$AI$505,"&lt;="&amp;$A193,実績!$AJ$6:$AJ$505,"&gt;"&amp;$A193,実績!$AK$6:$AK$505,"○")&gt;0,1,0))</f>
        <v>0</v>
      </c>
      <c r="AI193" s="39" t="n">
        <f aca="false">IF(AI$4=0,0,IF(COUNTIFS(実績!$W$6:$W$505,AI$3,実績!$AI$6:$AI$505,"&lt;="&amp;$A193,実績!$AJ$6:$AJ$505,"&gt;"&amp;$A193,実績!$AK$6:$AK$505,"○")&gt;0,1,0))</f>
        <v>0</v>
      </c>
      <c r="AJ193" s="39" t="n">
        <f aca="false">IF(AJ$4=0,0,IF(COUNTIFS(実績!$W$6:$W$505,AJ$3,実績!$AI$6:$AI$505,"&lt;="&amp;$A193,実績!$AJ$6:$AJ$505,"&gt;"&amp;$A193,実績!$AK$6:$AK$505,"○")&gt;0,1,0))</f>
        <v>0</v>
      </c>
      <c r="AK193" s="39" t="n">
        <f aca="false">IF(AK$4=0,0,IF(COUNTIFS(実績!$W$6:$W$505,AK$3,実績!$AI$6:$AI$505,"&lt;="&amp;$A193,実績!$AJ$6:$AJ$505,"&gt;"&amp;$A193,実績!$AK$6:$AK$505,"○")&gt;0,1,0))</f>
        <v>0</v>
      </c>
      <c r="AL193" s="39" t="n">
        <f aca="false">IF(AL$4=0,0,IF(COUNTIFS(実績!$W$6:$W$505,AL$3,実績!$AI$6:$AI$505,"&lt;="&amp;$A193,実績!$AJ$6:$AJ$505,"&gt;"&amp;$A193,実績!$AK$6:$AK$505,"○")&gt;0,1,0))</f>
        <v>0</v>
      </c>
      <c r="AM193" s="39" t="n">
        <f aca="false">IF(AM$4=0,0,IF(COUNTIFS(実績!$W$6:$W$505,AM$3,実績!$AI$6:$AI$505,"&lt;="&amp;$A193,実績!$AJ$6:$AJ$505,"&gt;"&amp;$A193,実績!$AK$6:$AK$505,"○")&gt;0,1,0))</f>
        <v>0</v>
      </c>
      <c r="AN193" s="39" t="n">
        <f aca="false">IF(AN$4=0,0,IF(COUNTIFS(実績!$W$6:$W$505,AN$3,実績!$AI$6:$AI$505,"&lt;="&amp;$A193,実績!$AJ$6:$AJ$505,"&gt;"&amp;$A193,実績!$AK$6:$AK$505,"○")&gt;0,1,0))</f>
        <v>0</v>
      </c>
      <c r="AO193" s="39" t="n">
        <f aca="false">IF(AO$4=0,0,IF(COUNTIFS(実績!$W$6:$W$505,AO$3,実績!$AI$6:$AI$505,"&lt;="&amp;$A193,実績!$AJ$6:$AJ$505,"&gt;"&amp;$A193,実績!$AK$6:$AK$505,"○")&gt;0,1,0))</f>
        <v>0</v>
      </c>
      <c r="AP193" s="39" t="n">
        <f aca="false">IF(AP$4=0,0,IF(COUNTIFS(実績!$W$6:$W$505,AP$3,実績!$AI$6:$AI$505,"&lt;="&amp;$A193,実績!$AJ$6:$AJ$505,"&gt;"&amp;$A193,実績!$AK$6:$AK$505,"○")&gt;0,1,0))</f>
        <v>0</v>
      </c>
      <c r="AQ193" s="39" t="n">
        <f aca="false">IF(AQ$4=0,0,IF(COUNTIFS(実績!$W$6:$W$505,AQ$3,実績!$AI$6:$AI$505,"&lt;="&amp;$A193,実績!$AJ$6:$AJ$505,"&gt;"&amp;$A193,実績!$AK$6:$AK$505,"○")&gt;0,1,0))</f>
        <v>0</v>
      </c>
      <c r="AR193" s="39" t="n">
        <f aca="false">IF(AR$4=0,0,IF(COUNTIFS(実績!$W$6:$W$505,AR$3,実績!$AI$6:$AI$505,"&lt;="&amp;$A193,実績!$AJ$6:$AJ$505,"&gt;"&amp;$A193,実績!$AK$6:$AK$505,"○")&gt;0,1,0))</f>
        <v>0</v>
      </c>
      <c r="AS193" s="39" t="n">
        <f aca="false">IF(AS$4=0,0,IF(COUNTIFS(実績!$W$6:$W$505,AS$3,実績!$AI$6:$AI$505,"&lt;="&amp;$A193,実績!$AJ$6:$AJ$505,"&gt;"&amp;$A193,実績!$AK$6:$AK$505,"○")&gt;0,1,0))</f>
        <v>0</v>
      </c>
      <c r="AT193" s="39" t="n">
        <f aca="false">IF(AT$4=0,0,IF(COUNTIFS(実績!$W$6:$W$505,AT$3,実績!$AI$6:$AI$505,"&lt;="&amp;$A193,実績!$AJ$6:$AJ$505,"&gt;"&amp;$A193,実績!$AK$6:$AK$505,"○")&gt;0,1,0))</f>
        <v>0</v>
      </c>
      <c r="AU193" s="39" t="n">
        <f aca="false">IF(AU$4=0,0,IF(COUNTIFS(実績!$W$6:$W$505,AU$3,実績!$AI$6:$AI$505,"&lt;="&amp;$A193,実績!$AJ$6:$AJ$505,"&gt;"&amp;$A193,実績!$AK$6:$AK$505,"○")&gt;0,1,0))</f>
        <v>0</v>
      </c>
      <c r="AV193" s="39" t="n">
        <f aca="false">IF(AV$4=0,0,IF(COUNTIFS(実績!$W$6:$W$505,AV$3,実績!$AI$6:$AI$505,"&lt;="&amp;$A193,実績!$AJ$6:$AJ$505,"&gt;"&amp;$A193,実績!$AK$6:$AK$505,"○")&gt;0,1,0))</f>
        <v>0</v>
      </c>
      <c r="AW193" s="39" t="n">
        <f aca="false">IF(AW$4=0,0,IF(COUNTIFS(実績!$W$6:$W$505,AW$3,実績!$AI$6:$AI$505,"&lt;="&amp;$A193,実績!$AJ$6:$AJ$505,"&gt;"&amp;$A193,実績!$AK$6:$AK$505,"○")&gt;0,1,0))</f>
        <v>0</v>
      </c>
      <c r="AX193" s="39" t="n">
        <f aca="false">IF(AX$4=0,0,IF(COUNTIFS(実績!$W$6:$W$505,AX$3,実績!$AI$6:$AI$505,"&lt;="&amp;$A193,実績!$AJ$6:$AJ$505,"&gt;"&amp;$A193,実績!$AK$6:$AK$505,"○")&gt;0,1,0))</f>
        <v>0</v>
      </c>
      <c r="AY193" s="39" t="n">
        <f aca="false">IF(AY$4=0,0,IF(COUNTIFS(実績!$W$6:$W$505,AY$3,実績!$AI$6:$AI$505,"&lt;="&amp;$A193,実績!$AJ$6:$AJ$505,"&gt;"&amp;$A193,実績!$AK$6:$AK$505,"○")&gt;0,1,0))</f>
        <v>0</v>
      </c>
      <c r="AZ193" s="39" t="n">
        <f aca="false">IF(AZ$4=0,0,IF(COUNTIFS(実績!$W$6:$W$505,AZ$3,実績!$AI$6:$AI$505,"&lt;="&amp;$A193,実績!$AJ$6:$AJ$505,"&gt;"&amp;$A193,実績!$AK$6:$AK$505,"○")&gt;0,1,0))</f>
        <v>0</v>
      </c>
      <c r="BA193" s="39" t="n">
        <f aca="false">IF(BA$4=0,0,IF(COUNTIFS(実績!$W$6:$W$505,BA$3,実績!$AI$6:$AI$505,"&lt;="&amp;$A193,実績!$AJ$6:$AJ$505,"&gt;"&amp;$A193,実績!$AK$6:$AK$505,"○")&gt;0,1,0))</f>
        <v>0</v>
      </c>
      <c r="BB193" s="39" t="n">
        <f aca="false">IF(BB$4=0,0,IF(COUNTIFS(実績!$W$6:$W$505,BB$3,実績!$AI$6:$AI$505,"&lt;="&amp;$A193,実績!$AJ$6:$AJ$505,"&gt;"&amp;$A193,実績!$AK$6:$AK$505,"○")&gt;0,1,0))</f>
        <v>0</v>
      </c>
      <c r="BC193" s="39" t="n">
        <f aca="false">IF(BC$4=0,0,IF(COUNTIFS(実績!$W$6:$W$505,BC$3,実績!$AI$6:$AI$505,"&lt;="&amp;$A193,実績!$AJ$6:$AJ$505,"&gt;"&amp;$A193,実績!$AK$6:$AK$505,"○")&gt;0,1,0))</f>
        <v>0</v>
      </c>
      <c r="BD193" s="39" t="n">
        <f aca="false">IF(BD$4=0,0,IF(COUNTIFS(実績!$W$6:$W$505,BD$3,実績!$AI$6:$AI$505,"&lt;="&amp;$A193,実績!$AJ$6:$AJ$505,"&gt;"&amp;$A193,実績!$AK$6:$AK$505,"○")&gt;0,1,0))</f>
        <v>0</v>
      </c>
      <c r="BE193" s="39" t="n">
        <f aca="false">IF(BE$4=0,0,IF(COUNTIFS(実績!$W$6:$W$505,BE$3,実績!$AI$6:$AI$505,"&lt;="&amp;$A193,実績!$AJ$6:$AJ$505,"&gt;"&amp;$A193,実績!$AK$6:$AK$505,"○")&gt;0,1,0))</f>
        <v>0</v>
      </c>
      <c r="BF193" s="39" t="n">
        <f aca="false">IF(BF$4=0,0,IF(COUNTIFS(実績!$W$6:$W$505,BF$3,実績!$AI$6:$AI$505,"&lt;="&amp;$A193,実績!$AJ$6:$AJ$505,"&gt;"&amp;$A193,実績!$AK$6:$AK$505,"○")&gt;0,1,0))</f>
        <v>0</v>
      </c>
      <c r="BG193" s="39" t="n">
        <f aca="false">IF(BG$4=0,0,IF(COUNTIFS(実績!$W$6:$W$505,BG$3,実績!$AI$6:$AI$505,"&lt;="&amp;$A193,実績!$AJ$6:$AJ$505,"&gt;"&amp;$A193,実績!$AK$6:$AK$505,"○")&gt;0,1,0))</f>
        <v>0</v>
      </c>
      <c r="BH193" s="39" t="n">
        <f aca="false">IF(BH$4=0,0,IF(COUNTIFS(実績!$W$6:$W$505,BH$3,実績!$AI$6:$AI$505,"&lt;="&amp;$A193,実績!$AJ$6:$AJ$505,"&gt;"&amp;$A193,実績!$AK$6:$AK$505,"○")&gt;0,1,0))</f>
        <v>0</v>
      </c>
      <c r="BI193" s="39" t="n">
        <f aca="false">IF(BI$4=0,0,IF(COUNTIFS(実績!$W$6:$W$505,BI$3,実績!$AI$6:$AI$505,"&lt;="&amp;$A193,実績!$AJ$6:$AJ$505,"&gt;"&amp;$A193,実績!$AK$6:$AK$505,"○")&gt;0,1,0))</f>
        <v>0</v>
      </c>
      <c r="BJ193" s="39" t="n">
        <f aca="false">IF(BJ$4=0,0,IF(COUNTIFS(実績!$W$6:$W$505,BJ$3,実績!$AI$6:$AI$505,"&lt;="&amp;$A193,実績!$AJ$6:$AJ$505,"&gt;"&amp;$A193,実績!$AK$6:$AK$505,"○")&gt;0,1,0))</f>
        <v>0</v>
      </c>
      <c r="BK193" s="39" t="n">
        <f aca="false">IF(BK$4=0,0,IF(COUNTIFS(実績!$W$6:$W$505,BK$3,実績!$AI$6:$AI$505,"&lt;="&amp;$A193,実績!$AJ$6:$AJ$505,"&gt;"&amp;$A193,実績!$AK$6:$AK$505,"○")&gt;0,1,0))</f>
        <v>0</v>
      </c>
      <c r="BL193" s="39" t="n">
        <f aca="false">IF(BL$4=0,0,IF(COUNTIFS(実績!$W$6:$W$505,BL$3,実績!$AI$6:$AI$505,"&lt;="&amp;$A193,実績!$AJ$6:$AJ$505,"&gt;"&amp;$A193,実績!$AK$6:$AK$505,"○")&gt;0,1,0))</f>
        <v>0</v>
      </c>
      <c r="BM193" s="39" t="n">
        <f aca="false">IF(BM$4=0,0,IF(COUNTIFS(実績!$W$6:$W$505,BM$3,実績!$AI$6:$AI$505,"&lt;="&amp;$A193,実績!$AJ$6:$AJ$505,"&gt;"&amp;$A193,実績!$AK$6:$AK$505,"○")&gt;0,1,0))</f>
        <v>0</v>
      </c>
      <c r="BN193" s="39" t="n">
        <f aca="false">IF(BN$4=0,0,IF(COUNTIFS(実績!$W$6:$W$505,BN$3,実績!$AI$6:$AI$505,"&lt;="&amp;$A193,実績!$AJ$6:$AJ$505,"&gt;"&amp;$A193,実績!$AK$6:$AK$505,"○")&gt;0,1,0))</f>
        <v>0</v>
      </c>
      <c r="BO193" s="39" t="n">
        <f aca="false">IF(BO$4=0,0,IF(COUNTIFS(実績!$W$6:$W$505,BO$3,実績!$AI$6:$AI$505,"&lt;="&amp;$A193,実績!$AJ$6:$AJ$505,"&gt;"&amp;$A193,実績!$AK$6:$AK$505,"○")&gt;0,1,0))</f>
        <v>0</v>
      </c>
      <c r="BP193" s="39" t="n">
        <f aca="false">IF(BP$4=0,0,IF(COUNTIFS(実績!$W$6:$W$505,BP$3,実績!$AI$6:$AI$505,"&lt;="&amp;$A193,実績!$AJ$6:$AJ$505,"&gt;"&amp;$A193,実績!$AK$6:$AK$505,"○")&gt;0,1,0))</f>
        <v>0</v>
      </c>
      <c r="BQ193" s="39" t="n">
        <f aca="false">IF(BQ$4=0,0,IF(COUNTIFS(実績!$W$6:$W$505,BQ$3,実績!$AI$6:$AI$505,"&lt;="&amp;$A193,実績!$AJ$6:$AJ$505,"&gt;"&amp;$A193,実績!$AK$6:$AK$505,"○")&gt;0,1,0))</f>
        <v>0</v>
      </c>
      <c r="BR193" s="39" t="n">
        <f aca="false">IF(BR$4=0,0,IF(COUNTIFS(実績!$W$6:$W$505,BR$3,実績!$AI$6:$AI$505,"&lt;="&amp;$A193,実績!$AJ$6:$AJ$505,"&gt;"&amp;$A193,実績!$AK$6:$AK$505,"○")&gt;0,1,0))</f>
        <v>0</v>
      </c>
      <c r="BS193" s="39" t="n">
        <f aca="false">IF(BS$4=0,0,IF(COUNTIFS(実績!$W$6:$W$505,BS$3,実績!$AI$6:$AI$505,"&lt;="&amp;$A193,実績!$AJ$6:$AJ$505,"&gt;"&amp;$A193,実績!$AK$6:$AK$505,"○")&gt;0,1,0))</f>
        <v>0</v>
      </c>
      <c r="BT193" s="39" t="n">
        <f aca="false">IF(BT$4=0,0,IF(COUNTIFS(実績!$W$6:$W$505,BT$3,実績!$AI$6:$AI$505,"&lt;="&amp;$A193,実績!$AJ$6:$AJ$505,"&gt;"&amp;$A193,実績!$AK$6:$AK$505,"○")&gt;0,1,0))</f>
        <v>0</v>
      </c>
      <c r="BU193" s="39" t="n">
        <f aca="false">IF(BU$4=0,0,IF(COUNTIFS(実績!$W$6:$W$505,BU$3,実績!$AI$6:$AI$505,"&lt;="&amp;$A193,実績!$AJ$6:$AJ$505,"&gt;"&amp;$A193,実績!$AK$6:$AK$505,"○")&gt;0,1,0))</f>
        <v>0</v>
      </c>
      <c r="BV193" s="39" t="n">
        <f aca="false">IF(BV$4=0,0,IF(COUNTIFS(実績!$W$6:$W$505,BV$3,実績!$AI$6:$AI$505,"&lt;="&amp;$A193,実績!$AJ$6:$AJ$505,"&gt;"&amp;$A193,実績!$AK$6:$AK$505,"○")&gt;0,1,0))</f>
        <v>0</v>
      </c>
      <c r="BW193" s="39" t="n">
        <f aca="false">IF(BW$4=0,0,IF(COUNTIFS(実績!$W$6:$W$505,BW$3,実績!$AI$6:$AI$505,"&lt;="&amp;$A193,実績!$AJ$6:$AJ$505,"&gt;"&amp;$A193,実績!$AK$6:$AK$505,"○")&gt;0,1,0))</f>
        <v>0</v>
      </c>
      <c r="BX193" s="39" t="n">
        <f aca="false">IF(BX$4=0,0,IF(COUNTIFS(実績!$W$6:$W$505,BX$3,実績!$AI$6:$AI$505,"&lt;="&amp;$A193,実績!$AJ$6:$AJ$505,"&gt;"&amp;$A193,実績!$AK$6:$AK$505,"○")&gt;0,1,0))</f>
        <v>0</v>
      </c>
      <c r="BY193" s="39" t="n">
        <f aca="false">IF(BY$4=0,0,IF(COUNTIFS(実績!$W$6:$W$505,BY$3,実績!$AI$6:$AI$505,"&lt;="&amp;$A193,実績!$AJ$6:$AJ$505,"&gt;"&amp;$A193,実績!$AK$6:$AK$505,"○")&gt;0,1,0))</f>
        <v>0</v>
      </c>
      <c r="BZ193" s="39" t="n">
        <f aca="false">IF(BZ$4=0,0,IF(COUNTIFS(実績!$W$6:$W$505,BZ$3,実績!$AI$6:$AI$505,"&lt;="&amp;$A193,実績!$AJ$6:$AJ$505,"&gt;"&amp;$A193,実績!$AK$6:$AK$505,"○")&gt;0,1,0))</f>
        <v>0</v>
      </c>
      <c r="CA193" s="39" t="n">
        <f aca="false">IF(CA$4=0,0,IF(COUNTIFS(実績!$W$6:$W$505,CA$3,実績!$AI$6:$AI$505,"&lt;="&amp;$A193,実績!$AJ$6:$AJ$505,"&gt;"&amp;$A193,実績!$AK$6:$AK$505,"○")&gt;0,1,0))</f>
        <v>0</v>
      </c>
      <c r="CB193" s="39" t="n">
        <f aca="false">IF(CB$4=0,0,IF(COUNTIFS(実績!$W$6:$W$505,CB$3,実績!$AI$6:$AI$505,"&lt;="&amp;$A193,実績!$AJ$6:$AJ$505,"&gt;"&amp;$A193,実績!$AK$6:$AK$505,"○")&gt;0,1,0))</f>
        <v>0</v>
      </c>
      <c r="CC193" s="39" t="n">
        <f aca="false">IF(CC$4=0,0,IF(COUNTIFS(実績!$W$6:$W$505,CC$3,実績!$AI$6:$AI$505,"&lt;="&amp;$A193,実績!$AJ$6:$AJ$505,"&gt;"&amp;$A193,実績!$AK$6:$AK$505,"○")&gt;0,1,0))</f>
        <v>0</v>
      </c>
      <c r="CD193" s="39" t="n">
        <f aca="false">IF(CD$4=0,0,IF(COUNTIFS(実績!$W$6:$W$505,CD$3,実績!$AI$6:$AI$505,"&lt;="&amp;$A193,実績!$AJ$6:$AJ$505,"&gt;"&amp;$A193,実績!$AK$6:$AK$505,"○")&gt;0,1,0))</f>
        <v>0</v>
      </c>
      <c r="CE193" s="39" t="n">
        <f aca="false">IF(CE$4=0,0,IF(COUNTIFS(実績!$W$6:$W$505,CE$3,実績!$AI$6:$AI$505,"&lt;="&amp;$A193,実績!$AJ$6:$AJ$505,"&gt;"&amp;$A193,実績!$AK$6:$AK$505,"○")&gt;0,1,0))</f>
        <v>0</v>
      </c>
      <c r="CF193" s="39" t="n">
        <f aca="false">IF(CF$4=0,0,IF(COUNTIFS(実績!$W$6:$W$505,CF$3,実績!$AI$6:$AI$505,"&lt;="&amp;$A193,実績!$AJ$6:$AJ$505,"&gt;"&amp;$A193,実績!$AK$6:$AK$505,"○")&gt;0,1,0))</f>
        <v>0</v>
      </c>
      <c r="CG193" s="39" t="n">
        <f aca="false">IF(CG$4=0,0,IF(COUNTIFS(実績!$W$6:$W$505,CG$3,実績!$AI$6:$AI$505,"&lt;="&amp;$A193,実績!$AJ$6:$AJ$505,"&gt;"&amp;$A193,実績!$AK$6:$AK$505,"○")&gt;0,1,0))</f>
        <v>0</v>
      </c>
      <c r="CH193" s="39" t="n">
        <f aca="false">IF(CH$4=0,0,IF(COUNTIFS(実績!$W$6:$W$505,CH$3,実績!$AI$6:$AI$505,"&lt;="&amp;$A193,実績!$AJ$6:$AJ$505,"&gt;"&amp;$A193,実績!$AK$6:$AK$505,"○")&gt;0,1,0))</f>
        <v>0</v>
      </c>
      <c r="CI193" s="39" t="n">
        <f aca="false">IF(CI$4=0,0,IF(COUNTIFS(実績!$W$6:$W$505,CI$3,実績!$AI$6:$AI$505,"&lt;="&amp;$A193,実績!$AJ$6:$AJ$505,"&gt;"&amp;$A193,実績!$AK$6:$AK$505,"○")&gt;0,1,0))</f>
        <v>0</v>
      </c>
      <c r="CJ193" s="39" t="n">
        <f aca="false">IF(CJ$4=0,0,IF(COUNTIFS(実績!$W$6:$W$505,CJ$3,実績!$AI$6:$AI$505,"&lt;="&amp;$A193,実績!$AJ$6:$AJ$505,"&gt;"&amp;$A193,実績!$AK$6:$AK$505,"○")&gt;0,1,0))</f>
        <v>0</v>
      </c>
      <c r="CK193" s="39" t="n">
        <f aca="false">IF(CK$4=0,0,IF(COUNTIFS(実績!$W$6:$W$505,CK$3,実績!$AI$6:$AI$505,"&lt;="&amp;$A193,実績!$AJ$6:$AJ$505,"&gt;"&amp;$A193,実績!$AK$6:$AK$505,"○")&gt;0,1,0))</f>
        <v>0</v>
      </c>
      <c r="CL193" s="39" t="n">
        <f aca="false">IF(CL$4=0,0,IF(COUNTIFS(実績!$W$6:$W$505,CL$3,実績!$AI$6:$AI$505,"&lt;="&amp;$A193,実績!$AJ$6:$AJ$505,"&gt;"&amp;$A193,実績!$AK$6:$AK$505,"○")&gt;0,1,0))</f>
        <v>0</v>
      </c>
      <c r="CM193" s="39" t="n">
        <f aca="false">IF(CM$4=0,0,IF(COUNTIFS(実績!$W$6:$W$505,CM$3,実績!$AI$6:$AI$505,"&lt;="&amp;$A193,実績!$AJ$6:$AJ$505,"&gt;"&amp;$A193,実績!$AK$6:$AK$505,"○")&gt;0,1,0))</f>
        <v>0</v>
      </c>
      <c r="CN193" s="39" t="n">
        <f aca="false">IF(CN$4=0,0,IF(COUNTIFS(実績!$W$6:$W$505,CN$3,実績!$AI$6:$AI$505,"&lt;="&amp;$A193,実績!$AJ$6:$AJ$505,"&gt;"&amp;$A193,実績!$AK$6:$AK$505,"○")&gt;0,1,0))</f>
        <v>0</v>
      </c>
      <c r="CO193" s="39" t="n">
        <f aca="false">IF(CO$4=0,0,IF(COUNTIFS(実績!$W$6:$W$505,CO$3,実績!$AI$6:$AI$505,"&lt;="&amp;$A193,実績!$AJ$6:$AJ$505,"&gt;"&amp;$A193,実績!$AK$6:$AK$505,"○")&gt;0,1,0))</f>
        <v>0</v>
      </c>
      <c r="CP193" s="39" t="n">
        <f aca="false">IF(CP$4=0,0,IF(COUNTIFS(実績!$W$6:$W$505,CP$3,実績!$AI$6:$AI$505,"&lt;="&amp;$A193,実績!$AJ$6:$AJ$505,"&gt;"&amp;$A193,実績!$AK$6:$AK$505,"○")&gt;0,1,0))</f>
        <v>0</v>
      </c>
      <c r="CQ193" s="39" t="n">
        <f aca="false">IF(CQ$4=0,0,IF(COUNTIFS(実績!$W$6:$W$505,CQ$3,実績!$AI$6:$AI$505,"&lt;="&amp;$A193,実績!$AJ$6:$AJ$505,"&gt;"&amp;$A193,実績!$AK$6:$AK$505,"○")&gt;0,1,0))</f>
        <v>0</v>
      </c>
      <c r="CR193" s="39" t="n">
        <f aca="false">IF(CR$4=0,0,IF(COUNTIFS(実績!$W$6:$W$505,CR$3,実績!$AI$6:$AI$505,"&lt;="&amp;$A193,実績!$AJ$6:$AJ$505,"&gt;"&amp;$A193,実績!$AK$6:$AK$505,"○")&gt;0,1,0))</f>
        <v>0</v>
      </c>
      <c r="CS193" s="39" t="n">
        <f aca="false">IF(CS$4=0,0,IF(COUNTIFS(実績!$W$6:$W$505,CS$3,実績!$AI$6:$AI$505,"&lt;="&amp;$A193,実績!$AJ$6:$AJ$505,"&gt;"&amp;$A193,実績!$AK$6:$AK$505,"○")&gt;0,1,0))</f>
        <v>0</v>
      </c>
      <c r="CT193" s="39" t="n">
        <f aca="false">IF(CT$4=0,0,IF(COUNTIFS(実績!$W$6:$W$505,CT$3,実績!$AI$6:$AI$505,"&lt;="&amp;$A193,実績!$AJ$6:$AJ$505,"&gt;"&amp;$A193,実績!$AK$6:$AK$505,"○")&gt;0,1,0))</f>
        <v>0</v>
      </c>
      <c r="CU193" s="39" t="n">
        <f aca="false">IF(CU$4=0,0,IF(COUNTIFS(実績!$W$6:$W$505,CU$3,実績!$AI$6:$AI$505,"&lt;="&amp;$A193,実績!$AJ$6:$AJ$505,"&gt;"&amp;$A193,実績!$AK$6:$AK$505,"○")&gt;0,1,0))</f>
        <v>0</v>
      </c>
      <c r="CV193" s="39" t="n">
        <f aca="false">IF(CV$4=0,0,IF(COUNTIFS(実績!$W$6:$W$505,CV$3,実績!$AI$6:$AI$505,"&lt;="&amp;$A193,実績!$AJ$6:$AJ$505,"&gt;"&amp;$A193,実績!$AK$6:$AK$505,"○")&gt;0,1,0))</f>
        <v>0</v>
      </c>
      <c r="CW193" s="39" t="n">
        <f aca="false">IF(CW$4=0,0,IF(COUNTIFS(実績!$W$6:$W$505,CW$3,実績!$AI$6:$AI$505,"&lt;="&amp;$A193,実績!$AJ$6:$AJ$505,"&gt;"&amp;$A193,実績!$AK$6:$AK$505,"○")&gt;0,1,0))</f>
        <v>0</v>
      </c>
      <c r="CX193" s="39" t="n">
        <f aca="false">IF(CX$4=0,0,IF(COUNTIFS(実績!$W$6:$W$505,CX$3,実績!$AI$6:$AI$505,"&lt;="&amp;$A193,実績!$AJ$6:$AJ$505,"&gt;"&amp;$A193,実績!$AK$6:$AK$505,"○")&gt;0,1,0))</f>
        <v>0</v>
      </c>
      <c r="CY193" s="39" t="n">
        <f aca="false">IF(CY$4=0,0,IF(COUNTIFS(実績!$W$6:$W$505,CY$3,実績!$AI$6:$AI$505,"&lt;="&amp;$A193,実績!$AJ$6:$AJ$505,"&gt;"&amp;$A193,実績!$AK$6:$AK$505,"○")&gt;0,1,0))</f>
        <v>0</v>
      </c>
      <c r="CZ193" s="39" t="n">
        <f aca="false">IF(CZ$4=0,0,IF(COUNTIFS(実績!$W$6:$W$505,CZ$3,実績!$AI$6:$AI$505,"&lt;="&amp;$A193,実績!$AJ$6:$AJ$505,"&gt;"&amp;$A193,実績!$AK$6:$AK$505,"○")&gt;0,1,0))</f>
        <v>0</v>
      </c>
      <c r="DA193" s="39" t="n">
        <f aca="false">IF(DA$4=0,0,IF(COUNTIFS(実績!$W$6:$W$505,DA$3,実績!$AI$6:$AI$505,"&lt;="&amp;$A193,実績!$AJ$6:$AJ$505,"&gt;"&amp;$A193,実績!$AK$6:$AK$505,"○")&gt;0,1,0))</f>
        <v>0</v>
      </c>
      <c r="DB193" s="39" t="n">
        <f aca="false">IF(DB$4=0,0,IF(COUNTIFS(実績!$W$6:$W$505,DB$3,実績!$AI$6:$AI$505,"&lt;="&amp;$A193,実績!$AJ$6:$AJ$505,"&gt;"&amp;$A193,実績!$AK$6:$AK$505,"○")&gt;0,1,0))</f>
        <v>0</v>
      </c>
      <c r="DC193" s="39" t="n">
        <f aca="false">IF(DC$4=0,0,IF(COUNTIFS(実績!$W$6:$W$505,DC$3,実績!$AI$6:$AI$505,"&lt;="&amp;$A193,実績!$AJ$6:$AJ$505,"&gt;"&amp;$A193,実績!$AK$6:$AK$505,"○")&gt;0,1,0))</f>
        <v>0</v>
      </c>
      <c r="DD193" s="39" t="n">
        <f aca="false">IF(DD$4=0,0,IF(COUNTIFS(実績!$W$6:$W$505,DD$3,実績!$AI$6:$AI$505,"&lt;="&amp;$A193,実績!$AJ$6:$AJ$505,"&gt;"&amp;$A193,実績!$AK$6:$AK$505,"○")&gt;0,1,0))</f>
        <v>0</v>
      </c>
      <c r="DE193" s="39" t="n">
        <f aca="false">IF(DE$4=0,0,IF(COUNTIFS(実績!$W$6:$W$505,DE$3,実績!$AI$6:$AI$505,"&lt;="&amp;$A193,実績!$AJ$6:$AJ$505,"&gt;"&amp;$A193,実績!$AK$6:$AK$505,"○")&gt;0,1,0))</f>
        <v>0</v>
      </c>
      <c r="DF193" s="39" t="n">
        <f aca="false">IF(DF$4=0,0,IF(COUNTIFS(実績!$W$6:$W$505,DF$3,実績!$AI$6:$AI$505,"&lt;="&amp;$A193,実績!$AJ$6:$AJ$505,"&gt;"&amp;$A193,実績!$AK$6:$AK$505,"○")&gt;0,1,0))</f>
        <v>0</v>
      </c>
      <c r="DG193" s="39" t="n">
        <f aca="false">IF(DG$4=0,0,IF(COUNTIFS(実績!$W$6:$W$505,DG$3,実績!$AI$6:$AI$505,"&lt;="&amp;$A193,実績!$AJ$6:$AJ$505,"&gt;"&amp;$A193,実績!$AK$6:$AK$505,"○")&gt;0,1,0))</f>
        <v>0</v>
      </c>
      <c r="DH193" s="39" t="n">
        <f aca="false">IF(DH$4=0,0,IF(COUNTIFS(実績!$W$6:$W$505,DH$3,実績!$AI$6:$AI$505,"&lt;="&amp;$A193,実績!$AJ$6:$AJ$505,"&gt;"&amp;$A193,実績!$AK$6:$AK$505,"○")&gt;0,1,0))</f>
        <v>0</v>
      </c>
      <c r="DI193" s="39" t="n">
        <f aca="false">IF(DI$4=0,0,IF(COUNTIFS(実績!$W$6:$W$505,DI$3,実績!$AI$6:$AI$505,"&lt;="&amp;$A193,実績!$AJ$6:$AJ$505,"&gt;"&amp;$A193,実績!$AK$6:$AK$505,"○")&gt;0,1,0))</f>
        <v>0</v>
      </c>
      <c r="DJ193" s="39" t="n">
        <f aca="false">IF(DJ$4=0,0,IF(COUNTIFS(実績!$W$6:$W$505,DJ$3,実績!$AI$6:$AI$505,"&lt;="&amp;$A193,実績!$AJ$6:$AJ$505,"&gt;"&amp;$A193,実績!$AK$6:$AK$505,"○")&gt;0,1,0))</f>
        <v>0</v>
      </c>
      <c r="DK193" s="39" t="n">
        <f aca="false">IF(DK$4=0,0,IF(COUNTIFS(実績!$W$6:$W$505,DK$3,実績!$AI$6:$AI$505,"&lt;="&amp;$A193,実績!$AJ$6:$AJ$505,"&gt;"&amp;$A193,実績!$AK$6:$AK$505,"○")&gt;0,1,0))</f>
        <v>0</v>
      </c>
      <c r="DL193" s="39" t="n">
        <f aca="false">IF(DL$4=0,0,IF(COUNTIFS(実績!$W$6:$W$505,DL$3,実績!$AI$6:$AI$505,"&lt;="&amp;$A193,実績!$AJ$6:$AJ$505,"&gt;"&amp;$A193,実績!$AK$6:$AK$505,"○")&gt;0,1,0))</f>
        <v>0</v>
      </c>
      <c r="DM193" s="39" t="n">
        <f aca="false">IF(DM$4=0,0,IF(COUNTIFS(実績!$W$6:$W$505,DM$3,実績!$AI$6:$AI$505,"&lt;="&amp;$A193,実績!$AJ$6:$AJ$505,"&gt;"&amp;$A193,実績!$AK$6:$AK$505,"○")&gt;0,1,0))</f>
        <v>0</v>
      </c>
      <c r="DN193" s="39" t="n">
        <f aca="false">IF(DN$4=0,0,IF(COUNTIFS(実績!$W$6:$W$505,DN$3,実績!$AI$6:$AI$505,"&lt;="&amp;$A193,実績!$AJ$6:$AJ$505,"&gt;"&amp;$A193,実績!$AK$6:$AK$505,"○")&gt;0,1,0))</f>
        <v>0</v>
      </c>
      <c r="DO193" s="39" t="n">
        <f aca="false">IF(DO$4=0,0,IF(COUNTIFS(実績!$W$6:$W$505,DO$3,実績!$AI$6:$AI$505,"&lt;="&amp;$A193,実績!$AJ$6:$AJ$505,"&gt;"&amp;$A193,実績!$AK$6:$AK$505,"○")&gt;0,1,0))</f>
        <v>0</v>
      </c>
      <c r="DP193" s="39" t="n">
        <f aca="false">IF(DP$4=0,0,IF(COUNTIFS(実績!$W$6:$W$505,DP$3,実績!$AI$6:$AI$505,"&lt;="&amp;$A193,実績!$AJ$6:$AJ$505,"&gt;"&amp;$A193,実績!$AK$6:$AK$505,"○")&gt;0,1,0))</f>
        <v>0</v>
      </c>
      <c r="DQ193" s="39" t="n">
        <f aca="false">IF(DQ$4=0,0,IF(COUNTIFS(実績!$W$6:$W$505,DQ$3,実績!$AI$6:$AI$505,"&lt;="&amp;$A193,実績!$AJ$6:$AJ$505,"&gt;"&amp;$A193,実績!$AK$6:$AK$505,"○")&gt;0,1,0))</f>
        <v>0</v>
      </c>
      <c r="DR193" s="39" t="n">
        <f aca="false">IF(DR$4=0,0,IF(COUNTIFS(実績!$W$6:$W$505,DR$3,実績!$AI$6:$AI$505,"&lt;="&amp;$A193,実績!$AJ$6:$AJ$505,"&gt;"&amp;$A193,実績!$AK$6:$AK$505,"○")&gt;0,1,0))</f>
        <v>0</v>
      </c>
      <c r="DS193" s="39" t="n">
        <f aca="false">SUM(C193:DR193)</f>
        <v>0</v>
      </c>
      <c r="DT193" s="39" t="n">
        <f aca="false">SUMPRODUCT((実績!$C$6:$C$505="○")*ISNUMBER(実績!$AM$6:$AM$505)*(実績!$AM$6:$AM$505&lt;=$A193)*(実績!$AN$6:$AN$505&gt;$A193))</f>
        <v>0</v>
      </c>
      <c r="DU193" s="39" t="n">
        <f aca="false">SUMIF($C$2:$DR$2,"製鉄曳船",C193:DR193)</f>
        <v>0</v>
      </c>
      <c r="DV193" s="39" t="n">
        <f aca="false">SUMIF($C$2:$DR$2,"西日本海運",C193:DR193)</f>
        <v>0</v>
      </c>
    </row>
    <row r="194" customFormat="false" ht="15" hidden="false" customHeight="false" outlineLevel="0" collapsed="false">
      <c r="A194" s="0" t="n">
        <v>940</v>
      </c>
      <c r="B194" s="38" t="n">
        <f aca="false">A194/1440</f>
        <v>0.652777777777778</v>
      </c>
      <c r="C194" s="39" t="n">
        <f aca="false">IF(C$4=0,0,IF(COUNTIFS(実績!$W$6:$W$505,C$3,実績!$AI$6:$AI$505,"&lt;="&amp;$A194,実績!$AJ$6:$AJ$505,"&gt;"&amp;$A194,実績!$AK$6:$AK$505,"○")&gt;0,1,0))</f>
        <v>0</v>
      </c>
      <c r="D194" s="39" t="n">
        <f aca="false">IF(D$4=0,0,IF(COUNTIFS(実績!$W$6:$W$505,D$3,実績!$AI$6:$AI$505,"&lt;="&amp;$A194,実績!$AJ$6:$AJ$505,"&gt;"&amp;$A194,実績!$AK$6:$AK$505,"○")&gt;0,1,0))</f>
        <v>0</v>
      </c>
      <c r="E194" s="39" t="n">
        <f aca="false">IF(E$4=0,0,IF(COUNTIFS(実績!$W$6:$W$505,E$3,実績!$AI$6:$AI$505,"&lt;="&amp;$A194,実績!$AJ$6:$AJ$505,"&gt;"&amp;$A194,実績!$AK$6:$AK$505,"○")&gt;0,1,0))</f>
        <v>0</v>
      </c>
      <c r="F194" s="39" t="n">
        <f aca="false">IF(F$4=0,0,IF(COUNTIFS(実績!$W$6:$W$505,F$3,実績!$AI$6:$AI$505,"&lt;="&amp;$A194,実績!$AJ$6:$AJ$505,"&gt;"&amp;$A194,実績!$AK$6:$AK$505,"○")&gt;0,1,0))</f>
        <v>0</v>
      </c>
      <c r="G194" s="39" t="n">
        <f aca="false">IF(G$4=0,0,IF(COUNTIFS(実績!$W$6:$W$505,G$3,実績!$AI$6:$AI$505,"&lt;="&amp;$A194,実績!$AJ$6:$AJ$505,"&gt;"&amp;$A194,実績!$AK$6:$AK$505,"○")&gt;0,1,0))</f>
        <v>0</v>
      </c>
      <c r="H194" s="39" t="n">
        <f aca="false">IF(H$4=0,0,IF(COUNTIFS(実績!$W$6:$W$505,H$3,実績!$AI$6:$AI$505,"&lt;="&amp;$A194,実績!$AJ$6:$AJ$505,"&gt;"&amp;$A194,実績!$AK$6:$AK$505,"○")&gt;0,1,0))</f>
        <v>0</v>
      </c>
      <c r="I194" s="39" t="n">
        <f aca="false">IF(I$4=0,0,IF(COUNTIFS(実績!$W$6:$W$505,I$3,実績!$AI$6:$AI$505,"&lt;="&amp;$A194,実績!$AJ$6:$AJ$505,"&gt;"&amp;$A194,実績!$AK$6:$AK$505,"○")&gt;0,1,0))</f>
        <v>0</v>
      </c>
      <c r="J194" s="39" t="n">
        <f aca="false">IF(J$4=0,0,IF(COUNTIFS(実績!$W$6:$W$505,J$3,実績!$AI$6:$AI$505,"&lt;="&amp;$A194,実績!$AJ$6:$AJ$505,"&gt;"&amp;$A194,実績!$AK$6:$AK$505,"○")&gt;0,1,0))</f>
        <v>0</v>
      </c>
      <c r="K194" s="39" t="n">
        <f aca="false">IF(K$4=0,0,IF(COUNTIFS(実績!$W$6:$W$505,K$3,実績!$AI$6:$AI$505,"&lt;="&amp;$A194,実績!$AJ$6:$AJ$505,"&gt;"&amp;$A194,実績!$AK$6:$AK$505,"○")&gt;0,1,0))</f>
        <v>0</v>
      </c>
      <c r="L194" s="39" t="n">
        <f aca="false">IF(L$4=0,0,IF(COUNTIFS(実績!$W$6:$W$505,L$3,実績!$AI$6:$AI$505,"&lt;="&amp;$A194,実績!$AJ$6:$AJ$505,"&gt;"&amp;$A194,実績!$AK$6:$AK$505,"○")&gt;0,1,0))</f>
        <v>0</v>
      </c>
      <c r="M194" s="39" t="n">
        <f aca="false">IF(M$4=0,0,IF(COUNTIFS(実績!$W$6:$W$505,M$3,実績!$AI$6:$AI$505,"&lt;="&amp;$A194,実績!$AJ$6:$AJ$505,"&gt;"&amp;$A194,実績!$AK$6:$AK$505,"○")&gt;0,1,0))</f>
        <v>0</v>
      </c>
      <c r="N194" s="39" t="n">
        <f aca="false">IF(N$4=0,0,IF(COUNTIFS(実績!$W$6:$W$505,N$3,実績!$AI$6:$AI$505,"&lt;="&amp;$A194,実績!$AJ$6:$AJ$505,"&gt;"&amp;$A194,実績!$AK$6:$AK$505,"○")&gt;0,1,0))</f>
        <v>0</v>
      </c>
      <c r="O194" s="39" t="n">
        <f aca="false">IF(O$4=0,0,IF(COUNTIFS(実績!$W$6:$W$505,O$3,実績!$AI$6:$AI$505,"&lt;="&amp;$A194,実績!$AJ$6:$AJ$505,"&gt;"&amp;$A194,実績!$AK$6:$AK$505,"○")&gt;0,1,0))</f>
        <v>0</v>
      </c>
      <c r="P194" s="39" t="n">
        <f aca="false">IF(P$4=0,0,IF(COUNTIFS(実績!$W$6:$W$505,P$3,実績!$AI$6:$AI$505,"&lt;="&amp;$A194,実績!$AJ$6:$AJ$505,"&gt;"&amp;$A194,実績!$AK$6:$AK$505,"○")&gt;0,1,0))</f>
        <v>0</v>
      </c>
      <c r="Q194" s="39" t="n">
        <f aca="false">IF(Q$4=0,0,IF(COUNTIFS(実績!$W$6:$W$505,Q$3,実績!$AI$6:$AI$505,"&lt;="&amp;$A194,実績!$AJ$6:$AJ$505,"&gt;"&amp;$A194,実績!$AK$6:$AK$505,"○")&gt;0,1,0))</f>
        <v>0</v>
      </c>
      <c r="R194" s="39" t="n">
        <f aca="false">IF(R$4=0,0,IF(COUNTIFS(実績!$W$6:$W$505,R$3,実績!$AI$6:$AI$505,"&lt;="&amp;$A194,実績!$AJ$6:$AJ$505,"&gt;"&amp;$A194,実績!$AK$6:$AK$505,"○")&gt;0,1,0))</f>
        <v>0</v>
      </c>
      <c r="S194" s="39" t="n">
        <f aca="false">IF(S$4=0,0,IF(COUNTIFS(実績!$W$6:$W$505,S$3,実績!$AI$6:$AI$505,"&lt;="&amp;$A194,実績!$AJ$6:$AJ$505,"&gt;"&amp;$A194,実績!$AK$6:$AK$505,"○")&gt;0,1,0))</f>
        <v>0</v>
      </c>
      <c r="T194" s="39" t="n">
        <f aca="false">IF(T$4=0,0,IF(COUNTIFS(実績!$W$6:$W$505,T$3,実績!$AI$6:$AI$505,"&lt;="&amp;$A194,実績!$AJ$6:$AJ$505,"&gt;"&amp;$A194,実績!$AK$6:$AK$505,"○")&gt;0,1,0))</f>
        <v>0</v>
      </c>
      <c r="U194" s="39" t="n">
        <f aca="false">IF(U$4=0,0,IF(COUNTIFS(実績!$W$6:$W$505,U$3,実績!$AI$6:$AI$505,"&lt;="&amp;$A194,実績!$AJ$6:$AJ$505,"&gt;"&amp;$A194,実績!$AK$6:$AK$505,"○")&gt;0,1,0))</f>
        <v>0</v>
      </c>
      <c r="V194" s="39" t="n">
        <f aca="false">IF(V$4=0,0,IF(COUNTIFS(実績!$W$6:$W$505,V$3,実績!$AI$6:$AI$505,"&lt;="&amp;$A194,実績!$AJ$6:$AJ$505,"&gt;"&amp;$A194,実績!$AK$6:$AK$505,"○")&gt;0,1,0))</f>
        <v>0</v>
      </c>
      <c r="W194" s="39" t="n">
        <f aca="false">IF(W$4=0,0,IF(COUNTIFS(実績!$W$6:$W$505,W$3,実績!$AI$6:$AI$505,"&lt;="&amp;$A194,実績!$AJ$6:$AJ$505,"&gt;"&amp;$A194,実績!$AK$6:$AK$505,"○")&gt;0,1,0))</f>
        <v>0</v>
      </c>
      <c r="X194" s="39" t="n">
        <f aca="false">IF(X$4=0,0,IF(COUNTIFS(実績!$W$6:$W$505,X$3,実績!$AI$6:$AI$505,"&lt;="&amp;$A194,実績!$AJ$6:$AJ$505,"&gt;"&amp;$A194,実績!$AK$6:$AK$505,"○")&gt;0,1,0))</f>
        <v>0</v>
      </c>
      <c r="Y194" s="39" t="n">
        <f aca="false">IF(Y$4=0,0,IF(COUNTIFS(実績!$W$6:$W$505,Y$3,実績!$AI$6:$AI$505,"&lt;="&amp;$A194,実績!$AJ$6:$AJ$505,"&gt;"&amp;$A194,実績!$AK$6:$AK$505,"○")&gt;0,1,0))</f>
        <v>0</v>
      </c>
      <c r="Z194" s="39" t="n">
        <f aca="false">IF(Z$4=0,0,IF(COUNTIFS(実績!$W$6:$W$505,Z$3,実績!$AI$6:$AI$505,"&lt;="&amp;$A194,実績!$AJ$6:$AJ$505,"&gt;"&amp;$A194,実績!$AK$6:$AK$505,"○")&gt;0,1,0))</f>
        <v>0</v>
      </c>
      <c r="AA194" s="39" t="n">
        <f aca="false">IF(AA$4=0,0,IF(COUNTIFS(実績!$W$6:$W$505,AA$3,実績!$AI$6:$AI$505,"&lt;="&amp;$A194,実績!$AJ$6:$AJ$505,"&gt;"&amp;$A194,実績!$AK$6:$AK$505,"○")&gt;0,1,0))</f>
        <v>0</v>
      </c>
      <c r="AB194" s="39" t="n">
        <f aca="false">IF(AB$4=0,0,IF(COUNTIFS(実績!$W$6:$W$505,AB$3,実績!$AI$6:$AI$505,"&lt;="&amp;$A194,実績!$AJ$6:$AJ$505,"&gt;"&amp;$A194,実績!$AK$6:$AK$505,"○")&gt;0,1,0))</f>
        <v>0</v>
      </c>
      <c r="AC194" s="39" t="n">
        <f aca="false">IF(AC$4=0,0,IF(COUNTIFS(実績!$W$6:$W$505,AC$3,実績!$AI$6:$AI$505,"&lt;="&amp;$A194,実績!$AJ$6:$AJ$505,"&gt;"&amp;$A194,実績!$AK$6:$AK$505,"○")&gt;0,1,0))</f>
        <v>0</v>
      </c>
      <c r="AD194" s="39" t="n">
        <f aca="false">IF(AD$4=0,0,IF(COUNTIFS(実績!$W$6:$W$505,AD$3,実績!$AI$6:$AI$505,"&lt;="&amp;$A194,実績!$AJ$6:$AJ$505,"&gt;"&amp;$A194,実績!$AK$6:$AK$505,"○")&gt;0,1,0))</f>
        <v>0</v>
      </c>
      <c r="AE194" s="39" t="n">
        <f aca="false">IF(AE$4=0,0,IF(COUNTIFS(実績!$W$6:$W$505,AE$3,実績!$AI$6:$AI$505,"&lt;="&amp;$A194,実績!$AJ$6:$AJ$505,"&gt;"&amp;$A194,実績!$AK$6:$AK$505,"○")&gt;0,1,0))</f>
        <v>0</v>
      </c>
      <c r="AF194" s="39" t="n">
        <f aca="false">IF(AF$4=0,0,IF(COUNTIFS(実績!$W$6:$W$505,AF$3,実績!$AI$6:$AI$505,"&lt;="&amp;$A194,実績!$AJ$6:$AJ$505,"&gt;"&amp;$A194,実績!$AK$6:$AK$505,"○")&gt;0,1,0))</f>
        <v>0</v>
      </c>
      <c r="AG194" s="39" t="n">
        <f aca="false">IF(AG$4=0,0,IF(COUNTIFS(実績!$W$6:$W$505,AG$3,実績!$AI$6:$AI$505,"&lt;="&amp;$A194,実績!$AJ$6:$AJ$505,"&gt;"&amp;$A194,実績!$AK$6:$AK$505,"○")&gt;0,1,0))</f>
        <v>0</v>
      </c>
      <c r="AH194" s="39" t="n">
        <f aca="false">IF(AH$4=0,0,IF(COUNTIFS(実績!$W$6:$W$505,AH$3,実績!$AI$6:$AI$505,"&lt;="&amp;$A194,実績!$AJ$6:$AJ$505,"&gt;"&amp;$A194,実績!$AK$6:$AK$505,"○")&gt;0,1,0))</f>
        <v>0</v>
      </c>
      <c r="AI194" s="39" t="n">
        <f aca="false">IF(AI$4=0,0,IF(COUNTIFS(実績!$W$6:$W$505,AI$3,実績!$AI$6:$AI$505,"&lt;="&amp;$A194,実績!$AJ$6:$AJ$505,"&gt;"&amp;$A194,実績!$AK$6:$AK$505,"○")&gt;0,1,0))</f>
        <v>0</v>
      </c>
      <c r="AJ194" s="39" t="n">
        <f aca="false">IF(AJ$4=0,0,IF(COUNTIFS(実績!$W$6:$W$505,AJ$3,実績!$AI$6:$AI$505,"&lt;="&amp;$A194,実績!$AJ$6:$AJ$505,"&gt;"&amp;$A194,実績!$AK$6:$AK$505,"○")&gt;0,1,0))</f>
        <v>0</v>
      </c>
      <c r="AK194" s="39" t="n">
        <f aca="false">IF(AK$4=0,0,IF(COUNTIFS(実績!$W$6:$W$505,AK$3,実績!$AI$6:$AI$505,"&lt;="&amp;$A194,実績!$AJ$6:$AJ$505,"&gt;"&amp;$A194,実績!$AK$6:$AK$505,"○")&gt;0,1,0))</f>
        <v>0</v>
      </c>
      <c r="AL194" s="39" t="n">
        <f aca="false">IF(AL$4=0,0,IF(COUNTIFS(実績!$W$6:$W$505,AL$3,実績!$AI$6:$AI$505,"&lt;="&amp;$A194,実績!$AJ$6:$AJ$505,"&gt;"&amp;$A194,実績!$AK$6:$AK$505,"○")&gt;0,1,0))</f>
        <v>0</v>
      </c>
      <c r="AM194" s="39" t="n">
        <f aca="false">IF(AM$4=0,0,IF(COUNTIFS(実績!$W$6:$W$505,AM$3,実績!$AI$6:$AI$505,"&lt;="&amp;$A194,実績!$AJ$6:$AJ$505,"&gt;"&amp;$A194,実績!$AK$6:$AK$505,"○")&gt;0,1,0))</f>
        <v>0</v>
      </c>
      <c r="AN194" s="39" t="n">
        <f aca="false">IF(AN$4=0,0,IF(COUNTIFS(実績!$W$6:$W$505,AN$3,実績!$AI$6:$AI$505,"&lt;="&amp;$A194,実績!$AJ$6:$AJ$505,"&gt;"&amp;$A194,実績!$AK$6:$AK$505,"○")&gt;0,1,0))</f>
        <v>0</v>
      </c>
      <c r="AO194" s="39" t="n">
        <f aca="false">IF(AO$4=0,0,IF(COUNTIFS(実績!$W$6:$W$505,AO$3,実績!$AI$6:$AI$505,"&lt;="&amp;$A194,実績!$AJ$6:$AJ$505,"&gt;"&amp;$A194,実績!$AK$6:$AK$505,"○")&gt;0,1,0))</f>
        <v>0</v>
      </c>
      <c r="AP194" s="39" t="n">
        <f aca="false">IF(AP$4=0,0,IF(COUNTIFS(実績!$W$6:$W$505,AP$3,実績!$AI$6:$AI$505,"&lt;="&amp;$A194,実績!$AJ$6:$AJ$505,"&gt;"&amp;$A194,実績!$AK$6:$AK$505,"○")&gt;0,1,0))</f>
        <v>0</v>
      </c>
      <c r="AQ194" s="39" t="n">
        <f aca="false">IF(AQ$4=0,0,IF(COUNTIFS(実績!$W$6:$W$505,AQ$3,実績!$AI$6:$AI$505,"&lt;="&amp;$A194,実績!$AJ$6:$AJ$505,"&gt;"&amp;$A194,実績!$AK$6:$AK$505,"○")&gt;0,1,0))</f>
        <v>0</v>
      </c>
      <c r="AR194" s="39" t="n">
        <f aca="false">IF(AR$4=0,0,IF(COUNTIFS(実績!$W$6:$W$505,AR$3,実績!$AI$6:$AI$505,"&lt;="&amp;$A194,実績!$AJ$6:$AJ$505,"&gt;"&amp;$A194,実績!$AK$6:$AK$505,"○")&gt;0,1,0))</f>
        <v>0</v>
      </c>
      <c r="AS194" s="39" t="n">
        <f aca="false">IF(AS$4=0,0,IF(COUNTIFS(実績!$W$6:$W$505,AS$3,実績!$AI$6:$AI$505,"&lt;="&amp;$A194,実績!$AJ$6:$AJ$505,"&gt;"&amp;$A194,実績!$AK$6:$AK$505,"○")&gt;0,1,0))</f>
        <v>0</v>
      </c>
      <c r="AT194" s="39" t="n">
        <f aca="false">IF(AT$4=0,0,IF(COUNTIFS(実績!$W$6:$W$505,AT$3,実績!$AI$6:$AI$505,"&lt;="&amp;$A194,実績!$AJ$6:$AJ$505,"&gt;"&amp;$A194,実績!$AK$6:$AK$505,"○")&gt;0,1,0))</f>
        <v>0</v>
      </c>
      <c r="AU194" s="39" t="n">
        <f aca="false">IF(AU$4=0,0,IF(COUNTIFS(実績!$W$6:$W$505,AU$3,実績!$AI$6:$AI$505,"&lt;="&amp;$A194,実績!$AJ$6:$AJ$505,"&gt;"&amp;$A194,実績!$AK$6:$AK$505,"○")&gt;0,1,0))</f>
        <v>0</v>
      </c>
      <c r="AV194" s="39" t="n">
        <f aca="false">IF(AV$4=0,0,IF(COUNTIFS(実績!$W$6:$W$505,AV$3,実績!$AI$6:$AI$505,"&lt;="&amp;$A194,実績!$AJ$6:$AJ$505,"&gt;"&amp;$A194,実績!$AK$6:$AK$505,"○")&gt;0,1,0))</f>
        <v>0</v>
      </c>
      <c r="AW194" s="39" t="n">
        <f aca="false">IF(AW$4=0,0,IF(COUNTIFS(実績!$W$6:$W$505,AW$3,実績!$AI$6:$AI$505,"&lt;="&amp;$A194,実績!$AJ$6:$AJ$505,"&gt;"&amp;$A194,実績!$AK$6:$AK$505,"○")&gt;0,1,0))</f>
        <v>0</v>
      </c>
      <c r="AX194" s="39" t="n">
        <f aca="false">IF(AX$4=0,0,IF(COUNTIFS(実績!$W$6:$W$505,AX$3,実績!$AI$6:$AI$505,"&lt;="&amp;$A194,実績!$AJ$6:$AJ$505,"&gt;"&amp;$A194,実績!$AK$6:$AK$505,"○")&gt;0,1,0))</f>
        <v>0</v>
      </c>
      <c r="AY194" s="39" t="n">
        <f aca="false">IF(AY$4=0,0,IF(COUNTIFS(実績!$W$6:$W$505,AY$3,実績!$AI$6:$AI$505,"&lt;="&amp;$A194,実績!$AJ$6:$AJ$505,"&gt;"&amp;$A194,実績!$AK$6:$AK$505,"○")&gt;0,1,0))</f>
        <v>0</v>
      </c>
      <c r="AZ194" s="39" t="n">
        <f aca="false">IF(AZ$4=0,0,IF(COUNTIFS(実績!$W$6:$W$505,AZ$3,実績!$AI$6:$AI$505,"&lt;="&amp;$A194,実績!$AJ$6:$AJ$505,"&gt;"&amp;$A194,実績!$AK$6:$AK$505,"○")&gt;0,1,0))</f>
        <v>0</v>
      </c>
      <c r="BA194" s="39" t="n">
        <f aca="false">IF(BA$4=0,0,IF(COUNTIFS(実績!$W$6:$W$505,BA$3,実績!$AI$6:$AI$505,"&lt;="&amp;$A194,実績!$AJ$6:$AJ$505,"&gt;"&amp;$A194,実績!$AK$6:$AK$505,"○")&gt;0,1,0))</f>
        <v>0</v>
      </c>
      <c r="BB194" s="39" t="n">
        <f aca="false">IF(BB$4=0,0,IF(COUNTIFS(実績!$W$6:$W$505,BB$3,実績!$AI$6:$AI$505,"&lt;="&amp;$A194,実績!$AJ$6:$AJ$505,"&gt;"&amp;$A194,実績!$AK$6:$AK$505,"○")&gt;0,1,0))</f>
        <v>0</v>
      </c>
      <c r="BC194" s="39" t="n">
        <f aca="false">IF(BC$4=0,0,IF(COUNTIFS(実績!$W$6:$W$505,BC$3,実績!$AI$6:$AI$505,"&lt;="&amp;$A194,実績!$AJ$6:$AJ$505,"&gt;"&amp;$A194,実績!$AK$6:$AK$505,"○")&gt;0,1,0))</f>
        <v>0</v>
      </c>
      <c r="BD194" s="39" t="n">
        <f aca="false">IF(BD$4=0,0,IF(COUNTIFS(実績!$W$6:$W$505,BD$3,実績!$AI$6:$AI$505,"&lt;="&amp;$A194,実績!$AJ$6:$AJ$505,"&gt;"&amp;$A194,実績!$AK$6:$AK$505,"○")&gt;0,1,0))</f>
        <v>0</v>
      </c>
      <c r="BE194" s="39" t="n">
        <f aca="false">IF(BE$4=0,0,IF(COUNTIFS(実績!$W$6:$W$505,BE$3,実績!$AI$6:$AI$505,"&lt;="&amp;$A194,実績!$AJ$6:$AJ$505,"&gt;"&amp;$A194,実績!$AK$6:$AK$505,"○")&gt;0,1,0))</f>
        <v>0</v>
      </c>
      <c r="BF194" s="39" t="n">
        <f aca="false">IF(BF$4=0,0,IF(COUNTIFS(実績!$W$6:$W$505,BF$3,実績!$AI$6:$AI$505,"&lt;="&amp;$A194,実績!$AJ$6:$AJ$505,"&gt;"&amp;$A194,実績!$AK$6:$AK$505,"○")&gt;0,1,0))</f>
        <v>0</v>
      </c>
      <c r="BG194" s="39" t="n">
        <f aca="false">IF(BG$4=0,0,IF(COUNTIFS(実績!$W$6:$W$505,BG$3,実績!$AI$6:$AI$505,"&lt;="&amp;$A194,実績!$AJ$6:$AJ$505,"&gt;"&amp;$A194,実績!$AK$6:$AK$505,"○")&gt;0,1,0))</f>
        <v>0</v>
      </c>
      <c r="BH194" s="39" t="n">
        <f aca="false">IF(BH$4=0,0,IF(COUNTIFS(実績!$W$6:$W$505,BH$3,実績!$AI$6:$AI$505,"&lt;="&amp;$A194,実績!$AJ$6:$AJ$505,"&gt;"&amp;$A194,実績!$AK$6:$AK$505,"○")&gt;0,1,0))</f>
        <v>0</v>
      </c>
      <c r="BI194" s="39" t="n">
        <f aca="false">IF(BI$4=0,0,IF(COUNTIFS(実績!$W$6:$W$505,BI$3,実績!$AI$6:$AI$505,"&lt;="&amp;$A194,実績!$AJ$6:$AJ$505,"&gt;"&amp;$A194,実績!$AK$6:$AK$505,"○")&gt;0,1,0))</f>
        <v>0</v>
      </c>
      <c r="BJ194" s="39" t="n">
        <f aca="false">IF(BJ$4=0,0,IF(COUNTIFS(実績!$W$6:$W$505,BJ$3,実績!$AI$6:$AI$505,"&lt;="&amp;$A194,実績!$AJ$6:$AJ$505,"&gt;"&amp;$A194,実績!$AK$6:$AK$505,"○")&gt;0,1,0))</f>
        <v>0</v>
      </c>
      <c r="BK194" s="39" t="n">
        <f aca="false">IF(BK$4=0,0,IF(COUNTIFS(実績!$W$6:$W$505,BK$3,実績!$AI$6:$AI$505,"&lt;="&amp;$A194,実績!$AJ$6:$AJ$505,"&gt;"&amp;$A194,実績!$AK$6:$AK$505,"○")&gt;0,1,0))</f>
        <v>0</v>
      </c>
      <c r="BL194" s="39" t="n">
        <f aca="false">IF(BL$4=0,0,IF(COUNTIFS(実績!$W$6:$W$505,BL$3,実績!$AI$6:$AI$505,"&lt;="&amp;$A194,実績!$AJ$6:$AJ$505,"&gt;"&amp;$A194,実績!$AK$6:$AK$505,"○")&gt;0,1,0))</f>
        <v>0</v>
      </c>
      <c r="BM194" s="39" t="n">
        <f aca="false">IF(BM$4=0,0,IF(COUNTIFS(実績!$W$6:$W$505,BM$3,実績!$AI$6:$AI$505,"&lt;="&amp;$A194,実績!$AJ$6:$AJ$505,"&gt;"&amp;$A194,実績!$AK$6:$AK$505,"○")&gt;0,1,0))</f>
        <v>0</v>
      </c>
      <c r="BN194" s="39" t="n">
        <f aca="false">IF(BN$4=0,0,IF(COUNTIFS(実績!$W$6:$W$505,BN$3,実績!$AI$6:$AI$505,"&lt;="&amp;$A194,実績!$AJ$6:$AJ$505,"&gt;"&amp;$A194,実績!$AK$6:$AK$505,"○")&gt;0,1,0))</f>
        <v>0</v>
      </c>
      <c r="BO194" s="39" t="n">
        <f aca="false">IF(BO$4=0,0,IF(COUNTIFS(実績!$W$6:$W$505,BO$3,実績!$AI$6:$AI$505,"&lt;="&amp;$A194,実績!$AJ$6:$AJ$505,"&gt;"&amp;$A194,実績!$AK$6:$AK$505,"○")&gt;0,1,0))</f>
        <v>0</v>
      </c>
      <c r="BP194" s="39" t="n">
        <f aca="false">IF(BP$4=0,0,IF(COUNTIFS(実績!$W$6:$W$505,BP$3,実績!$AI$6:$AI$505,"&lt;="&amp;$A194,実績!$AJ$6:$AJ$505,"&gt;"&amp;$A194,実績!$AK$6:$AK$505,"○")&gt;0,1,0))</f>
        <v>0</v>
      </c>
      <c r="BQ194" s="39" t="n">
        <f aca="false">IF(BQ$4=0,0,IF(COUNTIFS(実績!$W$6:$W$505,BQ$3,実績!$AI$6:$AI$505,"&lt;="&amp;$A194,実績!$AJ$6:$AJ$505,"&gt;"&amp;$A194,実績!$AK$6:$AK$505,"○")&gt;0,1,0))</f>
        <v>0</v>
      </c>
      <c r="BR194" s="39" t="n">
        <f aca="false">IF(BR$4=0,0,IF(COUNTIFS(実績!$W$6:$W$505,BR$3,実績!$AI$6:$AI$505,"&lt;="&amp;$A194,実績!$AJ$6:$AJ$505,"&gt;"&amp;$A194,実績!$AK$6:$AK$505,"○")&gt;0,1,0))</f>
        <v>0</v>
      </c>
      <c r="BS194" s="39" t="n">
        <f aca="false">IF(BS$4=0,0,IF(COUNTIFS(実績!$W$6:$W$505,BS$3,実績!$AI$6:$AI$505,"&lt;="&amp;$A194,実績!$AJ$6:$AJ$505,"&gt;"&amp;$A194,実績!$AK$6:$AK$505,"○")&gt;0,1,0))</f>
        <v>0</v>
      </c>
      <c r="BT194" s="39" t="n">
        <f aca="false">IF(BT$4=0,0,IF(COUNTIFS(実績!$W$6:$W$505,BT$3,実績!$AI$6:$AI$505,"&lt;="&amp;$A194,実績!$AJ$6:$AJ$505,"&gt;"&amp;$A194,実績!$AK$6:$AK$505,"○")&gt;0,1,0))</f>
        <v>0</v>
      </c>
      <c r="BU194" s="39" t="n">
        <f aca="false">IF(BU$4=0,0,IF(COUNTIFS(実績!$W$6:$W$505,BU$3,実績!$AI$6:$AI$505,"&lt;="&amp;$A194,実績!$AJ$6:$AJ$505,"&gt;"&amp;$A194,実績!$AK$6:$AK$505,"○")&gt;0,1,0))</f>
        <v>0</v>
      </c>
      <c r="BV194" s="39" t="n">
        <f aca="false">IF(BV$4=0,0,IF(COUNTIFS(実績!$W$6:$W$505,BV$3,実績!$AI$6:$AI$505,"&lt;="&amp;$A194,実績!$AJ$6:$AJ$505,"&gt;"&amp;$A194,実績!$AK$6:$AK$505,"○")&gt;0,1,0))</f>
        <v>0</v>
      </c>
      <c r="BW194" s="39" t="n">
        <f aca="false">IF(BW$4=0,0,IF(COUNTIFS(実績!$W$6:$W$505,BW$3,実績!$AI$6:$AI$505,"&lt;="&amp;$A194,実績!$AJ$6:$AJ$505,"&gt;"&amp;$A194,実績!$AK$6:$AK$505,"○")&gt;0,1,0))</f>
        <v>0</v>
      </c>
      <c r="BX194" s="39" t="n">
        <f aca="false">IF(BX$4=0,0,IF(COUNTIFS(実績!$W$6:$W$505,BX$3,実績!$AI$6:$AI$505,"&lt;="&amp;$A194,実績!$AJ$6:$AJ$505,"&gt;"&amp;$A194,実績!$AK$6:$AK$505,"○")&gt;0,1,0))</f>
        <v>0</v>
      </c>
      <c r="BY194" s="39" t="n">
        <f aca="false">IF(BY$4=0,0,IF(COUNTIFS(実績!$W$6:$W$505,BY$3,実績!$AI$6:$AI$505,"&lt;="&amp;$A194,実績!$AJ$6:$AJ$505,"&gt;"&amp;$A194,実績!$AK$6:$AK$505,"○")&gt;0,1,0))</f>
        <v>0</v>
      </c>
      <c r="BZ194" s="39" t="n">
        <f aca="false">IF(BZ$4=0,0,IF(COUNTIFS(実績!$W$6:$W$505,BZ$3,実績!$AI$6:$AI$505,"&lt;="&amp;$A194,実績!$AJ$6:$AJ$505,"&gt;"&amp;$A194,実績!$AK$6:$AK$505,"○")&gt;0,1,0))</f>
        <v>0</v>
      </c>
      <c r="CA194" s="39" t="n">
        <f aca="false">IF(CA$4=0,0,IF(COUNTIFS(実績!$W$6:$W$505,CA$3,実績!$AI$6:$AI$505,"&lt;="&amp;$A194,実績!$AJ$6:$AJ$505,"&gt;"&amp;$A194,実績!$AK$6:$AK$505,"○")&gt;0,1,0))</f>
        <v>0</v>
      </c>
      <c r="CB194" s="39" t="n">
        <f aca="false">IF(CB$4=0,0,IF(COUNTIFS(実績!$W$6:$W$505,CB$3,実績!$AI$6:$AI$505,"&lt;="&amp;$A194,実績!$AJ$6:$AJ$505,"&gt;"&amp;$A194,実績!$AK$6:$AK$505,"○")&gt;0,1,0))</f>
        <v>0</v>
      </c>
      <c r="CC194" s="39" t="n">
        <f aca="false">IF(CC$4=0,0,IF(COUNTIFS(実績!$W$6:$W$505,CC$3,実績!$AI$6:$AI$505,"&lt;="&amp;$A194,実績!$AJ$6:$AJ$505,"&gt;"&amp;$A194,実績!$AK$6:$AK$505,"○")&gt;0,1,0))</f>
        <v>0</v>
      </c>
      <c r="CD194" s="39" t="n">
        <f aca="false">IF(CD$4=0,0,IF(COUNTIFS(実績!$W$6:$W$505,CD$3,実績!$AI$6:$AI$505,"&lt;="&amp;$A194,実績!$AJ$6:$AJ$505,"&gt;"&amp;$A194,実績!$AK$6:$AK$505,"○")&gt;0,1,0))</f>
        <v>0</v>
      </c>
      <c r="CE194" s="39" t="n">
        <f aca="false">IF(CE$4=0,0,IF(COUNTIFS(実績!$W$6:$W$505,CE$3,実績!$AI$6:$AI$505,"&lt;="&amp;$A194,実績!$AJ$6:$AJ$505,"&gt;"&amp;$A194,実績!$AK$6:$AK$505,"○")&gt;0,1,0))</f>
        <v>0</v>
      </c>
      <c r="CF194" s="39" t="n">
        <f aca="false">IF(CF$4=0,0,IF(COUNTIFS(実績!$W$6:$W$505,CF$3,実績!$AI$6:$AI$505,"&lt;="&amp;$A194,実績!$AJ$6:$AJ$505,"&gt;"&amp;$A194,実績!$AK$6:$AK$505,"○")&gt;0,1,0))</f>
        <v>0</v>
      </c>
      <c r="CG194" s="39" t="n">
        <f aca="false">IF(CG$4=0,0,IF(COUNTIFS(実績!$W$6:$W$505,CG$3,実績!$AI$6:$AI$505,"&lt;="&amp;$A194,実績!$AJ$6:$AJ$505,"&gt;"&amp;$A194,実績!$AK$6:$AK$505,"○")&gt;0,1,0))</f>
        <v>0</v>
      </c>
      <c r="CH194" s="39" t="n">
        <f aca="false">IF(CH$4=0,0,IF(COUNTIFS(実績!$W$6:$W$505,CH$3,実績!$AI$6:$AI$505,"&lt;="&amp;$A194,実績!$AJ$6:$AJ$505,"&gt;"&amp;$A194,実績!$AK$6:$AK$505,"○")&gt;0,1,0))</f>
        <v>0</v>
      </c>
      <c r="CI194" s="39" t="n">
        <f aca="false">IF(CI$4=0,0,IF(COUNTIFS(実績!$W$6:$W$505,CI$3,実績!$AI$6:$AI$505,"&lt;="&amp;$A194,実績!$AJ$6:$AJ$505,"&gt;"&amp;$A194,実績!$AK$6:$AK$505,"○")&gt;0,1,0))</f>
        <v>0</v>
      </c>
      <c r="CJ194" s="39" t="n">
        <f aca="false">IF(CJ$4=0,0,IF(COUNTIFS(実績!$W$6:$W$505,CJ$3,実績!$AI$6:$AI$505,"&lt;="&amp;$A194,実績!$AJ$6:$AJ$505,"&gt;"&amp;$A194,実績!$AK$6:$AK$505,"○")&gt;0,1,0))</f>
        <v>0</v>
      </c>
      <c r="CK194" s="39" t="n">
        <f aca="false">IF(CK$4=0,0,IF(COUNTIFS(実績!$W$6:$W$505,CK$3,実績!$AI$6:$AI$505,"&lt;="&amp;$A194,実績!$AJ$6:$AJ$505,"&gt;"&amp;$A194,実績!$AK$6:$AK$505,"○")&gt;0,1,0))</f>
        <v>0</v>
      </c>
      <c r="CL194" s="39" t="n">
        <f aca="false">IF(CL$4=0,0,IF(COUNTIFS(実績!$W$6:$W$505,CL$3,実績!$AI$6:$AI$505,"&lt;="&amp;$A194,実績!$AJ$6:$AJ$505,"&gt;"&amp;$A194,実績!$AK$6:$AK$505,"○")&gt;0,1,0))</f>
        <v>0</v>
      </c>
      <c r="CM194" s="39" t="n">
        <f aca="false">IF(CM$4=0,0,IF(COUNTIFS(実績!$W$6:$W$505,CM$3,実績!$AI$6:$AI$505,"&lt;="&amp;$A194,実績!$AJ$6:$AJ$505,"&gt;"&amp;$A194,実績!$AK$6:$AK$505,"○")&gt;0,1,0))</f>
        <v>0</v>
      </c>
      <c r="CN194" s="39" t="n">
        <f aca="false">IF(CN$4=0,0,IF(COUNTIFS(実績!$W$6:$W$505,CN$3,実績!$AI$6:$AI$505,"&lt;="&amp;$A194,実績!$AJ$6:$AJ$505,"&gt;"&amp;$A194,実績!$AK$6:$AK$505,"○")&gt;0,1,0))</f>
        <v>0</v>
      </c>
      <c r="CO194" s="39" t="n">
        <f aca="false">IF(CO$4=0,0,IF(COUNTIFS(実績!$W$6:$W$505,CO$3,実績!$AI$6:$AI$505,"&lt;="&amp;$A194,実績!$AJ$6:$AJ$505,"&gt;"&amp;$A194,実績!$AK$6:$AK$505,"○")&gt;0,1,0))</f>
        <v>0</v>
      </c>
      <c r="CP194" s="39" t="n">
        <f aca="false">IF(CP$4=0,0,IF(COUNTIFS(実績!$W$6:$W$505,CP$3,実績!$AI$6:$AI$505,"&lt;="&amp;$A194,実績!$AJ$6:$AJ$505,"&gt;"&amp;$A194,実績!$AK$6:$AK$505,"○")&gt;0,1,0))</f>
        <v>0</v>
      </c>
      <c r="CQ194" s="39" t="n">
        <f aca="false">IF(CQ$4=0,0,IF(COUNTIFS(実績!$W$6:$W$505,CQ$3,実績!$AI$6:$AI$505,"&lt;="&amp;$A194,実績!$AJ$6:$AJ$505,"&gt;"&amp;$A194,実績!$AK$6:$AK$505,"○")&gt;0,1,0))</f>
        <v>0</v>
      </c>
      <c r="CR194" s="39" t="n">
        <f aca="false">IF(CR$4=0,0,IF(COUNTIFS(実績!$W$6:$W$505,CR$3,実績!$AI$6:$AI$505,"&lt;="&amp;$A194,実績!$AJ$6:$AJ$505,"&gt;"&amp;$A194,実績!$AK$6:$AK$505,"○")&gt;0,1,0))</f>
        <v>0</v>
      </c>
      <c r="CS194" s="39" t="n">
        <f aca="false">IF(CS$4=0,0,IF(COUNTIFS(実績!$W$6:$W$505,CS$3,実績!$AI$6:$AI$505,"&lt;="&amp;$A194,実績!$AJ$6:$AJ$505,"&gt;"&amp;$A194,実績!$AK$6:$AK$505,"○")&gt;0,1,0))</f>
        <v>0</v>
      </c>
      <c r="CT194" s="39" t="n">
        <f aca="false">IF(CT$4=0,0,IF(COUNTIFS(実績!$W$6:$W$505,CT$3,実績!$AI$6:$AI$505,"&lt;="&amp;$A194,実績!$AJ$6:$AJ$505,"&gt;"&amp;$A194,実績!$AK$6:$AK$505,"○")&gt;0,1,0))</f>
        <v>0</v>
      </c>
      <c r="CU194" s="39" t="n">
        <f aca="false">IF(CU$4=0,0,IF(COUNTIFS(実績!$W$6:$W$505,CU$3,実績!$AI$6:$AI$505,"&lt;="&amp;$A194,実績!$AJ$6:$AJ$505,"&gt;"&amp;$A194,実績!$AK$6:$AK$505,"○")&gt;0,1,0))</f>
        <v>0</v>
      </c>
      <c r="CV194" s="39" t="n">
        <f aca="false">IF(CV$4=0,0,IF(COUNTIFS(実績!$W$6:$W$505,CV$3,実績!$AI$6:$AI$505,"&lt;="&amp;$A194,実績!$AJ$6:$AJ$505,"&gt;"&amp;$A194,実績!$AK$6:$AK$505,"○")&gt;0,1,0))</f>
        <v>0</v>
      </c>
      <c r="CW194" s="39" t="n">
        <f aca="false">IF(CW$4=0,0,IF(COUNTIFS(実績!$W$6:$W$505,CW$3,実績!$AI$6:$AI$505,"&lt;="&amp;$A194,実績!$AJ$6:$AJ$505,"&gt;"&amp;$A194,実績!$AK$6:$AK$505,"○")&gt;0,1,0))</f>
        <v>0</v>
      </c>
      <c r="CX194" s="39" t="n">
        <f aca="false">IF(CX$4=0,0,IF(COUNTIFS(実績!$W$6:$W$505,CX$3,実績!$AI$6:$AI$505,"&lt;="&amp;$A194,実績!$AJ$6:$AJ$505,"&gt;"&amp;$A194,実績!$AK$6:$AK$505,"○")&gt;0,1,0))</f>
        <v>0</v>
      </c>
      <c r="CY194" s="39" t="n">
        <f aca="false">IF(CY$4=0,0,IF(COUNTIFS(実績!$W$6:$W$505,CY$3,実績!$AI$6:$AI$505,"&lt;="&amp;$A194,実績!$AJ$6:$AJ$505,"&gt;"&amp;$A194,実績!$AK$6:$AK$505,"○")&gt;0,1,0))</f>
        <v>0</v>
      </c>
      <c r="CZ194" s="39" t="n">
        <f aca="false">IF(CZ$4=0,0,IF(COUNTIFS(実績!$W$6:$W$505,CZ$3,実績!$AI$6:$AI$505,"&lt;="&amp;$A194,実績!$AJ$6:$AJ$505,"&gt;"&amp;$A194,実績!$AK$6:$AK$505,"○")&gt;0,1,0))</f>
        <v>0</v>
      </c>
      <c r="DA194" s="39" t="n">
        <f aca="false">IF(DA$4=0,0,IF(COUNTIFS(実績!$W$6:$W$505,DA$3,実績!$AI$6:$AI$505,"&lt;="&amp;$A194,実績!$AJ$6:$AJ$505,"&gt;"&amp;$A194,実績!$AK$6:$AK$505,"○")&gt;0,1,0))</f>
        <v>0</v>
      </c>
      <c r="DB194" s="39" t="n">
        <f aca="false">IF(DB$4=0,0,IF(COUNTIFS(実績!$W$6:$W$505,DB$3,実績!$AI$6:$AI$505,"&lt;="&amp;$A194,実績!$AJ$6:$AJ$505,"&gt;"&amp;$A194,実績!$AK$6:$AK$505,"○")&gt;0,1,0))</f>
        <v>0</v>
      </c>
      <c r="DC194" s="39" t="n">
        <f aca="false">IF(DC$4=0,0,IF(COUNTIFS(実績!$W$6:$W$505,DC$3,実績!$AI$6:$AI$505,"&lt;="&amp;$A194,実績!$AJ$6:$AJ$505,"&gt;"&amp;$A194,実績!$AK$6:$AK$505,"○")&gt;0,1,0))</f>
        <v>0</v>
      </c>
      <c r="DD194" s="39" t="n">
        <f aca="false">IF(DD$4=0,0,IF(COUNTIFS(実績!$W$6:$W$505,DD$3,実績!$AI$6:$AI$505,"&lt;="&amp;$A194,実績!$AJ$6:$AJ$505,"&gt;"&amp;$A194,実績!$AK$6:$AK$505,"○")&gt;0,1,0))</f>
        <v>0</v>
      </c>
      <c r="DE194" s="39" t="n">
        <f aca="false">IF(DE$4=0,0,IF(COUNTIFS(実績!$W$6:$W$505,DE$3,実績!$AI$6:$AI$505,"&lt;="&amp;$A194,実績!$AJ$6:$AJ$505,"&gt;"&amp;$A194,実績!$AK$6:$AK$505,"○")&gt;0,1,0))</f>
        <v>0</v>
      </c>
      <c r="DF194" s="39" t="n">
        <f aca="false">IF(DF$4=0,0,IF(COUNTIFS(実績!$W$6:$W$505,DF$3,実績!$AI$6:$AI$505,"&lt;="&amp;$A194,実績!$AJ$6:$AJ$505,"&gt;"&amp;$A194,実績!$AK$6:$AK$505,"○")&gt;0,1,0))</f>
        <v>0</v>
      </c>
      <c r="DG194" s="39" t="n">
        <f aca="false">IF(DG$4=0,0,IF(COUNTIFS(実績!$W$6:$W$505,DG$3,実績!$AI$6:$AI$505,"&lt;="&amp;$A194,実績!$AJ$6:$AJ$505,"&gt;"&amp;$A194,実績!$AK$6:$AK$505,"○")&gt;0,1,0))</f>
        <v>0</v>
      </c>
      <c r="DH194" s="39" t="n">
        <f aca="false">IF(DH$4=0,0,IF(COUNTIFS(実績!$W$6:$W$505,DH$3,実績!$AI$6:$AI$505,"&lt;="&amp;$A194,実績!$AJ$6:$AJ$505,"&gt;"&amp;$A194,実績!$AK$6:$AK$505,"○")&gt;0,1,0))</f>
        <v>0</v>
      </c>
      <c r="DI194" s="39" t="n">
        <f aca="false">IF(DI$4=0,0,IF(COUNTIFS(実績!$W$6:$W$505,DI$3,実績!$AI$6:$AI$505,"&lt;="&amp;$A194,実績!$AJ$6:$AJ$505,"&gt;"&amp;$A194,実績!$AK$6:$AK$505,"○")&gt;0,1,0))</f>
        <v>0</v>
      </c>
      <c r="DJ194" s="39" t="n">
        <f aca="false">IF(DJ$4=0,0,IF(COUNTIFS(実績!$W$6:$W$505,DJ$3,実績!$AI$6:$AI$505,"&lt;="&amp;$A194,実績!$AJ$6:$AJ$505,"&gt;"&amp;$A194,実績!$AK$6:$AK$505,"○")&gt;0,1,0))</f>
        <v>0</v>
      </c>
      <c r="DK194" s="39" t="n">
        <f aca="false">IF(DK$4=0,0,IF(COUNTIFS(実績!$W$6:$W$505,DK$3,実績!$AI$6:$AI$505,"&lt;="&amp;$A194,実績!$AJ$6:$AJ$505,"&gt;"&amp;$A194,実績!$AK$6:$AK$505,"○")&gt;0,1,0))</f>
        <v>0</v>
      </c>
      <c r="DL194" s="39" t="n">
        <f aca="false">IF(DL$4=0,0,IF(COUNTIFS(実績!$W$6:$W$505,DL$3,実績!$AI$6:$AI$505,"&lt;="&amp;$A194,実績!$AJ$6:$AJ$505,"&gt;"&amp;$A194,実績!$AK$6:$AK$505,"○")&gt;0,1,0))</f>
        <v>0</v>
      </c>
      <c r="DM194" s="39" t="n">
        <f aca="false">IF(DM$4=0,0,IF(COUNTIFS(実績!$W$6:$W$505,DM$3,実績!$AI$6:$AI$505,"&lt;="&amp;$A194,実績!$AJ$6:$AJ$505,"&gt;"&amp;$A194,実績!$AK$6:$AK$505,"○")&gt;0,1,0))</f>
        <v>0</v>
      </c>
      <c r="DN194" s="39" t="n">
        <f aca="false">IF(DN$4=0,0,IF(COUNTIFS(実績!$W$6:$W$505,DN$3,実績!$AI$6:$AI$505,"&lt;="&amp;$A194,実績!$AJ$6:$AJ$505,"&gt;"&amp;$A194,実績!$AK$6:$AK$505,"○")&gt;0,1,0))</f>
        <v>0</v>
      </c>
      <c r="DO194" s="39" t="n">
        <f aca="false">IF(DO$4=0,0,IF(COUNTIFS(実績!$W$6:$W$505,DO$3,実績!$AI$6:$AI$505,"&lt;="&amp;$A194,実績!$AJ$6:$AJ$505,"&gt;"&amp;$A194,実績!$AK$6:$AK$505,"○")&gt;0,1,0))</f>
        <v>0</v>
      </c>
      <c r="DP194" s="39" t="n">
        <f aca="false">IF(DP$4=0,0,IF(COUNTIFS(実績!$W$6:$W$505,DP$3,実績!$AI$6:$AI$505,"&lt;="&amp;$A194,実績!$AJ$6:$AJ$505,"&gt;"&amp;$A194,実績!$AK$6:$AK$505,"○")&gt;0,1,0))</f>
        <v>0</v>
      </c>
      <c r="DQ194" s="39" t="n">
        <f aca="false">IF(DQ$4=0,0,IF(COUNTIFS(実績!$W$6:$W$505,DQ$3,実績!$AI$6:$AI$505,"&lt;="&amp;$A194,実績!$AJ$6:$AJ$505,"&gt;"&amp;$A194,実績!$AK$6:$AK$505,"○")&gt;0,1,0))</f>
        <v>0</v>
      </c>
      <c r="DR194" s="39" t="n">
        <f aca="false">IF(DR$4=0,0,IF(COUNTIFS(実績!$W$6:$W$505,DR$3,実績!$AI$6:$AI$505,"&lt;="&amp;$A194,実績!$AJ$6:$AJ$505,"&gt;"&amp;$A194,実績!$AK$6:$AK$505,"○")&gt;0,1,0))</f>
        <v>0</v>
      </c>
      <c r="DS194" s="39" t="n">
        <f aca="false">SUM(C194:DR194)</f>
        <v>0</v>
      </c>
      <c r="DT194" s="39" t="n">
        <f aca="false">SUMPRODUCT((実績!$C$6:$C$505="○")*ISNUMBER(実績!$AM$6:$AM$505)*(実績!$AM$6:$AM$505&lt;=$A194)*(実績!$AN$6:$AN$505&gt;$A194))</f>
        <v>0</v>
      </c>
      <c r="DU194" s="39" t="n">
        <f aca="false">SUMIF($C$2:$DR$2,"製鉄曳船",C194:DR194)</f>
        <v>0</v>
      </c>
      <c r="DV194" s="39" t="n">
        <f aca="false">SUMIF($C$2:$DR$2,"西日本海運",C194:DR194)</f>
        <v>0</v>
      </c>
    </row>
    <row r="195" customFormat="false" ht="15" hidden="false" customHeight="false" outlineLevel="0" collapsed="false">
      <c r="A195" s="0" t="n">
        <v>945</v>
      </c>
      <c r="B195" s="38" t="n">
        <f aca="false">A195/1440</f>
        <v>0.65625</v>
      </c>
      <c r="C195" s="39" t="n">
        <f aca="false">IF(C$4=0,0,IF(COUNTIFS(実績!$W$6:$W$505,C$3,実績!$AI$6:$AI$505,"&lt;="&amp;$A195,実績!$AJ$6:$AJ$505,"&gt;"&amp;$A195,実績!$AK$6:$AK$505,"○")&gt;0,1,0))</f>
        <v>0</v>
      </c>
      <c r="D195" s="39" t="n">
        <f aca="false">IF(D$4=0,0,IF(COUNTIFS(実績!$W$6:$W$505,D$3,実績!$AI$6:$AI$505,"&lt;="&amp;$A195,実績!$AJ$6:$AJ$505,"&gt;"&amp;$A195,実績!$AK$6:$AK$505,"○")&gt;0,1,0))</f>
        <v>0</v>
      </c>
      <c r="E195" s="39" t="n">
        <f aca="false">IF(E$4=0,0,IF(COUNTIFS(実績!$W$6:$W$505,E$3,実績!$AI$6:$AI$505,"&lt;="&amp;$A195,実績!$AJ$6:$AJ$505,"&gt;"&amp;$A195,実績!$AK$6:$AK$505,"○")&gt;0,1,0))</f>
        <v>0</v>
      </c>
      <c r="F195" s="39" t="n">
        <f aca="false">IF(F$4=0,0,IF(COUNTIFS(実績!$W$6:$W$505,F$3,実績!$AI$6:$AI$505,"&lt;="&amp;$A195,実績!$AJ$6:$AJ$505,"&gt;"&amp;$A195,実績!$AK$6:$AK$505,"○")&gt;0,1,0))</f>
        <v>0</v>
      </c>
      <c r="G195" s="39" t="n">
        <f aca="false">IF(G$4=0,0,IF(COUNTIFS(実績!$W$6:$W$505,G$3,実績!$AI$6:$AI$505,"&lt;="&amp;$A195,実績!$AJ$6:$AJ$505,"&gt;"&amp;$A195,実績!$AK$6:$AK$505,"○")&gt;0,1,0))</f>
        <v>0</v>
      </c>
      <c r="H195" s="39" t="n">
        <f aca="false">IF(H$4=0,0,IF(COUNTIFS(実績!$W$6:$W$505,H$3,実績!$AI$6:$AI$505,"&lt;="&amp;$A195,実績!$AJ$6:$AJ$505,"&gt;"&amp;$A195,実績!$AK$6:$AK$505,"○")&gt;0,1,0))</f>
        <v>0</v>
      </c>
      <c r="I195" s="39" t="n">
        <f aca="false">IF(I$4=0,0,IF(COUNTIFS(実績!$W$6:$W$505,I$3,実績!$AI$6:$AI$505,"&lt;="&amp;$A195,実績!$AJ$6:$AJ$505,"&gt;"&amp;$A195,実績!$AK$6:$AK$505,"○")&gt;0,1,0))</f>
        <v>0</v>
      </c>
      <c r="J195" s="39" t="n">
        <f aca="false">IF(J$4=0,0,IF(COUNTIFS(実績!$W$6:$W$505,J$3,実績!$AI$6:$AI$505,"&lt;="&amp;$A195,実績!$AJ$6:$AJ$505,"&gt;"&amp;$A195,実績!$AK$6:$AK$505,"○")&gt;0,1,0))</f>
        <v>0</v>
      </c>
      <c r="K195" s="39" t="n">
        <f aca="false">IF(K$4=0,0,IF(COUNTIFS(実績!$W$6:$W$505,K$3,実績!$AI$6:$AI$505,"&lt;="&amp;$A195,実績!$AJ$6:$AJ$505,"&gt;"&amp;$A195,実績!$AK$6:$AK$505,"○")&gt;0,1,0))</f>
        <v>0</v>
      </c>
      <c r="L195" s="39" t="n">
        <f aca="false">IF(L$4=0,0,IF(COUNTIFS(実績!$W$6:$W$505,L$3,実績!$AI$6:$AI$505,"&lt;="&amp;$A195,実績!$AJ$6:$AJ$505,"&gt;"&amp;$A195,実績!$AK$6:$AK$505,"○")&gt;0,1,0))</f>
        <v>0</v>
      </c>
      <c r="M195" s="39" t="n">
        <f aca="false">IF(M$4=0,0,IF(COUNTIFS(実績!$W$6:$W$505,M$3,実績!$AI$6:$AI$505,"&lt;="&amp;$A195,実績!$AJ$6:$AJ$505,"&gt;"&amp;$A195,実績!$AK$6:$AK$505,"○")&gt;0,1,0))</f>
        <v>0</v>
      </c>
      <c r="N195" s="39" t="n">
        <f aca="false">IF(N$4=0,0,IF(COUNTIFS(実績!$W$6:$W$505,N$3,実績!$AI$6:$AI$505,"&lt;="&amp;$A195,実績!$AJ$6:$AJ$505,"&gt;"&amp;$A195,実績!$AK$6:$AK$505,"○")&gt;0,1,0))</f>
        <v>0</v>
      </c>
      <c r="O195" s="39" t="n">
        <f aca="false">IF(O$4=0,0,IF(COUNTIFS(実績!$W$6:$W$505,O$3,実績!$AI$6:$AI$505,"&lt;="&amp;$A195,実績!$AJ$6:$AJ$505,"&gt;"&amp;$A195,実績!$AK$6:$AK$505,"○")&gt;0,1,0))</f>
        <v>0</v>
      </c>
      <c r="P195" s="39" t="n">
        <f aca="false">IF(P$4=0,0,IF(COUNTIFS(実績!$W$6:$W$505,P$3,実績!$AI$6:$AI$505,"&lt;="&amp;$A195,実績!$AJ$6:$AJ$505,"&gt;"&amp;$A195,実績!$AK$6:$AK$505,"○")&gt;0,1,0))</f>
        <v>0</v>
      </c>
      <c r="Q195" s="39" t="n">
        <f aca="false">IF(Q$4=0,0,IF(COUNTIFS(実績!$W$6:$W$505,Q$3,実績!$AI$6:$AI$505,"&lt;="&amp;$A195,実績!$AJ$6:$AJ$505,"&gt;"&amp;$A195,実績!$AK$6:$AK$505,"○")&gt;0,1,0))</f>
        <v>0</v>
      </c>
      <c r="R195" s="39" t="n">
        <f aca="false">IF(R$4=0,0,IF(COUNTIFS(実績!$W$6:$W$505,R$3,実績!$AI$6:$AI$505,"&lt;="&amp;$A195,実績!$AJ$6:$AJ$505,"&gt;"&amp;$A195,実績!$AK$6:$AK$505,"○")&gt;0,1,0))</f>
        <v>0</v>
      </c>
      <c r="S195" s="39" t="n">
        <f aca="false">IF(S$4=0,0,IF(COUNTIFS(実績!$W$6:$W$505,S$3,実績!$AI$6:$AI$505,"&lt;="&amp;$A195,実績!$AJ$6:$AJ$505,"&gt;"&amp;$A195,実績!$AK$6:$AK$505,"○")&gt;0,1,0))</f>
        <v>0</v>
      </c>
      <c r="T195" s="39" t="n">
        <f aca="false">IF(T$4=0,0,IF(COUNTIFS(実績!$W$6:$W$505,T$3,実績!$AI$6:$AI$505,"&lt;="&amp;$A195,実績!$AJ$6:$AJ$505,"&gt;"&amp;$A195,実績!$AK$6:$AK$505,"○")&gt;0,1,0))</f>
        <v>0</v>
      </c>
      <c r="U195" s="39" t="n">
        <f aca="false">IF(U$4=0,0,IF(COUNTIFS(実績!$W$6:$W$505,U$3,実績!$AI$6:$AI$505,"&lt;="&amp;$A195,実績!$AJ$6:$AJ$505,"&gt;"&amp;$A195,実績!$AK$6:$AK$505,"○")&gt;0,1,0))</f>
        <v>0</v>
      </c>
      <c r="V195" s="39" t="n">
        <f aca="false">IF(V$4=0,0,IF(COUNTIFS(実績!$W$6:$W$505,V$3,実績!$AI$6:$AI$505,"&lt;="&amp;$A195,実績!$AJ$6:$AJ$505,"&gt;"&amp;$A195,実績!$AK$6:$AK$505,"○")&gt;0,1,0))</f>
        <v>0</v>
      </c>
      <c r="W195" s="39" t="n">
        <f aca="false">IF(W$4=0,0,IF(COUNTIFS(実績!$W$6:$W$505,W$3,実績!$AI$6:$AI$505,"&lt;="&amp;$A195,実績!$AJ$6:$AJ$505,"&gt;"&amp;$A195,実績!$AK$6:$AK$505,"○")&gt;0,1,0))</f>
        <v>0</v>
      </c>
      <c r="X195" s="39" t="n">
        <f aca="false">IF(X$4=0,0,IF(COUNTIFS(実績!$W$6:$W$505,X$3,実績!$AI$6:$AI$505,"&lt;="&amp;$A195,実績!$AJ$6:$AJ$505,"&gt;"&amp;$A195,実績!$AK$6:$AK$505,"○")&gt;0,1,0))</f>
        <v>0</v>
      </c>
      <c r="Y195" s="39" t="n">
        <f aca="false">IF(Y$4=0,0,IF(COUNTIFS(実績!$W$6:$W$505,Y$3,実績!$AI$6:$AI$505,"&lt;="&amp;$A195,実績!$AJ$6:$AJ$505,"&gt;"&amp;$A195,実績!$AK$6:$AK$505,"○")&gt;0,1,0))</f>
        <v>0</v>
      </c>
      <c r="Z195" s="39" t="n">
        <f aca="false">IF(Z$4=0,0,IF(COUNTIFS(実績!$W$6:$W$505,Z$3,実績!$AI$6:$AI$505,"&lt;="&amp;$A195,実績!$AJ$6:$AJ$505,"&gt;"&amp;$A195,実績!$AK$6:$AK$505,"○")&gt;0,1,0))</f>
        <v>0</v>
      </c>
      <c r="AA195" s="39" t="n">
        <f aca="false">IF(AA$4=0,0,IF(COUNTIFS(実績!$W$6:$W$505,AA$3,実績!$AI$6:$AI$505,"&lt;="&amp;$A195,実績!$AJ$6:$AJ$505,"&gt;"&amp;$A195,実績!$AK$6:$AK$505,"○")&gt;0,1,0))</f>
        <v>0</v>
      </c>
      <c r="AB195" s="39" t="n">
        <f aca="false">IF(AB$4=0,0,IF(COUNTIFS(実績!$W$6:$W$505,AB$3,実績!$AI$6:$AI$505,"&lt;="&amp;$A195,実績!$AJ$6:$AJ$505,"&gt;"&amp;$A195,実績!$AK$6:$AK$505,"○")&gt;0,1,0))</f>
        <v>0</v>
      </c>
      <c r="AC195" s="39" t="n">
        <f aca="false">IF(AC$4=0,0,IF(COUNTIFS(実績!$W$6:$W$505,AC$3,実績!$AI$6:$AI$505,"&lt;="&amp;$A195,実績!$AJ$6:$AJ$505,"&gt;"&amp;$A195,実績!$AK$6:$AK$505,"○")&gt;0,1,0))</f>
        <v>0</v>
      </c>
      <c r="AD195" s="39" t="n">
        <f aca="false">IF(AD$4=0,0,IF(COUNTIFS(実績!$W$6:$W$505,AD$3,実績!$AI$6:$AI$505,"&lt;="&amp;$A195,実績!$AJ$6:$AJ$505,"&gt;"&amp;$A195,実績!$AK$6:$AK$505,"○")&gt;0,1,0))</f>
        <v>0</v>
      </c>
      <c r="AE195" s="39" t="n">
        <f aca="false">IF(AE$4=0,0,IF(COUNTIFS(実績!$W$6:$W$505,AE$3,実績!$AI$6:$AI$505,"&lt;="&amp;$A195,実績!$AJ$6:$AJ$505,"&gt;"&amp;$A195,実績!$AK$6:$AK$505,"○")&gt;0,1,0))</f>
        <v>0</v>
      </c>
      <c r="AF195" s="39" t="n">
        <f aca="false">IF(AF$4=0,0,IF(COUNTIFS(実績!$W$6:$W$505,AF$3,実績!$AI$6:$AI$505,"&lt;="&amp;$A195,実績!$AJ$6:$AJ$505,"&gt;"&amp;$A195,実績!$AK$6:$AK$505,"○")&gt;0,1,0))</f>
        <v>0</v>
      </c>
      <c r="AG195" s="39" t="n">
        <f aca="false">IF(AG$4=0,0,IF(COUNTIFS(実績!$W$6:$W$505,AG$3,実績!$AI$6:$AI$505,"&lt;="&amp;$A195,実績!$AJ$6:$AJ$505,"&gt;"&amp;$A195,実績!$AK$6:$AK$505,"○")&gt;0,1,0))</f>
        <v>0</v>
      </c>
      <c r="AH195" s="39" t="n">
        <f aca="false">IF(AH$4=0,0,IF(COUNTIFS(実績!$W$6:$W$505,AH$3,実績!$AI$6:$AI$505,"&lt;="&amp;$A195,実績!$AJ$6:$AJ$505,"&gt;"&amp;$A195,実績!$AK$6:$AK$505,"○")&gt;0,1,0))</f>
        <v>0</v>
      </c>
      <c r="AI195" s="39" t="n">
        <f aca="false">IF(AI$4=0,0,IF(COUNTIFS(実績!$W$6:$W$505,AI$3,実績!$AI$6:$AI$505,"&lt;="&amp;$A195,実績!$AJ$6:$AJ$505,"&gt;"&amp;$A195,実績!$AK$6:$AK$505,"○")&gt;0,1,0))</f>
        <v>0</v>
      </c>
      <c r="AJ195" s="39" t="n">
        <f aca="false">IF(AJ$4=0,0,IF(COUNTIFS(実績!$W$6:$W$505,AJ$3,実績!$AI$6:$AI$505,"&lt;="&amp;$A195,実績!$AJ$6:$AJ$505,"&gt;"&amp;$A195,実績!$AK$6:$AK$505,"○")&gt;0,1,0))</f>
        <v>0</v>
      </c>
      <c r="AK195" s="39" t="n">
        <f aca="false">IF(AK$4=0,0,IF(COUNTIFS(実績!$W$6:$W$505,AK$3,実績!$AI$6:$AI$505,"&lt;="&amp;$A195,実績!$AJ$6:$AJ$505,"&gt;"&amp;$A195,実績!$AK$6:$AK$505,"○")&gt;0,1,0))</f>
        <v>0</v>
      </c>
      <c r="AL195" s="39" t="n">
        <f aca="false">IF(AL$4=0,0,IF(COUNTIFS(実績!$W$6:$W$505,AL$3,実績!$AI$6:$AI$505,"&lt;="&amp;$A195,実績!$AJ$6:$AJ$505,"&gt;"&amp;$A195,実績!$AK$6:$AK$505,"○")&gt;0,1,0))</f>
        <v>0</v>
      </c>
      <c r="AM195" s="39" t="n">
        <f aca="false">IF(AM$4=0,0,IF(COUNTIFS(実績!$W$6:$W$505,AM$3,実績!$AI$6:$AI$505,"&lt;="&amp;$A195,実績!$AJ$6:$AJ$505,"&gt;"&amp;$A195,実績!$AK$6:$AK$505,"○")&gt;0,1,0))</f>
        <v>0</v>
      </c>
      <c r="AN195" s="39" t="n">
        <f aca="false">IF(AN$4=0,0,IF(COUNTIFS(実績!$W$6:$W$505,AN$3,実績!$AI$6:$AI$505,"&lt;="&amp;$A195,実績!$AJ$6:$AJ$505,"&gt;"&amp;$A195,実績!$AK$6:$AK$505,"○")&gt;0,1,0))</f>
        <v>0</v>
      </c>
      <c r="AO195" s="39" t="n">
        <f aca="false">IF(AO$4=0,0,IF(COUNTIFS(実績!$W$6:$W$505,AO$3,実績!$AI$6:$AI$505,"&lt;="&amp;$A195,実績!$AJ$6:$AJ$505,"&gt;"&amp;$A195,実績!$AK$6:$AK$505,"○")&gt;0,1,0))</f>
        <v>0</v>
      </c>
      <c r="AP195" s="39" t="n">
        <f aca="false">IF(AP$4=0,0,IF(COUNTIFS(実績!$W$6:$W$505,AP$3,実績!$AI$6:$AI$505,"&lt;="&amp;$A195,実績!$AJ$6:$AJ$505,"&gt;"&amp;$A195,実績!$AK$6:$AK$505,"○")&gt;0,1,0))</f>
        <v>0</v>
      </c>
      <c r="AQ195" s="39" t="n">
        <f aca="false">IF(AQ$4=0,0,IF(COUNTIFS(実績!$W$6:$W$505,AQ$3,実績!$AI$6:$AI$505,"&lt;="&amp;$A195,実績!$AJ$6:$AJ$505,"&gt;"&amp;$A195,実績!$AK$6:$AK$505,"○")&gt;0,1,0))</f>
        <v>0</v>
      </c>
      <c r="AR195" s="39" t="n">
        <f aca="false">IF(AR$4=0,0,IF(COUNTIFS(実績!$W$6:$W$505,AR$3,実績!$AI$6:$AI$505,"&lt;="&amp;$A195,実績!$AJ$6:$AJ$505,"&gt;"&amp;$A195,実績!$AK$6:$AK$505,"○")&gt;0,1,0))</f>
        <v>0</v>
      </c>
      <c r="AS195" s="39" t="n">
        <f aca="false">IF(AS$4=0,0,IF(COUNTIFS(実績!$W$6:$W$505,AS$3,実績!$AI$6:$AI$505,"&lt;="&amp;$A195,実績!$AJ$6:$AJ$505,"&gt;"&amp;$A195,実績!$AK$6:$AK$505,"○")&gt;0,1,0))</f>
        <v>0</v>
      </c>
      <c r="AT195" s="39" t="n">
        <f aca="false">IF(AT$4=0,0,IF(COUNTIFS(実績!$W$6:$W$505,AT$3,実績!$AI$6:$AI$505,"&lt;="&amp;$A195,実績!$AJ$6:$AJ$505,"&gt;"&amp;$A195,実績!$AK$6:$AK$505,"○")&gt;0,1,0))</f>
        <v>0</v>
      </c>
      <c r="AU195" s="39" t="n">
        <f aca="false">IF(AU$4=0,0,IF(COUNTIFS(実績!$W$6:$W$505,AU$3,実績!$AI$6:$AI$505,"&lt;="&amp;$A195,実績!$AJ$6:$AJ$505,"&gt;"&amp;$A195,実績!$AK$6:$AK$505,"○")&gt;0,1,0))</f>
        <v>0</v>
      </c>
      <c r="AV195" s="39" t="n">
        <f aca="false">IF(AV$4=0,0,IF(COUNTIFS(実績!$W$6:$W$505,AV$3,実績!$AI$6:$AI$505,"&lt;="&amp;$A195,実績!$AJ$6:$AJ$505,"&gt;"&amp;$A195,実績!$AK$6:$AK$505,"○")&gt;0,1,0))</f>
        <v>0</v>
      </c>
      <c r="AW195" s="39" t="n">
        <f aca="false">IF(AW$4=0,0,IF(COUNTIFS(実績!$W$6:$W$505,AW$3,実績!$AI$6:$AI$505,"&lt;="&amp;$A195,実績!$AJ$6:$AJ$505,"&gt;"&amp;$A195,実績!$AK$6:$AK$505,"○")&gt;0,1,0))</f>
        <v>0</v>
      </c>
      <c r="AX195" s="39" t="n">
        <f aca="false">IF(AX$4=0,0,IF(COUNTIFS(実績!$W$6:$W$505,AX$3,実績!$AI$6:$AI$505,"&lt;="&amp;$A195,実績!$AJ$6:$AJ$505,"&gt;"&amp;$A195,実績!$AK$6:$AK$505,"○")&gt;0,1,0))</f>
        <v>0</v>
      </c>
      <c r="AY195" s="39" t="n">
        <f aca="false">IF(AY$4=0,0,IF(COUNTIFS(実績!$W$6:$W$505,AY$3,実績!$AI$6:$AI$505,"&lt;="&amp;$A195,実績!$AJ$6:$AJ$505,"&gt;"&amp;$A195,実績!$AK$6:$AK$505,"○")&gt;0,1,0))</f>
        <v>0</v>
      </c>
      <c r="AZ195" s="39" t="n">
        <f aca="false">IF(AZ$4=0,0,IF(COUNTIFS(実績!$W$6:$W$505,AZ$3,実績!$AI$6:$AI$505,"&lt;="&amp;$A195,実績!$AJ$6:$AJ$505,"&gt;"&amp;$A195,実績!$AK$6:$AK$505,"○")&gt;0,1,0))</f>
        <v>0</v>
      </c>
      <c r="BA195" s="39" t="n">
        <f aca="false">IF(BA$4=0,0,IF(COUNTIFS(実績!$W$6:$W$505,BA$3,実績!$AI$6:$AI$505,"&lt;="&amp;$A195,実績!$AJ$6:$AJ$505,"&gt;"&amp;$A195,実績!$AK$6:$AK$505,"○")&gt;0,1,0))</f>
        <v>0</v>
      </c>
      <c r="BB195" s="39" t="n">
        <f aca="false">IF(BB$4=0,0,IF(COUNTIFS(実績!$W$6:$W$505,BB$3,実績!$AI$6:$AI$505,"&lt;="&amp;$A195,実績!$AJ$6:$AJ$505,"&gt;"&amp;$A195,実績!$AK$6:$AK$505,"○")&gt;0,1,0))</f>
        <v>0</v>
      </c>
      <c r="BC195" s="39" t="n">
        <f aca="false">IF(BC$4=0,0,IF(COUNTIFS(実績!$W$6:$W$505,BC$3,実績!$AI$6:$AI$505,"&lt;="&amp;$A195,実績!$AJ$6:$AJ$505,"&gt;"&amp;$A195,実績!$AK$6:$AK$505,"○")&gt;0,1,0))</f>
        <v>0</v>
      </c>
      <c r="BD195" s="39" t="n">
        <f aca="false">IF(BD$4=0,0,IF(COUNTIFS(実績!$W$6:$W$505,BD$3,実績!$AI$6:$AI$505,"&lt;="&amp;$A195,実績!$AJ$6:$AJ$505,"&gt;"&amp;$A195,実績!$AK$6:$AK$505,"○")&gt;0,1,0))</f>
        <v>0</v>
      </c>
      <c r="BE195" s="39" t="n">
        <f aca="false">IF(BE$4=0,0,IF(COUNTIFS(実績!$W$6:$W$505,BE$3,実績!$AI$6:$AI$505,"&lt;="&amp;$A195,実績!$AJ$6:$AJ$505,"&gt;"&amp;$A195,実績!$AK$6:$AK$505,"○")&gt;0,1,0))</f>
        <v>0</v>
      </c>
      <c r="BF195" s="39" t="n">
        <f aca="false">IF(BF$4=0,0,IF(COUNTIFS(実績!$W$6:$W$505,BF$3,実績!$AI$6:$AI$505,"&lt;="&amp;$A195,実績!$AJ$6:$AJ$505,"&gt;"&amp;$A195,実績!$AK$6:$AK$505,"○")&gt;0,1,0))</f>
        <v>0</v>
      </c>
      <c r="BG195" s="39" t="n">
        <f aca="false">IF(BG$4=0,0,IF(COUNTIFS(実績!$W$6:$W$505,BG$3,実績!$AI$6:$AI$505,"&lt;="&amp;$A195,実績!$AJ$6:$AJ$505,"&gt;"&amp;$A195,実績!$AK$6:$AK$505,"○")&gt;0,1,0))</f>
        <v>0</v>
      </c>
      <c r="BH195" s="39" t="n">
        <f aca="false">IF(BH$4=0,0,IF(COUNTIFS(実績!$W$6:$W$505,BH$3,実績!$AI$6:$AI$505,"&lt;="&amp;$A195,実績!$AJ$6:$AJ$505,"&gt;"&amp;$A195,実績!$AK$6:$AK$505,"○")&gt;0,1,0))</f>
        <v>0</v>
      </c>
      <c r="BI195" s="39" t="n">
        <f aca="false">IF(BI$4=0,0,IF(COUNTIFS(実績!$W$6:$W$505,BI$3,実績!$AI$6:$AI$505,"&lt;="&amp;$A195,実績!$AJ$6:$AJ$505,"&gt;"&amp;$A195,実績!$AK$6:$AK$505,"○")&gt;0,1,0))</f>
        <v>0</v>
      </c>
      <c r="BJ195" s="39" t="n">
        <f aca="false">IF(BJ$4=0,0,IF(COUNTIFS(実績!$W$6:$W$505,BJ$3,実績!$AI$6:$AI$505,"&lt;="&amp;$A195,実績!$AJ$6:$AJ$505,"&gt;"&amp;$A195,実績!$AK$6:$AK$505,"○")&gt;0,1,0))</f>
        <v>0</v>
      </c>
      <c r="BK195" s="39" t="n">
        <f aca="false">IF(BK$4=0,0,IF(COUNTIFS(実績!$W$6:$W$505,BK$3,実績!$AI$6:$AI$505,"&lt;="&amp;$A195,実績!$AJ$6:$AJ$505,"&gt;"&amp;$A195,実績!$AK$6:$AK$505,"○")&gt;0,1,0))</f>
        <v>0</v>
      </c>
      <c r="BL195" s="39" t="n">
        <f aca="false">IF(BL$4=0,0,IF(COUNTIFS(実績!$W$6:$W$505,BL$3,実績!$AI$6:$AI$505,"&lt;="&amp;$A195,実績!$AJ$6:$AJ$505,"&gt;"&amp;$A195,実績!$AK$6:$AK$505,"○")&gt;0,1,0))</f>
        <v>0</v>
      </c>
      <c r="BM195" s="39" t="n">
        <f aca="false">IF(BM$4=0,0,IF(COUNTIFS(実績!$W$6:$W$505,BM$3,実績!$AI$6:$AI$505,"&lt;="&amp;$A195,実績!$AJ$6:$AJ$505,"&gt;"&amp;$A195,実績!$AK$6:$AK$505,"○")&gt;0,1,0))</f>
        <v>0</v>
      </c>
      <c r="BN195" s="39" t="n">
        <f aca="false">IF(BN$4=0,0,IF(COUNTIFS(実績!$W$6:$W$505,BN$3,実績!$AI$6:$AI$505,"&lt;="&amp;$A195,実績!$AJ$6:$AJ$505,"&gt;"&amp;$A195,実績!$AK$6:$AK$505,"○")&gt;0,1,0))</f>
        <v>0</v>
      </c>
      <c r="BO195" s="39" t="n">
        <f aca="false">IF(BO$4=0,0,IF(COUNTIFS(実績!$W$6:$W$505,BO$3,実績!$AI$6:$AI$505,"&lt;="&amp;$A195,実績!$AJ$6:$AJ$505,"&gt;"&amp;$A195,実績!$AK$6:$AK$505,"○")&gt;0,1,0))</f>
        <v>0</v>
      </c>
      <c r="BP195" s="39" t="n">
        <f aca="false">IF(BP$4=0,0,IF(COUNTIFS(実績!$W$6:$W$505,BP$3,実績!$AI$6:$AI$505,"&lt;="&amp;$A195,実績!$AJ$6:$AJ$505,"&gt;"&amp;$A195,実績!$AK$6:$AK$505,"○")&gt;0,1,0))</f>
        <v>0</v>
      </c>
      <c r="BQ195" s="39" t="n">
        <f aca="false">IF(BQ$4=0,0,IF(COUNTIFS(実績!$W$6:$W$505,BQ$3,実績!$AI$6:$AI$505,"&lt;="&amp;$A195,実績!$AJ$6:$AJ$505,"&gt;"&amp;$A195,実績!$AK$6:$AK$505,"○")&gt;0,1,0))</f>
        <v>0</v>
      </c>
      <c r="BR195" s="39" t="n">
        <f aca="false">IF(BR$4=0,0,IF(COUNTIFS(実績!$W$6:$W$505,BR$3,実績!$AI$6:$AI$505,"&lt;="&amp;$A195,実績!$AJ$6:$AJ$505,"&gt;"&amp;$A195,実績!$AK$6:$AK$505,"○")&gt;0,1,0))</f>
        <v>0</v>
      </c>
      <c r="BS195" s="39" t="n">
        <f aca="false">IF(BS$4=0,0,IF(COUNTIFS(実績!$W$6:$W$505,BS$3,実績!$AI$6:$AI$505,"&lt;="&amp;$A195,実績!$AJ$6:$AJ$505,"&gt;"&amp;$A195,実績!$AK$6:$AK$505,"○")&gt;0,1,0))</f>
        <v>0</v>
      </c>
      <c r="BT195" s="39" t="n">
        <f aca="false">IF(BT$4=0,0,IF(COUNTIFS(実績!$W$6:$W$505,BT$3,実績!$AI$6:$AI$505,"&lt;="&amp;$A195,実績!$AJ$6:$AJ$505,"&gt;"&amp;$A195,実績!$AK$6:$AK$505,"○")&gt;0,1,0))</f>
        <v>0</v>
      </c>
      <c r="BU195" s="39" t="n">
        <f aca="false">IF(BU$4=0,0,IF(COUNTIFS(実績!$W$6:$W$505,BU$3,実績!$AI$6:$AI$505,"&lt;="&amp;$A195,実績!$AJ$6:$AJ$505,"&gt;"&amp;$A195,実績!$AK$6:$AK$505,"○")&gt;0,1,0))</f>
        <v>0</v>
      </c>
      <c r="BV195" s="39" t="n">
        <f aca="false">IF(BV$4=0,0,IF(COUNTIFS(実績!$W$6:$W$505,BV$3,実績!$AI$6:$AI$505,"&lt;="&amp;$A195,実績!$AJ$6:$AJ$505,"&gt;"&amp;$A195,実績!$AK$6:$AK$505,"○")&gt;0,1,0))</f>
        <v>0</v>
      </c>
      <c r="BW195" s="39" t="n">
        <f aca="false">IF(BW$4=0,0,IF(COUNTIFS(実績!$W$6:$W$505,BW$3,実績!$AI$6:$AI$505,"&lt;="&amp;$A195,実績!$AJ$6:$AJ$505,"&gt;"&amp;$A195,実績!$AK$6:$AK$505,"○")&gt;0,1,0))</f>
        <v>0</v>
      </c>
      <c r="BX195" s="39" t="n">
        <f aca="false">IF(BX$4=0,0,IF(COUNTIFS(実績!$W$6:$W$505,BX$3,実績!$AI$6:$AI$505,"&lt;="&amp;$A195,実績!$AJ$6:$AJ$505,"&gt;"&amp;$A195,実績!$AK$6:$AK$505,"○")&gt;0,1,0))</f>
        <v>0</v>
      </c>
      <c r="BY195" s="39" t="n">
        <f aca="false">IF(BY$4=0,0,IF(COUNTIFS(実績!$W$6:$W$505,BY$3,実績!$AI$6:$AI$505,"&lt;="&amp;$A195,実績!$AJ$6:$AJ$505,"&gt;"&amp;$A195,実績!$AK$6:$AK$505,"○")&gt;0,1,0))</f>
        <v>0</v>
      </c>
      <c r="BZ195" s="39" t="n">
        <f aca="false">IF(BZ$4=0,0,IF(COUNTIFS(実績!$W$6:$W$505,BZ$3,実績!$AI$6:$AI$505,"&lt;="&amp;$A195,実績!$AJ$6:$AJ$505,"&gt;"&amp;$A195,実績!$AK$6:$AK$505,"○")&gt;0,1,0))</f>
        <v>0</v>
      </c>
      <c r="CA195" s="39" t="n">
        <f aca="false">IF(CA$4=0,0,IF(COUNTIFS(実績!$W$6:$W$505,CA$3,実績!$AI$6:$AI$505,"&lt;="&amp;$A195,実績!$AJ$6:$AJ$505,"&gt;"&amp;$A195,実績!$AK$6:$AK$505,"○")&gt;0,1,0))</f>
        <v>0</v>
      </c>
      <c r="CB195" s="39" t="n">
        <f aca="false">IF(CB$4=0,0,IF(COUNTIFS(実績!$W$6:$W$505,CB$3,実績!$AI$6:$AI$505,"&lt;="&amp;$A195,実績!$AJ$6:$AJ$505,"&gt;"&amp;$A195,実績!$AK$6:$AK$505,"○")&gt;0,1,0))</f>
        <v>0</v>
      </c>
      <c r="CC195" s="39" t="n">
        <f aca="false">IF(CC$4=0,0,IF(COUNTIFS(実績!$W$6:$W$505,CC$3,実績!$AI$6:$AI$505,"&lt;="&amp;$A195,実績!$AJ$6:$AJ$505,"&gt;"&amp;$A195,実績!$AK$6:$AK$505,"○")&gt;0,1,0))</f>
        <v>0</v>
      </c>
      <c r="CD195" s="39" t="n">
        <f aca="false">IF(CD$4=0,0,IF(COUNTIFS(実績!$W$6:$W$505,CD$3,実績!$AI$6:$AI$505,"&lt;="&amp;$A195,実績!$AJ$6:$AJ$505,"&gt;"&amp;$A195,実績!$AK$6:$AK$505,"○")&gt;0,1,0))</f>
        <v>0</v>
      </c>
      <c r="CE195" s="39" t="n">
        <f aca="false">IF(CE$4=0,0,IF(COUNTIFS(実績!$W$6:$W$505,CE$3,実績!$AI$6:$AI$505,"&lt;="&amp;$A195,実績!$AJ$6:$AJ$505,"&gt;"&amp;$A195,実績!$AK$6:$AK$505,"○")&gt;0,1,0))</f>
        <v>0</v>
      </c>
      <c r="CF195" s="39" t="n">
        <f aca="false">IF(CF$4=0,0,IF(COUNTIFS(実績!$W$6:$W$505,CF$3,実績!$AI$6:$AI$505,"&lt;="&amp;$A195,実績!$AJ$6:$AJ$505,"&gt;"&amp;$A195,実績!$AK$6:$AK$505,"○")&gt;0,1,0))</f>
        <v>0</v>
      </c>
      <c r="CG195" s="39" t="n">
        <f aca="false">IF(CG$4=0,0,IF(COUNTIFS(実績!$W$6:$W$505,CG$3,実績!$AI$6:$AI$505,"&lt;="&amp;$A195,実績!$AJ$6:$AJ$505,"&gt;"&amp;$A195,実績!$AK$6:$AK$505,"○")&gt;0,1,0))</f>
        <v>0</v>
      </c>
      <c r="CH195" s="39" t="n">
        <f aca="false">IF(CH$4=0,0,IF(COUNTIFS(実績!$W$6:$W$505,CH$3,実績!$AI$6:$AI$505,"&lt;="&amp;$A195,実績!$AJ$6:$AJ$505,"&gt;"&amp;$A195,実績!$AK$6:$AK$505,"○")&gt;0,1,0))</f>
        <v>0</v>
      </c>
      <c r="CI195" s="39" t="n">
        <f aca="false">IF(CI$4=0,0,IF(COUNTIFS(実績!$W$6:$W$505,CI$3,実績!$AI$6:$AI$505,"&lt;="&amp;$A195,実績!$AJ$6:$AJ$505,"&gt;"&amp;$A195,実績!$AK$6:$AK$505,"○")&gt;0,1,0))</f>
        <v>0</v>
      </c>
      <c r="CJ195" s="39" t="n">
        <f aca="false">IF(CJ$4=0,0,IF(COUNTIFS(実績!$W$6:$W$505,CJ$3,実績!$AI$6:$AI$505,"&lt;="&amp;$A195,実績!$AJ$6:$AJ$505,"&gt;"&amp;$A195,実績!$AK$6:$AK$505,"○")&gt;0,1,0))</f>
        <v>0</v>
      </c>
      <c r="CK195" s="39" t="n">
        <f aca="false">IF(CK$4=0,0,IF(COUNTIFS(実績!$W$6:$W$505,CK$3,実績!$AI$6:$AI$505,"&lt;="&amp;$A195,実績!$AJ$6:$AJ$505,"&gt;"&amp;$A195,実績!$AK$6:$AK$505,"○")&gt;0,1,0))</f>
        <v>0</v>
      </c>
      <c r="CL195" s="39" t="n">
        <f aca="false">IF(CL$4=0,0,IF(COUNTIFS(実績!$W$6:$W$505,CL$3,実績!$AI$6:$AI$505,"&lt;="&amp;$A195,実績!$AJ$6:$AJ$505,"&gt;"&amp;$A195,実績!$AK$6:$AK$505,"○")&gt;0,1,0))</f>
        <v>0</v>
      </c>
      <c r="CM195" s="39" t="n">
        <f aca="false">IF(CM$4=0,0,IF(COUNTIFS(実績!$W$6:$W$505,CM$3,実績!$AI$6:$AI$505,"&lt;="&amp;$A195,実績!$AJ$6:$AJ$505,"&gt;"&amp;$A195,実績!$AK$6:$AK$505,"○")&gt;0,1,0))</f>
        <v>0</v>
      </c>
      <c r="CN195" s="39" t="n">
        <f aca="false">IF(CN$4=0,0,IF(COUNTIFS(実績!$W$6:$W$505,CN$3,実績!$AI$6:$AI$505,"&lt;="&amp;$A195,実績!$AJ$6:$AJ$505,"&gt;"&amp;$A195,実績!$AK$6:$AK$505,"○")&gt;0,1,0))</f>
        <v>0</v>
      </c>
      <c r="CO195" s="39" t="n">
        <f aca="false">IF(CO$4=0,0,IF(COUNTIFS(実績!$W$6:$W$505,CO$3,実績!$AI$6:$AI$505,"&lt;="&amp;$A195,実績!$AJ$6:$AJ$505,"&gt;"&amp;$A195,実績!$AK$6:$AK$505,"○")&gt;0,1,0))</f>
        <v>0</v>
      </c>
      <c r="CP195" s="39" t="n">
        <f aca="false">IF(CP$4=0,0,IF(COUNTIFS(実績!$W$6:$W$505,CP$3,実績!$AI$6:$AI$505,"&lt;="&amp;$A195,実績!$AJ$6:$AJ$505,"&gt;"&amp;$A195,実績!$AK$6:$AK$505,"○")&gt;0,1,0))</f>
        <v>0</v>
      </c>
      <c r="CQ195" s="39" t="n">
        <f aca="false">IF(CQ$4=0,0,IF(COUNTIFS(実績!$W$6:$W$505,CQ$3,実績!$AI$6:$AI$505,"&lt;="&amp;$A195,実績!$AJ$6:$AJ$505,"&gt;"&amp;$A195,実績!$AK$6:$AK$505,"○")&gt;0,1,0))</f>
        <v>0</v>
      </c>
      <c r="CR195" s="39" t="n">
        <f aca="false">IF(CR$4=0,0,IF(COUNTIFS(実績!$W$6:$W$505,CR$3,実績!$AI$6:$AI$505,"&lt;="&amp;$A195,実績!$AJ$6:$AJ$505,"&gt;"&amp;$A195,実績!$AK$6:$AK$505,"○")&gt;0,1,0))</f>
        <v>0</v>
      </c>
      <c r="CS195" s="39" t="n">
        <f aca="false">IF(CS$4=0,0,IF(COUNTIFS(実績!$W$6:$W$505,CS$3,実績!$AI$6:$AI$505,"&lt;="&amp;$A195,実績!$AJ$6:$AJ$505,"&gt;"&amp;$A195,実績!$AK$6:$AK$505,"○")&gt;0,1,0))</f>
        <v>0</v>
      </c>
      <c r="CT195" s="39" t="n">
        <f aca="false">IF(CT$4=0,0,IF(COUNTIFS(実績!$W$6:$W$505,CT$3,実績!$AI$6:$AI$505,"&lt;="&amp;$A195,実績!$AJ$6:$AJ$505,"&gt;"&amp;$A195,実績!$AK$6:$AK$505,"○")&gt;0,1,0))</f>
        <v>0</v>
      </c>
      <c r="CU195" s="39" t="n">
        <f aca="false">IF(CU$4=0,0,IF(COUNTIFS(実績!$W$6:$W$505,CU$3,実績!$AI$6:$AI$505,"&lt;="&amp;$A195,実績!$AJ$6:$AJ$505,"&gt;"&amp;$A195,実績!$AK$6:$AK$505,"○")&gt;0,1,0))</f>
        <v>0</v>
      </c>
      <c r="CV195" s="39" t="n">
        <f aca="false">IF(CV$4=0,0,IF(COUNTIFS(実績!$W$6:$W$505,CV$3,実績!$AI$6:$AI$505,"&lt;="&amp;$A195,実績!$AJ$6:$AJ$505,"&gt;"&amp;$A195,実績!$AK$6:$AK$505,"○")&gt;0,1,0))</f>
        <v>0</v>
      </c>
      <c r="CW195" s="39" t="n">
        <f aca="false">IF(CW$4=0,0,IF(COUNTIFS(実績!$W$6:$W$505,CW$3,実績!$AI$6:$AI$505,"&lt;="&amp;$A195,実績!$AJ$6:$AJ$505,"&gt;"&amp;$A195,実績!$AK$6:$AK$505,"○")&gt;0,1,0))</f>
        <v>0</v>
      </c>
      <c r="CX195" s="39" t="n">
        <f aca="false">IF(CX$4=0,0,IF(COUNTIFS(実績!$W$6:$W$505,CX$3,実績!$AI$6:$AI$505,"&lt;="&amp;$A195,実績!$AJ$6:$AJ$505,"&gt;"&amp;$A195,実績!$AK$6:$AK$505,"○")&gt;0,1,0))</f>
        <v>0</v>
      </c>
      <c r="CY195" s="39" t="n">
        <f aca="false">IF(CY$4=0,0,IF(COUNTIFS(実績!$W$6:$W$505,CY$3,実績!$AI$6:$AI$505,"&lt;="&amp;$A195,実績!$AJ$6:$AJ$505,"&gt;"&amp;$A195,実績!$AK$6:$AK$505,"○")&gt;0,1,0))</f>
        <v>0</v>
      </c>
      <c r="CZ195" s="39" t="n">
        <f aca="false">IF(CZ$4=0,0,IF(COUNTIFS(実績!$W$6:$W$505,CZ$3,実績!$AI$6:$AI$505,"&lt;="&amp;$A195,実績!$AJ$6:$AJ$505,"&gt;"&amp;$A195,実績!$AK$6:$AK$505,"○")&gt;0,1,0))</f>
        <v>0</v>
      </c>
      <c r="DA195" s="39" t="n">
        <f aca="false">IF(DA$4=0,0,IF(COUNTIFS(実績!$W$6:$W$505,DA$3,実績!$AI$6:$AI$505,"&lt;="&amp;$A195,実績!$AJ$6:$AJ$505,"&gt;"&amp;$A195,実績!$AK$6:$AK$505,"○")&gt;0,1,0))</f>
        <v>0</v>
      </c>
      <c r="DB195" s="39" t="n">
        <f aca="false">IF(DB$4=0,0,IF(COUNTIFS(実績!$W$6:$W$505,DB$3,実績!$AI$6:$AI$505,"&lt;="&amp;$A195,実績!$AJ$6:$AJ$505,"&gt;"&amp;$A195,実績!$AK$6:$AK$505,"○")&gt;0,1,0))</f>
        <v>0</v>
      </c>
      <c r="DC195" s="39" t="n">
        <f aca="false">IF(DC$4=0,0,IF(COUNTIFS(実績!$W$6:$W$505,DC$3,実績!$AI$6:$AI$505,"&lt;="&amp;$A195,実績!$AJ$6:$AJ$505,"&gt;"&amp;$A195,実績!$AK$6:$AK$505,"○")&gt;0,1,0))</f>
        <v>0</v>
      </c>
      <c r="DD195" s="39" t="n">
        <f aca="false">IF(DD$4=0,0,IF(COUNTIFS(実績!$W$6:$W$505,DD$3,実績!$AI$6:$AI$505,"&lt;="&amp;$A195,実績!$AJ$6:$AJ$505,"&gt;"&amp;$A195,実績!$AK$6:$AK$505,"○")&gt;0,1,0))</f>
        <v>0</v>
      </c>
      <c r="DE195" s="39" t="n">
        <f aca="false">IF(DE$4=0,0,IF(COUNTIFS(実績!$W$6:$W$505,DE$3,実績!$AI$6:$AI$505,"&lt;="&amp;$A195,実績!$AJ$6:$AJ$505,"&gt;"&amp;$A195,実績!$AK$6:$AK$505,"○")&gt;0,1,0))</f>
        <v>0</v>
      </c>
      <c r="DF195" s="39" t="n">
        <f aca="false">IF(DF$4=0,0,IF(COUNTIFS(実績!$W$6:$W$505,DF$3,実績!$AI$6:$AI$505,"&lt;="&amp;$A195,実績!$AJ$6:$AJ$505,"&gt;"&amp;$A195,実績!$AK$6:$AK$505,"○")&gt;0,1,0))</f>
        <v>0</v>
      </c>
      <c r="DG195" s="39" t="n">
        <f aca="false">IF(DG$4=0,0,IF(COUNTIFS(実績!$W$6:$W$505,DG$3,実績!$AI$6:$AI$505,"&lt;="&amp;$A195,実績!$AJ$6:$AJ$505,"&gt;"&amp;$A195,実績!$AK$6:$AK$505,"○")&gt;0,1,0))</f>
        <v>0</v>
      </c>
      <c r="DH195" s="39" t="n">
        <f aca="false">IF(DH$4=0,0,IF(COUNTIFS(実績!$W$6:$W$505,DH$3,実績!$AI$6:$AI$505,"&lt;="&amp;$A195,実績!$AJ$6:$AJ$505,"&gt;"&amp;$A195,実績!$AK$6:$AK$505,"○")&gt;0,1,0))</f>
        <v>0</v>
      </c>
      <c r="DI195" s="39" t="n">
        <f aca="false">IF(DI$4=0,0,IF(COUNTIFS(実績!$W$6:$W$505,DI$3,実績!$AI$6:$AI$505,"&lt;="&amp;$A195,実績!$AJ$6:$AJ$505,"&gt;"&amp;$A195,実績!$AK$6:$AK$505,"○")&gt;0,1,0))</f>
        <v>0</v>
      </c>
      <c r="DJ195" s="39" t="n">
        <f aca="false">IF(DJ$4=0,0,IF(COUNTIFS(実績!$W$6:$W$505,DJ$3,実績!$AI$6:$AI$505,"&lt;="&amp;$A195,実績!$AJ$6:$AJ$505,"&gt;"&amp;$A195,実績!$AK$6:$AK$505,"○")&gt;0,1,0))</f>
        <v>0</v>
      </c>
      <c r="DK195" s="39" t="n">
        <f aca="false">IF(DK$4=0,0,IF(COUNTIFS(実績!$W$6:$W$505,DK$3,実績!$AI$6:$AI$505,"&lt;="&amp;$A195,実績!$AJ$6:$AJ$505,"&gt;"&amp;$A195,実績!$AK$6:$AK$505,"○")&gt;0,1,0))</f>
        <v>0</v>
      </c>
      <c r="DL195" s="39" t="n">
        <f aca="false">IF(DL$4=0,0,IF(COUNTIFS(実績!$W$6:$W$505,DL$3,実績!$AI$6:$AI$505,"&lt;="&amp;$A195,実績!$AJ$6:$AJ$505,"&gt;"&amp;$A195,実績!$AK$6:$AK$505,"○")&gt;0,1,0))</f>
        <v>0</v>
      </c>
      <c r="DM195" s="39" t="n">
        <f aca="false">IF(DM$4=0,0,IF(COUNTIFS(実績!$W$6:$W$505,DM$3,実績!$AI$6:$AI$505,"&lt;="&amp;$A195,実績!$AJ$6:$AJ$505,"&gt;"&amp;$A195,実績!$AK$6:$AK$505,"○")&gt;0,1,0))</f>
        <v>0</v>
      </c>
      <c r="DN195" s="39" t="n">
        <f aca="false">IF(DN$4=0,0,IF(COUNTIFS(実績!$W$6:$W$505,DN$3,実績!$AI$6:$AI$505,"&lt;="&amp;$A195,実績!$AJ$6:$AJ$505,"&gt;"&amp;$A195,実績!$AK$6:$AK$505,"○")&gt;0,1,0))</f>
        <v>0</v>
      </c>
      <c r="DO195" s="39" t="n">
        <f aca="false">IF(DO$4=0,0,IF(COUNTIFS(実績!$W$6:$W$505,DO$3,実績!$AI$6:$AI$505,"&lt;="&amp;$A195,実績!$AJ$6:$AJ$505,"&gt;"&amp;$A195,実績!$AK$6:$AK$505,"○")&gt;0,1,0))</f>
        <v>0</v>
      </c>
      <c r="DP195" s="39" t="n">
        <f aca="false">IF(DP$4=0,0,IF(COUNTIFS(実績!$W$6:$W$505,DP$3,実績!$AI$6:$AI$505,"&lt;="&amp;$A195,実績!$AJ$6:$AJ$505,"&gt;"&amp;$A195,実績!$AK$6:$AK$505,"○")&gt;0,1,0))</f>
        <v>0</v>
      </c>
      <c r="DQ195" s="39" t="n">
        <f aca="false">IF(DQ$4=0,0,IF(COUNTIFS(実績!$W$6:$W$505,DQ$3,実績!$AI$6:$AI$505,"&lt;="&amp;$A195,実績!$AJ$6:$AJ$505,"&gt;"&amp;$A195,実績!$AK$6:$AK$505,"○")&gt;0,1,0))</f>
        <v>0</v>
      </c>
      <c r="DR195" s="39" t="n">
        <f aca="false">IF(DR$4=0,0,IF(COUNTIFS(実績!$W$6:$W$505,DR$3,実績!$AI$6:$AI$505,"&lt;="&amp;$A195,実績!$AJ$6:$AJ$505,"&gt;"&amp;$A195,実績!$AK$6:$AK$505,"○")&gt;0,1,0))</f>
        <v>0</v>
      </c>
      <c r="DS195" s="39" t="n">
        <f aca="false">SUM(C195:DR195)</f>
        <v>0</v>
      </c>
      <c r="DT195" s="39" t="n">
        <f aca="false">SUMPRODUCT((実績!$C$6:$C$505="○")*ISNUMBER(実績!$AM$6:$AM$505)*(実績!$AM$6:$AM$505&lt;=$A195)*(実績!$AN$6:$AN$505&gt;$A195))</f>
        <v>0</v>
      </c>
      <c r="DU195" s="39" t="n">
        <f aca="false">SUMIF($C$2:$DR$2,"製鉄曳船",C195:DR195)</f>
        <v>0</v>
      </c>
      <c r="DV195" s="39" t="n">
        <f aca="false">SUMIF($C$2:$DR$2,"西日本海運",C195:DR195)</f>
        <v>0</v>
      </c>
    </row>
    <row r="196" customFormat="false" ht="15" hidden="false" customHeight="false" outlineLevel="0" collapsed="false">
      <c r="A196" s="0" t="n">
        <v>950</v>
      </c>
      <c r="B196" s="38" t="n">
        <f aca="false">A196/1440</f>
        <v>0.659722222222222</v>
      </c>
      <c r="C196" s="39" t="n">
        <f aca="false">IF(C$4=0,0,IF(COUNTIFS(実績!$W$6:$W$505,C$3,実績!$AI$6:$AI$505,"&lt;="&amp;$A196,実績!$AJ$6:$AJ$505,"&gt;"&amp;$A196,実績!$AK$6:$AK$505,"○")&gt;0,1,0))</f>
        <v>0</v>
      </c>
      <c r="D196" s="39" t="n">
        <f aca="false">IF(D$4=0,0,IF(COUNTIFS(実績!$W$6:$W$505,D$3,実績!$AI$6:$AI$505,"&lt;="&amp;$A196,実績!$AJ$6:$AJ$505,"&gt;"&amp;$A196,実績!$AK$6:$AK$505,"○")&gt;0,1,0))</f>
        <v>0</v>
      </c>
      <c r="E196" s="39" t="n">
        <f aca="false">IF(E$4=0,0,IF(COUNTIFS(実績!$W$6:$W$505,E$3,実績!$AI$6:$AI$505,"&lt;="&amp;$A196,実績!$AJ$6:$AJ$505,"&gt;"&amp;$A196,実績!$AK$6:$AK$505,"○")&gt;0,1,0))</f>
        <v>0</v>
      </c>
      <c r="F196" s="39" t="n">
        <f aca="false">IF(F$4=0,0,IF(COUNTIFS(実績!$W$6:$W$505,F$3,実績!$AI$6:$AI$505,"&lt;="&amp;$A196,実績!$AJ$6:$AJ$505,"&gt;"&amp;$A196,実績!$AK$6:$AK$505,"○")&gt;0,1,0))</f>
        <v>0</v>
      </c>
      <c r="G196" s="39" t="n">
        <f aca="false">IF(G$4=0,0,IF(COUNTIFS(実績!$W$6:$W$505,G$3,実績!$AI$6:$AI$505,"&lt;="&amp;$A196,実績!$AJ$6:$AJ$505,"&gt;"&amp;$A196,実績!$AK$6:$AK$505,"○")&gt;0,1,0))</f>
        <v>0</v>
      </c>
      <c r="H196" s="39" t="n">
        <f aca="false">IF(H$4=0,0,IF(COUNTIFS(実績!$W$6:$W$505,H$3,実績!$AI$6:$AI$505,"&lt;="&amp;$A196,実績!$AJ$6:$AJ$505,"&gt;"&amp;$A196,実績!$AK$6:$AK$505,"○")&gt;0,1,0))</f>
        <v>0</v>
      </c>
      <c r="I196" s="39" t="n">
        <f aca="false">IF(I$4=0,0,IF(COUNTIFS(実績!$W$6:$W$505,I$3,実績!$AI$6:$AI$505,"&lt;="&amp;$A196,実績!$AJ$6:$AJ$505,"&gt;"&amp;$A196,実績!$AK$6:$AK$505,"○")&gt;0,1,0))</f>
        <v>0</v>
      </c>
      <c r="J196" s="39" t="n">
        <f aca="false">IF(J$4=0,0,IF(COUNTIFS(実績!$W$6:$W$505,J$3,実績!$AI$6:$AI$505,"&lt;="&amp;$A196,実績!$AJ$6:$AJ$505,"&gt;"&amp;$A196,実績!$AK$6:$AK$505,"○")&gt;0,1,0))</f>
        <v>0</v>
      </c>
      <c r="K196" s="39" t="n">
        <f aca="false">IF(K$4=0,0,IF(COUNTIFS(実績!$W$6:$W$505,K$3,実績!$AI$6:$AI$505,"&lt;="&amp;$A196,実績!$AJ$6:$AJ$505,"&gt;"&amp;$A196,実績!$AK$6:$AK$505,"○")&gt;0,1,0))</f>
        <v>0</v>
      </c>
      <c r="L196" s="39" t="n">
        <f aca="false">IF(L$4=0,0,IF(COUNTIFS(実績!$W$6:$W$505,L$3,実績!$AI$6:$AI$505,"&lt;="&amp;$A196,実績!$AJ$6:$AJ$505,"&gt;"&amp;$A196,実績!$AK$6:$AK$505,"○")&gt;0,1,0))</f>
        <v>0</v>
      </c>
      <c r="M196" s="39" t="n">
        <f aca="false">IF(M$4=0,0,IF(COUNTIFS(実績!$W$6:$W$505,M$3,実績!$AI$6:$AI$505,"&lt;="&amp;$A196,実績!$AJ$6:$AJ$505,"&gt;"&amp;$A196,実績!$AK$6:$AK$505,"○")&gt;0,1,0))</f>
        <v>0</v>
      </c>
      <c r="N196" s="39" t="n">
        <f aca="false">IF(N$4=0,0,IF(COUNTIFS(実績!$W$6:$W$505,N$3,実績!$AI$6:$AI$505,"&lt;="&amp;$A196,実績!$AJ$6:$AJ$505,"&gt;"&amp;$A196,実績!$AK$6:$AK$505,"○")&gt;0,1,0))</f>
        <v>0</v>
      </c>
      <c r="O196" s="39" t="n">
        <f aca="false">IF(O$4=0,0,IF(COUNTIFS(実績!$W$6:$W$505,O$3,実績!$AI$6:$AI$505,"&lt;="&amp;$A196,実績!$AJ$6:$AJ$505,"&gt;"&amp;$A196,実績!$AK$6:$AK$505,"○")&gt;0,1,0))</f>
        <v>0</v>
      </c>
      <c r="P196" s="39" t="n">
        <f aca="false">IF(P$4=0,0,IF(COUNTIFS(実績!$W$6:$W$505,P$3,実績!$AI$6:$AI$505,"&lt;="&amp;$A196,実績!$AJ$6:$AJ$505,"&gt;"&amp;$A196,実績!$AK$6:$AK$505,"○")&gt;0,1,0))</f>
        <v>0</v>
      </c>
      <c r="Q196" s="39" t="n">
        <f aca="false">IF(Q$4=0,0,IF(COUNTIFS(実績!$W$6:$W$505,Q$3,実績!$AI$6:$AI$505,"&lt;="&amp;$A196,実績!$AJ$6:$AJ$505,"&gt;"&amp;$A196,実績!$AK$6:$AK$505,"○")&gt;0,1,0))</f>
        <v>0</v>
      </c>
      <c r="R196" s="39" t="n">
        <f aca="false">IF(R$4=0,0,IF(COUNTIFS(実績!$W$6:$W$505,R$3,実績!$AI$6:$AI$505,"&lt;="&amp;$A196,実績!$AJ$6:$AJ$505,"&gt;"&amp;$A196,実績!$AK$6:$AK$505,"○")&gt;0,1,0))</f>
        <v>0</v>
      </c>
      <c r="S196" s="39" t="n">
        <f aca="false">IF(S$4=0,0,IF(COUNTIFS(実績!$W$6:$W$505,S$3,実績!$AI$6:$AI$505,"&lt;="&amp;$A196,実績!$AJ$6:$AJ$505,"&gt;"&amp;$A196,実績!$AK$6:$AK$505,"○")&gt;0,1,0))</f>
        <v>0</v>
      </c>
      <c r="T196" s="39" t="n">
        <f aca="false">IF(T$4=0,0,IF(COUNTIFS(実績!$W$6:$W$505,T$3,実績!$AI$6:$AI$505,"&lt;="&amp;$A196,実績!$AJ$6:$AJ$505,"&gt;"&amp;$A196,実績!$AK$6:$AK$505,"○")&gt;0,1,0))</f>
        <v>0</v>
      </c>
      <c r="U196" s="39" t="n">
        <f aca="false">IF(U$4=0,0,IF(COUNTIFS(実績!$W$6:$W$505,U$3,実績!$AI$6:$AI$505,"&lt;="&amp;$A196,実績!$AJ$6:$AJ$505,"&gt;"&amp;$A196,実績!$AK$6:$AK$505,"○")&gt;0,1,0))</f>
        <v>0</v>
      </c>
      <c r="V196" s="39" t="n">
        <f aca="false">IF(V$4=0,0,IF(COUNTIFS(実績!$W$6:$W$505,V$3,実績!$AI$6:$AI$505,"&lt;="&amp;$A196,実績!$AJ$6:$AJ$505,"&gt;"&amp;$A196,実績!$AK$6:$AK$505,"○")&gt;0,1,0))</f>
        <v>0</v>
      </c>
      <c r="W196" s="39" t="n">
        <f aca="false">IF(W$4=0,0,IF(COUNTIFS(実績!$W$6:$W$505,W$3,実績!$AI$6:$AI$505,"&lt;="&amp;$A196,実績!$AJ$6:$AJ$505,"&gt;"&amp;$A196,実績!$AK$6:$AK$505,"○")&gt;0,1,0))</f>
        <v>0</v>
      </c>
      <c r="X196" s="39" t="n">
        <f aca="false">IF(X$4=0,0,IF(COUNTIFS(実績!$W$6:$W$505,X$3,実績!$AI$6:$AI$505,"&lt;="&amp;$A196,実績!$AJ$6:$AJ$505,"&gt;"&amp;$A196,実績!$AK$6:$AK$505,"○")&gt;0,1,0))</f>
        <v>0</v>
      </c>
      <c r="Y196" s="39" t="n">
        <f aca="false">IF(Y$4=0,0,IF(COUNTIFS(実績!$W$6:$W$505,Y$3,実績!$AI$6:$AI$505,"&lt;="&amp;$A196,実績!$AJ$6:$AJ$505,"&gt;"&amp;$A196,実績!$AK$6:$AK$505,"○")&gt;0,1,0))</f>
        <v>0</v>
      </c>
      <c r="Z196" s="39" t="n">
        <f aca="false">IF(Z$4=0,0,IF(COUNTIFS(実績!$W$6:$W$505,Z$3,実績!$AI$6:$AI$505,"&lt;="&amp;$A196,実績!$AJ$6:$AJ$505,"&gt;"&amp;$A196,実績!$AK$6:$AK$505,"○")&gt;0,1,0))</f>
        <v>0</v>
      </c>
      <c r="AA196" s="39" t="n">
        <f aca="false">IF(AA$4=0,0,IF(COUNTIFS(実績!$W$6:$W$505,AA$3,実績!$AI$6:$AI$505,"&lt;="&amp;$A196,実績!$AJ$6:$AJ$505,"&gt;"&amp;$A196,実績!$AK$6:$AK$505,"○")&gt;0,1,0))</f>
        <v>0</v>
      </c>
      <c r="AB196" s="39" t="n">
        <f aca="false">IF(AB$4=0,0,IF(COUNTIFS(実績!$W$6:$W$505,AB$3,実績!$AI$6:$AI$505,"&lt;="&amp;$A196,実績!$AJ$6:$AJ$505,"&gt;"&amp;$A196,実績!$AK$6:$AK$505,"○")&gt;0,1,0))</f>
        <v>0</v>
      </c>
      <c r="AC196" s="39" t="n">
        <f aca="false">IF(AC$4=0,0,IF(COUNTIFS(実績!$W$6:$W$505,AC$3,実績!$AI$6:$AI$505,"&lt;="&amp;$A196,実績!$AJ$6:$AJ$505,"&gt;"&amp;$A196,実績!$AK$6:$AK$505,"○")&gt;0,1,0))</f>
        <v>0</v>
      </c>
      <c r="AD196" s="39" t="n">
        <f aca="false">IF(AD$4=0,0,IF(COUNTIFS(実績!$W$6:$W$505,AD$3,実績!$AI$6:$AI$505,"&lt;="&amp;$A196,実績!$AJ$6:$AJ$505,"&gt;"&amp;$A196,実績!$AK$6:$AK$505,"○")&gt;0,1,0))</f>
        <v>0</v>
      </c>
      <c r="AE196" s="39" t="n">
        <f aca="false">IF(AE$4=0,0,IF(COUNTIFS(実績!$W$6:$W$505,AE$3,実績!$AI$6:$AI$505,"&lt;="&amp;$A196,実績!$AJ$6:$AJ$505,"&gt;"&amp;$A196,実績!$AK$6:$AK$505,"○")&gt;0,1,0))</f>
        <v>0</v>
      </c>
      <c r="AF196" s="39" t="n">
        <f aca="false">IF(AF$4=0,0,IF(COUNTIFS(実績!$W$6:$W$505,AF$3,実績!$AI$6:$AI$505,"&lt;="&amp;$A196,実績!$AJ$6:$AJ$505,"&gt;"&amp;$A196,実績!$AK$6:$AK$505,"○")&gt;0,1,0))</f>
        <v>0</v>
      </c>
      <c r="AG196" s="39" t="n">
        <f aca="false">IF(AG$4=0,0,IF(COUNTIFS(実績!$W$6:$W$505,AG$3,実績!$AI$6:$AI$505,"&lt;="&amp;$A196,実績!$AJ$6:$AJ$505,"&gt;"&amp;$A196,実績!$AK$6:$AK$505,"○")&gt;0,1,0))</f>
        <v>0</v>
      </c>
      <c r="AH196" s="39" t="n">
        <f aca="false">IF(AH$4=0,0,IF(COUNTIFS(実績!$W$6:$W$505,AH$3,実績!$AI$6:$AI$505,"&lt;="&amp;$A196,実績!$AJ$6:$AJ$505,"&gt;"&amp;$A196,実績!$AK$6:$AK$505,"○")&gt;0,1,0))</f>
        <v>0</v>
      </c>
      <c r="AI196" s="39" t="n">
        <f aca="false">IF(AI$4=0,0,IF(COUNTIFS(実績!$W$6:$W$505,AI$3,実績!$AI$6:$AI$505,"&lt;="&amp;$A196,実績!$AJ$6:$AJ$505,"&gt;"&amp;$A196,実績!$AK$6:$AK$505,"○")&gt;0,1,0))</f>
        <v>0</v>
      </c>
      <c r="AJ196" s="39" t="n">
        <f aca="false">IF(AJ$4=0,0,IF(COUNTIFS(実績!$W$6:$W$505,AJ$3,実績!$AI$6:$AI$505,"&lt;="&amp;$A196,実績!$AJ$6:$AJ$505,"&gt;"&amp;$A196,実績!$AK$6:$AK$505,"○")&gt;0,1,0))</f>
        <v>0</v>
      </c>
      <c r="AK196" s="39" t="n">
        <f aca="false">IF(AK$4=0,0,IF(COUNTIFS(実績!$W$6:$W$505,AK$3,実績!$AI$6:$AI$505,"&lt;="&amp;$A196,実績!$AJ$6:$AJ$505,"&gt;"&amp;$A196,実績!$AK$6:$AK$505,"○")&gt;0,1,0))</f>
        <v>0</v>
      </c>
      <c r="AL196" s="39" t="n">
        <f aca="false">IF(AL$4=0,0,IF(COUNTIFS(実績!$W$6:$W$505,AL$3,実績!$AI$6:$AI$505,"&lt;="&amp;$A196,実績!$AJ$6:$AJ$505,"&gt;"&amp;$A196,実績!$AK$6:$AK$505,"○")&gt;0,1,0))</f>
        <v>0</v>
      </c>
      <c r="AM196" s="39" t="n">
        <f aca="false">IF(AM$4=0,0,IF(COUNTIFS(実績!$W$6:$W$505,AM$3,実績!$AI$6:$AI$505,"&lt;="&amp;$A196,実績!$AJ$6:$AJ$505,"&gt;"&amp;$A196,実績!$AK$6:$AK$505,"○")&gt;0,1,0))</f>
        <v>0</v>
      </c>
      <c r="AN196" s="39" t="n">
        <f aca="false">IF(AN$4=0,0,IF(COUNTIFS(実績!$W$6:$W$505,AN$3,実績!$AI$6:$AI$505,"&lt;="&amp;$A196,実績!$AJ$6:$AJ$505,"&gt;"&amp;$A196,実績!$AK$6:$AK$505,"○")&gt;0,1,0))</f>
        <v>0</v>
      </c>
      <c r="AO196" s="39" t="n">
        <f aca="false">IF(AO$4=0,0,IF(COUNTIFS(実績!$W$6:$W$505,AO$3,実績!$AI$6:$AI$505,"&lt;="&amp;$A196,実績!$AJ$6:$AJ$505,"&gt;"&amp;$A196,実績!$AK$6:$AK$505,"○")&gt;0,1,0))</f>
        <v>0</v>
      </c>
      <c r="AP196" s="39" t="n">
        <f aca="false">IF(AP$4=0,0,IF(COUNTIFS(実績!$W$6:$W$505,AP$3,実績!$AI$6:$AI$505,"&lt;="&amp;$A196,実績!$AJ$6:$AJ$505,"&gt;"&amp;$A196,実績!$AK$6:$AK$505,"○")&gt;0,1,0))</f>
        <v>0</v>
      </c>
      <c r="AQ196" s="39" t="n">
        <f aca="false">IF(AQ$4=0,0,IF(COUNTIFS(実績!$W$6:$W$505,AQ$3,実績!$AI$6:$AI$505,"&lt;="&amp;$A196,実績!$AJ$6:$AJ$505,"&gt;"&amp;$A196,実績!$AK$6:$AK$505,"○")&gt;0,1,0))</f>
        <v>0</v>
      </c>
      <c r="AR196" s="39" t="n">
        <f aca="false">IF(AR$4=0,0,IF(COUNTIFS(実績!$W$6:$W$505,AR$3,実績!$AI$6:$AI$505,"&lt;="&amp;$A196,実績!$AJ$6:$AJ$505,"&gt;"&amp;$A196,実績!$AK$6:$AK$505,"○")&gt;0,1,0))</f>
        <v>0</v>
      </c>
      <c r="AS196" s="39" t="n">
        <f aca="false">IF(AS$4=0,0,IF(COUNTIFS(実績!$W$6:$W$505,AS$3,実績!$AI$6:$AI$505,"&lt;="&amp;$A196,実績!$AJ$6:$AJ$505,"&gt;"&amp;$A196,実績!$AK$6:$AK$505,"○")&gt;0,1,0))</f>
        <v>0</v>
      </c>
      <c r="AT196" s="39" t="n">
        <f aca="false">IF(AT$4=0,0,IF(COUNTIFS(実績!$W$6:$W$505,AT$3,実績!$AI$6:$AI$505,"&lt;="&amp;$A196,実績!$AJ$6:$AJ$505,"&gt;"&amp;$A196,実績!$AK$6:$AK$505,"○")&gt;0,1,0))</f>
        <v>0</v>
      </c>
      <c r="AU196" s="39" t="n">
        <f aca="false">IF(AU$4=0,0,IF(COUNTIFS(実績!$W$6:$W$505,AU$3,実績!$AI$6:$AI$505,"&lt;="&amp;$A196,実績!$AJ$6:$AJ$505,"&gt;"&amp;$A196,実績!$AK$6:$AK$505,"○")&gt;0,1,0))</f>
        <v>0</v>
      </c>
      <c r="AV196" s="39" t="n">
        <f aca="false">IF(AV$4=0,0,IF(COUNTIFS(実績!$W$6:$W$505,AV$3,実績!$AI$6:$AI$505,"&lt;="&amp;$A196,実績!$AJ$6:$AJ$505,"&gt;"&amp;$A196,実績!$AK$6:$AK$505,"○")&gt;0,1,0))</f>
        <v>0</v>
      </c>
      <c r="AW196" s="39" t="n">
        <f aca="false">IF(AW$4=0,0,IF(COUNTIFS(実績!$W$6:$W$505,AW$3,実績!$AI$6:$AI$505,"&lt;="&amp;$A196,実績!$AJ$6:$AJ$505,"&gt;"&amp;$A196,実績!$AK$6:$AK$505,"○")&gt;0,1,0))</f>
        <v>0</v>
      </c>
      <c r="AX196" s="39" t="n">
        <f aca="false">IF(AX$4=0,0,IF(COUNTIFS(実績!$W$6:$W$505,AX$3,実績!$AI$6:$AI$505,"&lt;="&amp;$A196,実績!$AJ$6:$AJ$505,"&gt;"&amp;$A196,実績!$AK$6:$AK$505,"○")&gt;0,1,0))</f>
        <v>0</v>
      </c>
      <c r="AY196" s="39" t="n">
        <f aca="false">IF(AY$4=0,0,IF(COUNTIFS(実績!$W$6:$W$505,AY$3,実績!$AI$6:$AI$505,"&lt;="&amp;$A196,実績!$AJ$6:$AJ$505,"&gt;"&amp;$A196,実績!$AK$6:$AK$505,"○")&gt;0,1,0))</f>
        <v>0</v>
      </c>
      <c r="AZ196" s="39" t="n">
        <f aca="false">IF(AZ$4=0,0,IF(COUNTIFS(実績!$W$6:$W$505,AZ$3,実績!$AI$6:$AI$505,"&lt;="&amp;$A196,実績!$AJ$6:$AJ$505,"&gt;"&amp;$A196,実績!$AK$6:$AK$505,"○")&gt;0,1,0))</f>
        <v>0</v>
      </c>
      <c r="BA196" s="39" t="n">
        <f aca="false">IF(BA$4=0,0,IF(COUNTIFS(実績!$W$6:$W$505,BA$3,実績!$AI$6:$AI$505,"&lt;="&amp;$A196,実績!$AJ$6:$AJ$505,"&gt;"&amp;$A196,実績!$AK$6:$AK$505,"○")&gt;0,1,0))</f>
        <v>0</v>
      </c>
      <c r="BB196" s="39" t="n">
        <f aca="false">IF(BB$4=0,0,IF(COUNTIFS(実績!$W$6:$W$505,BB$3,実績!$AI$6:$AI$505,"&lt;="&amp;$A196,実績!$AJ$6:$AJ$505,"&gt;"&amp;$A196,実績!$AK$6:$AK$505,"○")&gt;0,1,0))</f>
        <v>0</v>
      </c>
      <c r="BC196" s="39" t="n">
        <f aca="false">IF(BC$4=0,0,IF(COUNTIFS(実績!$W$6:$W$505,BC$3,実績!$AI$6:$AI$505,"&lt;="&amp;$A196,実績!$AJ$6:$AJ$505,"&gt;"&amp;$A196,実績!$AK$6:$AK$505,"○")&gt;0,1,0))</f>
        <v>0</v>
      </c>
      <c r="BD196" s="39" t="n">
        <f aca="false">IF(BD$4=0,0,IF(COUNTIFS(実績!$W$6:$W$505,BD$3,実績!$AI$6:$AI$505,"&lt;="&amp;$A196,実績!$AJ$6:$AJ$505,"&gt;"&amp;$A196,実績!$AK$6:$AK$505,"○")&gt;0,1,0))</f>
        <v>0</v>
      </c>
      <c r="BE196" s="39" t="n">
        <f aca="false">IF(BE$4=0,0,IF(COUNTIFS(実績!$W$6:$W$505,BE$3,実績!$AI$6:$AI$505,"&lt;="&amp;$A196,実績!$AJ$6:$AJ$505,"&gt;"&amp;$A196,実績!$AK$6:$AK$505,"○")&gt;0,1,0))</f>
        <v>0</v>
      </c>
      <c r="BF196" s="39" t="n">
        <f aca="false">IF(BF$4=0,0,IF(COUNTIFS(実績!$W$6:$W$505,BF$3,実績!$AI$6:$AI$505,"&lt;="&amp;$A196,実績!$AJ$6:$AJ$505,"&gt;"&amp;$A196,実績!$AK$6:$AK$505,"○")&gt;0,1,0))</f>
        <v>0</v>
      </c>
      <c r="BG196" s="39" t="n">
        <f aca="false">IF(BG$4=0,0,IF(COUNTIFS(実績!$W$6:$W$505,BG$3,実績!$AI$6:$AI$505,"&lt;="&amp;$A196,実績!$AJ$6:$AJ$505,"&gt;"&amp;$A196,実績!$AK$6:$AK$505,"○")&gt;0,1,0))</f>
        <v>0</v>
      </c>
      <c r="BH196" s="39" t="n">
        <f aca="false">IF(BH$4=0,0,IF(COUNTIFS(実績!$W$6:$W$505,BH$3,実績!$AI$6:$AI$505,"&lt;="&amp;$A196,実績!$AJ$6:$AJ$505,"&gt;"&amp;$A196,実績!$AK$6:$AK$505,"○")&gt;0,1,0))</f>
        <v>0</v>
      </c>
      <c r="BI196" s="39" t="n">
        <f aca="false">IF(BI$4=0,0,IF(COUNTIFS(実績!$W$6:$W$505,BI$3,実績!$AI$6:$AI$505,"&lt;="&amp;$A196,実績!$AJ$6:$AJ$505,"&gt;"&amp;$A196,実績!$AK$6:$AK$505,"○")&gt;0,1,0))</f>
        <v>0</v>
      </c>
      <c r="BJ196" s="39" t="n">
        <f aca="false">IF(BJ$4=0,0,IF(COUNTIFS(実績!$W$6:$W$505,BJ$3,実績!$AI$6:$AI$505,"&lt;="&amp;$A196,実績!$AJ$6:$AJ$505,"&gt;"&amp;$A196,実績!$AK$6:$AK$505,"○")&gt;0,1,0))</f>
        <v>0</v>
      </c>
      <c r="BK196" s="39" t="n">
        <f aca="false">IF(BK$4=0,0,IF(COUNTIFS(実績!$W$6:$W$505,BK$3,実績!$AI$6:$AI$505,"&lt;="&amp;$A196,実績!$AJ$6:$AJ$505,"&gt;"&amp;$A196,実績!$AK$6:$AK$505,"○")&gt;0,1,0))</f>
        <v>0</v>
      </c>
      <c r="BL196" s="39" t="n">
        <f aca="false">IF(BL$4=0,0,IF(COUNTIFS(実績!$W$6:$W$505,BL$3,実績!$AI$6:$AI$505,"&lt;="&amp;$A196,実績!$AJ$6:$AJ$505,"&gt;"&amp;$A196,実績!$AK$6:$AK$505,"○")&gt;0,1,0))</f>
        <v>0</v>
      </c>
      <c r="BM196" s="39" t="n">
        <f aca="false">IF(BM$4=0,0,IF(COUNTIFS(実績!$W$6:$W$505,BM$3,実績!$AI$6:$AI$505,"&lt;="&amp;$A196,実績!$AJ$6:$AJ$505,"&gt;"&amp;$A196,実績!$AK$6:$AK$505,"○")&gt;0,1,0))</f>
        <v>0</v>
      </c>
      <c r="BN196" s="39" t="n">
        <f aca="false">IF(BN$4=0,0,IF(COUNTIFS(実績!$W$6:$W$505,BN$3,実績!$AI$6:$AI$505,"&lt;="&amp;$A196,実績!$AJ$6:$AJ$505,"&gt;"&amp;$A196,実績!$AK$6:$AK$505,"○")&gt;0,1,0))</f>
        <v>0</v>
      </c>
      <c r="BO196" s="39" t="n">
        <f aca="false">IF(BO$4=0,0,IF(COUNTIFS(実績!$W$6:$W$505,BO$3,実績!$AI$6:$AI$505,"&lt;="&amp;$A196,実績!$AJ$6:$AJ$505,"&gt;"&amp;$A196,実績!$AK$6:$AK$505,"○")&gt;0,1,0))</f>
        <v>0</v>
      </c>
      <c r="BP196" s="39" t="n">
        <f aca="false">IF(BP$4=0,0,IF(COUNTIFS(実績!$W$6:$W$505,BP$3,実績!$AI$6:$AI$505,"&lt;="&amp;$A196,実績!$AJ$6:$AJ$505,"&gt;"&amp;$A196,実績!$AK$6:$AK$505,"○")&gt;0,1,0))</f>
        <v>0</v>
      </c>
      <c r="BQ196" s="39" t="n">
        <f aca="false">IF(BQ$4=0,0,IF(COUNTIFS(実績!$W$6:$W$505,BQ$3,実績!$AI$6:$AI$505,"&lt;="&amp;$A196,実績!$AJ$6:$AJ$505,"&gt;"&amp;$A196,実績!$AK$6:$AK$505,"○")&gt;0,1,0))</f>
        <v>0</v>
      </c>
      <c r="BR196" s="39" t="n">
        <f aca="false">IF(BR$4=0,0,IF(COUNTIFS(実績!$W$6:$W$505,BR$3,実績!$AI$6:$AI$505,"&lt;="&amp;$A196,実績!$AJ$6:$AJ$505,"&gt;"&amp;$A196,実績!$AK$6:$AK$505,"○")&gt;0,1,0))</f>
        <v>0</v>
      </c>
      <c r="BS196" s="39" t="n">
        <f aca="false">IF(BS$4=0,0,IF(COUNTIFS(実績!$W$6:$W$505,BS$3,実績!$AI$6:$AI$505,"&lt;="&amp;$A196,実績!$AJ$6:$AJ$505,"&gt;"&amp;$A196,実績!$AK$6:$AK$505,"○")&gt;0,1,0))</f>
        <v>0</v>
      </c>
      <c r="BT196" s="39" t="n">
        <f aca="false">IF(BT$4=0,0,IF(COUNTIFS(実績!$W$6:$W$505,BT$3,実績!$AI$6:$AI$505,"&lt;="&amp;$A196,実績!$AJ$6:$AJ$505,"&gt;"&amp;$A196,実績!$AK$6:$AK$505,"○")&gt;0,1,0))</f>
        <v>0</v>
      </c>
      <c r="BU196" s="39" t="n">
        <f aca="false">IF(BU$4=0,0,IF(COUNTIFS(実績!$W$6:$W$505,BU$3,実績!$AI$6:$AI$505,"&lt;="&amp;$A196,実績!$AJ$6:$AJ$505,"&gt;"&amp;$A196,実績!$AK$6:$AK$505,"○")&gt;0,1,0))</f>
        <v>0</v>
      </c>
      <c r="BV196" s="39" t="n">
        <f aca="false">IF(BV$4=0,0,IF(COUNTIFS(実績!$W$6:$W$505,BV$3,実績!$AI$6:$AI$505,"&lt;="&amp;$A196,実績!$AJ$6:$AJ$505,"&gt;"&amp;$A196,実績!$AK$6:$AK$505,"○")&gt;0,1,0))</f>
        <v>0</v>
      </c>
      <c r="BW196" s="39" t="n">
        <f aca="false">IF(BW$4=0,0,IF(COUNTIFS(実績!$W$6:$W$505,BW$3,実績!$AI$6:$AI$505,"&lt;="&amp;$A196,実績!$AJ$6:$AJ$505,"&gt;"&amp;$A196,実績!$AK$6:$AK$505,"○")&gt;0,1,0))</f>
        <v>0</v>
      </c>
      <c r="BX196" s="39" t="n">
        <f aca="false">IF(BX$4=0,0,IF(COUNTIFS(実績!$W$6:$W$505,BX$3,実績!$AI$6:$AI$505,"&lt;="&amp;$A196,実績!$AJ$6:$AJ$505,"&gt;"&amp;$A196,実績!$AK$6:$AK$505,"○")&gt;0,1,0))</f>
        <v>0</v>
      </c>
      <c r="BY196" s="39" t="n">
        <f aca="false">IF(BY$4=0,0,IF(COUNTIFS(実績!$W$6:$W$505,BY$3,実績!$AI$6:$AI$505,"&lt;="&amp;$A196,実績!$AJ$6:$AJ$505,"&gt;"&amp;$A196,実績!$AK$6:$AK$505,"○")&gt;0,1,0))</f>
        <v>0</v>
      </c>
      <c r="BZ196" s="39" t="n">
        <f aca="false">IF(BZ$4=0,0,IF(COUNTIFS(実績!$W$6:$W$505,BZ$3,実績!$AI$6:$AI$505,"&lt;="&amp;$A196,実績!$AJ$6:$AJ$505,"&gt;"&amp;$A196,実績!$AK$6:$AK$505,"○")&gt;0,1,0))</f>
        <v>0</v>
      </c>
      <c r="CA196" s="39" t="n">
        <f aca="false">IF(CA$4=0,0,IF(COUNTIFS(実績!$W$6:$W$505,CA$3,実績!$AI$6:$AI$505,"&lt;="&amp;$A196,実績!$AJ$6:$AJ$505,"&gt;"&amp;$A196,実績!$AK$6:$AK$505,"○")&gt;0,1,0))</f>
        <v>0</v>
      </c>
      <c r="CB196" s="39" t="n">
        <f aca="false">IF(CB$4=0,0,IF(COUNTIFS(実績!$W$6:$W$505,CB$3,実績!$AI$6:$AI$505,"&lt;="&amp;$A196,実績!$AJ$6:$AJ$505,"&gt;"&amp;$A196,実績!$AK$6:$AK$505,"○")&gt;0,1,0))</f>
        <v>0</v>
      </c>
      <c r="CC196" s="39" t="n">
        <f aca="false">IF(CC$4=0,0,IF(COUNTIFS(実績!$W$6:$W$505,CC$3,実績!$AI$6:$AI$505,"&lt;="&amp;$A196,実績!$AJ$6:$AJ$505,"&gt;"&amp;$A196,実績!$AK$6:$AK$505,"○")&gt;0,1,0))</f>
        <v>0</v>
      </c>
      <c r="CD196" s="39" t="n">
        <f aca="false">IF(CD$4=0,0,IF(COUNTIFS(実績!$W$6:$W$505,CD$3,実績!$AI$6:$AI$505,"&lt;="&amp;$A196,実績!$AJ$6:$AJ$505,"&gt;"&amp;$A196,実績!$AK$6:$AK$505,"○")&gt;0,1,0))</f>
        <v>0</v>
      </c>
      <c r="CE196" s="39" t="n">
        <f aca="false">IF(CE$4=0,0,IF(COUNTIFS(実績!$W$6:$W$505,CE$3,実績!$AI$6:$AI$505,"&lt;="&amp;$A196,実績!$AJ$6:$AJ$505,"&gt;"&amp;$A196,実績!$AK$6:$AK$505,"○")&gt;0,1,0))</f>
        <v>0</v>
      </c>
      <c r="CF196" s="39" t="n">
        <f aca="false">IF(CF$4=0,0,IF(COUNTIFS(実績!$W$6:$W$505,CF$3,実績!$AI$6:$AI$505,"&lt;="&amp;$A196,実績!$AJ$6:$AJ$505,"&gt;"&amp;$A196,実績!$AK$6:$AK$505,"○")&gt;0,1,0))</f>
        <v>0</v>
      </c>
      <c r="CG196" s="39" t="n">
        <f aca="false">IF(CG$4=0,0,IF(COUNTIFS(実績!$W$6:$W$505,CG$3,実績!$AI$6:$AI$505,"&lt;="&amp;$A196,実績!$AJ$6:$AJ$505,"&gt;"&amp;$A196,実績!$AK$6:$AK$505,"○")&gt;0,1,0))</f>
        <v>0</v>
      </c>
      <c r="CH196" s="39" t="n">
        <f aca="false">IF(CH$4=0,0,IF(COUNTIFS(実績!$W$6:$W$505,CH$3,実績!$AI$6:$AI$505,"&lt;="&amp;$A196,実績!$AJ$6:$AJ$505,"&gt;"&amp;$A196,実績!$AK$6:$AK$505,"○")&gt;0,1,0))</f>
        <v>0</v>
      </c>
      <c r="CI196" s="39" t="n">
        <f aca="false">IF(CI$4=0,0,IF(COUNTIFS(実績!$W$6:$W$505,CI$3,実績!$AI$6:$AI$505,"&lt;="&amp;$A196,実績!$AJ$6:$AJ$505,"&gt;"&amp;$A196,実績!$AK$6:$AK$505,"○")&gt;0,1,0))</f>
        <v>0</v>
      </c>
      <c r="CJ196" s="39" t="n">
        <f aca="false">IF(CJ$4=0,0,IF(COUNTIFS(実績!$W$6:$W$505,CJ$3,実績!$AI$6:$AI$505,"&lt;="&amp;$A196,実績!$AJ$6:$AJ$505,"&gt;"&amp;$A196,実績!$AK$6:$AK$505,"○")&gt;0,1,0))</f>
        <v>0</v>
      </c>
      <c r="CK196" s="39" t="n">
        <f aca="false">IF(CK$4=0,0,IF(COUNTIFS(実績!$W$6:$W$505,CK$3,実績!$AI$6:$AI$505,"&lt;="&amp;$A196,実績!$AJ$6:$AJ$505,"&gt;"&amp;$A196,実績!$AK$6:$AK$505,"○")&gt;0,1,0))</f>
        <v>0</v>
      </c>
      <c r="CL196" s="39" t="n">
        <f aca="false">IF(CL$4=0,0,IF(COUNTIFS(実績!$W$6:$W$505,CL$3,実績!$AI$6:$AI$505,"&lt;="&amp;$A196,実績!$AJ$6:$AJ$505,"&gt;"&amp;$A196,実績!$AK$6:$AK$505,"○")&gt;0,1,0))</f>
        <v>0</v>
      </c>
      <c r="CM196" s="39" t="n">
        <f aca="false">IF(CM$4=0,0,IF(COUNTIFS(実績!$W$6:$W$505,CM$3,実績!$AI$6:$AI$505,"&lt;="&amp;$A196,実績!$AJ$6:$AJ$505,"&gt;"&amp;$A196,実績!$AK$6:$AK$505,"○")&gt;0,1,0))</f>
        <v>0</v>
      </c>
      <c r="CN196" s="39" t="n">
        <f aca="false">IF(CN$4=0,0,IF(COUNTIFS(実績!$W$6:$W$505,CN$3,実績!$AI$6:$AI$505,"&lt;="&amp;$A196,実績!$AJ$6:$AJ$505,"&gt;"&amp;$A196,実績!$AK$6:$AK$505,"○")&gt;0,1,0))</f>
        <v>0</v>
      </c>
      <c r="CO196" s="39" t="n">
        <f aca="false">IF(CO$4=0,0,IF(COUNTIFS(実績!$W$6:$W$505,CO$3,実績!$AI$6:$AI$505,"&lt;="&amp;$A196,実績!$AJ$6:$AJ$505,"&gt;"&amp;$A196,実績!$AK$6:$AK$505,"○")&gt;0,1,0))</f>
        <v>0</v>
      </c>
      <c r="CP196" s="39" t="n">
        <f aca="false">IF(CP$4=0,0,IF(COUNTIFS(実績!$W$6:$W$505,CP$3,実績!$AI$6:$AI$505,"&lt;="&amp;$A196,実績!$AJ$6:$AJ$505,"&gt;"&amp;$A196,実績!$AK$6:$AK$505,"○")&gt;0,1,0))</f>
        <v>0</v>
      </c>
      <c r="CQ196" s="39" t="n">
        <f aca="false">IF(CQ$4=0,0,IF(COUNTIFS(実績!$W$6:$W$505,CQ$3,実績!$AI$6:$AI$505,"&lt;="&amp;$A196,実績!$AJ$6:$AJ$505,"&gt;"&amp;$A196,実績!$AK$6:$AK$505,"○")&gt;0,1,0))</f>
        <v>0</v>
      </c>
      <c r="CR196" s="39" t="n">
        <f aca="false">IF(CR$4=0,0,IF(COUNTIFS(実績!$W$6:$W$505,CR$3,実績!$AI$6:$AI$505,"&lt;="&amp;$A196,実績!$AJ$6:$AJ$505,"&gt;"&amp;$A196,実績!$AK$6:$AK$505,"○")&gt;0,1,0))</f>
        <v>0</v>
      </c>
      <c r="CS196" s="39" t="n">
        <f aca="false">IF(CS$4=0,0,IF(COUNTIFS(実績!$W$6:$W$505,CS$3,実績!$AI$6:$AI$505,"&lt;="&amp;$A196,実績!$AJ$6:$AJ$505,"&gt;"&amp;$A196,実績!$AK$6:$AK$505,"○")&gt;0,1,0))</f>
        <v>0</v>
      </c>
      <c r="CT196" s="39" t="n">
        <f aca="false">IF(CT$4=0,0,IF(COUNTIFS(実績!$W$6:$W$505,CT$3,実績!$AI$6:$AI$505,"&lt;="&amp;$A196,実績!$AJ$6:$AJ$505,"&gt;"&amp;$A196,実績!$AK$6:$AK$505,"○")&gt;0,1,0))</f>
        <v>0</v>
      </c>
      <c r="CU196" s="39" t="n">
        <f aca="false">IF(CU$4=0,0,IF(COUNTIFS(実績!$W$6:$W$505,CU$3,実績!$AI$6:$AI$505,"&lt;="&amp;$A196,実績!$AJ$6:$AJ$505,"&gt;"&amp;$A196,実績!$AK$6:$AK$505,"○")&gt;0,1,0))</f>
        <v>0</v>
      </c>
      <c r="CV196" s="39" t="n">
        <f aca="false">IF(CV$4=0,0,IF(COUNTIFS(実績!$W$6:$W$505,CV$3,実績!$AI$6:$AI$505,"&lt;="&amp;$A196,実績!$AJ$6:$AJ$505,"&gt;"&amp;$A196,実績!$AK$6:$AK$505,"○")&gt;0,1,0))</f>
        <v>0</v>
      </c>
      <c r="CW196" s="39" t="n">
        <f aca="false">IF(CW$4=0,0,IF(COUNTIFS(実績!$W$6:$W$505,CW$3,実績!$AI$6:$AI$505,"&lt;="&amp;$A196,実績!$AJ$6:$AJ$505,"&gt;"&amp;$A196,実績!$AK$6:$AK$505,"○")&gt;0,1,0))</f>
        <v>0</v>
      </c>
      <c r="CX196" s="39" t="n">
        <f aca="false">IF(CX$4=0,0,IF(COUNTIFS(実績!$W$6:$W$505,CX$3,実績!$AI$6:$AI$505,"&lt;="&amp;$A196,実績!$AJ$6:$AJ$505,"&gt;"&amp;$A196,実績!$AK$6:$AK$505,"○")&gt;0,1,0))</f>
        <v>0</v>
      </c>
      <c r="CY196" s="39" t="n">
        <f aca="false">IF(CY$4=0,0,IF(COUNTIFS(実績!$W$6:$W$505,CY$3,実績!$AI$6:$AI$505,"&lt;="&amp;$A196,実績!$AJ$6:$AJ$505,"&gt;"&amp;$A196,実績!$AK$6:$AK$505,"○")&gt;0,1,0))</f>
        <v>0</v>
      </c>
      <c r="CZ196" s="39" t="n">
        <f aca="false">IF(CZ$4=0,0,IF(COUNTIFS(実績!$W$6:$W$505,CZ$3,実績!$AI$6:$AI$505,"&lt;="&amp;$A196,実績!$AJ$6:$AJ$505,"&gt;"&amp;$A196,実績!$AK$6:$AK$505,"○")&gt;0,1,0))</f>
        <v>0</v>
      </c>
      <c r="DA196" s="39" t="n">
        <f aca="false">IF(DA$4=0,0,IF(COUNTIFS(実績!$W$6:$W$505,DA$3,実績!$AI$6:$AI$505,"&lt;="&amp;$A196,実績!$AJ$6:$AJ$505,"&gt;"&amp;$A196,実績!$AK$6:$AK$505,"○")&gt;0,1,0))</f>
        <v>0</v>
      </c>
      <c r="DB196" s="39" t="n">
        <f aca="false">IF(DB$4=0,0,IF(COUNTIFS(実績!$W$6:$W$505,DB$3,実績!$AI$6:$AI$505,"&lt;="&amp;$A196,実績!$AJ$6:$AJ$505,"&gt;"&amp;$A196,実績!$AK$6:$AK$505,"○")&gt;0,1,0))</f>
        <v>0</v>
      </c>
      <c r="DC196" s="39" t="n">
        <f aca="false">IF(DC$4=0,0,IF(COUNTIFS(実績!$W$6:$W$505,DC$3,実績!$AI$6:$AI$505,"&lt;="&amp;$A196,実績!$AJ$6:$AJ$505,"&gt;"&amp;$A196,実績!$AK$6:$AK$505,"○")&gt;0,1,0))</f>
        <v>0</v>
      </c>
      <c r="DD196" s="39" t="n">
        <f aca="false">IF(DD$4=0,0,IF(COUNTIFS(実績!$W$6:$W$505,DD$3,実績!$AI$6:$AI$505,"&lt;="&amp;$A196,実績!$AJ$6:$AJ$505,"&gt;"&amp;$A196,実績!$AK$6:$AK$505,"○")&gt;0,1,0))</f>
        <v>0</v>
      </c>
      <c r="DE196" s="39" t="n">
        <f aca="false">IF(DE$4=0,0,IF(COUNTIFS(実績!$W$6:$W$505,DE$3,実績!$AI$6:$AI$505,"&lt;="&amp;$A196,実績!$AJ$6:$AJ$505,"&gt;"&amp;$A196,実績!$AK$6:$AK$505,"○")&gt;0,1,0))</f>
        <v>0</v>
      </c>
      <c r="DF196" s="39" t="n">
        <f aca="false">IF(DF$4=0,0,IF(COUNTIFS(実績!$W$6:$W$505,DF$3,実績!$AI$6:$AI$505,"&lt;="&amp;$A196,実績!$AJ$6:$AJ$505,"&gt;"&amp;$A196,実績!$AK$6:$AK$505,"○")&gt;0,1,0))</f>
        <v>0</v>
      </c>
      <c r="DG196" s="39" t="n">
        <f aca="false">IF(DG$4=0,0,IF(COUNTIFS(実績!$W$6:$W$505,DG$3,実績!$AI$6:$AI$505,"&lt;="&amp;$A196,実績!$AJ$6:$AJ$505,"&gt;"&amp;$A196,実績!$AK$6:$AK$505,"○")&gt;0,1,0))</f>
        <v>0</v>
      </c>
      <c r="DH196" s="39" t="n">
        <f aca="false">IF(DH$4=0,0,IF(COUNTIFS(実績!$W$6:$W$505,DH$3,実績!$AI$6:$AI$505,"&lt;="&amp;$A196,実績!$AJ$6:$AJ$505,"&gt;"&amp;$A196,実績!$AK$6:$AK$505,"○")&gt;0,1,0))</f>
        <v>0</v>
      </c>
      <c r="DI196" s="39" t="n">
        <f aca="false">IF(DI$4=0,0,IF(COUNTIFS(実績!$W$6:$W$505,DI$3,実績!$AI$6:$AI$505,"&lt;="&amp;$A196,実績!$AJ$6:$AJ$505,"&gt;"&amp;$A196,実績!$AK$6:$AK$505,"○")&gt;0,1,0))</f>
        <v>0</v>
      </c>
      <c r="DJ196" s="39" t="n">
        <f aca="false">IF(DJ$4=0,0,IF(COUNTIFS(実績!$W$6:$W$505,DJ$3,実績!$AI$6:$AI$505,"&lt;="&amp;$A196,実績!$AJ$6:$AJ$505,"&gt;"&amp;$A196,実績!$AK$6:$AK$505,"○")&gt;0,1,0))</f>
        <v>0</v>
      </c>
      <c r="DK196" s="39" t="n">
        <f aca="false">IF(DK$4=0,0,IF(COUNTIFS(実績!$W$6:$W$505,DK$3,実績!$AI$6:$AI$505,"&lt;="&amp;$A196,実績!$AJ$6:$AJ$505,"&gt;"&amp;$A196,実績!$AK$6:$AK$505,"○")&gt;0,1,0))</f>
        <v>0</v>
      </c>
      <c r="DL196" s="39" t="n">
        <f aca="false">IF(DL$4=0,0,IF(COUNTIFS(実績!$W$6:$W$505,DL$3,実績!$AI$6:$AI$505,"&lt;="&amp;$A196,実績!$AJ$6:$AJ$505,"&gt;"&amp;$A196,実績!$AK$6:$AK$505,"○")&gt;0,1,0))</f>
        <v>0</v>
      </c>
      <c r="DM196" s="39" t="n">
        <f aca="false">IF(DM$4=0,0,IF(COUNTIFS(実績!$W$6:$W$505,DM$3,実績!$AI$6:$AI$505,"&lt;="&amp;$A196,実績!$AJ$6:$AJ$505,"&gt;"&amp;$A196,実績!$AK$6:$AK$505,"○")&gt;0,1,0))</f>
        <v>0</v>
      </c>
      <c r="DN196" s="39" t="n">
        <f aca="false">IF(DN$4=0,0,IF(COUNTIFS(実績!$W$6:$W$505,DN$3,実績!$AI$6:$AI$505,"&lt;="&amp;$A196,実績!$AJ$6:$AJ$505,"&gt;"&amp;$A196,実績!$AK$6:$AK$505,"○")&gt;0,1,0))</f>
        <v>0</v>
      </c>
      <c r="DO196" s="39" t="n">
        <f aca="false">IF(DO$4=0,0,IF(COUNTIFS(実績!$W$6:$W$505,DO$3,実績!$AI$6:$AI$505,"&lt;="&amp;$A196,実績!$AJ$6:$AJ$505,"&gt;"&amp;$A196,実績!$AK$6:$AK$505,"○")&gt;0,1,0))</f>
        <v>0</v>
      </c>
      <c r="DP196" s="39" t="n">
        <f aca="false">IF(DP$4=0,0,IF(COUNTIFS(実績!$W$6:$W$505,DP$3,実績!$AI$6:$AI$505,"&lt;="&amp;$A196,実績!$AJ$6:$AJ$505,"&gt;"&amp;$A196,実績!$AK$6:$AK$505,"○")&gt;0,1,0))</f>
        <v>0</v>
      </c>
      <c r="DQ196" s="39" t="n">
        <f aca="false">IF(DQ$4=0,0,IF(COUNTIFS(実績!$W$6:$W$505,DQ$3,実績!$AI$6:$AI$505,"&lt;="&amp;$A196,実績!$AJ$6:$AJ$505,"&gt;"&amp;$A196,実績!$AK$6:$AK$505,"○")&gt;0,1,0))</f>
        <v>0</v>
      </c>
      <c r="DR196" s="39" t="n">
        <f aca="false">IF(DR$4=0,0,IF(COUNTIFS(実績!$W$6:$W$505,DR$3,実績!$AI$6:$AI$505,"&lt;="&amp;$A196,実績!$AJ$6:$AJ$505,"&gt;"&amp;$A196,実績!$AK$6:$AK$505,"○")&gt;0,1,0))</f>
        <v>0</v>
      </c>
      <c r="DS196" s="39" t="n">
        <f aca="false">SUM(C196:DR196)</f>
        <v>0</v>
      </c>
      <c r="DT196" s="39" t="n">
        <f aca="false">SUMPRODUCT((実績!$C$6:$C$505="○")*ISNUMBER(実績!$AM$6:$AM$505)*(実績!$AM$6:$AM$505&lt;=$A196)*(実績!$AN$6:$AN$505&gt;$A196))</f>
        <v>0</v>
      </c>
      <c r="DU196" s="39" t="n">
        <f aca="false">SUMIF($C$2:$DR$2,"製鉄曳船",C196:DR196)</f>
        <v>0</v>
      </c>
      <c r="DV196" s="39" t="n">
        <f aca="false">SUMIF($C$2:$DR$2,"西日本海運",C196:DR196)</f>
        <v>0</v>
      </c>
    </row>
    <row r="197" customFormat="false" ht="15" hidden="false" customHeight="false" outlineLevel="0" collapsed="false">
      <c r="A197" s="0" t="n">
        <v>955</v>
      </c>
      <c r="B197" s="38" t="n">
        <f aca="false">A197/1440</f>
        <v>0.663194444444444</v>
      </c>
      <c r="C197" s="39" t="n">
        <f aca="false">IF(C$4=0,0,IF(COUNTIFS(実績!$W$6:$W$505,C$3,実績!$AI$6:$AI$505,"&lt;="&amp;$A197,実績!$AJ$6:$AJ$505,"&gt;"&amp;$A197,実績!$AK$6:$AK$505,"○")&gt;0,1,0))</f>
        <v>0</v>
      </c>
      <c r="D197" s="39" t="n">
        <f aca="false">IF(D$4=0,0,IF(COUNTIFS(実績!$W$6:$W$505,D$3,実績!$AI$6:$AI$505,"&lt;="&amp;$A197,実績!$AJ$6:$AJ$505,"&gt;"&amp;$A197,実績!$AK$6:$AK$505,"○")&gt;0,1,0))</f>
        <v>0</v>
      </c>
      <c r="E197" s="39" t="n">
        <f aca="false">IF(E$4=0,0,IF(COUNTIFS(実績!$W$6:$W$505,E$3,実績!$AI$6:$AI$505,"&lt;="&amp;$A197,実績!$AJ$6:$AJ$505,"&gt;"&amp;$A197,実績!$AK$6:$AK$505,"○")&gt;0,1,0))</f>
        <v>0</v>
      </c>
      <c r="F197" s="39" t="n">
        <f aca="false">IF(F$4=0,0,IF(COUNTIFS(実績!$W$6:$W$505,F$3,実績!$AI$6:$AI$505,"&lt;="&amp;$A197,実績!$AJ$6:$AJ$505,"&gt;"&amp;$A197,実績!$AK$6:$AK$505,"○")&gt;0,1,0))</f>
        <v>0</v>
      </c>
      <c r="G197" s="39" t="n">
        <f aca="false">IF(G$4=0,0,IF(COUNTIFS(実績!$W$6:$W$505,G$3,実績!$AI$6:$AI$505,"&lt;="&amp;$A197,実績!$AJ$6:$AJ$505,"&gt;"&amp;$A197,実績!$AK$6:$AK$505,"○")&gt;0,1,0))</f>
        <v>0</v>
      </c>
      <c r="H197" s="39" t="n">
        <f aca="false">IF(H$4=0,0,IF(COUNTIFS(実績!$W$6:$W$505,H$3,実績!$AI$6:$AI$505,"&lt;="&amp;$A197,実績!$AJ$6:$AJ$505,"&gt;"&amp;$A197,実績!$AK$6:$AK$505,"○")&gt;0,1,0))</f>
        <v>0</v>
      </c>
      <c r="I197" s="39" t="n">
        <f aca="false">IF(I$4=0,0,IF(COUNTIFS(実績!$W$6:$W$505,I$3,実績!$AI$6:$AI$505,"&lt;="&amp;$A197,実績!$AJ$6:$AJ$505,"&gt;"&amp;$A197,実績!$AK$6:$AK$505,"○")&gt;0,1,0))</f>
        <v>0</v>
      </c>
      <c r="J197" s="39" t="n">
        <f aca="false">IF(J$4=0,0,IF(COUNTIFS(実績!$W$6:$W$505,J$3,実績!$AI$6:$AI$505,"&lt;="&amp;$A197,実績!$AJ$6:$AJ$505,"&gt;"&amp;$A197,実績!$AK$6:$AK$505,"○")&gt;0,1,0))</f>
        <v>0</v>
      </c>
      <c r="K197" s="39" t="n">
        <f aca="false">IF(K$4=0,0,IF(COUNTIFS(実績!$W$6:$W$505,K$3,実績!$AI$6:$AI$505,"&lt;="&amp;$A197,実績!$AJ$6:$AJ$505,"&gt;"&amp;$A197,実績!$AK$6:$AK$505,"○")&gt;0,1,0))</f>
        <v>0</v>
      </c>
      <c r="L197" s="39" t="n">
        <f aca="false">IF(L$4=0,0,IF(COUNTIFS(実績!$W$6:$W$505,L$3,実績!$AI$6:$AI$505,"&lt;="&amp;$A197,実績!$AJ$6:$AJ$505,"&gt;"&amp;$A197,実績!$AK$6:$AK$505,"○")&gt;0,1,0))</f>
        <v>0</v>
      </c>
      <c r="M197" s="39" t="n">
        <f aca="false">IF(M$4=0,0,IF(COUNTIFS(実績!$W$6:$W$505,M$3,実績!$AI$6:$AI$505,"&lt;="&amp;$A197,実績!$AJ$6:$AJ$505,"&gt;"&amp;$A197,実績!$AK$6:$AK$505,"○")&gt;0,1,0))</f>
        <v>0</v>
      </c>
      <c r="N197" s="39" t="n">
        <f aca="false">IF(N$4=0,0,IF(COUNTIFS(実績!$W$6:$W$505,N$3,実績!$AI$6:$AI$505,"&lt;="&amp;$A197,実績!$AJ$6:$AJ$505,"&gt;"&amp;$A197,実績!$AK$6:$AK$505,"○")&gt;0,1,0))</f>
        <v>0</v>
      </c>
      <c r="O197" s="39" t="n">
        <f aca="false">IF(O$4=0,0,IF(COUNTIFS(実績!$W$6:$W$505,O$3,実績!$AI$6:$AI$505,"&lt;="&amp;$A197,実績!$AJ$6:$AJ$505,"&gt;"&amp;$A197,実績!$AK$6:$AK$505,"○")&gt;0,1,0))</f>
        <v>0</v>
      </c>
      <c r="P197" s="39" t="n">
        <f aca="false">IF(P$4=0,0,IF(COUNTIFS(実績!$W$6:$W$505,P$3,実績!$AI$6:$AI$505,"&lt;="&amp;$A197,実績!$AJ$6:$AJ$505,"&gt;"&amp;$A197,実績!$AK$6:$AK$505,"○")&gt;0,1,0))</f>
        <v>0</v>
      </c>
      <c r="Q197" s="39" t="n">
        <f aca="false">IF(Q$4=0,0,IF(COUNTIFS(実績!$W$6:$W$505,Q$3,実績!$AI$6:$AI$505,"&lt;="&amp;$A197,実績!$AJ$6:$AJ$505,"&gt;"&amp;$A197,実績!$AK$6:$AK$505,"○")&gt;0,1,0))</f>
        <v>0</v>
      </c>
      <c r="R197" s="39" t="n">
        <f aca="false">IF(R$4=0,0,IF(COUNTIFS(実績!$W$6:$W$505,R$3,実績!$AI$6:$AI$505,"&lt;="&amp;$A197,実績!$AJ$6:$AJ$505,"&gt;"&amp;$A197,実績!$AK$6:$AK$505,"○")&gt;0,1,0))</f>
        <v>0</v>
      </c>
      <c r="S197" s="39" t="n">
        <f aca="false">IF(S$4=0,0,IF(COUNTIFS(実績!$W$6:$W$505,S$3,実績!$AI$6:$AI$505,"&lt;="&amp;$A197,実績!$AJ$6:$AJ$505,"&gt;"&amp;$A197,実績!$AK$6:$AK$505,"○")&gt;0,1,0))</f>
        <v>0</v>
      </c>
      <c r="T197" s="39" t="n">
        <f aca="false">IF(T$4=0,0,IF(COUNTIFS(実績!$W$6:$W$505,T$3,実績!$AI$6:$AI$505,"&lt;="&amp;$A197,実績!$AJ$6:$AJ$505,"&gt;"&amp;$A197,実績!$AK$6:$AK$505,"○")&gt;0,1,0))</f>
        <v>0</v>
      </c>
      <c r="U197" s="39" t="n">
        <f aca="false">IF(U$4=0,0,IF(COUNTIFS(実績!$W$6:$W$505,U$3,実績!$AI$6:$AI$505,"&lt;="&amp;$A197,実績!$AJ$6:$AJ$505,"&gt;"&amp;$A197,実績!$AK$6:$AK$505,"○")&gt;0,1,0))</f>
        <v>0</v>
      </c>
      <c r="V197" s="39" t="n">
        <f aca="false">IF(V$4=0,0,IF(COUNTIFS(実績!$W$6:$W$505,V$3,実績!$AI$6:$AI$505,"&lt;="&amp;$A197,実績!$AJ$6:$AJ$505,"&gt;"&amp;$A197,実績!$AK$6:$AK$505,"○")&gt;0,1,0))</f>
        <v>0</v>
      </c>
      <c r="W197" s="39" t="n">
        <f aca="false">IF(W$4=0,0,IF(COUNTIFS(実績!$W$6:$W$505,W$3,実績!$AI$6:$AI$505,"&lt;="&amp;$A197,実績!$AJ$6:$AJ$505,"&gt;"&amp;$A197,実績!$AK$6:$AK$505,"○")&gt;0,1,0))</f>
        <v>0</v>
      </c>
      <c r="X197" s="39" t="n">
        <f aca="false">IF(X$4=0,0,IF(COUNTIFS(実績!$W$6:$W$505,X$3,実績!$AI$6:$AI$505,"&lt;="&amp;$A197,実績!$AJ$6:$AJ$505,"&gt;"&amp;$A197,実績!$AK$6:$AK$505,"○")&gt;0,1,0))</f>
        <v>0</v>
      </c>
      <c r="Y197" s="39" t="n">
        <f aca="false">IF(Y$4=0,0,IF(COUNTIFS(実績!$W$6:$W$505,Y$3,実績!$AI$6:$AI$505,"&lt;="&amp;$A197,実績!$AJ$6:$AJ$505,"&gt;"&amp;$A197,実績!$AK$6:$AK$505,"○")&gt;0,1,0))</f>
        <v>0</v>
      </c>
      <c r="Z197" s="39" t="n">
        <f aca="false">IF(Z$4=0,0,IF(COUNTIFS(実績!$W$6:$W$505,Z$3,実績!$AI$6:$AI$505,"&lt;="&amp;$A197,実績!$AJ$6:$AJ$505,"&gt;"&amp;$A197,実績!$AK$6:$AK$505,"○")&gt;0,1,0))</f>
        <v>0</v>
      </c>
      <c r="AA197" s="39" t="n">
        <f aca="false">IF(AA$4=0,0,IF(COUNTIFS(実績!$W$6:$W$505,AA$3,実績!$AI$6:$AI$505,"&lt;="&amp;$A197,実績!$AJ$6:$AJ$505,"&gt;"&amp;$A197,実績!$AK$6:$AK$505,"○")&gt;0,1,0))</f>
        <v>0</v>
      </c>
      <c r="AB197" s="39" t="n">
        <f aca="false">IF(AB$4=0,0,IF(COUNTIFS(実績!$W$6:$W$505,AB$3,実績!$AI$6:$AI$505,"&lt;="&amp;$A197,実績!$AJ$6:$AJ$505,"&gt;"&amp;$A197,実績!$AK$6:$AK$505,"○")&gt;0,1,0))</f>
        <v>0</v>
      </c>
      <c r="AC197" s="39" t="n">
        <f aca="false">IF(AC$4=0,0,IF(COUNTIFS(実績!$W$6:$W$505,AC$3,実績!$AI$6:$AI$505,"&lt;="&amp;$A197,実績!$AJ$6:$AJ$505,"&gt;"&amp;$A197,実績!$AK$6:$AK$505,"○")&gt;0,1,0))</f>
        <v>0</v>
      </c>
      <c r="AD197" s="39" t="n">
        <f aca="false">IF(AD$4=0,0,IF(COUNTIFS(実績!$W$6:$W$505,AD$3,実績!$AI$6:$AI$505,"&lt;="&amp;$A197,実績!$AJ$6:$AJ$505,"&gt;"&amp;$A197,実績!$AK$6:$AK$505,"○")&gt;0,1,0))</f>
        <v>0</v>
      </c>
      <c r="AE197" s="39" t="n">
        <f aca="false">IF(AE$4=0,0,IF(COUNTIFS(実績!$W$6:$W$505,AE$3,実績!$AI$6:$AI$505,"&lt;="&amp;$A197,実績!$AJ$6:$AJ$505,"&gt;"&amp;$A197,実績!$AK$6:$AK$505,"○")&gt;0,1,0))</f>
        <v>0</v>
      </c>
      <c r="AF197" s="39" t="n">
        <f aca="false">IF(AF$4=0,0,IF(COUNTIFS(実績!$W$6:$W$505,AF$3,実績!$AI$6:$AI$505,"&lt;="&amp;$A197,実績!$AJ$6:$AJ$505,"&gt;"&amp;$A197,実績!$AK$6:$AK$505,"○")&gt;0,1,0))</f>
        <v>0</v>
      </c>
      <c r="AG197" s="39" t="n">
        <f aca="false">IF(AG$4=0,0,IF(COUNTIFS(実績!$W$6:$W$505,AG$3,実績!$AI$6:$AI$505,"&lt;="&amp;$A197,実績!$AJ$6:$AJ$505,"&gt;"&amp;$A197,実績!$AK$6:$AK$505,"○")&gt;0,1,0))</f>
        <v>0</v>
      </c>
      <c r="AH197" s="39" t="n">
        <f aca="false">IF(AH$4=0,0,IF(COUNTIFS(実績!$W$6:$W$505,AH$3,実績!$AI$6:$AI$505,"&lt;="&amp;$A197,実績!$AJ$6:$AJ$505,"&gt;"&amp;$A197,実績!$AK$6:$AK$505,"○")&gt;0,1,0))</f>
        <v>0</v>
      </c>
      <c r="AI197" s="39" t="n">
        <f aca="false">IF(AI$4=0,0,IF(COUNTIFS(実績!$W$6:$W$505,AI$3,実績!$AI$6:$AI$505,"&lt;="&amp;$A197,実績!$AJ$6:$AJ$505,"&gt;"&amp;$A197,実績!$AK$6:$AK$505,"○")&gt;0,1,0))</f>
        <v>0</v>
      </c>
      <c r="AJ197" s="39" t="n">
        <f aca="false">IF(AJ$4=0,0,IF(COUNTIFS(実績!$W$6:$W$505,AJ$3,実績!$AI$6:$AI$505,"&lt;="&amp;$A197,実績!$AJ$6:$AJ$505,"&gt;"&amp;$A197,実績!$AK$6:$AK$505,"○")&gt;0,1,0))</f>
        <v>0</v>
      </c>
      <c r="AK197" s="39" t="n">
        <f aca="false">IF(AK$4=0,0,IF(COUNTIFS(実績!$W$6:$W$505,AK$3,実績!$AI$6:$AI$505,"&lt;="&amp;$A197,実績!$AJ$6:$AJ$505,"&gt;"&amp;$A197,実績!$AK$6:$AK$505,"○")&gt;0,1,0))</f>
        <v>0</v>
      </c>
      <c r="AL197" s="39" t="n">
        <f aca="false">IF(AL$4=0,0,IF(COUNTIFS(実績!$W$6:$W$505,AL$3,実績!$AI$6:$AI$505,"&lt;="&amp;$A197,実績!$AJ$6:$AJ$505,"&gt;"&amp;$A197,実績!$AK$6:$AK$505,"○")&gt;0,1,0))</f>
        <v>0</v>
      </c>
      <c r="AM197" s="39" t="n">
        <f aca="false">IF(AM$4=0,0,IF(COUNTIFS(実績!$W$6:$W$505,AM$3,実績!$AI$6:$AI$505,"&lt;="&amp;$A197,実績!$AJ$6:$AJ$505,"&gt;"&amp;$A197,実績!$AK$6:$AK$505,"○")&gt;0,1,0))</f>
        <v>0</v>
      </c>
      <c r="AN197" s="39" t="n">
        <f aca="false">IF(AN$4=0,0,IF(COUNTIFS(実績!$W$6:$W$505,AN$3,実績!$AI$6:$AI$505,"&lt;="&amp;$A197,実績!$AJ$6:$AJ$505,"&gt;"&amp;$A197,実績!$AK$6:$AK$505,"○")&gt;0,1,0))</f>
        <v>0</v>
      </c>
      <c r="AO197" s="39" t="n">
        <f aca="false">IF(AO$4=0,0,IF(COUNTIFS(実績!$W$6:$W$505,AO$3,実績!$AI$6:$AI$505,"&lt;="&amp;$A197,実績!$AJ$6:$AJ$505,"&gt;"&amp;$A197,実績!$AK$6:$AK$505,"○")&gt;0,1,0))</f>
        <v>0</v>
      </c>
      <c r="AP197" s="39" t="n">
        <f aca="false">IF(AP$4=0,0,IF(COUNTIFS(実績!$W$6:$W$505,AP$3,実績!$AI$6:$AI$505,"&lt;="&amp;$A197,実績!$AJ$6:$AJ$505,"&gt;"&amp;$A197,実績!$AK$6:$AK$505,"○")&gt;0,1,0))</f>
        <v>0</v>
      </c>
      <c r="AQ197" s="39" t="n">
        <f aca="false">IF(AQ$4=0,0,IF(COUNTIFS(実績!$W$6:$W$505,AQ$3,実績!$AI$6:$AI$505,"&lt;="&amp;$A197,実績!$AJ$6:$AJ$505,"&gt;"&amp;$A197,実績!$AK$6:$AK$505,"○")&gt;0,1,0))</f>
        <v>0</v>
      </c>
      <c r="AR197" s="39" t="n">
        <f aca="false">IF(AR$4=0,0,IF(COUNTIFS(実績!$W$6:$W$505,AR$3,実績!$AI$6:$AI$505,"&lt;="&amp;$A197,実績!$AJ$6:$AJ$505,"&gt;"&amp;$A197,実績!$AK$6:$AK$505,"○")&gt;0,1,0))</f>
        <v>0</v>
      </c>
      <c r="AS197" s="39" t="n">
        <f aca="false">IF(AS$4=0,0,IF(COUNTIFS(実績!$W$6:$W$505,AS$3,実績!$AI$6:$AI$505,"&lt;="&amp;$A197,実績!$AJ$6:$AJ$505,"&gt;"&amp;$A197,実績!$AK$6:$AK$505,"○")&gt;0,1,0))</f>
        <v>0</v>
      </c>
      <c r="AT197" s="39" t="n">
        <f aca="false">IF(AT$4=0,0,IF(COUNTIFS(実績!$W$6:$W$505,AT$3,実績!$AI$6:$AI$505,"&lt;="&amp;$A197,実績!$AJ$6:$AJ$505,"&gt;"&amp;$A197,実績!$AK$6:$AK$505,"○")&gt;0,1,0))</f>
        <v>0</v>
      </c>
      <c r="AU197" s="39" t="n">
        <f aca="false">IF(AU$4=0,0,IF(COUNTIFS(実績!$W$6:$W$505,AU$3,実績!$AI$6:$AI$505,"&lt;="&amp;$A197,実績!$AJ$6:$AJ$505,"&gt;"&amp;$A197,実績!$AK$6:$AK$505,"○")&gt;0,1,0))</f>
        <v>0</v>
      </c>
      <c r="AV197" s="39" t="n">
        <f aca="false">IF(AV$4=0,0,IF(COUNTIFS(実績!$W$6:$W$505,AV$3,実績!$AI$6:$AI$505,"&lt;="&amp;$A197,実績!$AJ$6:$AJ$505,"&gt;"&amp;$A197,実績!$AK$6:$AK$505,"○")&gt;0,1,0))</f>
        <v>0</v>
      </c>
      <c r="AW197" s="39" t="n">
        <f aca="false">IF(AW$4=0,0,IF(COUNTIFS(実績!$W$6:$W$505,AW$3,実績!$AI$6:$AI$505,"&lt;="&amp;$A197,実績!$AJ$6:$AJ$505,"&gt;"&amp;$A197,実績!$AK$6:$AK$505,"○")&gt;0,1,0))</f>
        <v>0</v>
      </c>
      <c r="AX197" s="39" t="n">
        <f aca="false">IF(AX$4=0,0,IF(COUNTIFS(実績!$W$6:$W$505,AX$3,実績!$AI$6:$AI$505,"&lt;="&amp;$A197,実績!$AJ$6:$AJ$505,"&gt;"&amp;$A197,実績!$AK$6:$AK$505,"○")&gt;0,1,0))</f>
        <v>0</v>
      </c>
      <c r="AY197" s="39" t="n">
        <f aca="false">IF(AY$4=0,0,IF(COUNTIFS(実績!$W$6:$W$505,AY$3,実績!$AI$6:$AI$505,"&lt;="&amp;$A197,実績!$AJ$6:$AJ$505,"&gt;"&amp;$A197,実績!$AK$6:$AK$505,"○")&gt;0,1,0))</f>
        <v>0</v>
      </c>
      <c r="AZ197" s="39" t="n">
        <f aca="false">IF(AZ$4=0,0,IF(COUNTIFS(実績!$W$6:$W$505,AZ$3,実績!$AI$6:$AI$505,"&lt;="&amp;$A197,実績!$AJ$6:$AJ$505,"&gt;"&amp;$A197,実績!$AK$6:$AK$505,"○")&gt;0,1,0))</f>
        <v>0</v>
      </c>
      <c r="BA197" s="39" t="n">
        <f aca="false">IF(BA$4=0,0,IF(COUNTIFS(実績!$W$6:$W$505,BA$3,実績!$AI$6:$AI$505,"&lt;="&amp;$A197,実績!$AJ$6:$AJ$505,"&gt;"&amp;$A197,実績!$AK$6:$AK$505,"○")&gt;0,1,0))</f>
        <v>0</v>
      </c>
      <c r="BB197" s="39" t="n">
        <f aca="false">IF(BB$4=0,0,IF(COUNTIFS(実績!$W$6:$W$505,BB$3,実績!$AI$6:$AI$505,"&lt;="&amp;$A197,実績!$AJ$6:$AJ$505,"&gt;"&amp;$A197,実績!$AK$6:$AK$505,"○")&gt;0,1,0))</f>
        <v>0</v>
      </c>
      <c r="BC197" s="39" t="n">
        <f aca="false">IF(BC$4=0,0,IF(COUNTIFS(実績!$W$6:$W$505,BC$3,実績!$AI$6:$AI$505,"&lt;="&amp;$A197,実績!$AJ$6:$AJ$505,"&gt;"&amp;$A197,実績!$AK$6:$AK$505,"○")&gt;0,1,0))</f>
        <v>0</v>
      </c>
      <c r="BD197" s="39" t="n">
        <f aca="false">IF(BD$4=0,0,IF(COUNTIFS(実績!$W$6:$W$505,BD$3,実績!$AI$6:$AI$505,"&lt;="&amp;$A197,実績!$AJ$6:$AJ$505,"&gt;"&amp;$A197,実績!$AK$6:$AK$505,"○")&gt;0,1,0))</f>
        <v>0</v>
      </c>
      <c r="BE197" s="39" t="n">
        <f aca="false">IF(BE$4=0,0,IF(COUNTIFS(実績!$W$6:$W$505,BE$3,実績!$AI$6:$AI$505,"&lt;="&amp;$A197,実績!$AJ$6:$AJ$505,"&gt;"&amp;$A197,実績!$AK$6:$AK$505,"○")&gt;0,1,0))</f>
        <v>0</v>
      </c>
      <c r="BF197" s="39" t="n">
        <f aca="false">IF(BF$4=0,0,IF(COUNTIFS(実績!$W$6:$W$505,BF$3,実績!$AI$6:$AI$505,"&lt;="&amp;$A197,実績!$AJ$6:$AJ$505,"&gt;"&amp;$A197,実績!$AK$6:$AK$505,"○")&gt;0,1,0))</f>
        <v>0</v>
      </c>
      <c r="BG197" s="39" t="n">
        <f aca="false">IF(BG$4=0,0,IF(COUNTIFS(実績!$W$6:$W$505,BG$3,実績!$AI$6:$AI$505,"&lt;="&amp;$A197,実績!$AJ$6:$AJ$505,"&gt;"&amp;$A197,実績!$AK$6:$AK$505,"○")&gt;0,1,0))</f>
        <v>0</v>
      </c>
      <c r="BH197" s="39" t="n">
        <f aca="false">IF(BH$4=0,0,IF(COUNTIFS(実績!$W$6:$W$505,BH$3,実績!$AI$6:$AI$505,"&lt;="&amp;$A197,実績!$AJ$6:$AJ$505,"&gt;"&amp;$A197,実績!$AK$6:$AK$505,"○")&gt;0,1,0))</f>
        <v>0</v>
      </c>
      <c r="BI197" s="39" t="n">
        <f aca="false">IF(BI$4=0,0,IF(COUNTIFS(実績!$W$6:$W$505,BI$3,実績!$AI$6:$AI$505,"&lt;="&amp;$A197,実績!$AJ$6:$AJ$505,"&gt;"&amp;$A197,実績!$AK$6:$AK$505,"○")&gt;0,1,0))</f>
        <v>0</v>
      </c>
      <c r="BJ197" s="39" t="n">
        <f aca="false">IF(BJ$4=0,0,IF(COUNTIFS(実績!$W$6:$W$505,BJ$3,実績!$AI$6:$AI$505,"&lt;="&amp;$A197,実績!$AJ$6:$AJ$505,"&gt;"&amp;$A197,実績!$AK$6:$AK$505,"○")&gt;0,1,0))</f>
        <v>0</v>
      </c>
      <c r="BK197" s="39" t="n">
        <f aca="false">IF(BK$4=0,0,IF(COUNTIFS(実績!$W$6:$W$505,BK$3,実績!$AI$6:$AI$505,"&lt;="&amp;$A197,実績!$AJ$6:$AJ$505,"&gt;"&amp;$A197,実績!$AK$6:$AK$505,"○")&gt;0,1,0))</f>
        <v>0</v>
      </c>
      <c r="BL197" s="39" t="n">
        <f aca="false">IF(BL$4=0,0,IF(COUNTIFS(実績!$W$6:$W$505,BL$3,実績!$AI$6:$AI$505,"&lt;="&amp;$A197,実績!$AJ$6:$AJ$505,"&gt;"&amp;$A197,実績!$AK$6:$AK$505,"○")&gt;0,1,0))</f>
        <v>0</v>
      </c>
      <c r="BM197" s="39" t="n">
        <f aca="false">IF(BM$4=0,0,IF(COUNTIFS(実績!$W$6:$W$505,BM$3,実績!$AI$6:$AI$505,"&lt;="&amp;$A197,実績!$AJ$6:$AJ$505,"&gt;"&amp;$A197,実績!$AK$6:$AK$505,"○")&gt;0,1,0))</f>
        <v>0</v>
      </c>
      <c r="BN197" s="39" t="n">
        <f aca="false">IF(BN$4=0,0,IF(COUNTIFS(実績!$W$6:$W$505,BN$3,実績!$AI$6:$AI$505,"&lt;="&amp;$A197,実績!$AJ$6:$AJ$505,"&gt;"&amp;$A197,実績!$AK$6:$AK$505,"○")&gt;0,1,0))</f>
        <v>0</v>
      </c>
      <c r="BO197" s="39" t="n">
        <f aca="false">IF(BO$4=0,0,IF(COUNTIFS(実績!$W$6:$W$505,BO$3,実績!$AI$6:$AI$505,"&lt;="&amp;$A197,実績!$AJ$6:$AJ$505,"&gt;"&amp;$A197,実績!$AK$6:$AK$505,"○")&gt;0,1,0))</f>
        <v>0</v>
      </c>
      <c r="BP197" s="39" t="n">
        <f aca="false">IF(BP$4=0,0,IF(COUNTIFS(実績!$W$6:$W$505,BP$3,実績!$AI$6:$AI$505,"&lt;="&amp;$A197,実績!$AJ$6:$AJ$505,"&gt;"&amp;$A197,実績!$AK$6:$AK$505,"○")&gt;0,1,0))</f>
        <v>0</v>
      </c>
      <c r="BQ197" s="39" t="n">
        <f aca="false">IF(BQ$4=0,0,IF(COUNTIFS(実績!$W$6:$W$505,BQ$3,実績!$AI$6:$AI$505,"&lt;="&amp;$A197,実績!$AJ$6:$AJ$505,"&gt;"&amp;$A197,実績!$AK$6:$AK$505,"○")&gt;0,1,0))</f>
        <v>0</v>
      </c>
      <c r="BR197" s="39" t="n">
        <f aca="false">IF(BR$4=0,0,IF(COUNTIFS(実績!$W$6:$W$505,BR$3,実績!$AI$6:$AI$505,"&lt;="&amp;$A197,実績!$AJ$6:$AJ$505,"&gt;"&amp;$A197,実績!$AK$6:$AK$505,"○")&gt;0,1,0))</f>
        <v>0</v>
      </c>
      <c r="BS197" s="39" t="n">
        <f aca="false">IF(BS$4=0,0,IF(COUNTIFS(実績!$W$6:$W$505,BS$3,実績!$AI$6:$AI$505,"&lt;="&amp;$A197,実績!$AJ$6:$AJ$505,"&gt;"&amp;$A197,実績!$AK$6:$AK$505,"○")&gt;0,1,0))</f>
        <v>0</v>
      </c>
      <c r="BT197" s="39" t="n">
        <f aca="false">IF(BT$4=0,0,IF(COUNTIFS(実績!$W$6:$W$505,BT$3,実績!$AI$6:$AI$505,"&lt;="&amp;$A197,実績!$AJ$6:$AJ$505,"&gt;"&amp;$A197,実績!$AK$6:$AK$505,"○")&gt;0,1,0))</f>
        <v>0</v>
      </c>
      <c r="BU197" s="39" t="n">
        <f aca="false">IF(BU$4=0,0,IF(COUNTIFS(実績!$W$6:$W$505,BU$3,実績!$AI$6:$AI$505,"&lt;="&amp;$A197,実績!$AJ$6:$AJ$505,"&gt;"&amp;$A197,実績!$AK$6:$AK$505,"○")&gt;0,1,0))</f>
        <v>0</v>
      </c>
      <c r="BV197" s="39" t="n">
        <f aca="false">IF(BV$4=0,0,IF(COUNTIFS(実績!$W$6:$W$505,BV$3,実績!$AI$6:$AI$505,"&lt;="&amp;$A197,実績!$AJ$6:$AJ$505,"&gt;"&amp;$A197,実績!$AK$6:$AK$505,"○")&gt;0,1,0))</f>
        <v>0</v>
      </c>
      <c r="BW197" s="39" t="n">
        <f aca="false">IF(BW$4=0,0,IF(COUNTIFS(実績!$W$6:$W$505,BW$3,実績!$AI$6:$AI$505,"&lt;="&amp;$A197,実績!$AJ$6:$AJ$505,"&gt;"&amp;$A197,実績!$AK$6:$AK$505,"○")&gt;0,1,0))</f>
        <v>0</v>
      </c>
      <c r="BX197" s="39" t="n">
        <f aca="false">IF(BX$4=0,0,IF(COUNTIFS(実績!$W$6:$W$505,BX$3,実績!$AI$6:$AI$505,"&lt;="&amp;$A197,実績!$AJ$6:$AJ$505,"&gt;"&amp;$A197,実績!$AK$6:$AK$505,"○")&gt;0,1,0))</f>
        <v>0</v>
      </c>
      <c r="BY197" s="39" t="n">
        <f aca="false">IF(BY$4=0,0,IF(COUNTIFS(実績!$W$6:$W$505,BY$3,実績!$AI$6:$AI$505,"&lt;="&amp;$A197,実績!$AJ$6:$AJ$505,"&gt;"&amp;$A197,実績!$AK$6:$AK$505,"○")&gt;0,1,0))</f>
        <v>0</v>
      </c>
      <c r="BZ197" s="39" t="n">
        <f aca="false">IF(BZ$4=0,0,IF(COUNTIFS(実績!$W$6:$W$505,BZ$3,実績!$AI$6:$AI$505,"&lt;="&amp;$A197,実績!$AJ$6:$AJ$505,"&gt;"&amp;$A197,実績!$AK$6:$AK$505,"○")&gt;0,1,0))</f>
        <v>0</v>
      </c>
      <c r="CA197" s="39" t="n">
        <f aca="false">IF(CA$4=0,0,IF(COUNTIFS(実績!$W$6:$W$505,CA$3,実績!$AI$6:$AI$505,"&lt;="&amp;$A197,実績!$AJ$6:$AJ$505,"&gt;"&amp;$A197,実績!$AK$6:$AK$505,"○")&gt;0,1,0))</f>
        <v>0</v>
      </c>
      <c r="CB197" s="39" t="n">
        <f aca="false">IF(CB$4=0,0,IF(COUNTIFS(実績!$W$6:$W$505,CB$3,実績!$AI$6:$AI$505,"&lt;="&amp;$A197,実績!$AJ$6:$AJ$505,"&gt;"&amp;$A197,実績!$AK$6:$AK$505,"○")&gt;0,1,0))</f>
        <v>0</v>
      </c>
      <c r="CC197" s="39" t="n">
        <f aca="false">IF(CC$4=0,0,IF(COUNTIFS(実績!$W$6:$W$505,CC$3,実績!$AI$6:$AI$505,"&lt;="&amp;$A197,実績!$AJ$6:$AJ$505,"&gt;"&amp;$A197,実績!$AK$6:$AK$505,"○")&gt;0,1,0))</f>
        <v>0</v>
      </c>
      <c r="CD197" s="39" t="n">
        <f aca="false">IF(CD$4=0,0,IF(COUNTIFS(実績!$W$6:$W$505,CD$3,実績!$AI$6:$AI$505,"&lt;="&amp;$A197,実績!$AJ$6:$AJ$505,"&gt;"&amp;$A197,実績!$AK$6:$AK$505,"○")&gt;0,1,0))</f>
        <v>0</v>
      </c>
      <c r="CE197" s="39" t="n">
        <f aca="false">IF(CE$4=0,0,IF(COUNTIFS(実績!$W$6:$W$505,CE$3,実績!$AI$6:$AI$505,"&lt;="&amp;$A197,実績!$AJ$6:$AJ$505,"&gt;"&amp;$A197,実績!$AK$6:$AK$505,"○")&gt;0,1,0))</f>
        <v>0</v>
      </c>
      <c r="CF197" s="39" t="n">
        <f aca="false">IF(CF$4=0,0,IF(COUNTIFS(実績!$W$6:$W$505,CF$3,実績!$AI$6:$AI$505,"&lt;="&amp;$A197,実績!$AJ$6:$AJ$505,"&gt;"&amp;$A197,実績!$AK$6:$AK$505,"○")&gt;0,1,0))</f>
        <v>0</v>
      </c>
      <c r="CG197" s="39" t="n">
        <f aca="false">IF(CG$4=0,0,IF(COUNTIFS(実績!$W$6:$W$505,CG$3,実績!$AI$6:$AI$505,"&lt;="&amp;$A197,実績!$AJ$6:$AJ$505,"&gt;"&amp;$A197,実績!$AK$6:$AK$505,"○")&gt;0,1,0))</f>
        <v>0</v>
      </c>
      <c r="CH197" s="39" t="n">
        <f aca="false">IF(CH$4=0,0,IF(COUNTIFS(実績!$W$6:$W$505,CH$3,実績!$AI$6:$AI$505,"&lt;="&amp;$A197,実績!$AJ$6:$AJ$505,"&gt;"&amp;$A197,実績!$AK$6:$AK$505,"○")&gt;0,1,0))</f>
        <v>0</v>
      </c>
      <c r="CI197" s="39" t="n">
        <f aca="false">IF(CI$4=0,0,IF(COUNTIFS(実績!$W$6:$W$505,CI$3,実績!$AI$6:$AI$505,"&lt;="&amp;$A197,実績!$AJ$6:$AJ$505,"&gt;"&amp;$A197,実績!$AK$6:$AK$505,"○")&gt;0,1,0))</f>
        <v>0</v>
      </c>
      <c r="CJ197" s="39" t="n">
        <f aca="false">IF(CJ$4=0,0,IF(COUNTIFS(実績!$W$6:$W$505,CJ$3,実績!$AI$6:$AI$505,"&lt;="&amp;$A197,実績!$AJ$6:$AJ$505,"&gt;"&amp;$A197,実績!$AK$6:$AK$505,"○")&gt;0,1,0))</f>
        <v>0</v>
      </c>
      <c r="CK197" s="39" t="n">
        <f aca="false">IF(CK$4=0,0,IF(COUNTIFS(実績!$W$6:$W$505,CK$3,実績!$AI$6:$AI$505,"&lt;="&amp;$A197,実績!$AJ$6:$AJ$505,"&gt;"&amp;$A197,実績!$AK$6:$AK$505,"○")&gt;0,1,0))</f>
        <v>0</v>
      </c>
      <c r="CL197" s="39" t="n">
        <f aca="false">IF(CL$4=0,0,IF(COUNTIFS(実績!$W$6:$W$505,CL$3,実績!$AI$6:$AI$505,"&lt;="&amp;$A197,実績!$AJ$6:$AJ$505,"&gt;"&amp;$A197,実績!$AK$6:$AK$505,"○")&gt;0,1,0))</f>
        <v>0</v>
      </c>
      <c r="CM197" s="39" t="n">
        <f aca="false">IF(CM$4=0,0,IF(COUNTIFS(実績!$W$6:$W$505,CM$3,実績!$AI$6:$AI$505,"&lt;="&amp;$A197,実績!$AJ$6:$AJ$505,"&gt;"&amp;$A197,実績!$AK$6:$AK$505,"○")&gt;0,1,0))</f>
        <v>0</v>
      </c>
      <c r="CN197" s="39" t="n">
        <f aca="false">IF(CN$4=0,0,IF(COUNTIFS(実績!$W$6:$W$505,CN$3,実績!$AI$6:$AI$505,"&lt;="&amp;$A197,実績!$AJ$6:$AJ$505,"&gt;"&amp;$A197,実績!$AK$6:$AK$505,"○")&gt;0,1,0))</f>
        <v>0</v>
      </c>
      <c r="CO197" s="39" t="n">
        <f aca="false">IF(CO$4=0,0,IF(COUNTIFS(実績!$W$6:$W$505,CO$3,実績!$AI$6:$AI$505,"&lt;="&amp;$A197,実績!$AJ$6:$AJ$505,"&gt;"&amp;$A197,実績!$AK$6:$AK$505,"○")&gt;0,1,0))</f>
        <v>0</v>
      </c>
      <c r="CP197" s="39" t="n">
        <f aca="false">IF(CP$4=0,0,IF(COUNTIFS(実績!$W$6:$W$505,CP$3,実績!$AI$6:$AI$505,"&lt;="&amp;$A197,実績!$AJ$6:$AJ$505,"&gt;"&amp;$A197,実績!$AK$6:$AK$505,"○")&gt;0,1,0))</f>
        <v>0</v>
      </c>
      <c r="CQ197" s="39" t="n">
        <f aca="false">IF(CQ$4=0,0,IF(COUNTIFS(実績!$W$6:$W$505,CQ$3,実績!$AI$6:$AI$505,"&lt;="&amp;$A197,実績!$AJ$6:$AJ$505,"&gt;"&amp;$A197,実績!$AK$6:$AK$505,"○")&gt;0,1,0))</f>
        <v>0</v>
      </c>
      <c r="CR197" s="39" t="n">
        <f aca="false">IF(CR$4=0,0,IF(COUNTIFS(実績!$W$6:$W$505,CR$3,実績!$AI$6:$AI$505,"&lt;="&amp;$A197,実績!$AJ$6:$AJ$505,"&gt;"&amp;$A197,実績!$AK$6:$AK$505,"○")&gt;0,1,0))</f>
        <v>0</v>
      </c>
      <c r="CS197" s="39" t="n">
        <f aca="false">IF(CS$4=0,0,IF(COUNTIFS(実績!$W$6:$W$505,CS$3,実績!$AI$6:$AI$505,"&lt;="&amp;$A197,実績!$AJ$6:$AJ$505,"&gt;"&amp;$A197,実績!$AK$6:$AK$505,"○")&gt;0,1,0))</f>
        <v>0</v>
      </c>
      <c r="CT197" s="39" t="n">
        <f aca="false">IF(CT$4=0,0,IF(COUNTIFS(実績!$W$6:$W$505,CT$3,実績!$AI$6:$AI$505,"&lt;="&amp;$A197,実績!$AJ$6:$AJ$505,"&gt;"&amp;$A197,実績!$AK$6:$AK$505,"○")&gt;0,1,0))</f>
        <v>0</v>
      </c>
      <c r="CU197" s="39" t="n">
        <f aca="false">IF(CU$4=0,0,IF(COUNTIFS(実績!$W$6:$W$505,CU$3,実績!$AI$6:$AI$505,"&lt;="&amp;$A197,実績!$AJ$6:$AJ$505,"&gt;"&amp;$A197,実績!$AK$6:$AK$505,"○")&gt;0,1,0))</f>
        <v>0</v>
      </c>
      <c r="CV197" s="39" t="n">
        <f aca="false">IF(CV$4=0,0,IF(COUNTIFS(実績!$W$6:$W$505,CV$3,実績!$AI$6:$AI$505,"&lt;="&amp;$A197,実績!$AJ$6:$AJ$505,"&gt;"&amp;$A197,実績!$AK$6:$AK$505,"○")&gt;0,1,0))</f>
        <v>0</v>
      </c>
      <c r="CW197" s="39" t="n">
        <f aca="false">IF(CW$4=0,0,IF(COUNTIFS(実績!$W$6:$W$505,CW$3,実績!$AI$6:$AI$505,"&lt;="&amp;$A197,実績!$AJ$6:$AJ$505,"&gt;"&amp;$A197,実績!$AK$6:$AK$505,"○")&gt;0,1,0))</f>
        <v>0</v>
      </c>
      <c r="CX197" s="39" t="n">
        <f aca="false">IF(CX$4=0,0,IF(COUNTIFS(実績!$W$6:$W$505,CX$3,実績!$AI$6:$AI$505,"&lt;="&amp;$A197,実績!$AJ$6:$AJ$505,"&gt;"&amp;$A197,実績!$AK$6:$AK$505,"○")&gt;0,1,0))</f>
        <v>0</v>
      </c>
      <c r="CY197" s="39" t="n">
        <f aca="false">IF(CY$4=0,0,IF(COUNTIFS(実績!$W$6:$W$505,CY$3,実績!$AI$6:$AI$505,"&lt;="&amp;$A197,実績!$AJ$6:$AJ$505,"&gt;"&amp;$A197,実績!$AK$6:$AK$505,"○")&gt;0,1,0))</f>
        <v>0</v>
      </c>
      <c r="CZ197" s="39" t="n">
        <f aca="false">IF(CZ$4=0,0,IF(COUNTIFS(実績!$W$6:$W$505,CZ$3,実績!$AI$6:$AI$505,"&lt;="&amp;$A197,実績!$AJ$6:$AJ$505,"&gt;"&amp;$A197,実績!$AK$6:$AK$505,"○")&gt;0,1,0))</f>
        <v>0</v>
      </c>
      <c r="DA197" s="39" t="n">
        <f aca="false">IF(DA$4=0,0,IF(COUNTIFS(実績!$W$6:$W$505,DA$3,実績!$AI$6:$AI$505,"&lt;="&amp;$A197,実績!$AJ$6:$AJ$505,"&gt;"&amp;$A197,実績!$AK$6:$AK$505,"○")&gt;0,1,0))</f>
        <v>0</v>
      </c>
      <c r="DB197" s="39" t="n">
        <f aca="false">IF(DB$4=0,0,IF(COUNTIFS(実績!$W$6:$W$505,DB$3,実績!$AI$6:$AI$505,"&lt;="&amp;$A197,実績!$AJ$6:$AJ$505,"&gt;"&amp;$A197,実績!$AK$6:$AK$505,"○")&gt;0,1,0))</f>
        <v>0</v>
      </c>
      <c r="DC197" s="39" t="n">
        <f aca="false">IF(DC$4=0,0,IF(COUNTIFS(実績!$W$6:$W$505,DC$3,実績!$AI$6:$AI$505,"&lt;="&amp;$A197,実績!$AJ$6:$AJ$505,"&gt;"&amp;$A197,実績!$AK$6:$AK$505,"○")&gt;0,1,0))</f>
        <v>0</v>
      </c>
      <c r="DD197" s="39" t="n">
        <f aca="false">IF(DD$4=0,0,IF(COUNTIFS(実績!$W$6:$W$505,DD$3,実績!$AI$6:$AI$505,"&lt;="&amp;$A197,実績!$AJ$6:$AJ$505,"&gt;"&amp;$A197,実績!$AK$6:$AK$505,"○")&gt;0,1,0))</f>
        <v>0</v>
      </c>
      <c r="DE197" s="39" t="n">
        <f aca="false">IF(DE$4=0,0,IF(COUNTIFS(実績!$W$6:$W$505,DE$3,実績!$AI$6:$AI$505,"&lt;="&amp;$A197,実績!$AJ$6:$AJ$505,"&gt;"&amp;$A197,実績!$AK$6:$AK$505,"○")&gt;0,1,0))</f>
        <v>0</v>
      </c>
      <c r="DF197" s="39" t="n">
        <f aca="false">IF(DF$4=0,0,IF(COUNTIFS(実績!$W$6:$W$505,DF$3,実績!$AI$6:$AI$505,"&lt;="&amp;$A197,実績!$AJ$6:$AJ$505,"&gt;"&amp;$A197,実績!$AK$6:$AK$505,"○")&gt;0,1,0))</f>
        <v>0</v>
      </c>
      <c r="DG197" s="39" t="n">
        <f aca="false">IF(DG$4=0,0,IF(COUNTIFS(実績!$W$6:$W$505,DG$3,実績!$AI$6:$AI$505,"&lt;="&amp;$A197,実績!$AJ$6:$AJ$505,"&gt;"&amp;$A197,実績!$AK$6:$AK$505,"○")&gt;0,1,0))</f>
        <v>0</v>
      </c>
      <c r="DH197" s="39" t="n">
        <f aca="false">IF(DH$4=0,0,IF(COUNTIFS(実績!$W$6:$W$505,DH$3,実績!$AI$6:$AI$505,"&lt;="&amp;$A197,実績!$AJ$6:$AJ$505,"&gt;"&amp;$A197,実績!$AK$6:$AK$505,"○")&gt;0,1,0))</f>
        <v>0</v>
      </c>
      <c r="DI197" s="39" t="n">
        <f aca="false">IF(DI$4=0,0,IF(COUNTIFS(実績!$W$6:$W$505,DI$3,実績!$AI$6:$AI$505,"&lt;="&amp;$A197,実績!$AJ$6:$AJ$505,"&gt;"&amp;$A197,実績!$AK$6:$AK$505,"○")&gt;0,1,0))</f>
        <v>0</v>
      </c>
      <c r="DJ197" s="39" t="n">
        <f aca="false">IF(DJ$4=0,0,IF(COUNTIFS(実績!$W$6:$W$505,DJ$3,実績!$AI$6:$AI$505,"&lt;="&amp;$A197,実績!$AJ$6:$AJ$505,"&gt;"&amp;$A197,実績!$AK$6:$AK$505,"○")&gt;0,1,0))</f>
        <v>0</v>
      </c>
      <c r="DK197" s="39" t="n">
        <f aca="false">IF(DK$4=0,0,IF(COUNTIFS(実績!$W$6:$W$505,DK$3,実績!$AI$6:$AI$505,"&lt;="&amp;$A197,実績!$AJ$6:$AJ$505,"&gt;"&amp;$A197,実績!$AK$6:$AK$505,"○")&gt;0,1,0))</f>
        <v>0</v>
      </c>
      <c r="DL197" s="39" t="n">
        <f aca="false">IF(DL$4=0,0,IF(COUNTIFS(実績!$W$6:$W$505,DL$3,実績!$AI$6:$AI$505,"&lt;="&amp;$A197,実績!$AJ$6:$AJ$505,"&gt;"&amp;$A197,実績!$AK$6:$AK$505,"○")&gt;0,1,0))</f>
        <v>0</v>
      </c>
      <c r="DM197" s="39" t="n">
        <f aca="false">IF(DM$4=0,0,IF(COUNTIFS(実績!$W$6:$W$505,DM$3,実績!$AI$6:$AI$505,"&lt;="&amp;$A197,実績!$AJ$6:$AJ$505,"&gt;"&amp;$A197,実績!$AK$6:$AK$505,"○")&gt;0,1,0))</f>
        <v>0</v>
      </c>
      <c r="DN197" s="39" t="n">
        <f aca="false">IF(DN$4=0,0,IF(COUNTIFS(実績!$W$6:$W$505,DN$3,実績!$AI$6:$AI$505,"&lt;="&amp;$A197,実績!$AJ$6:$AJ$505,"&gt;"&amp;$A197,実績!$AK$6:$AK$505,"○")&gt;0,1,0))</f>
        <v>0</v>
      </c>
      <c r="DO197" s="39" t="n">
        <f aca="false">IF(DO$4=0,0,IF(COUNTIFS(実績!$W$6:$W$505,DO$3,実績!$AI$6:$AI$505,"&lt;="&amp;$A197,実績!$AJ$6:$AJ$505,"&gt;"&amp;$A197,実績!$AK$6:$AK$505,"○")&gt;0,1,0))</f>
        <v>0</v>
      </c>
      <c r="DP197" s="39" t="n">
        <f aca="false">IF(DP$4=0,0,IF(COUNTIFS(実績!$W$6:$W$505,DP$3,実績!$AI$6:$AI$505,"&lt;="&amp;$A197,実績!$AJ$6:$AJ$505,"&gt;"&amp;$A197,実績!$AK$6:$AK$505,"○")&gt;0,1,0))</f>
        <v>0</v>
      </c>
      <c r="DQ197" s="39" t="n">
        <f aca="false">IF(DQ$4=0,0,IF(COUNTIFS(実績!$W$6:$W$505,DQ$3,実績!$AI$6:$AI$505,"&lt;="&amp;$A197,実績!$AJ$6:$AJ$505,"&gt;"&amp;$A197,実績!$AK$6:$AK$505,"○")&gt;0,1,0))</f>
        <v>0</v>
      </c>
      <c r="DR197" s="39" t="n">
        <f aca="false">IF(DR$4=0,0,IF(COUNTIFS(実績!$W$6:$W$505,DR$3,実績!$AI$6:$AI$505,"&lt;="&amp;$A197,実績!$AJ$6:$AJ$505,"&gt;"&amp;$A197,実績!$AK$6:$AK$505,"○")&gt;0,1,0))</f>
        <v>0</v>
      </c>
      <c r="DS197" s="39" t="n">
        <f aca="false">SUM(C197:DR197)</f>
        <v>0</v>
      </c>
      <c r="DT197" s="39" t="n">
        <f aca="false">SUMPRODUCT((実績!$C$6:$C$505="○")*ISNUMBER(実績!$AM$6:$AM$505)*(実績!$AM$6:$AM$505&lt;=$A197)*(実績!$AN$6:$AN$505&gt;$A197))</f>
        <v>0</v>
      </c>
      <c r="DU197" s="39" t="n">
        <f aca="false">SUMIF($C$2:$DR$2,"製鉄曳船",C197:DR197)</f>
        <v>0</v>
      </c>
      <c r="DV197" s="39" t="n">
        <f aca="false">SUMIF($C$2:$DR$2,"西日本海運",C197:DR197)</f>
        <v>0</v>
      </c>
    </row>
    <row r="198" customFormat="false" ht="15" hidden="false" customHeight="false" outlineLevel="0" collapsed="false">
      <c r="A198" s="0" t="n">
        <v>960</v>
      </c>
      <c r="B198" s="38" t="n">
        <f aca="false">A198/1440</f>
        <v>0.666666666666667</v>
      </c>
      <c r="C198" s="39" t="n">
        <f aca="false">IF(C$4=0,0,IF(COUNTIFS(実績!$W$6:$W$505,C$3,実績!$AI$6:$AI$505,"&lt;="&amp;$A198,実績!$AJ$6:$AJ$505,"&gt;"&amp;$A198,実績!$AK$6:$AK$505,"○")&gt;0,1,0))</f>
        <v>0</v>
      </c>
      <c r="D198" s="39" t="n">
        <f aca="false">IF(D$4=0,0,IF(COUNTIFS(実績!$W$6:$W$505,D$3,実績!$AI$6:$AI$505,"&lt;="&amp;$A198,実績!$AJ$6:$AJ$505,"&gt;"&amp;$A198,実績!$AK$6:$AK$505,"○")&gt;0,1,0))</f>
        <v>0</v>
      </c>
      <c r="E198" s="39" t="n">
        <f aca="false">IF(E$4=0,0,IF(COUNTIFS(実績!$W$6:$W$505,E$3,実績!$AI$6:$AI$505,"&lt;="&amp;$A198,実績!$AJ$6:$AJ$505,"&gt;"&amp;$A198,実績!$AK$6:$AK$505,"○")&gt;0,1,0))</f>
        <v>0</v>
      </c>
      <c r="F198" s="39" t="n">
        <f aca="false">IF(F$4=0,0,IF(COUNTIFS(実績!$W$6:$W$505,F$3,実績!$AI$6:$AI$505,"&lt;="&amp;$A198,実績!$AJ$6:$AJ$505,"&gt;"&amp;$A198,実績!$AK$6:$AK$505,"○")&gt;0,1,0))</f>
        <v>0</v>
      </c>
      <c r="G198" s="39" t="n">
        <f aca="false">IF(G$4=0,0,IF(COUNTIFS(実績!$W$6:$W$505,G$3,実績!$AI$6:$AI$505,"&lt;="&amp;$A198,実績!$AJ$6:$AJ$505,"&gt;"&amp;$A198,実績!$AK$6:$AK$505,"○")&gt;0,1,0))</f>
        <v>0</v>
      </c>
      <c r="H198" s="39" t="n">
        <f aca="false">IF(H$4=0,0,IF(COUNTIFS(実績!$W$6:$W$505,H$3,実績!$AI$6:$AI$505,"&lt;="&amp;$A198,実績!$AJ$6:$AJ$505,"&gt;"&amp;$A198,実績!$AK$6:$AK$505,"○")&gt;0,1,0))</f>
        <v>0</v>
      </c>
      <c r="I198" s="39" t="n">
        <f aca="false">IF(I$4=0,0,IF(COUNTIFS(実績!$W$6:$W$505,I$3,実績!$AI$6:$AI$505,"&lt;="&amp;$A198,実績!$AJ$6:$AJ$505,"&gt;"&amp;$A198,実績!$AK$6:$AK$505,"○")&gt;0,1,0))</f>
        <v>0</v>
      </c>
      <c r="J198" s="39" t="n">
        <f aca="false">IF(J$4=0,0,IF(COUNTIFS(実績!$W$6:$W$505,J$3,実績!$AI$6:$AI$505,"&lt;="&amp;$A198,実績!$AJ$6:$AJ$505,"&gt;"&amp;$A198,実績!$AK$6:$AK$505,"○")&gt;0,1,0))</f>
        <v>0</v>
      </c>
      <c r="K198" s="39" t="n">
        <f aca="false">IF(K$4=0,0,IF(COUNTIFS(実績!$W$6:$W$505,K$3,実績!$AI$6:$AI$505,"&lt;="&amp;$A198,実績!$AJ$6:$AJ$505,"&gt;"&amp;$A198,実績!$AK$6:$AK$505,"○")&gt;0,1,0))</f>
        <v>0</v>
      </c>
      <c r="L198" s="39" t="n">
        <f aca="false">IF(L$4=0,0,IF(COUNTIFS(実績!$W$6:$W$505,L$3,実績!$AI$6:$AI$505,"&lt;="&amp;$A198,実績!$AJ$6:$AJ$505,"&gt;"&amp;$A198,実績!$AK$6:$AK$505,"○")&gt;0,1,0))</f>
        <v>0</v>
      </c>
      <c r="M198" s="39" t="n">
        <f aca="false">IF(M$4=0,0,IF(COUNTIFS(実績!$W$6:$W$505,M$3,実績!$AI$6:$AI$505,"&lt;="&amp;$A198,実績!$AJ$6:$AJ$505,"&gt;"&amp;$A198,実績!$AK$6:$AK$505,"○")&gt;0,1,0))</f>
        <v>0</v>
      </c>
      <c r="N198" s="39" t="n">
        <f aca="false">IF(N$4=0,0,IF(COUNTIFS(実績!$W$6:$W$505,N$3,実績!$AI$6:$AI$505,"&lt;="&amp;$A198,実績!$AJ$6:$AJ$505,"&gt;"&amp;$A198,実績!$AK$6:$AK$505,"○")&gt;0,1,0))</f>
        <v>0</v>
      </c>
      <c r="O198" s="39" t="n">
        <f aca="false">IF(O$4=0,0,IF(COUNTIFS(実績!$W$6:$W$505,O$3,実績!$AI$6:$AI$505,"&lt;="&amp;$A198,実績!$AJ$6:$AJ$505,"&gt;"&amp;$A198,実績!$AK$6:$AK$505,"○")&gt;0,1,0))</f>
        <v>0</v>
      </c>
      <c r="P198" s="39" t="n">
        <f aca="false">IF(P$4=0,0,IF(COUNTIFS(実績!$W$6:$W$505,P$3,実績!$AI$6:$AI$505,"&lt;="&amp;$A198,実績!$AJ$6:$AJ$505,"&gt;"&amp;$A198,実績!$AK$6:$AK$505,"○")&gt;0,1,0))</f>
        <v>0</v>
      </c>
      <c r="Q198" s="39" t="n">
        <f aca="false">IF(Q$4=0,0,IF(COUNTIFS(実績!$W$6:$W$505,Q$3,実績!$AI$6:$AI$505,"&lt;="&amp;$A198,実績!$AJ$6:$AJ$505,"&gt;"&amp;$A198,実績!$AK$6:$AK$505,"○")&gt;0,1,0))</f>
        <v>0</v>
      </c>
      <c r="R198" s="39" t="n">
        <f aca="false">IF(R$4=0,0,IF(COUNTIFS(実績!$W$6:$W$505,R$3,実績!$AI$6:$AI$505,"&lt;="&amp;$A198,実績!$AJ$6:$AJ$505,"&gt;"&amp;$A198,実績!$AK$6:$AK$505,"○")&gt;0,1,0))</f>
        <v>0</v>
      </c>
      <c r="S198" s="39" t="n">
        <f aca="false">IF(S$4=0,0,IF(COUNTIFS(実績!$W$6:$W$505,S$3,実績!$AI$6:$AI$505,"&lt;="&amp;$A198,実績!$AJ$6:$AJ$505,"&gt;"&amp;$A198,実績!$AK$6:$AK$505,"○")&gt;0,1,0))</f>
        <v>0</v>
      </c>
      <c r="T198" s="39" t="n">
        <f aca="false">IF(T$4=0,0,IF(COUNTIFS(実績!$W$6:$W$505,T$3,実績!$AI$6:$AI$505,"&lt;="&amp;$A198,実績!$AJ$6:$AJ$505,"&gt;"&amp;$A198,実績!$AK$6:$AK$505,"○")&gt;0,1,0))</f>
        <v>0</v>
      </c>
      <c r="U198" s="39" t="n">
        <f aca="false">IF(U$4=0,0,IF(COUNTIFS(実績!$W$6:$W$505,U$3,実績!$AI$6:$AI$505,"&lt;="&amp;$A198,実績!$AJ$6:$AJ$505,"&gt;"&amp;$A198,実績!$AK$6:$AK$505,"○")&gt;0,1,0))</f>
        <v>0</v>
      </c>
      <c r="V198" s="39" t="n">
        <f aca="false">IF(V$4=0,0,IF(COUNTIFS(実績!$W$6:$W$505,V$3,実績!$AI$6:$AI$505,"&lt;="&amp;$A198,実績!$AJ$6:$AJ$505,"&gt;"&amp;$A198,実績!$AK$6:$AK$505,"○")&gt;0,1,0))</f>
        <v>0</v>
      </c>
      <c r="W198" s="39" t="n">
        <f aca="false">IF(W$4=0,0,IF(COUNTIFS(実績!$W$6:$W$505,W$3,実績!$AI$6:$AI$505,"&lt;="&amp;$A198,実績!$AJ$6:$AJ$505,"&gt;"&amp;$A198,実績!$AK$6:$AK$505,"○")&gt;0,1,0))</f>
        <v>0</v>
      </c>
      <c r="X198" s="39" t="n">
        <f aca="false">IF(X$4=0,0,IF(COUNTIFS(実績!$W$6:$W$505,X$3,実績!$AI$6:$AI$505,"&lt;="&amp;$A198,実績!$AJ$6:$AJ$505,"&gt;"&amp;$A198,実績!$AK$6:$AK$505,"○")&gt;0,1,0))</f>
        <v>0</v>
      </c>
      <c r="Y198" s="39" t="n">
        <f aca="false">IF(Y$4=0,0,IF(COUNTIFS(実績!$W$6:$W$505,Y$3,実績!$AI$6:$AI$505,"&lt;="&amp;$A198,実績!$AJ$6:$AJ$505,"&gt;"&amp;$A198,実績!$AK$6:$AK$505,"○")&gt;0,1,0))</f>
        <v>0</v>
      </c>
      <c r="Z198" s="39" t="n">
        <f aca="false">IF(Z$4=0,0,IF(COUNTIFS(実績!$W$6:$W$505,Z$3,実績!$AI$6:$AI$505,"&lt;="&amp;$A198,実績!$AJ$6:$AJ$505,"&gt;"&amp;$A198,実績!$AK$6:$AK$505,"○")&gt;0,1,0))</f>
        <v>0</v>
      </c>
      <c r="AA198" s="39" t="n">
        <f aca="false">IF(AA$4=0,0,IF(COUNTIFS(実績!$W$6:$W$505,AA$3,実績!$AI$6:$AI$505,"&lt;="&amp;$A198,実績!$AJ$6:$AJ$505,"&gt;"&amp;$A198,実績!$AK$6:$AK$505,"○")&gt;0,1,0))</f>
        <v>0</v>
      </c>
      <c r="AB198" s="39" t="n">
        <f aca="false">IF(AB$4=0,0,IF(COUNTIFS(実績!$W$6:$W$505,AB$3,実績!$AI$6:$AI$505,"&lt;="&amp;$A198,実績!$AJ$6:$AJ$505,"&gt;"&amp;$A198,実績!$AK$6:$AK$505,"○")&gt;0,1,0))</f>
        <v>0</v>
      </c>
      <c r="AC198" s="39" t="n">
        <f aca="false">IF(AC$4=0,0,IF(COUNTIFS(実績!$W$6:$W$505,AC$3,実績!$AI$6:$AI$505,"&lt;="&amp;$A198,実績!$AJ$6:$AJ$505,"&gt;"&amp;$A198,実績!$AK$6:$AK$505,"○")&gt;0,1,0))</f>
        <v>0</v>
      </c>
      <c r="AD198" s="39" t="n">
        <f aca="false">IF(AD$4=0,0,IF(COUNTIFS(実績!$W$6:$W$505,AD$3,実績!$AI$6:$AI$505,"&lt;="&amp;$A198,実績!$AJ$6:$AJ$505,"&gt;"&amp;$A198,実績!$AK$6:$AK$505,"○")&gt;0,1,0))</f>
        <v>0</v>
      </c>
      <c r="AE198" s="39" t="n">
        <f aca="false">IF(AE$4=0,0,IF(COUNTIFS(実績!$W$6:$W$505,AE$3,実績!$AI$6:$AI$505,"&lt;="&amp;$A198,実績!$AJ$6:$AJ$505,"&gt;"&amp;$A198,実績!$AK$6:$AK$505,"○")&gt;0,1,0))</f>
        <v>0</v>
      </c>
      <c r="AF198" s="39" t="n">
        <f aca="false">IF(AF$4=0,0,IF(COUNTIFS(実績!$W$6:$W$505,AF$3,実績!$AI$6:$AI$505,"&lt;="&amp;$A198,実績!$AJ$6:$AJ$505,"&gt;"&amp;$A198,実績!$AK$6:$AK$505,"○")&gt;0,1,0))</f>
        <v>0</v>
      </c>
      <c r="AG198" s="39" t="n">
        <f aca="false">IF(AG$4=0,0,IF(COUNTIFS(実績!$W$6:$W$505,AG$3,実績!$AI$6:$AI$505,"&lt;="&amp;$A198,実績!$AJ$6:$AJ$505,"&gt;"&amp;$A198,実績!$AK$6:$AK$505,"○")&gt;0,1,0))</f>
        <v>0</v>
      </c>
      <c r="AH198" s="39" t="n">
        <f aca="false">IF(AH$4=0,0,IF(COUNTIFS(実績!$W$6:$W$505,AH$3,実績!$AI$6:$AI$505,"&lt;="&amp;$A198,実績!$AJ$6:$AJ$505,"&gt;"&amp;$A198,実績!$AK$6:$AK$505,"○")&gt;0,1,0))</f>
        <v>0</v>
      </c>
      <c r="AI198" s="39" t="n">
        <f aca="false">IF(AI$4=0,0,IF(COUNTIFS(実績!$W$6:$W$505,AI$3,実績!$AI$6:$AI$505,"&lt;="&amp;$A198,実績!$AJ$6:$AJ$505,"&gt;"&amp;$A198,実績!$AK$6:$AK$505,"○")&gt;0,1,0))</f>
        <v>0</v>
      </c>
      <c r="AJ198" s="39" t="n">
        <f aca="false">IF(AJ$4=0,0,IF(COUNTIFS(実績!$W$6:$W$505,AJ$3,実績!$AI$6:$AI$505,"&lt;="&amp;$A198,実績!$AJ$6:$AJ$505,"&gt;"&amp;$A198,実績!$AK$6:$AK$505,"○")&gt;0,1,0))</f>
        <v>0</v>
      </c>
      <c r="AK198" s="39" t="n">
        <f aca="false">IF(AK$4=0,0,IF(COUNTIFS(実績!$W$6:$W$505,AK$3,実績!$AI$6:$AI$505,"&lt;="&amp;$A198,実績!$AJ$6:$AJ$505,"&gt;"&amp;$A198,実績!$AK$6:$AK$505,"○")&gt;0,1,0))</f>
        <v>0</v>
      </c>
      <c r="AL198" s="39" t="n">
        <f aca="false">IF(AL$4=0,0,IF(COUNTIFS(実績!$W$6:$W$505,AL$3,実績!$AI$6:$AI$505,"&lt;="&amp;$A198,実績!$AJ$6:$AJ$505,"&gt;"&amp;$A198,実績!$AK$6:$AK$505,"○")&gt;0,1,0))</f>
        <v>0</v>
      </c>
      <c r="AM198" s="39" t="n">
        <f aca="false">IF(AM$4=0,0,IF(COUNTIFS(実績!$W$6:$W$505,AM$3,実績!$AI$6:$AI$505,"&lt;="&amp;$A198,実績!$AJ$6:$AJ$505,"&gt;"&amp;$A198,実績!$AK$6:$AK$505,"○")&gt;0,1,0))</f>
        <v>0</v>
      </c>
      <c r="AN198" s="39" t="n">
        <f aca="false">IF(AN$4=0,0,IF(COUNTIFS(実績!$W$6:$W$505,AN$3,実績!$AI$6:$AI$505,"&lt;="&amp;$A198,実績!$AJ$6:$AJ$505,"&gt;"&amp;$A198,実績!$AK$6:$AK$505,"○")&gt;0,1,0))</f>
        <v>0</v>
      </c>
      <c r="AO198" s="39" t="n">
        <f aca="false">IF(AO$4=0,0,IF(COUNTIFS(実績!$W$6:$W$505,AO$3,実績!$AI$6:$AI$505,"&lt;="&amp;$A198,実績!$AJ$6:$AJ$505,"&gt;"&amp;$A198,実績!$AK$6:$AK$505,"○")&gt;0,1,0))</f>
        <v>0</v>
      </c>
      <c r="AP198" s="39" t="n">
        <f aca="false">IF(AP$4=0,0,IF(COUNTIFS(実績!$W$6:$W$505,AP$3,実績!$AI$6:$AI$505,"&lt;="&amp;$A198,実績!$AJ$6:$AJ$505,"&gt;"&amp;$A198,実績!$AK$6:$AK$505,"○")&gt;0,1,0))</f>
        <v>0</v>
      </c>
      <c r="AQ198" s="39" t="n">
        <f aca="false">IF(AQ$4=0,0,IF(COUNTIFS(実績!$W$6:$W$505,AQ$3,実績!$AI$6:$AI$505,"&lt;="&amp;$A198,実績!$AJ$6:$AJ$505,"&gt;"&amp;$A198,実績!$AK$6:$AK$505,"○")&gt;0,1,0))</f>
        <v>0</v>
      </c>
      <c r="AR198" s="39" t="n">
        <f aca="false">IF(AR$4=0,0,IF(COUNTIFS(実績!$W$6:$W$505,AR$3,実績!$AI$6:$AI$505,"&lt;="&amp;$A198,実績!$AJ$6:$AJ$505,"&gt;"&amp;$A198,実績!$AK$6:$AK$505,"○")&gt;0,1,0))</f>
        <v>0</v>
      </c>
      <c r="AS198" s="39" t="n">
        <f aca="false">IF(AS$4=0,0,IF(COUNTIFS(実績!$W$6:$W$505,AS$3,実績!$AI$6:$AI$505,"&lt;="&amp;$A198,実績!$AJ$6:$AJ$505,"&gt;"&amp;$A198,実績!$AK$6:$AK$505,"○")&gt;0,1,0))</f>
        <v>0</v>
      </c>
      <c r="AT198" s="39" t="n">
        <f aca="false">IF(AT$4=0,0,IF(COUNTIFS(実績!$W$6:$W$505,AT$3,実績!$AI$6:$AI$505,"&lt;="&amp;$A198,実績!$AJ$6:$AJ$505,"&gt;"&amp;$A198,実績!$AK$6:$AK$505,"○")&gt;0,1,0))</f>
        <v>0</v>
      </c>
      <c r="AU198" s="39" t="n">
        <f aca="false">IF(AU$4=0,0,IF(COUNTIFS(実績!$W$6:$W$505,AU$3,実績!$AI$6:$AI$505,"&lt;="&amp;$A198,実績!$AJ$6:$AJ$505,"&gt;"&amp;$A198,実績!$AK$6:$AK$505,"○")&gt;0,1,0))</f>
        <v>0</v>
      </c>
      <c r="AV198" s="39" t="n">
        <f aca="false">IF(AV$4=0,0,IF(COUNTIFS(実績!$W$6:$W$505,AV$3,実績!$AI$6:$AI$505,"&lt;="&amp;$A198,実績!$AJ$6:$AJ$505,"&gt;"&amp;$A198,実績!$AK$6:$AK$505,"○")&gt;0,1,0))</f>
        <v>0</v>
      </c>
      <c r="AW198" s="39" t="n">
        <f aca="false">IF(AW$4=0,0,IF(COUNTIFS(実績!$W$6:$W$505,AW$3,実績!$AI$6:$AI$505,"&lt;="&amp;$A198,実績!$AJ$6:$AJ$505,"&gt;"&amp;$A198,実績!$AK$6:$AK$505,"○")&gt;0,1,0))</f>
        <v>0</v>
      </c>
      <c r="AX198" s="39" t="n">
        <f aca="false">IF(AX$4=0,0,IF(COUNTIFS(実績!$W$6:$W$505,AX$3,実績!$AI$6:$AI$505,"&lt;="&amp;$A198,実績!$AJ$6:$AJ$505,"&gt;"&amp;$A198,実績!$AK$6:$AK$505,"○")&gt;0,1,0))</f>
        <v>0</v>
      </c>
      <c r="AY198" s="39" t="n">
        <f aca="false">IF(AY$4=0,0,IF(COUNTIFS(実績!$W$6:$W$505,AY$3,実績!$AI$6:$AI$505,"&lt;="&amp;$A198,実績!$AJ$6:$AJ$505,"&gt;"&amp;$A198,実績!$AK$6:$AK$505,"○")&gt;0,1,0))</f>
        <v>0</v>
      </c>
      <c r="AZ198" s="39" t="n">
        <f aca="false">IF(AZ$4=0,0,IF(COUNTIFS(実績!$W$6:$W$505,AZ$3,実績!$AI$6:$AI$505,"&lt;="&amp;$A198,実績!$AJ$6:$AJ$505,"&gt;"&amp;$A198,実績!$AK$6:$AK$505,"○")&gt;0,1,0))</f>
        <v>0</v>
      </c>
      <c r="BA198" s="39" t="n">
        <f aca="false">IF(BA$4=0,0,IF(COUNTIFS(実績!$W$6:$W$505,BA$3,実績!$AI$6:$AI$505,"&lt;="&amp;$A198,実績!$AJ$6:$AJ$505,"&gt;"&amp;$A198,実績!$AK$6:$AK$505,"○")&gt;0,1,0))</f>
        <v>0</v>
      </c>
      <c r="BB198" s="39" t="n">
        <f aca="false">IF(BB$4=0,0,IF(COUNTIFS(実績!$W$6:$W$505,BB$3,実績!$AI$6:$AI$505,"&lt;="&amp;$A198,実績!$AJ$6:$AJ$505,"&gt;"&amp;$A198,実績!$AK$6:$AK$505,"○")&gt;0,1,0))</f>
        <v>0</v>
      </c>
      <c r="BC198" s="39" t="n">
        <f aca="false">IF(BC$4=0,0,IF(COUNTIFS(実績!$W$6:$W$505,BC$3,実績!$AI$6:$AI$505,"&lt;="&amp;$A198,実績!$AJ$6:$AJ$505,"&gt;"&amp;$A198,実績!$AK$6:$AK$505,"○")&gt;0,1,0))</f>
        <v>0</v>
      </c>
      <c r="BD198" s="39" t="n">
        <f aca="false">IF(BD$4=0,0,IF(COUNTIFS(実績!$W$6:$W$505,BD$3,実績!$AI$6:$AI$505,"&lt;="&amp;$A198,実績!$AJ$6:$AJ$505,"&gt;"&amp;$A198,実績!$AK$6:$AK$505,"○")&gt;0,1,0))</f>
        <v>0</v>
      </c>
      <c r="BE198" s="39" t="n">
        <f aca="false">IF(BE$4=0,0,IF(COUNTIFS(実績!$W$6:$W$505,BE$3,実績!$AI$6:$AI$505,"&lt;="&amp;$A198,実績!$AJ$6:$AJ$505,"&gt;"&amp;$A198,実績!$AK$6:$AK$505,"○")&gt;0,1,0))</f>
        <v>0</v>
      </c>
      <c r="BF198" s="39" t="n">
        <f aca="false">IF(BF$4=0,0,IF(COUNTIFS(実績!$W$6:$W$505,BF$3,実績!$AI$6:$AI$505,"&lt;="&amp;$A198,実績!$AJ$6:$AJ$505,"&gt;"&amp;$A198,実績!$AK$6:$AK$505,"○")&gt;0,1,0))</f>
        <v>0</v>
      </c>
      <c r="BG198" s="39" t="n">
        <f aca="false">IF(BG$4=0,0,IF(COUNTIFS(実績!$W$6:$W$505,BG$3,実績!$AI$6:$AI$505,"&lt;="&amp;$A198,実績!$AJ$6:$AJ$505,"&gt;"&amp;$A198,実績!$AK$6:$AK$505,"○")&gt;0,1,0))</f>
        <v>0</v>
      </c>
      <c r="BH198" s="39" t="n">
        <f aca="false">IF(BH$4=0,0,IF(COUNTIFS(実績!$W$6:$W$505,BH$3,実績!$AI$6:$AI$505,"&lt;="&amp;$A198,実績!$AJ$6:$AJ$505,"&gt;"&amp;$A198,実績!$AK$6:$AK$505,"○")&gt;0,1,0))</f>
        <v>0</v>
      </c>
      <c r="BI198" s="39" t="n">
        <f aca="false">IF(BI$4=0,0,IF(COUNTIFS(実績!$W$6:$W$505,BI$3,実績!$AI$6:$AI$505,"&lt;="&amp;$A198,実績!$AJ$6:$AJ$505,"&gt;"&amp;$A198,実績!$AK$6:$AK$505,"○")&gt;0,1,0))</f>
        <v>0</v>
      </c>
      <c r="BJ198" s="39" t="n">
        <f aca="false">IF(BJ$4=0,0,IF(COUNTIFS(実績!$W$6:$W$505,BJ$3,実績!$AI$6:$AI$505,"&lt;="&amp;$A198,実績!$AJ$6:$AJ$505,"&gt;"&amp;$A198,実績!$AK$6:$AK$505,"○")&gt;0,1,0))</f>
        <v>0</v>
      </c>
      <c r="BK198" s="39" t="n">
        <f aca="false">IF(BK$4=0,0,IF(COUNTIFS(実績!$W$6:$W$505,BK$3,実績!$AI$6:$AI$505,"&lt;="&amp;$A198,実績!$AJ$6:$AJ$505,"&gt;"&amp;$A198,実績!$AK$6:$AK$505,"○")&gt;0,1,0))</f>
        <v>0</v>
      </c>
      <c r="BL198" s="39" t="n">
        <f aca="false">IF(BL$4=0,0,IF(COUNTIFS(実績!$W$6:$W$505,BL$3,実績!$AI$6:$AI$505,"&lt;="&amp;$A198,実績!$AJ$6:$AJ$505,"&gt;"&amp;$A198,実績!$AK$6:$AK$505,"○")&gt;0,1,0))</f>
        <v>0</v>
      </c>
      <c r="BM198" s="39" t="n">
        <f aca="false">IF(BM$4=0,0,IF(COUNTIFS(実績!$W$6:$W$505,BM$3,実績!$AI$6:$AI$505,"&lt;="&amp;$A198,実績!$AJ$6:$AJ$505,"&gt;"&amp;$A198,実績!$AK$6:$AK$505,"○")&gt;0,1,0))</f>
        <v>0</v>
      </c>
      <c r="BN198" s="39" t="n">
        <f aca="false">IF(BN$4=0,0,IF(COUNTIFS(実績!$W$6:$W$505,BN$3,実績!$AI$6:$AI$505,"&lt;="&amp;$A198,実績!$AJ$6:$AJ$505,"&gt;"&amp;$A198,実績!$AK$6:$AK$505,"○")&gt;0,1,0))</f>
        <v>0</v>
      </c>
      <c r="BO198" s="39" t="n">
        <f aca="false">IF(BO$4=0,0,IF(COUNTIFS(実績!$W$6:$W$505,BO$3,実績!$AI$6:$AI$505,"&lt;="&amp;$A198,実績!$AJ$6:$AJ$505,"&gt;"&amp;$A198,実績!$AK$6:$AK$505,"○")&gt;0,1,0))</f>
        <v>0</v>
      </c>
      <c r="BP198" s="39" t="n">
        <f aca="false">IF(BP$4=0,0,IF(COUNTIFS(実績!$W$6:$W$505,BP$3,実績!$AI$6:$AI$505,"&lt;="&amp;$A198,実績!$AJ$6:$AJ$505,"&gt;"&amp;$A198,実績!$AK$6:$AK$505,"○")&gt;0,1,0))</f>
        <v>0</v>
      </c>
      <c r="BQ198" s="39" t="n">
        <f aca="false">IF(BQ$4=0,0,IF(COUNTIFS(実績!$W$6:$W$505,BQ$3,実績!$AI$6:$AI$505,"&lt;="&amp;$A198,実績!$AJ$6:$AJ$505,"&gt;"&amp;$A198,実績!$AK$6:$AK$505,"○")&gt;0,1,0))</f>
        <v>0</v>
      </c>
      <c r="BR198" s="39" t="n">
        <f aca="false">IF(BR$4=0,0,IF(COUNTIFS(実績!$W$6:$W$505,BR$3,実績!$AI$6:$AI$505,"&lt;="&amp;$A198,実績!$AJ$6:$AJ$505,"&gt;"&amp;$A198,実績!$AK$6:$AK$505,"○")&gt;0,1,0))</f>
        <v>0</v>
      </c>
      <c r="BS198" s="39" t="n">
        <f aca="false">IF(BS$4=0,0,IF(COUNTIFS(実績!$W$6:$W$505,BS$3,実績!$AI$6:$AI$505,"&lt;="&amp;$A198,実績!$AJ$6:$AJ$505,"&gt;"&amp;$A198,実績!$AK$6:$AK$505,"○")&gt;0,1,0))</f>
        <v>0</v>
      </c>
      <c r="BT198" s="39" t="n">
        <f aca="false">IF(BT$4=0,0,IF(COUNTIFS(実績!$W$6:$W$505,BT$3,実績!$AI$6:$AI$505,"&lt;="&amp;$A198,実績!$AJ$6:$AJ$505,"&gt;"&amp;$A198,実績!$AK$6:$AK$505,"○")&gt;0,1,0))</f>
        <v>0</v>
      </c>
      <c r="BU198" s="39" t="n">
        <f aca="false">IF(BU$4=0,0,IF(COUNTIFS(実績!$W$6:$W$505,BU$3,実績!$AI$6:$AI$505,"&lt;="&amp;$A198,実績!$AJ$6:$AJ$505,"&gt;"&amp;$A198,実績!$AK$6:$AK$505,"○")&gt;0,1,0))</f>
        <v>0</v>
      </c>
      <c r="BV198" s="39" t="n">
        <f aca="false">IF(BV$4=0,0,IF(COUNTIFS(実績!$W$6:$W$505,BV$3,実績!$AI$6:$AI$505,"&lt;="&amp;$A198,実績!$AJ$6:$AJ$505,"&gt;"&amp;$A198,実績!$AK$6:$AK$505,"○")&gt;0,1,0))</f>
        <v>0</v>
      </c>
      <c r="BW198" s="39" t="n">
        <f aca="false">IF(BW$4=0,0,IF(COUNTIFS(実績!$W$6:$W$505,BW$3,実績!$AI$6:$AI$505,"&lt;="&amp;$A198,実績!$AJ$6:$AJ$505,"&gt;"&amp;$A198,実績!$AK$6:$AK$505,"○")&gt;0,1,0))</f>
        <v>0</v>
      </c>
      <c r="BX198" s="39" t="n">
        <f aca="false">IF(BX$4=0,0,IF(COUNTIFS(実績!$W$6:$W$505,BX$3,実績!$AI$6:$AI$505,"&lt;="&amp;$A198,実績!$AJ$6:$AJ$505,"&gt;"&amp;$A198,実績!$AK$6:$AK$505,"○")&gt;0,1,0))</f>
        <v>0</v>
      </c>
      <c r="BY198" s="39" t="n">
        <f aca="false">IF(BY$4=0,0,IF(COUNTIFS(実績!$W$6:$W$505,BY$3,実績!$AI$6:$AI$505,"&lt;="&amp;$A198,実績!$AJ$6:$AJ$505,"&gt;"&amp;$A198,実績!$AK$6:$AK$505,"○")&gt;0,1,0))</f>
        <v>0</v>
      </c>
      <c r="BZ198" s="39" t="n">
        <f aca="false">IF(BZ$4=0,0,IF(COUNTIFS(実績!$W$6:$W$505,BZ$3,実績!$AI$6:$AI$505,"&lt;="&amp;$A198,実績!$AJ$6:$AJ$505,"&gt;"&amp;$A198,実績!$AK$6:$AK$505,"○")&gt;0,1,0))</f>
        <v>0</v>
      </c>
      <c r="CA198" s="39" t="n">
        <f aca="false">IF(CA$4=0,0,IF(COUNTIFS(実績!$W$6:$W$505,CA$3,実績!$AI$6:$AI$505,"&lt;="&amp;$A198,実績!$AJ$6:$AJ$505,"&gt;"&amp;$A198,実績!$AK$6:$AK$505,"○")&gt;0,1,0))</f>
        <v>0</v>
      </c>
      <c r="CB198" s="39" t="n">
        <f aca="false">IF(CB$4=0,0,IF(COUNTIFS(実績!$W$6:$W$505,CB$3,実績!$AI$6:$AI$505,"&lt;="&amp;$A198,実績!$AJ$6:$AJ$505,"&gt;"&amp;$A198,実績!$AK$6:$AK$505,"○")&gt;0,1,0))</f>
        <v>0</v>
      </c>
      <c r="CC198" s="39" t="n">
        <f aca="false">IF(CC$4=0,0,IF(COUNTIFS(実績!$W$6:$W$505,CC$3,実績!$AI$6:$AI$505,"&lt;="&amp;$A198,実績!$AJ$6:$AJ$505,"&gt;"&amp;$A198,実績!$AK$6:$AK$505,"○")&gt;0,1,0))</f>
        <v>0</v>
      </c>
      <c r="CD198" s="39" t="n">
        <f aca="false">IF(CD$4=0,0,IF(COUNTIFS(実績!$W$6:$W$505,CD$3,実績!$AI$6:$AI$505,"&lt;="&amp;$A198,実績!$AJ$6:$AJ$505,"&gt;"&amp;$A198,実績!$AK$6:$AK$505,"○")&gt;0,1,0))</f>
        <v>0</v>
      </c>
      <c r="CE198" s="39" t="n">
        <f aca="false">IF(CE$4=0,0,IF(COUNTIFS(実績!$W$6:$W$505,CE$3,実績!$AI$6:$AI$505,"&lt;="&amp;$A198,実績!$AJ$6:$AJ$505,"&gt;"&amp;$A198,実績!$AK$6:$AK$505,"○")&gt;0,1,0))</f>
        <v>0</v>
      </c>
      <c r="CF198" s="39" t="n">
        <f aca="false">IF(CF$4=0,0,IF(COUNTIFS(実績!$W$6:$W$505,CF$3,実績!$AI$6:$AI$505,"&lt;="&amp;$A198,実績!$AJ$6:$AJ$505,"&gt;"&amp;$A198,実績!$AK$6:$AK$505,"○")&gt;0,1,0))</f>
        <v>0</v>
      </c>
      <c r="CG198" s="39" t="n">
        <f aca="false">IF(CG$4=0,0,IF(COUNTIFS(実績!$W$6:$W$505,CG$3,実績!$AI$6:$AI$505,"&lt;="&amp;$A198,実績!$AJ$6:$AJ$505,"&gt;"&amp;$A198,実績!$AK$6:$AK$505,"○")&gt;0,1,0))</f>
        <v>0</v>
      </c>
      <c r="CH198" s="39" t="n">
        <f aca="false">IF(CH$4=0,0,IF(COUNTIFS(実績!$W$6:$W$505,CH$3,実績!$AI$6:$AI$505,"&lt;="&amp;$A198,実績!$AJ$6:$AJ$505,"&gt;"&amp;$A198,実績!$AK$6:$AK$505,"○")&gt;0,1,0))</f>
        <v>0</v>
      </c>
      <c r="CI198" s="39" t="n">
        <f aca="false">IF(CI$4=0,0,IF(COUNTIFS(実績!$W$6:$W$505,CI$3,実績!$AI$6:$AI$505,"&lt;="&amp;$A198,実績!$AJ$6:$AJ$505,"&gt;"&amp;$A198,実績!$AK$6:$AK$505,"○")&gt;0,1,0))</f>
        <v>0</v>
      </c>
      <c r="CJ198" s="39" t="n">
        <f aca="false">IF(CJ$4=0,0,IF(COUNTIFS(実績!$W$6:$W$505,CJ$3,実績!$AI$6:$AI$505,"&lt;="&amp;$A198,実績!$AJ$6:$AJ$505,"&gt;"&amp;$A198,実績!$AK$6:$AK$505,"○")&gt;0,1,0))</f>
        <v>0</v>
      </c>
      <c r="CK198" s="39" t="n">
        <f aca="false">IF(CK$4=0,0,IF(COUNTIFS(実績!$W$6:$W$505,CK$3,実績!$AI$6:$AI$505,"&lt;="&amp;$A198,実績!$AJ$6:$AJ$505,"&gt;"&amp;$A198,実績!$AK$6:$AK$505,"○")&gt;0,1,0))</f>
        <v>0</v>
      </c>
      <c r="CL198" s="39" t="n">
        <f aca="false">IF(CL$4=0,0,IF(COUNTIFS(実績!$W$6:$W$505,CL$3,実績!$AI$6:$AI$505,"&lt;="&amp;$A198,実績!$AJ$6:$AJ$505,"&gt;"&amp;$A198,実績!$AK$6:$AK$505,"○")&gt;0,1,0))</f>
        <v>0</v>
      </c>
      <c r="CM198" s="39" t="n">
        <f aca="false">IF(CM$4=0,0,IF(COUNTIFS(実績!$W$6:$W$505,CM$3,実績!$AI$6:$AI$505,"&lt;="&amp;$A198,実績!$AJ$6:$AJ$505,"&gt;"&amp;$A198,実績!$AK$6:$AK$505,"○")&gt;0,1,0))</f>
        <v>0</v>
      </c>
      <c r="CN198" s="39" t="n">
        <f aca="false">IF(CN$4=0,0,IF(COUNTIFS(実績!$W$6:$W$505,CN$3,実績!$AI$6:$AI$505,"&lt;="&amp;$A198,実績!$AJ$6:$AJ$505,"&gt;"&amp;$A198,実績!$AK$6:$AK$505,"○")&gt;0,1,0))</f>
        <v>0</v>
      </c>
      <c r="CO198" s="39" t="n">
        <f aca="false">IF(CO$4=0,0,IF(COUNTIFS(実績!$W$6:$W$505,CO$3,実績!$AI$6:$AI$505,"&lt;="&amp;$A198,実績!$AJ$6:$AJ$505,"&gt;"&amp;$A198,実績!$AK$6:$AK$505,"○")&gt;0,1,0))</f>
        <v>0</v>
      </c>
      <c r="CP198" s="39" t="n">
        <f aca="false">IF(CP$4=0,0,IF(COUNTIFS(実績!$W$6:$W$505,CP$3,実績!$AI$6:$AI$505,"&lt;="&amp;$A198,実績!$AJ$6:$AJ$505,"&gt;"&amp;$A198,実績!$AK$6:$AK$505,"○")&gt;0,1,0))</f>
        <v>0</v>
      </c>
      <c r="CQ198" s="39" t="n">
        <f aca="false">IF(CQ$4=0,0,IF(COUNTIFS(実績!$W$6:$W$505,CQ$3,実績!$AI$6:$AI$505,"&lt;="&amp;$A198,実績!$AJ$6:$AJ$505,"&gt;"&amp;$A198,実績!$AK$6:$AK$505,"○")&gt;0,1,0))</f>
        <v>0</v>
      </c>
      <c r="CR198" s="39" t="n">
        <f aca="false">IF(CR$4=0,0,IF(COUNTIFS(実績!$W$6:$W$505,CR$3,実績!$AI$6:$AI$505,"&lt;="&amp;$A198,実績!$AJ$6:$AJ$505,"&gt;"&amp;$A198,実績!$AK$6:$AK$505,"○")&gt;0,1,0))</f>
        <v>0</v>
      </c>
      <c r="CS198" s="39" t="n">
        <f aca="false">IF(CS$4=0,0,IF(COUNTIFS(実績!$W$6:$W$505,CS$3,実績!$AI$6:$AI$505,"&lt;="&amp;$A198,実績!$AJ$6:$AJ$505,"&gt;"&amp;$A198,実績!$AK$6:$AK$505,"○")&gt;0,1,0))</f>
        <v>0</v>
      </c>
      <c r="CT198" s="39" t="n">
        <f aca="false">IF(CT$4=0,0,IF(COUNTIFS(実績!$W$6:$W$505,CT$3,実績!$AI$6:$AI$505,"&lt;="&amp;$A198,実績!$AJ$6:$AJ$505,"&gt;"&amp;$A198,実績!$AK$6:$AK$505,"○")&gt;0,1,0))</f>
        <v>0</v>
      </c>
      <c r="CU198" s="39" t="n">
        <f aca="false">IF(CU$4=0,0,IF(COUNTIFS(実績!$W$6:$W$505,CU$3,実績!$AI$6:$AI$505,"&lt;="&amp;$A198,実績!$AJ$6:$AJ$505,"&gt;"&amp;$A198,実績!$AK$6:$AK$505,"○")&gt;0,1,0))</f>
        <v>0</v>
      </c>
      <c r="CV198" s="39" t="n">
        <f aca="false">IF(CV$4=0,0,IF(COUNTIFS(実績!$W$6:$W$505,CV$3,実績!$AI$6:$AI$505,"&lt;="&amp;$A198,実績!$AJ$6:$AJ$505,"&gt;"&amp;$A198,実績!$AK$6:$AK$505,"○")&gt;0,1,0))</f>
        <v>0</v>
      </c>
      <c r="CW198" s="39" t="n">
        <f aca="false">IF(CW$4=0,0,IF(COUNTIFS(実績!$W$6:$W$505,CW$3,実績!$AI$6:$AI$505,"&lt;="&amp;$A198,実績!$AJ$6:$AJ$505,"&gt;"&amp;$A198,実績!$AK$6:$AK$505,"○")&gt;0,1,0))</f>
        <v>0</v>
      </c>
      <c r="CX198" s="39" t="n">
        <f aca="false">IF(CX$4=0,0,IF(COUNTIFS(実績!$W$6:$W$505,CX$3,実績!$AI$6:$AI$505,"&lt;="&amp;$A198,実績!$AJ$6:$AJ$505,"&gt;"&amp;$A198,実績!$AK$6:$AK$505,"○")&gt;0,1,0))</f>
        <v>0</v>
      </c>
      <c r="CY198" s="39" t="n">
        <f aca="false">IF(CY$4=0,0,IF(COUNTIFS(実績!$W$6:$W$505,CY$3,実績!$AI$6:$AI$505,"&lt;="&amp;$A198,実績!$AJ$6:$AJ$505,"&gt;"&amp;$A198,実績!$AK$6:$AK$505,"○")&gt;0,1,0))</f>
        <v>0</v>
      </c>
      <c r="CZ198" s="39" t="n">
        <f aca="false">IF(CZ$4=0,0,IF(COUNTIFS(実績!$W$6:$W$505,CZ$3,実績!$AI$6:$AI$505,"&lt;="&amp;$A198,実績!$AJ$6:$AJ$505,"&gt;"&amp;$A198,実績!$AK$6:$AK$505,"○")&gt;0,1,0))</f>
        <v>0</v>
      </c>
      <c r="DA198" s="39" t="n">
        <f aca="false">IF(DA$4=0,0,IF(COUNTIFS(実績!$W$6:$W$505,DA$3,実績!$AI$6:$AI$505,"&lt;="&amp;$A198,実績!$AJ$6:$AJ$505,"&gt;"&amp;$A198,実績!$AK$6:$AK$505,"○")&gt;0,1,0))</f>
        <v>0</v>
      </c>
      <c r="DB198" s="39" t="n">
        <f aca="false">IF(DB$4=0,0,IF(COUNTIFS(実績!$W$6:$W$505,DB$3,実績!$AI$6:$AI$505,"&lt;="&amp;$A198,実績!$AJ$6:$AJ$505,"&gt;"&amp;$A198,実績!$AK$6:$AK$505,"○")&gt;0,1,0))</f>
        <v>0</v>
      </c>
      <c r="DC198" s="39" t="n">
        <f aca="false">IF(DC$4=0,0,IF(COUNTIFS(実績!$W$6:$W$505,DC$3,実績!$AI$6:$AI$505,"&lt;="&amp;$A198,実績!$AJ$6:$AJ$505,"&gt;"&amp;$A198,実績!$AK$6:$AK$505,"○")&gt;0,1,0))</f>
        <v>0</v>
      </c>
      <c r="DD198" s="39" t="n">
        <f aca="false">IF(DD$4=0,0,IF(COUNTIFS(実績!$W$6:$W$505,DD$3,実績!$AI$6:$AI$505,"&lt;="&amp;$A198,実績!$AJ$6:$AJ$505,"&gt;"&amp;$A198,実績!$AK$6:$AK$505,"○")&gt;0,1,0))</f>
        <v>0</v>
      </c>
      <c r="DE198" s="39" t="n">
        <f aca="false">IF(DE$4=0,0,IF(COUNTIFS(実績!$W$6:$W$505,DE$3,実績!$AI$6:$AI$505,"&lt;="&amp;$A198,実績!$AJ$6:$AJ$505,"&gt;"&amp;$A198,実績!$AK$6:$AK$505,"○")&gt;0,1,0))</f>
        <v>0</v>
      </c>
      <c r="DF198" s="39" t="n">
        <f aca="false">IF(DF$4=0,0,IF(COUNTIFS(実績!$W$6:$W$505,DF$3,実績!$AI$6:$AI$505,"&lt;="&amp;$A198,実績!$AJ$6:$AJ$505,"&gt;"&amp;$A198,実績!$AK$6:$AK$505,"○")&gt;0,1,0))</f>
        <v>0</v>
      </c>
      <c r="DG198" s="39" t="n">
        <f aca="false">IF(DG$4=0,0,IF(COUNTIFS(実績!$W$6:$W$505,DG$3,実績!$AI$6:$AI$505,"&lt;="&amp;$A198,実績!$AJ$6:$AJ$505,"&gt;"&amp;$A198,実績!$AK$6:$AK$505,"○")&gt;0,1,0))</f>
        <v>0</v>
      </c>
      <c r="DH198" s="39" t="n">
        <f aca="false">IF(DH$4=0,0,IF(COUNTIFS(実績!$W$6:$W$505,DH$3,実績!$AI$6:$AI$505,"&lt;="&amp;$A198,実績!$AJ$6:$AJ$505,"&gt;"&amp;$A198,実績!$AK$6:$AK$505,"○")&gt;0,1,0))</f>
        <v>0</v>
      </c>
      <c r="DI198" s="39" t="n">
        <f aca="false">IF(DI$4=0,0,IF(COUNTIFS(実績!$W$6:$W$505,DI$3,実績!$AI$6:$AI$505,"&lt;="&amp;$A198,実績!$AJ$6:$AJ$505,"&gt;"&amp;$A198,実績!$AK$6:$AK$505,"○")&gt;0,1,0))</f>
        <v>0</v>
      </c>
      <c r="DJ198" s="39" t="n">
        <f aca="false">IF(DJ$4=0,0,IF(COUNTIFS(実績!$W$6:$W$505,DJ$3,実績!$AI$6:$AI$505,"&lt;="&amp;$A198,実績!$AJ$6:$AJ$505,"&gt;"&amp;$A198,実績!$AK$6:$AK$505,"○")&gt;0,1,0))</f>
        <v>0</v>
      </c>
      <c r="DK198" s="39" t="n">
        <f aca="false">IF(DK$4=0,0,IF(COUNTIFS(実績!$W$6:$W$505,DK$3,実績!$AI$6:$AI$505,"&lt;="&amp;$A198,実績!$AJ$6:$AJ$505,"&gt;"&amp;$A198,実績!$AK$6:$AK$505,"○")&gt;0,1,0))</f>
        <v>0</v>
      </c>
      <c r="DL198" s="39" t="n">
        <f aca="false">IF(DL$4=0,0,IF(COUNTIFS(実績!$W$6:$W$505,DL$3,実績!$AI$6:$AI$505,"&lt;="&amp;$A198,実績!$AJ$6:$AJ$505,"&gt;"&amp;$A198,実績!$AK$6:$AK$505,"○")&gt;0,1,0))</f>
        <v>0</v>
      </c>
      <c r="DM198" s="39" t="n">
        <f aca="false">IF(DM$4=0,0,IF(COUNTIFS(実績!$W$6:$W$505,DM$3,実績!$AI$6:$AI$505,"&lt;="&amp;$A198,実績!$AJ$6:$AJ$505,"&gt;"&amp;$A198,実績!$AK$6:$AK$505,"○")&gt;0,1,0))</f>
        <v>0</v>
      </c>
      <c r="DN198" s="39" t="n">
        <f aca="false">IF(DN$4=0,0,IF(COUNTIFS(実績!$W$6:$W$505,DN$3,実績!$AI$6:$AI$505,"&lt;="&amp;$A198,実績!$AJ$6:$AJ$505,"&gt;"&amp;$A198,実績!$AK$6:$AK$505,"○")&gt;0,1,0))</f>
        <v>0</v>
      </c>
      <c r="DO198" s="39" t="n">
        <f aca="false">IF(DO$4=0,0,IF(COUNTIFS(実績!$W$6:$W$505,DO$3,実績!$AI$6:$AI$505,"&lt;="&amp;$A198,実績!$AJ$6:$AJ$505,"&gt;"&amp;$A198,実績!$AK$6:$AK$505,"○")&gt;0,1,0))</f>
        <v>0</v>
      </c>
      <c r="DP198" s="39" t="n">
        <f aca="false">IF(DP$4=0,0,IF(COUNTIFS(実績!$W$6:$W$505,DP$3,実績!$AI$6:$AI$505,"&lt;="&amp;$A198,実績!$AJ$6:$AJ$505,"&gt;"&amp;$A198,実績!$AK$6:$AK$505,"○")&gt;0,1,0))</f>
        <v>0</v>
      </c>
      <c r="DQ198" s="39" t="n">
        <f aca="false">IF(DQ$4=0,0,IF(COUNTIFS(実績!$W$6:$W$505,DQ$3,実績!$AI$6:$AI$505,"&lt;="&amp;$A198,実績!$AJ$6:$AJ$505,"&gt;"&amp;$A198,実績!$AK$6:$AK$505,"○")&gt;0,1,0))</f>
        <v>0</v>
      </c>
      <c r="DR198" s="39" t="n">
        <f aca="false">IF(DR$4=0,0,IF(COUNTIFS(実績!$W$6:$W$505,DR$3,実績!$AI$6:$AI$505,"&lt;="&amp;$A198,実績!$AJ$6:$AJ$505,"&gt;"&amp;$A198,実績!$AK$6:$AK$505,"○")&gt;0,1,0))</f>
        <v>0</v>
      </c>
      <c r="DS198" s="39" t="n">
        <f aca="false">SUM(C198:DR198)</f>
        <v>0</v>
      </c>
      <c r="DT198" s="39" t="n">
        <f aca="false">SUMPRODUCT((実績!$C$6:$C$505="○")*ISNUMBER(実績!$AM$6:$AM$505)*(実績!$AM$6:$AM$505&lt;=$A198)*(実績!$AN$6:$AN$505&gt;$A198))</f>
        <v>0</v>
      </c>
      <c r="DU198" s="39" t="n">
        <f aca="false">SUMIF($C$2:$DR$2,"製鉄曳船",C198:DR198)</f>
        <v>0</v>
      </c>
      <c r="DV198" s="39" t="n">
        <f aca="false">SUMIF($C$2:$DR$2,"西日本海運",C198:DR198)</f>
        <v>0</v>
      </c>
    </row>
    <row r="199" customFormat="false" ht="15" hidden="false" customHeight="false" outlineLevel="0" collapsed="false">
      <c r="A199" s="0" t="n">
        <v>965</v>
      </c>
      <c r="B199" s="38" t="n">
        <f aca="false">A199/1440</f>
        <v>0.670138888888889</v>
      </c>
      <c r="C199" s="39" t="n">
        <f aca="false">IF(C$4=0,0,IF(COUNTIFS(実績!$W$6:$W$505,C$3,実績!$AI$6:$AI$505,"&lt;="&amp;$A199,実績!$AJ$6:$AJ$505,"&gt;"&amp;$A199,実績!$AK$6:$AK$505,"○")&gt;0,1,0))</f>
        <v>0</v>
      </c>
      <c r="D199" s="39" t="n">
        <f aca="false">IF(D$4=0,0,IF(COUNTIFS(実績!$W$6:$W$505,D$3,実績!$AI$6:$AI$505,"&lt;="&amp;$A199,実績!$AJ$6:$AJ$505,"&gt;"&amp;$A199,実績!$AK$6:$AK$505,"○")&gt;0,1,0))</f>
        <v>0</v>
      </c>
      <c r="E199" s="39" t="n">
        <f aca="false">IF(E$4=0,0,IF(COUNTIFS(実績!$W$6:$W$505,E$3,実績!$AI$6:$AI$505,"&lt;="&amp;$A199,実績!$AJ$6:$AJ$505,"&gt;"&amp;$A199,実績!$AK$6:$AK$505,"○")&gt;0,1,0))</f>
        <v>0</v>
      </c>
      <c r="F199" s="39" t="n">
        <f aca="false">IF(F$4=0,0,IF(COUNTIFS(実績!$W$6:$W$505,F$3,実績!$AI$6:$AI$505,"&lt;="&amp;$A199,実績!$AJ$6:$AJ$505,"&gt;"&amp;$A199,実績!$AK$6:$AK$505,"○")&gt;0,1,0))</f>
        <v>0</v>
      </c>
      <c r="G199" s="39" t="n">
        <f aca="false">IF(G$4=0,0,IF(COUNTIFS(実績!$W$6:$W$505,G$3,実績!$AI$6:$AI$505,"&lt;="&amp;$A199,実績!$AJ$6:$AJ$505,"&gt;"&amp;$A199,実績!$AK$6:$AK$505,"○")&gt;0,1,0))</f>
        <v>0</v>
      </c>
      <c r="H199" s="39" t="n">
        <f aca="false">IF(H$4=0,0,IF(COUNTIFS(実績!$W$6:$W$505,H$3,実績!$AI$6:$AI$505,"&lt;="&amp;$A199,実績!$AJ$6:$AJ$505,"&gt;"&amp;$A199,実績!$AK$6:$AK$505,"○")&gt;0,1,0))</f>
        <v>0</v>
      </c>
      <c r="I199" s="39" t="n">
        <f aca="false">IF(I$4=0,0,IF(COUNTIFS(実績!$W$6:$W$505,I$3,実績!$AI$6:$AI$505,"&lt;="&amp;$A199,実績!$AJ$6:$AJ$505,"&gt;"&amp;$A199,実績!$AK$6:$AK$505,"○")&gt;0,1,0))</f>
        <v>0</v>
      </c>
      <c r="J199" s="39" t="n">
        <f aca="false">IF(J$4=0,0,IF(COUNTIFS(実績!$W$6:$W$505,J$3,実績!$AI$6:$AI$505,"&lt;="&amp;$A199,実績!$AJ$6:$AJ$505,"&gt;"&amp;$A199,実績!$AK$6:$AK$505,"○")&gt;0,1,0))</f>
        <v>0</v>
      </c>
      <c r="K199" s="39" t="n">
        <f aca="false">IF(K$4=0,0,IF(COUNTIFS(実績!$W$6:$W$505,K$3,実績!$AI$6:$AI$505,"&lt;="&amp;$A199,実績!$AJ$6:$AJ$505,"&gt;"&amp;$A199,実績!$AK$6:$AK$505,"○")&gt;0,1,0))</f>
        <v>0</v>
      </c>
      <c r="L199" s="39" t="n">
        <f aca="false">IF(L$4=0,0,IF(COUNTIFS(実績!$W$6:$W$505,L$3,実績!$AI$6:$AI$505,"&lt;="&amp;$A199,実績!$AJ$6:$AJ$505,"&gt;"&amp;$A199,実績!$AK$6:$AK$505,"○")&gt;0,1,0))</f>
        <v>0</v>
      </c>
      <c r="M199" s="39" t="n">
        <f aca="false">IF(M$4=0,0,IF(COUNTIFS(実績!$W$6:$W$505,M$3,実績!$AI$6:$AI$505,"&lt;="&amp;$A199,実績!$AJ$6:$AJ$505,"&gt;"&amp;$A199,実績!$AK$6:$AK$505,"○")&gt;0,1,0))</f>
        <v>0</v>
      </c>
      <c r="N199" s="39" t="n">
        <f aca="false">IF(N$4=0,0,IF(COUNTIFS(実績!$W$6:$W$505,N$3,実績!$AI$6:$AI$505,"&lt;="&amp;$A199,実績!$AJ$6:$AJ$505,"&gt;"&amp;$A199,実績!$AK$6:$AK$505,"○")&gt;0,1,0))</f>
        <v>0</v>
      </c>
      <c r="O199" s="39" t="n">
        <f aca="false">IF(O$4=0,0,IF(COUNTIFS(実績!$W$6:$W$505,O$3,実績!$AI$6:$AI$505,"&lt;="&amp;$A199,実績!$AJ$6:$AJ$505,"&gt;"&amp;$A199,実績!$AK$6:$AK$505,"○")&gt;0,1,0))</f>
        <v>0</v>
      </c>
      <c r="P199" s="39" t="n">
        <f aca="false">IF(P$4=0,0,IF(COUNTIFS(実績!$W$6:$W$505,P$3,実績!$AI$6:$AI$505,"&lt;="&amp;$A199,実績!$AJ$6:$AJ$505,"&gt;"&amp;$A199,実績!$AK$6:$AK$505,"○")&gt;0,1,0))</f>
        <v>0</v>
      </c>
      <c r="Q199" s="39" t="n">
        <f aca="false">IF(Q$4=0,0,IF(COUNTIFS(実績!$W$6:$W$505,Q$3,実績!$AI$6:$AI$505,"&lt;="&amp;$A199,実績!$AJ$6:$AJ$505,"&gt;"&amp;$A199,実績!$AK$6:$AK$505,"○")&gt;0,1,0))</f>
        <v>0</v>
      </c>
      <c r="R199" s="39" t="n">
        <f aca="false">IF(R$4=0,0,IF(COUNTIFS(実績!$W$6:$W$505,R$3,実績!$AI$6:$AI$505,"&lt;="&amp;$A199,実績!$AJ$6:$AJ$505,"&gt;"&amp;$A199,実績!$AK$6:$AK$505,"○")&gt;0,1,0))</f>
        <v>0</v>
      </c>
      <c r="S199" s="39" t="n">
        <f aca="false">IF(S$4=0,0,IF(COUNTIFS(実績!$W$6:$W$505,S$3,実績!$AI$6:$AI$505,"&lt;="&amp;$A199,実績!$AJ$6:$AJ$505,"&gt;"&amp;$A199,実績!$AK$6:$AK$505,"○")&gt;0,1,0))</f>
        <v>0</v>
      </c>
      <c r="T199" s="39" t="n">
        <f aca="false">IF(T$4=0,0,IF(COUNTIFS(実績!$W$6:$W$505,T$3,実績!$AI$6:$AI$505,"&lt;="&amp;$A199,実績!$AJ$6:$AJ$505,"&gt;"&amp;$A199,実績!$AK$6:$AK$505,"○")&gt;0,1,0))</f>
        <v>0</v>
      </c>
      <c r="U199" s="39" t="n">
        <f aca="false">IF(U$4=0,0,IF(COUNTIFS(実績!$W$6:$W$505,U$3,実績!$AI$6:$AI$505,"&lt;="&amp;$A199,実績!$AJ$6:$AJ$505,"&gt;"&amp;$A199,実績!$AK$6:$AK$505,"○")&gt;0,1,0))</f>
        <v>0</v>
      </c>
      <c r="V199" s="39" t="n">
        <f aca="false">IF(V$4=0,0,IF(COUNTIFS(実績!$W$6:$W$505,V$3,実績!$AI$6:$AI$505,"&lt;="&amp;$A199,実績!$AJ$6:$AJ$505,"&gt;"&amp;$A199,実績!$AK$6:$AK$505,"○")&gt;0,1,0))</f>
        <v>0</v>
      </c>
      <c r="W199" s="39" t="n">
        <f aca="false">IF(W$4=0,0,IF(COUNTIFS(実績!$W$6:$W$505,W$3,実績!$AI$6:$AI$505,"&lt;="&amp;$A199,実績!$AJ$6:$AJ$505,"&gt;"&amp;$A199,実績!$AK$6:$AK$505,"○")&gt;0,1,0))</f>
        <v>0</v>
      </c>
      <c r="X199" s="39" t="n">
        <f aca="false">IF(X$4=0,0,IF(COUNTIFS(実績!$W$6:$W$505,X$3,実績!$AI$6:$AI$505,"&lt;="&amp;$A199,実績!$AJ$6:$AJ$505,"&gt;"&amp;$A199,実績!$AK$6:$AK$505,"○")&gt;0,1,0))</f>
        <v>0</v>
      </c>
      <c r="Y199" s="39" t="n">
        <f aca="false">IF(Y$4=0,0,IF(COUNTIFS(実績!$W$6:$W$505,Y$3,実績!$AI$6:$AI$505,"&lt;="&amp;$A199,実績!$AJ$6:$AJ$505,"&gt;"&amp;$A199,実績!$AK$6:$AK$505,"○")&gt;0,1,0))</f>
        <v>0</v>
      </c>
      <c r="Z199" s="39" t="n">
        <f aca="false">IF(Z$4=0,0,IF(COUNTIFS(実績!$W$6:$W$505,Z$3,実績!$AI$6:$AI$505,"&lt;="&amp;$A199,実績!$AJ$6:$AJ$505,"&gt;"&amp;$A199,実績!$AK$6:$AK$505,"○")&gt;0,1,0))</f>
        <v>0</v>
      </c>
      <c r="AA199" s="39" t="n">
        <f aca="false">IF(AA$4=0,0,IF(COUNTIFS(実績!$W$6:$W$505,AA$3,実績!$AI$6:$AI$505,"&lt;="&amp;$A199,実績!$AJ$6:$AJ$505,"&gt;"&amp;$A199,実績!$AK$6:$AK$505,"○")&gt;0,1,0))</f>
        <v>0</v>
      </c>
      <c r="AB199" s="39" t="n">
        <f aca="false">IF(AB$4=0,0,IF(COUNTIFS(実績!$W$6:$W$505,AB$3,実績!$AI$6:$AI$505,"&lt;="&amp;$A199,実績!$AJ$6:$AJ$505,"&gt;"&amp;$A199,実績!$AK$6:$AK$505,"○")&gt;0,1,0))</f>
        <v>0</v>
      </c>
      <c r="AC199" s="39" t="n">
        <f aca="false">IF(AC$4=0,0,IF(COUNTIFS(実績!$W$6:$W$505,AC$3,実績!$AI$6:$AI$505,"&lt;="&amp;$A199,実績!$AJ$6:$AJ$505,"&gt;"&amp;$A199,実績!$AK$6:$AK$505,"○")&gt;0,1,0))</f>
        <v>0</v>
      </c>
      <c r="AD199" s="39" t="n">
        <f aca="false">IF(AD$4=0,0,IF(COUNTIFS(実績!$W$6:$W$505,AD$3,実績!$AI$6:$AI$505,"&lt;="&amp;$A199,実績!$AJ$6:$AJ$505,"&gt;"&amp;$A199,実績!$AK$6:$AK$505,"○")&gt;0,1,0))</f>
        <v>0</v>
      </c>
      <c r="AE199" s="39" t="n">
        <f aca="false">IF(AE$4=0,0,IF(COUNTIFS(実績!$W$6:$W$505,AE$3,実績!$AI$6:$AI$505,"&lt;="&amp;$A199,実績!$AJ$6:$AJ$505,"&gt;"&amp;$A199,実績!$AK$6:$AK$505,"○")&gt;0,1,0))</f>
        <v>0</v>
      </c>
      <c r="AF199" s="39" t="n">
        <f aca="false">IF(AF$4=0,0,IF(COUNTIFS(実績!$W$6:$W$505,AF$3,実績!$AI$6:$AI$505,"&lt;="&amp;$A199,実績!$AJ$6:$AJ$505,"&gt;"&amp;$A199,実績!$AK$6:$AK$505,"○")&gt;0,1,0))</f>
        <v>0</v>
      </c>
      <c r="AG199" s="39" t="n">
        <f aca="false">IF(AG$4=0,0,IF(COUNTIFS(実績!$W$6:$W$505,AG$3,実績!$AI$6:$AI$505,"&lt;="&amp;$A199,実績!$AJ$6:$AJ$505,"&gt;"&amp;$A199,実績!$AK$6:$AK$505,"○")&gt;0,1,0))</f>
        <v>0</v>
      </c>
      <c r="AH199" s="39" t="n">
        <f aca="false">IF(AH$4=0,0,IF(COUNTIFS(実績!$W$6:$W$505,AH$3,実績!$AI$6:$AI$505,"&lt;="&amp;$A199,実績!$AJ$6:$AJ$505,"&gt;"&amp;$A199,実績!$AK$6:$AK$505,"○")&gt;0,1,0))</f>
        <v>0</v>
      </c>
      <c r="AI199" s="39" t="n">
        <f aca="false">IF(AI$4=0,0,IF(COUNTIFS(実績!$W$6:$W$505,AI$3,実績!$AI$6:$AI$505,"&lt;="&amp;$A199,実績!$AJ$6:$AJ$505,"&gt;"&amp;$A199,実績!$AK$6:$AK$505,"○")&gt;0,1,0))</f>
        <v>0</v>
      </c>
      <c r="AJ199" s="39" t="n">
        <f aca="false">IF(AJ$4=0,0,IF(COUNTIFS(実績!$W$6:$W$505,AJ$3,実績!$AI$6:$AI$505,"&lt;="&amp;$A199,実績!$AJ$6:$AJ$505,"&gt;"&amp;$A199,実績!$AK$6:$AK$505,"○")&gt;0,1,0))</f>
        <v>0</v>
      </c>
      <c r="AK199" s="39" t="n">
        <f aca="false">IF(AK$4=0,0,IF(COUNTIFS(実績!$W$6:$W$505,AK$3,実績!$AI$6:$AI$505,"&lt;="&amp;$A199,実績!$AJ$6:$AJ$505,"&gt;"&amp;$A199,実績!$AK$6:$AK$505,"○")&gt;0,1,0))</f>
        <v>0</v>
      </c>
      <c r="AL199" s="39" t="n">
        <f aca="false">IF(AL$4=0,0,IF(COUNTIFS(実績!$W$6:$W$505,AL$3,実績!$AI$6:$AI$505,"&lt;="&amp;$A199,実績!$AJ$6:$AJ$505,"&gt;"&amp;$A199,実績!$AK$6:$AK$505,"○")&gt;0,1,0))</f>
        <v>0</v>
      </c>
      <c r="AM199" s="39" t="n">
        <f aca="false">IF(AM$4=0,0,IF(COUNTIFS(実績!$W$6:$W$505,AM$3,実績!$AI$6:$AI$505,"&lt;="&amp;$A199,実績!$AJ$6:$AJ$505,"&gt;"&amp;$A199,実績!$AK$6:$AK$505,"○")&gt;0,1,0))</f>
        <v>0</v>
      </c>
      <c r="AN199" s="39" t="n">
        <f aca="false">IF(AN$4=0,0,IF(COUNTIFS(実績!$W$6:$W$505,AN$3,実績!$AI$6:$AI$505,"&lt;="&amp;$A199,実績!$AJ$6:$AJ$505,"&gt;"&amp;$A199,実績!$AK$6:$AK$505,"○")&gt;0,1,0))</f>
        <v>0</v>
      </c>
      <c r="AO199" s="39" t="n">
        <f aca="false">IF(AO$4=0,0,IF(COUNTIFS(実績!$W$6:$W$505,AO$3,実績!$AI$6:$AI$505,"&lt;="&amp;$A199,実績!$AJ$6:$AJ$505,"&gt;"&amp;$A199,実績!$AK$6:$AK$505,"○")&gt;0,1,0))</f>
        <v>0</v>
      </c>
      <c r="AP199" s="39" t="n">
        <f aca="false">IF(AP$4=0,0,IF(COUNTIFS(実績!$W$6:$W$505,AP$3,実績!$AI$6:$AI$505,"&lt;="&amp;$A199,実績!$AJ$6:$AJ$505,"&gt;"&amp;$A199,実績!$AK$6:$AK$505,"○")&gt;0,1,0))</f>
        <v>0</v>
      </c>
      <c r="AQ199" s="39" t="n">
        <f aca="false">IF(AQ$4=0,0,IF(COUNTIFS(実績!$W$6:$W$505,AQ$3,実績!$AI$6:$AI$505,"&lt;="&amp;$A199,実績!$AJ$6:$AJ$505,"&gt;"&amp;$A199,実績!$AK$6:$AK$505,"○")&gt;0,1,0))</f>
        <v>0</v>
      </c>
      <c r="AR199" s="39" t="n">
        <f aca="false">IF(AR$4=0,0,IF(COUNTIFS(実績!$W$6:$W$505,AR$3,実績!$AI$6:$AI$505,"&lt;="&amp;$A199,実績!$AJ$6:$AJ$505,"&gt;"&amp;$A199,実績!$AK$6:$AK$505,"○")&gt;0,1,0))</f>
        <v>0</v>
      </c>
      <c r="AS199" s="39" t="n">
        <f aca="false">IF(AS$4=0,0,IF(COUNTIFS(実績!$W$6:$W$505,AS$3,実績!$AI$6:$AI$505,"&lt;="&amp;$A199,実績!$AJ$6:$AJ$505,"&gt;"&amp;$A199,実績!$AK$6:$AK$505,"○")&gt;0,1,0))</f>
        <v>0</v>
      </c>
      <c r="AT199" s="39" t="n">
        <f aca="false">IF(AT$4=0,0,IF(COUNTIFS(実績!$W$6:$W$505,AT$3,実績!$AI$6:$AI$505,"&lt;="&amp;$A199,実績!$AJ$6:$AJ$505,"&gt;"&amp;$A199,実績!$AK$6:$AK$505,"○")&gt;0,1,0))</f>
        <v>0</v>
      </c>
      <c r="AU199" s="39" t="n">
        <f aca="false">IF(AU$4=0,0,IF(COUNTIFS(実績!$W$6:$W$505,AU$3,実績!$AI$6:$AI$505,"&lt;="&amp;$A199,実績!$AJ$6:$AJ$505,"&gt;"&amp;$A199,実績!$AK$6:$AK$505,"○")&gt;0,1,0))</f>
        <v>0</v>
      </c>
      <c r="AV199" s="39" t="n">
        <f aca="false">IF(AV$4=0,0,IF(COUNTIFS(実績!$W$6:$W$505,AV$3,実績!$AI$6:$AI$505,"&lt;="&amp;$A199,実績!$AJ$6:$AJ$505,"&gt;"&amp;$A199,実績!$AK$6:$AK$505,"○")&gt;0,1,0))</f>
        <v>0</v>
      </c>
      <c r="AW199" s="39" t="n">
        <f aca="false">IF(AW$4=0,0,IF(COUNTIFS(実績!$W$6:$W$505,AW$3,実績!$AI$6:$AI$505,"&lt;="&amp;$A199,実績!$AJ$6:$AJ$505,"&gt;"&amp;$A199,実績!$AK$6:$AK$505,"○")&gt;0,1,0))</f>
        <v>0</v>
      </c>
      <c r="AX199" s="39" t="n">
        <f aca="false">IF(AX$4=0,0,IF(COUNTIFS(実績!$W$6:$W$505,AX$3,実績!$AI$6:$AI$505,"&lt;="&amp;$A199,実績!$AJ$6:$AJ$505,"&gt;"&amp;$A199,実績!$AK$6:$AK$505,"○")&gt;0,1,0))</f>
        <v>0</v>
      </c>
      <c r="AY199" s="39" t="n">
        <f aca="false">IF(AY$4=0,0,IF(COUNTIFS(実績!$W$6:$W$505,AY$3,実績!$AI$6:$AI$505,"&lt;="&amp;$A199,実績!$AJ$6:$AJ$505,"&gt;"&amp;$A199,実績!$AK$6:$AK$505,"○")&gt;0,1,0))</f>
        <v>0</v>
      </c>
      <c r="AZ199" s="39" t="n">
        <f aca="false">IF(AZ$4=0,0,IF(COUNTIFS(実績!$W$6:$W$505,AZ$3,実績!$AI$6:$AI$505,"&lt;="&amp;$A199,実績!$AJ$6:$AJ$505,"&gt;"&amp;$A199,実績!$AK$6:$AK$505,"○")&gt;0,1,0))</f>
        <v>0</v>
      </c>
      <c r="BA199" s="39" t="n">
        <f aca="false">IF(BA$4=0,0,IF(COUNTIFS(実績!$W$6:$W$505,BA$3,実績!$AI$6:$AI$505,"&lt;="&amp;$A199,実績!$AJ$6:$AJ$505,"&gt;"&amp;$A199,実績!$AK$6:$AK$505,"○")&gt;0,1,0))</f>
        <v>0</v>
      </c>
      <c r="BB199" s="39" t="n">
        <f aca="false">IF(BB$4=0,0,IF(COUNTIFS(実績!$W$6:$W$505,BB$3,実績!$AI$6:$AI$505,"&lt;="&amp;$A199,実績!$AJ$6:$AJ$505,"&gt;"&amp;$A199,実績!$AK$6:$AK$505,"○")&gt;0,1,0))</f>
        <v>0</v>
      </c>
      <c r="BC199" s="39" t="n">
        <f aca="false">IF(BC$4=0,0,IF(COUNTIFS(実績!$W$6:$W$505,BC$3,実績!$AI$6:$AI$505,"&lt;="&amp;$A199,実績!$AJ$6:$AJ$505,"&gt;"&amp;$A199,実績!$AK$6:$AK$505,"○")&gt;0,1,0))</f>
        <v>0</v>
      </c>
      <c r="BD199" s="39" t="n">
        <f aca="false">IF(BD$4=0,0,IF(COUNTIFS(実績!$W$6:$W$505,BD$3,実績!$AI$6:$AI$505,"&lt;="&amp;$A199,実績!$AJ$6:$AJ$505,"&gt;"&amp;$A199,実績!$AK$6:$AK$505,"○")&gt;0,1,0))</f>
        <v>0</v>
      </c>
      <c r="BE199" s="39" t="n">
        <f aca="false">IF(BE$4=0,0,IF(COUNTIFS(実績!$W$6:$W$505,BE$3,実績!$AI$6:$AI$505,"&lt;="&amp;$A199,実績!$AJ$6:$AJ$505,"&gt;"&amp;$A199,実績!$AK$6:$AK$505,"○")&gt;0,1,0))</f>
        <v>0</v>
      </c>
      <c r="BF199" s="39" t="n">
        <f aca="false">IF(BF$4=0,0,IF(COUNTIFS(実績!$W$6:$W$505,BF$3,実績!$AI$6:$AI$505,"&lt;="&amp;$A199,実績!$AJ$6:$AJ$505,"&gt;"&amp;$A199,実績!$AK$6:$AK$505,"○")&gt;0,1,0))</f>
        <v>0</v>
      </c>
      <c r="BG199" s="39" t="n">
        <f aca="false">IF(BG$4=0,0,IF(COUNTIFS(実績!$W$6:$W$505,BG$3,実績!$AI$6:$AI$505,"&lt;="&amp;$A199,実績!$AJ$6:$AJ$505,"&gt;"&amp;$A199,実績!$AK$6:$AK$505,"○")&gt;0,1,0))</f>
        <v>0</v>
      </c>
      <c r="BH199" s="39" t="n">
        <f aca="false">IF(BH$4=0,0,IF(COUNTIFS(実績!$W$6:$W$505,BH$3,実績!$AI$6:$AI$505,"&lt;="&amp;$A199,実績!$AJ$6:$AJ$505,"&gt;"&amp;$A199,実績!$AK$6:$AK$505,"○")&gt;0,1,0))</f>
        <v>0</v>
      </c>
      <c r="BI199" s="39" t="n">
        <f aca="false">IF(BI$4=0,0,IF(COUNTIFS(実績!$W$6:$W$505,BI$3,実績!$AI$6:$AI$505,"&lt;="&amp;$A199,実績!$AJ$6:$AJ$505,"&gt;"&amp;$A199,実績!$AK$6:$AK$505,"○")&gt;0,1,0))</f>
        <v>0</v>
      </c>
      <c r="BJ199" s="39" t="n">
        <f aca="false">IF(BJ$4=0,0,IF(COUNTIFS(実績!$W$6:$W$505,BJ$3,実績!$AI$6:$AI$505,"&lt;="&amp;$A199,実績!$AJ$6:$AJ$505,"&gt;"&amp;$A199,実績!$AK$6:$AK$505,"○")&gt;0,1,0))</f>
        <v>0</v>
      </c>
      <c r="BK199" s="39" t="n">
        <f aca="false">IF(BK$4=0,0,IF(COUNTIFS(実績!$W$6:$W$505,BK$3,実績!$AI$6:$AI$505,"&lt;="&amp;$A199,実績!$AJ$6:$AJ$505,"&gt;"&amp;$A199,実績!$AK$6:$AK$505,"○")&gt;0,1,0))</f>
        <v>0</v>
      </c>
      <c r="BL199" s="39" t="n">
        <f aca="false">IF(BL$4=0,0,IF(COUNTIFS(実績!$W$6:$W$505,BL$3,実績!$AI$6:$AI$505,"&lt;="&amp;$A199,実績!$AJ$6:$AJ$505,"&gt;"&amp;$A199,実績!$AK$6:$AK$505,"○")&gt;0,1,0))</f>
        <v>0</v>
      </c>
      <c r="BM199" s="39" t="n">
        <f aca="false">IF(BM$4=0,0,IF(COUNTIFS(実績!$W$6:$W$505,BM$3,実績!$AI$6:$AI$505,"&lt;="&amp;$A199,実績!$AJ$6:$AJ$505,"&gt;"&amp;$A199,実績!$AK$6:$AK$505,"○")&gt;0,1,0))</f>
        <v>0</v>
      </c>
      <c r="BN199" s="39" t="n">
        <f aca="false">IF(BN$4=0,0,IF(COUNTIFS(実績!$W$6:$W$505,BN$3,実績!$AI$6:$AI$505,"&lt;="&amp;$A199,実績!$AJ$6:$AJ$505,"&gt;"&amp;$A199,実績!$AK$6:$AK$505,"○")&gt;0,1,0))</f>
        <v>0</v>
      </c>
      <c r="BO199" s="39" t="n">
        <f aca="false">IF(BO$4=0,0,IF(COUNTIFS(実績!$W$6:$W$505,BO$3,実績!$AI$6:$AI$505,"&lt;="&amp;$A199,実績!$AJ$6:$AJ$505,"&gt;"&amp;$A199,実績!$AK$6:$AK$505,"○")&gt;0,1,0))</f>
        <v>0</v>
      </c>
      <c r="BP199" s="39" t="n">
        <f aca="false">IF(BP$4=0,0,IF(COUNTIFS(実績!$W$6:$W$505,BP$3,実績!$AI$6:$AI$505,"&lt;="&amp;$A199,実績!$AJ$6:$AJ$505,"&gt;"&amp;$A199,実績!$AK$6:$AK$505,"○")&gt;0,1,0))</f>
        <v>0</v>
      </c>
      <c r="BQ199" s="39" t="n">
        <f aca="false">IF(BQ$4=0,0,IF(COUNTIFS(実績!$W$6:$W$505,BQ$3,実績!$AI$6:$AI$505,"&lt;="&amp;$A199,実績!$AJ$6:$AJ$505,"&gt;"&amp;$A199,実績!$AK$6:$AK$505,"○")&gt;0,1,0))</f>
        <v>0</v>
      </c>
      <c r="BR199" s="39" t="n">
        <f aca="false">IF(BR$4=0,0,IF(COUNTIFS(実績!$W$6:$W$505,BR$3,実績!$AI$6:$AI$505,"&lt;="&amp;$A199,実績!$AJ$6:$AJ$505,"&gt;"&amp;$A199,実績!$AK$6:$AK$505,"○")&gt;0,1,0))</f>
        <v>0</v>
      </c>
      <c r="BS199" s="39" t="n">
        <f aca="false">IF(BS$4=0,0,IF(COUNTIFS(実績!$W$6:$W$505,BS$3,実績!$AI$6:$AI$505,"&lt;="&amp;$A199,実績!$AJ$6:$AJ$505,"&gt;"&amp;$A199,実績!$AK$6:$AK$505,"○")&gt;0,1,0))</f>
        <v>0</v>
      </c>
      <c r="BT199" s="39" t="n">
        <f aca="false">IF(BT$4=0,0,IF(COUNTIFS(実績!$W$6:$W$505,BT$3,実績!$AI$6:$AI$505,"&lt;="&amp;$A199,実績!$AJ$6:$AJ$505,"&gt;"&amp;$A199,実績!$AK$6:$AK$505,"○")&gt;0,1,0))</f>
        <v>0</v>
      </c>
      <c r="BU199" s="39" t="n">
        <f aca="false">IF(BU$4=0,0,IF(COUNTIFS(実績!$W$6:$W$505,BU$3,実績!$AI$6:$AI$505,"&lt;="&amp;$A199,実績!$AJ$6:$AJ$505,"&gt;"&amp;$A199,実績!$AK$6:$AK$505,"○")&gt;0,1,0))</f>
        <v>0</v>
      </c>
      <c r="BV199" s="39" t="n">
        <f aca="false">IF(BV$4=0,0,IF(COUNTIFS(実績!$W$6:$W$505,BV$3,実績!$AI$6:$AI$505,"&lt;="&amp;$A199,実績!$AJ$6:$AJ$505,"&gt;"&amp;$A199,実績!$AK$6:$AK$505,"○")&gt;0,1,0))</f>
        <v>0</v>
      </c>
      <c r="BW199" s="39" t="n">
        <f aca="false">IF(BW$4=0,0,IF(COUNTIFS(実績!$W$6:$W$505,BW$3,実績!$AI$6:$AI$505,"&lt;="&amp;$A199,実績!$AJ$6:$AJ$505,"&gt;"&amp;$A199,実績!$AK$6:$AK$505,"○")&gt;0,1,0))</f>
        <v>0</v>
      </c>
      <c r="BX199" s="39" t="n">
        <f aca="false">IF(BX$4=0,0,IF(COUNTIFS(実績!$W$6:$W$505,BX$3,実績!$AI$6:$AI$505,"&lt;="&amp;$A199,実績!$AJ$6:$AJ$505,"&gt;"&amp;$A199,実績!$AK$6:$AK$505,"○")&gt;0,1,0))</f>
        <v>0</v>
      </c>
      <c r="BY199" s="39" t="n">
        <f aca="false">IF(BY$4=0,0,IF(COUNTIFS(実績!$W$6:$W$505,BY$3,実績!$AI$6:$AI$505,"&lt;="&amp;$A199,実績!$AJ$6:$AJ$505,"&gt;"&amp;$A199,実績!$AK$6:$AK$505,"○")&gt;0,1,0))</f>
        <v>0</v>
      </c>
      <c r="BZ199" s="39" t="n">
        <f aca="false">IF(BZ$4=0,0,IF(COUNTIFS(実績!$W$6:$W$505,BZ$3,実績!$AI$6:$AI$505,"&lt;="&amp;$A199,実績!$AJ$6:$AJ$505,"&gt;"&amp;$A199,実績!$AK$6:$AK$505,"○")&gt;0,1,0))</f>
        <v>0</v>
      </c>
      <c r="CA199" s="39" t="n">
        <f aca="false">IF(CA$4=0,0,IF(COUNTIFS(実績!$W$6:$W$505,CA$3,実績!$AI$6:$AI$505,"&lt;="&amp;$A199,実績!$AJ$6:$AJ$505,"&gt;"&amp;$A199,実績!$AK$6:$AK$505,"○")&gt;0,1,0))</f>
        <v>0</v>
      </c>
      <c r="CB199" s="39" t="n">
        <f aca="false">IF(CB$4=0,0,IF(COUNTIFS(実績!$W$6:$W$505,CB$3,実績!$AI$6:$AI$505,"&lt;="&amp;$A199,実績!$AJ$6:$AJ$505,"&gt;"&amp;$A199,実績!$AK$6:$AK$505,"○")&gt;0,1,0))</f>
        <v>0</v>
      </c>
      <c r="CC199" s="39" t="n">
        <f aca="false">IF(CC$4=0,0,IF(COUNTIFS(実績!$W$6:$W$505,CC$3,実績!$AI$6:$AI$505,"&lt;="&amp;$A199,実績!$AJ$6:$AJ$505,"&gt;"&amp;$A199,実績!$AK$6:$AK$505,"○")&gt;0,1,0))</f>
        <v>0</v>
      </c>
      <c r="CD199" s="39" t="n">
        <f aca="false">IF(CD$4=0,0,IF(COUNTIFS(実績!$W$6:$W$505,CD$3,実績!$AI$6:$AI$505,"&lt;="&amp;$A199,実績!$AJ$6:$AJ$505,"&gt;"&amp;$A199,実績!$AK$6:$AK$505,"○")&gt;0,1,0))</f>
        <v>0</v>
      </c>
      <c r="CE199" s="39" t="n">
        <f aca="false">IF(CE$4=0,0,IF(COUNTIFS(実績!$W$6:$W$505,CE$3,実績!$AI$6:$AI$505,"&lt;="&amp;$A199,実績!$AJ$6:$AJ$505,"&gt;"&amp;$A199,実績!$AK$6:$AK$505,"○")&gt;0,1,0))</f>
        <v>0</v>
      </c>
      <c r="CF199" s="39" t="n">
        <f aca="false">IF(CF$4=0,0,IF(COUNTIFS(実績!$W$6:$W$505,CF$3,実績!$AI$6:$AI$505,"&lt;="&amp;$A199,実績!$AJ$6:$AJ$505,"&gt;"&amp;$A199,実績!$AK$6:$AK$505,"○")&gt;0,1,0))</f>
        <v>0</v>
      </c>
      <c r="CG199" s="39" t="n">
        <f aca="false">IF(CG$4=0,0,IF(COUNTIFS(実績!$W$6:$W$505,CG$3,実績!$AI$6:$AI$505,"&lt;="&amp;$A199,実績!$AJ$6:$AJ$505,"&gt;"&amp;$A199,実績!$AK$6:$AK$505,"○")&gt;0,1,0))</f>
        <v>0</v>
      </c>
      <c r="CH199" s="39" t="n">
        <f aca="false">IF(CH$4=0,0,IF(COUNTIFS(実績!$W$6:$W$505,CH$3,実績!$AI$6:$AI$505,"&lt;="&amp;$A199,実績!$AJ$6:$AJ$505,"&gt;"&amp;$A199,実績!$AK$6:$AK$505,"○")&gt;0,1,0))</f>
        <v>0</v>
      </c>
      <c r="CI199" s="39" t="n">
        <f aca="false">IF(CI$4=0,0,IF(COUNTIFS(実績!$W$6:$W$505,CI$3,実績!$AI$6:$AI$505,"&lt;="&amp;$A199,実績!$AJ$6:$AJ$505,"&gt;"&amp;$A199,実績!$AK$6:$AK$505,"○")&gt;0,1,0))</f>
        <v>0</v>
      </c>
      <c r="CJ199" s="39" t="n">
        <f aca="false">IF(CJ$4=0,0,IF(COUNTIFS(実績!$W$6:$W$505,CJ$3,実績!$AI$6:$AI$505,"&lt;="&amp;$A199,実績!$AJ$6:$AJ$505,"&gt;"&amp;$A199,実績!$AK$6:$AK$505,"○")&gt;0,1,0))</f>
        <v>0</v>
      </c>
      <c r="CK199" s="39" t="n">
        <f aca="false">IF(CK$4=0,0,IF(COUNTIFS(実績!$W$6:$W$505,CK$3,実績!$AI$6:$AI$505,"&lt;="&amp;$A199,実績!$AJ$6:$AJ$505,"&gt;"&amp;$A199,実績!$AK$6:$AK$505,"○")&gt;0,1,0))</f>
        <v>0</v>
      </c>
      <c r="CL199" s="39" t="n">
        <f aca="false">IF(CL$4=0,0,IF(COUNTIFS(実績!$W$6:$W$505,CL$3,実績!$AI$6:$AI$505,"&lt;="&amp;$A199,実績!$AJ$6:$AJ$505,"&gt;"&amp;$A199,実績!$AK$6:$AK$505,"○")&gt;0,1,0))</f>
        <v>0</v>
      </c>
      <c r="CM199" s="39" t="n">
        <f aca="false">IF(CM$4=0,0,IF(COUNTIFS(実績!$W$6:$W$505,CM$3,実績!$AI$6:$AI$505,"&lt;="&amp;$A199,実績!$AJ$6:$AJ$505,"&gt;"&amp;$A199,実績!$AK$6:$AK$505,"○")&gt;0,1,0))</f>
        <v>0</v>
      </c>
      <c r="CN199" s="39" t="n">
        <f aca="false">IF(CN$4=0,0,IF(COUNTIFS(実績!$W$6:$W$505,CN$3,実績!$AI$6:$AI$505,"&lt;="&amp;$A199,実績!$AJ$6:$AJ$505,"&gt;"&amp;$A199,実績!$AK$6:$AK$505,"○")&gt;0,1,0))</f>
        <v>0</v>
      </c>
      <c r="CO199" s="39" t="n">
        <f aca="false">IF(CO$4=0,0,IF(COUNTIFS(実績!$W$6:$W$505,CO$3,実績!$AI$6:$AI$505,"&lt;="&amp;$A199,実績!$AJ$6:$AJ$505,"&gt;"&amp;$A199,実績!$AK$6:$AK$505,"○")&gt;0,1,0))</f>
        <v>0</v>
      </c>
      <c r="CP199" s="39" t="n">
        <f aca="false">IF(CP$4=0,0,IF(COUNTIFS(実績!$W$6:$W$505,CP$3,実績!$AI$6:$AI$505,"&lt;="&amp;$A199,実績!$AJ$6:$AJ$505,"&gt;"&amp;$A199,実績!$AK$6:$AK$505,"○")&gt;0,1,0))</f>
        <v>0</v>
      </c>
      <c r="CQ199" s="39" t="n">
        <f aca="false">IF(CQ$4=0,0,IF(COUNTIFS(実績!$W$6:$W$505,CQ$3,実績!$AI$6:$AI$505,"&lt;="&amp;$A199,実績!$AJ$6:$AJ$505,"&gt;"&amp;$A199,実績!$AK$6:$AK$505,"○")&gt;0,1,0))</f>
        <v>0</v>
      </c>
      <c r="CR199" s="39" t="n">
        <f aca="false">IF(CR$4=0,0,IF(COUNTIFS(実績!$W$6:$W$505,CR$3,実績!$AI$6:$AI$505,"&lt;="&amp;$A199,実績!$AJ$6:$AJ$505,"&gt;"&amp;$A199,実績!$AK$6:$AK$505,"○")&gt;0,1,0))</f>
        <v>0</v>
      </c>
      <c r="CS199" s="39" t="n">
        <f aca="false">IF(CS$4=0,0,IF(COUNTIFS(実績!$W$6:$W$505,CS$3,実績!$AI$6:$AI$505,"&lt;="&amp;$A199,実績!$AJ$6:$AJ$505,"&gt;"&amp;$A199,実績!$AK$6:$AK$505,"○")&gt;0,1,0))</f>
        <v>0</v>
      </c>
      <c r="CT199" s="39" t="n">
        <f aca="false">IF(CT$4=0,0,IF(COUNTIFS(実績!$W$6:$W$505,CT$3,実績!$AI$6:$AI$505,"&lt;="&amp;$A199,実績!$AJ$6:$AJ$505,"&gt;"&amp;$A199,実績!$AK$6:$AK$505,"○")&gt;0,1,0))</f>
        <v>0</v>
      </c>
      <c r="CU199" s="39" t="n">
        <f aca="false">IF(CU$4=0,0,IF(COUNTIFS(実績!$W$6:$W$505,CU$3,実績!$AI$6:$AI$505,"&lt;="&amp;$A199,実績!$AJ$6:$AJ$505,"&gt;"&amp;$A199,実績!$AK$6:$AK$505,"○")&gt;0,1,0))</f>
        <v>0</v>
      </c>
      <c r="CV199" s="39" t="n">
        <f aca="false">IF(CV$4=0,0,IF(COUNTIFS(実績!$W$6:$W$505,CV$3,実績!$AI$6:$AI$505,"&lt;="&amp;$A199,実績!$AJ$6:$AJ$505,"&gt;"&amp;$A199,実績!$AK$6:$AK$505,"○")&gt;0,1,0))</f>
        <v>0</v>
      </c>
      <c r="CW199" s="39" t="n">
        <f aca="false">IF(CW$4=0,0,IF(COUNTIFS(実績!$W$6:$W$505,CW$3,実績!$AI$6:$AI$505,"&lt;="&amp;$A199,実績!$AJ$6:$AJ$505,"&gt;"&amp;$A199,実績!$AK$6:$AK$505,"○")&gt;0,1,0))</f>
        <v>0</v>
      </c>
      <c r="CX199" s="39" t="n">
        <f aca="false">IF(CX$4=0,0,IF(COUNTIFS(実績!$W$6:$W$505,CX$3,実績!$AI$6:$AI$505,"&lt;="&amp;$A199,実績!$AJ$6:$AJ$505,"&gt;"&amp;$A199,実績!$AK$6:$AK$505,"○")&gt;0,1,0))</f>
        <v>0</v>
      </c>
      <c r="CY199" s="39" t="n">
        <f aca="false">IF(CY$4=0,0,IF(COUNTIFS(実績!$W$6:$W$505,CY$3,実績!$AI$6:$AI$505,"&lt;="&amp;$A199,実績!$AJ$6:$AJ$505,"&gt;"&amp;$A199,実績!$AK$6:$AK$505,"○")&gt;0,1,0))</f>
        <v>0</v>
      </c>
      <c r="CZ199" s="39" t="n">
        <f aca="false">IF(CZ$4=0,0,IF(COUNTIFS(実績!$W$6:$W$505,CZ$3,実績!$AI$6:$AI$505,"&lt;="&amp;$A199,実績!$AJ$6:$AJ$505,"&gt;"&amp;$A199,実績!$AK$6:$AK$505,"○")&gt;0,1,0))</f>
        <v>0</v>
      </c>
      <c r="DA199" s="39" t="n">
        <f aca="false">IF(DA$4=0,0,IF(COUNTIFS(実績!$W$6:$W$505,DA$3,実績!$AI$6:$AI$505,"&lt;="&amp;$A199,実績!$AJ$6:$AJ$505,"&gt;"&amp;$A199,実績!$AK$6:$AK$505,"○")&gt;0,1,0))</f>
        <v>0</v>
      </c>
      <c r="DB199" s="39" t="n">
        <f aca="false">IF(DB$4=0,0,IF(COUNTIFS(実績!$W$6:$W$505,DB$3,実績!$AI$6:$AI$505,"&lt;="&amp;$A199,実績!$AJ$6:$AJ$505,"&gt;"&amp;$A199,実績!$AK$6:$AK$505,"○")&gt;0,1,0))</f>
        <v>0</v>
      </c>
      <c r="DC199" s="39" t="n">
        <f aca="false">IF(DC$4=0,0,IF(COUNTIFS(実績!$W$6:$W$505,DC$3,実績!$AI$6:$AI$505,"&lt;="&amp;$A199,実績!$AJ$6:$AJ$505,"&gt;"&amp;$A199,実績!$AK$6:$AK$505,"○")&gt;0,1,0))</f>
        <v>0</v>
      </c>
      <c r="DD199" s="39" t="n">
        <f aca="false">IF(DD$4=0,0,IF(COUNTIFS(実績!$W$6:$W$505,DD$3,実績!$AI$6:$AI$505,"&lt;="&amp;$A199,実績!$AJ$6:$AJ$505,"&gt;"&amp;$A199,実績!$AK$6:$AK$505,"○")&gt;0,1,0))</f>
        <v>0</v>
      </c>
      <c r="DE199" s="39" t="n">
        <f aca="false">IF(DE$4=0,0,IF(COUNTIFS(実績!$W$6:$W$505,DE$3,実績!$AI$6:$AI$505,"&lt;="&amp;$A199,実績!$AJ$6:$AJ$505,"&gt;"&amp;$A199,実績!$AK$6:$AK$505,"○")&gt;0,1,0))</f>
        <v>0</v>
      </c>
      <c r="DF199" s="39" t="n">
        <f aca="false">IF(DF$4=0,0,IF(COUNTIFS(実績!$W$6:$W$505,DF$3,実績!$AI$6:$AI$505,"&lt;="&amp;$A199,実績!$AJ$6:$AJ$505,"&gt;"&amp;$A199,実績!$AK$6:$AK$505,"○")&gt;0,1,0))</f>
        <v>0</v>
      </c>
      <c r="DG199" s="39" t="n">
        <f aca="false">IF(DG$4=0,0,IF(COUNTIFS(実績!$W$6:$W$505,DG$3,実績!$AI$6:$AI$505,"&lt;="&amp;$A199,実績!$AJ$6:$AJ$505,"&gt;"&amp;$A199,実績!$AK$6:$AK$505,"○")&gt;0,1,0))</f>
        <v>0</v>
      </c>
      <c r="DH199" s="39" t="n">
        <f aca="false">IF(DH$4=0,0,IF(COUNTIFS(実績!$W$6:$W$505,DH$3,実績!$AI$6:$AI$505,"&lt;="&amp;$A199,実績!$AJ$6:$AJ$505,"&gt;"&amp;$A199,実績!$AK$6:$AK$505,"○")&gt;0,1,0))</f>
        <v>0</v>
      </c>
      <c r="DI199" s="39" t="n">
        <f aca="false">IF(DI$4=0,0,IF(COUNTIFS(実績!$W$6:$W$505,DI$3,実績!$AI$6:$AI$505,"&lt;="&amp;$A199,実績!$AJ$6:$AJ$505,"&gt;"&amp;$A199,実績!$AK$6:$AK$505,"○")&gt;0,1,0))</f>
        <v>0</v>
      </c>
      <c r="DJ199" s="39" t="n">
        <f aca="false">IF(DJ$4=0,0,IF(COUNTIFS(実績!$W$6:$W$505,DJ$3,実績!$AI$6:$AI$505,"&lt;="&amp;$A199,実績!$AJ$6:$AJ$505,"&gt;"&amp;$A199,実績!$AK$6:$AK$505,"○")&gt;0,1,0))</f>
        <v>0</v>
      </c>
      <c r="DK199" s="39" t="n">
        <f aca="false">IF(DK$4=0,0,IF(COUNTIFS(実績!$W$6:$W$505,DK$3,実績!$AI$6:$AI$505,"&lt;="&amp;$A199,実績!$AJ$6:$AJ$505,"&gt;"&amp;$A199,実績!$AK$6:$AK$505,"○")&gt;0,1,0))</f>
        <v>0</v>
      </c>
      <c r="DL199" s="39" t="n">
        <f aca="false">IF(DL$4=0,0,IF(COUNTIFS(実績!$W$6:$W$505,DL$3,実績!$AI$6:$AI$505,"&lt;="&amp;$A199,実績!$AJ$6:$AJ$505,"&gt;"&amp;$A199,実績!$AK$6:$AK$505,"○")&gt;0,1,0))</f>
        <v>0</v>
      </c>
      <c r="DM199" s="39" t="n">
        <f aca="false">IF(DM$4=0,0,IF(COUNTIFS(実績!$W$6:$W$505,DM$3,実績!$AI$6:$AI$505,"&lt;="&amp;$A199,実績!$AJ$6:$AJ$505,"&gt;"&amp;$A199,実績!$AK$6:$AK$505,"○")&gt;0,1,0))</f>
        <v>0</v>
      </c>
      <c r="DN199" s="39" t="n">
        <f aca="false">IF(DN$4=0,0,IF(COUNTIFS(実績!$W$6:$W$505,DN$3,実績!$AI$6:$AI$505,"&lt;="&amp;$A199,実績!$AJ$6:$AJ$505,"&gt;"&amp;$A199,実績!$AK$6:$AK$505,"○")&gt;0,1,0))</f>
        <v>0</v>
      </c>
      <c r="DO199" s="39" t="n">
        <f aca="false">IF(DO$4=0,0,IF(COUNTIFS(実績!$W$6:$W$505,DO$3,実績!$AI$6:$AI$505,"&lt;="&amp;$A199,実績!$AJ$6:$AJ$505,"&gt;"&amp;$A199,実績!$AK$6:$AK$505,"○")&gt;0,1,0))</f>
        <v>0</v>
      </c>
      <c r="DP199" s="39" t="n">
        <f aca="false">IF(DP$4=0,0,IF(COUNTIFS(実績!$W$6:$W$505,DP$3,実績!$AI$6:$AI$505,"&lt;="&amp;$A199,実績!$AJ$6:$AJ$505,"&gt;"&amp;$A199,実績!$AK$6:$AK$505,"○")&gt;0,1,0))</f>
        <v>0</v>
      </c>
      <c r="DQ199" s="39" t="n">
        <f aca="false">IF(DQ$4=0,0,IF(COUNTIFS(実績!$W$6:$W$505,DQ$3,実績!$AI$6:$AI$505,"&lt;="&amp;$A199,実績!$AJ$6:$AJ$505,"&gt;"&amp;$A199,実績!$AK$6:$AK$505,"○")&gt;0,1,0))</f>
        <v>0</v>
      </c>
      <c r="DR199" s="39" t="n">
        <f aca="false">IF(DR$4=0,0,IF(COUNTIFS(実績!$W$6:$W$505,DR$3,実績!$AI$6:$AI$505,"&lt;="&amp;$A199,実績!$AJ$6:$AJ$505,"&gt;"&amp;$A199,実績!$AK$6:$AK$505,"○")&gt;0,1,0))</f>
        <v>0</v>
      </c>
      <c r="DS199" s="39" t="n">
        <f aca="false">SUM(C199:DR199)</f>
        <v>0</v>
      </c>
      <c r="DT199" s="39" t="n">
        <f aca="false">SUMPRODUCT((実績!$C$6:$C$505="○")*ISNUMBER(実績!$AM$6:$AM$505)*(実績!$AM$6:$AM$505&lt;=$A199)*(実績!$AN$6:$AN$505&gt;$A199))</f>
        <v>0</v>
      </c>
      <c r="DU199" s="39" t="n">
        <f aca="false">SUMIF($C$2:$DR$2,"製鉄曳船",C199:DR199)</f>
        <v>0</v>
      </c>
      <c r="DV199" s="39" t="n">
        <f aca="false">SUMIF($C$2:$DR$2,"西日本海運",C199:DR199)</f>
        <v>0</v>
      </c>
    </row>
    <row r="200" customFormat="false" ht="15" hidden="false" customHeight="false" outlineLevel="0" collapsed="false">
      <c r="A200" s="0" t="n">
        <v>970</v>
      </c>
      <c r="B200" s="38" t="n">
        <f aca="false">A200/1440</f>
        <v>0.673611111111111</v>
      </c>
      <c r="C200" s="39" t="n">
        <f aca="false">IF(C$4=0,0,IF(COUNTIFS(実績!$W$6:$W$505,C$3,実績!$AI$6:$AI$505,"&lt;="&amp;$A200,実績!$AJ$6:$AJ$505,"&gt;"&amp;$A200,実績!$AK$6:$AK$505,"○")&gt;0,1,0))</f>
        <v>0</v>
      </c>
      <c r="D200" s="39" t="n">
        <f aca="false">IF(D$4=0,0,IF(COUNTIFS(実績!$W$6:$W$505,D$3,実績!$AI$6:$AI$505,"&lt;="&amp;$A200,実績!$AJ$6:$AJ$505,"&gt;"&amp;$A200,実績!$AK$6:$AK$505,"○")&gt;0,1,0))</f>
        <v>0</v>
      </c>
      <c r="E200" s="39" t="n">
        <f aca="false">IF(E$4=0,0,IF(COUNTIFS(実績!$W$6:$W$505,E$3,実績!$AI$6:$AI$505,"&lt;="&amp;$A200,実績!$AJ$6:$AJ$505,"&gt;"&amp;$A200,実績!$AK$6:$AK$505,"○")&gt;0,1,0))</f>
        <v>0</v>
      </c>
      <c r="F200" s="39" t="n">
        <f aca="false">IF(F$4=0,0,IF(COUNTIFS(実績!$W$6:$W$505,F$3,実績!$AI$6:$AI$505,"&lt;="&amp;$A200,実績!$AJ$6:$AJ$505,"&gt;"&amp;$A200,実績!$AK$6:$AK$505,"○")&gt;0,1,0))</f>
        <v>0</v>
      </c>
      <c r="G200" s="39" t="n">
        <f aca="false">IF(G$4=0,0,IF(COUNTIFS(実績!$W$6:$W$505,G$3,実績!$AI$6:$AI$505,"&lt;="&amp;$A200,実績!$AJ$6:$AJ$505,"&gt;"&amp;$A200,実績!$AK$6:$AK$505,"○")&gt;0,1,0))</f>
        <v>0</v>
      </c>
      <c r="H200" s="39" t="n">
        <f aca="false">IF(H$4=0,0,IF(COUNTIFS(実績!$W$6:$W$505,H$3,実績!$AI$6:$AI$505,"&lt;="&amp;$A200,実績!$AJ$6:$AJ$505,"&gt;"&amp;$A200,実績!$AK$6:$AK$505,"○")&gt;0,1,0))</f>
        <v>0</v>
      </c>
      <c r="I200" s="39" t="n">
        <f aca="false">IF(I$4=0,0,IF(COUNTIFS(実績!$W$6:$W$505,I$3,実績!$AI$6:$AI$505,"&lt;="&amp;$A200,実績!$AJ$6:$AJ$505,"&gt;"&amp;$A200,実績!$AK$6:$AK$505,"○")&gt;0,1,0))</f>
        <v>0</v>
      </c>
      <c r="J200" s="39" t="n">
        <f aca="false">IF(J$4=0,0,IF(COUNTIFS(実績!$W$6:$W$505,J$3,実績!$AI$6:$AI$505,"&lt;="&amp;$A200,実績!$AJ$6:$AJ$505,"&gt;"&amp;$A200,実績!$AK$6:$AK$505,"○")&gt;0,1,0))</f>
        <v>0</v>
      </c>
      <c r="K200" s="39" t="n">
        <f aca="false">IF(K$4=0,0,IF(COUNTIFS(実績!$W$6:$W$505,K$3,実績!$AI$6:$AI$505,"&lt;="&amp;$A200,実績!$AJ$6:$AJ$505,"&gt;"&amp;$A200,実績!$AK$6:$AK$505,"○")&gt;0,1,0))</f>
        <v>0</v>
      </c>
      <c r="L200" s="39" t="n">
        <f aca="false">IF(L$4=0,0,IF(COUNTIFS(実績!$W$6:$W$505,L$3,実績!$AI$6:$AI$505,"&lt;="&amp;$A200,実績!$AJ$6:$AJ$505,"&gt;"&amp;$A200,実績!$AK$6:$AK$505,"○")&gt;0,1,0))</f>
        <v>0</v>
      </c>
      <c r="M200" s="39" t="n">
        <f aca="false">IF(M$4=0,0,IF(COUNTIFS(実績!$W$6:$W$505,M$3,実績!$AI$6:$AI$505,"&lt;="&amp;$A200,実績!$AJ$6:$AJ$505,"&gt;"&amp;$A200,実績!$AK$6:$AK$505,"○")&gt;0,1,0))</f>
        <v>0</v>
      </c>
      <c r="N200" s="39" t="n">
        <f aca="false">IF(N$4=0,0,IF(COUNTIFS(実績!$W$6:$W$505,N$3,実績!$AI$6:$AI$505,"&lt;="&amp;$A200,実績!$AJ$6:$AJ$505,"&gt;"&amp;$A200,実績!$AK$6:$AK$505,"○")&gt;0,1,0))</f>
        <v>0</v>
      </c>
      <c r="O200" s="39" t="n">
        <f aca="false">IF(O$4=0,0,IF(COUNTIFS(実績!$W$6:$W$505,O$3,実績!$AI$6:$AI$505,"&lt;="&amp;$A200,実績!$AJ$6:$AJ$505,"&gt;"&amp;$A200,実績!$AK$6:$AK$505,"○")&gt;0,1,0))</f>
        <v>0</v>
      </c>
      <c r="P200" s="39" t="n">
        <f aca="false">IF(P$4=0,0,IF(COUNTIFS(実績!$W$6:$W$505,P$3,実績!$AI$6:$AI$505,"&lt;="&amp;$A200,実績!$AJ$6:$AJ$505,"&gt;"&amp;$A200,実績!$AK$6:$AK$505,"○")&gt;0,1,0))</f>
        <v>0</v>
      </c>
      <c r="Q200" s="39" t="n">
        <f aca="false">IF(Q$4=0,0,IF(COUNTIFS(実績!$W$6:$W$505,Q$3,実績!$AI$6:$AI$505,"&lt;="&amp;$A200,実績!$AJ$6:$AJ$505,"&gt;"&amp;$A200,実績!$AK$6:$AK$505,"○")&gt;0,1,0))</f>
        <v>0</v>
      </c>
      <c r="R200" s="39" t="n">
        <f aca="false">IF(R$4=0,0,IF(COUNTIFS(実績!$W$6:$W$505,R$3,実績!$AI$6:$AI$505,"&lt;="&amp;$A200,実績!$AJ$6:$AJ$505,"&gt;"&amp;$A200,実績!$AK$6:$AK$505,"○")&gt;0,1,0))</f>
        <v>0</v>
      </c>
      <c r="S200" s="39" t="n">
        <f aca="false">IF(S$4=0,0,IF(COUNTIFS(実績!$W$6:$W$505,S$3,実績!$AI$6:$AI$505,"&lt;="&amp;$A200,実績!$AJ$6:$AJ$505,"&gt;"&amp;$A200,実績!$AK$6:$AK$505,"○")&gt;0,1,0))</f>
        <v>0</v>
      </c>
      <c r="T200" s="39" t="n">
        <f aca="false">IF(T$4=0,0,IF(COUNTIFS(実績!$W$6:$W$505,T$3,実績!$AI$6:$AI$505,"&lt;="&amp;$A200,実績!$AJ$6:$AJ$505,"&gt;"&amp;$A200,実績!$AK$6:$AK$505,"○")&gt;0,1,0))</f>
        <v>0</v>
      </c>
      <c r="U200" s="39" t="n">
        <f aca="false">IF(U$4=0,0,IF(COUNTIFS(実績!$W$6:$W$505,U$3,実績!$AI$6:$AI$505,"&lt;="&amp;$A200,実績!$AJ$6:$AJ$505,"&gt;"&amp;$A200,実績!$AK$6:$AK$505,"○")&gt;0,1,0))</f>
        <v>0</v>
      </c>
      <c r="V200" s="39" t="n">
        <f aca="false">IF(V$4=0,0,IF(COUNTIFS(実績!$W$6:$W$505,V$3,実績!$AI$6:$AI$505,"&lt;="&amp;$A200,実績!$AJ$6:$AJ$505,"&gt;"&amp;$A200,実績!$AK$6:$AK$505,"○")&gt;0,1,0))</f>
        <v>0</v>
      </c>
      <c r="W200" s="39" t="n">
        <f aca="false">IF(W$4=0,0,IF(COUNTIFS(実績!$W$6:$W$505,W$3,実績!$AI$6:$AI$505,"&lt;="&amp;$A200,実績!$AJ$6:$AJ$505,"&gt;"&amp;$A200,実績!$AK$6:$AK$505,"○")&gt;0,1,0))</f>
        <v>0</v>
      </c>
      <c r="X200" s="39" t="n">
        <f aca="false">IF(X$4=0,0,IF(COUNTIFS(実績!$W$6:$W$505,X$3,実績!$AI$6:$AI$505,"&lt;="&amp;$A200,実績!$AJ$6:$AJ$505,"&gt;"&amp;$A200,実績!$AK$6:$AK$505,"○")&gt;0,1,0))</f>
        <v>0</v>
      </c>
      <c r="Y200" s="39" t="n">
        <f aca="false">IF(Y$4=0,0,IF(COUNTIFS(実績!$W$6:$W$505,Y$3,実績!$AI$6:$AI$505,"&lt;="&amp;$A200,実績!$AJ$6:$AJ$505,"&gt;"&amp;$A200,実績!$AK$6:$AK$505,"○")&gt;0,1,0))</f>
        <v>0</v>
      </c>
      <c r="Z200" s="39" t="n">
        <f aca="false">IF(Z$4=0,0,IF(COUNTIFS(実績!$W$6:$W$505,Z$3,実績!$AI$6:$AI$505,"&lt;="&amp;$A200,実績!$AJ$6:$AJ$505,"&gt;"&amp;$A200,実績!$AK$6:$AK$505,"○")&gt;0,1,0))</f>
        <v>0</v>
      </c>
      <c r="AA200" s="39" t="n">
        <f aca="false">IF(AA$4=0,0,IF(COUNTIFS(実績!$W$6:$W$505,AA$3,実績!$AI$6:$AI$505,"&lt;="&amp;$A200,実績!$AJ$6:$AJ$505,"&gt;"&amp;$A200,実績!$AK$6:$AK$505,"○")&gt;0,1,0))</f>
        <v>0</v>
      </c>
      <c r="AB200" s="39" t="n">
        <f aca="false">IF(AB$4=0,0,IF(COUNTIFS(実績!$W$6:$W$505,AB$3,実績!$AI$6:$AI$505,"&lt;="&amp;$A200,実績!$AJ$6:$AJ$505,"&gt;"&amp;$A200,実績!$AK$6:$AK$505,"○")&gt;0,1,0))</f>
        <v>0</v>
      </c>
      <c r="AC200" s="39" t="n">
        <f aca="false">IF(AC$4=0,0,IF(COUNTIFS(実績!$W$6:$W$505,AC$3,実績!$AI$6:$AI$505,"&lt;="&amp;$A200,実績!$AJ$6:$AJ$505,"&gt;"&amp;$A200,実績!$AK$6:$AK$505,"○")&gt;0,1,0))</f>
        <v>0</v>
      </c>
      <c r="AD200" s="39" t="n">
        <f aca="false">IF(AD$4=0,0,IF(COUNTIFS(実績!$W$6:$W$505,AD$3,実績!$AI$6:$AI$505,"&lt;="&amp;$A200,実績!$AJ$6:$AJ$505,"&gt;"&amp;$A200,実績!$AK$6:$AK$505,"○")&gt;0,1,0))</f>
        <v>0</v>
      </c>
      <c r="AE200" s="39" t="n">
        <f aca="false">IF(AE$4=0,0,IF(COUNTIFS(実績!$W$6:$W$505,AE$3,実績!$AI$6:$AI$505,"&lt;="&amp;$A200,実績!$AJ$6:$AJ$505,"&gt;"&amp;$A200,実績!$AK$6:$AK$505,"○")&gt;0,1,0))</f>
        <v>0</v>
      </c>
      <c r="AF200" s="39" t="n">
        <f aca="false">IF(AF$4=0,0,IF(COUNTIFS(実績!$W$6:$W$505,AF$3,実績!$AI$6:$AI$505,"&lt;="&amp;$A200,実績!$AJ$6:$AJ$505,"&gt;"&amp;$A200,実績!$AK$6:$AK$505,"○")&gt;0,1,0))</f>
        <v>0</v>
      </c>
      <c r="AG200" s="39" t="n">
        <f aca="false">IF(AG$4=0,0,IF(COUNTIFS(実績!$W$6:$W$505,AG$3,実績!$AI$6:$AI$505,"&lt;="&amp;$A200,実績!$AJ$6:$AJ$505,"&gt;"&amp;$A200,実績!$AK$6:$AK$505,"○")&gt;0,1,0))</f>
        <v>0</v>
      </c>
      <c r="AH200" s="39" t="n">
        <f aca="false">IF(AH$4=0,0,IF(COUNTIFS(実績!$W$6:$W$505,AH$3,実績!$AI$6:$AI$505,"&lt;="&amp;$A200,実績!$AJ$6:$AJ$505,"&gt;"&amp;$A200,実績!$AK$6:$AK$505,"○")&gt;0,1,0))</f>
        <v>0</v>
      </c>
      <c r="AI200" s="39" t="n">
        <f aca="false">IF(AI$4=0,0,IF(COUNTIFS(実績!$W$6:$W$505,AI$3,実績!$AI$6:$AI$505,"&lt;="&amp;$A200,実績!$AJ$6:$AJ$505,"&gt;"&amp;$A200,実績!$AK$6:$AK$505,"○")&gt;0,1,0))</f>
        <v>0</v>
      </c>
      <c r="AJ200" s="39" t="n">
        <f aca="false">IF(AJ$4=0,0,IF(COUNTIFS(実績!$W$6:$W$505,AJ$3,実績!$AI$6:$AI$505,"&lt;="&amp;$A200,実績!$AJ$6:$AJ$505,"&gt;"&amp;$A200,実績!$AK$6:$AK$505,"○")&gt;0,1,0))</f>
        <v>0</v>
      </c>
      <c r="AK200" s="39" t="n">
        <f aca="false">IF(AK$4=0,0,IF(COUNTIFS(実績!$W$6:$W$505,AK$3,実績!$AI$6:$AI$505,"&lt;="&amp;$A200,実績!$AJ$6:$AJ$505,"&gt;"&amp;$A200,実績!$AK$6:$AK$505,"○")&gt;0,1,0))</f>
        <v>0</v>
      </c>
      <c r="AL200" s="39" t="n">
        <f aca="false">IF(AL$4=0,0,IF(COUNTIFS(実績!$W$6:$W$505,AL$3,実績!$AI$6:$AI$505,"&lt;="&amp;$A200,実績!$AJ$6:$AJ$505,"&gt;"&amp;$A200,実績!$AK$6:$AK$505,"○")&gt;0,1,0))</f>
        <v>0</v>
      </c>
      <c r="AM200" s="39" t="n">
        <f aca="false">IF(AM$4=0,0,IF(COUNTIFS(実績!$W$6:$W$505,AM$3,実績!$AI$6:$AI$505,"&lt;="&amp;$A200,実績!$AJ$6:$AJ$505,"&gt;"&amp;$A200,実績!$AK$6:$AK$505,"○")&gt;0,1,0))</f>
        <v>0</v>
      </c>
      <c r="AN200" s="39" t="n">
        <f aca="false">IF(AN$4=0,0,IF(COUNTIFS(実績!$W$6:$W$505,AN$3,実績!$AI$6:$AI$505,"&lt;="&amp;$A200,実績!$AJ$6:$AJ$505,"&gt;"&amp;$A200,実績!$AK$6:$AK$505,"○")&gt;0,1,0))</f>
        <v>0</v>
      </c>
      <c r="AO200" s="39" t="n">
        <f aca="false">IF(AO$4=0,0,IF(COUNTIFS(実績!$W$6:$W$505,AO$3,実績!$AI$6:$AI$505,"&lt;="&amp;$A200,実績!$AJ$6:$AJ$505,"&gt;"&amp;$A200,実績!$AK$6:$AK$505,"○")&gt;0,1,0))</f>
        <v>0</v>
      </c>
      <c r="AP200" s="39" t="n">
        <f aca="false">IF(AP$4=0,0,IF(COUNTIFS(実績!$W$6:$W$505,AP$3,実績!$AI$6:$AI$505,"&lt;="&amp;$A200,実績!$AJ$6:$AJ$505,"&gt;"&amp;$A200,実績!$AK$6:$AK$505,"○")&gt;0,1,0))</f>
        <v>0</v>
      </c>
      <c r="AQ200" s="39" t="n">
        <f aca="false">IF(AQ$4=0,0,IF(COUNTIFS(実績!$W$6:$W$505,AQ$3,実績!$AI$6:$AI$505,"&lt;="&amp;$A200,実績!$AJ$6:$AJ$505,"&gt;"&amp;$A200,実績!$AK$6:$AK$505,"○")&gt;0,1,0))</f>
        <v>0</v>
      </c>
      <c r="AR200" s="39" t="n">
        <f aca="false">IF(AR$4=0,0,IF(COUNTIFS(実績!$W$6:$W$505,AR$3,実績!$AI$6:$AI$505,"&lt;="&amp;$A200,実績!$AJ$6:$AJ$505,"&gt;"&amp;$A200,実績!$AK$6:$AK$505,"○")&gt;0,1,0))</f>
        <v>0</v>
      </c>
      <c r="AS200" s="39" t="n">
        <f aca="false">IF(AS$4=0,0,IF(COUNTIFS(実績!$W$6:$W$505,AS$3,実績!$AI$6:$AI$505,"&lt;="&amp;$A200,実績!$AJ$6:$AJ$505,"&gt;"&amp;$A200,実績!$AK$6:$AK$505,"○")&gt;0,1,0))</f>
        <v>0</v>
      </c>
      <c r="AT200" s="39" t="n">
        <f aca="false">IF(AT$4=0,0,IF(COUNTIFS(実績!$W$6:$W$505,AT$3,実績!$AI$6:$AI$505,"&lt;="&amp;$A200,実績!$AJ$6:$AJ$505,"&gt;"&amp;$A200,実績!$AK$6:$AK$505,"○")&gt;0,1,0))</f>
        <v>0</v>
      </c>
      <c r="AU200" s="39" t="n">
        <f aca="false">IF(AU$4=0,0,IF(COUNTIFS(実績!$W$6:$W$505,AU$3,実績!$AI$6:$AI$505,"&lt;="&amp;$A200,実績!$AJ$6:$AJ$505,"&gt;"&amp;$A200,実績!$AK$6:$AK$505,"○")&gt;0,1,0))</f>
        <v>0</v>
      </c>
      <c r="AV200" s="39" t="n">
        <f aca="false">IF(AV$4=0,0,IF(COUNTIFS(実績!$W$6:$W$505,AV$3,実績!$AI$6:$AI$505,"&lt;="&amp;$A200,実績!$AJ$6:$AJ$505,"&gt;"&amp;$A200,実績!$AK$6:$AK$505,"○")&gt;0,1,0))</f>
        <v>0</v>
      </c>
      <c r="AW200" s="39" t="n">
        <f aca="false">IF(AW$4=0,0,IF(COUNTIFS(実績!$W$6:$W$505,AW$3,実績!$AI$6:$AI$505,"&lt;="&amp;$A200,実績!$AJ$6:$AJ$505,"&gt;"&amp;$A200,実績!$AK$6:$AK$505,"○")&gt;0,1,0))</f>
        <v>0</v>
      </c>
      <c r="AX200" s="39" t="n">
        <f aca="false">IF(AX$4=0,0,IF(COUNTIFS(実績!$W$6:$W$505,AX$3,実績!$AI$6:$AI$505,"&lt;="&amp;$A200,実績!$AJ$6:$AJ$505,"&gt;"&amp;$A200,実績!$AK$6:$AK$505,"○")&gt;0,1,0))</f>
        <v>0</v>
      </c>
      <c r="AY200" s="39" t="n">
        <f aca="false">IF(AY$4=0,0,IF(COUNTIFS(実績!$W$6:$W$505,AY$3,実績!$AI$6:$AI$505,"&lt;="&amp;$A200,実績!$AJ$6:$AJ$505,"&gt;"&amp;$A200,実績!$AK$6:$AK$505,"○")&gt;0,1,0))</f>
        <v>0</v>
      </c>
      <c r="AZ200" s="39" t="n">
        <f aca="false">IF(AZ$4=0,0,IF(COUNTIFS(実績!$W$6:$W$505,AZ$3,実績!$AI$6:$AI$505,"&lt;="&amp;$A200,実績!$AJ$6:$AJ$505,"&gt;"&amp;$A200,実績!$AK$6:$AK$505,"○")&gt;0,1,0))</f>
        <v>0</v>
      </c>
      <c r="BA200" s="39" t="n">
        <f aca="false">IF(BA$4=0,0,IF(COUNTIFS(実績!$W$6:$W$505,BA$3,実績!$AI$6:$AI$505,"&lt;="&amp;$A200,実績!$AJ$6:$AJ$505,"&gt;"&amp;$A200,実績!$AK$6:$AK$505,"○")&gt;0,1,0))</f>
        <v>0</v>
      </c>
      <c r="BB200" s="39" t="n">
        <f aca="false">IF(BB$4=0,0,IF(COUNTIFS(実績!$W$6:$W$505,BB$3,実績!$AI$6:$AI$505,"&lt;="&amp;$A200,実績!$AJ$6:$AJ$505,"&gt;"&amp;$A200,実績!$AK$6:$AK$505,"○")&gt;0,1,0))</f>
        <v>0</v>
      </c>
      <c r="BC200" s="39" t="n">
        <f aca="false">IF(BC$4=0,0,IF(COUNTIFS(実績!$W$6:$W$505,BC$3,実績!$AI$6:$AI$505,"&lt;="&amp;$A200,実績!$AJ$6:$AJ$505,"&gt;"&amp;$A200,実績!$AK$6:$AK$505,"○")&gt;0,1,0))</f>
        <v>0</v>
      </c>
      <c r="BD200" s="39" t="n">
        <f aca="false">IF(BD$4=0,0,IF(COUNTIFS(実績!$W$6:$W$505,BD$3,実績!$AI$6:$AI$505,"&lt;="&amp;$A200,実績!$AJ$6:$AJ$505,"&gt;"&amp;$A200,実績!$AK$6:$AK$505,"○")&gt;0,1,0))</f>
        <v>0</v>
      </c>
      <c r="BE200" s="39" t="n">
        <f aca="false">IF(BE$4=0,0,IF(COUNTIFS(実績!$W$6:$W$505,BE$3,実績!$AI$6:$AI$505,"&lt;="&amp;$A200,実績!$AJ$6:$AJ$505,"&gt;"&amp;$A200,実績!$AK$6:$AK$505,"○")&gt;0,1,0))</f>
        <v>0</v>
      </c>
      <c r="BF200" s="39" t="n">
        <f aca="false">IF(BF$4=0,0,IF(COUNTIFS(実績!$W$6:$W$505,BF$3,実績!$AI$6:$AI$505,"&lt;="&amp;$A200,実績!$AJ$6:$AJ$505,"&gt;"&amp;$A200,実績!$AK$6:$AK$505,"○")&gt;0,1,0))</f>
        <v>0</v>
      </c>
      <c r="BG200" s="39" t="n">
        <f aca="false">IF(BG$4=0,0,IF(COUNTIFS(実績!$W$6:$W$505,BG$3,実績!$AI$6:$AI$505,"&lt;="&amp;$A200,実績!$AJ$6:$AJ$505,"&gt;"&amp;$A200,実績!$AK$6:$AK$505,"○")&gt;0,1,0))</f>
        <v>0</v>
      </c>
      <c r="BH200" s="39" t="n">
        <f aca="false">IF(BH$4=0,0,IF(COUNTIFS(実績!$W$6:$W$505,BH$3,実績!$AI$6:$AI$505,"&lt;="&amp;$A200,実績!$AJ$6:$AJ$505,"&gt;"&amp;$A200,実績!$AK$6:$AK$505,"○")&gt;0,1,0))</f>
        <v>0</v>
      </c>
      <c r="BI200" s="39" t="n">
        <f aca="false">IF(BI$4=0,0,IF(COUNTIFS(実績!$W$6:$W$505,BI$3,実績!$AI$6:$AI$505,"&lt;="&amp;$A200,実績!$AJ$6:$AJ$505,"&gt;"&amp;$A200,実績!$AK$6:$AK$505,"○")&gt;0,1,0))</f>
        <v>0</v>
      </c>
      <c r="BJ200" s="39" t="n">
        <f aca="false">IF(BJ$4=0,0,IF(COUNTIFS(実績!$W$6:$W$505,BJ$3,実績!$AI$6:$AI$505,"&lt;="&amp;$A200,実績!$AJ$6:$AJ$505,"&gt;"&amp;$A200,実績!$AK$6:$AK$505,"○")&gt;0,1,0))</f>
        <v>0</v>
      </c>
      <c r="BK200" s="39" t="n">
        <f aca="false">IF(BK$4=0,0,IF(COUNTIFS(実績!$W$6:$W$505,BK$3,実績!$AI$6:$AI$505,"&lt;="&amp;$A200,実績!$AJ$6:$AJ$505,"&gt;"&amp;$A200,実績!$AK$6:$AK$505,"○")&gt;0,1,0))</f>
        <v>0</v>
      </c>
      <c r="BL200" s="39" t="n">
        <f aca="false">IF(BL$4=0,0,IF(COUNTIFS(実績!$W$6:$W$505,BL$3,実績!$AI$6:$AI$505,"&lt;="&amp;$A200,実績!$AJ$6:$AJ$505,"&gt;"&amp;$A200,実績!$AK$6:$AK$505,"○")&gt;0,1,0))</f>
        <v>0</v>
      </c>
      <c r="BM200" s="39" t="n">
        <f aca="false">IF(BM$4=0,0,IF(COUNTIFS(実績!$W$6:$W$505,BM$3,実績!$AI$6:$AI$505,"&lt;="&amp;$A200,実績!$AJ$6:$AJ$505,"&gt;"&amp;$A200,実績!$AK$6:$AK$505,"○")&gt;0,1,0))</f>
        <v>0</v>
      </c>
      <c r="BN200" s="39" t="n">
        <f aca="false">IF(BN$4=0,0,IF(COUNTIFS(実績!$W$6:$W$505,BN$3,実績!$AI$6:$AI$505,"&lt;="&amp;$A200,実績!$AJ$6:$AJ$505,"&gt;"&amp;$A200,実績!$AK$6:$AK$505,"○")&gt;0,1,0))</f>
        <v>0</v>
      </c>
      <c r="BO200" s="39" t="n">
        <f aca="false">IF(BO$4=0,0,IF(COUNTIFS(実績!$W$6:$W$505,BO$3,実績!$AI$6:$AI$505,"&lt;="&amp;$A200,実績!$AJ$6:$AJ$505,"&gt;"&amp;$A200,実績!$AK$6:$AK$505,"○")&gt;0,1,0))</f>
        <v>0</v>
      </c>
      <c r="BP200" s="39" t="n">
        <f aca="false">IF(BP$4=0,0,IF(COUNTIFS(実績!$W$6:$W$505,BP$3,実績!$AI$6:$AI$505,"&lt;="&amp;$A200,実績!$AJ$6:$AJ$505,"&gt;"&amp;$A200,実績!$AK$6:$AK$505,"○")&gt;0,1,0))</f>
        <v>0</v>
      </c>
      <c r="BQ200" s="39" t="n">
        <f aca="false">IF(BQ$4=0,0,IF(COUNTIFS(実績!$W$6:$W$505,BQ$3,実績!$AI$6:$AI$505,"&lt;="&amp;$A200,実績!$AJ$6:$AJ$505,"&gt;"&amp;$A200,実績!$AK$6:$AK$505,"○")&gt;0,1,0))</f>
        <v>0</v>
      </c>
      <c r="BR200" s="39" t="n">
        <f aca="false">IF(BR$4=0,0,IF(COUNTIFS(実績!$W$6:$W$505,BR$3,実績!$AI$6:$AI$505,"&lt;="&amp;$A200,実績!$AJ$6:$AJ$505,"&gt;"&amp;$A200,実績!$AK$6:$AK$505,"○")&gt;0,1,0))</f>
        <v>0</v>
      </c>
      <c r="BS200" s="39" t="n">
        <f aca="false">IF(BS$4=0,0,IF(COUNTIFS(実績!$W$6:$W$505,BS$3,実績!$AI$6:$AI$505,"&lt;="&amp;$A200,実績!$AJ$6:$AJ$505,"&gt;"&amp;$A200,実績!$AK$6:$AK$505,"○")&gt;0,1,0))</f>
        <v>0</v>
      </c>
      <c r="BT200" s="39" t="n">
        <f aca="false">IF(BT$4=0,0,IF(COUNTIFS(実績!$W$6:$W$505,BT$3,実績!$AI$6:$AI$505,"&lt;="&amp;$A200,実績!$AJ$6:$AJ$505,"&gt;"&amp;$A200,実績!$AK$6:$AK$505,"○")&gt;0,1,0))</f>
        <v>0</v>
      </c>
      <c r="BU200" s="39" t="n">
        <f aca="false">IF(BU$4=0,0,IF(COUNTIFS(実績!$W$6:$W$505,BU$3,実績!$AI$6:$AI$505,"&lt;="&amp;$A200,実績!$AJ$6:$AJ$505,"&gt;"&amp;$A200,実績!$AK$6:$AK$505,"○")&gt;0,1,0))</f>
        <v>0</v>
      </c>
      <c r="BV200" s="39" t="n">
        <f aca="false">IF(BV$4=0,0,IF(COUNTIFS(実績!$W$6:$W$505,BV$3,実績!$AI$6:$AI$505,"&lt;="&amp;$A200,実績!$AJ$6:$AJ$505,"&gt;"&amp;$A200,実績!$AK$6:$AK$505,"○")&gt;0,1,0))</f>
        <v>0</v>
      </c>
      <c r="BW200" s="39" t="n">
        <f aca="false">IF(BW$4=0,0,IF(COUNTIFS(実績!$W$6:$W$505,BW$3,実績!$AI$6:$AI$505,"&lt;="&amp;$A200,実績!$AJ$6:$AJ$505,"&gt;"&amp;$A200,実績!$AK$6:$AK$505,"○")&gt;0,1,0))</f>
        <v>0</v>
      </c>
      <c r="BX200" s="39" t="n">
        <f aca="false">IF(BX$4=0,0,IF(COUNTIFS(実績!$W$6:$W$505,BX$3,実績!$AI$6:$AI$505,"&lt;="&amp;$A200,実績!$AJ$6:$AJ$505,"&gt;"&amp;$A200,実績!$AK$6:$AK$505,"○")&gt;0,1,0))</f>
        <v>0</v>
      </c>
      <c r="BY200" s="39" t="n">
        <f aca="false">IF(BY$4=0,0,IF(COUNTIFS(実績!$W$6:$W$505,BY$3,実績!$AI$6:$AI$505,"&lt;="&amp;$A200,実績!$AJ$6:$AJ$505,"&gt;"&amp;$A200,実績!$AK$6:$AK$505,"○")&gt;0,1,0))</f>
        <v>0</v>
      </c>
      <c r="BZ200" s="39" t="n">
        <f aca="false">IF(BZ$4=0,0,IF(COUNTIFS(実績!$W$6:$W$505,BZ$3,実績!$AI$6:$AI$505,"&lt;="&amp;$A200,実績!$AJ$6:$AJ$505,"&gt;"&amp;$A200,実績!$AK$6:$AK$505,"○")&gt;0,1,0))</f>
        <v>0</v>
      </c>
      <c r="CA200" s="39" t="n">
        <f aca="false">IF(CA$4=0,0,IF(COUNTIFS(実績!$W$6:$W$505,CA$3,実績!$AI$6:$AI$505,"&lt;="&amp;$A200,実績!$AJ$6:$AJ$505,"&gt;"&amp;$A200,実績!$AK$6:$AK$505,"○")&gt;0,1,0))</f>
        <v>0</v>
      </c>
      <c r="CB200" s="39" t="n">
        <f aca="false">IF(CB$4=0,0,IF(COUNTIFS(実績!$W$6:$W$505,CB$3,実績!$AI$6:$AI$505,"&lt;="&amp;$A200,実績!$AJ$6:$AJ$505,"&gt;"&amp;$A200,実績!$AK$6:$AK$505,"○")&gt;0,1,0))</f>
        <v>0</v>
      </c>
      <c r="CC200" s="39" t="n">
        <f aca="false">IF(CC$4=0,0,IF(COUNTIFS(実績!$W$6:$W$505,CC$3,実績!$AI$6:$AI$505,"&lt;="&amp;$A200,実績!$AJ$6:$AJ$505,"&gt;"&amp;$A200,実績!$AK$6:$AK$505,"○")&gt;0,1,0))</f>
        <v>0</v>
      </c>
      <c r="CD200" s="39" t="n">
        <f aca="false">IF(CD$4=0,0,IF(COUNTIFS(実績!$W$6:$W$505,CD$3,実績!$AI$6:$AI$505,"&lt;="&amp;$A200,実績!$AJ$6:$AJ$505,"&gt;"&amp;$A200,実績!$AK$6:$AK$505,"○")&gt;0,1,0))</f>
        <v>0</v>
      </c>
      <c r="CE200" s="39" t="n">
        <f aca="false">IF(CE$4=0,0,IF(COUNTIFS(実績!$W$6:$W$505,CE$3,実績!$AI$6:$AI$505,"&lt;="&amp;$A200,実績!$AJ$6:$AJ$505,"&gt;"&amp;$A200,実績!$AK$6:$AK$505,"○")&gt;0,1,0))</f>
        <v>0</v>
      </c>
      <c r="CF200" s="39" t="n">
        <f aca="false">IF(CF$4=0,0,IF(COUNTIFS(実績!$W$6:$W$505,CF$3,実績!$AI$6:$AI$505,"&lt;="&amp;$A200,実績!$AJ$6:$AJ$505,"&gt;"&amp;$A200,実績!$AK$6:$AK$505,"○")&gt;0,1,0))</f>
        <v>0</v>
      </c>
      <c r="CG200" s="39" t="n">
        <f aca="false">IF(CG$4=0,0,IF(COUNTIFS(実績!$W$6:$W$505,CG$3,実績!$AI$6:$AI$505,"&lt;="&amp;$A200,実績!$AJ$6:$AJ$505,"&gt;"&amp;$A200,実績!$AK$6:$AK$505,"○")&gt;0,1,0))</f>
        <v>0</v>
      </c>
      <c r="CH200" s="39" t="n">
        <f aca="false">IF(CH$4=0,0,IF(COUNTIFS(実績!$W$6:$W$505,CH$3,実績!$AI$6:$AI$505,"&lt;="&amp;$A200,実績!$AJ$6:$AJ$505,"&gt;"&amp;$A200,実績!$AK$6:$AK$505,"○")&gt;0,1,0))</f>
        <v>0</v>
      </c>
      <c r="CI200" s="39" t="n">
        <f aca="false">IF(CI$4=0,0,IF(COUNTIFS(実績!$W$6:$W$505,CI$3,実績!$AI$6:$AI$505,"&lt;="&amp;$A200,実績!$AJ$6:$AJ$505,"&gt;"&amp;$A200,実績!$AK$6:$AK$505,"○")&gt;0,1,0))</f>
        <v>0</v>
      </c>
      <c r="CJ200" s="39" t="n">
        <f aca="false">IF(CJ$4=0,0,IF(COUNTIFS(実績!$W$6:$W$505,CJ$3,実績!$AI$6:$AI$505,"&lt;="&amp;$A200,実績!$AJ$6:$AJ$505,"&gt;"&amp;$A200,実績!$AK$6:$AK$505,"○")&gt;0,1,0))</f>
        <v>0</v>
      </c>
      <c r="CK200" s="39" t="n">
        <f aca="false">IF(CK$4=0,0,IF(COUNTIFS(実績!$W$6:$W$505,CK$3,実績!$AI$6:$AI$505,"&lt;="&amp;$A200,実績!$AJ$6:$AJ$505,"&gt;"&amp;$A200,実績!$AK$6:$AK$505,"○")&gt;0,1,0))</f>
        <v>0</v>
      </c>
      <c r="CL200" s="39" t="n">
        <f aca="false">IF(CL$4=0,0,IF(COUNTIFS(実績!$W$6:$W$505,CL$3,実績!$AI$6:$AI$505,"&lt;="&amp;$A200,実績!$AJ$6:$AJ$505,"&gt;"&amp;$A200,実績!$AK$6:$AK$505,"○")&gt;0,1,0))</f>
        <v>0</v>
      </c>
      <c r="CM200" s="39" t="n">
        <f aca="false">IF(CM$4=0,0,IF(COUNTIFS(実績!$W$6:$W$505,CM$3,実績!$AI$6:$AI$505,"&lt;="&amp;$A200,実績!$AJ$6:$AJ$505,"&gt;"&amp;$A200,実績!$AK$6:$AK$505,"○")&gt;0,1,0))</f>
        <v>0</v>
      </c>
      <c r="CN200" s="39" t="n">
        <f aca="false">IF(CN$4=0,0,IF(COUNTIFS(実績!$W$6:$W$505,CN$3,実績!$AI$6:$AI$505,"&lt;="&amp;$A200,実績!$AJ$6:$AJ$505,"&gt;"&amp;$A200,実績!$AK$6:$AK$505,"○")&gt;0,1,0))</f>
        <v>0</v>
      </c>
      <c r="CO200" s="39" t="n">
        <f aca="false">IF(CO$4=0,0,IF(COUNTIFS(実績!$W$6:$W$505,CO$3,実績!$AI$6:$AI$505,"&lt;="&amp;$A200,実績!$AJ$6:$AJ$505,"&gt;"&amp;$A200,実績!$AK$6:$AK$505,"○")&gt;0,1,0))</f>
        <v>0</v>
      </c>
      <c r="CP200" s="39" t="n">
        <f aca="false">IF(CP$4=0,0,IF(COUNTIFS(実績!$W$6:$W$505,CP$3,実績!$AI$6:$AI$505,"&lt;="&amp;$A200,実績!$AJ$6:$AJ$505,"&gt;"&amp;$A200,実績!$AK$6:$AK$505,"○")&gt;0,1,0))</f>
        <v>0</v>
      </c>
      <c r="CQ200" s="39" t="n">
        <f aca="false">IF(CQ$4=0,0,IF(COUNTIFS(実績!$W$6:$W$505,CQ$3,実績!$AI$6:$AI$505,"&lt;="&amp;$A200,実績!$AJ$6:$AJ$505,"&gt;"&amp;$A200,実績!$AK$6:$AK$505,"○")&gt;0,1,0))</f>
        <v>0</v>
      </c>
      <c r="CR200" s="39" t="n">
        <f aca="false">IF(CR$4=0,0,IF(COUNTIFS(実績!$W$6:$W$505,CR$3,実績!$AI$6:$AI$505,"&lt;="&amp;$A200,実績!$AJ$6:$AJ$505,"&gt;"&amp;$A200,実績!$AK$6:$AK$505,"○")&gt;0,1,0))</f>
        <v>0</v>
      </c>
      <c r="CS200" s="39" t="n">
        <f aca="false">IF(CS$4=0,0,IF(COUNTIFS(実績!$W$6:$W$505,CS$3,実績!$AI$6:$AI$505,"&lt;="&amp;$A200,実績!$AJ$6:$AJ$505,"&gt;"&amp;$A200,実績!$AK$6:$AK$505,"○")&gt;0,1,0))</f>
        <v>0</v>
      </c>
      <c r="CT200" s="39" t="n">
        <f aca="false">IF(CT$4=0,0,IF(COUNTIFS(実績!$W$6:$W$505,CT$3,実績!$AI$6:$AI$505,"&lt;="&amp;$A200,実績!$AJ$6:$AJ$505,"&gt;"&amp;$A200,実績!$AK$6:$AK$505,"○")&gt;0,1,0))</f>
        <v>0</v>
      </c>
      <c r="CU200" s="39" t="n">
        <f aca="false">IF(CU$4=0,0,IF(COUNTIFS(実績!$W$6:$W$505,CU$3,実績!$AI$6:$AI$505,"&lt;="&amp;$A200,実績!$AJ$6:$AJ$505,"&gt;"&amp;$A200,実績!$AK$6:$AK$505,"○")&gt;0,1,0))</f>
        <v>0</v>
      </c>
      <c r="CV200" s="39" t="n">
        <f aca="false">IF(CV$4=0,0,IF(COUNTIFS(実績!$W$6:$W$505,CV$3,実績!$AI$6:$AI$505,"&lt;="&amp;$A200,実績!$AJ$6:$AJ$505,"&gt;"&amp;$A200,実績!$AK$6:$AK$505,"○")&gt;0,1,0))</f>
        <v>0</v>
      </c>
      <c r="CW200" s="39" t="n">
        <f aca="false">IF(CW$4=0,0,IF(COUNTIFS(実績!$W$6:$W$505,CW$3,実績!$AI$6:$AI$505,"&lt;="&amp;$A200,実績!$AJ$6:$AJ$505,"&gt;"&amp;$A200,実績!$AK$6:$AK$505,"○")&gt;0,1,0))</f>
        <v>0</v>
      </c>
      <c r="CX200" s="39" t="n">
        <f aca="false">IF(CX$4=0,0,IF(COUNTIFS(実績!$W$6:$W$505,CX$3,実績!$AI$6:$AI$505,"&lt;="&amp;$A200,実績!$AJ$6:$AJ$505,"&gt;"&amp;$A200,実績!$AK$6:$AK$505,"○")&gt;0,1,0))</f>
        <v>0</v>
      </c>
      <c r="CY200" s="39" t="n">
        <f aca="false">IF(CY$4=0,0,IF(COUNTIFS(実績!$W$6:$W$505,CY$3,実績!$AI$6:$AI$505,"&lt;="&amp;$A200,実績!$AJ$6:$AJ$505,"&gt;"&amp;$A200,実績!$AK$6:$AK$505,"○")&gt;0,1,0))</f>
        <v>0</v>
      </c>
      <c r="CZ200" s="39" t="n">
        <f aca="false">IF(CZ$4=0,0,IF(COUNTIFS(実績!$W$6:$W$505,CZ$3,実績!$AI$6:$AI$505,"&lt;="&amp;$A200,実績!$AJ$6:$AJ$505,"&gt;"&amp;$A200,実績!$AK$6:$AK$505,"○")&gt;0,1,0))</f>
        <v>0</v>
      </c>
      <c r="DA200" s="39" t="n">
        <f aca="false">IF(DA$4=0,0,IF(COUNTIFS(実績!$W$6:$W$505,DA$3,実績!$AI$6:$AI$505,"&lt;="&amp;$A200,実績!$AJ$6:$AJ$505,"&gt;"&amp;$A200,実績!$AK$6:$AK$505,"○")&gt;0,1,0))</f>
        <v>0</v>
      </c>
      <c r="DB200" s="39" t="n">
        <f aca="false">IF(DB$4=0,0,IF(COUNTIFS(実績!$W$6:$W$505,DB$3,実績!$AI$6:$AI$505,"&lt;="&amp;$A200,実績!$AJ$6:$AJ$505,"&gt;"&amp;$A200,実績!$AK$6:$AK$505,"○")&gt;0,1,0))</f>
        <v>0</v>
      </c>
      <c r="DC200" s="39" t="n">
        <f aca="false">IF(DC$4=0,0,IF(COUNTIFS(実績!$W$6:$W$505,DC$3,実績!$AI$6:$AI$505,"&lt;="&amp;$A200,実績!$AJ$6:$AJ$505,"&gt;"&amp;$A200,実績!$AK$6:$AK$505,"○")&gt;0,1,0))</f>
        <v>0</v>
      </c>
      <c r="DD200" s="39" t="n">
        <f aca="false">IF(DD$4=0,0,IF(COUNTIFS(実績!$W$6:$W$505,DD$3,実績!$AI$6:$AI$505,"&lt;="&amp;$A200,実績!$AJ$6:$AJ$505,"&gt;"&amp;$A200,実績!$AK$6:$AK$505,"○")&gt;0,1,0))</f>
        <v>0</v>
      </c>
      <c r="DE200" s="39" t="n">
        <f aca="false">IF(DE$4=0,0,IF(COUNTIFS(実績!$W$6:$W$505,DE$3,実績!$AI$6:$AI$505,"&lt;="&amp;$A200,実績!$AJ$6:$AJ$505,"&gt;"&amp;$A200,実績!$AK$6:$AK$505,"○")&gt;0,1,0))</f>
        <v>0</v>
      </c>
      <c r="DF200" s="39" t="n">
        <f aca="false">IF(DF$4=0,0,IF(COUNTIFS(実績!$W$6:$W$505,DF$3,実績!$AI$6:$AI$505,"&lt;="&amp;$A200,実績!$AJ$6:$AJ$505,"&gt;"&amp;$A200,実績!$AK$6:$AK$505,"○")&gt;0,1,0))</f>
        <v>0</v>
      </c>
      <c r="DG200" s="39" t="n">
        <f aca="false">IF(DG$4=0,0,IF(COUNTIFS(実績!$W$6:$W$505,DG$3,実績!$AI$6:$AI$505,"&lt;="&amp;$A200,実績!$AJ$6:$AJ$505,"&gt;"&amp;$A200,実績!$AK$6:$AK$505,"○")&gt;0,1,0))</f>
        <v>0</v>
      </c>
      <c r="DH200" s="39" t="n">
        <f aca="false">IF(DH$4=0,0,IF(COUNTIFS(実績!$W$6:$W$505,DH$3,実績!$AI$6:$AI$505,"&lt;="&amp;$A200,実績!$AJ$6:$AJ$505,"&gt;"&amp;$A200,実績!$AK$6:$AK$505,"○")&gt;0,1,0))</f>
        <v>0</v>
      </c>
      <c r="DI200" s="39" t="n">
        <f aca="false">IF(DI$4=0,0,IF(COUNTIFS(実績!$W$6:$W$505,DI$3,実績!$AI$6:$AI$505,"&lt;="&amp;$A200,実績!$AJ$6:$AJ$505,"&gt;"&amp;$A200,実績!$AK$6:$AK$505,"○")&gt;0,1,0))</f>
        <v>0</v>
      </c>
      <c r="DJ200" s="39" t="n">
        <f aca="false">IF(DJ$4=0,0,IF(COUNTIFS(実績!$W$6:$W$505,DJ$3,実績!$AI$6:$AI$505,"&lt;="&amp;$A200,実績!$AJ$6:$AJ$505,"&gt;"&amp;$A200,実績!$AK$6:$AK$505,"○")&gt;0,1,0))</f>
        <v>0</v>
      </c>
      <c r="DK200" s="39" t="n">
        <f aca="false">IF(DK$4=0,0,IF(COUNTIFS(実績!$W$6:$W$505,DK$3,実績!$AI$6:$AI$505,"&lt;="&amp;$A200,実績!$AJ$6:$AJ$505,"&gt;"&amp;$A200,実績!$AK$6:$AK$505,"○")&gt;0,1,0))</f>
        <v>0</v>
      </c>
      <c r="DL200" s="39" t="n">
        <f aca="false">IF(DL$4=0,0,IF(COUNTIFS(実績!$W$6:$W$505,DL$3,実績!$AI$6:$AI$505,"&lt;="&amp;$A200,実績!$AJ$6:$AJ$505,"&gt;"&amp;$A200,実績!$AK$6:$AK$505,"○")&gt;0,1,0))</f>
        <v>0</v>
      </c>
      <c r="DM200" s="39" t="n">
        <f aca="false">IF(DM$4=0,0,IF(COUNTIFS(実績!$W$6:$W$505,DM$3,実績!$AI$6:$AI$505,"&lt;="&amp;$A200,実績!$AJ$6:$AJ$505,"&gt;"&amp;$A200,実績!$AK$6:$AK$505,"○")&gt;0,1,0))</f>
        <v>0</v>
      </c>
      <c r="DN200" s="39" t="n">
        <f aca="false">IF(DN$4=0,0,IF(COUNTIFS(実績!$W$6:$W$505,DN$3,実績!$AI$6:$AI$505,"&lt;="&amp;$A200,実績!$AJ$6:$AJ$505,"&gt;"&amp;$A200,実績!$AK$6:$AK$505,"○")&gt;0,1,0))</f>
        <v>0</v>
      </c>
      <c r="DO200" s="39" t="n">
        <f aca="false">IF(DO$4=0,0,IF(COUNTIFS(実績!$W$6:$W$505,DO$3,実績!$AI$6:$AI$505,"&lt;="&amp;$A200,実績!$AJ$6:$AJ$505,"&gt;"&amp;$A200,実績!$AK$6:$AK$505,"○")&gt;0,1,0))</f>
        <v>0</v>
      </c>
      <c r="DP200" s="39" t="n">
        <f aca="false">IF(DP$4=0,0,IF(COUNTIFS(実績!$W$6:$W$505,DP$3,実績!$AI$6:$AI$505,"&lt;="&amp;$A200,実績!$AJ$6:$AJ$505,"&gt;"&amp;$A200,実績!$AK$6:$AK$505,"○")&gt;0,1,0))</f>
        <v>0</v>
      </c>
      <c r="DQ200" s="39" t="n">
        <f aca="false">IF(DQ$4=0,0,IF(COUNTIFS(実績!$W$6:$W$505,DQ$3,実績!$AI$6:$AI$505,"&lt;="&amp;$A200,実績!$AJ$6:$AJ$505,"&gt;"&amp;$A200,実績!$AK$6:$AK$505,"○")&gt;0,1,0))</f>
        <v>0</v>
      </c>
      <c r="DR200" s="39" t="n">
        <f aca="false">IF(DR$4=0,0,IF(COUNTIFS(実績!$W$6:$W$505,DR$3,実績!$AI$6:$AI$505,"&lt;="&amp;$A200,実績!$AJ$6:$AJ$505,"&gt;"&amp;$A200,実績!$AK$6:$AK$505,"○")&gt;0,1,0))</f>
        <v>0</v>
      </c>
      <c r="DS200" s="39" t="n">
        <f aca="false">SUM(C200:DR200)</f>
        <v>0</v>
      </c>
      <c r="DT200" s="39" t="n">
        <f aca="false">SUMPRODUCT((実績!$C$6:$C$505="○")*ISNUMBER(実績!$AM$6:$AM$505)*(実績!$AM$6:$AM$505&lt;=$A200)*(実績!$AN$6:$AN$505&gt;$A200))</f>
        <v>0</v>
      </c>
      <c r="DU200" s="39" t="n">
        <f aca="false">SUMIF($C$2:$DR$2,"製鉄曳船",C200:DR200)</f>
        <v>0</v>
      </c>
      <c r="DV200" s="39" t="n">
        <f aca="false">SUMIF($C$2:$DR$2,"西日本海運",C200:DR200)</f>
        <v>0</v>
      </c>
    </row>
    <row r="201" customFormat="false" ht="15" hidden="false" customHeight="false" outlineLevel="0" collapsed="false">
      <c r="A201" s="0" t="n">
        <v>975</v>
      </c>
      <c r="B201" s="38" t="n">
        <f aca="false">A201/1440</f>
        <v>0.677083333333333</v>
      </c>
      <c r="C201" s="39" t="n">
        <f aca="false">IF(C$4=0,0,IF(COUNTIFS(実績!$W$6:$W$505,C$3,実績!$AI$6:$AI$505,"&lt;="&amp;$A201,実績!$AJ$6:$AJ$505,"&gt;"&amp;$A201,実績!$AK$6:$AK$505,"○")&gt;0,1,0))</f>
        <v>0</v>
      </c>
      <c r="D201" s="39" t="n">
        <f aca="false">IF(D$4=0,0,IF(COUNTIFS(実績!$W$6:$W$505,D$3,実績!$AI$6:$AI$505,"&lt;="&amp;$A201,実績!$AJ$6:$AJ$505,"&gt;"&amp;$A201,実績!$AK$6:$AK$505,"○")&gt;0,1,0))</f>
        <v>0</v>
      </c>
      <c r="E201" s="39" t="n">
        <f aca="false">IF(E$4=0,0,IF(COUNTIFS(実績!$W$6:$W$505,E$3,実績!$AI$6:$AI$505,"&lt;="&amp;$A201,実績!$AJ$6:$AJ$505,"&gt;"&amp;$A201,実績!$AK$6:$AK$505,"○")&gt;0,1,0))</f>
        <v>0</v>
      </c>
      <c r="F201" s="39" t="n">
        <f aca="false">IF(F$4=0,0,IF(COUNTIFS(実績!$W$6:$W$505,F$3,実績!$AI$6:$AI$505,"&lt;="&amp;$A201,実績!$AJ$6:$AJ$505,"&gt;"&amp;$A201,実績!$AK$6:$AK$505,"○")&gt;0,1,0))</f>
        <v>0</v>
      </c>
      <c r="G201" s="39" t="n">
        <f aca="false">IF(G$4=0,0,IF(COUNTIFS(実績!$W$6:$W$505,G$3,実績!$AI$6:$AI$505,"&lt;="&amp;$A201,実績!$AJ$6:$AJ$505,"&gt;"&amp;$A201,実績!$AK$6:$AK$505,"○")&gt;0,1,0))</f>
        <v>0</v>
      </c>
      <c r="H201" s="39" t="n">
        <f aca="false">IF(H$4=0,0,IF(COUNTIFS(実績!$W$6:$W$505,H$3,実績!$AI$6:$AI$505,"&lt;="&amp;$A201,実績!$AJ$6:$AJ$505,"&gt;"&amp;$A201,実績!$AK$6:$AK$505,"○")&gt;0,1,0))</f>
        <v>0</v>
      </c>
      <c r="I201" s="39" t="n">
        <f aca="false">IF(I$4=0,0,IF(COUNTIFS(実績!$W$6:$W$505,I$3,実績!$AI$6:$AI$505,"&lt;="&amp;$A201,実績!$AJ$6:$AJ$505,"&gt;"&amp;$A201,実績!$AK$6:$AK$505,"○")&gt;0,1,0))</f>
        <v>0</v>
      </c>
      <c r="J201" s="39" t="n">
        <f aca="false">IF(J$4=0,0,IF(COUNTIFS(実績!$W$6:$W$505,J$3,実績!$AI$6:$AI$505,"&lt;="&amp;$A201,実績!$AJ$6:$AJ$505,"&gt;"&amp;$A201,実績!$AK$6:$AK$505,"○")&gt;0,1,0))</f>
        <v>0</v>
      </c>
      <c r="K201" s="39" t="n">
        <f aca="false">IF(K$4=0,0,IF(COUNTIFS(実績!$W$6:$W$505,K$3,実績!$AI$6:$AI$505,"&lt;="&amp;$A201,実績!$AJ$6:$AJ$505,"&gt;"&amp;$A201,実績!$AK$6:$AK$505,"○")&gt;0,1,0))</f>
        <v>0</v>
      </c>
      <c r="L201" s="39" t="n">
        <f aca="false">IF(L$4=0,0,IF(COUNTIFS(実績!$W$6:$W$505,L$3,実績!$AI$6:$AI$505,"&lt;="&amp;$A201,実績!$AJ$6:$AJ$505,"&gt;"&amp;$A201,実績!$AK$6:$AK$505,"○")&gt;0,1,0))</f>
        <v>0</v>
      </c>
      <c r="M201" s="39" t="n">
        <f aca="false">IF(M$4=0,0,IF(COUNTIFS(実績!$W$6:$W$505,M$3,実績!$AI$6:$AI$505,"&lt;="&amp;$A201,実績!$AJ$6:$AJ$505,"&gt;"&amp;$A201,実績!$AK$6:$AK$505,"○")&gt;0,1,0))</f>
        <v>0</v>
      </c>
      <c r="N201" s="39" t="n">
        <f aca="false">IF(N$4=0,0,IF(COUNTIFS(実績!$W$6:$W$505,N$3,実績!$AI$6:$AI$505,"&lt;="&amp;$A201,実績!$AJ$6:$AJ$505,"&gt;"&amp;$A201,実績!$AK$6:$AK$505,"○")&gt;0,1,0))</f>
        <v>0</v>
      </c>
      <c r="O201" s="39" t="n">
        <f aca="false">IF(O$4=0,0,IF(COUNTIFS(実績!$W$6:$W$505,O$3,実績!$AI$6:$AI$505,"&lt;="&amp;$A201,実績!$AJ$6:$AJ$505,"&gt;"&amp;$A201,実績!$AK$6:$AK$505,"○")&gt;0,1,0))</f>
        <v>0</v>
      </c>
      <c r="P201" s="39" t="n">
        <f aca="false">IF(P$4=0,0,IF(COUNTIFS(実績!$W$6:$W$505,P$3,実績!$AI$6:$AI$505,"&lt;="&amp;$A201,実績!$AJ$6:$AJ$505,"&gt;"&amp;$A201,実績!$AK$6:$AK$505,"○")&gt;0,1,0))</f>
        <v>0</v>
      </c>
      <c r="Q201" s="39" t="n">
        <f aca="false">IF(Q$4=0,0,IF(COUNTIFS(実績!$W$6:$W$505,Q$3,実績!$AI$6:$AI$505,"&lt;="&amp;$A201,実績!$AJ$6:$AJ$505,"&gt;"&amp;$A201,実績!$AK$6:$AK$505,"○")&gt;0,1,0))</f>
        <v>0</v>
      </c>
      <c r="R201" s="39" t="n">
        <f aca="false">IF(R$4=0,0,IF(COUNTIFS(実績!$W$6:$W$505,R$3,実績!$AI$6:$AI$505,"&lt;="&amp;$A201,実績!$AJ$6:$AJ$505,"&gt;"&amp;$A201,実績!$AK$6:$AK$505,"○")&gt;0,1,0))</f>
        <v>0</v>
      </c>
      <c r="S201" s="39" t="n">
        <f aca="false">IF(S$4=0,0,IF(COUNTIFS(実績!$W$6:$W$505,S$3,実績!$AI$6:$AI$505,"&lt;="&amp;$A201,実績!$AJ$6:$AJ$505,"&gt;"&amp;$A201,実績!$AK$6:$AK$505,"○")&gt;0,1,0))</f>
        <v>0</v>
      </c>
      <c r="T201" s="39" t="n">
        <f aca="false">IF(T$4=0,0,IF(COUNTIFS(実績!$W$6:$W$505,T$3,実績!$AI$6:$AI$505,"&lt;="&amp;$A201,実績!$AJ$6:$AJ$505,"&gt;"&amp;$A201,実績!$AK$6:$AK$505,"○")&gt;0,1,0))</f>
        <v>0</v>
      </c>
      <c r="U201" s="39" t="n">
        <f aca="false">IF(U$4=0,0,IF(COUNTIFS(実績!$W$6:$W$505,U$3,実績!$AI$6:$AI$505,"&lt;="&amp;$A201,実績!$AJ$6:$AJ$505,"&gt;"&amp;$A201,実績!$AK$6:$AK$505,"○")&gt;0,1,0))</f>
        <v>0</v>
      </c>
      <c r="V201" s="39" t="n">
        <f aca="false">IF(V$4=0,0,IF(COUNTIFS(実績!$W$6:$W$505,V$3,実績!$AI$6:$AI$505,"&lt;="&amp;$A201,実績!$AJ$6:$AJ$505,"&gt;"&amp;$A201,実績!$AK$6:$AK$505,"○")&gt;0,1,0))</f>
        <v>0</v>
      </c>
      <c r="W201" s="39" t="n">
        <f aca="false">IF(W$4=0,0,IF(COUNTIFS(実績!$W$6:$W$505,W$3,実績!$AI$6:$AI$505,"&lt;="&amp;$A201,実績!$AJ$6:$AJ$505,"&gt;"&amp;$A201,実績!$AK$6:$AK$505,"○")&gt;0,1,0))</f>
        <v>0</v>
      </c>
      <c r="X201" s="39" t="n">
        <f aca="false">IF(X$4=0,0,IF(COUNTIFS(実績!$W$6:$W$505,X$3,実績!$AI$6:$AI$505,"&lt;="&amp;$A201,実績!$AJ$6:$AJ$505,"&gt;"&amp;$A201,実績!$AK$6:$AK$505,"○")&gt;0,1,0))</f>
        <v>0</v>
      </c>
      <c r="Y201" s="39" t="n">
        <f aca="false">IF(Y$4=0,0,IF(COUNTIFS(実績!$W$6:$W$505,Y$3,実績!$AI$6:$AI$505,"&lt;="&amp;$A201,実績!$AJ$6:$AJ$505,"&gt;"&amp;$A201,実績!$AK$6:$AK$505,"○")&gt;0,1,0))</f>
        <v>0</v>
      </c>
      <c r="Z201" s="39" t="n">
        <f aca="false">IF(Z$4=0,0,IF(COUNTIFS(実績!$W$6:$W$505,Z$3,実績!$AI$6:$AI$505,"&lt;="&amp;$A201,実績!$AJ$6:$AJ$505,"&gt;"&amp;$A201,実績!$AK$6:$AK$505,"○")&gt;0,1,0))</f>
        <v>0</v>
      </c>
      <c r="AA201" s="39" t="n">
        <f aca="false">IF(AA$4=0,0,IF(COUNTIFS(実績!$W$6:$W$505,AA$3,実績!$AI$6:$AI$505,"&lt;="&amp;$A201,実績!$AJ$6:$AJ$505,"&gt;"&amp;$A201,実績!$AK$6:$AK$505,"○")&gt;0,1,0))</f>
        <v>0</v>
      </c>
      <c r="AB201" s="39" t="n">
        <f aca="false">IF(AB$4=0,0,IF(COUNTIFS(実績!$W$6:$W$505,AB$3,実績!$AI$6:$AI$505,"&lt;="&amp;$A201,実績!$AJ$6:$AJ$505,"&gt;"&amp;$A201,実績!$AK$6:$AK$505,"○")&gt;0,1,0))</f>
        <v>0</v>
      </c>
      <c r="AC201" s="39" t="n">
        <f aca="false">IF(AC$4=0,0,IF(COUNTIFS(実績!$W$6:$W$505,AC$3,実績!$AI$6:$AI$505,"&lt;="&amp;$A201,実績!$AJ$6:$AJ$505,"&gt;"&amp;$A201,実績!$AK$6:$AK$505,"○")&gt;0,1,0))</f>
        <v>0</v>
      </c>
      <c r="AD201" s="39" t="n">
        <f aca="false">IF(AD$4=0,0,IF(COUNTIFS(実績!$W$6:$W$505,AD$3,実績!$AI$6:$AI$505,"&lt;="&amp;$A201,実績!$AJ$6:$AJ$505,"&gt;"&amp;$A201,実績!$AK$6:$AK$505,"○")&gt;0,1,0))</f>
        <v>0</v>
      </c>
      <c r="AE201" s="39" t="n">
        <f aca="false">IF(AE$4=0,0,IF(COUNTIFS(実績!$W$6:$W$505,AE$3,実績!$AI$6:$AI$505,"&lt;="&amp;$A201,実績!$AJ$6:$AJ$505,"&gt;"&amp;$A201,実績!$AK$6:$AK$505,"○")&gt;0,1,0))</f>
        <v>0</v>
      </c>
      <c r="AF201" s="39" t="n">
        <f aca="false">IF(AF$4=0,0,IF(COUNTIFS(実績!$W$6:$W$505,AF$3,実績!$AI$6:$AI$505,"&lt;="&amp;$A201,実績!$AJ$6:$AJ$505,"&gt;"&amp;$A201,実績!$AK$6:$AK$505,"○")&gt;0,1,0))</f>
        <v>0</v>
      </c>
      <c r="AG201" s="39" t="n">
        <f aca="false">IF(AG$4=0,0,IF(COUNTIFS(実績!$W$6:$W$505,AG$3,実績!$AI$6:$AI$505,"&lt;="&amp;$A201,実績!$AJ$6:$AJ$505,"&gt;"&amp;$A201,実績!$AK$6:$AK$505,"○")&gt;0,1,0))</f>
        <v>0</v>
      </c>
      <c r="AH201" s="39" t="n">
        <f aca="false">IF(AH$4=0,0,IF(COUNTIFS(実績!$W$6:$W$505,AH$3,実績!$AI$6:$AI$505,"&lt;="&amp;$A201,実績!$AJ$6:$AJ$505,"&gt;"&amp;$A201,実績!$AK$6:$AK$505,"○")&gt;0,1,0))</f>
        <v>0</v>
      </c>
      <c r="AI201" s="39" t="n">
        <f aca="false">IF(AI$4=0,0,IF(COUNTIFS(実績!$W$6:$W$505,AI$3,実績!$AI$6:$AI$505,"&lt;="&amp;$A201,実績!$AJ$6:$AJ$505,"&gt;"&amp;$A201,実績!$AK$6:$AK$505,"○")&gt;0,1,0))</f>
        <v>0</v>
      </c>
      <c r="AJ201" s="39" t="n">
        <f aca="false">IF(AJ$4=0,0,IF(COUNTIFS(実績!$W$6:$W$505,AJ$3,実績!$AI$6:$AI$505,"&lt;="&amp;$A201,実績!$AJ$6:$AJ$505,"&gt;"&amp;$A201,実績!$AK$6:$AK$505,"○")&gt;0,1,0))</f>
        <v>0</v>
      </c>
      <c r="AK201" s="39" t="n">
        <f aca="false">IF(AK$4=0,0,IF(COUNTIFS(実績!$W$6:$W$505,AK$3,実績!$AI$6:$AI$505,"&lt;="&amp;$A201,実績!$AJ$6:$AJ$505,"&gt;"&amp;$A201,実績!$AK$6:$AK$505,"○")&gt;0,1,0))</f>
        <v>0</v>
      </c>
      <c r="AL201" s="39" t="n">
        <f aca="false">IF(AL$4=0,0,IF(COUNTIFS(実績!$W$6:$W$505,AL$3,実績!$AI$6:$AI$505,"&lt;="&amp;$A201,実績!$AJ$6:$AJ$505,"&gt;"&amp;$A201,実績!$AK$6:$AK$505,"○")&gt;0,1,0))</f>
        <v>0</v>
      </c>
      <c r="AM201" s="39" t="n">
        <f aca="false">IF(AM$4=0,0,IF(COUNTIFS(実績!$W$6:$W$505,AM$3,実績!$AI$6:$AI$505,"&lt;="&amp;$A201,実績!$AJ$6:$AJ$505,"&gt;"&amp;$A201,実績!$AK$6:$AK$505,"○")&gt;0,1,0))</f>
        <v>0</v>
      </c>
      <c r="AN201" s="39" t="n">
        <f aca="false">IF(AN$4=0,0,IF(COUNTIFS(実績!$W$6:$W$505,AN$3,実績!$AI$6:$AI$505,"&lt;="&amp;$A201,実績!$AJ$6:$AJ$505,"&gt;"&amp;$A201,実績!$AK$6:$AK$505,"○")&gt;0,1,0))</f>
        <v>0</v>
      </c>
      <c r="AO201" s="39" t="n">
        <f aca="false">IF(AO$4=0,0,IF(COUNTIFS(実績!$W$6:$W$505,AO$3,実績!$AI$6:$AI$505,"&lt;="&amp;$A201,実績!$AJ$6:$AJ$505,"&gt;"&amp;$A201,実績!$AK$6:$AK$505,"○")&gt;0,1,0))</f>
        <v>0</v>
      </c>
      <c r="AP201" s="39" t="n">
        <f aca="false">IF(AP$4=0,0,IF(COUNTIFS(実績!$W$6:$W$505,AP$3,実績!$AI$6:$AI$505,"&lt;="&amp;$A201,実績!$AJ$6:$AJ$505,"&gt;"&amp;$A201,実績!$AK$6:$AK$505,"○")&gt;0,1,0))</f>
        <v>0</v>
      </c>
      <c r="AQ201" s="39" t="n">
        <f aca="false">IF(AQ$4=0,0,IF(COUNTIFS(実績!$W$6:$W$505,AQ$3,実績!$AI$6:$AI$505,"&lt;="&amp;$A201,実績!$AJ$6:$AJ$505,"&gt;"&amp;$A201,実績!$AK$6:$AK$505,"○")&gt;0,1,0))</f>
        <v>0</v>
      </c>
      <c r="AR201" s="39" t="n">
        <f aca="false">IF(AR$4=0,0,IF(COUNTIFS(実績!$W$6:$W$505,AR$3,実績!$AI$6:$AI$505,"&lt;="&amp;$A201,実績!$AJ$6:$AJ$505,"&gt;"&amp;$A201,実績!$AK$6:$AK$505,"○")&gt;0,1,0))</f>
        <v>0</v>
      </c>
      <c r="AS201" s="39" t="n">
        <f aca="false">IF(AS$4=0,0,IF(COUNTIFS(実績!$W$6:$W$505,AS$3,実績!$AI$6:$AI$505,"&lt;="&amp;$A201,実績!$AJ$6:$AJ$505,"&gt;"&amp;$A201,実績!$AK$6:$AK$505,"○")&gt;0,1,0))</f>
        <v>0</v>
      </c>
      <c r="AT201" s="39" t="n">
        <f aca="false">IF(AT$4=0,0,IF(COUNTIFS(実績!$W$6:$W$505,AT$3,実績!$AI$6:$AI$505,"&lt;="&amp;$A201,実績!$AJ$6:$AJ$505,"&gt;"&amp;$A201,実績!$AK$6:$AK$505,"○")&gt;0,1,0))</f>
        <v>0</v>
      </c>
      <c r="AU201" s="39" t="n">
        <f aca="false">IF(AU$4=0,0,IF(COUNTIFS(実績!$W$6:$W$505,AU$3,実績!$AI$6:$AI$505,"&lt;="&amp;$A201,実績!$AJ$6:$AJ$505,"&gt;"&amp;$A201,実績!$AK$6:$AK$505,"○")&gt;0,1,0))</f>
        <v>0</v>
      </c>
      <c r="AV201" s="39" t="n">
        <f aca="false">IF(AV$4=0,0,IF(COUNTIFS(実績!$W$6:$W$505,AV$3,実績!$AI$6:$AI$505,"&lt;="&amp;$A201,実績!$AJ$6:$AJ$505,"&gt;"&amp;$A201,実績!$AK$6:$AK$505,"○")&gt;0,1,0))</f>
        <v>0</v>
      </c>
      <c r="AW201" s="39" t="n">
        <f aca="false">IF(AW$4=0,0,IF(COUNTIFS(実績!$W$6:$W$505,AW$3,実績!$AI$6:$AI$505,"&lt;="&amp;$A201,実績!$AJ$6:$AJ$505,"&gt;"&amp;$A201,実績!$AK$6:$AK$505,"○")&gt;0,1,0))</f>
        <v>0</v>
      </c>
      <c r="AX201" s="39" t="n">
        <f aca="false">IF(AX$4=0,0,IF(COUNTIFS(実績!$W$6:$W$505,AX$3,実績!$AI$6:$AI$505,"&lt;="&amp;$A201,実績!$AJ$6:$AJ$505,"&gt;"&amp;$A201,実績!$AK$6:$AK$505,"○")&gt;0,1,0))</f>
        <v>0</v>
      </c>
      <c r="AY201" s="39" t="n">
        <f aca="false">IF(AY$4=0,0,IF(COUNTIFS(実績!$W$6:$W$505,AY$3,実績!$AI$6:$AI$505,"&lt;="&amp;$A201,実績!$AJ$6:$AJ$505,"&gt;"&amp;$A201,実績!$AK$6:$AK$505,"○")&gt;0,1,0))</f>
        <v>0</v>
      </c>
      <c r="AZ201" s="39" t="n">
        <f aca="false">IF(AZ$4=0,0,IF(COUNTIFS(実績!$W$6:$W$505,AZ$3,実績!$AI$6:$AI$505,"&lt;="&amp;$A201,実績!$AJ$6:$AJ$505,"&gt;"&amp;$A201,実績!$AK$6:$AK$505,"○")&gt;0,1,0))</f>
        <v>0</v>
      </c>
      <c r="BA201" s="39" t="n">
        <f aca="false">IF(BA$4=0,0,IF(COUNTIFS(実績!$W$6:$W$505,BA$3,実績!$AI$6:$AI$505,"&lt;="&amp;$A201,実績!$AJ$6:$AJ$505,"&gt;"&amp;$A201,実績!$AK$6:$AK$505,"○")&gt;0,1,0))</f>
        <v>0</v>
      </c>
      <c r="BB201" s="39" t="n">
        <f aca="false">IF(BB$4=0,0,IF(COUNTIFS(実績!$W$6:$W$505,BB$3,実績!$AI$6:$AI$505,"&lt;="&amp;$A201,実績!$AJ$6:$AJ$505,"&gt;"&amp;$A201,実績!$AK$6:$AK$505,"○")&gt;0,1,0))</f>
        <v>0</v>
      </c>
      <c r="BC201" s="39" t="n">
        <f aca="false">IF(BC$4=0,0,IF(COUNTIFS(実績!$W$6:$W$505,BC$3,実績!$AI$6:$AI$505,"&lt;="&amp;$A201,実績!$AJ$6:$AJ$505,"&gt;"&amp;$A201,実績!$AK$6:$AK$505,"○")&gt;0,1,0))</f>
        <v>0</v>
      </c>
      <c r="BD201" s="39" t="n">
        <f aca="false">IF(BD$4=0,0,IF(COUNTIFS(実績!$W$6:$W$505,BD$3,実績!$AI$6:$AI$505,"&lt;="&amp;$A201,実績!$AJ$6:$AJ$505,"&gt;"&amp;$A201,実績!$AK$6:$AK$505,"○")&gt;0,1,0))</f>
        <v>0</v>
      </c>
      <c r="BE201" s="39" t="n">
        <f aca="false">IF(BE$4=0,0,IF(COUNTIFS(実績!$W$6:$W$505,BE$3,実績!$AI$6:$AI$505,"&lt;="&amp;$A201,実績!$AJ$6:$AJ$505,"&gt;"&amp;$A201,実績!$AK$6:$AK$505,"○")&gt;0,1,0))</f>
        <v>0</v>
      </c>
      <c r="BF201" s="39" t="n">
        <f aca="false">IF(BF$4=0,0,IF(COUNTIFS(実績!$W$6:$W$505,BF$3,実績!$AI$6:$AI$505,"&lt;="&amp;$A201,実績!$AJ$6:$AJ$505,"&gt;"&amp;$A201,実績!$AK$6:$AK$505,"○")&gt;0,1,0))</f>
        <v>0</v>
      </c>
      <c r="BG201" s="39" t="n">
        <f aca="false">IF(BG$4=0,0,IF(COUNTIFS(実績!$W$6:$W$505,BG$3,実績!$AI$6:$AI$505,"&lt;="&amp;$A201,実績!$AJ$6:$AJ$505,"&gt;"&amp;$A201,実績!$AK$6:$AK$505,"○")&gt;0,1,0))</f>
        <v>0</v>
      </c>
      <c r="BH201" s="39" t="n">
        <f aca="false">IF(BH$4=0,0,IF(COUNTIFS(実績!$W$6:$W$505,BH$3,実績!$AI$6:$AI$505,"&lt;="&amp;$A201,実績!$AJ$6:$AJ$505,"&gt;"&amp;$A201,実績!$AK$6:$AK$505,"○")&gt;0,1,0))</f>
        <v>0</v>
      </c>
      <c r="BI201" s="39" t="n">
        <f aca="false">IF(BI$4=0,0,IF(COUNTIFS(実績!$W$6:$W$505,BI$3,実績!$AI$6:$AI$505,"&lt;="&amp;$A201,実績!$AJ$6:$AJ$505,"&gt;"&amp;$A201,実績!$AK$6:$AK$505,"○")&gt;0,1,0))</f>
        <v>0</v>
      </c>
      <c r="BJ201" s="39" t="n">
        <f aca="false">IF(BJ$4=0,0,IF(COUNTIFS(実績!$W$6:$W$505,BJ$3,実績!$AI$6:$AI$505,"&lt;="&amp;$A201,実績!$AJ$6:$AJ$505,"&gt;"&amp;$A201,実績!$AK$6:$AK$505,"○")&gt;0,1,0))</f>
        <v>0</v>
      </c>
      <c r="BK201" s="39" t="n">
        <f aca="false">IF(BK$4=0,0,IF(COUNTIFS(実績!$W$6:$W$505,BK$3,実績!$AI$6:$AI$505,"&lt;="&amp;$A201,実績!$AJ$6:$AJ$505,"&gt;"&amp;$A201,実績!$AK$6:$AK$505,"○")&gt;0,1,0))</f>
        <v>0</v>
      </c>
      <c r="BL201" s="39" t="n">
        <f aca="false">IF(BL$4=0,0,IF(COUNTIFS(実績!$W$6:$W$505,BL$3,実績!$AI$6:$AI$505,"&lt;="&amp;$A201,実績!$AJ$6:$AJ$505,"&gt;"&amp;$A201,実績!$AK$6:$AK$505,"○")&gt;0,1,0))</f>
        <v>0</v>
      </c>
      <c r="BM201" s="39" t="n">
        <f aca="false">IF(BM$4=0,0,IF(COUNTIFS(実績!$W$6:$W$505,BM$3,実績!$AI$6:$AI$505,"&lt;="&amp;$A201,実績!$AJ$6:$AJ$505,"&gt;"&amp;$A201,実績!$AK$6:$AK$505,"○")&gt;0,1,0))</f>
        <v>0</v>
      </c>
      <c r="BN201" s="39" t="n">
        <f aca="false">IF(BN$4=0,0,IF(COUNTIFS(実績!$W$6:$W$505,BN$3,実績!$AI$6:$AI$505,"&lt;="&amp;$A201,実績!$AJ$6:$AJ$505,"&gt;"&amp;$A201,実績!$AK$6:$AK$505,"○")&gt;0,1,0))</f>
        <v>0</v>
      </c>
      <c r="BO201" s="39" t="n">
        <f aca="false">IF(BO$4=0,0,IF(COUNTIFS(実績!$W$6:$W$505,BO$3,実績!$AI$6:$AI$505,"&lt;="&amp;$A201,実績!$AJ$6:$AJ$505,"&gt;"&amp;$A201,実績!$AK$6:$AK$505,"○")&gt;0,1,0))</f>
        <v>0</v>
      </c>
      <c r="BP201" s="39" t="n">
        <f aca="false">IF(BP$4=0,0,IF(COUNTIFS(実績!$W$6:$W$505,BP$3,実績!$AI$6:$AI$505,"&lt;="&amp;$A201,実績!$AJ$6:$AJ$505,"&gt;"&amp;$A201,実績!$AK$6:$AK$505,"○")&gt;0,1,0))</f>
        <v>0</v>
      </c>
      <c r="BQ201" s="39" t="n">
        <f aca="false">IF(BQ$4=0,0,IF(COUNTIFS(実績!$W$6:$W$505,BQ$3,実績!$AI$6:$AI$505,"&lt;="&amp;$A201,実績!$AJ$6:$AJ$505,"&gt;"&amp;$A201,実績!$AK$6:$AK$505,"○")&gt;0,1,0))</f>
        <v>0</v>
      </c>
      <c r="BR201" s="39" t="n">
        <f aca="false">IF(BR$4=0,0,IF(COUNTIFS(実績!$W$6:$W$505,BR$3,実績!$AI$6:$AI$505,"&lt;="&amp;$A201,実績!$AJ$6:$AJ$505,"&gt;"&amp;$A201,実績!$AK$6:$AK$505,"○")&gt;0,1,0))</f>
        <v>0</v>
      </c>
      <c r="BS201" s="39" t="n">
        <f aca="false">IF(BS$4=0,0,IF(COUNTIFS(実績!$W$6:$W$505,BS$3,実績!$AI$6:$AI$505,"&lt;="&amp;$A201,実績!$AJ$6:$AJ$505,"&gt;"&amp;$A201,実績!$AK$6:$AK$505,"○")&gt;0,1,0))</f>
        <v>0</v>
      </c>
      <c r="BT201" s="39" t="n">
        <f aca="false">IF(BT$4=0,0,IF(COUNTIFS(実績!$W$6:$W$505,BT$3,実績!$AI$6:$AI$505,"&lt;="&amp;$A201,実績!$AJ$6:$AJ$505,"&gt;"&amp;$A201,実績!$AK$6:$AK$505,"○")&gt;0,1,0))</f>
        <v>0</v>
      </c>
      <c r="BU201" s="39" t="n">
        <f aca="false">IF(BU$4=0,0,IF(COUNTIFS(実績!$W$6:$W$505,BU$3,実績!$AI$6:$AI$505,"&lt;="&amp;$A201,実績!$AJ$6:$AJ$505,"&gt;"&amp;$A201,実績!$AK$6:$AK$505,"○")&gt;0,1,0))</f>
        <v>0</v>
      </c>
      <c r="BV201" s="39" t="n">
        <f aca="false">IF(BV$4=0,0,IF(COUNTIFS(実績!$W$6:$W$505,BV$3,実績!$AI$6:$AI$505,"&lt;="&amp;$A201,実績!$AJ$6:$AJ$505,"&gt;"&amp;$A201,実績!$AK$6:$AK$505,"○")&gt;0,1,0))</f>
        <v>0</v>
      </c>
      <c r="BW201" s="39" t="n">
        <f aca="false">IF(BW$4=0,0,IF(COUNTIFS(実績!$W$6:$W$505,BW$3,実績!$AI$6:$AI$505,"&lt;="&amp;$A201,実績!$AJ$6:$AJ$505,"&gt;"&amp;$A201,実績!$AK$6:$AK$505,"○")&gt;0,1,0))</f>
        <v>0</v>
      </c>
      <c r="BX201" s="39" t="n">
        <f aca="false">IF(BX$4=0,0,IF(COUNTIFS(実績!$W$6:$W$505,BX$3,実績!$AI$6:$AI$505,"&lt;="&amp;$A201,実績!$AJ$6:$AJ$505,"&gt;"&amp;$A201,実績!$AK$6:$AK$505,"○")&gt;0,1,0))</f>
        <v>0</v>
      </c>
      <c r="BY201" s="39" t="n">
        <f aca="false">IF(BY$4=0,0,IF(COUNTIFS(実績!$W$6:$W$505,BY$3,実績!$AI$6:$AI$505,"&lt;="&amp;$A201,実績!$AJ$6:$AJ$505,"&gt;"&amp;$A201,実績!$AK$6:$AK$505,"○")&gt;0,1,0))</f>
        <v>0</v>
      </c>
      <c r="BZ201" s="39" t="n">
        <f aca="false">IF(BZ$4=0,0,IF(COUNTIFS(実績!$W$6:$W$505,BZ$3,実績!$AI$6:$AI$505,"&lt;="&amp;$A201,実績!$AJ$6:$AJ$505,"&gt;"&amp;$A201,実績!$AK$6:$AK$505,"○")&gt;0,1,0))</f>
        <v>0</v>
      </c>
      <c r="CA201" s="39" t="n">
        <f aca="false">IF(CA$4=0,0,IF(COUNTIFS(実績!$W$6:$W$505,CA$3,実績!$AI$6:$AI$505,"&lt;="&amp;$A201,実績!$AJ$6:$AJ$505,"&gt;"&amp;$A201,実績!$AK$6:$AK$505,"○")&gt;0,1,0))</f>
        <v>0</v>
      </c>
      <c r="CB201" s="39" t="n">
        <f aca="false">IF(CB$4=0,0,IF(COUNTIFS(実績!$W$6:$W$505,CB$3,実績!$AI$6:$AI$505,"&lt;="&amp;$A201,実績!$AJ$6:$AJ$505,"&gt;"&amp;$A201,実績!$AK$6:$AK$505,"○")&gt;0,1,0))</f>
        <v>0</v>
      </c>
      <c r="CC201" s="39" t="n">
        <f aca="false">IF(CC$4=0,0,IF(COUNTIFS(実績!$W$6:$W$505,CC$3,実績!$AI$6:$AI$505,"&lt;="&amp;$A201,実績!$AJ$6:$AJ$505,"&gt;"&amp;$A201,実績!$AK$6:$AK$505,"○")&gt;0,1,0))</f>
        <v>0</v>
      </c>
      <c r="CD201" s="39" t="n">
        <f aca="false">IF(CD$4=0,0,IF(COUNTIFS(実績!$W$6:$W$505,CD$3,実績!$AI$6:$AI$505,"&lt;="&amp;$A201,実績!$AJ$6:$AJ$505,"&gt;"&amp;$A201,実績!$AK$6:$AK$505,"○")&gt;0,1,0))</f>
        <v>0</v>
      </c>
      <c r="CE201" s="39" t="n">
        <f aca="false">IF(CE$4=0,0,IF(COUNTIFS(実績!$W$6:$W$505,CE$3,実績!$AI$6:$AI$505,"&lt;="&amp;$A201,実績!$AJ$6:$AJ$505,"&gt;"&amp;$A201,実績!$AK$6:$AK$505,"○")&gt;0,1,0))</f>
        <v>0</v>
      </c>
      <c r="CF201" s="39" t="n">
        <f aca="false">IF(CF$4=0,0,IF(COUNTIFS(実績!$W$6:$W$505,CF$3,実績!$AI$6:$AI$505,"&lt;="&amp;$A201,実績!$AJ$6:$AJ$505,"&gt;"&amp;$A201,実績!$AK$6:$AK$505,"○")&gt;0,1,0))</f>
        <v>0</v>
      </c>
      <c r="CG201" s="39" t="n">
        <f aca="false">IF(CG$4=0,0,IF(COUNTIFS(実績!$W$6:$W$505,CG$3,実績!$AI$6:$AI$505,"&lt;="&amp;$A201,実績!$AJ$6:$AJ$505,"&gt;"&amp;$A201,実績!$AK$6:$AK$505,"○")&gt;0,1,0))</f>
        <v>0</v>
      </c>
      <c r="CH201" s="39" t="n">
        <f aca="false">IF(CH$4=0,0,IF(COUNTIFS(実績!$W$6:$W$505,CH$3,実績!$AI$6:$AI$505,"&lt;="&amp;$A201,実績!$AJ$6:$AJ$505,"&gt;"&amp;$A201,実績!$AK$6:$AK$505,"○")&gt;0,1,0))</f>
        <v>0</v>
      </c>
      <c r="CI201" s="39" t="n">
        <f aca="false">IF(CI$4=0,0,IF(COUNTIFS(実績!$W$6:$W$505,CI$3,実績!$AI$6:$AI$505,"&lt;="&amp;$A201,実績!$AJ$6:$AJ$505,"&gt;"&amp;$A201,実績!$AK$6:$AK$505,"○")&gt;0,1,0))</f>
        <v>0</v>
      </c>
      <c r="CJ201" s="39" t="n">
        <f aca="false">IF(CJ$4=0,0,IF(COUNTIFS(実績!$W$6:$W$505,CJ$3,実績!$AI$6:$AI$505,"&lt;="&amp;$A201,実績!$AJ$6:$AJ$505,"&gt;"&amp;$A201,実績!$AK$6:$AK$505,"○")&gt;0,1,0))</f>
        <v>0</v>
      </c>
      <c r="CK201" s="39" t="n">
        <f aca="false">IF(CK$4=0,0,IF(COUNTIFS(実績!$W$6:$W$505,CK$3,実績!$AI$6:$AI$505,"&lt;="&amp;$A201,実績!$AJ$6:$AJ$505,"&gt;"&amp;$A201,実績!$AK$6:$AK$505,"○")&gt;0,1,0))</f>
        <v>0</v>
      </c>
      <c r="CL201" s="39" t="n">
        <f aca="false">IF(CL$4=0,0,IF(COUNTIFS(実績!$W$6:$W$505,CL$3,実績!$AI$6:$AI$505,"&lt;="&amp;$A201,実績!$AJ$6:$AJ$505,"&gt;"&amp;$A201,実績!$AK$6:$AK$505,"○")&gt;0,1,0))</f>
        <v>0</v>
      </c>
      <c r="CM201" s="39" t="n">
        <f aca="false">IF(CM$4=0,0,IF(COUNTIFS(実績!$W$6:$W$505,CM$3,実績!$AI$6:$AI$505,"&lt;="&amp;$A201,実績!$AJ$6:$AJ$505,"&gt;"&amp;$A201,実績!$AK$6:$AK$505,"○")&gt;0,1,0))</f>
        <v>0</v>
      </c>
      <c r="CN201" s="39" t="n">
        <f aca="false">IF(CN$4=0,0,IF(COUNTIFS(実績!$W$6:$W$505,CN$3,実績!$AI$6:$AI$505,"&lt;="&amp;$A201,実績!$AJ$6:$AJ$505,"&gt;"&amp;$A201,実績!$AK$6:$AK$505,"○")&gt;0,1,0))</f>
        <v>0</v>
      </c>
      <c r="CO201" s="39" t="n">
        <f aca="false">IF(CO$4=0,0,IF(COUNTIFS(実績!$W$6:$W$505,CO$3,実績!$AI$6:$AI$505,"&lt;="&amp;$A201,実績!$AJ$6:$AJ$505,"&gt;"&amp;$A201,実績!$AK$6:$AK$505,"○")&gt;0,1,0))</f>
        <v>0</v>
      </c>
      <c r="CP201" s="39" t="n">
        <f aca="false">IF(CP$4=0,0,IF(COUNTIFS(実績!$W$6:$W$505,CP$3,実績!$AI$6:$AI$505,"&lt;="&amp;$A201,実績!$AJ$6:$AJ$505,"&gt;"&amp;$A201,実績!$AK$6:$AK$505,"○")&gt;0,1,0))</f>
        <v>0</v>
      </c>
      <c r="CQ201" s="39" t="n">
        <f aca="false">IF(CQ$4=0,0,IF(COUNTIFS(実績!$W$6:$W$505,CQ$3,実績!$AI$6:$AI$505,"&lt;="&amp;$A201,実績!$AJ$6:$AJ$505,"&gt;"&amp;$A201,実績!$AK$6:$AK$505,"○")&gt;0,1,0))</f>
        <v>0</v>
      </c>
      <c r="CR201" s="39" t="n">
        <f aca="false">IF(CR$4=0,0,IF(COUNTIFS(実績!$W$6:$W$505,CR$3,実績!$AI$6:$AI$505,"&lt;="&amp;$A201,実績!$AJ$6:$AJ$505,"&gt;"&amp;$A201,実績!$AK$6:$AK$505,"○")&gt;0,1,0))</f>
        <v>0</v>
      </c>
      <c r="CS201" s="39" t="n">
        <f aca="false">IF(CS$4=0,0,IF(COUNTIFS(実績!$W$6:$W$505,CS$3,実績!$AI$6:$AI$505,"&lt;="&amp;$A201,実績!$AJ$6:$AJ$505,"&gt;"&amp;$A201,実績!$AK$6:$AK$505,"○")&gt;0,1,0))</f>
        <v>0</v>
      </c>
      <c r="CT201" s="39" t="n">
        <f aca="false">IF(CT$4=0,0,IF(COUNTIFS(実績!$W$6:$W$505,CT$3,実績!$AI$6:$AI$505,"&lt;="&amp;$A201,実績!$AJ$6:$AJ$505,"&gt;"&amp;$A201,実績!$AK$6:$AK$505,"○")&gt;0,1,0))</f>
        <v>0</v>
      </c>
      <c r="CU201" s="39" t="n">
        <f aca="false">IF(CU$4=0,0,IF(COUNTIFS(実績!$W$6:$W$505,CU$3,実績!$AI$6:$AI$505,"&lt;="&amp;$A201,実績!$AJ$6:$AJ$505,"&gt;"&amp;$A201,実績!$AK$6:$AK$505,"○")&gt;0,1,0))</f>
        <v>0</v>
      </c>
      <c r="CV201" s="39" t="n">
        <f aca="false">IF(CV$4=0,0,IF(COUNTIFS(実績!$W$6:$W$505,CV$3,実績!$AI$6:$AI$505,"&lt;="&amp;$A201,実績!$AJ$6:$AJ$505,"&gt;"&amp;$A201,実績!$AK$6:$AK$505,"○")&gt;0,1,0))</f>
        <v>0</v>
      </c>
      <c r="CW201" s="39" t="n">
        <f aca="false">IF(CW$4=0,0,IF(COUNTIFS(実績!$W$6:$W$505,CW$3,実績!$AI$6:$AI$505,"&lt;="&amp;$A201,実績!$AJ$6:$AJ$505,"&gt;"&amp;$A201,実績!$AK$6:$AK$505,"○")&gt;0,1,0))</f>
        <v>0</v>
      </c>
      <c r="CX201" s="39" t="n">
        <f aca="false">IF(CX$4=0,0,IF(COUNTIFS(実績!$W$6:$W$505,CX$3,実績!$AI$6:$AI$505,"&lt;="&amp;$A201,実績!$AJ$6:$AJ$505,"&gt;"&amp;$A201,実績!$AK$6:$AK$505,"○")&gt;0,1,0))</f>
        <v>0</v>
      </c>
      <c r="CY201" s="39" t="n">
        <f aca="false">IF(CY$4=0,0,IF(COUNTIFS(実績!$W$6:$W$505,CY$3,実績!$AI$6:$AI$505,"&lt;="&amp;$A201,実績!$AJ$6:$AJ$505,"&gt;"&amp;$A201,実績!$AK$6:$AK$505,"○")&gt;0,1,0))</f>
        <v>0</v>
      </c>
      <c r="CZ201" s="39" t="n">
        <f aca="false">IF(CZ$4=0,0,IF(COUNTIFS(実績!$W$6:$W$505,CZ$3,実績!$AI$6:$AI$505,"&lt;="&amp;$A201,実績!$AJ$6:$AJ$505,"&gt;"&amp;$A201,実績!$AK$6:$AK$505,"○")&gt;0,1,0))</f>
        <v>0</v>
      </c>
      <c r="DA201" s="39" t="n">
        <f aca="false">IF(DA$4=0,0,IF(COUNTIFS(実績!$W$6:$W$505,DA$3,実績!$AI$6:$AI$505,"&lt;="&amp;$A201,実績!$AJ$6:$AJ$505,"&gt;"&amp;$A201,実績!$AK$6:$AK$505,"○")&gt;0,1,0))</f>
        <v>0</v>
      </c>
      <c r="DB201" s="39" t="n">
        <f aca="false">IF(DB$4=0,0,IF(COUNTIFS(実績!$W$6:$W$505,DB$3,実績!$AI$6:$AI$505,"&lt;="&amp;$A201,実績!$AJ$6:$AJ$505,"&gt;"&amp;$A201,実績!$AK$6:$AK$505,"○")&gt;0,1,0))</f>
        <v>0</v>
      </c>
      <c r="DC201" s="39" t="n">
        <f aca="false">IF(DC$4=0,0,IF(COUNTIFS(実績!$W$6:$W$505,DC$3,実績!$AI$6:$AI$505,"&lt;="&amp;$A201,実績!$AJ$6:$AJ$505,"&gt;"&amp;$A201,実績!$AK$6:$AK$505,"○")&gt;0,1,0))</f>
        <v>0</v>
      </c>
      <c r="DD201" s="39" t="n">
        <f aca="false">IF(DD$4=0,0,IF(COUNTIFS(実績!$W$6:$W$505,DD$3,実績!$AI$6:$AI$505,"&lt;="&amp;$A201,実績!$AJ$6:$AJ$505,"&gt;"&amp;$A201,実績!$AK$6:$AK$505,"○")&gt;0,1,0))</f>
        <v>0</v>
      </c>
      <c r="DE201" s="39" t="n">
        <f aca="false">IF(DE$4=0,0,IF(COUNTIFS(実績!$W$6:$W$505,DE$3,実績!$AI$6:$AI$505,"&lt;="&amp;$A201,実績!$AJ$6:$AJ$505,"&gt;"&amp;$A201,実績!$AK$6:$AK$505,"○")&gt;0,1,0))</f>
        <v>0</v>
      </c>
      <c r="DF201" s="39" t="n">
        <f aca="false">IF(DF$4=0,0,IF(COUNTIFS(実績!$W$6:$W$505,DF$3,実績!$AI$6:$AI$505,"&lt;="&amp;$A201,実績!$AJ$6:$AJ$505,"&gt;"&amp;$A201,実績!$AK$6:$AK$505,"○")&gt;0,1,0))</f>
        <v>0</v>
      </c>
      <c r="DG201" s="39" t="n">
        <f aca="false">IF(DG$4=0,0,IF(COUNTIFS(実績!$W$6:$W$505,DG$3,実績!$AI$6:$AI$505,"&lt;="&amp;$A201,実績!$AJ$6:$AJ$505,"&gt;"&amp;$A201,実績!$AK$6:$AK$505,"○")&gt;0,1,0))</f>
        <v>0</v>
      </c>
      <c r="DH201" s="39" t="n">
        <f aca="false">IF(DH$4=0,0,IF(COUNTIFS(実績!$W$6:$W$505,DH$3,実績!$AI$6:$AI$505,"&lt;="&amp;$A201,実績!$AJ$6:$AJ$505,"&gt;"&amp;$A201,実績!$AK$6:$AK$505,"○")&gt;0,1,0))</f>
        <v>0</v>
      </c>
      <c r="DI201" s="39" t="n">
        <f aca="false">IF(DI$4=0,0,IF(COUNTIFS(実績!$W$6:$W$505,DI$3,実績!$AI$6:$AI$505,"&lt;="&amp;$A201,実績!$AJ$6:$AJ$505,"&gt;"&amp;$A201,実績!$AK$6:$AK$505,"○")&gt;0,1,0))</f>
        <v>0</v>
      </c>
      <c r="DJ201" s="39" t="n">
        <f aca="false">IF(DJ$4=0,0,IF(COUNTIFS(実績!$W$6:$W$505,DJ$3,実績!$AI$6:$AI$505,"&lt;="&amp;$A201,実績!$AJ$6:$AJ$505,"&gt;"&amp;$A201,実績!$AK$6:$AK$505,"○")&gt;0,1,0))</f>
        <v>0</v>
      </c>
      <c r="DK201" s="39" t="n">
        <f aca="false">IF(DK$4=0,0,IF(COUNTIFS(実績!$W$6:$W$505,DK$3,実績!$AI$6:$AI$505,"&lt;="&amp;$A201,実績!$AJ$6:$AJ$505,"&gt;"&amp;$A201,実績!$AK$6:$AK$505,"○")&gt;0,1,0))</f>
        <v>0</v>
      </c>
      <c r="DL201" s="39" t="n">
        <f aca="false">IF(DL$4=0,0,IF(COUNTIFS(実績!$W$6:$W$505,DL$3,実績!$AI$6:$AI$505,"&lt;="&amp;$A201,実績!$AJ$6:$AJ$505,"&gt;"&amp;$A201,実績!$AK$6:$AK$505,"○")&gt;0,1,0))</f>
        <v>0</v>
      </c>
      <c r="DM201" s="39" t="n">
        <f aca="false">IF(DM$4=0,0,IF(COUNTIFS(実績!$W$6:$W$505,DM$3,実績!$AI$6:$AI$505,"&lt;="&amp;$A201,実績!$AJ$6:$AJ$505,"&gt;"&amp;$A201,実績!$AK$6:$AK$505,"○")&gt;0,1,0))</f>
        <v>0</v>
      </c>
      <c r="DN201" s="39" t="n">
        <f aca="false">IF(DN$4=0,0,IF(COUNTIFS(実績!$W$6:$W$505,DN$3,実績!$AI$6:$AI$505,"&lt;="&amp;$A201,実績!$AJ$6:$AJ$505,"&gt;"&amp;$A201,実績!$AK$6:$AK$505,"○")&gt;0,1,0))</f>
        <v>0</v>
      </c>
      <c r="DO201" s="39" t="n">
        <f aca="false">IF(DO$4=0,0,IF(COUNTIFS(実績!$W$6:$W$505,DO$3,実績!$AI$6:$AI$505,"&lt;="&amp;$A201,実績!$AJ$6:$AJ$505,"&gt;"&amp;$A201,実績!$AK$6:$AK$505,"○")&gt;0,1,0))</f>
        <v>0</v>
      </c>
      <c r="DP201" s="39" t="n">
        <f aca="false">IF(DP$4=0,0,IF(COUNTIFS(実績!$W$6:$W$505,DP$3,実績!$AI$6:$AI$505,"&lt;="&amp;$A201,実績!$AJ$6:$AJ$505,"&gt;"&amp;$A201,実績!$AK$6:$AK$505,"○")&gt;0,1,0))</f>
        <v>0</v>
      </c>
      <c r="DQ201" s="39" t="n">
        <f aca="false">IF(DQ$4=0,0,IF(COUNTIFS(実績!$W$6:$W$505,DQ$3,実績!$AI$6:$AI$505,"&lt;="&amp;$A201,実績!$AJ$6:$AJ$505,"&gt;"&amp;$A201,実績!$AK$6:$AK$505,"○")&gt;0,1,0))</f>
        <v>0</v>
      </c>
      <c r="DR201" s="39" t="n">
        <f aca="false">IF(DR$4=0,0,IF(COUNTIFS(実績!$W$6:$W$505,DR$3,実績!$AI$6:$AI$505,"&lt;="&amp;$A201,実績!$AJ$6:$AJ$505,"&gt;"&amp;$A201,実績!$AK$6:$AK$505,"○")&gt;0,1,0))</f>
        <v>0</v>
      </c>
      <c r="DS201" s="39" t="n">
        <f aca="false">SUM(C201:DR201)</f>
        <v>0</v>
      </c>
      <c r="DT201" s="39" t="n">
        <f aca="false">SUMPRODUCT((実績!$C$6:$C$505="○")*ISNUMBER(実績!$AM$6:$AM$505)*(実績!$AM$6:$AM$505&lt;=$A201)*(実績!$AN$6:$AN$505&gt;$A201))</f>
        <v>0</v>
      </c>
      <c r="DU201" s="39" t="n">
        <f aca="false">SUMIF($C$2:$DR$2,"製鉄曳船",C201:DR201)</f>
        <v>0</v>
      </c>
      <c r="DV201" s="39" t="n">
        <f aca="false">SUMIF($C$2:$DR$2,"西日本海運",C201:DR201)</f>
        <v>0</v>
      </c>
    </row>
    <row r="202" customFormat="false" ht="15" hidden="false" customHeight="false" outlineLevel="0" collapsed="false">
      <c r="A202" s="0" t="n">
        <v>980</v>
      </c>
      <c r="B202" s="38" t="n">
        <f aca="false">A202/1440</f>
        <v>0.680555555555556</v>
      </c>
      <c r="C202" s="39" t="n">
        <f aca="false">IF(C$4=0,0,IF(COUNTIFS(実績!$W$6:$W$505,C$3,実績!$AI$6:$AI$505,"&lt;="&amp;$A202,実績!$AJ$6:$AJ$505,"&gt;"&amp;$A202,実績!$AK$6:$AK$505,"○")&gt;0,1,0))</f>
        <v>0</v>
      </c>
      <c r="D202" s="39" t="n">
        <f aca="false">IF(D$4=0,0,IF(COUNTIFS(実績!$W$6:$W$505,D$3,実績!$AI$6:$AI$505,"&lt;="&amp;$A202,実績!$AJ$6:$AJ$505,"&gt;"&amp;$A202,実績!$AK$6:$AK$505,"○")&gt;0,1,0))</f>
        <v>0</v>
      </c>
      <c r="E202" s="39" t="n">
        <f aca="false">IF(E$4=0,0,IF(COUNTIFS(実績!$W$6:$W$505,E$3,実績!$AI$6:$AI$505,"&lt;="&amp;$A202,実績!$AJ$6:$AJ$505,"&gt;"&amp;$A202,実績!$AK$6:$AK$505,"○")&gt;0,1,0))</f>
        <v>0</v>
      </c>
      <c r="F202" s="39" t="n">
        <f aca="false">IF(F$4=0,0,IF(COUNTIFS(実績!$W$6:$W$505,F$3,実績!$AI$6:$AI$505,"&lt;="&amp;$A202,実績!$AJ$6:$AJ$505,"&gt;"&amp;$A202,実績!$AK$6:$AK$505,"○")&gt;0,1,0))</f>
        <v>0</v>
      </c>
      <c r="G202" s="39" t="n">
        <f aca="false">IF(G$4=0,0,IF(COUNTIFS(実績!$W$6:$W$505,G$3,実績!$AI$6:$AI$505,"&lt;="&amp;$A202,実績!$AJ$6:$AJ$505,"&gt;"&amp;$A202,実績!$AK$6:$AK$505,"○")&gt;0,1,0))</f>
        <v>0</v>
      </c>
      <c r="H202" s="39" t="n">
        <f aca="false">IF(H$4=0,0,IF(COUNTIFS(実績!$W$6:$W$505,H$3,実績!$AI$6:$AI$505,"&lt;="&amp;$A202,実績!$AJ$6:$AJ$505,"&gt;"&amp;$A202,実績!$AK$6:$AK$505,"○")&gt;0,1,0))</f>
        <v>0</v>
      </c>
      <c r="I202" s="39" t="n">
        <f aca="false">IF(I$4=0,0,IF(COUNTIFS(実績!$W$6:$W$505,I$3,実績!$AI$6:$AI$505,"&lt;="&amp;$A202,実績!$AJ$6:$AJ$505,"&gt;"&amp;$A202,実績!$AK$6:$AK$505,"○")&gt;0,1,0))</f>
        <v>0</v>
      </c>
      <c r="J202" s="39" t="n">
        <f aca="false">IF(J$4=0,0,IF(COUNTIFS(実績!$W$6:$W$505,J$3,実績!$AI$6:$AI$505,"&lt;="&amp;$A202,実績!$AJ$6:$AJ$505,"&gt;"&amp;$A202,実績!$AK$6:$AK$505,"○")&gt;0,1,0))</f>
        <v>0</v>
      </c>
      <c r="K202" s="39" t="n">
        <f aca="false">IF(K$4=0,0,IF(COUNTIFS(実績!$W$6:$W$505,K$3,実績!$AI$6:$AI$505,"&lt;="&amp;$A202,実績!$AJ$6:$AJ$505,"&gt;"&amp;$A202,実績!$AK$6:$AK$505,"○")&gt;0,1,0))</f>
        <v>0</v>
      </c>
      <c r="L202" s="39" t="n">
        <f aca="false">IF(L$4=0,0,IF(COUNTIFS(実績!$W$6:$W$505,L$3,実績!$AI$6:$AI$505,"&lt;="&amp;$A202,実績!$AJ$6:$AJ$505,"&gt;"&amp;$A202,実績!$AK$6:$AK$505,"○")&gt;0,1,0))</f>
        <v>0</v>
      </c>
      <c r="M202" s="39" t="n">
        <f aca="false">IF(M$4=0,0,IF(COUNTIFS(実績!$W$6:$W$505,M$3,実績!$AI$6:$AI$505,"&lt;="&amp;$A202,実績!$AJ$6:$AJ$505,"&gt;"&amp;$A202,実績!$AK$6:$AK$505,"○")&gt;0,1,0))</f>
        <v>0</v>
      </c>
      <c r="N202" s="39" t="n">
        <f aca="false">IF(N$4=0,0,IF(COUNTIFS(実績!$W$6:$W$505,N$3,実績!$AI$6:$AI$505,"&lt;="&amp;$A202,実績!$AJ$6:$AJ$505,"&gt;"&amp;$A202,実績!$AK$6:$AK$505,"○")&gt;0,1,0))</f>
        <v>0</v>
      </c>
      <c r="O202" s="39" t="n">
        <f aca="false">IF(O$4=0,0,IF(COUNTIFS(実績!$W$6:$W$505,O$3,実績!$AI$6:$AI$505,"&lt;="&amp;$A202,実績!$AJ$6:$AJ$505,"&gt;"&amp;$A202,実績!$AK$6:$AK$505,"○")&gt;0,1,0))</f>
        <v>0</v>
      </c>
      <c r="P202" s="39" t="n">
        <f aca="false">IF(P$4=0,0,IF(COUNTIFS(実績!$W$6:$W$505,P$3,実績!$AI$6:$AI$505,"&lt;="&amp;$A202,実績!$AJ$6:$AJ$505,"&gt;"&amp;$A202,実績!$AK$6:$AK$505,"○")&gt;0,1,0))</f>
        <v>0</v>
      </c>
      <c r="Q202" s="39" t="n">
        <f aca="false">IF(Q$4=0,0,IF(COUNTIFS(実績!$W$6:$W$505,Q$3,実績!$AI$6:$AI$505,"&lt;="&amp;$A202,実績!$AJ$6:$AJ$505,"&gt;"&amp;$A202,実績!$AK$6:$AK$505,"○")&gt;0,1,0))</f>
        <v>0</v>
      </c>
      <c r="R202" s="39" t="n">
        <f aca="false">IF(R$4=0,0,IF(COUNTIFS(実績!$W$6:$W$505,R$3,実績!$AI$6:$AI$505,"&lt;="&amp;$A202,実績!$AJ$6:$AJ$505,"&gt;"&amp;$A202,実績!$AK$6:$AK$505,"○")&gt;0,1,0))</f>
        <v>0</v>
      </c>
      <c r="S202" s="39" t="n">
        <f aca="false">IF(S$4=0,0,IF(COUNTIFS(実績!$W$6:$W$505,S$3,実績!$AI$6:$AI$505,"&lt;="&amp;$A202,実績!$AJ$6:$AJ$505,"&gt;"&amp;$A202,実績!$AK$6:$AK$505,"○")&gt;0,1,0))</f>
        <v>0</v>
      </c>
      <c r="T202" s="39" t="n">
        <f aca="false">IF(T$4=0,0,IF(COUNTIFS(実績!$W$6:$W$505,T$3,実績!$AI$6:$AI$505,"&lt;="&amp;$A202,実績!$AJ$6:$AJ$505,"&gt;"&amp;$A202,実績!$AK$6:$AK$505,"○")&gt;0,1,0))</f>
        <v>0</v>
      </c>
      <c r="U202" s="39" t="n">
        <f aca="false">IF(U$4=0,0,IF(COUNTIFS(実績!$W$6:$W$505,U$3,実績!$AI$6:$AI$505,"&lt;="&amp;$A202,実績!$AJ$6:$AJ$505,"&gt;"&amp;$A202,実績!$AK$6:$AK$505,"○")&gt;0,1,0))</f>
        <v>0</v>
      </c>
      <c r="V202" s="39" t="n">
        <f aca="false">IF(V$4=0,0,IF(COUNTIFS(実績!$W$6:$W$505,V$3,実績!$AI$6:$AI$505,"&lt;="&amp;$A202,実績!$AJ$6:$AJ$505,"&gt;"&amp;$A202,実績!$AK$6:$AK$505,"○")&gt;0,1,0))</f>
        <v>0</v>
      </c>
      <c r="W202" s="39" t="n">
        <f aca="false">IF(W$4=0,0,IF(COUNTIFS(実績!$W$6:$W$505,W$3,実績!$AI$6:$AI$505,"&lt;="&amp;$A202,実績!$AJ$6:$AJ$505,"&gt;"&amp;$A202,実績!$AK$6:$AK$505,"○")&gt;0,1,0))</f>
        <v>0</v>
      </c>
      <c r="X202" s="39" t="n">
        <f aca="false">IF(X$4=0,0,IF(COUNTIFS(実績!$W$6:$W$505,X$3,実績!$AI$6:$AI$505,"&lt;="&amp;$A202,実績!$AJ$6:$AJ$505,"&gt;"&amp;$A202,実績!$AK$6:$AK$505,"○")&gt;0,1,0))</f>
        <v>0</v>
      </c>
      <c r="Y202" s="39" t="n">
        <f aca="false">IF(Y$4=0,0,IF(COUNTIFS(実績!$W$6:$W$505,Y$3,実績!$AI$6:$AI$505,"&lt;="&amp;$A202,実績!$AJ$6:$AJ$505,"&gt;"&amp;$A202,実績!$AK$6:$AK$505,"○")&gt;0,1,0))</f>
        <v>0</v>
      </c>
      <c r="Z202" s="39" t="n">
        <f aca="false">IF(Z$4=0,0,IF(COUNTIFS(実績!$W$6:$W$505,Z$3,実績!$AI$6:$AI$505,"&lt;="&amp;$A202,実績!$AJ$6:$AJ$505,"&gt;"&amp;$A202,実績!$AK$6:$AK$505,"○")&gt;0,1,0))</f>
        <v>0</v>
      </c>
      <c r="AA202" s="39" t="n">
        <f aca="false">IF(AA$4=0,0,IF(COUNTIFS(実績!$W$6:$W$505,AA$3,実績!$AI$6:$AI$505,"&lt;="&amp;$A202,実績!$AJ$6:$AJ$505,"&gt;"&amp;$A202,実績!$AK$6:$AK$505,"○")&gt;0,1,0))</f>
        <v>0</v>
      </c>
      <c r="AB202" s="39" t="n">
        <f aca="false">IF(AB$4=0,0,IF(COUNTIFS(実績!$W$6:$W$505,AB$3,実績!$AI$6:$AI$505,"&lt;="&amp;$A202,実績!$AJ$6:$AJ$505,"&gt;"&amp;$A202,実績!$AK$6:$AK$505,"○")&gt;0,1,0))</f>
        <v>0</v>
      </c>
      <c r="AC202" s="39" t="n">
        <f aca="false">IF(AC$4=0,0,IF(COUNTIFS(実績!$W$6:$W$505,AC$3,実績!$AI$6:$AI$505,"&lt;="&amp;$A202,実績!$AJ$6:$AJ$505,"&gt;"&amp;$A202,実績!$AK$6:$AK$505,"○")&gt;0,1,0))</f>
        <v>0</v>
      </c>
      <c r="AD202" s="39" t="n">
        <f aca="false">IF(AD$4=0,0,IF(COUNTIFS(実績!$W$6:$W$505,AD$3,実績!$AI$6:$AI$505,"&lt;="&amp;$A202,実績!$AJ$6:$AJ$505,"&gt;"&amp;$A202,実績!$AK$6:$AK$505,"○")&gt;0,1,0))</f>
        <v>0</v>
      </c>
      <c r="AE202" s="39" t="n">
        <f aca="false">IF(AE$4=0,0,IF(COUNTIFS(実績!$W$6:$W$505,AE$3,実績!$AI$6:$AI$505,"&lt;="&amp;$A202,実績!$AJ$6:$AJ$505,"&gt;"&amp;$A202,実績!$AK$6:$AK$505,"○")&gt;0,1,0))</f>
        <v>0</v>
      </c>
      <c r="AF202" s="39" t="n">
        <f aca="false">IF(AF$4=0,0,IF(COUNTIFS(実績!$W$6:$W$505,AF$3,実績!$AI$6:$AI$505,"&lt;="&amp;$A202,実績!$AJ$6:$AJ$505,"&gt;"&amp;$A202,実績!$AK$6:$AK$505,"○")&gt;0,1,0))</f>
        <v>0</v>
      </c>
      <c r="AG202" s="39" t="n">
        <f aca="false">IF(AG$4=0,0,IF(COUNTIFS(実績!$W$6:$W$505,AG$3,実績!$AI$6:$AI$505,"&lt;="&amp;$A202,実績!$AJ$6:$AJ$505,"&gt;"&amp;$A202,実績!$AK$6:$AK$505,"○")&gt;0,1,0))</f>
        <v>0</v>
      </c>
      <c r="AH202" s="39" t="n">
        <f aca="false">IF(AH$4=0,0,IF(COUNTIFS(実績!$W$6:$W$505,AH$3,実績!$AI$6:$AI$505,"&lt;="&amp;$A202,実績!$AJ$6:$AJ$505,"&gt;"&amp;$A202,実績!$AK$6:$AK$505,"○")&gt;0,1,0))</f>
        <v>0</v>
      </c>
      <c r="AI202" s="39" t="n">
        <f aca="false">IF(AI$4=0,0,IF(COUNTIFS(実績!$W$6:$W$505,AI$3,実績!$AI$6:$AI$505,"&lt;="&amp;$A202,実績!$AJ$6:$AJ$505,"&gt;"&amp;$A202,実績!$AK$6:$AK$505,"○")&gt;0,1,0))</f>
        <v>0</v>
      </c>
      <c r="AJ202" s="39" t="n">
        <f aca="false">IF(AJ$4=0,0,IF(COUNTIFS(実績!$W$6:$W$505,AJ$3,実績!$AI$6:$AI$505,"&lt;="&amp;$A202,実績!$AJ$6:$AJ$505,"&gt;"&amp;$A202,実績!$AK$6:$AK$505,"○")&gt;0,1,0))</f>
        <v>0</v>
      </c>
      <c r="AK202" s="39" t="n">
        <f aca="false">IF(AK$4=0,0,IF(COUNTIFS(実績!$W$6:$W$505,AK$3,実績!$AI$6:$AI$505,"&lt;="&amp;$A202,実績!$AJ$6:$AJ$505,"&gt;"&amp;$A202,実績!$AK$6:$AK$505,"○")&gt;0,1,0))</f>
        <v>0</v>
      </c>
      <c r="AL202" s="39" t="n">
        <f aca="false">IF(AL$4=0,0,IF(COUNTIFS(実績!$W$6:$W$505,AL$3,実績!$AI$6:$AI$505,"&lt;="&amp;$A202,実績!$AJ$6:$AJ$505,"&gt;"&amp;$A202,実績!$AK$6:$AK$505,"○")&gt;0,1,0))</f>
        <v>0</v>
      </c>
      <c r="AM202" s="39" t="n">
        <f aca="false">IF(AM$4=0,0,IF(COUNTIFS(実績!$W$6:$W$505,AM$3,実績!$AI$6:$AI$505,"&lt;="&amp;$A202,実績!$AJ$6:$AJ$505,"&gt;"&amp;$A202,実績!$AK$6:$AK$505,"○")&gt;0,1,0))</f>
        <v>0</v>
      </c>
      <c r="AN202" s="39" t="n">
        <f aca="false">IF(AN$4=0,0,IF(COUNTIFS(実績!$W$6:$W$505,AN$3,実績!$AI$6:$AI$505,"&lt;="&amp;$A202,実績!$AJ$6:$AJ$505,"&gt;"&amp;$A202,実績!$AK$6:$AK$505,"○")&gt;0,1,0))</f>
        <v>0</v>
      </c>
      <c r="AO202" s="39" t="n">
        <f aca="false">IF(AO$4=0,0,IF(COUNTIFS(実績!$W$6:$W$505,AO$3,実績!$AI$6:$AI$505,"&lt;="&amp;$A202,実績!$AJ$6:$AJ$505,"&gt;"&amp;$A202,実績!$AK$6:$AK$505,"○")&gt;0,1,0))</f>
        <v>0</v>
      </c>
      <c r="AP202" s="39" t="n">
        <f aca="false">IF(AP$4=0,0,IF(COUNTIFS(実績!$W$6:$W$505,AP$3,実績!$AI$6:$AI$505,"&lt;="&amp;$A202,実績!$AJ$6:$AJ$505,"&gt;"&amp;$A202,実績!$AK$6:$AK$505,"○")&gt;0,1,0))</f>
        <v>0</v>
      </c>
      <c r="AQ202" s="39" t="n">
        <f aca="false">IF(AQ$4=0,0,IF(COUNTIFS(実績!$W$6:$W$505,AQ$3,実績!$AI$6:$AI$505,"&lt;="&amp;$A202,実績!$AJ$6:$AJ$505,"&gt;"&amp;$A202,実績!$AK$6:$AK$505,"○")&gt;0,1,0))</f>
        <v>0</v>
      </c>
      <c r="AR202" s="39" t="n">
        <f aca="false">IF(AR$4=0,0,IF(COUNTIFS(実績!$W$6:$W$505,AR$3,実績!$AI$6:$AI$505,"&lt;="&amp;$A202,実績!$AJ$6:$AJ$505,"&gt;"&amp;$A202,実績!$AK$6:$AK$505,"○")&gt;0,1,0))</f>
        <v>0</v>
      </c>
      <c r="AS202" s="39" t="n">
        <f aca="false">IF(AS$4=0,0,IF(COUNTIFS(実績!$W$6:$W$505,AS$3,実績!$AI$6:$AI$505,"&lt;="&amp;$A202,実績!$AJ$6:$AJ$505,"&gt;"&amp;$A202,実績!$AK$6:$AK$505,"○")&gt;0,1,0))</f>
        <v>0</v>
      </c>
      <c r="AT202" s="39" t="n">
        <f aca="false">IF(AT$4=0,0,IF(COUNTIFS(実績!$W$6:$W$505,AT$3,実績!$AI$6:$AI$505,"&lt;="&amp;$A202,実績!$AJ$6:$AJ$505,"&gt;"&amp;$A202,実績!$AK$6:$AK$505,"○")&gt;0,1,0))</f>
        <v>0</v>
      </c>
      <c r="AU202" s="39" t="n">
        <f aca="false">IF(AU$4=0,0,IF(COUNTIFS(実績!$W$6:$W$505,AU$3,実績!$AI$6:$AI$505,"&lt;="&amp;$A202,実績!$AJ$6:$AJ$505,"&gt;"&amp;$A202,実績!$AK$6:$AK$505,"○")&gt;0,1,0))</f>
        <v>0</v>
      </c>
      <c r="AV202" s="39" t="n">
        <f aca="false">IF(AV$4=0,0,IF(COUNTIFS(実績!$W$6:$W$505,AV$3,実績!$AI$6:$AI$505,"&lt;="&amp;$A202,実績!$AJ$6:$AJ$505,"&gt;"&amp;$A202,実績!$AK$6:$AK$505,"○")&gt;0,1,0))</f>
        <v>0</v>
      </c>
      <c r="AW202" s="39" t="n">
        <f aca="false">IF(AW$4=0,0,IF(COUNTIFS(実績!$W$6:$W$505,AW$3,実績!$AI$6:$AI$505,"&lt;="&amp;$A202,実績!$AJ$6:$AJ$505,"&gt;"&amp;$A202,実績!$AK$6:$AK$505,"○")&gt;0,1,0))</f>
        <v>0</v>
      </c>
      <c r="AX202" s="39" t="n">
        <f aca="false">IF(AX$4=0,0,IF(COUNTIFS(実績!$W$6:$W$505,AX$3,実績!$AI$6:$AI$505,"&lt;="&amp;$A202,実績!$AJ$6:$AJ$505,"&gt;"&amp;$A202,実績!$AK$6:$AK$505,"○")&gt;0,1,0))</f>
        <v>0</v>
      </c>
      <c r="AY202" s="39" t="n">
        <f aca="false">IF(AY$4=0,0,IF(COUNTIFS(実績!$W$6:$W$505,AY$3,実績!$AI$6:$AI$505,"&lt;="&amp;$A202,実績!$AJ$6:$AJ$505,"&gt;"&amp;$A202,実績!$AK$6:$AK$505,"○")&gt;0,1,0))</f>
        <v>0</v>
      </c>
      <c r="AZ202" s="39" t="n">
        <f aca="false">IF(AZ$4=0,0,IF(COUNTIFS(実績!$W$6:$W$505,AZ$3,実績!$AI$6:$AI$505,"&lt;="&amp;$A202,実績!$AJ$6:$AJ$505,"&gt;"&amp;$A202,実績!$AK$6:$AK$505,"○")&gt;0,1,0))</f>
        <v>0</v>
      </c>
      <c r="BA202" s="39" t="n">
        <f aca="false">IF(BA$4=0,0,IF(COUNTIFS(実績!$W$6:$W$505,BA$3,実績!$AI$6:$AI$505,"&lt;="&amp;$A202,実績!$AJ$6:$AJ$505,"&gt;"&amp;$A202,実績!$AK$6:$AK$505,"○")&gt;0,1,0))</f>
        <v>0</v>
      </c>
      <c r="BB202" s="39" t="n">
        <f aca="false">IF(BB$4=0,0,IF(COUNTIFS(実績!$W$6:$W$505,BB$3,実績!$AI$6:$AI$505,"&lt;="&amp;$A202,実績!$AJ$6:$AJ$505,"&gt;"&amp;$A202,実績!$AK$6:$AK$505,"○")&gt;0,1,0))</f>
        <v>0</v>
      </c>
      <c r="BC202" s="39" t="n">
        <f aca="false">IF(BC$4=0,0,IF(COUNTIFS(実績!$W$6:$W$505,BC$3,実績!$AI$6:$AI$505,"&lt;="&amp;$A202,実績!$AJ$6:$AJ$505,"&gt;"&amp;$A202,実績!$AK$6:$AK$505,"○")&gt;0,1,0))</f>
        <v>0</v>
      </c>
      <c r="BD202" s="39" t="n">
        <f aca="false">IF(BD$4=0,0,IF(COUNTIFS(実績!$W$6:$W$505,BD$3,実績!$AI$6:$AI$505,"&lt;="&amp;$A202,実績!$AJ$6:$AJ$505,"&gt;"&amp;$A202,実績!$AK$6:$AK$505,"○")&gt;0,1,0))</f>
        <v>0</v>
      </c>
      <c r="BE202" s="39" t="n">
        <f aca="false">IF(BE$4=0,0,IF(COUNTIFS(実績!$W$6:$W$505,BE$3,実績!$AI$6:$AI$505,"&lt;="&amp;$A202,実績!$AJ$6:$AJ$505,"&gt;"&amp;$A202,実績!$AK$6:$AK$505,"○")&gt;0,1,0))</f>
        <v>0</v>
      </c>
      <c r="BF202" s="39" t="n">
        <f aca="false">IF(BF$4=0,0,IF(COUNTIFS(実績!$W$6:$W$505,BF$3,実績!$AI$6:$AI$505,"&lt;="&amp;$A202,実績!$AJ$6:$AJ$505,"&gt;"&amp;$A202,実績!$AK$6:$AK$505,"○")&gt;0,1,0))</f>
        <v>0</v>
      </c>
      <c r="BG202" s="39" t="n">
        <f aca="false">IF(BG$4=0,0,IF(COUNTIFS(実績!$W$6:$W$505,BG$3,実績!$AI$6:$AI$505,"&lt;="&amp;$A202,実績!$AJ$6:$AJ$505,"&gt;"&amp;$A202,実績!$AK$6:$AK$505,"○")&gt;0,1,0))</f>
        <v>0</v>
      </c>
      <c r="BH202" s="39" t="n">
        <f aca="false">IF(BH$4=0,0,IF(COUNTIFS(実績!$W$6:$W$505,BH$3,実績!$AI$6:$AI$505,"&lt;="&amp;$A202,実績!$AJ$6:$AJ$505,"&gt;"&amp;$A202,実績!$AK$6:$AK$505,"○")&gt;0,1,0))</f>
        <v>0</v>
      </c>
      <c r="BI202" s="39" t="n">
        <f aca="false">IF(BI$4=0,0,IF(COUNTIFS(実績!$W$6:$W$505,BI$3,実績!$AI$6:$AI$505,"&lt;="&amp;$A202,実績!$AJ$6:$AJ$505,"&gt;"&amp;$A202,実績!$AK$6:$AK$505,"○")&gt;0,1,0))</f>
        <v>0</v>
      </c>
      <c r="BJ202" s="39" t="n">
        <f aca="false">IF(BJ$4=0,0,IF(COUNTIFS(実績!$W$6:$W$505,BJ$3,実績!$AI$6:$AI$505,"&lt;="&amp;$A202,実績!$AJ$6:$AJ$505,"&gt;"&amp;$A202,実績!$AK$6:$AK$505,"○")&gt;0,1,0))</f>
        <v>0</v>
      </c>
      <c r="BK202" s="39" t="n">
        <f aca="false">IF(BK$4=0,0,IF(COUNTIFS(実績!$W$6:$W$505,BK$3,実績!$AI$6:$AI$505,"&lt;="&amp;$A202,実績!$AJ$6:$AJ$505,"&gt;"&amp;$A202,実績!$AK$6:$AK$505,"○")&gt;0,1,0))</f>
        <v>0</v>
      </c>
      <c r="BL202" s="39" t="n">
        <f aca="false">IF(BL$4=0,0,IF(COUNTIFS(実績!$W$6:$W$505,BL$3,実績!$AI$6:$AI$505,"&lt;="&amp;$A202,実績!$AJ$6:$AJ$505,"&gt;"&amp;$A202,実績!$AK$6:$AK$505,"○")&gt;0,1,0))</f>
        <v>0</v>
      </c>
      <c r="BM202" s="39" t="n">
        <f aca="false">IF(BM$4=0,0,IF(COUNTIFS(実績!$W$6:$W$505,BM$3,実績!$AI$6:$AI$505,"&lt;="&amp;$A202,実績!$AJ$6:$AJ$505,"&gt;"&amp;$A202,実績!$AK$6:$AK$505,"○")&gt;0,1,0))</f>
        <v>0</v>
      </c>
      <c r="BN202" s="39" t="n">
        <f aca="false">IF(BN$4=0,0,IF(COUNTIFS(実績!$W$6:$W$505,BN$3,実績!$AI$6:$AI$505,"&lt;="&amp;$A202,実績!$AJ$6:$AJ$505,"&gt;"&amp;$A202,実績!$AK$6:$AK$505,"○")&gt;0,1,0))</f>
        <v>0</v>
      </c>
      <c r="BO202" s="39" t="n">
        <f aca="false">IF(BO$4=0,0,IF(COUNTIFS(実績!$W$6:$W$505,BO$3,実績!$AI$6:$AI$505,"&lt;="&amp;$A202,実績!$AJ$6:$AJ$505,"&gt;"&amp;$A202,実績!$AK$6:$AK$505,"○")&gt;0,1,0))</f>
        <v>0</v>
      </c>
      <c r="BP202" s="39" t="n">
        <f aca="false">IF(BP$4=0,0,IF(COUNTIFS(実績!$W$6:$W$505,BP$3,実績!$AI$6:$AI$505,"&lt;="&amp;$A202,実績!$AJ$6:$AJ$505,"&gt;"&amp;$A202,実績!$AK$6:$AK$505,"○")&gt;0,1,0))</f>
        <v>0</v>
      </c>
      <c r="BQ202" s="39" t="n">
        <f aca="false">IF(BQ$4=0,0,IF(COUNTIFS(実績!$W$6:$W$505,BQ$3,実績!$AI$6:$AI$505,"&lt;="&amp;$A202,実績!$AJ$6:$AJ$505,"&gt;"&amp;$A202,実績!$AK$6:$AK$505,"○")&gt;0,1,0))</f>
        <v>0</v>
      </c>
      <c r="BR202" s="39" t="n">
        <f aca="false">IF(BR$4=0,0,IF(COUNTIFS(実績!$W$6:$W$505,BR$3,実績!$AI$6:$AI$505,"&lt;="&amp;$A202,実績!$AJ$6:$AJ$505,"&gt;"&amp;$A202,実績!$AK$6:$AK$505,"○")&gt;0,1,0))</f>
        <v>0</v>
      </c>
      <c r="BS202" s="39" t="n">
        <f aca="false">IF(BS$4=0,0,IF(COUNTIFS(実績!$W$6:$W$505,BS$3,実績!$AI$6:$AI$505,"&lt;="&amp;$A202,実績!$AJ$6:$AJ$505,"&gt;"&amp;$A202,実績!$AK$6:$AK$505,"○")&gt;0,1,0))</f>
        <v>0</v>
      </c>
      <c r="BT202" s="39" t="n">
        <f aca="false">IF(BT$4=0,0,IF(COUNTIFS(実績!$W$6:$W$505,BT$3,実績!$AI$6:$AI$505,"&lt;="&amp;$A202,実績!$AJ$6:$AJ$505,"&gt;"&amp;$A202,実績!$AK$6:$AK$505,"○")&gt;0,1,0))</f>
        <v>0</v>
      </c>
      <c r="BU202" s="39" t="n">
        <f aca="false">IF(BU$4=0,0,IF(COUNTIFS(実績!$W$6:$W$505,BU$3,実績!$AI$6:$AI$505,"&lt;="&amp;$A202,実績!$AJ$6:$AJ$505,"&gt;"&amp;$A202,実績!$AK$6:$AK$505,"○")&gt;0,1,0))</f>
        <v>0</v>
      </c>
      <c r="BV202" s="39" t="n">
        <f aca="false">IF(BV$4=0,0,IF(COUNTIFS(実績!$W$6:$W$505,BV$3,実績!$AI$6:$AI$505,"&lt;="&amp;$A202,実績!$AJ$6:$AJ$505,"&gt;"&amp;$A202,実績!$AK$6:$AK$505,"○")&gt;0,1,0))</f>
        <v>0</v>
      </c>
      <c r="BW202" s="39" t="n">
        <f aca="false">IF(BW$4=0,0,IF(COUNTIFS(実績!$W$6:$W$505,BW$3,実績!$AI$6:$AI$505,"&lt;="&amp;$A202,実績!$AJ$6:$AJ$505,"&gt;"&amp;$A202,実績!$AK$6:$AK$505,"○")&gt;0,1,0))</f>
        <v>0</v>
      </c>
      <c r="BX202" s="39" t="n">
        <f aca="false">IF(BX$4=0,0,IF(COUNTIFS(実績!$W$6:$W$505,BX$3,実績!$AI$6:$AI$505,"&lt;="&amp;$A202,実績!$AJ$6:$AJ$505,"&gt;"&amp;$A202,実績!$AK$6:$AK$505,"○")&gt;0,1,0))</f>
        <v>0</v>
      </c>
      <c r="BY202" s="39" t="n">
        <f aca="false">IF(BY$4=0,0,IF(COUNTIFS(実績!$W$6:$W$505,BY$3,実績!$AI$6:$AI$505,"&lt;="&amp;$A202,実績!$AJ$6:$AJ$505,"&gt;"&amp;$A202,実績!$AK$6:$AK$505,"○")&gt;0,1,0))</f>
        <v>0</v>
      </c>
      <c r="BZ202" s="39" t="n">
        <f aca="false">IF(BZ$4=0,0,IF(COUNTIFS(実績!$W$6:$W$505,BZ$3,実績!$AI$6:$AI$505,"&lt;="&amp;$A202,実績!$AJ$6:$AJ$505,"&gt;"&amp;$A202,実績!$AK$6:$AK$505,"○")&gt;0,1,0))</f>
        <v>0</v>
      </c>
      <c r="CA202" s="39" t="n">
        <f aca="false">IF(CA$4=0,0,IF(COUNTIFS(実績!$W$6:$W$505,CA$3,実績!$AI$6:$AI$505,"&lt;="&amp;$A202,実績!$AJ$6:$AJ$505,"&gt;"&amp;$A202,実績!$AK$6:$AK$505,"○")&gt;0,1,0))</f>
        <v>0</v>
      </c>
      <c r="CB202" s="39" t="n">
        <f aca="false">IF(CB$4=0,0,IF(COUNTIFS(実績!$W$6:$W$505,CB$3,実績!$AI$6:$AI$505,"&lt;="&amp;$A202,実績!$AJ$6:$AJ$505,"&gt;"&amp;$A202,実績!$AK$6:$AK$505,"○")&gt;0,1,0))</f>
        <v>0</v>
      </c>
      <c r="CC202" s="39" t="n">
        <f aca="false">IF(CC$4=0,0,IF(COUNTIFS(実績!$W$6:$W$505,CC$3,実績!$AI$6:$AI$505,"&lt;="&amp;$A202,実績!$AJ$6:$AJ$505,"&gt;"&amp;$A202,実績!$AK$6:$AK$505,"○")&gt;0,1,0))</f>
        <v>0</v>
      </c>
      <c r="CD202" s="39" t="n">
        <f aca="false">IF(CD$4=0,0,IF(COUNTIFS(実績!$W$6:$W$505,CD$3,実績!$AI$6:$AI$505,"&lt;="&amp;$A202,実績!$AJ$6:$AJ$505,"&gt;"&amp;$A202,実績!$AK$6:$AK$505,"○")&gt;0,1,0))</f>
        <v>0</v>
      </c>
      <c r="CE202" s="39" t="n">
        <f aca="false">IF(CE$4=0,0,IF(COUNTIFS(実績!$W$6:$W$505,CE$3,実績!$AI$6:$AI$505,"&lt;="&amp;$A202,実績!$AJ$6:$AJ$505,"&gt;"&amp;$A202,実績!$AK$6:$AK$505,"○")&gt;0,1,0))</f>
        <v>0</v>
      </c>
      <c r="CF202" s="39" t="n">
        <f aca="false">IF(CF$4=0,0,IF(COUNTIFS(実績!$W$6:$W$505,CF$3,実績!$AI$6:$AI$505,"&lt;="&amp;$A202,実績!$AJ$6:$AJ$505,"&gt;"&amp;$A202,実績!$AK$6:$AK$505,"○")&gt;0,1,0))</f>
        <v>0</v>
      </c>
      <c r="CG202" s="39" t="n">
        <f aca="false">IF(CG$4=0,0,IF(COUNTIFS(実績!$W$6:$W$505,CG$3,実績!$AI$6:$AI$505,"&lt;="&amp;$A202,実績!$AJ$6:$AJ$505,"&gt;"&amp;$A202,実績!$AK$6:$AK$505,"○")&gt;0,1,0))</f>
        <v>0</v>
      </c>
      <c r="CH202" s="39" t="n">
        <f aca="false">IF(CH$4=0,0,IF(COUNTIFS(実績!$W$6:$W$505,CH$3,実績!$AI$6:$AI$505,"&lt;="&amp;$A202,実績!$AJ$6:$AJ$505,"&gt;"&amp;$A202,実績!$AK$6:$AK$505,"○")&gt;0,1,0))</f>
        <v>0</v>
      </c>
      <c r="CI202" s="39" t="n">
        <f aca="false">IF(CI$4=0,0,IF(COUNTIFS(実績!$W$6:$W$505,CI$3,実績!$AI$6:$AI$505,"&lt;="&amp;$A202,実績!$AJ$6:$AJ$505,"&gt;"&amp;$A202,実績!$AK$6:$AK$505,"○")&gt;0,1,0))</f>
        <v>0</v>
      </c>
      <c r="CJ202" s="39" t="n">
        <f aca="false">IF(CJ$4=0,0,IF(COUNTIFS(実績!$W$6:$W$505,CJ$3,実績!$AI$6:$AI$505,"&lt;="&amp;$A202,実績!$AJ$6:$AJ$505,"&gt;"&amp;$A202,実績!$AK$6:$AK$505,"○")&gt;0,1,0))</f>
        <v>0</v>
      </c>
      <c r="CK202" s="39" t="n">
        <f aca="false">IF(CK$4=0,0,IF(COUNTIFS(実績!$W$6:$W$505,CK$3,実績!$AI$6:$AI$505,"&lt;="&amp;$A202,実績!$AJ$6:$AJ$505,"&gt;"&amp;$A202,実績!$AK$6:$AK$505,"○")&gt;0,1,0))</f>
        <v>0</v>
      </c>
      <c r="CL202" s="39" t="n">
        <f aca="false">IF(CL$4=0,0,IF(COUNTIFS(実績!$W$6:$W$505,CL$3,実績!$AI$6:$AI$505,"&lt;="&amp;$A202,実績!$AJ$6:$AJ$505,"&gt;"&amp;$A202,実績!$AK$6:$AK$505,"○")&gt;0,1,0))</f>
        <v>0</v>
      </c>
      <c r="CM202" s="39" t="n">
        <f aca="false">IF(CM$4=0,0,IF(COUNTIFS(実績!$W$6:$W$505,CM$3,実績!$AI$6:$AI$505,"&lt;="&amp;$A202,実績!$AJ$6:$AJ$505,"&gt;"&amp;$A202,実績!$AK$6:$AK$505,"○")&gt;0,1,0))</f>
        <v>0</v>
      </c>
      <c r="CN202" s="39" t="n">
        <f aca="false">IF(CN$4=0,0,IF(COUNTIFS(実績!$W$6:$W$505,CN$3,実績!$AI$6:$AI$505,"&lt;="&amp;$A202,実績!$AJ$6:$AJ$505,"&gt;"&amp;$A202,実績!$AK$6:$AK$505,"○")&gt;0,1,0))</f>
        <v>0</v>
      </c>
      <c r="CO202" s="39" t="n">
        <f aca="false">IF(CO$4=0,0,IF(COUNTIFS(実績!$W$6:$W$505,CO$3,実績!$AI$6:$AI$505,"&lt;="&amp;$A202,実績!$AJ$6:$AJ$505,"&gt;"&amp;$A202,実績!$AK$6:$AK$505,"○")&gt;0,1,0))</f>
        <v>0</v>
      </c>
      <c r="CP202" s="39" t="n">
        <f aca="false">IF(CP$4=0,0,IF(COUNTIFS(実績!$W$6:$W$505,CP$3,実績!$AI$6:$AI$505,"&lt;="&amp;$A202,実績!$AJ$6:$AJ$505,"&gt;"&amp;$A202,実績!$AK$6:$AK$505,"○")&gt;0,1,0))</f>
        <v>0</v>
      </c>
      <c r="CQ202" s="39" t="n">
        <f aca="false">IF(CQ$4=0,0,IF(COUNTIFS(実績!$W$6:$W$505,CQ$3,実績!$AI$6:$AI$505,"&lt;="&amp;$A202,実績!$AJ$6:$AJ$505,"&gt;"&amp;$A202,実績!$AK$6:$AK$505,"○")&gt;0,1,0))</f>
        <v>0</v>
      </c>
      <c r="CR202" s="39" t="n">
        <f aca="false">IF(CR$4=0,0,IF(COUNTIFS(実績!$W$6:$W$505,CR$3,実績!$AI$6:$AI$505,"&lt;="&amp;$A202,実績!$AJ$6:$AJ$505,"&gt;"&amp;$A202,実績!$AK$6:$AK$505,"○")&gt;0,1,0))</f>
        <v>0</v>
      </c>
      <c r="CS202" s="39" t="n">
        <f aca="false">IF(CS$4=0,0,IF(COUNTIFS(実績!$W$6:$W$505,CS$3,実績!$AI$6:$AI$505,"&lt;="&amp;$A202,実績!$AJ$6:$AJ$505,"&gt;"&amp;$A202,実績!$AK$6:$AK$505,"○")&gt;0,1,0))</f>
        <v>0</v>
      </c>
      <c r="CT202" s="39" t="n">
        <f aca="false">IF(CT$4=0,0,IF(COUNTIFS(実績!$W$6:$W$505,CT$3,実績!$AI$6:$AI$505,"&lt;="&amp;$A202,実績!$AJ$6:$AJ$505,"&gt;"&amp;$A202,実績!$AK$6:$AK$505,"○")&gt;0,1,0))</f>
        <v>0</v>
      </c>
      <c r="CU202" s="39" t="n">
        <f aca="false">IF(CU$4=0,0,IF(COUNTIFS(実績!$W$6:$W$505,CU$3,実績!$AI$6:$AI$505,"&lt;="&amp;$A202,実績!$AJ$6:$AJ$505,"&gt;"&amp;$A202,実績!$AK$6:$AK$505,"○")&gt;0,1,0))</f>
        <v>0</v>
      </c>
      <c r="CV202" s="39" t="n">
        <f aca="false">IF(CV$4=0,0,IF(COUNTIFS(実績!$W$6:$W$505,CV$3,実績!$AI$6:$AI$505,"&lt;="&amp;$A202,実績!$AJ$6:$AJ$505,"&gt;"&amp;$A202,実績!$AK$6:$AK$505,"○")&gt;0,1,0))</f>
        <v>0</v>
      </c>
      <c r="CW202" s="39" t="n">
        <f aca="false">IF(CW$4=0,0,IF(COUNTIFS(実績!$W$6:$W$505,CW$3,実績!$AI$6:$AI$505,"&lt;="&amp;$A202,実績!$AJ$6:$AJ$505,"&gt;"&amp;$A202,実績!$AK$6:$AK$505,"○")&gt;0,1,0))</f>
        <v>0</v>
      </c>
      <c r="CX202" s="39" t="n">
        <f aca="false">IF(CX$4=0,0,IF(COUNTIFS(実績!$W$6:$W$505,CX$3,実績!$AI$6:$AI$505,"&lt;="&amp;$A202,実績!$AJ$6:$AJ$505,"&gt;"&amp;$A202,実績!$AK$6:$AK$505,"○")&gt;0,1,0))</f>
        <v>0</v>
      </c>
      <c r="CY202" s="39" t="n">
        <f aca="false">IF(CY$4=0,0,IF(COUNTIFS(実績!$W$6:$W$505,CY$3,実績!$AI$6:$AI$505,"&lt;="&amp;$A202,実績!$AJ$6:$AJ$505,"&gt;"&amp;$A202,実績!$AK$6:$AK$505,"○")&gt;0,1,0))</f>
        <v>0</v>
      </c>
      <c r="CZ202" s="39" t="n">
        <f aca="false">IF(CZ$4=0,0,IF(COUNTIFS(実績!$W$6:$W$505,CZ$3,実績!$AI$6:$AI$505,"&lt;="&amp;$A202,実績!$AJ$6:$AJ$505,"&gt;"&amp;$A202,実績!$AK$6:$AK$505,"○")&gt;0,1,0))</f>
        <v>0</v>
      </c>
      <c r="DA202" s="39" t="n">
        <f aca="false">IF(DA$4=0,0,IF(COUNTIFS(実績!$W$6:$W$505,DA$3,実績!$AI$6:$AI$505,"&lt;="&amp;$A202,実績!$AJ$6:$AJ$505,"&gt;"&amp;$A202,実績!$AK$6:$AK$505,"○")&gt;0,1,0))</f>
        <v>0</v>
      </c>
      <c r="DB202" s="39" t="n">
        <f aca="false">IF(DB$4=0,0,IF(COUNTIFS(実績!$W$6:$W$505,DB$3,実績!$AI$6:$AI$505,"&lt;="&amp;$A202,実績!$AJ$6:$AJ$505,"&gt;"&amp;$A202,実績!$AK$6:$AK$505,"○")&gt;0,1,0))</f>
        <v>0</v>
      </c>
      <c r="DC202" s="39" t="n">
        <f aca="false">IF(DC$4=0,0,IF(COUNTIFS(実績!$W$6:$W$505,DC$3,実績!$AI$6:$AI$505,"&lt;="&amp;$A202,実績!$AJ$6:$AJ$505,"&gt;"&amp;$A202,実績!$AK$6:$AK$505,"○")&gt;0,1,0))</f>
        <v>0</v>
      </c>
      <c r="DD202" s="39" t="n">
        <f aca="false">IF(DD$4=0,0,IF(COUNTIFS(実績!$W$6:$W$505,DD$3,実績!$AI$6:$AI$505,"&lt;="&amp;$A202,実績!$AJ$6:$AJ$505,"&gt;"&amp;$A202,実績!$AK$6:$AK$505,"○")&gt;0,1,0))</f>
        <v>0</v>
      </c>
      <c r="DE202" s="39" t="n">
        <f aca="false">IF(DE$4=0,0,IF(COUNTIFS(実績!$W$6:$W$505,DE$3,実績!$AI$6:$AI$505,"&lt;="&amp;$A202,実績!$AJ$6:$AJ$505,"&gt;"&amp;$A202,実績!$AK$6:$AK$505,"○")&gt;0,1,0))</f>
        <v>0</v>
      </c>
      <c r="DF202" s="39" t="n">
        <f aca="false">IF(DF$4=0,0,IF(COUNTIFS(実績!$W$6:$W$505,DF$3,実績!$AI$6:$AI$505,"&lt;="&amp;$A202,実績!$AJ$6:$AJ$505,"&gt;"&amp;$A202,実績!$AK$6:$AK$505,"○")&gt;0,1,0))</f>
        <v>0</v>
      </c>
      <c r="DG202" s="39" t="n">
        <f aca="false">IF(DG$4=0,0,IF(COUNTIFS(実績!$W$6:$W$505,DG$3,実績!$AI$6:$AI$505,"&lt;="&amp;$A202,実績!$AJ$6:$AJ$505,"&gt;"&amp;$A202,実績!$AK$6:$AK$505,"○")&gt;0,1,0))</f>
        <v>0</v>
      </c>
      <c r="DH202" s="39" t="n">
        <f aca="false">IF(DH$4=0,0,IF(COUNTIFS(実績!$W$6:$W$505,DH$3,実績!$AI$6:$AI$505,"&lt;="&amp;$A202,実績!$AJ$6:$AJ$505,"&gt;"&amp;$A202,実績!$AK$6:$AK$505,"○")&gt;0,1,0))</f>
        <v>0</v>
      </c>
      <c r="DI202" s="39" t="n">
        <f aca="false">IF(DI$4=0,0,IF(COUNTIFS(実績!$W$6:$W$505,DI$3,実績!$AI$6:$AI$505,"&lt;="&amp;$A202,実績!$AJ$6:$AJ$505,"&gt;"&amp;$A202,実績!$AK$6:$AK$505,"○")&gt;0,1,0))</f>
        <v>0</v>
      </c>
      <c r="DJ202" s="39" t="n">
        <f aca="false">IF(DJ$4=0,0,IF(COUNTIFS(実績!$W$6:$W$505,DJ$3,実績!$AI$6:$AI$505,"&lt;="&amp;$A202,実績!$AJ$6:$AJ$505,"&gt;"&amp;$A202,実績!$AK$6:$AK$505,"○")&gt;0,1,0))</f>
        <v>0</v>
      </c>
      <c r="DK202" s="39" t="n">
        <f aca="false">IF(DK$4=0,0,IF(COUNTIFS(実績!$W$6:$W$505,DK$3,実績!$AI$6:$AI$505,"&lt;="&amp;$A202,実績!$AJ$6:$AJ$505,"&gt;"&amp;$A202,実績!$AK$6:$AK$505,"○")&gt;0,1,0))</f>
        <v>0</v>
      </c>
      <c r="DL202" s="39" t="n">
        <f aca="false">IF(DL$4=0,0,IF(COUNTIFS(実績!$W$6:$W$505,DL$3,実績!$AI$6:$AI$505,"&lt;="&amp;$A202,実績!$AJ$6:$AJ$505,"&gt;"&amp;$A202,実績!$AK$6:$AK$505,"○")&gt;0,1,0))</f>
        <v>0</v>
      </c>
      <c r="DM202" s="39" t="n">
        <f aca="false">IF(DM$4=0,0,IF(COUNTIFS(実績!$W$6:$W$505,DM$3,実績!$AI$6:$AI$505,"&lt;="&amp;$A202,実績!$AJ$6:$AJ$505,"&gt;"&amp;$A202,実績!$AK$6:$AK$505,"○")&gt;0,1,0))</f>
        <v>0</v>
      </c>
      <c r="DN202" s="39" t="n">
        <f aca="false">IF(DN$4=0,0,IF(COUNTIFS(実績!$W$6:$W$505,DN$3,実績!$AI$6:$AI$505,"&lt;="&amp;$A202,実績!$AJ$6:$AJ$505,"&gt;"&amp;$A202,実績!$AK$6:$AK$505,"○")&gt;0,1,0))</f>
        <v>0</v>
      </c>
      <c r="DO202" s="39" t="n">
        <f aca="false">IF(DO$4=0,0,IF(COUNTIFS(実績!$W$6:$W$505,DO$3,実績!$AI$6:$AI$505,"&lt;="&amp;$A202,実績!$AJ$6:$AJ$505,"&gt;"&amp;$A202,実績!$AK$6:$AK$505,"○")&gt;0,1,0))</f>
        <v>0</v>
      </c>
      <c r="DP202" s="39" t="n">
        <f aca="false">IF(DP$4=0,0,IF(COUNTIFS(実績!$W$6:$W$505,DP$3,実績!$AI$6:$AI$505,"&lt;="&amp;$A202,実績!$AJ$6:$AJ$505,"&gt;"&amp;$A202,実績!$AK$6:$AK$505,"○")&gt;0,1,0))</f>
        <v>0</v>
      </c>
      <c r="DQ202" s="39" t="n">
        <f aca="false">IF(DQ$4=0,0,IF(COUNTIFS(実績!$W$6:$W$505,DQ$3,実績!$AI$6:$AI$505,"&lt;="&amp;$A202,実績!$AJ$6:$AJ$505,"&gt;"&amp;$A202,実績!$AK$6:$AK$505,"○")&gt;0,1,0))</f>
        <v>0</v>
      </c>
      <c r="DR202" s="39" t="n">
        <f aca="false">IF(DR$4=0,0,IF(COUNTIFS(実績!$W$6:$W$505,DR$3,実績!$AI$6:$AI$505,"&lt;="&amp;$A202,実績!$AJ$6:$AJ$505,"&gt;"&amp;$A202,実績!$AK$6:$AK$505,"○")&gt;0,1,0))</f>
        <v>0</v>
      </c>
      <c r="DS202" s="39" t="n">
        <f aca="false">SUM(C202:DR202)</f>
        <v>0</v>
      </c>
      <c r="DT202" s="39" t="n">
        <f aca="false">SUMPRODUCT((実績!$C$6:$C$505="○")*ISNUMBER(実績!$AM$6:$AM$505)*(実績!$AM$6:$AM$505&lt;=$A202)*(実績!$AN$6:$AN$505&gt;$A202))</f>
        <v>0</v>
      </c>
      <c r="DU202" s="39" t="n">
        <f aca="false">SUMIF($C$2:$DR$2,"製鉄曳船",C202:DR202)</f>
        <v>0</v>
      </c>
      <c r="DV202" s="39" t="n">
        <f aca="false">SUMIF($C$2:$DR$2,"西日本海運",C202:DR202)</f>
        <v>0</v>
      </c>
    </row>
    <row r="203" customFormat="false" ht="15" hidden="false" customHeight="false" outlineLevel="0" collapsed="false">
      <c r="A203" s="0" t="n">
        <v>985</v>
      </c>
      <c r="B203" s="38" t="n">
        <f aca="false">A203/1440</f>
        <v>0.684027777777778</v>
      </c>
      <c r="C203" s="39" t="n">
        <f aca="false">IF(C$4=0,0,IF(COUNTIFS(実績!$W$6:$W$505,C$3,実績!$AI$6:$AI$505,"&lt;="&amp;$A203,実績!$AJ$6:$AJ$505,"&gt;"&amp;$A203,実績!$AK$6:$AK$505,"○")&gt;0,1,0))</f>
        <v>0</v>
      </c>
      <c r="D203" s="39" t="n">
        <f aca="false">IF(D$4=0,0,IF(COUNTIFS(実績!$W$6:$W$505,D$3,実績!$AI$6:$AI$505,"&lt;="&amp;$A203,実績!$AJ$6:$AJ$505,"&gt;"&amp;$A203,実績!$AK$6:$AK$505,"○")&gt;0,1,0))</f>
        <v>0</v>
      </c>
      <c r="E203" s="39" t="n">
        <f aca="false">IF(E$4=0,0,IF(COUNTIFS(実績!$W$6:$W$505,E$3,実績!$AI$6:$AI$505,"&lt;="&amp;$A203,実績!$AJ$6:$AJ$505,"&gt;"&amp;$A203,実績!$AK$6:$AK$505,"○")&gt;0,1,0))</f>
        <v>0</v>
      </c>
      <c r="F203" s="39" t="n">
        <f aca="false">IF(F$4=0,0,IF(COUNTIFS(実績!$W$6:$W$505,F$3,実績!$AI$6:$AI$505,"&lt;="&amp;$A203,実績!$AJ$6:$AJ$505,"&gt;"&amp;$A203,実績!$AK$6:$AK$505,"○")&gt;0,1,0))</f>
        <v>0</v>
      </c>
      <c r="G203" s="39" t="n">
        <f aca="false">IF(G$4=0,0,IF(COUNTIFS(実績!$W$6:$W$505,G$3,実績!$AI$6:$AI$505,"&lt;="&amp;$A203,実績!$AJ$6:$AJ$505,"&gt;"&amp;$A203,実績!$AK$6:$AK$505,"○")&gt;0,1,0))</f>
        <v>0</v>
      </c>
      <c r="H203" s="39" t="n">
        <f aca="false">IF(H$4=0,0,IF(COUNTIFS(実績!$W$6:$W$505,H$3,実績!$AI$6:$AI$505,"&lt;="&amp;$A203,実績!$AJ$6:$AJ$505,"&gt;"&amp;$A203,実績!$AK$6:$AK$505,"○")&gt;0,1,0))</f>
        <v>0</v>
      </c>
      <c r="I203" s="39" t="n">
        <f aca="false">IF(I$4=0,0,IF(COUNTIFS(実績!$W$6:$W$505,I$3,実績!$AI$6:$AI$505,"&lt;="&amp;$A203,実績!$AJ$6:$AJ$505,"&gt;"&amp;$A203,実績!$AK$6:$AK$505,"○")&gt;0,1,0))</f>
        <v>0</v>
      </c>
      <c r="J203" s="39" t="n">
        <f aca="false">IF(J$4=0,0,IF(COUNTIFS(実績!$W$6:$W$505,J$3,実績!$AI$6:$AI$505,"&lt;="&amp;$A203,実績!$AJ$6:$AJ$505,"&gt;"&amp;$A203,実績!$AK$6:$AK$505,"○")&gt;0,1,0))</f>
        <v>0</v>
      </c>
      <c r="K203" s="39" t="n">
        <f aca="false">IF(K$4=0,0,IF(COUNTIFS(実績!$W$6:$W$505,K$3,実績!$AI$6:$AI$505,"&lt;="&amp;$A203,実績!$AJ$6:$AJ$505,"&gt;"&amp;$A203,実績!$AK$6:$AK$505,"○")&gt;0,1,0))</f>
        <v>0</v>
      </c>
      <c r="L203" s="39" t="n">
        <f aca="false">IF(L$4=0,0,IF(COUNTIFS(実績!$W$6:$W$505,L$3,実績!$AI$6:$AI$505,"&lt;="&amp;$A203,実績!$AJ$6:$AJ$505,"&gt;"&amp;$A203,実績!$AK$6:$AK$505,"○")&gt;0,1,0))</f>
        <v>0</v>
      </c>
      <c r="M203" s="39" t="n">
        <f aca="false">IF(M$4=0,0,IF(COUNTIFS(実績!$W$6:$W$505,M$3,実績!$AI$6:$AI$505,"&lt;="&amp;$A203,実績!$AJ$6:$AJ$505,"&gt;"&amp;$A203,実績!$AK$6:$AK$505,"○")&gt;0,1,0))</f>
        <v>0</v>
      </c>
      <c r="N203" s="39" t="n">
        <f aca="false">IF(N$4=0,0,IF(COUNTIFS(実績!$W$6:$W$505,N$3,実績!$AI$6:$AI$505,"&lt;="&amp;$A203,実績!$AJ$6:$AJ$505,"&gt;"&amp;$A203,実績!$AK$6:$AK$505,"○")&gt;0,1,0))</f>
        <v>0</v>
      </c>
      <c r="O203" s="39" t="n">
        <f aca="false">IF(O$4=0,0,IF(COUNTIFS(実績!$W$6:$W$505,O$3,実績!$AI$6:$AI$505,"&lt;="&amp;$A203,実績!$AJ$6:$AJ$505,"&gt;"&amp;$A203,実績!$AK$6:$AK$505,"○")&gt;0,1,0))</f>
        <v>0</v>
      </c>
      <c r="P203" s="39" t="n">
        <f aca="false">IF(P$4=0,0,IF(COUNTIFS(実績!$W$6:$W$505,P$3,実績!$AI$6:$AI$505,"&lt;="&amp;$A203,実績!$AJ$6:$AJ$505,"&gt;"&amp;$A203,実績!$AK$6:$AK$505,"○")&gt;0,1,0))</f>
        <v>0</v>
      </c>
      <c r="Q203" s="39" t="n">
        <f aca="false">IF(Q$4=0,0,IF(COUNTIFS(実績!$W$6:$W$505,Q$3,実績!$AI$6:$AI$505,"&lt;="&amp;$A203,実績!$AJ$6:$AJ$505,"&gt;"&amp;$A203,実績!$AK$6:$AK$505,"○")&gt;0,1,0))</f>
        <v>0</v>
      </c>
      <c r="R203" s="39" t="n">
        <f aca="false">IF(R$4=0,0,IF(COUNTIFS(実績!$W$6:$W$505,R$3,実績!$AI$6:$AI$505,"&lt;="&amp;$A203,実績!$AJ$6:$AJ$505,"&gt;"&amp;$A203,実績!$AK$6:$AK$505,"○")&gt;0,1,0))</f>
        <v>0</v>
      </c>
      <c r="S203" s="39" t="n">
        <f aca="false">IF(S$4=0,0,IF(COUNTIFS(実績!$W$6:$W$505,S$3,実績!$AI$6:$AI$505,"&lt;="&amp;$A203,実績!$AJ$6:$AJ$505,"&gt;"&amp;$A203,実績!$AK$6:$AK$505,"○")&gt;0,1,0))</f>
        <v>0</v>
      </c>
      <c r="T203" s="39" t="n">
        <f aca="false">IF(T$4=0,0,IF(COUNTIFS(実績!$W$6:$W$505,T$3,実績!$AI$6:$AI$505,"&lt;="&amp;$A203,実績!$AJ$6:$AJ$505,"&gt;"&amp;$A203,実績!$AK$6:$AK$505,"○")&gt;0,1,0))</f>
        <v>0</v>
      </c>
      <c r="U203" s="39" t="n">
        <f aca="false">IF(U$4=0,0,IF(COUNTIFS(実績!$W$6:$W$505,U$3,実績!$AI$6:$AI$505,"&lt;="&amp;$A203,実績!$AJ$6:$AJ$505,"&gt;"&amp;$A203,実績!$AK$6:$AK$505,"○")&gt;0,1,0))</f>
        <v>0</v>
      </c>
      <c r="V203" s="39" t="n">
        <f aca="false">IF(V$4=0,0,IF(COUNTIFS(実績!$W$6:$W$505,V$3,実績!$AI$6:$AI$505,"&lt;="&amp;$A203,実績!$AJ$6:$AJ$505,"&gt;"&amp;$A203,実績!$AK$6:$AK$505,"○")&gt;0,1,0))</f>
        <v>0</v>
      </c>
      <c r="W203" s="39" t="n">
        <f aca="false">IF(W$4=0,0,IF(COUNTIFS(実績!$W$6:$W$505,W$3,実績!$AI$6:$AI$505,"&lt;="&amp;$A203,実績!$AJ$6:$AJ$505,"&gt;"&amp;$A203,実績!$AK$6:$AK$505,"○")&gt;0,1,0))</f>
        <v>0</v>
      </c>
      <c r="X203" s="39" t="n">
        <f aca="false">IF(X$4=0,0,IF(COUNTIFS(実績!$W$6:$W$505,X$3,実績!$AI$6:$AI$505,"&lt;="&amp;$A203,実績!$AJ$6:$AJ$505,"&gt;"&amp;$A203,実績!$AK$6:$AK$505,"○")&gt;0,1,0))</f>
        <v>0</v>
      </c>
      <c r="Y203" s="39" t="n">
        <f aca="false">IF(Y$4=0,0,IF(COUNTIFS(実績!$W$6:$W$505,Y$3,実績!$AI$6:$AI$505,"&lt;="&amp;$A203,実績!$AJ$6:$AJ$505,"&gt;"&amp;$A203,実績!$AK$6:$AK$505,"○")&gt;0,1,0))</f>
        <v>0</v>
      </c>
      <c r="Z203" s="39" t="n">
        <f aca="false">IF(Z$4=0,0,IF(COUNTIFS(実績!$W$6:$W$505,Z$3,実績!$AI$6:$AI$505,"&lt;="&amp;$A203,実績!$AJ$6:$AJ$505,"&gt;"&amp;$A203,実績!$AK$6:$AK$505,"○")&gt;0,1,0))</f>
        <v>0</v>
      </c>
      <c r="AA203" s="39" t="n">
        <f aca="false">IF(AA$4=0,0,IF(COUNTIFS(実績!$W$6:$W$505,AA$3,実績!$AI$6:$AI$505,"&lt;="&amp;$A203,実績!$AJ$6:$AJ$505,"&gt;"&amp;$A203,実績!$AK$6:$AK$505,"○")&gt;0,1,0))</f>
        <v>0</v>
      </c>
      <c r="AB203" s="39" t="n">
        <f aca="false">IF(AB$4=0,0,IF(COUNTIFS(実績!$W$6:$W$505,AB$3,実績!$AI$6:$AI$505,"&lt;="&amp;$A203,実績!$AJ$6:$AJ$505,"&gt;"&amp;$A203,実績!$AK$6:$AK$505,"○")&gt;0,1,0))</f>
        <v>0</v>
      </c>
      <c r="AC203" s="39" t="n">
        <f aca="false">IF(AC$4=0,0,IF(COUNTIFS(実績!$W$6:$W$505,AC$3,実績!$AI$6:$AI$505,"&lt;="&amp;$A203,実績!$AJ$6:$AJ$505,"&gt;"&amp;$A203,実績!$AK$6:$AK$505,"○")&gt;0,1,0))</f>
        <v>0</v>
      </c>
      <c r="AD203" s="39" t="n">
        <f aca="false">IF(AD$4=0,0,IF(COUNTIFS(実績!$W$6:$W$505,AD$3,実績!$AI$6:$AI$505,"&lt;="&amp;$A203,実績!$AJ$6:$AJ$505,"&gt;"&amp;$A203,実績!$AK$6:$AK$505,"○")&gt;0,1,0))</f>
        <v>0</v>
      </c>
      <c r="AE203" s="39" t="n">
        <f aca="false">IF(AE$4=0,0,IF(COUNTIFS(実績!$W$6:$W$505,AE$3,実績!$AI$6:$AI$505,"&lt;="&amp;$A203,実績!$AJ$6:$AJ$505,"&gt;"&amp;$A203,実績!$AK$6:$AK$505,"○")&gt;0,1,0))</f>
        <v>0</v>
      </c>
      <c r="AF203" s="39" t="n">
        <f aca="false">IF(AF$4=0,0,IF(COUNTIFS(実績!$W$6:$W$505,AF$3,実績!$AI$6:$AI$505,"&lt;="&amp;$A203,実績!$AJ$6:$AJ$505,"&gt;"&amp;$A203,実績!$AK$6:$AK$505,"○")&gt;0,1,0))</f>
        <v>0</v>
      </c>
      <c r="AG203" s="39" t="n">
        <f aca="false">IF(AG$4=0,0,IF(COUNTIFS(実績!$W$6:$W$505,AG$3,実績!$AI$6:$AI$505,"&lt;="&amp;$A203,実績!$AJ$6:$AJ$505,"&gt;"&amp;$A203,実績!$AK$6:$AK$505,"○")&gt;0,1,0))</f>
        <v>0</v>
      </c>
      <c r="AH203" s="39" t="n">
        <f aca="false">IF(AH$4=0,0,IF(COUNTIFS(実績!$W$6:$W$505,AH$3,実績!$AI$6:$AI$505,"&lt;="&amp;$A203,実績!$AJ$6:$AJ$505,"&gt;"&amp;$A203,実績!$AK$6:$AK$505,"○")&gt;0,1,0))</f>
        <v>0</v>
      </c>
      <c r="AI203" s="39" t="n">
        <f aca="false">IF(AI$4=0,0,IF(COUNTIFS(実績!$W$6:$W$505,AI$3,実績!$AI$6:$AI$505,"&lt;="&amp;$A203,実績!$AJ$6:$AJ$505,"&gt;"&amp;$A203,実績!$AK$6:$AK$505,"○")&gt;0,1,0))</f>
        <v>0</v>
      </c>
      <c r="AJ203" s="39" t="n">
        <f aca="false">IF(AJ$4=0,0,IF(COUNTIFS(実績!$W$6:$W$505,AJ$3,実績!$AI$6:$AI$505,"&lt;="&amp;$A203,実績!$AJ$6:$AJ$505,"&gt;"&amp;$A203,実績!$AK$6:$AK$505,"○")&gt;0,1,0))</f>
        <v>0</v>
      </c>
      <c r="AK203" s="39" t="n">
        <f aca="false">IF(AK$4=0,0,IF(COUNTIFS(実績!$W$6:$W$505,AK$3,実績!$AI$6:$AI$505,"&lt;="&amp;$A203,実績!$AJ$6:$AJ$505,"&gt;"&amp;$A203,実績!$AK$6:$AK$505,"○")&gt;0,1,0))</f>
        <v>0</v>
      </c>
      <c r="AL203" s="39" t="n">
        <f aca="false">IF(AL$4=0,0,IF(COUNTIFS(実績!$W$6:$W$505,AL$3,実績!$AI$6:$AI$505,"&lt;="&amp;$A203,実績!$AJ$6:$AJ$505,"&gt;"&amp;$A203,実績!$AK$6:$AK$505,"○")&gt;0,1,0))</f>
        <v>0</v>
      </c>
      <c r="AM203" s="39" t="n">
        <f aca="false">IF(AM$4=0,0,IF(COUNTIFS(実績!$W$6:$W$505,AM$3,実績!$AI$6:$AI$505,"&lt;="&amp;$A203,実績!$AJ$6:$AJ$505,"&gt;"&amp;$A203,実績!$AK$6:$AK$505,"○")&gt;0,1,0))</f>
        <v>0</v>
      </c>
      <c r="AN203" s="39" t="n">
        <f aca="false">IF(AN$4=0,0,IF(COUNTIFS(実績!$W$6:$W$505,AN$3,実績!$AI$6:$AI$505,"&lt;="&amp;$A203,実績!$AJ$6:$AJ$505,"&gt;"&amp;$A203,実績!$AK$6:$AK$505,"○")&gt;0,1,0))</f>
        <v>0</v>
      </c>
      <c r="AO203" s="39" t="n">
        <f aca="false">IF(AO$4=0,0,IF(COUNTIFS(実績!$W$6:$W$505,AO$3,実績!$AI$6:$AI$505,"&lt;="&amp;$A203,実績!$AJ$6:$AJ$505,"&gt;"&amp;$A203,実績!$AK$6:$AK$505,"○")&gt;0,1,0))</f>
        <v>0</v>
      </c>
      <c r="AP203" s="39" t="n">
        <f aca="false">IF(AP$4=0,0,IF(COUNTIFS(実績!$W$6:$W$505,AP$3,実績!$AI$6:$AI$505,"&lt;="&amp;$A203,実績!$AJ$6:$AJ$505,"&gt;"&amp;$A203,実績!$AK$6:$AK$505,"○")&gt;0,1,0))</f>
        <v>0</v>
      </c>
      <c r="AQ203" s="39" t="n">
        <f aca="false">IF(AQ$4=0,0,IF(COUNTIFS(実績!$W$6:$W$505,AQ$3,実績!$AI$6:$AI$505,"&lt;="&amp;$A203,実績!$AJ$6:$AJ$505,"&gt;"&amp;$A203,実績!$AK$6:$AK$505,"○")&gt;0,1,0))</f>
        <v>0</v>
      </c>
      <c r="AR203" s="39" t="n">
        <f aca="false">IF(AR$4=0,0,IF(COUNTIFS(実績!$W$6:$W$505,AR$3,実績!$AI$6:$AI$505,"&lt;="&amp;$A203,実績!$AJ$6:$AJ$505,"&gt;"&amp;$A203,実績!$AK$6:$AK$505,"○")&gt;0,1,0))</f>
        <v>0</v>
      </c>
      <c r="AS203" s="39" t="n">
        <f aca="false">IF(AS$4=0,0,IF(COUNTIFS(実績!$W$6:$W$505,AS$3,実績!$AI$6:$AI$505,"&lt;="&amp;$A203,実績!$AJ$6:$AJ$505,"&gt;"&amp;$A203,実績!$AK$6:$AK$505,"○")&gt;0,1,0))</f>
        <v>0</v>
      </c>
      <c r="AT203" s="39" t="n">
        <f aca="false">IF(AT$4=0,0,IF(COUNTIFS(実績!$W$6:$W$505,AT$3,実績!$AI$6:$AI$505,"&lt;="&amp;$A203,実績!$AJ$6:$AJ$505,"&gt;"&amp;$A203,実績!$AK$6:$AK$505,"○")&gt;0,1,0))</f>
        <v>0</v>
      </c>
      <c r="AU203" s="39" t="n">
        <f aca="false">IF(AU$4=0,0,IF(COUNTIFS(実績!$W$6:$W$505,AU$3,実績!$AI$6:$AI$505,"&lt;="&amp;$A203,実績!$AJ$6:$AJ$505,"&gt;"&amp;$A203,実績!$AK$6:$AK$505,"○")&gt;0,1,0))</f>
        <v>0</v>
      </c>
      <c r="AV203" s="39" t="n">
        <f aca="false">IF(AV$4=0,0,IF(COUNTIFS(実績!$W$6:$W$505,AV$3,実績!$AI$6:$AI$505,"&lt;="&amp;$A203,実績!$AJ$6:$AJ$505,"&gt;"&amp;$A203,実績!$AK$6:$AK$505,"○")&gt;0,1,0))</f>
        <v>0</v>
      </c>
      <c r="AW203" s="39" t="n">
        <f aca="false">IF(AW$4=0,0,IF(COUNTIFS(実績!$W$6:$W$505,AW$3,実績!$AI$6:$AI$505,"&lt;="&amp;$A203,実績!$AJ$6:$AJ$505,"&gt;"&amp;$A203,実績!$AK$6:$AK$505,"○")&gt;0,1,0))</f>
        <v>0</v>
      </c>
      <c r="AX203" s="39" t="n">
        <f aca="false">IF(AX$4=0,0,IF(COUNTIFS(実績!$W$6:$W$505,AX$3,実績!$AI$6:$AI$505,"&lt;="&amp;$A203,実績!$AJ$6:$AJ$505,"&gt;"&amp;$A203,実績!$AK$6:$AK$505,"○")&gt;0,1,0))</f>
        <v>0</v>
      </c>
      <c r="AY203" s="39" t="n">
        <f aca="false">IF(AY$4=0,0,IF(COUNTIFS(実績!$W$6:$W$505,AY$3,実績!$AI$6:$AI$505,"&lt;="&amp;$A203,実績!$AJ$6:$AJ$505,"&gt;"&amp;$A203,実績!$AK$6:$AK$505,"○")&gt;0,1,0))</f>
        <v>0</v>
      </c>
      <c r="AZ203" s="39" t="n">
        <f aca="false">IF(AZ$4=0,0,IF(COUNTIFS(実績!$W$6:$W$505,AZ$3,実績!$AI$6:$AI$505,"&lt;="&amp;$A203,実績!$AJ$6:$AJ$505,"&gt;"&amp;$A203,実績!$AK$6:$AK$505,"○")&gt;0,1,0))</f>
        <v>0</v>
      </c>
      <c r="BA203" s="39" t="n">
        <f aca="false">IF(BA$4=0,0,IF(COUNTIFS(実績!$W$6:$W$505,BA$3,実績!$AI$6:$AI$505,"&lt;="&amp;$A203,実績!$AJ$6:$AJ$505,"&gt;"&amp;$A203,実績!$AK$6:$AK$505,"○")&gt;0,1,0))</f>
        <v>0</v>
      </c>
      <c r="BB203" s="39" t="n">
        <f aca="false">IF(BB$4=0,0,IF(COUNTIFS(実績!$W$6:$W$505,BB$3,実績!$AI$6:$AI$505,"&lt;="&amp;$A203,実績!$AJ$6:$AJ$505,"&gt;"&amp;$A203,実績!$AK$6:$AK$505,"○")&gt;0,1,0))</f>
        <v>0</v>
      </c>
      <c r="BC203" s="39" t="n">
        <f aca="false">IF(BC$4=0,0,IF(COUNTIFS(実績!$W$6:$W$505,BC$3,実績!$AI$6:$AI$505,"&lt;="&amp;$A203,実績!$AJ$6:$AJ$505,"&gt;"&amp;$A203,実績!$AK$6:$AK$505,"○")&gt;0,1,0))</f>
        <v>0</v>
      </c>
      <c r="BD203" s="39" t="n">
        <f aca="false">IF(BD$4=0,0,IF(COUNTIFS(実績!$W$6:$W$505,BD$3,実績!$AI$6:$AI$505,"&lt;="&amp;$A203,実績!$AJ$6:$AJ$505,"&gt;"&amp;$A203,実績!$AK$6:$AK$505,"○")&gt;0,1,0))</f>
        <v>0</v>
      </c>
      <c r="BE203" s="39" t="n">
        <f aca="false">IF(BE$4=0,0,IF(COUNTIFS(実績!$W$6:$W$505,BE$3,実績!$AI$6:$AI$505,"&lt;="&amp;$A203,実績!$AJ$6:$AJ$505,"&gt;"&amp;$A203,実績!$AK$6:$AK$505,"○")&gt;0,1,0))</f>
        <v>0</v>
      </c>
      <c r="BF203" s="39" t="n">
        <f aca="false">IF(BF$4=0,0,IF(COUNTIFS(実績!$W$6:$W$505,BF$3,実績!$AI$6:$AI$505,"&lt;="&amp;$A203,実績!$AJ$6:$AJ$505,"&gt;"&amp;$A203,実績!$AK$6:$AK$505,"○")&gt;0,1,0))</f>
        <v>0</v>
      </c>
      <c r="BG203" s="39" t="n">
        <f aca="false">IF(BG$4=0,0,IF(COUNTIFS(実績!$W$6:$W$505,BG$3,実績!$AI$6:$AI$505,"&lt;="&amp;$A203,実績!$AJ$6:$AJ$505,"&gt;"&amp;$A203,実績!$AK$6:$AK$505,"○")&gt;0,1,0))</f>
        <v>0</v>
      </c>
      <c r="BH203" s="39" t="n">
        <f aca="false">IF(BH$4=0,0,IF(COUNTIFS(実績!$W$6:$W$505,BH$3,実績!$AI$6:$AI$505,"&lt;="&amp;$A203,実績!$AJ$6:$AJ$505,"&gt;"&amp;$A203,実績!$AK$6:$AK$505,"○")&gt;0,1,0))</f>
        <v>0</v>
      </c>
      <c r="BI203" s="39" t="n">
        <f aca="false">IF(BI$4=0,0,IF(COUNTIFS(実績!$W$6:$W$505,BI$3,実績!$AI$6:$AI$505,"&lt;="&amp;$A203,実績!$AJ$6:$AJ$505,"&gt;"&amp;$A203,実績!$AK$6:$AK$505,"○")&gt;0,1,0))</f>
        <v>0</v>
      </c>
      <c r="BJ203" s="39" t="n">
        <f aca="false">IF(BJ$4=0,0,IF(COUNTIFS(実績!$W$6:$W$505,BJ$3,実績!$AI$6:$AI$505,"&lt;="&amp;$A203,実績!$AJ$6:$AJ$505,"&gt;"&amp;$A203,実績!$AK$6:$AK$505,"○")&gt;0,1,0))</f>
        <v>0</v>
      </c>
      <c r="BK203" s="39" t="n">
        <f aca="false">IF(BK$4=0,0,IF(COUNTIFS(実績!$W$6:$W$505,BK$3,実績!$AI$6:$AI$505,"&lt;="&amp;$A203,実績!$AJ$6:$AJ$505,"&gt;"&amp;$A203,実績!$AK$6:$AK$505,"○")&gt;0,1,0))</f>
        <v>0</v>
      </c>
      <c r="BL203" s="39" t="n">
        <f aca="false">IF(BL$4=0,0,IF(COUNTIFS(実績!$W$6:$W$505,BL$3,実績!$AI$6:$AI$505,"&lt;="&amp;$A203,実績!$AJ$6:$AJ$505,"&gt;"&amp;$A203,実績!$AK$6:$AK$505,"○")&gt;0,1,0))</f>
        <v>0</v>
      </c>
      <c r="BM203" s="39" t="n">
        <f aca="false">IF(BM$4=0,0,IF(COUNTIFS(実績!$W$6:$W$505,BM$3,実績!$AI$6:$AI$505,"&lt;="&amp;$A203,実績!$AJ$6:$AJ$505,"&gt;"&amp;$A203,実績!$AK$6:$AK$505,"○")&gt;0,1,0))</f>
        <v>0</v>
      </c>
      <c r="BN203" s="39" t="n">
        <f aca="false">IF(BN$4=0,0,IF(COUNTIFS(実績!$W$6:$W$505,BN$3,実績!$AI$6:$AI$505,"&lt;="&amp;$A203,実績!$AJ$6:$AJ$505,"&gt;"&amp;$A203,実績!$AK$6:$AK$505,"○")&gt;0,1,0))</f>
        <v>0</v>
      </c>
      <c r="BO203" s="39" t="n">
        <f aca="false">IF(BO$4=0,0,IF(COUNTIFS(実績!$W$6:$W$505,BO$3,実績!$AI$6:$AI$505,"&lt;="&amp;$A203,実績!$AJ$6:$AJ$505,"&gt;"&amp;$A203,実績!$AK$6:$AK$505,"○")&gt;0,1,0))</f>
        <v>0</v>
      </c>
      <c r="BP203" s="39" t="n">
        <f aca="false">IF(BP$4=0,0,IF(COUNTIFS(実績!$W$6:$W$505,BP$3,実績!$AI$6:$AI$505,"&lt;="&amp;$A203,実績!$AJ$6:$AJ$505,"&gt;"&amp;$A203,実績!$AK$6:$AK$505,"○")&gt;0,1,0))</f>
        <v>0</v>
      </c>
      <c r="BQ203" s="39" t="n">
        <f aca="false">IF(BQ$4=0,0,IF(COUNTIFS(実績!$W$6:$W$505,BQ$3,実績!$AI$6:$AI$505,"&lt;="&amp;$A203,実績!$AJ$6:$AJ$505,"&gt;"&amp;$A203,実績!$AK$6:$AK$505,"○")&gt;0,1,0))</f>
        <v>0</v>
      </c>
      <c r="BR203" s="39" t="n">
        <f aca="false">IF(BR$4=0,0,IF(COUNTIFS(実績!$W$6:$W$505,BR$3,実績!$AI$6:$AI$505,"&lt;="&amp;$A203,実績!$AJ$6:$AJ$505,"&gt;"&amp;$A203,実績!$AK$6:$AK$505,"○")&gt;0,1,0))</f>
        <v>0</v>
      </c>
      <c r="BS203" s="39" t="n">
        <f aca="false">IF(BS$4=0,0,IF(COUNTIFS(実績!$W$6:$W$505,BS$3,実績!$AI$6:$AI$505,"&lt;="&amp;$A203,実績!$AJ$6:$AJ$505,"&gt;"&amp;$A203,実績!$AK$6:$AK$505,"○")&gt;0,1,0))</f>
        <v>0</v>
      </c>
      <c r="BT203" s="39" t="n">
        <f aca="false">IF(BT$4=0,0,IF(COUNTIFS(実績!$W$6:$W$505,BT$3,実績!$AI$6:$AI$505,"&lt;="&amp;$A203,実績!$AJ$6:$AJ$505,"&gt;"&amp;$A203,実績!$AK$6:$AK$505,"○")&gt;0,1,0))</f>
        <v>0</v>
      </c>
      <c r="BU203" s="39" t="n">
        <f aca="false">IF(BU$4=0,0,IF(COUNTIFS(実績!$W$6:$W$505,BU$3,実績!$AI$6:$AI$505,"&lt;="&amp;$A203,実績!$AJ$6:$AJ$505,"&gt;"&amp;$A203,実績!$AK$6:$AK$505,"○")&gt;0,1,0))</f>
        <v>0</v>
      </c>
      <c r="BV203" s="39" t="n">
        <f aca="false">IF(BV$4=0,0,IF(COUNTIFS(実績!$W$6:$W$505,BV$3,実績!$AI$6:$AI$505,"&lt;="&amp;$A203,実績!$AJ$6:$AJ$505,"&gt;"&amp;$A203,実績!$AK$6:$AK$505,"○")&gt;0,1,0))</f>
        <v>0</v>
      </c>
      <c r="BW203" s="39" t="n">
        <f aca="false">IF(BW$4=0,0,IF(COUNTIFS(実績!$W$6:$W$505,BW$3,実績!$AI$6:$AI$505,"&lt;="&amp;$A203,実績!$AJ$6:$AJ$505,"&gt;"&amp;$A203,実績!$AK$6:$AK$505,"○")&gt;0,1,0))</f>
        <v>0</v>
      </c>
      <c r="BX203" s="39" t="n">
        <f aca="false">IF(BX$4=0,0,IF(COUNTIFS(実績!$W$6:$W$505,BX$3,実績!$AI$6:$AI$505,"&lt;="&amp;$A203,実績!$AJ$6:$AJ$505,"&gt;"&amp;$A203,実績!$AK$6:$AK$505,"○")&gt;0,1,0))</f>
        <v>0</v>
      </c>
      <c r="BY203" s="39" t="n">
        <f aca="false">IF(BY$4=0,0,IF(COUNTIFS(実績!$W$6:$W$505,BY$3,実績!$AI$6:$AI$505,"&lt;="&amp;$A203,実績!$AJ$6:$AJ$505,"&gt;"&amp;$A203,実績!$AK$6:$AK$505,"○")&gt;0,1,0))</f>
        <v>0</v>
      </c>
      <c r="BZ203" s="39" t="n">
        <f aca="false">IF(BZ$4=0,0,IF(COUNTIFS(実績!$W$6:$W$505,BZ$3,実績!$AI$6:$AI$505,"&lt;="&amp;$A203,実績!$AJ$6:$AJ$505,"&gt;"&amp;$A203,実績!$AK$6:$AK$505,"○")&gt;0,1,0))</f>
        <v>0</v>
      </c>
      <c r="CA203" s="39" t="n">
        <f aca="false">IF(CA$4=0,0,IF(COUNTIFS(実績!$W$6:$W$505,CA$3,実績!$AI$6:$AI$505,"&lt;="&amp;$A203,実績!$AJ$6:$AJ$505,"&gt;"&amp;$A203,実績!$AK$6:$AK$505,"○")&gt;0,1,0))</f>
        <v>0</v>
      </c>
      <c r="CB203" s="39" t="n">
        <f aca="false">IF(CB$4=0,0,IF(COUNTIFS(実績!$W$6:$W$505,CB$3,実績!$AI$6:$AI$505,"&lt;="&amp;$A203,実績!$AJ$6:$AJ$505,"&gt;"&amp;$A203,実績!$AK$6:$AK$505,"○")&gt;0,1,0))</f>
        <v>0</v>
      </c>
      <c r="CC203" s="39" t="n">
        <f aca="false">IF(CC$4=0,0,IF(COUNTIFS(実績!$W$6:$W$505,CC$3,実績!$AI$6:$AI$505,"&lt;="&amp;$A203,実績!$AJ$6:$AJ$505,"&gt;"&amp;$A203,実績!$AK$6:$AK$505,"○")&gt;0,1,0))</f>
        <v>0</v>
      </c>
      <c r="CD203" s="39" t="n">
        <f aca="false">IF(CD$4=0,0,IF(COUNTIFS(実績!$W$6:$W$505,CD$3,実績!$AI$6:$AI$505,"&lt;="&amp;$A203,実績!$AJ$6:$AJ$505,"&gt;"&amp;$A203,実績!$AK$6:$AK$505,"○")&gt;0,1,0))</f>
        <v>0</v>
      </c>
      <c r="CE203" s="39" t="n">
        <f aca="false">IF(CE$4=0,0,IF(COUNTIFS(実績!$W$6:$W$505,CE$3,実績!$AI$6:$AI$505,"&lt;="&amp;$A203,実績!$AJ$6:$AJ$505,"&gt;"&amp;$A203,実績!$AK$6:$AK$505,"○")&gt;0,1,0))</f>
        <v>0</v>
      </c>
      <c r="CF203" s="39" t="n">
        <f aca="false">IF(CF$4=0,0,IF(COUNTIFS(実績!$W$6:$W$505,CF$3,実績!$AI$6:$AI$505,"&lt;="&amp;$A203,実績!$AJ$6:$AJ$505,"&gt;"&amp;$A203,実績!$AK$6:$AK$505,"○")&gt;0,1,0))</f>
        <v>0</v>
      </c>
      <c r="CG203" s="39" t="n">
        <f aca="false">IF(CG$4=0,0,IF(COUNTIFS(実績!$W$6:$W$505,CG$3,実績!$AI$6:$AI$505,"&lt;="&amp;$A203,実績!$AJ$6:$AJ$505,"&gt;"&amp;$A203,実績!$AK$6:$AK$505,"○")&gt;0,1,0))</f>
        <v>0</v>
      </c>
      <c r="CH203" s="39" t="n">
        <f aca="false">IF(CH$4=0,0,IF(COUNTIFS(実績!$W$6:$W$505,CH$3,実績!$AI$6:$AI$505,"&lt;="&amp;$A203,実績!$AJ$6:$AJ$505,"&gt;"&amp;$A203,実績!$AK$6:$AK$505,"○")&gt;0,1,0))</f>
        <v>0</v>
      </c>
      <c r="CI203" s="39" t="n">
        <f aca="false">IF(CI$4=0,0,IF(COUNTIFS(実績!$W$6:$W$505,CI$3,実績!$AI$6:$AI$505,"&lt;="&amp;$A203,実績!$AJ$6:$AJ$505,"&gt;"&amp;$A203,実績!$AK$6:$AK$505,"○")&gt;0,1,0))</f>
        <v>0</v>
      </c>
      <c r="CJ203" s="39" t="n">
        <f aca="false">IF(CJ$4=0,0,IF(COUNTIFS(実績!$W$6:$W$505,CJ$3,実績!$AI$6:$AI$505,"&lt;="&amp;$A203,実績!$AJ$6:$AJ$505,"&gt;"&amp;$A203,実績!$AK$6:$AK$505,"○")&gt;0,1,0))</f>
        <v>0</v>
      </c>
      <c r="CK203" s="39" t="n">
        <f aca="false">IF(CK$4=0,0,IF(COUNTIFS(実績!$W$6:$W$505,CK$3,実績!$AI$6:$AI$505,"&lt;="&amp;$A203,実績!$AJ$6:$AJ$505,"&gt;"&amp;$A203,実績!$AK$6:$AK$505,"○")&gt;0,1,0))</f>
        <v>0</v>
      </c>
      <c r="CL203" s="39" t="n">
        <f aca="false">IF(CL$4=0,0,IF(COUNTIFS(実績!$W$6:$W$505,CL$3,実績!$AI$6:$AI$505,"&lt;="&amp;$A203,実績!$AJ$6:$AJ$505,"&gt;"&amp;$A203,実績!$AK$6:$AK$505,"○")&gt;0,1,0))</f>
        <v>0</v>
      </c>
      <c r="CM203" s="39" t="n">
        <f aca="false">IF(CM$4=0,0,IF(COUNTIFS(実績!$W$6:$W$505,CM$3,実績!$AI$6:$AI$505,"&lt;="&amp;$A203,実績!$AJ$6:$AJ$505,"&gt;"&amp;$A203,実績!$AK$6:$AK$505,"○")&gt;0,1,0))</f>
        <v>0</v>
      </c>
      <c r="CN203" s="39" t="n">
        <f aca="false">IF(CN$4=0,0,IF(COUNTIFS(実績!$W$6:$W$505,CN$3,実績!$AI$6:$AI$505,"&lt;="&amp;$A203,実績!$AJ$6:$AJ$505,"&gt;"&amp;$A203,実績!$AK$6:$AK$505,"○")&gt;0,1,0))</f>
        <v>0</v>
      </c>
      <c r="CO203" s="39" t="n">
        <f aca="false">IF(CO$4=0,0,IF(COUNTIFS(実績!$W$6:$W$505,CO$3,実績!$AI$6:$AI$505,"&lt;="&amp;$A203,実績!$AJ$6:$AJ$505,"&gt;"&amp;$A203,実績!$AK$6:$AK$505,"○")&gt;0,1,0))</f>
        <v>0</v>
      </c>
      <c r="CP203" s="39" t="n">
        <f aca="false">IF(CP$4=0,0,IF(COUNTIFS(実績!$W$6:$W$505,CP$3,実績!$AI$6:$AI$505,"&lt;="&amp;$A203,実績!$AJ$6:$AJ$505,"&gt;"&amp;$A203,実績!$AK$6:$AK$505,"○")&gt;0,1,0))</f>
        <v>0</v>
      </c>
      <c r="CQ203" s="39" t="n">
        <f aca="false">IF(CQ$4=0,0,IF(COUNTIFS(実績!$W$6:$W$505,CQ$3,実績!$AI$6:$AI$505,"&lt;="&amp;$A203,実績!$AJ$6:$AJ$505,"&gt;"&amp;$A203,実績!$AK$6:$AK$505,"○")&gt;0,1,0))</f>
        <v>0</v>
      </c>
      <c r="CR203" s="39" t="n">
        <f aca="false">IF(CR$4=0,0,IF(COUNTIFS(実績!$W$6:$W$505,CR$3,実績!$AI$6:$AI$505,"&lt;="&amp;$A203,実績!$AJ$6:$AJ$505,"&gt;"&amp;$A203,実績!$AK$6:$AK$505,"○")&gt;0,1,0))</f>
        <v>0</v>
      </c>
      <c r="CS203" s="39" t="n">
        <f aca="false">IF(CS$4=0,0,IF(COUNTIFS(実績!$W$6:$W$505,CS$3,実績!$AI$6:$AI$505,"&lt;="&amp;$A203,実績!$AJ$6:$AJ$505,"&gt;"&amp;$A203,実績!$AK$6:$AK$505,"○")&gt;0,1,0))</f>
        <v>0</v>
      </c>
      <c r="CT203" s="39" t="n">
        <f aca="false">IF(CT$4=0,0,IF(COUNTIFS(実績!$W$6:$W$505,CT$3,実績!$AI$6:$AI$505,"&lt;="&amp;$A203,実績!$AJ$6:$AJ$505,"&gt;"&amp;$A203,実績!$AK$6:$AK$505,"○")&gt;0,1,0))</f>
        <v>0</v>
      </c>
      <c r="CU203" s="39" t="n">
        <f aca="false">IF(CU$4=0,0,IF(COUNTIFS(実績!$W$6:$W$505,CU$3,実績!$AI$6:$AI$505,"&lt;="&amp;$A203,実績!$AJ$6:$AJ$505,"&gt;"&amp;$A203,実績!$AK$6:$AK$505,"○")&gt;0,1,0))</f>
        <v>0</v>
      </c>
      <c r="CV203" s="39" t="n">
        <f aca="false">IF(CV$4=0,0,IF(COUNTIFS(実績!$W$6:$W$505,CV$3,実績!$AI$6:$AI$505,"&lt;="&amp;$A203,実績!$AJ$6:$AJ$505,"&gt;"&amp;$A203,実績!$AK$6:$AK$505,"○")&gt;0,1,0))</f>
        <v>0</v>
      </c>
      <c r="CW203" s="39" t="n">
        <f aca="false">IF(CW$4=0,0,IF(COUNTIFS(実績!$W$6:$W$505,CW$3,実績!$AI$6:$AI$505,"&lt;="&amp;$A203,実績!$AJ$6:$AJ$505,"&gt;"&amp;$A203,実績!$AK$6:$AK$505,"○")&gt;0,1,0))</f>
        <v>0</v>
      </c>
      <c r="CX203" s="39" t="n">
        <f aca="false">IF(CX$4=0,0,IF(COUNTIFS(実績!$W$6:$W$505,CX$3,実績!$AI$6:$AI$505,"&lt;="&amp;$A203,実績!$AJ$6:$AJ$505,"&gt;"&amp;$A203,実績!$AK$6:$AK$505,"○")&gt;0,1,0))</f>
        <v>0</v>
      </c>
      <c r="CY203" s="39" t="n">
        <f aca="false">IF(CY$4=0,0,IF(COUNTIFS(実績!$W$6:$W$505,CY$3,実績!$AI$6:$AI$505,"&lt;="&amp;$A203,実績!$AJ$6:$AJ$505,"&gt;"&amp;$A203,実績!$AK$6:$AK$505,"○")&gt;0,1,0))</f>
        <v>0</v>
      </c>
      <c r="CZ203" s="39" t="n">
        <f aca="false">IF(CZ$4=0,0,IF(COUNTIFS(実績!$W$6:$W$505,CZ$3,実績!$AI$6:$AI$505,"&lt;="&amp;$A203,実績!$AJ$6:$AJ$505,"&gt;"&amp;$A203,実績!$AK$6:$AK$505,"○")&gt;0,1,0))</f>
        <v>0</v>
      </c>
      <c r="DA203" s="39" t="n">
        <f aca="false">IF(DA$4=0,0,IF(COUNTIFS(実績!$W$6:$W$505,DA$3,実績!$AI$6:$AI$505,"&lt;="&amp;$A203,実績!$AJ$6:$AJ$505,"&gt;"&amp;$A203,実績!$AK$6:$AK$505,"○")&gt;0,1,0))</f>
        <v>0</v>
      </c>
      <c r="DB203" s="39" t="n">
        <f aca="false">IF(DB$4=0,0,IF(COUNTIFS(実績!$W$6:$W$505,DB$3,実績!$AI$6:$AI$505,"&lt;="&amp;$A203,実績!$AJ$6:$AJ$505,"&gt;"&amp;$A203,実績!$AK$6:$AK$505,"○")&gt;0,1,0))</f>
        <v>0</v>
      </c>
      <c r="DC203" s="39" t="n">
        <f aca="false">IF(DC$4=0,0,IF(COUNTIFS(実績!$W$6:$W$505,DC$3,実績!$AI$6:$AI$505,"&lt;="&amp;$A203,実績!$AJ$6:$AJ$505,"&gt;"&amp;$A203,実績!$AK$6:$AK$505,"○")&gt;0,1,0))</f>
        <v>0</v>
      </c>
      <c r="DD203" s="39" t="n">
        <f aca="false">IF(DD$4=0,0,IF(COUNTIFS(実績!$W$6:$W$505,DD$3,実績!$AI$6:$AI$505,"&lt;="&amp;$A203,実績!$AJ$6:$AJ$505,"&gt;"&amp;$A203,実績!$AK$6:$AK$505,"○")&gt;0,1,0))</f>
        <v>0</v>
      </c>
      <c r="DE203" s="39" t="n">
        <f aca="false">IF(DE$4=0,0,IF(COUNTIFS(実績!$W$6:$W$505,DE$3,実績!$AI$6:$AI$505,"&lt;="&amp;$A203,実績!$AJ$6:$AJ$505,"&gt;"&amp;$A203,実績!$AK$6:$AK$505,"○")&gt;0,1,0))</f>
        <v>0</v>
      </c>
      <c r="DF203" s="39" t="n">
        <f aca="false">IF(DF$4=0,0,IF(COUNTIFS(実績!$W$6:$W$505,DF$3,実績!$AI$6:$AI$505,"&lt;="&amp;$A203,実績!$AJ$6:$AJ$505,"&gt;"&amp;$A203,実績!$AK$6:$AK$505,"○")&gt;0,1,0))</f>
        <v>0</v>
      </c>
      <c r="DG203" s="39" t="n">
        <f aca="false">IF(DG$4=0,0,IF(COUNTIFS(実績!$W$6:$W$505,DG$3,実績!$AI$6:$AI$505,"&lt;="&amp;$A203,実績!$AJ$6:$AJ$505,"&gt;"&amp;$A203,実績!$AK$6:$AK$505,"○")&gt;0,1,0))</f>
        <v>0</v>
      </c>
      <c r="DH203" s="39" t="n">
        <f aca="false">IF(DH$4=0,0,IF(COUNTIFS(実績!$W$6:$W$505,DH$3,実績!$AI$6:$AI$505,"&lt;="&amp;$A203,実績!$AJ$6:$AJ$505,"&gt;"&amp;$A203,実績!$AK$6:$AK$505,"○")&gt;0,1,0))</f>
        <v>0</v>
      </c>
      <c r="DI203" s="39" t="n">
        <f aca="false">IF(DI$4=0,0,IF(COUNTIFS(実績!$W$6:$W$505,DI$3,実績!$AI$6:$AI$505,"&lt;="&amp;$A203,実績!$AJ$6:$AJ$505,"&gt;"&amp;$A203,実績!$AK$6:$AK$505,"○")&gt;0,1,0))</f>
        <v>0</v>
      </c>
      <c r="DJ203" s="39" t="n">
        <f aca="false">IF(DJ$4=0,0,IF(COUNTIFS(実績!$W$6:$W$505,DJ$3,実績!$AI$6:$AI$505,"&lt;="&amp;$A203,実績!$AJ$6:$AJ$505,"&gt;"&amp;$A203,実績!$AK$6:$AK$505,"○")&gt;0,1,0))</f>
        <v>0</v>
      </c>
      <c r="DK203" s="39" t="n">
        <f aca="false">IF(DK$4=0,0,IF(COUNTIFS(実績!$W$6:$W$505,DK$3,実績!$AI$6:$AI$505,"&lt;="&amp;$A203,実績!$AJ$6:$AJ$505,"&gt;"&amp;$A203,実績!$AK$6:$AK$505,"○")&gt;0,1,0))</f>
        <v>0</v>
      </c>
      <c r="DL203" s="39" t="n">
        <f aca="false">IF(DL$4=0,0,IF(COUNTIFS(実績!$W$6:$W$505,DL$3,実績!$AI$6:$AI$505,"&lt;="&amp;$A203,実績!$AJ$6:$AJ$505,"&gt;"&amp;$A203,実績!$AK$6:$AK$505,"○")&gt;0,1,0))</f>
        <v>0</v>
      </c>
      <c r="DM203" s="39" t="n">
        <f aca="false">IF(DM$4=0,0,IF(COUNTIFS(実績!$W$6:$W$505,DM$3,実績!$AI$6:$AI$505,"&lt;="&amp;$A203,実績!$AJ$6:$AJ$505,"&gt;"&amp;$A203,実績!$AK$6:$AK$505,"○")&gt;0,1,0))</f>
        <v>0</v>
      </c>
      <c r="DN203" s="39" t="n">
        <f aca="false">IF(DN$4=0,0,IF(COUNTIFS(実績!$W$6:$W$505,DN$3,実績!$AI$6:$AI$505,"&lt;="&amp;$A203,実績!$AJ$6:$AJ$505,"&gt;"&amp;$A203,実績!$AK$6:$AK$505,"○")&gt;0,1,0))</f>
        <v>0</v>
      </c>
      <c r="DO203" s="39" t="n">
        <f aca="false">IF(DO$4=0,0,IF(COUNTIFS(実績!$W$6:$W$505,DO$3,実績!$AI$6:$AI$505,"&lt;="&amp;$A203,実績!$AJ$6:$AJ$505,"&gt;"&amp;$A203,実績!$AK$6:$AK$505,"○")&gt;0,1,0))</f>
        <v>0</v>
      </c>
      <c r="DP203" s="39" t="n">
        <f aca="false">IF(DP$4=0,0,IF(COUNTIFS(実績!$W$6:$W$505,DP$3,実績!$AI$6:$AI$505,"&lt;="&amp;$A203,実績!$AJ$6:$AJ$505,"&gt;"&amp;$A203,実績!$AK$6:$AK$505,"○")&gt;0,1,0))</f>
        <v>0</v>
      </c>
      <c r="DQ203" s="39" t="n">
        <f aca="false">IF(DQ$4=0,0,IF(COUNTIFS(実績!$W$6:$W$505,DQ$3,実績!$AI$6:$AI$505,"&lt;="&amp;$A203,実績!$AJ$6:$AJ$505,"&gt;"&amp;$A203,実績!$AK$6:$AK$505,"○")&gt;0,1,0))</f>
        <v>0</v>
      </c>
      <c r="DR203" s="39" t="n">
        <f aca="false">IF(DR$4=0,0,IF(COUNTIFS(実績!$W$6:$W$505,DR$3,実績!$AI$6:$AI$505,"&lt;="&amp;$A203,実績!$AJ$6:$AJ$505,"&gt;"&amp;$A203,実績!$AK$6:$AK$505,"○")&gt;0,1,0))</f>
        <v>0</v>
      </c>
      <c r="DS203" s="39" t="n">
        <f aca="false">SUM(C203:DR203)</f>
        <v>0</v>
      </c>
      <c r="DT203" s="39" t="n">
        <f aca="false">SUMPRODUCT((実績!$C$6:$C$505="○")*ISNUMBER(実績!$AM$6:$AM$505)*(実績!$AM$6:$AM$505&lt;=$A203)*(実績!$AN$6:$AN$505&gt;$A203))</f>
        <v>0</v>
      </c>
      <c r="DU203" s="39" t="n">
        <f aca="false">SUMIF($C$2:$DR$2,"製鉄曳船",C203:DR203)</f>
        <v>0</v>
      </c>
      <c r="DV203" s="39" t="n">
        <f aca="false">SUMIF($C$2:$DR$2,"西日本海運",C203:DR203)</f>
        <v>0</v>
      </c>
    </row>
    <row r="204" customFormat="false" ht="15" hidden="false" customHeight="false" outlineLevel="0" collapsed="false">
      <c r="A204" s="0" t="n">
        <v>990</v>
      </c>
      <c r="B204" s="38" t="n">
        <f aca="false">A204/1440</f>
        <v>0.6875</v>
      </c>
      <c r="C204" s="39" t="n">
        <f aca="false">IF(C$4=0,0,IF(COUNTIFS(実績!$W$6:$W$505,C$3,実績!$AI$6:$AI$505,"&lt;="&amp;$A204,実績!$AJ$6:$AJ$505,"&gt;"&amp;$A204,実績!$AK$6:$AK$505,"○")&gt;0,1,0))</f>
        <v>0</v>
      </c>
      <c r="D204" s="39" t="n">
        <f aca="false">IF(D$4=0,0,IF(COUNTIFS(実績!$W$6:$W$505,D$3,実績!$AI$6:$AI$505,"&lt;="&amp;$A204,実績!$AJ$6:$AJ$505,"&gt;"&amp;$A204,実績!$AK$6:$AK$505,"○")&gt;0,1,0))</f>
        <v>0</v>
      </c>
      <c r="E204" s="39" t="n">
        <f aca="false">IF(E$4=0,0,IF(COUNTIFS(実績!$W$6:$W$505,E$3,実績!$AI$6:$AI$505,"&lt;="&amp;$A204,実績!$AJ$6:$AJ$505,"&gt;"&amp;$A204,実績!$AK$6:$AK$505,"○")&gt;0,1,0))</f>
        <v>0</v>
      </c>
      <c r="F204" s="39" t="n">
        <f aca="false">IF(F$4=0,0,IF(COUNTIFS(実績!$W$6:$W$505,F$3,実績!$AI$6:$AI$505,"&lt;="&amp;$A204,実績!$AJ$6:$AJ$505,"&gt;"&amp;$A204,実績!$AK$6:$AK$505,"○")&gt;0,1,0))</f>
        <v>0</v>
      </c>
      <c r="G204" s="39" t="n">
        <f aca="false">IF(G$4=0,0,IF(COUNTIFS(実績!$W$6:$W$505,G$3,実績!$AI$6:$AI$505,"&lt;="&amp;$A204,実績!$AJ$6:$AJ$505,"&gt;"&amp;$A204,実績!$AK$6:$AK$505,"○")&gt;0,1,0))</f>
        <v>0</v>
      </c>
      <c r="H204" s="39" t="n">
        <f aca="false">IF(H$4=0,0,IF(COUNTIFS(実績!$W$6:$W$505,H$3,実績!$AI$6:$AI$505,"&lt;="&amp;$A204,実績!$AJ$6:$AJ$505,"&gt;"&amp;$A204,実績!$AK$6:$AK$505,"○")&gt;0,1,0))</f>
        <v>0</v>
      </c>
      <c r="I204" s="39" t="n">
        <f aca="false">IF(I$4=0,0,IF(COUNTIFS(実績!$W$6:$W$505,I$3,実績!$AI$6:$AI$505,"&lt;="&amp;$A204,実績!$AJ$6:$AJ$505,"&gt;"&amp;$A204,実績!$AK$6:$AK$505,"○")&gt;0,1,0))</f>
        <v>0</v>
      </c>
      <c r="J204" s="39" t="n">
        <f aca="false">IF(J$4=0,0,IF(COUNTIFS(実績!$W$6:$W$505,J$3,実績!$AI$6:$AI$505,"&lt;="&amp;$A204,実績!$AJ$6:$AJ$505,"&gt;"&amp;$A204,実績!$AK$6:$AK$505,"○")&gt;0,1,0))</f>
        <v>0</v>
      </c>
      <c r="K204" s="39" t="n">
        <f aca="false">IF(K$4=0,0,IF(COUNTIFS(実績!$W$6:$W$505,K$3,実績!$AI$6:$AI$505,"&lt;="&amp;$A204,実績!$AJ$6:$AJ$505,"&gt;"&amp;$A204,実績!$AK$6:$AK$505,"○")&gt;0,1,0))</f>
        <v>0</v>
      </c>
      <c r="L204" s="39" t="n">
        <f aca="false">IF(L$4=0,0,IF(COUNTIFS(実績!$W$6:$W$505,L$3,実績!$AI$6:$AI$505,"&lt;="&amp;$A204,実績!$AJ$6:$AJ$505,"&gt;"&amp;$A204,実績!$AK$6:$AK$505,"○")&gt;0,1,0))</f>
        <v>0</v>
      </c>
      <c r="M204" s="39" t="n">
        <f aca="false">IF(M$4=0,0,IF(COUNTIFS(実績!$W$6:$W$505,M$3,実績!$AI$6:$AI$505,"&lt;="&amp;$A204,実績!$AJ$6:$AJ$505,"&gt;"&amp;$A204,実績!$AK$6:$AK$505,"○")&gt;0,1,0))</f>
        <v>0</v>
      </c>
      <c r="N204" s="39" t="n">
        <f aca="false">IF(N$4=0,0,IF(COUNTIFS(実績!$W$6:$W$505,N$3,実績!$AI$6:$AI$505,"&lt;="&amp;$A204,実績!$AJ$6:$AJ$505,"&gt;"&amp;$A204,実績!$AK$6:$AK$505,"○")&gt;0,1,0))</f>
        <v>0</v>
      </c>
      <c r="O204" s="39" t="n">
        <f aca="false">IF(O$4=0,0,IF(COUNTIFS(実績!$W$6:$W$505,O$3,実績!$AI$6:$AI$505,"&lt;="&amp;$A204,実績!$AJ$6:$AJ$505,"&gt;"&amp;$A204,実績!$AK$6:$AK$505,"○")&gt;0,1,0))</f>
        <v>0</v>
      </c>
      <c r="P204" s="39" t="n">
        <f aca="false">IF(P$4=0,0,IF(COUNTIFS(実績!$W$6:$W$505,P$3,実績!$AI$6:$AI$505,"&lt;="&amp;$A204,実績!$AJ$6:$AJ$505,"&gt;"&amp;$A204,実績!$AK$6:$AK$505,"○")&gt;0,1,0))</f>
        <v>0</v>
      </c>
      <c r="Q204" s="39" t="n">
        <f aca="false">IF(Q$4=0,0,IF(COUNTIFS(実績!$W$6:$W$505,Q$3,実績!$AI$6:$AI$505,"&lt;="&amp;$A204,実績!$AJ$6:$AJ$505,"&gt;"&amp;$A204,実績!$AK$6:$AK$505,"○")&gt;0,1,0))</f>
        <v>0</v>
      </c>
      <c r="R204" s="39" t="n">
        <f aca="false">IF(R$4=0,0,IF(COUNTIFS(実績!$W$6:$W$505,R$3,実績!$AI$6:$AI$505,"&lt;="&amp;$A204,実績!$AJ$6:$AJ$505,"&gt;"&amp;$A204,実績!$AK$6:$AK$505,"○")&gt;0,1,0))</f>
        <v>0</v>
      </c>
      <c r="S204" s="39" t="n">
        <f aca="false">IF(S$4=0,0,IF(COUNTIFS(実績!$W$6:$W$505,S$3,実績!$AI$6:$AI$505,"&lt;="&amp;$A204,実績!$AJ$6:$AJ$505,"&gt;"&amp;$A204,実績!$AK$6:$AK$505,"○")&gt;0,1,0))</f>
        <v>0</v>
      </c>
      <c r="T204" s="39" t="n">
        <f aca="false">IF(T$4=0,0,IF(COUNTIFS(実績!$W$6:$W$505,T$3,実績!$AI$6:$AI$505,"&lt;="&amp;$A204,実績!$AJ$6:$AJ$505,"&gt;"&amp;$A204,実績!$AK$6:$AK$505,"○")&gt;0,1,0))</f>
        <v>0</v>
      </c>
      <c r="U204" s="39" t="n">
        <f aca="false">IF(U$4=0,0,IF(COUNTIFS(実績!$W$6:$W$505,U$3,実績!$AI$6:$AI$505,"&lt;="&amp;$A204,実績!$AJ$6:$AJ$505,"&gt;"&amp;$A204,実績!$AK$6:$AK$505,"○")&gt;0,1,0))</f>
        <v>0</v>
      </c>
      <c r="V204" s="39" t="n">
        <f aca="false">IF(V$4=0,0,IF(COUNTIFS(実績!$W$6:$W$505,V$3,実績!$AI$6:$AI$505,"&lt;="&amp;$A204,実績!$AJ$6:$AJ$505,"&gt;"&amp;$A204,実績!$AK$6:$AK$505,"○")&gt;0,1,0))</f>
        <v>0</v>
      </c>
      <c r="W204" s="39" t="n">
        <f aca="false">IF(W$4=0,0,IF(COUNTIFS(実績!$W$6:$W$505,W$3,実績!$AI$6:$AI$505,"&lt;="&amp;$A204,実績!$AJ$6:$AJ$505,"&gt;"&amp;$A204,実績!$AK$6:$AK$505,"○")&gt;0,1,0))</f>
        <v>0</v>
      </c>
      <c r="X204" s="39" t="n">
        <f aca="false">IF(X$4=0,0,IF(COUNTIFS(実績!$W$6:$W$505,X$3,実績!$AI$6:$AI$505,"&lt;="&amp;$A204,実績!$AJ$6:$AJ$505,"&gt;"&amp;$A204,実績!$AK$6:$AK$505,"○")&gt;0,1,0))</f>
        <v>0</v>
      </c>
      <c r="Y204" s="39" t="n">
        <f aca="false">IF(Y$4=0,0,IF(COUNTIFS(実績!$W$6:$W$505,Y$3,実績!$AI$6:$AI$505,"&lt;="&amp;$A204,実績!$AJ$6:$AJ$505,"&gt;"&amp;$A204,実績!$AK$6:$AK$505,"○")&gt;0,1,0))</f>
        <v>0</v>
      </c>
      <c r="Z204" s="39" t="n">
        <f aca="false">IF(Z$4=0,0,IF(COUNTIFS(実績!$W$6:$W$505,Z$3,実績!$AI$6:$AI$505,"&lt;="&amp;$A204,実績!$AJ$6:$AJ$505,"&gt;"&amp;$A204,実績!$AK$6:$AK$505,"○")&gt;0,1,0))</f>
        <v>0</v>
      </c>
      <c r="AA204" s="39" t="n">
        <f aca="false">IF(AA$4=0,0,IF(COUNTIFS(実績!$W$6:$W$505,AA$3,実績!$AI$6:$AI$505,"&lt;="&amp;$A204,実績!$AJ$6:$AJ$505,"&gt;"&amp;$A204,実績!$AK$6:$AK$505,"○")&gt;0,1,0))</f>
        <v>0</v>
      </c>
      <c r="AB204" s="39" t="n">
        <f aca="false">IF(AB$4=0,0,IF(COUNTIFS(実績!$W$6:$W$505,AB$3,実績!$AI$6:$AI$505,"&lt;="&amp;$A204,実績!$AJ$6:$AJ$505,"&gt;"&amp;$A204,実績!$AK$6:$AK$505,"○")&gt;0,1,0))</f>
        <v>0</v>
      </c>
      <c r="AC204" s="39" t="n">
        <f aca="false">IF(AC$4=0,0,IF(COUNTIFS(実績!$W$6:$W$505,AC$3,実績!$AI$6:$AI$505,"&lt;="&amp;$A204,実績!$AJ$6:$AJ$505,"&gt;"&amp;$A204,実績!$AK$6:$AK$505,"○")&gt;0,1,0))</f>
        <v>0</v>
      </c>
      <c r="AD204" s="39" t="n">
        <f aca="false">IF(AD$4=0,0,IF(COUNTIFS(実績!$W$6:$W$505,AD$3,実績!$AI$6:$AI$505,"&lt;="&amp;$A204,実績!$AJ$6:$AJ$505,"&gt;"&amp;$A204,実績!$AK$6:$AK$505,"○")&gt;0,1,0))</f>
        <v>0</v>
      </c>
      <c r="AE204" s="39" t="n">
        <f aca="false">IF(AE$4=0,0,IF(COUNTIFS(実績!$W$6:$W$505,AE$3,実績!$AI$6:$AI$505,"&lt;="&amp;$A204,実績!$AJ$6:$AJ$505,"&gt;"&amp;$A204,実績!$AK$6:$AK$505,"○")&gt;0,1,0))</f>
        <v>0</v>
      </c>
      <c r="AF204" s="39" t="n">
        <f aca="false">IF(AF$4=0,0,IF(COUNTIFS(実績!$W$6:$W$505,AF$3,実績!$AI$6:$AI$505,"&lt;="&amp;$A204,実績!$AJ$6:$AJ$505,"&gt;"&amp;$A204,実績!$AK$6:$AK$505,"○")&gt;0,1,0))</f>
        <v>0</v>
      </c>
      <c r="AG204" s="39" t="n">
        <f aca="false">IF(AG$4=0,0,IF(COUNTIFS(実績!$W$6:$W$505,AG$3,実績!$AI$6:$AI$505,"&lt;="&amp;$A204,実績!$AJ$6:$AJ$505,"&gt;"&amp;$A204,実績!$AK$6:$AK$505,"○")&gt;0,1,0))</f>
        <v>0</v>
      </c>
      <c r="AH204" s="39" t="n">
        <f aca="false">IF(AH$4=0,0,IF(COUNTIFS(実績!$W$6:$W$505,AH$3,実績!$AI$6:$AI$505,"&lt;="&amp;$A204,実績!$AJ$6:$AJ$505,"&gt;"&amp;$A204,実績!$AK$6:$AK$505,"○")&gt;0,1,0))</f>
        <v>0</v>
      </c>
      <c r="AI204" s="39" t="n">
        <f aca="false">IF(AI$4=0,0,IF(COUNTIFS(実績!$W$6:$W$505,AI$3,実績!$AI$6:$AI$505,"&lt;="&amp;$A204,実績!$AJ$6:$AJ$505,"&gt;"&amp;$A204,実績!$AK$6:$AK$505,"○")&gt;0,1,0))</f>
        <v>0</v>
      </c>
      <c r="AJ204" s="39" t="n">
        <f aca="false">IF(AJ$4=0,0,IF(COUNTIFS(実績!$W$6:$W$505,AJ$3,実績!$AI$6:$AI$505,"&lt;="&amp;$A204,実績!$AJ$6:$AJ$505,"&gt;"&amp;$A204,実績!$AK$6:$AK$505,"○")&gt;0,1,0))</f>
        <v>0</v>
      </c>
      <c r="AK204" s="39" t="n">
        <f aca="false">IF(AK$4=0,0,IF(COUNTIFS(実績!$W$6:$W$505,AK$3,実績!$AI$6:$AI$505,"&lt;="&amp;$A204,実績!$AJ$6:$AJ$505,"&gt;"&amp;$A204,実績!$AK$6:$AK$505,"○")&gt;0,1,0))</f>
        <v>0</v>
      </c>
      <c r="AL204" s="39" t="n">
        <f aca="false">IF(AL$4=0,0,IF(COUNTIFS(実績!$W$6:$W$505,AL$3,実績!$AI$6:$AI$505,"&lt;="&amp;$A204,実績!$AJ$6:$AJ$505,"&gt;"&amp;$A204,実績!$AK$6:$AK$505,"○")&gt;0,1,0))</f>
        <v>0</v>
      </c>
      <c r="AM204" s="39" t="n">
        <f aca="false">IF(AM$4=0,0,IF(COUNTIFS(実績!$W$6:$W$505,AM$3,実績!$AI$6:$AI$505,"&lt;="&amp;$A204,実績!$AJ$6:$AJ$505,"&gt;"&amp;$A204,実績!$AK$6:$AK$505,"○")&gt;0,1,0))</f>
        <v>0</v>
      </c>
      <c r="AN204" s="39" t="n">
        <f aca="false">IF(AN$4=0,0,IF(COUNTIFS(実績!$W$6:$W$505,AN$3,実績!$AI$6:$AI$505,"&lt;="&amp;$A204,実績!$AJ$6:$AJ$505,"&gt;"&amp;$A204,実績!$AK$6:$AK$505,"○")&gt;0,1,0))</f>
        <v>0</v>
      </c>
      <c r="AO204" s="39" t="n">
        <f aca="false">IF(AO$4=0,0,IF(COUNTIFS(実績!$W$6:$W$505,AO$3,実績!$AI$6:$AI$505,"&lt;="&amp;$A204,実績!$AJ$6:$AJ$505,"&gt;"&amp;$A204,実績!$AK$6:$AK$505,"○")&gt;0,1,0))</f>
        <v>0</v>
      </c>
      <c r="AP204" s="39" t="n">
        <f aca="false">IF(AP$4=0,0,IF(COUNTIFS(実績!$W$6:$W$505,AP$3,実績!$AI$6:$AI$505,"&lt;="&amp;$A204,実績!$AJ$6:$AJ$505,"&gt;"&amp;$A204,実績!$AK$6:$AK$505,"○")&gt;0,1,0))</f>
        <v>0</v>
      </c>
      <c r="AQ204" s="39" t="n">
        <f aca="false">IF(AQ$4=0,0,IF(COUNTIFS(実績!$W$6:$W$505,AQ$3,実績!$AI$6:$AI$505,"&lt;="&amp;$A204,実績!$AJ$6:$AJ$505,"&gt;"&amp;$A204,実績!$AK$6:$AK$505,"○")&gt;0,1,0))</f>
        <v>0</v>
      </c>
      <c r="AR204" s="39" t="n">
        <f aca="false">IF(AR$4=0,0,IF(COUNTIFS(実績!$W$6:$W$505,AR$3,実績!$AI$6:$AI$505,"&lt;="&amp;$A204,実績!$AJ$6:$AJ$505,"&gt;"&amp;$A204,実績!$AK$6:$AK$505,"○")&gt;0,1,0))</f>
        <v>0</v>
      </c>
      <c r="AS204" s="39" t="n">
        <f aca="false">IF(AS$4=0,0,IF(COUNTIFS(実績!$W$6:$W$505,AS$3,実績!$AI$6:$AI$505,"&lt;="&amp;$A204,実績!$AJ$6:$AJ$505,"&gt;"&amp;$A204,実績!$AK$6:$AK$505,"○")&gt;0,1,0))</f>
        <v>0</v>
      </c>
      <c r="AT204" s="39" t="n">
        <f aca="false">IF(AT$4=0,0,IF(COUNTIFS(実績!$W$6:$W$505,AT$3,実績!$AI$6:$AI$505,"&lt;="&amp;$A204,実績!$AJ$6:$AJ$505,"&gt;"&amp;$A204,実績!$AK$6:$AK$505,"○")&gt;0,1,0))</f>
        <v>0</v>
      </c>
      <c r="AU204" s="39" t="n">
        <f aca="false">IF(AU$4=0,0,IF(COUNTIFS(実績!$W$6:$W$505,AU$3,実績!$AI$6:$AI$505,"&lt;="&amp;$A204,実績!$AJ$6:$AJ$505,"&gt;"&amp;$A204,実績!$AK$6:$AK$505,"○")&gt;0,1,0))</f>
        <v>0</v>
      </c>
      <c r="AV204" s="39" t="n">
        <f aca="false">IF(AV$4=0,0,IF(COUNTIFS(実績!$W$6:$W$505,AV$3,実績!$AI$6:$AI$505,"&lt;="&amp;$A204,実績!$AJ$6:$AJ$505,"&gt;"&amp;$A204,実績!$AK$6:$AK$505,"○")&gt;0,1,0))</f>
        <v>0</v>
      </c>
      <c r="AW204" s="39" t="n">
        <f aca="false">IF(AW$4=0,0,IF(COUNTIFS(実績!$W$6:$W$505,AW$3,実績!$AI$6:$AI$505,"&lt;="&amp;$A204,実績!$AJ$6:$AJ$505,"&gt;"&amp;$A204,実績!$AK$6:$AK$505,"○")&gt;0,1,0))</f>
        <v>0</v>
      </c>
      <c r="AX204" s="39" t="n">
        <f aca="false">IF(AX$4=0,0,IF(COUNTIFS(実績!$W$6:$W$505,AX$3,実績!$AI$6:$AI$505,"&lt;="&amp;$A204,実績!$AJ$6:$AJ$505,"&gt;"&amp;$A204,実績!$AK$6:$AK$505,"○")&gt;0,1,0))</f>
        <v>0</v>
      </c>
      <c r="AY204" s="39" t="n">
        <f aca="false">IF(AY$4=0,0,IF(COUNTIFS(実績!$W$6:$W$505,AY$3,実績!$AI$6:$AI$505,"&lt;="&amp;$A204,実績!$AJ$6:$AJ$505,"&gt;"&amp;$A204,実績!$AK$6:$AK$505,"○")&gt;0,1,0))</f>
        <v>0</v>
      </c>
      <c r="AZ204" s="39" t="n">
        <f aca="false">IF(AZ$4=0,0,IF(COUNTIFS(実績!$W$6:$W$505,AZ$3,実績!$AI$6:$AI$505,"&lt;="&amp;$A204,実績!$AJ$6:$AJ$505,"&gt;"&amp;$A204,実績!$AK$6:$AK$505,"○")&gt;0,1,0))</f>
        <v>0</v>
      </c>
      <c r="BA204" s="39" t="n">
        <f aca="false">IF(BA$4=0,0,IF(COUNTIFS(実績!$W$6:$W$505,BA$3,実績!$AI$6:$AI$505,"&lt;="&amp;$A204,実績!$AJ$6:$AJ$505,"&gt;"&amp;$A204,実績!$AK$6:$AK$505,"○")&gt;0,1,0))</f>
        <v>0</v>
      </c>
      <c r="BB204" s="39" t="n">
        <f aca="false">IF(BB$4=0,0,IF(COUNTIFS(実績!$W$6:$W$505,BB$3,実績!$AI$6:$AI$505,"&lt;="&amp;$A204,実績!$AJ$6:$AJ$505,"&gt;"&amp;$A204,実績!$AK$6:$AK$505,"○")&gt;0,1,0))</f>
        <v>0</v>
      </c>
      <c r="BC204" s="39" t="n">
        <f aca="false">IF(BC$4=0,0,IF(COUNTIFS(実績!$W$6:$W$505,BC$3,実績!$AI$6:$AI$505,"&lt;="&amp;$A204,実績!$AJ$6:$AJ$505,"&gt;"&amp;$A204,実績!$AK$6:$AK$505,"○")&gt;0,1,0))</f>
        <v>0</v>
      </c>
      <c r="BD204" s="39" t="n">
        <f aca="false">IF(BD$4=0,0,IF(COUNTIFS(実績!$W$6:$W$505,BD$3,実績!$AI$6:$AI$505,"&lt;="&amp;$A204,実績!$AJ$6:$AJ$505,"&gt;"&amp;$A204,実績!$AK$6:$AK$505,"○")&gt;0,1,0))</f>
        <v>0</v>
      </c>
      <c r="BE204" s="39" t="n">
        <f aca="false">IF(BE$4=0,0,IF(COUNTIFS(実績!$W$6:$W$505,BE$3,実績!$AI$6:$AI$505,"&lt;="&amp;$A204,実績!$AJ$6:$AJ$505,"&gt;"&amp;$A204,実績!$AK$6:$AK$505,"○")&gt;0,1,0))</f>
        <v>0</v>
      </c>
      <c r="BF204" s="39" t="n">
        <f aca="false">IF(BF$4=0,0,IF(COUNTIFS(実績!$W$6:$W$505,BF$3,実績!$AI$6:$AI$505,"&lt;="&amp;$A204,実績!$AJ$6:$AJ$505,"&gt;"&amp;$A204,実績!$AK$6:$AK$505,"○")&gt;0,1,0))</f>
        <v>0</v>
      </c>
      <c r="BG204" s="39" t="n">
        <f aca="false">IF(BG$4=0,0,IF(COUNTIFS(実績!$W$6:$W$505,BG$3,実績!$AI$6:$AI$505,"&lt;="&amp;$A204,実績!$AJ$6:$AJ$505,"&gt;"&amp;$A204,実績!$AK$6:$AK$505,"○")&gt;0,1,0))</f>
        <v>0</v>
      </c>
      <c r="BH204" s="39" t="n">
        <f aca="false">IF(BH$4=0,0,IF(COUNTIFS(実績!$W$6:$W$505,BH$3,実績!$AI$6:$AI$505,"&lt;="&amp;$A204,実績!$AJ$6:$AJ$505,"&gt;"&amp;$A204,実績!$AK$6:$AK$505,"○")&gt;0,1,0))</f>
        <v>0</v>
      </c>
      <c r="BI204" s="39" t="n">
        <f aca="false">IF(BI$4=0,0,IF(COUNTIFS(実績!$W$6:$W$505,BI$3,実績!$AI$6:$AI$505,"&lt;="&amp;$A204,実績!$AJ$6:$AJ$505,"&gt;"&amp;$A204,実績!$AK$6:$AK$505,"○")&gt;0,1,0))</f>
        <v>0</v>
      </c>
      <c r="BJ204" s="39" t="n">
        <f aca="false">IF(BJ$4=0,0,IF(COUNTIFS(実績!$W$6:$W$505,BJ$3,実績!$AI$6:$AI$505,"&lt;="&amp;$A204,実績!$AJ$6:$AJ$505,"&gt;"&amp;$A204,実績!$AK$6:$AK$505,"○")&gt;0,1,0))</f>
        <v>0</v>
      </c>
      <c r="BK204" s="39" t="n">
        <f aca="false">IF(BK$4=0,0,IF(COUNTIFS(実績!$W$6:$W$505,BK$3,実績!$AI$6:$AI$505,"&lt;="&amp;$A204,実績!$AJ$6:$AJ$505,"&gt;"&amp;$A204,実績!$AK$6:$AK$505,"○")&gt;0,1,0))</f>
        <v>0</v>
      </c>
      <c r="BL204" s="39" t="n">
        <f aca="false">IF(BL$4=0,0,IF(COUNTIFS(実績!$W$6:$W$505,BL$3,実績!$AI$6:$AI$505,"&lt;="&amp;$A204,実績!$AJ$6:$AJ$505,"&gt;"&amp;$A204,実績!$AK$6:$AK$505,"○")&gt;0,1,0))</f>
        <v>0</v>
      </c>
      <c r="BM204" s="39" t="n">
        <f aca="false">IF(BM$4=0,0,IF(COUNTIFS(実績!$W$6:$W$505,BM$3,実績!$AI$6:$AI$505,"&lt;="&amp;$A204,実績!$AJ$6:$AJ$505,"&gt;"&amp;$A204,実績!$AK$6:$AK$505,"○")&gt;0,1,0))</f>
        <v>0</v>
      </c>
      <c r="BN204" s="39" t="n">
        <f aca="false">IF(BN$4=0,0,IF(COUNTIFS(実績!$W$6:$W$505,BN$3,実績!$AI$6:$AI$505,"&lt;="&amp;$A204,実績!$AJ$6:$AJ$505,"&gt;"&amp;$A204,実績!$AK$6:$AK$505,"○")&gt;0,1,0))</f>
        <v>0</v>
      </c>
      <c r="BO204" s="39" t="n">
        <f aca="false">IF(BO$4=0,0,IF(COUNTIFS(実績!$W$6:$W$505,BO$3,実績!$AI$6:$AI$505,"&lt;="&amp;$A204,実績!$AJ$6:$AJ$505,"&gt;"&amp;$A204,実績!$AK$6:$AK$505,"○")&gt;0,1,0))</f>
        <v>0</v>
      </c>
      <c r="BP204" s="39" t="n">
        <f aca="false">IF(BP$4=0,0,IF(COUNTIFS(実績!$W$6:$W$505,BP$3,実績!$AI$6:$AI$505,"&lt;="&amp;$A204,実績!$AJ$6:$AJ$505,"&gt;"&amp;$A204,実績!$AK$6:$AK$505,"○")&gt;0,1,0))</f>
        <v>0</v>
      </c>
      <c r="BQ204" s="39" t="n">
        <f aca="false">IF(BQ$4=0,0,IF(COUNTIFS(実績!$W$6:$W$505,BQ$3,実績!$AI$6:$AI$505,"&lt;="&amp;$A204,実績!$AJ$6:$AJ$505,"&gt;"&amp;$A204,実績!$AK$6:$AK$505,"○")&gt;0,1,0))</f>
        <v>0</v>
      </c>
      <c r="BR204" s="39" t="n">
        <f aca="false">IF(BR$4=0,0,IF(COUNTIFS(実績!$W$6:$W$505,BR$3,実績!$AI$6:$AI$505,"&lt;="&amp;$A204,実績!$AJ$6:$AJ$505,"&gt;"&amp;$A204,実績!$AK$6:$AK$505,"○")&gt;0,1,0))</f>
        <v>0</v>
      </c>
      <c r="BS204" s="39" t="n">
        <f aca="false">IF(BS$4=0,0,IF(COUNTIFS(実績!$W$6:$W$505,BS$3,実績!$AI$6:$AI$505,"&lt;="&amp;$A204,実績!$AJ$6:$AJ$505,"&gt;"&amp;$A204,実績!$AK$6:$AK$505,"○")&gt;0,1,0))</f>
        <v>0</v>
      </c>
      <c r="BT204" s="39" t="n">
        <f aca="false">IF(BT$4=0,0,IF(COUNTIFS(実績!$W$6:$W$505,BT$3,実績!$AI$6:$AI$505,"&lt;="&amp;$A204,実績!$AJ$6:$AJ$505,"&gt;"&amp;$A204,実績!$AK$6:$AK$505,"○")&gt;0,1,0))</f>
        <v>0</v>
      </c>
      <c r="BU204" s="39" t="n">
        <f aca="false">IF(BU$4=0,0,IF(COUNTIFS(実績!$W$6:$W$505,BU$3,実績!$AI$6:$AI$505,"&lt;="&amp;$A204,実績!$AJ$6:$AJ$505,"&gt;"&amp;$A204,実績!$AK$6:$AK$505,"○")&gt;0,1,0))</f>
        <v>0</v>
      </c>
      <c r="BV204" s="39" t="n">
        <f aca="false">IF(BV$4=0,0,IF(COUNTIFS(実績!$W$6:$W$505,BV$3,実績!$AI$6:$AI$505,"&lt;="&amp;$A204,実績!$AJ$6:$AJ$505,"&gt;"&amp;$A204,実績!$AK$6:$AK$505,"○")&gt;0,1,0))</f>
        <v>0</v>
      </c>
      <c r="BW204" s="39" t="n">
        <f aca="false">IF(BW$4=0,0,IF(COUNTIFS(実績!$W$6:$W$505,BW$3,実績!$AI$6:$AI$505,"&lt;="&amp;$A204,実績!$AJ$6:$AJ$505,"&gt;"&amp;$A204,実績!$AK$6:$AK$505,"○")&gt;0,1,0))</f>
        <v>0</v>
      </c>
      <c r="BX204" s="39" t="n">
        <f aca="false">IF(BX$4=0,0,IF(COUNTIFS(実績!$W$6:$W$505,BX$3,実績!$AI$6:$AI$505,"&lt;="&amp;$A204,実績!$AJ$6:$AJ$505,"&gt;"&amp;$A204,実績!$AK$6:$AK$505,"○")&gt;0,1,0))</f>
        <v>0</v>
      </c>
      <c r="BY204" s="39" t="n">
        <f aca="false">IF(BY$4=0,0,IF(COUNTIFS(実績!$W$6:$W$505,BY$3,実績!$AI$6:$AI$505,"&lt;="&amp;$A204,実績!$AJ$6:$AJ$505,"&gt;"&amp;$A204,実績!$AK$6:$AK$505,"○")&gt;0,1,0))</f>
        <v>0</v>
      </c>
      <c r="BZ204" s="39" t="n">
        <f aca="false">IF(BZ$4=0,0,IF(COUNTIFS(実績!$W$6:$W$505,BZ$3,実績!$AI$6:$AI$505,"&lt;="&amp;$A204,実績!$AJ$6:$AJ$505,"&gt;"&amp;$A204,実績!$AK$6:$AK$505,"○")&gt;0,1,0))</f>
        <v>0</v>
      </c>
      <c r="CA204" s="39" t="n">
        <f aca="false">IF(CA$4=0,0,IF(COUNTIFS(実績!$W$6:$W$505,CA$3,実績!$AI$6:$AI$505,"&lt;="&amp;$A204,実績!$AJ$6:$AJ$505,"&gt;"&amp;$A204,実績!$AK$6:$AK$505,"○")&gt;0,1,0))</f>
        <v>0</v>
      </c>
      <c r="CB204" s="39" t="n">
        <f aca="false">IF(CB$4=0,0,IF(COUNTIFS(実績!$W$6:$W$505,CB$3,実績!$AI$6:$AI$505,"&lt;="&amp;$A204,実績!$AJ$6:$AJ$505,"&gt;"&amp;$A204,実績!$AK$6:$AK$505,"○")&gt;0,1,0))</f>
        <v>0</v>
      </c>
      <c r="CC204" s="39" t="n">
        <f aca="false">IF(CC$4=0,0,IF(COUNTIFS(実績!$W$6:$W$505,CC$3,実績!$AI$6:$AI$505,"&lt;="&amp;$A204,実績!$AJ$6:$AJ$505,"&gt;"&amp;$A204,実績!$AK$6:$AK$505,"○")&gt;0,1,0))</f>
        <v>0</v>
      </c>
      <c r="CD204" s="39" t="n">
        <f aca="false">IF(CD$4=0,0,IF(COUNTIFS(実績!$W$6:$W$505,CD$3,実績!$AI$6:$AI$505,"&lt;="&amp;$A204,実績!$AJ$6:$AJ$505,"&gt;"&amp;$A204,実績!$AK$6:$AK$505,"○")&gt;0,1,0))</f>
        <v>0</v>
      </c>
      <c r="CE204" s="39" t="n">
        <f aca="false">IF(CE$4=0,0,IF(COUNTIFS(実績!$W$6:$W$505,CE$3,実績!$AI$6:$AI$505,"&lt;="&amp;$A204,実績!$AJ$6:$AJ$505,"&gt;"&amp;$A204,実績!$AK$6:$AK$505,"○")&gt;0,1,0))</f>
        <v>0</v>
      </c>
      <c r="CF204" s="39" t="n">
        <f aca="false">IF(CF$4=0,0,IF(COUNTIFS(実績!$W$6:$W$505,CF$3,実績!$AI$6:$AI$505,"&lt;="&amp;$A204,実績!$AJ$6:$AJ$505,"&gt;"&amp;$A204,実績!$AK$6:$AK$505,"○")&gt;0,1,0))</f>
        <v>0</v>
      </c>
      <c r="CG204" s="39" t="n">
        <f aca="false">IF(CG$4=0,0,IF(COUNTIFS(実績!$W$6:$W$505,CG$3,実績!$AI$6:$AI$505,"&lt;="&amp;$A204,実績!$AJ$6:$AJ$505,"&gt;"&amp;$A204,実績!$AK$6:$AK$505,"○")&gt;0,1,0))</f>
        <v>0</v>
      </c>
      <c r="CH204" s="39" t="n">
        <f aca="false">IF(CH$4=0,0,IF(COUNTIFS(実績!$W$6:$W$505,CH$3,実績!$AI$6:$AI$505,"&lt;="&amp;$A204,実績!$AJ$6:$AJ$505,"&gt;"&amp;$A204,実績!$AK$6:$AK$505,"○")&gt;0,1,0))</f>
        <v>0</v>
      </c>
      <c r="CI204" s="39" t="n">
        <f aca="false">IF(CI$4=0,0,IF(COUNTIFS(実績!$W$6:$W$505,CI$3,実績!$AI$6:$AI$505,"&lt;="&amp;$A204,実績!$AJ$6:$AJ$505,"&gt;"&amp;$A204,実績!$AK$6:$AK$505,"○")&gt;0,1,0))</f>
        <v>0</v>
      </c>
      <c r="CJ204" s="39" t="n">
        <f aca="false">IF(CJ$4=0,0,IF(COUNTIFS(実績!$W$6:$W$505,CJ$3,実績!$AI$6:$AI$505,"&lt;="&amp;$A204,実績!$AJ$6:$AJ$505,"&gt;"&amp;$A204,実績!$AK$6:$AK$505,"○")&gt;0,1,0))</f>
        <v>0</v>
      </c>
      <c r="CK204" s="39" t="n">
        <f aca="false">IF(CK$4=0,0,IF(COUNTIFS(実績!$W$6:$W$505,CK$3,実績!$AI$6:$AI$505,"&lt;="&amp;$A204,実績!$AJ$6:$AJ$505,"&gt;"&amp;$A204,実績!$AK$6:$AK$505,"○")&gt;0,1,0))</f>
        <v>0</v>
      </c>
      <c r="CL204" s="39" t="n">
        <f aca="false">IF(CL$4=0,0,IF(COUNTIFS(実績!$W$6:$W$505,CL$3,実績!$AI$6:$AI$505,"&lt;="&amp;$A204,実績!$AJ$6:$AJ$505,"&gt;"&amp;$A204,実績!$AK$6:$AK$505,"○")&gt;0,1,0))</f>
        <v>0</v>
      </c>
      <c r="CM204" s="39" t="n">
        <f aca="false">IF(CM$4=0,0,IF(COUNTIFS(実績!$W$6:$W$505,CM$3,実績!$AI$6:$AI$505,"&lt;="&amp;$A204,実績!$AJ$6:$AJ$505,"&gt;"&amp;$A204,実績!$AK$6:$AK$505,"○")&gt;0,1,0))</f>
        <v>0</v>
      </c>
      <c r="CN204" s="39" t="n">
        <f aca="false">IF(CN$4=0,0,IF(COUNTIFS(実績!$W$6:$W$505,CN$3,実績!$AI$6:$AI$505,"&lt;="&amp;$A204,実績!$AJ$6:$AJ$505,"&gt;"&amp;$A204,実績!$AK$6:$AK$505,"○")&gt;0,1,0))</f>
        <v>0</v>
      </c>
      <c r="CO204" s="39" t="n">
        <f aca="false">IF(CO$4=0,0,IF(COUNTIFS(実績!$W$6:$W$505,CO$3,実績!$AI$6:$AI$505,"&lt;="&amp;$A204,実績!$AJ$6:$AJ$505,"&gt;"&amp;$A204,実績!$AK$6:$AK$505,"○")&gt;0,1,0))</f>
        <v>0</v>
      </c>
      <c r="CP204" s="39" t="n">
        <f aca="false">IF(CP$4=0,0,IF(COUNTIFS(実績!$W$6:$W$505,CP$3,実績!$AI$6:$AI$505,"&lt;="&amp;$A204,実績!$AJ$6:$AJ$505,"&gt;"&amp;$A204,実績!$AK$6:$AK$505,"○")&gt;0,1,0))</f>
        <v>0</v>
      </c>
      <c r="CQ204" s="39" t="n">
        <f aca="false">IF(CQ$4=0,0,IF(COUNTIFS(実績!$W$6:$W$505,CQ$3,実績!$AI$6:$AI$505,"&lt;="&amp;$A204,実績!$AJ$6:$AJ$505,"&gt;"&amp;$A204,実績!$AK$6:$AK$505,"○")&gt;0,1,0))</f>
        <v>0</v>
      </c>
      <c r="CR204" s="39" t="n">
        <f aca="false">IF(CR$4=0,0,IF(COUNTIFS(実績!$W$6:$W$505,CR$3,実績!$AI$6:$AI$505,"&lt;="&amp;$A204,実績!$AJ$6:$AJ$505,"&gt;"&amp;$A204,実績!$AK$6:$AK$505,"○")&gt;0,1,0))</f>
        <v>0</v>
      </c>
      <c r="CS204" s="39" t="n">
        <f aca="false">IF(CS$4=0,0,IF(COUNTIFS(実績!$W$6:$W$505,CS$3,実績!$AI$6:$AI$505,"&lt;="&amp;$A204,実績!$AJ$6:$AJ$505,"&gt;"&amp;$A204,実績!$AK$6:$AK$505,"○")&gt;0,1,0))</f>
        <v>0</v>
      </c>
      <c r="CT204" s="39" t="n">
        <f aca="false">IF(CT$4=0,0,IF(COUNTIFS(実績!$W$6:$W$505,CT$3,実績!$AI$6:$AI$505,"&lt;="&amp;$A204,実績!$AJ$6:$AJ$505,"&gt;"&amp;$A204,実績!$AK$6:$AK$505,"○")&gt;0,1,0))</f>
        <v>0</v>
      </c>
      <c r="CU204" s="39" t="n">
        <f aca="false">IF(CU$4=0,0,IF(COUNTIFS(実績!$W$6:$W$505,CU$3,実績!$AI$6:$AI$505,"&lt;="&amp;$A204,実績!$AJ$6:$AJ$505,"&gt;"&amp;$A204,実績!$AK$6:$AK$505,"○")&gt;0,1,0))</f>
        <v>0</v>
      </c>
      <c r="CV204" s="39" t="n">
        <f aca="false">IF(CV$4=0,0,IF(COUNTIFS(実績!$W$6:$W$505,CV$3,実績!$AI$6:$AI$505,"&lt;="&amp;$A204,実績!$AJ$6:$AJ$505,"&gt;"&amp;$A204,実績!$AK$6:$AK$505,"○")&gt;0,1,0))</f>
        <v>0</v>
      </c>
      <c r="CW204" s="39" t="n">
        <f aca="false">IF(CW$4=0,0,IF(COUNTIFS(実績!$W$6:$W$505,CW$3,実績!$AI$6:$AI$505,"&lt;="&amp;$A204,実績!$AJ$6:$AJ$505,"&gt;"&amp;$A204,実績!$AK$6:$AK$505,"○")&gt;0,1,0))</f>
        <v>0</v>
      </c>
      <c r="CX204" s="39" t="n">
        <f aca="false">IF(CX$4=0,0,IF(COUNTIFS(実績!$W$6:$W$505,CX$3,実績!$AI$6:$AI$505,"&lt;="&amp;$A204,実績!$AJ$6:$AJ$505,"&gt;"&amp;$A204,実績!$AK$6:$AK$505,"○")&gt;0,1,0))</f>
        <v>0</v>
      </c>
      <c r="CY204" s="39" t="n">
        <f aca="false">IF(CY$4=0,0,IF(COUNTIFS(実績!$W$6:$W$505,CY$3,実績!$AI$6:$AI$505,"&lt;="&amp;$A204,実績!$AJ$6:$AJ$505,"&gt;"&amp;$A204,実績!$AK$6:$AK$505,"○")&gt;0,1,0))</f>
        <v>0</v>
      </c>
      <c r="CZ204" s="39" t="n">
        <f aca="false">IF(CZ$4=0,0,IF(COUNTIFS(実績!$W$6:$W$505,CZ$3,実績!$AI$6:$AI$505,"&lt;="&amp;$A204,実績!$AJ$6:$AJ$505,"&gt;"&amp;$A204,実績!$AK$6:$AK$505,"○")&gt;0,1,0))</f>
        <v>0</v>
      </c>
      <c r="DA204" s="39" t="n">
        <f aca="false">IF(DA$4=0,0,IF(COUNTIFS(実績!$W$6:$W$505,DA$3,実績!$AI$6:$AI$505,"&lt;="&amp;$A204,実績!$AJ$6:$AJ$505,"&gt;"&amp;$A204,実績!$AK$6:$AK$505,"○")&gt;0,1,0))</f>
        <v>0</v>
      </c>
      <c r="DB204" s="39" t="n">
        <f aca="false">IF(DB$4=0,0,IF(COUNTIFS(実績!$W$6:$W$505,DB$3,実績!$AI$6:$AI$505,"&lt;="&amp;$A204,実績!$AJ$6:$AJ$505,"&gt;"&amp;$A204,実績!$AK$6:$AK$505,"○")&gt;0,1,0))</f>
        <v>0</v>
      </c>
      <c r="DC204" s="39" t="n">
        <f aca="false">IF(DC$4=0,0,IF(COUNTIFS(実績!$W$6:$W$505,DC$3,実績!$AI$6:$AI$505,"&lt;="&amp;$A204,実績!$AJ$6:$AJ$505,"&gt;"&amp;$A204,実績!$AK$6:$AK$505,"○")&gt;0,1,0))</f>
        <v>0</v>
      </c>
      <c r="DD204" s="39" t="n">
        <f aca="false">IF(DD$4=0,0,IF(COUNTIFS(実績!$W$6:$W$505,DD$3,実績!$AI$6:$AI$505,"&lt;="&amp;$A204,実績!$AJ$6:$AJ$505,"&gt;"&amp;$A204,実績!$AK$6:$AK$505,"○")&gt;0,1,0))</f>
        <v>0</v>
      </c>
      <c r="DE204" s="39" t="n">
        <f aca="false">IF(DE$4=0,0,IF(COUNTIFS(実績!$W$6:$W$505,DE$3,実績!$AI$6:$AI$505,"&lt;="&amp;$A204,実績!$AJ$6:$AJ$505,"&gt;"&amp;$A204,実績!$AK$6:$AK$505,"○")&gt;0,1,0))</f>
        <v>0</v>
      </c>
      <c r="DF204" s="39" t="n">
        <f aca="false">IF(DF$4=0,0,IF(COUNTIFS(実績!$W$6:$W$505,DF$3,実績!$AI$6:$AI$505,"&lt;="&amp;$A204,実績!$AJ$6:$AJ$505,"&gt;"&amp;$A204,実績!$AK$6:$AK$505,"○")&gt;0,1,0))</f>
        <v>0</v>
      </c>
      <c r="DG204" s="39" t="n">
        <f aca="false">IF(DG$4=0,0,IF(COUNTIFS(実績!$W$6:$W$505,DG$3,実績!$AI$6:$AI$505,"&lt;="&amp;$A204,実績!$AJ$6:$AJ$505,"&gt;"&amp;$A204,実績!$AK$6:$AK$505,"○")&gt;0,1,0))</f>
        <v>0</v>
      </c>
      <c r="DH204" s="39" t="n">
        <f aca="false">IF(DH$4=0,0,IF(COUNTIFS(実績!$W$6:$W$505,DH$3,実績!$AI$6:$AI$505,"&lt;="&amp;$A204,実績!$AJ$6:$AJ$505,"&gt;"&amp;$A204,実績!$AK$6:$AK$505,"○")&gt;0,1,0))</f>
        <v>0</v>
      </c>
      <c r="DI204" s="39" t="n">
        <f aca="false">IF(DI$4=0,0,IF(COUNTIFS(実績!$W$6:$W$505,DI$3,実績!$AI$6:$AI$505,"&lt;="&amp;$A204,実績!$AJ$6:$AJ$505,"&gt;"&amp;$A204,実績!$AK$6:$AK$505,"○")&gt;0,1,0))</f>
        <v>0</v>
      </c>
      <c r="DJ204" s="39" t="n">
        <f aca="false">IF(DJ$4=0,0,IF(COUNTIFS(実績!$W$6:$W$505,DJ$3,実績!$AI$6:$AI$505,"&lt;="&amp;$A204,実績!$AJ$6:$AJ$505,"&gt;"&amp;$A204,実績!$AK$6:$AK$505,"○")&gt;0,1,0))</f>
        <v>0</v>
      </c>
      <c r="DK204" s="39" t="n">
        <f aca="false">IF(DK$4=0,0,IF(COUNTIFS(実績!$W$6:$W$505,DK$3,実績!$AI$6:$AI$505,"&lt;="&amp;$A204,実績!$AJ$6:$AJ$505,"&gt;"&amp;$A204,実績!$AK$6:$AK$505,"○")&gt;0,1,0))</f>
        <v>0</v>
      </c>
      <c r="DL204" s="39" t="n">
        <f aca="false">IF(DL$4=0,0,IF(COUNTIFS(実績!$W$6:$W$505,DL$3,実績!$AI$6:$AI$505,"&lt;="&amp;$A204,実績!$AJ$6:$AJ$505,"&gt;"&amp;$A204,実績!$AK$6:$AK$505,"○")&gt;0,1,0))</f>
        <v>0</v>
      </c>
      <c r="DM204" s="39" t="n">
        <f aca="false">IF(DM$4=0,0,IF(COUNTIFS(実績!$W$6:$W$505,DM$3,実績!$AI$6:$AI$505,"&lt;="&amp;$A204,実績!$AJ$6:$AJ$505,"&gt;"&amp;$A204,実績!$AK$6:$AK$505,"○")&gt;0,1,0))</f>
        <v>0</v>
      </c>
      <c r="DN204" s="39" t="n">
        <f aca="false">IF(DN$4=0,0,IF(COUNTIFS(実績!$W$6:$W$505,DN$3,実績!$AI$6:$AI$505,"&lt;="&amp;$A204,実績!$AJ$6:$AJ$505,"&gt;"&amp;$A204,実績!$AK$6:$AK$505,"○")&gt;0,1,0))</f>
        <v>0</v>
      </c>
      <c r="DO204" s="39" t="n">
        <f aca="false">IF(DO$4=0,0,IF(COUNTIFS(実績!$W$6:$W$505,DO$3,実績!$AI$6:$AI$505,"&lt;="&amp;$A204,実績!$AJ$6:$AJ$505,"&gt;"&amp;$A204,実績!$AK$6:$AK$505,"○")&gt;0,1,0))</f>
        <v>0</v>
      </c>
      <c r="DP204" s="39" t="n">
        <f aca="false">IF(DP$4=0,0,IF(COUNTIFS(実績!$W$6:$W$505,DP$3,実績!$AI$6:$AI$505,"&lt;="&amp;$A204,実績!$AJ$6:$AJ$505,"&gt;"&amp;$A204,実績!$AK$6:$AK$505,"○")&gt;0,1,0))</f>
        <v>0</v>
      </c>
      <c r="DQ204" s="39" t="n">
        <f aca="false">IF(DQ$4=0,0,IF(COUNTIFS(実績!$W$6:$W$505,DQ$3,実績!$AI$6:$AI$505,"&lt;="&amp;$A204,実績!$AJ$6:$AJ$505,"&gt;"&amp;$A204,実績!$AK$6:$AK$505,"○")&gt;0,1,0))</f>
        <v>0</v>
      </c>
      <c r="DR204" s="39" t="n">
        <f aca="false">IF(DR$4=0,0,IF(COUNTIFS(実績!$W$6:$W$505,DR$3,実績!$AI$6:$AI$505,"&lt;="&amp;$A204,実績!$AJ$6:$AJ$505,"&gt;"&amp;$A204,実績!$AK$6:$AK$505,"○")&gt;0,1,0))</f>
        <v>0</v>
      </c>
      <c r="DS204" s="39" t="n">
        <f aca="false">SUM(C204:DR204)</f>
        <v>0</v>
      </c>
      <c r="DT204" s="39" t="n">
        <f aca="false">SUMPRODUCT((実績!$C$6:$C$505="○")*ISNUMBER(実績!$AM$6:$AM$505)*(実績!$AM$6:$AM$505&lt;=$A204)*(実績!$AN$6:$AN$505&gt;$A204))</f>
        <v>0</v>
      </c>
      <c r="DU204" s="39" t="n">
        <f aca="false">SUMIF($C$2:$DR$2,"製鉄曳船",C204:DR204)</f>
        <v>0</v>
      </c>
      <c r="DV204" s="39" t="n">
        <f aca="false">SUMIF($C$2:$DR$2,"西日本海運",C204:DR204)</f>
        <v>0</v>
      </c>
    </row>
    <row r="205" customFormat="false" ht="15" hidden="false" customHeight="false" outlineLevel="0" collapsed="false">
      <c r="A205" s="0" t="n">
        <v>995</v>
      </c>
      <c r="B205" s="38" t="n">
        <f aca="false">A205/1440</f>
        <v>0.690972222222222</v>
      </c>
      <c r="C205" s="39" t="n">
        <f aca="false">IF(C$4=0,0,IF(COUNTIFS(実績!$W$6:$W$505,C$3,実績!$AI$6:$AI$505,"&lt;="&amp;$A205,実績!$AJ$6:$AJ$505,"&gt;"&amp;$A205,実績!$AK$6:$AK$505,"○")&gt;0,1,0))</f>
        <v>0</v>
      </c>
      <c r="D205" s="39" t="n">
        <f aca="false">IF(D$4=0,0,IF(COUNTIFS(実績!$W$6:$W$505,D$3,実績!$AI$6:$AI$505,"&lt;="&amp;$A205,実績!$AJ$6:$AJ$505,"&gt;"&amp;$A205,実績!$AK$6:$AK$505,"○")&gt;0,1,0))</f>
        <v>0</v>
      </c>
      <c r="E205" s="39" t="n">
        <f aca="false">IF(E$4=0,0,IF(COUNTIFS(実績!$W$6:$W$505,E$3,実績!$AI$6:$AI$505,"&lt;="&amp;$A205,実績!$AJ$6:$AJ$505,"&gt;"&amp;$A205,実績!$AK$6:$AK$505,"○")&gt;0,1,0))</f>
        <v>0</v>
      </c>
      <c r="F205" s="39" t="n">
        <f aca="false">IF(F$4=0,0,IF(COUNTIFS(実績!$W$6:$W$505,F$3,実績!$AI$6:$AI$505,"&lt;="&amp;$A205,実績!$AJ$6:$AJ$505,"&gt;"&amp;$A205,実績!$AK$6:$AK$505,"○")&gt;0,1,0))</f>
        <v>0</v>
      </c>
      <c r="G205" s="39" t="n">
        <f aca="false">IF(G$4=0,0,IF(COUNTIFS(実績!$W$6:$W$505,G$3,実績!$AI$6:$AI$505,"&lt;="&amp;$A205,実績!$AJ$6:$AJ$505,"&gt;"&amp;$A205,実績!$AK$6:$AK$505,"○")&gt;0,1,0))</f>
        <v>0</v>
      </c>
      <c r="H205" s="39" t="n">
        <f aca="false">IF(H$4=0,0,IF(COUNTIFS(実績!$W$6:$W$505,H$3,実績!$AI$6:$AI$505,"&lt;="&amp;$A205,実績!$AJ$6:$AJ$505,"&gt;"&amp;$A205,実績!$AK$6:$AK$505,"○")&gt;0,1,0))</f>
        <v>0</v>
      </c>
      <c r="I205" s="39" t="n">
        <f aca="false">IF(I$4=0,0,IF(COUNTIFS(実績!$W$6:$W$505,I$3,実績!$AI$6:$AI$505,"&lt;="&amp;$A205,実績!$AJ$6:$AJ$505,"&gt;"&amp;$A205,実績!$AK$6:$AK$505,"○")&gt;0,1,0))</f>
        <v>0</v>
      </c>
      <c r="J205" s="39" t="n">
        <f aca="false">IF(J$4=0,0,IF(COUNTIFS(実績!$W$6:$W$505,J$3,実績!$AI$6:$AI$505,"&lt;="&amp;$A205,実績!$AJ$6:$AJ$505,"&gt;"&amp;$A205,実績!$AK$6:$AK$505,"○")&gt;0,1,0))</f>
        <v>0</v>
      </c>
      <c r="K205" s="39" t="n">
        <f aca="false">IF(K$4=0,0,IF(COUNTIFS(実績!$W$6:$W$505,K$3,実績!$AI$6:$AI$505,"&lt;="&amp;$A205,実績!$AJ$6:$AJ$505,"&gt;"&amp;$A205,実績!$AK$6:$AK$505,"○")&gt;0,1,0))</f>
        <v>0</v>
      </c>
      <c r="L205" s="39" t="n">
        <f aca="false">IF(L$4=0,0,IF(COUNTIFS(実績!$W$6:$W$505,L$3,実績!$AI$6:$AI$505,"&lt;="&amp;$A205,実績!$AJ$6:$AJ$505,"&gt;"&amp;$A205,実績!$AK$6:$AK$505,"○")&gt;0,1,0))</f>
        <v>0</v>
      </c>
      <c r="M205" s="39" t="n">
        <f aca="false">IF(M$4=0,0,IF(COUNTIFS(実績!$W$6:$W$505,M$3,実績!$AI$6:$AI$505,"&lt;="&amp;$A205,実績!$AJ$6:$AJ$505,"&gt;"&amp;$A205,実績!$AK$6:$AK$505,"○")&gt;0,1,0))</f>
        <v>0</v>
      </c>
      <c r="N205" s="39" t="n">
        <f aca="false">IF(N$4=0,0,IF(COUNTIFS(実績!$W$6:$W$505,N$3,実績!$AI$6:$AI$505,"&lt;="&amp;$A205,実績!$AJ$6:$AJ$505,"&gt;"&amp;$A205,実績!$AK$6:$AK$505,"○")&gt;0,1,0))</f>
        <v>0</v>
      </c>
      <c r="O205" s="39" t="n">
        <f aca="false">IF(O$4=0,0,IF(COUNTIFS(実績!$W$6:$W$505,O$3,実績!$AI$6:$AI$505,"&lt;="&amp;$A205,実績!$AJ$6:$AJ$505,"&gt;"&amp;$A205,実績!$AK$6:$AK$505,"○")&gt;0,1,0))</f>
        <v>0</v>
      </c>
      <c r="P205" s="39" t="n">
        <f aca="false">IF(P$4=0,0,IF(COUNTIFS(実績!$W$6:$W$505,P$3,実績!$AI$6:$AI$505,"&lt;="&amp;$A205,実績!$AJ$6:$AJ$505,"&gt;"&amp;$A205,実績!$AK$6:$AK$505,"○")&gt;0,1,0))</f>
        <v>0</v>
      </c>
      <c r="Q205" s="39" t="n">
        <f aca="false">IF(Q$4=0,0,IF(COUNTIFS(実績!$W$6:$W$505,Q$3,実績!$AI$6:$AI$505,"&lt;="&amp;$A205,実績!$AJ$6:$AJ$505,"&gt;"&amp;$A205,実績!$AK$6:$AK$505,"○")&gt;0,1,0))</f>
        <v>0</v>
      </c>
      <c r="R205" s="39" t="n">
        <f aca="false">IF(R$4=0,0,IF(COUNTIFS(実績!$W$6:$W$505,R$3,実績!$AI$6:$AI$505,"&lt;="&amp;$A205,実績!$AJ$6:$AJ$505,"&gt;"&amp;$A205,実績!$AK$6:$AK$505,"○")&gt;0,1,0))</f>
        <v>0</v>
      </c>
      <c r="S205" s="39" t="n">
        <f aca="false">IF(S$4=0,0,IF(COUNTIFS(実績!$W$6:$W$505,S$3,実績!$AI$6:$AI$505,"&lt;="&amp;$A205,実績!$AJ$6:$AJ$505,"&gt;"&amp;$A205,実績!$AK$6:$AK$505,"○")&gt;0,1,0))</f>
        <v>0</v>
      </c>
      <c r="T205" s="39" t="n">
        <f aca="false">IF(T$4=0,0,IF(COUNTIFS(実績!$W$6:$W$505,T$3,実績!$AI$6:$AI$505,"&lt;="&amp;$A205,実績!$AJ$6:$AJ$505,"&gt;"&amp;$A205,実績!$AK$6:$AK$505,"○")&gt;0,1,0))</f>
        <v>0</v>
      </c>
      <c r="U205" s="39" t="n">
        <f aca="false">IF(U$4=0,0,IF(COUNTIFS(実績!$W$6:$W$505,U$3,実績!$AI$6:$AI$505,"&lt;="&amp;$A205,実績!$AJ$6:$AJ$505,"&gt;"&amp;$A205,実績!$AK$6:$AK$505,"○")&gt;0,1,0))</f>
        <v>0</v>
      </c>
      <c r="V205" s="39" t="n">
        <f aca="false">IF(V$4=0,0,IF(COUNTIFS(実績!$W$6:$W$505,V$3,実績!$AI$6:$AI$505,"&lt;="&amp;$A205,実績!$AJ$6:$AJ$505,"&gt;"&amp;$A205,実績!$AK$6:$AK$505,"○")&gt;0,1,0))</f>
        <v>0</v>
      </c>
      <c r="W205" s="39" t="n">
        <f aca="false">IF(W$4=0,0,IF(COUNTIFS(実績!$W$6:$W$505,W$3,実績!$AI$6:$AI$505,"&lt;="&amp;$A205,実績!$AJ$6:$AJ$505,"&gt;"&amp;$A205,実績!$AK$6:$AK$505,"○")&gt;0,1,0))</f>
        <v>0</v>
      </c>
      <c r="X205" s="39" t="n">
        <f aca="false">IF(X$4=0,0,IF(COUNTIFS(実績!$W$6:$W$505,X$3,実績!$AI$6:$AI$505,"&lt;="&amp;$A205,実績!$AJ$6:$AJ$505,"&gt;"&amp;$A205,実績!$AK$6:$AK$505,"○")&gt;0,1,0))</f>
        <v>0</v>
      </c>
      <c r="Y205" s="39" t="n">
        <f aca="false">IF(Y$4=0,0,IF(COUNTIFS(実績!$W$6:$W$505,Y$3,実績!$AI$6:$AI$505,"&lt;="&amp;$A205,実績!$AJ$6:$AJ$505,"&gt;"&amp;$A205,実績!$AK$6:$AK$505,"○")&gt;0,1,0))</f>
        <v>0</v>
      </c>
      <c r="Z205" s="39" t="n">
        <f aca="false">IF(Z$4=0,0,IF(COUNTIFS(実績!$W$6:$W$505,Z$3,実績!$AI$6:$AI$505,"&lt;="&amp;$A205,実績!$AJ$6:$AJ$505,"&gt;"&amp;$A205,実績!$AK$6:$AK$505,"○")&gt;0,1,0))</f>
        <v>0</v>
      </c>
      <c r="AA205" s="39" t="n">
        <f aca="false">IF(AA$4=0,0,IF(COUNTIFS(実績!$W$6:$W$505,AA$3,実績!$AI$6:$AI$505,"&lt;="&amp;$A205,実績!$AJ$6:$AJ$505,"&gt;"&amp;$A205,実績!$AK$6:$AK$505,"○")&gt;0,1,0))</f>
        <v>0</v>
      </c>
      <c r="AB205" s="39" t="n">
        <f aca="false">IF(AB$4=0,0,IF(COUNTIFS(実績!$W$6:$W$505,AB$3,実績!$AI$6:$AI$505,"&lt;="&amp;$A205,実績!$AJ$6:$AJ$505,"&gt;"&amp;$A205,実績!$AK$6:$AK$505,"○")&gt;0,1,0))</f>
        <v>0</v>
      </c>
      <c r="AC205" s="39" t="n">
        <f aca="false">IF(AC$4=0,0,IF(COUNTIFS(実績!$W$6:$W$505,AC$3,実績!$AI$6:$AI$505,"&lt;="&amp;$A205,実績!$AJ$6:$AJ$505,"&gt;"&amp;$A205,実績!$AK$6:$AK$505,"○")&gt;0,1,0))</f>
        <v>0</v>
      </c>
      <c r="AD205" s="39" t="n">
        <f aca="false">IF(AD$4=0,0,IF(COUNTIFS(実績!$W$6:$W$505,AD$3,実績!$AI$6:$AI$505,"&lt;="&amp;$A205,実績!$AJ$6:$AJ$505,"&gt;"&amp;$A205,実績!$AK$6:$AK$505,"○")&gt;0,1,0))</f>
        <v>0</v>
      </c>
      <c r="AE205" s="39" t="n">
        <f aca="false">IF(AE$4=0,0,IF(COUNTIFS(実績!$W$6:$W$505,AE$3,実績!$AI$6:$AI$505,"&lt;="&amp;$A205,実績!$AJ$6:$AJ$505,"&gt;"&amp;$A205,実績!$AK$6:$AK$505,"○")&gt;0,1,0))</f>
        <v>0</v>
      </c>
      <c r="AF205" s="39" t="n">
        <f aca="false">IF(AF$4=0,0,IF(COUNTIFS(実績!$W$6:$W$505,AF$3,実績!$AI$6:$AI$505,"&lt;="&amp;$A205,実績!$AJ$6:$AJ$505,"&gt;"&amp;$A205,実績!$AK$6:$AK$505,"○")&gt;0,1,0))</f>
        <v>0</v>
      </c>
      <c r="AG205" s="39" t="n">
        <f aca="false">IF(AG$4=0,0,IF(COUNTIFS(実績!$W$6:$W$505,AG$3,実績!$AI$6:$AI$505,"&lt;="&amp;$A205,実績!$AJ$6:$AJ$505,"&gt;"&amp;$A205,実績!$AK$6:$AK$505,"○")&gt;0,1,0))</f>
        <v>0</v>
      </c>
      <c r="AH205" s="39" t="n">
        <f aca="false">IF(AH$4=0,0,IF(COUNTIFS(実績!$W$6:$W$505,AH$3,実績!$AI$6:$AI$505,"&lt;="&amp;$A205,実績!$AJ$6:$AJ$505,"&gt;"&amp;$A205,実績!$AK$6:$AK$505,"○")&gt;0,1,0))</f>
        <v>0</v>
      </c>
      <c r="AI205" s="39" t="n">
        <f aca="false">IF(AI$4=0,0,IF(COUNTIFS(実績!$W$6:$W$505,AI$3,実績!$AI$6:$AI$505,"&lt;="&amp;$A205,実績!$AJ$6:$AJ$505,"&gt;"&amp;$A205,実績!$AK$6:$AK$505,"○")&gt;0,1,0))</f>
        <v>0</v>
      </c>
      <c r="AJ205" s="39" t="n">
        <f aca="false">IF(AJ$4=0,0,IF(COUNTIFS(実績!$W$6:$W$505,AJ$3,実績!$AI$6:$AI$505,"&lt;="&amp;$A205,実績!$AJ$6:$AJ$505,"&gt;"&amp;$A205,実績!$AK$6:$AK$505,"○")&gt;0,1,0))</f>
        <v>0</v>
      </c>
      <c r="AK205" s="39" t="n">
        <f aca="false">IF(AK$4=0,0,IF(COUNTIFS(実績!$W$6:$W$505,AK$3,実績!$AI$6:$AI$505,"&lt;="&amp;$A205,実績!$AJ$6:$AJ$505,"&gt;"&amp;$A205,実績!$AK$6:$AK$505,"○")&gt;0,1,0))</f>
        <v>0</v>
      </c>
      <c r="AL205" s="39" t="n">
        <f aca="false">IF(AL$4=0,0,IF(COUNTIFS(実績!$W$6:$W$505,AL$3,実績!$AI$6:$AI$505,"&lt;="&amp;$A205,実績!$AJ$6:$AJ$505,"&gt;"&amp;$A205,実績!$AK$6:$AK$505,"○")&gt;0,1,0))</f>
        <v>0</v>
      </c>
      <c r="AM205" s="39" t="n">
        <f aca="false">IF(AM$4=0,0,IF(COUNTIFS(実績!$W$6:$W$505,AM$3,実績!$AI$6:$AI$505,"&lt;="&amp;$A205,実績!$AJ$6:$AJ$505,"&gt;"&amp;$A205,実績!$AK$6:$AK$505,"○")&gt;0,1,0))</f>
        <v>0</v>
      </c>
      <c r="AN205" s="39" t="n">
        <f aca="false">IF(AN$4=0,0,IF(COUNTIFS(実績!$W$6:$W$505,AN$3,実績!$AI$6:$AI$505,"&lt;="&amp;$A205,実績!$AJ$6:$AJ$505,"&gt;"&amp;$A205,実績!$AK$6:$AK$505,"○")&gt;0,1,0))</f>
        <v>0</v>
      </c>
      <c r="AO205" s="39" t="n">
        <f aca="false">IF(AO$4=0,0,IF(COUNTIFS(実績!$W$6:$W$505,AO$3,実績!$AI$6:$AI$505,"&lt;="&amp;$A205,実績!$AJ$6:$AJ$505,"&gt;"&amp;$A205,実績!$AK$6:$AK$505,"○")&gt;0,1,0))</f>
        <v>0</v>
      </c>
      <c r="AP205" s="39" t="n">
        <f aca="false">IF(AP$4=0,0,IF(COUNTIFS(実績!$W$6:$W$505,AP$3,実績!$AI$6:$AI$505,"&lt;="&amp;$A205,実績!$AJ$6:$AJ$505,"&gt;"&amp;$A205,実績!$AK$6:$AK$505,"○")&gt;0,1,0))</f>
        <v>0</v>
      </c>
      <c r="AQ205" s="39" t="n">
        <f aca="false">IF(AQ$4=0,0,IF(COUNTIFS(実績!$W$6:$W$505,AQ$3,実績!$AI$6:$AI$505,"&lt;="&amp;$A205,実績!$AJ$6:$AJ$505,"&gt;"&amp;$A205,実績!$AK$6:$AK$505,"○")&gt;0,1,0))</f>
        <v>0</v>
      </c>
      <c r="AR205" s="39" t="n">
        <f aca="false">IF(AR$4=0,0,IF(COUNTIFS(実績!$W$6:$W$505,AR$3,実績!$AI$6:$AI$505,"&lt;="&amp;$A205,実績!$AJ$6:$AJ$505,"&gt;"&amp;$A205,実績!$AK$6:$AK$505,"○")&gt;0,1,0))</f>
        <v>0</v>
      </c>
      <c r="AS205" s="39" t="n">
        <f aca="false">IF(AS$4=0,0,IF(COUNTIFS(実績!$W$6:$W$505,AS$3,実績!$AI$6:$AI$505,"&lt;="&amp;$A205,実績!$AJ$6:$AJ$505,"&gt;"&amp;$A205,実績!$AK$6:$AK$505,"○")&gt;0,1,0))</f>
        <v>0</v>
      </c>
      <c r="AT205" s="39" t="n">
        <f aca="false">IF(AT$4=0,0,IF(COUNTIFS(実績!$W$6:$W$505,AT$3,実績!$AI$6:$AI$505,"&lt;="&amp;$A205,実績!$AJ$6:$AJ$505,"&gt;"&amp;$A205,実績!$AK$6:$AK$505,"○")&gt;0,1,0))</f>
        <v>0</v>
      </c>
      <c r="AU205" s="39" t="n">
        <f aca="false">IF(AU$4=0,0,IF(COUNTIFS(実績!$W$6:$W$505,AU$3,実績!$AI$6:$AI$505,"&lt;="&amp;$A205,実績!$AJ$6:$AJ$505,"&gt;"&amp;$A205,実績!$AK$6:$AK$505,"○")&gt;0,1,0))</f>
        <v>0</v>
      </c>
      <c r="AV205" s="39" t="n">
        <f aca="false">IF(AV$4=0,0,IF(COUNTIFS(実績!$W$6:$W$505,AV$3,実績!$AI$6:$AI$505,"&lt;="&amp;$A205,実績!$AJ$6:$AJ$505,"&gt;"&amp;$A205,実績!$AK$6:$AK$505,"○")&gt;0,1,0))</f>
        <v>0</v>
      </c>
      <c r="AW205" s="39" t="n">
        <f aca="false">IF(AW$4=0,0,IF(COUNTIFS(実績!$W$6:$W$505,AW$3,実績!$AI$6:$AI$505,"&lt;="&amp;$A205,実績!$AJ$6:$AJ$505,"&gt;"&amp;$A205,実績!$AK$6:$AK$505,"○")&gt;0,1,0))</f>
        <v>0</v>
      </c>
      <c r="AX205" s="39" t="n">
        <f aca="false">IF(AX$4=0,0,IF(COUNTIFS(実績!$W$6:$W$505,AX$3,実績!$AI$6:$AI$505,"&lt;="&amp;$A205,実績!$AJ$6:$AJ$505,"&gt;"&amp;$A205,実績!$AK$6:$AK$505,"○")&gt;0,1,0))</f>
        <v>0</v>
      </c>
      <c r="AY205" s="39" t="n">
        <f aca="false">IF(AY$4=0,0,IF(COUNTIFS(実績!$W$6:$W$505,AY$3,実績!$AI$6:$AI$505,"&lt;="&amp;$A205,実績!$AJ$6:$AJ$505,"&gt;"&amp;$A205,実績!$AK$6:$AK$505,"○")&gt;0,1,0))</f>
        <v>0</v>
      </c>
      <c r="AZ205" s="39" t="n">
        <f aca="false">IF(AZ$4=0,0,IF(COUNTIFS(実績!$W$6:$W$505,AZ$3,実績!$AI$6:$AI$505,"&lt;="&amp;$A205,実績!$AJ$6:$AJ$505,"&gt;"&amp;$A205,実績!$AK$6:$AK$505,"○")&gt;0,1,0))</f>
        <v>0</v>
      </c>
      <c r="BA205" s="39" t="n">
        <f aca="false">IF(BA$4=0,0,IF(COUNTIFS(実績!$W$6:$W$505,BA$3,実績!$AI$6:$AI$505,"&lt;="&amp;$A205,実績!$AJ$6:$AJ$505,"&gt;"&amp;$A205,実績!$AK$6:$AK$505,"○")&gt;0,1,0))</f>
        <v>0</v>
      </c>
      <c r="BB205" s="39" t="n">
        <f aca="false">IF(BB$4=0,0,IF(COUNTIFS(実績!$W$6:$W$505,BB$3,実績!$AI$6:$AI$505,"&lt;="&amp;$A205,実績!$AJ$6:$AJ$505,"&gt;"&amp;$A205,実績!$AK$6:$AK$505,"○")&gt;0,1,0))</f>
        <v>0</v>
      </c>
      <c r="BC205" s="39" t="n">
        <f aca="false">IF(BC$4=0,0,IF(COUNTIFS(実績!$W$6:$W$505,BC$3,実績!$AI$6:$AI$505,"&lt;="&amp;$A205,実績!$AJ$6:$AJ$505,"&gt;"&amp;$A205,実績!$AK$6:$AK$505,"○")&gt;0,1,0))</f>
        <v>0</v>
      </c>
      <c r="BD205" s="39" t="n">
        <f aca="false">IF(BD$4=0,0,IF(COUNTIFS(実績!$W$6:$W$505,BD$3,実績!$AI$6:$AI$505,"&lt;="&amp;$A205,実績!$AJ$6:$AJ$505,"&gt;"&amp;$A205,実績!$AK$6:$AK$505,"○")&gt;0,1,0))</f>
        <v>0</v>
      </c>
      <c r="BE205" s="39" t="n">
        <f aca="false">IF(BE$4=0,0,IF(COUNTIFS(実績!$W$6:$W$505,BE$3,実績!$AI$6:$AI$505,"&lt;="&amp;$A205,実績!$AJ$6:$AJ$505,"&gt;"&amp;$A205,実績!$AK$6:$AK$505,"○")&gt;0,1,0))</f>
        <v>0</v>
      </c>
      <c r="BF205" s="39" t="n">
        <f aca="false">IF(BF$4=0,0,IF(COUNTIFS(実績!$W$6:$W$505,BF$3,実績!$AI$6:$AI$505,"&lt;="&amp;$A205,実績!$AJ$6:$AJ$505,"&gt;"&amp;$A205,実績!$AK$6:$AK$505,"○")&gt;0,1,0))</f>
        <v>0</v>
      </c>
      <c r="BG205" s="39" t="n">
        <f aca="false">IF(BG$4=0,0,IF(COUNTIFS(実績!$W$6:$W$505,BG$3,実績!$AI$6:$AI$505,"&lt;="&amp;$A205,実績!$AJ$6:$AJ$505,"&gt;"&amp;$A205,実績!$AK$6:$AK$505,"○")&gt;0,1,0))</f>
        <v>0</v>
      </c>
      <c r="BH205" s="39" t="n">
        <f aca="false">IF(BH$4=0,0,IF(COUNTIFS(実績!$W$6:$W$505,BH$3,実績!$AI$6:$AI$505,"&lt;="&amp;$A205,実績!$AJ$6:$AJ$505,"&gt;"&amp;$A205,実績!$AK$6:$AK$505,"○")&gt;0,1,0))</f>
        <v>0</v>
      </c>
      <c r="BI205" s="39" t="n">
        <f aca="false">IF(BI$4=0,0,IF(COUNTIFS(実績!$W$6:$W$505,BI$3,実績!$AI$6:$AI$505,"&lt;="&amp;$A205,実績!$AJ$6:$AJ$505,"&gt;"&amp;$A205,実績!$AK$6:$AK$505,"○")&gt;0,1,0))</f>
        <v>0</v>
      </c>
      <c r="BJ205" s="39" t="n">
        <f aca="false">IF(BJ$4=0,0,IF(COUNTIFS(実績!$W$6:$W$505,BJ$3,実績!$AI$6:$AI$505,"&lt;="&amp;$A205,実績!$AJ$6:$AJ$505,"&gt;"&amp;$A205,実績!$AK$6:$AK$505,"○")&gt;0,1,0))</f>
        <v>0</v>
      </c>
      <c r="BK205" s="39" t="n">
        <f aca="false">IF(BK$4=0,0,IF(COUNTIFS(実績!$W$6:$W$505,BK$3,実績!$AI$6:$AI$505,"&lt;="&amp;$A205,実績!$AJ$6:$AJ$505,"&gt;"&amp;$A205,実績!$AK$6:$AK$505,"○")&gt;0,1,0))</f>
        <v>0</v>
      </c>
      <c r="BL205" s="39" t="n">
        <f aca="false">IF(BL$4=0,0,IF(COUNTIFS(実績!$W$6:$W$505,BL$3,実績!$AI$6:$AI$505,"&lt;="&amp;$A205,実績!$AJ$6:$AJ$505,"&gt;"&amp;$A205,実績!$AK$6:$AK$505,"○")&gt;0,1,0))</f>
        <v>0</v>
      </c>
      <c r="BM205" s="39" t="n">
        <f aca="false">IF(BM$4=0,0,IF(COUNTIFS(実績!$W$6:$W$505,BM$3,実績!$AI$6:$AI$505,"&lt;="&amp;$A205,実績!$AJ$6:$AJ$505,"&gt;"&amp;$A205,実績!$AK$6:$AK$505,"○")&gt;0,1,0))</f>
        <v>0</v>
      </c>
      <c r="BN205" s="39" t="n">
        <f aca="false">IF(BN$4=0,0,IF(COUNTIFS(実績!$W$6:$W$505,BN$3,実績!$AI$6:$AI$505,"&lt;="&amp;$A205,実績!$AJ$6:$AJ$505,"&gt;"&amp;$A205,実績!$AK$6:$AK$505,"○")&gt;0,1,0))</f>
        <v>0</v>
      </c>
      <c r="BO205" s="39" t="n">
        <f aca="false">IF(BO$4=0,0,IF(COUNTIFS(実績!$W$6:$W$505,BO$3,実績!$AI$6:$AI$505,"&lt;="&amp;$A205,実績!$AJ$6:$AJ$505,"&gt;"&amp;$A205,実績!$AK$6:$AK$505,"○")&gt;0,1,0))</f>
        <v>0</v>
      </c>
      <c r="BP205" s="39" t="n">
        <f aca="false">IF(BP$4=0,0,IF(COUNTIFS(実績!$W$6:$W$505,BP$3,実績!$AI$6:$AI$505,"&lt;="&amp;$A205,実績!$AJ$6:$AJ$505,"&gt;"&amp;$A205,実績!$AK$6:$AK$505,"○")&gt;0,1,0))</f>
        <v>0</v>
      </c>
      <c r="BQ205" s="39" t="n">
        <f aca="false">IF(BQ$4=0,0,IF(COUNTIFS(実績!$W$6:$W$505,BQ$3,実績!$AI$6:$AI$505,"&lt;="&amp;$A205,実績!$AJ$6:$AJ$505,"&gt;"&amp;$A205,実績!$AK$6:$AK$505,"○")&gt;0,1,0))</f>
        <v>0</v>
      </c>
      <c r="BR205" s="39" t="n">
        <f aca="false">IF(BR$4=0,0,IF(COUNTIFS(実績!$W$6:$W$505,BR$3,実績!$AI$6:$AI$505,"&lt;="&amp;$A205,実績!$AJ$6:$AJ$505,"&gt;"&amp;$A205,実績!$AK$6:$AK$505,"○")&gt;0,1,0))</f>
        <v>0</v>
      </c>
      <c r="BS205" s="39" t="n">
        <f aca="false">IF(BS$4=0,0,IF(COUNTIFS(実績!$W$6:$W$505,BS$3,実績!$AI$6:$AI$505,"&lt;="&amp;$A205,実績!$AJ$6:$AJ$505,"&gt;"&amp;$A205,実績!$AK$6:$AK$505,"○")&gt;0,1,0))</f>
        <v>0</v>
      </c>
      <c r="BT205" s="39" t="n">
        <f aca="false">IF(BT$4=0,0,IF(COUNTIFS(実績!$W$6:$W$505,BT$3,実績!$AI$6:$AI$505,"&lt;="&amp;$A205,実績!$AJ$6:$AJ$505,"&gt;"&amp;$A205,実績!$AK$6:$AK$505,"○")&gt;0,1,0))</f>
        <v>0</v>
      </c>
      <c r="BU205" s="39" t="n">
        <f aca="false">IF(BU$4=0,0,IF(COUNTIFS(実績!$W$6:$W$505,BU$3,実績!$AI$6:$AI$505,"&lt;="&amp;$A205,実績!$AJ$6:$AJ$505,"&gt;"&amp;$A205,実績!$AK$6:$AK$505,"○")&gt;0,1,0))</f>
        <v>0</v>
      </c>
      <c r="BV205" s="39" t="n">
        <f aca="false">IF(BV$4=0,0,IF(COUNTIFS(実績!$W$6:$W$505,BV$3,実績!$AI$6:$AI$505,"&lt;="&amp;$A205,実績!$AJ$6:$AJ$505,"&gt;"&amp;$A205,実績!$AK$6:$AK$505,"○")&gt;0,1,0))</f>
        <v>0</v>
      </c>
      <c r="BW205" s="39" t="n">
        <f aca="false">IF(BW$4=0,0,IF(COUNTIFS(実績!$W$6:$W$505,BW$3,実績!$AI$6:$AI$505,"&lt;="&amp;$A205,実績!$AJ$6:$AJ$505,"&gt;"&amp;$A205,実績!$AK$6:$AK$505,"○")&gt;0,1,0))</f>
        <v>0</v>
      </c>
      <c r="BX205" s="39" t="n">
        <f aca="false">IF(BX$4=0,0,IF(COUNTIFS(実績!$W$6:$W$505,BX$3,実績!$AI$6:$AI$505,"&lt;="&amp;$A205,実績!$AJ$6:$AJ$505,"&gt;"&amp;$A205,実績!$AK$6:$AK$505,"○")&gt;0,1,0))</f>
        <v>0</v>
      </c>
      <c r="BY205" s="39" t="n">
        <f aca="false">IF(BY$4=0,0,IF(COUNTIFS(実績!$W$6:$W$505,BY$3,実績!$AI$6:$AI$505,"&lt;="&amp;$A205,実績!$AJ$6:$AJ$505,"&gt;"&amp;$A205,実績!$AK$6:$AK$505,"○")&gt;0,1,0))</f>
        <v>0</v>
      </c>
      <c r="BZ205" s="39" t="n">
        <f aca="false">IF(BZ$4=0,0,IF(COUNTIFS(実績!$W$6:$W$505,BZ$3,実績!$AI$6:$AI$505,"&lt;="&amp;$A205,実績!$AJ$6:$AJ$505,"&gt;"&amp;$A205,実績!$AK$6:$AK$505,"○")&gt;0,1,0))</f>
        <v>0</v>
      </c>
      <c r="CA205" s="39" t="n">
        <f aca="false">IF(CA$4=0,0,IF(COUNTIFS(実績!$W$6:$W$505,CA$3,実績!$AI$6:$AI$505,"&lt;="&amp;$A205,実績!$AJ$6:$AJ$505,"&gt;"&amp;$A205,実績!$AK$6:$AK$505,"○")&gt;0,1,0))</f>
        <v>0</v>
      </c>
      <c r="CB205" s="39" t="n">
        <f aca="false">IF(CB$4=0,0,IF(COUNTIFS(実績!$W$6:$W$505,CB$3,実績!$AI$6:$AI$505,"&lt;="&amp;$A205,実績!$AJ$6:$AJ$505,"&gt;"&amp;$A205,実績!$AK$6:$AK$505,"○")&gt;0,1,0))</f>
        <v>0</v>
      </c>
      <c r="CC205" s="39" t="n">
        <f aca="false">IF(CC$4=0,0,IF(COUNTIFS(実績!$W$6:$W$505,CC$3,実績!$AI$6:$AI$505,"&lt;="&amp;$A205,実績!$AJ$6:$AJ$505,"&gt;"&amp;$A205,実績!$AK$6:$AK$505,"○")&gt;0,1,0))</f>
        <v>0</v>
      </c>
      <c r="CD205" s="39" t="n">
        <f aca="false">IF(CD$4=0,0,IF(COUNTIFS(実績!$W$6:$W$505,CD$3,実績!$AI$6:$AI$505,"&lt;="&amp;$A205,実績!$AJ$6:$AJ$505,"&gt;"&amp;$A205,実績!$AK$6:$AK$505,"○")&gt;0,1,0))</f>
        <v>0</v>
      </c>
      <c r="CE205" s="39" t="n">
        <f aca="false">IF(CE$4=0,0,IF(COUNTIFS(実績!$W$6:$W$505,CE$3,実績!$AI$6:$AI$505,"&lt;="&amp;$A205,実績!$AJ$6:$AJ$505,"&gt;"&amp;$A205,実績!$AK$6:$AK$505,"○")&gt;0,1,0))</f>
        <v>0</v>
      </c>
      <c r="CF205" s="39" t="n">
        <f aca="false">IF(CF$4=0,0,IF(COUNTIFS(実績!$W$6:$W$505,CF$3,実績!$AI$6:$AI$505,"&lt;="&amp;$A205,実績!$AJ$6:$AJ$505,"&gt;"&amp;$A205,実績!$AK$6:$AK$505,"○")&gt;0,1,0))</f>
        <v>0</v>
      </c>
      <c r="CG205" s="39" t="n">
        <f aca="false">IF(CG$4=0,0,IF(COUNTIFS(実績!$W$6:$W$505,CG$3,実績!$AI$6:$AI$505,"&lt;="&amp;$A205,実績!$AJ$6:$AJ$505,"&gt;"&amp;$A205,実績!$AK$6:$AK$505,"○")&gt;0,1,0))</f>
        <v>0</v>
      </c>
      <c r="CH205" s="39" t="n">
        <f aca="false">IF(CH$4=0,0,IF(COUNTIFS(実績!$W$6:$W$505,CH$3,実績!$AI$6:$AI$505,"&lt;="&amp;$A205,実績!$AJ$6:$AJ$505,"&gt;"&amp;$A205,実績!$AK$6:$AK$505,"○")&gt;0,1,0))</f>
        <v>0</v>
      </c>
      <c r="CI205" s="39" t="n">
        <f aca="false">IF(CI$4=0,0,IF(COUNTIFS(実績!$W$6:$W$505,CI$3,実績!$AI$6:$AI$505,"&lt;="&amp;$A205,実績!$AJ$6:$AJ$505,"&gt;"&amp;$A205,実績!$AK$6:$AK$505,"○")&gt;0,1,0))</f>
        <v>0</v>
      </c>
      <c r="CJ205" s="39" t="n">
        <f aca="false">IF(CJ$4=0,0,IF(COUNTIFS(実績!$W$6:$W$505,CJ$3,実績!$AI$6:$AI$505,"&lt;="&amp;$A205,実績!$AJ$6:$AJ$505,"&gt;"&amp;$A205,実績!$AK$6:$AK$505,"○")&gt;0,1,0))</f>
        <v>0</v>
      </c>
      <c r="CK205" s="39" t="n">
        <f aca="false">IF(CK$4=0,0,IF(COUNTIFS(実績!$W$6:$W$505,CK$3,実績!$AI$6:$AI$505,"&lt;="&amp;$A205,実績!$AJ$6:$AJ$505,"&gt;"&amp;$A205,実績!$AK$6:$AK$505,"○")&gt;0,1,0))</f>
        <v>0</v>
      </c>
      <c r="CL205" s="39" t="n">
        <f aca="false">IF(CL$4=0,0,IF(COUNTIFS(実績!$W$6:$W$505,CL$3,実績!$AI$6:$AI$505,"&lt;="&amp;$A205,実績!$AJ$6:$AJ$505,"&gt;"&amp;$A205,実績!$AK$6:$AK$505,"○")&gt;0,1,0))</f>
        <v>0</v>
      </c>
      <c r="CM205" s="39" t="n">
        <f aca="false">IF(CM$4=0,0,IF(COUNTIFS(実績!$W$6:$W$505,CM$3,実績!$AI$6:$AI$505,"&lt;="&amp;$A205,実績!$AJ$6:$AJ$505,"&gt;"&amp;$A205,実績!$AK$6:$AK$505,"○")&gt;0,1,0))</f>
        <v>0</v>
      </c>
      <c r="CN205" s="39" t="n">
        <f aca="false">IF(CN$4=0,0,IF(COUNTIFS(実績!$W$6:$W$505,CN$3,実績!$AI$6:$AI$505,"&lt;="&amp;$A205,実績!$AJ$6:$AJ$505,"&gt;"&amp;$A205,実績!$AK$6:$AK$505,"○")&gt;0,1,0))</f>
        <v>0</v>
      </c>
      <c r="CO205" s="39" t="n">
        <f aca="false">IF(CO$4=0,0,IF(COUNTIFS(実績!$W$6:$W$505,CO$3,実績!$AI$6:$AI$505,"&lt;="&amp;$A205,実績!$AJ$6:$AJ$505,"&gt;"&amp;$A205,実績!$AK$6:$AK$505,"○")&gt;0,1,0))</f>
        <v>0</v>
      </c>
      <c r="CP205" s="39" t="n">
        <f aca="false">IF(CP$4=0,0,IF(COUNTIFS(実績!$W$6:$W$505,CP$3,実績!$AI$6:$AI$505,"&lt;="&amp;$A205,実績!$AJ$6:$AJ$505,"&gt;"&amp;$A205,実績!$AK$6:$AK$505,"○")&gt;0,1,0))</f>
        <v>0</v>
      </c>
      <c r="CQ205" s="39" t="n">
        <f aca="false">IF(CQ$4=0,0,IF(COUNTIFS(実績!$W$6:$W$505,CQ$3,実績!$AI$6:$AI$505,"&lt;="&amp;$A205,実績!$AJ$6:$AJ$505,"&gt;"&amp;$A205,実績!$AK$6:$AK$505,"○")&gt;0,1,0))</f>
        <v>0</v>
      </c>
      <c r="CR205" s="39" t="n">
        <f aca="false">IF(CR$4=0,0,IF(COUNTIFS(実績!$W$6:$W$505,CR$3,実績!$AI$6:$AI$505,"&lt;="&amp;$A205,実績!$AJ$6:$AJ$505,"&gt;"&amp;$A205,実績!$AK$6:$AK$505,"○")&gt;0,1,0))</f>
        <v>0</v>
      </c>
      <c r="CS205" s="39" t="n">
        <f aca="false">IF(CS$4=0,0,IF(COUNTIFS(実績!$W$6:$W$505,CS$3,実績!$AI$6:$AI$505,"&lt;="&amp;$A205,実績!$AJ$6:$AJ$505,"&gt;"&amp;$A205,実績!$AK$6:$AK$505,"○")&gt;0,1,0))</f>
        <v>0</v>
      </c>
      <c r="CT205" s="39" t="n">
        <f aca="false">IF(CT$4=0,0,IF(COUNTIFS(実績!$W$6:$W$505,CT$3,実績!$AI$6:$AI$505,"&lt;="&amp;$A205,実績!$AJ$6:$AJ$505,"&gt;"&amp;$A205,実績!$AK$6:$AK$505,"○")&gt;0,1,0))</f>
        <v>0</v>
      </c>
      <c r="CU205" s="39" t="n">
        <f aca="false">IF(CU$4=0,0,IF(COUNTIFS(実績!$W$6:$W$505,CU$3,実績!$AI$6:$AI$505,"&lt;="&amp;$A205,実績!$AJ$6:$AJ$505,"&gt;"&amp;$A205,実績!$AK$6:$AK$505,"○")&gt;0,1,0))</f>
        <v>0</v>
      </c>
      <c r="CV205" s="39" t="n">
        <f aca="false">IF(CV$4=0,0,IF(COUNTIFS(実績!$W$6:$W$505,CV$3,実績!$AI$6:$AI$505,"&lt;="&amp;$A205,実績!$AJ$6:$AJ$505,"&gt;"&amp;$A205,実績!$AK$6:$AK$505,"○")&gt;0,1,0))</f>
        <v>0</v>
      </c>
      <c r="CW205" s="39" t="n">
        <f aca="false">IF(CW$4=0,0,IF(COUNTIFS(実績!$W$6:$W$505,CW$3,実績!$AI$6:$AI$505,"&lt;="&amp;$A205,実績!$AJ$6:$AJ$505,"&gt;"&amp;$A205,実績!$AK$6:$AK$505,"○")&gt;0,1,0))</f>
        <v>0</v>
      </c>
      <c r="CX205" s="39" t="n">
        <f aca="false">IF(CX$4=0,0,IF(COUNTIFS(実績!$W$6:$W$505,CX$3,実績!$AI$6:$AI$505,"&lt;="&amp;$A205,実績!$AJ$6:$AJ$505,"&gt;"&amp;$A205,実績!$AK$6:$AK$505,"○")&gt;0,1,0))</f>
        <v>0</v>
      </c>
      <c r="CY205" s="39" t="n">
        <f aca="false">IF(CY$4=0,0,IF(COUNTIFS(実績!$W$6:$W$505,CY$3,実績!$AI$6:$AI$505,"&lt;="&amp;$A205,実績!$AJ$6:$AJ$505,"&gt;"&amp;$A205,実績!$AK$6:$AK$505,"○")&gt;0,1,0))</f>
        <v>0</v>
      </c>
      <c r="CZ205" s="39" t="n">
        <f aca="false">IF(CZ$4=0,0,IF(COUNTIFS(実績!$W$6:$W$505,CZ$3,実績!$AI$6:$AI$505,"&lt;="&amp;$A205,実績!$AJ$6:$AJ$505,"&gt;"&amp;$A205,実績!$AK$6:$AK$505,"○")&gt;0,1,0))</f>
        <v>0</v>
      </c>
      <c r="DA205" s="39" t="n">
        <f aca="false">IF(DA$4=0,0,IF(COUNTIFS(実績!$W$6:$W$505,DA$3,実績!$AI$6:$AI$505,"&lt;="&amp;$A205,実績!$AJ$6:$AJ$505,"&gt;"&amp;$A205,実績!$AK$6:$AK$505,"○")&gt;0,1,0))</f>
        <v>0</v>
      </c>
      <c r="DB205" s="39" t="n">
        <f aca="false">IF(DB$4=0,0,IF(COUNTIFS(実績!$W$6:$W$505,DB$3,実績!$AI$6:$AI$505,"&lt;="&amp;$A205,実績!$AJ$6:$AJ$505,"&gt;"&amp;$A205,実績!$AK$6:$AK$505,"○")&gt;0,1,0))</f>
        <v>0</v>
      </c>
      <c r="DC205" s="39" t="n">
        <f aca="false">IF(DC$4=0,0,IF(COUNTIFS(実績!$W$6:$W$505,DC$3,実績!$AI$6:$AI$505,"&lt;="&amp;$A205,実績!$AJ$6:$AJ$505,"&gt;"&amp;$A205,実績!$AK$6:$AK$505,"○")&gt;0,1,0))</f>
        <v>0</v>
      </c>
      <c r="DD205" s="39" t="n">
        <f aca="false">IF(DD$4=0,0,IF(COUNTIFS(実績!$W$6:$W$505,DD$3,実績!$AI$6:$AI$505,"&lt;="&amp;$A205,実績!$AJ$6:$AJ$505,"&gt;"&amp;$A205,実績!$AK$6:$AK$505,"○")&gt;0,1,0))</f>
        <v>0</v>
      </c>
      <c r="DE205" s="39" t="n">
        <f aca="false">IF(DE$4=0,0,IF(COUNTIFS(実績!$W$6:$W$505,DE$3,実績!$AI$6:$AI$505,"&lt;="&amp;$A205,実績!$AJ$6:$AJ$505,"&gt;"&amp;$A205,実績!$AK$6:$AK$505,"○")&gt;0,1,0))</f>
        <v>0</v>
      </c>
      <c r="DF205" s="39" t="n">
        <f aca="false">IF(DF$4=0,0,IF(COUNTIFS(実績!$W$6:$W$505,DF$3,実績!$AI$6:$AI$505,"&lt;="&amp;$A205,実績!$AJ$6:$AJ$505,"&gt;"&amp;$A205,実績!$AK$6:$AK$505,"○")&gt;0,1,0))</f>
        <v>0</v>
      </c>
      <c r="DG205" s="39" t="n">
        <f aca="false">IF(DG$4=0,0,IF(COUNTIFS(実績!$W$6:$W$505,DG$3,実績!$AI$6:$AI$505,"&lt;="&amp;$A205,実績!$AJ$6:$AJ$505,"&gt;"&amp;$A205,実績!$AK$6:$AK$505,"○")&gt;0,1,0))</f>
        <v>0</v>
      </c>
      <c r="DH205" s="39" t="n">
        <f aca="false">IF(DH$4=0,0,IF(COUNTIFS(実績!$W$6:$W$505,DH$3,実績!$AI$6:$AI$505,"&lt;="&amp;$A205,実績!$AJ$6:$AJ$505,"&gt;"&amp;$A205,実績!$AK$6:$AK$505,"○")&gt;0,1,0))</f>
        <v>0</v>
      </c>
      <c r="DI205" s="39" t="n">
        <f aca="false">IF(DI$4=0,0,IF(COUNTIFS(実績!$W$6:$W$505,DI$3,実績!$AI$6:$AI$505,"&lt;="&amp;$A205,実績!$AJ$6:$AJ$505,"&gt;"&amp;$A205,実績!$AK$6:$AK$505,"○")&gt;0,1,0))</f>
        <v>0</v>
      </c>
      <c r="DJ205" s="39" t="n">
        <f aca="false">IF(DJ$4=0,0,IF(COUNTIFS(実績!$W$6:$W$505,DJ$3,実績!$AI$6:$AI$505,"&lt;="&amp;$A205,実績!$AJ$6:$AJ$505,"&gt;"&amp;$A205,実績!$AK$6:$AK$505,"○")&gt;0,1,0))</f>
        <v>0</v>
      </c>
      <c r="DK205" s="39" t="n">
        <f aca="false">IF(DK$4=0,0,IF(COUNTIFS(実績!$W$6:$W$505,DK$3,実績!$AI$6:$AI$505,"&lt;="&amp;$A205,実績!$AJ$6:$AJ$505,"&gt;"&amp;$A205,実績!$AK$6:$AK$505,"○")&gt;0,1,0))</f>
        <v>0</v>
      </c>
      <c r="DL205" s="39" t="n">
        <f aca="false">IF(DL$4=0,0,IF(COUNTIFS(実績!$W$6:$W$505,DL$3,実績!$AI$6:$AI$505,"&lt;="&amp;$A205,実績!$AJ$6:$AJ$505,"&gt;"&amp;$A205,実績!$AK$6:$AK$505,"○")&gt;0,1,0))</f>
        <v>0</v>
      </c>
      <c r="DM205" s="39" t="n">
        <f aca="false">IF(DM$4=0,0,IF(COUNTIFS(実績!$W$6:$W$505,DM$3,実績!$AI$6:$AI$505,"&lt;="&amp;$A205,実績!$AJ$6:$AJ$505,"&gt;"&amp;$A205,実績!$AK$6:$AK$505,"○")&gt;0,1,0))</f>
        <v>0</v>
      </c>
      <c r="DN205" s="39" t="n">
        <f aca="false">IF(DN$4=0,0,IF(COUNTIFS(実績!$W$6:$W$505,DN$3,実績!$AI$6:$AI$505,"&lt;="&amp;$A205,実績!$AJ$6:$AJ$505,"&gt;"&amp;$A205,実績!$AK$6:$AK$505,"○")&gt;0,1,0))</f>
        <v>0</v>
      </c>
      <c r="DO205" s="39" t="n">
        <f aca="false">IF(DO$4=0,0,IF(COUNTIFS(実績!$W$6:$W$505,DO$3,実績!$AI$6:$AI$505,"&lt;="&amp;$A205,実績!$AJ$6:$AJ$505,"&gt;"&amp;$A205,実績!$AK$6:$AK$505,"○")&gt;0,1,0))</f>
        <v>0</v>
      </c>
      <c r="DP205" s="39" t="n">
        <f aca="false">IF(DP$4=0,0,IF(COUNTIFS(実績!$W$6:$W$505,DP$3,実績!$AI$6:$AI$505,"&lt;="&amp;$A205,実績!$AJ$6:$AJ$505,"&gt;"&amp;$A205,実績!$AK$6:$AK$505,"○")&gt;0,1,0))</f>
        <v>0</v>
      </c>
      <c r="DQ205" s="39" t="n">
        <f aca="false">IF(DQ$4=0,0,IF(COUNTIFS(実績!$W$6:$W$505,DQ$3,実績!$AI$6:$AI$505,"&lt;="&amp;$A205,実績!$AJ$6:$AJ$505,"&gt;"&amp;$A205,実績!$AK$6:$AK$505,"○")&gt;0,1,0))</f>
        <v>0</v>
      </c>
      <c r="DR205" s="39" t="n">
        <f aca="false">IF(DR$4=0,0,IF(COUNTIFS(実績!$W$6:$W$505,DR$3,実績!$AI$6:$AI$505,"&lt;="&amp;$A205,実績!$AJ$6:$AJ$505,"&gt;"&amp;$A205,実績!$AK$6:$AK$505,"○")&gt;0,1,0))</f>
        <v>0</v>
      </c>
      <c r="DS205" s="39" t="n">
        <f aca="false">SUM(C205:DR205)</f>
        <v>0</v>
      </c>
      <c r="DT205" s="39" t="n">
        <f aca="false">SUMPRODUCT((実績!$C$6:$C$505="○")*ISNUMBER(実績!$AM$6:$AM$505)*(実績!$AM$6:$AM$505&lt;=$A205)*(実績!$AN$6:$AN$505&gt;$A205))</f>
        <v>0</v>
      </c>
      <c r="DU205" s="39" t="n">
        <f aca="false">SUMIF($C$2:$DR$2,"製鉄曳船",C205:DR205)</f>
        <v>0</v>
      </c>
      <c r="DV205" s="39" t="n">
        <f aca="false">SUMIF($C$2:$DR$2,"西日本海運",C205:DR205)</f>
        <v>0</v>
      </c>
    </row>
    <row r="206" customFormat="false" ht="15" hidden="false" customHeight="false" outlineLevel="0" collapsed="false">
      <c r="A206" s="0" t="n">
        <v>1000</v>
      </c>
      <c r="B206" s="38" t="n">
        <f aca="false">A206/1440</f>
        <v>0.694444444444444</v>
      </c>
      <c r="C206" s="39" t="n">
        <f aca="false">IF(C$4=0,0,IF(COUNTIFS(実績!$W$6:$W$505,C$3,実績!$AI$6:$AI$505,"&lt;="&amp;$A206,実績!$AJ$6:$AJ$505,"&gt;"&amp;$A206,実績!$AK$6:$AK$505,"○")&gt;0,1,0))</f>
        <v>0</v>
      </c>
      <c r="D206" s="39" t="n">
        <f aca="false">IF(D$4=0,0,IF(COUNTIFS(実績!$W$6:$W$505,D$3,実績!$AI$6:$AI$505,"&lt;="&amp;$A206,実績!$AJ$6:$AJ$505,"&gt;"&amp;$A206,実績!$AK$6:$AK$505,"○")&gt;0,1,0))</f>
        <v>0</v>
      </c>
      <c r="E206" s="39" t="n">
        <f aca="false">IF(E$4=0,0,IF(COUNTIFS(実績!$W$6:$W$505,E$3,実績!$AI$6:$AI$505,"&lt;="&amp;$A206,実績!$AJ$6:$AJ$505,"&gt;"&amp;$A206,実績!$AK$6:$AK$505,"○")&gt;0,1,0))</f>
        <v>0</v>
      </c>
      <c r="F206" s="39" t="n">
        <f aca="false">IF(F$4=0,0,IF(COUNTIFS(実績!$W$6:$W$505,F$3,実績!$AI$6:$AI$505,"&lt;="&amp;$A206,実績!$AJ$6:$AJ$505,"&gt;"&amp;$A206,実績!$AK$6:$AK$505,"○")&gt;0,1,0))</f>
        <v>0</v>
      </c>
      <c r="G206" s="39" t="n">
        <f aca="false">IF(G$4=0,0,IF(COUNTIFS(実績!$W$6:$W$505,G$3,実績!$AI$6:$AI$505,"&lt;="&amp;$A206,実績!$AJ$6:$AJ$505,"&gt;"&amp;$A206,実績!$AK$6:$AK$505,"○")&gt;0,1,0))</f>
        <v>0</v>
      </c>
      <c r="H206" s="39" t="n">
        <f aca="false">IF(H$4=0,0,IF(COUNTIFS(実績!$W$6:$W$505,H$3,実績!$AI$6:$AI$505,"&lt;="&amp;$A206,実績!$AJ$6:$AJ$505,"&gt;"&amp;$A206,実績!$AK$6:$AK$505,"○")&gt;0,1,0))</f>
        <v>0</v>
      </c>
      <c r="I206" s="39" t="n">
        <f aca="false">IF(I$4=0,0,IF(COUNTIFS(実績!$W$6:$W$505,I$3,実績!$AI$6:$AI$505,"&lt;="&amp;$A206,実績!$AJ$6:$AJ$505,"&gt;"&amp;$A206,実績!$AK$6:$AK$505,"○")&gt;0,1,0))</f>
        <v>0</v>
      </c>
      <c r="J206" s="39" t="n">
        <f aca="false">IF(J$4=0,0,IF(COUNTIFS(実績!$W$6:$W$505,J$3,実績!$AI$6:$AI$505,"&lt;="&amp;$A206,実績!$AJ$6:$AJ$505,"&gt;"&amp;$A206,実績!$AK$6:$AK$505,"○")&gt;0,1,0))</f>
        <v>0</v>
      </c>
      <c r="K206" s="39" t="n">
        <f aca="false">IF(K$4=0,0,IF(COUNTIFS(実績!$W$6:$W$505,K$3,実績!$AI$6:$AI$505,"&lt;="&amp;$A206,実績!$AJ$6:$AJ$505,"&gt;"&amp;$A206,実績!$AK$6:$AK$505,"○")&gt;0,1,0))</f>
        <v>0</v>
      </c>
      <c r="L206" s="39" t="n">
        <f aca="false">IF(L$4=0,0,IF(COUNTIFS(実績!$W$6:$W$505,L$3,実績!$AI$6:$AI$505,"&lt;="&amp;$A206,実績!$AJ$6:$AJ$505,"&gt;"&amp;$A206,実績!$AK$6:$AK$505,"○")&gt;0,1,0))</f>
        <v>0</v>
      </c>
      <c r="M206" s="39" t="n">
        <f aca="false">IF(M$4=0,0,IF(COUNTIFS(実績!$W$6:$W$505,M$3,実績!$AI$6:$AI$505,"&lt;="&amp;$A206,実績!$AJ$6:$AJ$505,"&gt;"&amp;$A206,実績!$AK$6:$AK$505,"○")&gt;0,1,0))</f>
        <v>0</v>
      </c>
      <c r="N206" s="39" t="n">
        <f aca="false">IF(N$4=0,0,IF(COUNTIFS(実績!$W$6:$W$505,N$3,実績!$AI$6:$AI$505,"&lt;="&amp;$A206,実績!$AJ$6:$AJ$505,"&gt;"&amp;$A206,実績!$AK$6:$AK$505,"○")&gt;0,1,0))</f>
        <v>0</v>
      </c>
      <c r="O206" s="39" t="n">
        <f aca="false">IF(O$4=0,0,IF(COUNTIFS(実績!$W$6:$W$505,O$3,実績!$AI$6:$AI$505,"&lt;="&amp;$A206,実績!$AJ$6:$AJ$505,"&gt;"&amp;$A206,実績!$AK$6:$AK$505,"○")&gt;0,1,0))</f>
        <v>0</v>
      </c>
      <c r="P206" s="39" t="n">
        <f aca="false">IF(P$4=0,0,IF(COUNTIFS(実績!$W$6:$W$505,P$3,実績!$AI$6:$AI$505,"&lt;="&amp;$A206,実績!$AJ$6:$AJ$505,"&gt;"&amp;$A206,実績!$AK$6:$AK$505,"○")&gt;0,1,0))</f>
        <v>0</v>
      </c>
      <c r="Q206" s="39" t="n">
        <f aca="false">IF(Q$4=0,0,IF(COUNTIFS(実績!$W$6:$W$505,Q$3,実績!$AI$6:$AI$505,"&lt;="&amp;$A206,実績!$AJ$6:$AJ$505,"&gt;"&amp;$A206,実績!$AK$6:$AK$505,"○")&gt;0,1,0))</f>
        <v>0</v>
      </c>
      <c r="R206" s="39" t="n">
        <f aca="false">IF(R$4=0,0,IF(COUNTIFS(実績!$W$6:$W$505,R$3,実績!$AI$6:$AI$505,"&lt;="&amp;$A206,実績!$AJ$6:$AJ$505,"&gt;"&amp;$A206,実績!$AK$6:$AK$505,"○")&gt;0,1,0))</f>
        <v>0</v>
      </c>
      <c r="S206" s="39" t="n">
        <f aca="false">IF(S$4=0,0,IF(COUNTIFS(実績!$W$6:$W$505,S$3,実績!$AI$6:$AI$505,"&lt;="&amp;$A206,実績!$AJ$6:$AJ$505,"&gt;"&amp;$A206,実績!$AK$6:$AK$505,"○")&gt;0,1,0))</f>
        <v>0</v>
      </c>
      <c r="T206" s="39" t="n">
        <f aca="false">IF(T$4=0,0,IF(COUNTIFS(実績!$W$6:$W$505,T$3,実績!$AI$6:$AI$505,"&lt;="&amp;$A206,実績!$AJ$6:$AJ$505,"&gt;"&amp;$A206,実績!$AK$6:$AK$505,"○")&gt;0,1,0))</f>
        <v>0</v>
      </c>
      <c r="U206" s="39" t="n">
        <f aca="false">IF(U$4=0,0,IF(COUNTIFS(実績!$W$6:$W$505,U$3,実績!$AI$6:$AI$505,"&lt;="&amp;$A206,実績!$AJ$6:$AJ$505,"&gt;"&amp;$A206,実績!$AK$6:$AK$505,"○")&gt;0,1,0))</f>
        <v>0</v>
      </c>
      <c r="V206" s="39" t="n">
        <f aca="false">IF(V$4=0,0,IF(COUNTIFS(実績!$W$6:$W$505,V$3,実績!$AI$6:$AI$505,"&lt;="&amp;$A206,実績!$AJ$6:$AJ$505,"&gt;"&amp;$A206,実績!$AK$6:$AK$505,"○")&gt;0,1,0))</f>
        <v>0</v>
      </c>
      <c r="W206" s="39" t="n">
        <f aca="false">IF(W$4=0,0,IF(COUNTIFS(実績!$W$6:$W$505,W$3,実績!$AI$6:$AI$505,"&lt;="&amp;$A206,実績!$AJ$6:$AJ$505,"&gt;"&amp;$A206,実績!$AK$6:$AK$505,"○")&gt;0,1,0))</f>
        <v>0</v>
      </c>
      <c r="X206" s="39" t="n">
        <f aca="false">IF(X$4=0,0,IF(COUNTIFS(実績!$W$6:$W$505,X$3,実績!$AI$6:$AI$505,"&lt;="&amp;$A206,実績!$AJ$6:$AJ$505,"&gt;"&amp;$A206,実績!$AK$6:$AK$505,"○")&gt;0,1,0))</f>
        <v>0</v>
      </c>
      <c r="Y206" s="39" t="n">
        <f aca="false">IF(Y$4=0,0,IF(COUNTIFS(実績!$W$6:$W$505,Y$3,実績!$AI$6:$AI$505,"&lt;="&amp;$A206,実績!$AJ$6:$AJ$505,"&gt;"&amp;$A206,実績!$AK$6:$AK$505,"○")&gt;0,1,0))</f>
        <v>0</v>
      </c>
      <c r="Z206" s="39" t="n">
        <f aca="false">IF(Z$4=0,0,IF(COUNTIFS(実績!$W$6:$W$505,Z$3,実績!$AI$6:$AI$505,"&lt;="&amp;$A206,実績!$AJ$6:$AJ$505,"&gt;"&amp;$A206,実績!$AK$6:$AK$505,"○")&gt;0,1,0))</f>
        <v>0</v>
      </c>
      <c r="AA206" s="39" t="n">
        <f aca="false">IF(AA$4=0,0,IF(COUNTIFS(実績!$W$6:$W$505,AA$3,実績!$AI$6:$AI$505,"&lt;="&amp;$A206,実績!$AJ$6:$AJ$505,"&gt;"&amp;$A206,実績!$AK$6:$AK$505,"○")&gt;0,1,0))</f>
        <v>0</v>
      </c>
      <c r="AB206" s="39" t="n">
        <f aca="false">IF(AB$4=0,0,IF(COUNTIFS(実績!$W$6:$W$505,AB$3,実績!$AI$6:$AI$505,"&lt;="&amp;$A206,実績!$AJ$6:$AJ$505,"&gt;"&amp;$A206,実績!$AK$6:$AK$505,"○")&gt;0,1,0))</f>
        <v>0</v>
      </c>
      <c r="AC206" s="39" t="n">
        <f aca="false">IF(AC$4=0,0,IF(COUNTIFS(実績!$W$6:$W$505,AC$3,実績!$AI$6:$AI$505,"&lt;="&amp;$A206,実績!$AJ$6:$AJ$505,"&gt;"&amp;$A206,実績!$AK$6:$AK$505,"○")&gt;0,1,0))</f>
        <v>0</v>
      </c>
      <c r="AD206" s="39" t="n">
        <f aca="false">IF(AD$4=0,0,IF(COUNTIFS(実績!$W$6:$W$505,AD$3,実績!$AI$6:$AI$505,"&lt;="&amp;$A206,実績!$AJ$6:$AJ$505,"&gt;"&amp;$A206,実績!$AK$6:$AK$505,"○")&gt;0,1,0))</f>
        <v>0</v>
      </c>
      <c r="AE206" s="39" t="n">
        <f aca="false">IF(AE$4=0,0,IF(COUNTIFS(実績!$W$6:$W$505,AE$3,実績!$AI$6:$AI$505,"&lt;="&amp;$A206,実績!$AJ$6:$AJ$505,"&gt;"&amp;$A206,実績!$AK$6:$AK$505,"○")&gt;0,1,0))</f>
        <v>0</v>
      </c>
      <c r="AF206" s="39" t="n">
        <f aca="false">IF(AF$4=0,0,IF(COUNTIFS(実績!$W$6:$W$505,AF$3,実績!$AI$6:$AI$505,"&lt;="&amp;$A206,実績!$AJ$6:$AJ$505,"&gt;"&amp;$A206,実績!$AK$6:$AK$505,"○")&gt;0,1,0))</f>
        <v>0</v>
      </c>
      <c r="AG206" s="39" t="n">
        <f aca="false">IF(AG$4=0,0,IF(COUNTIFS(実績!$W$6:$W$505,AG$3,実績!$AI$6:$AI$505,"&lt;="&amp;$A206,実績!$AJ$6:$AJ$505,"&gt;"&amp;$A206,実績!$AK$6:$AK$505,"○")&gt;0,1,0))</f>
        <v>0</v>
      </c>
      <c r="AH206" s="39" t="n">
        <f aca="false">IF(AH$4=0,0,IF(COUNTIFS(実績!$W$6:$W$505,AH$3,実績!$AI$6:$AI$505,"&lt;="&amp;$A206,実績!$AJ$6:$AJ$505,"&gt;"&amp;$A206,実績!$AK$6:$AK$505,"○")&gt;0,1,0))</f>
        <v>0</v>
      </c>
      <c r="AI206" s="39" t="n">
        <f aca="false">IF(AI$4=0,0,IF(COUNTIFS(実績!$W$6:$W$505,AI$3,実績!$AI$6:$AI$505,"&lt;="&amp;$A206,実績!$AJ$6:$AJ$505,"&gt;"&amp;$A206,実績!$AK$6:$AK$505,"○")&gt;0,1,0))</f>
        <v>0</v>
      </c>
      <c r="AJ206" s="39" t="n">
        <f aca="false">IF(AJ$4=0,0,IF(COUNTIFS(実績!$W$6:$W$505,AJ$3,実績!$AI$6:$AI$505,"&lt;="&amp;$A206,実績!$AJ$6:$AJ$505,"&gt;"&amp;$A206,実績!$AK$6:$AK$505,"○")&gt;0,1,0))</f>
        <v>0</v>
      </c>
      <c r="AK206" s="39" t="n">
        <f aca="false">IF(AK$4=0,0,IF(COUNTIFS(実績!$W$6:$W$505,AK$3,実績!$AI$6:$AI$505,"&lt;="&amp;$A206,実績!$AJ$6:$AJ$505,"&gt;"&amp;$A206,実績!$AK$6:$AK$505,"○")&gt;0,1,0))</f>
        <v>0</v>
      </c>
      <c r="AL206" s="39" t="n">
        <f aca="false">IF(AL$4=0,0,IF(COUNTIFS(実績!$W$6:$W$505,AL$3,実績!$AI$6:$AI$505,"&lt;="&amp;$A206,実績!$AJ$6:$AJ$505,"&gt;"&amp;$A206,実績!$AK$6:$AK$505,"○")&gt;0,1,0))</f>
        <v>0</v>
      </c>
      <c r="AM206" s="39" t="n">
        <f aca="false">IF(AM$4=0,0,IF(COUNTIFS(実績!$W$6:$W$505,AM$3,実績!$AI$6:$AI$505,"&lt;="&amp;$A206,実績!$AJ$6:$AJ$505,"&gt;"&amp;$A206,実績!$AK$6:$AK$505,"○")&gt;0,1,0))</f>
        <v>0</v>
      </c>
      <c r="AN206" s="39" t="n">
        <f aca="false">IF(AN$4=0,0,IF(COUNTIFS(実績!$W$6:$W$505,AN$3,実績!$AI$6:$AI$505,"&lt;="&amp;$A206,実績!$AJ$6:$AJ$505,"&gt;"&amp;$A206,実績!$AK$6:$AK$505,"○")&gt;0,1,0))</f>
        <v>0</v>
      </c>
      <c r="AO206" s="39" t="n">
        <f aca="false">IF(AO$4=0,0,IF(COUNTIFS(実績!$W$6:$W$505,AO$3,実績!$AI$6:$AI$505,"&lt;="&amp;$A206,実績!$AJ$6:$AJ$505,"&gt;"&amp;$A206,実績!$AK$6:$AK$505,"○")&gt;0,1,0))</f>
        <v>0</v>
      </c>
      <c r="AP206" s="39" t="n">
        <f aca="false">IF(AP$4=0,0,IF(COUNTIFS(実績!$W$6:$W$505,AP$3,実績!$AI$6:$AI$505,"&lt;="&amp;$A206,実績!$AJ$6:$AJ$505,"&gt;"&amp;$A206,実績!$AK$6:$AK$505,"○")&gt;0,1,0))</f>
        <v>0</v>
      </c>
      <c r="AQ206" s="39" t="n">
        <f aca="false">IF(AQ$4=0,0,IF(COUNTIFS(実績!$W$6:$W$505,AQ$3,実績!$AI$6:$AI$505,"&lt;="&amp;$A206,実績!$AJ$6:$AJ$505,"&gt;"&amp;$A206,実績!$AK$6:$AK$505,"○")&gt;0,1,0))</f>
        <v>0</v>
      </c>
      <c r="AR206" s="39" t="n">
        <f aca="false">IF(AR$4=0,0,IF(COUNTIFS(実績!$W$6:$W$505,AR$3,実績!$AI$6:$AI$505,"&lt;="&amp;$A206,実績!$AJ$6:$AJ$505,"&gt;"&amp;$A206,実績!$AK$6:$AK$505,"○")&gt;0,1,0))</f>
        <v>0</v>
      </c>
      <c r="AS206" s="39" t="n">
        <f aca="false">IF(AS$4=0,0,IF(COUNTIFS(実績!$W$6:$W$505,AS$3,実績!$AI$6:$AI$505,"&lt;="&amp;$A206,実績!$AJ$6:$AJ$505,"&gt;"&amp;$A206,実績!$AK$6:$AK$505,"○")&gt;0,1,0))</f>
        <v>0</v>
      </c>
      <c r="AT206" s="39" t="n">
        <f aca="false">IF(AT$4=0,0,IF(COUNTIFS(実績!$W$6:$W$505,AT$3,実績!$AI$6:$AI$505,"&lt;="&amp;$A206,実績!$AJ$6:$AJ$505,"&gt;"&amp;$A206,実績!$AK$6:$AK$505,"○")&gt;0,1,0))</f>
        <v>0</v>
      </c>
      <c r="AU206" s="39" t="n">
        <f aca="false">IF(AU$4=0,0,IF(COUNTIFS(実績!$W$6:$W$505,AU$3,実績!$AI$6:$AI$505,"&lt;="&amp;$A206,実績!$AJ$6:$AJ$505,"&gt;"&amp;$A206,実績!$AK$6:$AK$505,"○")&gt;0,1,0))</f>
        <v>0</v>
      </c>
      <c r="AV206" s="39" t="n">
        <f aca="false">IF(AV$4=0,0,IF(COUNTIFS(実績!$W$6:$W$505,AV$3,実績!$AI$6:$AI$505,"&lt;="&amp;$A206,実績!$AJ$6:$AJ$505,"&gt;"&amp;$A206,実績!$AK$6:$AK$505,"○")&gt;0,1,0))</f>
        <v>0</v>
      </c>
      <c r="AW206" s="39" t="n">
        <f aca="false">IF(AW$4=0,0,IF(COUNTIFS(実績!$W$6:$W$505,AW$3,実績!$AI$6:$AI$505,"&lt;="&amp;$A206,実績!$AJ$6:$AJ$505,"&gt;"&amp;$A206,実績!$AK$6:$AK$505,"○")&gt;0,1,0))</f>
        <v>0</v>
      </c>
      <c r="AX206" s="39" t="n">
        <f aca="false">IF(AX$4=0,0,IF(COUNTIFS(実績!$W$6:$W$505,AX$3,実績!$AI$6:$AI$505,"&lt;="&amp;$A206,実績!$AJ$6:$AJ$505,"&gt;"&amp;$A206,実績!$AK$6:$AK$505,"○")&gt;0,1,0))</f>
        <v>0</v>
      </c>
      <c r="AY206" s="39" t="n">
        <f aca="false">IF(AY$4=0,0,IF(COUNTIFS(実績!$W$6:$W$505,AY$3,実績!$AI$6:$AI$505,"&lt;="&amp;$A206,実績!$AJ$6:$AJ$505,"&gt;"&amp;$A206,実績!$AK$6:$AK$505,"○")&gt;0,1,0))</f>
        <v>0</v>
      </c>
      <c r="AZ206" s="39" t="n">
        <f aca="false">IF(AZ$4=0,0,IF(COUNTIFS(実績!$W$6:$W$505,AZ$3,実績!$AI$6:$AI$505,"&lt;="&amp;$A206,実績!$AJ$6:$AJ$505,"&gt;"&amp;$A206,実績!$AK$6:$AK$505,"○")&gt;0,1,0))</f>
        <v>0</v>
      </c>
      <c r="BA206" s="39" t="n">
        <f aca="false">IF(BA$4=0,0,IF(COUNTIFS(実績!$W$6:$W$505,BA$3,実績!$AI$6:$AI$505,"&lt;="&amp;$A206,実績!$AJ$6:$AJ$505,"&gt;"&amp;$A206,実績!$AK$6:$AK$505,"○")&gt;0,1,0))</f>
        <v>0</v>
      </c>
      <c r="BB206" s="39" t="n">
        <f aca="false">IF(BB$4=0,0,IF(COUNTIFS(実績!$W$6:$W$505,BB$3,実績!$AI$6:$AI$505,"&lt;="&amp;$A206,実績!$AJ$6:$AJ$505,"&gt;"&amp;$A206,実績!$AK$6:$AK$505,"○")&gt;0,1,0))</f>
        <v>0</v>
      </c>
      <c r="BC206" s="39" t="n">
        <f aca="false">IF(BC$4=0,0,IF(COUNTIFS(実績!$W$6:$W$505,BC$3,実績!$AI$6:$AI$505,"&lt;="&amp;$A206,実績!$AJ$6:$AJ$505,"&gt;"&amp;$A206,実績!$AK$6:$AK$505,"○")&gt;0,1,0))</f>
        <v>0</v>
      </c>
      <c r="BD206" s="39" t="n">
        <f aca="false">IF(BD$4=0,0,IF(COUNTIFS(実績!$W$6:$W$505,BD$3,実績!$AI$6:$AI$505,"&lt;="&amp;$A206,実績!$AJ$6:$AJ$505,"&gt;"&amp;$A206,実績!$AK$6:$AK$505,"○")&gt;0,1,0))</f>
        <v>0</v>
      </c>
      <c r="BE206" s="39" t="n">
        <f aca="false">IF(BE$4=0,0,IF(COUNTIFS(実績!$W$6:$W$505,BE$3,実績!$AI$6:$AI$505,"&lt;="&amp;$A206,実績!$AJ$6:$AJ$505,"&gt;"&amp;$A206,実績!$AK$6:$AK$505,"○")&gt;0,1,0))</f>
        <v>0</v>
      </c>
      <c r="BF206" s="39" t="n">
        <f aca="false">IF(BF$4=0,0,IF(COUNTIFS(実績!$W$6:$W$505,BF$3,実績!$AI$6:$AI$505,"&lt;="&amp;$A206,実績!$AJ$6:$AJ$505,"&gt;"&amp;$A206,実績!$AK$6:$AK$505,"○")&gt;0,1,0))</f>
        <v>0</v>
      </c>
      <c r="BG206" s="39" t="n">
        <f aca="false">IF(BG$4=0,0,IF(COUNTIFS(実績!$W$6:$W$505,BG$3,実績!$AI$6:$AI$505,"&lt;="&amp;$A206,実績!$AJ$6:$AJ$505,"&gt;"&amp;$A206,実績!$AK$6:$AK$505,"○")&gt;0,1,0))</f>
        <v>0</v>
      </c>
      <c r="BH206" s="39" t="n">
        <f aca="false">IF(BH$4=0,0,IF(COUNTIFS(実績!$W$6:$W$505,BH$3,実績!$AI$6:$AI$505,"&lt;="&amp;$A206,実績!$AJ$6:$AJ$505,"&gt;"&amp;$A206,実績!$AK$6:$AK$505,"○")&gt;0,1,0))</f>
        <v>0</v>
      </c>
      <c r="BI206" s="39" t="n">
        <f aca="false">IF(BI$4=0,0,IF(COUNTIFS(実績!$W$6:$W$505,BI$3,実績!$AI$6:$AI$505,"&lt;="&amp;$A206,実績!$AJ$6:$AJ$505,"&gt;"&amp;$A206,実績!$AK$6:$AK$505,"○")&gt;0,1,0))</f>
        <v>0</v>
      </c>
      <c r="BJ206" s="39" t="n">
        <f aca="false">IF(BJ$4=0,0,IF(COUNTIFS(実績!$W$6:$W$505,BJ$3,実績!$AI$6:$AI$505,"&lt;="&amp;$A206,実績!$AJ$6:$AJ$505,"&gt;"&amp;$A206,実績!$AK$6:$AK$505,"○")&gt;0,1,0))</f>
        <v>0</v>
      </c>
      <c r="BK206" s="39" t="n">
        <f aca="false">IF(BK$4=0,0,IF(COUNTIFS(実績!$W$6:$W$505,BK$3,実績!$AI$6:$AI$505,"&lt;="&amp;$A206,実績!$AJ$6:$AJ$505,"&gt;"&amp;$A206,実績!$AK$6:$AK$505,"○")&gt;0,1,0))</f>
        <v>0</v>
      </c>
      <c r="BL206" s="39" t="n">
        <f aca="false">IF(BL$4=0,0,IF(COUNTIFS(実績!$W$6:$W$505,BL$3,実績!$AI$6:$AI$505,"&lt;="&amp;$A206,実績!$AJ$6:$AJ$505,"&gt;"&amp;$A206,実績!$AK$6:$AK$505,"○")&gt;0,1,0))</f>
        <v>0</v>
      </c>
      <c r="BM206" s="39" t="n">
        <f aca="false">IF(BM$4=0,0,IF(COUNTIFS(実績!$W$6:$W$505,BM$3,実績!$AI$6:$AI$505,"&lt;="&amp;$A206,実績!$AJ$6:$AJ$505,"&gt;"&amp;$A206,実績!$AK$6:$AK$505,"○")&gt;0,1,0))</f>
        <v>0</v>
      </c>
      <c r="BN206" s="39" t="n">
        <f aca="false">IF(BN$4=0,0,IF(COUNTIFS(実績!$W$6:$W$505,BN$3,実績!$AI$6:$AI$505,"&lt;="&amp;$A206,実績!$AJ$6:$AJ$505,"&gt;"&amp;$A206,実績!$AK$6:$AK$505,"○")&gt;0,1,0))</f>
        <v>0</v>
      </c>
      <c r="BO206" s="39" t="n">
        <f aca="false">IF(BO$4=0,0,IF(COUNTIFS(実績!$W$6:$W$505,BO$3,実績!$AI$6:$AI$505,"&lt;="&amp;$A206,実績!$AJ$6:$AJ$505,"&gt;"&amp;$A206,実績!$AK$6:$AK$505,"○")&gt;0,1,0))</f>
        <v>0</v>
      </c>
      <c r="BP206" s="39" t="n">
        <f aca="false">IF(BP$4=0,0,IF(COUNTIFS(実績!$W$6:$W$505,BP$3,実績!$AI$6:$AI$505,"&lt;="&amp;$A206,実績!$AJ$6:$AJ$505,"&gt;"&amp;$A206,実績!$AK$6:$AK$505,"○")&gt;0,1,0))</f>
        <v>0</v>
      </c>
      <c r="BQ206" s="39" t="n">
        <f aca="false">IF(BQ$4=0,0,IF(COUNTIFS(実績!$W$6:$W$505,BQ$3,実績!$AI$6:$AI$505,"&lt;="&amp;$A206,実績!$AJ$6:$AJ$505,"&gt;"&amp;$A206,実績!$AK$6:$AK$505,"○")&gt;0,1,0))</f>
        <v>0</v>
      </c>
      <c r="BR206" s="39" t="n">
        <f aca="false">IF(BR$4=0,0,IF(COUNTIFS(実績!$W$6:$W$505,BR$3,実績!$AI$6:$AI$505,"&lt;="&amp;$A206,実績!$AJ$6:$AJ$505,"&gt;"&amp;$A206,実績!$AK$6:$AK$505,"○")&gt;0,1,0))</f>
        <v>0</v>
      </c>
      <c r="BS206" s="39" t="n">
        <f aca="false">IF(BS$4=0,0,IF(COUNTIFS(実績!$W$6:$W$505,BS$3,実績!$AI$6:$AI$505,"&lt;="&amp;$A206,実績!$AJ$6:$AJ$505,"&gt;"&amp;$A206,実績!$AK$6:$AK$505,"○")&gt;0,1,0))</f>
        <v>0</v>
      </c>
      <c r="BT206" s="39" t="n">
        <f aca="false">IF(BT$4=0,0,IF(COUNTIFS(実績!$W$6:$W$505,BT$3,実績!$AI$6:$AI$505,"&lt;="&amp;$A206,実績!$AJ$6:$AJ$505,"&gt;"&amp;$A206,実績!$AK$6:$AK$505,"○")&gt;0,1,0))</f>
        <v>0</v>
      </c>
      <c r="BU206" s="39" t="n">
        <f aca="false">IF(BU$4=0,0,IF(COUNTIFS(実績!$W$6:$W$505,BU$3,実績!$AI$6:$AI$505,"&lt;="&amp;$A206,実績!$AJ$6:$AJ$505,"&gt;"&amp;$A206,実績!$AK$6:$AK$505,"○")&gt;0,1,0))</f>
        <v>0</v>
      </c>
      <c r="BV206" s="39" t="n">
        <f aca="false">IF(BV$4=0,0,IF(COUNTIFS(実績!$W$6:$W$505,BV$3,実績!$AI$6:$AI$505,"&lt;="&amp;$A206,実績!$AJ$6:$AJ$505,"&gt;"&amp;$A206,実績!$AK$6:$AK$505,"○")&gt;0,1,0))</f>
        <v>0</v>
      </c>
      <c r="BW206" s="39" t="n">
        <f aca="false">IF(BW$4=0,0,IF(COUNTIFS(実績!$W$6:$W$505,BW$3,実績!$AI$6:$AI$505,"&lt;="&amp;$A206,実績!$AJ$6:$AJ$505,"&gt;"&amp;$A206,実績!$AK$6:$AK$505,"○")&gt;0,1,0))</f>
        <v>0</v>
      </c>
      <c r="BX206" s="39" t="n">
        <f aca="false">IF(BX$4=0,0,IF(COUNTIFS(実績!$W$6:$W$505,BX$3,実績!$AI$6:$AI$505,"&lt;="&amp;$A206,実績!$AJ$6:$AJ$505,"&gt;"&amp;$A206,実績!$AK$6:$AK$505,"○")&gt;0,1,0))</f>
        <v>0</v>
      </c>
      <c r="BY206" s="39" t="n">
        <f aca="false">IF(BY$4=0,0,IF(COUNTIFS(実績!$W$6:$W$505,BY$3,実績!$AI$6:$AI$505,"&lt;="&amp;$A206,実績!$AJ$6:$AJ$505,"&gt;"&amp;$A206,実績!$AK$6:$AK$505,"○")&gt;0,1,0))</f>
        <v>0</v>
      </c>
      <c r="BZ206" s="39" t="n">
        <f aca="false">IF(BZ$4=0,0,IF(COUNTIFS(実績!$W$6:$W$505,BZ$3,実績!$AI$6:$AI$505,"&lt;="&amp;$A206,実績!$AJ$6:$AJ$505,"&gt;"&amp;$A206,実績!$AK$6:$AK$505,"○")&gt;0,1,0))</f>
        <v>0</v>
      </c>
      <c r="CA206" s="39" t="n">
        <f aca="false">IF(CA$4=0,0,IF(COUNTIFS(実績!$W$6:$W$505,CA$3,実績!$AI$6:$AI$505,"&lt;="&amp;$A206,実績!$AJ$6:$AJ$505,"&gt;"&amp;$A206,実績!$AK$6:$AK$505,"○")&gt;0,1,0))</f>
        <v>0</v>
      </c>
      <c r="CB206" s="39" t="n">
        <f aca="false">IF(CB$4=0,0,IF(COUNTIFS(実績!$W$6:$W$505,CB$3,実績!$AI$6:$AI$505,"&lt;="&amp;$A206,実績!$AJ$6:$AJ$505,"&gt;"&amp;$A206,実績!$AK$6:$AK$505,"○")&gt;0,1,0))</f>
        <v>0</v>
      </c>
      <c r="CC206" s="39" t="n">
        <f aca="false">IF(CC$4=0,0,IF(COUNTIFS(実績!$W$6:$W$505,CC$3,実績!$AI$6:$AI$505,"&lt;="&amp;$A206,実績!$AJ$6:$AJ$505,"&gt;"&amp;$A206,実績!$AK$6:$AK$505,"○")&gt;0,1,0))</f>
        <v>0</v>
      </c>
      <c r="CD206" s="39" t="n">
        <f aca="false">IF(CD$4=0,0,IF(COUNTIFS(実績!$W$6:$W$505,CD$3,実績!$AI$6:$AI$505,"&lt;="&amp;$A206,実績!$AJ$6:$AJ$505,"&gt;"&amp;$A206,実績!$AK$6:$AK$505,"○")&gt;0,1,0))</f>
        <v>0</v>
      </c>
      <c r="CE206" s="39" t="n">
        <f aca="false">IF(CE$4=0,0,IF(COUNTIFS(実績!$W$6:$W$505,CE$3,実績!$AI$6:$AI$505,"&lt;="&amp;$A206,実績!$AJ$6:$AJ$505,"&gt;"&amp;$A206,実績!$AK$6:$AK$505,"○")&gt;0,1,0))</f>
        <v>0</v>
      </c>
      <c r="CF206" s="39" t="n">
        <f aca="false">IF(CF$4=0,0,IF(COUNTIFS(実績!$W$6:$W$505,CF$3,実績!$AI$6:$AI$505,"&lt;="&amp;$A206,実績!$AJ$6:$AJ$505,"&gt;"&amp;$A206,実績!$AK$6:$AK$505,"○")&gt;0,1,0))</f>
        <v>0</v>
      </c>
      <c r="CG206" s="39" t="n">
        <f aca="false">IF(CG$4=0,0,IF(COUNTIFS(実績!$W$6:$W$505,CG$3,実績!$AI$6:$AI$505,"&lt;="&amp;$A206,実績!$AJ$6:$AJ$505,"&gt;"&amp;$A206,実績!$AK$6:$AK$505,"○")&gt;0,1,0))</f>
        <v>0</v>
      </c>
      <c r="CH206" s="39" t="n">
        <f aca="false">IF(CH$4=0,0,IF(COUNTIFS(実績!$W$6:$W$505,CH$3,実績!$AI$6:$AI$505,"&lt;="&amp;$A206,実績!$AJ$6:$AJ$505,"&gt;"&amp;$A206,実績!$AK$6:$AK$505,"○")&gt;0,1,0))</f>
        <v>0</v>
      </c>
      <c r="CI206" s="39" t="n">
        <f aca="false">IF(CI$4=0,0,IF(COUNTIFS(実績!$W$6:$W$505,CI$3,実績!$AI$6:$AI$505,"&lt;="&amp;$A206,実績!$AJ$6:$AJ$505,"&gt;"&amp;$A206,実績!$AK$6:$AK$505,"○")&gt;0,1,0))</f>
        <v>0</v>
      </c>
      <c r="CJ206" s="39" t="n">
        <f aca="false">IF(CJ$4=0,0,IF(COUNTIFS(実績!$W$6:$W$505,CJ$3,実績!$AI$6:$AI$505,"&lt;="&amp;$A206,実績!$AJ$6:$AJ$505,"&gt;"&amp;$A206,実績!$AK$6:$AK$505,"○")&gt;0,1,0))</f>
        <v>0</v>
      </c>
      <c r="CK206" s="39" t="n">
        <f aca="false">IF(CK$4=0,0,IF(COUNTIFS(実績!$W$6:$W$505,CK$3,実績!$AI$6:$AI$505,"&lt;="&amp;$A206,実績!$AJ$6:$AJ$505,"&gt;"&amp;$A206,実績!$AK$6:$AK$505,"○")&gt;0,1,0))</f>
        <v>0</v>
      </c>
      <c r="CL206" s="39" t="n">
        <f aca="false">IF(CL$4=0,0,IF(COUNTIFS(実績!$W$6:$W$505,CL$3,実績!$AI$6:$AI$505,"&lt;="&amp;$A206,実績!$AJ$6:$AJ$505,"&gt;"&amp;$A206,実績!$AK$6:$AK$505,"○")&gt;0,1,0))</f>
        <v>0</v>
      </c>
      <c r="CM206" s="39" t="n">
        <f aca="false">IF(CM$4=0,0,IF(COUNTIFS(実績!$W$6:$W$505,CM$3,実績!$AI$6:$AI$505,"&lt;="&amp;$A206,実績!$AJ$6:$AJ$505,"&gt;"&amp;$A206,実績!$AK$6:$AK$505,"○")&gt;0,1,0))</f>
        <v>0</v>
      </c>
      <c r="CN206" s="39" t="n">
        <f aca="false">IF(CN$4=0,0,IF(COUNTIFS(実績!$W$6:$W$505,CN$3,実績!$AI$6:$AI$505,"&lt;="&amp;$A206,実績!$AJ$6:$AJ$505,"&gt;"&amp;$A206,実績!$AK$6:$AK$505,"○")&gt;0,1,0))</f>
        <v>0</v>
      </c>
      <c r="CO206" s="39" t="n">
        <f aca="false">IF(CO$4=0,0,IF(COUNTIFS(実績!$W$6:$W$505,CO$3,実績!$AI$6:$AI$505,"&lt;="&amp;$A206,実績!$AJ$6:$AJ$505,"&gt;"&amp;$A206,実績!$AK$6:$AK$505,"○")&gt;0,1,0))</f>
        <v>0</v>
      </c>
      <c r="CP206" s="39" t="n">
        <f aca="false">IF(CP$4=0,0,IF(COUNTIFS(実績!$W$6:$W$505,CP$3,実績!$AI$6:$AI$505,"&lt;="&amp;$A206,実績!$AJ$6:$AJ$505,"&gt;"&amp;$A206,実績!$AK$6:$AK$505,"○")&gt;0,1,0))</f>
        <v>0</v>
      </c>
      <c r="CQ206" s="39" t="n">
        <f aca="false">IF(CQ$4=0,0,IF(COUNTIFS(実績!$W$6:$W$505,CQ$3,実績!$AI$6:$AI$505,"&lt;="&amp;$A206,実績!$AJ$6:$AJ$505,"&gt;"&amp;$A206,実績!$AK$6:$AK$505,"○")&gt;0,1,0))</f>
        <v>0</v>
      </c>
      <c r="CR206" s="39" t="n">
        <f aca="false">IF(CR$4=0,0,IF(COUNTIFS(実績!$W$6:$W$505,CR$3,実績!$AI$6:$AI$505,"&lt;="&amp;$A206,実績!$AJ$6:$AJ$505,"&gt;"&amp;$A206,実績!$AK$6:$AK$505,"○")&gt;0,1,0))</f>
        <v>0</v>
      </c>
      <c r="CS206" s="39" t="n">
        <f aca="false">IF(CS$4=0,0,IF(COUNTIFS(実績!$W$6:$W$505,CS$3,実績!$AI$6:$AI$505,"&lt;="&amp;$A206,実績!$AJ$6:$AJ$505,"&gt;"&amp;$A206,実績!$AK$6:$AK$505,"○")&gt;0,1,0))</f>
        <v>0</v>
      </c>
      <c r="CT206" s="39" t="n">
        <f aca="false">IF(CT$4=0,0,IF(COUNTIFS(実績!$W$6:$W$505,CT$3,実績!$AI$6:$AI$505,"&lt;="&amp;$A206,実績!$AJ$6:$AJ$505,"&gt;"&amp;$A206,実績!$AK$6:$AK$505,"○")&gt;0,1,0))</f>
        <v>0</v>
      </c>
      <c r="CU206" s="39" t="n">
        <f aca="false">IF(CU$4=0,0,IF(COUNTIFS(実績!$W$6:$W$505,CU$3,実績!$AI$6:$AI$505,"&lt;="&amp;$A206,実績!$AJ$6:$AJ$505,"&gt;"&amp;$A206,実績!$AK$6:$AK$505,"○")&gt;0,1,0))</f>
        <v>0</v>
      </c>
      <c r="CV206" s="39" t="n">
        <f aca="false">IF(CV$4=0,0,IF(COUNTIFS(実績!$W$6:$W$505,CV$3,実績!$AI$6:$AI$505,"&lt;="&amp;$A206,実績!$AJ$6:$AJ$505,"&gt;"&amp;$A206,実績!$AK$6:$AK$505,"○")&gt;0,1,0))</f>
        <v>0</v>
      </c>
      <c r="CW206" s="39" t="n">
        <f aca="false">IF(CW$4=0,0,IF(COUNTIFS(実績!$W$6:$W$505,CW$3,実績!$AI$6:$AI$505,"&lt;="&amp;$A206,実績!$AJ$6:$AJ$505,"&gt;"&amp;$A206,実績!$AK$6:$AK$505,"○")&gt;0,1,0))</f>
        <v>0</v>
      </c>
      <c r="CX206" s="39" t="n">
        <f aca="false">IF(CX$4=0,0,IF(COUNTIFS(実績!$W$6:$W$505,CX$3,実績!$AI$6:$AI$505,"&lt;="&amp;$A206,実績!$AJ$6:$AJ$505,"&gt;"&amp;$A206,実績!$AK$6:$AK$505,"○")&gt;0,1,0))</f>
        <v>0</v>
      </c>
      <c r="CY206" s="39" t="n">
        <f aca="false">IF(CY$4=0,0,IF(COUNTIFS(実績!$W$6:$W$505,CY$3,実績!$AI$6:$AI$505,"&lt;="&amp;$A206,実績!$AJ$6:$AJ$505,"&gt;"&amp;$A206,実績!$AK$6:$AK$505,"○")&gt;0,1,0))</f>
        <v>0</v>
      </c>
      <c r="CZ206" s="39" t="n">
        <f aca="false">IF(CZ$4=0,0,IF(COUNTIFS(実績!$W$6:$W$505,CZ$3,実績!$AI$6:$AI$505,"&lt;="&amp;$A206,実績!$AJ$6:$AJ$505,"&gt;"&amp;$A206,実績!$AK$6:$AK$505,"○")&gt;0,1,0))</f>
        <v>0</v>
      </c>
      <c r="DA206" s="39" t="n">
        <f aca="false">IF(DA$4=0,0,IF(COUNTIFS(実績!$W$6:$W$505,DA$3,実績!$AI$6:$AI$505,"&lt;="&amp;$A206,実績!$AJ$6:$AJ$505,"&gt;"&amp;$A206,実績!$AK$6:$AK$505,"○")&gt;0,1,0))</f>
        <v>0</v>
      </c>
      <c r="DB206" s="39" t="n">
        <f aca="false">IF(DB$4=0,0,IF(COUNTIFS(実績!$W$6:$W$505,DB$3,実績!$AI$6:$AI$505,"&lt;="&amp;$A206,実績!$AJ$6:$AJ$505,"&gt;"&amp;$A206,実績!$AK$6:$AK$505,"○")&gt;0,1,0))</f>
        <v>0</v>
      </c>
      <c r="DC206" s="39" t="n">
        <f aca="false">IF(DC$4=0,0,IF(COUNTIFS(実績!$W$6:$W$505,DC$3,実績!$AI$6:$AI$505,"&lt;="&amp;$A206,実績!$AJ$6:$AJ$505,"&gt;"&amp;$A206,実績!$AK$6:$AK$505,"○")&gt;0,1,0))</f>
        <v>0</v>
      </c>
      <c r="DD206" s="39" t="n">
        <f aca="false">IF(DD$4=0,0,IF(COUNTIFS(実績!$W$6:$W$505,DD$3,実績!$AI$6:$AI$505,"&lt;="&amp;$A206,実績!$AJ$6:$AJ$505,"&gt;"&amp;$A206,実績!$AK$6:$AK$505,"○")&gt;0,1,0))</f>
        <v>0</v>
      </c>
      <c r="DE206" s="39" t="n">
        <f aca="false">IF(DE$4=0,0,IF(COUNTIFS(実績!$W$6:$W$505,DE$3,実績!$AI$6:$AI$505,"&lt;="&amp;$A206,実績!$AJ$6:$AJ$505,"&gt;"&amp;$A206,実績!$AK$6:$AK$505,"○")&gt;0,1,0))</f>
        <v>0</v>
      </c>
      <c r="DF206" s="39" t="n">
        <f aca="false">IF(DF$4=0,0,IF(COUNTIFS(実績!$W$6:$W$505,DF$3,実績!$AI$6:$AI$505,"&lt;="&amp;$A206,実績!$AJ$6:$AJ$505,"&gt;"&amp;$A206,実績!$AK$6:$AK$505,"○")&gt;0,1,0))</f>
        <v>0</v>
      </c>
      <c r="DG206" s="39" t="n">
        <f aca="false">IF(DG$4=0,0,IF(COUNTIFS(実績!$W$6:$W$505,DG$3,実績!$AI$6:$AI$505,"&lt;="&amp;$A206,実績!$AJ$6:$AJ$505,"&gt;"&amp;$A206,実績!$AK$6:$AK$505,"○")&gt;0,1,0))</f>
        <v>0</v>
      </c>
      <c r="DH206" s="39" t="n">
        <f aca="false">IF(DH$4=0,0,IF(COUNTIFS(実績!$W$6:$W$505,DH$3,実績!$AI$6:$AI$505,"&lt;="&amp;$A206,実績!$AJ$6:$AJ$505,"&gt;"&amp;$A206,実績!$AK$6:$AK$505,"○")&gt;0,1,0))</f>
        <v>0</v>
      </c>
      <c r="DI206" s="39" t="n">
        <f aca="false">IF(DI$4=0,0,IF(COUNTIFS(実績!$W$6:$W$505,DI$3,実績!$AI$6:$AI$505,"&lt;="&amp;$A206,実績!$AJ$6:$AJ$505,"&gt;"&amp;$A206,実績!$AK$6:$AK$505,"○")&gt;0,1,0))</f>
        <v>0</v>
      </c>
      <c r="DJ206" s="39" t="n">
        <f aca="false">IF(DJ$4=0,0,IF(COUNTIFS(実績!$W$6:$W$505,DJ$3,実績!$AI$6:$AI$505,"&lt;="&amp;$A206,実績!$AJ$6:$AJ$505,"&gt;"&amp;$A206,実績!$AK$6:$AK$505,"○")&gt;0,1,0))</f>
        <v>0</v>
      </c>
      <c r="DK206" s="39" t="n">
        <f aca="false">IF(DK$4=0,0,IF(COUNTIFS(実績!$W$6:$W$505,DK$3,実績!$AI$6:$AI$505,"&lt;="&amp;$A206,実績!$AJ$6:$AJ$505,"&gt;"&amp;$A206,実績!$AK$6:$AK$505,"○")&gt;0,1,0))</f>
        <v>0</v>
      </c>
      <c r="DL206" s="39" t="n">
        <f aca="false">IF(DL$4=0,0,IF(COUNTIFS(実績!$W$6:$W$505,DL$3,実績!$AI$6:$AI$505,"&lt;="&amp;$A206,実績!$AJ$6:$AJ$505,"&gt;"&amp;$A206,実績!$AK$6:$AK$505,"○")&gt;0,1,0))</f>
        <v>0</v>
      </c>
      <c r="DM206" s="39" t="n">
        <f aca="false">IF(DM$4=0,0,IF(COUNTIFS(実績!$W$6:$W$505,DM$3,実績!$AI$6:$AI$505,"&lt;="&amp;$A206,実績!$AJ$6:$AJ$505,"&gt;"&amp;$A206,実績!$AK$6:$AK$505,"○")&gt;0,1,0))</f>
        <v>0</v>
      </c>
      <c r="DN206" s="39" t="n">
        <f aca="false">IF(DN$4=0,0,IF(COUNTIFS(実績!$W$6:$W$505,DN$3,実績!$AI$6:$AI$505,"&lt;="&amp;$A206,実績!$AJ$6:$AJ$505,"&gt;"&amp;$A206,実績!$AK$6:$AK$505,"○")&gt;0,1,0))</f>
        <v>0</v>
      </c>
      <c r="DO206" s="39" t="n">
        <f aca="false">IF(DO$4=0,0,IF(COUNTIFS(実績!$W$6:$W$505,DO$3,実績!$AI$6:$AI$505,"&lt;="&amp;$A206,実績!$AJ$6:$AJ$505,"&gt;"&amp;$A206,実績!$AK$6:$AK$505,"○")&gt;0,1,0))</f>
        <v>0</v>
      </c>
      <c r="DP206" s="39" t="n">
        <f aca="false">IF(DP$4=0,0,IF(COUNTIFS(実績!$W$6:$W$505,DP$3,実績!$AI$6:$AI$505,"&lt;="&amp;$A206,実績!$AJ$6:$AJ$505,"&gt;"&amp;$A206,実績!$AK$6:$AK$505,"○")&gt;0,1,0))</f>
        <v>0</v>
      </c>
      <c r="DQ206" s="39" t="n">
        <f aca="false">IF(DQ$4=0,0,IF(COUNTIFS(実績!$W$6:$W$505,DQ$3,実績!$AI$6:$AI$505,"&lt;="&amp;$A206,実績!$AJ$6:$AJ$505,"&gt;"&amp;$A206,実績!$AK$6:$AK$505,"○")&gt;0,1,0))</f>
        <v>0</v>
      </c>
      <c r="DR206" s="39" t="n">
        <f aca="false">IF(DR$4=0,0,IF(COUNTIFS(実績!$W$6:$W$505,DR$3,実績!$AI$6:$AI$505,"&lt;="&amp;$A206,実績!$AJ$6:$AJ$505,"&gt;"&amp;$A206,実績!$AK$6:$AK$505,"○")&gt;0,1,0))</f>
        <v>0</v>
      </c>
      <c r="DS206" s="39" t="n">
        <f aca="false">SUM(C206:DR206)</f>
        <v>0</v>
      </c>
      <c r="DT206" s="39" t="n">
        <f aca="false">SUMPRODUCT((実績!$C$6:$C$505="○")*ISNUMBER(実績!$AM$6:$AM$505)*(実績!$AM$6:$AM$505&lt;=$A206)*(実績!$AN$6:$AN$505&gt;$A206))</f>
        <v>0</v>
      </c>
      <c r="DU206" s="39" t="n">
        <f aca="false">SUMIF($C$2:$DR$2,"製鉄曳船",C206:DR206)</f>
        <v>0</v>
      </c>
      <c r="DV206" s="39" t="n">
        <f aca="false">SUMIF($C$2:$DR$2,"西日本海運",C206:DR206)</f>
        <v>0</v>
      </c>
    </row>
    <row r="207" customFormat="false" ht="15" hidden="false" customHeight="false" outlineLevel="0" collapsed="false">
      <c r="A207" s="0" t="n">
        <v>1005</v>
      </c>
      <c r="B207" s="38" t="n">
        <f aca="false">A207/1440</f>
        <v>0.697916666666667</v>
      </c>
      <c r="C207" s="39" t="n">
        <f aca="false">IF(C$4=0,0,IF(COUNTIFS(実績!$W$6:$W$505,C$3,実績!$AI$6:$AI$505,"&lt;="&amp;$A207,実績!$AJ$6:$AJ$505,"&gt;"&amp;$A207,実績!$AK$6:$AK$505,"○")&gt;0,1,0))</f>
        <v>0</v>
      </c>
      <c r="D207" s="39" t="n">
        <f aca="false">IF(D$4=0,0,IF(COUNTIFS(実績!$W$6:$W$505,D$3,実績!$AI$6:$AI$505,"&lt;="&amp;$A207,実績!$AJ$6:$AJ$505,"&gt;"&amp;$A207,実績!$AK$6:$AK$505,"○")&gt;0,1,0))</f>
        <v>0</v>
      </c>
      <c r="E207" s="39" t="n">
        <f aca="false">IF(E$4=0,0,IF(COUNTIFS(実績!$W$6:$W$505,E$3,実績!$AI$6:$AI$505,"&lt;="&amp;$A207,実績!$AJ$6:$AJ$505,"&gt;"&amp;$A207,実績!$AK$6:$AK$505,"○")&gt;0,1,0))</f>
        <v>0</v>
      </c>
      <c r="F207" s="39" t="n">
        <f aca="false">IF(F$4=0,0,IF(COUNTIFS(実績!$W$6:$W$505,F$3,実績!$AI$6:$AI$505,"&lt;="&amp;$A207,実績!$AJ$6:$AJ$505,"&gt;"&amp;$A207,実績!$AK$6:$AK$505,"○")&gt;0,1,0))</f>
        <v>0</v>
      </c>
      <c r="G207" s="39" t="n">
        <f aca="false">IF(G$4=0,0,IF(COUNTIFS(実績!$W$6:$W$505,G$3,実績!$AI$6:$AI$505,"&lt;="&amp;$A207,実績!$AJ$6:$AJ$505,"&gt;"&amp;$A207,実績!$AK$6:$AK$505,"○")&gt;0,1,0))</f>
        <v>0</v>
      </c>
      <c r="H207" s="39" t="n">
        <f aca="false">IF(H$4=0,0,IF(COUNTIFS(実績!$W$6:$W$505,H$3,実績!$AI$6:$AI$505,"&lt;="&amp;$A207,実績!$AJ$6:$AJ$505,"&gt;"&amp;$A207,実績!$AK$6:$AK$505,"○")&gt;0,1,0))</f>
        <v>0</v>
      </c>
      <c r="I207" s="39" t="n">
        <f aca="false">IF(I$4=0,0,IF(COUNTIFS(実績!$W$6:$W$505,I$3,実績!$AI$6:$AI$505,"&lt;="&amp;$A207,実績!$AJ$6:$AJ$505,"&gt;"&amp;$A207,実績!$AK$6:$AK$505,"○")&gt;0,1,0))</f>
        <v>0</v>
      </c>
      <c r="J207" s="39" t="n">
        <f aca="false">IF(J$4=0,0,IF(COUNTIFS(実績!$W$6:$W$505,J$3,実績!$AI$6:$AI$505,"&lt;="&amp;$A207,実績!$AJ$6:$AJ$505,"&gt;"&amp;$A207,実績!$AK$6:$AK$505,"○")&gt;0,1,0))</f>
        <v>0</v>
      </c>
      <c r="K207" s="39" t="n">
        <f aca="false">IF(K$4=0,0,IF(COUNTIFS(実績!$W$6:$W$505,K$3,実績!$AI$6:$AI$505,"&lt;="&amp;$A207,実績!$AJ$6:$AJ$505,"&gt;"&amp;$A207,実績!$AK$6:$AK$505,"○")&gt;0,1,0))</f>
        <v>0</v>
      </c>
      <c r="L207" s="39" t="n">
        <f aca="false">IF(L$4=0,0,IF(COUNTIFS(実績!$W$6:$W$505,L$3,実績!$AI$6:$AI$505,"&lt;="&amp;$A207,実績!$AJ$6:$AJ$505,"&gt;"&amp;$A207,実績!$AK$6:$AK$505,"○")&gt;0,1,0))</f>
        <v>0</v>
      </c>
      <c r="M207" s="39" t="n">
        <f aca="false">IF(M$4=0,0,IF(COUNTIFS(実績!$W$6:$W$505,M$3,実績!$AI$6:$AI$505,"&lt;="&amp;$A207,実績!$AJ$6:$AJ$505,"&gt;"&amp;$A207,実績!$AK$6:$AK$505,"○")&gt;0,1,0))</f>
        <v>0</v>
      </c>
      <c r="N207" s="39" t="n">
        <f aca="false">IF(N$4=0,0,IF(COUNTIFS(実績!$W$6:$W$505,N$3,実績!$AI$6:$AI$505,"&lt;="&amp;$A207,実績!$AJ$6:$AJ$505,"&gt;"&amp;$A207,実績!$AK$6:$AK$505,"○")&gt;0,1,0))</f>
        <v>0</v>
      </c>
      <c r="O207" s="39" t="n">
        <f aca="false">IF(O$4=0,0,IF(COUNTIFS(実績!$W$6:$W$505,O$3,実績!$AI$6:$AI$505,"&lt;="&amp;$A207,実績!$AJ$6:$AJ$505,"&gt;"&amp;$A207,実績!$AK$6:$AK$505,"○")&gt;0,1,0))</f>
        <v>0</v>
      </c>
      <c r="P207" s="39" t="n">
        <f aca="false">IF(P$4=0,0,IF(COUNTIFS(実績!$W$6:$W$505,P$3,実績!$AI$6:$AI$505,"&lt;="&amp;$A207,実績!$AJ$6:$AJ$505,"&gt;"&amp;$A207,実績!$AK$6:$AK$505,"○")&gt;0,1,0))</f>
        <v>0</v>
      </c>
      <c r="Q207" s="39" t="n">
        <f aca="false">IF(Q$4=0,0,IF(COUNTIFS(実績!$W$6:$W$505,Q$3,実績!$AI$6:$AI$505,"&lt;="&amp;$A207,実績!$AJ$6:$AJ$505,"&gt;"&amp;$A207,実績!$AK$6:$AK$505,"○")&gt;0,1,0))</f>
        <v>0</v>
      </c>
      <c r="R207" s="39" t="n">
        <f aca="false">IF(R$4=0,0,IF(COUNTIFS(実績!$W$6:$W$505,R$3,実績!$AI$6:$AI$505,"&lt;="&amp;$A207,実績!$AJ$6:$AJ$505,"&gt;"&amp;$A207,実績!$AK$6:$AK$505,"○")&gt;0,1,0))</f>
        <v>0</v>
      </c>
      <c r="S207" s="39" t="n">
        <f aca="false">IF(S$4=0,0,IF(COUNTIFS(実績!$W$6:$W$505,S$3,実績!$AI$6:$AI$505,"&lt;="&amp;$A207,実績!$AJ$6:$AJ$505,"&gt;"&amp;$A207,実績!$AK$6:$AK$505,"○")&gt;0,1,0))</f>
        <v>0</v>
      </c>
      <c r="T207" s="39" t="n">
        <f aca="false">IF(T$4=0,0,IF(COUNTIFS(実績!$W$6:$W$505,T$3,実績!$AI$6:$AI$505,"&lt;="&amp;$A207,実績!$AJ$6:$AJ$505,"&gt;"&amp;$A207,実績!$AK$6:$AK$505,"○")&gt;0,1,0))</f>
        <v>0</v>
      </c>
      <c r="U207" s="39" t="n">
        <f aca="false">IF(U$4=0,0,IF(COUNTIFS(実績!$W$6:$W$505,U$3,実績!$AI$6:$AI$505,"&lt;="&amp;$A207,実績!$AJ$6:$AJ$505,"&gt;"&amp;$A207,実績!$AK$6:$AK$505,"○")&gt;0,1,0))</f>
        <v>0</v>
      </c>
      <c r="V207" s="39" t="n">
        <f aca="false">IF(V$4=0,0,IF(COUNTIFS(実績!$W$6:$W$505,V$3,実績!$AI$6:$AI$505,"&lt;="&amp;$A207,実績!$AJ$6:$AJ$505,"&gt;"&amp;$A207,実績!$AK$6:$AK$505,"○")&gt;0,1,0))</f>
        <v>0</v>
      </c>
      <c r="W207" s="39" t="n">
        <f aca="false">IF(W$4=0,0,IF(COUNTIFS(実績!$W$6:$W$505,W$3,実績!$AI$6:$AI$505,"&lt;="&amp;$A207,実績!$AJ$6:$AJ$505,"&gt;"&amp;$A207,実績!$AK$6:$AK$505,"○")&gt;0,1,0))</f>
        <v>0</v>
      </c>
      <c r="X207" s="39" t="n">
        <f aca="false">IF(X$4=0,0,IF(COUNTIFS(実績!$W$6:$W$505,X$3,実績!$AI$6:$AI$505,"&lt;="&amp;$A207,実績!$AJ$6:$AJ$505,"&gt;"&amp;$A207,実績!$AK$6:$AK$505,"○")&gt;0,1,0))</f>
        <v>0</v>
      </c>
      <c r="Y207" s="39" t="n">
        <f aca="false">IF(Y$4=0,0,IF(COUNTIFS(実績!$W$6:$W$505,Y$3,実績!$AI$6:$AI$505,"&lt;="&amp;$A207,実績!$AJ$6:$AJ$505,"&gt;"&amp;$A207,実績!$AK$6:$AK$505,"○")&gt;0,1,0))</f>
        <v>0</v>
      </c>
      <c r="Z207" s="39" t="n">
        <f aca="false">IF(Z$4=0,0,IF(COUNTIFS(実績!$W$6:$W$505,Z$3,実績!$AI$6:$AI$505,"&lt;="&amp;$A207,実績!$AJ$6:$AJ$505,"&gt;"&amp;$A207,実績!$AK$6:$AK$505,"○")&gt;0,1,0))</f>
        <v>0</v>
      </c>
      <c r="AA207" s="39" t="n">
        <f aca="false">IF(AA$4=0,0,IF(COUNTIFS(実績!$W$6:$W$505,AA$3,実績!$AI$6:$AI$505,"&lt;="&amp;$A207,実績!$AJ$6:$AJ$505,"&gt;"&amp;$A207,実績!$AK$6:$AK$505,"○")&gt;0,1,0))</f>
        <v>0</v>
      </c>
      <c r="AB207" s="39" t="n">
        <f aca="false">IF(AB$4=0,0,IF(COUNTIFS(実績!$W$6:$W$505,AB$3,実績!$AI$6:$AI$505,"&lt;="&amp;$A207,実績!$AJ$6:$AJ$505,"&gt;"&amp;$A207,実績!$AK$6:$AK$505,"○")&gt;0,1,0))</f>
        <v>0</v>
      </c>
      <c r="AC207" s="39" t="n">
        <f aca="false">IF(AC$4=0,0,IF(COUNTIFS(実績!$W$6:$W$505,AC$3,実績!$AI$6:$AI$505,"&lt;="&amp;$A207,実績!$AJ$6:$AJ$505,"&gt;"&amp;$A207,実績!$AK$6:$AK$505,"○")&gt;0,1,0))</f>
        <v>0</v>
      </c>
      <c r="AD207" s="39" t="n">
        <f aca="false">IF(AD$4=0,0,IF(COUNTIFS(実績!$W$6:$W$505,AD$3,実績!$AI$6:$AI$505,"&lt;="&amp;$A207,実績!$AJ$6:$AJ$505,"&gt;"&amp;$A207,実績!$AK$6:$AK$505,"○")&gt;0,1,0))</f>
        <v>0</v>
      </c>
      <c r="AE207" s="39" t="n">
        <f aca="false">IF(AE$4=0,0,IF(COUNTIFS(実績!$W$6:$W$505,AE$3,実績!$AI$6:$AI$505,"&lt;="&amp;$A207,実績!$AJ$6:$AJ$505,"&gt;"&amp;$A207,実績!$AK$6:$AK$505,"○")&gt;0,1,0))</f>
        <v>0</v>
      </c>
      <c r="AF207" s="39" t="n">
        <f aca="false">IF(AF$4=0,0,IF(COUNTIFS(実績!$W$6:$W$505,AF$3,実績!$AI$6:$AI$505,"&lt;="&amp;$A207,実績!$AJ$6:$AJ$505,"&gt;"&amp;$A207,実績!$AK$6:$AK$505,"○")&gt;0,1,0))</f>
        <v>0</v>
      </c>
      <c r="AG207" s="39" t="n">
        <f aca="false">IF(AG$4=0,0,IF(COUNTIFS(実績!$W$6:$W$505,AG$3,実績!$AI$6:$AI$505,"&lt;="&amp;$A207,実績!$AJ$6:$AJ$505,"&gt;"&amp;$A207,実績!$AK$6:$AK$505,"○")&gt;0,1,0))</f>
        <v>0</v>
      </c>
      <c r="AH207" s="39" t="n">
        <f aca="false">IF(AH$4=0,0,IF(COUNTIFS(実績!$W$6:$W$505,AH$3,実績!$AI$6:$AI$505,"&lt;="&amp;$A207,実績!$AJ$6:$AJ$505,"&gt;"&amp;$A207,実績!$AK$6:$AK$505,"○")&gt;0,1,0))</f>
        <v>0</v>
      </c>
      <c r="AI207" s="39" t="n">
        <f aca="false">IF(AI$4=0,0,IF(COUNTIFS(実績!$W$6:$W$505,AI$3,実績!$AI$6:$AI$505,"&lt;="&amp;$A207,実績!$AJ$6:$AJ$505,"&gt;"&amp;$A207,実績!$AK$6:$AK$505,"○")&gt;0,1,0))</f>
        <v>0</v>
      </c>
      <c r="AJ207" s="39" t="n">
        <f aca="false">IF(AJ$4=0,0,IF(COUNTIFS(実績!$W$6:$W$505,AJ$3,実績!$AI$6:$AI$505,"&lt;="&amp;$A207,実績!$AJ$6:$AJ$505,"&gt;"&amp;$A207,実績!$AK$6:$AK$505,"○")&gt;0,1,0))</f>
        <v>0</v>
      </c>
      <c r="AK207" s="39" t="n">
        <f aca="false">IF(AK$4=0,0,IF(COUNTIFS(実績!$W$6:$W$505,AK$3,実績!$AI$6:$AI$505,"&lt;="&amp;$A207,実績!$AJ$6:$AJ$505,"&gt;"&amp;$A207,実績!$AK$6:$AK$505,"○")&gt;0,1,0))</f>
        <v>0</v>
      </c>
      <c r="AL207" s="39" t="n">
        <f aca="false">IF(AL$4=0,0,IF(COUNTIFS(実績!$W$6:$W$505,AL$3,実績!$AI$6:$AI$505,"&lt;="&amp;$A207,実績!$AJ$6:$AJ$505,"&gt;"&amp;$A207,実績!$AK$6:$AK$505,"○")&gt;0,1,0))</f>
        <v>0</v>
      </c>
      <c r="AM207" s="39" t="n">
        <f aca="false">IF(AM$4=0,0,IF(COUNTIFS(実績!$W$6:$W$505,AM$3,実績!$AI$6:$AI$505,"&lt;="&amp;$A207,実績!$AJ$6:$AJ$505,"&gt;"&amp;$A207,実績!$AK$6:$AK$505,"○")&gt;0,1,0))</f>
        <v>0</v>
      </c>
      <c r="AN207" s="39" t="n">
        <f aca="false">IF(AN$4=0,0,IF(COUNTIFS(実績!$W$6:$W$505,AN$3,実績!$AI$6:$AI$505,"&lt;="&amp;$A207,実績!$AJ$6:$AJ$505,"&gt;"&amp;$A207,実績!$AK$6:$AK$505,"○")&gt;0,1,0))</f>
        <v>0</v>
      </c>
      <c r="AO207" s="39" t="n">
        <f aca="false">IF(AO$4=0,0,IF(COUNTIFS(実績!$W$6:$W$505,AO$3,実績!$AI$6:$AI$505,"&lt;="&amp;$A207,実績!$AJ$6:$AJ$505,"&gt;"&amp;$A207,実績!$AK$6:$AK$505,"○")&gt;0,1,0))</f>
        <v>0</v>
      </c>
      <c r="AP207" s="39" t="n">
        <f aca="false">IF(AP$4=0,0,IF(COUNTIFS(実績!$W$6:$W$505,AP$3,実績!$AI$6:$AI$505,"&lt;="&amp;$A207,実績!$AJ$6:$AJ$505,"&gt;"&amp;$A207,実績!$AK$6:$AK$505,"○")&gt;0,1,0))</f>
        <v>0</v>
      </c>
      <c r="AQ207" s="39" t="n">
        <f aca="false">IF(AQ$4=0,0,IF(COUNTIFS(実績!$W$6:$W$505,AQ$3,実績!$AI$6:$AI$505,"&lt;="&amp;$A207,実績!$AJ$6:$AJ$505,"&gt;"&amp;$A207,実績!$AK$6:$AK$505,"○")&gt;0,1,0))</f>
        <v>0</v>
      </c>
      <c r="AR207" s="39" t="n">
        <f aca="false">IF(AR$4=0,0,IF(COUNTIFS(実績!$W$6:$W$505,AR$3,実績!$AI$6:$AI$505,"&lt;="&amp;$A207,実績!$AJ$6:$AJ$505,"&gt;"&amp;$A207,実績!$AK$6:$AK$505,"○")&gt;0,1,0))</f>
        <v>0</v>
      </c>
      <c r="AS207" s="39" t="n">
        <f aca="false">IF(AS$4=0,0,IF(COUNTIFS(実績!$W$6:$W$505,AS$3,実績!$AI$6:$AI$505,"&lt;="&amp;$A207,実績!$AJ$6:$AJ$505,"&gt;"&amp;$A207,実績!$AK$6:$AK$505,"○")&gt;0,1,0))</f>
        <v>0</v>
      </c>
      <c r="AT207" s="39" t="n">
        <f aca="false">IF(AT$4=0,0,IF(COUNTIFS(実績!$W$6:$W$505,AT$3,実績!$AI$6:$AI$505,"&lt;="&amp;$A207,実績!$AJ$6:$AJ$505,"&gt;"&amp;$A207,実績!$AK$6:$AK$505,"○")&gt;0,1,0))</f>
        <v>0</v>
      </c>
      <c r="AU207" s="39" t="n">
        <f aca="false">IF(AU$4=0,0,IF(COUNTIFS(実績!$W$6:$W$505,AU$3,実績!$AI$6:$AI$505,"&lt;="&amp;$A207,実績!$AJ$6:$AJ$505,"&gt;"&amp;$A207,実績!$AK$6:$AK$505,"○")&gt;0,1,0))</f>
        <v>0</v>
      </c>
      <c r="AV207" s="39" t="n">
        <f aca="false">IF(AV$4=0,0,IF(COUNTIFS(実績!$W$6:$W$505,AV$3,実績!$AI$6:$AI$505,"&lt;="&amp;$A207,実績!$AJ$6:$AJ$505,"&gt;"&amp;$A207,実績!$AK$6:$AK$505,"○")&gt;0,1,0))</f>
        <v>0</v>
      </c>
      <c r="AW207" s="39" t="n">
        <f aca="false">IF(AW$4=0,0,IF(COUNTIFS(実績!$W$6:$W$505,AW$3,実績!$AI$6:$AI$505,"&lt;="&amp;$A207,実績!$AJ$6:$AJ$505,"&gt;"&amp;$A207,実績!$AK$6:$AK$505,"○")&gt;0,1,0))</f>
        <v>0</v>
      </c>
      <c r="AX207" s="39" t="n">
        <f aca="false">IF(AX$4=0,0,IF(COUNTIFS(実績!$W$6:$W$505,AX$3,実績!$AI$6:$AI$505,"&lt;="&amp;$A207,実績!$AJ$6:$AJ$505,"&gt;"&amp;$A207,実績!$AK$6:$AK$505,"○")&gt;0,1,0))</f>
        <v>0</v>
      </c>
      <c r="AY207" s="39" t="n">
        <f aca="false">IF(AY$4=0,0,IF(COUNTIFS(実績!$W$6:$W$505,AY$3,実績!$AI$6:$AI$505,"&lt;="&amp;$A207,実績!$AJ$6:$AJ$505,"&gt;"&amp;$A207,実績!$AK$6:$AK$505,"○")&gt;0,1,0))</f>
        <v>0</v>
      </c>
      <c r="AZ207" s="39" t="n">
        <f aca="false">IF(AZ$4=0,0,IF(COUNTIFS(実績!$W$6:$W$505,AZ$3,実績!$AI$6:$AI$505,"&lt;="&amp;$A207,実績!$AJ$6:$AJ$505,"&gt;"&amp;$A207,実績!$AK$6:$AK$505,"○")&gt;0,1,0))</f>
        <v>0</v>
      </c>
      <c r="BA207" s="39" t="n">
        <f aca="false">IF(BA$4=0,0,IF(COUNTIFS(実績!$W$6:$W$505,BA$3,実績!$AI$6:$AI$505,"&lt;="&amp;$A207,実績!$AJ$6:$AJ$505,"&gt;"&amp;$A207,実績!$AK$6:$AK$505,"○")&gt;0,1,0))</f>
        <v>0</v>
      </c>
      <c r="BB207" s="39" t="n">
        <f aca="false">IF(BB$4=0,0,IF(COUNTIFS(実績!$W$6:$W$505,BB$3,実績!$AI$6:$AI$505,"&lt;="&amp;$A207,実績!$AJ$6:$AJ$505,"&gt;"&amp;$A207,実績!$AK$6:$AK$505,"○")&gt;0,1,0))</f>
        <v>0</v>
      </c>
      <c r="BC207" s="39" t="n">
        <f aca="false">IF(BC$4=0,0,IF(COUNTIFS(実績!$W$6:$W$505,BC$3,実績!$AI$6:$AI$505,"&lt;="&amp;$A207,実績!$AJ$6:$AJ$505,"&gt;"&amp;$A207,実績!$AK$6:$AK$505,"○")&gt;0,1,0))</f>
        <v>0</v>
      </c>
      <c r="BD207" s="39" t="n">
        <f aca="false">IF(BD$4=0,0,IF(COUNTIFS(実績!$W$6:$W$505,BD$3,実績!$AI$6:$AI$505,"&lt;="&amp;$A207,実績!$AJ$6:$AJ$505,"&gt;"&amp;$A207,実績!$AK$6:$AK$505,"○")&gt;0,1,0))</f>
        <v>0</v>
      </c>
      <c r="BE207" s="39" t="n">
        <f aca="false">IF(BE$4=0,0,IF(COUNTIFS(実績!$W$6:$W$505,BE$3,実績!$AI$6:$AI$505,"&lt;="&amp;$A207,実績!$AJ$6:$AJ$505,"&gt;"&amp;$A207,実績!$AK$6:$AK$505,"○")&gt;0,1,0))</f>
        <v>0</v>
      </c>
      <c r="BF207" s="39" t="n">
        <f aca="false">IF(BF$4=0,0,IF(COUNTIFS(実績!$W$6:$W$505,BF$3,実績!$AI$6:$AI$505,"&lt;="&amp;$A207,実績!$AJ$6:$AJ$505,"&gt;"&amp;$A207,実績!$AK$6:$AK$505,"○")&gt;0,1,0))</f>
        <v>0</v>
      </c>
      <c r="BG207" s="39" t="n">
        <f aca="false">IF(BG$4=0,0,IF(COUNTIFS(実績!$W$6:$W$505,BG$3,実績!$AI$6:$AI$505,"&lt;="&amp;$A207,実績!$AJ$6:$AJ$505,"&gt;"&amp;$A207,実績!$AK$6:$AK$505,"○")&gt;0,1,0))</f>
        <v>0</v>
      </c>
      <c r="BH207" s="39" t="n">
        <f aca="false">IF(BH$4=0,0,IF(COUNTIFS(実績!$W$6:$W$505,BH$3,実績!$AI$6:$AI$505,"&lt;="&amp;$A207,実績!$AJ$6:$AJ$505,"&gt;"&amp;$A207,実績!$AK$6:$AK$505,"○")&gt;0,1,0))</f>
        <v>0</v>
      </c>
      <c r="BI207" s="39" t="n">
        <f aca="false">IF(BI$4=0,0,IF(COUNTIFS(実績!$W$6:$W$505,BI$3,実績!$AI$6:$AI$505,"&lt;="&amp;$A207,実績!$AJ$6:$AJ$505,"&gt;"&amp;$A207,実績!$AK$6:$AK$505,"○")&gt;0,1,0))</f>
        <v>0</v>
      </c>
      <c r="BJ207" s="39" t="n">
        <f aca="false">IF(BJ$4=0,0,IF(COUNTIFS(実績!$W$6:$W$505,BJ$3,実績!$AI$6:$AI$505,"&lt;="&amp;$A207,実績!$AJ$6:$AJ$505,"&gt;"&amp;$A207,実績!$AK$6:$AK$505,"○")&gt;0,1,0))</f>
        <v>0</v>
      </c>
      <c r="BK207" s="39" t="n">
        <f aca="false">IF(BK$4=0,0,IF(COUNTIFS(実績!$W$6:$W$505,BK$3,実績!$AI$6:$AI$505,"&lt;="&amp;$A207,実績!$AJ$6:$AJ$505,"&gt;"&amp;$A207,実績!$AK$6:$AK$505,"○")&gt;0,1,0))</f>
        <v>0</v>
      </c>
      <c r="BL207" s="39" t="n">
        <f aca="false">IF(BL$4=0,0,IF(COUNTIFS(実績!$W$6:$W$505,BL$3,実績!$AI$6:$AI$505,"&lt;="&amp;$A207,実績!$AJ$6:$AJ$505,"&gt;"&amp;$A207,実績!$AK$6:$AK$505,"○")&gt;0,1,0))</f>
        <v>0</v>
      </c>
      <c r="BM207" s="39" t="n">
        <f aca="false">IF(BM$4=0,0,IF(COUNTIFS(実績!$W$6:$W$505,BM$3,実績!$AI$6:$AI$505,"&lt;="&amp;$A207,実績!$AJ$6:$AJ$505,"&gt;"&amp;$A207,実績!$AK$6:$AK$505,"○")&gt;0,1,0))</f>
        <v>0</v>
      </c>
      <c r="BN207" s="39" t="n">
        <f aca="false">IF(BN$4=0,0,IF(COUNTIFS(実績!$W$6:$W$505,BN$3,実績!$AI$6:$AI$505,"&lt;="&amp;$A207,実績!$AJ$6:$AJ$505,"&gt;"&amp;$A207,実績!$AK$6:$AK$505,"○")&gt;0,1,0))</f>
        <v>0</v>
      </c>
      <c r="BO207" s="39" t="n">
        <f aca="false">IF(BO$4=0,0,IF(COUNTIFS(実績!$W$6:$W$505,BO$3,実績!$AI$6:$AI$505,"&lt;="&amp;$A207,実績!$AJ$6:$AJ$505,"&gt;"&amp;$A207,実績!$AK$6:$AK$505,"○")&gt;0,1,0))</f>
        <v>0</v>
      </c>
      <c r="BP207" s="39" t="n">
        <f aca="false">IF(BP$4=0,0,IF(COUNTIFS(実績!$W$6:$W$505,BP$3,実績!$AI$6:$AI$505,"&lt;="&amp;$A207,実績!$AJ$6:$AJ$505,"&gt;"&amp;$A207,実績!$AK$6:$AK$505,"○")&gt;0,1,0))</f>
        <v>0</v>
      </c>
      <c r="BQ207" s="39" t="n">
        <f aca="false">IF(BQ$4=0,0,IF(COUNTIFS(実績!$W$6:$W$505,BQ$3,実績!$AI$6:$AI$505,"&lt;="&amp;$A207,実績!$AJ$6:$AJ$505,"&gt;"&amp;$A207,実績!$AK$6:$AK$505,"○")&gt;0,1,0))</f>
        <v>0</v>
      </c>
      <c r="BR207" s="39" t="n">
        <f aca="false">IF(BR$4=0,0,IF(COUNTIFS(実績!$W$6:$W$505,BR$3,実績!$AI$6:$AI$505,"&lt;="&amp;$A207,実績!$AJ$6:$AJ$505,"&gt;"&amp;$A207,実績!$AK$6:$AK$505,"○")&gt;0,1,0))</f>
        <v>0</v>
      </c>
      <c r="BS207" s="39" t="n">
        <f aca="false">IF(BS$4=0,0,IF(COUNTIFS(実績!$W$6:$W$505,BS$3,実績!$AI$6:$AI$505,"&lt;="&amp;$A207,実績!$AJ$6:$AJ$505,"&gt;"&amp;$A207,実績!$AK$6:$AK$505,"○")&gt;0,1,0))</f>
        <v>0</v>
      </c>
      <c r="BT207" s="39" t="n">
        <f aca="false">IF(BT$4=0,0,IF(COUNTIFS(実績!$W$6:$W$505,BT$3,実績!$AI$6:$AI$505,"&lt;="&amp;$A207,実績!$AJ$6:$AJ$505,"&gt;"&amp;$A207,実績!$AK$6:$AK$505,"○")&gt;0,1,0))</f>
        <v>0</v>
      </c>
      <c r="BU207" s="39" t="n">
        <f aca="false">IF(BU$4=0,0,IF(COUNTIFS(実績!$W$6:$W$505,BU$3,実績!$AI$6:$AI$505,"&lt;="&amp;$A207,実績!$AJ$6:$AJ$505,"&gt;"&amp;$A207,実績!$AK$6:$AK$505,"○")&gt;0,1,0))</f>
        <v>0</v>
      </c>
      <c r="BV207" s="39" t="n">
        <f aca="false">IF(BV$4=0,0,IF(COUNTIFS(実績!$W$6:$W$505,BV$3,実績!$AI$6:$AI$505,"&lt;="&amp;$A207,実績!$AJ$6:$AJ$505,"&gt;"&amp;$A207,実績!$AK$6:$AK$505,"○")&gt;0,1,0))</f>
        <v>0</v>
      </c>
      <c r="BW207" s="39" t="n">
        <f aca="false">IF(BW$4=0,0,IF(COUNTIFS(実績!$W$6:$W$505,BW$3,実績!$AI$6:$AI$505,"&lt;="&amp;$A207,実績!$AJ$6:$AJ$505,"&gt;"&amp;$A207,実績!$AK$6:$AK$505,"○")&gt;0,1,0))</f>
        <v>0</v>
      </c>
      <c r="BX207" s="39" t="n">
        <f aca="false">IF(BX$4=0,0,IF(COUNTIFS(実績!$W$6:$W$505,BX$3,実績!$AI$6:$AI$505,"&lt;="&amp;$A207,実績!$AJ$6:$AJ$505,"&gt;"&amp;$A207,実績!$AK$6:$AK$505,"○")&gt;0,1,0))</f>
        <v>0</v>
      </c>
      <c r="BY207" s="39" t="n">
        <f aca="false">IF(BY$4=0,0,IF(COUNTIFS(実績!$W$6:$W$505,BY$3,実績!$AI$6:$AI$505,"&lt;="&amp;$A207,実績!$AJ$6:$AJ$505,"&gt;"&amp;$A207,実績!$AK$6:$AK$505,"○")&gt;0,1,0))</f>
        <v>0</v>
      </c>
      <c r="BZ207" s="39" t="n">
        <f aca="false">IF(BZ$4=0,0,IF(COUNTIFS(実績!$W$6:$W$505,BZ$3,実績!$AI$6:$AI$505,"&lt;="&amp;$A207,実績!$AJ$6:$AJ$505,"&gt;"&amp;$A207,実績!$AK$6:$AK$505,"○")&gt;0,1,0))</f>
        <v>0</v>
      </c>
      <c r="CA207" s="39" t="n">
        <f aca="false">IF(CA$4=0,0,IF(COUNTIFS(実績!$W$6:$W$505,CA$3,実績!$AI$6:$AI$505,"&lt;="&amp;$A207,実績!$AJ$6:$AJ$505,"&gt;"&amp;$A207,実績!$AK$6:$AK$505,"○")&gt;0,1,0))</f>
        <v>0</v>
      </c>
      <c r="CB207" s="39" t="n">
        <f aca="false">IF(CB$4=0,0,IF(COUNTIFS(実績!$W$6:$W$505,CB$3,実績!$AI$6:$AI$505,"&lt;="&amp;$A207,実績!$AJ$6:$AJ$505,"&gt;"&amp;$A207,実績!$AK$6:$AK$505,"○")&gt;0,1,0))</f>
        <v>0</v>
      </c>
      <c r="CC207" s="39" t="n">
        <f aca="false">IF(CC$4=0,0,IF(COUNTIFS(実績!$W$6:$W$505,CC$3,実績!$AI$6:$AI$505,"&lt;="&amp;$A207,実績!$AJ$6:$AJ$505,"&gt;"&amp;$A207,実績!$AK$6:$AK$505,"○")&gt;0,1,0))</f>
        <v>0</v>
      </c>
      <c r="CD207" s="39" t="n">
        <f aca="false">IF(CD$4=0,0,IF(COUNTIFS(実績!$W$6:$W$505,CD$3,実績!$AI$6:$AI$505,"&lt;="&amp;$A207,実績!$AJ$6:$AJ$505,"&gt;"&amp;$A207,実績!$AK$6:$AK$505,"○")&gt;0,1,0))</f>
        <v>0</v>
      </c>
      <c r="CE207" s="39" t="n">
        <f aca="false">IF(CE$4=0,0,IF(COUNTIFS(実績!$W$6:$W$505,CE$3,実績!$AI$6:$AI$505,"&lt;="&amp;$A207,実績!$AJ$6:$AJ$505,"&gt;"&amp;$A207,実績!$AK$6:$AK$505,"○")&gt;0,1,0))</f>
        <v>0</v>
      </c>
      <c r="CF207" s="39" t="n">
        <f aca="false">IF(CF$4=0,0,IF(COUNTIFS(実績!$W$6:$W$505,CF$3,実績!$AI$6:$AI$505,"&lt;="&amp;$A207,実績!$AJ$6:$AJ$505,"&gt;"&amp;$A207,実績!$AK$6:$AK$505,"○")&gt;0,1,0))</f>
        <v>0</v>
      </c>
      <c r="CG207" s="39" t="n">
        <f aca="false">IF(CG$4=0,0,IF(COUNTIFS(実績!$W$6:$W$505,CG$3,実績!$AI$6:$AI$505,"&lt;="&amp;$A207,実績!$AJ$6:$AJ$505,"&gt;"&amp;$A207,実績!$AK$6:$AK$505,"○")&gt;0,1,0))</f>
        <v>0</v>
      </c>
      <c r="CH207" s="39" t="n">
        <f aca="false">IF(CH$4=0,0,IF(COUNTIFS(実績!$W$6:$W$505,CH$3,実績!$AI$6:$AI$505,"&lt;="&amp;$A207,実績!$AJ$6:$AJ$505,"&gt;"&amp;$A207,実績!$AK$6:$AK$505,"○")&gt;0,1,0))</f>
        <v>0</v>
      </c>
      <c r="CI207" s="39" t="n">
        <f aca="false">IF(CI$4=0,0,IF(COUNTIFS(実績!$W$6:$W$505,CI$3,実績!$AI$6:$AI$505,"&lt;="&amp;$A207,実績!$AJ$6:$AJ$505,"&gt;"&amp;$A207,実績!$AK$6:$AK$505,"○")&gt;0,1,0))</f>
        <v>0</v>
      </c>
      <c r="CJ207" s="39" t="n">
        <f aca="false">IF(CJ$4=0,0,IF(COUNTIFS(実績!$W$6:$W$505,CJ$3,実績!$AI$6:$AI$505,"&lt;="&amp;$A207,実績!$AJ$6:$AJ$505,"&gt;"&amp;$A207,実績!$AK$6:$AK$505,"○")&gt;0,1,0))</f>
        <v>0</v>
      </c>
      <c r="CK207" s="39" t="n">
        <f aca="false">IF(CK$4=0,0,IF(COUNTIFS(実績!$W$6:$W$505,CK$3,実績!$AI$6:$AI$505,"&lt;="&amp;$A207,実績!$AJ$6:$AJ$505,"&gt;"&amp;$A207,実績!$AK$6:$AK$505,"○")&gt;0,1,0))</f>
        <v>0</v>
      </c>
      <c r="CL207" s="39" t="n">
        <f aca="false">IF(CL$4=0,0,IF(COUNTIFS(実績!$W$6:$W$505,CL$3,実績!$AI$6:$AI$505,"&lt;="&amp;$A207,実績!$AJ$6:$AJ$505,"&gt;"&amp;$A207,実績!$AK$6:$AK$505,"○")&gt;0,1,0))</f>
        <v>0</v>
      </c>
      <c r="CM207" s="39" t="n">
        <f aca="false">IF(CM$4=0,0,IF(COUNTIFS(実績!$W$6:$W$505,CM$3,実績!$AI$6:$AI$505,"&lt;="&amp;$A207,実績!$AJ$6:$AJ$505,"&gt;"&amp;$A207,実績!$AK$6:$AK$505,"○")&gt;0,1,0))</f>
        <v>0</v>
      </c>
      <c r="CN207" s="39" t="n">
        <f aca="false">IF(CN$4=0,0,IF(COUNTIFS(実績!$W$6:$W$505,CN$3,実績!$AI$6:$AI$505,"&lt;="&amp;$A207,実績!$AJ$6:$AJ$505,"&gt;"&amp;$A207,実績!$AK$6:$AK$505,"○")&gt;0,1,0))</f>
        <v>0</v>
      </c>
      <c r="CO207" s="39" t="n">
        <f aca="false">IF(CO$4=0,0,IF(COUNTIFS(実績!$W$6:$W$505,CO$3,実績!$AI$6:$AI$505,"&lt;="&amp;$A207,実績!$AJ$6:$AJ$505,"&gt;"&amp;$A207,実績!$AK$6:$AK$505,"○")&gt;0,1,0))</f>
        <v>0</v>
      </c>
      <c r="CP207" s="39" t="n">
        <f aca="false">IF(CP$4=0,0,IF(COUNTIFS(実績!$W$6:$W$505,CP$3,実績!$AI$6:$AI$505,"&lt;="&amp;$A207,実績!$AJ$6:$AJ$505,"&gt;"&amp;$A207,実績!$AK$6:$AK$505,"○")&gt;0,1,0))</f>
        <v>0</v>
      </c>
      <c r="CQ207" s="39" t="n">
        <f aca="false">IF(CQ$4=0,0,IF(COUNTIFS(実績!$W$6:$W$505,CQ$3,実績!$AI$6:$AI$505,"&lt;="&amp;$A207,実績!$AJ$6:$AJ$505,"&gt;"&amp;$A207,実績!$AK$6:$AK$505,"○")&gt;0,1,0))</f>
        <v>0</v>
      </c>
      <c r="CR207" s="39" t="n">
        <f aca="false">IF(CR$4=0,0,IF(COUNTIFS(実績!$W$6:$W$505,CR$3,実績!$AI$6:$AI$505,"&lt;="&amp;$A207,実績!$AJ$6:$AJ$505,"&gt;"&amp;$A207,実績!$AK$6:$AK$505,"○")&gt;0,1,0))</f>
        <v>0</v>
      </c>
      <c r="CS207" s="39" t="n">
        <f aca="false">IF(CS$4=0,0,IF(COUNTIFS(実績!$W$6:$W$505,CS$3,実績!$AI$6:$AI$505,"&lt;="&amp;$A207,実績!$AJ$6:$AJ$505,"&gt;"&amp;$A207,実績!$AK$6:$AK$505,"○")&gt;0,1,0))</f>
        <v>0</v>
      </c>
      <c r="CT207" s="39" t="n">
        <f aca="false">IF(CT$4=0,0,IF(COUNTIFS(実績!$W$6:$W$505,CT$3,実績!$AI$6:$AI$505,"&lt;="&amp;$A207,実績!$AJ$6:$AJ$505,"&gt;"&amp;$A207,実績!$AK$6:$AK$505,"○")&gt;0,1,0))</f>
        <v>0</v>
      </c>
      <c r="CU207" s="39" t="n">
        <f aca="false">IF(CU$4=0,0,IF(COUNTIFS(実績!$W$6:$W$505,CU$3,実績!$AI$6:$AI$505,"&lt;="&amp;$A207,実績!$AJ$6:$AJ$505,"&gt;"&amp;$A207,実績!$AK$6:$AK$505,"○")&gt;0,1,0))</f>
        <v>0</v>
      </c>
      <c r="CV207" s="39" t="n">
        <f aca="false">IF(CV$4=0,0,IF(COUNTIFS(実績!$W$6:$W$505,CV$3,実績!$AI$6:$AI$505,"&lt;="&amp;$A207,実績!$AJ$6:$AJ$505,"&gt;"&amp;$A207,実績!$AK$6:$AK$505,"○")&gt;0,1,0))</f>
        <v>0</v>
      </c>
      <c r="CW207" s="39" t="n">
        <f aca="false">IF(CW$4=0,0,IF(COUNTIFS(実績!$W$6:$W$505,CW$3,実績!$AI$6:$AI$505,"&lt;="&amp;$A207,実績!$AJ$6:$AJ$505,"&gt;"&amp;$A207,実績!$AK$6:$AK$505,"○")&gt;0,1,0))</f>
        <v>0</v>
      </c>
      <c r="CX207" s="39" t="n">
        <f aca="false">IF(CX$4=0,0,IF(COUNTIFS(実績!$W$6:$W$505,CX$3,実績!$AI$6:$AI$505,"&lt;="&amp;$A207,実績!$AJ$6:$AJ$505,"&gt;"&amp;$A207,実績!$AK$6:$AK$505,"○")&gt;0,1,0))</f>
        <v>0</v>
      </c>
      <c r="CY207" s="39" t="n">
        <f aca="false">IF(CY$4=0,0,IF(COUNTIFS(実績!$W$6:$W$505,CY$3,実績!$AI$6:$AI$505,"&lt;="&amp;$A207,実績!$AJ$6:$AJ$505,"&gt;"&amp;$A207,実績!$AK$6:$AK$505,"○")&gt;0,1,0))</f>
        <v>0</v>
      </c>
      <c r="CZ207" s="39" t="n">
        <f aca="false">IF(CZ$4=0,0,IF(COUNTIFS(実績!$W$6:$W$505,CZ$3,実績!$AI$6:$AI$505,"&lt;="&amp;$A207,実績!$AJ$6:$AJ$505,"&gt;"&amp;$A207,実績!$AK$6:$AK$505,"○")&gt;0,1,0))</f>
        <v>0</v>
      </c>
      <c r="DA207" s="39" t="n">
        <f aca="false">IF(DA$4=0,0,IF(COUNTIFS(実績!$W$6:$W$505,DA$3,実績!$AI$6:$AI$505,"&lt;="&amp;$A207,実績!$AJ$6:$AJ$505,"&gt;"&amp;$A207,実績!$AK$6:$AK$505,"○")&gt;0,1,0))</f>
        <v>0</v>
      </c>
      <c r="DB207" s="39" t="n">
        <f aca="false">IF(DB$4=0,0,IF(COUNTIFS(実績!$W$6:$W$505,DB$3,実績!$AI$6:$AI$505,"&lt;="&amp;$A207,実績!$AJ$6:$AJ$505,"&gt;"&amp;$A207,実績!$AK$6:$AK$505,"○")&gt;0,1,0))</f>
        <v>0</v>
      </c>
      <c r="DC207" s="39" t="n">
        <f aca="false">IF(DC$4=0,0,IF(COUNTIFS(実績!$W$6:$W$505,DC$3,実績!$AI$6:$AI$505,"&lt;="&amp;$A207,実績!$AJ$6:$AJ$505,"&gt;"&amp;$A207,実績!$AK$6:$AK$505,"○")&gt;0,1,0))</f>
        <v>0</v>
      </c>
      <c r="DD207" s="39" t="n">
        <f aca="false">IF(DD$4=0,0,IF(COUNTIFS(実績!$W$6:$W$505,DD$3,実績!$AI$6:$AI$505,"&lt;="&amp;$A207,実績!$AJ$6:$AJ$505,"&gt;"&amp;$A207,実績!$AK$6:$AK$505,"○")&gt;0,1,0))</f>
        <v>0</v>
      </c>
      <c r="DE207" s="39" t="n">
        <f aca="false">IF(DE$4=0,0,IF(COUNTIFS(実績!$W$6:$W$505,DE$3,実績!$AI$6:$AI$505,"&lt;="&amp;$A207,実績!$AJ$6:$AJ$505,"&gt;"&amp;$A207,実績!$AK$6:$AK$505,"○")&gt;0,1,0))</f>
        <v>0</v>
      </c>
      <c r="DF207" s="39" t="n">
        <f aca="false">IF(DF$4=0,0,IF(COUNTIFS(実績!$W$6:$W$505,DF$3,実績!$AI$6:$AI$505,"&lt;="&amp;$A207,実績!$AJ$6:$AJ$505,"&gt;"&amp;$A207,実績!$AK$6:$AK$505,"○")&gt;0,1,0))</f>
        <v>0</v>
      </c>
      <c r="DG207" s="39" t="n">
        <f aca="false">IF(DG$4=0,0,IF(COUNTIFS(実績!$W$6:$W$505,DG$3,実績!$AI$6:$AI$505,"&lt;="&amp;$A207,実績!$AJ$6:$AJ$505,"&gt;"&amp;$A207,実績!$AK$6:$AK$505,"○")&gt;0,1,0))</f>
        <v>0</v>
      </c>
      <c r="DH207" s="39" t="n">
        <f aca="false">IF(DH$4=0,0,IF(COUNTIFS(実績!$W$6:$W$505,DH$3,実績!$AI$6:$AI$505,"&lt;="&amp;$A207,実績!$AJ$6:$AJ$505,"&gt;"&amp;$A207,実績!$AK$6:$AK$505,"○")&gt;0,1,0))</f>
        <v>0</v>
      </c>
      <c r="DI207" s="39" t="n">
        <f aca="false">IF(DI$4=0,0,IF(COUNTIFS(実績!$W$6:$W$505,DI$3,実績!$AI$6:$AI$505,"&lt;="&amp;$A207,実績!$AJ$6:$AJ$505,"&gt;"&amp;$A207,実績!$AK$6:$AK$505,"○")&gt;0,1,0))</f>
        <v>0</v>
      </c>
      <c r="DJ207" s="39" t="n">
        <f aca="false">IF(DJ$4=0,0,IF(COUNTIFS(実績!$W$6:$W$505,DJ$3,実績!$AI$6:$AI$505,"&lt;="&amp;$A207,実績!$AJ$6:$AJ$505,"&gt;"&amp;$A207,実績!$AK$6:$AK$505,"○")&gt;0,1,0))</f>
        <v>0</v>
      </c>
      <c r="DK207" s="39" t="n">
        <f aca="false">IF(DK$4=0,0,IF(COUNTIFS(実績!$W$6:$W$505,DK$3,実績!$AI$6:$AI$505,"&lt;="&amp;$A207,実績!$AJ$6:$AJ$505,"&gt;"&amp;$A207,実績!$AK$6:$AK$505,"○")&gt;0,1,0))</f>
        <v>0</v>
      </c>
      <c r="DL207" s="39" t="n">
        <f aca="false">IF(DL$4=0,0,IF(COUNTIFS(実績!$W$6:$W$505,DL$3,実績!$AI$6:$AI$505,"&lt;="&amp;$A207,実績!$AJ$6:$AJ$505,"&gt;"&amp;$A207,実績!$AK$6:$AK$505,"○")&gt;0,1,0))</f>
        <v>0</v>
      </c>
      <c r="DM207" s="39" t="n">
        <f aca="false">IF(DM$4=0,0,IF(COUNTIFS(実績!$W$6:$W$505,DM$3,実績!$AI$6:$AI$505,"&lt;="&amp;$A207,実績!$AJ$6:$AJ$505,"&gt;"&amp;$A207,実績!$AK$6:$AK$505,"○")&gt;0,1,0))</f>
        <v>0</v>
      </c>
      <c r="DN207" s="39" t="n">
        <f aca="false">IF(DN$4=0,0,IF(COUNTIFS(実績!$W$6:$W$505,DN$3,実績!$AI$6:$AI$505,"&lt;="&amp;$A207,実績!$AJ$6:$AJ$505,"&gt;"&amp;$A207,実績!$AK$6:$AK$505,"○")&gt;0,1,0))</f>
        <v>0</v>
      </c>
      <c r="DO207" s="39" t="n">
        <f aca="false">IF(DO$4=0,0,IF(COUNTIFS(実績!$W$6:$W$505,DO$3,実績!$AI$6:$AI$505,"&lt;="&amp;$A207,実績!$AJ$6:$AJ$505,"&gt;"&amp;$A207,実績!$AK$6:$AK$505,"○")&gt;0,1,0))</f>
        <v>0</v>
      </c>
      <c r="DP207" s="39" t="n">
        <f aca="false">IF(DP$4=0,0,IF(COUNTIFS(実績!$W$6:$W$505,DP$3,実績!$AI$6:$AI$505,"&lt;="&amp;$A207,実績!$AJ$6:$AJ$505,"&gt;"&amp;$A207,実績!$AK$6:$AK$505,"○")&gt;0,1,0))</f>
        <v>0</v>
      </c>
      <c r="DQ207" s="39" t="n">
        <f aca="false">IF(DQ$4=0,0,IF(COUNTIFS(実績!$W$6:$W$505,DQ$3,実績!$AI$6:$AI$505,"&lt;="&amp;$A207,実績!$AJ$6:$AJ$505,"&gt;"&amp;$A207,実績!$AK$6:$AK$505,"○")&gt;0,1,0))</f>
        <v>0</v>
      </c>
      <c r="DR207" s="39" t="n">
        <f aca="false">IF(DR$4=0,0,IF(COUNTIFS(実績!$W$6:$W$505,DR$3,実績!$AI$6:$AI$505,"&lt;="&amp;$A207,実績!$AJ$6:$AJ$505,"&gt;"&amp;$A207,実績!$AK$6:$AK$505,"○")&gt;0,1,0))</f>
        <v>0</v>
      </c>
      <c r="DS207" s="39" t="n">
        <f aca="false">SUM(C207:DR207)</f>
        <v>0</v>
      </c>
      <c r="DT207" s="39" t="n">
        <f aca="false">SUMPRODUCT((実績!$C$6:$C$505="○")*ISNUMBER(実績!$AM$6:$AM$505)*(実績!$AM$6:$AM$505&lt;=$A207)*(実績!$AN$6:$AN$505&gt;$A207))</f>
        <v>0</v>
      </c>
      <c r="DU207" s="39" t="n">
        <f aca="false">SUMIF($C$2:$DR$2,"製鉄曳船",C207:DR207)</f>
        <v>0</v>
      </c>
      <c r="DV207" s="39" t="n">
        <f aca="false">SUMIF($C$2:$DR$2,"西日本海運",C207:DR207)</f>
        <v>0</v>
      </c>
    </row>
    <row r="208" customFormat="false" ht="15" hidden="false" customHeight="false" outlineLevel="0" collapsed="false">
      <c r="A208" s="0" t="n">
        <v>1010</v>
      </c>
      <c r="B208" s="38" t="n">
        <f aca="false">A208/1440</f>
        <v>0.701388888888889</v>
      </c>
      <c r="C208" s="39" t="n">
        <f aca="false">IF(C$4=0,0,IF(COUNTIFS(実績!$W$6:$W$505,C$3,実績!$AI$6:$AI$505,"&lt;="&amp;$A208,実績!$AJ$6:$AJ$505,"&gt;"&amp;$A208,実績!$AK$6:$AK$505,"○")&gt;0,1,0))</f>
        <v>0</v>
      </c>
      <c r="D208" s="39" t="n">
        <f aca="false">IF(D$4=0,0,IF(COUNTIFS(実績!$W$6:$W$505,D$3,実績!$AI$6:$AI$505,"&lt;="&amp;$A208,実績!$AJ$6:$AJ$505,"&gt;"&amp;$A208,実績!$AK$6:$AK$505,"○")&gt;0,1,0))</f>
        <v>0</v>
      </c>
      <c r="E208" s="39" t="n">
        <f aca="false">IF(E$4=0,0,IF(COUNTIFS(実績!$W$6:$W$505,E$3,実績!$AI$6:$AI$505,"&lt;="&amp;$A208,実績!$AJ$6:$AJ$505,"&gt;"&amp;$A208,実績!$AK$6:$AK$505,"○")&gt;0,1,0))</f>
        <v>0</v>
      </c>
      <c r="F208" s="39" t="n">
        <f aca="false">IF(F$4=0,0,IF(COUNTIFS(実績!$W$6:$W$505,F$3,実績!$AI$6:$AI$505,"&lt;="&amp;$A208,実績!$AJ$6:$AJ$505,"&gt;"&amp;$A208,実績!$AK$6:$AK$505,"○")&gt;0,1,0))</f>
        <v>0</v>
      </c>
      <c r="G208" s="39" t="n">
        <f aca="false">IF(G$4=0,0,IF(COUNTIFS(実績!$W$6:$W$505,G$3,実績!$AI$6:$AI$505,"&lt;="&amp;$A208,実績!$AJ$6:$AJ$505,"&gt;"&amp;$A208,実績!$AK$6:$AK$505,"○")&gt;0,1,0))</f>
        <v>0</v>
      </c>
      <c r="H208" s="39" t="n">
        <f aca="false">IF(H$4=0,0,IF(COUNTIFS(実績!$W$6:$W$505,H$3,実績!$AI$6:$AI$505,"&lt;="&amp;$A208,実績!$AJ$6:$AJ$505,"&gt;"&amp;$A208,実績!$AK$6:$AK$505,"○")&gt;0,1,0))</f>
        <v>0</v>
      </c>
      <c r="I208" s="39" t="n">
        <f aca="false">IF(I$4=0,0,IF(COUNTIFS(実績!$W$6:$W$505,I$3,実績!$AI$6:$AI$505,"&lt;="&amp;$A208,実績!$AJ$6:$AJ$505,"&gt;"&amp;$A208,実績!$AK$6:$AK$505,"○")&gt;0,1,0))</f>
        <v>0</v>
      </c>
      <c r="J208" s="39" t="n">
        <f aca="false">IF(J$4=0,0,IF(COUNTIFS(実績!$W$6:$W$505,J$3,実績!$AI$6:$AI$505,"&lt;="&amp;$A208,実績!$AJ$6:$AJ$505,"&gt;"&amp;$A208,実績!$AK$6:$AK$505,"○")&gt;0,1,0))</f>
        <v>0</v>
      </c>
      <c r="K208" s="39" t="n">
        <f aca="false">IF(K$4=0,0,IF(COUNTIFS(実績!$W$6:$W$505,K$3,実績!$AI$6:$AI$505,"&lt;="&amp;$A208,実績!$AJ$6:$AJ$505,"&gt;"&amp;$A208,実績!$AK$6:$AK$505,"○")&gt;0,1,0))</f>
        <v>0</v>
      </c>
      <c r="L208" s="39" t="n">
        <f aca="false">IF(L$4=0,0,IF(COUNTIFS(実績!$W$6:$W$505,L$3,実績!$AI$6:$AI$505,"&lt;="&amp;$A208,実績!$AJ$6:$AJ$505,"&gt;"&amp;$A208,実績!$AK$6:$AK$505,"○")&gt;0,1,0))</f>
        <v>0</v>
      </c>
      <c r="M208" s="39" t="n">
        <f aca="false">IF(M$4=0,0,IF(COUNTIFS(実績!$W$6:$W$505,M$3,実績!$AI$6:$AI$505,"&lt;="&amp;$A208,実績!$AJ$6:$AJ$505,"&gt;"&amp;$A208,実績!$AK$6:$AK$505,"○")&gt;0,1,0))</f>
        <v>0</v>
      </c>
      <c r="N208" s="39" t="n">
        <f aca="false">IF(N$4=0,0,IF(COUNTIFS(実績!$W$6:$W$505,N$3,実績!$AI$6:$AI$505,"&lt;="&amp;$A208,実績!$AJ$6:$AJ$505,"&gt;"&amp;$A208,実績!$AK$6:$AK$505,"○")&gt;0,1,0))</f>
        <v>0</v>
      </c>
      <c r="O208" s="39" t="n">
        <f aca="false">IF(O$4=0,0,IF(COUNTIFS(実績!$W$6:$W$505,O$3,実績!$AI$6:$AI$505,"&lt;="&amp;$A208,実績!$AJ$6:$AJ$505,"&gt;"&amp;$A208,実績!$AK$6:$AK$505,"○")&gt;0,1,0))</f>
        <v>0</v>
      </c>
      <c r="P208" s="39" t="n">
        <f aca="false">IF(P$4=0,0,IF(COUNTIFS(実績!$W$6:$W$505,P$3,実績!$AI$6:$AI$505,"&lt;="&amp;$A208,実績!$AJ$6:$AJ$505,"&gt;"&amp;$A208,実績!$AK$6:$AK$505,"○")&gt;0,1,0))</f>
        <v>0</v>
      </c>
      <c r="Q208" s="39" t="n">
        <f aca="false">IF(Q$4=0,0,IF(COUNTIFS(実績!$W$6:$W$505,Q$3,実績!$AI$6:$AI$505,"&lt;="&amp;$A208,実績!$AJ$6:$AJ$505,"&gt;"&amp;$A208,実績!$AK$6:$AK$505,"○")&gt;0,1,0))</f>
        <v>0</v>
      </c>
      <c r="R208" s="39" t="n">
        <f aca="false">IF(R$4=0,0,IF(COUNTIFS(実績!$W$6:$W$505,R$3,実績!$AI$6:$AI$505,"&lt;="&amp;$A208,実績!$AJ$6:$AJ$505,"&gt;"&amp;$A208,実績!$AK$6:$AK$505,"○")&gt;0,1,0))</f>
        <v>0</v>
      </c>
      <c r="S208" s="39" t="n">
        <f aca="false">IF(S$4=0,0,IF(COUNTIFS(実績!$W$6:$W$505,S$3,実績!$AI$6:$AI$505,"&lt;="&amp;$A208,実績!$AJ$6:$AJ$505,"&gt;"&amp;$A208,実績!$AK$6:$AK$505,"○")&gt;0,1,0))</f>
        <v>0</v>
      </c>
      <c r="T208" s="39" t="n">
        <f aca="false">IF(T$4=0,0,IF(COUNTIFS(実績!$W$6:$W$505,T$3,実績!$AI$6:$AI$505,"&lt;="&amp;$A208,実績!$AJ$6:$AJ$505,"&gt;"&amp;$A208,実績!$AK$6:$AK$505,"○")&gt;0,1,0))</f>
        <v>0</v>
      </c>
      <c r="U208" s="39" t="n">
        <f aca="false">IF(U$4=0,0,IF(COUNTIFS(実績!$W$6:$W$505,U$3,実績!$AI$6:$AI$505,"&lt;="&amp;$A208,実績!$AJ$6:$AJ$505,"&gt;"&amp;$A208,実績!$AK$6:$AK$505,"○")&gt;0,1,0))</f>
        <v>0</v>
      </c>
      <c r="V208" s="39" t="n">
        <f aca="false">IF(V$4=0,0,IF(COUNTIFS(実績!$W$6:$W$505,V$3,実績!$AI$6:$AI$505,"&lt;="&amp;$A208,実績!$AJ$6:$AJ$505,"&gt;"&amp;$A208,実績!$AK$6:$AK$505,"○")&gt;0,1,0))</f>
        <v>0</v>
      </c>
      <c r="W208" s="39" t="n">
        <f aca="false">IF(W$4=0,0,IF(COUNTIFS(実績!$W$6:$W$505,W$3,実績!$AI$6:$AI$505,"&lt;="&amp;$A208,実績!$AJ$6:$AJ$505,"&gt;"&amp;$A208,実績!$AK$6:$AK$505,"○")&gt;0,1,0))</f>
        <v>0</v>
      </c>
      <c r="X208" s="39" t="n">
        <f aca="false">IF(X$4=0,0,IF(COUNTIFS(実績!$W$6:$W$505,X$3,実績!$AI$6:$AI$505,"&lt;="&amp;$A208,実績!$AJ$6:$AJ$505,"&gt;"&amp;$A208,実績!$AK$6:$AK$505,"○")&gt;0,1,0))</f>
        <v>0</v>
      </c>
      <c r="Y208" s="39" t="n">
        <f aca="false">IF(Y$4=0,0,IF(COUNTIFS(実績!$W$6:$W$505,Y$3,実績!$AI$6:$AI$505,"&lt;="&amp;$A208,実績!$AJ$6:$AJ$505,"&gt;"&amp;$A208,実績!$AK$6:$AK$505,"○")&gt;0,1,0))</f>
        <v>0</v>
      </c>
      <c r="Z208" s="39" t="n">
        <f aca="false">IF(Z$4=0,0,IF(COUNTIFS(実績!$W$6:$W$505,Z$3,実績!$AI$6:$AI$505,"&lt;="&amp;$A208,実績!$AJ$6:$AJ$505,"&gt;"&amp;$A208,実績!$AK$6:$AK$505,"○")&gt;0,1,0))</f>
        <v>0</v>
      </c>
      <c r="AA208" s="39" t="n">
        <f aca="false">IF(AA$4=0,0,IF(COUNTIFS(実績!$W$6:$W$505,AA$3,実績!$AI$6:$AI$505,"&lt;="&amp;$A208,実績!$AJ$6:$AJ$505,"&gt;"&amp;$A208,実績!$AK$6:$AK$505,"○")&gt;0,1,0))</f>
        <v>0</v>
      </c>
      <c r="AB208" s="39" t="n">
        <f aca="false">IF(AB$4=0,0,IF(COUNTIFS(実績!$W$6:$W$505,AB$3,実績!$AI$6:$AI$505,"&lt;="&amp;$A208,実績!$AJ$6:$AJ$505,"&gt;"&amp;$A208,実績!$AK$6:$AK$505,"○")&gt;0,1,0))</f>
        <v>0</v>
      </c>
      <c r="AC208" s="39" t="n">
        <f aca="false">IF(AC$4=0,0,IF(COUNTIFS(実績!$W$6:$W$505,AC$3,実績!$AI$6:$AI$505,"&lt;="&amp;$A208,実績!$AJ$6:$AJ$505,"&gt;"&amp;$A208,実績!$AK$6:$AK$505,"○")&gt;0,1,0))</f>
        <v>0</v>
      </c>
      <c r="AD208" s="39" t="n">
        <f aca="false">IF(AD$4=0,0,IF(COUNTIFS(実績!$W$6:$W$505,AD$3,実績!$AI$6:$AI$505,"&lt;="&amp;$A208,実績!$AJ$6:$AJ$505,"&gt;"&amp;$A208,実績!$AK$6:$AK$505,"○")&gt;0,1,0))</f>
        <v>0</v>
      </c>
      <c r="AE208" s="39" t="n">
        <f aca="false">IF(AE$4=0,0,IF(COUNTIFS(実績!$W$6:$W$505,AE$3,実績!$AI$6:$AI$505,"&lt;="&amp;$A208,実績!$AJ$6:$AJ$505,"&gt;"&amp;$A208,実績!$AK$6:$AK$505,"○")&gt;0,1,0))</f>
        <v>0</v>
      </c>
      <c r="AF208" s="39" t="n">
        <f aca="false">IF(AF$4=0,0,IF(COUNTIFS(実績!$W$6:$W$505,AF$3,実績!$AI$6:$AI$505,"&lt;="&amp;$A208,実績!$AJ$6:$AJ$505,"&gt;"&amp;$A208,実績!$AK$6:$AK$505,"○")&gt;0,1,0))</f>
        <v>0</v>
      </c>
      <c r="AG208" s="39" t="n">
        <f aca="false">IF(AG$4=0,0,IF(COUNTIFS(実績!$W$6:$W$505,AG$3,実績!$AI$6:$AI$505,"&lt;="&amp;$A208,実績!$AJ$6:$AJ$505,"&gt;"&amp;$A208,実績!$AK$6:$AK$505,"○")&gt;0,1,0))</f>
        <v>0</v>
      </c>
      <c r="AH208" s="39" t="n">
        <f aca="false">IF(AH$4=0,0,IF(COUNTIFS(実績!$W$6:$W$505,AH$3,実績!$AI$6:$AI$505,"&lt;="&amp;$A208,実績!$AJ$6:$AJ$505,"&gt;"&amp;$A208,実績!$AK$6:$AK$505,"○")&gt;0,1,0))</f>
        <v>0</v>
      </c>
      <c r="AI208" s="39" t="n">
        <f aca="false">IF(AI$4=0,0,IF(COUNTIFS(実績!$W$6:$W$505,AI$3,実績!$AI$6:$AI$505,"&lt;="&amp;$A208,実績!$AJ$6:$AJ$505,"&gt;"&amp;$A208,実績!$AK$6:$AK$505,"○")&gt;0,1,0))</f>
        <v>0</v>
      </c>
      <c r="AJ208" s="39" t="n">
        <f aca="false">IF(AJ$4=0,0,IF(COUNTIFS(実績!$W$6:$W$505,AJ$3,実績!$AI$6:$AI$505,"&lt;="&amp;$A208,実績!$AJ$6:$AJ$505,"&gt;"&amp;$A208,実績!$AK$6:$AK$505,"○")&gt;0,1,0))</f>
        <v>0</v>
      </c>
      <c r="AK208" s="39" t="n">
        <f aca="false">IF(AK$4=0,0,IF(COUNTIFS(実績!$W$6:$W$505,AK$3,実績!$AI$6:$AI$505,"&lt;="&amp;$A208,実績!$AJ$6:$AJ$505,"&gt;"&amp;$A208,実績!$AK$6:$AK$505,"○")&gt;0,1,0))</f>
        <v>0</v>
      </c>
      <c r="AL208" s="39" t="n">
        <f aca="false">IF(AL$4=0,0,IF(COUNTIFS(実績!$W$6:$W$505,AL$3,実績!$AI$6:$AI$505,"&lt;="&amp;$A208,実績!$AJ$6:$AJ$505,"&gt;"&amp;$A208,実績!$AK$6:$AK$505,"○")&gt;0,1,0))</f>
        <v>0</v>
      </c>
      <c r="AM208" s="39" t="n">
        <f aca="false">IF(AM$4=0,0,IF(COUNTIFS(実績!$W$6:$W$505,AM$3,実績!$AI$6:$AI$505,"&lt;="&amp;$A208,実績!$AJ$6:$AJ$505,"&gt;"&amp;$A208,実績!$AK$6:$AK$505,"○")&gt;0,1,0))</f>
        <v>0</v>
      </c>
      <c r="AN208" s="39" t="n">
        <f aca="false">IF(AN$4=0,0,IF(COUNTIFS(実績!$W$6:$W$505,AN$3,実績!$AI$6:$AI$505,"&lt;="&amp;$A208,実績!$AJ$6:$AJ$505,"&gt;"&amp;$A208,実績!$AK$6:$AK$505,"○")&gt;0,1,0))</f>
        <v>0</v>
      </c>
      <c r="AO208" s="39" t="n">
        <f aca="false">IF(AO$4=0,0,IF(COUNTIFS(実績!$W$6:$W$505,AO$3,実績!$AI$6:$AI$505,"&lt;="&amp;$A208,実績!$AJ$6:$AJ$505,"&gt;"&amp;$A208,実績!$AK$6:$AK$505,"○")&gt;0,1,0))</f>
        <v>0</v>
      </c>
      <c r="AP208" s="39" t="n">
        <f aca="false">IF(AP$4=0,0,IF(COUNTIFS(実績!$W$6:$W$505,AP$3,実績!$AI$6:$AI$505,"&lt;="&amp;$A208,実績!$AJ$6:$AJ$505,"&gt;"&amp;$A208,実績!$AK$6:$AK$505,"○")&gt;0,1,0))</f>
        <v>0</v>
      </c>
      <c r="AQ208" s="39" t="n">
        <f aca="false">IF(AQ$4=0,0,IF(COUNTIFS(実績!$W$6:$W$505,AQ$3,実績!$AI$6:$AI$505,"&lt;="&amp;$A208,実績!$AJ$6:$AJ$505,"&gt;"&amp;$A208,実績!$AK$6:$AK$505,"○")&gt;0,1,0))</f>
        <v>0</v>
      </c>
      <c r="AR208" s="39" t="n">
        <f aca="false">IF(AR$4=0,0,IF(COUNTIFS(実績!$W$6:$W$505,AR$3,実績!$AI$6:$AI$505,"&lt;="&amp;$A208,実績!$AJ$6:$AJ$505,"&gt;"&amp;$A208,実績!$AK$6:$AK$505,"○")&gt;0,1,0))</f>
        <v>0</v>
      </c>
      <c r="AS208" s="39" t="n">
        <f aca="false">IF(AS$4=0,0,IF(COUNTIFS(実績!$W$6:$W$505,AS$3,実績!$AI$6:$AI$505,"&lt;="&amp;$A208,実績!$AJ$6:$AJ$505,"&gt;"&amp;$A208,実績!$AK$6:$AK$505,"○")&gt;0,1,0))</f>
        <v>0</v>
      </c>
      <c r="AT208" s="39" t="n">
        <f aca="false">IF(AT$4=0,0,IF(COUNTIFS(実績!$W$6:$W$505,AT$3,実績!$AI$6:$AI$505,"&lt;="&amp;$A208,実績!$AJ$6:$AJ$505,"&gt;"&amp;$A208,実績!$AK$6:$AK$505,"○")&gt;0,1,0))</f>
        <v>0</v>
      </c>
      <c r="AU208" s="39" t="n">
        <f aca="false">IF(AU$4=0,0,IF(COUNTIFS(実績!$W$6:$W$505,AU$3,実績!$AI$6:$AI$505,"&lt;="&amp;$A208,実績!$AJ$6:$AJ$505,"&gt;"&amp;$A208,実績!$AK$6:$AK$505,"○")&gt;0,1,0))</f>
        <v>0</v>
      </c>
      <c r="AV208" s="39" t="n">
        <f aca="false">IF(AV$4=0,0,IF(COUNTIFS(実績!$W$6:$W$505,AV$3,実績!$AI$6:$AI$505,"&lt;="&amp;$A208,実績!$AJ$6:$AJ$505,"&gt;"&amp;$A208,実績!$AK$6:$AK$505,"○")&gt;0,1,0))</f>
        <v>0</v>
      </c>
      <c r="AW208" s="39" t="n">
        <f aca="false">IF(AW$4=0,0,IF(COUNTIFS(実績!$W$6:$W$505,AW$3,実績!$AI$6:$AI$505,"&lt;="&amp;$A208,実績!$AJ$6:$AJ$505,"&gt;"&amp;$A208,実績!$AK$6:$AK$505,"○")&gt;0,1,0))</f>
        <v>0</v>
      </c>
      <c r="AX208" s="39" t="n">
        <f aca="false">IF(AX$4=0,0,IF(COUNTIFS(実績!$W$6:$W$505,AX$3,実績!$AI$6:$AI$505,"&lt;="&amp;$A208,実績!$AJ$6:$AJ$505,"&gt;"&amp;$A208,実績!$AK$6:$AK$505,"○")&gt;0,1,0))</f>
        <v>0</v>
      </c>
      <c r="AY208" s="39" t="n">
        <f aca="false">IF(AY$4=0,0,IF(COUNTIFS(実績!$W$6:$W$505,AY$3,実績!$AI$6:$AI$505,"&lt;="&amp;$A208,実績!$AJ$6:$AJ$505,"&gt;"&amp;$A208,実績!$AK$6:$AK$505,"○")&gt;0,1,0))</f>
        <v>0</v>
      </c>
      <c r="AZ208" s="39" t="n">
        <f aca="false">IF(AZ$4=0,0,IF(COUNTIFS(実績!$W$6:$W$505,AZ$3,実績!$AI$6:$AI$505,"&lt;="&amp;$A208,実績!$AJ$6:$AJ$505,"&gt;"&amp;$A208,実績!$AK$6:$AK$505,"○")&gt;0,1,0))</f>
        <v>0</v>
      </c>
      <c r="BA208" s="39" t="n">
        <f aca="false">IF(BA$4=0,0,IF(COUNTIFS(実績!$W$6:$W$505,BA$3,実績!$AI$6:$AI$505,"&lt;="&amp;$A208,実績!$AJ$6:$AJ$505,"&gt;"&amp;$A208,実績!$AK$6:$AK$505,"○")&gt;0,1,0))</f>
        <v>0</v>
      </c>
      <c r="BB208" s="39" t="n">
        <f aca="false">IF(BB$4=0,0,IF(COUNTIFS(実績!$W$6:$W$505,BB$3,実績!$AI$6:$AI$505,"&lt;="&amp;$A208,実績!$AJ$6:$AJ$505,"&gt;"&amp;$A208,実績!$AK$6:$AK$505,"○")&gt;0,1,0))</f>
        <v>0</v>
      </c>
      <c r="BC208" s="39" t="n">
        <f aca="false">IF(BC$4=0,0,IF(COUNTIFS(実績!$W$6:$W$505,BC$3,実績!$AI$6:$AI$505,"&lt;="&amp;$A208,実績!$AJ$6:$AJ$505,"&gt;"&amp;$A208,実績!$AK$6:$AK$505,"○")&gt;0,1,0))</f>
        <v>0</v>
      </c>
      <c r="BD208" s="39" t="n">
        <f aca="false">IF(BD$4=0,0,IF(COUNTIFS(実績!$W$6:$W$505,BD$3,実績!$AI$6:$AI$505,"&lt;="&amp;$A208,実績!$AJ$6:$AJ$505,"&gt;"&amp;$A208,実績!$AK$6:$AK$505,"○")&gt;0,1,0))</f>
        <v>0</v>
      </c>
      <c r="BE208" s="39" t="n">
        <f aca="false">IF(BE$4=0,0,IF(COUNTIFS(実績!$W$6:$W$505,BE$3,実績!$AI$6:$AI$505,"&lt;="&amp;$A208,実績!$AJ$6:$AJ$505,"&gt;"&amp;$A208,実績!$AK$6:$AK$505,"○")&gt;0,1,0))</f>
        <v>0</v>
      </c>
      <c r="BF208" s="39" t="n">
        <f aca="false">IF(BF$4=0,0,IF(COUNTIFS(実績!$W$6:$W$505,BF$3,実績!$AI$6:$AI$505,"&lt;="&amp;$A208,実績!$AJ$6:$AJ$505,"&gt;"&amp;$A208,実績!$AK$6:$AK$505,"○")&gt;0,1,0))</f>
        <v>0</v>
      </c>
      <c r="BG208" s="39" t="n">
        <f aca="false">IF(BG$4=0,0,IF(COUNTIFS(実績!$W$6:$W$505,BG$3,実績!$AI$6:$AI$505,"&lt;="&amp;$A208,実績!$AJ$6:$AJ$505,"&gt;"&amp;$A208,実績!$AK$6:$AK$505,"○")&gt;0,1,0))</f>
        <v>0</v>
      </c>
      <c r="BH208" s="39" t="n">
        <f aca="false">IF(BH$4=0,0,IF(COUNTIFS(実績!$W$6:$W$505,BH$3,実績!$AI$6:$AI$505,"&lt;="&amp;$A208,実績!$AJ$6:$AJ$505,"&gt;"&amp;$A208,実績!$AK$6:$AK$505,"○")&gt;0,1,0))</f>
        <v>0</v>
      </c>
      <c r="BI208" s="39" t="n">
        <f aca="false">IF(BI$4=0,0,IF(COUNTIFS(実績!$W$6:$W$505,BI$3,実績!$AI$6:$AI$505,"&lt;="&amp;$A208,実績!$AJ$6:$AJ$505,"&gt;"&amp;$A208,実績!$AK$6:$AK$505,"○")&gt;0,1,0))</f>
        <v>0</v>
      </c>
      <c r="BJ208" s="39" t="n">
        <f aca="false">IF(BJ$4=0,0,IF(COUNTIFS(実績!$W$6:$W$505,BJ$3,実績!$AI$6:$AI$505,"&lt;="&amp;$A208,実績!$AJ$6:$AJ$505,"&gt;"&amp;$A208,実績!$AK$6:$AK$505,"○")&gt;0,1,0))</f>
        <v>0</v>
      </c>
      <c r="BK208" s="39" t="n">
        <f aca="false">IF(BK$4=0,0,IF(COUNTIFS(実績!$W$6:$W$505,BK$3,実績!$AI$6:$AI$505,"&lt;="&amp;$A208,実績!$AJ$6:$AJ$505,"&gt;"&amp;$A208,実績!$AK$6:$AK$505,"○")&gt;0,1,0))</f>
        <v>0</v>
      </c>
      <c r="BL208" s="39" t="n">
        <f aca="false">IF(BL$4=0,0,IF(COUNTIFS(実績!$W$6:$W$505,BL$3,実績!$AI$6:$AI$505,"&lt;="&amp;$A208,実績!$AJ$6:$AJ$505,"&gt;"&amp;$A208,実績!$AK$6:$AK$505,"○")&gt;0,1,0))</f>
        <v>0</v>
      </c>
      <c r="BM208" s="39" t="n">
        <f aca="false">IF(BM$4=0,0,IF(COUNTIFS(実績!$W$6:$W$505,BM$3,実績!$AI$6:$AI$505,"&lt;="&amp;$A208,実績!$AJ$6:$AJ$505,"&gt;"&amp;$A208,実績!$AK$6:$AK$505,"○")&gt;0,1,0))</f>
        <v>0</v>
      </c>
      <c r="BN208" s="39" t="n">
        <f aca="false">IF(BN$4=0,0,IF(COUNTIFS(実績!$W$6:$W$505,BN$3,実績!$AI$6:$AI$505,"&lt;="&amp;$A208,実績!$AJ$6:$AJ$505,"&gt;"&amp;$A208,実績!$AK$6:$AK$505,"○")&gt;0,1,0))</f>
        <v>0</v>
      </c>
      <c r="BO208" s="39" t="n">
        <f aca="false">IF(BO$4=0,0,IF(COUNTIFS(実績!$W$6:$W$505,BO$3,実績!$AI$6:$AI$505,"&lt;="&amp;$A208,実績!$AJ$6:$AJ$505,"&gt;"&amp;$A208,実績!$AK$6:$AK$505,"○")&gt;0,1,0))</f>
        <v>0</v>
      </c>
      <c r="BP208" s="39" t="n">
        <f aca="false">IF(BP$4=0,0,IF(COUNTIFS(実績!$W$6:$W$505,BP$3,実績!$AI$6:$AI$505,"&lt;="&amp;$A208,実績!$AJ$6:$AJ$505,"&gt;"&amp;$A208,実績!$AK$6:$AK$505,"○")&gt;0,1,0))</f>
        <v>0</v>
      </c>
      <c r="BQ208" s="39" t="n">
        <f aca="false">IF(BQ$4=0,0,IF(COUNTIFS(実績!$W$6:$W$505,BQ$3,実績!$AI$6:$AI$505,"&lt;="&amp;$A208,実績!$AJ$6:$AJ$505,"&gt;"&amp;$A208,実績!$AK$6:$AK$505,"○")&gt;0,1,0))</f>
        <v>0</v>
      </c>
      <c r="BR208" s="39" t="n">
        <f aca="false">IF(BR$4=0,0,IF(COUNTIFS(実績!$W$6:$W$505,BR$3,実績!$AI$6:$AI$505,"&lt;="&amp;$A208,実績!$AJ$6:$AJ$505,"&gt;"&amp;$A208,実績!$AK$6:$AK$505,"○")&gt;0,1,0))</f>
        <v>0</v>
      </c>
      <c r="BS208" s="39" t="n">
        <f aca="false">IF(BS$4=0,0,IF(COUNTIFS(実績!$W$6:$W$505,BS$3,実績!$AI$6:$AI$505,"&lt;="&amp;$A208,実績!$AJ$6:$AJ$505,"&gt;"&amp;$A208,実績!$AK$6:$AK$505,"○")&gt;0,1,0))</f>
        <v>0</v>
      </c>
      <c r="BT208" s="39" t="n">
        <f aca="false">IF(BT$4=0,0,IF(COUNTIFS(実績!$W$6:$W$505,BT$3,実績!$AI$6:$AI$505,"&lt;="&amp;$A208,実績!$AJ$6:$AJ$505,"&gt;"&amp;$A208,実績!$AK$6:$AK$505,"○")&gt;0,1,0))</f>
        <v>0</v>
      </c>
      <c r="BU208" s="39" t="n">
        <f aca="false">IF(BU$4=0,0,IF(COUNTIFS(実績!$W$6:$W$505,BU$3,実績!$AI$6:$AI$505,"&lt;="&amp;$A208,実績!$AJ$6:$AJ$505,"&gt;"&amp;$A208,実績!$AK$6:$AK$505,"○")&gt;0,1,0))</f>
        <v>0</v>
      </c>
      <c r="BV208" s="39" t="n">
        <f aca="false">IF(BV$4=0,0,IF(COUNTIFS(実績!$W$6:$W$505,BV$3,実績!$AI$6:$AI$505,"&lt;="&amp;$A208,実績!$AJ$6:$AJ$505,"&gt;"&amp;$A208,実績!$AK$6:$AK$505,"○")&gt;0,1,0))</f>
        <v>0</v>
      </c>
      <c r="BW208" s="39" t="n">
        <f aca="false">IF(BW$4=0,0,IF(COUNTIFS(実績!$W$6:$W$505,BW$3,実績!$AI$6:$AI$505,"&lt;="&amp;$A208,実績!$AJ$6:$AJ$505,"&gt;"&amp;$A208,実績!$AK$6:$AK$505,"○")&gt;0,1,0))</f>
        <v>0</v>
      </c>
      <c r="BX208" s="39" t="n">
        <f aca="false">IF(BX$4=0,0,IF(COUNTIFS(実績!$W$6:$W$505,BX$3,実績!$AI$6:$AI$505,"&lt;="&amp;$A208,実績!$AJ$6:$AJ$505,"&gt;"&amp;$A208,実績!$AK$6:$AK$505,"○")&gt;0,1,0))</f>
        <v>0</v>
      </c>
      <c r="BY208" s="39" t="n">
        <f aca="false">IF(BY$4=0,0,IF(COUNTIFS(実績!$W$6:$W$505,BY$3,実績!$AI$6:$AI$505,"&lt;="&amp;$A208,実績!$AJ$6:$AJ$505,"&gt;"&amp;$A208,実績!$AK$6:$AK$505,"○")&gt;0,1,0))</f>
        <v>0</v>
      </c>
      <c r="BZ208" s="39" t="n">
        <f aca="false">IF(BZ$4=0,0,IF(COUNTIFS(実績!$W$6:$W$505,BZ$3,実績!$AI$6:$AI$505,"&lt;="&amp;$A208,実績!$AJ$6:$AJ$505,"&gt;"&amp;$A208,実績!$AK$6:$AK$505,"○")&gt;0,1,0))</f>
        <v>0</v>
      </c>
      <c r="CA208" s="39" t="n">
        <f aca="false">IF(CA$4=0,0,IF(COUNTIFS(実績!$W$6:$W$505,CA$3,実績!$AI$6:$AI$505,"&lt;="&amp;$A208,実績!$AJ$6:$AJ$505,"&gt;"&amp;$A208,実績!$AK$6:$AK$505,"○")&gt;0,1,0))</f>
        <v>0</v>
      </c>
      <c r="CB208" s="39" t="n">
        <f aca="false">IF(CB$4=0,0,IF(COUNTIFS(実績!$W$6:$W$505,CB$3,実績!$AI$6:$AI$505,"&lt;="&amp;$A208,実績!$AJ$6:$AJ$505,"&gt;"&amp;$A208,実績!$AK$6:$AK$505,"○")&gt;0,1,0))</f>
        <v>0</v>
      </c>
      <c r="CC208" s="39" t="n">
        <f aca="false">IF(CC$4=0,0,IF(COUNTIFS(実績!$W$6:$W$505,CC$3,実績!$AI$6:$AI$505,"&lt;="&amp;$A208,実績!$AJ$6:$AJ$505,"&gt;"&amp;$A208,実績!$AK$6:$AK$505,"○")&gt;0,1,0))</f>
        <v>0</v>
      </c>
      <c r="CD208" s="39" t="n">
        <f aca="false">IF(CD$4=0,0,IF(COUNTIFS(実績!$W$6:$W$505,CD$3,実績!$AI$6:$AI$505,"&lt;="&amp;$A208,実績!$AJ$6:$AJ$505,"&gt;"&amp;$A208,実績!$AK$6:$AK$505,"○")&gt;0,1,0))</f>
        <v>0</v>
      </c>
      <c r="CE208" s="39" t="n">
        <f aca="false">IF(CE$4=0,0,IF(COUNTIFS(実績!$W$6:$W$505,CE$3,実績!$AI$6:$AI$505,"&lt;="&amp;$A208,実績!$AJ$6:$AJ$505,"&gt;"&amp;$A208,実績!$AK$6:$AK$505,"○")&gt;0,1,0))</f>
        <v>0</v>
      </c>
      <c r="CF208" s="39" t="n">
        <f aca="false">IF(CF$4=0,0,IF(COUNTIFS(実績!$W$6:$W$505,CF$3,実績!$AI$6:$AI$505,"&lt;="&amp;$A208,実績!$AJ$6:$AJ$505,"&gt;"&amp;$A208,実績!$AK$6:$AK$505,"○")&gt;0,1,0))</f>
        <v>0</v>
      </c>
      <c r="CG208" s="39" t="n">
        <f aca="false">IF(CG$4=0,0,IF(COUNTIFS(実績!$W$6:$W$505,CG$3,実績!$AI$6:$AI$505,"&lt;="&amp;$A208,実績!$AJ$6:$AJ$505,"&gt;"&amp;$A208,実績!$AK$6:$AK$505,"○")&gt;0,1,0))</f>
        <v>0</v>
      </c>
      <c r="CH208" s="39" t="n">
        <f aca="false">IF(CH$4=0,0,IF(COUNTIFS(実績!$W$6:$W$505,CH$3,実績!$AI$6:$AI$505,"&lt;="&amp;$A208,実績!$AJ$6:$AJ$505,"&gt;"&amp;$A208,実績!$AK$6:$AK$505,"○")&gt;0,1,0))</f>
        <v>0</v>
      </c>
      <c r="CI208" s="39" t="n">
        <f aca="false">IF(CI$4=0,0,IF(COUNTIFS(実績!$W$6:$W$505,CI$3,実績!$AI$6:$AI$505,"&lt;="&amp;$A208,実績!$AJ$6:$AJ$505,"&gt;"&amp;$A208,実績!$AK$6:$AK$505,"○")&gt;0,1,0))</f>
        <v>0</v>
      </c>
      <c r="CJ208" s="39" t="n">
        <f aca="false">IF(CJ$4=0,0,IF(COUNTIFS(実績!$W$6:$W$505,CJ$3,実績!$AI$6:$AI$505,"&lt;="&amp;$A208,実績!$AJ$6:$AJ$505,"&gt;"&amp;$A208,実績!$AK$6:$AK$505,"○")&gt;0,1,0))</f>
        <v>0</v>
      </c>
      <c r="CK208" s="39" t="n">
        <f aca="false">IF(CK$4=0,0,IF(COUNTIFS(実績!$W$6:$W$505,CK$3,実績!$AI$6:$AI$505,"&lt;="&amp;$A208,実績!$AJ$6:$AJ$505,"&gt;"&amp;$A208,実績!$AK$6:$AK$505,"○")&gt;0,1,0))</f>
        <v>0</v>
      </c>
      <c r="CL208" s="39" t="n">
        <f aca="false">IF(CL$4=0,0,IF(COUNTIFS(実績!$W$6:$W$505,CL$3,実績!$AI$6:$AI$505,"&lt;="&amp;$A208,実績!$AJ$6:$AJ$505,"&gt;"&amp;$A208,実績!$AK$6:$AK$505,"○")&gt;0,1,0))</f>
        <v>0</v>
      </c>
      <c r="CM208" s="39" t="n">
        <f aca="false">IF(CM$4=0,0,IF(COUNTIFS(実績!$W$6:$W$505,CM$3,実績!$AI$6:$AI$505,"&lt;="&amp;$A208,実績!$AJ$6:$AJ$505,"&gt;"&amp;$A208,実績!$AK$6:$AK$505,"○")&gt;0,1,0))</f>
        <v>0</v>
      </c>
      <c r="CN208" s="39" t="n">
        <f aca="false">IF(CN$4=0,0,IF(COUNTIFS(実績!$W$6:$W$505,CN$3,実績!$AI$6:$AI$505,"&lt;="&amp;$A208,実績!$AJ$6:$AJ$505,"&gt;"&amp;$A208,実績!$AK$6:$AK$505,"○")&gt;0,1,0))</f>
        <v>0</v>
      </c>
      <c r="CO208" s="39" t="n">
        <f aca="false">IF(CO$4=0,0,IF(COUNTIFS(実績!$W$6:$W$505,CO$3,実績!$AI$6:$AI$505,"&lt;="&amp;$A208,実績!$AJ$6:$AJ$505,"&gt;"&amp;$A208,実績!$AK$6:$AK$505,"○")&gt;0,1,0))</f>
        <v>0</v>
      </c>
      <c r="CP208" s="39" t="n">
        <f aca="false">IF(CP$4=0,0,IF(COUNTIFS(実績!$W$6:$W$505,CP$3,実績!$AI$6:$AI$505,"&lt;="&amp;$A208,実績!$AJ$6:$AJ$505,"&gt;"&amp;$A208,実績!$AK$6:$AK$505,"○")&gt;0,1,0))</f>
        <v>0</v>
      </c>
      <c r="CQ208" s="39" t="n">
        <f aca="false">IF(CQ$4=0,0,IF(COUNTIFS(実績!$W$6:$W$505,CQ$3,実績!$AI$6:$AI$505,"&lt;="&amp;$A208,実績!$AJ$6:$AJ$505,"&gt;"&amp;$A208,実績!$AK$6:$AK$505,"○")&gt;0,1,0))</f>
        <v>0</v>
      </c>
      <c r="CR208" s="39" t="n">
        <f aca="false">IF(CR$4=0,0,IF(COUNTIFS(実績!$W$6:$W$505,CR$3,実績!$AI$6:$AI$505,"&lt;="&amp;$A208,実績!$AJ$6:$AJ$505,"&gt;"&amp;$A208,実績!$AK$6:$AK$505,"○")&gt;0,1,0))</f>
        <v>0</v>
      </c>
      <c r="CS208" s="39" t="n">
        <f aca="false">IF(CS$4=0,0,IF(COUNTIFS(実績!$W$6:$W$505,CS$3,実績!$AI$6:$AI$505,"&lt;="&amp;$A208,実績!$AJ$6:$AJ$505,"&gt;"&amp;$A208,実績!$AK$6:$AK$505,"○")&gt;0,1,0))</f>
        <v>0</v>
      </c>
      <c r="CT208" s="39" t="n">
        <f aca="false">IF(CT$4=0,0,IF(COUNTIFS(実績!$W$6:$W$505,CT$3,実績!$AI$6:$AI$505,"&lt;="&amp;$A208,実績!$AJ$6:$AJ$505,"&gt;"&amp;$A208,実績!$AK$6:$AK$505,"○")&gt;0,1,0))</f>
        <v>0</v>
      </c>
      <c r="CU208" s="39" t="n">
        <f aca="false">IF(CU$4=0,0,IF(COUNTIFS(実績!$W$6:$W$505,CU$3,実績!$AI$6:$AI$505,"&lt;="&amp;$A208,実績!$AJ$6:$AJ$505,"&gt;"&amp;$A208,実績!$AK$6:$AK$505,"○")&gt;0,1,0))</f>
        <v>0</v>
      </c>
      <c r="CV208" s="39" t="n">
        <f aca="false">IF(CV$4=0,0,IF(COUNTIFS(実績!$W$6:$W$505,CV$3,実績!$AI$6:$AI$505,"&lt;="&amp;$A208,実績!$AJ$6:$AJ$505,"&gt;"&amp;$A208,実績!$AK$6:$AK$505,"○")&gt;0,1,0))</f>
        <v>0</v>
      </c>
      <c r="CW208" s="39" t="n">
        <f aca="false">IF(CW$4=0,0,IF(COUNTIFS(実績!$W$6:$W$505,CW$3,実績!$AI$6:$AI$505,"&lt;="&amp;$A208,実績!$AJ$6:$AJ$505,"&gt;"&amp;$A208,実績!$AK$6:$AK$505,"○")&gt;0,1,0))</f>
        <v>0</v>
      </c>
      <c r="CX208" s="39" t="n">
        <f aca="false">IF(CX$4=0,0,IF(COUNTIFS(実績!$W$6:$W$505,CX$3,実績!$AI$6:$AI$505,"&lt;="&amp;$A208,実績!$AJ$6:$AJ$505,"&gt;"&amp;$A208,実績!$AK$6:$AK$505,"○")&gt;0,1,0))</f>
        <v>0</v>
      </c>
      <c r="CY208" s="39" t="n">
        <f aca="false">IF(CY$4=0,0,IF(COUNTIFS(実績!$W$6:$W$505,CY$3,実績!$AI$6:$AI$505,"&lt;="&amp;$A208,実績!$AJ$6:$AJ$505,"&gt;"&amp;$A208,実績!$AK$6:$AK$505,"○")&gt;0,1,0))</f>
        <v>0</v>
      </c>
      <c r="CZ208" s="39" t="n">
        <f aca="false">IF(CZ$4=0,0,IF(COUNTIFS(実績!$W$6:$W$505,CZ$3,実績!$AI$6:$AI$505,"&lt;="&amp;$A208,実績!$AJ$6:$AJ$505,"&gt;"&amp;$A208,実績!$AK$6:$AK$505,"○")&gt;0,1,0))</f>
        <v>0</v>
      </c>
      <c r="DA208" s="39" t="n">
        <f aca="false">IF(DA$4=0,0,IF(COUNTIFS(実績!$W$6:$W$505,DA$3,実績!$AI$6:$AI$505,"&lt;="&amp;$A208,実績!$AJ$6:$AJ$505,"&gt;"&amp;$A208,実績!$AK$6:$AK$505,"○")&gt;0,1,0))</f>
        <v>0</v>
      </c>
      <c r="DB208" s="39" t="n">
        <f aca="false">IF(DB$4=0,0,IF(COUNTIFS(実績!$W$6:$W$505,DB$3,実績!$AI$6:$AI$505,"&lt;="&amp;$A208,実績!$AJ$6:$AJ$505,"&gt;"&amp;$A208,実績!$AK$6:$AK$505,"○")&gt;0,1,0))</f>
        <v>0</v>
      </c>
      <c r="DC208" s="39" t="n">
        <f aca="false">IF(DC$4=0,0,IF(COUNTIFS(実績!$W$6:$W$505,DC$3,実績!$AI$6:$AI$505,"&lt;="&amp;$A208,実績!$AJ$6:$AJ$505,"&gt;"&amp;$A208,実績!$AK$6:$AK$505,"○")&gt;0,1,0))</f>
        <v>0</v>
      </c>
      <c r="DD208" s="39" t="n">
        <f aca="false">IF(DD$4=0,0,IF(COUNTIFS(実績!$W$6:$W$505,DD$3,実績!$AI$6:$AI$505,"&lt;="&amp;$A208,実績!$AJ$6:$AJ$505,"&gt;"&amp;$A208,実績!$AK$6:$AK$505,"○")&gt;0,1,0))</f>
        <v>0</v>
      </c>
      <c r="DE208" s="39" t="n">
        <f aca="false">IF(DE$4=0,0,IF(COUNTIFS(実績!$W$6:$W$505,DE$3,実績!$AI$6:$AI$505,"&lt;="&amp;$A208,実績!$AJ$6:$AJ$505,"&gt;"&amp;$A208,実績!$AK$6:$AK$505,"○")&gt;0,1,0))</f>
        <v>0</v>
      </c>
      <c r="DF208" s="39" t="n">
        <f aca="false">IF(DF$4=0,0,IF(COUNTIFS(実績!$W$6:$W$505,DF$3,実績!$AI$6:$AI$505,"&lt;="&amp;$A208,実績!$AJ$6:$AJ$505,"&gt;"&amp;$A208,実績!$AK$6:$AK$505,"○")&gt;0,1,0))</f>
        <v>0</v>
      </c>
      <c r="DG208" s="39" t="n">
        <f aca="false">IF(DG$4=0,0,IF(COUNTIFS(実績!$W$6:$W$505,DG$3,実績!$AI$6:$AI$505,"&lt;="&amp;$A208,実績!$AJ$6:$AJ$505,"&gt;"&amp;$A208,実績!$AK$6:$AK$505,"○")&gt;0,1,0))</f>
        <v>0</v>
      </c>
      <c r="DH208" s="39" t="n">
        <f aca="false">IF(DH$4=0,0,IF(COUNTIFS(実績!$W$6:$W$505,DH$3,実績!$AI$6:$AI$505,"&lt;="&amp;$A208,実績!$AJ$6:$AJ$505,"&gt;"&amp;$A208,実績!$AK$6:$AK$505,"○")&gt;0,1,0))</f>
        <v>0</v>
      </c>
      <c r="DI208" s="39" t="n">
        <f aca="false">IF(DI$4=0,0,IF(COUNTIFS(実績!$W$6:$W$505,DI$3,実績!$AI$6:$AI$505,"&lt;="&amp;$A208,実績!$AJ$6:$AJ$505,"&gt;"&amp;$A208,実績!$AK$6:$AK$505,"○")&gt;0,1,0))</f>
        <v>0</v>
      </c>
      <c r="DJ208" s="39" t="n">
        <f aca="false">IF(DJ$4=0,0,IF(COUNTIFS(実績!$W$6:$W$505,DJ$3,実績!$AI$6:$AI$505,"&lt;="&amp;$A208,実績!$AJ$6:$AJ$505,"&gt;"&amp;$A208,実績!$AK$6:$AK$505,"○")&gt;0,1,0))</f>
        <v>0</v>
      </c>
      <c r="DK208" s="39" t="n">
        <f aca="false">IF(DK$4=0,0,IF(COUNTIFS(実績!$W$6:$W$505,DK$3,実績!$AI$6:$AI$505,"&lt;="&amp;$A208,実績!$AJ$6:$AJ$505,"&gt;"&amp;$A208,実績!$AK$6:$AK$505,"○")&gt;0,1,0))</f>
        <v>0</v>
      </c>
      <c r="DL208" s="39" t="n">
        <f aca="false">IF(DL$4=0,0,IF(COUNTIFS(実績!$W$6:$W$505,DL$3,実績!$AI$6:$AI$505,"&lt;="&amp;$A208,実績!$AJ$6:$AJ$505,"&gt;"&amp;$A208,実績!$AK$6:$AK$505,"○")&gt;0,1,0))</f>
        <v>0</v>
      </c>
      <c r="DM208" s="39" t="n">
        <f aca="false">IF(DM$4=0,0,IF(COUNTIFS(実績!$W$6:$W$505,DM$3,実績!$AI$6:$AI$505,"&lt;="&amp;$A208,実績!$AJ$6:$AJ$505,"&gt;"&amp;$A208,実績!$AK$6:$AK$505,"○")&gt;0,1,0))</f>
        <v>0</v>
      </c>
      <c r="DN208" s="39" t="n">
        <f aca="false">IF(DN$4=0,0,IF(COUNTIFS(実績!$W$6:$W$505,DN$3,実績!$AI$6:$AI$505,"&lt;="&amp;$A208,実績!$AJ$6:$AJ$505,"&gt;"&amp;$A208,実績!$AK$6:$AK$505,"○")&gt;0,1,0))</f>
        <v>0</v>
      </c>
      <c r="DO208" s="39" t="n">
        <f aca="false">IF(DO$4=0,0,IF(COUNTIFS(実績!$W$6:$W$505,DO$3,実績!$AI$6:$AI$505,"&lt;="&amp;$A208,実績!$AJ$6:$AJ$505,"&gt;"&amp;$A208,実績!$AK$6:$AK$505,"○")&gt;0,1,0))</f>
        <v>0</v>
      </c>
      <c r="DP208" s="39" t="n">
        <f aca="false">IF(DP$4=0,0,IF(COUNTIFS(実績!$W$6:$W$505,DP$3,実績!$AI$6:$AI$505,"&lt;="&amp;$A208,実績!$AJ$6:$AJ$505,"&gt;"&amp;$A208,実績!$AK$6:$AK$505,"○")&gt;0,1,0))</f>
        <v>0</v>
      </c>
      <c r="DQ208" s="39" t="n">
        <f aca="false">IF(DQ$4=0,0,IF(COUNTIFS(実績!$W$6:$W$505,DQ$3,実績!$AI$6:$AI$505,"&lt;="&amp;$A208,実績!$AJ$6:$AJ$505,"&gt;"&amp;$A208,実績!$AK$6:$AK$505,"○")&gt;0,1,0))</f>
        <v>0</v>
      </c>
      <c r="DR208" s="39" t="n">
        <f aca="false">IF(DR$4=0,0,IF(COUNTIFS(実績!$W$6:$W$505,DR$3,実績!$AI$6:$AI$505,"&lt;="&amp;$A208,実績!$AJ$6:$AJ$505,"&gt;"&amp;$A208,実績!$AK$6:$AK$505,"○")&gt;0,1,0))</f>
        <v>0</v>
      </c>
      <c r="DS208" s="39" t="n">
        <f aca="false">SUM(C208:DR208)</f>
        <v>0</v>
      </c>
      <c r="DT208" s="39" t="n">
        <f aca="false">SUMPRODUCT((実績!$C$6:$C$505="○")*ISNUMBER(実績!$AM$6:$AM$505)*(実績!$AM$6:$AM$505&lt;=$A208)*(実績!$AN$6:$AN$505&gt;$A208))</f>
        <v>0</v>
      </c>
      <c r="DU208" s="39" t="n">
        <f aca="false">SUMIF($C$2:$DR$2,"製鉄曳船",C208:DR208)</f>
        <v>0</v>
      </c>
      <c r="DV208" s="39" t="n">
        <f aca="false">SUMIF($C$2:$DR$2,"西日本海運",C208:DR208)</f>
        <v>0</v>
      </c>
    </row>
    <row r="209" customFormat="false" ht="15" hidden="false" customHeight="false" outlineLevel="0" collapsed="false">
      <c r="A209" s="0" t="n">
        <v>1015</v>
      </c>
      <c r="B209" s="38" t="n">
        <f aca="false">A209/1440</f>
        <v>0.704861111111111</v>
      </c>
      <c r="C209" s="39" t="n">
        <f aca="false">IF(C$4=0,0,IF(COUNTIFS(実績!$W$6:$W$505,C$3,実績!$AI$6:$AI$505,"&lt;="&amp;$A209,実績!$AJ$6:$AJ$505,"&gt;"&amp;$A209,実績!$AK$6:$AK$505,"○")&gt;0,1,0))</f>
        <v>0</v>
      </c>
      <c r="D209" s="39" t="n">
        <f aca="false">IF(D$4=0,0,IF(COUNTIFS(実績!$W$6:$W$505,D$3,実績!$AI$6:$AI$505,"&lt;="&amp;$A209,実績!$AJ$6:$AJ$505,"&gt;"&amp;$A209,実績!$AK$6:$AK$505,"○")&gt;0,1,0))</f>
        <v>0</v>
      </c>
      <c r="E209" s="39" t="n">
        <f aca="false">IF(E$4=0,0,IF(COUNTIFS(実績!$W$6:$W$505,E$3,実績!$AI$6:$AI$505,"&lt;="&amp;$A209,実績!$AJ$6:$AJ$505,"&gt;"&amp;$A209,実績!$AK$6:$AK$505,"○")&gt;0,1,0))</f>
        <v>0</v>
      </c>
      <c r="F209" s="39" t="n">
        <f aca="false">IF(F$4=0,0,IF(COUNTIFS(実績!$W$6:$W$505,F$3,実績!$AI$6:$AI$505,"&lt;="&amp;$A209,実績!$AJ$6:$AJ$505,"&gt;"&amp;$A209,実績!$AK$6:$AK$505,"○")&gt;0,1,0))</f>
        <v>0</v>
      </c>
      <c r="G209" s="39" t="n">
        <f aca="false">IF(G$4=0,0,IF(COUNTIFS(実績!$W$6:$W$505,G$3,実績!$AI$6:$AI$505,"&lt;="&amp;$A209,実績!$AJ$6:$AJ$505,"&gt;"&amp;$A209,実績!$AK$6:$AK$505,"○")&gt;0,1,0))</f>
        <v>0</v>
      </c>
      <c r="H209" s="39" t="n">
        <f aca="false">IF(H$4=0,0,IF(COUNTIFS(実績!$W$6:$W$505,H$3,実績!$AI$6:$AI$505,"&lt;="&amp;$A209,実績!$AJ$6:$AJ$505,"&gt;"&amp;$A209,実績!$AK$6:$AK$505,"○")&gt;0,1,0))</f>
        <v>0</v>
      </c>
      <c r="I209" s="39" t="n">
        <f aca="false">IF(I$4=0,0,IF(COUNTIFS(実績!$W$6:$W$505,I$3,実績!$AI$6:$AI$505,"&lt;="&amp;$A209,実績!$AJ$6:$AJ$505,"&gt;"&amp;$A209,実績!$AK$6:$AK$505,"○")&gt;0,1,0))</f>
        <v>0</v>
      </c>
      <c r="J209" s="39" t="n">
        <f aca="false">IF(J$4=0,0,IF(COUNTIFS(実績!$W$6:$W$505,J$3,実績!$AI$6:$AI$505,"&lt;="&amp;$A209,実績!$AJ$6:$AJ$505,"&gt;"&amp;$A209,実績!$AK$6:$AK$505,"○")&gt;0,1,0))</f>
        <v>0</v>
      </c>
      <c r="K209" s="39" t="n">
        <f aca="false">IF(K$4=0,0,IF(COUNTIFS(実績!$W$6:$W$505,K$3,実績!$AI$6:$AI$505,"&lt;="&amp;$A209,実績!$AJ$6:$AJ$505,"&gt;"&amp;$A209,実績!$AK$6:$AK$505,"○")&gt;0,1,0))</f>
        <v>0</v>
      </c>
      <c r="L209" s="39" t="n">
        <f aca="false">IF(L$4=0,0,IF(COUNTIFS(実績!$W$6:$W$505,L$3,実績!$AI$6:$AI$505,"&lt;="&amp;$A209,実績!$AJ$6:$AJ$505,"&gt;"&amp;$A209,実績!$AK$6:$AK$505,"○")&gt;0,1,0))</f>
        <v>0</v>
      </c>
      <c r="M209" s="39" t="n">
        <f aca="false">IF(M$4=0,0,IF(COUNTIFS(実績!$W$6:$W$505,M$3,実績!$AI$6:$AI$505,"&lt;="&amp;$A209,実績!$AJ$6:$AJ$505,"&gt;"&amp;$A209,実績!$AK$6:$AK$505,"○")&gt;0,1,0))</f>
        <v>0</v>
      </c>
      <c r="N209" s="39" t="n">
        <f aca="false">IF(N$4=0,0,IF(COUNTIFS(実績!$W$6:$W$505,N$3,実績!$AI$6:$AI$505,"&lt;="&amp;$A209,実績!$AJ$6:$AJ$505,"&gt;"&amp;$A209,実績!$AK$6:$AK$505,"○")&gt;0,1,0))</f>
        <v>0</v>
      </c>
      <c r="O209" s="39" t="n">
        <f aca="false">IF(O$4=0,0,IF(COUNTIFS(実績!$W$6:$W$505,O$3,実績!$AI$6:$AI$505,"&lt;="&amp;$A209,実績!$AJ$6:$AJ$505,"&gt;"&amp;$A209,実績!$AK$6:$AK$505,"○")&gt;0,1,0))</f>
        <v>0</v>
      </c>
      <c r="P209" s="39" t="n">
        <f aca="false">IF(P$4=0,0,IF(COUNTIFS(実績!$W$6:$W$505,P$3,実績!$AI$6:$AI$505,"&lt;="&amp;$A209,実績!$AJ$6:$AJ$505,"&gt;"&amp;$A209,実績!$AK$6:$AK$505,"○")&gt;0,1,0))</f>
        <v>0</v>
      </c>
      <c r="Q209" s="39" t="n">
        <f aca="false">IF(Q$4=0,0,IF(COUNTIFS(実績!$W$6:$W$505,Q$3,実績!$AI$6:$AI$505,"&lt;="&amp;$A209,実績!$AJ$6:$AJ$505,"&gt;"&amp;$A209,実績!$AK$6:$AK$505,"○")&gt;0,1,0))</f>
        <v>0</v>
      </c>
      <c r="R209" s="39" t="n">
        <f aca="false">IF(R$4=0,0,IF(COUNTIFS(実績!$W$6:$W$505,R$3,実績!$AI$6:$AI$505,"&lt;="&amp;$A209,実績!$AJ$6:$AJ$505,"&gt;"&amp;$A209,実績!$AK$6:$AK$505,"○")&gt;0,1,0))</f>
        <v>0</v>
      </c>
      <c r="S209" s="39" t="n">
        <f aca="false">IF(S$4=0,0,IF(COUNTIFS(実績!$W$6:$W$505,S$3,実績!$AI$6:$AI$505,"&lt;="&amp;$A209,実績!$AJ$6:$AJ$505,"&gt;"&amp;$A209,実績!$AK$6:$AK$505,"○")&gt;0,1,0))</f>
        <v>0</v>
      </c>
      <c r="T209" s="39" t="n">
        <f aca="false">IF(T$4=0,0,IF(COUNTIFS(実績!$W$6:$W$505,T$3,実績!$AI$6:$AI$505,"&lt;="&amp;$A209,実績!$AJ$6:$AJ$505,"&gt;"&amp;$A209,実績!$AK$6:$AK$505,"○")&gt;0,1,0))</f>
        <v>0</v>
      </c>
      <c r="U209" s="39" t="n">
        <f aca="false">IF(U$4=0,0,IF(COUNTIFS(実績!$W$6:$W$505,U$3,実績!$AI$6:$AI$505,"&lt;="&amp;$A209,実績!$AJ$6:$AJ$505,"&gt;"&amp;$A209,実績!$AK$6:$AK$505,"○")&gt;0,1,0))</f>
        <v>0</v>
      </c>
      <c r="V209" s="39" t="n">
        <f aca="false">IF(V$4=0,0,IF(COUNTIFS(実績!$W$6:$W$505,V$3,実績!$AI$6:$AI$505,"&lt;="&amp;$A209,実績!$AJ$6:$AJ$505,"&gt;"&amp;$A209,実績!$AK$6:$AK$505,"○")&gt;0,1,0))</f>
        <v>0</v>
      </c>
      <c r="W209" s="39" t="n">
        <f aca="false">IF(W$4=0,0,IF(COUNTIFS(実績!$W$6:$W$505,W$3,実績!$AI$6:$AI$505,"&lt;="&amp;$A209,実績!$AJ$6:$AJ$505,"&gt;"&amp;$A209,実績!$AK$6:$AK$505,"○")&gt;0,1,0))</f>
        <v>0</v>
      </c>
      <c r="X209" s="39" t="n">
        <f aca="false">IF(X$4=0,0,IF(COUNTIFS(実績!$W$6:$W$505,X$3,実績!$AI$6:$AI$505,"&lt;="&amp;$A209,実績!$AJ$6:$AJ$505,"&gt;"&amp;$A209,実績!$AK$6:$AK$505,"○")&gt;0,1,0))</f>
        <v>0</v>
      </c>
      <c r="Y209" s="39" t="n">
        <f aca="false">IF(Y$4=0,0,IF(COUNTIFS(実績!$W$6:$W$505,Y$3,実績!$AI$6:$AI$505,"&lt;="&amp;$A209,実績!$AJ$6:$AJ$505,"&gt;"&amp;$A209,実績!$AK$6:$AK$505,"○")&gt;0,1,0))</f>
        <v>0</v>
      </c>
      <c r="Z209" s="39" t="n">
        <f aca="false">IF(Z$4=0,0,IF(COUNTIFS(実績!$W$6:$W$505,Z$3,実績!$AI$6:$AI$505,"&lt;="&amp;$A209,実績!$AJ$6:$AJ$505,"&gt;"&amp;$A209,実績!$AK$6:$AK$505,"○")&gt;0,1,0))</f>
        <v>0</v>
      </c>
      <c r="AA209" s="39" t="n">
        <f aca="false">IF(AA$4=0,0,IF(COUNTIFS(実績!$W$6:$W$505,AA$3,実績!$AI$6:$AI$505,"&lt;="&amp;$A209,実績!$AJ$6:$AJ$505,"&gt;"&amp;$A209,実績!$AK$6:$AK$505,"○")&gt;0,1,0))</f>
        <v>0</v>
      </c>
      <c r="AB209" s="39" t="n">
        <f aca="false">IF(AB$4=0,0,IF(COUNTIFS(実績!$W$6:$W$505,AB$3,実績!$AI$6:$AI$505,"&lt;="&amp;$A209,実績!$AJ$6:$AJ$505,"&gt;"&amp;$A209,実績!$AK$6:$AK$505,"○")&gt;0,1,0))</f>
        <v>0</v>
      </c>
      <c r="AC209" s="39" t="n">
        <f aca="false">IF(AC$4=0,0,IF(COUNTIFS(実績!$W$6:$W$505,AC$3,実績!$AI$6:$AI$505,"&lt;="&amp;$A209,実績!$AJ$6:$AJ$505,"&gt;"&amp;$A209,実績!$AK$6:$AK$505,"○")&gt;0,1,0))</f>
        <v>0</v>
      </c>
      <c r="AD209" s="39" t="n">
        <f aca="false">IF(AD$4=0,0,IF(COUNTIFS(実績!$W$6:$W$505,AD$3,実績!$AI$6:$AI$505,"&lt;="&amp;$A209,実績!$AJ$6:$AJ$505,"&gt;"&amp;$A209,実績!$AK$6:$AK$505,"○")&gt;0,1,0))</f>
        <v>0</v>
      </c>
      <c r="AE209" s="39" t="n">
        <f aca="false">IF(AE$4=0,0,IF(COUNTIFS(実績!$W$6:$W$505,AE$3,実績!$AI$6:$AI$505,"&lt;="&amp;$A209,実績!$AJ$6:$AJ$505,"&gt;"&amp;$A209,実績!$AK$6:$AK$505,"○")&gt;0,1,0))</f>
        <v>0</v>
      </c>
      <c r="AF209" s="39" t="n">
        <f aca="false">IF(AF$4=0,0,IF(COUNTIFS(実績!$W$6:$W$505,AF$3,実績!$AI$6:$AI$505,"&lt;="&amp;$A209,実績!$AJ$6:$AJ$505,"&gt;"&amp;$A209,実績!$AK$6:$AK$505,"○")&gt;0,1,0))</f>
        <v>0</v>
      </c>
      <c r="AG209" s="39" t="n">
        <f aca="false">IF(AG$4=0,0,IF(COUNTIFS(実績!$W$6:$W$505,AG$3,実績!$AI$6:$AI$505,"&lt;="&amp;$A209,実績!$AJ$6:$AJ$505,"&gt;"&amp;$A209,実績!$AK$6:$AK$505,"○")&gt;0,1,0))</f>
        <v>0</v>
      </c>
      <c r="AH209" s="39" t="n">
        <f aca="false">IF(AH$4=0,0,IF(COUNTIFS(実績!$W$6:$W$505,AH$3,実績!$AI$6:$AI$505,"&lt;="&amp;$A209,実績!$AJ$6:$AJ$505,"&gt;"&amp;$A209,実績!$AK$6:$AK$505,"○")&gt;0,1,0))</f>
        <v>0</v>
      </c>
      <c r="AI209" s="39" t="n">
        <f aca="false">IF(AI$4=0,0,IF(COUNTIFS(実績!$W$6:$W$505,AI$3,実績!$AI$6:$AI$505,"&lt;="&amp;$A209,実績!$AJ$6:$AJ$505,"&gt;"&amp;$A209,実績!$AK$6:$AK$505,"○")&gt;0,1,0))</f>
        <v>0</v>
      </c>
      <c r="AJ209" s="39" t="n">
        <f aca="false">IF(AJ$4=0,0,IF(COUNTIFS(実績!$W$6:$W$505,AJ$3,実績!$AI$6:$AI$505,"&lt;="&amp;$A209,実績!$AJ$6:$AJ$505,"&gt;"&amp;$A209,実績!$AK$6:$AK$505,"○")&gt;0,1,0))</f>
        <v>0</v>
      </c>
      <c r="AK209" s="39" t="n">
        <f aca="false">IF(AK$4=0,0,IF(COUNTIFS(実績!$W$6:$W$505,AK$3,実績!$AI$6:$AI$505,"&lt;="&amp;$A209,実績!$AJ$6:$AJ$505,"&gt;"&amp;$A209,実績!$AK$6:$AK$505,"○")&gt;0,1,0))</f>
        <v>0</v>
      </c>
      <c r="AL209" s="39" t="n">
        <f aca="false">IF(AL$4=0,0,IF(COUNTIFS(実績!$W$6:$W$505,AL$3,実績!$AI$6:$AI$505,"&lt;="&amp;$A209,実績!$AJ$6:$AJ$505,"&gt;"&amp;$A209,実績!$AK$6:$AK$505,"○")&gt;0,1,0))</f>
        <v>0</v>
      </c>
      <c r="AM209" s="39" t="n">
        <f aca="false">IF(AM$4=0,0,IF(COUNTIFS(実績!$W$6:$W$505,AM$3,実績!$AI$6:$AI$505,"&lt;="&amp;$A209,実績!$AJ$6:$AJ$505,"&gt;"&amp;$A209,実績!$AK$6:$AK$505,"○")&gt;0,1,0))</f>
        <v>0</v>
      </c>
      <c r="AN209" s="39" t="n">
        <f aca="false">IF(AN$4=0,0,IF(COUNTIFS(実績!$W$6:$W$505,AN$3,実績!$AI$6:$AI$505,"&lt;="&amp;$A209,実績!$AJ$6:$AJ$505,"&gt;"&amp;$A209,実績!$AK$6:$AK$505,"○")&gt;0,1,0))</f>
        <v>0</v>
      </c>
      <c r="AO209" s="39" t="n">
        <f aca="false">IF(AO$4=0,0,IF(COUNTIFS(実績!$W$6:$W$505,AO$3,実績!$AI$6:$AI$505,"&lt;="&amp;$A209,実績!$AJ$6:$AJ$505,"&gt;"&amp;$A209,実績!$AK$6:$AK$505,"○")&gt;0,1,0))</f>
        <v>0</v>
      </c>
      <c r="AP209" s="39" t="n">
        <f aca="false">IF(AP$4=0,0,IF(COUNTIFS(実績!$W$6:$W$505,AP$3,実績!$AI$6:$AI$505,"&lt;="&amp;$A209,実績!$AJ$6:$AJ$505,"&gt;"&amp;$A209,実績!$AK$6:$AK$505,"○")&gt;0,1,0))</f>
        <v>0</v>
      </c>
      <c r="AQ209" s="39" t="n">
        <f aca="false">IF(AQ$4=0,0,IF(COUNTIFS(実績!$W$6:$W$505,AQ$3,実績!$AI$6:$AI$505,"&lt;="&amp;$A209,実績!$AJ$6:$AJ$505,"&gt;"&amp;$A209,実績!$AK$6:$AK$505,"○")&gt;0,1,0))</f>
        <v>0</v>
      </c>
      <c r="AR209" s="39" t="n">
        <f aca="false">IF(AR$4=0,0,IF(COUNTIFS(実績!$W$6:$W$505,AR$3,実績!$AI$6:$AI$505,"&lt;="&amp;$A209,実績!$AJ$6:$AJ$505,"&gt;"&amp;$A209,実績!$AK$6:$AK$505,"○")&gt;0,1,0))</f>
        <v>0</v>
      </c>
      <c r="AS209" s="39" t="n">
        <f aca="false">IF(AS$4=0,0,IF(COUNTIFS(実績!$W$6:$W$505,AS$3,実績!$AI$6:$AI$505,"&lt;="&amp;$A209,実績!$AJ$6:$AJ$505,"&gt;"&amp;$A209,実績!$AK$6:$AK$505,"○")&gt;0,1,0))</f>
        <v>0</v>
      </c>
      <c r="AT209" s="39" t="n">
        <f aca="false">IF(AT$4=0,0,IF(COUNTIFS(実績!$W$6:$W$505,AT$3,実績!$AI$6:$AI$505,"&lt;="&amp;$A209,実績!$AJ$6:$AJ$505,"&gt;"&amp;$A209,実績!$AK$6:$AK$505,"○")&gt;0,1,0))</f>
        <v>0</v>
      </c>
      <c r="AU209" s="39" t="n">
        <f aca="false">IF(AU$4=0,0,IF(COUNTIFS(実績!$W$6:$W$505,AU$3,実績!$AI$6:$AI$505,"&lt;="&amp;$A209,実績!$AJ$6:$AJ$505,"&gt;"&amp;$A209,実績!$AK$6:$AK$505,"○")&gt;0,1,0))</f>
        <v>0</v>
      </c>
      <c r="AV209" s="39" t="n">
        <f aca="false">IF(AV$4=0,0,IF(COUNTIFS(実績!$W$6:$W$505,AV$3,実績!$AI$6:$AI$505,"&lt;="&amp;$A209,実績!$AJ$6:$AJ$505,"&gt;"&amp;$A209,実績!$AK$6:$AK$505,"○")&gt;0,1,0))</f>
        <v>0</v>
      </c>
      <c r="AW209" s="39" t="n">
        <f aca="false">IF(AW$4=0,0,IF(COUNTIFS(実績!$W$6:$W$505,AW$3,実績!$AI$6:$AI$505,"&lt;="&amp;$A209,実績!$AJ$6:$AJ$505,"&gt;"&amp;$A209,実績!$AK$6:$AK$505,"○")&gt;0,1,0))</f>
        <v>0</v>
      </c>
      <c r="AX209" s="39" t="n">
        <f aca="false">IF(AX$4=0,0,IF(COUNTIFS(実績!$W$6:$W$505,AX$3,実績!$AI$6:$AI$505,"&lt;="&amp;$A209,実績!$AJ$6:$AJ$505,"&gt;"&amp;$A209,実績!$AK$6:$AK$505,"○")&gt;0,1,0))</f>
        <v>0</v>
      </c>
      <c r="AY209" s="39" t="n">
        <f aca="false">IF(AY$4=0,0,IF(COUNTIFS(実績!$W$6:$W$505,AY$3,実績!$AI$6:$AI$505,"&lt;="&amp;$A209,実績!$AJ$6:$AJ$505,"&gt;"&amp;$A209,実績!$AK$6:$AK$505,"○")&gt;0,1,0))</f>
        <v>0</v>
      </c>
      <c r="AZ209" s="39" t="n">
        <f aca="false">IF(AZ$4=0,0,IF(COUNTIFS(実績!$W$6:$W$505,AZ$3,実績!$AI$6:$AI$505,"&lt;="&amp;$A209,実績!$AJ$6:$AJ$505,"&gt;"&amp;$A209,実績!$AK$6:$AK$505,"○")&gt;0,1,0))</f>
        <v>0</v>
      </c>
      <c r="BA209" s="39" t="n">
        <f aca="false">IF(BA$4=0,0,IF(COUNTIFS(実績!$W$6:$W$505,BA$3,実績!$AI$6:$AI$505,"&lt;="&amp;$A209,実績!$AJ$6:$AJ$505,"&gt;"&amp;$A209,実績!$AK$6:$AK$505,"○")&gt;0,1,0))</f>
        <v>0</v>
      </c>
      <c r="BB209" s="39" t="n">
        <f aca="false">IF(BB$4=0,0,IF(COUNTIFS(実績!$W$6:$W$505,BB$3,実績!$AI$6:$AI$505,"&lt;="&amp;$A209,実績!$AJ$6:$AJ$505,"&gt;"&amp;$A209,実績!$AK$6:$AK$505,"○")&gt;0,1,0))</f>
        <v>0</v>
      </c>
      <c r="BC209" s="39" t="n">
        <f aca="false">IF(BC$4=0,0,IF(COUNTIFS(実績!$W$6:$W$505,BC$3,実績!$AI$6:$AI$505,"&lt;="&amp;$A209,実績!$AJ$6:$AJ$505,"&gt;"&amp;$A209,実績!$AK$6:$AK$505,"○")&gt;0,1,0))</f>
        <v>0</v>
      </c>
      <c r="BD209" s="39" t="n">
        <f aca="false">IF(BD$4=0,0,IF(COUNTIFS(実績!$W$6:$W$505,BD$3,実績!$AI$6:$AI$505,"&lt;="&amp;$A209,実績!$AJ$6:$AJ$505,"&gt;"&amp;$A209,実績!$AK$6:$AK$505,"○")&gt;0,1,0))</f>
        <v>0</v>
      </c>
      <c r="BE209" s="39" t="n">
        <f aca="false">IF(BE$4=0,0,IF(COUNTIFS(実績!$W$6:$W$505,BE$3,実績!$AI$6:$AI$505,"&lt;="&amp;$A209,実績!$AJ$6:$AJ$505,"&gt;"&amp;$A209,実績!$AK$6:$AK$505,"○")&gt;0,1,0))</f>
        <v>0</v>
      </c>
      <c r="BF209" s="39" t="n">
        <f aca="false">IF(BF$4=0,0,IF(COUNTIFS(実績!$W$6:$W$505,BF$3,実績!$AI$6:$AI$505,"&lt;="&amp;$A209,実績!$AJ$6:$AJ$505,"&gt;"&amp;$A209,実績!$AK$6:$AK$505,"○")&gt;0,1,0))</f>
        <v>0</v>
      </c>
      <c r="BG209" s="39" t="n">
        <f aca="false">IF(BG$4=0,0,IF(COUNTIFS(実績!$W$6:$W$505,BG$3,実績!$AI$6:$AI$505,"&lt;="&amp;$A209,実績!$AJ$6:$AJ$505,"&gt;"&amp;$A209,実績!$AK$6:$AK$505,"○")&gt;0,1,0))</f>
        <v>0</v>
      </c>
      <c r="BH209" s="39" t="n">
        <f aca="false">IF(BH$4=0,0,IF(COUNTIFS(実績!$W$6:$W$505,BH$3,実績!$AI$6:$AI$505,"&lt;="&amp;$A209,実績!$AJ$6:$AJ$505,"&gt;"&amp;$A209,実績!$AK$6:$AK$505,"○")&gt;0,1,0))</f>
        <v>0</v>
      </c>
      <c r="BI209" s="39" t="n">
        <f aca="false">IF(BI$4=0,0,IF(COUNTIFS(実績!$W$6:$W$505,BI$3,実績!$AI$6:$AI$505,"&lt;="&amp;$A209,実績!$AJ$6:$AJ$505,"&gt;"&amp;$A209,実績!$AK$6:$AK$505,"○")&gt;0,1,0))</f>
        <v>0</v>
      </c>
      <c r="BJ209" s="39" t="n">
        <f aca="false">IF(BJ$4=0,0,IF(COUNTIFS(実績!$W$6:$W$505,BJ$3,実績!$AI$6:$AI$505,"&lt;="&amp;$A209,実績!$AJ$6:$AJ$505,"&gt;"&amp;$A209,実績!$AK$6:$AK$505,"○")&gt;0,1,0))</f>
        <v>0</v>
      </c>
      <c r="BK209" s="39" t="n">
        <f aca="false">IF(BK$4=0,0,IF(COUNTIFS(実績!$W$6:$W$505,BK$3,実績!$AI$6:$AI$505,"&lt;="&amp;$A209,実績!$AJ$6:$AJ$505,"&gt;"&amp;$A209,実績!$AK$6:$AK$505,"○")&gt;0,1,0))</f>
        <v>0</v>
      </c>
      <c r="BL209" s="39" t="n">
        <f aca="false">IF(BL$4=0,0,IF(COUNTIFS(実績!$W$6:$W$505,BL$3,実績!$AI$6:$AI$505,"&lt;="&amp;$A209,実績!$AJ$6:$AJ$505,"&gt;"&amp;$A209,実績!$AK$6:$AK$505,"○")&gt;0,1,0))</f>
        <v>0</v>
      </c>
      <c r="BM209" s="39" t="n">
        <f aca="false">IF(BM$4=0,0,IF(COUNTIFS(実績!$W$6:$W$505,BM$3,実績!$AI$6:$AI$505,"&lt;="&amp;$A209,実績!$AJ$6:$AJ$505,"&gt;"&amp;$A209,実績!$AK$6:$AK$505,"○")&gt;0,1,0))</f>
        <v>0</v>
      </c>
      <c r="BN209" s="39" t="n">
        <f aca="false">IF(BN$4=0,0,IF(COUNTIFS(実績!$W$6:$W$505,BN$3,実績!$AI$6:$AI$505,"&lt;="&amp;$A209,実績!$AJ$6:$AJ$505,"&gt;"&amp;$A209,実績!$AK$6:$AK$505,"○")&gt;0,1,0))</f>
        <v>0</v>
      </c>
      <c r="BO209" s="39" t="n">
        <f aca="false">IF(BO$4=0,0,IF(COUNTIFS(実績!$W$6:$W$505,BO$3,実績!$AI$6:$AI$505,"&lt;="&amp;$A209,実績!$AJ$6:$AJ$505,"&gt;"&amp;$A209,実績!$AK$6:$AK$505,"○")&gt;0,1,0))</f>
        <v>0</v>
      </c>
      <c r="BP209" s="39" t="n">
        <f aca="false">IF(BP$4=0,0,IF(COUNTIFS(実績!$W$6:$W$505,BP$3,実績!$AI$6:$AI$505,"&lt;="&amp;$A209,実績!$AJ$6:$AJ$505,"&gt;"&amp;$A209,実績!$AK$6:$AK$505,"○")&gt;0,1,0))</f>
        <v>0</v>
      </c>
      <c r="BQ209" s="39" t="n">
        <f aca="false">IF(BQ$4=0,0,IF(COUNTIFS(実績!$W$6:$W$505,BQ$3,実績!$AI$6:$AI$505,"&lt;="&amp;$A209,実績!$AJ$6:$AJ$505,"&gt;"&amp;$A209,実績!$AK$6:$AK$505,"○")&gt;0,1,0))</f>
        <v>0</v>
      </c>
      <c r="BR209" s="39" t="n">
        <f aca="false">IF(BR$4=0,0,IF(COUNTIFS(実績!$W$6:$W$505,BR$3,実績!$AI$6:$AI$505,"&lt;="&amp;$A209,実績!$AJ$6:$AJ$505,"&gt;"&amp;$A209,実績!$AK$6:$AK$505,"○")&gt;0,1,0))</f>
        <v>0</v>
      </c>
      <c r="BS209" s="39" t="n">
        <f aca="false">IF(BS$4=0,0,IF(COUNTIFS(実績!$W$6:$W$505,BS$3,実績!$AI$6:$AI$505,"&lt;="&amp;$A209,実績!$AJ$6:$AJ$505,"&gt;"&amp;$A209,実績!$AK$6:$AK$505,"○")&gt;0,1,0))</f>
        <v>0</v>
      </c>
      <c r="BT209" s="39" t="n">
        <f aca="false">IF(BT$4=0,0,IF(COUNTIFS(実績!$W$6:$W$505,BT$3,実績!$AI$6:$AI$505,"&lt;="&amp;$A209,実績!$AJ$6:$AJ$505,"&gt;"&amp;$A209,実績!$AK$6:$AK$505,"○")&gt;0,1,0))</f>
        <v>0</v>
      </c>
      <c r="BU209" s="39" t="n">
        <f aca="false">IF(BU$4=0,0,IF(COUNTIFS(実績!$W$6:$W$505,BU$3,実績!$AI$6:$AI$505,"&lt;="&amp;$A209,実績!$AJ$6:$AJ$505,"&gt;"&amp;$A209,実績!$AK$6:$AK$505,"○")&gt;0,1,0))</f>
        <v>0</v>
      </c>
      <c r="BV209" s="39" t="n">
        <f aca="false">IF(BV$4=0,0,IF(COUNTIFS(実績!$W$6:$W$505,BV$3,実績!$AI$6:$AI$505,"&lt;="&amp;$A209,実績!$AJ$6:$AJ$505,"&gt;"&amp;$A209,実績!$AK$6:$AK$505,"○")&gt;0,1,0))</f>
        <v>0</v>
      </c>
      <c r="BW209" s="39" t="n">
        <f aca="false">IF(BW$4=0,0,IF(COUNTIFS(実績!$W$6:$W$505,BW$3,実績!$AI$6:$AI$505,"&lt;="&amp;$A209,実績!$AJ$6:$AJ$505,"&gt;"&amp;$A209,実績!$AK$6:$AK$505,"○")&gt;0,1,0))</f>
        <v>0</v>
      </c>
      <c r="BX209" s="39" t="n">
        <f aca="false">IF(BX$4=0,0,IF(COUNTIFS(実績!$W$6:$W$505,BX$3,実績!$AI$6:$AI$505,"&lt;="&amp;$A209,実績!$AJ$6:$AJ$505,"&gt;"&amp;$A209,実績!$AK$6:$AK$505,"○")&gt;0,1,0))</f>
        <v>0</v>
      </c>
      <c r="BY209" s="39" t="n">
        <f aca="false">IF(BY$4=0,0,IF(COUNTIFS(実績!$W$6:$W$505,BY$3,実績!$AI$6:$AI$505,"&lt;="&amp;$A209,実績!$AJ$6:$AJ$505,"&gt;"&amp;$A209,実績!$AK$6:$AK$505,"○")&gt;0,1,0))</f>
        <v>0</v>
      </c>
      <c r="BZ209" s="39" t="n">
        <f aca="false">IF(BZ$4=0,0,IF(COUNTIFS(実績!$W$6:$W$505,BZ$3,実績!$AI$6:$AI$505,"&lt;="&amp;$A209,実績!$AJ$6:$AJ$505,"&gt;"&amp;$A209,実績!$AK$6:$AK$505,"○")&gt;0,1,0))</f>
        <v>0</v>
      </c>
      <c r="CA209" s="39" t="n">
        <f aca="false">IF(CA$4=0,0,IF(COUNTIFS(実績!$W$6:$W$505,CA$3,実績!$AI$6:$AI$505,"&lt;="&amp;$A209,実績!$AJ$6:$AJ$505,"&gt;"&amp;$A209,実績!$AK$6:$AK$505,"○")&gt;0,1,0))</f>
        <v>0</v>
      </c>
      <c r="CB209" s="39" t="n">
        <f aca="false">IF(CB$4=0,0,IF(COUNTIFS(実績!$W$6:$W$505,CB$3,実績!$AI$6:$AI$505,"&lt;="&amp;$A209,実績!$AJ$6:$AJ$505,"&gt;"&amp;$A209,実績!$AK$6:$AK$505,"○")&gt;0,1,0))</f>
        <v>0</v>
      </c>
      <c r="CC209" s="39" t="n">
        <f aca="false">IF(CC$4=0,0,IF(COUNTIFS(実績!$W$6:$W$505,CC$3,実績!$AI$6:$AI$505,"&lt;="&amp;$A209,実績!$AJ$6:$AJ$505,"&gt;"&amp;$A209,実績!$AK$6:$AK$505,"○")&gt;0,1,0))</f>
        <v>0</v>
      </c>
      <c r="CD209" s="39" t="n">
        <f aca="false">IF(CD$4=0,0,IF(COUNTIFS(実績!$W$6:$W$505,CD$3,実績!$AI$6:$AI$505,"&lt;="&amp;$A209,実績!$AJ$6:$AJ$505,"&gt;"&amp;$A209,実績!$AK$6:$AK$505,"○")&gt;0,1,0))</f>
        <v>0</v>
      </c>
      <c r="CE209" s="39" t="n">
        <f aca="false">IF(CE$4=0,0,IF(COUNTIFS(実績!$W$6:$W$505,CE$3,実績!$AI$6:$AI$505,"&lt;="&amp;$A209,実績!$AJ$6:$AJ$505,"&gt;"&amp;$A209,実績!$AK$6:$AK$505,"○")&gt;0,1,0))</f>
        <v>0</v>
      </c>
      <c r="CF209" s="39" t="n">
        <f aca="false">IF(CF$4=0,0,IF(COUNTIFS(実績!$W$6:$W$505,CF$3,実績!$AI$6:$AI$505,"&lt;="&amp;$A209,実績!$AJ$6:$AJ$505,"&gt;"&amp;$A209,実績!$AK$6:$AK$505,"○")&gt;0,1,0))</f>
        <v>0</v>
      </c>
      <c r="CG209" s="39" t="n">
        <f aca="false">IF(CG$4=0,0,IF(COUNTIFS(実績!$W$6:$W$505,CG$3,実績!$AI$6:$AI$505,"&lt;="&amp;$A209,実績!$AJ$6:$AJ$505,"&gt;"&amp;$A209,実績!$AK$6:$AK$505,"○")&gt;0,1,0))</f>
        <v>0</v>
      </c>
      <c r="CH209" s="39" t="n">
        <f aca="false">IF(CH$4=0,0,IF(COUNTIFS(実績!$W$6:$W$505,CH$3,実績!$AI$6:$AI$505,"&lt;="&amp;$A209,実績!$AJ$6:$AJ$505,"&gt;"&amp;$A209,実績!$AK$6:$AK$505,"○")&gt;0,1,0))</f>
        <v>0</v>
      </c>
      <c r="CI209" s="39" t="n">
        <f aca="false">IF(CI$4=0,0,IF(COUNTIFS(実績!$W$6:$W$505,CI$3,実績!$AI$6:$AI$505,"&lt;="&amp;$A209,実績!$AJ$6:$AJ$505,"&gt;"&amp;$A209,実績!$AK$6:$AK$505,"○")&gt;0,1,0))</f>
        <v>0</v>
      </c>
      <c r="CJ209" s="39" t="n">
        <f aca="false">IF(CJ$4=0,0,IF(COUNTIFS(実績!$W$6:$W$505,CJ$3,実績!$AI$6:$AI$505,"&lt;="&amp;$A209,実績!$AJ$6:$AJ$505,"&gt;"&amp;$A209,実績!$AK$6:$AK$505,"○")&gt;0,1,0))</f>
        <v>0</v>
      </c>
      <c r="CK209" s="39" t="n">
        <f aca="false">IF(CK$4=0,0,IF(COUNTIFS(実績!$W$6:$W$505,CK$3,実績!$AI$6:$AI$505,"&lt;="&amp;$A209,実績!$AJ$6:$AJ$505,"&gt;"&amp;$A209,実績!$AK$6:$AK$505,"○")&gt;0,1,0))</f>
        <v>0</v>
      </c>
      <c r="CL209" s="39" t="n">
        <f aca="false">IF(CL$4=0,0,IF(COUNTIFS(実績!$W$6:$W$505,CL$3,実績!$AI$6:$AI$505,"&lt;="&amp;$A209,実績!$AJ$6:$AJ$505,"&gt;"&amp;$A209,実績!$AK$6:$AK$505,"○")&gt;0,1,0))</f>
        <v>0</v>
      </c>
      <c r="CM209" s="39" t="n">
        <f aca="false">IF(CM$4=0,0,IF(COUNTIFS(実績!$W$6:$W$505,CM$3,実績!$AI$6:$AI$505,"&lt;="&amp;$A209,実績!$AJ$6:$AJ$505,"&gt;"&amp;$A209,実績!$AK$6:$AK$505,"○")&gt;0,1,0))</f>
        <v>0</v>
      </c>
      <c r="CN209" s="39" t="n">
        <f aca="false">IF(CN$4=0,0,IF(COUNTIFS(実績!$W$6:$W$505,CN$3,実績!$AI$6:$AI$505,"&lt;="&amp;$A209,実績!$AJ$6:$AJ$505,"&gt;"&amp;$A209,実績!$AK$6:$AK$505,"○")&gt;0,1,0))</f>
        <v>0</v>
      </c>
      <c r="CO209" s="39" t="n">
        <f aca="false">IF(CO$4=0,0,IF(COUNTIFS(実績!$W$6:$W$505,CO$3,実績!$AI$6:$AI$505,"&lt;="&amp;$A209,実績!$AJ$6:$AJ$505,"&gt;"&amp;$A209,実績!$AK$6:$AK$505,"○")&gt;0,1,0))</f>
        <v>0</v>
      </c>
      <c r="CP209" s="39" t="n">
        <f aca="false">IF(CP$4=0,0,IF(COUNTIFS(実績!$W$6:$W$505,CP$3,実績!$AI$6:$AI$505,"&lt;="&amp;$A209,実績!$AJ$6:$AJ$505,"&gt;"&amp;$A209,実績!$AK$6:$AK$505,"○")&gt;0,1,0))</f>
        <v>0</v>
      </c>
      <c r="CQ209" s="39" t="n">
        <f aca="false">IF(CQ$4=0,0,IF(COUNTIFS(実績!$W$6:$W$505,CQ$3,実績!$AI$6:$AI$505,"&lt;="&amp;$A209,実績!$AJ$6:$AJ$505,"&gt;"&amp;$A209,実績!$AK$6:$AK$505,"○")&gt;0,1,0))</f>
        <v>0</v>
      </c>
      <c r="CR209" s="39" t="n">
        <f aca="false">IF(CR$4=0,0,IF(COUNTIFS(実績!$W$6:$W$505,CR$3,実績!$AI$6:$AI$505,"&lt;="&amp;$A209,実績!$AJ$6:$AJ$505,"&gt;"&amp;$A209,実績!$AK$6:$AK$505,"○")&gt;0,1,0))</f>
        <v>0</v>
      </c>
      <c r="CS209" s="39" t="n">
        <f aca="false">IF(CS$4=0,0,IF(COUNTIFS(実績!$W$6:$W$505,CS$3,実績!$AI$6:$AI$505,"&lt;="&amp;$A209,実績!$AJ$6:$AJ$505,"&gt;"&amp;$A209,実績!$AK$6:$AK$505,"○")&gt;0,1,0))</f>
        <v>0</v>
      </c>
      <c r="CT209" s="39" t="n">
        <f aca="false">IF(CT$4=0,0,IF(COUNTIFS(実績!$W$6:$W$505,CT$3,実績!$AI$6:$AI$505,"&lt;="&amp;$A209,実績!$AJ$6:$AJ$505,"&gt;"&amp;$A209,実績!$AK$6:$AK$505,"○")&gt;0,1,0))</f>
        <v>0</v>
      </c>
      <c r="CU209" s="39" t="n">
        <f aca="false">IF(CU$4=0,0,IF(COUNTIFS(実績!$W$6:$W$505,CU$3,実績!$AI$6:$AI$505,"&lt;="&amp;$A209,実績!$AJ$6:$AJ$505,"&gt;"&amp;$A209,実績!$AK$6:$AK$505,"○")&gt;0,1,0))</f>
        <v>0</v>
      </c>
      <c r="CV209" s="39" t="n">
        <f aca="false">IF(CV$4=0,0,IF(COUNTIFS(実績!$W$6:$W$505,CV$3,実績!$AI$6:$AI$505,"&lt;="&amp;$A209,実績!$AJ$6:$AJ$505,"&gt;"&amp;$A209,実績!$AK$6:$AK$505,"○")&gt;0,1,0))</f>
        <v>0</v>
      </c>
      <c r="CW209" s="39" t="n">
        <f aca="false">IF(CW$4=0,0,IF(COUNTIFS(実績!$W$6:$W$505,CW$3,実績!$AI$6:$AI$505,"&lt;="&amp;$A209,実績!$AJ$6:$AJ$505,"&gt;"&amp;$A209,実績!$AK$6:$AK$505,"○")&gt;0,1,0))</f>
        <v>0</v>
      </c>
      <c r="CX209" s="39" t="n">
        <f aca="false">IF(CX$4=0,0,IF(COUNTIFS(実績!$W$6:$W$505,CX$3,実績!$AI$6:$AI$505,"&lt;="&amp;$A209,実績!$AJ$6:$AJ$505,"&gt;"&amp;$A209,実績!$AK$6:$AK$505,"○")&gt;0,1,0))</f>
        <v>0</v>
      </c>
      <c r="CY209" s="39" t="n">
        <f aca="false">IF(CY$4=0,0,IF(COUNTIFS(実績!$W$6:$W$505,CY$3,実績!$AI$6:$AI$505,"&lt;="&amp;$A209,実績!$AJ$6:$AJ$505,"&gt;"&amp;$A209,実績!$AK$6:$AK$505,"○")&gt;0,1,0))</f>
        <v>0</v>
      </c>
      <c r="CZ209" s="39" t="n">
        <f aca="false">IF(CZ$4=0,0,IF(COUNTIFS(実績!$W$6:$W$505,CZ$3,実績!$AI$6:$AI$505,"&lt;="&amp;$A209,実績!$AJ$6:$AJ$505,"&gt;"&amp;$A209,実績!$AK$6:$AK$505,"○")&gt;0,1,0))</f>
        <v>0</v>
      </c>
      <c r="DA209" s="39" t="n">
        <f aca="false">IF(DA$4=0,0,IF(COUNTIFS(実績!$W$6:$W$505,DA$3,実績!$AI$6:$AI$505,"&lt;="&amp;$A209,実績!$AJ$6:$AJ$505,"&gt;"&amp;$A209,実績!$AK$6:$AK$505,"○")&gt;0,1,0))</f>
        <v>0</v>
      </c>
      <c r="DB209" s="39" t="n">
        <f aca="false">IF(DB$4=0,0,IF(COUNTIFS(実績!$W$6:$W$505,DB$3,実績!$AI$6:$AI$505,"&lt;="&amp;$A209,実績!$AJ$6:$AJ$505,"&gt;"&amp;$A209,実績!$AK$6:$AK$505,"○")&gt;0,1,0))</f>
        <v>0</v>
      </c>
      <c r="DC209" s="39" t="n">
        <f aca="false">IF(DC$4=0,0,IF(COUNTIFS(実績!$W$6:$W$505,DC$3,実績!$AI$6:$AI$505,"&lt;="&amp;$A209,実績!$AJ$6:$AJ$505,"&gt;"&amp;$A209,実績!$AK$6:$AK$505,"○")&gt;0,1,0))</f>
        <v>0</v>
      </c>
      <c r="DD209" s="39" t="n">
        <f aca="false">IF(DD$4=0,0,IF(COUNTIFS(実績!$W$6:$W$505,DD$3,実績!$AI$6:$AI$505,"&lt;="&amp;$A209,実績!$AJ$6:$AJ$505,"&gt;"&amp;$A209,実績!$AK$6:$AK$505,"○")&gt;0,1,0))</f>
        <v>0</v>
      </c>
      <c r="DE209" s="39" t="n">
        <f aca="false">IF(DE$4=0,0,IF(COUNTIFS(実績!$W$6:$W$505,DE$3,実績!$AI$6:$AI$505,"&lt;="&amp;$A209,実績!$AJ$6:$AJ$505,"&gt;"&amp;$A209,実績!$AK$6:$AK$505,"○")&gt;0,1,0))</f>
        <v>0</v>
      </c>
      <c r="DF209" s="39" t="n">
        <f aca="false">IF(DF$4=0,0,IF(COUNTIFS(実績!$W$6:$W$505,DF$3,実績!$AI$6:$AI$505,"&lt;="&amp;$A209,実績!$AJ$6:$AJ$505,"&gt;"&amp;$A209,実績!$AK$6:$AK$505,"○")&gt;0,1,0))</f>
        <v>0</v>
      </c>
      <c r="DG209" s="39" t="n">
        <f aca="false">IF(DG$4=0,0,IF(COUNTIFS(実績!$W$6:$W$505,DG$3,実績!$AI$6:$AI$505,"&lt;="&amp;$A209,実績!$AJ$6:$AJ$505,"&gt;"&amp;$A209,実績!$AK$6:$AK$505,"○")&gt;0,1,0))</f>
        <v>0</v>
      </c>
      <c r="DH209" s="39" t="n">
        <f aca="false">IF(DH$4=0,0,IF(COUNTIFS(実績!$W$6:$W$505,DH$3,実績!$AI$6:$AI$505,"&lt;="&amp;$A209,実績!$AJ$6:$AJ$505,"&gt;"&amp;$A209,実績!$AK$6:$AK$505,"○")&gt;0,1,0))</f>
        <v>0</v>
      </c>
      <c r="DI209" s="39" t="n">
        <f aca="false">IF(DI$4=0,0,IF(COUNTIFS(実績!$W$6:$W$505,DI$3,実績!$AI$6:$AI$505,"&lt;="&amp;$A209,実績!$AJ$6:$AJ$505,"&gt;"&amp;$A209,実績!$AK$6:$AK$505,"○")&gt;0,1,0))</f>
        <v>0</v>
      </c>
      <c r="DJ209" s="39" t="n">
        <f aca="false">IF(DJ$4=0,0,IF(COUNTIFS(実績!$W$6:$W$505,DJ$3,実績!$AI$6:$AI$505,"&lt;="&amp;$A209,実績!$AJ$6:$AJ$505,"&gt;"&amp;$A209,実績!$AK$6:$AK$505,"○")&gt;0,1,0))</f>
        <v>0</v>
      </c>
      <c r="DK209" s="39" t="n">
        <f aca="false">IF(DK$4=0,0,IF(COUNTIFS(実績!$W$6:$W$505,DK$3,実績!$AI$6:$AI$505,"&lt;="&amp;$A209,実績!$AJ$6:$AJ$505,"&gt;"&amp;$A209,実績!$AK$6:$AK$505,"○")&gt;0,1,0))</f>
        <v>0</v>
      </c>
      <c r="DL209" s="39" t="n">
        <f aca="false">IF(DL$4=0,0,IF(COUNTIFS(実績!$W$6:$W$505,DL$3,実績!$AI$6:$AI$505,"&lt;="&amp;$A209,実績!$AJ$6:$AJ$505,"&gt;"&amp;$A209,実績!$AK$6:$AK$505,"○")&gt;0,1,0))</f>
        <v>0</v>
      </c>
      <c r="DM209" s="39" t="n">
        <f aca="false">IF(DM$4=0,0,IF(COUNTIFS(実績!$W$6:$W$505,DM$3,実績!$AI$6:$AI$505,"&lt;="&amp;$A209,実績!$AJ$6:$AJ$505,"&gt;"&amp;$A209,実績!$AK$6:$AK$505,"○")&gt;0,1,0))</f>
        <v>0</v>
      </c>
      <c r="DN209" s="39" t="n">
        <f aca="false">IF(DN$4=0,0,IF(COUNTIFS(実績!$W$6:$W$505,DN$3,実績!$AI$6:$AI$505,"&lt;="&amp;$A209,実績!$AJ$6:$AJ$505,"&gt;"&amp;$A209,実績!$AK$6:$AK$505,"○")&gt;0,1,0))</f>
        <v>0</v>
      </c>
      <c r="DO209" s="39" t="n">
        <f aca="false">IF(DO$4=0,0,IF(COUNTIFS(実績!$W$6:$W$505,DO$3,実績!$AI$6:$AI$505,"&lt;="&amp;$A209,実績!$AJ$6:$AJ$505,"&gt;"&amp;$A209,実績!$AK$6:$AK$505,"○")&gt;0,1,0))</f>
        <v>0</v>
      </c>
      <c r="DP209" s="39" t="n">
        <f aca="false">IF(DP$4=0,0,IF(COUNTIFS(実績!$W$6:$W$505,DP$3,実績!$AI$6:$AI$505,"&lt;="&amp;$A209,実績!$AJ$6:$AJ$505,"&gt;"&amp;$A209,実績!$AK$6:$AK$505,"○")&gt;0,1,0))</f>
        <v>0</v>
      </c>
      <c r="DQ209" s="39" t="n">
        <f aca="false">IF(DQ$4=0,0,IF(COUNTIFS(実績!$W$6:$W$505,DQ$3,実績!$AI$6:$AI$505,"&lt;="&amp;$A209,実績!$AJ$6:$AJ$505,"&gt;"&amp;$A209,実績!$AK$6:$AK$505,"○")&gt;0,1,0))</f>
        <v>0</v>
      </c>
      <c r="DR209" s="39" t="n">
        <f aca="false">IF(DR$4=0,0,IF(COUNTIFS(実績!$W$6:$W$505,DR$3,実績!$AI$6:$AI$505,"&lt;="&amp;$A209,実績!$AJ$6:$AJ$505,"&gt;"&amp;$A209,実績!$AK$6:$AK$505,"○")&gt;0,1,0))</f>
        <v>0</v>
      </c>
      <c r="DS209" s="39" t="n">
        <f aca="false">SUM(C209:DR209)</f>
        <v>0</v>
      </c>
      <c r="DT209" s="39" t="n">
        <f aca="false">SUMPRODUCT((実績!$C$6:$C$505="○")*ISNUMBER(実績!$AM$6:$AM$505)*(実績!$AM$6:$AM$505&lt;=$A209)*(実績!$AN$6:$AN$505&gt;$A209))</f>
        <v>0</v>
      </c>
      <c r="DU209" s="39" t="n">
        <f aca="false">SUMIF($C$2:$DR$2,"製鉄曳船",C209:DR209)</f>
        <v>0</v>
      </c>
      <c r="DV209" s="39" t="n">
        <f aca="false">SUMIF($C$2:$DR$2,"西日本海運",C209:DR209)</f>
        <v>0</v>
      </c>
    </row>
    <row r="210" customFormat="false" ht="15" hidden="false" customHeight="false" outlineLevel="0" collapsed="false">
      <c r="A210" s="0" t="n">
        <v>1020</v>
      </c>
      <c r="B210" s="38" t="n">
        <f aca="false">A210/1440</f>
        <v>0.708333333333333</v>
      </c>
      <c r="C210" s="39" t="n">
        <f aca="false">IF(C$4=0,0,IF(COUNTIFS(実績!$W$6:$W$505,C$3,実績!$AI$6:$AI$505,"&lt;="&amp;$A210,実績!$AJ$6:$AJ$505,"&gt;"&amp;$A210,実績!$AK$6:$AK$505,"○")&gt;0,1,0))</f>
        <v>0</v>
      </c>
      <c r="D210" s="39" t="n">
        <f aca="false">IF(D$4=0,0,IF(COUNTIFS(実績!$W$6:$W$505,D$3,実績!$AI$6:$AI$505,"&lt;="&amp;$A210,実績!$AJ$6:$AJ$505,"&gt;"&amp;$A210,実績!$AK$6:$AK$505,"○")&gt;0,1,0))</f>
        <v>0</v>
      </c>
      <c r="E210" s="39" t="n">
        <f aca="false">IF(E$4=0,0,IF(COUNTIFS(実績!$W$6:$W$505,E$3,実績!$AI$6:$AI$505,"&lt;="&amp;$A210,実績!$AJ$6:$AJ$505,"&gt;"&amp;$A210,実績!$AK$6:$AK$505,"○")&gt;0,1,0))</f>
        <v>0</v>
      </c>
      <c r="F210" s="39" t="n">
        <f aca="false">IF(F$4=0,0,IF(COUNTIFS(実績!$W$6:$W$505,F$3,実績!$AI$6:$AI$505,"&lt;="&amp;$A210,実績!$AJ$6:$AJ$505,"&gt;"&amp;$A210,実績!$AK$6:$AK$505,"○")&gt;0,1,0))</f>
        <v>0</v>
      </c>
      <c r="G210" s="39" t="n">
        <f aca="false">IF(G$4=0,0,IF(COUNTIFS(実績!$W$6:$W$505,G$3,実績!$AI$6:$AI$505,"&lt;="&amp;$A210,実績!$AJ$6:$AJ$505,"&gt;"&amp;$A210,実績!$AK$6:$AK$505,"○")&gt;0,1,0))</f>
        <v>0</v>
      </c>
      <c r="H210" s="39" t="n">
        <f aca="false">IF(H$4=0,0,IF(COUNTIFS(実績!$W$6:$W$505,H$3,実績!$AI$6:$AI$505,"&lt;="&amp;$A210,実績!$AJ$6:$AJ$505,"&gt;"&amp;$A210,実績!$AK$6:$AK$505,"○")&gt;0,1,0))</f>
        <v>0</v>
      </c>
      <c r="I210" s="39" t="n">
        <f aca="false">IF(I$4=0,0,IF(COUNTIFS(実績!$W$6:$W$505,I$3,実績!$AI$6:$AI$505,"&lt;="&amp;$A210,実績!$AJ$6:$AJ$505,"&gt;"&amp;$A210,実績!$AK$6:$AK$505,"○")&gt;0,1,0))</f>
        <v>0</v>
      </c>
      <c r="J210" s="39" t="n">
        <f aca="false">IF(J$4=0,0,IF(COUNTIFS(実績!$W$6:$W$505,J$3,実績!$AI$6:$AI$505,"&lt;="&amp;$A210,実績!$AJ$6:$AJ$505,"&gt;"&amp;$A210,実績!$AK$6:$AK$505,"○")&gt;0,1,0))</f>
        <v>0</v>
      </c>
      <c r="K210" s="39" t="n">
        <f aca="false">IF(K$4=0,0,IF(COUNTIFS(実績!$W$6:$W$505,K$3,実績!$AI$6:$AI$505,"&lt;="&amp;$A210,実績!$AJ$6:$AJ$505,"&gt;"&amp;$A210,実績!$AK$6:$AK$505,"○")&gt;0,1,0))</f>
        <v>0</v>
      </c>
      <c r="L210" s="39" t="n">
        <f aca="false">IF(L$4=0,0,IF(COUNTIFS(実績!$W$6:$W$505,L$3,実績!$AI$6:$AI$505,"&lt;="&amp;$A210,実績!$AJ$6:$AJ$505,"&gt;"&amp;$A210,実績!$AK$6:$AK$505,"○")&gt;0,1,0))</f>
        <v>0</v>
      </c>
      <c r="M210" s="39" t="n">
        <f aca="false">IF(M$4=0,0,IF(COUNTIFS(実績!$W$6:$W$505,M$3,実績!$AI$6:$AI$505,"&lt;="&amp;$A210,実績!$AJ$6:$AJ$505,"&gt;"&amp;$A210,実績!$AK$6:$AK$505,"○")&gt;0,1,0))</f>
        <v>0</v>
      </c>
      <c r="N210" s="39" t="n">
        <f aca="false">IF(N$4=0,0,IF(COUNTIFS(実績!$W$6:$W$505,N$3,実績!$AI$6:$AI$505,"&lt;="&amp;$A210,実績!$AJ$6:$AJ$505,"&gt;"&amp;$A210,実績!$AK$6:$AK$505,"○")&gt;0,1,0))</f>
        <v>0</v>
      </c>
      <c r="O210" s="39" t="n">
        <f aca="false">IF(O$4=0,0,IF(COUNTIFS(実績!$W$6:$W$505,O$3,実績!$AI$6:$AI$505,"&lt;="&amp;$A210,実績!$AJ$6:$AJ$505,"&gt;"&amp;$A210,実績!$AK$6:$AK$505,"○")&gt;0,1,0))</f>
        <v>0</v>
      </c>
      <c r="P210" s="39" t="n">
        <f aca="false">IF(P$4=0,0,IF(COUNTIFS(実績!$W$6:$W$505,P$3,実績!$AI$6:$AI$505,"&lt;="&amp;$A210,実績!$AJ$6:$AJ$505,"&gt;"&amp;$A210,実績!$AK$6:$AK$505,"○")&gt;0,1,0))</f>
        <v>0</v>
      </c>
      <c r="Q210" s="39" t="n">
        <f aca="false">IF(Q$4=0,0,IF(COUNTIFS(実績!$W$6:$W$505,Q$3,実績!$AI$6:$AI$505,"&lt;="&amp;$A210,実績!$AJ$6:$AJ$505,"&gt;"&amp;$A210,実績!$AK$6:$AK$505,"○")&gt;0,1,0))</f>
        <v>0</v>
      </c>
      <c r="R210" s="39" t="n">
        <f aca="false">IF(R$4=0,0,IF(COUNTIFS(実績!$W$6:$W$505,R$3,実績!$AI$6:$AI$505,"&lt;="&amp;$A210,実績!$AJ$6:$AJ$505,"&gt;"&amp;$A210,実績!$AK$6:$AK$505,"○")&gt;0,1,0))</f>
        <v>0</v>
      </c>
      <c r="S210" s="39" t="n">
        <f aca="false">IF(S$4=0,0,IF(COUNTIFS(実績!$W$6:$W$505,S$3,実績!$AI$6:$AI$505,"&lt;="&amp;$A210,実績!$AJ$6:$AJ$505,"&gt;"&amp;$A210,実績!$AK$6:$AK$505,"○")&gt;0,1,0))</f>
        <v>0</v>
      </c>
      <c r="T210" s="39" t="n">
        <f aca="false">IF(T$4=0,0,IF(COUNTIFS(実績!$W$6:$W$505,T$3,実績!$AI$6:$AI$505,"&lt;="&amp;$A210,実績!$AJ$6:$AJ$505,"&gt;"&amp;$A210,実績!$AK$6:$AK$505,"○")&gt;0,1,0))</f>
        <v>0</v>
      </c>
      <c r="U210" s="39" t="n">
        <f aca="false">IF(U$4=0,0,IF(COUNTIFS(実績!$W$6:$W$505,U$3,実績!$AI$6:$AI$505,"&lt;="&amp;$A210,実績!$AJ$6:$AJ$505,"&gt;"&amp;$A210,実績!$AK$6:$AK$505,"○")&gt;0,1,0))</f>
        <v>0</v>
      </c>
      <c r="V210" s="39" t="n">
        <f aca="false">IF(V$4=0,0,IF(COUNTIFS(実績!$W$6:$W$505,V$3,実績!$AI$6:$AI$505,"&lt;="&amp;$A210,実績!$AJ$6:$AJ$505,"&gt;"&amp;$A210,実績!$AK$6:$AK$505,"○")&gt;0,1,0))</f>
        <v>0</v>
      </c>
      <c r="W210" s="39" t="n">
        <f aca="false">IF(W$4=0,0,IF(COUNTIFS(実績!$W$6:$W$505,W$3,実績!$AI$6:$AI$505,"&lt;="&amp;$A210,実績!$AJ$6:$AJ$505,"&gt;"&amp;$A210,実績!$AK$6:$AK$505,"○")&gt;0,1,0))</f>
        <v>0</v>
      </c>
      <c r="X210" s="39" t="n">
        <f aca="false">IF(X$4=0,0,IF(COUNTIFS(実績!$W$6:$W$505,X$3,実績!$AI$6:$AI$505,"&lt;="&amp;$A210,実績!$AJ$6:$AJ$505,"&gt;"&amp;$A210,実績!$AK$6:$AK$505,"○")&gt;0,1,0))</f>
        <v>0</v>
      </c>
      <c r="Y210" s="39" t="n">
        <f aca="false">IF(Y$4=0,0,IF(COUNTIFS(実績!$W$6:$W$505,Y$3,実績!$AI$6:$AI$505,"&lt;="&amp;$A210,実績!$AJ$6:$AJ$505,"&gt;"&amp;$A210,実績!$AK$6:$AK$505,"○")&gt;0,1,0))</f>
        <v>0</v>
      </c>
      <c r="Z210" s="39" t="n">
        <f aca="false">IF(Z$4=0,0,IF(COUNTIFS(実績!$W$6:$W$505,Z$3,実績!$AI$6:$AI$505,"&lt;="&amp;$A210,実績!$AJ$6:$AJ$505,"&gt;"&amp;$A210,実績!$AK$6:$AK$505,"○")&gt;0,1,0))</f>
        <v>0</v>
      </c>
      <c r="AA210" s="39" t="n">
        <f aca="false">IF(AA$4=0,0,IF(COUNTIFS(実績!$W$6:$W$505,AA$3,実績!$AI$6:$AI$505,"&lt;="&amp;$A210,実績!$AJ$6:$AJ$505,"&gt;"&amp;$A210,実績!$AK$6:$AK$505,"○")&gt;0,1,0))</f>
        <v>0</v>
      </c>
      <c r="AB210" s="39" t="n">
        <f aca="false">IF(AB$4=0,0,IF(COUNTIFS(実績!$W$6:$W$505,AB$3,実績!$AI$6:$AI$505,"&lt;="&amp;$A210,実績!$AJ$6:$AJ$505,"&gt;"&amp;$A210,実績!$AK$6:$AK$505,"○")&gt;0,1,0))</f>
        <v>0</v>
      </c>
      <c r="AC210" s="39" t="n">
        <f aca="false">IF(AC$4=0,0,IF(COUNTIFS(実績!$W$6:$W$505,AC$3,実績!$AI$6:$AI$505,"&lt;="&amp;$A210,実績!$AJ$6:$AJ$505,"&gt;"&amp;$A210,実績!$AK$6:$AK$505,"○")&gt;0,1,0))</f>
        <v>0</v>
      </c>
      <c r="AD210" s="39" t="n">
        <f aca="false">IF(AD$4=0,0,IF(COUNTIFS(実績!$W$6:$W$505,AD$3,実績!$AI$6:$AI$505,"&lt;="&amp;$A210,実績!$AJ$6:$AJ$505,"&gt;"&amp;$A210,実績!$AK$6:$AK$505,"○")&gt;0,1,0))</f>
        <v>0</v>
      </c>
      <c r="AE210" s="39" t="n">
        <f aca="false">IF(AE$4=0,0,IF(COUNTIFS(実績!$W$6:$W$505,AE$3,実績!$AI$6:$AI$505,"&lt;="&amp;$A210,実績!$AJ$6:$AJ$505,"&gt;"&amp;$A210,実績!$AK$6:$AK$505,"○")&gt;0,1,0))</f>
        <v>0</v>
      </c>
      <c r="AF210" s="39" t="n">
        <f aca="false">IF(AF$4=0,0,IF(COUNTIFS(実績!$W$6:$W$505,AF$3,実績!$AI$6:$AI$505,"&lt;="&amp;$A210,実績!$AJ$6:$AJ$505,"&gt;"&amp;$A210,実績!$AK$6:$AK$505,"○")&gt;0,1,0))</f>
        <v>0</v>
      </c>
      <c r="AG210" s="39" t="n">
        <f aca="false">IF(AG$4=0,0,IF(COUNTIFS(実績!$W$6:$W$505,AG$3,実績!$AI$6:$AI$505,"&lt;="&amp;$A210,実績!$AJ$6:$AJ$505,"&gt;"&amp;$A210,実績!$AK$6:$AK$505,"○")&gt;0,1,0))</f>
        <v>0</v>
      </c>
      <c r="AH210" s="39" t="n">
        <f aca="false">IF(AH$4=0,0,IF(COUNTIFS(実績!$W$6:$W$505,AH$3,実績!$AI$6:$AI$505,"&lt;="&amp;$A210,実績!$AJ$6:$AJ$505,"&gt;"&amp;$A210,実績!$AK$6:$AK$505,"○")&gt;0,1,0))</f>
        <v>0</v>
      </c>
      <c r="AI210" s="39" t="n">
        <f aca="false">IF(AI$4=0,0,IF(COUNTIFS(実績!$W$6:$W$505,AI$3,実績!$AI$6:$AI$505,"&lt;="&amp;$A210,実績!$AJ$6:$AJ$505,"&gt;"&amp;$A210,実績!$AK$6:$AK$505,"○")&gt;0,1,0))</f>
        <v>0</v>
      </c>
      <c r="AJ210" s="39" t="n">
        <f aca="false">IF(AJ$4=0,0,IF(COUNTIFS(実績!$W$6:$W$505,AJ$3,実績!$AI$6:$AI$505,"&lt;="&amp;$A210,実績!$AJ$6:$AJ$505,"&gt;"&amp;$A210,実績!$AK$6:$AK$505,"○")&gt;0,1,0))</f>
        <v>0</v>
      </c>
      <c r="AK210" s="39" t="n">
        <f aca="false">IF(AK$4=0,0,IF(COUNTIFS(実績!$W$6:$W$505,AK$3,実績!$AI$6:$AI$505,"&lt;="&amp;$A210,実績!$AJ$6:$AJ$505,"&gt;"&amp;$A210,実績!$AK$6:$AK$505,"○")&gt;0,1,0))</f>
        <v>0</v>
      </c>
      <c r="AL210" s="39" t="n">
        <f aca="false">IF(AL$4=0,0,IF(COUNTIFS(実績!$W$6:$W$505,AL$3,実績!$AI$6:$AI$505,"&lt;="&amp;$A210,実績!$AJ$6:$AJ$505,"&gt;"&amp;$A210,実績!$AK$6:$AK$505,"○")&gt;0,1,0))</f>
        <v>0</v>
      </c>
      <c r="AM210" s="39" t="n">
        <f aca="false">IF(AM$4=0,0,IF(COUNTIFS(実績!$W$6:$W$505,AM$3,実績!$AI$6:$AI$505,"&lt;="&amp;$A210,実績!$AJ$6:$AJ$505,"&gt;"&amp;$A210,実績!$AK$6:$AK$505,"○")&gt;0,1,0))</f>
        <v>0</v>
      </c>
      <c r="AN210" s="39" t="n">
        <f aca="false">IF(AN$4=0,0,IF(COUNTIFS(実績!$W$6:$W$505,AN$3,実績!$AI$6:$AI$505,"&lt;="&amp;$A210,実績!$AJ$6:$AJ$505,"&gt;"&amp;$A210,実績!$AK$6:$AK$505,"○")&gt;0,1,0))</f>
        <v>0</v>
      </c>
      <c r="AO210" s="39" t="n">
        <f aca="false">IF(AO$4=0,0,IF(COUNTIFS(実績!$W$6:$W$505,AO$3,実績!$AI$6:$AI$505,"&lt;="&amp;$A210,実績!$AJ$6:$AJ$505,"&gt;"&amp;$A210,実績!$AK$6:$AK$505,"○")&gt;0,1,0))</f>
        <v>0</v>
      </c>
      <c r="AP210" s="39" t="n">
        <f aca="false">IF(AP$4=0,0,IF(COUNTIFS(実績!$W$6:$W$505,AP$3,実績!$AI$6:$AI$505,"&lt;="&amp;$A210,実績!$AJ$6:$AJ$505,"&gt;"&amp;$A210,実績!$AK$6:$AK$505,"○")&gt;0,1,0))</f>
        <v>0</v>
      </c>
      <c r="AQ210" s="39" t="n">
        <f aca="false">IF(AQ$4=0,0,IF(COUNTIFS(実績!$W$6:$W$505,AQ$3,実績!$AI$6:$AI$505,"&lt;="&amp;$A210,実績!$AJ$6:$AJ$505,"&gt;"&amp;$A210,実績!$AK$6:$AK$505,"○")&gt;0,1,0))</f>
        <v>0</v>
      </c>
      <c r="AR210" s="39" t="n">
        <f aca="false">IF(AR$4=0,0,IF(COUNTIFS(実績!$W$6:$W$505,AR$3,実績!$AI$6:$AI$505,"&lt;="&amp;$A210,実績!$AJ$6:$AJ$505,"&gt;"&amp;$A210,実績!$AK$6:$AK$505,"○")&gt;0,1,0))</f>
        <v>0</v>
      </c>
      <c r="AS210" s="39" t="n">
        <f aca="false">IF(AS$4=0,0,IF(COUNTIFS(実績!$W$6:$W$505,AS$3,実績!$AI$6:$AI$505,"&lt;="&amp;$A210,実績!$AJ$6:$AJ$505,"&gt;"&amp;$A210,実績!$AK$6:$AK$505,"○")&gt;0,1,0))</f>
        <v>0</v>
      </c>
      <c r="AT210" s="39" t="n">
        <f aca="false">IF(AT$4=0,0,IF(COUNTIFS(実績!$W$6:$W$505,AT$3,実績!$AI$6:$AI$505,"&lt;="&amp;$A210,実績!$AJ$6:$AJ$505,"&gt;"&amp;$A210,実績!$AK$6:$AK$505,"○")&gt;0,1,0))</f>
        <v>0</v>
      </c>
      <c r="AU210" s="39" t="n">
        <f aca="false">IF(AU$4=0,0,IF(COUNTIFS(実績!$W$6:$W$505,AU$3,実績!$AI$6:$AI$505,"&lt;="&amp;$A210,実績!$AJ$6:$AJ$505,"&gt;"&amp;$A210,実績!$AK$6:$AK$505,"○")&gt;0,1,0))</f>
        <v>0</v>
      </c>
      <c r="AV210" s="39" t="n">
        <f aca="false">IF(AV$4=0,0,IF(COUNTIFS(実績!$W$6:$W$505,AV$3,実績!$AI$6:$AI$505,"&lt;="&amp;$A210,実績!$AJ$6:$AJ$505,"&gt;"&amp;$A210,実績!$AK$6:$AK$505,"○")&gt;0,1,0))</f>
        <v>0</v>
      </c>
      <c r="AW210" s="39" t="n">
        <f aca="false">IF(AW$4=0,0,IF(COUNTIFS(実績!$W$6:$W$505,AW$3,実績!$AI$6:$AI$505,"&lt;="&amp;$A210,実績!$AJ$6:$AJ$505,"&gt;"&amp;$A210,実績!$AK$6:$AK$505,"○")&gt;0,1,0))</f>
        <v>0</v>
      </c>
      <c r="AX210" s="39" t="n">
        <f aca="false">IF(AX$4=0,0,IF(COUNTIFS(実績!$W$6:$W$505,AX$3,実績!$AI$6:$AI$505,"&lt;="&amp;$A210,実績!$AJ$6:$AJ$505,"&gt;"&amp;$A210,実績!$AK$6:$AK$505,"○")&gt;0,1,0))</f>
        <v>0</v>
      </c>
      <c r="AY210" s="39" t="n">
        <f aca="false">IF(AY$4=0,0,IF(COUNTIFS(実績!$W$6:$W$505,AY$3,実績!$AI$6:$AI$505,"&lt;="&amp;$A210,実績!$AJ$6:$AJ$505,"&gt;"&amp;$A210,実績!$AK$6:$AK$505,"○")&gt;0,1,0))</f>
        <v>0</v>
      </c>
      <c r="AZ210" s="39" t="n">
        <f aca="false">IF(AZ$4=0,0,IF(COUNTIFS(実績!$W$6:$W$505,AZ$3,実績!$AI$6:$AI$505,"&lt;="&amp;$A210,実績!$AJ$6:$AJ$505,"&gt;"&amp;$A210,実績!$AK$6:$AK$505,"○")&gt;0,1,0))</f>
        <v>0</v>
      </c>
      <c r="BA210" s="39" t="n">
        <f aca="false">IF(BA$4=0,0,IF(COUNTIFS(実績!$W$6:$W$505,BA$3,実績!$AI$6:$AI$505,"&lt;="&amp;$A210,実績!$AJ$6:$AJ$505,"&gt;"&amp;$A210,実績!$AK$6:$AK$505,"○")&gt;0,1,0))</f>
        <v>0</v>
      </c>
      <c r="BB210" s="39" t="n">
        <f aca="false">IF(BB$4=0,0,IF(COUNTIFS(実績!$W$6:$W$505,BB$3,実績!$AI$6:$AI$505,"&lt;="&amp;$A210,実績!$AJ$6:$AJ$505,"&gt;"&amp;$A210,実績!$AK$6:$AK$505,"○")&gt;0,1,0))</f>
        <v>0</v>
      </c>
      <c r="BC210" s="39" t="n">
        <f aca="false">IF(BC$4=0,0,IF(COUNTIFS(実績!$W$6:$W$505,BC$3,実績!$AI$6:$AI$505,"&lt;="&amp;$A210,実績!$AJ$6:$AJ$505,"&gt;"&amp;$A210,実績!$AK$6:$AK$505,"○")&gt;0,1,0))</f>
        <v>0</v>
      </c>
      <c r="BD210" s="39" t="n">
        <f aca="false">IF(BD$4=0,0,IF(COUNTIFS(実績!$W$6:$W$505,BD$3,実績!$AI$6:$AI$505,"&lt;="&amp;$A210,実績!$AJ$6:$AJ$505,"&gt;"&amp;$A210,実績!$AK$6:$AK$505,"○")&gt;0,1,0))</f>
        <v>0</v>
      </c>
      <c r="BE210" s="39" t="n">
        <f aca="false">IF(BE$4=0,0,IF(COUNTIFS(実績!$W$6:$W$505,BE$3,実績!$AI$6:$AI$505,"&lt;="&amp;$A210,実績!$AJ$6:$AJ$505,"&gt;"&amp;$A210,実績!$AK$6:$AK$505,"○")&gt;0,1,0))</f>
        <v>0</v>
      </c>
      <c r="BF210" s="39" t="n">
        <f aca="false">IF(BF$4=0,0,IF(COUNTIFS(実績!$W$6:$W$505,BF$3,実績!$AI$6:$AI$505,"&lt;="&amp;$A210,実績!$AJ$6:$AJ$505,"&gt;"&amp;$A210,実績!$AK$6:$AK$505,"○")&gt;0,1,0))</f>
        <v>0</v>
      </c>
      <c r="BG210" s="39" t="n">
        <f aca="false">IF(BG$4=0,0,IF(COUNTIFS(実績!$W$6:$W$505,BG$3,実績!$AI$6:$AI$505,"&lt;="&amp;$A210,実績!$AJ$6:$AJ$505,"&gt;"&amp;$A210,実績!$AK$6:$AK$505,"○")&gt;0,1,0))</f>
        <v>0</v>
      </c>
      <c r="BH210" s="39" t="n">
        <f aca="false">IF(BH$4=0,0,IF(COUNTIFS(実績!$W$6:$W$505,BH$3,実績!$AI$6:$AI$505,"&lt;="&amp;$A210,実績!$AJ$6:$AJ$505,"&gt;"&amp;$A210,実績!$AK$6:$AK$505,"○")&gt;0,1,0))</f>
        <v>0</v>
      </c>
      <c r="BI210" s="39" t="n">
        <f aca="false">IF(BI$4=0,0,IF(COUNTIFS(実績!$W$6:$W$505,BI$3,実績!$AI$6:$AI$505,"&lt;="&amp;$A210,実績!$AJ$6:$AJ$505,"&gt;"&amp;$A210,実績!$AK$6:$AK$505,"○")&gt;0,1,0))</f>
        <v>0</v>
      </c>
      <c r="BJ210" s="39" t="n">
        <f aca="false">IF(BJ$4=0,0,IF(COUNTIFS(実績!$W$6:$W$505,BJ$3,実績!$AI$6:$AI$505,"&lt;="&amp;$A210,実績!$AJ$6:$AJ$505,"&gt;"&amp;$A210,実績!$AK$6:$AK$505,"○")&gt;0,1,0))</f>
        <v>0</v>
      </c>
      <c r="BK210" s="39" t="n">
        <f aca="false">IF(BK$4=0,0,IF(COUNTIFS(実績!$W$6:$W$505,BK$3,実績!$AI$6:$AI$505,"&lt;="&amp;$A210,実績!$AJ$6:$AJ$505,"&gt;"&amp;$A210,実績!$AK$6:$AK$505,"○")&gt;0,1,0))</f>
        <v>0</v>
      </c>
      <c r="BL210" s="39" t="n">
        <f aca="false">IF(BL$4=0,0,IF(COUNTIFS(実績!$W$6:$W$505,BL$3,実績!$AI$6:$AI$505,"&lt;="&amp;$A210,実績!$AJ$6:$AJ$505,"&gt;"&amp;$A210,実績!$AK$6:$AK$505,"○")&gt;0,1,0))</f>
        <v>0</v>
      </c>
      <c r="BM210" s="39" t="n">
        <f aca="false">IF(BM$4=0,0,IF(COUNTIFS(実績!$W$6:$W$505,BM$3,実績!$AI$6:$AI$505,"&lt;="&amp;$A210,実績!$AJ$6:$AJ$505,"&gt;"&amp;$A210,実績!$AK$6:$AK$505,"○")&gt;0,1,0))</f>
        <v>0</v>
      </c>
      <c r="BN210" s="39" t="n">
        <f aca="false">IF(BN$4=0,0,IF(COUNTIFS(実績!$W$6:$W$505,BN$3,実績!$AI$6:$AI$505,"&lt;="&amp;$A210,実績!$AJ$6:$AJ$505,"&gt;"&amp;$A210,実績!$AK$6:$AK$505,"○")&gt;0,1,0))</f>
        <v>0</v>
      </c>
      <c r="BO210" s="39" t="n">
        <f aca="false">IF(BO$4=0,0,IF(COUNTIFS(実績!$W$6:$W$505,BO$3,実績!$AI$6:$AI$505,"&lt;="&amp;$A210,実績!$AJ$6:$AJ$505,"&gt;"&amp;$A210,実績!$AK$6:$AK$505,"○")&gt;0,1,0))</f>
        <v>0</v>
      </c>
      <c r="BP210" s="39" t="n">
        <f aca="false">IF(BP$4=0,0,IF(COUNTIFS(実績!$W$6:$W$505,BP$3,実績!$AI$6:$AI$505,"&lt;="&amp;$A210,実績!$AJ$6:$AJ$505,"&gt;"&amp;$A210,実績!$AK$6:$AK$505,"○")&gt;0,1,0))</f>
        <v>0</v>
      </c>
      <c r="BQ210" s="39" t="n">
        <f aca="false">IF(BQ$4=0,0,IF(COUNTIFS(実績!$W$6:$W$505,BQ$3,実績!$AI$6:$AI$505,"&lt;="&amp;$A210,実績!$AJ$6:$AJ$505,"&gt;"&amp;$A210,実績!$AK$6:$AK$505,"○")&gt;0,1,0))</f>
        <v>0</v>
      </c>
      <c r="BR210" s="39" t="n">
        <f aca="false">IF(BR$4=0,0,IF(COUNTIFS(実績!$W$6:$W$505,BR$3,実績!$AI$6:$AI$505,"&lt;="&amp;$A210,実績!$AJ$6:$AJ$505,"&gt;"&amp;$A210,実績!$AK$6:$AK$505,"○")&gt;0,1,0))</f>
        <v>0</v>
      </c>
      <c r="BS210" s="39" t="n">
        <f aca="false">IF(BS$4=0,0,IF(COUNTIFS(実績!$W$6:$W$505,BS$3,実績!$AI$6:$AI$505,"&lt;="&amp;$A210,実績!$AJ$6:$AJ$505,"&gt;"&amp;$A210,実績!$AK$6:$AK$505,"○")&gt;0,1,0))</f>
        <v>0</v>
      </c>
      <c r="BT210" s="39" t="n">
        <f aca="false">IF(BT$4=0,0,IF(COUNTIFS(実績!$W$6:$W$505,BT$3,実績!$AI$6:$AI$505,"&lt;="&amp;$A210,実績!$AJ$6:$AJ$505,"&gt;"&amp;$A210,実績!$AK$6:$AK$505,"○")&gt;0,1,0))</f>
        <v>0</v>
      </c>
      <c r="BU210" s="39" t="n">
        <f aca="false">IF(BU$4=0,0,IF(COUNTIFS(実績!$W$6:$W$505,BU$3,実績!$AI$6:$AI$505,"&lt;="&amp;$A210,実績!$AJ$6:$AJ$505,"&gt;"&amp;$A210,実績!$AK$6:$AK$505,"○")&gt;0,1,0))</f>
        <v>0</v>
      </c>
      <c r="BV210" s="39" t="n">
        <f aca="false">IF(BV$4=0,0,IF(COUNTIFS(実績!$W$6:$W$505,BV$3,実績!$AI$6:$AI$505,"&lt;="&amp;$A210,実績!$AJ$6:$AJ$505,"&gt;"&amp;$A210,実績!$AK$6:$AK$505,"○")&gt;0,1,0))</f>
        <v>0</v>
      </c>
      <c r="BW210" s="39" t="n">
        <f aca="false">IF(BW$4=0,0,IF(COUNTIFS(実績!$W$6:$W$505,BW$3,実績!$AI$6:$AI$505,"&lt;="&amp;$A210,実績!$AJ$6:$AJ$505,"&gt;"&amp;$A210,実績!$AK$6:$AK$505,"○")&gt;0,1,0))</f>
        <v>0</v>
      </c>
      <c r="BX210" s="39" t="n">
        <f aca="false">IF(BX$4=0,0,IF(COUNTIFS(実績!$W$6:$W$505,BX$3,実績!$AI$6:$AI$505,"&lt;="&amp;$A210,実績!$AJ$6:$AJ$505,"&gt;"&amp;$A210,実績!$AK$6:$AK$505,"○")&gt;0,1,0))</f>
        <v>0</v>
      </c>
      <c r="BY210" s="39" t="n">
        <f aca="false">IF(BY$4=0,0,IF(COUNTIFS(実績!$W$6:$W$505,BY$3,実績!$AI$6:$AI$505,"&lt;="&amp;$A210,実績!$AJ$6:$AJ$505,"&gt;"&amp;$A210,実績!$AK$6:$AK$505,"○")&gt;0,1,0))</f>
        <v>0</v>
      </c>
      <c r="BZ210" s="39" t="n">
        <f aca="false">IF(BZ$4=0,0,IF(COUNTIFS(実績!$W$6:$W$505,BZ$3,実績!$AI$6:$AI$505,"&lt;="&amp;$A210,実績!$AJ$6:$AJ$505,"&gt;"&amp;$A210,実績!$AK$6:$AK$505,"○")&gt;0,1,0))</f>
        <v>0</v>
      </c>
      <c r="CA210" s="39" t="n">
        <f aca="false">IF(CA$4=0,0,IF(COUNTIFS(実績!$W$6:$W$505,CA$3,実績!$AI$6:$AI$505,"&lt;="&amp;$A210,実績!$AJ$6:$AJ$505,"&gt;"&amp;$A210,実績!$AK$6:$AK$505,"○")&gt;0,1,0))</f>
        <v>0</v>
      </c>
      <c r="CB210" s="39" t="n">
        <f aca="false">IF(CB$4=0,0,IF(COUNTIFS(実績!$W$6:$W$505,CB$3,実績!$AI$6:$AI$505,"&lt;="&amp;$A210,実績!$AJ$6:$AJ$505,"&gt;"&amp;$A210,実績!$AK$6:$AK$505,"○")&gt;0,1,0))</f>
        <v>0</v>
      </c>
      <c r="CC210" s="39" t="n">
        <f aca="false">IF(CC$4=0,0,IF(COUNTIFS(実績!$W$6:$W$505,CC$3,実績!$AI$6:$AI$505,"&lt;="&amp;$A210,実績!$AJ$6:$AJ$505,"&gt;"&amp;$A210,実績!$AK$6:$AK$505,"○")&gt;0,1,0))</f>
        <v>0</v>
      </c>
      <c r="CD210" s="39" t="n">
        <f aca="false">IF(CD$4=0,0,IF(COUNTIFS(実績!$W$6:$W$505,CD$3,実績!$AI$6:$AI$505,"&lt;="&amp;$A210,実績!$AJ$6:$AJ$505,"&gt;"&amp;$A210,実績!$AK$6:$AK$505,"○")&gt;0,1,0))</f>
        <v>0</v>
      </c>
      <c r="CE210" s="39" t="n">
        <f aca="false">IF(CE$4=0,0,IF(COUNTIFS(実績!$W$6:$W$505,CE$3,実績!$AI$6:$AI$505,"&lt;="&amp;$A210,実績!$AJ$6:$AJ$505,"&gt;"&amp;$A210,実績!$AK$6:$AK$505,"○")&gt;0,1,0))</f>
        <v>0</v>
      </c>
      <c r="CF210" s="39" t="n">
        <f aca="false">IF(CF$4=0,0,IF(COUNTIFS(実績!$W$6:$W$505,CF$3,実績!$AI$6:$AI$505,"&lt;="&amp;$A210,実績!$AJ$6:$AJ$505,"&gt;"&amp;$A210,実績!$AK$6:$AK$505,"○")&gt;0,1,0))</f>
        <v>0</v>
      </c>
      <c r="CG210" s="39" t="n">
        <f aca="false">IF(CG$4=0,0,IF(COUNTIFS(実績!$W$6:$W$505,CG$3,実績!$AI$6:$AI$505,"&lt;="&amp;$A210,実績!$AJ$6:$AJ$505,"&gt;"&amp;$A210,実績!$AK$6:$AK$505,"○")&gt;0,1,0))</f>
        <v>0</v>
      </c>
      <c r="CH210" s="39" t="n">
        <f aca="false">IF(CH$4=0,0,IF(COUNTIFS(実績!$W$6:$W$505,CH$3,実績!$AI$6:$AI$505,"&lt;="&amp;$A210,実績!$AJ$6:$AJ$505,"&gt;"&amp;$A210,実績!$AK$6:$AK$505,"○")&gt;0,1,0))</f>
        <v>0</v>
      </c>
      <c r="CI210" s="39" t="n">
        <f aca="false">IF(CI$4=0,0,IF(COUNTIFS(実績!$W$6:$W$505,CI$3,実績!$AI$6:$AI$505,"&lt;="&amp;$A210,実績!$AJ$6:$AJ$505,"&gt;"&amp;$A210,実績!$AK$6:$AK$505,"○")&gt;0,1,0))</f>
        <v>0</v>
      </c>
      <c r="CJ210" s="39" t="n">
        <f aca="false">IF(CJ$4=0,0,IF(COUNTIFS(実績!$W$6:$W$505,CJ$3,実績!$AI$6:$AI$505,"&lt;="&amp;$A210,実績!$AJ$6:$AJ$505,"&gt;"&amp;$A210,実績!$AK$6:$AK$505,"○")&gt;0,1,0))</f>
        <v>0</v>
      </c>
      <c r="CK210" s="39" t="n">
        <f aca="false">IF(CK$4=0,0,IF(COUNTIFS(実績!$W$6:$W$505,CK$3,実績!$AI$6:$AI$505,"&lt;="&amp;$A210,実績!$AJ$6:$AJ$505,"&gt;"&amp;$A210,実績!$AK$6:$AK$505,"○")&gt;0,1,0))</f>
        <v>0</v>
      </c>
      <c r="CL210" s="39" t="n">
        <f aca="false">IF(CL$4=0,0,IF(COUNTIFS(実績!$W$6:$W$505,CL$3,実績!$AI$6:$AI$505,"&lt;="&amp;$A210,実績!$AJ$6:$AJ$505,"&gt;"&amp;$A210,実績!$AK$6:$AK$505,"○")&gt;0,1,0))</f>
        <v>0</v>
      </c>
      <c r="CM210" s="39" t="n">
        <f aca="false">IF(CM$4=0,0,IF(COUNTIFS(実績!$W$6:$W$505,CM$3,実績!$AI$6:$AI$505,"&lt;="&amp;$A210,実績!$AJ$6:$AJ$505,"&gt;"&amp;$A210,実績!$AK$6:$AK$505,"○")&gt;0,1,0))</f>
        <v>0</v>
      </c>
      <c r="CN210" s="39" t="n">
        <f aca="false">IF(CN$4=0,0,IF(COUNTIFS(実績!$W$6:$W$505,CN$3,実績!$AI$6:$AI$505,"&lt;="&amp;$A210,実績!$AJ$6:$AJ$505,"&gt;"&amp;$A210,実績!$AK$6:$AK$505,"○")&gt;0,1,0))</f>
        <v>0</v>
      </c>
      <c r="CO210" s="39" t="n">
        <f aca="false">IF(CO$4=0,0,IF(COUNTIFS(実績!$W$6:$W$505,CO$3,実績!$AI$6:$AI$505,"&lt;="&amp;$A210,実績!$AJ$6:$AJ$505,"&gt;"&amp;$A210,実績!$AK$6:$AK$505,"○")&gt;0,1,0))</f>
        <v>0</v>
      </c>
      <c r="CP210" s="39" t="n">
        <f aca="false">IF(CP$4=0,0,IF(COUNTIFS(実績!$W$6:$W$505,CP$3,実績!$AI$6:$AI$505,"&lt;="&amp;$A210,実績!$AJ$6:$AJ$505,"&gt;"&amp;$A210,実績!$AK$6:$AK$505,"○")&gt;0,1,0))</f>
        <v>0</v>
      </c>
      <c r="CQ210" s="39" t="n">
        <f aca="false">IF(CQ$4=0,0,IF(COUNTIFS(実績!$W$6:$W$505,CQ$3,実績!$AI$6:$AI$505,"&lt;="&amp;$A210,実績!$AJ$6:$AJ$505,"&gt;"&amp;$A210,実績!$AK$6:$AK$505,"○")&gt;0,1,0))</f>
        <v>0</v>
      </c>
      <c r="CR210" s="39" t="n">
        <f aca="false">IF(CR$4=0,0,IF(COUNTIFS(実績!$W$6:$W$505,CR$3,実績!$AI$6:$AI$505,"&lt;="&amp;$A210,実績!$AJ$6:$AJ$505,"&gt;"&amp;$A210,実績!$AK$6:$AK$505,"○")&gt;0,1,0))</f>
        <v>0</v>
      </c>
      <c r="CS210" s="39" t="n">
        <f aca="false">IF(CS$4=0,0,IF(COUNTIFS(実績!$W$6:$W$505,CS$3,実績!$AI$6:$AI$505,"&lt;="&amp;$A210,実績!$AJ$6:$AJ$505,"&gt;"&amp;$A210,実績!$AK$6:$AK$505,"○")&gt;0,1,0))</f>
        <v>0</v>
      </c>
      <c r="CT210" s="39" t="n">
        <f aca="false">IF(CT$4=0,0,IF(COUNTIFS(実績!$W$6:$W$505,CT$3,実績!$AI$6:$AI$505,"&lt;="&amp;$A210,実績!$AJ$6:$AJ$505,"&gt;"&amp;$A210,実績!$AK$6:$AK$505,"○")&gt;0,1,0))</f>
        <v>0</v>
      </c>
      <c r="CU210" s="39" t="n">
        <f aca="false">IF(CU$4=0,0,IF(COUNTIFS(実績!$W$6:$W$505,CU$3,実績!$AI$6:$AI$505,"&lt;="&amp;$A210,実績!$AJ$6:$AJ$505,"&gt;"&amp;$A210,実績!$AK$6:$AK$505,"○")&gt;0,1,0))</f>
        <v>0</v>
      </c>
      <c r="CV210" s="39" t="n">
        <f aca="false">IF(CV$4=0,0,IF(COUNTIFS(実績!$W$6:$W$505,CV$3,実績!$AI$6:$AI$505,"&lt;="&amp;$A210,実績!$AJ$6:$AJ$505,"&gt;"&amp;$A210,実績!$AK$6:$AK$505,"○")&gt;0,1,0))</f>
        <v>0</v>
      </c>
      <c r="CW210" s="39" t="n">
        <f aca="false">IF(CW$4=0,0,IF(COUNTIFS(実績!$W$6:$W$505,CW$3,実績!$AI$6:$AI$505,"&lt;="&amp;$A210,実績!$AJ$6:$AJ$505,"&gt;"&amp;$A210,実績!$AK$6:$AK$505,"○")&gt;0,1,0))</f>
        <v>0</v>
      </c>
      <c r="CX210" s="39" t="n">
        <f aca="false">IF(CX$4=0,0,IF(COUNTIFS(実績!$W$6:$W$505,CX$3,実績!$AI$6:$AI$505,"&lt;="&amp;$A210,実績!$AJ$6:$AJ$505,"&gt;"&amp;$A210,実績!$AK$6:$AK$505,"○")&gt;0,1,0))</f>
        <v>0</v>
      </c>
      <c r="CY210" s="39" t="n">
        <f aca="false">IF(CY$4=0,0,IF(COUNTIFS(実績!$W$6:$W$505,CY$3,実績!$AI$6:$AI$505,"&lt;="&amp;$A210,実績!$AJ$6:$AJ$505,"&gt;"&amp;$A210,実績!$AK$6:$AK$505,"○")&gt;0,1,0))</f>
        <v>0</v>
      </c>
      <c r="CZ210" s="39" t="n">
        <f aca="false">IF(CZ$4=0,0,IF(COUNTIFS(実績!$W$6:$W$505,CZ$3,実績!$AI$6:$AI$505,"&lt;="&amp;$A210,実績!$AJ$6:$AJ$505,"&gt;"&amp;$A210,実績!$AK$6:$AK$505,"○")&gt;0,1,0))</f>
        <v>0</v>
      </c>
      <c r="DA210" s="39" t="n">
        <f aca="false">IF(DA$4=0,0,IF(COUNTIFS(実績!$W$6:$W$505,DA$3,実績!$AI$6:$AI$505,"&lt;="&amp;$A210,実績!$AJ$6:$AJ$505,"&gt;"&amp;$A210,実績!$AK$6:$AK$505,"○")&gt;0,1,0))</f>
        <v>0</v>
      </c>
      <c r="DB210" s="39" t="n">
        <f aca="false">IF(DB$4=0,0,IF(COUNTIFS(実績!$W$6:$W$505,DB$3,実績!$AI$6:$AI$505,"&lt;="&amp;$A210,実績!$AJ$6:$AJ$505,"&gt;"&amp;$A210,実績!$AK$6:$AK$505,"○")&gt;0,1,0))</f>
        <v>0</v>
      </c>
      <c r="DC210" s="39" t="n">
        <f aca="false">IF(DC$4=0,0,IF(COUNTIFS(実績!$W$6:$W$505,DC$3,実績!$AI$6:$AI$505,"&lt;="&amp;$A210,実績!$AJ$6:$AJ$505,"&gt;"&amp;$A210,実績!$AK$6:$AK$505,"○")&gt;0,1,0))</f>
        <v>0</v>
      </c>
      <c r="DD210" s="39" t="n">
        <f aca="false">IF(DD$4=0,0,IF(COUNTIFS(実績!$W$6:$W$505,DD$3,実績!$AI$6:$AI$505,"&lt;="&amp;$A210,実績!$AJ$6:$AJ$505,"&gt;"&amp;$A210,実績!$AK$6:$AK$505,"○")&gt;0,1,0))</f>
        <v>0</v>
      </c>
      <c r="DE210" s="39" t="n">
        <f aca="false">IF(DE$4=0,0,IF(COUNTIFS(実績!$W$6:$W$505,DE$3,実績!$AI$6:$AI$505,"&lt;="&amp;$A210,実績!$AJ$6:$AJ$505,"&gt;"&amp;$A210,実績!$AK$6:$AK$505,"○")&gt;0,1,0))</f>
        <v>0</v>
      </c>
      <c r="DF210" s="39" t="n">
        <f aca="false">IF(DF$4=0,0,IF(COUNTIFS(実績!$W$6:$W$505,DF$3,実績!$AI$6:$AI$505,"&lt;="&amp;$A210,実績!$AJ$6:$AJ$505,"&gt;"&amp;$A210,実績!$AK$6:$AK$505,"○")&gt;0,1,0))</f>
        <v>0</v>
      </c>
      <c r="DG210" s="39" t="n">
        <f aca="false">IF(DG$4=0,0,IF(COUNTIFS(実績!$W$6:$W$505,DG$3,実績!$AI$6:$AI$505,"&lt;="&amp;$A210,実績!$AJ$6:$AJ$505,"&gt;"&amp;$A210,実績!$AK$6:$AK$505,"○")&gt;0,1,0))</f>
        <v>0</v>
      </c>
      <c r="DH210" s="39" t="n">
        <f aca="false">IF(DH$4=0,0,IF(COUNTIFS(実績!$W$6:$W$505,DH$3,実績!$AI$6:$AI$505,"&lt;="&amp;$A210,実績!$AJ$6:$AJ$505,"&gt;"&amp;$A210,実績!$AK$6:$AK$505,"○")&gt;0,1,0))</f>
        <v>0</v>
      </c>
      <c r="DI210" s="39" t="n">
        <f aca="false">IF(DI$4=0,0,IF(COUNTIFS(実績!$W$6:$W$505,DI$3,実績!$AI$6:$AI$505,"&lt;="&amp;$A210,実績!$AJ$6:$AJ$505,"&gt;"&amp;$A210,実績!$AK$6:$AK$505,"○")&gt;0,1,0))</f>
        <v>0</v>
      </c>
      <c r="DJ210" s="39" t="n">
        <f aca="false">IF(DJ$4=0,0,IF(COUNTIFS(実績!$W$6:$W$505,DJ$3,実績!$AI$6:$AI$505,"&lt;="&amp;$A210,実績!$AJ$6:$AJ$505,"&gt;"&amp;$A210,実績!$AK$6:$AK$505,"○")&gt;0,1,0))</f>
        <v>0</v>
      </c>
      <c r="DK210" s="39" t="n">
        <f aca="false">IF(DK$4=0,0,IF(COUNTIFS(実績!$W$6:$W$505,DK$3,実績!$AI$6:$AI$505,"&lt;="&amp;$A210,実績!$AJ$6:$AJ$505,"&gt;"&amp;$A210,実績!$AK$6:$AK$505,"○")&gt;0,1,0))</f>
        <v>0</v>
      </c>
      <c r="DL210" s="39" t="n">
        <f aca="false">IF(DL$4=0,0,IF(COUNTIFS(実績!$W$6:$W$505,DL$3,実績!$AI$6:$AI$505,"&lt;="&amp;$A210,実績!$AJ$6:$AJ$505,"&gt;"&amp;$A210,実績!$AK$6:$AK$505,"○")&gt;0,1,0))</f>
        <v>0</v>
      </c>
      <c r="DM210" s="39" t="n">
        <f aca="false">IF(DM$4=0,0,IF(COUNTIFS(実績!$W$6:$W$505,DM$3,実績!$AI$6:$AI$505,"&lt;="&amp;$A210,実績!$AJ$6:$AJ$505,"&gt;"&amp;$A210,実績!$AK$6:$AK$505,"○")&gt;0,1,0))</f>
        <v>0</v>
      </c>
      <c r="DN210" s="39" t="n">
        <f aca="false">IF(DN$4=0,0,IF(COUNTIFS(実績!$W$6:$W$505,DN$3,実績!$AI$6:$AI$505,"&lt;="&amp;$A210,実績!$AJ$6:$AJ$505,"&gt;"&amp;$A210,実績!$AK$6:$AK$505,"○")&gt;0,1,0))</f>
        <v>0</v>
      </c>
      <c r="DO210" s="39" t="n">
        <f aca="false">IF(DO$4=0,0,IF(COUNTIFS(実績!$W$6:$W$505,DO$3,実績!$AI$6:$AI$505,"&lt;="&amp;$A210,実績!$AJ$6:$AJ$505,"&gt;"&amp;$A210,実績!$AK$6:$AK$505,"○")&gt;0,1,0))</f>
        <v>0</v>
      </c>
      <c r="DP210" s="39" t="n">
        <f aca="false">IF(DP$4=0,0,IF(COUNTIFS(実績!$W$6:$W$505,DP$3,実績!$AI$6:$AI$505,"&lt;="&amp;$A210,実績!$AJ$6:$AJ$505,"&gt;"&amp;$A210,実績!$AK$6:$AK$505,"○")&gt;0,1,0))</f>
        <v>0</v>
      </c>
      <c r="DQ210" s="39" t="n">
        <f aca="false">IF(DQ$4=0,0,IF(COUNTIFS(実績!$W$6:$W$505,DQ$3,実績!$AI$6:$AI$505,"&lt;="&amp;$A210,実績!$AJ$6:$AJ$505,"&gt;"&amp;$A210,実績!$AK$6:$AK$505,"○")&gt;0,1,0))</f>
        <v>0</v>
      </c>
      <c r="DR210" s="39" t="n">
        <f aca="false">IF(DR$4=0,0,IF(COUNTIFS(実績!$W$6:$W$505,DR$3,実績!$AI$6:$AI$505,"&lt;="&amp;$A210,実績!$AJ$6:$AJ$505,"&gt;"&amp;$A210,実績!$AK$6:$AK$505,"○")&gt;0,1,0))</f>
        <v>0</v>
      </c>
      <c r="DS210" s="39" t="n">
        <f aca="false">SUM(C210:DR210)</f>
        <v>0</v>
      </c>
      <c r="DT210" s="39" t="n">
        <f aca="false">SUMPRODUCT((実績!$C$6:$C$505="○")*ISNUMBER(実績!$AM$6:$AM$505)*(実績!$AM$6:$AM$505&lt;=$A210)*(実績!$AN$6:$AN$505&gt;$A210))</f>
        <v>0</v>
      </c>
      <c r="DU210" s="39" t="n">
        <f aca="false">SUMIF($C$2:$DR$2,"製鉄曳船",C210:DR210)</f>
        <v>0</v>
      </c>
      <c r="DV210" s="39" t="n">
        <f aca="false">SUMIF($C$2:$DR$2,"西日本海運",C210:DR210)</f>
        <v>0</v>
      </c>
    </row>
    <row r="211" customFormat="false" ht="15" hidden="false" customHeight="false" outlineLevel="0" collapsed="false">
      <c r="A211" s="0" t="n">
        <v>1025</v>
      </c>
      <c r="B211" s="38" t="n">
        <f aca="false">A211/1440</f>
        <v>0.711805555555556</v>
      </c>
      <c r="C211" s="39" t="n">
        <f aca="false">IF(C$4=0,0,IF(COUNTIFS(実績!$W$6:$W$505,C$3,実績!$AI$6:$AI$505,"&lt;="&amp;$A211,実績!$AJ$6:$AJ$505,"&gt;"&amp;$A211,実績!$AK$6:$AK$505,"○")&gt;0,1,0))</f>
        <v>0</v>
      </c>
      <c r="D211" s="39" t="n">
        <f aca="false">IF(D$4=0,0,IF(COUNTIFS(実績!$W$6:$W$505,D$3,実績!$AI$6:$AI$505,"&lt;="&amp;$A211,実績!$AJ$6:$AJ$505,"&gt;"&amp;$A211,実績!$AK$6:$AK$505,"○")&gt;0,1,0))</f>
        <v>0</v>
      </c>
      <c r="E211" s="39" t="n">
        <f aca="false">IF(E$4=0,0,IF(COUNTIFS(実績!$W$6:$W$505,E$3,実績!$AI$6:$AI$505,"&lt;="&amp;$A211,実績!$AJ$6:$AJ$505,"&gt;"&amp;$A211,実績!$AK$6:$AK$505,"○")&gt;0,1,0))</f>
        <v>0</v>
      </c>
      <c r="F211" s="39" t="n">
        <f aca="false">IF(F$4=0,0,IF(COUNTIFS(実績!$W$6:$W$505,F$3,実績!$AI$6:$AI$505,"&lt;="&amp;$A211,実績!$AJ$6:$AJ$505,"&gt;"&amp;$A211,実績!$AK$6:$AK$505,"○")&gt;0,1,0))</f>
        <v>0</v>
      </c>
      <c r="G211" s="39" t="n">
        <f aca="false">IF(G$4=0,0,IF(COUNTIFS(実績!$W$6:$W$505,G$3,実績!$AI$6:$AI$505,"&lt;="&amp;$A211,実績!$AJ$6:$AJ$505,"&gt;"&amp;$A211,実績!$AK$6:$AK$505,"○")&gt;0,1,0))</f>
        <v>0</v>
      </c>
      <c r="H211" s="39" t="n">
        <f aca="false">IF(H$4=0,0,IF(COUNTIFS(実績!$W$6:$W$505,H$3,実績!$AI$6:$AI$505,"&lt;="&amp;$A211,実績!$AJ$6:$AJ$505,"&gt;"&amp;$A211,実績!$AK$6:$AK$505,"○")&gt;0,1,0))</f>
        <v>0</v>
      </c>
      <c r="I211" s="39" t="n">
        <f aca="false">IF(I$4=0,0,IF(COUNTIFS(実績!$W$6:$W$505,I$3,実績!$AI$6:$AI$505,"&lt;="&amp;$A211,実績!$AJ$6:$AJ$505,"&gt;"&amp;$A211,実績!$AK$6:$AK$505,"○")&gt;0,1,0))</f>
        <v>0</v>
      </c>
      <c r="J211" s="39" t="n">
        <f aca="false">IF(J$4=0,0,IF(COUNTIFS(実績!$W$6:$W$505,J$3,実績!$AI$6:$AI$505,"&lt;="&amp;$A211,実績!$AJ$6:$AJ$505,"&gt;"&amp;$A211,実績!$AK$6:$AK$505,"○")&gt;0,1,0))</f>
        <v>0</v>
      </c>
      <c r="K211" s="39" t="n">
        <f aca="false">IF(K$4=0,0,IF(COUNTIFS(実績!$W$6:$W$505,K$3,実績!$AI$6:$AI$505,"&lt;="&amp;$A211,実績!$AJ$6:$AJ$505,"&gt;"&amp;$A211,実績!$AK$6:$AK$505,"○")&gt;0,1,0))</f>
        <v>0</v>
      </c>
      <c r="L211" s="39" t="n">
        <f aca="false">IF(L$4=0,0,IF(COUNTIFS(実績!$W$6:$W$505,L$3,実績!$AI$6:$AI$505,"&lt;="&amp;$A211,実績!$AJ$6:$AJ$505,"&gt;"&amp;$A211,実績!$AK$6:$AK$505,"○")&gt;0,1,0))</f>
        <v>0</v>
      </c>
      <c r="M211" s="39" t="n">
        <f aca="false">IF(M$4=0,0,IF(COUNTIFS(実績!$W$6:$W$505,M$3,実績!$AI$6:$AI$505,"&lt;="&amp;$A211,実績!$AJ$6:$AJ$505,"&gt;"&amp;$A211,実績!$AK$6:$AK$505,"○")&gt;0,1,0))</f>
        <v>0</v>
      </c>
      <c r="N211" s="39" t="n">
        <f aca="false">IF(N$4=0,0,IF(COUNTIFS(実績!$W$6:$W$505,N$3,実績!$AI$6:$AI$505,"&lt;="&amp;$A211,実績!$AJ$6:$AJ$505,"&gt;"&amp;$A211,実績!$AK$6:$AK$505,"○")&gt;0,1,0))</f>
        <v>0</v>
      </c>
      <c r="O211" s="39" t="n">
        <f aca="false">IF(O$4=0,0,IF(COUNTIFS(実績!$W$6:$W$505,O$3,実績!$AI$6:$AI$505,"&lt;="&amp;$A211,実績!$AJ$6:$AJ$505,"&gt;"&amp;$A211,実績!$AK$6:$AK$505,"○")&gt;0,1,0))</f>
        <v>0</v>
      </c>
      <c r="P211" s="39" t="n">
        <f aca="false">IF(P$4=0,0,IF(COUNTIFS(実績!$W$6:$W$505,P$3,実績!$AI$6:$AI$505,"&lt;="&amp;$A211,実績!$AJ$6:$AJ$505,"&gt;"&amp;$A211,実績!$AK$6:$AK$505,"○")&gt;0,1,0))</f>
        <v>0</v>
      </c>
      <c r="Q211" s="39" t="n">
        <f aca="false">IF(Q$4=0,0,IF(COUNTIFS(実績!$W$6:$W$505,Q$3,実績!$AI$6:$AI$505,"&lt;="&amp;$A211,実績!$AJ$6:$AJ$505,"&gt;"&amp;$A211,実績!$AK$6:$AK$505,"○")&gt;0,1,0))</f>
        <v>0</v>
      </c>
      <c r="R211" s="39" t="n">
        <f aca="false">IF(R$4=0,0,IF(COUNTIFS(実績!$W$6:$W$505,R$3,実績!$AI$6:$AI$505,"&lt;="&amp;$A211,実績!$AJ$6:$AJ$505,"&gt;"&amp;$A211,実績!$AK$6:$AK$505,"○")&gt;0,1,0))</f>
        <v>0</v>
      </c>
      <c r="S211" s="39" t="n">
        <f aca="false">IF(S$4=0,0,IF(COUNTIFS(実績!$W$6:$W$505,S$3,実績!$AI$6:$AI$505,"&lt;="&amp;$A211,実績!$AJ$6:$AJ$505,"&gt;"&amp;$A211,実績!$AK$6:$AK$505,"○")&gt;0,1,0))</f>
        <v>0</v>
      </c>
      <c r="T211" s="39" t="n">
        <f aca="false">IF(T$4=0,0,IF(COUNTIFS(実績!$W$6:$W$505,T$3,実績!$AI$6:$AI$505,"&lt;="&amp;$A211,実績!$AJ$6:$AJ$505,"&gt;"&amp;$A211,実績!$AK$6:$AK$505,"○")&gt;0,1,0))</f>
        <v>0</v>
      </c>
      <c r="U211" s="39" t="n">
        <f aca="false">IF(U$4=0,0,IF(COUNTIFS(実績!$W$6:$W$505,U$3,実績!$AI$6:$AI$505,"&lt;="&amp;$A211,実績!$AJ$6:$AJ$505,"&gt;"&amp;$A211,実績!$AK$6:$AK$505,"○")&gt;0,1,0))</f>
        <v>0</v>
      </c>
      <c r="V211" s="39" t="n">
        <f aca="false">IF(V$4=0,0,IF(COUNTIFS(実績!$W$6:$W$505,V$3,実績!$AI$6:$AI$505,"&lt;="&amp;$A211,実績!$AJ$6:$AJ$505,"&gt;"&amp;$A211,実績!$AK$6:$AK$505,"○")&gt;0,1,0))</f>
        <v>0</v>
      </c>
      <c r="W211" s="39" t="n">
        <f aca="false">IF(W$4=0,0,IF(COUNTIFS(実績!$W$6:$W$505,W$3,実績!$AI$6:$AI$505,"&lt;="&amp;$A211,実績!$AJ$6:$AJ$505,"&gt;"&amp;$A211,実績!$AK$6:$AK$505,"○")&gt;0,1,0))</f>
        <v>0</v>
      </c>
      <c r="X211" s="39" t="n">
        <f aca="false">IF(X$4=0,0,IF(COUNTIFS(実績!$W$6:$W$505,X$3,実績!$AI$6:$AI$505,"&lt;="&amp;$A211,実績!$AJ$6:$AJ$505,"&gt;"&amp;$A211,実績!$AK$6:$AK$505,"○")&gt;0,1,0))</f>
        <v>0</v>
      </c>
      <c r="Y211" s="39" t="n">
        <f aca="false">IF(Y$4=0,0,IF(COUNTIFS(実績!$W$6:$W$505,Y$3,実績!$AI$6:$AI$505,"&lt;="&amp;$A211,実績!$AJ$6:$AJ$505,"&gt;"&amp;$A211,実績!$AK$6:$AK$505,"○")&gt;0,1,0))</f>
        <v>0</v>
      </c>
      <c r="Z211" s="39" t="n">
        <f aca="false">IF(Z$4=0,0,IF(COUNTIFS(実績!$W$6:$W$505,Z$3,実績!$AI$6:$AI$505,"&lt;="&amp;$A211,実績!$AJ$6:$AJ$505,"&gt;"&amp;$A211,実績!$AK$6:$AK$505,"○")&gt;0,1,0))</f>
        <v>0</v>
      </c>
      <c r="AA211" s="39" t="n">
        <f aca="false">IF(AA$4=0,0,IF(COUNTIFS(実績!$W$6:$W$505,AA$3,実績!$AI$6:$AI$505,"&lt;="&amp;$A211,実績!$AJ$6:$AJ$505,"&gt;"&amp;$A211,実績!$AK$6:$AK$505,"○")&gt;0,1,0))</f>
        <v>0</v>
      </c>
      <c r="AB211" s="39" t="n">
        <f aca="false">IF(AB$4=0,0,IF(COUNTIFS(実績!$W$6:$W$505,AB$3,実績!$AI$6:$AI$505,"&lt;="&amp;$A211,実績!$AJ$6:$AJ$505,"&gt;"&amp;$A211,実績!$AK$6:$AK$505,"○")&gt;0,1,0))</f>
        <v>0</v>
      </c>
      <c r="AC211" s="39" t="n">
        <f aca="false">IF(AC$4=0,0,IF(COUNTIFS(実績!$W$6:$W$505,AC$3,実績!$AI$6:$AI$505,"&lt;="&amp;$A211,実績!$AJ$6:$AJ$505,"&gt;"&amp;$A211,実績!$AK$6:$AK$505,"○")&gt;0,1,0))</f>
        <v>0</v>
      </c>
      <c r="AD211" s="39" t="n">
        <f aca="false">IF(AD$4=0,0,IF(COUNTIFS(実績!$W$6:$W$505,AD$3,実績!$AI$6:$AI$505,"&lt;="&amp;$A211,実績!$AJ$6:$AJ$505,"&gt;"&amp;$A211,実績!$AK$6:$AK$505,"○")&gt;0,1,0))</f>
        <v>0</v>
      </c>
      <c r="AE211" s="39" t="n">
        <f aca="false">IF(AE$4=0,0,IF(COUNTIFS(実績!$W$6:$W$505,AE$3,実績!$AI$6:$AI$505,"&lt;="&amp;$A211,実績!$AJ$6:$AJ$505,"&gt;"&amp;$A211,実績!$AK$6:$AK$505,"○")&gt;0,1,0))</f>
        <v>0</v>
      </c>
      <c r="AF211" s="39" t="n">
        <f aca="false">IF(AF$4=0,0,IF(COUNTIFS(実績!$W$6:$W$505,AF$3,実績!$AI$6:$AI$505,"&lt;="&amp;$A211,実績!$AJ$6:$AJ$505,"&gt;"&amp;$A211,実績!$AK$6:$AK$505,"○")&gt;0,1,0))</f>
        <v>0</v>
      </c>
      <c r="AG211" s="39" t="n">
        <f aca="false">IF(AG$4=0,0,IF(COUNTIFS(実績!$W$6:$W$505,AG$3,実績!$AI$6:$AI$505,"&lt;="&amp;$A211,実績!$AJ$6:$AJ$505,"&gt;"&amp;$A211,実績!$AK$6:$AK$505,"○")&gt;0,1,0))</f>
        <v>0</v>
      </c>
      <c r="AH211" s="39" t="n">
        <f aca="false">IF(AH$4=0,0,IF(COUNTIFS(実績!$W$6:$W$505,AH$3,実績!$AI$6:$AI$505,"&lt;="&amp;$A211,実績!$AJ$6:$AJ$505,"&gt;"&amp;$A211,実績!$AK$6:$AK$505,"○")&gt;0,1,0))</f>
        <v>0</v>
      </c>
      <c r="AI211" s="39" t="n">
        <f aca="false">IF(AI$4=0,0,IF(COUNTIFS(実績!$W$6:$W$505,AI$3,実績!$AI$6:$AI$505,"&lt;="&amp;$A211,実績!$AJ$6:$AJ$505,"&gt;"&amp;$A211,実績!$AK$6:$AK$505,"○")&gt;0,1,0))</f>
        <v>0</v>
      </c>
      <c r="AJ211" s="39" t="n">
        <f aca="false">IF(AJ$4=0,0,IF(COUNTIFS(実績!$W$6:$W$505,AJ$3,実績!$AI$6:$AI$505,"&lt;="&amp;$A211,実績!$AJ$6:$AJ$505,"&gt;"&amp;$A211,実績!$AK$6:$AK$505,"○")&gt;0,1,0))</f>
        <v>0</v>
      </c>
      <c r="AK211" s="39" t="n">
        <f aca="false">IF(AK$4=0,0,IF(COUNTIFS(実績!$W$6:$W$505,AK$3,実績!$AI$6:$AI$505,"&lt;="&amp;$A211,実績!$AJ$6:$AJ$505,"&gt;"&amp;$A211,実績!$AK$6:$AK$505,"○")&gt;0,1,0))</f>
        <v>0</v>
      </c>
      <c r="AL211" s="39" t="n">
        <f aca="false">IF(AL$4=0,0,IF(COUNTIFS(実績!$W$6:$W$505,AL$3,実績!$AI$6:$AI$505,"&lt;="&amp;$A211,実績!$AJ$6:$AJ$505,"&gt;"&amp;$A211,実績!$AK$6:$AK$505,"○")&gt;0,1,0))</f>
        <v>0</v>
      </c>
      <c r="AM211" s="39" t="n">
        <f aca="false">IF(AM$4=0,0,IF(COUNTIFS(実績!$W$6:$W$505,AM$3,実績!$AI$6:$AI$505,"&lt;="&amp;$A211,実績!$AJ$6:$AJ$505,"&gt;"&amp;$A211,実績!$AK$6:$AK$505,"○")&gt;0,1,0))</f>
        <v>0</v>
      </c>
      <c r="AN211" s="39" t="n">
        <f aca="false">IF(AN$4=0,0,IF(COUNTIFS(実績!$W$6:$W$505,AN$3,実績!$AI$6:$AI$505,"&lt;="&amp;$A211,実績!$AJ$6:$AJ$505,"&gt;"&amp;$A211,実績!$AK$6:$AK$505,"○")&gt;0,1,0))</f>
        <v>0</v>
      </c>
      <c r="AO211" s="39" t="n">
        <f aca="false">IF(AO$4=0,0,IF(COUNTIFS(実績!$W$6:$W$505,AO$3,実績!$AI$6:$AI$505,"&lt;="&amp;$A211,実績!$AJ$6:$AJ$505,"&gt;"&amp;$A211,実績!$AK$6:$AK$505,"○")&gt;0,1,0))</f>
        <v>0</v>
      </c>
      <c r="AP211" s="39" t="n">
        <f aca="false">IF(AP$4=0,0,IF(COUNTIFS(実績!$W$6:$W$505,AP$3,実績!$AI$6:$AI$505,"&lt;="&amp;$A211,実績!$AJ$6:$AJ$505,"&gt;"&amp;$A211,実績!$AK$6:$AK$505,"○")&gt;0,1,0))</f>
        <v>0</v>
      </c>
      <c r="AQ211" s="39" t="n">
        <f aca="false">IF(AQ$4=0,0,IF(COUNTIFS(実績!$W$6:$W$505,AQ$3,実績!$AI$6:$AI$505,"&lt;="&amp;$A211,実績!$AJ$6:$AJ$505,"&gt;"&amp;$A211,実績!$AK$6:$AK$505,"○")&gt;0,1,0))</f>
        <v>0</v>
      </c>
      <c r="AR211" s="39" t="n">
        <f aca="false">IF(AR$4=0,0,IF(COUNTIFS(実績!$W$6:$W$505,AR$3,実績!$AI$6:$AI$505,"&lt;="&amp;$A211,実績!$AJ$6:$AJ$505,"&gt;"&amp;$A211,実績!$AK$6:$AK$505,"○")&gt;0,1,0))</f>
        <v>0</v>
      </c>
      <c r="AS211" s="39" t="n">
        <f aca="false">IF(AS$4=0,0,IF(COUNTIFS(実績!$W$6:$W$505,AS$3,実績!$AI$6:$AI$505,"&lt;="&amp;$A211,実績!$AJ$6:$AJ$505,"&gt;"&amp;$A211,実績!$AK$6:$AK$505,"○")&gt;0,1,0))</f>
        <v>0</v>
      </c>
      <c r="AT211" s="39" t="n">
        <f aca="false">IF(AT$4=0,0,IF(COUNTIFS(実績!$W$6:$W$505,AT$3,実績!$AI$6:$AI$505,"&lt;="&amp;$A211,実績!$AJ$6:$AJ$505,"&gt;"&amp;$A211,実績!$AK$6:$AK$505,"○")&gt;0,1,0))</f>
        <v>0</v>
      </c>
      <c r="AU211" s="39" t="n">
        <f aca="false">IF(AU$4=0,0,IF(COUNTIFS(実績!$W$6:$W$505,AU$3,実績!$AI$6:$AI$505,"&lt;="&amp;$A211,実績!$AJ$6:$AJ$505,"&gt;"&amp;$A211,実績!$AK$6:$AK$505,"○")&gt;0,1,0))</f>
        <v>0</v>
      </c>
      <c r="AV211" s="39" t="n">
        <f aca="false">IF(AV$4=0,0,IF(COUNTIFS(実績!$W$6:$W$505,AV$3,実績!$AI$6:$AI$505,"&lt;="&amp;$A211,実績!$AJ$6:$AJ$505,"&gt;"&amp;$A211,実績!$AK$6:$AK$505,"○")&gt;0,1,0))</f>
        <v>0</v>
      </c>
      <c r="AW211" s="39" t="n">
        <f aca="false">IF(AW$4=0,0,IF(COUNTIFS(実績!$W$6:$W$505,AW$3,実績!$AI$6:$AI$505,"&lt;="&amp;$A211,実績!$AJ$6:$AJ$505,"&gt;"&amp;$A211,実績!$AK$6:$AK$505,"○")&gt;0,1,0))</f>
        <v>0</v>
      </c>
      <c r="AX211" s="39" t="n">
        <f aca="false">IF(AX$4=0,0,IF(COUNTIFS(実績!$W$6:$W$505,AX$3,実績!$AI$6:$AI$505,"&lt;="&amp;$A211,実績!$AJ$6:$AJ$505,"&gt;"&amp;$A211,実績!$AK$6:$AK$505,"○")&gt;0,1,0))</f>
        <v>0</v>
      </c>
      <c r="AY211" s="39" t="n">
        <f aca="false">IF(AY$4=0,0,IF(COUNTIFS(実績!$W$6:$W$505,AY$3,実績!$AI$6:$AI$505,"&lt;="&amp;$A211,実績!$AJ$6:$AJ$505,"&gt;"&amp;$A211,実績!$AK$6:$AK$505,"○")&gt;0,1,0))</f>
        <v>0</v>
      </c>
      <c r="AZ211" s="39" t="n">
        <f aca="false">IF(AZ$4=0,0,IF(COUNTIFS(実績!$W$6:$W$505,AZ$3,実績!$AI$6:$AI$505,"&lt;="&amp;$A211,実績!$AJ$6:$AJ$505,"&gt;"&amp;$A211,実績!$AK$6:$AK$505,"○")&gt;0,1,0))</f>
        <v>0</v>
      </c>
      <c r="BA211" s="39" t="n">
        <f aca="false">IF(BA$4=0,0,IF(COUNTIFS(実績!$W$6:$W$505,BA$3,実績!$AI$6:$AI$505,"&lt;="&amp;$A211,実績!$AJ$6:$AJ$505,"&gt;"&amp;$A211,実績!$AK$6:$AK$505,"○")&gt;0,1,0))</f>
        <v>0</v>
      </c>
      <c r="BB211" s="39" t="n">
        <f aca="false">IF(BB$4=0,0,IF(COUNTIFS(実績!$W$6:$W$505,BB$3,実績!$AI$6:$AI$505,"&lt;="&amp;$A211,実績!$AJ$6:$AJ$505,"&gt;"&amp;$A211,実績!$AK$6:$AK$505,"○")&gt;0,1,0))</f>
        <v>0</v>
      </c>
      <c r="BC211" s="39" t="n">
        <f aca="false">IF(BC$4=0,0,IF(COUNTIFS(実績!$W$6:$W$505,BC$3,実績!$AI$6:$AI$505,"&lt;="&amp;$A211,実績!$AJ$6:$AJ$505,"&gt;"&amp;$A211,実績!$AK$6:$AK$505,"○")&gt;0,1,0))</f>
        <v>0</v>
      </c>
      <c r="BD211" s="39" t="n">
        <f aca="false">IF(BD$4=0,0,IF(COUNTIFS(実績!$W$6:$W$505,BD$3,実績!$AI$6:$AI$505,"&lt;="&amp;$A211,実績!$AJ$6:$AJ$505,"&gt;"&amp;$A211,実績!$AK$6:$AK$505,"○")&gt;0,1,0))</f>
        <v>0</v>
      </c>
      <c r="BE211" s="39" t="n">
        <f aca="false">IF(BE$4=0,0,IF(COUNTIFS(実績!$W$6:$W$505,BE$3,実績!$AI$6:$AI$505,"&lt;="&amp;$A211,実績!$AJ$6:$AJ$505,"&gt;"&amp;$A211,実績!$AK$6:$AK$505,"○")&gt;0,1,0))</f>
        <v>0</v>
      </c>
      <c r="BF211" s="39" t="n">
        <f aca="false">IF(BF$4=0,0,IF(COUNTIFS(実績!$W$6:$W$505,BF$3,実績!$AI$6:$AI$505,"&lt;="&amp;$A211,実績!$AJ$6:$AJ$505,"&gt;"&amp;$A211,実績!$AK$6:$AK$505,"○")&gt;0,1,0))</f>
        <v>0</v>
      </c>
      <c r="BG211" s="39" t="n">
        <f aca="false">IF(BG$4=0,0,IF(COUNTIFS(実績!$W$6:$W$505,BG$3,実績!$AI$6:$AI$505,"&lt;="&amp;$A211,実績!$AJ$6:$AJ$505,"&gt;"&amp;$A211,実績!$AK$6:$AK$505,"○")&gt;0,1,0))</f>
        <v>0</v>
      </c>
      <c r="BH211" s="39" t="n">
        <f aca="false">IF(BH$4=0,0,IF(COUNTIFS(実績!$W$6:$W$505,BH$3,実績!$AI$6:$AI$505,"&lt;="&amp;$A211,実績!$AJ$6:$AJ$505,"&gt;"&amp;$A211,実績!$AK$6:$AK$505,"○")&gt;0,1,0))</f>
        <v>0</v>
      </c>
      <c r="BI211" s="39" t="n">
        <f aca="false">IF(BI$4=0,0,IF(COUNTIFS(実績!$W$6:$W$505,BI$3,実績!$AI$6:$AI$505,"&lt;="&amp;$A211,実績!$AJ$6:$AJ$505,"&gt;"&amp;$A211,実績!$AK$6:$AK$505,"○")&gt;0,1,0))</f>
        <v>0</v>
      </c>
      <c r="BJ211" s="39" t="n">
        <f aca="false">IF(BJ$4=0,0,IF(COUNTIFS(実績!$W$6:$W$505,BJ$3,実績!$AI$6:$AI$505,"&lt;="&amp;$A211,実績!$AJ$6:$AJ$505,"&gt;"&amp;$A211,実績!$AK$6:$AK$505,"○")&gt;0,1,0))</f>
        <v>0</v>
      </c>
      <c r="BK211" s="39" t="n">
        <f aca="false">IF(BK$4=0,0,IF(COUNTIFS(実績!$W$6:$W$505,BK$3,実績!$AI$6:$AI$505,"&lt;="&amp;$A211,実績!$AJ$6:$AJ$505,"&gt;"&amp;$A211,実績!$AK$6:$AK$505,"○")&gt;0,1,0))</f>
        <v>0</v>
      </c>
      <c r="BL211" s="39" t="n">
        <f aca="false">IF(BL$4=0,0,IF(COUNTIFS(実績!$W$6:$W$505,BL$3,実績!$AI$6:$AI$505,"&lt;="&amp;$A211,実績!$AJ$6:$AJ$505,"&gt;"&amp;$A211,実績!$AK$6:$AK$505,"○")&gt;0,1,0))</f>
        <v>0</v>
      </c>
      <c r="BM211" s="39" t="n">
        <f aca="false">IF(BM$4=0,0,IF(COUNTIFS(実績!$W$6:$W$505,BM$3,実績!$AI$6:$AI$505,"&lt;="&amp;$A211,実績!$AJ$6:$AJ$505,"&gt;"&amp;$A211,実績!$AK$6:$AK$505,"○")&gt;0,1,0))</f>
        <v>0</v>
      </c>
      <c r="BN211" s="39" t="n">
        <f aca="false">IF(BN$4=0,0,IF(COUNTIFS(実績!$W$6:$W$505,BN$3,実績!$AI$6:$AI$505,"&lt;="&amp;$A211,実績!$AJ$6:$AJ$505,"&gt;"&amp;$A211,実績!$AK$6:$AK$505,"○")&gt;0,1,0))</f>
        <v>0</v>
      </c>
      <c r="BO211" s="39" t="n">
        <f aca="false">IF(BO$4=0,0,IF(COUNTIFS(実績!$W$6:$W$505,BO$3,実績!$AI$6:$AI$505,"&lt;="&amp;$A211,実績!$AJ$6:$AJ$505,"&gt;"&amp;$A211,実績!$AK$6:$AK$505,"○")&gt;0,1,0))</f>
        <v>0</v>
      </c>
      <c r="BP211" s="39" t="n">
        <f aca="false">IF(BP$4=0,0,IF(COUNTIFS(実績!$W$6:$W$505,BP$3,実績!$AI$6:$AI$505,"&lt;="&amp;$A211,実績!$AJ$6:$AJ$505,"&gt;"&amp;$A211,実績!$AK$6:$AK$505,"○")&gt;0,1,0))</f>
        <v>0</v>
      </c>
      <c r="BQ211" s="39" t="n">
        <f aca="false">IF(BQ$4=0,0,IF(COUNTIFS(実績!$W$6:$W$505,BQ$3,実績!$AI$6:$AI$505,"&lt;="&amp;$A211,実績!$AJ$6:$AJ$505,"&gt;"&amp;$A211,実績!$AK$6:$AK$505,"○")&gt;0,1,0))</f>
        <v>0</v>
      </c>
      <c r="BR211" s="39" t="n">
        <f aca="false">IF(BR$4=0,0,IF(COUNTIFS(実績!$W$6:$W$505,BR$3,実績!$AI$6:$AI$505,"&lt;="&amp;$A211,実績!$AJ$6:$AJ$505,"&gt;"&amp;$A211,実績!$AK$6:$AK$505,"○")&gt;0,1,0))</f>
        <v>0</v>
      </c>
      <c r="BS211" s="39" t="n">
        <f aca="false">IF(BS$4=0,0,IF(COUNTIFS(実績!$W$6:$W$505,BS$3,実績!$AI$6:$AI$505,"&lt;="&amp;$A211,実績!$AJ$6:$AJ$505,"&gt;"&amp;$A211,実績!$AK$6:$AK$505,"○")&gt;0,1,0))</f>
        <v>0</v>
      </c>
      <c r="BT211" s="39" t="n">
        <f aca="false">IF(BT$4=0,0,IF(COUNTIFS(実績!$W$6:$W$505,BT$3,実績!$AI$6:$AI$505,"&lt;="&amp;$A211,実績!$AJ$6:$AJ$505,"&gt;"&amp;$A211,実績!$AK$6:$AK$505,"○")&gt;0,1,0))</f>
        <v>0</v>
      </c>
      <c r="BU211" s="39" t="n">
        <f aca="false">IF(BU$4=0,0,IF(COUNTIFS(実績!$W$6:$W$505,BU$3,実績!$AI$6:$AI$505,"&lt;="&amp;$A211,実績!$AJ$6:$AJ$505,"&gt;"&amp;$A211,実績!$AK$6:$AK$505,"○")&gt;0,1,0))</f>
        <v>0</v>
      </c>
      <c r="BV211" s="39" t="n">
        <f aca="false">IF(BV$4=0,0,IF(COUNTIFS(実績!$W$6:$W$505,BV$3,実績!$AI$6:$AI$505,"&lt;="&amp;$A211,実績!$AJ$6:$AJ$505,"&gt;"&amp;$A211,実績!$AK$6:$AK$505,"○")&gt;0,1,0))</f>
        <v>0</v>
      </c>
      <c r="BW211" s="39" t="n">
        <f aca="false">IF(BW$4=0,0,IF(COUNTIFS(実績!$W$6:$W$505,BW$3,実績!$AI$6:$AI$505,"&lt;="&amp;$A211,実績!$AJ$6:$AJ$505,"&gt;"&amp;$A211,実績!$AK$6:$AK$505,"○")&gt;0,1,0))</f>
        <v>0</v>
      </c>
      <c r="BX211" s="39" t="n">
        <f aca="false">IF(BX$4=0,0,IF(COUNTIFS(実績!$W$6:$W$505,BX$3,実績!$AI$6:$AI$505,"&lt;="&amp;$A211,実績!$AJ$6:$AJ$505,"&gt;"&amp;$A211,実績!$AK$6:$AK$505,"○")&gt;0,1,0))</f>
        <v>0</v>
      </c>
      <c r="BY211" s="39" t="n">
        <f aca="false">IF(BY$4=0,0,IF(COUNTIFS(実績!$W$6:$W$505,BY$3,実績!$AI$6:$AI$505,"&lt;="&amp;$A211,実績!$AJ$6:$AJ$505,"&gt;"&amp;$A211,実績!$AK$6:$AK$505,"○")&gt;0,1,0))</f>
        <v>0</v>
      </c>
      <c r="BZ211" s="39" t="n">
        <f aca="false">IF(BZ$4=0,0,IF(COUNTIFS(実績!$W$6:$W$505,BZ$3,実績!$AI$6:$AI$505,"&lt;="&amp;$A211,実績!$AJ$6:$AJ$505,"&gt;"&amp;$A211,実績!$AK$6:$AK$505,"○")&gt;0,1,0))</f>
        <v>0</v>
      </c>
      <c r="CA211" s="39" t="n">
        <f aca="false">IF(CA$4=0,0,IF(COUNTIFS(実績!$W$6:$W$505,CA$3,実績!$AI$6:$AI$505,"&lt;="&amp;$A211,実績!$AJ$6:$AJ$505,"&gt;"&amp;$A211,実績!$AK$6:$AK$505,"○")&gt;0,1,0))</f>
        <v>0</v>
      </c>
      <c r="CB211" s="39" t="n">
        <f aca="false">IF(CB$4=0,0,IF(COUNTIFS(実績!$W$6:$W$505,CB$3,実績!$AI$6:$AI$505,"&lt;="&amp;$A211,実績!$AJ$6:$AJ$505,"&gt;"&amp;$A211,実績!$AK$6:$AK$505,"○")&gt;0,1,0))</f>
        <v>0</v>
      </c>
      <c r="CC211" s="39" t="n">
        <f aca="false">IF(CC$4=0,0,IF(COUNTIFS(実績!$W$6:$W$505,CC$3,実績!$AI$6:$AI$505,"&lt;="&amp;$A211,実績!$AJ$6:$AJ$505,"&gt;"&amp;$A211,実績!$AK$6:$AK$505,"○")&gt;0,1,0))</f>
        <v>0</v>
      </c>
      <c r="CD211" s="39" t="n">
        <f aca="false">IF(CD$4=0,0,IF(COUNTIFS(実績!$W$6:$W$505,CD$3,実績!$AI$6:$AI$505,"&lt;="&amp;$A211,実績!$AJ$6:$AJ$505,"&gt;"&amp;$A211,実績!$AK$6:$AK$505,"○")&gt;0,1,0))</f>
        <v>0</v>
      </c>
      <c r="CE211" s="39" t="n">
        <f aca="false">IF(CE$4=0,0,IF(COUNTIFS(実績!$W$6:$W$505,CE$3,実績!$AI$6:$AI$505,"&lt;="&amp;$A211,実績!$AJ$6:$AJ$505,"&gt;"&amp;$A211,実績!$AK$6:$AK$505,"○")&gt;0,1,0))</f>
        <v>0</v>
      </c>
      <c r="CF211" s="39" t="n">
        <f aca="false">IF(CF$4=0,0,IF(COUNTIFS(実績!$W$6:$W$505,CF$3,実績!$AI$6:$AI$505,"&lt;="&amp;$A211,実績!$AJ$6:$AJ$505,"&gt;"&amp;$A211,実績!$AK$6:$AK$505,"○")&gt;0,1,0))</f>
        <v>0</v>
      </c>
      <c r="CG211" s="39" t="n">
        <f aca="false">IF(CG$4=0,0,IF(COUNTIFS(実績!$W$6:$W$505,CG$3,実績!$AI$6:$AI$505,"&lt;="&amp;$A211,実績!$AJ$6:$AJ$505,"&gt;"&amp;$A211,実績!$AK$6:$AK$505,"○")&gt;0,1,0))</f>
        <v>0</v>
      </c>
      <c r="CH211" s="39" t="n">
        <f aca="false">IF(CH$4=0,0,IF(COUNTIFS(実績!$W$6:$W$505,CH$3,実績!$AI$6:$AI$505,"&lt;="&amp;$A211,実績!$AJ$6:$AJ$505,"&gt;"&amp;$A211,実績!$AK$6:$AK$505,"○")&gt;0,1,0))</f>
        <v>0</v>
      </c>
      <c r="CI211" s="39" t="n">
        <f aca="false">IF(CI$4=0,0,IF(COUNTIFS(実績!$W$6:$W$505,CI$3,実績!$AI$6:$AI$505,"&lt;="&amp;$A211,実績!$AJ$6:$AJ$505,"&gt;"&amp;$A211,実績!$AK$6:$AK$505,"○")&gt;0,1,0))</f>
        <v>0</v>
      </c>
      <c r="CJ211" s="39" t="n">
        <f aca="false">IF(CJ$4=0,0,IF(COUNTIFS(実績!$W$6:$W$505,CJ$3,実績!$AI$6:$AI$505,"&lt;="&amp;$A211,実績!$AJ$6:$AJ$505,"&gt;"&amp;$A211,実績!$AK$6:$AK$505,"○")&gt;0,1,0))</f>
        <v>0</v>
      </c>
      <c r="CK211" s="39" t="n">
        <f aca="false">IF(CK$4=0,0,IF(COUNTIFS(実績!$W$6:$W$505,CK$3,実績!$AI$6:$AI$505,"&lt;="&amp;$A211,実績!$AJ$6:$AJ$505,"&gt;"&amp;$A211,実績!$AK$6:$AK$505,"○")&gt;0,1,0))</f>
        <v>0</v>
      </c>
      <c r="CL211" s="39" t="n">
        <f aca="false">IF(CL$4=0,0,IF(COUNTIFS(実績!$W$6:$W$505,CL$3,実績!$AI$6:$AI$505,"&lt;="&amp;$A211,実績!$AJ$6:$AJ$505,"&gt;"&amp;$A211,実績!$AK$6:$AK$505,"○")&gt;0,1,0))</f>
        <v>0</v>
      </c>
      <c r="CM211" s="39" t="n">
        <f aca="false">IF(CM$4=0,0,IF(COUNTIFS(実績!$W$6:$W$505,CM$3,実績!$AI$6:$AI$505,"&lt;="&amp;$A211,実績!$AJ$6:$AJ$505,"&gt;"&amp;$A211,実績!$AK$6:$AK$505,"○")&gt;0,1,0))</f>
        <v>0</v>
      </c>
      <c r="CN211" s="39" t="n">
        <f aca="false">IF(CN$4=0,0,IF(COUNTIFS(実績!$W$6:$W$505,CN$3,実績!$AI$6:$AI$505,"&lt;="&amp;$A211,実績!$AJ$6:$AJ$505,"&gt;"&amp;$A211,実績!$AK$6:$AK$505,"○")&gt;0,1,0))</f>
        <v>0</v>
      </c>
      <c r="CO211" s="39" t="n">
        <f aca="false">IF(CO$4=0,0,IF(COUNTIFS(実績!$W$6:$W$505,CO$3,実績!$AI$6:$AI$505,"&lt;="&amp;$A211,実績!$AJ$6:$AJ$505,"&gt;"&amp;$A211,実績!$AK$6:$AK$505,"○")&gt;0,1,0))</f>
        <v>0</v>
      </c>
      <c r="CP211" s="39" t="n">
        <f aca="false">IF(CP$4=0,0,IF(COUNTIFS(実績!$W$6:$W$505,CP$3,実績!$AI$6:$AI$505,"&lt;="&amp;$A211,実績!$AJ$6:$AJ$505,"&gt;"&amp;$A211,実績!$AK$6:$AK$505,"○")&gt;0,1,0))</f>
        <v>0</v>
      </c>
      <c r="CQ211" s="39" t="n">
        <f aca="false">IF(CQ$4=0,0,IF(COUNTIFS(実績!$W$6:$W$505,CQ$3,実績!$AI$6:$AI$505,"&lt;="&amp;$A211,実績!$AJ$6:$AJ$505,"&gt;"&amp;$A211,実績!$AK$6:$AK$505,"○")&gt;0,1,0))</f>
        <v>0</v>
      </c>
      <c r="CR211" s="39" t="n">
        <f aca="false">IF(CR$4=0,0,IF(COUNTIFS(実績!$W$6:$W$505,CR$3,実績!$AI$6:$AI$505,"&lt;="&amp;$A211,実績!$AJ$6:$AJ$505,"&gt;"&amp;$A211,実績!$AK$6:$AK$505,"○")&gt;0,1,0))</f>
        <v>0</v>
      </c>
      <c r="CS211" s="39" t="n">
        <f aca="false">IF(CS$4=0,0,IF(COUNTIFS(実績!$W$6:$W$505,CS$3,実績!$AI$6:$AI$505,"&lt;="&amp;$A211,実績!$AJ$6:$AJ$505,"&gt;"&amp;$A211,実績!$AK$6:$AK$505,"○")&gt;0,1,0))</f>
        <v>0</v>
      </c>
      <c r="CT211" s="39" t="n">
        <f aca="false">IF(CT$4=0,0,IF(COUNTIFS(実績!$W$6:$W$505,CT$3,実績!$AI$6:$AI$505,"&lt;="&amp;$A211,実績!$AJ$6:$AJ$505,"&gt;"&amp;$A211,実績!$AK$6:$AK$505,"○")&gt;0,1,0))</f>
        <v>0</v>
      </c>
      <c r="CU211" s="39" t="n">
        <f aca="false">IF(CU$4=0,0,IF(COUNTIFS(実績!$W$6:$W$505,CU$3,実績!$AI$6:$AI$505,"&lt;="&amp;$A211,実績!$AJ$6:$AJ$505,"&gt;"&amp;$A211,実績!$AK$6:$AK$505,"○")&gt;0,1,0))</f>
        <v>0</v>
      </c>
      <c r="CV211" s="39" t="n">
        <f aca="false">IF(CV$4=0,0,IF(COUNTIFS(実績!$W$6:$W$505,CV$3,実績!$AI$6:$AI$505,"&lt;="&amp;$A211,実績!$AJ$6:$AJ$505,"&gt;"&amp;$A211,実績!$AK$6:$AK$505,"○")&gt;0,1,0))</f>
        <v>0</v>
      </c>
      <c r="CW211" s="39" t="n">
        <f aca="false">IF(CW$4=0,0,IF(COUNTIFS(実績!$W$6:$W$505,CW$3,実績!$AI$6:$AI$505,"&lt;="&amp;$A211,実績!$AJ$6:$AJ$505,"&gt;"&amp;$A211,実績!$AK$6:$AK$505,"○")&gt;0,1,0))</f>
        <v>0</v>
      </c>
      <c r="CX211" s="39" t="n">
        <f aca="false">IF(CX$4=0,0,IF(COUNTIFS(実績!$W$6:$W$505,CX$3,実績!$AI$6:$AI$505,"&lt;="&amp;$A211,実績!$AJ$6:$AJ$505,"&gt;"&amp;$A211,実績!$AK$6:$AK$505,"○")&gt;0,1,0))</f>
        <v>0</v>
      </c>
      <c r="CY211" s="39" t="n">
        <f aca="false">IF(CY$4=0,0,IF(COUNTIFS(実績!$W$6:$W$505,CY$3,実績!$AI$6:$AI$505,"&lt;="&amp;$A211,実績!$AJ$6:$AJ$505,"&gt;"&amp;$A211,実績!$AK$6:$AK$505,"○")&gt;0,1,0))</f>
        <v>0</v>
      </c>
      <c r="CZ211" s="39" t="n">
        <f aca="false">IF(CZ$4=0,0,IF(COUNTIFS(実績!$W$6:$W$505,CZ$3,実績!$AI$6:$AI$505,"&lt;="&amp;$A211,実績!$AJ$6:$AJ$505,"&gt;"&amp;$A211,実績!$AK$6:$AK$505,"○")&gt;0,1,0))</f>
        <v>0</v>
      </c>
      <c r="DA211" s="39" t="n">
        <f aca="false">IF(DA$4=0,0,IF(COUNTIFS(実績!$W$6:$W$505,DA$3,実績!$AI$6:$AI$505,"&lt;="&amp;$A211,実績!$AJ$6:$AJ$505,"&gt;"&amp;$A211,実績!$AK$6:$AK$505,"○")&gt;0,1,0))</f>
        <v>0</v>
      </c>
      <c r="DB211" s="39" t="n">
        <f aca="false">IF(DB$4=0,0,IF(COUNTIFS(実績!$W$6:$W$505,DB$3,実績!$AI$6:$AI$505,"&lt;="&amp;$A211,実績!$AJ$6:$AJ$505,"&gt;"&amp;$A211,実績!$AK$6:$AK$505,"○")&gt;0,1,0))</f>
        <v>0</v>
      </c>
      <c r="DC211" s="39" t="n">
        <f aca="false">IF(DC$4=0,0,IF(COUNTIFS(実績!$W$6:$W$505,DC$3,実績!$AI$6:$AI$505,"&lt;="&amp;$A211,実績!$AJ$6:$AJ$505,"&gt;"&amp;$A211,実績!$AK$6:$AK$505,"○")&gt;0,1,0))</f>
        <v>0</v>
      </c>
      <c r="DD211" s="39" t="n">
        <f aca="false">IF(DD$4=0,0,IF(COUNTIFS(実績!$W$6:$W$505,DD$3,実績!$AI$6:$AI$505,"&lt;="&amp;$A211,実績!$AJ$6:$AJ$505,"&gt;"&amp;$A211,実績!$AK$6:$AK$505,"○")&gt;0,1,0))</f>
        <v>0</v>
      </c>
      <c r="DE211" s="39" t="n">
        <f aca="false">IF(DE$4=0,0,IF(COUNTIFS(実績!$W$6:$W$505,DE$3,実績!$AI$6:$AI$505,"&lt;="&amp;$A211,実績!$AJ$6:$AJ$505,"&gt;"&amp;$A211,実績!$AK$6:$AK$505,"○")&gt;0,1,0))</f>
        <v>0</v>
      </c>
      <c r="DF211" s="39" t="n">
        <f aca="false">IF(DF$4=0,0,IF(COUNTIFS(実績!$W$6:$W$505,DF$3,実績!$AI$6:$AI$505,"&lt;="&amp;$A211,実績!$AJ$6:$AJ$505,"&gt;"&amp;$A211,実績!$AK$6:$AK$505,"○")&gt;0,1,0))</f>
        <v>0</v>
      </c>
      <c r="DG211" s="39" t="n">
        <f aca="false">IF(DG$4=0,0,IF(COUNTIFS(実績!$W$6:$W$505,DG$3,実績!$AI$6:$AI$505,"&lt;="&amp;$A211,実績!$AJ$6:$AJ$505,"&gt;"&amp;$A211,実績!$AK$6:$AK$505,"○")&gt;0,1,0))</f>
        <v>0</v>
      </c>
      <c r="DH211" s="39" t="n">
        <f aca="false">IF(DH$4=0,0,IF(COUNTIFS(実績!$W$6:$W$505,DH$3,実績!$AI$6:$AI$505,"&lt;="&amp;$A211,実績!$AJ$6:$AJ$505,"&gt;"&amp;$A211,実績!$AK$6:$AK$505,"○")&gt;0,1,0))</f>
        <v>0</v>
      </c>
      <c r="DI211" s="39" t="n">
        <f aca="false">IF(DI$4=0,0,IF(COUNTIFS(実績!$W$6:$W$505,DI$3,実績!$AI$6:$AI$505,"&lt;="&amp;$A211,実績!$AJ$6:$AJ$505,"&gt;"&amp;$A211,実績!$AK$6:$AK$505,"○")&gt;0,1,0))</f>
        <v>0</v>
      </c>
      <c r="DJ211" s="39" t="n">
        <f aca="false">IF(DJ$4=0,0,IF(COUNTIFS(実績!$W$6:$W$505,DJ$3,実績!$AI$6:$AI$505,"&lt;="&amp;$A211,実績!$AJ$6:$AJ$505,"&gt;"&amp;$A211,実績!$AK$6:$AK$505,"○")&gt;0,1,0))</f>
        <v>0</v>
      </c>
      <c r="DK211" s="39" t="n">
        <f aca="false">IF(DK$4=0,0,IF(COUNTIFS(実績!$W$6:$W$505,DK$3,実績!$AI$6:$AI$505,"&lt;="&amp;$A211,実績!$AJ$6:$AJ$505,"&gt;"&amp;$A211,実績!$AK$6:$AK$505,"○")&gt;0,1,0))</f>
        <v>0</v>
      </c>
      <c r="DL211" s="39" t="n">
        <f aca="false">IF(DL$4=0,0,IF(COUNTIFS(実績!$W$6:$W$505,DL$3,実績!$AI$6:$AI$505,"&lt;="&amp;$A211,実績!$AJ$6:$AJ$505,"&gt;"&amp;$A211,実績!$AK$6:$AK$505,"○")&gt;0,1,0))</f>
        <v>0</v>
      </c>
      <c r="DM211" s="39" t="n">
        <f aca="false">IF(DM$4=0,0,IF(COUNTIFS(実績!$W$6:$W$505,DM$3,実績!$AI$6:$AI$505,"&lt;="&amp;$A211,実績!$AJ$6:$AJ$505,"&gt;"&amp;$A211,実績!$AK$6:$AK$505,"○")&gt;0,1,0))</f>
        <v>0</v>
      </c>
      <c r="DN211" s="39" t="n">
        <f aca="false">IF(DN$4=0,0,IF(COUNTIFS(実績!$W$6:$W$505,DN$3,実績!$AI$6:$AI$505,"&lt;="&amp;$A211,実績!$AJ$6:$AJ$505,"&gt;"&amp;$A211,実績!$AK$6:$AK$505,"○")&gt;0,1,0))</f>
        <v>0</v>
      </c>
      <c r="DO211" s="39" t="n">
        <f aca="false">IF(DO$4=0,0,IF(COUNTIFS(実績!$W$6:$W$505,DO$3,実績!$AI$6:$AI$505,"&lt;="&amp;$A211,実績!$AJ$6:$AJ$505,"&gt;"&amp;$A211,実績!$AK$6:$AK$505,"○")&gt;0,1,0))</f>
        <v>0</v>
      </c>
      <c r="DP211" s="39" t="n">
        <f aca="false">IF(DP$4=0,0,IF(COUNTIFS(実績!$W$6:$W$505,DP$3,実績!$AI$6:$AI$505,"&lt;="&amp;$A211,実績!$AJ$6:$AJ$505,"&gt;"&amp;$A211,実績!$AK$6:$AK$505,"○")&gt;0,1,0))</f>
        <v>0</v>
      </c>
      <c r="DQ211" s="39" t="n">
        <f aca="false">IF(DQ$4=0,0,IF(COUNTIFS(実績!$W$6:$W$505,DQ$3,実績!$AI$6:$AI$505,"&lt;="&amp;$A211,実績!$AJ$6:$AJ$505,"&gt;"&amp;$A211,実績!$AK$6:$AK$505,"○")&gt;0,1,0))</f>
        <v>0</v>
      </c>
      <c r="DR211" s="39" t="n">
        <f aca="false">IF(DR$4=0,0,IF(COUNTIFS(実績!$W$6:$W$505,DR$3,実績!$AI$6:$AI$505,"&lt;="&amp;$A211,実績!$AJ$6:$AJ$505,"&gt;"&amp;$A211,実績!$AK$6:$AK$505,"○")&gt;0,1,0))</f>
        <v>0</v>
      </c>
      <c r="DS211" s="39" t="n">
        <f aca="false">SUM(C211:DR211)</f>
        <v>0</v>
      </c>
      <c r="DT211" s="39" t="n">
        <f aca="false">SUMPRODUCT((実績!$C$6:$C$505="○")*ISNUMBER(実績!$AM$6:$AM$505)*(実績!$AM$6:$AM$505&lt;=$A211)*(実績!$AN$6:$AN$505&gt;$A211))</f>
        <v>0</v>
      </c>
      <c r="DU211" s="39" t="n">
        <f aca="false">SUMIF($C$2:$DR$2,"製鉄曳船",C211:DR211)</f>
        <v>0</v>
      </c>
      <c r="DV211" s="39" t="n">
        <f aca="false">SUMIF($C$2:$DR$2,"西日本海運",C211:DR211)</f>
        <v>0</v>
      </c>
    </row>
    <row r="212" customFormat="false" ht="15" hidden="false" customHeight="false" outlineLevel="0" collapsed="false">
      <c r="A212" s="0" t="n">
        <v>1030</v>
      </c>
      <c r="B212" s="38" t="n">
        <f aca="false">A212/1440</f>
        <v>0.715277777777778</v>
      </c>
      <c r="C212" s="39" t="n">
        <f aca="false">IF(C$4=0,0,IF(COUNTIFS(実績!$W$6:$W$505,C$3,実績!$AI$6:$AI$505,"&lt;="&amp;$A212,実績!$AJ$6:$AJ$505,"&gt;"&amp;$A212,実績!$AK$6:$AK$505,"○")&gt;0,1,0))</f>
        <v>0</v>
      </c>
      <c r="D212" s="39" t="n">
        <f aca="false">IF(D$4=0,0,IF(COUNTIFS(実績!$W$6:$W$505,D$3,実績!$AI$6:$AI$505,"&lt;="&amp;$A212,実績!$AJ$6:$AJ$505,"&gt;"&amp;$A212,実績!$AK$6:$AK$505,"○")&gt;0,1,0))</f>
        <v>0</v>
      </c>
      <c r="E212" s="39" t="n">
        <f aca="false">IF(E$4=0,0,IF(COUNTIFS(実績!$W$6:$W$505,E$3,実績!$AI$6:$AI$505,"&lt;="&amp;$A212,実績!$AJ$6:$AJ$505,"&gt;"&amp;$A212,実績!$AK$6:$AK$505,"○")&gt;0,1,0))</f>
        <v>0</v>
      </c>
      <c r="F212" s="39" t="n">
        <f aca="false">IF(F$4=0,0,IF(COUNTIFS(実績!$W$6:$W$505,F$3,実績!$AI$6:$AI$505,"&lt;="&amp;$A212,実績!$AJ$6:$AJ$505,"&gt;"&amp;$A212,実績!$AK$6:$AK$505,"○")&gt;0,1,0))</f>
        <v>0</v>
      </c>
      <c r="G212" s="39" t="n">
        <f aca="false">IF(G$4=0,0,IF(COUNTIFS(実績!$W$6:$W$505,G$3,実績!$AI$6:$AI$505,"&lt;="&amp;$A212,実績!$AJ$6:$AJ$505,"&gt;"&amp;$A212,実績!$AK$6:$AK$505,"○")&gt;0,1,0))</f>
        <v>0</v>
      </c>
      <c r="H212" s="39" t="n">
        <f aca="false">IF(H$4=0,0,IF(COUNTIFS(実績!$W$6:$W$505,H$3,実績!$AI$6:$AI$505,"&lt;="&amp;$A212,実績!$AJ$6:$AJ$505,"&gt;"&amp;$A212,実績!$AK$6:$AK$505,"○")&gt;0,1,0))</f>
        <v>0</v>
      </c>
      <c r="I212" s="39" t="n">
        <f aca="false">IF(I$4=0,0,IF(COUNTIFS(実績!$W$6:$W$505,I$3,実績!$AI$6:$AI$505,"&lt;="&amp;$A212,実績!$AJ$6:$AJ$505,"&gt;"&amp;$A212,実績!$AK$6:$AK$505,"○")&gt;0,1,0))</f>
        <v>0</v>
      </c>
      <c r="J212" s="39" t="n">
        <f aca="false">IF(J$4=0,0,IF(COUNTIFS(実績!$W$6:$W$505,J$3,実績!$AI$6:$AI$505,"&lt;="&amp;$A212,実績!$AJ$6:$AJ$505,"&gt;"&amp;$A212,実績!$AK$6:$AK$505,"○")&gt;0,1,0))</f>
        <v>0</v>
      </c>
      <c r="K212" s="39" t="n">
        <f aca="false">IF(K$4=0,0,IF(COUNTIFS(実績!$W$6:$W$505,K$3,実績!$AI$6:$AI$505,"&lt;="&amp;$A212,実績!$AJ$6:$AJ$505,"&gt;"&amp;$A212,実績!$AK$6:$AK$505,"○")&gt;0,1,0))</f>
        <v>0</v>
      </c>
      <c r="L212" s="39" t="n">
        <f aca="false">IF(L$4=0,0,IF(COUNTIFS(実績!$W$6:$W$505,L$3,実績!$AI$6:$AI$505,"&lt;="&amp;$A212,実績!$AJ$6:$AJ$505,"&gt;"&amp;$A212,実績!$AK$6:$AK$505,"○")&gt;0,1,0))</f>
        <v>0</v>
      </c>
      <c r="M212" s="39" t="n">
        <f aca="false">IF(M$4=0,0,IF(COUNTIFS(実績!$W$6:$W$505,M$3,実績!$AI$6:$AI$505,"&lt;="&amp;$A212,実績!$AJ$6:$AJ$505,"&gt;"&amp;$A212,実績!$AK$6:$AK$505,"○")&gt;0,1,0))</f>
        <v>0</v>
      </c>
      <c r="N212" s="39" t="n">
        <f aca="false">IF(N$4=0,0,IF(COUNTIFS(実績!$W$6:$W$505,N$3,実績!$AI$6:$AI$505,"&lt;="&amp;$A212,実績!$AJ$6:$AJ$505,"&gt;"&amp;$A212,実績!$AK$6:$AK$505,"○")&gt;0,1,0))</f>
        <v>0</v>
      </c>
      <c r="O212" s="39" t="n">
        <f aca="false">IF(O$4=0,0,IF(COUNTIFS(実績!$W$6:$W$505,O$3,実績!$AI$6:$AI$505,"&lt;="&amp;$A212,実績!$AJ$6:$AJ$505,"&gt;"&amp;$A212,実績!$AK$6:$AK$505,"○")&gt;0,1,0))</f>
        <v>0</v>
      </c>
      <c r="P212" s="39" t="n">
        <f aca="false">IF(P$4=0,0,IF(COUNTIFS(実績!$W$6:$W$505,P$3,実績!$AI$6:$AI$505,"&lt;="&amp;$A212,実績!$AJ$6:$AJ$505,"&gt;"&amp;$A212,実績!$AK$6:$AK$505,"○")&gt;0,1,0))</f>
        <v>0</v>
      </c>
      <c r="Q212" s="39" t="n">
        <f aca="false">IF(Q$4=0,0,IF(COUNTIFS(実績!$W$6:$W$505,Q$3,実績!$AI$6:$AI$505,"&lt;="&amp;$A212,実績!$AJ$6:$AJ$505,"&gt;"&amp;$A212,実績!$AK$6:$AK$505,"○")&gt;0,1,0))</f>
        <v>0</v>
      </c>
      <c r="R212" s="39" t="n">
        <f aca="false">IF(R$4=0,0,IF(COUNTIFS(実績!$W$6:$W$505,R$3,実績!$AI$6:$AI$505,"&lt;="&amp;$A212,実績!$AJ$6:$AJ$505,"&gt;"&amp;$A212,実績!$AK$6:$AK$505,"○")&gt;0,1,0))</f>
        <v>0</v>
      </c>
      <c r="S212" s="39" t="n">
        <f aca="false">IF(S$4=0,0,IF(COUNTIFS(実績!$W$6:$W$505,S$3,実績!$AI$6:$AI$505,"&lt;="&amp;$A212,実績!$AJ$6:$AJ$505,"&gt;"&amp;$A212,実績!$AK$6:$AK$505,"○")&gt;0,1,0))</f>
        <v>0</v>
      </c>
      <c r="T212" s="39" t="n">
        <f aca="false">IF(T$4=0,0,IF(COUNTIFS(実績!$W$6:$W$505,T$3,実績!$AI$6:$AI$505,"&lt;="&amp;$A212,実績!$AJ$6:$AJ$505,"&gt;"&amp;$A212,実績!$AK$6:$AK$505,"○")&gt;0,1,0))</f>
        <v>0</v>
      </c>
      <c r="U212" s="39" t="n">
        <f aca="false">IF(U$4=0,0,IF(COUNTIFS(実績!$W$6:$W$505,U$3,実績!$AI$6:$AI$505,"&lt;="&amp;$A212,実績!$AJ$6:$AJ$505,"&gt;"&amp;$A212,実績!$AK$6:$AK$505,"○")&gt;0,1,0))</f>
        <v>0</v>
      </c>
      <c r="V212" s="39" t="n">
        <f aca="false">IF(V$4=0,0,IF(COUNTIFS(実績!$W$6:$W$505,V$3,実績!$AI$6:$AI$505,"&lt;="&amp;$A212,実績!$AJ$6:$AJ$505,"&gt;"&amp;$A212,実績!$AK$6:$AK$505,"○")&gt;0,1,0))</f>
        <v>0</v>
      </c>
      <c r="W212" s="39" t="n">
        <f aca="false">IF(W$4=0,0,IF(COUNTIFS(実績!$W$6:$W$505,W$3,実績!$AI$6:$AI$505,"&lt;="&amp;$A212,実績!$AJ$6:$AJ$505,"&gt;"&amp;$A212,実績!$AK$6:$AK$505,"○")&gt;0,1,0))</f>
        <v>0</v>
      </c>
      <c r="X212" s="39" t="n">
        <f aca="false">IF(X$4=0,0,IF(COUNTIFS(実績!$W$6:$W$505,X$3,実績!$AI$6:$AI$505,"&lt;="&amp;$A212,実績!$AJ$6:$AJ$505,"&gt;"&amp;$A212,実績!$AK$6:$AK$505,"○")&gt;0,1,0))</f>
        <v>0</v>
      </c>
      <c r="Y212" s="39" t="n">
        <f aca="false">IF(Y$4=0,0,IF(COUNTIFS(実績!$W$6:$W$505,Y$3,実績!$AI$6:$AI$505,"&lt;="&amp;$A212,実績!$AJ$6:$AJ$505,"&gt;"&amp;$A212,実績!$AK$6:$AK$505,"○")&gt;0,1,0))</f>
        <v>0</v>
      </c>
      <c r="Z212" s="39" t="n">
        <f aca="false">IF(Z$4=0,0,IF(COUNTIFS(実績!$W$6:$W$505,Z$3,実績!$AI$6:$AI$505,"&lt;="&amp;$A212,実績!$AJ$6:$AJ$505,"&gt;"&amp;$A212,実績!$AK$6:$AK$505,"○")&gt;0,1,0))</f>
        <v>0</v>
      </c>
      <c r="AA212" s="39" t="n">
        <f aca="false">IF(AA$4=0,0,IF(COUNTIFS(実績!$W$6:$W$505,AA$3,実績!$AI$6:$AI$505,"&lt;="&amp;$A212,実績!$AJ$6:$AJ$505,"&gt;"&amp;$A212,実績!$AK$6:$AK$505,"○")&gt;0,1,0))</f>
        <v>0</v>
      </c>
      <c r="AB212" s="39" t="n">
        <f aca="false">IF(AB$4=0,0,IF(COUNTIFS(実績!$W$6:$W$505,AB$3,実績!$AI$6:$AI$505,"&lt;="&amp;$A212,実績!$AJ$6:$AJ$505,"&gt;"&amp;$A212,実績!$AK$6:$AK$505,"○")&gt;0,1,0))</f>
        <v>0</v>
      </c>
      <c r="AC212" s="39" t="n">
        <f aca="false">IF(AC$4=0,0,IF(COUNTIFS(実績!$W$6:$W$505,AC$3,実績!$AI$6:$AI$505,"&lt;="&amp;$A212,実績!$AJ$6:$AJ$505,"&gt;"&amp;$A212,実績!$AK$6:$AK$505,"○")&gt;0,1,0))</f>
        <v>0</v>
      </c>
      <c r="AD212" s="39" t="n">
        <f aca="false">IF(AD$4=0,0,IF(COUNTIFS(実績!$W$6:$W$505,AD$3,実績!$AI$6:$AI$505,"&lt;="&amp;$A212,実績!$AJ$6:$AJ$505,"&gt;"&amp;$A212,実績!$AK$6:$AK$505,"○")&gt;0,1,0))</f>
        <v>0</v>
      </c>
      <c r="AE212" s="39" t="n">
        <f aca="false">IF(AE$4=0,0,IF(COUNTIFS(実績!$W$6:$W$505,AE$3,実績!$AI$6:$AI$505,"&lt;="&amp;$A212,実績!$AJ$6:$AJ$505,"&gt;"&amp;$A212,実績!$AK$6:$AK$505,"○")&gt;0,1,0))</f>
        <v>0</v>
      </c>
      <c r="AF212" s="39" t="n">
        <f aca="false">IF(AF$4=0,0,IF(COUNTIFS(実績!$W$6:$W$505,AF$3,実績!$AI$6:$AI$505,"&lt;="&amp;$A212,実績!$AJ$6:$AJ$505,"&gt;"&amp;$A212,実績!$AK$6:$AK$505,"○")&gt;0,1,0))</f>
        <v>0</v>
      </c>
      <c r="AG212" s="39" t="n">
        <f aca="false">IF(AG$4=0,0,IF(COUNTIFS(実績!$W$6:$W$505,AG$3,実績!$AI$6:$AI$505,"&lt;="&amp;$A212,実績!$AJ$6:$AJ$505,"&gt;"&amp;$A212,実績!$AK$6:$AK$505,"○")&gt;0,1,0))</f>
        <v>0</v>
      </c>
      <c r="AH212" s="39" t="n">
        <f aca="false">IF(AH$4=0,0,IF(COUNTIFS(実績!$W$6:$W$505,AH$3,実績!$AI$6:$AI$505,"&lt;="&amp;$A212,実績!$AJ$6:$AJ$505,"&gt;"&amp;$A212,実績!$AK$6:$AK$505,"○")&gt;0,1,0))</f>
        <v>0</v>
      </c>
      <c r="AI212" s="39" t="n">
        <f aca="false">IF(AI$4=0,0,IF(COUNTIFS(実績!$W$6:$W$505,AI$3,実績!$AI$6:$AI$505,"&lt;="&amp;$A212,実績!$AJ$6:$AJ$505,"&gt;"&amp;$A212,実績!$AK$6:$AK$505,"○")&gt;0,1,0))</f>
        <v>0</v>
      </c>
      <c r="AJ212" s="39" t="n">
        <f aca="false">IF(AJ$4=0,0,IF(COUNTIFS(実績!$W$6:$W$505,AJ$3,実績!$AI$6:$AI$505,"&lt;="&amp;$A212,実績!$AJ$6:$AJ$505,"&gt;"&amp;$A212,実績!$AK$6:$AK$505,"○")&gt;0,1,0))</f>
        <v>0</v>
      </c>
      <c r="AK212" s="39" t="n">
        <f aca="false">IF(AK$4=0,0,IF(COUNTIFS(実績!$W$6:$W$505,AK$3,実績!$AI$6:$AI$505,"&lt;="&amp;$A212,実績!$AJ$6:$AJ$505,"&gt;"&amp;$A212,実績!$AK$6:$AK$505,"○")&gt;0,1,0))</f>
        <v>0</v>
      </c>
      <c r="AL212" s="39" t="n">
        <f aca="false">IF(AL$4=0,0,IF(COUNTIFS(実績!$W$6:$W$505,AL$3,実績!$AI$6:$AI$505,"&lt;="&amp;$A212,実績!$AJ$6:$AJ$505,"&gt;"&amp;$A212,実績!$AK$6:$AK$505,"○")&gt;0,1,0))</f>
        <v>0</v>
      </c>
      <c r="AM212" s="39" t="n">
        <f aca="false">IF(AM$4=0,0,IF(COUNTIFS(実績!$W$6:$W$505,AM$3,実績!$AI$6:$AI$505,"&lt;="&amp;$A212,実績!$AJ$6:$AJ$505,"&gt;"&amp;$A212,実績!$AK$6:$AK$505,"○")&gt;0,1,0))</f>
        <v>0</v>
      </c>
      <c r="AN212" s="39" t="n">
        <f aca="false">IF(AN$4=0,0,IF(COUNTIFS(実績!$W$6:$W$505,AN$3,実績!$AI$6:$AI$505,"&lt;="&amp;$A212,実績!$AJ$6:$AJ$505,"&gt;"&amp;$A212,実績!$AK$6:$AK$505,"○")&gt;0,1,0))</f>
        <v>0</v>
      </c>
      <c r="AO212" s="39" t="n">
        <f aca="false">IF(AO$4=0,0,IF(COUNTIFS(実績!$W$6:$W$505,AO$3,実績!$AI$6:$AI$505,"&lt;="&amp;$A212,実績!$AJ$6:$AJ$505,"&gt;"&amp;$A212,実績!$AK$6:$AK$505,"○")&gt;0,1,0))</f>
        <v>0</v>
      </c>
      <c r="AP212" s="39" t="n">
        <f aca="false">IF(AP$4=0,0,IF(COUNTIFS(実績!$W$6:$W$505,AP$3,実績!$AI$6:$AI$505,"&lt;="&amp;$A212,実績!$AJ$6:$AJ$505,"&gt;"&amp;$A212,実績!$AK$6:$AK$505,"○")&gt;0,1,0))</f>
        <v>0</v>
      </c>
      <c r="AQ212" s="39" t="n">
        <f aca="false">IF(AQ$4=0,0,IF(COUNTIFS(実績!$W$6:$W$505,AQ$3,実績!$AI$6:$AI$505,"&lt;="&amp;$A212,実績!$AJ$6:$AJ$505,"&gt;"&amp;$A212,実績!$AK$6:$AK$505,"○")&gt;0,1,0))</f>
        <v>0</v>
      </c>
      <c r="AR212" s="39" t="n">
        <f aca="false">IF(AR$4=0,0,IF(COUNTIFS(実績!$W$6:$W$505,AR$3,実績!$AI$6:$AI$505,"&lt;="&amp;$A212,実績!$AJ$6:$AJ$505,"&gt;"&amp;$A212,実績!$AK$6:$AK$505,"○")&gt;0,1,0))</f>
        <v>0</v>
      </c>
      <c r="AS212" s="39" t="n">
        <f aca="false">IF(AS$4=0,0,IF(COUNTIFS(実績!$W$6:$W$505,AS$3,実績!$AI$6:$AI$505,"&lt;="&amp;$A212,実績!$AJ$6:$AJ$505,"&gt;"&amp;$A212,実績!$AK$6:$AK$505,"○")&gt;0,1,0))</f>
        <v>0</v>
      </c>
      <c r="AT212" s="39" t="n">
        <f aca="false">IF(AT$4=0,0,IF(COUNTIFS(実績!$W$6:$W$505,AT$3,実績!$AI$6:$AI$505,"&lt;="&amp;$A212,実績!$AJ$6:$AJ$505,"&gt;"&amp;$A212,実績!$AK$6:$AK$505,"○")&gt;0,1,0))</f>
        <v>0</v>
      </c>
      <c r="AU212" s="39" t="n">
        <f aca="false">IF(AU$4=0,0,IF(COUNTIFS(実績!$W$6:$W$505,AU$3,実績!$AI$6:$AI$505,"&lt;="&amp;$A212,実績!$AJ$6:$AJ$505,"&gt;"&amp;$A212,実績!$AK$6:$AK$505,"○")&gt;0,1,0))</f>
        <v>0</v>
      </c>
      <c r="AV212" s="39" t="n">
        <f aca="false">IF(AV$4=0,0,IF(COUNTIFS(実績!$W$6:$W$505,AV$3,実績!$AI$6:$AI$505,"&lt;="&amp;$A212,実績!$AJ$6:$AJ$505,"&gt;"&amp;$A212,実績!$AK$6:$AK$505,"○")&gt;0,1,0))</f>
        <v>0</v>
      </c>
      <c r="AW212" s="39" t="n">
        <f aca="false">IF(AW$4=0,0,IF(COUNTIFS(実績!$W$6:$W$505,AW$3,実績!$AI$6:$AI$505,"&lt;="&amp;$A212,実績!$AJ$6:$AJ$505,"&gt;"&amp;$A212,実績!$AK$6:$AK$505,"○")&gt;0,1,0))</f>
        <v>0</v>
      </c>
      <c r="AX212" s="39" t="n">
        <f aca="false">IF(AX$4=0,0,IF(COUNTIFS(実績!$W$6:$W$505,AX$3,実績!$AI$6:$AI$505,"&lt;="&amp;$A212,実績!$AJ$6:$AJ$505,"&gt;"&amp;$A212,実績!$AK$6:$AK$505,"○")&gt;0,1,0))</f>
        <v>0</v>
      </c>
      <c r="AY212" s="39" t="n">
        <f aca="false">IF(AY$4=0,0,IF(COUNTIFS(実績!$W$6:$W$505,AY$3,実績!$AI$6:$AI$505,"&lt;="&amp;$A212,実績!$AJ$6:$AJ$505,"&gt;"&amp;$A212,実績!$AK$6:$AK$505,"○")&gt;0,1,0))</f>
        <v>0</v>
      </c>
      <c r="AZ212" s="39" t="n">
        <f aca="false">IF(AZ$4=0,0,IF(COUNTIFS(実績!$W$6:$W$505,AZ$3,実績!$AI$6:$AI$505,"&lt;="&amp;$A212,実績!$AJ$6:$AJ$505,"&gt;"&amp;$A212,実績!$AK$6:$AK$505,"○")&gt;0,1,0))</f>
        <v>0</v>
      </c>
      <c r="BA212" s="39" t="n">
        <f aca="false">IF(BA$4=0,0,IF(COUNTIFS(実績!$W$6:$W$505,BA$3,実績!$AI$6:$AI$505,"&lt;="&amp;$A212,実績!$AJ$6:$AJ$505,"&gt;"&amp;$A212,実績!$AK$6:$AK$505,"○")&gt;0,1,0))</f>
        <v>0</v>
      </c>
      <c r="BB212" s="39" t="n">
        <f aca="false">IF(BB$4=0,0,IF(COUNTIFS(実績!$W$6:$W$505,BB$3,実績!$AI$6:$AI$505,"&lt;="&amp;$A212,実績!$AJ$6:$AJ$505,"&gt;"&amp;$A212,実績!$AK$6:$AK$505,"○")&gt;0,1,0))</f>
        <v>0</v>
      </c>
      <c r="BC212" s="39" t="n">
        <f aca="false">IF(BC$4=0,0,IF(COUNTIFS(実績!$W$6:$W$505,BC$3,実績!$AI$6:$AI$505,"&lt;="&amp;$A212,実績!$AJ$6:$AJ$505,"&gt;"&amp;$A212,実績!$AK$6:$AK$505,"○")&gt;0,1,0))</f>
        <v>0</v>
      </c>
      <c r="BD212" s="39" t="n">
        <f aca="false">IF(BD$4=0,0,IF(COUNTIFS(実績!$W$6:$W$505,BD$3,実績!$AI$6:$AI$505,"&lt;="&amp;$A212,実績!$AJ$6:$AJ$505,"&gt;"&amp;$A212,実績!$AK$6:$AK$505,"○")&gt;0,1,0))</f>
        <v>0</v>
      </c>
      <c r="BE212" s="39" t="n">
        <f aca="false">IF(BE$4=0,0,IF(COUNTIFS(実績!$W$6:$W$505,BE$3,実績!$AI$6:$AI$505,"&lt;="&amp;$A212,実績!$AJ$6:$AJ$505,"&gt;"&amp;$A212,実績!$AK$6:$AK$505,"○")&gt;0,1,0))</f>
        <v>0</v>
      </c>
      <c r="BF212" s="39" t="n">
        <f aca="false">IF(BF$4=0,0,IF(COUNTIFS(実績!$W$6:$W$505,BF$3,実績!$AI$6:$AI$505,"&lt;="&amp;$A212,実績!$AJ$6:$AJ$505,"&gt;"&amp;$A212,実績!$AK$6:$AK$505,"○")&gt;0,1,0))</f>
        <v>0</v>
      </c>
      <c r="BG212" s="39" t="n">
        <f aca="false">IF(BG$4=0,0,IF(COUNTIFS(実績!$W$6:$W$505,BG$3,実績!$AI$6:$AI$505,"&lt;="&amp;$A212,実績!$AJ$6:$AJ$505,"&gt;"&amp;$A212,実績!$AK$6:$AK$505,"○")&gt;0,1,0))</f>
        <v>0</v>
      </c>
      <c r="BH212" s="39" t="n">
        <f aca="false">IF(BH$4=0,0,IF(COUNTIFS(実績!$W$6:$W$505,BH$3,実績!$AI$6:$AI$505,"&lt;="&amp;$A212,実績!$AJ$6:$AJ$505,"&gt;"&amp;$A212,実績!$AK$6:$AK$505,"○")&gt;0,1,0))</f>
        <v>0</v>
      </c>
      <c r="BI212" s="39" t="n">
        <f aca="false">IF(BI$4=0,0,IF(COUNTIFS(実績!$W$6:$W$505,BI$3,実績!$AI$6:$AI$505,"&lt;="&amp;$A212,実績!$AJ$6:$AJ$505,"&gt;"&amp;$A212,実績!$AK$6:$AK$505,"○")&gt;0,1,0))</f>
        <v>0</v>
      </c>
      <c r="BJ212" s="39" t="n">
        <f aca="false">IF(BJ$4=0,0,IF(COUNTIFS(実績!$W$6:$W$505,BJ$3,実績!$AI$6:$AI$505,"&lt;="&amp;$A212,実績!$AJ$6:$AJ$505,"&gt;"&amp;$A212,実績!$AK$6:$AK$505,"○")&gt;0,1,0))</f>
        <v>0</v>
      </c>
      <c r="BK212" s="39" t="n">
        <f aca="false">IF(BK$4=0,0,IF(COUNTIFS(実績!$W$6:$W$505,BK$3,実績!$AI$6:$AI$505,"&lt;="&amp;$A212,実績!$AJ$6:$AJ$505,"&gt;"&amp;$A212,実績!$AK$6:$AK$505,"○")&gt;0,1,0))</f>
        <v>0</v>
      </c>
      <c r="BL212" s="39" t="n">
        <f aca="false">IF(BL$4=0,0,IF(COUNTIFS(実績!$W$6:$W$505,BL$3,実績!$AI$6:$AI$505,"&lt;="&amp;$A212,実績!$AJ$6:$AJ$505,"&gt;"&amp;$A212,実績!$AK$6:$AK$505,"○")&gt;0,1,0))</f>
        <v>0</v>
      </c>
      <c r="BM212" s="39" t="n">
        <f aca="false">IF(BM$4=0,0,IF(COUNTIFS(実績!$W$6:$W$505,BM$3,実績!$AI$6:$AI$505,"&lt;="&amp;$A212,実績!$AJ$6:$AJ$505,"&gt;"&amp;$A212,実績!$AK$6:$AK$505,"○")&gt;0,1,0))</f>
        <v>0</v>
      </c>
      <c r="BN212" s="39" t="n">
        <f aca="false">IF(BN$4=0,0,IF(COUNTIFS(実績!$W$6:$W$505,BN$3,実績!$AI$6:$AI$505,"&lt;="&amp;$A212,実績!$AJ$6:$AJ$505,"&gt;"&amp;$A212,実績!$AK$6:$AK$505,"○")&gt;0,1,0))</f>
        <v>0</v>
      </c>
      <c r="BO212" s="39" t="n">
        <f aca="false">IF(BO$4=0,0,IF(COUNTIFS(実績!$W$6:$W$505,BO$3,実績!$AI$6:$AI$505,"&lt;="&amp;$A212,実績!$AJ$6:$AJ$505,"&gt;"&amp;$A212,実績!$AK$6:$AK$505,"○")&gt;0,1,0))</f>
        <v>0</v>
      </c>
      <c r="BP212" s="39" t="n">
        <f aca="false">IF(BP$4=0,0,IF(COUNTIFS(実績!$W$6:$W$505,BP$3,実績!$AI$6:$AI$505,"&lt;="&amp;$A212,実績!$AJ$6:$AJ$505,"&gt;"&amp;$A212,実績!$AK$6:$AK$505,"○")&gt;0,1,0))</f>
        <v>0</v>
      </c>
      <c r="BQ212" s="39" t="n">
        <f aca="false">IF(BQ$4=0,0,IF(COUNTIFS(実績!$W$6:$W$505,BQ$3,実績!$AI$6:$AI$505,"&lt;="&amp;$A212,実績!$AJ$6:$AJ$505,"&gt;"&amp;$A212,実績!$AK$6:$AK$505,"○")&gt;0,1,0))</f>
        <v>0</v>
      </c>
      <c r="BR212" s="39" t="n">
        <f aca="false">IF(BR$4=0,0,IF(COUNTIFS(実績!$W$6:$W$505,BR$3,実績!$AI$6:$AI$505,"&lt;="&amp;$A212,実績!$AJ$6:$AJ$505,"&gt;"&amp;$A212,実績!$AK$6:$AK$505,"○")&gt;0,1,0))</f>
        <v>0</v>
      </c>
      <c r="BS212" s="39" t="n">
        <f aca="false">IF(BS$4=0,0,IF(COUNTIFS(実績!$W$6:$W$505,BS$3,実績!$AI$6:$AI$505,"&lt;="&amp;$A212,実績!$AJ$6:$AJ$505,"&gt;"&amp;$A212,実績!$AK$6:$AK$505,"○")&gt;0,1,0))</f>
        <v>0</v>
      </c>
      <c r="BT212" s="39" t="n">
        <f aca="false">IF(BT$4=0,0,IF(COUNTIFS(実績!$W$6:$W$505,BT$3,実績!$AI$6:$AI$505,"&lt;="&amp;$A212,実績!$AJ$6:$AJ$505,"&gt;"&amp;$A212,実績!$AK$6:$AK$505,"○")&gt;0,1,0))</f>
        <v>0</v>
      </c>
      <c r="BU212" s="39" t="n">
        <f aca="false">IF(BU$4=0,0,IF(COUNTIFS(実績!$W$6:$W$505,BU$3,実績!$AI$6:$AI$505,"&lt;="&amp;$A212,実績!$AJ$6:$AJ$505,"&gt;"&amp;$A212,実績!$AK$6:$AK$505,"○")&gt;0,1,0))</f>
        <v>0</v>
      </c>
      <c r="BV212" s="39" t="n">
        <f aca="false">IF(BV$4=0,0,IF(COUNTIFS(実績!$W$6:$W$505,BV$3,実績!$AI$6:$AI$505,"&lt;="&amp;$A212,実績!$AJ$6:$AJ$505,"&gt;"&amp;$A212,実績!$AK$6:$AK$505,"○")&gt;0,1,0))</f>
        <v>0</v>
      </c>
      <c r="BW212" s="39" t="n">
        <f aca="false">IF(BW$4=0,0,IF(COUNTIFS(実績!$W$6:$W$505,BW$3,実績!$AI$6:$AI$505,"&lt;="&amp;$A212,実績!$AJ$6:$AJ$505,"&gt;"&amp;$A212,実績!$AK$6:$AK$505,"○")&gt;0,1,0))</f>
        <v>0</v>
      </c>
      <c r="BX212" s="39" t="n">
        <f aca="false">IF(BX$4=0,0,IF(COUNTIFS(実績!$W$6:$W$505,BX$3,実績!$AI$6:$AI$505,"&lt;="&amp;$A212,実績!$AJ$6:$AJ$505,"&gt;"&amp;$A212,実績!$AK$6:$AK$505,"○")&gt;0,1,0))</f>
        <v>0</v>
      </c>
      <c r="BY212" s="39" t="n">
        <f aca="false">IF(BY$4=0,0,IF(COUNTIFS(実績!$W$6:$W$505,BY$3,実績!$AI$6:$AI$505,"&lt;="&amp;$A212,実績!$AJ$6:$AJ$505,"&gt;"&amp;$A212,実績!$AK$6:$AK$505,"○")&gt;0,1,0))</f>
        <v>0</v>
      </c>
      <c r="BZ212" s="39" t="n">
        <f aca="false">IF(BZ$4=0,0,IF(COUNTIFS(実績!$W$6:$W$505,BZ$3,実績!$AI$6:$AI$505,"&lt;="&amp;$A212,実績!$AJ$6:$AJ$505,"&gt;"&amp;$A212,実績!$AK$6:$AK$505,"○")&gt;0,1,0))</f>
        <v>0</v>
      </c>
      <c r="CA212" s="39" t="n">
        <f aca="false">IF(CA$4=0,0,IF(COUNTIFS(実績!$W$6:$W$505,CA$3,実績!$AI$6:$AI$505,"&lt;="&amp;$A212,実績!$AJ$6:$AJ$505,"&gt;"&amp;$A212,実績!$AK$6:$AK$505,"○")&gt;0,1,0))</f>
        <v>0</v>
      </c>
      <c r="CB212" s="39" t="n">
        <f aca="false">IF(CB$4=0,0,IF(COUNTIFS(実績!$W$6:$W$505,CB$3,実績!$AI$6:$AI$505,"&lt;="&amp;$A212,実績!$AJ$6:$AJ$505,"&gt;"&amp;$A212,実績!$AK$6:$AK$505,"○")&gt;0,1,0))</f>
        <v>0</v>
      </c>
      <c r="CC212" s="39" t="n">
        <f aca="false">IF(CC$4=0,0,IF(COUNTIFS(実績!$W$6:$W$505,CC$3,実績!$AI$6:$AI$505,"&lt;="&amp;$A212,実績!$AJ$6:$AJ$505,"&gt;"&amp;$A212,実績!$AK$6:$AK$505,"○")&gt;0,1,0))</f>
        <v>0</v>
      </c>
      <c r="CD212" s="39" t="n">
        <f aca="false">IF(CD$4=0,0,IF(COUNTIFS(実績!$W$6:$W$505,CD$3,実績!$AI$6:$AI$505,"&lt;="&amp;$A212,実績!$AJ$6:$AJ$505,"&gt;"&amp;$A212,実績!$AK$6:$AK$505,"○")&gt;0,1,0))</f>
        <v>0</v>
      </c>
      <c r="CE212" s="39" t="n">
        <f aca="false">IF(CE$4=0,0,IF(COUNTIFS(実績!$W$6:$W$505,CE$3,実績!$AI$6:$AI$505,"&lt;="&amp;$A212,実績!$AJ$6:$AJ$505,"&gt;"&amp;$A212,実績!$AK$6:$AK$505,"○")&gt;0,1,0))</f>
        <v>0</v>
      </c>
      <c r="CF212" s="39" t="n">
        <f aca="false">IF(CF$4=0,0,IF(COUNTIFS(実績!$W$6:$W$505,CF$3,実績!$AI$6:$AI$505,"&lt;="&amp;$A212,実績!$AJ$6:$AJ$505,"&gt;"&amp;$A212,実績!$AK$6:$AK$505,"○")&gt;0,1,0))</f>
        <v>0</v>
      </c>
      <c r="CG212" s="39" t="n">
        <f aca="false">IF(CG$4=0,0,IF(COUNTIFS(実績!$W$6:$W$505,CG$3,実績!$AI$6:$AI$505,"&lt;="&amp;$A212,実績!$AJ$6:$AJ$505,"&gt;"&amp;$A212,実績!$AK$6:$AK$505,"○")&gt;0,1,0))</f>
        <v>0</v>
      </c>
      <c r="CH212" s="39" t="n">
        <f aca="false">IF(CH$4=0,0,IF(COUNTIFS(実績!$W$6:$W$505,CH$3,実績!$AI$6:$AI$505,"&lt;="&amp;$A212,実績!$AJ$6:$AJ$505,"&gt;"&amp;$A212,実績!$AK$6:$AK$505,"○")&gt;0,1,0))</f>
        <v>0</v>
      </c>
      <c r="CI212" s="39" t="n">
        <f aca="false">IF(CI$4=0,0,IF(COUNTIFS(実績!$W$6:$W$505,CI$3,実績!$AI$6:$AI$505,"&lt;="&amp;$A212,実績!$AJ$6:$AJ$505,"&gt;"&amp;$A212,実績!$AK$6:$AK$505,"○")&gt;0,1,0))</f>
        <v>0</v>
      </c>
      <c r="CJ212" s="39" t="n">
        <f aca="false">IF(CJ$4=0,0,IF(COUNTIFS(実績!$W$6:$W$505,CJ$3,実績!$AI$6:$AI$505,"&lt;="&amp;$A212,実績!$AJ$6:$AJ$505,"&gt;"&amp;$A212,実績!$AK$6:$AK$505,"○")&gt;0,1,0))</f>
        <v>0</v>
      </c>
      <c r="CK212" s="39" t="n">
        <f aca="false">IF(CK$4=0,0,IF(COUNTIFS(実績!$W$6:$W$505,CK$3,実績!$AI$6:$AI$505,"&lt;="&amp;$A212,実績!$AJ$6:$AJ$505,"&gt;"&amp;$A212,実績!$AK$6:$AK$505,"○")&gt;0,1,0))</f>
        <v>0</v>
      </c>
      <c r="CL212" s="39" t="n">
        <f aca="false">IF(CL$4=0,0,IF(COUNTIFS(実績!$W$6:$W$505,CL$3,実績!$AI$6:$AI$505,"&lt;="&amp;$A212,実績!$AJ$6:$AJ$505,"&gt;"&amp;$A212,実績!$AK$6:$AK$505,"○")&gt;0,1,0))</f>
        <v>0</v>
      </c>
      <c r="CM212" s="39" t="n">
        <f aca="false">IF(CM$4=0,0,IF(COUNTIFS(実績!$W$6:$W$505,CM$3,実績!$AI$6:$AI$505,"&lt;="&amp;$A212,実績!$AJ$6:$AJ$505,"&gt;"&amp;$A212,実績!$AK$6:$AK$505,"○")&gt;0,1,0))</f>
        <v>0</v>
      </c>
      <c r="CN212" s="39" t="n">
        <f aca="false">IF(CN$4=0,0,IF(COUNTIFS(実績!$W$6:$W$505,CN$3,実績!$AI$6:$AI$505,"&lt;="&amp;$A212,実績!$AJ$6:$AJ$505,"&gt;"&amp;$A212,実績!$AK$6:$AK$505,"○")&gt;0,1,0))</f>
        <v>0</v>
      </c>
      <c r="CO212" s="39" t="n">
        <f aca="false">IF(CO$4=0,0,IF(COUNTIFS(実績!$W$6:$W$505,CO$3,実績!$AI$6:$AI$505,"&lt;="&amp;$A212,実績!$AJ$6:$AJ$505,"&gt;"&amp;$A212,実績!$AK$6:$AK$505,"○")&gt;0,1,0))</f>
        <v>0</v>
      </c>
      <c r="CP212" s="39" t="n">
        <f aca="false">IF(CP$4=0,0,IF(COUNTIFS(実績!$W$6:$W$505,CP$3,実績!$AI$6:$AI$505,"&lt;="&amp;$A212,実績!$AJ$6:$AJ$505,"&gt;"&amp;$A212,実績!$AK$6:$AK$505,"○")&gt;0,1,0))</f>
        <v>0</v>
      </c>
      <c r="CQ212" s="39" t="n">
        <f aca="false">IF(CQ$4=0,0,IF(COUNTIFS(実績!$W$6:$W$505,CQ$3,実績!$AI$6:$AI$505,"&lt;="&amp;$A212,実績!$AJ$6:$AJ$505,"&gt;"&amp;$A212,実績!$AK$6:$AK$505,"○")&gt;0,1,0))</f>
        <v>0</v>
      </c>
      <c r="CR212" s="39" t="n">
        <f aca="false">IF(CR$4=0,0,IF(COUNTIFS(実績!$W$6:$W$505,CR$3,実績!$AI$6:$AI$505,"&lt;="&amp;$A212,実績!$AJ$6:$AJ$505,"&gt;"&amp;$A212,実績!$AK$6:$AK$505,"○")&gt;0,1,0))</f>
        <v>0</v>
      </c>
      <c r="CS212" s="39" t="n">
        <f aca="false">IF(CS$4=0,0,IF(COUNTIFS(実績!$W$6:$W$505,CS$3,実績!$AI$6:$AI$505,"&lt;="&amp;$A212,実績!$AJ$6:$AJ$505,"&gt;"&amp;$A212,実績!$AK$6:$AK$505,"○")&gt;0,1,0))</f>
        <v>0</v>
      </c>
      <c r="CT212" s="39" t="n">
        <f aca="false">IF(CT$4=0,0,IF(COUNTIFS(実績!$W$6:$W$505,CT$3,実績!$AI$6:$AI$505,"&lt;="&amp;$A212,実績!$AJ$6:$AJ$505,"&gt;"&amp;$A212,実績!$AK$6:$AK$505,"○")&gt;0,1,0))</f>
        <v>0</v>
      </c>
      <c r="CU212" s="39" t="n">
        <f aca="false">IF(CU$4=0,0,IF(COUNTIFS(実績!$W$6:$W$505,CU$3,実績!$AI$6:$AI$505,"&lt;="&amp;$A212,実績!$AJ$6:$AJ$505,"&gt;"&amp;$A212,実績!$AK$6:$AK$505,"○")&gt;0,1,0))</f>
        <v>0</v>
      </c>
      <c r="CV212" s="39" t="n">
        <f aca="false">IF(CV$4=0,0,IF(COUNTIFS(実績!$W$6:$W$505,CV$3,実績!$AI$6:$AI$505,"&lt;="&amp;$A212,実績!$AJ$6:$AJ$505,"&gt;"&amp;$A212,実績!$AK$6:$AK$505,"○")&gt;0,1,0))</f>
        <v>0</v>
      </c>
      <c r="CW212" s="39" t="n">
        <f aca="false">IF(CW$4=0,0,IF(COUNTIFS(実績!$W$6:$W$505,CW$3,実績!$AI$6:$AI$505,"&lt;="&amp;$A212,実績!$AJ$6:$AJ$505,"&gt;"&amp;$A212,実績!$AK$6:$AK$505,"○")&gt;0,1,0))</f>
        <v>0</v>
      </c>
      <c r="CX212" s="39" t="n">
        <f aca="false">IF(CX$4=0,0,IF(COUNTIFS(実績!$W$6:$W$505,CX$3,実績!$AI$6:$AI$505,"&lt;="&amp;$A212,実績!$AJ$6:$AJ$505,"&gt;"&amp;$A212,実績!$AK$6:$AK$505,"○")&gt;0,1,0))</f>
        <v>0</v>
      </c>
      <c r="CY212" s="39" t="n">
        <f aca="false">IF(CY$4=0,0,IF(COUNTIFS(実績!$W$6:$W$505,CY$3,実績!$AI$6:$AI$505,"&lt;="&amp;$A212,実績!$AJ$6:$AJ$505,"&gt;"&amp;$A212,実績!$AK$6:$AK$505,"○")&gt;0,1,0))</f>
        <v>0</v>
      </c>
      <c r="CZ212" s="39" t="n">
        <f aca="false">IF(CZ$4=0,0,IF(COUNTIFS(実績!$W$6:$W$505,CZ$3,実績!$AI$6:$AI$505,"&lt;="&amp;$A212,実績!$AJ$6:$AJ$505,"&gt;"&amp;$A212,実績!$AK$6:$AK$505,"○")&gt;0,1,0))</f>
        <v>0</v>
      </c>
      <c r="DA212" s="39" t="n">
        <f aca="false">IF(DA$4=0,0,IF(COUNTIFS(実績!$W$6:$W$505,DA$3,実績!$AI$6:$AI$505,"&lt;="&amp;$A212,実績!$AJ$6:$AJ$505,"&gt;"&amp;$A212,実績!$AK$6:$AK$505,"○")&gt;0,1,0))</f>
        <v>0</v>
      </c>
      <c r="DB212" s="39" t="n">
        <f aca="false">IF(DB$4=0,0,IF(COUNTIFS(実績!$W$6:$W$505,DB$3,実績!$AI$6:$AI$505,"&lt;="&amp;$A212,実績!$AJ$6:$AJ$505,"&gt;"&amp;$A212,実績!$AK$6:$AK$505,"○")&gt;0,1,0))</f>
        <v>0</v>
      </c>
      <c r="DC212" s="39" t="n">
        <f aca="false">IF(DC$4=0,0,IF(COUNTIFS(実績!$W$6:$W$505,DC$3,実績!$AI$6:$AI$505,"&lt;="&amp;$A212,実績!$AJ$6:$AJ$505,"&gt;"&amp;$A212,実績!$AK$6:$AK$505,"○")&gt;0,1,0))</f>
        <v>0</v>
      </c>
      <c r="DD212" s="39" t="n">
        <f aca="false">IF(DD$4=0,0,IF(COUNTIFS(実績!$W$6:$W$505,DD$3,実績!$AI$6:$AI$505,"&lt;="&amp;$A212,実績!$AJ$6:$AJ$505,"&gt;"&amp;$A212,実績!$AK$6:$AK$505,"○")&gt;0,1,0))</f>
        <v>0</v>
      </c>
      <c r="DE212" s="39" t="n">
        <f aca="false">IF(DE$4=0,0,IF(COUNTIFS(実績!$W$6:$W$505,DE$3,実績!$AI$6:$AI$505,"&lt;="&amp;$A212,実績!$AJ$6:$AJ$505,"&gt;"&amp;$A212,実績!$AK$6:$AK$505,"○")&gt;0,1,0))</f>
        <v>0</v>
      </c>
      <c r="DF212" s="39" t="n">
        <f aca="false">IF(DF$4=0,0,IF(COUNTIFS(実績!$W$6:$W$505,DF$3,実績!$AI$6:$AI$505,"&lt;="&amp;$A212,実績!$AJ$6:$AJ$505,"&gt;"&amp;$A212,実績!$AK$6:$AK$505,"○")&gt;0,1,0))</f>
        <v>0</v>
      </c>
      <c r="DG212" s="39" t="n">
        <f aca="false">IF(DG$4=0,0,IF(COUNTIFS(実績!$W$6:$W$505,DG$3,実績!$AI$6:$AI$505,"&lt;="&amp;$A212,実績!$AJ$6:$AJ$505,"&gt;"&amp;$A212,実績!$AK$6:$AK$505,"○")&gt;0,1,0))</f>
        <v>0</v>
      </c>
      <c r="DH212" s="39" t="n">
        <f aca="false">IF(DH$4=0,0,IF(COUNTIFS(実績!$W$6:$W$505,DH$3,実績!$AI$6:$AI$505,"&lt;="&amp;$A212,実績!$AJ$6:$AJ$505,"&gt;"&amp;$A212,実績!$AK$6:$AK$505,"○")&gt;0,1,0))</f>
        <v>0</v>
      </c>
      <c r="DI212" s="39" t="n">
        <f aca="false">IF(DI$4=0,0,IF(COUNTIFS(実績!$W$6:$W$505,DI$3,実績!$AI$6:$AI$505,"&lt;="&amp;$A212,実績!$AJ$6:$AJ$505,"&gt;"&amp;$A212,実績!$AK$6:$AK$505,"○")&gt;0,1,0))</f>
        <v>0</v>
      </c>
      <c r="DJ212" s="39" t="n">
        <f aca="false">IF(DJ$4=0,0,IF(COUNTIFS(実績!$W$6:$W$505,DJ$3,実績!$AI$6:$AI$505,"&lt;="&amp;$A212,実績!$AJ$6:$AJ$505,"&gt;"&amp;$A212,実績!$AK$6:$AK$505,"○")&gt;0,1,0))</f>
        <v>0</v>
      </c>
      <c r="DK212" s="39" t="n">
        <f aca="false">IF(DK$4=0,0,IF(COUNTIFS(実績!$W$6:$W$505,DK$3,実績!$AI$6:$AI$505,"&lt;="&amp;$A212,実績!$AJ$6:$AJ$505,"&gt;"&amp;$A212,実績!$AK$6:$AK$505,"○")&gt;0,1,0))</f>
        <v>0</v>
      </c>
      <c r="DL212" s="39" t="n">
        <f aca="false">IF(DL$4=0,0,IF(COUNTIFS(実績!$W$6:$W$505,DL$3,実績!$AI$6:$AI$505,"&lt;="&amp;$A212,実績!$AJ$6:$AJ$505,"&gt;"&amp;$A212,実績!$AK$6:$AK$505,"○")&gt;0,1,0))</f>
        <v>0</v>
      </c>
      <c r="DM212" s="39" t="n">
        <f aca="false">IF(DM$4=0,0,IF(COUNTIFS(実績!$W$6:$W$505,DM$3,実績!$AI$6:$AI$505,"&lt;="&amp;$A212,実績!$AJ$6:$AJ$505,"&gt;"&amp;$A212,実績!$AK$6:$AK$505,"○")&gt;0,1,0))</f>
        <v>0</v>
      </c>
      <c r="DN212" s="39" t="n">
        <f aca="false">IF(DN$4=0,0,IF(COUNTIFS(実績!$W$6:$W$505,DN$3,実績!$AI$6:$AI$505,"&lt;="&amp;$A212,実績!$AJ$6:$AJ$505,"&gt;"&amp;$A212,実績!$AK$6:$AK$505,"○")&gt;0,1,0))</f>
        <v>0</v>
      </c>
      <c r="DO212" s="39" t="n">
        <f aca="false">IF(DO$4=0,0,IF(COUNTIFS(実績!$W$6:$W$505,DO$3,実績!$AI$6:$AI$505,"&lt;="&amp;$A212,実績!$AJ$6:$AJ$505,"&gt;"&amp;$A212,実績!$AK$6:$AK$505,"○")&gt;0,1,0))</f>
        <v>0</v>
      </c>
      <c r="DP212" s="39" t="n">
        <f aca="false">IF(DP$4=0,0,IF(COUNTIFS(実績!$W$6:$W$505,DP$3,実績!$AI$6:$AI$505,"&lt;="&amp;$A212,実績!$AJ$6:$AJ$505,"&gt;"&amp;$A212,実績!$AK$6:$AK$505,"○")&gt;0,1,0))</f>
        <v>0</v>
      </c>
      <c r="DQ212" s="39" t="n">
        <f aca="false">IF(DQ$4=0,0,IF(COUNTIFS(実績!$W$6:$W$505,DQ$3,実績!$AI$6:$AI$505,"&lt;="&amp;$A212,実績!$AJ$6:$AJ$505,"&gt;"&amp;$A212,実績!$AK$6:$AK$505,"○")&gt;0,1,0))</f>
        <v>0</v>
      </c>
      <c r="DR212" s="39" t="n">
        <f aca="false">IF(DR$4=0,0,IF(COUNTIFS(実績!$W$6:$W$505,DR$3,実績!$AI$6:$AI$505,"&lt;="&amp;$A212,実績!$AJ$6:$AJ$505,"&gt;"&amp;$A212,実績!$AK$6:$AK$505,"○")&gt;0,1,0))</f>
        <v>0</v>
      </c>
      <c r="DS212" s="39" t="n">
        <f aca="false">SUM(C212:DR212)</f>
        <v>0</v>
      </c>
      <c r="DT212" s="39" t="n">
        <f aca="false">SUMPRODUCT((実績!$C$6:$C$505="○")*ISNUMBER(実績!$AM$6:$AM$505)*(実績!$AM$6:$AM$505&lt;=$A212)*(実績!$AN$6:$AN$505&gt;$A212))</f>
        <v>0</v>
      </c>
      <c r="DU212" s="39" t="n">
        <f aca="false">SUMIF($C$2:$DR$2,"製鉄曳船",C212:DR212)</f>
        <v>0</v>
      </c>
      <c r="DV212" s="39" t="n">
        <f aca="false">SUMIF($C$2:$DR$2,"西日本海運",C212:DR212)</f>
        <v>0</v>
      </c>
    </row>
    <row r="213" customFormat="false" ht="15" hidden="false" customHeight="false" outlineLevel="0" collapsed="false">
      <c r="A213" s="0" t="n">
        <v>1035</v>
      </c>
      <c r="B213" s="38" t="n">
        <f aca="false">A213/1440</f>
        <v>0.71875</v>
      </c>
      <c r="C213" s="39" t="n">
        <f aca="false">IF(C$4=0,0,IF(COUNTIFS(実績!$W$6:$W$505,C$3,実績!$AI$6:$AI$505,"&lt;="&amp;$A213,実績!$AJ$6:$AJ$505,"&gt;"&amp;$A213,実績!$AK$6:$AK$505,"○")&gt;0,1,0))</f>
        <v>0</v>
      </c>
      <c r="D213" s="39" t="n">
        <f aca="false">IF(D$4=0,0,IF(COUNTIFS(実績!$W$6:$W$505,D$3,実績!$AI$6:$AI$505,"&lt;="&amp;$A213,実績!$AJ$6:$AJ$505,"&gt;"&amp;$A213,実績!$AK$6:$AK$505,"○")&gt;0,1,0))</f>
        <v>0</v>
      </c>
      <c r="E213" s="39" t="n">
        <f aca="false">IF(E$4=0,0,IF(COUNTIFS(実績!$W$6:$W$505,E$3,実績!$AI$6:$AI$505,"&lt;="&amp;$A213,実績!$AJ$6:$AJ$505,"&gt;"&amp;$A213,実績!$AK$6:$AK$505,"○")&gt;0,1,0))</f>
        <v>0</v>
      </c>
      <c r="F213" s="39" t="n">
        <f aca="false">IF(F$4=0,0,IF(COUNTIFS(実績!$W$6:$W$505,F$3,実績!$AI$6:$AI$505,"&lt;="&amp;$A213,実績!$AJ$6:$AJ$505,"&gt;"&amp;$A213,実績!$AK$6:$AK$505,"○")&gt;0,1,0))</f>
        <v>0</v>
      </c>
      <c r="G213" s="39" t="n">
        <f aca="false">IF(G$4=0,0,IF(COUNTIFS(実績!$W$6:$W$505,G$3,実績!$AI$6:$AI$505,"&lt;="&amp;$A213,実績!$AJ$6:$AJ$505,"&gt;"&amp;$A213,実績!$AK$6:$AK$505,"○")&gt;0,1,0))</f>
        <v>0</v>
      </c>
      <c r="H213" s="39" t="n">
        <f aca="false">IF(H$4=0,0,IF(COUNTIFS(実績!$W$6:$W$505,H$3,実績!$AI$6:$AI$505,"&lt;="&amp;$A213,実績!$AJ$6:$AJ$505,"&gt;"&amp;$A213,実績!$AK$6:$AK$505,"○")&gt;0,1,0))</f>
        <v>0</v>
      </c>
      <c r="I213" s="39" t="n">
        <f aca="false">IF(I$4=0,0,IF(COUNTIFS(実績!$W$6:$W$505,I$3,実績!$AI$6:$AI$505,"&lt;="&amp;$A213,実績!$AJ$6:$AJ$505,"&gt;"&amp;$A213,実績!$AK$6:$AK$505,"○")&gt;0,1,0))</f>
        <v>0</v>
      </c>
      <c r="J213" s="39" t="n">
        <f aca="false">IF(J$4=0,0,IF(COUNTIFS(実績!$W$6:$W$505,J$3,実績!$AI$6:$AI$505,"&lt;="&amp;$A213,実績!$AJ$6:$AJ$505,"&gt;"&amp;$A213,実績!$AK$6:$AK$505,"○")&gt;0,1,0))</f>
        <v>0</v>
      </c>
      <c r="K213" s="39" t="n">
        <f aca="false">IF(K$4=0,0,IF(COUNTIFS(実績!$W$6:$W$505,K$3,実績!$AI$6:$AI$505,"&lt;="&amp;$A213,実績!$AJ$6:$AJ$505,"&gt;"&amp;$A213,実績!$AK$6:$AK$505,"○")&gt;0,1,0))</f>
        <v>0</v>
      </c>
      <c r="L213" s="39" t="n">
        <f aca="false">IF(L$4=0,0,IF(COUNTIFS(実績!$W$6:$W$505,L$3,実績!$AI$6:$AI$505,"&lt;="&amp;$A213,実績!$AJ$6:$AJ$505,"&gt;"&amp;$A213,実績!$AK$6:$AK$505,"○")&gt;0,1,0))</f>
        <v>0</v>
      </c>
      <c r="M213" s="39" t="n">
        <f aca="false">IF(M$4=0,0,IF(COUNTIFS(実績!$W$6:$W$505,M$3,実績!$AI$6:$AI$505,"&lt;="&amp;$A213,実績!$AJ$6:$AJ$505,"&gt;"&amp;$A213,実績!$AK$6:$AK$505,"○")&gt;0,1,0))</f>
        <v>0</v>
      </c>
      <c r="N213" s="39" t="n">
        <f aca="false">IF(N$4=0,0,IF(COUNTIFS(実績!$W$6:$W$505,N$3,実績!$AI$6:$AI$505,"&lt;="&amp;$A213,実績!$AJ$6:$AJ$505,"&gt;"&amp;$A213,実績!$AK$6:$AK$505,"○")&gt;0,1,0))</f>
        <v>0</v>
      </c>
      <c r="O213" s="39" t="n">
        <f aca="false">IF(O$4=0,0,IF(COUNTIFS(実績!$W$6:$W$505,O$3,実績!$AI$6:$AI$505,"&lt;="&amp;$A213,実績!$AJ$6:$AJ$505,"&gt;"&amp;$A213,実績!$AK$6:$AK$505,"○")&gt;0,1,0))</f>
        <v>0</v>
      </c>
      <c r="P213" s="39" t="n">
        <f aca="false">IF(P$4=0,0,IF(COUNTIFS(実績!$W$6:$W$505,P$3,実績!$AI$6:$AI$505,"&lt;="&amp;$A213,実績!$AJ$6:$AJ$505,"&gt;"&amp;$A213,実績!$AK$6:$AK$505,"○")&gt;0,1,0))</f>
        <v>0</v>
      </c>
      <c r="Q213" s="39" t="n">
        <f aca="false">IF(Q$4=0,0,IF(COUNTIFS(実績!$W$6:$W$505,Q$3,実績!$AI$6:$AI$505,"&lt;="&amp;$A213,実績!$AJ$6:$AJ$505,"&gt;"&amp;$A213,実績!$AK$6:$AK$505,"○")&gt;0,1,0))</f>
        <v>0</v>
      </c>
      <c r="R213" s="39" t="n">
        <f aca="false">IF(R$4=0,0,IF(COUNTIFS(実績!$W$6:$W$505,R$3,実績!$AI$6:$AI$505,"&lt;="&amp;$A213,実績!$AJ$6:$AJ$505,"&gt;"&amp;$A213,実績!$AK$6:$AK$505,"○")&gt;0,1,0))</f>
        <v>0</v>
      </c>
      <c r="S213" s="39" t="n">
        <f aca="false">IF(S$4=0,0,IF(COUNTIFS(実績!$W$6:$W$505,S$3,実績!$AI$6:$AI$505,"&lt;="&amp;$A213,実績!$AJ$6:$AJ$505,"&gt;"&amp;$A213,実績!$AK$6:$AK$505,"○")&gt;0,1,0))</f>
        <v>0</v>
      </c>
      <c r="T213" s="39" t="n">
        <f aca="false">IF(T$4=0,0,IF(COUNTIFS(実績!$W$6:$W$505,T$3,実績!$AI$6:$AI$505,"&lt;="&amp;$A213,実績!$AJ$6:$AJ$505,"&gt;"&amp;$A213,実績!$AK$6:$AK$505,"○")&gt;0,1,0))</f>
        <v>0</v>
      </c>
      <c r="U213" s="39" t="n">
        <f aca="false">IF(U$4=0,0,IF(COUNTIFS(実績!$W$6:$W$505,U$3,実績!$AI$6:$AI$505,"&lt;="&amp;$A213,実績!$AJ$6:$AJ$505,"&gt;"&amp;$A213,実績!$AK$6:$AK$505,"○")&gt;0,1,0))</f>
        <v>0</v>
      </c>
      <c r="V213" s="39" t="n">
        <f aca="false">IF(V$4=0,0,IF(COUNTIFS(実績!$W$6:$W$505,V$3,実績!$AI$6:$AI$505,"&lt;="&amp;$A213,実績!$AJ$6:$AJ$505,"&gt;"&amp;$A213,実績!$AK$6:$AK$505,"○")&gt;0,1,0))</f>
        <v>0</v>
      </c>
      <c r="W213" s="39" t="n">
        <f aca="false">IF(W$4=0,0,IF(COUNTIFS(実績!$W$6:$W$505,W$3,実績!$AI$6:$AI$505,"&lt;="&amp;$A213,実績!$AJ$6:$AJ$505,"&gt;"&amp;$A213,実績!$AK$6:$AK$505,"○")&gt;0,1,0))</f>
        <v>0</v>
      </c>
      <c r="X213" s="39" t="n">
        <f aca="false">IF(X$4=0,0,IF(COUNTIFS(実績!$W$6:$W$505,X$3,実績!$AI$6:$AI$505,"&lt;="&amp;$A213,実績!$AJ$6:$AJ$505,"&gt;"&amp;$A213,実績!$AK$6:$AK$505,"○")&gt;0,1,0))</f>
        <v>0</v>
      </c>
      <c r="Y213" s="39" t="n">
        <f aca="false">IF(Y$4=0,0,IF(COUNTIFS(実績!$W$6:$W$505,Y$3,実績!$AI$6:$AI$505,"&lt;="&amp;$A213,実績!$AJ$6:$AJ$505,"&gt;"&amp;$A213,実績!$AK$6:$AK$505,"○")&gt;0,1,0))</f>
        <v>0</v>
      </c>
      <c r="Z213" s="39" t="n">
        <f aca="false">IF(Z$4=0,0,IF(COUNTIFS(実績!$W$6:$W$505,Z$3,実績!$AI$6:$AI$505,"&lt;="&amp;$A213,実績!$AJ$6:$AJ$505,"&gt;"&amp;$A213,実績!$AK$6:$AK$505,"○")&gt;0,1,0))</f>
        <v>0</v>
      </c>
      <c r="AA213" s="39" t="n">
        <f aca="false">IF(AA$4=0,0,IF(COUNTIFS(実績!$W$6:$W$505,AA$3,実績!$AI$6:$AI$505,"&lt;="&amp;$A213,実績!$AJ$6:$AJ$505,"&gt;"&amp;$A213,実績!$AK$6:$AK$505,"○")&gt;0,1,0))</f>
        <v>0</v>
      </c>
      <c r="AB213" s="39" t="n">
        <f aca="false">IF(AB$4=0,0,IF(COUNTIFS(実績!$W$6:$W$505,AB$3,実績!$AI$6:$AI$505,"&lt;="&amp;$A213,実績!$AJ$6:$AJ$505,"&gt;"&amp;$A213,実績!$AK$6:$AK$505,"○")&gt;0,1,0))</f>
        <v>0</v>
      </c>
      <c r="AC213" s="39" t="n">
        <f aca="false">IF(AC$4=0,0,IF(COUNTIFS(実績!$W$6:$W$505,AC$3,実績!$AI$6:$AI$505,"&lt;="&amp;$A213,実績!$AJ$6:$AJ$505,"&gt;"&amp;$A213,実績!$AK$6:$AK$505,"○")&gt;0,1,0))</f>
        <v>0</v>
      </c>
      <c r="AD213" s="39" t="n">
        <f aca="false">IF(AD$4=0,0,IF(COUNTIFS(実績!$W$6:$W$505,AD$3,実績!$AI$6:$AI$505,"&lt;="&amp;$A213,実績!$AJ$6:$AJ$505,"&gt;"&amp;$A213,実績!$AK$6:$AK$505,"○")&gt;0,1,0))</f>
        <v>0</v>
      </c>
      <c r="AE213" s="39" t="n">
        <f aca="false">IF(AE$4=0,0,IF(COUNTIFS(実績!$W$6:$W$505,AE$3,実績!$AI$6:$AI$505,"&lt;="&amp;$A213,実績!$AJ$6:$AJ$505,"&gt;"&amp;$A213,実績!$AK$6:$AK$505,"○")&gt;0,1,0))</f>
        <v>0</v>
      </c>
      <c r="AF213" s="39" t="n">
        <f aca="false">IF(AF$4=0,0,IF(COUNTIFS(実績!$W$6:$W$505,AF$3,実績!$AI$6:$AI$505,"&lt;="&amp;$A213,実績!$AJ$6:$AJ$505,"&gt;"&amp;$A213,実績!$AK$6:$AK$505,"○")&gt;0,1,0))</f>
        <v>0</v>
      </c>
      <c r="AG213" s="39" t="n">
        <f aca="false">IF(AG$4=0,0,IF(COUNTIFS(実績!$W$6:$W$505,AG$3,実績!$AI$6:$AI$505,"&lt;="&amp;$A213,実績!$AJ$6:$AJ$505,"&gt;"&amp;$A213,実績!$AK$6:$AK$505,"○")&gt;0,1,0))</f>
        <v>0</v>
      </c>
      <c r="AH213" s="39" t="n">
        <f aca="false">IF(AH$4=0,0,IF(COUNTIFS(実績!$W$6:$W$505,AH$3,実績!$AI$6:$AI$505,"&lt;="&amp;$A213,実績!$AJ$6:$AJ$505,"&gt;"&amp;$A213,実績!$AK$6:$AK$505,"○")&gt;0,1,0))</f>
        <v>0</v>
      </c>
      <c r="AI213" s="39" t="n">
        <f aca="false">IF(AI$4=0,0,IF(COUNTIFS(実績!$W$6:$W$505,AI$3,実績!$AI$6:$AI$505,"&lt;="&amp;$A213,実績!$AJ$6:$AJ$505,"&gt;"&amp;$A213,実績!$AK$6:$AK$505,"○")&gt;0,1,0))</f>
        <v>0</v>
      </c>
      <c r="AJ213" s="39" t="n">
        <f aca="false">IF(AJ$4=0,0,IF(COUNTIFS(実績!$W$6:$W$505,AJ$3,実績!$AI$6:$AI$505,"&lt;="&amp;$A213,実績!$AJ$6:$AJ$505,"&gt;"&amp;$A213,実績!$AK$6:$AK$505,"○")&gt;0,1,0))</f>
        <v>0</v>
      </c>
      <c r="AK213" s="39" t="n">
        <f aca="false">IF(AK$4=0,0,IF(COUNTIFS(実績!$W$6:$W$505,AK$3,実績!$AI$6:$AI$505,"&lt;="&amp;$A213,実績!$AJ$6:$AJ$505,"&gt;"&amp;$A213,実績!$AK$6:$AK$505,"○")&gt;0,1,0))</f>
        <v>0</v>
      </c>
      <c r="AL213" s="39" t="n">
        <f aca="false">IF(AL$4=0,0,IF(COUNTIFS(実績!$W$6:$W$505,AL$3,実績!$AI$6:$AI$505,"&lt;="&amp;$A213,実績!$AJ$6:$AJ$505,"&gt;"&amp;$A213,実績!$AK$6:$AK$505,"○")&gt;0,1,0))</f>
        <v>0</v>
      </c>
      <c r="AM213" s="39" t="n">
        <f aca="false">IF(AM$4=0,0,IF(COUNTIFS(実績!$W$6:$W$505,AM$3,実績!$AI$6:$AI$505,"&lt;="&amp;$A213,実績!$AJ$6:$AJ$505,"&gt;"&amp;$A213,実績!$AK$6:$AK$505,"○")&gt;0,1,0))</f>
        <v>0</v>
      </c>
      <c r="AN213" s="39" t="n">
        <f aca="false">IF(AN$4=0,0,IF(COUNTIFS(実績!$W$6:$W$505,AN$3,実績!$AI$6:$AI$505,"&lt;="&amp;$A213,実績!$AJ$6:$AJ$505,"&gt;"&amp;$A213,実績!$AK$6:$AK$505,"○")&gt;0,1,0))</f>
        <v>0</v>
      </c>
      <c r="AO213" s="39" t="n">
        <f aca="false">IF(AO$4=0,0,IF(COUNTIFS(実績!$W$6:$W$505,AO$3,実績!$AI$6:$AI$505,"&lt;="&amp;$A213,実績!$AJ$6:$AJ$505,"&gt;"&amp;$A213,実績!$AK$6:$AK$505,"○")&gt;0,1,0))</f>
        <v>0</v>
      </c>
      <c r="AP213" s="39" t="n">
        <f aca="false">IF(AP$4=0,0,IF(COUNTIFS(実績!$W$6:$W$505,AP$3,実績!$AI$6:$AI$505,"&lt;="&amp;$A213,実績!$AJ$6:$AJ$505,"&gt;"&amp;$A213,実績!$AK$6:$AK$505,"○")&gt;0,1,0))</f>
        <v>0</v>
      </c>
      <c r="AQ213" s="39" t="n">
        <f aca="false">IF(AQ$4=0,0,IF(COUNTIFS(実績!$W$6:$W$505,AQ$3,実績!$AI$6:$AI$505,"&lt;="&amp;$A213,実績!$AJ$6:$AJ$505,"&gt;"&amp;$A213,実績!$AK$6:$AK$505,"○")&gt;0,1,0))</f>
        <v>0</v>
      </c>
      <c r="AR213" s="39" t="n">
        <f aca="false">IF(AR$4=0,0,IF(COUNTIFS(実績!$W$6:$W$505,AR$3,実績!$AI$6:$AI$505,"&lt;="&amp;$A213,実績!$AJ$6:$AJ$505,"&gt;"&amp;$A213,実績!$AK$6:$AK$505,"○")&gt;0,1,0))</f>
        <v>0</v>
      </c>
      <c r="AS213" s="39" t="n">
        <f aca="false">IF(AS$4=0,0,IF(COUNTIFS(実績!$W$6:$W$505,AS$3,実績!$AI$6:$AI$505,"&lt;="&amp;$A213,実績!$AJ$6:$AJ$505,"&gt;"&amp;$A213,実績!$AK$6:$AK$505,"○")&gt;0,1,0))</f>
        <v>0</v>
      </c>
      <c r="AT213" s="39" t="n">
        <f aca="false">IF(AT$4=0,0,IF(COUNTIFS(実績!$W$6:$W$505,AT$3,実績!$AI$6:$AI$505,"&lt;="&amp;$A213,実績!$AJ$6:$AJ$505,"&gt;"&amp;$A213,実績!$AK$6:$AK$505,"○")&gt;0,1,0))</f>
        <v>0</v>
      </c>
      <c r="AU213" s="39" t="n">
        <f aca="false">IF(AU$4=0,0,IF(COUNTIFS(実績!$W$6:$W$505,AU$3,実績!$AI$6:$AI$505,"&lt;="&amp;$A213,実績!$AJ$6:$AJ$505,"&gt;"&amp;$A213,実績!$AK$6:$AK$505,"○")&gt;0,1,0))</f>
        <v>0</v>
      </c>
      <c r="AV213" s="39" t="n">
        <f aca="false">IF(AV$4=0,0,IF(COUNTIFS(実績!$W$6:$W$505,AV$3,実績!$AI$6:$AI$505,"&lt;="&amp;$A213,実績!$AJ$6:$AJ$505,"&gt;"&amp;$A213,実績!$AK$6:$AK$505,"○")&gt;0,1,0))</f>
        <v>0</v>
      </c>
      <c r="AW213" s="39" t="n">
        <f aca="false">IF(AW$4=0,0,IF(COUNTIFS(実績!$W$6:$W$505,AW$3,実績!$AI$6:$AI$505,"&lt;="&amp;$A213,実績!$AJ$6:$AJ$505,"&gt;"&amp;$A213,実績!$AK$6:$AK$505,"○")&gt;0,1,0))</f>
        <v>0</v>
      </c>
      <c r="AX213" s="39" t="n">
        <f aca="false">IF(AX$4=0,0,IF(COUNTIFS(実績!$W$6:$W$505,AX$3,実績!$AI$6:$AI$505,"&lt;="&amp;$A213,実績!$AJ$6:$AJ$505,"&gt;"&amp;$A213,実績!$AK$6:$AK$505,"○")&gt;0,1,0))</f>
        <v>0</v>
      </c>
      <c r="AY213" s="39" t="n">
        <f aca="false">IF(AY$4=0,0,IF(COUNTIFS(実績!$W$6:$W$505,AY$3,実績!$AI$6:$AI$505,"&lt;="&amp;$A213,実績!$AJ$6:$AJ$505,"&gt;"&amp;$A213,実績!$AK$6:$AK$505,"○")&gt;0,1,0))</f>
        <v>0</v>
      </c>
      <c r="AZ213" s="39" t="n">
        <f aca="false">IF(AZ$4=0,0,IF(COUNTIFS(実績!$W$6:$W$505,AZ$3,実績!$AI$6:$AI$505,"&lt;="&amp;$A213,実績!$AJ$6:$AJ$505,"&gt;"&amp;$A213,実績!$AK$6:$AK$505,"○")&gt;0,1,0))</f>
        <v>0</v>
      </c>
      <c r="BA213" s="39" t="n">
        <f aca="false">IF(BA$4=0,0,IF(COUNTIFS(実績!$W$6:$W$505,BA$3,実績!$AI$6:$AI$505,"&lt;="&amp;$A213,実績!$AJ$6:$AJ$505,"&gt;"&amp;$A213,実績!$AK$6:$AK$505,"○")&gt;0,1,0))</f>
        <v>0</v>
      </c>
      <c r="BB213" s="39" t="n">
        <f aca="false">IF(BB$4=0,0,IF(COUNTIFS(実績!$W$6:$W$505,BB$3,実績!$AI$6:$AI$505,"&lt;="&amp;$A213,実績!$AJ$6:$AJ$505,"&gt;"&amp;$A213,実績!$AK$6:$AK$505,"○")&gt;0,1,0))</f>
        <v>0</v>
      </c>
      <c r="BC213" s="39" t="n">
        <f aca="false">IF(BC$4=0,0,IF(COUNTIFS(実績!$W$6:$W$505,BC$3,実績!$AI$6:$AI$505,"&lt;="&amp;$A213,実績!$AJ$6:$AJ$505,"&gt;"&amp;$A213,実績!$AK$6:$AK$505,"○")&gt;0,1,0))</f>
        <v>0</v>
      </c>
      <c r="BD213" s="39" t="n">
        <f aca="false">IF(BD$4=0,0,IF(COUNTIFS(実績!$W$6:$W$505,BD$3,実績!$AI$6:$AI$505,"&lt;="&amp;$A213,実績!$AJ$6:$AJ$505,"&gt;"&amp;$A213,実績!$AK$6:$AK$505,"○")&gt;0,1,0))</f>
        <v>0</v>
      </c>
      <c r="BE213" s="39" t="n">
        <f aca="false">IF(BE$4=0,0,IF(COUNTIFS(実績!$W$6:$W$505,BE$3,実績!$AI$6:$AI$505,"&lt;="&amp;$A213,実績!$AJ$6:$AJ$505,"&gt;"&amp;$A213,実績!$AK$6:$AK$505,"○")&gt;0,1,0))</f>
        <v>0</v>
      </c>
      <c r="BF213" s="39" t="n">
        <f aca="false">IF(BF$4=0,0,IF(COUNTIFS(実績!$W$6:$W$505,BF$3,実績!$AI$6:$AI$505,"&lt;="&amp;$A213,実績!$AJ$6:$AJ$505,"&gt;"&amp;$A213,実績!$AK$6:$AK$505,"○")&gt;0,1,0))</f>
        <v>0</v>
      </c>
      <c r="BG213" s="39" t="n">
        <f aca="false">IF(BG$4=0,0,IF(COUNTIFS(実績!$W$6:$W$505,BG$3,実績!$AI$6:$AI$505,"&lt;="&amp;$A213,実績!$AJ$6:$AJ$505,"&gt;"&amp;$A213,実績!$AK$6:$AK$505,"○")&gt;0,1,0))</f>
        <v>0</v>
      </c>
      <c r="BH213" s="39" t="n">
        <f aca="false">IF(BH$4=0,0,IF(COUNTIFS(実績!$W$6:$W$505,BH$3,実績!$AI$6:$AI$505,"&lt;="&amp;$A213,実績!$AJ$6:$AJ$505,"&gt;"&amp;$A213,実績!$AK$6:$AK$505,"○")&gt;0,1,0))</f>
        <v>0</v>
      </c>
      <c r="BI213" s="39" t="n">
        <f aca="false">IF(BI$4=0,0,IF(COUNTIFS(実績!$W$6:$W$505,BI$3,実績!$AI$6:$AI$505,"&lt;="&amp;$A213,実績!$AJ$6:$AJ$505,"&gt;"&amp;$A213,実績!$AK$6:$AK$505,"○")&gt;0,1,0))</f>
        <v>0</v>
      </c>
      <c r="BJ213" s="39" t="n">
        <f aca="false">IF(BJ$4=0,0,IF(COUNTIFS(実績!$W$6:$W$505,BJ$3,実績!$AI$6:$AI$505,"&lt;="&amp;$A213,実績!$AJ$6:$AJ$505,"&gt;"&amp;$A213,実績!$AK$6:$AK$505,"○")&gt;0,1,0))</f>
        <v>0</v>
      </c>
      <c r="BK213" s="39" t="n">
        <f aca="false">IF(BK$4=0,0,IF(COUNTIFS(実績!$W$6:$W$505,BK$3,実績!$AI$6:$AI$505,"&lt;="&amp;$A213,実績!$AJ$6:$AJ$505,"&gt;"&amp;$A213,実績!$AK$6:$AK$505,"○")&gt;0,1,0))</f>
        <v>0</v>
      </c>
      <c r="BL213" s="39" t="n">
        <f aca="false">IF(BL$4=0,0,IF(COUNTIFS(実績!$W$6:$W$505,BL$3,実績!$AI$6:$AI$505,"&lt;="&amp;$A213,実績!$AJ$6:$AJ$505,"&gt;"&amp;$A213,実績!$AK$6:$AK$505,"○")&gt;0,1,0))</f>
        <v>0</v>
      </c>
      <c r="BM213" s="39" t="n">
        <f aca="false">IF(BM$4=0,0,IF(COUNTIFS(実績!$W$6:$W$505,BM$3,実績!$AI$6:$AI$505,"&lt;="&amp;$A213,実績!$AJ$6:$AJ$505,"&gt;"&amp;$A213,実績!$AK$6:$AK$505,"○")&gt;0,1,0))</f>
        <v>0</v>
      </c>
      <c r="BN213" s="39" t="n">
        <f aca="false">IF(BN$4=0,0,IF(COUNTIFS(実績!$W$6:$W$505,BN$3,実績!$AI$6:$AI$505,"&lt;="&amp;$A213,実績!$AJ$6:$AJ$505,"&gt;"&amp;$A213,実績!$AK$6:$AK$505,"○")&gt;0,1,0))</f>
        <v>0</v>
      </c>
      <c r="BO213" s="39" t="n">
        <f aca="false">IF(BO$4=0,0,IF(COUNTIFS(実績!$W$6:$W$505,BO$3,実績!$AI$6:$AI$505,"&lt;="&amp;$A213,実績!$AJ$6:$AJ$505,"&gt;"&amp;$A213,実績!$AK$6:$AK$505,"○")&gt;0,1,0))</f>
        <v>0</v>
      </c>
      <c r="BP213" s="39" t="n">
        <f aca="false">IF(BP$4=0,0,IF(COUNTIFS(実績!$W$6:$W$505,BP$3,実績!$AI$6:$AI$505,"&lt;="&amp;$A213,実績!$AJ$6:$AJ$505,"&gt;"&amp;$A213,実績!$AK$6:$AK$505,"○")&gt;0,1,0))</f>
        <v>0</v>
      </c>
      <c r="BQ213" s="39" t="n">
        <f aca="false">IF(BQ$4=0,0,IF(COUNTIFS(実績!$W$6:$W$505,BQ$3,実績!$AI$6:$AI$505,"&lt;="&amp;$A213,実績!$AJ$6:$AJ$505,"&gt;"&amp;$A213,実績!$AK$6:$AK$505,"○")&gt;0,1,0))</f>
        <v>0</v>
      </c>
      <c r="BR213" s="39" t="n">
        <f aca="false">IF(BR$4=0,0,IF(COUNTIFS(実績!$W$6:$W$505,BR$3,実績!$AI$6:$AI$505,"&lt;="&amp;$A213,実績!$AJ$6:$AJ$505,"&gt;"&amp;$A213,実績!$AK$6:$AK$505,"○")&gt;0,1,0))</f>
        <v>0</v>
      </c>
      <c r="BS213" s="39" t="n">
        <f aca="false">IF(BS$4=0,0,IF(COUNTIFS(実績!$W$6:$W$505,BS$3,実績!$AI$6:$AI$505,"&lt;="&amp;$A213,実績!$AJ$6:$AJ$505,"&gt;"&amp;$A213,実績!$AK$6:$AK$505,"○")&gt;0,1,0))</f>
        <v>0</v>
      </c>
      <c r="BT213" s="39" t="n">
        <f aca="false">IF(BT$4=0,0,IF(COUNTIFS(実績!$W$6:$W$505,BT$3,実績!$AI$6:$AI$505,"&lt;="&amp;$A213,実績!$AJ$6:$AJ$505,"&gt;"&amp;$A213,実績!$AK$6:$AK$505,"○")&gt;0,1,0))</f>
        <v>0</v>
      </c>
      <c r="BU213" s="39" t="n">
        <f aca="false">IF(BU$4=0,0,IF(COUNTIFS(実績!$W$6:$W$505,BU$3,実績!$AI$6:$AI$505,"&lt;="&amp;$A213,実績!$AJ$6:$AJ$505,"&gt;"&amp;$A213,実績!$AK$6:$AK$505,"○")&gt;0,1,0))</f>
        <v>0</v>
      </c>
      <c r="BV213" s="39" t="n">
        <f aca="false">IF(BV$4=0,0,IF(COUNTIFS(実績!$W$6:$W$505,BV$3,実績!$AI$6:$AI$505,"&lt;="&amp;$A213,実績!$AJ$6:$AJ$505,"&gt;"&amp;$A213,実績!$AK$6:$AK$505,"○")&gt;0,1,0))</f>
        <v>0</v>
      </c>
      <c r="BW213" s="39" t="n">
        <f aca="false">IF(BW$4=0,0,IF(COUNTIFS(実績!$W$6:$W$505,BW$3,実績!$AI$6:$AI$505,"&lt;="&amp;$A213,実績!$AJ$6:$AJ$505,"&gt;"&amp;$A213,実績!$AK$6:$AK$505,"○")&gt;0,1,0))</f>
        <v>0</v>
      </c>
      <c r="BX213" s="39" t="n">
        <f aca="false">IF(BX$4=0,0,IF(COUNTIFS(実績!$W$6:$W$505,BX$3,実績!$AI$6:$AI$505,"&lt;="&amp;$A213,実績!$AJ$6:$AJ$505,"&gt;"&amp;$A213,実績!$AK$6:$AK$505,"○")&gt;0,1,0))</f>
        <v>0</v>
      </c>
      <c r="BY213" s="39" t="n">
        <f aca="false">IF(BY$4=0,0,IF(COUNTIFS(実績!$W$6:$W$505,BY$3,実績!$AI$6:$AI$505,"&lt;="&amp;$A213,実績!$AJ$6:$AJ$505,"&gt;"&amp;$A213,実績!$AK$6:$AK$505,"○")&gt;0,1,0))</f>
        <v>0</v>
      </c>
      <c r="BZ213" s="39" t="n">
        <f aca="false">IF(BZ$4=0,0,IF(COUNTIFS(実績!$W$6:$W$505,BZ$3,実績!$AI$6:$AI$505,"&lt;="&amp;$A213,実績!$AJ$6:$AJ$505,"&gt;"&amp;$A213,実績!$AK$6:$AK$505,"○")&gt;0,1,0))</f>
        <v>0</v>
      </c>
      <c r="CA213" s="39" t="n">
        <f aca="false">IF(CA$4=0,0,IF(COUNTIFS(実績!$W$6:$W$505,CA$3,実績!$AI$6:$AI$505,"&lt;="&amp;$A213,実績!$AJ$6:$AJ$505,"&gt;"&amp;$A213,実績!$AK$6:$AK$505,"○")&gt;0,1,0))</f>
        <v>0</v>
      </c>
      <c r="CB213" s="39" t="n">
        <f aca="false">IF(CB$4=0,0,IF(COUNTIFS(実績!$W$6:$W$505,CB$3,実績!$AI$6:$AI$505,"&lt;="&amp;$A213,実績!$AJ$6:$AJ$505,"&gt;"&amp;$A213,実績!$AK$6:$AK$505,"○")&gt;0,1,0))</f>
        <v>0</v>
      </c>
      <c r="CC213" s="39" t="n">
        <f aca="false">IF(CC$4=0,0,IF(COUNTIFS(実績!$W$6:$W$505,CC$3,実績!$AI$6:$AI$505,"&lt;="&amp;$A213,実績!$AJ$6:$AJ$505,"&gt;"&amp;$A213,実績!$AK$6:$AK$505,"○")&gt;0,1,0))</f>
        <v>0</v>
      </c>
      <c r="CD213" s="39" t="n">
        <f aca="false">IF(CD$4=0,0,IF(COUNTIFS(実績!$W$6:$W$505,CD$3,実績!$AI$6:$AI$505,"&lt;="&amp;$A213,実績!$AJ$6:$AJ$505,"&gt;"&amp;$A213,実績!$AK$6:$AK$505,"○")&gt;0,1,0))</f>
        <v>0</v>
      </c>
      <c r="CE213" s="39" t="n">
        <f aca="false">IF(CE$4=0,0,IF(COUNTIFS(実績!$W$6:$W$505,CE$3,実績!$AI$6:$AI$505,"&lt;="&amp;$A213,実績!$AJ$6:$AJ$505,"&gt;"&amp;$A213,実績!$AK$6:$AK$505,"○")&gt;0,1,0))</f>
        <v>0</v>
      </c>
      <c r="CF213" s="39" t="n">
        <f aca="false">IF(CF$4=0,0,IF(COUNTIFS(実績!$W$6:$W$505,CF$3,実績!$AI$6:$AI$505,"&lt;="&amp;$A213,実績!$AJ$6:$AJ$505,"&gt;"&amp;$A213,実績!$AK$6:$AK$505,"○")&gt;0,1,0))</f>
        <v>0</v>
      </c>
      <c r="CG213" s="39" t="n">
        <f aca="false">IF(CG$4=0,0,IF(COUNTIFS(実績!$W$6:$W$505,CG$3,実績!$AI$6:$AI$505,"&lt;="&amp;$A213,実績!$AJ$6:$AJ$505,"&gt;"&amp;$A213,実績!$AK$6:$AK$505,"○")&gt;0,1,0))</f>
        <v>0</v>
      </c>
      <c r="CH213" s="39" t="n">
        <f aca="false">IF(CH$4=0,0,IF(COUNTIFS(実績!$W$6:$W$505,CH$3,実績!$AI$6:$AI$505,"&lt;="&amp;$A213,実績!$AJ$6:$AJ$505,"&gt;"&amp;$A213,実績!$AK$6:$AK$505,"○")&gt;0,1,0))</f>
        <v>0</v>
      </c>
      <c r="CI213" s="39" t="n">
        <f aca="false">IF(CI$4=0,0,IF(COUNTIFS(実績!$W$6:$W$505,CI$3,実績!$AI$6:$AI$505,"&lt;="&amp;$A213,実績!$AJ$6:$AJ$505,"&gt;"&amp;$A213,実績!$AK$6:$AK$505,"○")&gt;0,1,0))</f>
        <v>0</v>
      </c>
      <c r="CJ213" s="39" t="n">
        <f aca="false">IF(CJ$4=0,0,IF(COUNTIFS(実績!$W$6:$W$505,CJ$3,実績!$AI$6:$AI$505,"&lt;="&amp;$A213,実績!$AJ$6:$AJ$505,"&gt;"&amp;$A213,実績!$AK$6:$AK$505,"○")&gt;0,1,0))</f>
        <v>0</v>
      </c>
      <c r="CK213" s="39" t="n">
        <f aca="false">IF(CK$4=0,0,IF(COUNTIFS(実績!$W$6:$W$505,CK$3,実績!$AI$6:$AI$505,"&lt;="&amp;$A213,実績!$AJ$6:$AJ$505,"&gt;"&amp;$A213,実績!$AK$6:$AK$505,"○")&gt;0,1,0))</f>
        <v>0</v>
      </c>
      <c r="CL213" s="39" t="n">
        <f aca="false">IF(CL$4=0,0,IF(COUNTIFS(実績!$W$6:$W$505,CL$3,実績!$AI$6:$AI$505,"&lt;="&amp;$A213,実績!$AJ$6:$AJ$505,"&gt;"&amp;$A213,実績!$AK$6:$AK$505,"○")&gt;0,1,0))</f>
        <v>0</v>
      </c>
      <c r="CM213" s="39" t="n">
        <f aca="false">IF(CM$4=0,0,IF(COUNTIFS(実績!$W$6:$W$505,CM$3,実績!$AI$6:$AI$505,"&lt;="&amp;$A213,実績!$AJ$6:$AJ$505,"&gt;"&amp;$A213,実績!$AK$6:$AK$505,"○")&gt;0,1,0))</f>
        <v>0</v>
      </c>
      <c r="CN213" s="39" t="n">
        <f aca="false">IF(CN$4=0,0,IF(COUNTIFS(実績!$W$6:$W$505,CN$3,実績!$AI$6:$AI$505,"&lt;="&amp;$A213,実績!$AJ$6:$AJ$505,"&gt;"&amp;$A213,実績!$AK$6:$AK$505,"○")&gt;0,1,0))</f>
        <v>0</v>
      </c>
      <c r="CO213" s="39" t="n">
        <f aca="false">IF(CO$4=0,0,IF(COUNTIFS(実績!$W$6:$W$505,CO$3,実績!$AI$6:$AI$505,"&lt;="&amp;$A213,実績!$AJ$6:$AJ$505,"&gt;"&amp;$A213,実績!$AK$6:$AK$505,"○")&gt;0,1,0))</f>
        <v>0</v>
      </c>
      <c r="CP213" s="39" t="n">
        <f aca="false">IF(CP$4=0,0,IF(COUNTIFS(実績!$W$6:$W$505,CP$3,実績!$AI$6:$AI$505,"&lt;="&amp;$A213,実績!$AJ$6:$AJ$505,"&gt;"&amp;$A213,実績!$AK$6:$AK$505,"○")&gt;0,1,0))</f>
        <v>0</v>
      </c>
      <c r="CQ213" s="39" t="n">
        <f aca="false">IF(CQ$4=0,0,IF(COUNTIFS(実績!$W$6:$W$505,CQ$3,実績!$AI$6:$AI$505,"&lt;="&amp;$A213,実績!$AJ$6:$AJ$505,"&gt;"&amp;$A213,実績!$AK$6:$AK$505,"○")&gt;0,1,0))</f>
        <v>0</v>
      </c>
      <c r="CR213" s="39" t="n">
        <f aca="false">IF(CR$4=0,0,IF(COUNTIFS(実績!$W$6:$W$505,CR$3,実績!$AI$6:$AI$505,"&lt;="&amp;$A213,実績!$AJ$6:$AJ$505,"&gt;"&amp;$A213,実績!$AK$6:$AK$505,"○")&gt;0,1,0))</f>
        <v>0</v>
      </c>
      <c r="CS213" s="39" t="n">
        <f aca="false">IF(CS$4=0,0,IF(COUNTIFS(実績!$W$6:$W$505,CS$3,実績!$AI$6:$AI$505,"&lt;="&amp;$A213,実績!$AJ$6:$AJ$505,"&gt;"&amp;$A213,実績!$AK$6:$AK$505,"○")&gt;0,1,0))</f>
        <v>0</v>
      </c>
      <c r="CT213" s="39" t="n">
        <f aca="false">IF(CT$4=0,0,IF(COUNTIFS(実績!$W$6:$W$505,CT$3,実績!$AI$6:$AI$505,"&lt;="&amp;$A213,実績!$AJ$6:$AJ$505,"&gt;"&amp;$A213,実績!$AK$6:$AK$505,"○")&gt;0,1,0))</f>
        <v>0</v>
      </c>
      <c r="CU213" s="39" t="n">
        <f aca="false">IF(CU$4=0,0,IF(COUNTIFS(実績!$W$6:$W$505,CU$3,実績!$AI$6:$AI$505,"&lt;="&amp;$A213,実績!$AJ$6:$AJ$505,"&gt;"&amp;$A213,実績!$AK$6:$AK$505,"○")&gt;0,1,0))</f>
        <v>0</v>
      </c>
      <c r="CV213" s="39" t="n">
        <f aca="false">IF(CV$4=0,0,IF(COUNTIFS(実績!$W$6:$W$505,CV$3,実績!$AI$6:$AI$505,"&lt;="&amp;$A213,実績!$AJ$6:$AJ$505,"&gt;"&amp;$A213,実績!$AK$6:$AK$505,"○")&gt;0,1,0))</f>
        <v>0</v>
      </c>
      <c r="CW213" s="39" t="n">
        <f aca="false">IF(CW$4=0,0,IF(COUNTIFS(実績!$W$6:$W$505,CW$3,実績!$AI$6:$AI$505,"&lt;="&amp;$A213,実績!$AJ$6:$AJ$505,"&gt;"&amp;$A213,実績!$AK$6:$AK$505,"○")&gt;0,1,0))</f>
        <v>0</v>
      </c>
      <c r="CX213" s="39" t="n">
        <f aca="false">IF(CX$4=0,0,IF(COUNTIFS(実績!$W$6:$W$505,CX$3,実績!$AI$6:$AI$505,"&lt;="&amp;$A213,実績!$AJ$6:$AJ$505,"&gt;"&amp;$A213,実績!$AK$6:$AK$505,"○")&gt;0,1,0))</f>
        <v>0</v>
      </c>
      <c r="CY213" s="39" t="n">
        <f aca="false">IF(CY$4=0,0,IF(COUNTIFS(実績!$W$6:$W$505,CY$3,実績!$AI$6:$AI$505,"&lt;="&amp;$A213,実績!$AJ$6:$AJ$505,"&gt;"&amp;$A213,実績!$AK$6:$AK$505,"○")&gt;0,1,0))</f>
        <v>0</v>
      </c>
      <c r="CZ213" s="39" t="n">
        <f aca="false">IF(CZ$4=0,0,IF(COUNTIFS(実績!$W$6:$W$505,CZ$3,実績!$AI$6:$AI$505,"&lt;="&amp;$A213,実績!$AJ$6:$AJ$505,"&gt;"&amp;$A213,実績!$AK$6:$AK$505,"○")&gt;0,1,0))</f>
        <v>0</v>
      </c>
      <c r="DA213" s="39" t="n">
        <f aca="false">IF(DA$4=0,0,IF(COUNTIFS(実績!$W$6:$W$505,DA$3,実績!$AI$6:$AI$505,"&lt;="&amp;$A213,実績!$AJ$6:$AJ$505,"&gt;"&amp;$A213,実績!$AK$6:$AK$505,"○")&gt;0,1,0))</f>
        <v>0</v>
      </c>
      <c r="DB213" s="39" t="n">
        <f aca="false">IF(DB$4=0,0,IF(COUNTIFS(実績!$W$6:$W$505,DB$3,実績!$AI$6:$AI$505,"&lt;="&amp;$A213,実績!$AJ$6:$AJ$505,"&gt;"&amp;$A213,実績!$AK$6:$AK$505,"○")&gt;0,1,0))</f>
        <v>0</v>
      </c>
      <c r="DC213" s="39" t="n">
        <f aca="false">IF(DC$4=0,0,IF(COUNTIFS(実績!$W$6:$W$505,DC$3,実績!$AI$6:$AI$505,"&lt;="&amp;$A213,実績!$AJ$6:$AJ$505,"&gt;"&amp;$A213,実績!$AK$6:$AK$505,"○")&gt;0,1,0))</f>
        <v>0</v>
      </c>
      <c r="DD213" s="39" t="n">
        <f aca="false">IF(DD$4=0,0,IF(COUNTIFS(実績!$W$6:$W$505,DD$3,実績!$AI$6:$AI$505,"&lt;="&amp;$A213,実績!$AJ$6:$AJ$505,"&gt;"&amp;$A213,実績!$AK$6:$AK$505,"○")&gt;0,1,0))</f>
        <v>0</v>
      </c>
      <c r="DE213" s="39" t="n">
        <f aca="false">IF(DE$4=0,0,IF(COUNTIFS(実績!$W$6:$W$505,DE$3,実績!$AI$6:$AI$505,"&lt;="&amp;$A213,実績!$AJ$6:$AJ$505,"&gt;"&amp;$A213,実績!$AK$6:$AK$505,"○")&gt;0,1,0))</f>
        <v>0</v>
      </c>
      <c r="DF213" s="39" t="n">
        <f aca="false">IF(DF$4=0,0,IF(COUNTIFS(実績!$W$6:$W$505,DF$3,実績!$AI$6:$AI$505,"&lt;="&amp;$A213,実績!$AJ$6:$AJ$505,"&gt;"&amp;$A213,実績!$AK$6:$AK$505,"○")&gt;0,1,0))</f>
        <v>0</v>
      </c>
      <c r="DG213" s="39" t="n">
        <f aca="false">IF(DG$4=0,0,IF(COUNTIFS(実績!$W$6:$W$505,DG$3,実績!$AI$6:$AI$505,"&lt;="&amp;$A213,実績!$AJ$6:$AJ$505,"&gt;"&amp;$A213,実績!$AK$6:$AK$505,"○")&gt;0,1,0))</f>
        <v>0</v>
      </c>
      <c r="DH213" s="39" t="n">
        <f aca="false">IF(DH$4=0,0,IF(COUNTIFS(実績!$W$6:$W$505,DH$3,実績!$AI$6:$AI$505,"&lt;="&amp;$A213,実績!$AJ$6:$AJ$505,"&gt;"&amp;$A213,実績!$AK$6:$AK$505,"○")&gt;0,1,0))</f>
        <v>0</v>
      </c>
      <c r="DI213" s="39" t="n">
        <f aca="false">IF(DI$4=0,0,IF(COUNTIFS(実績!$W$6:$W$505,DI$3,実績!$AI$6:$AI$505,"&lt;="&amp;$A213,実績!$AJ$6:$AJ$505,"&gt;"&amp;$A213,実績!$AK$6:$AK$505,"○")&gt;0,1,0))</f>
        <v>0</v>
      </c>
      <c r="DJ213" s="39" t="n">
        <f aca="false">IF(DJ$4=0,0,IF(COUNTIFS(実績!$W$6:$W$505,DJ$3,実績!$AI$6:$AI$505,"&lt;="&amp;$A213,実績!$AJ$6:$AJ$505,"&gt;"&amp;$A213,実績!$AK$6:$AK$505,"○")&gt;0,1,0))</f>
        <v>0</v>
      </c>
      <c r="DK213" s="39" t="n">
        <f aca="false">IF(DK$4=0,0,IF(COUNTIFS(実績!$W$6:$W$505,DK$3,実績!$AI$6:$AI$505,"&lt;="&amp;$A213,実績!$AJ$6:$AJ$505,"&gt;"&amp;$A213,実績!$AK$6:$AK$505,"○")&gt;0,1,0))</f>
        <v>0</v>
      </c>
      <c r="DL213" s="39" t="n">
        <f aca="false">IF(DL$4=0,0,IF(COUNTIFS(実績!$W$6:$W$505,DL$3,実績!$AI$6:$AI$505,"&lt;="&amp;$A213,実績!$AJ$6:$AJ$505,"&gt;"&amp;$A213,実績!$AK$6:$AK$505,"○")&gt;0,1,0))</f>
        <v>0</v>
      </c>
      <c r="DM213" s="39" t="n">
        <f aca="false">IF(DM$4=0,0,IF(COUNTIFS(実績!$W$6:$W$505,DM$3,実績!$AI$6:$AI$505,"&lt;="&amp;$A213,実績!$AJ$6:$AJ$505,"&gt;"&amp;$A213,実績!$AK$6:$AK$505,"○")&gt;0,1,0))</f>
        <v>0</v>
      </c>
      <c r="DN213" s="39" t="n">
        <f aca="false">IF(DN$4=0,0,IF(COUNTIFS(実績!$W$6:$W$505,DN$3,実績!$AI$6:$AI$505,"&lt;="&amp;$A213,実績!$AJ$6:$AJ$505,"&gt;"&amp;$A213,実績!$AK$6:$AK$505,"○")&gt;0,1,0))</f>
        <v>0</v>
      </c>
      <c r="DO213" s="39" t="n">
        <f aca="false">IF(DO$4=0,0,IF(COUNTIFS(実績!$W$6:$W$505,DO$3,実績!$AI$6:$AI$505,"&lt;="&amp;$A213,実績!$AJ$6:$AJ$505,"&gt;"&amp;$A213,実績!$AK$6:$AK$505,"○")&gt;0,1,0))</f>
        <v>0</v>
      </c>
      <c r="DP213" s="39" t="n">
        <f aca="false">IF(DP$4=0,0,IF(COUNTIFS(実績!$W$6:$W$505,DP$3,実績!$AI$6:$AI$505,"&lt;="&amp;$A213,実績!$AJ$6:$AJ$505,"&gt;"&amp;$A213,実績!$AK$6:$AK$505,"○")&gt;0,1,0))</f>
        <v>0</v>
      </c>
      <c r="DQ213" s="39" t="n">
        <f aca="false">IF(DQ$4=0,0,IF(COUNTIFS(実績!$W$6:$W$505,DQ$3,実績!$AI$6:$AI$505,"&lt;="&amp;$A213,実績!$AJ$6:$AJ$505,"&gt;"&amp;$A213,実績!$AK$6:$AK$505,"○")&gt;0,1,0))</f>
        <v>0</v>
      </c>
      <c r="DR213" s="39" t="n">
        <f aca="false">IF(DR$4=0,0,IF(COUNTIFS(実績!$W$6:$W$505,DR$3,実績!$AI$6:$AI$505,"&lt;="&amp;$A213,実績!$AJ$6:$AJ$505,"&gt;"&amp;$A213,実績!$AK$6:$AK$505,"○")&gt;0,1,0))</f>
        <v>0</v>
      </c>
      <c r="DS213" s="39" t="n">
        <f aca="false">SUM(C213:DR213)</f>
        <v>0</v>
      </c>
      <c r="DT213" s="39" t="n">
        <f aca="false">SUMPRODUCT((実績!$C$6:$C$505="○")*ISNUMBER(実績!$AM$6:$AM$505)*(実績!$AM$6:$AM$505&lt;=$A213)*(実績!$AN$6:$AN$505&gt;$A213))</f>
        <v>0</v>
      </c>
      <c r="DU213" s="39" t="n">
        <f aca="false">SUMIF($C$2:$DR$2,"製鉄曳船",C213:DR213)</f>
        <v>0</v>
      </c>
      <c r="DV213" s="39" t="n">
        <f aca="false">SUMIF($C$2:$DR$2,"西日本海運",C213:DR213)</f>
        <v>0</v>
      </c>
    </row>
    <row r="214" customFormat="false" ht="15" hidden="false" customHeight="false" outlineLevel="0" collapsed="false">
      <c r="A214" s="0" t="n">
        <v>1040</v>
      </c>
      <c r="B214" s="38" t="n">
        <f aca="false">A214/1440</f>
        <v>0.722222222222222</v>
      </c>
      <c r="C214" s="39" t="n">
        <f aca="false">IF(C$4=0,0,IF(COUNTIFS(実績!$W$6:$W$505,C$3,実績!$AI$6:$AI$505,"&lt;="&amp;$A214,実績!$AJ$6:$AJ$505,"&gt;"&amp;$A214,実績!$AK$6:$AK$505,"○")&gt;0,1,0))</f>
        <v>0</v>
      </c>
      <c r="D214" s="39" t="n">
        <f aca="false">IF(D$4=0,0,IF(COUNTIFS(実績!$W$6:$W$505,D$3,実績!$AI$6:$AI$505,"&lt;="&amp;$A214,実績!$AJ$6:$AJ$505,"&gt;"&amp;$A214,実績!$AK$6:$AK$505,"○")&gt;0,1,0))</f>
        <v>0</v>
      </c>
      <c r="E214" s="39" t="n">
        <f aca="false">IF(E$4=0,0,IF(COUNTIFS(実績!$W$6:$W$505,E$3,実績!$AI$6:$AI$505,"&lt;="&amp;$A214,実績!$AJ$6:$AJ$505,"&gt;"&amp;$A214,実績!$AK$6:$AK$505,"○")&gt;0,1,0))</f>
        <v>0</v>
      </c>
      <c r="F214" s="39" t="n">
        <f aca="false">IF(F$4=0,0,IF(COUNTIFS(実績!$W$6:$W$505,F$3,実績!$AI$6:$AI$505,"&lt;="&amp;$A214,実績!$AJ$6:$AJ$505,"&gt;"&amp;$A214,実績!$AK$6:$AK$505,"○")&gt;0,1,0))</f>
        <v>0</v>
      </c>
      <c r="G214" s="39" t="n">
        <f aca="false">IF(G$4=0,0,IF(COUNTIFS(実績!$W$6:$W$505,G$3,実績!$AI$6:$AI$505,"&lt;="&amp;$A214,実績!$AJ$6:$AJ$505,"&gt;"&amp;$A214,実績!$AK$6:$AK$505,"○")&gt;0,1,0))</f>
        <v>0</v>
      </c>
      <c r="H214" s="39" t="n">
        <f aca="false">IF(H$4=0,0,IF(COUNTIFS(実績!$W$6:$W$505,H$3,実績!$AI$6:$AI$505,"&lt;="&amp;$A214,実績!$AJ$6:$AJ$505,"&gt;"&amp;$A214,実績!$AK$6:$AK$505,"○")&gt;0,1,0))</f>
        <v>0</v>
      </c>
      <c r="I214" s="39" t="n">
        <f aca="false">IF(I$4=0,0,IF(COUNTIFS(実績!$W$6:$W$505,I$3,実績!$AI$6:$AI$505,"&lt;="&amp;$A214,実績!$AJ$6:$AJ$505,"&gt;"&amp;$A214,実績!$AK$6:$AK$505,"○")&gt;0,1,0))</f>
        <v>0</v>
      </c>
      <c r="J214" s="39" t="n">
        <f aca="false">IF(J$4=0,0,IF(COUNTIFS(実績!$W$6:$W$505,J$3,実績!$AI$6:$AI$505,"&lt;="&amp;$A214,実績!$AJ$6:$AJ$505,"&gt;"&amp;$A214,実績!$AK$6:$AK$505,"○")&gt;0,1,0))</f>
        <v>0</v>
      </c>
      <c r="K214" s="39" t="n">
        <f aca="false">IF(K$4=0,0,IF(COUNTIFS(実績!$W$6:$W$505,K$3,実績!$AI$6:$AI$505,"&lt;="&amp;$A214,実績!$AJ$6:$AJ$505,"&gt;"&amp;$A214,実績!$AK$6:$AK$505,"○")&gt;0,1,0))</f>
        <v>0</v>
      </c>
      <c r="L214" s="39" t="n">
        <f aca="false">IF(L$4=0,0,IF(COUNTIFS(実績!$W$6:$W$505,L$3,実績!$AI$6:$AI$505,"&lt;="&amp;$A214,実績!$AJ$6:$AJ$505,"&gt;"&amp;$A214,実績!$AK$6:$AK$505,"○")&gt;0,1,0))</f>
        <v>0</v>
      </c>
      <c r="M214" s="39" t="n">
        <f aca="false">IF(M$4=0,0,IF(COUNTIFS(実績!$W$6:$W$505,M$3,実績!$AI$6:$AI$505,"&lt;="&amp;$A214,実績!$AJ$6:$AJ$505,"&gt;"&amp;$A214,実績!$AK$6:$AK$505,"○")&gt;0,1,0))</f>
        <v>0</v>
      </c>
      <c r="N214" s="39" t="n">
        <f aca="false">IF(N$4=0,0,IF(COUNTIFS(実績!$W$6:$W$505,N$3,実績!$AI$6:$AI$505,"&lt;="&amp;$A214,実績!$AJ$6:$AJ$505,"&gt;"&amp;$A214,実績!$AK$6:$AK$505,"○")&gt;0,1,0))</f>
        <v>0</v>
      </c>
      <c r="O214" s="39" t="n">
        <f aca="false">IF(O$4=0,0,IF(COUNTIFS(実績!$W$6:$W$505,O$3,実績!$AI$6:$AI$505,"&lt;="&amp;$A214,実績!$AJ$6:$AJ$505,"&gt;"&amp;$A214,実績!$AK$6:$AK$505,"○")&gt;0,1,0))</f>
        <v>0</v>
      </c>
      <c r="P214" s="39" t="n">
        <f aca="false">IF(P$4=0,0,IF(COUNTIFS(実績!$W$6:$W$505,P$3,実績!$AI$6:$AI$505,"&lt;="&amp;$A214,実績!$AJ$6:$AJ$505,"&gt;"&amp;$A214,実績!$AK$6:$AK$505,"○")&gt;0,1,0))</f>
        <v>0</v>
      </c>
      <c r="Q214" s="39" t="n">
        <f aca="false">IF(Q$4=0,0,IF(COUNTIFS(実績!$W$6:$W$505,Q$3,実績!$AI$6:$AI$505,"&lt;="&amp;$A214,実績!$AJ$6:$AJ$505,"&gt;"&amp;$A214,実績!$AK$6:$AK$505,"○")&gt;0,1,0))</f>
        <v>0</v>
      </c>
      <c r="R214" s="39" t="n">
        <f aca="false">IF(R$4=0,0,IF(COUNTIFS(実績!$W$6:$W$505,R$3,実績!$AI$6:$AI$505,"&lt;="&amp;$A214,実績!$AJ$6:$AJ$505,"&gt;"&amp;$A214,実績!$AK$6:$AK$505,"○")&gt;0,1,0))</f>
        <v>0</v>
      </c>
      <c r="S214" s="39" t="n">
        <f aca="false">IF(S$4=0,0,IF(COUNTIFS(実績!$W$6:$W$505,S$3,実績!$AI$6:$AI$505,"&lt;="&amp;$A214,実績!$AJ$6:$AJ$505,"&gt;"&amp;$A214,実績!$AK$6:$AK$505,"○")&gt;0,1,0))</f>
        <v>0</v>
      </c>
      <c r="T214" s="39" t="n">
        <f aca="false">IF(T$4=0,0,IF(COUNTIFS(実績!$W$6:$W$505,T$3,実績!$AI$6:$AI$505,"&lt;="&amp;$A214,実績!$AJ$6:$AJ$505,"&gt;"&amp;$A214,実績!$AK$6:$AK$505,"○")&gt;0,1,0))</f>
        <v>0</v>
      </c>
      <c r="U214" s="39" t="n">
        <f aca="false">IF(U$4=0,0,IF(COUNTIFS(実績!$W$6:$W$505,U$3,実績!$AI$6:$AI$505,"&lt;="&amp;$A214,実績!$AJ$6:$AJ$505,"&gt;"&amp;$A214,実績!$AK$6:$AK$505,"○")&gt;0,1,0))</f>
        <v>0</v>
      </c>
      <c r="V214" s="39" t="n">
        <f aca="false">IF(V$4=0,0,IF(COUNTIFS(実績!$W$6:$W$505,V$3,実績!$AI$6:$AI$505,"&lt;="&amp;$A214,実績!$AJ$6:$AJ$505,"&gt;"&amp;$A214,実績!$AK$6:$AK$505,"○")&gt;0,1,0))</f>
        <v>0</v>
      </c>
      <c r="W214" s="39" t="n">
        <f aca="false">IF(W$4=0,0,IF(COUNTIFS(実績!$W$6:$W$505,W$3,実績!$AI$6:$AI$505,"&lt;="&amp;$A214,実績!$AJ$6:$AJ$505,"&gt;"&amp;$A214,実績!$AK$6:$AK$505,"○")&gt;0,1,0))</f>
        <v>0</v>
      </c>
      <c r="X214" s="39" t="n">
        <f aca="false">IF(X$4=0,0,IF(COUNTIFS(実績!$W$6:$W$505,X$3,実績!$AI$6:$AI$505,"&lt;="&amp;$A214,実績!$AJ$6:$AJ$505,"&gt;"&amp;$A214,実績!$AK$6:$AK$505,"○")&gt;0,1,0))</f>
        <v>0</v>
      </c>
      <c r="Y214" s="39" t="n">
        <f aca="false">IF(Y$4=0,0,IF(COUNTIFS(実績!$W$6:$W$505,Y$3,実績!$AI$6:$AI$505,"&lt;="&amp;$A214,実績!$AJ$6:$AJ$505,"&gt;"&amp;$A214,実績!$AK$6:$AK$505,"○")&gt;0,1,0))</f>
        <v>0</v>
      </c>
      <c r="Z214" s="39" t="n">
        <f aca="false">IF(Z$4=0,0,IF(COUNTIFS(実績!$W$6:$W$505,Z$3,実績!$AI$6:$AI$505,"&lt;="&amp;$A214,実績!$AJ$6:$AJ$505,"&gt;"&amp;$A214,実績!$AK$6:$AK$505,"○")&gt;0,1,0))</f>
        <v>0</v>
      </c>
      <c r="AA214" s="39" t="n">
        <f aca="false">IF(AA$4=0,0,IF(COUNTIFS(実績!$W$6:$W$505,AA$3,実績!$AI$6:$AI$505,"&lt;="&amp;$A214,実績!$AJ$6:$AJ$505,"&gt;"&amp;$A214,実績!$AK$6:$AK$505,"○")&gt;0,1,0))</f>
        <v>0</v>
      </c>
      <c r="AB214" s="39" t="n">
        <f aca="false">IF(AB$4=0,0,IF(COUNTIFS(実績!$W$6:$W$505,AB$3,実績!$AI$6:$AI$505,"&lt;="&amp;$A214,実績!$AJ$6:$AJ$505,"&gt;"&amp;$A214,実績!$AK$6:$AK$505,"○")&gt;0,1,0))</f>
        <v>0</v>
      </c>
      <c r="AC214" s="39" t="n">
        <f aca="false">IF(AC$4=0,0,IF(COUNTIFS(実績!$W$6:$W$505,AC$3,実績!$AI$6:$AI$505,"&lt;="&amp;$A214,実績!$AJ$6:$AJ$505,"&gt;"&amp;$A214,実績!$AK$6:$AK$505,"○")&gt;0,1,0))</f>
        <v>0</v>
      </c>
      <c r="AD214" s="39" t="n">
        <f aca="false">IF(AD$4=0,0,IF(COUNTIFS(実績!$W$6:$W$505,AD$3,実績!$AI$6:$AI$505,"&lt;="&amp;$A214,実績!$AJ$6:$AJ$505,"&gt;"&amp;$A214,実績!$AK$6:$AK$505,"○")&gt;0,1,0))</f>
        <v>0</v>
      </c>
      <c r="AE214" s="39" t="n">
        <f aca="false">IF(AE$4=0,0,IF(COUNTIFS(実績!$W$6:$W$505,AE$3,実績!$AI$6:$AI$505,"&lt;="&amp;$A214,実績!$AJ$6:$AJ$505,"&gt;"&amp;$A214,実績!$AK$6:$AK$505,"○")&gt;0,1,0))</f>
        <v>0</v>
      </c>
      <c r="AF214" s="39" t="n">
        <f aca="false">IF(AF$4=0,0,IF(COUNTIFS(実績!$W$6:$W$505,AF$3,実績!$AI$6:$AI$505,"&lt;="&amp;$A214,実績!$AJ$6:$AJ$505,"&gt;"&amp;$A214,実績!$AK$6:$AK$505,"○")&gt;0,1,0))</f>
        <v>0</v>
      </c>
      <c r="AG214" s="39" t="n">
        <f aca="false">IF(AG$4=0,0,IF(COUNTIFS(実績!$W$6:$W$505,AG$3,実績!$AI$6:$AI$505,"&lt;="&amp;$A214,実績!$AJ$6:$AJ$505,"&gt;"&amp;$A214,実績!$AK$6:$AK$505,"○")&gt;0,1,0))</f>
        <v>0</v>
      </c>
      <c r="AH214" s="39" t="n">
        <f aca="false">IF(AH$4=0,0,IF(COUNTIFS(実績!$W$6:$W$505,AH$3,実績!$AI$6:$AI$505,"&lt;="&amp;$A214,実績!$AJ$6:$AJ$505,"&gt;"&amp;$A214,実績!$AK$6:$AK$505,"○")&gt;0,1,0))</f>
        <v>0</v>
      </c>
      <c r="AI214" s="39" t="n">
        <f aca="false">IF(AI$4=0,0,IF(COUNTIFS(実績!$W$6:$W$505,AI$3,実績!$AI$6:$AI$505,"&lt;="&amp;$A214,実績!$AJ$6:$AJ$505,"&gt;"&amp;$A214,実績!$AK$6:$AK$505,"○")&gt;0,1,0))</f>
        <v>0</v>
      </c>
      <c r="AJ214" s="39" t="n">
        <f aca="false">IF(AJ$4=0,0,IF(COUNTIFS(実績!$W$6:$W$505,AJ$3,実績!$AI$6:$AI$505,"&lt;="&amp;$A214,実績!$AJ$6:$AJ$505,"&gt;"&amp;$A214,実績!$AK$6:$AK$505,"○")&gt;0,1,0))</f>
        <v>0</v>
      </c>
      <c r="AK214" s="39" t="n">
        <f aca="false">IF(AK$4=0,0,IF(COUNTIFS(実績!$W$6:$W$505,AK$3,実績!$AI$6:$AI$505,"&lt;="&amp;$A214,実績!$AJ$6:$AJ$505,"&gt;"&amp;$A214,実績!$AK$6:$AK$505,"○")&gt;0,1,0))</f>
        <v>0</v>
      </c>
      <c r="AL214" s="39" t="n">
        <f aca="false">IF(AL$4=0,0,IF(COUNTIFS(実績!$W$6:$W$505,AL$3,実績!$AI$6:$AI$505,"&lt;="&amp;$A214,実績!$AJ$6:$AJ$505,"&gt;"&amp;$A214,実績!$AK$6:$AK$505,"○")&gt;0,1,0))</f>
        <v>0</v>
      </c>
      <c r="AM214" s="39" t="n">
        <f aca="false">IF(AM$4=0,0,IF(COUNTIFS(実績!$W$6:$W$505,AM$3,実績!$AI$6:$AI$505,"&lt;="&amp;$A214,実績!$AJ$6:$AJ$505,"&gt;"&amp;$A214,実績!$AK$6:$AK$505,"○")&gt;0,1,0))</f>
        <v>0</v>
      </c>
      <c r="AN214" s="39" t="n">
        <f aca="false">IF(AN$4=0,0,IF(COUNTIFS(実績!$W$6:$W$505,AN$3,実績!$AI$6:$AI$505,"&lt;="&amp;$A214,実績!$AJ$6:$AJ$505,"&gt;"&amp;$A214,実績!$AK$6:$AK$505,"○")&gt;0,1,0))</f>
        <v>0</v>
      </c>
      <c r="AO214" s="39" t="n">
        <f aca="false">IF(AO$4=0,0,IF(COUNTIFS(実績!$W$6:$W$505,AO$3,実績!$AI$6:$AI$505,"&lt;="&amp;$A214,実績!$AJ$6:$AJ$505,"&gt;"&amp;$A214,実績!$AK$6:$AK$505,"○")&gt;0,1,0))</f>
        <v>0</v>
      </c>
      <c r="AP214" s="39" t="n">
        <f aca="false">IF(AP$4=0,0,IF(COUNTIFS(実績!$W$6:$W$505,AP$3,実績!$AI$6:$AI$505,"&lt;="&amp;$A214,実績!$AJ$6:$AJ$505,"&gt;"&amp;$A214,実績!$AK$6:$AK$505,"○")&gt;0,1,0))</f>
        <v>0</v>
      </c>
      <c r="AQ214" s="39" t="n">
        <f aca="false">IF(AQ$4=0,0,IF(COUNTIFS(実績!$W$6:$W$505,AQ$3,実績!$AI$6:$AI$505,"&lt;="&amp;$A214,実績!$AJ$6:$AJ$505,"&gt;"&amp;$A214,実績!$AK$6:$AK$505,"○")&gt;0,1,0))</f>
        <v>0</v>
      </c>
      <c r="AR214" s="39" t="n">
        <f aca="false">IF(AR$4=0,0,IF(COUNTIFS(実績!$W$6:$W$505,AR$3,実績!$AI$6:$AI$505,"&lt;="&amp;$A214,実績!$AJ$6:$AJ$505,"&gt;"&amp;$A214,実績!$AK$6:$AK$505,"○")&gt;0,1,0))</f>
        <v>0</v>
      </c>
      <c r="AS214" s="39" t="n">
        <f aca="false">IF(AS$4=0,0,IF(COUNTIFS(実績!$W$6:$W$505,AS$3,実績!$AI$6:$AI$505,"&lt;="&amp;$A214,実績!$AJ$6:$AJ$505,"&gt;"&amp;$A214,実績!$AK$6:$AK$505,"○")&gt;0,1,0))</f>
        <v>0</v>
      </c>
      <c r="AT214" s="39" t="n">
        <f aca="false">IF(AT$4=0,0,IF(COUNTIFS(実績!$W$6:$W$505,AT$3,実績!$AI$6:$AI$505,"&lt;="&amp;$A214,実績!$AJ$6:$AJ$505,"&gt;"&amp;$A214,実績!$AK$6:$AK$505,"○")&gt;0,1,0))</f>
        <v>0</v>
      </c>
      <c r="AU214" s="39" t="n">
        <f aca="false">IF(AU$4=0,0,IF(COUNTIFS(実績!$W$6:$W$505,AU$3,実績!$AI$6:$AI$505,"&lt;="&amp;$A214,実績!$AJ$6:$AJ$505,"&gt;"&amp;$A214,実績!$AK$6:$AK$505,"○")&gt;0,1,0))</f>
        <v>0</v>
      </c>
      <c r="AV214" s="39" t="n">
        <f aca="false">IF(AV$4=0,0,IF(COUNTIFS(実績!$W$6:$W$505,AV$3,実績!$AI$6:$AI$505,"&lt;="&amp;$A214,実績!$AJ$6:$AJ$505,"&gt;"&amp;$A214,実績!$AK$6:$AK$505,"○")&gt;0,1,0))</f>
        <v>0</v>
      </c>
      <c r="AW214" s="39" t="n">
        <f aca="false">IF(AW$4=0,0,IF(COUNTIFS(実績!$W$6:$W$505,AW$3,実績!$AI$6:$AI$505,"&lt;="&amp;$A214,実績!$AJ$6:$AJ$505,"&gt;"&amp;$A214,実績!$AK$6:$AK$505,"○")&gt;0,1,0))</f>
        <v>0</v>
      </c>
      <c r="AX214" s="39" t="n">
        <f aca="false">IF(AX$4=0,0,IF(COUNTIFS(実績!$W$6:$W$505,AX$3,実績!$AI$6:$AI$505,"&lt;="&amp;$A214,実績!$AJ$6:$AJ$505,"&gt;"&amp;$A214,実績!$AK$6:$AK$505,"○")&gt;0,1,0))</f>
        <v>0</v>
      </c>
      <c r="AY214" s="39" t="n">
        <f aca="false">IF(AY$4=0,0,IF(COUNTIFS(実績!$W$6:$W$505,AY$3,実績!$AI$6:$AI$505,"&lt;="&amp;$A214,実績!$AJ$6:$AJ$505,"&gt;"&amp;$A214,実績!$AK$6:$AK$505,"○")&gt;0,1,0))</f>
        <v>0</v>
      </c>
      <c r="AZ214" s="39" t="n">
        <f aca="false">IF(AZ$4=0,0,IF(COUNTIFS(実績!$W$6:$W$505,AZ$3,実績!$AI$6:$AI$505,"&lt;="&amp;$A214,実績!$AJ$6:$AJ$505,"&gt;"&amp;$A214,実績!$AK$6:$AK$505,"○")&gt;0,1,0))</f>
        <v>0</v>
      </c>
      <c r="BA214" s="39" t="n">
        <f aca="false">IF(BA$4=0,0,IF(COUNTIFS(実績!$W$6:$W$505,BA$3,実績!$AI$6:$AI$505,"&lt;="&amp;$A214,実績!$AJ$6:$AJ$505,"&gt;"&amp;$A214,実績!$AK$6:$AK$505,"○")&gt;0,1,0))</f>
        <v>0</v>
      </c>
      <c r="BB214" s="39" t="n">
        <f aca="false">IF(BB$4=0,0,IF(COUNTIFS(実績!$W$6:$W$505,BB$3,実績!$AI$6:$AI$505,"&lt;="&amp;$A214,実績!$AJ$6:$AJ$505,"&gt;"&amp;$A214,実績!$AK$6:$AK$505,"○")&gt;0,1,0))</f>
        <v>0</v>
      </c>
      <c r="BC214" s="39" t="n">
        <f aca="false">IF(BC$4=0,0,IF(COUNTIFS(実績!$W$6:$W$505,BC$3,実績!$AI$6:$AI$505,"&lt;="&amp;$A214,実績!$AJ$6:$AJ$505,"&gt;"&amp;$A214,実績!$AK$6:$AK$505,"○")&gt;0,1,0))</f>
        <v>0</v>
      </c>
      <c r="BD214" s="39" t="n">
        <f aca="false">IF(BD$4=0,0,IF(COUNTIFS(実績!$W$6:$W$505,BD$3,実績!$AI$6:$AI$505,"&lt;="&amp;$A214,実績!$AJ$6:$AJ$505,"&gt;"&amp;$A214,実績!$AK$6:$AK$505,"○")&gt;0,1,0))</f>
        <v>0</v>
      </c>
      <c r="BE214" s="39" t="n">
        <f aca="false">IF(BE$4=0,0,IF(COUNTIFS(実績!$W$6:$W$505,BE$3,実績!$AI$6:$AI$505,"&lt;="&amp;$A214,実績!$AJ$6:$AJ$505,"&gt;"&amp;$A214,実績!$AK$6:$AK$505,"○")&gt;0,1,0))</f>
        <v>0</v>
      </c>
      <c r="BF214" s="39" t="n">
        <f aca="false">IF(BF$4=0,0,IF(COUNTIFS(実績!$W$6:$W$505,BF$3,実績!$AI$6:$AI$505,"&lt;="&amp;$A214,実績!$AJ$6:$AJ$505,"&gt;"&amp;$A214,実績!$AK$6:$AK$505,"○")&gt;0,1,0))</f>
        <v>0</v>
      </c>
      <c r="BG214" s="39" t="n">
        <f aca="false">IF(BG$4=0,0,IF(COUNTIFS(実績!$W$6:$W$505,BG$3,実績!$AI$6:$AI$505,"&lt;="&amp;$A214,実績!$AJ$6:$AJ$505,"&gt;"&amp;$A214,実績!$AK$6:$AK$505,"○")&gt;0,1,0))</f>
        <v>0</v>
      </c>
      <c r="BH214" s="39" t="n">
        <f aca="false">IF(BH$4=0,0,IF(COUNTIFS(実績!$W$6:$W$505,BH$3,実績!$AI$6:$AI$505,"&lt;="&amp;$A214,実績!$AJ$6:$AJ$505,"&gt;"&amp;$A214,実績!$AK$6:$AK$505,"○")&gt;0,1,0))</f>
        <v>0</v>
      </c>
      <c r="BI214" s="39" t="n">
        <f aca="false">IF(BI$4=0,0,IF(COUNTIFS(実績!$W$6:$W$505,BI$3,実績!$AI$6:$AI$505,"&lt;="&amp;$A214,実績!$AJ$6:$AJ$505,"&gt;"&amp;$A214,実績!$AK$6:$AK$505,"○")&gt;0,1,0))</f>
        <v>0</v>
      </c>
      <c r="BJ214" s="39" t="n">
        <f aca="false">IF(BJ$4=0,0,IF(COUNTIFS(実績!$W$6:$W$505,BJ$3,実績!$AI$6:$AI$505,"&lt;="&amp;$A214,実績!$AJ$6:$AJ$505,"&gt;"&amp;$A214,実績!$AK$6:$AK$505,"○")&gt;0,1,0))</f>
        <v>0</v>
      </c>
      <c r="BK214" s="39" t="n">
        <f aca="false">IF(BK$4=0,0,IF(COUNTIFS(実績!$W$6:$W$505,BK$3,実績!$AI$6:$AI$505,"&lt;="&amp;$A214,実績!$AJ$6:$AJ$505,"&gt;"&amp;$A214,実績!$AK$6:$AK$505,"○")&gt;0,1,0))</f>
        <v>0</v>
      </c>
      <c r="BL214" s="39" t="n">
        <f aca="false">IF(BL$4=0,0,IF(COUNTIFS(実績!$W$6:$W$505,BL$3,実績!$AI$6:$AI$505,"&lt;="&amp;$A214,実績!$AJ$6:$AJ$505,"&gt;"&amp;$A214,実績!$AK$6:$AK$505,"○")&gt;0,1,0))</f>
        <v>0</v>
      </c>
      <c r="BM214" s="39" t="n">
        <f aca="false">IF(BM$4=0,0,IF(COUNTIFS(実績!$W$6:$W$505,BM$3,実績!$AI$6:$AI$505,"&lt;="&amp;$A214,実績!$AJ$6:$AJ$505,"&gt;"&amp;$A214,実績!$AK$6:$AK$505,"○")&gt;0,1,0))</f>
        <v>0</v>
      </c>
      <c r="BN214" s="39" t="n">
        <f aca="false">IF(BN$4=0,0,IF(COUNTIFS(実績!$W$6:$W$505,BN$3,実績!$AI$6:$AI$505,"&lt;="&amp;$A214,実績!$AJ$6:$AJ$505,"&gt;"&amp;$A214,実績!$AK$6:$AK$505,"○")&gt;0,1,0))</f>
        <v>0</v>
      </c>
      <c r="BO214" s="39" t="n">
        <f aca="false">IF(BO$4=0,0,IF(COUNTIFS(実績!$W$6:$W$505,BO$3,実績!$AI$6:$AI$505,"&lt;="&amp;$A214,実績!$AJ$6:$AJ$505,"&gt;"&amp;$A214,実績!$AK$6:$AK$505,"○")&gt;0,1,0))</f>
        <v>0</v>
      </c>
      <c r="BP214" s="39" t="n">
        <f aca="false">IF(BP$4=0,0,IF(COUNTIFS(実績!$W$6:$W$505,BP$3,実績!$AI$6:$AI$505,"&lt;="&amp;$A214,実績!$AJ$6:$AJ$505,"&gt;"&amp;$A214,実績!$AK$6:$AK$505,"○")&gt;0,1,0))</f>
        <v>0</v>
      </c>
      <c r="BQ214" s="39" t="n">
        <f aca="false">IF(BQ$4=0,0,IF(COUNTIFS(実績!$W$6:$W$505,BQ$3,実績!$AI$6:$AI$505,"&lt;="&amp;$A214,実績!$AJ$6:$AJ$505,"&gt;"&amp;$A214,実績!$AK$6:$AK$505,"○")&gt;0,1,0))</f>
        <v>0</v>
      </c>
      <c r="BR214" s="39" t="n">
        <f aca="false">IF(BR$4=0,0,IF(COUNTIFS(実績!$W$6:$W$505,BR$3,実績!$AI$6:$AI$505,"&lt;="&amp;$A214,実績!$AJ$6:$AJ$505,"&gt;"&amp;$A214,実績!$AK$6:$AK$505,"○")&gt;0,1,0))</f>
        <v>0</v>
      </c>
      <c r="BS214" s="39" t="n">
        <f aca="false">IF(BS$4=0,0,IF(COUNTIFS(実績!$W$6:$W$505,BS$3,実績!$AI$6:$AI$505,"&lt;="&amp;$A214,実績!$AJ$6:$AJ$505,"&gt;"&amp;$A214,実績!$AK$6:$AK$505,"○")&gt;0,1,0))</f>
        <v>0</v>
      </c>
      <c r="BT214" s="39" t="n">
        <f aca="false">IF(BT$4=0,0,IF(COUNTIFS(実績!$W$6:$W$505,BT$3,実績!$AI$6:$AI$505,"&lt;="&amp;$A214,実績!$AJ$6:$AJ$505,"&gt;"&amp;$A214,実績!$AK$6:$AK$505,"○")&gt;0,1,0))</f>
        <v>0</v>
      </c>
      <c r="BU214" s="39" t="n">
        <f aca="false">IF(BU$4=0,0,IF(COUNTIFS(実績!$W$6:$W$505,BU$3,実績!$AI$6:$AI$505,"&lt;="&amp;$A214,実績!$AJ$6:$AJ$505,"&gt;"&amp;$A214,実績!$AK$6:$AK$505,"○")&gt;0,1,0))</f>
        <v>0</v>
      </c>
      <c r="BV214" s="39" t="n">
        <f aca="false">IF(BV$4=0,0,IF(COUNTIFS(実績!$W$6:$W$505,BV$3,実績!$AI$6:$AI$505,"&lt;="&amp;$A214,実績!$AJ$6:$AJ$505,"&gt;"&amp;$A214,実績!$AK$6:$AK$505,"○")&gt;0,1,0))</f>
        <v>0</v>
      </c>
      <c r="BW214" s="39" t="n">
        <f aca="false">IF(BW$4=0,0,IF(COUNTIFS(実績!$W$6:$W$505,BW$3,実績!$AI$6:$AI$505,"&lt;="&amp;$A214,実績!$AJ$6:$AJ$505,"&gt;"&amp;$A214,実績!$AK$6:$AK$505,"○")&gt;0,1,0))</f>
        <v>0</v>
      </c>
      <c r="BX214" s="39" t="n">
        <f aca="false">IF(BX$4=0,0,IF(COUNTIFS(実績!$W$6:$W$505,BX$3,実績!$AI$6:$AI$505,"&lt;="&amp;$A214,実績!$AJ$6:$AJ$505,"&gt;"&amp;$A214,実績!$AK$6:$AK$505,"○")&gt;0,1,0))</f>
        <v>0</v>
      </c>
      <c r="BY214" s="39" t="n">
        <f aca="false">IF(BY$4=0,0,IF(COUNTIFS(実績!$W$6:$W$505,BY$3,実績!$AI$6:$AI$505,"&lt;="&amp;$A214,実績!$AJ$6:$AJ$505,"&gt;"&amp;$A214,実績!$AK$6:$AK$505,"○")&gt;0,1,0))</f>
        <v>0</v>
      </c>
      <c r="BZ214" s="39" t="n">
        <f aca="false">IF(BZ$4=0,0,IF(COUNTIFS(実績!$W$6:$W$505,BZ$3,実績!$AI$6:$AI$505,"&lt;="&amp;$A214,実績!$AJ$6:$AJ$505,"&gt;"&amp;$A214,実績!$AK$6:$AK$505,"○")&gt;0,1,0))</f>
        <v>0</v>
      </c>
      <c r="CA214" s="39" t="n">
        <f aca="false">IF(CA$4=0,0,IF(COUNTIFS(実績!$W$6:$W$505,CA$3,実績!$AI$6:$AI$505,"&lt;="&amp;$A214,実績!$AJ$6:$AJ$505,"&gt;"&amp;$A214,実績!$AK$6:$AK$505,"○")&gt;0,1,0))</f>
        <v>0</v>
      </c>
      <c r="CB214" s="39" t="n">
        <f aca="false">IF(CB$4=0,0,IF(COUNTIFS(実績!$W$6:$W$505,CB$3,実績!$AI$6:$AI$505,"&lt;="&amp;$A214,実績!$AJ$6:$AJ$505,"&gt;"&amp;$A214,実績!$AK$6:$AK$505,"○")&gt;0,1,0))</f>
        <v>0</v>
      </c>
      <c r="CC214" s="39" t="n">
        <f aca="false">IF(CC$4=0,0,IF(COUNTIFS(実績!$W$6:$W$505,CC$3,実績!$AI$6:$AI$505,"&lt;="&amp;$A214,実績!$AJ$6:$AJ$505,"&gt;"&amp;$A214,実績!$AK$6:$AK$505,"○")&gt;0,1,0))</f>
        <v>0</v>
      </c>
      <c r="CD214" s="39" t="n">
        <f aca="false">IF(CD$4=0,0,IF(COUNTIFS(実績!$W$6:$W$505,CD$3,実績!$AI$6:$AI$505,"&lt;="&amp;$A214,実績!$AJ$6:$AJ$505,"&gt;"&amp;$A214,実績!$AK$6:$AK$505,"○")&gt;0,1,0))</f>
        <v>0</v>
      </c>
      <c r="CE214" s="39" t="n">
        <f aca="false">IF(CE$4=0,0,IF(COUNTIFS(実績!$W$6:$W$505,CE$3,実績!$AI$6:$AI$505,"&lt;="&amp;$A214,実績!$AJ$6:$AJ$505,"&gt;"&amp;$A214,実績!$AK$6:$AK$505,"○")&gt;0,1,0))</f>
        <v>0</v>
      </c>
      <c r="CF214" s="39" t="n">
        <f aca="false">IF(CF$4=0,0,IF(COUNTIFS(実績!$W$6:$W$505,CF$3,実績!$AI$6:$AI$505,"&lt;="&amp;$A214,実績!$AJ$6:$AJ$505,"&gt;"&amp;$A214,実績!$AK$6:$AK$505,"○")&gt;0,1,0))</f>
        <v>0</v>
      </c>
      <c r="CG214" s="39" t="n">
        <f aca="false">IF(CG$4=0,0,IF(COUNTIFS(実績!$W$6:$W$505,CG$3,実績!$AI$6:$AI$505,"&lt;="&amp;$A214,実績!$AJ$6:$AJ$505,"&gt;"&amp;$A214,実績!$AK$6:$AK$505,"○")&gt;0,1,0))</f>
        <v>0</v>
      </c>
      <c r="CH214" s="39" t="n">
        <f aca="false">IF(CH$4=0,0,IF(COUNTIFS(実績!$W$6:$W$505,CH$3,実績!$AI$6:$AI$505,"&lt;="&amp;$A214,実績!$AJ$6:$AJ$505,"&gt;"&amp;$A214,実績!$AK$6:$AK$505,"○")&gt;0,1,0))</f>
        <v>0</v>
      </c>
      <c r="CI214" s="39" t="n">
        <f aca="false">IF(CI$4=0,0,IF(COUNTIFS(実績!$W$6:$W$505,CI$3,実績!$AI$6:$AI$505,"&lt;="&amp;$A214,実績!$AJ$6:$AJ$505,"&gt;"&amp;$A214,実績!$AK$6:$AK$505,"○")&gt;0,1,0))</f>
        <v>0</v>
      </c>
      <c r="CJ214" s="39" t="n">
        <f aca="false">IF(CJ$4=0,0,IF(COUNTIFS(実績!$W$6:$W$505,CJ$3,実績!$AI$6:$AI$505,"&lt;="&amp;$A214,実績!$AJ$6:$AJ$505,"&gt;"&amp;$A214,実績!$AK$6:$AK$505,"○")&gt;0,1,0))</f>
        <v>0</v>
      </c>
      <c r="CK214" s="39" t="n">
        <f aca="false">IF(CK$4=0,0,IF(COUNTIFS(実績!$W$6:$W$505,CK$3,実績!$AI$6:$AI$505,"&lt;="&amp;$A214,実績!$AJ$6:$AJ$505,"&gt;"&amp;$A214,実績!$AK$6:$AK$505,"○")&gt;0,1,0))</f>
        <v>0</v>
      </c>
      <c r="CL214" s="39" t="n">
        <f aca="false">IF(CL$4=0,0,IF(COUNTIFS(実績!$W$6:$W$505,CL$3,実績!$AI$6:$AI$505,"&lt;="&amp;$A214,実績!$AJ$6:$AJ$505,"&gt;"&amp;$A214,実績!$AK$6:$AK$505,"○")&gt;0,1,0))</f>
        <v>0</v>
      </c>
      <c r="CM214" s="39" t="n">
        <f aca="false">IF(CM$4=0,0,IF(COUNTIFS(実績!$W$6:$W$505,CM$3,実績!$AI$6:$AI$505,"&lt;="&amp;$A214,実績!$AJ$6:$AJ$505,"&gt;"&amp;$A214,実績!$AK$6:$AK$505,"○")&gt;0,1,0))</f>
        <v>0</v>
      </c>
      <c r="CN214" s="39" t="n">
        <f aca="false">IF(CN$4=0,0,IF(COUNTIFS(実績!$W$6:$W$505,CN$3,実績!$AI$6:$AI$505,"&lt;="&amp;$A214,実績!$AJ$6:$AJ$505,"&gt;"&amp;$A214,実績!$AK$6:$AK$505,"○")&gt;0,1,0))</f>
        <v>0</v>
      </c>
      <c r="CO214" s="39" t="n">
        <f aca="false">IF(CO$4=0,0,IF(COUNTIFS(実績!$W$6:$W$505,CO$3,実績!$AI$6:$AI$505,"&lt;="&amp;$A214,実績!$AJ$6:$AJ$505,"&gt;"&amp;$A214,実績!$AK$6:$AK$505,"○")&gt;0,1,0))</f>
        <v>0</v>
      </c>
      <c r="CP214" s="39" t="n">
        <f aca="false">IF(CP$4=0,0,IF(COUNTIFS(実績!$W$6:$W$505,CP$3,実績!$AI$6:$AI$505,"&lt;="&amp;$A214,実績!$AJ$6:$AJ$505,"&gt;"&amp;$A214,実績!$AK$6:$AK$505,"○")&gt;0,1,0))</f>
        <v>0</v>
      </c>
      <c r="CQ214" s="39" t="n">
        <f aca="false">IF(CQ$4=0,0,IF(COUNTIFS(実績!$W$6:$W$505,CQ$3,実績!$AI$6:$AI$505,"&lt;="&amp;$A214,実績!$AJ$6:$AJ$505,"&gt;"&amp;$A214,実績!$AK$6:$AK$505,"○")&gt;0,1,0))</f>
        <v>0</v>
      </c>
      <c r="CR214" s="39" t="n">
        <f aca="false">IF(CR$4=0,0,IF(COUNTIFS(実績!$W$6:$W$505,CR$3,実績!$AI$6:$AI$505,"&lt;="&amp;$A214,実績!$AJ$6:$AJ$505,"&gt;"&amp;$A214,実績!$AK$6:$AK$505,"○")&gt;0,1,0))</f>
        <v>0</v>
      </c>
      <c r="CS214" s="39" t="n">
        <f aca="false">IF(CS$4=0,0,IF(COUNTIFS(実績!$W$6:$W$505,CS$3,実績!$AI$6:$AI$505,"&lt;="&amp;$A214,実績!$AJ$6:$AJ$505,"&gt;"&amp;$A214,実績!$AK$6:$AK$505,"○")&gt;0,1,0))</f>
        <v>0</v>
      </c>
      <c r="CT214" s="39" t="n">
        <f aca="false">IF(CT$4=0,0,IF(COUNTIFS(実績!$W$6:$W$505,CT$3,実績!$AI$6:$AI$505,"&lt;="&amp;$A214,実績!$AJ$6:$AJ$505,"&gt;"&amp;$A214,実績!$AK$6:$AK$505,"○")&gt;0,1,0))</f>
        <v>0</v>
      </c>
      <c r="CU214" s="39" t="n">
        <f aca="false">IF(CU$4=0,0,IF(COUNTIFS(実績!$W$6:$W$505,CU$3,実績!$AI$6:$AI$505,"&lt;="&amp;$A214,実績!$AJ$6:$AJ$505,"&gt;"&amp;$A214,実績!$AK$6:$AK$505,"○")&gt;0,1,0))</f>
        <v>0</v>
      </c>
      <c r="CV214" s="39" t="n">
        <f aca="false">IF(CV$4=0,0,IF(COUNTIFS(実績!$W$6:$W$505,CV$3,実績!$AI$6:$AI$505,"&lt;="&amp;$A214,実績!$AJ$6:$AJ$505,"&gt;"&amp;$A214,実績!$AK$6:$AK$505,"○")&gt;0,1,0))</f>
        <v>0</v>
      </c>
      <c r="CW214" s="39" t="n">
        <f aca="false">IF(CW$4=0,0,IF(COUNTIFS(実績!$W$6:$W$505,CW$3,実績!$AI$6:$AI$505,"&lt;="&amp;$A214,実績!$AJ$6:$AJ$505,"&gt;"&amp;$A214,実績!$AK$6:$AK$505,"○")&gt;0,1,0))</f>
        <v>0</v>
      </c>
      <c r="CX214" s="39" t="n">
        <f aca="false">IF(CX$4=0,0,IF(COUNTIFS(実績!$W$6:$W$505,CX$3,実績!$AI$6:$AI$505,"&lt;="&amp;$A214,実績!$AJ$6:$AJ$505,"&gt;"&amp;$A214,実績!$AK$6:$AK$505,"○")&gt;0,1,0))</f>
        <v>0</v>
      </c>
      <c r="CY214" s="39" t="n">
        <f aca="false">IF(CY$4=0,0,IF(COUNTIFS(実績!$W$6:$W$505,CY$3,実績!$AI$6:$AI$505,"&lt;="&amp;$A214,実績!$AJ$6:$AJ$505,"&gt;"&amp;$A214,実績!$AK$6:$AK$505,"○")&gt;0,1,0))</f>
        <v>0</v>
      </c>
      <c r="CZ214" s="39" t="n">
        <f aca="false">IF(CZ$4=0,0,IF(COUNTIFS(実績!$W$6:$W$505,CZ$3,実績!$AI$6:$AI$505,"&lt;="&amp;$A214,実績!$AJ$6:$AJ$505,"&gt;"&amp;$A214,実績!$AK$6:$AK$505,"○")&gt;0,1,0))</f>
        <v>0</v>
      </c>
      <c r="DA214" s="39" t="n">
        <f aca="false">IF(DA$4=0,0,IF(COUNTIFS(実績!$W$6:$W$505,DA$3,実績!$AI$6:$AI$505,"&lt;="&amp;$A214,実績!$AJ$6:$AJ$505,"&gt;"&amp;$A214,実績!$AK$6:$AK$505,"○")&gt;0,1,0))</f>
        <v>0</v>
      </c>
      <c r="DB214" s="39" t="n">
        <f aca="false">IF(DB$4=0,0,IF(COUNTIFS(実績!$W$6:$W$505,DB$3,実績!$AI$6:$AI$505,"&lt;="&amp;$A214,実績!$AJ$6:$AJ$505,"&gt;"&amp;$A214,実績!$AK$6:$AK$505,"○")&gt;0,1,0))</f>
        <v>0</v>
      </c>
      <c r="DC214" s="39" t="n">
        <f aca="false">IF(DC$4=0,0,IF(COUNTIFS(実績!$W$6:$W$505,DC$3,実績!$AI$6:$AI$505,"&lt;="&amp;$A214,実績!$AJ$6:$AJ$505,"&gt;"&amp;$A214,実績!$AK$6:$AK$505,"○")&gt;0,1,0))</f>
        <v>0</v>
      </c>
      <c r="DD214" s="39" t="n">
        <f aca="false">IF(DD$4=0,0,IF(COUNTIFS(実績!$W$6:$W$505,DD$3,実績!$AI$6:$AI$505,"&lt;="&amp;$A214,実績!$AJ$6:$AJ$505,"&gt;"&amp;$A214,実績!$AK$6:$AK$505,"○")&gt;0,1,0))</f>
        <v>0</v>
      </c>
      <c r="DE214" s="39" t="n">
        <f aca="false">IF(DE$4=0,0,IF(COUNTIFS(実績!$W$6:$W$505,DE$3,実績!$AI$6:$AI$505,"&lt;="&amp;$A214,実績!$AJ$6:$AJ$505,"&gt;"&amp;$A214,実績!$AK$6:$AK$505,"○")&gt;0,1,0))</f>
        <v>0</v>
      </c>
      <c r="DF214" s="39" t="n">
        <f aca="false">IF(DF$4=0,0,IF(COUNTIFS(実績!$W$6:$W$505,DF$3,実績!$AI$6:$AI$505,"&lt;="&amp;$A214,実績!$AJ$6:$AJ$505,"&gt;"&amp;$A214,実績!$AK$6:$AK$505,"○")&gt;0,1,0))</f>
        <v>0</v>
      </c>
      <c r="DG214" s="39" t="n">
        <f aca="false">IF(DG$4=0,0,IF(COUNTIFS(実績!$W$6:$W$505,DG$3,実績!$AI$6:$AI$505,"&lt;="&amp;$A214,実績!$AJ$6:$AJ$505,"&gt;"&amp;$A214,実績!$AK$6:$AK$505,"○")&gt;0,1,0))</f>
        <v>0</v>
      </c>
      <c r="DH214" s="39" t="n">
        <f aca="false">IF(DH$4=0,0,IF(COUNTIFS(実績!$W$6:$W$505,DH$3,実績!$AI$6:$AI$505,"&lt;="&amp;$A214,実績!$AJ$6:$AJ$505,"&gt;"&amp;$A214,実績!$AK$6:$AK$505,"○")&gt;0,1,0))</f>
        <v>0</v>
      </c>
      <c r="DI214" s="39" t="n">
        <f aca="false">IF(DI$4=0,0,IF(COUNTIFS(実績!$W$6:$W$505,DI$3,実績!$AI$6:$AI$505,"&lt;="&amp;$A214,実績!$AJ$6:$AJ$505,"&gt;"&amp;$A214,実績!$AK$6:$AK$505,"○")&gt;0,1,0))</f>
        <v>0</v>
      </c>
      <c r="DJ214" s="39" t="n">
        <f aca="false">IF(DJ$4=0,0,IF(COUNTIFS(実績!$W$6:$W$505,DJ$3,実績!$AI$6:$AI$505,"&lt;="&amp;$A214,実績!$AJ$6:$AJ$505,"&gt;"&amp;$A214,実績!$AK$6:$AK$505,"○")&gt;0,1,0))</f>
        <v>0</v>
      </c>
      <c r="DK214" s="39" t="n">
        <f aca="false">IF(DK$4=0,0,IF(COUNTIFS(実績!$W$6:$W$505,DK$3,実績!$AI$6:$AI$505,"&lt;="&amp;$A214,実績!$AJ$6:$AJ$505,"&gt;"&amp;$A214,実績!$AK$6:$AK$505,"○")&gt;0,1,0))</f>
        <v>0</v>
      </c>
      <c r="DL214" s="39" t="n">
        <f aca="false">IF(DL$4=0,0,IF(COUNTIFS(実績!$W$6:$W$505,DL$3,実績!$AI$6:$AI$505,"&lt;="&amp;$A214,実績!$AJ$6:$AJ$505,"&gt;"&amp;$A214,実績!$AK$6:$AK$505,"○")&gt;0,1,0))</f>
        <v>0</v>
      </c>
      <c r="DM214" s="39" t="n">
        <f aca="false">IF(DM$4=0,0,IF(COUNTIFS(実績!$W$6:$W$505,DM$3,実績!$AI$6:$AI$505,"&lt;="&amp;$A214,実績!$AJ$6:$AJ$505,"&gt;"&amp;$A214,実績!$AK$6:$AK$505,"○")&gt;0,1,0))</f>
        <v>0</v>
      </c>
      <c r="DN214" s="39" t="n">
        <f aca="false">IF(DN$4=0,0,IF(COUNTIFS(実績!$W$6:$W$505,DN$3,実績!$AI$6:$AI$505,"&lt;="&amp;$A214,実績!$AJ$6:$AJ$505,"&gt;"&amp;$A214,実績!$AK$6:$AK$505,"○")&gt;0,1,0))</f>
        <v>0</v>
      </c>
      <c r="DO214" s="39" t="n">
        <f aca="false">IF(DO$4=0,0,IF(COUNTIFS(実績!$W$6:$W$505,DO$3,実績!$AI$6:$AI$505,"&lt;="&amp;$A214,実績!$AJ$6:$AJ$505,"&gt;"&amp;$A214,実績!$AK$6:$AK$505,"○")&gt;0,1,0))</f>
        <v>0</v>
      </c>
      <c r="DP214" s="39" t="n">
        <f aca="false">IF(DP$4=0,0,IF(COUNTIFS(実績!$W$6:$W$505,DP$3,実績!$AI$6:$AI$505,"&lt;="&amp;$A214,実績!$AJ$6:$AJ$505,"&gt;"&amp;$A214,実績!$AK$6:$AK$505,"○")&gt;0,1,0))</f>
        <v>0</v>
      </c>
      <c r="DQ214" s="39" t="n">
        <f aca="false">IF(DQ$4=0,0,IF(COUNTIFS(実績!$W$6:$W$505,DQ$3,実績!$AI$6:$AI$505,"&lt;="&amp;$A214,実績!$AJ$6:$AJ$505,"&gt;"&amp;$A214,実績!$AK$6:$AK$505,"○")&gt;0,1,0))</f>
        <v>0</v>
      </c>
      <c r="DR214" s="39" t="n">
        <f aca="false">IF(DR$4=0,0,IF(COUNTIFS(実績!$W$6:$W$505,DR$3,実績!$AI$6:$AI$505,"&lt;="&amp;$A214,実績!$AJ$6:$AJ$505,"&gt;"&amp;$A214,実績!$AK$6:$AK$505,"○")&gt;0,1,0))</f>
        <v>0</v>
      </c>
      <c r="DS214" s="39" t="n">
        <f aca="false">SUM(C214:DR214)</f>
        <v>0</v>
      </c>
      <c r="DT214" s="39" t="n">
        <f aca="false">SUMPRODUCT((実績!$C$6:$C$505="○")*ISNUMBER(実績!$AM$6:$AM$505)*(実績!$AM$6:$AM$505&lt;=$A214)*(実績!$AN$6:$AN$505&gt;$A214))</f>
        <v>0</v>
      </c>
      <c r="DU214" s="39" t="n">
        <f aca="false">SUMIF($C$2:$DR$2,"製鉄曳船",C214:DR214)</f>
        <v>0</v>
      </c>
      <c r="DV214" s="39" t="n">
        <f aca="false">SUMIF($C$2:$DR$2,"西日本海運",C214:DR214)</f>
        <v>0</v>
      </c>
    </row>
    <row r="215" customFormat="false" ht="15" hidden="false" customHeight="false" outlineLevel="0" collapsed="false">
      <c r="A215" s="0" t="n">
        <v>1045</v>
      </c>
      <c r="B215" s="38" t="n">
        <f aca="false">A215/1440</f>
        <v>0.725694444444444</v>
      </c>
      <c r="C215" s="39" t="n">
        <f aca="false">IF(C$4=0,0,IF(COUNTIFS(実績!$W$6:$W$505,C$3,実績!$AI$6:$AI$505,"&lt;="&amp;$A215,実績!$AJ$6:$AJ$505,"&gt;"&amp;$A215,実績!$AK$6:$AK$505,"○")&gt;0,1,0))</f>
        <v>0</v>
      </c>
      <c r="D215" s="39" t="n">
        <f aca="false">IF(D$4=0,0,IF(COUNTIFS(実績!$W$6:$W$505,D$3,実績!$AI$6:$AI$505,"&lt;="&amp;$A215,実績!$AJ$6:$AJ$505,"&gt;"&amp;$A215,実績!$AK$6:$AK$505,"○")&gt;0,1,0))</f>
        <v>0</v>
      </c>
      <c r="E215" s="39" t="n">
        <f aca="false">IF(E$4=0,0,IF(COUNTIFS(実績!$W$6:$W$505,E$3,実績!$AI$6:$AI$505,"&lt;="&amp;$A215,実績!$AJ$6:$AJ$505,"&gt;"&amp;$A215,実績!$AK$6:$AK$505,"○")&gt;0,1,0))</f>
        <v>0</v>
      </c>
      <c r="F215" s="39" t="n">
        <f aca="false">IF(F$4=0,0,IF(COUNTIFS(実績!$W$6:$W$505,F$3,実績!$AI$6:$AI$505,"&lt;="&amp;$A215,実績!$AJ$6:$AJ$505,"&gt;"&amp;$A215,実績!$AK$6:$AK$505,"○")&gt;0,1,0))</f>
        <v>0</v>
      </c>
      <c r="G215" s="39" t="n">
        <f aca="false">IF(G$4=0,0,IF(COUNTIFS(実績!$W$6:$W$505,G$3,実績!$AI$6:$AI$505,"&lt;="&amp;$A215,実績!$AJ$6:$AJ$505,"&gt;"&amp;$A215,実績!$AK$6:$AK$505,"○")&gt;0,1,0))</f>
        <v>0</v>
      </c>
      <c r="H215" s="39" t="n">
        <f aca="false">IF(H$4=0,0,IF(COUNTIFS(実績!$W$6:$W$505,H$3,実績!$AI$6:$AI$505,"&lt;="&amp;$A215,実績!$AJ$6:$AJ$505,"&gt;"&amp;$A215,実績!$AK$6:$AK$505,"○")&gt;0,1,0))</f>
        <v>0</v>
      </c>
      <c r="I215" s="39" t="n">
        <f aca="false">IF(I$4=0,0,IF(COUNTIFS(実績!$W$6:$W$505,I$3,実績!$AI$6:$AI$505,"&lt;="&amp;$A215,実績!$AJ$6:$AJ$505,"&gt;"&amp;$A215,実績!$AK$6:$AK$505,"○")&gt;0,1,0))</f>
        <v>0</v>
      </c>
      <c r="J215" s="39" t="n">
        <f aca="false">IF(J$4=0,0,IF(COUNTIFS(実績!$W$6:$W$505,J$3,実績!$AI$6:$AI$505,"&lt;="&amp;$A215,実績!$AJ$6:$AJ$505,"&gt;"&amp;$A215,実績!$AK$6:$AK$505,"○")&gt;0,1,0))</f>
        <v>0</v>
      </c>
      <c r="K215" s="39" t="n">
        <f aca="false">IF(K$4=0,0,IF(COUNTIFS(実績!$W$6:$W$505,K$3,実績!$AI$6:$AI$505,"&lt;="&amp;$A215,実績!$AJ$6:$AJ$505,"&gt;"&amp;$A215,実績!$AK$6:$AK$505,"○")&gt;0,1,0))</f>
        <v>0</v>
      </c>
      <c r="L215" s="39" t="n">
        <f aca="false">IF(L$4=0,0,IF(COUNTIFS(実績!$W$6:$W$505,L$3,実績!$AI$6:$AI$505,"&lt;="&amp;$A215,実績!$AJ$6:$AJ$505,"&gt;"&amp;$A215,実績!$AK$6:$AK$505,"○")&gt;0,1,0))</f>
        <v>0</v>
      </c>
      <c r="M215" s="39" t="n">
        <f aca="false">IF(M$4=0,0,IF(COUNTIFS(実績!$W$6:$W$505,M$3,実績!$AI$6:$AI$505,"&lt;="&amp;$A215,実績!$AJ$6:$AJ$505,"&gt;"&amp;$A215,実績!$AK$6:$AK$505,"○")&gt;0,1,0))</f>
        <v>0</v>
      </c>
      <c r="N215" s="39" t="n">
        <f aca="false">IF(N$4=0,0,IF(COUNTIFS(実績!$W$6:$W$505,N$3,実績!$AI$6:$AI$505,"&lt;="&amp;$A215,実績!$AJ$6:$AJ$505,"&gt;"&amp;$A215,実績!$AK$6:$AK$505,"○")&gt;0,1,0))</f>
        <v>0</v>
      </c>
      <c r="O215" s="39" t="n">
        <f aca="false">IF(O$4=0,0,IF(COUNTIFS(実績!$W$6:$W$505,O$3,実績!$AI$6:$AI$505,"&lt;="&amp;$A215,実績!$AJ$6:$AJ$505,"&gt;"&amp;$A215,実績!$AK$6:$AK$505,"○")&gt;0,1,0))</f>
        <v>0</v>
      </c>
      <c r="P215" s="39" t="n">
        <f aca="false">IF(P$4=0,0,IF(COUNTIFS(実績!$W$6:$W$505,P$3,実績!$AI$6:$AI$505,"&lt;="&amp;$A215,実績!$AJ$6:$AJ$505,"&gt;"&amp;$A215,実績!$AK$6:$AK$505,"○")&gt;0,1,0))</f>
        <v>0</v>
      </c>
      <c r="Q215" s="39" t="n">
        <f aca="false">IF(Q$4=0,0,IF(COUNTIFS(実績!$W$6:$W$505,Q$3,実績!$AI$6:$AI$505,"&lt;="&amp;$A215,実績!$AJ$6:$AJ$505,"&gt;"&amp;$A215,実績!$AK$6:$AK$505,"○")&gt;0,1,0))</f>
        <v>0</v>
      </c>
      <c r="R215" s="39" t="n">
        <f aca="false">IF(R$4=0,0,IF(COUNTIFS(実績!$W$6:$W$505,R$3,実績!$AI$6:$AI$505,"&lt;="&amp;$A215,実績!$AJ$6:$AJ$505,"&gt;"&amp;$A215,実績!$AK$6:$AK$505,"○")&gt;0,1,0))</f>
        <v>0</v>
      </c>
      <c r="S215" s="39" t="n">
        <f aca="false">IF(S$4=0,0,IF(COUNTIFS(実績!$W$6:$W$505,S$3,実績!$AI$6:$AI$505,"&lt;="&amp;$A215,実績!$AJ$6:$AJ$505,"&gt;"&amp;$A215,実績!$AK$6:$AK$505,"○")&gt;0,1,0))</f>
        <v>0</v>
      </c>
      <c r="T215" s="39" t="n">
        <f aca="false">IF(T$4=0,0,IF(COUNTIFS(実績!$W$6:$W$505,T$3,実績!$AI$6:$AI$505,"&lt;="&amp;$A215,実績!$AJ$6:$AJ$505,"&gt;"&amp;$A215,実績!$AK$6:$AK$505,"○")&gt;0,1,0))</f>
        <v>0</v>
      </c>
      <c r="U215" s="39" t="n">
        <f aca="false">IF(U$4=0,0,IF(COUNTIFS(実績!$W$6:$W$505,U$3,実績!$AI$6:$AI$505,"&lt;="&amp;$A215,実績!$AJ$6:$AJ$505,"&gt;"&amp;$A215,実績!$AK$6:$AK$505,"○")&gt;0,1,0))</f>
        <v>0</v>
      </c>
      <c r="V215" s="39" t="n">
        <f aca="false">IF(V$4=0,0,IF(COUNTIFS(実績!$W$6:$W$505,V$3,実績!$AI$6:$AI$505,"&lt;="&amp;$A215,実績!$AJ$6:$AJ$505,"&gt;"&amp;$A215,実績!$AK$6:$AK$505,"○")&gt;0,1,0))</f>
        <v>0</v>
      </c>
      <c r="W215" s="39" t="n">
        <f aca="false">IF(W$4=0,0,IF(COUNTIFS(実績!$W$6:$W$505,W$3,実績!$AI$6:$AI$505,"&lt;="&amp;$A215,実績!$AJ$6:$AJ$505,"&gt;"&amp;$A215,実績!$AK$6:$AK$505,"○")&gt;0,1,0))</f>
        <v>0</v>
      </c>
      <c r="X215" s="39" t="n">
        <f aca="false">IF(X$4=0,0,IF(COUNTIFS(実績!$W$6:$W$505,X$3,実績!$AI$6:$AI$505,"&lt;="&amp;$A215,実績!$AJ$6:$AJ$505,"&gt;"&amp;$A215,実績!$AK$6:$AK$505,"○")&gt;0,1,0))</f>
        <v>0</v>
      </c>
      <c r="Y215" s="39" t="n">
        <f aca="false">IF(Y$4=0,0,IF(COUNTIFS(実績!$W$6:$W$505,Y$3,実績!$AI$6:$AI$505,"&lt;="&amp;$A215,実績!$AJ$6:$AJ$505,"&gt;"&amp;$A215,実績!$AK$6:$AK$505,"○")&gt;0,1,0))</f>
        <v>0</v>
      </c>
      <c r="Z215" s="39" t="n">
        <f aca="false">IF(Z$4=0,0,IF(COUNTIFS(実績!$W$6:$W$505,Z$3,実績!$AI$6:$AI$505,"&lt;="&amp;$A215,実績!$AJ$6:$AJ$505,"&gt;"&amp;$A215,実績!$AK$6:$AK$505,"○")&gt;0,1,0))</f>
        <v>0</v>
      </c>
      <c r="AA215" s="39" t="n">
        <f aca="false">IF(AA$4=0,0,IF(COUNTIFS(実績!$W$6:$W$505,AA$3,実績!$AI$6:$AI$505,"&lt;="&amp;$A215,実績!$AJ$6:$AJ$505,"&gt;"&amp;$A215,実績!$AK$6:$AK$505,"○")&gt;0,1,0))</f>
        <v>0</v>
      </c>
      <c r="AB215" s="39" t="n">
        <f aca="false">IF(AB$4=0,0,IF(COUNTIFS(実績!$W$6:$W$505,AB$3,実績!$AI$6:$AI$505,"&lt;="&amp;$A215,実績!$AJ$6:$AJ$505,"&gt;"&amp;$A215,実績!$AK$6:$AK$505,"○")&gt;0,1,0))</f>
        <v>0</v>
      </c>
      <c r="AC215" s="39" t="n">
        <f aca="false">IF(AC$4=0,0,IF(COUNTIFS(実績!$W$6:$W$505,AC$3,実績!$AI$6:$AI$505,"&lt;="&amp;$A215,実績!$AJ$6:$AJ$505,"&gt;"&amp;$A215,実績!$AK$6:$AK$505,"○")&gt;0,1,0))</f>
        <v>0</v>
      </c>
      <c r="AD215" s="39" t="n">
        <f aca="false">IF(AD$4=0,0,IF(COUNTIFS(実績!$W$6:$W$505,AD$3,実績!$AI$6:$AI$505,"&lt;="&amp;$A215,実績!$AJ$6:$AJ$505,"&gt;"&amp;$A215,実績!$AK$6:$AK$505,"○")&gt;0,1,0))</f>
        <v>0</v>
      </c>
      <c r="AE215" s="39" t="n">
        <f aca="false">IF(AE$4=0,0,IF(COUNTIFS(実績!$W$6:$W$505,AE$3,実績!$AI$6:$AI$505,"&lt;="&amp;$A215,実績!$AJ$6:$AJ$505,"&gt;"&amp;$A215,実績!$AK$6:$AK$505,"○")&gt;0,1,0))</f>
        <v>0</v>
      </c>
      <c r="AF215" s="39" t="n">
        <f aca="false">IF(AF$4=0,0,IF(COUNTIFS(実績!$W$6:$W$505,AF$3,実績!$AI$6:$AI$505,"&lt;="&amp;$A215,実績!$AJ$6:$AJ$505,"&gt;"&amp;$A215,実績!$AK$6:$AK$505,"○")&gt;0,1,0))</f>
        <v>0</v>
      </c>
      <c r="AG215" s="39" t="n">
        <f aca="false">IF(AG$4=0,0,IF(COUNTIFS(実績!$W$6:$W$505,AG$3,実績!$AI$6:$AI$505,"&lt;="&amp;$A215,実績!$AJ$6:$AJ$505,"&gt;"&amp;$A215,実績!$AK$6:$AK$505,"○")&gt;0,1,0))</f>
        <v>0</v>
      </c>
      <c r="AH215" s="39" t="n">
        <f aca="false">IF(AH$4=0,0,IF(COUNTIFS(実績!$W$6:$W$505,AH$3,実績!$AI$6:$AI$505,"&lt;="&amp;$A215,実績!$AJ$6:$AJ$505,"&gt;"&amp;$A215,実績!$AK$6:$AK$505,"○")&gt;0,1,0))</f>
        <v>0</v>
      </c>
      <c r="AI215" s="39" t="n">
        <f aca="false">IF(AI$4=0,0,IF(COUNTIFS(実績!$W$6:$W$505,AI$3,実績!$AI$6:$AI$505,"&lt;="&amp;$A215,実績!$AJ$6:$AJ$505,"&gt;"&amp;$A215,実績!$AK$6:$AK$505,"○")&gt;0,1,0))</f>
        <v>0</v>
      </c>
      <c r="AJ215" s="39" t="n">
        <f aca="false">IF(AJ$4=0,0,IF(COUNTIFS(実績!$W$6:$W$505,AJ$3,実績!$AI$6:$AI$505,"&lt;="&amp;$A215,実績!$AJ$6:$AJ$505,"&gt;"&amp;$A215,実績!$AK$6:$AK$505,"○")&gt;0,1,0))</f>
        <v>0</v>
      </c>
      <c r="AK215" s="39" t="n">
        <f aca="false">IF(AK$4=0,0,IF(COUNTIFS(実績!$W$6:$W$505,AK$3,実績!$AI$6:$AI$505,"&lt;="&amp;$A215,実績!$AJ$6:$AJ$505,"&gt;"&amp;$A215,実績!$AK$6:$AK$505,"○")&gt;0,1,0))</f>
        <v>0</v>
      </c>
      <c r="AL215" s="39" t="n">
        <f aca="false">IF(AL$4=0,0,IF(COUNTIFS(実績!$W$6:$W$505,AL$3,実績!$AI$6:$AI$505,"&lt;="&amp;$A215,実績!$AJ$6:$AJ$505,"&gt;"&amp;$A215,実績!$AK$6:$AK$505,"○")&gt;0,1,0))</f>
        <v>0</v>
      </c>
      <c r="AM215" s="39" t="n">
        <f aca="false">IF(AM$4=0,0,IF(COUNTIFS(実績!$W$6:$W$505,AM$3,実績!$AI$6:$AI$505,"&lt;="&amp;$A215,実績!$AJ$6:$AJ$505,"&gt;"&amp;$A215,実績!$AK$6:$AK$505,"○")&gt;0,1,0))</f>
        <v>0</v>
      </c>
      <c r="AN215" s="39" t="n">
        <f aca="false">IF(AN$4=0,0,IF(COUNTIFS(実績!$W$6:$W$505,AN$3,実績!$AI$6:$AI$505,"&lt;="&amp;$A215,実績!$AJ$6:$AJ$505,"&gt;"&amp;$A215,実績!$AK$6:$AK$505,"○")&gt;0,1,0))</f>
        <v>0</v>
      </c>
      <c r="AO215" s="39" t="n">
        <f aca="false">IF(AO$4=0,0,IF(COUNTIFS(実績!$W$6:$W$505,AO$3,実績!$AI$6:$AI$505,"&lt;="&amp;$A215,実績!$AJ$6:$AJ$505,"&gt;"&amp;$A215,実績!$AK$6:$AK$505,"○")&gt;0,1,0))</f>
        <v>0</v>
      </c>
      <c r="AP215" s="39" t="n">
        <f aca="false">IF(AP$4=0,0,IF(COUNTIFS(実績!$W$6:$W$505,AP$3,実績!$AI$6:$AI$505,"&lt;="&amp;$A215,実績!$AJ$6:$AJ$505,"&gt;"&amp;$A215,実績!$AK$6:$AK$505,"○")&gt;0,1,0))</f>
        <v>0</v>
      </c>
      <c r="AQ215" s="39" t="n">
        <f aca="false">IF(AQ$4=0,0,IF(COUNTIFS(実績!$W$6:$W$505,AQ$3,実績!$AI$6:$AI$505,"&lt;="&amp;$A215,実績!$AJ$6:$AJ$505,"&gt;"&amp;$A215,実績!$AK$6:$AK$505,"○")&gt;0,1,0))</f>
        <v>0</v>
      </c>
      <c r="AR215" s="39" t="n">
        <f aca="false">IF(AR$4=0,0,IF(COUNTIFS(実績!$W$6:$W$505,AR$3,実績!$AI$6:$AI$505,"&lt;="&amp;$A215,実績!$AJ$6:$AJ$505,"&gt;"&amp;$A215,実績!$AK$6:$AK$505,"○")&gt;0,1,0))</f>
        <v>0</v>
      </c>
      <c r="AS215" s="39" t="n">
        <f aca="false">IF(AS$4=0,0,IF(COUNTIFS(実績!$W$6:$W$505,AS$3,実績!$AI$6:$AI$505,"&lt;="&amp;$A215,実績!$AJ$6:$AJ$505,"&gt;"&amp;$A215,実績!$AK$6:$AK$505,"○")&gt;0,1,0))</f>
        <v>0</v>
      </c>
      <c r="AT215" s="39" t="n">
        <f aca="false">IF(AT$4=0,0,IF(COUNTIFS(実績!$W$6:$W$505,AT$3,実績!$AI$6:$AI$505,"&lt;="&amp;$A215,実績!$AJ$6:$AJ$505,"&gt;"&amp;$A215,実績!$AK$6:$AK$505,"○")&gt;0,1,0))</f>
        <v>0</v>
      </c>
      <c r="AU215" s="39" t="n">
        <f aca="false">IF(AU$4=0,0,IF(COUNTIFS(実績!$W$6:$W$505,AU$3,実績!$AI$6:$AI$505,"&lt;="&amp;$A215,実績!$AJ$6:$AJ$505,"&gt;"&amp;$A215,実績!$AK$6:$AK$505,"○")&gt;0,1,0))</f>
        <v>0</v>
      </c>
      <c r="AV215" s="39" t="n">
        <f aca="false">IF(AV$4=0,0,IF(COUNTIFS(実績!$W$6:$W$505,AV$3,実績!$AI$6:$AI$505,"&lt;="&amp;$A215,実績!$AJ$6:$AJ$505,"&gt;"&amp;$A215,実績!$AK$6:$AK$505,"○")&gt;0,1,0))</f>
        <v>0</v>
      </c>
      <c r="AW215" s="39" t="n">
        <f aca="false">IF(AW$4=0,0,IF(COUNTIFS(実績!$W$6:$W$505,AW$3,実績!$AI$6:$AI$505,"&lt;="&amp;$A215,実績!$AJ$6:$AJ$505,"&gt;"&amp;$A215,実績!$AK$6:$AK$505,"○")&gt;0,1,0))</f>
        <v>0</v>
      </c>
      <c r="AX215" s="39" t="n">
        <f aca="false">IF(AX$4=0,0,IF(COUNTIFS(実績!$W$6:$W$505,AX$3,実績!$AI$6:$AI$505,"&lt;="&amp;$A215,実績!$AJ$6:$AJ$505,"&gt;"&amp;$A215,実績!$AK$6:$AK$505,"○")&gt;0,1,0))</f>
        <v>0</v>
      </c>
      <c r="AY215" s="39" t="n">
        <f aca="false">IF(AY$4=0,0,IF(COUNTIFS(実績!$W$6:$W$505,AY$3,実績!$AI$6:$AI$505,"&lt;="&amp;$A215,実績!$AJ$6:$AJ$505,"&gt;"&amp;$A215,実績!$AK$6:$AK$505,"○")&gt;0,1,0))</f>
        <v>0</v>
      </c>
      <c r="AZ215" s="39" t="n">
        <f aca="false">IF(AZ$4=0,0,IF(COUNTIFS(実績!$W$6:$W$505,AZ$3,実績!$AI$6:$AI$505,"&lt;="&amp;$A215,実績!$AJ$6:$AJ$505,"&gt;"&amp;$A215,実績!$AK$6:$AK$505,"○")&gt;0,1,0))</f>
        <v>0</v>
      </c>
      <c r="BA215" s="39" t="n">
        <f aca="false">IF(BA$4=0,0,IF(COUNTIFS(実績!$W$6:$W$505,BA$3,実績!$AI$6:$AI$505,"&lt;="&amp;$A215,実績!$AJ$6:$AJ$505,"&gt;"&amp;$A215,実績!$AK$6:$AK$505,"○")&gt;0,1,0))</f>
        <v>0</v>
      </c>
      <c r="BB215" s="39" t="n">
        <f aca="false">IF(BB$4=0,0,IF(COUNTIFS(実績!$W$6:$W$505,BB$3,実績!$AI$6:$AI$505,"&lt;="&amp;$A215,実績!$AJ$6:$AJ$505,"&gt;"&amp;$A215,実績!$AK$6:$AK$505,"○")&gt;0,1,0))</f>
        <v>0</v>
      </c>
      <c r="BC215" s="39" t="n">
        <f aca="false">IF(BC$4=0,0,IF(COUNTIFS(実績!$W$6:$W$505,BC$3,実績!$AI$6:$AI$505,"&lt;="&amp;$A215,実績!$AJ$6:$AJ$505,"&gt;"&amp;$A215,実績!$AK$6:$AK$505,"○")&gt;0,1,0))</f>
        <v>0</v>
      </c>
      <c r="BD215" s="39" t="n">
        <f aca="false">IF(BD$4=0,0,IF(COUNTIFS(実績!$W$6:$W$505,BD$3,実績!$AI$6:$AI$505,"&lt;="&amp;$A215,実績!$AJ$6:$AJ$505,"&gt;"&amp;$A215,実績!$AK$6:$AK$505,"○")&gt;0,1,0))</f>
        <v>0</v>
      </c>
      <c r="BE215" s="39" t="n">
        <f aca="false">IF(BE$4=0,0,IF(COUNTIFS(実績!$W$6:$W$505,BE$3,実績!$AI$6:$AI$505,"&lt;="&amp;$A215,実績!$AJ$6:$AJ$505,"&gt;"&amp;$A215,実績!$AK$6:$AK$505,"○")&gt;0,1,0))</f>
        <v>0</v>
      </c>
      <c r="BF215" s="39" t="n">
        <f aca="false">IF(BF$4=0,0,IF(COUNTIFS(実績!$W$6:$W$505,BF$3,実績!$AI$6:$AI$505,"&lt;="&amp;$A215,実績!$AJ$6:$AJ$505,"&gt;"&amp;$A215,実績!$AK$6:$AK$505,"○")&gt;0,1,0))</f>
        <v>0</v>
      </c>
      <c r="BG215" s="39" t="n">
        <f aca="false">IF(BG$4=0,0,IF(COUNTIFS(実績!$W$6:$W$505,BG$3,実績!$AI$6:$AI$505,"&lt;="&amp;$A215,実績!$AJ$6:$AJ$505,"&gt;"&amp;$A215,実績!$AK$6:$AK$505,"○")&gt;0,1,0))</f>
        <v>0</v>
      </c>
      <c r="BH215" s="39" t="n">
        <f aca="false">IF(BH$4=0,0,IF(COUNTIFS(実績!$W$6:$W$505,BH$3,実績!$AI$6:$AI$505,"&lt;="&amp;$A215,実績!$AJ$6:$AJ$505,"&gt;"&amp;$A215,実績!$AK$6:$AK$505,"○")&gt;0,1,0))</f>
        <v>0</v>
      </c>
      <c r="BI215" s="39" t="n">
        <f aca="false">IF(BI$4=0,0,IF(COUNTIFS(実績!$W$6:$W$505,BI$3,実績!$AI$6:$AI$505,"&lt;="&amp;$A215,実績!$AJ$6:$AJ$505,"&gt;"&amp;$A215,実績!$AK$6:$AK$505,"○")&gt;0,1,0))</f>
        <v>0</v>
      </c>
      <c r="BJ215" s="39" t="n">
        <f aca="false">IF(BJ$4=0,0,IF(COUNTIFS(実績!$W$6:$W$505,BJ$3,実績!$AI$6:$AI$505,"&lt;="&amp;$A215,実績!$AJ$6:$AJ$505,"&gt;"&amp;$A215,実績!$AK$6:$AK$505,"○")&gt;0,1,0))</f>
        <v>0</v>
      </c>
      <c r="BK215" s="39" t="n">
        <f aca="false">IF(BK$4=0,0,IF(COUNTIFS(実績!$W$6:$W$505,BK$3,実績!$AI$6:$AI$505,"&lt;="&amp;$A215,実績!$AJ$6:$AJ$505,"&gt;"&amp;$A215,実績!$AK$6:$AK$505,"○")&gt;0,1,0))</f>
        <v>0</v>
      </c>
      <c r="BL215" s="39" t="n">
        <f aca="false">IF(BL$4=0,0,IF(COUNTIFS(実績!$W$6:$W$505,BL$3,実績!$AI$6:$AI$505,"&lt;="&amp;$A215,実績!$AJ$6:$AJ$505,"&gt;"&amp;$A215,実績!$AK$6:$AK$505,"○")&gt;0,1,0))</f>
        <v>0</v>
      </c>
      <c r="BM215" s="39" t="n">
        <f aca="false">IF(BM$4=0,0,IF(COUNTIFS(実績!$W$6:$W$505,BM$3,実績!$AI$6:$AI$505,"&lt;="&amp;$A215,実績!$AJ$6:$AJ$505,"&gt;"&amp;$A215,実績!$AK$6:$AK$505,"○")&gt;0,1,0))</f>
        <v>0</v>
      </c>
      <c r="BN215" s="39" t="n">
        <f aca="false">IF(BN$4=0,0,IF(COUNTIFS(実績!$W$6:$W$505,BN$3,実績!$AI$6:$AI$505,"&lt;="&amp;$A215,実績!$AJ$6:$AJ$505,"&gt;"&amp;$A215,実績!$AK$6:$AK$505,"○")&gt;0,1,0))</f>
        <v>0</v>
      </c>
      <c r="BO215" s="39" t="n">
        <f aca="false">IF(BO$4=0,0,IF(COUNTIFS(実績!$W$6:$W$505,BO$3,実績!$AI$6:$AI$505,"&lt;="&amp;$A215,実績!$AJ$6:$AJ$505,"&gt;"&amp;$A215,実績!$AK$6:$AK$505,"○")&gt;0,1,0))</f>
        <v>0</v>
      </c>
      <c r="BP215" s="39" t="n">
        <f aca="false">IF(BP$4=0,0,IF(COUNTIFS(実績!$W$6:$W$505,BP$3,実績!$AI$6:$AI$505,"&lt;="&amp;$A215,実績!$AJ$6:$AJ$505,"&gt;"&amp;$A215,実績!$AK$6:$AK$505,"○")&gt;0,1,0))</f>
        <v>0</v>
      </c>
      <c r="BQ215" s="39" t="n">
        <f aca="false">IF(BQ$4=0,0,IF(COUNTIFS(実績!$W$6:$W$505,BQ$3,実績!$AI$6:$AI$505,"&lt;="&amp;$A215,実績!$AJ$6:$AJ$505,"&gt;"&amp;$A215,実績!$AK$6:$AK$505,"○")&gt;0,1,0))</f>
        <v>0</v>
      </c>
      <c r="BR215" s="39" t="n">
        <f aca="false">IF(BR$4=0,0,IF(COUNTIFS(実績!$W$6:$W$505,BR$3,実績!$AI$6:$AI$505,"&lt;="&amp;$A215,実績!$AJ$6:$AJ$505,"&gt;"&amp;$A215,実績!$AK$6:$AK$505,"○")&gt;0,1,0))</f>
        <v>0</v>
      </c>
      <c r="BS215" s="39" t="n">
        <f aca="false">IF(BS$4=0,0,IF(COUNTIFS(実績!$W$6:$W$505,BS$3,実績!$AI$6:$AI$505,"&lt;="&amp;$A215,実績!$AJ$6:$AJ$505,"&gt;"&amp;$A215,実績!$AK$6:$AK$505,"○")&gt;0,1,0))</f>
        <v>0</v>
      </c>
      <c r="BT215" s="39" t="n">
        <f aca="false">IF(BT$4=0,0,IF(COUNTIFS(実績!$W$6:$W$505,BT$3,実績!$AI$6:$AI$505,"&lt;="&amp;$A215,実績!$AJ$6:$AJ$505,"&gt;"&amp;$A215,実績!$AK$6:$AK$505,"○")&gt;0,1,0))</f>
        <v>0</v>
      </c>
      <c r="BU215" s="39" t="n">
        <f aca="false">IF(BU$4=0,0,IF(COUNTIFS(実績!$W$6:$W$505,BU$3,実績!$AI$6:$AI$505,"&lt;="&amp;$A215,実績!$AJ$6:$AJ$505,"&gt;"&amp;$A215,実績!$AK$6:$AK$505,"○")&gt;0,1,0))</f>
        <v>0</v>
      </c>
      <c r="BV215" s="39" t="n">
        <f aca="false">IF(BV$4=0,0,IF(COUNTIFS(実績!$W$6:$W$505,BV$3,実績!$AI$6:$AI$505,"&lt;="&amp;$A215,実績!$AJ$6:$AJ$505,"&gt;"&amp;$A215,実績!$AK$6:$AK$505,"○")&gt;0,1,0))</f>
        <v>0</v>
      </c>
      <c r="BW215" s="39" t="n">
        <f aca="false">IF(BW$4=0,0,IF(COUNTIFS(実績!$W$6:$W$505,BW$3,実績!$AI$6:$AI$505,"&lt;="&amp;$A215,実績!$AJ$6:$AJ$505,"&gt;"&amp;$A215,実績!$AK$6:$AK$505,"○")&gt;0,1,0))</f>
        <v>0</v>
      </c>
      <c r="BX215" s="39" t="n">
        <f aca="false">IF(BX$4=0,0,IF(COUNTIFS(実績!$W$6:$W$505,BX$3,実績!$AI$6:$AI$505,"&lt;="&amp;$A215,実績!$AJ$6:$AJ$505,"&gt;"&amp;$A215,実績!$AK$6:$AK$505,"○")&gt;0,1,0))</f>
        <v>0</v>
      </c>
      <c r="BY215" s="39" t="n">
        <f aca="false">IF(BY$4=0,0,IF(COUNTIFS(実績!$W$6:$W$505,BY$3,実績!$AI$6:$AI$505,"&lt;="&amp;$A215,実績!$AJ$6:$AJ$505,"&gt;"&amp;$A215,実績!$AK$6:$AK$505,"○")&gt;0,1,0))</f>
        <v>0</v>
      </c>
      <c r="BZ215" s="39" t="n">
        <f aca="false">IF(BZ$4=0,0,IF(COUNTIFS(実績!$W$6:$W$505,BZ$3,実績!$AI$6:$AI$505,"&lt;="&amp;$A215,実績!$AJ$6:$AJ$505,"&gt;"&amp;$A215,実績!$AK$6:$AK$505,"○")&gt;0,1,0))</f>
        <v>0</v>
      </c>
      <c r="CA215" s="39" t="n">
        <f aca="false">IF(CA$4=0,0,IF(COUNTIFS(実績!$W$6:$W$505,CA$3,実績!$AI$6:$AI$505,"&lt;="&amp;$A215,実績!$AJ$6:$AJ$505,"&gt;"&amp;$A215,実績!$AK$6:$AK$505,"○")&gt;0,1,0))</f>
        <v>0</v>
      </c>
      <c r="CB215" s="39" t="n">
        <f aca="false">IF(CB$4=0,0,IF(COUNTIFS(実績!$W$6:$W$505,CB$3,実績!$AI$6:$AI$505,"&lt;="&amp;$A215,実績!$AJ$6:$AJ$505,"&gt;"&amp;$A215,実績!$AK$6:$AK$505,"○")&gt;0,1,0))</f>
        <v>0</v>
      </c>
      <c r="CC215" s="39" t="n">
        <f aca="false">IF(CC$4=0,0,IF(COUNTIFS(実績!$W$6:$W$505,CC$3,実績!$AI$6:$AI$505,"&lt;="&amp;$A215,実績!$AJ$6:$AJ$505,"&gt;"&amp;$A215,実績!$AK$6:$AK$505,"○")&gt;0,1,0))</f>
        <v>0</v>
      </c>
      <c r="CD215" s="39" t="n">
        <f aca="false">IF(CD$4=0,0,IF(COUNTIFS(実績!$W$6:$W$505,CD$3,実績!$AI$6:$AI$505,"&lt;="&amp;$A215,実績!$AJ$6:$AJ$505,"&gt;"&amp;$A215,実績!$AK$6:$AK$505,"○")&gt;0,1,0))</f>
        <v>0</v>
      </c>
      <c r="CE215" s="39" t="n">
        <f aca="false">IF(CE$4=0,0,IF(COUNTIFS(実績!$W$6:$W$505,CE$3,実績!$AI$6:$AI$505,"&lt;="&amp;$A215,実績!$AJ$6:$AJ$505,"&gt;"&amp;$A215,実績!$AK$6:$AK$505,"○")&gt;0,1,0))</f>
        <v>0</v>
      </c>
      <c r="CF215" s="39" t="n">
        <f aca="false">IF(CF$4=0,0,IF(COUNTIFS(実績!$W$6:$W$505,CF$3,実績!$AI$6:$AI$505,"&lt;="&amp;$A215,実績!$AJ$6:$AJ$505,"&gt;"&amp;$A215,実績!$AK$6:$AK$505,"○")&gt;0,1,0))</f>
        <v>0</v>
      </c>
      <c r="CG215" s="39" t="n">
        <f aca="false">IF(CG$4=0,0,IF(COUNTIFS(実績!$W$6:$W$505,CG$3,実績!$AI$6:$AI$505,"&lt;="&amp;$A215,実績!$AJ$6:$AJ$505,"&gt;"&amp;$A215,実績!$AK$6:$AK$505,"○")&gt;0,1,0))</f>
        <v>0</v>
      </c>
      <c r="CH215" s="39" t="n">
        <f aca="false">IF(CH$4=0,0,IF(COUNTIFS(実績!$W$6:$W$505,CH$3,実績!$AI$6:$AI$505,"&lt;="&amp;$A215,実績!$AJ$6:$AJ$505,"&gt;"&amp;$A215,実績!$AK$6:$AK$505,"○")&gt;0,1,0))</f>
        <v>0</v>
      </c>
      <c r="CI215" s="39" t="n">
        <f aca="false">IF(CI$4=0,0,IF(COUNTIFS(実績!$W$6:$W$505,CI$3,実績!$AI$6:$AI$505,"&lt;="&amp;$A215,実績!$AJ$6:$AJ$505,"&gt;"&amp;$A215,実績!$AK$6:$AK$505,"○")&gt;0,1,0))</f>
        <v>0</v>
      </c>
      <c r="CJ215" s="39" t="n">
        <f aca="false">IF(CJ$4=0,0,IF(COUNTIFS(実績!$W$6:$W$505,CJ$3,実績!$AI$6:$AI$505,"&lt;="&amp;$A215,実績!$AJ$6:$AJ$505,"&gt;"&amp;$A215,実績!$AK$6:$AK$505,"○")&gt;0,1,0))</f>
        <v>0</v>
      </c>
      <c r="CK215" s="39" t="n">
        <f aca="false">IF(CK$4=0,0,IF(COUNTIFS(実績!$W$6:$W$505,CK$3,実績!$AI$6:$AI$505,"&lt;="&amp;$A215,実績!$AJ$6:$AJ$505,"&gt;"&amp;$A215,実績!$AK$6:$AK$505,"○")&gt;0,1,0))</f>
        <v>0</v>
      </c>
      <c r="CL215" s="39" t="n">
        <f aca="false">IF(CL$4=0,0,IF(COUNTIFS(実績!$W$6:$W$505,CL$3,実績!$AI$6:$AI$505,"&lt;="&amp;$A215,実績!$AJ$6:$AJ$505,"&gt;"&amp;$A215,実績!$AK$6:$AK$505,"○")&gt;0,1,0))</f>
        <v>0</v>
      </c>
      <c r="CM215" s="39" t="n">
        <f aca="false">IF(CM$4=0,0,IF(COUNTIFS(実績!$W$6:$W$505,CM$3,実績!$AI$6:$AI$505,"&lt;="&amp;$A215,実績!$AJ$6:$AJ$505,"&gt;"&amp;$A215,実績!$AK$6:$AK$505,"○")&gt;0,1,0))</f>
        <v>0</v>
      </c>
      <c r="CN215" s="39" t="n">
        <f aca="false">IF(CN$4=0,0,IF(COUNTIFS(実績!$W$6:$W$505,CN$3,実績!$AI$6:$AI$505,"&lt;="&amp;$A215,実績!$AJ$6:$AJ$505,"&gt;"&amp;$A215,実績!$AK$6:$AK$505,"○")&gt;0,1,0))</f>
        <v>0</v>
      </c>
      <c r="CO215" s="39" t="n">
        <f aca="false">IF(CO$4=0,0,IF(COUNTIFS(実績!$W$6:$W$505,CO$3,実績!$AI$6:$AI$505,"&lt;="&amp;$A215,実績!$AJ$6:$AJ$505,"&gt;"&amp;$A215,実績!$AK$6:$AK$505,"○")&gt;0,1,0))</f>
        <v>0</v>
      </c>
      <c r="CP215" s="39" t="n">
        <f aca="false">IF(CP$4=0,0,IF(COUNTIFS(実績!$W$6:$W$505,CP$3,実績!$AI$6:$AI$505,"&lt;="&amp;$A215,実績!$AJ$6:$AJ$505,"&gt;"&amp;$A215,実績!$AK$6:$AK$505,"○")&gt;0,1,0))</f>
        <v>0</v>
      </c>
      <c r="CQ215" s="39" t="n">
        <f aca="false">IF(CQ$4=0,0,IF(COUNTIFS(実績!$W$6:$W$505,CQ$3,実績!$AI$6:$AI$505,"&lt;="&amp;$A215,実績!$AJ$6:$AJ$505,"&gt;"&amp;$A215,実績!$AK$6:$AK$505,"○")&gt;0,1,0))</f>
        <v>0</v>
      </c>
      <c r="CR215" s="39" t="n">
        <f aca="false">IF(CR$4=0,0,IF(COUNTIFS(実績!$W$6:$W$505,CR$3,実績!$AI$6:$AI$505,"&lt;="&amp;$A215,実績!$AJ$6:$AJ$505,"&gt;"&amp;$A215,実績!$AK$6:$AK$505,"○")&gt;0,1,0))</f>
        <v>0</v>
      </c>
      <c r="CS215" s="39" t="n">
        <f aca="false">IF(CS$4=0,0,IF(COUNTIFS(実績!$W$6:$W$505,CS$3,実績!$AI$6:$AI$505,"&lt;="&amp;$A215,実績!$AJ$6:$AJ$505,"&gt;"&amp;$A215,実績!$AK$6:$AK$505,"○")&gt;0,1,0))</f>
        <v>0</v>
      </c>
      <c r="CT215" s="39" t="n">
        <f aca="false">IF(CT$4=0,0,IF(COUNTIFS(実績!$W$6:$W$505,CT$3,実績!$AI$6:$AI$505,"&lt;="&amp;$A215,実績!$AJ$6:$AJ$505,"&gt;"&amp;$A215,実績!$AK$6:$AK$505,"○")&gt;0,1,0))</f>
        <v>0</v>
      </c>
      <c r="CU215" s="39" t="n">
        <f aca="false">IF(CU$4=0,0,IF(COUNTIFS(実績!$W$6:$W$505,CU$3,実績!$AI$6:$AI$505,"&lt;="&amp;$A215,実績!$AJ$6:$AJ$505,"&gt;"&amp;$A215,実績!$AK$6:$AK$505,"○")&gt;0,1,0))</f>
        <v>0</v>
      </c>
      <c r="CV215" s="39" t="n">
        <f aca="false">IF(CV$4=0,0,IF(COUNTIFS(実績!$W$6:$W$505,CV$3,実績!$AI$6:$AI$505,"&lt;="&amp;$A215,実績!$AJ$6:$AJ$505,"&gt;"&amp;$A215,実績!$AK$6:$AK$505,"○")&gt;0,1,0))</f>
        <v>0</v>
      </c>
      <c r="CW215" s="39" t="n">
        <f aca="false">IF(CW$4=0,0,IF(COUNTIFS(実績!$W$6:$W$505,CW$3,実績!$AI$6:$AI$505,"&lt;="&amp;$A215,実績!$AJ$6:$AJ$505,"&gt;"&amp;$A215,実績!$AK$6:$AK$505,"○")&gt;0,1,0))</f>
        <v>0</v>
      </c>
      <c r="CX215" s="39" t="n">
        <f aca="false">IF(CX$4=0,0,IF(COUNTIFS(実績!$W$6:$W$505,CX$3,実績!$AI$6:$AI$505,"&lt;="&amp;$A215,実績!$AJ$6:$AJ$505,"&gt;"&amp;$A215,実績!$AK$6:$AK$505,"○")&gt;0,1,0))</f>
        <v>0</v>
      </c>
      <c r="CY215" s="39" t="n">
        <f aca="false">IF(CY$4=0,0,IF(COUNTIFS(実績!$W$6:$W$505,CY$3,実績!$AI$6:$AI$505,"&lt;="&amp;$A215,実績!$AJ$6:$AJ$505,"&gt;"&amp;$A215,実績!$AK$6:$AK$505,"○")&gt;0,1,0))</f>
        <v>0</v>
      </c>
      <c r="CZ215" s="39" t="n">
        <f aca="false">IF(CZ$4=0,0,IF(COUNTIFS(実績!$W$6:$W$505,CZ$3,実績!$AI$6:$AI$505,"&lt;="&amp;$A215,実績!$AJ$6:$AJ$505,"&gt;"&amp;$A215,実績!$AK$6:$AK$505,"○")&gt;0,1,0))</f>
        <v>0</v>
      </c>
      <c r="DA215" s="39" t="n">
        <f aca="false">IF(DA$4=0,0,IF(COUNTIFS(実績!$W$6:$W$505,DA$3,実績!$AI$6:$AI$505,"&lt;="&amp;$A215,実績!$AJ$6:$AJ$505,"&gt;"&amp;$A215,実績!$AK$6:$AK$505,"○")&gt;0,1,0))</f>
        <v>0</v>
      </c>
      <c r="DB215" s="39" t="n">
        <f aca="false">IF(DB$4=0,0,IF(COUNTIFS(実績!$W$6:$W$505,DB$3,実績!$AI$6:$AI$505,"&lt;="&amp;$A215,実績!$AJ$6:$AJ$505,"&gt;"&amp;$A215,実績!$AK$6:$AK$505,"○")&gt;0,1,0))</f>
        <v>0</v>
      </c>
      <c r="DC215" s="39" t="n">
        <f aca="false">IF(DC$4=0,0,IF(COUNTIFS(実績!$W$6:$W$505,DC$3,実績!$AI$6:$AI$505,"&lt;="&amp;$A215,実績!$AJ$6:$AJ$505,"&gt;"&amp;$A215,実績!$AK$6:$AK$505,"○")&gt;0,1,0))</f>
        <v>0</v>
      </c>
      <c r="DD215" s="39" t="n">
        <f aca="false">IF(DD$4=0,0,IF(COUNTIFS(実績!$W$6:$W$505,DD$3,実績!$AI$6:$AI$505,"&lt;="&amp;$A215,実績!$AJ$6:$AJ$505,"&gt;"&amp;$A215,実績!$AK$6:$AK$505,"○")&gt;0,1,0))</f>
        <v>0</v>
      </c>
      <c r="DE215" s="39" t="n">
        <f aca="false">IF(DE$4=0,0,IF(COUNTIFS(実績!$W$6:$W$505,DE$3,実績!$AI$6:$AI$505,"&lt;="&amp;$A215,実績!$AJ$6:$AJ$505,"&gt;"&amp;$A215,実績!$AK$6:$AK$505,"○")&gt;0,1,0))</f>
        <v>0</v>
      </c>
      <c r="DF215" s="39" t="n">
        <f aca="false">IF(DF$4=0,0,IF(COUNTIFS(実績!$W$6:$W$505,DF$3,実績!$AI$6:$AI$505,"&lt;="&amp;$A215,実績!$AJ$6:$AJ$505,"&gt;"&amp;$A215,実績!$AK$6:$AK$505,"○")&gt;0,1,0))</f>
        <v>0</v>
      </c>
      <c r="DG215" s="39" t="n">
        <f aca="false">IF(DG$4=0,0,IF(COUNTIFS(実績!$W$6:$W$505,DG$3,実績!$AI$6:$AI$505,"&lt;="&amp;$A215,実績!$AJ$6:$AJ$505,"&gt;"&amp;$A215,実績!$AK$6:$AK$505,"○")&gt;0,1,0))</f>
        <v>0</v>
      </c>
      <c r="DH215" s="39" t="n">
        <f aca="false">IF(DH$4=0,0,IF(COUNTIFS(実績!$W$6:$W$505,DH$3,実績!$AI$6:$AI$505,"&lt;="&amp;$A215,実績!$AJ$6:$AJ$505,"&gt;"&amp;$A215,実績!$AK$6:$AK$505,"○")&gt;0,1,0))</f>
        <v>0</v>
      </c>
      <c r="DI215" s="39" t="n">
        <f aca="false">IF(DI$4=0,0,IF(COUNTIFS(実績!$W$6:$W$505,DI$3,実績!$AI$6:$AI$505,"&lt;="&amp;$A215,実績!$AJ$6:$AJ$505,"&gt;"&amp;$A215,実績!$AK$6:$AK$505,"○")&gt;0,1,0))</f>
        <v>0</v>
      </c>
      <c r="DJ215" s="39" t="n">
        <f aca="false">IF(DJ$4=0,0,IF(COUNTIFS(実績!$W$6:$W$505,DJ$3,実績!$AI$6:$AI$505,"&lt;="&amp;$A215,実績!$AJ$6:$AJ$505,"&gt;"&amp;$A215,実績!$AK$6:$AK$505,"○")&gt;0,1,0))</f>
        <v>0</v>
      </c>
      <c r="DK215" s="39" t="n">
        <f aca="false">IF(DK$4=0,0,IF(COUNTIFS(実績!$W$6:$W$505,DK$3,実績!$AI$6:$AI$505,"&lt;="&amp;$A215,実績!$AJ$6:$AJ$505,"&gt;"&amp;$A215,実績!$AK$6:$AK$505,"○")&gt;0,1,0))</f>
        <v>0</v>
      </c>
      <c r="DL215" s="39" t="n">
        <f aca="false">IF(DL$4=0,0,IF(COUNTIFS(実績!$W$6:$W$505,DL$3,実績!$AI$6:$AI$505,"&lt;="&amp;$A215,実績!$AJ$6:$AJ$505,"&gt;"&amp;$A215,実績!$AK$6:$AK$505,"○")&gt;0,1,0))</f>
        <v>0</v>
      </c>
      <c r="DM215" s="39" t="n">
        <f aca="false">IF(DM$4=0,0,IF(COUNTIFS(実績!$W$6:$W$505,DM$3,実績!$AI$6:$AI$505,"&lt;="&amp;$A215,実績!$AJ$6:$AJ$505,"&gt;"&amp;$A215,実績!$AK$6:$AK$505,"○")&gt;0,1,0))</f>
        <v>0</v>
      </c>
      <c r="DN215" s="39" t="n">
        <f aca="false">IF(DN$4=0,0,IF(COUNTIFS(実績!$W$6:$W$505,DN$3,実績!$AI$6:$AI$505,"&lt;="&amp;$A215,実績!$AJ$6:$AJ$505,"&gt;"&amp;$A215,実績!$AK$6:$AK$505,"○")&gt;0,1,0))</f>
        <v>0</v>
      </c>
      <c r="DO215" s="39" t="n">
        <f aca="false">IF(DO$4=0,0,IF(COUNTIFS(実績!$W$6:$W$505,DO$3,実績!$AI$6:$AI$505,"&lt;="&amp;$A215,実績!$AJ$6:$AJ$505,"&gt;"&amp;$A215,実績!$AK$6:$AK$505,"○")&gt;0,1,0))</f>
        <v>0</v>
      </c>
      <c r="DP215" s="39" t="n">
        <f aca="false">IF(DP$4=0,0,IF(COUNTIFS(実績!$W$6:$W$505,DP$3,実績!$AI$6:$AI$505,"&lt;="&amp;$A215,実績!$AJ$6:$AJ$505,"&gt;"&amp;$A215,実績!$AK$6:$AK$505,"○")&gt;0,1,0))</f>
        <v>0</v>
      </c>
      <c r="DQ215" s="39" t="n">
        <f aca="false">IF(DQ$4=0,0,IF(COUNTIFS(実績!$W$6:$W$505,DQ$3,実績!$AI$6:$AI$505,"&lt;="&amp;$A215,実績!$AJ$6:$AJ$505,"&gt;"&amp;$A215,実績!$AK$6:$AK$505,"○")&gt;0,1,0))</f>
        <v>0</v>
      </c>
      <c r="DR215" s="39" t="n">
        <f aca="false">IF(DR$4=0,0,IF(COUNTIFS(実績!$W$6:$W$505,DR$3,実績!$AI$6:$AI$505,"&lt;="&amp;$A215,実績!$AJ$6:$AJ$505,"&gt;"&amp;$A215,実績!$AK$6:$AK$505,"○")&gt;0,1,0))</f>
        <v>0</v>
      </c>
      <c r="DS215" s="39" t="n">
        <f aca="false">SUM(C215:DR215)</f>
        <v>0</v>
      </c>
      <c r="DT215" s="39" t="n">
        <f aca="false">SUMPRODUCT((実績!$C$6:$C$505="○")*ISNUMBER(実績!$AM$6:$AM$505)*(実績!$AM$6:$AM$505&lt;=$A215)*(実績!$AN$6:$AN$505&gt;$A215))</f>
        <v>0</v>
      </c>
      <c r="DU215" s="39" t="n">
        <f aca="false">SUMIF($C$2:$DR$2,"製鉄曳船",C215:DR215)</f>
        <v>0</v>
      </c>
      <c r="DV215" s="39" t="n">
        <f aca="false">SUMIF($C$2:$DR$2,"西日本海運",C215:DR215)</f>
        <v>0</v>
      </c>
    </row>
    <row r="216" customFormat="false" ht="15" hidden="false" customHeight="false" outlineLevel="0" collapsed="false">
      <c r="A216" s="0" t="n">
        <v>1050</v>
      </c>
      <c r="B216" s="38" t="n">
        <f aca="false">A216/1440</f>
        <v>0.729166666666667</v>
      </c>
      <c r="C216" s="39" t="n">
        <f aca="false">IF(C$4=0,0,IF(COUNTIFS(実績!$W$6:$W$505,C$3,実績!$AI$6:$AI$505,"&lt;="&amp;$A216,実績!$AJ$6:$AJ$505,"&gt;"&amp;$A216,実績!$AK$6:$AK$505,"○")&gt;0,1,0))</f>
        <v>0</v>
      </c>
      <c r="D216" s="39" t="n">
        <f aca="false">IF(D$4=0,0,IF(COUNTIFS(実績!$W$6:$W$505,D$3,実績!$AI$6:$AI$505,"&lt;="&amp;$A216,実績!$AJ$6:$AJ$505,"&gt;"&amp;$A216,実績!$AK$6:$AK$505,"○")&gt;0,1,0))</f>
        <v>0</v>
      </c>
      <c r="E216" s="39" t="n">
        <f aca="false">IF(E$4=0,0,IF(COUNTIFS(実績!$W$6:$W$505,E$3,実績!$AI$6:$AI$505,"&lt;="&amp;$A216,実績!$AJ$6:$AJ$505,"&gt;"&amp;$A216,実績!$AK$6:$AK$505,"○")&gt;0,1,0))</f>
        <v>0</v>
      </c>
      <c r="F216" s="39" t="n">
        <f aca="false">IF(F$4=0,0,IF(COUNTIFS(実績!$W$6:$W$505,F$3,実績!$AI$6:$AI$505,"&lt;="&amp;$A216,実績!$AJ$6:$AJ$505,"&gt;"&amp;$A216,実績!$AK$6:$AK$505,"○")&gt;0,1,0))</f>
        <v>0</v>
      </c>
      <c r="G216" s="39" t="n">
        <f aca="false">IF(G$4=0,0,IF(COUNTIFS(実績!$W$6:$W$505,G$3,実績!$AI$6:$AI$505,"&lt;="&amp;$A216,実績!$AJ$6:$AJ$505,"&gt;"&amp;$A216,実績!$AK$6:$AK$505,"○")&gt;0,1,0))</f>
        <v>0</v>
      </c>
      <c r="H216" s="39" t="n">
        <f aca="false">IF(H$4=0,0,IF(COUNTIFS(実績!$W$6:$W$505,H$3,実績!$AI$6:$AI$505,"&lt;="&amp;$A216,実績!$AJ$6:$AJ$505,"&gt;"&amp;$A216,実績!$AK$6:$AK$505,"○")&gt;0,1,0))</f>
        <v>0</v>
      </c>
      <c r="I216" s="39" t="n">
        <f aca="false">IF(I$4=0,0,IF(COUNTIFS(実績!$W$6:$W$505,I$3,実績!$AI$6:$AI$505,"&lt;="&amp;$A216,実績!$AJ$6:$AJ$505,"&gt;"&amp;$A216,実績!$AK$6:$AK$505,"○")&gt;0,1,0))</f>
        <v>0</v>
      </c>
      <c r="J216" s="39" t="n">
        <f aca="false">IF(J$4=0,0,IF(COUNTIFS(実績!$W$6:$W$505,J$3,実績!$AI$6:$AI$505,"&lt;="&amp;$A216,実績!$AJ$6:$AJ$505,"&gt;"&amp;$A216,実績!$AK$6:$AK$505,"○")&gt;0,1,0))</f>
        <v>0</v>
      </c>
      <c r="K216" s="39" t="n">
        <f aca="false">IF(K$4=0,0,IF(COUNTIFS(実績!$W$6:$W$505,K$3,実績!$AI$6:$AI$505,"&lt;="&amp;$A216,実績!$AJ$6:$AJ$505,"&gt;"&amp;$A216,実績!$AK$6:$AK$505,"○")&gt;0,1,0))</f>
        <v>0</v>
      </c>
      <c r="L216" s="39" t="n">
        <f aca="false">IF(L$4=0,0,IF(COUNTIFS(実績!$W$6:$W$505,L$3,実績!$AI$6:$AI$505,"&lt;="&amp;$A216,実績!$AJ$6:$AJ$505,"&gt;"&amp;$A216,実績!$AK$6:$AK$505,"○")&gt;0,1,0))</f>
        <v>0</v>
      </c>
      <c r="M216" s="39" t="n">
        <f aca="false">IF(M$4=0,0,IF(COUNTIFS(実績!$W$6:$W$505,M$3,実績!$AI$6:$AI$505,"&lt;="&amp;$A216,実績!$AJ$6:$AJ$505,"&gt;"&amp;$A216,実績!$AK$6:$AK$505,"○")&gt;0,1,0))</f>
        <v>0</v>
      </c>
      <c r="N216" s="39" t="n">
        <f aca="false">IF(N$4=0,0,IF(COUNTIFS(実績!$W$6:$W$505,N$3,実績!$AI$6:$AI$505,"&lt;="&amp;$A216,実績!$AJ$6:$AJ$505,"&gt;"&amp;$A216,実績!$AK$6:$AK$505,"○")&gt;0,1,0))</f>
        <v>0</v>
      </c>
      <c r="O216" s="39" t="n">
        <f aca="false">IF(O$4=0,0,IF(COUNTIFS(実績!$W$6:$W$505,O$3,実績!$AI$6:$AI$505,"&lt;="&amp;$A216,実績!$AJ$6:$AJ$505,"&gt;"&amp;$A216,実績!$AK$6:$AK$505,"○")&gt;0,1,0))</f>
        <v>0</v>
      </c>
      <c r="P216" s="39" t="n">
        <f aca="false">IF(P$4=0,0,IF(COUNTIFS(実績!$W$6:$W$505,P$3,実績!$AI$6:$AI$505,"&lt;="&amp;$A216,実績!$AJ$6:$AJ$505,"&gt;"&amp;$A216,実績!$AK$6:$AK$505,"○")&gt;0,1,0))</f>
        <v>0</v>
      </c>
      <c r="Q216" s="39" t="n">
        <f aca="false">IF(Q$4=0,0,IF(COUNTIFS(実績!$W$6:$W$505,Q$3,実績!$AI$6:$AI$505,"&lt;="&amp;$A216,実績!$AJ$6:$AJ$505,"&gt;"&amp;$A216,実績!$AK$6:$AK$505,"○")&gt;0,1,0))</f>
        <v>0</v>
      </c>
      <c r="R216" s="39" t="n">
        <f aca="false">IF(R$4=0,0,IF(COUNTIFS(実績!$W$6:$W$505,R$3,実績!$AI$6:$AI$505,"&lt;="&amp;$A216,実績!$AJ$6:$AJ$505,"&gt;"&amp;$A216,実績!$AK$6:$AK$505,"○")&gt;0,1,0))</f>
        <v>0</v>
      </c>
      <c r="S216" s="39" t="n">
        <f aca="false">IF(S$4=0,0,IF(COUNTIFS(実績!$W$6:$W$505,S$3,実績!$AI$6:$AI$505,"&lt;="&amp;$A216,実績!$AJ$6:$AJ$505,"&gt;"&amp;$A216,実績!$AK$6:$AK$505,"○")&gt;0,1,0))</f>
        <v>0</v>
      </c>
      <c r="T216" s="39" t="n">
        <f aca="false">IF(T$4=0,0,IF(COUNTIFS(実績!$W$6:$W$505,T$3,実績!$AI$6:$AI$505,"&lt;="&amp;$A216,実績!$AJ$6:$AJ$505,"&gt;"&amp;$A216,実績!$AK$6:$AK$505,"○")&gt;0,1,0))</f>
        <v>0</v>
      </c>
      <c r="U216" s="39" t="n">
        <f aca="false">IF(U$4=0,0,IF(COUNTIFS(実績!$W$6:$W$505,U$3,実績!$AI$6:$AI$505,"&lt;="&amp;$A216,実績!$AJ$6:$AJ$505,"&gt;"&amp;$A216,実績!$AK$6:$AK$505,"○")&gt;0,1,0))</f>
        <v>0</v>
      </c>
      <c r="V216" s="39" t="n">
        <f aca="false">IF(V$4=0,0,IF(COUNTIFS(実績!$W$6:$W$505,V$3,実績!$AI$6:$AI$505,"&lt;="&amp;$A216,実績!$AJ$6:$AJ$505,"&gt;"&amp;$A216,実績!$AK$6:$AK$505,"○")&gt;0,1,0))</f>
        <v>0</v>
      </c>
      <c r="W216" s="39" t="n">
        <f aca="false">IF(W$4=0,0,IF(COUNTIFS(実績!$W$6:$W$505,W$3,実績!$AI$6:$AI$505,"&lt;="&amp;$A216,実績!$AJ$6:$AJ$505,"&gt;"&amp;$A216,実績!$AK$6:$AK$505,"○")&gt;0,1,0))</f>
        <v>0</v>
      </c>
      <c r="X216" s="39" t="n">
        <f aca="false">IF(X$4=0,0,IF(COUNTIFS(実績!$W$6:$W$505,X$3,実績!$AI$6:$AI$505,"&lt;="&amp;$A216,実績!$AJ$6:$AJ$505,"&gt;"&amp;$A216,実績!$AK$6:$AK$505,"○")&gt;0,1,0))</f>
        <v>0</v>
      </c>
      <c r="Y216" s="39" t="n">
        <f aca="false">IF(Y$4=0,0,IF(COUNTIFS(実績!$W$6:$W$505,Y$3,実績!$AI$6:$AI$505,"&lt;="&amp;$A216,実績!$AJ$6:$AJ$505,"&gt;"&amp;$A216,実績!$AK$6:$AK$505,"○")&gt;0,1,0))</f>
        <v>0</v>
      </c>
      <c r="Z216" s="39" t="n">
        <f aca="false">IF(Z$4=0,0,IF(COUNTIFS(実績!$W$6:$W$505,Z$3,実績!$AI$6:$AI$505,"&lt;="&amp;$A216,実績!$AJ$6:$AJ$505,"&gt;"&amp;$A216,実績!$AK$6:$AK$505,"○")&gt;0,1,0))</f>
        <v>0</v>
      </c>
      <c r="AA216" s="39" t="n">
        <f aca="false">IF(AA$4=0,0,IF(COUNTIFS(実績!$W$6:$W$505,AA$3,実績!$AI$6:$AI$505,"&lt;="&amp;$A216,実績!$AJ$6:$AJ$505,"&gt;"&amp;$A216,実績!$AK$6:$AK$505,"○")&gt;0,1,0))</f>
        <v>0</v>
      </c>
      <c r="AB216" s="39" t="n">
        <f aca="false">IF(AB$4=0,0,IF(COUNTIFS(実績!$W$6:$W$505,AB$3,実績!$AI$6:$AI$505,"&lt;="&amp;$A216,実績!$AJ$6:$AJ$505,"&gt;"&amp;$A216,実績!$AK$6:$AK$505,"○")&gt;0,1,0))</f>
        <v>0</v>
      </c>
      <c r="AC216" s="39" t="n">
        <f aca="false">IF(AC$4=0,0,IF(COUNTIFS(実績!$W$6:$W$505,AC$3,実績!$AI$6:$AI$505,"&lt;="&amp;$A216,実績!$AJ$6:$AJ$505,"&gt;"&amp;$A216,実績!$AK$6:$AK$505,"○")&gt;0,1,0))</f>
        <v>0</v>
      </c>
      <c r="AD216" s="39" t="n">
        <f aca="false">IF(AD$4=0,0,IF(COUNTIFS(実績!$W$6:$W$505,AD$3,実績!$AI$6:$AI$505,"&lt;="&amp;$A216,実績!$AJ$6:$AJ$505,"&gt;"&amp;$A216,実績!$AK$6:$AK$505,"○")&gt;0,1,0))</f>
        <v>0</v>
      </c>
      <c r="AE216" s="39" t="n">
        <f aca="false">IF(AE$4=0,0,IF(COUNTIFS(実績!$W$6:$W$505,AE$3,実績!$AI$6:$AI$505,"&lt;="&amp;$A216,実績!$AJ$6:$AJ$505,"&gt;"&amp;$A216,実績!$AK$6:$AK$505,"○")&gt;0,1,0))</f>
        <v>0</v>
      </c>
      <c r="AF216" s="39" t="n">
        <f aca="false">IF(AF$4=0,0,IF(COUNTIFS(実績!$W$6:$W$505,AF$3,実績!$AI$6:$AI$505,"&lt;="&amp;$A216,実績!$AJ$6:$AJ$505,"&gt;"&amp;$A216,実績!$AK$6:$AK$505,"○")&gt;0,1,0))</f>
        <v>0</v>
      </c>
      <c r="AG216" s="39" t="n">
        <f aca="false">IF(AG$4=0,0,IF(COUNTIFS(実績!$W$6:$W$505,AG$3,実績!$AI$6:$AI$505,"&lt;="&amp;$A216,実績!$AJ$6:$AJ$505,"&gt;"&amp;$A216,実績!$AK$6:$AK$505,"○")&gt;0,1,0))</f>
        <v>0</v>
      </c>
      <c r="AH216" s="39" t="n">
        <f aca="false">IF(AH$4=0,0,IF(COUNTIFS(実績!$W$6:$W$505,AH$3,実績!$AI$6:$AI$505,"&lt;="&amp;$A216,実績!$AJ$6:$AJ$505,"&gt;"&amp;$A216,実績!$AK$6:$AK$505,"○")&gt;0,1,0))</f>
        <v>0</v>
      </c>
      <c r="AI216" s="39" t="n">
        <f aca="false">IF(AI$4=0,0,IF(COUNTIFS(実績!$W$6:$W$505,AI$3,実績!$AI$6:$AI$505,"&lt;="&amp;$A216,実績!$AJ$6:$AJ$505,"&gt;"&amp;$A216,実績!$AK$6:$AK$505,"○")&gt;0,1,0))</f>
        <v>0</v>
      </c>
      <c r="AJ216" s="39" t="n">
        <f aca="false">IF(AJ$4=0,0,IF(COUNTIFS(実績!$W$6:$W$505,AJ$3,実績!$AI$6:$AI$505,"&lt;="&amp;$A216,実績!$AJ$6:$AJ$505,"&gt;"&amp;$A216,実績!$AK$6:$AK$505,"○")&gt;0,1,0))</f>
        <v>0</v>
      </c>
      <c r="AK216" s="39" t="n">
        <f aca="false">IF(AK$4=0,0,IF(COUNTIFS(実績!$W$6:$W$505,AK$3,実績!$AI$6:$AI$505,"&lt;="&amp;$A216,実績!$AJ$6:$AJ$505,"&gt;"&amp;$A216,実績!$AK$6:$AK$505,"○")&gt;0,1,0))</f>
        <v>0</v>
      </c>
      <c r="AL216" s="39" t="n">
        <f aca="false">IF(AL$4=0,0,IF(COUNTIFS(実績!$W$6:$W$505,AL$3,実績!$AI$6:$AI$505,"&lt;="&amp;$A216,実績!$AJ$6:$AJ$505,"&gt;"&amp;$A216,実績!$AK$6:$AK$505,"○")&gt;0,1,0))</f>
        <v>0</v>
      </c>
      <c r="AM216" s="39" t="n">
        <f aca="false">IF(AM$4=0,0,IF(COUNTIFS(実績!$W$6:$W$505,AM$3,実績!$AI$6:$AI$505,"&lt;="&amp;$A216,実績!$AJ$6:$AJ$505,"&gt;"&amp;$A216,実績!$AK$6:$AK$505,"○")&gt;0,1,0))</f>
        <v>0</v>
      </c>
      <c r="AN216" s="39" t="n">
        <f aca="false">IF(AN$4=0,0,IF(COUNTIFS(実績!$W$6:$W$505,AN$3,実績!$AI$6:$AI$505,"&lt;="&amp;$A216,実績!$AJ$6:$AJ$505,"&gt;"&amp;$A216,実績!$AK$6:$AK$505,"○")&gt;0,1,0))</f>
        <v>0</v>
      </c>
      <c r="AO216" s="39" t="n">
        <f aca="false">IF(AO$4=0,0,IF(COUNTIFS(実績!$W$6:$W$505,AO$3,実績!$AI$6:$AI$505,"&lt;="&amp;$A216,実績!$AJ$6:$AJ$505,"&gt;"&amp;$A216,実績!$AK$6:$AK$505,"○")&gt;0,1,0))</f>
        <v>0</v>
      </c>
      <c r="AP216" s="39" t="n">
        <f aca="false">IF(AP$4=0,0,IF(COUNTIFS(実績!$W$6:$W$505,AP$3,実績!$AI$6:$AI$505,"&lt;="&amp;$A216,実績!$AJ$6:$AJ$505,"&gt;"&amp;$A216,実績!$AK$6:$AK$505,"○")&gt;0,1,0))</f>
        <v>0</v>
      </c>
      <c r="AQ216" s="39" t="n">
        <f aca="false">IF(AQ$4=0,0,IF(COUNTIFS(実績!$W$6:$W$505,AQ$3,実績!$AI$6:$AI$505,"&lt;="&amp;$A216,実績!$AJ$6:$AJ$505,"&gt;"&amp;$A216,実績!$AK$6:$AK$505,"○")&gt;0,1,0))</f>
        <v>0</v>
      </c>
      <c r="AR216" s="39" t="n">
        <f aca="false">IF(AR$4=0,0,IF(COUNTIFS(実績!$W$6:$W$505,AR$3,実績!$AI$6:$AI$505,"&lt;="&amp;$A216,実績!$AJ$6:$AJ$505,"&gt;"&amp;$A216,実績!$AK$6:$AK$505,"○")&gt;0,1,0))</f>
        <v>0</v>
      </c>
      <c r="AS216" s="39" t="n">
        <f aca="false">IF(AS$4=0,0,IF(COUNTIFS(実績!$W$6:$W$505,AS$3,実績!$AI$6:$AI$505,"&lt;="&amp;$A216,実績!$AJ$6:$AJ$505,"&gt;"&amp;$A216,実績!$AK$6:$AK$505,"○")&gt;0,1,0))</f>
        <v>0</v>
      </c>
      <c r="AT216" s="39" t="n">
        <f aca="false">IF(AT$4=0,0,IF(COUNTIFS(実績!$W$6:$W$505,AT$3,実績!$AI$6:$AI$505,"&lt;="&amp;$A216,実績!$AJ$6:$AJ$505,"&gt;"&amp;$A216,実績!$AK$6:$AK$505,"○")&gt;0,1,0))</f>
        <v>0</v>
      </c>
      <c r="AU216" s="39" t="n">
        <f aca="false">IF(AU$4=0,0,IF(COUNTIFS(実績!$W$6:$W$505,AU$3,実績!$AI$6:$AI$505,"&lt;="&amp;$A216,実績!$AJ$6:$AJ$505,"&gt;"&amp;$A216,実績!$AK$6:$AK$505,"○")&gt;0,1,0))</f>
        <v>0</v>
      </c>
      <c r="AV216" s="39" t="n">
        <f aca="false">IF(AV$4=0,0,IF(COUNTIFS(実績!$W$6:$W$505,AV$3,実績!$AI$6:$AI$505,"&lt;="&amp;$A216,実績!$AJ$6:$AJ$505,"&gt;"&amp;$A216,実績!$AK$6:$AK$505,"○")&gt;0,1,0))</f>
        <v>0</v>
      </c>
      <c r="AW216" s="39" t="n">
        <f aca="false">IF(AW$4=0,0,IF(COUNTIFS(実績!$W$6:$W$505,AW$3,実績!$AI$6:$AI$505,"&lt;="&amp;$A216,実績!$AJ$6:$AJ$505,"&gt;"&amp;$A216,実績!$AK$6:$AK$505,"○")&gt;0,1,0))</f>
        <v>0</v>
      </c>
      <c r="AX216" s="39" t="n">
        <f aca="false">IF(AX$4=0,0,IF(COUNTIFS(実績!$W$6:$W$505,AX$3,実績!$AI$6:$AI$505,"&lt;="&amp;$A216,実績!$AJ$6:$AJ$505,"&gt;"&amp;$A216,実績!$AK$6:$AK$505,"○")&gt;0,1,0))</f>
        <v>0</v>
      </c>
      <c r="AY216" s="39" t="n">
        <f aca="false">IF(AY$4=0,0,IF(COUNTIFS(実績!$W$6:$W$505,AY$3,実績!$AI$6:$AI$505,"&lt;="&amp;$A216,実績!$AJ$6:$AJ$505,"&gt;"&amp;$A216,実績!$AK$6:$AK$505,"○")&gt;0,1,0))</f>
        <v>0</v>
      </c>
      <c r="AZ216" s="39" t="n">
        <f aca="false">IF(AZ$4=0,0,IF(COUNTIFS(実績!$W$6:$W$505,AZ$3,実績!$AI$6:$AI$505,"&lt;="&amp;$A216,実績!$AJ$6:$AJ$505,"&gt;"&amp;$A216,実績!$AK$6:$AK$505,"○")&gt;0,1,0))</f>
        <v>0</v>
      </c>
      <c r="BA216" s="39" t="n">
        <f aca="false">IF(BA$4=0,0,IF(COUNTIFS(実績!$W$6:$W$505,BA$3,実績!$AI$6:$AI$505,"&lt;="&amp;$A216,実績!$AJ$6:$AJ$505,"&gt;"&amp;$A216,実績!$AK$6:$AK$505,"○")&gt;0,1,0))</f>
        <v>0</v>
      </c>
      <c r="BB216" s="39" t="n">
        <f aca="false">IF(BB$4=0,0,IF(COUNTIFS(実績!$W$6:$W$505,BB$3,実績!$AI$6:$AI$505,"&lt;="&amp;$A216,実績!$AJ$6:$AJ$505,"&gt;"&amp;$A216,実績!$AK$6:$AK$505,"○")&gt;0,1,0))</f>
        <v>0</v>
      </c>
      <c r="BC216" s="39" t="n">
        <f aca="false">IF(BC$4=0,0,IF(COUNTIFS(実績!$W$6:$W$505,BC$3,実績!$AI$6:$AI$505,"&lt;="&amp;$A216,実績!$AJ$6:$AJ$505,"&gt;"&amp;$A216,実績!$AK$6:$AK$505,"○")&gt;0,1,0))</f>
        <v>0</v>
      </c>
      <c r="BD216" s="39" t="n">
        <f aca="false">IF(BD$4=0,0,IF(COUNTIFS(実績!$W$6:$W$505,BD$3,実績!$AI$6:$AI$505,"&lt;="&amp;$A216,実績!$AJ$6:$AJ$505,"&gt;"&amp;$A216,実績!$AK$6:$AK$505,"○")&gt;0,1,0))</f>
        <v>0</v>
      </c>
      <c r="BE216" s="39" t="n">
        <f aca="false">IF(BE$4=0,0,IF(COUNTIFS(実績!$W$6:$W$505,BE$3,実績!$AI$6:$AI$505,"&lt;="&amp;$A216,実績!$AJ$6:$AJ$505,"&gt;"&amp;$A216,実績!$AK$6:$AK$505,"○")&gt;0,1,0))</f>
        <v>0</v>
      </c>
      <c r="BF216" s="39" t="n">
        <f aca="false">IF(BF$4=0,0,IF(COUNTIFS(実績!$W$6:$W$505,BF$3,実績!$AI$6:$AI$505,"&lt;="&amp;$A216,実績!$AJ$6:$AJ$505,"&gt;"&amp;$A216,実績!$AK$6:$AK$505,"○")&gt;0,1,0))</f>
        <v>0</v>
      </c>
      <c r="BG216" s="39" t="n">
        <f aca="false">IF(BG$4=0,0,IF(COUNTIFS(実績!$W$6:$W$505,BG$3,実績!$AI$6:$AI$505,"&lt;="&amp;$A216,実績!$AJ$6:$AJ$505,"&gt;"&amp;$A216,実績!$AK$6:$AK$505,"○")&gt;0,1,0))</f>
        <v>0</v>
      </c>
      <c r="BH216" s="39" t="n">
        <f aca="false">IF(BH$4=0,0,IF(COUNTIFS(実績!$W$6:$W$505,BH$3,実績!$AI$6:$AI$505,"&lt;="&amp;$A216,実績!$AJ$6:$AJ$505,"&gt;"&amp;$A216,実績!$AK$6:$AK$505,"○")&gt;0,1,0))</f>
        <v>0</v>
      </c>
      <c r="BI216" s="39" t="n">
        <f aca="false">IF(BI$4=0,0,IF(COUNTIFS(実績!$W$6:$W$505,BI$3,実績!$AI$6:$AI$505,"&lt;="&amp;$A216,実績!$AJ$6:$AJ$505,"&gt;"&amp;$A216,実績!$AK$6:$AK$505,"○")&gt;0,1,0))</f>
        <v>0</v>
      </c>
      <c r="BJ216" s="39" t="n">
        <f aca="false">IF(BJ$4=0,0,IF(COUNTIFS(実績!$W$6:$W$505,BJ$3,実績!$AI$6:$AI$505,"&lt;="&amp;$A216,実績!$AJ$6:$AJ$505,"&gt;"&amp;$A216,実績!$AK$6:$AK$505,"○")&gt;0,1,0))</f>
        <v>0</v>
      </c>
      <c r="BK216" s="39" t="n">
        <f aca="false">IF(BK$4=0,0,IF(COUNTIFS(実績!$W$6:$W$505,BK$3,実績!$AI$6:$AI$505,"&lt;="&amp;$A216,実績!$AJ$6:$AJ$505,"&gt;"&amp;$A216,実績!$AK$6:$AK$505,"○")&gt;0,1,0))</f>
        <v>0</v>
      </c>
      <c r="BL216" s="39" t="n">
        <f aca="false">IF(BL$4=0,0,IF(COUNTIFS(実績!$W$6:$W$505,BL$3,実績!$AI$6:$AI$505,"&lt;="&amp;$A216,実績!$AJ$6:$AJ$505,"&gt;"&amp;$A216,実績!$AK$6:$AK$505,"○")&gt;0,1,0))</f>
        <v>0</v>
      </c>
      <c r="BM216" s="39" t="n">
        <f aca="false">IF(BM$4=0,0,IF(COUNTIFS(実績!$W$6:$W$505,BM$3,実績!$AI$6:$AI$505,"&lt;="&amp;$A216,実績!$AJ$6:$AJ$505,"&gt;"&amp;$A216,実績!$AK$6:$AK$505,"○")&gt;0,1,0))</f>
        <v>0</v>
      </c>
      <c r="BN216" s="39" t="n">
        <f aca="false">IF(BN$4=0,0,IF(COUNTIFS(実績!$W$6:$W$505,BN$3,実績!$AI$6:$AI$505,"&lt;="&amp;$A216,実績!$AJ$6:$AJ$505,"&gt;"&amp;$A216,実績!$AK$6:$AK$505,"○")&gt;0,1,0))</f>
        <v>0</v>
      </c>
      <c r="BO216" s="39" t="n">
        <f aca="false">IF(BO$4=0,0,IF(COUNTIFS(実績!$W$6:$W$505,BO$3,実績!$AI$6:$AI$505,"&lt;="&amp;$A216,実績!$AJ$6:$AJ$505,"&gt;"&amp;$A216,実績!$AK$6:$AK$505,"○")&gt;0,1,0))</f>
        <v>0</v>
      </c>
      <c r="BP216" s="39" t="n">
        <f aca="false">IF(BP$4=0,0,IF(COUNTIFS(実績!$W$6:$W$505,BP$3,実績!$AI$6:$AI$505,"&lt;="&amp;$A216,実績!$AJ$6:$AJ$505,"&gt;"&amp;$A216,実績!$AK$6:$AK$505,"○")&gt;0,1,0))</f>
        <v>0</v>
      </c>
      <c r="BQ216" s="39" t="n">
        <f aca="false">IF(BQ$4=0,0,IF(COUNTIFS(実績!$W$6:$W$505,BQ$3,実績!$AI$6:$AI$505,"&lt;="&amp;$A216,実績!$AJ$6:$AJ$505,"&gt;"&amp;$A216,実績!$AK$6:$AK$505,"○")&gt;0,1,0))</f>
        <v>0</v>
      </c>
      <c r="BR216" s="39" t="n">
        <f aca="false">IF(BR$4=0,0,IF(COUNTIFS(実績!$W$6:$W$505,BR$3,実績!$AI$6:$AI$505,"&lt;="&amp;$A216,実績!$AJ$6:$AJ$505,"&gt;"&amp;$A216,実績!$AK$6:$AK$505,"○")&gt;0,1,0))</f>
        <v>0</v>
      </c>
      <c r="BS216" s="39" t="n">
        <f aca="false">IF(BS$4=0,0,IF(COUNTIFS(実績!$W$6:$W$505,BS$3,実績!$AI$6:$AI$505,"&lt;="&amp;$A216,実績!$AJ$6:$AJ$505,"&gt;"&amp;$A216,実績!$AK$6:$AK$505,"○")&gt;0,1,0))</f>
        <v>0</v>
      </c>
      <c r="BT216" s="39" t="n">
        <f aca="false">IF(BT$4=0,0,IF(COUNTIFS(実績!$W$6:$W$505,BT$3,実績!$AI$6:$AI$505,"&lt;="&amp;$A216,実績!$AJ$6:$AJ$505,"&gt;"&amp;$A216,実績!$AK$6:$AK$505,"○")&gt;0,1,0))</f>
        <v>0</v>
      </c>
      <c r="BU216" s="39" t="n">
        <f aca="false">IF(BU$4=0,0,IF(COUNTIFS(実績!$W$6:$W$505,BU$3,実績!$AI$6:$AI$505,"&lt;="&amp;$A216,実績!$AJ$6:$AJ$505,"&gt;"&amp;$A216,実績!$AK$6:$AK$505,"○")&gt;0,1,0))</f>
        <v>0</v>
      </c>
      <c r="BV216" s="39" t="n">
        <f aca="false">IF(BV$4=0,0,IF(COUNTIFS(実績!$W$6:$W$505,BV$3,実績!$AI$6:$AI$505,"&lt;="&amp;$A216,実績!$AJ$6:$AJ$505,"&gt;"&amp;$A216,実績!$AK$6:$AK$505,"○")&gt;0,1,0))</f>
        <v>0</v>
      </c>
      <c r="BW216" s="39" t="n">
        <f aca="false">IF(BW$4=0,0,IF(COUNTIFS(実績!$W$6:$W$505,BW$3,実績!$AI$6:$AI$505,"&lt;="&amp;$A216,実績!$AJ$6:$AJ$505,"&gt;"&amp;$A216,実績!$AK$6:$AK$505,"○")&gt;0,1,0))</f>
        <v>0</v>
      </c>
      <c r="BX216" s="39" t="n">
        <f aca="false">IF(BX$4=0,0,IF(COUNTIFS(実績!$W$6:$W$505,BX$3,実績!$AI$6:$AI$505,"&lt;="&amp;$A216,実績!$AJ$6:$AJ$505,"&gt;"&amp;$A216,実績!$AK$6:$AK$505,"○")&gt;0,1,0))</f>
        <v>0</v>
      </c>
      <c r="BY216" s="39" t="n">
        <f aca="false">IF(BY$4=0,0,IF(COUNTIFS(実績!$W$6:$W$505,BY$3,実績!$AI$6:$AI$505,"&lt;="&amp;$A216,実績!$AJ$6:$AJ$505,"&gt;"&amp;$A216,実績!$AK$6:$AK$505,"○")&gt;0,1,0))</f>
        <v>0</v>
      </c>
      <c r="BZ216" s="39" t="n">
        <f aca="false">IF(BZ$4=0,0,IF(COUNTIFS(実績!$W$6:$W$505,BZ$3,実績!$AI$6:$AI$505,"&lt;="&amp;$A216,実績!$AJ$6:$AJ$505,"&gt;"&amp;$A216,実績!$AK$6:$AK$505,"○")&gt;0,1,0))</f>
        <v>0</v>
      </c>
      <c r="CA216" s="39" t="n">
        <f aca="false">IF(CA$4=0,0,IF(COUNTIFS(実績!$W$6:$W$505,CA$3,実績!$AI$6:$AI$505,"&lt;="&amp;$A216,実績!$AJ$6:$AJ$505,"&gt;"&amp;$A216,実績!$AK$6:$AK$505,"○")&gt;0,1,0))</f>
        <v>0</v>
      </c>
      <c r="CB216" s="39" t="n">
        <f aca="false">IF(CB$4=0,0,IF(COUNTIFS(実績!$W$6:$W$505,CB$3,実績!$AI$6:$AI$505,"&lt;="&amp;$A216,実績!$AJ$6:$AJ$505,"&gt;"&amp;$A216,実績!$AK$6:$AK$505,"○")&gt;0,1,0))</f>
        <v>0</v>
      </c>
      <c r="CC216" s="39" t="n">
        <f aca="false">IF(CC$4=0,0,IF(COUNTIFS(実績!$W$6:$W$505,CC$3,実績!$AI$6:$AI$505,"&lt;="&amp;$A216,実績!$AJ$6:$AJ$505,"&gt;"&amp;$A216,実績!$AK$6:$AK$505,"○")&gt;0,1,0))</f>
        <v>0</v>
      </c>
      <c r="CD216" s="39" t="n">
        <f aca="false">IF(CD$4=0,0,IF(COUNTIFS(実績!$W$6:$W$505,CD$3,実績!$AI$6:$AI$505,"&lt;="&amp;$A216,実績!$AJ$6:$AJ$505,"&gt;"&amp;$A216,実績!$AK$6:$AK$505,"○")&gt;0,1,0))</f>
        <v>0</v>
      </c>
      <c r="CE216" s="39" t="n">
        <f aca="false">IF(CE$4=0,0,IF(COUNTIFS(実績!$W$6:$W$505,CE$3,実績!$AI$6:$AI$505,"&lt;="&amp;$A216,実績!$AJ$6:$AJ$505,"&gt;"&amp;$A216,実績!$AK$6:$AK$505,"○")&gt;0,1,0))</f>
        <v>0</v>
      </c>
      <c r="CF216" s="39" t="n">
        <f aca="false">IF(CF$4=0,0,IF(COUNTIFS(実績!$W$6:$W$505,CF$3,実績!$AI$6:$AI$505,"&lt;="&amp;$A216,実績!$AJ$6:$AJ$505,"&gt;"&amp;$A216,実績!$AK$6:$AK$505,"○")&gt;0,1,0))</f>
        <v>0</v>
      </c>
      <c r="CG216" s="39" t="n">
        <f aca="false">IF(CG$4=0,0,IF(COUNTIFS(実績!$W$6:$W$505,CG$3,実績!$AI$6:$AI$505,"&lt;="&amp;$A216,実績!$AJ$6:$AJ$505,"&gt;"&amp;$A216,実績!$AK$6:$AK$505,"○")&gt;0,1,0))</f>
        <v>0</v>
      </c>
      <c r="CH216" s="39" t="n">
        <f aca="false">IF(CH$4=0,0,IF(COUNTIFS(実績!$W$6:$W$505,CH$3,実績!$AI$6:$AI$505,"&lt;="&amp;$A216,実績!$AJ$6:$AJ$505,"&gt;"&amp;$A216,実績!$AK$6:$AK$505,"○")&gt;0,1,0))</f>
        <v>0</v>
      </c>
      <c r="CI216" s="39" t="n">
        <f aca="false">IF(CI$4=0,0,IF(COUNTIFS(実績!$W$6:$W$505,CI$3,実績!$AI$6:$AI$505,"&lt;="&amp;$A216,実績!$AJ$6:$AJ$505,"&gt;"&amp;$A216,実績!$AK$6:$AK$505,"○")&gt;0,1,0))</f>
        <v>0</v>
      </c>
      <c r="CJ216" s="39" t="n">
        <f aca="false">IF(CJ$4=0,0,IF(COUNTIFS(実績!$W$6:$W$505,CJ$3,実績!$AI$6:$AI$505,"&lt;="&amp;$A216,実績!$AJ$6:$AJ$505,"&gt;"&amp;$A216,実績!$AK$6:$AK$505,"○")&gt;0,1,0))</f>
        <v>0</v>
      </c>
      <c r="CK216" s="39" t="n">
        <f aca="false">IF(CK$4=0,0,IF(COUNTIFS(実績!$W$6:$W$505,CK$3,実績!$AI$6:$AI$505,"&lt;="&amp;$A216,実績!$AJ$6:$AJ$505,"&gt;"&amp;$A216,実績!$AK$6:$AK$505,"○")&gt;0,1,0))</f>
        <v>0</v>
      </c>
      <c r="CL216" s="39" t="n">
        <f aca="false">IF(CL$4=0,0,IF(COUNTIFS(実績!$W$6:$W$505,CL$3,実績!$AI$6:$AI$505,"&lt;="&amp;$A216,実績!$AJ$6:$AJ$505,"&gt;"&amp;$A216,実績!$AK$6:$AK$505,"○")&gt;0,1,0))</f>
        <v>0</v>
      </c>
      <c r="CM216" s="39" t="n">
        <f aca="false">IF(CM$4=0,0,IF(COUNTIFS(実績!$W$6:$W$505,CM$3,実績!$AI$6:$AI$505,"&lt;="&amp;$A216,実績!$AJ$6:$AJ$505,"&gt;"&amp;$A216,実績!$AK$6:$AK$505,"○")&gt;0,1,0))</f>
        <v>0</v>
      </c>
      <c r="CN216" s="39" t="n">
        <f aca="false">IF(CN$4=0,0,IF(COUNTIFS(実績!$W$6:$W$505,CN$3,実績!$AI$6:$AI$505,"&lt;="&amp;$A216,実績!$AJ$6:$AJ$505,"&gt;"&amp;$A216,実績!$AK$6:$AK$505,"○")&gt;0,1,0))</f>
        <v>0</v>
      </c>
      <c r="CO216" s="39" t="n">
        <f aca="false">IF(CO$4=0,0,IF(COUNTIFS(実績!$W$6:$W$505,CO$3,実績!$AI$6:$AI$505,"&lt;="&amp;$A216,実績!$AJ$6:$AJ$505,"&gt;"&amp;$A216,実績!$AK$6:$AK$505,"○")&gt;0,1,0))</f>
        <v>0</v>
      </c>
      <c r="CP216" s="39" t="n">
        <f aca="false">IF(CP$4=0,0,IF(COUNTIFS(実績!$W$6:$W$505,CP$3,実績!$AI$6:$AI$505,"&lt;="&amp;$A216,実績!$AJ$6:$AJ$505,"&gt;"&amp;$A216,実績!$AK$6:$AK$505,"○")&gt;0,1,0))</f>
        <v>0</v>
      </c>
      <c r="CQ216" s="39" t="n">
        <f aca="false">IF(CQ$4=0,0,IF(COUNTIFS(実績!$W$6:$W$505,CQ$3,実績!$AI$6:$AI$505,"&lt;="&amp;$A216,実績!$AJ$6:$AJ$505,"&gt;"&amp;$A216,実績!$AK$6:$AK$505,"○")&gt;0,1,0))</f>
        <v>0</v>
      </c>
      <c r="CR216" s="39" t="n">
        <f aca="false">IF(CR$4=0,0,IF(COUNTIFS(実績!$W$6:$W$505,CR$3,実績!$AI$6:$AI$505,"&lt;="&amp;$A216,実績!$AJ$6:$AJ$505,"&gt;"&amp;$A216,実績!$AK$6:$AK$505,"○")&gt;0,1,0))</f>
        <v>0</v>
      </c>
      <c r="CS216" s="39" t="n">
        <f aca="false">IF(CS$4=0,0,IF(COUNTIFS(実績!$W$6:$W$505,CS$3,実績!$AI$6:$AI$505,"&lt;="&amp;$A216,実績!$AJ$6:$AJ$505,"&gt;"&amp;$A216,実績!$AK$6:$AK$505,"○")&gt;0,1,0))</f>
        <v>0</v>
      </c>
      <c r="CT216" s="39" t="n">
        <f aca="false">IF(CT$4=0,0,IF(COUNTIFS(実績!$W$6:$W$505,CT$3,実績!$AI$6:$AI$505,"&lt;="&amp;$A216,実績!$AJ$6:$AJ$505,"&gt;"&amp;$A216,実績!$AK$6:$AK$505,"○")&gt;0,1,0))</f>
        <v>0</v>
      </c>
      <c r="CU216" s="39" t="n">
        <f aca="false">IF(CU$4=0,0,IF(COUNTIFS(実績!$W$6:$W$505,CU$3,実績!$AI$6:$AI$505,"&lt;="&amp;$A216,実績!$AJ$6:$AJ$505,"&gt;"&amp;$A216,実績!$AK$6:$AK$505,"○")&gt;0,1,0))</f>
        <v>0</v>
      </c>
      <c r="CV216" s="39" t="n">
        <f aca="false">IF(CV$4=0,0,IF(COUNTIFS(実績!$W$6:$W$505,CV$3,実績!$AI$6:$AI$505,"&lt;="&amp;$A216,実績!$AJ$6:$AJ$505,"&gt;"&amp;$A216,実績!$AK$6:$AK$505,"○")&gt;0,1,0))</f>
        <v>0</v>
      </c>
      <c r="CW216" s="39" t="n">
        <f aca="false">IF(CW$4=0,0,IF(COUNTIFS(実績!$W$6:$W$505,CW$3,実績!$AI$6:$AI$505,"&lt;="&amp;$A216,実績!$AJ$6:$AJ$505,"&gt;"&amp;$A216,実績!$AK$6:$AK$505,"○")&gt;0,1,0))</f>
        <v>0</v>
      </c>
      <c r="CX216" s="39" t="n">
        <f aca="false">IF(CX$4=0,0,IF(COUNTIFS(実績!$W$6:$W$505,CX$3,実績!$AI$6:$AI$505,"&lt;="&amp;$A216,実績!$AJ$6:$AJ$505,"&gt;"&amp;$A216,実績!$AK$6:$AK$505,"○")&gt;0,1,0))</f>
        <v>0</v>
      </c>
      <c r="CY216" s="39" t="n">
        <f aca="false">IF(CY$4=0,0,IF(COUNTIFS(実績!$W$6:$W$505,CY$3,実績!$AI$6:$AI$505,"&lt;="&amp;$A216,実績!$AJ$6:$AJ$505,"&gt;"&amp;$A216,実績!$AK$6:$AK$505,"○")&gt;0,1,0))</f>
        <v>0</v>
      </c>
      <c r="CZ216" s="39" t="n">
        <f aca="false">IF(CZ$4=0,0,IF(COUNTIFS(実績!$W$6:$W$505,CZ$3,実績!$AI$6:$AI$505,"&lt;="&amp;$A216,実績!$AJ$6:$AJ$505,"&gt;"&amp;$A216,実績!$AK$6:$AK$505,"○")&gt;0,1,0))</f>
        <v>0</v>
      </c>
      <c r="DA216" s="39" t="n">
        <f aca="false">IF(DA$4=0,0,IF(COUNTIFS(実績!$W$6:$W$505,DA$3,実績!$AI$6:$AI$505,"&lt;="&amp;$A216,実績!$AJ$6:$AJ$505,"&gt;"&amp;$A216,実績!$AK$6:$AK$505,"○")&gt;0,1,0))</f>
        <v>0</v>
      </c>
      <c r="DB216" s="39" t="n">
        <f aca="false">IF(DB$4=0,0,IF(COUNTIFS(実績!$W$6:$W$505,DB$3,実績!$AI$6:$AI$505,"&lt;="&amp;$A216,実績!$AJ$6:$AJ$505,"&gt;"&amp;$A216,実績!$AK$6:$AK$505,"○")&gt;0,1,0))</f>
        <v>0</v>
      </c>
      <c r="DC216" s="39" t="n">
        <f aca="false">IF(DC$4=0,0,IF(COUNTIFS(実績!$W$6:$W$505,DC$3,実績!$AI$6:$AI$505,"&lt;="&amp;$A216,実績!$AJ$6:$AJ$505,"&gt;"&amp;$A216,実績!$AK$6:$AK$505,"○")&gt;0,1,0))</f>
        <v>0</v>
      </c>
      <c r="DD216" s="39" t="n">
        <f aca="false">IF(DD$4=0,0,IF(COUNTIFS(実績!$W$6:$W$505,DD$3,実績!$AI$6:$AI$505,"&lt;="&amp;$A216,実績!$AJ$6:$AJ$505,"&gt;"&amp;$A216,実績!$AK$6:$AK$505,"○")&gt;0,1,0))</f>
        <v>0</v>
      </c>
      <c r="DE216" s="39" t="n">
        <f aca="false">IF(DE$4=0,0,IF(COUNTIFS(実績!$W$6:$W$505,DE$3,実績!$AI$6:$AI$505,"&lt;="&amp;$A216,実績!$AJ$6:$AJ$505,"&gt;"&amp;$A216,実績!$AK$6:$AK$505,"○")&gt;0,1,0))</f>
        <v>0</v>
      </c>
      <c r="DF216" s="39" t="n">
        <f aca="false">IF(DF$4=0,0,IF(COUNTIFS(実績!$W$6:$W$505,DF$3,実績!$AI$6:$AI$505,"&lt;="&amp;$A216,実績!$AJ$6:$AJ$505,"&gt;"&amp;$A216,実績!$AK$6:$AK$505,"○")&gt;0,1,0))</f>
        <v>0</v>
      </c>
      <c r="DG216" s="39" t="n">
        <f aca="false">IF(DG$4=0,0,IF(COUNTIFS(実績!$W$6:$W$505,DG$3,実績!$AI$6:$AI$505,"&lt;="&amp;$A216,実績!$AJ$6:$AJ$505,"&gt;"&amp;$A216,実績!$AK$6:$AK$505,"○")&gt;0,1,0))</f>
        <v>0</v>
      </c>
      <c r="DH216" s="39" t="n">
        <f aca="false">IF(DH$4=0,0,IF(COUNTIFS(実績!$W$6:$W$505,DH$3,実績!$AI$6:$AI$505,"&lt;="&amp;$A216,実績!$AJ$6:$AJ$505,"&gt;"&amp;$A216,実績!$AK$6:$AK$505,"○")&gt;0,1,0))</f>
        <v>0</v>
      </c>
      <c r="DI216" s="39" t="n">
        <f aca="false">IF(DI$4=0,0,IF(COUNTIFS(実績!$W$6:$W$505,DI$3,実績!$AI$6:$AI$505,"&lt;="&amp;$A216,実績!$AJ$6:$AJ$505,"&gt;"&amp;$A216,実績!$AK$6:$AK$505,"○")&gt;0,1,0))</f>
        <v>0</v>
      </c>
      <c r="DJ216" s="39" t="n">
        <f aca="false">IF(DJ$4=0,0,IF(COUNTIFS(実績!$W$6:$W$505,DJ$3,実績!$AI$6:$AI$505,"&lt;="&amp;$A216,実績!$AJ$6:$AJ$505,"&gt;"&amp;$A216,実績!$AK$6:$AK$505,"○")&gt;0,1,0))</f>
        <v>0</v>
      </c>
      <c r="DK216" s="39" t="n">
        <f aca="false">IF(DK$4=0,0,IF(COUNTIFS(実績!$W$6:$W$505,DK$3,実績!$AI$6:$AI$505,"&lt;="&amp;$A216,実績!$AJ$6:$AJ$505,"&gt;"&amp;$A216,実績!$AK$6:$AK$505,"○")&gt;0,1,0))</f>
        <v>0</v>
      </c>
      <c r="DL216" s="39" t="n">
        <f aca="false">IF(DL$4=0,0,IF(COUNTIFS(実績!$W$6:$W$505,DL$3,実績!$AI$6:$AI$505,"&lt;="&amp;$A216,実績!$AJ$6:$AJ$505,"&gt;"&amp;$A216,実績!$AK$6:$AK$505,"○")&gt;0,1,0))</f>
        <v>0</v>
      </c>
      <c r="DM216" s="39" t="n">
        <f aca="false">IF(DM$4=0,0,IF(COUNTIFS(実績!$W$6:$W$505,DM$3,実績!$AI$6:$AI$505,"&lt;="&amp;$A216,実績!$AJ$6:$AJ$505,"&gt;"&amp;$A216,実績!$AK$6:$AK$505,"○")&gt;0,1,0))</f>
        <v>0</v>
      </c>
      <c r="DN216" s="39" t="n">
        <f aca="false">IF(DN$4=0,0,IF(COUNTIFS(実績!$W$6:$W$505,DN$3,実績!$AI$6:$AI$505,"&lt;="&amp;$A216,実績!$AJ$6:$AJ$505,"&gt;"&amp;$A216,実績!$AK$6:$AK$505,"○")&gt;0,1,0))</f>
        <v>0</v>
      </c>
      <c r="DO216" s="39" t="n">
        <f aca="false">IF(DO$4=0,0,IF(COUNTIFS(実績!$W$6:$W$505,DO$3,実績!$AI$6:$AI$505,"&lt;="&amp;$A216,実績!$AJ$6:$AJ$505,"&gt;"&amp;$A216,実績!$AK$6:$AK$505,"○")&gt;0,1,0))</f>
        <v>0</v>
      </c>
      <c r="DP216" s="39" t="n">
        <f aca="false">IF(DP$4=0,0,IF(COUNTIFS(実績!$W$6:$W$505,DP$3,実績!$AI$6:$AI$505,"&lt;="&amp;$A216,実績!$AJ$6:$AJ$505,"&gt;"&amp;$A216,実績!$AK$6:$AK$505,"○")&gt;0,1,0))</f>
        <v>0</v>
      </c>
      <c r="DQ216" s="39" t="n">
        <f aca="false">IF(DQ$4=0,0,IF(COUNTIFS(実績!$W$6:$W$505,DQ$3,実績!$AI$6:$AI$505,"&lt;="&amp;$A216,実績!$AJ$6:$AJ$505,"&gt;"&amp;$A216,実績!$AK$6:$AK$505,"○")&gt;0,1,0))</f>
        <v>0</v>
      </c>
      <c r="DR216" s="39" t="n">
        <f aca="false">IF(DR$4=0,0,IF(COUNTIFS(実績!$W$6:$W$505,DR$3,実績!$AI$6:$AI$505,"&lt;="&amp;$A216,実績!$AJ$6:$AJ$505,"&gt;"&amp;$A216,実績!$AK$6:$AK$505,"○")&gt;0,1,0))</f>
        <v>0</v>
      </c>
      <c r="DS216" s="39" t="n">
        <f aca="false">SUM(C216:DR216)</f>
        <v>0</v>
      </c>
      <c r="DT216" s="39" t="n">
        <f aca="false">SUMPRODUCT((実績!$C$6:$C$505="○")*ISNUMBER(実績!$AM$6:$AM$505)*(実績!$AM$6:$AM$505&lt;=$A216)*(実績!$AN$6:$AN$505&gt;$A216))</f>
        <v>0</v>
      </c>
      <c r="DU216" s="39" t="n">
        <f aca="false">SUMIF($C$2:$DR$2,"製鉄曳船",C216:DR216)</f>
        <v>0</v>
      </c>
      <c r="DV216" s="39" t="n">
        <f aca="false">SUMIF($C$2:$DR$2,"西日本海運",C216:DR216)</f>
        <v>0</v>
      </c>
    </row>
    <row r="217" customFormat="false" ht="15" hidden="false" customHeight="false" outlineLevel="0" collapsed="false">
      <c r="A217" s="0" t="n">
        <v>1055</v>
      </c>
      <c r="B217" s="38" t="n">
        <f aca="false">A217/1440</f>
        <v>0.732638888888889</v>
      </c>
      <c r="C217" s="39" t="n">
        <f aca="false">IF(C$4=0,0,IF(COUNTIFS(実績!$W$6:$W$505,C$3,実績!$AI$6:$AI$505,"&lt;="&amp;$A217,実績!$AJ$6:$AJ$505,"&gt;"&amp;$A217,実績!$AK$6:$AK$505,"○")&gt;0,1,0))</f>
        <v>0</v>
      </c>
      <c r="D217" s="39" t="n">
        <f aca="false">IF(D$4=0,0,IF(COUNTIFS(実績!$W$6:$W$505,D$3,実績!$AI$6:$AI$505,"&lt;="&amp;$A217,実績!$AJ$6:$AJ$505,"&gt;"&amp;$A217,実績!$AK$6:$AK$505,"○")&gt;0,1,0))</f>
        <v>0</v>
      </c>
      <c r="E217" s="39" t="n">
        <f aca="false">IF(E$4=0,0,IF(COUNTIFS(実績!$W$6:$W$505,E$3,実績!$AI$6:$AI$505,"&lt;="&amp;$A217,実績!$AJ$6:$AJ$505,"&gt;"&amp;$A217,実績!$AK$6:$AK$505,"○")&gt;0,1,0))</f>
        <v>0</v>
      </c>
      <c r="F217" s="39" t="n">
        <f aca="false">IF(F$4=0,0,IF(COUNTIFS(実績!$W$6:$W$505,F$3,実績!$AI$6:$AI$505,"&lt;="&amp;$A217,実績!$AJ$6:$AJ$505,"&gt;"&amp;$A217,実績!$AK$6:$AK$505,"○")&gt;0,1,0))</f>
        <v>0</v>
      </c>
      <c r="G217" s="39" t="n">
        <f aca="false">IF(G$4=0,0,IF(COUNTIFS(実績!$W$6:$W$505,G$3,実績!$AI$6:$AI$505,"&lt;="&amp;$A217,実績!$AJ$6:$AJ$505,"&gt;"&amp;$A217,実績!$AK$6:$AK$505,"○")&gt;0,1,0))</f>
        <v>0</v>
      </c>
      <c r="H217" s="39" t="n">
        <f aca="false">IF(H$4=0,0,IF(COUNTIFS(実績!$W$6:$W$505,H$3,実績!$AI$6:$AI$505,"&lt;="&amp;$A217,実績!$AJ$6:$AJ$505,"&gt;"&amp;$A217,実績!$AK$6:$AK$505,"○")&gt;0,1,0))</f>
        <v>0</v>
      </c>
      <c r="I217" s="39" t="n">
        <f aca="false">IF(I$4=0,0,IF(COUNTIFS(実績!$W$6:$W$505,I$3,実績!$AI$6:$AI$505,"&lt;="&amp;$A217,実績!$AJ$6:$AJ$505,"&gt;"&amp;$A217,実績!$AK$6:$AK$505,"○")&gt;0,1,0))</f>
        <v>0</v>
      </c>
      <c r="J217" s="39" t="n">
        <f aca="false">IF(J$4=0,0,IF(COUNTIFS(実績!$W$6:$W$505,J$3,実績!$AI$6:$AI$505,"&lt;="&amp;$A217,実績!$AJ$6:$AJ$505,"&gt;"&amp;$A217,実績!$AK$6:$AK$505,"○")&gt;0,1,0))</f>
        <v>0</v>
      </c>
      <c r="K217" s="39" t="n">
        <f aca="false">IF(K$4=0,0,IF(COUNTIFS(実績!$W$6:$W$505,K$3,実績!$AI$6:$AI$505,"&lt;="&amp;$A217,実績!$AJ$6:$AJ$505,"&gt;"&amp;$A217,実績!$AK$6:$AK$505,"○")&gt;0,1,0))</f>
        <v>0</v>
      </c>
      <c r="L217" s="39" t="n">
        <f aca="false">IF(L$4=0,0,IF(COUNTIFS(実績!$W$6:$W$505,L$3,実績!$AI$6:$AI$505,"&lt;="&amp;$A217,実績!$AJ$6:$AJ$505,"&gt;"&amp;$A217,実績!$AK$6:$AK$505,"○")&gt;0,1,0))</f>
        <v>0</v>
      </c>
      <c r="M217" s="39" t="n">
        <f aca="false">IF(M$4=0,0,IF(COUNTIFS(実績!$W$6:$W$505,M$3,実績!$AI$6:$AI$505,"&lt;="&amp;$A217,実績!$AJ$6:$AJ$505,"&gt;"&amp;$A217,実績!$AK$6:$AK$505,"○")&gt;0,1,0))</f>
        <v>0</v>
      </c>
      <c r="N217" s="39" t="n">
        <f aca="false">IF(N$4=0,0,IF(COUNTIFS(実績!$W$6:$W$505,N$3,実績!$AI$6:$AI$505,"&lt;="&amp;$A217,実績!$AJ$6:$AJ$505,"&gt;"&amp;$A217,実績!$AK$6:$AK$505,"○")&gt;0,1,0))</f>
        <v>0</v>
      </c>
      <c r="O217" s="39" t="n">
        <f aca="false">IF(O$4=0,0,IF(COUNTIFS(実績!$W$6:$W$505,O$3,実績!$AI$6:$AI$505,"&lt;="&amp;$A217,実績!$AJ$6:$AJ$505,"&gt;"&amp;$A217,実績!$AK$6:$AK$505,"○")&gt;0,1,0))</f>
        <v>0</v>
      </c>
      <c r="P217" s="39" t="n">
        <f aca="false">IF(P$4=0,0,IF(COUNTIFS(実績!$W$6:$W$505,P$3,実績!$AI$6:$AI$505,"&lt;="&amp;$A217,実績!$AJ$6:$AJ$505,"&gt;"&amp;$A217,実績!$AK$6:$AK$505,"○")&gt;0,1,0))</f>
        <v>0</v>
      </c>
      <c r="Q217" s="39" t="n">
        <f aca="false">IF(Q$4=0,0,IF(COUNTIFS(実績!$W$6:$W$505,Q$3,実績!$AI$6:$AI$505,"&lt;="&amp;$A217,実績!$AJ$6:$AJ$505,"&gt;"&amp;$A217,実績!$AK$6:$AK$505,"○")&gt;0,1,0))</f>
        <v>0</v>
      </c>
      <c r="R217" s="39" t="n">
        <f aca="false">IF(R$4=0,0,IF(COUNTIFS(実績!$W$6:$W$505,R$3,実績!$AI$6:$AI$505,"&lt;="&amp;$A217,実績!$AJ$6:$AJ$505,"&gt;"&amp;$A217,実績!$AK$6:$AK$505,"○")&gt;0,1,0))</f>
        <v>0</v>
      </c>
      <c r="S217" s="39" t="n">
        <f aca="false">IF(S$4=0,0,IF(COUNTIFS(実績!$W$6:$W$505,S$3,実績!$AI$6:$AI$505,"&lt;="&amp;$A217,実績!$AJ$6:$AJ$505,"&gt;"&amp;$A217,実績!$AK$6:$AK$505,"○")&gt;0,1,0))</f>
        <v>0</v>
      </c>
      <c r="T217" s="39" t="n">
        <f aca="false">IF(T$4=0,0,IF(COUNTIFS(実績!$W$6:$W$505,T$3,実績!$AI$6:$AI$505,"&lt;="&amp;$A217,実績!$AJ$6:$AJ$505,"&gt;"&amp;$A217,実績!$AK$6:$AK$505,"○")&gt;0,1,0))</f>
        <v>0</v>
      </c>
      <c r="U217" s="39" t="n">
        <f aca="false">IF(U$4=0,0,IF(COUNTIFS(実績!$W$6:$W$505,U$3,実績!$AI$6:$AI$505,"&lt;="&amp;$A217,実績!$AJ$6:$AJ$505,"&gt;"&amp;$A217,実績!$AK$6:$AK$505,"○")&gt;0,1,0))</f>
        <v>0</v>
      </c>
      <c r="V217" s="39" t="n">
        <f aca="false">IF(V$4=0,0,IF(COUNTIFS(実績!$W$6:$W$505,V$3,実績!$AI$6:$AI$505,"&lt;="&amp;$A217,実績!$AJ$6:$AJ$505,"&gt;"&amp;$A217,実績!$AK$6:$AK$505,"○")&gt;0,1,0))</f>
        <v>0</v>
      </c>
      <c r="W217" s="39" t="n">
        <f aca="false">IF(W$4=0,0,IF(COUNTIFS(実績!$W$6:$W$505,W$3,実績!$AI$6:$AI$505,"&lt;="&amp;$A217,実績!$AJ$6:$AJ$505,"&gt;"&amp;$A217,実績!$AK$6:$AK$505,"○")&gt;0,1,0))</f>
        <v>0</v>
      </c>
      <c r="X217" s="39" t="n">
        <f aca="false">IF(X$4=0,0,IF(COUNTIFS(実績!$W$6:$W$505,X$3,実績!$AI$6:$AI$505,"&lt;="&amp;$A217,実績!$AJ$6:$AJ$505,"&gt;"&amp;$A217,実績!$AK$6:$AK$505,"○")&gt;0,1,0))</f>
        <v>0</v>
      </c>
      <c r="Y217" s="39" t="n">
        <f aca="false">IF(Y$4=0,0,IF(COUNTIFS(実績!$W$6:$W$505,Y$3,実績!$AI$6:$AI$505,"&lt;="&amp;$A217,実績!$AJ$6:$AJ$505,"&gt;"&amp;$A217,実績!$AK$6:$AK$505,"○")&gt;0,1,0))</f>
        <v>0</v>
      </c>
      <c r="Z217" s="39" t="n">
        <f aca="false">IF(Z$4=0,0,IF(COUNTIFS(実績!$W$6:$W$505,Z$3,実績!$AI$6:$AI$505,"&lt;="&amp;$A217,実績!$AJ$6:$AJ$505,"&gt;"&amp;$A217,実績!$AK$6:$AK$505,"○")&gt;0,1,0))</f>
        <v>0</v>
      </c>
      <c r="AA217" s="39" t="n">
        <f aca="false">IF(AA$4=0,0,IF(COUNTIFS(実績!$W$6:$W$505,AA$3,実績!$AI$6:$AI$505,"&lt;="&amp;$A217,実績!$AJ$6:$AJ$505,"&gt;"&amp;$A217,実績!$AK$6:$AK$505,"○")&gt;0,1,0))</f>
        <v>0</v>
      </c>
      <c r="AB217" s="39" t="n">
        <f aca="false">IF(AB$4=0,0,IF(COUNTIFS(実績!$W$6:$W$505,AB$3,実績!$AI$6:$AI$505,"&lt;="&amp;$A217,実績!$AJ$6:$AJ$505,"&gt;"&amp;$A217,実績!$AK$6:$AK$505,"○")&gt;0,1,0))</f>
        <v>0</v>
      </c>
      <c r="AC217" s="39" t="n">
        <f aca="false">IF(AC$4=0,0,IF(COUNTIFS(実績!$W$6:$W$505,AC$3,実績!$AI$6:$AI$505,"&lt;="&amp;$A217,実績!$AJ$6:$AJ$505,"&gt;"&amp;$A217,実績!$AK$6:$AK$505,"○")&gt;0,1,0))</f>
        <v>0</v>
      </c>
      <c r="AD217" s="39" t="n">
        <f aca="false">IF(AD$4=0,0,IF(COUNTIFS(実績!$W$6:$W$505,AD$3,実績!$AI$6:$AI$505,"&lt;="&amp;$A217,実績!$AJ$6:$AJ$505,"&gt;"&amp;$A217,実績!$AK$6:$AK$505,"○")&gt;0,1,0))</f>
        <v>0</v>
      </c>
      <c r="AE217" s="39" t="n">
        <f aca="false">IF(AE$4=0,0,IF(COUNTIFS(実績!$W$6:$W$505,AE$3,実績!$AI$6:$AI$505,"&lt;="&amp;$A217,実績!$AJ$6:$AJ$505,"&gt;"&amp;$A217,実績!$AK$6:$AK$505,"○")&gt;0,1,0))</f>
        <v>0</v>
      </c>
      <c r="AF217" s="39" t="n">
        <f aca="false">IF(AF$4=0,0,IF(COUNTIFS(実績!$W$6:$W$505,AF$3,実績!$AI$6:$AI$505,"&lt;="&amp;$A217,実績!$AJ$6:$AJ$505,"&gt;"&amp;$A217,実績!$AK$6:$AK$505,"○")&gt;0,1,0))</f>
        <v>0</v>
      </c>
      <c r="AG217" s="39" t="n">
        <f aca="false">IF(AG$4=0,0,IF(COUNTIFS(実績!$W$6:$W$505,AG$3,実績!$AI$6:$AI$505,"&lt;="&amp;$A217,実績!$AJ$6:$AJ$505,"&gt;"&amp;$A217,実績!$AK$6:$AK$505,"○")&gt;0,1,0))</f>
        <v>0</v>
      </c>
      <c r="AH217" s="39" t="n">
        <f aca="false">IF(AH$4=0,0,IF(COUNTIFS(実績!$W$6:$W$505,AH$3,実績!$AI$6:$AI$505,"&lt;="&amp;$A217,実績!$AJ$6:$AJ$505,"&gt;"&amp;$A217,実績!$AK$6:$AK$505,"○")&gt;0,1,0))</f>
        <v>0</v>
      </c>
      <c r="AI217" s="39" t="n">
        <f aca="false">IF(AI$4=0,0,IF(COUNTIFS(実績!$W$6:$W$505,AI$3,実績!$AI$6:$AI$505,"&lt;="&amp;$A217,実績!$AJ$6:$AJ$505,"&gt;"&amp;$A217,実績!$AK$6:$AK$505,"○")&gt;0,1,0))</f>
        <v>0</v>
      </c>
      <c r="AJ217" s="39" t="n">
        <f aca="false">IF(AJ$4=0,0,IF(COUNTIFS(実績!$W$6:$W$505,AJ$3,実績!$AI$6:$AI$505,"&lt;="&amp;$A217,実績!$AJ$6:$AJ$505,"&gt;"&amp;$A217,実績!$AK$6:$AK$505,"○")&gt;0,1,0))</f>
        <v>0</v>
      </c>
      <c r="AK217" s="39" t="n">
        <f aca="false">IF(AK$4=0,0,IF(COUNTIFS(実績!$W$6:$W$505,AK$3,実績!$AI$6:$AI$505,"&lt;="&amp;$A217,実績!$AJ$6:$AJ$505,"&gt;"&amp;$A217,実績!$AK$6:$AK$505,"○")&gt;0,1,0))</f>
        <v>0</v>
      </c>
      <c r="AL217" s="39" t="n">
        <f aca="false">IF(AL$4=0,0,IF(COUNTIFS(実績!$W$6:$W$505,AL$3,実績!$AI$6:$AI$505,"&lt;="&amp;$A217,実績!$AJ$6:$AJ$505,"&gt;"&amp;$A217,実績!$AK$6:$AK$505,"○")&gt;0,1,0))</f>
        <v>0</v>
      </c>
      <c r="AM217" s="39" t="n">
        <f aca="false">IF(AM$4=0,0,IF(COUNTIFS(実績!$W$6:$W$505,AM$3,実績!$AI$6:$AI$505,"&lt;="&amp;$A217,実績!$AJ$6:$AJ$505,"&gt;"&amp;$A217,実績!$AK$6:$AK$505,"○")&gt;0,1,0))</f>
        <v>0</v>
      </c>
      <c r="AN217" s="39" t="n">
        <f aca="false">IF(AN$4=0,0,IF(COUNTIFS(実績!$W$6:$W$505,AN$3,実績!$AI$6:$AI$505,"&lt;="&amp;$A217,実績!$AJ$6:$AJ$505,"&gt;"&amp;$A217,実績!$AK$6:$AK$505,"○")&gt;0,1,0))</f>
        <v>0</v>
      </c>
      <c r="AO217" s="39" t="n">
        <f aca="false">IF(AO$4=0,0,IF(COUNTIFS(実績!$W$6:$W$505,AO$3,実績!$AI$6:$AI$505,"&lt;="&amp;$A217,実績!$AJ$6:$AJ$505,"&gt;"&amp;$A217,実績!$AK$6:$AK$505,"○")&gt;0,1,0))</f>
        <v>0</v>
      </c>
      <c r="AP217" s="39" t="n">
        <f aca="false">IF(AP$4=0,0,IF(COUNTIFS(実績!$W$6:$W$505,AP$3,実績!$AI$6:$AI$505,"&lt;="&amp;$A217,実績!$AJ$6:$AJ$505,"&gt;"&amp;$A217,実績!$AK$6:$AK$505,"○")&gt;0,1,0))</f>
        <v>0</v>
      </c>
      <c r="AQ217" s="39" t="n">
        <f aca="false">IF(AQ$4=0,0,IF(COUNTIFS(実績!$W$6:$W$505,AQ$3,実績!$AI$6:$AI$505,"&lt;="&amp;$A217,実績!$AJ$6:$AJ$505,"&gt;"&amp;$A217,実績!$AK$6:$AK$505,"○")&gt;0,1,0))</f>
        <v>0</v>
      </c>
      <c r="AR217" s="39" t="n">
        <f aca="false">IF(AR$4=0,0,IF(COUNTIFS(実績!$W$6:$W$505,AR$3,実績!$AI$6:$AI$505,"&lt;="&amp;$A217,実績!$AJ$6:$AJ$505,"&gt;"&amp;$A217,実績!$AK$6:$AK$505,"○")&gt;0,1,0))</f>
        <v>0</v>
      </c>
      <c r="AS217" s="39" t="n">
        <f aca="false">IF(AS$4=0,0,IF(COUNTIFS(実績!$W$6:$W$505,AS$3,実績!$AI$6:$AI$505,"&lt;="&amp;$A217,実績!$AJ$6:$AJ$505,"&gt;"&amp;$A217,実績!$AK$6:$AK$505,"○")&gt;0,1,0))</f>
        <v>0</v>
      </c>
      <c r="AT217" s="39" t="n">
        <f aca="false">IF(AT$4=0,0,IF(COUNTIFS(実績!$W$6:$W$505,AT$3,実績!$AI$6:$AI$505,"&lt;="&amp;$A217,実績!$AJ$6:$AJ$505,"&gt;"&amp;$A217,実績!$AK$6:$AK$505,"○")&gt;0,1,0))</f>
        <v>0</v>
      </c>
      <c r="AU217" s="39" t="n">
        <f aca="false">IF(AU$4=0,0,IF(COUNTIFS(実績!$W$6:$W$505,AU$3,実績!$AI$6:$AI$505,"&lt;="&amp;$A217,実績!$AJ$6:$AJ$505,"&gt;"&amp;$A217,実績!$AK$6:$AK$505,"○")&gt;0,1,0))</f>
        <v>0</v>
      </c>
      <c r="AV217" s="39" t="n">
        <f aca="false">IF(AV$4=0,0,IF(COUNTIFS(実績!$W$6:$W$505,AV$3,実績!$AI$6:$AI$505,"&lt;="&amp;$A217,実績!$AJ$6:$AJ$505,"&gt;"&amp;$A217,実績!$AK$6:$AK$505,"○")&gt;0,1,0))</f>
        <v>0</v>
      </c>
      <c r="AW217" s="39" t="n">
        <f aca="false">IF(AW$4=0,0,IF(COUNTIFS(実績!$W$6:$W$505,AW$3,実績!$AI$6:$AI$505,"&lt;="&amp;$A217,実績!$AJ$6:$AJ$505,"&gt;"&amp;$A217,実績!$AK$6:$AK$505,"○")&gt;0,1,0))</f>
        <v>0</v>
      </c>
      <c r="AX217" s="39" t="n">
        <f aca="false">IF(AX$4=0,0,IF(COUNTIFS(実績!$W$6:$W$505,AX$3,実績!$AI$6:$AI$505,"&lt;="&amp;$A217,実績!$AJ$6:$AJ$505,"&gt;"&amp;$A217,実績!$AK$6:$AK$505,"○")&gt;0,1,0))</f>
        <v>0</v>
      </c>
      <c r="AY217" s="39" t="n">
        <f aca="false">IF(AY$4=0,0,IF(COUNTIFS(実績!$W$6:$W$505,AY$3,実績!$AI$6:$AI$505,"&lt;="&amp;$A217,実績!$AJ$6:$AJ$505,"&gt;"&amp;$A217,実績!$AK$6:$AK$505,"○")&gt;0,1,0))</f>
        <v>0</v>
      </c>
      <c r="AZ217" s="39" t="n">
        <f aca="false">IF(AZ$4=0,0,IF(COUNTIFS(実績!$W$6:$W$505,AZ$3,実績!$AI$6:$AI$505,"&lt;="&amp;$A217,実績!$AJ$6:$AJ$505,"&gt;"&amp;$A217,実績!$AK$6:$AK$505,"○")&gt;0,1,0))</f>
        <v>0</v>
      </c>
      <c r="BA217" s="39" t="n">
        <f aca="false">IF(BA$4=0,0,IF(COUNTIFS(実績!$W$6:$W$505,BA$3,実績!$AI$6:$AI$505,"&lt;="&amp;$A217,実績!$AJ$6:$AJ$505,"&gt;"&amp;$A217,実績!$AK$6:$AK$505,"○")&gt;0,1,0))</f>
        <v>0</v>
      </c>
      <c r="BB217" s="39" t="n">
        <f aca="false">IF(BB$4=0,0,IF(COUNTIFS(実績!$W$6:$W$505,BB$3,実績!$AI$6:$AI$505,"&lt;="&amp;$A217,実績!$AJ$6:$AJ$505,"&gt;"&amp;$A217,実績!$AK$6:$AK$505,"○")&gt;0,1,0))</f>
        <v>0</v>
      </c>
      <c r="BC217" s="39" t="n">
        <f aca="false">IF(BC$4=0,0,IF(COUNTIFS(実績!$W$6:$W$505,BC$3,実績!$AI$6:$AI$505,"&lt;="&amp;$A217,実績!$AJ$6:$AJ$505,"&gt;"&amp;$A217,実績!$AK$6:$AK$505,"○")&gt;0,1,0))</f>
        <v>0</v>
      </c>
      <c r="BD217" s="39" t="n">
        <f aca="false">IF(BD$4=0,0,IF(COUNTIFS(実績!$W$6:$W$505,BD$3,実績!$AI$6:$AI$505,"&lt;="&amp;$A217,実績!$AJ$6:$AJ$505,"&gt;"&amp;$A217,実績!$AK$6:$AK$505,"○")&gt;0,1,0))</f>
        <v>0</v>
      </c>
      <c r="BE217" s="39" t="n">
        <f aca="false">IF(BE$4=0,0,IF(COUNTIFS(実績!$W$6:$W$505,BE$3,実績!$AI$6:$AI$505,"&lt;="&amp;$A217,実績!$AJ$6:$AJ$505,"&gt;"&amp;$A217,実績!$AK$6:$AK$505,"○")&gt;0,1,0))</f>
        <v>0</v>
      </c>
      <c r="BF217" s="39" t="n">
        <f aca="false">IF(BF$4=0,0,IF(COUNTIFS(実績!$W$6:$W$505,BF$3,実績!$AI$6:$AI$505,"&lt;="&amp;$A217,実績!$AJ$6:$AJ$505,"&gt;"&amp;$A217,実績!$AK$6:$AK$505,"○")&gt;0,1,0))</f>
        <v>0</v>
      </c>
      <c r="BG217" s="39" t="n">
        <f aca="false">IF(BG$4=0,0,IF(COUNTIFS(実績!$W$6:$W$505,BG$3,実績!$AI$6:$AI$505,"&lt;="&amp;$A217,実績!$AJ$6:$AJ$505,"&gt;"&amp;$A217,実績!$AK$6:$AK$505,"○")&gt;0,1,0))</f>
        <v>0</v>
      </c>
      <c r="BH217" s="39" t="n">
        <f aca="false">IF(BH$4=0,0,IF(COUNTIFS(実績!$W$6:$W$505,BH$3,実績!$AI$6:$AI$505,"&lt;="&amp;$A217,実績!$AJ$6:$AJ$505,"&gt;"&amp;$A217,実績!$AK$6:$AK$505,"○")&gt;0,1,0))</f>
        <v>0</v>
      </c>
      <c r="BI217" s="39" t="n">
        <f aca="false">IF(BI$4=0,0,IF(COUNTIFS(実績!$W$6:$W$505,BI$3,実績!$AI$6:$AI$505,"&lt;="&amp;$A217,実績!$AJ$6:$AJ$505,"&gt;"&amp;$A217,実績!$AK$6:$AK$505,"○")&gt;0,1,0))</f>
        <v>0</v>
      </c>
      <c r="BJ217" s="39" t="n">
        <f aca="false">IF(BJ$4=0,0,IF(COUNTIFS(実績!$W$6:$W$505,BJ$3,実績!$AI$6:$AI$505,"&lt;="&amp;$A217,実績!$AJ$6:$AJ$505,"&gt;"&amp;$A217,実績!$AK$6:$AK$505,"○")&gt;0,1,0))</f>
        <v>0</v>
      </c>
      <c r="BK217" s="39" t="n">
        <f aca="false">IF(BK$4=0,0,IF(COUNTIFS(実績!$W$6:$W$505,BK$3,実績!$AI$6:$AI$505,"&lt;="&amp;$A217,実績!$AJ$6:$AJ$505,"&gt;"&amp;$A217,実績!$AK$6:$AK$505,"○")&gt;0,1,0))</f>
        <v>0</v>
      </c>
      <c r="BL217" s="39" t="n">
        <f aca="false">IF(BL$4=0,0,IF(COUNTIFS(実績!$W$6:$W$505,BL$3,実績!$AI$6:$AI$505,"&lt;="&amp;$A217,実績!$AJ$6:$AJ$505,"&gt;"&amp;$A217,実績!$AK$6:$AK$505,"○")&gt;0,1,0))</f>
        <v>0</v>
      </c>
      <c r="BM217" s="39" t="n">
        <f aca="false">IF(BM$4=0,0,IF(COUNTIFS(実績!$W$6:$W$505,BM$3,実績!$AI$6:$AI$505,"&lt;="&amp;$A217,実績!$AJ$6:$AJ$505,"&gt;"&amp;$A217,実績!$AK$6:$AK$505,"○")&gt;0,1,0))</f>
        <v>0</v>
      </c>
      <c r="BN217" s="39" t="n">
        <f aca="false">IF(BN$4=0,0,IF(COUNTIFS(実績!$W$6:$W$505,BN$3,実績!$AI$6:$AI$505,"&lt;="&amp;$A217,実績!$AJ$6:$AJ$505,"&gt;"&amp;$A217,実績!$AK$6:$AK$505,"○")&gt;0,1,0))</f>
        <v>0</v>
      </c>
      <c r="BO217" s="39" t="n">
        <f aca="false">IF(BO$4=0,0,IF(COUNTIFS(実績!$W$6:$W$505,BO$3,実績!$AI$6:$AI$505,"&lt;="&amp;$A217,実績!$AJ$6:$AJ$505,"&gt;"&amp;$A217,実績!$AK$6:$AK$505,"○")&gt;0,1,0))</f>
        <v>0</v>
      </c>
      <c r="BP217" s="39" t="n">
        <f aca="false">IF(BP$4=0,0,IF(COUNTIFS(実績!$W$6:$W$505,BP$3,実績!$AI$6:$AI$505,"&lt;="&amp;$A217,実績!$AJ$6:$AJ$505,"&gt;"&amp;$A217,実績!$AK$6:$AK$505,"○")&gt;0,1,0))</f>
        <v>0</v>
      </c>
      <c r="BQ217" s="39" t="n">
        <f aca="false">IF(BQ$4=0,0,IF(COUNTIFS(実績!$W$6:$W$505,BQ$3,実績!$AI$6:$AI$505,"&lt;="&amp;$A217,実績!$AJ$6:$AJ$505,"&gt;"&amp;$A217,実績!$AK$6:$AK$505,"○")&gt;0,1,0))</f>
        <v>0</v>
      </c>
      <c r="BR217" s="39" t="n">
        <f aca="false">IF(BR$4=0,0,IF(COUNTIFS(実績!$W$6:$W$505,BR$3,実績!$AI$6:$AI$505,"&lt;="&amp;$A217,実績!$AJ$6:$AJ$505,"&gt;"&amp;$A217,実績!$AK$6:$AK$505,"○")&gt;0,1,0))</f>
        <v>0</v>
      </c>
      <c r="BS217" s="39" t="n">
        <f aca="false">IF(BS$4=0,0,IF(COUNTIFS(実績!$W$6:$W$505,BS$3,実績!$AI$6:$AI$505,"&lt;="&amp;$A217,実績!$AJ$6:$AJ$505,"&gt;"&amp;$A217,実績!$AK$6:$AK$505,"○")&gt;0,1,0))</f>
        <v>0</v>
      </c>
      <c r="BT217" s="39" t="n">
        <f aca="false">IF(BT$4=0,0,IF(COUNTIFS(実績!$W$6:$W$505,BT$3,実績!$AI$6:$AI$505,"&lt;="&amp;$A217,実績!$AJ$6:$AJ$505,"&gt;"&amp;$A217,実績!$AK$6:$AK$505,"○")&gt;0,1,0))</f>
        <v>0</v>
      </c>
      <c r="BU217" s="39" t="n">
        <f aca="false">IF(BU$4=0,0,IF(COUNTIFS(実績!$W$6:$W$505,BU$3,実績!$AI$6:$AI$505,"&lt;="&amp;$A217,実績!$AJ$6:$AJ$505,"&gt;"&amp;$A217,実績!$AK$6:$AK$505,"○")&gt;0,1,0))</f>
        <v>0</v>
      </c>
      <c r="BV217" s="39" t="n">
        <f aca="false">IF(BV$4=0,0,IF(COUNTIFS(実績!$W$6:$W$505,BV$3,実績!$AI$6:$AI$505,"&lt;="&amp;$A217,実績!$AJ$6:$AJ$505,"&gt;"&amp;$A217,実績!$AK$6:$AK$505,"○")&gt;0,1,0))</f>
        <v>0</v>
      </c>
      <c r="BW217" s="39" t="n">
        <f aca="false">IF(BW$4=0,0,IF(COUNTIFS(実績!$W$6:$W$505,BW$3,実績!$AI$6:$AI$505,"&lt;="&amp;$A217,実績!$AJ$6:$AJ$505,"&gt;"&amp;$A217,実績!$AK$6:$AK$505,"○")&gt;0,1,0))</f>
        <v>0</v>
      </c>
      <c r="BX217" s="39" t="n">
        <f aca="false">IF(BX$4=0,0,IF(COUNTIFS(実績!$W$6:$W$505,BX$3,実績!$AI$6:$AI$505,"&lt;="&amp;$A217,実績!$AJ$6:$AJ$505,"&gt;"&amp;$A217,実績!$AK$6:$AK$505,"○")&gt;0,1,0))</f>
        <v>0</v>
      </c>
      <c r="BY217" s="39" t="n">
        <f aca="false">IF(BY$4=0,0,IF(COUNTIFS(実績!$W$6:$W$505,BY$3,実績!$AI$6:$AI$505,"&lt;="&amp;$A217,実績!$AJ$6:$AJ$505,"&gt;"&amp;$A217,実績!$AK$6:$AK$505,"○")&gt;0,1,0))</f>
        <v>0</v>
      </c>
      <c r="BZ217" s="39" t="n">
        <f aca="false">IF(BZ$4=0,0,IF(COUNTIFS(実績!$W$6:$W$505,BZ$3,実績!$AI$6:$AI$505,"&lt;="&amp;$A217,実績!$AJ$6:$AJ$505,"&gt;"&amp;$A217,実績!$AK$6:$AK$505,"○")&gt;0,1,0))</f>
        <v>0</v>
      </c>
      <c r="CA217" s="39" t="n">
        <f aca="false">IF(CA$4=0,0,IF(COUNTIFS(実績!$W$6:$W$505,CA$3,実績!$AI$6:$AI$505,"&lt;="&amp;$A217,実績!$AJ$6:$AJ$505,"&gt;"&amp;$A217,実績!$AK$6:$AK$505,"○")&gt;0,1,0))</f>
        <v>0</v>
      </c>
      <c r="CB217" s="39" t="n">
        <f aca="false">IF(CB$4=0,0,IF(COUNTIFS(実績!$W$6:$W$505,CB$3,実績!$AI$6:$AI$505,"&lt;="&amp;$A217,実績!$AJ$6:$AJ$505,"&gt;"&amp;$A217,実績!$AK$6:$AK$505,"○")&gt;0,1,0))</f>
        <v>0</v>
      </c>
      <c r="CC217" s="39" t="n">
        <f aca="false">IF(CC$4=0,0,IF(COUNTIFS(実績!$W$6:$W$505,CC$3,実績!$AI$6:$AI$505,"&lt;="&amp;$A217,実績!$AJ$6:$AJ$505,"&gt;"&amp;$A217,実績!$AK$6:$AK$505,"○")&gt;0,1,0))</f>
        <v>0</v>
      </c>
      <c r="CD217" s="39" t="n">
        <f aca="false">IF(CD$4=0,0,IF(COUNTIFS(実績!$W$6:$W$505,CD$3,実績!$AI$6:$AI$505,"&lt;="&amp;$A217,実績!$AJ$6:$AJ$505,"&gt;"&amp;$A217,実績!$AK$6:$AK$505,"○")&gt;0,1,0))</f>
        <v>0</v>
      </c>
      <c r="CE217" s="39" t="n">
        <f aca="false">IF(CE$4=0,0,IF(COUNTIFS(実績!$W$6:$W$505,CE$3,実績!$AI$6:$AI$505,"&lt;="&amp;$A217,実績!$AJ$6:$AJ$505,"&gt;"&amp;$A217,実績!$AK$6:$AK$505,"○")&gt;0,1,0))</f>
        <v>0</v>
      </c>
      <c r="CF217" s="39" t="n">
        <f aca="false">IF(CF$4=0,0,IF(COUNTIFS(実績!$W$6:$W$505,CF$3,実績!$AI$6:$AI$505,"&lt;="&amp;$A217,実績!$AJ$6:$AJ$505,"&gt;"&amp;$A217,実績!$AK$6:$AK$505,"○")&gt;0,1,0))</f>
        <v>0</v>
      </c>
      <c r="CG217" s="39" t="n">
        <f aca="false">IF(CG$4=0,0,IF(COUNTIFS(実績!$W$6:$W$505,CG$3,実績!$AI$6:$AI$505,"&lt;="&amp;$A217,実績!$AJ$6:$AJ$505,"&gt;"&amp;$A217,実績!$AK$6:$AK$505,"○")&gt;0,1,0))</f>
        <v>0</v>
      </c>
      <c r="CH217" s="39" t="n">
        <f aca="false">IF(CH$4=0,0,IF(COUNTIFS(実績!$W$6:$W$505,CH$3,実績!$AI$6:$AI$505,"&lt;="&amp;$A217,実績!$AJ$6:$AJ$505,"&gt;"&amp;$A217,実績!$AK$6:$AK$505,"○")&gt;0,1,0))</f>
        <v>0</v>
      </c>
      <c r="CI217" s="39" t="n">
        <f aca="false">IF(CI$4=0,0,IF(COUNTIFS(実績!$W$6:$W$505,CI$3,実績!$AI$6:$AI$505,"&lt;="&amp;$A217,実績!$AJ$6:$AJ$505,"&gt;"&amp;$A217,実績!$AK$6:$AK$505,"○")&gt;0,1,0))</f>
        <v>0</v>
      </c>
      <c r="CJ217" s="39" t="n">
        <f aca="false">IF(CJ$4=0,0,IF(COUNTIFS(実績!$W$6:$W$505,CJ$3,実績!$AI$6:$AI$505,"&lt;="&amp;$A217,実績!$AJ$6:$AJ$505,"&gt;"&amp;$A217,実績!$AK$6:$AK$505,"○")&gt;0,1,0))</f>
        <v>0</v>
      </c>
      <c r="CK217" s="39" t="n">
        <f aca="false">IF(CK$4=0,0,IF(COUNTIFS(実績!$W$6:$W$505,CK$3,実績!$AI$6:$AI$505,"&lt;="&amp;$A217,実績!$AJ$6:$AJ$505,"&gt;"&amp;$A217,実績!$AK$6:$AK$505,"○")&gt;0,1,0))</f>
        <v>0</v>
      </c>
      <c r="CL217" s="39" t="n">
        <f aca="false">IF(CL$4=0,0,IF(COUNTIFS(実績!$W$6:$W$505,CL$3,実績!$AI$6:$AI$505,"&lt;="&amp;$A217,実績!$AJ$6:$AJ$505,"&gt;"&amp;$A217,実績!$AK$6:$AK$505,"○")&gt;0,1,0))</f>
        <v>0</v>
      </c>
      <c r="CM217" s="39" t="n">
        <f aca="false">IF(CM$4=0,0,IF(COUNTIFS(実績!$W$6:$W$505,CM$3,実績!$AI$6:$AI$505,"&lt;="&amp;$A217,実績!$AJ$6:$AJ$505,"&gt;"&amp;$A217,実績!$AK$6:$AK$505,"○")&gt;0,1,0))</f>
        <v>0</v>
      </c>
      <c r="CN217" s="39" t="n">
        <f aca="false">IF(CN$4=0,0,IF(COUNTIFS(実績!$W$6:$W$505,CN$3,実績!$AI$6:$AI$505,"&lt;="&amp;$A217,実績!$AJ$6:$AJ$505,"&gt;"&amp;$A217,実績!$AK$6:$AK$505,"○")&gt;0,1,0))</f>
        <v>0</v>
      </c>
      <c r="CO217" s="39" t="n">
        <f aca="false">IF(CO$4=0,0,IF(COUNTIFS(実績!$W$6:$W$505,CO$3,実績!$AI$6:$AI$505,"&lt;="&amp;$A217,実績!$AJ$6:$AJ$505,"&gt;"&amp;$A217,実績!$AK$6:$AK$505,"○")&gt;0,1,0))</f>
        <v>0</v>
      </c>
      <c r="CP217" s="39" t="n">
        <f aca="false">IF(CP$4=0,0,IF(COUNTIFS(実績!$W$6:$W$505,CP$3,実績!$AI$6:$AI$505,"&lt;="&amp;$A217,実績!$AJ$6:$AJ$505,"&gt;"&amp;$A217,実績!$AK$6:$AK$505,"○")&gt;0,1,0))</f>
        <v>0</v>
      </c>
      <c r="CQ217" s="39" t="n">
        <f aca="false">IF(CQ$4=0,0,IF(COUNTIFS(実績!$W$6:$W$505,CQ$3,実績!$AI$6:$AI$505,"&lt;="&amp;$A217,実績!$AJ$6:$AJ$505,"&gt;"&amp;$A217,実績!$AK$6:$AK$505,"○")&gt;0,1,0))</f>
        <v>0</v>
      </c>
      <c r="CR217" s="39" t="n">
        <f aca="false">IF(CR$4=0,0,IF(COUNTIFS(実績!$W$6:$W$505,CR$3,実績!$AI$6:$AI$505,"&lt;="&amp;$A217,実績!$AJ$6:$AJ$505,"&gt;"&amp;$A217,実績!$AK$6:$AK$505,"○")&gt;0,1,0))</f>
        <v>0</v>
      </c>
      <c r="CS217" s="39" t="n">
        <f aca="false">IF(CS$4=0,0,IF(COUNTIFS(実績!$W$6:$W$505,CS$3,実績!$AI$6:$AI$505,"&lt;="&amp;$A217,実績!$AJ$6:$AJ$505,"&gt;"&amp;$A217,実績!$AK$6:$AK$505,"○")&gt;0,1,0))</f>
        <v>0</v>
      </c>
      <c r="CT217" s="39" t="n">
        <f aca="false">IF(CT$4=0,0,IF(COUNTIFS(実績!$W$6:$W$505,CT$3,実績!$AI$6:$AI$505,"&lt;="&amp;$A217,実績!$AJ$6:$AJ$505,"&gt;"&amp;$A217,実績!$AK$6:$AK$505,"○")&gt;0,1,0))</f>
        <v>0</v>
      </c>
      <c r="CU217" s="39" t="n">
        <f aca="false">IF(CU$4=0,0,IF(COUNTIFS(実績!$W$6:$W$505,CU$3,実績!$AI$6:$AI$505,"&lt;="&amp;$A217,実績!$AJ$6:$AJ$505,"&gt;"&amp;$A217,実績!$AK$6:$AK$505,"○")&gt;0,1,0))</f>
        <v>0</v>
      </c>
      <c r="CV217" s="39" t="n">
        <f aca="false">IF(CV$4=0,0,IF(COUNTIFS(実績!$W$6:$W$505,CV$3,実績!$AI$6:$AI$505,"&lt;="&amp;$A217,実績!$AJ$6:$AJ$505,"&gt;"&amp;$A217,実績!$AK$6:$AK$505,"○")&gt;0,1,0))</f>
        <v>0</v>
      </c>
      <c r="CW217" s="39" t="n">
        <f aca="false">IF(CW$4=0,0,IF(COUNTIFS(実績!$W$6:$W$505,CW$3,実績!$AI$6:$AI$505,"&lt;="&amp;$A217,実績!$AJ$6:$AJ$505,"&gt;"&amp;$A217,実績!$AK$6:$AK$505,"○")&gt;0,1,0))</f>
        <v>0</v>
      </c>
      <c r="CX217" s="39" t="n">
        <f aca="false">IF(CX$4=0,0,IF(COUNTIFS(実績!$W$6:$W$505,CX$3,実績!$AI$6:$AI$505,"&lt;="&amp;$A217,実績!$AJ$6:$AJ$505,"&gt;"&amp;$A217,実績!$AK$6:$AK$505,"○")&gt;0,1,0))</f>
        <v>0</v>
      </c>
      <c r="CY217" s="39" t="n">
        <f aca="false">IF(CY$4=0,0,IF(COUNTIFS(実績!$W$6:$W$505,CY$3,実績!$AI$6:$AI$505,"&lt;="&amp;$A217,実績!$AJ$6:$AJ$505,"&gt;"&amp;$A217,実績!$AK$6:$AK$505,"○")&gt;0,1,0))</f>
        <v>0</v>
      </c>
      <c r="CZ217" s="39" t="n">
        <f aca="false">IF(CZ$4=0,0,IF(COUNTIFS(実績!$W$6:$W$505,CZ$3,実績!$AI$6:$AI$505,"&lt;="&amp;$A217,実績!$AJ$6:$AJ$505,"&gt;"&amp;$A217,実績!$AK$6:$AK$505,"○")&gt;0,1,0))</f>
        <v>0</v>
      </c>
      <c r="DA217" s="39" t="n">
        <f aca="false">IF(DA$4=0,0,IF(COUNTIFS(実績!$W$6:$W$505,DA$3,実績!$AI$6:$AI$505,"&lt;="&amp;$A217,実績!$AJ$6:$AJ$505,"&gt;"&amp;$A217,実績!$AK$6:$AK$505,"○")&gt;0,1,0))</f>
        <v>0</v>
      </c>
      <c r="DB217" s="39" t="n">
        <f aca="false">IF(DB$4=0,0,IF(COUNTIFS(実績!$W$6:$W$505,DB$3,実績!$AI$6:$AI$505,"&lt;="&amp;$A217,実績!$AJ$6:$AJ$505,"&gt;"&amp;$A217,実績!$AK$6:$AK$505,"○")&gt;0,1,0))</f>
        <v>0</v>
      </c>
      <c r="DC217" s="39" t="n">
        <f aca="false">IF(DC$4=0,0,IF(COUNTIFS(実績!$W$6:$W$505,DC$3,実績!$AI$6:$AI$505,"&lt;="&amp;$A217,実績!$AJ$6:$AJ$505,"&gt;"&amp;$A217,実績!$AK$6:$AK$505,"○")&gt;0,1,0))</f>
        <v>0</v>
      </c>
      <c r="DD217" s="39" t="n">
        <f aca="false">IF(DD$4=0,0,IF(COUNTIFS(実績!$W$6:$W$505,DD$3,実績!$AI$6:$AI$505,"&lt;="&amp;$A217,実績!$AJ$6:$AJ$505,"&gt;"&amp;$A217,実績!$AK$6:$AK$505,"○")&gt;0,1,0))</f>
        <v>0</v>
      </c>
      <c r="DE217" s="39" t="n">
        <f aca="false">IF(DE$4=0,0,IF(COUNTIFS(実績!$W$6:$W$505,DE$3,実績!$AI$6:$AI$505,"&lt;="&amp;$A217,実績!$AJ$6:$AJ$505,"&gt;"&amp;$A217,実績!$AK$6:$AK$505,"○")&gt;0,1,0))</f>
        <v>0</v>
      </c>
      <c r="DF217" s="39" t="n">
        <f aca="false">IF(DF$4=0,0,IF(COUNTIFS(実績!$W$6:$W$505,DF$3,実績!$AI$6:$AI$505,"&lt;="&amp;$A217,実績!$AJ$6:$AJ$505,"&gt;"&amp;$A217,実績!$AK$6:$AK$505,"○")&gt;0,1,0))</f>
        <v>0</v>
      </c>
      <c r="DG217" s="39" t="n">
        <f aca="false">IF(DG$4=0,0,IF(COUNTIFS(実績!$W$6:$W$505,DG$3,実績!$AI$6:$AI$505,"&lt;="&amp;$A217,実績!$AJ$6:$AJ$505,"&gt;"&amp;$A217,実績!$AK$6:$AK$505,"○")&gt;0,1,0))</f>
        <v>0</v>
      </c>
      <c r="DH217" s="39" t="n">
        <f aca="false">IF(DH$4=0,0,IF(COUNTIFS(実績!$W$6:$W$505,DH$3,実績!$AI$6:$AI$505,"&lt;="&amp;$A217,実績!$AJ$6:$AJ$505,"&gt;"&amp;$A217,実績!$AK$6:$AK$505,"○")&gt;0,1,0))</f>
        <v>0</v>
      </c>
      <c r="DI217" s="39" t="n">
        <f aca="false">IF(DI$4=0,0,IF(COUNTIFS(実績!$W$6:$W$505,DI$3,実績!$AI$6:$AI$505,"&lt;="&amp;$A217,実績!$AJ$6:$AJ$505,"&gt;"&amp;$A217,実績!$AK$6:$AK$505,"○")&gt;0,1,0))</f>
        <v>0</v>
      </c>
      <c r="DJ217" s="39" t="n">
        <f aca="false">IF(DJ$4=0,0,IF(COUNTIFS(実績!$W$6:$W$505,DJ$3,実績!$AI$6:$AI$505,"&lt;="&amp;$A217,実績!$AJ$6:$AJ$505,"&gt;"&amp;$A217,実績!$AK$6:$AK$505,"○")&gt;0,1,0))</f>
        <v>0</v>
      </c>
      <c r="DK217" s="39" t="n">
        <f aca="false">IF(DK$4=0,0,IF(COUNTIFS(実績!$W$6:$W$505,DK$3,実績!$AI$6:$AI$505,"&lt;="&amp;$A217,実績!$AJ$6:$AJ$505,"&gt;"&amp;$A217,実績!$AK$6:$AK$505,"○")&gt;0,1,0))</f>
        <v>0</v>
      </c>
      <c r="DL217" s="39" t="n">
        <f aca="false">IF(DL$4=0,0,IF(COUNTIFS(実績!$W$6:$W$505,DL$3,実績!$AI$6:$AI$505,"&lt;="&amp;$A217,実績!$AJ$6:$AJ$505,"&gt;"&amp;$A217,実績!$AK$6:$AK$505,"○")&gt;0,1,0))</f>
        <v>0</v>
      </c>
      <c r="DM217" s="39" t="n">
        <f aca="false">IF(DM$4=0,0,IF(COUNTIFS(実績!$W$6:$W$505,DM$3,実績!$AI$6:$AI$505,"&lt;="&amp;$A217,実績!$AJ$6:$AJ$505,"&gt;"&amp;$A217,実績!$AK$6:$AK$505,"○")&gt;0,1,0))</f>
        <v>0</v>
      </c>
      <c r="DN217" s="39" t="n">
        <f aca="false">IF(DN$4=0,0,IF(COUNTIFS(実績!$W$6:$W$505,DN$3,実績!$AI$6:$AI$505,"&lt;="&amp;$A217,実績!$AJ$6:$AJ$505,"&gt;"&amp;$A217,実績!$AK$6:$AK$505,"○")&gt;0,1,0))</f>
        <v>0</v>
      </c>
      <c r="DO217" s="39" t="n">
        <f aca="false">IF(DO$4=0,0,IF(COUNTIFS(実績!$W$6:$W$505,DO$3,実績!$AI$6:$AI$505,"&lt;="&amp;$A217,実績!$AJ$6:$AJ$505,"&gt;"&amp;$A217,実績!$AK$6:$AK$505,"○")&gt;0,1,0))</f>
        <v>0</v>
      </c>
      <c r="DP217" s="39" t="n">
        <f aca="false">IF(DP$4=0,0,IF(COUNTIFS(実績!$W$6:$W$505,DP$3,実績!$AI$6:$AI$505,"&lt;="&amp;$A217,実績!$AJ$6:$AJ$505,"&gt;"&amp;$A217,実績!$AK$6:$AK$505,"○")&gt;0,1,0))</f>
        <v>0</v>
      </c>
      <c r="DQ217" s="39" t="n">
        <f aca="false">IF(DQ$4=0,0,IF(COUNTIFS(実績!$W$6:$W$505,DQ$3,実績!$AI$6:$AI$505,"&lt;="&amp;$A217,実績!$AJ$6:$AJ$505,"&gt;"&amp;$A217,実績!$AK$6:$AK$505,"○")&gt;0,1,0))</f>
        <v>0</v>
      </c>
      <c r="DR217" s="39" t="n">
        <f aca="false">IF(DR$4=0,0,IF(COUNTIFS(実績!$W$6:$W$505,DR$3,実績!$AI$6:$AI$505,"&lt;="&amp;$A217,実績!$AJ$6:$AJ$505,"&gt;"&amp;$A217,実績!$AK$6:$AK$505,"○")&gt;0,1,0))</f>
        <v>0</v>
      </c>
      <c r="DS217" s="39" t="n">
        <f aca="false">SUM(C217:DR217)</f>
        <v>0</v>
      </c>
      <c r="DT217" s="39" t="n">
        <f aca="false">SUMPRODUCT((実績!$C$6:$C$505="○")*ISNUMBER(実績!$AM$6:$AM$505)*(実績!$AM$6:$AM$505&lt;=$A217)*(実績!$AN$6:$AN$505&gt;$A217))</f>
        <v>0</v>
      </c>
      <c r="DU217" s="39" t="n">
        <f aca="false">SUMIF($C$2:$DR$2,"製鉄曳船",C217:DR217)</f>
        <v>0</v>
      </c>
      <c r="DV217" s="39" t="n">
        <f aca="false">SUMIF($C$2:$DR$2,"西日本海運",C217:DR217)</f>
        <v>0</v>
      </c>
    </row>
    <row r="218" customFormat="false" ht="15" hidden="false" customHeight="false" outlineLevel="0" collapsed="false">
      <c r="A218" s="0" t="n">
        <v>1060</v>
      </c>
      <c r="B218" s="38" t="n">
        <f aca="false">A218/1440</f>
        <v>0.736111111111111</v>
      </c>
      <c r="C218" s="39" t="n">
        <f aca="false">IF(C$4=0,0,IF(COUNTIFS(実績!$W$6:$W$505,C$3,実績!$AI$6:$AI$505,"&lt;="&amp;$A218,実績!$AJ$6:$AJ$505,"&gt;"&amp;$A218,実績!$AK$6:$AK$505,"○")&gt;0,1,0))</f>
        <v>0</v>
      </c>
      <c r="D218" s="39" t="n">
        <f aca="false">IF(D$4=0,0,IF(COUNTIFS(実績!$W$6:$W$505,D$3,実績!$AI$6:$AI$505,"&lt;="&amp;$A218,実績!$AJ$6:$AJ$505,"&gt;"&amp;$A218,実績!$AK$6:$AK$505,"○")&gt;0,1,0))</f>
        <v>0</v>
      </c>
      <c r="E218" s="39" t="n">
        <f aca="false">IF(E$4=0,0,IF(COUNTIFS(実績!$W$6:$W$505,E$3,実績!$AI$6:$AI$505,"&lt;="&amp;$A218,実績!$AJ$6:$AJ$505,"&gt;"&amp;$A218,実績!$AK$6:$AK$505,"○")&gt;0,1,0))</f>
        <v>0</v>
      </c>
      <c r="F218" s="39" t="n">
        <f aca="false">IF(F$4=0,0,IF(COUNTIFS(実績!$W$6:$W$505,F$3,実績!$AI$6:$AI$505,"&lt;="&amp;$A218,実績!$AJ$6:$AJ$505,"&gt;"&amp;$A218,実績!$AK$6:$AK$505,"○")&gt;0,1,0))</f>
        <v>0</v>
      </c>
      <c r="G218" s="39" t="n">
        <f aca="false">IF(G$4=0,0,IF(COUNTIFS(実績!$W$6:$W$505,G$3,実績!$AI$6:$AI$505,"&lt;="&amp;$A218,実績!$AJ$6:$AJ$505,"&gt;"&amp;$A218,実績!$AK$6:$AK$505,"○")&gt;0,1,0))</f>
        <v>0</v>
      </c>
      <c r="H218" s="39" t="n">
        <f aca="false">IF(H$4=0,0,IF(COUNTIFS(実績!$W$6:$W$505,H$3,実績!$AI$6:$AI$505,"&lt;="&amp;$A218,実績!$AJ$6:$AJ$505,"&gt;"&amp;$A218,実績!$AK$6:$AK$505,"○")&gt;0,1,0))</f>
        <v>0</v>
      </c>
      <c r="I218" s="39" t="n">
        <f aca="false">IF(I$4=0,0,IF(COUNTIFS(実績!$W$6:$W$505,I$3,実績!$AI$6:$AI$505,"&lt;="&amp;$A218,実績!$AJ$6:$AJ$505,"&gt;"&amp;$A218,実績!$AK$6:$AK$505,"○")&gt;0,1,0))</f>
        <v>0</v>
      </c>
      <c r="J218" s="39" t="n">
        <f aca="false">IF(J$4=0,0,IF(COUNTIFS(実績!$W$6:$W$505,J$3,実績!$AI$6:$AI$505,"&lt;="&amp;$A218,実績!$AJ$6:$AJ$505,"&gt;"&amp;$A218,実績!$AK$6:$AK$505,"○")&gt;0,1,0))</f>
        <v>0</v>
      </c>
      <c r="K218" s="39" t="n">
        <f aca="false">IF(K$4=0,0,IF(COUNTIFS(実績!$W$6:$W$505,K$3,実績!$AI$6:$AI$505,"&lt;="&amp;$A218,実績!$AJ$6:$AJ$505,"&gt;"&amp;$A218,実績!$AK$6:$AK$505,"○")&gt;0,1,0))</f>
        <v>0</v>
      </c>
      <c r="L218" s="39" t="n">
        <f aca="false">IF(L$4=0,0,IF(COUNTIFS(実績!$W$6:$W$505,L$3,実績!$AI$6:$AI$505,"&lt;="&amp;$A218,実績!$AJ$6:$AJ$505,"&gt;"&amp;$A218,実績!$AK$6:$AK$505,"○")&gt;0,1,0))</f>
        <v>0</v>
      </c>
      <c r="M218" s="39" t="n">
        <f aca="false">IF(M$4=0,0,IF(COUNTIFS(実績!$W$6:$W$505,M$3,実績!$AI$6:$AI$505,"&lt;="&amp;$A218,実績!$AJ$6:$AJ$505,"&gt;"&amp;$A218,実績!$AK$6:$AK$505,"○")&gt;0,1,0))</f>
        <v>0</v>
      </c>
      <c r="N218" s="39" t="n">
        <f aca="false">IF(N$4=0,0,IF(COUNTIFS(実績!$W$6:$W$505,N$3,実績!$AI$6:$AI$505,"&lt;="&amp;$A218,実績!$AJ$6:$AJ$505,"&gt;"&amp;$A218,実績!$AK$6:$AK$505,"○")&gt;0,1,0))</f>
        <v>0</v>
      </c>
      <c r="O218" s="39" t="n">
        <f aca="false">IF(O$4=0,0,IF(COUNTIFS(実績!$W$6:$W$505,O$3,実績!$AI$6:$AI$505,"&lt;="&amp;$A218,実績!$AJ$6:$AJ$505,"&gt;"&amp;$A218,実績!$AK$6:$AK$505,"○")&gt;0,1,0))</f>
        <v>0</v>
      </c>
      <c r="P218" s="39" t="n">
        <f aca="false">IF(P$4=0,0,IF(COUNTIFS(実績!$W$6:$W$505,P$3,実績!$AI$6:$AI$505,"&lt;="&amp;$A218,実績!$AJ$6:$AJ$505,"&gt;"&amp;$A218,実績!$AK$6:$AK$505,"○")&gt;0,1,0))</f>
        <v>0</v>
      </c>
      <c r="Q218" s="39" t="n">
        <f aca="false">IF(Q$4=0,0,IF(COUNTIFS(実績!$W$6:$W$505,Q$3,実績!$AI$6:$AI$505,"&lt;="&amp;$A218,実績!$AJ$6:$AJ$505,"&gt;"&amp;$A218,実績!$AK$6:$AK$505,"○")&gt;0,1,0))</f>
        <v>0</v>
      </c>
      <c r="R218" s="39" t="n">
        <f aca="false">IF(R$4=0,0,IF(COUNTIFS(実績!$W$6:$W$505,R$3,実績!$AI$6:$AI$505,"&lt;="&amp;$A218,実績!$AJ$6:$AJ$505,"&gt;"&amp;$A218,実績!$AK$6:$AK$505,"○")&gt;0,1,0))</f>
        <v>0</v>
      </c>
      <c r="S218" s="39" t="n">
        <f aca="false">IF(S$4=0,0,IF(COUNTIFS(実績!$W$6:$W$505,S$3,実績!$AI$6:$AI$505,"&lt;="&amp;$A218,実績!$AJ$6:$AJ$505,"&gt;"&amp;$A218,実績!$AK$6:$AK$505,"○")&gt;0,1,0))</f>
        <v>0</v>
      </c>
      <c r="T218" s="39" t="n">
        <f aca="false">IF(T$4=0,0,IF(COUNTIFS(実績!$W$6:$W$505,T$3,実績!$AI$6:$AI$505,"&lt;="&amp;$A218,実績!$AJ$6:$AJ$505,"&gt;"&amp;$A218,実績!$AK$6:$AK$505,"○")&gt;0,1,0))</f>
        <v>0</v>
      </c>
      <c r="U218" s="39" t="n">
        <f aca="false">IF(U$4=0,0,IF(COUNTIFS(実績!$W$6:$W$505,U$3,実績!$AI$6:$AI$505,"&lt;="&amp;$A218,実績!$AJ$6:$AJ$505,"&gt;"&amp;$A218,実績!$AK$6:$AK$505,"○")&gt;0,1,0))</f>
        <v>0</v>
      </c>
      <c r="V218" s="39" t="n">
        <f aca="false">IF(V$4=0,0,IF(COUNTIFS(実績!$W$6:$W$505,V$3,実績!$AI$6:$AI$505,"&lt;="&amp;$A218,実績!$AJ$6:$AJ$505,"&gt;"&amp;$A218,実績!$AK$6:$AK$505,"○")&gt;0,1,0))</f>
        <v>0</v>
      </c>
      <c r="W218" s="39" t="n">
        <f aca="false">IF(W$4=0,0,IF(COUNTIFS(実績!$W$6:$W$505,W$3,実績!$AI$6:$AI$505,"&lt;="&amp;$A218,実績!$AJ$6:$AJ$505,"&gt;"&amp;$A218,実績!$AK$6:$AK$505,"○")&gt;0,1,0))</f>
        <v>0</v>
      </c>
      <c r="X218" s="39" t="n">
        <f aca="false">IF(X$4=0,0,IF(COUNTIFS(実績!$W$6:$W$505,X$3,実績!$AI$6:$AI$505,"&lt;="&amp;$A218,実績!$AJ$6:$AJ$505,"&gt;"&amp;$A218,実績!$AK$6:$AK$505,"○")&gt;0,1,0))</f>
        <v>0</v>
      </c>
      <c r="Y218" s="39" t="n">
        <f aca="false">IF(Y$4=0,0,IF(COUNTIFS(実績!$W$6:$W$505,Y$3,実績!$AI$6:$AI$505,"&lt;="&amp;$A218,実績!$AJ$6:$AJ$505,"&gt;"&amp;$A218,実績!$AK$6:$AK$505,"○")&gt;0,1,0))</f>
        <v>0</v>
      </c>
      <c r="Z218" s="39" t="n">
        <f aca="false">IF(Z$4=0,0,IF(COUNTIFS(実績!$W$6:$W$505,Z$3,実績!$AI$6:$AI$505,"&lt;="&amp;$A218,実績!$AJ$6:$AJ$505,"&gt;"&amp;$A218,実績!$AK$6:$AK$505,"○")&gt;0,1,0))</f>
        <v>0</v>
      </c>
      <c r="AA218" s="39" t="n">
        <f aca="false">IF(AA$4=0,0,IF(COUNTIFS(実績!$W$6:$W$505,AA$3,実績!$AI$6:$AI$505,"&lt;="&amp;$A218,実績!$AJ$6:$AJ$505,"&gt;"&amp;$A218,実績!$AK$6:$AK$505,"○")&gt;0,1,0))</f>
        <v>0</v>
      </c>
      <c r="AB218" s="39" t="n">
        <f aca="false">IF(AB$4=0,0,IF(COUNTIFS(実績!$W$6:$W$505,AB$3,実績!$AI$6:$AI$505,"&lt;="&amp;$A218,実績!$AJ$6:$AJ$505,"&gt;"&amp;$A218,実績!$AK$6:$AK$505,"○")&gt;0,1,0))</f>
        <v>0</v>
      </c>
      <c r="AC218" s="39" t="n">
        <f aca="false">IF(AC$4=0,0,IF(COUNTIFS(実績!$W$6:$W$505,AC$3,実績!$AI$6:$AI$505,"&lt;="&amp;$A218,実績!$AJ$6:$AJ$505,"&gt;"&amp;$A218,実績!$AK$6:$AK$505,"○")&gt;0,1,0))</f>
        <v>0</v>
      </c>
      <c r="AD218" s="39" t="n">
        <f aca="false">IF(AD$4=0,0,IF(COUNTIFS(実績!$W$6:$W$505,AD$3,実績!$AI$6:$AI$505,"&lt;="&amp;$A218,実績!$AJ$6:$AJ$505,"&gt;"&amp;$A218,実績!$AK$6:$AK$505,"○")&gt;0,1,0))</f>
        <v>0</v>
      </c>
      <c r="AE218" s="39" t="n">
        <f aca="false">IF(AE$4=0,0,IF(COUNTIFS(実績!$W$6:$W$505,AE$3,実績!$AI$6:$AI$505,"&lt;="&amp;$A218,実績!$AJ$6:$AJ$505,"&gt;"&amp;$A218,実績!$AK$6:$AK$505,"○")&gt;0,1,0))</f>
        <v>0</v>
      </c>
      <c r="AF218" s="39" t="n">
        <f aca="false">IF(AF$4=0,0,IF(COUNTIFS(実績!$W$6:$W$505,AF$3,実績!$AI$6:$AI$505,"&lt;="&amp;$A218,実績!$AJ$6:$AJ$505,"&gt;"&amp;$A218,実績!$AK$6:$AK$505,"○")&gt;0,1,0))</f>
        <v>0</v>
      </c>
      <c r="AG218" s="39" t="n">
        <f aca="false">IF(AG$4=0,0,IF(COUNTIFS(実績!$W$6:$W$505,AG$3,実績!$AI$6:$AI$505,"&lt;="&amp;$A218,実績!$AJ$6:$AJ$505,"&gt;"&amp;$A218,実績!$AK$6:$AK$505,"○")&gt;0,1,0))</f>
        <v>0</v>
      </c>
      <c r="AH218" s="39" t="n">
        <f aca="false">IF(AH$4=0,0,IF(COUNTIFS(実績!$W$6:$W$505,AH$3,実績!$AI$6:$AI$505,"&lt;="&amp;$A218,実績!$AJ$6:$AJ$505,"&gt;"&amp;$A218,実績!$AK$6:$AK$505,"○")&gt;0,1,0))</f>
        <v>0</v>
      </c>
      <c r="AI218" s="39" t="n">
        <f aca="false">IF(AI$4=0,0,IF(COUNTIFS(実績!$W$6:$W$505,AI$3,実績!$AI$6:$AI$505,"&lt;="&amp;$A218,実績!$AJ$6:$AJ$505,"&gt;"&amp;$A218,実績!$AK$6:$AK$505,"○")&gt;0,1,0))</f>
        <v>0</v>
      </c>
      <c r="AJ218" s="39" t="n">
        <f aca="false">IF(AJ$4=0,0,IF(COUNTIFS(実績!$W$6:$W$505,AJ$3,実績!$AI$6:$AI$505,"&lt;="&amp;$A218,実績!$AJ$6:$AJ$505,"&gt;"&amp;$A218,実績!$AK$6:$AK$505,"○")&gt;0,1,0))</f>
        <v>0</v>
      </c>
      <c r="AK218" s="39" t="n">
        <f aca="false">IF(AK$4=0,0,IF(COUNTIFS(実績!$W$6:$W$505,AK$3,実績!$AI$6:$AI$505,"&lt;="&amp;$A218,実績!$AJ$6:$AJ$505,"&gt;"&amp;$A218,実績!$AK$6:$AK$505,"○")&gt;0,1,0))</f>
        <v>0</v>
      </c>
      <c r="AL218" s="39" t="n">
        <f aca="false">IF(AL$4=0,0,IF(COUNTIFS(実績!$W$6:$W$505,AL$3,実績!$AI$6:$AI$505,"&lt;="&amp;$A218,実績!$AJ$6:$AJ$505,"&gt;"&amp;$A218,実績!$AK$6:$AK$505,"○")&gt;0,1,0))</f>
        <v>0</v>
      </c>
      <c r="AM218" s="39" t="n">
        <f aca="false">IF(AM$4=0,0,IF(COUNTIFS(実績!$W$6:$W$505,AM$3,実績!$AI$6:$AI$505,"&lt;="&amp;$A218,実績!$AJ$6:$AJ$505,"&gt;"&amp;$A218,実績!$AK$6:$AK$505,"○")&gt;0,1,0))</f>
        <v>0</v>
      </c>
      <c r="AN218" s="39" t="n">
        <f aca="false">IF(AN$4=0,0,IF(COUNTIFS(実績!$W$6:$W$505,AN$3,実績!$AI$6:$AI$505,"&lt;="&amp;$A218,実績!$AJ$6:$AJ$505,"&gt;"&amp;$A218,実績!$AK$6:$AK$505,"○")&gt;0,1,0))</f>
        <v>0</v>
      </c>
      <c r="AO218" s="39" t="n">
        <f aca="false">IF(AO$4=0,0,IF(COUNTIFS(実績!$W$6:$W$505,AO$3,実績!$AI$6:$AI$505,"&lt;="&amp;$A218,実績!$AJ$6:$AJ$505,"&gt;"&amp;$A218,実績!$AK$6:$AK$505,"○")&gt;0,1,0))</f>
        <v>0</v>
      </c>
      <c r="AP218" s="39" t="n">
        <f aca="false">IF(AP$4=0,0,IF(COUNTIFS(実績!$W$6:$W$505,AP$3,実績!$AI$6:$AI$505,"&lt;="&amp;$A218,実績!$AJ$6:$AJ$505,"&gt;"&amp;$A218,実績!$AK$6:$AK$505,"○")&gt;0,1,0))</f>
        <v>0</v>
      </c>
      <c r="AQ218" s="39" t="n">
        <f aca="false">IF(AQ$4=0,0,IF(COUNTIFS(実績!$W$6:$W$505,AQ$3,実績!$AI$6:$AI$505,"&lt;="&amp;$A218,実績!$AJ$6:$AJ$505,"&gt;"&amp;$A218,実績!$AK$6:$AK$505,"○")&gt;0,1,0))</f>
        <v>0</v>
      </c>
      <c r="AR218" s="39" t="n">
        <f aca="false">IF(AR$4=0,0,IF(COUNTIFS(実績!$W$6:$W$505,AR$3,実績!$AI$6:$AI$505,"&lt;="&amp;$A218,実績!$AJ$6:$AJ$505,"&gt;"&amp;$A218,実績!$AK$6:$AK$505,"○")&gt;0,1,0))</f>
        <v>0</v>
      </c>
      <c r="AS218" s="39" t="n">
        <f aca="false">IF(AS$4=0,0,IF(COUNTIFS(実績!$W$6:$W$505,AS$3,実績!$AI$6:$AI$505,"&lt;="&amp;$A218,実績!$AJ$6:$AJ$505,"&gt;"&amp;$A218,実績!$AK$6:$AK$505,"○")&gt;0,1,0))</f>
        <v>0</v>
      </c>
      <c r="AT218" s="39" t="n">
        <f aca="false">IF(AT$4=0,0,IF(COUNTIFS(実績!$W$6:$W$505,AT$3,実績!$AI$6:$AI$505,"&lt;="&amp;$A218,実績!$AJ$6:$AJ$505,"&gt;"&amp;$A218,実績!$AK$6:$AK$505,"○")&gt;0,1,0))</f>
        <v>0</v>
      </c>
      <c r="AU218" s="39" t="n">
        <f aca="false">IF(AU$4=0,0,IF(COUNTIFS(実績!$W$6:$W$505,AU$3,実績!$AI$6:$AI$505,"&lt;="&amp;$A218,実績!$AJ$6:$AJ$505,"&gt;"&amp;$A218,実績!$AK$6:$AK$505,"○")&gt;0,1,0))</f>
        <v>0</v>
      </c>
      <c r="AV218" s="39" t="n">
        <f aca="false">IF(AV$4=0,0,IF(COUNTIFS(実績!$W$6:$W$505,AV$3,実績!$AI$6:$AI$505,"&lt;="&amp;$A218,実績!$AJ$6:$AJ$505,"&gt;"&amp;$A218,実績!$AK$6:$AK$505,"○")&gt;0,1,0))</f>
        <v>0</v>
      </c>
      <c r="AW218" s="39" t="n">
        <f aca="false">IF(AW$4=0,0,IF(COUNTIFS(実績!$W$6:$W$505,AW$3,実績!$AI$6:$AI$505,"&lt;="&amp;$A218,実績!$AJ$6:$AJ$505,"&gt;"&amp;$A218,実績!$AK$6:$AK$505,"○")&gt;0,1,0))</f>
        <v>0</v>
      </c>
      <c r="AX218" s="39" t="n">
        <f aca="false">IF(AX$4=0,0,IF(COUNTIFS(実績!$W$6:$W$505,AX$3,実績!$AI$6:$AI$505,"&lt;="&amp;$A218,実績!$AJ$6:$AJ$505,"&gt;"&amp;$A218,実績!$AK$6:$AK$505,"○")&gt;0,1,0))</f>
        <v>0</v>
      </c>
      <c r="AY218" s="39" t="n">
        <f aca="false">IF(AY$4=0,0,IF(COUNTIFS(実績!$W$6:$W$505,AY$3,実績!$AI$6:$AI$505,"&lt;="&amp;$A218,実績!$AJ$6:$AJ$505,"&gt;"&amp;$A218,実績!$AK$6:$AK$505,"○")&gt;0,1,0))</f>
        <v>0</v>
      </c>
      <c r="AZ218" s="39" t="n">
        <f aca="false">IF(AZ$4=0,0,IF(COUNTIFS(実績!$W$6:$W$505,AZ$3,実績!$AI$6:$AI$505,"&lt;="&amp;$A218,実績!$AJ$6:$AJ$505,"&gt;"&amp;$A218,実績!$AK$6:$AK$505,"○")&gt;0,1,0))</f>
        <v>0</v>
      </c>
      <c r="BA218" s="39" t="n">
        <f aca="false">IF(BA$4=0,0,IF(COUNTIFS(実績!$W$6:$W$505,BA$3,実績!$AI$6:$AI$505,"&lt;="&amp;$A218,実績!$AJ$6:$AJ$505,"&gt;"&amp;$A218,実績!$AK$6:$AK$505,"○")&gt;0,1,0))</f>
        <v>0</v>
      </c>
      <c r="BB218" s="39" t="n">
        <f aca="false">IF(BB$4=0,0,IF(COUNTIFS(実績!$W$6:$W$505,BB$3,実績!$AI$6:$AI$505,"&lt;="&amp;$A218,実績!$AJ$6:$AJ$505,"&gt;"&amp;$A218,実績!$AK$6:$AK$505,"○")&gt;0,1,0))</f>
        <v>0</v>
      </c>
      <c r="BC218" s="39" t="n">
        <f aca="false">IF(BC$4=0,0,IF(COUNTIFS(実績!$W$6:$W$505,BC$3,実績!$AI$6:$AI$505,"&lt;="&amp;$A218,実績!$AJ$6:$AJ$505,"&gt;"&amp;$A218,実績!$AK$6:$AK$505,"○")&gt;0,1,0))</f>
        <v>0</v>
      </c>
      <c r="BD218" s="39" t="n">
        <f aca="false">IF(BD$4=0,0,IF(COUNTIFS(実績!$W$6:$W$505,BD$3,実績!$AI$6:$AI$505,"&lt;="&amp;$A218,実績!$AJ$6:$AJ$505,"&gt;"&amp;$A218,実績!$AK$6:$AK$505,"○")&gt;0,1,0))</f>
        <v>0</v>
      </c>
      <c r="BE218" s="39" t="n">
        <f aca="false">IF(BE$4=0,0,IF(COUNTIFS(実績!$W$6:$W$505,BE$3,実績!$AI$6:$AI$505,"&lt;="&amp;$A218,実績!$AJ$6:$AJ$505,"&gt;"&amp;$A218,実績!$AK$6:$AK$505,"○")&gt;0,1,0))</f>
        <v>0</v>
      </c>
      <c r="BF218" s="39" t="n">
        <f aca="false">IF(BF$4=0,0,IF(COUNTIFS(実績!$W$6:$W$505,BF$3,実績!$AI$6:$AI$505,"&lt;="&amp;$A218,実績!$AJ$6:$AJ$505,"&gt;"&amp;$A218,実績!$AK$6:$AK$505,"○")&gt;0,1,0))</f>
        <v>0</v>
      </c>
      <c r="BG218" s="39" t="n">
        <f aca="false">IF(BG$4=0,0,IF(COUNTIFS(実績!$W$6:$W$505,BG$3,実績!$AI$6:$AI$505,"&lt;="&amp;$A218,実績!$AJ$6:$AJ$505,"&gt;"&amp;$A218,実績!$AK$6:$AK$505,"○")&gt;0,1,0))</f>
        <v>0</v>
      </c>
      <c r="BH218" s="39" t="n">
        <f aca="false">IF(BH$4=0,0,IF(COUNTIFS(実績!$W$6:$W$505,BH$3,実績!$AI$6:$AI$505,"&lt;="&amp;$A218,実績!$AJ$6:$AJ$505,"&gt;"&amp;$A218,実績!$AK$6:$AK$505,"○")&gt;0,1,0))</f>
        <v>0</v>
      </c>
      <c r="BI218" s="39" t="n">
        <f aca="false">IF(BI$4=0,0,IF(COUNTIFS(実績!$W$6:$W$505,BI$3,実績!$AI$6:$AI$505,"&lt;="&amp;$A218,実績!$AJ$6:$AJ$505,"&gt;"&amp;$A218,実績!$AK$6:$AK$505,"○")&gt;0,1,0))</f>
        <v>0</v>
      </c>
      <c r="BJ218" s="39" t="n">
        <f aca="false">IF(BJ$4=0,0,IF(COUNTIFS(実績!$W$6:$W$505,BJ$3,実績!$AI$6:$AI$505,"&lt;="&amp;$A218,実績!$AJ$6:$AJ$505,"&gt;"&amp;$A218,実績!$AK$6:$AK$505,"○")&gt;0,1,0))</f>
        <v>0</v>
      </c>
      <c r="BK218" s="39" t="n">
        <f aca="false">IF(BK$4=0,0,IF(COUNTIFS(実績!$W$6:$W$505,BK$3,実績!$AI$6:$AI$505,"&lt;="&amp;$A218,実績!$AJ$6:$AJ$505,"&gt;"&amp;$A218,実績!$AK$6:$AK$505,"○")&gt;0,1,0))</f>
        <v>0</v>
      </c>
      <c r="BL218" s="39" t="n">
        <f aca="false">IF(BL$4=0,0,IF(COUNTIFS(実績!$W$6:$W$505,BL$3,実績!$AI$6:$AI$505,"&lt;="&amp;$A218,実績!$AJ$6:$AJ$505,"&gt;"&amp;$A218,実績!$AK$6:$AK$505,"○")&gt;0,1,0))</f>
        <v>0</v>
      </c>
      <c r="BM218" s="39" t="n">
        <f aca="false">IF(BM$4=0,0,IF(COUNTIFS(実績!$W$6:$W$505,BM$3,実績!$AI$6:$AI$505,"&lt;="&amp;$A218,実績!$AJ$6:$AJ$505,"&gt;"&amp;$A218,実績!$AK$6:$AK$505,"○")&gt;0,1,0))</f>
        <v>0</v>
      </c>
      <c r="BN218" s="39" t="n">
        <f aca="false">IF(BN$4=0,0,IF(COUNTIFS(実績!$W$6:$W$505,BN$3,実績!$AI$6:$AI$505,"&lt;="&amp;$A218,実績!$AJ$6:$AJ$505,"&gt;"&amp;$A218,実績!$AK$6:$AK$505,"○")&gt;0,1,0))</f>
        <v>0</v>
      </c>
      <c r="BO218" s="39" t="n">
        <f aca="false">IF(BO$4=0,0,IF(COUNTIFS(実績!$W$6:$W$505,BO$3,実績!$AI$6:$AI$505,"&lt;="&amp;$A218,実績!$AJ$6:$AJ$505,"&gt;"&amp;$A218,実績!$AK$6:$AK$505,"○")&gt;0,1,0))</f>
        <v>0</v>
      </c>
      <c r="BP218" s="39" t="n">
        <f aca="false">IF(BP$4=0,0,IF(COUNTIFS(実績!$W$6:$W$505,BP$3,実績!$AI$6:$AI$505,"&lt;="&amp;$A218,実績!$AJ$6:$AJ$505,"&gt;"&amp;$A218,実績!$AK$6:$AK$505,"○")&gt;0,1,0))</f>
        <v>0</v>
      </c>
      <c r="BQ218" s="39" t="n">
        <f aca="false">IF(BQ$4=0,0,IF(COUNTIFS(実績!$W$6:$W$505,BQ$3,実績!$AI$6:$AI$505,"&lt;="&amp;$A218,実績!$AJ$6:$AJ$505,"&gt;"&amp;$A218,実績!$AK$6:$AK$505,"○")&gt;0,1,0))</f>
        <v>0</v>
      </c>
      <c r="BR218" s="39" t="n">
        <f aca="false">IF(BR$4=0,0,IF(COUNTIFS(実績!$W$6:$W$505,BR$3,実績!$AI$6:$AI$505,"&lt;="&amp;$A218,実績!$AJ$6:$AJ$505,"&gt;"&amp;$A218,実績!$AK$6:$AK$505,"○")&gt;0,1,0))</f>
        <v>0</v>
      </c>
      <c r="BS218" s="39" t="n">
        <f aca="false">IF(BS$4=0,0,IF(COUNTIFS(実績!$W$6:$W$505,BS$3,実績!$AI$6:$AI$505,"&lt;="&amp;$A218,実績!$AJ$6:$AJ$505,"&gt;"&amp;$A218,実績!$AK$6:$AK$505,"○")&gt;0,1,0))</f>
        <v>0</v>
      </c>
      <c r="BT218" s="39" t="n">
        <f aca="false">IF(BT$4=0,0,IF(COUNTIFS(実績!$W$6:$W$505,BT$3,実績!$AI$6:$AI$505,"&lt;="&amp;$A218,実績!$AJ$6:$AJ$505,"&gt;"&amp;$A218,実績!$AK$6:$AK$505,"○")&gt;0,1,0))</f>
        <v>0</v>
      </c>
      <c r="BU218" s="39" t="n">
        <f aca="false">IF(BU$4=0,0,IF(COUNTIFS(実績!$W$6:$W$505,BU$3,実績!$AI$6:$AI$505,"&lt;="&amp;$A218,実績!$AJ$6:$AJ$505,"&gt;"&amp;$A218,実績!$AK$6:$AK$505,"○")&gt;0,1,0))</f>
        <v>0</v>
      </c>
      <c r="BV218" s="39" t="n">
        <f aca="false">IF(BV$4=0,0,IF(COUNTIFS(実績!$W$6:$W$505,BV$3,実績!$AI$6:$AI$505,"&lt;="&amp;$A218,実績!$AJ$6:$AJ$505,"&gt;"&amp;$A218,実績!$AK$6:$AK$505,"○")&gt;0,1,0))</f>
        <v>0</v>
      </c>
      <c r="BW218" s="39" t="n">
        <f aca="false">IF(BW$4=0,0,IF(COUNTIFS(実績!$W$6:$W$505,BW$3,実績!$AI$6:$AI$505,"&lt;="&amp;$A218,実績!$AJ$6:$AJ$505,"&gt;"&amp;$A218,実績!$AK$6:$AK$505,"○")&gt;0,1,0))</f>
        <v>0</v>
      </c>
      <c r="BX218" s="39" t="n">
        <f aca="false">IF(BX$4=0,0,IF(COUNTIFS(実績!$W$6:$W$505,BX$3,実績!$AI$6:$AI$505,"&lt;="&amp;$A218,実績!$AJ$6:$AJ$505,"&gt;"&amp;$A218,実績!$AK$6:$AK$505,"○")&gt;0,1,0))</f>
        <v>0</v>
      </c>
      <c r="BY218" s="39" t="n">
        <f aca="false">IF(BY$4=0,0,IF(COUNTIFS(実績!$W$6:$W$505,BY$3,実績!$AI$6:$AI$505,"&lt;="&amp;$A218,実績!$AJ$6:$AJ$505,"&gt;"&amp;$A218,実績!$AK$6:$AK$505,"○")&gt;0,1,0))</f>
        <v>0</v>
      </c>
      <c r="BZ218" s="39" t="n">
        <f aca="false">IF(BZ$4=0,0,IF(COUNTIFS(実績!$W$6:$W$505,BZ$3,実績!$AI$6:$AI$505,"&lt;="&amp;$A218,実績!$AJ$6:$AJ$505,"&gt;"&amp;$A218,実績!$AK$6:$AK$505,"○")&gt;0,1,0))</f>
        <v>0</v>
      </c>
      <c r="CA218" s="39" t="n">
        <f aca="false">IF(CA$4=0,0,IF(COUNTIFS(実績!$W$6:$W$505,CA$3,実績!$AI$6:$AI$505,"&lt;="&amp;$A218,実績!$AJ$6:$AJ$505,"&gt;"&amp;$A218,実績!$AK$6:$AK$505,"○")&gt;0,1,0))</f>
        <v>0</v>
      </c>
      <c r="CB218" s="39" t="n">
        <f aca="false">IF(CB$4=0,0,IF(COUNTIFS(実績!$W$6:$W$505,CB$3,実績!$AI$6:$AI$505,"&lt;="&amp;$A218,実績!$AJ$6:$AJ$505,"&gt;"&amp;$A218,実績!$AK$6:$AK$505,"○")&gt;0,1,0))</f>
        <v>0</v>
      </c>
      <c r="CC218" s="39" t="n">
        <f aca="false">IF(CC$4=0,0,IF(COUNTIFS(実績!$W$6:$W$505,CC$3,実績!$AI$6:$AI$505,"&lt;="&amp;$A218,実績!$AJ$6:$AJ$505,"&gt;"&amp;$A218,実績!$AK$6:$AK$505,"○")&gt;0,1,0))</f>
        <v>0</v>
      </c>
      <c r="CD218" s="39" t="n">
        <f aca="false">IF(CD$4=0,0,IF(COUNTIFS(実績!$W$6:$W$505,CD$3,実績!$AI$6:$AI$505,"&lt;="&amp;$A218,実績!$AJ$6:$AJ$505,"&gt;"&amp;$A218,実績!$AK$6:$AK$505,"○")&gt;0,1,0))</f>
        <v>0</v>
      </c>
      <c r="CE218" s="39" t="n">
        <f aca="false">IF(CE$4=0,0,IF(COUNTIFS(実績!$W$6:$W$505,CE$3,実績!$AI$6:$AI$505,"&lt;="&amp;$A218,実績!$AJ$6:$AJ$505,"&gt;"&amp;$A218,実績!$AK$6:$AK$505,"○")&gt;0,1,0))</f>
        <v>0</v>
      </c>
      <c r="CF218" s="39" t="n">
        <f aca="false">IF(CF$4=0,0,IF(COUNTIFS(実績!$W$6:$W$505,CF$3,実績!$AI$6:$AI$505,"&lt;="&amp;$A218,実績!$AJ$6:$AJ$505,"&gt;"&amp;$A218,実績!$AK$6:$AK$505,"○")&gt;0,1,0))</f>
        <v>0</v>
      </c>
      <c r="CG218" s="39" t="n">
        <f aca="false">IF(CG$4=0,0,IF(COUNTIFS(実績!$W$6:$W$505,CG$3,実績!$AI$6:$AI$505,"&lt;="&amp;$A218,実績!$AJ$6:$AJ$505,"&gt;"&amp;$A218,実績!$AK$6:$AK$505,"○")&gt;0,1,0))</f>
        <v>0</v>
      </c>
      <c r="CH218" s="39" t="n">
        <f aca="false">IF(CH$4=0,0,IF(COUNTIFS(実績!$W$6:$W$505,CH$3,実績!$AI$6:$AI$505,"&lt;="&amp;$A218,実績!$AJ$6:$AJ$505,"&gt;"&amp;$A218,実績!$AK$6:$AK$505,"○")&gt;0,1,0))</f>
        <v>0</v>
      </c>
      <c r="CI218" s="39" t="n">
        <f aca="false">IF(CI$4=0,0,IF(COUNTIFS(実績!$W$6:$W$505,CI$3,実績!$AI$6:$AI$505,"&lt;="&amp;$A218,実績!$AJ$6:$AJ$505,"&gt;"&amp;$A218,実績!$AK$6:$AK$505,"○")&gt;0,1,0))</f>
        <v>0</v>
      </c>
      <c r="CJ218" s="39" t="n">
        <f aca="false">IF(CJ$4=0,0,IF(COUNTIFS(実績!$W$6:$W$505,CJ$3,実績!$AI$6:$AI$505,"&lt;="&amp;$A218,実績!$AJ$6:$AJ$505,"&gt;"&amp;$A218,実績!$AK$6:$AK$505,"○")&gt;0,1,0))</f>
        <v>0</v>
      </c>
      <c r="CK218" s="39" t="n">
        <f aca="false">IF(CK$4=0,0,IF(COUNTIFS(実績!$W$6:$W$505,CK$3,実績!$AI$6:$AI$505,"&lt;="&amp;$A218,実績!$AJ$6:$AJ$505,"&gt;"&amp;$A218,実績!$AK$6:$AK$505,"○")&gt;0,1,0))</f>
        <v>0</v>
      </c>
      <c r="CL218" s="39" t="n">
        <f aca="false">IF(CL$4=0,0,IF(COUNTIFS(実績!$W$6:$W$505,CL$3,実績!$AI$6:$AI$505,"&lt;="&amp;$A218,実績!$AJ$6:$AJ$505,"&gt;"&amp;$A218,実績!$AK$6:$AK$505,"○")&gt;0,1,0))</f>
        <v>0</v>
      </c>
      <c r="CM218" s="39" t="n">
        <f aca="false">IF(CM$4=0,0,IF(COUNTIFS(実績!$W$6:$W$505,CM$3,実績!$AI$6:$AI$505,"&lt;="&amp;$A218,実績!$AJ$6:$AJ$505,"&gt;"&amp;$A218,実績!$AK$6:$AK$505,"○")&gt;0,1,0))</f>
        <v>0</v>
      </c>
      <c r="CN218" s="39" t="n">
        <f aca="false">IF(CN$4=0,0,IF(COUNTIFS(実績!$W$6:$W$505,CN$3,実績!$AI$6:$AI$505,"&lt;="&amp;$A218,実績!$AJ$6:$AJ$505,"&gt;"&amp;$A218,実績!$AK$6:$AK$505,"○")&gt;0,1,0))</f>
        <v>0</v>
      </c>
      <c r="CO218" s="39" t="n">
        <f aca="false">IF(CO$4=0,0,IF(COUNTIFS(実績!$W$6:$W$505,CO$3,実績!$AI$6:$AI$505,"&lt;="&amp;$A218,実績!$AJ$6:$AJ$505,"&gt;"&amp;$A218,実績!$AK$6:$AK$505,"○")&gt;0,1,0))</f>
        <v>0</v>
      </c>
      <c r="CP218" s="39" t="n">
        <f aca="false">IF(CP$4=0,0,IF(COUNTIFS(実績!$W$6:$W$505,CP$3,実績!$AI$6:$AI$505,"&lt;="&amp;$A218,実績!$AJ$6:$AJ$505,"&gt;"&amp;$A218,実績!$AK$6:$AK$505,"○")&gt;0,1,0))</f>
        <v>0</v>
      </c>
      <c r="CQ218" s="39" t="n">
        <f aca="false">IF(CQ$4=0,0,IF(COUNTIFS(実績!$W$6:$W$505,CQ$3,実績!$AI$6:$AI$505,"&lt;="&amp;$A218,実績!$AJ$6:$AJ$505,"&gt;"&amp;$A218,実績!$AK$6:$AK$505,"○")&gt;0,1,0))</f>
        <v>0</v>
      </c>
      <c r="CR218" s="39" t="n">
        <f aca="false">IF(CR$4=0,0,IF(COUNTIFS(実績!$W$6:$W$505,CR$3,実績!$AI$6:$AI$505,"&lt;="&amp;$A218,実績!$AJ$6:$AJ$505,"&gt;"&amp;$A218,実績!$AK$6:$AK$505,"○")&gt;0,1,0))</f>
        <v>0</v>
      </c>
      <c r="CS218" s="39" t="n">
        <f aca="false">IF(CS$4=0,0,IF(COUNTIFS(実績!$W$6:$W$505,CS$3,実績!$AI$6:$AI$505,"&lt;="&amp;$A218,実績!$AJ$6:$AJ$505,"&gt;"&amp;$A218,実績!$AK$6:$AK$505,"○")&gt;0,1,0))</f>
        <v>0</v>
      </c>
      <c r="CT218" s="39" t="n">
        <f aca="false">IF(CT$4=0,0,IF(COUNTIFS(実績!$W$6:$W$505,CT$3,実績!$AI$6:$AI$505,"&lt;="&amp;$A218,実績!$AJ$6:$AJ$505,"&gt;"&amp;$A218,実績!$AK$6:$AK$505,"○")&gt;0,1,0))</f>
        <v>0</v>
      </c>
      <c r="CU218" s="39" t="n">
        <f aca="false">IF(CU$4=0,0,IF(COUNTIFS(実績!$W$6:$W$505,CU$3,実績!$AI$6:$AI$505,"&lt;="&amp;$A218,実績!$AJ$6:$AJ$505,"&gt;"&amp;$A218,実績!$AK$6:$AK$505,"○")&gt;0,1,0))</f>
        <v>0</v>
      </c>
      <c r="CV218" s="39" t="n">
        <f aca="false">IF(CV$4=0,0,IF(COUNTIFS(実績!$W$6:$W$505,CV$3,実績!$AI$6:$AI$505,"&lt;="&amp;$A218,実績!$AJ$6:$AJ$505,"&gt;"&amp;$A218,実績!$AK$6:$AK$505,"○")&gt;0,1,0))</f>
        <v>0</v>
      </c>
      <c r="CW218" s="39" t="n">
        <f aca="false">IF(CW$4=0,0,IF(COUNTIFS(実績!$W$6:$W$505,CW$3,実績!$AI$6:$AI$505,"&lt;="&amp;$A218,実績!$AJ$6:$AJ$505,"&gt;"&amp;$A218,実績!$AK$6:$AK$505,"○")&gt;0,1,0))</f>
        <v>0</v>
      </c>
      <c r="CX218" s="39" t="n">
        <f aca="false">IF(CX$4=0,0,IF(COUNTIFS(実績!$W$6:$W$505,CX$3,実績!$AI$6:$AI$505,"&lt;="&amp;$A218,実績!$AJ$6:$AJ$505,"&gt;"&amp;$A218,実績!$AK$6:$AK$505,"○")&gt;0,1,0))</f>
        <v>0</v>
      </c>
      <c r="CY218" s="39" t="n">
        <f aca="false">IF(CY$4=0,0,IF(COUNTIFS(実績!$W$6:$W$505,CY$3,実績!$AI$6:$AI$505,"&lt;="&amp;$A218,実績!$AJ$6:$AJ$505,"&gt;"&amp;$A218,実績!$AK$6:$AK$505,"○")&gt;0,1,0))</f>
        <v>0</v>
      </c>
      <c r="CZ218" s="39" t="n">
        <f aca="false">IF(CZ$4=0,0,IF(COUNTIFS(実績!$W$6:$W$505,CZ$3,実績!$AI$6:$AI$505,"&lt;="&amp;$A218,実績!$AJ$6:$AJ$505,"&gt;"&amp;$A218,実績!$AK$6:$AK$505,"○")&gt;0,1,0))</f>
        <v>0</v>
      </c>
      <c r="DA218" s="39" t="n">
        <f aca="false">IF(DA$4=0,0,IF(COUNTIFS(実績!$W$6:$W$505,DA$3,実績!$AI$6:$AI$505,"&lt;="&amp;$A218,実績!$AJ$6:$AJ$505,"&gt;"&amp;$A218,実績!$AK$6:$AK$505,"○")&gt;0,1,0))</f>
        <v>0</v>
      </c>
      <c r="DB218" s="39" t="n">
        <f aca="false">IF(DB$4=0,0,IF(COUNTIFS(実績!$W$6:$W$505,DB$3,実績!$AI$6:$AI$505,"&lt;="&amp;$A218,実績!$AJ$6:$AJ$505,"&gt;"&amp;$A218,実績!$AK$6:$AK$505,"○")&gt;0,1,0))</f>
        <v>0</v>
      </c>
      <c r="DC218" s="39" t="n">
        <f aca="false">IF(DC$4=0,0,IF(COUNTIFS(実績!$W$6:$W$505,DC$3,実績!$AI$6:$AI$505,"&lt;="&amp;$A218,実績!$AJ$6:$AJ$505,"&gt;"&amp;$A218,実績!$AK$6:$AK$505,"○")&gt;0,1,0))</f>
        <v>0</v>
      </c>
      <c r="DD218" s="39" t="n">
        <f aca="false">IF(DD$4=0,0,IF(COUNTIFS(実績!$W$6:$W$505,DD$3,実績!$AI$6:$AI$505,"&lt;="&amp;$A218,実績!$AJ$6:$AJ$505,"&gt;"&amp;$A218,実績!$AK$6:$AK$505,"○")&gt;0,1,0))</f>
        <v>0</v>
      </c>
      <c r="DE218" s="39" t="n">
        <f aca="false">IF(DE$4=0,0,IF(COUNTIFS(実績!$W$6:$W$505,DE$3,実績!$AI$6:$AI$505,"&lt;="&amp;$A218,実績!$AJ$6:$AJ$505,"&gt;"&amp;$A218,実績!$AK$6:$AK$505,"○")&gt;0,1,0))</f>
        <v>0</v>
      </c>
      <c r="DF218" s="39" t="n">
        <f aca="false">IF(DF$4=0,0,IF(COUNTIFS(実績!$W$6:$W$505,DF$3,実績!$AI$6:$AI$505,"&lt;="&amp;$A218,実績!$AJ$6:$AJ$505,"&gt;"&amp;$A218,実績!$AK$6:$AK$505,"○")&gt;0,1,0))</f>
        <v>0</v>
      </c>
      <c r="DG218" s="39" t="n">
        <f aca="false">IF(DG$4=0,0,IF(COUNTIFS(実績!$W$6:$W$505,DG$3,実績!$AI$6:$AI$505,"&lt;="&amp;$A218,実績!$AJ$6:$AJ$505,"&gt;"&amp;$A218,実績!$AK$6:$AK$505,"○")&gt;0,1,0))</f>
        <v>0</v>
      </c>
      <c r="DH218" s="39" t="n">
        <f aca="false">IF(DH$4=0,0,IF(COUNTIFS(実績!$W$6:$W$505,DH$3,実績!$AI$6:$AI$505,"&lt;="&amp;$A218,実績!$AJ$6:$AJ$505,"&gt;"&amp;$A218,実績!$AK$6:$AK$505,"○")&gt;0,1,0))</f>
        <v>0</v>
      </c>
      <c r="DI218" s="39" t="n">
        <f aca="false">IF(DI$4=0,0,IF(COUNTIFS(実績!$W$6:$W$505,DI$3,実績!$AI$6:$AI$505,"&lt;="&amp;$A218,実績!$AJ$6:$AJ$505,"&gt;"&amp;$A218,実績!$AK$6:$AK$505,"○")&gt;0,1,0))</f>
        <v>0</v>
      </c>
      <c r="DJ218" s="39" t="n">
        <f aca="false">IF(DJ$4=0,0,IF(COUNTIFS(実績!$W$6:$W$505,DJ$3,実績!$AI$6:$AI$505,"&lt;="&amp;$A218,実績!$AJ$6:$AJ$505,"&gt;"&amp;$A218,実績!$AK$6:$AK$505,"○")&gt;0,1,0))</f>
        <v>0</v>
      </c>
      <c r="DK218" s="39" t="n">
        <f aca="false">IF(DK$4=0,0,IF(COUNTIFS(実績!$W$6:$W$505,DK$3,実績!$AI$6:$AI$505,"&lt;="&amp;$A218,実績!$AJ$6:$AJ$505,"&gt;"&amp;$A218,実績!$AK$6:$AK$505,"○")&gt;0,1,0))</f>
        <v>0</v>
      </c>
      <c r="DL218" s="39" t="n">
        <f aca="false">IF(DL$4=0,0,IF(COUNTIFS(実績!$W$6:$W$505,DL$3,実績!$AI$6:$AI$505,"&lt;="&amp;$A218,実績!$AJ$6:$AJ$505,"&gt;"&amp;$A218,実績!$AK$6:$AK$505,"○")&gt;0,1,0))</f>
        <v>0</v>
      </c>
      <c r="DM218" s="39" t="n">
        <f aca="false">IF(DM$4=0,0,IF(COUNTIFS(実績!$W$6:$W$505,DM$3,実績!$AI$6:$AI$505,"&lt;="&amp;$A218,実績!$AJ$6:$AJ$505,"&gt;"&amp;$A218,実績!$AK$6:$AK$505,"○")&gt;0,1,0))</f>
        <v>0</v>
      </c>
      <c r="DN218" s="39" t="n">
        <f aca="false">IF(DN$4=0,0,IF(COUNTIFS(実績!$W$6:$W$505,DN$3,実績!$AI$6:$AI$505,"&lt;="&amp;$A218,実績!$AJ$6:$AJ$505,"&gt;"&amp;$A218,実績!$AK$6:$AK$505,"○")&gt;0,1,0))</f>
        <v>0</v>
      </c>
      <c r="DO218" s="39" t="n">
        <f aca="false">IF(DO$4=0,0,IF(COUNTIFS(実績!$W$6:$W$505,DO$3,実績!$AI$6:$AI$505,"&lt;="&amp;$A218,実績!$AJ$6:$AJ$505,"&gt;"&amp;$A218,実績!$AK$6:$AK$505,"○")&gt;0,1,0))</f>
        <v>0</v>
      </c>
      <c r="DP218" s="39" t="n">
        <f aca="false">IF(DP$4=0,0,IF(COUNTIFS(実績!$W$6:$W$505,DP$3,実績!$AI$6:$AI$505,"&lt;="&amp;$A218,実績!$AJ$6:$AJ$505,"&gt;"&amp;$A218,実績!$AK$6:$AK$505,"○")&gt;0,1,0))</f>
        <v>0</v>
      </c>
      <c r="DQ218" s="39" t="n">
        <f aca="false">IF(DQ$4=0,0,IF(COUNTIFS(実績!$W$6:$W$505,DQ$3,実績!$AI$6:$AI$505,"&lt;="&amp;$A218,実績!$AJ$6:$AJ$505,"&gt;"&amp;$A218,実績!$AK$6:$AK$505,"○")&gt;0,1,0))</f>
        <v>0</v>
      </c>
      <c r="DR218" s="39" t="n">
        <f aca="false">IF(DR$4=0,0,IF(COUNTIFS(実績!$W$6:$W$505,DR$3,実績!$AI$6:$AI$505,"&lt;="&amp;$A218,実績!$AJ$6:$AJ$505,"&gt;"&amp;$A218,実績!$AK$6:$AK$505,"○")&gt;0,1,0))</f>
        <v>0</v>
      </c>
      <c r="DS218" s="39" t="n">
        <f aca="false">SUM(C218:DR218)</f>
        <v>0</v>
      </c>
      <c r="DT218" s="39" t="n">
        <f aca="false">SUMPRODUCT((実績!$C$6:$C$505="○")*ISNUMBER(実績!$AM$6:$AM$505)*(実績!$AM$6:$AM$505&lt;=$A218)*(実績!$AN$6:$AN$505&gt;$A218))</f>
        <v>0</v>
      </c>
      <c r="DU218" s="39" t="n">
        <f aca="false">SUMIF($C$2:$DR$2,"製鉄曳船",C218:DR218)</f>
        <v>0</v>
      </c>
      <c r="DV218" s="39" t="n">
        <f aca="false">SUMIF($C$2:$DR$2,"西日本海運",C218:DR218)</f>
        <v>0</v>
      </c>
    </row>
    <row r="219" customFormat="false" ht="15" hidden="false" customHeight="false" outlineLevel="0" collapsed="false">
      <c r="A219" s="0" t="n">
        <v>1065</v>
      </c>
      <c r="B219" s="38" t="n">
        <f aca="false">A219/1440</f>
        <v>0.739583333333333</v>
      </c>
      <c r="C219" s="39" t="n">
        <f aca="false">IF(C$4=0,0,IF(COUNTIFS(実績!$W$6:$W$505,C$3,実績!$AI$6:$AI$505,"&lt;="&amp;$A219,実績!$AJ$6:$AJ$505,"&gt;"&amp;$A219,実績!$AK$6:$AK$505,"○")&gt;0,1,0))</f>
        <v>0</v>
      </c>
      <c r="D219" s="39" t="n">
        <f aca="false">IF(D$4=0,0,IF(COUNTIFS(実績!$W$6:$W$505,D$3,実績!$AI$6:$AI$505,"&lt;="&amp;$A219,実績!$AJ$6:$AJ$505,"&gt;"&amp;$A219,実績!$AK$6:$AK$505,"○")&gt;0,1,0))</f>
        <v>0</v>
      </c>
      <c r="E219" s="39" t="n">
        <f aca="false">IF(E$4=0,0,IF(COUNTIFS(実績!$W$6:$W$505,E$3,実績!$AI$6:$AI$505,"&lt;="&amp;$A219,実績!$AJ$6:$AJ$505,"&gt;"&amp;$A219,実績!$AK$6:$AK$505,"○")&gt;0,1,0))</f>
        <v>0</v>
      </c>
      <c r="F219" s="39" t="n">
        <f aca="false">IF(F$4=0,0,IF(COUNTIFS(実績!$W$6:$W$505,F$3,実績!$AI$6:$AI$505,"&lt;="&amp;$A219,実績!$AJ$6:$AJ$505,"&gt;"&amp;$A219,実績!$AK$6:$AK$505,"○")&gt;0,1,0))</f>
        <v>0</v>
      </c>
      <c r="G219" s="39" t="n">
        <f aca="false">IF(G$4=0,0,IF(COUNTIFS(実績!$W$6:$W$505,G$3,実績!$AI$6:$AI$505,"&lt;="&amp;$A219,実績!$AJ$6:$AJ$505,"&gt;"&amp;$A219,実績!$AK$6:$AK$505,"○")&gt;0,1,0))</f>
        <v>0</v>
      </c>
      <c r="H219" s="39" t="n">
        <f aca="false">IF(H$4=0,0,IF(COUNTIFS(実績!$W$6:$W$505,H$3,実績!$AI$6:$AI$505,"&lt;="&amp;$A219,実績!$AJ$6:$AJ$505,"&gt;"&amp;$A219,実績!$AK$6:$AK$505,"○")&gt;0,1,0))</f>
        <v>0</v>
      </c>
      <c r="I219" s="39" t="n">
        <f aca="false">IF(I$4=0,0,IF(COUNTIFS(実績!$W$6:$W$505,I$3,実績!$AI$6:$AI$505,"&lt;="&amp;$A219,実績!$AJ$6:$AJ$505,"&gt;"&amp;$A219,実績!$AK$6:$AK$505,"○")&gt;0,1,0))</f>
        <v>0</v>
      </c>
      <c r="J219" s="39" t="n">
        <f aca="false">IF(J$4=0,0,IF(COUNTIFS(実績!$W$6:$W$505,J$3,実績!$AI$6:$AI$505,"&lt;="&amp;$A219,実績!$AJ$6:$AJ$505,"&gt;"&amp;$A219,実績!$AK$6:$AK$505,"○")&gt;0,1,0))</f>
        <v>0</v>
      </c>
      <c r="K219" s="39" t="n">
        <f aca="false">IF(K$4=0,0,IF(COUNTIFS(実績!$W$6:$W$505,K$3,実績!$AI$6:$AI$505,"&lt;="&amp;$A219,実績!$AJ$6:$AJ$505,"&gt;"&amp;$A219,実績!$AK$6:$AK$505,"○")&gt;0,1,0))</f>
        <v>0</v>
      </c>
      <c r="L219" s="39" t="n">
        <f aca="false">IF(L$4=0,0,IF(COUNTIFS(実績!$W$6:$W$505,L$3,実績!$AI$6:$AI$505,"&lt;="&amp;$A219,実績!$AJ$6:$AJ$505,"&gt;"&amp;$A219,実績!$AK$6:$AK$505,"○")&gt;0,1,0))</f>
        <v>0</v>
      </c>
      <c r="M219" s="39" t="n">
        <f aca="false">IF(M$4=0,0,IF(COUNTIFS(実績!$W$6:$W$505,M$3,実績!$AI$6:$AI$505,"&lt;="&amp;$A219,実績!$AJ$6:$AJ$505,"&gt;"&amp;$A219,実績!$AK$6:$AK$505,"○")&gt;0,1,0))</f>
        <v>0</v>
      </c>
      <c r="N219" s="39" t="n">
        <f aca="false">IF(N$4=0,0,IF(COUNTIFS(実績!$W$6:$W$505,N$3,実績!$AI$6:$AI$505,"&lt;="&amp;$A219,実績!$AJ$6:$AJ$505,"&gt;"&amp;$A219,実績!$AK$6:$AK$505,"○")&gt;0,1,0))</f>
        <v>0</v>
      </c>
      <c r="O219" s="39" t="n">
        <f aca="false">IF(O$4=0,0,IF(COUNTIFS(実績!$W$6:$W$505,O$3,実績!$AI$6:$AI$505,"&lt;="&amp;$A219,実績!$AJ$6:$AJ$505,"&gt;"&amp;$A219,実績!$AK$6:$AK$505,"○")&gt;0,1,0))</f>
        <v>0</v>
      </c>
      <c r="P219" s="39" t="n">
        <f aca="false">IF(P$4=0,0,IF(COUNTIFS(実績!$W$6:$W$505,P$3,実績!$AI$6:$AI$505,"&lt;="&amp;$A219,実績!$AJ$6:$AJ$505,"&gt;"&amp;$A219,実績!$AK$6:$AK$505,"○")&gt;0,1,0))</f>
        <v>0</v>
      </c>
      <c r="Q219" s="39" t="n">
        <f aca="false">IF(Q$4=0,0,IF(COUNTIFS(実績!$W$6:$W$505,Q$3,実績!$AI$6:$AI$505,"&lt;="&amp;$A219,実績!$AJ$6:$AJ$505,"&gt;"&amp;$A219,実績!$AK$6:$AK$505,"○")&gt;0,1,0))</f>
        <v>0</v>
      </c>
      <c r="R219" s="39" t="n">
        <f aca="false">IF(R$4=0,0,IF(COUNTIFS(実績!$W$6:$W$505,R$3,実績!$AI$6:$AI$505,"&lt;="&amp;$A219,実績!$AJ$6:$AJ$505,"&gt;"&amp;$A219,実績!$AK$6:$AK$505,"○")&gt;0,1,0))</f>
        <v>0</v>
      </c>
      <c r="S219" s="39" t="n">
        <f aca="false">IF(S$4=0,0,IF(COUNTIFS(実績!$W$6:$W$505,S$3,実績!$AI$6:$AI$505,"&lt;="&amp;$A219,実績!$AJ$6:$AJ$505,"&gt;"&amp;$A219,実績!$AK$6:$AK$505,"○")&gt;0,1,0))</f>
        <v>0</v>
      </c>
      <c r="T219" s="39" t="n">
        <f aca="false">IF(T$4=0,0,IF(COUNTIFS(実績!$W$6:$W$505,T$3,実績!$AI$6:$AI$505,"&lt;="&amp;$A219,実績!$AJ$6:$AJ$505,"&gt;"&amp;$A219,実績!$AK$6:$AK$505,"○")&gt;0,1,0))</f>
        <v>0</v>
      </c>
      <c r="U219" s="39" t="n">
        <f aca="false">IF(U$4=0,0,IF(COUNTIFS(実績!$W$6:$W$505,U$3,実績!$AI$6:$AI$505,"&lt;="&amp;$A219,実績!$AJ$6:$AJ$505,"&gt;"&amp;$A219,実績!$AK$6:$AK$505,"○")&gt;0,1,0))</f>
        <v>0</v>
      </c>
      <c r="V219" s="39" t="n">
        <f aca="false">IF(V$4=0,0,IF(COUNTIFS(実績!$W$6:$W$505,V$3,実績!$AI$6:$AI$505,"&lt;="&amp;$A219,実績!$AJ$6:$AJ$505,"&gt;"&amp;$A219,実績!$AK$6:$AK$505,"○")&gt;0,1,0))</f>
        <v>0</v>
      </c>
      <c r="W219" s="39" t="n">
        <f aca="false">IF(W$4=0,0,IF(COUNTIFS(実績!$W$6:$W$505,W$3,実績!$AI$6:$AI$505,"&lt;="&amp;$A219,実績!$AJ$6:$AJ$505,"&gt;"&amp;$A219,実績!$AK$6:$AK$505,"○")&gt;0,1,0))</f>
        <v>0</v>
      </c>
      <c r="X219" s="39" t="n">
        <f aca="false">IF(X$4=0,0,IF(COUNTIFS(実績!$W$6:$W$505,X$3,実績!$AI$6:$AI$505,"&lt;="&amp;$A219,実績!$AJ$6:$AJ$505,"&gt;"&amp;$A219,実績!$AK$6:$AK$505,"○")&gt;0,1,0))</f>
        <v>0</v>
      </c>
      <c r="Y219" s="39" t="n">
        <f aca="false">IF(Y$4=0,0,IF(COUNTIFS(実績!$W$6:$W$505,Y$3,実績!$AI$6:$AI$505,"&lt;="&amp;$A219,実績!$AJ$6:$AJ$505,"&gt;"&amp;$A219,実績!$AK$6:$AK$505,"○")&gt;0,1,0))</f>
        <v>0</v>
      </c>
      <c r="Z219" s="39" t="n">
        <f aca="false">IF(Z$4=0,0,IF(COUNTIFS(実績!$W$6:$W$505,Z$3,実績!$AI$6:$AI$505,"&lt;="&amp;$A219,実績!$AJ$6:$AJ$505,"&gt;"&amp;$A219,実績!$AK$6:$AK$505,"○")&gt;0,1,0))</f>
        <v>0</v>
      </c>
      <c r="AA219" s="39" t="n">
        <f aca="false">IF(AA$4=0,0,IF(COUNTIFS(実績!$W$6:$W$505,AA$3,実績!$AI$6:$AI$505,"&lt;="&amp;$A219,実績!$AJ$6:$AJ$505,"&gt;"&amp;$A219,実績!$AK$6:$AK$505,"○")&gt;0,1,0))</f>
        <v>0</v>
      </c>
      <c r="AB219" s="39" t="n">
        <f aca="false">IF(AB$4=0,0,IF(COUNTIFS(実績!$W$6:$W$505,AB$3,実績!$AI$6:$AI$505,"&lt;="&amp;$A219,実績!$AJ$6:$AJ$505,"&gt;"&amp;$A219,実績!$AK$6:$AK$505,"○")&gt;0,1,0))</f>
        <v>0</v>
      </c>
      <c r="AC219" s="39" t="n">
        <f aca="false">IF(AC$4=0,0,IF(COUNTIFS(実績!$W$6:$W$505,AC$3,実績!$AI$6:$AI$505,"&lt;="&amp;$A219,実績!$AJ$6:$AJ$505,"&gt;"&amp;$A219,実績!$AK$6:$AK$505,"○")&gt;0,1,0))</f>
        <v>0</v>
      </c>
      <c r="AD219" s="39" t="n">
        <f aca="false">IF(AD$4=0,0,IF(COUNTIFS(実績!$W$6:$W$505,AD$3,実績!$AI$6:$AI$505,"&lt;="&amp;$A219,実績!$AJ$6:$AJ$505,"&gt;"&amp;$A219,実績!$AK$6:$AK$505,"○")&gt;0,1,0))</f>
        <v>0</v>
      </c>
      <c r="AE219" s="39" t="n">
        <f aca="false">IF(AE$4=0,0,IF(COUNTIFS(実績!$W$6:$W$505,AE$3,実績!$AI$6:$AI$505,"&lt;="&amp;$A219,実績!$AJ$6:$AJ$505,"&gt;"&amp;$A219,実績!$AK$6:$AK$505,"○")&gt;0,1,0))</f>
        <v>0</v>
      </c>
      <c r="AF219" s="39" t="n">
        <f aca="false">IF(AF$4=0,0,IF(COUNTIFS(実績!$W$6:$W$505,AF$3,実績!$AI$6:$AI$505,"&lt;="&amp;$A219,実績!$AJ$6:$AJ$505,"&gt;"&amp;$A219,実績!$AK$6:$AK$505,"○")&gt;0,1,0))</f>
        <v>0</v>
      </c>
      <c r="AG219" s="39" t="n">
        <f aca="false">IF(AG$4=0,0,IF(COUNTIFS(実績!$W$6:$W$505,AG$3,実績!$AI$6:$AI$505,"&lt;="&amp;$A219,実績!$AJ$6:$AJ$505,"&gt;"&amp;$A219,実績!$AK$6:$AK$505,"○")&gt;0,1,0))</f>
        <v>0</v>
      </c>
      <c r="AH219" s="39" t="n">
        <f aca="false">IF(AH$4=0,0,IF(COUNTIFS(実績!$W$6:$W$505,AH$3,実績!$AI$6:$AI$505,"&lt;="&amp;$A219,実績!$AJ$6:$AJ$505,"&gt;"&amp;$A219,実績!$AK$6:$AK$505,"○")&gt;0,1,0))</f>
        <v>0</v>
      </c>
      <c r="AI219" s="39" t="n">
        <f aca="false">IF(AI$4=0,0,IF(COUNTIFS(実績!$W$6:$W$505,AI$3,実績!$AI$6:$AI$505,"&lt;="&amp;$A219,実績!$AJ$6:$AJ$505,"&gt;"&amp;$A219,実績!$AK$6:$AK$505,"○")&gt;0,1,0))</f>
        <v>0</v>
      </c>
      <c r="AJ219" s="39" t="n">
        <f aca="false">IF(AJ$4=0,0,IF(COUNTIFS(実績!$W$6:$W$505,AJ$3,実績!$AI$6:$AI$505,"&lt;="&amp;$A219,実績!$AJ$6:$AJ$505,"&gt;"&amp;$A219,実績!$AK$6:$AK$505,"○")&gt;0,1,0))</f>
        <v>0</v>
      </c>
      <c r="AK219" s="39" t="n">
        <f aca="false">IF(AK$4=0,0,IF(COUNTIFS(実績!$W$6:$W$505,AK$3,実績!$AI$6:$AI$505,"&lt;="&amp;$A219,実績!$AJ$6:$AJ$505,"&gt;"&amp;$A219,実績!$AK$6:$AK$505,"○")&gt;0,1,0))</f>
        <v>0</v>
      </c>
      <c r="AL219" s="39" t="n">
        <f aca="false">IF(AL$4=0,0,IF(COUNTIFS(実績!$W$6:$W$505,AL$3,実績!$AI$6:$AI$505,"&lt;="&amp;$A219,実績!$AJ$6:$AJ$505,"&gt;"&amp;$A219,実績!$AK$6:$AK$505,"○")&gt;0,1,0))</f>
        <v>0</v>
      </c>
      <c r="AM219" s="39" t="n">
        <f aca="false">IF(AM$4=0,0,IF(COUNTIFS(実績!$W$6:$W$505,AM$3,実績!$AI$6:$AI$505,"&lt;="&amp;$A219,実績!$AJ$6:$AJ$505,"&gt;"&amp;$A219,実績!$AK$6:$AK$505,"○")&gt;0,1,0))</f>
        <v>0</v>
      </c>
      <c r="AN219" s="39" t="n">
        <f aca="false">IF(AN$4=0,0,IF(COUNTIFS(実績!$W$6:$W$505,AN$3,実績!$AI$6:$AI$505,"&lt;="&amp;$A219,実績!$AJ$6:$AJ$505,"&gt;"&amp;$A219,実績!$AK$6:$AK$505,"○")&gt;0,1,0))</f>
        <v>0</v>
      </c>
      <c r="AO219" s="39" t="n">
        <f aca="false">IF(AO$4=0,0,IF(COUNTIFS(実績!$W$6:$W$505,AO$3,実績!$AI$6:$AI$505,"&lt;="&amp;$A219,実績!$AJ$6:$AJ$505,"&gt;"&amp;$A219,実績!$AK$6:$AK$505,"○")&gt;0,1,0))</f>
        <v>0</v>
      </c>
      <c r="AP219" s="39" t="n">
        <f aca="false">IF(AP$4=0,0,IF(COUNTIFS(実績!$W$6:$W$505,AP$3,実績!$AI$6:$AI$505,"&lt;="&amp;$A219,実績!$AJ$6:$AJ$505,"&gt;"&amp;$A219,実績!$AK$6:$AK$505,"○")&gt;0,1,0))</f>
        <v>0</v>
      </c>
      <c r="AQ219" s="39" t="n">
        <f aca="false">IF(AQ$4=0,0,IF(COUNTIFS(実績!$W$6:$W$505,AQ$3,実績!$AI$6:$AI$505,"&lt;="&amp;$A219,実績!$AJ$6:$AJ$505,"&gt;"&amp;$A219,実績!$AK$6:$AK$505,"○")&gt;0,1,0))</f>
        <v>0</v>
      </c>
      <c r="AR219" s="39" t="n">
        <f aca="false">IF(AR$4=0,0,IF(COUNTIFS(実績!$W$6:$W$505,AR$3,実績!$AI$6:$AI$505,"&lt;="&amp;$A219,実績!$AJ$6:$AJ$505,"&gt;"&amp;$A219,実績!$AK$6:$AK$505,"○")&gt;0,1,0))</f>
        <v>0</v>
      </c>
      <c r="AS219" s="39" t="n">
        <f aca="false">IF(AS$4=0,0,IF(COUNTIFS(実績!$W$6:$W$505,AS$3,実績!$AI$6:$AI$505,"&lt;="&amp;$A219,実績!$AJ$6:$AJ$505,"&gt;"&amp;$A219,実績!$AK$6:$AK$505,"○")&gt;0,1,0))</f>
        <v>0</v>
      </c>
      <c r="AT219" s="39" t="n">
        <f aca="false">IF(AT$4=0,0,IF(COUNTIFS(実績!$W$6:$W$505,AT$3,実績!$AI$6:$AI$505,"&lt;="&amp;$A219,実績!$AJ$6:$AJ$505,"&gt;"&amp;$A219,実績!$AK$6:$AK$505,"○")&gt;0,1,0))</f>
        <v>0</v>
      </c>
      <c r="AU219" s="39" t="n">
        <f aca="false">IF(AU$4=0,0,IF(COUNTIFS(実績!$W$6:$W$505,AU$3,実績!$AI$6:$AI$505,"&lt;="&amp;$A219,実績!$AJ$6:$AJ$505,"&gt;"&amp;$A219,実績!$AK$6:$AK$505,"○")&gt;0,1,0))</f>
        <v>0</v>
      </c>
      <c r="AV219" s="39" t="n">
        <f aca="false">IF(AV$4=0,0,IF(COUNTIFS(実績!$W$6:$W$505,AV$3,実績!$AI$6:$AI$505,"&lt;="&amp;$A219,実績!$AJ$6:$AJ$505,"&gt;"&amp;$A219,実績!$AK$6:$AK$505,"○")&gt;0,1,0))</f>
        <v>0</v>
      </c>
      <c r="AW219" s="39" t="n">
        <f aca="false">IF(AW$4=0,0,IF(COUNTIFS(実績!$W$6:$W$505,AW$3,実績!$AI$6:$AI$505,"&lt;="&amp;$A219,実績!$AJ$6:$AJ$505,"&gt;"&amp;$A219,実績!$AK$6:$AK$505,"○")&gt;0,1,0))</f>
        <v>0</v>
      </c>
      <c r="AX219" s="39" t="n">
        <f aca="false">IF(AX$4=0,0,IF(COUNTIFS(実績!$W$6:$W$505,AX$3,実績!$AI$6:$AI$505,"&lt;="&amp;$A219,実績!$AJ$6:$AJ$505,"&gt;"&amp;$A219,実績!$AK$6:$AK$505,"○")&gt;0,1,0))</f>
        <v>0</v>
      </c>
      <c r="AY219" s="39" t="n">
        <f aca="false">IF(AY$4=0,0,IF(COUNTIFS(実績!$W$6:$W$505,AY$3,実績!$AI$6:$AI$505,"&lt;="&amp;$A219,実績!$AJ$6:$AJ$505,"&gt;"&amp;$A219,実績!$AK$6:$AK$505,"○")&gt;0,1,0))</f>
        <v>0</v>
      </c>
      <c r="AZ219" s="39" t="n">
        <f aca="false">IF(AZ$4=0,0,IF(COUNTIFS(実績!$W$6:$W$505,AZ$3,実績!$AI$6:$AI$505,"&lt;="&amp;$A219,実績!$AJ$6:$AJ$505,"&gt;"&amp;$A219,実績!$AK$6:$AK$505,"○")&gt;0,1,0))</f>
        <v>0</v>
      </c>
      <c r="BA219" s="39" t="n">
        <f aca="false">IF(BA$4=0,0,IF(COUNTIFS(実績!$W$6:$W$505,BA$3,実績!$AI$6:$AI$505,"&lt;="&amp;$A219,実績!$AJ$6:$AJ$505,"&gt;"&amp;$A219,実績!$AK$6:$AK$505,"○")&gt;0,1,0))</f>
        <v>0</v>
      </c>
      <c r="BB219" s="39" t="n">
        <f aca="false">IF(BB$4=0,0,IF(COUNTIFS(実績!$W$6:$W$505,BB$3,実績!$AI$6:$AI$505,"&lt;="&amp;$A219,実績!$AJ$6:$AJ$505,"&gt;"&amp;$A219,実績!$AK$6:$AK$505,"○")&gt;0,1,0))</f>
        <v>0</v>
      </c>
      <c r="BC219" s="39" t="n">
        <f aca="false">IF(BC$4=0,0,IF(COUNTIFS(実績!$W$6:$W$505,BC$3,実績!$AI$6:$AI$505,"&lt;="&amp;$A219,実績!$AJ$6:$AJ$505,"&gt;"&amp;$A219,実績!$AK$6:$AK$505,"○")&gt;0,1,0))</f>
        <v>0</v>
      </c>
      <c r="BD219" s="39" t="n">
        <f aca="false">IF(BD$4=0,0,IF(COUNTIFS(実績!$W$6:$W$505,BD$3,実績!$AI$6:$AI$505,"&lt;="&amp;$A219,実績!$AJ$6:$AJ$505,"&gt;"&amp;$A219,実績!$AK$6:$AK$505,"○")&gt;0,1,0))</f>
        <v>0</v>
      </c>
      <c r="BE219" s="39" t="n">
        <f aca="false">IF(BE$4=0,0,IF(COUNTIFS(実績!$W$6:$W$505,BE$3,実績!$AI$6:$AI$505,"&lt;="&amp;$A219,実績!$AJ$6:$AJ$505,"&gt;"&amp;$A219,実績!$AK$6:$AK$505,"○")&gt;0,1,0))</f>
        <v>0</v>
      </c>
      <c r="BF219" s="39" t="n">
        <f aca="false">IF(BF$4=0,0,IF(COUNTIFS(実績!$W$6:$W$505,BF$3,実績!$AI$6:$AI$505,"&lt;="&amp;$A219,実績!$AJ$6:$AJ$505,"&gt;"&amp;$A219,実績!$AK$6:$AK$505,"○")&gt;0,1,0))</f>
        <v>0</v>
      </c>
      <c r="BG219" s="39" t="n">
        <f aca="false">IF(BG$4=0,0,IF(COUNTIFS(実績!$W$6:$W$505,BG$3,実績!$AI$6:$AI$505,"&lt;="&amp;$A219,実績!$AJ$6:$AJ$505,"&gt;"&amp;$A219,実績!$AK$6:$AK$505,"○")&gt;0,1,0))</f>
        <v>0</v>
      </c>
      <c r="BH219" s="39" t="n">
        <f aca="false">IF(BH$4=0,0,IF(COUNTIFS(実績!$W$6:$W$505,BH$3,実績!$AI$6:$AI$505,"&lt;="&amp;$A219,実績!$AJ$6:$AJ$505,"&gt;"&amp;$A219,実績!$AK$6:$AK$505,"○")&gt;0,1,0))</f>
        <v>0</v>
      </c>
      <c r="BI219" s="39" t="n">
        <f aca="false">IF(BI$4=0,0,IF(COUNTIFS(実績!$W$6:$W$505,BI$3,実績!$AI$6:$AI$505,"&lt;="&amp;$A219,実績!$AJ$6:$AJ$505,"&gt;"&amp;$A219,実績!$AK$6:$AK$505,"○")&gt;0,1,0))</f>
        <v>0</v>
      </c>
      <c r="BJ219" s="39" t="n">
        <f aca="false">IF(BJ$4=0,0,IF(COUNTIFS(実績!$W$6:$W$505,BJ$3,実績!$AI$6:$AI$505,"&lt;="&amp;$A219,実績!$AJ$6:$AJ$505,"&gt;"&amp;$A219,実績!$AK$6:$AK$505,"○")&gt;0,1,0))</f>
        <v>0</v>
      </c>
      <c r="BK219" s="39" t="n">
        <f aca="false">IF(BK$4=0,0,IF(COUNTIFS(実績!$W$6:$W$505,BK$3,実績!$AI$6:$AI$505,"&lt;="&amp;$A219,実績!$AJ$6:$AJ$505,"&gt;"&amp;$A219,実績!$AK$6:$AK$505,"○")&gt;0,1,0))</f>
        <v>0</v>
      </c>
      <c r="BL219" s="39" t="n">
        <f aca="false">IF(BL$4=0,0,IF(COUNTIFS(実績!$W$6:$W$505,BL$3,実績!$AI$6:$AI$505,"&lt;="&amp;$A219,実績!$AJ$6:$AJ$505,"&gt;"&amp;$A219,実績!$AK$6:$AK$505,"○")&gt;0,1,0))</f>
        <v>0</v>
      </c>
      <c r="BM219" s="39" t="n">
        <f aca="false">IF(BM$4=0,0,IF(COUNTIFS(実績!$W$6:$W$505,BM$3,実績!$AI$6:$AI$505,"&lt;="&amp;$A219,実績!$AJ$6:$AJ$505,"&gt;"&amp;$A219,実績!$AK$6:$AK$505,"○")&gt;0,1,0))</f>
        <v>0</v>
      </c>
      <c r="BN219" s="39" t="n">
        <f aca="false">IF(BN$4=0,0,IF(COUNTIFS(実績!$W$6:$W$505,BN$3,実績!$AI$6:$AI$505,"&lt;="&amp;$A219,実績!$AJ$6:$AJ$505,"&gt;"&amp;$A219,実績!$AK$6:$AK$505,"○")&gt;0,1,0))</f>
        <v>0</v>
      </c>
      <c r="BO219" s="39" t="n">
        <f aca="false">IF(BO$4=0,0,IF(COUNTIFS(実績!$W$6:$W$505,BO$3,実績!$AI$6:$AI$505,"&lt;="&amp;$A219,実績!$AJ$6:$AJ$505,"&gt;"&amp;$A219,実績!$AK$6:$AK$505,"○")&gt;0,1,0))</f>
        <v>0</v>
      </c>
      <c r="BP219" s="39" t="n">
        <f aca="false">IF(BP$4=0,0,IF(COUNTIFS(実績!$W$6:$W$505,BP$3,実績!$AI$6:$AI$505,"&lt;="&amp;$A219,実績!$AJ$6:$AJ$505,"&gt;"&amp;$A219,実績!$AK$6:$AK$505,"○")&gt;0,1,0))</f>
        <v>0</v>
      </c>
      <c r="BQ219" s="39" t="n">
        <f aca="false">IF(BQ$4=0,0,IF(COUNTIFS(実績!$W$6:$W$505,BQ$3,実績!$AI$6:$AI$505,"&lt;="&amp;$A219,実績!$AJ$6:$AJ$505,"&gt;"&amp;$A219,実績!$AK$6:$AK$505,"○")&gt;0,1,0))</f>
        <v>0</v>
      </c>
      <c r="BR219" s="39" t="n">
        <f aca="false">IF(BR$4=0,0,IF(COUNTIFS(実績!$W$6:$W$505,BR$3,実績!$AI$6:$AI$505,"&lt;="&amp;$A219,実績!$AJ$6:$AJ$505,"&gt;"&amp;$A219,実績!$AK$6:$AK$505,"○")&gt;0,1,0))</f>
        <v>0</v>
      </c>
      <c r="BS219" s="39" t="n">
        <f aca="false">IF(BS$4=0,0,IF(COUNTIFS(実績!$W$6:$W$505,BS$3,実績!$AI$6:$AI$505,"&lt;="&amp;$A219,実績!$AJ$6:$AJ$505,"&gt;"&amp;$A219,実績!$AK$6:$AK$505,"○")&gt;0,1,0))</f>
        <v>0</v>
      </c>
      <c r="BT219" s="39" t="n">
        <f aca="false">IF(BT$4=0,0,IF(COUNTIFS(実績!$W$6:$W$505,BT$3,実績!$AI$6:$AI$505,"&lt;="&amp;$A219,実績!$AJ$6:$AJ$505,"&gt;"&amp;$A219,実績!$AK$6:$AK$505,"○")&gt;0,1,0))</f>
        <v>0</v>
      </c>
      <c r="BU219" s="39" t="n">
        <f aca="false">IF(BU$4=0,0,IF(COUNTIFS(実績!$W$6:$W$505,BU$3,実績!$AI$6:$AI$505,"&lt;="&amp;$A219,実績!$AJ$6:$AJ$505,"&gt;"&amp;$A219,実績!$AK$6:$AK$505,"○")&gt;0,1,0))</f>
        <v>0</v>
      </c>
      <c r="BV219" s="39" t="n">
        <f aca="false">IF(BV$4=0,0,IF(COUNTIFS(実績!$W$6:$W$505,BV$3,実績!$AI$6:$AI$505,"&lt;="&amp;$A219,実績!$AJ$6:$AJ$505,"&gt;"&amp;$A219,実績!$AK$6:$AK$505,"○")&gt;0,1,0))</f>
        <v>0</v>
      </c>
      <c r="BW219" s="39" t="n">
        <f aca="false">IF(BW$4=0,0,IF(COUNTIFS(実績!$W$6:$W$505,BW$3,実績!$AI$6:$AI$505,"&lt;="&amp;$A219,実績!$AJ$6:$AJ$505,"&gt;"&amp;$A219,実績!$AK$6:$AK$505,"○")&gt;0,1,0))</f>
        <v>0</v>
      </c>
      <c r="BX219" s="39" t="n">
        <f aca="false">IF(BX$4=0,0,IF(COUNTIFS(実績!$W$6:$W$505,BX$3,実績!$AI$6:$AI$505,"&lt;="&amp;$A219,実績!$AJ$6:$AJ$505,"&gt;"&amp;$A219,実績!$AK$6:$AK$505,"○")&gt;0,1,0))</f>
        <v>0</v>
      </c>
      <c r="BY219" s="39" t="n">
        <f aca="false">IF(BY$4=0,0,IF(COUNTIFS(実績!$W$6:$W$505,BY$3,実績!$AI$6:$AI$505,"&lt;="&amp;$A219,実績!$AJ$6:$AJ$505,"&gt;"&amp;$A219,実績!$AK$6:$AK$505,"○")&gt;0,1,0))</f>
        <v>0</v>
      </c>
      <c r="BZ219" s="39" t="n">
        <f aca="false">IF(BZ$4=0,0,IF(COUNTIFS(実績!$W$6:$W$505,BZ$3,実績!$AI$6:$AI$505,"&lt;="&amp;$A219,実績!$AJ$6:$AJ$505,"&gt;"&amp;$A219,実績!$AK$6:$AK$505,"○")&gt;0,1,0))</f>
        <v>0</v>
      </c>
      <c r="CA219" s="39" t="n">
        <f aca="false">IF(CA$4=0,0,IF(COUNTIFS(実績!$W$6:$W$505,CA$3,実績!$AI$6:$AI$505,"&lt;="&amp;$A219,実績!$AJ$6:$AJ$505,"&gt;"&amp;$A219,実績!$AK$6:$AK$505,"○")&gt;0,1,0))</f>
        <v>0</v>
      </c>
      <c r="CB219" s="39" t="n">
        <f aca="false">IF(CB$4=0,0,IF(COUNTIFS(実績!$W$6:$W$505,CB$3,実績!$AI$6:$AI$505,"&lt;="&amp;$A219,実績!$AJ$6:$AJ$505,"&gt;"&amp;$A219,実績!$AK$6:$AK$505,"○")&gt;0,1,0))</f>
        <v>0</v>
      </c>
      <c r="CC219" s="39" t="n">
        <f aca="false">IF(CC$4=0,0,IF(COUNTIFS(実績!$W$6:$W$505,CC$3,実績!$AI$6:$AI$505,"&lt;="&amp;$A219,実績!$AJ$6:$AJ$505,"&gt;"&amp;$A219,実績!$AK$6:$AK$505,"○")&gt;0,1,0))</f>
        <v>0</v>
      </c>
      <c r="CD219" s="39" t="n">
        <f aca="false">IF(CD$4=0,0,IF(COUNTIFS(実績!$W$6:$W$505,CD$3,実績!$AI$6:$AI$505,"&lt;="&amp;$A219,実績!$AJ$6:$AJ$505,"&gt;"&amp;$A219,実績!$AK$6:$AK$505,"○")&gt;0,1,0))</f>
        <v>0</v>
      </c>
      <c r="CE219" s="39" t="n">
        <f aca="false">IF(CE$4=0,0,IF(COUNTIFS(実績!$W$6:$W$505,CE$3,実績!$AI$6:$AI$505,"&lt;="&amp;$A219,実績!$AJ$6:$AJ$505,"&gt;"&amp;$A219,実績!$AK$6:$AK$505,"○")&gt;0,1,0))</f>
        <v>0</v>
      </c>
      <c r="CF219" s="39" t="n">
        <f aca="false">IF(CF$4=0,0,IF(COUNTIFS(実績!$W$6:$W$505,CF$3,実績!$AI$6:$AI$505,"&lt;="&amp;$A219,実績!$AJ$6:$AJ$505,"&gt;"&amp;$A219,実績!$AK$6:$AK$505,"○")&gt;0,1,0))</f>
        <v>0</v>
      </c>
      <c r="CG219" s="39" t="n">
        <f aca="false">IF(CG$4=0,0,IF(COUNTIFS(実績!$W$6:$W$505,CG$3,実績!$AI$6:$AI$505,"&lt;="&amp;$A219,実績!$AJ$6:$AJ$505,"&gt;"&amp;$A219,実績!$AK$6:$AK$505,"○")&gt;0,1,0))</f>
        <v>0</v>
      </c>
      <c r="CH219" s="39" t="n">
        <f aca="false">IF(CH$4=0,0,IF(COUNTIFS(実績!$W$6:$W$505,CH$3,実績!$AI$6:$AI$505,"&lt;="&amp;$A219,実績!$AJ$6:$AJ$505,"&gt;"&amp;$A219,実績!$AK$6:$AK$505,"○")&gt;0,1,0))</f>
        <v>0</v>
      </c>
      <c r="CI219" s="39" t="n">
        <f aca="false">IF(CI$4=0,0,IF(COUNTIFS(実績!$W$6:$W$505,CI$3,実績!$AI$6:$AI$505,"&lt;="&amp;$A219,実績!$AJ$6:$AJ$505,"&gt;"&amp;$A219,実績!$AK$6:$AK$505,"○")&gt;0,1,0))</f>
        <v>0</v>
      </c>
      <c r="CJ219" s="39" t="n">
        <f aca="false">IF(CJ$4=0,0,IF(COUNTIFS(実績!$W$6:$W$505,CJ$3,実績!$AI$6:$AI$505,"&lt;="&amp;$A219,実績!$AJ$6:$AJ$505,"&gt;"&amp;$A219,実績!$AK$6:$AK$505,"○")&gt;0,1,0))</f>
        <v>0</v>
      </c>
      <c r="CK219" s="39" t="n">
        <f aca="false">IF(CK$4=0,0,IF(COUNTIFS(実績!$W$6:$W$505,CK$3,実績!$AI$6:$AI$505,"&lt;="&amp;$A219,実績!$AJ$6:$AJ$505,"&gt;"&amp;$A219,実績!$AK$6:$AK$505,"○")&gt;0,1,0))</f>
        <v>0</v>
      </c>
      <c r="CL219" s="39" t="n">
        <f aca="false">IF(CL$4=0,0,IF(COUNTIFS(実績!$W$6:$W$505,CL$3,実績!$AI$6:$AI$505,"&lt;="&amp;$A219,実績!$AJ$6:$AJ$505,"&gt;"&amp;$A219,実績!$AK$6:$AK$505,"○")&gt;0,1,0))</f>
        <v>0</v>
      </c>
      <c r="CM219" s="39" t="n">
        <f aca="false">IF(CM$4=0,0,IF(COUNTIFS(実績!$W$6:$W$505,CM$3,実績!$AI$6:$AI$505,"&lt;="&amp;$A219,実績!$AJ$6:$AJ$505,"&gt;"&amp;$A219,実績!$AK$6:$AK$505,"○")&gt;0,1,0))</f>
        <v>0</v>
      </c>
      <c r="CN219" s="39" t="n">
        <f aca="false">IF(CN$4=0,0,IF(COUNTIFS(実績!$W$6:$W$505,CN$3,実績!$AI$6:$AI$505,"&lt;="&amp;$A219,実績!$AJ$6:$AJ$505,"&gt;"&amp;$A219,実績!$AK$6:$AK$505,"○")&gt;0,1,0))</f>
        <v>0</v>
      </c>
      <c r="CO219" s="39" t="n">
        <f aca="false">IF(CO$4=0,0,IF(COUNTIFS(実績!$W$6:$W$505,CO$3,実績!$AI$6:$AI$505,"&lt;="&amp;$A219,実績!$AJ$6:$AJ$505,"&gt;"&amp;$A219,実績!$AK$6:$AK$505,"○")&gt;0,1,0))</f>
        <v>0</v>
      </c>
      <c r="CP219" s="39" t="n">
        <f aca="false">IF(CP$4=0,0,IF(COUNTIFS(実績!$W$6:$W$505,CP$3,実績!$AI$6:$AI$505,"&lt;="&amp;$A219,実績!$AJ$6:$AJ$505,"&gt;"&amp;$A219,実績!$AK$6:$AK$505,"○")&gt;0,1,0))</f>
        <v>0</v>
      </c>
      <c r="CQ219" s="39" t="n">
        <f aca="false">IF(CQ$4=0,0,IF(COUNTIFS(実績!$W$6:$W$505,CQ$3,実績!$AI$6:$AI$505,"&lt;="&amp;$A219,実績!$AJ$6:$AJ$505,"&gt;"&amp;$A219,実績!$AK$6:$AK$505,"○")&gt;0,1,0))</f>
        <v>0</v>
      </c>
      <c r="CR219" s="39" t="n">
        <f aca="false">IF(CR$4=0,0,IF(COUNTIFS(実績!$W$6:$W$505,CR$3,実績!$AI$6:$AI$505,"&lt;="&amp;$A219,実績!$AJ$6:$AJ$505,"&gt;"&amp;$A219,実績!$AK$6:$AK$505,"○")&gt;0,1,0))</f>
        <v>0</v>
      </c>
      <c r="CS219" s="39" t="n">
        <f aca="false">IF(CS$4=0,0,IF(COUNTIFS(実績!$W$6:$W$505,CS$3,実績!$AI$6:$AI$505,"&lt;="&amp;$A219,実績!$AJ$6:$AJ$505,"&gt;"&amp;$A219,実績!$AK$6:$AK$505,"○")&gt;0,1,0))</f>
        <v>0</v>
      </c>
      <c r="CT219" s="39" t="n">
        <f aca="false">IF(CT$4=0,0,IF(COUNTIFS(実績!$W$6:$W$505,CT$3,実績!$AI$6:$AI$505,"&lt;="&amp;$A219,実績!$AJ$6:$AJ$505,"&gt;"&amp;$A219,実績!$AK$6:$AK$505,"○")&gt;0,1,0))</f>
        <v>0</v>
      </c>
      <c r="CU219" s="39" t="n">
        <f aca="false">IF(CU$4=0,0,IF(COUNTIFS(実績!$W$6:$W$505,CU$3,実績!$AI$6:$AI$505,"&lt;="&amp;$A219,実績!$AJ$6:$AJ$505,"&gt;"&amp;$A219,実績!$AK$6:$AK$505,"○")&gt;0,1,0))</f>
        <v>0</v>
      </c>
      <c r="CV219" s="39" t="n">
        <f aca="false">IF(CV$4=0,0,IF(COUNTIFS(実績!$W$6:$W$505,CV$3,実績!$AI$6:$AI$505,"&lt;="&amp;$A219,実績!$AJ$6:$AJ$505,"&gt;"&amp;$A219,実績!$AK$6:$AK$505,"○")&gt;0,1,0))</f>
        <v>0</v>
      </c>
      <c r="CW219" s="39" t="n">
        <f aca="false">IF(CW$4=0,0,IF(COUNTIFS(実績!$W$6:$W$505,CW$3,実績!$AI$6:$AI$505,"&lt;="&amp;$A219,実績!$AJ$6:$AJ$505,"&gt;"&amp;$A219,実績!$AK$6:$AK$505,"○")&gt;0,1,0))</f>
        <v>0</v>
      </c>
      <c r="CX219" s="39" t="n">
        <f aca="false">IF(CX$4=0,0,IF(COUNTIFS(実績!$W$6:$W$505,CX$3,実績!$AI$6:$AI$505,"&lt;="&amp;$A219,実績!$AJ$6:$AJ$505,"&gt;"&amp;$A219,実績!$AK$6:$AK$505,"○")&gt;0,1,0))</f>
        <v>0</v>
      </c>
      <c r="CY219" s="39" t="n">
        <f aca="false">IF(CY$4=0,0,IF(COUNTIFS(実績!$W$6:$W$505,CY$3,実績!$AI$6:$AI$505,"&lt;="&amp;$A219,実績!$AJ$6:$AJ$505,"&gt;"&amp;$A219,実績!$AK$6:$AK$505,"○")&gt;0,1,0))</f>
        <v>0</v>
      </c>
      <c r="CZ219" s="39" t="n">
        <f aca="false">IF(CZ$4=0,0,IF(COUNTIFS(実績!$W$6:$W$505,CZ$3,実績!$AI$6:$AI$505,"&lt;="&amp;$A219,実績!$AJ$6:$AJ$505,"&gt;"&amp;$A219,実績!$AK$6:$AK$505,"○")&gt;0,1,0))</f>
        <v>0</v>
      </c>
      <c r="DA219" s="39" t="n">
        <f aca="false">IF(DA$4=0,0,IF(COUNTIFS(実績!$W$6:$W$505,DA$3,実績!$AI$6:$AI$505,"&lt;="&amp;$A219,実績!$AJ$6:$AJ$505,"&gt;"&amp;$A219,実績!$AK$6:$AK$505,"○")&gt;0,1,0))</f>
        <v>0</v>
      </c>
      <c r="DB219" s="39" t="n">
        <f aca="false">IF(DB$4=0,0,IF(COUNTIFS(実績!$W$6:$W$505,DB$3,実績!$AI$6:$AI$505,"&lt;="&amp;$A219,実績!$AJ$6:$AJ$505,"&gt;"&amp;$A219,実績!$AK$6:$AK$505,"○")&gt;0,1,0))</f>
        <v>0</v>
      </c>
      <c r="DC219" s="39" t="n">
        <f aca="false">IF(DC$4=0,0,IF(COUNTIFS(実績!$W$6:$W$505,DC$3,実績!$AI$6:$AI$505,"&lt;="&amp;$A219,実績!$AJ$6:$AJ$505,"&gt;"&amp;$A219,実績!$AK$6:$AK$505,"○")&gt;0,1,0))</f>
        <v>0</v>
      </c>
      <c r="DD219" s="39" t="n">
        <f aca="false">IF(DD$4=0,0,IF(COUNTIFS(実績!$W$6:$W$505,DD$3,実績!$AI$6:$AI$505,"&lt;="&amp;$A219,実績!$AJ$6:$AJ$505,"&gt;"&amp;$A219,実績!$AK$6:$AK$505,"○")&gt;0,1,0))</f>
        <v>0</v>
      </c>
      <c r="DE219" s="39" t="n">
        <f aca="false">IF(DE$4=0,0,IF(COUNTIFS(実績!$W$6:$W$505,DE$3,実績!$AI$6:$AI$505,"&lt;="&amp;$A219,実績!$AJ$6:$AJ$505,"&gt;"&amp;$A219,実績!$AK$6:$AK$505,"○")&gt;0,1,0))</f>
        <v>0</v>
      </c>
      <c r="DF219" s="39" t="n">
        <f aca="false">IF(DF$4=0,0,IF(COUNTIFS(実績!$W$6:$W$505,DF$3,実績!$AI$6:$AI$505,"&lt;="&amp;$A219,実績!$AJ$6:$AJ$505,"&gt;"&amp;$A219,実績!$AK$6:$AK$505,"○")&gt;0,1,0))</f>
        <v>0</v>
      </c>
      <c r="DG219" s="39" t="n">
        <f aca="false">IF(DG$4=0,0,IF(COUNTIFS(実績!$W$6:$W$505,DG$3,実績!$AI$6:$AI$505,"&lt;="&amp;$A219,実績!$AJ$6:$AJ$505,"&gt;"&amp;$A219,実績!$AK$6:$AK$505,"○")&gt;0,1,0))</f>
        <v>0</v>
      </c>
      <c r="DH219" s="39" t="n">
        <f aca="false">IF(DH$4=0,0,IF(COUNTIFS(実績!$W$6:$W$505,DH$3,実績!$AI$6:$AI$505,"&lt;="&amp;$A219,実績!$AJ$6:$AJ$505,"&gt;"&amp;$A219,実績!$AK$6:$AK$505,"○")&gt;0,1,0))</f>
        <v>0</v>
      </c>
      <c r="DI219" s="39" t="n">
        <f aca="false">IF(DI$4=0,0,IF(COUNTIFS(実績!$W$6:$W$505,DI$3,実績!$AI$6:$AI$505,"&lt;="&amp;$A219,実績!$AJ$6:$AJ$505,"&gt;"&amp;$A219,実績!$AK$6:$AK$505,"○")&gt;0,1,0))</f>
        <v>0</v>
      </c>
      <c r="DJ219" s="39" t="n">
        <f aca="false">IF(DJ$4=0,0,IF(COUNTIFS(実績!$W$6:$W$505,DJ$3,実績!$AI$6:$AI$505,"&lt;="&amp;$A219,実績!$AJ$6:$AJ$505,"&gt;"&amp;$A219,実績!$AK$6:$AK$505,"○")&gt;0,1,0))</f>
        <v>0</v>
      </c>
      <c r="DK219" s="39" t="n">
        <f aca="false">IF(DK$4=0,0,IF(COUNTIFS(実績!$W$6:$W$505,DK$3,実績!$AI$6:$AI$505,"&lt;="&amp;$A219,実績!$AJ$6:$AJ$505,"&gt;"&amp;$A219,実績!$AK$6:$AK$505,"○")&gt;0,1,0))</f>
        <v>0</v>
      </c>
      <c r="DL219" s="39" t="n">
        <f aca="false">IF(DL$4=0,0,IF(COUNTIFS(実績!$W$6:$W$505,DL$3,実績!$AI$6:$AI$505,"&lt;="&amp;$A219,実績!$AJ$6:$AJ$505,"&gt;"&amp;$A219,実績!$AK$6:$AK$505,"○")&gt;0,1,0))</f>
        <v>0</v>
      </c>
      <c r="DM219" s="39" t="n">
        <f aca="false">IF(DM$4=0,0,IF(COUNTIFS(実績!$W$6:$W$505,DM$3,実績!$AI$6:$AI$505,"&lt;="&amp;$A219,実績!$AJ$6:$AJ$505,"&gt;"&amp;$A219,実績!$AK$6:$AK$505,"○")&gt;0,1,0))</f>
        <v>0</v>
      </c>
      <c r="DN219" s="39" t="n">
        <f aca="false">IF(DN$4=0,0,IF(COUNTIFS(実績!$W$6:$W$505,DN$3,実績!$AI$6:$AI$505,"&lt;="&amp;$A219,実績!$AJ$6:$AJ$505,"&gt;"&amp;$A219,実績!$AK$6:$AK$505,"○")&gt;0,1,0))</f>
        <v>0</v>
      </c>
      <c r="DO219" s="39" t="n">
        <f aca="false">IF(DO$4=0,0,IF(COUNTIFS(実績!$W$6:$W$505,DO$3,実績!$AI$6:$AI$505,"&lt;="&amp;$A219,実績!$AJ$6:$AJ$505,"&gt;"&amp;$A219,実績!$AK$6:$AK$505,"○")&gt;0,1,0))</f>
        <v>0</v>
      </c>
      <c r="DP219" s="39" t="n">
        <f aca="false">IF(DP$4=0,0,IF(COUNTIFS(実績!$W$6:$W$505,DP$3,実績!$AI$6:$AI$505,"&lt;="&amp;$A219,実績!$AJ$6:$AJ$505,"&gt;"&amp;$A219,実績!$AK$6:$AK$505,"○")&gt;0,1,0))</f>
        <v>0</v>
      </c>
      <c r="DQ219" s="39" t="n">
        <f aca="false">IF(DQ$4=0,0,IF(COUNTIFS(実績!$W$6:$W$505,DQ$3,実績!$AI$6:$AI$505,"&lt;="&amp;$A219,実績!$AJ$6:$AJ$505,"&gt;"&amp;$A219,実績!$AK$6:$AK$505,"○")&gt;0,1,0))</f>
        <v>0</v>
      </c>
      <c r="DR219" s="39" t="n">
        <f aca="false">IF(DR$4=0,0,IF(COUNTIFS(実績!$W$6:$W$505,DR$3,実績!$AI$6:$AI$505,"&lt;="&amp;$A219,実績!$AJ$6:$AJ$505,"&gt;"&amp;$A219,実績!$AK$6:$AK$505,"○")&gt;0,1,0))</f>
        <v>0</v>
      </c>
      <c r="DS219" s="39" t="n">
        <f aca="false">SUM(C219:DR219)</f>
        <v>0</v>
      </c>
      <c r="DT219" s="39" t="n">
        <f aca="false">SUMPRODUCT((実績!$C$6:$C$505="○")*ISNUMBER(実績!$AM$6:$AM$505)*(実績!$AM$6:$AM$505&lt;=$A219)*(実績!$AN$6:$AN$505&gt;$A219))</f>
        <v>0</v>
      </c>
      <c r="DU219" s="39" t="n">
        <f aca="false">SUMIF($C$2:$DR$2,"製鉄曳船",C219:DR219)</f>
        <v>0</v>
      </c>
      <c r="DV219" s="39" t="n">
        <f aca="false">SUMIF($C$2:$DR$2,"西日本海運",C219:DR219)</f>
        <v>0</v>
      </c>
    </row>
    <row r="220" customFormat="false" ht="15" hidden="false" customHeight="false" outlineLevel="0" collapsed="false">
      <c r="A220" s="0" t="n">
        <v>1070</v>
      </c>
      <c r="B220" s="38" t="n">
        <f aca="false">A220/1440</f>
        <v>0.743055555555556</v>
      </c>
      <c r="C220" s="39" t="n">
        <f aca="false">IF(C$4=0,0,IF(COUNTIFS(実績!$W$6:$W$505,C$3,実績!$AI$6:$AI$505,"&lt;="&amp;$A220,実績!$AJ$6:$AJ$505,"&gt;"&amp;$A220,実績!$AK$6:$AK$505,"○")&gt;0,1,0))</f>
        <v>0</v>
      </c>
      <c r="D220" s="39" t="n">
        <f aca="false">IF(D$4=0,0,IF(COUNTIFS(実績!$W$6:$W$505,D$3,実績!$AI$6:$AI$505,"&lt;="&amp;$A220,実績!$AJ$6:$AJ$505,"&gt;"&amp;$A220,実績!$AK$6:$AK$505,"○")&gt;0,1,0))</f>
        <v>0</v>
      </c>
      <c r="E220" s="39" t="n">
        <f aca="false">IF(E$4=0,0,IF(COUNTIFS(実績!$W$6:$W$505,E$3,実績!$AI$6:$AI$505,"&lt;="&amp;$A220,実績!$AJ$6:$AJ$505,"&gt;"&amp;$A220,実績!$AK$6:$AK$505,"○")&gt;0,1,0))</f>
        <v>0</v>
      </c>
      <c r="F220" s="39" t="n">
        <f aca="false">IF(F$4=0,0,IF(COUNTIFS(実績!$W$6:$W$505,F$3,実績!$AI$6:$AI$505,"&lt;="&amp;$A220,実績!$AJ$6:$AJ$505,"&gt;"&amp;$A220,実績!$AK$6:$AK$505,"○")&gt;0,1,0))</f>
        <v>0</v>
      </c>
      <c r="G220" s="39" t="n">
        <f aca="false">IF(G$4=0,0,IF(COUNTIFS(実績!$W$6:$W$505,G$3,実績!$AI$6:$AI$505,"&lt;="&amp;$A220,実績!$AJ$6:$AJ$505,"&gt;"&amp;$A220,実績!$AK$6:$AK$505,"○")&gt;0,1,0))</f>
        <v>0</v>
      </c>
      <c r="H220" s="39" t="n">
        <f aca="false">IF(H$4=0,0,IF(COUNTIFS(実績!$W$6:$W$505,H$3,実績!$AI$6:$AI$505,"&lt;="&amp;$A220,実績!$AJ$6:$AJ$505,"&gt;"&amp;$A220,実績!$AK$6:$AK$505,"○")&gt;0,1,0))</f>
        <v>0</v>
      </c>
      <c r="I220" s="39" t="n">
        <f aca="false">IF(I$4=0,0,IF(COUNTIFS(実績!$W$6:$W$505,I$3,実績!$AI$6:$AI$505,"&lt;="&amp;$A220,実績!$AJ$6:$AJ$505,"&gt;"&amp;$A220,実績!$AK$6:$AK$505,"○")&gt;0,1,0))</f>
        <v>0</v>
      </c>
      <c r="J220" s="39" t="n">
        <f aca="false">IF(J$4=0,0,IF(COUNTIFS(実績!$W$6:$W$505,J$3,実績!$AI$6:$AI$505,"&lt;="&amp;$A220,実績!$AJ$6:$AJ$505,"&gt;"&amp;$A220,実績!$AK$6:$AK$505,"○")&gt;0,1,0))</f>
        <v>0</v>
      </c>
      <c r="K220" s="39" t="n">
        <f aca="false">IF(K$4=0,0,IF(COUNTIFS(実績!$W$6:$W$505,K$3,実績!$AI$6:$AI$505,"&lt;="&amp;$A220,実績!$AJ$6:$AJ$505,"&gt;"&amp;$A220,実績!$AK$6:$AK$505,"○")&gt;0,1,0))</f>
        <v>0</v>
      </c>
      <c r="L220" s="39" t="n">
        <f aca="false">IF(L$4=0,0,IF(COUNTIFS(実績!$W$6:$W$505,L$3,実績!$AI$6:$AI$505,"&lt;="&amp;$A220,実績!$AJ$6:$AJ$505,"&gt;"&amp;$A220,実績!$AK$6:$AK$505,"○")&gt;0,1,0))</f>
        <v>0</v>
      </c>
      <c r="M220" s="39" t="n">
        <f aca="false">IF(M$4=0,0,IF(COUNTIFS(実績!$W$6:$W$505,M$3,実績!$AI$6:$AI$505,"&lt;="&amp;$A220,実績!$AJ$6:$AJ$505,"&gt;"&amp;$A220,実績!$AK$6:$AK$505,"○")&gt;0,1,0))</f>
        <v>0</v>
      </c>
      <c r="N220" s="39" t="n">
        <f aca="false">IF(N$4=0,0,IF(COUNTIFS(実績!$W$6:$W$505,N$3,実績!$AI$6:$AI$505,"&lt;="&amp;$A220,実績!$AJ$6:$AJ$505,"&gt;"&amp;$A220,実績!$AK$6:$AK$505,"○")&gt;0,1,0))</f>
        <v>0</v>
      </c>
      <c r="O220" s="39" t="n">
        <f aca="false">IF(O$4=0,0,IF(COUNTIFS(実績!$W$6:$W$505,O$3,実績!$AI$6:$AI$505,"&lt;="&amp;$A220,実績!$AJ$6:$AJ$505,"&gt;"&amp;$A220,実績!$AK$6:$AK$505,"○")&gt;0,1,0))</f>
        <v>0</v>
      </c>
      <c r="P220" s="39" t="n">
        <f aca="false">IF(P$4=0,0,IF(COUNTIFS(実績!$W$6:$W$505,P$3,実績!$AI$6:$AI$505,"&lt;="&amp;$A220,実績!$AJ$6:$AJ$505,"&gt;"&amp;$A220,実績!$AK$6:$AK$505,"○")&gt;0,1,0))</f>
        <v>0</v>
      </c>
      <c r="Q220" s="39" t="n">
        <f aca="false">IF(Q$4=0,0,IF(COUNTIFS(実績!$W$6:$W$505,Q$3,実績!$AI$6:$AI$505,"&lt;="&amp;$A220,実績!$AJ$6:$AJ$505,"&gt;"&amp;$A220,実績!$AK$6:$AK$505,"○")&gt;0,1,0))</f>
        <v>0</v>
      </c>
      <c r="R220" s="39" t="n">
        <f aca="false">IF(R$4=0,0,IF(COUNTIFS(実績!$W$6:$W$505,R$3,実績!$AI$6:$AI$505,"&lt;="&amp;$A220,実績!$AJ$6:$AJ$505,"&gt;"&amp;$A220,実績!$AK$6:$AK$505,"○")&gt;0,1,0))</f>
        <v>0</v>
      </c>
      <c r="S220" s="39" t="n">
        <f aca="false">IF(S$4=0,0,IF(COUNTIFS(実績!$W$6:$W$505,S$3,実績!$AI$6:$AI$505,"&lt;="&amp;$A220,実績!$AJ$6:$AJ$505,"&gt;"&amp;$A220,実績!$AK$6:$AK$505,"○")&gt;0,1,0))</f>
        <v>0</v>
      </c>
      <c r="T220" s="39" t="n">
        <f aca="false">IF(T$4=0,0,IF(COUNTIFS(実績!$W$6:$W$505,T$3,実績!$AI$6:$AI$505,"&lt;="&amp;$A220,実績!$AJ$6:$AJ$505,"&gt;"&amp;$A220,実績!$AK$6:$AK$505,"○")&gt;0,1,0))</f>
        <v>0</v>
      </c>
      <c r="U220" s="39" t="n">
        <f aca="false">IF(U$4=0,0,IF(COUNTIFS(実績!$W$6:$W$505,U$3,実績!$AI$6:$AI$505,"&lt;="&amp;$A220,実績!$AJ$6:$AJ$505,"&gt;"&amp;$A220,実績!$AK$6:$AK$505,"○")&gt;0,1,0))</f>
        <v>0</v>
      </c>
      <c r="V220" s="39" t="n">
        <f aca="false">IF(V$4=0,0,IF(COUNTIFS(実績!$W$6:$W$505,V$3,実績!$AI$6:$AI$505,"&lt;="&amp;$A220,実績!$AJ$6:$AJ$505,"&gt;"&amp;$A220,実績!$AK$6:$AK$505,"○")&gt;0,1,0))</f>
        <v>0</v>
      </c>
      <c r="W220" s="39" t="n">
        <f aca="false">IF(W$4=0,0,IF(COUNTIFS(実績!$W$6:$W$505,W$3,実績!$AI$6:$AI$505,"&lt;="&amp;$A220,実績!$AJ$6:$AJ$505,"&gt;"&amp;$A220,実績!$AK$6:$AK$505,"○")&gt;0,1,0))</f>
        <v>0</v>
      </c>
      <c r="X220" s="39" t="n">
        <f aca="false">IF(X$4=0,0,IF(COUNTIFS(実績!$W$6:$W$505,X$3,実績!$AI$6:$AI$505,"&lt;="&amp;$A220,実績!$AJ$6:$AJ$505,"&gt;"&amp;$A220,実績!$AK$6:$AK$505,"○")&gt;0,1,0))</f>
        <v>0</v>
      </c>
      <c r="Y220" s="39" t="n">
        <f aca="false">IF(Y$4=0,0,IF(COUNTIFS(実績!$W$6:$W$505,Y$3,実績!$AI$6:$AI$505,"&lt;="&amp;$A220,実績!$AJ$6:$AJ$505,"&gt;"&amp;$A220,実績!$AK$6:$AK$505,"○")&gt;0,1,0))</f>
        <v>0</v>
      </c>
      <c r="Z220" s="39" t="n">
        <f aca="false">IF(Z$4=0,0,IF(COUNTIFS(実績!$W$6:$W$505,Z$3,実績!$AI$6:$AI$505,"&lt;="&amp;$A220,実績!$AJ$6:$AJ$505,"&gt;"&amp;$A220,実績!$AK$6:$AK$505,"○")&gt;0,1,0))</f>
        <v>0</v>
      </c>
      <c r="AA220" s="39" t="n">
        <f aca="false">IF(AA$4=0,0,IF(COUNTIFS(実績!$W$6:$W$505,AA$3,実績!$AI$6:$AI$505,"&lt;="&amp;$A220,実績!$AJ$6:$AJ$505,"&gt;"&amp;$A220,実績!$AK$6:$AK$505,"○")&gt;0,1,0))</f>
        <v>0</v>
      </c>
      <c r="AB220" s="39" t="n">
        <f aca="false">IF(AB$4=0,0,IF(COUNTIFS(実績!$W$6:$W$505,AB$3,実績!$AI$6:$AI$505,"&lt;="&amp;$A220,実績!$AJ$6:$AJ$505,"&gt;"&amp;$A220,実績!$AK$6:$AK$505,"○")&gt;0,1,0))</f>
        <v>0</v>
      </c>
      <c r="AC220" s="39" t="n">
        <f aca="false">IF(AC$4=0,0,IF(COUNTIFS(実績!$W$6:$W$505,AC$3,実績!$AI$6:$AI$505,"&lt;="&amp;$A220,実績!$AJ$6:$AJ$505,"&gt;"&amp;$A220,実績!$AK$6:$AK$505,"○")&gt;0,1,0))</f>
        <v>0</v>
      </c>
      <c r="AD220" s="39" t="n">
        <f aca="false">IF(AD$4=0,0,IF(COUNTIFS(実績!$W$6:$W$505,AD$3,実績!$AI$6:$AI$505,"&lt;="&amp;$A220,実績!$AJ$6:$AJ$505,"&gt;"&amp;$A220,実績!$AK$6:$AK$505,"○")&gt;0,1,0))</f>
        <v>0</v>
      </c>
      <c r="AE220" s="39" t="n">
        <f aca="false">IF(AE$4=0,0,IF(COUNTIFS(実績!$W$6:$W$505,AE$3,実績!$AI$6:$AI$505,"&lt;="&amp;$A220,実績!$AJ$6:$AJ$505,"&gt;"&amp;$A220,実績!$AK$6:$AK$505,"○")&gt;0,1,0))</f>
        <v>0</v>
      </c>
      <c r="AF220" s="39" t="n">
        <f aca="false">IF(AF$4=0,0,IF(COUNTIFS(実績!$W$6:$W$505,AF$3,実績!$AI$6:$AI$505,"&lt;="&amp;$A220,実績!$AJ$6:$AJ$505,"&gt;"&amp;$A220,実績!$AK$6:$AK$505,"○")&gt;0,1,0))</f>
        <v>0</v>
      </c>
      <c r="AG220" s="39" t="n">
        <f aca="false">IF(AG$4=0,0,IF(COUNTIFS(実績!$W$6:$W$505,AG$3,実績!$AI$6:$AI$505,"&lt;="&amp;$A220,実績!$AJ$6:$AJ$505,"&gt;"&amp;$A220,実績!$AK$6:$AK$505,"○")&gt;0,1,0))</f>
        <v>0</v>
      </c>
      <c r="AH220" s="39" t="n">
        <f aca="false">IF(AH$4=0,0,IF(COUNTIFS(実績!$W$6:$W$505,AH$3,実績!$AI$6:$AI$505,"&lt;="&amp;$A220,実績!$AJ$6:$AJ$505,"&gt;"&amp;$A220,実績!$AK$6:$AK$505,"○")&gt;0,1,0))</f>
        <v>0</v>
      </c>
      <c r="AI220" s="39" t="n">
        <f aca="false">IF(AI$4=0,0,IF(COUNTIFS(実績!$W$6:$W$505,AI$3,実績!$AI$6:$AI$505,"&lt;="&amp;$A220,実績!$AJ$6:$AJ$505,"&gt;"&amp;$A220,実績!$AK$6:$AK$505,"○")&gt;0,1,0))</f>
        <v>0</v>
      </c>
      <c r="AJ220" s="39" t="n">
        <f aca="false">IF(AJ$4=0,0,IF(COUNTIFS(実績!$W$6:$W$505,AJ$3,実績!$AI$6:$AI$505,"&lt;="&amp;$A220,実績!$AJ$6:$AJ$505,"&gt;"&amp;$A220,実績!$AK$6:$AK$505,"○")&gt;0,1,0))</f>
        <v>0</v>
      </c>
      <c r="AK220" s="39" t="n">
        <f aca="false">IF(AK$4=0,0,IF(COUNTIFS(実績!$W$6:$W$505,AK$3,実績!$AI$6:$AI$505,"&lt;="&amp;$A220,実績!$AJ$6:$AJ$505,"&gt;"&amp;$A220,実績!$AK$6:$AK$505,"○")&gt;0,1,0))</f>
        <v>0</v>
      </c>
      <c r="AL220" s="39" t="n">
        <f aca="false">IF(AL$4=0,0,IF(COUNTIFS(実績!$W$6:$W$505,AL$3,実績!$AI$6:$AI$505,"&lt;="&amp;$A220,実績!$AJ$6:$AJ$505,"&gt;"&amp;$A220,実績!$AK$6:$AK$505,"○")&gt;0,1,0))</f>
        <v>0</v>
      </c>
      <c r="AM220" s="39" t="n">
        <f aca="false">IF(AM$4=0,0,IF(COUNTIFS(実績!$W$6:$W$505,AM$3,実績!$AI$6:$AI$505,"&lt;="&amp;$A220,実績!$AJ$6:$AJ$505,"&gt;"&amp;$A220,実績!$AK$6:$AK$505,"○")&gt;0,1,0))</f>
        <v>0</v>
      </c>
      <c r="AN220" s="39" t="n">
        <f aca="false">IF(AN$4=0,0,IF(COUNTIFS(実績!$W$6:$W$505,AN$3,実績!$AI$6:$AI$505,"&lt;="&amp;$A220,実績!$AJ$6:$AJ$505,"&gt;"&amp;$A220,実績!$AK$6:$AK$505,"○")&gt;0,1,0))</f>
        <v>0</v>
      </c>
      <c r="AO220" s="39" t="n">
        <f aca="false">IF(AO$4=0,0,IF(COUNTIFS(実績!$W$6:$W$505,AO$3,実績!$AI$6:$AI$505,"&lt;="&amp;$A220,実績!$AJ$6:$AJ$505,"&gt;"&amp;$A220,実績!$AK$6:$AK$505,"○")&gt;0,1,0))</f>
        <v>0</v>
      </c>
      <c r="AP220" s="39" t="n">
        <f aca="false">IF(AP$4=0,0,IF(COUNTIFS(実績!$W$6:$W$505,AP$3,実績!$AI$6:$AI$505,"&lt;="&amp;$A220,実績!$AJ$6:$AJ$505,"&gt;"&amp;$A220,実績!$AK$6:$AK$505,"○")&gt;0,1,0))</f>
        <v>0</v>
      </c>
      <c r="AQ220" s="39" t="n">
        <f aca="false">IF(AQ$4=0,0,IF(COUNTIFS(実績!$W$6:$W$505,AQ$3,実績!$AI$6:$AI$505,"&lt;="&amp;$A220,実績!$AJ$6:$AJ$505,"&gt;"&amp;$A220,実績!$AK$6:$AK$505,"○")&gt;0,1,0))</f>
        <v>0</v>
      </c>
      <c r="AR220" s="39" t="n">
        <f aca="false">IF(AR$4=0,0,IF(COUNTIFS(実績!$W$6:$W$505,AR$3,実績!$AI$6:$AI$505,"&lt;="&amp;$A220,実績!$AJ$6:$AJ$505,"&gt;"&amp;$A220,実績!$AK$6:$AK$505,"○")&gt;0,1,0))</f>
        <v>0</v>
      </c>
      <c r="AS220" s="39" t="n">
        <f aca="false">IF(AS$4=0,0,IF(COUNTIFS(実績!$W$6:$W$505,AS$3,実績!$AI$6:$AI$505,"&lt;="&amp;$A220,実績!$AJ$6:$AJ$505,"&gt;"&amp;$A220,実績!$AK$6:$AK$505,"○")&gt;0,1,0))</f>
        <v>0</v>
      </c>
      <c r="AT220" s="39" t="n">
        <f aca="false">IF(AT$4=0,0,IF(COUNTIFS(実績!$W$6:$W$505,AT$3,実績!$AI$6:$AI$505,"&lt;="&amp;$A220,実績!$AJ$6:$AJ$505,"&gt;"&amp;$A220,実績!$AK$6:$AK$505,"○")&gt;0,1,0))</f>
        <v>0</v>
      </c>
      <c r="AU220" s="39" t="n">
        <f aca="false">IF(AU$4=0,0,IF(COUNTIFS(実績!$W$6:$W$505,AU$3,実績!$AI$6:$AI$505,"&lt;="&amp;$A220,実績!$AJ$6:$AJ$505,"&gt;"&amp;$A220,実績!$AK$6:$AK$505,"○")&gt;0,1,0))</f>
        <v>0</v>
      </c>
      <c r="AV220" s="39" t="n">
        <f aca="false">IF(AV$4=0,0,IF(COUNTIFS(実績!$W$6:$W$505,AV$3,実績!$AI$6:$AI$505,"&lt;="&amp;$A220,実績!$AJ$6:$AJ$505,"&gt;"&amp;$A220,実績!$AK$6:$AK$505,"○")&gt;0,1,0))</f>
        <v>0</v>
      </c>
      <c r="AW220" s="39" t="n">
        <f aca="false">IF(AW$4=0,0,IF(COUNTIFS(実績!$W$6:$W$505,AW$3,実績!$AI$6:$AI$505,"&lt;="&amp;$A220,実績!$AJ$6:$AJ$505,"&gt;"&amp;$A220,実績!$AK$6:$AK$505,"○")&gt;0,1,0))</f>
        <v>0</v>
      </c>
      <c r="AX220" s="39" t="n">
        <f aca="false">IF(AX$4=0,0,IF(COUNTIFS(実績!$W$6:$W$505,AX$3,実績!$AI$6:$AI$505,"&lt;="&amp;$A220,実績!$AJ$6:$AJ$505,"&gt;"&amp;$A220,実績!$AK$6:$AK$505,"○")&gt;0,1,0))</f>
        <v>0</v>
      </c>
      <c r="AY220" s="39" t="n">
        <f aca="false">IF(AY$4=0,0,IF(COUNTIFS(実績!$W$6:$W$505,AY$3,実績!$AI$6:$AI$505,"&lt;="&amp;$A220,実績!$AJ$6:$AJ$505,"&gt;"&amp;$A220,実績!$AK$6:$AK$505,"○")&gt;0,1,0))</f>
        <v>0</v>
      </c>
      <c r="AZ220" s="39" t="n">
        <f aca="false">IF(AZ$4=0,0,IF(COUNTIFS(実績!$W$6:$W$505,AZ$3,実績!$AI$6:$AI$505,"&lt;="&amp;$A220,実績!$AJ$6:$AJ$505,"&gt;"&amp;$A220,実績!$AK$6:$AK$505,"○")&gt;0,1,0))</f>
        <v>0</v>
      </c>
      <c r="BA220" s="39" t="n">
        <f aca="false">IF(BA$4=0,0,IF(COUNTIFS(実績!$W$6:$W$505,BA$3,実績!$AI$6:$AI$505,"&lt;="&amp;$A220,実績!$AJ$6:$AJ$505,"&gt;"&amp;$A220,実績!$AK$6:$AK$505,"○")&gt;0,1,0))</f>
        <v>0</v>
      </c>
      <c r="BB220" s="39" t="n">
        <f aca="false">IF(BB$4=0,0,IF(COUNTIFS(実績!$W$6:$W$505,BB$3,実績!$AI$6:$AI$505,"&lt;="&amp;$A220,実績!$AJ$6:$AJ$505,"&gt;"&amp;$A220,実績!$AK$6:$AK$505,"○")&gt;0,1,0))</f>
        <v>0</v>
      </c>
      <c r="BC220" s="39" t="n">
        <f aca="false">IF(BC$4=0,0,IF(COUNTIFS(実績!$W$6:$W$505,BC$3,実績!$AI$6:$AI$505,"&lt;="&amp;$A220,実績!$AJ$6:$AJ$505,"&gt;"&amp;$A220,実績!$AK$6:$AK$505,"○")&gt;0,1,0))</f>
        <v>0</v>
      </c>
      <c r="BD220" s="39" t="n">
        <f aca="false">IF(BD$4=0,0,IF(COUNTIFS(実績!$W$6:$W$505,BD$3,実績!$AI$6:$AI$505,"&lt;="&amp;$A220,実績!$AJ$6:$AJ$505,"&gt;"&amp;$A220,実績!$AK$6:$AK$505,"○")&gt;0,1,0))</f>
        <v>0</v>
      </c>
      <c r="BE220" s="39" t="n">
        <f aca="false">IF(BE$4=0,0,IF(COUNTIFS(実績!$W$6:$W$505,BE$3,実績!$AI$6:$AI$505,"&lt;="&amp;$A220,実績!$AJ$6:$AJ$505,"&gt;"&amp;$A220,実績!$AK$6:$AK$505,"○")&gt;0,1,0))</f>
        <v>0</v>
      </c>
      <c r="BF220" s="39" t="n">
        <f aca="false">IF(BF$4=0,0,IF(COUNTIFS(実績!$W$6:$W$505,BF$3,実績!$AI$6:$AI$505,"&lt;="&amp;$A220,実績!$AJ$6:$AJ$505,"&gt;"&amp;$A220,実績!$AK$6:$AK$505,"○")&gt;0,1,0))</f>
        <v>0</v>
      </c>
      <c r="BG220" s="39" t="n">
        <f aca="false">IF(BG$4=0,0,IF(COUNTIFS(実績!$W$6:$W$505,BG$3,実績!$AI$6:$AI$505,"&lt;="&amp;$A220,実績!$AJ$6:$AJ$505,"&gt;"&amp;$A220,実績!$AK$6:$AK$505,"○")&gt;0,1,0))</f>
        <v>0</v>
      </c>
      <c r="BH220" s="39" t="n">
        <f aca="false">IF(BH$4=0,0,IF(COUNTIFS(実績!$W$6:$W$505,BH$3,実績!$AI$6:$AI$505,"&lt;="&amp;$A220,実績!$AJ$6:$AJ$505,"&gt;"&amp;$A220,実績!$AK$6:$AK$505,"○")&gt;0,1,0))</f>
        <v>0</v>
      </c>
      <c r="BI220" s="39" t="n">
        <f aca="false">IF(BI$4=0,0,IF(COUNTIFS(実績!$W$6:$W$505,BI$3,実績!$AI$6:$AI$505,"&lt;="&amp;$A220,実績!$AJ$6:$AJ$505,"&gt;"&amp;$A220,実績!$AK$6:$AK$505,"○")&gt;0,1,0))</f>
        <v>0</v>
      </c>
      <c r="BJ220" s="39" t="n">
        <f aca="false">IF(BJ$4=0,0,IF(COUNTIFS(実績!$W$6:$W$505,BJ$3,実績!$AI$6:$AI$505,"&lt;="&amp;$A220,実績!$AJ$6:$AJ$505,"&gt;"&amp;$A220,実績!$AK$6:$AK$505,"○")&gt;0,1,0))</f>
        <v>0</v>
      </c>
      <c r="BK220" s="39" t="n">
        <f aca="false">IF(BK$4=0,0,IF(COUNTIFS(実績!$W$6:$W$505,BK$3,実績!$AI$6:$AI$505,"&lt;="&amp;$A220,実績!$AJ$6:$AJ$505,"&gt;"&amp;$A220,実績!$AK$6:$AK$505,"○")&gt;0,1,0))</f>
        <v>0</v>
      </c>
      <c r="BL220" s="39" t="n">
        <f aca="false">IF(BL$4=0,0,IF(COUNTIFS(実績!$W$6:$W$505,BL$3,実績!$AI$6:$AI$505,"&lt;="&amp;$A220,実績!$AJ$6:$AJ$505,"&gt;"&amp;$A220,実績!$AK$6:$AK$505,"○")&gt;0,1,0))</f>
        <v>0</v>
      </c>
      <c r="BM220" s="39" t="n">
        <f aca="false">IF(BM$4=0,0,IF(COUNTIFS(実績!$W$6:$W$505,BM$3,実績!$AI$6:$AI$505,"&lt;="&amp;$A220,実績!$AJ$6:$AJ$505,"&gt;"&amp;$A220,実績!$AK$6:$AK$505,"○")&gt;0,1,0))</f>
        <v>0</v>
      </c>
      <c r="BN220" s="39" t="n">
        <f aca="false">IF(BN$4=0,0,IF(COUNTIFS(実績!$W$6:$W$505,BN$3,実績!$AI$6:$AI$505,"&lt;="&amp;$A220,実績!$AJ$6:$AJ$505,"&gt;"&amp;$A220,実績!$AK$6:$AK$505,"○")&gt;0,1,0))</f>
        <v>0</v>
      </c>
      <c r="BO220" s="39" t="n">
        <f aca="false">IF(BO$4=0,0,IF(COUNTIFS(実績!$W$6:$W$505,BO$3,実績!$AI$6:$AI$505,"&lt;="&amp;$A220,実績!$AJ$6:$AJ$505,"&gt;"&amp;$A220,実績!$AK$6:$AK$505,"○")&gt;0,1,0))</f>
        <v>0</v>
      </c>
      <c r="BP220" s="39" t="n">
        <f aca="false">IF(BP$4=0,0,IF(COUNTIFS(実績!$W$6:$W$505,BP$3,実績!$AI$6:$AI$505,"&lt;="&amp;$A220,実績!$AJ$6:$AJ$505,"&gt;"&amp;$A220,実績!$AK$6:$AK$505,"○")&gt;0,1,0))</f>
        <v>0</v>
      </c>
      <c r="BQ220" s="39" t="n">
        <f aca="false">IF(BQ$4=0,0,IF(COUNTIFS(実績!$W$6:$W$505,BQ$3,実績!$AI$6:$AI$505,"&lt;="&amp;$A220,実績!$AJ$6:$AJ$505,"&gt;"&amp;$A220,実績!$AK$6:$AK$505,"○")&gt;0,1,0))</f>
        <v>0</v>
      </c>
      <c r="BR220" s="39" t="n">
        <f aca="false">IF(BR$4=0,0,IF(COUNTIFS(実績!$W$6:$W$505,BR$3,実績!$AI$6:$AI$505,"&lt;="&amp;$A220,実績!$AJ$6:$AJ$505,"&gt;"&amp;$A220,実績!$AK$6:$AK$505,"○")&gt;0,1,0))</f>
        <v>0</v>
      </c>
      <c r="BS220" s="39" t="n">
        <f aca="false">IF(BS$4=0,0,IF(COUNTIFS(実績!$W$6:$W$505,BS$3,実績!$AI$6:$AI$505,"&lt;="&amp;$A220,実績!$AJ$6:$AJ$505,"&gt;"&amp;$A220,実績!$AK$6:$AK$505,"○")&gt;0,1,0))</f>
        <v>0</v>
      </c>
      <c r="BT220" s="39" t="n">
        <f aca="false">IF(BT$4=0,0,IF(COUNTIFS(実績!$W$6:$W$505,BT$3,実績!$AI$6:$AI$505,"&lt;="&amp;$A220,実績!$AJ$6:$AJ$505,"&gt;"&amp;$A220,実績!$AK$6:$AK$505,"○")&gt;0,1,0))</f>
        <v>0</v>
      </c>
      <c r="BU220" s="39" t="n">
        <f aca="false">IF(BU$4=0,0,IF(COUNTIFS(実績!$W$6:$W$505,BU$3,実績!$AI$6:$AI$505,"&lt;="&amp;$A220,実績!$AJ$6:$AJ$505,"&gt;"&amp;$A220,実績!$AK$6:$AK$505,"○")&gt;0,1,0))</f>
        <v>0</v>
      </c>
      <c r="BV220" s="39" t="n">
        <f aca="false">IF(BV$4=0,0,IF(COUNTIFS(実績!$W$6:$W$505,BV$3,実績!$AI$6:$AI$505,"&lt;="&amp;$A220,実績!$AJ$6:$AJ$505,"&gt;"&amp;$A220,実績!$AK$6:$AK$505,"○")&gt;0,1,0))</f>
        <v>0</v>
      </c>
      <c r="BW220" s="39" t="n">
        <f aca="false">IF(BW$4=0,0,IF(COUNTIFS(実績!$W$6:$W$505,BW$3,実績!$AI$6:$AI$505,"&lt;="&amp;$A220,実績!$AJ$6:$AJ$505,"&gt;"&amp;$A220,実績!$AK$6:$AK$505,"○")&gt;0,1,0))</f>
        <v>0</v>
      </c>
      <c r="BX220" s="39" t="n">
        <f aca="false">IF(BX$4=0,0,IF(COUNTIFS(実績!$W$6:$W$505,BX$3,実績!$AI$6:$AI$505,"&lt;="&amp;$A220,実績!$AJ$6:$AJ$505,"&gt;"&amp;$A220,実績!$AK$6:$AK$505,"○")&gt;0,1,0))</f>
        <v>0</v>
      </c>
      <c r="BY220" s="39" t="n">
        <f aca="false">IF(BY$4=0,0,IF(COUNTIFS(実績!$W$6:$W$505,BY$3,実績!$AI$6:$AI$505,"&lt;="&amp;$A220,実績!$AJ$6:$AJ$505,"&gt;"&amp;$A220,実績!$AK$6:$AK$505,"○")&gt;0,1,0))</f>
        <v>0</v>
      </c>
      <c r="BZ220" s="39" t="n">
        <f aca="false">IF(BZ$4=0,0,IF(COUNTIFS(実績!$W$6:$W$505,BZ$3,実績!$AI$6:$AI$505,"&lt;="&amp;$A220,実績!$AJ$6:$AJ$505,"&gt;"&amp;$A220,実績!$AK$6:$AK$505,"○")&gt;0,1,0))</f>
        <v>0</v>
      </c>
      <c r="CA220" s="39" t="n">
        <f aca="false">IF(CA$4=0,0,IF(COUNTIFS(実績!$W$6:$W$505,CA$3,実績!$AI$6:$AI$505,"&lt;="&amp;$A220,実績!$AJ$6:$AJ$505,"&gt;"&amp;$A220,実績!$AK$6:$AK$505,"○")&gt;0,1,0))</f>
        <v>0</v>
      </c>
      <c r="CB220" s="39" t="n">
        <f aca="false">IF(CB$4=0,0,IF(COUNTIFS(実績!$W$6:$W$505,CB$3,実績!$AI$6:$AI$505,"&lt;="&amp;$A220,実績!$AJ$6:$AJ$505,"&gt;"&amp;$A220,実績!$AK$6:$AK$505,"○")&gt;0,1,0))</f>
        <v>0</v>
      </c>
      <c r="CC220" s="39" t="n">
        <f aca="false">IF(CC$4=0,0,IF(COUNTIFS(実績!$W$6:$W$505,CC$3,実績!$AI$6:$AI$505,"&lt;="&amp;$A220,実績!$AJ$6:$AJ$505,"&gt;"&amp;$A220,実績!$AK$6:$AK$505,"○")&gt;0,1,0))</f>
        <v>0</v>
      </c>
      <c r="CD220" s="39" t="n">
        <f aca="false">IF(CD$4=0,0,IF(COUNTIFS(実績!$W$6:$W$505,CD$3,実績!$AI$6:$AI$505,"&lt;="&amp;$A220,実績!$AJ$6:$AJ$505,"&gt;"&amp;$A220,実績!$AK$6:$AK$505,"○")&gt;0,1,0))</f>
        <v>0</v>
      </c>
      <c r="CE220" s="39" t="n">
        <f aca="false">IF(CE$4=0,0,IF(COUNTIFS(実績!$W$6:$W$505,CE$3,実績!$AI$6:$AI$505,"&lt;="&amp;$A220,実績!$AJ$6:$AJ$505,"&gt;"&amp;$A220,実績!$AK$6:$AK$505,"○")&gt;0,1,0))</f>
        <v>0</v>
      </c>
      <c r="CF220" s="39" t="n">
        <f aca="false">IF(CF$4=0,0,IF(COUNTIFS(実績!$W$6:$W$505,CF$3,実績!$AI$6:$AI$505,"&lt;="&amp;$A220,実績!$AJ$6:$AJ$505,"&gt;"&amp;$A220,実績!$AK$6:$AK$505,"○")&gt;0,1,0))</f>
        <v>0</v>
      </c>
      <c r="CG220" s="39" t="n">
        <f aca="false">IF(CG$4=0,0,IF(COUNTIFS(実績!$W$6:$W$505,CG$3,実績!$AI$6:$AI$505,"&lt;="&amp;$A220,実績!$AJ$6:$AJ$505,"&gt;"&amp;$A220,実績!$AK$6:$AK$505,"○")&gt;0,1,0))</f>
        <v>0</v>
      </c>
      <c r="CH220" s="39" t="n">
        <f aca="false">IF(CH$4=0,0,IF(COUNTIFS(実績!$W$6:$W$505,CH$3,実績!$AI$6:$AI$505,"&lt;="&amp;$A220,実績!$AJ$6:$AJ$505,"&gt;"&amp;$A220,実績!$AK$6:$AK$505,"○")&gt;0,1,0))</f>
        <v>0</v>
      </c>
      <c r="CI220" s="39" t="n">
        <f aca="false">IF(CI$4=0,0,IF(COUNTIFS(実績!$W$6:$W$505,CI$3,実績!$AI$6:$AI$505,"&lt;="&amp;$A220,実績!$AJ$6:$AJ$505,"&gt;"&amp;$A220,実績!$AK$6:$AK$505,"○")&gt;0,1,0))</f>
        <v>0</v>
      </c>
      <c r="CJ220" s="39" t="n">
        <f aca="false">IF(CJ$4=0,0,IF(COUNTIFS(実績!$W$6:$W$505,CJ$3,実績!$AI$6:$AI$505,"&lt;="&amp;$A220,実績!$AJ$6:$AJ$505,"&gt;"&amp;$A220,実績!$AK$6:$AK$505,"○")&gt;0,1,0))</f>
        <v>0</v>
      </c>
      <c r="CK220" s="39" t="n">
        <f aca="false">IF(CK$4=0,0,IF(COUNTIFS(実績!$W$6:$W$505,CK$3,実績!$AI$6:$AI$505,"&lt;="&amp;$A220,実績!$AJ$6:$AJ$505,"&gt;"&amp;$A220,実績!$AK$6:$AK$505,"○")&gt;0,1,0))</f>
        <v>0</v>
      </c>
      <c r="CL220" s="39" t="n">
        <f aca="false">IF(CL$4=0,0,IF(COUNTIFS(実績!$W$6:$W$505,CL$3,実績!$AI$6:$AI$505,"&lt;="&amp;$A220,実績!$AJ$6:$AJ$505,"&gt;"&amp;$A220,実績!$AK$6:$AK$505,"○")&gt;0,1,0))</f>
        <v>0</v>
      </c>
      <c r="CM220" s="39" t="n">
        <f aca="false">IF(CM$4=0,0,IF(COUNTIFS(実績!$W$6:$W$505,CM$3,実績!$AI$6:$AI$505,"&lt;="&amp;$A220,実績!$AJ$6:$AJ$505,"&gt;"&amp;$A220,実績!$AK$6:$AK$505,"○")&gt;0,1,0))</f>
        <v>0</v>
      </c>
      <c r="CN220" s="39" t="n">
        <f aca="false">IF(CN$4=0,0,IF(COUNTIFS(実績!$W$6:$W$505,CN$3,実績!$AI$6:$AI$505,"&lt;="&amp;$A220,実績!$AJ$6:$AJ$505,"&gt;"&amp;$A220,実績!$AK$6:$AK$505,"○")&gt;0,1,0))</f>
        <v>0</v>
      </c>
      <c r="CO220" s="39" t="n">
        <f aca="false">IF(CO$4=0,0,IF(COUNTIFS(実績!$W$6:$W$505,CO$3,実績!$AI$6:$AI$505,"&lt;="&amp;$A220,実績!$AJ$6:$AJ$505,"&gt;"&amp;$A220,実績!$AK$6:$AK$505,"○")&gt;0,1,0))</f>
        <v>0</v>
      </c>
      <c r="CP220" s="39" t="n">
        <f aca="false">IF(CP$4=0,0,IF(COUNTIFS(実績!$W$6:$W$505,CP$3,実績!$AI$6:$AI$505,"&lt;="&amp;$A220,実績!$AJ$6:$AJ$505,"&gt;"&amp;$A220,実績!$AK$6:$AK$505,"○")&gt;0,1,0))</f>
        <v>0</v>
      </c>
      <c r="CQ220" s="39" t="n">
        <f aca="false">IF(CQ$4=0,0,IF(COUNTIFS(実績!$W$6:$W$505,CQ$3,実績!$AI$6:$AI$505,"&lt;="&amp;$A220,実績!$AJ$6:$AJ$505,"&gt;"&amp;$A220,実績!$AK$6:$AK$505,"○")&gt;0,1,0))</f>
        <v>0</v>
      </c>
      <c r="CR220" s="39" t="n">
        <f aca="false">IF(CR$4=0,0,IF(COUNTIFS(実績!$W$6:$W$505,CR$3,実績!$AI$6:$AI$505,"&lt;="&amp;$A220,実績!$AJ$6:$AJ$505,"&gt;"&amp;$A220,実績!$AK$6:$AK$505,"○")&gt;0,1,0))</f>
        <v>0</v>
      </c>
      <c r="CS220" s="39" t="n">
        <f aca="false">IF(CS$4=0,0,IF(COUNTIFS(実績!$W$6:$W$505,CS$3,実績!$AI$6:$AI$505,"&lt;="&amp;$A220,実績!$AJ$6:$AJ$505,"&gt;"&amp;$A220,実績!$AK$6:$AK$505,"○")&gt;0,1,0))</f>
        <v>0</v>
      </c>
      <c r="CT220" s="39" t="n">
        <f aca="false">IF(CT$4=0,0,IF(COUNTIFS(実績!$W$6:$W$505,CT$3,実績!$AI$6:$AI$505,"&lt;="&amp;$A220,実績!$AJ$6:$AJ$505,"&gt;"&amp;$A220,実績!$AK$6:$AK$505,"○")&gt;0,1,0))</f>
        <v>0</v>
      </c>
      <c r="CU220" s="39" t="n">
        <f aca="false">IF(CU$4=0,0,IF(COUNTIFS(実績!$W$6:$W$505,CU$3,実績!$AI$6:$AI$505,"&lt;="&amp;$A220,実績!$AJ$6:$AJ$505,"&gt;"&amp;$A220,実績!$AK$6:$AK$505,"○")&gt;0,1,0))</f>
        <v>0</v>
      </c>
      <c r="CV220" s="39" t="n">
        <f aca="false">IF(CV$4=0,0,IF(COUNTIFS(実績!$W$6:$W$505,CV$3,実績!$AI$6:$AI$505,"&lt;="&amp;$A220,実績!$AJ$6:$AJ$505,"&gt;"&amp;$A220,実績!$AK$6:$AK$505,"○")&gt;0,1,0))</f>
        <v>0</v>
      </c>
      <c r="CW220" s="39" t="n">
        <f aca="false">IF(CW$4=0,0,IF(COUNTIFS(実績!$W$6:$W$505,CW$3,実績!$AI$6:$AI$505,"&lt;="&amp;$A220,実績!$AJ$6:$AJ$505,"&gt;"&amp;$A220,実績!$AK$6:$AK$505,"○")&gt;0,1,0))</f>
        <v>0</v>
      </c>
      <c r="CX220" s="39" t="n">
        <f aca="false">IF(CX$4=0,0,IF(COUNTIFS(実績!$W$6:$W$505,CX$3,実績!$AI$6:$AI$505,"&lt;="&amp;$A220,実績!$AJ$6:$AJ$505,"&gt;"&amp;$A220,実績!$AK$6:$AK$505,"○")&gt;0,1,0))</f>
        <v>0</v>
      </c>
      <c r="CY220" s="39" t="n">
        <f aca="false">IF(CY$4=0,0,IF(COUNTIFS(実績!$W$6:$W$505,CY$3,実績!$AI$6:$AI$505,"&lt;="&amp;$A220,実績!$AJ$6:$AJ$505,"&gt;"&amp;$A220,実績!$AK$6:$AK$505,"○")&gt;0,1,0))</f>
        <v>0</v>
      </c>
      <c r="CZ220" s="39" t="n">
        <f aca="false">IF(CZ$4=0,0,IF(COUNTIFS(実績!$W$6:$W$505,CZ$3,実績!$AI$6:$AI$505,"&lt;="&amp;$A220,実績!$AJ$6:$AJ$505,"&gt;"&amp;$A220,実績!$AK$6:$AK$505,"○")&gt;0,1,0))</f>
        <v>0</v>
      </c>
      <c r="DA220" s="39" t="n">
        <f aca="false">IF(DA$4=0,0,IF(COUNTIFS(実績!$W$6:$W$505,DA$3,実績!$AI$6:$AI$505,"&lt;="&amp;$A220,実績!$AJ$6:$AJ$505,"&gt;"&amp;$A220,実績!$AK$6:$AK$505,"○")&gt;0,1,0))</f>
        <v>0</v>
      </c>
      <c r="DB220" s="39" t="n">
        <f aca="false">IF(DB$4=0,0,IF(COUNTIFS(実績!$W$6:$W$505,DB$3,実績!$AI$6:$AI$505,"&lt;="&amp;$A220,実績!$AJ$6:$AJ$505,"&gt;"&amp;$A220,実績!$AK$6:$AK$505,"○")&gt;0,1,0))</f>
        <v>0</v>
      </c>
      <c r="DC220" s="39" t="n">
        <f aca="false">IF(DC$4=0,0,IF(COUNTIFS(実績!$W$6:$W$505,DC$3,実績!$AI$6:$AI$505,"&lt;="&amp;$A220,実績!$AJ$6:$AJ$505,"&gt;"&amp;$A220,実績!$AK$6:$AK$505,"○")&gt;0,1,0))</f>
        <v>0</v>
      </c>
      <c r="DD220" s="39" t="n">
        <f aca="false">IF(DD$4=0,0,IF(COUNTIFS(実績!$W$6:$W$505,DD$3,実績!$AI$6:$AI$505,"&lt;="&amp;$A220,実績!$AJ$6:$AJ$505,"&gt;"&amp;$A220,実績!$AK$6:$AK$505,"○")&gt;0,1,0))</f>
        <v>0</v>
      </c>
      <c r="DE220" s="39" t="n">
        <f aca="false">IF(DE$4=0,0,IF(COUNTIFS(実績!$W$6:$W$505,DE$3,実績!$AI$6:$AI$505,"&lt;="&amp;$A220,実績!$AJ$6:$AJ$505,"&gt;"&amp;$A220,実績!$AK$6:$AK$505,"○")&gt;0,1,0))</f>
        <v>0</v>
      </c>
      <c r="DF220" s="39" t="n">
        <f aca="false">IF(DF$4=0,0,IF(COUNTIFS(実績!$W$6:$W$505,DF$3,実績!$AI$6:$AI$505,"&lt;="&amp;$A220,実績!$AJ$6:$AJ$505,"&gt;"&amp;$A220,実績!$AK$6:$AK$505,"○")&gt;0,1,0))</f>
        <v>0</v>
      </c>
      <c r="DG220" s="39" t="n">
        <f aca="false">IF(DG$4=0,0,IF(COUNTIFS(実績!$W$6:$W$505,DG$3,実績!$AI$6:$AI$505,"&lt;="&amp;$A220,実績!$AJ$6:$AJ$505,"&gt;"&amp;$A220,実績!$AK$6:$AK$505,"○")&gt;0,1,0))</f>
        <v>0</v>
      </c>
      <c r="DH220" s="39" t="n">
        <f aca="false">IF(DH$4=0,0,IF(COUNTIFS(実績!$W$6:$W$505,DH$3,実績!$AI$6:$AI$505,"&lt;="&amp;$A220,実績!$AJ$6:$AJ$505,"&gt;"&amp;$A220,実績!$AK$6:$AK$505,"○")&gt;0,1,0))</f>
        <v>0</v>
      </c>
      <c r="DI220" s="39" t="n">
        <f aca="false">IF(DI$4=0,0,IF(COUNTIFS(実績!$W$6:$W$505,DI$3,実績!$AI$6:$AI$505,"&lt;="&amp;$A220,実績!$AJ$6:$AJ$505,"&gt;"&amp;$A220,実績!$AK$6:$AK$505,"○")&gt;0,1,0))</f>
        <v>0</v>
      </c>
      <c r="DJ220" s="39" t="n">
        <f aca="false">IF(DJ$4=0,0,IF(COUNTIFS(実績!$W$6:$W$505,DJ$3,実績!$AI$6:$AI$505,"&lt;="&amp;$A220,実績!$AJ$6:$AJ$505,"&gt;"&amp;$A220,実績!$AK$6:$AK$505,"○")&gt;0,1,0))</f>
        <v>0</v>
      </c>
      <c r="DK220" s="39" t="n">
        <f aca="false">IF(DK$4=0,0,IF(COUNTIFS(実績!$W$6:$W$505,DK$3,実績!$AI$6:$AI$505,"&lt;="&amp;$A220,実績!$AJ$6:$AJ$505,"&gt;"&amp;$A220,実績!$AK$6:$AK$505,"○")&gt;0,1,0))</f>
        <v>0</v>
      </c>
      <c r="DL220" s="39" t="n">
        <f aca="false">IF(DL$4=0,0,IF(COUNTIFS(実績!$W$6:$W$505,DL$3,実績!$AI$6:$AI$505,"&lt;="&amp;$A220,実績!$AJ$6:$AJ$505,"&gt;"&amp;$A220,実績!$AK$6:$AK$505,"○")&gt;0,1,0))</f>
        <v>0</v>
      </c>
      <c r="DM220" s="39" t="n">
        <f aca="false">IF(DM$4=0,0,IF(COUNTIFS(実績!$W$6:$W$505,DM$3,実績!$AI$6:$AI$505,"&lt;="&amp;$A220,実績!$AJ$6:$AJ$505,"&gt;"&amp;$A220,実績!$AK$6:$AK$505,"○")&gt;0,1,0))</f>
        <v>0</v>
      </c>
      <c r="DN220" s="39" t="n">
        <f aca="false">IF(DN$4=0,0,IF(COUNTIFS(実績!$W$6:$W$505,DN$3,実績!$AI$6:$AI$505,"&lt;="&amp;$A220,実績!$AJ$6:$AJ$505,"&gt;"&amp;$A220,実績!$AK$6:$AK$505,"○")&gt;0,1,0))</f>
        <v>0</v>
      </c>
      <c r="DO220" s="39" t="n">
        <f aca="false">IF(DO$4=0,0,IF(COUNTIFS(実績!$W$6:$W$505,DO$3,実績!$AI$6:$AI$505,"&lt;="&amp;$A220,実績!$AJ$6:$AJ$505,"&gt;"&amp;$A220,実績!$AK$6:$AK$505,"○")&gt;0,1,0))</f>
        <v>0</v>
      </c>
      <c r="DP220" s="39" t="n">
        <f aca="false">IF(DP$4=0,0,IF(COUNTIFS(実績!$W$6:$W$505,DP$3,実績!$AI$6:$AI$505,"&lt;="&amp;$A220,実績!$AJ$6:$AJ$505,"&gt;"&amp;$A220,実績!$AK$6:$AK$505,"○")&gt;0,1,0))</f>
        <v>0</v>
      </c>
      <c r="DQ220" s="39" t="n">
        <f aca="false">IF(DQ$4=0,0,IF(COUNTIFS(実績!$W$6:$W$505,DQ$3,実績!$AI$6:$AI$505,"&lt;="&amp;$A220,実績!$AJ$6:$AJ$505,"&gt;"&amp;$A220,実績!$AK$6:$AK$505,"○")&gt;0,1,0))</f>
        <v>0</v>
      </c>
      <c r="DR220" s="39" t="n">
        <f aca="false">IF(DR$4=0,0,IF(COUNTIFS(実績!$W$6:$W$505,DR$3,実績!$AI$6:$AI$505,"&lt;="&amp;$A220,実績!$AJ$6:$AJ$505,"&gt;"&amp;$A220,実績!$AK$6:$AK$505,"○")&gt;0,1,0))</f>
        <v>0</v>
      </c>
      <c r="DS220" s="39" t="n">
        <f aca="false">SUM(C220:DR220)</f>
        <v>0</v>
      </c>
      <c r="DT220" s="39" t="n">
        <f aca="false">SUMPRODUCT((実績!$C$6:$C$505="○")*ISNUMBER(実績!$AM$6:$AM$505)*(実績!$AM$6:$AM$505&lt;=$A220)*(実績!$AN$6:$AN$505&gt;$A220))</f>
        <v>0</v>
      </c>
      <c r="DU220" s="39" t="n">
        <f aca="false">SUMIF($C$2:$DR$2,"製鉄曳船",C220:DR220)</f>
        <v>0</v>
      </c>
      <c r="DV220" s="39" t="n">
        <f aca="false">SUMIF($C$2:$DR$2,"西日本海運",C220:DR220)</f>
        <v>0</v>
      </c>
    </row>
    <row r="221" customFormat="false" ht="15" hidden="false" customHeight="false" outlineLevel="0" collapsed="false">
      <c r="A221" s="0" t="n">
        <v>1075</v>
      </c>
      <c r="B221" s="38" t="n">
        <f aca="false">A221/1440</f>
        <v>0.746527777777778</v>
      </c>
      <c r="C221" s="39" t="n">
        <f aca="false">IF(C$4=0,0,IF(COUNTIFS(実績!$W$6:$W$505,C$3,実績!$AI$6:$AI$505,"&lt;="&amp;$A221,実績!$AJ$6:$AJ$505,"&gt;"&amp;$A221,実績!$AK$6:$AK$505,"○")&gt;0,1,0))</f>
        <v>0</v>
      </c>
      <c r="D221" s="39" t="n">
        <f aca="false">IF(D$4=0,0,IF(COUNTIFS(実績!$W$6:$W$505,D$3,実績!$AI$6:$AI$505,"&lt;="&amp;$A221,実績!$AJ$6:$AJ$505,"&gt;"&amp;$A221,実績!$AK$6:$AK$505,"○")&gt;0,1,0))</f>
        <v>0</v>
      </c>
      <c r="E221" s="39" t="n">
        <f aca="false">IF(E$4=0,0,IF(COUNTIFS(実績!$W$6:$W$505,E$3,実績!$AI$6:$AI$505,"&lt;="&amp;$A221,実績!$AJ$6:$AJ$505,"&gt;"&amp;$A221,実績!$AK$6:$AK$505,"○")&gt;0,1,0))</f>
        <v>0</v>
      </c>
      <c r="F221" s="39" t="n">
        <f aca="false">IF(F$4=0,0,IF(COUNTIFS(実績!$W$6:$W$505,F$3,実績!$AI$6:$AI$505,"&lt;="&amp;$A221,実績!$AJ$6:$AJ$505,"&gt;"&amp;$A221,実績!$AK$6:$AK$505,"○")&gt;0,1,0))</f>
        <v>0</v>
      </c>
      <c r="G221" s="39" t="n">
        <f aca="false">IF(G$4=0,0,IF(COUNTIFS(実績!$W$6:$W$505,G$3,実績!$AI$6:$AI$505,"&lt;="&amp;$A221,実績!$AJ$6:$AJ$505,"&gt;"&amp;$A221,実績!$AK$6:$AK$505,"○")&gt;0,1,0))</f>
        <v>0</v>
      </c>
      <c r="H221" s="39" t="n">
        <f aca="false">IF(H$4=0,0,IF(COUNTIFS(実績!$W$6:$W$505,H$3,実績!$AI$6:$AI$505,"&lt;="&amp;$A221,実績!$AJ$6:$AJ$505,"&gt;"&amp;$A221,実績!$AK$6:$AK$505,"○")&gt;0,1,0))</f>
        <v>0</v>
      </c>
      <c r="I221" s="39" t="n">
        <f aca="false">IF(I$4=0,0,IF(COUNTIFS(実績!$W$6:$W$505,I$3,実績!$AI$6:$AI$505,"&lt;="&amp;$A221,実績!$AJ$6:$AJ$505,"&gt;"&amp;$A221,実績!$AK$6:$AK$505,"○")&gt;0,1,0))</f>
        <v>0</v>
      </c>
      <c r="J221" s="39" t="n">
        <f aca="false">IF(J$4=0,0,IF(COUNTIFS(実績!$W$6:$W$505,J$3,実績!$AI$6:$AI$505,"&lt;="&amp;$A221,実績!$AJ$6:$AJ$505,"&gt;"&amp;$A221,実績!$AK$6:$AK$505,"○")&gt;0,1,0))</f>
        <v>0</v>
      </c>
      <c r="K221" s="39" t="n">
        <f aca="false">IF(K$4=0,0,IF(COUNTIFS(実績!$W$6:$W$505,K$3,実績!$AI$6:$AI$505,"&lt;="&amp;$A221,実績!$AJ$6:$AJ$505,"&gt;"&amp;$A221,実績!$AK$6:$AK$505,"○")&gt;0,1,0))</f>
        <v>0</v>
      </c>
      <c r="L221" s="39" t="n">
        <f aca="false">IF(L$4=0,0,IF(COUNTIFS(実績!$W$6:$W$505,L$3,実績!$AI$6:$AI$505,"&lt;="&amp;$A221,実績!$AJ$6:$AJ$505,"&gt;"&amp;$A221,実績!$AK$6:$AK$505,"○")&gt;0,1,0))</f>
        <v>0</v>
      </c>
      <c r="M221" s="39" t="n">
        <f aca="false">IF(M$4=0,0,IF(COUNTIFS(実績!$W$6:$W$505,M$3,実績!$AI$6:$AI$505,"&lt;="&amp;$A221,実績!$AJ$6:$AJ$505,"&gt;"&amp;$A221,実績!$AK$6:$AK$505,"○")&gt;0,1,0))</f>
        <v>0</v>
      </c>
      <c r="N221" s="39" t="n">
        <f aca="false">IF(N$4=0,0,IF(COUNTIFS(実績!$W$6:$W$505,N$3,実績!$AI$6:$AI$505,"&lt;="&amp;$A221,実績!$AJ$6:$AJ$505,"&gt;"&amp;$A221,実績!$AK$6:$AK$505,"○")&gt;0,1,0))</f>
        <v>0</v>
      </c>
      <c r="O221" s="39" t="n">
        <f aca="false">IF(O$4=0,0,IF(COUNTIFS(実績!$W$6:$W$505,O$3,実績!$AI$6:$AI$505,"&lt;="&amp;$A221,実績!$AJ$6:$AJ$505,"&gt;"&amp;$A221,実績!$AK$6:$AK$505,"○")&gt;0,1,0))</f>
        <v>0</v>
      </c>
      <c r="P221" s="39" t="n">
        <f aca="false">IF(P$4=0,0,IF(COUNTIFS(実績!$W$6:$W$505,P$3,実績!$AI$6:$AI$505,"&lt;="&amp;$A221,実績!$AJ$6:$AJ$505,"&gt;"&amp;$A221,実績!$AK$6:$AK$505,"○")&gt;0,1,0))</f>
        <v>0</v>
      </c>
      <c r="Q221" s="39" t="n">
        <f aca="false">IF(Q$4=0,0,IF(COUNTIFS(実績!$W$6:$W$505,Q$3,実績!$AI$6:$AI$505,"&lt;="&amp;$A221,実績!$AJ$6:$AJ$505,"&gt;"&amp;$A221,実績!$AK$6:$AK$505,"○")&gt;0,1,0))</f>
        <v>0</v>
      </c>
      <c r="R221" s="39" t="n">
        <f aca="false">IF(R$4=0,0,IF(COUNTIFS(実績!$W$6:$W$505,R$3,実績!$AI$6:$AI$505,"&lt;="&amp;$A221,実績!$AJ$6:$AJ$505,"&gt;"&amp;$A221,実績!$AK$6:$AK$505,"○")&gt;0,1,0))</f>
        <v>0</v>
      </c>
      <c r="S221" s="39" t="n">
        <f aca="false">IF(S$4=0,0,IF(COUNTIFS(実績!$W$6:$W$505,S$3,実績!$AI$6:$AI$505,"&lt;="&amp;$A221,実績!$AJ$6:$AJ$505,"&gt;"&amp;$A221,実績!$AK$6:$AK$505,"○")&gt;0,1,0))</f>
        <v>0</v>
      </c>
      <c r="T221" s="39" t="n">
        <f aca="false">IF(T$4=0,0,IF(COUNTIFS(実績!$W$6:$W$505,T$3,実績!$AI$6:$AI$505,"&lt;="&amp;$A221,実績!$AJ$6:$AJ$505,"&gt;"&amp;$A221,実績!$AK$6:$AK$505,"○")&gt;0,1,0))</f>
        <v>0</v>
      </c>
      <c r="U221" s="39" t="n">
        <f aca="false">IF(U$4=0,0,IF(COUNTIFS(実績!$W$6:$W$505,U$3,実績!$AI$6:$AI$505,"&lt;="&amp;$A221,実績!$AJ$6:$AJ$505,"&gt;"&amp;$A221,実績!$AK$6:$AK$505,"○")&gt;0,1,0))</f>
        <v>0</v>
      </c>
      <c r="V221" s="39" t="n">
        <f aca="false">IF(V$4=0,0,IF(COUNTIFS(実績!$W$6:$W$505,V$3,実績!$AI$6:$AI$505,"&lt;="&amp;$A221,実績!$AJ$6:$AJ$505,"&gt;"&amp;$A221,実績!$AK$6:$AK$505,"○")&gt;0,1,0))</f>
        <v>0</v>
      </c>
      <c r="W221" s="39" t="n">
        <f aca="false">IF(W$4=0,0,IF(COUNTIFS(実績!$W$6:$W$505,W$3,実績!$AI$6:$AI$505,"&lt;="&amp;$A221,実績!$AJ$6:$AJ$505,"&gt;"&amp;$A221,実績!$AK$6:$AK$505,"○")&gt;0,1,0))</f>
        <v>0</v>
      </c>
      <c r="X221" s="39" t="n">
        <f aca="false">IF(X$4=0,0,IF(COUNTIFS(実績!$W$6:$W$505,X$3,実績!$AI$6:$AI$505,"&lt;="&amp;$A221,実績!$AJ$6:$AJ$505,"&gt;"&amp;$A221,実績!$AK$6:$AK$505,"○")&gt;0,1,0))</f>
        <v>0</v>
      </c>
      <c r="Y221" s="39" t="n">
        <f aca="false">IF(Y$4=0,0,IF(COUNTIFS(実績!$W$6:$W$505,Y$3,実績!$AI$6:$AI$505,"&lt;="&amp;$A221,実績!$AJ$6:$AJ$505,"&gt;"&amp;$A221,実績!$AK$6:$AK$505,"○")&gt;0,1,0))</f>
        <v>0</v>
      </c>
      <c r="Z221" s="39" t="n">
        <f aca="false">IF(Z$4=0,0,IF(COUNTIFS(実績!$W$6:$W$505,Z$3,実績!$AI$6:$AI$505,"&lt;="&amp;$A221,実績!$AJ$6:$AJ$505,"&gt;"&amp;$A221,実績!$AK$6:$AK$505,"○")&gt;0,1,0))</f>
        <v>0</v>
      </c>
      <c r="AA221" s="39" t="n">
        <f aca="false">IF(AA$4=0,0,IF(COUNTIFS(実績!$W$6:$W$505,AA$3,実績!$AI$6:$AI$505,"&lt;="&amp;$A221,実績!$AJ$6:$AJ$505,"&gt;"&amp;$A221,実績!$AK$6:$AK$505,"○")&gt;0,1,0))</f>
        <v>0</v>
      </c>
      <c r="AB221" s="39" t="n">
        <f aca="false">IF(AB$4=0,0,IF(COUNTIFS(実績!$W$6:$W$505,AB$3,実績!$AI$6:$AI$505,"&lt;="&amp;$A221,実績!$AJ$6:$AJ$505,"&gt;"&amp;$A221,実績!$AK$6:$AK$505,"○")&gt;0,1,0))</f>
        <v>0</v>
      </c>
      <c r="AC221" s="39" t="n">
        <f aca="false">IF(AC$4=0,0,IF(COUNTIFS(実績!$W$6:$W$505,AC$3,実績!$AI$6:$AI$505,"&lt;="&amp;$A221,実績!$AJ$6:$AJ$505,"&gt;"&amp;$A221,実績!$AK$6:$AK$505,"○")&gt;0,1,0))</f>
        <v>0</v>
      </c>
      <c r="AD221" s="39" t="n">
        <f aca="false">IF(AD$4=0,0,IF(COUNTIFS(実績!$W$6:$W$505,AD$3,実績!$AI$6:$AI$505,"&lt;="&amp;$A221,実績!$AJ$6:$AJ$505,"&gt;"&amp;$A221,実績!$AK$6:$AK$505,"○")&gt;0,1,0))</f>
        <v>0</v>
      </c>
      <c r="AE221" s="39" t="n">
        <f aca="false">IF(AE$4=0,0,IF(COUNTIFS(実績!$W$6:$W$505,AE$3,実績!$AI$6:$AI$505,"&lt;="&amp;$A221,実績!$AJ$6:$AJ$505,"&gt;"&amp;$A221,実績!$AK$6:$AK$505,"○")&gt;0,1,0))</f>
        <v>0</v>
      </c>
      <c r="AF221" s="39" t="n">
        <f aca="false">IF(AF$4=0,0,IF(COUNTIFS(実績!$W$6:$W$505,AF$3,実績!$AI$6:$AI$505,"&lt;="&amp;$A221,実績!$AJ$6:$AJ$505,"&gt;"&amp;$A221,実績!$AK$6:$AK$505,"○")&gt;0,1,0))</f>
        <v>0</v>
      </c>
      <c r="AG221" s="39" t="n">
        <f aca="false">IF(AG$4=0,0,IF(COUNTIFS(実績!$W$6:$W$505,AG$3,実績!$AI$6:$AI$505,"&lt;="&amp;$A221,実績!$AJ$6:$AJ$505,"&gt;"&amp;$A221,実績!$AK$6:$AK$505,"○")&gt;0,1,0))</f>
        <v>0</v>
      </c>
      <c r="AH221" s="39" t="n">
        <f aca="false">IF(AH$4=0,0,IF(COUNTIFS(実績!$W$6:$W$505,AH$3,実績!$AI$6:$AI$505,"&lt;="&amp;$A221,実績!$AJ$6:$AJ$505,"&gt;"&amp;$A221,実績!$AK$6:$AK$505,"○")&gt;0,1,0))</f>
        <v>0</v>
      </c>
      <c r="AI221" s="39" t="n">
        <f aca="false">IF(AI$4=0,0,IF(COUNTIFS(実績!$W$6:$W$505,AI$3,実績!$AI$6:$AI$505,"&lt;="&amp;$A221,実績!$AJ$6:$AJ$505,"&gt;"&amp;$A221,実績!$AK$6:$AK$505,"○")&gt;0,1,0))</f>
        <v>0</v>
      </c>
      <c r="AJ221" s="39" t="n">
        <f aca="false">IF(AJ$4=0,0,IF(COUNTIFS(実績!$W$6:$W$505,AJ$3,実績!$AI$6:$AI$505,"&lt;="&amp;$A221,実績!$AJ$6:$AJ$505,"&gt;"&amp;$A221,実績!$AK$6:$AK$505,"○")&gt;0,1,0))</f>
        <v>0</v>
      </c>
      <c r="AK221" s="39" t="n">
        <f aca="false">IF(AK$4=0,0,IF(COUNTIFS(実績!$W$6:$W$505,AK$3,実績!$AI$6:$AI$505,"&lt;="&amp;$A221,実績!$AJ$6:$AJ$505,"&gt;"&amp;$A221,実績!$AK$6:$AK$505,"○")&gt;0,1,0))</f>
        <v>0</v>
      </c>
      <c r="AL221" s="39" t="n">
        <f aca="false">IF(AL$4=0,0,IF(COUNTIFS(実績!$W$6:$W$505,AL$3,実績!$AI$6:$AI$505,"&lt;="&amp;$A221,実績!$AJ$6:$AJ$505,"&gt;"&amp;$A221,実績!$AK$6:$AK$505,"○")&gt;0,1,0))</f>
        <v>0</v>
      </c>
      <c r="AM221" s="39" t="n">
        <f aca="false">IF(AM$4=0,0,IF(COUNTIFS(実績!$W$6:$W$505,AM$3,実績!$AI$6:$AI$505,"&lt;="&amp;$A221,実績!$AJ$6:$AJ$505,"&gt;"&amp;$A221,実績!$AK$6:$AK$505,"○")&gt;0,1,0))</f>
        <v>0</v>
      </c>
      <c r="AN221" s="39" t="n">
        <f aca="false">IF(AN$4=0,0,IF(COUNTIFS(実績!$W$6:$W$505,AN$3,実績!$AI$6:$AI$505,"&lt;="&amp;$A221,実績!$AJ$6:$AJ$505,"&gt;"&amp;$A221,実績!$AK$6:$AK$505,"○")&gt;0,1,0))</f>
        <v>0</v>
      </c>
      <c r="AO221" s="39" t="n">
        <f aca="false">IF(AO$4=0,0,IF(COUNTIFS(実績!$W$6:$W$505,AO$3,実績!$AI$6:$AI$505,"&lt;="&amp;$A221,実績!$AJ$6:$AJ$505,"&gt;"&amp;$A221,実績!$AK$6:$AK$505,"○")&gt;0,1,0))</f>
        <v>0</v>
      </c>
      <c r="AP221" s="39" t="n">
        <f aca="false">IF(AP$4=0,0,IF(COUNTIFS(実績!$W$6:$W$505,AP$3,実績!$AI$6:$AI$505,"&lt;="&amp;$A221,実績!$AJ$6:$AJ$505,"&gt;"&amp;$A221,実績!$AK$6:$AK$505,"○")&gt;0,1,0))</f>
        <v>0</v>
      </c>
      <c r="AQ221" s="39" t="n">
        <f aca="false">IF(AQ$4=0,0,IF(COUNTIFS(実績!$W$6:$W$505,AQ$3,実績!$AI$6:$AI$505,"&lt;="&amp;$A221,実績!$AJ$6:$AJ$505,"&gt;"&amp;$A221,実績!$AK$6:$AK$505,"○")&gt;0,1,0))</f>
        <v>0</v>
      </c>
      <c r="AR221" s="39" t="n">
        <f aca="false">IF(AR$4=0,0,IF(COUNTIFS(実績!$W$6:$W$505,AR$3,実績!$AI$6:$AI$505,"&lt;="&amp;$A221,実績!$AJ$6:$AJ$505,"&gt;"&amp;$A221,実績!$AK$6:$AK$505,"○")&gt;0,1,0))</f>
        <v>0</v>
      </c>
      <c r="AS221" s="39" t="n">
        <f aca="false">IF(AS$4=0,0,IF(COUNTIFS(実績!$W$6:$W$505,AS$3,実績!$AI$6:$AI$505,"&lt;="&amp;$A221,実績!$AJ$6:$AJ$505,"&gt;"&amp;$A221,実績!$AK$6:$AK$505,"○")&gt;0,1,0))</f>
        <v>0</v>
      </c>
      <c r="AT221" s="39" t="n">
        <f aca="false">IF(AT$4=0,0,IF(COUNTIFS(実績!$W$6:$W$505,AT$3,実績!$AI$6:$AI$505,"&lt;="&amp;$A221,実績!$AJ$6:$AJ$505,"&gt;"&amp;$A221,実績!$AK$6:$AK$505,"○")&gt;0,1,0))</f>
        <v>0</v>
      </c>
      <c r="AU221" s="39" t="n">
        <f aca="false">IF(AU$4=0,0,IF(COUNTIFS(実績!$W$6:$W$505,AU$3,実績!$AI$6:$AI$505,"&lt;="&amp;$A221,実績!$AJ$6:$AJ$505,"&gt;"&amp;$A221,実績!$AK$6:$AK$505,"○")&gt;0,1,0))</f>
        <v>0</v>
      </c>
      <c r="AV221" s="39" t="n">
        <f aca="false">IF(AV$4=0,0,IF(COUNTIFS(実績!$W$6:$W$505,AV$3,実績!$AI$6:$AI$505,"&lt;="&amp;$A221,実績!$AJ$6:$AJ$505,"&gt;"&amp;$A221,実績!$AK$6:$AK$505,"○")&gt;0,1,0))</f>
        <v>0</v>
      </c>
      <c r="AW221" s="39" t="n">
        <f aca="false">IF(AW$4=0,0,IF(COUNTIFS(実績!$W$6:$W$505,AW$3,実績!$AI$6:$AI$505,"&lt;="&amp;$A221,実績!$AJ$6:$AJ$505,"&gt;"&amp;$A221,実績!$AK$6:$AK$505,"○")&gt;0,1,0))</f>
        <v>0</v>
      </c>
      <c r="AX221" s="39" t="n">
        <f aca="false">IF(AX$4=0,0,IF(COUNTIFS(実績!$W$6:$W$505,AX$3,実績!$AI$6:$AI$505,"&lt;="&amp;$A221,実績!$AJ$6:$AJ$505,"&gt;"&amp;$A221,実績!$AK$6:$AK$505,"○")&gt;0,1,0))</f>
        <v>0</v>
      </c>
      <c r="AY221" s="39" t="n">
        <f aca="false">IF(AY$4=0,0,IF(COUNTIFS(実績!$W$6:$W$505,AY$3,実績!$AI$6:$AI$505,"&lt;="&amp;$A221,実績!$AJ$6:$AJ$505,"&gt;"&amp;$A221,実績!$AK$6:$AK$505,"○")&gt;0,1,0))</f>
        <v>0</v>
      </c>
      <c r="AZ221" s="39" t="n">
        <f aca="false">IF(AZ$4=0,0,IF(COUNTIFS(実績!$W$6:$W$505,AZ$3,実績!$AI$6:$AI$505,"&lt;="&amp;$A221,実績!$AJ$6:$AJ$505,"&gt;"&amp;$A221,実績!$AK$6:$AK$505,"○")&gt;0,1,0))</f>
        <v>0</v>
      </c>
      <c r="BA221" s="39" t="n">
        <f aca="false">IF(BA$4=0,0,IF(COUNTIFS(実績!$W$6:$W$505,BA$3,実績!$AI$6:$AI$505,"&lt;="&amp;$A221,実績!$AJ$6:$AJ$505,"&gt;"&amp;$A221,実績!$AK$6:$AK$505,"○")&gt;0,1,0))</f>
        <v>0</v>
      </c>
      <c r="BB221" s="39" t="n">
        <f aca="false">IF(BB$4=0,0,IF(COUNTIFS(実績!$W$6:$W$505,BB$3,実績!$AI$6:$AI$505,"&lt;="&amp;$A221,実績!$AJ$6:$AJ$505,"&gt;"&amp;$A221,実績!$AK$6:$AK$505,"○")&gt;0,1,0))</f>
        <v>0</v>
      </c>
      <c r="BC221" s="39" t="n">
        <f aca="false">IF(BC$4=0,0,IF(COUNTIFS(実績!$W$6:$W$505,BC$3,実績!$AI$6:$AI$505,"&lt;="&amp;$A221,実績!$AJ$6:$AJ$505,"&gt;"&amp;$A221,実績!$AK$6:$AK$505,"○")&gt;0,1,0))</f>
        <v>0</v>
      </c>
      <c r="BD221" s="39" t="n">
        <f aca="false">IF(BD$4=0,0,IF(COUNTIFS(実績!$W$6:$W$505,BD$3,実績!$AI$6:$AI$505,"&lt;="&amp;$A221,実績!$AJ$6:$AJ$505,"&gt;"&amp;$A221,実績!$AK$6:$AK$505,"○")&gt;0,1,0))</f>
        <v>0</v>
      </c>
      <c r="BE221" s="39" t="n">
        <f aca="false">IF(BE$4=0,0,IF(COUNTIFS(実績!$W$6:$W$505,BE$3,実績!$AI$6:$AI$505,"&lt;="&amp;$A221,実績!$AJ$6:$AJ$505,"&gt;"&amp;$A221,実績!$AK$6:$AK$505,"○")&gt;0,1,0))</f>
        <v>0</v>
      </c>
      <c r="BF221" s="39" t="n">
        <f aca="false">IF(BF$4=0,0,IF(COUNTIFS(実績!$W$6:$W$505,BF$3,実績!$AI$6:$AI$505,"&lt;="&amp;$A221,実績!$AJ$6:$AJ$505,"&gt;"&amp;$A221,実績!$AK$6:$AK$505,"○")&gt;0,1,0))</f>
        <v>0</v>
      </c>
      <c r="BG221" s="39" t="n">
        <f aca="false">IF(BG$4=0,0,IF(COUNTIFS(実績!$W$6:$W$505,BG$3,実績!$AI$6:$AI$505,"&lt;="&amp;$A221,実績!$AJ$6:$AJ$505,"&gt;"&amp;$A221,実績!$AK$6:$AK$505,"○")&gt;0,1,0))</f>
        <v>0</v>
      </c>
      <c r="BH221" s="39" t="n">
        <f aca="false">IF(BH$4=0,0,IF(COUNTIFS(実績!$W$6:$W$505,BH$3,実績!$AI$6:$AI$505,"&lt;="&amp;$A221,実績!$AJ$6:$AJ$505,"&gt;"&amp;$A221,実績!$AK$6:$AK$505,"○")&gt;0,1,0))</f>
        <v>0</v>
      </c>
      <c r="BI221" s="39" t="n">
        <f aca="false">IF(BI$4=0,0,IF(COUNTIFS(実績!$W$6:$W$505,BI$3,実績!$AI$6:$AI$505,"&lt;="&amp;$A221,実績!$AJ$6:$AJ$505,"&gt;"&amp;$A221,実績!$AK$6:$AK$505,"○")&gt;0,1,0))</f>
        <v>0</v>
      </c>
      <c r="BJ221" s="39" t="n">
        <f aca="false">IF(BJ$4=0,0,IF(COUNTIFS(実績!$W$6:$W$505,BJ$3,実績!$AI$6:$AI$505,"&lt;="&amp;$A221,実績!$AJ$6:$AJ$505,"&gt;"&amp;$A221,実績!$AK$6:$AK$505,"○")&gt;0,1,0))</f>
        <v>0</v>
      </c>
      <c r="BK221" s="39" t="n">
        <f aca="false">IF(BK$4=0,0,IF(COUNTIFS(実績!$W$6:$W$505,BK$3,実績!$AI$6:$AI$505,"&lt;="&amp;$A221,実績!$AJ$6:$AJ$505,"&gt;"&amp;$A221,実績!$AK$6:$AK$505,"○")&gt;0,1,0))</f>
        <v>0</v>
      </c>
      <c r="BL221" s="39" t="n">
        <f aca="false">IF(BL$4=0,0,IF(COUNTIFS(実績!$W$6:$W$505,BL$3,実績!$AI$6:$AI$505,"&lt;="&amp;$A221,実績!$AJ$6:$AJ$505,"&gt;"&amp;$A221,実績!$AK$6:$AK$505,"○")&gt;0,1,0))</f>
        <v>0</v>
      </c>
      <c r="BM221" s="39" t="n">
        <f aca="false">IF(BM$4=0,0,IF(COUNTIFS(実績!$W$6:$W$505,BM$3,実績!$AI$6:$AI$505,"&lt;="&amp;$A221,実績!$AJ$6:$AJ$505,"&gt;"&amp;$A221,実績!$AK$6:$AK$505,"○")&gt;0,1,0))</f>
        <v>0</v>
      </c>
      <c r="BN221" s="39" t="n">
        <f aca="false">IF(BN$4=0,0,IF(COUNTIFS(実績!$W$6:$W$505,BN$3,実績!$AI$6:$AI$505,"&lt;="&amp;$A221,実績!$AJ$6:$AJ$505,"&gt;"&amp;$A221,実績!$AK$6:$AK$505,"○")&gt;0,1,0))</f>
        <v>0</v>
      </c>
      <c r="BO221" s="39" t="n">
        <f aca="false">IF(BO$4=0,0,IF(COUNTIFS(実績!$W$6:$W$505,BO$3,実績!$AI$6:$AI$505,"&lt;="&amp;$A221,実績!$AJ$6:$AJ$505,"&gt;"&amp;$A221,実績!$AK$6:$AK$505,"○")&gt;0,1,0))</f>
        <v>0</v>
      </c>
      <c r="BP221" s="39" t="n">
        <f aca="false">IF(BP$4=0,0,IF(COUNTIFS(実績!$W$6:$W$505,BP$3,実績!$AI$6:$AI$505,"&lt;="&amp;$A221,実績!$AJ$6:$AJ$505,"&gt;"&amp;$A221,実績!$AK$6:$AK$505,"○")&gt;0,1,0))</f>
        <v>0</v>
      </c>
      <c r="BQ221" s="39" t="n">
        <f aca="false">IF(BQ$4=0,0,IF(COUNTIFS(実績!$W$6:$W$505,BQ$3,実績!$AI$6:$AI$505,"&lt;="&amp;$A221,実績!$AJ$6:$AJ$505,"&gt;"&amp;$A221,実績!$AK$6:$AK$505,"○")&gt;0,1,0))</f>
        <v>0</v>
      </c>
      <c r="BR221" s="39" t="n">
        <f aca="false">IF(BR$4=0,0,IF(COUNTIFS(実績!$W$6:$W$505,BR$3,実績!$AI$6:$AI$505,"&lt;="&amp;$A221,実績!$AJ$6:$AJ$505,"&gt;"&amp;$A221,実績!$AK$6:$AK$505,"○")&gt;0,1,0))</f>
        <v>0</v>
      </c>
      <c r="BS221" s="39" t="n">
        <f aca="false">IF(BS$4=0,0,IF(COUNTIFS(実績!$W$6:$W$505,BS$3,実績!$AI$6:$AI$505,"&lt;="&amp;$A221,実績!$AJ$6:$AJ$505,"&gt;"&amp;$A221,実績!$AK$6:$AK$505,"○")&gt;0,1,0))</f>
        <v>0</v>
      </c>
      <c r="BT221" s="39" t="n">
        <f aca="false">IF(BT$4=0,0,IF(COUNTIFS(実績!$W$6:$W$505,BT$3,実績!$AI$6:$AI$505,"&lt;="&amp;$A221,実績!$AJ$6:$AJ$505,"&gt;"&amp;$A221,実績!$AK$6:$AK$505,"○")&gt;0,1,0))</f>
        <v>0</v>
      </c>
      <c r="BU221" s="39" t="n">
        <f aca="false">IF(BU$4=0,0,IF(COUNTIFS(実績!$W$6:$W$505,BU$3,実績!$AI$6:$AI$505,"&lt;="&amp;$A221,実績!$AJ$6:$AJ$505,"&gt;"&amp;$A221,実績!$AK$6:$AK$505,"○")&gt;0,1,0))</f>
        <v>0</v>
      </c>
      <c r="BV221" s="39" t="n">
        <f aca="false">IF(BV$4=0,0,IF(COUNTIFS(実績!$W$6:$W$505,BV$3,実績!$AI$6:$AI$505,"&lt;="&amp;$A221,実績!$AJ$6:$AJ$505,"&gt;"&amp;$A221,実績!$AK$6:$AK$505,"○")&gt;0,1,0))</f>
        <v>0</v>
      </c>
      <c r="BW221" s="39" t="n">
        <f aca="false">IF(BW$4=0,0,IF(COUNTIFS(実績!$W$6:$W$505,BW$3,実績!$AI$6:$AI$505,"&lt;="&amp;$A221,実績!$AJ$6:$AJ$505,"&gt;"&amp;$A221,実績!$AK$6:$AK$505,"○")&gt;0,1,0))</f>
        <v>0</v>
      </c>
      <c r="BX221" s="39" t="n">
        <f aca="false">IF(BX$4=0,0,IF(COUNTIFS(実績!$W$6:$W$505,BX$3,実績!$AI$6:$AI$505,"&lt;="&amp;$A221,実績!$AJ$6:$AJ$505,"&gt;"&amp;$A221,実績!$AK$6:$AK$505,"○")&gt;0,1,0))</f>
        <v>0</v>
      </c>
      <c r="BY221" s="39" t="n">
        <f aca="false">IF(BY$4=0,0,IF(COUNTIFS(実績!$W$6:$W$505,BY$3,実績!$AI$6:$AI$505,"&lt;="&amp;$A221,実績!$AJ$6:$AJ$505,"&gt;"&amp;$A221,実績!$AK$6:$AK$505,"○")&gt;0,1,0))</f>
        <v>0</v>
      </c>
      <c r="BZ221" s="39" t="n">
        <f aca="false">IF(BZ$4=0,0,IF(COUNTIFS(実績!$W$6:$W$505,BZ$3,実績!$AI$6:$AI$505,"&lt;="&amp;$A221,実績!$AJ$6:$AJ$505,"&gt;"&amp;$A221,実績!$AK$6:$AK$505,"○")&gt;0,1,0))</f>
        <v>0</v>
      </c>
      <c r="CA221" s="39" t="n">
        <f aca="false">IF(CA$4=0,0,IF(COUNTIFS(実績!$W$6:$W$505,CA$3,実績!$AI$6:$AI$505,"&lt;="&amp;$A221,実績!$AJ$6:$AJ$505,"&gt;"&amp;$A221,実績!$AK$6:$AK$505,"○")&gt;0,1,0))</f>
        <v>0</v>
      </c>
      <c r="CB221" s="39" t="n">
        <f aca="false">IF(CB$4=0,0,IF(COUNTIFS(実績!$W$6:$W$505,CB$3,実績!$AI$6:$AI$505,"&lt;="&amp;$A221,実績!$AJ$6:$AJ$505,"&gt;"&amp;$A221,実績!$AK$6:$AK$505,"○")&gt;0,1,0))</f>
        <v>0</v>
      </c>
      <c r="CC221" s="39" t="n">
        <f aca="false">IF(CC$4=0,0,IF(COUNTIFS(実績!$W$6:$W$505,CC$3,実績!$AI$6:$AI$505,"&lt;="&amp;$A221,実績!$AJ$6:$AJ$505,"&gt;"&amp;$A221,実績!$AK$6:$AK$505,"○")&gt;0,1,0))</f>
        <v>0</v>
      </c>
      <c r="CD221" s="39" t="n">
        <f aca="false">IF(CD$4=0,0,IF(COUNTIFS(実績!$W$6:$W$505,CD$3,実績!$AI$6:$AI$505,"&lt;="&amp;$A221,実績!$AJ$6:$AJ$505,"&gt;"&amp;$A221,実績!$AK$6:$AK$505,"○")&gt;0,1,0))</f>
        <v>0</v>
      </c>
      <c r="CE221" s="39" t="n">
        <f aca="false">IF(CE$4=0,0,IF(COUNTIFS(実績!$W$6:$W$505,CE$3,実績!$AI$6:$AI$505,"&lt;="&amp;$A221,実績!$AJ$6:$AJ$505,"&gt;"&amp;$A221,実績!$AK$6:$AK$505,"○")&gt;0,1,0))</f>
        <v>0</v>
      </c>
      <c r="CF221" s="39" t="n">
        <f aca="false">IF(CF$4=0,0,IF(COUNTIFS(実績!$W$6:$W$505,CF$3,実績!$AI$6:$AI$505,"&lt;="&amp;$A221,実績!$AJ$6:$AJ$505,"&gt;"&amp;$A221,実績!$AK$6:$AK$505,"○")&gt;0,1,0))</f>
        <v>0</v>
      </c>
      <c r="CG221" s="39" t="n">
        <f aca="false">IF(CG$4=0,0,IF(COUNTIFS(実績!$W$6:$W$505,CG$3,実績!$AI$6:$AI$505,"&lt;="&amp;$A221,実績!$AJ$6:$AJ$505,"&gt;"&amp;$A221,実績!$AK$6:$AK$505,"○")&gt;0,1,0))</f>
        <v>0</v>
      </c>
      <c r="CH221" s="39" t="n">
        <f aca="false">IF(CH$4=0,0,IF(COUNTIFS(実績!$W$6:$W$505,CH$3,実績!$AI$6:$AI$505,"&lt;="&amp;$A221,実績!$AJ$6:$AJ$505,"&gt;"&amp;$A221,実績!$AK$6:$AK$505,"○")&gt;0,1,0))</f>
        <v>0</v>
      </c>
      <c r="CI221" s="39" t="n">
        <f aca="false">IF(CI$4=0,0,IF(COUNTIFS(実績!$W$6:$W$505,CI$3,実績!$AI$6:$AI$505,"&lt;="&amp;$A221,実績!$AJ$6:$AJ$505,"&gt;"&amp;$A221,実績!$AK$6:$AK$505,"○")&gt;0,1,0))</f>
        <v>0</v>
      </c>
      <c r="CJ221" s="39" t="n">
        <f aca="false">IF(CJ$4=0,0,IF(COUNTIFS(実績!$W$6:$W$505,CJ$3,実績!$AI$6:$AI$505,"&lt;="&amp;$A221,実績!$AJ$6:$AJ$505,"&gt;"&amp;$A221,実績!$AK$6:$AK$505,"○")&gt;0,1,0))</f>
        <v>0</v>
      </c>
      <c r="CK221" s="39" t="n">
        <f aca="false">IF(CK$4=0,0,IF(COUNTIFS(実績!$W$6:$W$505,CK$3,実績!$AI$6:$AI$505,"&lt;="&amp;$A221,実績!$AJ$6:$AJ$505,"&gt;"&amp;$A221,実績!$AK$6:$AK$505,"○")&gt;0,1,0))</f>
        <v>0</v>
      </c>
      <c r="CL221" s="39" t="n">
        <f aca="false">IF(CL$4=0,0,IF(COUNTIFS(実績!$W$6:$W$505,CL$3,実績!$AI$6:$AI$505,"&lt;="&amp;$A221,実績!$AJ$6:$AJ$505,"&gt;"&amp;$A221,実績!$AK$6:$AK$505,"○")&gt;0,1,0))</f>
        <v>0</v>
      </c>
      <c r="CM221" s="39" t="n">
        <f aca="false">IF(CM$4=0,0,IF(COUNTIFS(実績!$W$6:$W$505,CM$3,実績!$AI$6:$AI$505,"&lt;="&amp;$A221,実績!$AJ$6:$AJ$505,"&gt;"&amp;$A221,実績!$AK$6:$AK$505,"○")&gt;0,1,0))</f>
        <v>0</v>
      </c>
      <c r="CN221" s="39" t="n">
        <f aca="false">IF(CN$4=0,0,IF(COUNTIFS(実績!$W$6:$W$505,CN$3,実績!$AI$6:$AI$505,"&lt;="&amp;$A221,実績!$AJ$6:$AJ$505,"&gt;"&amp;$A221,実績!$AK$6:$AK$505,"○")&gt;0,1,0))</f>
        <v>0</v>
      </c>
      <c r="CO221" s="39" t="n">
        <f aca="false">IF(CO$4=0,0,IF(COUNTIFS(実績!$W$6:$W$505,CO$3,実績!$AI$6:$AI$505,"&lt;="&amp;$A221,実績!$AJ$6:$AJ$505,"&gt;"&amp;$A221,実績!$AK$6:$AK$505,"○")&gt;0,1,0))</f>
        <v>0</v>
      </c>
      <c r="CP221" s="39" t="n">
        <f aca="false">IF(CP$4=0,0,IF(COUNTIFS(実績!$W$6:$W$505,CP$3,実績!$AI$6:$AI$505,"&lt;="&amp;$A221,実績!$AJ$6:$AJ$505,"&gt;"&amp;$A221,実績!$AK$6:$AK$505,"○")&gt;0,1,0))</f>
        <v>0</v>
      </c>
      <c r="CQ221" s="39" t="n">
        <f aca="false">IF(CQ$4=0,0,IF(COUNTIFS(実績!$W$6:$W$505,CQ$3,実績!$AI$6:$AI$505,"&lt;="&amp;$A221,実績!$AJ$6:$AJ$505,"&gt;"&amp;$A221,実績!$AK$6:$AK$505,"○")&gt;0,1,0))</f>
        <v>0</v>
      </c>
      <c r="CR221" s="39" t="n">
        <f aca="false">IF(CR$4=0,0,IF(COUNTIFS(実績!$W$6:$W$505,CR$3,実績!$AI$6:$AI$505,"&lt;="&amp;$A221,実績!$AJ$6:$AJ$505,"&gt;"&amp;$A221,実績!$AK$6:$AK$505,"○")&gt;0,1,0))</f>
        <v>0</v>
      </c>
      <c r="CS221" s="39" t="n">
        <f aca="false">IF(CS$4=0,0,IF(COUNTIFS(実績!$W$6:$W$505,CS$3,実績!$AI$6:$AI$505,"&lt;="&amp;$A221,実績!$AJ$6:$AJ$505,"&gt;"&amp;$A221,実績!$AK$6:$AK$505,"○")&gt;0,1,0))</f>
        <v>0</v>
      </c>
      <c r="CT221" s="39" t="n">
        <f aca="false">IF(CT$4=0,0,IF(COUNTIFS(実績!$W$6:$W$505,CT$3,実績!$AI$6:$AI$505,"&lt;="&amp;$A221,実績!$AJ$6:$AJ$505,"&gt;"&amp;$A221,実績!$AK$6:$AK$505,"○")&gt;0,1,0))</f>
        <v>0</v>
      </c>
      <c r="CU221" s="39" t="n">
        <f aca="false">IF(CU$4=0,0,IF(COUNTIFS(実績!$W$6:$W$505,CU$3,実績!$AI$6:$AI$505,"&lt;="&amp;$A221,実績!$AJ$6:$AJ$505,"&gt;"&amp;$A221,実績!$AK$6:$AK$505,"○")&gt;0,1,0))</f>
        <v>0</v>
      </c>
      <c r="CV221" s="39" t="n">
        <f aca="false">IF(CV$4=0,0,IF(COUNTIFS(実績!$W$6:$W$505,CV$3,実績!$AI$6:$AI$505,"&lt;="&amp;$A221,実績!$AJ$6:$AJ$505,"&gt;"&amp;$A221,実績!$AK$6:$AK$505,"○")&gt;0,1,0))</f>
        <v>0</v>
      </c>
      <c r="CW221" s="39" t="n">
        <f aca="false">IF(CW$4=0,0,IF(COUNTIFS(実績!$W$6:$W$505,CW$3,実績!$AI$6:$AI$505,"&lt;="&amp;$A221,実績!$AJ$6:$AJ$505,"&gt;"&amp;$A221,実績!$AK$6:$AK$505,"○")&gt;0,1,0))</f>
        <v>0</v>
      </c>
      <c r="CX221" s="39" t="n">
        <f aca="false">IF(CX$4=0,0,IF(COUNTIFS(実績!$W$6:$W$505,CX$3,実績!$AI$6:$AI$505,"&lt;="&amp;$A221,実績!$AJ$6:$AJ$505,"&gt;"&amp;$A221,実績!$AK$6:$AK$505,"○")&gt;0,1,0))</f>
        <v>0</v>
      </c>
      <c r="CY221" s="39" t="n">
        <f aca="false">IF(CY$4=0,0,IF(COUNTIFS(実績!$W$6:$W$505,CY$3,実績!$AI$6:$AI$505,"&lt;="&amp;$A221,実績!$AJ$6:$AJ$505,"&gt;"&amp;$A221,実績!$AK$6:$AK$505,"○")&gt;0,1,0))</f>
        <v>0</v>
      </c>
      <c r="CZ221" s="39" t="n">
        <f aca="false">IF(CZ$4=0,0,IF(COUNTIFS(実績!$W$6:$W$505,CZ$3,実績!$AI$6:$AI$505,"&lt;="&amp;$A221,実績!$AJ$6:$AJ$505,"&gt;"&amp;$A221,実績!$AK$6:$AK$505,"○")&gt;0,1,0))</f>
        <v>0</v>
      </c>
      <c r="DA221" s="39" t="n">
        <f aca="false">IF(DA$4=0,0,IF(COUNTIFS(実績!$W$6:$W$505,DA$3,実績!$AI$6:$AI$505,"&lt;="&amp;$A221,実績!$AJ$6:$AJ$505,"&gt;"&amp;$A221,実績!$AK$6:$AK$505,"○")&gt;0,1,0))</f>
        <v>0</v>
      </c>
      <c r="DB221" s="39" t="n">
        <f aca="false">IF(DB$4=0,0,IF(COUNTIFS(実績!$W$6:$W$505,DB$3,実績!$AI$6:$AI$505,"&lt;="&amp;$A221,実績!$AJ$6:$AJ$505,"&gt;"&amp;$A221,実績!$AK$6:$AK$505,"○")&gt;0,1,0))</f>
        <v>0</v>
      </c>
      <c r="DC221" s="39" t="n">
        <f aca="false">IF(DC$4=0,0,IF(COUNTIFS(実績!$W$6:$W$505,DC$3,実績!$AI$6:$AI$505,"&lt;="&amp;$A221,実績!$AJ$6:$AJ$505,"&gt;"&amp;$A221,実績!$AK$6:$AK$505,"○")&gt;0,1,0))</f>
        <v>0</v>
      </c>
      <c r="DD221" s="39" t="n">
        <f aca="false">IF(DD$4=0,0,IF(COUNTIFS(実績!$W$6:$W$505,DD$3,実績!$AI$6:$AI$505,"&lt;="&amp;$A221,実績!$AJ$6:$AJ$505,"&gt;"&amp;$A221,実績!$AK$6:$AK$505,"○")&gt;0,1,0))</f>
        <v>0</v>
      </c>
      <c r="DE221" s="39" t="n">
        <f aca="false">IF(DE$4=0,0,IF(COUNTIFS(実績!$W$6:$W$505,DE$3,実績!$AI$6:$AI$505,"&lt;="&amp;$A221,実績!$AJ$6:$AJ$505,"&gt;"&amp;$A221,実績!$AK$6:$AK$505,"○")&gt;0,1,0))</f>
        <v>0</v>
      </c>
      <c r="DF221" s="39" t="n">
        <f aca="false">IF(DF$4=0,0,IF(COUNTIFS(実績!$W$6:$W$505,DF$3,実績!$AI$6:$AI$505,"&lt;="&amp;$A221,実績!$AJ$6:$AJ$505,"&gt;"&amp;$A221,実績!$AK$6:$AK$505,"○")&gt;0,1,0))</f>
        <v>0</v>
      </c>
      <c r="DG221" s="39" t="n">
        <f aca="false">IF(DG$4=0,0,IF(COUNTIFS(実績!$W$6:$W$505,DG$3,実績!$AI$6:$AI$505,"&lt;="&amp;$A221,実績!$AJ$6:$AJ$505,"&gt;"&amp;$A221,実績!$AK$6:$AK$505,"○")&gt;0,1,0))</f>
        <v>0</v>
      </c>
      <c r="DH221" s="39" t="n">
        <f aca="false">IF(DH$4=0,0,IF(COUNTIFS(実績!$W$6:$W$505,DH$3,実績!$AI$6:$AI$505,"&lt;="&amp;$A221,実績!$AJ$6:$AJ$505,"&gt;"&amp;$A221,実績!$AK$6:$AK$505,"○")&gt;0,1,0))</f>
        <v>0</v>
      </c>
      <c r="DI221" s="39" t="n">
        <f aca="false">IF(DI$4=0,0,IF(COUNTIFS(実績!$W$6:$W$505,DI$3,実績!$AI$6:$AI$505,"&lt;="&amp;$A221,実績!$AJ$6:$AJ$505,"&gt;"&amp;$A221,実績!$AK$6:$AK$505,"○")&gt;0,1,0))</f>
        <v>0</v>
      </c>
      <c r="DJ221" s="39" t="n">
        <f aca="false">IF(DJ$4=0,0,IF(COUNTIFS(実績!$W$6:$W$505,DJ$3,実績!$AI$6:$AI$505,"&lt;="&amp;$A221,実績!$AJ$6:$AJ$505,"&gt;"&amp;$A221,実績!$AK$6:$AK$505,"○")&gt;0,1,0))</f>
        <v>0</v>
      </c>
      <c r="DK221" s="39" t="n">
        <f aca="false">IF(DK$4=0,0,IF(COUNTIFS(実績!$W$6:$W$505,DK$3,実績!$AI$6:$AI$505,"&lt;="&amp;$A221,実績!$AJ$6:$AJ$505,"&gt;"&amp;$A221,実績!$AK$6:$AK$505,"○")&gt;0,1,0))</f>
        <v>0</v>
      </c>
      <c r="DL221" s="39" t="n">
        <f aca="false">IF(DL$4=0,0,IF(COUNTIFS(実績!$W$6:$W$505,DL$3,実績!$AI$6:$AI$505,"&lt;="&amp;$A221,実績!$AJ$6:$AJ$505,"&gt;"&amp;$A221,実績!$AK$6:$AK$505,"○")&gt;0,1,0))</f>
        <v>0</v>
      </c>
      <c r="DM221" s="39" t="n">
        <f aca="false">IF(DM$4=0,0,IF(COUNTIFS(実績!$W$6:$W$505,DM$3,実績!$AI$6:$AI$505,"&lt;="&amp;$A221,実績!$AJ$6:$AJ$505,"&gt;"&amp;$A221,実績!$AK$6:$AK$505,"○")&gt;0,1,0))</f>
        <v>0</v>
      </c>
      <c r="DN221" s="39" t="n">
        <f aca="false">IF(DN$4=0,0,IF(COUNTIFS(実績!$W$6:$W$505,DN$3,実績!$AI$6:$AI$505,"&lt;="&amp;$A221,実績!$AJ$6:$AJ$505,"&gt;"&amp;$A221,実績!$AK$6:$AK$505,"○")&gt;0,1,0))</f>
        <v>0</v>
      </c>
      <c r="DO221" s="39" t="n">
        <f aca="false">IF(DO$4=0,0,IF(COUNTIFS(実績!$W$6:$W$505,DO$3,実績!$AI$6:$AI$505,"&lt;="&amp;$A221,実績!$AJ$6:$AJ$505,"&gt;"&amp;$A221,実績!$AK$6:$AK$505,"○")&gt;0,1,0))</f>
        <v>0</v>
      </c>
      <c r="DP221" s="39" t="n">
        <f aca="false">IF(DP$4=0,0,IF(COUNTIFS(実績!$W$6:$W$505,DP$3,実績!$AI$6:$AI$505,"&lt;="&amp;$A221,実績!$AJ$6:$AJ$505,"&gt;"&amp;$A221,実績!$AK$6:$AK$505,"○")&gt;0,1,0))</f>
        <v>0</v>
      </c>
      <c r="DQ221" s="39" t="n">
        <f aca="false">IF(DQ$4=0,0,IF(COUNTIFS(実績!$W$6:$W$505,DQ$3,実績!$AI$6:$AI$505,"&lt;="&amp;$A221,実績!$AJ$6:$AJ$505,"&gt;"&amp;$A221,実績!$AK$6:$AK$505,"○")&gt;0,1,0))</f>
        <v>0</v>
      </c>
      <c r="DR221" s="39" t="n">
        <f aca="false">IF(DR$4=0,0,IF(COUNTIFS(実績!$W$6:$W$505,DR$3,実績!$AI$6:$AI$505,"&lt;="&amp;$A221,実績!$AJ$6:$AJ$505,"&gt;"&amp;$A221,実績!$AK$6:$AK$505,"○")&gt;0,1,0))</f>
        <v>0</v>
      </c>
      <c r="DS221" s="39" t="n">
        <f aca="false">SUM(C221:DR221)</f>
        <v>0</v>
      </c>
      <c r="DT221" s="39" t="n">
        <f aca="false">SUMPRODUCT((実績!$C$6:$C$505="○")*ISNUMBER(実績!$AM$6:$AM$505)*(実績!$AM$6:$AM$505&lt;=$A221)*(実績!$AN$6:$AN$505&gt;$A221))</f>
        <v>0</v>
      </c>
      <c r="DU221" s="39" t="n">
        <f aca="false">SUMIF($C$2:$DR$2,"製鉄曳船",C221:DR221)</f>
        <v>0</v>
      </c>
      <c r="DV221" s="39" t="n">
        <f aca="false">SUMIF($C$2:$DR$2,"西日本海運",C221:DR221)</f>
        <v>0</v>
      </c>
    </row>
    <row r="222" customFormat="false" ht="15" hidden="false" customHeight="false" outlineLevel="0" collapsed="false">
      <c r="A222" s="0" t="n">
        <v>1080</v>
      </c>
      <c r="B222" s="38" t="n">
        <f aca="false">A222/1440</f>
        <v>0.75</v>
      </c>
      <c r="C222" s="39" t="n">
        <f aca="false">IF(C$4=0,0,IF(COUNTIFS(実績!$W$6:$W$505,C$3,実績!$AI$6:$AI$505,"&lt;="&amp;$A222,実績!$AJ$6:$AJ$505,"&gt;"&amp;$A222,実績!$AK$6:$AK$505,"○")&gt;0,1,0))</f>
        <v>0</v>
      </c>
      <c r="D222" s="39" t="n">
        <f aca="false">IF(D$4=0,0,IF(COUNTIFS(実績!$W$6:$W$505,D$3,実績!$AI$6:$AI$505,"&lt;="&amp;$A222,実績!$AJ$6:$AJ$505,"&gt;"&amp;$A222,実績!$AK$6:$AK$505,"○")&gt;0,1,0))</f>
        <v>0</v>
      </c>
      <c r="E222" s="39" t="n">
        <f aca="false">IF(E$4=0,0,IF(COUNTIFS(実績!$W$6:$W$505,E$3,実績!$AI$6:$AI$505,"&lt;="&amp;$A222,実績!$AJ$6:$AJ$505,"&gt;"&amp;$A222,実績!$AK$6:$AK$505,"○")&gt;0,1,0))</f>
        <v>0</v>
      </c>
      <c r="F222" s="39" t="n">
        <f aca="false">IF(F$4=0,0,IF(COUNTIFS(実績!$W$6:$W$505,F$3,実績!$AI$6:$AI$505,"&lt;="&amp;$A222,実績!$AJ$6:$AJ$505,"&gt;"&amp;$A222,実績!$AK$6:$AK$505,"○")&gt;0,1,0))</f>
        <v>0</v>
      </c>
      <c r="G222" s="39" t="n">
        <f aca="false">IF(G$4=0,0,IF(COUNTIFS(実績!$W$6:$W$505,G$3,実績!$AI$6:$AI$505,"&lt;="&amp;$A222,実績!$AJ$6:$AJ$505,"&gt;"&amp;$A222,実績!$AK$6:$AK$505,"○")&gt;0,1,0))</f>
        <v>0</v>
      </c>
      <c r="H222" s="39" t="n">
        <f aca="false">IF(H$4=0,0,IF(COUNTIFS(実績!$W$6:$W$505,H$3,実績!$AI$6:$AI$505,"&lt;="&amp;$A222,実績!$AJ$6:$AJ$505,"&gt;"&amp;$A222,実績!$AK$6:$AK$505,"○")&gt;0,1,0))</f>
        <v>0</v>
      </c>
      <c r="I222" s="39" t="n">
        <f aca="false">IF(I$4=0,0,IF(COUNTIFS(実績!$W$6:$W$505,I$3,実績!$AI$6:$AI$505,"&lt;="&amp;$A222,実績!$AJ$6:$AJ$505,"&gt;"&amp;$A222,実績!$AK$6:$AK$505,"○")&gt;0,1,0))</f>
        <v>0</v>
      </c>
      <c r="J222" s="39" t="n">
        <f aca="false">IF(J$4=0,0,IF(COUNTIFS(実績!$W$6:$W$505,J$3,実績!$AI$6:$AI$505,"&lt;="&amp;$A222,実績!$AJ$6:$AJ$505,"&gt;"&amp;$A222,実績!$AK$6:$AK$505,"○")&gt;0,1,0))</f>
        <v>0</v>
      </c>
      <c r="K222" s="39" t="n">
        <f aca="false">IF(K$4=0,0,IF(COUNTIFS(実績!$W$6:$W$505,K$3,実績!$AI$6:$AI$505,"&lt;="&amp;$A222,実績!$AJ$6:$AJ$505,"&gt;"&amp;$A222,実績!$AK$6:$AK$505,"○")&gt;0,1,0))</f>
        <v>0</v>
      </c>
      <c r="L222" s="39" t="n">
        <f aca="false">IF(L$4=0,0,IF(COUNTIFS(実績!$W$6:$W$505,L$3,実績!$AI$6:$AI$505,"&lt;="&amp;$A222,実績!$AJ$6:$AJ$505,"&gt;"&amp;$A222,実績!$AK$6:$AK$505,"○")&gt;0,1,0))</f>
        <v>0</v>
      </c>
      <c r="M222" s="39" t="n">
        <f aca="false">IF(M$4=0,0,IF(COUNTIFS(実績!$W$6:$W$505,M$3,実績!$AI$6:$AI$505,"&lt;="&amp;$A222,実績!$AJ$6:$AJ$505,"&gt;"&amp;$A222,実績!$AK$6:$AK$505,"○")&gt;0,1,0))</f>
        <v>0</v>
      </c>
      <c r="N222" s="39" t="n">
        <f aca="false">IF(N$4=0,0,IF(COUNTIFS(実績!$W$6:$W$505,N$3,実績!$AI$6:$AI$505,"&lt;="&amp;$A222,実績!$AJ$6:$AJ$505,"&gt;"&amp;$A222,実績!$AK$6:$AK$505,"○")&gt;0,1,0))</f>
        <v>0</v>
      </c>
      <c r="O222" s="39" t="n">
        <f aca="false">IF(O$4=0,0,IF(COUNTIFS(実績!$W$6:$W$505,O$3,実績!$AI$6:$AI$505,"&lt;="&amp;$A222,実績!$AJ$6:$AJ$505,"&gt;"&amp;$A222,実績!$AK$6:$AK$505,"○")&gt;0,1,0))</f>
        <v>0</v>
      </c>
      <c r="P222" s="39" t="n">
        <f aca="false">IF(P$4=0,0,IF(COUNTIFS(実績!$W$6:$W$505,P$3,実績!$AI$6:$AI$505,"&lt;="&amp;$A222,実績!$AJ$6:$AJ$505,"&gt;"&amp;$A222,実績!$AK$6:$AK$505,"○")&gt;0,1,0))</f>
        <v>0</v>
      </c>
      <c r="Q222" s="39" t="n">
        <f aca="false">IF(Q$4=0,0,IF(COUNTIFS(実績!$W$6:$W$505,Q$3,実績!$AI$6:$AI$505,"&lt;="&amp;$A222,実績!$AJ$6:$AJ$505,"&gt;"&amp;$A222,実績!$AK$6:$AK$505,"○")&gt;0,1,0))</f>
        <v>0</v>
      </c>
      <c r="R222" s="39" t="n">
        <f aca="false">IF(R$4=0,0,IF(COUNTIFS(実績!$W$6:$W$505,R$3,実績!$AI$6:$AI$505,"&lt;="&amp;$A222,実績!$AJ$6:$AJ$505,"&gt;"&amp;$A222,実績!$AK$6:$AK$505,"○")&gt;0,1,0))</f>
        <v>0</v>
      </c>
      <c r="S222" s="39" t="n">
        <f aca="false">IF(S$4=0,0,IF(COUNTIFS(実績!$W$6:$W$505,S$3,実績!$AI$6:$AI$505,"&lt;="&amp;$A222,実績!$AJ$6:$AJ$505,"&gt;"&amp;$A222,実績!$AK$6:$AK$505,"○")&gt;0,1,0))</f>
        <v>0</v>
      </c>
      <c r="T222" s="39" t="n">
        <f aca="false">IF(T$4=0,0,IF(COUNTIFS(実績!$W$6:$W$505,T$3,実績!$AI$6:$AI$505,"&lt;="&amp;$A222,実績!$AJ$6:$AJ$505,"&gt;"&amp;$A222,実績!$AK$6:$AK$505,"○")&gt;0,1,0))</f>
        <v>0</v>
      </c>
      <c r="U222" s="39" t="n">
        <f aca="false">IF(U$4=0,0,IF(COUNTIFS(実績!$W$6:$W$505,U$3,実績!$AI$6:$AI$505,"&lt;="&amp;$A222,実績!$AJ$6:$AJ$505,"&gt;"&amp;$A222,実績!$AK$6:$AK$505,"○")&gt;0,1,0))</f>
        <v>0</v>
      </c>
      <c r="V222" s="39" t="n">
        <f aca="false">IF(V$4=0,0,IF(COUNTIFS(実績!$W$6:$W$505,V$3,実績!$AI$6:$AI$505,"&lt;="&amp;$A222,実績!$AJ$6:$AJ$505,"&gt;"&amp;$A222,実績!$AK$6:$AK$505,"○")&gt;0,1,0))</f>
        <v>0</v>
      </c>
      <c r="W222" s="39" t="n">
        <f aca="false">IF(W$4=0,0,IF(COUNTIFS(実績!$W$6:$W$505,W$3,実績!$AI$6:$AI$505,"&lt;="&amp;$A222,実績!$AJ$6:$AJ$505,"&gt;"&amp;$A222,実績!$AK$6:$AK$505,"○")&gt;0,1,0))</f>
        <v>0</v>
      </c>
      <c r="X222" s="39" t="n">
        <f aca="false">IF(X$4=0,0,IF(COUNTIFS(実績!$W$6:$W$505,X$3,実績!$AI$6:$AI$505,"&lt;="&amp;$A222,実績!$AJ$6:$AJ$505,"&gt;"&amp;$A222,実績!$AK$6:$AK$505,"○")&gt;0,1,0))</f>
        <v>0</v>
      </c>
      <c r="Y222" s="39" t="n">
        <f aca="false">IF(Y$4=0,0,IF(COUNTIFS(実績!$W$6:$W$505,Y$3,実績!$AI$6:$AI$505,"&lt;="&amp;$A222,実績!$AJ$6:$AJ$505,"&gt;"&amp;$A222,実績!$AK$6:$AK$505,"○")&gt;0,1,0))</f>
        <v>0</v>
      </c>
      <c r="Z222" s="39" t="n">
        <f aca="false">IF(Z$4=0,0,IF(COUNTIFS(実績!$W$6:$W$505,Z$3,実績!$AI$6:$AI$505,"&lt;="&amp;$A222,実績!$AJ$6:$AJ$505,"&gt;"&amp;$A222,実績!$AK$6:$AK$505,"○")&gt;0,1,0))</f>
        <v>0</v>
      </c>
      <c r="AA222" s="39" t="n">
        <f aca="false">IF(AA$4=0,0,IF(COUNTIFS(実績!$W$6:$W$505,AA$3,実績!$AI$6:$AI$505,"&lt;="&amp;$A222,実績!$AJ$6:$AJ$505,"&gt;"&amp;$A222,実績!$AK$6:$AK$505,"○")&gt;0,1,0))</f>
        <v>0</v>
      </c>
      <c r="AB222" s="39" t="n">
        <f aca="false">IF(AB$4=0,0,IF(COUNTIFS(実績!$W$6:$W$505,AB$3,実績!$AI$6:$AI$505,"&lt;="&amp;$A222,実績!$AJ$6:$AJ$505,"&gt;"&amp;$A222,実績!$AK$6:$AK$505,"○")&gt;0,1,0))</f>
        <v>0</v>
      </c>
      <c r="AC222" s="39" t="n">
        <f aca="false">IF(AC$4=0,0,IF(COUNTIFS(実績!$W$6:$W$505,AC$3,実績!$AI$6:$AI$505,"&lt;="&amp;$A222,実績!$AJ$6:$AJ$505,"&gt;"&amp;$A222,実績!$AK$6:$AK$505,"○")&gt;0,1,0))</f>
        <v>0</v>
      </c>
      <c r="AD222" s="39" t="n">
        <f aca="false">IF(AD$4=0,0,IF(COUNTIFS(実績!$W$6:$W$505,AD$3,実績!$AI$6:$AI$505,"&lt;="&amp;$A222,実績!$AJ$6:$AJ$505,"&gt;"&amp;$A222,実績!$AK$6:$AK$505,"○")&gt;0,1,0))</f>
        <v>0</v>
      </c>
      <c r="AE222" s="39" t="n">
        <f aca="false">IF(AE$4=0,0,IF(COUNTIFS(実績!$W$6:$W$505,AE$3,実績!$AI$6:$AI$505,"&lt;="&amp;$A222,実績!$AJ$6:$AJ$505,"&gt;"&amp;$A222,実績!$AK$6:$AK$505,"○")&gt;0,1,0))</f>
        <v>0</v>
      </c>
      <c r="AF222" s="39" t="n">
        <f aca="false">IF(AF$4=0,0,IF(COUNTIFS(実績!$W$6:$W$505,AF$3,実績!$AI$6:$AI$505,"&lt;="&amp;$A222,実績!$AJ$6:$AJ$505,"&gt;"&amp;$A222,実績!$AK$6:$AK$505,"○")&gt;0,1,0))</f>
        <v>0</v>
      </c>
      <c r="AG222" s="39" t="n">
        <f aca="false">IF(AG$4=0,0,IF(COUNTIFS(実績!$W$6:$W$505,AG$3,実績!$AI$6:$AI$505,"&lt;="&amp;$A222,実績!$AJ$6:$AJ$505,"&gt;"&amp;$A222,実績!$AK$6:$AK$505,"○")&gt;0,1,0))</f>
        <v>0</v>
      </c>
      <c r="AH222" s="39" t="n">
        <f aca="false">IF(AH$4=0,0,IF(COUNTIFS(実績!$W$6:$W$505,AH$3,実績!$AI$6:$AI$505,"&lt;="&amp;$A222,実績!$AJ$6:$AJ$505,"&gt;"&amp;$A222,実績!$AK$6:$AK$505,"○")&gt;0,1,0))</f>
        <v>0</v>
      </c>
      <c r="AI222" s="39" t="n">
        <f aca="false">IF(AI$4=0,0,IF(COUNTIFS(実績!$W$6:$W$505,AI$3,実績!$AI$6:$AI$505,"&lt;="&amp;$A222,実績!$AJ$6:$AJ$505,"&gt;"&amp;$A222,実績!$AK$6:$AK$505,"○")&gt;0,1,0))</f>
        <v>0</v>
      </c>
      <c r="AJ222" s="39" t="n">
        <f aca="false">IF(AJ$4=0,0,IF(COUNTIFS(実績!$W$6:$W$505,AJ$3,実績!$AI$6:$AI$505,"&lt;="&amp;$A222,実績!$AJ$6:$AJ$505,"&gt;"&amp;$A222,実績!$AK$6:$AK$505,"○")&gt;0,1,0))</f>
        <v>0</v>
      </c>
      <c r="AK222" s="39" t="n">
        <f aca="false">IF(AK$4=0,0,IF(COUNTIFS(実績!$W$6:$W$505,AK$3,実績!$AI$6:$AI$505,"&lt;="&amp;$A222,実績!$AJ$6:$AJ$505,"&gt;"&amp;$A222,実績!$AK$6:$AK$505,"○")&gt;0,1,0))</f>
        <v>0</v>
      </c>
      <c r="AL222" s="39" t="n">
        <f aca="false">IF(AL$4=0,0,IF(COUNTIFS(実績!$W$6:$W$505,AL$3,実績!$AI$6:$AI$505,"&lt;="&amp;$A222,実績!$AJ$6:$AJ$505,"&gt;"&amp;$A222,実績!$AK$6:$AK$505,"○")&gt;0,1,0))</f>
        <v>0</v>
      </c>
      <c r="AM222" s="39" t="n">
        <f aca="false">IF(AM$4=0,0,IF(COUNTIFS(実績!$W$6:$W$505,AM$3,実績!$AI$6:$AI$505,"&lt;="&amp;$A222,実績!$AJ$6:$AJ$505,"&gt;"&amp;$A222,実績!$AK$6:$AK$505,"○")&gt;0,1,0))</f>
        <v>0</v>
      </c>
      <c r="AN222" s="39" t="n">
        <f aca="false">IF(AN$4=0,0,IF(COUNTIFS(実績!$W$6:$W$505,AN$3,実績!$AI$6:$AI$505,"&lt;="&amp;$A222,実績!$AJ$6:$AJ$505,"&gt;"&amp;$A222,実績!$AK$6:$AK$505,"○")&gt;0,1,0))</f>
        <v>0</v>
      </c>
      <c r="AO222" s="39" t="n">
        <f aca="false">IF(AO$4=0,0,IF(COUNTIFS(実績!$W$6:$W$505,AO$3,実績!$AI$6:$AI$505,"&lt;="&amp;$A222,実績!$AJ$6:$AJ$505,"&gt;"&amp;$A222,実績!$AK$6:$AK$505,"○")&gt;0,1,0))</f>
        <v>0</v>
      </c>
      <c r="AP222" s="39" t="n">
        <f aca="false">IF(AP$4=0,0,IF(COUNTIFS(実績!$W$6:$W$505,AP$3,実績!$AI$6:$AI$505,"&lt;="&amp;$A222,実績!$AJ$6:$AJ$505,"&gt;"&amp;$A222,実績!$AK$6:$AK$505,"○")&gt;0,1,0))</f>
        <v>0</v>
      </c>
      <c r="AQ222" s="39" t="n">
        <f aca="false">IF(AQ$4=0,0,IF(COUNTIFS(実績!$W$6:$W$505,AQ$3,実績!$AI$6:$AI$505,"&lt;="&amp;$A222,実績!$AJ$6:$AJ$505,"&gt;"&amp;$A222,実績!$AK$6:$AK$505,"○")&gt;0,1,0))</f>
        <v>0</v>
      </c>
      <c r="AR222" s="39" t="n">
        <f aca="false">IF(AR$4=0,0,IF(COUNTIFS(実績!$W$6:$W$505,AR$3,実績!$AI$6:$AI$505,"&lt;="&amp;$A222,実績!$AJ$6:$AJ$505,"&gt;"&amp;$A222,実績!$AK$6:$AK$505,"○")&gt;0,1,0))</f>
        <v>0</v>
      </c>
      <c r="AS222" s="39" t="n">
        <f aca="false">IF(AS$4=0,0,IF(COUNTIFS(実績!$W$6:$W$505,AS$3,実績!$AI$6:$AI$505,"&lt;="&amp;$A222,実績!$AJ$6:$AJ$505,"&gt;"&amp;$A222,実績!$AK$6:$AK$505,"○")&gt;0,1,0))</f>
        <v>0</v>
      </c>
      <c r="AT222" s="39" t="n">
        <f aca="false">IF(AT$4=0,0,IF(COUNTIFS(実績!$W$6:$W$505,AT$3,実績!$AI$6:$AI$505,"&lt;="&amp;$A222,実績!$AJ$6:$AJ$505,"&gt;"&amp;$A222,実績!$AK$6:$AK$505,"○")&gt;0,1,0))</f>
        <v>0</v>
      </c>
      <c r="AU222" s="39" t="n">
        <f aca="false">IF(AU$4=0,0,IF(COUNTIFS(実績!$W$6:$W$505,AU$3,実績!$AI$6:$AI$505,"&lt;="&amp;$A222,実績!$AJ$6:$AJ$505,"&gt;"&amp;$A222,実績!$AK$6:$AK$505,"○")&gt;0,1,0))</f>
        <v>0</v>
      </c>
      <c r="AV222" s="39" t="n">
        <f aca="false">IF(AV$4=0,0,IF(COUNTIFS(実績!$W$6:$W$505,AV$3,実績!$AI$6:$AI$505,"&lt;="&amp;$A222,実績!$AJ$6:$AJ$505,"&gt;"&amp;$A222,実績!$AK$6:$AK$505,"○")&gt;0,1,0))</f>
        <v>0</v>
      </c>
      <c r="AW222" s="39" t="n">
        <f aca="false">IF(AW$4=0,0,IF(COUNTIFS(実績!$W$6:$W$505,AW$3,実績!$AI$6:$AI$505,"&lt;="&amp;$A222,実績!$AJ$6:$AJ$505,"&gt;"&amp;$A222,実績!$AK$6:$AK$505,"○")&gt;0,1,0))</f>
        <v>0</v>
      </c>
      <c r="AX222" s="39" t="n">
        <f aca="false">IF(AX$4=0,0,IF(COUNTIFS(実績!$W$6:$W$505,AX$3,実績!$AI$6:$AI$505,"&lt;="&amp;$A222,実績!$AJ$6:$AJ$505,"&gt;"&amp;$A222,実績!$AK$6:$AK$505,"○")&gt;0,1,0))</f>
        <v>0</v>
      </c>
      <c r="AY222" s="39" t="n">
        <f aca="false">IF(AY$4=0,0,IF(COUNTIFS(実績!$W$6:$W$505,AY$3,実績!$AI$6:$AI$505,"&lt;="&amp;$A222,実績!$AJ$6:$AJ$505,"&gt;"&amp;$A222,実績!$AK$6:$AK$505,"○")&gt;0,1,0))</f>
        <v>0</v>
      </c>
      <c r="AZ222" s="39" t="n">
        <f aca="false">IF(AZ$4=0,0,IF(COUNTIFS(実績!$W$6:$W$505,AZ$3,実績!$AI$6:$AI$505,"&lt;="&amp;$A222,実績!$AJ$6:$AJ$505,"&gt;"&amp;$A222,実績!$AK$6:$AK$505,"○")&gt;0,1,0))</f>
        <v>0</v>
      </c>
      <c r="BA222" s="39" t="n">
        <f aca="false">IF(BA$4=0,0,IF(COUNTIFS(実績!$W$6:$W$505,BA$3,実績!$AI$6:$AI$505,"&lt;="&amp;$A222,実績!$AJ$6:$AJ$505,"&gt;"&amp;$A222,実績!$AK$6:$AK$505,"○")&gt;0,1,0))</f>
        <v>0</v>
      </c>
      <c r="BB222" s="39" t="n">
        <f aca="false">IF(BB$4=0,0,IF(COUNTIFS(実績!$W$6:$W$505,BB$3,実績!$AI$6:$AI$505,"&lt;="&amp;$A222,実績!$AJ$6:$AJ$505,"&gt;"&amp;$A222,実績!$AK$6:$AK$505,"○")&gt;0,1,0))</f>
        <v>0</v>
      </c>
      <c r="BC222" s="39" t="n">
        <f aca="false">IF(BC$4=0,0,IF(COUNTIFS(実績!$W$6:$W$505,BC$3,実績!$AI$6:$AI$505,"&lt;="&amp;$A222,実績!$AJ$6:$AJ$505,"&gt;"&amp;$A222,実績!$AK$6:$AK$505,"○")&gt;0,1,0))</f>
        <v>0</v>
      </c>
      <c r="BD222" s="39" t="n">
        <f aca="false">IF(BD$4=0,0,IF(COUNTIFS(実績!$W$6:$W$505,BD$3,実績!$AI$6:$AI$505,"&lt;="&amp;$A222,実績!$AJ$6:$AJ$505,"&gt;"&amp;$A222,実績!$AK$6:$AK$505,"○")&gt;0,1,0))</f>
        <v>0</v>
      </c>
      <c r="BE222" s="39" t="n">
        <f aca="false">IF(BE$4=0,0,IF(COUNTIFS(実績!$W$6:$W$505,BE$3,実績!$AI$6:$AI$505,"&lt;="&amp;$A222,実績!$AJ$6:$AJ$505,"&gt;"&amp;$A222,実績!$AK$6:$AK$505,"○")&gt;0,1,0))</f>
        <v>0</v>
      </c>
      <c r="BF222" s="39" t="n">
        <f aca="false">IF(BF$4=0,0,IF(COUNTIFS(実績!$W$6:$W$505,BF$3,実績!$AI$6:$AI$505,"&lt;="&amp;$A222,実績!$AJ$6:$AJ$505,"&gt;"&amp;$A222,実績!$AK$6:$AK$505,"○")&gt;0,1,0))</f>
        <v>0</v>
      </c>
      <c r="BG222" s="39" t="n">
        <f aca="false">IF(BG$4=0,0,IF(COUNTIFS(実績!$W$6:$W$505,BG$3,実績!$AI$6:$AI$505,"&lt;="&amp;$A222,実績!$AJ$6:$AJ$505,"&gt;"&amp;$A222,実績!$AK$6:$AK$505,"○")&gt;0,1,0))</f>
        <v>0</v>
      </c>
      <c r="BH222" s="39" t="n">
        <f aca="false">IF(BH$4=0,0,IF(COUNTIFS(実績!$W$6:$W$505,BH$3,実績!$AI$6:$AI$505,"&lt;="&amp;$A222,実績!$AJ$6:$AJ$505,"&gt;"&amp;$A222,実績!$AK$6:$AK$505,"○")&gt;0,1,0))</f>
        <v>0</v>
      </c>
      <c r="BI222" s="39" t="n">
        <f aca="false">IF(BI$4=0,0,IF(COUNTIFS(実績!$W$6:$W$505,BI$3,実績!$AI$6:$AI$505,"&lt;="&amp;$A222,実績!$AJ$6:$AJ$505,"&gt;"&amp;$A222,実績!$AK$6:$AK$505,"○")&gt;0,1,0))</f>
        <v>0</v>
      </c>
      <c r="BJ222" s="39" t="n">
        <f aca="false">IF(BJ$4=0,0,IF(COUNTIFS(実績!$W$6:$W$505,BJ$3,実績!$AI$6:$AI$505,"&lt;="&amp;$A222,実績!$AJ$6:$AJ$505,"&gt;"&amp;$A222,実績!$AK$6:$AK$505,"○")&gt;0,1,0))</f>
        <v>0</v>
      </c>
      <c r="BK222" s="39" t="n">
        <f aca="false">IF(BK$4=0,0,IF(COUNTIFS(実績!$W$6:$W$505,BK$3,実績!$AI$6:$AI$505,"&lt;="&amp;$A222,実績!$AJ$6:$AJ$505,"&gt;"&amp;$A222,実績!$AK$6:$AK$505,"○")&gt;0,1,0))</f>
        <v>0</v>
      </c>
      <c r="BL222" s="39" t="n">
        <f aca="false">IF(BL$4=0,0,IF(COUNTIFS(実績!$W$6:$W$505,BL$3,実績!$AI$6:$AI$505,"&lt;="&amp;$A222,実績!$AJ$6:$AJ$505,"&gt;"&amp;$A222,実績!$AK$6:$AK$505,"○")&gt;0,1,0))</f>
        <v>0</v>
      </c>
      <c r="BM222" s="39" t="n">
        <f aca="false">IF(BM$4=0,0,IF(COUNTIFS(実績!$W$6:$W$505,BM$3,実績!$AI$6:$AI$505,"&lt;="&amp;$A222,実績!$AJ$6:$AJ$505,"&gt;"&amp;$A222,実績!$AK$6:$AK$505,"○")&gt;0,1,0))</f>
        <v>0</v>
      </c>
      <c r="BN222" s="39" t="n">
        <f aca="false">IF(BN$4=0,0,IF(COUNTIFS(実績!$W$6:$W$505,BN$3,実績!$AI$6:$AI$505,"&lt;="&amp;$A222,実績!$AJ$6:$AJ$505,"&gt;"&amp;$A222,実績!$AK$6:$AK$505,"○")&gt;0,1,0))</f>
        <v>0</v>
      </c>
      <c r="BO222" s="39" t="n">
        <f aca="false">IF(BO$4=0,0,IF(COUNTIFS(実績!$W$6:$W$505,BO$3,実績!$AI$6:$AI$505,"&lt;="&amp;$A222,実績!$AJ$6:$AJ$505,"&gt;"&amp;$A222,実績!$AK$6:$AK$505,"○")&gt;0,1,0))</f>
        <v>0</v>
      </c>
      <c r="BP222" s="39" t="n">
        <f aca="false">IF(BP$4=0,0,IF(COUNTIFS(実績!$W$6:$W$505,BP$3,実績!$AI$6:$AI$505,"&lt;="&amp;$A222,実績!$AJ$6:$AJ$505,"&gt;"&amp;$A222,実績!$AK$6:$AK$505,"○")&gt;0,1,0))</f>
        <v>0</v>
      </c>
      <c r="BQ222" s="39" t="n">
        <f aca="false">IF(BQ$4=0,0,IF(COUNTIFS(実績!$W$6:$W$505,BQ$3,実績!$AI$6:$AI$505,"&lt;="&amp;$A222,実績!$AJ$6:$AJ$505,"&gt;"&amp;$A222,実績!$AK$6:$AK$505,"○")&gt;0,1,0))</f>
        <v>0</v>
      </c>
      <c r="BR222" s="39" t="n">
        <f aca="false">IF(BR$4=0,0,IF(COUNTIFS(実績!$W$6:$W$505,BR$3,実績!$AI$6:$AI$505,"&lt;="&amp;$A222,実績!$AJ$6:$AJ$505,"&gt;"&amp;$A222,実績!$AK$6:$AK$505,"○")&gt;0,1,0))</f>
        <v>0</v>
      </c>
      <c r="BS222" s="39" t="n">
        <f aca="false">IF(BS$4=0,0,IF(COUNTIFS(実績!$W$6:$W$505,BS$3,実績!$AI$6:$AI$505,"&lt;="&amp;$A222,実績!$AJ$6:$AJ$505,"&gt;"&amp;$A222,実績!$AK$6:$AK$505,"○")&gt;0,1,0))</f>
        <v>0</v>
      </c>
      <c r="BT222" s="39" t="n">
        <f aca="false">IF(BT$4=0,0,IF(COUNTIFS(実績!$W$6:$W$505,BT$3,実績!$AI$6:$AI$505,"&lt;="&amp;$A222,実績!$AJ$6:$AJ$505,"&gt;"&amp;$A222,実績!$AK$6:$AK$505,"○")&gt;0,1,0))</f>
        <v>0</v>
      </c>
      <c r="BU222" s="39" t="n">
        <f aca="false">IF(BU$4=0,0,IF(COUNTIFS(実績!$W$6:$W$505,BU$3,実績!$AI$6:$AI$505,"&lt;="&amp;$A222,実績!$AJ$6:$AJ$505,"&gt;"&amp;$A222,実績!$AK$6:$AK$505,"○")&gt;0,1,0))</f>
        <v>0</v>
      </c>
      <c r="BV222" s="39" t="n">
        <f aca="false">IF(BV$4=0,0,IF(COUNTIFS(実績!$W$6:$W$505,BV$3,実績!$AI$6:$AI$505,"&lt;="&amp;$A222,実績!$AJ$6:$AJ$505,"&gt;"&amp;$A222,実績!$AK$6:$AK$505,"○")&gt;0,1,0))</f>
        <v>0</v>
      </c>
      <c r="BW222" s="39" t="n">
        <f aca="false">IF(BW$4=0,0,IF(COUNTIFS(実績!$W$6:$W$505,BW$3,実績!$AI$6:$AI$505,"&lt;="&amp;$A222,実績!$AJ$6:$AJ$505,"&gt;"&amp;$A222,実績!$AK$6:$AK$505,"○")&gt;0,1,0))</f>
        <v>0</v>
      </c>
      <c r="BX222" s="39" t="n">
        <f aca="false">IF(BX$4=0,0,IF(COUNTIFS(実績!$W$6:$W$505,BX$3,実績!$AI$6:$AI$505,"&lt;="&amp;$A222,実績!$AJ$6:$AJ$505,"&gt;"&amp;$A222,実績!$AK$6:$AK$505,"○")&gt;0,1,0))</f>
        <v>0</v>
      </c>
      <c r="BY222" s="39" t="n">
        <f aca="false">IF(BY$4=0,0,IF(COUNTIFS(実績!$W$6:$W$505,BY$3,実績!$AI$6:$AI$505,"&lt;="&amp;$A222,実績!$AJ$6:$AJ$505,"&gt;"&amp;$A222,実績!$AK$6:$AK$505,"○")&gt;0,1,0))</f>
        <v>0</v>
      </c>
      <c r="BZ222" s="39" t="n">
        <f aca="false">IF(BZ$4=0,0,IF(COUNTIFS(実績!$W$6:$W$505,BZ$3,実績!$AI$6:$AI$505,"&lt;="&amp;$A222,実績!$AJ$6:$AJ$505,"&gt;"&amp;$A222,実績!$AK$6:$AK$505,"○")&gt;0,1,0))</f>
        <v>0</v>
      </c>
      <c r="CA222" s="39" t="n">
        <f aca="false">IF(CA$4=0,0,IF(COUNTIFS(実績!$W$6:$W$505,CA$3,実績!$AI$6:$AI$505,"&lt;="&amp;$A222,実績!$AJ$6:$AJ$505,"&gt;"&amp;$A222,実績!$AK$6:$AK$505,"○")&gt;0,1,0))</f>
        <v>0</v>
      </c>
      <c r="CB222" s="39" t="n">
        <f aca="false">IF(CB$4=0,0,IF(COUNTIFS(実績!$W$6:$W$505,CB$3,実績!$AI$6:$AI$505,"&lt;="&amp;$A222,実績!$AJ$6:$AJ$505,"&gt;"&amp;$A222,実績!$AK$6:$AK$505,"○")&gt;0,1,0))</f>
        <v>0</v>
      </c>
      <c r="CC222" s="39" t="n">
        <f aca="false">IF(CC$4=0,0,IF(COUNTIFS(実績!$W$6:$W$505,CC$3,実績!$AI$6:$AI$505,"&lt;="&amp;$A222,実績!$AJ$6:$AJ$505,"&gt;"&amp;$A222,実績!$AK$6:$AK$505,"○")&gt;0,1,0))</f>
        <v>0</v>
      </c>
      <c r="CD222" s="39" t="n">
        <f aca="false">IF(CD$4=0,0,IF(COUNTIFS(実績!$W$6:$W$505,CD$3,実績!$AI$6:$AI$505,"&lt;="&amp;$A222,実績!$AJ$6:$AJ$505,"&gt;"&amp;$A222,実績!$AK$6:$AK$505,"○")&gt;0,1,0))</f>
        <v>0</v>
      </c>
      <c r="CE222" s="39" t="n">
        <f aca="false">IF(CE$4=0,0,IF(COUNTIFS(実績!$W$6:$W$505,CE$3,実績!$AI$6:$AI$505,"&lt;="&amp;$A222,実績!$AJ$6:$AJ$505,"&gt;"&amp;$A222,実績!$AK$6:$AK$505,"○")&gt;0,1,0))</f>
        <v>0</v>
      </c>
      <c r="CF222" s="39" t="n">
        <f aca="false">IF(CF$4=0,0,IF(COUNTIFS(実績!$W$6:$W$505,CF$3,実績!$AI$6:$AI$505,"&lt;="&amp;$A222,実績!$AJ$6:$AJ$505,"&gt;"&amp;$A222,実績!$AK$6:$AK$505,"○")&gt;0,1,0))</f>
        <v>0</v>
      </c>
      <c r="CG222" s="39" t="n">
        <f aca="false">IF(CG$4=0,0,IF(COUNTIFS(実績!$W$6:$W$505,CG$3,実績!$AI$6:$AI$505,"&lt;="&amp;$A222,実績!$AJ$6:$AJ$505,"&gt;"&amp;$A222,実績!$AK$6:$AK$505,"○")&gt;0,1,0))</f>
        <v>0</v>
      </c>
      <c r="CH222" s="39" t="n">
        <f aca="false">IF(CH$4=0,0,IF(COUNTIFS(実績!$W$6:$W$505,CH$3,実績!$AI$6:$AI$505,"&lt;="&amp;$A222,実績!$AJ$6:$AJ$505,"&gt;"&amp;$A222,実績!$AK$6:$AK$505,"○")&gt;0,1,0))</f>
        <v>0</v>
      </c>
      <c r="CI222" s="39" t="n">
        <f aca="false">IF(CI$4=0,0,IF(COUNTIFS(実績!$W$6:$W$505,CI$3,実績!$AI$6:$AI$505,"&lt;="&amp;$A222,実績!$AJ$6:$AJ$505,"&gt;"&amp;$A222,実績!$AK$6:$AK$505,"○")&gt;0,1,0))</f>
        <v>0</v>
      </c>
      <c r="CJ222" s="39" t="n">
        <f aca="false">IF(CJ$4=0,0,IF(COUNTIFS(実績!$W$6:$W$505,CJ$3,実績!$AI$6:$AI$505,"&lt;="&amp;$A222,実績!$AJ$6:$AJ$505,"&gt;"&amp;$A222,実績!$AK$6:$AK$505,"○")&gt;0,1,0))</f>
        <v>0</v>
      </c>
      <c r="CK222" s="39" t="n">
        <f aca="false">IF(CK$4=0,0,IF(COUNTIFS(実績!$W$6:$W$505,CK$3,実績!$AI$6:$AI$505,"&lt;="&amp;$A222,実績!$AJ$6:$AJ$505,"&gt;"&amp;$A222,実績!$AK$6:$AK$505,"○")&gt;0,1,0))</f>
        <v>0</v>
      </c>
      <c r="CL222" s="39" t="n">
        <f aca="false">IF(CL$4=0,0,IF(COUNTIFS(実績!$W$6:$W$505,CL$3,実績!$AI$6:$AI$505,"&lt;="&amp;$A222,実績!$AJ$6:$AJ$505,"&gt;"&amp;$A222,実績!$AK$6:$AK$505,"○")&gt;0,1,0))</f>
        <v>0</v>
      </c>
      <c r="CM222" s="39" t="n">
        <f aca="false">IF(CM$4=0,0,IF(COUNTIFS(実績!$W$6:$W$505,CM$3,実績!$AI$6:$AI$505,"&lt;="&amp;$A222,実績!$AJ$6:$AJ$505,"&gt;"&amp;$A222,実績!$AK$6:$AK$505,"○")&gt;0,1,0))</f>
        <v>0</v>
      </c>
      <c r="CN222" s="39" t="n">
        <f aca="false">IF(CN$4=0,0,IF(COUNTIFS(実績!$W$6:$W$505,CN$3,実績!$AI$6:$AI$505,"&lt;="&amp;$A222,実績!$AJ$6:$AJ$505,"&gt;"&amp;$A222,実績!$AK$6:$AK$505,"○")&gt;0,1,0))</f>
        <v>0</v>
      </c>
      <c r="CO222" s="39" t="n">
        <f aca="false">IF(CO$4=0,0,IF(COUNTIFS(実績!$W$6:$W$505,CO$3,実績!$AI$6:$AI$505,"&lt;="&amp;$A222,実績!$AJ$6:$AJ$505,"&gt;"&amp;$A222,実績!$AK$6:$AK$505,"○")&gt;0,1,0))</f>
        <v>0</v>
      </c>
      <c r="CP222" s="39" t="n">
        <f aca="false">IF(CP$4=0,0,IF(COUNTIFS(実績!$W$6:$W$505,CP$3,実績!$AI$6:$AI$505,"&lt;="&amp;$A222,実績!$AJ$6:$AJ$505,"&gt;"&amp;$A222,実績!$AK$6:$AK$505,"○")&gt;0,1,0))</f>
        <v>0</v>
      </c>
      <c r="CQ222" s="39" t="n">
        <f aca="false">IF(CQ$4=0,0,IF(COUNTIFS(実績!$W$6:$W$505,CQ$3,実績!$AI$6:$AI$505,"&lt;="&amp;$A222,実績!$AJ$6:$AJ$505,"&gt;"&amp;$A222,実績!$AK$6:$AK$505,"○")&gt;0,1,0))</f>
        <v>0</v>
      </c>
      <c r="CR222" s="39" t="n">
        <f aca="false">IF(CR$4=0,0,IF(COUNTIFS(実績!$W$6:$W$505,CR$3,実績!$AI$6:$AI$505,"&lt;="&amp;$A222,実績!$AJ$6:$AJ$505,"&gt;"&amp;$A222,実績!$AK$6:$AK$505,"○")&gt;0,1,0))</f>
        <v>0</v>
      </c>
      <c r="CS222" s="39" t="n">
        <f aca="false">IF(CS$4=0,0,IF(COUNTIFS(実績!$W$6:$W$505,CS$3,実績!$AI$6:$AI$505,"&lt;="&amp;$A222,実績!$AJ$6:$AJ$505,"&gt;"&amp;$A222,実績!$AK$6:$AK$505,"○")&gt;0,1,0))</f>
        <v>0</v>
      </c>
      <c r="CT222" s="39" t="n">
        <f aca="false">IF(CT$4=0,0,IF(COUNTIFS(実績!$W$6:$W$505,CT$3,実績!$AI$6:$AI$505,"&lt;="&amp;$A222,実績!$AJ$6:$AJ$505,"&gt;"&amp;$A222,実績!$AK$6:$AK$505,"○")&gt;0,1,0))</f>
        <v>0</v>
      </c>
      <c r="CU222" s="39" t="n">
        <f aca="false">IF(CU$4=0,0,IF(COUNTIFS(実績!$W$6:$W$505,CU$3,実績!$AI$6:$AI$505,"&lt;="&amp;$A222,実績!$AJ$6:$AJ$505,"&gt;"&amp;$A222,実績!$AK$6:$AK$505,"○")&gt;0,1,0))</f>
        <v>0</v>
      </c>
      <c r="CV222" s="39" t="n">
        <f aca="false">IF(CV$4=0,0,IF(COUNTIFS(実績!$W$6:$W$505,CV$3,実績!$AI$6:$AI$505,"&lt;="&amp;$A222,実績!$AJ$6:$AJ$505,"&gt;"&amp;$A222,実績!$AK$6:$AK$505,"○")&gt;0,1,0))</f>
        <v>0</v>
      </c>
      <c r="CW222" s="39" t="n">
        <f aca="false">IF(CW$4=0,0,IF(COUNTIFS(実績!$W$6:$W$505,CW$3,実績!$AI$6:$AI$505,"&lt;="&amp;$A222,実績!$AJ$6:$AJ$505,"&gt;"&amp;$A222,実績!$AK$6:$AK$505,"○")&gt;0,1,0))</f>
        <v>0</v>
      </c>
      <c r="CX222" s="39" t="n">
        <f aca="false">IF(CX$4=0,0,IF(COUNTIFS(実績!$W$6:$W$505,CX$3,実績!$AI$6:$AI$505,"&lt;="&amp;$A222,実績!$AJ$6:$AJ$505,"&gt;"&amp;$A222,実績!$AK$6:$AK$505,"○")&gt;0,1,0))</f>
        <v>0</v>
      </c>
      <c r="CY222" s="39" t="n">
        <f aca="false">IF(CY$4=0,0,IF(COUNTIFS(実績!$W$6:$W$505,CY$3,実績!$AI$6:$AI$505,"&lt;="&amp;$A222,実績!$AJ$6:$AJ$505,"&gt;"&amp;$A222,実績!$AK$6:$AK$505,"○")&gt;0,1,0))</f>
        <v>0</v>
      </c>
      <c r="CZ222" s="39" t="n">
        <f aca="false">IF(CZ$4=0,0,IF(COUNTIFS(実績!$W$6:$W$505,CZ$3,実績!$AI$6:$AI$505,"&lt;="&amp;$A222,実績!$AJ$6:$AJ$505,"&gt;"&amp;$A222,実績!$AK$6:$AK$505,"○")&gt;0,1,0))</f>
        <v>0</v>
      </c>
      <c r="DA222" s="39" t="n">
        <f aca="false">IF(DA$4=0,0,IF(COUNTIFS(実績!$W$6:$W$505,DA$3,実績!$AI$6:$AI$505,"&lt;="&amp;$A222,実績!$AJ$6:$AJ$505,"&gt;"&amp;$A222,実績!$AK$6:$AK$505,"○")&gt;0,1,0))</f>
        <v>0</v>
      </c>
      <c r="DB222" s="39" t="n">
        <f aca="false">IF(DB$4=0,0,IF(COUNTIFS(実績!$W$6:$W$505,DB$3,実績!$AI$6:$AI$505,"&lt;="&amp;$A222,実績!$AJ$6:$AJ$505,"&gt;"&amp;$A222,実績!$AK$6:$AK$505,"○")&gt;0,1,0))</f>
        <v>0</v>
      </c>
      <c r="DC222" s="39" t="n">
        <f aca="false">IF(DC$4=0,0,IF(COUNTIFS(実績!$W$6:$W$505,DC$3,実績!$AI$6:$AI$505,"&lt;="&amp;$A222,実績!$AJ$6:$AJ$505,"&gt;"&amp;$A222,実績!$AK$6:$AK$505,"○")&gt;0,1,0))</f>
        <v>0</v>
      </c>
      <c r="DD222" s="39" t="n">
        <f aca="false">IF(DD$4=0,0,IF(COUNTIFS(実績!$W$6:$W$505,DD$3,実績!$AI$6:$AI$505,"&lt;="&amp;$A222,実績!$AJ$6:$AJ$505,"&gt;"&amp;$A222,実績!$AK$6:$AK$505,"○")&gt;0,1,0))</f>
        <v>0</v>
      </c>
      <c r="DE222" s="39" t="n">
        <f aca="false">IF(DE$4=0,0,IF(COUNTIFS(実績!$W$6:$W$505,DE$3,実績!$AI$6:$AI$505,"&lt;="&amp;$A222,実績!$AJ$6:$AJ$505,"&gt;"&amp;$A222,実績!$AK$6:$AK$505,"○")&gt;0,1,0))</f>
        <v>0</v>
      </c>
      <c r="DF222" s="39" t="n">
        <f aca="false">IF(DF$4=0,0,IF(COUNTIFS(実績!$W$6:$W$505,DF$3,実績!$AI$6:$AI$505,"&lt;="&amp;$A222,実績!$AJ$6:$AJ$505,"&gt;"&amp;$A222,実績!$AK$6:$AK$505,"○")&gt;0,1,0))</f>
        <v>0</v>
      </c>
      <c r="DG222" s="39" t="n">
        <f aca="false">IF(DG$4=0,0,IF(COUNTIFS(実績!$W$6:$W$505,DG$3,実績!$AI$6:$AI$505,"&lt;="&amp;$A222,実績!$AJ$6:$AJ$505,"&gt;"&amp;$A222,実績!$AK$6:$AK$505,"○")&gt;0,1,0))</f>
        <v>0</v>
      </c>
      <c r="DH222" s="39" t="n">
        <f aca="false">IF(DH$4=0,0,IF(COUNTIFS(実績!$W$6:$W$505,DH$3,実績!$AI$6:$AI$505,"&lt;="&amp;$A222,実績!$AJ$6:$AJ$505,"&gt;"&amp;$A222,実績!$AK$6:$AK$505,"○")&gt;0,1,0))</f>
        <v>0</v>
      </c>
      <c r="DI222" s="39" t="n">
        <f aca="false">IF(DI$4=0,0,IF(COUNTIFS(実績!$W$6:$W$505,DI$3,実績!$AI$6:$AI$505,"&lt;="&amp;$A222,実績!$AJ$6:$AJ$505,"&gt;"&amp;$A222,実績!$AK$6:$AK$505,"○")&gt;0,1,0))</f>
        <v>0</v>
      </c>
      <c r="DJ222" s="39" t="n">
        <f aca="false">IF(DJ$4=0,0,IF(COUNTIFS(実績!$W$6:$W$505,DJ$3,実績!$AI$6:$AI$505,"&lt;="&amp;$A222,実績!$AJ$6:$AJ$505,"&gt;"&amp;$A222,実績!$AK$6:$AK$505,"○")&gt;0,1,0))</f>
        <v>0</v>
      </c>
      <c r="DK222" s="39" t="n">
        <f aca="false">IF(DK$4=0,0,IF(COUNTIFS(実績!$W$6:$W$505,DK$3,実績!$AI$6:$AI$505,"&lt;="&amp;$A222,実績!$AJ$6:$AJ$505,"&gt;"&amp;$A222,実績!$AK$6:$AK$505,"○")&gt;0,1,0))</f>
        <v>0</v>
      </c>
      <c r="DL222" s="39" t="n">
        <f aca="false">IF(DL$4=0,0,IF(COUNTIFS(実績!$W$6:$W$505,DL$3,実績!$AI$6:$AI$505,"&lt;="&amp;$A222,実績!$AJ$6:$AJ$505,"&gt;"&amp;$A222,実績!$AK$6:$AK$505,"○")&gt;0,1,0))</f>
        <v>0</v>
      </c>
      <c r="DM222" s="39" t="n">
        <f aca="false">IF(DM$4=0,0,IF(COUNTIFS(実績!$W$6:$W$505,DM$3,実績!$AI$6:$AI$505,"&lt;="&amp;$A222,実績!$AJ$6:$AJ$505,"&gt;"&amp;$A222,実績!$AK$6:$AK$505,"○")&gt;0,1,0))</f>
        <v>0</v>
      </c>
      <c r="DN222" s="39" t="n">
        <f aca="false">IF(DN$4=0,0,IF(COUNTIFS(実績!$W$6:$W$505,DN$3,実績!$AI$6:$AI$505,"&lt;="&amp;$A222,実績!$AJ$6:$AJ$505,"&gt;"&amp;$A222,実績!$AK$6:$AK$505,"○")&gt;0,1,0))</f>
        <v>0</v>
      </c>
      <c r="DO222" s="39" t="n">
        <f aca="false">IF(DO$4=0,0,IF(COUNTIFS(実績!$W$6:$W$505,DO$3,実績!$AI$6:$AI$505,"&lt;="&amp;$A222,実績!$AJ$6:$AJ$505,"&gt;"&amp;$A222,実績!$AK$6:$AK$505,"○")&gt;0,1,0))</f>
        <v>0</v>
      </c>
      <c r="DP222" s="39" t="n">
        <f aca="false">IF(DP$4=0,0,IF(COUNTIFS(実績!$W$6:$W$505,DP$3,実績!$AI$6:$AI$505,"&lt;="&amp;$A222,実績!$AJ$6:$AJ$505,"&gt;"&amp;$A222,実績!$AK$6:$AK$505,"○")&gt;0,1,0))</f>
        <v>0</v>
      </c>
      <c r="DQ222" s="39" t="n">
        <f aca="false">IF(DQ$4=0,0,IF(COUNTIFS(実績!$W$6:$W$505,DQ$3,実績!$AI$6:$AI$505,"&lt;="&amp;$A222,実績!$AJ$6:$AJ$505,"&gt;"&amp;$A222,実績!$AK$6:$AK$505,"○")&gt;0,1,0))</f>
        <v>0</v>
      </c>
      <c r="DR222" s="39" t="n">
        <f aca="false">IF(DR$4=0,0,IF(COUNTIFS(実績!$W$6:$W$505,DR$3,実績!$AI$6:$AI$505,"&lt;="&amp;$A222,実績!$AJ$6:$AJ$505,"&gt;"&amp;$A222,実績!$AK$6:$AK$505,"○")&gt;0,1,0))</f>
        <v>0</v>
      </c>
      <c r="DS222" s="39" t="n">
        <f aca="false">SUM(C222:DR222)</f>
        <v>0</v>
      </c>
      <c r="DT222" s="39" t="n">
        <f aca="false">SUMPRODUCT((実績!$C$6:$C$505="○")*ISNUMBER(実績!$AM$6:$AM$505)*(実績!$AM$6:$AM$505&lt;=$A222)*(実績!$AN$6:$AN$505&gt;$A222))</f>
        <v>0</v>
      </c>
      <c r="DU222" s="39" t="n">
        <f aca="false">SUMIF($C$2:$DR$2,"製鉄曳船",C222:DR222)</f>
        <v>0</v>
      </c>
      <c r="DV222" s="39" t="n">
        <f aca="false">SUMIF($C$2:$DR$2,"西日本海運",C222:DR222)</f>
        <v>0</v>
      </c>
    </row>
    <row r="223" customFormat="false" ht="15" hidden="false" customHeight="false" outlineLevel="0" collapsed="false">
      <c r="A223" s="0" t="n">
        <v>1085</v>
      </c>
      <c r="B223" s="38" t="n">
        <f aca="false">A223/1440</f>
        <v>0.753472222222222</v>
      </c>
      <c r="C223" s="39" t="n">
        <f aca="false">IF(C$4=0,0,IF(COUNTIFS(実績!$W$6:$W$505,C$3,実績!$AI$6:$AI$505,"&lt;="&amp;$A223,実績!$AJ$6:$AJ$505,"&gt;"&amp;$A223,実績!$AK$6:$AK$505,"○")&gt;0,1,0))</f>
        <v>0</v>
      </c>
      <c r="D223" s="39" t="n">
        <f aca="false">IF(D$4=0,0,IF(COUNTIFS(実績!$W$6:$W$505,D$3,実績!$AI$6:$AI$505,"&lt;="&amp;$A223,実績!$AJ$6:$AJ$505,"&gt;"&amp;$A223,実績!$AK$6:$AK$505,"○")&gt;0,1,0))</f>
        <v>0</v>
      </c>
      <c r="E223" s="39" t="n">
        <f aca="false">IF(E$4=0,0,IF(COUNTIFS(実績!$W$6:$W$505,E$3,実績!$AI$6:$AI$505,"&lt;="&amp;$A223,実績!$AJ$6:$AJ$505,"&gt;"&amp;$A223,実績!$AK$6:$AK$505,"○")&gt;0,1,0))</f>
        <v>0</v>
      </c>
      <c r="F223" s="39" t="n">
        <f aca="false">IF(F$4=0,0,IF(COUNTIFS(実績!$W$6:$W$505,F$3,実績!$AI$6:$AI$505,"&lt;="&amp;$A223,実績!$AJ$6:$AJ$505,"&gt;"&amp;$A223,実績!$AK$6:$AK$505,"○")&gt;0,1,0))</f>
        <v>0</v>
      </c>
      <c r="G223" s="39" t="n">
        <f aca="false">IF(G$4=0,0,IF(COUNTIFS(実績!$W$6:$W$505,G$3,実績!$AI$6:$AI$505,"&lt;="&amp;$A223,実績!$AJ$6:$AJ$505,"&gt;"&amp;$A223,実績!$AK$6:$AK$505,"○")&gt;0,1,0))</f>
        <v>0</v>
      </c>
      <c r="H223" s="39" t="n">
        <f aca="false">IF(H$4=0,0,IF(COUNTIFS(実績!$W$6:$W$505,H$3,実績!$AI$6:$AI$505,"&lt;="&amp;$A223,実績!$AJ$6:$AJ$505,"&gt;"&amp;$A223,実績!$AK$6:$AK$505,"○")&gt;0,1,0))</f>
        <v>0</v>
      </c>
      <c r="I223" s="39" t="n">
        <f aca="false">IF(I$4=0,0,IF(COUNTIFS(実績!$W$6:$W$505,I$3,実績!$AI$6:$AI$505,"&lt;="&amp;$A223,実績!$AJ$6:$AJ$505,"&gt;"&amp;$A223,実績!$AK$6:$AK$505,"○")&gt;0,1,0))</f>
        <v>0</v>
      </c>
      <c r="J223" s="39" t="n">
        <f aca="false">IF(J$4=0,0,IF(COUNTIFS(実績!$W$6:$W$505,J$3,実績!$AI$6:$AI$505,"&lt;="&amp;$A223,実績!$AJ$6:$AJ$505,"&gt;"&amp;$A223,実績!$AK$6:$AK$505,"○")&gt;0,1,0))</f>
        <v>0</v>
      </c>
      <c r="K223" s="39" t="n">
        <f aca="false">IF(K$4=0,0,IF(COUNTIFS(実績!$W$6:$W$505,K$3,実績!$AI$6:$AI$505,"&lt;="&amp;$A223,実績!$AJ$6:$AJ$505,"&gt;"&amp;$A223,実績!$AK$6:$AK$505,"○")&gt;0,1,0))</f>
        <v>0</v>
      </c>
      <c r="L223" s="39" t="n">
        <f aca="false">IF(L$4=0,0,IF(COUNTIFS(実績!$W$6:$W$505,L$3,実績!$AI$6:$AI$505,"&lt;="&amp;$A223,実績!$AJ$6:$AJ$505,"&gt;"&amp;$A223,実績!$AK$6:$AK$505,"○")&gt;0,1,0))</f>
        <v>0</v>
      </c>
      <c r="M223" s="39" t="n">
        <f aca="false">IF(M$4=0,0,IF(COUNTIFS(実績!$W$6:$W$505,M$3,実績!$AI$6:$AI$505,"&lt;="&amp;$A223,実績!$AJ$6:$AJ$505,"&gt;"&amp;$A223,実績!$AK$6:$AK$505,"○")&gt;0,1,0))</f>
        <v>0</v>
      </c>
      <c r="N223" s="39" t="n">
        <f aca="false">IF(N$4=0,0,IF(COUNTIFS(実績!$W$6:$W$505,N$3,実績!$AI$6:$AI$505,"&lt;="&amp;$A223,実績!$AJ$6:$AJ$505,"&gt;"&amp;$A223,実績!$AK$6:$AK$505,"○")&gt;0,1,0))</f>
        <v>0</v>
      </c>
      <c r="O223" s="39" t="n">
        <f aca="false">IF(O$4=0,0,IF(COUNTIFS(実績!$W$6:$W$505,O$3,実績!$AI$6:$AI$505,"&lt;="&amp;$A223,実績!$AJ$6:$AJ$505,"&gt;"&amp;$A223,実績!$AK$6:$AK$505,"○")&gt;0,1,0))</f>
        <v>0</v>
      </c>
      <c r="P223" s="39" t="n">
        <f aca="false">IF(P$4=0,0,IF(COUNTIFS(実績!$W$6:$W$505,P$3,実績!$AI$6:$AI$505,"&lt;="&amp;$A223,実績!$AJ$6:$AJ$505,"&gt;"&amp;$A223,実績!$AK$6:$AK$505,"○")&gt;0,1,0))</f>
        <v>0</v>
      </c>
      <c r="Q223" s="39" t="n">
        <f aca="false">IF(Q$4=0,0,IF(COUNTIFS(実績!$W$6:$W$505,Q$3,実績!$AI$6:$AI$505,"&lt;="&amp;$A223,実績!$AJ$6:$AJ$505,"&gt;"&amp;$A223,実績!$AK$6:$AK$505,"○")&gt;0,1,0))</f>
        <v>0</v>
      </c>
      <c r="R223" s="39" t="n">
        <f aca="false">IF(R$4=0,0,IF(COUNTIFS(実績!$W$6:$W$505,R$3,実績!$AI$6:$AI$505,"&lt;="&amp;$A223,実績!$AJ$6:$AJ$505,"&gt;"&amp;$A223,実績!$AK$6:$AK$505,"○")&gt;0,1,0))</f>
        <v>0</v>
      </c>
      <c r="S223" s="39" t="n">
        <f aca="false">IF(S$4=0,0,IF(COUNTIFS(実績!$W$6:$W$505,S$3,実績!$AI$6:$AI$505,"&lt;="&amp;$A223,実績!$AJ$6:$AJ$505,"&gt;"&amp;$A223,実績!$AK$6:$AK$505,"○")&gt;0,1,0))</f>
        <v>0</v>
      </c>
      <c r="T223" s="39" t="n">
        <f aca="false">IF(T$4=0,0,IF(COUNTIFS(実績!$W$6:$W$505,T$3,実績!$AI$6:$AI$505,"&lt;="&amp;$A223,実績!$AJ$6:$AJ$505,"&gt;"&amp;$A223,実績!$AK$6:$AK$505,"○")&gt;0,1,0))</f>
        <v>0</v>
      </c>
      <c r="U223" s="39" t="n">
        <f aca="false">IF(U$4=0,0,IF(COUNTIFS(実績!$W$6:$W$505,U$3,実績!$AI$6:$AI$505,"&lt;="&amp;$A223,実績!$AJ$6:$AJ$505,"&gt;"&amp;$A223,実績!$AK$6:$AK$505,"○")&gt;0,1,0))</f>
        <v>0</v>
      </c>
      <c r="V223" s="39" t="n">
        <f aca="false">IF(V$4=0,0,IF(COUNTIFS(実績!$W$6:$W$505,V$3,実績!$AI$6:$AI$505,"&lt;="&amp;$A223,実績!$AJ$6:$AJ$505,"&gt;"&amp;$A223,実績!$AK$6:$AK$505,"○")&gt;0,1,0))</f>
        <v>0</v>
      </c>
      <c r="W223" s="39" t="n">
        <f aca="false">IF(W$4=0,0,IF(COUNTIFS(実績!$W$6:$W$505,W$3,実績!$AI$6:$AI$505,"&lt;="&amp;$A223,実績!$AJ$6:$AJ$505,"&gt;"&amp;$A223,実績!$AK$6:$AK$505,"○")&gt;0,1,0))</f>
        <v>0</v>
      </c>
      <c r="X223" s="39" t="n">
        <f aca="false">IF(X$4=0,0,IF(COUNTIFS(実績!$W$6:$W$505,X$3,実績!$AI$6:$AI$505,"&lt;="&amp;$A223,実績!$AJ$6:$AJ$505,"&gt;"&amp;$A223,実績!$AK$6:$AK$505,"○")&gt;0,1,0))</f>
        <v>0</v>
      </c>
      <c r="Y223" s="39" t="n">
        <f aca="false">IF(Y$4=0,0,IF(COUNTIFS(実績!$W$6:$W$505,Y$3,実績!$AI$6:$AI$505,"&lt;="&amp;$A223,実績!$AJ$6:$AJ$505,"&gt;"&amp;$A223,実績!$AK$6:$AK$505,"○")&gt;0,1,0))</f>
        <v>0</v>
      </c>
      <c r="Z223" s="39" t="n">
        <f aca="false">IF(Z$4=0,0,IF(COUNTIFS(実績!$W$6:$W$505,Z$3,実績!$AI$6:$AI$505,"&lt;="&amp;$A223,実績!$AJ$6:$AJ$505,"&gt;"&amp;$A223,実績!$AK$6:$AK$505,"○")&gt;0,1,0))</f>
        <v>0</v>
      </c>
      <c r="AA223" s="39" t="n">
        <f aca="false">IF(AA$4=0,0,IF(COUNTIFS(実績!$W$6:$W$505,AA$3,実績!$AI$6:$AI$505,"&lt;="&amp;$A223,実績!$AJ$6:$AJ$505,"&gt;"&amp;$A223,実績!$AK$6:$AK$505,"○")&gt;0,1,0))</f>
        <v>0</v>
      </c>
      <c r="AB223" s="39" t="n">
        <f aca="false">IF(AB$4=0,0,IF(COUNTIFS(実績!$W$6:$W$505,AB$3,実績!$AI$6:$AI$505,"&lt;="&amp;$A223,実績!$AJ$6:$AJ$505,"&gt;"&amp;$A223,実績!$AK$6:$AK$505,"○")&gt;0,1,0))</f>
        <v>0</v>
      </c>
      <c r="AC223" s="39" t="n">
        <f aca="false">IF(AC$4=0,0,IF(COUNTIFS(実績!$W$6:$W$505,AC$3,実績!$AI$6:$AI$505,"&lt;="&amp;$A223,実績!$AJ$6:$AJ$505,"&gt;"&amp;$A223,実績!$AK$6:$AK$505,"○")&gt;0,1,0))</f>
        <v>0</v>
      </c>
      <c r="AD223" s="39" t="n">
        <f aca="false">IF(AD$4=0,0,IF(COUNTIFS(実績!$W$6:$W$505,AD$3,実績!$AI$6:$AI$505,"&lt;="&amp;$A223,実績!$AJ$6:$AJ$505,"&gt;"&amp;$A223,実績!$AK$6:$AK$505,"○")&gt;0,1,0))</f>
        <v>0</v>
      </c>
      <c r="AE223" s="39" t="n">
        <f aca="false">IF(AE$4=0,0,IF(COUNTIFS(実績!$W$6:$W$505,AE$3,実績!$AI$6:$AI$505,"&lt;="&amp;$A223,実績!$AJ$6:$AJ$505,"&gt;"&amp;$A223,実績!$AK$6:$AK$505,"○")&gt;0,1,0))</f>
        <v>0</v>
      </c>
      <c r="AF223" s="39" t="n">
        <f aca="false">IF(AF$4=0,0,IF(COUNTIFS(実績!$W$6:$W$505,AF$3,実績!$AI$6:$AI$505,"&lt;="&amp;$A223,実績!$AJ$6:$AJ$505,"&gt;"&amp;$A223,実績!$AK$6:$AK$505,"○")&gt;0,1,0))</f>
        <v>0</v>
      </c>
      <c r="AG223" s="39" t="n">
        <f aca="false">IF(AG$4=0,0,IF(COUNTIFS(実績!$W$6:$W$505,AG$3,実績!$AI$6:$AI$505,"&lt;="&amp;$A223,実績!$AJ$6:$AJ$505,"&gt;"&amp;$A223,実績!$AK$6:$AK$505,"○")&gt;0,1,0))</f>
        <v>0</v>
      </c>
      <c r="AH223" s="39" t="n">
        <f aca="false">IF(AH$4=0,0,IF(COUNTIFS(実績!$W$6:$W$505,AH$3,実績!$AI$6:$AI$505,"&lt;="&amp;$A223,実績!$AJ$6:$AJ$505,"&gt;"&amp;$A223,実績!$AK$6:$AK$505,"○")&gt;0,1,0))</f>
        <v>0</v>
      </c>
      <c r="AI223" s="39" t="n">
        <f aca="false">IF(AI$4=0,0,IF(COUNTIFS(実績!$W$6:$W$505,AI$3,実績!$AI$6:$AI$505,"&lt;="&amp;$A223,実績!$AJ$6:$AJ$505,"&gt;"&amp;$A223,実績!$AK$6:$AK$505,"○")&gt;0,1,0))</f>
        <v>0</v>
      </c>
      <c r="AJ223" s="39" t="n">
        <f aca="false">IF(AJ$4=0,0,IF(COUNTIFS(実績!$W$6:$W$505,AJ$3,実績!$AI$6:$AI$505,"&lt;="&amp;$A223,実績!$AJ$6:$AJ$505,"&gt;"&amp;$A223,実績!$AK$6:$AK$505,"○")&gt;0,1,0))</f>
        <v>0</v>
      </c>
      <c r="AK223" s="39" t="n">
        <f aca="false">IF(AK$4=0,0,IF(COUNTIFS(実績!$W$6:$W$505,AK$3,実績!$AI$6:$AI$505,"&lt;="&amp;$A223,実績!$AJ$6:$AJ$505,"&gt;"&amp;$A223,実績!$AK$6:$AK$505,"○")&gt;0,1,0))</f>
        <v>0</v>
      </c>
      <c r="AL223" s="39" t="n">
        <f aca="false">IF(AL$4=0,0,IF(COUNTIFS(実績!$W$6:$W$505,AL$3,実績!$AI$6:$AI$505,"&lt;="&amp;$A223,実績!$AJ$6:$AJ$505,"&gt;"&amp;$A223,実績!$AK$6:$AK$505,"○")&gt;0,1,0))</f>
        <v>0</v>
      </c>
      <c r="AM223" s="39" t="n">
        <f aca="false">IF(AM$4=0,0,IF(COUNTIFS(実績!$W$6:$W$505,AM$3,実績!$AI$6:$AI$505,"&lt;="&amp;$A223,実績!$AJ$6:$AJ$505,"&gt;"&amp;$A223,実績!$AK$6:$AK$505,"○")&gt;0,1,0))</f>
        <v>0</v>
      </c>
      <c r="AN223" s="39" t="n">
        <f aca="false">IF(AN$4=0,0,IF(COUNTIFS(実績!$W$6:$W$505,AN$3,実績!$AI$6:$AI$505,"&lt;="&amp;$A223,実績!$AJ$6:$AJ$505,"&gt;"&amp;$A223,実績!$AK$6:$AK$505,"○")&gt;0,1,0))</f>
        <v>0</v>
      </c>
      <c r="AO223" s="39" t="n">
        <f aca="false">IF(AO$4=0,0,IF(COUNTIFS(実績!$W$6:$W$505,AO$3,実績!$AI$6:$AI$505,"&lt;="&amp;$A223,実績!$AJ$6:$AJ$505,"&gt;"&amp;$A223,実績!$AK$6:$AK$505,"○")&gt;0,1,0))</f>
        <v>0</v>
      </c>
      <c r="AP223" s="39" t="n">
        <f aca="false">IF(AP$4=0,0,IF(COUNTIFS(実績!$W$6:$W$505,AP$3,実績!$AI$6:$AI$505,"&lt;="&amp;$A223,実績!$AJ$6:$AJ$505,"&gt;"&amp;$A223,実績!$AK$6:$AK$505,"○")&gt;0,1,0))</f>
        <v>0</v>
      </c>
      <c r="AQ223" s="39" t="n">
        <f aca="false">IF(AQ$4=0,0,IF(COUNTIFS(実績!$W$6:$W$505,AQ$3,実績!$AI$6:$AI$505,"&lt;="&amp;$A223,実績!$AJ$6:$AJ$505,"&gt;"&amp;$A223,実績!$AK$6:$AK$505,"○")&gt;0,1,0))</f>
        <v>0</v>
      </c>
      <c r="AR223" s="39" t="n">
        <f aca="false">IF(AR$4=0,0,IF(COUNTIFS(実績!$W$6:$W$505,AR$3,実績!$AI$6:$AI$505,"&lt;="&amp;$A223,実績!$AJ$6:$AJ$505,"&gt;"&amp;$A223,実績!$AK$6:$AK$505,"○")&gt;0,1,0))</f>
        <v>0</v>
      </c>
      <c r="AS223" s="39" t="n">
        <f aca="false">IF(AS$4=0,0,IF(COUNTIFS(実績!$W$6:$W$505,AS$3,実績!$AI$6:$AI$505,"&lt;="&amp;$A223,実績!$AJ$6:$AJ$505,"&gt;"&amp;$A223,実績!$AK$6:$AK$505,"○")&gt;0,1,0))</f>
        <v>0</v>
      </c>
      <c r="AT223" s="39" t="n">
        <f aca="false">IF(AT$4=0,0,IF(COUNTIFS(実績!$W$6:$W$505,AT$3,実績!$AI$6:$AI$505,"&lt;="&amp;$A223,実績!$AJ$6:$AJ$505,"&gt;"&amp;$A223,実績!$AK$6:$AK$505,"○")&gt;0,1,0))</f>
        <v>0</v>
      </c>
      <c r="AU223" s="39" t="n">
        <f aca="false">IF(AU$4=0,0,IF(COUNTIFS(実績!$W$6:$W$505,AU$3,実績!$AI$6:$AI$505,"&lt;="&amp;$A223,実績!$AJ$6:$AJ$505,"&gt;"&amp;$A223,実績!$AK$6:$AK$505,"○")&gt;0,1,0))</f>
        <v>0</v>
      </c>
      <c r="AV223" s="39" t="n">
        <f aca="false">IF(AV$4=0,0,IF(COUNTIFS(実績!$W$6:$W$505,AV$3,実績!$AI$6:$AI$505,"&lt;="&amp;$A223,実績!$AJ$6:$AJ$505,"&gt;"&amp;$A223,実績!$AK$6:$AK$505,"○")&gt;0,1,0))</f>
        <v>0</v>
      </c>
      <c r="AW223" s="39" t="n">
        <f aca="false">IF(AW$4=0,0,IF(COUNTIFS(実績!$W$6:$W$505,AW$3,実績!$AI$6:$AI$505,"&lt;="&amp;$A223,実績!$AJ$6:$AJ$505,"&gt;"&amp;$A223,実績!$AK$6:$AK$505,"○")&gt;0,1,0))</f>
        <v>0</v>
      </c>
      <c r="AX223" s="39" t="n">
        <f aca="false">IF(AX$4=0,0,IF(COUNTIFS(実績!$W$6:$W$505,AX$3,実績!$AI$6:$AI$505,"&lt;="&amp;$A223,実績!$AJ$6:$AJ$505,"&gt;"&amp;$A223,実績!$AK$6:$AK$505,"○")&gt;0,1,0))</f>
        <v>0</v>
      </c>
      <c r="AY223" s="39" t="n">
        <f aca="false">IF(AY$4=0,0,IF(COUNTIFS(実績!$W$6:$W$505,AY$3,実績!$AI$6:$AI$505,"&lt;="&amp;$A223,実績!$AJ$6:$AJ$505,"&gt;"&amp;$A223,実績!$AK$6:$AK$505,"○")&gt;0,1,0))</f>
        <v>0</v>
      </c>
      <c r="AZ223" s="39" t="n">
        <f aca="false">IF(AZ$4=0,0,IF(COUNTIFS(実績!$W$6:$W$505,AZ$3,実績!$AI$6:$AI$505,"&lt;="&amp;$A223,実績!$AJ$6:$AJ$505,"&gt;"&amp;$A223,実績!$AK$6:$AK$505,"○")&gt;0,1,0))</f>
        <v>0</v>
      </c>
      <c r="BA223" s="39" t="n">
        <f aca="false">IF(BA$4=0,0,IF(COUNTIFS(実績!$W$6:$W$505,BA$3,実績!$AI$6:$AI$505,"&lt;="&amp;$A223,実績!$AJ$6:$AJ$505,"&gt;"&amp;$A223,実績!$AK$6:$AK$505,"○")&gt;0,1,0))</f>
        <v>0</v>
      </c>
      <c r="BB223" s="39" t="n">
        <f aca="false">IF(BB$4=0,0,IF(COUNTIFS(実績!$W$6:$W$505,BB$3,実績!$AI$6:$AI$505,"&lt;="&amp;$A223,実績!$AJ$6:$AJ$505,"&gt;"&amp;$A223,実績!$AK$6:$AK$505,"○")&gt;0,1,0))</f>
        <v>0</v>
      </c>
      <c r="BC223" s="39" t="n">
        <f aca="false">IF(BC$4=0,0,IF(COUNTIFS(実績!$W$6:$W$505,BC$3,実績!$AI$6:$AI$505,"&lt;="&amp;$A223,実績!$AJ$6:$AJ$505,"&gt;"&amp;$A223,実績!$AK$6:$AK$505,"○")&gt;0,1,0))</f>
        <v>0</v>
      </c>
      <c r="BD223" s="39" t="n">
        <f aca="false">IF(BD$4=0,0,IF(COUNTIFS(実績!$W$6:$W$505,BD$3,実績!$AI$6:$AI$505,"&lt;="&amp;$A223,実績!$AJ$6:$AJ$505,"&gt;"&amp;$A223,実績!$AK$6:$AK$505,"○")&gt;0,1,0))</f>
        <v>0</v>
      </c>
      <c r="BE223" s="39" t="n">
        <f aca="false">IF(BE$4=0,0,IF(COUNTIFS(実績!$W$6:$W$505,BE$3,実績!$AI$6:$AI$505,"&lt;="&amp;$A223,実績!$AJ$6:$AJ$505,"&gt;"&amp;$A223,実績!$AK$6:$AK$505,"○")&gt;0,1,0))</f>
        <v>0</v>
      </c>
      <c r="BF223" s="39" t="n">
        <f aca="false">IF(BF$4=0,0,IF(COUNTIFS(実績!$W$6:$W$505,BF$3,実績!$AI$6:$AI$505,"&lt;="&amp;$A223,実績!$AJ$6:$AJ$505,"&gt;"&amp;$A223,実績!$AK$6:$AK$505,"○")&gt;0,1,0))</f>
        <v>0</v>
      </c>
      <c r="BG223" s="39" t="n">
        <f aca="false">IF(BG$4=0,0,IF(COUNTIFS(実績!$W$6:$W$505,BG$3,実績!$AI$6:$AI$505,"&lt;="&amp;$A223,実績!$AJ$6:$AJ$505,"&gt;"&amp;$A223,実績!$AK$6:$AK$505,"○")&gt;0,1,0))</f>
        <v>0</v>
      </c>
      <c r="BH223" s="39" t="n">
        <f aca="false">IF(BH$4=0,0,IF(COUNTIFS(実績!$W$6:$W$505,BH$3,実績!$AI$6:$AI$505,"&lt;="&amp;$A223,実績!$AJ$6:$AJ$505,"&gt;"&amp;$A223,実績!$AK$6:$AK$505,"○")&gt;0,1,0))</f>
        <v>0</v>
      </c>
      <c r="BI223" s="39" t="n">
        <f aca="false">IF(BI$4=0,0,IF(COUNTIFS(実績!$W$6:$W$505,BI$3,実績!$AI$6:$AI$505,"&lt;="&amp;$A223,実績!$AJ$6:$AJ$505,"&gt;"&amp;$A223,実績!$AK$6:$AK$505,"○")&gt;0,1,0))</f>
        <v>0</v>
      </c>
      <c r="BJ223" s="39" t="n">
        <f aca="false">IF(BJ$4=0,0,IF(COUNTIFS(実績!$W$6:$W$505,BJ$3,実績!$AI$6:$AI$505,"&lt;="&amp;$A223,実績!$AJ$6:$AJ$505,"&gt;"&amp;$A223,実績!$AK$6:$AK$505,"○")&gt;0,1,0))</f>
        <v>0</v>
      </c>
      <c r="BK223" s="39" t="n">
        <f aca="false">IF(BK$4=0,0,IF(COUNTIFS(実績!$W$6:$W$505,BK$3,実績!$AI$6:$AI$505,"&lt;="&amp;$A223,実績!$AJ$6:$AJ$505,"&gt;"&amp;$A223,実績!$AK$6:$AK$505,"○")&gt;0,1,0))</f>
        <v>0</v>
      </c>
      <c r="BL223" s="39" t="n">
        <f aca="false">IF(BL$4=0,0,IF(COUNTIFS(実績!$W$6:$W$505,BL$3,実績!$AI$6:$AI$505,"&lt;="&amp;$A223,実績!$AJ$6:$AJ$505,"&gt;"&amp;$A223,実績!$AK$6:$AK$505,"○")&gt;0,1,0))</f>
        <v>0</v>
      </c>
      <c r="BM223" s="39" t="n">
        <f aca="false">IF(BM$4=0,0,IF(COUNTIFS(実績!$W$6:$W$505,BM$3,実績!$AI$6:$AI$505,"&lt;="&amp;$A223,実績!$AJ$6:$AJ$505,"&gt;"&amp;$A223,実績!$AK$6:$AK$505,"○")&gt;0,1,0))</f>
        <v>0</v>
      </c>
      <c r="BN223" s="39" t="n">
        <f aca="false">IF(BN$4=0,0,IF(COUNTIFS(実績!$W$6:$W$505,BN$3,実績!$AI$6:$AI$505,"&lt;="&amp;$A223,実績!$AJ$6:$AJ$505,"&gt;"&amp;$A223,実績!$AK$6:$AK$505,"○")&gt;0,1,0))</f>
        <v>0</v>
      </c>
      <c r="BO223" s="39" t="n">
        <f aca="false">IF(BO$4=0,0,IF(COUNTIFS(実績!$W$6:$W$505,BO$3,実績!$AI$6:$AI$505,"&lt;="&amp;$A223,実績!$AJ$6:$AJ$505,"&gt;"&amp;$A223,実績!$AK$6:$AK$505,"○")&gt;0,1,0))</f>
        <v>0</v>
      </c>
      <c r="BP223" s="39" t="n">
        <f aca="false">IF(BP$4=0,0,IF(COUNTIFS(実績!$W$6:$W$505,BP$3,実績!$AI$6:$AI$505,"&lt;="&amp;$A223,実績!$AJ$6:$AJ$505,"&gt;"&amp;$A223,実績!$AK$6:$AK$505,"○")&gt;0,1,0))</f>
        <v>0</v>
      </c>
      <c r="BQ223" s="39" t="n">
        <f aca="false">IF(BQ$4=0,0,IF(COUNTIFS(実績!$W$6:$W$505,BQ$3,実績!$AI$6:$AI$505,"&lt;="&amp;$A223,実績!$AJ$6:$AJ$505,"&gt;"&amp;$A223,実績!$AK$6:$AK$505,"○")&gt;0,1,0))</f>
        <v>0</v>
      </c>
      <c r="BR223" s="39" t="n">
        <f aca="false">IF(BR$4=0,0,IF(COUNTIFS(実績!$W$6:$W$505,BR$3,実績!$AI$6:$AI$505,"&lt;="&amp;$A223,実績!$AJ$6:$AJ$505,"&gt;"&amp;$A223,実績!$AK$6:$AK$505,"○")&gt;0,1,0))</f>
        <v>0</v>
      </c>
      <c r="BS223" s="39" t="n">
        <f aca="false">IF(BS$4=0,0,IF(COUNTIFS(実績!$W$6:$W$505,BS$3,実績!$AI$6:$AI$505,"&lt;="&amp;$A223,実績!$AJ$6:$AJ$505,"&gt;"&amp;$A223,実績!$AK$6:$AK$505,"○")&gt;0,1,0))</f>
        <v>0</v>
      </c>
      <c r="BT223" s="39" t="n">
        <f aca="false">IF(BT$4=0,0,IF(COUNTIFS(実績!$W$6:$W$505,BT$3,実績!$AI$6:$AI$505,"&lt;="&amp;$A223,実績!$AJ$6:$AJ$505,"&gt;"&amp;$A223,実績!$AK$6:$AK$505,"○")&gt;0,1,0))</f>
        <v>0</v>
      </c>
      <c r="BU223" s="39" t="n">
        <f aca="false">IF(BU$4=0,0,IF(COUNTIFS(実績!$W$6:$W$505,BU$3,実績!$AI$6:$AI$505,"&lt;="&amp;$A223,実績!$AJ$6:$AJ$505,"&gt;"&amp;$A223,実績!$AK$6:$AK$505,"○")&gt;0,1,0))</f>
        <v>0</v>
      </c>
      <c r="BV223" s="39" t="n">
        <f aca="false">IF(BV$4=0,0,IF(COUNTIFS(実績!$W$6:$W$505,BV$3,実績!$AI$6:$AI$505,"&lt;="&amp;$A223,実績!$AJ$6:$AJ$505,"&gt;"&amp;$A223,実績!$AK$6:$AK$505,"○")&gt;0,1,0))</f>
        <v>0</v>
      </c>
      <c r="BW223" s="39" t="n">
        <f aca="false">IF(BW$4=0,0,IF(COUNTIFS(実績!$W$6:$W$505,BW$3,実績!$AI$6:$AI$505,"&lt;="&amp;$A223,実績!$AJ$6:$AJ$505,"&gt;"&amp;$A223,実績!$AK$6:$AK$505,"○")&gt;0,1,0))</f>
        <v>0</v>
      </c>
      <c r="BX223" s="39" t="n">
        <f aca="false">IF(BX$4=0,0,IF(COUNTIFS(実績!$W$6:$W$505,BX$3,実績!$AI$6:$AI$505,"&lt;="&amp;$A223,実績!$AJ$6:$AJ$505,"&gt;"&amp;$A223,実績!$AK$6:$AK$505,"○")&gt;0,1,0))</f>
        <v>0</v>
      </c>
      <c r="BY223" s="39" t="n">
        <f aca="false">IF(BY$4=0,0,IF(COUNTIFS(実績!$W$6:$W$505,BY$3,実績!$AI$6:$AI$505,"&lt;="&amp;$A223,実績!$AJ$6:$AJ$505,"&gt;"&amp;$A223,実績!$AK$6:$AK$505,"○")&gt;0,1,0))</f>
        <v>0</v>
      </c>
      <c r="BZ223" s="39" t="n">
        <f aca="false">IF(BZ$4=0,0,IF(COUNTIFS(実績!$W$6:$W$505,BZ$3,実績!$AI$6:$AI$505,"&lt;="&amp;$A223,実績!$AJ$6:$AJ$505,"&gt;"&amp;$A223,実績!$AK$6:$AK$505,"○")&gt;0,1,0))</f>
        <v>0</v>
      </c>
      <c r="CA223" s="39" t="n">
        <f aca="false">IF(CA$4=0,0,IF(COUNTIFS(実績!$W$6:$W$505,CA$3,実績!$AI$6:$AI$505,"&lt;="&amp;$A223,実績!$AJ$6:$AJ$505,"&gt;"&amp;$A223,実績!$AK$6:$AK$505,"○")&gt;0,1,0))</f>
        <v>0</v>
      </c>
      <c r="CB223" s="39" t="n">
        <f aca="false">IF(CB$4=0,0,IF(COUNTIFS(実績!$W$6:$W$505,CB$3,実績!$AI$6:$AI$505,"&lt;="&amp;$A223,実績!$AJ$6:$AJ$505,"&gt;"&amp;$A223,実績!$AK$6:$AK$505,"○")&gt;0,1,0))</f>
        <v>0</v>
      </c>
      <c r="CC223" s="39" t="n">
        <f aca="false">IF(CC$4=0,0,IF(COUNTIFS(実績!$W$6:$W$505,CC$3,実績!$AI$6:$AI$505,"&lt;="&amp;$A223,実績!$AJ$6:$AJ$505,"&gt;"&amp;$A223,実績!$AK$6:$AK$505,"○")&gt;0,1,0))</f>
        <v>0</v>
      </c>
      <c r="CD223" s="39" t="n">
        <f aca="false">IF(CD$4=0,0,IF(COUNTIFS(実績!$W$6:$W$505,CD$3,実績!$AI$6:$AI$505,"&lt;="&amp;$A223,実績!$AJ$6:$AJ$505,"&gt;"&amp;$A223,実績!$AK$6:$AK$505,"○")&gt;0,1,0))</f>
        <v>0</v>
      </c>
      <c r="CE223" s="39" t="n">
        <f aca="false">IF(CE$4=0,0,IF(COUNTIFS(実績!$W$6:$W$505,CE$3,実績!$AI$6:$AI$505,"&lt;="&amp;$A223,実績!$AJ$6:$AJ$505,"&gt;"&amp;$A223,実績!$AK$6:$AK$505,"○")&gt;0,1,0))</f>
        <v>0</v>
      </c>
      <c r="CF223" s="39" t="n">
        <f aca="false">IF(CF$4=0,0,IF(COUNTIFS(実績!$W$6:$W$505,CF$3,実績!$AI$6:$AI$505,"&lt;="&amp;$A223,実績!$AJ$6:$AJ$505,"&gt;"&amp;$A223,実績!$AK$6:$AK$505,"○")&gt;0,1,0))</f>
        <v>0</v>
      </c>
      <c r="CG223" s="39" t="n">
        <f aca="false">IF(CG$4=0,0,IF(COUNTIFS(実績!$W$6:$W$505,CG$3,実績!$AI$6:$AI$505,"&lt;="&amp;$A223,実績!$AJ$6:$AJ$505,"&gt;"&amp;$A223,実績!$AK$6:$AK$505,"○")&gt;0,1,0))</f>
        <v>0</v>
      </c>
      <c r="CH223" s="39" t="n">
        <f aca="false">IF(CH$4=0,0,IF(COUNTIFS(実績!$W$6:$W$505,CH$3,実績!$AI$6:$AI$505,"&lt;="&amp;$A223,実績!$AJ$6:$AJ$505,"&gt;"&amp;$A223,実績!$AK$6:$AK$505,"○")&gt;0,1,0))</f>
        <v>0</v>
      </c>
      <c r="CI223" s="39" t="n">
        <f aca="false">IF(CI$4=0,0,IF(COUNTIFS(実績!$W$6:$W$505,CI$3,実績!$AI$6:$AI$505,"&lt;="&amp;$A223,実績!$AJ$6:$AJ$505,"&gt;"&amp;$A223,実績!$AK$6:$AK$505,"○")&gt;0,1,0))</f>
        <v>0</v>
      </c>
      <c r="CJ223" s="39" t="n">
        <f aca="false">IF(CJ$4=0,0,IF(COUNTIFS(実績!$W$6:$W$505,CJ$3,実績!$AI$6:$AI$505,"&lt;="&amp;$A223,実績!$AJ$6:$AJ$505,"&gt;"&amp;$A223,実績!$AK$6:$AK$505,"○")&gt;0,1,0))</f>
        <v>0</v>
      </c>
      <c r="CK223" s="39" t="n">
        <f aca="false">IF(CK$4=0,0,IF(COUNTIFS(実績!$W$6:$W$505,CK$3,実績!$AI$6:$AI$505,"&lt;="&amp;$A223,実績!$AJ$6:$AJ$505,"&gt;"&amp;$A223,実績!$AK$6:$AK$505,"○")&gt;0,1,0))</f>
        <v>0</v>
      </c>
      <c r="CL223" s="39" t="n">
        <f aca="false">IF(CL$4=0,0,IF(COUNTIFS(実績!$W$6:$W$505,CL$3,実績!$AI$6:$AI$505,"&lt;="&amp;$A223,実績!$AJ$6:$AJ$505,"&gt;"&amp;$A223,実績!$AK$6:$AK$505,"○")&gt;0,1,0))</f>
        <v>0</v>
      </c>
      <c r="CM223" s="39" t="n">
        <f aca="false">IF(CM$4=0,0,IF(COUNTIFS(実績!$W$6:$W$505,CM$3,実績!$AI$6:$AI$505,"&lt;="&amp;$A223,実績!$AJ$6:$AJ$505,"&gt;"&amp;$A223,実績!$AK$6:$AK$505,"○")&gt;0,1,0))</f>
        <v>0</v>
      </c>
      <c r="CN223" s="39" t="n">
        <f aca="false">IF(CN$4=0,0,IF(COUNTIFS(実績!$W$6:$W$505,CN$3,実績!$AI$6:$AI$505,"&lt;="&amp;$A223,実績!$AJ$6:$AJ$505,"&gt;"&amp;$A223,実績!$AK$6:$AK$505,"○")&gt;0,1,0))</f>
        <v>0</v>
      </c>
      <c r="CO223" s="39" t="n">
        <f aca="false">IF(CO$4=0,0,IF(COUNTIFS(実績!$W$6:$W$505,CO$3,実績!$AI$6:$AI$505,"&lt;="&amp;$A223,実績!$AJ$6:$AJ$505,"&gt;"&amp;$A223,実績!$AK$6:$AK$505,"○")&gt;0,1,0))</f>
        <v>0</v>
      </c>
      <c r="CP223" s="39" t="n">
        <f aca="false">IF(CP$4=0,0,IF(COUNTIFS(実績!$W$6:$W$505,CP$3,実績!$AI$6:$AI$505,"&lt;="&amp;$A223,実績!$AJ$6:$AJ$505,"&gt;"&amp;$A223,実績!$AK$6:$AK$505,"○")&gt;0,1,0))</f>
        <v>0</v>
      </c>
      <c r="CQ223" s="39" t="n">
        <f aca="false">IF(CQ$4=0,0,IF(COUNTIFS(実績!$W$6:$W$505,CQ$3,実績!$AI$6:$AI$505,"&lt;="&amp;$A223,実績!$AJ$6:$AJ$505,"&gt;"&amp;$A223,実績!$AK$6:$AK$505,"○")&gt;0,1,0))</f>
        <v>0</v>
      </c>
      <c r="CR223" s="39" t="n">
        <f aca="false">IF(CR$4=0,0,IF(COUNTIFS(実績!$W$6:$W$505,CR$3,実績!$AI$6:$AI$505,"&lt;="&amp;$A223,実績!$AJ$6:$AJ$505,"&gt;"&amp;$A223,実績!$AK$6:$AK$505,"○")&gt;0,1,0))</f>
        <v>0</v>
      </c>
      <c r="CS223" s="39" t="n">
        <f aca="false">IF(CS$4=0,0,IF(COUNTIFS(実績!$W$6:$W$505,CS$3,実績!$AI$6:$AI$505,"&lt;="&amp;$A223,実績!$AJ$6:$AJ$505,"&gt;"&amp;$A223,実績!$AK$6:$AK$505,"○")&gt;0,1,0))</f>
        <v>0</v>
      </c>
      <c r="CT223" s="39" t="n">
        <f aca="false">IF(CT$4=0,0,IF(COUNTIFS(実績!$W$6:$W$505,CT$3,実績!$AI$6:$AI$505,"&lt;="&amp;$A223,実績!$AJ$6:$AJ$505,"&gt;"&amp;$A223,実績!$AK$6:$AK$505,"○")&gt;0,1,0))</f>
        <v>0</v>
      </c>
      <c r="CU223" s="39" t="n">
        <f aca="false">IF(CU$4=0,0,IF(COUNTIFS(実績!$W$6:$W$505,CU$3,実績!$AI$6:$AI$505,"&lt;="&amp;$A223,実績!$AJ$6:$AJ$505,"&gt;"&amp;$A223,実績!$AK$6:$AK$505,"○")&gt;0,1,0))</f>
        <v>0</v>
      </c>
      <c r="CV223" s="39" t="n">
        <f aca="false">IF(CV$4=0,0,IF(COUNTIFS(実績!$W$6:$W$505,CV$3,実績!$AI$6:$AI$505,"&lt;="&amp;$A223,実績!$AJ$6:$AJ$505,"&gt;"&amp;$A223,実績!$AK$6:$AK$505,"○")&gt;0,1,0))</f>
        <v>0</v>
      </c>
      <c r="CW223" s="39" t="n">
        <f aca="false">IF(CW$4=0,0,IF(COUNTIFS(実績!$W$6:$W$505,CW$3,実績!$AI$6:$AI$505,"&lt;="&amp;$A223,実績!$AJ$6:$AJ$505,"&gt;"&amp;$A223,実績!$AK$6:$AK$505,"○")&gt;0,1,0))</f>
        <v>0</v>
      </c>
      <c r="CX223" s="39" t="n">
        <f aca="false">IF(CX$4=0,0,IF(COUNTIFS(実績!$W$6:$W$505,CX$3,実績!$AI$6:$AI$505,"&lt;="&amp;$A223,実績!$AJ$6:$AJ$505,"&gt;"&amp;$A223,実績!$AK$6:$AK$505,"○")&gt;0,1,0))</f>
        <v>0</v>
      </c>
      <c r="CY223" s="39" t="n">
        <f aca="false">IF(CY$4=0,0,IF(COUNTIFS(実績!$W$6:$W$505,CY$3,実績!$AI$6:$AI$505,"&lt;="&amp;$A223,実績!$AJ$6:$AJ$505,"&gt;"&amp;$A223,実績!$AK$6:$AK$505,"○")&gt;0,1,0))</f>
        <v>0</v>
      </c>
      <c r="CZ223" s="39" t="n">
        <f aca="false">IF(CZ$4=0,0,IF(COUNTIFS(実績!$W$6:$W$505,CZ$3,実績!$AI$6:$AI$505,"&lt;="&amp;$A223,実績!$AJ$6:$AJ$505,"&gt;"&amp;$A223,実績!$AK$6:$AK$505,"○")&gt;0,1,0))</f>
        <v>0</v>
      </c>
      <c r="DA223" s="39" t="n">
        <f aca="false">IF(DA$4=0,0,IF(COUNTIFS(実績!$W$6:$W$505,DA$3,実績!$AI$6:$AI$505,"&lt;="&amp;$A223,実績!$AJ$6:$AJ$505,"&gt;"&amp;$A223,実績!$AK$6:$AK$505,"○")&gt;0,1,0))</f>
        <v>0</v>
      </c>
      <c r="DB223" s="39" t="n">
        <f aca="false">IF(DB$4=0,0,IF(COUNTIFS(実績!$W$6:$W$505,DB$3,実績!$AI$6:$AI$505,"&lt;="&amp;$A223,実績!$AJ$6:$AJ$505,"&gt;"&amp;$A223,実績!$AK$6:$AK$505,"○")&gt;0,1,0))</f>
        <v>0</v>
      </c>
      <c r="DC223" s="39" t="n">
        <f aca="false">IF(DC$4=0,0,IF(COUNTIFS(実績!$W$6:$W$505,DC$3,実績!$AI$6:$AI$505,"&lt;="&amp;$A223,実績!$AJ$6:$AJ$505,"&gt;"&amp;$A223,実績!$AK$6:$AK$505,"○")&gt;0,1,0))</f>
        <v>0</v>
      </c>
      <c r="DD223" s="39" t="n">
        <f aca="false">IF(DD$4=0,0,IF(COUNTIFS(実績!$W$6:$W$505,DD$3,実績!$AI$6:$AI$505,"&lt;="&amp;$A223,実績!$AJ$6:$AJ$505,"&gt;"&amp;$A223,実績!$AK$6:$AK$505,"○")&gt;0,1,0))</f>
        <v>0</v>
      </c>
      <c r="DE223" s="39" t="n">
        <f aca="false">IF(DE$4=0,0,IF(COUNTIFS(実績!$W$6:$W$505,DE$3,実績!$AI$6:$AI$505,"&lt;="&amp;$A223,実績!$AJ$6:$AJ$505,"&gt;"&amp;$A223,実績!$AK$6:$AK$505,"○")&gt;0,1,0))</f>
        <v>0</v>
      </c>
      <c r="DF223" s="39" t="n">
        <f aca="false">IF(DF$4=0,0,IF(COUNTIFS(実績!$W$6:$W$505,DF$3,実績!$AI$6:$AI$505,"&lt;="&amp;$A223,実績!$AJ$6:$AJ$505,"&gt;"&amp;$A223,実績!$AK$6:$AK$505,"○")&gt;0,1,0))</f>
        <v>0</v>
      </c>
      <c r="DG223" s="39" t="n">
        <f aca="false">IF(DG$4=0,0,IF(COUNTIFS(実績!$W$6:$W$505,DG$3,実績!$AI$6:$AI$505,"&lt;="&amp;$A223,実績!$AJ$6:$AJ$505,"&gt;"&amp;$A223,実績!$AK$6:$AK$505,"○")&gt;0,1,0))</f>
        <v>0</v>
      </c>
      <c r="DH223" s="39" t="n">
        <f aca="false">IF(DH$4=0,0,IF(COUNTIFS(実績!$W$6:$W$505,DH$3,実績!$AI$6:$AI$505,"&lt;="&amp;$A223,実績!$AJ$6:$AJ$505,"&gt;"&amp;$A223,実績!$AK$6:$AK$505,"○")&gt;0,1,0))</f>
        <v>0</v>
      </c>
      <c r="DI223" s="39" t="n">
        <f aca="false">IF(DI$4=0,0,IF(COUNTIFS(実績!$W$6:$W$505,DI$3,実績!$AI$6:$AI$505,"&lt;="&amp;$A223,実績!$AJ$6:$AJ$505,"&gt;"&amp;$A223,実績!$AK$6:$AK$505,"○")&gt;0,1,0))</f>
        <v>0</v>
      </c>
      <c r="DJ223" s="39" t="n">
        <f aca="false">IF(DJ$4=0,0,IF(COUNTIFS(実績!$W$6:$W$505,DJ$3,実績!$AI$6:$AI$505,"&lt;="&amp;$A223,実績!$AJ$6:$AJ$505,"&gt;"&amp;$A223,実績!$AK$6:$AK$505,"○")&gt;0,1,0))</f>
        <v>0</v>
      </c>
      <c r="DK223" s="39" t="n">
        <f aca="false">IF(DK$4=0,0,IF(COUNTIFS(実績!$W$6:$W$505,DK$3,実績!$AI$6:$AI$505,"&lt;="&amp;$A223,実績!$AJ$6:$AJ$505,"&gt;"&amp;$A223,実績!$AK$6:$AK$505,"○")&gt;0,1,0))</f>
        <v>0</v>
      </c>
      <c r="DL223" s="39" t="n">
        <f aca="false">IF(DL$4=0,0,IF(COUNTIFS(実績!$W$6:$W$505,DL$3,実績!$AI$6:$AI$505,"&lt;="&amp;$A223,実績!$AJ$6:$AJ$505,"&gt;"&amp;$A223,実績!$AK$6:$AK$505,"○")&gt;0,1,0))</f>
        <v>0</v>
      </c>
      <c r="DM223" s="39" t="n">
        <f aca="false">IF(DM$4=0,0,IF(COUNTIFS(実績!$W$6:$W$505,DM$3,実績!$AI$6:$AI$505,"&lt;="&amp;$A223,実績!$AJ$6:$AJ$505,"&gt;"&amp;$A223,実績!$AK$6:$AK$505,"○")&gt;0,1,0))</f>
        <v>0</v>
      </c>
      <c r="DN223" s="39" t="n">
        <f aca="false">IF(DN$4=0,0,IF(COUNTIFS(実績!$W$6:$W$505,DN$3,実績!$AI$6:$AI$505,"&lt;="&amp;$A223,実績!$AJ$6:$AJ$505,"&gt;"&amp;$A223,実績!$AK$6:$AK$505,"○")&gt;0,1,0))</f>
        <v>0</v>
      </c>
      <c r="DO223" s="39" t="n">
        <f aca="false">IF(DO$4=0,0,IF(COUNTIFS(実績!$W$6:$W$505,DO$3,実績!$AI$6:$AI$505,"&lt;="&amp;$A223,実績!$AJ$6:$AJ$505,"&gt;"&amp;$A223,実績!$AK$6:$AK$505,"○")&gt;0,1,0))</f>
        <v>0</v>
      </c>
      <c r="DP223" s="39" t="n">
        <f aca="false">IF(DP$4=0,0,IF(COUNTIFS(実績!$W$6:$W$505,DP$3,実績!$AI$6:$AI$505,"&lt;="&amp;$A223,実績!$AJ$6:$AJ$505,"&gt;"&amp;$A223,実績!$AK$6:$AK$505,"○")&gt;0,1,0))</f>
        <v>0</v>
      </c>
      <c r="DQ223" s="39" t="n">
        <f aca="false">IF(DQ$4=0,0,IF(COUNTIFS(実績!$W$6:$W$505,DQ$3,実績!$AI$6:$AI$505,"&lt;="&amp;$A223,実績!$AJ$6:$AJ$505,"&gt;"&amp;$A223,実績!$AK$6:$AK$505,"○")&gt;0,1,0))</f>
        <v>0</v>
      </c>
      <c r="DR223" s="39" t="n">
        <f aca="false">IF(DR$4=0,0,IF(COUNTIFS(実績!$W$6:$W$505,DR$3,実績!$AI$6:$AI$505,"&lt;="&amp;$A223,実績!$AJ$6:$AJ$505,"&gt;"&amp;$A223,実績!$AK$6:$AK$505,"○")&gt;0,1,0))</f>
        <v>0</v>
      </c>
      <c r="DS223" s="39" t="n">
        <f aca="false">SUM(C223:DR223)</f>
        <v>0</v>
      </c>
      <c r="DT223" s="39" t="n">
        <f aca="false">SUMPRODUCT((実績!$C$6:$C$505="○")*ISNUMBER(実績!$AM$6:$AM$505)*(実績!$AM$6:$AM$505&lt;=$A223)*(実績!$AN$6:$AN$505&gt;$A223))</f>
        <v>0</v>
      </c>
      <c r="DU223" s="39" t="n">
        <f aca="false">SUMIF($C$2:$DR$2,"製鉄曳船",C223:DR223)</f>
        <v>0</v>
      </c>
      <c r="DV223" s="39" t="n">
        <f aca="false">SUMIF($C$2:$DR$2,"西日本海運",C223:DR223)</f>
        <v>0</v>
      </c>
    </row>
    <row r="224" customFormat="false" ht="15" hidden="false" customHeight="false" outlineLevel="0" collapsed="false">
      <c r="A224" s="0" t="n">
        <v>1090</v>
      </c>
      <c r="B224" s="38" t="n">
        <f aca="false">A224/1440</f>
        <v>0.756944444444444</v>
      </c>
      <c r="C224" s="39" t="n">
        <f aca="false">IF(C$4=0,0,IF(COUNTIFS(実績!$W$6:$W$505,C$3,実績!$AI$6:$AI$505,"&lt;="&amp;$A224,実績!$AJ$6:$AJ$505,"&gt;"&amp;$A224,実績!$AK$6:$AK$505,"○")&gt;0,1,0))</f>
        <v>0</v>
      </c>
      <c r="D224" s="39" t="n">
        <f aca="false">IF(D$4=0,0,IF(COUNTIFS(実績!$W$6:$W$505,D$3,実績!$AI$6:$AI$505,"&lt;="&amp;$A224,実績!$AJ$6:$AJ$505,"&gt;"&amp;$A224,実績!$AK$6:$AK$505,"○")&gt;0,1,0))</f>
        <v>0</v>
      </c>
      <c r="E224" s="39" t="n">
        <f aca="false">IF(E$4=0,0,IF(COUNTIFS(実績!$W$6:$W$505,E$3,実績!$AI$6:$AI$505,"&lt;="&amp;$A224,実績!$AJ$6:$AJ$505,"&gt;"&amp;$A224,実績!$AK$6:$AK$505,"○")&gt;0,1,0))</f>
        <v>0</v>
      </c>
      <c r="F224" s="39" t="n">
        <f aca="false">IF(F$4=0,0,IF(COUNTIFS(実績!$W$6:$W$505,F$3,実績!$AI$6:$AI$505,"&lt;="&amp;$A224,実績!$AJ$6:$AJ$505,"&gt;"&amp;$A224,実績!$AK$6:$AK$505,"○")&gt;0,1,0))</f>
        <v>0</v>
      </c>
      <c r="G224" s="39" t="n">
        <f aca="false">IF(G$4=0,0,IF(COUNTIFS(実績!$W$6:$W$505,G$3,実績!$AI$6:$AI$505,"&lt;="&amp;$A224,実績!$AJ$6:$AJ$505,"&gt;"&amp;$A224,実績!$AK$6:$AK$505,"○")&gt;0,1,0))</f>
        <v>0</v>
      </c>
      <c r="H224" s="39" t="n">
        <f aca="false">IF(H$4=0,0,IF(COUNTIFS(実績!$W$6:$W$505,H$3,実績!$AI$6:$AI$505,"&lt;="&amp;$A224,実績!$AJ$6:$AJ$505,"&gt;"&amp;$A224,実績!$AK$6:$AK$505,"○")&gt;0,1,0))</f>
        <v>0</v>
      </c>
      <c r="I224" s="39" t="n">
        <f aca="false">IF(I$4=0,0,IF(COUNTIFS(実績!$W$6:$W$505,I$3,実績!$AI$6:$AI$505,"&lt;="&amp;$A224,実績!$AJ$6:$AJ$505,"&gt;"&amp;$A224,実績!$AK$6:$AK$505,"○")&gt;0,1,0))</f>
        <v>0</v>
      </c>
      <c r="J224" s="39" t="n">
        <f aca="false">IF(J$4=0,0,IF(COUNTIFS(実績!$W$6:$W$505,J$3,実績!$AI$6:$AI$505,"&lt;="&amp;$A224,実績!$AJ$6:$AJ$505,"&gt;"&amp;$A224,実績!$AK$6:$AK$505,"○")&gt;0,1,0))</f>
        <v>0</v>
      </c>
      <c r="K224" s="39" t="n">
        <f aca="false">IF(K$4=0,0,IF(COUNTIFS(実績!$W$6:$W$505,K$3,実績!$AI$6:$AI$505,"&lt;="&amp;$A224,実績!$AJ$6:$AJ$505,"&gt;"&amp;$A224,実績!$AK$6:$AK$505,"○")&gt;0,1,0))</f>
        <v>0</v>
      </c>
      <c r="L224" s="39" t="n">
        <f aca="false">IF(L$4=0,0,IF(COUNTIFS(実績!$W$6:$W$505,L$3,実績!$AI$6:$AI$505,"&lt;="&amp;$A224,実績!$AJ$6:$AJ$505,"&gt;"&amp;$A224,実績!$AK$6:$AK$505,"○")&gt;0,1,0))</f>
        <v>0</v>
      </c>
      <c r="M224" s="39" t="n">
        <f aca="false">IF(M$4=0,0,IF(COUNTIFS(実績!$W$6:$W$505,M$3,実績!$AI$6:$AI$505,"&lt;="&amp;$A224,実績!$AJ$6:$AJ$505,"&gt;"&amp;$A224,実績!$AK$6:$AK$505,"○")&gt;0,1,0))</f>
        <v>0</v>
      </c>
      <c r="N224" s="39" t="n">
        <f aca="false">IF(N$4=0,0,IF(COUNTIFS(実績!$W$6:$W$505,N$3,実績!$AI$6:$AI$505,"&lt;="&amp;$A224,実績!$AJ$6:$AJ$505,"&gt;"&amp;$A224,実績!$AK$6:$AK$505,"○")&gt;0,1,0))</f>
        <v>0</v>
      </c>
      <c r="O224" s="39" t="n">
        <f aca="false">IF(O$4=0,0,IF(COUNTIFS(実績!$W$6:$W$505,O$3,実績!$AI$6:$AI$505,"&lt;="&amp;$A224,実績!$AJ$6:$AJ$505,"&gt;"&amp;$A224,実績!$AK$6:$AK$505,"○")&gt;0,1,0))</f>
        <v>0</v>
      </c>
      <c r="P224" s="39" t="n">
        <f aca="false">IF(P$4=0,0,IF(COUNTIFS(実績!$W$6:$W$505,P$3,実績!$AI$6:$AI$505,"&lt;="&amp;$A224,実績!$AJ$6:$AJ$505,"&gt;"&amp;$A224,実績!$AK$6:$AK$505,"○")&gt;0,1,0))</f>
        <v>0</v>
      </c>
      <c r="Q224" s="39" t="n">
        <f aca="false">IF(Q$4=0,0,IF(COUNTIFS(実績!$W$6:$W$505,Q$3,実績!$AI$6:$AI$505,"&lt;="&amp;$A224,実績!$AJ$6:$AJ$505,"&gt;"&amp;$A224,実績!$AK$6:$AK$505,"○")&gt;0,1,0))</f>
        <v>0</v>
      </c>
      <c r="R224" s="39" t="n">
        <f aca="false">IF(R$4=0,0,IF(COUNTIFS(実績!$W$6:$W$505,R$3,実績!$AI$6:$AI$505,"&lt;="&amp;$A224,実績!$AJ$6:$AJ$505,"&gt;"&amp;$A224,実績!$AK$6:$AK$505,"○")&gt;0,1,0))</f>
        <v>0</v>
      </c>
      <c r="S224" s="39" t="n">
        <f aca="false">IF(S$4=0,0,IF(COUNTIFS(実績!$W$6:$W$505,S$3,実績!$AI$6:$AI$505,"&lt;="&amp;$A224,実績!$AJ$6:$AJ$505,"&gt;"&amp;$A224,実績!$AK$6:$AK$505,"○")&gt;0,1,0))</f>
        <v>0</v>
      </c>
      <c r="T224" s="39" t="n">
        <f aca="false">IF(T$4=0,0,IF(COUNTIFS(実績!$W$6:$W$505,T$3,実績!$AI$6:$AI$505,"&lt;="&amp;$A224,実績!$AJ$6:$AJ$505,"&gt;"&amp;$A224,実績!$AK$6:$AK$505,"○")&gt;0,1,0))</f>
        <v>0</v>
      </c>
      <c r="U224" s="39" t="n">
        <f aca="false">IF(U$4=0,0,IF(COUNTIFS(実績!$W$6:$W$505,U$3,実績!$AI$6:$AI$505,"&lt;="&amp;$A224,実績!$AJ$6:$AJ$505,"&gt;"&amp;$A224,実績!$AK$6:$AK$505,"○")&gt;0,1,0))</f>
        <v>0</v>
      </c>
      <c r="V224" s="39" t="n">
        <f aca="false">IF(V$4=0,0,IF(COUNTIFS(実績!$W$6:$W$505,V$3,実績!$AI$6:$AI$505,"&lt;="&amp;$A224,実績!$AJ$6:$AJ$505,"&gt;"&amp;$A224,実績!$AK$6:$AK$505,"○")&gt;0,1,0))</f>
        <v>0</v>
      </c>
      <c r="W224" s="39" t="n">
        <f aca="false">IF(W$4=0,0,IF(COUNTIFS(実績!$W$6:$W$505,W$3,実績!$AI$6:$AI$505,"&lt;="&amp;$A224,実績!$AJ$6:$AJ$505,"&gt;"&amp;$A224,実績!$AK$6:$AK$505,"○")&gt;0,1,0))</f>
        <v>0</v>
      </c>
      <c r="X224" s="39" t="n">
        <f aca="false">IF(X$4=0,0,IF(COUNTIFS(実績!$W$6:$W$505,X$3,実績!$AI$6:$AI$505,"&lt;="&amp;$A224,実績!$AJ$6:$AJ$505,"&gt;"&amp;$A224,実績!$AK$6:$AK$505,"○")&gt;0,1,0))</f>
        <v>0</v>
      </c>
      <c r="Y224" s="39" t="n">
        <f aca="false">IF(Y$4=0,0,IF(COUNTIFS(実績!$W$6:$W$505,Y$3,実績!$AI$6:$AI$505,"&lt;="&amp;$A224,実績!$AJ$6:$AJ$505,"&gt;"&amp;$A224,実績!$AK$6:$AK$505,"○")&gt;0,1,0))</f>
        <v>0</v>
      </c>
      <c r="Z224" s="39" t="n">
        <f aca="false">IF(Z$4=0,0,IF(COUNTIFS(実績!$W$6:$W$505,Z$3,実績!$AI$6:$AI$505,"&lt;="&amp;$A224,実績!$AJ$6:$AJ$505,"&gt;"&amp;$A224,実績!$AK$6:$AK$505,"○")&gt;0,1,0))</f>
        <v>0</v>
      </c>
      <c r="AA224" s="39" t="n">
        <f aca="false">IF(AA$4=0,0,IF(COUNTIFS(実績!$W$6:$W$505,AA$3,実績!$AI$6:$AI$505,"&lt;="&amp;$A224,実績!$AJ$6:$AJ$505,"&gt;"&amp;$A224,実績!$AK$6:$AK$505,"○")&gt;0,1,0))</f>
        <v>0</v>
      </c>
      <c r="AB224" s="39" t="n">
        <f aca="false">IF(AB$4=0,0,IF(COUNTIFS(実績!$W$6:$W$505,AB$3,実績!$AI$6:$AI$505,"&lt;="&amp;$A224,実績!$AJ$6:$AJ$505,"&gt;"&amp;$A224,実績!$AK$6:$AK$505,"○")&gt;0,1,0))</f>
        <v>0</v>
      </c>
      <c r="AC224" s="39" t="n">
        <f aca="false">IF(AC$4=0,0,IF(COUNTIFS(実績!$W$6:$W$505,AC$3,実績!$AI$6:$AI$505,"&lt;="&amp;$A224,実績!$AJ$6:$AJ$505,"&gt;"&amp;$A224,実績!$AK$6:$AK$505,"○")&gt;0,1,0))</f>
        <v>0</v>
      </c>
      <c r="AD224" s="39" t="n">
        <f aca="false">IF(AD$4=0,0,IF(COUNTIFS(実績!$W$6:$W$505,AD$3,実績!$AI$6:$AI$505,"&lt;="&amp;$A224,実績!$AJ$6:$AJ$505,"&gt;"&amp;$A224,実績!$AK$6:$AK$505,"○")&gt;0,1,0))</f>
        <v>0</v>
      </c>
      <c r="AE224" s="39" t="n">
        <f aca="false">IF(AE$4=0,0,IF(COUNTIFS(実績!$W$6:$W$505,AE$3,実績!$AI$6:$AI$505,"&lt;="&amp;$A224,実績!$AJ$6:$AJ$505,"&gt;"&amp;$A224,実績!$AK$6:$AK$505,"○")&gt;0,1,0))</f>
        <v>0</v>
      </c>
      <c r="AF224" s="39" t="n">
        <f aca="false">IF(AF$4=0,0,IF(COUNTIFS(実績!$W$6:$W$505,AF$3,実績!$AI$6:$AI$505,"&lt;="&amp;$A224,実績!$AJ$6:$AJ$505,"&gt;"&amp;$A224,実績!$AK$6:$AK$505,"○")&gt;0,1,0))</f>
        <v>0</v>
      </c>
      <c r="AG224" s="39" t="n">
        <f aca="false">IF(AG$4=0,0,IF(COUNTIFS(実績!$W$6:$W$505,AG$3,実績!$AI$6:$AI$505,"&lt;="&amp;$A224,実績!$AJ$6:$AJ$505,"&gt;"&amp;$A224,実績!$AK$6:$AK$505,"○")&gt;0,1,0))</f>
        <v>0</v>
      </c>
      <c r="AH224" s="39" t="n">
        <f aca="false">IF(AH$4=0,0,IF(COUNTIFS(実績!$W$6:$W$505,AH$3,実績!$AI$6:$AI$505,"&lt;="&amp;$A224,実績!$AJ$6:$AJ$505,"&gt;"&amp;$A224,実績!$AK$6:$AK$505,"○")&gt;0,1,0))</f>
        <v>0</v>
      </c>
      <c r="AI224" s="39" t="n">
        <f aca="false">IF(AI$4=0,0,IF(COUNTIFS(実績!$W$6:$W$505,AI$3,実績!$AI$6:$AI$505,"&lt;="&amp;$A224,実績!$AJ$6:$AJ$505,"&gt;"&amp;$A224,実績!$AK$6:$AK$505,"○")&gt;0,1,0))</f>
        <v>0</v>
      </c>
      <c r="AJ224" s="39" t="n">
        <f aca="false">IF(AJ$4=0,0,IF(COUNTIFS(実績!$W$6:$W$505,AJ$3,実績!$AI$6:$AI$505,"&lt;="&amp;$A224,実績!$AJ$6:$AJ$505,"&gt;"&amp;$A224,実績!$AK$6:$AK$505,"○")&gt;0,1,0))</f>
        <v>0</v>
      </c>
      <c r="AK224" s="39" t="n">
        <f aca="false">IF(AK$4=0,0,IF(COUNTIFS(実績!$W$6:$W$505,AK$3,実績!$AI$6:$AI$505,"&lt;="&amp;$A224,実績!$AJ$6:$AJ$505,"&gt;"&amp;$A224,実績!$AK$6:$AK$505,"○")&gt;0,1,0))</f>
        <v>0</v>
      </c>
      <c r="AL224" s="39" t="n">
        <f aca="false">IF(AL$4=0,0,IF(COUNTIFS(実績!$W$6:$W$505,AL$3,実績!$AI$6:$AI$505,"&lt;="&amp;$A224,実績!$AJ$6:$AJ$505,"&gt;"&amp;$A224,実績!$AK$6:$AK$505,"○")&gt;0,1,0))</f>
        <v>0</v>
      </c>
      <c r="AM224" s="39" t="n">
        <f aca="false">IF(AM$4=0,0,IF(COUNTIFS(実績!$W$6:$W$505,AM$3,実績!$AI$6:$AI$505,"&lt;="&amp;$A224,実績!$AJ$6:$AJ$505,"&gt;"&amp;$A224,実績!$AK$6:$AK$505,"○")&gt;0,1,0))</f>
        <v>0</v>
      </c>
      <c r="AN224" s="39" t="n">
        <f aca="false">IF(AN$4=0,0,IF(COUNTIFS(実績!$W$6:$W$505,AN$3,実績!$AI$6:$AI$505,"&lt;="&amp;$A224,実績!$AJ$6:$AJ$505,"&gt;"&amp;$A224,実績!$AK$6:$AK$505,"○")&gt;0,1,0))</f>
        <v>0</v>
      </c>
      <c r="AO224" s="39" t="n">
        <f aca="false">IF(AO$4=0,0,IF(COUNTIFS(実績!$W$6:$W$505,AO$3,実績!$AI$6:$AI$505,"&lt;="&amp;$A224,実績!$AJ$6:$AJ$505,"&gt;"&amp;$A224,実績!$AK$6:$AK$505,"○")&gt;0,1,0))</f>
        <v>0</v>
      </c>
      <c r="AP224" s="39" t="n">
        <f aca="false">IF(AP$4=0,0,IF(COUNTIFS(実績!$W$6:$W$505,AP$3,実績!$AI$6:$AI$505,"&lt;="&amp;$A224,実績!$AJ$6:$AJ$505,"&gt;"&amp;$A224,実績!$AK$6:$AK$505,"○")&gt;0,1,0))</f>
        <v>0</v>
      </c>
      <c r="AQ224" s="39" t="n">
        <f aca="false">IF(AQ$4=0,0,IF(COUNTIFS(実績!$W$6:$W$505,AQ$3,実績!$AI$6:$AI$505,"&lt;="&amp;$A224,実績!$AJ$6:$AJ$505,"&gt;"&amp;$A224,実績!$AK$6:$AK$505,"○")&gt;0,1,0))</f>
        <v>0</v>
      </c>
      <c r="AR224" s="39" t="n">
        <f aca="false">IF(AR$4=0,0,IF(COUNTIFS(実績!$W$6:$W$505,AR$3,実績!$AI$6:$AI$505,"&lt;="&amp;$A224,実績!$AJ$6:$AJ$505,"&gt;"&amp;$A224,実績!$AK$6:$AK$505,"○")&gt;0,1,0))</f>
        <v>0</v>
      </c>
      <c r="AS224" s="39" t="n">
        <f aca="false">IF(AS$4=0,0,IF(COUNTIFS(実績!$W$6:$W$505,AS$3,実績!$AI$6:$AI$505,"&lt;="&amp;$A224,実績!$AJ$6:$AJ$505,"&gt;"&amp;$A224,実績!$AK$6:$AK$505,"○")&gt;0,1,0))</f>
        <v>0</v>
      </c>
      <c r="AT224" s="39" t="n">
        <f aca="false">IF(AT$4=0,0,IF(COUNTIFS(実績!$W$6:$W$505,AT$3,実績!$AI$6:$AI$505,"&lt;="&amp;$A224,実績!$AJ$6:$AJ$505,"&gt;"&amp;$A224,実績!$AK$6:$AK$505,"○")&gt;0,1,0))</f>
        <v>0</v>
      </c>
      <c r="AU224" s="39" t="n">
        <f aca="false">IF(AU$4=0,0,IF(COUNTIFS(実績!$W$6:$W$505,AU$3,実績!$AI$6:$AI$505,"&lt;="&amp;$A224,実績!$AJ$6:$AJ$505,"&gt;"&amp;$A224,実績!$AK$6:$AK$505,"○")&gt;0,1,0))</f>
        <v>0</v>
      </c>
      <c r="AV224" s="39" t="n">
        <f aca="false">IF(AV$4=0,0,IF(COUNTIFS(実績!$W$6:$W$505,AV$3,実績!$AI$6:$AI$505,"&lt;="&amp;$A224,実績!$AJ$6:$AJ$505,"&gt;"&amp;$A224,実績!$AK$6:$AK$505,"○")&gt;0,1,0))</f>
        <v>0</v>
      </c>
      <c r="AW224" s="39" t="n">
        <f aca="false">IF(AW$4=0,0,IF(COUNTIFS(実績!$W$6:$W$505,AW$3,実績!$AI$6:$AI$505,"&lt;="&amp;$A224,実績!$AJ$6:$AJ$505,"&gt;"&amp;$A224,実績!$AK$6:$AK$505,"○")&gt;0,1,0))</f>
        <v>0</v>
      </c>
      <c r="AX224" s="39" t="n">
        <f aca="false">IF(AX$4=0,0,IF(COUNTIFS(実績!$W$6:$W$505,AX$3,実績!$AI$6:$AI$505,"&lt;="&amp;$A224,実績!$AJ$6:$AJ$505,"&gt;"&amp;$A224,実績!$AK$6:$AK$505,"○")&gt;0,1,0))</f>
        <v>0</v>
      </c>
      <c r="AY224" s="39" t="n">
        <f aca="false">IF(AY$4=0,0,IF(COUNTIFS(実績!$W$6:$W$505,AY$3,実績!$AI$6:$AI$505,"&lt;="&amp;$A224,実績!$AJ$6:$AJ$505,"&gt;"&amp;$A224,実績!$AK$6:$AK$505,"○")&gt;0,1,0))</f>
        <v>0</v>
      </c>
      <c r="AZ224" s="39" t="n">
        <f aca="false">IF(AZ$4=0,0,IF(COUNTIFS(実績!$W$6:$W$505,AZ$3,実績!$AI$6:$AI$505,"&lt;="&amp;$A224,実績!$AJ$6:$AJ$505,"&gt;"&amp;$A224,実績!$AK$6:$AK$505,"○")&gt;0,1,0))</f>
        <v>0</v>
      </c>
      <c r="BA224" s="39" t="n">
        <f aca="false">IF(BA$4=0,0,IF(COUNTIFS(実績!$W$6:$W$505,BA$3,実績!$AI$6:$AI$505,"&lt;="&amp;$A224,実績!$AJ$6:$AJ$505,"&gt;"&amp;$A224,実績!$AK$6:$AK$505,"○")&gt;0,1,0))</f>
        <v>0</v>
      </c>
      <c r="BB224" s="39" t="n">
        <f aca="false">IF(BB$4=0,0,IF(COUNTIFS(実績!$W$6:$W$505,BB$3,実績!$AI$6:$AI$505,"&lt;="&amp;$A224,実績!$AJ$6:$AJ$505,"&gt;"&amp;$A224,実績!$AK$6:$AK$505,"○")&gt;0,1,0))</f>
        <v>0</v>
      </c>
      <c r="BC224" s="39" t="n">
        <f aca="false">IF(BC$4=0,0,IF(COUNTIFS(実績!$W$6:$W$505,BC$3,実績!$AI$6:$AI$505,"&lt;="&amp;$A224,実績!$AJ$6:$AJ$505,"&gt;"&amp;$A224,実績!$AK$6:$AK$505,"○")&gt;0,1,0))</f>
        <v>0</v>
      </c>
      <c r="BD224" s="39" t="n">
        <f aca="false">IF(BD$4=0,0,IF(COUNTIFS(実績!$W$6:$W$505,BD$3,実績!$AI$6:$AI$505,"&lt;="&amp;$A224,実績!$AJ$6:$AJ$505,"&gt;"&amp;$A224,実績!$AK$6:$AK$505,"○")&gt;0,1,0))</f>
        <v>0</v>
      </c>
      <c r="BE224" s="39" t="n">
        <f aca="false">IF(BE$4=0,0,IF(COUNTIFS(実績!$W$6:$W$505,BE$3,実績!$AI$6:$AI$505,"&lt;="&amp;$A224,実績!$AJ$6:$AJ$505,"&gt;"&amp;$A224,実績!$AK$6:$AK$505,"○")&gt;0,1,0))</f>
        <v>0</v>
      </c>
      <c r="BF224" s="39" t="n">
        <f aca="false">IF(BF$4=0,0,IF(COUNTIFS(実績!$W$6:$W$505,BF$3,実績!$AI$6:$AI$505,"&lt;="&amp;$A224,実績!$AJ$6:$AJ$505,"&gt;"&amp;$A224,実績!$AK$6:$AK$505,"○")&gt;0,1,0))</f>
        <v>0</v>
      </c>
      <c r="BG224" s="39" t="n">
        <f aca="false">IF(BG$4=0,0,IF(COUNTIFS(実績!$W$6:$W$505,BG$3,実績!$AI$6:$AI$505,"&lt;="&amp;$A224,実績!$AJ$6:$AJ$505,"&gt;"&amp;$A224,実績!$AK$6:$AK$505,"○")&gt;0,1,0))</f>
        <v>0</v>
      </c>
      <c r="BH224" s="39" t="n">
        <f aca="false">IF(BH$4=0,0,IF(COUNTIFS(実績!$W$6:$W$505,BH$3,実績!$AI$6:$AI$505,"&lt;="&amp;$A224,実績!$AJ$6:$AJ$505,"&gt;"&amp;$A224,実績!$AK$6:$AK$505,"○")&gt;0,1,0))</f>
        <v>0</v>
      </c>
      <c r="BI224" s="39" t="n">
        <f aca="false">IF(BI$4=0,0,IF(COUNTIFS(実績!$W$6:$W$505,BI$3,実績!$AI$6:$AI$505,"&lt;="&amp;$A224,実績!$AJ$6:$AJ$505,"&gt;"&amp;$A224,実績!$AK$6:$AK$505,"○")&gt;0,1,0))</f>
        <v>0</v>
      </c>
      <c r="BJ224" s="39" t="n">
        <f aca="false">IF(BJ$4=0,0,IF(COUNTIFS(実績!$W$6:$W$505,BJ$3,実績!$AI$6:$AI$505,"&lt;="&amp;$A224,実績!$AJ$6:$AJ$505,"&gt;"&amp;$A224,実績!$AK$6:$AK$505,"○")&gt;0,1,0))</f>
        <v>0</v>
      </c>
      <c r="BK224" s="39" t="n">
        <f aca="false">IF(BK$4=0,0,IF(COUNTIFS(実績!$W$6:$W$505,BK$3,実績!$AI$6:$AI$505,"&lt;="&amp;$A224,実績!$AJ$6:$AJ$505,"&gt;"&amp;$A224,実績!$AK$6:$AK$505,"○")&gt;0,1,0))</f>
        <v>0</v>
      </c>
      <c r="BL224" s="39" t="n">
        <f aca="false">IF(BL$4=0,0,IF(COUNTIFS(実績!$W$6:$W$505,BL$3,実績!$AI$6:$AI$505,"&lt;="&amp;$A224,実績!$AJ$6:$AJ$505,"&gt;"&amp;$A224,実績!$AK$6:$AK$505,"○")&gt;0,1,0))</f>
        <v>0</v>
      </c>
      <c r="BM224" s="39" t="n">
        <f aca="false">IF(BM$4=0,0,IF(COUNTIFS(実績!$W$6:$W$505,BM$3,実績!$AI$6:$AI$505,"&lt;="&amp;$A224,実績!$AJ$6:$AJ$505,"&gt;"&amp;$A224,実績!$AK$6:$AK$505,"○")&gt;0,1,0))</f>
        <v>0</v>
      </c>
      <c r="BN224" s="39" t="n">
        <f aca="false">IF(BN$4=0,0,IF(COUNTIFS(実績!$W$6:$W$505,BN$3,実績!$AI$6:$AI$505,"&lt;="&amp;$A224,実績!$AJ$6:$AJ$505,"&gt;"&amp;$A224,実績!$AK$6:$AK$505,"○")&gt;0,1,0))</f>
        <v>0</v>
      </c>
      <c r="BO224" s="39" t="n">
        <f aca="false">IF(BO$4=0,0,IF(COUNTIFS(実績!$W$6:$W$505,BO$3,実績!$AI$6:$AI$505,"&lt;="&amp;$A224,実績!$AJ$6:$AJ$505,"&gt;"&amp;$A224,実績!$AK$6:$AK$505,"○")&gt;0,1,0))</f>
        <v>0</v>
      </c>
      <c r="BP224" s="39" t="n">
        <f aca="false">IF(BP$4=0,0,IF(COUNTIFS(実績!$W$6:$W$505,BP$3,実績!$AI$6:$AI$505,"&lt;="&amp;$A224,実績!$AJ$6:$AJ$505,"&gt;"&amp;$A224,実績!$AK$6:$AK$505,"○")&gt;0,1,0))</f>
        <v>0</v>
      </c>
      <c r="BQ224" s="39" t="n">
        <f aca="false">IF(BQ$4=0,0,IF(COUNTIFS(実績!$W$6:$W$505,BQ$3,実績!$AI$6:$AI$505,"&lt;="&amp;$A224,実績!$AJ$6:$AJ$505,"&gt;"&amp;$A224,実績!$AK$6:$AK$505,"○")&gt;0,1,0))</f>
        <v>0</v>
      </c>
      <c r="BR224" s="39" t="n">
        <f aca="false">IF(BR$4=0,0,IF(COUNTIFS(実績!$W$6:$W$505,BR$3,実績!$AI$6:$AI$505,"&lt;="&amp;$A224,実績!$AJ$6:$AJ$505,"&gt;"&amp;$A224,実績!$AK$6:$AK$505,"○")&gt;0,1,0))</f>
        <v>0</v>
      </c>
      <c r="BS224" s="39" t="n">
        <f aca="false">IF(BS$4=0,0,IF(COUNTIFS(実績!$W$6:$W$505,BS$3,実績!$AI$6:$AI$505,"&lt;="&amp;$A224,実績!$AJ$6:$AJ$505,"&gt;"&amp;$A224,実績!$AK$6:$AK$505,"○")&gt;0,1,0))</f>
        <v>0</v>
      </c>
      <c r="BT224" s="39" t="n">
        <f aca="false">IF(BT$4=0,0,IF(COUNTIFS(実績!$W$6:$W$505,BT$3,実績!$AI$6:$AI$505,"&lt;="&amp;$A224,実績!$AJ$6:$AJ$505,"&gt;"&amp;$A224,実績!$AK$6:$AK$505,"○")&gt;0,1,0))</f>
        <v>0</v>
      </c>
      <c r="BU224" s="39" t="n">
        <f aca="false">IF(BU$4=0,0,IF(COUNTIFS(実績!$W$6:$W$505,BU$3,実績!$AI$6:$AI$505,"&lt;="&amp;$A224,実績!$AJ$6:$AJ$505,"&gt;"&amp;$A224,実績!$AK$6:$AK$505,"○")&gt;0,1,0))</f>
        <v>0</v>
      </c>
      <c r="BV224" s="39" t="n">
        <f aca="false">IF(BV$4=0,0,IF(COUNTIFS(実績!$W$6:$W$505,BV$3,実績!$AI$6:$AI$505,"&lt;="&amp;$A224,実績!$AJ$6:$AJ$505,"&gt;"&amp;$A224,実績!$AK$6:$AK$505,"○")&gt;0,1,0))</f>
        <v>0</v>
      </c>
      <c r="BW224" s="39" t="n">
        <f aca="false">IF(BW$4=0,0,IF(COUNTIFS(実績!$W$6:$W$505,BW$3,実績!$AI$6:$AI$505,"&lt;="&amp;$A224,実績!$AJ$6:$AJ$505,"&gt;"&amp;$A224,実績!$AK$6:$AK$505,"○")&gt;0,1,0))</f>
        <v>0</v>
      </c>
      <c r="BX224" s="39" t="n">
        <f aca="false">IF(BX$4=0,0,IF(COUNTIFS(実績!$W$6:$W$505,BX$3,実績!$AI$6:$AI$505,"&lt;="&amp;$A224,実績!$AJ$6:$AJ$505,"&gt;"&amp;$A224,実績!$AK$6:$AK$505,"○")&gt;0,1,0))</f>
        <v>0</v>
      </c>
      <c r="BY224" s="39" t="n">
        <f aca="false">IF(BY$4=0,0,IF(COUNTIFS(実績!$W$6:$W$505,BY$3,実績!$AI$6:$AI$505,"&lt;="&amp;$A224,実績!$AJ$6:$AJ$505,"&gt;"&amp;$A224,実績!$AK$6:$AK$505,"○")&gt;0,1,0))</f>
        <v>0</v>
      </c>
      <c r="BZ224" s="39" t="n">
        <f aca="false">IF(BZ$4=0,0,IF(COUNTIFS(実績!$W$6:$W$505,BZ$3,実績!$AI$6:$AI$505,"&lt;="&amp;$A224,実績!$AJ$6:$AJ$505,"&gt;"&amp;$A224,実績!$AK$6:$AK$505,"○")&gt;0,1,0))</f>
        <v>0</v>
      </c>
      <c r="CA224" s="39" t="n">
        <f aca="false">IF(CA$4=0,0,IF(COUNTIFS(実績!$W$6:$W$505,CA$3,実績!$AI$6:$AI$505,"&lt;="&amp;$A224,実績!$AJ$6:$AJ$505,"&gt;"&amp;$A224,実績!$AK$6:$AK$505,"○")&gt;0,1,0))</f>
        <v>0</v>
      </c>
      <c r="CB224" s="39" t="n">
        <f aca="false">IF(CB$4=0,0,IF(COUNTIFS(実績!$W$6:$W$505,CB$3,実績!$AI$6:$AI$505,"&lt;="&amp;$A224,実績!$AJ$6:$AJ$505,"&gt;"&amp;$A224,実績!$AK$6:$AK$505,"○")&gt;0,1,0))</f>
        <v>0</v>
      </c>
      <c r="CC224" s="39" t="n">
        <f aca="false">IF(CC$4=0,0,IF(COUNTIFS(実績!$W$6:$W$505,CC$3,実績!$AI$6:$AI$505,"&lt;="&amp;$A224,実績!$AJ$6:$AJ$505,"&gt;"&amp;$A224,実績!$AK$6:$AK$505,"○")&gt;0,1,0))</f>
        <v>0</v>
      </c>
      <c r="CD224" s="39" t="n">
        <f aca="false">IF(CD$4=0,0,IF(COUNTIFS(実績!$W$6:$W$505,CD$3,実績!$AI$6:$AI$505,"&lt;="&amp;$A224,実績!$AJ$6:$AJ$505,"&gt;"&amp;$A224,実績!$AK$6:$AK$505,"○")&gt;0,1,0))</f>
        <v>0</v>
      </c>
      <c r="CE224" s="39" t="n">
        <f aca="false">IF(CE$4=0,0,IF(COUNTIFS(実績!$W$6:$W$505,CE$3,実績!$AI$6:$AI$505,"&lt;="&amp;$A224,実績!$AJ$6:$AJ$505,"&gt;"&amp;$A224,実績!$AK$6:$AK$505,"○")&gt;0,1,0))</f>
        <v>0</v>
      </c>
      <c r="CF224" s="39" t="n">
        <f aca="false">IF(CF$4=0,0,IF(COUNTIFS(実績!$W$6:$W$505,CF$3,実績!$AI$6:$AI$505,"&lt;="&amp;$A224,実績!$AJ$6:$AJ$505,"&gt;"&amp;$A224,実績!$AK$6:$AK$505,"○")&gt;0,1,0))</f>
        <v>0</v>
      </c>
      <c r="CG224" s="39" t="n">
        <f aca="false">IF(CG$4=0,0,IF(COUNTIFS(実績!$W$6:$W$505,CG$3,実績!$AI$6:$AI$505,"&lt;="&amp;$A224,実績!$AJ$6:$AJ$505,"&gt;"&amp;$A224,実績!$AK$6:$AK$505,"○")&gt;0,1,0))</f>
        <v>0</v>
      </c>
      <c r="CH224" s="39" t="n">
        <f aca="false">IF(CH$4=0,0,IF(COUNTIFS(実績!$W$6:$W$505,CH$3,実績!$AI$6:$AI$505,"&lt;="&amp;$A224,実績!$AJ$6:$AJ$505,"&gt;"&amp;$A224,実績!$AK$6:$AK$505,"○")&gt;0,1,0))</f>
        <v>0</v>
      </c>
      <c r="CI224" s="39" t="n">
        <f aca="false">IF(CI$4=0,0,IF(COUNTIFS(実績!$W$6:$W$505,CI$3,実績!$AI$6:$AI$505,"&lt;="&amp;$A224,実績!$AJ$6:$AJ$505,"&gt;"&amp;$A224,実績!$AK$6:$AK$505,"○")&gt;0,1,0))</f>
        <v>0</v>
      </c>
      <c r="CJ224" s="39" t="n">
        <f aca="false">IF(CJ$4=0,0,IF(COUNTIFS(実績!$W$6:$W$505,CJ$3,実績!$AI$6:$AI$505,"&lt;="&amp;$A224,実績!$AJ$6:$AJ$505,"&gt;"&amp;$A224,実績!$AK$6:$AK$505,"○")&gt;0,1,0))</f>
        <v>0</v>
      </c>
      <c r="CK224" s="39" t="n">
        <f aca="false">IF(CK$4=0,0,IF(COUNTIFS(実績!$W$6:$W$505,CK$3,実績!$AI$6:$AI$505,"&lt;="&amp;$A224,実績!$AJ$6:$AJ$505,"&gt;"&amp;$A224,実績!$AK$6:$AK$505,"○")&gt;0,1,0))</f>
        <v>0</v>
      </c>
      <c r="CL224" s="39" t="n">
        <f aca="false">IF(CL$4=0,0,IF(COUNTIFS(実績!$W$6:$W$505,CL$3,実績!$AI$6:$AI$505,"&lt;="&amp;$A224,実績!$AJ$6:$AJ$505,"&gt;"&amp;$A224,実績!$AK$6:$AK$505,"○")&gt;0,1,0))</f>
        <v>0</v>
      </c>
      <c r="CM224" s="39" t="n">
        <f aca="false">IF(CM$4=0,0,IF(COUNTIFS(実績!$W$6:$W$505,CM$3,実績!$AI$6:$AI$505,"&lt;="&amp;$A224,実績!$AJ$6:$AJ$505,"&gt;"&amp;$A224,実績!$AK$6:$AK$505,"○")&gt;0,1,0))</f>
        <v>0</v>
      </c>
      <c r="CN224" s="39" t="n">
        <f aca="false">IF(CN$4=0,0,IF(COUNTIFS(実績!$W$6:$W$505,CN$3,実績!$AI$6:$AI$505,"&lt;="&amp;$A224,実績!$AJ$6:$AJ$505,"&gt;"&amp;$A224,実績!$AK$6:$AK$505,"○")&gt;0,1,0))</f>
        <v>0</v>
      </c>
      <c r="CO224" s="39" t="n">
        <f aca="false">IF(CO$4=0,0,IF(COUNTIFS(実績!$W$6:$W$505,CO$3,実績!$AI$6:$AI$505,"&lt;="&amp;$A224,実績!$AJ$6:$AJ$505,"&gt;"&amp;$A224,実績!$AK$6:$AK$505,"○")&gt;0,1,0))</f>
        <v>0</v>
      </c>
      <c r="CP224" s="39" t="n">
        <f aca="false">IF(CP$4=0,0,IF(COUNTIFS(実績!$W$6:$W$505,CP$3,実績!$AI$6:$AI$505,"&lt;="&amp;$A224,実績!$AJ$6:$AJ$505,"&gt;"&amp;$A224,実績!$AK$6:$AK$505,"○")&gt;0,1,0))</f>
        <v>0</v>
      </c>
      <c r="CQ224" s="39" t="n">
        <f aca="false">IF(CQ$4=0,0,IF(COUNTIFS(実績!$W$6:$W$505,CQ$3,実績!$AI$6:$AI$505,"&lt;="&amp;$A224,実績!$AJ$6:$AJ$505,"&gt;"&amp;$A224,実績!$AK$6:$AK$505,"○")&gt;0,1,0))</f>
        <v>0</v>
      </c>
      <c r="CR224" s="39" t="n">
        <f aca="false">IF(CR$4=0,0,IF(COUNTIFS(実績!$W$6:$W$505,CR$3,実績!$AI$6:$AI$505,"&lt;="&amp;$A224,実績!$AJ$6:$AJ$505,"&gt;"&amp;$A224,実績!$AK$6:$AK$505,"○")&gt;0,1,0))</f>
        <v>0</v>
      </c>
      <c r="CS224" s="39" t="n">
        <f aca="false">IF(CS$4=0,0,IF(COUNTIFS(実績!$W$6:$W$505,CS$3,実績!$AI$6:$AI$505,"&lt;="&amp;$A224,実績!$AJ$6:$AJ$505,"&gt;"&amp;$A224,実績!$AK$6:$AK$505,"○")&gt;0,1,0))</f>
        <v>0</v>
      </c>
      <c r="CT224" s="39" t="n">
        <f aca="false">IF(CT$4=0,0,IF(COUNTIFS(実績!$W$6:$W$505,CT$3,実績!$AI$6:$AI$505,"&lt;="&amp;$A224,実績!$AJ$6:$AJ$505,"&gt;"&amp;$A224,実績!$AK$6:$AK$505,"○")&gt;0,1,0))</f>
        <v>0</v>
      </c>
      <c r="CU224" s="39" t="n">
        <f aca="false">IF(CU$4=0,0,IF(COUNTIFS(実績!$W$6:$W$505,CU$3,実績!$AI$6:$AI$505,"&lt;="&amp;$A224,実績!$AJ$6:$AJ$505,"&gt;"&amp;$A224,実績!$AK$6:$AK$505,"○")&gt;0,1,0))</f>
        <v>0</v>
      </c>
      <c r="CV224" s="39" t="n">
        <f aca="false">IF(CV$4=0,0,IF(COUNTIFS(実績!$W$6:$W$505,CV$3,実績!$AI$6:$AI$505,"&lt;="&amp;$A224,実績!$AJ$6:$AJ$505,"&gt;"&amp;$A224,実績!$AK$6:$AK$505,"○")&gt;0,1,0))</f>
        <v>0</v>
      </c>
      <c r="CW224" s="39" t="n">
        <f aca="false">IF(CW$4=0,0,IF(COUNTIFS(実績!$W$6:$W$505,CW$3,実績!$AI$6:$AI$505,"&lt;="&amp;$A224,実績!$AJ$6:$AJ$505,"&gt;"&amp;$A224,実績!$AK$6:$AK$505,"○")&gt;0,1,0))</f>
        <v>0</v>
      </c>
      <c r="CX224" s="39" t="n">
        <f aca="false">IF(CX$4=0,0,IF(COUNTIFS(実績!$W$6:$W$505,CX$3,実績!$AI$6:$AI$505,"&lt;="&amp;$A224,実績!$AJ$6:$AJ$505,"&gt;"&amp;$A224,実績!$AK$6:$AK$505,"○")&gt;0,1,0))</f>
        <v>0</v>
      </c>
      <c r="CY224" s="39" t="n">
        <f aca="false">IF(CY$4=0,0,IF(COUNTIFS(実績!$W$6:$W$505,CY$3,実績!$AI$6:$AI$505,"&lt;="&amp;$A224,実績!$AJ$6:$AJ$505,"&gt;"&amp;$A224,実績!$AK$6:$AK$505,"○")&gt;0,1,0))</f>
        <v>0</v>
      </c>
      <c r="CZ224" s="39" t="n">
        <f aca="false">IF(CZ$4=0,0,IF(COUNTIFS(実績!$W$6:$W$505,CZ$3,実績!$AI$6:$AI$505,"&lt;="&amp;$A224,実績!$AJ$6:$AJ$505,"&gt;"&amp;$A224,実績!$AK$6:$AK$505,"○")&gt;0,1,0))</f>
        <v>0</v>
      </c>
      <c r="DA224" s="39" t="n">
        <f aca="false">IF(DA$4=0,0,IF(COUNTIFS(実績!$W$6:$W$505,DA$3,実績!$AI$6:$AI$505,"&lt;="&amp;$A224,実績!$AJ$6:$AJ$505,"&gt;"&amp;$A224,実績!$AK$6:$AK$505,"○")&gt;0,1,0))</f>
        <v>0</v>
      </c>
      <c r="DB224" s="39" t="n">
        <f aca="false">IF(DB$4=0,0,IF(COUNTIFS(実績!$W$6:$W$505,DB$3,実績!$AI$6:$AI$505,"&lt;="&amp;$A224,実績!$AJ$6:$AJ$505,"&gt;"&amp;$A224,実績!$AK$6:$AK$505,"○")&gt;0,1,0))</f>
        <v>0</v>
      </c>
      <c r="DC224" s="39" t="n">
        <f aca="false">IF(DC$4=0,0,IF(COUNTIFS(実績!$W$6:$W$505,DC$3,実績!$AI$6:$AI$505,"&lt;="&amp;$A224,実績!$AJ$6:$AJ$505,"&gt;"&amp;$A224,実績!$AK$6:$AK$505,"○")&gt;0,1,0))</f>
        <v>0</v>
      </c>
      <c r="DD224" s="39" t="n">
        <f aca="false">IF(DD$4=0,0,IF(COUNTIFS(実績!$W$6:$W$505,DD$3,実績!$AI$6:$AI$505,"&lt;="&amp;$A224,実績!$AJ$6:$AJ$505,"&gt;"&amp;$A224,実績!$AK$6:$AK$505,"○")&gt;0,1,0))</f>
        <v>0</v>
      </c>
      <c r="DE224" s="39" t="n">
        <f aca="false">IF(DE$4=0,0,IF(COUNTIFS(実績!$W$6:$W$505,DE$3,実績!$AI$6:$AI$505,"&lt;="&amp;$A224,実績!$AJ$6:$AJ$505,"&gt;"&amp;$A224,実績!$AK$6:$AK$505,"○")&gt;0,1,0))</f>
        <v>0</v>
      </c>
      <c r="DF224" s="39" t="n">
        <f aca="false">IF(DF$4=0,0,IF(COUNTIFS(実績!$W$6:$W$505,DF$3,実績!$AI$6:$AI$505,"&lt;="&amp;$A224,実績!$AJ$6:$AJ$505,"&gt;"&amp;$A224,実績!$AK$6:$AK$505,"○")&gt;0,1,0))</f>
        <v>0</v>
      </c>
      <c r="DG224" s="39" t="n">
        <f aca="false">IF(DG$4=0,0,IF(COUNTIFS(実績!$W$6:$W$505,DG$3,実績!$AI$6:$AI$505,"&lt;="&amp;$A224,実績!$AJ$6:$AJ$505,"&gt;"&amp;$A224,実績!$AK$6:$AK$505,"○")&gt;0,1,0))</f>
        <v>0</v>
      </c>
      <c r="DH224" s="39" t="n">
        <f aca="false">IF(DH$4=0,0,IF(COUNTIFS(実績!$W$6:$W$505,DH$3,実績!$AI$6:$AI$505,"&lt;="&amp;$A224,実績!$AJ$6:$AJ$505,"&gt;"&amp;$A224,実績!$AK$6:$AK$505,"○")&gt;0,1,0))</f>
        <v>0</v>
      </c>
      <c r="DI224" s="39" t="n">
        <f aca="false">IF(DI$4=0,0,IF(COUNTIFS(実績!$W$6:$W$505,DI$3,実績!$AI$6:$AI$505,"&lt;="&amp;$A224,実績!$AJ$6:$AJ$505,"&gt;"&amp;$A224,実績!$AK$6:$AK$505,"○")&gt;0,1,0))</f>
        <v>0</v>
      </c>
      <c r="DJ224" s="39" t="n">
        <f aca="false">IF(DJ$4=0,0,IF(COUNTIFS(実績!$W$6:$W$505,DJ$3,実績!$AI$6:$AI$505,"&lt;="&amp;$A224,実績!$AJ$6:$AJ$505,"&gt;"&amp;$A224,実績!$AK$6:$AK$505,"○")&gt;0,1,0))</f>
        <v>0</v>
      </c>
      <c r="DK224" s="39" t="n">
        <f aca="false">IF(DK$4=0,0,IF(COUNTIFS(実績!$W$6:$W$505,DK$3,実績!$AI$6:$AI$505,"&lt;="&amp;$A224,実績!$AJ$6:$AJ$505,"&gt;"&amp;$A224,実績!$AK$6:$AK$505,"○")&gt;0,1,0))</f>
        <v>0</v>
      </c>
      <c r="DL224" s="39" t="n">
        <f aca="false">IF(DL$4=0,0,IF(COUNTIFS(実績!$W$6:$W$505,DL$3,実績!$AI$6:$AI$505,"&lt;="&amp;$A224,実績!$AJ$6:$AJ$505,"&gt;"&amp;$A224,実績!$AK$6:$AK$505,"○")&gt;0,1,0))</f>
        <v>0</v>
      </c>
      <c r="DM224" s="39" t="n">
        <f aca="false">IF(DM$4=0,0,IF(COUNTIFS(実績!$W$6:$W$505,DM$3,実績!$AI$6:$AI$505,"&lt;="&amp;$A224,実績!$AJ$6:$AJ$505,"&gt;"&amp;$A224,実績!$AK$6:$AK$505,"○")&gt;0,1,0))</f>
        <v>0</v>
      </c>
      <c r="DN224" s="39" t="n">
        <f aca="false">IF(DN$4=0,0,IF(COUNTIFS(実績!$W$6:$W$505,DN$3,実績!$AI$6:$AI$505,"&lt;="&amp;$A224,実績!$AJ$6:$AJ$505,"&gt;"&amp;$A224,実績!$AK$6:$AK$505,"○")&gt;0,1,0))</f>
        <v>0</v>
      </c>
      <c r="DO224" s="39" t="n">
        <f aca="false">IF(DO$4=0,0,IF(COUNTIFS(実績!$W$6:$W$505,DO$3,実績!$AI$6:$AI$505,"&lt;="&amp;$A224,実績!$AJ$6:$AJ$505,"&gt;"&amp;$A224,実績!$AK$6:$AK$505,"○")&gt;0,1,0))</f>
        <v>0</v>
      </c>
      <c r="DP224" s="39" t="n">
        <f aca="false">IF(DP$4=0,0,IF(COUNTIFS(実績!$W$6:$W$505,DP$3,実績!$AI$6:$AI$505,"&lt;="&amp;$A224,実績!$AJ$6:$AJ$505,"&gt;"&amp;$A224,実績!$AK$6:$AK$505,"○")&gt;0,1,0))</f>
        <v>0</v>
      </c>
      <c r="DQ224" s="39" t="n">
        <f aca="false">IF(DQ$4=0,0,IF(COUNTIFS(実績!$W$6:$W$505,DQ$3,実績!$AI$6:$AI$505,"&lt;="&amp;$A224,実績!$AJ$6:$AJ$505,"&gt;"&amp;$A224,実績!$AK$6:$AK$505,"○")&gt;0,1,0))</f>
        <v>0</v>
      </c>
      <c r="DR224" s="39" t="n">
        <f aca="false">IF(DR$4=0,0,IF(COUNTIFS(実績!$W$6:$W$505,DR$3,実績!$AI$6:$AI$505,"&lt;="&amp;$A224,実績!$AJ$6:$AJ$505,"&gt;"&amp;$A224,実績!$AK$6:$AK$505,"○")&gt;0,1,0))</f>
        <v>0</v>
      </c>
      <c r="DS224" s="39" t="n">
        <f aca="false">SUM(C224:DR224)</f>
        <v>0</v>
      </c>
      <c r="DT224" s="39" t="n">
        <f aca="false">SUMPRODUCT((実績!$C$6:$C$505="○")*ISNUMBER(実績!$AM$6:$AM$505)*(実績!$AM$6:$AM$505&lt;=$A224)*(実績!$AN$6:$AN$505&gt;$A224))</f>
        <v>0</v>
      </c>
      <c r="DU224" s="39" t="n">
        <f aca="false">SUMIF($C$2:$DR$2,"製鉄曳船",C224:DR224)</f>
        <v>0</v>
      </c>
      <c r="DV224" s="39" t="n">
        <f aca="false">SUMIF($C$2:$DR$2,"西日本海運",C224:DR224)</f>
        <v>0</v>
      </c>
    </row>
    <row r="225" customFormat="false" ht="15" hidden="false" customHeight="false" outlineLevel="0" collapsed="false">
      <c r="A225" s="0" t="n">
        <v>1095</v>
      </c>
      <c r="B225" s="38" t="n">
        <f aca="false">A225/1440</f>
        <v>0.760416666666667</v>
      </c>
      <c r="C225" s="39" t="n">
        <f aca="false">IF(C$4=0,0,IF(COUNTIFS(実績!$W$6:$W$505,C$3,実績!$AI$6:$AI$505,"&lt;="&amp;$A225,実績!$AJ$6:$AJ$505,"&gt;"&amp;$A225,実績!$AK$6:$AK$505,"○")&gt;0,1,0))</f>
        <v>0</v>
      </c>
      <c r="D225" s="39" t="n">
        <f aca="false">IF(D$4=0,0,IF(COUNTIFS(実績!$W$6:$W$505,D$3,実績!$AI$6:$AI$505,"&lt;="&amp;$A225,実績!$AJ$6:$AJ$505,"&gt;"&amp;$A225,実績!$AK$6:$AK$505,"○")&gt;0,1,0))</f>
        <v>0</v>
      </c>
      <c r="E225" s="39" t="n">
        <f aca="false">IF(E$4=0,0,IF(COUNTIFS(実績!$W$6:$W$505,E$3,実績!$AI$6:$AI$505,"&lt;="&amp;$A225,実績!$AJ$6:$AJ$505,"&gt;"&amp;$A225,実績!$AK$6:$AK$505,"○")&gt;0,1,0))</f>
        <v>0</v>
      </c>
      <c r="F225" s="39" t="n">
        <f aca="false">IF(F$4=0,0,IF(COUNTIFS(実績!$W$6:$W$505,F$3,実績!$AI$6:$AI$505,"&lt;="&amp;$A225,実績!$AJ$6:$AJ$505,"&gt;"&amp;$A225,実績!$AK$6:$AK$505,"○")&gt;0,1,0))</f>
        <v>0</v>
      </c>
      <c r="G225" s="39" t="n">
        <f aca="false">IF(G$4=0,0,IF(COUNTIFS(実績!$W$6:$W$505,G$3,実績!$AI$6:$AI$505,"&lt;="&amp;$A225,実績!$AJ$6:$AJ$505,"&gt;"&amp;$A225,実績!$AK$6:$AK$505,"○")&gt;0,1,0))</f>
        <v>0</v>
      </c>
      <c r="H225" s="39" t="n">
        <f aca="false">IF(H$4=0,0,IF(COUNTIFS(実績!$W$6:$W$505,H$3,実績!$AI$6:$AI$505,"&lt;="&amp;$A225,実績!$AJ$6:$AJ$505,"&gt;"&amp;$A225,実績!$AK$6:$AK$505,"○")&gt;0,1,0))</f>
        <v>0</v>
      </c>
      <c r="I225" s="39" t="n">
        <f aca="false">IF(I$4=0,0,IF(COUNTIFS(実績!$W$6:$W$505,I$3,実績!$AI$6:$AI$505,"&lt;="&amp;$A225,実績!$AJ$6:$AJ$505,"&gt;"&amp;$A225,実績!$AK$6:$AK$505,"○")&gt;0,1,0))</f>
        <v>0</v>
      </c>
      <c r="J225" s="39" t="n">
        <f aca="false">IF(J$4=0,0,IF(COUNTIFS(実績!$W$6:$W$505,J$3,実績!$AI$6:$AI$505,"&lt;="&amp;$A225,実績!$AJ$6:$AJ$505,"&gt;"&amp;$A225,実績!$AK$6:$AK$505,"○")&gt;0,1,0))</f>
        <v>0</v>
      </c>
      <c r="K225" s="39" t="n">
        <f aca="false">IF(K$4=0,0,IF(COUNTIFS(実績!$W$6:$W$505,K$3,実績!$AI$6:$AI$505,"&lt;="&amp;$A225,実績!$AJ$6:$AJ$505,"&gt;"&amp;$A225,実績!$AK$6:$AK$505,"○")&gt;0,1,0))</f>
        <v>0</v>
      </c>
      <c r="L225" s="39" t="n">
        <f aca="false">IF(L$4=0,0,IF(COUNTIFS(実績!$W$6:$W$505,L$3,実績!$AI$6:$AI$505,"&lt;="&amp;$A225,実績!$AJ$6:$AJ$505,"&gt;"&amp;$A225,実績!$AK$6:$AK$505,"○")&gt;0,1,0))</f>
        <v>0</v>
      </c>
      <c r="M225" s="39" t="n">
        <f aca="false">IF(M$4=0,0,IF(COUNTIFS(実績!$W$6:$W$505,M$3,実績!$AI$6:$AI$505,"&lt;="&amp;$A225,実績!$AJ$6:$AJ$505,"&gt;"&amp;$A225,実績!$AK$6:$AK$505,"○")&gt;0,1,0))</f>
        <v>0</v>
      </c>
      <c r="N225" s="39" t="n">
        <f aca="false">IF(N$4=0,0,IF(COUNTIFS(実績!$W$6:$W$505,N$3,実績!$AI$6:$AI$505,"&lt;="&amp;$A225,実績!$AJ$6:$AJ$505,"&gt;"&amp;$A225,実績!$AK$6:$AK$505,"○")&gt;0,1,0))</f>
        <v>0</v>
      </c>
      <c r="O225" s="39" t="n">
        <f aca="false">IF(O$4=0,0,IF(COUNTIFS(実績!$W$6:$W$505,O$3,実績!$AI$6:$AI$505,"&lt;="&amp;$A225,実績!$AJ$6:$AJ$505,"&gt;"&amp;$A225,実績!$AK$6:$AK$505,"○")&gt;0,1,0))</f>
        <v>0</v>
      </c>
      <c r="P225" s="39" t="n">
        <f aca="false">IF(P$4=0,0,IF(COUNTIFS(実績!$W$6:$W$505,P$3,実績!$AI$6:$AI$505,"&lt;="&amp;$A225,実績!$AJ$6:$AJ$505,"&gt;"&amp;$A225,実績!$AK$6:$AK$505,"○")&gt;0,1,0))</f>
        <v>0</v>
      </c>
      <c r="Q225" s="39" t="n">
        <f aca="false">IF(Q$4=0,0,IF(COUNTIFS(実績!$W$6:$W$505,Q$3,実績!$AI$6:$AI$505,"&lt;="&amp;$A225,実績!$AJ$6:$AJ$505,"&gt;"&amp;$A225,実績!$AK$6:$AK$505,"○")&gt;0,1,0))</f>
        <v>0</v>
      </c>
      <c r="R225" s="39" t="n">
        <f aca="false">IF(R$4=0,0,IF(COUNTIFS(実績!$W$6:$W$505,R$3,実績!$AI$6:$AI$505,"&lt;="&amp;$A225,実績!$AJ$6:$AJ$505,"&gt;"&amp;$A225,実績!$AK$6:$AK$505,"○")&gt;0,1,0))</f>
        <v>0</v>
      </c>
      <c r="S225" s="39" t="n">
        <f aca="false">IF(S$4=0,0,IF(COUNTIFS(実績!$W$6:$W$505,S$3,実績!$AI$6:$AI$505,"&lt;="&amp;$A225,実績!$AJ$6:$AJ$505,"&gt;"&amp;$A225,実績!$AK$6:$AK$505,"○")&gt;0,1,0))</f>
        <v>0</v>
      </c>
      <c r="T225" s="39" t="n">
        <f aca="false">IF(T$4=0,0,IF(COUNTIFS(実績!$W$6:$W$505,T$3,実績!$AI$6:$AI$505,"&lt;="&amp;$A225,実績!$AJ$6:$AJ$505,"&gt;"&amp;$A225,実績!$AK$6:$AK$505,"○")&gt;0,1,0))</f>
        <v>0</v>
      </c>
      <c r="U225" s="39" t="n">
        <f aca="false">IF(U$4=0,0,IF(COUNTIFS(実績!$W$6:$W$505,U$3,実績!$AI$6:$AI$505,"&lt;="&amp;$A225,実績!$AJ$6:$AJ$505,"&gt;"&amp;$A225,実績!$AK$6:$AK$505,"○")&gt;0,1,0))</f>
        <v>0</v>
      </c>
      <c r="V225" s="39" t="n">
        <f aca="false">IF(V$4=0,0,IF(COUNTIFS(実績!$W$6:$W$505,V$3,実績!$AI$6:$AI$505,"&lt;="&amp;$A225,実績!$AJ$6:$AJ$505,"&gt;"&amp;$A225,実績!$AK$6:$AK$505,"○")&gt;0,1,0))</f>
        <v>0</v>
      </c>
      <c r="W225" s="39" t="n">
        <f aca="false">IF(W$4=0,0,IF(COUNTIFS(実績!$W$6:$W$505,W$3,実績!$AI$6:$AI$505,"&lt;="&amp;$A225,実績!$AJ$6:$AJ$505,"&gt;"&amp;$A225,実績!$AK$6:$AK$505,"○")&gt;0,1,0))</f>
        <v>0</v>
      </c>
      <c r="X225" s="39" t="n">
        <f aca="false">IF(X$4=0,0,IF(COUNTIFS(実績!$W$6:$W$505,X$3,実績!$AI$6:$AI$505,"&lt;="&amp;$A225,実績!$AJ$6:$AJ$505,"&gt;"&amp;$A225,実績!$AK$6:$AK$505,"○")&gt;0,1,0))</f>
        <v>0</v>
      </c>
      <c r="Y225" s="39" t="n">
        <f aca="false">IF(Y$4=0,0,IF(COUNTIFS(実績!$W$6:$W$505,Y$3,実績!$AI$6:$AI$505,"&lt;="&amp;$A225,実績!$AJ$6:$AJ$505,"&gt;"&amp;$A225,実績!$AK$6:$AK$505,"○")&gt;0,1,0))</f>
        <v>0</v>
      </c>
      <c r="Z225" s="39" t="n">
        <f aca="false">IF(Z$4=0,0,IF(COUNTIFS(実績!$W$6:$W$505,Z$3,実績!$AI$6:$AI$505,"&lt;="&amp;$A225,実績!$AJ$6:$AJ$505,"&gt;"&amp;$A225,実績!$AK$6:$AK$505,"○")&gt;0,1,0))</f>
        <v>0</v>
      </c>
      <c r="AA225" s="39" t="n">
        <f aca="false">IF(AA$4=0,0,IF(COUNTIFS(実績!$W$6:$W$505,AA$3,実績!$AI$6:$AI$505,"&lt;="&amp;$A225,実績!$AJ$6:$AJ$505,"&gt;"&amp;$A225,実績!$AK$6:$AK$505,"○")&gt;0,1,0))</f>
        <v>0</v>
      </c>
      <c r="AB225" s="39" t="n">
        <f aca="false">IF(AB$4=0,0,IF(COUNTIFS(実績!$W$6:$W$505,AB$3,実績!$AI$6:$AI$505,"&lt;="&amp;$A225,実績!$AJ$6:$AJ$505,"&gt;"&amp;$A225,実績!$AK$6:$AK$505,"○")&gt;0,1,0))</f>
        <v>0</v>
      </c>
      <c r="AC225" s="39" t="n">
        <f aca="false">IF(AC$4=0,0,IF(COUNTIFS(実績!$W$6:$W$505,AC$3,実績!$AI$6:$AI$505,"&lt;="&amp;$A225,実績!$AJ$6:$AJ$505,"&gt;"&amp;$A225,実績!$AK$6:$AK$505,"○")&gt;0,1,0))</f>
        <v>0</v>
      </c>
      <c r="AD225" s="39" t="n">
        <f aca="false">IF(AD$4=0,0,IF(COUNTIFS(実績!$W$6:$W$505,AD$3,実績!$AI$6:$AI$505,"&lt;="&amp;$A225,実績!$AJ$6:$AJ$505,"&gt;"&amp;$A225,実績!$AK$6:$AK$505,"○")&gt;0,1,0))</f>
        <v>0</v>
      </c>
      <c r="AE225" s="39" t="n">
        <f aca="false">IF(AE$4=0,0,IF(COUNTIFS(実績!$W$6:$W$505,AE$3,実績!$AI$6:$AI$505,"&lt;="&amp;$A225,実績!$AJ$6:$AJ$505,"&gt;"&amp;$A225,実績!$AK$6:$AK$505,"○")&gt;0,1,0))</f>
        <v>0</v>
      </c>
      <c r="AF225" s="39" t="n">
        <f aca="false">IF(AF$4=0,0,IF(COUNTIFS(実績!$W$6:$W$505,AF$3,実績!$AI$6:$AI$505,"&lt;="&amp;$A225,実績!$AJ$6:$AJ$505,"&gt;"&amp;$A225,実績!$AK$6:$AK$505,"○")&gt;0,1,0))</f>
        <v>0</v>
      </c>
      <c r="AG225" s="39" t="n">
        <f aca="false">IF(AG$4=0,0,IF(COUNTIFS(実績!$W$6:$W$505,AG$3,実績!$AI$6:$AI$505,"&lt;="&amp;$A225,実績!$AJ$6:$AJ$505,"&gt;"&amp;$A225,実績!$AK$6:$AK$505,"○")&gt;0,1,0))</f>
        <v>0</v>
      </c>
      <c r="AH225" s="39" t="n">
        <f aca="false">IF(AH$4=0,0,IF(COUNTIFS(実績!$W$6:$W$505,AH$3,実績!$AI$6:$AI$505,"&lt;="&amp;$A225,実績!$AJ$6:$AJ$505,"&gt;"&amp;$A225,実績!$AK$6:$AK$505,"○")&gt;0,1,0))</f>
        <v>0</v>
      </c>
      <c r="AI225" s="39" t="n">
        <f aca="false">IF(AI$4=0,0,IF(COUNTIFS(実績!$W$6:$W$505,AI$3,実績!$AI$6:$AI$505,"&lt;="&amp;$A225,実績!$AJ$6:$AJ$505,"&gt;"&amp;$A225,実績!$AK$6:$AK$505,"○")&gt;0,1,0))</f>
        <v>0</v>
      </c>
      <c r="AJ225" s="39" t="n">
        <f aca="false">IF(AJ$4=0,0,IF(COUNTIFS(実績!$W$6:$W$505,AJ$3,実績!$AI$6:$AI$505,"&lt;="&amp;$A225,実績!$AJ$6:$AJ$505,"&gt;"&amp;$A225,実績!$AK$6:$AK$505,"○")&gt;0,1,0))</f>
        <v>0</v>
      </c>
      <c r="AK225" s="39" t="n">
        <f aca="false">IF(AK$4=0,0,IF(COUNTIFS(実績!$W$6:$W$505,AK$3,実績!$AI$6:$AI$505,"&lt;="&amp;$A225,実績!$AJ$6:$AJ$505,"&gt;"&amp;$A225,実績!$AK$6:$AK$505,"○")&gt;0,1,0))</f>
        <v>0</v>
      </c>
      <c r="AL225" s="39" t="n">
        <f aca="false">IF(AL$4=0,0,IF(COUNTIFS(実績!$W$6:$W$505,AL$3,実績!$AI$6:$AI$505,"&lt;="&amp;$A225,実績!$AJ$6:$AJ$505,"&gt;"&amp;$A225,実績!$AK$6:$AK$505,"○")&gt;0,1,0))</f>
        <v>0</v>
      </c>
      <c r="AM225" s="39" t="n">
        <f aca="false">IF(AM$4=0,0,IF(COUNTIFS(実績!$W$6:$W$505,AM$3,実績!$AI$6:$AI$505,"&lt;="&amp;$A225,実績!$AJ$6:$AJ$505,"&gt;"&amp;$A225,実績!$AK$6:$AK$505,"○")&gt;0,1,0))</f>
        <v>0</v>
      </c>
      <c r="AN225" s="39" t="n">
        <f aca="false">IF(AN$4=0,0,IF(COUNTIFS(実績!$W$6:$W$505,AN$3,実績!$AI$6:$AI$505,"&lt;="&amp;$A225,実績!$AJ$6:$AJ$505,"&gt;"&amp;$A225,実績!$AK$6:$AK$505,"○")&gt;0,1,0))</f>
        <v>0</v>
      </c>
      <c r="AO225" s="39" t="n">
        <f aca="false">IF(AO$4=0,0,IF(COUNTIFS(実績!$W$6:$W$505,AO$3,実績!$AI$6:$AI$505,"&lt;="&amp;$A225,実績!$AJ$6:$AJ$505,"&gt;"&amp;$A225,実績!$AK$6:$AK$505,"○")&gt;0,1,0))</f>
        <v>0</v>
      </c>
      <c r="AP225" s="39" t="n">
        <f aca="false">IF(AP$4=0,0,IF(COUNTIFS(実績!$W$6:$W$505,AP$3,実績!$AI$6:$AI$505,"&lt;="&amp;$A225,実績!$AJ$6:$AJ$505,"&gt;"&amp;$A225,実績!$AK$6:$AK$505,"○")&gt;0,1,0))</f>
        <v>0</v>
      </c>
      <c r="AQ225" s="39" t="n">
        <f aca="false">IF(AQ$4=0,0,IF(COUNTIFS(実績!$W$6:$W$505,AQ$3,実績!$AI$6:$AI$505,"&lt;="&amp;$A225,実績!$AJ$6:$AJ$505,"&gt;"&amp;$A225,実績!$AK$6:$AK$505,"○")&gt;0,1,0))</f>
        <v>0</v>
      </c>
      <c r="AR225" s="39" t="n">
        <f aca="false">IF(AR$4=0,0,IF(COUNTIFS(実績!$W$6:$W$505,AR$3,実績!$AI$6:$AI$505,"&lt;="&amp;$A225,実績!$AJ$6:$AJ$505,"&gt;"&amp;$A225,実績!$AK$6:$AK$505,"○")&gt;0,1,0))</f>
        <v>0</v>
      </c>
      <c r="AS225" s="39" t="n">
        <f aca="false">IF(AS$4=0,0,IF(COUNTIFS(実績!$W$6:$W$505,AS$3,実績!$AI$6:$AI$505,"&lt;="&amp;$A225,実績!$AJ$6:$AJ$505,"&gt;"&amp;$A225,実績!$AK$6:$AK$505,"○")&gt;0,1,0))</f>
        <v>0</v>
      </c>
      <c r="AT225" s="39" t="n">
        <f aca="false">IF(AT$4=0,0,IF(COUNTIFS(実績!$W$6:$W$505,AT$3,実績!$AI$6:$AI$505,"&lt;="&amp;$A225,実績!$AJ$6:$AJ$505,"&gt;"&amp;$A225,実績!$AK$6:$AK$505,"○")&gt;0,1,0))</f>
        <v>0</v>
      </c>
      <c r="AU225" s="39" t="n">
        <f aca="false">IF(AU$4=0,0,IF(COUNTIFS(実績!$W$6:$W$505,AU$3,実績!$AI$6:$AI$505,"&lt;="&amp;$A225,実績!$AJ$6:$AJ$505,"&gt;"&amp;$A225,実績!$AK$6:$AK$505,"○")&gt;0,1,0))</f>
        <v>0</v>
      </c>
      <c r="AV225" s="39" t="n">
        <f aca="false">IF(AV$4=0,0,IF(COUNTIFS(実績!$W$6:$W$505,AV$3,実績!$AI$6:$AI$505,"&lt;="&amp;$A225,実績!$AJ$6:$AJ$505,"&gt;"&amp;$A225,実績!$AK$6:$AK$505,"○")&gt;0,1,0))</f>
        <v>0</v>
      </c>
      <c r="AW225" s="39" t="n">
        <f aca="false">IF(AW$4=0,0,IF(COUNTIFS(実績!$W$6:$W$505,AW$3,実績!$AI$6:$AI$505,"&lt;="&amp;$A225,実績!$AJ$6:$AJ$505,"&gt;"&amp;$A225,実績!$AK$6:$AK$505,"○")&gt;0,1,0))</f>
        <v>0</v>
      </c>
      <c r="AX225" s="39" t="n">
        <f aca="false">IF(AX$4=0,0,IF(COUNTIFS(実績!$W$6:$W$505,AX$3,実績!$AI$6:$AI$505,"&lt;="&amp;$A225,実績!$AJ$6:$AJ$505,"&gt;"&amp;$A225,実績!$AK$6:$AK$505,"○")&gt;0,1,0))</f>
        <v>0</v>
      </c>
      <c r="AY225" s="39" t="n">
        <f aca="false">IF(AY$4=0,0,IF(COUNTIFS(実績!$W$6:$W$505,AY$3,実績!$AI$6:$AI$505,"&lt;="&amp;$A225,実績!$AJ$6:$AJ$505,"&gt;"&amp;$A225,実績!$AK$6:$AK$505,"○")&gt;0,1,0))</f>
        <v>0</v>
      </c>
      <c r="AZ225" s="39" t="n">
        <f aca="false">IF(AZ$4=0,0,IF(COUNTIFS(実績!$W$6:$W$505,AZ$3,実績!$AI$6:$AI$505,"&lt;="&amp;$A225,実績!$AJ$6:$AJ$505,"&gt;"&amp;$A225,実績!$AK$6:$AK$505,"○")&gt;0,1,0))</f>
        <v>0</v>
      </c>
      <c r="BA225" s="39" t="n">
        <f aca="false">IF(BA$4=0,0,IF(COUNTIFS(実績!$W$6:$W$505,BA$3,実績!$AI$6:$AI$505,"&lt;="&amp;$A225,実績!$AJ$6:$AJ$505,"&gt;"&amp;$A225,実績!$AK$6:$AK$505,"○")&gt;0,1,0))</f>
        <v>0</v>
      </c>
      <c r="BB225" s="39" t="n">
        <f aca="false">IF(BB$4=0,0,IF(COUNTIFS(実績!$W$6:$W$505,BB$3,実績!$AI$6:$AI$505,"&lt;="&amp;$A225,実績!$AJ$6:$AJ$505,"&gt;"&amp;$A225,実績!$AK$6:$AK$505,"○")&gt;0,1,0))</f>
        <v>0</v>
      </c>
      <c r="BC225" s="39" t="n">
        <f aca="false">IF(BC$4=0,0,IF(COUNTIFS(実績!$W$6:$W$505,BC$3,実績!$AI$6:$AI$505,"&lt;="&amp;$A225,実績!$AJ$6:$AJ$505,"&gt;"&amp;$A225,実績!$AK$6:$AK$505,"○")&gt;0,1,0))</f>
        <v>0</v>
      </c>
      <c r="BD225" s="39" t="n">
        <f aca="false">IF(BD$4=0,0,IF(COUNTIFS(実績!$W$6:$W$505,BD$3,実績!$AI$6:$AI$505,"&lt;="&amp;$A225,実績!$AJ$6:$AJ$505,"&gt;"&amp;$A225,実績!$AK$6:$AK$505,"○")&gt;0,1,0))</f>
        <v>0</v>
      </c>
      <c r="BE225" s="39" t="n">
        <f aca="false">IF(BE$4=0,0,IF(COUNTIFS(実績!$W$6:$W$505,BE$3,実績!$AI$6:$AI$505,"&lt;="&amp;$A225,実績!$AJ$6:$AJ$505,"&gt;"&amp;$A225,実績!$AK$6:$AK$505,"○")&gt;0,1,0))</f>
        <v>0</v>
      </c>
      <c r="BF225" s="39" t="n">
        <f aca="false">IF(BF$4=0,0,IF(COUNTIFS(実績!$W$6:$W$505,BF$3,実績!$AI$6:$AI$505,"&lt;="&amp;$A225,実績!$AJ$6:$AJ$505,"&gt;"&amp;$A225,実績!$AK$6:$AK$505,"○")&gt;0,1,0))</f>
        <v>0</v>
      </c>
      <c r="BG225" s="39" t="n">
        <f aca="false">IF(BG$4=0,0,IF(COUNTIFS(実績!$W$6:$W$505,BG$3,実績!$AI$6:$AI$505,"&lt;="&amp;$A225,実績!$AJ$6:$AJ$505,"&gt;"&amp;$A225,実績!$AK$6:$AK$505,"○")&gt;0,1,0))</f>
        <v>0</v>
      </c>
      <c r="BH225" s="39" t="n">
        <f aca="false">IF(BH$4=0,0,IF(COUNTIFS(実績!$W$6:$W$505,BH$3,実績!$AI$6:$AI$505,"&lt;="&amp;$A225,実績!$AJ$6:$AJ$505,"&gt;"&amp;$A225,実績!$AK$6:$AK$505,"○")&gt;0,1,0))</f>
        <v>0</v>
      </c>
      <c r="BI225" s="39" t="n">
        <f aca="false">IF(BI$4=0,0,IF(COUNTIFS(実績!$W$6:$W$505,BI$3,実績!$AI$6:$AI$505,"&lt;="&amp;$A225,実績!$AJ$6:$AJ$505,"&gt;"&amp;$A225,実績!$AK$6:$AK$505,"○")&gt;0,1,0))</f>
        <v>0</v>
      </c>
      <c r="BJ225" s="39" t="n">
        <f aca="false">IF(BJ$4=0,0,IF(COUNTIFS(実績!$W$6:$W$505,BJ$3,実績!$AI$6:$AI$505,"&lt;="&amp;$A225,実績!$AJ$6:$AJ$505,"&gt;"&amp;$A225,実績!$AK$6:$AK$505,"○")&gt;0,1,0))</f>
        <v>0</v>
      </c>
      <c r="BK225" s="39" t="n">
        <f aca="false">IF(BK$4=0,0,IF(COUNTIFS(実績!$W$6:$W$505,BK$3,実績!$AI$6:$AI$505,"&lt;="&amp;$A225,実績!$AJ$6:$AJ$505,"&gt;"&amp;$A225,実績!$AK$6:$AK$505,"○")&gt;0,1,0))</f>
        <v>0</v>
      </c>
      <c r="BL225" s="39" t="n">
        <f aca="false">IF(BL$4=0,0,IF(COUNTIFS(実績!$W$6:$W$505,BL$3,実績!$AI$6:$AI$505,"&lt;="&amp;$A225,実績!$AJ$6:$AJ$505,"&gt;"&amp;$A225,実績!$AK$6:$AK$505,"○")&gt;0,1,0))</f>
        <v>0</v>
      </c>
      <c r="BM225" s="39" t="n">
        <f aca="false">IF(BM$4=0,0,IF(COUNTIFS(実績!$W$6:$W$505,BM$3,実績!$AI$6:$AI$505,"&lt;="&amp;$A225,実績!$AJ$6:$AJ$505,"&gt;"&amp;$A225,実績!$AK$6:$AK$505,"○")&gt;0,1,0))</f>
        <v>0</v>
      </c>
      <c r="BN225" s="39" t="n">
        <f aca="false">IF(BN$4=0,0,IF(COUNTIFS(実績!$W$6:$W$505,BN$3,実績!$AI$6:$AI$505,"&lt;="&amp;$A225,実績!$AJ$6:$AJ$505,"&gt;"&amp;$A225,実績!$AK$6:$AK$505,"○")&gt;0,1,0))</f>
        <v>0</v>
      </c>
      <c r="BO225" s="39" t="n">
        <f aca="false">IF(BO$4=0,0,IF(COUNTIFS(実績!$W$6:$W$505,BO$3,実績!$AI$6:$AI$505,"&lt;="&amp;$A225,実績!$AJ$6:$AJ$505,"&gt;"&amp;$A225,実績!$AK$6:$AK$505,"○")&gt;0,1,0))</f>
        <v>0</v>
      </c>
      <c r="BP225" s="39" t="n">
        <f aca="false">IF(BP$4=0,0,IF(COUNTIFS(実績!$W$6:$W$505,BP$3,実績!$AI$6:$AI$505,"&lt;="&amp;$A225,実績!$AJ$6:$AJ$505,"&gt;"&amp;$A225,実績!$AK$6:$AK$505,"○")&gt;0,1,0))</f>
        <v>0</v>
      </c>
      <c r="BQ225" s="39" t="n">
        <f aca="false">IF(BQ$4=0,0,IF(COUNTIFS(実績!$W$6:$W$505,BQ$3,実績!$AI$6:$AI$505,"&lt;="&amp;$A225,実績!$AJ$6:$AJ$505,"&gt;"&amp;$A225,実績!$AK$6:$AK$505,"○")&gt;0,1,0))</f>
        <v>0</v>
      </c>
      <c r="BR225" s="39" t="n">
        <f aca="false">IF(BR$4=0,0,IF(COUNTIFS(実績!$W$6:$W$505,BR$3,実績!$AI$6:$AI$505,"&lt;="&amp;$A225,実績!$AJ$6:$AJ$505,"&gt;"&amp;$A225,実績!$AK$6:$AK$505,"○")&gt;0,1,0))</f>
        <v>0</v>
      </c>
      <c r="BS225" s="39" t="n">
        <f aca="false">IF(BS$4=0,0,IF(COUNTIFS(実績!$W$6:$W$505,BS$3,実績!$AI$6:$AI$505,"&lt;="&amp;$A225,実績!$AJ$6:$AJ$505,"&gt;"&amp;$A225,実績!$AK$6:$AK$505,"○")&gt;0,1,0))</f>
        <v>0</v>
      </c>
      <c r="BT225" s="39" t="n">
        <f aca="false">IF(BT$4=0,0,IF(COUNTIFS(実績!$W$6:$W$505,BT$3,実績!$AI$6:$AI$505,"&lt;="&amp;$A225,実績!$AJ$6:$AJ$505,"&gt;"&amp;$A225,実績!$AK$6:$AK$505,"○")&gt;0,1,0))</f>
        <v>0</v>
      </c>
      <c r="BU225" s="39" t="n">
        <f aca="false">IF(BU$4=0,0,IF(COUNTIFS(実績!$W$6:$W$505,BU$3,実績!$AI$6:$AI$505,"&lt;="&amp;$A225,実績!$AJ$6:$AJ$505,"&gt;"&amp;$A225,実績!$AK$6:$AK$505,"○")&gt;0,1,0))</f>
        <v>0</v>
      </c>
      <c r="BV225" s="39" t="n">
        <f aca="false">IF(BV$4=0,0,IF(COUNTIFS(実績!$W$6:$W$505,BV$3,実績!$AI$6:$AI$505,"&lt;="&amp;$A225,実績!$AJ$6:$AJ$505,"&gt;"&amp;$A225,実績!$AK$6:$AK$505,"○")&gt;0,1,0))</f>
        <v>0</v>
      </c>
      <c r="BW225" s="39" t="n">
        <f aca="false">IF(BW$4=0,0,IF(COUNTIFS(実績!$W$6:$W$505,BW$3,実績!$AI$6:$AI$505,"&lt;="&amp;$A225,実績!$AJ$6:$AJ$505,"&gt;"&amp;$A225,実績!$AK$6:$AK$505,"○")&gt;0,1,0))</f>
        <v>0</v>
      </c>
      <c r="BX225" s="39" t="n">
        <f aca="false">IF(BX$4=0,0,IF(COUNTIFS(実績!$W$6:$W$505,BX$3,実績!$AI$6:$AI$505,"&lt;="&amp;$A225,実績!$AJ$6:$AJ$505,"&gt;"&amp;$A225,実績!$AK$6:$AK$505,"○")&gt;0,1,0))</f>
        <v>0</v>
      </c>
      <c r="BY225" s="39" t="n">
        <f aca="false">IF(BY$4=0,0,IF(COUNTIFS(実績!$W$6:$W$505,BY$3,実績!$AI$6:$AI$505,"&lt;="&amp;$A225,実績!$AJ$6:$AJ$505,"&gt;"&amp;$A225,実績!$AK$6:$AK$505,"○")&gt;0,1,0))</f>
        <v>0</v>
      </c>
      <c r="BZ225" s="39" t="n">
        <f aca="false">IF(BZ$4=0,0,IF(COUNTIFS(実績!$W$6:$W$505,BZ$3,実績!$AI$6:$AI$505,"&lt;="&amp;$A225,実績!$AJ$6:$AJ$505,"&gt;"&amp;$A225,実績!$AK$6:$AK$505,"○")&gt;0,1,0))</f>
        <v>0</v>
      </c>
      <c r="CA225" s="39" t="n">
        <f aca="false">IF(CA$4=0,0,IF(COUNTIFS(実績!$W$6:$W$505,CA$3,実績!$AI$6:$AI$505,"&lt;="&amp;$A225,実績!$AJ$6:$AJ$505,"&gt;"&amp;$A225,実績!$AK$6:$AK$505,"○")&gt;0,1,0))</f>
        <v>0</v>
      </c>
      <c r="CB225" s="39" t="n">
        <f aca="false">IF(CB$4=0,0,IF(COUNTIFS(実績!$W$6:$W$505,CB$3,実績!$AI$6:$AI$505,"&lt;="&amp;$A225,実績!$AJ$6:$AJ$505,"&gt;"&amp;$A225,実績!$AK$6:$AK$505,"○")&gt;0,1,0))</f>
        <v>0</v>
      </c>
      <c r="CC225" s="39" t="n">
        <f aca="false">IF(CC$4=0,0,IF(COUNTIFS(実績!$W$6:$W$505,CC$3,実績!$AI$6:$AI$505,"&lt;="&amp;$A225,実績!$AJ$6:$AJ$505,"&gt;"&amp;$A225,実績!$AK$6:$AK$505,"○")&gt;0,1,0))</f>
        <v>0</v>
      </c>
      <c r="CD225" s="39" t="n">
        <f aca="false">IF(CD$4=0,0,IF(COUNTIFS(実績!$W$6:$W$505,CD$3,実績!$AI$6:$AI$505,"&lt;="&amp;$A225,実績!$AJ$6:$AJ$505,"&gt;"&amp;$A225,実績!$AK$6:$AK$505,"○")&gt;0,1,0))</f>
        <v>0</v>
      </c>
      <c r="CE225" s="39" t="n">
        <f aca="false">IF(CE$4=0,0,IF(COUNTIFS(実績!$W$6:$W$505,CE$3,実績!$AI$6:$AI$505,"&lt;="&amp;$A225,実績!$AJ$6:$AJ$505,"&gt;"&amp;$A225,実績!$AK$6:$AK$505,"○")&gt;0,1,0))</f>
        <v>0</v>
      </c>
      <c r="CF225" s="39" t="n">
        <f aca="false">IF(CF$4=0,0,IF(COUNTIFS(実績!$W$6:$W$505,CF$3,実績!$AI$6:$AI$505,"&lt;="&amp;$A225,実績!$AJ$6:$AJ$505,"&gt;"&amp;$A225,実績!$AK$6:$AK$505,"○")&gt;0,1,0))</f>
        <v>0</v>
      </c>
      <c r="CG225" s="39" t="n">
        <f aca="false">IF(CG$4=0,0,IF(COUNTIFS(実績!$W$6:$W$505,CG$3,実績!$AI$6:$AI$505,"&lt;="&amp;$A225,実績!$AJ$6:$AJ$505,"&gt;"&amp;$A225,実績!$AK$6:$AK$505,"○")&gt;0,1,0))</f>
        <v>0</v>
      </c>
      <c r="CH225" s="39" t="n">
        <f aca="false">IF(CH$4=0,0,IF(COUNTIFS(実績!$W$6:$W$505,CH$3,実績!$AI$6:$AI$505,"&lt;="&amp;$A225,実績!$AJ$6:$AJ$505,"&gt;"&amp;$A225,実績!$AK$6:$AK$505,"○")&gt;0,1,0))</f>
        <v>0</v>
      </c>
      <c r="CI225" s="39" t="n">
        <f aca="false">IF(CI$4=0,0,IF(COUNTIFS(実績!$W$6:$W$505,CI$3,実績!$AI$6:$AI$505,"&lt;="&amp;$A225,実績!$AJ$6:$AJ$505,"&gt;"&amp;$A225,実績!$AK$6:$AK$505,"○")&gt;0,1,0))</f>
        <v>0</v>
      </c>
      <c r="CJ225" s="39" t="n">
        <f aca="false">IF(CJ$4=0,0,IF(COUNTIFS(実績!$W$6:$W$505,CJ$3,実績!$AI$6:$AI$505,"&lt;="&amp;$A225,実績!$AJ$6:$AJ$505,"&gt;"&amp;$A225,実績!$AK$6:$AK$505,"○")&gt;0,1,0))</f>
        <v>0</v>
      </c>
      <c r="CK225" s="39" t="n">
        <f aca="false">IF(CK$4=0,0,IF(COUNTIFS(実績!$W$6:$W$505,CK$3,実績!$AI$6:$AI$505,"&lt;="&amp;$A225,実績!$AJ$6:$AJ$505,"&gt;"&amp;$A225,実績!$AK$6:$AK$505,"○")&gt;0,1,0))</f>
        <v>0</v>
      </c>
      <c r="CL225" s="39" t="n">
        <f aca="false">IF(CL$4=0,0,IF(COUNTIFS(実績!$W$6:$W$505,CL$3,実績!$AI$6:$AI$505,"&lt;="&amp;$A225,実績!$AJ$6:$AJ$505,"&gt;"&amp;$A225,実績!$AK$6:$AK$505,"○")&gt;0,1,0))</f>
        <v>0</v>
      </c>
      <c r="CM225" s="39" t="n">
        <f aca="false">IF(CM$4=0,0,IF(COUNTIFS(実績!$W$6:$W$505,CM$3,実績!$AI$6:$AI$505,"&lt;="&amp;$A225,実績!$AJ$6:$AJ$505,"&gt;"&amp;$A225,実績!$AK$6:$AK$505,"○")&gt;0,1,0))</f>
        <v>0</v>
      </c>
      <c r="CN225" s="39" t="n">
        <f aca="false">IF(CN$4=0,0,IF(COUNTIFS(実績!$W$6:$W$505,CN$3,実績!$AI$6:$AI$505,"&lt;="&amp;$A225,実績!$AJ$6:$AJ$505,"&gt;"&amp;$A225,実績!$AK$6:$AK$505,"○")&gt;0,1,0))</f>
        <v>0</v>
      </c>
      <c r="CO225" s="39" t="n">
        <f aca="false">IF(CO$4=0,0,IF(COUNTIFS(実績!$W$6:$W$505,CO$3,実績!$AI$6:$AI$505,"&lt;="&amp;$A225,実績!$AJ$6:$AJ$505,"&gt;"&amp;$A225,実績!$AK$6:$AK$505,"○")&gt;0,1,0))</f>
        <v>0</v>
      </c>
      <c r="CP225" s="39" t="n">
        <f aca="false">IF(CP$4=0,0,IF(COUNTIFS(実績!$W$6:$W$505,CP$3,実績!$AI$6:$AI$505,"&lt;="&amp;$A225,実績!$AJ$6:$AJ$505,"&gt;"&amp;$A225,実績!$AK$6:$AK$505,"○")&gt;0,1,0))</f>
        <v>0</v>
      </c>
      <c r="CQ225" s="39" t="n">
        <f aca="false">IF(CQ$4=0,0,IF(COUNTIFS(実績!$W$6:$W$505,CQ$3,実績!$AI$6:$AI$505,"&lt;="&amp;$A225,実績!$AJ$6:$AJ$505,"&gt;"&amp;$A225,実績!$AK$6:$AK$505,"○")&gt;0,1,0))</f>
        <v>0</v>
      </c>
      <c r="CR225" s="39" t="n">
        <f aca="false">IF(CR$4=0,0,IF(COUNTIFS(実績!$W$6:$W$505,CR$3,実績!$AI$6:$AI$505,"&lt;="&amp;$A225,実績!$AJ$6:$AJ$505,"&gt;"&amp;$A225,実績!$AK$6:$AK$505,"○")&gt;0,1,0))</f>
        <v>0</v>
      </c>
      <c r="CS225" s="39" t="n">
        <f aca="false">IF(CS$4=0,0,IF(COUNTIFS(実績!$W$6:$W$505,CS$3,実績!$AI$6:$AI$505,"&lt;="&amp;$A225,実績!$AJ$6:$AJ$505,"&gt;"&amp;$A225,実績!$AK$6:$AK$505,"○")&gt;0,1,0))</f>
        <v>0</v>
      </c>
      <c r="CT225" s="39" t="n">
        <f aca="false">IF(CT$4=0,0,IF(COUNTIFS(実績!$W$6:$W$505,CT$3,実績!$AI$6:$AI$505,"&lt;="&amp;$A225,実績!$AJ$6:$AJ$505,"&gt;"&amp;$A225,実績!$AK$6:$AK$505,"○")&gt;0,1,0))</f>
        <v>0</v>
      </c>
      <c r="CU225" s="39" t="n">
        <f aca="false">IF(CU$4=0,0,IF(COUNTIFS(実績!$W$6:$W$505,CU$3,実績!$AI$6:$AI$505,"&lt;="&amp;$A225,実績!$AJ$6:$AJ$505,"&gt;"&amp;$A225,実績!$AK$6:$AK$505,"○")&gt;0,1,0))</f>
        <v>0</v>
      </c>
      <c r="CV225" s="39" t="n">
        <f aca="false">IF(CV$4=0,0,IF(COUNTIFS(実績!$W$6:$W$505,CV$3,実績!$AI$6:$AI$505,"&lt;="&amp;$A225,実績!$AJ$6:$AJ$505,"&gt;"&amp;$A225,実績!$AK$6:$AK$505,"○")&gt;0,1,0))</f>
        <v>0</v>
      </c>
      <c r="CW225" s="39" t="n">
        <f aca="false">IF(CW$4=0,0,IF(COUNTIFS(実績!$W$6:$W$505,CW$3,実績!$AI$6:$AI$505,"&lt;="&amp;$A225,実績!$AJ$6:$AJ$505,"&gt;"&amp;$A225,実績!$AK$6:$AK$505,"○")&gt;0,1,0))</f>
        <v>0</v>
      </c>
      <c r="CX225" s="39" t="n">
        <f aca="false">IF(CX$4=0,0,IF(COUNTIFS(実績!$W$6:$W$505,CX$3,実績!$AI$6:$AI$505,"&lt;="&amp;$A225,実績!$AJ$6:$AJ$505,"&gt;"&amp;$A225,実績!$AK$6:$AK$505,"○")&gt;0,1,0))</f>
        <v>0</v>
      </c>
      <c r="CY225" s="39" t="n">
        <f aca="false">IF(CY$4=0,0,IF(COUNTIFS(実績!$W$6:$W$505,CY$3,実績!$AI$6:$AI$505,"&lt;="&amp;$A225,実績!$AJ$6:$AJ$505,"&gt;"&amp;$A225,実績!$AK$6:$AK$505,"○")&gt;0,1,0))</f>
        <v>0</v>
      </c>
      <c r="CZ225" s="39" t="n">
        <f aca="false">IF(CZ$4=0,0,IF(COUNTIFS(実績!$W$6:$W$505,CZ$3,実績!$AI$6:$AI$505,"&lt;="&amp;$A225,実績!$AJ$6:$AJ$505,"&gt;"&amp;$A225,実績!$AK$6:$AK$505,"○")&gt;0,1,0))</f>
        <v>0</v>
      </c>
      <c r="DA225" s="39" t="n">
        <f aca="false">IF(DA$4=0,0,IF(COUNTIFS(実績!$W$6:$W$505,DA$3,実績!$AI$6:$AI$505,"&lt;="&amp;$A225,実績!$AJ$6:$AJ$505,"&gt;"&amp;$A225,実績!$AK$6:$AK$505,"○")&gt;0,1,0))</f>
        <v>0</v>
      </c>
      <c r="DB225" s="39" t="n">
        <f aca="false">IF(DB$4=0,0,IF(COUNTIFS(実績!$W$6:$W$505,DB$3,実績!$AI$6:$AI$505,"&lt;="&amp;$A225,実績!$AJ$6:$AJ$505,"&gt;"&amp;$A225,実績!$AK$6:$AK$505,"○")&gt;0,1,0))</f>
        <v>0</v>
      </c>
      <c r="DC225" s="39" t="n">
        <f aca="false">IF(DC$4=0,0,IF(COUNTIFS(実績!$W$6:$W$505,DC$3,実績!$AI$6:$AI$505,"&lt;="&amp;$A225,実績!$AJ$6:$AJ$505,"&gt;"&amp;$A225,実績!$AK$6:$AK$505,"○")&gt;0,1,0))</f>
        <v>0</v>
      </c>
      <c r="DD225" s="39" t="n">
        <f aca="false">IF(DD$4=0,0,IF(COUNTIFS(実績!$W$6:$W$505,DD$3,実績!$AI$6:$AI$505,"&lt;="&amp;$A225,実績!$AJ$6:$AJ$505,"&gt;"&amp;$A225,実績!$AK$6:$AK$505,"○")&gt;0,1,0))</f>
        <v>0</v>
      </c>
      <c r="DE225" s="39" t="n">
        <f aca="false">IF(DE$4=0,0,IF(COUNTIFS(実績!$W$6:$W$505,DE$3,実績!$AI$6:$AI$505,"&lt;="&amp;$A225,実績!$AJ$6:$AJ$505,"&gt;"&amp;$A225,実績!$AK$6:$AK$505,"○")&gt;0,1,0))</f>
        <v>0</v>
      </c>
      <c r="DF225" s="39" t="n">
        <f aca="false">IF(DF$4=0,0,IF(COUNTIFS(実績!$W$6:$W$505,DF$3,実績!$AI$6:$AI$505,"&lt;="&amp;$A225,実績!$AJ$6:$AJ$505,"&gt;"&amp;$A225,実績!$AK$6:$AK$505,"○")&gt;0,1,0))</f>
        <v>0</v>
      </c>
      <c r="DG225" s="39" t="n">
        <f aca="false">IF(DG$4=0,0,IF(COUNTIFS(実績!$W$6:$W$505,DG$3,実績!$AI$6:$AI$505,"&lt;="&amp;$A225,実績!$AJ$6:$AJ$505,"&gt;"&amp;$A225,実績!$AK$6:$AK$505,"○")&gt;0,1,0))</f>
        <v>0</v>
      </c>
      <c r="DH225" s="39" t="n">
        <f aca="false">IF(DH$4=0,0,IF(COUNTIFS(実績!$W$6:$W$505,DH$3,実績!$AI$6:$AI$505,"&lt;="&amp;$A225,実績!$AJ$6:$AJ$505,"&gt;"&amp;$A225,実績!$AK$6:$AK$505,"○")&gt;0,1,0))</f>
        <v>0</v>
      </c>
      <c r="DI225" s="39" t="n">
        <f aca="false">IF(DI$4=0,0,IF(COUNTIFS(実績!$W$6:$W$505,DI$3,実績!$AI$6:$AI$505,"&lt;="&amp;$A225,実績!$AJ$6:$AJ$505,"&gt;"&amp;$A225,実績!$AK$6:$AK$505,"○")&gt;0,1,0))</f>
        <v>0</v>
      </c>
      <c r="DJ225" s="39" t="n">
        <f aca="false">IF(DJ$4=0,0,IF(COUNTIFS(実績!$W$6:$W$505,DJ$3,実績!$AI$6:$AI$505,"&lt;="&amp;$A225,実績!$AJ$6:$AJ$505,"&gt;"&amp;$A225,実績!$AK$6:$AK$505,"○")&gt;0,1,0))</f>
        <v>0</v>
      </c>
      <c r="DK225" s="39" t="n">
        <f aca="false">IF(DK$4=0,0,IF(COUNTIFS(実績!$W$6:$W$505,DK$3,実績!$AI$6:$AI$505,"&lt;="&amp;$A225,実績!$AJ$6:$AJ$505,"&gt;"&amp;$A225,実績!$AK$6:$AK$505,"○")&gt;0,1,0))</f>
        <v>0</v>
      </c>
      <c r="DL225" s="39" t="n">
        <f aca="false">IF(DL$4=0,0,IF(COUNTIFS(実績!$W$6:$W$505,DL$3,実績!$AI$6:$AI$505,"&lt;="&amp;$A225,実績!$AJ$6:$AJ$505,"&gt;"&amp;$A225,実績!$AK$6:$AK$505,"○")&gt;0,1,0))</f>
        <v>0</v>
      </c>
      <c r="DM225" s="39" t="n">
        <f aca="false">IF(DM$4=0,0,IF(COUNTIFS(実績!$W$6:$W$505,DM$3,実績!$AI$6:$AI$505,"&lt;="&amp;$A225,実績!$AJ$6:$AJ$505,"&gt;"&amp;$A225,実績!$AK$6:$AK$505,"○")&gt;0,1,0))</f>
        <v>0</v>
      </c>
      <c r="DN225" s="39" t="n">
        <f aca="false">IF(DN$4=0,0,IF(COUNTIFS(実績!$W$6:$W$505,DN$3,実績!$AI$6:$AI$505,"&lt;="&amp;$A225,実績!$AJ$6:$AJ$505,"&gt;"&amp;$A225,実績!$AK$6:$AK$505,"○")&gt;0,1,0))</f>
        <v>0</v>
      </c>
      <c r="DO225" s="39" t="n">
        <f aca="false">IF(DO$4=0,0,IF(COUNTIFS(実績!$W$6:$W$505,DO$3,実績!$AI$6:$AI$505,"&lt;="&amp;$A225,実績!$AJ$6:$AJ$505,"&gt;"&amp;$A225,実績!$AK$6:$AK$505,"○")&gt;0,1,0))</f>
        <v>0</v>
      </c>
      <c r="DP225" s="39" t="n">
        <f aca="false">IF(DP$4=0,0,IF(COUNTIFS(実績!$W$6:$W$505,DP$3,実績!$AI$6:$AI$505,"&lt;="&amp;$A225,実績!$AJ$6:$AJ$505,"&gt;"&amp;$A225,実績!$AK$6:$AK$505,"○")&gt;0,1,0))</f>
        <v>0</v>
      </c>
      <c r="DQ225" s="39" t="n">
        <f aca="false">IF(DQ$4=0,0,IF(COUNTIFS(実績!$W$6:$W$505,DQ$3,実績!$AI$6:$AI$505,"&lt;="&amp;$A225,実績!$AJ$6:$AJ$505,"&gt;"&amp;$A225,実績!$AK$6:$AK$505,"○")&gt;0,1,0))</f>
        <v>0</v>
      </c>
      <c r="DR225" s="39" t="n">
        <f aca="false">IF(DR$4=0,0,IF(COUNTIFS(実績!$W$6:$W$505,DR$3,実績!$AI$6:$AI$505,"&lt;="&amp;$A225,実績!$AJ$6:$AJ$505,"&gt;"&amp;$A225,実績!$AK$6:$AK$505,"○")&gt;0,1,0))</f>
        <v>0</v>
      </c>
      <c r="DS225" s="39" t="n">
        <f aca="false">SUM(C225:DR225)</f>
        <v>0</v>
      </c>
      <c r="DT225" s="39" t="n">
        <f aca="false">SUMPRODUCT((実績!$C$6:$C$505="○")*ISNUMBER(実績!$AM$6:$AM$505)*(実績!$AM$6:$AM$505&lt;=$A225)*(実績!$AN$6:$AN$505&gt;$A225))</f>
        <v>0</v>
      </c>
      <c r="DU225" s="39" t="n">
        <f aca="false">SUMIF($C$2:$DR$2,"製鉄曳船",C225:DR225)</f>
        <v>0</v>
      </c>
      <c r="DV225" s="39" t="n">
        <f aca="false">SUMIF($C$2:$DR$2,"西日本海運",C225:DR225)</f>
        <v>0</v>
      </c>
    </row>
    <row r="226" customFormat="false" ht="15" hidden="false" customHeight="false" outlineLevel="0" collapsed="false">
      <c r="A226" s="0" t="n">
        <v>1100</v>
      </c>
      <c r="B226" s="38" t="n">
        <f aca="false">A226/1440</f>
        <v>0.763888888888889</v>
      </c>
      <c r="C226" s="39" t="n">
        <f aca="false">IF(C$4=0,0,IF(COUNTIFS(実績!$W$6:$W$505,C$3,実績!$AI$6:$AI$505,"&lt;="&amp;$A226,実績!$AJ$6:$AJ$505,"&gt;"&amp;$A226,実績!$AK$6:$AK$505,"○")&gt;0,1,0))</f>
        <v>0</v>
      </c>
      <c r="D226" s="39" t="n">
        <f aca="false">IF(D$4=0,0,IF(COUNTIFS(実績!$W$6:$W$505,D$3,実績!$AI$6:$AI$505,"&lt;="&amp;$A226,実績!$AJ$6:$AJ$505,"&gt;"&amp;$A226,実績!$AK$6:$AK$505,"○")&gt;0,1,0))</f>
        <v>0</v>
      </c>
      <c r="E226" s="39" t="n">
        <f aca="false">IF(E$4=0,0,IF(COUNTIFS(実績!$W$6:$W$505,E$3,実績!$AI$6:$AI$505,"&lt;="&amp;$A226,実績!$AJ$6:$AJ$505,"&gt;"&amp;$A226,実績!$AK$6:$AK$505,"○")&gt;0,1,0))</f>
        <v>0</v>
      </c>
      <c r="F226" s="39" t="n">
        <f aca="false">IF(F$4=0,0,IF(COUNTIFS(実績!$W$6:$W$505,F$3,実績!$AI$6:$AI$505,"&lt;="&amp;$A226,実績!$AJ$6:$AJ$505,"&gt;"&amp;$A226,実績!$AK$6:$AK$505,"○")&gt;0,1,0))</f>
        <v>0</v>
      </c>
      <c r="G226" s="39" t="n">
        <f aca="false">IF(G$4=0,0,IF(COUNTIFS(実績!$W$6:$W$505,G$3,実績!$AI$6:$AI$505,"&lt;="&amp;$A226,実績!$AJ$6:$AJ$505,"&gt;"&amp;$A226,実績!$AK$6:$AK$505,"○")&gt;0,1,0))</f>
        <v>0</v>
      </c>
      <c r="H226" s="39" t="n">
        <f aca="false">IF(H$4=0,0,IF(COUNTIFS(実績!$W$6:$W$505,H$3,実績!$AI$6:$AI$505,"&lt;="&amp;$A226,実績!$AJ$6:$AJ$505,"&gt;"&amp;$A226,実績!$AK$6:$AK$505,"○")&gt;0,1,0))</f>
        <v>0</v>
      </c>
      <c r="I226" s="39" t="n">
        <f aca="false">IF(I$4=0,0,IF(COUNTIFS(実績!$W$6:$W$505,I$3,実績!$AI$6:$AI$505,"&lt;="&amp;$A226,実績!$AJ$6:$AJ$505,"&gt;"&amp;$A226,実績!$AK$6:$AK$505,"○")&gt;0,1,0))</f>
        <v>0</v>
      </c>
      <c r="J226" s="39" t="n">
        <f aca="false">IF(J$4=0,0,IF(COUNTIFS(実績!$W$6:$W$505,J$3,実績!$AI$6:$AI$505,"&lt;="&amp;$A226,実績!$AJ$6:$AJ$505,"&gt;"&amp;$A226,実績!$AK$6:$AK$505,"○")&gt;0,1,0))</f>
        <v>0</v>
      </c>
      <c r="K226" s="39" t="n">
        <f aca="false">IF(K$4=0,0,IF(COUNTIFS(実績!$W$6:$W$505,K$3,実績!$AI$6:$AI$505,"&lt;="&amp;$A226,実績!$AJ$6:$AJ$505,"&gt;"&amp;$A226,実績!$AK$6:$AK$505,"○")&gt;0,1,0))</f>
        <v>0</v>
      </c>
      <c r="L226" s="39" t="n">
        <f aca="false">IF(L$4=0,0,IF(COUNTIFS(実績!$W$6:$W$505,L$3,実績!$AI$6:$AI$505,"&lt;="&amp;$A226,実績!$AJ$6:$AJ$505,"&gt;"&amp;$A226,実績!$AK$6:$AK$505,"○")&gt;0,1,0))</f>
        <v>0</v>
      </c>
      <c r="M226" s="39" t="n">
        <f aca="false">IF(M$4=0,0,IF(COUNTIFS(実績!$W$6:$W$505,M$3,実績!$AI$6:$AI$505,"&lt;="&amp;$A226,実績!$AJ$6:$AJ$505,"&gt;"&amp;$A226,実績!$AK$6:$AK$505,"○")&gt;0,1,0))</f>
        <v>0</v>
      </c>
      <c r="N226" s="39" t="n">
        <f aca="false">IF(N$4=0,0,IF(COUNTIFS(実績!$W$6:$W$505,N$3,実績!$AI$6:$AI$505,"&lt;="&amp;$A226,実績!$AJ$6:$AJ$505,"&gt;"&amp;$A226,実績!$AK$6:$AK$505,"○")&gt;0,1,0))</f>
        <v>0</v>
      </c>
      <c r="O226" s="39" t="n">
        <f aca="false">IF(O$4=0,0,IF(COUNTIFS(実績!$W$6:$W$505,O$3,実績!$AI$6:$AI$505,"&lt;="&amp;$A226,実績!$AJ$6:$AJ$505,"&gt;"&amp;$A226,実績!$AK$6:$AK$505,"○")&gt;0,1,0))</f>
        <v>0</v>
      </c>
      <c r="P226" s="39" t="n">
        <f aca="false">IF(P$4=0,0,IF(COUNTIFS(実績!$W$6:$W$505,P$3,実績!$AI$6:$AI$505,"&lt;="&amp;$A226,実績!$AJ$6:$AJ$505,"&gt;"&amp;$A226,実績!$AK$6:$AK$505,"○")&gt;0,1,0))</f>
        <v>0</v>
      </c>
      <c r="Q226" s="39" t="n">
        <f aca="false">IF(Q$4=0,0,IF(COUNTIFS(実績!$W$6:$W$505,Q$3,実績!$AI$6:$AI$505,"&lt;="&amp;$A226,実績!$AJ$6:$AJ$505,"&gt;"&amp;$A226,実績!$AK$6:$AK$505,"○")&gt;0,1,0))</f>
        <v>0</v>
      </c>
      <c r="R226" s="39" t="n">
        <f aca="false">IF(R$4=0,0,IF(COUNTIFS(実績!$W$6:$W$505,R$3,実績!$AI$6:$AI$505,"&lt;="&amp;$A226,実績!$AJ$6:$AJ$505,"&gt;"&amp;$A226,実績!$AK$6:$AK$505,"○")&gt;0,1,0))</f>
        <v>0</v>
      </c>
      <c r="S226" s="39" t="n">
        <f aca="false">IF(S$4=0,0,IF(COUNTIFS(実績!$W$6:$W$505,S$3,実績!$AI$6:$AI$505,"&lt;="&amp;$A226,実績!$AJ$6:$AJ$505,"&gt;"&amp;$A226,実績!$AK$6:$AK$505,"○")&gt;0,1,0))</f>
        <v>0</v>
      </c>
      <c r="T226" s="39" t="n">
        <f aca="false">IF(T$4=0,0,IF(COUNTIFS(実績!$W$6:$W$505,T$3,実績!$AI$6:$AI$505,"&lt;="&amp;$A226,実績!$AJ$6:$AJ$505,"&gt;"&amp;$A226,実績!$AK$6:$AK$505,"○")&gt;0,1,0))</f>
        <v>0</v>
      </c>
      <c r="U226" s="39" t="n">
        <f aca="false">IF(U$4=0,0,IF(COUNTIFS(実績!$W$6:$W$505,U$3,実績!$AI$6:$AI$505,"&lt;="&amp;$A226,実績!$AJ$6:$AJ$505,"&gt;"&amp;$A226,実績!$AK$6:$AK$505,"○")&gt;0,1,0))</f>
        <v>0</v>
      </c>
      <c r="V226" s="39" t="n">
        <f aca="false">IF(V$4=0,0,IF(COUNTIFS(実績!$W$6:$W$505,V$3,実績!$AI$6:$AI$505,"&lt;="&amp;$A226,実績!$AJ$6:$AJ$505,"&gt;"&amp;$A226,実績!$AK$6:$AK$505,"○")&gt;0,1,0))</f>
        <v>0</v>
      </c>
      <c r="W226" s="39" t="n">
        <f aca="false">IF(W$4=0,0,IF(COUNTIFS(実績!$W$6:$W$505,W$3,実績!$AI$6:$AI$505,"&lt;="&amp;$A226,実績!$AJ$6:$AJ$505,"&gt;"&amp;$A226,実績!$AK$6:$AK$505,"○")&gt;0,1,0))</f>
        <v>0</v>
      </c>
      <c r="X226" s="39" t="n">
        <f aca="false">IF(X$4=0,0,IF(COUNTIFS(実績!$W$6:$W$505,X$3,実績!$AI$6:$AI$505,"&lt;="&amp;$A226,実績!$AJ$6:$AJ$505,"&gt;"&amp;$A226,実績!$AK$6:$AK$505,"○")&gt;0,1,0))</f>
        <v>0</v>
      </c>
      <c r="Y226" s="39" t="n">
        <f aca="false">IF(Y$4=0,0,IF(COUNTIFS(実績!$W$6:$W$505,Y$3,実績!$AI$6:$AI$505,"&lt;="&amp;$A226,実績!$AJ$6:$AJ$505,"&gt;"&amp;$A226,実績!$AK$6:$AK$505,"○")&gt;0,1,0))</f>
        <v>0</v>
      </c>
      <c r="Z226" s="39" t="n">
        <f aca="false">IF(Z$4=0,0,IF(COUNTIFS(実績!$W$6:$W$505,Z$3,実績!$AI$6:$AI$505,"&lt;="&amp;$A226,実績!$AJ$6:$AJ$505,"&gt;"&amp;$A226,実績!$AK$6:$AK$505,"○")&gt;0,1,0))</f>
        <v>0</v>
      </c>
      <c r="AA226" s="39" t="n">
        <f aca="false">IF(AA$4=0,0,IF(COUNTIFS(実績!$W$6:$W$505,AA$3,実績!$AI$6:$AI$505,"&lt;="&amp;$A226,実績!$AJ$6:$AJ$505,"&gt;"&amp;$A226,実績!$AK$6:$AK$505,"○")&gt;0,1,0))</f>
        <v>0</v>
      </c>
      <c r="AB226" s="39" t="n">
        <f aca="false">IF(AB$4=0,0,IF(COUNTIFS(実績!$W$6:$W$505,AB$3,実績!$AI$6:$AI$505,"&lt;="&amp;$A226,実績!$AJ$6:$AJ$505,"&gt;"&amp;$A226,実績!$AK$6:$AK$505,"○")&gt;0,1,0))</f>
        <v>0</v>
      </c>
      <c r="AC226" s="39" t="n">
        <f aca="false">IF(AC$4=0,0,IF(COUNTIFS(実績!$W$6:$W$505,AC$3,実績!$AI$6:$AI$505,"&lt;="&amp;$A226,実績!$AJ$6:$AJ$505,"&gt;"&amp;$A226,実績!$AK$6:$AK$505,"○")&gt;0,1,0))</f>
        <v>0</v>
      </c>
      <c r="AD226" s="39" t="n">
        <f aca="false">IF(AD$4=0,0,IF(COUNTIFS(実績!$W$6:$W$505,AD$3,実績!$AI$6:$AI$505,"&lt;="&amp;$A226,実績!$AJ$6:$AJ$505,"&gt;"&amp;$A226,実績!$AK$6:$AK$505,"○")&gt;0,1,0))</f>
        <v>0</v>
      </c>
      <c r="AE226" s="39" t="n">
        <f aca="false">IF(AE$4=0,0,IF(COUNTIFS(実績!$W$6:$W$505,AE$3,実績!$AI$6:$AI$505,"&lt;="&amp;$A226,実績!$AJ$6:$AJ$505,"&gt;"&amp;$A226,実績!$AK$6:$AK$505,"○")&gt;0,1,0))</f>
        <v>0</v>
      </c>
      <c r="AF226" s="39" t="n">
        <f aca="false">IF(AF$4=0,0,IF(COUNTIFS(実績!$W$6:$W$505,AF$3,実績!$AI$6:$AI$505,"&lt;="&amp;$A226,実績!$AJ$6:$AJ$505,"&gt;"&amp;$A226,実績!$AK$6:$AK$505,"○")&gt;0,1,0))</f>
        <v>0</v>
      </c>
      <c r="AG226" s="39" t="n">
        <f aca="false">IF(AG$4=0,0,IF(COUNTIFS(実績!$W$6:$W$505,AG$3,実績!$AI$6:$AI$505,"&lt;="&amp;$A226,実績!$AJ$6:$AJ$505,"&gt;"&amp;$A226,実績!$AK$6:$AK$505,"○")&gt;0,1,0))</f>
        <v>0</v>
      </c>
      <c r="AH226" s="39" t="n">
        <f aca="false">IF(AH$4=0,0,IF(COUNTIFS(実績!$W$6:$W$505,AH$3,実績!$AI$6:$AI$505,"&lt;="&amp;$A226,実績!$AJ$6:$AJ$505,"&gt;"&amp;$A226,実績!$AK$6:$AK$505,"○")&gt;0,1,0))</f>
        <v>0</v>
      </c>
      <c r="AI226" s="39" t="n">
        <f aca="false">IF(AI$4=0,0,IF(COUNTIFS(実績!$W$6:$W$505,AI$3,実績!$AI$6:$AI$505,"&lt;="&amp;$A226,実績!$AJ$6:$AJ$505,"&gt;"&amp;$A226,実績!$AK$6:$AK$505,"○")&gt;0,1,0))</f>
        <v>0</v>
      </c>
      <c r="AJ226" s="39" t="n">
        <f aca="false">IF(AJ$4=0,0,IF(COUNTIFS(実績!$W$6:$W$505,AJ$3,実績!$AI$6:$AI$505,"&lt;="&amp;$A226,実績!$AJ$6:$AJ$505,"&gt;"&amp;$A226,実績!$AK$6:$AK$505,"○")&gt;0,1,0))</f>
        <v>0</v>
      </c>
      <c r="AK226" s="39" t="n">
        <f aca="false">IF(AK$4=0,0,IF(COUNTIFS(実績!$W$6:$W$505,AK$3,実績!$AI$6:$AI$505,"&lt;="&amp;$A226,実績!$AJ$6:$AJ$505,"&gt;"&amp;$A226,実績!$AK$6:$AK$505,"○")&gt;0,1,0))</f>
        <v>0</v>
      </c>
      <c r="AL226" s="39" t="n">
        <f aca="false">IF(AL$4=0,0,IF(COUNTIFS(実績!$W$6:$W$505,AL$3,実績!$AI$6:$AI$505,"&lt;="&amp;$A226,実績!$AJ$6:$AJ$505,"&gt;"&amp;$A226,実績!$AK$6:$AK$505,"○")&gt;0,1,0))</f>
        <v>0</v>
      </c>
      <c r="AM226" s="39" t="n">
        <f aca="false">IF(AM$4=0,0,IF(COUNTIFS(実績!$W$6:$W$505,AM$3,実績!$AI$6:$AI$505,"&lt;="&amp;$A226,実績!$AJ$6:$AJ$505,"&gt;"&amp;$A226,実績!$AK$6:$AK$505,"○")&gt;0,1,0))</f>
        <v>0</v>
      </c>
      <c r="AN226" s="39" t="n">
        <f aca="false">IF(AN$4=0,0,IF(COUNTIFS(実績!$W$6:$W$505,AN$3,実績!$AI$6:$AI$505,"&lt;="&amp;$A226,実績!$AJ$6:$AJ$505,"&gt;"&amp;$A226,実績!$AK$6:$AK$505,"○")&gt;0,1,0))</f>
        <v>0</v>
      </c>
      <c r="AO226" s="39" t="n">
        <f aca="false">IF(AO$4=0,0,IF(COUNTIFS(実績!$W$6:$W$505,AO$3,実績!$AI$6:$AI$505,"&lt;="&amp;$A226,実績!$AJ$6:$AJ$505,"&gt;"&amp;$A226,実績!$AK$6:$AK$505,"○")&gt;0,1,0))</f>
        <v>0</v>
      </c>
      <c r="AP226" s="39" t="n">
        <f aca="false">IF(AP$4=0,0,IF(COUNTIFS(実績!$W$6:$W$505,AP$3,実績!$AI$6:$AI$505,"&lt;="&amp;$A226,実績!$AJ$6:$AJ$505,"&gt;"&amp;$A226,実績!$AK$6:$AK$505,"○")&gt;0,1,0))</f>
        <v>0</v>
      </c>
      <c r="AQ226" s="39" t="n">
        <f aca="false">IF(AQ$4=0,0,IF(COUNTIFS(実績!$W$6:$W$505,AQ$3,実績!$AI$6:$AI$505,"&lt;="&amp;$A226,実績!$AJ$6:$AJ$505,"&gt;"&amp;$A226,実績!$AK$6:$AK$505,"○")&gt;0,1,0))</f>
        <v>0</v>
      </c>
      <c r="AR226" s="39" t="n">
        <f aca="false">IF(AR$4=0,0,IF(COUNTIFS(実績!$W$6:$W$505,AR$3,実績!$AI$6:$AI$505,"&lt;="&amp;$A226,実績!$AJ$6:$AJ$505,"&gt;"&amp;$A226,実績!$AK$6:$AK$505,"○")&gt;0,1,0))</f>
        <v>0</v>
      </c>
      <c r="AS226" s="39" t="n">
        <f aca="false">IF(AS$4=0,0,IF(COUNTIFS(実績!$W$6:$W$505,AS$3,実績!$AI$6:$AI$505,"&lt;="&amp;$A226,実績!$AJ$6:$AJ$505,"&gt;"&amp;$A226,実績!$AK$6:$AK$505,"○")&gt;0,1,0))</f>
        <v>0</v>
      </c>
      <c r="AT226" s="39" t="n">
        <f aca="false">IF(AT$4=0,0,IF(COUNTIFS(実績!$W$6:$W$505,AT$3,実績!$AI$6:$AI$505,"&lt;="&amp;$A226,実績!$AJ$6:$AJ$505,"&gt;"&amp;$A226,実績!$AK$6:$AK$505,"○")&gt;0,1,0))</f>
        <v>0</v>
      </c>
      <c r="AU226" s="39" t="n">
        <f aca="false">IF(AU$4=0,0,IF(COUNTIFS(実績!$W$6:$W$505,AU$3,実績!$AI$6:$AI$505,"&lt;="&amp;$A226,実績!$AJ$6:$AJ$505,"&gt;"&amp;$A226,実績!$AK$6:$AK$505,"○")&gt;0,1,0))</f>
        <v>0</v>
      </c>
      <c r="AV226" s="39" t="n">
        <f aca="false">IF(AV$4=0,0,IF(COUNTIFS(実績!$W$6:$W$505,AV$3,実績!$AI$6:$AI$505,"&lt;="&amp;$A226,実績!$AJ$6:$AJ$505,"&gt;"&amp;$A226,実績!$AK$6:$AK$505,"○")&gt;0,1,0))</f>
        <v>0</v>
      </c>
      <c r="AW226" s="39" t="n">
        <f aca="false">IF(AW$4=0,0,IF(COUNTIFS(実績!$W$6:$W$505,AW$3,実績!$AI$6:$AI$505,"&lt;="&amp;$A226,実績!$AJ$6:$AJ$505,"&gt;"&amp;$A226,実績!$AK$6:$AK$505,"○")&gt;0,1,0))</f>
        <v>0</v>
      </c>
      <c r="AX226" s="39" t="n">
        <f aca="false">IF(AX$4=0,0,IF(COUNTIFS(実績!$W$6:$W$505,AX$3,実績!$AI$6:$AI$505,"&lt;="&amp;$A226,実績!$AJ$6:$AJ$505,"&gt;"&amp;$A226,実績!$AK$6:$AK$505,"○")&gt;0,1,0))</f>
        <v>0</v>
      </c>
      <c r="AY226" s="39" t="n">
        <f aca="false">IF(AY$4=0,0,IF(COUNTIFS(実績!$W$6:$W$505,AY$3,実績!$AI$6:$AI$505,"&lt;="&amp;$A226,実績!$AJ$6:$AJ$505,"&gt;"&amp;$A226,実績!$AK$6:$AK$505,"○")&gt;0,1,0))</f>
        <v>0</v>
      </c>
      <c r="AZ226" s="39" t="n">
        <f aca="false">IF(AZ$4=0,0,IF(COUNTIFS(実績!$W$6:$W$505,AZ$3,実績!$AI$6:$AI$505,"&lt;="&amp;$A226,実績!$AJ$6:$AJ$505,"&gt;"&amp;$A226,実績!$AK$6:$AK$505,"○")&gt;0,1,0))</f>
        <v>0</v>
      </c>
      <c r="BA226" s="39" t="n">
        <f aca="false">IF(BA$4=0,0,IF(COUNTIFS(実績!$W$6:$W$505,BA$3,実績!$AI$6:$AI$505,"&lt;="&amp;$A226,実績!$AJ$6:$AJ$505,"&gt;"&amp;$A226,実績!$AK$6:$AK$505,"○")&gt;0,1,0))</f>
        <v>0</v>
      </c>
      <c r="BB226" s="39" t="n">
        <f aca="false">IF(BB$4=0,0,IF(COUNTIFS(実績!$W$6:$W$505,BB$3,実績!$AI$6:$AI$505,"&lt;="&amp;$A226,実績!$AJ$6:$AJ$505,"&gt;"&amp;$A226,実績!$AK$6:$AK$505,"○")&gt;0,1,0))</f>
        <v>0</v>
      </c>
      <c r="BC226" s="39" t="n">
        <f aca="false">IF(BC$4=0,0,IF(COUNTIFS(実績!$W$6:$W$505,BC$3,実績!$AI$6:$AI$505,"&lt;="&amp;$A226,実績!$AJ$6:$AJ$505,"&gt;"&amp;$A226,実績!$AK$6:$AK$505,"○")&gt;0,1,0))</f>
        <v>0</v>
      </c>
      <c r="BD226" s="39" t="n">
        <f aca="false">IF(BD$4=0,0,IF(COUNTIFS(実績!$W$6:$W$505,BD$3,実績!$AI$6:$AI$505,"&lt;="&amp;$A226,実績!$AJ$6:$AJ$505,"&gt;"&amp;$A226,実績!$AK$6:$AK$505,"○")&gt;0,1,0))</f>
        <v>0</v>
      </c>
      <c r="BE226" s="39" t="n">
        <f aca="false">IF(BE$4=0,0,IF(COUNTIFS(実績!$W$6:$W$505,BE$3,実績!$AI$6:$AI$505,"&lt;="&amp;$A226,実績!$AJ$6:$AJ$505,"&gt;"&amp;$A226,実績!$AK$6:$AK$505,"○")&gt;0,1,0))</f>
        <v>0</v>
      </c>
      <c r="BF226" s="39" t="n">
        <f aca="false">IF(BF$4=0,0,IF(COUNTIFS(実績!$W$6:$W$505,BF$3,実績!$AI$6:$AI$505,"&lt;="&amp;$A226,実績!$AJ$6:$AJ$505,"&gt;"&amp;$A226,実績!$AK$6:$AK$505,"○")&gt;0,1,0))</f>
        <v>0</v>
      </c>
      <c r="BG226" s="39" t="n">
        <f aca="false">IF(BG$4=0,0,IF(COUNTIFS(実績!$W$6:$W$505,BG$3,実績!$AI$6:$AI$505,"&lt;="&amp;$A226,実績!$AJ$6:$AJ$505,"&gt;"&amp;$A226,実績!$AK$6:$AK$505,"○")&gt;0,1,0))</f>
        <v>0</v>
      </c>
      <c r="BH226" s="39" t="n">
        <f aca="false">IF(BH$4=0,0,IF(COUNTIFS(実績!$W$6:$W$505,BH$3,実績!$AI$6:$AI$505,"&lt;="&amp;$A226,実績!$AJ$6:$AJ$505,"&gt;"&amp;$A226,実績!$AK$6:$AK$505,"○")&gt;0,1,0))</f>
        <v>0</v>
      </c>
      <c r="BI226" s="39" t="n">
        <f aca="false">IF(BI$4=0,0,IF(COUNTIFS(実績!$W$6:$W$505,BI$3,実績!$AI$6:$AI$505,"&lt;="&amp;$A226,実績!$AJ$6:$AJ$505,"&gt;"&amp;$A226,実績!$AK$6:$AK$505,"○")&gt;0,1,0))</f>
        <v>0</v>
      </c>
      <c r="BJ226" s="39" t="n">
        <f aca="false">IF(BJ$4=0,0,IF(COUNTIFS(実績!$W$6:$W$505,BJ$3,実績!$AI$6:$AI$505,"&lt;="&amp;$A226,実績!$AJ$6:$AJ$505,"&gt;"&amp;$A226,実績!$AK$6:$AK$505,"○")&gt;0,1,0))</f>
        <v>0</v>
      </c>
      <c r="BK226" s="39" t="n">
        <f aca="false">IF(BK$4=0,0,IF(COUNTIFS(実績!$W$6:$W$505,BK$3,実績!$AI$6:$AI$505,"&lt;="&amp;$A226,実績!$AJ$6:$AJ$505,"&gt;"&amp;$A226,実績!$AK$6:$AK$505,"○")&gt;0,1,0))</f>
        <v>0</v>
      </c>
      <c r="BL226" s="39" t="n">
        <f aca="false">IF(BL$4=0,0,IF(COUNTIFS(実績!$W$6:$W$505,BL$3,実績!$AI$6:$AI$505,"&lt;="&amp;$A226,実績!$AJ$6:$AJ$505,"&gt;"&amp;$A226,実績!$AK$6:$AK$505,"○")&gt;0,1,0))</f>
        <v>0</v>
      </c>
      <c r="BM226" s="39" t="n">
        <f aca="false">IF(BM$4=0,0,IF(COUNTIFS(実績!$W$6:$W$505,BM$3,実績!$AI$6:$AI$505,"&lt;="&amp;$A226,実績!$AJ$6:$AJ$505,"&gt;"&amp;$A226,実績!$AK$6:$AK$505,"○")&gt;0,1,0))</f>
        <v>0</v>
      </c>
      <c r="BN226" s="39" t="n">
        <f aca="false">IF(BN$4=0,0,IF(COUNTIFS(実績!$W$6:$W$505,BN$3,実績!$AI$6:$AI$505,"&lt;="&amp;$A226,実績!$AJ$6:$AJ$505,"&gt;"&amp;$A226,実績!$AK$6:$AK$505,"○")&gt;0,1,0))</f>
        <v>0</v>
      </c>
      <c r="BO226" s="39" t="n">
        <f aca="false">IF(BO$4=0,0,IF(COUNTIFS(実績!$W$6:$W$505,BO$3,実績!$AI$6:$AI$505,"&lt;="&amp;$A226,実績!$AJ$6:$AJ$505,"&gt;"&amp;$A226,実績!$AK$6:$AK$505,"○")&gt;0,1,0))</f>
        <v>0</v>
      </c>
      <c r="BP226" s="39" t="n">
        <f aca="false">IF(BP$4=0,0,IF(COUNTIFS(実績!$W$6:$W$505,BP$3,実績!$AI$6:$AI$505,"&lt;="&amp;$A226,実績!$AJ$6:$AJ$505,"&gt;"&amp;$A226,実績!$AK$6:$AK$505,"○")&gt;0,1,0))</f>
        <v>0</v>
      </c>
      <c r="BQ226" s="39" t="n">
        <f aca="false">IF(BQ$4=0,0,IF(COUNTIFS(実績!$W$6:$W$505,BQ$3,実績!$AI$6:$AI$505,"&lt;="&amp;$A226,実績!$AJ$6:$AJ$505,"&gt;"&amp;$A226,実績!$AK$6:$AK$505,"○")&gt;0,1,0))</f>
        <v>0</v>
      </c>
      <c r="BR226" s="39" t="n">
        <f aca="false">IF(BR$4=0,0,IF(COUNTIFS(実績!$W$6:$W$505,BR$3,実績!$AI$6:$AI$505,"&lt;="&amp;$A226,実績!$AJ$6:$AJ$505,"&gt;"&amp;$A226,実績!$AK$6:$AK$505,"○")&gt;0,1,0))</f>
        <v>0</v>
      </c>
      <c r="BS226" s="39" t="n">
        <f aca="false">IF(BS$4=0,0,IF(COUNTIFS(実績!$W$6:$W$505,BS$3,実績!$AI$6:$AI$505,"&lt;="&amp;$A226,実績!$AJ$6:$AJ$505,"&gt;"&amp;$A226,実績!$AK$6:$AK$505,"○")&gt;0,1,0))</f>
        <v>0</v>
      </c>
      <c r="BT226" s="39" t="n">
        <f aca="false">IF(BT$4=0,0,IF(COUNTIFS(実績!$W$6:$W$505,BT$3,実績!$AI$6:$AI$505,"&lt;="&amp;$A226,実績!$AJ$6:$AJ$505,"&gt;"&amp;$A226,実績!$AK$6:$AK$505,"○")&gt;0,1,0))</f>
        <v>0</v>
      </c>
      <c r="BU226" s="39" t="n">
        <f aca="false">IF(BU$4=0,0,IF(COUNTIFS(実績!$W$6:$W$505,BU$3,実績!$AI$6:$AI$505,"&lt;="&amp;$A226,実績!$AJ$6:$AJ$505,"&gt;"&amp;$A226,実績!$AK$6:$AK$505,"○")&gt;0,1,0))</f>
        <v>0</v>
      </c>
      <c r="BV226" s="39" t="n">
        <f aca="false">IF(BV$4=0,0,IF(COUNTIFS(実績!$W$6:$W$505,BV$3,実績!$AI$6:$AI$505,"&lt;="&amp;$A226,実績!$AJ$6:$AJ$505,"&gt;"&amp;$A226,実績!$AK$6:$AK$505,"○")&gt;0,1,0))</f>
        <v>0</v>
      </c>
      <c r="BW226" s="39" t="n">
        <f aca="false">IF(BW$4=0,0,IF(COUNTIFS(実績!$W$6:$W$505,BW$3,実績!$AI$6:$AI$505,"&lt;="&amp;$A226,実績!$AJ$6:$AJ$505,"&gt;"&amp;$A226,実績!$AK$6:$AK$505,"○")&gt;0,1,0))</f>
        <v>0</v>
      </c>
      <c r="BX226" s="39" t="n">
        <f aca="false">IF(BX$4=0,0,IF(COUNTIFS(実績!$W$6:$W$505,BX$3,実績!$AI$6:$AI$505,"&lt;="&amp;$A226,実績!$AJ$6:$AJ$505,"&gt;"&amp;$A226,実績!$AK$6:$AK$505,"○")&gt;0,1,0))</f>
        <v>0</v>
      </c>
      <c r="BY226" s="39" t="n">
        <f aca="false">IF(BY$4=0,0,IF(COUNTIFS(実績!$W$6:$W$505,BY$3,実績!$AI$6:$AI$505,"&lt;="&amp;$A226,実績!$AJ$6:$AJ$505,"&gt;"&amp;$A226,実績!$AK$6:$AK$505,"○")&gt;0,1,0))</f>
        <v>0</v>
      </c>
      <c r="BZ226" s="39" t="n">
        <f aca="false">IF(BZ$4=0,0,IF(COUNTIFS(実績!$W$6:$W$505,BZ$3,実績!$AI$6:$AI$505,"&lt;="&amp;$A226,実績!$AJ$6:$AJ$505,"&gt;"&amp;$A226,実績!$AK$6:$AK$505,"○")&gt;0,1,0))</f>
        <v>0</v>
      </c>
      <c r="CA226" s="39" t="n">
        <f aca="false">IF(CA$4=0,0,IF(COUNTIFS(実績!$W$6:$W$505,CA$3,実績!$AI$6:$AI$505,"&lt;="&amp;$A226,実績!$AJ$6:$AJ$505,"&gt;"&amp;$A226,実績!$AK$6:$AK$505,"○")&gt;0,1,0))</f>
        <v>0</v>
      </c>
      <c r="CB226" s="39" t="n">
        <f aca="false">IF(CB$4=0,0,IF(COUNTIFS(実績!$W$6:$W$505,CB$3,実績!$AI$6:$AI$505,"&lt;="&amp;$A226,実績!$AJ$6:$AJ$505,"&gt;"&amp;$A226,実績!$AK$6:$AK$505,"○")&gt;0,1,0))</f>
        <v>0</v>
      </c>
      <c r="CC226" s="39" t="n">
        <f aca="false">IF(CC$4=0,0,IF(COUNTIFS(実績!$W$6:$W$505,CC$3,実績!$AI$6:$AI$505,"&lt;="&amp;$A226,実績!$AJ$6:$AJ$505,"&gt;"&amp;$A226,実績!$AK$6:$AK$505,"○")&gt;0,1,0))</f>
        <v>0</v>
      </c>
      <c r="CD226" s="39" t="n">
        <f aca="false">IF(CD$4=0,0,IF(COUNTIFS(実績!$W$6:$W$505,CD$3,実績!$AI$6:$AI$505,"&lt;="&amp;$A226,実績!$AJ$6:$AJ$505,"&gt;"&amp;$A226,実績!$AK$6:$AK$505,"○")&gt;0,1,0))</f>
        <v>0</v>
      </c>
      <c r="CE226" s="39" t="n">
        <f aca="false">IF(CE$4=0,0,IF(COUNTIFS(実績!$W$6:$W$505,CE$3,実績!$AI$6:$AI$505,"&lt;="&amp;$A226,実績!$AJ$6:$AJ$505,"&gt;"&amp;$A226,実績!$AK$6:$AK$505,"○")&gt;0,1,0))</f>
        <v>0</v>
      </c>
      <c r="CF226" s="39" t="n">
        <f aca="false">IF(CF$4=0,0,IF(COUNTIFS(実績!$W$6:$W$505,CF$3,実績!$AI$6:$AI$505,"&lt;="&amp;$A226,実績!$AJ$6:$AJ$505,"&gt;"&amp;$A226,実績!$AK$6:$AK$505,"○")&gt;0,1,0))</f>
        <v>0</v>
      </c>
      <c r="CG226" s="39" t="n">
        <f aca="false">IF(CG$4=0,0,IF(COUNTIFS(実績!$W$6:$W$505,CG$3,実績!$AI$6:$AI$505,"&lt;="&amp;$A226,実績!$AJ$6:$AJ$505,"&gt;"&amp;$A226,実績!$AK$6:$AK$505,"○")&gt;0,1,0))</f>
        <v>0</v>
      </c>
      <c r="CH226" s="39" t="n">
        <f aca="false">IF(CH$4=0,0,IF(COUNTIFS(実績!$W$6:$W$505,CH$3,実績!$AI$6:$AI$505,"&lt;="&amp;$A226,実績!$AJ$6:$AJ$505,"&gt;"&amp;$A226,実績!$AK$6:$AK$505,"○")&gt;0,1,0))</f>
        <v>0</v>
      </c>
      <c r="CI226" s="39" t="n">
        <f aca="false">IF(CI$4=0,0,IF(COUNTIFS(実績!$W$6:$W$505,CI$3,実績!$AI$6:$AI$505,"&lt;="&amp;$A226,実績!$AJ$6:$AJ$505,"&gt;"&amp;$A226,実績!$AK$6:$AK$505,"○")&gt;0,1,0))</f>
        <v>0</v>
      </c>
      <c r="CJ226" s="39" t="n">
        <f aca="false">IF(CJ$4=0,0,IF(COUNTIFS(実績!$W$6:$W$505,CJ$3,実績!$AI$6:$AI$505,"&lt;="&amp;$A226,実績!$AJ$6:$AJ$505,"&gt;"&amp;$A226,実績!$AK$6:$AK$505,"○")&gt;0,1,0))</f>
        <v>0</v>
      </c>
      <c r="CK226" s="39" t="n">
        <f aca="false">IF(CK$4=0,0,IF(COUNTIFS(実績!$W$6:$W$505,CK$3,実績!$AI$6:$AI$505,"&lt;="&amp;$A226,実績!$AJ$6:$AJ$505,"&gt;"&amp;$A226,実績!$AK$6:$AK$505,"○")&gt;0,1,0))</f>
        <v>0</v>
      </c>
      <c r="CL226" s="39" t="n">
        <f aca="false">IF(CL$4=0,0,IF(COUNTIFS(実績!$W$6:$W$505,CL$3,実績!$AI$6:$AI$505,"&lt;="&amp;$A226,実績!$AJ$6:$AJ$505,"&gt;"&amp;$A226,実績!$AK$6:$AK$505,"○")&gt;0,1,0))</f>
        <v>0</v>
      </c>
      <c r="CM226" s="39" t="n">
        <f aca="false">IF(CM$4=0,0,IF(COUNTIFS(実績!$W$6:$W$505,CM$3,実績!$AI$6:$AI$505,"&lt;="&amp;$A226,実績!$AJ$6:$AJ$505,"&gt;"&amp;$A226,実績!$AK$6:$AK$505,"○")&gt;0,1,0))</f>
        <v>0</v>
      </c>
      <c r="CN226" s="39" t="n">
        <f aca="false">IF(CN$4=0,0,IF(COUNTIFS(実績!$W$6:$W$505,CN$3,実績!$AI$6:$AI$505,"&lt;="&amp;$A226,実績!$AJ$6:$AJ$505,"&gt;"&amp;$A226,実績!$AK$6:$AK$505,"○")&gt;0,1,0))</f>
        <v>0</v>
      </c>
      <c r="CO226" s="39" t="n">
        <f aca="false">IF(CO$4=0,0,IF(COUNTIFS(実績!$W$6:$W$505,CO$3,実績!$AI$6:$AI$505,"&lt;="&amp;$A226,実績!$AJ$6:$AJ$505,"&gt;"&amp;$A226,実績!$AK$6:$AK$505,"○")&gt;0,1,0))</f>
        <v>0</v>
      </c>
      <c r="CP226" s="39" t="n">
        <f aca="false">IF(CP$4=0,0,IF(COUNTIFS(実績!$W$6:$W$505,CP$3,実績!$AI$6:$AI$505,"&lt;="&amp;$A226,実績!$AJ$6:$AJ$505,"&gt;"&amp;$A226,実績!$AK$6:$AK$505,"○")&gt;0,1,0))</f>
        <v>0</v>
      </c>
      <c r="CQ226" s="39" t="n">
        <f aca="false">IF(CQ$4=0,0,IF(COUNTIFS(実績!$W$6:$W$505,CQ$3,実績!$AI$6:$AI$505,"&lt;="&amp;$A226,実績!$AJ$6:$AJ$505,"&gt;"&amp;$A226,実績!$AK$6:$AK$505,"○")&gt;0,1,0))</f>
        <v>0</v>
      </c>
      <c r="CR226" s="39" t="n">
        <f aca="false">IF(CR$4=0,0,IF(COUNTIFS(実績!$W$6:$W$505,CR$3,実績!$AI$6:$AI$505,"&lt;="&amp;$A226,実績!$AJ$6:$AJ$505,"&gt;"&amp;$A226,実績!$AK$6:$AK$505,"○")&gt;0,1,0))</f>
        <v>0</v>
      </c>
      <c r="CS226" s="39" t="n">
        <f aca="false">IF(CS$4=0,0,IF(COUNTIFS(実績!$W$6:$W$505,CS$3,実績!$AI$6:$AI$505,"&lt;="&amp;$A226,実績!$AJ$6:$AJ$505,"&gt;"&amp;$A226,実績!$AK$6:$AK$505,"○")&gt;0,1,0))</f>
        <v>0</v>
      </c>
      <c r="CT226" s="39" t="n">
        <f aca="false">IF(CT$4=0,0,IF(COUNTIFS(実績!$W$6:$W$505,CT$3,実績!$AI$6:$AI$505,"&lt;="&amp;$A226,実績!$AJ$6:$AJ$505,"&gt;"&amp;$A226,実績!$AK$6:$AK$505,"○")&gt;0,1,0))</f>
        <v>0</v>
      </c>
      <c r="CU226" s="39" t="n">
        <f aca="false">IF(CU$4=0,0,IF(COUNTIFS(実績!$W$6:$W$505,CU$3,実績!$AI$6:$AI$505,"&lt;="&amp;$A226,実績!$AJ$6:$AJ$505,"&gt;"&amp;$A226,実績!$AK$6:$AK$505,"○")&gt;0,1,0))</f>
        <v>0</v>
      </c>
      <c r="CV226" s="39" t="n">
        <f aca="false">IF(CV$4=0,0,IF(COUNTIFS(実績!$W$6:$W$505,CV$3,実績!$AI$6:$AI$505,"&lt;="&amp;$A226,実績!$AJ$6:$AJ$505,"&gt;"&amp;$A226,実績!$AK$6:$AK$505,"○")&gt;0,1,0))</f>
        <v>0</v>
      </c>
      <c r="CW226" s="39" t="n">
        <f aca="false">IF(CW$4=0,0,IF(COUNTIFS(実績!$W$6:$W$505,CW$3,実績!$AI$6:$AI$505,"&lt;="&amp;$A226,実績!$AJ$6:$AJ$505,"&gt;"&amp;$A226,実績!$AK$6:$AK$505,"○")&gt;0,1,0))</f>
        <v>0</v>
      </c>
      <c r="CX226" s="39" t="n">
        <f aca="false">IF(CX$4=0,0,IF(COUNTIFS(実績!$W$6:$W$505,CX$3,実績!$AI$6:$AI$505,"&lt;="&amp;$A226,実績!$AJ$6:$AJ$505,"&gt;"&amp;$A226,実績!$AK$6:$AK$505,"○")&gt;0,1,0))</f>
        <v>0</v>
      </c>
      <c r="CY226" s="39" t="n">
        <f aca="false">IF(CY$4=0,0,IF(COUNTIFS(実績!$W$6:$W$505,CY$3,実績!$AI$6:$AI$505,"&lt;="&amp;$A226,実績!$AJ$6:$AJ$505,"&gt;"&amp;$A226,実績!$AK$6:$AK$505,"○")&gt;0,1,0))</f>
        <v>0</v>
      </c>
      <c r="CZ226" s="39" t="n">
        <f aca="false">IF(CZ$4=0,0,IF(COUNTIFS(実績!$W$6:$W$505,CZ$3,実績!$AI$6:$AI$505,"&lt;="&amp;$A226,実績!$AJ$6:$AJ$505,"&gt;"&amp;$A226,実績!$AK$6:$AK$505,"○")&gt;0,1,0))</f>
        <v>0</v>
      </c>
      <c r="DA226" s="39" t="n">
        <f aca="false">IF(DA$4=0,0,IF(COUNTIFS(実績!$W$6:$W$505,DA$3,実績!$AI$6:$AI$505,"&lt;="&amp;$A226,実績!$AJ$6:$AJ$505,"&gt;"&amp;$A226,実績!$AK$6:$AK$505,"○")&gt;0,1,0))</f>
        <v>0</v>
      </c>
      <c r="DB226" s="39" t="n">
        <f aca="false">IF(DB$4=0,0,IF(COUNTIFS(実績!$W$6:$W$505,DB$3,実績!$AI$6:$AI$505,"&lt;="&amp;$A226,実績!$AJ$6:$AJ$505,"&gt;"&amp;$A226,実績!$AK$6:$AK$505,"○")&gt;0,1,0))</f>
        <v>0</v>
      </c>
      <c r="DC226" s="39" t="n">
        <f aca="false">IF(DC$4=0,0,IF(COUNTIFS(実績!$W$6:$W$505,DC$3,実績!$AI$6:$AI$505,"&lt;="&amp;$A226,実績!$AJ$6:$AJ$505,"&gt;"&amp;$A226,実績!$AK$6:$AK$505,"○")&gt;0,1,0))</f>
        <v>0</v>
      </c>
      <c r="DD226" s="39" t="n">
        <f aca="false">IF(DD$4=0,0,IF(COUNTIFS(実績!$W$6:$W$505,DD$3,実績!$AI$6:$AI$505,"&lt;="&amp;$A226,実績!$AJ$6:$AJ$505,"&gt;"&amp;$A226,実績!$AK$6:$AK$505,"○")&gt;0,1,0))</f>
        <v>0</v>
      </c>
      <c r="DE226" s="39" t="n">
        <f aca="false">IF(DE$4=0,0,IF(COUNTIFS(実績!$W$6:$W$505,DE$3,実績!$AI$6:$AI$505,"&lt;="&amp;$A226,実績!$AJ$6:$AJ$505,"&gt;"&amp;$A226,実績!$AK$6:$AK$505,"○")&gt;0,1,0))</f>
        <v>0</v>
      </c>
      <c r="DF226" s="39" t="n">
        <f aca="false">IF(DF$4=0,0,IF(COUNTIFS(実績!$W$6:$W$505,DF$3,実績!$AI$6:$AI$505,"&lt;="&amp;$A226,実績!$AJ$6:$AJ$505,"&gt;"&amp;$A226,実績!$AK$6:$AK$505,"○")&gt;0,1,0))</f>
        <v>0</v>
      </c>
      <c r="DG226" s="39" t="n">
        <f aca="false">IF(DG$4=0,0,IF(COUNTIFS(実績!$W$6:$W$505,DG$3,実績!$AI$6:$AI$505,"&lt;="&amp;$A226,実績!$AJ$6:$AJ$505,"&gt;"&amp;$A226,実績!$AK$6:$AK$505,"○")&gt;0,1,0))</f>
        <v>0</v>
      </c>
      <c r="DH226" s="39" t="n">
        <f aca="false">IF(DH$4=0,0,IF(COUNTIFS(実績!$W$6:$W$505,DH$3,実績!$AI$6:$AI$505,"&lt;="&amp;$A226,実績!$AJ$6:$AJ$505,"&gt;"&amp;$A226,実績!$AK$6:$AK$505,"○")&gt;0,1,0))</f>
        <v>0</v>
      </c>
      <c r="DI226" s="39" t="n">
        <f aca="false">IF(DI$4=0,0,IF(COUNTIFS(実績!$W$6:$W$505,DI$3,実績!$AI$6:$AI$505,"&lt;="&amp;$A226,実績!$AJ$6:$AJ$505,"&gt;"&amp;$A226,実績!$AK$6:$AK$505,"○")&gt;0,1,0))</f>
        <v>0</v>
      </c>
      <c r="DJ226" s="39" t="n">
        <f aca="false">IF(DJ$4=0,0,IF(COUNTIFS(実績!$W$6:$W$505,DJ$3,実績!$AI$6:$AI$505,"&lt;="&amp;$A226,実績!$AJ$6:$AJ$505,"&gt;"&amp;$A226,実績!$AK$6:$AK$505,"○")&gt;0,1,0))</f>
        <v>0</v>
      </c>
      <c r="DK226" s="39" t="n">
        <f aca="false">IF(DK$4=0,0,IF(COUNTIFS(実績!$W$6:$W$505,DK$3,実績!$AI$6:$AI$505,"&lt;="&amp;$A226,実績!$AJ$6:$AJ$505,"&gt;"&amp;$A226,実績!$AK$6:$AK$505,"○")&gt;0,1,0))</f>
        <v>0</v>
      </c>
      <c r="DL226" s="39" t="n">
        <f aca="false">IF(DL$4=0,0,IF(COUNTIFS(実績!$W$6:$W$505,DL$3,実績!$AI$6:$AI$505,"&lt;="&amp;$A226,実績!$AJ$6:$AJ$505,"&gt;"&amp;$A226,実績!$AK$6:$AK$505,"○")&gt;0,1,0))</f>
        <v>0</v>
      </c>
      <c r="DM226" s="39" t="n">
        <f aca="false">IF(DM$4=0,0,IF(COUNTIFS(実績!$W$6:$W$505,DM$3,実績!$AI$6:$AI$505,"&lt;="&amp;$A226,実績!$AJ$6:$AJ$505,"&gt;"&amp;$A226,実績!$AK$6:$AK$505,"○")&gt;0,1,0))</f>
        <v>0</v>
      </c>
      <c r="DN226" s="39" t="n">
        <f aca="false">IF(DN$4=0,0,IF(COUNTIFS(実績!$W$6:$W$505,DN$3,実績!$AI$6:$AI$505,"&lt;="&amp;$A226,実績!$AJ$6:$AJ$505,"&gt;"&amp;$A226,実績!$AK$6:$AK$505,"○")&gt;0,1,0))</f>
        <v>0</v>
      </c>
      <c r="DO226" s="39" t="n">
        <f aca="false">IF(DO$4=0,0,IF(COUNTIFS(実績!$W$6:$W$505,DO$3,実績!$AI$6:$AI$505,"&lt;="&amp;$A226,実績!$AJ$6:$AJ$505,"&gt;"&amp;$A226,実績!$AK$6:$AK$505,"○")&gt;0,1,0))</f>
        <v>0</v>
      </c>
      <c r="DP226" s="39" t="n">
        <f aca="false">IF(DP$4=0,0,IF(COUNTIFS(実績!$W$6:$W$505,DP$3,実績!$AI$6:$AI$505,"&lt;="&amp;$A226,実績!$AJ$6:$AJ$505,"&gt;"&amp;$A226,実績!$AK$6:$AK$505,"○")&gt;0,1,0))</f>
        <v>0</v>
      </c>
      <c r="DQ226" s="39" t="n">
        <f aca="false">IF(DQ$4=0,0,IF(COUNTIFS(実績!$W$6:$W$505,DQ$3,実績!$AI$6:$AI$505,"&lt;="&amp;$A226,実績!$AJ$6:$AJ$505,"&gt;"&amp;$A226,実績!$AK$6:$AK$505,"○")&gt;0,1,0))</f>
        <v>0</v>
      </c>
      <c r="DR226" s="39" t="n">
        <f aca="false">IF(DR$4=0,0,IF(COUNTIFS(実績!$W$6:$W$505,DR$3,実績!$AI$6:$AI$505,"&lt;="&amp;$A226,実績!$AJ$6:$AJ$505,"&gt;"&amp;$A226,実績!$AK$6:$AK$505,"○")&gt;0,1,0))</f>
        <v>0</v>
      </c>
      <c r="DS226" s="39" t="n">
        <f aca="false">SUM(C226:DR226)</f>
        <v>0</v>
      </c>
      <c r="DT226" s="39" t="n">
        <f aca="false">SUMPRODUCT((実績!$C$6:$C$505="○")*ISNUMBER(実績!$AM$6:$AM$505)*(実績!$AM$6:$AM$505&lt;=$A226)*(実績!$AN$6:$AN$505&gt;$A226))</f>
        <v>0</v>
      </c>
      <c r="DU226" s="39" t="n">
        <f aca="false">SUMIF($C$2:$DR$2,"製鉄曳船",C226:DR226)</f>
        <v>0</v>
      </c>
      <c r="DV226" s="39" t="n">
        <f aca="false">SUMIF($C$2:$DR$2,"西日本海運",C226:DR226)</f>
        <v>0</v>
      </c>
    </row>
    <row r="227" customFormat="false" ht="15" hidden="false" customHeight="false" outlineLevel="0" collapsed="false">
      <c r="A227" s="0" t="n">
        <v>1105</v>
      </c>
      <c r="B227" s="38" t="n">
        <f aca="false">A227/1440</f>
        <v>0.767361111111111</v>
      </c>
      <c r="C227" s="39" t="n">
        <f aca="false">IF(C$4=0,0,IF(COUNTIFS(実績!$W$6:$W$505,C$3,実績!$AI$6:$AI$505,"&lt;="&amp;$A227,実績!$AJ$6:$AJ$505,"&gt;"&amp;$A227,実績!$AK$6:$AK$505,"○")&gt;0,1,0))</f>
        <v>0</v>
      </c>
      <c r="D227" s="39" t="n">
        <f aca="false">IF(D$4=0,0,IF(COUNTIFS(実績!$W$6:$W$505,D$3,実績!$AI$6:$AI$505,"&lt;="&amp;$A227,実績!$AJ$6:$AJ$505,"&gt;"&amp;$A227,実績!$AK$6:$AK$505,"○")&gt;0,1,0))</f>
        <v>0</v>
      </c>
      <c r="E227" s="39" t="n">
        <f aca="false">IF(E$4=0,0,IF(COUNTIFS(実績!$W$6:$W$505,E$3,実績!$AI$6:$AI$505,"&lt;="&amp;$A227,実績!$AJ$6:$AJ$505,"&gt;"&amp;$A227,実績!$AK$6:$AK$505,"○")&gt;0,1,0))</f>
        <v>0</v>
      </c>
      <c r="F227" s="39" t="n">
        <f aca="false">IF(F$4=0,0,IF(COUNTIFS(実績!$W$6:$W$505,F$3,実績!$AI$6:$AI$505,"&lt;="&amp;$A227,実績!$AJ$6:$AJ$505,"&gt;"&amp;$A227,実績!$AK$6:$AK$505,"○")&gt;0,1,0))</f>
        <v>0</v>
      </c>
      <c r="G227" s="39" t="n">
        <f aca="false">IF(G$4=0,0,IF(COUNTIFS(実績!$W$6:$W$505,G$3,実績!$AI$6:$AI$505,"&lt;="&amp;$A227,実績!$AJ$6:$AJ$505,"&gt;"&amp;$A227,実績!$AK$6:$AK$505,"○")&gt;0,1,0))</f>
        <v>0</v>
      </c>
      <c r="H227" s="39" t="n">
        <f aca="false">IF(H$4=0,0,IF(COUNTIFS(実績!$W$6:$W$505,H$3,実績!$AI$6:$AI$505,"&lt;="&amp;$A227,実績!$AJ$6:$AJ$505,"&gt;"&amp;$A227,実績!$AK$6:$AK$505,"○")&gt;0,1,0))</f>
        <v>0</v>
      </c>
      <c r="I227" s="39" t="n">
        <f aca="false">IF(I$4=0,0,IF(COUNTIFS(実績!$W$6:$W$505,I$3,実績!$AI$6:$AI$505,"&lt;="&amp;$A227,実績!$AJ$6:$AJ$505,"&gt;"&amp;$A227,実績!$AK$6:$AK$505,"○")&gt;0,1,0))</f>
        <v>0</v>
      </c>
      <c r="J227" s="39" t="n">
        <f aca="false">IF(J$4=0,0,IF(COUNTIFS(実績!$W$6:$W$505,J$3,実績!$AI$6:$AI$505,"&lt;="&amp;$A227,実績!$AJ$6:$AJ$505,"&gt;"&amp;$A227,実績!$AK$6:$AK$505,"○")&gt;0,1,0))</f>
        <v>0</v>
      </c>
      <c r="K227" s="39" t="n">
        <f aca="false">IF(K$4=0,0,IF(COUNTIFS(実績!$W$6:$W$505,K$3,実績!$AI$6:$AI$505,"&lt;="&amp;$A227,実績!$AJ$6:$AJ$505,"&gt;"&amp;$A227,実績!$AK$6:$AK$505,"○")&gt;0,1,0))</f>
        <v>0</v>
      </c>
      <c r="L227" s="39" t="n">
        <f aca="false">IF(L$4=0,0,IF(COUNTIFS(実績!$W$6:$W$505,L$3,実績!$AI$6:$AI$505,"&lt;="&amp;$A227,実績!$AJ$6:$AJ$505,"&gt;"&amp;$A227,実績!$AK$6:$AK$505,"○")&gt;0,1,0))</f>
        <v>0</v>
      </c>
      <c r="M227" s="39" t="n">
        <f aca="false">IF(M$4=0,0,IF(COUNTIFS(実績!$W$6:$W$505,M$3,実績!$AI$6:$AI$505,"&lt;="&amp;$A227,実績!$AJ$6:$AJ$505,"&gt;"&amp;$A227,実績!$AK$6:$AK$505,"○")&gt;0,1,0))</f>
        <v>0</v>
      </c>
      <c r="N227" s="39" t="n">
        <f aca="false">IF(N$4=0,0,IF(COUNTIFS(実績!$W$6:$W$505,N$3,実績!$AI$6:$AI$505,"&lt;="&amp;$A227,実績!$AJ$6:$AJ$505,"&gt;"&amp;$A227,実績!$AK$6:$AK$505,"○")&gt;0,1,0))</f>
        <v>0</v>
      </c>
      <c r="O227" s="39" t="n">
        <f aca="false">IF(O$4=0,0,IF(COUNTIFS(実績!$W$6:$W$505,O$3,実績!$AI$6:$AI$505,"&lt;="&amp;$A227,実績!$AJ$6:$AJ$505,"&gt;"&amp;$A227,実績!$AK$6:$AK$505,"○")&gt;0,1,0))</f>
        <v>0</v>
      </c>
      <c r="P227" s="39" t="n">
        <f aca="false">IF(P$4=0,0,IF(COUNTIFS(実績!$W$6:$W$505,P$3,実績!$AI$6:$AI$505,"&lt;="&amp;$A227,実績!$AJ$6:$AJ$505,"&gt;"&amp;$A227,実績!$AK$6:$AK$505,"○")&gt;0,1,0))</f>
        <v>0</v>
      </c>
      <c r="Q227" s="39" t="n">
        <f aca="false">IF(Q$4=0,0,IF(COUNTIFS(実績!$W$6:$W$505,Q$3,実績!$AI$6:$AI$505,"&lt;="&amp;$A227,実績!$AJ$6:$AJ$505,"&gt;"&amp;$A227,実績!$AK$6:$AK$505,"○")&gt;0,1,0))</f>
        <v>0</v>
      </c>
      <c r="R227" s="39" t="n">
        <f aca="false">IF(R$4=0,0,IF(COUNTIFS(実績!$W$6:$W$505,R$3,実績!$AI$6:$AI$505,"&lt;="&amp;$A227,実績!$AJ$6:$AJ$505,"&gt;"&amp;$A227,実績!$AK$6:$AK$505,"○")&gt;0,1,0))</f>
        <v>0</v>
      </c>
      <c r="S227" s="39" t="n">
        <f aca="false">IF(S$4=0,0,IF(COUNTIFS(実績!$W$6:$W$505,S$3,実績!$AI$6:$AI$505,"&lt;="&amp;$A227,実績!$AJ$6:$AJ$505,"&gt;"&amp;$A227,実績!$AK$6:$AK$505,"○")&gt;0,1,0))</f>
        <v>0</v>
      </c>
      <c r="T227" s="39" t="n">
        <f aca="false">IF(T$4=0,0,IF(COUNTIFS(実績!$W$6:$W$505,T$3,実績!$AI$6:$AI$505,"&lt;="&amp;$A227,実績!$AJ$6:$AJ$505,"&gt;"&amp;$A227,実績!$AK$6:$AK$505,"○")&gt;0,1,0))</f>
        <v>0</v>
      </c>
      <c r="U227" s="39" t="n">
        <f aca="false">IF(U$4=0,0,IF(COUNTIFS(実績!$W$6:$W$505,U$3,実績!$AI$6:$AI$505,"&lt;="&amp;$A227,実績!$AJ$6:$AJ$505,"&gt;"&amp;$A227,実績!$AK$6:$AK$505,"○")&gt;0,1,0))</f>
        <v>0</v>
      </c>
      <c r="V227" s="39" t="n">
        <f aca="false">IF(V$4=0,0,IF(COUNTIFS(実績!$W$6:$W$505,V$3,実績!$AI$6:$AI$505,"&lt;="&amp;$A227,実績!$AJ$6:$AJ$505,"&gt;"&amp;$A227,実績!$AK$6:$AK$505,"○")&gt;0,1,0))</f>
        <v>0</v>
      </c>
      <c r="W227" s="39" t="n">
        <f aca="false">IF(W$4=0,0,IF(COUNTIFS(実績!$W$6:$W$505,W$3,実績!$AI$6:$AI$505,"&lt;="&amp;$A227,実績!$AJ$6:$AJ$505,"&gt;"&amp;$A227,実績!$AK$6:$AK$505,"○")&gt;0,1,0))</f>
        <v>0</v>
      </c>
      <c r="X227" s="39" t="n">
        <f aca="false">IF(X$4=0,0,IF(COUNTIFS(実績!$W$6:$W$505,X$3,実績!$AI$6:$AI$505,"&lt;="&amp;$A227,実績!$AJ$6:$AJ$505,"&gt;"&amp;$A227,実績!$AK$6:$AK$505,"○")&gt;0,1,0))</f>
        <v>0</v>
      </c>
      <c r="Y227" s="39" t="n">
        <f aca="false">IF(Y$4=0,0,IF(COUNTIFS(実績!$W$6:$W$505,Y$3,実績!$AI$6:$AI$505,"&lt;="&amp;$A227,実績!$AJ$6:$AJ$505,"&gt;"&amp;$A227,実績!$AK$6:$AK$505,"○")&gt;0,1,0))</f>
        <v>0</v>
      </c>
      <c r="Z227" s="39" t="n">
        <f aca="false">IF(Z$4=0,0,IF(COUNTIFS(実績!$W$6:$W$505,Z$3,実績!$AI$6:$AI$505,"&lt;="&amp;$A227,実績!$AJ$6:$AJ$505,"&gt;"&amp;$A227,実績!$AK$6:$AK$505,"○")&gt;0,1,0))</f>
        <v>0</v>
      </c>
      <c r="AA227" s="39" t="n">
        <f aca="false">IF(AA$4=0,0,IF(COUNTIFS(実績!$W$6:$W$505,AA$3,実績!$AI$6:$AI$505,"&lt;="&amp;$A227,実績!$AJ$6:$AJ$505,"&gt;"&amp;$A227,実績!$AK$6:$AK$505,"○")&gt;0,1,0))</f>
        <v>0</v>
      </c>
      <c r="AB227" s="39" t="n">
        <f aca="false">IF(AB$4=0,0,IF(COUNTIFS(実績!$W$6:$W$505,AB$3,実績!$AI$6:$AI$505,"&lt;="&amp;$A227,実績!$AJ$6:$AJ$505,"&gt;"&amp;$A227,実績!$AK$6:$AK$505,"○")&gt;0,1,0))</f>
        <v>0</v>
      </c>
      <c r="AC227" s="39" t="n">
        <f aca="false">IF(AC$4=0,0,IF(COUNTIFS(実績!$W$6:$W$505,AC$3,実績!$AI$6:$AI$505,"&lt;="&amp;$A227,実績!$AJ$6:$AJ$505,"&gt;"&amp;$A227,実績!$AK$6:$AK$505,"○")&gt;0,1,0))</f>
        <v>0</v>
      </c>
      <c r="AD227" s="39" t="n">
        <f aca="false">IF(AD$4=0,0,IF(COUNTIFS(実績!$W$6:$W$505,AD$3,実績!$AI$6:$AI$505,"&lt;="&amp;$A227,実績!$AJ$6:$AJ$505,"&gt;"&amp;$A227,実績!$AK$6:$AK$505,"○")&gt;0,1,0))</f>
        <v>0</v>
      </c>
      <c r="AE227" s="39" t="n">
        <f aca="false">IF(AE$4=0,0,IF(COUNTIFS(実績!$W$6:$W$505,AE$3,実績!$AI$6:$AI$505,"&lt;="&amp;$A227,実績!$AJ$6:$AJ$505,"&gt;"&amp;$A227,実績!$AK$6:$AK$505,"○")&gt;0,1,0))</f>
        <v>0</v>
      </c>
      <c r="AF227" s="39" t="n">
        <f aca="false">IF(AF$4=0,0,IF(COUNTIFS(実績!$W$6:$W$505,AF$3,実績!$AI$6:$AI$505,"&lt;="&amp;$A227,実績!$AJ$6:$AJ$505,"&gt;"&amp;$A227,実績!$AK$6:$AK$505,"○")&gt;0,1,0))</f>
        <v>0</v>
      </c>
      <c r="AG227" s="39" t="n">
        <f aca="false">IF(AG$4=0,0,IF(COUNTIFS(実績!$W$6:$W$505,AG$3,実績!$AI$6:$AI$505,"&lt;="&amp;$A227,実績!$AJ$6:$AJ$505,"&gt;"&amp;$A227,実績!$AK$6:$AK$505,"○")&gt;0,1,0))</f>
        <v>0</v>
      </c>
      <c r="AH227" s="39" t="n">
        <f aca="false">IF(AH$4=0,0,IF(COUNTIFS(実績!$W$6:$W$505,AH$3,実績!$AI$6:$AI$505,"&lt;="&amp;$A227,実績!$AJ$6:$AJ$505,"&gt;"&amp;$A227,実績!$AK$6:$AK$505,"○")&gt;0,1,0))</f>
        <v>0</v>
      </c>
      <c r="AI227" s="39" t="n">
        <f aca="false">IF(AI$4=0,0,IF(COUNTIFS(実績!$W$6:$W$505,AI$3,実績!$AI$6:$AI$505,"&lt;="&amp;$A227,実績!$AJ$6:$AJ$505,"&gt;"&amp;$A227,実績!$AK$6:$AK$505,"○")&gt;0,1,0))</f>
        <v>0</v>
      </c>
      <c r="AJ227" s="39" t="n">
        <f aca="false">IF(AJ$4=0,0,IF(COUNTIFS(実績!$W$6:$W$505,AJ$3,実績!$AI$6:$AI$505,"&lt;="&amp;$A227,実績!$AJ$6:$AJ$505,"&gt;"&amp;$A227,実績!$AK$6:$AK$505,"○")&gt;0,1,0))</f>
        <v>0</v>
      </c>
      <c r="AK227" s="39" t="n">
        <f aca="false">IF(AK$4=0,0,IF(COUNTIFS(実績!$W$6:$W$505,AK$3,実績!$AI$6:$AI$505,"&lt;="&amp;$A227,実績!$AJ$6:$AJ$505,"&gt;"&amp;$A227,実績!$AK$6:$AK$505,"○")&gt;0,1,0))</f>
        <v>0</v>
      </c>
      <c r="AL227" s="39" t="n">
        <f aca="false">IF(AL$4=0,0,IF(COUNTIFS(実績!$W$6:$W$505,AL$3,実績!$AI$6:$AI$505,"&lt;="&amp;$A227,実績!$AJ$6:$AJ$505,"&gt;"&amp;$A227,実績!$AK$6:$AK$505,"○")&gt;0,1,0))</f>
        <v>0</v>
      </c>
      <c r="AM227" s="39" t="n">
        <f aca="false">IF(AM$4=0,0,IF(COUNTIFS(実績!$W$6:$W$505,AM$3,実績!$AI$6:$AI$505,"&lt;="&amp;$A227,実績!$AJ$6:$AJ$505,"&gt;"&amp;$A227,実績!$AK$6:$AK$505,"○")&gt;0,1,0))</f>
        <v>0</v>
      </c>
      <c r="AN227" s="39" t="n">
        <f aca="false">IF(AN$4=0,0,IF(COUNTIFS(実績!$W$6:$W$505,AN$3,実績!$AI$6:$AI$505,"&lt;="&amp;$A227,実績!$AJ$6:$AJ$505,"&gt;"&amp;$A227,実績!$AK$6:$AK$505,"○")&gt;0,1,0))</f>
        <v>0</v>
      </c>
      <c r="AO227" s="39" t="n">
        <f aca="false">IF(AO$4=0,0,IF(COUNTIFS(実績!$W$6:$W$505,AO$3,実績!$AI$6:$AI$505,"&lt;="&amp;$A227,実績!$AJ$6:$AJ$505,"&gt;"&amp;$A227,実績!$AK$6:$AK$505,"○")&gt;0,1,0))</f>
        <v>0</v>
      </c>
      <c r="AP227" s="39" t="n">
        <f aca="false">IF(AP$4=0,0,IF(COUNTIFS(実績!$W$6:$W$505,AP$3,実績!$AI$6:$AI$505,"&lt;="&amp;$A227,実績!$AJ$6:$AJ$505,"&gt;"&amp;$A227,実績!$AK$6:$AK$505,"○")&gt;0,1,0))</f>
        <v>0</v>
      </c>
      <c r="AQ227" s="39" t="n">
        <f aca="false">IF(AQ$4=0,0,IF(COUNTIFS(実績!$W$6:$W$505,AQ$3,実績!$AI$6:$AI$505,"&lt;="&amp;$A227,実績!$AJ$6:$AJ$505,"&gt;"&amp;$A227,実績!$AK$6:$AK$505,"○")&gt;0,1,0))</f>
        <v>0</v>
      </c>
      <c r="AR227" s="39" t="n">
        <f aca="false">IF(AR$4=0,0,IF(COUNTIFS(実績!$W$6:$W$505,AR$3,実績!$AI$6:$AI$505,"&lt;="&amp;$A227,実績!$AJ$6:$AJ$505,"&gt;"&amp;$A227,実績!$AK$6:$AK$505,"○")&gt;0,1,0))</f>
        <v>0</v>
      </c>
      <c r="AS227" s="39" t="n">
        <f aca="false">IF(AS$4=0,0,IF(COUNTIFS(実績!$W$6:$W$505,AS$3,実績!$AI$6:$AI$505,"&lt;="&amp;$A227,実績!$AJ$6:$AJ$505,"&gt;"&amp;$A227,実績!$AK$6:$AK$505,"○")&gt;0,1,0))</f>
        <v>0</v>
      </c>
      <c r="AT227" s="39" t="n">
        <f aca="false">IF(AT$4=0,0,IF(COUNTIFS(実績!$W$6:$W$505,AT$3,実績!$AI$6:$AI$505,"&lt;="&amp;$A227,実績!$AJ$6:$AJ$505,"&gt;"&amp;$A227,実績!$AK$6:$AK$505,"○")&gt;0,1,0))</f>
        <v>0</v>
      </c>
      <c r="AU227" s="39" t="n">
        <f aca="false">IF(AU$4=0,0,IF(COUNTIFS(実績!$W$6:$W$505,AU$3,実績!$AI$6:$AI$505,"&lt;="&amp;$A227,実績!$AJ$6:$AJ$505,"&gt;"&amp;$A227,実績!$AK$6:$AK$505,"○")&gt;0,1,0))</f>
        <v>0</v>
      </c>
      <c r="AV227" s="39" t="n">
        <f aca="false">IF(AV$4=0,0,IF(COUNTIFS(実績!$W$6:$W$505,AV$3,実績!$AI$6:$AI$505,"&lt;="&amp;$A227,実績!$AJ$6:$AJ$505,"&gt;"&amp;$A227,実績!$AK$6:$AK$505,"○")&gt;0,1,0))</f>
        <v>0</v>
      </c>
      <c r="AW227" s="39" t="n">
        <f aca="false">IF(AW$4=0,0,IF(COUNTIFS(実績!$W$6:$W$505,AW$3,実績!$AI$6:$AI$505,"&lt;="&amp;$A227,実績!$AJ$6:$AJ$505,"&gt;"&amp;$A227,実績!$AK$6:$AK$505,"○")&gt;0,1,0))</f>
        <v>0</v>
      </c>
      <c r="AX227" s="39" t="n">
        <f aca="false">IF(AX$4=0,0,IF(COUNTIFS(実績!$W$6:$W$505,AX$3,実績!$AI$6:$AI$505,"&lt;="&amp;$A227,実績!$AJ$6:$AJ$505,"&gt;"&amp;$A227,実績!$AK$6:$AK$505,"○")&gt;0,1,0))</f>
        <v>0</v>
      </c>
      <c r="AY227" s="39" t="n">
        <f aca="false">IF(AY$4=0,0,IF(COUNTIFS(実績!$W$6:$W$505,AY$3,実績!$AI$6:$AI$505,"&lt;="&amp;$A227,実績!$AJ$6:$AJ$505,"&gt;"&amp;$A227,実績!$AK$6:$AK$505,"○")&gt;0,1,0))</f>
        <v>0</v>
      </c>
      <c r="AZ227" s="39" t="n">
        <f aca="false">IF(AZ$4=0,0,IF(COUNTIFS(実績!$W$6:$W$505,AZ$3,実績!$AI$6:$AI$505,"&lt;="&amp;$A227,実績!$AJ$6:$AJ$505,"&gt;"&amp;$A227,実績!$AK$6:$AK$505,"○")&gt;0,1,0))</f>
        <v>0</v>
      </c>
      <c r="BA227" s="39" t="n">
        <f aca="false">IF(BA$4=0,0,IF(COUNTIFS(実績!$W$6:$W$505,BA$3,実績!$AI$6:$AI$505,"&lt;="&amp;$A227,実績!$AJ$6:$AJ$505,"&gt;"&amp;$A227,実績!$AK$6:$AK$505,"○")&gt;0,1,0))</f>
        <v>0</v>
      </c>
      <c r="BB227" s="39" t="n">
        <f aca="false">IF(BB$4=0,0,IF(COUNTIFS(実績!$W$6:$W$505,BB$3,実績!$AI$6:$AI$505,"&lt;="&amp;$A227,実績!$AJ$6:$AJ$505,"&gt;"&amp;$A227,実績!$AK$6:$AK$505,"○")&gt;0,1,0))</f>
        <v>0</v>
      </c>
      <c r="BC227" s="39" t="n">
        <f aca="false">IF(BC$4=0,0,IF(COUNTIFS(実績!$W$6:$W$505,BC$3,実績!$AI$6:$AI$505,"&lt;="&amp;$A227,実績!$AJ$6:$AJ$505,"&gt;"&amp;$A227,実績!$AK$6:$AK$505,"○")&gt;0,1,0))</f>
        <v>0</v>
      </c>
      <c r="BD227" s="39" t="n">
        <f aca="false">IF(BD$4=0,0,IF(COUNTIFS(実績!$W$6:$W$505,BD$3,実績!$AI$6:$AI$505,"&lt;="&amp;$A227,実績!$AJ$6:$AJ$505,"&gt;"&amp;$A227,実績!$AK$6:$AK$505,"○")&gt;0,1,0))</f>
        <v>0</v>
      </c>
      <c r="BE227" s="39" t="n">
        <f aca="false">IF(BE$4=0,0,IF(COUNTIFS(実績!$W$6:$W$505,BE$3,実績!$AI$6:$AI$505,"&lt;="&amp;$A227,実績!$AJ$6:$AJ$505,"&gt;"&amp;$A227,実績!$AK$6:$AK$505,"○")&gt;0,1,0))</f>
        <v>0</v>
      </c>
      <c r="BF227" s="39" t="n">
        <f aca="false">IF(BF$4=0,0,IF(COUNTIFS(実績!$W$6:$W$505,BF$3,実績!$AI$6:$AI$505,"&lt;="&amp;$A227,実績!$AJ$6:$AJ$505,"&gt;"&amp;$A227,実績!$AK$6:$AK$505,"○")&gt;0,1,0))</f>
        <v>0</v>
      </c>
      <c r="BG227" s="39" t="n">
        <f aca="false">IF(BG$4=0,0,IF(COUNTIFS(実績!$W$6:$W$505,BG$3,実績!$AI$6:$AI$505,"&lt;="&amp;$A227,実績!$AJ$6:$AJ$505,"&gt;"&amp;$A227,実績!$AK$6:$AK$505,"○")&gt;0,1,0))</f>
        <v>0</v>
      </c>
      <c r="BH227" s="39" t="n">
        <f aca="false">IF(BH$4=0,0,IF(COUNTIFS(実績!$W$6:$W$505,BH$3,実績!$AI$6:$AI$505,"&lt;="&amp;$A227,実績!$AJ$6:$AJ$505,"&gt;"&amp;$A227,実績!$AK$6:$AK$505,"○")&gt;0,1,0))</f>
        <v>0</v>
      </c>
      <c r="BI227" s="39" t="n">
        <f aca="false">IF(BI$4=0,0,IF(COUNTIFS(実績!$W$6:$W$505,BI$3,実績!$AI$6:$AI$505,"&lt;="&amp;$A227,実績!$AJ$6:$AJ$505,"&gt;"&amp;$A227,実績!$AK$6:$AK$505,"○")&gt;0,1,0))</f>
        <v>0</v>
      </c>
      <c r="BJ227" s="39" t="n">
        <f aca="false">IF(BJ$4=0,0,IF(COUNTIFS(実績!$W$6:$W$505,BJ$3,実績!$AI$6:$AI$505,"&lt;="&amp;$A227,実績!$AJ$6:$AJ$505,"&gt;"&amp;$A227,実績!$AK$6:$AK$505,"○")&gt;0,1,0))</f>
        <v>0</v>
      </c>
      <c r="BK227" s="39" t="n">
        <f aca="false">IF(BK$4=0,0,IF(COUNTIFS(実績!$W$6:$W$505,BK$3,実績!$AI$6:$AI$505,"&lt;="&amp;$A227,実績!$AJ$6:$AJ$505,"&gt;"&amp;$A227,実績!$AK$6:$AK$505,"○")&gt;0,1,0))</f>
        <v>0</v>
      </c>
      <c r="BL227" s="39" t="n">
        <f aca="false">IF(BL$4=0,0,IF(COUNTIFS(実績!$W$6:$W$505,BL$3,実績!$AI$6:$AI$505,"&lt;="&amp;$A227,実績!$AJ$6:$AJ$505,"&gt;"&amp;$A227,実績!$AK$6:$AK$505,"○")&gt;0,1,0))</f>
        <v>0</v>
      </c>
      <c r="BM227" s="39" t="n">
        <f aca="false">IF(BM$4=0,0,IF(COUNTIFS(実績!$W$6:$W$505,BM$3,実績!$AI$6:$AI$505,"&lt;="&amp;$A227,実績!$AJ$6:$AJ$505,"&gt;"&amp;$A227,実績!$AK$6:$AK$505,"○")&gt;0,1,0))</f>
        <v>0</v>
      </c>
      <c r="BN227" s="39" t="n">
        <f aca="false">IF(BN$4=0,0,IF(COUNTIFS(実績!$W$6:$W$505,BN$3,実績!$AI$6:$AI$505,"&lt;="&amp;$A227,実績!$AJ$6:$AJ$505,"&gt;"&amp;$A227,実績!$AK$6:$AK$505,"○")&gt;0,1,0))</f>
        <v>0</v>
      </c>
      <c r="BO227" s="39" t="n">
        <f aca="false">IF(BO$4=0,0,IF(COUNTIFS(実績!$W$6:$W$505,BO$3,実績!$AI$6:$AI$505,"&lt;="&amp;$A227,実績!$AJ$6:$AJ$505,"&gt;"&amp;$A227,実績!$AK$6:$AK$505,"○")&gt;0,1,0))</f>
        <v>0</v>
      </c>
      <c r="BP227" s="39" t="n">
        <f aca="false">IF(BP$4=0,0,IF(COUNTIFS(実績!$W$6:$W$505,BP$3,実績!$AI$6:$AI$505,"&lt;="&amp;$A227,実績!$AJ$6:$AJ$505,"&gt;"&amp;$A227,実績!$AK$6:$AK$505,"○")&gt;0,1,0))</f>
        <v>0</v>
      </c>
      <c r="BQ227" s="39" t="n">
        <f aca="false">IF(BQ$4=0,0,IF(COUNTIFS(実績!$W$6:$W$505,BQ$3,実績!$AI$6:$AI$505,"&lt;="&amp;$A227,実績!$AJ$6:$AJ$505,"&gt;"&amp;$A227,実績!$AK$6:$AK$505,"○")&gt;0,1,0))</f>
        <v>0</v>
      </c>
      <c r="BR227" s="39" t="n">
        <f aca="false">IF(BR$4=0,0,IF(COUNTIFS(実績!$W$6:$W$505,BR$3,実績!$AI$6:$AI$505,"&lt;="&amp;$A227,実績!$AJ$6:$AJ$505,"&gt;"&amp;$A227,実績!$AK$6:$AK$505,"○")&gt;0,1,0))</f>
        <v>0</v>
      </c>
      <c r="BS227" s="39" t="n">
        <f aca="false">IF(BS$4=0,0,IF(COUNTIFS(実績!$W$6:$W$505,BS$3,実績!$AI$6:$AI$505,"&lt;="&amp;$A227,実績!$AJ$6:$AJ$505,"&gt;"&amp;$A227,実績!$AK$6:$AK$505,"○")&gt;0,1,0))</f>
        <v>0</v>
      </c>
      <c r="BT227" s="39" t="n">
        <f aca="false">IF(BT$4=0,0,IF(COUNTIFS(実績!$W$6:$W$505,BT$3,実績!$AI$6:$AI$505,"&lt;="&amp;$A227,実績!$AJ$6:$AJ$505,"&gt;"&amp;$A227,実績!$AK$6:$AK$505,"○")&gt;0,1,0))</f>
        <v>0</v>
      </c>
      <c r="BU227" s="39" t="n">
        <f aca="false">IF(BU$4=0,0,IF(COUNTIFS(実績!$W$6:$W$505,BU$3,実績!$AI$6:$AI$505,"&lt;="&amp;$A227,実績!$AJ$6:$AJ$505,"&gt;"&amp;$A227,実績!$AK$6:$AK$505,"○")&gt;0,1,0))</f>
        <v>0</v>
      </c>
      <c r="BV227" s="39" t="n">
        <f aca="false">IF(BV$4=0,0,IF(COUNTIFS(実績!$W$6:$W$505,BV$3,実績!$AI$6:$AI$505,"&lt;="&amp;$A227,実績!$AJ$6:$AJ$505,"&gt;"&amp;$A227,実績!$AK$6:$AK$505,"○")&gt;0,1,0))</f>
        <v>0</v>
      </c>
      <c r="BW227" s="39" t="n">
        <f aca="false">IF(BW$4=0,0,IF(COUNTIFS(実績!$W$6:$W$505,BW$3,実績!$AI$6:$AI$505,"&lt;="&amp;$A227,実績!$AJ$6:$AJ$505,"&gt;"&amp;$A227,実績!$AK$6:$AK$505,"○")&gt;0,1,0))</f>
        <v>0</v>
      </c>
      <c r="BX227" s="39" t="n">
        <f aca="false">IF(BX$4=0,0,IF(COUNTIFS(実績!$W$6:$W$505,BX$3,実績!$AI$6:$AI$505,"&lt;="&amp;$A227,実績!$AJ$6:$AJ$505,"&gt;"&amp;$A227,実績!$AK$6:$AK$505,"○")&gt;0,1,0))</f>
        <v>0</v>
      </c>
      <c r="BY227" s="39" t="n">
        <f aca="false">IF(BY$4=0,0,IF(COUNTIFS(実績!$W$6:$W$505,BY$3,実績!$AI$6:$AI$505,"&lt;="&amp;$A227,実績!$AJ$6:$AJ$505,"&gt;"&amp;$A227,実績!$AK$6:$AK$505,"○")&gt;0,1,0))</f>
        <v>0</v>
      </c>
      <c r="BZ227" s="39" t="n">
        <f aca="false">IF(BZ$4=0,0,IF(COUNTIFS(実績!$W$6:$W$505,BZ$3,実績!$AI$6:$AI$505,"&lt;="&amp;$A227,実績!$AJ$6:$AJ$505,"&gt;"&amp;$A227,実績!$AK$6:$AK$505,"○")&gt;0,1,0))</f>
        <v>0</v>
      </c>
      <c r="CA227" s="39" t="n">
        <f aca="false">IF(CA$4=0,0,IF(COUNTIFS(実績!$W$6:$W$505,CA$3,実績!$AI$6:$AI$505,"&lt;="&amp;$A227,実績!$AJ$6:$AJ$505,"&gt;"&amp;$A227,実績!$AK$6:$AK$505,"○")&gt;0,1,0))</f>
        <v>0</v>
      </c>
      <c r="CB227" s="39" t="n">
        <f aca="false">IF(CB$4=0,0,IF(COUNTIFS(実績!$W$6:$W$505,CB$3,実績!$AI$6:$AI$505,"&lt;="&amp;$A227,実績!$AJ$6:$AJ$505,"&gt;"&amp;$A227,実績!$AK$6:$AK$505,"○")&gt;0,1,0))</f>
        <v>0</v>
      </c>
      <c r="CC227" s="39" t="n">
        <f aca="false">IF(CC$4=0,0,IF(COUNTIFS(実績!$W$6:$W$505,CC$3,実績!$AI$6:$AI$505,"&lt;="&amp;$A227,実績!$AJ$6:$AJ$505,"&gt;"&amp;$A227,実績!$AK$6:$AK$505,"○")&gt;0,1,0))</f>
        <v>0</v>
      </c>
      <c r="CD227" s="39" t="n">
        <f aca="false">IF(CD$4=0,0,IF(COUNTIFS(実績!$W$6:$W$505,CD$3,実績!$AI$6:$AI$505,"&lt;="&amp;$A227,実績!$AJ$6:$AJ$505,"&gt;"&amp;$A227,実績!$AK$6:$AK$505,"○")&gt;0,1,0))</f>
        <v>0</v>
      </c>
      <c r="CE227" s="39" t="n">
        <f aca="false">IF(CE$4=0,0,IF(COUNTIFS(実績!$W$6:$W$505,CE$3,実績!$AI$6:$AI$505,"&lt;="&amp;$A227,実績!$AJ$6:$AJ$505,"&gt;"&amp;$A227,実績!$AK$6:$AK$505,"○")&gt;0,1,0))</f>
        <v>0</v>
      </c>
      <c r="CF227" s="39" t="n">
        <f aca="false">IF(CF$4=0,0,IF(COUNTIFS(実績!$W$6:$W$505,CF$3,実績!$AI$6:$AI$505,"&lt;="&amp;$A227,実績!$AJ$6:$AJ$505,"&gt;"&amp;$A227,実績!$AK$6:$AK$505,"○")&gt;0,1,0))</f>
        <v>0</v>
      </c>
      <c r="CG227" s="39" t="n">
        <f aca="false">IF(CG$4=0,0,IF(COUNTIFS(実績!$W$6:$W$505,CG$3,実績!$AI$6:$AI$505,"&lt;="&amp;$A227,実績!$AJ$6:$AJ$505,"&gt;"&amp;$A227,実績!$AK$6:$AK$505,"○")&gt;0,1,0))</f>
        <v>0</v>
      </c>
      <c r="CH227" s="39" t="n">
        <f aca="false">IF(CH$4=0,0,IF(COUNTIFS(実績!$W$6:$W$505,CH$3,実績!$AI$6:$AI$505,"&lt;="&amp;$A227,実績!$AJ$6:$AJ$505,"&gt;"&amp;$A227,実績!$AK$6:$AK$505,"○")&gt;0,1,0))</f>
        <v>0</v>
      </c>
      <c r="CI227" s="39" t="n">
        <f aca="false">IF(CI$4=0,0,IF(COUNTIFS(実績!$W$6:$W$505,CI$3,実績!$AI$6:$AI$505,"&lt;="&amp;$A227,実績!$AJ$6:$AJ$505,"&gt;"&amp;$A227,実績!$AK$6:$AK$505,"○")&gt;0,1,0))</f>
        <v>0</v>
      </c>
      <c r="CJ227" s="39" t="n">
        <f aca="false">IF(CJ$4=0,0,IF(COUNTIFS(実績!$W$6:$W$505,CJ$3,実績!$AI$6:$AI$505,"&lt;="&amp;$A227,実績!$AJ$6:$AJ$505,"&gt;"&amp;$A227,実績!$AK$6:$AK$505,"○")&gt;0,1,0))</f>
        <v>0</v>
      </c>
      <c r="CK227" s="39" t="n">
        <f aca="false">IF(CK$4=0,0,IF(COUNTIFS(実績!$W$6:$W$505,CK$3,実績!$AI$6:$AI$505,"&lt;="&amp;$A227,実績!$AJ$6:$AJ$505,"&gt;"&amp;$A227,実績!$AK$6:$AK$505,"○")&gt;0,1,0))</f>
        <v>0</v>
      </c>
      <c r="CL227" s="39" t="n">
        <f aca="false">IF(CL$4=0,0,IF(COUNTIFS(実績!$W$6:$W$505,CL$3,実績!$AI$6:$AI$505,"&lt;="&amp;$A227,実績!$AJ$6:$AJ$505,"&gt;"&amp;$A227,実績!$AK$6:$AK$505,"○")&gt;0,1,0))</f>
        <v>0</v>
      </c>
      <c r="CM227" s="39" t="n">
        <f aca="false">IF(CM$4=0,0,IF(COUNTIFS(実績!$W$6:$W$505,CM$3,実績!$AI$6:$AI$505,"&lt;="&amp;$A227,実績!$AJ$6:$AJ$505,"&gt;"&amp;$A227,実績!$AK$6:$AK$505,"○")&gt;0,1,0))</f>
        <v>0</v>
      </c>
      <c r="CN227" s="39" t="n">
        <f aca="false">IF(CN$4=0,0,IF(COUNTIFS(実績!$W$6:$W$505,CN$3,実績!$AI$6:$AI$505,"&lt;="&amp;$A227,実績!$AJ$6:$AJ$505,"&gt;"&amp;$A227,実績!$AK$6:$AK$505,"○")&gt;0,1,0))</f>
        <v>0</v>
      </c>
      <c r="CO227" s="39" t="n">
        <f aca="false">IF(CO$4=0,0,IF(COUNTIFS(実績!$W$6:$W$505,CO$3,実績!$AI$6:$AI$505,"&lt;="&amp;$A227,実績!$AJ$6:$AJ$505,"&gt;"&amp;$A227,実績!$AK$6:$AK$505,"○")&gt;0,1,0))</f>
        <v>0</v>
      </c>
      <c r="CP227" s="39" t="n">
        <f aca="false">IF(CP$4=0,0,IF(COUNTIFS(実績!$W$6:$W$505,CP$3,実績!$AI$6:$AI$505,"&lt;="&amp;$A227,実績!$AJ$6:$AJ$505,"&gt;"&amp;$A227,実績!$AK$6:$AK$505,"○")&gt;0,1,0))</f>
        <v>0</v>
      </c>
      <c r="CQ227" s="39" t="n">
        <f aca="false">IF(CQ$4=0,0,IF(COUNTIFS(実績!$W$6:$W$505,CQ$3,実績!$AI$6:$AI$505,"&lt;="&amp;$A227,実績!$AJ$6:$AJ$505,"&gt;"&amp;$A227,実績!$AK$6:$AK$505,"○")&gt;0,1,0))</f>
        <v>0</v>
      </c>
      <c r="CR227" s="39" t="n">
        <f aca="false">IF(CR$4=0,0,IF(COUNTIFS(実績!$W$6:$W$505,CR$3,実績!$AI$6:$AI$505,"&lt;="&amp;$A227,実績!$AJ$6:$AJ$505,"&gt;"&amp;$A227,実績!$AK$6:$AK$505,"○")&gt;0,1,0))</f>
        <v>0</v>
      </c>
      <c r="CS227" s="39" t="n">
        <f aca="false">IF(CS$4=0,0,IF(COUNTIFS(実績!$W$6:$W$505,CS$3,実績!$AI$6:$AI$505,"&lt;="&amp;$A227,実績!$AJ$6:$AJ$505,"&gt;"&amp;$A227,実績!$AK$6:$AK$505,"○")&gt;0,1,0))</f>
        <v>0</v>
      </c>
      <c r="CT227" s="39" t="n">
        <f aca="false">IF(CT$4=0,0,IF(COUNTIFS(実績!$W$6:$W$505,CT$3,実績!$AI$6:$AI$505,"&lt;="&amp;$A227,実績!$AJ$6:$AJ$505,"&gt;"&amp;$A227,実績!$AK$6:$AK$505,"○")&gt;0,1,0))</f>
        <v>0</v>
      </c>
      <c r="CU227" s="39" t="n">
        <f aca="false">IF(CU$4=0,0,IF(COUNTIFS(実績!$W$6:$W$505,CU$3,実績!$AI$6:$AI$505,"&lt;="&amp;$A227,実績!$AJ$6:$AJ$505,"&gt;"&amp;$A227,実績!$AK$6:$AK$505,"○")&gt;0,1,0))</f>
        <v>0</v>
      </c>
      <c r="CV227" s="39" t="n">
        <f aca="false">IF(CV$4=0,0,IF(COUNTIFS(実績!$W$6:$W$505,CV$3,実績!$AI$6:$AI$505,"&lt;="&amp;$A227,実績!$AJ$6:$AJ$505,"&gt;"&amp;$A227,実績!$AK$6:$AK$505,"○")&gt;0,1,0))</f>
        <v>0</v>
      </c>
      <c r="CW227" s="39" t="n">
        <f aca="false">IF(CW$4=0,0,IF(COUNTIFS(実績!$W$6:$W$505,CW$3,実績!$AI$6:$AI$505,"&lt;="&amp;$A227,実績!$AJ$6:$AJ$505,"&gt;"&amp;$A227,実績!$AK$6:$AK$505,"○")&gt;0,1,0))</f>
        <v>0</v>
      </c>
      <c r="CX227" s="39" t="n">
        <f aca="false">IF(CX$4=0,0,IF(COUNTIFS(実績!$W$6:$W$505,CX$3,実績!$AI$6:$AI$505,"&lt;="&amp;$A227,実績!$AJ$6:$AJ$505,"&gt;"&amp;$A227,実績!$AK$6:$AK$505,"○")&gt;0,1,0))</f>
        <v>0</v>
      </c>
      <c r="CY227" s="39" t="n">
        <f aca="false">IF(CY$4=0,0,IF(COUNTIFS(実績!$W$6:$W$505,CY$3,実績!$AI$6:$AI$505,"&lt;="&amp;$A227,実績!$AJ$6:$AJ$505,"&gt;"&amp;$A227,実績!$AK$6:$AK$505,"○")&gt;0,1,0))</f>
        <v>0</v>
      </c>
      <c r="CZ227" s="39" t="n">
        <f aca="false">IF(CZ$4=0,0,IF(COUNTIFS(実績!$W$6:$W$505,CZ$3,実績!$AI$6:$AI$505,"&lt;="&amp;$A227,実績!$AJ$6:$AJ$505,"&gt;"&amp;$A227,実績!$AK$6:$AK$505,"○")&gt;0,1,0))</f>
        <v>0</v>
      </c>
      <c r="DA227" s="39" t="n">
        <f aca="false">IF(DA$4=0,0,IF(COUNTIFS(実績!$W$6:$W$505,DA$3,実績!$AI$6:$AI$505,"&lt;="&amp;$A227,実績!$AJ$6:$AJ$505,"&gt;"&amp;$A227,実績!$AK$6:$AK$505,"○")&gt;0,1,0))</f>
        <v>0</v>
      </c>
      <c r="DB227" s="39" t="n">
        <f aca="false">IF(DB$4=0,0,IF(COUNTIFS(実績!$W$6:$W$505,DB$3,実績!$AI$6:$AI$505,"&lt;="&amp;$A227,実績!$AJ$6:$AJ$505,"&gt;"&amp;$A227,実績!$AK$6:$AK$505,"○")&gt;0,1,0))</f>
        <v>0</v>
      </c>
      <c r="DC227" s="39" t="n">
        <f aca="false">IF(DC$4=0,0,IF(COUNTIFS(実績!$W$6:$W$505,DC$3,実績!$AI$6:$AI$505,"&lt;="&amp;$A227,実績!$AJ$6:$AJ$505,"&gt;"&amp;$A227,実績!$AK$6:$AK$505,"○")&gt;0,1,0))</f>
        <v>0</v>
      </c>
      <c r="DD227" s="39" t="n">
        <f aca="false">IF(DD$4=0,0,IF(COUNTIFS(実績!$W$6:$W$505,DD$3,実績!$AI$6:$AI$505,"&lt;="&amp;$A227,実績!$AJ$6:$AJ$505,"&gt;"&amp;$A227,実績!$AK$6:$AK$505,"○")&gt;0,1,0))</f>
        <v>0</v>
      </c>
      <c r="DE227" s="39" t="n">
        <f aca="false">IF(DE$4=0,0,IF(COUNTIFS(実績!$W$6:$W$505,DE$3,実績!$AI$6:$AI$505,"&lt;="&amp;$A227,実績!$AJ$6:$AJ$505,"&gt;"&amp;$A227,実績!$AK$6:$AK$505,"○")&gt;0,1,0))</f>
        <v>0</v>
      </c>
      <c r="DF227" s="39" t="n">
        <f aca="false">IF(DF$4=0,0,IF(COUNTIFS(実績!$W$6:$W$505,DF$3,実績!$AI$6:$AI$505,"&lt;="&amp;$A227,実績!$AJ$6:$AJ$505,"&gt;"&amp;$A227,実績!$AK$6:$AK$505,"○")&gt;0,1,0))</f>
        <v>0</v>
      </c>
      <c r="DG227" s="39" t="n">
        <f aca="false">IF(DG$4=0,0,IF(COUNTIFS(実績!$W$6:$W$505,DG$3,実績!$AI$6:$AI$505,"&lt;="&amp;$A227,実績!$AJ$6:$AJ$505,"&gt;"&amp;$A227,実績!$AK$6:$AK$505,"○")&gt;0,1,0))</f>
        <v>0</v>
      </c>
      <c r="DH227" s="39" t="n">
        <f aca="false">IF(DH$4=0,0,IF(COUNTIFS(実績!$W$6:$W$505,DH$3,実績!$AI$6:$AI$505,"&lt;="&amp;$A227,実績!$AJ$6:$AJ$505,"&gt;"&amp;$A227,実績!$AK$6:$AK$505,"○")&gt;0,1,0))</f>
        <v>0</v>
      </c>
      <c r="DI227" s="39" t="n">
        <f aca="false">IF(DI$4=0,0,IF(COUNTIFS(実績!$W$6:$W$505,DI$3,実績!$AI$6:$AI$505,"&lt;="&amp;$A227,実績!$AJ$6:$AJ$505,"&gt;"&amp;$A227,実績!$AK$6:$AK$505,"○")&gt;0,1,0))</f>
        <v>0</v>
      </c>
      <c r="DJ227" s="39" t="n">
        <f aca="false">IF(DJ$4=0,0,IF(COUNTIFS(実績!$W$6:$W$505,DJ$3,実績!$AI$6:$AI$505,"&lt;="&amp;$A227,実績!$AJ$6:$AJ$505,"&gt;"&amp;$A227,実績!$AK$6:$AK$505,"○")&gt;0,1,0))</f>
        <v>0</v>
      </c>
      <c r="DK227" s="39" t="n">
        <f aca="false">IF(DK$4=0,0,IF(COUNTIFS(実績!$W$6:$W$505,DK$3,実績!$AI$6:$AI$505,"&lt;="&amp;$A227,実績!$AJ$6:$AJ$505,"&gt;"&amp;$A227,実績!$AK$6:$AK$505,"○")&gt;0,1,0))</f>
        <v>0</v>
      </c>
      <c r="DL227" s="39" t="n">
        <f aca="false">IF(DL$4=0,0,IF(COUNTIFS(実績!$W$6:$W$505,DL$3,実績!$AI$6:$AI$505,"&lt;="&amp;$A227,実績!$AJ$6:$AJ$505,"&gt;"&amp;$A227,実績!$AK$6:$AK$505,"○")&gt;0,1,0))</f>
        <v>0</v>
      </c>
      <c r="DM227" s="39" t="n">
        <f aca="false">IF(DM$4=0,0,IF(COUNTIFS(実績!$W$6:$W$505,DM$3,実績!$AI$6:$AI$505,"&lt;="&amp;$A227,実績!$AJ$6:$AJ$505,"&gt;"&amp;$A227,実績!$AK$6:$AK$505,"○")&gt;0,1,0))</f>
        <v>0</v>
      </c>
      <c r="DN227" s="39" t="n">
        <f aca="false">IF(DN$4=0,0,IF(COUNTIFS(実績!$W$6:$W$505,DN$3,実績!$AI$6:$AI$505,"&lt;="&amp;$A227,実績!$AJ$6:$AJ$505,"&gt;"&amp;$A227,実績!$AK$6:$AK$505,"○")&gt;0,1,0))</f>
        <v>0</v>
      </c>
      <c r="DO227" s="39" t="n">
        <f aca="false">IF(DO$4=0,0,IF(COUNTIFS(実績!$W$6:$W$505,DO$3,実績!$AI$6:$AI$505,"&lt;="&amp;$A227,実績!$AJ$6:$AJ$505,"&gt;"&amp;$A227,実績!$AK$6:$AK$505,"○")&gt;0,1,0))</f>
        <v>0</v>
      </c>
      <c r="DP227" s="39" t="n">
        <f aca="false">IF(DP$4=0,0,IF(COUNTIFS(実績!$W$6:$W$505,DP$3,実績!$AI$6:$AI$505,"&lt;="&amp;$A227,実績!$AJ$6:$AJ$505,"&gt;"&amp;$A227,実績!$AK$6:$AK$505,"○")&gt;0,1,0))</f>
        <v>0</v>
      </c>
      <c r="DQ227" s="39" t="n">
        <f aca="false">IF(DQ$4=0,0,IF(COUNTIFS(実績!$W$6:$W$505,DQ$3,実績!$AI$6:$AI$505,"&lt;="&amp;$A227,実績!$AJ$6:$AJ$505,"&gt;"&amp;$A227,実績!$AK$6:$AK$505,"○")&gt;0,1,0))</f>
        <v>0</v>
      </c>
      <c r="DR227" s="39" t="n">
        <f aca="false">IF(DR$4=0,0,IF(COUNTIFS(実績!$W$6:$W$505,DR$3,実績!$AI$6:$AI$505,"&lt;="&amp;$A227,実績!$AJ$6:$AJ$505,"&gt;"&amp;$A227,実績!$AK$6:$AK$505,"○")&gt;0,1,0))</f>
        <v>0</v>
      </c>
      <c r="DS227" s="39" t="n">
        <f aca="false">SUM(C227:DR227)</f>
        <v>0</v>
      </c>
      <c r="DT227" s="39" t="n">
        <f aca="false">SUMPRODUCT((実績!$C$6:$C$505="○")*ISNUMBER(実績!$AM$6:$AM$505)*(実績!$AM$6:$AM$505&lt;=$A227)*(実績!$AN$6:$AN$505&gt;$A227))</f>
        <v>0</v>
      </c>
      <c r="DU227" s="39" t="n">
        <f aca="false">SUMIF($C$2:$DR$2,"製鉄曳船",C227:DR227)</f>
        <v>0</v>
      </c>
      <c r="DV227" s="39" t="n">
        <f aca="false">SUMIF($C$2:$DR$2,"西日本海運",C227:DR227)</f>
        <v>0</v>
      </c>
    </row>
    <row r="228" customFormat="false" ht="15" hidden="false" customHeight="false" outlineLevel="0" collapsed="false">
      <c r="A228" s="0" t="n">
        <v>1110</v>
      </c>
      <c r="B228" s="38" t="n">
        <f aca="false">A228/1440</f>
        <v>0.770833333333333</v>
      </c>
      <c r="C228" s="39" t="n">
        <f aca="false">IF(C$4=0,0,IF(COUNTIFS(実績!$W$6:$W$505,C$3,実績!$AI$6:$AI$505,"&lt;="&amp;$A228,実績!$AJ$6:$AJ$505,"&gt;"&amp;$A228,実績!$AK$6:$AK$505,"○")&gt;0,1,0))</f>
        <v>0</v>
      </c>
      <c r="D228" s="39" t="n">
        <f aca="false">IF(D$4=0,0,IF(COUNTIFS(実績!$W$6:$W$505,D$3,実績!$AI$6:$AI$505,"&lt;="&amp;$A228,実績!$AJ$6:$AJ$505,"&gt;"&amp;$A228,実績!$AK$6:$AK$505,"○")&gt;0,1,0))</f>
        <v>0</v>
      </c>
      <c r="E228" s="39" t="n">
        <f aca="false">IF(E$4=0,0,IF(COUNTIFS(実績!$W$6:$W$505,E$3,実績!$AI$6:$AI$505,"&lt;="&amp;$A228,実績!$AJ$6:$AJ$505,"&gt;"&amp;$A228,実績!$AK$6:$AK$505,"○")&gt;0,1,0))</f>
        <v>0</v>
      </c>
      <c r="F228" s="39" t="n">
        <f aca="false">IF(F$4=0,0,IF(COUNTIFS(実績!$W$6:$W$505,F$3,実績!$AI$6:$AI$505,"&lt;="&amp;$A228,実績!$AJ$6:$AJ$505,"&gt;"&amp;$A228,実績!$AK$6:$AK$505,"○")&gt;0,1,0))</f>
        <v>0</v>
      </c>
      <c r="G228" s="39" t="n">
        <f aca="false">IF(G$4=0,0,IF(COUNTIFS(実績!$W$6:$W$505,G$3,実績!$AI$6:$AI$505,"&lt;="&amp;$A228,実績!$AJ$6:$AJ$505,"&gt;"&amp;$A228,実績!$AK$6:$AK$505,"○")&gt;0,1,0))</f>
        <v>0</v>
      </c>
      <c r="H228" s="39" t="n">
        <f aca="false">IF(H$4=0,0,IF(COUNTIFS(実績!$W$6:$W$505,H$3,実績!$AI$6:$AI$505,"&lt;="&amp;$A228,実績!$AJ$6:$AJ$505,"&gt;"&amp;$A228,実績!$AK$6:$AK$505,"○")&gt;0,1,0))</f>
        <v>0</v>
      </c>
      <c r="I228" s="39" t="n">
        <f aca="false">IF(I$4=0,0,IF(COUNTIFS(実績!$W$6:$W$505,I$3,実績!$AI$6:$AI$505,"&lt;="&amp;$A228,実績!$AJ$6:$AJ$505,"&gt;"&amp;$A228,実績!$AK$6:$AK$505,"○")&gt;0,1,0))</f>
        <v>0</v>
      </c>
      <c r="J228" s="39" t="n">
        <f aca="false">IF(J$4=0,0,IF(COUNTIFS(実績!$W$6:$W$505,J$3,実績!$AI$6:$AI$505,"&lt;="&amp;$A228,実績!$AJ$6:$AJ$505,"&gt;"&amp;$A228,実績!$AK$6:$AK$505,"○")&gt;0,1,0))</f>
        <v>0</v>
      </c>
      <c r="K228" s="39" t="n">
        <f aca="false">IF(K$4=0,0,IF(COUNTIFS(実績!$W$6:$W$505,K$3,実績!$AI$6:$AI$505,"&lt;="&amp;$A228,実績!$AJ$6:$AJ$505,"&gt;"&amp;$A228,実績!$AK$6:$AK$505,"○")&gt;0,1,0))</f>
        <v>0</v>
      </c>
      <c r="L228" s="39" t="n">
        <f aca="false">IF(L$4=0,0,IF(COUNTIFS(実績!$W$6:$W$505,L$3,実績!$AI$6:$AI$505,"&lt;="&amp;$A228,実績!$AJ$6:$AJ$505,"&gt;"&amp;$A228,実績!$AK$6:$AK$505,"○")&gt;0,1,0))</f>
        <v>0</v>
      </c>
      <c r="M228" s="39" t="n">
        <f aca="false">IF(M$4=0,0,IF(COUNTIFS(実績!$W$6:$W$505,M$3,実績!$AI$6:$AI$505,"&lt;="&amp;$A228,実績!$AJ$6:$AJ$505,"&gt;"&amp;$A228,実績!$AK$6:$AK$505,"○")&gt;0,1,0))</f>
        <v>0</v>
      </c>
      <c r="N228" s="39" t="n">
        <f aca="false">IF(N$4=0,0,IF(COUNTIFS(実績!$W$6:$W$505,N$3,実績!$AI$6:$AI$505,"&lt;="&amp;$A228,実績!$AJ$6:$AJ$505,"&gt;"&amp;$A228,実績!$AK$6:$AK$505,"○")&gt;0,1,0))</f>
        <v>0</v>
      </c>
      <c r="O228" s="39" t="n">
        <f aca="false">IF(O$4=0,0,IF(COUNTIFS(実績!$W$6:$W$505,O$3,実績!$AI$6:$AI$505,"&lt;="&amp;$A228,実績!$AJ$6:$AJ$505,"&gt;"&amp;$A228,実績!$AK$6:$AK$505,"○")&gt;0,1,0))</f>
        <v>0</v>
      </c>
      <c r="P228" s="39" t="n">
        <f aca="false">IF(P$4=0,0,IF(COUNTIFS(実績!$W$6:$W$505,P$3,実績!$AI$6:$AI$505,"&lt;="&amp;$A228,実績!$AJ$6:$AJ$505,"&gt;"&amp;$A228,実績!$AK$6:$AK$505,"○")&gt;0,1,0))</f>
        <v>0</v>
      </c>
      <c r="Q228" s="39" t="n">
        <f aca="false">IF(Q$4=0,0,IF(COUNTIFS(実績!$W$6:$W$505,Q$3,実績!$AI$6:$AI$505,"&lt;="&amp;$A228,実績!$AJ$6:$AJ$505,"&gt;"&amp;$A228,実績!$AK$6:$AK$505,"○")&gt;0,1,0))</f>
        <v>0</v>
      </c>
      <c r="R228" s="39" t="n">
        <f aca="false">IF(R$4=0,0,IF(COUNTIFS(実績!$W$6:$W$505,R$3,実績!$AI$6:$AI$505,"&lt;="&amp;$A228,実績!$AJ$6:$AJ$505,"&gt;"&amp;$A228,実績!$AK$6:$AK$505,"○")&gt;0,1,0))</f>
        <v>0</v>
      </c>
      <c r="S228" s="39" t="n">
        <f aca="false">IF(S$4=0,0,IF(COUNTIFS(実績!$W$6:$W$505,S$3,実績!$AI$6:$AI$505,"&lt;="&amp;$A228,実績!$AJ$6:$AJ$505,"&gt;"&amp;$A228,実績!$AK$6:$AK$505,"○")&gt;0,1,0))</f>
        <v>0</v>
      </c>
      <c r="T228" s="39" t="n">
        <f aca="false">IF(T$4=0,0,IF(COUNTIFS(実績!$W$6:$W$505,T$3,実績!$AI$6:$AI$505,"&lt;="&amp;$A228,実績!$AJ$6:$AJ$505,"&gt;"&amp;$A228,実績!$AK$6:$AK$505,"○")&gt;0,1,0))</f>
        <v>0</v>
      </c>
      <c r="U228" s="39" t="n">
        <f aca="false">IF(U$4=0,0,IF(COUNTIFS(実績!$W$6:$W$505,U$3,実績!$AI$6:$AI$505,"&lt;="&amp;$A228,実績!$AJ$6:$AJ$505,"&gt;"&amp;$A228,実績!$AK$6:$AK$505,"○")&gt;0,1,0))</f>
        <v>0</v>
      </c>
      <c r="V228" s="39" t="n">
        <f aca="false">IF(V$4=0,0,IF(COUNTIFS(実績!$W$6:$W$505,V$3,実績!$AI$6:$AI$505,"&lt;="&amp;$A228,実績!$AJ$6:$AJ$505,"&gt;"&amp;$A228,実績!$AK$6:$AK$505,"○")&gt;0,1,0))</f>
        <v>0</v>
      </c>
      <c r="W228" s="39" t="n">
        <f aca="false">IF(W$4=0,0,IF(COUNTIFS(実績!$W$6:$W$505,W$3,実績!$AI$6:$AI$505,"&lt;="&amp;$A228,実績!$AJ$6:$AJ$505,"&gt;"&amp;$A228,実績!$AK$6:$AK$505,"○")&gt;0,1,0))</f>
        <v>0</v>
      </c>
      <c r="X228" s="39" t="n">
        <f aca="false">IF(X$4=0,0,IF(COUNTIFS(実績!$W$6:$W$505,X$3,実績!$AI$6:$AI$505,"&lt;="&amp;$A228,実績!$AJ$6:$AJ$505,"&gt;"&amp;$A228,実績!$AK$6:$AK$505,"○")&gt;0,1,0))</f>
        <v>0</v>
      </c>
      <c r="Y228" s="39" t="n">
        <f aca="false">IF(Y$4=0,0,IF(COUNTIFS(実績!$W$6:$W$505,Y$3,実績!$AI$6:$AI$505,"&lt;="&amp;$A228,実績!$AJ$6:$AJ$505,"&gt;"&amp;$A228,実績!$AK$6:$AK$505,"○")&gt;0,1,0))</f>
        <v>0</v>
      </c>
      <c r="Z228" s="39" t="n">
        <f aca="false">IF(Z$4=0,0,IF(COUNTIFS(実績!$W$6:$W$505,Z$3,実績!$AI$6:$AI$505,"&lt;="&amp;$A228,実績!$AJ$6:$AJ$505,"&gt;"&amp;$A228,実績!$AK$6:$AK$505,"○")&gt;0,1,0))</f>
        <v>0</v>
      </c>
      <c r="AA228" s="39" t="n">
        <f aca="false">IF(AA$4=0,0,IF(COUNTIFS(実績!$W$6:$W$505,AA$3,実績!$AI$6:$AI$505,"&lt;="&amp;$A228,実績!$AJ$6:$AJ$505,"&gt;"&amp;$A228,実績!$AK$6:$AK$505,"○")&gt;0,1,0))</f>
        <v>0</v>
      </c>
      <c r="AB228" s="39" t="n">
        <f aca="false">IF(AB$4=0,0,IF(COUNTIFS(実績!$W$6:$W$505,AB$3,実績!$AI$6:$AI$505,"&lt;="&amp;$A228,実績!$AJ$6:$AJ$505,"&gt;"&amp;$A228,実績!$AK$6:$AK$505,"○")&gt;0,1,0))</f>
        <v>0</v>
      </c>
      <c r="AC228" s="39" t="n">
        <f aca="false">IF(AC$4=0,0,IF(COUNTIFS(実績!$W$6:$W$505,AC$3,実績!$AI$6:$AI$505,"&lt;="&amp;$A228,実績!$AJ$6:$AJ$505,"&gt;"&amp;$A228,実績!$AK$6:$AK$505,"○")&gt;0,1,0))</f>
        <v>0</v>
      </c>
      <c r="AD228" s="39" t="n">
        <f aca="false">IF(AD$4=0,0,IF(COUNTIFS(実績!$W$6:$W$505,AD$3,実績!$AI$6:$AI$505,"&lt;="&amp;$A228,実績!$AJ$6:$AJ$505,"&gt;"&amp;$A228,実績!$AK$6:$AK$505,"○")&gt;0,1,0))</f>
        <v>0</v>
      </c>
      <c r="AE228" s="39" t="n">
        <f aca="false">IF(AE$4=0,0,IF(COUNTIFS(実績!$W$6:$W$505,AE$3,実績!$AI$6:$AI$505,"&lt;="&amp;$A228,実績!$AJ$6:$AJ$505,"&gt;"&amp;$A228,実績!$AK$6:$AK$505,"○")&gt;0,1,0))</f>
        <v>0</v>
      </c>
      <c r="AF228" s="39" t="n">
        <f aca="false">IF(AF$4=0,0,IF(COUNTIFS(実績!$W$6:$W$505,AF$3,実績!$AI$6:$AI$505,"&lt;="&amp;$A228,実績!$AJ$6:$AJ$505,"&gt;"&amp;$A228,実績!$AK$6:$AK$505,"○")&gt;0,1,0))</f>
        <v>0</v>
      </c>
      <c r="AG228" s="39" t="n">
        <f aca="false">IF(AG$4=0,0,IF(COUNTIFS(実績!$W$6:$W$505,AG$3,実績!$AI$6:$AI$505,"&lt;="&amp;$A228,実績!$AJ$6:$AJ$505,"&gt;"&amp;$A228,実績!$AK$6:$AK$505,"○")&gt;0,1,0))</f>
        <v>0</v>
      </c>
      <c r="AH228" s="39" t="n">
        <f aca="false">IF(AH$4=0,0,IF(COUNTIFS(実績!$W$6:$W$505,AH$3,実績!$AI$6:$AI$505,"&lt;="&amp;$A228,実績!$AJ$6:$AJ$505,"&gt;"&amp;$A228,実績!$AK$6:$AK$505,"○")&gt;0,1,0))</f>
        <v>0</v>
      </c>
      <c r="AI228" s="39" t="n">
        <f aca="false">IF(AI$4=0,0,IF(COUNTIFS(実績!$W$6:$W$505,AI$3,実績!$AI$6:$AI$505,"&lt;="&amp;$A228,実績!$AJ$6:$AJ$505,"&gt;"&amp;$A228,実績!$AK$6:$AK$505,"○")&gt;0,1,0))</f>
        <v>0</v>
      </c>
      <c r="AJ228" s="39" t="n">
        <f aca="false">IF(AJ$4=0,0,IF(COUNTIFS(実績!$W$6:$W$505,AJ$3,実績!$AI$6:$AI$505,"&lt;="&amp;$A228,実績!$AJ$6:$AJ$505,"&gt;"&amp;$A228,実績!$AK$6:$AK$505,"○")&gt;0,1,0))</f>
        <v>0</v>
      </c>
      <c r="AK228" s="39" t="n">
        <f aca="false">IF(AK$4=0,0,IF(COUNTIFS(実績!$W$6:$W$505,AK$3,実績!$AI$6:$AI$505,"&lt;="&amp;$A228,実績!$AJ$6:$AJ$505,"&gt;"&amp;$A228,実績!$AK$6:$AK$505,"○")&gt;0,1,0))</f>
        <v>0</v>
      </c>
      <c r="AL228" s="39" t="n">
        <f aca="false">IF(AL$4=0,0,IF(COUNTIFS(実績!$W$6:$W$505,AL$3,実績!$AI$6:$AI$505,"&lt;="&amp;$A228,実績!$AJ$6:$AJ$505,"&gt;"&amp;$A228,実績!$AK$6:$AK$505,"○")&gt;0,1,0))</f>
        <v>0</v>
      </c>
      <c r="AM228" s="39" t="n">
        <f aca="false">IF(AM$4=0,0,IF(COUNTIFS(実績!$W$6:$W$505,AM$3,実績!$AI$6:$AI$505,"&lt;="&amp;$A228,実績!$AJ$6:$AJ$505,"&gt;"&amp;$A228,実績!$AK$6:$AK$505,"○")&gt;0,1,0))</f>
        <v>0</v>
      </c>
      <c r="AN228" s="39" t="n">
        <f aca="false">IF(AN$4=0,0,IF(COUNTIFS(実績!$W$6:$W$505,AN$3,実績!$AI$6:$AI$505,"&lt;="&amp;$A228,実績!$AJ$6:$AJ$505,"&gt;"&amp;$A228,実績!$AK$6:$AK$505,"○")&gt;0,1,0))</f>
        <v>0</v>
      </c>
      <c r="AO228" s="39" t="n">
        <f aca="false">IF(AO$4=0,0,IF(COUNTIFS(実績!$W$6:$W$505,AO$3,実績!$AI$6:$AI$505,"&lt;="&amp;$A228,実績!$AJ$6:$AJ$505,"&gt;"&amp;$A228,実績!$AK$6:$AK$505,"○")&gt;0,1,0))</f>
        <v>0</v>
      </c>
      <c r="AP228" s="39" t="n">
        <f aca="false">IF(AP$4=0,0,IF(COUNTIFS(実績!$W$6:$W$505,AP$3,実績!$AI$6:$AI$505,"&lt;="&amp;$A228,実績!$AJ$6:$AJ$505,"&gt;"&amp;$A228,実績!$AK$6:$AK$505,"○")&gt;0,1,0))</f>
        <v>0</v>
      </c>
      <c r="AQ228" s="39" t="n">
        <f aca="false">IF(AQ$4=0,0,IF(COUNTIFS(実績!$W$6:$W$505,AQ$3,実績!$AI$6:$AI$505,"&lt;="&amp;$A228,実績!$AJ$6:$AJ$505,"&gt;"&amp;$A228,実績!$AK$6:$AK$505,"○")&gt;0,1,0))</f>
        <v>0</v>
      </c>
      <c r="AR228" s="39" t="n">
        <f aca="false">IF(AR$4=0,0,IF(COUNTIFS(実績!$W$6:$W$505,AR$3,実績!$AI$6:$AI$505,"&lt;="&amp;$A228,実績!$AJ$6:$AJ$505,"&gt;"&amp;$A228,実績!$AK$6:$AK$505,"○")&gt;0,1,0))</f>
        <v>0</v>
      </c>
      <c r="AS228" s="39" t="n">
        <f aca="false">IF(AS$4=0,0,IF(COUNTIFS(実績!$W$6:$W$505,AS$3,実績!$AI$6:$AI$505,"&lt;="&amp;$A228,実績!$AJ$6:$AJ$505,"&gt;"&amp;$A228,実績!$AK$6:$AK$505,"○")&gt;0,1,0))</f>
        <v>0</v>
      </c>
      <c r="AT228" s="39" t="n">
        <f aca="false">IF(AT$4=0,0,IF(COUNTIFS(実績!$W$6:$W$505,AT$3,実績!$AI$6:$AI$505,"&lt;="&amp;$A228,実績!$AJ$6:$AJ$505,"&gt;"&amp;$A228,実績!$AK$6:$AK$505,"○")&gt;0,1,0))</f>
        <v>0</v>
      </c>
      <c r="AU228" s="39" t="n">
        <f aca="false">IF(AU$4=0,0,IF(COUNTIFS(実績!$W$6:$W$505,AU$3,実績!$AI$6:$AI$505,"&lt;="&amp;$A228,実績!$AJ$6:$AJ$505,"&gt;"&amp;$A228,実績!$AK$6:$AK$505,"○")&gt;0,1,0))</f>
        <v>0</v>
      </c>
      <c r="AV228" s="39" t="n">
        <f aca="false">IF(AV$4=0,0,IF(COUNTIFS(実績!$W$6:$W$505,AV$3,実績!$AI$6:$AI$505,"&lt;="&amp;$A228,実績!$AJ$6:$AJ$505,"&gt;"&amp;$A228,実績!$AK$6:$AK$505,"○")&gt;0,1,0))</f>
        <v>0</v>
      </c>
      <c r="AW228" s="39" t="n">
        <f aca="false">IF(AW$4=0,0,IF(COUNTIFS(実績!$W$6:$W$505,AW$3,実績!$AI$6:$AI$505,"&lt;="&amp;$A228,実績!$AJ$6:$AJ$505,"&gt;"&amp;$A228,実績!$AK$6:$AK$505,"○")&gt;0,1,0))</f>
        <v>0</v>
      </c>
      <c r="AX228" s="39" t="n">
        <f aca="false">IF(AX$4=0,0,IF(COUNTIFS(実績!$W$6:$W$505,AX$3,実績!$AI$6:$AI$505,"&lt;="&amp;$A228,実績!$AJ$6:$AJ$505,"&gt;"&amp;$A228,実績!$AK$6:$AK$505,"○")&gt;0,1,0))</f>
        <v>0</v>
      </c>
      <c r="AY228" s="39" t="n">
        <f aca="false">IF(AY$4=0,0,IF(COUNTIFS(実績!$W$6:$W$505,AY$3,実績!$AI$6:$AI$505,"&lt;="&amp;$A228,実績!$AJ$6:$AJ$505,"&gt;"&amp;$A228,実績!$AK$6:$AK$505,"○")&gt;0,1,0))</f>
        <v>0</v>
      </c>
      <c r="AZ228" s="39" t="n">
        <f aca="false">IF(AZ$4=0,0,IF(COUNTIFS(実績!$W$6:$W$505,AZ$3,実績!$AI$6:$AI$505,"&lt;="&amp;$A228,実績!$AJ$6:$AJ$505,"&gt;"&amp;$A228,実績!$AK$6:$AK$505,"○")&gt;0,1,0))</f>
        <v>0</v>
      </c>
      <c r="BA228" s="39" t="n">
        <f aca="false">IF(BA$4=0,0,IF(COUNTIFS(実績!$W$6:$W$505,BA$3,実績!$AI$6:$AI$505,"&lt;="&amp;$A228,実績!$AJ$6:$AJ$505,"&gt;"&amp;$A228,実績!$AK$6:$AK$505,"○")&gt;0,1,0))</f>
        <v>0</v>
      </c>
      <c r="BB228" s="39" t="n">
        <f aca="false">IF(BB$4=0,0,IF(COUNTIFS(実績!$W$6:$W$505,BB$3,実績!$AI$6:$AI$505,"&lt;="&amp;$A228,実績!$AJ$6:$AJ$505,"&gt;"&amp;$A228,実績!$AK$6:$AK$505,"○")&gt;0,1,0))</f>
        <v>0</v>
      </c>
      <c r="BC228" s="39" t="n">
        <f aca="false">IF(BC$4=0,0,IF(COUNTIFS(実績!$W$6:$W$505,BC$3,実績!$AI$6:$AI$505,"&lt;="&amp;$A228,実績!$AJ$6:$AJ$505,"&gt;"&amp;$A228,実績!$AK$6:$AK$505,"○")&gt;0,1,0))</f>
        <v>0</v>
      </c>
      <c r="BD228" s="39" t="n">
        <f aca="false">IF(BD$4=0,0,IF(COUNTIFS(実績!$W$6:$W$505,BD$3,実績!$AI$6:$AI$505,"&lt;="&amp;$A228,実績!$AJ$6:$AJ$505,"&gt;"&amp;$A228,実績!$AK$6:$AK$505,"○")&gt;0,1,0))</f>
        <v>0</v>
      </c>
      <c r="BE228" s="39" t="n">
        <f aca="false">IF(BE$4=0,0,IF(COUNTIFS(実績!$W$6:$W$505,BE$3,実績!$AI$6:$AI$505,"&lt;="&amp;$A228,実績!$AJ$6:$AJ$505,"&gt;"&amp;$A228,実績!$AK$6:$AK$505,"○")&gt;0,1,0))</f>
        <v>0</v>
      </c>
      <c r="BF228" s="39" t="n">
        <f aca="false">IF(BF$4=0,0,IF(COUNTIFS(実績!$W$6:$W$505,BF$3,実績!$AI$6:$AI$505,"&lt;="&amp;$A228,実績!$AJ$6:$AJ$505,"&gt;"&amp;$A228,実績!$AK$6:$AK$505,"○")&gt;0,1,0))</f>
        <v>0</v>
      </c>
      <c r="BG228" s="39" t="n">
        <f aca="false">IF(BG$4=0,0,IF(COUNTIFS(実績!$W$6:$W$505,BG$3,実績!$AI$6:$AI$505,"&lt;="&amp;$A228,実績!$AJ$6:$AJ$505,"&gt;"&amp;$A228,実績!$AK$6:$AK$505,"○")&gt;0,1,0))</f>
        <v>0</v>
      </c>
      <c r="BH228" s="39" t="n">
        <f aca="false">IF(BH$4=0,0,IF(COUNTIFS(実績!$W$6:$W$505,BH$3,実績!$AI$6:$AI$505,"&lt;="&amp;$A228,実績!$AJ$6:$AJ$505,"&gt;"&amp;$A228,実績!$AK$6:$AK$505,"○")&gt;0,1,0))</f>
        <v>0</v>
      </c>
      <c r="BI228" s="39" t="n">
        <f aca="false">IF(BI$4=0,0,IF(COUNTIFS(実績!$W$6:$W$505,BI$3,実績!$AI$6:$AI$505,"&lt;="&amp;$A228,実績!$AJ$6:$AJ$505,"&gt;"&amp;$A228,実績!$AK$6:$AK$505,"○")&gt;0,1,0))</f>
        <v>0</v>
      </c>
      <c r="BJ228" s="39" t="n">
        <f aca="false">IF(BJ$4=0,0,IF(COUNTIFS(実績!$W$6:$W$505,BJ$3,実績!$AI$6:$AI$505,"&lt;="&amp;$A228,実績!$AJ$6:$AJ$505,"&gt;"&amp;$A228,実績!$AK$6:$AK$505,"○")&gt;0,1,0))</f>
        <v>0</v>
      </c>
      <c r="BK228" s="39" t="n">
        <f aca="false">IF(BK$4=0,0,IF(COUNTIFS(実績!$W$6:$W$505,BK$3,実績!$AI$6:$AI$505,"&lt;="&amp;$A228,実績!$AJ$6:$AJ$505,"&gt;"&amp;$A228,実績!$AK$6:$AK$505,"○")&gt;0,1,0))</f>
        <v>0</v>
      </c>
      <c r="BL228" s="39" t="n">
        <f aca="false">IF(BL$4=0,0,IF(COUNTIFS(実績!$W$6:$W$505,BL$3,実績!$AI$6:$AI$505,"&lt;="&amp;$A228,実績!$AJ$6:$AJ$505,"&gt;"&amp;$A228,実績!$AK$6:$AK$505,"○")&gt;0,1,0))</f>
        <v>0</v>
      </c>
      <c r="BM228" s="39" t="n">
        <f aca="false">IF(BM$4=0,0,IF(COUNTIFS(実績!$W$6:$W$505,BM$3,実績!$AI$6:$AI$505,"&lt;="&amp;$A228,実績!$AJ$6:$AJ$505,"&gt;"&amp;$A228,実績!$AK$6:$AK$505,"○")&gt;0,1,0))</f>
        <v>0</v>
      </c>
      <c r="BN228" s="39" t="n">
        <f aca="false">IF(BN$4=0,0,IF(COUNTIFS(実績!$W$6:$W$505,BN$3,実績!$AI$6:$AI$505,"&lt;="&amp;$A228,実績!$AJ$6:$AJ$505,"&gt;"&amp;$A228,実績!$AK$6:$AK$505,"○")&gt;0,1,0))</f>
        <v>0</v>
      </c>
      <c r="BO228" s="39" t="n">
        <f aca="false">IF(BO$4=0,0,IF(COUNTIFS(実績!$W$6:$W$505,BO$3,実績!$AI$6:$AI$505,"&lt;="&amp;$A228,実績!$AJ$6:$AJ$505,"&gt;"&amp;$A228,実績!$AK$6:$AK$505,"○")&gt;0,1,0))</f>
        <v>0</v>
      </c>
      <c r="BP228" s="39" t="n">
        <f aca="false">IF(BP$4=0,0,IF(COUNTIFS(実績!$W$6:$W$505,BP$3,実績!$AI$6:$AI$505,"&lt;="&amp;$A228,実績!$AJ$6:$AJ$505,"&gt;"&amp;$A228,実績!$AK$6:$AK$505,"○")&gt;0,1,0))</f>
        <v>0</v>
      </c>
      <c r="BQ228" s="39" t="n">
        <f aca="false">IF(BQ$4=0,0,IF(COUNTIFS(実績!$W$6:$W$505,BQ$3,実績!$AI$6:$AI$505,"&lt;="&amp;$A228,実績!$AJ$6:$AJ$505,"&gt;"&amp;$A228,実績!$AK$6:$AK$505,"○")&gt;0,1,0))</f>
        <v>0</v>
      </c>
      <c r="BR228" s="39" t="n">
        <f aca="false">IF(BR$4=0,0,IF(COUNTIFS(実績!$W$6:$W$505,BR$3,実績!$AI$6:$AI$505,"&lt;="&amp;$A228,実績!$AJ$6:$AJ$505,"&gt;"&amp;$A228,実績!$AK$6:$AK$505,"○")&gt;0,1,0))</f>
        <v>0</v>
      </c>
      <c r="BS228" s="39" t="n">
        <f aca="false">IF(BS$4=0,0,IF(COUNTIFS(実績!$W$6:$W$505,BS$3,実績!$AI$6:$AI$505,"&lt;="&amp;$A228,実績!$AJ$6:$AJ$505,"&gt;"&amp;$A228,実績!$AK$6:$AK$505,"○")&gt;0,1,0))</f>
        <v>0</v>
      </c>
      <c r="BT228" s="39" t="n">
        <f aca="false">IF(BT$4=0,0,IF(COUNTIFS(実績!$W$6:$W$505,BT$3,実績!$AI$6:$AI$505,"&lt;="&amp;$A228,実績!$AJ$6:$AJ$505,"&gt;"&amp;$A228,実績!$AK$6:$AK$505,"○")&gt;0,1,0))</f>
        <v>0</v>
      </c>
      <c r="BU228" s="39" t="n">
        <f aca="false">IF(BU$4=0,0,IF(COUNTIFS(実績!$W$6:$W$505,BU$3,実績!$AI$6:$AI$505,"&lt;="&amp;$A228,実績!$AJ$6:$AJ$505,"&gt;"&amp;$A228,実績!$AK$6:$AK$505,"○")&gt;0,1,0))</f>
        <v>0</v>
      </c>
      <c r="BV228" s="39" t="n">
        <f aca="false">IF(BV$4=0,0,IF(COUNTIFS(実績!$W$6:$W$505,BV$3,実績!$AI$6:$AI$505,"&lt;="&amp;$A228,実績!$AJ$6:$AJ$505,"&gt;"&amp;$A228,実績!$AK$6:$AK$505,"○")&gt;0,1,0))</f>
        <v>0</v>
      </c>
      <c r="BW228" s="39" t="n">
        <f aca="false">IF(BW$4=0,0,IF(COUNTIFS(実績!$W$6:$W$505,BW$3,実績!$AI$6:$AI$505,"&lt;="&amp;$A228,実績!$AJ$6:$AJ$505,"&gt;"&amp;$A228,実績!$AK$6:$AK$505,"○")&gt;0,1,0))</f>
        <v>0</v>
      </c>
      <c r="BX228" s="39" t="n">
        <f aca="false">IF(BX$4=0,0,IF(COUNTIFS(実績!$W$6:$W$505,BX$3,実績!$AI$6:$AI$505,"&lt;="&amp;$A228,実績!$AJ$6:$AJ$505,"&gt;"&amp;$A228,実績!$AK$6:$AK$505,"○")&gt;0,1,0))</f>
        <v>0</v>
      </c>
      <c r="BY228" s="39" t="n">
        <f aca="false">IF(BY$4=0,0,IF(COUNTIFS(実績!$W$6:$W$505,BY$3,実績!$AI$6:$AI$505,"&lt;="&amp;$A228,実績!$AJ$6:$AJ$505,"&gt;"&amp;$A228,実績!$AK$6:$AK$505,"○")&gt;0,1,0))</f>
        <v>0</v>
      </c>
      <c r="BZ228" s="39" t="n">
        <f aca="false">IF(BZ$4=0,0,IF(COUNTIFS(実績!$W$6:$W$505,BZ$3,実績!$AI$6:$AI$505,"&lt;="&amp;$A228,実績!$AJ$6:$AJ$505,"&gt;"&amp;$A228,実績!$AK$6:$AK$505,"○")&gt;0,1,0))</f>
        <v>0</v>
      </c>
      <c r="CA228" s="39" t="n">
        <f aca="false">IF(CA$4=0,0,IF(COUNTIFS(実績!$W$6:$W$505,CA$3,実績!$AI$6:$AI$505,"&lt;="&amp;$A228,実績!$AJ$6:$AJ$505,"&gt;"&amp;$A228,実績!$AK$6:$AK$505,"○")&gt;0,1,0))</f>
        <v>0</v>
      </c>
      <c r="CB228" s="39" t="n">
        <f aca="false">IF(CB$4=0,0,IF(COUNTIFS(実績!$W$6:$W$505,CB$3,実績!$AI$6:$AI$505,"&lt;="&amp;$A228,実績!$AJ$6:$AJ$505,"&gt;"&amp;$A228,実績!$AK$6:$AK$505,"○")&gt;0,1,0))</f>
        <v>0</v>
      </c>
      <c r="CC228" s="39" t="n">
        <f aca="false">IF(CC$4=0,0,IF(COUNTIFS(実績!$W$6:$W$505,CC$3,実績!$AI$6:$AI$505,"&lt;="&amp;$A228,実績!$AJ$6:$AJ$505,"&gt;"&amp;$A228,実績!$AK$6:$AK$505,"○")&gt;0,1,0))</f>
        <v>0</v>
      </c>
      <c r="CD228" s="39" t="n">
        <f aca="false">IF(CD$4=0,0,IF(COUNTIFS(実績!$W$6:$W$505,CD$3,実績!$AI$6:$AI$505,"&lt;="&amp;$A228,実績!$AJ$6:$AJ$505,"&gt;"&amp;$A228,実績!$AK$6:$AK$505,"○")&gt;0,1,0))</f>
        <v>0</v>
      </c>
      <c r="CE228" s="39" t="n">
        <f aca="false">IF(CE$4=0,0,IF(COUNTIFS(実績!$W$6:$W$505,CE$3,実績!$AI$6:$AI$505,"&lt;="&amp;$A228,実績!$AJ$6:$AJ$505,"&gt;"&amp;$A228,実績!$AK$6:$AK$505,"○")&gt;0,1,0))</f>
        <v>0</v>
      </c>
      <c r="CF228" s="39" t="n">
        <f aca="false">IF(CF$4=0,0,IF(COUNTIFS(実績!$W$6:$W$505,CF$3,実績!$AI$6:$AI$505,"&lt;="&amp;$A228,実績!$AJ$6:$AJ$505,"&gt;"&amp;$A228,実績!$AK$6:$AK$505,"○")&gt;0,1,0))</f>
        <v>0</v>
      </c>
      <c r="CG228" s="39" t="n">
        <f aca="false">IF(CG$4=0,0,IF(COUNTIFS(実績!$W$6:$W$505,CG$3,実績!$AI$6:$AI$505,"&lt;="&amp;$A228,実績!$AJ$6:$AJ$505,"&gt;"&amp;$A228,実績!$AK$6:$AK$505,"○")&gt;0,1,0))</f>
        <v>0</v>
      </c>
      <c r="CH228" s="39" t="n">
        <f aca="false">IF(CH$4=0,0,IF(COUNTIFS(実績!$W$6:$W$505,CH$3,実績!$AI$6:$AI$505,"&lt;="&amp;$A228,実績!$AJ$6:$AJ$505,"&gt;"&amp;$A228,実績!$AK$6:$AK$505,"○")&gt;0,1,0))</f>
        <v>0</v>
      </c>
      <c r="CI228" s="39" t="n">
        <f aca="false">IF(CI$4=0,0,IF(COUNTIFS(実績!$W$6:$W$505,CI$3,実績!$AI$6:$AI$505,"&lt;="&amp;$A228,実績!$AJ$6:$AJ$505,"&gt;"&amp;$A228,実績!$AK$6:$AK$505,"○")&gt;0,1,0))</f>
        <v>0</v>
      </c>
      <c r="CJ228" s="39" t="n">
        <f aca="false">IF(CJ$4=0,0,IF(COUNTIFS(実績!$W$6:$W$505,CJ$3,実績!$AI$6:$AI$505,"&lt;="&amp;$A228,実績!$AJ$6:$AJ$505,"&gt;"&amp;$A228,実績!$AK$6:$AK$505,"○")&gt;0,1,0))</f>
        <v>0</v>
      </c>
      <c r="CK228" s="39" t="n">
        <f aca="false">IF(CK$4=0,0,IF(COUNTIFS(実績!$W$6:$W$505,CK$3,実績!$AI$6:$AI$505,"&lt;="&amp;$A228,実績!$AJ$6:$AJ$505,"&gt;"&amp;$A228,実績!$AK$6:$AK$505,"○")&gt;0,1,0))</f>
        <v>0</v>
      </c>
      <c r="CL228" s="39" t="n">
        <f aca="false">IF(CL$4=0,0,IF(COUNTIFS(実績!$W$6:$W$505,CL$3,実績!$AI$6:$AI$505,"&lt;="&amp;$A228,実績!$AJ$6:$AJ$505,"&gt;"&amp;$A228,実績!$AK$6:$AK$505,"○")&gt;0,1,0))</f>
        <v>0</v>
      </c>
      <c r="CM228" s="39" t="n">
        <f aca="false">IF(CM$4=0,0,IF(COUNTIFS(実績!$W$6:$W$505,CM$3,実績!$AI$6:$AI$505,"&lt;="&amp;$A228,実績!$AJ$6:$AJ$505,"&gt;"&amp;$A228,実績!$AK$6:$AK$505,"○")&gt;0,1,0))</f>
        <v>0</v>
      </c>
      <c r="CN228" s="39" t="n">
        <f aca="false">IF(CN$4=0,0,IF(COUNTIFS(実績!$W$6:$W$505,CN$3,実績!$AI$6:$AI$505,"&lt;="&amp;$A228,実績!$AJ$6:$AJ$505,"&gt;"&amp;$A228,実績!$AK$6:$AK$505,"○")&gt;0,1,0))</f>
        <v>0</v>
      </c>
      <c r="CO228" s="39" t="n">
        <f aca="false">IF(CO$4=0,0,IF(COUNTIFS(実績!$W$6:$W$505,CO$3,実績!$AI$6:$AI$505,"&lt;="&amp;$A228,実績!$AJ$6:$AJ$505,"&gt;"&amp;$A228,実績!$AK$6:$AK$505,"○")&gt;0,1,0))</f>
        <v>0</v>
      </c>
      <c r="CP228" s="39" t="n">
        <f aca="false">IF(CP$4=0,0,IF(COUNTIFS(実績!$W$6:$W$505,CP$3,実績!$AI$6:$AI$505,"&lt;="&amp;$A228,実績!$AJ$6:$AJ$505,"&gt;"&amp;$A228,実績!$AK$6:$AK$505,"○")&gt;0,1,0))</f>
        <v>0</v>
      </c>
      <c r="CQ228" s="39" t="n">
        <f aca="false">IF(CQ$4=0,0,IF(COUNTIFS(実績!$W$6:$W$505,CQ$3,実績!$AI$6:$AI$505,"&lt;="&amp;$A228,実績!$AJ$6:$AJ$505,"&gt;"&amp;$A228,実績!$AK$6:$AK$505,"○")&gt;0,1,0))</f>
        <v>0</v>
      </c>
      <c r="CR228" s="39" t="n">
        <f aca="false">IF(CR$4=0,0,IF(COUNTIFS(実績!$W$6:$W$505,CR$3,実績!$AI$6:$AI$505,"&lt;="&amp;$A228,実績!$AJ$6:$AJ$505,"&gt;"&amp;$A228,実績!$AK$6:$AK$505,"○")&gt;0,1,0))</f>
        <v>0</v>
      </c>
      <c r="CS228" s="39" t="n">
        <f aca="false">IF(CS$4=0,0,IF(COUNTIFS(実績!$W$6:$W$505,CS$3,実績!$AI$6:$AI$505,"&lt;="&amp;$A228,実績!$AJ$6:$AJ$505,"&gt;"&amp;$A228,実績!$AK$6:$AK$505,"○")&gt;0,1,0))</f>
        <v>0</v>
      </c>
      <c r="CT228" s="39" t="n">
        <f aca="false">IF(CT$4=0,0,IF(COUNTIFS(実績!$W$6:$W$505,CT$3,実績!$AI$6:$AI$505,"&lt;="&amp;$A228,実績!$AJ$6:$AJ$505,"&gt;"&amp;$A228,実績!$AK$6:$AK$505,"○")&gt;0,1,0))</f>
        <v>0</v>
      </c>
      <c r="CU228" s="39" t="n">
        <f aca="false">IF(CU$4=0,0,IF(COUNTIFS(実績!$W$6:$W$505,CU$3,実績!$AI$6:$AI$505,"&lt;="&amp;$A228,実績!$AJ$6:$AJ$505,"&gt;"&amp;$A228,実績!$AK$6:$AK$505,"○")&gt;0,1,0))</f>
        <v>0</v>
      </c>
      <c r="CV228" s="39" t="n">
        <f aca="false">IF(CV$4=0,0,IF(COUNTIFS(実績!$W$6:$W$505,CV$3,実績!$AI$6:$AI$505,"&lt;="&amp;$A228,実績!$AJ$6:$AJ$505,"&gt;"&amp;$A228,実績!$AK$6:$AK$505,"○")&gt;0,1,0))</f>
        <v>0</v>
      </c>
      <c r="CW228" s="39" t="n">
        <f aca="false">IF(CW$4=0,0,IF(COUNTIFS(実績!$W$6:$W$505,CW$3,実績!$AI$6:$AI$505,"&lt;="&amp;$A228,実績!$AJ$6:$AJ$505,"&gt;"&amp;$A228,実績!$AK$6:$AK$505,"○")&gt;0,1,0))</f>
        <v>0</v>
      </c>
      <c r="CX228" s="39" t="n">
        <f aca="false">IF(CX$4=0,0,IF(COUNTIFS(実績!$W$6:$W$505,CX$3,実績!$AI$6:$AI$505,"&lt;="&amp;$A228,実績!$AJ$6:$AJ$505,"&gt;"&amp;$A228,実績!$AK$6:$AK$505,"○")&gt;0,1,0))</f>
        <v>0</v>
      </c>
      <c r="CY228" s="39" t="n">
        <f aca="false">IF(CY$4=0,0,IF(COUNTIFS(実績!$W$6:$W$505,CY$3,実績!$AI$6:$AI$505,"&lt;="&amp;$A228,実績!$AJ$6:$AJ$505,"&gt;"&amp;$A228,実績!$AK$6:$AK$505,"○")&gt;0,1,0))</f>
        <v>0</v>
      </c>
      <c r="CZ228" s="39" t="n">
        <f aca="false">IF(CZ$4=0,0,IF(COUNTIFS(実績!$W$6:$W$505,CZ$3,実績!$AI$6:$AI$505,"&lt;="&amp;$A228,実績!$AJ$6:$AJ$505,"&gt;"&amp;$A228,実績!$AK$6:$AK$505,"○")&gt;0,1,0))</f>
        <v>0</v>
      </c>
      <c r="DA228" s="39" t="n">
        <f aca="false">IF(DA$4=0,0,IF(COUNTIFS(実績!$W$6:$W$505,DA$3,実績!$AI$6:$AI$505,"&lt;="&amp;$A228,実績!$AJ$6:$AJ$505,"&gt;"&amp;$A228,実績!$AK$6:$AK$505,"○")&gt;0,1,0))</f>
        <v>0</v>
      </c>
      <c r="DB228" s="39" t="n">
        <f aca="false">IF(DB$4=0,0,IF(COUNTIFS(実績!$W$6:$W$505,DB$3,実績!$AI$6:$AI$505,"&lt;="&amp;$A228,実績!$AJ$6:$AJ$505,"&gt;"&amp;$A228,実績!$AK$6:$AK$505,"○")&gt;0,1,0))</f>
        <v>0</v>
      </c>
      <c r="DC228" s="39" t="n">
        <f aca="false">IF(DC$4=0,0,IF(COUNTIFS(実績!$W$6:$W$505,DC$3,実績!$AI$6:$AI$505,"&lt;="&amp;$A228,実績!$AJ$6:$AJ$505,"&gt;"&amp;$A228,実績!$AK$6:$AK$505,"○")&gt;0,1,0))</f>
        <v>0</v>
      </c>
      <c r="DD228" s="39" t="n">
        <f aca="false">IF(DD$4=0,0,IF(COUNTIFS(実績!$W$6:$W$505,DD$3,実績!$AI$6:$AI$505,"&lt;="&amp;$A228,実績!$AJ$6:$AJ$505,"&gt;"&amp;$A228,実績!$AK$6:$AK$505,"○")&gt;0,1,0))</f>
        <v>0</v>
      </c>
      <c r="DE228" s="39" t="n">
        <f aca="false">IF(DE$4=0,0,IF(COUNTIFS(実績!$W$6:$W$505,DE$3,実績!$AI$6:$AI$505,"&lt;="&amp;$A228,実績!$AJ$6:$AJ$505,"&gt;"&amp;$A228,実績!$AK$6:$AK$505,"○")&gt;0,1,0))</f>
        <v>0</v>
      </c>
      <c r="DF228" s="39" t="n">
        <f aca="false">IF(DF$4=0,0,IF(COUNTIFS(実績!$W$6:$W$505,DF$3,実績!$AI$6:$AI$505,"&lt;="&amp;$A228,実績!$AJ$6:$AJ$505,"&gt;"&amp;$A228,実績!$AK$6:$AK$505,"○")&gt;0,1,0))</f>
        <v>0</v>
      </c>
      <c r="DG228" s="39" t="n">
        <f aca="false">IF(DG$4=0,0,IF(COUNTIFS(実績!$W$6:$W$505,DG$3,実績!$AI$6:$AI$505,"&lt;="&amp;$A228,実績!$AJ$6:$AJ$505,"&gt;"&amp;$A228,実績!$AK$6:$AK$505,"○")&gt;0,1,0))</f>
        <v>0</v>
      </c>
      <c r="DH228" s="39" t="n">
        <f aca="false">IF(DH$4=0,0,IF(COUNTIFS(実績!$W$6:$W$505,DH$3,実績!$AI$6:$AI$505,"&lt;="&amp;$A228,実績!$AJ$6:$AJ$505,"&gt;"&amp;$A228,実績!$AK$6:$AK$505,"○")&gt;0,1,0))</f>
        <v>0</v>
      </c>
      <c r="DI228" s="39" t="n">
        <f aca="false">IF(DI$4=0,0,IF(COUNTIFS(実績!$W$6:$W$505,DI$3,実績!$AI$6:$AI$505,"&lt;="&amp;$A228,実績!$AJ$6:$AJ$505,"&gt;"&amp;$A228,実績!$AK$6:$AK$505,"○")&gt;0,1,0))</f>
        <v>0</v>
      </c>
      <c r="DJ228" s="39" t="n">
        <f aca="false">IF(DJ$4=0,0,IF(COUNTIFS(実績!$W$6:$W$505,DJ$3,実績!$AI$6:$AI$505,"&lt;="&amp;$A228,実績!$AJ$6:$AJ$505,"&gt;"&amp;$A228,実績!$AK$6:$AK$505,"○")&gt;0,1,0))</f>
        <v>0</v>
      </c>
      <c r="DK228" s="39" t="n">
        <f aca="false">IF(DK$4=0,0,IF(COUNTIFS(実績!$W$6:$W$505,DK$3,実績!$AI$6:$AI$505,"&lt;="&amp;$A228,実績!$AJ$6:$AJ$505,"&gt;"&amp;$A228,実績!$AK$6:$AK$505,"○")&gt;0,1,0))</f>
        <v>0</v>
      </c>
      <c r="DL228" s="39" t="n">
        <f aca="false">IF(DL$4=0,0,IF(COUNTIFS(実績!$W$6:$W$505,DL$3,実績!$AI$6:$AI$505,"&lt;="&amp;$A228,実績!$AJ$6:$AJ$505,"&gt;"&amp;$A228,実績!$AK$6:$AK$505,"○")&gt;0,1,0))</f>
        <v>0</v>
      </c>
      <c r="DM228" s="39" t="n">
        <f aca="false">IF(DM$4=0,0,IF(COUNTIFS(実績!$W$6:$W$505,DM$3,実績!$AI$6:$AI$505,"&lt;="&amp;$A228,実績!$AJ$6:$AJ$505,"&gt;"&amp;$A228,実績!$AK$6:$AK$505,"○")&gt;0,1,0))</f>
        <v>0</v>
      </c>
      <c r="DN228" s="39" t="n">
        <f aca="false">IF(DN$4=0,0,IF(COUNTIFS(実績!$W$6:$W$505,DN$3,実績!$AI$6:$AI$505,"&lt;="&amp;$A228,実績!$AJ$6:$AJ$505,"&gt;"&amp;$A228,実績!$AK$6:$AK$505,"○")&gt;0,1,0))</f>
        <v>0</v>
      </c>
      <c r="DO228" s="39" t="n">
        <f aca="false">IF(DO$4=0,0,IF(COUNTIFS(実績!$W$6:$W$505,DO$3,実績!$AI$6:$AI$505,"&lt;="&amp;$A228,実績!$AJ$6:$AJ$505,"&gt;"&amp;$A228,実績!$AK$6:$AK$505,"○")&gt;0,1,0))</f>
        <v>0</v>
      </c>
      <c r="DP228" s="39" t="n">
        <f aca="false">IF(DP$4=0,0,IF(COUNTIFS(実績!$W$6:$W$505,DP$3,実績!$AI$6:$AI$505,"&lt;="&amp;$A228,実績!$AJ$6:$AJ$505,"&gt;"&amp;$A228,実績!$AK$6:$AK$505,"○")&gt;0,1,0))</f>
        <v>0</v>
      </c>
      <c r="DQ228" s="39" t="n">
        <f aca="false">IF(DQ$4=0,0,IF(COUNTIFS(実績!$W$6:$W$505,DQ$3,実績!$AI$6:$AI$505,"&lt;="&amp;$A228,実績!$AJ$6:$AJ$505,"&gt;"&amp;$A228,実績!$AK$6:$AK$505,"○")&gt;0,1,0))</f>
        <v>0</v>
      </c>
      <c r="DR228" s="39" t="n">
        <f aca="false">IF(DR$4=0,0,IF(COUNTIFS(実績!$W$6:$W$505,DR$3,実績!$AI$6:$AI$505,"&lt;="&amp;$A228,実績!$AJ$6:$AJ$505,"&gt;"&amp;$A228,実績!$AK$6:$AK$505,"○")&gt;0,1,0))</f>
        <v>0</v>
      </c>
      <c r="DS228" s="39" t="n">
        <f aca="false">SUM(C228:DR228)</f>
        <v>0</v>
      </c>
      <c r="DT228" s="39" t="n">
        <f aca="false">SUMPRODUCT((実績!$C$6:$C$505="○")*ISNUMBER(実績!$AM$6:$AM$505)*(実績!$AM$6:$AM$505&lt;=$A228)*(実績!$AN$6:$AN$505&gt;$A228))</f>
        <v>0</v>
      </c>
      <c r="DU228" s="39" t="n">
        <f aca="false">SUMIF($C$2:$DR$2,"製鉄曳船",C228:DR228)</f>
        <v>0</v>
      </c>
      <c r="DV228" s="39" t="n">
        <f aca="false">SUMIF($C$2:$DR$2,"西日本海運",C228:DR228)</f>
        <v>0</v>
      </c>
    </row>
    <row r="229" customFormat="false" ht="15" hidden="false" customHeight="false" outlineLevel="0" collapsed="false">
      <c r="A229" s="0" t="n">
        <v>1115</v>
      </c>
      <c r="B229" s="38" t="n">
        <f aca="false">A229/1440</f>
        <v>0.774305555555556</v>
      </c>
      <c r="C229" s="39" t="n">
        <f aca="false">IF(C$4=0,0,IF(COUNTIFS(実績!$W$6:$W$505,C$3,実績!$AI$6:$AI$505,"&lt;="&amp;$A229,実績!$AJ$6:$AJ$505,"&gt;"&amp;$A229,実績!$AK$6:$AK$505,"○")&gt;0,1,0))</f>
        <v>0</v>
      </c>
      <c r="D229" s="39" t="n">
        <f aca="false">IF(D$4=0,0,IF(COUNTIFS(実績!$W$6:$W$505,D$3,実績!$AI$6:$AI$505,"&lt;="&amp;$A229,実績!$AJ$6:$AJ$505,"&gt;"&amp;$A229,実績!$AK$6:$AK$505,"○")&gt;0,1,0))</f>
        <v>0</v>
      </c>
      <c r="E229" s="39" t="n">
        <f aca="false">IF(E$4=0,0,IF(COUNTIFS(実績!$W$6:$W$505,E$3,実績!$AI$6:$AI$505,"&lt;="&amp;$A229,実績!$AJ$6:$AJ$505,"&gt;"&amp;$A229,実績!$AK$6:$AK$505,"○")&gt;0,1,0))</f>
        <v>0</v>
      </c>
      <c r="F229" s="39" t="n">
        <f aca="false">IF(F$4=0,0,IF(COUNTIFS(実績!$W$6:$W$505,F$3,実績!$AI$6:$AI$505,"&lt;="&amp;$A229,実績!$AJ$6:$AJ$505,"&gt;"&amp;$A229,実績!$AK$6:$AK$505,"○")&gt;0,1,0))</f>
        <v>0</v>
      </c>
      <c r="G229" s="39" t="n">
        <f aca="false">IF(G$4=0,0,IF(COUNTIFS(実績!$W$6:$W$505,G$3,実績!$AI$6:$AI$505,"&lt;="&amp;$A229,実績!$AJ$6:$AJ$505,"&gt;"&amp;$A229,実績!$AK$6:$AK$505,"○")&gt;0,1,0))</f>
        <v>0</v>
      </c>
      <c r="H229" s="39" t="n">
        <f aca="false">IF(H$4=0,0,IF(COUNTIFS(実績!$W$6:$W$505,H$3,実績!$AI$6:$AI$505,"&lt;="&amp;$A229,実績!$AJ$6:$AJ$505,"&gt;"&amp;$A229,実績!$AK$6:$AK$505,"○")&gt;0,1,0))</f>
        <v>0</v>
      </c>
      <c r="I229" s="39" t="n">
        <f aca="false">IF(I$4=0,0,IF(COUNTIFS(実績!$W$6:$W$505,I$3,実績!$AI$6:$AI$505,"&lt;="&amp;$A229,実績!$AJ$6:$AJ$505,"&gt;"&amp;$A229,実績!$AK$6:$AK$505,"○")&gt;0,1,0))</f>
        <v>0</v>
      </c>
      <c r="J229" s="39" t="n">
        <f aca="false">IF(J$4=0,0,IF(COUNTIFS(実績!$W$6:$W$505,J$3,実績!$AI$6:$AI$505,"&lt;="&amp;$A229,実績!$AJ$6:$AJ$505,"&gt;"&amp;$A229,実績!$AK$6:$AK$505,"○")&gt;0,1,0))</f>
        <v>0</v>
      </c>
      <c r="K229" s="39" t="n">
        <f aca="false">IF(K$4=0,0,IF(COUNTIFS(実績!$W$6:$W$505,K$3,実績!$AI$6:$AI$505,"&lt;="&amp;$A229,実績!$AJ$6:$AJ$505,"&gt;"&amp;$A229,実績!$AK$6:$AK$505,"○")&gt;0,1,0))</f>
        <v>0</v>
      </c>
      <c r="L229" s="39" t="n">
        <f aca="false">IF(L$4=0,0,IF(COUNTIFS(実績!$W$6:$W$505,L$3,実績!$AI$6:$AI$505,"&lt;="&amp;$A229,実績!$AJ$6:$AJ$505,"&gt;"&amp;$A229,実績!$AK$6:$AK$505,"○")&gt;0,1,0))</f>
        <v>0</v>
      </c>
      <c r="M229" s="39" t="n">
        <f aca="false">IF(M$4=0,0,IF(COUNTIFS(実績!$W$6:$W$505,M$3,実績!$AI$6:$AI$505,"&lt;="&amp;$A229,実績!$AJ$6:$AJ$505,"&gt;"&amp;$A229,実績!$AK$6:$AK$505,"○")&gt;0,1,0))</f>
        <v>0</v>
      </c>
      <c r="N229" s="39" t="n">
        <f aca="false">IF(N$4=0,0,IF(COUNTIFS(実績!$W$6:$W$505,N$3,実績!$AI$6:$AI$505,"&lt;="&amp;$A229,実績!$AJ$6:$AJ$505,"&gt;"&amp;$A229,実績!$AK$6:$AK$505,"○")&gt;0,1,0))</f>
        <v>0</v>
      </c>
      <c r="O229" s="39" t="n">
        <f aca="false">IF(O$4=0,0,IF(COUNTIFS(実績!$W$6:$W$505,O$3,実績!$AI$6:$AI$505,"&lt;="&amp;$A229,実績!$AJ$6:$AJ$505,"&gt;"&amp;$A229,実績!$AK$6:$AK$505,"○")&gt;0,1,0))</f>
        <v>0</v>
      </c>
      <c r="P229" s="39" t="n">
        <f aca="false">IF(P$4=0,0,IF(COUNTIFS(実績!$W$6:$W$505,P$3,実績!$AI$6:$AI$505,"&lt;="&amp;$A229,実績!$AJ$6:$AJ$505,"&gt;"&amp;$A229,実績!$AK$6:$AK$505,"○")&gt;0,1,0))</f>
        <v>0</v>
      </c>
      <c r="Q229" s="39" t="n">
        <f aca="false">IF(Q$4=0,0,IF(COUNTIFS(実績!$W$6:$W$505,Q$3,実績!$AI$6:$AI$505,"&lt;="&amp;$A229,実績!$AJ$6:$AJ$505,"&gt;"&amp;$A229,実績!$AK$6:$AK$505,"○")&gt;0,1,0))</f>
        <v>0</v>
      </c>
      <c r="R229" s="39" t="n">
        <f aca="false">IF(R$4=0,0,IF(COUNTIFS(実績!$W$6:$W$505,R$3,実績!$AI$6:$AI$505,"&lt;="&amp;$A229,実績!$AJ$6:$AJ$505,"&gt;"&amp;$A229,実績!$AK$6:$AK$505,"○")&gt;0,1,0))</f>
        <v>0</v>
      </c>
      <c r="S229" s="39" t="n">
        <f aca="false">IF(S$4=0,0,IF(COUNTIFS(実績!$W$6:$W$505,S$3,実績!$AI$6:$AI$505,"&lt;="&amp;$A229,実績!$AJ$6:$AJ$505,"&gt;"&amp;$A229,実績!$AK$6:$AK$505,"○")&gt;0,1,0))</f>
        <v>0</v>
      </c>
      <c r="T229" s="39" t="n">
        <f aca="false">IF(T$4=0,0,IF(COUNTIFS(実績!$W$6:$W$505,T$3,実績!$AI$6:$AI$505,"&lt;="&amp;$A229,実績!$AJ$6:$AJ$505,"&gt;"&amp;$A229,実績!$AK$6:$AK$505,"○")&gt;0,1,0))</f>
        <v>0</v>
      </c>
      <c r="U229" s="39" t="n">
        <f aca="false">IF(U$4=0,0,IF(COUNTIFS(実績!$W$6:$W$505,U$3,実績!$AI$6:$AI$505,"&lt;="&amp;$A229,実績!$AJ$6:$AJ$505,"&gt;"&amp;$A229,実績!$AK$6:$AK$505,"○")&gt;0,1,0))</f>
        <v>0</v>
      </c>
      <c r="V229" s="39" t="n">
        <f aca="false">IF(V$4=0,0,IF(COUNTIFS(実績!$W$6:$W$505,V$3,実績!$AI$6:$AI$505,"&lt;="&amp;$A229,実績!$AJ$6:$AJ$505,"&gt;"&amp;$A229,実績!$AK$6:$AK$505,"○")&gt;0,1,0))</f>
        <v>0</v>
      </c>
      <c r="W229" s="39" t="n">
        <f aca="false">IF(W$4=0,0,IF(COUNTIFS(実績!$W$6:$W$505,W$3,実績!$AI$6:$AI$505,"&lt;="&amp;$A229,実績!$AJ$6:$AJ$505,"&gt;"&amp;$A229,実績!$AK$6:$AK$505,"○")&gt;0,1,0))</f>
        <v>0</v>
      </c>
      <c r="X229" s="39" t="n">
        <f aca="false">IF(X$4=0,0,IF(COUNTIFS(実績!$W$6:$W$505,X$3,実績!$AI$6:$AI$505,"&lt;="&amp;$A229,実績!$AJ$6:$AJ$505,"&gt;"&amp;$A229,実績!$AK$6:$AK$505,"○")&gt;0,1,0))</f>
        <v>0</v>
      </c>
      <c r="Y229" s="39" t="n">
        <f aca="false">IF(Y$4=0,0,IF(COUNTIFS(実績!$W$6:$W$505,Y$3,実績!$AI$6:$AI$505,"&lt;="&amp;$A229,実績!$AJ$6:$AJ$505,"&gt;"&amp;$A229,実績!$AK$6:$AK$505,"○")&gt;0,1,0))</f>
        <v>0</v>
      </c>
      <c r="Z229" s="39" t="n">
        <f aca="false">IF(Z$4=0,0,IF(COUNTIFS(実績!$W$6:$W$505,Z$3,実績!$AI$6:$AI$505,"&lt;="&amp;$A229,実績!$AJ$6:$AJ$505,"&gt;"&amp;$A229,実績!$AK$6:$AK$505,"○")&gt;0,1,0))</f>
        <v>0</v>
      </c>
      <c r="AA229" s="39" t="n">
        <f aca="false">IF(AA$4=0,0,IF(COUNTIFS(実績!$W$6:$W$505,AA$3,実績!$AI$6:$AI$505,"&lt;="&amp;$A229,実績!$AJ$6:$AJ$505,"&gt;"&amp;$A229,実績!$AK$6:$AK$505,"○")&gt;0,1,0))</f>
        <v>0</v>
      </c>
      <c r="AB229" s="39" t="n">
        <f aca="false">IF(AB$4=0,0,IF(COUNTIFS(実績!$W$6:$W$505,AB$3,実績!$AI$6:$AI$505,"&lt;="&amp;$A229,実績!$AJ$6:$AJ$505,"&gt;"&amp;$A229,実績!$AK$6:$AK$505,"○")&gt;0,1,0))</f>
        <v>0</v>
      </c>
      <c r="AC229" s="39" t="n">
        <f aca="false">IF(AC$4=0,0,IF(COUNTIFS(実績!$W$6:$W$505,AC$3,実績!$AI$6:$AI$505,"&lt;="&amp;$A229,実績!$AJ$6:$AJ$505,"&gt;"&amp;$A229,実績!$AK$6:$AK$505,"○")&gt;0,1,0))</f>
        <v>0</v>
      </c>
      <c r="AD229" s="39" t="n">
        <f aca="false">IF(AD$4=0,0,IF(COUNTIFS(実績!$W$6:$W$505,AD$3,実績!$AI$6:$AI$505,"&lt;="&amp;$A229,実績!$AJ$6:$AJ$505,"&gt;"&amp;$A229,実績!$AK$6:$AK$505,"○")&gt;0,1,0))</f>
        <v>0</v>
      </c>
      <c r="AE229" s="39" t="n">
        <f aca="false">IF(AE$4=0,0,IF(COUNTIFS(実績!$W$6:$W$505,AE$3,実績!$AI$6:$AI$505,"&lt;="&amp;$A229,実績!$AJ$6:$AJ$505,"&gt;"&amp;$A229,実績!$AK$6:$AK$505,"○")&gt;0,1,0))</f>
        <v>0</v>
      </c>
      <c r="AF229" s="39" t="n">
        <f aca="false">IF(AF$4=0,0,IF(COUNTIFS(実績!$W$6:$W$505,AF$3,実績!$AI$6:$AI$505,"&lt;="&amp;$A229,実績!$AJ$6:$AJ$505,"&gt;"&amp;$A229,実績!$AK$6:$AK$505,"○")&gt;0,1,0))</f>
        <v>0</v>
      </c>
      <c r="AG229" s="39" t="n">
        <f aca="false">IF(AG$4=0,0,IF(COUNTIFS(実績!$W$6:$W$505,AG$3,実績!$AI$6:$AI$505,"&lt;="&amp;$A229,実績!$AJ$6:$AJ$505,"&gt;"&amp;$A229,実績!$AK$6:$AK$505,"○")&gt;0,1,0))</f>
        <v>0</v>
      </c>
      <c r="AH229" s="39" t="n">
        <f aca="false">IF(AH$4=0,0,IF(COUNTIFS(実績!$W$6:$W$505,AH$3,実績!$AI$6:$AI$505,"&lt;="&amp;$A229,実績!$AJ$6:$AJ$505,"&gt;"&amp;$A229,実績!$AK$6:$AK$505,"○")&gt;0,1,0))</f>
        <v>0</v>
      </c>
      <c r="AI229" s="39" t="n">
        <f aca="false">IF(AI$4=0,0,IF(COUNTIFS(実績!$W$6:$W$505,AI$3,実績!$AI$6:$AI$505,"&lt;="&amp;$A229,実績!$AJ$6:$AJ$505,"&gt;"&amp;$A229,実績!$AK$6:$AK$505,"○")&gt;0,1,0))</f>
        <v>0</v>
      </c>
      <c r="AJ229" s="39" t="n">
        <f aca="false">IF(AJ$4=0,0,IF(COUNTIFS(実績!$W$6:$W$505,AJ$3,実績!$AI$6:$AI$505,"&lt;="&amp;$A229,実績!$AJ$6:$AJ$505,"&gt;"&amp;$A229,実績!$AK$6:$AK$505,"○")&gt;0,1,0))</f>
        <v>0</v>
      </c>
      <c r="AK229" s="39" t="n">
        <f aca="false">IF(AK$4=0,0,IF(COUNTIFS(実績!$W$6:$W$505,AK$3,実績!$AI$6:$AI$505,"&lt;="&amp;$A229,実績!$AJ$6:$AJ$505,"&gt;"&amp;$A229,実績!$AK$6:$AK$505,"○")&gt;0,1,0))</f>
        <v>0</v>
      </c>
      <c r="AL229" s="39" t="n">
        <f aca="false">IF(AL$4=0,0,IF(COUNTIFS(実績!$W$6:$W$505,AL$3,実績!$AI$6:$AI$505,"&lt;="&amp;$A229,実績!$AJ$6:$AJ$505,"&gt;"&amp;$A229,実績!$AK$6:$AK$505,"○")&gt;0,1,0))</f>
        <v>0</v>
      </c>
      <c r="AM229" s="39" t="n">
        <f aca="false">IF(AM$4=0,0,IF(COUNTIFS(実績!$W$6:$W$505,AM$3,実績!$AI$6:$AI$505,"&lt;="&amp;$A229,実績!$AJ$6:$AJ$505,"&gt;"&amp;$A229,実績!$AK$6:$AK$505,"○")&gt;0,1,0))</f>
        <v>0</v>
      </c>
      <c r="AN229" s="39" t="n">
        <f aca="false">IF(AN$4=0,0,IF(COUNTIFS(実績!$W$6:$W$505,AN$3,実績!$AI$6:$AI$505,"&lt;="&amp;$A229,実績!$AJ$6:$AJ$505,"&gt;"&amp;$A229,実績!$AK$6:$AK$505,"○")&gt;0,1,0))</f>
        <v>0</v>
      </c>
      <c r="AO229" s="39" t="n">
        <f aca="false">IF(AO$4=0,0,IF(COUNTIFS(実績!$W$6:$W$505,AO$3,実績!$AI$6:$AI$505,"&lt;="&amp;$A229,実績!$AJ$6:$AJ$505,"&gt;"&amp;$A229,実績!$AK$6:$AK$505,"○")&gt;0,1,0))</f>
        <v>0</v>
      </c>
      <c r="AP229" s="39" t="n">
        <f aca="false">IF(AP$4=0,0,IF(COUNTIFS(実績!$W$6:$W$505,AP$3,実績!$AI$6:$AI$505,"&lt;="&amp;$A229,実績!$AJ$6:$AJ$505,"&gt;"&amp;$A229,実績!$AK$6:$AK$505,"○")&gt;0,1,0))</f>
        <v>0</v>
      </c>
      <c r="AQ229" s="39" t="n">
        <f aca="false">IF(AQ$4=0,0,IF(COUNTIFS(実績!$W$6:$W$505,AQ$3,実績!$AI$6:$AI$505,"&lt;="&amp;$A229,実績!$AJ$6:$AJ$505,"&gt;"&amp;$A229,実績!$AK$6:$AK$505,"○")&gt;0,1,0))</f>
        <v>0</v>
      </c>
      <c r="AR229" s="39" t="n">
        <f aca="false">IF(AR$4=0,0,IF(COUNTIFS(実績!$W$6:$W$505,AR$3,実績!$AI$6:$AI$505,"&lt;="&amp;$A229,実績!$AJ$6:$AJ$505,"&gt;"&amp;$A229,実績!$AK$6:$AK$505,"○")&gt;0,1,0))</f>
        <v>0</v>
      </c>
      <c r="AS229" s="39" t="n">
        <f aca="false">IF(AS$4=0,0,IF(COUNTIFS(実績!$W$6:$W$505,AS$3,実績!$AI$6:$AI$505,"&lt;="&amp;$A229,実績!$AJ$6:$AJ$505,"&gt;"&amp;$A229,実績!$AK$6:$AK$505,"○")&gt;0,1,0))</f>
        <v>0</v>
      </c>
      <c r="AT229" s="39" t="n">
        <f aca="false">IF(AT$4=0,0,IF(COUNTIFS(実績!$W$6:$W$505,AT$3,実績!$AI$6:$AI$505,"&lt;="&amp;$A229,実績!$AJ$6:$AJ$505,"&gt;"&amp;$A229,実績!$AK$6:$AK$505,"○")&gt;0,1,0))</f>
        <v>0</v>
      </c>
      <c r="AU229" s="39" t="n">
        <f aca="false">IF(AU$4=0,0,IF(COUNTIFS(実績!$W$6:$W$505,AU$3,実績!$AI$6:$AI$505,"&lt;="&amp;$A229,実績!$AJ$6:$AJ$505,"&gt;"&amp;$A229,実績!$AK$6:$AK$505,"○")&gt;0,1,0))</f>
        <v>0</v>
      </c>
      <c r="AV229" s="39" t="n">
        <f aca="false">IF(AV$4=0,0,IF(COUNTIFS(実績!$W$6:$W$505,AV$3,実績!$AI$6:$AI$505,"&lt;="&amp;$A229,実績!$AJ$6:$AJ$505,"&gt;"&amp;$A229,実績!$AK$6:$AK$505,"○")&gt;0,1,0))</f>
        <v>0</v>
      </c>
      <c r="AW229" s="39" t="n">
        <f aca="false">IF(AW$4=0,0,IF(COUNTIFS(実績!$W$6:$W$505,AW$3,実績!$AI$6:$AI$505,"&lt;="&amp;$A229,実績!$AJ$6:$AJ$505,"&gt;"&amp;$A229,実績!$AK$6:$AK$505,"○")&gt;0,1,0))</f>
        <v>0</v>
      </c>
      <c r="AX229" s="39" t="n">
        <f aca="false">IF(AX$4=0,0,IF(COUNTIFS(実績!$W$6:$W$505,AX$3,実績!$AI$6:$AI$505,"&lt;="&amp;$A229,実績!$AJ$6:$AJ$505,"&gt;"&amp;$A229,実績!$AK$6:$AK$505,"○")&gt;0,1,0))</f>
        <v>0</v>
      </c>
      <c r="AY229" s="39" t="n">
        <f aca="false">IF(AY$4=0,0,IF(COUNTIFS(実績!$W$6:$W$505,AY$3,実績!$AI$6:$AI$505,"&lt;="&amp;$A229,実績!$AJ$6:$AJ$505,"&gt;"&amp;$A229,実績!$AK$6:$AK$505,"○")&gt;0,1,0))</f>
        <v>0</v>
      </c>
      <c r="AZ229" s="39" t="n">
        <f aca="false">IF(AZ$4=0,0,IF(COUNTIFS(実績!$W$6:$W$505,AZ$3,実績!$AI$6:$AI$505,"&lt;="&amp;$A229,実績!$AJ$6:$AJ$505,"&gt;"&amp;$A229,実績!$AK$6:$AK$505,"○")&gt;0,1,0))</f>
        <v>0</v>
      </c>
      <c r="BA229" s="39" t="n">
        <f aca="false">IF(BA$4=0,0,IF(COUNTIFS(実績!$W$6:$W$505,BA$3,実績!$AI$6:$AI$505,"&lt;="&amp;$A229,実績!$AJ$6:$AJ$505,"&gt;"&amp;$A229,実績!$AK$6:$AK$505,"○")&gt;0,1,0))</f>
        <v>0</v>
      </c>
      <c r="BB229" s="39" t="n">
        <f aca="false">IF(BB$4=0,0,IF(COUNTIFS(実績!$W$6:$W$505,BB$3,実績!$AI$6:$AI$505,"&lt;="&amp;$A229,実績!$AJ$6:$AJ$505,"&gt;"&amp;$A229,実績!$AK$6:$AK$505,"○")&gt;0,1,0))</f>
        <v>0</v>
      </c>
      <c r="BC229" s="39" t="n">
        <f aca="false">IF(BC$4=0,0,IF(COUNTIFS(実績!$W$6:$W$505,BC$3,実績!$AI$6:$AI$505,"&lt;="&amp;$A229,実績!$AJ$6:$AJ$505,"&gt;"&amp;$A229,実績!$AK$6:$AK$505,"○")&gt;0,1,0))</f>
        <v>0</v>
      </c>
      <c r="BD229" s="39" t="n">
        <f aca="false">IF(BD$4=0,0,IF(COUNTIFS(実績!$W$6:$W$505,BD$3,実績!$AI$6:$AI$505,"&lt;="&amp;$A229,実績!$AJ$6:$AJ$505,"&gt;"&amp;$A229,実績!$AK$6:$AK$505,"○")&gt;0,1,0))</f>
        <v>0</v>
      </c>
      <c r="BE229" s="39" t="n">
        <f aca="false">IF(BE$4=0,0,IF(COUNTIFS(実績!$W$6:$W$505,BE$3,実績!$AI$6:$AI$505,"&lt;="&amp;$A229,実績!$AJ$6:$AJ$505,"&gt;"&amp;$A229,実績!$AK$6:$AK$505,"○")&gt;0,1,0))</f>
        <v>0</v>
      </c>
      <c r="BF229" s="39" t="n">
        <f aca="false">IF(BF$4=0,0,IF(COUNTIFS(実績!$W$6:$W$505,BF$3,実績!$AI$6:$AI$505,"&lt;="&amp;$A229,実績!$AJ$6:$AJ$505,"&gt;"&amp;$A229,実績!$AK$6:$AK$505,"○")&gt;0,1,0))</f>
        <v>0</v>
      </c>
      <c r="BG229" s="39" t="n">
        <f aca="false">IF(BG$4=0,0,IF(COUNTIFS(実績!$W$6:$W$505,BG$3,実績!$AI$6:$AI$505,"&lt;="&amp;$A229,実績!$AJ$6:$AJ$505,"&gt;"&amp;$A229,実績!$AK$6:$AK$505,"○")&gt;0,1,0))</f>
        <v>0</v>
      </c>
      <c r="BH229" s="39" t="n">
        <f aca="false">IF(BH$4=0,0,IF(COUNTIFS(実績!$W$6:$W$505,BH$3,実績!$AI$6:$AI$505,"&lt;="&amp;$A229,実績!$AJ$6:$AJ$505,"&gt;"&amp;$A229,実績!$AK$6:$AK$505,"○")&gt;0,1,0))</f>
        <v>0</v>
      </c>
      <c r="BI229" s="39" t="n">
        <f aca="false">IF(BI$4=0,0,IF(COUNTIFS(実績!$W$6:$W$505,BI$3,実績!$AI$6:$AI$505,"&lt;="&amp;$A229,実績!$AJ$6:$AJ$505,"&gt;"&amp;$A229,実績!$AK$6:$AK$505,"○")&gt;0,1,0))</f>
        <v>0</v>
      </c>
      <c r="BJ229" s="39" t="n">
        <f aca="false">IF(BJ$4=0,0,IF(COUNTIFS(実績!$W$6:$W$505,BJ$3,実績!$AI$6:$AI$505,"&lt;="&amp;$A229,実績!$AJ$6:$AJ$505,"&gt;"&amp;$A229,実績!$AK$6:$AK$505,"○")&gt;0,1,0))</f>
        <v>0</v>
      </c>
      <c r="BK229" s="39" t="n">
        <f aca="false">IF(BK$4=0,0,IF(COUNTIFS(実績!$W$6:$W$505,BK$3,実績!$AI$6:$AI$505,"&lt;="&amp;$A229,実績!$AJ$6:$AJ$505,"&gt;"&amp;$A229,実績!$AK$6:$AK$505,"○")&gt;0,1,0))</f>
        <v>0</v>
      </c>
      <c r="BL229" s="39" t="n">
        <f aca="false">IF(BL$4=0,0,IF(COUNTIFS(実績!$W$6:$W$505,BL$3,実績!$AI$6:$AI$505,"&lt;="&amp;$A229,実績!$AJ$6:$AJ$505,"&gt;"&amp;$A229,実績!$AK$6:$AK$505,"○")&gt;0,1,0))</f>
        <v>0</v>
      </c>
      <c r="BM229" s="39" t="n">
        <f aca="false">IF(BM$4=0,0,IF(COUNTIFS(実績!$W$6:$W$505,BM$3,実績!$AI$6:$AI$505,"&lt;="&amp;$A229,実績!$AJ$6:$AJ$505,"&gt;"&amp;$A229,実績!$AK$6:$AK$505,"○")&gt;0,1,0))</f>
        <v>0</v>
      </c>
      <c r="BN229" s="39" t="n">
        <f aca="false">IF(BN$4=0,0,IF(COUNTIFS(実績!$W$6:$W$505,BN$3,実績!$AI$6:$AI$505,"&lt;="&amp;$A229,実績!$AJ$6:$AJ$505,"&gt;"&amp;$A229,実績!$AK$6:$AK$505,"○")&gt;0,1,0))</f>
        <v>0</v>
      </c>
      <c r="BO229" s="39" t="n">
        <f aca="false">IF(BO$4=0,0,IF(COUNTIFS(実績!$W$6:$W$505,BO$3,実績!$AI$6:$AI$505,"&lt;="&amp;$A229,実績!$AJ$6:$AJ$505,"&gt;"&amp;$A229,実績!$AK$6:$AK$505,"○")&gt;0,1,0))</f>
        <v>0</v>
      </c>
      <c r="BP229" s="39" t="n">
        <f aca="false">IF(BP$4=0,0,IF(COUNTIFS(実績!$W$6:$W$505,BP$3,実績!$AI$6:$AI$505,"&lt;="&amp;$A229,実績!$AJ$6:$AJ$505,"&gt;"&amp;$A229,実績!$AK$6:$AK$505,"○")&gt;0,1,0))</f>
        <v>0</v>
      </c>
      <c r="BQ229" s="39" t="n">
        <f aca="false">IF(BQ$4=0,0,IF(COUNTIFS(実績!$W$6:$W$505,BQ$3,実績!$AI$6:$AI$505,"&lt;="&amp;$A229,実績!$AJ$6:$AJ$505,"&gt;"&amp;$A229,実績!$AK$6:$AK$505,"○")&gt;0,1,0))</f>
        <v>0</v>
      </c>
      <c r="BR229" s="39" t="n">
        <f aca="false">IF(BR$4=0,0,IF(COUNTIFS(実績!$W$6:$W$505,BR$3,実績!$AI$6:$AI$505,"&lt;="&amp;$A229,実績!$AJ$6:$AJ$505,"&gt;"&amp;$A229,実績!$AK$6:$AK$505,"○")&gt;0,1,0))</f>
        <v>0</v>
      </c>
      <c r="BS229" s="39" t="n">
        <f aca="false">IF(BS$4=0,0,IF(COUNTIFS(実績!$W$6:$W$505,BS$3,実績!$AI$6:$AI$505,"&lt;="&amp;$A229,実績!$AJ$6:$AJ$505,"&gt;"&amp;$A229,実績!$AK$6:$AK$505,"○")&gt;0,1,0))</f>
        <v>0</v>
      </c>
      <c r="BT229" s="39" t="n">
        <f aca="false">IF(BT$4=0,0,IF(COUNTIFS(実績!$W$6:$W$505,BT$3,実績!$AI$6:$AI$505,"&lt;="&amp;$A229,実績!$AJ$6:$AJ$505,"&gt;"&amp;$A229,実績!$AK$6:$AK$505,"○")&gt;0,1,0))</f>
        <v>0</v>
      </c>
      <c r="BU229" s="39" t="n">
        <f aca="false">IF(BU$4=0,0,IF(COUNTIFS(実績!$W$6:$W$505,BU$3,実績!$AI$6:$AI$505,"&lt;="&amp;$A229,実績!$AJ$6:$AJ$505,"&gt;"&amp;$A229,実績!$AK$6:$AK$505,"○")&gt;0,1,0))</f>
        <v>0</v>
      </c>
      <c r="BV229" s="39" t="n">
        <f aca="false">IF(BV$4=0,0,IF(COUNTIFS(実績!$W$6:$W$505,BV$3,実績!$AI$6:$AI$505,"&lt;="&amp;$A229,実績!$AJ$6:$AJ$505,"&gt;"&amp;$A229,実績!$AK$6:$AK$505,"○")&gt;0,1,0))</f>
        <v>0</v>
      </c>
      <c r="BW229" s="39" t="n">
        <f aca="false">IF(BW$4=0,0,IF(COUNTIFS(実績!$W$6:$W$505,BW$3,実績!$AI$6:$AI$505,"&lt;="&amp;$A229,実績!$AJ$6:$AJ$505,"&gt;"&amp;$A229,実績!$AK$6:$AK$505,"○")&gt;0,1,0))</f>
        <v>0</v>
      </c>
      <c r="BX229" s="39" t="n">
        <f aca="false">IF(BX$4=0,0,IF(COUNTIFS(実績!$W$6:$W$505,BX$3,実績!$AI$6:$AI$505,"&lt;="&amp;$A229,実績!$AJ$6:$AJ$505,"&gt;"&amp;$A229,実績!$AK$6:$AK$505,"○")&gt;0,1,0))</f>
        <v>0</v>
      </c>
      <c r="BY229" s="39" t="n">
        <f aca="false">IF(BY$4=0,0,IF(COUNTIFS(実績!$W$6:$W$505,BY$3,実績!$AI$6:$AI$505,"&lt;="&amp;$A229,実績!$AJ$6:$AJ$505,"&gt;"&amp;$A229,実績!$AK$6:$AK$505,"○")&gt;0,1,0))</f>
        <v>0</v>
      </c>
      <c r="BZ229" s="39" t="n">
        <f aca="false">IF(BZ$4=0,0,IF(COUNTIFS(実績!$W$6:$W$505,BZ$3,実績!$AI$6:$AI$505,"&lt;="&amp;$A229,実績!$AJ$6:$AJ$505,"&gt;"&amp;$A229,実績!$AK$6:$AK$505,"○")&gt;0,1,0))</f>
        <v>0</v>
      </c>
      <c r="CA229" s="39" t="n">
        <f aca="false">IF(CA$4=0,0,IF(COUNTIFS(実績!$W$6:$W$505,CA$3,実績!$AI$6:$AI$505,"&lt;="&amp;$A229,実績!$AJ$6:$AJ$505,"&gt;"&amp;$A229,実績!$AK$6:$AK$505,"○")&gt;0,1,0))</f>
        <v>0</v>
      </c>
      <c r="CB229" s="39" t="n">
        <f aca="false">IF(CB$4=0,0,IF(COUNTIFS(実績!$W$6:$W$505,CB$3,実績!$AI$6:$AI$505,"&lt;="&amp;$A229,実績!$AJ$6:$AJ$505,"&gt;"&amp;$A229,実績!$AK$6:$AK$505,"○")&gt;0,1,0))</f>
        <v>0</v>
      </c>
      <c r="CC229" s="39" t="n">
        <f aca="false">IF(CC$4=0,0,IF(COUNTIFS(実績!$W$6:$W$505,CC$3,実績!$AI$6:$AI$505,"&lt;="&amp;$A229,実績!$AJ$6:$AJ$505,"&gt;"&amp;$A229,実績!$AK$6:$AK$505,"○")&gt;0,1,0))</f>
        <v>0</v>
      </c>
      <c r="CD229" s="39" t="n">
        <f aca="false">IF(CD$4=0,0,IF(COUNTIFS(実績!$W$6:$W$505,CD$3,実績!$AI$6:$AI$505,"&lt;="&amp;$A229,実績!$AJ$6:$AJ$505,"&gt;"&amp;$A229,実績!$AK$6:$AK$505,"○")&gt;0,1,0))</f>
        <v>0</v>
      </c>
      <c r="CE229" s="39" t="n">
        <f aca="false">IF(CE$4=0,0,IF(COUNTIFS(実績!$W$6:$W$505,CE$3,実績!$AI$6:$AI$505,"&lt;="&amp;$A229,実績!$AJ$6:$AJ$505,"&gt;"&amp;$A229,実績!$AK$6:$AK$505,"○")&gt;0,1,0))</f>
        <v>0</v>
      </c>
      <c r="CF229" s="39" t="n">
        <f aca="false">IF(CF$4=0,0,IF(COUNTIFS(実績!$W$6:$W$505,CF$3,実績!$AI$6:$AI$505,"&lt;="&amp;$A229,実績!$AJ$6:$AJ$505,"&gt;"&amp;$A229,実績!$AK$6:$AK$505,"○")&gt;0,1,0))</f>
        <v>0</v>
      </c>
      <c r="CG229" s="39" t="n">
        <f aca="false">IF(CG$4=0,0,IF(COUNTIFS(実績!$W$6:$W$505,CG$3,実績!$AI$6:$AI$505,"&lt;="&amp;$A229,実績!$AJ$6:$AJ$505,"&gt;"&amp;$A229,実績!$AK$6:$AK$505,"○")&gt;0,1,0))</f>
        <v>0</v>
      </c>
      <c r="CH229" s="39" t="n">
        <f aca="false">IF(CH$4=0,0,IF(COUNTIFS(実績!$W$6:$W$505,CH$3,実績!$AI$6:$AI$505,"&lt;="&amp;$A229,実績!$AJ$6:$AJ$505,"&gt;"&amp;$A229,実績!$AK$6:$AK$505,"○")&gt;0,1,0))</f>
        <v>0</v>
      </c>
      <c r="CI229" s="39" t="n">
        <f aca="false">IF(CI$4=0,0,IF(COUNTIFS(実績!$W$6:$W$505,CI$3,実績!$AI$6:$AI$505,"&lt;="&amp;$A229,実績!$AJ$6:$AJ$505,"&gt;"&amp;$A229,実績!$AK$6:$AK$505,"○")&gt;0,1,0))</f>
        <v>0</v>
      </c>
      <c r="CJ229" s="39" t="n">
        <f aca="false">IF(CJ$4=0,0,IF(COUNTIFS(実績!$W$6:$W$505,CJ$3,実績!$AI$6:$AI$505,"&lt;="&amp;$A229,実績!$AJ$6:$AJ$505,"&gt;"&amp;$A229,実績!$AK$6:$AK$505,"○")&gt;0,1,0))</f>
        <v>0</v>
      </c>
      <c r="CK229" s="39" t="n">
        <f aca="false">IF(CK$4=0,0,IF(COUNTIFS(実績!$W$6:$W$505,CK$3,実績!$AI$6:$AI$505,"&lt;="&amp;$A229,実績!$AJ$6:$AJ$505,"&gt;"&amp;$A229,実績!$AK$6:$AK$505,"○")&gt;0,1,0))</f>
        <v>0</v>
      </c>
      <c r="CL229" s="39" t="n">
        <f aca="false">IF(CL$4=0,0,IF(COUNTIFS(実績!$W$6:$W$505,CL$3,実績!$AI$6:$AI$505,"&lt;="&amp;$A229,実績!$AJ$6:$AJ$505,"&gt;"&amp;$A229,実績!$AK$6:$AK$505,"○")&gt;0,1,0))</f>
        <v>0</v>
      </c>
      <c r="CM229" s="39" t="n">
        <f aca="false">IF(CM$4=0,0,IF(COUNTIFS(実績!$W$6:$W$505,CM$3,実績!$AI$6:$AI$505,"&lt;="&amp;$A229,実績!$AJ$6:$AJ$505,"&gt;"&amp;$A229,実績!$AK$6:$AK$505,"○")&gt;0,1,0))</f>
        <v>0</v>
      </c>
      <c r="CN229" s="39" t="n">
        <f aca="false">IF(CN$4=0,0,IF(COUNTIFS(実績!$W$6:$W$505,CN$3,実績!$AI$6:$AI$505,"&lt;="&amp;$A229,実績!$AJ$6:$AJ$505,"&gt;"&amp;$A229,実績!$AK$6:$AK$505,"○")&gt;0,1,0))</f>
        <v>0</v>
      </c>
      <c r="CO229" s="39" t="n">
        <f aca="false">IF(CO$4=0,0,IF(COUNTIFS(実績!$W$6:$W$505,CO$3,実績!$AI$6:$AI$505,"&lt;="&amp;$A229,実績!$AJ$6:$AJ$505,"&gt;"&amp;$A229,実績!$AK$6:$AK$505,"○")&gt;0,1,0))</f>
        <v>0</v>
      </c>
      <c r="CP229" s="39" t="n">
        <f aca="false">IF(CP$4=0,0,IF(COUNTIFS(実績!$W$6:$W$505,CP$3,実績!$AI$6:$AI$505,"&lt;="&amp;$A229,実績!$AJ$6:$AJ$505,"&gt;"&amp;$A229,実績!$AK$6:$AK$505,"○")&gt;0,1,0))</f>
        <v>0</v>
      </c>
      <c r="CQ229" s="39" t="n">
        <f aca="false">IF(CQ$4=0,0,IF(COUNTIFS(実績!$W$6:$W$505,CQ$3,実績!$AI$6:$AI$505,"&lt;="&amp;$A229,実績!$AJ$6:$AJ$505,"&gt;"&amp;$A229,実績!$AK$6:$AK$505,"○")&gt;0,1,0))</f>
        <v>0</v>
      </c>
      <c r="CR229" s="39" t="n">
        <f aca="false">IF(CR$4=0,0,IF(COUNTIFS(実績!$W$6:$W$505,CR$3,実績!$AI$6:$AI$505,"&lt;="&amp;$A229,実績!$AJ$6:$AJ$505,"&gt;"&amp;$A229,実績!$AK$6:$AK$505,"○")&gt;0,1,0))</f>
        <v>0</v>
      </c>
      <c r="CS229" s="39" t="n">
        <f aca="false">IF(CS$4=0,0,IF(COUNTIFS(実績!$W$6:$W$505,CS$3,実績!$AI$6:$AI$505,"&lt;="&amp;$A229,実績!$AJ$6:$AJ$505,"&gt;"&amp;$A229,実績!$AK$6:$AK$505,"○")&gt;0,1,0))</f>
        <v>0</v>
      </c>
      <c r="CT229" s="39" t="n">
        <f aca="false">IF(CT$4=0,0,IF(COUNTIFS(実績!$W$6:$W$505,CT$3,実績!$AI$6:$AI$505,"&lt;="&amp;$A229,実績!$AJ$6:$AJ$505,"&gt;"&amp;$A229,実績!$AK$6:$AK$505,"○")&gt;0,1,0))</f>
        <v>0</v>
      </c>
      <c r="CU229" s="39" t="n">
        <f aca="false">IF(CU$4=0,0,IF(COUNTIFS(実績!$W$6:$W$505,CU$3,実績!$AI$6:$AI$505,"&lt;="&amp;$A229,実績!$AJ$6:$AJ$505,"&gt;"&amp;$A229,実績!$AK$6:$AK$505,"○")&gt;0,1,0))</f>
        <v>0</v>
      </c>
      <c r="CV229" s="39" t="n">
        <f aca="false">IF(CV$4=0,0,IF(COUNTIFS(実績!$W$6:$W$505,CV$3,実績!$AI$6:$AI$505,"&lt;="&amp;$A229,実績!$AJ$6:$AJ$505,"&gt;"&amp;$A229,実績!$AK$6:$AK$505,"○")&gt;0,1,0))</f>
        <v>0</v>
      </c>
      <c r="CW229" s="39" t="n">
        <f aca="false">IF(CW$4=0,0,IF(COUNTIFS(実績!$W$6:$W$505,CW$3,実績!$AI$6:$AI$505,"&lt;="&amp;$A229,実績!$AJ$6:$AJ$505,"&gt;"&amp;$A229,実績!$AK$6:$AK$505,"○")&gt;0,1,0))</f>
        <v>0</v>
      </c>
      <c r="CX229" s="39" t="n">
        <f aca="false">IF(CX$4=0,0,IF(COUNTIFS(実績!$W$6:$W$505,CX$3,実績!$AI$6:$AI$505,"&lt;="&amp;$A229,実績!$AJ$6:$AJ$505,"&gt;"&amp;$A229,実績!$AK$6:$AK$505,"○")&gt;0,1,0))</f>
        <v>0</v>
      </c>
      <c r="CY229" s="39" t="n">
        <f aca="false">IF(CY$4=0,0,IF(COUNTIFS(実績!$W$6:$W$505,CY$3,実績!$AI$6:$AI$505,"&lt;="&amp;$A229,実績!$AJ$6:$AJ$505,"&gt;"&amp;$A229,実績!$AK$6:$AK$505,"○")&gt;0,1,0))</f>
        <v>0</v>
      </c>
      <c r="CZ229" s="39" t="n">
        <f aca="false">IF(CZ$4=0,0,IF(COUNTIFS(実績!$W$6:$W$505,CZ$3,実績!$AI$6:$AI$505,"&lt;="&amp;$A229,実績!$AJ$6:$AJ$505,"&gt;"&amp;$A229,実績!$AK$6:$AK$505,"○")&gt;0,1,0))</f>
        <v>0</v>
      </c>
      <c r="DA229" s="39" t="n">
        <f aca="false">IF(DA$4=0,0,IF(COUNTIFS(実績!$W$6:$W$505,DA$3,実績!$AI$6:$AI$505,"&lt;="&amp;$A229,実績!$AJ$6:$AJ$505,"&gt;"&amp;$A229,実績!$AK$6:$AK$505,"○")&gt;0,1,0))</f>
        <v>0</v>
      </c>
      <c r="DB229" s="39" t="n">
        <f aca="false">IF(DB$4=0,0,IF(COUNTIFS(実績!$W$6:$W$505,DB$3,実績!$AI$6:$AI$505,"&lt;="&amp;$A229,実績!$AJ$6:$AJ$505,"&gt;"&amp;$A229,実績!$AK$6:$AK$505,"○")&gt;0,1,0))</f>
        <v>0</v>
      </c>
      <c r="DC229" s="39" t="n">
        <f aca="false">IF(DC$4=0,0,IF(COUNTIFS(実績!$W$6:$W$505,DC$3,実績!$AI$6:$AI$505,"&lt;="&amp;$A229,実績!$AJ$6:$AJ$505,"&gt;"&amp;$A229,実績!$AK$6:$AK$505,"○")&gt;0,1,0))</f>
        <v>0</v>
      </c>
      <c r="DD229" s="39" t="n">
        <f aca="false">IF(DD$4=0,0,IF(COUNTIFS(実績!$W$6:$W$505,DD$3,実績!$AI$6:$AI$505,"&lt;="&amp;$A229,実績!$AJ$6:$AJ$505,"&gt;"&amp;$A229,実績!$AK$6:$AK$505,"○")&gt;0,1,0))</f>
        <v>0</v>
      </c>
      <c r="DE229" s="39" t="n">
        <f aca="false">IF(DE$4=0,0,IF(COUNTIFS(実績!$W$6:$W$505,DE$3,実績!$AI$6:$AI$505,"&lt;="&amp;$A229,実績!$AJ$6:$AJ$505,"&gt;"&amp;$A229,実績!$AK$6:$AK$505,"○")&gt;0,1,0))</f>
        <v>0</v>
      </c>
      <c r="DF229" s="39" t="n">
        <f aca="false">IF(DF$4=0,0,IF(COUNTIFS(実績!$W$6:$W$505,DF$3,実績!$AI$6:$AI$505,"&lt;="&amp;$A229,実績!$AJ$6:$AJ$505,"&gt;"&amp;$A229,実績!$AK$6:$AK$505,"○")&gt;0,1,0))</f>
        <v>0</v>
      </c>
      <c r="DG229" s="39" t="n">
        <f aca="false">IF(DG$4=0,0,IF(COUNTIFS(実績!$W$6:$W$505,DG$3,実績!$AI$6:$AI$505,"&lt;="&amp;$A229,実績!$AJ$6:$AJ$505,"&gt;"&amp;$A229,実績!$AK$6:$AK$505,"○")&gt;0,1,0))</f>
        <v>0</v>
      </c>
      <c r="DH229" s="39" t="n">
        <f aca="false">IF(DH$4=0,0,IF(COUNTIFS(実績!$W$6:$W$505,DH$3,実績!$AI$6:$AI$505,"&lt;="&amp;$A229,実績!$AJ$6:$AJ$505,"&gt;"&amp;$A229,実績!$AK$6:$AK$505,"○")&gt;0,1,0))</f>
        <v>0</v>
      </c>
      <c r="DI229" s="39" t="n">
        <f aca="false">IF(DI$4=0,0,IF(COUNTIFS(実績!$W$6:$W$505,DI$3,実績!$AI$6:$AI$505,"&lt;="&amp;$A229,実績!$AJ$6:$AJ$505,"&gt;"&amp;$A229,実績!$AK$6:$AK$505,"○")&gt;0,1,0))</f>
        <v>0</v>
      </c>
      <c r="DJ229" s="39" t="n">
        <f aca="false">IF(DJ$4=0,0,IF(COUNTIFS(実績!$W$6:$W$505,DJ$3,実績!$AI$6:$AI$505,"&lt;="&amp;$A229,実績!$AJ$6:$AJ$505,"&gt;"&amp;$A229,実績!$AK$6:$AK$505,"○")&gt;0,1,0))</f>
        <v>0</v>
      </c>
      <c r="DK229" s="39" t="n">
        <f aca="false">IF(DK$4=0,0,IF(COUNTIFS(実績!$W$6:$W$505,DK$3,実績!$AI$6:$AI$505,"&lt;="&amp;$A229,実績!$AJ$6:$AJ$505,"&gt;"&amp;$A229,実績!$AK$6:$AK$505,"○")&gt;0,1,0))</f>
        <v>0</v>
      </c>
      <c r="DL229" s="39" t="n">
        <f aca="false">IF(DL$4=0,0,IF(COUNTIFS(実績!$W$6:$W$505,DL$3,実績!$AI$6:$AI$505,"&lt;="&amp;$A229,実績!$AJ$6:$AJ$505,"&gt;"&amp;$A229,実績!$AK$6:$AK$505,"○")&gt;0,1,0))</f>
        <v>0</v>
      </c>
      <c r="DM229" s="39" t="n">
        <f aca="false">IF(DM$4=0,0,IF(COUNTIFS(実績!$W$6:$W$505,DM$3,実績!$AI$6:$AI$505,"&lt;="&amp;$A229,実績!$AJ$6:$AJ$505,"&gt;"&amp;$A229,実績!$AK$6:$AK$505,"○")&gt;0,1,0))</f>
        <v>0</v>
      </c>
      <c r="DN229" s="39" t="n">
        <f aca="false">IF(DN$4=0,0,IF(COUNTIFS(実績!$W$6:$W$505,DN$3,実績!$AI$6:$AI$505,"&lt;="&amp;$A229,実績!$AJ$6:$AJ$505,"&gt;"&amp;$A229,実績!$AK$6:$AK$505,"○")&gt;0,1,0))</f>
        <v>0</v>
      </c>
      <c r="DO229" s="39" t="n">
        <f aca="false">IF(DO$4=0,0,IF(COUNTIFS(実績!$W$6:$W$505,DO$3,実績!$AI$6:$AI$505,"&lt;="&amp;$A229,実績!$AJ$6:$AJ$505,"&gt;"&amp;$A229,実績!$AK$6:$AK$505,"○")&gt;0,1,0))</f>
        <v>0</v>
      </c>
      <c r="DP229" s="39" t="n">
        <f aca="false">IF(DP$4=0,0,IF(COUNTIFS(実績!$W$6:$W$505,DP$3,実績!$AI$6:$AI$505,"&lt;="&amp;$A229,実績!$AJ$6:$AJ$505,"&gt;"&amp;$A229,実績!$AK$6:$AK$505,"○")&gt;0,1,0))</f>
        <v>0</v>
      </c>
      <c r="DQ229" s="39" t="n">
        <f aca="false">IF(DQ$4=0,0,IF(COUNTIFS(実績!$W$6:$W$505,DQ$3,実績!$AI$6:$AI$505,"&lt;="&amp;$A229,実績!$AJ$6:$AJ$505,"&gt;"&amp;$A229,実績!$AK$6:$AK$505,"○")&gt;0,1,0))</f>
        <v>0</v>
      </c>
      <c r="DR229" s="39" t="n">
        <f aca="false">IF(DR$4=0,0,IF(COUNTIFS(実績!$W$6:$W$505,DR$3,実績!$AI$6:$AI$505,"&lt;="&amp;$A229,実績!$AJ$6:$AJ$505,"&gt;"&amp;$A229,実績!$AK$6:$AK$505,"○")&gt;0,1,0))</f>
        <v>0</v>
      </c>
      <c r="DS229" s="39" t="n">
        <f aca="false">SUM(C229:DR229)</f>
        <v>0</v>
      </c>
      <c r="DT229" s="39" t="n">
        <f aca="false">SUMPRODUCT((実績!$C$6:$C$505="○")*ISNUMBER(実績!$AM$6:$AM$505)*(実績!$AM$6:$AM$505&lt;=$A229)*(実績!$AN$6:$AN$505&gt;$A229))</f>
        <v>0</v>
      </c>
      <c r="DU229" s="39" t="n">
        <f aca="false">SUMIF($C$2:$DR$2,"製鉄曳船",C229:DR229)</f>
        <v>0</v>
      </c>
      <c r="DV229" s="39" t="n">
        <f aca="false">SUMIF($C$2:$DR$2,"西日本海運",C229:DR229)</f>
        <v>0</v>
      </c>
    </row>
    <row r="230" customFormat="false" ht="15" hidden="false" customHeight="false" outlineLevel="0" collapsed="false">
      <c r="A230" s="0" t="n">
        <v>1120</v>
      </c>
      <c r="B230" s="38" t="n">
        <f aca="false">A230/1440</f>
        <v>0.777777777777778</v>
      </c>
      <c r="C230" s="39" t="n">
        <f aca="false">IF(C$4=0,0,IF(COUNTIFS(実績!$W$6:$W$505,C$3,実績!$AI$6:$AI$505,"&lt;="&amp;$A230,実績!$AJ$6:$AJ$505,"&gt;"&amp;$A230,実績!$AK$6:$AK$505,"○")&gt;0,1,0))</f>
        <v>0</v>
      </c>
      <c r="D230" s="39" t="n">
        <f aca="false">IF(D$4=0,0,IF(COUNTIFS(実績!$W$6:$W$505,D$3,実績!$AI$6:$AI$505,"&lt;="&amp;$A230,実績!$AJ$6:$AJ$505,"&gt;"&amp;$A230,実績!$AK$6:$AK$505,"○")&gt;0,1,0))</f>
        <v>0</v>
      </c>
      <c r="E230" s="39" t="n">
        <f aca="false">IF(E$4=0,0,IF(COUNTIFS(実績!$W$6:$W$505,E$3,実績!$AI$6:$AI$505,"&lt;="&amp;$A230,実績!$AJ$6:$AJ$505,"&gt;"&amp;$A230,実績!$AK$6:$AK$505,"○")&gt;0,1,0))</f>
        <v>0</v>
      </c>
      <c r="F230" s="39" t="n">
        <f aca="false">IF(F$4=0,0,IF(COUNTIFS(実績!$W$6:$W$505,F$3,実績!$AI$6:$AI$505,"&lt;="&amp;$A230,実績!$AJ$6:$AJ$505,"&gt;"&amp;$A230,実績!$AK$6:$AK$505,"○")&gt;0,1,0))</f>
        <v>0</v>
      </c>
      <c r="G230" s="39" t="n">
        <f aca="false">IF(G$4=0,0,IF(COUNTIFS(実績!$W$6:$W$505,G$3,実績!$AI$6:$AI$505,"&lt;="&amp;$A230,実績!$AJ$6:$AJ$505,"&gt;"&amp;$A230,実績!$AK$6:$AK$505,"○")&gt;0,1,0))</f>
        <v>0</v>
      </c>
      <c r="H230" s="39" t="n">
        <f aca="false">IF(H$4=0,0,IF(COUNTIFS(実績!$W$6:$W$505,H$3,実績!$AI$6:$AI$505,"&lt;="&amp;$A230,実績!$AJ$6:$AJ$505,"&gt;"&amp;$A230,実績!$AK$6:$AK$505,"○")&gt;0,1,0))</f>
        <v>0</v>
      </c>
      <c r="I230" s="39" t="n">
        <f aca="false">IF(I$4=0,0,IF(COUNTIFS(実績!$W$6:$W$505,I$3,実績!$AI$6:$AI$505,"&lt;="&amp;$A230,実績!$AJ$6:$AJ$505,"&gt;"&amp;$A230,実績!$AK$6:$AK$505,"○")&gt;0,1,0))</f>
        <v>0</v>
      </c>
      <c r="J230" s="39" t="n">
        <f aca="false">IF(J$4=0,0,IF(COUNTIFS(実績!$W$6:$W$505,J$3,実績!$AI$6:$AI$505,"&lt;="&amp;$A230,実績!$AJ$6:$AJ$505,"&gt;"&amp;$A230,実績!$AK$6:$AK$505,"○")&gt;0,1,0))</f>
        <v>0</v>
      </c>
      <c r="K230" s="39" t="n">
        <f aca="false">IF(K$4=0,0,IF(COUNTIFS(実績!$W$6:$W$505,K$3,実績!$AI$6:$AI$505,"&lt;="&amp;$A230,実績!$AJ$6:$AJ$505,"&gt;"&amp;$A230,実績!$AK$6:$AK$505,"○")&gt;0,1,0))</f>
        <v>0</v>
      </c>
      <c r="L230" s="39" t="n">
        <f aca="false">IF(L$4=0,0,IF(COUNTIFS(実績!$W$6:$W$505,L$3,実績!$AI$6:$AI$505,"&lt;="&amp;$A230,実績!$AJ$6:$AJ$505,"&gt;"&amp;$A230,実績!$AK$6:$AK$505,"○")&gt;0,1,0))</f>
        <v>0</v>
      </c>
      <c r="M230" s="39" t="n">
        <f aca="false">IF(M$4=0,0,IF(COUNTIFS(実績!$W$6:$W$505,M$3,実績!$AI$6:$AI$505,"&lt;="&amp;$A230,実績!$AJ$6:$AJ$505,"&gt;"&amp;$A230,実績!$AK$6:$AK$505,"○")&gt;0,1,0))</f>
        <v>0</v>
      </c>
      <c r="N230" s="39" t="n">
        <f aca="false">IF(N$4=0,0,IF(COUNTIFS(実績!$W$6:$W$505,N$3,実績!$AI$6:$AI$505,"&lt;="&amp;$A230,実績!$AJ$6:$AJ$505,"&gt;"&amp;$A230,実績!$AK$6:$AK$505,"○")&gt;0,1,0))</f>
        <v>0</v>
      </c>
      <c r="O230" s="39" t="n">
        <f aca="false">IF(O$4=0,0,IF(COUNTIFS(実績!$W$6:$W$505,O$3,実績!$AI$6:$AI$505,"&lt;="&amp;$A230,実績!$AJ$6:$AJ$505,"&gt;"&amp;$A230,実績!$AK$6:$AK$505,"○")&gt;0,1,0))</f>
        <v>0</v>
      </c>
      <c r="P230" s="39" t="n">
        <f aca="false">IF(P$4=0,0,IF(COUNTIFS(実績!$W$6:$W$505,P$3,実績!$AI$6:$AI$505,"&lt;="&amp;$A230,実績!$AJ$6:$AJ$505,"&gt;"&amp;$A230,実績!$AK$6:$AK$505,"○")&gt;0,1,0))</f>
        <v>0</v>
      </c>
      <c r="Q230" s="39" t="n">
        <f aca="false">IF(Q$4=0,0,IF(COUNTIFS(実績!$W$6:$W$505,Q$3,実績!$AI$6:$AI$505,"&lt;="&amp;$A230,実績!$AJ$6:$AJ$505,"&gt;"&amp;$A230,実績!$AK$6:$AK$505,"○")&gt;0,1,0))</f>
        <v>0</v>
      </c>
      <c r="R230" s="39" t="n">
        <f aca="false">IF(R$4=0,0,IF(COUNTIFS(実績!$W$6:$W$505,R$3,実績!$AI$6:$AI$505,"&lt;="&amp;$A230,実績!$AJ$6:$AJ$505,"&gt;"&amp;$A230,実績!$AK$6:$AK$505,"○")&gt;0,1,0))</f>
        <v>0</v>
      </c>
      <c r="S230" s="39" t="n">
        <f aca="false">IF(S$4=0,0,IF(COUNTIFS(実績!$W$6:$W$505,S$3,実績!$AI$6:$AI$505,"&lt;="&amp;$A230,実績!$AJ$6:$AJ$505,"&gt;"&amp;$A230,実績!$AK$6:$AK$505,"○")&gt;0,1,0))</f>
        <v>0</v>
      </c>
      <c r="T230" s="39" t="n">
        <f aca="false">IF(T$4=0,0,IF(COUNTIFS(実績!$W$6:$W$505,T$3,実績!$AI$6:$AI$505,"&lt;="&amp;$A230,実績!$AJ$6:$AJ$505,"&gt;"&amp;$A230,実績!$AK$6:$AK$505,"○")&gt;0,1,0))</f>
        <v>0</v>
      </c>
      <c r="U230" s="39" t="n">
        <f aca="false">IF(U$4=0,0,IF(COUNTIFS(実績!$W$6:$W$505,U$3,実績!$AI$6:$AI$505,"&lt;="&amp;$A230,実績!$AJ$6:$AJ$505,"&gt;"&amp;$A230,実績!$AK$6:$AK$505,"○")&gt;0,1,0))</f>
        <v>0</v>
      </c>
      <c r="V230" s="39" t="n">
        <f aca="false">IF(V$4=0,0,IF(COUNTIFS(実績!$W$6:$W$505,V$3,実績!$AI$6:$AI$505,"&lt;="&amp;$A230,実績!$AJ$6:$AJ$505,"&gt;"&amp;$A230,実績!$AK$6:$AK$505,"○")&gt;0,1,0))</f>
        <v>0</v>
      </c>
      <c r="W230" s="39" t="n">
        <f aca="false">IF(W$4=0,0,IF(COUNTIFS(実績!$W$6:$W$505,W$3,実績!$AI$6:$AI$505,"&lt;="&amp;$A230,実績!$AJ$6:$AJ$505,"&gt;"&amp;$A230,実績!$AK$6:$AK$505,"○")&gt;0,1,0))</f>
        <v>0</v>
      </c>
      <c r="X230" s="39" t="n">
        <f aca="false">IF(X$4=0,0,IF(COUNTIFS(実績!$W$6:$W$505,X$3,実績!$AI$6:$AI$505,"&lt;="&amp;$A230,実績!$AJ$6:$AJ$505,"&gt;"&amp;$A230,実績!$AK$6:$AK$505,"○")&gt;0,1,0))</f>
        <v>0</v>
      </c>
      <c r="Y230" s="39" t="n">
        <f aca="false">IF(Y$4=0,0,IF(COUNTIFS(実績!$W$6:$W$505,Y$3,実績!$AI$6:$AI$505,"&lt;="&amp;$A230,実績!$AJ$6:$AJ$505,"&gt;"&amp;$A230,実績!$AK$6:$AK$505,"○")&gt;0,1,0))</f>
        <v>0</v>
      </c>
      <c r="Z230" s="39" t="n">
        <f aca="false">IF(Z$4=0,0,IF(COUNTIFS(実績!$W$6:$W$505,Z$3,実績!$AI$6:$AI$505,"&lt;="&amp;$A230,実績!$AJ$6:$AJ$505,"&gt;"&amp;$A230,実績!$AK$6:$AK$505,"○")&gt;0,1,0))</f>
        <v>0</v>
      </c>
      <c r="AA230" s="39" t="n">
        <f aca="false">IF(AA$4=0,0,IF(COUNTIFS(実績!$W$6:$W$505,AA$3,実績!$AI$6:$AI$505,"&lt;="&amp;$A230,実績!$AJ$6:$AJ$505,"&gt;"&amp;$A230,実績!$AK$6:$AK$505,"○")&gt;0,1,0))</f>
        <v>0</v>
      </c>
      <c r="AB230" s="39" t="n">
        <f aca="false">IF(AB$4=0,0,IF(COUNTIFS(実績!$W$6:$W$505,AB$3,実績!$AI$6:$AI$505,"&lt;="&amp;$A230,実績!$AJ$6:$AJ$505,"&gt;"&amp;$A230,実績!$AK$6:$AK$505,"○")&gt;0,1,0))</f>
        <v>0</v>
      </c>
      <c r="AC230" s="39" t="n">
        <f aca="false">IF(AC$4=0,0,IF(COUNTIFS(実績!$W$6:$W$505,AC$3,実績!$AI$6:$AI$505,"&lt;="&amp;$A230,実績!$AJ$6:$AJ$505,"&gt;"&amp;$A230,実績!$AK$6:$AK$505,"○")&gt;0,1,0))</f>
        <v>0</v>
      </c>
      <c r="AD230" s="39" t="n">
        <f aca="false">IF(AD$4=0,0,IF(COUNTIFS(実績!$W$6:$W$505,AD$3,実績!$AI$6:$AI$505,"&lt;="&amp;$A230,実績!$AJ$6:$AJ$505,"&gt;"&amp;$A230,実績!$AK$6:$AK$505,"○")&gt;0,1,0))</f>
        <v>0</v>
      </c>
      <c r="AE230" s="39" t="n">
        <f aca="false">IF(AE$4=0,0,IF(COUNTIFS(実績!$W$6:$W$505,AE$3,実績!$AI$6:$AI$505,"&lt;="&amp;$A230,実績!$AJ$6:$AJ$505,"&gt;"&amp;$A230,実績!$AK$6:$AK$505,"○")&gt;0,1,0))</f>
        <v>0</v>
      </c>
      <c r="AF230" s="39" t="n">
        <f aca="false">IF(AF$4=0,0,IF(COUNTIFS(実績!$W$6:$W$505,AF$3,実績!$AI$6:$AI$505,"&lt;="&amp;$A230,実績!$AJ$6:$AJ$505,"&gt;"&amp;$A230,実績!$AK$6:$AK$505,"○")&gt;0,1,0))</f>
        <v>0</v>
      </c>
      <c r="AG230" s="39" t="n">
        <f aca="false">IF(AG$4=0,0,IF(COUNTIFS(実績!$W$6:$W$505,AG$3,実績!$AI$6:$AI$505,"&lt;="&amp;$A230,実績!$AJ$6:$AJ$505,"&gt;"&amp;$A230,実績!$AK$6:$AK$505,"○")&gt;0,1,0))</f>
        <v>0</v>
      </c>
      <c r="AH230" s="39" t="n">
        <f aca="false">IF(AH$4=0,0,IF(COUNTIFS(実績!$W$6:$W$505,AH$3,実績!$AI$6:$AI$505,"&lt;="&amp;$A230,実績!$AJ$6:$AJ$505,"&gt;"&amp;$A230,実績!$AK$6:$AK$505,"○")&gt;0,1,0))</f>
        <v>0</v>
      </c>
      <c r="AI230" s="39" t="n">
        <f aca="false">IF(AI$4=0,0,IF(COUNTIFS(実績!$W$6:$W$505,AI$3,実績!$AI$6:$AI$505,"&lt;="&amp;$A230,実績!$AJ$6:$AJ$505,"&gt;"&amp;$A230,実績!$AK$6:$AK$505,"○")&gt;0,1,0))</f>
        <v>0</v>
      </c>
      <c r="AJ230" s="39" t="n">
        <f aca="false">IF(AJ$4=0,0,IF(COUNTIFS(実績!$W$6:$W$505,AJ$3,実績!$AI$6:$AI$505,"&lt;="&amp;$A230,実績!$AJ$6:$AJ$505,"&gt;"&amp;$A230,実績!$AK$6:$AK$505,"○")&gt;0,1,0))</f>
        <v>0</v>
      </c>
      <c r="AK230" s="39" t="n">
        <f aca="false">IF(AK$4=0,0,IF(COUNTIFS(実績!$W$6:$W$505,AK$3,実績!$AI$6:$AI$505,"&lt;="&amp;$A230,実績!$AJ$6:$AJ$505,"&gt;"&amp;$A230,実績!$AK$6:$AK$505,"○")&gt;0,1,0))</f>
        <v>0</v>
      </c>
      <c r="AL230" s="39" t="n">
        <f aca="false">IF(AL$4=0,0,IF(COUNTIFS(実績!$W$6:$W$505,AL$3,実績!$AI$6:$AI$505,"&lt;="&amp;$A230,実績!$AJ$6:$AJ$505,"&gt;"&amp;$A230,実績!$AK$6:$AK$505,"○")&gt;0,1,0))</f>
        <v>0</v>
      </c>
      <c r="AM230" s="39" t="n">
        <f aca="false">IF(AM$4=0,0,IF(COUNTIFS(実績!$W$6:$W$505,AM$3,実績!$AI$6:$AI$505,"&lt;="&amp;$A230,実績!$AJ$6:$AJ$505,"&gt;"&amp;$A230,実績!$AK$6:$AK$505,"○")&gt;0,1,0))</f>
        <v>0</v>
      </c>
      <c r="AN230" s="39" t="n">
        <f aca="false">IF(AN$4=0,0,IF(COUNTIFS(実績!$W$6:$W$505,AN$3,実績!$AI$6:$AI$505,"&lt;="&amp;$A230,実績!$AJ$6:$AJ$505,"&gt;"&amp;$A230,実績!$AK$6:$AK$505,"○")&gt;0,1,0))</f>
        <v>0</v>
      </c>
      <c r="AO230" s="39" t="n">
        <f aca="false">IF(AO$4=0,0,IF(COUNTIFS(実績!$W$6:$W$505,AO$3,実績!$AI$6:$AI$505,"&lt;="&amp;$A230,実績!$AJ$6:$AJ$505,"&gt;"&amp;$A230,実績!$AK$6:$AK$505,"○")&gt;0,1,0))</f>
        <v>0</v>
      </c>
      <c r="AP230" s="39" t="n">
        <f aca="false">IF(AP$4=0,0,IF(COUNTIFS(実績!$W$6:$W$505,AP$3,実績!$AI$6:$AI$505,"&lt;="&amp;$A230,実績!$AJ$6:$AJ$505,"&gt;"&amp;$A230,実績!$AK$6:$AK$505,"○")&gt;0,1,0))</f>
        <v>0</v>
      </c>
      <c r="AQ230" s="39" t="n">
        <f aca="false">IF(AQ$4=0,0,IF(COUNTIFS(実績!$W$6:$W$505,AQ$3,実績!$AI$6:$AI$505,"&lt;="&amp;$A230,実績!$AJ$6:$AJ$505,"&gt;"&amp;$A230,実績!$AK$6:$AK$505,"○")&gt;0,1,0))</f>
        <v>0</v>
      </c>
      <c r="AR230" s="39" t="n">
        <f aca="false">IF(AR$4=0,0,IF(COUNTIFS(実績!$W$6:$W$505,AR$3,実績!$AI$6:$AI$505,"&lt;="&amp;$A230,実績!$AJ$6:$AJ$505,"&gt;"&amp;$A230,実績!$AK$6:$AK$505,"○")&gt;0,1,0))</f>
        <v>0</v>
      </c>
      <c r="AS230" s="39" t="n">
        <f aca="false">IF(AS$4=0,0,IF(COUNTIFS(実績!$W$6:$W$505,AS$3,実績!$AI$6:$AI$505,"&lt;="&amp;$A230,実績!$AJ$6:$AJ$505,"&gt;"&amp;$A230,実績!$AK$6:$AK$505,"○")&gt;0,1,0))</f>
        <v>0</v>
      </c>
      <c r="AT230" s="39" t="n">
        <f aca="false">IF(AT$4=0,0,IF(COUNTIFS(実績!$W$6:$W$505,AT$3,実績!$AI$6:$AI$505,"&lt;="&amp;$A230,実績!$AJ$6:$AJ$505,"&gt;"&amp;$A230,実績!$AK$6:$AK$505,"○")&gt;0,1,0))</f>
        <v>0</v>
      </c>
      <c r="AU230" s="39" t="n">
        <f aca="false">IF(AU$4=0,0,IF(COUNTIFS(実績!$W$6:$W$505,AU$3,実績!$AI$6:$AI$505,"&lt;="&amp;$A230,実績!$AJ$6:$AJ$505,"&gt;"&amp;$A230,実績!$AK$6:$AK$505,"○")&gt;0,1,0))</f>
        <v>0</v>
      </c>
      <c r="AV230" s="39" t="n">
        <f aca="false">IF(AV$4=0,0,IF(COUNTIFS(実績!$W$6:$W$505,AV$3,実績!$AI$6:$AI$505,"&lt;="&amp;$A230,実績!$AJ$6:$AJ$505,"&gt;"&amp;$A230,実績!$AK$6:$AK$505,"○")&gt;0,1,0))</f>
        <v>0</v>
      </c>
      <c r="AW230" s="39" t="n">
        <f aca="false">IF(AW$4=0,0,IF(COUNTIFS(実績!$W$6:$W$505,AW$3,実績!$AI$6:$AI$505,"&lt;="&amp;$A230,実績!$AJ$6:$AJ$505,"&gt;"&amp;$A230,実績!$AK$6:$AK$505,"○")&gt;0,1,0))</f>
        <v>0</v>
      </c>
      <c r="AX230" s="39" t="n">
        <f aca="false">IF(AX$4=0,0,IF(COUNTIFS(実績!$W$6:$W$505,AX$3,実績!$AI$6:$AI$505,"&lt;="&amp;$A230,実績!$AJ$6:$AJ$505,"&gt;"&amp;$A230,実績!$AK$6:$AK$505,"○")&gt;0,1,0))</f>
        <v>0</v>
      </c>
      <c r="AY230" s="39" t="n">
        <f aca="false">IF(AY$4=0,0,IF(COUNTIFS(実績!$W$6:$W$505,AY$3,実績!$AI$6:$AI$505,"&lt;="&amp;$A230,実績!$AJ$6:$AJ$505,"&gt;"&amp;$A230,実績!$AK$6:$AK$505,"○")&gt;0,1,0))</f>
        <v>0</v>
      </c>
      <c r="AZ230" s="39" t="n">
        <f aca="false">IF(AZ$4=0,0,IF(COUNTIFS(実績!$W$6:$W$505,AZ$3,実績!$AI$6:$AI$505,"&lt;="&amp;$A230,実績!$AJ$6:$AJ$505,"&gt;"&amp;$A230,実績!$AK$6:$AK$505,"○")&gt;0,1,0))</f>
        <v>0</v>
      </c>
      <c r="BA230" s="39" t="n">
        <f aca="false">IF(BA$4=0,0,IF(COUNTIFS(実績!$W$6:$W$505,BA$3,実績!$AI$6:$AI$505,"&lt;="&amp;$A230,実績!$AJ$6:$AJ$505,"&gt;"&amp;$A230,実績!$AK$6:$AK$505,"○")&gt;0,1,0))</f>
        <v>0</v>
      </c>
      <c r="BB230" s="39" t="n">
        <f aca="false">IF(BB$4=0,0,IF(COUNTIFS(実績!$W$6:$W$505,BB$3,実績!$AI$6:$AI$505,"&lt;="&amp;$A230,実績!$AJ$6:$AJ$505,"&gt;"&amp;$A230,実績!$AK$6:$AK$505,"○")&gt;0,1,0))</f>
        <v>0</v>
      </c>
      <c r="BC230" s="39" t="n">
        <f aca="false">IF(BC$4=0,0,IF(COUNTIFS(実績!$W$6:$W$505,BC$3,実績!$AI$6:$AI$505,"&lt;="&amp;$A230,実績!$AJ$6:$AJ$505,"&gt;"&amp;$A230,実績!$AK$6:$AK$505,"○")&gt;0,1,0))</f>
        <v>0</v>
      </c>
      <c r="BD230" s="39" t="n">
        <f aca="false">IF(BD$4=0,0,IF(COUNTIFS(実績!$W$6:$W$505,BD$3,実績!$AI$6:$AI$505,"&lt;="&amp;$A230,実績!$AJ$6:$AJ$505,"&gt;"&amp;$A230,実績!$AK$6:$AK$505,"○")&gt;0,1,0))</f>
        <v>0</v>
      </c>
      <c r="BE230" s="39" t="n">
        <f aca="false">IF(BE$4=0,0,IF(COUNTIFS(実績!$W$6:$W$505,BE$3,実績!$AI$6:$AI$505,"&lt;="&amp;$A230,実績!$AJ$6:$AJ$505,"&gt;"&amp;$A230,実績!$AK$6:$AK$505,"○")&gt;0,1,0))</f>
        <v>0</v>
      </c>
      <c r="BF230" s="39" t="n">
        <f aca="false">IF(BF$4=0,0,IF(COUNTIFS(実績!$W$6:$W$505,BF$3,実績!$AI$6:$AI$505,"&lt;="&amp;$A230,実績!$AJ$6:$AJ$505,"&gt;"&amp;$A230,実績!$AK$6:$AK$505,"○")&gt;0,1,0))</f>
        <v>0</v>
      </c>
      <c r="BG230" s="39" t="n">
        <f aca="false">IF(BG$4=0,0,IF(COUNTIFS(実績!$W$6:$W$505,BG$3,実績!$AI$6:$AI$505,"&lt;="&amp;$A230,実績!$AJ$6:$AJ$505,"&gt;"&amp;$A230,実績!$AK$6:$AK$505,"○")&gt;0,1,0))</f>
        <v>0</v>
      </c>
      <c r="BH230" s="39" t="n">
        <f aca="false">IF(BH$4=0,0,IF(COUNTIFS(実績!$W$6:$W$505,BH$3,実績!$AI$6:$AI$505,"&lt;="&amp;$A230,実績!$AJ$6:$AJ$505,"&gt;"&amp;$A230,実績!$AK$6:$AK$505,"○")&gt;0,1,0))</f>
        <v>0</v>
      </c>
      <c r="BI230" s="39" t="n">
        <f aca="false">IF(BI$4=0,0,IF(COUNTIFS(実績!$W$6:$W$505,BI$3,実績!$AI$6:$AI$505,"&lt;="&amp;$A230,実績!$AJ$6:$AJ$505,"&gt;"&amp;$A230,実績!$AK$6:$AK$505,"○")&gt;0,1,0))</f>
        <v>0</v>
      </c>
      <c r="BJ230" s="39" t="n">
        <f aca="false">IF(BJ$4=0,0,IF(COUNTIFS(実績!$W$6:$W$505,BJ$3,実績!$AI$6:$AI$505,"&lt;="&amp;$A230,実績!$AJ$6:$AJ$505,"&gt;"&amp;$A230,実績!$AK$6:$AK$505,"○")&gt;0,1,0))</f>
        <v>0</v>
      </c>
      <c r="BK230" s="39" t="n">
        <f aca="false">IF(BK$4=0,0,IF(COUNTIFS(実績!$W$6:$W$505,BK$3,実績!$AI$6:$AI$505,"&lt;="&amp;$A230,実績!$AJ$6:$AJ$505,"&gt;"&amp;$A230,実績!$AK$6:$AK$505,"○")&gt;0,1,0))</f>
        <v>0</v>
      </c>
      <c r="BL230" s="39" t="n">
        <f aca="false">IF(BL$4=0,0,IF(COUNTIFS(実績!$W$6:$W$505,BL$3,実績!$AI$6:$AI$505,"&lt;="&amp;$A230,実績!$AJ$6:$AJ$505,"&gt;"&amp;$A230,実績!$AK$6:$AK$505,"○")&gt;0,1,0))</f>
        <v>0</v>
      </c>
      <c r="BM230" s="39" t="n">
        <f aca="false">IF(BM$4=0,0,IF(COUNTIFS(実績!$W$6:$W$505,BM$3,実績!$AI$6:$AI$505,"&lt;="&amp;$A230,実績!$AJ$6:$AJ$505,"&gt;"&amp;$A230,実績!$AK$6:$AK$505,"○")&gt;0,1,0))</f>
        <v>0</v>
      </c>
      <c r="BN230" s="39" t="n">
        <f aca="false">IF(BN$4=0,0,IF(COUNTIFS(実績!$W$6:$W$505,BN$3,実績!$AI$6:$AI$505,"&lt;="&amp;$A230,実績!$AJ$6:$AJ$505,"&gt;"&amp;$A230,実績!$AK$6:$AK$505,"○")&gt;0,1,0))</f>
        <v>0</v>
      </c>
      <c r="BO230" s="39" t="n">
        <f aca="false">IF(BO$4=0,0,IF(COUNTIFS(実績!$W$6:$W$505,BO$3,実績!$AI$6:$AI$505,"&lt;="&amp;$A230,実績!$AJ$6:$AJ$505,"&gt;"&amp;$A230,実績!$AK$6:$AK$505,"○")&gt;0,1,0))</f>
        <v>0</v>
      </c>
      <c r="BP230" s="39" t="n">
        <f aca="false">IF(BP$4=0,0,IF(COUNTIFS(実績!$W$6:$W$505,BP$3,実績!$AI$6:$AI$505,"&lt;="&amp;$A230,実績!$AJ$6:$AJ$505,"&gt;"&amp;$A230,実績!$AK$6:$AK$505,"○")&gt;0,1,0))</f>
        <v>0</v>
      </c>
      <c r="BQ230" s="39" t="n">
        <f aca="false">IF(BQ$4=0,0,IF(COUNTIFS(実績!$W$6:$W$505,BQ$3,実績!$AI$6:$AI$505,"&lt;="&amp;$A230,実績!$AJ$6:$AJ$505,"&gt;"&amp;$A230,実績!$AK$6:$AK$505,"○")&gt;0,1,0))</f>
        <v>0</v>
      </c>
      <c r="BR230" s="39" t="n">
        <f aca="false">IF(BR$4=0,0,IF(COUNTIFS(実績!$W$6:$W$505,BR$3,実績!$AI$6:$AI$505,"&lt;="&amp;$A230,実績!$AJ$6:$AJ$505,"&gt;"&amp;$A230,実績!$AK$6:$AK$505,"○")&gt;0,1,0))</f>
        <v>0</v>
      </c>
      <c r="BS230" s="39" t="n">
        <f aca="false">IF(BS$4=0,0,IF(COUNTIFS(実績!$W$6:$W$505,BS$3,実績!$AI$6:$AI$505,"&lt;="&amp;$A230,実績!$AJ$6:$AJ$505,"&gt;"&amp;$A230,実績!$AK$6:$AK$505,"○")&gt;0,1,0))</f>
        <v>0</v>
      </c>
      <c r="BT230" s="39" t="n">
        <f aca="false">IF(BT$4=0,0,IF(COUNTIFS(実績!$W$6:$W$505,BT$3,実績!$AI$6:$AI$505,"&lt;="&amp;$A230,実績!$AJ$6:$AJ$505,"&gt;"&amp;$A230,実績!$AK$6:$AK$505,"○")&gt;0,1,0))</f>
        <v>0</v>
      </c>
      <c r="BU230" s="39" t="n">
        <f aca="false">IF(BU$4=0,0,IF(COUNTIFS(実績!$W$6:$W$505,BU$3,実績!$AI$6:$AI$505,"&lt;="&amp;$A230,実績!$AJ$6:$AJ$505,"&gt;"&amp;$A230,実績!$AK$6:$AK$505,"○")&gt;0,1,0))</f>
        <v>0</v>
      </c>
      <c r="BV230" s="39" t="n">
        <f aca="false">IF(BV$4=0,0,IF(COUNTIFS(実績!$W$6:$W$505,BV$3,実績!$AI$6:$AI$505,"&lt;="&amp;$A230,実績!$AJ$6:$AJ$505,"&gt;"&amp;$A230,実績!$AK$6:$AK$505,"○")&gt;0,1,0))</f>
        <v>0</v>
      </c>
      <c r="BW230" s="39" t="n">
        <f aca="false">IF(BW$4=0,0,IF(COUNTIFS(実績!$W$6:$W$505,BW$3,実績!$AI$6:$AI$505,"&lt;="&amp;$A230,実績!$AJ$6:$AJ$505,"&gt;"&amp;$A230,実績!$AK$6:$AK$505,"○")&gt;0,1,0))</f>
        <v>0</v>
      </c>
      <c r="BX230" s="39" t="n">
        <f aca="false">IF(BX$4=0,0,IF(COUNTIFS(実績!$W$6:$W$505,BX$3,実績!$AI$6:$AI$505,"&lt;="&amp;$A230,実績!$AJ$6:$AJ$505,"&gt;"&amp;$A230,実績!$AK$6:$AK$505,"○")&gt;0,1,0))</f>
        <v>0</v>
      </c>
      <c r="BY230" s="39" t="n">
        <f aca="false">IF(BY$4=0,0,IF(COUNTIFS(実績!$W$6:$W$505,BY$3,実績!$AI$6:$AI$505,"&lt;="&amp;$A230,実績!$AJ$6:$AJ$505,"&gt;"&amp;$A230,実績!$AK$6:$AK$505,"○")&gt;0,1,0))</f>
        <v>0</v>
      </c>
      <c r="BZ230" s="39" t="n">
        <f aca="false">IF(BZ$4=0,0,IF(COUNTIFS(実績!$W$6:$W$505,BZ$3,実績!$AI$6:$AI$505,"&lt;="&amp;$A230,実績!$AJ$6:$AJ$505,"&gt;"&amp;$A230,実績!$AK$6:$AK$505,"○")&gt;0,1,0))</f>
        <v>0</v>
      </c>
      <c r="CA230" s="39" t="n">
        <f aca="false">IF(CA$4=0,0,IF(COUNTIFS(実績!$W$6:$W$505,CA$3,実績!$AI$6:$AI$505,"&lt;="&amp;$A230,実績!$AJ$6:$AJ$505,"&gt;"&amp;$A230,実績!$AK$6:$AK$505,"○")&gt;0,1,0))</f>
        <v>0</v>
      </c>
      <c r="CB230" s="39" t="n">
        <f aca="false">IF(CB$4=0,0,IF(COUNTIFS(実績!$W$6:$W$505,CB$3,実績!$AI$6:$AI$505,"&lt;="&amp;$A230,実績!$AJ$6:$AJ$505,"&gt;"&amp;$A230,実績!$AK$6:$AK$505,"○")&gt;0,1,0))</f>
        <v>0</v>
      </c>
      <c r="CC230" s="39" t="n">
        <f aca="false">IF(CC$4=0,0,IF(COUNTIFS(実績!$W$6:$W$505,CC$3,実績!$AI$6:$AI$505,"&lt;="&amp;$A230,実績!$AJ$6:$AJ$505,"&gt;"&amp;$A230,実績!$AK$6:$AK$505,"○")&gt;0,1,0))</f>
        <v>0</v>
      </c>
      <c r="CD230" s="39" t="n">
        <f aca="false">IF(CD$4=0,0,IF(COUNTIFS(実績!$W$6:$W$505,CD$3,実績!$AI$6:$AI$505,"&lt;="&amp;$A230,実績!$AJ$6:$AJ$505,"&gt;"&amp;$A230,実績!$AK$6:$AK$505,"○")&gt;0,1,0))</f>
        <v>0</v>
      </c>
      <c r="CE230" s="39" t="n">
        <f aca="false">IF(CE$4=0,0,IF(COUNTIFS(実績!$W$6:$W$505,CE$3,実績!$AI$6:$AI$505,"&lt;="&amp;$A230,実績!$AJ$6:$AJ$505,"&gt;"&amp;$A230,実績!$AK$6:$AK$505,"○")&gt;0,1,0))</f>
        <v>0</v>
      </c>
      <c r="CF230" s="39" t="n">
        <f aca="false">IF(CF$4=0,0,IF(COUNTIFS(実績!$W$6:$W$505,CF$3,実績!$AI$6:$AI$505,"&lt;="&amp;$A230,実績!$AJ$6:$AJ$505,"&gt;"&amp;$A230,実績!$AK$6:$AK$505,"○")&gt;0,1,0))</f>
        <v>0</v>
      </c>
      <c r="CG230" s="39" t="n">
        <f aca="false">IF(CG$4=0,0,IF(COUNTIFS(実績!$W$6:$W$505,CG$3,実績!$AI$6:$AI$505,"&lt;="&amp;$A230,実績!$AJ$6:$AJ$505,"&gt;"&amp;$A230,実績!$AK$6:$AK$505,"○")&gt;0,1,0))</f>
        <v>0</v>
      </c>
      <c r="CH230" s="39" t="n">
        <f aca="false">IF(CH$4=0,0,IF(COUNTIFS(実績!$W$6:$W$505,CH$3,実績!$AI$6:$AI$505,"&lt;="&amp;$A230,実績!$AJ$6:$AJ$505,"&gt;"&amp;$A230,実績!$AK$6:$AK$505,"○")&gt;0,1,0))</f>
        <v>0</v>
      </c>
      <c r="CI230" s="39" t="n">
        <f aca="false">IF(CI$4=0,0,IF(COUNTIFS(実績!$W$6:$W$505,CI$3,実績!$AI$6:$AI$505,"&lt;="&amp;$A230,実績!$AJ$6:$AJ$505,"&gt;"&amp;$A230,実績!$AK$6:$AK$505,"○")&gt;0,1,0))</f>
        <v>0</v>
      </c>
      <c r="CJ230" s="39" t="n">
        <f aca="false">IF(CJ$4=0,0,IF(COUNTIFS(実績!$W$6:$W$505,CJ$3,実績!$AI$6:$AI$505,"&lt;="&amp;$A230,実績!$AJ$6:$AJ$505,"&gt;"&amp;$A230,実績!$AK$6:$AK$505,"○")&gt;0,1,0))</f>
        <v>0</v>
      </c>
      <c r="CK230" s="39" t="n">
        <f aca="false">IF(CK$4=0,0,IF(COUNTIFS(実績!$W$6:$W$505,CK$3,実績!$AI$6:$AI$505,"&lt;="&amp;$A230,実績!$AJ$6:$AJ$505,"&gt;"&amp;$A230,実績!$AK$6:$AK$505,"○")&gt;0,1,0))</f>
        <v>0</v>
      </c>
      <c r="CL230" s="39" t="n">
        <f aca="false">IF(CL$4=0,0,IF(COUNTIFS(実績!$W$6:$W$505,CL$3,実績!$AI$6:$AI$505,"&lt;="&amp;$A230,実績!$AJ$6:$AJ$505,"&gt;"&amp;$A230,実績!$AK$6:$AK$505,"○")&gt;0,1,0))</f>
        <v>0</v>
      </c>
      <c r="CM230" s="39" t="n">
        <f aca="false">IF(CM$4=0,0,IF(COUNTIFS(実績!$W$6:$W$505,CM$3,実績!$AI$6:$AI$505,"&lt;="&amp;$A230,実績!$AJ$6:$AJ$505,"&gt;"&amp;$A230,実績!$AK$6:$AK$505,"○")&gt;0,1,0))</f>
        <v>0</v>
      </c>
      <c r="CN230" s="39" t="n">
        <f aca="false">IF(CN$4=0,0,IF(COUNTIFS(実績!$W$6:$W$505,CN$3,実績!$AI$6:$AI$505,"&lt;="&amp;$A230,実績!$AJ$6:$AJ$505,"&gt;"&amp;$A230,実績!$AK$6:$AK$505,"○")&gt;0,1,0))</f>
        <v>0</v>
      </c>
      <c r="CO230" s="39" t="n">
        <f aca="false">IF(CO$4=0,0,IF(COUNTIFS(実績!$W$6:$W$505,CO$3,実績!$AI$6:$AI$505,"&lt;="&amp;$A230,実績!$AJ$6:$AJ$505,"&gt;"&amp;$A230,実績!$AK$6:$AK$505,"○")&gt;0,1,0))</f>
        <v>0</v>
      </c>
      <c r="CP230" s="39" t="n">
        <f aca="false">IF(CP$4=0,0,IF(COUNTIFS(実績!$W$6:$W$505,CP$3,実績!$AI$6:$AI$505,"&lt;="&amp;$A230,実績!$AJ$6:$AJ$505,"&gt;"&amp;$A230,実績!$AK$6:$AK$505,"○")&gt;0,1,0))</f>
        <v>0</v>
      </c>
      <c r="CQ230" s="39" t="n">
        <f aca="false">IF(CQ$4=0,0,IF(COUNTIFS(実績!$W$6:$W$505,CQ$3,実績!$AI$6:$AI$505,"&lt;="&amp;$A230,実績!$AJ$6:$AJ$505,"&gt;"&amp;$A230,実績!$AK$6:$AK$505,"○")&gt;0,1,0))</f>
        <v>0</v>
      </c>
      <c r="CR230" s="39" t="n">
        <f aca="false">IF(CR$4=0,0,IF(COUNTIFS(実績!$W$6:$W$505,CR$3,実績!$AI$6:$AI$505,"&lt;="&amp;$A230,実績!$AJ$6:$AJ$505,"&gt;"&amp;$A230,実績!$AK$6:$AK$505,"○")&gt;0,1,0))</f>
        <v>0</v>
      </c>
      <c r="CS230" s="39" t="n">
        <f aca="false">IF(CS$4=0,0,IF(COUNTIFS(実績!$W$6:$W$505,CS$3,実績!$AI$6:$AI$505,"&lt;="&amp;$A230,実績!$AJ$6:$AJ$505,"&gt;"&amp;$A230,実績!$AK$6:$AK$505,"○")&gt;0,1,0))</f>
        <v>0</v>
      </c>
      <c r="CT230" s="39" t="n">
        <f aca="false">IF(CT$4=0,0,IF(COUNTIFS(実績!$W$6:$W$505,CT$3,実績!$AI$6:$AI$505,"&lt;="&amp;$A230,実績!$AJ$6:$AJ$505,"&gt;"&amp;$A230,実績!$AK$6:$AK$505,"○")&gt;0,1,0))</f>
        <v>0</v>
      </c>
      <c r="CU230" s="39" t="n">
        <f aca="false">IF(CU$4=0,0,IF(COUNTIFS(実績!$W$6:$W$505,CU$3,実績!$AI$6:$AI$505,"&lt;="&amp;$A230,実績!$AJ$6:$AJ$505,"&gt;"&amp;$A230,実績!$AK$6:$AK$505,"○")&gt;0,1,0))</f>
        <v>0</v>
      </c>
      <c r="CV230" s="39" t="n">
        <f aca="false">IF(CV$4=0,0,IF(COUNTIFS(実績!$W$6:$W$505,CV$3,実績!$AI$6:$AI$505,"&lt;="&amp;$A230,実績!$AJ$6:$AJ$505,"&gt;"&amp;$A230,実績!$AK$6:$AK$505,"○")&gt;0,1,0))</f>
        <v>0</v>
      </c>
      <c r="CW230" s="39" t="n">
        <f aca="false">IF(CW$4=0,0,IF(COUNTIFS(実績!$W$6:$W$505,CW$3,実績!$AI$6:$AI$505,"&lt;="&amp;$A230,実績!$AJ$6:$AJ$505,"&gt;"&amp;$A230,実績!$AK$6:$AK$505,"○")&gt;0,1,0))</f>
        <v>0</v>
      </c>
      <c r="CX230" s="39" t="n">
        <f aca="false">IF(CX$4=0,0,IF(COUNTIFS(実績!$W$6:$W$505,CX$3,実績!$AI$6:$AI$505,"&lt;="&amp;$A230,実績!$AJ$6:$AJ$505,"&gt;"&amp;$A230,実績!$AK$6:$AK$505,"○")&gt;0,1,0))</f>
        <v>0</v>
      </c>
      <c r="CY230" s="39" t="n">
        <f aca="false">IF(CY$4=0,0,IF(COUNTIFS(実績!$W$6:$W$505,CY$3,実績!$AI$6:$AI$505,"&lt;="&amp;$A230,実績!$AJ$6:$AJ$505,"&gt;"&amp;$A230,実績!$AK$6:$AK$505,"○")&gt;0,1,0))</f>
        <v>0</v>
      </c>
      <c r="CZ230" s="39" t="n">
        <f aca="false">IF(CZ$4=0,0,IF(COUNTIFS(実績!$W$6:$W$505,CZ$3,実績!$AI$6:$AI$505,"&lt;="&amp;$A230,実績!$AJ$6:$AJ$505,"&gt;"&amp;$A230,実績!$AK$6:$AK$505,"○")&gt;0,1,0))</f>
        <v>0</v>
      </c>
      <c r="DA230" s="39" t="n">
        <f aca="false">IF(DA$4=0,0,IF(COUNTIFS(実績!$W$6:$W$505,DA$3,実績!$AI$6:$AI$505,"&lt;="&amp;$A230,実績!$AJ$6:$AJ$505,"&gt;"&amp;$A230,実績!$AK$6:$AK$505,"○")&gt;0,1,0))</f>
        <v>0</v>
      </c>
      <c r="DB230" s="39" t="n">
        <f aca="false">IF(DB$4=0,0,IF(COUNTIFS(実績!$W$6:$W$505,DB$3,実績!$AI$6:$AI$505,"&lt;="&amp;$A230,実績!$AJ$6:$AJ$505,"&gt;"&amp;$A230,実績!$AK$6:$AK$505,"○")&gt;0,1,0))</f>
        <v>0</v>
      </c>
      <c r="DC230" s="39" t="n">
        <f aca="false">IF(DC$4=0,0,IF(COUNTIFS(実績!$W$6:$W$505,DC$3,実績!$AI$6:$AI$505,"&lt;="&amp;$A230,実績!$AJ$6:$AJ$505,"&gt;"&amp;$A230,実績!$AK$6:$AK$505,"○")&gt;0,1,0))</f>
        <v>0</v>
      </c>
      <c r="DD230" s="39" t="n">
        <f aca="false">IF(DD$4=0,0,IF(COUNTIFS(実績!$W$6:$W$505,DD$3,実績!$AI$6:$AI$505,"&lt;="&amp;$A230,実績!$AJ$6:$AJ$505,"&gt;"&amp;$A230,実績!$AK$6:$AK$505,"○")&gt;0,1,0))</f>
        <v>0</v>
      </c>
      <c r="DE230" s="39" t="n">
        <f aca="false">IF(DE$4=0,0,IF(COUNTIFS(実績!$W$6:$W$505,DE$3,実績!$AI$6:$AI$505,"&lt;="&amp;$A230,実績!$AJ$6:$AJ$505,"&gt;"&amp;$A230,実績!$AK$6:$AK$505,"○")&gt;0,1,0))</f>
        <v>0</v>
      </c>
      <c r="DF230" s="39" t="n">
        <f aca="false">IF(DF$4=0,0,IF(COUNTIFS(実績!$W$6:$W$505,DF$3,実績!$AI$6:$AI$505,"&lt;="&amp;$A230,実績!$AJ$6:$AJ$505,"&gt;"&amp;$A230,実績!$AK$6:$AK$505,"○")&gt;0,1,0))</f>
        <v>0</v>
      </c>
      <c r="DG230" s="39" t="n">
        <f aca="false">IF(DG$4=0,0,IF(COUNTIFS(実績!$W$6:$W$505,DG$3,実績!$AI$6:$AI$505,"&lt;="&amp;$A230,実績!$AJ$6:$AJ$505,"&gt;"&amp;$A230,実績!$AK$6:$AK$505,"○")&gt;0,1,0))</f>
        <v>0</v>
      </c>
      <c r="DH230" s="39" t="n">
        <f aca="false">IF(DH$4=0,0,IF(COUNTIFS(実績!$W$6:$W$505,DH$3,実績!$AI$6:$AI$505,"&lt;="&amp;$A230,実績!$AJ$6:$AJ$505,"&gt;"&amp;$A230,実績!$AK$6:$AK$505,"○")&gt;0,1,0))</f>
        <v>0</v>
      </c>
      <c r="DI230" s="39" t="n">
        <f aca="false">IF(DI$4=0,0,IF(COUNTIFS(実績!$W$6:$W$505,DI$3,実績!$AI$6:$AI$505,"&lt;="&amp;$A230,実績!$AJ$6:$AJ$505,"&gt;"&amp;$A230,実績!$AK$6:$AK$505,"○")&gt;0,1,0))</f>
        <v>0</v>
      </c>
      <c r="DJ230" s="39" t="n">
        <f aca="false">IF(DJ$4=0,0,IF(COUNTIFS(実績!$W$6:$W$505,DJ$3,実績!$AI$6:$AI$505,"&lt;="&amp;$A230,実績!$AJ$6:$AJ$505,"&gt;"&amp;$A230,実績!$AK$6:$AK$505,"○")&gt;0,1,0))</f>
        <v>0</v>
      </c>
      <c r="DK230" s="39" t="n">
        <f aca="false">IF(DK$4=0,0,IF(COUNTIFS(実績!$W$6:$W$505,DK$3,実績!$AI$6:$AI$505,"&lt;="&amp;$A230,実績!$AJ$6:$AJ$505,"&gt;"&amp;$A230,実績!$AK$6:$AK$505,"○")&gt;0,1,0))</f>
        <v>0</v>
      </c>
      <c r="DL230" s="39" t="n">
        <f aca="false">IF(DL$4=0,0,IF(COUNTIFS(実績!$W$6:$W$505,DL$3,実績!$AI$6:$AI$505,"&lt;="&amp;$A230,実績!$AJ$6:$AJ$505,"&gt;"&amp;$A230,実績!$AK$6:$AK$505,"○")&gt;0,1,0))</f>
        <v>0</v>
      </c>
      <c r="DM230" s="39" t="n">
        <f aca="false">IF(DM$4=0,0,IF(COUNTIFS(実績!$W$6:$W$505,DM$3,実績!$AI$6:$AI$505,"&lt;="&amp;$A230,実績!$AJ$6:$AJ$505,"&gt;"&amp;$A230,実績!$AK$6:$AK$505,"○")&gt;0,1,0))</f>
        <v>0</v>
      </c>
      <c r="DN230" s="39" t="n">
        <f aca="false">IF(DN$4=0,0,IF(COUNTIFS(実績!$W$6:$W$505,DN$3,実績!$AI$6:$AI$505,"&lt;="&amp;$A230,実績!$AJ$6:$AJ$505,"&gt;"&amp;$A230,実績!$AK$6:$AK$505,"○")&gt;0,1,0))</f>
        <v>0</v>
      </c>
      <c r="DO230" s="39" t="n">
        <f aca="false">IF(DO$4=0,0,IF(COUNTIFS(実績!$W$6:$W$505,DO$3,実績!$AI$6:$AI$505,"&lt;="&amp;$A230,実績!$AJ$6:$AJ$505,"&gt;"&amp;$A230,実績!$AK$6:$AK$505,"○")&gt;0,1,0))</f>
        <v>0</v>
      </c>
      <c r="DP230" s="39" t="n">
        <f aca="false">IF(DP$4=0,0,IF(COUNTIFS(実績!$W$6:$W$505,DP$3,実績!$AI$6:$AI$505,"&lt;="&amp;$A230,実績!$AJ$6:$AJ$505,"&gt;"&amp;$A230,実績!$AK$6:$AK$505,"○")&gt;0,1,0))</f>
        <v>0</v>
      </c>
      <c r="DQ230" s="39" t="n">
        <f aca="false">IF(DQ$4=0,0,IF(COUNTIFS(実績!$W$6:$W$505,DQ$3,実績!$AI$6:$AI$505,"&lt;="&amp;$A230,実績!$AJ$6:$AJ$505,"&gt;"&amp;$A230,実績!$AK$6:$AK$505,"○")&gt;0,1,0))</f>
        <v>0</v>
      </c>
      <c r="DR230" s="39" t="n">
        <f aca="false">IF(DR$4=0,0,IF(COUNTIFS(実績!$W$6:$W$505,DR$3,実績!$AI$6:$AI$505,"&lt;="&amp;$A230,実績!$AJ$6:$AJ$505,"&gt;"&amp;$A230,実績!$AK$6:$AK$505,"○")&gt;0,1,0))</f>
        <v>0</v>
      </c>
      <c r="DS230" s="39" t="n">
        <f aca="false">SUM(C230:DR230)</f>
        <v>0</v>
      </c>
      <c r="DT230" s="39" t="n">
        <f aca="false">SUMPRODUCT((実績!$C$6:$C$505="○")*ISNUMBER(実績!$AM$6:$AM$505)*(実績!$AM$6:$AM$505&lt;=$A230)*(実績!$AN$6:$AN$505&gt;$A230))</f>
        <v>0</v>
      </c>
      <c r="DU230" s="39" t="n">
        <f aca="false">SUMIF($C$2:$DR$2,"製鉄曳船",C230:DR230)</f>
        <v>0</v>
      </c>
      <c r="DV230" s="39" t="n">
        <f aca="false">SUMIF($C$2:$DR$2,"西日本海運",C230:DR230)</f>
        <v>0</v>
      </c>
    </row>
    <row r="231" customFormat="false" ht="15" hidden="false" customHeight="false" outlineLevel="0" collapsed="false">
      <c r="A231" s="0" t="n">
        <v>1125</v>
      </c>
      <c r="B231" s="38" t="n">
        <f aca="false">A231/1440</f>
        <v>0.78125</v>
      </c>
      <c r="C231" s="39" t="n">
        <f aca="false">IF(C$4=0,0,IF(COUNTIFS(実績!$W$6:$W$505,C$3,実績!$AI$6:$AI$505,"&lt;="&amp;$A231,実績!$AJ$6:$AJ$505,"&gt;"&amp;$A231,実績!$AK$6:$AK$505,"○")&gt;0,1,0))</f>
        <v>0</v>
      </c>
      <c r="D231" s="39" t="n">
        <f aca="false">IF(D$4=0,0,IF(COUNTIFS(実績!$W$6:$W$505,D$3,実績!$AI$6:$AI$505,"&lt;="&amp;$A231,実績!$AJ$6:$AJ$505,"&gt;"&amp;$A231,実績!$AK$6:$AK$505,"○")&gt;0,1,0))</f>
        <v>0</v>
      </c>
      <c r="E231" s="39" t="n">
        <f aca="false">IF(E$4=0,0,IF(COUNTIFS(実績!$W$6:$W$505,E$3,実績!$AI$6:$AI$505,"&lt;="&amp;$A231,実績!$AJ$6:$AJ$505,"&gt;"&amp;$A231,実績!$AK$6:$AK$505,"○")&gt;0,1,0))</f>
        <v>0</v>
      </c>
      <c r="F231" s="39" t="n">
        <f aca="false">IF(F$4=0,0,IF(COUNTIFS(実績!$W$6:$W$505,F$3,実績!$AI$6:$AI$505,"&lt;="&amp;$A231,実績!$AJ$6:$AJ$505,"&gt;"&amp;$A231,実績!$AK$6:$AK$505,"○")&gt;0,1,0))</f>
        <v>0</v>
      </c>
      <c r="G231" s="39" t="n">
        <f aca="false">IF(G$4=0,0,IF(COUNTIFS(実績!$W$6:$W$505,G$3,実績!$AI$6:$AI$505,"&lt;="&amp;$A231,実績!$AJ$6:$AJ$505,"&gt;"&amp;$A231,実績!$AK$6:$AK$505,"○")&gt;0,1,0))</f>
        <v>0</v>
      </c>
      <c r="H231" s="39" t="n">
        <f aca="false">IF(H$4=0,0,IF(COUNTIFS(実績!$W$6:$W$505,H$3,実績!$AI$6:$AI$505,"&lt;="&amp;$A231,実績!$AJ$6:$AJ$505,"&gt;"&amp;$A231,実績!$AK$6:$AK$505,"○")&gt;0,1,0))</f>
        <v>0</v>
      </c>
      <c r="I231" s="39" t="n">
        <f aca="false">IF(I$4=0,0,IF(COUNTIFS(実績!$W$6:$W$505,I$3,実績!$AI$6:$AI$505,"&lt;="&amp;$A231,実績!$AJ$6:$AJ$505,"&gt;"&amp;$A231,実績!$AK$6:$AK$505,"○")&gt;0,1,0))</f>
        <v>0</v>
      </c>
      <c r="J231" s="39" t="n">
        <f aca="false">IF(J$4=0,0,IF(COUNTIFS(実績!$W$6:$W$505,J$3,実績!$AI$6:$AI$505,"&lt;="&amp;$A231,実績!$AJ$6:$AJ$505,"&gt;"&amp;$A231,実績!$AK$6:$AK$505,"○")&gt;0,1,0))</f>
        <v>0</v>
      </c>
      <c r="K231" s="39" t="n">
        <f aca="false">IF(K$4=0,0,IF(COUNTIFS(実績!$W$6:$W$505,K$3,実績!$AI$6:$AI$505,"&lt;="&amp;$A231,実績!$AJ$6:$AJ$505,"&gt;"&amp;$A231,実績!$AK$6:$AK$505,"○")&gt;0,1,0))</f>
        <v>0</v>
      </c>
      <c r="L231" s="39" t="n">
        <f aca="false">IF(L$4=0,0,IF(COUNTIFS(実績!$W$6:$W$505,L$3,実績!$AI$6:$AI$505,"&lt;="&amp;$A231,実績!$AJ$6:$AJ$505,"&gt;"&amp;$A231,実績!$AK$6:$AK$505,"○")&gt;0,1,0))</f>
        <v>0</v>
      </c>
      <c r="M231" s="39" t="n">
        <f aca="false">IF(M$4=0,0,IF(COUNTIFS(実績!$W$6:$W$505,M$3,実績!$AI$6:$AI$505,"&lt;="&amp;$A231,実績!$AJ$6:$AJ$505,"&gt;"&amp;$A231,実績!$AK$6:$AK$505,"○")&gt;0,1,0))</f>
        <v>0</v>
      </c>
      <c r="N231" s="39" t="n">
        <f aca="false">IF(N$4=0,0,IF(COUNTIFS(実績!$W$6:$W$505,N$3,実績!$AI$6:$AI$505,"&lt;="&amp;$A231,実績!$AJ$6:$AJ$505,"&gt;"&amp;$A231,実績!$AK$6:$AK$505,"○")&gt;0,1,0))</f>
        <v>0</v>
      </c>
      <c r="O231" s="39" t="n">
        <f aca="false">IF(O$4=0,0,IF(COUNTIFS(実績!$W$6:$W$505,O$3,実績!$AI$6:$AI$505,"&lt;="&amp;$A231,実績!$AJ$6:$AJ$505,"&gt;"&amp;$A231,実績!$AK$6:$AK$505,"○")&gt;0,1,0))</f>
        <v>0</v>
      </c>
      <c r="P231" s="39" t="n">
        <f aca="false">IF(P$4=0,0,IF(COUNTIFS(実績!$W$6:$W$505,P$3,実績!$AI$6:$AI$505,"&lt;="&amp;$A231,実績!$AJ$6:$AJ$505,"&gt;"&amp;$A231,実績!$AK$6:$AK$505,"○")&gt;0,1,0))</f>
        <v>0</v>
      </c>
      <c r="Q231" s="39" t="n">
        <f aca="false">IF(Q$4=0,0,IF(COUNTIFS(実績!$W$6:$W$505,Q$3,実績!$AI$6:$AI$505,"&lt;="&amp;$A231,実績!$AJ$6:$AJ$505,"&gt;"&amp;$A231,実績!$AK$6:$AK$505,"○")&gt;0,1,0))</f>
        <v>0</v>
      </c>
      <c r="R231" s="39" t="n">
        <f aca="false">IF(R$4=0,0,IF(COUNTIFS(実績!$W$6:$W$505,R$3,実績!$AI$6:$AI$505,"&lt;="&amp;$A231,実績!$AJ$6:$AJ$505,"&gt;"&amp;$A231,実績!$AK$6:$AK$505,"○")&gt;0,1,0))</f>
        <v>0</v>
      </c>
      <c r="S231" s="39" t="n">
        <f aca="false">IF(S$4=0,0,IF(COUNTIFS(実績!$W$6:$W$505,S$3,実績!$AI$6:$AI$505,"&lt;="&amp;$A231,実績!$AJ$6:$AJ$505,"&gt;"&amp;$A231,実績!$AK$6:$AK$505,"○")&gt;0,1,0))</f>
        <v>0</v>
      </c>
      <c r="T231" s="39" t="n">
        <f aca="false">IF(T$4=0,0,IF(COUNTIFS(実績!$W$6:$W$505,T$3,実績!$AI$6:$AI$505,"&lt;="&amp;$A231,実績!$AJ$6:$AJ$505,"&gt;"&amp;$A231,実績!$AK$6:$AK$505,"○")&gt;0,1,0))</f>
        <v>0</v>
      </c>
      <c r="U231" s="39" t="n">
        <f aca="false">IF(U$4=0,0,IF(COUNTIFS(実績!$W$6:$W$505,U$3,実績!$AI$6:$AI$505,"&lt;="&amp;$A231,実績!$AJ$6:$AJ$505,"&gt;"&amp;$A231,実績!$AK$6:$AK$505,"○")&gt;0,1,0))</f>
        <v>0</v>
      </c>
      <c r="V231" s="39" t="n">
        <f aca="false">IF(V$4=0,0,IF(COUNTIFS(実績!$W$6:$W$505,V$3,実績!$AI$6:$AI$505,"&lt;="&amp;$A231,実績!$AJ$6:$AJ$505,"&gt;"&amp;$A231,実績!$AK$6:$AK$505,"○")&gt;0,1,0))</f>
        <v>0</v>
      </c>
      <c r="W231" s="39" t="n">
        <f aca="false">IF(W$4=0,0,IF(COUNTIFS(実績!$W$6:$W$505,W$3,実績!$AI$6:$AI$505,"&lt;="&amp;$A231,実績!$AJ$6:$AJ$505,"&gt;"&amp;$A231,実績!$AK$6:$AK$505,"○")&gt;0,1,0))</f>
        <v>0</v>
      </c>
      <c r="X231" s="39" t="n">
        <f aca="false">IF(X$4=0,0,IF(COUNTIFS(実績!$W$6:$W$505,X$3,実績!$AI$6:$AI$505,"&lt;="&amp;$A231,実績!$AJ$6:$AJ$505,"&gt;"&amp;$A231,実績!$AK$6:$AK$505,"○")&gt;0,1,0))</f>
        <v>0</v>
      </c>
      <c r="Y231" s="39" t="n">
        <f aca="false">IF(Y$4=0,0,IF(COUNTIFS(実績!$W$6:$W$505,Y$3,実績!$AI$6:$AI$505,"&lt;="&amp;$A231,実績!$AJ$6:$AJ$505,"&gt;"&amp;$A231,実績!$AK$6:$AK$505,"○")&gt;0,1,0))</f>
        <v>0</v>
      </c>
      <c r="Z231" s="39" t="n">
        <f aca="false">IF(Z$4=0,0,IF(COUNTIFS(実績!$W$6:$W$505,Z$3,実績!$AI$6:$AI$505,"&lt;="&amp;$A231,実績!$AJ$6:$AJ$505,"&gt;"&amp;$A231,実績!$AK$6:$AK$505,"○")&gt;0,1,0))</f>
        <v>0</v>
      </c>
      <c r="AA231" s="39" t="n">
        <f aca="false">IF(AA$4=0,0,IF(COUNTIFS(実績!$W$6:$W$505,AA$3,実績!$AI$6:$AI$505,"&lt;="&amp;$A231,実績!$AJ$6:$AJ$505,"&gt;"&amp;$A231,実績!$AK$6:$AK$505,"○")&gt;0,1,0))</f>
        <v>0</v>
      </c>
      <c r="AB231" s="39" t="n">
        <f aca="false">IF(AB$4=0,0,IF(COUNTIFS(実績!$W$6:$W$505,AB$3,実績!$AI$6:$AI$505,"&lt;="&amp;$A231,実績!$AJ$6:$AJ$505,"&gt;"&amp;$A231,実績!$AK$6:$AK$505,"○")&gt;0,1,0))</f>
        <v>0</v>
      </c>
      <c r="AC231" s="39" t="n">
        <f aca="false">IF(AC$4=0,0,IF(COUNTIFS(実績!$W$6:$W$505,AC$3,実績!$AI$6:$AI$505,"&lt;="&amp;$A231,実績!$AJ$6:$AJ$505,"&gt;"&amp;$A231,実績!$AK$6:$AK$505,"○")&gt;0,1,0))</f>
        <v>0</v>
      </c>
      <c r="AD231" s="39" t="n">
        <f aca="false">IF(AD$4=0,0,IF(COUNTIFS(実績!$W$6:$W$505,AD$3,実績!$AI$6:$AI$505,"&lt;="&amp;$A231,実績!$AJ$6:$AJ$505,"&gt;"&amp;$A231,実績!$AK$6:$AK$505,"○")&gt;0,1,0))</f>
        <v>0</v>
      </c>
      <c r="AE231" s="39" t="n">
        <f aca="false">IF(AE$4=0,0,IF(COUNTIFS(実績!$W$6:$W$505,AE$3,実績!$AI$6:$AI$505,"&lt;="&amp;$A231,実績!$AJ$6:$AJ$505,"&gt;"&amp;$A231,実績!$AK$6:$AK$505,"○")&gt;0,1,0))</f>
        <v>0</v>
      </c>
      <c r="AF231" s="39" t="n">
        <f aca="false">IF(AF$4=0,0,IF(COUNTIFS(実績!$W$6:$W$505,AF$3,実績!$AI$6:$AI$505,"&lt;="&amp;$A231,実績!$AJ$6:$AJ$505,"&gt;"&amp;$A231,実績!$AK$6:$AK$505,"○")&gt;0,1,0))</f>
        <v>0</v>
      </c>
      <c r="AG231" s="39" t="n">
        <f aca="false">IF(AG$4=0,0,IF(COUNTIFS(実績!$W$6:$W$505,AG$3,実績!$AI$6:$AI$505,"&lt;="&amp;$A231,実績!$AJ$6:$AJ$505,"&gt;"&amp;$A231,実績!$AK$6:$AK$505,"○")&gt;0,1,0))</f>
        <v>0</v>
      </c>
      <c r="AH231" s="39" t="n">
        <f aca="false">IF(AH$4=0,0,IF(COUNTIFS(実績!$W$6:$W$505,AH$3,実績!$AI$6:$AI$505,"&lt;="&amp;$A231,実績!$AJ$6:$AJ$505,"&gt;"&amp;$A231,実績!$AK$6:$AK$505,"○")&gt;0,1,0))</f>
        <v>0</v>
      </c>
      <c r="AI231" s="39" t="n">
        <f aca="false">IF(AI$4=0,0,IF(COUNTIFS(実績!$W$6:$W$505,AI$3,実績!$AI$6:$AI$505,"&lt;="&amp;$A231,実績!$AJ$6:$AJ$505,"&gt;"&amp;$A231,実績!$AK$6:$AK$505,"○")&gt;0,1,0))</f>
        <v>0</v>
      </c>
      <c r="AJ231" s="39" t="n">
        <f aca="false">IF(AJ$4=0,0,IF(COUNTIFS(実績!$W$6:$W$505,AJ$3,実績!$AI$6:$AI$505,"&lt;="&amp;$A231,実績!$AJ$6:$AJ$505,"&gt;"&amp;$A231,実績!$AK$6:$AK$505,"○")&gt;0,1,0))</f>
        <v>0</v>
      </c>
      <c r="AK231" s="39" t="n">
        <f aca="false">IF(AK$4=0,0,IF(COUNTIFS(実績!$W$6:$W$505,AK$3,実績!$AI$6:$AI$505,"&lt;="&amp;$A231,実績!$AJ$6:$AJ$505,"&gt;"&amp;$A231,実績!$AK$6:$AK$505,"○")&gt;0,1,0))</f>
        <v>0</v>
      </c>
      <c r="AL231" s="39" t="n">
        <f aca="false">IF(AL$4=0,0,IF(COUNTIFS(実績!$W$6:$W$505,AL$3,実績!$AI$6:$AI$505,"&lt;="&amp;$A231,実績!$AJ$6:$AJ$505,"&gt;"&amp;$A231,実績!$AK$6:$AK$505,"○")&gt;0,1,0))</f>
        <v>0</v>
      </c>
      <c r="AM231" s="39" t="n">
        <f aca="false">IF(AM$4=0,0,IF(COUNTIFS(実績!$W$6:$W$505,AM$3,実績!$AI$6:$AI$505,"&lt;="&amp;$A231,実績!$AJ$6:$AJ$505,"&gt;"&amp;$A231,実績!$AK$6:$AK$505,"○")&gt;0,1,0))</f>
        <v>0</v>
      </c>
      <c r="AN231" s="39" t="n">
        <f aca="false">IF(AN$4=0,0,IF(COUNTIFS(実績!$W$6:$W$505,AN$3,実績!$AI$6:$AI$505,"&lt;="&amp;$A231,実績!$AJ$6:$AJ$505,"&gt;"&amp;$A231,実績!$AK$6:$AK$505,"○")&gt;0,1,0))</f>
        <v>0</v>
      </c>
      <c r="AO231" s="39" t="n">
        <f aca="false">IF(AO$4=0,0,IF(COUNTIFS(実績!$W$6:$W$505,AO$3,実績!$AI$6:$AI$505,"&lt;="&amp;$A231,実績!$AJ$6:$AJ$505,"&gt;"&amp;$A231,実績!$AK$6:$AK$505,"○")&gt;0,1,0))</f>
        <v>0</v>
      </c>
      <c r="AP231" s="39" t="n">
        <f aca="false">IF(AP$4=0,0,IF(COUNTIFS(実績!$W$6:$W$505,AP$3,実績!$AI$6:$AI$505,"&lt;="&amp;$A231,実績!$AJ$6:$AJ$505,"&gt;"&amp;$A231,実績!$AK$6:$AK$505,"○")&gt;0,1,0))</f>
        <v>0</v>
      </c>
      <c r="AQ231" s="39" t="n">
        <f aca="false">IF(AQ$4=0,0,IF(COUNTIFS(実績!$W$6:$W$505,AQ$3,実績!$AI$6:$AI$505,"&lt;="&amp;$A231,実績!$AJ$6:$AJ$505,"&gt;"&amp;$A231,実績!$AK$6:$AK$505,"○")&gt;0,1,0))</f>
        <v>0</v>
      </c>
      <c r="AR231" s="39" t="n">
        <f aca="false">IF(AR$4=0,0,IF(COUNTIFS(実績!$W$6:$W$505,AR$3,実績!$AI$6:$AI$505,"&lt;="&amp;$A231,実績!$AJ$6:$AJ$505,"&gt;"&amp;$A231,実績!$AK$6:$AK$505,"○")&gt;0,1,0))</f>
        <v>0</v>
      </c>
      <c r="AS231" s="39" t="n">
        <f aca="false">IF(AS$4=0,0,IF(COUNTIFS(実績!$W$6:$W$505,AS$3,実績!$AI$6:$AI$505,"&lt;="&amp;$A231,実績!$AJ$6:$AJ$505,"&gt;"&amp;$A231,実績!$AK$6:$AK$505,"○")&gt;0,1,0))</f>
        <v>0</v>
      </c>
      <c r="AT231" s="39" t="n">
        <f aca="false">IF(AT$4=0,0,IF(COUNTIFS(実績!$W$6:$W$505,AT$3,実績!$AI$6:$AI$505,"&lt;="&amp;$A231,実績!$AJ$6:$AJ$505,"&gt;"&amp;$A231,実績!$AK$6:$AK$505,"○")&gt;0,1,0))</f>
        <v>0</v>
      </c>
      <c r="AU231" s="39" t="n">
        <f aca="false">IF(AU$4=0,0,IF(COUNTIFS(実績!$W$6:$W$505,AU$3,実績!$AI$6:$AI$505,"&lt;="&amp;$A231,実績!$AJ$6:$AJ$505,"&gt;"&amp;$A231,実績!$AK$6:$AK$505,"○")&gt;0,1,0))</f>
        <v>0</v>
      </c>
      <c r="AV231" s="39" t="n">
        <f aca="false">IF(AV$4=0,0,IF(COUNTIFS(実績!$W$6:$W$505,AV$3,実績!$AI$6:$AI$505,"&lt;="&amp;$A231,実績!$AJ$6:$AJ$505,"&gt;"&amp;$A231,実績!$AK$6:$AK$505,"○")&gt;0,1,0))</f>
        <v>0</v>
      </c>
      <c r="AW231" s="39" t="n">
        <f aca="false">IF(AW$4=0,0,IF(COUNTIFS(実績!$W$6:$W$505,AW$3,実績!$AI$6:$AI$505,"&lt;="&amp;$A231,実績!$AJ$6:$AJ$505,"&gt;"&amp;$A231,実績!$AK$6:$AK$505,"○")&gt;0,1,0))</f>
        <v>0</v>
      </c>
      <c r="AX231" s="39" t="n">
        <f aca="false">IF(AX$4=0,0,IF(COUNTIFS(実績!$W$6:$W$505,AX$3,実績!$AI$6:$AI$505,"&lt;="&amp;$A231,実績!$AJ$6:$AJ$505,"&gt;"&amp;$A231,実績!$AK$6:$AK$505,"○")&gt;0,1,0))</f>
        <v>0</v>
      </c>
      <c r="AY231" s="39" t="n">
        <f aca="false">IF(AY$4=0,0,IF(COUNTIFS(実績!$W$6:$W$505,AY$3,実績!$AI$6:$AI$505,"&lt;="&amp;$A231,実績!$AJ$6:$AJ$505,"&gt;"&amp;$A231,実績!$AK$6:$AK$505,"○")&gt;0,1,0))</f>
        <v>0</v>
      </c>
      <c r="AZ231" s="39" t="n">
        <f aca="false">IF(AZ$4=0,0,IF(COUNTIFS(実績!$W$6:$W$505,AZ$3,実績!$AI$6:$AI$505,"&lt;="&amp;$A231,実績!$AJ$6:$AJ$505,"&gt;"&amp;$A231,実績!$AK$6:$AK$505,"○")&gt;0,1,0))</f>
        <v>0</v>
      </c>
      <c r="BA231" s="39" t="n">
        <f aca="false">IF(BA$4=0,0,IF(COUNTIFS(実績!$W$6:$W$505,BA$3,実績!$AI$6:$AI$505,"&lt;="&amp;$A231,実績!$AJ$6:$AJ$505,"&gt;"&amp;$A231,実績!$AK$6:$AK$505,"○")&gt;0,1,0))</f>
        <v>0</v>
      </c>
      <c r="BB231" s="39" t="n">
        <f aca="false">IF(BB$4=0,0,IF(COUNTIFS(実績!$W$6:$W$505,BB$3,実績!$AI$6:$AI$505,"&lt;="&amp;$A231,実績!$AJ$6:$AJ$505,"&gt;"&amp;$A231,実績!$AK$6:$AK$505,"○")&gt;0,1,0))</f>
        <v>0</v>
      </c>
      <c r="BC231" s="39" t="n">
        <f aca="false">IF(BC$4=0,0,IF(COUNTIFS(実績!$W$6:$W$505,BC$3,実績!$AI$6:$AI$505,"&lt;="&amp;$A231,実績!$AJ$6:$AJ$505,"&gt;"&amp;$A231,実績!$AK$6:$AK$505,"○")&gt;0,1,0))</f>
        <v>0</v>
      </c>
      <c r="BD231" s="39" t="n">
        <f aca="false">IF(BD$4=0,0,IF(COUNTIFS(実績!$W$6:$W$505,BD$3,実績!$AI$6:$AI$505,"&lt;="&amp;$A231,実績!$AJ$6:$AJ$505,"&gt;"&amp;$A231,実績!$AK$6:$AK$505,"○")&gt;0,1,0))</f>
        <v>0</v>
      </c>
      <c r="BE231" s="39" t="n">
        <f aca="false">IF(BE$4=0,0,IF(COUNTIFS(実績!$W$6:$W$505,BE$3,実績!$AI$6:$AI$505,"&lt;="&amp;$A231,実績!$AJ$6:$AJ$505,"&gt;"&amp;$A231,実績!$AK$6:$AK$505,"○")&gt;0,1,0))</f>
        <v>0</v>
      </c>
      <c r="BF231" s="39" t="n">
        <f aca="false">IF(BF$4=0,0,IF(COUNTIFS(実績!$W$6:$W$505,BF$3,実績!$AI$6:$AI$505,"&lt;="&amp;$A231,実績!$AJ$6:$AJ$505,"&gt;"&amp;$A231,実績!$AK$6:$AK$505,"○")&gt;0,1,0))</f>
        <v>0</v>
      </c>
      <c r="BG231" s="39" t="n">
        <f aca="false">IF(BG$4=0,0,IF(COUNTIFS(実績!$W$6:$W$505,BG$3,実績!$AI$6:$AI$505,"&lt;="&amp;$A231,実績!$AJ$6:$AJ$505,"&gt;"&amp;$A231,実績!$AK$6:$AK$505,"○")&gt;0,1,0))</f>
        <v>0</v>
      </c>
      <c r="BH231" s="39" t="n">
        <f aca="false">IF(BH$4=0,0,IF(COUNTIFS(実績!$W$6:$W$505,BH$3,実績!$AI$6:$AI$505,"&lt;="&amp;$A231,実績!$AJ$6:$AJ$505,"&gt;"&amp;$A231,実績!$AK$6:$AK$505,"○")&gt;0,1,0))</f>
        <v>0</v>
      </c>
      <c r="BI231" s="39" t="n">
        <f aca="false">IF(BI$4=0,0,IF(COUNTIFS(実績!$W$6:$W$505,BI$3,実績!$AI$6:$AI$505,"&lt;="&amp;$A231,実績!$AJ$6:$AJ$505,"&gt;"&amp;$A231,実績!$AK$6:$AK$505,"○")&gt;0,1,0))</f>
        <v>0</v>
      </c>
      <c r="BJ231" s="39" t="n">
        <f aca="false">IF(BJ$4=0,0,IF(COUNTIFS(実績!$W$6:$W$505,BJ$3,実績!$AI$6:$AI$505,"&lt;="&amp;$A231,実績!$AJ$6:$AJ$505,"&gt;"&amp;$A231,実績!$AK$6:$AK$505,"○")&gt;0,1,0))</f>
        <v>0</v>
      </c>
      <c r="BK231" s="39" t="n">
        <f aca="false">IF(BK$4=0,0,IF(COUNTIFS(実績!$W$6:$W$505,BK$3,実績!$AI$6:$AI$505,"&lt;="&amp;$A231,実績!$AJ$6:$AJ$505,"&gt;"&amp;$A231,実績!$AK$6:$AK$505,"○")&gt;0,1,0))</f>
        <v>0</v>
      </c>
      <c r="BL231" s="39" t="n">
        <f aca="false">IF(BL$4=0,0,IF(COUNTIFS(実績!$W$6:$W$505,BL$3,実績!$AI$6:$AI$505,"&lt;="&amp;$A231,実績!$AJ$6:$AJ$505,"&gt;"&amp;$A231,実績!$AK$6:$AK$505,"○")&gt;0,1,0))</f>
        <v>0</v>
      </c>
      <c r="BM231" s="39" t="n">
        <f aca="false">IF(BM$4=0,0,IF(COUNTIFS(実績!$W$6:$W$505,BM$3,実績!$AI$6:$AI$505,"&lt;="&amp;$A231,実績!$AJ$6:$AJ$505,"&gt;"&amp;$A231,実績!$AK$6:$AK$505,"○")&gt;0,1,0))</f>
        <v>0</v>
      </c>
      <c r="BN231" s="39" t="n">
        <f aca="false">IF(BN$4=0,0,IF(COUNTIFS(実績!$W$6:$W$505,BN$3,実績!$AI$6:$AI$505,"&lt;="&amp;$A231,実績!$AJ$6:$AJ$505,"&gt;"&amp;$A231,実績!$AK$6:$AK$505,"○")&gt;0,1,0))</f>
        <v>0</v>
      </c>
      <c r="BO231" s="39" t="n">
        <f aca="false">IF(BO$4=0,0,IF(COUNTIFS(実績!$W$6:$W$505,BO$3,実績!$AI$6:$AI$505,"&lt;="&amp;$A231,実績!$AJ$6:$AJ$505,"&gt;"&amp;$A231,実績!$AK$6:$AK$505,"○")&gt;0,1,0))</f>
        <v>0</v>
      </c>
      <c r="BP231" s="39" t="n">
        <f aca="false">IF(BP$4=0,0,IF(COUNTIFS(実績!$W$6:$W$505,BP$3,実績!$AI$6:$AI$505,"&lt;="&amp;$A231,実績!$AJ$6:$AJ$505,"&gt;"&amp;$A231,実績!$AK$6:$AK$505,"○")&gt;0,1,0))</f>
        <v>0</v>
      </c>
      <c r="BQ231" s="39" t="n">
        <f aca="false">IF(BQ$4=0,0,IF(COUNTIFS(実績!$W$6:$W$505,BQ$3,実績!$AI$6:$AI$505,"&lt;="&amp;$A231,実績!$AJ$6:$AJ$505,"&gt;"&amp;$A231,実績!$AK$6:$AK$505,"○")&gt;0,1,0))</f>
        <v>0</v>
      </c>
      <c r="BR231" s="39" t="n">
        <f aca="false">IF(BR$4=0,0,IF(COUNTIFS(実績!$W$6:$W$505,BR$3,実績!$AI$6:$AI$505,"&lt;="&amp;$A231,実績!$AJ$6:$AJ$505,"&gt;"&amp;$A231,実績!$AK$6:$AK$505,"○")&gt;0,1,0))</f>
        <v>0</v>
      </c>
      <c r="BS231" s="39" t="n">
        <f aca="false">IF(BS$4=0,0,IF(COUNTIFS(実績!$W$6:$W$505,BS$3,実績!$AI$6:$AI$505,"&lt;="&amp;$A231,実績!$AJ$6:$AJ$505,"&gt;"&amp;$A231,実績!$AK$6:$AK$505,"○")&gt;0,1,0))</f>
        <v>0</v>
      </c>
      <c r="BT231" s="39" t="n">
        <f aca="false">IF(BT$4=0,0,IF(COUNTIFS(実績!$W$6:$W$505,BT$3,実績!$AI$6:$AI$505,"&lt;="&amp;$A231,実績!$AJ$6:$AJ$505,"&gt;"&amp;$A231,実績!$AK$6:$AK$505,"○")&gt;0,1,0))</f>
        <v>0</v>
      </c>
      <c r="BU231" s="39" t="n">
        <f aca="false">IF(BU$4=0,0,IF(COUNTIFS(実績!$W$6:$W$505,BU$3,実績!$AI$6:$AI$505,"&lt;="&amp;$A231,実績!$AJ$6:$AJ$505,"&gt;"&amp;$A231,実績!$AK$6:$AK$505,"○")&gt;0,1,0))</f>
        <v>0</v>
      </c>
      <c r="BV231" s="39" t="n">
        <f aca="false">IF(BV$4=0,0,IF(COUNTIFS(実績!$W$6:$W$505,BV$3,実績!$AI$6:$AI$505,"&lt;="&amp;$A231,実績!$AJ$6:$AJ$505,"&gt;"&amp;$A231,実績!$AK$6:$AK$505,"○")&gt;0,1,0))</f>
        <v>0</v>
      </c>
      <c r="BW231" s="39" t="n">
        <f aca="false">IF(BW$4=0,0,IF(COUNTIFS(実績!$W$6:$W$505,BW$3,実績!$AI$6:$AI$505,"&lt;="&amp;$A231,実績!$AJ$6:$AJ$505,"&gt;"&amp;$A231,実績!$AK$6:$AK$505,"○")&gt;0,1,0))</f>
        <v>0</v>
      </c>
      <c r="BX231" s="39" t="n">
        <f aca="false">IF(BX$4=0,0,IF(COUNTIFS(実績!$W$6:$W$505,BX$3,実績!$AI$6:$AI$505,"&lt;="&amp;$A231,実績!$AJ$6:$AJ$505,"&gt;"&amp;$A231,実績!$AK$6:$AK$505,"○")&gt;0,1,0))</f>
        <v>0</v>
      </c>
      <c r="BY231" s="39" t="n">
        <f aca="false">IF(BY$4=0,0,IF(COUNTIFS(実績!$W$6:$W$505,BY$3,実績!$AI$6:$AI$505,"&lt;="&amp;$A231,実績!$AJ$6:$AJ$505,"&gt;"&amp;$A231,実績!$AK$6:$AK$505,"○")&gt;0,1,0))</f>
        <v>0</v>
      </c>
      <c r="BZ231" s="39" t="n">
        <f aca="false">IF(BZ$4=0,0,IF(COUNTIFS(実績!$W$6:$W$505,BZ$3,実績!$AI$6:$AI$505,"&lt;="&amp;$A231,実績!$AJ$6:$AJ$505,"&gt;"&amp;$A231,実績!$AK$6:$AK$505,"○")&gt;0,1,0))</f>
        <v>0</v>
      </c>
      <c r="CA231" s="39" t="n">
        <f aca="false">IF(CA$4=0,0,IF(COUNTIFS(実績!$W$6:$W$505,CA$3,実績!$AI$6:$AI$505,"&lt;="&amp;$A231,実績!$AJ$6:$AJ$505,"&gt;"&amp;$A231,実績!$AK$6:$AK$505,"○")&gt;0,1,0))</f>
        <v>0</v>
      </c>
      <c r="CB231" s="39" t="n">
        <f aca="false">IF(CB$4=0,0,IF(COUNTIFS(実績!$W$6:$W$505,CB$3,実績!$AI$6:$AI$505,"&lt;="&amp;$A231,実績!$AJ$6:$AJ$505,"&gt;"&amp;$A231,実績!$AK$6:$AK$505,"○")&gt;0,1,0))</f>
        <v>0</v>
      </c>
      <c r="CC231" s="39" t="n">
        <f aca="false">IF(CC$4=0,0,IF(COUNTIFS(実績!$W$6:$W$505,CC$3,実績!$AI$6:$AI$505,"&lt;="&amp;$A231,実績!$AJ$6:$AJ$505,"&gt;"&amp;$A231,実績!$AK$6:$AK$505,"○")&gt;0,1,0))</f>
        <v>0</v>
      </c>
      <c r="CD231" s="39" t="n">
        <f aca="false">IF(CD$4=0,0,IF(COUNTIFS(実績!$W$6:$W$505,CD$3,実績!$AI$6:$AI$505,"&lt;="&amp;$A231,実績!$AJ$6:$AJ$505,"&gt;"&amp;$A231,実績!$AK$6:$AK$505,"○")&gt;0,1,0))</f>
        <v>0</v>
      </c>
      <c r="CE231" s="39" t="n">
        <f aca="false">IF(CE$4=0,0,IF(COUNTIFS(実績!$W$6:$W$505,CE$3,実績!$AI$6:$AI$505,"&lt;="&amp;$A231,実績!$AJ$6:$AJ$505,"&gt;"&amp;$A231,実績!$AK$6:$AK$505,"○")&gt;0,1,0))</f>
        <v>0</v>
      </c>
      <c r="CF231" s="39" t="n">
        <f aca="false">IF(CF$4=0,0,IF(COUNTIFS(実績!$W$6:$W$505,CF$3,実績!$AI$6:$AI$505,"&lt;="&amp;$A231,実績!$AJ$6:$AJ$505,"&gt;"&amp;$A231,実績!$AK$6:$AK$505,"○")&gt;0,1,0))</f>
        <v>0</v>
      </c>
      <c r="CG231" s="39" t="n">
        <f aca="false">IF(CG$4=0,0,IF(COUNTIFS(実績!$W$6:$W$505,CG$3,実績!$AI$6:$AI$505,"&lt;="&amp;$A231,実績!$AJ$6:$AJ$505,"&gt;"&amp;$A231,実績!$AK$6:$AK$505,"○")&gt;0,1,0))</f>
        <v>0</v>
      </c>
      <c r="CH231" s="39" t="n">
        <f aca="false">IF(CH$4=0,0,IF(COUNTIFS(実績!$W$6:$W$505,CH$3,実績!$AI$6:$AI$505,"&lt;="&amp;$A231,実績!$AJ$6:$AJ$505,"&gt;"&amp;$A231,実績!$AK$6:$AK$505,"○")&gt;0,1,0))</f>
        <v>0</v>
      </c>
      <c r="CI231" s="39" t="n">
        <f aca="false">IF(CI$4=0,0,IF(COUNTIFS(実績!$W$6:$W$505,CI$3,実績!$AI$6:$AI$505,"&lt;="&amp;$A231,実績!$AJ$6:$AJ$505,"&gt;"&amp;$A231,実績!$AK$6:$AK$505,"○")&gt;0,1,0))</f>
        <v>0</v>
      </c>
      <c r="CJ231" s="39" t="n">
        <f aca="false">IF(CJ$4=0,0,IF(COUNTIFS(実績!$W$6:$W$505,CJ$3,実績!$AI$6:$AI$505,"&lt;="&amp;$A231,実績!$AJ$6:$AJ$505,"&gt;"&amp;$A231,実績!$AK$6:$AK$505,"○")&gt;0,1,0))</f>
        <v>0</v>
      </c>
      <c r="CK231" s="39" t="n">
        <f aca="false">IF(CK$4=0,0,IF(COUNTIFS(実績!$W$6:$W$505,CK$3,実績!$AI$6:$AI$505,"&lt;="&amp;$A231,実績!$AJ$6:$AJ$505,"&gt;"&amp;$A231,実績!$AK$6:$AK$505,"○")&gt;0,1,0))</f>
        <v>0</v>
      </c>
      <c r="CL231" s="39" t="n">
        <f aca="false">IF(CL$4=0,0,IF(COUNTIFS(実績!$W$6:$W$505,CL$3,実績!$AI$6:$AI$505,"&lt;="&amp;$A231,実績!$AJ$6:$AJ$505,"&gt;"&amp;$A231,実績!$AK$6:$AK$505,"○")&gt;0,1,0))</f>
        <v>0</v>
      </c>
      <c r="CM231" s="39" t="n">
        <f aca="false">IF(CM$4=0,0,IF(COUNTIFS(実績!$W$6:$W$505,CM$3,実績!$AI$6:$AI$505,"&lt;="&amp;$A231,実績!$AJ$6:$AJ$505,"&gt;"&amp;$A231,実績!$AK$6:$AK$505,"○")&gt;0,1,0))</f>
        <v>0</v>
      </c>
      <c r="CN231" s="39" t="n">
        <f aca="false">IF(CN$4=0,0,IF(COUNTIFS(実績!$W$6:$W$505,CN$3,実績!$AI$6:$AI$505,"&lt;="&amp;$A231,実績!$AJ$6:$AJ$505,"&gt;"&amp;$A231,実績!$AK$6:$AK$505,"○")&gt;0,1,0))</f>
        <v>0</v>
      </c>
      <c r="CO231" s="39" t="n">
        <f aca="false">IF(CO$4=0,0,IF(COUNTIFS(実績!$W$6:$W$505,CO$3,実績!$AI$6:$AI$505,"&lt;="&amp;$A231,実績!$AJ$6:$AJ$505,"&gt;"&amp;$A231,実績!$AK$6:$AK$505,"○")&gt;0,1,0))</f>
        <v>0</v>
      </c>
      <c r="CP231" s="39" t="n">
        <f aca="false">IF(CP$4=0,0,IF(COUNTIFS(実績!$W$6:$W$505,CP$3,実績!$AI$6:$AI$505,"&lt;="&amp;$A231,実績!$AJ$6:$AJ$505,"&gt;"&amp;$A231,実績!$AK$6:$AK$505,"○")&gt;0,1,0))</f>
        <v>0</v>
      </c>
      <c r="CQ231" s="39" t="n">
        <f aca="false">IF(CQ$4=0,0,IF(COUNTIFS(実績!$W$6:$W$505,CQ$3,実績!$AI$6:$AI$505,"&lt;="&amp;$A231,実績!$AJ$6:$AJ$505,"&gt;"&amp;$A231,実績!$AK$6:$AK$505,"○")&gt;0,1,0))</f>
        <v>0</v>
      </c>
      <c r="CR231" s="39" t="n">
        <f aca="false">IF(CR$4=0,0,IF(COUNTIFS(実績!$W$6:$W$505,CR$3,実績!$AI$6:$AI$505,"&lt;="&amp;$A231,実績!$AJ$6:$AJ$505,"&gt;"&amp;$A231,実績!$AK$6:$AK$505,"○")&gt;0,1,0))</f>
        <v>0</v>
      </c>
      <c r="CS231" s="39" t="n">
        <f aca="false">IF(CS$4=0,0,IF(COUNTIFS(実績!$W$6:$W$505,CS$3,実績!$AI$6:$AI$505,"&lt;="&amp;$A231,実績!$AJ$6:$AJ$505,"&gt;"&amp;$A231,実績!$AK$6:$AK$505,"○")&gt;0,1,0))</f>
        <v>0</v>
      </c>
      <c r="CT231" s="39" t="n">
        <f aca="false">IF(CT$4=0,0,IF(COUNTIFS(実績!$W$6:$W$505,CT$3,実績!$AI$6:$AI$505,"&lt;="&amp;$A231,実績!$AJ$6:$AJ$505,"&gt;"&amp;$A231,実績!$AK$6:$AK$505,"○")&gt;0,1,0))</f>
        <v>0</v>
      </c>
      <c r="CU231" s="39" t="n">
        <f aca="false">IF(CU$4=0,0,IF(COUNTIFS(実績!$W$6:$W$505,CU$3,実績!$AI$6:$AI$505,"&lt;="&amp;$A231,実績!$AJ$6:$AJ$505,"&gt;"&amp;$A231,実績!$AK$6:$AK$505,"○")&gt;0,1,0))</f>
        <v>0</v>
      </c>
      <c r="CV231" s="39" t="n">
        <f aca="false">IF(CV$4=0,0,IF(COUNTIFS(実績!$W$6:$W$505,CV$3,実績!$AI$6:$AI$505,"&lt;="&amp;$A231,実績!$AJ$6:$AJ$505,"&gt;"&amp;$A231,実績!$AK$6:$AK$505,"○")&gt;0,1,0))</f>
        <v>0</v>
      </c>
      <c r="CW231" s="39" t="n">
        <f aca="false">IF(CW$4=0,0,IF(COUNTIFS(実績!$W$6:$W$505,CW$3,実績!$AI$6:$AI$505,"&lt;="&amp;$A231,実績!$AJ$6:$AJ$505,"&gt;"&amp;$A231,実績!$AK$6:$AK$505,"○")&gt;0,1,0))</f>
        <v>0</v>
      </c>
      <c r="CX231" s="39" t="n">
        <f aca="false">IF(CX$4=0,0,IF(COUNTIFS(実績!$W$6:$W$505,CX$3,実績!$AI$6:$AI$505,"&lt;="&amp;$A231,実績!$AJ$6:$AJ$505,"&gt;"&amp;$A231,実績!$AK$6:$AK$505,"○")&gt;0,1,0))</f>
        <v>0</v>
      </c>
      <c r="CY231" s="39" t="n">
        <f aca="false">IF(CY$4=0,0,IF(COUNTIFS(実績!$W$6:$W$505,CY$3,実績!$AI$6:$AI$505,"&lt;="&amp;$A231,実績!$AJ$6:$AJ$505,"&gt;"&amp;$A231,実績!$AK$6:$AK$505,"○")&gt;0,1,0))</f>
        <v>0</v>
      </c>
      <c r="CZ231" s="39" t="n">
        <f aca="false">IF(CZ$4=0,0,IF(COUNTIFS(実績!$W$6:$W$505,CZ$3,実績!$AI$6:$AI$505,"&lt;="&amp;$A231,実績!$AJ$6:$AJ$505,"&gt;"&amp;$A231,実績!$AK$6:$AK$505,"○")&gt;0,1,0))</f>
        <v>0</v>
      </c>
      <c r="DA231" s="39" t="n">
        <f aca="false">IF(DA$4=0,0,IF(COUNTIFS(実績!$W$6:$W$505,DA$3,実績!$AI$6:$AI$505,"&lt;="&amp;$A231,実績!$AJ$6:$AJ$505,"&gt;"&amp;$A231,実績!$AK$6:$AK$505,"○")&gt;0,1,0))</f>
        <v>0</v>
      </c>
      <c r="DB231" s="39" t="n">
        <f aca="false">IF(DB$4=0,0,IF(COUNTIFS(実績!$W$6:$W$505,DB$3,実績!$AI$6:$AI$505,"&lt;="&amp;$A231,実績!$AJ$6:$AJ$505,"&gt;"&amp;$A231,実績!$AK$6:$AK$505,"○")&gt;0,1,0))</f>
        <v>0</v>
      </c>
      <c r="DC231" s="39" t="n">
        <f aca="false">IF(DC$4=0,0,IF(COUNTIFS(実績!$W$6:$W$505,DC$3,実績!$AI$6:$AI$505,"&lt;="&amp;$A231,実績!$AJ$6:$AJ$505,"&gt;"&amp;$A231,実績!$AK$6:$AK$505,"○")&gt;0,1,0))</f>
        <v>0</v>
      </c>
      <c r="DD231" s="39" t="n">
        <f aca="false">IF(DD$4=0,0,IF(COUNTIFS(実績!$W$6:$W$505,DD$3,実績!$AI$6:$AI$505,"&lt;="&amp;$A231,実績!$AJ$6:$AJ$505,"&gt;"&amp;$A231,実績!$AK$6:$AK$505,"○")&gt;0,1,0))</f>
        <v>0</v>
      </c>
      <c r="DE231" s="39" t="n">
        <f aca="false">IF(DE$4=0,0,IF(COUNTIFS(実績!$W$6:$W$505,DE$3,実績!$AI$6:$AI$505,"&lt;="&amp;$A231,実績!$AJ$6:$AJ$505,"&gt;"&amp;$A231,実績!$AK$6:$AK$505,"○")&gt;0,1,0))</f>
        <v>0</v>
      </c>
      <c r="DF231" s="39" t="n">
        <f aca="false">IF(DF$4=0,0,IF(COUNTIFS(実績!$W$6:$W$505,DF$3,実績!$AI$6:$AI$505,"&lt;="&amp;$A231,実績!$AJ$6:$AJ$505,"&gt;"&amp;$A231,実績!$AK$6:$AK$505,"○")&gt;0,1,0))</f>
        <v>0</v>
      </c>
      <c r="DG231" s="39" t="n">
        <f aca="false">IF(DG$4=0,0,IF(COUNTIFS(実績!$W$6:$W$505,DG$3,実績!$AI$6:$AI$505,"&lt;="&amp;$A231,実績!$AJ$6:$AJ$505,"&gt;"&amp;$A231,実績!$AK$6:$AK$505,"○")&gt;0,1,0))</f>
        <v>0</v>
      </c>
      <c r="DH231" s="39" t="n">
        <f aca="false">IF(DH$4=0,0,IF(COUNTIFS(実績!$W$6:$W$505,DH$3,実績!$AI$6:$AI$505,"&lt;="&amp;$A231,実績!$AJ$6:$AJ$505,"&gt;"&amp;$A231,実績!$AK$6:$AK$505,"○")&gt;0,1,0))</f>
        <v>0</v>
      </c>
      <c r="DI231" s="39" t="n">
        <f aca="false">IF(DI$4=0,0,IF(COUNTIFS(実績!$W$6:$W$505,DI$3,実績!$AI$6:$AI$505,"&lt;="&amp;$A231,実績!$AJ$6:$AJ$505,"&gt;"&amp;$A231,実績!$AK$6:$AK$505,"○")&gt;0,1,0))</f>
        <v>0</v>
      </c>
      <c r="DJ231" s="39" t="n">
        <f aca="false">IF(DJ$4=0,0,IF(COUNTIFS(実績!$W$6:$W$505,DJ$3,実績!$AI$6:$AI$505,"&lt;="&amp;$A231,実績!$AJ$6:$AJ$505,"&gt;"&amp;$A231,実績!$AK$6:$AK$505,"○")&gt;0,1,0))</f>
        <v>0</v>
      </c>
      <c r="DK231" s="39" t="n">
        <f aca="false">IF(DK$4=0,0,IF(COUNTIFS(実績!$W$6:$W$505,DK$3,実績!$AI$6:$AI$505,"&lt;="&amp;$A231,実績!$AJ$6:$AJ$505,"&gt;"&amp;$A231,実績!$AK$6:$AK$505,"○")&gt;0,1,0))</f>
        <v>0</v>
      </c>
      <c r="DL231" s="39" t="n">
        <f aca="false">IF(DL$4=0,0,IF(COUNTIFS(実績!$W$6:$W$505,DL$3,実績!$AI$6:$AI$505,"&lt;="&amp;$A231,実績!$AJ$6:$AJ$505,"&gt;"&amp;$A231,実績!$AK$6:$AK$505,"○")&gt;0,1,0))</f>
        <v>0</v>
      </c>
      <c r="DM231" s="39" t="n">
        <f aca="false">IF(DM$4=0,0,IF(COUNTIFS(実績!$W$6:$W$505,DM$3,実績!$AI$6:$AI$505,"&lt;="&amp;$A231,実績!$AJ$6:$AJ$505,"&gt;"&amp;$A231,実績!$AK$6:$AK$505,"○")&gt;0,1,0))</f>
        <v>0</v>
      </c>
      <c r="DN231" s="39" t="n">
        <f aca="false">IF(DN$4=0,0,IF(COUNTIFS(実績!$W$6:$W$505,DN$3,実績!$AI$6:$AI$505,"&lt;="&amp;$A231,実績!$AJ$6:$AJ$505,"&gt;"&amp;$A231,実績!$AK$6:$AK$505,"○")&gt;0,1,0))</f>
        <v>0</v>
      </c>
      <c r="DO231" s="39" t="n">
        <f aca="false">IF(DO$4=0,0,IF(COUNTIFS(実績!$W$6:$W$505,DO$3,実績!$AI$6:$AI$505,"&lt;="&amp;$A231,実績!$AJ$6:$AJ$505,"&gt;"&amp;$A231,実績!$AK$6:$AK$505,"○")&gt;0,1,0))</f>
        <v>0</v>
      </c>
      <c r="DP231" s="39" t="n">
        <f aca="false">IF(DP$4=0,0,IF(COUNTIFS(実績!$W$6:$W$505,DP$3,実績!$AI$6:$AI$505,"&lt;="&amp;$A231,実績!$AJ$6:$AJ$505,"&gt;"&amp;$A231,実績!$AK$6:$AK$505,"○")&gt;0,1,0))</f>
        <v>0</v>
      </c>
      <c r="DQ231" s="39" t="n">
        <f aca="false">IF(DQ$4=0,0,IF(COUNTIFS(実績!$W$6:$W$505,DQ$3,実績!$AI$6:$AI$505,"&lt;="&amp;$A231,実績!$AJ$6:$AJ$505,"&gt;"&amp;$A231,実績!$AK$6:$AK$505,"○")&gt;0,1,0))</f>
        <v>0</v>
      </c>
      <c r="DR231" s="39" t="n">
        <f aca="false">IF(DR$4=0,0,IF(COUNTIFS(実績!$W$6:$W$505,DR$3,実績!$AI$6:$AI$505,"&lt;="&amp;$A231,実績!$AJ$6:$AJ$505,"&gt;"&amp;$A231,実績!$AK$6:$AK$505,"○")&gt;0,1,0))</f>
        <v>0</v>
      </c>
      <c r="DS231" s="39" t="n">
        <f aca="false">SUM(C231:DR231)</f>
        <v>0</v>
      </c>
      <c r="DT231" s="39" t="n">
        <f aca="false">SUMPRODUCT((実績!$C$6:$C$505="○")*ISNUMBER(実績!$AM$6:$AM$505)*(実績!$AM$6:$AM$505&lt;=$A231)*(実績!$AN$6:$AN$505&gt;$A231))</f>
        <v>0</v>
      </c>
      <c r="DU231" s="39" t="n">
        <f aca="false">SUMIF($C$2:$DR$2,"製鉄曳船",C231:DR231)</f>
        <v>0</v>
      </c>
      <c r="DV231" s="39" t="n">
        <f aca="false">SUMIF($C$2:$DR$2,"西日本海運",C231:DR231)</f>
        <v>0</v>
      </c>
    </row>
    <row r="232" customFormat="false" ht="15" hidden="false" customHeight="false" outlineLevel="0" collapsed="false">
      <c r="A232" s="0" t="n">
        <v>1130</v>
      </c>
      <c r="B232" s="38" t="n">
        <f aca="false">A232/1440</f>
        <v>0.784722222222222</v>
      </c>
      <c r="C232" s="39" t="n">
        <f aca="false">IF(C$4=0,0,IF(COUNTIFS(実績!$W$6:$W$505,C$3,実績!$AI$6:$AI$505,"&lt;="&amp;$A232,実績!$AJ$6:$AJ$505,"&gt;"&amp;$A232,実績!$AK$6:$AK$505,"○")&gt;0,1,0))</f>
        <v>0</v>
      </c>
      <c r="D232" s="39" t="n">
        <f aca="false">IF(D$4=0,0,IF(COUNTIFS(実績!$W$6:$W$505,D$3,実績!$AI$6:$AI$505,"&lt;="&amp;$A232,実績!$AJ$6:$AJ$505,"&gt;"&amp;$A232,実績!$AK$6:$AK$505,"○")&gt;0,1,0))</f>
        <v>0</v>
      </c>
      <c r="E232" s="39" t="n">
        <f aca="false">IF(E$4=0,0,IF(COUNTIFS(実績!$W$6:$W$505,E$3,実績!$AI$6:$AI$505,"&lt;="&amp;$A232,実績!$AJ$6:$AJ$505,"&gt;"&amp;$A232,実績!$AK$6:$AK$505,"○")&gt;0,1,0))</f>
        <v>0</v>
      </c>
      <c r="F232" s="39" t="n">
        <f aca="false">IF(F$4=0,0,IF(COUNTIFS(実績!$W$6:$W$505,F$3,実績!$AI$6:$AI$505,"&lt;="&amp;$A232,実績!$AJ$6:$AJ$505,"&gt;"&amp;$A232,実績!$AK$6:$AK$505,"○")&gt;0,1,0))</f>
        <v>0</v>
      </c>
      <c r="G232" s="39" t="n">
        <f aca="false">IF(G$4=0,0,IF(COUNTIFS(実績!$W$6:$W$505,G$3,実績!$AI$6:$AI$505,"&lt;="&amp;$A232,実績!$AJ$6:$AJ$505,"&gt;"&amp;$A232,実績!$AK$6:$AK$505,"○")&gt;0,1,0))</f>
        <v>0</v>
      </c>
      <c r="H232" s="39" t="n">
        <f aca="false">IF(H$4=0,0,IF(COUNTIFS(実績!$W$6:$W$505,H$3,実績!$AI$6:$AI$505,"&lt;="&amp;$A232,実績!$AJ$6:$AJ$505,"&gt;"&amp;$A232,実績!$AK$6:$AK$505,"○")&gt;0,1,0))</f>
        <v>0</v>
      </c>
      <c r="I232" s="39" t="n">
        <f aca="false">IF(I$4=0,0,IF(COUNTIFS(実績!$W$6:$W$505,I$3,実績!$AI$6:$AI$505,"&lt;="&amp;$A232,実績!$AJ$6:$AJ$505,"&gt;"&amp;$A232,実績!$AK$6:$AK$505,"○")&gt;0,1,0))</f>
        <v>0</v>
      </c>
      <c r="J232" s="39" t="n">
        <f aca="false">IF(J$4=0,0,IF(COUNTIFS(実績!$W$6:$W$505,J$3,実績!$AI$6:$AI$505,"&lt;="&amp;$A232,実績!$AJ$6:$AJ$505,"&gt;"&amp;$A232,実績!$AK$6:$AK$505,"○")&gt;0,1,0))</f>
        <v>0</v>
      </c>
      <c r="K232" s="39" t="n">
        <f aca="false">IF(K$4=0,0,IF(COUNTIFS(実績!$W$6:$W$505,K$3,実績!$AI$6:$AI$505,"&lt;="&amp;$A232,実績!$AJ$6:$AJ$505,"&gt;"&amp;$A232,実績!$AK$6:$AK$505,"○")&gt;0,1,0))</f>
        <v>0</v>
      </c>
      <c r="L232" s="39" t="n">
        <f aca="false">IF(L$4=0,0,IF(COUNTIFS(実績!$W$6:$W$505,L$3,実績!$AI$6:$AI$505,"&lt;="&amp;$A232,実績!$AJ$6:$AJ$505,"&gt;"&amp;$A232,実績!$AK$6:$AK$505,"○")&gt;0,1,0))</f>
        <v>0</v>
      </c>
      <c r="M232" s="39" t="n">
        <f aca="false">IF(M$4=0,0,IF(COUNTIFS(実績!$W$6:$W$505,M$3,実績!$AI$6:$AI$505,"&lt;="&amp;$A232,実績!$AJ$6:$AJ$505,"&gt;"&amp;$A232,実績!$AK$6:$AK$505,"○")&gt;0,1,0))</f>
        <v>0</v>
      </c>
      <c r="N232" s="39" t="n">
        <f aca="false">IF(N$4=0,0,IF(COUNTIFS(実績!$W$6:$W$505,N$3,実績!$AI$6:$AI$505,"&lt;="&amp;$A232,実績!$AJ$6:$AJ$505,"&gt;"&amp;$A232,実績!$AK$6:$AK$505,"○")&gt;0,1,0))</f>
        <v>0</v>
      </c>
      <c r="O232" s="39" t="n">
        <f aca="false">IF(O$4=0,0,IF(COUNTIFS(実績!$W$6:$W$505,O$3,実績!$AI$6:$AI$505,"&lt;="&amp;$A232,実績!$AJ$6:$AJ$505,"&gt;"&amp;$A232,実績!$AK$6:$AK$505,"○")&gt;0,1,0))</f>
        <v>0</v>
      </c>
      <c r="P232" s="39" t="n">
        <f aca="false">IF(P$4=0,0,IF(COUNTIFS(実績!$W$6:$W$505,P$3,実績!$AI$6:$AI$505,"&lt;="&amp;$A232,実績!$AJ$6:$AJ$505,"&gt;"&amp;$A232,実績!$AK$6:$AK$505,"○")&gt;0,1,0))</f>
        <v>0</v>
      </c>
      <c r="Q232" s="39" t="n">
        <f aca="false">IF(Q$4=0,0,IF(COUNTIFS(実績!$W$6:$W$505,Q$3,実績!$AI$6:$AI$505,"&lt;="&amp;$A232,実績!$AJ$6:$AJ$505,"&gt;"&amp;$A232,実績!$AK$6:$AK$505,"○")&gt;0,1,0))</f>
        <v>0</v>
      </c>
      <c r="R232" s="39" t="n">
        <f aca="false">IF(R$4=0,0,IF(COUNTIFS(実績!$W$6:$W$505,R$3,実績!$AI$6:$AI$505,"&lt;="&amp;$A232,実績!$AJ$6:$AJ$505,"&gt;"&amp;$A232,実績!$AK$6:$AK$505,"○")&gt;0,1,0))</f>
        <v>0</v>
      </c>
      <c r="S232" s="39" t="n">
        <f aca="false">IF(S$4=0,0,IF(COUNTIFS(実績!$W$6:$W$505,S$3,実績!$AI$6:$AI$505,"&lt;="&amp;$A232,実績!$AJ$6:$AJ$505,"&gt;"&amp;$A232,実績!$AK$6:$AK$505,"○")&gt;0,1,0))</f>
        <v>0</v>
      </c>
      <c r="T232" s="39" t="n">
        <f aca="false">IF(T$4=0,0,IF(COUNTIFS(実績!$W$6:$W$505,T$3,実績!$AI$6:$AI$505,"&lt;="&amp;$A232,実績!$AJ$6:$AJ$505,"&gt;"&amp;$A232,実績!$AK$6:$AK$505,"○")&gt;0,1,0))</f>
        <v>0</v>
      </c>
      <c r="U232" s="39" t="n">
        <f aca="false">IF(U$4=0,0,IF(COUNTIFS(実績!$W$6:$W$505,U$3,実績!$AI$6:$AI$505,"&lt;="&amp;$A232,実績!$AJ$6:$AJ$505,"&gt;"&amp;$A232,実績!$AK$6:$AK$505,"○")&gt;0,1,0))</f>
        <v>0</v>
      </c>
      <c r="V232" s="39" t="n">
        <f aca="false">IF(V$4=0,0,IF(COUNTIFS(実績!$W$6:$W$505,V$3,実績!$AI$6:$AI$505,"&lt;="&amp;$A232,実績!$AJ$6:$AJ$505,"&gt;"&amp;$A232,実績!$AK$6:$AK$505,"○")&gt;0,1,0))</f>
        <v>0</v>
      </c>
      <c r="W232" s="39" t="n">
        <f aca="false">IF(W$4=0,0,IF(COUNTIFS(実績!$W$6:$W$505,W$3,実績!$AI$6:$AI$505,"&lt;="&amp;$A232,実績!$AJ$6:$AJ$505,"&gt;"&amp;$A232,実績!$AK$6:$AK$505,"○")&gt;0,1,0))</f>
        <v>0</v>
      </c>
      <c r="X232" s="39" t="n">
        <f aca="false">IF(X$4=0,0,IF(COUNTIFS(実績!$W$6:$W$505,X$3,実績!$AI$6:$AI$505,"&lt;="&amp;$A232,実績!$AJ$6:$AJ$505,"&gt;"&amp;$A232,実績!$AK$6:$AK$505,"○")&gt;0,1,0))</f>
        <v>0</v>
      </c>
      <c r="Y232" s="39" t="n">
        <f aca="false">IF(Y$4=0,0,IF(COUNTIFS(実績!$W$6:$W$505,Y$3,実績!$AI$6:$AI$505,"&lt;="&amp;$A232,実績!$AJ$6:$AJ$505,"&gt;"&amp;$A232,実績!$AK$6:$AK$505,"○")&gt;0,1,0))</f>
        <v>0</v>
      </c>
      <c r="Z232" s="39" t="n">
        <f aca="false">IF(Z$4=0,0,IF(COUNTIFS(実績!$W$6:$W$505,Z$3,実績!$AI$6:$AI$505,"&lt;="&amp;$A232,実績!$AJ$6:$AJ$505,"&gt;"&amp;$A232,実績!$AK$6:$AK$505,"○")&gt;0,1,0))</f>
        <v>0</v>
      </c>
      <c r="AA232" s="39" t="n">
        <f aca="false">IF(AA$4=0,0,IF(COUNTIFS(実績!$W$6:$W$505,AA$3,実績!$AI$6:$AI$505,"&lt;="&amp;$A232,実績!$AJ$6:$AJ$505,"&gt;"&amp;$A232,実績!$AK$6:$AK$505,"○")&gt;0,1,0))</f>
        <v>0</v>
      </c>
      <c r="AB232" s="39" t="n">
        <f aca="false">IF(AB$4=0,0,IF(COUNTIFS(実績!$W$6:$W$505,AB$3,実績!$AI$6:$AI$505,"&lt;="&amp;$A232,実績!$AJ$6:$AJ$505,"&gt;"&amp;$A232,実績!$AK$6:$AK$505,"○")&gt;0,1,0))</f>
        <v>0</v>
      </c>
      <c r="AC232" s="39" t="n">
        <f aca="false">IF(AC$4=0,0,IF(COUNTIFS(実績!$W$6:$W$505,AC$3,実績!$AI$6:$AI$505,"&lt;="&amp;$A232,実績!$AJ$6:$AJ$505,"&gt;"&amp;$A232,実績!$AK$6:$AK$505,"○")&gt;0,1,0))</f>
        <v>0</v>
      </c>
      <c r="AD232" s="39" t="n">
        <f aca="false">IF(AD$4=0,0,IF(COUNTIFS(実績!$W$6:$W$505,AD$3,実績!$AI$6:$AI$505,"&lt;="&amp;$A232,実績!$AJ$6:$AJ$505,"&gt;"&amp;$A232,実績!$AK$6:$AK$505,"○")&gt;0,1,0))</f>
        <v>0</v>
      </c>
      <c r="AE232" s="39" t="n">
        <f aca="false">IF(AE$4=0,0,IF(COUNTIFS(実績!$W$6:$W$505,AE$3,実績!$AI$6:$AI$505,"&lt;="&amp;$A232,実績!$AJ$6:$AJ$505,"&gt;"&amp;$A232,実績!$AK$6:$AK$505,"○")&gt;0,1,0))</f>
        <v>0</v>
      </c>
      <c r="AF232" s="39" t="n">
        <f aca="false">IF(AF$4=0,0,IF(COUNTIFS(実績!$W$6:$W$505,AF$3,実績!$AI$6:$AI$505,"&lt;="&amp;$A232,実績!$AJ$6:$AJ$505,"&gt;"&amp;$A232,実績!$AK$6:$AK$505,"○")&gt;0,1,0))</f>
        <v>0</v>
      </c>
      <c r="AG232" s="39" t="n">
        <f aca="false">IF(AG$4=0,0,IF(COUNTIFS(実績!$W$6:$W$505,AG$3,実績!$AI$6:$AI$505,"&lt;="&amp;$A232,実績!$AJ$6:$AJ$505,"&gt;"&amp;$A232,実績!$AK$6:$AK$505,"○")&gt;0,1,0))</f>
        <v>0</v>
      </c>
      <c r="AH232" s="39" t="n">
        <f aca="false">IF(AH$4=0,0,IF(COUNTIFS(実績!$W$6:$W$505,AH$3,実績!$AI$6:$AI$505,"&lt;="&amp;$A232,実績!$AJ$6:$AJ$505,"&gt;"&amp;$A232,実績!$AK$6:$AK$505,"○")&gt;0,1,0))</f>
        <v>0</v>
      </c>
      <c r="AI232" s="39" t="n">
        <f aca="false">IF(AI$4=0,0,IF(COUNTIFS(実績!$W$6:$W$505,AI$3,実績!$AI$6:$AI$505,"&lt;="&amp;$A232,実績!$AJ$6:$AJ$505,"&gt;"&amp;$A232,実績!$AK$6:$AK$505,"○")&gt;0,1,0))</f>
        <v>0</v>
      </c>
      <c r="AJ232" s="39" t="n">
        <f aca="false">IF(AJ$4=0,0,IF(COUNTIFS(実績!$W$6:$W$505,AJ$3,実績!$AI$6:$AI$505,"&lt;="&amp;$A232,実績!$AJ$6:$AJ$505,"&gt;"&amp;$A232,実績!$AK$6:$AK$505,"○")&gt;0,1,0))</f>
        <v>0</v>
      </c>
      <c r="AK232" s="39" t="n">
        <f aca="false">IF(AK$4=0,0,IF(COUNTIFS(実績!$W$6:$W$505,AK$3,実績!$AI$6:$AI$505,"&lt;="&amp;$A232,実績!$AJ$6:$AJ$505,"&gt;"&amp;$A232,実績!$AK$6:$AK$505,"○")&gt;0,1,0))</f>
        <v>0</v>
      </c>
      <c r="AL232" s="39" t="n">
        <f aca="false">IF(AL$4=0,0,IF(COUNTIFS(実績!$W$6:$W$505,AL$3,実績!$AI$6:$AI$505,"&lt;="&amp;$A232,実績!$AJ$6:$AJ$505,"&gt;"&amp;$A232,実績!$AK$6:$AK$505,"○")&gt;0,1,0))</f>
        <v>0</v>
      </c>
      <c r="AM232" s="39" t="n">
        <f aca="false">IF(AM$4=0,0,IF(COUNTIFS(実績!$W$6:$W$505,AM$3,実績!$AI$6:$AI$505,"&lt;="&amp;$A232,実績!$AJ$6:$AJ$505,"&gt;"&amp;$A232,実績!$AK$6:$AK$505,"○")&gt;0,1,0))</f>
        <v>0</v>
      </c>
      <c r="AN232" s="39" t="n">
        <f aca="false">IF(AN$4=0,0,IF(COUNTIFS(実績!$W$6:$W$505,AN$3,実績!$AI$6:$AI$505,"&lt;="&amp;$A232,実績!$AJ$6:$AJ$505,"&gt;"&amp;$A232,実績!$AK$6:$AK$505,"○")&gt;0,1,0))</f>
        <v>0</v>
      </c>
      <c r="AO232" s="39" t="n">
        <f aca="false">IF(AO$4=0,0,IF(COUNTIFS(実績!$W$6:$W$505,AO$3,実績!$AI$6:$AI$505,"&lt;="&amp;$A232,実績!$AJ$6:$AJ$505,"&gt;"&amp;$A232,実績!$AK$6:$AK$505,"○")&gt;0,1,0))</f>
        <v>0</v>
      </c>
      <c r="AP232" s="39" t="n">
        <f aca="false">IF(AP$4=0,0,IF(COUNTIFS(実績!$W$6:$W$505,AP$3,実績!$AI$6:$AI$505,"&lt;="&amp;$A232,実績!$AJ$6:$AJ$505,"&gt;"&amp;$A232,実績!$AK$6:$AK$505,"○")&gt;0,1,0))</f>
        <v>0</v>
      </c>
      <c r="AQ232" s="39" t="n">
        <f aca="false">IF(AQ$4=0,0,IF(COUNTIFS(実績!$W$6:$W$505,AQ$3,実績!$AI$6:$AI$505,"&lt;="&amp;$A232,実績!$AJ$6:$AJ$505,"&gt;"&amp;$A232,実績!$AK$6:$AK$505,"○")&gt;0,1,0))</f>
        <v>0</v>
      </c>
      <c r="AR232" s="39" t="n">
        <f aca="false">IF(AR$4=0,0,IF(COUNTIFS(実績!$W$6:$W$505,AR$3,実績!$AI$6:$AI$505,"&lt;="&amp;$A232,実績!$AJ$6:$AJ$505,"&gt;"&amp;$A232,実績!$AK$6:$AK$505,"○")&gt;0,1,0))</f>
        <v>0</v>
      </c>
      <c r="AS232" s="39" t="n">
        <f aca="false">IF(AS$4=0,0,IF(COUNTIFS(実績!$W$6:$W$505,AS$3,実績!$AI$6:$AI$505,"&lt;="&amp;$A232,実績!$AJ$6:$AJ$505,"&gt;"&amp;$A232,実績!$AK$6:$AK$505,"○")&gt;0,1,0))</f>
        <v>0</v>
      </c>
      <c r="AT232" s="39" t="n">
        <f aca="false">IF(AT$4=0,0,IF(COUNTIFS(実績!$W$6:$W$505,AT$3,実績!$AI$6:$AI$505,"&lt;="&amp;$A232,実績!$AJ$6:$AJ$505,"&gt;"&amp;$A232,実績!$AK$6:$AK$505,"○")&gt;0,1,0))</f>
        <v>0</v>
      </c>
      <c r="AU232" s="39" t="n">
        <f aca="false">IF(AU$4=0,0,IF(COUNTIFS(実績!$W$6:$W$505,AU$3,実績!$AI$6:$AI$505,"&lt;="&amp;$A232,実績!$AJ$6:$AJ$505,"&gt;"&amp;$A232,実績!$AK$6:$AK$505,"○")&gt;0,1,0))</f>
        <v>0</v>
      </c>
      <c r="AV232" s="39" t="n">
        <f aca="false">IF(AV$4=0,0,IF(COUNTIFS(実績!$W$6:$W$505,AV$3,実績!$AI$6:$AI$505,"&lt;="&amp;$A232,実績!$AJ$6:$AJ$505,"&gt;"&amp;$A232,実績!$AK$6:$AK$505,"○")&gt;0,1,0))</f>
        <v>0</v>
      </c>
      <c r="AW232" s="39" t="n">
        <f aca="false">IF(AW$4=0,0,IF(COUNTIFS(実績!$W$6:$W$505,AW$3,実績!$AI$6:$AI$505,"&lt;="&amp;$A232,実績!$AJ$6:$AJ$505,"&gt;"&amp;$A232,実績!$AK$6:$AK$505,"○")&gt;0,1,0))</f>
        <v>0</v>
      </c>
      <c r="AX232" s="39" t="n">
        <f aca="false">IF(AX$4=0,0,IF(COUNTIFS(実績!$W$6:$W$505,AX$3,実績!$AI$6:$AI$505,"&lt;="&amp;$A232,実績!$AJ$6:$AJ$505,"&gt;"&amp;$A232,実績!$AK$6:$AK$505,"○")&gt;0,1,0))</f>
        <v>0</v>
      </c>
      <c r="AY232" s="39" t="n">
        <f aca="false">IF(AY$4=0,0,IF(COUNTIFS(実績!$W$6:$W$505,AY$3,実績!$AI$6:$AI$505,"&lt;="&amp;$A232,実績!$AJ$6:$AJ$505,"&gt;"&amp;$A232,実績!$AK$6:$AK$505,"○")&gt;0,1,0))</f>
        <v>0</v>
      </c>
      <c r="AZ232" s="39" t="n">
        <f aca="false">IF(AZ$4=0,0,IF(COUNTIFS(実績!$W$6:$W$505,AZ$3,実績!$AI$6:$AI$505,"&lt;="&amp;$A232,実績!$AJ$6:$AJ$505,"&gt;"&amp;$A232,実績!$AK$6:$AK$505,"○")&gt;0,1,0))</f>
        <v>0</v>
      </c>
      <c r="BA232" s="39" t="n">
        <f aca="false">IF(BA$4=0,0,IF(COUNTIFS(実績!$W$6:$W$505,BA$3,実績!$AI$6:$AI$505,"&lt;="&amp;$A232,実績!$AJ$6:$AJ$505,"&gt;"&amp;$A232,実績!$AK$6:$AK$505,"○")&gt;0,1,0))</f>
        <v>0</v>
      </c>
      <c r="BB232" s="39" t="n">
        <f aca="false">IF(BB$4=0,0,IF(COUNTIFS(実績!$W$6:$W$505,BB$3,実績!$AI$6:$AI$505,"&lt;="&amp;$A232,実績!$AJ$6:$AJ$505,"&gt;"&amp;$A232,実績!$AK$6:$AK$505,"○")&gt;0,1,0))</f>
        <v>0</v>
      </c>
      <c r="BC232" s="39" t="n">
        <f aca="false">IF(BC$4=0,0,IF(COUNTIFS(実績!$W$6:$W$505,BC$3,実績!$AI$6:$AI$505,"&lt;="&amp;$A232,実績!$AJ$6:$AJ$505,"&gt;"&amp;$A232,実績!$AK$6:$AK$505,"○")&gt;0,1,0))</f>
        <v>0</v>
      </c>
      <c r="BD232" s="39" t="n">
        <f aca="false">IF(BD$4=0,0,IF(COUNTIFS(実績!$W$6:$W$505,BD$3,実績!$AI$6:$AI$505,"&lt;="&amp;$A232,実績!$AJ$6:$AJ$505,"&gt;"&amp;$A232,実績!$AK$6:$AK$505,"○")&gt;0,1,0))</f>
        <v>0</v>
      </c>
      <c r="BE232" s="39" t="n">
        <f aca="false">IF(BE$4=0,0,IF(COUNTIFS(実績!$W$6:$W$505,BE$3,実績!$AI$6:$AI$505,"&lt;="&amp;$A232,実績!$AJ$6:$AJ$505,"&gt;"&amp;$A232,実績!$AK$6:$AK$505,"○")&gt;0,1,0))</f>
        <v>0</v>
      </c>
      <c r="BF232" s="39" t="n">
        <f aca="false">IF(BF$4=0,0,IF(COUNTIFS(実績!$W$6:$W$505,BF$3,実績!$AI$6:$AI$505,"&lt;="&amp;$A232,実績!$AJ$6:$AJ$505,"&gt;"&amp;$A232,実績!$AK$6:$AK$505,"○")&gt;0,1,0))</f>
        <v>0</v>
      </c>
      <c r="BG232" s="39" t="n">
        <f aca="false">IF(BG$4=0,0,IF(COUNTIFS(実績!$W$6:$W$505,BG$3,実績!$AI$6:$AI$505,"&lt;="&amp;$A232,実績!$AJ$6:$AJ$505,"&gt;"&amp;$A232,実績!$AK$6:$AK$505,"○")&gt;0,1,0))</f>
        <v>0</v>
      </c>
      <c r="BH232" s="39" t="n">
        <f aca="false">IF(BH$4=0,0,IF(COUNTIFS(実績!$W$6:$W$505,BH$3,実績!$AI$6:$AI$505,"&lt;="&amp;$A232,実績!$AJ$6:$AJ$505,"&gt;"&amp;$A232,実績!$AK$6:$AK$505,"○")&gt;0,1,0))</f>
        <v>0</v>
      </c>
      <c r="BI232" s="39" t="n">
        <f aca="false">IF(BI$4=0,0,IF(COUNTIFS(実績!$W$6:$W$505,BI$3,実績!$AI$6:$AI$505,"&lt;="&amp;$A232,実績!$AJ$6:$AJ$505,"&gt;"&amp;$A232,実績!$AK$6:$AK$505,"○")&gt;0,1,0))</f>
        <v>0</v>
      </c>
      <c r="BJ232" s="39" t="n">
        <f aca="false">IF(BJ$4=0,0,IF(COUNTIFS(実績!$W$6:$W$505,BJ$3,実績!$AI$6:$AI$505,"&lt;="&amp;$A232,実績!$AJ$6:$AJ$505,"&gt;"&amp;$A232,実績!$AK$6:$AK$505,"○")&gt;0,1,0))</f>
        <v>0</v>
      </c>
      <c r="BK232" s="39" t="n">
        <f aca="false">IF(BK$4=0,0,IF(COUNTIFS(実績!$W$6:$W$505,BK$3,実績!$AI$6:$AI$505,"&lt;="&amp;$A232,実績!$AJ$6:$AJ$505,"&gt;"&amp;$A232,実績!$AK$6:$AK$505,"○")&gt;0,1,0))</f>
        <v>0</v>
      </c>
      <c r="BL232" s="39" t="n">
        <f aca="false">IF(BL$4=0,0,IF(COUNTIFS(実績!$W$6:$W$505,BL$3,実績!$AI$6:$AI$505,"&lt;="&amp;$A232,実績!$AJ$6:$AJ$505,"&gt;"&amp;$A232,実績!$AK$6:$AK$505,"○")&gt;0,1,0))</f>
        <v>0</v>
      </c>
      <c r="BM232" s="39" t="n">
        <f aca="false">IF(BM$4=0,0,IF(COUNTIFS(実績!$W$6:$W$505,BM$3,実績!$AI$6:$AI$505,"&lt;="&amp;$A232,実績!$AJ$6:$AJ$505,"&gt;"&amp;$A232,実績!$AK$6:$AK$505,"○")&gt;0,1,0))</f>
        <v>0</v>
      </c>
      <c r="BN232" s="39" t="n">
        <f aca="false">IF(BN$4=0,0,IF(COUNTIFS(実績!$W$6:$W$505,BN$3,実績!$AI$6:$AI$505,"&lt;="&amp;$A232,実績!$AJ$6:$AJ$505,"&gt;"&amp;$A232,実績!$AK$6:$AK$505,"○")&gt;0,1,0))</f>
        <v>0</v>
      </c>
      <c r="BO232" s="39" t="n">
        <f aca="false">IF(BO$4=0,0,IF(COUNTIFS(実績!$W$6:$W$505,BO$3,実績!$AI$6:$AI$505,"&lt;="&amp;$A232,実績!$AJ$6:$AJ$505,"&gt;"&amp;$A232,実績!$AK$6:$AK$505,"○")&gt;0,1,0))</f>
        <v>0</v>
      </c>
      <c r="BP232" s="39" t="n">
        <f aca="false">IF(BP$4=0,0,IF(COUNTIFS(実績!$W$6:$W$505,BP$3,実績!$AI$6:$AI$505,"&lt;="&amp;$A232,実績!$AJ$6:$AJ$505,"&gt;"&amp;$A232,実績!$AK$6:$AK$505,"○")&gt;0,1,0))</f>
        <v>0</v>
      </c>
      <c r="BQ232" s="39" t="n">
        <f aca="false">IF(BQ$4=0,0,IF(COUNTIFS(実績!$W$6:$W$505,BQ$3,実績!$AI$6:$AI$505,"&lt;="&amp;$A232,実績!$AJ$6:$AJ$505,"&gt;"&amp;$A232,実績!$AK$6:$AK$505,"○")&gt;0,1,0))</f>
        <v>0</v>
      </c>
      <c r="BR232" s="39" t="n">
        <f aca="false">IF(BR$4=0,0,IF(COUNTIFS(実績!$W$6:$W$505,BR$3,実績!$AI$6:$AI$505,"&lt;="&amp;$A232,実績!$AJ$6:$AJ$505,"&gt;"&amp;$A232,実績!$AK$6:$AK$505,"○")&gt;0,1,0))</f>
        <v>0</v>
      </c>
      <c r="BS232" s="39" t="n">
        <f aca="false">IF(BS$4=0,0,IF(COUNTIFS(実績!$W$6:$W$505,BS$3,実績!$AI$6:$AI$505,"&lt;="&amp;$A232,実績!$AJ$6:$AJ$505,"&gt;"&amp;$A232,実績!$AK$6:$AK$505,"○")&gt;0,1,0))</f>
        <v>0</v>
      </c>
      <c r="BT232" s="39" t="n">
        <f aca="false">IF(BT$4=0,0,IF(COUNTIFS(実績!$W$6:$W$505,BT$3,実績!$AI$6:$AI$505,"&lt;="&amp;$A232,実績!$AJ$6:$AJ$505,"&gt;"&amp;$A232,実績!$AK$6:$AK$505,"○")&gt;0,1,0))</f>
        <v>0</v>
      </c>
      <c r="BU232" s="39" t="n">
        <f aca="false">IF(BU$4=0,0,IF(COUNTIFS(実績!$W$6:$W$505,BU$3,実績!$AI$6:$AI$505,"&lt;="&amp;$A232,実績!$AJ$6:$AJ$505,"&gt;"&amp;$A232,実績!$AK$6:$AK$505,"○")&gt;0,1,0))</f>
        <v>0</v>
      </c>
      <c r="BV232" s="39" t="n">
        <f aca="false">IF(BV$4=0,0,IF(COUNTIFS(実績!$W$6:$W$505,BV$3,実績!$AI$6:$AI$505,"&lt;="&amp;$A232,実績!$AJ$6:$AJ$505,"&gt;"&amp;$A232,実績!$AK$6:$AK$505,"○")&gt;0,1,0))</f>
        <v>0</v>
      </c>
      <c r="BW232" s="39" t="n">
        <f aca="false">IF(BW$4=0,0,IF(COUNTIFS(実績!$W$6:$W$505,BW$3,実績!$AI$6:$AI$505,"&lt;="&amp;$A232,実績!$AJ$6:$AJ$505,"&gt;"&amp;$A232,実績!$AK$6:$AK$505,"○")&gt;0,1,0))</f>
        <v>0</v>
      </c>
      <c r="BX232" s="39" t="n">
        <f aca="false">IF(BX$4=0,0,IF(COUNTIFS(実績!$W$6:$W$505,BX$3,実績!$AI$6:$AI$505,"&lt;="&amp;$A232,実績!$AJ$6:$AJ$505,"&gt;"&amp;$A232,実績!$AK$6:$AK$505,"○")&gt;0,1,0))</f>
        <v>0</v>
      </c>
      <c r="BY232" s="39" t="n">
        <f aca="false">IF(BY$4=0,0,IF(COUNTIFS(実績!$W$6:$W$505,BY$3,実績!$AI$6:$AI$505,"&lt;="&amp;$A232,実績!$AJ$6:$AJ$505,"&gt;"&amp;$A232,実績!$AK$6:$AK$505,"○")&gt;0,1,0))</f>
        <v>0</v>
      </c>
      <c r="BZ232" s="39" t="n">
        <f aca="false">IF(BZ$4=0,0,IF(COUNTIFS(実績!$W$6:$W$505,BZ$3,実績!$AI$6:$AI$505,"&lt;="&amp;$A232,実績!$AJ$6:$AJ$505,"&gt;"&amp;$A232,実績!$AK$6:$AK$505,"○")&gt;0,1,0))</f>
        <v>0</v>
      </c>
      <c r="CA232" s="39" t="n">
        <f aca="false">IF(CA$4=0,0,IF(COUNTIFS(実績!$W$6:$W$505,CA$3,実績!$AI$6:$AI$505,"&lt;="&amp;$A232,実績!$AJ$6:$AJ$505,"&gt;"&amp;$A232,実績!$AK$6:$AK$505,"○")&gt;0,1,0))</f>
        <v>0</v>
      </c>
      <c r="CB232" s="39" t="n">
        <f aca="false">IF(CB$4=0,0,IF(COUNTIFS(実績!$W$6:$W$505,CB$3,実績!$AI$6:$AI$505,"&lt;="&amp;$A232,実績!$AJ$6:$AJ$505,"&gt;"&amp;$A232,実績!$AK$6:$AK$505,"○")&gt;0,1,0))</f>
        <v>0</v>
      </c>
      <c r="CC232" s="39" t="n">
        <f aca="false">IF(CC$4=0,0,IF(COUNTIFS(実績!$W$6:$W$505,CC$3,実績!$AI$6:$AI$505,"&lt;="&amp;$A232,実績!$AJ$6:$AJ$505,"&gt;"&amp;$A232,実績!$AK$6:$AK$505,"○")&gt;0,1,0))</f>
        <v>0</v>
      </c>
      <c r="CD232" s="39" t="n">
        <f aca="false">IF(CD$4=0,0,IF(COUNTIFS(実績!$W$6:$W$505,CD$3,実績!$AI$6:$AI$505,"&lt;="&amp;$A232,実績!$AJ$6:$AJ$505,"&gt;"&amp;$A232,実績!$AK$6:$AK$505,"○")&gt;0,1,0))</f>
        <v>0</v>
      </c>
      <c r="CE232" s="39" t="n">
        <f aca="false">IF(CE$4=0,0,IF(COUNTIFS(実績!$W$6:$W$505,CE$3,実績!$AI$6:$AI$505,"&lt;="&amp;$A232,実績!$AJ$6:$AJ$505,"&gt;"&amp;$A232,実績!$AK$6:$AK$505,"○")&gt;0,1,0))</f>
        <v>0</v>
      </c>
      <c r="CF232" s="39" t="n">
        <f aca="false">IF(CF$4=0,0,IF(COUNTIFS(実績!$W$6:$W$505,CF$3,実績!$AI$6:$AI$505,"&lt;="&amp;$A232,実績!$AJ$6:$AJ$505,"&gt;"&amp;$A232,実績!$AK$6:$AK$505,"○")&gt;0,1,0))</f>
        <v>0</v>
      </c>
      <c r="CG232" s="39" t="n">
        <f aca="false">IF(CG$4=0,0,IF(COUNTIFS(実績!$W$6:$W$505,CG$3,実績!$AI$6:$AI$505,"&lt;="&amp;$A232,実績!$AJ$6:$AJ$505,"&gt;"&amp;$A232,実績!$AK$6:$AK$505,"○")&gt;0,1,0))</f>
        <v>0</v>
      </c>
      <c r="CH232" s="39" t="n">
        <f aca="false">IF(CH$4=0,0,IF(COUNTIFS(実績!$W$6:$W$505,CH$3,実績!$AI$6:$AI$505,"&lt;="&amp;$A232,実績!$AJ$6:$AJ$505,"&gt;"&amp;$A232,実績!$AK$6:$AK$505,"○")&gt;0,1,0))</f>
        <v>0</v>
      </c>
      <c r="CI232" s="39" t="n">
        <f aca="false">IF(CI$4=0,0,IF(COUNTIFS(実績!$W$6:$W$505,CI$3,実績!$AI$6:$AI$505,"&lt;="&amp;$A232,実績!$AJ$6:$AJ$505,"&gt;"&amp;$A232,実績!$AK$6:$AK$505,"○")&gt;0,1,0))</f>
        <v>0</v>
      </c>
      <c r="CJ232" s="39" t="n">
        <f aca="false">IF(CJ$4=0,0,IF(COUNTIFS(実績!$W$6:$W$505,CJ$3,実績!$AI$6:$AI$505,"&lt;="&amp;$A232,実績!$AJ$6:$AJ$505,"&gt;"&amp;$A232,実績!$AK$6:$AK$505,"○")&gt;0,1,0))</f>
        <v>0</v>
      </c>
      <c r="CK232" s="39" t="n">
        <f aca="false">IF(CK$4=0,0,IF(COUNTIFS(実績!$W$6:$W$505,CK$3,実績!$AI$6:$AI$505,"&lt;="&amp;$A232,実績!$AJ$6:$AJ$505,"&gt;"&amp;$A232,実績!$AK$6:$AK$505,"○")&gt;0,1,0))</f>
        <v>0</v>
      </c>
      <c r="CL232" s="39" t="n">
        <f aca="false">IF(CL$4=0,0,IF(COUNTIFS(実績!$W$6:$W$505,CL$3,実績!$AI$6:$AI$505,"&lt;="&amp;$A232,実績!$AJ$6:$AJ$505,"&gt;"&amp;$A232,実績!$AK$6:$AK$505,"○")&gt;0,1,0))</f>
        <v>0</v>
      </c>
      <c r="CM232" s="39" t="n">
        <f aca="false">IF(CM$4=0,0,IF(COUNTIFS(実績!$W$6:$W$505,CM$3,実績!$AI$6:$AI$505,"&lt;="&amp;$A232,実績!$AJ$6:$AJ$505,"&gt;"&amp;$A232,実績!$AK$6:$AK$505,"○")&gt;0,1,0))</f>
        <v>0</v>
      </c>
      <c r="CN232" s="39" t="n">
        <f aca="false">IF(CN$4=0,0,IF(COUNTIFS(実績!$W$6:$W$505,CN$3,実績!$AI$6:$AI$505,"&lt;="&amp;$A232,実績!$AJ$6:$AJ$505,"&gt;"&amp;$A232,実績!$AK$6:$AK$505,"○")&gt;0,1,0))</f>
        <v>0</v>
      </c>
      <c r="CO232" s="39" t="n">
        <f aca="false">IF(CO$4=0,0,IF(COUNTIFS(実績!$W$6:$W$505,CO$3,実績!$AI$6:$AI$505,"&lt;="&amp;$A232,実績!$AJ$6:$AJ$505,"&gt;"&amp;$A232,実績!$AK$6:$AK$505,"○")&gt;0,1,0))</f>
        <v>0</v>
      </c>
      <c r="CP232" s="39" t="n">
        <f aca="false">IF(CP$4=0,0,IF(COUNTIFS(実績!$W$6:$W$505,CP$3,実績!$AI$6:$AI$505,"&lt;="&amp;$A232,実績!$AJ$6:$AJ$505,"&gt;"&amp;$A232,実績!$AK$6:$AK$505,"○")&gt;0,1,0))</f>
        <v>0</v>
      </c>
      <c r="CQ232" s="39" t="n">
        <f aca="false">IF(CQ$4=0,0,IF(COUNTIFS(実績!$W$6:$W$505,CQ$3,実績!$AI$6:$AI$505,"&lt;="&amp;$A232,実績!$AJ$6:$AJ$505,"&gt;"&amp;$A232,実績!$AK$6:$AK$505,"○")&gt;0,1,0))</f>
        <v>0</v>
      </c>
      <c r="CR232" s="39" t="n">
        <f aca="false">IF(CR$4=0,0,IF(COUNTIFS(実績!$W$6:$W$505,CR$3,実績!$AI$6:$AI$505,"&lt;="&amp;$A232,実績!$AJ$6:$AJ$505,"&gt;"&amp;$A232,実績!$AK$6:$AK$505,"○")&gt;0,1,0))</f>
        <v>0</v>
      </c>
      <c r="CS232" s="39" t="n">
        <f aca="false">IF(CS$4=0,0,IF(COUNTIFS(実績!$W$6:$W$505,CS$3,実績!$AI$6:$AI$505,"&lt;="&amp;$A232,実績!$AJ$6:$AJ$505,"&gt;"&amp;$A232,実績!$AK$6:$AK$505,"○")&gt;0,1,0))</f>
        <v>0</v>
      </c>
      <c r="CT232" s="39" t="n">
        <f aca="false">IF(CT$4=0,0,IF(COUNTIFS(実績!$W$6:$W$505,CT$3,実績!$AI$6:$AI$505,"&lt;="&amp;$A232,実績!$AJ$6:$AJ$505,"&gt;"&amp;$A232,実績!$AK$6:$AK$505,"○")&gt;0,1,0))</f>
        <v>0</v>
      </c>
      <c r="CU232" s="39" t="n">
        <f aca="false">IF(CU$4=0,0,IF(COUNTIFS(実績!$W$6:$W$505,CU$3,実績!$AI$6:$AI$505,"&lt;="&amp;$A232,実績!$AJ$6:$AJ$505,"&gt;"&amp;$A232,実績!$AK$6:$AK$505,"○")&gt;0,1,0))</f>
        <v>0</v>
      </c>
      <c r="CV232" s="39" t="n">
        <f aca="false">IF(CV$4=0,0,IF(COUNTIFS(実績!$W$6:$W$505,CV$3,実績!$AI$6:$AI$505,"&lt;="&amp;$A232,実績!$AJ$6:$AJ$505,"&gt;"&amp;$A232,実績!$AK$6:$AK$505,"○")&gt;0,1,0))</f>
        <v>0</v>
      </c>
      <c r="CW232" s="39" t="n">
        <f aca="false">IF(CW$4=0,0,IF(COUNTIFS(実績!$W$6:$W$505,CW$3,実績!$AI$6:$AI$505,"&lt;="&amp;$A232,実績!$AJ$6:$AJ$505,"&gt;"&amp;$A232,実績!$AK$6:$AK$505,"○")&gt;0,1,0))</f>
        <v>0</v>
      </c>
      <c r="CX232" s="39" t="n">
        <f aca="false">IF(CX$4=0,0,IF(COUNTIFS(実績!$W$6:$W$505,CX$3,実績!$AI$6:$AI$505,"&lt;="&amp;$A232,実績!$AJ$6:$AJ$505,"&gt;"&amp;$A232,実績!$AK$6:$AK$505,"○")&gt;0,1,0))</f>
        <v>0</v>
      </c>
      <c r="CY232" s="39" t="n">
        <f aca="false">IF(CY$4=0,0,IF(COUNTIFS(実績!$W$6:$W$505,CY$3,実績!$AI$6:$AI$505,"&lt;="&amp;$A232,実績!$AJ$6:$AJ$505,"&gt;"&amp;$A232,実績!$AK$6:$AK$505,"○")&gt;0,1,0))</f>
        <v>0</v>
      </c>
      <c r="CZ232" s="39" t="n">
        <f aca="false">IF(CZ$4=0,0,IF(COUNTIFS(実績!$W$6:$W$505,CZ$3,実績!$AI$6:$AI$505,"&lt;="&amp;$A232,実績!$AJ$6:$AJ$505,"&gt;"&amp;$A232,実績!$AK$6:$AK$505,"○")&gt;0,1,0))</f>
        <v>0</v>
      </c>
      <c r="DA232" s="39" t="n">
        <f aca="false">IF(DA$4=0,0,IF(COUNTIFS(実績!$W$6:$W$505,DA$3,実績!$AI$6:$AI$505,"&lt;="&amp;$A232,実績!$AJ$6:$AJ$505,"&gt;"&amp;$A232,実績!$AK$6:$AK$505,"○")&gt;0,1,0))</f>
        <v>0</v>
      </c>
      <c r="DB232" s="39" t="n">
        <f aca="false">IF(DB$4=0,0,IF(COUNTIFS(実績!$W$6:$W$505,DB$3,実績!$AI$6:$AI$505,"&lt;="&amp;$A232,実績!$AJ$6:$AJ$505,"&gt;"&amp;$A232,実績!$AK$6:$AK$505,"○")&gt;0,1,0))</f>
        <v>0</v>
      </c>
      <c r="DC232" s="39" t="n">
        <f aca="false">IF(DC$4=0,0,IF(COUNTIFS(実績!$W$6:$W$505,DC$3,実績!$AI$6:$AI$505,"&lt;="&amp;$A232,実績!$AJ$6:$AJ$505,"&gt;"&amp;$A232,実績!$AK$6:$AK$505,"○")&gt;0,1,0))</f>
        <v>0</v>
      </c>
      <c r="DD232" s="39" t="n">
        <f aca="false">IF(DD$4=0,0,IF(COUNTIFS(実績!$W$6:$W$505,DD$3,実績!$AI$6:$AI$505,"&lt;="&amp;$A232,実績!$AJ$6:$AJ$505,"&gt;"&amp;$A232,実績!$AK$6:$AK$505,"○")&gt;0,1,0))</f>
        <v>0</v>
      </c>
      <c r="DE232" s="39" t="n">
        <f aca="false">IF(DE$4=0,0,IF(COUNTIFS(実績!$W$6:$W$505,DE$3,実績!$AI$6:$AI$505,"&lt;="&amp;$A232,実績!$AJ$6:$AJ$505,"&gt;"&amp;$A232,実績!$AK$6:$AK$505,"○")&gt;0,1,0))</f>
        <v>0</v>
      </c>
      <c r="DF232" s="39" t="n">
        <f aca="false">IF(DF$4=0,0,IF(COUNTIFS(実績!$W$6:$W$505,DF$3,実績!$AI$6:$AI$505,"&lt;="&amp;$A232,実績!$AJ$6:$AJ$505,"&gt;"&amp;$A232,実績!$AK$6:$AK$505,"○")&gt;0,1,0))</f>
        <v>0</v>
      </c>
      <c r="DG232" s="39" t="n">
        <f aca="false">IF(DG$4=0,0,IF(COUNTIFS(実績!$W$6:$W$505,DG$3,実績!$AI$6:$AI$505,"&lt;="&amp;$A232,実績!$AJ$6:$AJ$505,"&gt;"&amp;$A232,実績!$AK$6:$AK$505,"○")&gt;0,1,0))</f>
        <v>0</v>
      </c>
      <c r="DH232" s="39" t="n">
        <f aca="false">IF(DH$4=0,0,IF(COUNTIFS(実績!$W$6:$W$505,DH$3,実績!$AI$6:$AI$505,"&lt;="&amp;$A232,実績!$AJ$6:$AJ$505,"&gt;"&amp;$A232,実績!$AK$6:$AK$505,"○")&gt;0,1,0))</f>
        <v>0</v>
      </c>
      <c r="DI232" s="39" t="n">
        <f aca="false">IF(DI$4=0,0,IF(COUNTIFS(実績!$W$6:$W$505,DI$3,実績!$AI$6:$AI$505,"&lt;="&amp;$A232,実績!$AJ$6:$AJ$505,"&gt;"&amp;$A232,実績!$AK$6:$AK$505,"○")&gt;0,1,0))</f>
        <v>0</v>
      </c>
      <c r="DJ232" s="39" t="n">
        <f aca="false">IF(DJ$4=0,0,IF(COUNTIFS(実績!$W$6:$W$505,DJ$3,実績!$AI$6:$AI$505,"&lt;="&amp;$A232,実績!$AJ$6:$AJ$505,"&gt;"&amp;$A232,実績!$AK$6:$AK$505,"○")&gt;0,1,0))</f>
        <v>0</v>
      </c>
      <c r="DK232" s="39" t="n">
        <f aca="false">IF(DK$4=0,0,IF(COUNTIFS(実績!$W$6:$W$505,DK$3,実績!$AI$6:$AI$505,"&lt;="&amp;$A232,実績!$AJ$6:$AJ$505,"&gt;"&amp;$A232,実績!$AK$6:$AK$505,"○")&gt;0,1,0))</f>
        <v>0</v>
      </c>
      <c r="DL232" s="39" t="n">
        <f aca="false">IF(DL$4=0,0,IF(COUNTIFS(実績!$W$6:$W$505,DL$3,実績!$AI$6:$AI$505,"&lt;="&amp;$A232,実績!$AJ$6:$AJ$505,"&gt;"&amp;$A232,実績!$AK$6:$AK$505,"○")&gt;0,1,0))</f>
        <v>0</v>
      </c>
      <c r="DM232" s="39" t="n">
        <f aca="false">IF(DM$4=0,0,IF(COUNTIFS(実績!$W$6:$W$505,DM$3,実績!$AI$6:$AI$505,"&lt;="&amp;$A232,実績!$AJ$6:$AJ$505,"&gt;"&amp;$A232,実績!$AK$6:$AK$505,"○")&gt;0,1,0))</f>
        <v>0</v>
      </c>
      <c r="DN232" s="39" t="n">
        <f aca="false">IF(DN$4=0,0,IF(COUNTIFS(実績!$W$6:$W$505,DN$3,実績!$AI$6:$AI$505,"&lt;="&amp;$A232,実績!$AJ$6:$AJ$505,"&gt;"&amp;$A232,実績!$AK$6:$AK$505,"○")&gt;0,1,0))</f>
        <v>0</v>
      </c>
      <c r="DO232" s="39" t="n">
        <f aca="false">IF(DO$4=0,0,IF(COUNTIFS(実績!$W$6:$W$505,DO$3,実績!$AI$6:$AI$505,"&lt;="&amp;$A232,実績!$AJ$6:$AJ$505,"&gt;"&amp;$A232,実績!$AK$6:$AK$505,"○")&gt;0,1,0))</f>
        <v>0</v>
      </c>
      <c r="DP232" s="39" t="n">
        <f aca="false">IF(DP$4=0,0,IF(COUNTIFS(実績!$W$6:$W$505,DP$3,実績!$AI$6:$AI$505,"&lt;="&amp;$A232,実績!$AJ$6:$AJ$505,"&gt;"&amp;$A232,実績!$AK$6:$AK$505,"○")&gt;0,1,0))</f>
        <v>0</v>
      </c>
      <c r="DQ232" s="39" t="n">
        <f aca="false">IF(DQ$4=0,0,IF(COUNTIFS(実績!$W$6:$W$505,DQ$3,実績!$AI$6:$AI$505,"&lt;="&amp;$A232,実績!$AJ$6:$AJ$505,"&gt;"&amp;$A232,実績!$AK$6:$AK$505,"○")&gt;0,1,0))</f>
        <v>0</v>
      </c>
      <c r="DR232" s="39" t="n">
        <f aca="false">IF(DR$4=0,0,IF(COUNTIFS(実績!$W$6:$W$505,DR$3,実績!$AI$6:$AI$505,"&lt;="&amp;$A232,実績!$AJ$6:$AJ$505,"&gt;"&amp;$A232,実績!$AK$6:$AK$505,"○")&gt;0,1,0))</f>
        <v>0</v>
      </c>
      <c r="DS232" s="39" t="n">
        <f aca="false">SUM(C232:DR232)</f>
        <v>0</v>
      </c>
      <c r="DT232" s="39" t="n">
        <f aca="false">SUMPRODUCT((実績!$C$6:$C$505="○")*ISNUMBER(実績!$AM$6:$AM$505)*(実績!$AM$6:$AM$505&lt;=$A232)*(実績!$AN$6:$AN$505&gt;$A232))</f>
        <v>0</v>
      </c>
      <c r="DU232" s="39" t="n">
        <f aca="false">SUMIF($C$2:$DR$2,"製鉄曳船",C232:DR232)</f>
        <v>0</v>
      </c>
      <c r="DV232" s="39" t="n">
        <f aca="false">SUMIF($C$2:$DR$2,"西日本海運",C232:DR232)</f>
        <v>0</v>
      </c>
    </row>
    <row r="233" customFormat="false" ht="15" hidden="false" customHeight="false" outlineLevel="0" collapsed="false">
      <c r="A233" s="0" t="n">
        <v>1135</v>
      </c>
      <c r="B233" s="38" t="n">
        <f aca="false">A233/1440</f>
        <v>0.788194444444444</v>
      </c>
      <c r="C233" s="39" t="n">
        <f aca="false">IF(C$4=0,0,IF(COUNTIFS(実績!$W$6:$W$505,C$3,実績!$AI$6:$AI$505,"&lt;="&amp;$A233,実績!$AJ$6:$AJ$505,"&gt;"&amp;$A233,実績!$AK$6:$AK$505,"○")&gt;0,1,0))</f>
        <v>0</v>
      </c>
      <c r="D233" s="39" t="n">
        <f aca="false">IF(D$4=0,0,IF(COUNTIFS(実績!$W$6:$W$505,D$3,実績!$AI$6:$AI$505,"&lt;="&amp;$A233,実績!$AJ$6:$AJ$505,"&gt;"&amp;$A233,実績!$AK$6:$AK$505,"○")&gt;0,1,0))</f>
        <v>0</v>
      </c>
      <c r="E233" s="39" t="n">
        <f aca="false">IF(E$4=0,0,IF(COUNTIFS(実績!$W$6:$W$505,E$3,実績!$AI$6:$AI$505,"&lt;="&amp;$A233,実績!$AJ$6:$AJ$505,"&gt;"&amp;$A233,実績!$AK$6:$AK$505,"○")&gt;0,1,0))</f>
        <v>0</v>
      </c>
      <c r="F233" s="39" t="n">
        <f aca="false">IF(F$4=0,0,IF(COUNTIFS(実績!$W$6:$W$505,F$3,実績!$AI$6:$AI$505,"&lt;="&amp;$A233,実績!$AJ$6:$AJ$505,"&gt;"&amp;$A233,実績!$AK$6:$AK$505,"○")&gt;0,1,0))</f>
        <v>0</v>
      </c>
      <c r="G233" s="39" t="n">
        <f aca="false">IF(G$4=0,0,IF(COUNTIFS(実績!$W$6:$W$505,G$3,実績!$AI$6:$AI$505,"&lt;="&amp;$A233,実績!$AJ$6:$AJ$505,"&gt;"&amp;$A233,実績!$AK$6:$AK$505,"○")&gt;0,1,0))</f>
        <v>0</v>
      </c>
      <c r="H233" s="39" t="n">
        <f aca="false">IF(H$4=0,0,IF(COUNTIFS(実績!$W$6:$W$505,H$3,実績!$AI$6:$AI$505,"&lt;="&amp;$A233,実績!$AJ$6:$AJ$505,"&gt;"&amp;$A233,実績!$AK$6:$AK$505,"○")&gt;0,1,0))</f>
        <v>0</v>
      </c>
      <c r="I233" s="39" t="n">
        <f aca="false">IF(I$4=0,0,IF(COUNTIFS(実績!$W$6:$W$505,I$3,実績!$AI$6:$AI$505,"&lt;="&amp;$A233,実績!$AJ$6:$AJ$505,"&gt;"&amp;$A233,実績!$AK$6:$AK$505,"○")&gt;0,1,0))</f>
        <v>0</v>
      </c>
      <c r="J233" s="39" t="n">
        <f aca="false">IF(J$4=0,0,IF(COUNTIFS(実績!$W$6:$W$505,J$3,実績!$AI$6:$AI$505,"&lt;="&amp;$A233,実績!$AJ$6:$AJ$505,"&gt;"&amp;$A233,実績!$AK$6:$AK$505,"○")&gt;0,1,0))</f>
        <v>0</v>
      </c>
      <c r="K233" s="39" t="n">
        <f aca="false">IF(K$4=0,0,IF(COUNTIFS(実績!$W$6:$W$505,K$3,実績!$AI$6:$AI$505,"&lt;="&amp;$A233,実績!$AJ$6:$AJ$505,"&gt;"&amp;$A233,実績!$AK$6:$AK$505,"○")&gt;0,1,0))</f>
        <v>0</v>
      </c>
      <c r="L233" s="39" t="n">
        <f aca="false">IF(L$4=0,0,IF(COUNTIFS(実績!$W$6:$W$505,L$3,実績!$AI$6:$AI$505,"&lt;="&amp;$A233,実績!$AJ$6:$AJ$505,"&gt;"&amp;$A233,実績!$AK$6:$AK$505,"○")&gt;0,1,0))</f>
        <v>0</v>
      </c>
      <c r="M233" s="39" t="n">
        <f aca="false">IF(M$4=0,0,IF(COUNTIFS(実績!$W$6:$W$505,M$3,実績!$AI$6:$AI$505,"&lt;="&amp;$A233,実績!$AJ$6:$AJ$505,"&gt;"&amp;$A233,実績!$AK$6:$AK$505,"○")&gt;0,1,0))</f>
        <v>0</v>
      </c>
      <c r="N233" s="39" t="n">
        <f aca="false">IF(N$4=0,0,IF(COUNTIFS(実績!$W$6:$W$505,N$3,実績!$AI$6:$AI$505,"&lt;="&amp;$A233,実績!$AJ$6:$AJ$505,"&gt;"&amp;$A233,実績!$AK$6:$AK$505,"○")&gt;0,1,0))</f>
        <v>0</v>
      </c>
      <c r="O233" s="39" t="n">
        <f aca="false">IF(O$4=0,0,IF(COUNTIFS(実績!$W$6:$W$505,O$3,実績!$AI$6:$AI$505,"&lt;="&amp;$A233,実績!$AJ$6:$AJ$505,"&gt;"&amp;$A233,実績!$AK$6:$AK$505,"○")&gt;0,1,0))</f>
        <v>0</v>
      </c>
      <c r="P233" s="39" t="n">
        <f aca="false">IF(P$4=0,0,IF(COUNTIFS(実績!$W$6:$W$505,P$3,実績!$AI$6:$AI$505,"&lt;="&amp;$A233,実績!$AJ$6:$AJ$505,"&gt;"&amp;$A233,実績!$AK$6:$AK$505,"○")&gt;0,1,0))</f>
        <v>0</v>
      </c>
      <c r="Q233" s="39" t="n">
        <f aca="false">IF(Q$4=0,0,IF(COUNTIFS(実績!$W$6:$W$505,Q$3,実績!$AI$6:$AI$505,"&lt;="&amp;$A233,実績!$AJ$6:$AJ$505,"&gt;"&amp;$A233,実績!$AK$6:$AK$505,"○")&gt;0,1,0))</f>
        <v>0</v>
      </c>
      <c r="R233" s="39" t="n">
        <f aca="false">IF(R$4=0,0,IF(COUNTIFS(実績!$W$6:$W$505,R$3,実績!$AI$6:$AI$505,"&lt;="&amp;$A233,実績!$AJ$6:$AJ$505,"&gt;"&amp;$A233,実績!$AK$6:$AK$505,"○")&gt;0,1,0))</f>
        <v>0</v>
      </c>
      <c r="S233" s="39" t="n">
        <f aca="false">IF(S$4=0,0,IF(COUNTIFS(実績!$W$6:$W$505,S$3,実績!$AI$6:$AI$505,"&lt;="&amp;$A233,実績!$AJ$6:$AJ$505,"&gt;"&amp;$A233,実績!$AK$6:$AK$505,"○")&gt;0,1,0))</f>
        <v>0</v>
      </c>
      <c r="T233" s="39" t="n">
        <f aca="false">IF(T$4=0,0,IF(COUNTIFS(実績!$W$6:$W$505,T$3,実績!$AI$6:$AI$505,"&lt;="&amp;$A233,実績!$AJ$6:$AJ$505,"&gt;"&amp;$A233,実績!$AK$6:$AK$505,"○")&gt;0,1,0))</f>
        <v>0</v>
      </c>
      <c r="U233" s="39" t="n">
        <f aca="false">IF(U$4=0,0,IF(COUNTIFS(実績!$W$6:$W$505,U$3,実績!$AI$6:$AI$505,"&lt;="&amp;$A233,実績!$AJ$6:$AJ$505,"&gt;"&amp;$A233,実績!$AK$6:$AK$505,"○")&gt;0,1,0))</f>
        <v>0</v>
      </c>
      <c r="V233" s="39" t="n">
        <f aca="false">IF(V$4=0,0,IF(COUNTIFS(実績!$W$6:$W$505,V$3,実績!$AI$6:$AI$505,"&lt;="&amp;$A233,実績!$AJ$6:$AJ$505,"&gt;"&amp;$A233,実績!$AK$6:$AK$505,"○")&gt;0,1,0))</f>
        <v>0</v>
      </c>
      <c r="W233" s="39" t="n">
        <f aca="false">IF(W$4=0,0,IF(COUNTIFS(実績!$W$6:$W$505,W$3,実績!$AI$6:$AI$505,"&lt;="&amp;$A233,実績!$AJ$6:$AJ$505,"&gt;"&amp;$A233,実績!$AK$6:$AK$505,"○")&gt;0,1,0))</f>
        <v>0</v>
      </c>
      <c r="X233" s="39" t="n">
        <f aca="false">IF(X$4=0,0,IF(COUNTIFS(実績!$W$6:$W$505,X$3,実績!$AI$6:$AI$505,"&lt;="&amp;$A233,実績!$AJ$6:$AJ$505,"&gt;"&amp;$A233,実績!$AK$6:$AK$505,"○")&gt;0,1,0))</f>
        <v>0</v>
      </c>
      <c r="Y233" s="39" t="n">
        <f aca="false">IF(Y$4=0,0,IF(COUNTIFS(実績!$W$6:$W$505,Y$3,実績!$AI$6:$AI$505,"&lt;="&amp;$A233,実績!$AJ$6:$AJ$505,"&gt;"&amp;$A233,実績!$AK$6:$AK$505,"○")&gt;0,1,0))</f>
        <v>0</v>
      </c>
      <c r="Z233" s="39" t="n">
        <f aca="false">IF(Z$4=0,0,IF(COUNTIFS(実績!$W$6:$W$505,Z$3,実績!$AI$6:$AI$505,"&lt;="&amp;$A233,実績!$AJ$6:$AJ$505,"&gt;"&amp;$A233,実績!$AK$6:$AK$505,"○")&gt;0,1,0))</f>
        <v>0</v>
      </c>
      <c r="AA233" s="39" t="n">
        <f aca="false">IF(AA$4=0,0,IF(COUNTIFS(実績!$W$6:$W$505,AA$3,実績!$AI$6:$AI$505,"&lt;="&amp;$A233,実績!$AJ$6:$AJ$505,"&gt;"&amp;$A233,実績!$AK$6:$AK$505,"○")&gt;0,1,0))</f>
        <v>0</v>
      </c>
      <c r="AB233" s="39" t="n">
        <f aca="false">IF(AB$4=0,0,IF(COUNTIFS(実績!$W$6:$W$505,AB$3,実績!$AI$6:$AI$505,"&lt;="&amp;$A233,実績!$AJ$6:$AJ$505,"&gt;"&amp;$A233,実績!$AK$6:$AK$505,"○")&gt;0,1,0))</f>
        <v>0</v>
      </c>
      <c r="AC233" s="39" t="n">
        <f aca="false">IF(AC$4=0,0,IF(COUNTIFS(実績!$W$6:$W$505,AC$3,実績!$AI$6:$AI$505,"&lt;="&amp;$A233,実績!$AJ$6:$AJ$505,"&gt;"&amp;$A233,実績!$AK$6:$AK$505,"○")&gt;0,1,0))</f>
        <v>0</v>
      </c>
      <c r="AD233" s="39" t="n">
        <f aca="false">IF(AD$4=0,0,IF(COUNTIFS(実績!$W$6:$W$505,AD$3,実績!$AI$6:$AI$505,"&lt;="&amp;$A233,実績!$AJ$6:$AJ$505,"&gt;"&amp;$A233,実績!$AK$6:$AK$505,"○")&gt;0,1,0))</f>
        <v>0</v>
      </c>
      <c r="AE233" s="39" t="n">
        <f aca="false">IF(AE$4=0,0,IF(COUNTIFS(実績!$W$6:$W$505,AE$3,実績!$AI$6:$AI$505,"&lt;="&amp;$A233,実績!$AJ$6:$AJ$505,"&gt;"&amp;$A233,実績!$AK$6:$AK$505,"○")&gt;0,1,0))</f>
        <v>0</v>
      </c>
      <c r="AF233" s="39" t="n">
        <f aca="false">IF(AF$4=0,0,IF(COUNTIFS(実績!$W$6:$W$505,AF$3,実績!$AI$6:$AI$505,"&lt;="&amp;$A233,実績!$AJ$6:$AJ$505,"&gt;"&amp;$A233,実績!$AK$6:$AK$505,"○")&gt;0,1,0))</f>
        <v>0</v>
      </c>
      <c r="AG233" s="39" t="n">
        <f aca="false">IF(AG$4=0,0,IF(COUNTIFS(実績!$W$6:$W$505,AG$3,実績!$AI$6:$AI$505,"&lt;="&amp;$A233,実績!$AJ$6:$AJ$505,"&gt;"&amp;$A233,実績!$AK$6:$AK$505,"○")&gt;0,1,0))</f>
        <v>0</v>
      </c>
      <c r="AH233" s="39" t="n">
        <f aca="false">IF(AH$4=0,0,IF(COUNTIFS(実績!$W$6:$W$505,AH$3,実績!$AI$6:$AI$505,"&lt;="&amp;$A233,実績!$AJ$6:$AJ$505,"&gt;"&amp;$A233,実績!$AK$6:$AK$505,"○")&gt;0,1,0))</f>
        <v>0</v>
      </c>
      <c r="AI233" s="39" t="n">
        <f aca="false">IF(AI$4=0,0,IF(COUNTIFS(実績!$W$6:$W$505,AI$3,実績!$AI$6:$AI$505,"&lt;="&amp;$A233,実績!$AJ$6:$AJ$505,"&gt;"&amp;$A233,実績!$AK$6:$AK$505,"○")&gt;0,1,0))</f>
        <v>0</v>
      </c>
      <c r="AJ233" s="39" t="n">
        <f aca="false">IF(AJ$4=0,0,IF(COUNTIFS(実績!$W$6:$W$505,AJ$3,実績!$AI$6:$AI$505,"&lt;="&amp;$A233,実績!$AJ$6:$AJ$505,"&gt;"&amp;$A233,実績!$AK$6:$AK$505,"○")&gt;0,1,0))</f>
        <v>0</v>
      </c>
      <c r="AK233" s="39" t="n">
        <f aca="false">IF(AK$4=0,0,IF(COUNTIFS(実績!$W$6:$W$505,AK$3,実績!$AI$6:$AI$505,"&lt;="&amp;$A233,実績!$AJ$6:$AJ$505,"&gt;"&amp;$A233,実績!$AK$6:$AK$505,"○")&gt;0,1,0))</f>
        <v>0</v>
      </c>
      <c r="AL233" s="39" t="n">
        <f aca="false">IF(AL$4=0,0,IF(COUNTIFS(実績!$W$6:$W$505,AL$3,実績!$AI$6:$AI$505,"&lt;="&amp;$A233,実績!$AJ$6:$AJ$505,"&gt;"&amp;$A233,実績!$AK$6:$AK$505,"○")&gt;0,1,0))</f>
        <v>0</v>
      </c>
      <c r="AM233" s="39" t="n">
        <f aca="false">IF(AM$4=0,0,IF(COUNTIFS(実績!$W$6:$W$505,AM$3,実績!$AI$6:$AI$505,"&lt;="&amp;$A233,実績!$AJ$6:$AJ$505,"&gt;"&amp;$A233,実績!$AK$6:$AK$505,"○")&gt;0,1,0))</f>
        <v>0</v>
      </c>
      <c r="AN233" s="39" t="n">
        <f aca="false">IF(AN$4=0,0,IF(COUNTIFS(実績!$W$6:$W$505,AN$3,実績!$AI$6:$AI$505,"&lt;="&amp;$A233,実績!$AJ$6:$AJ$505,"&gt;"&amp;$A233,実績!$AK$6:$AK$505,"○")&gt;0,1,0))</f>
        <v>0</v>
      </c>
      <c r="AO233" s="39" t="n">
        <f aca="false">IF(AO$4=0,0,IF(COUNTIFS(実績!$W$6:$W$505,AO$3,実績!$AI$6:$AI$505,"&lt;="&amp;$A233,実績!$AJ$6:$AJ$505,"&gt;"&amp;$A233,実績!$AK$6:$AK$505,"○")&gt;0,1,0))</f>
        <v>0</v>
      </c>
      <c r="AP233" s="39" t="n">
        <f aca="false">IF(AP$4=0,0,IF(COUNTIFS(実績!$W$6:$W$505,AP$3,実績!$AI$6:$AI$505,"&lt;="&amp;$A233,実績!$AJ$6:$AJ$505,"&gt;"&amp;$A233,実績!$AK$6:$AK$505,"○")&gt;0,1,0))</f>
        <v>0</v>
      </c>
      <c r="AQ233" s="39" t="n">
        <f aca="false">IF(AQ$4=0,0,IF(COUNTIFS(実績!$W$6:$W$505,AQ$3,実績!$AI$6:$AI$505,"&lt;="&amp;$A233,実績!$AJ$6:$AJ$505,"&gt;"&amp;$A233,実績!$AK$6:$AK$505,"○")&gt;0,1,0))</f>
        <v>0</v>
      </c>
      <c r="AR233" s="39" t="n">
        <f aca="false">IF(AR$4=0,0,IF(COUNTIFS(実績!$W$6:$W$505,AR$3,実績!$AI$6:$AI$505,"&lt;="&amp;$A233,実績!$AJ$6:$AJ$505,"&gt;"&amp;$A233,実績!$AK$6:$AK$505,"○")&gt;0,1,0))</f>
        <v>0</v>
      </c>
      <c r="AS233" s="39" t="n">
        <f aca="false">IF(AS$4=0,0,IF(COUNTIFS(実績!$W$6:$W$505,AS$3,実績!$AI$6:$AI$505,"&lt;="&amp;$A233,実績!$AJ$6:$AJ$505,"&gt;"&amp;$A233,実績!$AK$6:$AK$505,"○")&gt;0,1,0))</f>
        <v>0</v>
      </c>
      <c r="AT233" s="39" t="n">
        <f aca="false">IF(AT$4=0,0,IF(COUNTIFS(実績!$W$6:$W$505,AT$3,実績!$AI$6:$AI$505,"&lt;="&amp;$A233,実績!$AJ$6:$AJ$505,"&gt;"&amp;$A233,実績!$AK$6:$AK$505,"○")&gt;0,1,0))</f>
        <v>0</v>
      </c>
      <c r="AU233" s="39" t="n">
        <f aca="false">IF(AU$4=0,0,IF(COUNTIFS(実績!$W$6:$W$505,AU$3,実績!$AI$6:$AI$505,"&lt;="&amp;$A233,実績!$AJ$6:$AJ$505,"&gt;"&amp;$A233,実績!$AK$6:$AK$505,"○")&gt;0,1,0))</f>
        <v>0</v>
      </c>
      <c r="AV233" s="39" t="n">
        <f aca="false">IF(AV$4=0,0,IF(COUNTIFS(実績!$W$6:$W$505,AV$3,実績!$AI$6:$AI$505,"&lt;="&amp;$A233,実績!$AJ$6:$AJ$505,"&gt;"&amp;$A233,実績!$AK$6:$AK$505,"○")&gt;0,1,0))</f>
        <v>0</v>
      </c>
      <c r="AW233" s="39" t="n">
        <f aca="false">IF(AW$4=0,0,IF(COUNTIFS(実績!$W$6:$W$505,AW$3,実績!$AI$6:$AI$505,"&lt;="&amp;$A233,実績!$AJ$6:$AJ$505,"&gt;"&amp;$A233,実績!$AK$6:$AK$505,"○")&gt;0,1,0))</f>
        <v>0</v>
      </c>
      <c r="AX233" s="39" t="n">
        <f aca="false">IF(AX$4=0,0,IF(COUNTIFS(実績!$W$6:$W$505,AX$3,実績!$AI$6:$AI$505,"&lt;="&amp;$A233,実績!$AJ$6:$AJ$505,"&gt;"&amp;$A233,実績!$AK$6:$AK$505,"○")&gt;0,1,0))</f>
        <v>0</v>
      </c>
      <c r="AY233" s="39" t="n">
        <f aca="false">IF(AY$4=0,0,IF(COUNTIFS(実績!$W$6:$W$505,AY$3,実績!$AI$6:$AI$505,"&lt;="&amp;$A233,実績!$AJ$6:$AJ$505,"&gt;"&amp;$A233,実績!$AK$6:$AK$505,"○")&gt;0,1,0))</f>
        <v>0</v>
      </c>
      <c r="AZ233" s="39" t="n">
        <f aca="false">IF(AZ$4=0,0,IF(COUNTIFS(実績!$W$6:$W$505,AZ$3,実績!$AI$6:$AI$505,"&lt;="&amp;$A233,実績!$AJ$6:$AJ$505,"&gt;"&amp;$A233,実績!$AK$6:$AK$505,"○")&gt;0,1,0))</f>
        <v>0</v>
      </c>
      <c r="BA233" s="39" t="n">
        <f aca="false">IF(BA$4=0,0,IF(COUNTIFS(実績!$W$6:$W$505,BA$3,実績!$AI$6:$AI$505,"&lt;="&amp;$A233,実績!$AJ$6:$AJ$505,"&gt;"&amp;$A233,実績!$AK$6:$AK$505,"○")&gt;0,1,0))</f>
        <v>0</v>
      </c>
      <c r="BB233" s="39" t="n">
        <f aca="false">IF(BB$4=0,0,IF(COUNTIFS(実績!$W$6:$W$505,BB$3,実績!$AI$6:$AI$505,"&lt;="&amp;$A233,実績!$AJ$6:$AJ$505,"&gt;"&amp;$A233,実績!$AK$6:$AK$505,"○")&gt;0,1,0))</f>
        <v>0</v>
      </c>
      <c r="BC233" s="39" t="n">
        <f aca="false">IF(BC$4=0,0,IF(COUNTIFS(実績!$W$6:$W$505,BC$3,実績!$AI$6:$AI$505,"&lt;="&amp;$A233,実績!$AJ$6:$AJ$505,"&gt;"&amp;$A233,実績!$AK$6:$AK$505,"○")&gt;0,1,0))</f>
        <v>0</v>
      </c>
      <c r="BD233" s="39" t="n">
        <f aca="false">IF(BD$4=0,0,IF(COUNTIFS(実績!$W$6:$W$505,BD$3,実績!$AI$6:$AI$505,"&lt;="&amp;$A233,実績!$AJ$6:$AJ$505,"&gt;"&amp;$A233,実績!$AK$6:$AK$505,"○")&gt;0,1,0))</f>
        <v>0</v>
      </c>
      <c r="BE233" s="39" t="n">
        <f aca="false">IF(BE$4=0,0,IF(COUNTIFS(実績!$W$6:$W$505,BE$3,実績!$AI$6:$AI$505,"&lt;="&amp;$A233,実績!$AJ$6:$AJ$505,"&gt;"&amp;$A233,実績!$AK$6:$AK$505,"○")&gt;0,1,0))</f>
        <v>0</v>
      </c>
      <c r="BF233" s="39" t="n">
        <f aca="false">IF(BF$4=0,0,IF(COUNTIFS(実績!$W$6:$W$505,BF$3,実績!$AI$6:$AI$505,"&lt;="&amp;$A233,実績!$AJ$6:$AJ$505,"&gt;"&amp;$A233,実績!$AK$6:$AK$505,"○")&gt;0,1,0))</f>
        <v>0</v>
      </c>
      <c r="BG233" s="39" t="n">
        <f aca="false">IF(BG$4=0,0,IF(COUNTIFS(実績!$W$6:$W$505,BG$3,実績!$AI$6:$AI$505,"&lt;="&amp;$A233,実績!$AJ$6:$AJ$505,"&gt;"&amp;$A233,実績!$AK$6:$AK$505,"○")&gt;0,1,0))</f>
        <v>0</v>
      </c>
      <c r="BH233" s="39" t="n">
        <f aca="false">IF(BH$4=0,0,IF(COUNTIFS(実績!$W$6:$W$505,BH$3,実績!$AI$6:$AI$505,"&lt;="&amp;$A233,実績!$AJ$6:$AJ$505,"&gt;"&amp;$A233,実績!$AK$6:$AK$505,"○")&gt;0,1,0))</f>
        <v>0</v>
      </c>
      <c r="BI233" s="39" t="n">
        <f aca="false">IF(BI$4=0,0,IF(COUNTIFS(実績!$W$6:$W$505,BI$3,実績!$AI$6:$AI$505,"&lt;="&amp;$A233,実績!$AJ$6:$AJ$505,"&gt;"&amp;$A233,実績!$AK$6:$AK$505,"○")&gt;0,1,0))</f>
        <v>0</v>
      </c>
      <c r="BJ233" s="39" t="n">
        <f aca="false">IF(BJ$4=0,0,IF(COUNTIFS(実績!$W$6:$W$505,BJ$3,実績!$AI$6:$AI$505,"&lt;="&amp;$A233,実績!$AJ$6:$AJ$505,"&gt;"&amp;$A233,実績!$AK$6:$AK$505,"○")&gt;0,1,0))</f>
        <v>0</v>
      </c>
      <c r="BK233" s="39" t="n">
        <f aca="false">IF(BK$4=0,0,IF(COUNTIFS(実績!$W$6:$W$505,BK$3,実績!$AI$6:$AI$505,"&lt;="&amp;$A233,実績!$AJ$6:$AJ$505,"&gt;"&amp;$A233,実績!$AK$6:$AK$505,"○")&gt;0,1,0))</f>
        <v>0</v>
      </c>
      <c r="BL233" s="39" t="n">
        <f aca="false">IF(BL$4=0,0,IF(COUNTIFS(実績!$W$6:$W$505,BL$3,実績!$AI$6:$AI$505,"&lt;="&amp;$A233,実績!$AJ$6:$AJ$505,"&gt;"&amp;$A233,実績!$AK$6:$AK$505,"○")&gt;0,1,0))</f>
        <v>0</v>
      </c>
      <c r="BM233" s="39" t="n">
        <f aca="false">IF(BM$4=0,0,IF(COUNTIFS(実績!$W$6:$W$505,BM$3,実績!$AI$6:$AI$505,"&lt;="&amp;$A233,実績!$AJ$6:$AJ$505,"&gt;"&amp;$A233,実績!$AK$6:$AK$505,"○")&gt;0,1,0))</f>
        <v>0</v>
      </c>
      <c r="BN233" s="39" t="n">
        <f aca="false">IF(BN$4=0,0,IF(COUNTIFS(実績!$W$6:$W$505,BN$3,実績!$AI$6:$AI$505,"&lt;="&amp;$A233,実績!$AJ$6:$AJ$505,"&gt;"&amp;$A233,実績!$AK$6:$AK$505,"○")&gt;0,1,0))</f>
        <v>0</v>
      </c>
      <c r="BO233" s="39" t="n">
        <f aca="false">IF(BO$4=0,0,IF(COUNTIFS(実績!$W$6:$W$505,BO$3,実績!$AI$6:$AI$505,"&lt;="&amp;$A233,実績!$AJ$6:$AJ$505,"&gt;"&amp;$A233,実績!$AK$6:$AK$505,"○")&gt;0,1,0))</f>
        <v>0</v>
      </c>
      <c r="BP233" s="39" t="n">
        <f aca="false">IF(BP$4=0,0,IF(COUNTIFS(実績!$W$6:$W$505,BP$3,実績!$AI$6:$AI$505,"&lt;="&amp;$A233,実績!$AJ$6:$AJ$505,"&gt;"&amp;$A233,実績!$AK$6:$AK$505,"○")&gt;0,1,0))</f>
        <v>0</v>
      </c>
      <c r="BQ233" s="39" t="n">
        <f aca="false">IF(BQ$4=0,0,IF(COUNTIFS(実績!$W$6:$W$505,BQ$3,実績!$AI$6:$AI$505,"&lt;="&amp;$A233,実績!$AJ$6:$AJ$505,"&gt;"&amp;$A233,実績!$AK$6:$AK$505,"○")&gt;0,1,0))</f>
        <v>0</v>
      </c>
      <c r="BR233" s="39" t="n">
        <f aca="false">IF(BR$4=0,0,IF(COUNTIFS(実績!$W$6:$W$505,BR$3,実績!$AI$6:$AI$505,"&lt;="&amp;$A233,実績!$AJ$6:$AJ$505,"&gt;"&amp;$A233,実績!$AK$6:$AK$505,"○")&gt;0,1,0))</f>
        <v>0</v>
      </c>
      <c r="BS233" s="39" t="n">
        <f aca="false">IF(BS$4=0,0,IF(COUNTIFS(実績!$W$6:$W$505,BS$3,実績!$AI$6:$AI$505,"&lt;="&amp;$A233,実績!$AJ$6:$AJ$505,"&gt;"&amp;$A233,実績!$AK$6:$AK$505,"○")&gt;0,1,0))</f>
        <v>0</v>
      </c>
      <c r="BT233" s="39" t="n">
        <f aca="false">IF(BT$4=0,0,IF(COUNTIFS(実績!$W$6:$W$505,BT$3,実績!$AI$6:$AI$505,"&lt;="&amp;$A233,実績!$AJ$6:$AJ$505,"&gt;"&amp;$A233,実績!$AK$6:$AK$505,"○")&gt;0,1,0))</f>
        <v>0</v>
      </c>
      <c r="BU233" s="39" t="n">
        <f aca="false">IF(BU$4=0,0,IF(COUNTIFS(実績!$W$6:$W$505,BU$3,実績!$AI$6:$AI$505,"&lt;="&amp;$A233,実績!$AJ$6:$AJ$505,"&gt;"&amp;$A233,実績!$AK$6:$AK$505,"○")&gt;0,1,0))</f>
        <v>0</v>
      </c>
      <c r="BV233" s="39" t="n">
        <f aca="false">IF(BV$4=0,0,IF(COUNTIFS(実績!$W$6:$W$505,BV$3,実績!$AI$6:$AI$505,"&lt;="&amp;$A233,実績!$AJ$6:$AJ$505,"&gt;"&amp;$A233,実績!$AK$6:$AK$505,"○")&gt;0,1,0))</f>
        <v>0</v>
      </c>
      <c r="BW233" s="39" t="n">
        <f aca="false">IF(BW$4=0,0,IF(COUNTIFS(実績!$W$6:$W$505,BW$3,実績!$AI$6:$AI$505,"&lt;="&amp;$A233,実績!$AJ$6:$AJ$505,"&gt;"&amp;$A233,実績!$AK$6:$AK$505,"○")&gt;0,1,0))</f>
        <v>0</v>
      </c>
      <c r="BX233" s="39" t="n">
        <f aca="false">IF(BX$4=0,0,IF(COUNTIFS(実績!$W$6:$W$505,BX$3,実績!$AI$6:$AI$505,"&lt;="&amp;$A233,実績!$AJ$6:$AJ$505,"&gt;"&amp;$A233,実績!$AK$6:$AK$505,"○")&gt;0,1,0))</f>
        <v>0</v>
      </c>
      <c r="BY233" s="39" t="n">
        <f aca="false">IF(BY$4=0,0,IF(COUNTIFS(実績!$W$6:$W$505,BY$3,実績!$AI$6:$AI$505,"&lt;="&amp;$A233,実績!$AJ$6:$AJ$505,"&gt;"&amp;$A233,実績!$AK$6:$AK$505,"○")&gt;0,1,0))</f>
        <v>0</v>
      </c>
      <c r="BZ233" s="39" t="n">
        <f aca="false">IF(BZ$4=0,0,IF(COUNTIFS(実績!$W$6:$W$505,BZ$3,実績!$AI$6:$AI$505,"&lt;="&amp;$A233,実績!$AJ$6:$AJ$505,"&gt;"&amp;$A233,実績!$AK$6:$AK$505,"○")&gt;0,1,0))</f>
        <v>0</v>
      </c>
      <c r="CA233" s="39" t="n">
        <f aca="false">IF(CA$4=0,0,IF(COUNTIFS(実績!$W$6:$W$505,CA$3,実績!$AI$6:$AI$505,"&lt;="&amp;$A233,実績!$AJ$6:$AJ$505,"&gt;"&amp;$A233,実績!$AK$6:$AK$505,"○")&gt;0,1,0))</f>
        <v>0</v>
      </c>
      <c r="CB233" s="39" t="n">
        <f aca="false">IF(CB$4=0,0,IF(COUNTIFS(実績!$W$6:$W$505,CB$3,実績!$AI$6:$AI$505,"&lt;="&amp;$A233,実績!$AJ$6:$AJ$505,"&gt;"&amp;$A233,実績!$AK$6:$AK$505,"○")&gt;0,1,0))</f>
        <v>0</v>
      </c>
      <c r="CC233" s="39" t="n">
        <f aca="false">IF(CC$4=0,0,IF(COUNTIFS(実績!$W$6:$W$505,CC$3,実績!$AI$6:$AI$505,"&lt;="&amp;$A233,実績!$AJ$6:$AJ$505,"&gt;"&amp;$A233,実績!$AK$6:$AK$505,"○")&gt;0,1,0))</f>
        <v>0</v>
      </c>
      <c r="CD233" s="39" t="n">
        <f aca="false">IF(CD$4=0,0,IF(COUNTIFS(実績!$W$6:$W$505,CD$3,実績!$AI$6:$AI$505,"&lt;="&amp;$A233,実績!$AJ$6:$AJ$505,"&gt;"&amp;$A233,実績!$AK$6:$AK$505,"○")&gt;0,1,0))</f>
        <v>0</v>
      </c>
      <c r="CE233" s="39" t="n">
        <f aca="false">IF(CE$4=0,0,IF(COUNTIFS(実績!$W$6:$W$505,CE$3,実績!$AI$6:$AI$505,"&lt;="&amp;$A233,実績!$AJ$6:$AJ$505,"&gt;"&amp;$A233,実績!$AK$6:$AK$505,"○")&gt;0,1,0))</f>
        <v>0</v>
      </c>
      <c r="CF233" s="39" t="n">
        <f aca="false">IF(CF$4=0,0,IF(COUNTIFS(実績!$W$6:$W$505,CF$3,実績!$AI$6:$AI$505,"&lt;="&amp;$A233,実績!$AJ$6:$AJ$505,"&gt;"&amp;$A233,実績!$AK$6:$AK$505,"○")&gt;0,1,0))</f>
        <v>0</v>
      </c>
      <c r="CG233" s="39" t="n">
        <f aca="false">IF(CG$4=0,0,IF(COUNTIFS(実績!$W$6:$W$505,CG$3,実績!$AI$6:$AI$505,"&lt;="&amp;$A233,実績!$AJ$6:$AJ$505,"&gt;"&amp;$A233,実績!$AK$6:$AK$505,"○")&gt;0,1,0))</f>
        <v>0</v>
      </c>
      <c r="CH233" s="39" t="n">
        <f aca="false">IF(CH$4=0,0,IF(COUNTIFS(実績!$W$6:$W$505,CH$3,実績!$AI$6:$AI$505,"&lt;="&amp;$A233,実績!$AJ$6:$AJ$505,"&gt;"&amp;$A233,実績!$AK$6:$AK$505,"○")&gt;0,1,0))</f>
        <v>0</v>
      </c>
      <c r="CI233" s="39" t="n">
        <f aca="false">IF(CI$4=0,0,IF(COUNTIFS(実績!$W$6:$W$505,CI$3,実績!$AI$6:$AI$505,"&lt;="&amp;$A233,実績!$AJ$6:$AJ$505,"&gt;"&amp;$A233,実績!$AK$6:$AK$505,"○")&gt;0,1,0))</f>
        <v>0</v>
      </c>
      <c r="CJ233" s="39" t="n">
        <f aca="false">IF(CJ$4=0,0,IF(COUNTIFS(実績!$W$6:$W$505,CJ$3,実績!$AI$6:$AI$505,"&lt;="&amp;$A233,実績!$AJ$6:$AJ$505,"&gt;"&amp;$A233,実績!$AK$6:$AK$505,"○")&gt;0,1,0))</f>
        <v>0</v>
      </c>
      <c r="CK233" s="39" t="n">
        <f aca="false">IF(CK$4=0,0,IF(COUNTIFS(実績!$W$6:$W$505,CK$3,実績!$AI$6:$AI$505,"&lt;="&amp;$A233,実績!$AJ$6:$AJ$505,"&gt;"&amp;$A233,実績!$AK$6:$AK$505,"○")&gt;0,1,0))</f>
        <v>0</v>
      </c>
      <c r="CL233" s="39" t="n">
        <f aca="false">IF(CL$4=0,0,IF(COUNTIFS(実績!$W$6:$W$505,CL$3,実績!$AI$6:$AI$505,"&lt;="&amp;$A233,実績!$AJ$6:$AJ$505,"&gt;"&amp;$A233,実績!$AK$6:$AK$505,"○")&gt;0,1,0))</f>
        <v>0</v>
      </c>
      <c r="CM233" s="39" t="n">
        <f aca="false">IF(CM$4=0,0,IF(COUNTIFS(実績!$W$6:$W$505,CM$3,実績!$AI$6:$AI$505,"&lt;="&amp;$A233,実績!$AJ$6:$AJ$505,"&gt;"&amp;$A233,実績!$AK$6:$AK$505,"○")&gt;0,1,0))</f>
        <v>0</v>
      </c>
      <c r="CN233" s="39" t="n">
        <f aca="false">IF(CN$4=0,0,IF(COUNTIFS(実績!$W$6:$W$505,CN$3,実績!$AI$6:$AI$505,"&lt;="&amp;$A233,実績!$AJ$6:$AJ$505,"&gt;"&amp;$A233,実績!$AK$6:$AK$505,"○")&gt;0,1,0))</f>
        <v>0</v>
      </c>
      <c r="CO233" s="39" t="n">
        <f aca="false">IF(CO$4=0,0,IF(COUNTIFS(実績!$W$6:$W$505,CO$3,実績!$AI$6:$AI$505,"&lt;="&amp;$A233,実績!$AJ$6:$AJ$505,"&gt;"&amp;$A233,実績!$AK$6:$AK$505,"○")&gt;0,1,0))</f>
        <v>0</v>
      </c>
      <c r="CP233" s="39" t="n">
        <f aca="false">IF(CP$4=0,0,IF(COUNTIFS(実績!$W$6:$W$505,CP$3,実績!$AI$6:$AI$505,"&lt;="&amp;$A233,実績!$AJ$6:$AJ$505,"&gt;"&amp;$A233,実績!$AK$6:$AK$505,"○")&gt;0,1,0))</f>
        <v>0</v>
      </c>
      <c r="CQ233" s="39" t="n">
        <f aca="false">IF(CQ$4=0,0,IF(COUNTIFS(実績!$W$6:$W$505,CQ$3,実績!$AI$6:$AI$505,"&lt;="&amp;$A233,実績!$AJ$6:$AJ$505,"&gt;"&amp;$A233,実績!$AK$6:$AK$505,"○")&gt;0,1,0))</f>
        <v>0</v>
      </c>
      <c r="CR233" s="39" t="n">
        <f aca="false">IF(CR$4=0,0,IF(COUNTIFS(実績!$W$6:$W$505,CR$3,実績!$AI$6:$AI$505,"&lt;="&amp;$A233,実績!$AJ$6:$AJ$505,"&gt;"&amp;$A233,実績!$AK$6:$AK$505,"○")&gt;0,1,0))</f>
        <v>0</v>
      </c>
      <c r="CS233" s="39" t="n">
        <f aca="false">IF(CS$4=0,0,IF(COUNTIFS(実績!$W$6:$W$505,CS$3,実績!$AI$6:$AI$505,"&lt;="&amp;$A233,実績!$AJ$6:$AJ$505,"&gt;"&amp;$A233,実績!$AK$6:$AK$505,"○")&gt;0,1,0))</f>
        <v>0</v>
      </c>
      <c r="CT233" s="39" t="n">
        <f aca="false">IF(CT$4=0,0,IF(COUNTIFS(実績!$W$6:$W$505,CT$3,実績!$AI$6:$AI$505,"&lt;="&amp;$A233,実績!$AJ$6:$AJ$505,"&gt;"&amp;$A233,実績!$AK$6:$AK$505,"○")&gt;0,1,0))</f>
        <v>0</v>
      </c>
      <c r="CU233" s="39" t="n">
        <f aca="false">IF(CU$4=0,0,IF(COUNTIFS(実績!$W$6:$W$505,CU$3,実績!$AI$6:$AI$505,"&lt;="&amp;$A233,実績!$AJ$6:$AJ$505,"&gt;"&amp;$A233,実績!$AK$6:$AK$505,"○")&gt;0,1,0))</f>
        <v>0</v>
      </c>
      <c r="CV233" s="39" t="n">
        <f aca="false">IF(CV$4=0,0,IF(COUNTIFS(実績!$W$6:$W$505,CV$3,実績!$AI$6:$AI$505,"&lt;="&amp;$A233,実績!$AJ$6:$AJ$505,"&gt;"&amp;$A233,実績!$AK$6:$AK$505,"○")&gt;0,1,0))</f>
        <v>0</v>
      </c>
      <c r="CW233" s="39" t="n">
        <f aca="false">IF(CW$4=0,0,IF(COUNTIFS(実績!$W$6:$W$505,CW$3,実績!$AI$6:$AI$505,"&lt;="&amp;$A233,実績!$AJ$6:$AJ$505,"&gt;"&amp;$A233,実績!$AK$6:$AK$505,"○")&gt;0,1,0))</f>
        <v>0</v>
      </c>
      <c r="CX233" s="39" t="n">
        <f aca="false">IF(CX$4=0,0,IF(COUNTIFS(実績!$W$6:$W$505,CX$3,実績!$AI$6:$AI$505,"&lt;="&amp;$A233,実績!$AJ$6:$AJ$505,"&gt;"&amp;$A233,実績!$AK$6:$AK$505,"○")&gt;0,1,0))</f>
        <v>0</v>
      </c>
      <c r="CY233" s="39" t="n">
        <f aca="false">IF(CY$4=0,0,IF(COUNTIFS(実績!$W$6:$W$505,CY$3,実績!$AI$6:$AI$505,"&lt;="&amp;$A233,実績!$AJ$6:$AJ$505,"&gt;"&amp;$A233,実績!$AK$6:$AK$505,"○")&gt;0,1,0))</f>
        <v>0</v>
      </c>
      <c r="CZ233" s="39" t="n">
        <f aca="false">IF(CZ$4=0,0,IF(COUNTIFS(実績!$W$6:$W$505,CZ$3,実績!$AI$6:$AI$505,"&lt;="&amp;$A233,実績!$AJ$6:$AJ$505,"&gt;"&amp;$A233,実績!$AK$6:$AK$505,"○")&gt;0,1,0))</f>
        <v>0</v>
      </c>
      <c r="DA233" s="39" t="n">
        <f aca="false">IF(DA$4=0,0,IF(COUNTIFS(実績!$W$6:$W$505,DA$3,実績!$AI$6:$AI$505,"&lt;="&amp;$A233,実績!$AJ$6:$AJ$505,"&gt;"&amp;$A233,実績!$AK$6:$AK$505,"○")&gt;0,1,0))</f>
        <v>0</v>
      </c>
      <c r="DB233" s="39" t="n">
        <f aca="false">IF(DB$4=0,0,IF(COUNTIFS(実績!$W$6:$W$505,DB$3,実績!$AI$6:$AI$505,"&lt;="&amp;$A233,実績!$AJ$6:$AJ$505,"&gt;"&amp;$A233,実績!$AK$6:$AK$505,"○")&gt;0,1,0))</f>
        <v>0</v>
      </c>
      <c r="DC233" s="39" t="n">
        <f aca="false">IF(DC$4=0,0,IF(COUNTIFS(実績!$W$6:$W$505,DC$3,実績!$AI$6:$AI$505,"&lt;="&amp;$A233,実績!$AJ$6:$AJ$505,"&gt;"&amp;$A233,実績!$AK$6:$AK$505,"○")&gt;0,1,0))</f>
        <v>0</v>
      </c>
      <c r="DD233" s="39" t="n">
        <f aca="false">IF(DD$4=0,0,IF(COUNTIFS(実績!$W$6:$W$505,DD$3,実績!$AI$6:$AI$505,"&lt;="&amp;$A233,実績!$AJ$6:$AJ$505,"&gt;"&amp;$A233,実績!$AK$6:$AK$505,"○")&gt;0,1,0))</f>
        <v>0</v>
      </c>
      <c r="DE233" s="39" t="n">
        <f aca="false">IF(DE$4=0,0,IF(COUNTIFS(実績!$W$6:$W$505,DE$3,実績!$AI$6:$AI$505,"&lt;="&amp;$A233,実績!$AJ$6:$AJ$505,"&gt;"&amp;$A233,実績!$AK$6:$AK$505,"○")&gt;0,1,0))</f>
        <v>0</v>
      </c>
      <c r="DF233" s="39" t="n">
        <f aca="false">IF(DF$4=0,0,IF(COUNTIFS(実績!$W$6:$W$505,DF$3,実績!$AI$6:$AI$505,"&lt;="&amp;$A233,実績!$AJ$6:$AJ$505,"&gt;"&amp;$A233,実績!$AK$6:$AK$505,"○")&gt;0,1,0))</f>
        <v>0</v>
      </c>
      <c r="DG233" s="39" t="n">
        <f aca="false">IF(DG$4=0,0,IF(COUNTIFS(実績!$W$6:$W$505,DG$3,実績!$AI$6:$AI$505,"&lt;="&amp;$A233,実績!$AJ$6:$AJ$505,"&gt;"&amp;$A233,実績!$AK$6:$AK$505,"○")&gt;0,1,0))</f>
        <v>0</v>
      </c>
      <c r="DH233" s="39" t="n">
        <f aca="false">IF(DH$4=0,0,IF(COUNTIFS(実績!$W$6:$W$505,DH$3,実績!$AI$6:$AI$505,"&lt;="&amp;$A233,実績!$AJ$6:$AJ$505,"&gt;"&amp;$A233,実績!$AK$6:$AK$505,"○")&gt;0,1,0))</f>
        <v>0</v>
      </c>
      <c r="DI233" s="39" t="n">
        <f aca="false">IF(DI$4=0,0,IF(COUNTIFS(実績!$W$6:$W$505,DI$3,実績!$AI$6:$AI$505,"&lt;="&amp;$A233,実績!$AJ$6:$AJ$505,"&gt;"&amp;$A233,実績!$AK$6:$AK$505,"○")&gt;0,1,0))</f>
        <v>0</v>
      </c>
      <c r="DJ233" s="39" t="n">
        <f aca="false">IF(DJ$4=0,0,IF(COUNTIFS(実績!$W$6:$W$505,DJ$3,実績!$AI$6:$AI$505,"&lt;="&amp;$A233,実績!$AJ$6:$AJ$505,"&gt;"&amp;$A233,実績!$AK$6:$AK$505,"○")&gt;0,1,0))</f>
        <v>0</v>
      </c>
      <c r="DK233" s="39" t="n">
        <f aca="false">IF(DK$4=0,0,IF(COUNTIFS(実績!$W$6:$W$505,DK$3,実績!$AI$6:$AI$505,"&lt;="&amp;$A233,実績!$AJ$6:$AJ$505,"&gt;"&amp;$A233,実績!$AK$6:$AK$505,"○")&gt;0,1,0))</f>
        <v>0</v>
      </c>
      <c r="DL233" s="39" t="n">
        <f aca="false">IF(DL$4=0,0,IF(COUNTIFS(実績!$W$6:$W$505,DL$3,実績!$AI$6:$AI$505,"&lt;="&amp;$A233,実績!$AJ$6:$AJ$505,"&gt;"&amp;$A233,実績!$AK$6:$AK$505,"○")&gt;0,1,0))</f>
        <v>0</v>
      </c>
      <c r="DM233" s="39" t="n">
        <f aca="false">IF(DM$4=0,0,IF(COUNTIFS(実績!$W$6:$W$505,DM$3,実績!$AI$6:$AI$505,"&lt;="&amp;$A233,実績!$AJ$6:$AJ$505,"&gt;"&amp;$A233,実績!$AK$6:$AK$505,"○")&gt;0,1,0))</f>
        <v>0</v>
      </c>
      <c r="DN233" s="39" t="n">
        <f aca="false">IF(DN$4=0,0,IF(COUNTIFS(実績!$W$6:$W$505,DN$3,実績!$AI$6:$AI$505,"&lt;="&amp;$A233,実績!$AJ$6:$AJ$505,"&gt;"&amp;$A233,実績!$AK$6:$AK$505,"○")&gt;0,1,0))</f>
        <v>0</v>
      </c>
      <c r="DO233" s="39" t="n">
        <f aca="false">IF(DO$4=0,0,IF(COUNTIFS(実績!$W$6:$W$505,DO$3,実績!$AI$6:$AI$505,"&lt;="&amp;$A233,実績!$AJ$6:$AJ$505,"&gt;"&amp;$A233,実績!$AK$6:$AK$505,"○")&gt;0,1,0))</f>
        <v>0</v>
      </c>
      <c r="DP233" s="39" t="n">
        <f aca="false">IF(DP$4=0,0,IF(COUNTIFS(実績!$W$6:$W$505,DP$3,実績!$AI$6:$AI$505,"&lt;="&amp;$A233,実績!$AJ$6:$AJ$505,"&gt;"&amp;$A233,実績!$AK$6:$AK$505,"○")&gt;0,1,0))</f>
        <v>0</v>
      </c>
      <c r="DQ233" s="39" t="n">
        <f aca="false">IF(DQ$4=0,0,IF(COUNTIFS(実績!$W$6:$W$505,DQ$3,実績!$AI$6:$AI$505,"&lt;="&amp;$A233,実績!$AJ$6:$AJ$505,"&gt;"&amp;$A233,実績!$AK$6:$AK$505,"○")&gt;0,1,0))</f>
        <v>0</v>
      </c>
      <c r="DR233" s="39" t="n">
        <f aca="false">IF(DR$4=0,0,IF(COUNTIFS(実績!$W$6:$W$505,DR$3,実績!$AI$6:$AI$505,"&lt;="&amp;$A233,実績!$AJ$6:$AJ$505,"&gt;"&amp;$A233,実績!$AK$6:$AK$505,"○")&gt;0,1,0))</f>
        <v>0</v>
      </c>
      <c r="DS233" s="39" t="n">
        <f aca="false">SUM(C233:DR233)</f>
        <v>0</v>
      </c>
      <c r="DT233" s="39" t="n">
        <f aca="false">SUMPRODUCT((実績!$C$6:$C$505="○")*ISNUMBER(実績!$AM$6:$AM$505)*(実績!$AM$6:$AM$505&lt;=$A233)*(実績!$AN$6:$AN$505&gt;$A233))</f>
        <v>0</v>
      </c>
      <c r="DU233" s="39" t="n">
        <f aca="false">SUMIF($C$2:$DR$2,"製鉄曳船",C233:DR233)</f>
        <v>0</v>
      </c>
      <c r="DV233" s="39" t="n">
        <f aca="false">SUMIF($C$2:$DR$2,"西日本海運",C233:DR233)</f>
        <v>0</v>
      </c>
    </row>
    <row r="234" customFormat="false" ht="15" hidden="false" customHeight="false" outlineLevel="0" collapsed="false">
      <c r="A234" s="0" t="n">
        <v>1140</v>
      </c>
      <c r="B234" s="38" t="n">
        <f aca="false">A234/1440</f>
        <v>0.791666666666667</v>
      </c>
      <c r="C234" s="39" t="n">
        <f aca="false">IF(C$4=0,0,IF(COUNTIFS(実績!$W$6:$W$505,C$3,実績!$AI$6:$AI$505,"&lt;="&amp;$A234,実績!$AJ$6:$AJ$505,"&gt;"&amp;$A234,実績!$AK$6:$AK$505,"○")&gt;0,1,0))</f>
        <v>0</v>
      </c>
      <c r="D234" s="39" t="n">
        <f aca="false">IF(D$4=0,0,IF(COUNTIFS(実績!$W$6:$W$505,D$3,実績!$AI$6:$AI$505,"&lt;="&amp;$A234,実績!$AJ$6:$AJ$505,"&gt;"&amp;$A234,実績!$AK$6:$AK$505,"○")&gt;0,1,0))</f>
        <v>0</v>
      </c>
      <c r="E234" s="39" t="n">
        <f aca="false">IF(E$4=0,0,IF(COUNTIFS(実績!$W$6:$W$505,E$3,実績!$AI$6:$AI$505,"&lt;="&amp;$A234,実績!$AJ$6:$AJ$505,"&gt;"&amp;$A234,実績!$AK$6:$AK$505,"○")&gt;0,1,0))</f>
        <v>0</v>
      </c>
      <c r="F234" s="39" t="n">
        <f aca="false">IF(F$4=0,0,IF(COUNTIFS(実績!$W$6:$W$505,F$3,実績!$AI$6:$AI$505,"&lt;="&amp;$A234,実績!$AJ$6:$AJ$505,"&gt;"&amp;$A234,実績!$AK$6:$AK$505,"○")&gt;0,1,0))</f>
        <v>0</v>
      </c>
      <c r="G234" s="39" t="n">
        <f aca="false">IF(G$4=0,0,IF(COUNTIFS(実績!$W$6:$W$505,G$3,実績!$AI$6:$AI$505,"&lt;="&amp;$A234,実績!$AJ$6:$AJ$505,"&gt;"&amp;$A234,実績!$AK$6:$AK$505,"○")&gt;0,1,0))</f>
        <v>0</v>
      </c>
      <c r="H234" s="39" t="n">
        <f aca="false">IF(H$4=0,0,IF(COUNTIFS(実績!$W$6:$W$505,H$3,実績!$AI$6:$AI$505,"&lt;="&amp;$A234,実績!$AJ$6:$AJ$505,"&gt;"&amp;$A234,実績!$AK$6:$AK$505,"○")&gt;0,1,0))</f>
        <v>0</v>
      </c>
      <c r="I234" s="39" t="n">
        <f aca="false">IF(I$4=0,0,IF(COUNTIFS(実績!$W$6:$W$505,I$3,実績!$AI$6:$AI$505,"&lt;="&amp;$A234,実績!$AJ$6:$AJ$505,"&gt;"&amp;$A234,実績!$AK$6:$AK$505,"○")&gt;0,1,0))</f>
        <v>0</v>
      </c>
      <c r="J234" s="39" t="n">
        <f aca="false">IF(J$4=0,0,IF(COUNTIFS(実績!$W$6:$W$505,J$3,実績!$AI$6:$AI$505,"&lt;="&amp;$A234,実績!$AJ$6:$AJ$505,"&gt;"&amp;$A234,実績!$AK$6:$AK$505,"○")&gt;0,1,0))</f>
        <v>0</v>
      </c>
      <c r="K234" s="39" t="n">
        <f aca="false">IF(K$4=0,0,IF(COUNTIFS(実績!$W$6:$W$505,K$3,実績!$AI$6:$AI$505,"&lt;="&amp;$A234,実績!$AJ$6:$AJ$505,"&gt;"&amp;$A234,実績!$AK$6:$AK$505,"○")&gt;0,1,0))</f>
        <v>0</v>
      </c>
      <c r="L234" s="39" t="n">
        <f aca="false">IF(L$4=0,0,IF(COUNTIFS(実績!$W$6:$W$505,L$3,実績!$AI$6:$AI$505,"&lt;="&amp;$A234,実績!$AJ$6:$AJ$505,"&gt;"&amp;$A234,実績!$AK$6:$AK$505,"○")&gt;0,1,0))</f>
        <v>0</v>
      </c>
      <c r="M234" s="39" t="n">
        <f aca="false">IF(M$4=0,0,IF(COUNTIFS(実績!$W$6:$W$505,M$3,実績!$AI$6:$AI$505,"&lt;="&amp;$A234,実績!$AJ$6:$AJ$505,"&gt;"&amp;$A234,実績!$AK$6:$AK$505,"○")&gt;0,1,0))</f>
        <v>0</v>
      </c>
      <c r="N234" s="39" t="n">
        <f aca="false">IF(N$4=0,0,IF(COUNTIFS(実績!$W$6:$W$505,N$3,実績!$AI$6:$AI$505,"&lt;="&amp;$A234,実績!$AJ$6:$AJ$505,"&gt;"&amp;$A234,実績!$AK$6:$AK$505,"○")&gt;0,1,0))</f>
        <v>0</v>
      </c>
      <c r="O234" s="39" t="n">
        <f aca="false">IF(O$4=0,0,IF(COUNTIFS(実績!$W$6:$W$505,O$3,実績!$AI$6:$AI$505,"&lt;="&amp;$A234,実績!$AJ$6:$AJ$505,"&gt;"&amp;$A234,実績!$AK$6:$AK$505,"○")&gt;0,1,0))</f>
        <v>0</v>
      </c>
      <c r="P234" s="39" t="n">
        <f aca="false">IF(P$4=0,0,IF(COUNTIFS(実績!$W$6:$W$505,P$3,実績!$AI$6:$AI$505,"&lt;="&amp;$A234,実績!$AJ$6:$AJ$505,"&gt;"&amp;$A234,実績!$AK$6:$AK$505,"○")&gt;0,1,0))</f>
        <v>0</v>
      </c>
      <c r="Q234" s="39" t="n">
        <f aca="false">IF(Q$4=0,0,IF(COUNTIFS(実績!$W$6:$W$505,Q$3,実績!$AI$6:$AI$505,"&lt;="&amp;$A234,実績!$AJ$6:$AJ$505,"&gt;"&amp;$A234,実績!$AK$6:$AK$505,"○")&gt;0,1,0))</f>
        <v>0</v>
      </c>
      <c r="R234" s="39" t="n">
        <f aca="false">IF(R$4=0,0,IF(COUNTIFS(実績!$W$6:$W$505,R$3,実績!$AI$6:$AI$505,"&lt;="&amp;$A234,実績!$AJ$6:$AJ$505,"&gt;"&amp;$A234,実績!$AK$6:$AK$505,"○")&gt;0,1,0))</f>
        <v>0</v>
      </c>
      <c r="S234" s="39" t="n">
        <f aca="false">IF(S$4=0,0,IF(COUNTIFS(実績!$W$6:$W$505,S$3,実績!$AI$6:$AI$505,"&lt;="&amp;$A234,実績!$AJ$6:$AJ$505,"&gt;"&amp;$A234,実績!$AK$6:$AK$505,"○")&gt;0,1,0))</f>
        <v>0</v>
      </c>
      <c r="T234" s="39" t="n">
        <f aca="false">IF(T$4=0,0,IF(COUNTIFS(実績!$W$6:$W$505,T$3,実績!$AI$6:$AI$505,"&lt;="&amp;$A234,実績!$AJ$6:$AJ$505,"&gt;"&amp;$A234,実績!$AK$6:$AK$505,"○")&gt;0,1,0))</f>
        <v>0</v>
      </c>
      <c r="U234" s="39" t="n">
        <f aca="false">IF(U$4=0,0,IF(COUNTIFS(実績!$W$6:$W$505,U$3,実績!$AI$6:$AI$505,"&lt;="&amp;$A234,実績!$AJ$6:$AJ$505,"&gt;"&amp;$A234,実績!$AK$6:$AK$505,"○")&gt;0,1,0))</f>
        <v>0</v>
      </c>
      <c r="V234" s="39" t="n">
        <f aca="false">IF(V$4=0,0,IF(COUNTIFS(実績!$W$6:$W$505,V$3,実績!$AI$6:$AI$505,"&lt;="&amp;$A234,実績!$AJ$6:$AJ$505,"&gt;"&amp;$A234,実績!$AK$6:$AK$505,"○")&gt;0,1,0))</f>
        <v>0</v>
      </c>
      <c r="W234" s="39" t="n">
        <f aca="false">IF(W$4=0,0,IF(COUNTIFS(実績!$W$6:$W$505,W$3,実績!$AI$6:$AI$505,"&lt;="&amp;$A234,実績!$AJ$6:$AJ$505,"&gt;"&amp;$A234,実績!$AK$6:$AK$505,"○")&gt;0,1,0))</f>
        <v>0</v>
      </c>
      <c r="X234" s="39" t="n">
        <f aca="false">IF(X$4=0,0,IF(COUNTIFS(実績!$W$6:$W$505,X$3,実績!$AI$6:$AI$505,"&lt;="&amp;$A234,実績!$AJ$6:$AJ$505,"&gt;"&amp;$A234,実績!$AK$6:$AK$505,"○")&gt;0,1,0))</f>
        <v>0</v>
      </c>
      <c r="Y234" s="39" t="n">
        <f aca="false">IF(Y$4=0,0,IF(COUNTIFS(実績!$W$6:$W$505,Y$3,実績!$AI$6:$AI$505,"&lt;="&amp;$A234,実績!$AJ$6:$AJ$505,"&gt;"&amp;$A234,実績!$AK$6:$AK$505,"○")&gt;0,1,0))</f>
        <v>0</v>
      </c>
      <c r="Z234" s="39" t="n">
        <f aca="false">IF(Z$4=0,0,IF(COUNTIFS(実績!$W$6:$W$505,Z$3,実績!$AI$6:$AI$505,"&lt;="&amp;$A234,実績!$AJ$6:$AJ$505,"&gt;"&amp;$A234,実績!$AK$6:$AK$505,"○")&gt;0,1,0))</f>
        <v>0</v>
      </c>
      <c r="AA234" s="39" t="n">
        <f aca="false">IF(AA$4=0,0,IF(COUNTIFS(実績!$W$6:$W$505,AA$3,実績!$AI$6:$AI$505,"&lt;="&amp;$A234,実績!$AJ$6:$AJ$505,"&gt;"&amp;$A234,実績!$AK$6:$AK$505,"○")&gt;0,1,0))</f>
        <v>0</v>
      </c>
      <c r="AB234" s="39" t="n">
        <f aca="false">IF(AB$4=0,0,IF(COUNTIFS(実績!$W$6:$W$505,AB$3,実績!$AI$6:$AI$505,"&lt;="&amp;$A234,実績!$AJ$6:$AJ$505,"&gt;"&amp;$A234,実績!$AK$6:$AK$505,"○")&gt;0,1,0))</f>
        <v>0</v>
      </c>
      <c r="AC234" s="39" t="n">
        <f aca="false">IF(AC$4=0,0,IF(COUNTIFS(実績!$W$6:$W$505,AC$3,実績!$AI$6:$AI$505,"&lt;="&amp;$A234,実績!$AJ$6:$AJ$505,"&gt;"&amp;$A234,実績!$AK$6:$AK$505,"○")&gt;0,1,0))</f>
        <v>0</v>
      </c>
      <c r="AD234" s="39" t="n">
        <f aca="false">IF(AD$4=0,0,IF(COUNTIFS(実績!$W$6:$W$505,AD$3,実績!$AI$6:$AI$505,"&lt;="&amp;$A234,実績!$AJ$6:$AJ$505,"&gt;"&amp;$A234,実績!$AK$6:$AK$505,"○")&gt;0,1,0))</f>
        <v>0</v>
      </c>
      <c r="AE234" s="39" t="n">
        <f aca="false">IF(AE$4=0,0,IF(COUNTIFS(実績!$W$6:$W$505,AE$3,実績!$AI$6:$AI$505,"&lt;="&amp;$A234,実績!$AJ$6:$AJ$505,"&gt;"&amp;$A234,実績!$AK$6:$AK$505,"○")&gt;0,1,0))</f>
        <v>0</v>
      </c>
      <c r="AF234" s="39" t="n">
        <f aca="false">IF(AF$4=0,0,IF(COUNTIFS(実績!$W$6:$W$505,AF$3,実績!$AI$6:$AI$505,"&lt;="&amp;$A234,実績!$AJ$6:$AJ$505,"&gt;"&amp;$A234,実績!$AK$6:$AK$505,"○")&gt;0,1,0))</f>
        <v>0</v>
      </c>
      <c r="AG234" s="39" t="n">
        <f aca="false">IF(AG$4=0,0,IF(COUNTIFS(実績!$W$6:$W$505,AG$3,実績!$AI$6:$AI$505,"&lt;="&amp;$A234,実績!$AJ$6:$AJ$505,"&gt;"&amp;$A234,実績!$AK$6:$AK$505,"○")&gt;0,1,0))</f>
        <v>0</v>
      </c>
      <c r="AH234" s="39" t="n">
        <f aca="false">IF(AH$4=0,0,IF(COUNTIFS(実績!$W$6:$W$505,AH$3,実績!$AI$6:$AI$505,"&lt;="&amp;$A234,実績!$AJ$6:$AJ$505,"&gt;"&amp;$A234,実績!$AK$6:$AK$505,"○")&gt;0,1,0))</f>
        <v>0</v>
      </c>
      <c r="AI234" s="39" t="n">
        <f aca="false">IF(AI$4=0,0,IF(COUNTIFS(実績!$W$6:$W$505,AI$3,実績!$AI$6:$AI$505,"&lt;="&amp;$A234,実績!$AJ$6:$AJ$505,"&gt;"&amp;$A234,実績!$AK$6:$AK$505,"○")&gt;0,1,0))</f>
        <v>0</v>
      </c>
      <c r="AJ234" s="39" t="n">
        <f aca="false">IF(AJ$4=0,0,IF(COUNTIFS(実績!$W$6:$W$505,AJ$3,実績!$AI$6:$AI$505,"&lt;="&amp;$A234,実績!$AJ$6:$AJ$505,"&gt;"&amp;$A234,実績!$AK$6:$AK$505,"○")&gt;0,1,0))</f>
        <v>0</v>
      </c>
      <c r="AK234" s="39" t="n">
        <f aca="false">IF(AK$4=0,0,IF(COUNTIFS(実績!$W$6:$W$505,AK$3,実績!$AI$6:$AI$505,"&lt;="&amp;$A234,実績!$AJ$6:$AJ$505,"&gt;"&amp;$A234,実績!$AK$6:$AK$505,"○")&gt;0,1,0))</f>
        <v>0</v>
      </c>
      <c r="AL234" s="39" t="n">
        <f aca="false">IF(AL$4=0,0,IF(COUNTIFS(実績!$W$6:$W$505,AL$3,実績!$AI$6:$AI$505,"&lt;="&amp;$A234,実績!$AJ$6:$AJ$505,"&gt;"&amp;$A234,実績!$AK$6:$AK$505,"○")&gt;0,1,0))</f>
        <v>0</v>
      </c>
      <c r="AM234" s="39" t="n">
        <f aca="false">IF(AM$4=0,0,IF(COUNTIFS(実績!$W$6:$W$505,AM$3,実績!$AI$6:$AI$505,"&lt;="&amp;$A234,実績!$AJ$6:$AJ$505,"&gt;"&amp;$A234,実績!$AK$6:$AK$505,"○")&gt;0,1,0))</f>
        <v>0</v>
      </c>
      <c r="AN234" s="39" t="n">
        <f aca="false">IF(AN$4=0,0,IF(COUNTIFS(実績!$W$6:$W$505,AN$3,実績!$AI$6:$AI$505,"&lt;="&amp;$A234,実績!$AJ$6:$AJ$505,"&gt;"&amp;$A234,実績!$AK$6:$AK$505,"○")&gt;0,1,0))</f>
        <v>0</v>
      </c>
      <c r="AO234" s="39" t="n">
        <f aca="false">IF(AO$4=0,0,IF(COUNTIFS(実績!$W$6:$W$505,AO$3,実績!$AI$6:$AI$505,"&lt;="&amp;$A234,実績!$AJ$6:$AJ$505,"&gt;"&amp;$A234,実績!$AK$6:$AK$505,"○")&gt;0,1,0))</f>
        <v>0</v>
      </c>
      <c r="AP234" s="39" t="n">
        <f aca="false">IF(AP$4=0,0,IF(COUNTIFS(実績!$W$6:$W$505,AP$3,実績!$AI$6:$AI$505,"&lt;="&amp;$A234,実績!$AJ$6:$AJ$505,"&gt;"&amp;$A234,実績!$AK$6:$AK$505,"○")&gt;0,1,0))</f>
        <v>0</v>
      </c>
      <c r="AQ234" s="39" t="n">
        <f aca="false">IF(AQ$4=0,0,IF(COUNTIFS(実績!$W$6:$W$505,AQ$3,実績!$AI$6:$AI$505,"&lt;="&amp;$A234,実績!$AJ$6:$AJ$505,"&gt;"&amp;$A234,実績!$AK$6:$AK$505,"○")&gt;0,1,0))</f>
        <v>0</v>
      </c>
      <c r="AR234" s="39" t="n">
        <f aca="false">IF(AR$4=0,0,IF(COUNTIFS(実績!$W$6:$W$505,AR$3,実績!$AI$6:$AI$505,"&lt;="&amp;$A234,実績!$AJ$6:$AJ$505,"&gt;"&amp;$A234,実績!$AK$6:$AK$505,"○")&gt;0,1,0))</f>
        <v>0</v>
      </c>
      <c r="AS234" s="39" t="n">
        <f aca="false">IF(AS$4=0,0,IF(COUNTIFS(実績!$W$6:$W$505,AS$3,実績!$AI$6:$AI$505,"&lt;="&amp;$A234,実績!$AJ$6:$AJ$505,"&gt;"&amp;$A234,実績!$AK$6:$AK$505,"○")&gt;0,1,0))</f>
        <v>0</v>
      </c>
      <c r="AT234" s="39" t="n">
        <f aca="false">IF(AT$4=0,0,IF(COUNTIFS(実績!$W$6:$W$505,AT$3,実績!$AI$6:$AI$505,"&lt;="&amp;$A234,実績!$AJ$6:$AJ$505,"&gt;"&amp;$A234,実績!$AK$6:$AK$505,"○")&gt;0,1,0))</f>
        <v>0</v>
      </c>
      <c r="AU234" s="39" t="n">
        <f aca="false">IF(AU$4=0,0,IF(COUNTIFS(実績!$W$6:$W$505,AU$3,実績!$AI$6:$AI$505,"&lt;="&amp;$A234,実績!$AJ$6:$AJ$505,"&gt;"&amp;$A234,実績!$AK$6:$AK$505,"○")&gt;0,1,0))</f>
        <v>0</v>
      </c>
      <c r="AV234" s="39" t="n">
        <f aca="false">IF(AV$4=0,0,IF(COUNTIFS(実績!$W$6:$W$505,AV$3,実績!$AI$6:$AI$505,"&lt;="&amp;$A234,実績!$AJ$6:$AJ$505,"&gt;"&amp;$A234,実績!$AK$6:$AK$505,"○")&gt;0,1,0))</f>
        <v>0</v>
      </c>
      <c r="AW234" s="39" t="n">
        <f aca="false">IF(AW$4=0,0,IF(COUNTIFS(実績!$W$6:$W$505,AW$3,実績!$AI$6:$AI$505,"&lt;="&amp;$A234,実績!$AJ$6:$AJ$505,"&gt;"&amp;$A234,実績!$AK$6:$AK$505,"○")&gt;0,1,0))</f>
        <v>0</v>
      </c>
      <c r="AX234" s="39" t="n">
        <f aca="false">IF(AX$4=0,0,IF(COUNTIFS(実績!$W$6:$W$505,AX$3,実績!$AI$6:$AI$505,"&lt;="&amp;$A234,実績!$AJ$6:$AJ$505,"&gt;"&amp;$A234,実績!$AK$6:$AK$505,"○")&gt;0,1,0))</f>
        <v>0</v>
      </c>
      <c r="AY234" s="39" t="n">
        <f aca="false">IF(AY$4=0,0,IF(COUNTIFS(実績!$W$6:$W$505,AY$3,実績!$AI$6:$AI$505,"&lt;="&amp;$A234,実績!$AJ$6:$AJ$505,"&gt;"&amp;$A234,実績!$AK$6:$AK$505,"○")&gt;0,1,0))</f>
        <v>0</v>
      </c>
      <c r="AZ234" s="39" t="n">
        <f aca="false">IF(AZ$4=0,0,IF(COUNTIFS(実績!$W$6:$W$505,AZ$3,実績!$AI$6:$AI$505,"&lt;="&amp;$A234,実績!$AJ$6:$AJ$505,"&gt;"&amp;$A234,実績!$AK$6:$AK$505,"○")&gt;0,1,0))</f>
        <v>0</v>
      </c>
      <c r="BA234" s="39" t="n">
        <f aca="false">IF(BA$4=0,0,IF(COUNTIFS(実績!$W$6:$W$505,BA$3,実績!$AI$6:$AI$505,"&lt;="&amp;$A234,実績!$AJ$6:$AJ$505,"&gt;"&amp;$A234,実績!$AK$6:$AK$505,"○")&gt;0,1,0))</f>
        <v>0</v>
      </c>
      <c r="BB234" s="39" t="n">
        <f aca="false">IF(BB$4=0,0,IF(COUNTIFS(実績!$W$6:$W$505,BB$3,実績!$AI$6:$AI$505,"&lt;="&amp;$A234,実績!$AJ$6:$AJ$505,"&gt;"&amp;$A234,実績!$AK$6:$AK$505,"○")&gt;0,1,0))</f>
        <v>0</v>
      </c>
      <c r="BC234" s="39" t="n">
        <f aca="false">IF(BC$4=0,0,IF(COUNTIFS(実績!$W$6:$W$505,BC$3,実績!$AI$6:$AI$505,"&lt;="&amp;$A234,実績!$AJ$6:$AJ$505,"&gt;"&amp;$A234,実績!$AK$6:$AK$505,"○")&gt;0,1,0))</f>
        <v>0</v>
      </c>
      <c r="BD234" s="39" t="n">
        <f aca="false">IF(BD$4=0,0,IF(COUNTIFS(実績!$W$6:$W$505,BD$3,実績!$AI$6:$AI$505,"&lt;="&amp;$A234,実績!$AJ$6:$AJ$505,"&gt;"&amp;$A234,実績!$AK$6:$AK$505,"○")&gt;0,1,0))</f>
        <v>0</v>
      </c>
      <c r="BE234" s="39" t="n">
        <f aca="false">IF(BE$4=0,0,IF(COUNTIFS(実績!$W$6:$W$505,BE$3,実績!$AI$6:$AI$505,"&lt;="&amp;$A234,実績!$AJ$6:$AJ$505,"&gt;"&amp;$A234,実績!$AK$6:$AK$505,"○")&gt;0,1,0))</f>
        <v>0</v>
      </c>
      <c r="BF234" s="39" t="n">
        <f aca="false">IF(BF$4=0,0,IF(COUNTIFS(実績!$W$6:$W$505,BF$3,実績!$AI$6:$AI$505,"&lt;="&amp;$A234,実績!$AJ$6:$AJ$505,"&gt;"&amp;$A234,実績!$AK$6:$AK$505,"○")&gt;0,1,0))</f>
        <v>0</v>
      </c>
      <c r="BG234" s="39" t="n">
        <f aca="false">IF(BG$4=0,0,IF(COUNTIFS(実績!$W$6:$W$505,BG$3,実績!$AI$6:$AI$505,"&lt;="&amp;$A234,実績!$AJ$6:$AJ$505,"&gt;"&amp;$A234,実績!$AK$6:$AK$505,"○")&gt;0,1,0))</f>
        <v>0</v>
      </c>
      <c r="BH234" s="39" t="n">
        <f aca="false">IF(BH$4=0,0,IF(COUNTIFS(実績!$W$6:$W$505,BH$3,実績!$AI$6:$AI$505,"&lt;="&amp;$A234,実績!$AJ$6:$AJ$505,"&gt;"&amp;$A234,実績!$AK$6:$AK$505,"○")&gt;0,1,0))</f>
        <v>0</v>
      </c>
      <c r="BI234" s="39" t="n">
        <f aca="false">IF(BI$4=0,0,IF(COUNTIFS(実績!$W$6:$W$505,BI$3,実績!$AI$6:$AI$505,"&lt;="&amp;$A234,実績!$AJ$6:$AJ$505,"&gt;"&amp;$A234,実績!$AK$6:$AK$505,"○")&gt;0,1,0))</f>
        <v>0</v>
      </c>
      <c r="BJ234" s="39" t="n">
        <f aca="false">IF(BJ$4=0,0,IF(COUNTIFS(実績!$W$6:$W$505,BJ$3,実績!$AI$6:$AI$505,"&lt;="&amp;$A234,実績!$AJ$6:$AJ$505,"&gt;"&amp;$A234,実績!$AK$6:$AK$505,"○")&gt;0,1,0))</f>
        <v>0</v>
      </c>
      <c r="BK234" s="39" t="n">
        <f aca="false">IF(BK$4=0,0,IF(COUNTIFS(実績!$W$6:$W$505,BK$3,実績!$AI$6:$AI$505,"&lt;="&amp;$A234,実績!$AJ$6:$AJ$505,"&gt;"&amp;$A234,実績!$AK$6:$AK$505,"○")&gt;0,1,0))</f>
        <v>0</v>
      </c>
      <c r="BL234" s="39" t="n">
        <f aca="false">IF(BL$4=0,0,IF(COUNTIFS(実績!$W$6:$W$505,BL$3,実績!$AI$6:$AI$505,"&lt;="&amp;$A234,実績!$AJ$6:$AJ$505,"&gt;"&amp;$A234,実績!$AK$6:$AK$505,"○")&gt;0,1,0))</f>
        <v>0</v>
      </c>
      <c r="BM234" s="39" t="n">
        <f aca="false">IF(BM$4=0,0,IF(COUNTIFS(実績!$W$6:$W$505,BM$3,実績!$AI$6:$AI$505,"&lt;="&amp;$A234,実績!$AJ$6:$AJ$505,"&gt;"&amp;$A234,実績!$AK$6:$AK$505,"○")&gt;0,1,0))</f>
        <v>0</v>
      </c>
      <c r="BN234" s="39" t="n">
        <f aca="false">IF(BN$4=0,0,IF(COUNTIFS(実績!$W$6:$W$505,BN$3,実績!$AI$6:$AI$505,"&lt;="&amp;$A234,実績!$AJ$6:$AJ$505,"&gt;"&amp;$A234,実績!$AK$6:$AK$505,"○")&gt;0,1,0))</f>
        <v>0</v>
      </c>
      <c r="BO234" s="39" t="n">
        <f aca="false">IF(BO$4=0,0,IF(COUNTIFS(実績!$W$6:$W$505,BO$3,実績!$AI$6:$AI$505,"&lt;="&amp;$A234,実績!$AJ$6:$AJ$505,"&gt;"&amp;$A234,実績!$AK$6:$AK$505,"○")&gt;0,1,0))</f>
        <v>0</v>
      </c>
      <c r="BP234" s="39" t="n">
        <f aca="false">IF(BP$4=0,0,IF(COUNTIFS(実績!$W$6:$W$505,BP$3,実績!$AI$6:$AI$505,"&lt;="&amp;$A234,実績!$AJ$6:$AJ$505,"&gt;"&amp;$A234,実績!$AK$6:$AK$505,"○")&gt;0,1,0))</f>
        <v>0</v>
      </c>
      <c r="BQ234" s="39" t="n">
        <f aca="false">IF(BQ$4=0,0,IF(COUNTIFS(実績!$W$6:$W$505,BQ$3,実績!$AI$6:$AI$505,"&lt;="&amp;$A234,実績!$AJ$6:$AJ$505,"&gt;"&amp;$A234,実績!$AK$6:$AK$505,"○")&gt;0,1,0))</f>
        <v>0</v>
      </c>
      <c r="BR234" s="39" t="n">
        <f aca="false">IF(BR$4=0,0,IF(COUNTIFS(実績!$W$6:$W$505,BR$3,実績!$AI$6:$AI$505,"&lt;="&amp;$A234,実績!$AJ$6:$AJ$505,"&gt;"&amp;$A234,実績!$AK$6:$AK$505,"○")&gt;0,1,0))</f>
        <v>0</v>
      </c>
      <c r="BS234" s="39" t="n">
        <f aca="false">IF(BS$4=0,0,IF(COUNTIFS(実績!$W$6:$W$505,BS$3,実績!$AI$6:$AI$505,"&lt;="&amp;$A234,実績!$AJ$6:$AJ$505,"&gt;"&amp;$A234,実績!$AK$6:$AK$505,"○")&gt;0,1,0))</f>
        <v>0</v>
      </c>
      <c r="BT234" s="39" t="n">
        <f aca="false">IF(BT$4=0,0,IF(COUNTIFS(実績!$W$6:$W$505,BT$3,実績!$AI$6:$AI$505,"&lt;="&amp;$A234,実績!$AJ$6:$AJ$505,"&gt;"&amp;$A234,実績!$AK$6:$AK$505,"○")&gt;0,1,0))</f>
        <v>0</v>
      </c>
      <c r="BU234" s="39" t="n">
        <f aca="false">IF(BU$4=0,0,IF(COUNTIFS(実績!$W$6:$W$505,BU$3,実績!$AI$6:$AI$505,"&lt;="&amp;$A234,実績!$AJ$6:$AJ$505,"&gt;"&amp;$A234,実績!$AK$6:$AK$505,"○")&gt;0,1,0))</f>
        <v>0</v>
      </c>
      <c r="BV234" s="39" t="n">
        <f aca="false">IF(BV$4=0,0,IF(COUNTIFS(実績!$W$6:$W$505,BV$3,実績!$AI$6:$AI$505,"&lt;="&amp;$A234,実績!$AJ$6:$AJ$505,"&gt;"&amp;$A234,実績!$AK$6:$AK$505,"○")&gt;0,1,0))</f>
        <v>0</v>
      </c>
      <c r="BW234" s="39" t="n">
        <f aca="false">IF(BW$4=0,0,IF(COUNTIFS(実績!$W$6:$W$505,BW$3,実績!$AI$6:$AI$505,"&lt;="&amp;$A234,実績!$AJ$6:$AJ$505,"&gt;"&amp;$A234,実績!$AK$6:$AK$505,"○")&gt;0,1,0))</f>
        <v>0</v>
      </c>
      <c r="BX234" s="39" t="n">
        <f aca="false">IF(BX$4=0,0,IF(COUNTIFS(実績!$W$6:$W$505,BX$3,実績!$AI$6:$AI$505,"&lt;="&amp;$A234,実績!$AJ$6:$AJ$505,"&gt;"&amp;$A234,実績!$AK$6:$AK$505,"○")&gt;0,1,0))</f>
        <v>0</v>
      </c>
      <c r="BY234" s="39" t="n">
        <f aca="false">IF(BY$4=0,0,IF(COUNTIFS(実績!$W$6:$W$505,BY$3,実績!$AI$6:$AI$505,"&lt;="&amp;$A234,実績!$AJ$6:$AJ$505,"&gt;"&amp;$A234,実績!$AK$6:$AK$505,"○")&gt;0,1,0))</f>
        <v>0</v>
      </c>
      <c r="BZ234" s="39" t="n">
        <f aca="false">IF(BZ$4=0,0,IF(COUNTIFS(実績!$W$6:$W$505,BZ$3,実績!$AI$6:$AI$505,"&lt;="&amp;$A234,実績!$AJ$6:$AJ$505,"&gt;"&amp;$A234,実績!$AK$6:$AK$505,"○")&gt;0,1,0))</f>
        <v>0</v>
      </c>
      <c r="CA234" s="39" t="n">
        <f aca="false">IF(CA$4=0,0,IF(COUNTIFS(実績!$W$6:$W$505,CA$3,実績!$AI$6:$AI$505,"&lt;="&amp;$A234,実績!$AJ$6:$AJ$505,"&gt;"&amp;$A234,実績!$AK$6:$AK$505,"○")&gt;0,1,0))</f>
        <v>0</v>
      </c>
      <c r="CB234" s="39" t="n">
        <f aca="false">IF(CB$4=0,0,IF(COUNTIFS(実績!$W$6:$W$505,CB$3,実績!$AI$6:$AI$505,"&lt;="&amp;$A234,実績!$AJ$6:$AJ$505,"&gt;"&amp;$A234,実績!$AK$6:$AK$505,"○")&gt;0,1,0))</f>
        <v>0</v>
      </c>
      <c r="CC234" s="39" t="n">
        <f aca="false">IF(CC$4=0,0,IF(COUNTIFS(実績!$W$6:$W$505,CC$3,実績!$AI$6:$AI$505,"&lt;="&amp;$A234,実績!$AJ$6:$AJ$505,"&gt;"&amp;$A234,実績!$AK$6:$AK$505,"○")&gt;0,1,0))</f>
        <v>0</v>
      </c>
      <c r="CD234" s="39" t="n">
        <f aca="false">IF(CD$4=0,0,IF(COUNTIFS(実績!$W$6:$W$505,CD$3,実績!$AI$6:$AI$505,"&lt;="&amp;$A234,実績!$AJ$6:$AJ$505,"&gt;"&amp;$A234,実績!$AK$6:$AK$505,"○")&gt;0,1,0))</f>
        <v>0</v>
      </c>
      <c r="CE234" s="39" t="n">
        <f aca="false">IF(CE$4=0,0,IF(COUNTIFS(実績!$W$6:$W$505,CE$3,実績!$AI$6:$AI$505,"&lt;="&amp;$A234,実績!$AJ$6:$AJ$505,"&gt;"&amp;$A234,実績!$AK$6:$AK$505,"○")&gt;0,1,0))</f>
        <v>0</v>
      </c>
      <c r="CF234" s="39" t="n">
        <f aca="false">IF(CF$4=0,0,IF(COUNTIFS(実績!$W$6:$W$505,CF$3,実績!$AI$6:$AI$505,"&lt;="&amp;$A234,実績!$AJ$6:$AJ$505,"&gt;"&amp;$A234,実績!$AK$6:$AK$505,"○")&gt;0,1,0))</f>
        <v>0</v>
      </c>
      <c r="CG234" s="39" t="n">
        <f aca="false">IF(CG$4=0,0,IF(COUNTIFS(実績!$W$6:$W$505,CG$3,実績!$AI$6:$AI$505,"&lt;="&amp;$A234,実績!$AJ$6:$AJ$505,"&gt;"&amp;$A234,実績!$AK$6:$AK$505,"○")&gt;0,1,0))</f>
        <v>0</v>
      </c>
      <c r="CH234" s="39" t="n">
        <f aca="false">IF(CH$4=0,0,IF(COUNTIFS(実績!$W$6:$W$505,CH$3,実績!$AI$6:$AI$505,"&lt;="&amp;$A234,実績!$AJ$6:$AJ$505,"&gt;"&amp;$A234,実績!$AK$6:$AK$505,"○")&gt;0,1,0))</f>
        <v>0</v>
      </c>
      <c r="CI234" s="39" t="n">
        <f aca="false">IF(CI$4=0,0,IF(COUNTIFS(実績!$W$6:$W$505,CI$3,実績!$AI$6:$AI$505,"&lt;="&amp;$A234,実績!$AJ$6:$AJ$505,"&gt;"&amp;$A234,実績!$AK$6:$AK$505,"○")&gt;0,1,0))</f>
        <v>0</v>
      </c>
      <c r="CJ234" s="39" t="n">
        <f aca="false">IF(CJ$4=0,0,IF(COUNTIFS(実績!$W$6:$W$505,CJ$3,実績!$AI$6:$AI$505,"&lt;="&amp;$A234,実績!$AJ$6:$AJ$505,"&gt;"&amp;$A234,実績!$AK$6:$AK$505,"○")&gt;0,1,0))</f>
        <v>0</v>
      </c>
      <c r="CK234" s="39" t="n">
        <f aca="false">IF(CK$4=0,0,IF(COUNTIFS(実績!$W$6:$W$505,CK$3,実績!$AI$6:$AI$505,"&lt;="&amp;$A234,実績!$AJ$6:$AJ$505,"&gt;"&amp;$A234,実績!$AK$6:$AK$505,"○")&gt;0,1,0))</f>
        <v>0</v>
      </c>
      <c r="CL234" s="39" t="n">
        <f aca="false">IF(CL$4=0,0,IF(COUNTIFS(実績!$W$6:$W$505,CL$3,実績!$AI$6:$AI$505,"&lt;="&amp;$A234,実績!$AJ$6:$AJ$505,"&gt;"&amp;$A234,実績!$AK$6:$AK$505,"○")&gt;0,1,0))</f>
        <v>0</v>
      </c>
      <c r="CM234" s="39" t="n">
        <f aca="false">IF(CM$4=0,0,IF(COUNTIFS(実績!$W$6:$W$505,CM$3,実績!$AI$6:$AI$505,"&lt;="&amp;$A234,実績!$AJ$6:$AJ$505,"&gt;"&amp;$A234,実績!$AK$6:$AK$505,"○")&gt;0,1,0))</f>
        <v>0</v>
      </c>
      <c r="CN234" s="39" t="n">
        <f aca="false">IF(CN$4=0,0,IF(COUNTIFS(実績!$W$6:$W$505,CN$3,実績!$AI$6:$AI$505,"&lt;="&amp;$A234,実績!$AJ$6:$AJ$505,"&gt;"&amp;$A234,実績!$AK$6:$AK$505,"○")&gt;0,1,0))</f>
        <v>0</v>
      </c>
      <c r="CO234" s="39" t="n">
        <f aca="false">IF(CO$4=0,0,IF(COUNTIFS(実績!$W$6:$W$505,CO$3,実績!$AI$6:$AI$505,"&lt;="&amp;$A234,実績!$AJ$6:$AJ$505,"&gt;"&amp;$A234,実績!$AK$6:$AK$505,"○")&gt;0,1,0))</f>
        <v>0</v>
      </c>
      <c r="CP234" s="39" t="n">
        <f aca="false">IF(CP$4=0,0,IF(COUNTIFS(実績!$W$6:$W$505,CP$3,実績!$AI$6:$AI$505,"&lt;="&amp;$A234,実績!$AJ$6:$AJ$505,"&gt;"&amp;$A234,実績!$AK$6:$AK$505,"○")&gt;0,1,0))</f>
        <v>0</v>
      </c>
      <c r="CQ234" s="39" t="n">
        <f aca="false">IF(CQ$4=0,0,IF(COUNTIFS(実績!$W$6:$W$505,CQ$3,実績!$AI$6:$AI$505,"&lt;="&amp;$A234,実績!$AJ$6:$AJ$505,"&gt;"&amp;$A234,実績!$AK$6:$AK$505,"○")&gt;0,1,0))</f>
        <v>0</v>
      </c>
      <c r="CR234" s="39" t="n">
        <f aca="false">IF(CR$4=0,0,IF(COUNTIFS(実績!$W$6:$W$505,CR$3,実績!$AI$6:$AI$505,"&lt;="&amp;$A234,実績!$AJ$6:$AJ$505,"&gt;"&amp;$A234,実績!$AK$6:$AK$505,"○")&gt;0,1,0))</f>
        <v>0</v>
      </c>
      <c r="CS234" s="39" t="n">
        <f aca="false">IF(CS$4=0,0,IF(COUNTIFS(実績!$W$6:$W$505,CS$3,実績!$AI$6:$AI$505,"&lt;="&amp;$A234,実績!$AJ$6:$AJ$505,"&gt;"&amp;$A234,実績!$AK$6:$AK$505,"○")&gt;0,1,0))</f>
        <v>0</v>
      </c>
      <c r="CT234" s="39" t="n">
        <f aca="false">IF(CT$4=0,0,IF(COUNTIFS(実績!$W$6:$W$505,CT$3,実績!$AI$6:$AI$505,"&lt;="&amp;$A234,実績!$AJ$6:$AJ$505,"&gt;"&amp;$A234,実績!$AK$6:$AK$505,"○")&gt;0,1,0))</f>
        <v>0</v>
      </c>
      <c r="CU234" s="39" t="n">
        <f aca="false">IF(CU$4=0,0,IF(COUNTIFS(実績!$W$6:$W$505,CU$3,実績!$AI$6:$AI$505,"&lt;="&amp;$A234,実績!$AJ$6:$AJ$505,"&gt;"&amp;$A234,実績!$AK$6:$AK$505,"○")&gt;0,1,0))</f>
        <v>0</v>
      </c>
      <c r="CV234" s="39" t="n">
        <f aca="false">IF(CV$4=0,0,IF(COUNTIFS(実績!$W$6:$W$505,CV$3,実績!$AI$6:$AI$505,"&lt;="&amp;$A234,実績!$AJ$6:$AJ$505,"&gt;"&amp;$A234,実績!$AK$6:$AK$505,"○")&gt;0,1,0))</f>
        <v>0</v>
      </c>
      <c r="CW234" s="39" t="n">
        <f aca="false">IF(CW$4=0,0,IF(COUNTIFS(実績!$W$6:$W$505,CW$3,実績!$AI$6:$AI$505,"&lt;="&amp;$A234,実績!$AJ$6:$AJ$505,"&gt;"&amp;$A234,実績!$AK$6:$AK$505,"○")&gt;0,1,0))</f>
        <v>0</v>
      </c>
      <c r="CX234" s="39" t="n">
        <f aca="false">IF(CX$4=0,0,IF(COUNTIFS(実績!$W$6:$W$505,CX$3,実績!$AI$6:$AI$505,"&lt;="&amp;$A234,実績!$AJ$6:$AJ$505,"&gt;"&amp;$A234,実績!$AK$6:$AK$505,"○")&gt;0,1,0))</f>
        <v>0</v>
      </c>
      <c r="CY234" s="39" t="n">
        <f aca="false">IF(CY$4=0,0,IF(COUNTIFS(実績!$W$6:$W$505,CY$3,実績!$AI$6:$AI$505,"&lt;="&amp;$A234,実績!$AJ$6:$AJ$505,"&gt;"&amp;$A234,実績!$AK$6:$AK$505,"○")&gt;0,1,0))</f>
        <v>0</v>
      </c>
      <c r="CZ234" s="39" t="n">
        <f aca="false">IF(CZ$4=0,0,IF(COUNTIFS(実績!$W$6:$W$505,CZ$3,実績!$AI$6:$AI$505,"&lt;="&amp;$A234,実績!$AJ$6:$AJ$505,"&gt;"&amp;$A234,実績!$AK$6:$AK$505,"○")&gt;0,1,0))</f>
        <v>0</v>
      </c>
      <c r="DA234" s="39" t="n">
        <f aca="false">IF(DA$4=0,0,IF(COUNTIFS(実績!$W$6:$W$505,DA$3,実績!$AI$6:$AI$505,"&lt;="&amp;$A234,実績!$AJ$6:$AJ$505,"&gt;"&amp;$A234,実績!$AK$6:$AK$505,"○")&gt;0,1,0))</f>
        <v>0</v>
      </c>
      <c r="DB234" s="39" t="n">
        <f aca="false">IF(DB$4=0,0,IF(COUNTIFS(実績!$W$6:$W$505,DB$3,実績!$AI$6:$AI$505,"&lt;="&amp;$A234,実績!$AJ$6:$AJ$505,"&gt;"&amp;$A234,実績!$AK$6:$AK$505,"○")&gt;0,1,0))</f>
        <v>0</v>
      </c>
      <c r="DC234" s="39" t="n">
        <f aca="false">IF(DC$4=0,0,IF(COUNTIFS(実績!$W$6:$W$505,DC$3,実績!$AI$6:$AI$505,"&lt;="&amp;$A234,実績!$AJ$6:$AJ$505,"&gt;"&amp;$A234,実績!$AK$6:$AK$505,"○")&gt;0,1,0))</f>
        <v>0</v>
      </c>
      <c r="DD234" s="39" t="n">
        <f aca="false">IF(DD$4=0,0,IF(COUNTIFS(実績!$W$6:$W$505,DD$3,実績!$AI$6:$AI$505,"&lt;="&amp;$A234,実績!$AJ$6:$AJ$505,"&gt;"&amp;$A234,実績!$AK$6:$AK$505,"○")&gt;0,1,0))</f>
        <v>0</v>
      </c>
      <c r="DE234" s="39" t="n">
        <f aca="false">IF(DE$4=0,0,IF(COUNTIFS(実績!$W$6:$W$505,DE$3,実績!$AI$6:$AI$505,"&lt;="&amp;$A234,実績!$AJ$6:$AJ$505,"&gt;"&amp;$A234,実績!$AK$6:$AK$505,"○")&gt;0,1,0))</f>
        <v>0</v>
      </c>
      <c r="DF234" s="39" t="n">
        <f aca="false">IF(DF$4=0,0,IF(COUNTIFS(実績!$W$6:$W$505,DF$3,実績!$AI$6:$AI$505,"&lt;="&amp;$A234,実績!$AJ$6:$AJ$505,"&gt;"&amp;$A234,実績!$AK$6:$AK$505,"○")&gt;0,1,0))</f>
        <v>0</v>
      </c>
      <c r="DG234" s="39" t="n">
        <f aca="false">IF(DG$4=0,0,IF(COUNTIFS(実績!$W$6:$W$505,DG$3,実績!$AI$6:$AI$505,"&lt;="&amp;$A234,実績!$AJ$6:$AJ$505,"&gt;"&amp;$A234,実績!$AK$6:$AK$505,"○")&gt;0,1,0))</f>
        <v>0</v>
      </c>
      <c r="DH234" s="39" t="n">
        <f aca="false">IF(DH$4=0,0,IF(COUNTIFS(実績!$W$6:$W$505,DH$3,実績!$AI$6:$AI$505,"&lt;="&amp;$A234,実績!$AJ$6:$AJ$505,"&gt;"&amp;$A234,実績!$AK$6:$AK$505,"○")&gt;0,1,0))</f>
        <v>0</v>
      </c>
      <c r="DI234" s="39" t="n">
        <f aca="false">IF(DI$4=0,0,IF(COUNTIFS(実績!$W$6:$W$505,DI$3,実績!$AI$6:$AI$505,"&lt;="&amp;$A234,実績!$AJ$6:$AJ$505,"&gt;"&amp;$A234,実績!$AK$6:$AK$505,"○")&gt;0,1,0))</f>
        <v>0</v>
      </c>
      <c r="DJ234" s="39" t="n">
        <f aca="false">IF(DJ$4=0,0,IF(COUNTIFS(実績!$W$6:$W$505,DJ$3,実績!$AI$6:$AI$505,"&lt;="&amp;$A234,実績!$AJ$6:$AJ$505,"&gt;"&amp;$A234,実績!$AK$6:$AK$505,"○")&gt;0,1,0))</f>
        <v>0</v>
      </c>
      <c r="DK234" s="39" t="n">
        <f aca="false">IF(DK$4=0,0,IF(COUNTIFS(実績!$W$6:$W$505,DK$3,実績!$AI$6:$AI$505,"&lt;="&amp;$A234,実績!$AJ$6:$AJ$505,"&gt;"&amp;$A234,実績!$AK$6:$AK$505,"○")&gt;0,1,0))</f>
        <v>0</v>
      </c>
      <c r="DL234" s="39" t="n">
        <f aca="false">IF(DL$4=0,0,IF(COUNTIFS(実績!$W$6:$W$505,DL$3,実績!$AI$6:$AI$505,"&lt;="&amp;$A234,実績!$AJ$6:$AJ$505,"&gt;"&amp;$A234,実績!$AK$6:$AK$505,"○")&gt;0,1,0))</f>
        <v>0</v>
      </c>
      <c r="DM234" s="39" t="n">
        <f aca="false">IF(DM$4=0,0,IF(COUNTIFS(実績!$W$6:$W$505,DM$3,実績!$AI$6:$AI$505,"&lt;="&amp;$A234,実績!$AJ$6:$AJ$505,"&gt;"&amp;$A234,実績!$AK$6:$AK$505,"○")&gt;0,1,0))</f>
        <v>0</v>
      </c>
      <c r="DN234" s="39" t="n">
        <f aca="false">IF(DN$4=0,0,IF(COUNTIFS(実績!$W$6:$W$505,DN$3,実績!$AI$6:$AI$505,"&lt;="&amp;$A234,実績!$AJ$6:$AJ$505,"&gt;"&amp;$A234,実績!$AK$6:$AK$505,"○")&gt;0,1,0))</f>
        <v>0</v>
      </c>
      <c r="DO234" s="39" t="n">
        <f aca="false">IF(DO$4=0,0,IF(COUNTIFS(実績!$W$6:$W$505,DO$3,実績!$AI$6:$AI$505,"&lt;="&amp;$A234,実績!$AJ$6:$AJ$505,"&gt;"&amp;$A234,実績!$AK$6:$AK$505,"○")&gt;0,1,0))</f>
        <v>0</v>
      </c>
      <c r="DP234" s="39" t="n">
        <f aca="false">IF(DP$4=0,0,IF(COUNTIFS(実績!$W$6:$W$505,DP$3,実績!$AI$6:$AI$505,"&lt;="&amp;$A234,実績!$AJ$6:$AJ$505,"&gt;"&amp;$A234,実績!$AK$6:$AK$505,"○")&gt;0,1,0))</f>
        <v>0</v>
      </c>
      <c r="DQ234" s="39" t="n">
        <f aca="false">IF(DQ$4=0,0,IF(COUNTIFS(実績!$W$6:$W$505,DQ$3,実績!$AI$6:$AI$505,"&lt;="&amp;$A234,実績!$AJ$6:$AJ$505,"&gt;"&amp;$A234,実績!$AK$6:$AK$505,"○")&gt;0,1,0))</f>
        <v>0</v>
      </c>
      <c r="DR234" s="39" t="n">
        <f aca="false">IF(DR$4=0,0,IF(COUNTIFS(実績!$W$6:$W$505,DR$3,実績!$AI$6:$AI$505,"&lt;="&amp;$A234,実績!$AJ$6:$AJ$505,"&gt;"&amp;$A234,実績!$AK$6:$AK$505,"○")&gt;0,1,0))</f>
        <v>0</v>
      </c>
      <c r="DS234" s="39" t="n">
        <f aca="false">SUM(C234:DR234)</f>
        <v>0</v>
      </c>
      <c r="DT234" s="39" t="n">
        <f aca="false">SUMPRODUCT((実績!$C$6:$C$505="○")*ISNUMBER(実績!$AM$6:$AM$505)*(実績!$AM$6:$AM$505&lt;=$A234)*(実績!$AN$6:$AN$505&gt;$A234))</f>
        <v>0</v>
      </c>
      <c r="DU234" s="39" t="n">
        <f aca="false">SUMIF($C$2:$DR$2,"製鉄曳船",C234:DR234)</f>
        <v>0</v>
      </c>
      <c r="DV234" s="39" t="n">
        <f aca="false">SUMIF($C$2:$DR$2,"西日本海運",C234:DR234)</f>
        <v>0</v>
      </c>
    </row>
    <row r="235" customFormat="false" ht="15" hidden="false" customHeight="false" outlineLevel="0" collapsed="false">
      <c r="A235" s="0" t="n">
        <v>1145</v>
      </c>
      <c r="B235" s="38" t="n">
        <f aca="false">A235/1440</f>
        <v>0.795138888888889</v>
      </c>
      <c r="C235" s="39" t="n">
        <f aca="false">IF(C$4=0,0,IF(COUNTIFS(実績!$W$6:$W$505,C$3,実績!$AI$6:$AI$505,"&lt;="&amp;$A235,実績!$AJ$6:$AJ$505,"&gt;"&amp;$A235,実績!$AK$6:$AK$505,"○")&gt;0,1,0))</f>
        <v>0</v>
      </c>
      <c r="D235" s="39" t="n">
        <f aca="false">IF(D$4=0,0,IF(COUNTIFS(実績!$W$6:$W$505,D$3,実績!$AI$6:$AI$505,"&lt;="&amp;$A235,実績!$AJ$6:$AJ$505,"&gt;"&amp;$A235,実績!$AK$6:$AK$505,"○")&gt;0,1,0))</f>
        <v>0</v>
      </c>
      <c r="E235" s="39" t="n">
        <f aca="false">IF(E$4=0,0,IF(COUNTIFS(実績!$W$6:$W$505,E$3,実績!$AI$6:$AI$505,"&lt;="&amp;$A235,実績!$AJ$6:$AJ$505,"&gt;"&amp;$A235,実績!$AK$6:$AK$505,"○")&gt;0,1,0))</f>
        <v>0</v>
      </c>
      <c r="F235" s="39" t="n">
        <f aca="false">IF(F$4=0,0,IF(COUNTIFS(実績!$W$6:$W$505,F$3,実績!$AI$6:$AI$505,"&lt;="&amp;$A235,実績!$AJ$6:$AJ$505,"&gt;"&amp;$A235,実績!$AK$6:$AK$505,"○")&gt;0,1,0))</f>
        <v>0</v>
      </c>
      <c r="G235" s="39" t="n">
        <f aca="false">IF(G$4=0,0,IF(COUNTIFS(実績!$W$6:$W$505,G$3,実績!$AI$6:$AI$505,"&lt;="&amp;$A235,実績!$AJ$6:$AJ$505,"&gt;"&amp;$A235,実績!$AK$6:$AK$505,"○")&gt;0,1,0))</f>
        <v>0</v>
      </c>
      <c r="H235" s="39" t="n">
        <f aca="false">IF(H$4=0,0,IF(COUNTIFS(実績!$W$6:$W$505,H$3,実績!$AI$6:$AI$505,"&lt;="&amp;$A235,実績!$AJ$6:$AJ$505,"&gt;"&amp;$A235,実績!$AK$6:$AK$505,"○")&gt;0,1,0))</f>
        <v>0</v>
      </c>
      <c r="I235" s="39" t="n">
        <f aca="false">IF(I$4=0,0,IF(COUNTIFS(実績!$W$6:$W$505,I$3,実績!$AI$6:$AI$505,"&lt;="&amp;$A235,実績!$AJ$6:$AJ$505,"&gt;"&amp;$A235,実績!$AK$6:$AK$505,"○")&gt;0,1,0))</f>
        <v>0</v>
      </c>
      <c r="J235" s="39" t="n">
        <f aca="false">IF(J$4=0,0,IF(COUNTIFS(実績!$W$6:$W$505,J$3,実績!$AI$6:$AI$505,"&lt;="&amp;$A235,実績!$AJ$6:$AJ$505,"&gt;"&amp;$A235,実績!$AK$6:$AK$505,"○")&gt;0,1,0))</f>
        <v>0</v>
      </c>
      <c r="K235" s="39" t="n">
        <f aca="false">IF(K$4=0,0,IF(COUNTIFS(実績!$W$6:$W$505,K$3,実績!$AI$6:$AI$505,"&lt;="&amp;$A235,実績!$AJ$6:$AJ$505,"&gt;"&amp;$A235,実績!$AK$6:$AK$505,"○")&gt;0,1,0))</f>
        <v>0</v>
      </c>
      <c r="L235" s="39" t="n">
        <f aca="false">IF(L$4=0,0,IF(COUNTIFS(実績!$W$6:$W$505,L$3,実績!$AI$6:$AI$505,"&lt;="&amp;$A235,実績!$AJ$6:$AJ$505,"&gt;"&amp;$A235,実績!$AK$6:$AK$505,"○")&gt;0,1,0))</f>
        <v>0</v>
      </c>
      <c r="M235" s="39" t="n">
        <f aca="false">IF(M$4=0,0,IF(COUNTIFS(実績!$W$6:$W$505,M$3,実績!$AI$6:$AI$505,"&lt;="&amp;$A235,実績!$AJ$6:$AJ$505,"&gt;"&amp;$A235,実績!$AK$6:$AK$505,"○")&gt;0,1,0))</f>
        <v>0</v>
      </c>
      <c r="N235" s="39" t="n">
        <f aca="false">IF(N$4=0,0,IF(COUNTIFS(実績!$W$6:$W$505,N$3,実績!$AI$6:$AI$505,"&lt;="&amp;$A235,実績!$AJ$6:$AJ$505,"&gt;"&amp;$A235,実績!$AK$6:$AK$505,"○")&gt;0,1,0))</f>
        <v>0</v>
      </c>
      <c r="O235" s="39" t="n">
        <f aca="false">IF(O$4=0,0,IF(COUNTIFS(実績!$W$6:$W$505,O$3,実績!$AI$6:$AI$505,"&lt;="&amp;$A235,実績!$AJ$6:$AJ$505,"&gt;"&amp;$A235,実績!$AK$6:$AK$505,"○")&gt;0,1,0))</f>
        <v>0</v>
      </c>
      <c r="P235" s="39" t="n">
        <f aca="false">IF(P$4=0,0,IF(COUNTIFS(実績!$W$6:$W$505,P$3,実績!$AI$6:$AI$505,"&lt;="&amp;$A235,実績!$AJ$6:$AJ$505,"&gt;"&amp;$A235,実績!$AK$6:$AK$505,"○")&gt;0,1,0))</f>
        <v>0</v>
      </c>
      <c r="Q235" s="39" t="n">
        <f aca="false">IF(Q$4=0,0,IF(COUNTIFS(実績!$W$6:$W$505,Q$3,実績!$AI$6:$AI$505,"&lt;="&amp;$A235,実績!$AJ$6:$AJ$505,"&gt;"&amp;$A235,実績!$AK$6:$AK$505,"○")&gt;0,1,0))</f>
        <v>0</v>
      </c>
      <c r="R235" s="39" t="n">
        <f aca="false">IF(R$4=0,0,IF(COUNTIFS(実績!$W$6:$W$505,R$3,実績!$AI$6:$AI$505,"&lt;="&amp;$A235,実績!$AJ$6:$AJ$505,"&gt;"&amp;$A235,実績!$AK$6:$AK$505,"○")&gt;0,1,0))</f>
        <v>0</v>
      </c>
      <c r="S235" s="39" t="n">
        <f aca="false">IF(S$4=0,0,IF(COUNTIFS(実績!$W$6:$W$505,S$3,実績!$AI$6:$AI$505,"&lt;="&amp;$A235,実績!$AJ$6:$AJ$505,"&gt;"&amp;$A235,実績!$AK$6:$AK$505,"○")&gt;0,1,0))</f>
        <v>0</v>
      </c>
      <c r="T235" s="39" t="n">
        <f aca="false">IF(T$4=0,0,IF(COUNTIFS(実績!$W$6:$W$505,T$3,実績!$AI$6:$AI$505,"&lt;="&amp;$A235,実績!$AJ$6:$AJ$505,"&gt;"&amp;$A235,実績!$AK$6:$AK$505,"○")&gt;0,1,0))</f>
        <v>0</v>
      </c>
      <c r="U235" s="39" t="n">
        <f aca="false">IF(U$4=0,0,IF(COUNTIFS(実績!$W$6:$W$505,U$3,実績!$AI$6:$AI$505,"&lt;="&amp;$A235,実績!$AJ$6:$AJ$505,"&gt;"&amp;$A235,実績!$AK$6:$AK$505,"○")&gt;0,1,0))</f>
        <v>0</v>
      </c>
      <c r="V235" s="39" t="n">
        <f aca="false">IF(V$4=0,0,IF(COUNTIFS(実績!$W$6:$W$505,V$3,実績!$AI$6:$AI$505,"&lt;="&amp;$A235,実績!$AJ$6:$AJ$505,"&gt;"&amp;$A235,実績!$AK$6:$AK$505,"○")&gt;0,1,0))</f>
        <v>0</v>
      </c>
      <c r="W235" s="39" t="n">
        <f aca="false">IF(W$4=0,0,IF(COUNTIFS(実績!$W$6:$W$505,W$3,実績!$AI$6:$AI$505,"&lt;="&amp;$A235,実績!$AJ$6:$AJ$505,"&gt;"&amp;$A235,実績!$AK$6:$AK$505,"○")&gt;0,1,0))</f>
        <v>0</v>
      </c>
      <c r="X235" s="39" t="n">
        <f aca="false">IF(X$4=0,0,IF(COUNTIFS(実績!$W$6:$W$505,X$3,実績!$AI$6:$AI$505,"&lt;="&amp;$A235,実績!$AJ$6:$AJ$505,"&gt;"&amp;$A235,実績!$AK$6:$AK$505,"○")&gt;0,1,0))</f>
        <v>0</v>
      </c>
      <c r="Y235" s="39" t="n">
        <f aca="false">IF(Y$4=0,0,IF(COUNTIFS(実績!$W$6:$W$505,Y$3,実績!$AI$6:$AI$505,"&lt;="&amp;$A235,実績!$AJ$6:$AJ$505,"&gt;"&amp;$A235,実績!$AK$6:$AK$505,"○")&gt;0,1,0))</f>
        <v>0</v>
      </c>
      <c r="Z235" s="39" t="n">
        <f aca="false">IF(Z$4=0,0,IF(COUNTIFS(実績!$W$6:$W$505,Z$3,実績!$AI$6:$AI$505,"&lt;="&amp;$A235,実績!$AJ$6:$AJ$505,"&gt;"&amp;$A235,実績!$AK$6:$AK$505,"○")&gt;0,1,0))</f>
        <v>0</v>
      </c>
      <c r="AA235" s="39" t="n">
        <f aca="false">IF(AA$4=0,0,IF(COUNTIFS(実績!$W$6:$W$505,AA$3,実績!$AI$6:$AI$505,"&lt;="&amp;$A235,実績!$AJ$6:$AJ$505,"&gt;"&amp;$A235,実績!$AK$6:$AK$505,"○")&gt;0,1,0))</f>
        <v>0</v>
      </c>
      <c r="AB235" s="39" t="n">
        <f aca="false">IF(AB$4=0,0,IF(COUNTIFS(実績!$W$6:$W$505,AB$3,実績!$AI$6:$AI$505,"&lt;="&amp;$A235,実績!$AJ$6:$AJ$505,"&gt;"&amp;$A235,実績!$AK$6:$AK$505,"○")&gt;0,1,0))</f>
        <v>0</v>
      </c>
      <c r="AC235" s="39" t="n">
        <f aca="false">IF(AC$4=0,0,IF(COUNTIFS(実績!$W$6:$W$505,AC$3,実績!$AI$6:$AI$505,"&lt;="&amp;$A235,実績!$AJ$6:$AJ$505,"&gt;"&amp;$A235,実績!$AK$6:$AK$505,"○")&gt;0,1,0))</f>
        <v>0</v>
      </c>
      <c r="AD235" s="39" t="n">
        <f aca="false">IF(AD$4=0,0,IF(COUNTIFS(実績!$W$6:$W$505,AD$3,実績!$AI$6:$AI$505,"&lt;="&amp;$A235,実績!$AJ$6:$AJ$505,"&gt;"&amp;$A235,実績!$AK$6:$AK$505,"○")&gt;0,1,0))</f>
        <v>0</v>
      </c>
      <c r="AE235" s="39" t="n">
        <f aca="false">IF(AE$4=0,0,IF(COUNTIFS(実績!$W$6:$W$505,AE$3,実績!$AI$6:$AI$505,"&lt;="&amp;$A235,実績!$AJ$6:$AJ$505,"&gt;"&amp;$A235,実績!$AK$6:$AK$505,"○")&gt;0,1,0))</f>
        <v>0</v>
      </c>
      <c r="AF235" s="39" t="n">
        <f aca="false">IF(AF$4=0,0,IF(COUNTIFS(実績!$W$6:$W$505,AF$3,実績!$AI$6:$AI$505,"&lt;="&amp;$A235,実績!$AJ$6:$AJ$505,"&gt;"&amp;$A235,実績!$AK$6:$AK$505,"○")&gt;0,1,0))</f>
        <v>0</v>
      </c>
      <c r="AG235" s="39" t="n">
        <f aca="false">IF(AG$4=0,0,IF(COUNTIFS(実績!$W$6:$W$505,AG$3,実績!$AI$6:$AI$505,"&lt;="&amp;$A235,実績!$AJ$6:$AJ$505,"&gt;"&amp;$A235,実績!$AK$6:$AK$505,"○")&gt;0,1,0))</f>
        <v>0</v>
      </c>
      <c r="AH235" s="39" t="n">
        <f aca="false">IF(AH$4=0,0,IF(COUNTIFS(実績!$W$6:$W$505,AH$3,実績!$AI$6:$AI$505,"&lt;="&amp;$A235,実績!$AJ$6:$AJ$505,"&gt;"&amp;$A235,実績!$AK$6:$AK$505,"○")&gt;0,1,0))</f>
        <v>0</v>
      </c>
      <c r="AI235" s="39" t="n">
        <f aca="false">IF(AI$4=0,0,IF(COUNTIFS(実績!$W$6:$W$505,AI$3,実績!$AI$6:$AI$505,"&lt;="&amp;$A235,実績!$AJ$6:$AJ$505,"&gt;"&amp;$A235,実績!$AK$6:$AK$505,"○")&gt;0,1,0))</f>
        <v>0</v>
      </c>
      <c r="AJ235" s="39" t="n">
        <f aca="false">IF(AJ$4=0,0,IF(COUNTIFS(実績!$W$6:$W$505,AJ$3,実績!$AI$6:$AI$505,"&lt;="&amp;$A235,実績!$AJ$6:$AJ$505,"&gt;"&amp;$A235,実績!$AK$6:$AK$505,"○")&gt;0,1,0))</f>
        <v>0</v>
      </c>
      <c r="AK235" s="39" t="n">
        <f aca="false">IF(AK$4=0,0,IF(COUNTIFS(実績!$W$6:$W$505,AK$3,実績!$AI$6:$AI$505,"&lt;="&amp;$A235,実績!$AJ$6:$AJ$505,"&gt;"&amp;$A235,実績!$AK$6:$AK$505,"○")&gt;0,1,0))</f>
        <v>0</v>
      </c>
      <c r="AL235" s="39" t="n">
        <f aca="false">IF(AL$4=0,0,IF(COUNTIFS(実績!$W$6:$W$505,AL$3,実績!$AI$6:$AI$505,"&lt;="&amp;$A235,実績!$AJ$6:$AJ$505,"&gt;"&amp;$A235,実績!$AK$6:$AK$505,"○")&gt;0,1,0))</f>
        <v>0</v>
      </c>
      <c r="AM235" s="39" t="n">
        <f aca="false">IF(AM$4=0,0,IF(COUNTIFS(実績!$W$6:$W$505,AM$3,実績!$AI$6:$AI$505,"&lt;="&amp;$A235,実績!$AJ$6:$AJ$505,"&gt;"&amp;$A235,実績!$AK$6:$AK$505,"○")&gt;0,1,0))</f>
        <v>0</v>
      </c>
      <c r="AN235" s="39" t="n">
        <f aca="false">IF(AN$4=0,0,IF(COUNTIFS(実績!$W$6:$W$505,AN$3,実績!$AI$6:$AI$505,"&lt;="&amp;$A235,実績!$AJ$6:$AJ$505,"&gt;"&amp;$A235,実績!$AK$6:$AK$505,"○")&gt;0,1,0))</f>
        <v>0</v>
      </c>
      <c r="AO235" s="39" t="n">
        <f aca="false">IF(AO$4=0,0,IF(COUNTIFS(実績!$W$6:$W$505,AO$3,実績!$AI$6:$AI$505,"&lt;="&amp;$A235,実績!$AJ$6:$AJ$505,"&gt;"&amp;$A235,実績!$AK$6:$AK$505,"○")&gt;0,1,0))</f>
        <v>0</v>
      </c>
      <c r="AP235" s="39" t="n">
        <f aca="false">IF(AP$4=0,0,IF(COUNTIFS(実績!$W$6:$W$505,AP$3,実績!$AI$6:$AI$505,"&lt;="&amp;$A235,実績!$AJ$6:$AJ$505,"&gt;"&amp;$A235,実績!$AK$6:$AK$505,"○")&gt;0,1,0))</f>
        <v>0</v>
      </c>
      <c r="AQ235" s="39" t="n">
        <f aca="false">IF(AQ$4=0,0,IF(COUNTIFS(実績!$W$6:$W$505,AQ$3,実績!$AI$6:$AI$505,"&lt;="&amp;$A235,実績!$AJ$6:$AJ$505,"&gt;"&amp;$A235,実績!$AK$6:$AK$505,"○")&gt;0,1,0))</f>
        <v>0</v>
      </c>
      <c r="AR235" s="39" t="n">
        <f aca="false">IF(AR$4=0,0,IF(COUNTIFS(実績!$W$6:$W$505,AR$3,実績!$AI$6:$AI$505,"&lt;="&amp;$A235,実績!$AJ$6:$AJ$505,"&gt;"&amp;$A235,実績!$AK$6:$AK$505,"○")&gt;0,1,0))</f>
        <v>0</v>
      </c>
      <c r="AS235" s="39" t="n">
        <f aca="false">IF(AS$4=0,0,IF(COUNTIFS(実績!$W$6:$W$505,AS$3,実績!$AI$6:$AI$505,"&lt;="&amp;$A235,実績!$AJ$6:$AJ$505,"&gt;"&amp;$A235,実績!$AK$6:$AK$505,"○")&gt;0,1,0))</f>
        <v>0</v>
      </c>
      <c r="AT235" s="39" t="n">
        <f aca="false">IF(AT$4=0,0,IF(COUNTIFS(実績!$W$6:$W$505,AT$3,実績!$AI$6:$AI$505,"&lt;="&amp;$A235,実績!$AJ$6:$AJ$505,"&gt;"&amp;$A235,実績!$AK$6:$AK$505,"○")&gt;0,1,0))</f>
        <v>0</v>
      </c>
      <c r="AU235" s="39" t="n">
        <f aca="false">IF(AU$4=0,0,IF(COUNTIFS(実績!$W$6:$W$505,AU$3,実績!$AI$6:$AI$505,"&lt;="&amp;$A235,実績!$AJ$6:$AJ$505,"&gt;"&amp;$A235,実績!$AK$6:$AK$505,"○")&gt;0,1,0))</f>
        <v>0</v>
      </c>
      <c r="AV235" s="39" t="n">
        <f aca="false">IF(AV$4=0,0,IF(COUNTIFS(実績!$W$6:$W$505,AV$3,実績!$AI$6:$AI$505,"&lt;="&amp;$A235,実績!$AJ$6:$AJ$505,"&gt;"&amp;$A235,実績!$AK$6:$AK$505,"○")&gt;0,1,0))</f>
        <v>0</v>
      </c>
      <c r="AW235" s="39" t="n">
        <f aca="false">IF(AW$4=0,0,IF(COUNTIFS(実績!$W$6:$W$505,AW$3,実績!$AI$6:$AI$505,"&lt;="&amp;$A235,実績!$AJ$6:$AJ$505,"&gt;"&amp;$A235,実績!$AK$6:$AK$505,"○")&gt;0,1,0))</f>
        <v>0</v>
      </c>
      <c r="AX235" s="39" t="n">
        <f aca="false">IF(AX$4=0,0,IF(COUNTIFS(実績!$W$6:$W$505,AX$3,実績!$AI$6:$AI$505,"&lt;="&amp;$A235,実績!$AJ$6:$AJ$505,"&gt;"&amp;$A235,実績!$AK$6:$AK$505,"○")&gt;0,1,0))</f>
        <v>0</v>
      </c>
      <c r="AY235" s="39" t="n">
        <f aca="false">IF(AY$4=0,0,IF(COUNTIFS(実績!$W$6:$W$505,AY$3,実績!$AI$6:$AI$505,"&lt;="&amp;$A235,実績!$AJ$6:$AJ$505,"&gt;"&amp;$A235,実績!$AK$6:$AK$505,"○")&gt;0,1,0))</f>
        <v>0</v>
      </c>
      <c r="AZ235" s="39" t="n">
        <f aca="false">IF(AZ$4=0,0,IF(COUNTIFS(実績!$W$6:$W$505,AZ$3,実績!$AI$6:$AI$505,"&lt;="&amp;$A235,実績!$AJ$6:$AJ$505,"&gt;"&amp;$A235,実績!$AK$6:$AK$505,"○")&gt;0,1,0))</f>
        <v>0</v>
      </c>
      <c r="BA235" s="39" t="n">
        <f aca="false">IF(BA$4=0,0,IF(COUNTIFS(実績!$W$6:$W$505,BA$3,実績!$AI$6:$AI$505,"&lt;="&amp;$A235,実績!$AJ$6:$AJ$505,"&gt;"&amp;$A235,実績!$AK$6:$AK$505,"○")&gt;0,1,0))</f>
        <v>0</v>
      </c>
      <c r="BB235" s="39" t="n">
        <f aca="false">IF(BB$4=0,0,IF(COUNTIFS(実績!$W$6:$W$505,BB$3,実績!$AI$6:$AI$505,"&lt;="&amp;$A235,実績!$AJ$6:$AJ$505,"&gt;"&amp;$A235,実績!$AK$6:$AK$505,"○")&gt;0,1,0))</f>
        <v>0</v>
      </c>
      <c r="BC235" s="39" t="n">
        <f aca="false">IF(BC$4=0,0,IF(COUNTIFS(実績!$W$6:$W$505,BC$3,実績!$AI$6:$AI$505,"&lt;="&amp;$A235,実績!$AJ$6:$AJ$505,"&gt;"&amp;$A235,実績!$AK$6:$AK$505,"○")&gt;0,1,0))</f>
        <v>0</v>
      </c>
      <c r="BD235" s="39" t="n">
        <f aca="false">IF(BD$4=0,0,IF(COUNTIFS(実績!$W$6:$W$505,BD$3,実績!$AI$6:$AI$505,"&lt;="&amp;$A235,実績!$AJ$6:$AJ$505,"&gt;"&amp;$A235,実績!$AK$6:$AK$505,"○")&gt;0,1,0))</f>
        <v>0</v>
      </c>
      <c r="BE235" s="39" t="n">
        <f aca="false">IF(BE$4=0,0,IF(COUNTIFS(実績!$W$6:$W$505,BE$3,実績!$AI$6:$AI$505,"&lt;="&amp;$A235,実績!$AJ$6:$AJ$505,"&gt;"&amp;$A235,実績!$AK$6:$AK$505,"○")&gt;0,1,0))</f>
        <v>0</v>
      </c>
      <c r="BF235" s="39" t="n">
        <f aca="false">IF(BF$4=0,0,IF(COUNTIFS(実績!$W$6:$W$505,BF$3,実績!$AI$6:$AI$505,"&lt;="&amp;$A235,実績!$AJ$6:$AJ$505,"&gt;"&amp;$A235,実績!$AK$6:$AK$505,"○")&gt;0,1,0))</f>
        <v>0</v>
      </c>
      <c r="BG235" s="39" t="n">
        <f aca="false">IF(BG$4=0,0,IF(COUNTIFS(実績!$W$6:$W$505,BG$3,実績!$AI$6:$AI$505,"&lt;="&amp;$A235,実績!$AJ$6:$AJ$505,"&gt;"&amp;$A235,実績!$AK$6:$AK$505,"○")&gt;0,1,0))</f>
        <v>0</v>
      </c>
      <c r="BH235" s="39" t="n">
        <f aca="false">IF(BH$4=0,0,IF(COUNTIFS(実績!$W$6:$W$505,BH$3,実績!$AI$6:$AI$505,"&lt;="&amp;$A235,実績!$AJ$6:$AJ$505,"&gt;"&amp;$A235,実績!$AK$6:$AK$505,"○")&gt;0,1,0))</f>
        <v>0</v>
      </c>
      <c r="BI235" s="39" t="n">
        <f aca="false">IF(BI$4=0,0,IF(COUNTIFS(実績!$W$6:$W$505,BI$3,実績!$AI$6:$AI$505,"&lt;="&amp;$A235,実績!$AJ$6:$AJ$505,"&gt;"&amp;$A235,実績!$AK$6:$AK$505,"○")&gt;0,1,0))</f>
        <v>0</v>
      </c>
      <c r="BJ235" s="39" t="n">
        <f aca="false">IF(BJ$4=0,0,IF(COUNTIFS(実績!$W$6:$W$505,BJ$3,実績!$AI$6:$AI$505,"&lt;="&amp;$A235,実績!$AJ$6:$AJ$505,"&gt;"&amp;$A235,実績!$AK$6:$AK$505,"○")&gt;0,1,0))</f>
        <v>0</v>
      </c>
      <c r="BK235" s="39" t="n">
        <f aca="false">IF(BK$4=0,0,IF(COUNTIFS(実績!$W$6:$W$505,BK$3,実績!$AI$6:$AI$505,"&lt;="&amp;$A235,実績!$AJ$6:$AJ$505,"&gt;"&amp;$A235,実績!$AK$6:$AK$505,"○")&gt;0,1,0))</f>
        <v>0</v>
      </c>
      <c r="BL235" s="39" t="n">
        <f aca="false">IF(BL$4=0,0,IF(COUNTIFS(実績!$W$6:$W$505,BL$3,実績!$AI$6:$AI$505,"&lt;="&amp;$A235,実績!$AJ$6:$AJ$505,"&gt;"&amp;$A235,実績!$AK$6:$AK$505,"○")&gt;0,1,0))</f>
        <v>0</v>
      </c>
      <c r="BM235" s="39" t="n">
        <f aca="false">IF(BM$4=0,0,IF(COUNTIFS(実績!$W$6:$W$505,BM$3,実績!$AI$6:$AI$505,"&lt;="&amp;$A235,実績!$AJ$6:$AJ$505,"&gt;"&amp;$A235,実績!$AK$6:$AK$505,"○")&gt;0,1,0))</f>
        <v>0</v>
      </c>
      <c r="BN235" s="39" t="n">
        <f aca="false">IF(BN$4=0,0,IF(COUNTIFS(実績!$W$6:$W$505,BN$3,実績!$AI$6:$AI$505,"&lt;="&amp;$A235,実績!$AJ$6:$AJ$505,"&gt;"&amp;$A235,実績!$AK$6:$AK$505,"○")&gt;0,1,0))</f>
        <v>0</v>
      </c>
      <c r="BO235" s="39" t="n">
        <f aca="false">IF(BO$4=0,0,IF(COUNTIFS(実績!$W$6:$W$505,BO$3,実績!$AI$6:$AI$505,"&lt;="&amp;$A235,実績!$AJ$6:$AJ$505,"&gt;"&amp;$A235,実績!$AK$6:$AK$505,"○")&gt;0,1,0))</f>
        <v>0</v>
      </c>
      <c r="BP235" s="39" t="n">
        <f aca="false">IF(BP$4=0,0,IF(COUNTIFS(実績!$W$6:$W$505,BP$3,実績!$AI$6:$AI$505,"&lt;="&amp;$A235,実績!$AJ$6:$AJ$505,"&gt;"&amp;$A235,実績!$AK$6:$AK$505,"○")&gt;0,1,0))</f>
        <v>0</v>
      </c>
      <c r="BQ235" s="39" t="n">
        <f aca="false">IF(BQ$4=0,0,IF(COUNTIFS(実績!$W$6:$W$505,BQ$3,実績!$AI$6:$AI$505,"&lt;="&amp;$A235,実績!$AJ$6:$AJ$505,"&gt;"&amp;$A235,実績!$AK$6:$AK$505,"○")&gt;0,1,0))</f>
        <v>0</v>
      </c>
      <c r="BR235" s="39" t="n">
        <f aca="false">IF(BR$4=0,0,IF(COUNTIFS(実績!$W$6:$W$505,BR$3,実績!$AI$6:$AI$505,"&lt;="&amp;$A235,実績!$AJ$6:$AJ$505,"&gt;"&amp;$A235,実績!$AK$6:$AK$505,"○")&gt;0,1,0))</f>
        <v>0</v>
      </c>
      <c r="BS235" s="39" t="n">
        <f aca="false">IF(BS$4=0,0,IF(COUNTIFS(実績!$W$6:$W$505,BS$3,実績!$AI$6:$AI$505,"&lt;="&amp;$A235,実績!$AJ$6:$AJ$505,"&gt;"&amp;$A235,実績!$AK$6:$AK$505,"○")&gt;0,1,0))</f>
        <v>0</v>
      </c>
      <c r="BT235" s="39" t="n">
        <f aca="false">IF(BT$4=0,0,IF(COUNTIFS(実績!$W$6:$W$505,BT$3,実績!$AI$6:$AI$505,"&lt;="&amp;$A235,実績!$AJ$6:$AJ$505,"&gt;"&amp;$A235,実績!$AK$6:$AK$505,"○")&gt;0,1,0))</f>
        <v>0</v>
      </c>
      <c r="BU235" s="39" t="n">
        <f aca="false">IF(BU$4=0,0,IF(COUNTIFS(実績!$W$6:$W$505,BU$3,実績!$AI$6:$AI$505,"&lt;="&amp;$A235,実績!$AJ$6:$AJ$505,"&gt;"&amp;$A235,実績!$AK$6:$AK$505,"○")&gt;0,1,0))</f>
        <v>0</v>
      </c>
      <c r="BV235" s="39" t="n">
        <f aca="false">IF(BV$4=0,0,IF(COUNTIFS(実績!$W$6:$W$505,BV$3,実績!$AI$6:$AI$505,"&lt;="&amp;$A235,実績!$AJ$6:$AJ$505,"&gt;"&amp;$A235,実績!$AK$6:$AK$505,"○")&gt;0,1,0))</f>
        <v>0</v>
      </c>
      <c r="BW235" s="39" t="n">
        <f aca="false">IF(BW$4=0,0,IF(COUNTIFS(実績!$W$6:$W$505,BW$3,実績!$AI$6:$AI$505,"&lt;="&amp;$A235,実績!$AJ$6:$AJ$505,"&gt;"&amp;$A235,実績!$AK$6:$AK$505,"○")&gt;0,1,0))</f>
        <v>0</v>
      </c>
      <c r="BX235" s="39" t="n">
        <f aca="false">IF(BX$4=0,0,IF(COUNTIFS(実績!$W$6:$W$505,BX$3,実績!$AI$6:$AI$505,"&lt;="&amp;$A235,実績!$AJ$6:$AJ$505,"&gt;"&amp;$A235,実績!$AK$6:$AK$505,"○")&gt;0,1,0))</f>
        <v>0</v>
      </c>
      <c r="BY235" s="39" t="n">
        <f aca="false">IF(BY$4=0,0,IF(COUNTIFS(実績!$W$6:$W$505,BY$3,実績!$AI$6:$AI$505,"&lt;="&amp;$A235,実績!$AJ$6:$AJ$505,"&gt;"&amp;$A235,実績!$AK$6:$AK$505,"○")&gt;0,1,0))</f>
        <v>0</v>
      </c>
      <c r="BZ235" s="39" t="n">
        <f aca="false">IF(BZ$4=0,0,IF(COUNTIFS(実績!$W$6:$W$505,BZ$3,実績!$AI$6:$AI$505,"&lt;="&amp;$A235,実績!$AJ$6:$AJ$505,"&gt;"&amp;$A235,実績!$AK$6:$AK$505,"○")&gt;0,1,0))</f>
        <v>0</v>
      </c>
      <c r="CA235" s="39" t="n">
        <f aca="false">IF(CA$4=0,0,IF(COUNTIFS(実績!$W$6:$W$505,CA$3,実績!$AI$6:$AI$505,"&lt;="&amp;$A235,実績!$AJ$6:$AJ$505,"&gt;"&amp;$A235,実績!$AK$6:$AK$505,"○")&gt;0,1,0))</f>
        <v>0</v>
      </c>
      <c r="CB235" s="39" t="n">
        <f aca="false">IF(CB$4=0,0,IF(COUNTIFS(実績!$W$6:$W$505,CB$3,実績!$AI$6:$AI$505,"&lt;="&amp;$A235,実績!$AJ$6:$AJ$505,"&gt;"&amp;$A235,実績!$AK$6:$AK$505,"○")&gt;0,1,0))</f>
        <v>0</v>
      </c>
      <c r="CC235" s="39" t="n">
        <f aca="false">IF(CC$4=0,0,IF(COUNTIFS(実績!$W$6:$W$505,CC$3,実績!$AI$6:$AI$505,"&lt;="&amp;$A235,実績!$AJ$6:$AJ$505,"&gt;"&amp;$A235,実績!$AK$6:$AK$505,"○")&gt;0,1,0))</f>
        <v>0</v>
      </c>
      <c r="CD235" s="39" t="n">
        <f aca="false">IF(CD$4=0,0,IF(COUNTIFS(実績!$W$6:$W$505,CD$3,実績!$AI$6:$AI$505,"&lt;="&amp;$A235,実績!$AJ$6:$AJ$505,"&gt;"&amp;$A235,実績!$AK$6:$AK$505,"○")&gt;0,1,0))</f>
        <v>0</v>
      </c>
      <c r="CE235" s="39" t="n">
        <f aca="false">IF(CE$4=0,0,IF(COUNTIFS(実績!$W$6:$W$505,CE$3,実績!$AI$6:$AI$505,"&lt;="&amp;$A235,実績!$AJ$6:$AJ$505,"&gt;"&amp;$A235,実績!$AK$6:$AK$505,"○")&gt;0,1,0))</f>
        <v>0</v>
      </c>
      <c r="CF235" s="39" t="n">
        <f aca="false">IF(CF$4=0,0,IF(COUNTIFS(実績!$W$6:$W$505,CF$3,実績!$AI$6:$AI$505,"&lt;="&amp;$A235,実績!$AJ$6:$AJ$505,"&gt;"&amp;$A235,実績!$AK$6:$AK$505,"○")&gt;0,1,0))</f>
        <v>0</v>
      </c>
      <c r="CG235" s="39" t="n">
        <f aca="false">IF(CG$4=0,0,IF(COUNTIFS(実績!$W$6:$W$505,CG$3,実績!$AI$6:$AI$505,"&lt;="&amp;$A235,実績!$AJ$6:$AJ$505,"&gt;"&amp;$A235,実績!$AK$6:$AK$505,"○")&gt;0,1,0))</f>
        <v>0</v>
      </c>
      <c r="CH235" s="39" t="n">
        <f aca="false">IF(CH$4=0,0,IF(COUNTIFS(実績!$W$6:$W$505,CH$3,実績!$AI$6:$AI$505,"&lt;="&amp;$A235,実績!$AJ$6:$AJ$505,"&gt;"&amp;$A235,実績!$AK$6:$AK$505,"○")&gt;0,1,0))</f>
        <v>0</v>
      </c>
      <c r="CI235" s="39" t="n">
        <f aca="false">IF(CI$4=0,0,IF(COUNTIFS(実績!$W$6:$W$505,CI$3,実績!$AI$6:$AI$505,"&lt;="&amp;$A235,実績!$AJ$6:$AJ$505,"&gt;"&amp;$A235,実績!$AK$6:$AK$505,"○")&gt;0,1,0))</f>
        <v>0</v>
      </c>
      <c r="CJ235" s="39" t="n">
        <f aca="false">IF(CJ$4=0,0,IF(COUNTIFS(実績!$W$6:$W$505,CJ$3,実績!$AI$6:$AI$505,"&lt;="&amp;$A235,実績!$AJ$6:$AJ$505,"&gt;"&amp;$A235,実績!$AK$6:$AK$505,"○")&gt;0,1,0))</f>
        <v>0</v>
      </c>
      <c r="CK235" s="39" t="n">
        <f aca="false">IF(CK$4=0,0,IF(COUNTIFS(実績!$W$6:$W$505,CK$3,実績!$AI$6:$AI$505,"&lt;="&amp;$A235,実績!$AJ$6:$AJ$505,"&gt;"&amp;$A235,実績!$AK$6:$AK$505,"○")&gt;0,1,0))</f>
        <v>0</v>
      </c>
      <c r="CL235" s="39" t="n">
        <f aca="false">IF(CL$4=0,0,IF(COUNTIFS(実績!$W$6:$W$505,CL$3,実績!$AI$6:$AI$505,"&lt;="&amp;$A235,実績!$AJ$6:$AJ$505,"&gt;"&amp;$A235,実績!$AK$6:$AK$505,"○")&gt;0,1,0))</f>
        <v>0</v>
      </c>
      <c r="CM235" s="39" t="n">
        <f aca="false">IF(CM$4=0,0,IF(COUNTIFS(実績!$W$6:$W$505,CM$3,実績!$AI$6:$AI$505,"&lt;="&amp;$A235,実績!$AJ$6:$AJ$505,"&gt;"&amp;$A235,実績!$AK$6:$AK$505,"○")&gt;0,1,0))</f>
        <v>0</v>
      </c>
      <c r="CN235" s="39" t="n">
        <f aca="false">IF(CN$4=0,0,IF(COUNTIFS(実績!$W$6:$W$505,CN$3,実績!$AI$6:$AI$505,"&lt;="&amp;$A235,実績!$AJ$6:$AJ$505,"&gt;"&amp;$A235,実績!$AK$6:$AK$505,"○")&gt;0,1,0))</f>
        <v>0</v>
      </c>
      <c r="CO235" s="39" t="n">
        <f aca="false">IF(CO$4=0,0,IF(COUNTIFS(実績!$W$6:$W$505,CO$3,実績!$AI$6:$AI$505,"&lt;="&amp;$A235,実績!$AJ$6:$AJ$505,"&gt;"&amp;$A235,実績!$AK$6:$AK$505,"○")&gt;0,1,0))</f>
        <v>0</v>
      </c>
      <c r="CP235" s="39" t="n">
        <f aca="false">IF(CP$4=0,0,IF(COUNTIFS(実績!$W$6:$W$505,CP$3,実績!$AI$6:$AI$505,"&lt;="&amp;$A235,実績!$AJ$6:$AJ$505,"&gt;"&amp;$A235,実績!$AK$6:$AK$505,"○")&gt;0,1,0))</f>
        <v>0</v>
      </c>
      <c r="CQ235" s="39" t="n">
        <f aca="false">IF(CQ$4=0,0,IF(COUNTIFS(実績!$W$6:$W$505,CQ$3,実績!$AI$6:$AI$505,"&lt;="&amp;$A235,実績!$AJ$6:$AJ$505,"&gt;"&amp;$A235,実績!$AK$6:$AK$505,"○")&gt;0,1,0))</f>
        <v>0</v>
      </c>
      <c r="CR235" s="39" t="n">
        <f aca="false">IF(CR$4=0,0,IF(COUNTIFS(実績!$W$6:$W$505,CR$3,実績!$AI$6:$AI$505,"&lt;="&amp;$A235,実績!$AJ$6:$AJ$505,"&gt;"&amp;$A235,実績!$AK$6:$AK$505,"○")&gt;0,1,0))</f>
        <v>0</v>
      </c>
      <c r="CS235" s="39" t="n">
        <f aca="false">IF(CS$4=0,0,IF(COUNTIFS(実績!$W$6:$W$505,CS$3,実績!$AI$6:$AI$505,"&lt;="&amp;$A235,実績!$AJ$6:$AJ$505,"&gt;"&amp;$A235,実績!$AK$6:$AK$505,"○")&gt;0,1,0))</f>
        <v>0</v>
      </c>
      <c r="CT235" s="39" t="n">
        <f aca="false">IF(CT$4=0,0,IF(COUNTIFS(実績!$W$6:$W$505,CT$3,実績!$AI$6:$AI$505,"&lt;="&amp;$A235,実績!$AJ$6:$AJ$505,"&gt;"&amp;$A235,実績!$AK$6:$AK$505,"○")&gt;0,1,0))</f>
        <v>0</v>
      </c>
      <c r="CU235" s="39" t="n">
        <f aca="false">IF(CU$4=0,0,IF(COUNTIFS(実績!$W$6:$W$505,CU$3,実績!$AI$6:$AI$505,"&lt;="&amp;$A235,実績!$AJ$6:$AJ$505,"&gt;"&amp;$A235,実績!$AK$6:$AK$505,"○")&gt;0,1,0))</f>
        <v>0</v>
      </c>
      <c r="CV235" s="39" t="n">
        <f aca="false">IF(CV$4=0,0,IF(COUNTIFS(実績!$W$6:$W$505,CV$3,実績!$AI$6:$AI$505,"&lt;="&amp;$A235,実績!$AJ$6:$AJ$505,"&gt;"&amp;$A235,実績!$AK$6:$AK$505,"○")&gt;0,1,0))</f>
        <v>0</v>
      </c>
      <c r="CW235" s="39" t="n">
        <f aca="false">IF(CW$4=0,0,IF(COUNTIFS(実績!$W$6:$W$505,CW$3,実績!$AI$6:$AI$505,"&lt;="&amp;$A235,実績!$AJ$6:$AJ$505,"&gt;"&amp;$A235,実績!$AK$6:$AK$505,"○")&gt;0,1,0))</f>
        <v>0</v>
      </c>
      <c r="CX235" s="39" t="n">
        <f aca="false">IF(CX$4=0,0,IF(COUNTIFS(実績!$W$6:$W$505,CX$3,実績!$AI$6:$AI$505,"&lt;="&amp;$A235,実績!$AJ$6:$AJ$505,"&gt;"&amp;$A235,実績!$AK$6:$AK$505,"○")&gt;0,1,0))</f>
        <v>0</v>
      </c>
      <c r="CY235" s="39" t="n">
        <f aca="false">IF(CY$4=0,0,IF(COUNTIFS(実績!$W$6:$W$505,CY$3,実績!$AI$6:$AI$505,"&lt;="&amp;$A235,実績!$AJ$6:$AJ$505,"&gt;"&amp;$A235,実績!$AK$6:$AK$505,"○")&gt;0,1,0))</f>
        <v>0</v>
      </c>
      <c r="CZ235" s="39" t="n">
        <f aca="false">IF(CZ$4=0,0,IF(COUNTIFS(実績!$W$6:$W$505,CZ$3,実績!$AI$6:$AI$505,"&lt;="&amp;$A235,実績!$AJ$6:$AJ$505,"&gt;"&amp;$A235,実績!$AK$6:$AK$505,"○")&gt;0,1,0))</f>
        <v>0</v>
      </c>
      <c r="DA235" s="39" t="n">
        <f aca="false">IF(DA$4=0,0,IF(COUNTIFS(実績!$W$6:$W$505,DA$3,実績!$AI$6:$AI$505,"&lt;="&amp;$A235,実績!$AJ$6:$AJ$505,"&gt;"&amp;$A235,実績!$AK$6:$AK$505,"○")&gt;0,1,0))</f>
        <v>0</v>
      </c>
      <c r="DB235" s="39" t="n">
        <f aca="false">IF(DB$4=0,0,IF(COUNTIFS(実績!$W$6:$W$505,DB$3,実績!$AI$6:$AI$505,"&lt;="&amp;$A235,実績!$AJ$6:$AJ$505,"&gt;"&amp;$A235,実績!$AK$6:$AK$505,"○")&gt;0,1,0))</f>
        <v>0</v>
      </c>
      <c r="DC235" s="39" t="n">
        <f aca="false">IF(DC$4=0,0,IF(COUNTIFS(実績!$W$6:$W$505,DC$3,実績!$AI$6:$AI$505,"&lt;="&amp;$A235,実績!$AJ$6:$AJ$505,"&gt;"&amp;$A235,実績!$AK$6:$AK$505,"○")&gt;0,1,0))</f>
        <v>0</v>
      </c>
      <c r="DD235" s="39" t="n">
        <f aca="false">IF(DD$4=0,0,IF(COUNTIFS(実績!$W$6:$W$505,DD$3,実績!$AI$6:$AI$505,"&lt;="&amp;$A235,実績!$AJ$6:$AJ$505,"&gt;"&amp;$A235,実績!$AK$6:$AK$505,"○")&gt;0,1,0))</f>
        <v>0</v>
      </c>
      <c r="DE235" s="39" t="n">
        <f aca="false">IF(DE$4=0,0,IF(COUNTIFS(実績!$W$6:$W$505,DE$3,実績!$AI$6:$AI$505,"&lt;="&amp;$A235,実績!$AJ$6:$AJ$505,"&gt;"&amp;$A235,実績!$AK$6:$AK$505,"○")&gt;0,1,0))</f>
        <v>0</v>
      </c>
      <c r="DF235" s="39" t="n">
        <f aca="false">IF(DF$4=0,0,IF(COUNTIFS(実績!$W$6:$W$505,DF$3,実績!$AI$6:$AI$505,"&lt;="&amp;$A235,実績!$AJ$6:$AJ$505,"&gt;"&amp;$A235,実績!$AK$6:$AK$505,"○")&gt;0,1,0))</f>
        <v>0</v>
      </c>
      <c r="DG235" s="39" t="n">
        <f aca="false">IF(DG$4=0,0,IF(COUNTIFS(実績!$W$6:$W$505,DG$3,実績!$AI$6:$AI$505,"&lt;="&amp;$A235,実績!$AJ$6:$AJ$505,"&gt;"&amp;$A235,実績!$AK$6:$AK$505,"○")&gt;0,1,0))</f>
        <v>0</v>
      </c>
      <c r="DH235" s="39" t="n">
        <f aca="false">IF(DH$4=0,0,IF(COUNTIFS(実績!$W$6:$W$505,DH$3,実績!$AI$6:$AI$505,"&lt;="&amp;$A235,実績!$AJ$6:$AJ$505,"&gt;"&amp;$A235,実績!$AK$6:$AK$505,"○")&gt;0,1,0))</f>
        <v>0</v>
      </c>
      <c r="DI235" s="39" t="n">
        <f aca="false">IF(DI$4=0,0,IF(COUNTIFS(実績!$W$6:$W$505,DI$3,実績!$AI$6:$AI$505,"&lt;="&amp;$A235,実績!$AJ$6:$AJ$505,"&gt;"&amp;$A235,実績!$AK$6:$AK$505,"○")&gt;0,1,0))</f>
        <v>0</v>
      </c>
      <c r="DJ235" s="39" t="n">
        <f aca="false">IF(DJ$4=0,0,IF(COUNTIFS(実績!$W$6:$W$505,DJ$3,実績!$AI$6:$AI$505,"&lt;="&amp;$A235,実績!$AJ$6:$AJ$505,"&gt;"&amp;$A235,実績!$AK$6:$AK$505,"○")&gt;0,1,0))</f>
        <v>0</v>
      </c>
      <c r="DK235" s="39" t="n">
        <f aca="false">IF(DK$4=0,0,IF(COUNTIFS(実績!$W$6:$W$505,DK$3,実績!$AI$6:$AI$505,"&lt;="&amp;$A235,実績!$AJ$6:$AJ$505,"&gt;"&amp;$A235,実績!$AK$6:$AK$505,"○")&gt;0,1,0))</f>
        <v>0</v>
      </c>
      <c r="DL235" s="39" t="n">
        <f aca="false">IF(DL$4=0,0,IF(COUNTIFS(実績!$W$6:$W$505,DL$3,実績!$AI$6:$AI$505,"&lt;="&amp;$A235,実績!$AJ$6:$AJ$505,"&gt;"&amp;$A235,実績!$AK$6:$AK$505,"○")&gt;0,1,0))</f>
        <v>0</v>
      </c>
      <c r="DM235" s="39" t="n">
        <f aca="false">IF(DM$4=0,0,IF(COUNTIFS(実績!$W$6:$W$505,DM$3,実績!$AI$6:$AI$505,"&lt;="&amp;$A235,実績!$AJ$6:$AJ$505,"&gt;"&amp;$A235,実績!$AK$6:$AK$505,"○")&gt;0,1,0))</f>
        <v>0</v>
      </c>
      <c r="DN235" s="39" t="n">
        <f aca="false">IF(DN$4=0,0,IF(COUNTIFS(実績!$W$6:$W$505,DN$3,実績!$AI$6:$AI$505,"&lt;="&amp;$A235,実績!$AJ$6:$AJ$505,"&gt;"&amp;$A235,実績!$AK$6:$AK$505,"○")&gt;0,1,0))</f>
        <v>0</v>
      </c>
      <c r="DO235" s="39" t="n">
        <f aca="false">IF(DO$4=0,0,IF(COUNTIFS(実績!$W$6:$W$505,DO$3,実績!$AI$6:$AI$505,"&lt;="&amp;$A235,実績!$AJ$6:$AJ$505,"&gt;"&amp;$A235,実績!$AK$6:$AK$505,"○")&gt;0,1,0))</f>
        <v>0</v>
      </c>
      <c r="DP235" s="39" t="n">
        <f aca="false">IF(DP$4=0,0,IF(COUNTIFS(実績!$W$6:$W$505,DP$3,実績!$AI$6:$AI$505,"&lt;="&amp;$A235,実績!$AJ$6:$AJ$505,"&gt;"&amp;$A235,実績!$AK$6:$AK$505,"○")&gt;0,1,0))</f>
        <v>0</v>
      </c>
      <c r="DQ235" s="39" t="n">
        <f aca="false">IF(DQ$4=0,0,IF(COUNTIFS(実績!$W$6:$W$505,DQ$3,実績!$AI$6:$AI$505,"&lt;="&amp;$A235,実績!$AJ$6:$AJ$505,"&gt;"&amp;$A235,実績!$AK$6:$AK$505,"○")&gt;0,1,0))</f>
        <v>0</v>
      </c>
      <c r="DR235" s="39" t="n">
        <f aca="false">IF(DR$4=0,0,IF(COUNTIFS(実績!$W$6:$W$505,DR$3,実績!$AI$6:$AI$505,"&lt;="&amp;$A235,実績!$AJ$6:$AJ$505,"&gt;"&amp;$A235,実績!$AK$6:$AK$505,"○")&gt;0,1,0))</f>
        <v>0</v>
      </c>
      <c r="DS235" s="39" t="n">
        <f aca="false">SUM(C235:DR235)</f>
        <v>0</v>
      </c>
      <c r="DT235" s="39" t="n">
        <f aca="false">SUMPRODUCT((実績!$C$6:$C$505="○")*ISNUMBER(実績!$AM$6:$AM$505)*(実績!$AM$6:$AM$505&lt;=$A235)*(実績!$AN$6:$AN$505&gt;$A235))</f>
        <v>0</v>
      </c>
      <c r="DU235" s="39" t="n">
        <f aca="false">SUMIF($C$2:$DR$2,"製鉄曳船",C235:DR235)</f>
        <v>0</v>
      </c>
      <c r="DV235" s="39" t="n">
        <f aca="false">SUMIF($C$2:$DR$2,"西日本海運",C235:DR235)</f>
        <v>0</v>
      </c>
    </row>
    <row r="236" customFormat="false" ht="15" hidden="false" customHeight="false" outlineLevel="0" collapsed="false">
      <c r="A236" s="0" t="n">
        <v>1150</v>
      </c>
      <c r="B236" s="38" t="n">
        <f aca="false">A236/1440</f>
        <v>0.798611111111111</v>
      </c>
      <c r="C236" s="39" t="n">
        <f aca="false">IF(C$4=0,0,IF(COUNTIFS(実績!$W$6:$W$505,C$3,実績!$AI$6:$AI$505,"&lt;="&amp;$A236,実績!$AJ$6:$AJ$505,"&gt;"&amp;$A236,実績!$AK$6:$AK$505,"○")&gt;0,1,0))</f>
        <v>0</v>
      </c>
      <c r="D236" s="39" t="n">
        <f aca="false">IF(D$4=0,0,IF(COUNTIFS(実績!$W$6:$W$505,D$3,実績!$AI$6:$AI$505,"&lt;="&amp;$A236,実績!$AJ$6:$AJ$505,"&gt;"&amp;$A236,実績!$AK$6:$AK$505,"○")&gt;0,1,0))</f>
        <v>0</v>
      </c>
      <c r="E236" s="39" t="n">
        <f aca="false">IF(E$4=0,0,IF(COUNTIFS(実績!$W$6:$W$505,E$3,実績!$AI$6:$AI$505,"&lt;="&amp;$A236,実績!$AJ$6:$AJ$505,"&gt;"&amp;$A236,実績!$AK$6:$AK$505,"○")&gt;0,1,0))</f>
        <v>0</v>
      </c>
      <c r="F236" s="39" t="n">
        <f aca="false">IF(F$4=0,0,IF(COUNTIFS(実績!$W$6:$W$505,F$3,実績!$AI$6:$AI$505,"&lt;="&amp;$A236,実績!$AJ$6:$AJ$505,"&gt;"&amp;$A236,実績!$AK$6:$AK$505,"○")&gt;0,1,0))</f>
        <v>0</v>
      </c>
      <c r="G236" s="39" t="n">
        <f aca="false">IF(G$4=0,0,IF(COUNTIFS(実績!$W$6:$W$505,G$3,実績!$AI$6:$AI$505,"&lt;="&amp;$A236,実績!$AJ$6:$AJ$505,"&gt;"&amp;$A236,実績!$AK$6:$AK$505,"○")&gt;0,1,0))</f>
        <v>0</v>
      </c>
      <c r="H236" s="39" t="n">
        <f aca="false">IF(H$4=0,0,IF(COUNTIFS(実績!$W$6:$W$505,H$3,実績!$AI$6:$AI$505,"&lt;="&amp;$A236,実績!$AJ$6:$AJ$505,"&gt;"&amp;$A236,実績!$AK$6:$AK$505,"○")&gt;0,1,0))</f>
        <v>0</v>
      </c>
      <c r="I236" s="39" t="n">
        <f aca="false">IF(I$4=0,0,IF(COUNTIFS(実績!$W$6:$W$505,I$3,実績!$AI$6:$AI$505,"&lt;="&amp;$A236,実績!$AJ$6:$AJ$505,"&gt;"&amp;$A236,実績!$AK$6:$AK$505,"○")&gt;0,1,0))</f>
        <v>0</v>
      </c>
      <c r="J236" s="39" t="n">
        <f aca="false">IF(J$4=0,0,IF(COUNTIFS(実績!$W$6:$W$505,J$3,実績!$AI$6:$AI$505,"&lt;="&amp;$A236,実績!$AJ$6:$AJ$505,"&gt;"&amp;$A236,実績!$AK$6:$AK$505,"○")&gt;0,1,0))</f>
        <v>0</v>
      </c>
      <c r="K236" s="39" t="n">
        <f aca="false">IF(K$4=0,0,IF(COUNTIFS(実績!$W$6:$W$505,K$3,実績!$AI$6:$AI$505,"&lt;="&amp;$A236,実績!$AJ$6:$AJ$505,"&gt;"&amp;$A236,実績!$AK$6:$AK$505,"○")&gt;0,1,0))</f>
        <v>0</v>
      </c>
      <c r="L236" s="39" t="n">
        <f aca="false">IF(L$4=0,0,IF(COUNTIFS(実績!$W$6:$W$505,L$3,実績!$AI$6:$AI$505,"&lt;="&amp;$A236,実績!$AJ$6:$AJ$505,"&gt;"&amp;$A236,実績!$AK$6:$AK$505,"○")&gt;0,1,0))</f>
        <v>0</v>
      </c>
      <c r="M236" s="39" t="n">
        <f aca="false">IF(M$4=0,0,IF(COUNTIFS(実績!$W$6:$W$505,M$3,実績!$AI$6:$AI$505,"&lt;="&amp;$A236,実績!$AJ$6:$AJ$505,"&gt;"&amp;$A236,実績!$AK$6:$AK$505,"○")&gt;0,1,0))</f>
        <v>0</v>
      </c>
      <c r="N236" s="39" t="n">
        <f aca="false">IF(N$4=0,0,IF(COUNTIFS(実績!$W$6:$W$505,N$3,実績!$AI$6:$AI$505,"&lt;="&amp;$A236,実績!$AJ$6:$AJ$505,"&gt;"&amp;$A236,実績!$AK$6:$AK$505,"○")&gt;0,1,0))</f>
        <v>0</v>
      </c>
      <c r="O236" s="39" t="n">
        <f aca="false">IF(O$4=0,0,IF(COUNTIFS(実績!$W$6:$W$505,O$3,実績!$AI$6:$AI$505,"&lt;="&amp;$A236,実績!$AJ$6:$AJ$505,"&gt;"&amp;$A236,実績!$AK$6:$AK$505,"○")&gt;0,1,0))</f>
        <v>0</v>
      </c>
      <c r="P236" s="39" t="n">
        <f aca="false">IF(P$4=0,0,IF(COUNTIFS(実績!$W$6:$W$505,P$3,実績!$AI$6:$AI$505,"&lt;="&amp;$A236,実績!$AJ$6:$AJ$505,"&gt;"&amp;$A236,実績!$AK$6:$AK$505,"○")&gt;0,1,0))</f>
        <v>0</v>
      </c>
      <c r="Q236" s="39" t="n">
        <f aca="false">IF(Q$4=0,0,IF(COUNTIFS(実績!$W$6:$W$505,Q$3,実績!$AI$6:$AI$505,"&lt;="&amp;$A236,実績!$AJ$6:$AJ$505,"&gt;"&amp;$A236,実績!$AK$6:$AK$505,"○")&gt;0,1,0))</f>
        <v>0</v>
      </c>
      <c r="R236" s="39" t="n">
        <f aca="false">IF(R$4=0,0,IF(COUNTIFS(実績!$W$6:$W$505,R$3,実績!$AI$6:$AI$505,"&lt;="&amp;$A236,実績!$AJ$6:$AJ$505,"&gt;"&amp;$A236,実績!$AK$6:$AK$505,"○")&gt;0,1,0))</f>
        <v>0</v>
      </c>
      <c r="S236" s="39" t="n">
        <f aca="false">IF(S$4=0,0,IF(COUNTIFS(実績!$W$6:$W$505,S$3,実績!$AI$6:$AI$505,"&lt;="&amp;$A236,実績!$AJ$6:$AJ$505,"&gt;"&amp;$A236,実績!$AK$6:$AK$505,"○")&gt;0,1,0))</f>
        <v>0</v>
      </c>
      <c r="T236" s="39" t="n">
        <f aca="false">IF(T$4=0,0,IF(COUNTIFS(実績!$W$6:$W$505,T$3,実績!$AI$6:$AI$505,"&lt;="&amp;$A236,実績!$AJ$6:$AJ$505,"&gt;"&amp;$A236,実績!$AK$6:$AK$505,"○")&gt;0,1,0))</f>
        <v>0</v>
      </c>
      <c r="U236" s="39" t="n">
        <f aca="false">IF(U$4=0,0,IF(COUNTIFS(実績!$W$6:$W$505,U$3,実績!$AI$6:$AI$505,"&lt;="&amp;$A236,実績!$AJ$6:$AJ$505,"&gt;"&amp;$A236,実績!$AK$6:$AK$505,"○")&gt;0,1,0))</f>
        <v>0</v>
      </c>
      <c r="V236" s="39" t="n">
        <f aca="false">IF(V$4=0,0,IF(COUNTIFS(実績!$W$6:$W$505,V$3,実績!$AI$6:$AI$505,"&lt;="&amp;$A236,実績!$AJ$6:$AJ$505,"&gt;"&amp;$A236,実績!$AK$6:$AK$505,"○")&gt;0,1,0))</f>
        <v>0</v>
      </c>
      <c r="W236" s="39" t="n">
        <f aca="false">IF(W$4=0,0,IF(COUNTIFS(実績!$W$6:$W$505,W$3,実績!$AI$6:$AI$505,"&lt;="&amp;$A236,実績!$AJ$6:$AJ$505,"&gt;"&amp;$A236,実績!$AK$6:$AK$505,"○")&gt;0,1,0))</f>
        <v>0</v>
      </c>
      <c r="X236" s="39" t="n">
        <f aca="false">IF(X$4=0,0,IF(COUNTIFS(実績!$W$6:$W$505,X$3,実績!$AI$6:$AI$505,"&lt;="&amp;$A236,実績!$AJ$6:$AJ$505,"&gt;"&amp;$A236,実績!$AK$6:$AK$505,"○")&gt;0,1,0))</f>
        <v>0</v>
      </c>
      <c r="Y236" s="39" t="n">
        <f aca="false">IF(Y$4=0,0,IF(COUNTIFS(実績!$W$6:$W$505,Y$3,実績!$AI$6:$AI$505,"&lt;="&amp;$A236,実績!$AJ$6:$AJ$505,"&gt;"&amp;$A236,実績!$AK$6:$AK$505,"○")&gt;0,1,0))</f>
        <v>0</v>
      </c>
      <c r="Z236" s="39" t="n">
        <f aca="false">IF(Z$4=0,0,IF(COUNTIFS(実績!$W$6:$W$505,Z$3,実績!$AI$6:$AI$505,"&lt;="&amp;$A236,実績!$AJ$6:$AJ$505,"&gt;"&amp;$A236,実績!$AK$6:$AK$505,"○")&gt;0,1,0))</f>
        <v>0</v>
      </c>
      <c r="AA236" s="39" t="n">
        <f aca="false">IF(AA$4=0,0,IF(COUNTIFS(実績!$W$6:$W$505,AA$3,実績!$AI$6:$AI$505,"&lt;="&amp;$A236,実績!$AJ$6:$AJ$505,"&gt;"&amp;$A236,実績!$AK$6:$AK$505,"○")&gt;0,1,0))</f>
        <v>0</v>
      </c>
      <c r="AB236" s="39" t="n">
        <f aca="false">IF(AB$4=0,0,IF(COUNTIFS(実績!$W$6:$W$505,AB$3,実績!$AI$6:$AI$505,"&lt;="&amp;$A236,実績!$AJ$6:$AJ$505,"&gt;"&amp;$A236,実績!$AK$6:$AK$505,"○")&gt;0,1,0))</f>
        <v>0</v>
      </c>
      <c r="AC236" s="39" t="n">
        <f aca="false">IF(AC$4=0,0,IF(COUNTIFS(実績!$W$6:$W$505,AC$3,実績!$AI$6:$AI$505,"&lt;="&amp;$A236,実績!$AJ$6:$AJ$505,"&gt;"&amp;$A236,実績!$AK$6:$AK$505,"○")&gt;0,1,0))</f>
        <v>0</v>
      </c>
      <c r="AD236" s="39" t="n">
        <f aca="false">IF(AD$4=0,0,IF(COUNTIFS(実績!$W$6:$W$505,AD$3,実績!$AI$6:$AI$505,"&lt;="&amp;$A236,実績!$AJ$6:$AJ$505,"&gt;"&amp;$A236,実績!$AK$6:$AK$505,"○")&gt;0,1,0))</f>
        <v>0</v>
      </c>
      <c r="AE236" s="39" t="n">
        <f aca="false">IF(AE$4=0,0,IF(COUNTIFS(実績!$W$6:$W$505,AE$3,実績!$AI$6:$AI$505,"&lt;="&amp;$A236,実績!$AJ$6:$AJ$505,"&gt;"&amp;$A236,実績!$AK$6:$AK$505,"○")&gt;0,1,0))</f>
        <v>0</v>
      </c>
      <c r="AF236" s="39" t="n">
        <f aca="false">IF(AF$4=0,0,IF(COUNTIFS(実績!$W$6:$W$505,AF$3,実績!$AI$6:$AI$505,"&lt;="&amp;$A236,実績!$AJ$6:$AJ$505,"&gt;"&amp;$A236,実績!$AK$6:$AK$505,"○")&gt;0,1,0))</f>
        <v>0</v>
      </c>
      <c r="AG236" s="39" t="n">
        <f aca="false">IF(AG$4=0,0,IF(COUNTIFS(実績!$W$6:$W$505,AG$3,実績!$AI$6:$AI$505,"&lt;="&amp;$A236,実績!$AJ$6:$AJ$505,"&gt;"&amp;$A236,実績!$AK$6:$AK$505,"○")&gt;0,1,0))</f>
        <v>0</v>
      </c>
      <c r="AH236" s="39" t="n">
        <f aca="false">IF(AH$4=0,0,IF(COUNTIFS(実績!$W$6:$W$505,AH$3,実績!$AI$6:$AI$505,"&lt;="&amp;$A236,実績!$AJ$6:$AJ$505,"&gt;"&amp;$A236,実績!$AK$6:$AK$505,"○")&gt;0,1,0))</f>
        <v>0</v>
      </c>
      <c r="AI236" s="39" t="n">
        <f aca="false">IF(AI$4=0,0,IF(COUNTIFS(実績!$W$6:$W$505,AI$3,実績!$AI$6:$AI$505,"&lt;="&amp;$A236,実績!$AJ$6:$AJ$505,"&gt;"&amp;$A236,実績!$AK$6:$AK$505,"○")&gt;0,1,0))</f>
        <v>0</v>
      </c>
      <c r="AJ236" s="39" t="n">
        <f aca="false">IF(AJ$4=0,0,IF(COUNTIFS(実績!$W$6:$W$505,AJ$3,実績!$AI$6:$AI$505,"&lt;="&amp;$A236,実績!$AJ$6:$AJ$505,"&gt;"&amp;$A236,実績!$AK$6:$AK$505,"○")&gt;0,1,0))</f>
        <v>0</v>
      </c>
      <c r="AK236" s="39" t="n">
        <f aca="false">IF(AK$4=0,0,IF(COUNTIFS(実績!$W$6:$W$505,AK$3,実績!$AI$6:$AI$505,"&lt;="&amp;$A236,実績!$AJ$6:$AJ$505,"&gt;"&amp;$A236,実績!$AK$6:$AK$505,"○")&gt;0,1,0))</f>
        <v>0</v>
      </c>
      <c r="AL236" s="39" t="n">
        <f aca="false">IF(AL$4=0,0,IF(COUNTIFS(実績!$W$6:$W$505,AL$3,実績!$AI$6:$AI$505,"&lt;="&amp;$A236,実績!$AJ$6:$AJ$505,"&gt;"&amp;$A236,実績!$AK$6:$AK$505,"○")&gt;0,1,0))</f>
        <v>0</v>
      </c>
      <c r="AM236" s="39" t="n">
        <f aca="false">IF(AM$4=0,0,IF(COUNTIFS(実績!$W$6:$W$505,AM$3,実績!$AI$6:$AI$505,"&lt;="&amp;$A236,実績!$AJ$6:$AJ$505,"&gt;"&amp;$A236,実績!$AK$6:$AK$505,"○")&gt;0,1,0))</f>
        <v>0</v>
      </c>
      <c r="AN236" s="39" t="n">
        <f aca="false">IF(AN$4=0,0,IF(COUNTIFS(実績!$W$6:$W$505,AN$3,実績!$AI$6:$AI$505,"&lt;="&amp;$A236,実績!$AJ$6:$AJ$505,"&gt;"&amp;$A236,実績!$AK$6:$AK$505,"○")&gt;0,1,0))</f>
        <v>0</v>
      </c>
      <c r="AO236" s="39" t="n">
        <f aca="false">IF(AO$4=0,0,IF(COUNTIFS(実績!$W$6:$W$505,AO$3,実績!$AI$6:$AI$505,"&lt;="&amp;$A236,実績!$AJ$6:$AJ$505,"&gt;"&amp;$A236,実績!$AK$6:$AK$505,"○")&gt;0,1,0))</f>
        <v>0</v>
      </c>
      <c r="AP236" s="39" t="n">
        <f aca="false">IF(AP$4=0,0,IF(COUNTIFS(実績!$W$6:$W$505,AP$3,実績!$AI$6:$AI$505,"&lt;="&amp;$A236,実績!$AJ$6:$AJ$505,"&gt;"&amp;$A236,実績!$AK$6:$AK$505,"○")&gt;0,1,0))</f>
        <v>0</v>
      </c>
      <c r="AQ236" s="39" t="n">
        <f aca="false">IF(AQ$4=0,0,IF(COUNTIFS(実績!$W$6:$W$505,AQ$3,実績!$AI$6:$AI$505,"&lt;="&amp;$A236,実績!$AJ$6:$AJ$505,"&gt;"&amp;$A236,実績!$AK$6:$AK$505,"○")&gt;0,1,0))</f>
        <v>0</v>
      </c>
      <c r="AR236" s="39" t="n">
        <f aca="false">IF(AR$4=0,0,IF(COUNTIFS(実績!$W$6:$W$505,AR$3,実績!$AI$6:$AI$505,"&lt;="&amp;$A236,実績!$AJ$6:$AJ$505,"&gt;"&amp;$A236,実績!$AK$6:$AK$505,"○")&gt;0,1,0))</f>
        <v>0</v>
      </c>
      <c r="AS236" s="39" t="n">
        <f aca="false">IF(AS$4=0,0,IF(COUNTIFS(実績!$W$6:$W$505,AS$3,実績!$AI$6:$AI$505,"&lt;="&amp;$A236,実績!$AJ$6:$AJ$505,"&gt;"&amp;$A236,実績!$AK$6:$AK$505,"○")&gt;0,1,0))</f>
        <v>0</v>
      </c>
      <c r="AT236" s="39" t="n">
        <f aca="false">IF(AT$4=0,0,IF(COUNTIFS(実績!$W$6:$W$505,AT$3,実績!$AI$6:$AI$505,"&lt;="&amp;$A236,実績!$AJ$6:$AJ$505,"&gt;"&amp;$A236,実績!$AK$6:$AK$505,"○")&gt;0,1,0))</f>
        <v>0</v>
      </c>
      <c r="AU236" s="39" t="n">
        <f aca="false">IF(AU$4=0,0,IF(COUNTIFS(実績!$W$6:$W$505,AU$3,実績!$AI$6:$AI$505,"&lt;="&amp;$A236,実績!$AJ$6:$AJ$505,"&gt;"&amp;$A236,実績!$AK$6:$AK$505,"○")&gt;0,1,0))</f>
        <v>0</v>
      </c>
      <c r="AV236" s="39" t="n">
        <f aca="false">IF(AV$4=0,0,IF(COUNTIFS(実績!$W$6:$W$505,AV$3,実績!$AI$6:$AI$505,"&lt;="&amp;$A236,実績!$AJ$6:$AJ$505,"&gt;"&amp;$A236,実績!$AK$6:$AK$505,"○")&gt;0,1,0))</f>
        <v>0</v>
      </c>
      <c r="AW236" s="39" t="n">
        <f aca="false">IF(AW$4=0,0,IF(COUNTIFS(実績!$W$6:$W$505,AW$3,実績!$AI$6:$AI$505,"&lt;="&amp;$A236,実績!$AJ$6:$AJ$505,"&gt;"&amp;$A236,実績!$AK$6:$AK$505,"○")&gt;0,1,0))</f>
        <v>0</v>
      </c>
      <c r="AX236" s="39" t="n">
        <f aca="false">IF(AX$4=0,0,IF(COUNTIFS(実績!$W$6:$W$505,AX$3,実績!$AI$6:$AI$505,"&lt;="&amp;$A236,実績!$AJ$6:$AJ$505,"&gt;"&amp;$A236,実績!$AK$6:$AK$505,"○")&gt;0,1,0))</f>
        <v>0</v>
      </c>
      <c r="AY236" s="39" t="n">
        <f aca="false">IF(AY$4=0,0,IF(COUNTIFS(実績!$W$6:$W$505,AY$3,実績!$AI$6:$AI$505,"&lt;="&amp;$A236,実績!$AJ$6:$AJ$505,"&gt;"&amp;$A236,実績!$AK$6:$AK$505,"○")&gt;0,1,0))</f>
        <v>0</v>
      </c>
      <c r="AZ236" s="39" t="n">
        <f aca="false">IF(AZ$4=0,0,IF(COUNTIFS(実績!$W$6:$W$505,AZ$3,実績!$AI$6:$AI$505,"&lt;="&amp;$A236,実績!$AJ$6:$AJ$505,"&gt;"&amp;$A236,実績!$AK$6:$AK$505,"○")&gt;0,1,0))</f>
        <v>0</v>
      </c>
      <c r="BA236" s="39" t="n">
        <f aca="false">IF(BA$4=0,0,IF(COUNTIFS(実績!$W$6:$W$505,BA$3,実績!$AI$6:$AI$505,"&lt;="&amp;$A236,実績!$AJ$6:$AJ$505,"&gt;"&amp;$A236,実績!$AK$6:$AK$505,"○")&gt;0,1,0))</f>
        <v>0</v>
      </c>
      <c r="BB236" s="39" t="n">
        <f aca="false">IF(BB$4=0,0,IF(COUNTIFS(実績!$W$6:$W$505,BB$3,実績!$AI$6:$AI$505,"&lt;="&amp;$A236,実績!$AJ$6:$AJ$505,"&gt;"&amp;$A236,実績!$AK$6:$AK$505,"○")&gt;0,1,0))</f>
        <v>0</v>
      </c>
      <c r="BC236" s="39" t="n">
        <f aca="false">IF(BC$4=0,0,IF(COUNTIFS(実績!$W$6:$W$505,BC$3,実績!$AI$6:$AI$505,"&lt;="&amp;$A236,実績!$AJ$6:$AJ$505,"&gt;"&amp;$A236,実績!$AK$6:$AK$505,"○")&gt;0,1,0))</f>
        <v>0</v>
      </c>
      <c r="BD236" s="39" t="n">
        <f aca="false">IF(BD$4=0,0,IF(COUNTIFS(実績!$W$6:$W$505,BD$3,実績!$AI$6:$AI$505,"&lt;="&amp;$A236,実績!$AJ$6:$AJ$505,"&gt;"&amp;$A236,実績!$AK$6:$AK$505,"○")&gt;0,1,0))</f>
        <v>0</v>
      </c>
      <c r="BE236" s="39" t="n">
        <f aca="false">IF(BE$4=0,0,IF(COUNTIFS(実績!$W$6:$W$505,BE$3,実績!$AI$6:$AI$505,"&lt;="&amp;$A236,実績!$AJ$6:$AJ$505,"&gt;"&amp;$A236,実績!$AK$6:$AK$505,"○")&gt;0,1,0))</f>
        <v>0</v>
      </c>
      <c r="BF236" s="39" t="n">
        <f aca="false">IF(BF$4=0,0,IF(COUNTIFS(実績!$W$6:$W$505,BF$3,実績!$AI$6:$AI$505,"&lt;="&amp;$A236,実績!$AJ$6:$AJ$505,"&gt;"&amp;$A236,実績!$AK$6:$AK$505,"○")&gt;0,1,0))</f>
        <v>0</v>
      </c>
      <c r="BG236" s="39" t="n">
        <f aca="false">IF(BG$4=0,0,IF(COUNTIFS(実績!$W$6:$W$505,BG$3,実績!$AI$6:$AI$505,"&lt;="&amp;$A236,実績!$AJ$6:$AJ$505,"&gt;"&amp;$A236,実績!$AK$6:$AK$505,"○")&gt;0,1,0))</f>
        <v>0</v>
      </c>
      <c r="BH236" s="39" t="n">
        <f aca="false">IF(BH$4=0,0,IF(COUNTIFS(実績!$W$6:$W$505,BH$3,実績!$AI$6:$AI$505,"&lt;="&amp;$A236,実績!$AJ$6:$AJ$505,"&gt;"&amp;$A236,実績!$AK$6:$AK$505,"○")&gt;0,1,0))</f>
        <v>0</v>
      </c>
      <c r="BI236" s="39" t="n">
        <f aca="false">IF(BI$4=0,0,IF(COUNTIFS(実績!$W$6:$W$505,BI$3,実績!$AI$6:$AI$505,"&lt;="&amp;$A236,実績!$AJ$6:$AJ$505,"&gt;"&amp;$A236,実績!$AK$6:$AK$505,"○")&gt;0,1,0))</f>
        <v>0</v>
      </c>
      <c r="BJ236" s="39" t="n">
        <f aca="false">IF(BJ$4=0,0,IF(COUNTIFS(実績!$W$6:$W$505,BJ$3,実績!$AI$6:$AI$505,"&lt;="&amp;$A236,実績!$AJ$6:$AJ$505,"&gt;"&amp;$A236,実績!$AK$6:$AK$505,"○")&gt;0,1,0))</f>
        <v>0</v>
      </c>
      <c r="BK236" s="39" t="n">
        <f aca="false">IF(BK$4=0,0,IF(COUNTIFS(実績!$W$6:$W$505,BK$3,実績!$AI$6:$AI$505,"&lt;="&amp;$A236,実績!$AJ$6:$AJ$505,"&gt;"&amp;$A236,実績!$AK$6:$AK$505,"○")&gt;0,1,0))</f>
        <v>0</v>
      </c>
      <c r="BL236" s="39" t="n">
        <f aca="false">IF(BL$4=0,0,IF(COUNTIFS(実績!$W$6:$W$505,BL$3,実績!$AI$6:$AI$505,"&lt;="&amp;$A236,実績!$AJ$6:$AJ$505,"&gt;"&amp;$A236,実績!$AK$6:$AK$505,"○")&gt;0,1,0))</f>
        <v>0</v>
      </c>
      <c r="BM236" s="39" t="n">
        <f aca="false">IF(BM$4=0,0,IF(COUNTIFS(実績!$W$6:$W$505,BM$3,実績!$AI$6:$AI$505,"&lt;="&amp;$A236,実績!$AJ$6:$AJ$505,"&gt;"&amp;$A236,実績!$AK$6:$AK$505,"○")&gt;0,1,0))</f>
        <v>0</v>
      </c>
      <c r="BN236" s="39" t="n">
        <f aca="false">IF(BN$4=0,0,IF(COUNTIFS(実績!$W$6:$W$505,BN$3,実績!$AI$6:$AI$505,"&lt;="&amp;$A236,実績!$AJ$6:$AJ$505,"&gt;"&amp;$A236,実績!$AK$6:$AK$505,"○")&gt;0,1,0))</f>
        <v>0</v>
      </c>
      <c r="BO236" s="39" t="n">
        <f aca="false">IF(BO$4=0,0,IF(COUNTIFS(実績!$W$6:$W$505,BO$3,実績!$AI$6:$AI$505,"&lt;="&amp;$A236,実績!$AJ$6:$AJ$505,"&gt;"&amp;$A236,実績!$AK$6:$AK$505,"○")&gt;0,1,0))</f>
        <v>0</v>
      </c>
      <c r="BP236" s="39" t="n">
        <f aca="false">IF(BP$4=0,0,IF(COUNTIFS(実績!$W$6:$W$505,BP$3,実績!$AI$6:$AI$505,"&lt;="&amp;$A236,実績!$AJ$6:$AJ$505,"&gt;"&amp;$A236,実績!$AK$6:$AK$505,"○")&gt;0,1,0))</f>
        <v>0</v>
      </c>
      <c r="BQ236" s="39" t="n">
        <f aca="false">IF(BQ$4=0,0,IF(COUNTIFS(実績!$W$6:$W$505,BQ$3,実績!$AI$6:$AI$505,"&lt;="&amp;$A236,実績!$AJ$6:$AJ$505,"&gt;"&amp;$A236,実績!$AK$6:$AK$505,"○")&gt;0,1,0))</f>
        <v>0</v>
      </c>
      <c r="BR236" s="39" t="n">
        <f aca="false">IF(BR$4=0,0,IF(COUNTIFS(実績!$W$6:$W$505,BR$3,実績!$AI$6:$AI$505,"&lt;="&amp;$A236,実績!$AJ$6:$AJ$505,"&gt;"&amp;$A236,実績!$AK$6:$AK$505,"○")&gt;0,1,0))</f>
        <v>0</v>
      </c>
      <c r="BS236" s="39" t="n">
        <f aca="false">IF(BS$4=0,0,IF(COUNTIFS(実績!$W$6:$W$505,BS$3,実績!$AI$6:$AI$505,"&lt;="&amp;$A236,実績!$AJ$6:$AJ$505,"&gt;"&amp;$A236,実績!$AK$6:$AK$505,"○")&gt;0,1,0))</f>
        <v>0</v>
      </c>
      <c r="BT236" s="39" t="n">
        <f aca="false">IF(BT$4=0,0,IF(COUNTIFS(実績!$W$6:$W$505,BT$3,実績!$AI$6:$AI$505,"&lt;="&amp;$A236,実績!$AJ$6:$AJ$505,"&gt;"&amp;$A236,実績!$AK$6:$AK$505,"○")&gt;0,1,0))</f>
        <v>0</v>
      </c>
      <c r="BU236" s="39" t="n">
        <f aca="false">IF(BU$4=0,0,IF(COUNTIFS(実績!$W$6:$W$505,BU$3,実績!$AI$6:$AI$505,"&lt;="&amp;$A236,実績!$AJ$6:$AJ$505,"&gt;"&amp;$A236,実績!$AK$6:$AK$505,"○")&gt;0,1,0))</f>
        <v>0</v>
      </c>
      <c r="BV236" s="39" t="n">
        <f aca="false">IF(BV$4=0,0,IF(COUNTIFS(実績!$W$6:$W$505,BV$3,実績!$AI$6:$AI$505,"&lt;="&amp;$A236,実績!$AJ$6:$AJ$505,"&gt;"&amp;$A236,実績!$AK$6:$AK$505,"○")&gt;0,1,0))</f>
        <v>0</v>
      </c>
      <c r="BW236" s="39" t="n">
        <f aca="false">IF(BW$4=0,0,IF(COUNTIFS(実績!$W$6:$W$505,BW$3,実績!$AI$6:$AI$505,"&lt;="&amp;$A236,実績!$AJ$6:$AJ$505,"&gt;"&amp;$A236,実績!$AK$6:$AK$505,"○")&gt;0,1,0))</f>
        <v>0</v>
      </c>
      <c r="BX236" s="39" t="n">
        <f aca="false">IF(BX$4=0,0,IF(COUNTIFS(実績!$W$6:$W$505,BX$3,実績!$AI$6:$AI$505,"&lt;="&amp;$A236,実績!$AJ$6:$AJ$505,"&gt;"&amp;$A236,実績!$AK$6:$AK$505,"○")&gt;0,1,0))</f>
        <v>0</v>
      </c>
      <c r="BY236" s="39" t="n">
        <f aca="false">IF(BY$4=0,0,IF(COUNTIFS(実績!$W$6:$W$505,BY$3,実績!$AI$6:$AI$505,"&lt;="&amp;$A236,実績!$AJ$6:$AJ$505,"&gt;"&amp;$A236,実績!$AK$6:$AK$505,"○")&gt;0,1,0))</f>
        <v>0</v>
      </c>
      <c r="BZ236" s="39" t="n">
        <f aca="false">IF(BZ$4=0,0,IF(COUNTIFS(実績!$W$6:$W$505,BZ$3,実績!$AI$6:$AI$505,"&lt;="&amp;$A236,実績!$AJ$6:$AJ$505,"&gt;"&amp;$A236,実績!$AK$6:$AK$505,"○")&gt;0,1,0))</f>
        <v>0</v>
      </c>
      <c r="CA236" s="39" t="n">
        <f aca="false">IF(CA$4=0,0,IF(COUNTIFS(実績!$W$6:$W$505,CA$3,実績!$AI$6:$AI$505,"&lt;="&amp;$A236,実績!$AJ$6:$AJ$505,"&gt;"&amp;$A236,実績!$AK$6:$AK$505,"○")&gt;0,1,0))</f>
        <v>0</v>
      </c>
      <c r="CB236" s="39" t="n">
        <f aca="false">IF(CB$4=0,0,IF(COUNTIFS(実績!$W$6:$W$505,CB$3,実績!$AI$6:$AI$505,"&lt;="&amp;$A236,実績!$AJ$6:$AJ$505,"&gt;"&amp;$A236,実績!$AK$6:$AK$505,"○")&gt;0,1,0))</f>
        <v>0</v>
      </c>
      <c r="CC236" s="39" t="n">
        <f aca="false">IF(CC$4=0,0,IF(COUNTIFS(実績!$W$6:$W$505,CC$3,実績!$AI$6:$AI$505,"&lt;="&amp;$A236,実績!$AJ$6:$AJ$505,"&gt;"&amp;$A236,実績!$AK$6:$AK$505,"○")&gt;0,1,0))</f>
        <v>0</v>
      </c>
      <c r="CD236" s="39" t="n">
        <f aca="false">IF(CD$4=0,0,IF(COUNTIFS(実績!$W$6:$W$505,CD$3,実績!$AI$6:$AI$505,"&lt;="&amp;$A236,実績!$AJ$6:$AJ$505,"&gt;"&amp;$A236,実績!$AK$6:$AK$505,"○")&gt;0,1,0))</f>
        <v>0</v>
      </c>
      <c r="CE236" s="39" t="n">
        <f aca="false">IF(CE$4=0,0,IF(COUNTIFS(実績!$W$6:$W$505,CE$3,実績!$AI$6:$AI$505,"&lt;="&amp;$A236,実績!$AJ$6:$AJ$505,"&gt;"&amp;$A236,実績!$AK$6:$AK$505,"○")&gt;0,1,0))</f>
        <v>0</v>
      </c>
      <c r="CF236" s="39" t="n">
        <f aca="false">IF(CF$4=0,0,IF(COUNTIFS(実績!$W$6:$W$505,CF$3,実績!$AI$6:$AI$505,"&lt;="&amp;$A236,実績!$AJ$6:$AJ$505,"&gt;"&amp;$A236,実績!$AK$6:$AK$505,"○")&gt;0,1,0))</f>
        <v>0</v>
      </c>
      <c r="CG236" s="39" t="n">
        <f aca="false">IF(CG$4=0,0,IF(COUNTIFS(実績!$W$6:$W$505,CG$3,実績!$AI$6:$AI$505,"&lt;="&amp;$A236,実績!$AJ$6:$AJ$505,"&gt;"&amp;$A236,実績!$AK$6:$AK$505,"○")&gt;0,1,0))</f>
        <v>0</v>
      </c>
      <c r="CH236" s="39" t="n">
        <f aca="false">IF(CH$4=0,0,IF(COUNTIFS(実績!$W$6:$W$505,CH$3,実績!$AI$6:$AI$505,"&lt;="&amp;$A236,実績!$AJ$6:$AJ$505,"&gt;"&amp;$A236,実績!$AK$6:$AK$505,"○")&gt;0,1,0))</f>
        <v>0</v>
      </c>
      <c r="CI236" s="39" t="n">
        <f aca="false">IF(CI$4=0,0,IF(COUNTIFS(実績!$W$6:$W$505,CI$3,実績!$AI$6:$AI$505,"&lt;="&amp;$A236,実績!$AJ$6:$AJ$505,"&gt;"&amp;$A236,実績!$AK$6:$AK$505,"○")&gt;0,1,0))</f>
        <v>0</v>
      </c>
      <c r="CJ236" s="39" t="n">
        <f aca="false">IF(CJ$4=0,0,IF(COUNTIFS(実績!$W$6:$W$505,CJ$3,実績!$AI$6:$AI$505,"&lt;="&amp;$A236,実績!$AJ$6:$AJ$505,"&gt;"&amp;$A236,実績!$AK$6:$AK$505,"○")&gt;0,1,0))</f>
        <v>0</v>
      </c>
      <c r="CK236" s="39" t="n">
        <f aca="false">IF(CK$4=0,0,IF(COUNTIFS(実績!$W$6:$W$505,CK$3,実績!$AI$6:$AI$505,"&lt;="&amp;$A236,実績!$AJ$6:$AJ$505,"&gt;"&amp;$A236,実績!$AK$6:$AK$505,"○")&gt;0,1,0))</f>
        <v>0</v>
      </c>
      <c r="CL236" s="39" t="n">
        <f aca="false">IF(CL$4=0,0,IF(COUNTIFS(実績!$W$6:$W$505,CL$3,実績!$AI$6:$AI$505,"&lt;="&amp;$A236,実績!$AJ$6:$AJ$505,"&gt;"&amp;$A236,実績!$AK$6:$AK$505,"○")&gt;0,1,0))</f>
        <v>0</v>
      </c>
      <c r="CM236" s="39" t="n">
        <f aca="false">IF(CM$4=0,0,IF(COUNTIFS(実績!$W$6:$W$505,CM$3,実績!$AI$6:$AI$505,"&lt;="&amp;$A236,実績!$AJ$6:$AJ$505,"&gt;"&amp;$A236,実績!$AK$6:$AK$505,"○")&gt;0,1,0))</f>
        <v>0</v>
      </c>
      <c r="CN236" s="39" t="n">
        <f aca="false">IF(CN$4=0,0,IF(COUNTIFS(実績!$W$6:$W$505,CN$3,実績!$AI$6:$AI$505,"&lt;="&amp;$A236,実績!$AJ$6:$AJ$505,"&gt;"&amp;$A236,実績!$AK$6:$AK$505,"○")&gt;0,1,0))</f>
        <v>0</v>
      </c>
      <c r="CO236" s="39" t="n">
        <f aca="false">IF(CO$4=0,0,IF(COUNTIFS(実績!$W$6:$W$505,CO$3,実績!$AI$6:$AI$505,"&lt;="&amp;$A236,実績!$AJ$6:$AJ$505,"&gt;"&amp;$A236,実績!$AK$6:$AK$505,"○")&gt;0,1,0))</f>
        <v>0</v>
      </c>
      <c r="CP236" s="39" t="n">
        <f aca="false">IF(CP$4=0,0,IF(COUNTIFS(実績!$W$6:$W$505,CP$3,実績!$AI$6:$AI$505,"&lt;="&amp;$A236,実績!$AJ$6:$AJ$505,"&gt;"&amp;$A236,実績!$AK$6:$AK$505,"○")&gt;0,1,0))</f>
        <v>0</v>
      </c>
      <c r="CQ236" s="39" t="n">
        <f aca="false">IF(CQ$4=0,0,IF(COUNTIFS(実績!$W$6:$W$505,CQ$3,実績!$AI$6:$AI$505,"&lt;="&amp;$A236,実績!$AJ$6:$AJ$505,"&gt;"&amp;$A236,実績!$AK$6:$AK$505,"○")&gt;0,1,0))</f>
        <v>0</v>
      </c>
      <c r="CR236" s="39" t="n">
        <f aca="false">IF(CR$4=0,0,IF(COUNTIFS(実績!$W$6:$W$505,CR$3,実績!$AI$6:$AI$505,"&lt;="&amp;$A236,実績!$AJ$6:$AJ$505,"&gt;"&amp;$A236,実績!$AK$6:$AK$505,"○")&gt;0,1,0))</f>
        <v>0</v>
      </c>
      <c r="CS236" s="39" t="n">
        <f aca="false">IF(CS$4=0,0,IF(COUNTIFS(実績!$W$6:$W$505,CS$3,実績!$AI$6:$AI$505,"&lt;="&amp;$A236,実績!$AJ$6:$AJ$505,"&gt;"&amp;$A236,実績!$AK$6:$AK$505,"○")&gt;0,1,0))</f>
        <v>0</v>
      </c>
      <c r="CT236" s="39" t="n">
        <f aca="false">IF(CT$4=0,0,IF(COUNTIFS(実績!$W$6:$W$505,CT$3,実績!$AI$6:$AI$505,"&lt;="&amp;$A236,実績!$AJ$6:$AJ$505,"&gt;"&amp;$A236,実績!$AK$6:$AK$505,"○")&gt;0,1,0))</f>
        <v>0</v>
      </c>
      <c r="CU236" s="39" t="n">
        <f aca="false">IF(CU$4=0,0,IF(COUNTIFS(実績!$W$6:$W$505,CU$3,実績!$AI$6:$AI$505,"&lt;="&amp;$A236,実績!$AJ$6:$AJ$505,"&gt;"&amp;$A236,実績!$AK$6:$AK$505,"○")&gt;0,1,0))</f>
        <v>0</v>
      </c>
      <c r="CV236" s="39" t="n">
        <f aca="false">IF(CV$4=0,0,IF(COUNTIFS(実績!$W$6:$W$505,CV$3,実績!$AI$6:$AI$505,"&lt;="&amp;$A236,実績!$AJ$6:$AJ$505,"&gt;"&amp;$A236,実績!$AK$6:$AK$505,"○")&gt;0,1,0))</f>
        <v>0</v>
      </c>
      <c r="CW236" s="39" t="n">
        <f aca="false">IF(CW$4=0,0,IF(COUNTIFS(実績!$W$6:$W$505,CW$3,実績!$AI$6:$AI$505,"&lt;="&amp;$A236,実績!$AJ$6:$AJ$505,"&gt;"&amp;$A236,実績!$AK$6:$AK$505,"○")&gt;0,1,0))</f>
        <v>0</v>
      </c>
      <c r="CX236" s="39" t="n">
        <f aca="false">IF(CX$4=0,0,IF(COUNTIFS(実績!$W$6:$W$505,CX$3,実績!$AI$6:$AI$505,"&lt;="&amp;$A236,実績!$AJ$6:$AJ$505,"&gt;"&amp;$A236,実績!$AK$6:$AK$505,"○")&gt;0,1,0))</f>
        <v>0</v>
      </c>
      <c r="CY236" s="39" t="n">
        <f aca="false">IF(CY$4=0,0,IF(COUNTIFS(実績!$W$6:$W$505,CY$3,実績!$AI$6:$AI$505,"&lt;="&amp;$A236,実績!$AJ$6:$AJ$505,"&gt;"&amp;$A236,実績!$AK$6:$AK$505,"○")&gt;0,1,0))</f>
        <v>0</v>
      </c>
      <c r="CZ236" s="39" t="n">
        <f aca="false">IF(CZ$4=0,0,IF(COUNTIFS(実績!$W$6:$W$505,CZ$3,実績!$AI$6:$AI$505,"&lt;="&amp;$A236,実績!$AJ$6:$AJ$505,"&gt;"&amp;$A236,実績!$AK$6:$AK$505,"○")&gt;0,1,0))</f>
        <v>0</v>
      </c>
      <c r="DA236" s="39" t="n">
        <f aca="false">IF(DA$4=0,0,IF(COUNTIFS(実績!$W$6:$W$505,DA$3,実績!$AI$6:$AI$505,"&lt;="&amp;$A236,実績!$AJ$6:$AJ$505,"&gt;"&amp;$A236,実績!$AK$6:$AK$505,"○")&gt;0,1,0))</f>
        <v>0</v>
      </c>
      <c r="DB236" s="39" t="n">
        <f aca="false">IF(DB$4=0,0,IF(COUNTIFS(実績!$W$6:$W$505,DB$3,実績!$AI$6:$AI$505,"&lt;="&amp;$A236,実績!$AJ$6:$AJ$505,"&gt;"&amp;$A236,実績!$AK$6:$AK$505,"○")&gt;0,1,0))</f>
        <v>0</v>
      </c>
      <c r="DC236" s="39" t="n">
        <f aca="false">IF(DC$4=0,0,IF(COUNTIFS(実績!$W$6:$W$505,DC$3,実績!$AI$6:$AI$505,"&lt;="&amp;$A236,実績!$AJ$6:$AJ$505,"&gt;"&amp;$A236,実績!$AK$6:$AK$505,"○")&gt;0,1,0))</f>
        <v>0</v>
      </c>
      <c r="DD236" s="39" t="n">
        <f aca="false">IF(DD$4=0,0,IF(COUNTIFS(実績!$W$6:$W$505,DD$3,実績!$AI$6:$AI$505,"&lt;="&amp;$A236,実績!$AJ$6:$AJ$505,"&gt;"&amp;$A236,実績!$AK$6:$AK$505,"○")&gt;0,1,0))</f>
        <v>0</v>
      </c>
      <c r="DE236" s="39" t="n">
        <f aca="false">IF(DE$4=0,0,IF(COUNTIFS(実績!$W$6:$W$505,DE$3,実績!$AI$6:$AI$505,"&lt;="&amp;$A236,実績!$AJ$6:$AJ$505,"&gt;"&amp;$A236,実績!$AK$6:$AK$505,"○")&gt;0,1,0))</f>
        <v>0</v>
      </c>
      <c r="DF236" s="39" t="n">
        <f aca="false">IF(DF$4=0,0,IF(COUNTIFS(実績!$W$6:$W$505,DF$3,実績!$AI$6:$AI$505,"&lt;="&amp;$A236,実績!$AJ$6:$AJ$505,"&gt;"&amp;$A236,実績!$AK$6:$AK$505,"○")&gt;0,1,0))</f>
        <v>0</v>
      </c>
      <c r="DG236" s="39" t="n">
        <f aca="false">IF(DG$4=0,0,IF(COUNTIFS(実績!$W$6:$W$505,DG$3,実績!$AI$6:$AI$505,"&lt;="&amp;$A236,実績!$AJ$6:$AJ$505,"&gt;"&amp;$A236,実績!$AK$6:$AK$505,"○")&gt;0,1,0))</f>
        <v>0</v>
      </c>
      <c r="DH236" s="39" t="n">
        <f aca="false">IF(DH$4=0,0,IF(COUNTIFS(実績!$W$6:$W$505,DH$3,実績!$AI$6:$AI$505,"&lt;="&amp;$A236,実績!$AJ$6:$AJ$505,"&gt;"&amp;$A236,実績!$AK$6:$AK$505,"○")&gt;0,1,0))</f>
        <v>0</v>
      </c>
      <c r="DI236" s="39" t="n">
        <f aca="false">IF(DI$4=0,0,IF(COUNTIFS(実績!$W$6:$W$505,DI$3,実績!$AI$6:$AI$505,"&lt;="&amp;$A236,実績!$AJ$6:$AJ$505,"&gt;"&amp;$A236,実績!$AK$6:$AK$505,"○")&gt;0,1,0))</f>
        <v>0</v>
      </c>
      <c r="DJ236" s="39" t="n">
        <f aca="false">IF(DJ$4=0,0,IF(COUNTIFS(実績!$W$6:$W$505,DJ$3,実績!$AI$6:$AI$505,"&lt;="&amp;$A236,実績!$AJ$6:$AJ$505,"&gt;"&amp;$A236,実績!$AK$6:$AK$505,"○")&gt;0,1,0))</f>
        <v>0</v>
      </c>
      <c r="DK236" s="39" t="n">
        <f aca="false">IF(DK$4=0,0,IF(COUNTIFS(実績!$W$6:$W$505,DK$3,実績!$AI$6:$AI$505,"&lt;="&amp;$A236,実績!$AJ$6:$AJ$505,"&gt;"&amp;$A236,実績!$AK$6:$AK$505,"○")&gt;0,1,0))</f>
        <v>0</v>
      </c>
      <c r="DL236" s="39" t="n">
        <f aca="false">IF(DL$4=0,0,IF(COUNTIFS(実績!$W$6:$W$505,DL$3,実績!$AI$6:$AI$505,"&lt;="&amp;$A236,実績!$AJ$6:$AJ$505,"&gt;"&amp;$A236,実績!$AK$6:$AK$505,"○")&gt;0,1,0))</f>
        <v>0</v>
      </c>
      <c r="DM236" s="39" t="n">
        <f aca="false">IF(DM$4=0,0,IF(COUNTIFS(実績!$W$6:$W$505,DM$3,実績!$AI$6:$AI$505,"&lt;="&amp;$A236,実績!$AJ$6:$AJ$505,"&gt;"&amp;$A236,実績!$AK$6:$AK$505,"○")&gt;0,1,0))</f>
        <v>0</v>
      </c>
      <c r="DN236" s="39" t="n">
        <f aca="false">IF(DN$4=0,0,IF(COUNTIFS(実績!$W$6:$W$505,DN$3,実績!$AI$6:$AI$505,"&lt;="&amp;$A236,実績!$AJ$6:$AJ$505,"&gt;"&amp;$A236,実績!$AK$6:$AK$505,"○")&gt;0,1,0))</f>
        <v>0</v>
      </c>
      <c r="DO236" s="39" t="n">
        <f aca="false">IF(DO$4=0,0,IF(COUNTIFS(実績!$W$6:$W$505,DO$3,実績!$AI$6:$AI$505,"&lt;="&amp;$A236,実績!$AJ$6:$AJ$505,"&gt;"&amp;$A236,実績!$AK$6:$AK$505,"○")&gt;0,1,0))</f>
        <v>0</v>
      </c>
      <c r="DP236" s="39" t="n">
        <f aca="false">IF(DP$4=0,0,IF(COUNTIFS(実績!$W$6:$W$505,DP$3,実績!$AI$6:$AI$505,"&lt;="&amp;$A236,実績!$AJ$6:$AJ$505,"&gt;"&amp;$A236,実績!$AK$6:$AK$505,"○")&gt;0,1,0))</f>
        <v>0</v>
      </c>
      <c r="DQ236" s="39" t="n">
        <f aca="false">IF(DQ$4=0,0,IF(COUNTIFS(実績!$W$6:$W$505,DQ$3,実績!$AI$6:$AI$505,"&lt;="&amp;$A236,実績!$AJ$6:$AJ$505,"&gt;"&amp;$A236,実績!$AK$6:$AK$505,"○")&gt;0,1,0))</f>
        <v>0</v>
      </c>
      <c r="DR236" s="39" t="n">
        <f aca="false">IF(DR$4=0,0,IF(COUNTIFS(実績!$W$6:$W$505,DR$3,実績!$AI$6:$AI$505,"&lt;="&amp;$A236,実績!$AJ$6:$AJ$505,"&gt;"&amp;$A236,実績!$AK$6:$AK$505,"○")&gt;0,1,0))</f>
        <v>0</v>
      </c>
      <c r="DS236" s="39" t="n">
        <f aca="false">SUM(C236:DR236)</f>
        <v>0</v>
      </c>
      <c r="DT236" s="39" t="n">
        <f aca="false">SUMPRODUCT((実績!$C$6:$C$505="○")*ISNUMBER(実績!$AM$6:$AM$505)*(実績!$AM$6:$AM$505&lt;=$A236)*(実績!$AN$6:$AN$505&gt;$A236))</f>
        <v>0</v>
      </c>
      <c r="DU236" s="39" t="n">
        <f aca="false">SUMIF($C$2:$DR$2,"製鉄曳船",C236:DR236)</f>
        <v>0</v>
      </c>
      <c r="DV236" s="39" t="n">
        <f aca="false">SUMIF($C$2:$DR$2,"西日本海運",C236:DR236)</f>
        <v>0</v>
      </c>
    </row>
    <row r="237" customFormat="false" ht="15" hidden="false" customHeight="false" outlineLevel="0" collapsed="false">
      <c r="A237" s="0" t="n">
        <v>1155</v>
      </c>
      <c r="B237" s="38" t="n">
        <f aca="false">A237/1440</f>
        <v>0.802083333333333</v>
      </c>
      <c r="C237" s="39" t="n">
        <f aca="false">IF(C$4=0,0,IF(COUNTIFS(実績!$W$6:$W$505,C$3,実績!$AI$6:$AI$505,"&lt;="&amp;$A237,実績!$AJ$6:$AJ$505,"&gt;"&amp;$A237,実績!$AK$6:$AK$505,"○")&gt;0,1,0))</f>
        <v>0</v>
      </c>
      <c r="D237" s="39" t="n">
        <f aca="false">IF(D$4=0,0,IF(COUNTIFS(実績!$W$6:$W$505,D$3,実績!$AI$6:$AI$505,"&lt;="&amp;$A237,実績!$AJ$6:$AJ$505,"&gt;"&amp;$A237,実績!$AK$6:$AK$505,"○")&gt;0,1,0))</f>
        <v>0</v>
      </c>
      <c r="E237" s="39" t="n">
        <f aca="false">IF(E$4=0,0,IF(COUNTIFS(実績!$W$6:$W$505,E$3,実績!$AI$6:$AI$505,"&lt;="&amp;$A237,実績!$AJ$6:$AJ$505,"&gt;"&amp;$A237,実績!$AK$6:$AK$505,"○")&gt;0,1,0))</f>
        <v>0</v>
      </c>
      <c r="F237" s="39" t="n">
        <f aca="false">IF(F$4=0,0,IF(COUNTIFS(実績!$W$6:$W$505,F$3,実績!$AI$6:$AI$505,"&lt;="&amp;$A237,実績!$AJ$6:$AJ$505,"&gt;"&amp;$A237,実績!$AK$6:$AK$505,"○")&gt;0,1,0))</f>
        <v>0</v>
      </c>
      <c r="G237" s="39" t="n">
        <f aca="false">IF(G$4=0,0,IF(COUNTIFS(実績!$W$6:$W$505,G$3,実績!$AI$6:$AI$505,"&lt;="&amp;$A237,実績!$AJ$6:$AJ$505,"&gt;"&amp;$A237,実績!$AK$6:$AK$505,"○")&gt;0,1,0))</f>
        <v>0</v>
      </c>
      <c r="H237" s="39" t="n">
        <f aca="false">IF(H$4=0,0,IF(COUNTIFS(実績!$W$6:$W$505,H$3,実績!$AI$6:$AI$505,"&lt;="&amp;$A237,実績!$AJ$6:$AJ$505,"&gt;"&amp;$A237,実績!$AK$6:$AK$505,"○")&gt;0,1,0))</f>
        <v>0</v>
      </c>
      <c r="I237" s="39" t="n">
        <f aca="false">IF(I$4=0,0,IF(COUNTIFS(実績!$W$6:$W$505,I$3,実績!$AI$6:$AI$505,"&lt;="&amp;$A237,実績!$AJ$6:$AJ$505,"&gt;"&amp;$A237,実績!$AK$6:$AK$505,"○")&gt;0,1,0))</f>
        <v>0</v>
      </c>
      <c r="J237" s="39" t="n">
        <f aca="false">IF(J$4=0,0,IF(COUNTIFS(実績!$W$6:$W$505,J$3,実績!$AI$6:$AI$505,"&lt;="&amp;$A237,実績!$AJ$6:$AJ$505,"&gt;"&amp;$A237,実績!$AK$6:$AK$505,"○")&gt;0,1,0))</f>
        <v>0</v>
      </c>
      <c r="K237" s="39" t="n">
        <f aca="false">IF(K$4=0,0,IF(COUNTIFS(実績!$W$6:$W$505,K$3,実績!$AI$6:$AI$505,"&lt;="&amp;$A237,実績!$AJ$6:$AJ$505,"&gt;"&amp;$A237,実績!$AK$6:$AK$505,"○")&gt;0,1,0))</f>
        <v>0</v>
      </c>
      <c r="L237" s="39" t="n">
        <f aca="false">IF(L$4=0,0,IF(COUNTIFS(実績!$W$6:$W$505,L$3,実績!$AI$6:$AI$505,"&lt;="&amp;$A237,実績!$AJ$6:$AJ$505,"&gt;"&amp;$A237,実績!$AK$6:$AK$505,"○")&gt;0,1,0))</f>
        <v>0</v>
      </c>
      <c r="M237" s="39" t="n">
        <f aca="false">IF(M$4=0,0,IF(COUNTIFS(実績!$W$6:$W$505,M$3,実績!$AI$6:$AI$505,"&lt;="&amp;$A237,実績!$AJ$6:$AJ$505,"&gt;"&amp;$A237,実績!$AK$6:$AK$505,"○")&gt;0,1,0))</f>
        <v>0</v>
      </c>
      <c r="N237" s="39" t="n">
        <f aca="false">IF(N$4=0,0,IF(COUNTIFS(実績!$W$6:$W$505,N$3,実績!$AI$6:$AI$505,"&lt;="&amp;$A237,実績!$AJ$6:$AJ$505,"&gt;"&amp;$A237,実績!$AK$6:$AK$505,"○")&gt;0,1,0))</f>
        <v>0</v>
      </c>
      <c r="O237" s="39" t="n">
        <f aca="false">IF(O$4=0,0,IF(COUNTIFS(実績!$W$6:$W$505,O$3,実績!$AI$6:$AI$505,"&lt;="&amp;$A237,実績!$AJ$6:$AJ$505,"&gt;"&amp;$A237,実績!$AK$6:$AK$505,"○")&gt;0,1,0))</f>
        <v>0</v>
      </c>
      <c r="P237" s="39" t="n">
        <f aca="false">IF(P$4=0,0,IF(COUNTIFS(実績!$W$6:$W$505,P$3,実績!$AI$6:$AI$505,"&lt;="&amp;$A237,実績!$AJ$6:$AJ$505,"&gt;"&amp;$A237,実績!$AK$6:$AK$505,"○")&gt;0,1,0))</f>
        <v>0</v>
      </c>
      <c r="Q237" s="39" t="n">
        <f aca="false">IF(Q$4=0,0,IF(COUNTIFS(実績!$W$6:$W$505,Q$3,実績!$AI$6:$AI$505,"&lt;="&amp;$A237,実績!$AJ$6:$AJ$505,"&gt;"&amp;$A237,実績!$AK$6:$AK$505,"○")&gt;0,1,0))</f>
        <v>0</v>
      </c>
      <c r="R237" s="39" t="n">
        <f aca="false">IF(R$4=0,0,IF(COUNTIFS(実績!$W$6:$W$505,R$3,実績!$AI$6:$AI$505,"&lt;="&amp;$A237,実績!$AJ$6:$AJ$505,"&gt;"&amp;$A237,実績!$AK$6:$AK$505,"○")&gt;0,1,0))</f>
        <v>0</v>
      </c>
      <c r="S237" s="39" t="n">
        <f aca="false">IF(S$4=0,0,IF(COUNTIFS(実績!$W$6:$W$505,S$3,実績!$AI$6:$AI$505,"&lt;="&amp;$A237,実績!$AJ$6:$AJ$505,"&gt;"&amp;$A237,実績!$AK$6:$AK$505,"○")&gt;0,1,0))</f>
        <v>0</v>
      </c>
      <c r="T237" s="39" t="n">
        <f aca="false">IF(T$4=0,0,IF(COUNTIFS(実績!$W$6:$W$505,T$3,実績!$AI$6:$AI$505,"&lt;="&amp;$A237,実績!$AJ$6:$AJ$505,"&gt;"&amp;$A237,実績!$AK$6:$AK$505,"○")&gt;0,1,0))</f>
        <v>0</v>
      </c>
      <c r="U237" s="39" t="n">
        <f aca="false">IF(U$4=0,0,IF(COUNTIFS(実績!$W$6:$W$505,U$3,実績!$AI$6:$AI$505,"&lt;="&amp;$A237,実績!$AJ$6:$AJ$505,"&gt;"&amp;$A237,実績!$AK$6:$AK$505,"○")&gt;0,1,0))</f>
        <v>0</v>
      </c>
      <c r="V237" s="39" t="n">
        <f aca="false">IF(V$4=0,0,IF(COUNTIFS(実績!$W$6:$W$505,V$3,実績!$AI$6:$AI$505,"&lt;="&amp;$A237,実績!$AJ$6:$AJ$505,"&gt;"&amp;$A237,実績!$AK$6:$AK$505,"○")&gt;0,1,0))</f>
        <v>0</v>
      </c>
      <c r="W237" s="39" t="n">
        <f aca="false">IF(W$4=0,0,IF(COUNTIFS(実績!$W$6:$W$505,W$3,実績!$AI$6:$AI$505,"&lt;="&amp;$A237,実績!$AJ$6:$AJ$505,"&gt;"&amp;$A237,実績!$AK$6:$AK$505,"○")&gt;0,1,0))</f>
        <v>0</v>
      </c>
      <c r="X237" s="39" t="n">
        <f aca="false">IF(X$4=0,0,IF(COUNTIFS(実績!$W$6:$W$505,X$3,実績!$AI$6:$AI$505,"&lt;="&amp;$A237,実績!$AJ$6:$AJ$505,"&gt;"&amp;$A237,実績!$AK$6:$AK$505,"○")&gt;0,1,0))</f>
        <v>0</v>
      </c>
      <c r="Y237" s="39" t="n">
        <f aca="false">IF(Y$4=0,0,IF(COUNTIFS(実績!$W$6:$W$505,Y$3,実績!$AI$6:$AI$505,"&lt;="&amp;$A237,実績!$AJ$6:$AJ$505,"&gt;"&amp;$A237,実績!$AK$6:$AK$505,"○")&gt;0,1,0))</f>
        <v>0</v>
      </c>
      <c r="Z237" s="39" t="n">
        <f aca="false">IF(Z$4=0,0,IF(COUNTIFS(実績!$W$6:$W$505,Z$3,実績!$AI$6:$AI$505,"&lt;="&amp;$A237,実績!$AJ$6:$AJ$505,"&gt;"&amp;$A237,実績!$AK$6:$AK$505,"○")&gt;0,1,0))</f>
        <v>0</v>
      </c>
      <c r="AA237" s="39" t="n">
        <f aca="false">IF(AA$4=0,0,IF(COUNTIFS(実績!$W$6:$W$505,AA$3,実績!$AI$6:$AI$505,"&lt;="&amp;$A237,実績!$AJ$6:$AJ$505,"&gt;"&amp;$A237,実績!$AK$6:$AK$505,"○")&gt;0,1,0))</f>
        <v>0</v>
      </c>
      <c r="AB237" s="39" t="n">
        <f aca="false">IF(AB$4=0,0,IF(COUNTIFS(実績!$W$6:$W$505,AB$3,実績!$AI$6:$AI$505,"&lt;="&amp;$A237,実績!$AJ$6:$AJ$505,"&gt;"&amp;$A237,実績!$AK$6:$AK$505,"○")&gt;0,1,0))</f>
        <v>0</v>
      </c>
      <c r="AC237" s="39" t="n">
        <f aca="false">IF(AC$4=0,0,IF(COUNTIFS(実績!$W$6:$W$505,AC$3,実績!$AI$6:$AI$505,"&lt;="&amp;$A237,実績!$AJ$6:$AJ$505,"&gt;"&amp;$A237,実績!$AK$6:$AK$505,"○")&gt;0,1,0))</f>
        <v>0</v>
      </c>
      <c r="AD237" s="39" t="n">
        <f aca="false">IF(AD$4=0,0,IF(COUNTIFS(実績!$W$6:$W$505,AD$3,実績!$AI$6:$AI$505,"&lt;="&amp;$A237,実績!$AJ$6:$AJ$505,"&gt;"&amp;$A237,実績!$AK$6:$AK$505,"○")&gt;0,1,0))</f>
        <v>0</v>
      </c>
      <c r="AE237" s="39" t="n">
        <f aca="false">IF(AE$4=0,0,IF(COUNTIFS(実績!$W$6:$W$505,AE$3,実績!$AI$6:$AI$505,"&lt;="&amp;$A237,実績!$AJ$6:$AJ$505,"&gt;"&amp;$A237,実績!$AK$6:$AK$505,"○")&gt;0,1,0))</f>
        <v>0</v>
      </c>
      <c r="AF237" s="39" t="n">
        <f aca="false">IF(AF$4=0,0,IF(COUNTIFS(実績!$W$6:$W$505,AF$3,実績!$AI$6:$AI$505,"&lt;="&amp;$A237,実績!$AJ$6:$AJ$505,"&gt;"&amp;$A237,実績!$AK$6:$AK$505,"○")&gt;0,1,0))</f>
        <v>0</v>
      </c>
      <c r="AG237" s="39" t="n">
        <f aca="false">IF(AG$4=0,0,IF(COUNTIFS(実績!$W$6:$W$505,AG$3,実績!$AI$6:$AI$505,"&lt;="&amp;$A237,実績!$AJ$6:$AJ$505,"&gt;"&amp;$A237,実績!$AK$6:$AK$505,"○")&gt;0,1,0))</f>
        <v>0</v>
      </c>
      <c r="AH237" s="39" t="n">
        <f aca="false">IF(AH$4=0,0,IF(COUNTIFS(実績!$W$6:$W$505,AH$3,実績!$AI$6:$AI$505,"&lt;="&amp;$A237,実績!$AJ$6:$AJ$505,"&gt;"&amp;$A237,実績!$AK$6:$AK$505,"○")&gt;0,1,0))</f>
        <v>0</v>
      </c>
      <c r="AI237" s="39" t="n">
        <f aca="false">IF(AI$4=0,0,IF(COUNTIFS(実績!$W$6:$W$505,AI$3,実績!$AI$6:$AI$505,"&lt;="&amp;$A237,実績!$AJ$6:$AJ$505,"&gt;"&amp;$A237,実績!$AK$6:$AK$505,"○")&gt;0,1,0))</f>
        <v>0</v>
      </c>
      <c r="AJ237" s="39" t="n">
        <f aca="false">IF(AJ$4=0,0,IF(COUNTIFS(実績!$W$6:$W$505,AJ$3,実績!$AI$6:$AI$505,"&lt;="&amp;$A237,実績!$AJ$6:$AJ$505,"&gt;"&amp;$A237,実績!$AK$6:$AK$505,"○")&gt;0,1,0))</f>
        <v>0</v>
      </c>
      <c r="AK237" s="39" t="n">
        <f aca="false">IF(AK$4=0,0,IF(COUNTIFS(実績!$W$6:$W$505,AK$3,実績!$AI$6:$AI$505,"&lt;="&amp;$A237,実績!$AJ$6:$AJ$505,"&gt;"&amp;$A237,実績!$AK$6:$AK$505,"○")&gt;0,1,0))</f>
        <v>0</v>
      </c>
      <c r="AL237" s="39" t="n">
        <f aca="false">IF(AL$4=0,0,IF(COUNTIFS(実績!$W$6:$W$505,AL$3,実績!$AI$6:$AI$505,"&lt;="&amp;$A237,実績!$AJ$6:$AJ$505,"&gt;"&amp;$A237,実績!$AK$6:$AK$505,"○")&gt;0,1,0))</f>
        <v>0</v>
      </c>
      <c r="AM237" s="39" t="n">
        <f aca="false">IF(AM$4=0,0,IF(COUNTIFS(実績!$W$6:$W$505,AM$3,実績!$AI$6:$AI$505,"&lt;="&amp;$A237,実績!$AJ$6:$AJ$505,"&gt;"&amp;$A237,実績!$AK$6:$AK$505,"○")&gt;0,1,0))</f>
        <v>0</v>
      </c>
      <c r="AN237" s="39" t="n">
        <f aca="false">IF(AN$4=0,0,IF(COUNTIFS(実績!$W$6:$W$505,AN$3,実績!$AI$6:$AI$505,"&lt;="&amp;$A237,実績!$AJ$6:$AJ$505,"&gt;"&amp;$A237,実績!$AK$6:$AK$505,"○")&gt;0,1,0))</f>
        <v>0</v>
      </c>
      <c r="AO237" s="39" t="n">
        <f aca="false">IF(AO$4=0,0,IF(COUNTIFS(実績!$W$6:$W$505,AO$3,実績!$AI$6:$AI$505,"&lt;="&amp;$A237,実績!$AJ$6:$AJ$505,"&gt;"&amp;$A237,実績!$AK$6:$AK$505,"○")&gt;0,1,0))</f>
        <v>0</v>
      </c>
      <c r="AP237" s="39" t="n">
        <f aca="false">IF(AP$4=0,0,IF(COUNTIFS(実績!$W$6:$W$505,AP$3,実績!$AI$6:$AI$505,"&lt;="&amp;$A237,実績!$AJ$6:$AJ$505,"&gt;"&amp;$A237,実績!$AK$6:$AK$505,"○")&gt;0,1,0))</f>
        <v>0</v>
      </c>
      <c r="AQ237" s="39" t="n">
        <f aca="false">IF(AQ$4=0,0,IF(COUNTIFS(実績!$W$6:$W$505,AQ$3,実績!$AI$6:$AI$505,"&lt;="&amp;$A237,実績!$AJ$6:$AJ$505,"&gt;"&amp;$A237,実績!$AK$6:$AK$505,"○")&gt;0,1,0))</f>
        <v>0</v>
      </c>
      <c r="AR237" s="39" t="n">
        <f aca="false">IF(AR$4=0,0,IF(COUNTIFS(実績!$W$6:$W$505,AR$3,実績!$AI$6:$AI$505,"&lt;="&amp;$A237,実績!$AJ$6:$AJ$505,"&gt;"&amp;$A237,実績!$AK$6:$AK$505,"○")&gt;0,1,0))</f>
        <v>0</v>
      </c>
      <c r="AS237" s="39" t="n">
        <f aca="false">IF(AS$4=0,0,IF(COUNTIFS(実績!$W$6:$W$505,AS$3,実績!$AI$6:$AI$505,"&lt;="&amp;$A237,実績!$AJ$6:$AJ$505,"&gt;"&amp;$A237,実績!$AK$6:$AK$505,"○")&gt;0,1,0))</f>
        <v>0</v>
      </c>
      <c r="AT237" s="39" t="n">
        <f aca="false">IF(AT$4=0,0,IF(COUNTIFS(実績!$W$6:$W$505,AT$3,実績!$AI$6:$AI$505,"&lt;="&amp;$A237,実績!$AJ$6:$AJ$505,"&gt;"&amp;$A237,実績!$AK$6:$AK$505,"○")&gt;0,1,0))</f>
        <v>0</v>
      </c>
      <c r="AU237" s="39" t="n">
        <f aca="false">IF(AU$4=0,0,IF(COUNTIFS(実績!$W$6:$W$505,AU$3,実績!$AI$6:$AI$505,"&lt;="&amp;$A237,実績!$AJ$6:$AJ$505,"&gt;"&amp;$A237,実績!$AK$6:$AK$505,"○")&gt;0,1,0))</f>
        <v>0</v>
      </c>
      <c r="AV237" s="39" t="n">
        <f aca="false">IF(AV$4=0,0,IF(COUNTIFS(実績!$W$6:$W$505,AV$3,実績!$AI$6:$AI$505,"&lt;="&amp;$A237,実績!$AJ$6:$AJ$505,"&gt;"&amp;$A237,実績!$AK$6:$AK$505,"○")&gt;0,1,0))</f>
        <v>0</v>
      </c>
      <c r="AW237" s="39" t="n">
        <f aca="false">IF(AW$4=0,0,IF(COUNTIFS(実績!$W$6:$W$505,AW$3,実績!$AI$6:$AI$505,"&lt;="&amp;$A237,実績!$AJ$6:$AJ$505,"&gt;"&amp;$A237,実績!$AK$6:$AK$505,"○")&gt;0,1,0))</f>
        <v>0</v>
      </c>
      <c r="AX237" s="39" t="n">
        <f aca="false">IF(AX$4=0,0,IF(COUNTIFS(実績!$W$6:$W$505,AX$3,実績!$AI$6:$AI$505,"&lt;="&amp;$A237,実績!$AJ$6:$AJ$505,"&gt;"&amp;$A237,実績!$AK$6:$AK$505,"○")&gt;0,1,0))</f>
        <v>0</v>
      </c>
      <c r="AY237" s="39" t="n">
        <f aca="false">IF(AY$4=0,0,IF(COUNTIFS(実績!$W$6:$W$505,AY$3,実績!$AI$6:$AI$505,"&lt;="&amp;$A237,実績!$AJ$6:$AJ$505,"&gt;"&amp;$A237,実績!$AK$6:$AK$505,"○")&gt;0,1,0))</f>
        <v>0</v>
      </c>
      <c r="AZ237" s="39" t="n">
        <f aca="false">IF(AZ$4=0,0,IF(COUNTIFS(実績!$W$6:$W$505,AZ$3,実績!$AI$6:$AI$505,"&lt;="&amp;$A237,実績!$AJ$6:$AJ$505,"&gt;"&amp;$A237,実績!$AK$6:$AK$505,"○")&gt;0,1,0))</f>
        <v>0</v>
      </c>
      <c r="BA237" s="39" t="n">
        <f aca="false">IF(BA$4=0,0,IF(COUNTIFS(実績!$W$6:$W$505,BA$3,実績!$AI$6:$AI$505,"&lt;="&amp;$A237,実績!$AJ$6:$AJ$505,"&gt;"&amp;$A237,実績!$AK$6:$AK$505,"○")&gt;0,1,0))</f>
        <v>0</v>
      </c>
      <c r="BB237" s="39" t="n">
        <f aca="false">IF(BB$4=0,0,IF(COUNTIFS(実績!$W$6:$W$505,BB$3,実績!$AI$6:$AI$505,"&lt;="&amp;$A237,実績!$AJ$6:$AJ$505,"&gt;"&amp;$A237,実績!$AK$6:$AK$505,"○")&gt;0,1,0))</f>
        <v>0</v>
      </c>
      <c r="BC237" s="39" t="n">
        <f aca="false">IF(BC$4=0,0,IF(COUNTIFS(実績!$W$6:$W$505,BC$3,実績!$AI$6:$AI$505,"&lt;="&amp;$A237,実績!$AJ$6:$AJ$505,"&gt;"&amp;$A237,実績!$AK$6:$AK$505,"○")&gt;0,1,0))</f>
        <v>0</v>
      </c>
      <c r="BD237" s="39" t="n">
        <f aca="false">IF(BD$4=0,0,IF(COUNTIFS(実績!$W$6:$W$505,BD$3,実績!$AI$6:$AI$505,"&lt;="&amp;$A237,実績!$AJ$6:$AJ$505,"&gt;"&amp;$A237,実績!$AK$6:$AK$505,"○")&gt;0,1,0))</f>
        <v>0</v>
      </c>
      <c r="BE237" s="39" t="n">
        <f aca="false">IF(BE$4=0,0,IF(COUNTIFS(実績!$W$6:$W$505,BE$3,実績!$AI$6:$AI$505,"&lt;="&amp;$A237,実績!$AJ$6:$AJ$505,"&gt;"&amp;$A237,実績!$AK$6:$AK$505,"○")&gt;0,1,0))</f>
        <v>0</v>
      </c>
      <c r="BF237" s="39" t="n">
        <f aca="false">IF(BF$4=0,0,IF(COUNTIFS(実績!$W$6:$W$505,BF$3,実績!$AI$6:$AI$505,"&lt;="&amp;$A237,実績!$AJ$6:$AJ$505,"&gt;"&amp;$A237,実績!$AK$6:$AK$505,"○")&gt;0,1,0))</f>
        <v>0</v>
      </c>
      <c r="BG237" s="39" t="n">
        <f aca="false">IF(BG$4=0,0,IF(COUNTIFS(実績!$W$6:$W$505,BG$3,実績!$AI$6:$AI$505,"&lt;="&amp;$A237,実績!$AJ$6:$AJ$505,"&gt;"&amp;$A237,実績!$AK$6:$AK$505,"○")&gt;0,1,0))</f>
        <v>0</v>
      </c>
      <c r="BH237" s="39" t="n">
        <f aca="false">IF(BH$4=0,0,IF(COUNTIFS(実績!$W$6:$W$505,BH$3,実績!$AI$6:$AI$505,"&lt;="&amp;$A237,実績!$AJ$6:$AJ$505,"&gt;"&amp;$A237,実績!$AK$6:$AK$505,"○")&gt;0,1,0))</f>
        <v>0</v>
      </c>
      <c r="BI237" s="39" t="n">
        <f aca="false">IF(BI$4=0,0,IF(COUNTIFS(実績!$W$6:$W$505,BI$3,実績!$AI$6:$AI$505,"&lt;="&amp;$A237,実績!$AJ$6:$AJ$505,"&gt;"&amp;$A237,実績!$AK$6:$AK$505,"○")&gt;0,1,0))</f>
        <v>0</v>
      </c>
      <c r="BJ237" s="39" t="n">
        <f aca="false">IF(BJ$4=0,0,IF(COUNTIFS(実績!$W$6:$W$505,BJ$3,実績!$AI$6:$AI$505,"&lt;="&amp;$A237,実績!$AJ$6:$AJ$505,"&gt;"&amp;$A237,実績!$AK$6:$AK$505,"○")&gt;0,1,0))</f>
        <v>0</v>
      </c>
      <c r="BK237" s="39" t="n">
        <f aca="false">IF(BK$4=0,0,IF(COUNTIFS(実績!$W$6:$W$505,BK$3,実績!$AI$6:$AI$505,"&lt;="&amp;$A237,実績!$AJ$6:$AJ$505,"&gt;"&amp;$A237,実績!$AK$6:$AK$505,"○")&gt;0,1,0))</f>
        <v>0</v>
      </c>
      <c r="BL237" s="39" t="n">
        <f aca="false">IF(BL$4=0,0,IF(COUNTIFS(実績!$W$6:$W$505,BL$3,実績!$AI$6:$AI$505,"&lt;="&amp;$A237,実績!$AJ$6:$AJ$505,"&gt;"&amp;$A237,実績!$AK$6:$AK$505,"○")&gt;0,1,0))</f>
        <v>0</v>
      </c>
      <c r="BM237" s="39" t="n">
        <f aca="false">IF(BM$4=0,0,IF(COUNTIFS(実績!$W$6:$W$505,BM$3,実績!$AI$6:$AI$505,"&lt;="&amp;$A237,実績!$AJ$6:$AJ$505,"&gt;"&amp;$A237,実績!$AK$6:$AK$505,"○")&gt;0,1,0))</f>
        <v>0</v>
      </c>
      <c r="BN237" s="39" t="n">
        <f aca="false">IF(BN$4=0,0,IF(COUNTIFS(実績!$W$6:$W$505,BN$3,実績!$AI$6:$AI$505,"&lt;="&amp;$A237,実績!$AJ$6:$AJ$505,"&gt;"&amp;$A237,実績!$AK$6:$AK$505,"○")&gt;0,1,0))</f>
        <v>0</v>
      </c>
      <c r="BO237" s="39" t="n">
        <f aca="false">IF(BO$4=0,0,IF(COUNTIFS(実績!$W$6:$W$505,BO$3,実績!$AI$6:$AI$505,"&lt;="&amp;$A237,実績!$AJ$6:$AJ$505,"&gt;"&amp;$A237,実績!$AK$6:$AK$505,"○")&gt;0,1,0))</f>
        <v>0</v>
      </c>
      <c r="BP237" s="39" t="n">
        <f aca="false">IF(BP$4=0,0,IF(COUNTIFS(実績!$W$6:$W$505,BP$3,実績!$AI$6:$AI$505,"&lt;="&amp;$A237,実績!$AJ$6:$AJ$505,"&gt;"&amp;$A237,実績!$AK$6:$AK$505,"○")&gt;0,1,0))</f>
        <v>0</v>
      </c>
      <c r="BQ237" s="39" t="n">
        <f aca="false">IF(BQ$4=0,0,IF(COUNTIFS(実績!$W$6:$W$505,BQ$3,実績!$AI$6:$AI$505,"&lt;="&amp;$A237,実績!$AJ$6:$AJ$505,"&gt;"&amp;$A237,実績!$AK$6:$AK$505,"○")&gt;0,1,0))</f>
        <v>0</v>
      </c>
      <c r="BR237" s="39" t="n">
        <f aca="false">IF(BR$4=0,0,IF(COUNTIFS(実績!$W$6:$W$505,BR$3,実績!$AI$6:$AI$505,"&lt;="&amp;$A237,実績!$AJ$6:$AJ$505,"&gt;"&amp;$A237,実績!$AK$6:$AK$505,"○")&gt;0,1,0))</f>
        <v>0</v>
      </c>
      <c r="BS237" s="39" t="n">
        <f aca="false">IF(BS$4=0,0,IF(COUNTIFS(実績!$W$6:$W$505,BS$3,実績!$AI$6:$AI$505,"&lt;="&amp;$A237,実績!$AJ$6:$AJ$505,"&gt;"&amp;$A237,実績!$AK$6:$AK$505,"○")&gt;0,1,0))</f>
        <v>0</v>
      </c>
      <c r="BT237" s="39" t="n">
        <f aca="false">IF(BT$4=0,0,IF(COUNTIFS(実績!$W$6:$W$505,BT$3,実績!$AI$6:$AI$505,"&lt;="&amp;$A237,実績!$AJ$6:$AJ$505,"&gt;"&amp;$A237,実績!$AK$6:$AK$505,"○")&gt;0,1,0))</f>
        <v>0</v>
      </c>
      <c r="BU237" s="39" t="n">
        <f aca="false">IF(BU$4=0,0,IF(COUNTIFS(実績!$W$6:$W$505,BU$3,実績!$AI$6:$AI$505,"&lt;="&amp;$A237,実績!$AJ$6:$AJ$505,"&gt;"&amp;$A237,実績!$AK$6:$AK$505,"○")&gt;0,1,0))</f>
        <v>0</v>
      </c>
      <c r="BV237" s="39" t="n">
        <f aca="false">IF(BV$4=0,0,IF(COUNTIFS(実績!$W$6:$W$505,BV$3,実績!$AI$6:$AI$505,"&lt;="&amp;$A237,実績!$AJ$6:$AJ$505,"&gt;"&amp;$A237,実績!$AK$6:$AK$505,"○")&gt;0,1,0))</f>
        <v>0</v>
      </c>
      <c r="BW237" s="39" t="n">
        <f aca="false">IF(BW$4=0,0,IF(COUNTIFS(実績!$W$6:$W$505,BW$3,実績!$AI$6:$AI$505,"&lt;="&amp;$A237,実績!$AJ$6:$AJ$505,"&gt;"&amp;$A237,実績!$AK$6:$AK$505,"○")&gt;0,1,0))</f>
        <v>0</v>
      </c>
      <c r="BX237" s="39" t="n">
        <f aca="false">IF(BX$4=0,0,IF(COUNTIFS(実績!$W$6:$W$505,BX$3,実績!$AI$6:$AI$505,"&lt;="&amp;$A237,実績!$AJ$6:$AJ$505,"&gt;"&amp;$A237,実績!$AK$6:$AK$505,"○")&gt;0,1,0))</f>
        <v>0</v>
      </c>
      <c r="BY237" s="39" t="n">
        <f aca="false">IF(BY$4=0,0,IF(COUNTIFS(実績!$W$6:$W$505,BY$3,実績!$AI$6:$AI$505,"&lt;="&amp;$A237,実績!$AJ$6:$AJ$505,"&gt;"&amp;$A237,実績!$AK$6:$AK$505,"○")&gt;0,1,0))</f>
        <v>0</v>
      </c>
      <c r="BZ237" s="39" t="n">
        <f aca="false">IF(BZ$4=0,0,IF(COUNTIFS(実績!$W$6:$W$505,BZ$3,実績!$AI$6:$AI$505,"&lt;="&amp;$A237,実績!$AJ$6:$AJ$505,"&gt;"&amp;$A237,実績!$AK$6:$AK$505,"○")&gt;0,1,0))</f>
        <v>0</v>
      </c>
      <c r="CA237" s="39" t="n">
        <f aca="false">IF(CA$4=0,0,IF(COUNTIFS(実績!$W$6:$W$505,CA$3,実績!$AI$6:$AI$505,"&lt;="&amp;$A237,実績!$AJ$6:$AJ$505,"&gt;"&amp;$A237,実績!$AK$6:$AK$505,"○")&gt;0,1,0))</f>
        <v>0</v>
      </c>
      <c r="CB237" s="39" t="n">
        <f aca="false">IF(CB$4=0,0,IF(COUNTIFS(実績!$W$6:$W$505,CB$3,実績!$AI$6:$AI$505,"&lt;="&amp;$A237,実績!$AJ$6:$AJ$505,"&gt;"&amp;$A237,実績!$AK$6:$AK$505,"○")&gt;0,1,0))</f>
        <v>0</v>
      </c>
      <c r="CC237" s="39" t="n">
        <f aca="false">IF(CC$4=0,0,IF(COUNTIFS(実績!$W$6:$W$505,CC$3,実績!$AI$6:$AI$505,"&lt;="&amp;$A237,実績!$AJ$6:$AJ$505,"&gt;"&amp;$A237,実績!$AK$6:$AK$505,"○")&gt;0,1,0))</f>
        <v>0</v>
      </c>
      <c r="CD237" s="39" t="n">
        <f aca="false">IF(CD$4=0,0,IF(COUNTIFS(実績!$W$6:$W$505,CD$3,実績!$AI$6:$AI$505,"&lt;="&amp;$A237,実績!$AJ$6:$AJ$505,"&gt;"&amp;$A237,実績!$AK$6:$AK$505,"○")&gt;0,1,0))</f>
        <v>0</v>
      </c>
      <c r="CE237" s="39" t="n">
        <f aca="false">IF(CE$4=0,0,IF(COUNTIFS(実績!$W$6:$W$505,CE$3,実績!$AI$6:$AI$505,"&lt;="&amp;$A237,実績!$AJ$6:$AJ$505,"&gt;"&amp;$A237,実績!$AK$6:$AK$505,"○")&gt;0,1,0))</f>
        <v>0</v>
      </c>
      <c r="CF237" s="39" t="n">
        <f aca="false">IF(CF$4=0,0,IF(COUNTIFS(実績!$W$6:$W$505,CF$3,実績!$AI$6:$AI$505,"&lt;="&amp;$A237,実績!$AJ$6:$AJ$505,"&gt;"&amp;$A237,実績!$AK$6:$AK$505,"○")&gt;0,1,0))</f>
        <v>0</v>
      </c>
      <c r="CG237" s="39" t="n">
        <f aca="false">IF(CG$4=0,0,IF(COUNTIFS(実績!$W$6:$W$505,CG$3,実績!$AI$6:$AI$505,"&lt;="&amp;$A237,実績!$AJ$6:$AJ$505,"&gt;"&amp;$A237,実績!$AK$6:$AK$505,"○")&gt;0,1,0))</f>
        <v>0</v>
      </c>
      <c r="CH237" s="39" t="n">
        <f aca="false">IF(CH$4=0,0,IF(COUNTIFS(実績!$W$6:$W$505,CH$3,実績!$AI$6:$AI$505,"&lt;="&amp;$A237,実績!$AJ$6:$AJ$505,"&gt;"&amp;$A237,実績!$AK$6:$AK$505,"○")&gt;0,1,0))</f>
        <v>0</v>
      </c>
      <c r="CI237" s="39" t="n">
        <f aca="false">IF(CI$4=0,0,IF(COUNTIFS(実績!$W$6:$W$505,CI$3,実績!$AI$6:$AI$505,"&lt;="&amp;$A237,実績!$AJ$6:$AJ$505,"&gt;"&amp;$A237,実績!$AK$6:$AK$505,"○")&gt;0,1,0))</f>
        <v>0</v>
      </c>
      <c r="CJ237" s="39" t="n">
        <f aca="false">IF(CJ$4=0,0,IF(COUNTIFS(実績!$W$6:$W$505,CJ$3,実績!$AI$6:$AI$505,"&lt;="&amp;$A237,実績!$AJ$6:$AJ$505,"&gt;"&amp;$A237,実績!$AK$6:$AK$505,"○")&gt;0,1,0))</f>
        <v>0</v>
      </c>
      <c r="CK237" s="39" t="n">
        <f aca="false">IF(CK$4=0,0,IF(COUNTIFS(実績!$W$6:$W$505,CK$3,実績!$AI$6:$AI$505,"&lt;="&amp;$A237,実績!$AJ$6:$AJ$505,"&gt;"&amp;$A237,実績!$AK$6:$AK$505,"○")&gt;0,1,0))</f>
        <v>0</v>
      </c>
      <c r="CL237" s="39" t="n">
        <f aca="false">IF(CL$4=0,0,IF(COUNTIFS(実績!$W$6:$W$505,CL$3,実績!$AI$6:$AI$505,"&lt;="&amp;$A237,実績!$AJ$6:$AJ$505,"&gt;"&amp;$A237,実績!$AK$6:$AK$505,"○")&gt;0,1,0))</f>
        <v>0</v>
      </c>
      <c r="CM237" s="39" t="n">
        <f aca="false">IF(CM$4=0,0,IF(COUNTIFS(実績!$W$6:$W$505,CM$3,実績!$AI$6:$AI$505,"&lt;="&amp;$A237,実績!$AJ$6:$AJ$505,"&gt;"&amp;$A237,実績!$AK$6:$AK$505,"○")&gt;0,1,0))</f>
        <v>0</v>
      </c>
      <c r="CN237" s="39" t="n">
        <f aca="false">IF(CN$4=0,0,IF(COUNTIFS(実績!$W$6:$W$505,CN$3,実績!$AI$6:$AI$505,"&lt;="&amp;$A237,実績!$AJ$6:$AJ$505,"&gt;"&amp;$A237,実績!$AK$6:$AK$505,"○")&gt;0,1,0))</f>
        <v>0</v>
      </c>
      <c r="CO237" s="39" t="n">
        <f aca="false">IF(CO$4=0,0,IF(COUNTIFS(実績!$W$6:$W$505,CO$3,実績!$AI$6:$AI$505,"&lt;="&amp;$A237,実績!$AJ$6:$AJ$505,"&gt;"&amp;$A237,実績!$AK$6:$AK$505,"○")&gt;0,1,0))</f>
        <v>0</v>
      </c>
      <c r="CP237" s="39" t="n">
        <f aca="false">IF(CP$4=0,0,IF(COUNTIFS(実績!$W$6:$W$505,CP$3,実績!$AI$6:$AI$505,"&lt;="&amp;$A237,実績!$AJ$6:$AJ$505,"&gt;"&amp;$A237,実績!$AK$6:$AK$505,"○")&gt;0,1,0))</f>
        <v>0</v>
      </c>
      <c r="CQ237" s="39" t="n">
        <f aca="false">IF(CQ$4=0,0,IF(COUNTIFS(実績!$W$6:$W$505,CQ$3,実績!$AI$6:$AI$505,"&lt;="&amp;$A237,実績!$AJ$6:$AJ$505,"&gt;"&amp;$A237,実績!$AK$6:$AK$505,"○")&gt;0,1,0))</f>
        <v>0</v>
      </c>
      <c r="CR237" s="39" t="n">
        <f aca="false">IF(CR$4=0,0,IF(COUNTIFS(実績!$W$6:$W$505,CR$3,実績!$AI$6:$AI$505,"&lt;="&amp;$A237,実績!$AJ$6:$AJ$505,"&gt;"&amp;$A237,実績!$AK$6:$AK$505,"○")&gt;0,1,0))</f>
        <v>0</v>
      </c>
      <c r="CS237" s="39" t="n">
        <f aca="false">IF(CS$4=0,0,IF(COUNTIFS(実績!$W$6:$W$505,CS$3,実績!$AI$6:$AI$505,"&lt;="&amp;$A237,実績!$AJ$6:$AJ$505,"&gt;"&amp;$A237,実績!$AK$6:$AK$505,"○")&gt;0,1,0))</f>
        <v>0</v>
      </c>
      <c r="CT237" s="39" t="n">
        <f aca="false">IF(CT$4=0,0,IF(COUNTIFS(実績!$W$6:$W$505,CT$3,実績!$AI$6:$AI$505,"&lt;="&amp;$A237,実績!$AJ$6:$AJ$505,"&gt;"&amp;$A237,実績!$AK$6:$AK$505,"○")&gt;0,1,0))</f>
        <v>0</v>
      </c>
      <c r="CU237" s="39" t="n">
        <f aca="false">IF(CU$4=0,0,IF(COUNTIFS(実績!$W$6:$W$505,CU$3,実績!$AI$6:$AI$505,"&lt;="&amp;$A237,実績!$AJ$6:$AJ$505,"&gt;"&amp;$A237,実績!$AK$6:$AK$505,"○")&gt;0,1,0))</f>
        <v>0</v>
      </c>
      <c r="CV237" s="39" t="n">
        <f aca="false">IF(CV$4=0,0,IF(COUNTIFS(実績!$W$6:$W$505,CV$3,実績!$AI$6:$AI$505,"&lt;="&amp;$A237,実績!$AJ$6:$AJ$505,"&gt;"&amp;$A237,実績!$AK$6:$AK$505,"○")&gt;0,1,0))</f>
        <v>0</v>
      </c>
      <c r="CW237" s="39" t="n">
        <f aca="false">IF(CW$4=0,0,IF(COUNTIFS(実績!$W$6:$W$505,CW$3,実績!$AI$6:$AI$505,"&lt;="&amp;$A237,実績!$AJ$6:$AJ$505,"&gt;"&amp;$A237,実績!$AK$6:$AK$505,"○")&gt;0,1,0))</f>
        <v>0</v>
      </c>
      <c r="CX237" s="39" t="n">
        <f aca="false">IF(CX$4=0,0,IF(COUNTIFS(実績!$W$6:$W$505,CX$3,実績!$AI$6:$AI$505,"&lt;="&amp;$A237,実績!$AJ$6:$AJ$505,"&gt;"&amp;$A237,実績!$AK$6:$AK$505,"○")&gt;0,1,0))</f>
        <v>0</v>
      </c>
      <c r="CY237" s="39" t="n">
        <f aca="false">IF(CY$4=0,0,IF(COUNTIFS(実績!$W$6:$W$505,CY$3,実績!$AI$6:$AI$505,"&lt;="&amp;$A237,実績!$AJ$6:$AJ$505,"&gt;"&amp;$A237,実績!$AK$6:$AK$505,"○")&gt;0,1,0))</f>
        <v>0</v>
      </c>
      <c r="CZ237" s="39" t="n">
        <f aca="false">IF(CZ$4=0,0,IF(COUNTIFS(実績!$W$6:$W$505,CZ$3,実績!$AI$6:$AI$505,"&lt;="&amp;$A237,実績!$AJ$6:$AJ$505,"&gt;"&amp;$A237,実績!$AK$6:$AK$505,"○")&gt;0,1,0))</f>
        <v>0</v>
      </c>
      <c r="DA237" s="39" t="n">
        <f aca="false">IF(DA$4=0,0,IF(COUNTIFS(実績!$W$6:$W$505,DA$3,実績!$AI$6:$AI$505,"&lt;="&amp;$A237,実績!$AJ$6:$AJ$505,"&gt;"&amp;$A237,実績!$AK$6:$AK$505,"○")&gt;0,1,0))</f>
        <v>0</v>
      </c>
      <c r="DB237" s="39" t="n">
        <f aca="false">IF(DB$4=0,0,IF(COUNTIFS(実績!$W$6:$W$505,DB$3,実績!$AI$6:$AI$505,"&lt;="&amp;$A237,実績!$AJ$6:$AJ$505,"&gt;"&amp;$A237,実績!$AK$6:$AK$505,"○")&gt;0,1,0))</f>
        <v>0</v>
      </c>
      <c r="DC237" s="39" t="n">
        <f aca="false">IF(DC$4=0,0,IF(COUNTIFS(実績!$W$6:$W$505,DC$3,実績!$AI$6:$AI$505,"&lt;="&amp;$A237,実績!$AJ$6:$AJ$505,"&gt;"&amp;$A237,実績!$AK$6:$AK$505,"○")&gt;0,1,0))</f>
        <v>0</v>
      </c>
      <c r="DD237" s="39" t="n">
        <f aca="false">IF(DD$4=0,0,IF(COUNTIFS(実績!$W$6:$W$505,DD$3,実績!$AI$6:$AI$505,"&lt;="&amp;$A237,実績!$AJ$6:$AJ$505,"&gt;"&amp;$A237,実績!$AK$6:$AK$505,"○")&gt;0,1,0))</f>
        <v>0</v>
      </c>
      <c r="DE237" s="39" t="n">
        <f aca="false">IF(DE$4=0,0,IF(COUNTIFS(実績!$W$6:$W$505,DE$3,実績!$AI$6:$AI$505,"&lt;="&amp;$A237,実績!$AJ$6:$AJ$505,"&gt;"&amp;$A237,実績!$AK$6:$AK$505,"○")&gt;0,1,0))</f>
        <v>0</v>
      </c>
      <c r="DF237" s="39" t="n">
        <f aca="false">IF(DF$4=0,0,IF(COUNTIFS(実績!$W$6:$W$505,DF$3,実績!$AI$6:$AI$505,"&lt;="&amp;$A237,実績!$AJ$6:$AJ$505,"&gt;"&amp;$A237,実績!$AK$6:$AK$505,"○")&gt;0,1,0))</f>
        <v>0</v>
      </c>
      <c r="DG237" s="39" t="n">
        <f aca="false">IF(DG$4=0,0,IF(COUNTIFS(実績!$W$6:$W$505,DG$3,実績!$AI$6:$AI$505,"&lt;="&amp;$A237,実績!$AJ$6:$AJ$505,"&gt;"&amp;$A237,実績!$AK$6:$AK$505,"○")&gt;0,1,0))</f>
        <v>0</v>
      </c>
      <c r="DH237" s="39" t="n">
        <f aca="false">IF(DH$4=0,0,IF(COUNTIFS(実績!$W$6:$W$505,DH$3,実績!$AI$6:$AI$505,"&lt;="&amp;$A237,実績!$AJ$6:$AJ$505,"&gt;"&amp;$A237,実績!$AK$6:$AK$505,"○")&gt;0,1,0))</f>
        <v>0</v>
      </c>
      <c r="DI237" s="39" t="n">
        <f aca="false">IF(DI$4=0,0,IF(COUNTIFS(実績!$W$6:$W$505,DI$3,実績!$AI$6:$AI$505,"&lt;="&amp;$A237,実績!$AJ$6:$AJ$505,"&gt;"&amp;$A237,実績!$AK$6:$AK$505,"○")&gt;0,1,0))</f>
        <v>0</v>
      </c>
      <c r="DJ237" s="39" t="n">
        <f aca="false">IF(DJ$4=0,0,IF(COUNTIFS(実績!$W$6:$W$505,DJ$3,実績!$AI$6:$AI$505,"&lt;="&amp;$A237,実績!$AJ$6:$AJ$505,"&gt;"&amp;$A237,実績!$AK$6:$AK$505,"○")&gt;0,1,0))</f>
        <v>0</v>
      </c>
      <c r="DK237" s="39" t="n">
        <f aca="false">IF(DK$4=0,0,IF(COUNTIFS(実績!$W$6:$W$505,DK$3,実績!$AI$6:$AI$505,"&lt;="&amp;$A237,実績!$AJ$6:$AJ$505,"&gt;"&amp;$A237,実績!$AK$6:$AK$505,"○")&gt;0,1,0))</f>
        <v>0</v>
      </c>
      <c r="DL237" s="39" t="n">
        <f aca="false">IF(DL$4=0,0,IF(COUNTIFS(実績!$W$6:$W$505,DL$3,実績!$AI$6:$AI$505,"&lt;="&amp;$A237,実績!$AJ$6:$AJ$505,"&gt;"&amp;$A237,実績!$AK$6:$AK$505,"○")&gt;0,1,0))</f>
        <v>0</v>
      </c>
      <c r="DM237" s="39" t="n">
        <f aca="false">IF(DM$4=0,0,IF(COUNTIFS(実績!$W$6:$W$505,DM$3,実績!$AI$6:$AI$505,"&lt;="&amp;$A237,実績!$AJ$6:$AJ$505,"&gt;"&amp;$A237,実績!$AK$6:$AK$505,"○")&gt;0,1,0))</f>
        <v>0</v>
      </c>
      <c r="DN237" s="39" t="n">
        <f aca="false">IF(DN$4=0,0,IF(COUNTIFS(実績!$W$6:$W$505,DN$3,実績!$AI$6:$AI$505,"&lt;="&amp;$A237,実績!$AJ$6:$AJ$505,"&gt;"&amp;$A237,実績!$AK$6:$AK$505,"○")&gt;0,1,0))</f>
        <v>0</v>
      </c>
      <c r="DO237" s="39" t="n">
        <f aca="false">IF(DO$4=0,0,IF(COUNTIFS(実績!$W$6:$W$505,DO$3,実績!$AI$6:$AI$505,"&lt;="&amp;$A237,実績!$AJ$6:$AJ$505,"&gt;"&amp;$A237,実績!$AK$6:$AK$505,"○")&gt;0,1,0))</f>
        <v>0</v>
      </c>
      <c r="DP237" s="39" t="n">
        <f aca="false">IF(DP$4=0,0,IF(COUNTIFS(実績!$W$6:$W$505,DP$3,実績!$AI$6:$AI$505,"&lt;="&amp;$A237,実績!$AJ$6:$AJ$505,"&gt;"&amp;$A237,実績!$AK$6:$AK$505,"○")&gt;0,1,0))</f>
        <v>0</v>
      </c>
      <c r="DQ237" s="39" t="n">
        <f aca="false">IF(DQ$4=0,0,IF(COUNTIFS(実績!$W$6:$W$505,DQ$3,実績!$AI$6:$AI$505,"&lt;="&amp;$A237,実績!$AJ$6:$AJ$505,"&gt;"&amp;$A237,実績!$AK$6:$AK$505,"○")&gt;0,1,0))</f>
        <v>0</v>
      </c>
      <c r="DR237" s="39" t="n">
        <f aca="false">IF(DR$4=0,0,IF(COUNTIFS(実績!$W$6:$W$505,DR$3,実績!$AI$6:$AI$505,"&lt;="&amp;$A237,実績!$AJ$6:$AJ$505,"&gt;"&amp;$A237,実績!$AK$6:$AK$505,"○")&gt;0,1,0))</f>
        <v>0</v>
      </c>
      <c r="DS237" s="39" t="n">
        <f aca="false">SUM(C237:DR237)</f>
        <v>0</v>
      </c>
      <c r="DT237" s="39" t="n">
        <f aca="false">SUMPRODUCT((実績!$C$6:$C$505="○")*ISNUMBER(実績!$AM$6:$AM$505)*(実績!$AM$6:$AM$505&lt;=$A237)*(実績!$AN$6:$AN$505&gt;$A237))</f>
        <v>0</v>
      </c>
      <c r="DU237" s="39" t="n">
        <f aca="false">SUMIF($C$2:$DR$2,"製鉄曳船",C237:DR237)</f>
        <v>0</v>
      </c>
      <c r="DV237" s="39" t="n">
        <f aca="false">SUMIF($C$2:$DR$2,"西日本海運",C237:DR237)</f>
        <v>0</v>
      </c>
    </row>
    <row r="238" customFormat="false" ht="15" hidden="false" customHeight="false" outlineLevel="0" collapsed="false">
      <c r="A238" s="0" t="n">
        <v>1160</v>
      </c>
      <c r="B238" s="38" t="n">
        <f aca="false">A238/1440</f>
        <v>0.805555555555556</v>
      </c>
      <c r="C238" s="39" t="n">
        <f aca="false">IF(C$4=0,0,IF(COUNTIFS(実績!$W$6:$W$505,C$3,実績!$AI$6:$AI$505,"&lt;="&amp;$A238,実績!$AJ$6:$AJ$505,"&gt;"&amp;$A238,実績!$AK$6:$AK$505,"○")&gt;0,1,0))</f>
        <v>0</v>
      </c>
      <c r="D238" s="39" t="n">
        <f aca="false">IF(D$4=0,0,IF(COUNTIFS(実績!$W$6:$W$505,D$3,実績!$AI$6:$AI$505,"&lt;="&amp;$A238,実績!$AJ$6:$AJ$505,"&gt;"&amp;$A238,実績!$AK$6:$AK$505,"○")&gt;0,1,0))</f>
        <v>0</v>
      </c>
      <c r="E238" s="39" t="n">
        <f aca="false">IF(E$4=0,0,IF(COUNTIFS(実績!$W$6:$W$505,E$3,実績!$AI$6:$AI$505,"&lt;="&amp;$A238,実績!$AJ$6:$AJ$505,"&gt;"&amp;$A238,実績!$AK$6:$AK$505,"○")&gt;0,1,0))</f>
        <v>0</v>
      </c>
      <c r="F238" s="39" t="n">
        <f aca="false">IF(F$4=0,0,IF(COUNTIFS(実績!$W$6:$W$505,F$3,実績!$AI$6:$AI$505,"&lt;="&amp;$A238,実績!$AJ$6:$AJ$505,"&gt;"&amp;$A238,実績!$AK$6:$AK$505,"○")&gt;0,1,0))</f>
        <v>0</v>
      </c>
      <c r="G238" s="39" t="n">
        <f aca="false">IF(G$4=0,0,IF(COUNTIFS(実績!$W$6:$W$505,G$3,実績!$AI$6:$AI$505,"&lt;="&amp;$A238,実績!$AJ$6:$AJ$505,"&gt;"&amp;$A238,実績!$AK$6:$AK$505,"○")&gt;0,1,0))</f>
        <v>0</v>
      </c>
      <c r="H238" s="39" t="n">
        <f aca="false">IF(H$4=0,0,IF(COUNTIFS(実績!$W$6:$W$505,H$3,実績!$AI$6:$AI$505,"&lt;="&amp;$A238,実績!$AJ$6:$AJ$505,"&gt;"&amp;$A238,実績!$AK$6:$AK$505,"○")&gt;0,1,0))</f>
        <v>0</v>
      </c>
      <c r="I238" s="39" t="n">
        <f aca="false">IF(I$4=0,0,IF(COUNTIFS(実績!$W$6:$W$505,I$3,実績!$AI$6:$AI$505,"&lt;="&amp;$A238,実績!$AJ$6:$AJ$505,"&gt;"&amp;$A238,実績!$AK$6:$AK$505,"○")&gt;0,1,0))</f>
        <v>0</v>
      </c>
      <c r="J238" s="39" t="n">
        <f aca="false">IF(J$4=0,0,IF(COUNTIFS(実績!$W$6:$W$505,J$3,実績!$AI$6:$AI$505,"&lt;="&amp;$A238,実績!$AJ$6:$AJ$505,"&gt;"&amp;$A238,実績!$AK$6:$AK$505,"○")&gt;0,1,0))</f>
        <v>0</v>
      </c>
      <c r="K238" s="39" t="n">
        <f aca="false">IF(K$4=0,0,IF(COUNTIFS(実績!$W$6:$W$505,K$3,実績!$AI$6:$AI$505,"&lt;="&amp;$A238,実績!$AJ$6:$AJ$505,"&gt;"&amp;$A238,実績!$AK$6:$AK$505,"○")&gt;0,1,0))</f>
        <v>0</v>
      </c>
      <c r="L238" s="39" t="n">
        <f aca="false">IF(L$4=0,0,IF(COUNTIFS(実績!$W$6:$W$505,L$3,実績!$AI$6:$AI$505,"&lt;="&amp;$A238,実績!$AJ$6:$AJ$505,"&gt;"&amp;$A238,実績!$AK$6:$AK$505,"○")&gt;0,1,0))</f>
        <v>0</v>
      </c>
      <c r="M238" s="39" t="n">
        <f aca="false">IF(M$4=0,0,IF(COUNTIFS(実績!$W$6:$W$505,M$3,実績!$AI$6:$AI$505,"&lt;="&amp;$A238,実績!$AJ$6:$AJ$505,"&gt;"&amp;$A238,実績!$AK$6:$AK$505,"○")&gt;0,1,0))</f>
        <v>0</v>
      </c>
      <c r="N238" s="39" t="n">
        <f aca="false">IF(N$4=0,0,IF(COUNTIFS(実績!$W$6:$W$505,N$3,実績!$AI$6:$AI$505,"&lt;="&amp;$A238,実績!$AJ$6:$AJ$505,"&gt;"&amp;$A238,実績!$AK$6:$AK$505,"○")&gt;0,1,0))</f>
        <v>0</v>
      </c>
      <c r="O238" s="39" t="n">
        <f aca="false">IF(O$4=0,0,IF(COUNTIFS(実績!$W$6:$W$505,O$3,実績!$AI$6:$AI$505,"&lt;="&amp;$A238,実績!$AJ$6:$AJ$505,"&gt;"&amp;$A238,実績!$AK$6:$AK$505,"○")&gt;0,1,0))</f>
        <v>0</v>
      </c>
      <c r="P238" s="39" t="n">
        <f aca="false">IF(P$4=0,0,IF(COUNTIFS(実績!$W$6:$W$505,P$3,実績!$AI$6:$AI$505,"&lt;="&amp;$A238,実績!$AJ$6:$AJ$505,"&gt;"&amp;$A238,実績!$AK$6:$AK$505,"○")&gt;0,1,0))</f>
        <v>0</v>
      </c>
      <c r="Q238" s="39" t="n">
        <f aca="false">IF(Q$4=0,0,IF(COUNTIFS(実績!$W$6:$W$505,Q$3,実績!$AI$6:$AI$505,"&lt;="&amp;$A238,実績!$AJ$6:$AJ$505,"&gt;"&amp;$A238,実績!$AK$6:$AK$505,"○")&gt;0,1,0))</f>
        <v>0</v>
      </c>
      <c r="R238" s="39" t="n">
        <f aca="false">IF(R$4=0,0,IF(COUNTIFS(実績!$W$6:$W$505,R$3,実績!$AI$6:$AI$505,"&lt;="&amp;$A238,実績!$AJ$6:$AJ$505,"&gt;"&amp;$A238,実績!$AK$6:$AK$505,"○")&gt;0,1,0))</f>
        <v>0</v>
      </c>
      <c r="S238" s="39" t="n">
        <f aca="false">IF(S$4=0,0,IF(COUNTIFS(実績!$W$6:$W$505,S$3,実績!$AI$6:$AI$505,"&lt;="&amp;$A238,実績!$AJ$6:$AJ$505,"&gt;"&amp;$A238,実績!$AK$6:$AK$505,"○")&gt;0,1,0))</f>
        <v>0</v>
      </c>
      <c r="T238" s="39" t="n">
        <f aca="false">IF(T$4=0,0,IF(COUNTIFS(実績!$W$6:$W$505,T$3,実績!$AI$6:$AI$505,"&lt;="&amp;$A238,実績!$AJ$6:$AJ$505,"&gt;"&amp;$A238,実績!$AK$6:$AK$505,"○")&gt;0,1,0))</f>
        <v>0</v>
      </c>
      <c r="U238" s="39" t="n">
        <f aca="false">IF(U$4=0,0,IF(COUNTIFS(実績!$W$6:$W$505,U$3,実績!$AI$6:$AI$505,"&lt;="&amp;$A238,実績!$AJ$6:$AJ$505,"&gt;"&amp;$A238,実績!$AK$6:$AK$505,"○")&gt;0,1,0))</f>
        <v>0</v>
      </c>
      <c r="V238" s="39" t="n">
        <f aca="false">IF(V$4=0,0,IF(COUNTIFS(実績!$W$6:$W$505,V$3,実績!$AI$6:$AI$505,"&lt;="&amp;$A238,実績!$AJ$6:$AJ$505,"&gt;"&amp;$A238,実績!$AK$6:$AK$505,"○")&gt;0,1,0))</f>
        <v>0</v>
      </c>
      <c r="W238" s="39" t="n">
        <f aca="false">IF(W$4=0,0,IF(COUNTIFS(実績!$W$6:$W$505,W$3,実績!$AI$6:$AI$505,"&lt;="&amp;$A238,実績!$AJ$6:$AJ$505,"&gt;"&amp;$A238,実績!$AK$6:$AK$505,"○")&gt;0,1,0))</f>
        <v>0</v>
      </c>
      <c r="X238" s="39" t="n">
        <f aca="false">IF(X$4=0,0,IF(COUNTIFS(実績!$W$6:$W$505,X$3,実績!$AI$6:$AI$505,"&lt;="&amp;$A238,実績!$AJ$6:$AJ$505,"&gt;"&amp;$A238,実績!$AK$6:$AK$505,"○")&gt;0,1,0))</f>
        <v>0</v>
      </c>
      <c r="Y238" s="39" t="n">
        <f aca="false">IF(Y$4=0,0,IF(COUNTIFS(実績!$W$6:$W$505,Y$3,実績!$AI$6:$AI$505,"&lt;="&amp;$A238,実績!$AJ$6:$AJ$505,"&gt;"&amp;$A238,実績!$AK$6:$AK$505,"○")&gt;0,1,0))</f>
        <v>0</v>
      </c>
      <c r="Z238" s="39" t="n">
        <f aca="false">IF(Z$4=0,0,IF(COUNTIFS(実績!$W$6:$W$505,Z$3,実績!$AI$6:$AI$505,"&lt;="&amp;$A238,実績!$AJ$6:$AJ$505,"&gt;"&amp;$A238,実績!$AK$6:$AK$505,"○")&gt;0,1,0))</f>
        <v>0</v>
      </c>
      <c r="AA238" s="39" t="n">
        <f aca="false">IF(AA$4=0,0,IF(COUNTIFS(実績!$W$6:$W$505,AA$3,実績!$AI$6:$AI$505,"&lt;="&amp;$A238,実績!$AJ$6:$AJ$505,"&gt;"&amp;$A238,実績!$AK$6:$AK$505,"○")&gt;0,1,0))</f>
        <v>0</v>
      </c>
      <c r="AB238" s="39" t="n">
        <f aca="false">IF(AB$4=0,0,IF(COUNTIFS(実績!$W$6:$W$505,AB$3,実績!$AI$6:$AI$505,"&lt;="&amp;$A238,実績!$AJ$6:$AJ$505,"&gt;"&amp;$A238,実績!$AK$6:$AK$505,"○")&gt;0,1,0))</f>
        <v>0</v>
      </c>
      <c r="AC238" s="39" t="n">
        <f aca="false">IF(AC$4=0,0,IF(COUNTIFS(実績!$W$6:$W$505,AC$3,実績!$AI$6:$AI$505,"&lt;="&amp;$A238,実績!$AJ$6:$AJ$505,"&gt;"&amp;$A238,実績!$AK$6:$AK$505,"○")&gt;0,1,0))</f>
        <v>0</v>
      </c>
      <c r="AD238" s="39" t="n">
        <f aca="false">IF(AD$4=0,0,IF(COUNTIFS(実績!$W$6:$W$505,AD$3,実績!$AI$6:$AI$505,"&lt;="&amp;$A238,実績!$AJ$6:$AJ$505,"&gt;"&amp;$A238,実績!$AK$6:$AK$505,"○")&gt;0,1,0))</f>
        <v>0</v>
      </c>
      <c r="AE238" s="39" t="n">
        <f aca="false">IF(AE$4=0,0,IF(COUNTIFS(実績!$W$6:$W$505,AE$3,実績!$AI$6:$AI$505,"&lt;="&amp;$A238,実績!$AJ$6:$AJ$505,"&gt;"&amp;$A238,実績!$AK$6:$AK$505,"○")&gt;0,1,0))</f>
        <v>0</v>
      </c>
      <c r="AF238" s="39" t="n">
        <f aca="false">IF(AF$4=0,0,IF(COUNTIFS(実績!$W$6:$W$505,AF$3,実績!$AI$6:$AI$505,"&lt;="&amp;$A238,実績!$AJ$6:$AJ$505,"&gt;"&amp;$A238,実績!$AK$6:$AK$505,"○")&gt;0,1,0))</f>
        <v>0</v>
      </c>
      <c r="AG238" s="39" t="n">
        <f aca="false">IF(AG$4=0,0,IF(COUNTIFS(実績!$W$6:$W$505,AG$3,実績!$AI$6:$AI$505,"&lt;="&amp;$A238,実績!$AJ$6:$AJ$505,"&gt;"&amp;$A238,実績!$AK$6:$AK$505,"○")&gt;0,1,0))</f>
        <v>0</v>
      </c>
      <c r="AH238" s="39" t="n">
        <f aca="false">IF(AH$4=0,0,IF(COUNTIFS(実績!$W$6:$W$505,AH$3,実績!$AI$6:$AI$505,"&lt;="&amp;$A238,実績!$AJ$6:$AJ$505,"&gt;"&amp;$A238,実績!$AK$6:$AK$505,"○")&gt;0,1,0))</f>
        <v>0</v>
      </c>
      <c r="AI238" s="39" t="n">
        <f aca="false">IF(AI$4=0,0,IF(COUNTIFS(実績!$W$6:$W$505,AI$3,実績!$AI$6:$AI$505,"&lt;="&amp;$A238,実績!$AJ$6:$AJ$505,"&gt;"&amp;$A238,実績!$AK$6:$AK$505,"○")&gt;0,1,0))</f>
        <v>0</v>
      </c>
      <c r="AJ238" s="39" t="n">
        <f aca="false">IF(AJ$4=0,0,IF(COUNTIFS(実績!$W$6:$W$505,AJ$3,実績!$AI$6:$AI$505,"&lt;="&amp;$A238,実績!$AJ$6:$AJ$505,"&gt;"&amp;$A238,実績!$AK$6:$AK$505,"○")&gt;0,1,0))</f>
        <v>0</v>
      </c>
      <c r="AK238" s="39" t="n">
        <f aca="false">IF(AK$4=0,0,IF(COUNTIFS(実績!$W$6:$W$505,AK$3,実績!$AI$6:$AI$505,"&lt;="&amp;$A238,実績!$AJ$6:$AJ$505,"&gt;"&amp;$A238,実績!$AK$6:$AK$505,"○")&gt;0,1,0))</f>
        <v>0</v>
      </c>
      <c r="AL238" s="39" t="n">
        <f aca="false">IF(AL$4=0,0,IF(COUNTIFS(実績!$W$6:$W$505,AL$3,実績!$AI$6:$AI$505,"&lt;="&amp;$A238,実績!$AJ$6:$AJ$505,"&gt;"&amp;$A238,実績!$AK$6:$AK$505,"○")&gt;0,1,0))</f>
        <v>0</v>
      </c>
      <c r="AM238" s="39" t="n">
        <f aca="false">IF(AM$4=0,0,IF(COUNTIFS(実績!$W$6:$W$505,AM$3,実績!$AI$6:$AI$505,"&lt;="&amp;$A238,実績!$AJ$6:$AJ$505,"&gt;"&amp;$A238,実績!$AK$6:$AK$505,"○")&gt;0,1,0))</f>
        <v>0</v>
      </c>
      <c r="AN238" s="39" t="n">
        <f aca="false">IF(AN$4=0,0,IF(COUNTIFS(実績!$W$6:$W$505,AN$3,実績!$AI$6:$AI$505,"&lt;="&amp;$A238,実績!$AJ$6:$AJ$505,"&gt;"&amp;$A238,実績!$AK$6:$AK$505,"○")&gt;0,1,0))</f>
        <v>0</v>
      </c>
      <c r="AO238" s="39" t="n">
        <f aca="false">IF(AO$4=0,0,IF(COUNTIFS(実績!$W$6:$W$505,AO$3,実績!$AI$6:$AI$505,"&lt;="&amp;$A238,実績!$AJ$6:$AJ$505,"&gt;"&amp;$A238,実績!$AK$6:$AK$505,"○")&gt;0,1,0))</f>
        <v>0</v>
      </c>
      <c r="AP238" s="39" t="n">
        <f aca="false">IF(AP$4=0,0,IF(COUNTIFS(実績!$W$6:$W$505,AP$3,実績!$AI$6:$AI$505,"&lt;="&amp;$A238,実績!$AJ$6:$AJ$505,"&gt;"&amp;$A238,実績!$AK$6:$AK$505,"○")&gt;0,1,0))</f>
        <v>0</v>
      </c>
      <c r="AQ238" s="39" t="n">
        <f aca="false">IF(AQ$4=0,0,IF(COUNTIFS(実績!$W$6:$W$505,AQ$3,実績!$AI$6:$AI$505,"&lt;="&amp;$A238,実績!$AJ$6:$AJ$505,"&gt;"&amp;$A238,実績!$AK$6:$AK$505,"○")&gt;0,1,0))</f>
        <v>0</v>
      </c>
      <c r="AR238" s="39" t="n">
        <f aca="false">IF(AR$4=0,0,IF(COUNTIFS(実績!$W$6:$W$505,AR$3,実績!$AI$6:$AI$505,"&lt;="&amp;$A238,実績!$AJ$6:$AJ$505,"&gt;"&amp;$A238,実績!$AK$6:$AK$505,"○")&gt;0,1,0))</f>
        <v>0</v>
      </c>
      <c r="AS238" s="39" t="n">
        <f aca="false">IF(AS$4=0,0,IF(COUNTIFS(実績!$W$6:$W$505,AS$3,実績!$AI$6:$AI$505,"&lt;="&amp;$A238,実績!$AJ$6:$AJ$505,"&gt;"&amp;$A238,実績!$AK$6:$AK$505,"○")&gt;0,1,0))</f>
        <v>0</v>
      </c>
      <c r="AT238" s="39" t="n">
        <f aca="false">IF(AT$4=0,0,IF(COUNTIFS(実績!$W$6:$W$505,AT$3,実績!$AI$6:$AI$505,"&lt;="&amp;$A238,実績!$AJ$6:$AJ$505,"&gt;"&amp;$A238,実績!$AK$6:$AK$505,"○")&gt;0,1,0))</f>
        <v>0</v>
      </c>
      <c r="AU238" s="39" t="n">
        <f aca="false">IF(AU$4=0,0,IF(COUNTIFS(実績!$W$6:$W$505,AU$3,実績!$AI$6:$AI$505,"&lt;="&amp;$A238,実績!$AJ$6:$AJ$505,"&gt;"&amp;$A238,実績!$AK$6:$AK$505,"○")&gt;0,1,0))</f>
        <v>0</v>
      </c>
      <c r="AV238" s="39" t="n">
        <f aca="false">IF(AV$4=0,0,IF(COUNTIFS(実績!$W$6:$W$505,AV$3,実績!$AI$6:$AI$505,"&lt;="&amp;$A238,実績!$AJ$6:$AJ$505,"&gt;"&amp;$A238,実績!$AK$6:$AK$505,"○")&gt;0,1,0))</f>
        <v>0</v>
      </c>
      <c r="AW238" s="39" t="n">
        <f aca="false">IF(AW$4=0,0,IF(COUNTIFS(実績!$W$6:$W$505,AW$3,実績!$AI$6:$AI$505,"&lt;="&amp;$A238,実績!$AJ$6:$AJ$505,"&gt;"&amp;$A238,実績!$AK$6:$AK$505,"○")&gt;0,1,0))</f>
        <v>0</v>
      </c>
      <c r="AX238" s="39" t="n">
        <f aca="false">IF(AX$4=0,0,IF(COUNTIFS(実績!$W$6:$W$505,AX$3,実績!$AI$6:$AI$505,"&lt;="&amp;$A238,実績!$AJ$6:$AJ$505,"&gt;"&amp;$A238,実績!$AK$6:$AK$505,"○")&gt;0,1,0))</f>
        <v>0</v>
      </c>
      <c r="AY238" s="39" t="n">
        <f aca="false">IF(AY$4=0,0,IF(COUNTIFS(実績!$W$6:$W$505,AY$3,実績!$AI$6:$AI$505,"&lt;="&amp;$A238,実績!$AJ$6:$AJ$505,"&gt;"&amp;$A238,実績!$AK$6:$AK$505,"○")&gt;0,1,0))</f>
        <v>0</v>
      </c>
      <c r="AZ238" s="39" t="n">
        <f aca="false">IF(AZ$4=0,0,IF(COUNTIFS(実績!$W$6:$W$505,AZ$3,実績!$AI$6:$AI$505,"&lt;="&amp;$A238,実績!$AJ$6:$AJ$505,"&gt;"&amp;$A238,実績!$AK$6:$AK$505,"○")&gt;0,1,0))</f>
        <v>0</v>
      </c>
      <c r="BA238" s="39" t="n">
        <f aca="false">IF(BA$4=0,0,IF(COUNTIFS(実績!$W$6:$W$505,BA$3,実績!$AI$6:$AI$505,"&lt;="&amp;$A238,実績!$AJ$6:$AJ$505,"&gt;"&amp;$A238,実績!$AK$6:$AK$505,"○")&gt;0,1,0))</f>
        <v>0</v>
      </c>
      <c r="BB238" s="39" t="n">
        <f aca="false">IF(BB$4=0,0,IF(COUNTIFS(実績!$W$6:$W$505,BB$3,実績!$AI$6:$AI$505,"&lt;="&amp;$A238,実績!$AJ$6:$AJ$505,"&gt;"&amp;$A238,実績!$AK$6:$AK$505,"○")&gt;0,1,0))</f>
        <v>0</v>
      </c>
      <c r="BC238" s="39" t="n">
        <f aca="false">IF(BC$4=0,0,IF(COUNTIFS(実績!$W$6:$W$505,BC$3,実績!$AI$6:$AI$505,"&lt;="&amp;$A238,実績!$AJ$6:$AJ$505,"&gt;"&amp;$A238,実績!$AK$6:$AK$505,"○")&gt;0,1,0))</f>
        <v>0</v>
      </c>
      <c r="BD238" s="39" t="n">
        <f aca="false">IF(BD$4=0,0,IF(COUNTIFS(実績!$W$6:$W$505,BD$3,実績!$AI$6:$AI$505,"&lt;="&amp;$A238,実績!$AJ$6:$AJ$505,"&gt;"&amp;$A238,実績!$AK$6:$AK$505,"○")&gt;0,1,0))</f>
        <v>0</v>
      </c>
      <c r="BE238" s="39" t="n">
        <f aca="false">IF(BE$4=0,0,IF(COUNTIFS(実績!$W$6:$W$505,BE$3,実績!$AI$6:$AI$505,"&lt;="&amp;$A238,実績!$AJ$6:$AJ$505,"&gt;"&amp;$A238,実績!$AK$6:$AK$505,"○")&gt;0,1,0))</f>
        <v>0</v>
      </c>
      <c r="BF238" s="39" t="n">
        <f aca="false">IF(BF$4=0,0,IF(COUNTIFS(実績!$W$6:$W$505,BF$3,実績!$AI$6:$AI$505,"&lt;="&amp;$A238,実績!$AJ$6:$AJ$505,"&gt;"&amp;$A238,実績!$AK$6:$AK$505,"○")&gt;0,1,0))</f>
        <v>0</v>
      </c>
      <c r="BG238" s="39" t="n">
        <f aca="false">IF(BG$4=0,0,IF(COUNTIFS(実績!$W$6:$W$505,BG$3,実績!$AI$6:$AI$505,"&lt;="&amp;$A238,実績!$AJ$6:$AJ$505,"&gt;"&amp;$A238,実績!$AK$6:$AK$505,"○")&gt;0,1,0))</f>
        <v>0</v>
      </c>
      <c r="BH238" s="39" t="n">
        <f aca="false">IF(BH$4=0,0,IF(COUNTIFS(実績!$W$6:$W$505,BH$3,実績!$AI$6:$AI$505,"&lt;="&amp;$A238,実績!$AJ$6:$AJ$505,"&gt;"&amp;$A238,実績!$AK$6:$AK$505,"○")&gt;0,1,0))</f>
        <v>0</v>
      </c>
      <c r="BI238" s="39" t="n">
        <f aca="false">IF(BI$4=0,0,IF(COUNTIFS(実績!$W$6:$W$505,BI$3,実績!$AI$6:$AI$505,"&lt;="&amp;$A238,実績!$AJ$6:$AJ$505,"&gt;"&amp;$A238,実績!$AK$6:$AK$505,"○")&gt;0,1,0))</f>
        <v>0</v>
      </c>
      <c r="BJ238" s="39" t="n">
        <f aca="false">IF(BJ$4=0,0,IF(COUNTIFS(実績!$W$6:$W$505,BJ$3,実績!$AI$6:$AI$505,"&lt;="&amp;$A238,実績!$AJ$6:$AJ$505,"&gt;"&amp;$A238,実績!$AK$6:$AK$505,"○")&gt;0,1,0))</f>
        <v>0</v>
      </c>
      <c r="BK238" s="39" t="n">
        <f aca="false">IF(BK$4=0,0,IF(COUNTIFS(実績!$W$6:$W$505,BK$3,実績!$AI$6:$AI$505,"&lt;="&amp;$A238,実績!$AJ$6:$AJ$505,"&gt;"&amp;$A238,実績!$AK$6:$AK$505,"○")&gt;0,1,0))</f>
        <v>0</v>
      </c>
      <c r="BL238" s="39" t="n">
        <f aca="false">IF(BL$4=0,0,IF(COUNTIFS(実績!$W$6:$W$505,BL$3,実績!$AI$6:$AI$505,"&lt;="&amp;$A238,実績!$AJ$6:$AJ$505,"&gt;"&amp;$A238,実績!$AK$6:$AK$505,"○")&gt;0,1,0))</f>
        <v>0</v>
      </c>
      <c r="BM238" s="39" t="n">
        <f aca="false">IF(BM$4=0,0,IF(COUNTIFS(実績!$W$6:$W$505,BM$3,実績!$AI$6:$AI$505,"&lt;="&amp;$A238,実績!$AJ$6:$AJ$505,"&gt;"&amp;$A238,実績!$AK$6:$AK$505,"○")&gt;0,1,0))</f>
        <v>0</v>
      </c>
      <c r="BN238" s="39" t="n">
        <f aca="false">IF(BN$4=0,0,IF(COUNTIFS(実績!$W$6:$W$505,BN$3,実績!$AI$6:$AI$505,"&lt;="&amp;$A238,実績!$AJ$6:$AJ$505,"&gt;"&amp;$A238,実績!$AK$6:$AK$505,"○")&gt;0,1,0))</f>
        <v>0</v>
      </c>
      <c r="BO238" s="39" t="n">
        <f aca="false">IF(BO$4=0,0,IF(COUNTIFS(実績!$W$6:$W$505,BO$3,実績!$AI$6:$AI$505,"&lt;="&amp;$A238,実績!$AJ$6:$AJ$505,"&gt;"&amp;$A238,実績!$AK$6:$AK$505,"○")&gt;0,1,0))</f>
        <v>0</v>
      </c>
      <c r="BP238" s="39" t="n">
        <f aca="false">IF(BP$4=0,0,IF(COUNTIFS(実績!$W$6:$W$505,BP$3,実績!$AI$6:$AI$505,"&lt;="&amp;$A238,実績!$AJ$6:$AJ$505,"&gt;"&amp;$A238,実績!$AK$6:$AK$505,"○")&gt;0,1,0))</f>
        <v>0</v>
      </c>
      <c r="BQ238" s="39" t="n">
        <f aca="false">IF(BQ$4=0,0,IF(COUNTIFS(実績!$W$6:$W$505,BQ$3,実績!$AI$6:$AI$505,"&lt;="&amp;$A238,実績!$AJ$6:$AJ$505,"&gt;"&amp;$A238,実績!$AK$6:$AK$505,"○")&gt;0,1,0))</f>
        <v>0</v>
      </c>
      <c r="BR238" s="39" t="n">
        <f aca="false">IF(BR$4=0,0,IF(COUNTIFS(実績!$W$6:$W$505,BR$3,実績!$AI$6:$AI$505,"&lt;="&amp;$A238,実績!$AJ$6:$AJ$505,"&gt;"&amp;$A238,実績!$AK$6:$AK$505,"○")&gt;0,1,0))</f>
        <v>0</v>
      </c>
      <c r="BS238" s="39" t="n">
        <f aca="false">IF(BS$4=0,0,IF(COUNTIFS(実績!$W$6:$W$505,BS$3,実績!$AI$6:$AI$505,"&lt;="&amp;$A238,実績!$AJ$6:$AJ$505,"&gt;"&amp;$A238,実績!$AK$6:$AK$505,"○")&gt;0,1,0))</f>
        <v>0</v>
      </c>
      <c r="BT238" s="39" t="n">
        <f aca="false">IF(BT$4=0,0,IF(COUNTIFS(実績!$W$6:$W$505,BT$3,実績!$AI$6:$AI$505,"&lt;="&amp;$A238,実績!$AJ$6:$AJ$505,"&gt;"&amp;$A238,実績!$AK$6:$AK$505,"○")&gt;0,1,0))</f>
        <v>0</v>
      </c>
      <c r="BU238" s="39" t="n">
        <f aca="false">IF(BU$4=0,0,IF(COUNTIFS(実績!$W$6:$W$505,BU$3,実績!$AI$6:$AI$505,"&lt;="&amp;$A238,実績!$AJ$6:$AJ$505,"&gt;"&amp;$A238,実績!$AK$6:$AK$505,"○")&gt;0,1,0))</f>
        <v>0</v>
      </c>
      <c r="BV238" s="39" t="n">
        <f aca="false">IF(BV$4=0,0,IF(COUNTIFS(実績!$W$6:$W$505,BV$3,実績!$AI$6:$AI$505,"&lt;="&amp;$A238,実績!$AJ$6:$AJ$505,"&gt;"&amp;$A238,実績!$AK$6:$AK$505,"○")&gt;0,1,0))</f>
        <v>0</v>
      </c>
      <c r="BW238" s="39" t="n">
        <f aca="false">IF(BW$4=0,0,IF(COUNTIFS(実績!$W$6:$W$505,BW$3,実績!$AI$6:$AI$505,"&lt;="&amp;$A238,実績!$AJ$6:$AJ$505,"&gt;"&amp;$A238,実績!$AK$6:$AK$505,"○")&gt;0,1,0))</f>
        <v>0</v>
      </c>
      <c r="BX238" s="39" t="n">
        <f aca="false">IF(BX$4=0,0,IF(COUNTIFS(実績!$W$6:$W$505,BX$3,実績!$AI$6:$AI$505,"&lt;="&amp;$A238,実績!$AJ$6:$AJ$505,"&gt;"&amp;$A238,実績!$AK$6:$AK$505,"○")&gt;0,1,0))</f>
        <v>0</v>
      </c>
      <c r="BY238" s="39" t="n">
        <f aca="false">IF(BY$4=0,0,IF(COUNTIFS(実績!$W$6:$W$505,BY$3,実績!$AI$6:$AI$505,"&lt;="&amp;$A238,実績!$AJ$6:$AJ$505,"&gt;"&amp;$A238,実績!$AK$6:$AK$505,"○")&gt;0,1,0))</f>
        <v>0</v>
      </c>
      <c r="BZ238" s="39" t="n">
        <f aca="false">IF(BZ$4=0,0,IF(COUNTIFS(実績!$W$6:$W$505,BZ$3,実績!$AI$6:$AI$505,"&lt;="&amp;$A238,実績!$AJ$6:$AJ$505,"&gt;"&amp;$A238,実績!$AK$6:$AK$505,"○")&gt;0,1,0))</f>
        <v>0</v>
      </c>
      <c r="CA238" s="39" t="n">
        <f aca="false">IF(CA$4=0,0,IF(COUNTIFS(実績!$W$6:$W$505,CA$3,実績!$AI$6:$AI$505,"&lt;="&amp;$A238,実績!$AJ$6:$AJ$505,"&gt;"&amp;$A238,実績!$AK$6:$AK$505,"○")&gt;0,1,0))</f>
        <v>0</v>
      </c>
      <c r="CB238" s="39" t="n">
        <f aca="false">IF(CB$4=0,0,IF(COUNTIFS(実績!$W$6:$W$505,CB$3,実績!$AI$6:$AI$505,"&lt;="&amp;$A238,実績!$AJ$6:$AJ$505,"&gt;"&amp;$A238,実績!$AK$6:$AK$505,"○")&gt;0,1,0))</f>
        <v>0</v>
      </c>
      <c r="CC238" s="39" t="n">
        <f aca="false">IF(CC$4=0,0,IF(COUNTIFS(実績!$W$6:$W$505,CC$3,実績!$AI$6:$AI$505,"&lt;="&amp;$A238,実績!$AJ$6:$AJ$505,"&gt;"&amp;$A238,実績!$AK$6:$AK$505,"○")&gt;0,1,0))</f>
        <v>0</v>
      </c>
      <c r="CD238" s="39" t="n">
        <f aca="false">IF(CD$4=0,0,IF(COUNTIFS(実績!$W$6:$W$505,CD$3,実績!$AI$6:$AI$505,"&lt;="&amp;$A238,実績!$AJ$6:$AJ$505,"&gt;"&amp;$A238,実績!$AK$6:$AK$505,"○")&gt;0,1,0))</f>
        <v>0</v>
      </c>
      <c r="CE238" s="39" t="n">
        <f aca="false">IF(CE$4=0,0,IF(COUNTIFS(実績!$W$6:$W$505,CE$3,実績!$AI$6:$AI$505,"&lt;="&amp;$A238,実績!$AJ$6:$AJ$505,"&gt;"&amp;$A238,実績!$AK$6:$AK$505,"○")&gt;0,1,0))</f>
        <v>0</v>
      </c>
      <c r="CF238" s="39" t="n">
        <f aca="false">IF(CF$4=0,0,IF(COUNTIFS(実績!$W$6:$W$505,CF$3,実績!$AI$6:$AI$505,"&lt;="&amp;$A238,実績!$AJ$6:$AJ$505,"&gt;"&amp;$A238,実績!$AK$6:$AK$505,"○")&gt;0,1,0))</f>
        <v>0</v>
      </c>
      <c r="CG238" s="39" t="n">
        <f aca="false">IF(CG$4=0,0,IF(COUNTIFS(実績!$W$6:$W$505,CG$3,実績!$AI$6:$AI$505,"&lt;="&amp;$A238,実績!$AJ$6:$AJ$505,"&gt;"&amp;$A238,実績!$AK$6:$AK$505,"○")&gt;0,1,0))</f>
        <v>0</v>
      </c>
      <c r="CH238" s="39" t="n">
        <f aca="false">IF(CH$4=0,0,IF(COUNTIFS(実績!$W$6:$W$505,CH$3,実績!$AI$6:$AI$505,"&lt;="&amp;$A238,実績!$AJ$6:$AJ$505,"&gt;"&amp;$A238,実績!$AK$6:$AK$505,"○")&gt;0,1,0))</f>
        <v>0</v>
      </c>
      <c r="CI238" s="39" t="n">
        <f aca="false">IF(CI$4=0,0,IF(COUNTIFS(実績!$W$6:$W$505,CI$3,実績!$AI$6:$AI$505,"&lt;="&amp;$A238,実績!$AJ$6:$AJ$505,"&gt;"&amp;$A238,実績!$AK$6:$AK$505,"○")&gt;0,1,0))</f>
        <v>0</v>
      </c>
      <c r="CJ238" s="39" t="n">
        <f aca="false">IF(CJ$4=0,0,IF(COUNTIFS(実績!$W$6:$W$505,CJ$3,実績!$AI$6:$AI$505,"&lt;="&amp;$A238,実績!$AJ$6:$AJ$505,"&gt;"&amp;$A238,実績!$AK$6:$AK$505,"○")&gt;0,1,0))</f>
        <v>0</v>
      </c>
      <c r="CK238" s="39" t="n">
        <f aca="false">IF(CK$4=0,0,IF(COUNTIFS(実績!$W$6:$W$505,CK$3,実績!$AI$6:$AI$505,"&lt;="&amp;$A238,実績!$AJ$6:$AJ$505,"&gt;"&amp;$A238,実績!$AK$6:$AK$505,"○")&gt;0,1,0))</f>
        <v>0</v>
      </c>
      <c r="CL238" s="39" t="n">
        <f aca="false">IF(CL$4=0,0,IF(COUNTIFS(実績!$W$6:$W$505,CL$3,実績!$AI$6:$AI$505,"&lt;="&amp;$A238,実績!$AJ$6:$AJ$505,"&gt;"&amp;$A238,実績!$AK$6:$AK$505,"○")&gt;0,1,0))</f>
        <v>0</v>
      </c>
      <c r="CM238" s="39" t="n">
        <f aca="false">IF(CM$4=0,0,IF(COUNTIFS(実績!$W$6:$W$505,CM$3,実績!$AI$6:$AI$505,"&lt;="&amp;$A238,実績!$AJ$6:$AJ$505,"&gt;"&amp;$A238,実績!$AK$6:$AK$505,"○")&gt;0,1,0))</f>
        <v>0</v>
      </c>
      <c r="CN238" s="39" t="n">
        <f aca="false">IF(CN$4=0,0,IF(COUNTIFS(実績!$W$6:$W$505,CN$3,実績!$AI$6:$AI$505,"&lt;="&amp;$A238,実績!$AJ$6:$AJ$505,"&gt;"&amp;$A238,実績!$AK$6:$AK$505,"○")&gt;0,1,0))</f>
        <v>0</v>
      </c>
      <c r="CO238" s="39" t="n">
        <f aca="false">IF(CO$4=0,0,IF(COUNTIFS(実績!$W$6:$W$505,CO$3,実績!$AI$6:$AI$505,"&lt;="&amp;$A238,実績!$AJ$6:$AJ$505,"&gt;"&amp;$A238,実績!$AK$6:$AK$505,"○")&gt;0,1,0))</f>
        <v>0</v>
      </c>
      <c r="CP238" s="39" t="n">
        <f aca="false">IF(CP$4=0,0,IF(COUNTIFS(実績!$W$6:$W$505,CP$3,実績!$AI$6:$AI$505,"&lt;="&amp;$A238,実績!$AJ$6:$AJ$505,"&gt;"&amp;$A238,実績!$AK$6:$AK$505,"○")&gt;0,1,0))</f>
        <v>0</v>
      </c>
      <c r="CQ238" s="39" t="n">
        <f aca="false">IF(CQ$4=0,0,IF(COUNTIFS(実績!$W$6:$W$505,CQ$3,実績!$AI$6:$AI$505,"&lt;="&amp;$A238,実績!$AJ$6:$AJ$505,"&gt;"&amp;$A238,実績!$AK$6:$AK$505,"○")&gt;0,1,0))</f>
        <v>0</v>
      </c>
      <c r="CR238" s="39" t="n">
        <f aca="false">IF(CR$4=0,0,IF(COUNTIFS(実績!$W$6:$W$505,CR$3,実績!$AI$6:$AI$505,"&lt;="&amp;$A238,実績!$AJ$6:$AJ$505,"&gt;"&amp;$A238,実績!$AK$6:$AK$505,"○")&gt;0,1,0))</f>
        <v>0</v>
      </c>
      <c r="CS238" s="39" t="n">
        <f aca="false">IF(CS$4=0,0,IF(COUNTIFS(実績!$W$6:$W$505,CS$3,実績!$AI$6:$AI$505,"&lt;="&amp;$A238,実績!$AJ$6:$AJ$505,"&gt;"&amp;$A238,実績!$AK$6:$AK$505,"○")&gt;0,1,0))</f>
        <v>0</v>
      </c>
      <c r="CT238" s="39" t="n">
        <f aca="false">IF(CT$4=0,0,IF(COUNTIFS(実績!$W$6:$W$505,CT$3,実績!$AI$6:$AI$505,"&lt;="&amp;$A238,実績!$AJ$6:$AJ$505,"&gt;"&amp;$A238,実績!$AK$6:$AK$505,"○")&gt;0,1,0))</f>
        <v>0</v>
      </c>
      <c r="CU238" s="39" t="n">
        <f aca="false">IF(CU$4=0,0,IF(COUNTIFS(実績!$W$6:$W$505,CU$3,実績!$AI$6:$AI$505,"&lt;="&amp;$A238,実績!$AJ$6:$AJ$505,"&gt;"&amp;$A238,実績!$AK$6:$AK$505,"○")&gt;0,1,0))</f>
        <v>0</v>
      </c>
      <c r="CV238" s="39" t="n">
        <f aca="false">IF(CV$4=0,0,IF(COUNTIFS(実績!$W$6:$W$505,CV$3,実績!$AI$6:$AI$505,"&lt;="&amp;$A238,実績!$AJ$6:$AJ$505,"&gt;"&amp;$A238,実績!$AK$6:$AK$505,"○")&gt;0,1,0))</f>
        <v>0</v>
      </c>
      <c r="CW238" s="39" t="n">
        <f aca="false">IF(CW$4=0,0,IF(COUNTIFS(実績!$W$6:$W$505,CW$3,実績!$AI$6:$AI$505,"&lt;="&amp;$A238,実績!$AJ$6:$AJ$505,"&gt;"&amp;$A238,実績!$AK$6:$AK$505,"○")&gt;0,1,0))</f>
        <v>0</v>
      </c>
      <c r="CX238" s="39" t="n">
        <f aca="false">IF(CX$4=0,0,IF(COUNTIFS(実績!$W$6:$W$505,CX$3,実績!$AI$6:$AI$505,"&lt;="&amp;$A238,実績!$AJ$6:$AJ$505,"&gt;"&amp;$A238,実績!$AK$6:$AK$505,"○")&gt;0,1,0))</f>
        <v>0</v>
      </c>
      <c r="CY238" s="39" t="n">
        <f aca="false">IF(CY$4=0,0,IF(COUNTIFS(実績!$W$6:$W$505,CY$3,実績!$AI$6:$AI$505,"&lt;="&amp;$A238,実績!$AJ$6:$AJ$505,"&gt;"&amp;$A238,実績!$AK$6:$AK$505,"○")&gt;0,1,0))</f>
        <v>0</v>
      </c>
      <c r="CZ238" s="39" t="n">
        <f aca="false">IF(CZ$4=0,0,IF(COUNTIFS(実績!$W$6:$W$505,CZ$3,実績!$AI$6:$AI$505,"&lt;="&amp;$A238,実績!$AJ$6:$AJ$505,"&gt;"&amp;$A238,実績!$AK$6:$AK$505,"○")&gt;0,1,0))</f>
        <v>0</v>
      </c>
      <c r="DA238" s="39" t="n">
        <f aca="false">IF(DA$4=0,0,IF(COUNTIFS(実績!$W$6:$W$505,DA$3,実績!$AI$6:$AI$505,"&lt;="&amp;$A238,実績!$AJ$6:$AJ$505,"&gt;"&amp;$A238,実績!$AK$6:$AK$505,"○")&gt;0,1,0))</f>
        <v>0</v>
      </c>
      <c r="DB238" s="39" t="n">
        <f aca="false">IF(DB$4=0,0,IF(COUNTIFS(実績!$W$6:$W$505,DB$3,実績!$AI$6:$AI$505,"&lt;="&amp;$A238,実績!$AJ$6:$AJ$505,"&gt;"&amp;$A238,実績!$AK$6:$AK$505,"○")&gt;0,1,0))</f>
        <v>0</v>
      </c>
      <c r="DC238" s="39" t="n">
        <f aca="false">IF(DC$4=0,0,IF(COUNTIFS(実績!$W$6:$W$505,DC$3,実績!$AI$6:$AI$505,"&lt;="&amp;$A238,実績!$AJ$6:$AJ$505,"&gt;"&amp;$A238,実績!$AK$6:$AK$505,"○")&gt;0,1,0))</f>
        <v>0</v>
      </c>
      <c r="DD238" s="39" t="n">
        <f aca="false">IF(DD$4=0,0,IF(COUNTIFS(実績!$W$6:$W$505,DD$3,実績!$AI$6:$AI$505,"&lt;="&amp;$A238,実績!$AJ$6:$AJ$505,"&gt;"&amp;$A238,実績!$AK$6:$AK$505,"○")&gt;0,1,0))</f>
        <v>0</v>
      </c>
      <c r="DE238" s="39" t="n">
        <f aca="false">IF(DE$4=0,0,IF(COUNTIFS(実績!$W$6:$W$505,DE$3,実績!$AI$6:$AI$505,"&lt;="&amp;$A238,実績!$AJ$6:$AJ$505,"&gt;"&amp;$A238,実績!$AK$6:$AK$505,"○")&gt;0,1,0))</f>
        <v>0</v>
      </c>
      <c r="DF238" s="39" t="n">
        <f aca="false">IF(DF$4=0,0,IF(COUNTIFS(実績!$W$6:$W$505,DF$3,実績!$AI$6:$AI$505,"&lt;="&amp;$A238,実績!$AJ$6:$AJ$505,"&gt;"&amp;$A238,実績!$AK$6:$AK$505,"○")&gt;0,1,0))</f>
        <v>0</v>
      </c>
      <c r="DG238" s="39" t="n">
        <f aca="false">IF(DG$4=0,0,IF(COUNTIFS(実績!$W$6:$W$505,DG$3,実績!$AI$6:$AI$505,"&lt;="&amp;$A238,実績!$AJ$6:$AJ$505,"&gt;"&amp;$A238,実績!$AK$6:$AK$505,"○")&gt;0,1,0))</f>
        <v>0</v>
      </c>
      <c r="DH238" s="39" t="n">
        <f aca="false">IF(DH$4=0,0,IF(COUNTIFS(実績!$W$6:$W$505,DH$3,実績!$AI$6:$AI$505,"&lt;="&amp;$A238,実績!$AJ$6:$AJ$505,"&gt;"&amp;$A238,実績!$AK$6:$AK$505,"○")&gt;0,1,0))</f>
        <v>0</v>
      </c>
      <c r="DI238" s="39" t="n">
        <f aca="false">IF(DI$4=0,0,IF(COUNTIFS(実績!$W$6:$W$505,DI$3,実績!$AI$6:$AI$505,"&lt;="&amp;$A238,実績!$AJ$6:$AJ$505,"&gt;"&amp;$A238,実績!$AK$6:$AK$505,"○")&gt;0,1,0))</f>
        <v>0</v>
      </c>
      <c r="DJ238" s="39" t="n">
        <f aca="false">IF(DJ$4=0,0,IF(COUNTIFS(実績!$W$6:$W$505,DJ$3,実績!$AI$6:$AI$505,"&lt;="&amp;$A238,実績!$AJ$6:$AJ$505,"&gt;"&amp;$A238,実績!$AK$6:$AK$505,"○")&gt;0,1,0))</f>
        <v>0</v>
      </c>
      <c r="DK238" s="39" t="n">
        <f aca="false">IF(DK$4=0,0,IF(COUNTIFS(実績!$W$6:$W$505,DK$3,実績!$AI$6:$AI$505,"&lt;="&amp;$A238,実績!$AJ$6:$AJ$505,"&gt;"&amp;$A238,実績!$AK$6:$AK$505,"○")&gt;0,1,0))</f>
        <v>0</v>
      </c>
      <c r="DL238" s="39" t="n">
        <f aca="false">IF(DL$4=0,0,IF(COUNTIFS(実績!$W$6:$W$505,DL$3,実績!$AI$6:$AI$505,"&lt;="&amp;$A238,実績!$AJ$6:$AJ$505,"&gt;"&amp;$A238,実績!$AK$6:$AK$505,"○")&gt;0,1,0))</f>
        <v>0</v>
      </c>
      <c r="DM238" s="39" t="n">
        <f aca="false">IF(DM$4=0,0,IF(COUNTIFS(実績!$W$6:$W$505,DM$3,実績!$AI$6:$AI$505,"&lt;="&amp;$A238,実績!$AJ$6:$AJ$505,"&gt;"&amp;$A238,実績!$AK$6:$AK$505,"○")&gt;0,1,0))</f>
        <v>0</v>
      </c>
      <c r="DN238" s="39" t="n">
        <f aca="false">IF(DN$4=0,0,IF(COUNTIFS(実績!$W$6:$W$505,DN$3,実績!$AI$6:$AI$505,"&lt;="&amp;$A238,実績!$AJ$6:$AJ$505,"&gt;"&amp;$A238,実績!$AK$6:$AK$505,"○")&gt;0,1,0))</f>
        <v>0</v>
      </c>
      <c r="DO238" s="39" t="n">
        <f aca="false">IF(DO$4=0,0,IF(COUNTIFS(実績!$W$6:$W$505,DO$3,実績!$AI$6:$AI$505,"&lt;="&amp;$A238,実績!$AJ$6:$AJ$505,"&gt;"&amp;$A238,実績!$AK$6:$AK$505,"○")&gt;0,1,0))</f>
        <v>0</v>
      </c>
      <c r="DP238" s="39" t="n">
        <f aca="false">IF(DP$4=0,0,IF(COUNTIFS(実績!$W$6:$W$505,DP$3,実績!$AI$6:$AI$505,"&lt;="&amp;$A238,実績!$AJ$6:$AJ$505,"&gt;"&amp;$A238,実績!$AK$6:$AK$505,"○")&gt;0,1,0))</f>
        <v>0</v>
      </c>
      <c r="DQ238" s="39" t="n">
        <f aca="false">IF(DQ$4=0,0,IF(COUNTIFS(実績!$W$6:$W$505,DQ$3,実績!$AI$6:$AI$505,"&lt;="&amp;$A238,実績!$AJ$6:$AJ$505,"&gt;"&amp;$A238,実績!$AK$6:$AK$505,"○")&gt;0,1,0))</f>
        <v>0</v>
      </c>
      <c r="DR238" s="39" t="n">
        <f aca="false">IF(DR$4=0,0,IF(COUNTIFS(実績!$W$6:$W$505,DR$3,実績!$AI$6:$AI$505,"&lt;="&amp;$A238,実績!$AJ$6:$AJ$505,"&gt;"&amp;$A238,実績!$AK$6:$AK$505,"○")&gt;0,1,0))</f>
        <v>0</v>
      </c>
      <c r="DS238" s="39" t="n">
        <f aca="false">SUM(C238:DR238)</f>
        <v>0</v>
      </c>
      <c r="DT238" s="39" t="n">
        <f aca="false">SUMPRODUCT((実績!$C$6:$C$505="○")*ISNUMBER(実績!$AM$6:$AM$505)*(実績!$AM$6:$AM$505&lt;=$A238)*(実績!$AN$6:$AN$505&gt;$A238))</f>
        <v>0</v>
      </c>
      <c r="DU238" s="39" t="n">
        <f aca="false">SUMIF($C$2:$DR$2,"製鉄曳船",C238:DR238)</f>
        <v>0</v>
      </c>
      <c r="DV238" s="39" t="n">
        <f aca="false">SUMIF($C$2:$DR$2,"西日本海運",C238:DR238)</f>
        <v>0</v>
      </c>
    </row>
    <row r="239" customFormat="false" ht="15" hidden="false" customHeight="false" outlineLevel="0" collapsed="false">
      <c r="A239" s="0" t="n">
        <v>1165</v>
      </c>
      <c r="B239" s="38" t="n">
        <f aca="false">A239/1440</f>
        <v>0.809027777777778</v>
      </c>
      <c r="C239" s="39" t="n">
        <f aca="false">IF(C$4=0,0,IF(COUNTIFS(実績!$W$6:$W$505,C$3,実績!$AI$6:$AI$505,"&lt;="&amp;$A239,実績!$AJ$6:$AJ$505,"&gt;"&amp;$A239,実績!$AK$6:$AK$505,"○")&gt;0,1,0))</f>
        <v>0</v>
      </c>
      <c r="D239" s="39" t="n">
        <f aca="false">IF(D$4=0,0,IF(COUNTIFS(実績!$W$6:$W$505,D$3,実績!$AI$6:$AI$505,"&lt;="&amp;$A239,実績!$AJ$6:$AJ$505,"&gt;"&amp;$A239,実績!$AK$6:$AK$505,"○")&gt;0,1,0))</f>
        <v>0</v>
      </c>
      <c r="E239" s="39" t="n">
        <f aca="false">IF(E$4=0,0,IF(COUNTIFS(実績!$W$6:$W$505,E$3,実績!$AI$6:$AI$505,"&lt;="&amp;$A239,実績!$AJ$6:$AJ$505,"&gt;"&amp;$A239,実績!$AK$6:$AK$505,"○")&gt;0,1,0))</f>
        <v>0</v>
      </c>
      <c r="F239" s="39" t="n">
        <f aca="false">IF(F$4=0,0,IF(COUNTIFS(実績!$W$6:$W$505,F$3,実績!$AI$6:$AI$505,"&lt;="&amp;$A239,実績!$AJ$6:$AJ$505,"&gt;"&amp;$A239,実績!$AK$6:$AK$505,"○")&gt;0,1,0))</f>
        <v>0</v>
      </c>
      <c r="G239" s="39" t="n">
        <f aca="false">IF(G$4=0,0,IF(COUNTIFS(実績!$W$6:$W$505,G$3,実績!$AI$6:$AI$505,"&lt;="&amp;$A239,実績!$AJ$6:$AJ$505,"&gt;"&amp;$A239,実績!$AK$6:$AK$505,"○")&gt;0,1,0))</f>
        <v>0</v>
      </c>
      <c r="H239" s="39" t="n">
        <f aca="false">IF(H$4=0,0,IF(COUNTIFS(実績!$W$6:$W$505,H$3,実績!$AI$6:$AI$505,"&lt;="&amp;$A239,実績!$AJ$6:$AJ$505,"&gt;"&amp;$A239,実績!$AK$6:$AK$505,"○")&gt;0,1,0))</f>
        <v>0</v>
      </c>
      <c r="I239" s="39" t="n">
        <f aca="false">IF(I$4=0,0,IF(COUNTIFS(実績!$W$6:$W$505,I$3,実績!$AI$6:$AI$505,"&lt;="&amp;$A239,実績!$AJ$6:$AJ$505,"&gt;"&amp;$A239,実績!$AK$6:$AK$505,"○")&gt;0,1,0))</f>
        <v>0</v>
      </c>
      <c r="J239" s="39" t="n">
        <f aca="false">IF(J$4=0,0,IF(COUNTIFS(実績!$W$6:$W$505,J$3,実績!$AI$6:$AI$505,"&lt;="&amp;$A239,実績!$AJ$6:$AJ$505,"&gt;"&amp;$A239,実績!$AK$6:$AK$505,"○")&gt;0,1,0))</f>
        <v>0</v>
      </c>
      <c r="K239" s="39" t="n">
        <f aca="false">IF(K$4=0,0,IF(COUNTIFS(実績!$W$6:$W$505,K$3,実績!$AI$6:$AI$505,"&lt;="&amp;$A239,実績!$AJ$6:$AJ$505,"&gt;"&amp;$A239,実績!$AK$6:$AK$505,"○")&gt;0,1,0))</f>
        <v>0</v>
      </c>
      <c r="L239" s="39" t="n">
        <f aca="false">IF(L$4=0,0,IF(COUNTIFS(実績!$W$6:$W$505,L$3,実績!$AI$6:$AI$505,"&lt;="&amp;$A239,実績!$AJ$6:$AJ$505,"&gt;"&amp;$A239,実績!$AK$6:$AK$505,"○")&gt;0,1,0))</f>
        <v>0</v>
      </c>
      <c r="M239" s="39" t="n">
        <f aca="false">IF(M$4=0,0,IF(COUNTIFS(実績!$W$6:$W$505,M$3,実績!$AI$6:$AI$505,"&lt;="&amp;$A239,実績!$AJ$6:$AJ$505,"&gt;"&amp;$A239,実績!$AK$6:$AK$505,"○")&gt;0,1,0))</f>
        <v>0</v>
      </c>
      <c r="N239" s="39" t="n">
        <f aca="false">IF(N$4=0,0,IF(COUNTIFS(実績!$W$6:$W$505,N$3,実績!$AI$6:$AI$505,"&lt;="&amp;$A239,実績!$AJ$6:$AJ$505,"&gt;"&amp;$A239,実績!$AK$6:$AK$505,"○")&gt;0,1,0))</f>
        <v>0</v>
      </c>
      <c r="O239" s="39" t="n">
        <f aca="false">IF(O$4=0,0,IF(COUNTIFS(実績!$W$6:$W$505,O$3,実績!$AI$6:$AI$505,"&lt;="&amp;$A239,実績!$AJ$6:$AJ$505,"&gt;"&amp;$A239,実績!$AK$6:$AK$505,"○")&gt;0,1,0))</f>
        <v>0</v>
      </c>
      <c r="P239" s="39" t="n">
        <f aca="false">IF(P$4=0,0,IF(COUNTIFS(実績!$W$6:$W$505,P$3,実績!$AI$6:$AI$505,"&lt;="&amp;$A239,実績!$AJ$6:$AJ$505,"&gt;"&amp;$A239,実績!$AK$6:$AK$505,"○")&gt;0,1,0))</f>
        <v>0</v>
      </c>
      <c r="Q239" s="39" t="n">
        <f aca="false">IF(Q$4=0,0,IF(COUNTIFS(実績!$W$6:$W$505,Q$3,実績!$AI$6:$AI$505,"&lt;="&amp;$A239,実績!$AJ$6:$AJ$505,"&gt;"&amp;$A239,実績!$AK$6:$AK$505,"○")&gt;0,1,0))</f>
        <v>0</v>
      </c>
      <c r="R239" s="39" t="n">
        <f aca="false">IF(R$4=0,0,IF(COUNTIFS(実績!$W$6:$W$505,R$3,実績!$AI$6:$AI$505,"&lt;="&amp;$A239,実績!$AJ$6:$AJ$505,"&gt;"&amp;$A239,実績!$AK$6:$AK$505,"○")&gt;0,1,0))</f>
        <v>0</v>
      </c>
      <c r="S239" s="39" t="n">
        <f aca="false">IF(S$4=0,0,IF(COUNTIFS(実績!$W$6:$W$505,S$3,実績!$AI$6:$AI$505,"&lt;="&amp;$A239,実績!$AJ$6:$AJ$505,"&gt;"&amp;$A239,実績!$AK$6:$AK$505,"○")&gt;0,1,0))</f>
        <v>0</v>
      </c>
      <c r="T239" s="39" t="n">
        <f aca="false">IF(T$4=0,0,IF(COUNTIFS(実績!$W$6:$W$505,T$3,実績!$AI$6:$AI$505,"&lt;="&amp;$A239,実績!$AJ$6:$AJ$505,"&gt;"&amp;$A239,実績!$AK$6:$AK$505,"○")&gt;0,1,0))</f>
        <v>0</v>
      </c>
      <c r="U239" s="39" t="n">
        <f aca="false">IF(U$4=0,0,IF(COUNTIFS(実績!$W$6:$W$505,U$3,実績!$AI$6:$AI$505,"&lt;="&amp;$A239,実績!$AJ$6:$AJ$505,"&gt;"&amp;$A239,実績!$AK$6:$AK$505,"○")&gt;0,1,0))</f>
        <v>0</v>
      </c>
      <c r="V239" s="39" t="n">
        <f aca="false">IF(V$4=0,0,IF(COUNTIFS(実績!$W$6:$W$505,V$3,実績!$AI$6:$AI$505,"&lt;="&amp;$A239,実績!$AJ$6:$AJ$505,"&gt;"&amp;$A239,実績!$AK$6:$AK$505,"○")&gt;0,1,0))</f>
        <v>0</v>
      </c>
      <c r="W239" s="39" t="n">
        <f aca="false">IF(W$4=0,0,IF(COUNTIFS(実績!$W$6:$W$505,W$3,実績!$AI$6:$AI$505,"&lt;="&amp;$A239,実績!$AJ$6:$AJ$505,"&gt;"&amp;$A239,実績!$AK$6:$AK$505,"○")&gt;0,1,0))</f>
        <v>0</v>
      </c>
      <c r="X239" s="39" t="n">
        <f aca="false">IF(X$4=0,0,IF(COUNTIFS(実績!$W$6:$W$505,X$3,実績!$AI$6:$AI$505,"&lt;="&amp;$A239,実績!$AJ$6:$AJ$505,"&gt;"&amp;$A239,実績!$AK$6:$AK$505,"○")&gt;0,1,0))</f>
        <v>0</v>
      </c>
      <c r="Y239" s="39" t="n">
        <f aca="false">IF(Y$4=0,0,IF(COUNTIFS(実績!$W$6:$W$505,Y$3,実績!$AI$6:$AI$505,"&lt;="&amp;$A239,実績!$AJ$6:$AJ$505,"&gt;"&amp;$A239,実績!$AK$6:$AK$505,"○")&gt;0,1,0))</f>
        <v>0</v>
      </c>
      <c r="Z239" s="39" t="n">
        <f aca="false">IF(Z$4=0,0,IF(COUNTIFS(実績!$W$6:$W$505,Z$3,実績!$AI$6:$AI$505,"&lt;="&amp;$A239,実績!$AJ$6:$AJ$505,"&gt;"&amp;$A239,実績!$AK$6:$AK$505,"○")&gt;0,1,0))</f>
        <v>0</v>
      </c>
      <c r="AA239" s="39" t="n">
        <f aca="false">IF(AA$4=0,0,IF(COUNTIFS(実績!$W$6:$W$505,AA$3,実績!$AI$6:$AI$505,"&lt;="&amp;$A239,実績!$AJ$6:$AJ$505,"&gt;"&amp;$A239,実績!$AK$6:$AK$505,"○")&gt;0,1,0))</f>
        <v>0</v>
      </c>
      <c r="AB239" s="39" t="n">
        <f aca="false">IF(AB$4=0,0,IF(COUNTIFS(実績!$W$6:$W$505,AB$3,実績!$AI$6:$AI$505,"&lt;="&amp;$A239,実績!$AJ$6:$AJ$505,"&gt;"&amp;$A239,実績!$AK$6:$AK$505,"○")&gt;0,1,0))</f>
        <v>0</v>
      </c>
      <c r="AC239" s="39" t="n">
        <f aca="false">IF(AC$4=0,0,IF(COUNTIFS(実績!$W$6:$W$505,AC$3,実績!$AI$6:$AI$505,"&lt;="&amp;$A239,実績!$AJ$6:$AJ$505,"&gt;"&amp;$A239,実績!$AK$6:$AK$505,"○")&gt;0,1,0))</f>
        <v>0</v>
      </c>
      <c r="AD239" s="39" t="n">
        <f aca="false">IF(AD$4=0,0,IF(COUNTIFS(実績!$W$6:$W$505,AD$3,実績!$AI$6:$AI$505,"&lt;="&amp;$A239,実績!$AJ$6:$AJ$505,"&gt;"&amp;$A239,実績!$AK$6:$AK$505,"○")&gt;0,1,0))</f>
        <v>0</v>
      </c>
      <c r="AE239" s="39" t="n">
        <f aca="false">IF(AE$4=0,0,IF(COUNTIFS(実績!$W$6:$W$505,AE$3,実績!$AI$6:$AI$505,"&lt;="&amp;$A239,実績!$AJ$6:$AJ$505,"&gt;"&amp;$A239,実績!$AK$6:$AK$505,"○")&gt;0,1,0))</f>
        <v>0</v>
      </c>
      <c r="AF239" s="39" t="n">
        <f aca="false">IF(AF$4=0,0,IF(COUNTIFS(実績!$W$6:$W$505,AF$3,実績!$AI$6:$AI$505,"&lt;="&amp;$A239,実績!$AJ$6:$AJ$505,"&gt;"&amp;$A239,実績!$AK$6:$AK$505,"○")&gt;0,1,0))</f>
        <v>0</v>
      </c>
      <c r="AG239" s="39" t="n">
        <f aca="false">IF(AG$4=0,0,IF(COUNTIFS(実績!$W$6:$W$505,AG$3,実績!$AI$6:$AI$505,"&lt;="&amp;$A239,実績!$AJ$6:$AJ$505,"&gt;"&amp;$A239,実績!$AK$6:$AK$505,"○")&gt;0,1,0))</f>
        <v>0</v>
      </c>
      <c r="AH239" s="39" t="n">
        <f aca="false">IF(AH$4=0,0,IF(COUNTIFS(実績!$W$6:$W$505,AH$3,実績!$AI$6:$AI$505,"&lt;="&amp;$A239,実績!$AJ$6:$AJ$505,"&gt;"&amp;$A239,実績!$AK$6:$AK$505,"○")&gt;0,1,0))</f>
        <v>0</v>
      </c>
      <c r="AI239" s="39" t="n">
        <f aca="false">IF(AI$4=0,0,IF(COUNTIFS(実績!$W$6:$W$505,AI$3,実績!$AI$6:$AI$505,"&lt;="&amp;$A239,実績!$AJ$6:$AJ$505,"&gt;"&amp;$A239,実績!$AK$6:$AK$505,"○")&gt;0,1,0))</f>
        <v>0</v>
      </c>
      <c r="AJ239" s="39" t="n">
        <f aca="false">IF(AJ$4=0,0,IF(COUNTIFS(実績!$W$6:$W$505,AJ$3,実績!$AI$6:$AI$505,"&lt;="&amp;$A239,実績!$AJ$6:$AJ$505,"&gt;"&amp;$A239,実績!$AK$6:$AK$505,"○")&gt;0,1,0))</f>
        <v>0</v>
      </c>
      <c r="AK239" s="39" t="n">
        <f aca="false">IF(AK$4=0,0,IF(COUNTIFS(実績!$W$6:$W$505,AK$3,実績!$AI$6:$AI$505,"&lt;="&amp;$A239,実績!$AJ$6:$AJ$505,"&gt;"&amp;$A239,実績!$AK$6:$AK$505,"○")&gt;0,1,0))</f>
        <v>0</v>
      </c>
      <c r="AL239" s="39" t="n">
        <f aca="false">IF(AL$4=0,0,IF(COUNTIFS(実績!$W$6:$W$505,AL$3,実績!$AI$6:$AI$505,"&lt;="&amp;$A239,実績!$AJ$6:$AJ$505,"&gt;"&amp;$A239,実績!$AK$6:$AK$505,"○")&gt;0,1,0))</f>
        <v>0</v>
      </c>
      <c r="AM239" s="39" t="n">
        <f aca="false">IF(AM$4=0,0,IF(COUNTIFS(実績!$W$6:$W$505,AM$3,実績!$AI$6:$AI$505,"&lt;="&amp;$A239,実績!$AJ$6:$AJ$505,"&gt;"&amp;$A239,実績!$AK$6:$AK$505,"○")&gt;0,1,0))</f>
        <v>0</v>
      </c>
      <c r="AN239" s="39" t="n">
        <f aca="false">IF(AN$4=0,0,IF(COUNTIFS(実績!$W$6:$W$505,AN$3,実績!$AI$6:$AI$505,"&lt;="&amp;$A239,実績!$AJ$6:$AJ$505,"&gt;"&amp;$A239,実績!$AK$6:$AK$505,"○")&gt;0,1,0))</f>
        <v>0</v>
      </c>
      <c r="AO239" s="39" t="n">
        <f aca="false">IF(AO$4=0,0,IF(COUNTIFS(実績!$W$6:$W$505,AO$3,実績!$AI$6:$AI$505,"&lt;="&amp;$A239,実績!$AJ$6:$AJ$505,"&gt;"&amp;$A239,実績!$AK$6:$AK$505,"○")&gt;0,1,0))</f>
        <v>0</v>
      </c>
      <c r="AP239" s="39" t="n">
        <f aca="false">IF(AP$4=0,0,IF(COUNTIFS(実績!$W$6:$W$505,AP$3,実績!$AI$6:$AI$505,"&lt;="&amp;$A239,実績!$AJ$6:$AJ$505,"&gt;"&amp;$A239,実績!$AK$6:$AK$505,"○")&gt;0,1,0))</f>
        <v>0</v>
      </c>
      <c r="AQ239" s="39" t="n">
        <f aca="false">IF(AQ$4=0,0,IF(COUNTIFS(実績!$W$6:$W$505,AQ$3,実績!$AI$6:$AI$505,"&lt;="&amp;$A239,実績!$AJ$6:$AJ$505,"&gt;"&amp;$A239,実績!$AK$6:$AK$505,"○")&gt;0,1,0))</f>
        <v>0</v>
      </c>
      <c r="AR239" s="39" t="n">
        <f aca="false">IF(AR$4=0,0,IF(COUNTIFS(実績!$W$6:$W$505,AR$3,実績!$AI$6:$AI$505,"&lt;="&amp;$A239,実績!$AJ$6:$AJ$505,"&gt;"&amp;$A239,実績!$AK$6:$AK$505,"○")&gt;0,1,0))</f>
        <v>0</v>
      </c>
      <c r="AS239" s="39" t="n">
        <f aca="false">IF(AS$4=0,0,IF(COUNTIFS(実績!$W$6:$W$505,AS$3,実績!$AI$6:$AI$505,"&lt;="&amp;$A239,実績!$AJ$6:$AJ$505,"&gt;"&amp;$A239,実績!$AK$6:$AK$505,"○")&gt;0,1,0))</f>
        <v>0</v>
      </c>
      <c r="AT239" s="39" t="n">
        <f aca="false">IF(AT$4=0,0,IF(COUNTIFS(実績!$W$6:$W$505,AT$3,実績!$AI$6:$AI$505,"&lt;="&amp;$A239,実績!$AJ$6:$AJ$505,"&gt;"&amp;$A239,実績!$AK$6:$AK$505,"○")&gt;0,1,0))</f>
        <v>0</v>
      </c>
      <c r="AU239" s="39" t="n">
        <f aca="false">IF(AU$4=0,0,IF(COUNTIFS(実績!$W$6:$W$505,AU$3,実績!$AI$6:$AI$505,"&lt;="&amp;$A239,実績!$AJ$6:$AJ$505,"&gt;"&amp;$A239,実績!$AK$6:$AK$505,"○")&gt;0,1,0))</f>
        <v>0</v>
      </c>
      <c r="AV239" s="39" t="n">
        <f aca="false">IF(AV$4=0,0,IF(COUNTIFS(実績!$W$6:$W$505,AV$3,実績!$AI$6:$AI$505,"&lt;="&amp;$A239,実績!$AJ$6:$AJ$505,"&gt;"&amp;$A239,実績!$AK$6:$AK$505,"○")&gt;0,1,0))</f>
        <v>0</v>
      </c>
      <c r="AW239" s="39" t="n">
        <f aca="false">IF(AW$4=0,0,IF(COUNTIFS(実績!$W$6:$W$505,AW$3,実績!$AI$6:$AI$505,"&lt;="&amp;$A239,実績!$AJ$6:$AJ$505,"&gt;"&amp;$A239,実績!$AK$6:$AK$505,"○")&gt;0,1,0))</f>
        <v>0</v>
      </c>
      <c r="AX239" s="39" t="n">
        <f aca="false">IF(AX$4=0,0,IF(COUNTIFS(実績!$W$6:$W$505,AX$3,実績!$AI$6:$AI$505,"&lt;="&amp;$A239,実績!$AJ$6:$AJ$505,"&gt;"&amp;$A239,実績!$AK$6:$AK$505,"○")&gt;0,1,0))</f>
        <v>0</v>
      </c>
      <c r="AY239" s="39" t="n">
        <f aca="false">IF(AY$4=0,0,IF(COUNTIFS(実績!$W$6:$W$505,AY$3,実績!$AI$6:$AI$505,"&lt;="&amp;$A239,実績!$AJ$6:$AJ$505,"&gt;"&amp;$A239,実績!$AK$6:$AK$505,"○")&gt;0,1,0))</f>
        <v>0</v>
      </c>
      <c r="AZ239" s="39" t="n">
        <f aca="false">IF(AZ$4=0,0,IF(COUNTIFS(実績!$W$6:$W$505,AZ$3,実績!$AI$6:$AI$505,"&lt;="&amp;$A239,実績!$AJ$6:$AJ$505,"&gt;"&amp;$A239,実績!$AK$6:$AK$505,"○")&gt;0,1,0))</f>
        <v>0</v>
      </c>
      <c r="BA239" s="39" t="n">
        <f aca="false">IF(BA$4=0,0,IF(COUNTIFS(実績!$W$6:$W$505,BA$3,実績!$AI$6:$AI$505,"&lt;="&amp;$A239,実績!$AJ$6:$AJ$505,"&gt;"&amp;$A239,実績!$AK$6:$AK$505,"○")&gt;0,1,0))</f>
        <v>0</v>
      </c>
      <c r="BB239" s="39" t="n">
        <f aca="false">IF(BB$4=0,0,IF(COUNTIFS(実績!$W$6:$W$505,BB$3,実績!$AI$6:$AI$505,"&lt;="&amp;$A239,実績!$AJ$6:$AJ$505,"&gt;"&amp;$A239,実績!$AK$6:$AK$505,"○")&gt;0,1,0))</f>
        <v>0</v>
      </c>
      <c r="BC239" s="39" t="n">
        <f aca="false">IF(BC$4=0,0,IF(COUNTIFS(実績!$W$6:$W$505,BC$3,実績!$AI$6:$AI$505,"&lt;="&amp;$A239,実績!$AJ$6:$AJ$505,"&gt;"&amp;$A239,実績!$AK$6:$AK$505,"○")&gt;0,1,0))</f>
        <v>0</v>
      </c>
      <c r="BD239" s="39" t="n">
        <f aca="false">IF(BD$4=0,0,IF(COUNTIFS(実績!$W$6:$W$505,BD$3,実績!$AI$6:$AI$505,"&lt;="&amp;$A239,実績!$AJ$6:$AJ$505,"&gt;"&amp;$A239,実績!$AK$6:$AK$505,"○")&gt;0,1,0))</f>
        <v>0</v>
      </c>
      <c r="BE239" s="39" t="n">
        <f aca="false">IF(BE$4=0,0,IF(COUNTIFS(実績!$W$6:$W$505,BE$3,実績!$AI$6:$AI$505,"&lt;="&amp;$A239,実績!$AJ$6:$AJ$505,"&gt;"&amp;$A239,実績!$AK$6:$AK$505,"○")&gt;0,1,0))</f>
        <v>0</v>
      </c>
      <c r="BF239" s="39" t="n">
        <f aca="false">IF(BF$4=0,0,IF(COUNTIFS(実績!$W$6:$W$505,BF$3,実績!$AI$6:$AI$505,"&lt;="&amp;$A239,実績!$AJ$6:$AJ$505,"&gt;"&amp;$A239,実績!$AK$6:$AK$505,"○")&gt;0,1,0))</f>
        <v>0</v>
      </c>
      <c r="BG239" s="39" t="n">
        <f aca="false">IF(BG$4=0,0,IF(COUNTIFS(実績!$W$6:$W$505,BG$3,実績!$AI$6:$AI$505,"&lt;="&amp;$A239,実績!$AJ$6:$AJ$505,"&gt;"&amp;$A239,実績!$AK$6:$AK$505,"○")&gt;0,1,0))</f>
        <v>0</v>
      </c>
      <c r="BH239" s="39" t="n">
        <f aca="false">IF(BH$4=0,0,IF(COUNTIFS(実績!$W$6:$W$505,BH$3,実績!$AI$6:$AI$505,"&lt;="&amp;$A239,実績!$AJ$6:$AJ$505,"&gt;"&amp;$A239,実績!$AK$6:$AK$505,"○")&gt;0,1,0))</f>
        <v>0</v>
      </c>
      <c r="BI239" s="39" t="n">
        <f aca="false">IF(BI$4=0,0,IF(COUNTIFS(実績!$W$6:$W$505,BI$3,実績!$AI$6:$AI$505,"&lt;="&amp;$A239,実績!$AJ$6:$AJ$505,"&gt;"&amp;$A239,実績!$AK$6:$AK$505,"○")&gt;0,1,0))</f>
        <v>0</v>
      </c>
      <c r="BJ239" s="39" t="n">
        <f aca="false">IF(BJ$4=0,0,IF(COUNTIFS(実績!$W$6:$W$505,BJ$3,実績!$AI$6:$AI$505,"&lt;="&amp;$A239,実績!$AJ$6:$AJ$505,"&gt;"&amp;$A239,実績!$AK$6:$AK$505,"○")&gt;0,1,0))</f>
        <v>0</v>
      </c>
      <c r="BK239" s="39" t="n">
        <f aca="false">IF(BK$4=0,0,IF(COUNTIFS(実績!$W$6:$W$505,BK$3,実績!$AI$6:$AI$505,"&lt;="&amp;$A239,実績!$AJ$6:$AJ$505,"&gt;"&amp;$A239,実績!$AK$6:$AK$505,"○")&gt;0,1,0))</f>
        <v>0</v>
      </c>
      <c r="BL239" s="39" t="n">
        <f aca="false">IF(BL$4=0,0,IF(COUNTIFS(実績!$W$6:$W$505,BL$3,実績!$AI$6:$AI$505,"&lt;="&amp;$A239,実績!$AJ$6:$AJ$505,"&gt;"&amp;$A239,実績!$AK$6:$AK$505,"○")&gt;0,1,0))</f>
        <v>0</v>
      </c>
      <c r="BM239" s="39" t="n">
        <f aca="false">IF(BM$4=0,0,IF(COUNTIFS(実績!$W$6:$W$505,BM$3,実績!$AI$6:$AI$505,"&lt;="&amp;$A239,実績!$AJ$6:$AJ$505,"&gt;"&amp;$A239,実績!$AK$6:$AK$505,"○")&gt;0,1,0))</f>
        <v>0</v>
      </c>
      <c r="BN239" s="39" t="n">
        <f aca="false">IF(BN$4=0,0,IF(COUNTIFS(実績!$W$6:$W$505,BN$3,実績!$AI$6:$AI$505,"&lt;="&amp;$A239,実績!$AJ$6:$AJ$505,"&gt;"&amp;$A239,実績!$AK$6:$AK$505,"○")&gt;0,1,0))</f>
        <v>0</v>
      </c>
      <c r="BO239" s="39" t="n">
        <f aca="false">IF(BO$4=0,0,IF(COUNTIFS(実績!$W$6:$W$505,BO$3,実績!$AI$6:$AI$505,"&lt;="&amp;$A239,実績!$AJ$6:$AJ$505,"&gt;"&amp;$A239,実績!$AK$6:$AK$505,"○")&gt;0,1,0))</f>
        <v>0</v>
      </c>
      <c r="BP239" s="39" t="n">
        <f aca="false">IF(BP$4=0,0,IF(COUNTIFS(実績!$W$6:$W$505,BP$3,実績!$AI$6:$AI$505,"&lt;="&amp;$A239,実績!$AJ$6:$AJ$505,"&gt;"&amp;$A239,実績!$AK$6:$AK$505,"○")&gt;0,1,0))</f>
        <v>0</v>
      </c>
      <c r="BQ239" s="39" t="n">
        <f aca="false">IF(BQ$4=0,0,IF(COUNTIFS(実績!$W$6:$W$505,BQ$3,実績!$AI$6:$AI$505,"&lt;="&amp;$A239,実績!$AJ$6:$AJ$505,"&gt;"&amp;$A239,実績!$AK$6:$AK$505,"○")&gt;0,1,0))</f>
        <v>0</v>
      </c>
      <c r="BR239" s="39" t="n">
        <f aca="false">IF(BR$4=0,0,IF(COUNTIFS(実績!$W$6:$W$505,BR$3,実績!$AI$6:$AI$505,"&lt;="&amp;$A239,実績!$AJ$6:$AJ$505,"&gt;"&amp;$A239,実績!$AK$6:$AK$505,"○")&gt;0,1,0))</f>
        <v>0</v>
      </c>
      <c r="BS239" s="39" t="n">
        <f aca="false">IF(BS$4=0,0,IF(COUNTIFS(実績!$W$6:$W$505,BS$3,実績!$AI$6:$AI$505,"&lt;="&amp;$A239,実績!$AJ$6:$AJ$505,"&gt;"&amp;$A239,実績!$AK$6:$AK$505,"○")&gt;0,1,0))</f>
        <v>0</v>
      </c>
      <c r="BT239" s="39" t="n">
        <f aca="false">IF(BT$4=0,0,IF(COUNTIFS(実績!$W$6:$W$505,BT$3,実績!$AI$6:$AI$505,"&lt;="&amp;$A239,実績!$AJ$6:$AJ$505,"&gt;"&amp;$A239,実績!$AK$6:$AK$505,"○")&gt;0,1,0))</f>
        <v>0</v>
      </c>
      <c r="BU239" s="39" t="n">
        <f aca="false">IF(BU$4=0,0,IF(COUNTIFS(実績!$W$6:$W$505,BU$3,実績!$AI$6:$AI$505,"&lt;="&amp;$A239,実績!$AJ$6:$AJ$505,"&gt;"&amp;$A239,実績!$AK$6:$AK$505,"○")&gt;0,1,0))</f>
        <v>0</v>
      </c>
      <c r="BV239" s="39" t="n">
        <f aca="false">IF(BV$4=0,0,IF(COUNTIFS(実績!$W$6:$W$505,BV$3,実績!$AI$6:$AI$505,"&lt;="&amp;$A239,実績!$AJ$6:$AJ$505,"&gt;"&amp;$A239,実績!$AK$6:$AK$505,"○")&gt;0,1,0))</f>
        <v>0</v>
      </c>
      <c r="BW239" s="39" t="n">
        <f aca="false">IF(BW$4=0,0,IF(COUNTIFS(実績!$W$6:$W$505,BW$3,実績!$AI$6:$AI$505,"&lt;="&amp;$A239,実績!$AJ$6:$AJ$505,"&gt;"&amp;$A239,実績!$AK$6:$AK$505,"○")&gt;0,1,0))</f>
        <v>0</v>
      </c>
      <c r="BX239" s="39" t="n">
        <f aca="false">IF(BX$4=0,0,IF(COUNTIFS(実績!$W$6:$W$505,BX$3,実績!$AI$6:$AI$505,"&lt;="&amp;$A239,実績!$AJ$6:$AJ$505,"&gt;"&amp;$A239,実績!$AK$6:$AK$505,"○")&gt;0,1,0))</f>
        <v>0</v>
      </c>
      <c r="BY239" s="39" t="n">
        <f aca="false">IF(BY$4=0,0,IF(COUNTIFS(実績!$W$6:$W$505,BY$3,実績!$AI$6:$AI$505,"&lt;="&amp;$A239,実績!$AJ$6:$AJ$505,"&gt;"&amp;$A239,実績!$AK$6:$AK$505,"○")&gt;0,1,0))</f>
        <v>0</v>
      </c>
      <c r="BZ239" s="39" t="n">
        <f aca="false">IF(BZ$4=0,0,IF(COUNTIFS(実績!$W$6:$W$505,BZ$3,実績!$AI$6:$AI$505,"&lt;="&amp;$A239,実績!$AJ$6:$AJ$505,"&gt;"&amp;$A239,実績!$AK$6:$AK$505,"○")&gt;0,1,0))</f>
        <v>0</v>
      </c>
      <c r="CA239" s="39" t="n">
        <f aca="false">IF(CA$4=0,0,IF(COUNTIFS(実績!$W$6:$W$505,CA$3,実績!$AI$6:$AI$505,"&lt;="&amp;$A239,実績!$AJ$6:$AJ$505,"&gt;"&amp;$A239,実績!$AK$6:$AK$505,"○")&gt;0,1,0))</f>
        <v>0</v>
      </c>
      <c r="CB239" s="39" t="n">
        <f aca="false">IF(CB$4=0,0,IF(COUNTIFS(実績!$W$6:$W$505,CB$3,実績!$AI$6:$AI$505,"&lt;="&amp;$A239,実績!$AJ$6:$AJ$505,"&gt;"&amp;$A239,実績!$AK$6:$AK$505,"○")&gt;0,1,0))</f>
        <v>0</v>
      </c>
      <c r="CC239" s="39" t="n">
        <f aca="false">IF(CC$4=0,0,IF(COUNTIFS(実績!$W$6:$W$505,CC$3,実績!$AI$6:$AI$505,"&lt;="&amp;$A239,実績!$AJ$6:$AJ$505,"&gt;"&amp;$A239,実績!$AK$6:$AK$505,"○")&gt;0,1,0))</f>
        <v>0</v>
      </c>
      <c r="CD239" s="39" t="n">
        <f aca="false">IF(CD$4=0,0,IF(COUNTIFS(実績!$W$6:$W$505,CD$3,実績!$AI$6:$AI$505,"&lt;="&amp;$A239,実績!$AJ$6:$AJ$505,"&gt;"&amp;$A239,実績!$AK$6:$AK$505,"○")&gt;0,1,0))</f>
        <v>0</v>
      </c>
      <c r="CE239" s="39" t="n">
        <f aca="false">IF(CE$4=0,0,IF(COUNTIFS(実績!$W$6:$W$505,CE$3,実績!$AI$6:$AI$505,"&lt;="&amp;$A239,実績!$AJ$6:$AJ$505,"&gt;"&amp;$A239,実績!$AK$6:$AK$505,"○")&gt;0,1,0))</f>
        <v>0</v>
      </c>
      <c r="CF239" s="39" t="n">
        <f aca="false">IF(CF$4=0,0,IF(COUNTIFS(実績!$W$6:$W$505,CF$3,実績!$AI$6:$AI$505,"&lt;="&amp;$A239,実績!$AJ$6:$AJ$505,"&gt;"&amp;$A239,実績!$AK$6:$AK$505,"○")&gt;0,1,0))</f>
        <v>0</v>
      </c>
      <c r="CG239" s="39" t="n">
        <f aca="false">IF(CG$4=0,0,IF(COUNTIFS(実績!$W$6:$W$505,CG$3,実績!$AI$6:$AI$505,"&lt;="&amp;$A239,実績!$AJ$6:$AJ$505,"&gt;"&amp;$A239,実績!$AK$6:$AK$505,"○")&gt;0,1,0))</f>
        <v>0</v>
      </c>
      <c r="CH239" s="39" t="n">
        <f aca="false">IF(CH$4=0,0,IF(COUNTIFS(実績!$W$6:$W$505,CH$3,実績!$AI$6:$AI$505,"&lt;="&amp;$A239,実績!$AJ$6:$AJ$505,"&gt;"&amp;$A239,実績!$AK$6:$AK$505,"○")&gt;0,1,0))</f>
        <v>0</v>
      </c>
      <c r="CI239" s="39" t="n">
        <f aca="false">IF(CI$4=0,0,IF(COUNTIFS(実績!$W$6:$W$505,CI$3,実績!$AI$6:$AI$505,"&lt;="&amp;$A239,実績!$AJ$6:$AJ$505,"&gt;"&amp;$A239,実績!$AK$6:$AK$505,"○")&gt;0,1,0))</f>
        <v>0</v>
      </c>
      <c r="CJ239" s="39" t="n">
        <f aca="false">IF(CJ$4=0,0,IF(COUNTIFS(実績!$W$6:$W$505,CJ$3,実績!$AI$6:$AI$505,"&lt;="&amp;$A239,実績!$AJ$6:$AJ$505,"&gt;"&amp;$A239,実績!$AK$6:$AK$505,"○")&gt;0,1,0))</f>
        <v>0</v>
      </c>
      <c r="CK239" s="39" t="n">
        <f aca="false">IF(CK$4=0,0,IF(COUNTIFS(実績!$W$6:$W$505,CK$3,実績!$AI$6:$AI$505,"&lt;="&amp;$A239,実績!$AJ$6:$AJ$505,"&gt;"&amp;$A239,実績!$AK$6:$AK$505,"○")&gt;0,1,0))</f>
        <v>0</v>
      </c>
      <c r="CL239" s="39" t="n">
        <f aca="false">IF(CL$4=0,0,IF(COUNTIFS(実績!$W$6:$W$505,CL$3,実績!$AI$6:$AI$505,"&lt;="&amp;$A239,実績!$AJ$6:$AJ$505,"&gt;"&amp;$A239,実績!$AK$6:$AK$505,"○")&gt;0,1,0))</f>
        <v>0</v>
      </c>
      <c r="CM239" s="39" t="n">
        <f aca="false">IF(CM$4=0,0,IF(COUNTIFS(実績!$W$6:$W$505,CM$3,実績!$AI$6:$AI$505,"&lt;="&amp;$A239,実績!$AJ$6:$AJ$505,"&gt;"&amp;$A239,実績!$AK$6:$AK$505,"○")&gt;0,1,0))</f>
        <v>0</v>
      </c>
      <c r="CN239" s="39" t="n">
        <f aca="false">IF(CN$4=0,0,IF(COUNTIFS(実績!$W$6:$W$505,CN$3,実績!$AI$6:$AI$505,"&lt;="&amp;$A239,実績!$AJ$6:$AJ$505,"&gt;"&amp;$A239,実績!$AK$6:$AK$505,"○")&gt;0,1,0))</f>
        <v>0</v>
      </c>
      <c r="CO239" s="39" t="n">
        <f aca="false">IF(CO$4=0,0,IF(COUNTIFS(実績!$W$6:$W$505,CO$3,実績!$AI$6:$AI$505,"&lt;="&amp;$A239,実績!$AJ$6:$AJ$505,"&gt;"&amp;$A239,実績!$AK$6:$AK$505,"○")&gt;0,1,0))</f>
        <v>0</v>
      </c>
      <c r="CP239" s="39" t="n">
        <f aca="false">IF(CP$4=0,0,IF(COUNTIFS(実績!$W$6:$W$505,CP$3,実績!$AI$6:$AI$505,"&lt;="&amp;$A239,実績!$AJ$6:$AJ$505,"&gt;"&amp;$A239,実績!$AK$6:$AK$505,"○")&gt;0,1,0))</f>
        <v>0</v>
      </c>
      <c r="CQ239" s="39" t="n">
        <f aca="false">IF(CQ$4=0,0,IF(COUNTIFS(実績!$W$6:$W$505,CQ$3,実績!$AI$6:$AI$505,"&lt;="&amp;$A239,実績!$AJ$6:$AJ$505,"&gt;"&amp;$A239,実績!$AK$6:$AK$505,"○")&gt;0,1,0))</f>
        <v>0</v>
      </c>
      <c r="CR239" s="39" t="n">
        <f aca="false">IF(CR$4=0,0,IF(COUNTIFS(実績!$W$6:$W$505,CR$3,実績!$AI$6:$AI$505,"&lt;="&amp;$A239,実績!$AJ$6:$AJ$505,"&gt;"&amp;$A239,実績!$AK$6:$AK$505,"○")&gt;0,1,0))</f>
        <v>0</v>
      </c>
      <c r="CS239" s="39" t="n">
        <f aca="false">IF(CS$4=0,0,IF(COUNTIFS(実績!$W$6:$W$505,CS$3,実績!$AI$6:$AI$505,"&lt;="&amp;$A239,実績!$AJ$6:$AJ$505,"&gt;"&amp;$A239,実績!$AK$6:$AK$505,"○")&gt;0,1,0))</f>
        <v>0</v>
      </c>
      <c r="CT239" s="39" t="n">
        <f aca="false">IF(CT$4=0,0,IF(COUNTIFS(実績!$W$6:$W$505,CT$3,実績!$AI$6:$AI$505,"&lt;="&amp;$A239,実績!$AJ$6:$AJ$505,"&gt;"&amp;$A239,実績!$AK$6:$AK$505,"○")&gt;0,1,0))</f>
        <v>0</v>
      </c>
      <c r="CU239" s="39" t="n">
        <f aca="false">IF(CU$4=0,0,IF(COUNTIFS(実績!$W$6:$W$505,CU$3,実績!$AI$6:$AI$505,"&lt;="&amp;$A239,実績!$AJ$6:$AJ$505,"&gt;"&amp;$A239,実績!$AK$6:$AK$505,"○")&gt;0,1,0))</f>
        <v>0</v>
      </c>
      <c r="CV239" s="39" t="n">
        <f aca="false">IF(CV$4=0,0,IF(COUNTIFS(実績!$W$6:$W$505,CV$3,実績!$AI$6:$AI$505,"&lt;="&amp;$A239,実績!$AJ$6:$AJ$505,"&gt;"&amp;$A239,実績!$AK$6:$AK$505,"○")&gt;0,1,0))</f>
        <v>0</v>
      </c>
      <c r="CW239" s="39" t="n">
        <f aca="false">IF(CW$4=0,0,IF(COUNTIFS(実績!$W$6:$W$505,CW$3,実績!$AI$6:$AI$505,"&lt;="&amp;$A239,実績!$AJ$6:$AJ$505,"&gt;"&amp;$A239,実績!$AK$6:$AK$505,"○")&gt;0,1,0))</f>
        <v>0</v>
      </c>
      <c r="CX239" s="39" t="n">
        <f aca="false">IF(CX$4=0,0,IF(COUNTIFS(実績!$W$6:$W$505,CX$3,実績!$AI$6:$AI$505,"&lt;="&amp;$A239,実績!$AJ$6:$AJ$505,"&gt;"&amp;$A239,実績!$AK$6:$AK$505,"○")&gt;0,1,0))</f>
        <v>0</v>
      </c>
      <c r="CY239" s="39" t="n">
        <f aca="false">IF(CY$4=0,0,IF(COUNTIFS(実績!$W$6:$W$505,CY$3,実績!$AI$6:$AI$505,"&lt;="&amp;$A239,実績!$AJ$6:$AJ$505,"&gt;"&amp;$A239,実績!$AK$6:$AK$505,"○")&gt;0,1,0))</f>
        <v>0</v>
      </c>
      <c r="CZ239" s="39" t="n">
        <f aca="false">IF(CZ$4=0,0,IF(COUNTIFS(実績!$W$6:$W$505,CZ$3,実績!$AI$6:$AI$505,"&lt;="&amp;$A239,実績!$AJ$6:$AJ$505,"&gt;"&amp;$A239,実績!$AK$6:$AK$505,"○")&gt;0,1,0))</f>
        <v>0</v>
      </c>
      <c r="DA239" s="39" t="n">
        <f aca="false">IF(DA$4=0,0,IF(COUNTIFS(実績!$W$6:$W$505,DA$3,実績!$AI$6:$AI$505,"&lt;="&amp;$A239,実績!$AJ$6:$AJ$505,"&gt;"&amp;$A239,実績!$AK$6:$AK$505,"○")&gt;0,1,0))</f>
        <v>0</v>
      </c>
      <c r="DB239" s="39" t="n">
        <f aca="false">IF(DB$4=0,0,IF(COUNTIFS(実績!$W$6:$W$505,DB$3,実績!$AI$6:$AI$505,"&lt;="&amp;$A239,実績!$AJ$6:$AJ$505,"&gt;"&amp;$A239,実績!$AK$6:$AK$505,"○")&gt;0,1,0))</f>
        <v>0</v>
      </c>
      <c r="DC239" s="39" t="n">
        <f aca="false">IF(DC$4=0,0,IF(COUNTIFS(実績!$W$6:$W$505,DC$3,実績!$AI$6:$AI$505,"&lt;="&amp;$A239,実績!$AJ$6:$AJ$505,"&gt;"&amp;$A239,実績!$AK$6:$AK$505,"○")&gt;0,1,0))</f>
        <v>0</v>
      </c>
      <c r="DD239" s="39" t="n">
        <f aca="false">IF(DD$4=0,0,IF(COUNTIFS(実績!$W$6:$W$505,DD$3,実績!$AI$6:$AI$505,"&lt;="&amp;$A239,実績!$AJ$6:$AJ$505,"&gt;"&amp;$A239,実績!$AK$6:$AK$505,"○")&gt;0,1,0))</f>
        <v>0</v>
      </c>
      <c r="DE239" s="39" t="n">
        <f aca="false">IF(DE$4=0,0,IF(COUNTIFS(実績!$W$6:$W$505,DE$3,実績!$AI$6:$AI$505,"&lt;="&amp;$A239,実績!$AJ$6:$AJ$505,"&gt;"&amp;$A239,実績!$AK$6:$AK$505,"○")&gt;0,1,0))</f>
        <v>0</v>
      </c>
      <c r="DF239" s="39" t="n">
        <f aca="false">IF(DF$4=0,0,IF(COUNTIFS(実績!$W$6:$W$505,DF$3,実績!$AI$6:$AI$505,"&lt;="&amp;$A239,実績!$AJ$6:$AJ$505,"&gt;"&amp;$A239,実績!$AK$6:$AK$505,"○")&gt;0,1,0))</f>
        <v>0</v>
      </c>
      <c r="DG239" s="39" t="n">
        <f aca="false">IF(DG$4=0,0,IF(COUNTIFS(実績!$W$6:$W$505,DG$3,実績!$AI$6:$AI$505,"&lt;="&amp;$A239,実績!$AJ$6:$AJ$505,"&gt;"&amp;$A239,実績!$AK$6:$AK$505,"○")&gt;0,1,0))</f>
        <v>0</v>
      </c>
      <c r="DH239" s="39" t="n">
        <f aca="false">IF(DH$4=0,0,IF(COUNTIFS(実績!$W$6:$W$505,DH$3,実績!$AI$6:$AI$505,"&lt;="&amp;$A239,実績!$AJ$6:$AJ$505,"&gt;"&amp;$A239,実績!$AK$6:$AK$505,"○")&gt;0,1,0))</f>
        <v>0</v>
      </c>
      <c r="DI239" s="39" t="n">
        <f aca="false">IF(DI$4=0,0,IF(COUNTIFS(実績!$W$6:$W$505,DI$3,実績!$AI$6:$AI$505,"&lt;="&amp;$A239,実績!$AJ$6:$AJ$505,"&gt;"&amp;$A239,実績!$AK$6:$AK$505,"○")&gt;0,1,0))</f>
        <v>0</v>
      </c>
      <c r="DJ239" s="39" t="n">
        <f aca="false">IF(DJ$4=0,0,IF(COUNTIFS(実績!$W$6:$W$505,DJ$3,実績!$AI$6:$AI$505,"&lt;="&amp;$A239,実績!$AJ$6:$AJ$505,"&gt;"&amp;$A239,実績!$AK$6:$AK$505,"○")&gt;0,1,0))</f>
        <v>0</v>
      </c>
      <c r="DK239" s="39" t="n">
        <f aca="false">IF(DK$4=0,0,IF(COUNTIFS(実績!$W$6:$W$505,DK$3,実績!$AI$6:$AI$505,"&lt;="&amp;$A239,実績!$AJ$6:$AJ$505,"&gt;"&amp;$A239,実績!$AK$6:$AK$505,"○")&gt;0,1,0))</f>
        <v>0</v>
      </c>
      <c r="DL239" s="39" t="n">
        <f aca="false">IF(DL$4=0,0,IF(COUNTIFS(実績!$W$6:$W$505,DL$3,実績!$AI$6:$AI$505,"&lt;="&amp;$A239,実績!$AJ$6:$AJ$505,"&gt;"&amp;$A239,実績!$AK$6:$AK$505,"○")&gt;0,1,0))</f>
        <v>0</v>
      </c>
      <c r="DM239" s="39" t="n">
        <f aca="false">IF(DM$4=0,0,IF(COUNTIFS(実績!$W$6:$W$505,DM$3,実績!$AI$6:$AI$505,"&lt;="&amp;$A239,実績!$AJ$6:$AJ$505,"&gt;"&amp;$A239,実績!$AK$6:$AK$505,"○")&gt;0,1,0))</f>
        <v>0</v>
      </c>
      <c r="DN239" s="39" t="n">
        <f aca="false">IF(DN$4=0,0,IF(COUNTIFS(実績!$W$6:$W$505,DN$3,実績!$AI$6:$AI$505,"&lt;="&amp;$A239,実績!$AJ$6:$AJ$505,"&gt;"&amp;$A239,実績!$AK$6:$AK$505,"○")&gt;0,1,0))</f>
        <v>0</v>
      </c>
      <c r="DO239" s="39" t="n">
        <f aca="false">IF(DO$4=0,0,IF(COUNTIFS(実績!$W$6:$W$505,DO$3,実績!$AI$6:$AI$505,"&lt;="&amp;$A239,実績!$AJ$6:$AJ$505,"&gt;"&amp;$A239,実績!$AK$6:$AK$505,"○")&gt;0,1,0))</f>
        <v>0</v>
      </c>
      <c r="DP239" s="39" t="n">
        <f aca="false">IF(DP$4=0,0,IF(COUNTIFS(実績!$W$6:$W$505,DP$3,実績!$AI$6:$AI$505,"&lt;="&amp;$A239,実績!$AJ$6:$AJ$505,"&gt;"&amp;$A239,実績!$AK$6:$AK$505,"○")&gt;0,1,0))</f>
        <v>0</v>
      </c>
      <c r="DQ239" s="39" t="n">
        <f aca="false">IF(DQ$4=0,0,IF(COUNTIFS(実績!$W$6:$W$505,DQ$3,実績!$AI$6:$AI$505,"&lt;="&amp;$A239,実績!$AJ$6:$AJ$505,"&gt;"&amp;$A239,実績!$AK$6:$AK$505,"○")&gt;0,1,0))</f>
        <v>0</v>
      </c>
      <c r="DR239" s="39" t="n">
        <f aca="false">IF(DR$4=0,0,IF(COUNTIFS(実績!$W$6:$W$505,DR$3,実績!$AI$6:$AI$505,"&lt;="&amp;$A239,実績!$AJ$6:$AJ$505,"&gt;"&amp;$A239,実績!$AK$6:$AK$505,"○")&gt;0,1,0))</f>
        <v>0</v>
      </c>
      <c r="DS239" s="39" t="n">
        <f aca="false">SUM(C239:DR239)</f>
        <v>0</v>
      </c>
      <c r="DT239" s="39" t="n">
        <f aca="false">SUMPRODUCT((実績!$C$6:$C$505="○")*ISNUMBER(実績!$AM$6:$AM$505)*(実績!$AM$6:$AM$505&lt;=$A239)*(実績!$AN$6:$AN$505&gt;$A239))</f>
        <v>0</v>
      </c>
      <c r="DU239" s="39" t="n">
        <f aca="false">SUMIF($C$2:$DR$2,"製鉄曳船",C239:DR239)</f>
        <v>0</v>
      </c>
      <c r="DV239" s="39" t="n">
        <f aca="false">SUMIF($C$2:$DR$2,"西日本海運",C239:DR239)</f>
        <v>0</v>
      </c>
    </row>
    <row r="240" customFormat="false" ht="15" hidden="false" customHeight="false" outlineLevel="0" collapsed="false">
      <c r="A240" s="0" t="n">
        <v>1170</v>
      </c>
      <c r="B240" s="38" t="n">
        <f aca="false">A240/1440</f>
        <v>0.8125</v>
      </c>
      <c r="C240" s="39" t="n">
        <f aca="false">IF(C$4=0,0,IF(COUNTIFS(実績!$W$6:$W$505,C$3,実績!$AI$6:$AI$505,"&lt;="&amp;$A240,実績!$AJ$6:$AJ$505,"&gt;"&amp;$A240,実績!$AK$6:$AK$505,"○")&gt;0,1,0))</f>
        <v>0</v>
      </c>
      <c r="D240" s="39" t="n">
        <f aca="false">IF(D$4=0,0,IF(COUNTIFS(実績!$W$6:$W$505,D$3,実績!$AI$6:$AI$505,"&lt;="&amp;$A240,実績!$AJ$6:$AJ$505,"&gt;"&amp;$A240,実績!$AK$6:$AK$505,"○")&gt;0,1,0))</f>
        <v>0</v>
      </c>
      <c r="E240" s="39" t="n">
        <f aca="false">IF(E$4=0,0,IF(COUNTIFS(実績!$W$6:$W$505,E$3,実績!$AI$6:$AI$505,"&lt;="&amp;$A240,実績!$AJ$6:$AJ$505,"&gt;"&amp;$A240,実績!$AK$6:$AK$505,"○")&gt;0,1,0))</f>
        <v>0</v>
      </c>
      <c r="F240" s="39" t="n">
        <f aca="false">IF(F$4=0,0,IF(COUNTIFS(実績!$W$6:$W$505,F$3,実績!$AI$6:$AI$505,"&lt;="&amp;$A240,実績!$AJ$6:$AJ$505,"&gt;"&amp;$A240,実績!$AK$6:$AK$505,"○")&gt;0,1,0))</f>
        <v>0</v>
      </c>
      <c r="G240" s="39" t="n">
        <f aca="false">IF(G$4=0,0,IF(COUNTIFS(実績!$W$6:$W$505,G$3,実績!$AI$6:$AI$505,"&lt;="&amp;$A240,実績!$AJ$6:$AJ$505,"&gt;"&amp;$A240,実績!$AK$6:$AK$505,"○")&gt;0,1,0))</f>
        <v>0</v>
      </c>
      <c r="H240" s="39" t="n">
        <f aca="false">IF(H$4=0,0,IF(COUNTIFS(実績!$W$6:$W$505,H$3,実績!$AI$6:$AI$505,"&lt;="&amp;$A240,実績!$AJ$6:$AJ$505,"&gt;"&amp;$A240,実績!$AK$6:$AK$505,"○")&gt;0,1,0))</f>
        <v>0</v>
      </c>
      <c r="I240" s="39" t="n">
        <f aca="false">IF(I$4=0,0,IF(COUNTIFS(実績!$W$6:$W$505,I$3,実績!$AI$6:$AI$505,"&lt;="&amp;$A240,実績!$AJ$6:$AJ$505,"&gt;"&amp;$A240,実績!$AK$6:$AK$505,"○")&gt;0,1,0))</f>
        <v>0</v>
      </c>
      <c r="J240" s="39" t="n">
        <f aca="false">IF(J$4=0,0,IF(COUNTIFS(実績!$W$6:$W$505,J$3,実績!$AI$6:$AI$505,"&lt;="&amp;$A240,実績!$AJ$6:$AJ$505,"&gt;"&amp;$A240,実績!$AK$6:$AK$505,"○")&gt;0,1,0))</f>
        <v>0</v>
      </c>
      <c r="K240" s="39" t="n">
        <f aca="false">IF(K$4=0,0,IF(COUNTIFS(実績!$W$6:$W$505,K$3,実績!$AI$6:$AI$505,"&lt;="&amp;$A240,実績!$AJ$6:$AJ$505,"&gt;"&amp;$A240,実績!$AK$6:$AK$505,"○")&gt;0,1,0))</f>
        <v>0</v>
      </c>
      <c r="L240" s="39" t="n">
        <f aca="false">IF(L$4=0,0,IF(COUNTIFS(実績!$W$6:$W$505,L$3,実績!$AI$6:$AI$505,"&lt;="&amp;$A240,実績!$AJ$6:$AJ$505,"&gt;"&amp;$A240,実績!$AK$6:$AK$505,"○")&gt;0,1,0))</f>
        <v>0</v>
      </c>
      <c r="M240" s="39" t="n">
        <f aca="false">IF(M$4=0,0,IF(COUNTIFS(実績!$W$6:$W$505,M$3,実績!$AI$6:$AI$505,"&lt;="&amp;$A240,実績!$AJ$6:$AJ$505,"&gt;"&amp;$A240,実績!$AK$6:$AK$505,"○")&gt;0,1,0))</f>
        <v>0</v>
      </c>
      <c r="N240" s="39" t="n">
        <f aca="false">IF(N$4=0,0,IF(COUNTIFS(実績!$W$6:$W$505,N$3,実績!$AI$6:$AI$505,"&lt;="&amp;$A240,実績!$AJ$6:$AJ$505,"&gt;"&amp;$A240,実績!$AK$6:$AK$505,"○")&gt;0,1,0))</f>
        <v>0</v>
      </c>
      <c r="O240" s="39" t="n">
        <f aca="false">IF(O$4=0,0,IF(COUNTIFS(実績!$W$6:$W$505,O$3,実績!$AI$6:$AI$505,"&lt;="&amp;$A240,実績!$AJ$6:$AJ$505,"&gt;"&amp;$A240,実績!$AK$6:$AK$505,"○")&gt;0,1,0))</f>
        <v>0</v>
      </c>
      <c r="P240" s="39" t="n">
        <f aca="false">IF(P$4=0,0,IF(COUNTIFS(実績!$W$6:$W$505,P$3,実績!$AI$6:$AI$505,"&lt;="&amp;$A240,実績!$AJ$6:$AJ$505,"&gt;"&amp;$A240,実績!$AK$6:$AK$505,"○")&gt;0,1,0))</f>
        <v>0</v>
      </c>
      <c r="Q240" s="39" t="n">
        <f aca="false">IF(Q$4=0,0,IF(COUNTIFS(実績!$W$6:$W$505,Q$3,実績!$AI$6:$AI$505,"&lt;="&amp;$A240,実績!$AJ$6:$AJ$505,"&gt;"&amp;$A240,実績!$AK$6:$AK$505,"○")&gt;0,1,0))</f>
        <v>0</v>
      </c>
      <c r="R240" s="39" t="n">
        <f aca="false">IF(R$4=0,0,IF(COUNTIFS(実績!$W$6:$W$505,R$3,実績!$AI$6:$AI$505,"&lt;="&amp;$A240,実績!$AJ$6:$AJ$505,"&gt;"&amp;$A240,実績!$AK$6:$AK$505,"○")&gt;0,1,0))</f>
        <v>0</v>
      </c>
      <c r="S240" s="39" t="n">
        <f aca="false">IF(S$4=0,0,IF(COUNTIFS(実績!$W$6:$W$505,S$3,実績!$AI$6:$AI$505,"&lt;="&amp;$A240,実績!$AJ$6:$AJ$505,"&gt;"&amp;$A240,実績!$AK$6:$AK$505,"○")&gt;0,1,0))</f>
        <v>0</v>
      </c>
      <c r="T240" s="39" t="n">
        <f aca="false">IF(T$4=0,0,IF(COUNTIFS(実績!$W$6:$W$505,T$3,実績!$AI$6:$AI$505,"&lt;="&amp;$A240,実績!$AJ$6:$AJ$505,"&gt;"&amp;$A240,実績!$AK$6:$AK$505,"○")&gt;0,1,0))</f>
        <v>0</v>
      </c>
      <c r="U240" s="39" t="n">
        <f aca="false">IF(U$4=0,0,IF(COUNTIFS(実績!$W$6:$W$505,U$3,実績!$AI$6:$AI$505,"&lt;="&amp;$A240,実績!$AJ$6:$AJ$505,"&gt;"&amp;$A240,実績!$AK$6:$AK$505,"○")&gt;0,1,0))</f>
        <v>0</v>
      </c>
      <c r="V240" s="39" t="n">
        <f aca="false">IF(V$4=0,0,IF(COUNTIFS(実績!$W$6:$W$505,V$3,実績!$AI$6:$AI$505,"&lt;="&amp;$A240,実績!$AJ$6:$AJ$505,"&gt;"&amp;$A240,実績!$AK$6:$AK$505,"○")&gt;0,1,0))</f>
        <v>0</v>
      </c>
      <c r="W240" s="39" t="n">
        <f aca="false">IF(W$4=0,0,IF(COUNTIFS(実績!$W$6:$W$505,W$3,実績!$AI$6:$AI$505,"&lt;="&amp;$A240,実績!$AJ$6:$AJ$505,"&gt;"&amp;$A240,実績!$AK$6:$AK$505,"○")&gt;0,1,0))</f>
        <v>0</v>
      </c>
      <c r="X240" s="39" t="n">
        <f aca="false">IF(X$4=0,0,IF(COUNTIFS(実績!$W$6:$W$505,X$3,実績!$AI$6:$AI$505,"&lt;="&amp;$A240,実績!$AJ$6:$AJ$505,"&gt;"&amp;$A240,実績!$AK$6:$AK$505,"○")&gt;0,1,0))</f>
        <v>0</v>
      </c>
      <c r="Y240" s="39" t="n">
        <f aca="false">IF(Y$4=0,0,IF(COUNTIFS(実績!$W$6:$W$505,Y$3,実績!$AI$6:$AI$505,"&lt;="&amp;$A240,実績!$AJ$6:$AJ$505,"&gt;"&amp;$A240,実績!$AK$6:$AK$505,"○")&gt;0,1,0))</f>
        <v>0</v>
      </c>
      <c r="Z240" s="39" t="n">
        <f aca="false">IF(Z$4=0,0,IF(COUNTIFS(実績!$W$6:$W$505,Z$3,実績!$AI$6:$AI$505,"&lt;="&amp;$A240,実績!$AJ$6:$AJ$505,"&gt;"&amp;$A240,実績!$AK$6:$AK$505,"○")&gt;0,1,0))</f>
        <v>0</v>
      </c>
      <c r="AA240" s="39" t="n">
        <f aca="false">IF(AA$4=0,0,IF(COUNTIFS(実績!$W$6:$W$505,AA$3,実績!$AI$6:$AI$505,"&lt;="&amp;$A240,実績!$AJ$6:$AJ$505,"&gt;"&amp;$A240,実績!$AK$6:$AK$505,"○")&gt;0,1,0))</f>
        <v>0</v>
      </c>
      <c r="AB240" s="39" t="n">
        <f aca="false">IF(AB$4=0,0,IF(COUNTIFS(実績!$W$6:$W$505,AB$3,実績!$AI$6:$AI$505,"&lt;="&amp;$A240,実績!$AJ$6:$AJ$505,"&gt;"&amp;$A240,実績!$AK$6:$AK$505,"○")&gt;0,1,0))</f>
        <v>0</v>
      </c>
      <c r="AC240" s="39" t="n">
        <f aca="false">IF(AC$4=0,0,IF(COUNTIFS(実績!$W$6:$W$505,AC$3,実績!$AI$6:$AI$505,"&lt;="&amp;$A240,実績!$AJ$6:$AJ$505,"&gt;"&amp;$A240,実績!$AK$6:$AK$505,"○")&gt;0,1,0))</f>
        <v>0</v>
      </c>
      <c r="AD240" s="39" t="n">
        <f aca="false">IF(AD$4=0,0,IF(COUNTIFS(実績!$W$6:$W$505,AD$3,実績!$AI$6:$AI$505,"&lt;="&amp;$A240,実績!$AJ$6:$AJ$505,"&gt;"&amp;$A240,実績!$AK$6:$AK$505,"○")&gt;0,1,0))</f>
        <v>0</v>
      </c>
      <c r="AE240" s="39" t="n">
        <f aca="false">IF(AE$4=0,0,IF(COUNTIFS(実績!$W$6:$W$505,AE$3,実績!$AI$6:$AI$505,"&lt;="&amp;$A240,実績!$AJ$6:$AJ$505,"&gt;"&amp;$A240,実績!$AK$6:$AK$505,"○")&gt;0,1,0))</f>
        <v>0</v>
      </c>
      <c r="AF240" s="39" t="n">
        <f aca="false">IF(AF$4=0,0,IF(COUNTIFS(実績!$W$6:$W$505,AF$3,実績!$AI$6:$AI$505,"&lt;="&amp;$A240,実績!$AJ$6:$AJ$505,"&gt;"&amp;$A240,実績!$AK$6:$AK$505,"○")&gt;0,1,0))</f>
        <v>0</v>
      </c>
      <c r="AG240" s="39" t="n">
        <f aca="false">IF(AG$4=0,0,IF(COUNTIFS(実績!$W$6:$W$505,AG$3,実績!$AI$6:$AI$505,"&lt;="&amp;$A240,実績!$AJ$6:$AJ$505,"&gt;"&amp;$A240,実績!$AK$6:$AK$505,"○")&gt;0,1,0))</f>
        <v>0</v>
      </c>
      <c r="AH240" s="39" t="n">
        <f aca="false">IF(AH$4=0,0,IF(COUNTIFS(実績!$W$6:$W$505,AH$3,実績!$AI$6:$AI$505,"&lt;="&amp;$A240,実績!$AJ$6:$AJ$505,"&gt;"&amp;$A240,実績!$AK$6:$AK$505,"○")&gt;0,1,0))</f>
        <v>0</v>
      </c>
      <c r="AI240" s="39" t="n">
        <f aca="false">IF(AI$4=0,0,IF(COUNTIFS(実績!$W$6:$W$505,AI$3,実績!$AI$6:$AI$505,"&lt;="&amp;$A240,実績!$AJ$6:$AJ$505,"&gt;"&amp;$A240,実績!$AK$6:$AK$505,"○")&gt;0,1,0))</f>
        <v>0</v>
      </c>
      <c r="AJ240" s="39" t="n">
        <f aca="false">IF(AJ$4=0,0,IF(COUNTIFS(実績!$W$6:$W$505,AJ$3,実績!$AI$6:$AI$505,"&lt;="&amp;$A240,実績!$AJ$6:$AJ$505,"&gt;"&amp;$A240,実績!$AK$6:$AK$505,"○")&gt;0,1,0))</f>
        <v>0</v>
      </c>
      <c r="AK240" s="39" t="n">
        <f aca="false">IF(AK$4=0,0,IF(COUNTIFS(実績!$W$6:$W$505,AK$3,実績!$AI$6:$AI$505,"&lt;="&amp;$A240,実績!$AJ$6:$AJ$505,"&gt;"&amp;$A240,実績!$AK$6:$AK$505,"○")&gt;0,1,0))</f>
        <v>0</v>
      </c>
      <c r="AL240" s="39" t="n">
        <f aca="false">IF(AL$4=0,0,IF(COUNTIFS(実績!$W$6:$W$505,AL$3,実績!$AI$6:$AI$505,"&lt;="&amp;$A240,実績!$AJ$6:$AJ$505,"&gt;"&amp;$A240,実績!$AK$6:$AK$505,"○")&gt;0,1,0))</f>
        <v>0</v>
      </c>
      <c r="AM240" s="39" t="n">
        <f aca="false">IF(AM$4=0,0,IF(COUNTIFS(実績!$W$6:$W$505,AM$3,実績!$AI$6:$AI$505,"&lt;="&amp;$A240,実績!$AJ$6:$AJ$505,"&gt;"&amp;$A240,実績!$AK$6:$AK$505,"○")&gt;0,1,0))</f>
        <v>0</v>
      </c>
      <c r="AN240" s="39" t="n">
        <f aca="false">IF(AN$4=0,0,IF(COUNTIFS(実績!$W$6:$W$505,AN$3,実績!$AI$6:$AI$505,"&lt;="&amp;$A240,実績!$AJ$6:$AJ$505,"&gt;"&amp;$A240,実績!$AK$6:$AK$505,"○")&gt;0,1,0))</f>
        <v>0</v>
      </c>
      <c r="AO240" s="39" t="n">
        <f aca="false">IF(AO$4=0,0,IF(COUNTIFS(実績!$W$6:$W$505,AO$3,実績!$AI$6:$AI$505,"&lt;="&amp;$A240,実績!$AJ$6:$AJ$505,"&gt;"&amp;$A240,実績!$AK$6:$AK$505,"○")&gt;0,1,0))</f>
        <v>0</v>
      </c>
      <c r="AP240" s="39" t="n">
        <f aca="false">IF(AP$4=0,0,IF(COUNTIFS(実績!$W$6:$W$505,AP$3,実績!$AI$6:$AI$505,"&lt;="&amp;$A240,実績!$AJ$6:$AJ$505,"&gt;"&amp;$A240,実績!$AK$6:$AK$505,"○")&gt;0,1,0))</f>
        <v>0</v>
      </c>
      <c r="AQ240" s="39" t="n">
        <f aca="false">IF(AQ$4=0,0,IF(COUNTIFS(実績!$W$6:$W$505,AQ$3,実績!$AI$6:$AI$505,"&lt;="&amp;$A240,実績!$AJ$6:$AJ$505,"&gt;"&amp;$A240,実績!$AK$6:$AK$505,"○")&gt;0,1,0))</f>
        <v>0</v>
      </c>
      <c r="AR240" s="39" t="n">
        <f aca="false">IF(AR$4=0,0,IF(COUNTIFS(実績!$W$6:$W$505,AR$3,実績!$AI$6:$AI$505,"&lt;="&amp;$A240,実績!$AJ$6:$AJ$505,"&gt;"&amp;$A240,実績!$AK$6:$AK$505,"○")&gt;0,1,0))</f>
        <v>0</v>
      </c>
      <c r="AS240" s="39" t="n">
        <f aca="false">IF(AS$4=0,0,IF(COUNTIFS(実績!$W$6:$W$505,AS$3,実績!$AI$6:$AI$505,"&lt;="&amp;$A240,実績!$AJ$6:$AJ$505,"&gt;"&amp;$A240,実績!$AK$6:$AK$505,"○")&gt;0,1,0))</f>
        <v>0</v>
      </c>
      <c r="AT240" s="39" t="n">
        <f aca="false">IF(AT$4=0,0,IF(COUNTIFS(実績!$W$6:$W$505,AT$3,実績!$AI$6:$AI$505,"&lt;="&amp;$A240,実績!$AJ$6:$AJ$505,"&gt;"&amp;$A240,実績!$AK$6:$AK$505,"○")&gt;0,1,0))</f>
        <v>0</v>
      </c>
      <c r="AU240" s="39" t="n">
        <f aca="false">IF(AU$4=0,0,IF(COUNTIFS(実績!$W$6:$W$505,AU$3,実績!$AI$6:$AI$505,"&lt;="&amp;$A240,実績!$AJ$6:$AJ$505,"&gt;"&amp;$A240,実績!$AK$6:$AK$505,"○")&gt;0,1,0))</f>
        <v>0</v>
      </c>
      <c r="AV240" s="39" t="n">
        <f aca="false">IF(AV$4=0,0,IF(COUNTIFS(実績!$W$6:$W$505,AV$3,実績!$AI$6:$AI$505,"&lt;="&amp;$A240,実績!$AJ$6:$AJ$505,"&gt;"&amp;$A240,実績!$AK$6:$AK$505,"○")&gt;0,1,0))</f>
        <v>0</v>
      </c>
      <c r="AW240" s="39" t="n">
        <f aca="false">IF(AW$4=0,0,IF(COUNTIFS(実績!$W$6:$W$505,AW$3,実績!$AI$6:$AI$505,"&lt;="&amp;$A240,実績!$AJ$6:$AJ$505,"&gt;"&amp;$A240,実績!$AK$6:$AK$505,"○")&gt;0,1,0))</f>
        <v>0</v>
      </c>
      <c r="AX240" s="39" t="n">
        <f aca="false">IF(AX$4=0,0,IF(COUNTIFS(実績!$W$6:$W$505,AX$3,実績!$AI$6:$AI$505,"&lt;="&amp;$A240,実績!$AJ$6:$AJ$505,"&gt;"&amp;$A240,実績!$AK$6:$AK$505,"○")&gt;0,1,0))</f>
        <v>0</v>
      </c>
      <c r="AY240" s="39" t="n">
        <f aca="false">IF(AY$4=0,0,IF(COUNTIFS(実績!$W$6:$W$505,AY$3,実績!$AI$6:$AI$505,"&lt;="&amp;$A240,実績!$AJ$6:$AJ$505,"&gt;"&amp;$A240,実績!$AK$6:$AK$505,"○")&gt;0,1,0))</f>
        <v>0</v>
      </c>
      <c r="AZ240" s="39" t="n">
        <f aca="false">IF(AZ$4=0,0,IF(COUNTIFS(実績!$W$6:$W$505,AZ$3,実績!$AI$6:$AI$505,"&lt;="&amp;$A240,実績!$AJ$6:$AJ$505,"&gt;"&amp;$A240,実績!$AK$6:$AK$505,"○")&gt;0,1,0))</f>
        <v>0</v>
      </c>
      <c r="BA240" s="39" t="n">
        <f aca="false">IF(BA$4=0,0,IF(COUNTIFS(実績!$W$6:$W$505,BA$3,実績!$AI$6:$AI$505,"&lt;="&amp;$A240,実績!$AJ$6:$AJ$505,"&gt;"&amp;$A240,実績!$AK$6:$AK$505,"○")&gt;0,1,0))</f>
        <v>0</v>
      </c>
      <c r="BB240" s="39" t="n">
        <f aca="false">IF(BB$4=0,0,IF(COUNTIFS(実績!$W$6:$W$505,BB$3,実績!$AI$6:$AI$505,"&lt;="&amp;$A240,実績!$AJ$6:$AJ$505,"&gt;"&amp;$A240,実績!$AK$6:$AK$505,"○")&gt;0,1,0))</f>
        <v>0</v>
      </c>
      <c r="BC240" s="39" t="n">
        <f aca="false">IF(BC$4=0,0,IF(COUNTIFS(実績!$W$6:$W$505,BC$3,実績!$AI$6:$AI$505,"&lt;="&amp;$A240,実績!$AJ$6:$AJ$505,"&gt;"&amp;$A240,実績!$AK$6:$AK$505,"○")&gt;0,1,0))</f>
        <v>0</v>
      </c>
      <c r="BD240" s="39" t="n">
        <f aca="false">IF(BD$4=0,0,IF(COUNTIFS(実績!$W$6:$W$505,BD$3,実績!$AI$6:$AI$505,"&lt;="&amp;$A240,実績!$AJ$6:$AJ$505,"&gt;"&amp;$A240,実績!$AK$6:$AK$505,"○")&gt;0,1,0))</f>
        <v>0</v>
      </c>
      <c r="BE240" s="39" t="n">
        <f aca="false">IF(BE$4=0,0,IF(COUNTIFS(実績!$W$6:$W$505,BE$3,実績!$AI$6:$AI$505,"&lt;="&amp;$A240,実績!$AJ$6:$AJ$505,"&gt;"&amp;$A240,実績!$AK$6:$AK$505,"○")&gt;0,1,0))</f>
        <v>0</v>
      </c>
      <c r="BF240" s="39" t="n">
        <f aca="false">IF(BF$4=0,0,IF(COUNTIFS(実績!$W$6:$W$505,BF$3,実績!$AI$6:$AI$505,"&lt;="&amp;$A240,実績!$AJ$6:$AJ$505,"&gt;"&amp;$A240,実績!$AK$6:$AK$505,"○")&gt;0,1,0))</f>
        <v>0</v>
      </c>
      <c r="BG240" s="39" t="n">
        <f aca="false">IF(BG$4=0,0,IF(COUNTIFS(実績!$W$6:$W$505,BG$3,実績!$AI$6:$AI$505,"&lt;="&amp;$A240,実績!$AJ$6:$AJ$505,"&gt;"&amp;$A240,実績!$AK$6:$AK$505,"○")&gt;0,1,0))</f>
        <v>0</v>
      </c>
      <c r="BH240" s="39" t="n">
        <f aca="false">IF(BH$4=0,0,IF(COUNTIFS(実績!$W$6:$W$505,BH$3,実績!$AI$6:$AI$505,"&lt;="&amp;$A240,実績!$AJ$6:$AJ$505,"&gt;"&amp;$A240,実績!$AK$6:$AK$505,"○")&gt;0,1,0))</f>
        <v>0</v>
      </c>
      <c r="BI240" s="39" t="n">
        <f aca="false">IF(BI$4=0,0,IF(COUNTIFS(実績!$W$6:$W$505,BI$3,実績!$AI$6:$AI$505,"&lt;="&amp;$A240,実績!$AJ$6:$AJ$505,"&gt;"&amp;$A240,実績!$AK$6:$AK$505,"○")&gt;0,1,0))</f>
        <v>0</v>
      </c>
      <c r="BJ240" s="39" t="n">
        <f aca="false">IF(BJ$4=0,0,IF(COUNTIFS(実績!$W$6:$W$505,BJ$3,実績!$AI$6:$AI$505,"&lt;="&amp;$A240,実績!$AJ$6:$AJ$505,"&gt;"&amp;$A240,実績!$AK$6:$AK$505,"○")&gt;0,1,0))</f>
        <v>0</v>
      </c>
      <c r="BK240" s="39" t="n">
        <f aca="false">IF(BK$4=0,0,IF(COUNTIFS(実績!$W$6:$W$505,BK$3,実績!$AI$6:$AI$505,"&lt;="&amp;$A240,実績!$AJ$6:$AJ$505,"&gt;"&amp;$A240,実績!$AK$6:$AK$505,"○")&gt;0,1,0))</f>
        <v>0</v>
      </c>
      <c r="BL240" s="39" t="n">
        <f aca="false">IF(BL$4=0,0,IF(COUNTIFS(実績!$W$6:$W$505,BL$3,実績!$AI$6:$AI$505,"&lt;="&amp;$A240,実績!$AJ$6:$AJ$505,"&gt;"&amp;$A240,実績!$AK$6:$AK$505,"○")&gt;0,1,0))</f>
        <v>0</v>
      </c>
      <c r="BM240" s="39" t="n">
        <f aca="false">IF(BM$4=0,0,IF(COUNTIFS(実績!$W$6:$W$505,BM$3,実績!$AI$6:$AI$505,"&lt;="&amp;$A240,実績!$AJ$6:$AJ$505,"&gt;"&amp;$A240,実績!$AK$6:$AK$505,"○")&gt;0,1,0))</f>
        <v>0</v>
      </c>
      <c r="BN240" s="39" t="n">
        <f aca="false">IF(BN$4=0,0,IF(COUNTIFS(実績!$W$6:$W$505,BN$3,実績!$AI$6:$AI$505,"&lt;="&amp;$A240,実績!$AJ$6:$AJ$505,"&gt;"&amp;$A240,実績!$AK$6:$AK$505,"○")&gt;0,1,0))</f>
        <v>0</v>
      </c>
      <c r="BO240" s="39" t="n">
        <f aca="false">IF(BO$4=0,0,IF(COUNTIFS(実績!$W$6:$W$505,BO$3,実績!$AI$6:$AI$505,"&lt;="&amp;$A240,実績!$AJ$6:$AJ$505,"&gt;"&amp;$A240,実績!$AK$6:$AK$505,"○")&gt;0,1,0))</f>
        <v>0</v>
      </c>
      <c r="BP240" s="39" t="n">
        <f aca="false">IF(BP$4=0,0,IF(COUNTIFS(実績!$W$6:$W$505,BP$3,実績!$AI$6:$AI$505,"&lt;="&amp;$A240,実績!$AJ$6:$AJ$505,"&gt;"&amp;$A240,実績!$AK$6:$AK$505,"○")&gt;0,1,0))</f>
        <v>0</v>
      </c>
      <c r="BQ240" s="39" t="n">
        <f aca="false">IF(BQ$4=0,0,IF(COUNTIFS(実績!$W$6:$W$505,BQ$3,実績!$AI$6:$AI$505,"&lt;="&amp;$A240,実績!$AJ$6:$AJ$505,"&gt;"&amp;$A240,実績!$AK$6:$AK$505,"○")&gt;0,1,0))</f>
        <v>0</v>
      </c>
      <c r="BR240" s="39" t="n">
        <f aca="false">IF(BR$4=0,0,IF(COUNTIFS(実績!$W$6:$W$505,BR$3,実績!$AI$6:$AI$505,"&lt;="&amp;$A240,実績!$AJ$6:$AJ$505,"&gt;"&amp;$A240,実績!$AK$6:$AK$505,"○")&gt;0,1,0))</f>
        <v>0</v>
      </c>
      <c r="BS240" s="39" t="n">
        <f aca="false">IF(BS$4=0,0,IF(COUNTIFS(実績!$W$6:$W$505,BS$3,実績!$AI$6:$AI$505,"&lt;="&amp;$A240,実績!$AJ$6:$AJ$505,"&gt;"&amp;$A240,実績!$AK$6:$AK$505,"○")&gt;0,1,0))</f>
        <v>0</v>
      </c>
      <c r="BT240" s="39" t="n">
        <f aca="false">IF(BT$4=0,0,IF(COUNTIFS(実績!$W$6:$W$505,BT$3,実績!$AI$6:$AI$505,"&lt;="&amp;$A240,実績!$AJ$6:$AJ$505,"&gt;"&amp;$A240,実績!$AK$6:$AK$505,"○")&gt;0,1,0))</f>
        <v>0</v>
      </c>
      <c r="BU240" s="39" t="n">
        <f aca="false">IF(BU$4=0,0,IF(COUNTIFS(実績!$W$6:$W$505,BU$3,実績!$AI$6:$AI$505,"&lt;="&amp;$A240,実績!$AJ$6:$AJ$505,"&gt;"&amp;$A240,実績!$AK$6:$AK$505,"○")&gt;0,1,0))</f>
        <v>0</v>
      </c>
      <c r="BV240" s="39" t="n">
        <f aca="false">IF(BV$4=0,0,IF(COUNTIFS(実績!$W$6:$W$505,BV$3,実績!$AI$6:$AI$505,"&lt;="&amp;$A240,実績!$AJ$6:$AJ$505,"&gt;"&amp;$A240,実績!$AK$6:$AK$505,"○")&gt;0,1,0))</f>
        <v>0</v>
      </c>
      <c r="BW240" s="39" t="n">
        <f aca="false">IF(BW$4=0,0,IF(COUNTIFS(実績!$W$6:$W$505,BW$3,実績!$AI$6:$AI$505,"&lt;="&amp;$A240,実績!$AJ$6:$AJ$505,"&gt;"&amp;$A240,実績!$AK$6:$AK$505,"○")&gt;0,1,0))</f>
        <v>0</v>
      </c>
      <c r="BX240" s="39" t="n">
        <f aca="false">IF(BX$4=0,0,IF(COUNTIFS(実績!$W$6:$W$505,BX$3,実績!$AI$6:$AI$505,"&lt;="&amp;$A240,実績!$AJ$6:$AJ$505,"&gt;"&amp;$A240,実績!$AK$6:$AK$505,"○")&gt;0,1,0))</f>
        <v>0</v>
      </c>
      <c r="BY240" s="39" t="n">
        <f aca="false">IF(BY$4=0,0,IF(COUNTIFS(実績!$W$6:$W$505,BY$3,実績!$AI$6:$AI$505,"&lt;="&amp;$A240,実績!$AJ$6:$AJ$505,"&gt;"&amp;$A240,実績!$AK$6:$AK$505,"○")&gt;0,1,0))</f>
        <v>0</v>
      </c>
      <c r="BZ240" s="39" t="n">
        <f aca="false">IF(BZ$4=0,0,IF(COUNTIFS(実績!$W$6:$W$505,BZ$3,実績!$AI$6:$AI$505,"&lt;="&amp;$A240,実績!$AJ$6:$AJ$505,"&gt;"&amp;$A240,実績!$AK$6:$AK$505,"○")&gt;0,1,0))</f>
        <v>0</v>
      </c>
      <c r="CA240" s="39" t="n">
        <f aca="false">IF(CA$4=0,0,IF(COUNTIFS(実績!$W$6:$W$505,CA$3,実績!$AI$6:$AI$505,"&lt;="&amp;$A240,実績!$AJ$6:$AJ$505,"&gt;"&amp;$A240,実績!$AK$6:$AK$505,"○")&gt;0,1,0))</f>
        <v>0</v>
      </c>
      <c r="CB240" s="39" t="n">
        <f aca="false">IF(CB$4=0,0,IF(COUNTIFS(実績!$W$6:$W$505,CB$3,実績!$AI$6:$AI$505,"&lt;="&amp;$A240,実績!$AJ$6:$AJ$505,"&gt;"&amp;$A240,実績!$AK$6:$AK$505,"○")&gt;0,1,0))</f>
        <v>0</v>
      </c>
      <c r="CC240" s="39" t="n">
        <f aca="false">IF(CC$4=0,0,IF(COUNTIFS(実績!$W$6:$W$505,CC$3,実績!$AI$6:$AI$505,"&lt;="&amp;$A240,実績!$AJ$6:$AJ$505,"&gt;"&amp;$A240,実績!$AK$6:$AK$505,"○")&gt;0,1,0))</f>
        <v>0</v>
      </c>
      <c r="CD240" s="39" t="n">
        <f aca="false">IF(CD$4=0,0,IF(COUNTIFS(実績!$W$6:$W$505,CD$3,実績!$AI$6:$AI$505,"&lt;="&amp;$A240,実績!$AJ$6:$AJ$505,"&gt;"&amp;$A240,実績!$AK$6:$AK$505,"○")&gt;0,1,0))</f>
        <v>0</v>
      </c>
      <c r="CE240" s="39" t="n">
        <f aca="false">IF(CE$4=0,0,IF(COUNTIFS(実績!$W$6:$W$505,CE$3,実績!$AI$6:$AI$505,"&lt;="&amp;$A240,実績!$AJ$6:$AJ$505,"&gt;"&amp;$A240,実績!$AK$6:$AK$505,"○")&gt;0,1,0))</f>
        <v>0</v>
      </c>
      <c r="CF240" s="39" t="n">
        <f aca="false">IF(CF$4=0,0,IF(COUNTIFS(実績!$W$6:$W$505,CF$3,実績!$AI$6:$AI$505,"&lt;="&amp;$A240,実績!$AJ$6:$AJ$505,"&gt;"&amp;$A240,実績!$AK$6:$AK$505,"○")&gt;0,1,0))</f>
        <v>0</v>
      </c>
      <c r="CG240" s="39" t="n">
        <f aca="false">IF(CG$4=0,0,IF(COUNTIFS(実績!$W$6:$W$505,CG$3,実績!$AI$6:$AI$505,"&lt;="&amp;$A240,実績!$AJ$6:$AJ$505,"&gt;"&amp;$A240,実績!$AK$6:$AK$505,"○")&gt;0,1,0))</f>
        <v>0</v>
      </c>
      <c r="CH240" s="39" t="n">
        <f aca="false">IF(CH$4=0,0,IF(COUNTIFS(実績!$W$6:$W$505,CH$3,実績!$AI$6:$AI$505,"&lt;="&amp;$A240,実績!$AJ$6:$AJ$505,"&gt;"&amp;$A240,実績!$AK$6:$AK$505,"○")&gt;0,1,0))</f>
        <v>0</v>
      </c>
      <c r="CI240" s="39" t="n">
        <f aca="false">IF(CI$4=0,0,IF(COUNTIFS(実績!$W$6:$W$505,CI$3,実績!$AI$6:$AI$505,"&lt;="&amp;$A240,実績!$AJ$6:$AJ$505,"&gt;"&amp;$A240,実績!$AK$6:$AK$505,"○")&gt;0,1,0))</f>
        <v>0</v>
      </c>
      <c r="CJ240" s="39" t="n">
        <f aca="false">IF(CJ$4=0,0,IF(COUNTIFS(実績!$W$6:$W$505,CJ$3,実績!$AI$6:$AI$505,"&lt;="&amp;$A240,実績!$AJ$6:$AJ$505,"&gt;"&amp;$A240,実績!$AK$6:$AK$505,"○")&gt;0,1,0))</f>
        <v>0</v>
      </c>
      <c r="CK240" s="39" t="n">
        <f aca="false">IF(CK$4=0,0,IF(COUNTIFS(実績!$W$6:$W$505,CK$3,実績!$AI$6:$AI$505,"&lt;="&amp;$A240,実績!$AJ$6:$AJ$505,"&gt;"&amp;$A240,実績!$AK$6:$AK$505,"○")&gt;0,1,0))</f>
        <v>0</v>
      </c>
      <c r="CL240" s="39" t="n">
        <f aca="false">IF(CL$4=0,0,IF(COUNTIFS(実績!$W$6:$W$505,CL$3,実績!$AI$6:$AI$505,"&lt;="&amp;$A240,実績!$AJ$6:$AJ$505,"&gt;"&amp;$A240,実績!$AK$6:$AK$505,"○")&gt;0,1,0))</f>
        <v>0</v>
      </c>
      <c r="CM240" s="39" t="n">
        <f aca="false">IF(CM$4=0,0,IF(COUNTIFS(実績!$W$6:$W$505,CM$3,実績!$AI$6:$AI$505,"&lt;="&amp;$A240,実績!$AJ$6:$AJ$505,"&gt;"&amp;$A240,実績!$AK$6:$AK$505,"○")&gt;0,1,0))</f>
        <v>0</v>
      </c>
      <c r="CN240" s="39" t="n">
        <f aca="false">IF(CN$4=0,0,IF(COUNTIFS(実績!$W$6:$W$505,CN$3,実績!$AI$6:$AI$505,"&lt;="&amp;$A240,実績!$AJ$6:$AJ$505,"&gt;"&amp;$A240,実績!$AK$6:$AK$505,"○")&gt;0,1,0))</f>
        <v>0</v>
      </c>
      <c r="CO240" s="39" t="n">
        <f aca="false">IF(CO$4=0,0,IF(COUNTIFS(実績!$W$6:$W$505,CO$3,実績!$AI$6:$AI$505,"&lt;="&amp;$A240,実績!$AJ$6:$AJ$505,"&gt;"&amp;$A240,実績!$AK$6:$AK$505,"○")&gt;0,1,0))</f>
        <v>0</v>
      </c>
      <c r="CP240" s="39" t="n">
        <f aca="false">IF(CP$4=0,0,IF(COUNTIFS(実績!$W$6:$W$505,CP$3,実績!$AI$6:$AI$505,"&lt;="&amp;$A240,実績!$AJ$6:$AJ$505,"&gt;"&amp;$A240,実績!$AK$6:$AK$505,"○")&gt;0,1,0))</f>
        <v>0</v>
      </c>
      <c r="CQ240" s="39" t="n">
        <f aca="false">IF(CQ$4=0,0,IF(COUNTIFS(実績!$W$6:$W$505,CQ$3,実績!$AI$6:$AI$505,"&lt;="&amp;$A240,実績!$AJ$6:$AJ$505,"&gt;"&amp;$A240,実績!$AK$6:$AK$505,"○")&gt;0,1,0))</f>
        <v>0</v>
      </c>
      <c r="CR240" s="39" t="n">
        <f aca="false">IF(CR$4=0,0,IF(COUNTIFS(実績!$W$6:$W$505,CR$3,実績!$AI$6:$AI$505,"&lt;="&amp;$A240,実績!$AJ$6:$AJ$505,"&gt;"&amp;$A240,実績!$AK$6:$AK$505,"○")&gt;0,1,0))</f>
        <v>0</v>
      </c>
      <c r="CS240" s="39" t="n">
        <f aca="false">IF(CS$4=0,0,IF(COUNTIFS(実績!$W$6:$W$505,CS$3,実績!$AI$6:$AI$505,"&lt;="&amp;$A240,実績!$AJ$6:$AJ$505,"&gt;"&amp;$A240,実績!$AK$6:$AK$505,"○")&gt;0,1,0))</f>
        <v>0</v>
      </c>
      <c r="CT240" s="39" t="n">
        <f aca="false">IF(CT$4=0,0,IF(COUNTIFS(実績!$W$6:$W$505,CT$3,実績!$AI$6:$AI$505,"&lt;="&amp;$A240,実績!$AJ$6:$AJ$505,"&gt;"&amp;$A240,実績!$AK$6:$AK$505,"○")&gt;0,1,0))</f>
        <v>0</v>
      </c>
      <c r="CU240" s="39" t="n">
        <f aca="false">IF(CU$4=0,0,IF(COUNTIFS(実績!$W$6:$W$505,CU$3,実績!$AI$6:$AI$505,"&lt;="&amp;$A240,実績!$AJ$6:$AJ$505,"&gt;"&amp;$A240,実績!$AK$6:$AK$505,"○")&gt;0,1,0))</f>
        <v>0</v>
      </c>
      <c r="CV240" s="39" t="n">
        <f aca="false">IF(CV$4=0,0,IF(COUNTIFS(実績!$W$6:$W$505,CV$3,実績!$AI$6:$AI$505,"&lt;="&amp;$A240,実績!$AJ$6:$AJ$505,"&gt;"&amp;$A240,実績!$AK$6:$AK$505,"○")&gt;0,1,0))</f>
        <v>0</v>
      </c>
      <c r="CW240" s="39" t="n">
        <f aca="false">IF(CW$4=0,0,IF(COUNTIFS(実績!$W$6:$W$505,CW$3,実績!$AI$6:$AI$505,"&lt;="&amp;$A240,実績!$AJ$6:$AJ$505,"&gt;"&amp;$A240,実績!$AK$6:$AK$505,"○")&gt;0,1,0))</f>
        <v>0</v>
      </c>
      <c r="CX240" s="39" t="n">
        <f aca="false">IF(CX$4=0,0,IF(COUNTIFS(実績!$W$6:$W$505,CX$3,実績!$AI$6:$AI$505,"&lt;="&amp;$A240,実績!$AJ$6:$AJ$505,"&gt;"&amp;$A240,実績!$AK$6:$AK$505,"○")&gt;0,1,0))</f>
        <v>0</v>
      </c>
      <c r="CY240" s="39" t="n">
        <f aca="false">IF(CY$4=0,0,IF(COUNTIFS(実績!$W$6:$W$505,CY$3,実績!$AI$6:$AI$505,"&lt;="&amp;$A240,実績!$AJ$6:$AJ$505,"&gt;"&amp;$A240,実績!$AK$6:$AK$505,"○")&gt;0,1,0))</f>
        <v>0</v>
      </c>
      <c r="CZ240" s="39" t="n">
        <f aca="false">IF(CZ$4=0,0,IF(COUNTIFS(実績!$W$6:$W$505,CZ$3,実績!$AI$6:$AI$505,"&lt;="&amp;$A240,実績!$AJ$6:$AJ$505,"&gt;"&amp;$A240,実績!$AK$6:$AK$505,"○")&gt;0,1,0))</f>
        <v>0</v>
      </c>
      <c r="DA240" s="39" t="n">
        <f aca="false">IF(DA$4=0,0,IF(COUNTIFS(実績!$W$6:$W$505,DA$3,実績!$AI$6:$AI$505,"&lt;="&amp;$A240,実績!$AJ$6:$AJ$505,"&gt;"&amp;$A240,実績!$AK$6:$AK$505,"○")&gt;0,1,0))</f>
        <v>0</v>
      </c>
      <c r="DB240" s="39" t="n">
        <f aca="false">IF(DB$4=0,0,IF(COUNTIFS(実績!$W$6:$W$505,DB$3,実績!$AI$6:$AI$505,"&lt;="&amp;$A240,実績!$AJ$6:$AJ$505,"&gt;"&amp;$A240,実績!$AK$6:$AK$505,"○")&gt;0,1,0))</f>
        <v>0</v>
      </c>
      <c r="DC240" s="39" t="n">
        <f aca="false">IF(DC$4=0,0,IF(COUNTIFS(実績!$W$6:$W$505,DC$3,実績!$AI$6:$AI$505,"&lt;="&amp;$A240,実績!$AJ$6:$AJ$505,"&gt;"&amp;$A240,実績!$AK$6:$AK$505,"○")&gt;0,1,0))</f>
        <v>0</v>
      </c>
      <c r="DD240" s="39" t="n">
        <f aca="false">IF(DD$4=0,0,IF(COUNTIFS(実績!$W$6:$W$505,DD$3,実績!$AI$6:$AI$505,"&lt;="&amp;$A240,実績!$AJ$6:$AJ$505,"&gt;"&amp;$A240,実績!$AK$6:$AK$505,"○")&gt;0,1,0))</f>
        <v>0</v>
      </c>
      <c r="DE240" s="39" t="n">
        <f aca="false">IF(DE$4=0,0,IF(COUNTIFS(実績!$W$6:$W$505,DE$3,実績!$AI$6:$AI$505,"&lt;="&amp;$A240,実績!$AJ$6:$AJ$505,"&gt;"&amp;$A240,実績!$AK$6:$AK$505,"○")&gt;0,1,0))</f>
        <v>0</v>
      </c>
      <c r="DF240" s="39" t="n">
        <f aca="false">IF(DF$4=0,0,IF(COUNTIFS(実績!$W$6:$W$505,DF$3,実績!$AI$6:$AI$505,"&lt;="&amp;$A240,実績!$AJ$6:$AJ$505,"&gt;"&amp;$A240,実績!$AK$6:$AK$505,"○")&gt;0,1,0))</f>
        <v>0</v>
      </c>
      <c r="DG240" s="39" t="n">
        <f aca="false">IF(DG$4=0,0,IF(COUNTIFS(実績!$W$6:$W$505,DG$3,実績!$AI$6:$AI$505,"&lt;="&amp;$A240,実績!$AJ$6:$AJ$505,"&gt;"&amp;$A240,実績!$AK$6:$AK$505,"○")&gt;0,1,0))</f>
        <v>0</v>
      </c>
      <c r="DH240" s="39" t="n">
        <f aca="false">IF(DH$4=0,0,IF(COUNTIFS(実績!$W$6:$W$505,DH$3,実績!$AI$6:$AI$505,"&lt;="&amp;$A240,実績!$AJ$6:$AJ$505,"&gt;"&amp;$A240,実績!$AK$6:$AK$505,"○")&gt;0,1,0))</f>
        <v>0</v>
      </c>
      <c r="DI240" s="39" t="n">
        <f aca="false">IF(DI$4=0,0,IF(COUNTIFS(実績!$W$6:$W$505,DI$3,実績!$AI$6:$AI$505,"&lt;="&amp;$A240,実績!$AJ$6:$AJ$505,"&gt;"&amp;$A240,実績!$AK$6:$AK$505,"○")&gt;0,1,0))</f>
        <v>0</v>
      </c>
      <c r="DJ240" s="39" t="n">
        <f aca="false">IF(DJ$4=0,0,IF(COUNTIFS(実績!$W$6:$W$505,DJ$3,実績!$AI$6:$AI$505,"&lt;="&amp;$A240,実績!$AJ$6:$AJ$505,"&gt;"&amp;$A240,実績!$AK$6:$AK$505,"○")&gt;0,1,0))</f>
        <v>0</v>
      </c>
      <c r="DK240" s="39" t="n">
        <f aca="false">IF(DK$4=0,0,IF(COUNTIFS(実績!$W$6:$W$505,DK$3,実績!$AI$6:$AI$505,"&lt;="&amp;$A240,実績!$AJ$6:$AJ$505,"&gt;"&amp;$A240,実績!$AK$6:$AK$505,"○")&gt;0,1,0))</f>
        <v>0</v>
      </c>
      <c r="DL240" s="39" t="n">
        <f aca="false">IF(DL$4=0,0,IF(COUNTIFS(実績!$W$6:$W$505,DL$3,実績!$AI$6:$AI$505,"&lt;="&amp;$A240,実績!$AJ$6:$AJ$505,"&gt;"&amp;$A240,実績!$AK$6:$AK$505,"○")&gt;0,1,0))</f>
        <v>0</v>
      </c>
      <c r="DM240" s="39" t="n">
        <f aca="false">IF(DM$4=0,0,IF(COUNTIFS(実績!$W$6:$W$505,DM$3,実績!$AI$6:$AI$505,"&lt;="&amp;$A240,実績!$AJ$6:$AJ$505,"&gt;"&amp;$A240,実績!$AK$6:$AK$505,"○")&gt;0,1,0))</f>
        <v>0</v>
      </c>
      <c r="DN240" s="39" t="n">
        <f aca="false">IF(DN$4=0,0,IF(COUNTIFS(実績!$W$6:$W$505,DN$3,実績!$AI$6:$AI$505,"&lt;="&amp;$A240,実績!$AJ$6:$AJ$505,"&gt;"&amp;$A240,実績!$AK$6:$AK$505,"○")&gt;0,1,0))</f>
        <v>0</v>
      </c>
      <c r="DO240" s="39" t="n">
        <f aca="false">IF(DO$4=0,0,IF(COUNTIFS(実績!$W$6:$W$505,DO$3,実績!$AI$6:$AI$505,"&lt;="&amp;$A240,実績!$AJ$6:$AJ$505,"&gt;"&amp;$A240,実績!$AK$6:$AK$505,"○")&gt;0,1,0))</f>
        <v>0</v>
      </c>
      <c r="DP240" s="39" t="n">
        <f aca="false">IF(DP$4=0,0,IF(COUNTIFS(実績!$W$6:$W$505,DP$3,実績!$AI$6:$AI$505,"&lt;="&amp;$A240,実績!$AJ$6:$AJ$505,"&gt;"&amp;$A240,実績!$AK$6:$AK$505,"○")&gt;0,1,0))</f>
        <v>0</v>
      </c>
      <c r="DQ240" s="39" t="n">
        <f aca="false">IF(DQ$4=0,0,IF(COUNTIFS(実績!$W$6:$W$505,DQ$3,実績!$AI$6:$AI$505,"&lt;="&amp;$A240,実績!$AJ$6:$AJ$505,"&gt;"&amp;$A240,実績!$AK$6:$AK$505,"○")&gt;0,1,0))</f>
        <v>0</v>
      </c>
      <c r="DR240" s="39" t="n">
        <f aca="false">IF(DR$4=0,0,IF(COUNTIFS(実績!$W$6:$W$505,DR$3,実績!$AI$6:$AI$505,"&lt;="&amp;$A240,実績!$AJ$6:$AJ$505,"&gt;"&amp;$A240,実績!$AK$6:$AK$505,"○")&gt;0,1,0))</f>
        <v>0</v>
      </c>
      <c r="DS240" s="39" t="n">
        <f aca="false">SUM(C240:DR240)</f>
        <v>0</v>
      </c>
      <c r="DT240" s="39" t="n">
        <f aca="false">SUMPRODUCT((実績!$C$6:$C$505="○")*ISNUMBER(実績!$AM$6:$AM$505)*(実績!$AM$6:$AM$505&lt;=$A240)*(実績!$AN$6:$AN$505&gt;$A240))</f>
        <v>0</v>
      </c>
      <c r="DU240" s="39" t="n">
        <f aca="false">SUMIF($C$2:$DR$2,"製鉄曳船",C240:DR240)</f>
        <v>0</v>
      </c>
      <c r="DV240" s="39" t="n">
        <f aca="false">SUMIF($C$2:$DR$2,"西日本海運",C240:DR240)</f>
        <v>0</v>
      </c>
    </row>
    <row r="241" customFormat="false" ht="15" hidden="false" customHeight="false" outlineLevel="0" collapsed="false">
      <c r="A241" s="0" t="n">
        <v>1175</v>
      </c>
      <c r="B241" s="38" t="n">
        <f aca="false">A241/1440</f>
        <v>0.815972222222222</v>
      </c>
      <c r="C241" s="39" t="n">
        <f aca="false">IF(C$4=0,0,IF(COUNTIFS(実績!$W$6:$W$505,C$3,実績!$AI$6:$AI$505,"&lt;="&amp;$A241,実績!$AJ$6:$AJ$505,"&gt;"&amp;$A241,実績!$AK$6:$AK$505,"○")&gt;0,1,0))</f>
        <v>0</v>
      </c>
      <c r="D241" s="39" t="n">
        <f aca="false">IF(D$4=0,0,IF(COUNTIFS(実績!$W$6:$W$505,D$3,実績!$AI$6:$AI$505,"&lt;="&amp;$A241,実績!$AJ$6:$AJ$505,"&gt;"&amp;$A241,実績!$AK$6:$AK$505,"○")&gt;0,1,0))</f>
        <v>0</v>
      </c>
      <c r="E241" s="39" t="n">
        <f aca="false">IF(E$4=0,0,IF(COUNTIFS(実績!$W$6:$W$505,E$3,実績!$AI$6:$AI$505,"&lt;="&amp;$A241,実績!$AJ$6:$AJ$505,"&gt;"&amp;$A241,実績!$AK$6:$AK$505,"○")&gt;0,1,0))</f>
        <v>0</v>
      </c>
      <c r="F241" s="39" t="n">
        <f aca="false">IF(F$4=0,0,IF(COUNTIFS(実績!$W$6:$W$505,F$3,実績!$AI$6:$AI$505,"&lt;="&amp;$A241,実績!$AJ$6:$AJ$505,"&gt;"&amp;$A241,実績!$AK$6:$AK$505,"○")&gt;0,1,0))</f>
        <v>0</v>
      </c>
      <c r="G241" s="39" t="n">
        <f aca="false">IF(G$4=0,0,IF(COUNTIFS(実績!$W$6:$W$505,G$3,実績!$AI$6:$AI$505,"&lt;="&amp;$A241,実績!$AJ$6:$AJ$505,"&gt;"&amp;$A241,実績!$AK$6:$AK$505,"○")&gt;0,1,0))</f>
        <v>0</v>
      </c>
      <c r="H241" s="39" t="n">
        <f aca="false">IF(H$4=0,0,IF(COUNTIFS(実績!$W$6:$W$505,H$3,実績!$AI$6:$AI$505,"&lt;="&amp;$A241,実績!$AJ$6:$AJ$505,"&gt;"&amp;$A241,実績!$AK$6:$AK$505,"○")&gt;0,1,0))</f>
        <v>0</v>
      </c>
      <c r="I241" s="39" t="n">
        <f aca="false">IF(I$4=0,0,IF(COUNTIFS(実績!$W$6:$W$505,I$3,実績!$AI$6:$AI$505,"&lt;="&amp;$A241,実績!$AJ$6:$AJ$505,"&gt;"&amp;$A241,実績!$AK$6:$AK$505,"○")&gt;0,1,0))</f>
        <v>0</v>
      </c>
      <c r="J241" s="39" t="n">
        <f aca="false">IF(J$4=0,0,IF(COUNTIFS(実績!$W$6:$W$505,J$3,実績!$AI$6:$AI$505,"&lt;="&amp;$A241,実績!$AJ$6:$AJ$505,"&gt;"&amp;$A241,実績!$AK$6:$AK$505,"○")&gt;0,1,0))</f>
        <v>0</v>
      </c>
      <c r="K241" s="39" t="n">
        <f aca="false">IF(K$4=0,0,IF(COUNTIFS(実績!$W$6:$W$505,K$3,実績!$AI$6:$AI$505,"&lt;="&amp;$A241,実績!$AJ$6:$AJ$505,"&gt;"&amp;$A241,実績!$AK$6:$AK$505,"○")&gt;0,1,0))</f>
        <v>0</v>
      </c>
      <c r="L241" s="39" t="n">
        <f aca="false">IF(L$4=0,0,IF(COUNTIFS(実績!$W$6:$W$505,L$3,実績!$AI$6:$AI$505,"&lt;="&amp;$A241,実績!$AJ$6:$AJ$505,"&gt;"&amp;$A241,実績!$AK$6:$AK$505,"○")&gt;0,1,0))</f>
        <v>0</v>
      </c>
      <c r="M241" s="39" t="n">
        <f aca="false">IF(M$4=0,0,IF(COUNTIFS(実績!$W$6:$W$505,M$3,実績!$AI$6:$AI$505,"&lt;="&amp;$A241,実績!$AJ$6:$AJ$505,"&gt;"&amp;$A241,実績!$AK$6:$AK$505,"○")&gt;0,1,0))</f>
        <v>0</v>
      </c>
      <c r="N241" s="39" t="n">
        <f aca="false">IF(N$4=0,0,IF(COUNTIFS(実績!$W$6:$W$505,N$3,実績!$AI$6:$AI$505,"&lt;="&amp;$A241,実績!$AJ$6:$AJ$505,"&gt;"&amp;$A241,実績!$AK$6:$AK$505,"○")&gt;0,1,0))</f>
        <v>0</v>
      </c>
      <c r="O241" s="39" t="n">
        <f aca="false">IF(O$4=0,0,IF(COUNTIFS(実績!$W$6:$W$505,O$3,実績!$AI$6:$AI$505,"&lt;="&amp;$A241,実績!$AJ$6:$AJ$505,"&gt;"&amp;$A241,実績!$AK$6:$AK$505,"○")&gt;0,1,0))</f>
        <v>0</v>
      </c>
      <c r="P241" s="39" t="n">
        <f aca="false">IF(P$4=0,0,IF(COUNTIFS(実績!$W$6:$W$505,P$3,実績!$AI$6:$AI$505,"&lt;="&amp;$A241,実績!$AJ$6:$AJ$505,"&gt;"&amp;$A241,実績!$AK$6:$AK$505,"○")&gt;0,1,0))</f>
        <v>0</v>
      </c>
      <c r="Q241" s="39" t="n">
        <f aca="false">IF(Q$4=0,0,IF(COUNTIFS(実績!$W$6:$W$505,Q$3,実績!$AI$6:$AI$505,"&lt;="&amp;$A241,実績!$AJ$6:$AJ$505,"&gt;"&amp;$A241,実績!$AK$6:$AK$505,"○")&gt;0,1,0))</f>
        <v>0</v>
      </c>
      <c r="R241" s="39" t="n">
        <f aca="false">IF(R$4=0,0,IF(COUNTIFS(実績!$W$6:$W$505,R$3,実績!$AI$6:$AI$505,"&lt;="&amp;$A241,実績!$AJ$6:$AJ$505,"&gt;"&amp;$A241,実績!$AK$6:$AK$505,"○")&gt;0,1,0))</f>
        <v>0</v>
      </c>
      <c r="S241" s="39" t="n">
        <f aca="false">IF(S$4=0,0,IF(COUNTIFS(実績!$W$6:$W$505,S$3,実績!$AI$6:$AI$505,"&lt;="&amp;$A241,実績!$AJ$6:$AJ$505,"&gt;"&amp;$A241,実績!$AK$6:$AK$505,"○")&gt;0,1,0))</f>
        <v>0</v>
      </c>
      <c r="T241" s="39" t="n">
        <f aca="false">IF(T$4=0,0,IF(COUNTIFS(実績!$W$6:$W$505,T$3,実績!$AI$6:$AI$505,"&lt;="&amp;$A241,実績!$AJ$6:$AJ$505,"&gt;"&amp;$A241,実績!$AK$6:$AK$505,"○")&gt;0,1,0))</f>
        <v>0</v>
      </c>
      <c r="U241" s="39" t="n">
        <f aca="false">IF(U$4=0,0,IF(COUNTIFS(実績!$W$6:$W$505,U$3,実績!$AI$6:$AI$505,"&lt;="&amp;$A241,実績!$AJ$6:$AJ$505,"&gt;"&amp;$A241,実績!$AK$6:$AK$505,"○")&gt;0,1,0))</f>
        <v>0</v>
      </c>
      <c r="V241" s="39" t="n">
        <f aca="false">IF(V$4=0,0,IF(COUNTIFS(実績!$W$6:$W$505,V$3,実績!$AI$6:$AI$505,"&lt;="&amp;$A241,実績!$AJ$6:$AJ$505,"&gt;"&amp;$A241,実績!$AK$6:$AK$505,"○")&gt;0,1,0))</f>
        <v>0</v>
      </c>
      <c r="W241" s="39" t="n">
        <f aca="false">IF(W$4=0,0,IF(COUNTIFS(実績!$W$6:$W$505,W$3,実績!$AI$6:$AI$505,"&lt;="&amp;$A241,実績!$AJ$6:$AJ$505,"&gt;"&amp;$A241,実績!$AK$6:$AK$505,"○")&gt;0,1,0))</f>
        <v>0</v>
      </c>
      <c r="X241" s="39" t="n">
        <f aca="false">IF(X$4=0,0,IF(COUNTIFS(実績!$W$6:$W$505,X$3,実績!$AI$6:$AI$505,"&lt;="&amp;$A241,実績!$AJ$6:$AJ$505,"&gt;"&amp;$A241,実績!$AK$6:$AK$505,"○")&gt;0,1,0))</f>
        <v>0</v>
      </c>
      <c r="Y241" s="39" t="n">
        <f aca="false">IF(Y$4=0,0,IF(COUNTIFS(実績!$W$6:$W$505,Y$3,実績!$AI$6:$AI$505,"&lt;="&amp;$A241,実績!$AJ$6:$AJ$505,"&gt;"&amp;$A241,実績!$AK$6:$AK$505,"○")&gt;0,1,0))</f>
        <v>0</v>
      </c>
      <c r="Z241" s="39" t="n">
        <f aca="false">IF(Z$4=0,0,IF(COUNTIFS(実績!$W$6:$W$505,Z$3,実績!$AI$6:$AI$505,"&lt;="&amp;$A241,実績!$AJ$6:$AJ$505,"&gt;"&amp;$A241,実績!$AK$6:$AK$505,"○")&gt;0,1,0))</f>
        <v>0</v>
      </c>
      <c r="AA241" s="39" t="n">
        <f aca="false">IF(AA$4=0,0,IF(COUNTIFS(実績!$W$6:$W$505,AA$3,実績!$AI$6:$AI$505,"&lt;="&amp;$A241,実績!$AJ$6:$AJ$505,"&gt;"&amp;$A241,実績!$AK$6:$AK$505,"○")&gt;0,1,0))</f>
        <v>0</v>
      </c>
      <c r="AB241" s="39" t="n">
        <f aca="false">IF(AB$4=0,0,IF(COUNTIFS(実績!$W$6:$W$505,AB$3,実績!$AI$6:$AI$505,"&lt;="&amp;$A241,実績!$AJ$6:$AJ$505,"&gt;"&amp;$A241,実績!$AK$6:$AK$505,"○")&gt;0,1,0))</f>
        <v>0</v>
      </c>
      <c r="AC241" s="39" t="n">
        <f aca="false">IF(AC$4=0,0,IF(COUNTIFS(実績!$W$6:$W$505,AC$3,実績!$AI$6:$AI$505,"&lt;="&amp;$A241,実績!$AJ$6:$AJ$505,"&gt;"&amp;$A241,実績!$AK$6:$AK$505,"○")&gt;0,1,0))</f>
        <v>0</v>
      </c>
      <c r="AD241" s="39" t="n">
        <f aca="false">IF(AD$4=0,0,IF(COUNTIFS(実績!$W$6:$W$505,AD$3,実績!$AI$6:$AI$505,"&lt;="&amp;$A241,実績!$AJ$6:$AJ$505,"&gt;"&amp;$A241,実績!$AK$6:$AK$505,"○")&gt;0,1,0))</f>
        <v>0</v>
      </c>
      <c r="AE241" s="39" t="n">
        <f aca="false">IF(AE$4=0,0,IF(COUNTIFS(実績!$W$6:$W$505,AE$3,実績!$AI$6:$AI$505,"&lt;="&amp;$A241,実績!$AJ$6:$AJ$505,"&gt;"&amp;$A241,実績!$AK$6:$AK$505,"○")&gt;0,1,0))</f>
        <v>0</v>
      </c>
      <c r="AF241" s="39" t="n">
        <f aca="false">IF(AF$4=0,0,IF(COUNTIFS(実績!$W$6:$W$505,AF$3,実績!$AI$6:$AI$505,"&lt;="&amp;$A241,実績!$AJ$6:$AJ$505,"&gt;"&amp;$A241,実績!$AK$6:$AK$505,"○")&gt;0,1,0))</f>
        <v>0</v>
      </c>
      <c r="AG241" s="39" t="n">
        <f aca="false">IF(AG$4=0,0,IF(COUNTIFS(実績!$W$6:$W$505,AG$3,実績!$AI$6:$AI$505,"&lt;="&amp;$A241,実績!$AJ$6:$AJ$505,"&gt;"&amp;$A241,実績!$AK$6:$AK$505,"○")&gt;0,1,0))</f>
        <v>0</v>
      </c>
      <c r="AH241" s="39" t="n">
        <f aca="false">IF(AH$4=0,0,IF(COUNTIFS(実績!$W$6:$W$505,AH$3,実績!$AI$6:$AI$505,"&lt;="&amp;$A241,実績!$AJ$6:$AJ$505,"&gt;"&amp;$A241,実績!$AK$6:$AK$505,"○")&gt;0,1,0))</f>
        <v>0</v>
      </c>
      <c r="AI241" s="39" t="n">
        <f aca="false">IF(AI$4=0,0,IF(COUNTIFS(実績!$W$6:$W$505,AI$3,実績!$AI$6:$AI$505,"&lt;="&amp;$A241,実績!$AJ$6:$AJ$505,"&gt;"&amp;$A241,実績!$AK$6:$AK$505,"○")&gt;0,1,0))</f>
        <v>0</v>
      </c>
      <c r="AJ241" s="39" t="n">
        <f aca="false">IF(AJ$4=0,0,IF(COUNTIFS(実績!$W$6:$W$505,AJ$3,実績!$AI$6:$AI$505,"&lt;="&amp;$A241,実績!$AJ$6:$AJ$505,"&gt;"&amp;$A241,実績!$AK$6:$AK$505,"○")&gt;0,1,0))</f>
        <v>0</v>
      </c>
      <c r="AK241" s="39" t="n">
        <f aca="false">IF(AK$4=0,0,IF(COUNTIFS(実績!$W$6:$W$505,AK$3,実績!$AI$6:$AI$505,"&lt;="&amp;$A241,実績!$AJ$6:$AJ$505,"&gt;"&amp;$A241,実績!$AK$6:$AK$505,"○")&gt;0,1,0))</f>
        <v>0</v>
      </c>
      <c r="AL241" s="39" t="n">
        <f aca="false">IF(AL$4=0,0,IF(COUNTIFS(実績!$W$6:$W$505,AL$3,実績!$AI$6:$AI$505,"&lt;="&amp;$A241,実績!$AJ$6:$AJ$505,"&gt;"&amp;$A241,実績!$AK$6:$AK$505,"○")&gt;0,1,0))</f>
        <v>0</v>
      </c>
      <c r="AM241" s="39" t="n">
        <f aca="false">IF(AM$4=0,0,IF(COUNTIFS(実績!$W$6:$W$505,AM$3,実績!$AI$6:$AI$505,"&lt;="&amp;$A241,実績!$AJ$6:$AJ$505,"&gt;"&amp;$A241,実績!$AK$6:$AK$505,"○")&gt;0,1,0))</f>
        <v>0</v>
      </c>
      <c r="AN241" s="39" t="n">
        <f aca="false">IF(AN$4=0,0,IF(COUNTIFS(実績!$W$6:$W$505,AN$3,実績!$AI$6:$AI$505,"&lt;="&amp;$A241,実績!$AJ$6:$AJ$505,"&gt;"&amp;$A241,実績!$AK$6:$AK$505,"○")&gt;0,1,0))</f>
        <v>0</v>
      </c>
      <c r="AO241" s="39" t="n">
        <f aca="false">IF(AO$4=0,0,IF(COUNTIFS(実績!$W$6:$W$505,AO$3,実績!$AI$6:$AI$505,"&lt;="&amp;$A241,実績!$AJ$6:$AJ$505,"&gt;"&amp;$A241,実績!$AK$6:$AK$505,"○")&gt;0,1,0))</f>
        <v>0</v>
      </c>
      <c r="AP241" s="39" t="n">
        <f aca="false">IF(AP$4=0,0,IF(COUNTIFS(実績!$W$6:$W$505,AP$3,実績!$AI$6:$AI$505,"&lt;="&amp;$A241,実績!$AJ$6:$AJ$505,"&gt;"&amp;$A241,実績!$AK$6:$AK$505,"○")&gt;0,1,0))</f>
        <v>0</v>
      </c>
      <c r="AQ241" s="39" t="n">
        <f aca="false">IF(AQ$4=0,0,IF(COUNTIFS(実績!$W$6:$W$505,AQ$3,実績!$AI$6:$AI$505,"&lt;="&amp;$A241,実績!$AJ$6:$AJ$505,"&gt;"&amp;$A241,実績!$AK$6:$AK$505,"○")&gt;0,1,0))</f>
        <v>0</v>
      </c>
      <c r="AR241" s="39" t="n">
        <f aca="false">IF(AR$4=0,0,IF(COUNTIFS(実績!$W$6:$W$505,AR$3,実績!$AI$6:$AI$505,"&lt;="&amp;$A241,実績!$AJ$6:$AJ$505,"&gt;"&amp;$A241,実績!$AK$6:$AK$505,"○")&gt;0,1,0))</f>
        <v>0</v>
      </c>
      <c r="AS241" s="39" t="n">
        <f aca="false">IF(AS$4=0,0,IF(COUNTIFS(実績!$W$6:$W$505,AS$3,実績!$AI$6:$AI$505,"&lt;="&amp;$A241,実績!$AJ$6:$AJ$505,"&gt;"&amp;$A241,実績!$AK$6:$AK$505,"○")&gt;0,1,0))</f>
        <v>0</v>
      </c>
      <c r="AT241" s="39" t="n">
        <f aca="false">IF(AT$4=0,0,IF(COUNTIFS(実績!$W$6:$W$505,AT$3,実績!$AI$6:$AI$505,"&lt;="&amp;$A241,実績!$AJ$6:$AJ$505,"&gt;"&amp;$A241,実績!$AK$6:$AK$505,"○")&gt;0,1,0))</f>
        <v>0</v>
      </c>
      <c r="AU241" s="39" t="n">
        <f aca="false">IF(AU$4=0,0,IF(COUNTIFS(実績!$W$6:$W$505,AU$3,実績!$AI$6:$AI$505,"&lt;="&amp;$A241,実績!$AJ$6:$AJ$505,"&gt;"&amp;$A241,実績!$AK$6:$AK$505,"○")&gt;0,1,0))</f>
        <v>0</v>
      </c>
      <c r="AV241" s="39" t="n">
        <f aca="false">IF(AV$4=0,0,IF(COUNTIFS(実績!$W$6:$W$505,AV$3,実績!$AI$6:$AI$505,"&lt;="&amp;$A241,実績!$AJ$6:$AJ$505,"&gt;"&amp;$A241,実績!$AK$6:$AK$505,"○")&gt;0,1,0))</f>
        <v>0</v>
      </c>
      <c r="AW241" s="39" t="n">
        <f aca="false">IF(AW$4=0,0,IF(COUNTIFS(実績!$W$6:$W$505,AW$3,実績!$AI$6:$AI$505,"&lt;="&amp;$A241,実績!$AJ$6:$AJ$505,"&gt;"&amp;$A241,実績!$AK$6:$AK$505,"○")&gt;0,1,0))</f>
        <v>0</v>
      </c>
      <c r="AX241" s="39" t="n">
        <f aca="false">IF(AX$4=0,0,IF(COUNTIFS(実績!$W$6:$W$505,AX$3,実績!$AI$6:$AI$505,"&lt;="&amp;$A241,実績!$AJ$6:$AJ$505,"&gt;"&amp;$A241,実績!$AK$6:$AK$505,"○")&gt;0,1,0))</f>
        <v>0</v>
      </c>
      <c r="AY241" s="39" t="n">
        <f aca="false">IF(AY$4=0,0,IF(COUNTIFS(実績!$W$6:$W$505,AY$3,実績!$AI$6:$AI$505,"&lt;="&amp;$A241,実績!$AJ$6:$AJ$505,"&gt;"&amp;$A241,実績!$AK$6:$AK$505,"○")&gt;0,1,0))</f>
        <v>0</v>
      </c>
      <c r="AZ241" s="39" t="n">
        <f aca="false">IF(AZ$4=0,0,IF(COUNTIFS(実績!$W$6:$W$505,AZ$3,実績!$AI$6:$AI$505,"&lt;="&amp;$A241,実績!$AJ$6:$AJ$505,"&gt;"&amp;$A241,実績!$AK$6:$AK$505,"○")&gt;0,1,0))</f>
        <v>0</v>
      </c>
      <c r="BA241" s="39" t="n">
        <f aca="false">IF(BA$4=0,0,IF(COUNTIFS(実績!$W$6:$W$505,BA$3,実績!$AI$6:$AI$505,"&lt;="&amp;$A241,実績!$AJ$6:$AJ$505,"&gt;"&amp;$A241,実績!$AK$6:$AK$505,"○")&gt;0,1,0))</f>
        <v>0</v>
      </c>
      <c r="BB241" s="39" t="n">
        <f aca="false">IF(BB$4=0,0,IF(COUNTIFS(実績!$W$6:$W$505,BB$3,実績!$AI$6:$AI$505,"&lt;="&amp;$A241,実績!$AJ$6:$AJ$505,"&gt;"&amp;$A241,実績!$AK$6:$AK$505,"○")&gt;0,1,0))</f>
        <v>0</v>
      </c>
      <c r="BC241" s="39" t="n">
        <f aca="false">IF(BC$4=0,0,IF(COUNTIFS(実績!$W$6:$W$505,BC$3,実績!$AI$6:$AI$505,"&lt;="&amp;$A241,実績!$AJ$6:$AJ$505,"&gt;"&amp;$A241,実績!$AK$6:$AK$505,"○")&gt;0,1,0))</f>
        <v>0</v>
      </c>
      <c r="BD241" s="39" t="n">
        <f aca="false">IF(BD$4=0,0,IF(COUNTIFS(実績!$W$6:$W$505,BD$3,実績!$AI$6:$AI$505,"&lt;="&amp;$A241,実績!$AJ$6:$AJ$505,"&gt;"&amp;$A241,実績!$AK$6:$AK$505,"○")&gt;0,1,0))</f>
        <v>0</v>
      </c>
      <c r="BE241" s="39" t="n">
        <f aca="false">IF(BE$4=0,0,IF(COUNTIFS(実績!$W$6:$W$505,BE$3,実績!$AI$6:$AI$505,"&lt;="&amp;$A241,実績!$AJ$6:$AJ$505,"&gt;"&amp;$A241,実績!$AK$6:$AK$505,"○")&gt;0,1,0))</f>
        <v>0</v>
      </c>
      <c r="BF241" s="39" t="n">
        <f aca="false">IF(BF$4=0,0,IF(COUNTIFS(実績!$W$6:$W$505,BF$3,実績!$AI$6:$AI$505,"&lt;="&amp;$A241,実績!$AJ$6:$AJ$505,"&gt;"&amp;$A241,実績!$AK$6:$AK$505,"○")&gt;0,1,0))</f>
        <v>0</v>
      </c>
      <c r="BG241" s="39" t="n">
        <f aca="false">IF(BG$4=0,0,IF(COUNTIFS(実績!$W$6:$W$505,BG$3,実績!$AI$6:$AI$505,"&lt;="&amp;$A241,実績!$AJ$6:$AJ$505,"&gt;"&amp;$A241,実績!$AK$6:$AK$505,"○")&gt;0,1,0))</f>
        <v>0</v>
      </c>
      <c r="BH241" s="39" t="n">
        <f aca="false">IF(BH$4=0,0,IF(COUNTIFS(実績!$W$6:$W$505,BH$3,実績!$AI$6:$AI$505,"&lt;="&amp;$A241,実績!$AJ$6:$AJ$505,"&gt;"&amp;$A241,実績!$AK$6:$AK$505,"○")&gt;0,1,0))</f>
        <v>0</v>
      </c>
      <c r="BI241" s="39" t="n">
        <f aca="false">IF(BI$4=0,0,IF(COUNTIFS(実績!$W$6:$W$505,BI$3,実績!$AI$6:$AI$505,"&lt;="&amp;$A241,実績!$AJ$6:$AJ$505,"&gt;"&amp;$A241,実績!$AK$6:$AK$505,"○")&gt;0,1,0))</f>
        <v>0</v>
      </c>
      <c r="BJ241" s="39" t="n">
        <f aca="false">IF(BJ$4=0,0,IF(COUNTIFS(実績!$W$6:$W$505,BJ$3,実績!$AI$6:$AI$505,"&lt;="&amp;$A241,実績!$AJ$6:$AJ$505,"&gt;"&amp;$A241,実績!$AK$6:$AK$505,"○")&gt;0,1,0))</f>
        <v>0</v>
      </c>
      <c r="BK241" s="39" t="n">
        <f aca="false">IF(BK$4=0,0,IF(COUNTIFS(実績!$W$6:$W$505,BK$3,実績!$AI$6:$AI$505,"&lt;="&amp;$A241,実績!$AJ$6:$AJ$505,"&gt;"&amp;$A241,実績!$AK$6:$AK$505,"○")&gt;0,1,0))</f>
        <v>0</v>
      </c>
      <c r="BL241" s="39" t="n">
        <f aca="false">IF(BL$4=0,0,IF(COUNTIFS(実績!$W$6:$W$505,BL$3,実績!$AI$6:$AI$505,"&lt;="&amp;$A241,実績!$AJ$6:$AJ$505,"&gt;"&amp;$A241,実績!$AK$6:$AK$505,"○")&gt;0,1,0))</f>
        <v>0</v>
      </c>
      <c r="BM241" s="39" t="n">
        <f aca="false">IF(BM$4=0,0,IF(COUNTIFS(実績!$W$6:$W$505,BM$3,実績!$AI$6:$AI$505,"&lt;="&amp;$A241,実績!$AJ$6:$AJ$505,"&gt;"&amp;$A241,実績!$AK$6:$AK$505,"○")&gt;0,1,0))</f>
        <v>0</v>
      </c>
      <c r="BN241" s="39" t="n">
        <f aca="false">IF(BN$4=0,0,IF(COUNTIFS(実績!$W$6:$W$505,BN$3,実績!$AI$6:$AI$505,"&lt;="&amp;$A241,実績!$AJ$6:$AJ$505,"&gt;"&amp;$A241,実績!$AK$6:$AK$505,"○")&gt;0,1,0))</f>
        <v>0</v>
      </c>
      <c r="BO241" s="39" t="n">
        <f aca="false">IF(BO$4=0,0,IF(COUNTIFS(実績!$W$6:$W$505,BO$3,実績!$AI$6:$AI$505,"&lt;="&amp;$A241,実績!$AJ$6:$AJ$505,"&gt;"&amp;$A241,実績!$AK$6:$AK$505,"○")&gt;0,1,0))</f>
        <v>0</v>
      </c>
      <c r="BP241" s="39" t="n">
        <f aca="false">IF(BP$4=0,0,IF(COUNTIFS(実績!$W$6:$W$505,BP$3,実績!$AI$6:$AI$505,"&lt;="&amp;$A241,実績!$AJ$6:$AJ$505,"&gt;"&amp;$A241,実績!$AK$6:$AK$505,"○")&gt;0,1,0))</f>
        <v>0</v>
      </c>
      <c r="BQ241" s="39" t="n">
        <f aca="false">IF(BQ$4=0,0,IF(COUNTIFS(実績!$W$6:$W$505,BQ$3,実績!$AI$6:$AI$505,"&lt;="&amp;$A241,実績!$AJ$6:$AJ$505,"&gt;"&amp;$A241,実績!$AK$6:$AK$505,"○")&gt;0,1,0))</f>
        <v>0</v>
      </c>
      <c r="BR241" s="39" t="n">
        <f aca="false">IF(BR$4=0,0,IF(COUNTIFS(実績!$W$6:$W$505,BR$3,実績!$AI$6:$AI$505,"&lt;="&amp;$A241,実績!$AJ$6:$AJ$505,"&gt;"&amp;$A241,実績!$AK$6:$AK$505,"○")&gt;0,1,0))</f>
        <v>0</v>
      </c>
      <c r="BS241" s="39" t="n">
        <f aca="false">IF(BS$4=0,0,IF(COUNTIFS(実績!$W$6:$W$505,BS$3,実績!$AI$6:$AI$505,"&lt;="&amp;$A241,実績!$AJ$6:$AJ$505,"&gt;"&amp;$A241,実績!$AK$6:$AK$505,"○")&gt;0,1,0))</f>
        <v>0</v>
      </c>
      <c r="BT241" s="39" t="n">
        <f aca="false">IF(BT$4=0,0,IF(COUNTIFS(実績!$W$6:$W$505,BT$3,実績!$AI$6:$AI$505,"&lt;="&amp;$A241,実績!$AJ$6:$AJ$505,"&gt;"&amp;$A241,実績!$AK$6:$AK$505,"○")&gt;0,1,0))</f>
        <v>0</v>
      </c>
      <c r="BU241" s="39" t="n">
        <f aca="false">IF(BU$4=0,0,IF(COUNTIFS(実績!$W$6:$W$505,BU$3,実績!$AI$6:$AI$505,"&lt;="&amp;$A241,実績!$AJ$6:$AJ$505,"&gt;"&amp;$A241,実績!$AK$6:$AK$505,"○")&gt;0,1,0))</f>
        <v>0</v>
      </c>
      <c r="BV241" s="39" t="n">
        <f aca="false">IF(BV$4=0,0,IF(COUNTIFS(実績!$W$6:$W$505,BV$3,実績!$AI$6:$AI$505,"&lt;="&amp;$A241,実績!$AJ$6:$AJ$505,"&gt;"&amp;$A241,実績!$AK$6:$AK$505,"○")&gt;0,1,0))</f>
        <v>0</v>
      </c>
      <c r="BW241" s="39" t="n">
        <f aca="false">IF(BW$4=0,0,IF(COUNTIFS(実績!$W$6:$W$505,BW$3,実績!$AI$6:$AI$505,"&lt;="&amp;$A241,実績!$AJ$6:$AJ$505,"&gt;"&amp;$A241,実績!$AK$6:$AK$505,"○")&gt;0,1,0))</f>
        <v>0</v>
      </c>
      <c r="BX241" s="39" t="n">
        <f aca="false">IF(BX$4=0,0,IF(COUNTIFS(実績!$W$6:$W$505,BX$3,実績!$AI$6:$AI$505,"&lt;="&amp;$A241,実績!$AJ$6:$AJ$505,"&gt;"&amp;$A241,実績!$AK$6:$AK$505,"○")&gt;0,1,0))</f>
        <v>0</v>
      </c>
      <c r="BY241" s="39" t="n">
        <f aca="false">IF(BY$4=0,0,IF(COUNTIFS(実績!$W$6:$W$505,BY$3,実績!$AI$6:$AI$505,"&lt;="&amp;$A241,実績!$AJ$6:$AJ$505,"&gt;"&amp;$A241,実績!$AK$6:$AK$505,"○")&gt;0,1,0))</f>
        <v>0</v>
      </c>
      <c r="BZ241" s="39" t="n">
        <f aca="false">IF(BZ$4=0,0,IF(COUNTIFS(実績!$W$6:$W$505,BZ$3,実績!$AI$6:$AI$505,"&lt;="&amp;$A241,実績!$AJ$6:$AJ$505,"&gt;"&amp;$A241,実績!$AK$6:$AK$505,"○")&gt;0,1,0))</f>
        <v>0</v>
      </c>
      <c r="CA241" s="39" t="n">
        <f aca="false">IF(CA$4=0,0,IF(COUNTIFS(実績!$W$6:$W$505,CA$3,実績!$AI$6:$AI$505,"&lt;="&amp;$A241,実績!$AJ$6:$AJ$505,"&gt;"&amp;$A241,実績!$AK$6:$AK$505,"○")&gt;0,1,0))</f>
        <v>0</v>
      </c>
      <c r="CB241" s="39" t="n">
        <f aca="false">IF(CB$4=0,0,IF(COUNTIFS(実績!$W$6:$W$505,CB$3,実績!$AI$6:$AI$505,"&lt;="&amp;$A241,実績!$AJ$6:$AJ$505,"&gt;"&amp;$A241,実績!$AK$6:$AK$505,"○")&gt;0,1,0))</f>
        <v>0</v>
      </c>
      <c r="CC241" s="39" t="n">
        <f aca="false">IF(CC$4=0,0,IF(COUNTIFS(実績!$W$6:$W$505,CC$3,実績!$AI$6:$AI$505,"&lt;="&amp;$A241,実績!$AJ$6:$AJ$505,"&gt;"&amp;$A241,実績!$AK$6:$AK$505,"○")&gt;0,1,0))</f>
        <v>0</v>
      </c>
      <c r="CD241" s="39" t="n">
        <f aca="false">IF(CD$4=0,0,IF(COUNTIFS(実績!$W$6:$W$505,CD$3,実績!$AI$6:$AI$505,"&lt;="&amp;$A241,実績!$AJ$6:$AJ$505,"&gt;"&amp;$A241,実績!$AK$6:$AK$505,"○")&gt;0,1,0))</f>
        <v>0</v>
      </c>
      <c r="CE241" s="39" t="n">
        <f aca="false">IF(CE$4=0,0,IF(COUNTIFS(実績!$W$6:$W$505,CE$3,実績!$AI$6:$AI$505,"&lt;="&amp;$A241,実績!$AJ$6:$AJ$505,"&gt;"&amp;$A241,実績!$AK$6:$AK$505,"○")&gt;0,1,0))</f>
        <v>0</v>
      </c>
      <c r="CF241" s="39" t="n">
        <f aca="false">IF(CF$4=0,0,IF(COUNTIFS(実績!$W$6:$W$505,CF$3,実績!$AI$6:$AI$505,"&lt;="&amp;$A241,実績!$AJ$6:$AJ$505,"&gt;"&amp;$A241,実績!$AK$6:$AK$505,"○")&gt;0,1,0))</f>
        <v>0</v>
      </c>
      <c r="CG241" s="39" t="n">
        <f aca="false">IF(CG$4=0,0,IF(COUNTIFS(実績!$W$6:$W$505,CG$3,実績!$AI$6:$AI$505,"&lt;="&amp;$A241,実績!$AJ$6:$AJ$505,"&gt;"&amp;$A241,実績!$AK$6:$AK$505,"○")&gt;0,1,0))</f>
        <v>0</v>
      </c>
      <c r="CH241" s="39" t="n">
        <f aca="false">IF(CH$4=0,0,IF(COUNTIFS(実績!$W$6:$W$505,CH$3,実績!$AI$6:$AI$505,"&lt;="&amp;$A241,実績!$AJ$6:$AJ$505,"&gt;"&amp;$A241,実績!$AK$6:$AK$505,"○")&gt;0,1,0))</f>
        <v>0</v>
      </c>
      <c r="CI241" s="39" t="n">
        <f aca="false">IF(CI$4=0,0,IF(COUNTIFS(実績!$W$6:$W$505,CI$3,実績!$AI$6:$AI$505,"&lt;="&amp;$A241,実績!$AJ$6:$AJ$505,"&gt;"&amp;$A241,実績!$AK$6:$AK$505,"○")&gt;0,1,0))</f>
        <v>0</v>
      </c>
      <c r="CJ241" s="39" t="n">
        <f aca="false">IF(CJ$4=0,0,IF(COUNTIFS(実績!$W$6:$W$505,CJ$3,実績!$AI$6:$AI$505,"&lt;="&amp;$A241,実績!$AJ$6:$AJ$505,"&gt;"&amp;$A241,実績!$AK$6:$AK$505,"○")&gt;0,1,0))</f>
        <v>0</v>
      </c>
      <c r="CK241" s="39" t="n">
        <f aca="false">IF(CK$4=0,0,IF(COUNTIFS(実績!$W$6:$W$505,CK$3,実績!$AI$6:$AI$505,"&lt;="&amp;$A241,実績!$AJ$6:$AJ$505,"&gt;"&amp;$A241,実績!$AK$6:$AK$505,"○")&gt;0,1,0))</f>
        <v>0</v>
      </c>
      <c r="CL241" s="39" t="n">
        <f aca="false">IF(CL$4=0,0,IF(COUNTIFS(実績!$W$6:$W$505,CL$3,実績!$AI$6:$AI$505,"&lt;="&amp;$A241,実績!$AJ$6:$AJ$505,"&gt;"&amp;$A241,実績!$AK$6:$AK$505,"○")&gt;0,1,0))</f>
        <v>0</v>
      </c>
      <c r="CM241" s="39" t="n">
        <f aca="false">IF(CM$4=0,0,IF(COUNTIFS(実績!$W$6:$W$505,CM$3,実績!$AI$6:$AI$505,"&lt;="&amp;$A241,実績!$AJ$6:$AJ$505,"&gt;"&amp;$A241,実績!$AK$6:$AK$505,"○")&gt;0,1,0))</f>
        <v>0</v>
      </c>
      <c r="CN241" s="39" t="n">
        <f aca="false">IF(CN$4=0,0,IF(COUNTIFS(実績!$W$6:$W$505,CN$3,実績!$AI$6:$AI$505,"&lt;="&amp;$A241,実績!$AJ$6:$AJ$505,"&gt;"&amp;$A241,実績!$AK$6:$AK$505,"○")&gt;0,1,0))</f>
        <v>0</v>
      </c>
      <c r="CO241" s="39" t="n">
        <f aca="false">IF(CO$4=0,0,IF(COUNTIFS(実績!$W$6:$W$505,CO$3,実績!$AI$6:$AI$505,"&lt;="&amp;$A241,実績!$AJ$6:$AJ$505,"&gt;"&amp;$A241,実績!$AK$6:$AK$505,"○")&gt;0,1,0))</f>
        <v>0</v>
      </c>
      <c r="CP241" s="39" t="n">
        <f aca="false">IF(CP$4=0,0,IF(COUNTIFS(実績!$W$6:$W$505,CP$3,実績!$AI$6:$AI$505,"&lt;="&amp;$A241,実績!$AJ$6:$AJ$505,"&gt;"&amp;$A241,実績!$AK$6:$AK$505,"○")&gt;0,1,0))</f>
        <v>0</v>
      </c>
      <c r="CQ241" s="39" t="n">
        <f aca="false">IF(CQ$4=0,0,IF(COUNTIFS(実績!$W$6:$W$505,CQ$3,実績!$AI$6:$AI$505,"&lt;="&amp;$A241,実績!$AJ$6:$AJ$505,"&gt;"&amp;$A241,実績!$AK$6:$AK$505,"○")&gt;0,1,0))</f>
        <v>0</v>
      </c>
      <c r="CR241" s="39" t="n">
        <f aca="false">IF(CR$4=0,0,IF(COUNTIFS(実績!$W$6:$W$505,CR$3,実績!$AI$6:$AI$505,"&lt;="&amp;$A241,実績!$AJ$6:$AJ$505,"&gt;"&amp;$A241,実績!$AK$6:$AK$505,"○")&gt;0,1,0))</f>
        <v>0</v>
      </c>
      <c r="CS241" s="39" t="n">
        <f aca="false">IF(CS$4=0,0,IF(COUNTIFS(実績!$W$6:$W$505,CS$3,実績!$AI$6:$AI$505,"&lt;="&amp;$A241,実績!$AJ$6:$AJ$505,"&gt;"&amp;$A241,実績!$AK$6:$AK$505,"○")&gt;0,1,0))</f>
        <v>0</v>
      </c>
      <c r="CT241" s="39" t="n">
        <f aca="false">IF(CT$4=0,0,IF(COUNTIFS(実績!$W$6:$W$505,CT$3,実績!$AI$6:$AI$505,"&lt;="&amp;$A241,実績!$AJ$6:$AJ$505,"&gt;"&amp;$A241,実績!$AK$6:$AK$505,"○")&gt;0,1,0))</f>
        <v>0</v>
      </c>
      <c r="CU241" s="39" t="n">
        <f aca="false">IF(CU$4=0,0,IF(COUNTIFS(実績!$W$6:$W$505,CU$3,実績!$AI$6:$AI$505,"&lt;="&amp;$A241,実績!$AJ$6:$AJ$505,"&gt;"&amp;$A241,実績!$AK$6:$AK$505,"○")&gt;0,1,0))</f>
        <v>0</v>
      </c>
      <c r="CV241" s="39" t="n">
        <f aca="false">IF(CV$4=0,0,IF(COUNTIFS(実績!$W$6:$W$505,CV$3,実績!$AI$6:$AI$505,"&lt;="&amp;$A241,実績!$AJ$6:$AJ$505,"&gt;"&amp;$A241,実績!$AK$6:$AK$505,"○")&gt;0,1,0))</f>
        <v>0</v>
      </c>
      <c r="CW241" s="39" t="n">
        <f aca="false">IF(CW$4=0,0,IF(COUNTIFS(実績!$W$6:$W$505,CW$3,実績!$AI$6:$AI$505,"&lt;="&amp;$A241,実績!$AJ$6:$AJ$505,"&gt;"&amp;$A241,実績!$AK$6:$AK$505,"○")&gt;0,1,0))</f>
        <v>0</v>
      </c>
      <c r="CX241" s="39" t="n">
        <f aca="false">IF(CX$4=0,0,IF(COUNTIFS(実績!$W$6:$W$505,CX$3,実績!$AI$6:$AI$505,"&lt;="&amp;$A241,実績!$AJ$6:$AJ$505,"&gt;"&amp;$A241,実績!$AK$6:$AK$505,"○")&gt;0,1,0))</f>
        <v>0</v>
      </c>
      <c r="CY241" s="39" t="n">
        <f aca="false">IF(CY$4=0,0,IF(COUNTIFS(実績!$W$6:$W$505,CY$3,実績!$AI$6:$AI$505,"&lt;="&amp;$A241,実績!$AJ$6:$AJ$505,"&gt;"&amp;$A241,実績!$AK$6:$AK$505,"○")&gt;0,1,0))</f>
        <v>0</v>
      </c>
      <c r="CZ241" s="39" t="n">
        <f aca="false">IF(CZ$4=0,0,IF(COUNTIFS(実績!$W$6:$W$505,CZ$3,実績!$AI$6:$AI$505,"&lt;="&amp;$A241,実績!$AJ$6:$AJ$505,"&gt;"&amp;$A241,実績!$AK$6:$AK$505,"○")&gt;0,1,0))</f>
        <v>0</v>
      </c>
      <c r="DA241" s="39" t="n">
        <f aca="false">IF(DA$4=0,0,IF(COUNTIFS(実績!$W$6:$W$505,DA$3,実績!$AI$6:$AI$505,"&lt;="&amp;$A241,実績!$AJ$6:$AJ$505,"&gt;"&amp;$A241,実績!$AK$6:$AK$505,"○")&gt;0,1,0))</f>
        <v>0</v>
      </c>
      <c r="DB241" s="39" t="n">
        <f aca="false">IF(DB$4=0,0,IF(COUNTIFS(実績!$W$6:$W$505,DB$3,実績!$AI$6:$AI$505,"&lt;="&amp;$A241,実績!$AJ$6:$AJ$505,"&gt;"&amp;$A241,実績!$AK$6:$AK$505,"○")&gt;0,1,0))</f>
        <v>0</v>
      </c>
      <c r="DC241" s="39" t="n">
        <f aca="false">IF(DC$4=0,0,IF(COUNTIFS(実績!$W$6:$W$505,DC$3,実績!$AI$6:$AI$505,"&lt;="&amp;$A241,実績!$AJ$6:$AJ$505,"&gt;"&amp;$A241,実績!$AK$6:$AK$505,"○")&gt;0,1,0))</f>
        <v>0</v>
      </c>
      <c r="DD241" s="39" t="n">
        <f aca="false">IF(DD$4=0,0,IF(COUNTIFS(実績!$W$6:$W$505,DD$3,実績!$AI$6:$AI$505,"&lt;="&amp;$A241,実績!$AJ$6:$AJ$505,"&gt;"&amp;$A241,実績!$AK$6:$AK$505,"○")&gt;0,1,0))</f>
        <v>0</v>
      </c>
      <c r="DE241" s="39" t="n">
        <f aca="false">IF(DE$4=0,0,IF(COUNTIFS(実績!$W$6:$W$505,DE$3,実績!$AI$6:$AI$505,"&lt;="&amp;$A241,実績!$AJ$6:$AJ$505,"&gt;"&amp;$A241,実績!$AK$6:$AK$505,"○")&gt;0,1,0))</f>
        <v>0</v>
      </c>
      <c r="DF241" s="39" t="n">
        <f aca="false">IF(DF$4=0,0,IF(COUNTIFS(実績!$W$6:$W$505,DF$3,実績!$AI$6:$AI$505,"&lt;="&amp;$A241,実績!$AJ$6:$AJ$505,"&gt;"&amp;$A241,実績!$AK$6:$AK$505,"○")&gt;0,1,0))</f>
        <v>0</v>
      </c>
      <c r="DG241" s="39" t="n">
        <f aca="false">IF(DG$4=0,0,IF(COUNTIFS(実績!$W$6:$W$505,DG$3,実績!$AI$6:$AI$505,"&lt;="&amp;$A241,実績!$AJ$6:$AJ$505,"&gt;"&amp;$A241,実績!$AK$6:$AK$505,"○")&gt;0,1,0))</f>
        <v>0</v>
      </c>
      <c r="DH241" s="39" t="n">
        <f aca="false">IF(DH$4=0,0,IF(COUNTIFS(実績!$W$6:$W$505,DH$3,実績!$AI$6:$AI$505,"&lt;="&amp;$A241,実績!$AJ$6:$AJ$505,"&gt;"&amp;$A241,実績!$AK$6:$AK$505,"○")&gt;0,1,0))</f>
        <v>0</v>
      </c>
      <c r="DI241" s="39" t="n">
        <f aca="false">IF(DI$4=0,0,IF(COUNTIFS(実績!$W$6:$W$505,DI$3,実績!$AI$6:$AI$505,"&lt;="&amp;$A241,実績!$AJ$6:$AJ$505,"&gt;"&amp;$A241,実績!$AK$6:$AK$505,"○")&gt;0,1,0))</f>
        <v>0</v>
      </c>
      <c r="DJ241" s="39" t="n">
        <f aca="false">IF(DJ$4=0,0,IF(COUNTIFS(実績!$W$6:$W$505,DJ$3,実績!$AI$6:$AI$505,"&lt;="&amp;$A241,実績!$AJ$6:$AJ$505,"&gt;"&amp;$A241,実績!$AK$6:$AK$505,"○")&gt;0,1,0))</f>
        <v>0</v>
      </c>
      <c r="DK241" s="39" t="n">
        <f aca="false">IF(DK$4=0,0,IF(COUNTIFS(実績!$W$6:$W$505,DK$3,実績!$AI$6:$AI$505,"&lt;="&amp;$A241,実績!$AJ$6:$AJ$505,"&gt;"&amp;$A241,実績!$AK$6:$AK$505,"○")&gt;0,1,0))</f>
        <v>0</v>
      </c>
      <c r="DL241" s="39" t="n">
        <f aca="false">IF(DL$4=0,0,IF(COUNTIFS(実績!$W$6:$W$505,DL$3,実績!$AI$6:$AI$505,"&lt;="&amp;$A241,実績!$AJ$6:$AJ$505,"&gt;"&amp;$A241,実績!$AK$6:$AK$505,"○")&gt;0,1,0))</f>
        <v>0</v>
      </c>
      <c r="DM241" s="39" t="n">
        <f aca="false">IF(DM$4=0,0,IF(COUNTIFS(実績!$W$6:$W$505,DM$3,実績!$AI$6:$AI$505,"&lt;="&amp;$A241,実績!$AJ$6:$AJ$505,"&gt;"&amp;$A241,実績!$AK$6:$AK$505,"○")&gt;0,1,0))</f>
        <v>0</v>
      </c>
      <c r="DN241" s="39" t="n">
        <f aca="false">IF(DN$4=0,0,IF(COUNTIFS(実績!$W$6:$W$505,DN$3,実績!$AI$6:$AI$505,"&lt;="&amp;$A241,実績!$AJ$6:$AJ$505,"&gt;"&amp;$A241,実績!$AK$6:$AK$505,"○")&gt;0,1,0))</f>
        <v>0</v>
      </c>
      <c r="DO241" s="39" t="n">
        <f aca="false">IF(DO$4=0,0,IF(COUNTIFS(実績!$W$6:$W$505,DO$3,実績!$AI$6:$AI$505,"&lt;="&amp;$A241,実績!$AJ$6:$AJ$505,"&gt;"&amp;$A241,実績!$AK$6:$AK$505,"○")&gt;0,1,0))</f>
        <v>0</v>
      </c>
      <c r="DP241" s="39" t="n">
        <f aca="false">IF(DP$4=0,0,IF(COUNTIFS(実績!$W$6:$W$505,DP$3,実績!$AI$6:$AI$505,"&lt;="&amp;$A241,実績!$AJ$6:$AJ$505,"&gt;"&amp;$A241,実績!$AK$6:$AK$505,"○")&gt;0,1,0))</f>
        <v>0</v>
      </c>
      <c r="DQ241" s="39" t="n">
        <f aca="false">IF(DQ$4=0,0,IF(COUNTIFS(実績!$W$6:$W$505,DQ$3,実績!$AI$6:$AI$505,"&lt;="&amp;$A241,実績!$AJ$6:$AJ$505,"&gt;"&amp;$A241,実績!$AK$6:$AK$505,"○")&gt;0,1,0))</f>
        <v>0</v>
      </c>
      <c r="DR241" s="39" t="n">
        <f aca="false">IF(DR$4=0,0,IF(COUNTIFS(実績!$W$6:$W$505,DR$3,実績!$AI$6:$AI$505,"&lt;="&amp;$A241,実績!$AJ$6:$AJ$505,"&gt;"&amp;$A241,実績!$AK$6:$AK$505,"○")&gt;0,1,0))</f>
        <v>0</v>
      </c>
      <c r="DS241" s="39" t="n">
        <f aca="false">SUM(C241:DR241)</f>
        <v>0</v>
      </c>
      <c r="DT241" s="39" t="n">
        <f aca="false">SUMPRODUCT((実績!$C$6:$C$505="○")*ISNUMBER(実績!$AM$6:$AM$505)*(実績!$AM$6:$AM$505&lt;=$A241)*(実績!$AN$6:$AN$505&gt;$A241))</f>
        <v>0</v>
      </c>
      <c r="DU241" s="39" t="n">
        <f aca="false">SUMIF($C$2:$DR$2,"製鉄曳船",C241:DR241)</f>
        <v>0</v>
      </c>
      <c r="DV241" s="39" t="n">
        <f aca="false">SUMIF($C$2:$DR$2,"西日本海運",C241:DR241)</f>
        <v>0</v>
      </c>
    </row>
    <row r="242" customFormat="false" ht="15" hidden="false" customHeight="false" outlineLevel="0" collapsed="false">
      <c r="A242" s="0" t="n">
        <v>1180</v>
      </c>
      <c r="B242" s="38" t="n">
        <f aca="false">A242/1440</f>
        <v>0.819444444444444</v>
      </c>
      <c r="C242" s="39" t="n">
        <f aca="false">IF(C$4=0,0,IF(COUNTIFS(実績!$W$6:$W$505,C$3,実績!$AI$6:$AI$505,"&lt;="&amp;$A242,実績!$AJ$6:$AJ$505,"&gt;"&amp;$A242,実績!$AK$6:$AK$505,"○")&gt;0,1,0))</f>
        <v>0</v>
      </c>
      <c r="D242" s="39" t="n">
        <f aca="false">IF(D$4=0,0,IF(COUNTIFS(実績!$W$6:$W$505,D$3,実績!$AI$6:$AI$505,"&lt;="&amp;$A242,実績!$AJ$6:$AJ$505,"&gt;"&amp;$A242,実績!$AK$6:$AK$505,"○")&gt;0,1,0))</f>
        <v>0</v>
      </c>
      <c r="E242" s="39" t="n">
        <f aca="false">IF(E$4=0,0,IF(COUNTIFS(実績!$W$6:$W$505,E$3,実績!$AI$6:$AI$505,"&lt;="&amp;$A242,実績!$AJ$6:$AJ$505,"&gt;"&amp;$A242,実績!$AK$6:$AK$505,"○")&gt;0,1,0))</f>
        <v>0</v>
      </c>
      <c r="F242" s="39" t="n">
        <f aca="false">IF(F$4=0,0,IF(COUNTIFS(実績!$W$6:$W$505,F$3,実績!$AI$6:$AI$505,"&lt;="&amp;$A242,実績!$AJ$6:$AJ$505,"&gt;"&amp;$A242,実績!$AK$6:$AK$505,"○")&gt;0,1,0))</f>
        <v>0</v>
      </c>
      <c r="G242" s="39" t="n">
        <f aca="false">IF(G$4=0,0,IF(COUNTIFS(実績!$W$6:$W$505,G$3,実績!$AI$6:$AI$505,"&lt;="&amp;$A242,実績!$AJ$6:$AJ$505,"&gt;"&amp;$A242,実績!$AK$6:$AK$505,"○")&gt;0,1,0))</f>
        <v>0</v>
      </c>
      <c r="H242" s="39" t="n">
        <f aca="false">IF(H$4=0,0,IF(COUNTIFS(実績!$W$6:$W$505,H$3,実績!$AI$6:$AI$505,"&lt;="&amp;$A242,実績!$AJ$6:$AJ$505,"&gt;"&amp;$A242,実績!$AK$6:$AK$505,"○")&gt;0,1,0))</f>
        <v>0</v>
      </c>
      <c r="I242" s="39" t="n">
        <f aca="false">IF(I$4=0,0,IF(COUNTIFS(実績!$W$6:$W$505,I$3,実績!$AI$6:$AI$505,"&lt;="&amp;$A242,実績!$AJ$6:$AJ$505,"&gt;"&amp;$A242,実績!$AK$6:$AK$505,"○")&gt;0,1,0))</f>
        <v>0</v>
      </c>
      <c r="J242" s="39" t="n">
        <f aca="false">IF(J$4=0,0,IF(COUNTIFS(実績!$W$6:$W$505,J$3,実績!$AI$6:$AI$505,"&lt;="&amp;$A242,実績!$AJ$6:$AJ$505,"&gt;"&amp;$A242,実績!$AK$6:$AK$505,"○")&gt;0,1,0))</f>
        <v>0</v>
      </c>
      <c r="K242" s="39" t="n">
        <f aca="false">IF(K$4=0,0,IF(COUNTIFS(実績!$W$6:$W$505,K$3,実績!$AI$6:$AI$505,"&lt;="&amp;$A242,実績!$AJ$6:$AJ$505,"&gt;"&amp;$A242,実績!$AK$6:$AK$505,"○")&gt;0,1,0))</f>
        <v>0</v>
      </c>
      <c r="L242" s="39" t="n">
        <f aca="false">IF(L$4=0,0,IF(COUNTIFS(実績!$W$6:$W$505,L$3,実績!$AI$6:$AI$505,"&lt;="&amp;$A242,実績!$AJ$6:$AJ$505,"&gt;"&amp;$A242,実績!$AK$6:$AK$505,"○")&gt;0,1,0))</f>
        <v>0</v>
      </c>
      <c r="M242" s="39" t="n">
        <f aca="false">IF(M$4=0,0,IF(COUNTIFS(実績!$W$6:$W$505,M$3,実績!$AI$6:$AI$505,"&lt;="&amp;$A242,実績!$AJ$6:$AJ$505,"&gt;"&amp;$A242,実績!$AK$6:$AK$505,"○")&gt;0,1,0))</f>
        <v>0</v>
      </c>
      <c r="N242" s="39" t="n">
        <f aca="false">IF(N$4=0,0,IF(COUNTIFS(実績!$W$6:$W$505,N$3,実績!$AI$6:$AI$505,"&lt;="&amp;$A242,実績!$AJ$6:$AJ$505,"&gt;"&amp;$A242,実績!$AK$6:$AK$505,"○")&gt;0,1,0))</f>
        <v>0</v>
      </c>
      <c r="O242" s="39" t="n">
        <f aca="false">IF(O$4=0,0,IF(COUNTIFS(実績!$W$6:$W$505,O$3,実績!$AI$6:$AI$505,"&lt;="&amp;$A242,実績!$AJ$6:$AJ$505,"&gt;"&amp;$A242,実績!$AK$6:$AK$505,"○")&gt;0,1,0))</f>
        <v>0</v>
      </c>
      <c r="P242" s="39" t="n">
        <f aca="false">IF(P$4=0,0,IF(COUNTIFS(実績!$W$6:$W$505,P$3,実績!$AI$6:$AI$505,"&lt;="&amp;$A242,実績!$AJ$6:$AJ$505,"&gt;"&amp;$A242,実績!$AK$6:$AK$505,"○")&gt;0,1,0))</f>
        <v>0</v>
      </c>
      <c r="Q242" s="39" t="n">
        <f aca="false">IF(Q$4=0,0,IF(COUNTIFS(実績!$W$6:$W$505,Q$3,実績!$AI$6:$AI$505,"&lt;="&amp;$A242,実績!$AJ$6:$AJ$505,"&gt;"&amp;$A242,実績!$AK$6:$AK$505,"○")&gt;0,1,0))</f>
        <v>0</v>
      </c>
      <c r="R242" s="39" t="n">
        <f aca="false">IF(R$4=0,0,IF(COUNTIFS(実績!$W$6:$W$505,R$3,実績!$AI$6:$AI$505,"&lt;="&amp;$A242,実績!$AJ$6:$AJ$505,"&gt;"&amp;$A242,実績!$AK$6:$AK$505,"○")&gt;0,1,0))</f>
        <v>0</v>
      </c>
      <c r="S242" s="39" t="n">
        <f aca="false">IF(S$4=0,0,IF(COUNTIFS(実績!$W$6:$W$505,S$3,実績!$AI$6:$AI$505,"&lt;="&amp;$A242,実績!$AJ$6:$AJ$505,"&gt;"&amp;$A242,実績!$AK$6:$AK$505,"○")&gt;0,1,0))</f>
        <v>0</v>
      </c>
      <c r="T242" s="39" t="n">
        <f aca="false">IF(T$4=0,0,IF(COUNTIFS(実績!$W$6:$W$505,T$3,実績!$AI$6:$AI$505,"&lt;="&amp;$A242,実績!$AJ$6:$AJ$505,"&gt;"&amp;$A242,実績!$AK$6:$AK$505,"○")&gt;0,1,0))</f>
        <v>0</v>
      </c>
      <c r="U242" s="39" t="n">
        <f aca="false">IF(U$4=0,0,IF(COUNTIFS(実績!$W$6:$W$505,U$3,実績!$AI$6:$AI$505,"&lt;="&amp;$A242,実績!$AJ$6:$AJ$505,"&gt;"&amp;$A242,実績!$AK$6:$AK$505,"○")&gt;0,1,0))</f>
        <v>0</v>
      </c>
      <c r="V242" s="39" t="n">
        <f aca="false">IF(V$4=0,0,IF(COUNTIFS(実績!$W$6:$W$505,V$3,実績!$AI$6:$AI$505,"&lt;="&amp;$A242,実績!$AJ$6:$AJ$505,"&gt;"&amp;$A242,実績!$AK$6:$AK$505,"○")&gt;0,1,0))</f>
        <v>0</v>
      </c>
      <c r="W242" s="39" t="n">
        <f aca="false">IF(W$4=0,0,IF(COUNTIFS(実績!$W$6:$W$505,W$3,実績!$AI$6:$AI$505,"&lt;="&amp;$A242,実績!$AJ$6:$AJ$505,"&gt;"&amp;$A242,実績!$AK$6:$AK$505,"○")&gt;0,1,0))</f>
        <v>0</v>
      </c>
      <c r="X242" s="39" t="n">
        <f aca="false">IF(X$4=0,0,IF(COUNTIFS(実績!$W$6:$W$505,X$3,実績!$AI$6:$AI$505,"&lt;="&amp;$A242,実績!$AJ$6:$AJ$505,"&gt;"&amp;$A242,実績!$AK$6:$AK$505,"○")&gt;0,1,0))</f>
        <v>0</v>
      </c>
      <c r="Y242" s="39" t="n">
        <f aca="false">IF(Y$4=0,0,IF(COUNTIFS(実績!$W$6:$W$505,Y$3,実績!$AI$6:$AI$505,"&lt;="&amp;$A242,実績!$AJ$6:$AJ$505,"&gt;"&amp;$A242,実績!$AK$6:$AK$505,"○")&gt;0,1,0))</f>
        <v>0</v>
      </c>
      <c r="Z242" s="39" t="n">
        <f aca="false">IF(Z$4=0,0,IF(COUNTIFS(実績!$W$6:$W$505,Z$3,実績!$AI$6:$AI$505,"&lt;="&amp;$A242,実績!$AJ$6:$AJ$505,"&gt;"&amp;$A242,実績!$AK$6:$AK$505,"○")&gt;0,1,0))</f>
        <v>0</v>
      </c>
      <c r="AA242" s="39" t="n">
        <f aca="false">IF(AA$4=0,0,IF(COUNTIFS(実績!$W$6:$W$505,AA$3,実績!$AI$6:$AI$505,"&lt;="&amp;$A242,実績!$AJ$6:$AJ$505,"&gt;"&amp;$A242,実績!$AK$6:$AK$505,"○")&gt;0,1,0))</f>
        <v>0</v>
      </c>
      <c r="AB242" s="39" t="n">
        <f aca="false">IF(AB$4=0,0,IF(COUNTIFS(実績!$W$6:$W$505,AB$3,実績!$AI$6:$AI$505,"&lt;="&amp;$A242,実績!$AJ$6:$AJ$505,"&gt;"&amp;$A242,実績!$AK$6:$AK$505,"○")&gt;0,1,0))</f>
        <v>0</v>
      </c>
      <c r="AC242" s="39" t="n">
        <f aca="false">IF(AC$4=0,0,IF(COUNTIFS(実績!$W$6:$W$505,AC$3,実績!$AI$6:$AI$505,"&lt;="&amp;$A242,実績!$AJ$6:$AJ$505,"&gt;"&amp;$A242,実績!$AK$6:$AK$505,"○")&gt;0,1,0))</f>
        <v>0</v>
      </c>
      <c r="AD242" s="39" t="n">
        <f aca="false">IF(AD$4=0,0,IF(COUNTIFS(実績!$W$6:$W$505,AD$3,実績!$AI$6:$AI$505,"&lt;="&amp;$A242,実績!$AJ$6:$AJ$505,"&gt;"&amp;$A242,実績!$AK$6:$AK$505,"○")&gt;0,1,0))</f>
        <v>0</v>
      </c>
      <c r="AE242" s="39" t="n">
        <f aca="false">IF(AE$4=0,0,IF(COUNTIFS(実績!$W$6:$W$505,AE$3,実績!$AI$6:$AI$505,"&lt;="&amp;$A242,実績!$AJ$6:$AJ$505,"&gt;"&amp;$A242,実績!$AK$6:$AK$505,"○")&gt;0,1,0))</f>
        <v>0</v>
      </c>
      <c r="AF242" s="39" t="n">
        <f aca="false">IF(AF$4=0,0,IF(COUNTIFS(実績!$W$6:$W$505,AF$3,実績!$AI$6:$AI$505,"&lt;="&amp;$A242,実績!$AJ$6:$AJ$505,"&gt;"&amp;$A242,実績!$AK$6:$AK$505,"○")&gt;0,1,0))</f>
        <v>0</v>
      </c>
      <c r="AG242" s="39" t="n">
        <f aca="false">IF(AG$4=0,0,IF(COUNTIFS(実績!$W$6:$W$505,AG$3,実績!$AI$6:$AI$505,"&lt;="&amp;$A242,実績!$AJ$6:$AJ$505,"&gt;"&amp;$A242,実績!$AK$6:$AK$505,"○")&gt;0,1,0))</f>
        <v>0</v>
      </c>
      <c r="AH242" s="39" t="n">
        <f aca="false">IF(AH$4=0,0,IF(COUNTIFS(実績!$W$6:$W$505,AH$3,実績!$AI$6:$AI$505,"&lt;="&amp;$A242,実績!$AJ$6:$AJ$505,"&gt;"&amp;$A242,実績!$AK$6:$AK$505,"○")&gt;0,1,0))</f>
        <v>0</v>
      </c>
      <c r="AI242" s="39" t="n">
        <f aca="false">IF(AI$4=0,0,IF(COUNTIFS(実績!$W$6:$W$505,AI$3,実績!$AI$6:$AI$505,"&lt;="&amp;$A242,実績!$AJ$6:$AJ$505,"&gt;"&amp;$A242,実績!$AK$6:$AK$505,"○")&gt;0,1,0))</f>
        <v>0</v>
      </c>
      <c r="AJ242" s="39" t="n">
        <f aca="false">IF(AJ$4=0,0,IF(COUNTIFS(実績!$W$6:$W$505,AJ$3,実績!$AI$6:$AI$505,"&lt;="&amp;$A242,実績!$AJ$6:$AJ$505,"&gt;"&amp;$A242,実績!$AK$6:$AK$505,"○")&gt;0,1,0))</f>
        <v>0</v>
      </c>
      <c r="AK242" s="39" t="n">
        <f aca="false">IF(AK$4=0,0,IF(COUNTIFS(実績!$W$6:$W$505,AK$3,実績!$AI$6:$AI$505,"&lt;="&amp;$A242,実績!$AJ$6:$AJ$505,"&gt;"&amp;$A242,実績!$AK$6:$AK$505,"○")&gt;0,1,0))</f>
        <v>0</v>
      </c>
      <c r="AL242" s="39" t="n">
        <f aca="false">IF(AL$4=0,0,IF(COUNTIFS(実績!$W$6:$W$505,AL$3,実績!$AI$6:$AI$505,"&lt;="&amp;$A242,実績!$AJ$6:$AJ$505,"&gt;"&amp;$A242,実績!$AK$6:$AK$505,"○")&gt;0,1,0))</f>
        <v>0</v>
      </c>
      <c r="AM242" s="39" t="n">
        <f aca="false">IF(AM$4=0,0,IF(COUNTIFS(実績!$W$6:$W$505,AM$3,実績!$AI$6:$AI$505,"&lt;="&amp;$A242,実績!$AJ$6:$AJ$505,"&gt;"&amp;$A242,実績!$AK$6:$AK$505,"○")&gt;0,1,0))</f>
        <v>0</v>
      </c>
      <c r="AN242" s="39" t="n">
        <f aca="false">IF(AN$4=0,0,IF(COUNTIFS(実績!$W$6:$W$505,AN$3,実績!$AI$6:$AI$505,"&lt;="&amp;$A242,実績!$AJ$6:$AJ$505,"&gt;"&amp;$A242,実績!$AK$6:$AK$505,"○")&gt;0,1,0))</f>
        <v>0</v>
      </c>
      <c r="AO242" s="39" t="n">
        <f aca="false">IF(AO$4=0,0,IF(COUNTIFS(実績!$W$6:$W$505,AO$3,実績!$AI$6:$AI$505,"&lt;="&amp;$A242,実績!$AJ$6:$AJ$505,"&gt;"&amp;$A242,実績!$AK$6:$AK$505,"○")&gt;0,1,0))</f>
        <v>0</v>
      </c>
      <c r="AP242" s="39" t="n">
        <f aca="false">IF(AP$4=0,0,IF(COUNTIFS(実績!$W$6:$W$505,AP$3,実績!$AI$6:$AI$505,"&lt;="&amp;$A242,実績!$AJ$6:$AJ$505,"&gt;"&amp;$A242,実績!$AK$6:$AK$505,"○")&gt;0,1,0))</f>
        <v>0</v>
      </c>
      <c r="AQ242" s="39" t="n">
        <f aca="false">IF(AQ$4=0,0,IF(COUNTIFS(実績!$W$6:$W$505,AQ$3,実績!$AI$6:$AI$505,"&lt;="&amp;$A242,実績!$AJ$6:$AJ$505,"&gt;"&amp;$A242,実績!$AK$6:$AK$505,"○")&gt;0,1,0))</f>
        <v>0</v>
      </c>
      <c r="AR242" s="39" t="n">
        <f aca="false">IF(AR$4=0,0,IF(COUNTIFS(実績!$W$6:$W$505,AR$3,実績!$AI$6:$AI$505,"&lt;="&amp;$A242,実績!$AJ$6:$AJ$505,"&gt;"&amp;$A242,実績!$AK$6:$AK$505,"○")&gt;0,1,0))</f>
        <v>0</v>
      </c>
      <c r="AS242" s="39" t="n">
        <f aca="false">IF(AS$4=0,0,IF(COUNTIFS(実績!$W$6:$W$505,AS$3,実績!$AI$6:$AI$505,"&lt;="&amp;$A242,実績!$AJ$6:$AJ$505,"&gt;"&amp;$A242,実績!$AK$6:$AK$505,"○")&gt;0,1,0))</f>
        <v>0</v>
      </c>
      <c r="AT242" s="39" t="n">
        <f aca="false">IF(AT$4=0,0,IF(COUNTIFS(実績!$W$6:$W$505,AT$3,実績!$AI$6:$AI$505,"&lt;="&amp;$A242,実績!$AJ$6:$AJ$505,"&gt;"&amp;$A242,実績!$AK$6:$AK$505,"○")&gt;0,1,0))</f>
        <v>0</v>
      </c>
      <c r="AU242" s="39" t="n">
        <f aca="false">IF(AU$4=0,0,IF(COUNTIFS(実績!$W$6:$W$505,AU$3,実績!$AI$6:$AI$505,"&lt;="&amp;$A242,実績!$AJ$6:$AJ$505,"&gt;"&amp;$A242,実績!$AK$6:$AK$505,"○")&gt;0,1,0))</f>
        <v>0</v>
      </c>
      <c r="AV242" s="39" t="n">
        <f aca="false">IF(AV$4=0,0,IF(COUNTIFS(実績!$W$6:$W$505,AV$3,実績!$AI$6:$AI$505,"&lt;="&amp;$A242,実績!$AJ$6:$AJ$505,"&gt;"&amp;$A242,実績!$AK$6:$AK$505,"○")&gt;0,1,0))</f>
        <v>0</v>
      </c>
      <c r="AW242" s="39" t="n">
        <f aca="false">IF(AW$4=0,0,IF(COUNTIFS(実績!$W$6:$W$505,AW$3,実績!$AI$6:$AI$505,"&lt;="&amp;$A242,実績!$AJ$6:$AJ$505,"&gt;"&amp;$A242,実績!$AK$6:$AK$505,"○")&gt;0,1,0))</f>
        <v>0</v>
      </c>
      <c r="AX242" s="39" t="n">
        <f aca="false">IF(AX$4=0,0,IF(COUNTIFS(実績!$W$6:$W$505,AX$3,実績!$AI$6:$AI$505,"&lt;="&amp;$A242,実績!$AJ$6:$AJ$505,"&gt;"&amp;$A242,実績!$AK$6:$AK$505,"○")&gt;0,1,0))</f>
        <v>0</v>
      </c>
      <c r="AY242" s="39" t="n">
        <f aca="false">IF(AY$4=0,0,IF(COUNTIFS(実績!$W$6:$W$505,AY$3,実績!$AI$6:$AI$505,"&lt;="&amp;$A242,実績!$AJ$6:$AJ$505,"&gt;"&amp;$A242,実績!$AK$6:$AK$505,"○")&gt;0,1,0))</f>
        <v>0</v>
      </c>
      <c r="AZ242" s="39" t="n">
        <f aca="false">IF(AZ$4=0,0,IF(COUNTIFS(実績!$W$6:$W$505,AZ$3,実績!$AI$6:$AI$505,"&lt;="&amp;$A242,実績!$AJ$6:$AJ$505,"&gt;"&amp;$A242,実績!$AK$6:$AK$505,"○")&gt;0,1,0))</f>
        <v>0</v>
      </c>
      <c r="BA242" s="39" t="n">
        <f aca="false">IF(BA$4=0,0,IF(COUNTIFS(実績!$W$6:$W$505,BA$3,実績!$AI$6:$AI$505,"&lt;="&amp;$A242,実績!$AJ$6:$AJ$505,"&gt;"&amp;$A242,実績!$AK$6:$AK$505,"○")&gt;0,1,0))</f>
        <v>0</v>
      </c>
      <c r="BB242" s="39" t="n">
        <f aca="false">IF(BB$4=0,0,IF(COUNTIFS(実績!$W$6:$W$505,BB$3,実績!$AI$6:$AI$505,"&lt;="&amp;$A242,実績!$AJ$6:$AJ$505,"&gt;"&amp;$A242,実績!$AK$6:$AK$505,"○")&gt;0,1,0))</f>
        <v>0</v>
      </c>
      <c r="BC242" s="39" t="n">
        <f aca="false">IF(BC$4=0,0,IF(COUNTIFS(実績!$W$6:$W$505,BC$3,実績!$AI$6:$AI$505,"&lt;="&amp;$A242,実績!$AJ$6:$AJ$505,"&gt;"&amp;$A242,実績!$AK$6:$AK$505,"○")&gt;0,1,0))</f>
        <v>0</v>
      </c>
      <c r="BD242" s="39" t="n">
        <f aca="false">IF(BD$4=0,0,IF(COUNTIFS(実績!$W$6:$W$505,BD$3,実績!$AI$6:$AI$505,"&lt;="&amp;$A242,実績!$AJ$6:$AJ$505,"&gt;"&amp;$A242,実績!$AK$6:$AK$505,"○")&gt;0,1,0))</f>
        <v>0</v>
      </c>
      <c r="BE242" s="39" t="n">
        <f aca="false">IF(BE$4=0,0,IF(COUNTIFS(実績!$W$6:$W$505,BE$3,実績!$AI$6:$AI$505,"&lt;="&amp;$A242,実績!$AJ$6:$AJ$505,"&gt;"&amp;$A242,実績!$AK$6:$AK$505,"○")&gt;0,1,0))</f>
        <v>0</v>
      </c>
      <c r="BF242" s="39" t="n">
        <f aca="false">IF(BF$4=0,0,IF(COUNTIFS(実績!$W$6:$W$505,BF$3,実績!$AI$6:$AI$505,"&lt;="&amp;$A242,実績!$AJ$6:$AJ$505,"&gt;"&amp;$A242,実績!$AK$6:$AK$505,"○")&gt;0,1,0))</f>
        <v>0</v>
      </c>
      <c r="BG242" s="39" t="n">
        <f aca="false">IF(BG$4=0,0,IF(COUNTIFS(実績!$W$6:$W$505,BG$3,実績!$AI$6:$AI$505,"&lt;="&amp;$A242,実績!$AJ$6:$AJ$505,"&gt;"&amp;$A242,実績!$AK$6:$AK$505,"○")&gt;0,1,0))</f>
        <v>0</v>
      </c>
      <c r="BH242" s="39" t="n">
        <f aca="false">IF(BH$4=0,0,IF(COUNTIFS(実績!$W$6:$W$505,BH$3,実績!$AI$6:$AI$505,"&lt;="&amp;$A242,実績!$AJ$6:$AJ$505,"&gt;"&amp;$A242,実績!$AK$6:$AK$505,"○")&gt;0,1,0))</f>
        <v>0</v>
      </c>
      <c r="BI242" s="39" t="n">
        <f aca="false">IF(BI$4=0,0,IF(COUNTIFS(実績!$W$6:$W$505,BI$3,実績!$AI$6:$AI$505,"&lt;="&amp;$A242,実績!$AJ$6:$AJ$505,"&gt;"&amp;$A242,実績!$AK$6:$AK$505,"○")&gt;0,1,0))</f>
        <v>0</v>
      </c>
      <c r="BJ242" s="39" t="n">
        <f aca="false">IF(BJ$4=0,0,IF(COUNTIFS(実績!$W$6:$W$505,BJ$3,実績!$AI$6:$AI$505,"&lt;="&amp;$A242,実績!$AJ$6:$AJ$505,"&gt;"&amp;$A242,実績!$AK$6:$AK$505,"○")&gt;0,1,0))</f>
        <v>0</v>
      </c>
      <c r="BK242" s="39" t="n">
        <f aca="false">IF(BK$4=0,0,IF(COUNTIFS(実績!$W$6:$W$505,BK$3,実績!$AI$6:$AI$505,"&lt;="&amp;$A242,実績!$AJ$6:$AJ$505,"&gt;"&amp;$A242,実績!$AK$6:$AK$505,"○")&gt;0,1,0))</f>
        <v>0</v>
      </c>
      <c r="BL242" s="39" t="n">
        <f aca="false">IF(BL$4=0,0,IF(COUNTIFS(実績!$W$6:$W$505,BL$3,実績!$AI$6:$AI$505,"&lt;="&amp;$A242,実績!$AJ$6:$AJ$505,"&gt;"&amp;$A242,実績!$AK$6:$AK$505,"○")&gt;0,1,0))</f>
        <v>0</v>
      </c>
      <c r="BM242" s="39" t="n">
        <f aca="false">IF(BM$4=0,0,IF(COUNTIFS(実績!$W$6:$W$505,BM$3,実績!$AI$6:$AI$505,"&lt;="&amp;$A242,実績!$AJ$6:$AJ$505,"&gt;"&amp;$A242,実績!$AK$6:$AK$505,"○")&gt;0,1,0))</f>
        <v>0</v>
      </c>
      <c r="BN242" s="39" t="n">
        <f aca="false">IF(BN$4=0,0,IF(COUNTIFS(実績!$W$6:$W$505,BN$3,実績!$AI$6:$AI$505,"&lt;="&amp;$A242,実績!$AJ$6:$AJ$505,"&gt;"&amp;$A242,実績!$AK$6:$AK$505,"○")&gt;0,1,0))</f>
        <v>0</v>
      </c>
      <c r="BO242" s="39" t="n">
        <f aca="false">IF(BO$4=0,0,IF(COUNTIFS(実績!$W$6:$W$505,BO$3,実績!$AI$6:$AI$505,"&lt;="&amp;$A242,実績!$AJ$6:$AJ$505,"&gt;"&amp;$A242,実績!$AK$6:$AK$505,"○")&gt;0,1,0))</f>
        <v>0</v>
      </c>
      <c r="BP242" s="39" t="n">
        <f aca="false">IF(BP$4=0,0,IF(COUNTIFS(実績!$W$6:$W$505,BP$3,実績!$AI$6:$AI$505,"&lt;="&amp;$A242,実績!$AJ$6:$AJ$505,"&gt;"&amp;$A242,実績!$AK$6:$AK$505,"○")&gt;0,1,0))</f>
        <v>0</v>
      </c>
      <c r="BQ242" s="39" t="n">
        <f aca="false">IF(BQ$4=0,0,IF(COUNTIFS(実績!$W$6:$W$505,BQ$3,実績!$AI$6:$AI$505,"&lt;="&amp;$A242,実績!$AJ$6:$AJ$505,"&gt;"&amp;$A242,実績!$AK$6:$AK$505,"○")&gt;0,1,0))</f>
        <v>0</v>
      </c>
      <c r="BR242" s="39" t="n">
        <f aca="false">IF(BR$4=0,0,IF(COUNTIFS(実績!$W$6:$W$505,BR$3,実績!$AI$6:$AI$505,"&lt;="&amp;$A242,実績!$AJ$6:$AJ$505,"&gt;"&amp;$A242,実績!$AK$6:$AK$505,"○")&gt;0,1,0))</f>
        <v>0</v>
      </c>
      <c r="BS242" s="39" t="n">
        <f aca="false">IF(BS$4=0,0,IF(COUNTIFS(実績!$W$6:$W$505,BS$3,実績!$AI$6:$AI$505,"&lt;="&amp;$A242,実績!$AJ$6:$AJ$505,"&gt;"&amp;$A242,実績!$AK$6:$AK$505,"○")&gt;0,1,0))</f>
        <v>0</v>
      </c>
      <c r="BT242" s="39" t="n">
        <f aca="false">IF(BT$4=0,0,IF(COUNTIFS(実績!$W$6:$W$505,BT$3,実績!$AI$6:$AI$505,"&lt;="&amp;$A242,実績!$AJ$6:$AJ$505,"&gt;"&amp;$A242,実績!$AK$6:$AK$505,"○")&gt;0,1,0))</f>
        <v>0</v>
      </c>
      <c r="BU242" s="39" t="n">
        <f aca="false">IF(BU$4=0,0,IF(COUNTIFS(実績!$W$6:$W$505,BU$3,実績!$AI$6:$AI$505,"&lt;="&amp;$A242,実績!$AJ$6:$AJ$505,"&gt;"&amp;$A242,実績!$AK$6:$AK$505,"○")&gt;0,1,0))</f>
        <v>0</v>
      </c>
      <c r="BV242" s="39" t="n">
        <f aca="false">IF(BV$4=0,0,IF(COUNTIFS(実績!$W$6:$W$505,BV$3,実績!$AI$6:$AI$505,"&lt;="&amp;$A242,実績!$AJ$6:$AJ$505,"&gt;"&amp;$A242,実績!$AK$6:$AK$505,"○")&gt;0,1,0))</f>
        <v>0</v>
      </c>
      <c r="BW242" s="39" t="n">
        <f aca="false">IF(BW$4=0,0,IF(COUNTIFS(実績!$W$6:$W$505,BW$3,実績!$AI$6:$AI$505,"&lt;="&amp;$A242,実績!$AJ$6:$AJ$505,"&gt;"&amp;$A242,実績!$AK$6:$AK$505,"○")&gt;0,1,0))</f>
        <v>0</v>
      </c>
      <c r="BX242" s="39" t="n">
        <f aca="false">IF(BX$4=0,0,IF(COUNTIFS(実績!$W$6:$W$505,BX$3,実績!$AI$6:$AI$505,"&lt;="&amp;$A242,実績!$AJ$6:$AJ$505,"&gt;"&amp;$A242,実績!$AK$6:$AK$505,"○")&gt;0,1,0))</f>
        <v>0</v>
      </c>
      <c r="BY242" s="39" t="n">
        <f aca="false">IF(BY$4=0,0,IF(COUNTIFS(実績!$W$6:$W$505,BY$3,実績!$AI$6:$AI$505,"&lt;="&amp;$A242,実績!$AJ$6:$AJ$505,"&gt;"&amp;$A242,実績!$AK$6:$AK$505,"○")&gt;0,1,0))</f>
        <v>0</v>
      </c>
      <c r="BZ242" s="39" t="n">
        <f aca="false">IF(BZ$4=0,0,IF(COUNTIFS(実績!$W$6:$W$505,BZ$3,実績!$AI$6:$AI$505,"&lt;="&amp;$A242,実績!$AJ$6:$AJ$505,"&gt;"&amp;$A242,実績!$AK$6:$AK$505,"○")&gt;0,1,0))</f>
        <v>0</v>
      </c>
      <c r="CA242" s="39" t="n">
        <f aca="false">IF(CA$4=0,0,IF(COUNTIFS(実績!$W$6:$W$505,CA$3,実績!$AI$6:$AI$505,"&lt;="&amp;$A242,実績!$AJ$6:$AJ$505,"&gt;"&amp;$A242,実績!$AK$6:$AK$505,"○")&gt;0,1,0))</f>
        <v>0</v>
      </c>
      <c r="CB242" s="39" t="n">
        <f aca="false">IF(CB$4=0,0,IF(COUNTIFS(実績!$W$6:$W$505,CB$3,実績!$AI$6:$AI$505,"&lt;="&amp;$A242,実績!$AJ$6:$AJ$505,"&gt;"&amp;$A242,実績!$AK$6:$AK$505,"○")&gt;0,1,0))</f>
        <v>0</v>
      </c>
      <c r="CC242" s="39" t="n">
        <f aca="false">IF(CC$4=0,0,IF(COUNTIFS(実績!$W$6:$W$505,CC$3,実績!$AI$6:$AI$505,"&lt;="&amp;$A242,実績!$AJ$6:$AJ$505,"&gt;"&amp;$A242,実績!$AK$6:$AK$505,"○")&gt;0,1,0))</f>
        <v>0</v>
      </c>
      <c r="CD242" s="39" t="n">
        <f aca="false">IF(CD$4=0,0,IF(COUNTIFS(実績!$W$6:$W$505,CD$3,実績!$AI$6:$AI$505,"&lt;="&amp;$A242,実績!$AJ$6:$AJ$505,"&gt;"&amp;$A242,実績!$AK$6:$AK$505,"○")&gt;0,1,0))</f>
        <v>0</v>
      </c>
      <c r="CE242" s="39" t="n">
        <f aca="false">IF(CE$4=0,0,IF(COUNTIFS(実績!$W$6:$W$505,CE$3,実績!$AI$6:$AI$505,"&lt;="&amp;$A242,実績!$AJ$6:$AJ$505,"&gt;"&amp;$A242,実績!$AK$6:$AK$505,"○")&gt;0,1,0))</f>
        <v>0</v>
      </c>
      <c r="CF242" s="39" t="n">
        <f aca="false">IF(CF$4=0,0,IF(COUNTIFS(実績!$W$6:$W$505,CF$3,実績!$AI$6:$AI$505,"&lt;="&amp;$A242,実績!$AJ$6:$AJ$505,"&gt;"&amp;$A242,実績!$AK$6:$AK$505,"○")&gt;0,1,0))</f>
        <v>0</v>
      </c>
      <c r="CG242" s="39" t="n">
        <f aca="false">IF(CG$4=0,0,IF(COUNTIFS(実績!$W$6:$W$505,CG$3,実績!$AI$6:$AI$505,"&lt;="&amp;$A242,実績!$AJ$6:$AJ$505,"&gt;"&amp;$A242,実績!$AK$6:$AK$505,"○")&gt;0,1,0))</f>
        <v>0</v>
      </c>
      <c r="CH242" s="39" t="n">
        <f aca="false">IF(CH$4=0,0,IF(COUNTIFS(実績!$W$6:$W$505,CH$3,実績!$AI$6:$AI$505,"&lt;="&amp;$A242,実績!$AJ$6:$AJ$505,"&gt;"&amp;$A242,実績!$AK$6:$AK$505,"○")&gt;0,1,0))</f>
        <v>0</v>
      </c>
      <c r="CI242" s="39" t="n">
        <f aca="false">IF(CI$4=0,0,IF(COUNTIFS(実績!$W$6:$W$505,CI$3,実績!$AI$6:$AI$505,"&lt;="&amp;$A242,実績!$AJ$6:$AJ$505,"&gt;"&amp;$A242,実績!$AK$6:$AK$505,"○")&gt;0,1,0))</f>
        <v>0</v>
      </c>
      <c r="CJ242" s="39" t="n">
        <f aca="false">IF(CJ$4=0,0,IF(COUNTIFS(実績!$W$6:$W$505,CJ$3,実績!$AI$6:$AI$505,"&lt;="&amp;$A242,実績!$AJ$6:$AJ$505,"&gt;"&amp;$A242,実績!$AK$6:$AK$505,"○")&gt;0,1,0))</f>
        <v>0</v>
      </c>
      <c r="CK242" s="39" t="n">
        <f aca="false">IF(CK$4=0,0,IF(COUNTIFS(実績!$W$6:$W$505,CK$3,実績!$AI$6:$AI$505,"&lt;="&amp;$A242,実績!$AJ$6:$AJ$505,"&gt;"&amp;$A242,実績!$AK$6:$AK$505,"○")&gt;0,1,0))</f>
        <v>0</v>
      </c>
      <c r="CL242" s="39" t="n">
        <f aca="false">IF(CL$4=0,0,IF(COUNTIFS(実績!$W$6:$W$505,CL$3,実績!$AI$6:$AI$505,"&lt;="&amp;$A242,実績!$AJ$6:$AJ$505,"&gt;"&amp;$A242,実績!$AK$6:$AK$505,"○")&gt;0,1,0))</f>
        <v>0</v>
      </c>
      <c r="CM242" s="39" t="n">
        <f aca="false">IF(CM$4=0,0,IF(COUNTIFS(実績!$W$6:$W$505,CM$3,実績!$AI$6:$AI$505,"&lt;="&amp;$A242,実績!$AJ$6:$AJ$505,"&gt;"&amp;$A242,実績!$AK$6:$AK$505,"○")&gt;0,1,0))</f>
        <v>0</v>
      </c>
      <c r="CN242" s="39" t="n">
        <f aca="false">IF(CN$4=0,0,IF(COUNTIFS(実績!$W$6:$W$505,CN$3,実績!$AI$6:$AI$505,"&lt;="&amp;$A242,実績!$AJ$6:$AJ$505,"&gt;"&amp;$A242,実績!$AK$6:$AK$505,"○")&gt;0,1,0))</f>
        <v>0</v>
      </c>
      <c r="CO242" s="39" t="n">
        <f aca="false">IF(CO$4=0,0,IF(COUNTIFS(実績!$W$6:$W$505,CO$3,実績!$AI$6:$AI$505,"&lt;="&amp;$A242,実績!$AJ$6:$AJ$505,"&gt;"&amp;$A242,実績!$AK$6:$AK$505,"○")&gt;0,1,0))</f>
        <v>0</v>
      </c>
      <c r="CP242" s="39" t="n">
        <f aca="false">IF(CP$4=0,0,IF(COUNTIFS(実績!$W$6:$W$505,CP$3,実績!$AI$6:$AI$505,"&lt;="&amp;$A242,実績!$AJ$6:$AJ$505,"&gt;"&amp;$A242,実績!$AK$6:$AK$505,"○")&gt;0,1,0))</f>
        <v>0</v>
      </c>
      <c r="CQ242" s="39" t="n">
        <f aca="false">IF(CQ$4=0,0,IF(COUNTIFS(実績!$W$6:$W$505,CQ$3,実績!$AI$6:$AI$505,"&lt;="&amp;$A242,実績!$AJ$6:$AJ$505,"&gt;"&amp;$A242,実績!$AK$6:$AK$505,"○")&gt;0,1,0))</f>
        <v>0</v>
      </c>
      <c r="CR242" s="39" t="n">
        <f aca="false">IF(CR$4=0,0,IF(COUNTIFS(実績!$W$6:$W$505,CR$3,実績!$AI$6:$AI$505,"&lt;="&amp;$A242,実績!$AJ$6:$AJ$505,"&gt;"&amp;$A242,実績!$AK$6:$AK$505,"○")&gt;0,1,0))</f>
        <v>0</v>
      </c>
      <c r="CS242" s="39" t="n">
        <f aca="false">IF(CS$4=0,0,IF(COUNTIFS(実績!$W$6:$W$505,CS$3,実績!$AI$6:$AI$505,"&lt;="&amp;$A242,実績!$AJ$6:$AJ$505,"&gt;"&amp;$A242,実績!$AK$6:$AK$505,"○")&gt;0,1,0))</f>
        <v>0</v>
      </c>
      <c r="CT242" s="39" t="n">
        <f aca="false">IF(CT$4=0,0,IF(COUNTIFS(実績!$W$6:$W$505,CT$3,実績!$AI$6:$AI$505,"&lt;="&amp;$A242,実績!$AJ$6:$AJ$505,"&gt;"&amp;$A242,実績!$AK$6:$AK$505,"○")&gt;0,1,0))</f>
        <v>0</v>
      </c>
      <c r="CU242" s="39" t="n">
        <f aca="false">IF(CU$4=0,0,IF(COUNTIFS(実績!$W$6:$W$505,CU$3,実績!$AI$6:$AI$505,"&lt;="&amp;$A242,実績!$AJ$6:$AJ$505,"&gt;"&amp;$A242,実績!$AK$6:$AK$505,"○")&gt;0,1,0))</f>
        <v>0</v>
      </c>
      <c r="CV242" s="39" t="n">
        <f aca="false">IF(CV$4=0,0,IF(COUNTIFS(実績!$W$6:$W$505,CV$3,実績!$AI$6:$AI$505,"&lt;="&amp;$A242,実績!$AJ$6:$AJ$505,"&gt;"&amp;$A242,実績!$AK$6:$AK$505,"○")&gt;0,1,0))</f>
        <v>0</v>
      </c>
      <c r="CW242" s="39" t="n">
        <f aca="false">IF(CW$4=0,0,IF(COUNTIFS(実績!$W$6:$W$505,CW$3,実績!$AI$6:$AI$505,"&lt;="&amp;$A242,実績!$AJ$6:$AJ$505,"&gt;"&amp;$A242,実績!$AK$6:$AK$505,"○")&gt;0,1,0))</f>
        <v>0</v>
      </c>
      <c r="CX242" s="39" t="n">
        <f aca="false">IF(CX$4=0,0,IF(COUNTIFS(実績!$W$6:$W$505,CX$3,実績!$AI$6:$AI$505,"&lt;="&amp;$A242,実績!$AJ$6:$AJ$505,"&gt;"&amp;$A242,実績!$AK$6:$AK$505,"○")&gt;0,1,0))</f>
        <v>0</v>
      </c>
      <c r="CY242" s="39" t="n">
        <f aca="false">IF(CY$4=0,0,IF(COUNTIFS(実績!$W$6:$W$505,CY$3,実績!$AI$6:$AI$505,"&lt;="&amp;$A242,実績!$AJ$6:$AJ$505,"&gt;"&amp;$A242,実績!$AK$6:$AK$505,"○")&gt;0,1,0))</f>
        <v>0</v>
      </c>
      <c r="CZ242" s="39" t="n">
        <f aca="false">IF(CZ$4=0,0,IF(COUNTIFS(実績!$W$6:$W$505,CZ$3,実績!$AI$6:$AI$505,"&lt;="&amp;$A242,実績!$AJ$6:$AJ$505,"&gt;"&amp;$A242,実績!$AK$6:$AK$505,"○")&gt;0,1,0))</f>
        <v>0</v>
      </c>
      <c r="DA242" s="39" t="n">
        <f aca="false">IF(DA$4=0,0,IF(COUNTIFS(実績!$W$6:$W$505,DA$3,実績!$AI$6:$AI$505,"&lt;="&amp;$A242,実績!$AJ$6:$AJ$505,"&gt;"&amp;$A242,実績!$AK$6:$AK$505,"○")&gt;0,1,0))</f>
        <v>0</v>
      </c>
      <c r="DB242" s="39" t="n">
        <f aca="false">IF(DB$4=0,0,IF(COUNTIFS(実績!$W$6:$W$505,DB$3,実績!$AI$6:$AI$505,"&lt;="&amp;$A242,実績!$AJ$6:$AJ$505,"&gt;"&amp;$A242,実績!$AK$6:$AK$505,"○")&gt;0,1,0))</f>
        <v>0</v>
      </c>
      <c r="DC242" s="39" t="n">
        <f aca="false">IF(DC$4=0,0,IF(COUNTIFS(実績!$W$6:$W$505,DC$3,実績!$AI$6:$AI$505,"&lt;="&amp;$A242,実績!$AJ$6:$AJ$505,"&gt;"&amp;$A242,実績!$AK$6:$AK$505,"○")&gt;0,1,0))</f>
        <v>0</v>
      </c>
      <c r="DD242" s="39" t="n">
        <f aca="false">IF(DD$4=0,0,IF(COUNTIFS(実績!$W$6:$W$505,DD$3,実績!$AI$6:$AI$505,"&lt;="&amp;$A242,実績!$AJ$6:$AJ$505,"&gt;"&amp;$A242,実績!$AK$6:$AK$505,"○")&gt;0,1,0))</f>
        <v>0</v>
      </c>
      <c r="DE242" s="39" t="n">
        <f aca="false">IF(DE$4=0,0,IF(COUNTIFS(実績!$W$6:$W$505,DE$3,実績!$AI$6:$AI$505,"&lt;="&amp;$A242,実績!$AJ$6:$AJ$505,"&gt;"&amp;$A242,実績!$AK$6:$AK$505,"○")&gt;0,1,0))</f>
        <v>0</v>
      </c>
      <c r="DF242" s="39" t="n">
        <f aca="false">IF(DF$4=0,0,IF(COUNTIFS(実績!$W$6:$W$505,DF$3,実績!$AI$6:$AI$505,"&lt;="&amp;$A242,実績!$AJ$6:$AJ$505,"&gt;"&amp;$A242,実績!$AK$6:$AK$505,"○")&gt;0,1,0))</f>
        <v>0</v>
      </c>
      <c r="DG242" s="39" t="n">
        <f aca="false">IF(DG$4=0,0,IF(COUNTIFS(実績!$W$6:$W$505,DG$3,実績!$AI$6:$AI$505,"&lt;="&amp;$A242,実績!$AJ$6:$AJ$505,"&gt;"&amp;$A242,実績!$AK$6:$AK$505,"○")&gt;0,1,0))</f>
        <v>0</v>
      </c>
      <c r="DH242" s="39" t="n">
        <f aca="false">IF(DH$4=0,0,IF(COUNTIFS(実績!$W$6:$W$505,DH$3,実績!$AI$6:$AI$505,"&lt;="&amp;$A242,実績!$AJ$6:$AJ$505,"&gt;"&amp;$A242,実績!$AK$6:$AK$505,"○")&gt;0,1,0))</f>
        <v>0</v>
      </c>
      <c r="DI242" s="39" t="n">
        <f aca="false">IF(DI$4=0,0,IF(COUNTIFS(実績!$W$6:$W$505,DI$3,実績!$AI$6:$AI$505,"&lt;="&amp;$A242,実績!$AJ$6:$AJ$505,"&gt;"&amp;$A242,実績!$AK$6:$AK$505,"○")&gt;0,1,0))</f>
        <v>0</v>
      </c>
      <c r="DJ242" s="39" t="n">
        <f aca="false">IF(DJ$4=0,0,IF(COUNTIFS(実績!$W$6:$W$505,DJ$3,実績!$AI$6:$AI$505,"&lt;="&amp;$A242,実績!$AJ$6:$AJ$505,"&gt;"&amp;$A242,実績!$AK$6:$AK$505,"○")&gt;0,1,0))</f>
        <v>0</v>
      </c>
      <c r="DK242" s="39" t="n">
        <f aca="false">IF(DK$4=0,0,IF(COUNTIFS(実績!$W$6:$W$505,DK$3,実績!$AI$6:$AI$505,"&lt;="&amp;$A242,実績!$AJ$6:$AJ$505,"&gt;"&amp;$A242,実績!$AK$6:$AK$505,"○")&gt;0,1,0))</f>
        <v>0</v>
      </c>
      <c r="DL242" s="39" t="n">
        <f aca="false">IF(DL$4=0,0,IF(COUNTIFS(実績!$W$6:$W$505,DL$3,実績!$AI$6:$AI$505,"&lt;="&amp;$A242,実績!$AJ$6:$AJ$505,"&gt;"&amp;$A242,実績!$AK$6:$AK$505,"○")&gt;0,1,0))</f>
        <v>0</v>
      </c>
      <c r="DM242" s="39" t="n">
        <f aca="false">IF(DM$4=0,0,IF(COUNTIFS(実績!$W$6:$W$505,DM$3,実績!$AI$6:$AI$505,"&lt;="&amp;$A242,実績!$AJ$6:$AJ$505,"&gt;"&amp;$A242,実績!$AK$6:$AK$505,"○")&gt;0,1,0))</f>
        <v>0</v>
      </c>
      <c r="DN242" s="39" t="n">
        <f aca="false">IF(DN$4=0,0,IF(COUNTIFS(実績!$W$6:$W$505,DN$3,実績!$AI$6:$AI$505,"&lt;="&amp;$A242,実績!$AJ$6:$AJ$505,"&gt;"&amp;$A242,実績!$AK$6:$AK$505,"○")&gt;0,1,0))</f>
        <v>0</v>
      </c>
      <c r="DO242" s="39" t="n">
        <f aca="false">IF(DO$4=0,0,IF(COUNTIFS(実績!$W$6:$W$505,DO$3,実績!$AI$6:$AI$505,"&lt;="&amp;$A242,実績!$AJ$6:$AJ$505,"&gt;"&amp;$A242,実績!$AK$6:$AK$505,"○")&gt;0,1,0))</f>
        <v>0</v>
      </c>
      <c r="DP242" s="39" t="n">
        <f aca="false">IF(DP$4=0,0,IF(COUNTIFS(実績!$W$6:$W$505,DP$3,実績!$AI$6:$AI$505,"&lt;="&amp;$A242,実績!$AJ$6:$AJ$505,"&gt;"&amp;$A242,実績!$AK$6:$AK$505,"○")&gt;0,1,0))</f>
        <v>0</v>
      </c>
      <c r="DQ242" s="39" t="n">
        <f aca="false">IF(DQ$4=0,0,IF(COUNTIFS(実績!$W$6:$W$505,DQ$3,実績!$AI$6:$AI$505,"&lt;="&amp;$A242,実績!$AJ$6:$AJ$505,"&gt;"&amp;$A242,実績!$AK$6:$AK$505,"○")&gt;0,1,0))</f>
        <v>0</v>
      </c>
      <c r="DR242" s="39" t="n">
        <f aca="false">IF(DR$4=0,0,IF(COUNTIFS(実績!$W$6:$W$505,DR$3,実績!$AI$6:$AI$505,"&lt;="&amp;$A242,実績!$AJ$6:$AJ$505,"&gt;"&amp;$A242,実績!$AK$6:$AK$505,"○")&gt;0,1,0))</f>
        <v>0</v>
      </c>
      <c r="DS242" s="39" t="n">
        <f aca="false">SUM(C242:DR242)</f>
        <v>0</v>
      </c>
      <c r="DT242" s="39" t="n">
        <f aca="false">SUMPRODUCT((実績!$C$6:$C$505="○")*ISNUMBER(実績!$AM$6:$AM$505)*(実績!$AM$6:$AM$505&lt;=$A242)*(実績!$AN$6:$AN$505&gt;$A242))</f>
        <v>0</v>
      </c>
      <c r="DU242" s="39" t="n">
        <f aca="false">SUMIF($C$2:$DR$2,"製鉄曳船",C242:DR242)</f>
        <v>0</v>
      </c>
      <c r="DV242" s="39" t="n">
        <f aca="false">SUMIF($C$2:$DR$2,"西日本海運",C242:DR242)</f>
        <v>0</v>
      </c>
    </row>
    <row r="243" customFormat="false" ht="15" hidden="false" customHeight="false" outlineLevel="0" collapsed="false">
      <c r="A243" s="0" t="n">
        <v>1185</v>
      </c>
      <c r="B243" s="38" t="n">
        <f aca="false">A243/1440</f>
        <v>0.822916666666667</v>
      </c>
      <c r="C243" s="39" t="n">
        <f aca="false">IF(C$4=0,0,IF(COUNTIFS(実績!$W$6:$W$505,C$3,実績!$AI$6:$AI$505,"&lt;="&amp;$A243,実績!$AJ$6:$AJ$505,"&gt;"&amp;$A243,実績!$AK$6:$AK$505,"○")&gt;0,1,0))</f>
        <v>0</v>
      </c>
      <c r="D243" s="39" t="n">
        <f aca="false">IF(D$4=0,0,IF(COUNTIFS(実績!$W$6:$W$505,D$3,実績!$AI$6:$AI$505,"&lt;="&amp;$A243,実績!$AJ$6:$AJ$505,"&gt;"&amp;$A243,実績!$AK$6:$AK$505,"○")&gt;0,1,0))</f>
        <v>0</v>
      </c>
      <c r="E243" s="39" t="n">
        <f aca="false">IF(E$4=0,0,IF(COUNTIFS(実績!$W$6:$W$505,E$3,実績!$AI$6:$AI$505,"&lt;="&amp;$A243,実績!$AJ$6:$AJ$505,"&gt;"&amp;$A243,実績!$AK$6:$AK$505,"○")&gt;0,1,0))</f>
        <v>0</v>
      </c>
      <c r="F243" s="39" t="n">
        <f aca="false">IF(F$4=0,0,IF(COUNTIFS(実績!$W$6:$W$505,F$3,実績!$AI$6:$AI$505,"&lt;="&amp;$A243,実績!$AJ$6:$AJ$505,"&gt;"&amp;$A243,実績!$AK$6:$AK$505,"○")&gt;0,1,0))</f>
        <v>0</v>
      </c>
      <c r="G243" s="39" t="n">
        <f aca="false">IF(G$4=0,0,IF(COUNTIFS(実績!$W$6:$W$505,G$3,実績!$AI$6:$AI$505,"&lt;="&amp;$A243,実績!$AJ$6:$AJ$505,"&gt;"&amp;$A243,実績!$AK$6:$AK$505,"○")&gt;0,1,0))</f>
        <v>0</v>
      </c>
      <c r="H243" s="39" t="n">
        <f aca="false">IF(H$4=0,0,IF(COUNTIFS(実績!$W$6:$W$505,H$3,実績!$AI$6:$AI$505,"&lt;="&amp;$A243,実績!$AJ$6:$AJ$505,"&gt;"&amp;$A243,実績!$AK$6:$AK$505,"○")&gt;0,1,0))</f>
        <v>0</v>
      </c>
      <c r="I243" s="39" t="n">
        <f aca="false">IF(I$4=0,0,IF(COUNTIFS(実績!$W$6:$W$505,I$3,実績!$AI$6:$AI$505,"&lt;="&amp;$A243,実績!$AJ$6:$AJ$505,"&gt;"&amp;$A243,実績!$AK$6:$AK$505,"○")&gt;0,1,0))</f>
        <v>0</v>
      </c>
      <c r="J243" s="39" t="n">
        <f aca="false">IF(J$4=0,0,IF(COUNTIFS(実績!$W$6:$W$505,J$3,実績!$AI$6:$AI$505,"&lt;="&amp;$A243,実績!$AJ$6:$AJ$505,"&gt;"&amp;$A243,実績!$AK$6:$AK$505,"○")&gt;0,1,0))</f>
        <v>0</v>
      </c>
      <c r="K243" s="39" t="n">
        <f aca="false">IF(K$4=0,0,IF(COUNTIFS(実績!$W$6:$W$505,K$3,実績!$AI$6:$AI$505,"&lt;="&amp;$A243,実績!$AJ$6:$AJ$505,"&gt;"&amp;$A243,実績!$AK$6:$AK$505,"○")&gt;0,1,0))</f>
        <v>0</v>
      </c>
      <c r="L243" s="39" t="n">
        <f aca="false">IF(L$4=0,0,IF(COUNTIFS(実績!$W$6:$W$505,L$3,実績!$AI$6:$AI$505,"&lt;="&amp;$A243,実績!$AJ$6:$AJ$505,"&gt;"&amp;$A243,実績!$AK$6:$AK$505,"○")&gt;0,1,0))</f>
        <v>0</v>
      </c>
      <c r="M243" s="39" t="n">
        <f aca="false">IF(M$4=0,0,IF(COUNTIFS(実績!$W$6:$W$505,M$3,実績!$AI$6:$AI$505,"&lt;="&amp;$A243,実績!$AJ$6:$AJ$505,"&gt;"&amp;$A243,実績!$AK$6:$AK$505,"○")&gt;0,1,0))</f>
        <v>0</v>
      </c>
      <c r="N243" s="39" t="n">
        <f aca="false">IF(N$4=0,0,IF(COUNTIFS(実績!$W$6:$W$505,N$3,実績!$AI$6:$AI$505,"&lt;="&amp;$A243,実績!$AJ$6:$AJ$505,"&gt;"&amp;$A243,実績!$AK$6:$AK$505,"○")&gt;0,1,0))</f>
        <v>0</v>
      </c>
      <c r="O243" s="39" t="n">
        <f aca="false">IF(O$4=0,0,IF(COUNTIFS(実績!$W$6:$W$505,O$3,実績!$AI$6:$AI$505,"&lt;="&amp;$A243,実績!$AJ$6:$AJ$505,"&gt;"&amp;$A243,実績!$AK$6:$AK$505,"○")&gt;0,1,0))</f>
        <v>0</v>
      </c>
      <c r="P243" s="39" t="n">
        <f aca="false">IF(P$4=0,0,IF(COUNTIFS(実績!$W$6:$W$505,P$3,実績!$AI$6:$AI$505,"&lt;="&amp;$A243,実績!$AJ$6:$AJ$505,"&gt;"&amp;$A243,実績!$AK$6:$AK$505,"○")&gt;0,1,0))</f>
        <v>0</v>
      </c>
      <c r="Q243" s="39" t="n">
        <f aca="false">IF(Q$4=0,0,IF(COUNTIFS(実績!$W$6:$W$505,Q$3,実績!$AI$6:$AI$505,"&lt;="&amp;$A243,実績!$AJ$6:$AJ$505,"&gt;"&amp;$A243,実績!$AK$6:$AK$505,"○")&gt;0,1,0))</f>
        <v>0</v>
      </c>
      <c r="R243" s="39" t="n">
        <f aca="false">IF(R$4=0,0,IF(COUNTIFS(実績!$W$6:$W$505,R$3,実績!$AI$6:$AI$505,"&lt;="&amp;$A243,実績!$AJ$6:$AJ$505,"&gt;"&amp;$A243,実績!$AK$6:$AK$505,"○")&gt;0,1,0))</f>
        <v>0</v>
      </c>
      <c r="S243" s="39" t="n">
        <f aca="false">IF(S$4=0,0,IF(COUNTIFS(実績!$W$6:$W$505,S$3,実績!$AI$6:$AI$505,"&lt;="&amp;$A243,実績!$AJ$6:$AJ$505,"&gt;"&amp;$A243,実績!$AK$6:$AK$505,"○")&gt;0,1,0))</f>
        <v>0</v>
      </c>
      <c r="T243" s="39" t="n">
        <f aca="false">IF(T$4=0,0,IF(COUNTIFS(実績!$W$6:$W$505,T$3,実績!$AI$6:$AI$505,"&lt;="&amp;$A243,実績!$AJ$6:$AJ$505,"&gt;"&amp;$A243,実績!$AK$6:$AK$505,"○")&gt;0,1,0))</f>
        <v>0</v>
      </c>
      <c r="U243" s="39" t="n">
        <f aca="false">IF(U$4=0,0,IF(COUNTIFS(実績!$W$6:$W$505,U$3,実績!$AI$6:$AI$505,"&lt;="&amp;$A243,実績!$AJ$6:$AJ$505,"&gt;"&amp;$A243,実績!$AK$6:$AK$505,"○")&gt;0,1,0))</f>
        <v>0</v>
      </c>
      <c r="V243" s="39" t="n">
        <f aca="false">IF(V$4=0,0,IF(COUNTIFS(実績!$W$6:$W$505,V$3,実績!$AI$6:$AI$505,"&lt;="&amp;$A243,実績!$AJ$6:$AJ$505,"&gt;"&amp;$A243,実績!$AK$6:$AK$505,"○")&gt;0,1,0))</f>
        <v>0</v>
      </c>
      <c r="W243" s="39" t="n">
        <f aca="false">IF(W$4=0,0,IF(COUNTIFS(実績!$W$6:$W$505,W$3,実績!$AI$6:$AI$505,"&lt;="&amp;$A243,実績!$AJ$6:$AJ$505,"&gt;"&amp;$A243,実績!$AK$6:$AK$505,"○")&gt;0,1,0))</f>
        <v>0</v>
      </c>
      <c r="X243" s="39" t="n">
        <f aca="false">IF(X$4=0,0,IF(COUNTIFS(実績!$W$6:$W$505,X$3,実績!$AI$6:$AI$505,"&lt;="&amp;$A243,実績!$AJ$6:$AJ$505,"&gt;"&amp;$A243,実績!$AK$6:$AK$505,"○")&gt;0,1,0))</f>
        <v>0</v>
      </c>
      <c r="Y243" s="39" t="n">
        <f aca="false">IF(Y$4=0,0,IF(COUNTIFS(実績!$W$6:$W$505,Y$3,実績!$AI$6:$AI$505,"&lt;="&amp;$A243,実績!$AJ$6:$AJ$505,"&gt;"&amp;$A243,実績!$AK$6:$AK$505,"○")&gt;0,1,0))</f>
        <v>0</v>
      </c>
      <c r="Z243" s="39" t="n">
        <f aca="false">IF(Z$4=0,0,IF(COUNTIFS(実績!$W$6:$W$505,Z$3,実績!$AI$6:$AI$505,"&lt;="&amp;$A243,実績!$AJ$6:$AJ$505,"&gt;"&amp;$A243,実績!$AK$6:$AK$505,"○")&gt;0,1,0))</f>
        <v>0</v>
      </c>
      <c r="AA243" s="39" t="n">
        <f aca="false">IF(AA$4=0,0,IF(COUNTIFS(実績!$W$6:$W$505,AA$3,実績!$AI$6:$AI$505,"&lt;="&amp;$A243,実績!$AJ$6:$AJ$505,"&gt;"&amp;$A243,実績!$AK$6:$AK$505,"○")&gt;0,1,0))</f>
        <v>0</v>
      </c>
      <c r="AB243" s="39" t="n">
        <f aca="false">IF(AB$4=0,0,IF(COUNTIFS(実績!$W$6:$W$505,AB$3,実績!$AI$6:$AI$505,"&lt;="&amp;$A243,実績!$AJ$6:$AJ$505,"&gt;"&amp;$A243,実績!$AK$6:$AK$505,"○")&gt;0,1,0))</f>
        <v>0</v>
      </c>
      <c r="AC243" s="39" t="n">
        <f aca="false">IF(AC$4=0,0,IF(COUNTIFS(実績!$W$6:$W$505,AC$3,実績!$AI$6:$AI$505,"&lt;="&amp;$A243,実績!$AJ$6:$AJ$505,"&gt;"&amp;$A243,実績!$AK$6:$AK$505,"○")&gt;0,1,0))</f>
        <v>0</v>
      </c>
      <c r="AD243" s="39" t="n">
        <f aca="false">IF(AD$4=0,0,IF(COUNTIFS(実績!$W$6:$W$505,AD$3,実績!$AI$6:$AI$505,"&lt;="&amp;$A243,実績!$AJ$6:$AJ$505,"&gt;"&amp;$A243,実績!$AK$6:$AK$505,"○")&gt;0,1,0))</f>
        <v>0</v>
      </c>
      <c r="AE243" s="39" t="n">
        <f aca="false">IF(AE$4=0,0,IF(COUNTIFS(実績!$W$6:$W$505,AE$3,実績!$AI$6:$AI$505,"&lt;="&amp;$A243,実績!$AJ$6:$AJ$505,"&gt;"&amp;$A243,実績!$AK$6:$AK$505,"○")&gt;0,1,0))</f>
        <v>0</v>
      </c>
      <c r="AF243" s="39" t="n">
        <f aca="false">IF(AF$4=0,0,IF(COUNTIFS(実績!$W$6:$W$505,AF$3,実績!$AI$6:$AI$505,"&lt;="&amp;$A243,実績!$AJ$6:$AJ$505,"&gt;"&amp;$A243,実績!$AK$6:$AK$505,"○")&gt;0,1,0))</f>
        <v>0</v>
      </c>
      <c r="AG243" s="39" t="n">
        <f aca="false">IF(AG$4=0,0,IF(COUNTIFS(実績!$W$6:$W$505,AG$3,実績!$AI$6:$AI$505,"&lt;="&amp;$A243,実績!$AJ$6:$AJ$505,"&gt;"&amp;$A243,実績!$AK$6:$AK$505,"○")&gt;0,1,0))</f>
        <v>0</v>
      </c>
      <c r="AH243" s="39" t="n">
        <f aca="false">IF(AH$4=0,0,IF(COUNTIFS(実績!$W$6:$W$505,AH$3,実績!$AI$6:$AI$505,"&lt;="&amp;$A243,実績!$AJ$6:$AJ$505,"&gt;"&amp;$A243,実績!$AK$6:$AK$505,"○")&gt;0,1,0))</f>
        <v>0</v>
      </c>
      <c r="AI243" s="39" t="n">
        <f aca="false">IF(AI$4=0,0,IF(COUNTIFS(実績!$W$6:$W$505,AI$3,実績!$AI$6:$AI$505,"&lt;="&amp;$A243,実績!$AJ$6:$AJ$505,"&gt;"&amp;$A243,実績!$AK$6:$AK$505,"○")&gt;0,1,0))</f>
        <v>0</v>
      </c>
      <c r="AJ243" s="39" t="n">
        <f aca="false">IF(AJ$4=0,0,IF(COUNTIFS(実績!$W$6:$W$505,AJ$3,実績!$AI$6:$AI$505,"&lt;="&amp;$A243,実績!$AJ$6:$AJ$505,"&gt;"&amp;$A243,実績!$AK$6:$AK$505,"○")&gt;0,1,0))</f>
        <v>0</v>
      </c>
      <c r="AK243" s="39" t="n">
        <f aca="false">IF(AK$4=0,0,IF(COUNTIFS(実績!$W$6:$W$505,AK$3,実績!$AI$6:$AI$505,"&lt;="&amp;$A243,実績!$AJ$6:$AJ$505,"&gt;"&amp;$A243,実績!$AK$6:$AK$505,"○")&gt;0,1,0))</f>
        <v>0</v>
      </c>
      <c r="AL243" s="39" t="n">
        <f aca="false">IF(AL$4=0,0,IF(COUNTIFS(実績!$W$6:$W$505,AL$3,実績!$AI$6:$AI$505,"&lt;="&amp;$A243,実績!$AJ$6:$AJ$505,"&gt;"&amp;$A243,実績!$AK$6:$AK$505,"○")&gt;0,1,0))</f>
        <v>0</v>
      </c>
      <c r="AM243" s="39" t="n">
        <f aca="false">IF(AM$4=0,0,IF(COUNTIFS(実績!$W$6:$W$505,AM$3,実績!$AI$6:$AI$505,"&lt;="&amp;$A243,実績!$AJ$6:$AJ$505,"&gt;"&amp;$A243,実績!$AK$6:$AK$505,"○")&gt;0,1,0))</f>
        <v>0</v>
      </c>
      <c r="AN243" s="39" t="n">
        <f aca="false">IF(AN$4=0,0,IF(COUNTIFS(実績!$W$6:$W$505,AN$3,実績!$AI$6:$AI$505,"&lt;="&amp;$A243,実績!$AJ$6:$AJ$505,"&gt;"&amp;$A243,実績!$AK$6:$AK$505,"○")&gt;0,1,0))</f>
        <v>0</v>
      </c>
      <c r="AO243" s="39" t="n">
        <f aca="false">IF(AO$4=0,0,IF(COUNTIFS(実績!$W$6:$W$505,AO$3,実績!$AI$6:$AI$505,"&lt;="&amp;$A243,実績!$AJ$6:$AJ$505,"&gt;"&amp;$A243,実績!$AK$6:$AK$505,"○")&gt;0,1,0))</f>
        <v>0</v>
      </c>
      <c r="AP243" s="39" t="n">
        <f aca="false">IF(AP$4=0,0,IF(COUNTIFS(実績!$W$6:$W$505,AP$3,実績!$AI$6:$AI$505,"&lt;="&amp;$A243,実績!$AJ$6:$AJ$505,"&gt;"&amp;$A243,実績!$AK$6:$AK$505,"○")&gt;0,1,0))</f>
        <v>0</v>
      </c>
      <c r="AQ243" s="39" t="n">
        <f aca="false">IF(AQ$4=0,0,IF(COUNTIFS(実績!$W$6:$W$505,AQ$3,実績!$AI$6:$AI$505,"&lt;="&amp;$A243,実績!$AJ$6:$AJ$505,"&gt;"&amp;$A243,実績!$AK$6:$AK$505,"○")&gt;0,1,0))</f>
        <v>0</v>
      </c>
      <c r="AR243" s="39" t="n">
        <f aca="false">IF(AR$4=0,0,IF(COUNTIFS(実績!$W$6:$W$505,AR$3,実績!$AI$6:$AI$505,"&lt;="&amp;$A243,実績!$AJ$6:$AJ$505,"&gt;"&amp;$A243,実績!$AK$6:$AK$505,"○")&gt;0,1,0))</f>
        <v>0</v>
      </c>
      <c r="AS243" s="39" t="n">
        <f aca="false">IF(AS$4=0,0,IF(COUNTIFS(実績!$W$6:$W$505,AS$3,実績!$AI$6:$AI$505,"&lt;="&amp;$A243,実績!$AJ$6:$AJ$505,"&gt;"&amp;$A243,実績!$AK$6:$AK$505,"○")&gt;0,1,0))</f>
        <v>0</v>
      </c>
      <c r="AT243" s="39" t="n">
        <f aca="false">IF(AT$4=0,0,IF(COUNTIFS(実績!$W$6:$W$505,AT$3,実績!$AI$6:$AI$505,"&lt;="&amp;$A243,実績!$AJ$6:$AJ$505,"&gt;"&amp;$A243,実績!$AK$6:$AK$505,"○")&gt;0,1,0))</f>
        <v>0</v>
      </c>
      <c r="AU243" s="39" t="n">
        <f aca="false">IF(AU$4=0,0,IF(COUNTIFS(実績!$W$6:$W$505,AU$3,実績!$AI$6:$AI$505,"&lt;="&amp;$A243,実績!$AJ$6:$AJ$505,"&gt;"&amp;$A243,実績!$AK$6:$AK$505,"○")&gt;0,1,0))</f>
        <v>0</v>
      </c>
      <c r="AV243" s="39" t="n">
        <f aca="false">IF(AV$4=0,0,IF(COUNTIFS(実績!$W$6:$W$505,AV$3,実績!$AI$6:$AI$505,"&lt;="&amp;$A243,実績!$AJ$6:$AJ$505,"&gt;"&amp;$A243,実績!$AK$6:$AK$505,"○")&gt;0,1,0))</f>
        <v>0</v>
      </c>
      <c r="AW243" s="39" t="n">
        <f aca="false">IF(AW$4=0,0,IF(COUNTIFS(実績!$W$6:$W$505,AW$3,実績!$AI$6:$AI$505,"&lt;="&amp;$A243,実績!$AJ$6:$AJ$505,"&gt;"&amp;$A243,実績!$AK$6:$AK$505,"○")&gt;0,1,0))</f>
        <v>0</v>
      </c>
      <c r="AX243" s="39" t="n">
        <f aca="false">IF(AX$4=0,0,IF(COUNTIFS(実績!$W$6:$W$505,AX$3,実績!$AI$6:$AI$505,"&lt;="&amp;$A243,実績!$AJ$6:$AJ$505,"&gt;"&amp;$A243,実績!$AK$6:$AK$505,"○")&gt;0,1,0))</f>
        <v>0</v>
      </c>
      <c r="AY243" s="39" t="n">
        <f aca="false">IF(AY$4=0,0,IF(COUNTIFS(実績!$W$6:$W$505,AY$3,実績!$AI$6:$AI$505,"&lt;="&amp;$A243,実績!$AJ$6:$AJ$505,"&gt;"&amp;$A243,実績!$AK$6:$AK$505,"○")&gt;0,1,0))</f>
        <v>0</v>
      </c>
      <c r="AZ243" s="39" t="n">
        <f aca="false">IF(AZ$4=0,0,IF(COUNTIFS(実績!$W$6:$W$505,AZ$3,実績!$AI$6:$AI$505,"&lt;="&amp;$A243,実績!$AJ$6:$AJ$505,"&gt;"&amp;$A243,実績!$AK$6:$AK$505,"○")&gt;0,1,0))</f>
        <v>0</v>
      </c>
      <c r="BA243" s="39" t="n">
        <f aca="false">IF(BA$4=0,0,IF(COUNTIFS(実績!$W$6:$W$505,BA$3,実績!$AI$6:$AI$505,"&lt;="&amp;$A243,実績!$AJ$6:$AJ$505,"&gt;"&amp;$A243,実績!$AK$6:$AK$505,"○")&gt;0,1,0))</f>
        <v>0</v>
      </c>
      <c r="BB243" s="39" t="n">
        <f aca="false">IF(BB$4=0,0,IF(COUNTIFS(実績!$W$6:$W$505,BB$3,実績!$AI$6:$AI$505,"&lt;="&amp;$A243,実績!$AJ$6:$AJ$505,"&gt;"&amp;$A243,実績!$AK$6:$AK$505,"○")&gt;0,1,0))</f>
        <v>0</v>
      </c>
      <c r="BC243" s="39" t="n">
        <f aca="false">IF(BC$4=0,0,IF(COUNTIFS(実績!$W$6:$W$505,BC$3,実績!$AI$6:$AI$505,"&lt;="&amp;$A243,実績!$AJ$6:$AJ$505,"&gt;"&amp;$A243,実績!$AK$6:$AK$505,"○")&gt;0,1,0))</f>
        <v>0</v>
      </c>
      <c r="BD243" s="39" t="n">
        <f aca="false">IF(BD$4=0,0,IF(COUNTIFS(実績!$W$6:$W$505,BD$3,実績!$AI$6:$AI$505,"&lt;="&amp;$A243,実績!$AJ$6:$AJ$505,"&gt;"&amp;$A243,実績!$AK$6:$AK$505,"○")&gt;0,1,0))</f>
        <v>0</v>
      </c>
      <c r="BE243" s="39" t="n">
        <f aca="false">IF(BE$4=0,0,IF(COUNTIFS(実績!$W$6:$W$505,BE$3,実績!$AI$6:$AI$505,"&lt;="&amp;$A243,実績!$AJ$6:$AJ$505,"&gt;"&amp;$A243,実績!$AK$6:$AK$505,"○")&gt;0,1,0))</f>
        <v>0</v>
      </c>
      <c r="BF243" s="39" t="n">
        <f aca="false">IF(BF$4=0,0,IF(COUNTIFS(実績!$W$6:$W$505,BF$3,実績!$AI$6:$AI$505,"&lt;="&amp;$A243,実績!$AJ$6:$AJ$505,"&gt;"&amp;$A243,実績!$AK$6:$AK$505,"○")&gt;0,1,0))</f>
        <v>0</v>
      </c>
      <c r="BG243" s="39" t="n">
        <f aca="false">IF(BG$4=0,0,IF(COUNTIFS(実績!$W$6:$W$505,BG$3,実績!$AI$6:$AI$505,"&lt;="&amp;$A243,実績!$AJ$6:$AJ$505,"&gt;"&amp;$A243,実績!$AK$6:$AK$505,"○")&gt;0,1,0))</f>
        <v>0</v>
      </c>
      <c r="BH243" s="39" t="n">
        <f aca="false">IF(BH$4=0,0,IF(COUNTIFS(実績!$W$6:$W$505,BH$3,実績!$AI$6:$AI$505,"&lt;="&amp;$A243,実績!$AJ$6:$AJ$505,"&gt;"&amp;$A243,実績!$AK$6:$AK$505,"○")&gt;0,1,0))</f>
        <v>0</v>
      </c>
      <c r="BI243" s="39" t="n">
        <f aca="false">IF(BI$4=0,0,IF(COUNTIFS(実績!$W$6:$W$505,BI$3,実績!$AI$6:$AI$505,"&lt;="&amp;$A243,実績!$AJ$6:$AJ$505,"&gt;"&amp;$A243,実績!$AK$6:$AK$505,"○")&gt;0,1,0))</f>
        <v>0</v>
      </c>
      <c r="BJ243" s="39" t="n">
        <f aca="false">IF(BJ$4=0,0,IF(COUNTIFS(実績!$W$6:$W$505,BJ$3,実績!$AI$6:$AI$505,"&lt;="&amp;$A243,実績!$AJ$6:$AJ$505,"&gt;"&amp;$A243,実績!$AK$6:$AK$505,"○")&gt;0,1,0))</f>
        <v>0</v>
      </c>
      <c r="BK243" s="39" t="n">
        <f aca="false">IF(BK$4=0,0,IF(COUNTIFS(実績!$W$6:$W$505,BK$3,実績!$AI$6:$AI$505,"&lt;="&amp;$A243,実績!$AJ$6:$AJ$505,"&gt;"&amp;$A243,実績!$AK$6:$AK$505,"○")&gt;0,1,0))</f>
        <v>0</v>
      </c>
      <c r="BL243" s="39" t="n">
        <f aca="false">IF(BL$4=0,0,IF(COUNTIFS(実績!$W$6:$W$505,BL$3,実績!$AI$6:$AI$505,"&lt;="&amp;$A243,実績!$AJ$6:$AJ$505,"&gt;"&amp;$A243,実績!$AK$6:$AK$505,"○")&gt;0,1,0))</f>
        <v>0</v>
      </c>
      <c r="BM243" s="39" t="n">
        <f aca="false">IF(BM$4=0,0,IF(COUNTIFS(実績!$W$6:$W$505,BM$3,実績!$AI$6:$AI$505,"&lt;="&amp;$A243,実績!$AJ$6:$AJ$505,"&gt;"&amp;$A243,実績!$AK$6:$AK$505,"○")&gt;0,1,0))</f>
        <v>0</v>
      </c>
      <c r="BN243" s="39" t="n">
        <f aca="false">IF(BN$4=0,0,IF(COUNTIFS(実績!$W$6:$W$505,BN$3,実績!$AI$6:$AI$505,"&lt;="&amp;$A243,実績!$AJ$6:$AJ$505,"&gt;"&amp;$A243,実績!$AK$6:$AK$505,"○")&gt;0,1,0))</f>
        <v>0</v>
      </c>
      <c r="BO243" s="39" t="n">
        <f aca="false">IF(BO$4=0,0,IF(COUNTIFS(実績!$W$6:$W$505,BO$3,実績!$AI$6:$AI$505,"&lt;="&amp;$A243,実績!$AJ$6:$AJ$505,"&gt;"&amp;$A243,実績!$AK$6:$AK$505,"○")&gt;0,1,0))</f>
        <v>0</v>
      </c>
      <c r="BP243" s="39" t="n">
        <f aca="false">IF(BP$4=0,0,IF(COUNTIFS(実績!$W$6:$W$505,BP$3,実績!$AI$6:$AI$505,"&lt;="&amp;$A243,実績!$AJ$6:$AJ$505,"&gt;"&amp;$A243,実績!$AK$6:$AK$505,"○")&gt;0,1,0))</f>
        <v>0</v>
      </c>
      <c r="BQ243" s="39" t="n">
        <f aca="false">IF(BQ$4=0,0,IF(COUNTIFS(実績!$W$6:$W$505,BQ$3,実績!$AI$6:$AI$505,"&lt;="&amp;$A243,実績!$AJ$6:$AJ$505,"&gt;"&amp;$A243,実績!$AK$6:$AK$505,"○")&gt;0,1,0))</f>
        <v>0</v>
      </c>
      <c r="BR243" s="39" t="n">
        <f aca="false">IF(BR$4=0,0,IF(COUNTIFS(実績!$W$6:$W$505,BR$3,実績!$AI$6:$AI$505,"&lt;="&amp;$A243,実績!$AJ$6:$AJ$505,"&gt;"&amp;$A243,実績!$AK$6:$AK$505,"○")&gt;0,1,0))</f>
        <v>0</v>
      </c>
      <c r="BS243" s="39" t="n">
        <f aca="false">IF(BS$4=0,0,IF(COUNTIFS(実績!$W$6:$W$505,BS$3,実績!$AI$6:$AI$505,"&lt;="&amp;$A243,実績!$AJ$6:$AJ$505,"&gt;"&amp;$A243,実績!$AK$6:$AK$505,"○")&gt;0,1,0))</f>
        <v>0</v>
      </c>
      <c r="BT243" s="39" t="n">
        <f aca="false">IF(BT$4=0,0,IF(COUNTIFS(実績!$W$6:$W$505,BT$3,実績!$AI$6:$AI$505,"&lt;="&amp;$A243,実績!$AJ$6:$AJ$505,"&gt;"&amp;$A243,実績!$AK$6:$AK$505,"○")&gt;0,1,0))</f>
        <v>0</v>
      </c>
      <c r="BU243" s="39" t="n">
        <f aca="false">IF(BU$4=0,0,IF(COUNTIFS(実績!$W$6:$W$505,BU$3,実績!$AI$6:$AI$505,"&lt;="&amp;$A243,実績!$AJ$6:$AJ$505,"&gt;"&amp;$A243,実績!$AK$6:$AK$505,"○")&gt;0,1,0))</f>
        <v>0</v>
      </c>
      <c r="BV243" s="39" t="n">
        <f aca="false">IF(BV$4=0,0,IF(COUNTIFS(実績!$W$6:$W$505,BV$3,実績!$AI$6:$AI$505,"&lt;="&amp;$A243,実績!$AJ$6:$AJ$505,"&gt;"&amp;$A243,実績!$AK$6:$AK$505,"○")&gt;0,1,0))</f>
        <v>0</v>
      </c>
      <c r="BW243" s="39" t="n">
        <f aca="false">IF(BW$4=0,0,IF(COUNTIFS(実績!$W$6:$W$505,BW$3,実績!$AI$6:$AI$505,"&lt;="&amp;$A243,実績!$AJ$6:$AJ$505,"&gt;"&amp;$A243,実績!$AK$6:$AK$505,"○")&gt;0,1,0))</f>
        <v>0</v>
      </c>
      <c r="BX243" s="39" t="n">
        <f aca="false">IF(BX$4=0,0,IF(COUNTIFS(実績!$W$6:$W$505,BX$3,実績!$AI$6:$AI$505,"&lt;="&amp;$A243,実績!$AJ$6:$AJ$505,"&gt;"&amp;$A243,実績!$AK$6:$AK$505,"○")&gt;0,1,0))</f>
        <v>0</v>
      </c>
      <c r="BY243" s="39" t="n">
        <f aca="false">IF(BY$4=0,0,IF(COUNTIFS(実績!$W$6:$W$505,BY$3,実績!$AI$6:$AI$505,"&lt;="&amp;$A243,実績!$AJ$6:$AJ$505,"&gt;"&amp;$A243,実績!$AK$6:$AK$505,"○")&gt;0,1,0))</f>
        <v>0</v>
      </c>
      <c r="BZ243" s="39" t="n">
        <f aca="false">IF(BZ$4=0,0,IF(COUNTIFS(実績!$W$6:$W$505,BZ$3,実績!$AI$6:$AI$505,"&lt;="&amp;$A243,実績!$AJ$6:$AJ$505,"&gt;"&amp;$A243,実績!$AK$6:$AK$505,"○")&gt;0,1,0))</f>
        <v>0</v>
      </c>
      <c r="CA243" s="39" t="n">
        <f aca="false">IF(CA$4=0,0,IF(COUNTIFS(実績!$W$6:$W$505,CA$3,実績!$AI$6:$AI$505,"&lt;="&amp;$A243,実績!$AJ$6:$AJ$505,"&gt;"&amp;$A243,実績!$AK$6:$AK$505,"○")&gt;0,1,0))</f>
        <v>0</v>
      </c>
      <c r="CB243" s="39" t="n">
        <f aca="false">IF(CB$4=0,0,IF(COUNTIFS(実績!$W$6:$W$505,CB$3,実績!$AI$6:$AI$505,"&lt;="&amp;$A243,実績!$AJ$6:$AJ$505,"&gt;"&amp;$A243,実績!$AK$6:$AK$505,"○")&gt;0,1,0))</f>
        <v>0</v>
      </c>
      <c r="CC243" s="39" t="n">
        <f aca="false">IF(CC$4=0,0,IF(COUNTIFS(実績!$W$6:$W$505,CC$3,実績!$AI$6:$AI$505,"&lt;="&amp;$A243,実績!$AJ$6:$AJ$505,"&gt;"&amp;$A243,実績!$AK$6:$AK$505,"○")&gt;0,1,0))</f>
        <v>0</v>
      </c>
      <c r="CD243" s="39" t="n">
        <f aca="false">IF(CD$4=0,0,IF(COUNTIFS(実績!$W$6:$W$505,CD$3,実績!$AI$6:$AI$505,"&lt;="&amp;$A243,実績!$AJ$6:$AJ$505,"&gt;"&amp;$A243,実績!$AK$6:$AK$505,"○")&gt;0,1,0))</f>
        <v>0</v>
      </c>
      <c r="CE243" s="39" t="n">
        <f aca="false">IF(CE$4=0,0,IF(COUNTIFS(実績!$W$6:$W$505,CE$3,実績!$AI$6:$AI$505,"&lt;="&amp;$A243,実績!$AJ$6:$AJ$505,"&gt;"&amp;$A243,実績!$AK$6:$AK$505,"○")&gt;0,1,0))</f>
        <v>0</v>
      </c>
      <c r="CF243" s="39" t="n">
        <f aca="false">IF(CF$4=0,0,IF(COUNTIFS(実績!$W$6:$W$505,CF$3,実績!$AI$6:$AI$505,"&lt;="&amp;$A243,実績!$AJ$6:$AJ$505,"&gt;"&amp;$A243,実績!$AK$6:$AK$505,"○")&gt;0,1,0))</f>
        <v>0</v>
      </c>
      <c r="CG243" s="39" t="n">
        <f aca="false">IF(CG$4=0,0,IF(COUNTIFS(実績!$W$6:$W$505,CG$3,実績!$AI$6:$AI$505,"&lt;="&amp;$A243,実績!$AJ$6:$AJ$505,"&gt;"&amp;$A243,実績!$AK$6:$AK$505,"○")&gt;0,1,0))</f>
        <v>0</v>
      </c>
      <c r="CH243" s="39" t="n">
        <f aca="false">IF(CH$4=0,0,IF(COUNTIFS(実績!$W$6:$W$505,CH$3,実績!$AI$6:$AI$505,"&lt;="&amp;$A243,実績!$AJ$6:$AJ$505,"&gt;"&amp;$A243,実績!$AK$6:$AK$505,"○")&gt;0,1,0))</f>
        <v>0</v>
      </c>
      <c r="CI243" s="39" t="n">
        <f aca="false">IF(CI$4=0,0,IF(COUNTIFS(実績!$W$6:$W$505,CI$3,実績!$AI$6:$AI$505,"&lt;="&amp;$A243,実績!$AJ$6:$AJ$505,"&gt;"&amp;$A243,実績!$AK$6:$AK$505,"○")&gt;0,1,0))</f>
        <v>0</v>
      </c>
      <c r="CJ243" s="39" t="n">
        <f aca="false">IF(CJ$4=0,0,IF(COUNTIFS(実績!$W$6:$W$505,CJ$3,実績!$AI$6:$AI$505,"&lt;="&amp;$A243,実績!$AJ$6:$AJ$505,"&gt;"&amp;$A243,実績!$AK$6:$AK$505,"○")&gt;0,1,0))</f>
        <v>0</v>
      </c>
      <c r="CK243" s="39" t="n">
        <f aca="false">IF(CK$4=0,0,IF(COUNTIFS(実績!$W$6:$W$505,CK$3,実績!$AI$6:$AI$505,"&lt;="&amp;$A243,実績!$AJ$6:$AJ$505,"&gt;"&amp;$A243,実績!$AK$6:$AK$505,"○")&gt;0,1,0))</f>
        <v>0</v>
      </c>
      <c r="CL243" s="39" t="n">
        <f aca="false">IF(CL$4=0,0,IF(COUNTIFS(実績!$W$6:$W$505,CL$3,実績!$AI$6:$AI$505,"&lt;="&amp;$A243,実績!$AJ$6:$AJ$505,"&gt;"&amp;$A243,実績!$AK$6:$AK$505,"○")&gt;0,1,0))</f>
        <v>0</v>
      </c>
      <c r="CM243" s="39" t="n">
        <f aca="false">IF(CM$4=0,0,IF(COUNTIFS(実績!$W$6:$W$505,CM$3,実績!$AI$6:$AI$505,"&lt;="&amp;$A243,実績!$AJ$6:$AJ$505,"&gt;"&amp;$A243,実績!$AK$6:$AK$505,"○")&gt;0,1,0))</f>
        <v>0</v>
      </c>
      <c r="CN243" s="39" t="n">
        <f aca="false">IF(CN$4=0,0,IF(COUNTIFS(実績!$W$6:$W$505,CN$3,実績!$AI$6:$AI$505,"&lt;="&amp;$A243,実績!$AJ$6:$AJ$505,"&gt;"&amp;$A243,実績!$AK$6:$AK$505,"○")&gt;0,1,0))</f>
        <v>0</v>
      </c>
      <c r="CO243" s="39" t="n">
        <f aca="false">IF(CO$4=0,0,IF(COUNTIFS(実績!$W$6:$W$505,CO$3,実績!$AI$6:$AI$505,"&lt;="&amp;$A243,実績!$AJ$6:$AJ$505,"&gt;"&amp;$A243,実績!$AK$6:$AK$505,"○")&gt;0,1,0))</f>
        <v>0</v>
      </c>
      <c r="CP243" s="39" t="n">
        <f aca="false">IF(CP$4=0,0,IF(COUNTIFS(実績!$W$6:$W$505,CP$3,実績!$AI$6:$AI$505,"&lt;="&amp;$A243,実績!$AJ$6:$AJ$505,"&gt;"&amp;$A243,実績!$AK$6:$AK$505,"○")&gt;0,1,0))</f>
        <v>0</v>
      </c>
      <c r="CQ243" s="39" t="n">
        <f aca="false">IF(CQ$4=0,0,IF(COUNTIFS(実績!$W$6:$W$505,CQ$3,実績!$AI$6:$AI$505,"&lt;="&amp;$A243,実績!$AJ$6:$AJ$505,"&gt;"&amp;$A243,実績!$AK$6:$AK$505,"○")&gt;0,1,0))</f>
        <v>0</v>
      </c>
      <c r="CR243" s="39" t="n">
        <f aca="false">IF(CR$4=0,0,IF(COUNTIFS(実績!$W$6:$W$505,CR$3,実績!$AI$6:$AI$505,"&lt;="&amp;$A243,実績!$AJ$6:$AJ$505,"&gt;"&amp;$A243,実績!$AK$6:$AK$505,"○")&gt;0,1,0))</f>
        <v>0</v>
      </c>
      <c r="CS243" s="39" t="n">
        <f aca="false">IF(CS$4=0,0,IF(COUNTIFS(実績!$W$6:$W$505,CS$3,実績!$AI$6:$AI$505,"&lt;="&amp;$A243,実績!$AJ$6:$AJ$505,"&gt;"&amp;$A243,実績!$AK$6:$AK$505,"○")&gt;0,1,0))</f>
        <v>0</v>
      </c>
      <c r="CT243" s="39" t="n">
        <f aca="false">IF(CT$4=0,0,IF(COUNTIFS(実績!$W$6:$W$505,CT$3,実績!$AI$6:$AI$505,"&lt;="&amp;$A243,実績!$AJ$6:$AJ$505,"&gt;"&amp;$A243,実績!$AK$6:$AK$505,"○")&gt;0,1,0))</f>
        <v>0</v>
      </c>
      <c r="CU243" s="39" t="n">
        <f aca="false">IF(CU$4=0,0,IF(COUNTIFS(実績!$W$6:$W$505,CU$3,実績!$AI$6:$AI$505,"&lt;="&amp;$A243,実績!$AJ$6:$AJ$505,"&gt;"&amp;$A243,実績!$AK$6:$AK$505,"○")&gt;0,1,0))</f>
        <v>0</v>
      </c>
      <c r="CV243" s="39" t="n">
        <f aca="false">IF(CV$4=0,0,IF(COUNTIFS(実績!$W$6:$W$505,CV$3,実績!$AI$6:$AI$505,"&lt;="&amp;$A243,実績!$AJ$6:$AJ$505,"&gt;"&amp;$A243,実績!$AK$6:$AK$505,"○")&gt;0,1,0))</f>
        <v>0</v>
      </c>
      <c r="CW243" s="39" t="n">
        <f aca="false">IF(CW$4=0,0,IF(COUNTIFS(実績!$W$6:$W$505,CW$3,実績!$AI$6:$AI$505,"&lt;="&amp;$A243,実績!$AJ$6:$AJ$505,"&gt;"&amp;$A243,実績!$AK$6:$AK$505,"○")&gt;0,1,0))</f>
        <v>0</v>
      </c>
      <c r="CX243" s="39" t="n">
        <f aca="false">IF(CX$4=0,0,IF(COUNTIFS(実績!$W$6:$W$505,CX$3,実績!$AI$6:$AI$505,"&lt;="&amp;$A243,実績!$AJ$6:$AJ$505,"&gt;"&amp;$A243,実績!$AK$6:$AK$505,"○")&gt;0,1,0))</f>
        <v>0</v>
      </c>
      <c r="CY243" s="39" t="n">
        <f aca="false">IF(CY$4=0,0,IF(COUNTIFS(実績!$W$6:$W$505,CY$3,実績!$AI$6:$AI$505,"&lt;="&amp;$A243,実績!$AJ$6:$AJ$505,"&gt;"&amp;$A243,実績!$AK$6:$AK$505,"○")&gt;0,1,0))</f>
        <v>0</v>
      </c>
      <c r="CZ243" s="39" t="n">
        <f aca="false">IF(CZ$4=0,0,IF(COUNTIFS(実績!$W$6:$W$505,CZ$3,実績!$AI$6:$AI$505,"&lt;="&amp;$A243,実績!$AJ$6:$AJ$505,"&gt;"&amp;$A243,実績!$AK$6:$AK$505,"○")&gt;0,1,0))</f>
        <v>0</v>
      </c>
      <c r="DA243" s="39" t="n">
        <f aca="false">IF(DA$4=0,0,IF(COUNTIFS(実績!$W$6:$W$505,DA$3,実績!$AI$6:$AI$505,"&lt;="&amp;$A243,実績!$AJ$6:$AJ$505,"&gt;"&amp;$A243,実績!$AK$6:$AK$505,"○")&gt;0,1,0))</f>
        <v>0</v>
      </c>
      <c r="DB243" s="39" t="n">
        <f aca="false">IF(DB$4=0,0,IF(COUNTIFS(実績!$W$6:$W$505,DB$3,実績!$AI$6:$AI$505,"&lt;="&amp;$A243,実績!$AJ$6:$AJ$505,"&gt;"&amp;$A243,実績!$AK$6:$AK$505,"○")&gt;0,1,0))</f>
        <v>0</v>
      </c>
      <c r="DC243" s="39" t="n">
        <f aca="false">IF(DC$4=0,0,IF(COUNTIFS(実績!$W$6:$W$505,DC$3,実績!$AI$6:$AI$505,"&lt;="&amp;$A243,実績!$AJ$6:$AJ$505,"&gt;"&amp;$A243,実績!$AK$6:$AK$505,"○")&gt;0,1,0))</f>
        <v>0</v>
      </c>
      <c r="DD243" s="39" t="n">
        <f aca="false">IF(DD$4=0,0,IF(COUNTIFS(実績!$W$6:$W$505,DD$3,実績!$AI$6:$AI$505,"&lt;="&amp;$A243,実績!$AJ$6:$AJ$505,"&gt;"&amp;$A243,実績!$AK$6:$AK$505,"○")&gt;0,1,0))</f>
        <v>0</v>
      </c>
      <c r="DE243" s="39" t="n">
        <f aca="false">IF(DE$4=0,0,IF(COUNTIFS(実績!$W$6:$W$505,DE$3,実績!$AI$6:$AI$505,"&lt;="&amp;$A243,実績!$AJ$6:$AJ$505,"&gt;"&amp;$A243,実績!$AK$6:$AK$505,"○")&gt;0,1,0))</f>
        <v>0</v>
      </c>
      <c r="DF243" s="39" t="n">
        <f aca="false">IF(DF$4=0,0,IF(COUNTIFS(実績!$W$6:$W$505,DF$3,実績!$AI$6:$AI$505,"&lt;="&amp;$A243,実績!$AJ$6:$AJ$505,"&gt;"&amp;$A243,実績!$AK$6:$AK$505,"○")&gt;0,1,0))</f>
        <v>0</v>
      </c>
      <c r="DG243" s="39" t="n">
        <f aca="false">IF(DG$4=0,0,IF(COUNTIFS(実績!$W$6:$W$505,DG$3,実績!$AI$6:$AI$505,"&lt;="&amp;$A243,実績!$AJ$6:$AJ$505,"&gt;"&amp;$A243,実績!$AK$6:$AK$505,"○")&gt;0,1,0))</f>
        <v>0</v>
      </c>
      <c r="DH243" s="39" t="n">
        <f aca="false">IF(DH$4=0,0,IF(COUNTIFS(実績!$W$6:$W$505,DH$3,実績!$AI$6:$AI$505,"&lt;="&amp;$A243,実績!$AJ$6:$AJ$505,"&gt;"&amp;$A243,実績!$AK$6:$AK$505,"○")&gt;0,1,0))</f>
        <v>0</v>
      </c>
      <c r="DI243" s="39" t="n">
        <f aca="false">IF(DI$4=0,0,IF(COUNTIFS(実績!$W$6:$W$505,DI$3,実績!$AI$6:$AI$505,"&lt;="&amp;$A243,実績!$AJ$6:$AJ$505,"&gt;"&amp;$A243,実績!$AK$6:$AK$505,"○")&gt;0,1,0))</f>
        <v>0</v>
      </c>
      <c r="DJ243" s="39" t="n">
        <f aca="false">IF(DJ$4=0,0,IF(COUNTIFS(実績!$W$6:$W$505,DJ$3,実績!$AI$6:$AI$505,"&lt;="&amp;$A243,実績!$AJ$6:$AJ$505,"&gt;"&amp;$A243,実績!$AK$6:$AK$505,"○")&gt;0,1,0))</f>
        <v>0</v>
      </c>
      <c r="DK243" s="39" t="n">
        <f aca="false">IF(DK$4=0,0,IF(COUNTIFS(実績!$W$6:$W$505,DK$3,実績!$AI$6:$AI$505,"&lt;="&amp;$A243,実績!$AJ$6:$AJ$505,"&gt;"&amp;$A243,実績!$AK$6:$AK$505,"○")&gt;0,1,0))</f>
        <v>0</v>
      </c>
      <c r="DL243" s="39" t="n">
        <f aca="false">IF(DL$4=0,0,IF(COUNTIFS(実績!$W$6:$W$505,DL$3,実績!$AI$6:$AI$505,"&lt;="&amp;$A243,実績!$AJ$6:$AJ$505,"&gt;"&amp;$A243,実績!$AK$6:$AK$505,"○")&gt;0,1,0))</f>
        <v>0</v>
      </c>
      <c r="DM243" s="39" t="n">
        <f aca="false">IF(DM$4=0,0,IF(COUNTIFS(実績!$W$6:$W$505,DM$3,実績!$AI$6:$AI$505,"&lt;="&amp;$A243,実績!$AJ$6:$AJ$505,"&gt;"&amp;$A243,実績!$AK$6:$AK$505,"○")&gt;0,1,0))</f>
        <v>0</v>
      </c>
      <c r="DN243" s="39" t="n">
        <f aca="false">IF(DN$4=0,0,IF(COUNTIFS(実績!$W$6:$W$505,DN$3,実績!$AI$6:$AI$505,"&lt;="&amp;$A243,実績!$AJ$6:$AJ$505,"&gt;"&amp;$A243,実績!$AK$6:$AK$505,"○")&gt;0,1,0))</f>
        <v>0</v>
      </c>
      <c r="DO243" s="39" t="n">
        <f aca="false">IF(DO$4=0,0,IF(COUNTIFS(実績!$W$6:$W$505,DO$3,実績!$AI$6:$AI$505,"&lt;="&amp;$A243,実績!$AJ$6:$AJ$505,"&gt;"&amp;$A243,実績!$AK$6:$AK$505,"○")&gt;0,1,0))</f>
        <v>0</v>
      </c>
      <c r="DP243" s="39" t="n">
        <f aca="false">IF(DP$4=0,0,IF(COUNTIFS(実績!$W$6:$W$505,DP$3,実績!$AI$6:$AI$505,"&lt;="&amp;$A243,実績!$AJ$6:$AJ$505,"&gt;"&amp;$A243,実績!$AK$6:$AK$505,"○")&gt;0,1,0))</f>
        <v>0</v>
      </c>
      <c r="DQ243" s="39" t="n">
        <f aca="false">IF(DQ$4=0,0,IF(COUNTIFS(実績!$W$6:$W$505,DQ$3,実績!$AI$6:$AI$505,"&lt;="&amp;$A243,実績!$AJ$6:$AJ$505,"&gt;"&amp;$A243,実績!$AK$6:$AK$505,"○")&gt;0,1,0))</f>
        <v>0</v>
      </c>
      <c r="DR243" s="39" t="n">
        <f aca="false">IF(DR$4=0,0,IF(COUNTIFS(実績!$W$6:$W$505,DR$3,実績!$AI$6:$AI$505,"&lt;="&amp;$A243,実績!$AJ$6:$AJ$505,"&gt;"&amp;$A243,実績!$AK$6:$AK$505,"○")&gt;0,1,0))</f>
        <v>0</v>
      </c>
      <c r="DS243" s="39" t="n">
        <f aca="false">SUM(C243:DR243)</f>
        <v>0</v>
      </c>
      <c r="DT243" s="39" t="n">
        <f aca="false">SUMPRODUCT((実績!$C$6:$C$505="○")*ISNUMBER(実績!$AM$6:$AM$505)*(実績!$AM$6:$AM$505&lt;=$A243)*(実績!$AN$6:$AN$505&gt;$A243))</f>
        <v>0</v>
      </c>
      <c r="DU243" s="39" t="n">
        <f aca="false">SUMIF($C$2:$DR$2,"製鉄曳船",C243:DR243)</f>
        <v>0</v>
      </c>
      <c r="DV243" s="39" t="n">
        <f aca="false">SUMIF($C$2:$DR$2,"西日本海運",C243:DR243)</f>
        <v>0</v>
      </c>
    </row>
    <row r="244" customFormat="false" ht="15" hidden="false" customHeight="false" outlineLevel="0" collapsed="false">
      <c r="A244" s="0" t="n">
        <v>1190</v>
      </c>
      <c r="B244" s="38" t="n">
        <f aca="false">A244/1440</f>
        <v>0.826388888888889</v>
      </c>
      <c r="C244" s="39" t="n">
        <f aca="false">IF(C$4=0,0,IF(COUNTIFS(実績!$W$6:$W$505,C$3,実績!$AI$6:$AI$505,"&lt;="&amp;$A244,実績!$AJ$6:$AJ$505,"&gt;"&amp;$A244,実績!$AK$6:$AK$505,"○")&gt;0,1,0))</f>
        <v>0</v>
      </c>
      <c r="D244" s="39" t="n">
        <f aca="false">IF(D$4=0,0,IF(COUNTIFS(実績!$W$6:$W$505,D$3,実績!$AI$6:$AI$505,"&lt;="&amp;$A244,実績!$AJ$6:$AJ$505,"&gt;"&amp;$A244,実績!$AK$6:$AK$505,"○")&gt;0,1,0))</f>
        <v>0</v>
      </c>
      <c r="E244" s="39" t="n">
        <f aca="false">IF(E$4=0,0,IF(COUNTIFS(実績!$W$6:$W$505,E$3,実績!$AI$6:$AI$505,"&lt;="&amp;$A244,実績!$AJ$6:$AJ$505,"&gt;"&amp;$A244,実績!$AK$6:$AK$505,"○")&gt;0,1,0))</f>
        <v>0</v>
      </c>
      <c r="F244" s="39" t="n">
        <f aca="false">IF(F$4=0,0,IF(COUNTIFS(実績!$W$6:$W$505,F$3,実績!$AI$6:$AI$505,"&lt;="&amp;$A244,実績!$AJ$6:$AJ$505,"&gt;"&amp;$A244,実績!$AK$6:$AK$505,"○")&gt;0,1,0))</f>
        <v>0</v>
      </c>
      <c r="G244" s="39" t="n">
        <f aca="false">IF(G$4=0,0,IF(COUNTIFS(実績!$W$6:$W$505,G$3,実績!$AI$6:$AI$505,"&lt;="&amp;$A244,実績!$AJ$6:$AJ$505,"&gt;"&amp;$A244,実績!$AK$6:$AK$505,"○")&gt;0,1,0))</f>
        <v>0</v>
      </c>
      <c r="H244" s="39" t="n">
        <f aca="false">IF(H$4=0,0,IF(COUNTIFS(実績!$W$6:$W$505,H$3,実績!$AI$6:$AI$505,"&lt;="&amp;$A244,実績!$AJ$6:$AJ$505,"&gt;"&amp;$A244,実績!$AK$6:$AK$505,"○")&gt;0,1,0))</f>
        <v>0</v>
      </c>
      <c r="I244" s="39" t="n">
        <f aca="false">IF(I$4=0,0,IF(COUNTIFS(実績!$W$6:$W$505,I$3,実績!$AI$6:$AI$505,"&lt;="&amp;$A244,実績!$AJ$6:$AJ$505,"&gt;"&amp;$A244,実績!$AK$6:$AK$505,"○")&gt;0,1,0))</f>
        <v>0</v>
      </c>
      <c r="J244" s="39" t="n">
        <f aca="false">IF(J$4=0,0,IF(COUNTIFS(実績!$W$6:$W$505,J$3,実績!$AI$6:$AI$505,"&lt;="&amp;$A244,実績!$AJ$6:$AJ$505,"&gt;"&amp;$A244,実績!$AK$6:$AK$505,"○")&gt;0,1,0))</f>
        <v>0</v>
      </c>
      <c r="K244" s="39" t="n">
        <f aca="false">IF(K$4=0,0,IF(COUNTIFS(実績!$W$6:$W$505,K$3,実績!$AI$6:$AI$505,"&lt;="&amp;$A244,実績!$AJ$6:$AJ$505,"&gt;"&amp;$A244,実績!$AK$6:$AK$505,"○")&gt;0,1,0))</f>
        <v>0</v>
      </c>
      <c r="L244" s="39" t="n">
        <f aca="false">IF(L$4=0,0,IF(COUNTIFS(実績!$W$6:$W$505,L$3,実績!$AI$6:$AI$505,"&lt;="&amp;$A244,実績!$AJ$6:$AJ$505,"&gt;"&amp;$A244,実績!$AK$6:$AK$505,"○")&gt;0,1,0))</f>
        <v>0</v>
      </c>
      <c r="M244" s="39" t="n">
        <f aca="false">IF(M$4=0,0,IF(COUNTIFS(実績!$W$6:$W$505,M$3,実績!$AI$6:$AI$505,"&lt;="&amp;$A244,実績!$AJ$6:$AJ$505,"&gt;"&amp;$A244,実績!$AK$6:$AK$505,"○")&gt;0,1,0))</f>
        <v>0</v>
      </c>
      <c r="N244" s="39" t="n">
        <f aca="false">IF(N$4=0,0,IF(COUNTIFS(実績!$W$6:$W$505,N$3,実績!$AI$6:$AI$505,"&lt;="&amp;$A244,実績!$AJ$6:$AJ$505,"&gt;"&amp;$A244,実績!$AK$6:$AK$505,"○")&gt;0,1,0))</f>
        <v>0</v>
      </c>
      <c r="O244" s="39" t="n">
        <f aca="false">IF(O$4=0,0,IF(COUNTIFS(実績!$W$6:$W$505,O$3,実績!$AI$6:$AI$505,"&lt;="&amp;$A244,実績!$AJ$6:$AJ$505,"&gt;"&amp;$A244,実績!$AK$6:$AK$505,"○")&gt;0,1,0))</f>
        <v>0</v>
      </c>
      <c r="P244" s="39" t="n">
        <f aca="false">IF(P$4=0,0,IF(COUNTIFS(実績!$W$6:$W$505,P$3,実績!$AI$6:$AI$505,"&lt;="&amp;$A244,実績!$AJ$6:$AJ$505,"&gt;"&amp;$A244,実績!$AK$6:$AK$505,"○")&gt;0,1,0))</f>
        <v>0</v>
      </c>
      <c r="Q244" s="39" t="n">
        <f aca="false">IF(Q$4=0,0,IF(COUNTIFS(実績!$W$6:$W$505,Q$3,実績!$AI$6:$AI$505,"&lt;="&amp;$A244,実績!$AJ$6:$AJ$505,"&gt;"&amp;$A244,実績!$AK$6:$AK$505,"○")&gt;0,1,0))</f>
        <v>0</v>
      </c>
      <c r="R244" s="39" t="n">
        <f aca="false">IF(R$4=0,0,IF(COUNTIFS(実績!$W$6:$W$505,R$3,実績!$AI$6:$AI$505,"&lt;="&amp;$A244,実績!$AJ$6:$AJ$505,"&gt;"&amp;$A244,実績!$AK$6:$AK$505,"○")&gt;0,1,0))</f>
        <v>0</v>
      </c>
      <c r="S244" s="39" t="n">
        <f aca="false">IF(S$4=0,0,IF(COUNTIFS(実績!$W$6:$W$505,S$3,実績!$AI$6:$AI$505,"&lt;="&amp;$A244,実績!$AJ$6:$AJ$505,"&gt;"&amp;$A244,実績!$AK$6:$AK$505,"○")&gt;0,1,0))</f>
        <v>0</v>
      </c>
      <c r="T244" s="39" t="n">
        <f aca="false">IF(T$4=0,0,IF(COUNTIFS(実績!$W$6:$W$505,T$3,実績!$AI$6:$AI$505,"&lt;="&amp;$A244,実績!$AJ$6:$AJ$505,"&gt;"&amp;$A244,実績!$AK$6:$AK$505,"○")&gt;0,1,0))</f>
        <v>0</v>
      </c>
      <c r="U244" s="39" t="n">
        <f aca="false">IF(U$4=0,0,IF(COUNTIFS(実績!$W$6:$W$505,U$3,実績!$AI$6:$AI$505,"&lt;="&amp;$A244,実績!$AJ$6:$AJ$505,"&gt;"&amp;$A244,実績!$AK$6:$AK$505,"○")&gt;0,1,0))</f>
        <v>0</v>
      </c>
      <c r="V244" s="39" t="n">
        <f aca="false">IF(V$4=0,0,IF(COUNTIFS(実績!$W$6:$W$505,V$3,実績!$AI$6:$AI$505,"&lt;="&amp;$A244,実績!$AJ$6:$AJ$505,"&gt;"&amp;$A244,実績!$AK$6:$AK$505,"○")&gt;0,1,0))</f>
        <v>0</v>
      </c>
      <c r="W244" s="39" t="n">
        <f aca="false">IF(W$4=0,0,IF(COUNTIFS(実績!$W$6:$W$505,W$3,実績!$AI$6:$AI$505,"&lt;="&amp;$A244,実績!$AJ$6:$AJ$505,"&gt;"&amp;$A244,実績!$AK$6:$AK$505,"○")&gt;0,1,0))</f>
        <v>0</v>
      </c>
      <c r="X244" s="39" t="n">
        <f aca="false">IF(X$4=0,0,IF(COUNTIFS(実績!$W$6:$W$505,X$3,実績!$AI$6:$AI$505,"&lt;="&amp;$A244,実績!$AJ$6:$AJ$505,"&gt;"&amp;$A244,実績!$AK$6:$AK$505,"○")&gt;0,1,0))</f>
        <v>0</v>
      </c>
      <c r="Y244" s="39" t="n">
        <f aca="false">IF(Y$4=0,0,IF(COUNTIFS(実績!$W$6:$W$505,Y$3,実績!$AI$6:$AI$505,"&lt;="&amp;$A244,実績!$AJ$6:$AJ$505,"&gt;"&amp;$A244,実績!$AK$6:$AK$505,"○")&gt;0,1,0))</f>
        <v>0</v>
      </c>
      <c r="Z244" s="39" t="n">
        <f aca="false">IF(Z$4=0,0,IF(COUNTIFS(実績!$W$6:$W$505,Z$3,実績!$AI$6:$AI$505,"&lt;="&amp;$A244,実績!$AJ$6:$AJ$505,"&gt;"&amp;$A244,実績!$AK$6:$AK$505,"○")&gt;0,1,0))</f>
        <v>0</v>
      </c>
      <c r="AA244" s="39" t="n">
        <f aca="false">IF(AA$4=0,0,IF(COUNTIFS(実績!$W$6:$W$505,AA$3,実績!$AI$6:$AI$505,"&lt;="&amp;$A244,実績!$AJ$6:$AJ$505,"&gt;"&amp;$A244,実績!$AK$6:$AK$505,"○")&gt;0,1,0))</f>
        <v>0</v>
      </c>
      <c r="AB244" s="39" t="n">
        <f aca="false">IF(AB$4=0,0,IF(COUNTIFS(実績!$W$6:$W$505,AB$3,実績!$AI$6:$AI$505,"&lt;="&amp;$A244,実績!$AJ$6:$AJ$505,"&gt;"&amp;$A244,実績!$AK$6:$AK$505,"○")&gt;0,1,0))</f>
        <v>0</v>
      </c>
      <c r="AC244" s="39" t="n">
        <f aca="false">IF(AC$4=0,0,IF(COUNTIFS(実績!$W$6:$W$505,AC$3,実績!$AI$6:$AI$505,"&lt;="&amp;$A244,実績!$AJ$6:$AJ$505,"&gt;"&amp;$A244,実績!$AK$6:$AK$505,"○")&gt;0,1,0))</f>
        <v>0</v>
      </c>
      <c r="AD244" s="39" t="n">
        <f aca="false">IF(AD$4=0,0,IF(COUNTIFS(実績!$W$6:$W$505,AD$3,実績!$AI$6:$AI$505,"&lt;="&amp;$A244,実績!$AJ$6:$AJ$505,"&gt;"&amp;$A244,実績!$AK$6:$AK$505,"○")&gt;0,1,0))</f>
        <v>0</v>
      </c>
      <c r="AE244" s="39" t="n">
        <f aca="false">IF(AE$4=0,0,IF(COUNTIFS(実績!$W$6:$W$505,AE$3,実績!$AI$6:$AI$505,"&lt;="&amp;$A244,実績!$AJ$6:$AJ$505,"&gt;"&amp;$A244,実績!$AK$6:$AK$505,"○")&gt;0,1,0))</f>
        <v>0</v>
      </c>
      <c r="AF244" s="39" t="n">
        <f aca="false">IF(AF$4=0,0,IF(COUNTIFS(実績!$W$6:$W$505,AF$3,実績!$AI$6:$AI$505,"&lt;="&amp;$A244,実績!$AJ$6:$AJ$505,"&gt;"&amp;$A244,実績!$AK$6:$AK$505,"○")&gt;0,1,0))</f>
        <v>0</v>
      </c>
      <c r="AG244" s="39" t="n">
        <f aca="false">IF(AG$4=0,0,IF(COUNTIFS(実績!$W$6:$W$505,AG$3,実績!$AI$6:$AI$505,"&lt;="&amp;$A244,実績!$AJ$6:$AJ$505,"&gt;"&amp;$A244,実績!$AK$6:$AK$505,"○")&gt;0,1,0))</f>
        <v>0</v>
      </c>
      <c r="AH244" s="39" t="n">
        <f aca="false">IF(AH$4=0,0,IF(COUNTIFS(実績!$W$6:$W$505,AH$3,実績!$AI$6:$AI$505,"&lt;="&amp;$A244,実績!$AJ$6:$AJ$505,"&gt;"&amp;$A244,実績!$AK$6:$AK$505,"○")&gt;0,1,0))</f>
        <v>0</v>
      </c>
      <c r="AI244" s="39" t="n">
        <f aca="false">IF(AI$4=0,0,IF(COUNTIFS(実績!$W$6:$W$505,AI$3,実績!$AI$6:$AI$505,"&lt;="&amp;$A244,実績!$AJ$6:$AJ$505,"&gt;"&amp;$A244,実績!$AK$6:$AK$505,"○")&gt;0,1,0))</f>
        <v>0</v>
      </c>
      <c r="AJ244" s="39" t="n">
        <f aca="false">IF(AJ$4=0,0,IF(COUNTIFS(実績!$W$6:$W$505,AJ$3,実績!$AI$6:$AI$505,"&lt;="&amp;$A244,実績!$AJ$6:$AJ$505,"&gt;"&amp;$A244,実績!$AK$6:$AK$505,"○")&gt;0,1,0))</f>
        <v>0</v>
      </c>
      <c r="AK244" s="39" t="n">
        <f aca="false">IF(AK$4=0,0,IF(COUNTIFS(実績!$W$6:$W$505,AK$3,実績!$AI$6:$AI$505,"&lt;="&amp;$A244,実績!$AJ$6:$AJ$505,"&gt;"&amp;$A244,実績!$AK$6:$AK$505,"○")&gt;0,1,0))</f>
        <v>0</v>
      </c>
      <c r="AL244" s="39" t="n">
        <f aca="false">IF(AL$4=0,0,IF(COUNTIFS(実績!$W$6:$W$505,AL$3,実績!$AI$6:$AI$505,"&lt;="&amp;$A244,実績!$AJ$6:$AJ$505,"&gt;"&amp;$A244,実績!$AK$6:$AK$505,"○")&gt;0,1,0))</f>
        <v>0</v>
      </c>
      <c r="AM244" s="39" t="n">
        <f aca="false">IF(AM$4=0,0,IF(COUNTIFS(実績!$W$6:$W$505,AM$3,実績!$AI$6:$AI$505,"&lt;="&amp;$A244,実績!$AJ$6:$AJ$505,"&gt;"&amp;$A244,実績!$AK$6:$AK$505,"○")&gt;0,1,0))</f>
        <v>0</v>
      </c>
      <c r="AN244" s="39" t="n">
        <f aca="false">IF(AN$4=0,0,IF(COUNTIFS(実績!$W$6:$W$505,AN$3,実績!$AI$6:$AI$505,"&lt;="&amp;$A244,実績!$AJ$6:$AJ$505,"&gt;"&amp;$A244,実績!$AK$6:$AK$505,"○")&gt;0,1,0))</f>
        <v>0</v>
      </c>
      <c r="AO244" s="39" t="n">
        <f aca="false">IF(AO$4=0,0,IF(COUNTIFS(実績!$W$6:$W$505,AO$3,実績!$AI$6:$AI$505,"&lt;="&amp;$A244,実績!$AJ$6:$AJ$505,"&gt;"&amp;$A244,実績!$AK$6:$AK$505,"○")&gt;0,1,0))</f>
        <v>0</v>
      </c>
      <c r="AP244" s="39" t="n">
        <f aca="false">IF(AP$4=0,0,IF(COUNTIFS(実績!$W$6:$W$505,AP$3,実績!$AI$6:$AI$505,"&lt;="&amp;$A244,実績!$AJ$6:$AJ$505,"&gt;"&amp;$A244,実績!$AK$6:$AK$505,"○")&gt;0,1,0))</f>
        <v>0</v>
      </c>
      <c r="AQ244" s="39" t="n">
        <f aca="false">IF(AQ$4=0,0,IF(COUNTIFS(実績!$W$6:$W$505,AQ$3,実績!$AI$6:$AI$505,"&lt;="&amp;$A244,実績!$AJ$6:$AJ$505,"&gt;"&amp;$A244,実績!$AK$6:$AK$505,"○")&gt;0,1,0))</f>
        <v>0</v>
      </c>
      <c r="AR244" s="39" t="n">
        <f aca="false">IF(AR$4=0,0,IF(COUNTIFS(実績!$W$6:$W$505,AR$3,実績!$AI$6:$AI$505,"&lt;="&amp;$A244,実績!$AJ$6:$AJ$505,"&gt;"&amp;$A244,実績!$AK$6:$AK$505,"○")&gt;0,1,0))</f>
        <v>0</v>
      </c>
      <c r="AS244" s="39" t="n">
        <f aca="false">IF(AS$4=0,0,IF(COUNTIFS(実績!$W$6:$W$505,AS$3,実績!$AI$6:$AI$505,"&lt;="&amp;$A244,実績!$AJ$6:$AJ$505,"&gt;"&amp;$A244,実績!$AK$6:$AK$505,"○")&gt;0,1,0))</f>
        <v>0</v>
      </c>
      <c r="AT244" s="39" t="n">
        <f aca="false">IF(AT$4=0,0,IF(COUNTIFS(実績!$W$6:$W$505,AT$3,実績!$AI$6:$AI$505,"&lt;="&amp;$A244,実績!$AJ$6:$AJ$505,"&gt;"&amp;$A244,実績!$AK$6:$AK$505,"○")&gt;0,1,0))</f>
        <v>0</v>
      </c>
      <c r="AU244" s="39" t="n">
        <f aca="false">IF(AU$4=0,0,IF(COUNTIFS(実績!$W$6:$W$505,AU$3,実績!$AI$6:$AI$505,"&lt;="&amp;$A244,実績!$AJ$6:$AJ$505,"&gt;"&amp;$A244,実績!$AK$6:$AK$505,"○")&gt;0,1,0))</f>
        <v>0</v>
      </c>
      <c r="AV244" s="39" t="n">
        <f aca="false">IF(AV$4=0,0,IF(COUNTIFS(実績!$W$6:$W$505,AV$3,実績!$AI$6:$AI$505,"&lt;="&amp;$A244,実績!$AJ$6:$AJ$505,"&gt;"&amp;$A244,実績!$AK$6:$AK$505,"○")&gt;0,1,0))</f>
        <v>0</v>
      </c>
      <c r="AW244" s="39" t="n">
        <f aca="false">IF(AW$4=0,0,IF(COUNTIFS(実績!$W$6:$W$505,AW$3,実績!$AI$6:$AI$505,"&lt;="&amp;$A244,実績!$AJ$6:$AJ$505,"&gt;"&amp;$A244,実績!$AK$6:$AK$505,"○")&gt;0,1,0))</f>
        <v>0</v>
      </c>
      <c r="AX244" s="39" t="n">
        <f aca="false">IF(AX$4=0,0,IF(COUNTIFS(実績!$W$6:$W$505,AX$3,実績!$AI$6:$AI$505,"&lt;="&amp;$A244,実績!$AJ$6:$AJ$505,"&gt;"&amp;$A244,実績!$AK$6:$AK$505,"○")&gt;0,1,0))</f>
        <v>0</v>
      </c>
      <c r="AY244" s="39" t="n">
        <f aca="false">IF(AY$4=0,0,IF(COUNTIFS(実績!$W$6:$W$505,AY$3,実績!$AI$6:$AI$505,"&lt;="&amp;$A244,実績!$AJ$6:$AJ$505,"&gt;"&amp;$A244,実績!$AK$6:$AK$505,"○")&gt;0,1,0))</f>
        <v>0</v>
      </c>
      <c r="AZ244" s="39" t="n">
        <f aca="false">IF(AZ$4=0,0,IF(COUNTIFS(実績!$W$6:$W$505,AZ$3,実績!$AI$6:$AI$505,"&lt;="&amp;$A244,実績!$AJ$6:$AJ$505,"&gt;"&amp;$A244,実績!$AK$6:$AK$505,"○")&gt;0,1,0))</f>
        <v>0</v>
      </c>
      <c r="BA244" s="39" t="n">
        <f aca="false">IF(BA$4=0,0,IF(COUNTIFS(実績!$W$6:$W$505,BA$3,実績!$AI$6:$AI$505,"&lt;="&amp;$A244,実績!$AJ$6:$AJ$505,"&gt;"&amp;$A244,実績!$AK$6:$AK$505,"○")&gt;0,1,0))</f>
        <v>0</v>
      </c>
      <c r="BB244" s="39" t="n">
        <f aca="false">IF(BB$4=0,0,IF(COUNTIFS(実績!$W$6:$W$505,BB$3,実績!$AI$6:$AI$505,"&lt;="&amp;$A244,実績!$AJ$6:$AJ$505,"&gt;"&amp;$A244,実績!$AK$6:$AK$505,"○")&gt;0,1,0))</f>
        <v>0</v>
      </c>
      <c r="BC244" s="39" t="n">
        <f aca="false">IF(BC$4=0,0,IF(COUNTIFS(実績!$W$6:$W$505,BC$3,実績!$AI$6:$AI$505,"&lt;="&amp;$A244,実績!$AJ$6:$AJ$505,"&gt;"&amp;$A244,実績!$AK$6:$AK$505,"○")&gt;0,1,0))</f>
        <v>0</v>
      </c>
      <c r="BD244" s="39" t="n">
        <f aca="false">IF(BD$4=0,0,IF(COUNTIFS(実績!$W$6:$W$505,BD$3,実績!$AI$6:$AI$505,"&lt;="&amp;$A244,実績!$AJ$6:$AJ$505,"&gt;"&amp;$A244,実績!$AK$6:$AK$505,"○")&gt;0,1,0))</f>
        <v>0</v>
      </c>
      <c r="BE244" s="39" t="n">
        <f aca="false">IF(BE$4=0,0,IF(COUNTIFS(実績!$W$6:$W$505,BE$3,実績!$AI$6:$AI$505,"&lt;="&amp;$A244,実績!$AJ$6:$AJ$505,"&gt;"&amp;$A244,実績!$AK$6:$AK$505,"○")&gt;0,1,0))</f>
        <v>0</v>
      </c>
      <c r="BF244" s="39" t="n">
        <f aca="false">IF(BF$4=0,0,IF(COUNTIFS(実績!$W$6:$W$505,BF$3,実績!$AI$6:$AI$505,"&lt;="&amp;$A244,実績!$AJ$6:$AJ$505,"&gt;"&amp;$A244,実績!$AK$6:$AK$505,"○")&gt;0,1,0))</f>
        <v>0</v>
      </c>
      <c r="BG244" s="39" t="n">
        <f aca="false">IF(BG$4=0,0,IF(COUNTIFS(実績!$W$6:$W$505,BG$3,実績!$AI$6:$AI$505,"&lt;="&amp;$A244,実績!$AJ$6:$AJ$505,"&gt;"&amp;$A244,実績!$AK$6:$AK$505,"○")&gt;0,1,0))</f>
        <v>0</v>
      </c>
      <c r="BH244" s="39" t="n">
        <f aca="false">IF(BH$4=0,0,IF(COUNTIFS(実績!$W$6:$W$505,BH$3,実績!$AI$6:$AI$505,"&lt;="&amp;$A244,実績!$AJ$6:$AJ$505,"&gt;"&amp;$A244,実績!$AK$6:$AK$505,"○")&gt;0,1,0))</f>
        <v>0</v>
      </c>
      <c r="BI244" s="39" t="n">
        <f aca="false">IF(BI$4=0,0,IF(COUNTIFS(実績!$W$6:$W$505,BI$3,実績!$AI$6:$AI$505,"&lt;="&amp;$A244,実績!$AJ$6:$AJ$505,"&gt;"&amp;$A244,実績!$AK$6:$AK$505,"○")&gt;0,1,0))</f>
        <v>0</v>
      </c>
      <c r="BJ244" s="39" t="n">
        <f aca="false">IF(BJ$4=0,0,IF(COUNTIFS(実績!$W$6:$W$505,BJ$3,実績!$AI$6:$AI$505,"&lt;="&amp;$A244,実績!$AJ$6:$AJ$505,"&gt;"&amp;$A244,実績!$AK$6:$AK$505,"○")&gt;0,1,0))</f>
        <v>0</v>
      </c>
      <c r="BK244" s="39" t="n">
        <f aca="false">IF(BK$4=0,0,IF(COUNTIFS(実績!$W$6:$W$505,BK$3,実績!$AI$6:$AI$505,"&lt;="&amp;$A244,実績!$AJ$6:$AJ$505,"&gt;"&amp;$A244,実績!$AK$6:$AK$505,"○")&gt;0,1,0))</f>
        <v>0</v>
      </c>
      <c r="BL244" s="39" t="n">
        <f aca="false">IF(BL$4=0,0,IF(COUNTIFS(実績!$W$6:$W$505,BL$3,実績!$AI$6:$AI$505,"&lt;="&amp;$A244,実績!$AJ$6:$AJ$505,"&gt;"&amp;$A244,実績!$AK$6:$AK$505,"○")&gt;0,1,0))</f>
        <v>0</v>
      </c>
      <c r="BM244" s="39" t="n">
        <f aca="false">IF(BM$4=0,0,IF(COUNTIFS(実績!$W$6:$W$505,BM$3,実績!$AI$6:$AI$505,"&lt;="&amp;$A244,実績!$AJ$6:$AJ$505,"&gt;"&amp;$A244,実績!$AK$6:$AK$505,"○")&gt;0,1,0))</f>
        <v>0</v>
      </c>
      <c r="BN244" s="39" t="n">
        <f aca="false">IF(BN$4=0,0,IF(COUNTIFS(実績!$W$6:$W$505,BN$3,実績!$AI$6:$AI$505,"&lt;="&amp;$A244,実績!$AJ$6:$AJ$505,"&gt;"&amp;$A244,実績!$AK$6:$AK$505,"○")&gt;0,1,0))</f>
        <v>0</v>
      </c>
      <c r="BO244" s="39" t="n">
        <f aca="false">IF(BO$4=0,0,IF(COUNTIFS(実績!$W$6:$W$505,BO$3,実績!$AI$6:$AI$505,"&lt;="&amp;$A244,実績!$AJ$6:$AJ$505,"&gt;"&amp;$A244,実績!$AK$6:$AK$505,"○")&gt;0,1,0))</f>
        <v>0</v>
      </c>
      <c r="BP244" s="39" t="n">
        <f aca="false">IF(BP$4=0,0,IF(COUNTIFS(実績!$W$6:$W$505,BP$3,実績!$AI$6:$AI$505,"&lt;="&amp;$A244,実績!$AJ$6:$AJ$505,"&gt;"&amp;$A244,実績!$AK$6:$AK$505,"○")&gt;0,1,0))</f>
        <v>0</v>
      </c>
      <c r="BQ244" s="39" t="n">
        <f aca="false">IF(BQ$4=0,0,IF(COUNTIFS(実績!$W$6:$W$505,BQ$3,実績!$AI$6:$AI$505,"&lt;="&amp;$A244,実績!$AJ$6:$AJ$505,"&gt;"&amp;$A244,実績!$AK$6:$AK$505,"○")&gt;0,1,0))</f>
        <v>0</v>
      </c>
      <c r="BR244" s="39" t="n">
        <f aca="false">IF(BR$4=0,0,IF(COUNTIFS(実績!$W$6:$W$505,BR$3,実績!$AI$6:$AI$505,"&lt;="&amp;$A244,実績!$AJ$6:$AJ$505,"&gt;"&amp;$A244,実績!$AK$6:$AK$505,"○")&gt;0,1,0))</f>
        <v>0</v>
      </c>
      <c r="BS244" s="39" t="n">
        <f aca="false">IF(BS$4=0,0,IF(COUNTIFS(実績!$W$6:$W$505,BS$3,実績!$AI$6:$AI$505,"&lt;="&amp;$A244,実績!$AJ$6:$AJ$505,"&gt;"&amp;$A244,実績!$AK$6:$AK$505,"○")&gt;0,1,0))</f>
        <v>0</v>
      </c>
      <c r="BT244" s="39" t="n">
        <f aca="false">IF(BT$4=0,0,IF(COUNTIFS(実績!$W$6:$W$505,BT$3,実績!$AI$6:$AI$505,"&lt;="&amp;$A244,実績!$AJ$6:$AJ$505,"&gt;"&amp;$A244,実績!$AK$6:$AK$505,"○")&gt;0,1,0))</f>
        <v>0</v>
      </c>
      <c r="BU244" s="39" t="n">
        <f aca="false">IF(BU$4=0,0,IF(COUNTIFS(実績!$W$6:$W$505,BU$3,実績!$AI$6:$AI$505,"&lt;="&amp;$A244,実績!$AJ$6:$AJ$505,"&gt;"&amp;$A244,実績!$AK$6:$AK$505,"○")&gt;0,1,0))</f>
        <v>0</v>
      </c>
      <c r="BV244" s="39" t="n">
        <f aca="false">IF(BV$4=0,0,IF(COUNTIFS(実績!$W$6:$W$505,BV$3,実績!$AI$6:$AI$505,"&lt;="&amp;$A244,実績!$AJ$6:$AJ$505,"&gt;"&amp;$A244,実績!$AK$6:$AK$505,"○")&gt;0,1,0))</f>
        <v>0</v>
      </c>
      <c r="BW244" s="39" t="n">
        <f aca="false">IF(BW$4=0,0,IF(COUNTIFS(実績!$W$6:$W$505,BW$3,実績!$AI$6:$AI$505,"&lt;="&amp;$A244,実績!$AJ$6:$AJ$505,"&gt;"&amp;$A244,実績!$AK$6:$AK$505,"○")&gt;0,1,0))</f>
        <v>0</v>
      </c>
      <c r="BX244" s="39" t="n">
        <f aca="false">IF(BX$4=0,0,IF(COUNTIFS(実績!$W$6:$W$505,BX$3,実績!$AI$6:$AI$505,"&lt;="&amp;$A244,実績!$AJ$6:$AJ$505,"&gt;"&amp;$A244,実績!$AK$6:$AK$505,"○")&gt;0,1,0))</f>
        <v>0</v>
      </c>
      <c r="BY244" s="39" t="n">
        <f aca="false">IF(BY$4=0,0,IF(COUNTIFS(実績!$W$6:$W$505,BY$3,実績!$AI$6:$AI$505,"&lt;="&amp;$A244,実績!$AJ$6:$AJ$505,"&gt;"&amp;$A244,実績!$AK$6:$AK$505,"○")&gt;0,1,0))</f>
        <v>0</v>
      </c>
      <c r="BZ244" s="39" t="n">
        <f aca="false">IF(BZ$4=0,0,IF(COUNTIFS(実績!$W$6:$W$505,BZ$3,実績!$AI$6:$AI$505,"&lt;="&amp;$A244,実績!$AJ$6:$AJ$505,"&gt;"&amp;$A244,実績!$AK$6:$AK$505,"○")&gt;0,1,0))</f>
        <v>0</v>
      </c>
      <c r="CA244" s="39" t="n">
        <f aca="false">IF(CA$4=0,0,IF(COUNTIFS(実績!$W$6:$W$505,CA$3,実績!$AI$6:$AI$505,"&lt;="&amp;$A244,実績!$AJ$6:$AJ$505,"&gt;"&amp;$A244,実績!$AK$6:$AK$505,"○")&gt;0,1,0))</f>
        <v>0</v>
      </c>
      <c r="CB244" s="39" t="n">
        <f aca="false">IF(CB$4=0,0,IF(COUNTIFS(実績!$W$6:$W$505,CB$3,実績!$AI$6:$AI$505,"&lt;="&amp;$A244,実績!$AJ$6:$AJ$505,"&gt;"&amp;$A244,実績!$AK$6:$AK$505,"○")&gt;0,1,0))</f>
        <v>0</v>
      </c>
      <c r="CC244" s="39" t="n">
        <f aca="false">IF(CC$4=0,0,IF(COUNTIFS(実績!$W$6:$W$505,CC$3,実績!$AI$6:$AI$505,"&lt;="&amp;$A244,実績!$AJ$6:$AJ$505,"&gt;"&amp;$A244,実績!$AK$6:$AK$505,"○")&gt;0,1,0))</f>
        <v>0</v>
      </c>
      <c r="CD244" s="39" t="n">
        <f aca="false">IF(CD$4=0,0,IF(COUNTIFS(実績!$W$6:$W$505,CD$3,実績!$AI$6:$AI$505,"&lt;="&amp;$A244,実績!$AJ$6:$AJ$505,"&gt;"&amp;$A244,実績!$AK$6:$AK$505,"○")&gt;0,1,0))</f>
        <v>0</v>
      </c>
      <c r="CE244" s="39" t="n">
        <f aca="false">IF(CE$4=0,0,IF(COUNTIFS(実績!$W$6:$W$505,CE$3,実績!$AI$6:$AI$505,"&lt;="&amp;$A244,実績!$AJ$6:$AJ$505,"&gt;"&amp;$A244,実績!$AK$6:$AK$505,"○")&gt;0,1,0))</f>
        <v>0</v>
      </c>
      <c r="CF244" s="39" t="n">
        <f aca="false">IF(CF$4=0,0,IF(COUNTIFS(実績!$W$6:$W$505,CF$3,実績!$AI$6:$AI$505,"&lt;="&amp;$A244,実績!$AJ$6:$AJ$505,"&gt;"&amp;$A244,実績!$AK$6:$AK$505,"○")&gt;0,1,0))</f>
        <v>0</v>
      </c>
      <c r="CG244" s="39" t="n">
        <f aca="false">IF(CG$4=0,0,IF(COUNTIFS(実績!$W$6:$W$505,CG$3,実績!$AI$6:$AI$505,"&lt;="&amp;$A244,実績!$AJ$6:$AJ$505,"&gt;"&amp;$A244,実績!$AK$6:$AK$505,"○")&gt;0,1,0))</f>
        <v>0</v>
      </c>
      <c r="CH244" s="39" t="n">
        <f aca="false">IF(CH$4=0,0,IF(COUNTIFS(実績!$W$6:$W$505,CH$3,実績!$AI$6:$AI$505,"&lt;="&amp;$A244,実績!$AJ$6:$AJ$505,"&gt;"&amp;$A244,実績!$AK$6:$AK$505,"○")&gt;0,1,0))</f>
        <v>0</v>
      </c>
      <c r="CI244" s="39" t="n">
        <f aca="false">IF(CI$4=0,0,IF(COUNTIFS(実績!$W$6:$W$505,CI$3,実績!$AI$6:$AI$505,"&lt;="&amp;$A244,実績!$AJ$6:$AJ$505,"&gt;"&amp;$A244,実績!$AK$6:$AK$505,"○")&gt;0,1,0))</f>
        <v>0</v>
      </c>
      <c r="CJ244" s="39" t="n">
        <f aca="false">IF(CJ$4=0,0,IF(COUNTIFS(実績!$W$6:$W$505,CJ$3,実績!$AI$6:$AI$505,"&lt;="&amp;$A244,実績!$AJ$6:$AJ$505,"&gt;"&amp;$A244,実績!$AK$6:$AK$505,"○")&gt;0,1,0))</f>
        <v>0</v>
      </c>
      <c r="CK244" s="39" t="n">
        <f aca="false">IF(CK$4=0,0,IF(COUNTIFS(実績!$W$6:$W$505,CK$3,実績!$AI$6:$AI$505,"&lt;="&amp;$A244,実績!$AJ$6:$AJ$505,"&gt;"&amp;$A244,実績!$AK$6:$AK$505,"○")&gt;0,1,0))</f>
        <v>0</v>
      </c>
      <c r="CL244" s="39" t="n">
        <f aca="false">IF(CL$4=0,0,IF(COUNTIFS(実績!$W$6:$W$505,CL$3,実績!$AI$6:$AI$505,"&lt;="&amp;$A244,実績!$AJ$6:$AJ$505,"&gt;"&amp;$A244,実績!$AK$6:$AK$505,"○")&gt;0,1,0))</f>
        <v>0</v>
      </c>
      <c r="CM244" s="39" t="n">
        <f aca="false">IF(CM$4=0,0,IF(COUNTIFS(実績!$W$6:$W$505,CM$3,実績!$AI$6:$AI$505,"&lt;="&amp;$A244,実績!$AJ$6:$AJ$505,"&gt;"&amp;$A244,実績!$AK$6:$AK$505,"○")&gt;0,1,0))</f>
        <v>0</v>
      </c>
      <c r="CN244" s="39" t="n">
        <f aca="false">IF(CN$4=0,0,IF(COUNTIFS(実績!$W$6:$W$505,CN$3,実績!$AI$6:$AI$505,"&lt;="&amp;$A244,実績!$AJ$6:$AJ$505,"&gt;"&amp;$A244,実績!$AK$6:$AK$505,"○")&gt;0,1,0))</f>
        <v>0</v>
      </c>
      <c r="CO244" s="39" t="n">
        <f aca="false">IF(CO$4=0,0,IF(COUNTIFS(実績!$W$6:$W$505,CO$3,実績!$AI$6:$AI$505,"&lt;="&amp;$A244,実績!$AJ$6:$AJ$505,"&gt;"&amp;$A244,実績!$AK$6:$AK$505,"○")&gt;0,1,0))</f>
        <v>0</v>
      </c>
      <c r="CP244" s="39" t="n">
        <f aca="false">IF(CP$4=0,0,IF(COUNTIFS(実績!$W$6:$W$505,CP$3,実績!$AI$6:$AI$505,"&lt;="&amp;$A244,実績!$AJ$6:$AJ$505,"&gt;"&amp;$A244,実績!$AK$6:$AK$505,"○")&gt;0,1,0))</f>
        <v>0</v>
      </c>
      <c r="CQ244" s="39" t="n">
        <f aca="false">IF(CQ$4=0,0,IF(COUNTIFS(実績!$W$6:$W$505,CQ$3,実績!$AI$6:$AI$505,"&lt;="&amp;$A244,実績!$AJ$6:$AJ$505,"&gt;"&amp;$A244,実績!$AK$6:$AK$505,"○")&gt;0,1,0))</f>
        <v>0</v>
      </c>
      <c r="CR244" s="39" t="n">
        <f aca="false">IF(CR$4=0,0,IF(COUNTIFS(実績!$W$6:$W$505,CR$3,実績!$AI$6:$AI$505,"&lt;="&amp;$A244,実績!$AJ$6:$AJ$505,"&gt;"&amp;$A244,実績!$AK$6:$AK$505,"○")&gt;0,1,0))</f>
        <v>0</v>
      </c>
      <c r="CS244" s="39" t="n">
        <f aca="false">IF(CS$4=0,0,IF(COUNTIFS(実績!$W$6:$W$505,CS$3,実績!$AI$6:$AI$505,"&lt;="&amp;$A244,実績!$AJ$6:$AJ$505,"&gt;"&amp;$A244,実績!$AK$6:$AK$505,"○")&gt;0,1,0))</f>
        <v>0</v>
      </c>
      <c r="CT244" s="39" t="n">
        <f aca="false">IF(CT$4=0,0,IF(COUNTIFS(実績!$W$6:$W$505,CT$3,実績!$AI$6:$AI$505,"&lt;="&amp;$A244,実績!$AJ$6:$AJ$505,"&gt;"&amp;$A244,実績!$AK$6:$AK$505,"○")&gt;0,1,0))</f>
        <v>0</v>
      </c>
      <c r="CU244" s="39" t="n">
        <f aca="false">IF(CU$4=0,0,IF(COUNTIFS(実績!$W$6:$W$505,CU$3,実績!$AI$6:$AI$505,"&lt;="&amp;$A244,実績!$AJ$6:$AJ$505,"&gt;"&amp;$A244,実績!$AK$6:$AK$505,"○")&gt;0,1,0))</f>
        <v>0</v>
      </c>
      <c r="CV244" s="39" t="n">
        <f aca="false">IF(CV$4=0,0,IF(COUNTIFS(実績!$W$6:$W$505,CV$3,実績!$AI$6:$AI$505,"&lt;="&amp;$A244,実績!$AJ$6:$AJ$505,"&gt;"&amp;$A244,実績!$AK$6:$AK$505,"○")&gt;0,1,0))</f>
        <v>0</v>
      </c>
      <c r="CW244" s="39" t="n">
        <f aca="false">IF(CW$4=0,0,IF(COUNTIFS(実績!$W$6:$W$505,CW$3,実績!$AI$6:$AI$505,"&lt;="&amp;$A244,実績!$AJ$6:$AJ$505,"&gt;"&amp;$A244,実績!$AK$6:$AK$505,"○")&gt;0,1,0))</f>
        <v>0</v>
      </c>
      <c r="CX244" s="39" t="n">
        <f aca="false">IF(CX$4=0,0,IF(COUNTIFS(実績!$W$6:$W$505,CX$3,実績!$AI$6:$AI$505,"&lt;="&amp;$A244,実績!$AJ$6:$AJ$505,"&gt;"&amp;$A244,実績!$AK$6:$AK$505,"○")&gt;0,1,0))</f>
        <v>0</v>
      </c>
      <c r="CY244" s="39" t="n">
        <f aca="false">IF(CY$4=0,0,IF(COUNTIFS(実績!$W$6:$W$505,CY$3,実績!$AI$6:$AI$505,"&lt;="&amp;$A244,実績!$AJ$6:$AJ$505,"&gt;"&amp;$A244,実績!$AK$6:$AK$505,"○")&gt;0,1,0))</f>
        <v>0</v>
      </c>
      <c r="CZ244" s="39" t="n">
        <f aca="false">IF(CZ$4=0,0,IF(COUNTIFS(実績!$W$6:$W$505,CZ$3,実績!$AI$6:$AI$505,"&lt;="&amp;$A244,実績!$AJ$6:$AJ$505,"&gt;"&amp;$A244,実績!$AK$6:$AK$505,"○")&gt;0,1,0))</f>
        <v>0</v>
      </c>
      <c r="DA244" s="39" t="n">
        <f aca="false">IF(DA$4=0,0,IF(COUNTIFS(実績!$W$6:$W$505,DA$3,実績!$AI$6:$AI$505,"&lt;="&amp;$A244,実績!$AJ$6:$AJ$505,"&gt;"&amp;$A244,実績!$AK$6:$AK$505,"○")&gt;0,1,0))</f>
        <v>0</v>
      </c>
      <c r="DB244" s="39" t="n">
        <f aca="false">IF(DB$4=0,0,IF(COUNTIFS(実績!$W$6:$W$505,DB$3,実績!$AI$6:$AI$505,"&lt;="&amp;$A244,実績!$AJ$6:$AJ$505,"&gt;"&amp;$A244,実績!$AK$6:$AK$505,"○")&gt;0,1,0))</f>
        <v>0</v>
      </c>
      <c r="DC244" s="39" t="n">
        <f aca="false">IF(DC$4=0,0,IF(COUNTIFS(実績!$W$6:$W$505,DC$3,実績!$AI$6:$AI$505,"&lt;="&amp;$A244,実績!$AJ$6:$AJ$505,"&gt;"&amp;$A244,実績!$AK$6:$AK$505,"○")&gt;0,1,0))</f>
        <v>0</v>
      </c>
      <c r="DD244" s="39" t="n">
        <f aca="false">IF(DD$4=0,0,IF(COUNTIFS(実績!$W$6:$W$505,DD$3,実績!$AI$6:$AI$505,"&lt;="&amp;$A244,実績!$AJ$6:$AJ$505,"&gt;"&amp;$A244,実績!$AK$6:$AK$505,"○")&gt;0,1,0))</f>
        <v>0</v>
      </c>
      <c r="DE244" s="39" t="n">
        <f aca="false">IF(DE$4=0,0,IF(COUNTIFS(実績!$W$6:$W$505,DE$3,実績!$AI$6:$AI$505,"&lt;="&amp;$A244,実績!$AJ$6:$AJ$505,"&gt;"&amp;$A244,実績!$AK$6:$AK$505,"○")&gt;0,1,0))</f>
        <v>0</v>
      </c>
      <c r="DF244" s="39" t="n">
        <f aca="false">IF(DF$4=0,0,IF(COUNTIFS(実績!$W$6:$W$505,DF$3,実績!$AI$6:$AI$505,"&lt;="&amp;$A244,実績!$AJ$6:$AJ$505,"&gt;"&amp;$A244,実績!$AK$6:$AK$505,"○")&gt;0,1,0))</f>
        <v>0</v>
      </c>
      <c r="DG244" s="39" t="n">
        <f aca="false">IF(DG$4=0,0,IF(COUNTIFS(実績!$W$6:$W$505,DG$3,実績!$AI$6:$AI$505,"&lt;="&amp;$A244,実績!$AJ$6:$AJ$505,"&gt;"&amp;$A244,実績!$AK$6:$AK$505,"○")&gt;0,1,0))</f>
        <v>0</v>
      </c>
      <c r="DH244" s="39" t="n">
        <f aca="false">IF(DH$4=0,0,IF(COUNTIFS(実績!$W$6:$W$505,DH$3,実績!$AI$6:$AI$505,"&lt;="&amp;$A244,実績!$AJ$6:$AJ$505,"&gt;"&amp;$A244,実績!$AK$6:$AK$505,"○")&gt;0,1,0))</f>
        <v>0</v>
      </c>
      <c r="DI244" s="39" t="n">
        <f aca="false">IF(DI$4=0,0,IF(COUNTIFS(実績!$W$6:$W$505,DI$3,実績!$AI$6:$AI$505,"&lt;="&amp;$A244,実績!$AJ$6:$AJ$505,"&gt;"&amp;$A244,実績!$AK$6:$AK$505,"○")&gt;0,1,0))</f>
        <v>0</v>
      </c>
      <c r="DJ244" s="39" t="n">
        <f aca="false">IF(DJ$4=0,0,IF(COUNTIFS(実績!$W$6:$W$505,DJ$3,実績!$AI$6:$AI$505,"&lt;="&amp;$A244,実績!$AJ$6:$AJ$505,"&gt;"&amp;$A244,実績!$AK$6:$AK$505,"○")&gt;0,1,0))</f>
        <v>0</v>
      </c>
      <c r="DK244" s="39" t="n">
        <f aca="false">IF(DK$4=0,0,IF(COUNTIFS(実績!$W$6:$W$505,DK$3,実績!$AI$6:$AI$505,"&lt;="&amp;$A244,実績!$AJ$6:$AJ$505,"&gt;"&amp;$A244,実績!$AK$6:$AK$505,"○")&gt;0,1,0))</f>
        <v>0</v>
      </c>
      <c r="DL244" s="39" t="n">
        <f aca="false">IF(DL$4=0,0,IF(COUNTIFS(実績!$W$6:$W$505,DL$3,実績!$AI$6:$AI$505,"&lt;="&amp;$A244,実績!$AJ$6:$AJ$505,"&gt;"&amp;$A244,実績!$AK$6:$AK$505,"○")&gt;0,1,0))</f>
        <v>0</v>
      </c>
      <c r="DM244" s="39" t="n">
        <f aca="false">IF(DM$4=0,0,IF(COUNTIFS(実績!$W$6:$W$505,DM$3,実績!$AI$6:$AI$505,"&lt;="&amp;$A244,実績!$AJ$6:$AJ$505,"&gt;"&amp;$A244,実績!$AK$6:$AK$505,"○")&gt;0,1,0))</f>
        <v>0</v>
      </c>
      <c r="DN244" s="39" t="n">
        <f aca="false">IF(DN$4=0,0,IF(COUNTIFS(実績!$W$6:$W$505,DN$3,実績!$AI$6:$AI$505,"&lt;="&amp;$A244,実績!$AJ$6:$AJ$505,"&gt;"&amp;$A244,実績!$AK$6:$AK$505,"○")&gt;0,1,0))</f>
        <v>0</v>
      </c>
      <c r="DO244" s="39" t="n">
        <f aca="false">IF(DO$4=0,0,IF(COUNTIFS(実績!$W$6:$W$505,DO$3,実績!$AI$6:$AI$505,"&lt;="&amp;$A244,実績!$AJ$6:$AJ$505,"&gt;"&amp;$A244,実績!$AK$6:$AK$505,"○")&gt;0,1,0))</f>
        <v>0</v>
      </c>
      <c r="DP244" s="39" t="n">
        <f aca="false">IF(DP$4=0,0,IF(COUNTIFS(実績!$W$6:$W$505,DP$3,実績!$AI$6:$AI$505,"&lt;="&amp;$A244,実績!$AJ$6:$AJ$505,"&gt;"&amp;$A244,実績!$AK$6:$AK$505,"○")&gt;0,1,0))</f>
        <v>0</v>
      </c>
      <c r="DQ244" s="39" t="n">
        <f aca="false">IF(DQ$4=0,0,IF(COUNTIFS(実績!$W$6:$W$505,DQ$3,実績!$AI$6:$AI$505,"&lt;="&amp;$A244,実績!$AJ$6:$AJ$505,"&gt;"&amp;$A244,実績!$AK$6:$AK$505,"○")&gt;0,1,0))</f>
        <v>0</v>
      </c>
      <c r="DR244" s="39" t="n">
        <f aca="false">IF(DR$4=0,0,IF(COUNTIFS(実績!$W$6:$W$505,DR$3,実績!$AI$6:$AI$505,"&lt;="&amp;$A244,実績!$AJ$6:$AJ$505,"&gt;"&amp;$A244,実績!$AK$6:$AK$505,"○")&gt;0,1,0))</f>
        <v>0</v>
      </c>
      <c r="DS244" s="39" t="n">
        <f aca="false">SUM(C244:DR244)</f>
        <v>0</v>
      </c>
      <c r="DT244" s="39" t="n">
        <f aca="false">SUMPRODUCT((実績!$C$6:$C$505="○")*ISNUMBER(実績!$AM$6:$AM$505)*(実績!$AM$6:$AM$505&lt;=$A244)*(実績!$AN$6:$AN$505&gt;$A244))</f>
        <v>0</v>
      </c>
      <c r="DU244" s="39" t="n">
        <f aca="false">SUMIF($C$2:$DR$2,"製鉄曳船",C244:DR244)</f>
        <v>0</v>
      </c>
      <c r="DV244" s="39" t="n">
        <f aca="false">SUMIF($C$2:$DR$2,"西日本海運",C244:DR244)</f>
        <v>0</v>
      </c>
    </row>
    <row r="245" customFormat="false" ht="15" hidden="false" customHeight="false" outlineLevel="0" collapsed="false">
      <c r="A245" s="0" t="n">
        <v>1195</v>
      </c>
      <c r="B245" s="38" t="n">
        <f aca="false">A245/1440</f>
        <v>0.829861111111111</v>
      </c>
      <c r="C245" s="39" t="n">
        <f aca="false">IF(C$4=0,0,IF(COUNTIFS(実績!$W$6:$W$505,C$3,実績!$AI$6:$AI$505,"&lt;="&amp;$A245,実績!$AJ$6:$AJ$505,"&gt;"&amp;$A245,実績!$AK$6:$AK$505,"○")&gt;0,1,0))</f>
        <v>0</v>
      </c>
      <c r="D245" s="39" t="n">
        <f aca="false">IF(D$4=0,0,IF(COUNTIFS(実績!$W$6:$W$505,D$3,実績!$AI$6:$AI$505,"&lt;="&amp;$A245,実績!$AJ$6:$AJ$505,"&gt;"&amp;$A245,実績!$AK$6:$AK$505,"○")&gt;0,1,0))</f>
        <v>0</v>
      </c>
      <c r="E245" s="39" t="n">
        <f aca="false">IF(E$4=0,0,IF(COUNTIFS(実績!$W$6:$W$505,E$3,実績!$AI$6:$AI$505,"&lt;="&amp;$A245,実績!$AJ$6:$AJ$505,"&gt;"&amp;$A245,実績!$AK$6:$AK$505,"○")&gt;0,1,0))</f>
        <v>0</v>
      </c>
      <c r="F245" s="39" t="n">
        <f aca="false">IF(F$4=0,0,IF(COUNTIFS(実績!$W$6:$W$505,F$3,実績!$AI$6:$AI$505,"&lt;="&amp;$A245,実績!$AJ$6:$AJ$505,"&gt;"&amp;$A245,実績!$AK$6:$AK$505,"○")&gt;0,1,0))</f>
        <v>0</v>
      </c>
      <c r="G245" s="39" t="n">
        <f aca="false">IF(G$4=0,0,IF(COUNTIFS(実績!$W$6:$W$505,G$3,実績!$AI$6:$AI$505,"&lt;="&amp;$A245,実績!$AJ$6:$AJ$505,"&gt;"&amp;$A245,実績!$AK$6:$AK$505,"○")&gt;0,1,0))</f>
        <v>0</v>
      </c>
      <c r="H245" s="39" t="n">
        <f aca="false">IF(H$4=0,0,IF(COUNTIFS(実績!$W$6:$W$505,H$3,実績!$AI$6:$AI$505,"&lt;="&amp;$A245,実績!$AJ$6:$AJ$505,"&gt;"&amp;$A245,実績!$AK$6:$AK$505,"○")&gt;0,1,0))</f>
        <v>0</v>
      </c>
      <c r="I245" s="39" t="n">
        <f aca="false">IF(I$4=0,0,IF(COUNTIFS(実績!$W$6:$W$505,I$3,実績!$AI$6:$AI$505,"&lt;="&amp;$A245,実績!$AJ$6:$AJ$505,"&gt;"&amp;$A245,実績!$AK$6:$AK$505,"○")&gt;0,1,0))</f>
        <v>0</v>
      </c>
      <c r="J245" s="39" t="n">
        <f aca="false">IF(J$4=0,0,IF(COUNTIFS(実績!$W$6:$W$505,J$3,実績!$AI$6:$AI$505,"&lt;="&amp;$A245,実績!$AJ$6:$AJ$505,"&gt;"&amp;$A245,実績!$AK$6:$AK$505,"○")&gt;0,1,0))</f>
        <v>0</v>
      </c>
      <c r="K245" s="39" t="n">
        <f aca="false">IF(K$4=0,0,IF(COUNTIFS(実績!$W$6:$W$505,K$3,実績!$AI$6:$AI$505,"&lt;="&amp;$A245,実績!$AJ$6:$AJ$505,"&gt;"&amp;$A245,実績!$AK$6:$AK$505,"○")&gt;0,1,0))</f>
        <v>0</v>
      </c>
      <c r="L245" s="39" t="n">
        <f aca="false">IF(L$4=0,0,IF(COUNTIFS(実績!$W$6:$W$505,L$3,実績!$AI$6:$AI$505,"&lt;="&amp;$A245,実績!$AJ$6:$AJ$505,"&gt;"&amp;$A245,実績!$AK$6:$AK$505,"○")&gt;0,1,0))</f>
        <v>0</v>
      </c>
      <c r="M245" s="39" t="n">
        <f aca="false">IF(M$4=0,0,IF(COUNTIFS(実績!$W$6:$W$505,M$3,実績!$AI$6:$AI$505,"&lt;="&amp;$A245,実績!$AJ$6:$AJ$505,"&gt;"&amp;$A245,実績!$AK$6:$AK$505,"○")&gt;0,1,0))</f>
        <v>0</v>
      </c>
      <c r="N245" s="39" t="n">
        <f aca="false">IF(N$4=0,0,IF(COUNTIFS(実績!$W$6:$W$505,N$3,実績!$AI$6:$AI$505,"&lt;="&amp;$A245,実績!$AJ$6:$AJ$505,"&gt;"&amp;$A245,実績!$AK$6:$AK$505,"○")&gt;0,1,0))</f>
        <v>0</v>
      </c>
      <c r="O245" s="39" t="n">
        <f aca="false">IF(O$4=0,0,IF(COUNTIFS(実績!$W$6:$W$505,O$3,実績!$AI$6:$AI$505,"&lt;="&amp;$A245,実績!$AJ$6:$AJ$505,"&gt;"&amp;$A245,実績!$AK$6:$AK$505,"○")&gt;0,1,0))</f>
        <v>0</v>
      </c>
      <c r="P245" s="39" t="n">
        <f aca="false">IF(P$4=0,0,IF(COUNTIFS(実績!$W$6:$W$505,P$3,実績!$AI$6:$AI$505,"&lt;="&amp;$A245,実績!$AJ$6:$AJ$505,"&gt;"&amp;$A245,実績!$AK$6:$AK$505,"○")&gt;0,1,0))</f>
        <v>0</v>
      </c>
      <c r="Q245" s="39" t="n">
        <f aca="false">IF(Q$4=0,0,IF(COUNTIFS(実績!$W$6:$W$505,Q$3,実績!$AI$6:$AI$505,"&lt;="&amp;$A245,実績!$AJ$6:$AJ$505,"&gt;"&amp;$A245,実績!$AK$6:$AK$505,"○")&gt;0,1,0))</f>
        <v>0</v>
      </c>
      <c r="R245" s="39" t="n">
        <f aca="false">IF(R$4=0,0,IF(COUNTIFS(実績!$W$6:$W$505,R$3,実績!$AI$6:$AI$505,"&lt;="&amp;$A245,実績!$AJ$6:$AJ$505,"&gt;"&amp;$A245,実績!$AK$6:$AK$505,"○")&gt;0,1,0))</f>
        <v>0</v>
      </c>
      <c r="S245" s="39" t="n">
        <f aca="false">IF(S$4=0,0,IF(COUNTIFS(実績!$W$6:$W$505,S$3,実績!$AI$6:$AI$505,"&lt;="&amp;$A245,実績!$AJ$6:$AJ$505,"&gt;"&amp;$A245,実績!$AK$6:$AK$505,"○")&gt;0,1,0))</f>
        <v>0</v>
      </c>
      <c r="T245" s="39" t="n">
        <f aca="false">IF(T$4=0,0,IF(COUNTIFS(実績!$W$6:$W$505,T$3,実績!$AI$6:$AI$505,"&lt;="&amp;$A245,実績!$AJ$6:$AJ$505,"&gt;"&amp;$A245,実績!$AK$6:$AK$505,"○")&gt;0,1,0))</f>
        <v>0</v>
      </c>
      <c r="U245" s="39" t="n">
        <f aca="false">IF(U$4=0,0,IF(COUNTIFS(実績!$W$6:$W$505,U$3,実績!$AI$6:$AI$505,"&lt;="&amp;$A245,実績!$AJ$6:$AJ$505,"&gt;"&amp;$A245,実績!$AK$6:$AK$505,"○")&gt;0,1,0))</f>
        <v>0</v>
      </c>
      <c r="V245" s="39" t="n">
        <f aca="false">IF(V$4=0,0,IF(COUNTIFS(実績!$W$6:$W$505,V$3,実績!$AI$6:$AI$505,"&lt;="&amp;$A245,実績!$AJ$6:$AJ$505,"&gt;"&amp;$A245,実績!$AK$6:$AK$505,"○")&gt;0,1,0))</f>
        <v>0</v>
      </c>
      <c r="W245" s="39" t="n">
        <f aca="false">IF(W$4=0,0,IF(COUNTIFS(実績!$W$6:$W$505,W$3,実績!$AI$6:$AI$505,"&lt;="&amp;$A245,実績!$AJ$6:$AJ$505,"&gt;"&amp;$A245,実績!$AK$6:$AK$505,"○")&gt;0,1,0))</f>
        <v>0</v>
      </c>
      <c r="X245" s="39" t="n">
        <f aca="false">IF(X$4=0,0,IF(COUNTIFS(実績!$W$6:$W$505,X$3,実績!$AI$6:$AI$505,"&lt;="&amp;$A245,実績!$AJ$6:$AJ$505,"&gt;"&amp;$A245,実績!$AK$6:$AK$505,"○")&gt;0,1,0))</f>
        <v>0</v>
      </c>
      <c r="Y245" s="39" t="n">
        <f aca="false">IF(Y$4=0,0,IF(COUNTIFS(実績!$W$6:$W$505,Y$3,実績!$AI$6:$AI$505,"&lt;="&amp;$A245,実績!$AJ$6:$AJ$505,"&gt;"&amp;$A245,実績!$AK$6:$AK$505,"○")&gt;0,1,0))</f>
        <v>0</v>
      </c>
      <c r="Z245" s="39" t="n">
        <f aca="false">IF(Z$4=0,0,IF(COUNTIFS(実績!$W$6:$W$505,Z$3,実績!$AI$6:$AI$505,"&lt;="&amp;$A245,実績!$AJ$6:$AJ$505,"&gt;"&amp;$A245,実績!$AK$6:$AK$505,"○")&gt;0,1,0))</f>
        <v>0</v>
      </c>
      <c r="AA245" s="39" t="n">
        <f aca="false">IF(AA$4=0,0,IF(COUNTIFS(実績!$W$6:$W$505,AA$3,実績!$AI$6:$AI$505,"&lt;="&amp;$A245,実績!$AJ$6:$AJ$505,"&gt;"&amp;$A245,実績!$AK$6:$AK$505,"○")&gt;0,1,0))</f>
        <v>0</v>
      </c>
      <c r="AB245" s="39" t="n">
        <f aca="false">IF(AB$4=0,0,IF(COUNTIFS(実績!$W$6:$W$505,AB$3,実績!$AI$6:$AI$505,"&lt;="&amp;$A245,実績!$AJ$6:$AJ$505,"&gt;"&amp;$A245,実績!$AK$6:$AK$505,"○")&gt;0,1,0))</f>
        <v>0</v>
      </c>
      <c r="AC245" s="39" t="n">
        <f aca="false">IF(AC$4=0,0,IF(COUNTIFS(実績!$W$6:$W$505,AC$3,実績!$AI$6:$AI$505,"&lt;="&amp;$A245,実績!$AJ$6:$AJ$505,"&gt;"&amp;$A245,実績!$AK$6:$AK$505,"○")&gt;0,1,0))</f>
        <v>0</v>
      </c>
      <c r="AD245" s="39" t="n">
        <f aca="false">IF(AD$4=0,0,IF(COUNTIFS(実績!$W$6:$W$505,AD$3,実績!$AI$6:$AI$505,"&lt;="&amp;$A245,実績!$AJ$6:$AJ$505,"&gt;"&amp;$A245,実績!$AK$6:$AK$505,"○")&gt;0,1,0))</f>
        <v>0</v>
      </c>
      <c r="AE245" s="39" t="n">
        <f aca="false">IF(AE$4=0,0,IF(COUNTIFS(実績!$W$6:$W$505,AE$3,実績!$AI$6:$AI$505,"&lt;="&amp;$A245,実績!$AJ$6:$AJ$505,"&gt;"&amp;$A245,実績!$AK$6:$AK$505,"○")&gt;0,1,0))</f>
        <v>0</v>
      </c>
      <c r="AF245" s="39" t="n">
        <f aca="false">IF(AF$4=0,0,IF(COUNTIFS(実績!$W$6:$W$505,AF$3,実績!$AI$6:$AI$505,"&lt;="&amp;$A245,実績!$AJ$6:$AJ$505,"&gt;"&amp;$A245,実績!$AK$6:$AK$505,"○")&gt;0,1,0))</f>
        <v>0</v>
      </c>
      <c r="AG245" s="39" t="n">
        <f aca="false">IF(AG$4=0,0,IF(COUNTIFS(実績!$W$6:$W$505,AG$3,実績!$AI$6:$AI$505,"&lt;="&amp;$A245,実績!$AJ$6:$AJ$505,"&gt;"&amp;$A245,実績!$AK$6:$AK$505,"○")&gt;0,1,0))</f>
        <v>0</v>
      </c>
      <c r="AH245" s="39" t="n">
        <f aca="false">IF(AH$4=0,0,IF(COUNTIFS(実績!$W$6:$W$505,AH$3,実績!$AI$6:$AI$505,"&lt;="&amp;$A245,実績!$AJ$6:$AJ$505,"&gt;"&amp;$A245,実績!$AK$6:$AK$505,"○")&gt;0,1,0))</f>
        <v>0</v>
      </c>
      <c r="AI245" s="39" t="n">
        <f aca="false">IF(AI$4=0,0,IF(COUNTIFS(実績!$W$6:$W$505,AI$3,実績!$AI$6:$AI$505,"&lt;="&amp;$A245,実績!$AJ$6:$AJ$505,"&gt;"&amp;$A245,実績!$AK$6:$AK$505,"○")&gt;0,1,0))</f>
        <v>0</v>
      </c>
      <c r="AJ245" s="39" t="n">
        <f aca="false">IF(AJ$4=0,0,IF(COUNTIFS(実績!$W$6:$W$505,AJ$3,実績!$AI$6:$AI$505,"&lt;="&amp;$A245,実績!$AJ$6:$AJ$505,"&gt;"&amp;$A245,実績!$AK$6:$AK$505,"○")&gt;0,1,0))</f>
        <v>0</v>
      </c>
      <c r="AK245" s="39" t="n">
        <f aca="false">IF(AK$4=0,0,IF(COUNTIFS(実績!$W$6:$W$505,AK$3,実績!$AI$6:$AI$505,"&lt;="&amp;$A245,実績!$AJ$6:$AJ$505,"&gt;"&amp;$A245,実績!$AK$6:$AK$505,"○")&gt;0,1,0))</f>
        <v>0</v>
      </c>
      <c r="AL245" s="39" t="n">
        <f aca="false">IF(AL$4=0,0,IF(COUNTIFS(実績!$W$6:$W$505,AL$3,実績!$AI$6:$AI$505,"&lt;="&amp;$A245,実績!$AJ$6:$AJ$505,"&gt;"&amp;$A245,実績!$AK$6:$AK$505,"○")&gt;0,1,0))</f>
        <v>0</v>
      </c>
      <c r="AM245" s="39" t="n">
        <f aca="false">IF(AM$4=0,0,IF(COUNTIFS(実績!$W$6:$W$505,AM$3,実績!$AI$6:$AI$505,"&lt;="&amp;$A245,実績!$AJ$6:$AJ$505,"&gt;"&amp;$A245,実績!$AK$6:$AK$505,"○")&gt;0,1,0))</f>
        <v>0</v>
      </c>
      <c r="AN245" s="39" t="n">
        <f aca="false">IF(AN$4=0,0,IF(COUNTIFS(実績!$W$6:$W$505,AN$3,実績!$AI$6:$AI$505,"&lt;="&amp;$A245,実績!$AJ$6:$AJ$505,"&gt;"&amp;$A245,実績!$AK$6:$AK$505,"○")&gt;0,1,0))</f>
        <v>0</v>
      </c>
      <c r="AO245" s="39" t="n">
        <f aca="false">IF(AO$4=0,0,IF(COUNTIFS(実績!$W$6:$W$505,AO$3,実績!$AI$6:$AI$505,"&lt;="&amp;$A245,実績!$AJ$6:$AJ$505,"&gt;"&amp;$A245,実績!$AK$6:$AK$505,"○")&gt;0,1,0))</f>
        <v>0</v>
      </c>
      <c r="AP245" s="39" t="n">
        <f aca="false">IF(AP$4=0,0,IF(COUNTIFS(実績!$W$6:$W$505,AP$3,実績!$AI$6:$AI$505,"&lt;="&amp;$A245,実績!$AJ$6:$AJ$505,"&gt;"&amp;$A245,実績!$AK$6:$AK$505,"○")&gt;0,1,0))</f>
        <v>0</v>
      </c>
      <c r="AQ245" s="39" t="n">
        <f aca="false">IF(AQ$4=0,0,IF(COUNTIFS(実績!$W$6:$W$505,AQ$3,実績!$AI$6:$AI$505,"&lt;="&amp;$A245,実績!$AJ$6:$AJ$505,"&gt;"&amp;$A245,実績!$AK$6:$AK$505,"○")&gt;0,1,0))</f>
        <v>0</v>
      </c>
      <c r="AR245" s="39" t="n">
        <f aca="false">IF(AR$4=0,0,IF(COUNTIFS(実績!$W$6:$W$505,AR$3,実績!$AI$6:$AI$505,"&lt;="&amp;$A245,実績!$AJ$6:$AJ$505,"&gt;"&amp;$A245,実績!$AK$6:$AK$505,"○")&gt;0,1,0))</f>
        <v>0</v>
      </c>
      <c r="AS245" s="39" t="n">
        <f aca="false">IF(AS$4=0,0,IF(COUNTIFS(実績!$W$6:$W$505,AS$3,実績!$AI$6:$AI$505,"&lt;="&amp;$A245,実績!$AJ$6:$AJ$505,"&gt;"&amp;$A245,実績!$AK$6:$AK$505,"○")&gt;0,1,0))</f>
        <v>0</v>
      </c>
      <c r="AT245" s="39" t="n">
        <f aca="false">IF(AT$4=0,0,IF(COUNTIFS(実績!$W$6:$W$505,AT$3,実績!$AI$6:$AI$505,"&lt;="&amp;$A245,実績!$AJ$6:$AJ$505,"&gt;"&amp;$A245,実績!$AK$6:$AK$505,"○")&gt;0,1,0))</f>
        <v>0</v>
      </c>
      <c r="AU245" s="39" t="n">
        <f aca="false">IF(AU$4=0,0,IF(COUNTIFS(実績!$W$6:$W$505,AU$3,実績!$AI$6:$AI$505,"&lt;="&amp;$A245,実績!$AJ$6:$AJ$505,"&gt;"&amp;$A245,実績!$AK$6:$AK$505,"○")&gt;0,1,0))</f>
        <v>0</v>
      </c>
      <c r="AV245" s="39" t="n">
        <f aca="false">IF(AV$4=0,0,IF(COUNTIFS(実績!$W$6:$W$505,AV$3,実績!$AI$6:$AI$505,"&lt;="&amp;$A245,実績!$AJ$6:$AJ$505,"&gt;"&amp;$A245,実績!$AK$6:$AK$505,"○")&gt;0,1,0))</f>
        <v>0</v>
      </c>
      <c r="AW245" s="39" t="n">
        <f aca="false">IF(AW$4=0,0,IF(COUNTIFS(実績!$W$6:$W$505,AW$3,実績!$AI$6:$AI$505,"&lt;="&amp;$A245,実績!$AJ$6:$AJ$505,"&gt;"&amp;$A245,実績!$AK$6:$AK$505,"○")&gt;0,1,0))</f>
        <v>0</v>
      </c>
      <c r="AX245" s="39" t="n">
        <f aca="false">IF(AX$4=0,0,IF(COUNTIFS(実績!$W$6:$W$505,AX$3,実績!$AI$6:$AI$505,"&lt;="&amp;$A245,実績!$AJ$6:$AJ$505,"&gt;"&amp;$A245,実績!$AK$6:$AK$505,"○")&gt;0,1,0))</f>
        <v>0</v>
      </c>
      <c r="AY245" s="39" t="n">
        <f aca="false">IF(AY$4=0,0,IF(COUNTIFS(実績!$W$6:$W$505,AY$3,実績!$AI$6:$AI$505,"&lt;="&amp;$A245,実績!$AJ$6:$AJ$505,"&gt;"&amp;$A245,実績!$AK$6:$AK$505,"○")&gt;0,1,0))</f>
        <v>0</v>
      </c>
      <c r="AZ245" s="39" t="n">
        <f aca="false">IF(AZ$4=0,0,IF(COUNTIFS(実績!$W$6:$W$505,AZ$3,実績!$AI$6:$AI$505,"&lt;="&amp;$A245,実績!$AJ$6:$AJ$505,"&gt;"&amp;$A245,実績!$AK$6:$AK$505,"○")&gt;0,1,0))</f>
        <v>0</v>
      </c>
      <c r="BA245" s="39" t="n">
        <f aca="false">IF(BA$4=0,0,IF(COUNTIFS(実績!$W$6:$W$505,BA$3,実績!$AI$6:$AI$505,"&lt;="&amp;$A245,実績!$AJ$6:$AJ$505,"&gt;"&amp;$A245,実績!$AK$6:$AK$505,"○")&gt;0,1,0))</f>
        <v>0</v>
      </c>
      <c r="BB245" s="39" t="n">
        <f aca="false">IF(BB$4=0,0,IF(COUNTIFS(実績!$W$6:$W$505,BB$3,実績!$AI$6:$AI$505,"&lt;="&amp;$A245,実績!$AJ$6:$AJ$505,"&gt;"&amp;$A245,実績!$AK$6:$AK$505,"○")&gt;0,1,0))</f>
        <v>0</v>
      </c>
      <c r="BC245" s="39" t="n">
        <f aca="false">IF(BC$4=0,0,IF(COUNTIFS(実績!$W$6:$W$505,BC$3,実績!$AI$6:$AI$505,"&lt;="&amp;$A245,実績!$AJ$6:$AJ$505,"&gt;"&amp;$A245,実績!$AK$6:$AK$505,"○")&gt;0,1,0))</f>
        <v>0</v>
      </c>
      <c r="BD245" s="39" t="n">
        <f aca="false">IF(BD$4=0,0,IF(COUNTIFS(実績!$W$6:$W$505,BD$3,実績!$AI$6:$AI$505,"&lt;="&amp;$A245,実績!$AJ$6:$AJ$505,"&gt;"&amp;$A245,実績!$AK$6:$AK$505,"○")&gt;0,1,0))</f>
        <v>0</v>
      </c>
      <c r="BE245" s="39" t="n">
        <f aca="false">IF(BE$4=0,0,IF(COUNTIFS(実績!$W$6:$W$505,BE$3,実績!$AI$6:$AI$505,"&lt;="&amp;$A245,実績!$AJ$6:$AJ$505,"&gt;"&amp;$A245,実績!$AK$6:$AK$505,"○")&gt;0,1,0))</f>
        <v>0</v>
      </c>
      <c r="BF245" s="39" t="n">
        <f aca="false">IF(BF$4=0,0,IF(COUNTIFS(実績!$W$6:$W$505,BF$3,実績!$AI$6:$AI$505,"&lt;="&amp;$A245,実績!$AJ$6:$AJ$505,"&gt;"&amp;$A245,実績!$AK$6:$AK$505,"○")&gt;0,1,0))</f>
        <v>0</v>
      </c>
      <c r="BG245" s="39" t="n">
        <f aca="false">IF(BG$4=0,0,IF(COUNTIFS(実績!$W$6:$W$505,BG$3,実績!$AI$6:$AI$505,"&lt;="&amp;$A245,実績!$AJ$6:$AJ$505,"&gt;"&amp;$A245,実績!$AK$6:$AK$505,"○")&gt;0,1,0))</f>
        <v>0</v>
      </c>
      <c r="BH245" s="39" t="n">
        <f aca="false">IF(BH$4=0,0,IF(COUNTIFS(実績!$W$6:$W$505,BH$3,実績!$AI$6:$AI$505,"&lt;="&amp;$A245,実績!$AJ$6:$AJ$505,"&gt;"&amp;$A245,実績!$AK$6:$AK$505,"○")&gt;0,1,0))</f>
        <v>0</v>
      </c>
      <c r="BI245" s="39" t="n">
        <f aca="false">IF(BI$4=0,0,IF(COUNTIFS(実績!$W$6:$W$505,BI$3,実績!$AI$6:$AI$505,"&lt;="&amp;$A245,実績!$AJ$6:$AJ$505,"&gt;"&amp;$A245,実績!$AK$6:$AK$505,"○")&gt;0,1,0))</f>
        <v>0</v>
      </c>
      <c r="BJ245" s="39" t="n">
        <f aca="false">IF(BJ$4=0,0,IF(COUNTIFS(実績!$W$6:$W$505,BJ$3,実績!$AI$6:$AI$505,"&lt;="&amp;$A245,実績!$AJ$6:$AJ$505,"&gt;"&amp;$A245,実績!$AK$6:$AK$505,"○")&gt;0,1,0))</f>
        <v>0</v>
      </c>
      <c r="BK245" s="39" t="n">
        <f aca="false">IF(BK$4=0,0,IF(COUNTIFS(実績!$W$6:$W$505,BK$3,実績!$AI$6:$AI$505,"&lt;="&amp;$A245,実績!$AJ$6:$AJ$505,"&gt;"&amp;$A245,実績!$AK$6:$AK$505,"○")&gt;0,1,0))</f>
        <v>0</v>
      </c>
      <c r="BL245" s="39" t="n">
        <f aca="false">IF(BL$4=0,0,IF(COUNTIFS(実績!$W$6:$W$505,BL$3,実績!$AI$6:$AI$505,"&lt;="&amp;$A245,実績!$AJ$6:$AJ$505,"&gt;"&amp;$A245,実績!$AK$6:$AK$505,"○")&gt;0,1,0))</f>
        <v>0</v>
      </c>
      <c r="BM245" s="39" t="n">
        <f aca="false">IF(BM$4=0,0,IF(COUNTIFS(実績!$W$6:$W$505,BM$3,実績!$AI$6:$AI$505,"&lt;="&amp;$A245,実績!$AJ$6:$AJ$505,"&gt;"&amp;$A245,実績!$AK$6:$AK$505,"○")&gt;0,1,0))</f>
        <v>0</v>
      </c>
      <c r="BN245" s="39" t="n">
        <f aca="false">IF(BN$4=0,0,IF(COUNTIFS(実績!$W$6:$W$505,BN$3,実績!$AI$6:$AI$505,"&lt;="&amp;$A245,実績!$AJ$6:$AJ$505,"&gt;"&amp;$A245,実績!$AK$6:$AK$505,"○")&gt;0,1,0))</f>
        <v>0</v>
      </c>
      <c r="BO245" s="39" t="n">
        <f aca="false">IF(BO$4=0,0,IF(COUNTIFS(実績!$W$6:$W$505,BO$3,実績!$AI$6:$AI$505,"&lt;="&amp;$A245,実績!$AJ$6:$AJ$505,"&gt;"&amp;$A245,実績!$AK$6:$AK$505,"○")&gt;0,1,0))</f>
        <v>0</v>
      </c>
      <c r="BP245" s="39" t="n">
        <f aca="false">IF(BP$4=0,0,IF(COUNTIFS(実績!$W$6:$W$505,BP$3,実績!$AI$6:$AI$505,"&lt;="&amp;$A245,実績!$AJ$6:$AJ$505,"&gt;"&amp;$A245,実績!$AK$6:$AK$505,"○")&gt;0,1,0))</f>
        <v>0</v>
      </c>
      <c r="BQ245" s="39" t="n">
        <f aca="false">IF(BQ$4=0,0,IF(COUNTIFS(実績!$W$6:$W$505,BQ$3,実績!$AI$6:$AI$505,"&lt;="&amp;$A245,実績!$AJ$6:$AJ$505,"&gt;"&amp;$A245,実績!$AK$6:$AK$505,"○")&gt;0,1,0))</f>
        <v>0</v>
      </c>
      <c r="BR245" s="39" t="n">
        <f aca="false">IF(BR$4=0,0,IF(COUNTIFS(実績!$W$6:$W$505,BR$3,実績!$AI$6:$AI$505,"&lt;="&amp;$A245,実績!$AJ$6:$AJ$505,"&gt;"&amp;$A245,実績!$AK$6:$AK$505,"○")&gt;0,1,0))</f>
        <v>0</v>
      </c>
      <c r="BS245" s="39" t="n">
        <f aca="false">IF(BS$4=0,0,IF(COUNTIFS(実績!$W$6:$W$505,BS$3,実績!$AI$6:$AI$505,"&lt;="&amp;$A245,実績!$AJ$6:$AJ$505,"&gt;"&amp;$A245,実績!$AK$6:$AK$505,"○")&gt;0,1,0))</f>
        <v>0</v>
      </c>
      <c r="BT245" s="39" t="n">
        <f aca="false">IF(BT$4=0,0,IF(COUNTIFS(実績!$W$6:$W$505,BT$3,実績!$AI$6:$AI$505,"&lt;="&amp;$A245,実績!$AJ$6:$AJ$505,"&gt;"&amp;$A245,実績!$AK$6:$AK$505,"○")&gt;0,1,0))</f>
        <v>0</v>
      </c>
      <c r="BU245" s="39" t="n">
        <f aca="false">IF(BU$4=0,0,IF(COUNTIFS(実績!$W$6:$W$505,BU$3,実績!$AI$6:$AI$505,"&lt;="&amp;$A245,実績!$AJ$6:$AJ$505,"&gt;"&amp;$A245,実績!$AK$6:$AK$505,"○")&gt;0,1,0))</f>
        <v>0</v>
      </c>
      <c r="BV245" s="39" t="n">
        <f aca="false">IF(BV$4=0,0,IF(COUNTIFS(実績!$W$6:$W$505,BV$3,実績!$AI$6:$AI$505,"&lt;="&amp;$A245,実績!$AJ$6:$AJ$505,"&gt;"&amp;$A245,実績!$AK$6:$AK$505,"○")&gt;0,1,0))</f>
        <v>0</v>
      </c>
      <c r="BW245" s="39" t="n">
        <f aca="false">IF(BW$4=0,0,IF(COUNTIFS(実績!$W$6:$W$505,BW$3,実績!$AI$6:$AI$505,"&lt;="&amp;$A245,実績!$AJ$6:$AJ$505,"&gt;"&amp;$A245,実績!$AK$6:$AK$505,"○")&gt;0,1,0))</f>
        <v>0</v>
      </c>
      <c r="BX245" s="39" t="n">
        <f aca="false">IF(BX$4=0,0,IF(COUNTIFS(実績!$W$6:$W$505,BX$3,実績!$AI$6:$AI$505,"&lt;="&amp;$A245,実績!$AJ$6:$AJ$505,"&gt;"&amp;$A245,実績!$AK$6:$AK$505,"○")&gt;0,1,0))</f>
        <v>0</v>
      </c>
      <c r="BY245" s="39" t="n">
        <f aca="false">IF(BY$4=0,0,IF(COUNTIFS(実績!$W$6:$W$505,BY$3,実績!$AI$6:$AI$505,"&lt;="&amp;$A245,実績!$AJ$6:$AJ$505,"&gt;"&amp;$A245,実績!$AK$6:$AK$505,"○")&gt;0,1,0))</f>
        <v>0</v>
      </c>
      <c r="BZ245" s="39" t="n">
        <f aca="false">IF(BZ$4=0,0,IF(COUNTIFS(実績!$W$6:$W$505,BZ$3,実績!$AI$6:$AI$505,"&lt;="&amp;$A245,実績!$AJ$6:$AJ$505,"&gt;"&amp;$A245,実績!$AK$6:$AK$505,"○")&gt;0,1,0))</f>
        <v>0</v>
      </c>
      <c r="CA245" s="39" t="n">
        <f aca="false">IF(CA$4=0,0,IF(COUNTIFS(実績!$W$6:$W$505,CA$3,実績!$AI$6:$AI$505,"&lt;="&amp;$A245,実績!$AJ$6:$AJ$505,"&gt;"&amp;$A245,実績!$AK$6:$AK$505,"○")&gt;0,1,0))</f>
        <v>0</v>
      </c>
      <c r="CB245" s="39" t="n">
        <f aca="false">IF(CB$4=0,0,IF(COUNTIFS(実績!$W$6:$W$505,CB$3,実績!$AI$6:$AI$505,"&lt;="&amp;$A245,実績!$AJ$6:$AJ$505,"&gt;"&amp;$A245,実績!$AK$6:$AK$505,"○")&gt;0,1,0))</f>
        <v>0</v>
      </c>
      <c r="CC245" s="39" t="n">
        <f aca="false">IF(CC$4=0,0,IF(COUNTIFS(実績!$W$6:$W$505,CC$3,実績!$AI$6:$AI$505,"&lt;="&amp;$A245,実績!$AJ$6:$AJ$505,"&gt;"&amp;$A245,実績!$AK$6:$AK$505,"○")&gt;0,1,0))</f>
        <v>0</v>
      </c>
      <c r="CD245" s="39" t="n">
        <f aca="false">IF(CD$4=0,0,IF(COUNTIFS(実績!$W$6:$W$505,CD$3,実績!$AI$6:$AI$505,"&lt;="&amp;$A245,実績!$AJ$6:$AJ$505,"&gt;"&amp;$A245,実績!$AK$6:$AK$505,"○")&gt;0,1,0))</f>
        <v>0</v>
      </c>
      <c r="CE245" s="39" t="n">
        <f aca="false">IF(CE$4=0,0,IF(COUNTIFS(実績!$W$6:$W$505,CE$3,実績!$AI$6:$AI$505,"&lt;="&amp;$A245,実績!$AJ$6:$AJ$505,"&gt;"&amp;$A245,実績!$AK$6:$AK$505,"○")&gt;0,1,0))</f>
        <v>0</v>
      </c>
      <c r="CF245" s="39" t="n">
        <f aca="false">IF(CF$4=0,0,IF(COUNTIFS(実績!$W$6:$W$505,CF$3,実績!$AI$6:$AI$505,"&lt;="&amp;$A245,実績!$AJ$6:$AJ$505,"&gt;"&amp;$A245,実績!$AK$6:$AK$505,"○")&gt;0,1,0))</f>
        <v>0</v>
      </c>
      <c r="CG245" s="39" t="n">
        <f aca="false">IF(CG$4=0,0,IF(COUNTIFS(実績!$W$6:$W$505,CG$3,実績!$AI$6:$AI$505,"&lt;="&amp;$A245,実績!$AJ$6:$AJ$505,"&gt;"&amp;$A245,実績!$AK$6:$AK$505,"○")&gt;0,1,0))</f>
        <v>0</v>
      </c>
      <c r="CH245" s="39" t="n">
        <f aca="false">IF(CH$4=0,0,IF(COUNTIFS(実績!$W$6:$W$505,CH$3,実績!$AI$6:$AI$505,"&lt;="&amp;$A245,実績!$AJ$6:$AJ$505,"&gt;"&amp;$A245,実績!$AK$6:$AK$505,"○")&gt;0,1,0))</f>
        <v>0</v>
      </c>
      <c r="CI245" s="39" t="n">
        <f aca="false">IF(CI$4=0,0,IF(COUNTIFS(実績!$W$6:$W$505,CI$3,実績!$AI$6:$AI$505,"&lt;="&amp;$A245,実績!$AJ$6:$AJ$505,"&gt;"&amp;$A245,実績!$AK$6:$AK$505,"○")&gt;0,1,0))</f>
        <v>0</v>
      </c>
      <c r="CJ245" s="39" t="n">
        <f aca="false">IF(CJ$4=0,0,IF(COUNTIFS(実績!$W$6:$W$505,CJ$3,実績!$AI$6:$AI$505,"&lt;="&amp;$A245,実績!$AJ$6:$AJ$505,"&gt;"&amp;$A245,実績!$AK$6:$AK$505,"○")&gt;0,1,0))</f>
        <v>0</v>
      </c>
      <c r="CK245" s="39" t="n">
        <f aca="false">IF(CK$4=0,0,IF(COUNTIFS(実績!$W$6:$W$505,CK$3,実績!$AI$6:$AI$505,"&lt;="&amp;$A245,実績!$AJ$6:$AJ$505,"&gt;"&amp;$A245,実績!$AK$6:$AK$505,"○")&gt;0,1,0))</f>
        <v>0</v>
      </c>
      <c r="CL245" s="39" t="n">
        <f aca="false">IF(CL$4=0,0,IF(COUNTIFS(実績!$W$6:$W$505,CL$3,実績!$AI$6:$AI$505,"&lt;="&amp;$A245,実績!$AJ$6:$AJ$505,"&gt;"&amp;$A245,実績!$AK$6:$AK$505,"○")&gt;0,1,0))</f>
        <v>0</v>
      </c>
      <c r="CM245" s="39" t="n">
        <f aca="false">IF(CM$4=0,0,IF(COUNTIFS(実績!$W$6:$W$505,CM$3,実績!$AI$6:$AI$505,"&lt;="&amp;$A245,実績!$AJ$6:$AJ$505,"&gt;"&amp;$A245,実績!$AK$6:$AK$505,"○")&gt;0,1,0))</f>
        <v>0</v>
      </c>
      <c r="CN245" s="39" t="n">
        <f aca="false">IF(CN$4=0,0,IF(COUNTIFS(実績!$W$6:$W$505,CN$3,実績!$AI$6:$AI$505,"&lt;="&amp;$A245,実績!$AJ$6:$AJ$505,"&gt;"&amp;$A245,実績!$AK$6:$AK$505,"○")&gt;0,1,0))</f>
        <v>0</v>
      </c>
      <c r="CO245" s="39" t="n">
        <f aca="false">IF(CO$4=0,0,IF(COUNTIFS(実績!$W$6:$W$505,CO$3,実績!$AI$6:$AI$505,"&lt;="&amp;$A245,実績!$AJ$6:$AJ$505,"&gt;"&amp;$A245,実績!$AK$6:$AK$505,"○")&gt;0,1,0))</f>
        <v>0</v>
      </c>
      <c r="CP245" s="39" t="n">
        <f aca="false">IF(CP$4=0,0,IF(COUNTIFS(実績!$W$6:$W$505,CP$3,実績!$AI$6:$AI$505,"&lt;="&amp;$A245,実績!$AJ$6:$AJ$505,"&gt;"&amp;$A245,実績!$AK$6:$AK$505,"○")&gt;0,1,0))</f>
        <v>0</v>
      </c>
      <c r="CQ245" s="39" t="n">
        <f aca="false">IF(CQ$4=0,0,IF(COUNTIFS(実績!$W$6:$W$505,CQ$3,実績!$AI$6:$AI$505,"&lt;="&amp;$A245,実績!$AJ$6:$AJ$505,"&gt;"&amp;$A245,実績!$AK$6:$AK$505,"○")&gt;0,1,0))</f>
        <v>0</v>
      </c>
      <c r="CR245" s="39" t="n">
        <f aca="false">IF(CR$4=0,0,IF(COUNTIFS(実績!$W$6:$W$505,CR$3,実績!$AI$6:$AI$505,"&lt;="&amp;$A245,実績!$AJ$6:$AJ$505,"&gt;"&amp;$A245,実績!$AK$6:$AK$505,"○")&gt;0,1,0))</f>
        <v>0</v>
      </c>
      <c r="CS245" s="39" t="n">
        <f aca="false">IF(CS$4=0,0,IF(COUNTIFS(実績!$W$6:$W$505,CS$3,実績!$AI$6:$AI$505,"&lt;="&amp;$A245,実績!$AJ$6:$AJ$505,"&gt;"&amp;$A245,実績!$AK$6:$AK$505,"○")&gt;0,1,0))</f>
        <v>0</v>
      </c>
      <c r="CT245" s="39" t="n">
        <f aca="false">IF(CT$4=0,0,IF(COUNTIFS(実績!$W$6:$W$505,CT$3,実績!$AI$6:$AI$505,"&lt;="&amp;$A245,実績!$AJ$6:$AJ$505,"&gt;"&amp;$A245,実績!$AK$6:$AK$505,"○")&gt;0,1,0))</f>
        <v>0</v>
      </c>
      <c r="CU245" s="39" t="n">
        <f aca="false">IF(CU$4=0,0,IF(COUNTIFS(実績!$W$6:$W$505,CU$3,実績!$AI$6:$AI$505,"&lt;="&amp;$A245,実績!$AJ$6:$AJ$505,"&gt;"&amp;$A245,実績!$AK$6:$AK$505,"○")&gt;0,1,0))</f>
        <v>0</v>
      </c>
      <c r="CV245" s="39" t="n">
        <f aca="false">IF(CV$4=0,0,IF(COUNTIFS(実績!$W$6:$W$505,CV$3,実績!$AI$6:$AI$505,"&lt;="&amp;$A245,実績!$AJ$6:$AJ$505,"&gt;"&amp;$A245,実績!$AK$6:$AK$505,"○")&gt;0,1,0))</f>
        <v>0</v>
      </c>
      <c r="CW245" s="39" t="n">
        <f aca="false">IF(CW$4=0,0,IF(COUNTIFS(実績!$W$6:$W$505,CW$3,実績!$AI$6:$AI$505,"&lt;="&amp;$A245,実績!$AJ$6:$AJ$505,"&gt;"&amp;$A245,実績!$AK$6:$AK$505,"○")&gt;0,1,0))</f>
        <v>0</v>
      </c>
      <c r="CX245" s="39" t="n">
        <f aca="false">IF(CX$4=0,0,IF(COUNTIFS(実績!$W$6:$W$505,CX$3,実績!$AI$6:$AI$505,"&lt;="&amp;$A245,実績!$AJ$6:$AJ$505,"&gt;"&amp;$A245,実績!$AK$6:$AK$505,"○")&gt;0,1,0))</f>
        <v>0</v>
      </c>
      <c r="CY245" s="39" t="n">
        <f aca="false">IF(CY$4=0,0,IF(COUNTIFS(実績!$W$6:$W$505,CY$3,実績!$AI$6:$AI$505,"&lt;="&amp;$A245,実績!$AJ$6:$AJ$505,"&gt;"&amp;$A245,実績!$AK$6:$AK$505,"○")&gt;0,1,0))</f>
        <v>0</v>
      </c>
      <c r="CZ245" s="39" t="n">
        <f aca="false">IF(CZ$4=0,0,IF(COUNTIFS(実績!$W$6:$W$505,CZ$3,実績!$AI$6:$AI$505,"&lt;="&amp;$A245,実績!$AJ$6:$AJ$505,"&gt;"&amp;$A245,実績!$AK$6:$AK$505,"○")&gt;0,1,0))</f>
        <v>0</v>
      </c>
      <c r="DA245" s="39" t="n">
        <f aca="false">IF(DA$4=0,0,IF(COUNTIFS(実績!$W$6:$W$505,DA$3,実績!$AI$6:$AI$505,"&lt;="&amp;$A245,実績!$AJ$6:$AJ$505,"&gt;"&amp;$A245,実績!$AK$6:$AK$505,"○")&gt;0,1,0))</f>
        <v>0</v>
      </c>
      <c r="DB245" s="39" t="n">
        <f aca="false">IF(DB$4=0,0,IF(COUNTIFS(実績!$W$6:$W$505,DB$3,実績!$AI$6:$AI$505,"&lt;="&amp;$A245,実績!$AJ$6:$AJ$505,"&gt;"&amp;$A245,実績!$AK$6:$AK$505,"○")&gt;0,1,0))</f>
        <v>0</v>
      </c>
      <c r="DC245" s="39" t="n">
        <f aca="false">IF(DC$4=0,0,IF(COUNTIFS(実績!$W$6:$W$505,DC$3,実績!$AI$6:$AI$505,"&lt;="&amp;$A245,実績!$AJ$6:$AJ$505,"&gt;"&amp;$A245,実績!$AK$6:$AK$505,"○")&gt;0,1,0))</f>
        <v>0</v>
      </c>
      <c r="DD245" s="39" t="n">
        <f aca="false">IF(DD$4=0,0,IF(COUNTIFS(実績!$W$6:$W$505,DD$3,実績!$AI$6:$AI$505,"&lt;="&amp;$A245,実績!$AJ$6:$AJ$505,"&gt;"&amp;$A245,実績!$AK$6:$AK$505,"○")&gt;0,1,0))</f>
        <v>0</v>
      </c>
      <c r="DE245" s="39" t="n">
        <f aca="false">IF(DE$4=0,0,IF(COUNTIFS(実績!$W$6:$W$505,DE$3,実績!$AI$6:$AI$505,"&lt;="&amp;$A245,実績!$AJ$6:$AJ$505,"&gt;"&amp;$A245,実績!$AK$6:$AK$505,"○")&gt;0,1,0))</f>
        <v>0</v>
      </c>
      <c r="DF245" s="39" t="n">
        <f aca="false">IF(DF$4=0,0,IF(COUNTIFS(実績!$W$6:$W$505,DF$3,実績!$AI$6:$AI$505,"&lt;="&amp;$A245,実績!$AJ$6:$AJ$505,"&gt;"&amp;$A245,実績!$AK$6:$AK$505,"○")&gt;0,1,0))</f>
        <v>0</v>
      </c>
      <c r="DG245" s="39" t="n">
        <f aca="false">IF(DG$4=0,0,IF(COUNTIFS(実績!$W$6:$W$505,DG$3,実績!$AI$6:$AI$505,"&lt;="&amp;$A245,実績!$AJ$6:$AJ$505,"&gt;"&amp;$A245,実績!$AK$6:$AK$505,"○")&gt;0,1,0))</f>
        <v>0</v>
      </c>
      <c r="DH245" s="39" t="n">
        <f aca="false">IF(DH$4=0,0,IF(COUNTIFS(実績!$W$6:$W$505,DH$3,実績!$AI$6:$AI$505,"&lt;="&amp;$A245,実績!$AJ$6:$AJ$505,"&gt;"&amp;$A245,実績!$AK$6:$AK$505,"○")&gt;0,1,0))</f>
        <v>0</v>
      </c>
      <c r="DI245" s="39" t="n">
        <f aca="false">IF(DI$4=0,0,IF(COUNTIFS(実績!$W$6:$W$505,DI$3,実績!$AI$6:$AI$505,"&lt;="&amp;$A245,実績!$AJ$6:$AJ$505,"&gt;"&amp;$A245,実績!$AK$6:$AK$505,"○")&gt;0,1,0))</f>
        <v>0</v>
      </c>
      <c r="DJ245" s="39" t="n">
        <f aca="false">IF(DJ$4=0,0,IF(COUNTIFS(実績!$W$6:$W$505,DJ$3,実績!$AI$6:$AI$505,"&lt;="&amp;$A245,実績!$AJ$6:$AJ$505,"&gt;"&amp;$A245,実績!$AK$6:$AK$505,"○")&gt;0,1,0))</f>
        <v>0</v>
      </c>
      <c r="DK245" s="39" t="n">
        <f aca="false">IF(DK$4=0,0,IF(COUNTIFS(実績!$W$6:$W$505,DK$3,実績!$AI$6:$AI$505,"&lt;="&amp;$A245,実績!$AJ$6:$AJ$505,"&gt;"&amp;$A245,実績!$AK$6:$AK$505,"○")&gt;0,1,0))</f>
        <v>0</v>
      </c>
      <c r="DL245" s="39" t="n">
        <f aca="false">IF(DL$4=0,0,IF(COUNTIFS(実績!$W$6:$W$505,DL$3,実績!$AI$6:$AI$505,"&lt;="&amp;$A245,実績!$AJ$6:$AJ$505,"&gt;"&amp;$A245,実績!$AK$6:$AK$505,"○")&gt;0,1,0))</f>
        <v>0</v>
      </c>
      <c r="DM245" s="39" t="n">
        <f aca="false">IF(DM$4=0,0,IF(COUNTIFS(実績!$W$6:$W$505,DM$3,実績!$AI$6:$AI$505,"&lt;="&amp;$A245,実績!$AJ$6:$AJ$505,"&gt;"&amp;$A245,実績!$AK$6:$AK$505,"○")&gt;0,1,0))</f>
        <v>0</v>
      </c>
      <c r="DN245" s="39" t="n">
        <f aca="false">IF(DN$4=0,0,IF(COUNTIFS(実績!$W$6:$W$505,DN$3,実績!$AI$6:$AI$505,"&lt;="&amp;$A245,実績!$AJ$6:$AJ$505,"&gt;"&amp;$A245,実績!$AK$6:$AK$505,"○")&gt;0,1,0))</f>
        <v>0</v>
      </c>
      <c r="DO245" s="39" t="n">
        <f aca="false">IF(DO$4=0,0,IF(COUNTIFS(実績!$W$6:$W$505,DO$3,実績!$AI$6:$AI$505,"&lt;="&amp;$A245,実績!$AJ$6:$AJ$505,"&gt;"&amp;$A245,実績!$AK$6:$AK$505,"○")&gt;0,1,0))</f>
        <v>0</v>
      </c>
      <c r="DP245" s="39" t="n">
        <f aca="false">IF(DP$4=0,0,IF(COUNTIFS(実績!$W$6:$W$505,DP$3,実績!$AI$6:$AI$505,"&lt;="&amp;$A245,実績!$AJ$6:$AJ$505,"&gt;"&amp;$A245,実績!$AK$6:$AK$505,"○")&gt;0,1,0))</f>
        <v>0</v>
      </c>
      <c r="DQ245" s="39" t="n">
        <f aca="false">IF(DQ$4=0,0,IF(COUNTIFS(実績!$W$6:$W$505,DQ$3,実績!$AI$6:$AI$505,"&lt;="&amp;$A245,実績!$AJ$6:$AJ$505,"&gt;"&amp;$A245,実績!$AK$6:$AK$505,"○")&gt;0,1,0))</f>
        <v>0</v>
      </c>
      <c r="DR245" s="39" t="n">
        <f aca="false">IF(DR$4=0,0,IF(COUNTIFS(実績!$W$6:$W$505,DR$3,実績!$AI$6:$AI$505,"&lt;="&amp;$A245,実績!$AJ$6:$AJ$505,"&gt;"&amp;$A245,実績!$AK$6:$AK$505,"○")&gt;0,1,0))</f>
        <v>0</v>
      </c>
      <c r="DS245" s="39" t="n">
        <f aca="false">SUM(C245:DR245)</f>
        <v>0</v>
      </c>
      <c r="DT245" s="39" t="n">
        <f aca="false">SUMPRODUCT((実績!$C$6:$C$505="○")*ISNUMBER(実績!$AM$6:$AM$505)*(実績!$AM$6:$AM$505&lt;=$A245)*(実績!$AN$6:$AN$505&gt;$A245))</f>
        <v>0</v>
      </c>
      <c r="DU245" s="39" t="n">
        <f aca="false">SUMIF($C$2:$DR$2,"製鉄曳船",C245:DR245)</f>
        <v>0</v>
      </c>
      <c r="DV245" s="39" t="n">
        <f aca="false">SUMIF($C$2:$DR$2,"西日本海運",C245:DR245)</f>
        <v>0</v>
      </c>
    </row>
    <row r="246" customFormat="false" ht="15" hidden="false" customHeight="false" outlineLevel="0" collapsed="false">
      <c r="A246" s="0" t="n">
        <v>1200</v>
      </c>
      <c r="B246" s="38" t="n">
        <f aca="false">A246/1440</f>
        <v>0.833333333333333</v>
      </c>
      <c r="C246" s="39" t="n">
        <f aca="false">IF(C$4=0,0,IF(COUNTIFS(実績!$W$6:$W$505,C$3,実績!$AI$6:$AI$505,"&lt;="&amp;$A246,実績!$AJ$6:$AJ$505,"&gt;"&amp;$A246,実績!$AK$6:$AK$505,"○")&gt;0,1,0))</f>
        <v>0</v>
      </c>
      <c r="D246" s="39" t="n">
        <f aca="false">IF(D$4=0,0,IF(COUNTIFS(実績!$W$6:$W$505,D$3,実績!$AI$6:$AI$505,"&lt;="&amp;$A246,実績!$AJ$6:$AJ$505,"&gt;"&amp;$A246,実績!$AK$6:$AK$505,"○")&gt;0,1,0))</f>
        <v>0</v>
      </c>
      <c r="E246" s="39" t="n">
        <f aca="false">IF(E$4=0,0,IF(COUNTIFS(実績!$W$6:$W$505,E$3,実績!$AI$6:$AI$505,"&lt;="&amp;$A246,実績!$AJ$6:$AJ$505,"&gt;"&amp;$A246,実績!$AK$6:$AK$505,"○")&gt;0,1,0))</f>
        <v>0</v>
      </c>
      <c r="F246" s="39" t="n">
        <f aca="false">IF(F$4=0,0,IF(COUNTIFS(実績!$W$6:$W$505,F$3,実績!$AI$6:$AI$505,"&lt;="&amp;$A246,実績!$AJ$6:$AJ$505,"&gt;"&amp;$A246,実績!$AK$6:$AK$505,"○")&gt;0,1,0))</f>
        <v>0</v>
      </c>
      <c r="G246" s="39" t="n">
        <f aca="false">IF(G$4=0,0,IF(COUNTIFS(実績!$W$6:$W$505,G$3,実績!$AI$6:$AI$505,"&lt;="&amp;$A246,実績!$AJ$6:$AJ$505,"&gt;"&amp;$A246,実績!$AK$6:$AK$505,"○")&gt;0,1,0))</f>
        <v>0</v>
      </c>
      <c r="H246" s="39" t="n">
        <f aca="false">IF(H$4=0,0,IF(COUNTIFS(実績!$W$6:$W$505,H$3,実績!$AI$6:$AI$505,"&lt;="&amp;$A246,実績!$AJ$6:$AJ$505,"&gt;"&amp;$A246,実績!$AK$6:$AK$505,"○")&gt;0,1,0))</f>
        <v>0</v>
      </c>
      <c r="I246" s="39" t="n">
        <f aca="false">IF(I$4=0,0,IF(COUNTIFS(実績!$W$6:$W$505,I$3,実績!$AI$6:$AI$505,"&lt;="&amp;$A246,実績!$AJ$6:$AJ$505,"&gt;"&amp;$A246,実績!$AK$6:$AK$505,"○")&gt;0,1,0))</f>
        <v>0</v>
      </c>
      <c r="J246" s="39" t="n">
        <f aca="false">IF(J$4=0,0,IF(COUNTIFS(実績!$W$6:$W$505,J$3,実績!$AI$6:$AI$505,"&lt;="&amp;$A246,実績!$AJ$6:$AJ$505,"&gt;"&amp;$A246,実績!$AK$6:$AK$505,"○")&gt;0,1,0))</f>
        <v>0</v>
      </c>
      <c r="K246" s="39" t="n">
        <f aca="false">IF(K$4=0,0,IF(COUNTIFS(実績!$W$6:$W$505,K$3,実績!$AI$6:$AI$505,"&lt;="&amp;$A246,実績!$AJ$6:$AJ$505,"&gt;"&amp;$A246,実績!$AK$6:$AK$505,"○")&gt;0,1,0))</f>
        <v>0</v>
      </c>
      <c r="L246" s="39" t="n">
        <f aca="false">IF(L$4=0,0,IF(COUNTIFS(実績!$W$6:$W$505,L$3,実績!$AI$6:$AI$505,"&lt;="&amp;$A246,実績!$AJ$6:$AJ$505,"&gt;"&amp;$A246,実績!$AK$6:$AK$505,"○")&gt;0,1,0))</f>
        <v>0</v>
      </c>
      <c r="M246" s="39" t="n">
        <f aca="false">IF(M$4=0,0,IF(COUNTIFS(実績!$W$6:$W$505,M$3,実績!$AI$6:$AI$505,"&lt;="&amp;$A246,実績!$AJ$6:$AJ$505,"&gt;"&amp;$A246,実績!$AK$6:$AK$505,"○")&gt;0,1,0))</f>
        <v>0</v>
      </c>
      <c r="N246" s="39" t="n">
        <f aca="false">IF(N$4=0,0,IF(COUNTIFS(実績!$W$6:$W$505,N$3,実績!$AI$6:$AI$505,"&lt;="&amp;$A246,実績!$AJ$6:$AJ$505,"&gt;"&amp;$A246,実績!$AK$6:$AK$505,"○")&gt;0,1,0))</f>
        <v>0</v>
      </c>
      <c r="O246" s="39" t="n">
        <f aca="false">IF(O$4=0,0,IF(COUNTIFS(実績!$W$6:$W$505,O$3,実績!$AI$6:$AI$505,"&lt;="&amp;$A246,実績!$AJ$6:$AJ$505,"&gt;"&amp;$A246,実績!$AK$6:$AK$505,"○")&gt;0,1,0))</f>
        <v>0</v>
      </c>
      <c r="P246" s="39" t="n">
        <f aca="false">IF(P$4=0,0,IF(COUNTIFS(実績!$W$6:$W$505,P$3,実績!$AI$6:$AI$505,"&lt;="&amp;$A246,実績!$AJ$6:$AJ$505,"&gt;"&amp;$A246,実績!$AK$6:$AK$505,"○")&gt;0,1,0))</f>
        <v>0</v>
      </c>
      <c r="Q246" s="39" t="n">
        <f aca="false">IF(Q$4=0,0,IF(COUNTIFS(実績!$W$6:$W$505,Q$3,実績!$AI$6:$AI$505,"&lt;="&amp;$A246,実績!$AJ$6:$AJ$505,"&gt;"&amp;$A246,実績!$AK$6:$AK$505,"○")&gt;0,1,0))</f>
        <v>0</v>
      </c>
      <c r="R246" s="39" t="n">
        <f aca="false">IF(R$4=0,0,IF(COUNTIFS(実績!$W$6:$W$505,R$3,実績!$AI$6:$AI$505,"&lt;="&amp;$A246,実績!$AJ$6:$AJ$505,"&gt;"&amp;$A246,実績!$AK$6:$AK$505,"○")&gt;0,1,0))</f>
        <v>0</v>
      </c>
      <c r="S246" s="39" t="n">
        <f aca="false">IF(S$4=0,0,IF(COUNTIFS(実績!$W$6:$W$505,S$3,実績!$AI$6:$AI$505,"&lt;="&amp;$A246,実績!$AJ$6:$AJ$505,"&gt;"&amp;$A246,実績!$AK$6:$AK$505,"○")&gt;0,1,0))</f>
        <v>0</v>
      </c>
      <c r="T246" s="39" t="n">
        <f aca="false">IF(T$4=0,0,IF(COUNTIFS(実績!$W$6:$W$505,T$3,実績!$AI$6:$AI$505,"&lt;="&amp;$A246,実績!$AJ$6:$AJ$505,"&gt;"&amp;$A246,実績!$AK$6:$AK$505,"○")&gt;0,1,0))</f>
        <v>0</v>
      </c>
      <c r="U246" s="39" t="n">
        <f aca="false">IF(U$4=0,0,IF(COUNTIFS(実績!$W$6:$W$505,U$3,実績!$AI$6:$AI$505,"&lt;="&amp;$A246,実績!$AJ$6:$AJ$505,"&gt;"&amp;$A246,実績!$AK$6:$AK$505,"○")&gt;0,1,0))</f>
        <v>0</v>
      </c>
      <c r="V246" s="39" t="n">
        <f aca="false">IF(V$4=0,0,IF(COUNTIFS(実績!$W$6:$W$505,V$3,実績!$AI$6:$AI$505,"&lt;="&amp;$A246,実績!$AJ$6:$AJ$505,"&gt;"&amp;$A246,実績!$AK$6:$AK$505,"○")&gt;0,1,0))</f>
        <v>0</v>
      </c>
      <c r="W246" s="39" t="n">
        <f aca="false">IF(W$4=0,0,IF(COUNTIFS(実績!$W$6:$W$505,W$3,実績!$AI$6:$AI$505,"&lt;="&amp;$A246,実績!$AJ$6:$AJ$505,"&gt;"&amp;$A246,実績!$AK$6:$AK$505,"○")&gt;0,1,0))</f>
        <v>0</v>
      </c>
      <c r="X246" s="39" t="n">
        <f aca="false">IF(X$4=0,0,IF(COUNTIFS(実績!$W$6:$W$505,X$3,実績!$AI$6:$AI$505,"&lt;="&amp;$A246,実績!$AJ$6:$AJ$505,"&gt;"&amp;$A246,実績!$AK$6:$AK$505,"○")&gt;0,1,0))</f>
        <v>0</v>
      </c>
      <c r="Y246" s="39" t="n">
        <f aca="false">IF(Y$4=0,0,IF(COUNTIFS(実績!$W$6:$W$505,Y$3,実績!$AI$6:$AI$505,"&lt;="&amp;$A246,実績!$AJ$6:$AJ$505,"&gt;"&amp;$A246,実績!$AK$6:$AK$505,"○")&gt;0,1,0))</f>
        <v>0</v>
      </c>
      <c r="Z246" s="39" t="n">
        <f aca="false">IF(Z$4=0,0,IF(COUNTIFS(実績!$W$6:$W$505,Z$3,実績!$AI$6:$AI$505,"&lt;="&amp;$A246,実績!$AJ$6:$AJ$505,"&gt;"&amp;$A246,実績!$AK$6:$AK$505,"○")&gt;0,1,0))</f>
        <v>0</v>
      </c>
      <c r="AA246" s="39" t="n">
        <f aca="false">IF(AA$4=0,0,IF(COUNTIFS(実績!$W$6:$W$505,AA$3,実績!$AI$6:$AI$505,"&lt;="&amp;$A246,実績!$AJ$6:$AJ$505,"&gt;"&amp;$A246,実績!$AK$6:$AK$505,"○")&gt;0,1,0))</f>
        <v>0</v>
      </c>
      <c r="AB246" s="39" t="n">
        <f aca="false">IF(AB$4=0,0,IF(COUNTIFS(実績!$W$6:$W$505,AB$3,実績!$AI$6:$AI$505,"&lt;="&amp;$A246,実績!$AJ$6:$AJ$505,"&gt;"&amp;$A246,実績!$AK$6:$AK$505,"○")&gt;0,1,0))</f>
        <v>0</v>
      </c>
      <c r="AC246" s="39" t="n">
        <f aca="false">IF(AC$4=0,0,IF(COUNTIFS(実績!$W$6:$W$505,AC$3,実績!$AI$6:$AI$505,"&lt;="&amp;$A246,実績!$AJ$6:$AJ$505,"&gt;"&amp;$A246,実績!$AK$6:$AK$505,"○")&gt;0,1,0))</f>
        <v>0</v>
      </c>
      <c r="AD246" s="39" t="n">
        <f aca="false">IF(AD$4=0,0,IF(COUNTIFS(実績!$W$6:$W$505,AD$3,実績!$AI$6:$AI$505,"&lt;="&amp;$A246,実績!$AJ$6:$AJ$505,"&gt;"&amp;$A246,実績!$AK$6:$AK$505,"○")&gt;0,1,0))</f>
        <v>0</v>
      </c>
      <c r="AE246" s="39" t="n">
        <f aca="false">IF(AE$4=0,0,IF(COUNTIFS(実績!$W$6:$W$505,AE$3,実績!$AI$6:$AI$505,"&lt;="&amp;$A246,実績!$AJ$6:$AJ$505,"&gt;"&amp;$A246,実績!$AK$6:$AK$505,"○")&gt;0,1,0))</f>
        <v>0</v>
      </c>
      <c r="AF246" s="39" t="n">
        <f aca="false">IF(AF$4=0,0,IF(COUNTIFS(実績!$W$6:$W$505,AF$3,実績!$AI$6:$AI$505,"&lt;="&amp;$A246,実績!$AJ$6:$AJ$505,"&gt;"&amp;$A246,実績!$AK$6:$AK$505,"○")&gt;0,1,0))</f>
        <v>0</v>
      </c>
      <c r="AG246" s="39" t="n">
        <f aca="false">IF(AG$4=0,0,IF(COUNTIFS(実績!$W$6:$W$505,AG$3,実績!$AI$6:$AI$505,"&lt;="&amp;$A246,実績!$AJ$6:$AJ$505,"&gt;"&amp;$A246,実績!$AK$6:$AK$505,"○")&gt;0,1,0))</f>
        <v>0</v>
      </c>
      <c r="AH246" s="39" t="n">
        <f aca="false">IF(AH$4=0,0,IF(COUNTIFS(実績!$W$6:$W$505,AH$3,実績!$AI$6:$AI$505,"&lt;="&amp;$A246,実績!$AJ$6:$AJ$505,"&gt;"&amp;$A246,実績!$AK$6:$AK$505,"○")&gt;0,1,0))</f>
        <v>0</v>
      </c>
      <c r="AI246" s="39" t="n">
        <f aca="false">IF(AI$4=0,0,IF(COUNTIFS(実績!$W$6:$W$505,AI$3,実績!$AI$6:$AI$505,"&lt;="&amp;$A246,実績!$AJ$6:$AJ$505,"&gt;"&amp;$A246,実績!$AK$6:$AK$505,"○")&gt;0,1,0))</f>
        <v>0</v>
      </c>
      <c r="AJ246" s="39" t="n">
        <f aca="false">IF(AJ$4=0,0,IF(COUNTIFS(実績!$W$6:$W$505,AJ$3,実績!$AI$6:$AI$505,"&lt;="&amp;$A246,実績!$AJ$6:$AJ$505,"&gt;"&amp;$A246,実績!$AK$6:$AK$505,"○")&gt;0,1,0))</f>
        <v>0</v>
      </c>
      <c r="AK246" s="39" t="n">
        <f aca="false">IF(AK$4=0,0,IF(COUNTIFS(実績!$W$6:$W$505,AK$3,実績!$AI$6:$AI$505,"&lt;="&amp;$A246,実績!$AJ$6:$AJ$505,"&gt;"&amp;$A246,実績!$AK$6:$AK$505,"○")&gt;0,1,0))</f>
        <v>0</v>
      </c>
      <c r="AL246" s="39" t="n">
        <f aca="false">IF(AL$4=0,0,IF(COUNTIFS(実績!$W$6:$W$505,AL$3,実績!$AI$6:$AI$505,"&lt;="&amp;$A246,実績!$AJ$6:$AJ$505,"&gt;"&amp;$A246,実績!$AK$6:$AK$505,"○")&gt;0,1,0))</f>
        <v>0</v>
      </c>
      <c r="AM246" s="39" t="n">
        <f aca="false">IF(AM$4=0,0,IF(COUNTIFS(実績!$W$6:$W$505,AM$3,実績!$AI$6:$AI$505,"&lt;="&amp;$A246,実績!$AJ$6:$AJ$505,"&gt;"&amp;$A246,実績!$AK$6:$AK$505,"○")&gt;0,1,0))</f>
        <v>0</v>
      </c>
      <c r="AN246" s="39" t="n">
        <f aca="false">IF(AN$4=0,0,IF(COUNTIFS(実績!$W$6:$W$505,AN$3,実績!$AI$6:$AI$505,"&lt;="&amp;$A246,実績!$AJ$6:$AJ$505,"&gt;"&amp;$A246,実績!$AK$6:$AK$505,"○")&gt;0,1,0))</f>
        <v>0</v>
      </c>
      <c r="AO246" s="39" t="n">
        <f aca="false">IF(AO$4=0,0,IF(COUNTIFS(実績!$W$6:$W$505,AO$3,実績!$AI$6:$AI$505,"&lt;="&amp;$A246,実績!$AJ$6:$AJ$505,"&gt;"&amp;$A246,実績!$AK$6:$AK$505,"○")&gt;0,1,0))</f>
        <v>0</v>
      </c>
      <c r="AP246" s="39" t="n">
        <f aca="false">IF(AP$4=0,0,IF(COUNTIFS(実績!$W$6:$W$505,AP$3,実績!$AI$6:$AI$505,"&lt;="&amp;$A246,実績!$AJ$6:$AJ$505,"&gt;"&amp;$A246,実績!$AK$6:$AK$505,"○")&gt;0,1,0))</f>
        <v>0</v>
      </c>
      <c r="AQ246" s="39" t="n">
        <f aca="false">IF(AQ$4=0,0,IF(COUNTIFS(実績!$W$6:$W$505,AQ$3,実績!$AI$6:$AI$505,"&lt;="&amp;$A246,実績!$AJ$6:$AJ$505,"&gt;"&amp;$A246,実績!$AK$6:$AK$505,"○")&gt;0,1,0))</f>
        <v>0</v>
      </c>
      <c r="AR246" s="39" t="n">
        <f aca="false">IF(AR$4=0,0,IF(COUNTIFS(実績!$W$6:$W$505,AR$3,実績!$AI$6:$AI$505,"&lt;="&amp;$A246,実績!$AJ$6:$AJ$505,"&gt;"&amp;$A246,実績!$AK$6:$AK$505,"○")&gt;0,1,0))</f>
        <v>0</v>
      </c>
      <c r="AS246" s="39" t="n">
        <f aca="false">IF(AS$4=0,0,IF(COUNTIFS(実績!$W$6:$W$505,AS$3,実績!$AI$6:$AI$505,"&lt;="&amp;$A246,実績!$AJ$6:$AJ$505,"&gt;"&amp;$A246,実績!$AK$6:$AK$505,"○")&gt;0,1,0))</f>
        <v>0</v>
      </c>
      <c r="AT246" s="39" t="n">
        <f aca="false">IF(AT$4=0,0,IF(COUNTIFS(実績!$W$6:$W$505,AT$3,実績!$AI$6:$AI$505,"&lt;="&amp;$A246,実績!$AJ$6:$AJ$505,"&gt;"&amp;$A246,実績!$AK$6:$AK$505,"○")&gt;0,1,0))</f>
        <v>0</v>
      </c>
      <c r="AU246" s="39" t="n">
        <f aca="false">IF(AU$4=0,0,IF(COUNTIFS(実績!$W$6:$W$505,AU$3,実績!$AI$6:$AI$505,"&lt;="&amp;$A246,実績!$AJ$6:$AJ$505,"&gt;"&amp;$A246,実績!$AK$6:$AK$505,"○")&gt;0,1,0))</f>
        <v>0</v>
      </c>
      <c r="AV246" s="39" t="n">
        <f aca="false">IF(AV$4=0,0,IF(COUNTIFS(実績!$W$6:$W$505,AV$3,実績!$AI$6:$AI$505,"&lt;="&amp;$A246,実績!$AJ$6:$AJ$505,"&gt;"&amp;$A246,実績!$AK$6:$AK$505,"○")&gt;0,1,0))</f>
        <v>0</v>
      </c>
      <c r="AW246" s="39" t="n">
        <f aca="false">IF(AW$4=0,0,IF(COUNTIFS(実績!$W$6:$W$505,AW$3,実績!$AI$6:$AI$505,"&lt;="&amp;$A246,実績!$AJ$6:$AJ$505,"&gt;"&amp;$A246,実績!$AK$6:$AK$505,"○")&gt;0,1,0))</f>
        <v>0</v>
      </c>
      <c r="AX246" s="39" t="n">
        <f aca="false">IF(AX$4=0,0,IF(COUNTIFS(実績!$W$6:$W$505,AX$3,実績!$AI$6:$AI$505,"&lt;="&amp;$A246,実績!$AJ$6:$AJ$505,"&gt;"&amp;$A246,実績!$AK$6:$AK$505,"○")&gt;0,1,0))</f>
        <v>0</v>
      </c>
      <c r="AY246" s="39" t="n">
        <f aca="false">IF(AY$4=0,0,IF(COUNTIFS(実績!$W$6:$W$505,AY$3,実績!$AI$6:$AI$505,"&lt;="&amp;$A246,実績!$AJ$6:$AJ$505,"&gt;"&amp;$A246,実績!$AK$6:$AK$505,"○")&gt;0,1,0))</f>
        <v>0</v>
      </c>
      <c r="AZ246" s="39" t="n">
        <f aca="false">IF(AZ$4=0,0,IF(COUNTIFS(実績!$W$6:$W$505,AZ$3,実績!$AI$6:$AI$505,"&lt;="&amp;$A246,実績!$AJ$6:$AJ$505,"&gt;"&amp;$A246,実績!$AK$6:$AK$505,"○")&gt;0,1,0))</f>
        <v>0</v>
      </c>
      <c r="BA246" s="39" t="n">
        <f aca="false">IF(BA$4=0,0,IF(COUNTIFS(実績!$W$6:$W$505,BA$3,実績!$AI$6:$AI$505,"&lt;="&amp;$A246,実績!$AJ$6:$AJ$505,"&gt;"&amp;$A246,実績!$AK$6:$AK$505,"○")&gt;0,1,0))</f>
        <v>0</v>
      </c>
      <c r="BB246" s="39" t="n">
        <f aca="false">IF(BB$4=0,0,IF(COUNTIFS(実績!$W$6:$W$505,BB$3,実績!$AI$6:$AI$505,"&lt;="&amp;$A246,実績!$AJ$6:$AJ$505,"&gt;"&amp;$A246,実績!$AK$6:$AK$505,"○")&gt;0,1,0))</f>
        <v>0</v>
      </c>
      <c r="BC246" s="39" t="n">
        <f aca="false">IF(BC$4=0,0,IF(COUNTIFS(実績!$W$6:$W$505,BC$3,実績!$AI$6:$AI$505,"&lt;="&amp;$A246,実績!$AJ$6:$AJ$505,"&gt;"&amp;$A246,実績!$AK$6:$AK$505,"○")&gt;0,1,0))</f>
        <v>0</v>
      </c>
      <c r="BD246" s="39" t="n">
        <f aca="false">IF(BD$4=0,0,IF(COUNTIFS(実績!$W$6:$W$505,BD$3,実績!$AI$6:$AI$505,"&lt;="&amp;$A246,実績!$AJ$6:$AJ$505,"&gt;"&amp;$A246,実績!$AK$6:$AK$505,"○")&gt;0,1,0))</f>
        <v>0</v>
      </c>
      <c r="BE246" s="39" t="n">
        <f aca="false">IF(BE$4=0,0,IF(COUNTIFS(実績!$W$6:$W$505,BE$3,実績!$AI$6:$AI$505,"&lt;="&amp;$A246,実績!$AJ$6:$AJ$505,"&gt;"&amp;$A246,実績!$AK$6:$AK$505,"○")&gt;0,1,0))</f>
        <v>0</v>
      </c>
      <c r="BF246" s="39" t="n">
        <f aca="false">IF(BF$4=0,0,IF(COUNTIFS(実績!$W$6:$W$505,BF$3,実績!$AI$6:$AI$505,"&lt;="&amp;$A246,実績!$AJ$6:$AJ$505,"&gt;"&amp;$A246,実績!$AK$6:$AK$505,"○")&gt;0,1,0))</f>
        <v>0</v>
      </c>
      <c r="BG246" s="39" t="n">
        <f aca="false">IF(BG$4=0,0,IF(COUNTIFS(実績!$W$6:$W$505,BG$3,実績!$AI$6:$AI$505,"&lt;="&amp;$A246,実績!$AJ$6:$AJ$505,"&gt;"&amp;$A246,実績!$AK$6:$AK$505,"○")&gt;0,1,0))</f>
        <v>0</v>
      </c>
      <c r="BH246" s="39" t="n">
        <f aca="false">IF(BH$4=0,0,IF(COUNTIFS(実績!$W$6:$W$505,BH$3,実績!$AI$6:$AI$505,"&lt;="&amp;$A246,実績!$AJ$6:$AJ$505,"&gt;"&amp;$A246,実績!$AK$6:$AK$505,"○")&gt;0,1,0))</f>
        <v>0</v>
      </c>
      <c r="BI246" s="39" t="n">
        <f aca="false">IF(BI$4=0,0,IF(COUNTIFS(実績!$W$6:$W$505,BI$3,実績!$AI$6:$AI$505,"&lt;="&amp;$A246,実績!$AJ$6:$AJ$505,"&gt;"&amp;$A246,実績!$AK$6:$AK$505,"○")&gt;0,1,0))</f>
        <v>0</v>
      </c>
      <c r="BJ246" s="39" t="n">
        <f aca="false">IF(BJ$4=0,0,IF(COUNTIFS(実績!$W$6:$W$505,BJ$3,実績!$AI$6:$AI$505,"&lt;="&amp;$A246,実績!$AJ$6:$AJ$505,"&gt;"&amp;$A246,実績!$AK$6:$AK$505,"○")&gt;0,1,0))</f>
        <v>0</v>
      </c>
      <c r="BK246" s="39" t="n">
        <f aca="false">IF(BK$4=0,0,IF(COUNTIFS(実績!$W$6:$W$505,BK$3,実績!$AI$6:$AI$505,"&lt;="&amp;$A246,実績!$AJ$6:$AJ$505,"&gt;"&amp;$A246,実績!$AK$6:$AK$505,"○")&gt;0,1,0))</f>
        <v>0</v>
      </c>
      <c r="BL246" s="39" t="n">
        <f aca="false">IF(BL$4=0,0,IF(COUNTIFS(実績!$W$6:$W$505,BL$3,実績!$AI$6:$AI$505,"&lt;="&amp;$A246,実績!$AJ$6:$AJ$505,"&gt;"&amp;$A246,実績!$AK$6:$AK$505,"○")&gt;0,1,0))</f>
        <v>0</v>
      </c>
      <c r="BM246" s="39" t="n">
        <f aca="false">IF(BM$4=0,0,IF(COUNTIFS(実績!$W$6:$W$505,BM$3,実績!$AI$6:$AI$505,"&lt;="&amp;$A246,実績!$AJ$6:$AJ$505,"&gt;"&amp;$A246,実績!$AK$6:$AK$505,"○")&gt;0,1,0))</f>
        <v>0</v>
      </c>
      <c r="BN246" s="39" t="n">
        <f aca="false">IF(BN$4=0,0,IF(COUNTIFS(実績!$W$6:$W$505,BN$3,実績!$AI$6:$AI$505,"&lt;="&amp;$A246,実績!$AJ$6:$AJ$505,"&gt;"&amp;$A246,実績!$AK$6:$AK$505,"○")&gt;0,1,0))</f>
        <v>0</v>
      </c>
      <c r="BO246" s="39" t="n">
        <f aca="false">IF(BO$4=0,0,IF(COUNTIFS(実績!$W$6:$W$505,BO$3,実績!$AI$6:$AI$505,"&lt;="&amp;$A246,実績!$AJ$6:$AJ$505,"&gt;"&amp;$A246,実績!$AK$6:$AK$505,"○")&gt;0,1,0))</f>
        <v>0</v>
      </c>
      <c r="BP246" s="39" t="n">
        <f aca="false">IF(BP$4=0,0,IF(COUNTIFS(実績!$W$6:$W$505,BP$3,実績!$AI$6:$AI$505,"&lt;="&amp;$A246,実績!$AJ$6:$AJ$505,"&gt;"&amp;$A246,実績!$AK$6:$AK$505,"○")&gt;0,1,0))</f>
        <v>0</v>
      </c>
      <c r="BQ246" s="39" t="n">
        <f aca="false">IF(BQ$4=0,0,IF(COUNTIFS(実績!$W$6:$W$505,BQ$3,実績!$AI$6:$AI$505,"&lt;="&amp;$A246,実績!$AJ$6:$AJ$505,"&gt;"&amp;$A246,実績!$AK$6:$AK$505,"○")&gt;0,1,0))</f>
        <v>0</v>
      </c>
      <c r="BR246" s="39" t="n">
        <f aca="false">IF(BR$4=0,0,IF(COUNTIFS(実績!$W$6:$W$505,BR$3,実績!$AI$6:$AI$505,"&lt;="&amp;$A246,実績!$AJ$6:$AJ$505,"&gt;"&amp;$A246,実績!$AK$6:$AK$505,"○")&gt;0,1,0))</f>
        <v>0</v>
      </c>
      <c r="BS246" s="39" t="n">
        <f aca="false">IF(BS$4=0,0,IF(COUNTIFS(実績!$W$6:$W$505,BS$3,実績!$AI$6:$AI$505,"&lt;="&amp;$A246,実績!$AJ$6:$AJ$505,"&gt;"&amp;$A246,実績!$AK$6:$AK$505,"○")&gt;0,1,0))</f>
        <v>0</v>
      </c>
      <c r="BT246" s="39" t="n">
        <f aca="false">IF(BT$4=0,0,IF(COUNTIFS(実績!$W$6:$W$505,BT$3,実績!$AI$6:$AI$505,"&lt;="&amp;$A246,実績!$AJ$6:$AJ$505,"&gt;"&amp;$A246,実績!$AK$6:$AK$505,"○")&gt;0,1,0))</f>
        <v>0</v>
      </c>
      <c r="BU246" s="39" t="n">
        <f aca="false">IF(BU$4=0,0,IF(COUNTIFS(実績!$W$6:$W$505,BU$3,実績!$AI$6:$AI$505,"&lt;="&amp;$A246,実績!$AJ$6:$AJ$505,"&gt;"&amp;$A246,実績!$AK$6:$AK$505,"○")&gt;0,1,0))</f>
        <v>0</v>
      </c>
      <c r="BV246" s="39" t="n">
        <f aca="false">IF(BV$4=0,0,IF(COUNTIFS(実績!$W$6:$W$505,BV$3,実績!$AI$6:$AI$505,"&lt;="&amp;$A246,実績!$AJ$6:$AJ$505,"&gt;"&amp;$A246,実績!$AK$6:$AK$505,"○")&gt;0,1,0))</f>
        <v>0</v>
      </c>
      <c r="BW246" s="39" t="n">
        <f aca="false">IF(BW$4=0,0,IF(COUNTIFS(実績!$W$6:$W$505,BW$3,実績!$AI$6:$AI$505,"&lt;="&amp;$A246,実績!$AJ$6:$AJ$505,"&gt;"&amp;$A246,実績!$AK$6:$AK$505,"○")&gt;0,1,0))</f>
        <v>0</v>
      </c>
      <c r="BX246" s="39" t="n">
        <f aca="false">IF(BX$4=0,0,IF(COUNTIFS(実績!$W$6:$W$505,BX$3,実績!$AI$6:$AI$505,"&lt;="&amp;$A246,実績!$AJ$6:$AJ$505,"&gt;"&amp;$A246,実績!$AK$6:$AK$505,"○")&gt;0,1,0))</f>
        <v>0</v>
      </c>
      <c r="BY246" s="39" t="n">
        <f aca="false">IF(BY$4=0,0,IF(COUNTIFS(実績!$W$6:$W$505,BY$3,実績!$AI$6:$AI$505,"&lt;="&amp;$A246,実績!$AJ$6:$AJ$505,"&gt;"&amp;$A246,実績!$AK$6:$AK$505,"○")&gt;0,1,0))</f>
        <v>0</v>
      </c>
      <c r="BZ246" s="39" t="n">
        <f aca="false">IF(BZ$4=0,0,IF(COUNTIFS(実績!$W$6:$W$505,BZ$3,実績!$AI$6:$AI$505,"&lt;="&amp;$A246,実績!$AJ$6:$AJ$505,"&gt;"&amp;$A246,実績!$AK$6:$AK$505,"○")&gt;0,1,0))</f>
        <v>0</v>
      </c>
      <c r="CA246" s="39" t="n">
        <f aca="false">IF(CA$4=0,0,IF(COUNTIFS(実績!$W$6:$W$505,CA$3,実績!$AI$6:$AI$505,"&lt;="&amp;$A246,実績!$AJ$6:$AJ$505,"&gt;"&amp;$A246,実績!$AK$6:$AK$505,"○")&gt;0,1,0))</f>
        <v>0</v>
      </c>
      <c r="CB246" s="39" t="n">
        <f aca="false">IF(CB$4=0,0,IF(COUNTIFS(実績!$W$6:$W$505,CB$3,実績!$AI$6:$AI$505,"&lt;="&amp;$A246,実績!$AJ$6:$AJ$505,"&gt;"&amp;$A246,実績!$AK$6:$AK$505,"○")&gt;0,1,0))</f>
        <v>0</v>
      </c>
      <c r="CC246" s="39" t="n">
        <f aca="false">IF(CC$4=0,0,IF(COUNTIFS(実績!$W$6:$W$505,CC$3,実績!$AI$6:$AI$505,"&lt;="&amp;$A246,実績!$AJ$6:$AJ$505,"&gt;"&amp;$A246,実績!$AK$6:$AK$505,"○")&gt;0,1,0))</f>
        <v>0</v>
      </c>
      <c r="CD246" s="39" t="n">
        <f aca="false">IF(CD$4=0,0,IF(COUNTIFS(実績!$W$6:$W$505,CD$3,実績!$AI$6:$AI$505,"&lt;="&amp;$A246,実績!$AJ$6:$AJ$505,"&gt;"&amp;$A246,実績!$AK$6:$AK$505,"○")&gt;0,1,0))</f>
        <v>0</v>
      </c>
      <c r="CE246" s="39" t="n">
        <f aca="false">IF(CE$4=0,0,IF(COUNTIFS(実績!$W$6:$W$505,CE$3,実績!$AI$6:$AI$505,"&lt;="&amp;$A246,実績!$AJ$6:$AJ$505,"&gt;"&amp;$A246,実績!$AK$6:$AK$505,"○")&gt;0,1,0))</f>
        <v>0</v>
      </c>
      <c r="CF246" s="39" t="n">
        <f aca="false">IF(CF$4=0,0,IF(COUNTIFS(実績!$W$6:$W$505,CF$3,実績!$AI$6:$AI$505,"&lt;="&amp;$A246,実績!$AJ$6:$AJ$505,"&gt;"&amp;$A246,実績!$AK$6:$AK$505,"○")&gt;0,1,0))</f>
        <v>0</v>
      </c>
      <c r="CG246" s="39" t="n">
        <f aca="false">IF(CG$4=0,0,IF(COUNTIFS(実績!$W$6:$W$505,CG$3,実績!$AI$6:$AI$505,"&lt;="&amp;$A246,実績!$AJ$6:$AJ$505,"&gt;"&amp;$A246,実績!$AK$6:$AK$505,"○")&gt;0,1,0))</f>
        <v>0</v>
      </c>
      <c r="CH246" s="39" t="n">
        <f aca="false">IF(CH$4=0,0,IF(COUNTIFS(実績!$W$6:$W$505,CH$3,実績!$AI$6:$AI$505,"&lt;="&amp;$A246,実績!$AJ$6:$AJ$505,"&gt;"&amp;$A246,実績!$AK$6:$AK$505,"○")&gt;0,1,0))</f>
        <v>0</v>
      </c>
      <c r="CI246" s="39" t="n">
        <f aca="false">IF(CI$4=0,0,IF(COUNTIFS(実績!$W$6:$W$505,CI$3,実績!$AI$6:$AI$505,"&lt;="&amp;$A246,実績!$AJ$6:$AJ$505,"&gt;"&amp;$A246,実績!$AK$6:$AK$505,"○")&gt;0,1,0))</f>
        <v>0</v>
      </c>
      <c r="CJ246" s="39" t="n">
        <f aca="false">IF(CJ$4=0,0,IF(COUNTIFS(実績!$W$6:$W$505,CJ$3,実績!$AI$6:$AI$505,"&lt;="&amp;$A246,実績!$AJ$6:$AJ$505,"&gt;"&amp;$A246,実績!$AK$6:$AK$505,"○")&gt;0,1,0))</f>
        <v>0</v>
      </c>
      <c r="CK246" s="39" t="n">
        <f aca="false">IF(CK$4=0,0,IF(COUNTIFS(実績!$W$6:$W$505,CK$3,実績!$AI$6:$AI$505,"&lt;="&amp;$A246,実績!$AJ$6:$AJ$505,"&gt;"&amp;$A246,実績!$AK$6:$AK$505,"○")&gt;0,1,0))</f>
        <v>0</v>
      </c>
      <c r="CL246" s="39" t="n">
        <f aca="false">IF(CL$4=0,0,IF(COUNTIFS(実績!$W$6:$W$505,CL$3,実績!$AI$6:$AI$505,"&lt;="&amp;$A246,実績!$AJ$6:$AJ$505,"&gt;"&amp;$A246,実績!$AK$6:$AK$505,"○")&gt;0,1,0))</f>
        <v>0</v>
      </c>
      <c r="CM246" s="39" t="n">
        <f aca="false">IF(CM$4=0,0,IF(COUNTIFS(実績!$W$6:$W$505,CM$3,実績!$AI$6:$AI$505,"&lt;="&amp;$A246,実績!$AJ$6:$AJ$505,"&gt;"&amp;$A246,実績!$AK$6:$AK$505,"○")&gt;0,1,0))</f>
        <v>0</v>
      </c>
      <c r="CN246" s="39" t="n">
        <f aca="false">IF(CN$4=0,0,IF(COUNTIFS(実績!$W$6:$W$505,CN$3,実績!$AI$6:$AI$505,"&lt;="&amp;$A246,実績!$AJ$6:$AJ$505,"&gt;"&amp;$A246,実績!$AK$6:$AK$505,"○")&gt;0,1,0))</f>
        <v>0</v>
      </c>
      <c r="CO246" s="39" t="n">
        <f aca="false">IF(CO$4=0,0,IF(COUNTIFS(実績!$W$6:$W$505,CO$3,実績!$AI$6:$AI$505,"&lt;="&amp;$A246,実績!$AJ$6:$AJ$505,"&gt;"&amp;$A246,実績!$AK$6:$AK$505,"○")&gt;0,1,0))</f>
        <v>0</v>
      </c>
      <c r="CP246" s="39" t="n">
        <f aca="false">IF(CP$4=0,0,IF(COUNTIFS(実績!$W$6:$W$505,CP$3,実績!$AI$6:$AI$505,"&lt;="&amp;$A246,実績!$AJ$6:$AJ$505,"&gt;"&amp;$A246,実績!$AK$6:$AK$505,"○")&gt;0,1,0))</f>
        <v>0</v>
      </c>
      <c r="CQ246" s="39" t="n">
        <f aca="false">IF(CQ$4=0,0,IF(COUNTIFS(実績!$W$6:$W$505,CQ$3,実績!$AI$6:$AI$505,"&lt;="&amp;$A246,実績!$AJ$6:$AJ$505,"&gt;"&amp;$A246,実績!$AK$6:$AK$505,"○")&gt;0,1,0))</f>
        <v>0</v>
      </c>
      <c r="CR246" s="39" t="n">
        <f aca="false">IF(CR$4=0,0,IF(COUNTIFS(実績!$W$6:$W$505,CR$3,実績!$AI$6:$AI$505,"&lt;="&amp;$A246,実績!$AJ$6:$AJ$505,"&gt;"&amp;$A246,実績!$AK$6:$AK$505,"○")&gt;0,1,0))</f>
        <v>0</v>
      </c>
      <c r="CS246" s="39" t="n">
        <f aca="false">IF(CS$4=0,0,IF(COUNTIFS(実績!$W$6:$W$505,CS$3,実績!$AI$6:$AI$505,"&lt;="&amp;$A246,実績!$AJ$6:$AJ$505,"&gt;"&amp;$A246,実績!$AK$6:$AK$505,"○")&gt;0,1,0))</f>
        <v>0</v>
      </c>
      <c r="CT246" s="39" t="n">
        <f aca="false">IF(CT$4=0,0,IF(COUNTIFS(実績!$W$6:$W$505,CT$3,実績!$AI$6:$AI$505,"&lt;="&amp;$A246,実績!$AJ$6:$AJ$505,"&gt;"&amp;$A246,実績!$AK$6:$AK$505,"○")&gt;0,1,0))</f>
        <v>0</v>
      </c>
      <c r="CU246" s="39" t="n">
        <f aca="false">IF(CU$4=0,0,IF(COUNTIFS(実績!$W$6:$W$505,CU$3,実績!$AI$6:$AI$505,"&lt;="&amp;$A246,実績!$AJ$6:$AJ$505,"&gt;"&amp;$A246,実績!$AK$6:$AK$505,"○")&gt;0,1,0))</f>
        <v>0</v>
      </c>
      <c r="CV246" s="39" t="n">
        <f aca="false">IF(CV$4=0,0,IF(COUNTIFS(実績!$W$6:$W$505,CV$3,実績!$AI$6:$AI$505,"&lt;="&amp;$A246,実績!$AJ$6:$AJ$505,"&gt;"&amp;$A246,実績!$AK$6:$AK$505,"○")&gt;0,1,0))</f>
        <v>0</v>
      </c>
      <c r="CW246" s="39" t="n">
        <f aca="false">IF(CW$4=0,0,IF(COUNTIFS(実績!$W$6:$W$505,CW$3,実績!$AI$6:$AI$505,"&lt;="&amp;$A246,実績!$AJ$6:$AJ$505,"&gt;"&amp;$A246,実績!$AK$6:$AK$505,"○")&gt;0,1,0))</f>
        <v>0</v>
      </c>
      <c r="CX246" s="39" t="n">
        <f aca="false">IF(CX$4=0,0,IF(COUNTIFS(実績!$W$6:$W$505,CX$3,実績!$AI$6:$AI$505,"&lt;="&amp;$A246,実績!$AJ$6:$AJ$505,"&gt;"&amp;$A246,実績!$AK$6:$AK$505,"○")&gt;0,1,0))</f>
        <v>0</v>
      </c>
      <c r="CY246" s="39" t="n">
        <f aca="false">IF(CY$4=0,0,IF(COUNTIFS(実績!$W$6:$W$505,CY$3,実績!$AI$6:$AI$505,"&lt;="&amp;$A246,実績!$AJ$6:$AJ$505,"&gt;"&amp;$A246,実績!$AK$6:$AK$505,"○")&gt;0,1,0))</f>
        <v>0</v>
      </c>
      <c r="CZ246" s="39" t="n">
        <f aca="false">IF(CZ$4=0,0,IF(COUNTIFS(実績!$W$6:$W$505,CZ$3,実績!$AI$6:$AI$505,"&lt;="&amp;$A246,実績!$AJ$6:$AJ$505,"&gt;"&amp;$A246,実績!$AK$6:$AK$505,"○")&gt;0,1,0))</f>
        <v>0</v>
      </c>
      <c r="DA246" s="39" t="n">
        <f aca="false">IF(DA$4=0,0,IF(COUNTIFS(実績!$W$6:$W$505,DA$3,実績!$AI$6:$AI$505,"&lt;="&amp;$A246,実績!$AJ$6:$AJ$505,"&gt;"&amp;$A246,実績!$AK$6:$AK$505,"○")&gt;0,1,0))</f>
        <v>0</v>
      </c>
      <c r="DB246" s="39" t="n">
        <f aca="false">IF(DB$4=0,0,IF(COUNTIFS(実績!$W$6:$W$505,DB$3,実績!$AI$6:$AI$505,"&lt;="&amp;$A246,実績!$AJ$6:$AJ$505,"&gt;"&amp;$A246,実績!$AK$6:$AK$505,"○")&gt;0,1,0))</f>
        <v>0</v>
      </c>
      <c r="DC246" s="39" t="n">
        <f aca="false">IF(DC$4=0,0,IF(COUNTIFS(実績!$W$6:$W$505,DC$3,実績!$AI$6:$AI$505,"&lt;="&amp;$A246,実績!$AJ$6:$AJ$505,"&gt;"&amp;$A246,実績!$AK$6:$AK$505,"○")&gt;0,1,0))</f>
        <v>0</v>
      </c>
      <c r="DD246" s="39" t="n">
        <f aca="false">IF(DD$4=0,0,IF(COUNTIFS(実績!$W$6:$W$505,DD$3,実績!$AI$6:$AI$505,"&lt;="&amp;$A246,実績!$AJ$6:$AJ$505,"&gt;"&amp;$A246,実績!$AK$6:$AK$505,"○")&gt;0,1,0))</f>
        <v>0</v>
      </c>
      <c r="DE246" s="39" t="n">
        <f aca="false">IF(DE$4=0,0,IF(COUNTIFS(実績!$W$6:$W$505,DE$3,実績!$AI$6:$AI$505,"&lt;="&amp;$A246,実績!$AJ$6:$AJ$505,"&gt;"&amp;$A246,実績!$AK$6:$AK$505,"○")&gt;0,1,0))</f>
        <v>0</v>
      </c>
      <c r="DF246" s="39" t="n">
        <f aca="false">IF(DF$4=0,0,IF(COUNTIFS(実績!$W$6:$W$505,DF$3,実績!$AI$6:$AI$505,"&lt;="&amp;$A246,実績!$AJ$6:$AJ$505,"&gt;"&amp;$A246,実績!$AK$6:$AK$505,"○")&gt;0,1,0))</f>
        <v>0</v>
      </c>
      <c r="DG246" s="39" t="n">
        <f aca="false">IF(DG$4=0,0,IF(COUNTIFS(実績!$W$6:$W$505,DG$3,実績!$AI$6:$AI$505,"&lt;="&amp;$A246,実績!$AJ$6:$AJ$505,"&gt;"&amp;$A246,実績!$AK$6:$AK$505,"○")&gt;0,1,0))</f>
        <v>0</v>
      </c>
      <c r="DH246" s="39" t="n">
        <f aca="false">IF(DH$4=0,0,IF(COUNTIFS(実績!$W$6:$W$505,DH$3,実績!$AI$6:$AI$505,"&lt;="&amp;$A246,実績!$AJ$6:$AJ$505,"&gt;"&amp;$A246,実績!$AK$6:$AK$505,"○")&gt;0,1,0))</f>
        <v>0</v>
      </c>
      <c r="DI246" s="39" t="n">
        <f aca="false">IF(DI$4=0,0,IF(COUNTIFS(実績!$W$6:$W$505,DI$3,実績!$AI$6:$AI$505,"&lt;="&amp;$A246,実績!$AJ$6:$AJ$505,"&gt;"&amp;$A246,実績!$AK$6:$AK$505,"○")&gt;0,1,0))</f>
        <v>0</v>
      </c>
      <c r="DJ246" s="39" t="n">
        <f aca="false">IF(DJ$4=0,0,IF(COUNTIFS(実績!$W$6:$W$505,DJ$3,実績!$AI$6:$AI$505,"&lt;="&amp;$A246,実績!$AJ$6:$AJ$505,"&gt;"&amp;$A246,実績!$AK$6:$AK$505,"○")&gt;0,1,0))</f>
        <v>0</v>
      </c>
      <c r="DK246" s="39" t="n">
        <f aca="false">IF(DK$4=0,0,IF(COUNTIFS(実績!$W$6:$W$505,DK$3,実績!$AI$6:$AI$505,"&lt;="&amp;$A246,実績!$AJ$6:$AJ$505,"&gt;"&amp;$A246,実績!$AK$6:$AK$505,"○")&gt;0,1,0))</f>
        <v>0</v>
      </c>
      <c r="DL246" s="39" t="n">
        <f aca="false">IF(DL$4=0,0,IF(COUNTIFS(実績!$W$6:$W$505,DL$3,実績!$AI$6:$AI$505,"&lt;="&amp;$A246,実績!$AJ$6:$AJ$505,"&gt;"&amp;$A246,実績!$AK$6:$AK$505,"○")&gt;0,1,0))</f>
        <v>0</v>
      </c>
      <c r="DM246" s="39" t="n">
        <f aca="false">IF(DM$4=0,0,IF(COUNTIFS(実績!$W$6:$W$505,DM$3,実績!$AI$6:$AI$505,"&lt;="&amp;$A246,実績!$AJ$6:$AJ$505,"&gt;"&amp;$A246,実績!$AK$6:$AK$505,"○")&gt;0,1,0))</f>
        <v>0</v>
      </c>
      <c r="DN246" s="39" t="n">
        <f aca="false">IF(DN$4=0,0,IF(COUNTIFS(実績!$W$6:$W$505,DN$3,実績!$AI$6:$AI$505,"&lt;="&amp;$A246,実績!$AJ$6:$AJ$505,"&gt;"&amp;$A246,実績!$AK$6:$AK$505,"○")&gt;0,1,0))</f>
        <v>0</v>
      </c>
      <c r="DO246" s="39" t="n">
        <f aca="false">IF(DO$4=0,0,IF(COUNTIFS(実績!$W$6:$W$505,DO$3,実績!$AI$6:$AI$505,"&lt;="&amp;$A246,実績!$AJ$6:$AJ$505,"&gt;"&amp;$A246,実績!$AK$6:$AK$505,"○")&gt;0,1,0))</f>
        <v>0</v>
      </c>
      <c r="DP246" s="39" t="n">
        <f aca="false">IF(DP$4=0,0,IF(COUNTIFS(実績!$W$6:$W$505,DP$3,実績!$AI$6:$AI$505,"&lt;="&amp;$A246,実績!$AJ$6:$AJ$505,"&gt;"&amp;$A246,実績!$AK$6:$AK$505,"○")&gt;0,1,0))</f>
        <v>0</v>
      </c>
      <c r="DQ246" s="39" t="n">
        <f aca="false">IF(DQ$4=0,0,IF(COUNTIFS(実績!$W$6:$W$505,DQ$3,実績!$AI$6:$AI$505,"&lt;="&amp;$A246,実績!$AJ$6:$AJ$505,"&gt;"&amp;$A246,実績!$AK$6:$AK$505,"○")&gt;0,1,0))</f>
        <v>0</v>
      </c>
      <c r="DR246" s="39" t="n">
        <f aca="false">IF(DR$4=0,0,IF(COUNTIFS(実績!$W$6:$W$505,DR$3,実績!$AI$6:$AI$505,"&lt;="&amp;$A246,実績!$AJ$6:$AJ$505,"&gt;"&amp;$A246,実績!$AK$6:$AK$505,"○")&gt;0,1,0))</f>
        <v>0</v>
      </c>
      <c r="DS246" s="39" t="n">
        <f aca="false">SUM(C246:DR246)</f>
        <v>0</v>
      </c>
      <c r="DT246" s="39" t="n">
        <f aca="false">SUMPRODUCT((実績!$C$6:$C$505="○")*ISNUMBER(実績!$AM$6:$AM$505)*(実績!$AM$6:$AM$505&lt;=$A246)*(実績!$AN$6:$AN$505&gt;$A246))</f>
        <v>0</v>
      </c>
      <c r="DU246" s="39" t="n">
        <f aca="false">SUMIF($C$2:$DR$2,"製鉄曳船",C246:DR246)</f>
        <v>0</v>
      </c>
      <c r="DV246" s="39" t="n">
        <f aca="false">SUMIF($C$2:$DR$2,"西日本海運",C246:DR246)</f>
        <v>0</v>
      </c>
    </row>
    <row r="247" customFormat="false" ht="15" hidden="false" customHeight="false" outlineLevel="0" collapsed="false">
      <c r="A247" s="0" t="n">
        <v>1205</v>
      </c>
      <c r="B247" s="38" t="n">
        <f aca="false">A247/1440</f>
        <v>0.836805555555556</v>
      </c>
      <c r="C247" s="39" t="n">
        <f aca="false">IF(C$4=0,0,IF(COUNTIFS(実績!$W$6:$W$505,C$3,実績!$AI$6:$AI$505,"&lt;="&amp;$A247,実績!$AJ$6:$AJ$505,"&gt;"&amp;$A247,実績!$AK$6:$AK$505,"○")&gt;0,1,0))</f>
        <v>0</v>
      </c>
      <c r="D247" s="39" t="n">
        <f aca="false">IF(D$4=0,0,IF(COUNTIFS(実績!$W$6:$W$505,D$3,実績!$AI$6:$AI$505,"&lt;="&amp;$A247,実績!$AJ$6:$AJ$505,"&gt;"&amp;$A247,実績!$AK$6:$AK$505,"○")&gt;0,1,0))</f>
        <v>0</v>
      </c>
      <c r="E247" s="39" t="n">
        <f aca="false">IF(E$4=0,0,IF(COUNTIFS(実績!$W$6:$W$505,E$3,実績!$AI$6:$AI$505,"&lt;="&amp;$A247,実績!$AJ$6:$AJ$505,"&gt;"&amp;$A247,実績!$AK$6:$AK$505,"○")&gt;0,1,0))</f>
        <v>0</v>
      </c>
      <c r="F247" s="39" t="n">
        <f aca="false">IF(F$4=0,0,IF(COUNTIFS(実績!$W$6:$W$505,F$3,実績!$AI$6:$AI$505,"&lt;="&amp;$A247,実績!$AJ$6:$AJ$505,"&gt;"&amp;$A247,実績!$AK$6:$AK$505,"○")&gt;0,1,0))</f>
        <v>0</v>
      </c>
      <c r="G247" s="39" t="n">
        <f aca="false">IF(G$4=0,0,IF(COUNTIFS(実績!$W$6:$W$505,G$3,実績!$AI$6:$AI$505,"&lt;="&amp;$A247,実績!$AJ$6:$AJ$505,"&gt;"&amp;$A247,実績!$AK$6:$AK$505,"○")&gt;0,1,0))</f>
        <v>0</v>
      </c>
      <c r="H247" s="39" t="n">
        <f aca="false">IF(H$4=0,0,IF(COUNTIFS(実績!$W$6:$W$505,H$3,実績!$AI$6:$AI$505,"&lt;="&amp;$A247,実績!$AJ$6:$AJ$505,"&gt;"&amp;$A247,実績!$AK$6:$AK$505,"○")&gt;0,1,0))</f>
        <v>0</v>
      </c>
      <c r="I247" s="39" t="n">
        <f aca="false">IF(I$4=0,0,IF(COUNTIFS(実績!$W$6:$W$505,I$3,実績!$AI$6:$AI$505,"&lt;="&amp;$A247,実績!$AJ$6:$AJ$505,"&gt;"&amp;$A247,実績!$AK$6:$AK$505,"○")&gt;0,1,0))</f>
        <v>0</v>
      </c>
      <c r="J247" s="39" t="n">
        <f aca="false">IF(J$4=0,0,IF(COUNTIFS(実績!$W$6:$W$505,J$3,実績!$AI$6:$AI$505,"&lt;="&amp;$A247,実績!$AJ$6:$AJ$505,"&gt;"&amp;$A247,実績!$AK$6:$AK$505,"○")&gt;0,1,0))</f>
        <v>0</v>
      </c>
      <c r="K247" s="39" t="n">
        <f aca="false">IF(K$4=0,0,IF(COUNTIFS(実績!$W$6:$W$505,K$3,実績!$AI$6:$AI$505,"&lt;="&amp;$A247,実績!$AJ$6:$AJ$505,"&gt;"&amp;$A247,実績!$AK$6:$AK$505,"○")&gt;0,1,0))</f>
        <v>0</v>
      </c>
      <c r="L247" s="39" t="n">
        <f aca="false">IF(L$4=0,0,IF(COUNTIFS(実績!$W$6:$W$505,L$3,実績!$AI$6:$AI$505,"&lt;="&amp;$A247,実績!$AJ$6:$AJ$505,"&gt;"&amp;$A247,実績!$AK$6:$AK$505,"○")&gt;0,1,0))</f>
        <v>0</v>
      </c>
      <c r="M247" s="39" t="n">
        <f aca="false">IF(M$4=0,0,IF(COUNTIFS(実績!$W$6:$W$505,M$3,実績!$AI$6:$AI$505,"&lt;="&amp;$A247,実績!$AJ$6:$AJ$505,"&gt;"&amp;$A247,実績!$AK$6:$AK$505,"○")&gt;0,1,0))</f>
        <v>0</v>
      </c>
      <c r="N247" s="39" t="n">
        <f aca="false">IF(N$4=0,0,IF(COUNTIFS(実績!$W$6:$W$505,N$3,実績!$AI$6:$AI$505,"&lt;="&amp;$A247,実績!$AJ$6:$AJ$505,"&gt;"&amp;$A247,実績!$AK$6:$AK$505,"○")&gt;0,1,0))</f>
        <v>0</v>
      </c>
      <c r="O247" s="39" t="n">
        <f aca="false">IF(O$4=0,0,IF(COUNTIFS(実績!$W$6:$W$505,O$3,実績!$AI$6:$AI$505,"&lt;="&amp;$A247,実績!$AJ$6:$AJ$505,"&gt;"&amp;$A247,実績!$AK$6:$AK$505,"○")&gt;0,1,0))</f>
        <v>0</v>
      </c>
      <c r="P247" s="39" t="n">
        <f aca="false">IF(P$4=0,0,IF(COUNTIFS(実績!$W$6:$W$505,P$3,実績!$AI$6:$AI$505,"&lt;="&amp;$A247,実績!$AJ$6:$AJ$505,"&gt;"&amp;$A247,実績!$AK$6:$AK$505,"○")&gt;0,1,0))</f>
        <v>0</v>
      </c>
      <c r="Q247" s="39" t="n">
        <f aca="false">IF(Q$4=0,0,IF(COUNTIFS(実績!$W$6:$W$505,Q$3,実績!$AI$6:$AI$505,"&lt;="&amp;$A247,実績!$AJ$6:$AJ$505,"&gt;"&amp;$A247,実績!$AK$6:$AK$505,"○")&gt;0,1,0))</f>
        <v>0</v>
      </c>
      <c r="R247" s="39" t="n">
        <f aca="false">IF(R$4=0,0,IF(COUNTIFS(実績!$W$6:$W$505,R$3,実績!$AI$6:$AI$505,"&lt;="&amp;$A247,実績!$AJ$6:$AJ$505,"&gt;"&amp;$A247,実績!$AK$6:$AK$505,"○")&gt;0,1,0))</f>
        <v>0</v>
      </c>
      <c r="S247" s="39" t="n">
        <f aca="false">IF(S$4=0,0,IF(COUNTIFS(実績!$W$6:$W$505,S$3,実績!$AI$6:$AI$505,"&lt;="&amp;$A247,実績!$AJ$6:$AJ$505,"&gt;"&amp;$A247,実績!$AK$6:$AK$505,"○")&gt;0,1,0))</f>
        <v>0</v>
      </c>
      <c r="T247" s="39" t="n">
        <f aca="false">IF(T$4=0,0,IF(COUNTIFS(実績!$W$6:$W$505,T$3,実績!$AI$6:$AI$505,"&lt;="&amp;$A247,実績!$AJ$6:$AJ$505,"&gt;"&amp;$A247,実績!$AK$6:$AK$505,"○")&gt;0,1,0))</f>
        <v>0</v>
      </c>
      <c r="U247" s="39" t="n">
        <f aca="false">IF(U$4=0,0,IF(COUNTIFS(実績!$W$6:$W$505,U$3,実績!$AI$6:$AI$505,"&lt;="&amp;$A247,実績!$AJ$6:$AJ$505,"&gt;"&amp;$A247,実績!$AK$6:$AK$505,"○")&gt;0,1,0))</f>
        <v>0</v>
      </c>
      <c r="V247" s="39" t="n">
        <f aca="false">IF(V$4=0,0,IF(COUNTIFS(実績!$W$6:$W$505,V$3,実績!$AI$6:$AI$505,"&lt;="&amp;$A247,実績!$AJ$6:$AJ$505,"&gt;"&amp;$A247,実績!$AK$6:$AK$505,"○")&gt;0,1,0))</f>
        <v>0</v>
      </c>
      <c r="W247" s="39" t="n">
        <f aca="false">IF(W$4=0,0,IF(COUNTIFS(実績!$W$6:$W$505,W$3,実績!$AI$6:$AI$505,"&lt;="&amp;$A247,実績!$AJ$6:$AJ$505,"&gt;"&amp;$A247,実績!$AK$6:$AK$505,"○")&gt;0,1,0))</f>
        <v>0</v>
      </c>
      <c r="X247" s="39" t="n">
        <f aca="false">IF(X$4=0,0,IF(COUNTIFS(実績!$W$6:$W$505,X$3,実績!$AI$6:$AI$505,"&lt;="&amp;$A247,実績!$AJ$6:$AJ$505,"&gt;"&amp;$A247,実績!$AK$6:$AK$505,"○")&gt;0,1,0))</f>
        <v>0</v>
      </c>
      <c r="Y247" s="39" t="n">
        <f aca="false">IF(Y$4=0,0,IF(COUNTIFS(実績!$W$6:$W$505,Y$3,実績!$AI$6:$AI$505,"&lt;="&amp;$A247,実績!$AJ$6:$AJ$505,"&gt;"&amp;$A247,実績!$AK$6:$AK$505,"○")&gt;0,1,0))</f>
        <v>0</v>
      </c>
      <c r="Z247" s="39" t="n">
        <f aca="false">IF(Z$4=0,0,IF(COUNTIFS(実績!$W$6:$W$505,Z$3,実績!$AI$6:$AI$505,"&lt;="&amp;$A247,実績!$AJ$6:$AJ$505,"&gt;"&amp;$A247,実績!$AK$6:$AK$505,"○")&gt;0,1,0))</f>
        <v>0</v>
      </c>
      <c r="AA247" s="39" t="n">
        <f aca="false">IF(AA$4=0,0,IF(COUNTIFS(実績!$W$6:$W$505,AA$3,実績!$AI$6:$AI$505,"&lt;="&amp;$A247,実績!$AJ$6:$AJ$505,"&gt;"&amp;$A247,実績!$AK$6:$AK$505,"○")&gt;0,1,0))</f>
        <v>0</v>
      </c>
      <c r="AB247" s="39" t="n">
        <f aca="false">IF(AB$4=0,0,IF(COUNTIFS(実績!$W$6:$W$505,AB$3,実績!$AI$6:$AI$505,"&lt;="&amp;$A247,実績!$AJ$6:$AJ$505,"&gt;"&amp;$A247,実績!$AK$6:$AK$505,"○")&gt;0,1,0))</f>
        <v>0</v>
      </c>
      <c r="AC247" s="39" t="n">
        <f aca="false">IF(AC$4=0,0,IF(COUNTIFS(実績!$W$6:$W$505,AC$3,実績!$AI$6:$AI$505,"&lt;="&amp;$A247,実績!$AJ$6:$AJ$505,"&gt;"&amp;$A247,実績!$AK$6:$AK$505,"○")&gt;0,1,0))</f>
        <v>0</v>
      </c>
      <c r="AD247" s="39" t="n">
        <f aca="false">IF(AD$4=0,0,IF(COUNTIFS(実績!$W$6:$W$505,AD$3,実績!$AI$6:$AI$505,"&lt;="&amp;$A247,実績!$AJ$6:$AJ$505,"&gt;"&amp;$A247,実績!$AK$6:$AK$505,"○")&gt;0,1,0))</f>
        <v>0</v>
      </c>
      <c r="AE247" s="39" t="n">
        <f aca="false">IF(AE$4=0,0,IF(COUNTIFS(実績!$W$6:$W$505,AE$3,実績!$AI$6:$AI$505,"&lt;="&amp;$A247,実績!$AJ$6:$AJ$505,"&gt;"&amp;$A247,実績!$AK$6:$AK$505,"○")&gt;0,1,0))</f>
        <v>0</v>
      </c>
      <c r="AF247" s="39" t="n">
        <f aca="false">IF(AF$4=0,0,IF(COUNTIFS(実績!$W$6:$W$505,AF$3,実績!$AI$6:$AI$505,"&lt;="&amp;$A247,実績!$AJ$6:$AJ$505,"&gt;"&amp;$A247,実績!$AK$6:$AK$505,"○")&gt;0,1,0))</f>
        <v>0</v>
      </c>
      <c r="AG247" s="39" t="n">
        <f aca="false">IF(AG$4=0,0,IF(COUNTIFS(実績!$W$6:$W$505,AG$3,実績!$AI$6:$AI$505,"&lt;="&amp;$A247,実績!$AJ$6:$AJ$505,"&gt;"&amp;$A247,実績!$AK$6:$AK$505,"○")&gt;0,1,0))</f>
        <v>0</v>
      </c>
      <c r="AH247" s="39" t="n">
        <f aca="false">IF(AH$4=0,0,IF(COUNTIFS(実績!$W$6:$W$505,AH$3,実績!$AI$6:$AI$505,"&lt;="&amp;$A247,実績!$AJ$6:$AJ$505,"&gt;"&amp;$A247,実績!$AK$6:$AK$505,"○")&gt;0,1,0))</f>
        <v>0</v>
      </c>
      <c r="AI247" s="39" t="n">
        <f aca="false">IF(AI$4=0,0,IF(COUNTIFS(実績!$W$6:$W$505,AI$3,実績!$AI$6:$AI$505,"&lt;="&amp;$A247,実績!$AJ$6:$AJ$505,"&gt;"&amp;$A247,実績!$AK$6:$AK$505,"○")&gt;0,1,0))</f>
        <v>0</v>
      </c>
      <c r="AJ247" s="39" t="n">
        <f aca="false">IF(AJ$4=0,0,IF(COUNTIFS(実績!$W$6:$W$505,AJ$3,実績!$AI$6:$AI$505,"&lt;="&amp;$A247,実績!$AJ$6:$AJ$505,"&gt;"&amp;$A247,実績!$AK$6:$AK$505,"○")&gt;0,1,0))</f>
        <v>0</v>
      </c>
      <c r="AK247" s="39" t="n">
        <f aca="false">IF(AK$4=0,0,IF(COUNTIFS(実績!$W$6:$W$505,AK$3,実績!$AI$6:$AI$505,"&lt;="&amp;$A247,実績!$AJ$6:$AJ$505,"&gt;"&amp;$A247,実績!$AK$6:$AK$505,"○")&gt;0,1,0))</f>
        <v>0</v>
      </c>
      <c r="AL247" s="39" t="n">
        <f aca="false">IF(AL$4=0,0,IF(COUNTIFS(実績!$W$6:$W$505,AL$3,実績!$AI$6:$AI$505,"&lt;="&amp;$A247,実績!$AJ$6:$AJ$505,"&gt;"&amp;$A247,実績!$AK$6:$AK$505,"○")&gt;0,1,0))</f>
        <v>0</v>
      </c>
      <c r="AM247" s="39" t="n">
        <f aca="false">IF(AM$4=0,0,IF(COUNTIFS(実績!$W$6:$W$505,AM$3,実績!$AI$6:$AI$505,"&lt;="&amp;$A247,実績!$AJ$6:$AJ$505,"&gt;"&amp;$A247,実績!$AK$6:$AK$505,"○")&gt;0,1,0))</f>
        <v>0</v>
      </c>
      <c r="AN247" s="39" t="n">
        <f aca="false">IF(AN$4=0,0,IF(COUNTIFS(実績!$W$6:$W$505,AN$3,実績!$AI$6:$AI$505,"&lt;="&amp;$A247,実績!$AJ$6:$AJ$505,"&gt;"&amp;$A247,実績!$AK$6:$AK$505,"○")&gt;0,1,0))</f>
        <v>0</v>
      </c>
      <c r="AO247" s="39" t="n">
        <f aca="false">IF(AO$4=0,0,IF(COUNTIFS(実績!$W$6:$W$505,AO$3,実績!$AI$6:$AI$505,"&lt;="&amp;$A247,実績!$AJ$6:$AJ$505,"&gt;"&amp;$A247,実績!$AK$6:$AK$505,"○")&gt;0,1,0))</f>
        <v>0</v>
      </c>
      <c r="AP247" s="39" t="n">
        <f aca="false">IF(AP$4=0,0,IF(COUNTIFS(実績!$W$6:$W$505,AP$3,実績!$AI$6:$AI$505,"&lt;="&amp;$A247,実績!$AJ$6:$AJ$505,"&gt;"&amp;$A247,実績!$AK$6:$AK$505,"○")&gt;0,1,0))</f>
        <v>0</v>
      </c>
      <c r="AQ247" s="39" t="n">
        <f aca="false">IF(AQ$4=0,0,IF(COUNTIFS(実績!$W$6:$W$505,AQ$3,実績!$AI$6:$AI$505,"&lt;="&amp;$A247,実績!$AJ$6:$AJ$505,"&gt;"&amp;$A247,実績!$AK$6:$AK$505,"○")&gt;0,1,0))</f>
        <v>0</v>
      </c>
      <c r="AR247" s="39" t="n">
        <f aca="false">IF(AR$4=0,0,IF(COUNTIFS(実績!$W$6:$W$505,AR$3,実績!$AI$6:$AI$505,"&lt;="&amp;$A247,実績!$AJ$6:$AJ$505,"&gt;"&amp;$A247,実績!$AK$6:$AK$505,"○")&gt;0,1,0))</f>
        <v>0</v>
      </c>
      <c r="AS247" s="39" t="n">
        <f aca="false">IF(AS$4=0,0,IF(COUNTIFS(実績!$W$6:$W$505,AS$3,実績!$AI$6:$AI$505,"&lt;="&amp;$A247,実績!$AJ$6:$AJ$505,"&gt;"&amp;$A247,実績!$AK$6:$AK$505,"○")&gt;0,1,0))</f>
        <v>0</v>
      </c>
      <c r="AT247" s="39" t="n">
        <f aca="false">IF(AT$4=0,0,IF(COUNTIFS(実績!$W$6:$W$505,AT$3,実績!$AI$6:$AI$505,"&lt;="&amp;$A247,実績!$AJ$6:$AJ$505,"&gt;"&amp;$A247,実績!$AK$6:$AK$505,"○")&gt;0,1,0))</f>
        <v>0</v>
      </c>
      <c r="AU247" s="39" t="n">
        <f aca="false">IF(AU$4=0,0,IF(COUNTIFS(実績!$W$6:$W$505,AU$3,実績!$AI$6:$AI$505,"&lt;="&amp;$A247,実績!$AJ$6:$AJ$505,"&gt;"&amp;$A247,実績!$AK$6:$AK$505,"○")&gt;0,1,0))</f>
        <v>0</v>
      </c>
      <c r="AV247" s="39" t="n">
        <f aca="false">IF(AV$4=0,0,IF(COUNTIFS(実績!$W$6:$W$505,AV$3,実績!$AI$6:$AI$505,"&lt;="&amp;$A247,実績!$AJ$6:$AJ$505,"&gt;"&amp;$A247,実績!$AK$6:$AK$505,"○")&gt;0,1,0))</f>
        <v>0</v>
      </c>
      <c r="AW247" s="39" t="n">
        <f aca="false">IF(AW$4=0,0,IF(COUNTIFS(実績!$W$6:$W$505,AW$3,実績!$AI$6:$AI$505,"&lt;="&amp;$A247,実績!$AJ$6:$AJ$505,"&gt;"&amp;$A247,実績!$AK$6:$AK$505,"○")&gt;0,1,0))</f>
        <v>0</v>
      </c>
      <c r="AX247" s="39" t="n">
        <f aca="false">IF(AX$4=0,0,IF(COUNTIFS(実績!$W$6:$W$505,AX$3,実績!$AI$6:$AI$505,"&lt;="&amp;$A247,実績!$AJ$6:$AJ$505,"&gt;"&amp;$A247,実績!$AK$6:$AK$505,"○")&gt;0,1,0))</f>
        <v>0</v>
      </c>
      <c r="AY247" s="39" t="n">
        <f aca="false">IF(AY$4=0,0,IF(COUNTIFS(実績!$W$6:$W$505,AY$3,実績!$AI$6:$AI$505,"&lt;="&amp;$A247,実績!$AJ$6:$AJ$505,"&gt;"&amp;$A247,実績!$AK$6:$AK$505,"○")&gt;0,1,0))</f>
        <v>0</v>
      </c>
      <c r="AZ247" s="39" t="n">
        <f aca="false">IF(AZ$4=0,0,IF(COUNTIFS(実績!$W$6:$W$505,AZ$3,実績!$AI$6:$AI$505,"&lt;="&amp;$A247,実績!$AJ$6:$AJ$505,"&gt;"&amp;$A247,実績!$AK$6:$AK$505,"○")&gt;0,1,0))</f>
        <v>0</v>
      </c>
      <c r="BA247" s="39" t="n">
        <f aca="false">IF(BA$4=0,0,IF(COUNTIFS(実績!$W$6:$W$505,BA$3,実績!$AI$6:$AI$505,"&lt;="&amp;$A247,実績!$AJ$6:$AJ$505,"&gt;"&amp;$A247,実績!$AK$6:$AK$505,"○")&gt;0,1,0))</f>
        <v>0</v>
      </c>
      <c r="BB247" s="39" t="n">
        <f aca="false">IF(BB$4=0,0,IF(COUNTIFS(実績!$W$6:$W$505,BB$3,実績!$AI$6:$AI$505,"&lt;="&amp;$A247,実績!$AJ$6:$AJ$505,"&gt;"&amp;$A247,実績!$AK$6:$AK$505,"○")&gt;0,1,0))</f>
        <v>0</v>
      </c>
      <c r="BC247" s="39" t="n">
        <f aca="false">IF(BC$4=0,0,IF(COUNTIFS(実績!$W$6:$W$505,BC$3,実績!$AI$6:$AI$505,"&lt;="&amp;$A247,実績!$AJ$6:$AJ$505,"&gt;"&amp;$A247,実績!$AK$6:$AK$505,"○")&gt;0,1,0))</f>
        <v>0</v>
      </c>
      <c r="BD247" s="39" t="n">
        <f aca="false">IF(BD$4=0,0,IF(COUNTIFS(実績!$W$6:$W$505,BD$3,実績!$AI$6:$AI$505,"&lt;="&amp;$A247,実績!$AJ$6:$AJ$505,"&gt;"&amp;$A247,実績!$AK$6:$AK$505,"○")&gt;0,1,0))</f>
        <v>0</v>
      </c>
      <c r="BE247" s="39" t="n">
        <f aca="false">IF(BE$4=0,0,IF(COUNTIFS(実績!$W$6:$W$505,BE$3,実績!$AI$6:$AI$505,"&lt;="&amp;$A247,実績!$AJ$6:$AJ$505,"&gt;"&amp;$A247,実績!$AK$6:$AK$505,"○")&gt;0,1,0))</f>
        <v>0</v>
      </c>
      <c r="BF247" s="39" t="n">
        <f aca="false">IF(BF$4=0,0,IF(COUNTIFS(実績!$W$6:$W$505,BF$3,実績!$AI$6:$AI$505,"&lt;="&amp;$A247,実績!$AJ$6:$AJ$505,"&gt;"&amp;$A247,実績!$AK$6:$AK$505,"○")&gt;0,1,0))</f>
        <v>0</v>
      </c>
      <c r="BG247" s="39" t="n">
        <f aca="false">IF(BG$4=0,0,IF(COUNTIFS(実績!$W$6:$W$505,BG$3,実績!$AI$6:$AI$505,"&lt;="&amp;$A247,実績!$AJ$6:$AJ$505,"&gt;"&amp;$A247,実績!$AK$6:$AK$505,"○")&gt;0,1,0))</f>
        <v>0</v>
      </c>
      <c r="BH247" s="39" t="n">
        <f aca="false">IF(BH$4=0,0,IF(COUNTIFS(実績!$W$6:$W$505,BH$3,実績!$AI$6:$AI$505,"&lt;="&amp;$A247,実績!$AJ$6:$AJ$505,"&gt;"&amp;$A247,実績!$AK$6:$AK$505,"○")&gt;0,1,0))</f>
        <v>0</v>
      </c>
      <c r="BI247" s="39" t="n">
        <f aca="false">IF(BI$4=0,0,IF(COUNTIFS(実績!$W$6:$W$505,BI$3,実績!$AI$6:$AI$505,"&lt;="&amp;$A247,実績!$AJ$6:$AJ$505,"&gt;"&amp;$A247,実績!$AK$6:$AK$505,"○")&gt;0,1,0))</f>
        <v>0</v>
      </c>
      <c r="BJ247" s="39" t="n">
        <f aca="false">IF(BJ$4=0,0,IF(COUNTIFS(実績!$W$6:$W$505,BJ$3,実績!$AI$6:$AI$505,"&lt;="&amp;$A247,実績!$AJ$6:$AJ$505,"&gt;"&amp;$A247,実績!$AK$6:$AK$505,"○")&gt;0,1,0))</f>
        <v>0</v>
      </c>
      <c r="BK247" s="39" t="n">
        <f aca="false">IF(BK$4=0,0,IF(COUNTIFS(実績!$W$6:$W$505,BK$3,実績!$AI$6:$AI$505,"&lt;="&amp;$A247,実績!$AJ$6:$AJ$505,"&gt;"&amp;$A247,実績!$AK$6:$AK$505,"○")&gt;0,1,0))</f>
        <v>0</v>
      </c>
      <c r="BL247" s="39" t="n">
        <f aca="false">IF(BL$4=0,0,IF(COUNTIFS(実績!$W$6:$W$505,BL$3,実績!$AI$6:$AI$505,"&lt;="&amp;$A247,実績!$AJ$6:$AJ$505,"&gt;"&amp;$A247,実績!$AK$6:$AK$505,"○")&gt;0,1,0))</f>
        <v>0</v>
      </c>
      <c r="BM247" s="39" t="n">
        <f aca="false">IF(BM$4=0,0,IF(COUNTIFS(実績!$W$6:$W$505,BM$3,実績!$AI$6:$AI$505,"&lt;="&amp;$A247,実績!$AJ$6:$AJ$505,"&gt;"&amp;$A247,実績!$AK$6:$AK$505,"○")&gt;0,1,0))</f>
        <v>0</v>
      </c>
      <c r="BN247" s="39" t="n">
        <f aca="false">IF(BN$4=0,0,IF(COUNTIFS(実績!$W$6:$W$505,BN$3,実績!$AI$6:$AI$505,"&lt;="&amp;$A247,実績!$AJ$6:$AJ$505,"&gt;"&amp;$A247,実績!$AK$6:$AK$505,"○")&gt;0,1,0))</f>
        <v>0</v>
      </c>
      <c r="BO247" s="39" t="n">
        <f aca="false">IF(BO$4=0,0,IF(COUNTIFS(実績!$W$6:$W$505,BO$3,実績!$AI$6:$AI$505,"&lt;="&amp;$A247,実績!$AJ$6:$AJ$505,"&gt;"&amp;$A247,実績!$AK$6:$AK$505,"○")&gt;0,1,0))</f>
        <v>0</v>
      </c>
      <c r="BP247" s="39" t="n">
        <f aca="false">IF(BP$4=0,0,IF(COUNTIFS(実績!$W$6:$W$505,BP$3,実績!$AI$6:$AI$505,"&lt;="&amp;$A247,実績!$AJ$6:$AJ$505,"&gt;"&amp;$A247,実績!$AK$6:$AK$505,"○")&gt;0,1,0))</f>
        <v>0</v>
      </c>
      <c r="BQ247" s="39" t="n">
        <f aca="false">IF(BQ$4=0,0,IF(COUNTIFS(実績!$W$6:$W$505,BQ$3,実績!$AI$6:$AI$505,"&lt;="&amp;$A247,実績!$AJ$6:$AJ$505,"&gt;"&amp;$A247,実績!$AK$6:$AK$505,"○")&gt;0,1,0))</f>
        <v>0</v>
      </c>
      <c r="BR247" s="39" t="n">
        <f aca="false">IF(BR$4=0,0,IF(COUNTIFS(実績!$W$6:$W$505,BR$3,実績!$AI$6:$AI$505,"&lt;="&amp;$A247,実績!$AJ$6:$AJ$505,"&gt;"&amp;$A247,実績!$AK$6:$AK$505,"○")&gt;0,1,0))</f>
        <v>0</v>
      </c>
      <c r="BS247" s="39" t="n">
        <f aca="false">IF(BS$4=0,0,IF(COUNTIFS(実績!$W$6:$W$505,BS$3,実績!$AI$6:$AI$505,"&lt;="&amp;$A247,実績!$AJ$6:$AJ$505,"&gt;"&amp;$A247,実績!$AK$6:$AK$505,"○")&gt;0,1,0))</f>
        <v>0</v>
      </c>
      <c r="BT247" s="39" t="n">
        <f aca="false">IF(BT$4=0,0,IF(COUNTIFS(実績!$W$6:$W$505,BT$3,実績!$AI$6:$AI$505,"&lt;="&amp;$A247,実績!$AJ$6:$AJ$505,"&gt;"&amp;$A247,実績!$AK$6:$AK$505,"○")&gt;0,1,0))</f>
        <v>0</v>
      </c>
      <c r="BU247" s="39" t="n">
        <f aca="false">IF(BU$4=0,0,IF(COUNTIFS(実績!$W$6:$W$505,BU$3,実績!$AI$6:$AI$505,"&lt;="&amp;$A247,実績!$AJ$6:$AJ$505,"&gt;"&amp;$A247,実績!$AK$6:$AK$505,"○")&gt;0,1,0))</f>
        <v>0</v>
      </c>
      <c r="BV247" s="39" t="n">
        <f aca="false">IF(BV$4=0,0,IF(COUNTIFS(実績!$W$6:$W$505,BV$3,実績!$AI$6:$AI$505,"&lt;="&amp;$A247,実績!$AJ$6:$AJ$505,"&gt;"&amp;$A247,実績!$AK$6:$AK$505,"○")&gt;0,1,0))</f>
        <v>0</v>
      </c>
      <c r="BW247" s="39" t="n">
        <f aca="false">IF(BW$4=0,0,IF(COUNTIFS(実績!$W$6:$W$505,BW$3,実績!$AI$6:$AI$505,"&lt;="&amp;$A247,実績!$AJ$6:$AJ$505,"&gt;"&amp;$A247,実績!$AK$6:$AK$505,"○")&gt;0,1,0))</f>
        <v>0</v>
      </c>
      <c r="BX247" s="39" t="n">
        <f aca="false">IF(BX$4=0,0,IF(COUNTIFS(実績!$W$6:$W$505,BX$3,実績!$AI$6:$AI$505,"&lt;="&amp;$A247,実績!$AJ$6:$AJ$505,"&gt;"&amp;$A247,実績!$AK$6:$AK$505,"○")&gt;0,1,0))</f>
        <v>0</v>
      </c>
      <c r="BY247" s="39" t="n">
        <f aca="false">IF(BY$4=0,0,IF(COUNTIFS(実績!$W$6:$W$505,BY$3,実績!$AI$6:$AI$505,"&lt;="&amp;$A247,実績!$AJ$6:$AJ$505,"&gt;"&amp;$A247,実績!$AK$6:$AK$505,"○")&gt;0,1,0))</f>
        <v>0</v>
      </c>
      <c r="BZ247" s="39" t="n">
        <f aca="false">IF(BZ$4=0,0,IF(COUNTIFS(実績!$W$6:$W$505,BZ$3,実績!$AI$6:$AI$505,"&lt;="&amp;$A247,実績!$AJ$6:$AJ$505,"&gt;"&amp;$A247,実績!$AK$6:$AK$505,"○")&gt;0,1,0))</f>
        <v>0</v>
      </c>
      <c r="CA247" s="39" t="n">
        <f aca="false">IF(CA$4=0,0,IF(COUNTIFS(実績!$W$6:$W$505,CA$3,実績!$AI$6:$AI$505,"&lt;="&amp;$A247,実績!$AJ$6:$AJ$505,"&gt;"&amp;$A247,実績!$AK$6:$AK$505,"○")&gt;0,1,0))</f>
        <v>0</v>
      </c>
      <c r="CB247" s="39" t="n">
        <f aca="false">IF(CB$4=0,0,IF(COUNTIFS(実績!$W$6:$W$505,CB$3,実績!$AI$6:$AI$505,"&lt;="&amp;$A247,実績!$AJ$6:$AJ$505,"&gt;"&amp;$A247,実績!$AK$6:$AK$505,"○")&gt;0,1,0))</f>
        <v>0</v>
      </c>
      <c r="CC247" s="39" t="n">
        <f aca="false">IF(CC$4=0,0,IF(COUNTIFS(実績!$W$6:$W$505,CC$3,実績!$AI$6:$AI$505,"&lt;="&amp;$A247,実績!$AJ$6:$AJ$505,"&gt;"&amp;$A247,実績!$AK$6:$AK$505,"○")&gt;0,1,0))</f>
        <v>0</v>
      </c>
      <c r="CD247" s="39" t="n">
        <f aca="false">IF(CD$4=0,0,IF(COUNTIFS(実績!$W$6:$W$505,CD$3,実績!$AI$6:$AI$505,"&lt;="&amp;$A247,実績!$AJ$6:$AJ$505,"&gt;"&amp;$A247,実績!$AK$6:$AK$505,"○")&gt;0,1,0))</f>
        <v>0</v>
      </c>
      <c r="CE247" s="39" t="n">
        <f aca="false">IF(CE$4=0,0,IF(COUNTIFS(実績!$W$6:$W$505,CE$3,実績!$AI$6:$AI$505,"&lt;="&amp;$A247,実績!$AJ$6:$AJ$505,"&gt;"&amp;$A247,実績!$AK$6:$AK$505,"○")&gt;0,1,0))</f>
        <v>0</v>
      </c>
      <c r="CF247" s="39" t="n">
        <f aca="false">IF(CF$4=0,0,IF(COUNTIFS(実績!$W$6:$W$505,CF$3,実績!$AI$6:$AI$505,"&lt;="&amp;$A247,実績!$AJ$6:$AJ$505,"&gt;"&amp;$A247,実績!$AK$6:$AK$505,"○")&gt;0,1,0))</f>
        <v>0</v>
      </c>
      <c r="CG247" s="39" t="n">
        <f aca="false">IF(CG$4=0,0,IF(COUNTIFS(実績!$W$6:$W$505,CG$3,実績!$AI$6:$AI$505,"&lt;="&amp;$A247,実績!$AJ$6:$AJ$505,"&gt;"&amp;$A247,実績!$AK$6:$AK$505,"○")&gt;0,1,0))</f>
        <v>0</v>
      </c>
      <c r="CH247" s="39" t="n">
        <f aca="false">IF(CH$4=0,0,IF(COUNTIFS(実績!$W$6:$W$505,CH$3,実績!$AI$6:$AI$505,"&lt;="&amp;$A247,実績!$AJ$6:$AJ$505,"&gt;"&amp;$A247,実績!$AK$6:$AK$505,"○")&gt;0,1,0))</f>
        <v>0</v>
      </c>
      <c r="CI247" s="39" t="n">
        <f aca="false">IF(CI$4=0,0,IF(COUNTIFS(実績!$W$6:$W$505,CI$3,実績!$AI$6:$AI$505,"&lt;="&amp;$A247,実績!$AJ$6:$AJ$505,"&gt;"&amp;$A247,実績!$AK$6:$AK$505,"○")&gt;0,1,0))</f>
        <v>0</v>
      </c>
      <c r="CJ247" s="39" t="n">
        <f aca="false">IF(CJ$4=0,0,IF(COUNTIFS(実績!$W$6:$W$505,CJ$3,実績!$AI$6:$AI$505,"&lt;="&amp;$A247,実績!$AJ$6:$AJ$505,"&gt;"&amp;$A247,実績!$AK$6:$AK$505,"○")&gt;0,1,0))</f>
        <v>0</v>
      </c>
      <c r="CK247" s="39" t="n">
        <f aca="false">IF(CK$4=0,0,IF(COUNTIFS(実績!$W$6:$W$505,CK$3,実績!$AI$6:$AI$505,"&lt;="&amp;$A247,実績!$AJ$6:$AJ$505,"&gt;"&amp;$A247,実績!$AK$6:$AK$505,"○")&gt;0,1,0))</f>
        <v>0</v>
      </c>
      <c r="CL247" s="39" t="n">
        <f aca="false">IF(CL$4=0,0,IF(COUNTIFS(実績!$W$6:$W$505,CL$3,実績!$AI$6:$AI$505,"&lt;="&amp;$A247,実績!$AJ$6:$AJ$505,"&gt;"&amp;$A247,実績!$AK$6:$AK$505,"○")&gt;0,1,0))</f>
        <v>0</v>
      </c>
      <c r="CM247" s="39" t="n">
        <f aca="false">IF(CM$4=0,0,IF(COUNTIFS(実績!$W$6:$W$505,CM$3,実績!$AI$6:$AI$505,"&lt;="&amp;$A247,実績!$AJ$6:$AJ$505,"&gt;"&amp;$A247,実績!$AK$6:$AK$505,"○")&gt;0,1,0))</f>
        <v>0</v>
      </c>
      <c r="CN247" s="39" t="n">
        <f aca="false">IF(CN$4=0,0,IF(COUNTIFS(実績!$W$6:$W$505,CN$3,実績!$AI$6:$AI$505,"&lt;="&amp;$A247,実績!$AJ$6:$AJ$505,"&gt;"&amp;$A247,実績!$AK$6:$AK$505,"○")&gt;0,1,0))</f>
        <v>0</v>
      </c>
      <c r="CO247" s="39" t="n">
        <f aca="false">IF(CO$4=0,0,IF(COUNTIFS(実績!$W$6:$W$505,CO$3,実績!$AI$6:$AI$505,"&lt;="&amp;$A247,実績!$AJ$6:$AJ$505,"&gt;"&amp;$A247,実績!$AK$6:$AK$505,"○")&gt;0,1,0))</f>
        <v>0</v>
      </c>
      <c r="CP247" s="39" t="n">
        <f aca="false">IF(CP$4=0,0,IF(COUNTIFS(実績!$W$6:$W$505,CP$3,実績!$AI$6:$AI$505,"&lt;="&amp;$A247,実績!$AJ$6:$AJ$505,"&gt;"&amp;$A247,実績!$AK$6:$AK$505,"○")&gt;0,1,0))</f>
        <v>0</v>
      </c>
      <c r="CQ247" s="39" t="n">
        <f aca="false">IF(CQ$4=0,0,IF(COUNTIFS(実績!$W$6:$W$505,CQ$3,実績!$AI$6:$AI$505,"&lt;="&amp;$A247,実績!$AJ$6:$AJ$505,"&gt;"&amp;$A247,実績!$AK$6:$AK$505,"○")&gt;0,1,0))</f>
        <v>0</v>
      </c>
      <c r="CR247" s="39" t="n">
        <f aca="false">IF(CR$4=0,0,IF(COUNTIFS(実績!$W$6:$W$505,CR$3,実績!$AI$6:$AI$505,"&lt;="&amp;$A247,実績!$AJ$6:$AJ$505,"&gt;"&amp;$A247,実績!$AK$6:$AK$505,"○")&gt;0,1,0))</f>
        <v>0</v>
      </c>
      <c r="CS247" s="39" t="n">
        <f aca="false">IF(CS$4=0,0,IF(COUNTIFS(実績!$W$6:$W$505,CS$3,実績!$AI$6:$AI$505,"&lt;="&amp;$A247,実績!$AJ$6:$AJ$505,"&gt;"&amp;$A247,実績!$AK$6:$AK$505,"○")&gt;0,1,0))</f>
        <v>0</v>
      </c>
      <c r="CT247" s="39" t="n">
        <f aca="false">IF(CT$4=0,0,IF(COUNTIFS(実績!$W$6:$W$505,CT$3,実績!$AI$6:$AI$505,"&lt;="&amp;$A247,実績!$AJ$6:$AJ$505,"&gt;"&amp;$A247,実績!$AK$6:$AK$505,"○")&gt;0,1,0))</f>
        <v>0</v>
      </c>
      <c r="CU247" s="39" t="n">
        <f aca="false">IF(CU$4=0,0,IF(COUNTIFS(実績!$W$6:$W$505,CU$3,実績!$AI$6:$AI$505,"&lt;="&amp;$A247,実績!$AJ$6:$AJ$505,"&gt;"&amp;$A247,実績!$AK$6:$AK$505,"○")&gt;0,1,0))</f>
        <v>0</v>
      </c>
      <c r="CV247" s="39" t="n">
        <f aca="false">IF(CV$4=0,0,IF(COUNTIFS(実績!$W$6:$W$505,CV$3,実績!$AI$6:$AI$505,"&lt;="&amp;$A247,実績!$AJ$6:$AJ$505,"&gt;"&amp;$A247,実績!$AK$6:$AK$505,"○")&gt;0,1,0))</f>
        <v>0</v>
      </c>
      <c r="CW247" s="39" t="n">
        <f aca="false">IF(CW$4=0,0,IF(COUNTIFS(実績!$W$6:$W$505,CW$3,実績!$AI$6:$AI$505,"&lt;="&amp;$A247,実績!$AJ$6:$AJ$505,"&gt;"&amp;$A247,実績!$AK$6:$AK$505,"○")&gt;0,1,0))</f>
        <v>0</v>
      </c>
      <c r="CX247" s="39" t="n">
        <f aca="false">IF(CX$4=0,0,IF(COUNTIFS(実績!$W$6:$W$505,CX$3,実績!$AI$6:$AI$505,"&lt;="&amp;$A247,実績!$AJ$6:$AJ$505,"&gt;"&amp;$A247,実績!$AK$6:$AK$505,"○")&gt;0,1,0))</f>
        <v>0</v>
      </c>
      <c r="CY247" s="39" t="n">
        <f aca="false">IF(CY$4=0,0,IF(COUNTIFS(実績!$W$6:$W$505,CY$3,実績!$AI$6:$AI$505,"&lt;="&amp;$A247,実績!$AJ$6:$AJ$505,"&gt;"&amp;$A247,実績!$AK$6:$AK$505,"○")&gt;0,1,0))</f>
        <v>0</v>
      </c>
      <c r="CZ247" s="39" t="n">
        <f aca="false">IF(CZ$4=0,0,IF(COUNTIFS(実績!$W$6:$W$505,CZ$3,実績!$AI$6:$AI$505,"&lt;="&amp;$A247,実績!$AJ$6:$AJ$505,"&gt;"&amp;$A247,実績!$AK$6:$AK$505,"○")&gt;0,1,0))</f>
        <v>0</v>
      </c>
      <c r="DA247" s="39" t="n">
        <f aca="false">IF(DA$4=0,0,IF(COUNTIFS(実績!$W$6:$W$505,DA$3,実績!$AI$6:$AI$505,"&lt;="&amp;$A247,実績!$AJ$6:$AJ$505,"&gt;"&amp;$A247,実績!$AK$6:$AK$505,"○")&gt;0,1,0))</f>
        <v>0</v>
      </c>
      <c r="DB247" s="39" t="n">
        <f aca="false">IF(DB$4=0,0,IF(COUNTIFS(実績!$W$6:$W$505,DB$3,実績!$AI$6:$AI$505,"&lt;="&amp;$A247,実績!$AJ$6:$AJ$505,"&gt;"&amp;$A247,実績!$AK$6:$AK$505,"○")&gt;0,1,0))</f>
        <v>0</v>
      </c>
      <c r="DC247" s="39" t="n">
        <f aca="false">IF(DC$4=0,0,IF(COUNTIFS(実績!$W$6:$W$505,DC$3,実績!$AI$6:$AI$505,"&lt;="&amp;$A247,実績!$AJ$6:$AJ$505,"&gt;"&amp;$A247,実績!$AK$6:$AK$505,"○")&gt;0,1,0))</f>
        <v>0</v>
      </c>
      <c r="DD247" s="39" t="n">
        <f aca="false">IF(DD$4=0,0,IF(COUNTIFS(実績!$W$6:$W$505,DD$3,実績!$AI$6:$AI$505,"&lt;="&amp;$A247,実績!$AJ$6:$AJ$505,"&gt;"&amp;$A247,実績!$AK$6:$AK$505,"○")&gt;0,1,0))</f>
        <v>0</v>
      </c>
      <c r="DE247" s="39" t="n">
        <f aca="false">IF(DE$4=0,0,IF(COUNTIFS(実績!$W$6:$W$505,DE$3,実績!$AI$6:$AI$505,"&lt;="&amp;$A247,実績!$AJ$6:$AJ$505,"&gt;"&amp;$A247,実績!$AK$6:$AK$505,"○")&gt;0,1,0))</f>
        <v>0</v>
      </c>
      <c r="DF247" s="39" t="n">
        <f aca="false">IF(DF$4=0,0,IF(COUNTIFS(実績!$W$6:$W$505,DF$3,実績!$AI$6:$AI$505,"&lt;="&amp;$A247,実績!$AJ$6:$AJ$505,"&gt;"&amp;$A247,実績!$AK$6:$AK$505,"○")&gt;0,1,0))</f>
        <v>0</v>
      </c>
      <c r="DG247" s="39" t="n">
        <f aca="false">IF(DG$4=0,0,IF(COUNTIFS(実績!$W$6:$W$505,DG$3,実績!$AI$6:$AI$505,"&lt;="&amp;$A247,実績!$AJ$6:$AJ$505,"&gt;"&amp;$A247,実績!$AK$6:$AK$505,"○")&gt;0,1,0))</f>
        <v>0</v>
      </c>
      <c r="DH247" s="39" t="n">
        <f aca="false">IF(DH$4=0,0,IF(COUNTIFS(実績!$W$6:$W$505,DH$3,実績!$AI$6:$AI$505,"&lt;="&amp;$A247,実績!$AJ$6:$AJ$505,"&gt;"&amp;$A247,実績!$AK$6:$AK$505,"○")&gt;0,1,0))</f>
        <v>0</v>
      </c>
      <c r="DI247" s="39" t="n">
        <f aca="false">IF(DI$4=0,0,IF(COUNTIFS(実績!$W$6:$W$505,DI$3,実績!$AI$6:$AI$505,"&lt;="&amp;$A247,実績!$AJ$6:$AJ$505,"&gt;"&amp;$A247,実績!$AK$6:$AK$505,"○")&gt;0,1,0))</f>
        <v>0</v>
      </c>
      <c r="DJ247" s="39" t="n">
        <f aca="false">IF(DJ$4=0,0,IF(COUNTIFS(実績!$W$6:$W$505,DJ$3,実績!$AI$6:$AI$505,"&lt;="&amp;$A247,実績!$AJ$6:$AJ$505,"&gt;"&amp;$A247,実績!$AK$6:$AK$505,"○")&gt;0,1,0))</f>
        <v>0</v>
      </c>
      <c r="DK247" s="39" t="n">
        <f aca="false">IF(DK$4=0,0,IF(COUNTIFS(実績!$W$6:$W$505,DK$3,実績!$AI$6:$AI$505,"&lt;="&amp;$A247,実績!$AJ$6:$AJ$505,"&gt;"&amp;$A247,実績!$AK$6:$AK$505,"○")&gt;0,1,0))</f>
        <v>0</v>
      </c>
      <c r="DL247" s="39" t="n">
        <f aca="false">IF(DL$4=0,0,IF(COUNTIFS(実績!$W$6:$W$505,DL$3,実績!$AI$6:$AI$505,"&lt;="&amp;$A247,実績!$AJ$6:$AJ$505,"&gt;"&amp;$A247,実績!$AK$6:$AK$505,"○")&gt;0,1,0))</f>
        <v>0</v>
      </c>
      <c r="DM247" s="39" t="n">
        <f aca="false">IF(DM$4=0,0,IF(COUNTIFS(実績!$W$6:$W$505,DM$3,実績!$AI$6:$AI$505,"&lt;="&amp;$A247,実績!$AJ$6:$AJ$505,"&gt;"&amp;$A247,実績!$AK$6:$AK$505,"○")&gt;0,1,0))</f>
        <v>0</v>
      </c>
      <c r="DN247" s="39" t="n">
        <f aca="false">IF(DN$4=0,0,IF(COUNTIFS(実績!$W$6:$W$505,DN$3,実績!$AI$6:$AI$505,"&lt;="&amp;$A247,実績!$AJ$6:$AJ$505,"&gt;"&amp;$A247,実績!$AK$6:$AK$505,"○")&gt;0,1,0))</f>
        <v>0</v>
      </c>
      <c r="DO247" s="39" t="n">
        <f aca="false">IF(DO$4=0,0,IF(COUNTIFS(実績!$W$6:$W$505,DO$3,実績!$AI$6:$AI$505,"&lt;="&amp;$A247,実績!$AJ$6:$AJ$505,"&gt;"&amp;$A247,実績!$AK$6:$AK$505,"○")&gt;0,1,0))</f>
        <v>0</v>
      </c>
      <c r="DP247" s="39" t="n">
        <f aca="false">IF(DP$4=0,0,IF(COUNTIFS(実績!$W$6:$W$505,DP$3,実績!$AI$6:$AI$505,"&lt;="&amp;$A247,実績!$AJ$6:$AJ$505,"&gt;"&amp;$A247,実績!$AK$6:$AK$505,"○")&gt;0,1,0))</f>
        <v>0</v>
      </c>
      <c r="DQ247" s="39" t="n">
        <f aca="false">IF(DQ$4=0,0,IF(COUNTIFS(実績!$W$6:$W$505,DQ$3,実績!$AI$6:$AI$505,"&lt;="&amp;$A247,実績!$AJ$6:$AJ$505,"&gt;"&amp;$A247,実績!$AK$6:$AK$505,"○")&gt;0,1,0))</f>
        <v>0</v>
      </c>
      <c r="DR247" s="39" t="n">
        <f aca="false">IF(DR$4=0,0,IF(COUNTIFS(実績!$W$6:$W$505,DR$3,実績!$AI$6:$AI$505,"&lt;="&amp;$A247,実績!$AJ$6:$AJ$505,"&gt;"&amp;$A247,実績!$AK$6:$AK$505,"○")&gt;0,1,0))</f>
        <v>0</v>
      </c>
      <c r="DS247" s="39" t="n">
        <f aca="false">SUM(C247:DR247)</f>
        <v>0</v>
      </c>
      <c r="DT247" s="39" t="n">
        <f aca="false">SUMPRODUCT((実績!$C$6:$C$505="○")*ISNUMBER(実績!$AM$6:$AM$505)*(実績!$AM$6:$AM$505&lt;=$A247)*(実績!$AN$6:$AN$505&gt;$A247))</f>
        <v>0</v>
      </c>
      <c r="DU247" s="39" t="n">
        <f aca="false">SUMIF($C$2:$DR$2,"製鉄曳船",C247:DR247)</f>
        <v>0</v>
      </c>
      <c r="DV247" s="39" t="n">
        <f aca="false">SUMIF($C$2:$DR$2,"西日本海運",C247:DR247)</f>
        <v>0</v>
      </c>
    </row>
    <row r="248" customFormat="false" ht="15" hidden="false" customHeight="false" outlineLevel="0" collapsed="false">
      <c r="A248" s="0" t="n">
        <v>1210</v>
      </c>
      <c r="B248" s="38" t="n">
        <f aca="false">A248/1440</f>
        <v>0.840277777777778</v>
      </c>
      <c r="C248" s="39" t="n">
        <f aca="false">IF(C$4=0,0,IF(COUNTIFS(実績!$W$6:$W$505,C$3,実績!$AI$6:$AI$505,"&lt;="&amp;$A248,実績!$AJ$6:$AJ$505,"&gt;"&amp;$A248,実績!$AK$6:$AK$505,"○")&gt;0,1,0))</f>
        <v>0</v>
      </c>
      <c r="D248" s="39" t="n">
        <f aca="false">IF(D$4=0,0,IF(COUNTIFS(実績!$W$6:$W$505,D$3,実績!$AI$6:$AI$505,"&lt;="&amp;$A248,実績!$AJ$6:$AJ$505,"&gt;"&amp;$A248,実績!$AK$6:$AK$505,"○")&gt;0,1,0))</f>
        <v>0</v>
      </c>
      <c r="E248" s="39" t="n">
        <f aca="false">IF(E$4=0,0,IF(COUNTIFS(実績!$W$6:$W$505,E$3,実績!$AI$6:$AI$505,"&lt;="&amp;$A248,実績!$AJ$6:$AJ$505,"&gt;"&amp;$A248,実績!$AK$6:$AK$505,"○")&gt;0,1,0))</f>
        <v>0</v>
      </c>
      <c r="F248" s="39" t="n">
        <f aca="false">IF(F$4=0,0,IF(COUNTIFS(実績!$W$6:$W$505,F$3,実績!$AI$6:$AI$505,"&lt;="&amp;$A248,実績!$AJ$6:$AJ$505,"&gt;"&amp;$A248,実績!$AK$6:$AK$505,"○")&gt;0,1,0))</f>
        <v>0</v>
      </c>
      <c r="G248" s="39" t="n">
        <f aca="false">IF(G$4=0,0,IF(COUNTIFS(実績!$W$6:$W$505,G$3,実績!$AI$6:$AI$505,"&lt;="&amp;$A248,実績!$AJ$6:$AJ$505,"&gt;"&amp;$A248,実績!$AK$6:$AK$505,"○")&gt;0,1,0))</f>
        <v>0</v>
      </c>
      <c r="H248" s="39" t="n">
        <f aca="false">IF(H$4=0,0,IF(COUNTIFS(実績!$W$6:$W$505,H$3,実績!$AI$6:$AI$505,"&lt;="&amp;$A248,実績!$AJ$6:$AJ$505,"&gt;"&amp;$A248,実績!$AK$6:$AK$505,"○")&gt;0,1,0))</f>
        <v>0</v>
      </c>
      <c r="I248" s="39" t="n">
        <f aca="false">IF(I$4=0,0,IF(COUNTIFS(実績!$W$6:$W$505,I$3,実績!$AI$6:$AI$505,"&lt;="&amp;$A248,実績!$AJ$6:$AJ$505,"&gt;"&amp;$A248,実績!$AK$6:$AK$505,"○")&gt;0,1,0))</f>
        <v>0</v>
      </c>
      <c r="J248" s="39" t="n">
        <f aca="false">IF(J$4=0,0,IF(COUNTIFS(実績!$W$6:$W$505,J$3,実績!$AI$6:$AI$505,"&lt;="&amp;$A248,実績!$AJ$6:$AJ$505,"&gt;"&amp;$A248,実績!$AK$6:$AK$505,"○")&gt;0,1,0))</f>
        <v>0</v>
      </c>
      <c r="K248" s="39" t="n">
        <f aca="false">IF(K$4=0,0,IF(COUNTIFS(実績!$W$6:$W$505,K$3,実績!$AI$6:$AI$505,"&lt;="&amp;$A248,実績!$AJ$6:$AJ$505,"&gt;"&amp;$A248,実績!$AK$6:$AK$505,"○")&gt;0,1,0))</f>
        <v>0</v>
      </c>
      <c r="L248" s="39" t="n">
        <f aca="false">IF(L$4=0,0,IF(COUNTIFS(実績!$W$6:$W$505,L$3,実績!$AI$6:$AI$505,"&lt;="&amp;$A248,実績!$AJ$6:$AJ$505,"&gt;"&amp;$A248,実績!$AK$6:$AK$505,"○")&gt;0,1,0))</f>
        <v>0</v>
      </c>
      <c r="M248" s="39" t="n">
        <f aca="false">IF(M$4=0,0,IF(COUNTIFS(実績!$W$6:$W$505,M$3,実績!$AI$6:$AI$505,"&lt;="&amp;$A248,実績!$AJ$6:$AJ$505,"&gt;"&amp;$A248,実績!$AK$6:$AK$505,"○")&gt;0,1,0))</f>
        <v>0</v>
      </c>
      <c r="N248" s="39" t="n">
        <f aca="false">IF(N$4=0,0,IF(COUNTIFS(実績!$W$6:$W$505,N$3,実績!$AI$6:$AI$505,"&lt;="&amp;$A248,実績!$AJ$6:$AJ$505,"&gt;"&amp;$A248,実績!$AK$6:$AK$505,"○")&gt;0,1,0))</f>
        <v>0</v>
      </c>
      <c r="O248" s="39" t="n">
        <f aca="false">IF(O$4=0,0,IF(COUNTIFS(実績!$W$6:$W$505,O$3,実績!$AI$6:$AI$505,"&lt;="&amp;$A248,実績!$AJ$6:$AJ$505,"&gt;"&amp;$A248,実績!$AK$6:$AK$505,"○")&gt;0,1,0))</f>
        <v>0</v>
      </c>
      <c r="P248" s="39" t="n">
        <f aca="false">IF(P$4=0,0,IF(COUNTIFS(実績!$W$6:$W$505,P$3,実績!$AI$6:$AI$505,"&lt;="&amp;$A248,実績!$AJ$6:$AJ$505,"&gt;"&amp;$A248,実績!$AK$6:$AK$505,"○")&gt;0,1,0))</f>
        <v>0</v>
      </c>
      <c r="Q248" s="39" t="n">
        <f aca="false">IF(Q$4=0,0,IF(COUNTIFS(実績!$W$6:$W$505,Q$3,実績!$AI$6:$AI$505,"&lt;="&amp;$A248,実績!$AJ$6:$AJ$505,"&gt;"&amp;$A248,実績!$AK$6:$AK$505,"○")&gt;0,1,0))</f>
        <v>0</v>
      </c>
      <c r="R248" s="39" t="n">
        <f aca="false">IF(R$4=0,0,IF(COUNTIFS(実績!$W$6:$W$505,R$3,実績!$AI$6:$AI$505,"&lt;="&amp;$A248,実績!$AJ$6:$AJ$505,"&gt;"&amp;$A248,実績!$AK$6:$AK$505,"○")&gt;0,1,0))</f>
        <v>0</v>
      </c>
      <c r="S248" s="39" t="n">
        <f aca="false">IF(S$4=0,0,IF(COUNTIFS(実績!$W$6:$W$505,S$3,実績!$AI$6:$AI$505,"&lt;="&amp;$A248,実績!$AJ$6:$AJ$505,"&gt;"&amp;$A248,実績!$AK$6:$AK$505,"○")&gt;0,1,0))</f>
        <v>0</v>
      </c>
      <c r="T248" s="39" t="n">
        <f aca="false">IF(T$4=0,0,IF(COUNTIFS(実績!$W$6:$W$505,T$3,実績!$AI$6:$AI$505,"&lt;="&amp;$A248,実績!$AJ$6:$AJ$505,"&gt;"&amp;$A248,実績!$AK$6:$AK$505,"○")&gt;0,1,0))</f>
        <v>0</v>
      </c>
      <c r="U248" s="39" t="n">
        <f aca="false">IF(U$4=0,0,IF(COUNTIFS(実績!$W$6:$W$505,U$3,実績!$AI$6:$AI$505,"&lt;="&amp;$A248,実績!$AJ$6:$AJ$505,"&gt;"&amp;$A248,実績!$AK$6:$AK$505,"○")&gt;0,1,0))</f>
        <v>0</v>
      </c>
      <c r="V248" s="39" t="n">
        <f aca="false">IF(V$4=0,0,IF(COUNTIFS(実績!$W$6:$W$505,V$3,実績!$AI$6:$AI$505,"&lt;="&amp;$A248,実績!$AJ$6:$AJ$505,"&gt;"&amp;$A248,実績!$AK$6:$AK$505,"○")&gt;0,1,0))</f>
        <v>0</v>
      </c>
      <c r="W248" s="39" t="n">
        <f aca="false">IF(W$4=0,0,IF(COUNTIFS(実績!$W$6:$W$505,W$3,実績!$AI$6:$AI$505,"&lt;="&amp;$A248,実績!$AJ$6:$AJ$505,"&gt;"&amp;$A248,実績!$AK$6:$AK$505,"○")&gt;0,1,0))</f>
        <v>0</v>
      </c>
      <c r="X248" s="39" t="n">
        <f aca="false">IF(X$4=0,0,IF(COUNTIFS(実績!$W$6:$W$505,X$3,実績!$AI$6:$AI$505,"&lt;="&amp;$A248,実績!$AJ$6:$AJ$505,"&gt;"&amp;$A248,実績!$AK$6:$AK$505,"○")&gt;0,1,0))</f>
        <v>0</v>
      </c>
      <c r="Y248" s="39" t="n">
        <f aca="false">IF(Y$4=0,0,IF(COUNTIFS(実績!$W$6:$W$505,Y$3,実績!$AI$6:$AI$505,"&lt;="&amp;$A248,実績!$AJ$6:$AJ$505,"&gt;"&amp;$A248,実績!$AK$6:$AK$505,"○")&gt;0,1,0))</f>
        <v>0</v>
      </c>
      <c r="Z248" s="39" t="n">
        <f aca="false">IF(Z$4=0,0,IF(COUNTIFS(実績!$W$6:$W$505,Z$3,実績!$AI$6:$AI$505,"&lt;="&amp;$A248,実績!$AJ$6:$AJ$505,"&gt;"&amp;$A248,実績!$AK$6:$AK$505,"○")&gt;0,1,0))</f>
        <v>0</v>
      </c>
      <c r="AA248" s="39" t="n">
        <f aca="false">IF(AA$4=0,0,IF(COUNTIFS(実績!$W$6:$W$505,AA$3,実績!$AI$6:$AI$505,"&lt;="&amp;$A248,実績!$AJ$6:$AJ$505,"&gt;"&amp;$A248,実績!$AK$6:$AK$505,"○")&gt;0,1,0))</f>
        <v>0</v>
      </c>
      <c r="AB248" s="39" t="n">
        <f aca="false">IF(AB$4=0,0,IF(COUNTIFS(実績!$W$6:$W$505,AB$3,実績!$AI$6:$AI$505,"&lt;="&amp;$A248,実績!$AJ$6:$AJ$505,"&gt;"&amp;$A248,実績!$AK$6:$AK$505,"○")&gt;0,1,0))</f>
        <v>0</v>
      </c>
      <c r="AC248" s="39" t="n">
        <f aca="false">IF(AC$4=0,0,IF(COUNTIFS(実績!$W$6:$W$505,AC$3,実績!$AI$6:$AI$505,"&lt;="&amp;$A248,実績!$AJ$6:$AJ$505,"&gt;"&amp;$A248,実績!$AK$6:$AK$505,"○")&gt;0,1,0))</f>
        <v>0</v>
      </c>
      <c r="AD248" s="39" t="n">
        <f aca="false">IF(AD$4=0,0,IF(COUNTIFS(実績!$W$6:$W$505,AD$3,実績!$AI$6:$AI$505,"&lt;="&amp;$A248,実績!$AJ$6:$AJ$505,"&gt;"&amp;$A248,実績!$AK$6:$AK$505,"○")&gt;0,1,0))</f>
        <v>0</v>
      </c>
      <c r="AE248" s="39" t="n">
        <f aca="false">IF(AE$4=0,0,IF(COUNTIFS(実績!$W$6:$W$505,AE$3,実績!$AI$6:$AI$505,"&lt;="&amp;$A248,実績!$AJ$6:$AJ$505,"&gt;"&amp;$A248,実績!$AK$6:$AK$505,"○")&gt;0,1,0))</f>
        <v>0</v>
      </c>
      <c r="AF248" s="39" t="n">
        <f aca="false">IF(AF$4=0,0,IF(COUNTIFS(実績!$W$6:$W$505,AF$3,実績!$AI$6:$AI$505,"&lt;="&amp;$A248,実績!$AJ$6:$AJ$505,"&gt;"&amp;$A248,実績!$AK$6:$AK$505,"○")&gt;0,1,0))</f>
        <v>0</v>
      </c>
      <c r="AG248" s="39" t="n">
        <f aca="false">IF(AG$4=0,0,IF(COUNTIFS(実績!$W$6:$W$505,AG$3,実績!$AI$6:$AI$505,"&lt;="&amp;$A248,実績!$AJ$6:$AJ$505,"&gt;"&amp;$A248,実績!$AK$6:$AK$505,"○")&gt;0,1,0))</f>
        <v>0</v>
      </c>
      <c r="AH248" s="39" t="n">
        <f aca="false">IF(AH$4=0,0,IF(COUNTIFS(実績!$W$6:$W$505,AH$3,実績!$AI$6:$AI$505,"&lt;="&amp;$A248,実績!$AJ$6:$AJ$505,"&gt;"&amp;$A248,実績!$AK$6:$AK$505,"○")&gt;0,1,0))</f>
        <v>0</v>
      </c>
      <c r="AI248" s="39" t="n">
        <f aca="false">IF(AI$4=0,0,IF(COUNTIFS(実績!$W$6:$W$505,AI$3,実績!$AI$6:$AI$505,"&lt;="&amp;$A248,実績!$AJ$6:$AJ$505,"&gt;"&amp;$A248,実績!$AK$6:$AK$505,"○")&gt;0,1,0))</f>
        <v>0</v>
      </c>
      <c r="AJ248" s="39" t="n">
        <f aca="false">IF(AJ$4=0,0,IF(COUNTIFS(実績!$W$6:$W$505,AJ$3,実績!$AI$6:$AI$505,"&lt;="&amp;$A248,実績!$AJ$6:$AJ$505,"&gt;"&amp;$A248,実績!$AK$6:$AK$505,"○")&gt;0,1,0))</f>
        <v>0</v>
      </c>
      <c r="AK248" s="39" t="n">
        <f aca="false">IF(AK$4=0,0,IF(COUNTIFS(実績!$W$6:$W$505,AK$3,実績!$AI$6:$AI$505,"&lt;="&amp;$A248,実績!$AJ$6:$AJ$505,"&gt;"&amp;$A248,実績!$AK$6:$AK$505,"○")&gt;0,1,0))</f>
        <v>0</v>
      </c>
      <c r="AL248" s="39" t="n">
        <f aca="false">IF(AL$4=0,0,IF(COUNTIFS(実績!$W$6:$W$505,AL$3,実績!$AI$6:$AI$505,"&lt;="&amp;$A248,実績!$AJ$6:$AJ$505,"&gt;"&amp;$A248,実績!$AK$6:$AK$505,"○")&gt;0,1,0))</f>
        <v>0</v>
      </c>
      <c r="AM248" s="39" t="n">
        <f aca="false">IF(AM$4=0,0,IF(COUNTIFS(実績!$W$6:$W$505,AM$3,実績!$AI$6:$AI$505,"&lt;="&amp;$A248,実績!$AJ$6:$AJ$505,"&gt;"&amp;$A248,実績!$AK$6:$AK$505,"○")&gt;0,1,0))</f>
        <v>0</v>
      </c>
      <c r="AN248" s="39" t="n">
        <f aca="false">IF(AN$4=0,0,IF(COUNTIFS(実績!$W$6:$W$505,AN$3,実績!$AI$6:$AI$505,"&lt;="&amp;$A248,実績!$AJ$6:$AJ$505,"&gt;"&amp;$A248,実績!$AK$6:$AK$505,"○")&gt;0,1,0))</f>
        <v>0</v>
      </c>
      <c r="AO248" s="39" t="n">
        <f aca="false">IF(AO$4=0,0,IF(COUNTIFS(実績!$W$6:$W$505,AO$3,実績!$AI$6:$AI$505,"&lt;="&amp;$A248,実績!$AJ$6:$AJ$505,"&gt;"&amp;$A248,実績!$AK$6:$AK$505,"○")&gt;0,1,0))</f>
        <v>0</v>
      </c>
      <c r="AP248" s="39" t="n">
        <f aca="false">IF(AP$4=0,0,IF(COUNTIFS(実績!$W$6:$W$505,AP$3,実績!$AI$6:$AI$505,"&lt;="&amp;$A248,実績!$AJ$6:$AJ$505,"&gt;"&amp;$A248,実績!$AK$6:$AK$505,"○")&gt;0,1,0))</f>
        <v>0</v>
      </c>
      <c r="AQ248" s="39" t="n">
        <f aca="false">IF(AQ$4=0,0,IF(COUNTIFS(実績!$W$6:$W$505,AQ$3,実績!$AI$6:$AI$505,"&lt;="&amp;$A248,実績!$AJ$6:$AJ$505,"&gt;"&amp;$A248,実績!$AK$6:$AK$505,"○")&gt;0,1,0))</f>
        <v>0</v>
      </c>
      <c r="AR248" s="39" t="n">
        <f aca="false">IF(AR$4=0,0,IF(COUNTIFS(実績!$W$6:$W$505,AR$3,実績!$AI$6:$AI$505,"&lt;="&amp;$A248,実績!$AJ$6:$AJ$505,"&gt;"&amp;$A248,実績!$AK$6:$AK$505,"○")&gt;0,1,0))</f>
        <v>0</v>
      </c>
      <c r="AS248" s="39" t="n">
        <f aca="false">IF(AS$4=0,0,IF(COUNTIFS(実績!$W$6:$W$505,AS$3,実績!$AI$6:$AI$505,"&lt;="&amp;$A248,実績!$AJ$6:$AJ$505,"&gt;"&amp;$A248,実績!$AK$6:$AK$505,"○")&gt;0,1,0))</f>
        <v>0</v>
      </c>
      <c r="AT248" s="39" t="n">
        <f aca="false">IF(AT$4=0,0,IF(COUNTIFS(実績!$W$6:$W$505,AT$3,実績!$AI$6:$AI$505,"&lt;="&amp;$A248,実績!$AJ$6:$AJ$505,"&gt;"&amp;$A248,実績!$AK$6:$AK$505,"○")&gt;0,1,0))</f>
        <v>0</v>
      </c>
      <c r="AU248" s="39" t="n">
        <f aca="false">IF(AU$4=0,0,IF(COUNTIFS(実績!$W$6:$W$505,AU$3,実績!$AI$6:$AI$505,"&lt;="&amp;$A248,実績!$AJ$6:$AJ$505,"&gt;"&amp;$A248,実績!$AK$6:$AK$505,"○")&gt;0,1,0))</f>
        <v>0</v>
      </c>
      <c r="AV248" s="39" t="n">
        <f aca="false">IF(AV$4=0,0,IF(COUNTIFS(実績!$W$6:$W$505,AV$3,実績!$AI$6:$AI$505,"&lt;="&amp;$A248,実績!$AJ$6:$AJ$505,"&gt;"&amp;$A248,実績!$AK$6:$AK$505,"○")&gt;0,1,0))</f>
        <v>0</v>
      </c>
      <c r="AW248" s="39" t="n">
        <f aca="false">IF(AW$4=0,0,IF(COUNTIFS(実績!$W$6:$W$505,AW$3,実績!$AI$6:$AI$505,"&lt;="&amp;$A248,実績!$AJ$6:$AJ$505,"&gt;"&amp;$A248,実績!$AK$6:$AK$505,"○")&gt;0,1,0))</f>
        <v>0</v>
      </c>
      <c r="AX248" s="39" t="n">
        <f aca="false">IF(AX$4=0,0,IF(COUNTIFS(実績!$W$6:$W$505,AX$3,実績!$AI$6:$AI$505,"&lt;="&amp;$A248,実績!$AJ$6:$AJ$505,"&gt;"&amp;$A248,実績!$AK$6:$AK$505,"○")&gt;0,1,0))</f>
        <v>0</v>
      </c>
      <c r="AY248" s="39" t="n">
        <f aca="false">IF(AY$4=0,0,IF(COUNTIFS(実績!$W$6:$W$505,AY$3,実績!$AI$6:$AI$505,"&lt;="&amp;$A248,実績!$AJ$6:$AJ$505,"&gt;"&amp;$A248,実績!$AK$6:$AK$505,"○")&gt;0,1,0))</f>
        <v>0</v>
      </c>
      <c r="AZ248" s="39" t="n">
        <f aca="false">IF(AZ$4=0,0,IF(COUNTIFS(実績!$W$6:$W$505,AZ$3,実績!$AI$6:$AI$505,"&lt;="&amp;$A248,実績!$AJ$6:$AJ$505,"&gt;"&amp;$A248,実績!$AK$6:$AK$505,"○")&gt;0,1,0))</f>
        <v>0</v>
      </c>
      <c r="BA248" s="39" t="n">
        <f aca="false">IF(BA$4=0,0,IF(COUNTIFS(実績!$W$6:$W$505,BA$3,実績!$AI$6:$AI$505,"&lt;="&amp;$A248,実績!$AJ$6:$AJ$505,"&gt;"&amp;$A248,実績!$AK$6:$AK$505,"○")&gt;0,1,0))</f>
        <v>0</v>
      </c>
      <c r="BB248" s="39" t="n">
        <f aca="false">IF(BB$4=0,0,IF(COUNTIFS(実績!$W$6:$W$505,BB$3,実績!$AI$6:$AI$505,"&lt;="&amp;$A248,実績!$AJ$6:$AJ$505,"&gt;"&amp;$A248,実績!$AK$6:$AK$505,"○")&gt;0,1,0))</f>
        <v>0</v>
      </c>
      <c r="BC248" s="39" t="n">
        <f aca="false">IF(BC$4=0,0,IF(COUNTIFS(実績!$W$6:$W$505,BC$3,実績!$AI$6:$AI$505,"&lt;="&amp;$A248,実績!$AJ$6:$AJ$505,"&gt;"&amp;$A248,実績!$AK$6:$AK$505,"○")&gt;0,1,0))</f>
        <v>0</v>
      </c>
      <c r="BD248" s="39" t="n">
        <f aca="false">IF(BD$4=0,0,IF(COUNTIFS(実績!$W$6:$W$505,BD$3,実績!$AI$6:$AI$505,"&lt;="&amp;$A248,実績!$AJ$6:$AJ$505,"&gt;"&amp;$A248,実績!$AK$6:$AK$505,"○")&gt;0,1,0))</f>
        <v>0</v>
      </c>
      <c r="BE248" s="39" t="n">
        <f aca="false">IF(BE$4=0,0,IF(COUNTIFS(実績!$W$6:$W$505,BE$3,実績!$AI$6:$AI$505,"&lt;="&amp;$A248,実績!$AJ$6:$AJ$505,"&gt;"&amp;$A248,実績!$AK$6:$AK$505,"○")&gt;0,1,0))</f>
        <v>0</v>
      </c>
      <c r="BF248" s="39" t="n">
        <f aca="false">IF(BF$4=0,0,IF(COUNTIFS(実績!$W$6:$W$505,BF$3,実績!$AI$6:$AI$505,"&lt;="&amp;$A248,実績!$AJ$6:$AJ$505,"&gt;"&amp;$A248,実績!$AK$6:$AK$505,"○")&gt;0,1,0))</f>
        <v>0</v>
      </c>
      <c r="BG248" s="39" t="n">
        <f aca="false">IF(BG$4=0,0,IF(COUNTIFS(実績!$W$6:$W$505,BG$3,実績!$AI$6:$AI$505,"&lt;="&amp;$A248,実績!$AJ$6:$AJ$505,"&gt;"&amp;$A248,実績!$AK$6:$AK$505,"○")&gt;0,1,0))</f>
        <v>0</v>
      </c>
      <c r="BH248" s="39" t="n">
        <f aca="false">IF(BH$4=0,0,IF(COUNTIFS(実績!$W$6:$W$505,BH$3,実績!$AI$6:$AI$505,"&lt;="&amp;$A248,実績!$AJ$6:$AJ$505,"&gt;"&amp;$A248,実績!$AK$6:$AK$505,"○")&gt;0,1,0))</f>
        <v>0</v>
      </c>
      <c r="BI248" s="39" t="n">
        <f aca="false">IF(BI$4=0,0,IF(COUNTIFS(実績!$W$6:$W$505,BI$3,実績!$AI$6:$AI$505,"&lt;="&amp;$A248,実績!$AJ$6:$AJ$505,"&gt;"&amp;$A248,実績!$AK$6:$AK$505,"○")&gt;0,1,0))</f>
        <v>0</v>
      </c>
      <c r="BJ248" s="39" t="n">
        <f aca="false">IF(BJ$4=0,0,IF(COUNTIFS(実績!$W$6:$W$505,BJ$3,実績!$AI$6:$AI$505,"&lt;="&amp;$A248,実績!$AJ$6:$AJ$505,"&gt;"&amp;$A248,実績!$AK$6:$AK$505,"○")&gt;0,1,0))</f>
        <v>0</v>
      </c>
      <c r="BK248" s="39" t="n">
        <f aca="false">IF(BK$4=0,0,IF(COUNTIFS(実績!$W$6:$W$505,BK$3,実績!$AI$6:$AI$505,"&lt;="&amp;$A248,実績!$AJ$6:$AJ$505,"&gt;"&amp;$A248,実績!$AK$6:$AK$505,"○")&gt;0,1,0))</f>
        <v>0</v>
      </c>
      <c r="BL248" s="39" t="n">
        <f aca="false">IF(BL$4=0,0,IF(COUNTIFS(実績!$W$6:$W$505,BL$3,実績!$AI$6:$AI$505,"&lt;="&amp;$A248,実績!$AJ$6:$AJ$505,"&gt;"&amp;$A248,実績!$AK$6:$AK$505,"○")&gt;0,1,0))</f>
        <v>0</v>
      </c>
      <c r="BM248" s="39" t="n">
        <f aca="false">IF(BM$4=0,0,IF(COUNTIFS(実績!$W$6:$W$505,BM$3,実績!$AI$6:$AI$505,"&lt;="&amp;$A248,実績!$AJ$6:$AJ$505,"&gt;"&amp;$A248,実績!$AK$6:$AK$505,"○")&gt;0,1,0))</f>
        <v>0</v>
      </c>
      <c r="BN248" s="39" t="n">
        <f aca="false">IF(BN$4=0,0,IF(COUNTIFS(実績!$W$6:$W$505,BN$3,実績!$AI$6:$AI$505,"&lt;="&amp;$A248,実績!$AJ$6:$AJ$505,"&gt;"&amp;$A248,実績!$AK$6:$AK$505,"○")&gt;0,1,0))</f>
        <v>0</v>
      </c>
      <c r="BO248" s="39" t="n">
        <f aca="false">IF(BO$4=0,0,IF(COUNTIFS(実績!$W$6:$W$505,BO$3,実績!$AI$6:$AI$505,"&lt;="&amp;$A248,実績!$AJ$6:$AJ$505,"&gt;"&amp;$A248,実績!$AK$6:$AK$505,"○")&gt;0,1,0))</f>
        <v>0</v>
      </c>
      <c r="BP248" s="39" t="n">
        <f aca="false">IF(BP$4=0,0,IF(COUNTIFS(実績!$W$6:$W$505,BP$3,実績!$AI$6:$AI$505,"&lt;="&amp;$A248,実績!$AJ$6:$AJ$505,"&gt;"&amp;$A248,実績!$AK$6:$AK$505,"○")&gt;0,1,0))</f>
        <v>0</v>
      </c>
      <c r="BQ248" s="39" t="n">
        <f aca="false">IF(BQ$4=0,0,IF(COUNTIFS(実績!$W$6:$W$505,BQ$3,実績!$AI$6:$AI$505,"&lt;="&amp;$A248,実績!$AJ$6:$AJ$505,"&gt;"&amp;$A248,実績!$AK$6:$AK$505,"○")&gt;0,1,0))</f>
        <v>0</v>
      </c>
      <c r="BR248" s="39" t="n">
        <f aca="false">IF(BR$4=0,0,IF(COUNTIFS(実績!$W$6:$W$505,BR$3,実績!$AI$6:$AI$505,"&lt;="&amp;$A248,実績!$AJ$6:$AJ$505,"&gt;"&amp;$A248,実績!$AK$6:$AK$505,"○")&gt;0,1,0))</f>
        <v>0</v>
      </c>
      <c r="BS248" s="39" t="n">
        <f aca="false">IF(BS$4=0,0,IF(COUNTIFS(実績!$W$6:$W$505,BS$3,実績!$AI$6:$AI$505,"&lt;="&amp;$A248,実績!$AJ$6:$AJ$505,"&gt;"&amp;$A248,実績!$AK$6:$AK$505,"○")&gt;0,1,0))</f>
        <v>0</v>
      </c>
      <c r="BT248" s="39" t="n">
        <f aca="false">IF(BT$4=0,0,IF(COUNTIFS(実績!$W$6:$W$505,BT$3,実績!$AI$6:$AI$505,"&lt;="&amp;$A248,実績!$AJ$6:$AJ$505,"&gt;"&amp;$A248,実績!$AK$6:$AK$505,"○")&gt;0,1,0))</f>
        <v>0</v>
      </c>
      <c r="BU248" s="39" t="n">
        <f aca="false">IF(BU$4=0,0,IF(COUNTIFS(実績!$W$6:$W$505,BU$3,実績!$AI$6:$AI$505,"&lt;="&amp;$A248,実績!$AJ$6:$AJ$505,"&gt;"&amp;$A248,実績!$AK$6:$AK$505,"○")&gt;0,1,0))</f>
        <v>0</v>
      </c>
      <c r="BV248" s="39" t="n">
        <f aca="false">IF(BV$4=0,0,IF(COUNTIFS(実績!$W$6:$W$505,BV$3,実績!$AI$6:$AI$505,"&lt;="&amp;$A248,実績!$AJ$6:$AJ$505,"&gt;"&amp;$A248,実績!$AK$6:$AK$505,"○")&gt;0,1,0))</f>
        <v>0</v>
      </c>
      <c r="BW248" s="39" t="n">
        <f aca="false">IF(BW$4=0,0,IF(COUNTIFS(実績!$W$6:$W$505,BW$3,実績!$AI$6:$AI$505,"&lt;="&amp;$A248,実績!$AJ$6:$AJ$505,"&gt;"&amp;$A248,実績!$AK$6:$AK$505,"○")&gt;0,1,0))</f>
        <v>0</v>
      </c>
      <c r="BX248" s="39" t="n">
        <f aca="false">IF(BX$4=0,0,IF(COUNTIFS(実績!$W$6:$W$505,BX$3,実績!$AI$6:$AI$505,"&lt;="&amp;$A248,実績!$AJ$6:$AJ$505,"&gt;"&amp;$A248,実績!$AK$6:$AK$505,"○")&gt;0,1,0))</f>
        <v>0</v>
      </c>
      <c r="BY248" s="39" t="n">
        <f aca="false">IF(BY$4=0,0,IF(COUNTIFS(実績!$W$6:$W$505,BY$3,実績!$AI$6:$AI$505,"&lt;="&amp;$A248,実績!$AJ$6:$AJ$505,"&gt;"&amp;$A248,実績!$AK$6:$AK$505,"○")&gt;0,1,0))</f>
        <v>0</v>
      </c>
      <c r="BZ248" s="39" t="n">
        <f aca="false">IF(BZ$4=0,0,IF(COUNTIFS(実績!$W$6:$W$505,BZ$3,実績!$AI$6:$AI$505,"&lt;="&amp;$A248,実績!$AJ$6:$AJ$505,"&gt;"&amp;$A248,実績!$AK$6:$AK$505,"○")&gt;0,1,0))</f>
        <v>0</v>
      </c>
      <c r="CA248" s="39" t="n">
        <f aca="false">IF(CA$4=0,0,IF(COUNTIFS(実績!$W$6:$W$505,CA$3,実績!$AI$6:$AI$505,"&lt;="&amp;$A248,実績!$AJ$6:$AJ$505,"&gt;"&amp;$A248,実績!$AK$6:$AK$505,"○")&gt;0,1,0))</f>
        <v>0</v>
      </c>
      <c r="CB248" s="39" t="n">
        <f aca="false">IF(CB$4=0,0,IF(COUNTIFS(実績!$W$6:$W$505,CB$3,実績!$AI$6:$AI$505,"&lt;="&amp;$A248,実績!$AJ$6:$AJ$505,"&gt;"&amp;$A248,実績!$AK$6:$AK$505,"○")&gt;0,1,0))</f>
        <v>0</v>
      </c>
      <c r="CC248" s="39" t="n">
        <f aca="false">IF(CC$4=0,0,IF(COUNTIFS(実績!$W$6:$W$505,CC$3,実績!$AI$6:$AI$505,"&lt;="&amp;$A248,実績!$AJ$6:$AJ$505,"&gt;"&amp;$A248,実績!$AK$6:$AK$505,"○")&gt;0,1,0))</f>
        <v>0</v>
      </c>
      <c r="CD248" s="39" t="n">
        <f aca="false">IF(CD$4=0,0,IF(COUNTIFS(実績!$W$6:$W$505,CD$3,実績!$AI$6:$AI$505,"&lt;="&amp;$A248,実績!$AJ$6:$AJ$505,"&gt;"&amp;$A248,実績!$AK$6:$AK$505,"○")&gt;0,1,0))</f>
        <v>0</v>
      </c>
      <c r="CE248" s="39" t="n">
        <f aca="false">IF(CE$4=0,0,IF(COUNTIFS(実績!$W$6:$W$505,CE$3,実績!$AI$6:$AI$505,"&lt;="&amp;$A248,実績!$AJ$6:$AJ$505,"&gt;"&amp;$A248,実績!$AK$6:$AK$505,"○")&gt;0,1,0))</f>
        <v>0</v>
      </c>
      <c r="CF248" s="39" t="n">
        <f aca="false">IF(CF$4=0,0,IF(COUNTIFS(実績!$W$6:$W$505,CF$3,実績!$AI$6:$AI$505,"&lt;="&amp;$A248,実績!$AJ$6:$AJ$505,"&gt;"&amp;$A248,実績!$AK$6:$AK$505,"○")&gt;0,1,0))</f>
        <v>0</v>
      </c>
      <c r="CG248" s="39" t="n">
        <f aca="false">IF(CG$4=0,0,IF(COUNTIFS(実績!$W$6:$W$505,CG$3,実績!$AI$6:$AI$505,"&lt;="&amp;$A248,実績!$AJ$6:$AJ$505,"&gt;"&amp;$A248,実績!$AK$6:$AK$505,"○")&gt;0,1,0))</f>
        <v>0</v>
      </c>
      <c r="CH248" s="39" t="n">
        <f aca="false">IF(CH$4=0,0,IF(COUNTIFS(実績!$W$6:$W$505,CH$3,実績!$AI$6:$AI$505,"&lt;="&amp;$A248,実績!$AJ$6:$AJ$505,"&gt;"&amp;$A248,実績!$AK$6:$AK$505,"○")&gt;0,1,0))</f>
        <v>0</v>
      </c>
      <c r="CI248" s="39" t="n">
        <f aca="false">IF(CI$4=0,0,IF(COUNTIFS(実績!$W$6:$W$505,CI$3,実績!$AI$6:$AI$505,"&lt;="&amp;$A248,実績!$AJ$6:$AJ$505,"&gt;"&amp;$A248,実績!$AK$6:$AK$505,"○")&gt;0,1,0))</f>
        <v>0</v>
      </c>
      <c r="CJ248" s="39" t="n">
        <f aca="false">IF(CJ$4=0,0,IF(COUNTIFS(実績!$W$6:$W$505,CJ$3,実績!$AI$6:$AI$505,"&lt;="&amp;$A248,実績!$AJ$6:$AJ$505,"&gt;"&amp;$A248,実績!$AK$6:$AK$505,"○")&gt;0,1,0))</f>
        <v>0</v>
      </c>
      <c r="CK248" s="39" t="n">
        <f aca="false">IF(CK$4=0,0,IF(COUNTIFS(実績!$W$6:$W$505,CK$3,実績!$AI$6:$AI$505,"&lt;="&amp;$A248,実績!$AJ$6:$AJ$505,"&gt;"&amp;$A248,実績!$AK$6:$AK$505,"○")&gt;0,1,0))</f>
        <v>0</v>
      </c>
      <c r="CL248" s="39" t="n">
        <f aca="false">IF(CL$4=0,0,IF(COUNTIFS(実績!$W$6:$W$505,CL$3,実績!$AI$6:$AI$505,"&lt;="&amp;$A248,実績!$AJ$6:$AJ$505,"&gt;"&amp;$A248,実績!$AK$6:$AK$505,"○")&gt;0,1,0))</f>
        <v>0</v>
      </c>
      <c r="CM248" s="39" t="n">
        <f aca="false">IF(CM$4=0,0,IF(COUNTIFS(実績!$W$6:$W$505,CM$3,実績!$AI$6:$AI$505,"&lt;="&amp;$A248,実績!$AJ$6:$AJ$505,"&gt;"&amp;$A248,実績!$AK$6:$AK$505,"○")&gt;0,1,0))</f>
        <v>0</v>
      </c>
      <c r="CN248" s="39" t="n">
        <f aca="false">IF(CN$4=0,0,IF(COUNTIFS(実績!$W$6:$W$505,CN$3,実績!$AI$6:$AI$505,"&lt;="&amp;$A248,実績!$AJ$6:$AJ$505,"&gt;"&amp;$A248,実績!$AK$6:$AK$505,"○")&gt;0,1,0))</f>
        <v>0</v>
      </c>
      <c r="CO248" s="39" t="n">
        <f aca="false">IF(CO$4=0,0,IF(COUNTIFS(実績!$W$6:$W$505,CO$3,実績!$AI$6:$AI$505,"&lt;="&amp;$A248,実績!$AJ$6:$AJ$505,"&gt;"&amp;$A248,実績!$AK$6:$AK$505,"○")&gt;0,1,0))</f>
        <v>0</v>
      </c>
      <c r="CP248" s="39" t="n">
        <f aca="false">IF(CP$4=0,0,IF(COUNTIFS(実績!$W$6:$W$505,CP$3,実績!$AI$6:$AI$505,"&lt;="&amp;$A248,実績!$AJ$6:$AJ$505,"&gt;"&amp;$A248,実績!$AK$6:$AK$505,"○")&gt;0,1,0))</f>
        <v>0</v>
      </c>
      <c r="CQ248" s="39" t="n">
        <f aca="false">IF(CQ$4=0,0,IF(COUNTIFS(実績!$W$6:$W$505,CQ$3,実績!$AI$6:$AI$505,"&lt;="&amp;$A248,実績!$AJ$6:$AJ$505,"&gt;"&amp;$A248,実績!$AK$6:$AK$505,"○")&gt;0,1,0))</f>
        <v>0</v>
      </c>
      <c r="CR248" s="39" t="n">
        <f aca="false">IF(CR$4=0,0,IF(COUNTIFS(実績!$W$6:$W$505,CR$3,実績!$AI$6:$AI$505,"&lt;="&amp;$A248,実績!$AJ$6:$AJ$505,"&gt;"&amp;$A248,実績!$AK$6:$AK$505,"○")&gt;0,1,0))</f>
        <v>0</v>
      </c>
      <c r="CS248" s="39" t="n">
        <f aca="false">IF(CS$4=0,0,IF(COUNTIFS(実績!$W$6:$W$505,CS$3,実績!$AI$6:$AI$505,"&lt;="&amp;$A248,実績!$AJ$6:$AJ$505,"&gt;"&amp;$A248,実績!$AK$6:$AK$505,"○")&gt;0,1,0))</f>
        <v>0</v>
      </c>
      <c r="CT248" s="39" t="n">
        <f aca="false">IF(CT$4=0,0,IF(COUNTIFS(実績!$W$6:$W$505,CT$3,実績!$AI$6:$AI$505,"&lt;="&amp;$A248,実績!$AJ$6:$AJ$505,"&gt;"&amp;$A248,実績!$AK$6:$AK$505,"○")&gt;0,1,0))</f>
        <v>0</v>
      </c>
      <c r="CU248" s="39" t="n">
        <f aca="false">IF(CU$4=0,0,IF(COUNTIFS(実績!$W$6:$W$505,CU$3,実績!$AI$6:$AI$505,"&lt;="&amp;$A248,実績!$AJ$6:$AJ$505,"&gt;"&amp;$A248,実績!$AK$6:$AK$505,"○")&gt;0,1,0))</f>
        <v>0</v>
      </c>
      <c r="CV248" s="39" t="n">
        <f aca="false">IF(CV$4=0,0,IF(COUNTIFS(実績!$W$6:$W$505,CV$3,実績!$AI$6:$AI$505,"&lt;="&amp;$A248,実績!$AJ$6:$AJ$505,"&gt;"&amp;$A248,実績!$AK$6:$AK$505,"○")&gt;0,1,0))</f>
        <v>0</v>
      </c>
      <c r="CW248" s="39" t="n">
        <f aca="false">IF(CW$4=0,0,IF(COUNTIFS(実績!$W$6:$W$505,CW$3,実績!$AI$6:$AI$505,"&lt;="&amp;$A248,実績!$AJ$6:$AJ$505,"&gt;"&amp;$A248,実績!$AK$6:$AK$505,"○")&gt;0,1,0))</f>
        <v>0</v>
      </c>
      <c r="CX248" s="39" t="n">
        <f aca="false">IF(CX$4=0,0,IF(COUNTIFS(実績!$W$6:$W$505,CX$3,実績!$AI$6:$AI$505,"&lt;="&amp;$A248,実績!$AJ$6:$AJ$505,"&gt;"&amp;$A248,実績!$AK$6:$AK$505,"○")&gt;0,1,0))</f>
        <v>0</v>
      </c>
      <c r="CY248" s="39" t="n">
        <f aca="false">IF(CY$4=0,0,IF(COUNTIFS(実績!$W$6:$W$505,CY$3,実績!$AI$6:$AI$505,"&lt;="&amp;$A248,実績!$AJ$6:$AJ$505,"&gt;"&amp;$A248,実績!$AK$6:$AK$505,"○")&gt;0,1,0))</f>
        <v>0</v>
      </c>
      <c r="CZ248" s="39" t="n">
        <f aca="false">IF(CZ$4=0,0,IF(COUNTIFS(実績!$W$6:$W$505,CZ$3,実績!$AI$6:$AI$505,"&lt;="&amp;$A248,実績!$AJ$6:$AJ$505,"&gt;"&amp;$A248,実績!$AK$6:$AK$505,"○")&gt;0,1,0))</f>
        <v>0</v>
      </c>
      <c r="DA248" s="39" t="n">
        <f aca="false">IF(DA$4=0,0,IF(COUNTIFS(実績!$W$6:$W$505,DA$3,実績!$AI$6:$AI$505,"&lt;="&amp;$A248,実績!$AJ$6:$AJ$505,"&gt;"&amp;$A248,実績!$AK$6:$AK$505,"○")&gt;0,1,0))</f>
        <v>0</v>
      </c>
      <c r="DB248" s="39" t="n">
        <f aca="false">IF(DB$4=0,0,IF(COUNTIFS(実績!$W$6:$W$505,DB$3,実績!$AI$6:$AI$505,"&lt;="&amp;$A248,実績!$AJ$6:$AJ$505,"&gt;"&amp;$A248,実績!$AK$6:$AK$505,"○")&gt;0,1,0))</f>
        <v>0</v>
      </c>
      <c r="DC248" s="39" t="n">
        <f aca="false">IF(DC$4=0,0,IF(COUNTIFS(実績!$W$6:$W$505,DC$3,実績!$AI$6:$AI$505,"&lt;="&amp;$A248,実績!$AJ$6:$AJ$505,"&gt;"&amp;$A248,実績!$AK$6:$AK$505,"○")&gt;0,1,0))</f>
        <v>0</v>
      </c>
      <c r="DD248" s="39" t="n">
        <f aca="false">IF(DD$4=0,0,IF(COUNTIFS(実績!$W$6:$W$505,DD$3,実績!$AI$6:$AI$505,"&lt;="&amp;$A248,実績!$AJ$6:$AJ$505,"&gt;"&amp;$A248,実績!$AK$6:$AK$505,"○")&gt;0,1,0))</f>
        <v>0</v>
      </c>
      <c r="DE248" s="39" t="n">
        <f aca="false">IF(DE$4=0,0,IF(COUNTIFS(実績!$W$6:$W$505,DE$3,実績!$AI$6:$AI$505,"&lt;="&amp;$A248,実績!$AJ$6:$AJ$505,"&gt;"&amp;$A248,実績!$AK$6:$AK$505,"○")&gt;0,1,0))</f>
        <v>0</v>
      </c>
      <c r="DF248" s="39" t="n">
        <f aca="false">IF(DF$4=0,0,IF(COUNTIFS(実績!$W$6:$W$505,DF$3,実績!$AI$6:$AI$505,"&lt;="&amp;$A248,実績!$AJ$6:$AJ$505,"&gt;"&amp;$A248,実績!$AK$6:$AK$505,"○")&gt;0,1,0))</f>
        <v>0</v>
      </c>
      <c r="DG248" s="39" t="n">
        <f aca="false">IF(DG$4=0,0,IF(COUNTIFS(実績!$W$6:$W$505,DG$3,実績!$AI$6:$AI$505,"&lt;="&amp;$A248,実績!$AJ$6:$AJ$505,"&gt;"&amp;$A248,実績!$AK$6:$AK$505,"○")&gt;0,1,0))</f>
        <v>0</v>
      </c>
      <c r="DH248" s="39" t="n">
        <f aca="false">IF(DH$4=0,0,IF(COUNTIFS(実績!$W$6:$W$505,DH$3,実績!$AI$6:$AI$505,"&lt;="&amp;$A248,実績!$AJ$6:$AJ$505,"&gt;"&amp;$A248,実績!$AK$6:$AK$505,"○")&gt;0,1,0))</f>
        <v>0</v>
      </c>
      <c r="DI248" s="39" t="n">
        <f aca="false">IF(DI$4=0,0,IF(COUNTIFS(実績!$W$6:$W$505,DI$3,実績!$AI$6:$AI$505,"&lt;="&amp;$A248,実績!$AJ$6:$AJ$505,"&gt;"&amp;$A248,実績!$AK$6:$AK$505,"○")&gt;0,1,0))</f>
        <v>0</v>
      </c>
      <c r="DJ248" s="39" t="n">
        <f aca="false">IF(DJ$4=0,0,IF(COUNTIFS(実績!$W$6:$W$505,DJ$3,実績!$AI$6:$AI$505,"&lt;="&amp;$A248,実績!$AJ$6:$AJ$505,"&gt;"&amp;$A248,実績!$AK$6:$AK$505,"○")&gt;0,1,0))</f>
        <v>0</v>
      </c>
      <c r="DK248" s="39" t="n">
        <f aca="false">IF(DK$4=0,0,IF(COUNTIFS(実績!$W$6:$W$505,DK$3,実績!$AI$6:$AI$505,"&lt;="&amp;$A248,実績!$AJ$6:$AJ$505,"&gt;"&amp;$A248,実績!$AK$6:$AK$505,"○")&gt;0,1,0))</f>
        <v>0</v>
      </c>
      <c r="DL248" s="39" t="n">
        <f aca="false">IF(DL$4=0,0,IF(COUNTIFS(実績!$W$6:$W$505,DL$3,実績!$AI$6:$AI$505,"&lt;="&amp;$A248,実績!$AJ$6:$AJ$505,"&gt;"&amp;$A248,実績!$AK$6:$AK$505,"○")&gt;0,1,0))</f>
        <v>0</v>
      </c>
      <c r="DM248" s="39" t="n">
        <f aca="false">IF(DM$4=0,0,IF(COUNTIFS(実績!$W$6:$W$505,DM$3,実績!$AI$6:$AI$505,"&lt;="&amp;$A248,実績!$AJ$6:$AJ$505,"&gt;"&amp;$A248,実績!$AK$6:$AK$505,"○")&gt;0,1,0))</f>
        <v>0</v>
      </c>
      <c r="DN248" s="39" t="n">
        <f aca="false">IF(DN$4=0,0,IF(COUNTIFS(実績!$W$6:$W$505,DN$3,実績!$AI$6:$AI$505,"&lt;="&amp;$A248,実績!$AJ$6:$AJ$505,"&gt;"&amp;$A248,実績!$AK$6:$AK$505,"○")&gt;0,1,0))</f>
        <v>0</v>
      </c>
      <c r="DO248" s="39" t="n">
        <f aca="false">IF(DO$4=0,0,IF(COUNTIFS(実績!$W$6:$W$505,DO$3,実績!$AI$6:$AI$505,"&lt;="&amp;$A248,実績!$AJ$6:$AJ$505,"&gt;"&amp;$A248,実績!$AK$6:$AK$505,"○")&gt;0,1,0))</f>
        <v>0</v>
      </c>
      <c r="DP248" s="39" t="n">
        <f aca="false">IF(DP$4=0,0,IF(COUNTIFS(実績!$W$6:$W$505,DP$3,実績!$AI$6:$AI$505,"&lt;="&amp;$A248,実績!$AJ$6:$AJ$505,"&gt;"&amp;$A248,実績!$AK$6:$AK$505,"○")&gt;0,1,0))</f>
        <v>0</v>
      </c>
      <c r="DQ248" s="39" t="n">
        <f aca="false">IF(DQ$4=0,0,IF(COUNTIFS(実績!$W$6:$W$505,DQ$3,実績!$AI$6:$AI$505,"&lt;="&amp;$A248,実績!$AJ$6:$AJ$505,"&gt;"&amp;$A248,実績!$AK$6:$AK$505,"○")&gt;0,1,0))</f>
        <v>0</v>
      </c>
      <c r="DR248" s="39" t="n">
        <f aca="false">IF(DR$4=0,0,IF(COUNTIFS(実績!$W$6:$W$505,DR$3,実績!$AI$6:$AI$505,"&lt;="&amp;$A248,実績!$AJ$6:$AJ$505,"&gt;"&amp;$A248,実績!$AK$6:$AK$505,"○")&gt;0,1,0))</f>
        <v>0</v>
      </c>
      <c r="DS248" s="39" t="n">
        <f aca="false">SUM(C248:DR248)</f>
        <v>0</v>
      </c>
      <c r="DT248" s="39" t="n">
        <f aca="false">SUMPRODUCT((実績!$C$6:$C$505="○")*ISNUMBER(実績!$AM$6:$AM$505)*(実績!$AM$6:$AM$505&lt;=$A248)*(実績!$AN$6:$AN$505&gt;$A248))</f>
        <v>0</v>
      </c>
      <c r="DU248" s="39" t="n">
        <f aca="false">SUMIF($C$2:$DR$2,"製鉄曳船",C248:DR248)</f>
        <v>0</v>
      </c>
      <c r="DV248" s="39" t="n">
        <f aca="false">SUMIF($C$2:$DR$2,"西日本海運",C248:DR248)</f>
        <v>0</v>
      </c>
    </row>
    <row r="249" customFormat="false" ht="15" hidden="false" customHeight="false" outlineLevel="0" collapsed="false">
      <c r="A249" s="0" t="n">
        <v>1215</v>
      </c>
      <c r="B249" s="38" t="n">
        <f aca="false">A249/1440</f>
        <v>0.84375</v>
      </c>
      <c r="C249" s="39" t="n">
        <f aca="false">IF(C$4=0,0,IF(COUNTIFS(実績!$W$6:$W$505,C$3,実績!$AI$6:$AI$505,"&lt;="&amp;$A249,実績!$AJ$6:$AJ$505,"&gt;"&amp;$A249,実績!$AK$6:$AK$505,"○")&gt;0,1,0))</f>
        <v>0</v>
      </c>
      <c r="D249" s="39" t="n">
        <f aca="false">IF(D$4=0,0,IF(COUNTIFS(実績!$W$6:$W$505,D$3,実績!$AI$6:$AI$505,"&lt;="&amp;$A249,実績!$AJ$6:$AJ$505,"&gt;"&amp;$A249,実績!$AK$6:$AK$505,"○")&gt;0,1,0))</f>
        <v>0</v>
      </c>
      <c r="E249" s="39" t="n">
        <f aca="false">IF(E$4=0,0,IF(COUNTIFS(実績!$W$6:$W$505,E$3,実績!$AI$6:$AI$505,"&lt;="&amp;$A249,実績!$AJ$6:$AJ$505,"&gt;"&amp;$A249,実績!$AK$6:$AK$505,"○")&gt;0,1,0))</f>
        <v>0</v>
      </c>
      <c r="F249" s="39" t="n">
        <f aca="false">IF(F$4=0,0,IF(COUNTIFS(実績!$W$6:$W$505,F$3,実績!$AI$6:$AI$505,"&lt;="&amp;$A249,実績!$AJ$6:$AJ$505,"&gt;"&amp;$A249,実績!$AK$6:$AK$505,"○")&gt;0,1,0))</f>
        <v>0</v>
      </c>
      <c r="G249" s="39" t="n">
        <f aca="false">IF(G$4=0,0,IF(COUNTIFS(実績!$W$6:$W$505,G$3,実績!$AI$6:$AI$505,"&lt;="&amp;$A249,実績!$AJ$6:$AJ$505,"&gt;"&amp;$A249,実績!$AK$6:$AK$505,"○")&gt;0,1,0))</f>
        <v>0</v>
      </c>
      <c r="H249" s="39" t="n">
        <f aca="false">IF(H$4=0,0,IF(COUNTIFS(実績!$W$6:$W$505,H$3,実績!$AI$6:$AI$505,"&lt;="&amp;$A249,実績!$AJ$6:$AJ$505,"&gt;"&amp;$A249,実績!$AK$6:$AK$505,"○")&gt;0,1,0))</f>
        <v>0</v>
      </c>
      <c r="I249" s="39" t="n">
        <f aca="false">IF(I$4=0,0,IF(COUNTIFS(実績!$W$6:$W$505,I$3,実績!$AI$6:$AI$505,"&lt;="&amp;$A249,実績!$AJ$6:$AJ$505,"&gt;"&amp;$A249,実績!$AK$6:$AK$505,"○")&gt;0,1,0))</f>
        <v>0</v>
      </c>
      <c r="J249" s="39" t="n">
        <f aca="false">IF(J$4=0,0,IF(COUNTIFS(実績!$W$6:$W$505,J$3,実績!$AI$6:$AI$505,"&lt;="&amp;$A249,実績!$AJ$6:$AJ$505,"&gt;"&amp;$A249,実績!$AK$6:$AK$505,"○")&gt;0,1,0))</f>
        <v>0</v>
      </c>
      <c r="K249" s="39" t="n">
        <f aca="false">IF(K$4=0,0,IF(COUNTIFS(実績!$W$6:$W$505,K$3,実績!$AI$6:$AI$505,"&lt;="&amp;$A249,実績!$AJ$6:$AJ$505,"&gt;"&amp;$A249,実績!$AK$6:$AK$505,"○")&gt;0,1,0))</f>
        <v>0</v>
      </c>
      <c r="L249" s="39" t="n">
        <f aca="false">IF(L$4=0,0,IF(COUNTIFS(実績!$W$6:$W$505,L$3,実績!$AI$6:$AI$505,"&lt;="&amp;$A249,実績!$AJ$6:$AJ$505,"&gt;"&amp;$A249,実績!$AK$6:$AK$505,"○")&gt;0,1,0))</f>
        <v>0</v>
      </c>
      <c r="M249" s="39" t="n">
        <f aca="false">IF(M$4=0,0,IF(COUNTIFS(実績!$W$6:$W$505,M$3,実績!$AI$6:$AI$505,"&lt;="&amp;$A249,実績!$AJ$6:$AJ$505,"&gt;"&amp;$A249,実績!$AK$6:$AK$505,"○")&gt;0,1,0))</f>
        <v>0</v>
      </c>
      <c r="N249" s="39" t="n">
        <f aca="false">IF(N$4=0,0,IF(COUNTIFS(実績!$W$6:$W$505,N$3,実績!$AI$6:$AI$505,"&lt;="&amp;$A249,実績!$AJ$6:$AJ$505,"&gt;"&amp;$A249,実績!$AK$6:$AK$505,"○")&gt;0,1,0))</f>
        <v>0</v>
      </c>
      <c r="O249" s="39" t="n">
        <f aca="false">IF(O$4=0,0,IF(COUNTIFS(実績!$W$6:$W$505,O$3,実績!$AI$6:$AI$505,"&lt;="&amp;$A249,実績!$AJ$6:$AJ$505,"&gt;"&amp;$A249,実績!$AK$6:$AK$505,"○")&gt;0,1,0))</f>
        <v>0</v>
      </c>
      <c r="P249" s="39" t="n">
        <f aca="false">IF(P$4=0,0,IF(COUNTIFS(実績!$W$6:$W$505,P$3,実績!$AI$6:$AI$505,"&lt;="&amp;$A249,実績!$AJ$6:$AJ$505,"&gt;"&amp;$A249,実績!$AK$6:$AK$505,"○")&gt;0,1,0))</f>
        <v>0</v>
      </c>
      <c r="Q249" s="39" t="n">
        <f aca="false">IF(Q$4=0,0,IF(COUNTIFS(実績!$W$6:$W$505,Q$3,実績!$AI$6:$AI$505,"&lt;="&amp;$A249,実績!$AJ$6:$AJ$505,"&gt;"&amp;$A249,実績!$AK$6:$AK$505,"○")&gt;0,1,0))</f>
        <v>0</v>
      </c>
      <c r="R249" s="39" t="n">
        <f aca="false">IF(R$4=0,0,IF(COUNTIFS(実績!$W$6:$W$505,R$3,実績!$AI$6:$AI$505,"&lt;="&amp;$A249,実績!$AJ$6:$AJ$505,"&gt;"&amp;$A249,実績!$AK$6:$AK$505,"○")&gt;0,1,0))</f>
        <v>0</v>
      </c>
      <c r="S249" s="39" t="n">
        <f aca="false">IF(S$4=0,0,IF(COUNTIFS(実績!$W$6:$W$505,S$3,実績!$AI$6:$AI$505,"&lt;="&amp;$A249,実績!$AJ$6:$AJ$505,"&gt;"&amp;$A249,実績!$AK$6:$AK$505,"○")&gt;0,1,0))</f>
        <v>0</v>
      </c>
      <c r="T249" s="39" t="n">
        <f aca="false">IF(T$4=0,0,IF(COUNTIFS(実績!$W$6:$W$505,T$3,実績!$AI$6:$AI$505,"&lt;="&amp;$A249,実績!$AJ$6:$AJ$505,"&gt;"&amp;$A249,実績!$AK$6:$AK$505,"○")&gt;0,1,0))</f>
        <v>0</v>
      </c>
      <c r="U249" s="39" t="n">
        <f aca="false">IF(U$4=0,0,IF(COUNTIFS(実績!$W$6:$W$505,U$3,実績!$AI$6:$AI$505,"&lt;="&amp;$A249,実績!$AJ$6:$AJ$505,"&gt;"&amp;$A249,実績!$AK$6:$AK$505,"○")&gt;0,1,0))</f>
        <v>0</v>
      </c>
      <c r="V249" s="39" t="n">
        <f aca="false">IF(V$4=0,0,IF(COUNTIFS(実績!$W$6:$W$505,V$3,実績!$AI$6:$AI$505,"&lt;="&amp;$A249,実績!$AJ$6:$AJ$505,"&gt;"&amp;$A249,実績!$AK$6:$AK$505,"○")&gt;0,1,0))</f>
        <v>0</v>
      </c>
      <c r="W249" s="39" t="n">
        <f aca="false">IF(W$4=0,0,IF(COUNTIFS(実績!$W$6:$W$505,W$3,実績!$AI$6:$AI$505,"&lt;="&amp;$A249,実績!$AJ$6:$AJ$505,"&gt;"&amp;$A249,実績!$AK$6:$AK$505,"○")&gt;0,1,0))</f>
        <v>0</v>
      </c>
      <c r="X249" s="39" t="n">
        <f aca="false">IF(X$4=0,0,IF(COUNTIFS(実績!$W$6:$W$505,X$3,実績!$AI$6:$AI$505,"&lt;="&amp;$A249,実績!$AJ$6:$AJ$505,"&gt;"&amp;$A249,実績!$AK$6:$AK$505,"○")&gt;0,1,0))</f>
        <v>0</v>
      </c>
      <c r="Y249" s="39" t="n">
        <f aca="false">IF(Y$4=0,0,IF(COUNTIFS(実績!$W$6:$W$505,Y$3,実績!$AI$6:$AI$505,"&lt;="&amp;$A249,実績!$AJ$6:$AJ$505,"&gt;"&amp;$A249,実績!$AK$6:$AK$505,"○")&gt;0,1,0))</f>
        <v>0</v>
      </c>
      <c r="Z249" s="39" t="n">
        <f aca="false">IF(Z$4=0,0,IF(COUNTIFS(実績!$W$6:$W$505,Z$3,実績!$AI$6:$AI$505,"&lt;="&amp;$A249,実績!$AJ$6:$AJ$505,"&gt;"&amp;$A249,実績!$AK$6:$AK$505,"○")&gt;0,1,0))</f>
        <v>0</v>
      </c>
      <c r="AA249" s="39" t="n">
        <f aca="false">IF(AA$4=0,0,IF(COUNTIFS(実績!$W$6:$W$505,AA$3,実績!$AI$6:$AI$505,"&lt;="&amp;$A249,実績!$AJ$6:$AJ$505,"&gt;"&amp;$A249,実績!$AK$6:$AK$505,"○")&gt;0,1,0))</f>
        <v>0</v>
      </c>
      <c r="AB249" s="39" t="n">
        <f aca="false">IF(AB$4=0,0,IF(COUNTIFS(実績!$W$6:$W$505,AB$3,実績!$AI$6:$AI$505,"&lt;="&amp;$A249,実績!$AJ$6:$AJ$505,"&gt;"&amp;$A249,実績!$AK$6:$AK$505,"○")&gt;0,1,0))</f>
        <v>0</v>
      </c>
      <c r="AC249" s="39" t="n">
        <f aca="false">IF(AC$4=0,0,IF(COUNTIFS(実績!$W$6:$W$505,AC$3,実績!$AI$6:$AI$505,"&lt;="&amp;$A249,実績!$AJ$6:$AJ$505,"&gt;"&amp;$A249,実績!$AK$6:$AK$505,"○")&gt;0,1,0))</f>
        <v>0</v>
      </c>
      <c r="AD249" s="39" t="n">
        <f aca="false">IF(AD$4=0,0,IF(COUNTIFS(実績!$W$6:$W$505,AD$3,実績!$AI$6:$AI$505,"&lt;="&amp;$A249,実績!$AJ$6:$AJ$505,"&gt;"&amp;$A249,実績!$AK$6:$AK$505,"○")&gt;0,1,0))</f>
        <v>0</v>
      </c>
      <c r="AE249" s="39" t="n">
        <f aca="false">IF(AE$4=0,0,IF(COUNTIFS(実績!$W$6:$W$505,AE$3,実績!$AI$6:$AI$505,"&lt;="&amp;$A249,実績!$AJ$6:$AJ$505,"&gt;"&amp;$A249,実績!$AK$6:$AK$505,"○")&gt;0,1,0))</f>
        <v>0</v>
      </c>
      <c r="AF249" s="39" t="n">
        <f aca="false">IF(AF$4=0,0,IF(COUNTIFS(実績!$W$6:$W$505,AF$3,実績!$AI$6:$AI$505,"&lt;="&amp;$A249,実績!$AJ$6:$AJ$505,"&gt;"&amp;$A249,実績!$AK$6:$AK$505,"○")&gt;0,1,0))</f>
        <v>0</v>
      </c>
      <c r="AG249" s="39" t="n">
        <f aca="false">IF(AG$4=0,0,IF(COUNTIFS(実績!$W$6:$W$505,AG$3,実績!$AI$6:$AI$505,"&lt;="&amp;$A249,実績!$AJ$6:$AJ$505,"&gt;"&amp;$A249,実績!$AK$6:$AK$505,"○")&gt;0,1,0))</f>
        <v>0</v>
      </c>
      <c r="AH249" s="39" t="n">
        <f aca="false">IF(AH$4=0,0,IF(COUNTIFS(実績!$W$6:$W$505,AH$3,実績!$AI$6:$AI$505,"&lt;="&amp;$A249,実績!$AJ$6:$AJ$505,"&gt;"&amp;$A249,実績!$AK$6:$AK$505,"○")&gt;0,1,0))</f>
        <v>0</v>
      </c>
      <c r="AI249" s="39" t="n">
        <f aca="false">IF(AI$4=0,0,IF(COUNTIFS(実績!$W$6:$W$505,AI$3,実績!$AI$6:$AI$505,"&lt;="&amp;$A249,実績!$AJ$6:$AJ$505,"&gt;"&amp;$A249,実績!$AK$6:$AK$505,"○")&gt;0,1,0))</f>
        <v>0</v>
      </c>
      <c r="AJ249" s="39" t="n">
        <f aca="false">IF(AJ$4=0,0,IF(COUNTIFS(実績!$W$6:$W$505,AJ$3,実績!$AI$6:$AI$505,"&lt;="&amp;$A249,実績!$AJ$6:$AJ$505,"&gt;"&amp;$A249,実績!$AK$6:$AK$505,"○")&gt;0,1,0))</f>
        <v>0</v>
      </c>
      <c r="AK249" s="39" t="n">
        <f aca="false">IF(AK$4=0,0,IF(COUNTIFS(実績!$W$6:$W$505,AK$3,実績!$AI$6:$AI$505,"&lt;="&amp;$A249,実績!$AJ$6:$AJ$505,"&gt;"&amp;$A249,実績!$AK$6:$AK$505,"○")&gt;0,1,0))</f>
        <v>0</v>
      </c>
      <c r="AL249" s="39" t="n">
        <f aca="false">IF(AL$4=0,0,IF(COUNTIFS(実績!$W$6:$W$505,AL$3,実績!$AI$6:$AI$505,"&lt;="&amp;$A249,実績!$AJ$6:$AJ$505,"&gt;"&amp;$A249,実績!$AK$6:$AK$505,"○")&gt;0,1,0))</f>
        <v>0</v>
      </c>
      <c r="AM249" s="39" t="n">
        <f aca="false">IF(AM$4=0,0,IF(COUNTIFS(実績!$W$6:$W$505,AM$3,実績!$AI$6:$AI$505,"&lt;="&amp;$A249,実績!$AJ$6:$AJ$505,"&gt;"&amp;$A249,実績!$AK$6:$AK$505,"○")&gt;0,1,0))</f>
        <v>0</v>
      </c>
      <c r="AN249" s="39" t="n">
        <f aca="false">IF(AN$4=0,0,IF(COUNTIFS(実績!$W$6:$W$505,AN$3,実績!$AI$6:$AI$505,"&lt;="&amp;$A249,実績!$AJ$6:$AJ$505,"&gt;"&amp;$A249,実績!$AK$6:$AK$505,"○")&gt;0,1,0))</f>
        <v>0</v>
      </c>
      <c r="AO249" s="39" t="n">
        <f aca="false">IF(AO$4=0,0,IF(COUNTIFS(実績!$W$6:$W$505,AO$3,実績!$AI$6:$AI$505,"&lt;="&amp;$A249,実績!$AJ$6:$AJ$505,"&gt;"&amp;$A249,実績!$AK$6:$AK$505,"○")&gt;0,1,0))</f>
        <v>0</v>
      </c>
      <c r="AP249" s="39" t="n">
        <f aca="false">IF(AP$4=0,0,IF(COUNTIFS(実績!$W$6:$W$505,AP$3,実績!$AI$6:$AI$505,"&lt;="&amp;$A249,実績!$AJ$6:$AJ$505,"&gt;"&amp;$A249,実績!$AK$6:$AK$505,"○")&gt;0,1,0))</f>
        <v>0</v>
      </c>
      <c r="AQ249" s="39" t="n">
        <f aca="false">IF(AQ$4=0,0,IF(COUNTIFS(実績!$W$6:$W$505,AQ$3,実績!$AI$6:$AI$505,"&lt;="&amp;$A249,実績!$AJ$6:$AJ$505,"&gt;"&amp;$A249,実績!$AK$6:$AK$505,"○")&gt;0,1,0))</f>
        <v>0</v>
      </c>
      <c r="AR249" s="39" t="n">
        <f aca="false">IF(AR$4=0,0,IF(COUNTIFS(実績!$W$6:$W$505,AR$3,実績!$AI$6:$AI$505,"&lt;="&amp;$A249,実績!$AJ$6:$AJ$505,"&gt;"&amp;$A249,実績!$AK$6:$AK$505,"○")&gt;0,1,0))</f>
        <v>0</v>
      </c>
      <c r="AS249" s="39" t="n">
        <f aca="false">IF(AS$4=0,0,IF(COUNTIFS(実績!$W$6:$W$505,AS$3,実績!$AI$6:$AI$505,"&lt;="&amp;$A249,実績!$AJ$6:$AJ$505,"&gt;"&amp;$A249,実績!$AK$6:$AK$505,"○")&gt;0,1,0))</f>
        <v>0</v>
      </c>
      <c r="AT249" s="39" t="n">
        <f aca="false">IF(AT$4=0,0,IF(COUNTIFS(実績!$W$6:$W$505,AT$3,実績!$AI$6:$AI$505,"&lt;="&amp;$A249,実績!$AJ$6:$AJ$505,"&gt;"&amp;$A249,実績!$AK$6:$AK$505,"○")&gt;0,1,0))</f>
        <v>0</v>
      </c>
      <c r="AU249" s="39" t="n">
        <f aca="false">IF(AU$4=0,0,IF(COUNTIFS(実績!$W$6:$W$505,AU$3,実績!$AI$6:$AI$505,"&lt;="&amp;$A249,実績!$AJ$6:$AJ$505,"&gt;"&amp;$A249,実績!$AK$6:$AK$505,"○")&gt;0,1,0))</f>
        <v>0</v>
      </c>
      <c r="AV249" s="39" t="n">
        <f aca="false">IF(AV$4=0,0,IF(COUNTIFS(実績!$W$6:$W$505,AV$3,実績!$AI$6:$AI$505,"&lt;="&amp;$A249,実績!$AJ$6:$AJ$505,"&gt;"&amp;$A249,実績!$AK$6:$AK$505,"○")&gt;0,1,0))</f>
        <v>0</v>
      </c>
      <c r="AW249" s="39" t="n">
        <f aca="false">IF(AW$4=0,0,IF(COUNTIFS(実績!$W$6:$W$505,AW$3,実績!$AI$6:$AI$505,"&lt;="&amp;$A249,実績!$AJ$6:$AJ$505,"&gt;"&amp;$A249,実績!$AK$6:$AK$505,"○")&gt;0,1,0))</f>
        <v>0</v>
      </c>
      <c r="AX249" s="39" t="n">
        <f aca="false">IF(AX$4=0,0,IF(COUNTIFS(実績!$W$6:$W$505,AX$3,実績!$AI$6:$AI$505,"&lt;="&amp;$A249,実績!$AJ$6:$AJ$505,"&gt;"&amp;$A249,実績!$AK$6:$AK$505,"○")&gt;0,1,0))</f>
        <v>0</v>
      </c>
      <c r="AY249" s="39" t="n">
        <f aca="false">IF(AY$4=0,0,IF(COUNTIFS(実績!$W$6:$W$505,AY$3,実績!$AI$6:$AI$505,"&lt;="&amp;$A249,実績!$AJ$6:$AJ$505,"&gt;"&amp;$A249,実績!$AK$6:$AK$505,"○")&gt;0,1,0))</f>
        <v>0</v>
      </c>
      <c r="AZ249" s="39" t="n">
        <f aca="false">IF(AZ$4=0,0,IF(COUNTIFS(実績!$W$6:$W$505,AZ$3,実績!$AI$6:$AI$505,"&lt;="&amp;$A249,実績!$AJ$6:$AJ$505,"&gt;"&amp;$A249,実績!$AK$6:$AK$505,"○")&gt;0,1,0))</f>
        <v>0</v>
      </c>
      <c r="BA249" s="39" t="n">
        <f aca="false">IF(BA$4=0,0,IF(COUNTIFS(実績!$W$6:$W$505,BA$3,実績!$AI$6:$AI$505,"&lt;="&amp;$A249,実績!$AJ$6:$AJ$505,"&gt;"&amp;$A249,実績!$AK$6:$AK$505,"○")&gt;0,1,0))</f>
        <v>0</v>
      </c>
      <c r="BB249" s="39" t="n">
        <f aca="false">IF(BB$4=0,0,IF(COUNTIFS(実績!$W$6:$W$505,BB$3,実績!$AI$6:$AI$505,"&lt;="&amp;$A249,実績!$AJ$6:$AJ$505,"&gt;"&amp;$A249,実績!$AK$6:$AK$505,"○")&gt;0,1,0))</f>
        <v>0</v>
      </c>
      <c r="BC249" s="39" t="n">
        <f aca="false">IF(BC$4=0,0,IF(COUNTIFS(実績!$W$6:$W$505,BC$3,実績!$AI$6:$AI$505,"&lt;="&amp;$A249,実績!$AJ$6:$AJ$505,"&gt;"&amp;$A249,実績!$AK$6:$AK$505,"○")&gt;0,1,0))</f>
        <v>0</v>
      </c>
      <c r="BD249" s="39" t="n">
        <f aca="false">IF(BD$4=0,0,IF(COUNTIFS(実績!$W$6:$W$505,BD$3,実績!$AI$6:$AI$505,"&lt;="&amp;$A249,実績!$AJ$6:$AJ$505,"&gt;"&amp;$A249,実績!$AK$6:$AK$505,"○")&gt;0,1,0))</f>
        <v>0</v>
      </c>
      <c r="BE249" s="39" t="n">
        <f aca="false">IF(BE$4=0,0,IF(COUNTIFS(実績!$W$6:$W$505,BE$3,実績!$AI$6:$AI$505,"&lt;="&amp;$A249,実績!$AJ$6:$AJ$505,"&gt;"&amp;$A249,実績!$AK$6:$AK$505,"○")&gt;0,1,0))</f>
        <v>0</v>
      </c>
      <c r="BF249" s="39" t="n">
        <f aca="false">IF(BF$4=0,0,IF(COUNTIFS(実績!$W$6:$W$505,BF$3,実績!$AI$6:$AI$505,"&lt;="&amp;$A249,実績!$AJ$6:$AJ$505,"&gt;"&amp;$A249,実績!$AK$6:$AK$505,"○")&gt;0,1,0))</f>
        <v>0</v>
      </c>
      <c r="BG249" s="39" t="n">
        <f aca="false">IF(BG$4=0,0,IF(COUNTIFS(実績!$W$6:$W$505,BG$3,実績!$AI$6:$AI$505,"&lt;="&amp;$A249,実績!$AJ$6:$AJ$505,"&gt;"&amp;$A249,実績!$AK$6:$AK$505,"○")&gt;0,1,0))</f>
        <v>0</v>
      </c>
      <c r="BH249" s="39" t="n">
        <f aca="false">IF(BH$4=0,0,IF(COUNTIFS(実績!$W$6:$W$505,BH$3,実績!$AI$6:$AI$505,"&lt;="&amp;$A249,実績!$AJ$6:$AJ$505,"&gt;"&amp;$A249,実績!$AK$6:$AK$505,"○")&gt;0,1,0))</f>
        <v>0</v>
      </c>
      <c r="BI249" s="39" t="n">
        <f aca="false">IF(BI$4=0,0,IF(COUNTIFS(実績!$W$6:$W$505,BI$3,実績!$AI$6:$AI$505,"&lt;="&amp;$A249,実績!$AJ$6:$AJ$505,"&gt;"&amp;$A249,実績!$AK$6:$AK$505,"○")&gt;0,1,0))</f>
        <v>0</v>
      </c>
      <c r="BJ249" s="39" t="n">
        <f aca="false">IF(BJ$4=0,0,IF(COUNTIFS(実績!$W$6:$W$505,BJ$3,実績!$AI$6:$AI$505,"&lt;="&amp;$A249,実績!$AJ$6:$AJ$505,"&gt;"&amp;$A249,実績!$AK$6:$AK$505,"○")&gt;0,1,0))</f>
        <v>0</v>
      </c>
      <c r="BK249" s="39" t="n">
        <f aca="false">IF(BK$4=0,0,IF(COUNTIFS(実績!$W$6:$W$505,BK$3,実績!$AI$6:$AI$505,"&lt;="&amp;$A249,実績!$AJ$6:$AJ$505,"&gt;"&amp;$A249,実績!$AK$6:$AK$505,"○")&gt;0,1,0))</f>
        <v>0</v>
      </c>
      <c r="BL249" s="39" t="n">
        <f aca="false">IF(BL$4=0,0,IF(COUNTIFS(実績!$W$6:$W$505,BL$3,実績!$AI$6:$AI$505,"&lt;="&amp;$A249,実績!$AJ$6:$AJ$505,"&gt;"&amp;$A249,実績!$AK$6:$AK$505,"○")&gt;0,1,0))</f>
        <v>0</v>
      </c>
      <c r="BM249" s="39" t="n">
        <f aca="false">IF(BM$4=0,0,IF(COUNTIFS(実績!$W$6:$W$505,BM$3,実績!$AI$6:$AI$505,"&lt;="&amp;$A249,実績!$AJ$6:$AJ$505,"&gt;"&amp;$A249,実績!$AK$6:$AK$505,"○")&gt;0,1,0))</f>
        <v>0</v>
      </c>
      <c r="BN249" s="39" t="n">
        <f aca="false">IF(BN$4=0,0,IF(COUNTIFS(実績!$W$6:$W$505,BN$3,実績!$AI$6:$AI$505,"&lt;="&amp;$A249,実績!$AJ$6:$AJ$505,"&gt;"&amp;$A249,実績!$AK$6:$AK$505,"○")&gt;0,1,0))</f>
        <v>0</v>
      </c>
      <c r="BO249" s="39" t="n">
        <f aca="false">IF(BO$4=0,0,IF(COUNTIFS(実績!$W$6:$W$505,BO$3,実績!$AI$6:$AI$505,"&lt;="&amp;$A249,実績!$AJ$6:$AJ$505,"&gt;"&amp;$A249,実績!$AK$6:$AK$505,"○")&gt;0,1,0))</f>
        <v>0</v>
      </c>
      <c r="BP249" s="39" t="n">
        <f aca="false">IF(BP$4=0,0,IF(COUNTIFS(実績!$W$6:$W$505,BP$3,実績!$AI$6:$AI$505,"&lt;="&amp;$A249,実績!$AJ$6:$AJ$505,"&gt;"&amp;$A249,実績!$AK$6:$AK$505,"○")&gt;0,1,0))</f>
        <v>0</v>
      </c>
      <c r="BQ249" s="39" t="n">
        <f aca="false">IF(BQ$4=0,0,IF(COUNTIFS(実績!$W$6:$W$505,BQ$3,実績!$AI$6:$AI$505,"&lt;="&amp;$A249,実績!$AJ$6:$AJ$505,"&gt;"&amp;$A249,実績!$AK$6:$AK$505,"○")&gt;0,1,0))</f>
        <v>0</v>
      </c>
      <c r="BR249" s="39" t="n">
        <f aca="false">IF(BR$4=0,0,IF(COUNTIFS(実績!$W$6:$W$505,BR$3,実績!$AI$6:$AI$505,"&lt;="&amp;$A249,実績!$AJ$6:$AJ$505,"&gt;"&amp;$A249,実績!$AK$6:$AK$505,"○")&gt;0,1,0))</f>
        <v>0</v>
      </c>
      <c r="BS249" s="39" t="n">
        <f aca="false">IF(BS$4=0,0,IF(COUNTIFS(実績!$W$6:$W$505,BS$3,実績!$AI$6:$AI$505,"&lt;="&amp;$A249,実績!$AJ$6:$AJ$505,"&gt;"&amp;$A249,実績!$AK$6:$AK$505,"○")&gt;0,1,0))</f>
        <v>0</v>
      </c>
      <c r="BT249" s="39" t="n">
        <f aca="false">IF(BT$4=0,0,IF(COUNTIFS(実績!$W$6:$W$505,BT$3,実績!$AI$6:$AI$505,"&lt;="&amp;$A249,実績!$AJ$6:$AJ$505,"&gt;"&amp;$A249,実績!$AK$6:$AK$505,"○")&gt;0,1,0))</f>
        <v>0</v>
      </c>
      <c r="BU249" s="39" t="n">
        <f aca="false">IF(BU$4=0,0,IF(COUNTIFS(実績!$W$6:$W$505,BU$3,実績!$AI$6:$AI$505,"&lt;="&amp;$A249,実績!$AJ$6:$AJ$505,"&gt;"&amp;$A249,実績!$AK$6:$AK$505,"○")&gt;0,1,0))</f>
        <v>0</v>
      </c>
      <c r="BV249" s="39" t="n">
        <f aca="false">IF(BV$4=0,0,IF(COUNTIFS(実績!$W$6:$W$505,BV$3,実績!$AI$6:$AI$505,"&lt;="&amp;$A249,実績!$AJ$6:$AJ$505,"&gt;"&amp;$A249,実績!$AK$6:$AK$505,"○")&gt;0,1,0))</f>
        <v>0</v>
      </c>
      <c r="BW249" s="39" t="n">
        <f aca="false">IF(BW$4=0,0,IF(COUNTIFS(実績!$W$6:$W$505,BW$3,実績!$AI$6:$AI$505,"&lt;="&amp;$A249,実績!$AJ$6:$AJ$505,"&gt;"&amp;$A249,実績!$AK$6:$AK$505,"○")&gt;0,1,0))</f>
        <v>0</v>
      </c>
      <c r="BX249" s="39" t="n">
        <f aca="false">IF(BX$4=0,0,IF(COUNTIFS(実績!$W$6:$W$505,BX$3,実績!$AI$6:$AI$505,"&lt;="&amp;$A249,実績!$AJ$6:$AJ$505,"&gt;"&amp;$A249,実績!$AK$6:$AK$505,"○")&gt;0,1,0))</f>
        <v>0</v>
      </c>
      <c r="BY249" s="39" t="n">
        <f aca="false">IF(BY$4=0,0,IF(COUNTIFS(実績!$W$6:$W$505,BY$3,実績!$AI$6:$AI$505,"&lt;="&amp;$A249,実績!$AJ$6:$AJ$505,"&gt;"&amp;$A249,実績!$AK$6:$AK$505,"○")&gt;0,1,0))</f>
        <v>0</v>
      </c>
      <c r="BZ249" s="39" t="n">
        <f aca="false">IF(BZ$4=0,0,IF(COUNTIFS(実績!$W$6:$W$505,BZ$3,実績!$AI$6:$AI$505,"&lt;="&amp;$A249,実績!$AJ$6:$AJ$505,"&gt;"&amp;$A249,実績!$AK$6:$AK$505,"○")&gt;0,1,0))</f>
        <v>0</v>
      </c>
      <c r="CA249" s="39" t="n">
        <f aca="false">IF(CA$4=0,0,IF(COUNTIFS(実績!$W$6:$W$505,CA$3,実績!$AI$6:$AI$505,"&lt;="&amp;$A249,実績!$AJ$6:$AJ$505,"&gt;"&amp;$A249,実績!$AK$6:$AK$505,"○")&gt;0,1,0))</f>
        <v>0</v>
      </c>
      <c r="CB249" s="39" t="n">
        <f aca="false">IF(CB$4=0,0,IF(COUNTIFS(実績!$W$6:$W$505,CB$3,実績!$AI$6:$AI$505,"&lt;="&amp;$A249,実績!$AJ$6:$AJ$505,"&gt;"&amp;$A249,実績!$AK$6:$AK$505,"○")&gt;0,1,0))</f>
        <v>0</v>
      </c>
      <c r="CC249" s="39" t="n">
        <f aca="false">IF(CC$4=0,0,IF(COUNTIFS(実績!$W$6:$W$505,CC$3,実績!$AI$6:$AI$505,"&lt;="&amp;$A249,実績!$AJ$6:$AJ$505,"&gt;"&amp;$A249,実績!$AK$6:$AK$505,"○")&gt;0,1,0))</f>
        <v>0</v>
      </c>
      <c r="CD249" s="39" t="n">
        <f aca="false">IF(CD$4=0,0,IF(COUNTIFS(実績!$W$6:$W$505,CD$3,実績!$AI$6:$AI$505,"&lt;="&amp;$A249,実績!$AJ$6:$AJ$505,"&gt;"&amp;$A249,実績!$AK$6:$AK$505,"○")&gt;0,1,0))</f>
        <v>0</v>
      </c>
      <c r="CE249" s="39" t="n">
        <f aca="false">IF(CE$4=0,0,IF(COUNTIFS(実績!$W$6:$W$505,CE$3,実績!$AI$6:$AI$505,"&lt;="&amp;$A249,実績!$AJ$6:$AJ$505,"&gt;"&amp;$A249,実績!$AK$6:$AK$505,"○")&gt;0,1,0))</f>
        <v>0</v>
      </c>
      <c r="CF249" s="39" t="n">
        <f aca="false">IF(CF$4=0,0,IF(COUNTIFS(実績!$W$6:$W$505,CF$3,実績!$AI$6:$AI$505,"&lt;="&amp;$A249,実績!$AJ$6:$AJ$505,"&gt;"&amp;$A249,実績!$AK$6:$AK$505,"○")&gt;0,1,0))</f>
        <v>0</v>
      </c>
      <c r="CG249" s="39" t="n">
        <f aca="false">IF(CG$4=0,0,IF(COUNTIFS(実績!$W$6:$W$505,CG$3,実績!$AI$6:$AI$505,"&lt;="&amp;$A249,実績!$AJ$6:$AJ$505,"&gt;"&amp;$A249,実績!$AK$6:$AK$505,"○")&gt;0,1,0))</f>
        <v>0</v>
      </c>
      <c r="CH249" s="39" t="n">
        <f aca="false">IF(CH$4=0,0,IF(COUNTIFS(実績!$W$6:$W$505,CH$3,実績!$AI$6:$AI$505,"&lt;="&amp;$A249,実績!$AJ$6:$AJ$505,"&gt;"&amp;$A249,実績!$AK$6:$AK$505,"○")&gt;0,1,0))</f>
        <v>0</v>
      </c>
      <c r="CI249" s="39" t="n">
        <f aca="false">IF(CI$4=0,0,IF(COUNTIFS(実績!$W$6:$W$505,CI$3,実績!$AI$6:$AI$505,"&lt;="&amp;$A249,実績!$AJ$6:$AJ$505,"&gt;"&amp;$A249,実績!$AK$6:$AK$505,"○")&gt;0,1,0))</f>
        <v>0</v>
      </c>
      <c r="CJ249" s="39" t="n">
        <f aca="false">IF(CJ$4=0,0,IF(COUNTIFS(実績!$W$6:$W$505,CJ$3,実績!$AI$6:$AI$505,"&lt;="&amp;$A249,実績!$AJ$6:$AJ$505,"&gt;"&amp;$A249,実績!$AK$6:$AK$505,"○")&gt;0,1,0))</f>
        <v>0</v>
      </c>
      <c r="CK249" s="39" t="n">
        <f aca="false">IF(CK$4=0,0,IF(COUNTIFS(実績!$W$6:$W$505,CK$3,実績!$AI$6:$AI$505,"&lt;="&amp;$A249,実績!$AJ$6:$AJ$505,"&gt;"&amp;$A249,実績!$AK$6:$AK$505,"○")&gt;0,1,0))</f>
        <v>0</v>
      </c>
      <c r="CL249" s="39" t="n">
        <f aca="false">IF(CL$4=0,0,IF(COUNTIFS(実績!$W$6:$W$505,CL$3,実績!$AI$6:$AI$505,"&lt;="&amp;$A249,実績!$AJ$6:$AJ$505,"&gt;"&amp;$A249,実績!$AK$6:$AK$505,"○")&gt;0,1,0))</f>
        <v>0</v>
      </c>
      <c r="CM249" s="39" t="n">
        <f aca="false">IF(CM$4=0,0,IF(COUNTIFS(実績!$W$6:$W$505,CM$3,実績!$AI$6:$AI$505,"&lt;="&amp;$A249,実績!$AJ$6:$AJ$505,"&gt;"&amp;$A249,実績!$AK$6:$AK$505,"○")&gt;0,1,0))</f>
        <v>0</v>
      </c>
      <c r="CN249" s="39" t="n">
        <f aca="false">IF(CN$4=0,0,IF(COUNTIFS(実績!$W$6:$W$505,CN$3,実績!$AI$6:$AI$505,"&lt;="&amp;$A249,実績!$AJ$6:$AJ$505,"&gt;"&amp;$A249,実績!$AK$6:$AK$505,"○")&gt;0,1,0))</f>
        <v>0</v>
      </c>
      <c r="CO249" s="39" t="n">
        <f aca="false">IF(CO$4=0,0,IF(COUNTIFS(実績!$W$6:$W$505,CO$3,実績!$AI$6:$AI$505,"&lt;="&amp;$A249,実績!$AJ$6:$AJ$505,"&gt;"&amp;$A249,実績!$AK$6:$AK$505,"○")&gt;0,1,0))</f>
        <v>0</v>
      </c>
      <c r="CP249" s="39" t="n">
        <f aca="false">IF(CP$4=0,0,IF(COUNTIFS(実績!$W$6:$W$505,CP$3,実績!$AI$6:$AI$505,"&lt;="&amp;$A249,実績!$AJ$6:$AJ$505,"&gt;"&amp;$A249,実績!$AK$6:$AK$505,"○")&gt;0,1,0))</f>
        <v>0</v>
      </c>
      <c r="CQ249" s="39" t="n">
        <f aca="false">IF(CQ$4=0,0,IF(COUNTIFS(実績!$W$6:$W$505,CQ$3,実績!$AI$6:$AI$505,"&lt;="&amp;$A249,実績!$AJ$6:$AJ$505,"&gt;"&amp;$A249,実績!$AK$6:$AK$505,"○")&gt;0,1,0))</f>
        <v>0</v>
      </c>
      <c r="CR249" s="39" t="n">
        <f aca="false">IF(CR$4=0,0,IF(COUNTIFS(実績!$W$6:$W$505,CR$3,実績!$AI$6:$AI$505,"&lt;="&amp;$A249,実績!$AJ$6:$AJ$505,"&gt;"&amp;$A249,実績!$AK$6:$AK$505,"○")&gt;0,1,0))</f>
        <v>0</v>
      </c>
      <c r="CS249" s="39" t="n">
        <f aca="false">IF(CS$4=0,0,IF(COUNTIFS(実績!$W$6:$W$505,CS$3,実績!$AI$6:$AI$505,"&lt;="&amp;$A249,実績!$AJ$6:$AJ$505,"&gt;"&amp;$A249,実績!$AK$6:$AK$505,"○")&gt;0,1,0))</f>
        <v>0</v>
      </c>
      <c r="CT249" s="39" t="n">
        <f aca="false">IF(CT$4=0,0,IF(COUNTIFS(実績!$W$6:$W$505,CT$3,実績!$AI$6:$AI$505,"&lt;="&amp;$A249,実績!$AJ$6:$AJ$505,"&gt;"&amp;$A249,実績!$AK$6:$AK$505,"○")&gt;0,1,0))</f>
        <v>0</v>
      </c>
      <c r="CU249" s="39" t="n">
        <f aca="false">IF(CU$4=0,0,IF(COUNTIFS(実績!$W$6:$W$505,CU$3,実績!$AI$6:$AI$505,"&lt;="&amp;$A249,実績!$AJ$6:$AJ$505,"&gt;"&amp;$A249,実績!$AK$6:$AK$505,"○")&gt;0,1,0))</f>
        <v>0</v>
      </c>
      <c r="CV249" s="39" t="n">
        <f aca="false">IF(CV$4=0,0,IF(COUNTIFS(実績!$W$6:$W$505,CV$3,実績!$AI$6:$AI$505,"&lt;="&amp;$A249,実績!$AJ$6:$AJ$505,"&gt;"&amp;$A249,実績!$AK$6:$AK$505,"○")&gt;0,1,0))</f>
        <v>0</v>
      </c>
      <c r="CW249" s="39" t="n">
        <f aca="false">IF(CW$4=0,0,IF(COUNTIFS(実績!$W$6:$W$505,CW$3,実績!$AI$6:$AI$505,"&lt;="&amp;$A249,実績!$AJ$6:$AJ$505,"&gt;"&amp;$A249,実績!$AK$6:$AK$505,"○")&gt;0,1,0))</f>
        <v>0</v>
      </c>
      <c r="CX249" s="39" t="n">
        <f aca="false">IF(CX$4=0,0,IF(COUNTIFS(実績!$W$6:$W$505,CX$3,実績!$AI$6:$AI$505,"&lt;="&amp;$A249,実績!$AJ$6:$AJ$505,"&gt;"&amp;$A249,実績!$AK$6:$AK$505,"○")&gt;0,1,0))</f>
        <v>0</v>
      </c>
      <c r="CY249" s="39" t="n">
        <f aca="false">IF(CY$4=0,0,IF(COUNTIFS(実績!$W$6:$W$505,CY$3,実績!$AI$6:$AI$505,"&lt;="&amp;$A249,実績!$AJ$6:$AJ$505,"&gt;"&amp;$A249,実績!$AK$6:$AK$505,"○")&gt;0,1,0))</f>
        <v>0</v>
      </c>
      <c r="CZ249" s="39" t="n">
        <f aca="false">IF(CZ$4=0,0,IF(COUNTIFS(実績!$W$6:$W$505,CZ$3,実績!$AI$6:$AI$505,"&lt;="&amp;$A249,実績!$AJ$6:$AJ$505,"&gt;"&amp;$A249,実績!$AK$6:$AK$505,"○")&gt;0,1,0))</f>
        <v>0</v>
      </c>
      <c r="DA249" s="39" t="n">
        <f aca="false">IF(DA$4=0,0,IF(COUNTIFS(実績!$W$6:$W$505,DA$3,実績!$AI$6:$AI$505,"&lt;="&amp;$A249,実績!$AJ$6:$AJ$505,"&gt;"&amp;$A249,実績!$AK$6:$AK$505,"○")&gt;0,1,0))</f>
        <v>0</v>
      </c>
      <c r="DB249" s="39" t="n">
        <f aca="false">IF(DB$4=0,0,IF(COUNTIFS(実績!$W$6:$W$505,DB$3,実績!$AI$6:$AI$505,"&lt;="&amp;$A249,実績!$AJ$6:$AJ$505,"&gt;"&amp;$A249,実績!$AK$6:$AK$505,"○")&gt;0,1,0))</f>
        <v>0</v>
      </c>
      <c r="DC249" s="39" t="n">
        <f aca="false">IF(DC$4=0,0,IF(COUNTIFS(実績!$W$6:$W$505,DC$3,実績!$AI$6:$AI$505,"&lt;="&amp;$A249,実績!$AJ$6:$AJ$505,"&gt;"&amp;$A249,実績!$AK$6:$AK$505,"○")&gt;0,1,0))</f>
        <v>0</v>
      </c>
      <c r="DD249" s="39" t="n">
        <f aca="false">IF(DD$4=0,0,IF(COUNTIFS(実績!$W$6:$W$505,DD$3,実績!$AI$6:$AI$505,"&lt;="&amp;$A249,実績!$AJ$6:$AJ$505,"&gt;"&amp;$A249,実績!$AK$6:$AK$505,"○")&gt;0,1,0))</f>
        <v>0</v>
      </c>
      <c r="DE249" s="39" t="n">
        <f aca="false">IF(DE$4=0,0,IF(COUNTIFS(実績!$W$6:$W$505,DE$3,実績!$AI$6:$AI$505,"&lt;="&amp;$A249,実績!$AJ$6:$AJ$505,"&gt;"&amp;$A249,実績!$AK$6:$AK$505,"○")&gt;0,1,0))</f>
        <v>0</v>
      </c>
      <c r="DF249" s="39" t="n">
        <f aca="false">IF(DF$4=0,0,IF(COUNTIFS(実績!$W$6:$W$505,DF$3,実績!$AI$6:$AI$505,"&lt;="&amp;$A249,実績!$AJ$6:$AJ$505,"&gt;"&amp;$A249,実績!$AK$6:$AK$505,"○")&gt;0,1,0))</f>
        <v>0</v>
      </c>
      <c r="DG249" s="39" t="n">
        <f aca="false">IF(DG$4=0,0,IF(COUNTIFS(実績!$W$6:$W$505,DG$3,実績!$AI$6:$AI$505,"&lt;="&amp;$A249,実績!$AJ$6:$AJ$505,"&gt;"&amp;$A249,実績!$AK$6:$AK$505,"○")&gt;0,1,0))</f>
        <v>0</v>
      </c>
      <c r="DH249" s="39" t="n">
        <f aca="false">IF(DH$4=0,0,IF(COUNTIFS(実績!$W$6:$W$505,DH$3,実績!$AI$6:$AI$505,"&lt;="&amp;$A249,実績!$AJ$6:$AJ$505,"&gt;"&amp;$A249,実績!$AK$6:$AK$505,"○")&gt;0,1,0))</f>
        <v>0</v>
      </c>
      <c r="DI249" s="39" t="n">
        <f aca="false">IF(DI$4=0,0,IF(COUNTIFS(実績!$W$6:$W$505,DI$3,実績!$AI$6:$AI$505,"&lt;="&amp;$A249,実績!$AJ$6:$AJ$505,"&gt;"&amp;$A249,実績!$AK$6:$AK$505,"○")&gt;0,1,0))</f>
        <v>0</v>
      </c>
      <c r="DJ249" s="39" t="n">
        <f aca="false">IF(DJ$4=0,0,IF(COUNTIFS(実績!$W$6:$W$505,DJ$3,実績!$AI$6:$AI$505,"&lt;="&amp;$A249,実績!$AJ$6:$AJ$505,"&gt;"&amp;$A249,実績!$AK$6:$AK$505,"○")&gt;0,1,0))</f>
        <v>0</v>
      </c>
      <c r="DK249" s="39" t="n">
        <f aca="false">IF(DK$4=0,0,IF(COUNTIFS(実績!$W$6:$W$505,DK$3,実績!$AI$6:$AI$505,"&lt;="&amp;$A249,実績!$AJ$6:$AJ$505,"&gt;"&amp;$A249,実績!$AK$6:$AK$505,"○")&gt;0,1,0))</f>
        <v>0</v>
      </c>
      <c r="DL249" s="39" t="n">
        <f aca="false">IF(DL$4=0,0,IF(COUNTIFS(実績!$W$6:$W$505,DL$3,実績!$AI$6:$AI$505,"&lt;="&amp;$A249,実績!$AJ$6:$AJ$505,"&gt;"&amp;$A249,実績!$AK$6:$AK$505,"○")&gt;0,1,0))</f>
        <v>0</v>
      </c>
      <c r="DM249" s="39" t="n">
        <f aca="false">IF(DM$4=0,0,IF(COUNTIFS(実績!$W$6:$W$505,DM$3,実績!$AI$6:$AI$505,"&lt;="&amp;$A249,実績!$AJ$6:$AJ$505,"&gt;"&amp;$A249,実績!$AK$6:$AK$505,"○")&gt;0,1,0))</f>
        <v>0</v>
      </c>
      <c r="DN249" s="39" t="n">
        <f aca="false">IF(DN$4=0,0,IF(COUNTIFS(実績!$W$6:$W$505,DN$3,実績!$AI$6:$AI$505,"&lt;="&amp;$A249,実績!$AJ$6:$AJ$505,"&gt;"&amp;$A249,実績!$AK$6:$AK$505,"○")&gt;0,1,0))</f>
        <v>0</v>
      </c>
      <c r="DO249" s="39" t="n">
        <f aca="false">IF(DO$4=0,0,IF(COUNTIFS(実績!$W$6:$W$505,DO$3,実績!$AI$6:$AI$505,"&lt;="&amp;$A249,実績!$AJ$6:$AJ$505,"&gt;"&amp;$A249,実績!$AK$6:$AK$505,"○")&gt;0,1,0))</f>
        <v>0</v>
      </c>
      <c r="DP249" s="39" t="n">
        <f aca="false">IF(DP$4=0,0,IF(COUNTIFS(実績!$W$6:$W$505,DP$3,実績!$AI$6:$AI$505,"&lt;="&amp;$A249,実績!$AJ$6:$AJ$505,"&gt;"&amp;$A249,実績!$AK$6:$AK$505,"○")&gt;0,1,0))</f>
        <v>0</v>
      </c>
      <c r="DQ249" s="39" t="n">
        <f aca="false">IF(DQ$4=0,0,IF(COUNTIFS(実績!$W$6:$W$505,DQ$3,実績!$AI$6:$AI$505,"&lt;="&amp;$A249,実績!$AJ$6:$AJ$505,"&gt;"&amp;$A249,実績!$AK$6:$AK$505,"○")&gt;0,1,0))</f>
        <v>0</v>
      </c>
      <c r="DR249" s="39" t="n">
        <f aca="false">IF(DR$4=0,0,IF(COUNTIFS(実績!$W$6:$W$505,DR$3,実績!$AI$6:$AI$505,"&lt;="&amp;$A249,実績!$AJ$6:$AJ$505,"&gt;"&amp;$A249,実績!$AK$6:$AK$505,"○")&gt;0,1,0))</f>
        <v>0</v>
      </c>
      <c r="DS249" s="39" t="n">
        <f aca="false">SUM(C249:DR249)</f>
        <v>0</v>
      </c>
      <c r="DT249" s="39" t="n">
        <f aca="false">SUMPRODUCT((実績!$C$6:$C$505="○")*ISNUMBER(実績!$AM$6:$AM$505)*(実績!$AM$6:$AM$505&lt;=$A249)*(実績!$AN$6:$AN$505&gt;$A249))</f>
        <v>0</v>
      </c>
      <c r="DU249" s="39" t="n">
        <f aca="false">SUMIF($C$2:$DR$2,"製鉄曳船",C249:DR249)</f>
        <v>0</v>
      </c>
      <c r="DV249" s="39" t="n">
        <f aca="false">SUMIF($C$2:$DR$2,"西日本海運",C249:DR249)</f>
        <v>0</v>
      </c>
    </row>
    <row r="250" customFormat="false" ht="15" hidden="false" customHeight="false" outlineLevel="0" collapsed="false">
      <c r="A250" s="0" t="n">
        <v>1220</v>
      </c>
      <c r="B250" s="38" t="n">
        <f aca="false">A250/1440</f>
        <v>0.847222222222222</v>
      </c>
      <c r="C250" s="39" t="n">
        <f aca="false">IF(C$4=0,0,IF(COUNTIFS(実績!$W$6:$W$505,C$3,実績!$AI$6:$AI$505,"&lt;="&amp;$A250,実績!$AJ$6:$AJ$505,"&gt;"&amp;$A250,実績!$AK$6:$AK$505,"○")&gt;0,1,0))</f>
        <v>0</v>
      </c>
      <c r="D250" s="39" t="n">
        <f aca="false">IF(D$4=0,0,IF(COUNTIFS(実績!$W$6:$W$505,D$3,実績!$AI$6:$AI$505,"&lt;="&amp;$A250,実績!$AJ$6:$AJ$505,"&gt;"&amp;$A250,実績!$AK$6:$AK$505,"○")&gt;0,1,0))</f>
        <v>0</v>
      </c>
      <c r="E250" s="39" t="n">
        <f aca="false">IF(E$4=0,0,IF(COUNTIFS(実績!$W$6:$W$505,E$3,実績!$AI$6:$AI$505,"&lt;="&amp;$A250,実績!$AJ$6:$AJ$505,"&gt;"&amp;$A250,実績!$AK$6:$AK$505,"○")&gt;0,1,0))</f>
        <v>0</v>
      </c>
      <c r="F250" s="39" t="n">
        <f aca="false">IF(F$4=0,0,IF(COUNTIFS(実績!$W$6:$W$505,F$3,実績!$AI$6:$AI$505,"&lt;="&amp;$A250,実績!$AJ$6:$AJ$505,"&gt;"&amp;$A250,実績!$AK$6:$AK$505,"○")&gt;0,1,0))</f>
        <v>0</v>
      </c>
      <c r="G250" s="39" t="n">
        <f aca="false">IF(G$4=0,0,IF(COUNTIFS(実績!$W$6:$W$505,G$3,実績!$AI$6:$AI$505,"&lt;="&amp;$A250,実績!$AJ$6:$AJ$505,"&gt;"&amp;$A250,実績!$AK$6:$AK$505,"○")&gt;0,1,0))</f>
        <v>0</v>
      </c>
      <c r="H250" s="39" t="n">
        <f aca="false">IF(H$4=0,0,IF(COUNTIFS(実績!$W$6:$W$505,H$3,実績!$AI$6:$AI$505,"&lt;="&amp;$A250,実績!$AJ$6:$AJ$505,"&gt;"&amp;$A250,実績!$AK$6:$AK$505,"○")&gt;0,1,0))</f>
        <v>0</v>
      </c>
      <c r="I250" s="39" t="n">
        <f aca="false">IF(I$4=0,0,IF(COUNTIFS(実績!$W$6:$W$505,I$3,実績!$AI$6:$AI$505,"&lt;="&amp;$A250,実績!$AJ$6:$AJ$505,"&gt;"&amp;$A250,実績!$AK$6:$AK$505,"○")&gt;0,1,0))</f>
        <v>0</v>
      </c>
      <c r="J250" s="39" t="n">
        <f aca="false">IF(J$4=0,0,IF(COUNTIFS(実績!$W$6:$W$505,J$3,実績!$AI$6:$AI$505,"&lt;="&amp;$A250,実績!$AJ$6:$AJ$505,"&gt;"&amp;$A250,実績!$AK$6:$AK$505,"○")&gt;0,1,0))</f>
        <v>0</v>
      </c>
      <c r="K250" s="39" t="n">
        <f aca="false">IF(K$4=0,0,IF(COUNTIFS(実績!$W$6:$W$505,K$3,実績!$AI$6:$AI$505,"&lt;="&amp;$A250,実績!$AJ$6:$AJ$505,"&gt;"&amp;$A250,実績!$AK$6:$AK$505,"○")&gt;0,1,0))</f>
        <v>0</v>
      </c>
      <c r="L250" s="39" t="n">
        <f aca="false">IF(L$4=0,0,IF(COUNTIFS(実績!$W$6:$W$505,L$3,実績!$AI$6:$AI$505,"&lt;="&amp;$A250,実績!$AJ$6:$AJ$505,"&gt;"&amp;$A250,実績!$AK$6:$AK$505,"○")&gt;0,1,0))</f>
        <v>0</v>
      </c>
      <c r="M250" s="39" t="n">
        <f aca="false">IF(M$4=0,0,IF(COUNTIFS(実績!$W$6:$W$505,M$3,実績!$AI$6:$AI$505,"&lt;="&amp;$A250,実績!$AJ$6:$AJ$505,"&gt;"&amp;$A250,実績!$AK$6:$AK$505,"○")&gt;0,1,0))</f>
        <v>0</v>
      </c>
      <c r="N250" s="39" t="n">
        <f aca="false">IF(N$4=0,0,IF(COUNTIFS(実績!$W$6:$W$505,N$3,実績!$AI$6:$AI$505,"&lt;="&amp;$A250,実績!$AJ$6:$AJ$505,"&gt;"&amp;$A250,実績!$AK$6:$AK$505,"○")&gt;0,1,0))</f>
        <v>0</v>
      </c>
      <c r="O250" s="39" t="n">
        <f aca="false">IF(O$4=0,0,IF(COUNTIFS(実績!$W$6:$W$505,O$3,実績!$AI$6:$AI$505,"&lt;="&amp;$A250,実績!$AJ$6:$AJ$505,"&gt;"&amp;$A250,実績!$AK$6:$AK$505,"○")&gt;0,1,0))</f>
        <v>0</v>
      </c>
      <c r="P250" s="39" t="n">
        <f aca="false">IF(P$4=0,0,IF(COUNTIFS(実績!$W$6:$W$505,P$3,実績!$AI$6:$AI$505,"&lt;="&amp;$A250,実績!$AJ$6:$AJ$505,"&gt;"&amp;$A250,実績!$AK$6:$AK$505,"○")&gt;0,1,0))</f>
        <v>0</v>
      </c>
      <c r="Q250" s="39" t="n">
        <f aca="false">IF(Q$4=0,0,IF(COUNTIFS(実績!$W$6:$W$505,Q$3,実績!$AI$6:$AI$505,"&lt;="&amp;$A250,実績!$AJ$6:$AJ$505,"&gt;"&amp;$A250,実績!$AK$6:$AK$505,"○")&gt;0,1,0))</f>
        <v>0</v>
      </c>
      <c r="R250" s="39" t="n">
        <f aca="false">IF(R$4=0,0,IF(COUNTIFS(実績!$W$6:$W$505,R$3,実績!$AI$6:$AI$505,"&lt;="&amp;$A250,実績!$AJ$6:$AJ$505,"&gt;"&amp;$A250,実績!$AK$6:$AK$505,"○")&gt;0,1,0))</f>
        <v>0</v>
      </c>
      <c r="S250" s="39" t="n">
        <f aca="false">IF(S$4=0,0,IF(COUNTIFS(実績!$W$6:$W$505,S$3,実績!$AI$6:$AI$505,"&lt;="&amp;$A250,実績!$AJ$6:$AJ$505,"&gt;"&amp;$A250,実績!$AK$6:$AK$505,"○")&gt;0,1,0))</f>
        <v>0</v>
      </c>
      <c r="T250" s="39" t="n">
        <f aca="false">IF(T$4=0,0,IF(COUNTIFS(実績!$W$6:$W$505,T$3,実績!$AI$6:$AI$505,"&lt;="&amp;$A250,実績!$AJ$6:$AJ$505,"&gt;"&amp;$A250,実績!$AK$6:$AK$505,"○")&gt;0,1,0))</f>
        <v>0</v>
      </c>
      <c r="U250" s="39" t="n">
        <f aca="false">IF(U$4=0,0,IF(COUNTIFS(実績!$W$6:$W$505,U$3,実績!$AI$6:$AI$505,"&lt;="&amp;$A250,実績!$AJ$6:$AJ$505,"&gt;"&amp;$A250,実績!$AK$6:$AK$505,"○")&gt;0,1,0))</f>
        <v>0</v>
      </c>
      <c r="V250" s="39" t="n">
        <f aca="false">IF(V$4=0,0,IF(COUNTIFS(実績!$W$6:$W$505,V$3,実績!$AI$6:$AI$505,"&lt;="&amp;$A250,実績!$AJ$6:$AJ$505,"&gt;"&amp;$A250,実績!$AK$6:$AK$505,"○")&gt;0,1,0))</f>
        <v>0</v>
      </c>
      <c r="W250" s="39" t="n">
        <f aca="false">IF(W$4=0,0,IF(COUNTIFS(実績!$W$6:$W$505,W$3,実績!$AI$6:$AI$505,"&lt;="&amp;$A250,実績!$AJ$6:$AJ$505,"&gt;"&amp;$A250,実績!$AK$6:$AK$505,"○")&gt;0,1,0))</f>
        <v>0</v>
      </c>
      <c r="X250" s="39" t="n">
        <f aca="false">IF(X$4=0,0,IF(COUNTIFS(実績!$W$6:$W$505,X$3,実績!$AI$6:$AI$505,"&lt;="&amp;$A250,実績!$AJ$6:$AJ$505,"&gt;"&amp;$A250,実績!$AK$6:$AK$505,"○")&gt;0,1,0))</f>
        <v>0</v>
      </c>
      <c r="Y250" s="39" t="n">
        <f aca="false">IF(Y$4=0,0,IF(COUNTIFS(実績!$W$6:$W$505,Y$3,実績!$AI$6:$AI$505,"&lt;="&amp;$A250,実績!$AJ$6:$AJ$505,"&gt;"&amp;$A250,実績!$AK$6:$AK$505,"○")&gt;0,1,0))</f>
        <v>0</v>
      </c>
      <c r="Z250" s="39" t="n">
        <f aca="false">IF(Z$4=0,0,IF(COUNTIFS(実績!$W$6:$W$505,Z$3,実績!$AI$6:$AI$505,"&lt;="&amp;$A250,実績!$AJ$6:$AJ$505,"&gt;"&amp;$A250,実績!$AK$6:$AK$505,"○")&gt;0,1,0))</f>
        <v>0</v>
      </c>
      <c r="AA250" s="39" t="n">
        <f aca="false">IF(AA$4=0,0,IF(COUNTIFS(実績!$W$6:$W$505,AA$3,実績!$AI$6:$AI$505,"&lt;="&amp;$A250,実績!$AJ$6:$AJ$505,"&gt;"&amp;$A250,実績!$AK$6:$AK$505,"○")&gt;0,1,0))</f>
        <v>0</v>
      </c>
      <c r="AB250" s="39" t="n">
        <f aca="false">IF(AB$4=0,0,IF(COUNTIFS(実績!$W$6:$W$505,AB$3,実績!$AI$6:$AI$505,"&lt;="&amp;$A250,実績!$AJ$6:$AJ$505,"&gt;"&amp;$A250,実績!$AK$6:$AK$505,"○")&gt;0,1,0))</f>
        <v>0</v>
      </c>
      <c r="AC250" s="39" t="n">
        <f aca="false">IF(AC$4=0,0,IF(COUNTIFS(実績!$W$6:$W$505,AC$3,実績!$AI$6:$AI$505,"&lt;="&amp;$A250,実績!$AJ$6:$AJ$505,"&gt;"&amp;$A250,実績!$AK$6:$AK$505,"○")&gt;0,1,0))</f>
        <v>0</v>
      </c>
      <c r="AD250" s="39" t="n">
        <f aca="false">IF(AD$4=0,0,IF(COUNTIFS(実績!$W$6:$W$505,AD$3,実績!$AI$6:$AI$505,"&lt;="&amp;$A250,実績!$AJ$6:$AJ$505,"&gt;"&amp;$A250,実績!$AK$6:$AK$505,"○")&gt;0,1,0))</f>
        <v>0</v>
      </c>
      <c r="AE250" s="39" t="n">
        <f aca="false">IF(AE$4=0,0,IF(COUNTIFS(実績!$W$6:$W$505,AE$3,実績!$AI$6:$AI$505,"&lt;="&amp;$A250,実績!$AJ$6:$AJ$505,"&gt;"&amp;$A250,実績!$AK$6:$AK$505,"○")&gt;0,1,0))</f>
        <v>0</v>
      </c>
      <c r="AF250" s="39" t="n">
        <f aca="false">IF(AF$4=0,0,IF(COUNTIFS(実績!$W$6:$W$505,AF$3,実績!$AI$6:$AI$505,"&lt;="&amp;$A250,実績!$AJ$6:$AJ$505,"&gt;"&amp;$A250,実績!$AK$6:$AK$505,"○")&gt;0,1,0))</f>
        <v>0</v>
      </c>
      <c r="AG250" s="39" t="n">
        <f aca="false">IF(AG$4=0,0,IF(COUNTIFS(実績!$W$6:$W$505,AG$3,実績!$AI$6:$AI$505,"&lt;="&amp;$A250,実績!$AJ$6:$AJ$505,"&gt;"&amp;$A250,実績!$AK$6:$AK$505,"○")&gt;0,1,0))</f>
        <v>0</v>
      </c>
      <c r="AH250" s="39" t="n">
        <f aca="false">IF(AH$4=0,0,IF(COUNTIFS(実績!$W$6:$W$505,AH$3,実績!$AI$6:$AI$505,"&lt;="&amp;$A250,実績!$AJ$6:$AJ$505,"&gt;"&amp;$A250,実績!$AK$6:$AK$505,"○")&gt;0,1,0))</f>
        <v>0</v>
      </c>
      <c r="AI250" s="39" t="n">
        <f aca="false">IF(AI$4=0,0,IF(COUNTIFS(実績!$W$6:$W$505,AI$3,実績!$AI$6:$AI$505,"&lt;="&amp;$A250,実績!$AJ$6:$AJ$505,"&gt;"&amp;$A250,実績!$AK$6:$AK$505,"○")&gt;0,1,0))</f>
        <v>0</v>
      </c>
      <c r="AJ250" s="39" t="n">
        <f aca="false">IF(AJ$4=0,0,IF(COUNTIFS(実績!$W$6:$W$505,AJ$3,実績!$AI$6:$AI$505,"&lt;="&amp;$A250,実績!$AJ$6:$AJ$505,"&gt;"&amp;$A250,実績!$AK$6:$AK$505,"○")&gt;0,1,0))</f>
        <v>0</v>
      </c>
      <c r="AK250" s="39" t="n">
        <f aca="false">IF(AK$4=0,0,IF(COUNTIFS(実績!$W$6:$W$505,AK$3,実績!$AI$6:$AI$505,"&lt;="&amp;$A250,実績!$AJ$6:$AJ$505,"&gt;"&amp;$A250,実績!$AK$6:$AK$505,"○")&gt;0,1,0))</f>
        <v>0</v>
      </c>
      <c r="AL250" s="39" t="n">
        <f aca="false">IF(AL$4=0,0,IF(COUNTIFS(実績!$W$6:$W$505,AL$3,実績!$AI$6:$AI$505,"&lt;="&amp;$A250,実績!$AJ$6:$AJ$505,"&gt;"&amp;$A250,実績!$AK$6:$AK$505,"○")&gt;0,1,0))</f>
        <v>0</v>
      </c>
      <c r="AM250" s="39" t="n">
        <f aca="false">IF(AM$4=0,0,IF(COUNTIFS(実績!$W$6:$W$505,AM$3,実績!$AI$6:$AI$505,"&lt;="&amp;$A250,実績!$AJ$6:$AJ$505,"&gt;"&amp;$A250,実績!$AK$6:$AK$505,"○")&gt;0,1,0))</f>
        <v>0</v>
      </c>
      <c r="AN250" s="39" t="n">
        <f aca="false">IF(AN$4=0,0,IF(COUNTIFS(実績!$W$6:$W$505,AN$3,実績!$AI$6:$AI$505,"&lt;="&amp;$A250,実績!$AJ$6:$AJ$505,"&gt;"&amp;$A250,実績!$AK$6:$AK$505,"○")&gt;0,1,0))</f>
        <v>0</v>
      </c>
      <c r="AO250" s="39" t="n">
        <f aca="false">IF(AO$4=0,0,IF(COUNTIFS(実績!$W$6:$W$505,AO$3,実績!$AI$6:$AI$505,"&lt;="&amp;$A250,実績!$AJ$6:$AJ$505,"&gt;"&amp;$A250,実績!$AK$6:$AK$505,"○")&gt;0,1,0))</f>
        <v>0</v>
      </c>
      <c r="AP250" s="39" t="n">
        <f aca="false">IF(AP$4=0,0,IF(COUNTIFS(実績!$W$6:$W$505,AP$3,実績!$AI$6:$AI$505,"&lt;="&amp;$A250,実績!$AJ$6:$AJ$505,"&gt;"&amp;$A250,実績!$AK$6:$AK$505,"○")&gt;0,1,0))</f>
        <v>0</v>
      </c>
      <c r="AQ250" s="39" t="n">
        <f aca="false">IF(AQ$4=0,0,IF(COUNTIFS(実績!$W$6:$W$505,AQ$3,実績!$AI$6:$AI$505,"&lt;="&amp;$A250,実績!$AJ$6:$AJ$505,"&gt;"&amp;$A250,実績!$AK$6:$AK$505,"○")&gt;0,1,0))</f>
        <v>0</v>
      </c>
      <c r="AR250" s="39" t="n">
        <f aca="false">IF(AR$4=0,0,IF(COUNTIFS(実績!$W$6:$W$505,AR$3,実績!$AI$6:$AI$505,"&lt;="&amp;$A250,実績!$AJ$6:$AJ$505,"&gt;"&amp;$A250,実績!$AK$6:$AK$505,"○")&gt;0,1,0))</f>
        <v>0</v>
      </c>
      <c r="AS250" s="39" t="n">
        <f aca="false">IF(AS$4=0,0,IF(COUNTIFS(実績!$W$6:$W$505,AS$3,実績!$AI$6:$AI$505,"&lt;="&amp;$A250,実績!$AJ$6:$AJ$505,"&gt;"&amp;$A250,実績!$AK$6:$AK$505,"○")&gt;0,1,0))</f>
        <v>0</v>
      </c>
      <c r="AT250" s="39" t="n">
        <f aca="false">IF(AT$4=0,0,IF(COUNTIFS(実績!$W$6:$W$505,AT$3,実績!$AI$6:$AI$505,"&lt;="&amp;$A250,実績!$AJ$6:$AJ$505,"&gt;"&amp;$A250,実績!$AK$6:$AK$505,"○")&gt;0,1,0))</f>
        <v>0</v>
      </c>
      <c r="AU250" s="39" t="n">
        <f aca="false">IF(AU$4=0,0,IF(COUNTIFS(実績!$W$6:$W$505,AU$3,実績!$AI$6:$AI$505,"&lt;="&amp;$A250,実績!$AJ$6:$AJ$505,"&gt;"&amp;$A250,実績!$AK$6:$AK$505,"○")&gt;0,1,0))</f>
        <v>0</v>
      </c>
      <c r="AV250" s="39" t="n">
        <f aca="false">IF(AV$4=0,0,IF(COUNTIFS(実績!$W$6:$W$505,AV$3,実績!$AI$6:$AI$505,"&lt;="&amp;$A250,実績!$AJ$6:$AJ$505,"&gt;"&amp;$A250,実績!$AK$6:$AK$505,"○")&gt;0,1,0))</f>
        <v>0</v>
      </c>
      <c r="AW250" s="39" t="n">
        <f aca="false">IF(AW$4=0,0,IF(COUNTIFS(実績!$W$6:$W$505,AW$3,実績!$AI$6:$AI$505,"&lt;="&amp;$A250,実績!$AJ$6:$AJ$505,"&gt;"&amp;$A250,実績!$AK$6:$AK$505,"○")&gt;0,1,0))</f>
        <v>0</v>
      </c>
      <c r="AX250" s="39" t="n">
        <f aca="false">IF(AX$4=0,0,IF(COUNTIFS(実績!$W$6:$W$505,AX$3,実績!$AI$6:$AI$505,"&lt;="&amp;$A250,実績!$AJ$6:$AJ$505,"&gt;"&amp;$A250,実績!$AK$6:$AK$505,"○")&gt;0,1,0))</f>
        <v>0</v>
      </c>
      <c r="AY250" s="39" t="n">
        <f aca="false">IF(AY$4=0,0,IF(COUNTIFS(実績!$W$6:$W$505,AY$3,実績!$AI$6:$AI$505,"&lt;="&amp;$A250,実績!$AJ$6:$AJ$505,"&gt;"&amp;$A250,実績!$AK$6:$AK$505,"○")&gt;0,1,0))</f>
        <v>0</v>
      </c>
      <c r="AZ250" s="39" t="n">
        <f aca="false">IF(AZ$4=0,0,IF(COUNTIFS(実績!$W$6:$W$505,AZ$3,実績!$AI$6:$AI$505,"&lt;="&amp;$A250,実績!$AJ$6:$AJ$505,"&gt;"&amp;$A250,実績!$AK$6:$AK$505,"○")&gt;0,1,0))</f>
        <v>0</v>
      </c>
      <c r="BA250" s="39" t="n">
        <f aca="false">IF(BA$4=0,0,IF(COUNTIFS(実績!$W$6:$W$505,BA$3,実績!$AI$6:$AI$505,"&lt;="&amp;$A250,実績!$AJ$6:$AJ$505,"&gt;"&amp;$A250,実績!$AK$6:$AK$505,"○")&gt;0,1,0))</f>
        <v>0</v>
      </c>
      <c r="BB250" s="39" t="n">
        <f aca="false">IF(BB$4=0,0,IF(COUNTIFS(実績!$W$6:$W$505,BB$3,実績!$AI$6:$AI$505,"&lt;="&amp;$A250,実績!$AJ$6:$AJ$505,"&gt;"&amp;$A250,実績!$AK$6:$AK$505,"○")&gt;0,1,0))</f>
        <v>0</v>
      </c>
      <c r="BC250" s="39" t="n">
        <f aca="false">IF(BC$4=0,0,IF(COUNTIFS(実績!$W$6:$W$505,BC$3,実績!$AI$6:$AI$505,"&lt;="&amp;$A250,実績!$AJ$6:$AJ$505,"&gt;"&amp;$A250,実績!$AK$6:$AK$505,"○")&gt;0,1,0))</f>
        <v>0</v>
      </c>
      <c r="BD250" s="39" t="n">
        <f aca="false">IF(BD$4=0,0,IF(COUNTIFS(実績!$W$6:$W$505,BD$3,実績!$AI$6:$AI$505,"&lt;="&amp;$A250,実績!$AJ$6:$AJ$505,"&gt;"&amp;$A250,実績!$AK$6:$AK$505,"○")&gt;0,1,0))</f>
        <v>0</v>
      </c>
      <c r="BE250" s="39" t="n">
        <f aca="false">IF(BE$4=0,0,IF(COUNTIFS(実績!$W$6:$W$505,BE$3,実績!$AI$6:$AI$505,"&lt;="&amp;$A250,実績!$AJ$6:$AJ$505,"&gt;"&amp;$A250,実績!$AK$6:$AK$505,"○")&gt;0,1,0))</f>
        <v>0</v>
      </c>
      <c r="BF250" s="39" t="n">
        <f aca="false">IF(BF$4=0,0,IF(COUNTIFS(実績!$W$6:$W$505,BF$3,実績!$AI$6:$AI$505,"&lt;="&amp;$A250,実績!$AJ$6:$AJ$505,"&gt;"&amp;$A250,実績!$AK$6:$AK$505,"○")&gt;0,1,0))</f>
        <v>0</v>
      </c>
      <c r="BG250" s="39" t="n">
        <f aca="false">IF(BG$4=0,0,IF(COUNTIFS(実績!$W$6:$W$505,BG$3,実績!$AI$6:$AI$505,"&lt;="&amp;$A250,実績!$AJ$6:$AJ$505,"&gt;"&amp;$A250,実績!$AK$6:$AK$505,"○")&gt;0,1,0))</f>
        <v>0</v>
      </c>
      <c r="BH250" s="39" t="n">
        <f aca="false">IF(BH$4=0,0,IF(COUNTIFS(実績!$W$6:$W$505,BH$3,実績!$AI$6:$AI$505,"&lt;="&amp;$A250,実績!$AJ$6:$AJ$505,"&gt;"&amp;$A250,実績!$AK$6:$AK$505,"○")&gt;0,1,0))</f>
        <v>0</v>
      </c>
      <c r="BI250" s="39" t="n">
        <f aca="false">IF(BI$4=0,0,IF(COUNTIFS(実績!$W$6:$W$505,BI$3,実績!$AI$6:$AI$505,"&lt;="&amp;$A250,実績!$AJ$6:$AJ$505,"&gt;"&amp;$A250,実績!$AK$6:$AK$505,"○")&gt;0,1,0))</f>
        <v>0</v>
      </c>
      <c r="BJ250" s="39" t="n">
        <f aca="false">IF(BJ$4=0,0,IF(COUNTIFS(実績!$W$6:$W$505,BJ$3,実績!$AI$6:$AI$505,"&lt;="&amp;$A250,実績!$AJ$6:$AJ$505,"&gt;"&amp;$A250,実績!$AK$6:$AK$505,"○")&gt;0,1,0))</f>
        <v>0</v>
      </c>
      <c r="BK250" s="39" t="n">
        <f aca="false">IF(BK$4=0,0,IF(COUNTIFS(実績!$W$6:$W$505,BK$3,実績!$AI$6:$AI$505,"&lt;="&amp;$A250,実績!$AJ$6:$AJ$505,"&gt;"&amp;$A250,実績!$AK$6:$AK$505,"○")&gt;0,1,0))</f>
        <v>0</v>
      </c>
      <c r="BL250" s="39" t="n">
        <f aca="false">IF(BL$4=0,0,IF(COUNTIFS(実績!$W$6:$W$505,BL$3,実績!$AI$6:$AI$505,"&lt;="&amp;$A250,実績!$AJ$6:$AJ$505,"&gt;"&amp;$A250,実績!$AK$6:$AK$505,"○")&gt;0,1,0))</f>
        <v>0</v>
      </c>
      <c r="BM250" s="39" t="n">
        <f aca="false">IF(BM$4=0,0,IF(COUNTIFS(実績!$W$6:$W$505,BM$3,実績!$AI$6:$AI$505,"&lt;="&amp;$A250,実績!$AJ$6:$AJ$505,"&gt;"&amp;$A250,実績!$AK$6:$AK$505,"○")&gt;0,1,0))</f>
        <v>0</v>
      </c>
      <c r="BN250" s="39" t="n">
        <f aca="false">IF(BN$4=0,0,IF(COUNTIFS(実績!$W$6:$W$505,BN$3,実績!$AI$6:$AI$505,"&lt;="&amp;$A250,実績!$AJ$6:$AJ$505,"&gt;"&amp;$A250,実績!$AK$6:$AK$505,"○")&gt;0,1,0))</f>
        <v>0</v>
      </c>
      <c r="BO250" s="39" t="n">
        <f aca="false">IF(BO$4=0,0,IF(COUNTIFS(実績!$W$6:$W$505,BO$3,実績!$AI$6:$AI$505,"&lt;="&amp;$A250,実績!$AJ$6:$AJ$505,"&gt;"&amp;$A250,実績!$AK$6:$AK$505,"○")&gt;0,1,0))</f>
        <v>0</v>
      </c>
      <c r="BP250" s="39" t="n">
        <f aca="false">IF(BP$4=0,0,IF(COUNTIFS(実績!$W$6:$W$505,BP$3,実績!$AI$6:$AI$505,"&lt;="&amp;$A250,実績!$AJ$6:$AJ$505,"&gt;"&amp;$A250,実績!$AK$6:$AK$505,"○")&gt;0,1,0))</f>
        <v>0</v>
      </c>
      <c r="BQ250" s="39" t="n">
        <f aca="false">IF(BQ$4=0,0,IF(COUNTIFS(実績!$W$6:$W$505,BQ$3,実績!$AI$6:$AI$505,"&lt;="&amp;$A250,実績!$AJ$6:$AJ$505,"&gt;"&amp;$A250,実績!$AK$6:$AK$505,"○")&gt;0,1,0))</f>
        <v>0</v>
      </c>
      <c r="BR250" s="39" t="n">
        <f aca="false">IF(BR$4=0,0,IF(COUNTIFS(実績!$W$6:$W$505,BR$3,実績!$AI$6:$AI$505,"&lt;="&amp;$A250,実績!$AJ$6:$AJ$505,"&gt;"&amp;$A250,実績!$AK$6:$AK$505,"○")&gt;0,1,0))</f>
        <v>0</v>
      </c>
      <c r="BS250" s="39" t="n">
        <f aca="false">IF(BS$4=0,0,IF(COUNTIFS(実績!$W$6:$W$505,BS$3,実績!$AI$6:$AI$505,"&lt;="&amp;$A250,実績!$AJ$6:$AJ$505,"&gt;"&amp;$A250,実績!$AK$6:$AK$505,"○")&gt;0,1,0))</f>
        <v>0</v>
      </c>
      <c r="BT250" s="39" t="n">
        <f aca="false">IF(BT$4=0,0,IF(COUNTIFS(実績!$W$6:$W$505,BT$3,実績!$AI$6:$AI$505,"&lt;="&amp;$A250,実績!$AJ$6:$AJ$505,"&gt;"&amp;$A250,実績!$AK$6:$AK$505,"○")&gt;0,1,0))</f>
        <v>0</v>
      </c>
      <c r="BU250" s="39" t="n">
        <f aca="false">IF(BU$4=0,0,IF(COUNTIFS(実績!$W$6:$W$505,BU$3,実績!$AI$6:$AI$505,"&lt;="&amp;$A250,実績!$AJ$6:$AJ$505,"&gt;"&amp;$A250,実績!$AK$6:$AK$505,"○")&gt;0,1,0))</f>
        <v>0</v>
      </c>
      <c r="BV250" s="39" t="n">
        <f aca="false">IF(BV$4=0,0,IF(COUNTIFS(実績!$W$6:$W$505,BV$3,実績!$AI$6:$AI$505,"&lt;="&amp;$A250,実績!$AJ$6:$AJ$505,"&gt;"&amp;$A250,実績!$AK$6:$AK$505,"○")&gt;0,1,0))</f>
        <v>0</v>
      </c>
      <c r="BW250" s="39" t="n">
        <f aca="false">IF(BW$4=0,0,IF(COUNTIFS(実績!$W$6:$W$505,BW$3,実績!$AI$6:$AI$505,"&lt;="&amp;$A250,実績!$AJ$6:$AJ$505,"&gt;"&amp;$A250,実績!$AK$6:$AK$505,"○")&gt;0,1,0))</f>
        <v>0</v>
      </c>
      <c r="BX250" s="39" t="n">
        <f aca="false">IF(BX$4=0,0,IF(COUNTIFS(実績!$W$6:$W$505,BX$3,実績!$AI$6:$AI$505,"&lt;="&amp;$A250,実績!$AJ$6:$AJ$505,"&gt;"&amp;$A250,実績!$AK$6:$AK$505,"○")&gt;0,1,0))</f>
        <v>0</v>
      </c>
      <c r="BY250" s="39" t="n">
        <f aca="false">IF(BY$4=0,0,IF(COUNTIFS(実績!$W$6:$W$505,BY$3,実績!$AI$6:$AI$505,"&lt;="&amp;$A250,実績!$AJ$6:$AJ$505,"&gt;"&amp;$A250,実績!$AK$6:$AK$505,"○")&gt;0,1,0))</f>
        <v>0</v>
      </c>
      <c r="BZ250" s="39" t="n">
        <f aca="false">IF(BZ$4=0,0,IF(COUNTIFS(実績!$W$6:$W$505,BZ$3,実績!$AI$6:$AI$505,"&lt;="&amp;$A250,実績!$AJ$6:$AJ$505,"&gt;"&amp;$A250,実績!$AK$6:$AK$505,"○")&gt;0,1,0))</f>
        <v>0</v>
      </c>
      <c r="CA250" s="39" t="n">
        <f aca="false">IF(CA$4=0,0,IF(COUNTIFS(実績!$W$6:$W$505,CA$3,実績!$AI$6:$AI$505,"&lt;="&amp;$A250,実績!$AJ$6:$AJ$505,"&gt;"&amp;$A250,実績!$AK$6:$AK$505,"○")&gt;0,1,0))</f>
        <v>0</v>
      </c>
      <c r="CB250" s="39" t="n">
        <f aca="false">IF(CB$4=0,0,IF(COUNTIFS(実績!$W$6:$W$505,CB$3,実績!$AI$6:$AI$505,"&lt;="&amp;$A250,実績!$AJ$6:$AJ$505,"&gt;"&amp;$A250,実績!$AK$6:$AK$505,"○")&gt;0,1,0))</f>
        <v>0</v>
      </c>
      <c r="CC250" s="39" t="n">
        <f aca="false">IF(CC$4=0,0,IF(COUNTIFS(実績!$W$6:$W$505,CC$3,実績!$AI$6:$AI$505,"&lt;="&amp;$A250,実績!$AJ$6:$AJ$505,"&gt;"&amp;$A250,実績!$AK$6:$AK$505,"○")&gt;0,1,0))</f>
        <v>0</v>
      </c>
      <c r="CD250" s="39" t="n">
        <f aca="false">IF(CD$4=0,0,IF(COUNTIFS(実績!$W$6:$W$505,CD$3,実績!$AI$6:$AI$505,"&lt;="&amp;$A250,実績!$AJ$6:$AJ$505,"&gt;"&amp;$A250,実績!$AK$6:$AK$505,"○")&gt;0,1,0))</f>
        <v>0</v>
      </c>
      <c r="CE250" s="39" t="n">
        <f aca="false">IF(CE$4=0,0,IF(COUNTIFS(実績!$W$6:$W$505,CE$3,実績!$AI$6:$AI$505,"&lt;="&amp;$A250,実績!$AJ$6:$AJ$505,"&gt;"&amp;$A250,実績!$AK$6:$AK$505,"○")&gt;0,1,0))</f>
        <v>0</v>
      </c>
      <c r="CF250" s="39" t="n">
        <f aca="false">IF(CF$4=0,0,IF(COUNTIFS(実績!$W$6:$W$505,CF$3,実績!$AI$6:$AI$505,"&lt;="&amp;$A250,実績!$AJ$6:$AJ$505,"&gt;"&amp;$A250,実績!$AK$6:$AK$505,"○")&gt;0,1,0))</f>
        <v>0</v>
      </c>
      <c r="CG250" s="39" t="n">
        <f aca="false">IF(CG$4=0,0,IF(COUNTIFS(実績!$W$6:$W$505,CG$3,実績!$AI$6:$AI$505,"&lt;="&amp;$A250,実績!$AJ$6:$AJ$505,"&gt;"&amp;$A250,実績!$AK$6:$AK$505,"○")&gt;0,1,0))</f>
        <v>0</v>
      </c>
      <c r="CH250" s="39" t="n">
        <f aca="false">IF(CH$4=0,0,IF(COUNTIFS(実績!$W$6:$W$505,CH$3,実績!$AI$6:$AI$505,"&lt;="&amp;$A250,実績!$AJ$6:$AJ$505,"&gt;"&amp;$A250,実績!$AK$6:$AK$505,"○")&gt;0,1,0))</f>
        <v>0</v>
      </c>
      <c r="CI250" s="39" t="n">
        <f aca="false">IF(CI$4=0,0,IF(COUNTIFS(実績!$W$6:$W$505,CI$3,実績!$AI$6:$AI$505,"&lt;="&amp;$A250,実績!$AJ$6:$AJ$505,"&gt;"&amp;$A250,実績!$AK$6:$AK$505,"○")&gt;0,1,0))</f>
        <v>0</v>
      </c>
      <c r="CJ250" s="39" t="n">
        <f aca="false">IF(CJ$4=0,0,IF(COUNTIFS(実績!$W$6:$W$505,CJ$3,実績!$AI$6:$AI$505,"&lt;="&amp;$A250,実績!$AJ$6:$AJ$505,"&gt;"&amp;$A250,実績!$AK$6:$AK$505,"○")&gt;0,1,0))</f>
        <v>0</v>
      </c>
      <c r="CK250" s="39" t="n">
        <f aca="false">IF(CK$4=0,0,IF(COUNTIFS(実績!$W$6:$W$505,CK$3,実績!$AI$6:$AI$505,"&lt;="&amp;$A250,実績!$AJ$6:$AJ$505,"&gt;"&amp;$A250,実績!$AK$6:$AK$505,"○")&gt;0,1,0))</f>
        <v>0</v>
      </c>
      <c r="CL250" s="39" t="n">
        <f aca="false">IF(CL$4=0,0,IF(COUNTIFS(実績!$W$6:$W$505,CL$3,実績!$AI$6:$AI$505,"&lt;="&amp;$A250,実績!$AJ$6:$AJ$505,"&gt;"&amp;$A250,実績!$AK$6:$AK$505,"○")&gt;0,1,0))</f>
        <v>0</v>
      </c>
      <c r="CM250" s="39" t="n">
        <f aca="false">IF(CM$4=0,0,IF(COUNTIFS(実績!$W$6:$W$505,CM$3,実績!$AI$6:$AI$505,"&lt;="&amp;$A250,実績!$AJ$6:$AJ$505,"&gt;"&amp;$A250,実績!$AK$6:$AK$505,"○")&gt;0,1,0))</f>
        <v>0</v>
      </c>
      <c r="CN250" s="39" t="n">
        <f aca="false">IF(CN$4=0,0,IF(COUNTIFS(実績!$W$6:$W$505,CN$3,実績!$AI$6:$AI$505,"&lt;="&amp;$A250,実績!$AJ$6:$AJ$505,"&gt;"&amp;$A250,実績!$AK$6:$AK$505,"○")&gt;0,1,0))</f>
        <v>0</v>
      </c>
      <c r="CO250" s="39" t="n">
        <f aca="false">IF(CO$4=0,0,IF(COUNTIFS(実績!$W$6:$W$505,CO$3,実績!$AI$6:$AI$505,"&lt;="&amp;$A250,実績!$AJ$6:$AJ$505,"&gt;"&amp;$A250,実績!$AK$6:$AK$505,"○")&gt;0,1,0))</f>
        <v>0</v>
      </c>
      <c r="CP250" s="39" t="n">
        <f aca="false">IF(CP$4=0,0,IF(COUNTIFS(実績!$W$6:$W$505,CP$3,実績!$AI$6:$AI$505,"&lt;="&amp;$A250,実績!$AJ$6:$AJ$505,"&gt;"&amp;$A250,実績!$AK$6:$AK$505,"○")&gt;0,1,0))</f>
        <v>0</v>
      </c>
      <c r="CQ250" s="39" t="n">
        <f aca="false">IF(CQ$4=0,0,IF(COUNTIFS(実績!$W$6:$W$505,CQ$3,実績!$AI$6:$AI$505,"&lt;="&amp;$A250,実績!$AJ$6:$AJ$505,"&gt;"&amp;$A250,実績!$AK$6:$AK$505,"○")&gt;0,1,0))</f>
        <v>0</v>
      </c>
      <c r="CR250" s="39" t="n">
        <f aca="false">IF(CR$4=0,0,IF(COUNTIFS(実績!$W$6:$W$505,CR$3,実績!$AI$6:$AI$505,"&lt;="&amp;$A250,実績!$AJ$6:$AJ$505,"&gt;"&amp;$A250,実績!$AK$6:$AK$505,"○")&gt;0,1,0))</f>
        <v>0</v>
      </c>
      <c r="CS250" s="39" t="n">
        <f aca="false">IF(CS$4=0,0,IF(COUNTIFS(実績!$W$6:$W$505,CS$3,実績!$AI$6:$AI$505,"&lt;="&amp;$A250,実績!$AJ$6:$AJ$505,"&gt;"&amp;$A250,実績!$AK$6:$AK$505,"○")&gt;0,1,0))</f>
        <v>0</v>
      </c>
      <c r="CT250" s="39" t="n">
        <f aca="false">IF(CT$4=0,0,IF(COUNTIFS(実績!$W$6:$W$505,CT$3,実績!$AI$6:$AI$505,"&lt;="&amp;$A250,実績!$AJ$6:$AJ$505,"&gt;"&amp;$A250,実績!$AK$6:$AK$505,"○")&gt;0,1,0))</f>
        <v>0</v>
      </c>
      <c r="CU250" s="39" t="n">
        <f aca="false">IF(CU$4=0,0,IF(COUNTIFS(実績!$W$6:$W$505,CU$3,実績!$AI$6:$AI$505,"&lt;="&amp;$A250,実績!$AJ$6:$AJ$505,"&gt;"&amp;$A250,実績!$AK$6:$AK$505,"○")&gt;0,1,0))</f>
        <v>0</v>
      </c>
      <c r="CV250" s="39" t="n">
        <f aca="false">IF(CV$4=0,0,IF(COUNTIFS(実績!$W$6:$W$505,CV$3,実績!$AI$6:$AI$505,"&lt;="&amp;$A250,実績!$AJ$6:$AJ$505,"&gt;"&amp;$A250,実績!$AK$6:$AK$505,"○")&gt;0,1,0))</f>
        <v>0</v>
      </c>
      <c r="CW250" s="39" t="n">
        <f aca="false">IF(CW$4=0,0,IF(COUNTIFS(実績!$W$6:$W$505,CW$3,実績!$AI$6:$AI$505,"&lt;="&amp;$A250,実績!$AJ$6:$AJ$505,"&gt;"&amp;$A250,実績!$AK$6:$AK$505,"○")&gt;0,1,0))</f>
        <v>0</v>
      </c>
      <c r="CX250" s="39" t="n">
        <f aca="false">IF(CX$4=0,0,IF(COUNTIFS(実績!$W$6:$W$505,CX$3,実績!$AI$6:$AI$505,"&lt;="&amp;$A250,実績!$AJ$6:$AJ$505,"&gt;"&amp;$A250,実績!$AK$6:$AK$505,"○")&gt;0,1,0))</f>
        <v>0</v>
      </c>
      <c r="CY250" s="39" t="n">
        <f aca="false">IF(CY$4=0,0,IF(COUNTIFS(実績!$W$6:$W$505,CY$3,実績!$AI$6:$AI$505,"&lt;="&amp;$A250,実績!$AJ$6:$AJ$505,"&gt;"&amp;$A250,実績!$AK$6:$AK$505,"○")&gt;0,1,0))</f>
        <v>0</v>
      </c>
      <c r="CZ250" s="39" t="n">
        <f aca="false">IF(CZ$4=0,0,IF(COUNTIFS(実績!$W$6:$W$505,CZ$3,実績!$AI$6:$AI$505,"&lt;="&amp;$A250,実績!$AJ$6:$AJ$505,"&gt;"&amp;$A250,実績!$AK$6:$AK$505,"○")&gt;0,1,0))</f>
        <v>0</v>
      </c>
      <c r="DA250" s="39" t="n">
        <f aca="false">IF(DA$4=0,0,IF(COUNTIFS(実績!$W$6:$W$505,DA$3,実績!$AI$6:$AI$505,"&lt;="&amp;$A250,実績!$AJ$6:$AJ$505,"&gt;"&amp;$A250,実績!$AK$6:$AK$505,"○")&gt;0,1,0))</f>
        <v>0</v>
      </c>
      <c r="DB250" s="39" t="n">
        <f aca="false">IF(DB$4=0,0,IF(COUNTIFS(実績!$W$6:$W$505,DB$3,実績!$AI$6:$AI$505,"&lt;="&amp;$A250,実績!$AJ$6:$AJ$505,"&gt;"&amp;$A250,実績!$AK$6:$AK$505,"○")&gt;0,1,0))</f>
        <v>0</v>
      </c>
      <c r="DC250" s="39" t="n">
        <f aca="false">IF(DC$4=0,0,IF(COUNTIFS(実績!$W$6:$W$505,DC$3,実績!$AI$6:$AI$505,"&lt;="&amp;$A250,実績!$AJ$6:$AJ$505,"&gt;"&amp;$A250,実績!$AK$6:$AK$505,"○")&gt;0,1,0))</f>
        <v>0</v>
      </c>
      <c r="DD250" s="39" t="n">
        <f aca="false">IF(DD$4=0,0,IF(COUNTIFS(実績!$W$6:$W$505,DD$3,実績!$AI$6:$AI$505,"&lt;="&amp;$A250,実績!$AJ$6:$AJ$505,"&gt;"&amp;$A250,実績!$AK$6:$AK$505,"○")&gt;0,1,0))</f>
        <v>0</v>
      </c>
      <c r="DE250" s="39" t="n">
        <f aca="false">IF(DE$4=0,0,IF(COUNTIFS(実績!$W$6:$W$505,DE$3,実績!$AI$6:$AI$505,"&lt;="&amp;$A250,実績!$AJ$6:$AJ$505,"&gt;"&amp;$A250,実績!$AK$6:$AK$505,"○")&gt;0,1,0))</f>
        <v>0</v>
      </c>
      <c r="DF250" s="39" t="n">
        <f aca="false">IF(DF$4=0,0,IF(COUNTIFS(実績!$W$6:$W$505,DF$3,実績!$AI$6:$AI$505,"&lt;="&amp;$A250,実績!$AJ$6:$AJ$505,"&gt;"&amp;$A250,実績!$AK$6:$AK$505,"○")&gt;0,1,0))</f>
        <v>0</v>
      </c>
      <c r="DG250" s="39" t="n">
        <f aca="false">IF(DG$4=0,0,IF(COUNTIFS(実績!$W$6:$W$505,DG$3,実績!$AI$6:$AI$505,"&lt;="&amp;$A250,実績!$AJ$6:$AJ$505,"&gt;"&amp;$A250,実績!$AK$6:$AK$505,"○")&gt;0,1,0))</f>
        <v>0</v>
      </c>
      <c r="DH250" s="39" t="n">
        <f aca="false">IF(DH$4=0,0,IF(COUNTIFS(実績!$W$6:$W$505,DH$3,実績!$AI$6:$AI$505,"&lt;="&amp;$A250,実績!$AJ$6:$AJ$505,"&gt;"&amp;$A250,実績!$AK$6:$AK$505,"○")&gt;0,1,0))</f>
        <v>0</v>
      </c>
      <c r="DI250" s="39" t="n">
        <f aca="false">IF(DI$4=0,0,IF(COUNTIFS(実績!$W$6:$W$505,DI$3,実績!$AI$6:$AI$505,"&lt;="&amp;$A250,実績!$AJ$6:$AJ$505,"&gt;"&amp;$A250,実績!$AK$6:$AK$505,"○")&gt;0,1,0))</f>
        <v>0</v>
      </c>
      <c r="DJ250" s="39" t="n">
        <f aca="false">IF(DJ$4=0,0,IF(COUNTIFS(実績!$W$6:$W$505,DJ$3,実績!$AI$6:$AI$505,"&lt;="&amp;$A250,実績!$AJ$6:$AJ$505,"&gt;"&amp;$A250,実績!$AK$6:$AK$505,"○")&gt;0,1,0))</f>
        <v>0</v>
      </c>
      <c r="DK250" s="39" t="n">
        <f aca="false">IF(DK$4=0,0,IF(COUNTIFS(実績!$W$6:$W$505,DK$3,実績!$AI$6:$AI$505,"&lt;="&amp;$A250,実績!$AJ$6:$AJ$505,"&gt;"&amp;$A250,実績!$AK$6:$AK$505,"○")&gt;0,1,0))</f>
        <v>0</v>
      </c>
      <c r="DL250" s="39" t="n">
        <f aca="false">IF(DL$4=0,0,IF(COUNTIFS(実績!$W$6:$W$505,DL$3,実績!$AI$6:$AI$505,"&lt;="&amp;$A250,実績!$AJ$6:$AJ$505,"&gt;"&amp;$A250,実績!$AK$6:$AK$505,"○")&gt;0,1,0))</f>
        <v>0</v>
      </c>
      <c r="DM250" s="39" t="n">
        <f aca="false">IF(DM$4=0,0,IF(COUNTIFS(実績!$W$6:$W$505,DM$3,実績!$AI$6:$AI$505,"&lt;="&amp;$A250,実績!$AJ$6:$AJ$505,"&gt;"&amp;$A250,実績!$AK$6:$AK$505,"○")&gt;0,1,0))</f>
        <v>0</v>
      </c>
      <c r="DN250" s="39" t="n">
        <f aca="false">IF(DN$4=0,0,IF(COUNTIFS(実績!$W$6:$W$505,DN$3,実績!$AI$6:$AI$505,"&lt;="&amp;$A250,実績!$AJ$6:$AJ$505,"&gt;"&amp;$A250,実績!$AK$6:$AK$505,"○")&gt;0,1,0))</f>
        <v>0</v>
      </c>
      <c r="DO250" s="39" t="n">
        <f aca="false">IF(DO$4=0,0,IF(COUNTIFS(実績!$W$6:$W$505,DO$3,実績!$AI$6:$AI$505,"&lt;="&amp;$A250,実績!$AJ$6:$AJ$505,"&gt;"&amp;$A250,実績!$AK$6:$AK$505,"○")&gt;0,1,0))</f>
        <v>0</v>
      </c>
      <c r="DP250" s="39" t="n">
        <f aca="false">IF(DP$4=0,0,IF(COUNTIFS(実績!$W$6:$W$505,DP$3,実績!$AI$6:$AI$505,"&lt;="&amp;$A250,実績!$AJ$6:$AJ$505,"&gt;"&amp;$A250,実績!$AK$6:$AK$505,"○")&gt;0,1,0))</f>
        <v>0</v>
      </c>
      <c r="DQ250" s="39" t="n">
        <f aca="false">IF(DQ$4=0,0,IF(COUNTIFS(実績!$W$6:$W$505,DQ$3,実績!$AI$6:$AI$505,"&lt;="&amp;$A250,実績!$AJ$6:$AJ$505,"&gt;"&amp;$A250,実績!$AK$6:$AK$505,"○")&gt;0,1,0))</f>
        <v>0</v>
      </c>
      <c r="DR250" s="39" t="n">
        <f aca="false">IF(DR$4=0,0,IF(COUNTIFS(実績!$W$6:$W$505,DR$3,実績!$AI$6:$AI$505,"&lt;="&amp;$A250,実績!$AJ$6:$AJ$505,"&gt;"&amp;$A250,実績!$AK$6:$AK$505,"○")&gt;0,1,0))</f>
        <v>0</v>
      </c>
      <c r="DS250" s="39" t="n">
        <f aca="false">SUM(C250:DR250)</f>
        <v>0</v>
      </c>
      <c r="DT250" s="39" t="n">
        <f aca="false">SUMPRODUCT((実績!$C$6:$C$505="○")*ISNUMBER(実績!$AM$6:$AM$505)*(実績!$AM$6:$AM$505&lt;=$A250)*(実績!$AN$6:$AN$505&gt;$A250))</f>
        <v>0</v>
      </c>
      <c r="DU250" s="39" t="n">
        <f aca="false">SUMIF($C$2:$DR$2,"製鉄曳船",C250:DR250)</f>
        <v>0</v>
      </c>
      <c r="DV250" s="39" t="n">
        <f aca="false">SUMIF($C$2:$DR$2,"西日本海運",C250:DR250)</f>
        <v>0</v>
      </c>
    </row>
    <row r="251" customFormat="false" ht="15" hidden="false" customHeight="false" outlineLevel="0" collapsed="false">
      <c r="A251" s="0" t="n">
        <v>1225</v>
      </c>
      <c r="B251" s="38" t="n">
        <f aca="false">A251/1440</f>
        <v>0.850694444444444</v>
      </c>
      <c r="C251" s="39" t="n">
        <f aca="false">IF(C$4=0,0,IF(COUNTIFS(実績!$W$6:$W$505,C$3,実績!$AI$6:$AI$505,"&lt;="&amp;$A251,実績!$AJ$6:$AJ$505,"&gt;"&amp;$A251,実績!$AK$6:$AK$505,"○")&gt;0,1,0))</f>
        <v>0</v>
      </c>
      <c r="D251" s="39" t="n">
        <f aca="false">IF(D$4=0,0,IF(COUNTIFS(実績!$W$6:$W$505,D$3,実績!$AI$6:$AI$505,"&lt;="&amp;$A251,実績!$AJ$6:$AJ$505,"&gt;"&amp;$A251,実績!$AK$6:$AK$505,"○")&gt;0,1,0))</f>
        <v>0</v>
      </c>
      <c r="E251" s="39" t="n">
        <f aca="false">IF(E$4=0,0,IF(COUNTIFS(実績!$W$6:$W$505,E$3,実績!$AI$6:$AI$505,"&lt;="&amp;$A251,実績!$AJ$6:$AJ$505,"&gt;"&amp;$A251,実績!$AK$6:$AK$505,"○")&gt;0,1,0))</f>
        <v>0</v>
      </c>
      <c r="F251" s="39" t="n">
        <f aca="false">IF(F$4=0,0,IF(COUNTIFS(実績!$W$6:$W$505,F$3,実績!$AI$6:$AI$505,"&lt;="&amp;$A251,実績!$AJ$6:$AJ$505,"&gt;"&amp;$A251,実績!$AK$6:$AK$505,"○")&gt;0,1,0))</f>
        <v>0</v>
      </c>
      <c r="G251" s="39" t="n">
        <f aca="false">IF(G$4=0,0,IF(COUNTIFS(実績!$W$6:$W$505,G$3,実績!$AI$6:$AI$505,"&lt;="&amp;$A251,実績!$AJ$6:$AJ$505,"&gt;"&amp;$A251,実績!$AK$6:$AK$505,"○")&gt;0,1,0))</f>
        <v>0</v>
      </c>
      <c r="H251" s="39" t="n">
        <f aca="false">IF(H$4=0,0,IF(COUNTIFS(実績!$W$6:$W$505,H$3,実績!$AI$6:$AI$505,"&lt;="&amp;$A251,実績!$AJ$6:$AJ$505,"&gt;"&amp;$A251,実績!$AK$6:$AK$505,"○")&gt;0,1,0))</f>
        <v>0</v>
      </c>
      <c r="I251" s="39" t="n">
        <f aca="false">IF(I$4=0,0,IF(COUNTIFS(実績!$W$6:$W$505,I$3,実績!$AI$6:$AI$505,"&lt;="&amp;$A251,実績!$AJ$6:$AJ$505,"&gt;"&amp;$A251,実績!$AK$6:$AK$505,"○")&gt;0,1,0))</f>
        <v>0</v>
      </c>
      <c r="J251" s="39" t="n">
        <f aca="false">IF(J$4=0,0,IF(COUNTIFS(実績!$W$6:$W$505,J$3,実績!$AI$6:$AI$505,"&lt;="&amp;$A251,実績!$AJ$6:$AJ$505,"&gt;"&amp;$A251,実績!$AK$6:$AK$505,"○")&gt;0,1,0))</f>
        <v>0</v>
      </c>
      <c r="K251" s="39" t="n">
        <f aca="false">IF(K$4=0,0,IF(COUNTIFS(実績!$W$6:$W$505,K$3,実績!$AI$6:$AI$505,"&lt;="&amp;$A251,実績!$AJ$6:$AJ$505,"&gt;"&amp;$A251,実績!$AK$6:$AK$505,"○")&gt;0,1,0))</f>
        <v>0</v>
      </c>
      <c r="L251" s="39" t="n">
        <f aca="false">IF(L$4=0,0,IF(COUNTIFS(実績!$W$6:$W$505,L$3,実績!$AI$6:$AI$505,"&lt;="&amp;$A251,実績!$AJ$6:$AJ$505,"&gt;"&amp;$A251,実績!$AK$6:$AK$505,"○")&gt;0,1,0))</f>
        <v>0</v>
      </c>
      <c r="M251" s="39" t="n">
        <f aca="false">IF(M$4=0,0,IF(COUNTIFS(実績!$W$6:$W$505,M$3,実績!$AI$6:$AI$505,"&lt;="&amp;$A251,実績!$AJ$6:$AJ$505,"&gt;"&amp;$A251,実績!$AK$6:$AK$505,"○")&gt;0,1,0))</f>
        <v>0</v>
      </c>
      <c r="N251" s="39" t="n">
        <f aca="false">IF(N$4=0,0,IF(COUNTIFS(実績!$W$6:$W$505,N$3,実績!$AI$6:$AI$505,"&lt;="&amp;$A251,実績!$AJ$6:$AJ$505,"&gt;"&amp;$A251,実績!$AK$6:$AK$505,"○")&gt;0,1,0))</f>
        <v>0</v>
      </c>
      <c r="O251" s="39" t="n">
        <f aca="false">IF(O$4=0,0,IF(COUNTIFS(実績!$W$6:$W$505,O$3,実績!$AI$6:$AI$505,"&lt;="&amp;$A251,実績!$AJ$6:$AJ$505,"&gt;"&amp;$A251,実績!$AK$6:$AK$505,"○")&gt;0,1,0))</f>
        <v>0</v>
      </c>
      <c r="P251" s="39" t="n">
        <f aca="false">IF(P$4=0,0,IF(COUNTIFS(実績!$W$6:$W$505,P$3,実績!$AI$6:$AI$505,"&lt;="&amp;$A251,実績!$AJ$6:$AJ$505,"&gt;"&amp;$A251,実績!$AK$6:$AK$505,"○")&gt;0,1,0))</f>
        <v>0</v>
      </c>
      <c r="Q251" s="39" t="n">
        <f aca="false">IF(Q$4=0,0,IF(COUNTIFS(実績!$W$6:$W$505,Q$3,実績!$AI$6:$AI$505,"&lt;="&amp;$A251,実績!$AJ$6:$AJ$505,"&gt;"&amp;$A251,実績!$AK$6:$AK$505,"○")&gt;0,1,0))</f>
        <v>0</v>
      </c>
      <c r="R251" s="39" t="n">
        <f aca="false">IF(R$4=0,0,IF(COUNTIFS(実績!$W$6:$W$505,R$3,実績!$AI$6:$AI$505,"&lt;="&amp;$A251,実績!$AJ$6:$AJ$505,"&gt;"&amp;$A251,実績!$AK$6:$AK$505,"○")&gt;0,1,0))</f>
        <v>0</v>
      </c>
      <c r="S251" s="39" t="n">
        <f aca="false">IF(S$4=0,0,IF(COUNTIFS(実績!$W$6:$W$505,S$3,実績!$AI$6:$AI$505,"&lt;="&amp;$A251,実績!$AJ$6:$AJ$505,"&gt;"&amp;$A251,実績!$AK$6:$AK$505,"○")&gt;0,1,0))</f>
        <v>0</v>
      </c>
      <c r="T251" s="39" t="n">
        <f aca="false">IF(T$4=0,0,IF(COUNTIFS(実績!$W$6:$W$505,T$3,実績!$AI$6:$AI$505,"&lt;="&amp;$A251,実績!$AJ$6:$AJ$505,"&gt;"&amp;$A251,実績!$AK$6:$AK$505,"○")&gt;0,1,0))</f>
        <v>0</v>
      </c>
      <c r="U251" s="39" t="n">
        <f aca="false">IF(U$4=0,0,IF(COUNTIFS(実績!$W$6:$W$505,U$3,実績!$AI$6:$AI$505,"&lt;="&amp;$A251,実績!$AJ$6:$AJ$505,"&gt;"&amp;$A251,実績!$AK$6:$AK$505,"○")&gt;0,1,0))</f>
        <v>0</v>
      </c>
      <c r="V251" s="39" t="n">
        <f aca="false">IF(V$4=0,0,IF(COUNTIFS(実績!$W$6:$W$505,V$3,実績!$AI$6:$AI$505,"&lt;="&amp;$A251,実績!$AJ$6:$AJ$505,"&gt;"&amp;$A251,実績!$AK$6:$AK$505,"○")&gt;0,1,0))</f>
        <v>0</v>
      </c>
      <c r="W251" s="39" t="n">
        <f aca="false">IF(W$4=0,0,IF(COUNTIFS(実績!$W$6:$W$505,W$3,実績!$AI$6:$AI$505,"&lt;="&amp;$A251,実績!$AJ$6:$AJ$505,"&gt;"&amp;$A251,実績!$AK$6:$AK$505,"○")&gt;0,1,0))</f>
        <v>0</v>
      </c>
      <c r="X251" s="39" t="n">
        <f aca="false">IF(X$4=0,0,IF(COUNTIFS(実績!$W$6:$W$505,X$3,実績!$AI$6:$AI$505,"&lt;="&amp;$A251,実績!$AJ$6:$AJ$505,"&gt;"&amp;$A251,実績!$AK$6:$AK$505,"○")&gt;0,1,0))</f>
        <v>0</v>
      </c>
      <c r="Y251" s="39" t="n">
        <f aca="false">IF(Y$4=0,0,IF(COUNTIFS(実績!$W$6:$W$505,Y$3,実績!$AI$6:$AI$505,"&lt;="&amp;$A251,実績!$AJ$6:$AJ$505,"&gt;"&amp;$A251,実績!$AK$6:$AK$505,"○")&gt;0,1,0))</f>
        <v>0</v>
      </c>
      <c r="Z251" s="39" t="n">
        <f aca="false">IF(Z$4=0,0,IF(COUNTIFS(実績!$W$6:$W$505,Z$3,実績!$AI$6:$AI$505,"&lt;="&amp;$A251,実績!$AJ$6:$AJ$505,"&gt;"&amp;$A251,実績!$AK$6:$AK$505,"○")&gt;0,1,0))</f>
        <v>0</v>
      </c>
      <c r="AA251" s="39" t="n">
        <f aca="false">IF(AA$4=0,0,IF(COUNTIFS(実績!$W$6:$W$505,AA$3,実績!$AI$6:$AI$505,"&lt;="&amp;$A251,実績!$AJ$6:$AJ$505,"&gt;"&amp;$A251,実績!$AK$6:$AK$505,"○")&gt;0,1,0))</f>
        <v>0</v>
      </c>
      <c r="AB251" s="39" t="n">
        <f aca="false">IF(AB$4=0,0,IF(COUNTIFS(実績!$W$6:$W$505,AB$3,実績!$AI$6:$AI$505,"&lt;="&amp;$A251,実績!$AJ$6:$AJ$505,"&gt;"&amp;$A251,実績!$AK$6:$AK$505,"○")&gt;0,1,0))</f>
        <v>0</v>
      </c>
      <c r="AC251" s="39" t="n">
        <f aca="false">IF(AC$4=0,0,IF(COUNTIFS(実績!$W$6:$W$505,AC$3,実績!$AI$6:$AI$505,"&lt;="&amp;$A251,実績!$AJ$6:$AJ$505,"&gt;"&amp;$A251,実績!$AK$6:$AK$505,"○")&gt;0,1,0))</f>
        <v>0</v>
      </c>
      <c r="AD251" s="39" t="n">
        <f aca="false">IF(AD$4=0,0,IF(COUNTIFS(実績!$W$6:$W$505,AD$3,実績!$AI$6:$AI$505,"&lt;="&amp;$A251,実績!$AJ$6:$AJ$505,"&gt;"&amp;$A251,実績!$AK$6:$AK$505,"○")&gt;0,1,0))</f>
        <v>0</v>
      </c>
      <c r="AE251" s="39" t="n">
        <f aca="false">IF(AE$4=0,0,IF(COUNTIFS(実績!$W$6:$W$505,AE$3,実績!$AI$6:$AI$505,"&lt;="&amp;$A251,実績!$AJ$6:$AJ$505,"&gt;"&amp;$A251,実績!$AK$6:$AK$505,"○")&gt;0,1,0))</f>
        <v>0</v>
      </c>
      <c r="AF251" s="39" t="n">
        <f aca="false">IF(AF$4=0,0,IF(COUNTIFS(実績!$W$6:$W$505,AF$3,実績!$AI$6:$AI$505,"&lt;="&amp;$A251,実績!$AJ$6:$AJ$505,"&gt;"&amp;$A251,実績!$AK$6:$AK$505,"○")&gt;0,1,0))</f>
        <v>0</v>
      </c>
      <c r="AG251" s="39" t="n">
        <f aca="false">IF(AG$4=0,0,IF(COUNTIFS(実績!$W$6:$W$505,AG$3,実績!$AI$6:$AI$505,"&lt;="&amp;$A251,実績!$AJ$6:$AJ$505,"&gt;"&amp;$A251,実績!$AK$6:$AK$505,"○")&gt;0,1,0))</f>
        <v>0</v>
      </c>
      <c r="AH251" s="39" t="n">
        <f aca="false">IF(AH$4=0,0,IF(COUNTIFS(実績!$W$6:$W$505,AH$3,実績!$AI$6:$AI$505,"&lt;="&amp;$A251,実績!$AJ$6:$AJ$505,"&gt;"&amp;$A251,実績!$AK$6:$AK$505,"○")&gt;0,1,0))</f>
        <v>0</v>
      </c>
      <c r="AI251" s="39" t="n">
        <f aca="false">IF(AI$4=0,0,IF(COUNTIFS(実績!$W$6:$W$505,AI$3,実績!$AI$6:$AI$505,"&lt;="&amp;$A251,実績!$AJ$6:$AJ$505,"&gt;"&amp;$A251,実績!$AK$6:$AK$505,"○")&gt;0,1,0))</f>
        <v>0</v>
      </c>
      <c r="AJ251" s="39" t="n">
        <f aca="false">IF(AJ$4=0,0,IF(COUNTIFS(実績!$W$6:$W$505,AJ$3,実績!$AI$6:$AI$505,"&lt;="&amp;$A251,実績!$AJ$6:$AJ$505,"&gt;"&amp;$A251,実績!$AK$6:$AK$505,"○")&gt;0,1,0))</f>
        <v>0</v>
      </c>
      <c r="AK251" s="39" t="n">
        <f aca="false">IF(AK$4=0,0,IF(COUNTIFS(実績!$W$6:$W$505,AK$3,実績!$AI$6:$AI$505,"&lt;="&amp;$A251,実績!$AJ$6:$AJ$505,"&gt;"&amp;$A251,実績!$AK$6:$AK$505,"○")&gt;0,1,0))</f>
        <v>0</v>
      </c>
      <c r="AL251" s="39" t="n">
        <f aca="false">IF(AL$4=0,0,IF(COUNTIFS(実績!$W$6:$W$505,AL$3,実績!$AI$6:$AI$505,"&lt;="&amp;$A251,実績!$AJ$6:$AJ$505,"&gt;"&amp;$A251,実績!$AK$6:$AK$505,"○")&gt;0,1,0))</f>
        <v>0</v>
      </c>
      <c r="AM251" s="39" t="n">
        <f aca="false">IF(AM$4=0,0,IF(COUNTIFS(実績!$W$6:$W$505,AM$3,実績!$AI$6:$AI$505,"&lt;="&amp;$A251,実績!$AJ$6:$AJ$505,"&gt;"&amp;$A251,実績!$AK$6:$AK$505,"○")&gt;0,1,0))</f>
        <v>0</v>
      </c>
      <c r="AN251" s="39" t="n">
        <f aca="false">IF(AN$4=0,0,IF(COUNTIFS(実績!$W$6:$W$505,AN$3,実績!$AI$6:$AI$505,"&lt;="&amp;$A251,実績!$AJ$6:$AJ$505,"&gt;"&amp;$A251,実績!$AK$6:$AK$505,"○")&gt;0,1,0))</f>
        <v>0</v>
      </c>
      <c r="AO251" s="39" t="n">
        <f aca="false">IF(AO$4=0,0,IF(COUNTIFS(実績!$W$6:$W$505,AO$3,実績!$AI$6:$AI$505,"&lt;="&amp;$A251,実績!$AJ$6:$AJ$505,"&gt;"&amp;$A251,実績!$AK$6:$AK$505,"○")&gt;0,1,0))</f>
        <v>0</v>
      </c>
      <c r="AP251" s="39" t="n">
        <f aca="false">IF(AP$4=0,0,IF(COUNTIFS(実績!$W$6:$W$505,AP$3,実績!$AI$6:$AI$505,"&lt;="&amp;$A251,実績!$AJ$6:$AJ$505,"&gt;"&amp;$A251,実績!$AK$6:$AK$505,"○")&gt;0,1,0))</f>
        <v>0</v>
      </c>
      <c r="AQ251" s="39" t="n">
        <f aca="false">IF(AQ$4=0,0,IF(COUNTIFS(実績!$W$6:$W$505,AQ$3,実績!$AI$6:$AI$505,"&lt;="&amp;$A251,実績!$AJ$6:$AJ$505,"&gt;"&amp;$A251,実績!$AK$6:$AK$505,"○")&gt;0,1,0))</f>
        <v>0</v>
      </c>
      <c r="AR251" s="39" t="n">
        <f aca="false">IF(AR$4=0,0,IF(COUNTIFS(実績!$W$6:$W$505,AR$3,実績!$AI$6:$AI$505,"&lt;="&amp;$A251,実績!$AJ$6:$AJ$505,"&gt;"&amp;$A251,実績!$AK$6:$AK$505,"○")&gt;0,1,0))</f>
        <v>0</v>
      </c>
      <c r="AS251" s="39" t="n">
        <f aca="false">IF(AS$4=0,0,IF(COUNTIFS(実績!$W$6:$W$505,AS$3,実績!$AI$6:$AI$505,"&lt;="&amp;$A251,実績!$AJ$6:$AJ$505,"&gt;"&amp;$A251,実績!$AK$6:$AK$505,"○")&gt;0,1,0))</f>
        <v>0</v>
      </c>
      <c r="AT251" s="39" t="n">
        <f aca="false">IF(AT$4=0,0,IF(COUNTIFS(実績!$W$6:$W$505,AT$3,実績!$AI$6:$AI$505,"&lt;="&amp;$A251,実績!$AJ$6:$AJ$505,"&gt;"&amp;$A251,実績!$AK$6:$AK$505,"○")&gt;0,1,0))</f>
        <v>0</v>
      </c>
      <c r="AU251" s="39" t="n">
        <f aca="false">IF(AU$4=0,0,IF(COUNTIFS(実績!$W$6:$W$505,AU$3,実績!$AI$6:$AI$505,"&lt;="&amp;$A251,実績!$AJ$6:$AJ$505,"&gt;"&amp;$A251,実績!$AK$6:$AK$505,"○")&gt;0,1,0))</f>
        <v>0</v>
      </c>
      <c r="AV251" s="39" t="n">
        <f aca="false">IF(AV$4=0,0,IF(COUNTIFS(実績!$W$6:$W$505,AV$3,実績!$AI$6:$AI$505,"&lt;="&amp;$A251,実績!$AJ$6:$AJ$505,"&gt;"&amp;$A251,実績!$AK$6:$AK$505,"○")&gt;0,1,0))</f>
        <v>0</v>
      </c>
      <c r="AW251" s="39" t="n">
        <f aca="false">IF(AW$4=0,0,IF(COUNTIFS(実績!$W$6:$W$505,AW$3,実績!$AI$6:$AI$505,"&lt;="&amp;$A251,実績!$AJ$6:$AJ$505,"&gt;"&amp;$A251,実績!$AK$6:$AK$505,"○")&gt;0,1,0))</f>
        <v>0</v>
      </c>
      <c r="AX251" s="39" t="n">
        <f aca="false">IF(AX$4=0,0,IF(COUNTIFS(実績!$W$6:$W$505,AX$3,実績!$AI$6:$AI$505,"&lt;="&amp;$A251,実績!$AJ$6:$AJ$505,"&gt;"&amp;$A251,実績!$AK$6:$AK$505,"○")&gt;0,1,0))</f>
        <v>0</v>
      </c>
      <c r="AY251" s="39" t="n">
        <f aca="false">IF(AY$4=0,0,IF(COUNTIFS(実績!$W$6:$W$505,AY$3,実績!$AI$6:$AI$505,"&lt;="&amp;$A251,実績!$AJ$6:$AJ$505,"&gt;"&amp;$A251,実績!$AK$6:$AK$505,"○")&gt;0,1,0))</f>
        <v>0</v>
      </c>
      <c r="AZ251" s="39" t="n">
        <f aca="false">IF(AZ$4=0,0,IF(COUNTIFS(実績!$W$6:$W$505,AZ$3,実績!$AI$6:$AI$505,"&lt;="&amp;$A251,実績!$AJ$6:$AJ$505,"&gt;"&amp;$A251,実績!$AK$6:$AK$505,"○")&gt;0,1,0))</f>
        <v>0</v>
      </c>
      <c r="BA251" s="39" t="n">
        <f aca="false">IF(BA$4=0,0,IF(COUNTIFS(実績!$W$6:$W$505,BA$3,実績!$AI$6:$AI$505,"&lt;="&amp;$A251,実績!$AJ$6:$AJ$505,"&gt;"&amp;$A251,実績!$AK$6:$AK$505,"○")&gt;0,1,0))</f>
        <v>0</v>
      </c>
      <c r="BB251" s="39" t="n">
        <f aca="false">IF(BB$4=0,0,IF(COUNTIFS(実績!$W$6:$W$505,BB$3,実績!$AI$6:$AI$505,"&lt;="&amp;$A251,実績!$AJ$6:$AJ$505,"&gt;"&amp;$A251,実績!$AK$6:$AK$505,"○")&gt;0,1,0))</f>
        <v>0</v>
      </c>
      <c r="BC251" s="39" t="n">
        <f aca="false">IF(BC$4=0,0,IF(COUNTIFS(実績!$W$6:$W$505,BC$3,実績!$AI$6:$AI$505,"&lt;="&amp;$A251,実績!$AJ$6:$AJ$505,"&gt;"&amp;$A251,実績!$AK$6:$AK$505,"○")&gt;0,1,0))</f>
        <v>0</v>
      </c>
      <c r="BD251" s="39" t="n">
        <f aca="false">IF(BD$4=0,0,IF(COUNTIFS(実績!$W$6:$W$505,BD$3,実績!$AI$6:$AI$505,"&lt;="&amp;$A251,実績!$AJ$6:$AJ$505,"&gt;"&amp;$A251,実績!$AK$6:$AK$505,"○")&gt;0,1,0))</f>
        <v>0</v>
      </c>
      <c r="BE251" s="39" t="n">
        <f aca="false">IF(BE$4=0,0,IF(COUNTIFS(実績!$W$6:$W$505,BE$3,実績!$AI$6:$AI$505,"&lt;="&amp;$A251,実績!$AJ$6:$AJ$505,"&gt;"&amp;$A251,実績!$AK$6:$AK$505,"○")&gt;0,1,0))</f>
        <v>0</v>
      </c>
      <c r="BF251" s="39" t="n">
        <f aca="false">IF(BF$4=0,0,IF(COUNTIFS(実績!$W$6:$W$505,BF$3,実績!$AI$6:$AI$505,"&lt;="&amp;$A251,実績!$AJ$6:$AJ$505,"&gt;"&amp;$A251,実績!$AK$6:$AK$505,"○")&gt;0,1,0))</f>
        <v>0</v>
      </c>
      <c r="BG251" s="39" t="n">
        <f aca="false">IF(BG$4=0,0,IF(COUNTIFS(実績!$W$6:$W$505,BG$3,実績!$AI$6:$AI$505,"&lt;="&amp;$A251,実績!$AJ$6:$AJ$505,"&gt;"&amp;$A251,実績!$AK$6:$AK$505,"○")&gt;0,1,0))</f>
        <v>0</v>
      </c>
      <c r="BH251" s="39" t="n">
        <f aca="false">IF(BH$4=0,0,IF(COUNTIFS(実績!$W$6:$W$505,BH$3,実績!$AI$6:$AI$505,"&lt;="&amp;$A251,実績!$AJ$6:$AJ$505,"&gt;"&amp;$A251,実績!$AK$6:$AK$505,"○")&gt;0,1,0))</f>
        <v>0</v>
      </c>
      <c r="BI251" s="39" t="n">
        <f aca="false">IF(BI$4=0,0,IF(COUNTIFS(実績!$W$6:$W$505,BI$3,実績!$AI$6:$AI$505,"&lt;="&amp;$A251,実績!$AJ$6:$AJ$505,"&gt;"&amp;$A251,実績!$AK$6:$AK$505,"○")&gt;0,1,0))</f>
        <v>0</v>
      </c>
      <c r="BJ251" s="39" t="n">
        <f aca="false">IF(BJ$4=0,0,IF(COUNTIFS(実績!$W$6:$W$505,BJ$3,実績!$AI$6:$AI$505,"&lt;="&amp;$A251,実績!$AJ$6:$AJ$505,"&gt;"&amp;$A251,実績!$AK$6:$AK$505,"○")&gt;0,1,0))</f>
        <v>0</v>
      </c>
      <c r="BK251" s="39" t="n">
        <f aca="false">IF(BK$4=0,0,IF(COUNTIFS(実績!$W$6:$W$505,BK$3,実績!$AI$6:$AI$505,"&lt;="&amp;$A251,実績!$AJ$6:$AJ$505,"&gt;"&amp;$A251,実績!$AK$6:$AK$505,"○")&gt;0,1,0))</f>
        <v>0</v>
      </c>
      <c r="BL251" s="39" t="n">
        <f aca="false">IF(BL$4=0,0,IF(COUNTIFS(実績!$W$6:$W$505,BL$3,実績!$AI$6:$AI$505,"&lt;="&amp;$A251,実績!$AJ$6:$AJ$505,"&gt;"&amp;$A251,実績!$AK$6:$AK$505,"○")&gt;0,1,0))</f>
        <v>0</v>
      </c>
      <c r="BM251" s="39" t="n">
        <f aca="false">IF(BM$4=0,0,IF(COUNTIFS(実績!$W$6:$W$505,BM$3,実績!$AI$6:$AI$505,"&lt;="&amp;$A251,実績!$AJ$6:$AJ$505,"&gt;"&amp;$A251,実績!$AK$6:$AK$505,"○")&gt;0,1,0))</f>
        <v>0</v>
      </c>
      <c r="BN251" s="39" t="n">
        <f aca="false">IF(BN$4=0,0,IF(COUNTIFS(実績!$W$6:$W$505,BN$3,実績!$AI$6:$AI$505,"&lt;="&amp;$A251,実績!$AJ$6:$AJ$505,"&gt;"&amp;$A251,実績!$AK$6:$AK$505,"○")&gt;0,1,0))</f>
        <v>0</v>
      </c>
      <c r="BO251" s="39" t="n">
        <f aca="false">IF(BO$4=0,0,IF(COUNTIFS(実績!$W$6:$W$505,BO$3,実績!$AI$6:$AI$505,"&lt;="&amp;$A251,実績!$AJ$6:$AJ$505,"&gt;"&amp;$A251,実績!$AK$6:$AK$505,"○")&gt;0,1,0))</f>
        <v>0</v>
      </c>
      <c r="BP251" s="39" t="n">
        <f aca="false">IF(BP$4=0,0,IF(COUNTIFS(実績!$W$6:$W$505,BP$3,実績!$AI$6:$AI$505,"&lt;="&amp;$A251,実績!$AJ$6:$AJ$505,"&gt;"&amp;$A251,実績!$AK$6:$AK$505,"○")&gt;0,1,0))</f>
        <v>0</v>
      </c>
      <c r="BQ251" s="39" t="n">
        <f aca="false">IF(BQ$4=0,0,IF(COUNTIFS(実績!$W$6:$W$505,BQ$3,実績!$AI$6:$AI$505,"&lt;="&amp;$A251,実績!$AJ$6:$AJ$505,"&gt;"&amp;$A251,実績!$AK$6:$AK$505,"○")&gt;0,1,0))</f>
        <v>0</v>
      </c>
      <c r="BR251" s="39" t="n">
        <f aca="false">IF(BR$4=0,0,IF(COUNTIFS(実績!$W$6:$W$505,BR$3,実績!$AI$6:$AI$505,"&lt;="&amp;$A251,実績!$AJ$6:$AJ$505,"&gt;"&amp;$A251,実績!$AK$6:$AK$505,"○")&gt;0,1,0))</f>
        <v>0</v>
      </c>
      <c r="BS251" s="39" t="n">
        <f aca="false">IF(BS$4=0,0,IF(COUNTIFS(実績!$W$6:$W$505,BS$3,実績!$AI$6:$AI$505,"&lt;="&amp;$A251,実績!$AJ$6:$AJ$505,"&gt;"&amp;$A251,実績!$AK$6:$AK$505,"○")&gt;0,1,0))</f>
        <v>0</v>
      </c>
      <c r="BT251" s="39" t="n">
        <f aca="false">IF(BT$4=0,0,IF(COUNTIFS(実績!$W$6:$W$505,BT$3,実績!$AI$6:$AI$505,"&lt;="&amp;$A251,実績!$AJ$6:$AJ$505,"&gt;"&amp;$A251,実績!$AK$6:$AK$505,"○")&gt;0,1,0))</f>
        <v>0</v>
      </c>
      <c r="BU251" s="39" t="n">
        <f aca="false">IF(BU$4=0,0,IF(COUNTIFS(実績!$W$6:$W$505,BU$3,実績!$AI$6:$AI$505,"&lt;="&amp;$A251,実績!$AJ$6:$AJ$505,"&gt;"&amp;$A251,実績!$AK$6:$AK$505,"○")&gt;0,1,0))</f>
        <v>0</v>
      </c>
      <c r="BV251" s="39" t="n">
        <f aca="false">IF(BV$4=0,0,IF(COUNTIFS(実績!$W$6:$W$505,BV$3,実績!$AI$6:$AI$505,"&lt;="&amp;$A251,実績!$AJ$6:$AJ$505,"&gt;"&amp;$A251,実績!$AK$6:$AK$505,"○")&gt;0,1,0))</f>
        <v>0</v>
      </c>
      <c r="BW251" s="39" t="n">
        <f aca="false">IF(BW$4=0,0,IF(COUNTIFS(実績!$W$6:$W$505,BW$3,実績!$AI$6:$AI$505,"&lt;="&amp;$A251,実績!$AJ$6:$AJ$505,"&gt;"&amp;$A251,実績!$AK$6:$AK$505,"○")&gt;0,1,0))</f>
        <v>0</v>
      </c>
      <c r="BX251" s="39" t="n">
        <f aca="false">IF(BX$4=0,0,IF(COUNTIFS(実績!$W$6:$W$505,BX$3,実績!$AI$6:$AI$505,"&lt;="&amp;$A251,実績!$AJ$6:$AJ$505,"&gt;"&amp;$A251,実績!$AK$6:$AK$505,"○")&gt;0,1,0))</f>
        <v>0</v>
      </c>
      <c r="BY251" s="39" t="n">
        <f aca="false">IF(BY$4=0,0,IF(COUNTIFS(実績!$W$6:$W$505,BY$3,実績!$AI$6:$AI$505,"&lt;="&amp;$A251,実績!$AJ$6:$AJ$505,"&gt;"&amp;$A251,実績!$AK$6:$AK$505,"○")&gt;0,1,0))</f>
        <v>0</v>
      </c>
      <c r="BZ251" s="39" t="n">
        <f aca="false">IF(BZ$4=0,0,IF(COUNTIFS(実績!$W$6:$W$505,BZ$3,実績!$AI$6:$AI$505,"&lt;="&amp;$A251,実績!$AJ$6:$AJ$505,"&gt;"&amp;$A251,実績!$AK$6:$AK$505,"○")&gt;0,1,0))</f>
        <v>0</v>
      </c>
      <c r="CA251" s="39" t="n">
        <f aca="false">IF(CA$4=0,0,IF(COUNTIFS(実績!$W$6:$W$505,CA$3,実績!$AI$6:$AI$505,"&lt;="&amp;$A251,実績!$AJ$6:$AJ$505,"&gt;"&amp;$A251,実績!$AK$6:$AK$505,"○")&gt;0,1,0))</f>
        <v>0</v>
      </c>
      <c r="CB251" s="39" t="n">
        <f aca="false">IF(CB$4=0,0,IF(COUNTIFS(実績!$W$6:$W$505,CB$3,実績!$AI$6:$AI$505,"&lt;="&amp;$A251,実績!$AJ$6:$AJ$505,"&gt;"&amp;$A251,実績!$AK$6:$AK$505,"○")&gt;0,1,0))</f>
        <v>0</v>
      </c>
      <c r="CC251" s="39" t="n">
        <f aca="false">IF(CC$4=0,0,IF(COUNTIFS(実績!$W$6:$W$505,CC$3,実績!$AI$6:$AI$505,"&lt;="&amp;$A251,実績!$AJ$6:$AJ$505,"&gt;"&amp;$A251,実績!$AK$6:$AK$505,"○")&gt;0,1,0))</f>
        <v>0</v>
      </c>
      <c r="CD251" s="39" t="n">
        <f aca="false">IF(CD$4=0,0,IF(COUNTIFS(実績!$W$6:$W$505,CD$3,実績!$AI$6:$AI$505,"&lt;="&amp;$A251,実績!$AJ$6:$AJ$505,"&gt;"&amp;$A251,実績!$AK$6:$AK$505,"○")&gt;0,1,0))</f>
        <v>0</v>
      </c>
      <c r="CE251" s="39" t="n">
        <f aca="false">IF(CE$4=0,0,IF(COUNTIFS(実績!$W$6:$W$505,CE$3,実績!$AI$6:$AI$505,"&lt;="&amp;$A251,実績!$AJ$6:$AJ$505,"&gt;"&amp;$A251,実績!$AK$6:$AK$505,"○")&gt;0,1,0))</f>
        <v>0</v>
      </c>
      <c r="CF251" s="39" t="n">
        <f aca="false">IF(CF$4=0,0,IF(COUNTIFS(実績!$W$6:$W$505,CF$3,実績!$AI$6:$AI$505,"&lt;="&amp;$A251,実績!$AJ$6:$AJ$505,"&gt;"&amp;$A251,実績!$AK$6:$AK$505,"○")&gt;0,1,0))</f>
        <v>0</v>
      </c>
      <c r="CG251" s="39" t="n">
        <f aca="false">IF(CG$4=0,0,IF(COUNTIFS(実績!$W$6:$W$505,CG$3,実績!$AI$6:$AI$505,"&lt;="&amp;$A251,実績!$AJ$6:$AJ$505,"&gt;"&amp;$A251,実績!$AK$6:$AK$505,"○")&gt;0,1,0))</f>
        <v>0</v>
      </c>
      <c r="CH251" s="39" t="n">
        <f aca="false">IF(CH$4=0,0,IF(COUNTIFS(実績!$W$6:$W$505,CH$3,実績!$AI$6:$AI$505,"&lt;="&amp;$A251,実績!$AJ$6:$AJ$505,"&gt;"&amp;$A251,実績!$AK$6:$AK$505,"○")&gt;0,1,0))</f>
        <v>0</v>
      </c>
      <c r="CI251" s="39" t="n">
        <f aca="false">IF(CI$4=0,0,IF(COUNTIFS(実績!$W$6:$W$505,CI$3,実績!$AI$6:$AI$505,"&lt;="&amp;$A251,実績!$AJ$6:$AJ$505,"&gt;"&amp;$A251,実績!$AK$6:$AK$505,"○")&gt;0,1,0))</f>
        <v>0</v>
      </c>
      <c r="CJ251" s="39" t="n">
        <f aca="false">IF(CJ$4=0,0,IF(COUNTIFS(実績!$W$6:$W$505,CJ$3,実績!$AI$6:$AI$505,"&lt;="&amp;$A251,実績!$AJ$6:$AJ$505,"&gt;"&amp;$A251,実績!$AK$6:$AK$505,"○")&gt;0,1,0))</f>
        <v>0</v>
      </c>
      <c r="CK251" s="39" t="n">
        <f aca="false">IF(CK$4=0,0,IF(COUNTIFS(実績!$W$6:$W$505,CK$3,実績!$AI$6:$AI$505,"&lt;="&amp;$A251,実績!$AJ$6:$AJ$505,"&gt;"&amp;$A251,実績!$AK$6:$AK$505,"○")&gt;0,1,0))</f>
        <v>0</v>
      </c>
      <c r="CL251" s="39" t="n">
        <f aca="false">IF(CL$4=0,0,IF(COUNTIFS(実績!$W$6:$W$505,CL$3,実績!$AI$6:$AI$505,"&lt;="&amp;$A251,実績!$AJ$6:$AJ$505,"&gt;"&amp;$A251,実績!$AK$6:$AK$505,"○")&gt;0,1,0))</f>
        <v>0</v>
      </c>
      <c r="CM251" s="39" t="n">
        <f aca="false">IF(CM$4=0,0,IF(COUNTIFS(実績!$W$6:$W$505,CM$3,実績!$AI$6:$AI$505,"&lt;="&amp;$A251,実績!$AJ$6:$AJ$505,"&gt;"&amp;$A251,実績!$AK$6:$AK$505,"○")&gt;0,1,0))</f>
        <v>0</v>
      </c>
      <c r="CN251" s="39" t="n">
        <f aca="false">IF(CN$4=0,0,IF(COUNTIFS(実績!$W$6:$W$505,CN$3,実績!$AI$6:$AI$505,"&lt;="&amp;$A251,実績!$AJ$6:$AJ$505,"&gt;"&amp;$A251,実績!$AK$6:$AK$505,"○")&gt;0,1,0))</f>
        <v>0</v>
      </c>
      <c r="CO251" s="39" t="n">
        <f aca="false">IF(CO$4=0,0,IF(COUNTIFS(実績!$W$6:$W$505,CO$3,実績!$AI$6:$AI$505,"&lt;="&amp;$A251,実績!$AJ$6:$AJ$505,"&gt;"&amp;$A251,実績!$AK$6:$AK$505,"○")&gt;0,1,0))</f>
        <v>0</v>
      </c>
      <c r="CP251" s="39" t="n">
        <f aca="false">IF(CP$4=0,0,IF(COUNTIFS(実績!$W$6:$W$505,CP$3,実績!$AI$6:$AI$505,"&lt;="&amp;$A251,実績!$AJ$6:$AJ$505,"&gt;"&amp;$A251,実績!$AK$6:$AK$505,"○")&gt;0,1,0))</f>
        <v>0</v>
      </c>
      <c r="CQ251" s="39" t="n">
        <f aca="false">IF(CQ$4=0,0,IF(COUNTIFS(実績!$W$6:$W$505,CQ$3,実績!$AI$6:$AI$505,"&lt;="&amp;$A251,実績!$AJ$6:$AJ$505,"&gt;"&amp;$A251,実績!$AK$6:$AK$505,"○")&gt;0,1,0))</f>
        <v>0</v>
      </c>
      <c r="CR251" s="39" t="n">
        <f aca="false">IF(CR$4=0,0,IF(COUNTIFS(実績!$W$6:$W$505,CR$3,実績!$AI$6:$AI$505,"&lt;="&amp;$A251,実績!$AJ$6:$AJ$505,"&gt;"&amp;$A251,実績!$AK$6:$AK$505,"○")&gt;0,1,0))</f>
        <v>0</v>
      </c>
      <c r="CS251" s="39" t="n">
        <f aca="false">IF(CS$4=0,0,IF(COUNTIFS(実績!$W$6:$W$505,CS$3,実績!$AI$6:$AI$505,"&lt;="&amp;$A251,実績!$AJ$6:$AJ$505,"&gt;"&amp;$A251,実績!$AK$6:$AK$505,"○")&gt;0,1,0))</f>
        <v>0</v>
      </c>
      <c r="CT251" s="39" t="n">
        <f aca="false">IF(CT$4=0,0,IF(COUNTIFS(実績!$W$6:$W$505,CT$3,実績!$AI$6:$AI$505,"&lt;="&amp;$A251,実績!$AJ$6:$AJ$505,"&gt;"&amp;$A251,実績!$AK$6:$AK$505,"○")&gt;0,1,0))</f>
        <v>0</v>
      </c>
      <c r="CU251" s="39" t="n">
        <f aca="false">IF(CU$4=0,0,IF(COUNTIFS(実績!$W$6:$W$505,CU$3,実績!$AI$6:$AI$505,"&lt;="&amp;$A251,実績!$AJ$6:$AJ$505,"&gt;"&amp;$A251,実績!$AK$6:$AK$505,"○")&gt;0,1,0))</f>
        <v>0</v>
      </c>
      <c r="CV251" s="39" t="n">
        <f aca="false">IF(CV$4=0,0,IF(COUNTIFS(実績!$W$6:$W$505,CV$3,実績!$AI$6:$AI$505,"&lt;="&amp;$A251,実績!$AJ$6:$AJ$505,"&gt;"&amp;$A251,実績!$AK$6:$AK$505,"○")&gt;0,1,0))</f>
        <v>0</v>
      </c>
      <c r="CW251" s="39" t="n">
        <f aca="false">IF(CW$4=0,0,IF(COUNTIFS(実績!$W$6:$W$505,CW$3,実績!$AI$6:$AI$505,"&lt;="&amp;$A251,実績!$AJ$6:$AJ$505,"&gt;"&amp;$A251,実績!$AK$6:$AK$505,"○")&gt;0,1,0))</f>
        <v>0</v>
      </c>
      <c r="CX251" s="39" t="n">
        <f aca="false">IF(CX$4=0,0,IF(COUNTIFS(実績!$W$6:$W$505,CX$3,実績!$AI$6:$AI$505,"&lt;="&amp;$A251,実績!$AJ$6:$AJ$505,"&gt;"&amp;$A251,実績!$AK$6:$AK$505,"○")&gt;0,1,0))</f>
        <v>0</v>
      </c>
      <c r="CY251" s="39" t="n">
        <f aca="false">IF(CY$4=0,0,IF(COUNTIFS(実績!$W$6:$W$505,CY$3,実績!$AI$6:$AI$505,"&lt;="&amp;$A251,実績!$AJ$6:$AJ$505,"&gt;"&amp;$A251,実績!$AK$6:$AK$505,"○")&gt;0,1,0))</f>
        <v>0</v>
      </c>
      <c r="CZ251" s="39" t="n">
        <f aca="false">IF(CZ$4=0,0,IF(COUNTIFS(実績!$W$6:$W$505,CZ$3,実績!$AI$6:$AI$505,"&lt;="&amp;$A251,実績!$AJ$6:$AJ$505,"&gt;"&amp;$A251,実績!$AK$6:$AK$505,"○")&gt;0,1,0))</f>
        <v>0</v>
      </c>
      <c r="DA251" s="39" t="n">
        <f aca="false">IF(DA$4=0,0,IF(COUNTIFS(実績!$W$6:$W$505,DA$3,実績!$AI$6:$AI$505,"&lt;="&amp;$A251,実績!$AJ$6:$AJ$505,"&gt;"&amp;$A251,実績!$AK$6:$AK$505,"○")&gt;0,1,0))</f>
        <v>0</v>
      </c>
      <c r="DB251" s="39" t="n">
        <f aca="false">IF(DB$4=0,0,IF(COUNTIFS(実績!$W$6:$W$505,DB$3,実績!$AI$6:$AI$505,"&lt;="&amp;$A251,実績!$AJ$6:$AJ$505,"&gt;"&amp;$A251,実績!$AK$6:$AK$505,"○")&gt;0,1,0))</f>
        <v>0</v>
      </c>
      <c r="DC251" s="39" t="n">
        <f aca="false">IF(DC$4=0,0,IF(COUNTIFS(実績!$W$6:$W$505,DC$3,実績!$AI$6:$AI$505,"&lt;="&amp;$A251,実績!$AJ$6:$AJ$505,"&gt;"&amp;$A251,実績!$AK$6:$AK$505,"○")&gt;0,1,0))</f>
        <v>0</v>
      </c>
      <c r="DD251" s="39" t="n">
        <f aca="false">IF(DD$4=0,0,IF(COUNTIFS(実績!$W$6:$W$505,DD$3,実績!$AI$6:$AI$505,"&lt;="&amp;$A251,実績!$AJ$6:$AJ$505,"&gt;"&amp;$A251,実績!$AK$6:$AK$505,"○")&gt;0,1,0))</f>
        <v>0</v>
      </c>
      <c r="DE251" s="39" t="n">
        <f aca="false">IF(DE$4=0,0,IF(COUNTIFS(実績!$W$6:$W$505,DE$3,実績!$AI$6:$AI$505,"&lt;="&amp;$A251,実績!$AJ$6:$AJ$505,"&gt;"&amp;$A251,実績!$AK$6:$AK$505,"○")&gt;0,1,0))</f>
        <v>0</v>
      </c>
      <c r="DF251" s="39" t="n">
        <f aca="false">IF(DF$4=0,0,IF(COUNTIFS(実績!$W$6:$W$505,DF$3,実績!$AI$6:$AI$505,"&lt;="&amp;$A251,実績!$AJ$6:$AJ$505,"&gt;"&amp;$A251,実績!$AK$6:$AK$505,"○")&gt;0,1,0))</f>
        <v>0</v>
      </c>
      <c r="DG251" s="39" t="n">
        <f aca="false">IF(DG$4=0,0,IF(COUNTIFS(実績!$W$6:$W$505,DG$3,実績!$AI$6:$AI$505,"&lt;="&amp;$A251,実績!$AJ$6:$AJ$505,"&gt;"&amp;$A251,実績!$AK$6:$AK$505,"○")&gt;0,1,0))</f>
        <v>0</v>
      </c>
      <c r="DH251" s="39" t="n">
        <f aca="false">IF(DH$4=0,0,IF(COUNTIFS(実績!$W$6:$W$505,DH$3,実績!$AI$6:$AI$505,"&lt;="&amp;$A251,実績!$AJ$6:$AJ$505,"&gt;"&amp;$A251,実績!$AK$6:$AK$505,"○")&gt;0,1,0))</f>
        <v>0</v>
      </c>
      <c r="DI251" s="39" t="n">
        <f aca="false">IF(DI$4=0,0,IF(COUNTIFS(実績!$W$6:$W$505,DI$3,実績!$AI$6:$AI$505,"&lt;="&amp;$A251,実績!$AJ$6:$AJ$505,"&gt;"&amp;$A251,実績!$AK$6:$AK$505,"○")&gt;0,1,0))</f>
        <v>0</v>
      </c>
      <c r="DJ251" s="39" t="n">
        <f aca="false">IF(DJ$4=0,0,IF(COUNTIFS(実績!$W$6:$W$505,DJ$3,実績!$AI$6:$AI$505,"&lt;="&amp;$A251,実績!$AJ$6:$AJ$505,"&gt;"&amp;$A251,実績!$AK$6:$AK$505,"○")&gt;0,1,0))</f>
        <v>0</v>
      </c>
      <c r="DK251" s="39" t="n">
        <f aca="false">IF(DK$4=0,0,IF(COUNTIFS(実績!$W$6:$W$505,DK$3,実績!$AI$6:$AI$505,"&lt;="&amp;$A251,実績!$AJ$6:$AJ$505,"&gt;"&amp;$A251,実績!$AK$6:$AK$505,"○")&gt;0,1,0))</f>
        <v>0</v>
      </c>
      <c r="DL251" s="39" t="n">
        <f aca="false">IF(DL$4=0,0,IF(COUNTIFS(実績!$W$6:$W$505,DL$3,実績!$AI$6:$AI$505,"&lt;="&amp;$A251,実績!$AJ$6:$AJ$505,"&gt;"&amp;$A251,実績!$AK$6:$AK$505,"○")&gt;0,1,0))</f>
        <v>0</v>
      </c>
      <c r="DM251" s="39" t="n">
        <f aca="false">IF(DM$4=0,0,IF(COUNTIFS(実績!$W$6:$W$505,DM$3,実績!$AI$6:$AI$505,"&lt;="&amp;$A251,実績!$AJ$6:$AJ$505,"&gt;"&amp;$A251,実績!$AK$6:$AK$505,"○")&gt;0,1,0))</f>
        <v>0</v>
      </c>
      <c r="DN251" s="39" t="n">
        <f aca="false">IF(DN$4=0,0,IF(COUNTIFS(実績!$W$6:$W$505,DN$3,実績!$AI$6:$AI$505,"&lt;="&amp;$A251,実績!$AJ$6:$AJ$505,"&gt;"&amp;$A251,実績!$AK$6:$AK$505,"○")&gt;0,1,0))</f>
        <v>0</v>
      </c>
      <c r="DO251" s="39" t="n">
        <f aca="false">IF(DO$4=0,0,IF(COUNTIFS(実績!$W$6:$W$505,DO$3,実績!$AI$6:$AI$505,"&lt;="&amp;$A251,実績!$AJ$6:$AJ$505,"&gt;"&amp;$A251,実績!$AK$6:$AK$505,"○")&gt;0,1,0))</f>
        <v>0</v>
      </c>
      <c r="DP251" s="39" t="n">
        <f aca="false">IF(DP$4=0,0,IF(COUNTIFS(実績!$W$6:$W$505,DP$3,実績!$AI$6:$AI$505,"&lt;="&amp;$A251,実績!$AJ$6:$AJ$505,"&gt;"&amp;$A251,実績!$AK$6:$AK$505,"○")&gt;0,1,0))</f>
        <v>0</v>
      </c>
      <c r="DQ251" s="39" t="n">
        <f aca="false">IF(DQ$4=0,0,IF(COUNTIFS(実績!$W$6:$W$505,DQ$3,実績!$AI$6:$AI$505,"&lt;="&amp;$A251,実績!$AJ$6:$AJ$505,"&gt;"&amp;$A251,実績!$AK$6:$AK$505,"○")&gt;0,1,0))</f>
        <v>0</v>
      </c>
      <c r="DR251" s="39" t="n">
        <f aca="false">IF(DR$4=0,0,IF(COUNTIFS(実績!$W$6:$W$505,DR$3,実績!$AI$6:$AI$505,"&lt;="&amp;$A251,実績!$AJ$6:$AJ$505,"&gt;"&amp;$A251,実績!$AK$6:$AK$505,"○")&gt;0,1,0))</f>
        <v>0</v>
      </c>
      <c r="DS251" s="39" t="n">
        <f aca="false">SUM(C251:DR251)</f>
        <v>0</v>
      </c>
      <c r="DT251" s="39" t="n">
        <f aca="false">SUMPRODUCT((実績!$C$6:$C$505="○")*ISNUMBER(実績!$AM$6:$AM$505)*(実績!$AM$6:$AM$505&lt;=$A251)*(実績!$AN$6:$AN$505&gt;$A251))</f>
        <v>0</v>
      </c>
      <c r="DU251" s="39" t="n">
        <f aca="false">SUMIF($C$2:$DR$2,"製鉄曳船",C251:DR251)</f>
        <v>0</v>
      </c>
      <c r="DV251" s="39" t="n">
        <f aca="false">SUMIF($C$2:$DR$2,"西日本海運",C251:DR251)</f>
        <v>0</v>
      </c>
    </row>
    <row r="252" customFormat="false" ht="15" hidden="false" customHeight="false" outlineLevel="0" collapsed="false">
      <c r="A252" s="0" t="n">
        <v>1230</v>
      </c>
      <c r="B252" s="38" t="n">
        <f aca="false">A252/1440</f>
        <v>0.854166666666667</v>
      </c>
      <c r="C252" s="39" t="n">
        <f aca="false">IF(C$4=0,0,IF(COUNTIFS(実績!$W$6:$W$505,C$3,実績!$AI$6:$AI$505,"&lt;="&amp;$A252,実績!$AJ$6:$AJ$505,"&gt;"&amp;$A252,実績!$AK$6:$AK$505,"○")&gt;0,1,0))</f>
        <v>0</v>
      </c>
      <c r="D252" s="39" t="n">
        <f aca="false">IF(D$4=0,0,IF(COUNTIFS(実績!$W$6:$W$505,D$3,実績!$AI$6:$AI$505,"&lt;="&amp;$A252,実績!$AJ$6:$AJ$505,"&gt;"&amp;$A252,実績!$AK$6:$AK$505,"○")&gt;0,1,0))</f>
        <v>0</v>
      </c>
      <c r="E252" s="39" t="n">
        <f aca="false">IF(E$4=0,0,IF(COUNTIFS(実績!$W$6:$W$505,E$3,実績!$AI$6:$AI$505,"&lt;="&amp;$A252,実績!$AJ$6:$AJ$505,"&gt;"&amp;$A252,実績!$AK$6:$AK$505,"○")&gt;0,1,0))</f>
        <v>0</v>
      </c>
      <c r="F252" s="39" t="n">
        <f aca="false">IF(F$4=0,0,IF(COUNTIFS(実績!$W$6:$W$505,F$3,実績!$AI$6:$AI$505,"&lt;="&amp;$A252,実績!$AJ$6:$AJ$505,"&gt;"&amp;$A252,実績!$AK$6:$AK$505,"○")&gt;0,1,0))</f>
        <v>0</v>
      </c>
      <c r="G252" s="39" t="n">
        <f aca="false">IF(G$4=0,0,IF(COUNTIFS(実績!$W$6:$W$505,G$3,実績!$AI$6:$AI$505,"&lt;="&amp;$A252,実績!$AJ$6:$AJ$505,"&gt;"&amp;$A252,実績!$AK$6:$AK$505,"○")&gt;0,1,0))</f>
        <v>0</v>
      </c>
      <c r="H252" s="39" t="n">
        <f aca="false">IF(H$4=0,0,IF(COUNTIFS(実績!$W$6:$W$505,H$3,実績!$AI$6:$AI$505,"&lt;="&amp;$A252,実績!$AJ$6:$AJ$505,"&gt;"&amp;$A252,実績!$AK$6:$AK$505,"○")&gt;0,1,0))</f>
        <v>0</v>
      </c>
      <c r="I252" s="39" t="n">
        <f aca="false">IF(I$4=0,0,IF(COUNTIFS(実績!$W$6:$W$505,I$3,実績!$AI$6:$AI$505,"&lt;="&amp;$A252,実績!$AJ$6:$AJ$505,"&gt;"&amp;$A252,実績!$AK$6:$AK$505,"○")&gt;0,1,0))</f>
        <v>0</v>
      </c>
      <c r="J252" s="39" t="n">
        <f aca="false">IF(J$4=0,0,IF(COUNTIFS(実績!$W$6:$W$505,J$3,実績!$AI$6:$AI$505,"&lt;="&amp;$A252,実績!$AJ$6:$AJ$505,"&gt;"&amp;$A252,実績!$AK$6:$AK$505,"○")&gt;0,1,0))</f>
        <v>0</v>
      </c>
      <c r="K252" s="39" t="n">
        <f aca="false">IF(K$4=0,0,IF(COUNTIFS(実績!$W$6:$W$505,K$3,実績!$AI$6:$AI$505,"&lt;="&amp;$A252,実績!$AJ$6:$AJ$505,"&gt;"&amp;$A252,実績!$AK$6:$AK$505,"○")&gt;0,1,0))</f>
        <v>0</v>
      </c>
      <c r="L252" s="39" t="n">
        <f aca="false">IF(L$4=0,0,IF(COUNTIFS(実績!$W$6:$W$505,L$3,実績!$AI$6:$AI$505,"&lt;="&amp;$A252,実績!$AJ$6:$AJ$505,"&gt;"&amp;$A252,実績!$AK$6:$AK$505,"○")&gt;0,1,0))</f>
        <v>0</v>
      </c>
      <c r="M252" s="39" t="n">
        <f aca="false">IF(M$4=0,0,IF(COUNTIFS(実績!$W$6:$W$505,M$3,実績!$AI$6:$AI$505,"&lt;="&amp;$A252,実績!$AJ$6:$AJ$505,"&gt;"&amp;$A252,実績!$AK$6:$AK$505,"○")&gt;0,1,0))</f>
        <v>0</v>
      </c>
      <c r="N252" s="39" t="n">
        <f aca="false">IF(N$4=0,0,IF(COUNTIFS(実績!$W$6:$W$505,N$3,実績!$AI$6:$AI$505,"&lt;="&amp;$A252,実績!$AJ$6:$AJ$505,"&gt;"&amp;$A252,実績!$AK$6:$AK$505,"○")&gt;0,1,0))</f>
        <v>0</v>
      </c>
      <c r="O252" s="39" t="n">
        <f aca="false">IF(O$4=0,0,IF(COUNTIFS(実績!$W$6:$W$505,O$3,実績!$AI$6:$AI$505,"&lt;="&amp;$A252,実績!$AJ$6:$AJ$505,"&gt;"&amp;$A252,実績!$AK$6:$AK$505,"○")&gt;0,1,0))</f>
        <v>0</v>
      </c>
      <c r="P252" s="39" t="n">
        <f aca="false">IF(P$4=0,0,IF(COUNTIFS(実績!$W$6:$W$505,P$3,実績!$AI$6:$AI$505,"&lt;="&amp;$A252,実績!$AJ$6:$AJ$505,"&gt;"&amp;$A252,実績!$AK$6:$AK$505,"○")&gt;0,1,0))</f>
        <v>0</v>
      </c>
      <c r="Q252" s="39" t="n">
        <f aca="false">IF(Q$4=0,0,IF(COUNTIFS(実績!$W$6:$W$505,Q$3,実績!$AI$6:$AI$505,"&lt;="&amp;$A252,実績!$AJ$6:$AJ$505,"&gt;"&amp;$A252,実績!$AK$6:$AK$505,"○")&gt;0,1,0))</f>
        <v>0</v>
      </c>
      <c r="R252" s="39" t="n">
        <f aca="false">IF(R$4=0,0,IF(COUNTIFS(実績!$W$6:$W$505,R$3,実績!$AI$6:$AI$505,"&lt;="&amp;$A252,実績!$AJ$6:$AJ$505,"&gt;"&amp;$A252,実績!$AK$6:$AK$505,"○")&gt;0,1,0))</f>
        <v>0</v>
      </c>
      <c r="S252" s="39" t="n">
        <f aca="false">IF(S$4=0,0,IF(COUNTIFS(実績!$W$6:$W$505,S$3,実績!$AI$6:$AI$505,"&lt;="&amp;$A252,実績!$AJ$6:$AJ$505,"&gt;"&amp;$A252,実績!$AK$6:$AK$505,"○")&gt;0,1,0))</f>
        <v>0</v>
      </c>
      <c r="T252" s="39" t="n">
        <f aca="false">IF(T$4=0,0,IF(COUNTIFS(実績!$W$6:$W$505,T$3,実績!$AI$6:$AI$505,"&lt;="&amp;$A252,実績!$AJ$6:$AJ$505,"&gt;"&amp;$A252,実績!$AK$6:$AK$505,"○")&gt;0,1,0))</f>
        <v>0</v>
      </c>
      <c r="U252" s="39" t="n">
        <f aca="false">IF(U$4=0,0,IF(COUNTIFS(実績!$W$6:$W$505,U$3,実績!$AI$6:$AI$505,"&lt;="&amp;$A252,実績!$AJ$6:$AJ$505,"&gt;"&amp;$A252,実績!$AK$6:$AK$505,"○")&gt;0,1,0))</f>
        <v>0</v>
      </c>
      <c r="V252" s="39" t="n">
        <f aca="false">IF(V$4=0,0,IF(COUNTIFS(実績!$W$6:$W$505,V$3,実績!$AI$6:$AI$505,"&lt;="&amp;$A252,実績!$AJ$6:$AJ$505,"&gt;"&amp;$A252,実績!$AK$6:$AK$505,"○")&gt;0,1,0))</f>
        <v>0</v>
      </c>
      <c r="W252" s="39" t="n">
        <f aca="false">IF(W$4=0,0,IF(COUNTIFS(実績!$W$6:$W$505,W$3,実績!$AI$6:$AI$505,"&lt;="&amp;$A252,実績!$AJ$6:$AJ$505,"&gt;"&amp;$A252,実績!$AK$6:$AK$505,"○")&gt;0,1,0))</f>
        <v>0</v>
      </c>
      <c r="X252" s="39" t="n">
        <f aca="false">IF(X$4=0,0,IF(COUNTIFS(実績!$W$6:$W$505,X$3,実績!$AI$6:$AI$505,"&lt;="&amp;$A252,実績!$AJ$6:$AJ$505,"&gt;"&amp;$A252,実績!$AK$6:$AK$505,"○")&gt;0,1,0))</f>
        <v>0</v>
      </c>
      <c r="Y252" s="39" t="n">
        <f aca="false">IF(Y$4=0,0,IF(COUNTIFS(実績!$W$6:$W$505,Y$3,実績!$AI$6:$AI$505,"&lt;="&amp;$A252,実績!$AJ$6:$AJ$505,"&gt;"&amp;$A252,実績!$AK$6:$AK$505,"○")&gt;0,1,0))</f>
        <v>0</v>
      </c>
      <c r="Z252" s="39" t="n">
        <f aca="false">IF(Z$4=0,0,IF(COUNTIFS(実績!$W$6:$W$505,Z$3,実績!$AI$6:$AI$505,"&lt;="&amp;$A252,実績!$AJ$6:$AJ$505,"&gt;"&amp;$A252,実績!$AK$6:$AK$505,"○")&gt;0,1,0))</f>
        <v>0</v>
      </c>
      <c r="AA252" s="39" t="n">
        <f aca="false">IF(AA$4=0,0,IF(COUNTIFS(実績!$W$6:$W$505,AA$3,実績!$AI$6:$AI$505,"&lt;="&amp;$A252,実績!$AJ$6:$AJ$505,"&gt;"&amp;$A252,実績!$AK$6:$AK$505,"○")&gt;0,1,0))</f>
        <v>0</v>
      </c>
      <c r="AB252" s="39" t="n">
        <f aca="false">IF(AB$4=0,0,IF(COUNTIFS(実績!$W$6:$W$505,AB$3,実績!$AI$6:$AI$505,"&lt;="&amp;$A252,実績!$AJ$6:$AJ$505,"&gt;"&amp;$A252,実績!$AK$6:$AK$505,"○")&gt;0,1,0))</f>
        <v>0</v>
      </c>
      <c r="AC252" s="39" t="n">
        <f aca="false">IF(AC$4=0,0,IF(COUNTIFS(実績!$W$6:$W$505,AC$3,実績!$AI$6:$AI$505,"&lt;="&amp;$A252,実績!$AJ$6:$AJ$505,"&gt;"&amp;$A252,実績!$AK$6:$AK$505,"○")&gt;0,1,0))</f>
        <v>0</v>
      </c>
      <c r="AD252" s="39" t="n">
        <f aca="false">IF(AD$4=0,0,IF(COUNTIFS(実績!$W$6:$W$505,AD$3,実績!$AI$6:$AI$505,"&lt;="&amp;$A252,実績!$AJ$6:$AJ$505,"&gt;"&amp;$A252,実績!$AK$6:$AK$505,"○")&gt;0,1,0))</f>
        <v>0</v>
      </c>
      <c r="AE252" s="39" t="n">
        <f aca="false">IF(AE$4=0,0,IF(COUNTIFS(実績!$W$6:$W$505,AE$3,実績!$AI$6:$AI$505,"&lt;="&amp;$A252,実績!$AJ$6:$AJ$505,"&gt;"&amp;$A252,実績!$AK$6:$AK$505,"○")&gt;0,1,0))</f>
        <v>0</v>
      </c>
      <c r="AF252" s="39" t="n">
        <f aca="false">IF(AF$4=0,0,IF(COUNTIFS(実績!$W$6:$W$505,AF$3,実績!$AI$6:$AI$505,"&lt;="&amp;$A252,実績!$AJ$6:$AJ$505,"&gt;"&amp;$A252,実績!$AK$6:$AK$505,"○")&gt;0,1,0))</f>
        <v>0</v>
      </c>
      <c r="AG252" s="39" t="n">
        <f aca="false">IF(AG$4=0,0,IF(COUNTIFS(実績!$W$6:$W$505,AG$3,実績!$AI$6:$AI$505,"&lt;="&amp;$A252,実績!$AJ$6:$AJ$505,"&gt;"&amp;$A252,実績!$AK$6:$AK$505,"○")&gt;0,1,0))</f>
        <v>0</v>
      </c>
      <c r="AH252" s="39" t="n">
        <f aca="false">IF(AH$4=0,0,IF(COUNTIFS(実績!$W$6:$W$505,AH$3,実績!$AI$6:$AI$505,"&lt;="&amp;$A252,実績!$AJ$6:$AJ$505,"&gt;"&amp;$A252,実績!$AK$6:$AK$505,"○")&gt;0,1,0))</f>
        <v>0</v>
      </c>
      <c r="AI252" s="39" t="n">
        <f aca="false">IF(AI$4=0,0,IF(COUNTIFS(実績!$W$6:$W$505,AI$3,実績!$AI$6:$AI$505,"&lt;="&amp;$A252,実績!$AJ$6:$AJ$505,"&gt;"&amp;$A252,実績!$AK$6:$AK$505,"○")&gt;0,1,0))</f>
        <v>0</v>
      </c>
      <c r="AJ252" s="39" t="n">
        <f aca="false">IF(AJ$4=0,0,IF(COUNTIFS(実績!$W$6:$W$505,AJ$3,実績!$AI$6:$AI$505,"&lt;="&amp;$A252,実績!$AJ$6:$AJ$505,"&gt;"&amp;$A252,実績!$AK$6:$AK$505,"○")&gt;0,1,0))</f>
        <v>0</v>
      </c>
      <c r="AK252" s="39" t="n">
        <f aca="false">IF(AK$4=0,0,IF(COUNTIFS(実績!$W$6:$W$505,AK$3,実績!$AI$6:$AI$505,"&lt;="&amp;$A252,実績!$AJ$6:$AJ$505,"&gt;"&amp;$A252,実績!$AK$6:$AK$505,"○")&gt;0,1,0))</f>
        <v>0</v>
      </c>
      <c r="AL252" s="39" t="n">
        <f aca="false">IF(AL$4=0,0,IF(COUNTIFS(実績!$W$6:$W$505,AL$3,実績!$AI$6:$AI$505,"&lt;="&amp;$A252,実績!$AJ$6:$AJ$505,"&gt;"&amp;$A252,実績!$AK$6:$AK$505,"○")&gt;0,1,0))</f>
        <v>0</v>
      </c>
      <c r="AM252" s="39" t="n">
        <f aca="false">IF(AM$4=0,0,IF(COUNTIFS(実績!$W$6:$W$505,AM$3,実績!$AI$6:$AI$505,"&lt;="&amp;$A252,実績!$AJ$6:$AJ$505,"&gt;"&amp;$A252,実績!$AK$6:$AK$505,"○")&gt;0,1,0))</f>
        <v>0</v>
      </c>
      <c r="AN252" s="39" t="n">
        <f aca="false">IF(AN$4=0,0,IF(COUNTIFS(実績!$W$6:$W$505,AN$3,実績!$AI$6:$AI$505,"&lt;="&amp;$A252,実績!$AJ$6:$AJ$505,"&gt;"&amp;$A252,実績!$AK$6:$AK$505,"○")&gt;0,1,0))</f>
        <v>0</v>
      </c>
      <c r="AO252" s="39" t="n">
        <f aca="false">IF(AO$4=0,0,IF(COUNTIFS(実績!$W$6:$W$505,AO$3,実績!$AI$6:$AI$505,"&lt;="&amp;$A252,実績!$AJ$6:$AJ$505,"&gt;"&amp;$A252,実績!$AK$6:$AK$505,"○")&gt;0,1,0))</f>
        <v>0</v>
      </c>
      <c r="AP252" s="39" t="n">
        <f aca="false">IF(AP$4=0,0,IF(COUNTIFS(実績!$W$6:$W$505,AP$3,実績!$AI$6:$AI$505,"&lt;="&amp;$A252,実績!$AJ$6:$AJ$505,"&gt;"&amp;$A252,実績!$AK$6:$AK$505,"○")&gt;0,1,0))</f>
        <v>0</v>
      </c>
      <c r="AQ252" s="39" t="n">
        <f aca="false">IF(AQ$4=0,0,IF(COUNTIFS(実績!$W$6:$W$505,AQ$3,実績!$AI$6:$AI$505,"&lt;="&amp;$A252,実績!$AJ$6:$AJ$505,"&gt;"&amp;$A252,実績!$AK$6:$AK$505,"○")&gt;0,1,0))</f>
        <v>0</v>
      </c>
      <c r="AR252" s="39" t="n">
        <f aca="false">IF(AR$4=0,0,IF(COUNTIFS(実績!$W$6:$W$505,AR$3,実績!$AI$6:$AI$505,"&lt;="&amp;$A252,実績!$AJ$6:$AJ$505,"&gt;"&amp;$A252,実績!$AK$6:$AK$505,"○")&gt;0,1,0))</f>
        <v>0</v>
      </c>
      <c r="AS252" s="39" t="n">
        <f aca="false">IF(AS$4=0,0,IF(COUNTIFS(実績!$W$6:$W$505,AS$3,実績!$AI$6:$AI$505,"&lt;="&amp;$A252,実績!$AJ$6:$AJ$505,"&gt;"&amp;$A252,実績!$AK$6:$AK$505,"○")&gt;0,1,0))</f>
        <v>0</v>
      </c>
      <c r="AT252" s="39" t="n">
        <f aca="false">IF(AT$4=0,0,IF(COUNTIFS(実績!$W$6:$W$505,AT$3,実績!$AI$6:$AI$505,"&lt;="&amp;$A252,実績!$AJ$6:$AJ$505,"&gt;"&amp;$A252,実績!$AK$6:$AK$505,"○")&gt;0,1,0))</f>
        <v>0</v>
      </c>
      <c r="AU252" s="39" t="n">
        <f aca="false">IF(AU$4=0,0,IF(COUNTIFS(実績!$W$6:$W$505,AU$3,実績!$AI$6:$AI$505,"&lt;="&amp;$A252,実績!$AJ$6:$AJ$505,"&gt;"&amp;$A252,実績!$AK$6:$AK$505,"○")&gt;0,1,0))</f>
        <v>0</v>
      </c>
      <c r="AV252" s="39" t="n">
        <f aca="false">IF(AV$4=0,0,IF(COUNTIFS(実績!$W$6:$W$505,AV$3,実績!$AI$6:$AI$505,"&lt;="&amp;$A252,実績!$AJ$6:$AJ$505,"&gt;"&amp;$A252,実績!$AK$6:$AK$505,"○")&gt;0,1,0))</f>
        <v>0</v>
      </c>
      <c r="AW252" s="39" t="n">
        <f aca="false">IF(AW$4=0,0,IF(COUNTIFS(実績!$W$6:$W$505,AW$3,実績!$AI$6:$AI$505,"&lt;="&amp;$A252,実績!$AJ$6:$AJ$505,"&gt;"&amp;$A252,実績!$AK$6:$AK$505,"○")&gt;0,1,0))</f>
        <v>0</v>
      </c>
      <c r="AX252" s="39" t="n">
        <f aca="false">IF(AX$4=0,0,IF(COUNTIFS(実績!$W$6:$W$505,AX$3,実績!$AI$6:$AI$505,"&lt;="&amp;$A252,実績!$AJ$6:$AJ$505,"&gt;"&amp;$A252,実績!$AK$6:$AK$505,"○")&gt;0,1,0))</f>
        <v>0</v>
      </c>
      <c r="AY252" s="39" t="n">
        <f aca="false">IF(AY$4=0,0,IF(COUNTIFS(実績!$W$6:$W$505,AY$3,実績!$AI$6:$AI$505,"&lt;="&amp;$A252,実績!$AJ$6:$AJ$505,"&gt;"&amp;$A252,実績!$AK$6:$AK$505,"○")&gt;0,1,0))</f>
        <v>0</v>
      </c>
      <c r="AZ252" s="39" t="n">
        <f aca="false">IF(AZ$4=0,0,IF(COUNTIFS(実績!$W$6:$W$505,AZ$3,実績!$AI$6:$AI$505,"&lt;="&amp;$A252,実績!$AJ$6:$AJ$505,"&gt;"&amp;$A252,実績!$AK$6:$AK$505,"○")&gt;0,1,0))</f>
        <v>0</v>
      </c>
      <c r="BA252" s="39" t="n">
        <f aca="false">IF(BA$4=0,0,IF(COUNTIFS(実績!$W$6:$W$505,BA$3,実績!$AI$6:$AI$505,"&lt;="&amp;$A252,実績!$AJ$6:$AJ$505,"&gt;"&amp;$A252,実績!$AK$6:$AK$505,"○")&gt;0,1,0))</f>
        <v>0</v>
      </c>
      <c r="BB252" s="39" t="n">
        <f aca="false">IF(BB$4=0,0,IF(COUNTIFS(実績!$W$6:$W$505,BB$3,実績!$AI$6:$AI$505,"&lt;="&amp;$A252,実績!$AJ$6:$AJ$505,"&gt;"&amp;$A252,実績!$AK$6:$AK$505,"○")&gt;0,1,0))</f>
        <v>0</v>
      </c>
      <c r="BC252" s="39" t="n">
        <f aca="false">IF(BC$4=0,0,IF(COUNTIFS(実績!$W$6:$W$505,BC$3,実績!$AI$6:$AI$505,"&lt;="&amp;$A252,実績!$AJ$6:$AJ$505,"&gt;"&amp;$A252,実績!$AK$6:$AK$505,"○")&gt;0,1,0))</f>
        <v>0</v>
      </c>
      <c r="BD252" s="39" t="n">
        <f aca="false">IF(BD$4=0,0,IF(COUNTIFS(実績!$W$6:$W$505,BD$3,実績!$AI$6:$AI$505,"&lt;="&amp;$A252,実績!$AJ$6:$AJ$505,"&gt;"&amp;$A252,実績!$AK$6:$AK$505,"○")&gt;0,1,0))</f>
        <v>0</v>
      </c>
      <c r="BE252" s="39" t="n">
        <f aca="false">IF(BE$4=0,0,IF(COUNTIFS(実績!$W$6:$W$505,BE$3,実績!$AI$6:$AI$505,"&lt;="&amp;$A252,実績!$AJ$6:$AJ$505,"&gt;"&amp;$A252,実績!$AK$6:$AK$505,"○")&gt;0,1,0))</f>
        <v>0</v>
      </c>
      <c r="BF252" s="39" t="n">
        <f aca="false">IF(BF$4=0,0,IF(COUNTIFS(実績!$W$6:$W$505,BF$3,実績!$AI$6:$AI$505,"&lt;="&amp;$A252,実績!$AJ$6:$AJ$505,"&gt;"&amp;$A252,実績!$AK$6:$AK$505,"○")&gt;0,1,0))</f>
        <v>0</v>
      </c>
      <c r="BG252" s="39" t="n">
        <f aca="false">IF(BG$4=0,0,IF(COUNTIFS(実績!$W$6:$W$505,BG$3,実績!$AI$6:$AI$505,"&lt;="&amp;$A252,実績!$AJ$6:$AJ$505,"&gt;"&amp;$A252,実績!$AK$6:$AK$505,"○")&gt;0,1,0))</f>
        <v>0</v>
      </c>
      <c r="BH252" s="39" t="n">
        <f aca="false">IF(BH$4=0,0,IF(COUNTIFS(実績!$W$6:$W$505,BH$3,実績!$AI$6:$AI$505,"&lt;="&amp;$A252,実績!$AJ$6:$AJ$505,"&gt;"&amp;$A252,実績!$AK$6:$AK$505,"○")&gt;0,1,0))</f>
        <v>0</v>
      </c>
      <c r="BI252" s="39" t="n">
        <f aca="false">IF(BI$4=0,0,IF(COUNTIFS(実績!$W$6:$W$505,BI$3,実績!$AI$6:$AI$505,"&lt;="&amp;$A252,実績!$AJ$6:$AJ$505,"&gt;"&amp;$A252,実績!$AK$6:$AK$505,"○")&gt;0,1,0))</f>
        <v>0</v>
      </c>
      <c r="BJ252" s="39" t="n">
        <f aca="false">IF(BJ$4=0,0,IF(COUNTIFS(実績!$W$6:$W$505,BJ$3,実績!$AI$6:$AI$505,"&lt;="&amp;$A252,実績!$AJ$6:$AJ$505,"&gt;"&amp;$A252,実績!$AK$6:$AK$505,"○")&gt;0,1,0))</f>
        <v>0</v>
      </c>
      <c r="BK252" s="39" t="n">
        <f aca="false">IF(BK$4=0,0,IF(COUNTIFS(実績!$W$6:$W$505,BK$3,実績!$AI$6:$AI$505,"&lt;="&amp;$A252,実績!$AJ$6:$AJ$505,"&gt;"&amp;$A252,実績!$AK$6:$AK$505,"○")&gt;0,1,0))</f>
        <v>0</v>
      </c>
      <c r="BL252" s="39" t="n">
        <f aca="false">IF(BL$4=0,0,IF(COUNTIFS(実績!$W$6:$W$505,BL$3,実績!$AI$6:$AI$505,"&lt;="&amp;$A252,実績!$AJ$6:$AJ$505,"&gt;"&amp;$A252,実績!$AK$6:$AK$505,"○")&gt;0,1,0))</f>
        <v>0</v>
      </c>
      <c r="BM252" s="39" t="n">
        <f aca="false">IF(BM$4=0,0,IF(COUNTIFS(実績!$W$6:$W$505,BM$3,実績!$AI$6:$AI$505,"&lt;="&amp;$A252,実績!$AJ$6:$AJ$505,"&gt;"&amp;$A252,実績!$AK$6:$AK$505,"○")&gt;0,1,0))</f>
        <v>0</v>
      </c>
      <c r="BN252" s="39" t="n">
        <f aca="false">IF(BN$4=0,0,IF(COUNTIFS(実績!$W$6:$W$505,BN$3,実績!$AI$6:$AI$505,"&lt;="&amp;$A252,実績!$AJ$6:$AJ$505,"&gt;"&amp;$A252,実績!$AK$6:$AK$505,"○")&gt;0,1,0))</f>
        <v>0</v>
      </c>
      <c r="BO252" s="39" t="n">
        <f aca="false">IF(BO$4=0,0,IF(COUNTIFS(実績!$W$6:$W$505,BO$3,実績!$AI$6:$AI$505,"&lt;="&amp;$A252,実績!$AJ$6:$AJ$505,"&gt;"&amp;$A252,実績!$AK$6:$AK$505,"○")&gt;0,1,0))</f>
        <v>0</v>
      </c>
      <c r="BP252" s="39" t="n">
        <f aca="false">IF(BP$4=0,0,IF(COUNTIFS(実績!$W$6:$W$505,BP$3,実績!$AI$6:$AI$505,"&lt;="&amp;$A252,実績!$AJ$6:$AJ$505,"&gt;"&amp;$A252,実績!$AK$6:$AK$505,"○")&gt;0,1,0))</f>
        <v>0</v>
      </c>
      <c r="BQ252" s="39" t="n">
        <f aca="false">IF(BQ$4=0,0,IF(COUNTIFS(実績!$W$6:$W$505,BQ$3,実績!$AI$6:$AI$505,"&lt;="&amp;$A252,実績!$AJ$6:$AJ$505,"&gt;"&amp;$A252,実績!$AK$6:$AK$505,"○")&gt;0,1,0))</f>
        <v>0</v>
      </c>
      <c r="BR252" s="39" t="n">
        <f aca="false">IF(BR$4=0,0,IF(COUNTIFS(実績!$W$6:$W$505,BR$3,実績!$AI$6:$AI$505,"&lt;="&amp;$A252,実績!$AJ$6:$AJ$505,"&gt;"&amp;$A252,実績!$AK$6:$AK$505,"○")&gt;0,1,0))</f>
        <v>0</v>
      </c>
      <c r="BS252" s="39" t="n">
        <f aca="false">IF(BS$4=0,0,IF(COUNTIFS(実績!$W$6:$W$505,BS$3,実績!$AI$6:$AI$505,"&lt;="&amp;$A252,実績!$AJ$6:$AJ$505,"&gt;"&amp;$A252,実績!$AK$6:$AK$505,"○")&gt;0,1,0))</f>
        <v>0</v>
      </c>
      <c r="BT252" s="39" t="n">
        <f aca="false">IF(BT$4=0,0,IF(COUNTIFS(実績!$W$6:$W$505,BT$3,実績!$AI$6:$AI$505,"&lt;="&amp;$A252,実績!$AJ$6:$AJ$505,"&gt;"&amp;$A252,実績!$AK$6:$AK$505,"○")&gt;0,1,0))</f>
        <v>0</v>
      </c>
      <c r="BU252" s="39" t="n">
        <f aca="false">IF(BU$4=0,0,IF(COUNTIFS(実績!$W$6:$W$505,BU$3,実績!$AI$6:$AI$505,"&lt;="&amp;$A252,実績!$AJ$6:$AJ$505,"&gt;"&amp;$A252,実績!$AK$6:$AK$505,"○")&gt;0,1,0))</f>
        <v>0</v>
      </c>
      <c r="BV252" s="39" t="n">
        <f aca="false">IF(BV$4=0,0,IF(COUNTIFS(実績!$W$6:$W$505,BV$3,実績!$AI$6:$AI$505,"&lt;="&amp;$A252,実績!$AJ$6:$AJ$505,"&gt;"&amp;$A252,実績!$AK$6:$AK$505,"○")&gt;0,1,0))</f>
        <v>0</v>
      </c>
      <c r="BW252" s="39" t="n">
        <f aca="false">IF(BW$4=0,0,IF(COUNTIFS(実績!$W$6:$W$505,BW$3,実績!$AI$6:$AI$505,"&lt;="&amp;$A252,実績!$AJ$6:$AJ$505,"&gt;"&amp;$A252,実績!$AK$6:$AK$505,"○")&gt;0,1,0))</f>
        <v>0</v>
      </c>
      <c r="BX252" s="39" t="n">
        <f aca="false">IF(BX$4=0,0,IF(COUNTIFS(実績!$W$6:$W$505,BX$3,実績!$AI$6:$AI$505,"&lt;="&amp;$A252,実績!$AJ$6:$AJ$505,"&gt;"&amp;$A252,実績!$AK$6:$AK$505,"○")&gt;0,1,0))</f>
        <v>0</v>
      </c>
      <c r="BY252" s="39" t="n">
        <f aca="false">IF(BY$4=0,0,IF(COUNTIFS(実績!$W$6:$W$505,BY$3,実績!$AI$6:$AI$505,"&lt;="&amp;$A252,実績!$AJ$6:$AJ$505,"&gt;"&amp;$A252,実績!$AK$6:$AK$505,"○")&gt;0,1,0))</f>
        <v>0</v>
      </c>
      <c r="BZ252" s="39" t="n">
        <f aca="false">IF(BZ$4=0,0,IF(COUNTIFS(実績!$W$6:$W$505,BZ$3,実績!$AI$6:$AI$505,"&lt;="&amp;$A252,実績!$AJ$6:$AJ$505,"&gt;"&amp;$A252,実績!$AK$6:$AK$505,"○")&gt;0,1,0))</f>
        <v>0</v>
      </c>
      <c r="CA252" s="39" t="n">
        <f aca="false">IF(CA$4=0,0,IF(COUNTIFS(実績!$W$6:$W$505,CA$3,実績!$AI$6:$AI$505,"&lt;="&amp;$A252,実績!$AJ$6:$AJ$505,"&gt;"&amp;$A252,実績!$AK$6:$AK$505,"○")&gt;0,1,0))</f>
        <v>0</v>
      </c>
      <c r="CB252" s="39" t="n">
        <f aca="false">IF(CB$4=0,0,IF(COUNTIFS(実績!$W$6:$W$505,CB$3,実績!$AI$6:$AI$505,"&lt;="&amp;$A252,実績!$AJ$6:$AJ$505,"&gt;"&amp;$A252,実績!$AK$6:$AK$505,"○")&gt;0,1,0))</f>
        <v>0</v>
      </c>
      <c r="CC252" s="39" t="n">
        <f aca="false">IF(CC$4=0,0,IF(COUNTIFS(実績!$W$6:$W$505,CC$3,実績!$AI$6:$AI$505,"&lt;="&amp;$A252,実績!$AJ$6:$AJ$505,"&gt;"&amp;$A252,実績!$AK$6:$AK$505,"○")&gt;0,1,0))</f>
        <v>0</v>
      </c>
      <c r="CD252" s="39" t="n">
        <f aca="false">IF(CD$4=0,0,IF(COUNTIFS(実績!$W$6:$W$505,CD$3,実績!$AI$6:$AI$505,"&lt;="&amp;$A252,実績!$AJ$6:$AJ$505,"&gt;"&amp;$A252,実績!$AK$6:$AK$505,"○")&gt;0,1,0))</f>
        <v>0</v>
      </c>
      <c r="CE252" s="39" t="n">
        <f aca="false">IF(CE$4=0,0,IF(COUNTIFS(実績!$W$6:$W$505,CE$3,実績!$AI$6:$AI$505,"&lt;="&amp;$A252,実績!$AJ$6:$AJ$505,"&gt;"&amp;$A252,実績!$AK$6:$AK$505,"○")&gt;0,1,0))</f>
        <v>0</v>
      </c>
      <c r="CF252" s="39" t="n">
        <f aca="false">IF(CF$4=0,0,IF(COUNTIFS(実績!$W$6:$W$505,CF$3,実績!$AI$6:$AI$505,"&lt;="&amp;$A252,実績!$AJ$6:$AJ$505,"&gt;"&amp;$A252,実績!$AK$6:$AK$505,"○")&gt;0,1,0))</f>
        <v>0</v>
      </c>
      <c r="CG252" s="39" t="n">
        <f aca="false">IF(CG$4=0,0,IF(COUNTIFS(実績!$W$6:$W$505,CG$3,実績!$AI$6:$AI$505,"&lt;="&amp;$A252,実績!$AJ$6:$AJ$505,"&gt;"&amp;$A252,実績!$AK$6:$AK$505,"○")&gt;0,1,0))</f>
        <v>0</v>
      </c>
      <c r="CH252" s="39" t="n">
        <f aca="false">IF(CH$4=0,0,IF(COUNTIFS(実績!$W$6:$W$505,CH$3,実績!$AI$6:$AI$505,"&lt;="&amp;$A252,実績!$AJ$6:$AJ$505,"&gt;"&amp;$A252,実績!$AK$6:$AK$505,"○")&gt;0,1,0))</f>
        <v>0</v>
      </c>
      <c r="CI252" s="39" t="n">
        <f aca="false">IF(CI$4=0,0,IF(COUNTIFS(実績!$W$6:$W$505,CI$3,実績!$AI$6:$AI$505,"&lt;="&amp;$A252,実績!$AJ$6:$AJ$505,"&gt;"&amp;$A252,実績!$AK$6:$AK$505,"○")&gt;0,1,0))</f>
        <v>0</v>
      </c>
      <c r="CJ252" s="39" t="n">
        <f aca="false">IF(CJ$4=0,0,IF(COUNTIFS(実績!$W$6:$W$505,CJ$3,実績!$AI$6:$AI$505,"&lt;="&amp;$A252,実績!$AJ$6:$AJ$505,"&gt;"&amp;$A252,実績!$AK$6:$AK$505,"○")&gt;0,1,0))</f>
        <v>0</v>
      </c>
      <c r="CK252" s="39" t="n">
        <f aca="false">IF(CK$4=0,0,IF(COUNTIFS(実績!$W$6:$W$505,CK$3,実績!$AI$6:$AI$505,"&lt;="&amp;$A252,実績!$AJ$6:$AJ$505,"&gt;"&amp;$A252,実績!$AK$6:$AK$505,"○")&gt;0,1,0))</f>
        <v>0</v>
      </c>
      <c r="CL252" s="39" t="n">
        <f aca="false">IF(CL$4=0,0,IF(COUNTIFS(実績!$W$6:$W$505,CL$3,実績!$AI$6:$AI$505,"&lt;="&amp;$A252,実績!$AJ$6:$AJ$505,"&gt;"&amp;$A252,実績!$AK$6:$AK$505,"○")&gt;0,1,0))</f>
        <v>0</v>
      </c>
      <c r="CM252" s="39" t="n">
        <f aca="false">IF(CM$4=0,0,IF(COUNTIFS(実績!$W$6:$W$505,CM$3,実績!$AI$6:$AI$505,"&lt;="&amp;$A252,実績!$AJ$6:$AJ$505,"&gt;"&amp;$A252,実績!$AK$6:$AK$505,"○")&gt;0,1,0))</f>
        <v>0</v>
      </c>
      <c r="CN252" s="39" t="n">
        <f aca="false">IF(CN$4=0,0,IF(COUNTIFS(実績!$W$6:$W$505,CN$3,実績!$AI$6:$AI$505,"&lt;="&amp;$A252,実績!$AJ$6:$AJ$505,"&gt;"&amp;$A252,実績!$AK$6:$AK$505,"○")&gt;0,1,0))</f>
        <v>0</v>
      </c>
      <c r="CO252" s="39" t="n">
        <f aca="false">IF(CO$4=0,0,IF(COUNTIFS(実績!$W$6:$W$505,CO$3,実績!$AI$6:$AI$505,"&lt;="&amp;$A252,実績!$AJ$6:$AJ$505,"&gt;"&amp;$A252,実績!$AK$6:$AK$505,"○")&gt;0,1,0))</f>
        <v>0</v>
      </c>
      <c r="CP252" s="39" t="n">
        <f aca="false">IF(CP$4=0,0,IF(COUNTIFS(実績!$W$6:$W$505,CP$3,実績!$AI$6:$AI$505,"&lt;="&amp;$A252,実績!$AJ$6:$AJ$505,"&gt;"&amp;$A252,実績!$AK$6:$AK$505,"○")&gt;0,1,0))</f>
        <v>0</v>
      </c>
      <c r="CQ252" s="39" t="n">
        <f aca="false">IF(CQ$4=0,0,IF(COUNTIFS(実績!$W$6:$W$505,CQ$3,実績!$AI$6:$AI$505,"&lt;="&amp;$A252,実績!$AJ$6:$AJ$505,"&gt;"&amp;$A252,実績!$AK$6:$AK$505,"○")&gt;0,1,0))</f>
        <v>0</v>
      </c>
      <c r="CR252" s="39" t="n">
        <f aca="false">IF(CR$4=0,0,IF(COUNTIFS(実績!$W$6:$W$505,CR$3,実績!$AI$6:$AI$505,"&lt;="&amp;$A252,実績!$AJ$6:$AJ$505,"&gt;"&amp;$A252,実績!$AK$6:$AK$505,"○")&gt;0,1,0))</f>
        <v>0</v>
      </c>
      <c r="CS252" s="39" t="n">
        <f aca="false">IF(CS$4=0,0,IF(COUNTIFS(実績!$W$6:$W$505,CS$3,実績!$AI$6:$AI$505,"&lt;="&amp;$A252,実績!$AJ$6:$AJ$505,"&gt;"&amp;$A252,実績!$AK$6:$AK$505,"○")&gt;0,1,0))</f>
        <v>0</v>
      </c>
      <c r="CT252" s="39" t="n">
        <f aca="false">IF(CT$4=0,0,IF(COUNTIFS(実績!$W$6:$W$505,CT$3,実績!$AI$6:$AI$505,"&lt;="&amp;$A252,実績!$AJ$6:$AJ$505,"&gt;"&amp;$A252,実績!$AK$6:$AK$505,"○")&gt;0,1,0))</f>
        <v>0</v>
      </c>
      <c r="CU252" s="39" t="n">
        <f aca="false">IF(CU$4=0,0,IF(COUNTIFS(実績!$W$6:$W$505,CU$3,実績!$AI$6:$AI$505,"&lt;="&amp;$A252,実績!$AJ$6:$AJ$505,"&gt;"&amp;$A252,実績!$AK$6:$AK$505,"○")&gt;0,1,0))</f>
        <v>0</v>
      </c>
      <c r="CV252" s="39" t="n">
        <f aca="false">IF(CV$4=0,0,IF(COUNTIFS(実績!$W$6:$W$505,CV$3,実績!$AI$6:$AI$505,"&lt;="&amp;$A252,実績!$AJ$6:$AJ$505,"&gt;"&amp;$A252,実績!$AK$6:$AK$505,"○")&gt;0,1,0))</f>
        <v>0</v>
      </c>
      <c r="CW252" s="39" t="n">
        <f aca="false">IF(CW$4=0,0,IF(COUNTIFS(実績!$W$6:$W$505,CW$3,実績!$AI$6:$AI$505,"&lt;="&amp;$A252,実績!$AJ$6:$AJ$505,"&gt;"&amp;$A252,実績!$AK$6:$AK$505,"○")&gt;0,1,0))</f>
        <v>0</v>
      </c>
      <c r="CX252" s="39" t="n">
        <f aca="false">IF(CX$4=0,0,IF(COUNTIFS(実績!$W$6:$W$505,CX$3,実績!$AI$6:$AI$505,"&lt;="&amp;$A252,実績!$AJ$6:$AJ$505,"&gt;"&amp;$A252,実績!$AK$6:$AK$505,"○")&gt;0,1,0))</f>
        <v>0</v>
      </c>
      <c r="CY252" s="39" t="n">
        <f aca="false">IF(CY$4=0,0,IF(COUNTIFS(実績!$W$6:$W$505,CY$3,実績!$AI$6:$AI$505,"&lt;="&amp;$A252,実績!$AJ$6:$AJ$505,"&gt;"&amp;$A252,実績!$AK$6:$AK$505,"○")&gt;0,1,0))</f>
        <v>0</v>
      </c>
      <c r="CZ252" s="39" t="n">
        <f aca="false">IF(CZ$4=0,0,IF(COUNTIFS(実績!$W$6:$W$505,CZ$3,実績!$AI$6:$AI$505,"&lt;="&amp;$A252,実績!$AJ$6:$AJ$505,"&gt;"&amp;$A252,実績!$AK$6:$AK$505,"○")&gt;0,1,0))</f>
        <v>0</v>
      </c>
      <c r="DA252" s="39" t="n">
        <f aca="false">IF(DA$4=0,0,IF(COUNTIFS(実績!$W$6:$W$505,DA$3,実績!$AI$6:$AI$505,"&lt;="&amp;$A252,実績!$AJ$6:$AJ$505,"&gt;"&amp;$A252,実績!$AK$6:$AK$505,"○")&gt;0,1,0))</f>
        <v>0</v>
      </c>
      <c r="DB252" s="39" t="n">
        <f aca="false">IF(DB$4=0,0,IF(COUNTIFS(実績!$W$6:$W$505,DB$3,実績!$AI$6:$AI$505,"&lt;="&amp;$A252,実績!$AJ$6:$AJ$505,"&gt;"&amp;$A252,実績!$AK$6:$AK$505,"○")&gt;0,1,0))</f>
        <v>0</v>
      </c>
      <c r="DC252" s="39" t="n">
        <f aca="false">IF(DC$4=0,0,IF(COUNTIFS(実績!$W$6:$W$505,DC$3,実績!$AI$6:$AI$505,"&lt;="&amp;$A252,実績!$AJ$6:$AJ$505,"&gt;"&amp;$A252,実績!$AK$6:$AK$505,"○")&gt;0,1,0))</f>
        <v>0</v>
      </c>
      <c r="DD252" s="39" t="n">
        <f aca="false">IF(DD$4=0,0,IF(COUNTIFS(実績!$W$6:$W$505,DD$3,実績!$AI$6:$AI$505,"&lt;="&amp;$A252,実績!$AJ$6:$AJ$505,"&gt;"&amp;$A252,実績!$AK$6:$AK$505,"○")&gt;0,1,0))</f>
        <v>0</v>
      </c>
      <c r="DE252" s="39" t="n">
        <f aca="false">IF(DE$4=0,0,IF(COUNTIFS(実績!$W$6:$W$505,DE$3,実績!$AI$6:$AI$505,"&lt;="&amp;$A252,実績!$AJ$6:$AJ$505,"&gt;"&amp;$A252,実績!$AK$6:$AK$505,"○")&gt;0,1,0))</f>
        <v>0</v>
      </c>
      <c r="DF252" s="39" t="n">
        <f aca="false">IF(DF$4=0,0,IF(COUNTIFS(実績!$W$6:$W$505,DF$3,実績!$AI$6:$AI$505,"&lt;="&amp;$A252,実績!$AJ$6:$AJ$505,"&gt;"&amp;$A252,実績!$AK$6:$AK$505,"○")&gt;0,1,0))</f>
        <v>0</v>
      </c>
      <c r="DG252" s="39" t="n">
        <f aca="false">IF(DG$4=0,0,IF(COUNTIFS(実績!$W$6:$W$505,DG$3,実績!$AI$6:$AI$505,"&lt;="&amp;$A252,実績!$AJ$6:$AJ$505,"&gt;"&amp;$A252,実績!$AK$6:$AK$505,"○")&gt;0,1,0))</f>
        <v>0</v>
      </c>
      <c r="DH252" s="39" t="n">
        <f aca="false">IF(DH$4=0,0,IF(COUNTIFS(実績!$W$6:$W$505,DH$3,実績!$AI$6:$AI$505,"&lt;="&amp;$A252,実績!$AJ$6:$AJ$505,"&gt;"&amp;$A252,実績!$AK$6:$AK$505,"○")&gt;0,1,0))</f>
        <v>0</v>
      </c>
      <c r="DI252" s="39" t="n">
        <f aca="false">IF(DI$4=0,0,IF(COUNTIFS(実績!$W$6:$W$505,DI$3,実績!$AI$6:$AI$505,"&lt;="&amp;$A252,実績!$AJ$6:$AJ$505,"&gt;"&amp;$A252,実績!$AK$6:$AK$505,"○")&gt;0,1,0))</f>
        <v>0</v>
      </c>
      <c r="DJ252" s="39" t="n">
        <f aca="false">IF(DJ$4=0,0,IF(COUNTIFS(実績!$W$6:$W$505,DJ$3,実績!$AI$6:$AI$505,"&lt;="&amp;$A252,実績!$AJ$6:$AJ$505,"&gt;"&amp;$A252,実績!$AK$6:$AK$505,"○")&gt;0,1,0))</f>
        <v>0</v>
      </c>
      <c r="DK252" s="39" t="n">
        <f aca="false">IF(DK$4=0,0,IF(COUNTIFS(実績!$W$6:$W$505,DK$3,実績!$AI$6:$AI$505,"&lt;="&amp;$A252,実績!$AJ$6:$AJ$505,"&gt;"&amp;$A252,実績!$AK$6:$AK$505,"○")&gt;0,1,0))</f>
        <v>0</v>
      </c>
      <c r="DL252" s="39" t="n">
        <f aca="false">IF(DL$4=0,0,IF(COUNTIFS(実績!$W$6:$W$505,DL$3,実績!$AI$6:$AI$505,"&lt;="&amp;$A252,実績!$AJ$6:$AJ$505,"&gt;"&amp;$A252,実績!$AK$6:$AK$505,"○")&gt;0,1,0))</f>
        <v>0</v>
      </c>
      <c r="DM252" s="39" t="n">
        <f aca="false">IF(DM$4=0,0,IF(COUNTIFS(実績!$W$6:$W$505,DM$3,実績!$AI$6:$AI$505,"&lt;="&amp;$A252,実績!$AJ$6:$AJ$505,"&gt;"&amp;$A252,実績!$AK$6:$AK$505,"○")&gt;0,1,0))</f>
        <v>0</v>
      </c>
      <c r="DN252" s="39" t="n">
        <f aca="false">IF(DN$4=0,0,IF(COUNTIFS(実績!$W$6:$W$505,DN$3,実績!$AI$6:$AI$505,"&lt;="&amp;$A252,実績!$AJ$6:$AJ$505,"&gt;"&amp;$A252,実績!$AK$6:$AK$505,"○")&gt;0,1,0))</f>
        <v>0</v>
      </c>
      <c r="DO252" s="39" t="n">
        <f aca="false">IF(DO$4=0,0,IF(COUNTIFS(実績!$W$6:$W$505,DO$3,実績!$AI$6:$AI$505,"&lt;="&amp;$A252,実績!$AJ$6:$AJ$505,"&gt;"&amp;$A252,実績!$AK$6:$AK$505,"○")&gt;0,1,0))</f>
        <v>0</v>
      </c>
      <c r="DP252" s="39" t="n">
        <f aca="false">IF(DP$4=0,0,IF(COUNTIFS(実績!$W$6:$W$505,DP$3,実績!$AI$6:$AI$505,"&lt;="&amp;$A252,実績!$AJ$6:$AJ$505,"&gt;"&amp;$A252,実績!$AK$6:$AK$505,"○")&gt;0,1,0))</f>
        <v>0</v>
      </c>
      <c r="DQ252" s="39" t="n">
        <f aca="false">IF(DQ$4=0,0,IF(COUNTIFS(実績!$W$6:$W$505,DQ$3,実績!$AI$6:$AI$505,"&lt;="&amp;$A252,実績!$AJ$6:$AJ$505,"&gt;"&amp;$A252,実績!$AK$6:$AK$505,"○")&gt;0,1,0))</f>
        <v>0</v>
      </c>
      <c r="DR252" s="39" t="n">
        <f aca="false">IF(DR$4=0,0,IF(COUNTIFS(実績!$W$6:$W$505,DR$3,実績!$AI$6:$AI$505,"&lt;="&amp;$A252,実績!$AJ$6:$AJ$505,"&gt;"&amp;$A252,実績!$AK$6:$AK$505,"○")&gt;0,1,0))</f>
        <v>0</v>
      </c>
      <c r="DS252" s="39" t="n">
        <f aca="false">SUM(C252:DR252)</f>
        <v>0</v>
      </c>
      <c r="DT252" s="39" t="n">
        <f aca="false">SUMPRODUCT((実績!$C$6:$C$505="○")*ISNUMBER(実績!$AM$6:$AM$505)*(実績!$AM$6:$AM$505&lt;=$A252)*(実績!$AN$6:$AN$505&gt;$A252))</f>
        <v>0</v>
      </c>
      <c r="DU252" s="39" t="n">
        <f aca="false">SUMIF($C$2:$DR$2,"製鉄曳船",C252:DR252)</f>
        <v>0</v>
      </c>
      <c r="DV252" s="39" t="n">
        <f aca="false">SUMIF($C$2:$DR$2,"西日本海運",C252:DR252)</f>
        <v>0</v>
      </c>
    </row>
    <row r="253" customFormat="false" ht="15" hidden="false" customHeight="false" outlineLevel="0" collapsed="false">
      <c r="A253" s="0" t="n">
        <v>1235</v>
      </c>
      <c r="B253" s="38" t="n">
        <f aca="false">A253/1440</f>
        <v>0.857638888888889</v>
      </c>
      <c r="C253" s="39" t="n">
        <f aca="false">IF(C$4=0,0,IF(COUNTIFS(実績!$W$6:$W$505,C$3,実績!$AI$6:$AI$505,"&lt;="&amp;$A253,実績!$AJ$6:$AJ$505,"&gt;"&amp;$A253,実績!$AK$6:$AK$505,"○")&gt;0,1,0))</f>
        <v>0</v>
      </c>
      <c r="D253" s="39" t="n">
        <f aca="false">IF(D$4=0,0,IF(COUNTIFS(実績!$W$6:$W$505,D$3,実績!$AI$6:$AI$505,"&lt;="&amp;$A253,実績!$AJ$6:$AJ$505,"&gt;"&amp;$A253,実績!$AK$6:$AK$505,"○")&gt;0,1,0))</f>
        <v>0</v>
      </c>
      <c r="E253" s="39" t="n">
        <f aca="false">IF(E$4=0,0,IF(COUNTIFS(実績!$W$6:$W$505,E$3,実績!$AI$6:$AI$505,"&lt;="&amp;$A253,実績!$AJ$6:$AJ$505,"&gt;"&amp;$A253,実績!$AK$6:$AK$505,"○")&gt;0,1,0))</f>
        <v>0</v>
      </c>
      <c r="F253" s="39" t="n">
        <f aca="false">IF(F$4=0,0,IF(COUNTIFS(実績!$W$6:$W$505,F$3,実績!$AI$6:$AI$505,"&lt;="&amp;$A253,実績!$AJ$6:$AJ$505,"&gt;"&amp;$A253,実績!$AK$6:$AK$505,"○")&gt;0,1,0))</f>
        <v>0</v>
      </c>
      <c r="G253" s="39" t="n">
        <f aca="false">IF(G$4=0,0,IF(COUNTIFS(実績!$W$6:$W$505,G$3,実績!$AI$6:$AI$505,"&lt;="&amp;$A253,実績!$AJ$6:$AJ$505,"&gt;"&amp;$A253,実績!$AK$6:$AK$505,"○")&gt;0,1,0))</f>
        <v>0</v>
      </c>
      <c r="H253" s="39" t="n">
        <f aca="false">IF(H$4=0,0,IF(COUNTIFS(実績!$W$6:$W$505,H$3,実績!$AI$6:$AI$505,"&lt;="&amp;$A253,実績!$AJ$6:$AJ$505,"&gt;"&amp;$A253,実績!$AK$6:$AK$505,"○")&gt;0,1,0))</f>
        <v>0</v>
      </c>
      <c r="I253" s="39" t="n">
        <f aca="false">IF(I$4=0,0,IF(COUNTIFS(実績!$W$6:$W$505,I$3,実績!$AI$6:$AI$505,"&lt;="&amp;$A253,実績!$AJ$6:$AJ$505,"&gt;"&amp;$A253,実績!$AK$6:$AK$505,"○")&gt;0,1,0))</f>
        <v>0</v>
      </c>
      <c r="J253" s="39" t="n">
        <f aca="false">IF(J$4=0,0,IF(COUNTIFS(実績!$W$6:$W$505,J$3,実績!$AI$6:$AI$505,"&lt;="&amp;$A253,実績!$AJ$6:$AJ$505,"&gt;"&amp;$A253,実績!$AK$6:$AK$505,"○")&gt;0,1,0))</f>
        <v>0</v>
      </c>
      <c r="K253" s="39" t="n">
        <f aca="false">IF(K$4=0,0,IF(COUNTIFS(実績!$W$6:$W$505,K$3,実績!$AI$6:$AI$505,"&lt;="&amp;$A253,実績!$AJ$6:$AJ$505,"&gt;"&amp;$A253,実績!$AK$6:$AK$505,"○")&gt;0,1,0))</f>
        <v>0</v>
      </c>
      <c r="L253" s="39" t="n">
        <f aca="false">IF(L$4=0,0,IF(COUNTIFS(実績!$W$6:$W$505,L$3,実績!$AI$6:$AI$505,"&lt;="&amp;$A253,実績!$AJ$6:$AJ$505,"&gt;"&amp;$A253,実績!$AK$6:$AK$505,"○")&gt;0,1,0))</f>
        <v>0</v>
      </c>
      <c r="M253" s="39" t="n">
        <f aca="false">IF(M$4=0,0,IF(COUNTIFS(実績!$W$6:$W$505,M$3,実績!$AI$6:$AI$505,"&lt;="&amp;$A253,実績!$AJ$6:$AJ$505,"&gt;"&amp;$A253,実績!$AK$6:$AK$505,"○")&gt;0,1,0))</f>
        <v>0</v>
      </c>
      <c r="N253" s="39" t="n">
        <f aca="false">IF(N$4=0,0,IF(COUNTIFS(実績!$W$6:$W$505,N$3,実績!$AI$6:$AI$505,"&lt;="&amp;$A253,実績!$AJ$6:$AJ$505,"&gt;"&amp;$A253,実績!$AK$6:$AK$505,"○")&gt;0,1,0))</f>
        <v>0</v>
      </c>
      <c r="O253" s="39" t="n">
        <f aca="false">IF(O$4=0,0,IF(COUNTIFS(実績!$W$6:$W$505,O$3,実績!$AI$6:$AI$505,"&lt;="&amp;$A253,実績!$AJ$6:$AJ$505,"&gt;"&amp;$A253,実績!$AK$6:$AK$505,"○")&gt;0,1,0))</f>
        <v>0</v>
      </c>
      <c r="P253" s="39" t="n">
        <f aca="false">IF(P$4=0,0,IF(COUNTIFS(実績!$W$6:$W$505,P$3,実績!$AI$6:$AI$505,"&lt;="&amp;$A253,実績!$AJ$6:$AJ$505,"&gt;"&amp;$A253,実績!$AK$6:$AK$505,"○")&gt;0,1,0))</f>
        <v>0</v>
      </c>
      <c r="Q253" s="39" t="n">
        <f aca="false">IF(Q$4=0,0,IF(COUNTIFS(実績!$W$6:$W$505,Q$3,実績!$AI$6:$AI$505,"&lt;="&amp;$A253,実績!$AJ$6:$AJ$505,"&gt;"&amp;$A253,実績!$AK$6:$AK$505,"○")&gt;0,1,0))</f>
        <v>0</v>
      </c>
      <c r="R253" s="39" t="n">
        <f aca="false">IF(R$4=0,0,IF(COUNTIFS(実績!$W$6:$W$505,R$3,実績!$AI$6:$AI$505,"&lt;="&amp;$A253,実績!$AJ$6:$AJ$505,"&gt;"&amp;$A253,実績!$AK$6:$AK$505,"○")&gt;0,1,0))</f>
        <v>0</v>
      </c>
      <c r="S253" s="39" t="n">
        <f aca="false">IF(S$4=0,0,IF(COUNTIFS(実績!$W$6:$W$505,S$3,実績!$AI$6:$AI$505,"&lt;="&amp;$A253,実績!$AJ$6:$AJ$505,"&gt;"&amp;$A253,実績!$AK$6:$AK$505,"○")&gt;0,1,0))</f>
        <v>0</v>
      </c>
      <c r="T253" s="39" t="n">
        <f aca="false">IF(T$4=0,0,IF(COUNTIFS(実績!$W$6:$W$505,T$3,実績!$AI$6:$AI$505,"&lt;="&amp;$A253,実績!$AJ$6:$AJ$505,"&gt;"&amp;$A253,実績!$AK$6:$AK$505,"○")&gt;0,1,0))</f>
        <v>0</v>
      </c>
      <c r="U253" s="39" t="n">
        <f aca="false">IF(U$4=0,0,IF(COUNTIFS(実績!$W$6:$W$505,U$3,実績!$AI$6:$AI$505,"&lt;="&amp;$A253,実績!$AJ$6:$AJ$505,"&gt;"&amp;$A253,実績!$AK$6:$AK$505,"○")&gt;0,1,0))</f>
        <v>0</v>
      </c>
      <c r="V253" s="39" t="n">
        <f aca="false">IF(V$4=0,0,IF(COUNTIFS(実績!$W$6:$W$505,V$3,実績!$AI$6:$AI$505,"&lt;="&amp;$A253,実績!$AJ$6:$AJ$505,"&gt;"&amp;$A253,実績!$AK$6:$AK$505,"○")&gt;0,1,0))</f>
        <v>0</v>
      </c>
      <c r="W253" s="39" t="n">
        <f aca="false">IF(W$4=0,0,IF(COUNTIFS(実績!$W$6:$W$505,W$3,実績!$AI$6:$AI$505,"&lt;="&amp;$A253,実績!$AJ$6:$AJ$505,"&gt;"&amp;$A253,実績!$AK$6:$AK$505,"○")&gt;0,1,0))</f>
        <v>0</v>
      </c>
      <c r="X253" s="39" t="n">
        <f aca="false">IF(X$4=0,0,IF(COUNTIFS(実績!$W$6:$W$505,X$3,実績!$AI$6:$AI$505,"&lt;="&amp;$A253,実績!$AJ$6:$AJ$505,"&gt;"&amp;$A253,実績!$AK$6:$AK$505,"○")&gt;0,1,0))</f>
        <v>0</v>
      </c>
      <c r="Y253" s="39" t="n">
        <f aca="false">IF(Y$4=0,0,IF(COUNTIFS(実績!$W$6:$W$505,Y$3,実績!$AI$6:$AI$505,"&lt;="&amp;$A253,実績!$AJ$6:$AJ$505,"&gt;"&amp;$A253,実績!$AK$6:$AK$505,"○")&gt;0,1,0))</f>
        <v>0</v>
      </c>
      <c r="Z253" s="39" t="n">
        <f aca="false">IF(Z$4=0,0,IF(COUNTIFS(実績!$W$6:$W$505,Z$3,実績!$AI$6:$AI$505,"&lt;="&amp;$A253,実績!$AJ$6:$AJ$505,"&gt;"&amp;$A253,実績!$AK$6:$AK$505,"○")&gt;0,1,0))</f>
        <v>0</v>
      </c>
      <c r="AA253" s="39" t="n">
        <f aca="false">IF(AA$4=0,0,IF(COUNTIFS(実績!$W$6:$W$505,AA$3,実績!$AI$6:$AI$505,"&lt;="&amp;$A253,実績!$AJ$6:$AJ$505,"&gt;"&amp;$A253,実績!$AK$6:$AK$505,"○")&gt;0,1,0))</f>
        <v>0</v>
      </c>
      <c r="AB253" s="39" t="n">
        <f aca="false">IF(AB$4=0,0,IF(COUNTIFS(実績!$W$6:$W$505,AB$3,実績!$AI$6:$AI$505,"&lt;="&amp;$A253,実績!$AJ$6:$AJ$505,"&gt;"&amp;$A253,実績!$AK$6:$AK$505,"○")&gt;0,1,0))</f>
        <v>0</v>
      </c>
      <c r="AC253" s="39" t="n">
        <f aca="false">IF(AC$4=0,0,IF(COUNTIFS(実績!$W$6:$W$505,AC$3,実績!$AI$6:$AI$505,"&lt;="&amp;$A253,実績!$AJ$6:$AJ$505,"&gt;"&amp;$A253,実績!$AK$6:$AK$505,"○")&gt;0,1,0))</f>
        <v>0</v>
      </c>
      <c r="AD253" s="39" t="n">
        <f aca="false">IF(AD$4=0,0,IF(COUNTIFS(実績!$W$6:$W$505,AD$3,実績!$AI$6:$AI$505,"&lt;="&amp;$A253,実績!$AJ$6:$AJ$505,"&gt;"&amp;$A253,実績!$AK$6:$AK$505,"○")&gt;0,1,0))</f>
        <v>0</v>
      </c>
      <c r="AE253" s="39" t="n">
        <f aca="false">IF(AE$4=0,0,IF(COUNTIFS(実績!$W$6:$W$505,AE$3,実績!$AI$6:$AI$505,"&lt;="&amp;$A253,実績!$AJ$6:$AJ$505,"&gt;"&amp;$A253,実績!$AK$6:$AK$505,"○")&gt;0,1,0))</f>
        <v>0</v>
      </c>
      <c r="AF253" s="39" t="n">
        <f aca="false">IF(AF$4=0,0,IF(COUNTIFS(実績!$W$6:$W$505,AF$3,実績!$AI$6:$AI$505,"&lt;="&amp;$A253,実績!$AJ$6:$AJ$505,"&gt;"&amp;$A253,実績!$AK$6:$AK$505,"○")&gt;0,1,0))</f>
        <v>0</v>
      </c>
      <c r="AG253" s="39" t="n">
        <f aca="false">IF(AG$4=0,0,IF(COUNTIFS(実績!$W$6:$W$505,AG$3,実績!$AI$6:$AI$505,"&lt;="&amp;$A253,実績!$AJ$6:$AJ$505,"&gt;"&amp;$A253,実績!$AK$6:$AK$505,"○")&gt;0,1,0))</f>
        <v>0</v>
      </c>
      <c r="AH253" s="39" t="n">
        <f aca="false">IF(AH$4=0,0,IF(COUNTIFS(実績!$W$6:$W$505,AH$3,実績!$AI$6:$AI$505,"&lt;="&amp;$A253,実績!$AJ$6:$AJ$505,"&gt;"&amp;$A253,実績!$AK$6:$AK$505,"○")&gt;0,1,0))</f>
        <v>0</v>
      </c>
      <c r="AI253" s="39" t="n">
        <f aca="false">IF(AI$4=0,0,IF(COUNTIFS(実績!$W$6:$W$505,AI$3,実績!$AI$6:$AI$505,"&lt;="&amp;$A253,実績!$AJ$6:$AJ$505,"&gt;"&amp;$A253,実績!$AK$6:$AK$505,"○")&gt;0,1,0))</f>
        <v>0</v>
      </c>
      <c r="AJ253" s="39" t="n">
        <f aca="false">IF(AJ$4=0,0,IF(COUNTIFS(実績!$W$6:$W$505,AJ$3,実績!$AI$6:$AI$505,"&lt;="&amp;$A253,実績!$AJ$6:$AJ$505,"&gt;"&amp;$A253,実績!$AK$6:$AK$505,"○")&gt;0,1,0))</f>
        <v>0</v>
      </c>
      <c r="AK253" s="39" t="n">
        <f aca="false">IF(AK$4=0,0,IF(COUNTIFS(実績!$W$6:$W$505,AK$3,実績!$AI$6:$AI$505,"&lt;="&amp;$A253,実績!$AJ$6:$AJ$505,"&gt;"&amp;$A253,実績!$AK$6:$AK$505,"○")&gt;0,1,0))</f>
        <v>0</v>
      </c>
      <c r="AL253" s="39" t="n">
        <f aca="false">IF(AL$4=0,0,IF(COUNTIFS(実績!$W$6:$W$505,AL$3,実績!$AI$6:$AI$505,"&lt;="&amp;$A253,実績!$AJ$6:$AJ$505,"&gt;"&amp;$A253,実績!$AK$6:$AK$505,"○")&gt;0,1,0))</f>
        <v>0</v>
      </c>
      <c r="AM253" s="39" t="n">
        <f aca="false">IF(AM$4=0,0,IF(COUNTIFS(実績!$W$6:$W$505,AM$3,実績!$AI$6:$AI$505,"&lt;="&amp;$A253,実績!$AJ$6:$AJ$505,"&gt;"&amp;$A253,実績!$AK$6:$AK$505,"○")&gt;0,1,0))</f>
        <v>0</v>
      </c>
      <c r="AN253" s="39" t="n">
        <f aca="false">IF(AN$4=0,0,IF(COUNTIFS(実績!$W$6:$W$505,AN$3,実績!$AI$6:$AI$505,"&lt;="&amp;$A253,実績!$AJ$6:$AJ$505,"&gt;"&amp;$A253,実績!$AK$6:$AK$505,"○")&gt;0,1,0))</f>
        <v>0</v>
      </c>
      <c r="AO253" s="39" t="n">
        <f aca="false">IF(AO$4=0,0,IF(COUNTIFS(実績!$W$6:$W$505,AO$3,実績!$AI$6:$AI$505,"&lt;="&amp;$A253,実績!$AJ$6:$AJ$505,"&gt;"&amp;$A253,実績!$AK$6:$AK$505,"○")&gt;0,1,0))</f>
        <v>0</v>
      </c>
      <c r="AP253" s="39" t="n">
        <f aca="false">IF(AP$4=0,0,IF(COUNTIFS(実績!$W$6:$W$505,AP$3,実績!$AI$6:$AI$505,"&lt;="&amp;$A253,実績!$AJ$6:$AJ$505,"&gt;"&amp;$A253,実績!$AK$6:$AK$505,"○")&gt;0,1,0))</f>
        <v>0</v>
      </c>
      <c r="AQ253" s="39" t="n">
        <f aca="false">IF(AQ$4=0,0,IF(COUNTIFS(実績!$W$6:$W$505,AQ$3,実績!$AI$6:$AI$505,"&lt;="&amp;$A253,実績!$AJ$6:$AJ$505,"&gt;"&amp;$A253,実績!$AK$6:$AK$505,"○")&gt;0,1,0))</f>
        <v>0</v>
      </c>
      <c r="AR253" s="39" t="n">
        <f aca="false">IF(AR$4=0,0,IF(COUNTIFS(実績!$W$6:$W$505,AR$3,実績!$AI$6:$AI$505,"&lt;="&amp;$A253,実績!$AJ$6:$AJ$505,"&gt;"&amp;$A253,実績!$AK$6:$AK$505,"○")&gt;0,1,0))</f>
        <v>0</v>
      </c>
      <c r="AS253" s="39" t="n">
        <f aca="false">IF(AS$4=0,0,IF(COUNTIFS(実績!$W$6:$W$505,AS$3,実績!$AI$6:$AI$505,"&lt;="&amp;$A253,実績!$AJ$6:$AJ$505,"&gt;"&amp;$A253,実績!$AK$6:$AK$505,"○")&gt;0,1,0))</f>
        <v>0</v>
      </c>
      <c r="AT253" s="39" t="n">
        <f aca="false">IF(AT$4=0,0,IF(COUNTIFS(実績!$W$6:$W$505,AT$3,実績!$AI$6:$AI$505,"&lt;="&amp;$A253,実績!$AJ$6:$AJ$505,"&gt;"&amp;$A253,実績!$AK$6:$AK$505,"○")&gt;0,1,0))</f>
        <v>0</v>
      </c>
      <c r="AU253" s="39" t="n">
        <f aca="false">IF(AU$4=0,0,IF(COUNTIFS(実績!$W$6:$W$505,AU$3,実績!$AI$6:$AI$505,"&lt;="&amp;$A253,実績!$AJ$6:$AJ$505,"&gt;"&amp;$A253,実績!$AK$6:$AK$505,"○")&gt;0,1,0))</f>
        <v>0</v>
      </c>
      <c r="AV253" s="39" t="n">
        <f aca="false">IF(AV$4=0,0,IF(COUNTIFS(実績!$W$6:$W$505,AV$3,実績!$AI$6:$AI$505,"&lt;="&amp;$A253,実績!$AJ$6:$AJ$505,"&gt;"&amp;$A253,実績!$AK$6:$AK$505,"○")&gt;0,1,0))</f>
        <v>0</v>
      </c>
      <c r="AW253" s="39" t="n">
        <f aca="false">IF(AW$4=0,0,IF(COUNTIFS(実績!$W$6:$W$505,AW$3,実績!$AI$6:$AI$505,"&lt;="&amp;$A253,実績!$AJ$6:$AJ$505,"&gt;"&amp;$A253,実績!$AK$6:$AK$505,"○")&gt;0,1,0))</f>
        <v>0</v>
      </c>
      <c r="AX253" s="39" t="n">
        <f aca="false">IF(AX$4=0,0,IF(COUNTIFS(実績!$W$6:$W$505,AX$3,実績!$AI$6:$AI$505,"&lt;="&amp;$A253,実績!$AJ$6:$AJ$505,"&gt;"&amp;$A253,実績!$AK$6:$AK$505,"○")&gt;0,1,0))</f>
        <v>0</v>
      </c>
      <c r="AY253" s="39" t="n">
        <f aca="false">IF(AY$4=0,0,IF(COUNTIFS(実績!$W$6:$W$505,AY$3,実績!$AI$6:$AI$505,"&lt;="&amp;$A253,実績!$AJ$6:$AJ$505,"&gt;"&amp;$A253,実績!$AK$6:$AK$505,"○")&gt;0,1,0))</f>
        <v>0</v>
      </c>
      <c r="AZ253" s="39" t="n">
        <f aca="false">IF(AZ$4=0,0,IF(COUNTIFS(実績!$W$6:$W$505,AZ$3,実績!$AI$6:$AI$505,"&lt;="&amp;$A253,実績!$AJ$6:$AJ$505,"&gt;"&amp;$A253,実績!$AK$6:$AK$505,"○")&gt;0,1,0))</f>
        <v>0</v>
      </c>
      <c r="BA253" s="39" t="n">
        <f aca="false">IF(BA$4=0,0,IF(COUNTIFS(実績!$W$6:$W$505,BA$3,実績!$AI$6:$AI$505,"&lt;="&amp;$A253,実績!$AJ$6:$AJ$505,"&gt;"&amp;$A253,実績!$AK$6:$AK$505,"○")&gt;0,1,0))</f>
        <v>0</v>
      </c>
      <c r="BB253" s="39" t="n">
        <f aca="false">IF(BB$4=0,0,IF(COUNTIFS(実績!$W$6:$W$505,BB$3,実績!$AI$6:$AI$505,"&lt;="&amp;$A253,実績!$AJ$6:$AJ$505,"&gt;"&amp;$A253,実績!$AK$6:$AK$505,"○")&gt;0,1,0))</f>
        <v>0</v>
      </c>
      <c r="BC253" s="39" t="n">
        <f aca="false">IF(BC$4=0,0,IF(COUNTIFS(実績!$W$6:$W$505,BC$3,実績!$AI$6:$AI$505,"&lt;="&amp;$A253,実績!$AJ$6:$AJ$505,"&gt;"&amp;$A253,実績!$AK$6:$AK$505,"○")&gt;0,1,0))</f>
        <v>0</v>
      </c>
      <c r="BD253" s="39" t="n">
        <f aca="false">IF(BD$4=0,0,IF(COUNTIFS(実績!$W$6:$W$505,BD$3,実績!$AI$6:$AI$505,"&lt;="&amp;$A253,実績!$AJ$6:$AJ$505,"&gt;"&amp;$A253,実績!$AK$6:$AK$505,"○")&gt;0,1,0))</f>
        <v>0</v>
      </c>
      <c r="BE253" s="39" t="n">
        <f aca="false">IF(BE$4=0,0,IF(COUNTIFS(実績!$W$6:$W$505,BE$3,実績!$AI$6:$AI$505,"&lt;="&amp;$A253,実績!$AJ$6:$AJ$505,"&gt;"&amp;$A253,実績!$AK$6:$AK$505,"○")&gt;0,1,0))</f>
        <v>0</v>
      </c>
      <c r="BF253" s="39" t="n">
        <f aca="false">IF(BF$4=0,0,IF(COUNTIFS(実績!$W$6:$W$505,BF$3,実績!$AI$6:$AI$505,"&lt;="&amp;$A253,実績!$AJ$6:$AJ$505,"&gt;"&amp;$A253,実績!$AK$6:$AK$505,"○")&gt;0,1,0))</f>
        <v>0</v>
      </c>
      <c r="BG253" s="39" t="n">
        <f aca="false">IF(BG$4=0,0,IF(COUNTIFS(実績!$W$6:$W$505,BG$3,実績!$AI$6:$AI$505,"&lt;="&amp;$A253,実績!$AJ$6:$AJ$505,"&gt;"&amp;$A253,実績!$AK$6:$AK$505,"○")&gt;0,1,0))</f>
        <v>0</v>
      </c>
      <c r="BH253" s="39" t="n">
        <f aca="false">IF(BH$4=0,0,IF(COUNTIFS(実績!$W$6:$W$505,BH$3,実績!$AI$6:$AI$505,"&lt;="&amp;$A253,実績!$AJ$6:$AJ$505,"&gt;"&amp;$A253,実績!$AK$6:$AK$505,"○")&gt;0,1,0))</f>
        <v>0</v>
      </c>
      <c r="BI253" s="39" t="n">
        <f aca="false">IF(BI$4=0,0,IF(COUNTIFS(実績!$W$6:$W$505,BI$3,実績!$AI$6:$AI$505,"&lt;="&amp;$A253,実績!$AJ$6:$AJ$505,"&gt;"&amp;$A253,実績!$AK$6:$AK$505,"○")&gt;0,1,0))</f>
        <v>0</v>
      </c>
      <c r="BJ253" s="39" t="n">
        <f aca="false">IF(BJ$4=0,0,IF(COUNTIFS(実績!$W$6:$W$505,BJ$3,実績!$AI$6:$AI$505,"&lt;="&amp;$A253,実績!$AJ$6:$AJ$505,"&gt;"&amp;$A253,実績!$AK$6:$AK$505,"○")&gt;0,1,0))</f>
        <v>0</v>
      </c>
      <c r="BK253" s="39" t="n">
        <f aca="false">IF(BK$4=0,0,IF(COUNTIFS(実績!$W$6:$W$505,BK$3,実績!$AI$6:$AI$505,"&lt;="&amp;$A253,実績!$AJ$6:$AJ$505,"&gt;"&amp;$A253,実績!$AK$6:$AK$505,"○")&gt;0,1,0))</f>
        <v>0</v>
      </c>
      <c r="BL253" s="39" t="n">
        <f aca="false">IF(BL$4=0,0,IF(COUNTIFS(実績!$W$6:$W$505,BL$3,実績!$AI$6:$AI$505,"&lt;="&amp;$A253,実績!$AJ$6:$AJ$505,"&gt;"&amp;$A253,実績!$AK$6:$AK$505,"○")&gt;0,1,0))</f>
        <v>0</v>
      </c>
      <c r="BM253" s="39" t="n">
        <f aca="false">IF(BM$4=0,0,IF(COUNTIFS(実績!$W$6:$W$505,BM$3,実績!$AI$6:$AI$505,"&lt;="&amp;$A253,実績!$AJ$6:$AJ$505,"&gt;"&amp;$A253,実績!$AK$6:$AK$505,"○")&gt;0,1,0))</f>
        <v>0</v>
      </c>
      <c r="BN253" s="39" t="n">
        <f aca="false">IF(BN$4=0,0,IF(COUNTIFS(実績!$W$6:$W$505,BN$3,実績!$AI$6:$AI$505,"&lt;="&amp;$A253,実績!$AJ$6:$AJ$505,"&gt;"&amp;$A253,実績!$AK$6:$AK$505,"○")&gt;0,1,0))</f>
        <v>0</v>
      </c>
      <c r="BO253" s="39" t="n">
        <f aca="false">IF(BO$4=0,0,IF(COUNTIFS(実績!$W$6:$W$505,BO$3,実績!$AI$6:$AI$505,"&lt;="&amp;$A253,実績!$AJ$6:$AJ$505,"&gt;"&amp;$A253,実績!$AK$6:$AK$505,"○")&gt;0,1,0))</f>
        <v>0</v>
      </c>
      <c r="BP253" s="39" t="n">
        <f aca="false">IF(BP$4=0,0,IF(COUNTIFS(実績!$W$6:$W$505,BP$3,実績!$AI$6:$AI$505,"&lt;="&amp;$A253,実績!$AJ$6:$AJ$505,"&gt;"&amp;$A253,実績!$AK$6:$AK$505,"○")&gt;0,1,0))</f>
        <v>0</v>
      </c>
      <c r="BQ253" s="39" t="n">
        <f aca="false">IF(BQ$4=0,0,IF(COUNTIFS(実績!$W$6:$W$505,BQ$3,実績!$AI$6:$AI$505,"&lt;="&amp;$A253,実績!$AJ$6:$AJ$505,"&gt;"&amp;$A253,実績!$AK$6:$AK$505,"○")&gt;0,1,0))</f>
        <v>0</v>
      </c>
      <c r="BR253" s="39" t="n">
        <f aca="false">IF(BR$4=0,0,IF(COUNTIFS(実績!$W$6:$W$505,BR$3,実績!$AI$6:$AI$505,"&lt;="&amp;$A253,実績!$AJ$6:$AJ$505,"&gt;"&amp;$A253,実績!$AK$6:$AK$505,"○")&gt;0,1,0))</f>
        <v>0</v>
      </c>
      <c r="BS253" s="39" t="n">
        <f aca="false">IF(BS$4=0,0,IF(COUNTIFS(実績!$W$6:$W$505,BS$3,実績!$AI$6:$AI$505,"&lt;="&amp;$A253,実績!$AJ$6:$AJ$505,"&gt;"&amp;$A253,実績!$AK$6:$AK$505,"○")&gt;0,1,0))</f>
        <v>0</v>
      </c>
      <c r="BT253" s="39" t="n">
        <f aca="false">IF(BT$4=0,0,IF(COUNTIFS(実績!$W$6:$W$505,BT$3,実績!$AI$6:$AI$505,"&lt;="&amp;$A253,実績!$AJ$6:$AJ$505,"&gt;"&amp;$A253,実績!$AK$6:$AK$505,"○")&gt;0,1,0))</f>
        <v>0</v>
      </c>
      <c r="BU253" s="39" t="n">
        <f aca="false">IF(BU$4=0,0,IF(COUNTIFS(実績!$W$6:$W$505,BU$3,実績!$AI$6:$AI$505,"&lt;="&amp;$A253,実績!$AJ$6:$AJ$505,"&gt;"&amp;$A253,実績!$AK$6:$AK$505,"○")&gt;0,1,0))</f>
        <v>0</v>
      </c>
      <c r="BV253" s="39" t="n">
        <f aca="false">IF(BV$4=0,0,IF(COUNTIFS(実績!$W$6:$W$505,BV$3,実績!$AI$6:$AI$505,"&lt;="&amp;$A253,実績!$AJ$6:$AJ$505,"&gt;"&amp;$A253,実績!$AK$6:$AK$505,"○")&gt;0,1,0))</f>
        <v>0</v>
      </c>
      <c r="BW253" s="39" t="n">
        <f aca="false">IF(BW$4=0,0,IF(COUNTIFS(実績!$W$6:$W$505,BW$3,実績!$AI$6:$AI$505,"&lt;="&amp;$A253,実績!$AJ$6:$AJ$505,"&gt;"&amp;$A253,実績!$AK$6:$AK$505,"○")&gt;0,1,0))</f>
        <v>0</v>
      </c>
      <c r="BX253" s="39" t="n">
        <f aca="false">IF(BX$4=0,0,IF(COUNTIFS(実績!$W$6:$W$505,BX$3,実績!$AI$6:$AI$505,"&lt;="&amp;$A253,実績!$AJ$6:$AJ$505,"&gt;"&amp;$A253,実績!$AK$6:$AK$505,"○")&gt;0,1,0))</f>
        <v>0</v>
      </c>
      <c r="BY253" s="39" t="n">
        <f aca="false">IF(BY$4=0,0,IF(COUNTIFS(実績!$W$6:$W$505,BY$3,実績!$AI$6:$AI$505,"&lt;="&amp;$A253,実績!$AJ$6:$AJ$505,"&gt;"&amp;$A253,実績!$AK$6:$AK$505,"○")&gt;0,1,0))</f>
        <v>0</v>
      </c>
      <c r="BZ253" s="39" t="n">
        <f aca="false">IF(BZ$4=0,0,IF(COUNTIFS(実績!$W$6:$W$505,BZ$3,実績!$AI$6:$AI$505,"&lt;="&amp;$A253,実績!$AJ$6:$AJ$505,"&gt;"&amp;$A253,実績!$AK$6:$AK$505,"○")&gt;0,1,0))</f>
        <v>0</v>
      </c>
      <c r="CA253" s="39" t="n">
        <f aca="false">IF(CA$4=0,0,IF(COUNTIFS(実績!$W$6:$W$505,CA$3,実績!$AI$6:$AI$505,"&lt;="&amp;$A253,実績!$AJ$6:$AJ$505,"&gt;"&amp;$A253,実績!$AK$6:$AK$505,"○")&gt;0,1,0))</f>
        <v>0</v>
      </c>
      <c r="CB253" s="39" t="n">
        <f aca="false">IF(CB$4=0,0,IF(COUNTIFS(実績!$W$6:$W$505,CB$3,実績!$AI$6:$AI$505,"&lt;="&amp;$A253,実績!$AJ$6:$AJ$505,"&gt;"&amp;$A253,実績!$AK$6:$AK$505,"○")&gt;0,1,0))</f>
        <v>0</v>
      </c>
      <c r="CC253" s="39" t="n">
        <f aca="false">IF(CC$4=0,0,IF(COUNTIFS(実績!$W$6:$W$505,CC$3,実績!$AI$6:$AI$505,"&lt;="&amp;$A253,実績!$AJ$6:$AJ$505,"&gt;"&amp;$A253,実績!$AK$6:$AK$505,"○")&gt;0,1,0))</f>
        <v>0</v>
      </c>
      <c r="CD253" s="39" t="n">
        <f aca="false">IF(CD$4=0,0,IF(COUNTIFS(実績!$W$6:$W$505,CD$3,実績!$AI$6:$AI$505,"&lt;="&amp;$A253,実績!$AJ$6:$AJ$505,"&gt;"&amp;$A253,実績!$AK$6:$AK$505,"○")&gt;0,1,0))</f>
        <v>0</v>
      </c>
      <c r="CE253" s="39" t="n">
        <f aca="false">IF(CE$4=0,0,IF(COUNTIFS(実績!$W$6:$W$505,CE$3,実績!$AI$6:$AI$505,"&lt;="&amp;$A253,実績!$AJ$6:$AJ$505,"&gt;"&amp;$A253,実績!$AK$6:$AK$505,"○")&gt;0,1,0))</f>
        <v>0</v>
      </c>
      <c r="CF253" s="39" t="n">
        <f aca="false">IF(CF$4=0,0,IF(COUNTIFS(実績!$W$6:$W$505,CF$3,実績!$AI$6:$AI$505,"&lt;="&amp;$A253,実績!$AJ$6:$AJ$505,"&gt;"&amp;$A253,実績!$AK$6:$AK$505,"○")&gt;0,1,0))</f>
        <v>0</v>
      </c>
      <c r="CG253" s="39" t="n">
        <f aca="false">IF(CG$4=0,0,IF(COUNTIFS(実績!$W$6:$W$505,CG$3,実績!$AI$6:$AI$505,"&lt;="&amp;$A253,実績!$AJ$6:$AJ$505,"&gt;"&amp;$A253,実績!$AK$6:$AK$505,"○")&gt;0,1,0))</f>
        <v>0</v>
      </c>
      <c r="CH253" s="39" t="n">
        <f aca="false">IF(CH$4=0,0,IF(COUNTIFS(実績!$W$6:$W$505,CH$3,実績!$AI$6:$AI$505,"&lt;="&amp;$A253,実績!$AJ$6:$AJ$505,"&gt;"&amp;$A253,実績!$AK$6:$AK$505,"○")&gt;0,1,0))</f>
        <v>0</v>
      </c>
      <c r="CI253" s="39" t="n">
        <f aca="false">IF(CI$4=0,0,IF(COUNTIFS(実績!$W$6:$W$505,CI$3,実績!$AI$6:$AI$505,"&lt;="&amp;$A253,実績!$AJ$6:$AJ$505,"&gt;"&amp;$A253,実績!$AK$6:$AK$505,"○")&gt;0,1,0))</f>
        <v>0</v>
      </c>
      <c r="CJ253" s="39" t="n">
        <f aca="false">IF(CJ$4=0,0,IF(COUNTIFS(実績!$W$6:$W$505,CJ$3,実績!$AI$6:$AI$505,"&lt;="&amp;$A253,実績!$AJ$6:$AJ$505,"&gt;"&amp;$A253,実績!$AK$6:$AK$505,"○")&gt;0,1,0))</f>
        <v>0</v>
      </c>
      <c r="CK253" s="39" t="n">
        <f aca="false">IF(CK$4=0,0,IF(COUNTIFS(実績!$W$6:$W$505,CK$3,実績!$AI$6:$AI$505,"&lt;="&amp;$A253,実績!$AJ$6:$AJ$505,"&gt;"&amp;$A253,実績!$AK$6:$AK$505,"○")&gt;0,1,0))</f>
        <v>0</v>
      </c>
      <c r="CL253" s="39" t="n">
        <f aca="false">IF(CL$4=0,0,IF(COUNTIFS(実績!$W$6:$W$505,CL$3,実績!$AI$6:$AI$505,"&lt;="&amp;$A253,実績!$AJ$6:$AJ$505,"&gt;"&amp;$A253,実績!$AK$6:$AK$505,"○")&gt;0,1,0))</f>
        <v>0</v>
      </c>
      <c r="CM253" s="39" t="n">
        <f aca="false">IF(CM$4=0,0,IF(COUNTIFS(実績!$W$6:$W$505,CM$3,実績!$AI$6:$AI$505,"&lt;="&amp;$A253,実績!$AJ$6:$AJ$505,"&gt;"&amp;$A253,実績!$AK$6:$AK$505,"○")&gt;0,1,0))</f>
        <v>0</v>
      </c>
      <c r="CN253" s="39" t="n">
        <f aca="false">IF(CN$4=0,0,IF(COUNTIFS(実績!$W$6:$W$505,CN$3,実績!$AI$6:$AI$505,"&lt;="&amp;$A253,実績!$AJ$6:$AJ$505,"&gt;"&amp;$A253,実績!$AK$6:$AK$505,"○")&gt;0,1,0))</f>
        <v>0</v>
      </c>
      <c r="CO253" s="39" t="n">
        <f aca="false">IF(CO$4=0,0,IF(COUNTIFS(実績!$W$6:$W$505,CO$3,実績!$AI$6:$AI$505,"&lt;="&amp;$A253,実績!$AJ$6:$AJ$505,"&gt;"&amp;$A253,実績!$AK$6:$AK$505,"○")&gt;0,1,0))</f>
        <v>0</v>
      </c>
      <c r="CP253" s="39" t="n">
        <f aca="false">IF(CP$4=0,0,IF(COUNTIFS(実績!$W$6:$W$505,CP$3,実績!$AI$6:$AI$505,"&lt;="&amp;$A253,実績!$AJ$6:$AJ$505,"&gt;"&amp;$A253,実績!$AK$6:$AK$505,"○")&gt;0,1,0))</f>
        <v>0</v>
      </c>
      <c r="CQ253" s="39" t="n">
        <f aca="false">IF(CQ$4=0,0,IF(COUNTIFS(実績!$W$6:$W$505,CQ$3,実績!$AI$6:$AI$505,"&lt;="&amp;$A253,実績!$AJ$6:$AJ$505,"&gt;"&amp;$A253,実績!$AK$6:$AK$505,"○")&gt;0,1,0))</f>
        <v>0</v>
      </c>
      <c r="CR253" s="39" t="n">
        <f aca="false">IF(CR$4=0,0,IF(COUNTIFS(実績!$W$6:$W$505,CR$3,実績!$AI$6:$AI$505,"&lt;="&amp;$A253,実績!$AJ$6:$AJ$505,"&gt;"&amp;$A253,実績!$AK$6:$AK$505,"○")&gt;0,1,0))</f>
        <v>0</v>
      </c>
      <c r="CS253" s="39" t="n">
        <f aca="false">IF(CS$4=0,0,IF(COUNTIFS(実績!$W$6:$W$505,CS$3,実績!$AI$6:$AI$505,"&lt;="&amp;$A253,実績!$AJ$6:$AJ$505,"&gt;"&amp;$A253,実績!$AK$6:$AK$505,"○")&gt;0,1,0))</f>
        <v>0</v>
      </c>
      <c r="CT253" s="39" t="n">
        <f aca="false">IF(CT$4=0,0,IF(COUNTIFS(実績!$W$6:$W$505,CT$3,実績!$AI$6:$AI$505,"&lt;="&amp;$A253,実績!$AJ$6:$AJ$505,"&gt;"&amp;$A253,実績!$AK$6:$AK$505,"○")&gt;0,1,0))</f>
        <v>0</v>
      </c>
      <c r="CU253" s="39" t="n">
        <f aca="false">IF(CU$4=0,0,IF(COUNTIFS(実績!$W$6:$W$505,CU$3,実績!$AI$6:$AI$505,"&lt;="&amp;$A253,実績!$AJ$6:$AJ$505,"&gt;"&amp;$A253,実績!$AK$6:$AK$505,"○")&gt;0,1,0))</f>
        <v>0</v>
      </c>
      <c r="CV253" s="39" t="n">
        <f aca="false">IF(CV$4=0,0,IF(COUNTIFS(実績!$W$6:$W$505,CV$3,実績!$AI$6:$AI$505,"&lt;="&amp;$A253,実績!$AJ$6:$AJ$505,"&gt;"&amp;$A253,実績!$AK$6:$AK$505,"○")&gt;0,1,0))</f>
        <v>0</v>
      </c>
      <c r="CW253" s="39" t="n">
        <f aca="false">IF(CW$4=0,0,IF(COUNTIFS(実績!$W$6:$W$505,CW$3,実績!$AI$6:$AI$505,"&lt;="&amp;$A253,実績!$AJ$6:$AJ$505,"&gt;"&amp;$A253,実績!$AK$6:$AK$505,"○")&gt;0,1,0))</f>
        <v>0</v>
      </c>
      <c r="CX253" s="39" t="n">
        <f aca="false">IF(CX$4=0,0,IF(COUNTIFS(実績!$W$6:$W$505,CX$3,実績!$AI$6:$AI$505,"&lt;="&amp;$A253,実績!$AJ$6:$AJ$505,"&gt;"&amp;$A253,実績!$AK$6:$AK$505,"○")&gt;0,1,0))</f>
        <v>0</v>
      </c>
      <c r="CY253" s="39" t="n">
        <f aca="false">IF(CY$4=0,0,IF(COUNTIFS(実績!$W$6:$W$505,CY$3,実績!$AI$6:$AI$505,"&lt;="&amp;$A253,実績!$AJ$6:$AJ$505,"&gt;"&amp;$A253,実績!$AK$6:$AK$505,"○")&gt;0,1,0))</f>
        <v>0</v>
      </c>
      <c r="CZ253" s="39" t="n">
        <f aca="false">IF(CZ$4=0,0,IF(COUNTIFS(実績!$W$6:$W$505,CZ$3,実績!$AI$6:$AI$505,"&lt;="&amp;$A253,実績!$AJ$6:$AJ$505,"&gt;"&amp;$A253,実績!$AK$6:$AK$505,"○")&gt;0,1,0))</f>
        <v>0</v>
      </c>
      <c r="DA253" s="39" t="n">
        <f aca="false">IF(DA$4=0,0,IF(COUNTIFS(実績!$W$6:$W$505,DA$3,実績!$AI$6:$AI$505,"&lt;="&amp;$A253,実績!$AJ$6:$AJ$505,"&gt;"&amp;$A253,実績!$AK$6:$AK$505,"○")&gt;0,1,0))</f>
        <v>0</v>
      </c>
      <c r="DB253" s="39" t="n">
        <f aca="false">IF(DB$4=0,0,IF(COUNTIFS(実績!$W$6:$W$505,DB$3,実績!$AI$6:$AI$505,"&lt;="&amp;$A253,実績!$AJ$6:$AJ$505,"&gt;"&amp;$A253,実績!$AK$6:$AK$505,"○")&gt;0,1,0))</f>
        <v>0</v>
      </c>
      <c r="DC253" s="39" t="n">
        <f aca="false">IF(DC$4=0,0,IF(COUNTIFS(実績!$W$6:$W$505,DC$3,実績!$AI$6:$AI$505,"&lt;="&amp;$A253,実績!$AJ$6:$AJ$505,"&gt;"&amp;$A253,実績!$AK$6:$AK$505,"○")&gt;0,1,0))</f>
        <v>0</v>
      </c>
      <c r="DD253" s="39" t="n">
        <f aca="false">IF(DD$4=0,0,IF(COUNTIFS(実績!$W$6:$W$505,DD$3,実績!$AI$6:$AI$505,"&lt;="&amp;$A253,実績!$AJ$6:$AJ$505,"&gt;"&amp;$A253,実績!$AK$6:$AK$505,"○")&gt;0,1,0))</f>
        <v>0</v>
      </c>
      <c r="DE253" s="39" t="n">
        <f aca="false">IF(DE$4=0,0,IF(COUNTIFS(実績!$W$6:$W$505,DE$3,実績!$AI$6:$AI$505,"&lt;="&amp;$A253,実績!$AJ$6:$AJ$505,"&gt;"&amp;$A253,実績!$AK$6:$AK$505,"○")&gt;0,1,0))</f>
        <v>0</v>
      </c>
      <c r="DF253" s="39" t="n">
        <f aca="false">IF(DF$4=0,0,IF(COUNTIFS(実績!$W$6:$W$505,DF$3,実績!$AI$6:$AI$505,"&lt;="&amp;$A253,実績!$AJ$6:$AJ$505,"&gt;"&amp;$A253,実績!$AK$6:$AK$505,"○")&gt;0,1,0))</f>
        <v>0</v>
      </c>
      <c r="DG253" s="39" t="n">
        <f aca="false">IF(DG$4=0,0,IF(COUNTIFS(実績!$W$6:$W$505,DG$3,実績!$AI$6:$AI$505,"&lt;="&amp;$A253,実績!$AJ$6:$AJ$505,"&gt;"&amp;$A253,実績!$AK$6:$AK$505,"○")&gt;0,1,0))</f>
        <v>0</v>
      </c>
      <c r="DH253" s="39" t="n">
        <f aca="false">IF(DH$4=0,0,IF(COUNTIFS(実績!$W$6:$W$505,DH$3,実績!$AI$6:$AI$505,"&lt;="&amp;$A253,実績!$AJ$6:$AJ$505,"&gt;"&amp;$A253,実績!$AK$6:$AK$505,"○")&gt;0,1,0))</f>
        <v>0</v>
      </c>
      <c r="DI253" s="39" t="n">
        <f aca="false">IF(DI$4=0,0,IF(COUNTIFS(実績!$W$6:$W$505,DI$3,実績!$AI$6:$AI$505,"&lt;="&amp;$A253,実績!$AJ$6:$AJ$505,"&gt;"&amp;$A253,実績!$AK$6:$AK$505,"○")&gt;0,1,0))</f>
        <v>0</v>
      </c>
      <c r="DJ253" s="39" t="n">
        <f aca="false">IF(DJ$4=0,0,IF(COUNTIFS(実績!$W$6:$W$505,DJ$3,実績!$AI$6:$AI$505,"&lt;="&amp;$A253,実績!$AJ$6:$AJ$505,"&gt;"&amp;$A253,実績!$AK$6:$AK$505,"○")&gt;0,1,0))</f>
        <v>0</v>
      </c>
      <c r="DK253" s="39" t="n">
        <f aca="false">IF(DK$4=0,0,IF(COUNTIFS(実績!$W$6:$W$505,DK$3,実績!$AI$6:$AI$505,"&lt;="&amp;$A253,実績!$AJ$6:$AJ$505,"&gt;"&amp;$A253,実績!$AK$6:$AK$505,"○")&gt;0,1,0))</f>
        <v>0</v>
      </c>
      <c r="DL253" s="39" t="n">
        <f aca="false">IF(DL$4=0,0,IF(COUNTIFS(実績!$W$6:$W$505,DL$3,実績!$AI$6:$AI$505,"&lt;="&amp;$A253,実績!$AJ$6:$AJ$505,"&gt;"&amp;$A253,実績!$AK$6:$AK$505,"○")&gt;0,1,0))</f>
        <v>0</v>
      </c>
      <c r="DM253" s="39" t="n">
        <f aca="false">IF(DM$4=0,0,IF(COUNTIFS(実績!$W$6:$W$505,DM$3,実績!$AI$6:$AI$505,"&lt;="&amp;$A253,実績!$AJ$6:$AJ$505,"&gt;"&amp;$A253,実績!$AK$6:$AK$505,"○")&gt;0,1,0))</f>
        <v>0</v>
      </c>
      <c r="DN253" s="39" t="n">
        <f aca="false">IF(DN$4=0,0,IF(COUNTIFS(実績!$W$6:$W$505,DN$3,実績!$AI$6:$AI$505,"&lt;="&amp;$A253,実績!$AJ$6:$AJ$505,"&gt;"&amp;$A253,実績!$AK$6:$AK$505,"○")&gt;0,1,0))</f>
        <v>0</v>
      </c>
      <c r="DO253" s="39" t="n">
        <f aca="false">IF(DO$4=0,0,IF(COUNTIFS(実績!$W$6:$W$505,DO$3,実績!$AI$6:$AI$505,"&lt;="&amp;$A253,実績!$AJ$6:$AJ$505,"&gt;"&amp;$A253,実績!$AK$6:$AK$505,"○")&gt;0,1,0))</f>
        <v>0</v>
      </c>
      <c r="DP253" s="39" t="n">
        <f aca="false">IF(DP$4=0,0,IF(COUNTIFS(実績!$W$6:$W$505,DP$3,実績!$AI$6:$AI$505,"&lt;="&amp;$A253,実績!$AJ$6:$AJ$505,"&gt;"&amp;$A253,実績!$AK$6:$AK$505,"○")&gt;0,1,0))</f>
        <v>0</v>
      </c>
      <c r="DQ253" s="39" t="n">
        <f aca="false">IF(DQ$4=0,0,IF(COUNTIFS(実績!$W$6:$W$505,DQ$3,実績!$AI$6:$AI$505,"&lt;="&amp;$A253,実績!$AJ$6:$AJ$505,"&gt;"&amp;$A253,実績!$AK$6:$AK$505,"○")&gt;0,1,0))</f>
        <v>0</v>
      </c>
      <c r="DR253" s="39" t="n">
        <f aca="false">IF(DR$4=0,0,IF(COUNTIFS(実績!$W$6:$W$505,DR$3,実績!$AI$6:$AI$505,"&lt;="&amp;$A253,実績!$AJ$6:$AJ$505,"&gt;"&amp;$A253,実績!$AK$6:$AK$505,"○")&gt;0,1,0))</f>
        <v>0</v>
      </c>
      <c r="DS253" s="39" t="n">
        <f aca="false">SUM(C253:DR253)</f>
        <v>0</v>
      </c>
      <c r="DT253" s="39" t="n">
        <f aca="false">SUMPRODUCT((実績!$C$6:$C$505="○")*ISNUMBER(実績!$AM$6:$AM$505)*(実績!$AM$6:$AM$505&lt;=$A253)*(実績!$AN$6:$AN$505&gt;$A253))</f>
        <v>0</v>
      </c>
      <c r="DU253" s="39" t="n">
        <f aca="false">SUMIF($C$2:$DR$2,"製鉄曳船",C253:DR253)</f>
        <v>0</v>
      </c>
      <c r="DV253" s="39" t="n">
        <f aca="false">SUMIF($C$2:$DR$2,"西日本海運",C253:DR253)</f>
        <v>0</v>
      </c>
    </row>
    <row r="254" customFormat="false" ht="15" hidden="false" customHeight="false" outlineLevel="0" collapsed="false">
      <c r="A254" s="0" t="n">
        <v>1240</v>
      </c>
      <c r="B254" s="38" t="n">
        <f aca="false">A254/1440</f>
        <v>0.861111111111111</v>
      </c>
      <c r="C254" s="39" t="n">
        <f aca="false">IF(C$4=0,0,IF(COUNTIFS(実績!$W$6:$W$505,C$3,実績!$AI$6:$AI$505,"&lt;="&amp;$A254,実績!$AJ$6:$AJ$505,"&gt;"&amp;$A254,実績!$AK$6:$AK$505,"○")&gt;0,1,0))</f>
        <v>0</v>
      </c>
      <c r="D254" s="39" t="n">
        <f aca="false">IF(D$4=0,0,IF(COUNTIFS(実績!$W$6:$W$505,D$3,実績!$AI$6:$AI$505,"&lt;="&amp;$A254,実績!$AJ$6:$AJ$505,"&gt;"&amp;$A254,実績!$AK$6:$AK$505,"○")&gt;0,1,0))</f>
        <v>0</v>
      </c>
      <c r="E254" s="39" t="n">
        <f aca="false">IF(E$4=0,0,IF(COUNTIFS(実績!$W$6:$W$505,E$3,実績!$AI$6:$AI$505,"&lt;="&amp;$A254,実績!$AJ$6:$AJ$505,"&gt;"&amp;$A254,実績!$AK$6:$AK$505,"○")&gt;0,1,0))</f>
        <v>0</v>
      </c>
      <c r="F254" s="39" t="n">
        <f aca="false">IF(F$4=0,0,IF(COUNTIFS(実績!$W$6:$W$505,F$3,実績!$AI$6:$AI$505,"&lt;="&amp;$A254,実績!$AJ$6:$AJ$505,"&gt;"&amp;$A254,実績!$AK$6:$AK$505,"○")&gt;0,1,0))</f>
        <v>0</v>
      </c>
      <c r="G254" s="39" t="n">
        <f aca="false">IF(G$4=0,0,IF(COUNTIFS(実績!$W$6:$W$505,G$3,実績!$AI$6:$AI$505,"&lt;="&amp;$A254,実績!$AJ$6:$AJ$505,"&gt;"&amp;$A254,実績!$AK$6:$AK$505,"○")&gt;0,1,0))</f>
        <v>0</v>
      </c>
      <c r="H254" s="39" t="n">
        <f aca="false">IF(H$4=0,0,IF(COUNTIFS(実績!$W$6:$W$505,H$3,実績!$AI$6:$AI$505,"&lt;="&amp;$A254,実績!$AJ$6:$AJ$505,"&gt;"&amp;$A254,実績!$AK$6:$AK$505,"○")&gt;0,1,0))</f>
        <v>0</v>
      </c>
      <c r="I254" s="39" t="n">
        <f aca="false">IF(I$4=0,0,IF(COUNTIFS(実績!$W$6:$W$505,I$3,実績!$AI$6:$AI$505,"&lt;="&amp;$A254,実績!$AJ$6:$AJ$505,"&gt;"&amp;$A254,実績!$AK$6:$AK$505,"○")&gt;0,1,0))</f>
        <v>0</v>
      </c>
      <c r="J254" s="39" t="n">
        <f aca="false">IF(J$4=0,0,IF(COUNTIFS(実績!$W$6:$W$505,J$3,実績!$AI$6:$AI$505,"&lt;="&amp;$A254,実績!$AJ$6:$AJ$505,"&gt;"&amp;$A254,実績!$AK$6:$AK$505,"○")&gt;0,1,0))</f>
        <v>0</v>
      </c>
      <c r="K254" s="39" t="n">
        <f aca="false">IF(K$4=0,0,IF(COUNTIFS(実績!$W$6:$W$505,K$3,実績!$AI$6:$AI$505,"&lt;="&amp;$A254,実績!$AJ$6:$AJ$505,"&gt;"&amp;$A254,実績!$AK$6:$AK$505,"○")&gt;0,1,0))</f>
        <v>0</v>
      </c>
      <c r="L254" s="39" t="n">
        <f aca="false">IF(L$4=0,0,IF(COUNTIFS(実績!$W$6:$W$505,L$3,実績!$AI$6:$AI$505,"&lt;="&amp;$A254,実績!$AJ$6:$AJ$505,"&gt;"&amp;$A254,実績!$AK$6:$AK$505,"○")&gt;0,1,0))</f>
        <v>0</v>
      </c>
      <c r="M254" s="39" t="n">
        <f aca="false">IF(M$4=0,0,IF(COUNTIFS(実績!$W$6:$W$505,M$3,実績!$AI$6:$AI$505,"&lt;="&amp;$A254,実績!$AJ$6:$AJ$505,"&gt;"&amp;$A254,実績!$AK$6:$AK$505,"○")&gt;0,1,0))</f>
        <v>0</v>
      </c>
      <c r="N254" s="39" t="n">
        <f aca="false">IF(N$4=0,0,IF(COUNTIFS(実績!$W$6:$W$505,N$3,実績!$AI$6:$AI$505,"&lt;="&amp;$A254,実績!$AJ$6:$AJ$505,"&gt;"&amp;$A254,実績!$AK$6:$AK$505,"○")&gt;0,1,0))</f>
        <v>0</v>
      </c>
      <c r="O254" s="39" t="n">
        <f aca="false">IF(O$4=0,0,IF(COUNTIFS(実績!$W$6:$W$505,O$3,実績!$AI$6:$AI$505,"&lt;="&amp;$A254,実績!$AJ$6:$AJ$505,"&gt;"&amp;$A254,実績!$AK$6:$AK$505,"○")&gt;0,1,0))</f>
        <v>0</v>
      </c>
      <c r="P254" s="39" t="n">
        <f aca="false">IF(P$4=0,0,IF(COUNTIFS(実績!$W$6:$W$505,P$3,実績!$AI$6:$AI$505,"&lt;="&amp;$A254,実績!$AJ$6:$AJ$505,"&gt;"&amp;$A254,実績!$AK$6:$AK$505,"○")&gt;0,1,0))</f>
        <v>0</v>
      </c>
      <c r="Q254" s="39" t="n">
        <f aca="false">IF(Q$4=0,0,IF(COUNTIFS(実績!$W$6:$W$505,Q$3,実績!$AI$6:$AI$505,"&lt;="&amp;$A254,実績!$AJ$6:$AJ$505,"&gt;"&amp;$A254,実績!$AK$6:$AK$505,"○")&gt;0,1,0))</f>
        <v>0</v>
      </c>
      <c r="R254" s="39" t="n">
        <f aca="false">IF(R$4=0,0,IF(COUNTIFS(実績!$W$6:$W$505,R$3,実績!$AI$6:$AI$505,"&lt;="&amp;$A254,実績!$AJ$6:$AJ$505,"&gt;"&amp;$A254,実績!$AK$6:$AK$505,"○")&gt;0,1,0))</f>
        <v>0</v>
      </c>
      <c r="S254" s="39" t="n">
        <f aca="false">IF(S$4=0,0,IF(COUNTIFS(実績!$W$6:$W$505,S$3,実績!$AI$6:$AI$505,"&lt;="&amp;$A254,実績!$AJ$6:$AJ$505,"&gt;"&amp;$A254,実績!$AK$6:$AK$505,"○")&gt;0,1,0))</f>
        <v>0</v>
      </c>
      <c r="T254" s="39" t="n">
        <f aca="false">IF(T$4=0,0,IF(COUNTIFS(実績!$W$6:$W$505,T$3,実績!$AI$6:$AI$505,"&lt;="&amp;$A254,実績!$AJ$6:$AJ$505,"&gt;"&amp;$A254,実績!$AK$6:$AK$505,"○")&gt;0,1,0))</f>
        <v>0</v>
      </c>
      <c r="U254" s="39" t="n">
        <f aca="false">IF(U$4=0,0,IF(COUNTIFS(実績!$W$6:$W$505,U$3,実績!$AI$6:$AI$505,"&lt;="&amp;$A254,実績!$AJ$6:$AJ$505,"&gt;"&amp;$A254,実績!$AK$6:$AK$505,"○")&gt;0,1,0))</f>
        <v>0</v>
      </c>
      <c r="V254" s="39" t="n">
        <f aca="false">IF(V$4=0,0,IF(COUNTIFS(実績!$W$6:$W$505,V$3,実績!$AI$6:$AI$505,"&lt;="&amp;$A254,実績!$AJ$6:$AJ$505,"&gt;"&amp;$A254,実績!$AK$6:$AK$505,"○")&gt;0,1,0))</f>
        <v>0</v>
      </c>
      <c r="W254" s="39" t="n">
        <f aca="false">IF(W$4=0,0,IF(COUNTIFS(実績!$W$6:$W$505,W$3,実績!$AI$6:$AI$505,"&lt;="&amp;$A254,実績!$AJ$6:$AJ$505,"&gt;"&amp;$A254,実績!$AK$6:$AK$505,"○")&gt;0,1,0))</f>
        <v>0</v>
      </c>
      <c r="X254" s="39" t="n">
        <f aca="false">IF(X$4=0,0,IF(COUNTIFS(実績!$W$6:$W$505,X$3,実績!$AI$6:$AI$505,"&lt;="&amp;$A254,実績!$AJ$6:$AJ$505,"&gt;"&amp;$A254,実績!$AK$6:$AK$505,"○")&gt;0,1,0))</f>
        <v>0</v>
      </c>
      <c r="Y254" s="39" t="n">
        <f aca="false">IF(Y$4=0,0,IF(COUNTIFS(実績!$W$6:$W$505,Y$3,実績!$AI$6:$AI$505,"&lt;="&amp;$A254,実績!$AJ$6:$AJ$505,"&gt;"&amp;$A254,実績!$AK$6:$AK$505,"○")&gt;0,1,0))</f>
        <v>0</v>
      </c>
      <c r="Z254" s="39" t="n">
        <f aca="false">IF(Z$4=0,0,IF(COUNTIFS(実績!$W$6:$W$505,Z$3,実績!$AI$6:$AI$505,"&lt;="&amp;$A254,実績!$AJ$6:$AJ$505,"&gt;"&amp;$A254,実績!$AK$6:$AK$505,"○")&gt;0,1,0))</f>
        <v>0</v>
      </c>
      <c r="AA254" s="39" t="n">
        <f aca="false">IF(AA$4=0,0,IF(COUNTIFS(実績!$W$6:$W$505,AA$3,実績!$AI$6:$AI$505,"&lt;="&amp;$A254,実績!$AJ$6:$AJ$505,"&gt;"&amp;$A254,実績!$AK$6:$AK$505,"○")&gt;0,1,0))</f>
        <v>0</v>
      </c>
      <c r="AB254" s="39" t="n">
        <f aca="false">IF(AB$4=0,0,IF(COUNTIFS(実績!$W$6:$W$505,AB$3,実績!$AI$6:$AI$505,"&lt;="&amp;$A254,実績!$AJ$6:$AJ$505,"&gt;"&amp;$A254,実績!$AK$6:$AK$505,"○")&gt;0,1,0))</f>
        <v>0</v>
      </c>
      <c r="AC254" s="39" t="n">
        <f aca="false">IF(AC$4=0,0,IF(COUNTIFS(実績!$W$6:$W$505,AC$3,実績!$AI$6:$AI$505,"&lt;="&amp;$A254,実績!$AJ$6:$AJ$505,"&gt;"&amp;$A254,実績!$AK$6:$AK$505,"○")&gt;0,1,0))</f>
        <v>0</v>
      </c>
      <c r="AD254" s="39" t="n">
        <f aca="false">IF(AD$4=0,0,IF(COUNTIFS(実績!$W$6:$W$505,AD$3,実績!$AI$6:$AI$505,"&lt;="&amp;$A254,実績!$AJ$6:$AJ$505,"&gt;"&amp;$A254,実績!$AK$6:$AK$505,"○")&gt;0,1,0))</f>
        <v>0</v>
      </c>
      <c r="AE254" s="39" t="n">
        <f aca="false">IF(AE$4=0,0,IF(COUNTIFS(実績!$W$6:$W$505,AE$3,実績!$AI$6:$AI$505,"&lt;="&amp;$A254,実績!$AJ$6:$AJ$505,"&gt;"&amp;$A254,実績!$AK$6:$AK$505,"○")&gt;0,1,0))</f>
        <v>0</v>
      </c>
      <c r="AF254" s="39" t="n">
        <f aca="false">IF(AF$4=0,0,IF(COUNTIFS(実績!$W$6:$W$505,AF$3,実績!$AI$6:$AI$505,"&lt;="&amp;$A254,実績!$AJ$6:$AJ$505,"&gt;"&amp;$A254,実績!$AK$6:$AK$505,"○")&gt;0,1,0))</f>
        <v>0</v>
      </c>
      <c r="AG254" s="39" t="n">
        <f aca="false">IF(AG$4=0,0,IF(COUNTIFS(実績!$W$6:$W$505,AG$3,実績!$AI$6:$AI$505,"&lt;="&amp;$A254,実績!$AJ$6:$AJ$505,"&gt;"&amp;$A254,実績!$AK$6:$AK$505,"○")&gt;0,1,0))</f>
        <v>0</v>
      </c>
      <c r="AH254" s="39" t="n">
        <f aca="false">IF(AH$4=0,0,IF(COUNTIFS(実績!$W$6:$W$505,AH$3,実績!$AI$6:$AI$505,"&lt;="&amp;$A254,実績!$AJ$6:$AJ$505,"&gt;"&amp;$A254,実績!$AK$6:$AK$505,"○")&gt;0,1,0))</f>
        <v>0</v>
      </c>
      <c r="AI254" s="39" t="n">
        <f aca="false">IF(AI$4=0,0,IF(COUNTIFS(実績!$W$6:$W$505,AI$3,実績!$AI$6:$AI$505,"&lt;="&amp;$A254,実績!$AJ$6:$AJ$505,"&gt;"&amp;$A254,実績!$AK$6:$AK$505,"○")&gt;0,1,0))</f>
        <v>0</v>
      </c>
      <c r="AJ254" s="39" t="n">
        <f aca="false">IF(AJ$4=0,0,IF(COUNTIFS(実績!$W$6:$W$505,AJ$3,実績!$AI$6:$AI$505,"&lt;="&amp;$A254,実績!$AJ$6:$AJ$505,"&gt;"&amp;$A254,実績!$AK$6:$AK$505,"○")&gt;0,1,0))</f>
        <v>0</v>
      </c>
      <c r="AK254" s="39" t="n">
        <f aca="false">IF(AK$4=0,0,IF(COUNTIFS(実績!$W$6:$W$505,AK$3,実績!$AI$6:$AI$505,"&lt;="&amp;$A254,実績!$AJ$6:$AJ$505,"&gt;"&amp;$A254,実績!$AK$6:$AK$505,"○")&gt;0,1,0))</f>
        <v>0</v>
      </c>
      <c r="AL254" s="39" t="n">
        <f aca="false">IF(AL$4=0,0,IF(COUNTIFS(実績!$W$6:$W$505,AL$3,実績!$AI$6:$AI$505,"&lt;="&amp;$A254,実績!$AJ$6:$AJ$505,"&gt;"&amp;$A254,実績!$AK$6:$AK$505,"○")&gt;0,1,0))</f>
        <v>0</v>
      </c>
      <c r="AM254" s="39" t="n">
        <f aca="false">IF(AM$4=0,0,IF(COUNTIFS(実績!$W$6:$W$505,AM$3,実績!$AI$6:$AI$505,"&lt;="&amp;$A254,実績!$AJ$6:$AJ$505,"&gt;"&amp;$A254,実績!$AK$6:$AK$505,"○")&gt;0,1,0))</f>
        <v>0</v>
      </c>
      <c r="AN254" s="39" t="n">
        <f aca="false">IF(AN$4=0,0,IF(COUNTIFS(実績!$W$6:$W$505,AN$3,実績!$AI$6:$AI$505,"&lt;="&amp;$A254,実績!$AJ$6:$AJ$505,"&gt;"&amp;$A254,実績!$AK$6:$AK$505,"○")&gt;0,1,0))</f>
        <v>0</v>
      </c>
      <c r="AO254" s="39" t="n">
        <f aca="false">IF(AO$4=0,0,IF(COUNTIFS(実績!$W$6:$W$505,AO$3,実績!$AI$6:$AI$505,"&lt;="&amp;$A254,実績!$AJ$6:$AJ$505,"&gt;"&amp;$A254,実績!$AK$6:$AK$505,"○")&gt;0,1,0))</f>
        <v>0</v>
      </c>
      <c r="AP254" s="39" t="n">
        <f aca="false">IF(AP$4=0,0,IF(COUNTIFS(実績!$W$6:$W$505,AP$3,実績!$AI$6:$AI$505,"&lt;="&amp;$A254,実績!$AJ$6:$AJ$505,"&gt;"&amp;$A254,実績!$AK$6:$AK$505,"○")&gt;0,1,0))</f>
        <v>0</v>
      </c>
      <c r="AQ254" s="39" t="n">
        <f aca="false">IF(AQ$4=0,0,IF(COUNTIFS(実績!$W$6:$W$505,AQ$3,実績!$AI$6:$AI$505,"&lt;="&amp;$A254,実績!$AJ$6:$AJ$505,"&gt;"&amp;$A254,実績!$AK$6:$AK$505,"○")&gt;0,1,0))</f>
        <v>0</v>
      </c>
      <c r="AR254" s="39" t="n">
        <f aca="false">IF(AR$4=0,0,IF(COUNTIFS(実績!$W$6:$W$505,AR$3,実績!$AI$6:$AI$505,"&lt;="&amp;$A254,実績!$AJ$6:$AJ$505,"&gt;"&amp;$A254,実績!$AK$6:$AK$505,"○")&gt;0,1,0))</f>
        <v>0</v>
      </c>
      <c r="AS254" s="39" t="n">
        <f aca="false">IF(AS$4=0,0,IF(COUNTIFS(実績!$W$6:$W$505,AS$3,実績!$AI$6:$AI$505,"&lt;="&amp;$A254,実績!$AJ$6:$AJ$505,"&gt;"&amp;$A254,実績!$AK$6:$AK$505,"○")&gt;0,1,0))</f>
        <v>0</v>
      </c>
      <c r="AT254" s="39" t="n">
        <f aca="false">IF(AT$4=0,0,IF(COUNTIFS(実績!$W$6:$W$505,AT$3,実績!$AI$6:$AI$505,"&lt;="&amp;$A254,実績!$AJ$6:$AJ$505,"&gt;"&amp;$A254,実績!$AK$6:$AK$505,"○")&gt;0,1,0))</f>
        <v>0</v>
      </c>
      <c r="AU254" s="39" t="n">
        <f aca="false">IF(AU$4=0,0,IF(COUNTIFS(実績!$W$6:$W$505,AU$3,実績!$AI$6:$AI$505,"&lt;="&amp;$A254,実績!$AJ$6:$AJ$505,"&gt;"&amp;$A254,実績!$AK$6:$AK$505,"○")&gt;0,1,0))</f>
        <v>0</v>
      </c>
      <c r="AV254" s="39" t="n">
        <f aca="false">IF(AV$4=0,0,IF(COUNTIFS(実績!$W$6:$W$505,AV$3,実績!$AI$6:$AI$505,"&lt;="&amp;$A254,実績!$AJ$6:$AJ$505,"&gt;"&amp;$A254,実績!$AK$6:$AK$505,"○")&gt;0,1,0))</f>
        <v>0</v>
      </c>
      <c r="AW254" s="39" t="n">
        <f aca="false">IF(AW$4=0,0,IF(COUNTIFS(実績!$W$6:$W$505,AW$3,実績!$AI$6:$AI$505,"&lt;="&amp;$A254,実績!$AJ$6:$AJ$505,"&gt;"&amp;$A254,実績!$AK$6:$AK$505,"○")&gt;0,1,0))</f>
        <v>0</v>
      </c>
      <c r="AX254" s="39" t="n">
        <f aca="false">IF(AX$4=0,0,IF(COUNTIFS(実績!$W$6:$W$505,AX$3,実績!$AI$6:$AI$505,"&lt;="&amp;$A254,実績!$AJ$6:$AJ$505,"&gt;"&amp;$A254,実績!$AK$6:$AK$505,"○")&gt;0,1,0))</f>
        <v>0</v>
      </c>
      <c r="AY254" s="39" t="n">
        <f aca="false">IF(AY$4=0,0,IF(COUNTIFS(実績!$W$6:$W$505,AY$3,実績!$AI$6:$AI$505,"&lt;="&amp;$A254,実績!$AJ$6:$AJ$505,"&gt;"&amp;$A254,実績!$AK$6:$AK$505,"○")&gt;0,1,0))</f>
        <v>0</v>
      </c>
      <c r="AZ254" s="39" t="n">
        <f aca="false">IF(AZ$4=0,0,IF(COUNTIFS(実績!$W$6:$W$505,AZ$3,実績!$AI$6:$AI$505,"&lt;="&amp;$A254,実績!$AJ$6:$AJ$505,"&gt;"&amp;$A254,実績!$AK$6:$AK$505,"○")&gt;0,1,0))</f>
        <v>0</v>
      </c>
      <c r="BA254" s="39" t="n">
        <f aca="false">IF(BA$4=0,0,IF(COUNTIFS(実績!$W$6:$W$505,BA$3,実績!$AI$6:$AI$505,"&lt;="&amp;$A254,実績!$AJ$6:$AJ$505,"&gt;"&amp;$A254,実績!$AK$6:$AK$505,"○")&gt;0,1,0))</f>
        <v>0</v>
      </c>
      <c r="BB254" s="39" t="n">
        <f aca="false">IF(BB$4=0,0,IF(COUNTIFS(実績!$W$6:$W$505,BB$3,実績!$AI$6:$AI$505,"&lt;="&amp;$A254,実績!$AJ$6:$AJ$505,"&gt;"&amp;$A254,実績!$AK$6:$AK$505,"○")&gt;0,1,0))</f>
        <v>0</v>
      </c>
      <c r="BC254" s="39" t="n">
        <f aca="false">IF(BC$4=0,0,IF(COUNTIFS(実績!$W$6:$W$505,BC$3,実績!$AI$6:$AI$505,"&lt;="&amp;$A254,実績!$AJ$6:$AJ$505,"&gt;"&amp;$A254,実績!$AK$6:$AK$505,"○")&gt;0,1,0))</f>
        <v>0</v>
      </c>
      <c r="BD254" s="39" t="n">
        <f aca="false">IF(BD$4=0,0,IF(COUNTIFS(実績!$W$6:$W$505,BD$3,実績!$AI$6:$AI$505,"&lt;="&amp;$A254,実績!$AJ$6:$AJ$505,"&gt;"&amp;$A254,実績!$AK$6:$AK$505,"○")&gt;0,1,0))</f>
        <v>0</v>
      </c>
      <c r="BE254" s="39" t="n">
        <f aca="false">IF(BE$4=0,0,IF(COUNTIFS(実績!$W$6:$W$505,BE$3,実績!$AI$6:$AI$505,"&lt;="&amp;$A254,実績!$AJ$6:$AJ$505,"&gt;"&amp;$A254,実績!$AK$6:$AK$505,"○")&gt;0,1,0))</f>
        <v>0</v>
      </c>
      <c r="BF254" s="39" t="n">
        <f aca="false">IF(BF$4=0,0,IF(COUNTIFS(実績!$W$6:$W$505,BF$3,実績!$AI$6:$AI$505,"&lt;="&amp;$A254,実績!$AJ$6:$AJ$505,"&gt;"&amp;$A254,実績!$AK$6:$AK$505,"○")&gt;0,1,0))</f>
        <v>0</v>
      </c>
      <c r="BG254" s="39" t="n">
        <f aca="false">IF(BG$4=0,0,IF(COUNTIFS(実績!$W$6:$W$505,BG$3,実績!$AI$6:$AI$505,"&lt;="&amp;$A254,実績!$AJ$6:$AJ$505,"&gt;"&amp;$A254,実績!$AK$6:$AK$505,"○")&gt;0,1,0))</f>
        <v>0</v>
      </c>
      <c r="BH254" s="39" t="n">
        <f aca="false">IF(BH$4=0,0,IF(COUNTIFS(実績!$W$6:$W$505,BH$3,実績!$AI$6:$AI$505,"&lt;="&amp;$A254,実績!$AJ$6:$AJ$505,"&gt;"&amp;$A254,実績!$AK$6:$AK$505,"○")&gt;0,1,0))</f>
        <v>0</v>
      </c>
      <c r="BI254" s="39" t="n">
        <f aca="false">IF(BI$4=0,0,IF(COUNTIFS(実績!$W$6:$W$505,BI$3,実績!$AI$6:$AI$505,"&lt;="&amp;$A254,実績!$AJ$6:$AJ$505,"&gt;"&amp;$A254,実績!$AK$6:$AK$505,"○")&gt;0,1,0))</f>
        <v>0</v>
      </c>
      <c r="BJ254" s="39" t="n">
        <f aca="false">IF(BJ$4=0,0,IF(COUNTIFS(実績!$W$6:$W$505,BJ$3,実績!$AI$6:$AI$505,"&lt;="&amp;$A254,実績!$AJ$6:$AJ$505,"&gt;"&amp;$A254,実績!$AK$6:$AK$505,"○")&gt;0,1,0))</f>
        <v>0</v>
      </c>
      <c r="BK254" s="39" t="n">
        <f aca="false">IF(BK$4=0,0,IF(COUNTIFS(実績!$W$6:$W$505,BK$3,実績!$AI$6:$AI$505,"&lt;="&amp;$A254,実績!$AJ$6:$AJ$505,"&gt;"&amp;$A254,実績!$AK$6:$AK$505,"○")&gt;0,1,0))</f>
        <v>0</v>
      </c>
      <c r="BL254" s="39" t="n">
        <f aca="false">IF(BL$4=0,0,IF(COUNTIFS(実績!$W$6:$W$505,BL$3,実績!$AI$6:$AI$505,"&lt;="&amp;$A254,実績!$AJ$6:$AJ$505,"&gt;"&amp;$A254,実績!$AK$6:$AK$505,"○")&gt;0,1,0))</f>
        <v>0</v>
      </c>
      <c r="BM254" s="39" t="n">
        <f aca="false">IF(BM$4=0,0,IF(COUNTIFS(実績!$W$6:$W$505,BM$3,実績!$AI$6:$AI$505,"&lt;="&amp;$A254,実績!$AJ$6:$AJ$505,"&gt;"&amp;$A254,実績!$AK$6:$AK$505,"○")&gt;0,1,0))</f>
        <v>0</v>
      </c>
      <c r="BN254" s="39" t="n">
        <f aca="false">IF(BN$4=0,0,IF(COUNTIFS(実績!$W$6:$W$505,BN$3,実績!$AI$6:$AI$505,"&lt;="&amp;$A254,実績!$AJ$6:$AJ$505,"&gt;"&amp;$A254,実績!$AK$6:$AK$505,"○")&gt;0,1,0))</f>
        <v>0</v>
      </c>
      <c r="BO254" s="39" t="n">
        <f aca="false">IF(BO$4=0,0,IF(COUNTIFS(実績!$W$6:$W$505,BO$3,実績!$AI$6:$AI$505,"&lt;="&amp;$A254,実績!$AJ$6:$AJ$505,"&gt;"&amp;$A254,実績!$AK$6:$AK$505,"○")&gt;0,1,0))</f>
        <v>0</v>
      </c>
      <c r="BP254" s="39" t="n">
        <f aca="false">IF(BP$4=0,0,IF(COUNTIFS(実績!$W$6:$W$505,BP$3,実績!$AI$6:$AI$505,"&lt;="&amp;$A254,実績!$AJ$6:$AJ$505,"&gt;"&amp;$A254,実績!$AK$6:$AK$505,"○")&gt;0,1,0))</f>
        <v>0</v>
      </c>
      <c r="BQ254" s="39" t="n">
        <f aca="false">IF(BQ$4=0,0,IF(COUNTIFS(実績!$W$6:$W$505,BQ$3,実績!$AI$6:$AI$505,"&lt;="&amp;$A254,実績!$AJ$6:$AJ$505,"&gt;"&amp;$A254,実績!$AK$6:$AK$505,"○")&gt;0,1,0))</f>
        <v>0</v>
      </c>
      <c r="BR254" s="39" t="n">
        <f aca="false">IF(BR$4=0,0,IF(COUNTIFS(実績!$W$6:$W$505,BR$3,実績!$AI$6:$AI$505,"&lt;="&amp;$A254,実績!$AJ$6:$AJ$505,"&gt;"&amp;$A254,実績!$AK$6:$AK$505,"○")&gt;0,1,0))</f>
        <v>0</v>
      </c>
      <c r="BS254" s="39" t="n">
        <f aca="false">IF(BS$4=0,0,IF(COUNTIFS(実績!$W$6:$W$505,BS$3,実績!$AI$6:$AI$505,"&lt;="&amp;$A254,実績!$AJ$6:$AJ$505,"&gt;"&amp;$A254,実績!$AK$6:$AK$505,"○")&gt;0,1,0))</f>
        <v>0</v>
      </c>
      <c r="BT254" s="39" t="n">
        <f aca="false">IF(BT$4=0,0,IF(COUNTIFS(実績!$W$6:$W$505,BT$3,実績!$AI$6:$AI$505,"&lt;="&amp;$A254,実績!$AJ$6:$AJ$505,"&gt;"&amp;$A254,実績!$AK$6:$AK$505,"○")&gt;0,1,0))</f>
        <v>0</v>
      </c>
      <c r="BU254" s="39" t="n">
        <f aca="false">IF(BU$4=0,0,IF(COUNTIFS(実績!$W$6:$W$505,BU$3,実績!$AI$6:$AI$505,"&lt;="&amp;$A254,実績!$AJ$6:$AJ$505,"&gt;"&amp;$A254,実績!$AK$6:$AK$505,"○")&gt;0,1,0))</f>
        <v>0</v>
      </c>
      <c r="BV254" s="39" t="n">
        <f aca="false">IF(BV$4=0,0,IF(COUNTIFS(実績!$W$6:$W$505,BV$3,実績!$AI$6:$AI$505,"&lt;="&amp;$A254,実績!$AJ$6:$AJ$505,"&gt;"&amp;$A254,実績!$AK$6:$AK$505,"○")&gt;0,1,0))</f>
        <v>0</v>
      </c>
      <c r="BW254" s="39" t="n">
        <f aca="false">IF(BW$4=0,0,IF(COUNTIFS(実績!$W$6:$W$505,BW$3,実績!$AI$6:$AI$505,"&lt;="&amp;$A254,実績!$AJ$6:$AJ$505,"&gt;"&amp;$A254,実績!$AK$6:$AK$505,"○")&gt;0,1,0))</f>
        <v>0</v>
      </c>
      <c r="BX254" s="39" t="n">
        <f aca="false">IF(BX$4=0,0,IF(COUNTIFS(実績!$W$6:$W$505,BX$3,実績!$AI$6:$AI$505,"&lt;="&amp;$A254,実績!$AJ$6:$AJ$505,"&gt;"&amp;$A254,実績!$AK$6:$AK$505,"○")&gt;0,1,0))</f>
        <v>0</v>
      </c>
      <c r="BY254" s="39" t="n">
        <f aca="false">IF(BY$4=0,0,IF(COUNTIFS(実績!$W$6:$W$505,BY$3,実績!$AI$6:$AI$505,"&lt;="&amp;$A254,実績!$AJ$6:$AJ$505,"&gt;"&amp;$A254,実績!$AK$6:$AK$505,"○")&gt;0,1,0))</f>
        <v>0</v>
      </c>
      <c r="BZ254" s="39" t="n">
        <f aca="false">IF(BZ$4=0,0,IF(COUNTIFS(実績!$W$6:$W$505,BZ$3,実績!$AI$6:$AI$505,"&lt;="&amp;$A254,実績!$AJ$6:$AJ$505,"&gt;"&amp;$A254,実績!$AK$6:$AK$505,"○")&gt;0,1,0))</f>
        <v>0</v>
      </c>
      <c r="CA254" s="39" t="n">
        <f aca="false">IF(CA$4=0,0,IF(COUNTIFS(実績!$W$6:$W$505,CA$3,実績!$AI$6:$AI$505,"&lt;="&amp;$A254,実績!$AJ$6:$AJ$505,"&gt;"&amp;$A254,実績!$AK$6:$AK$505,"○")&gt;0,1,0))</f>
        <v>0</v>
      </c>
      <c r="CB254" s="39" t="n">
        <f aca="false">IF(CB$4=0,0,IF(COUNTIFS(実績!$W$6:$W$505,CB$3,実績!$AI$6:$AI$505,"&lt;="&amp;$A254,実績!$AJ$6:$AJ$505,"&gt;"&amp;$A254,実績!$AK$6:$AK$505,"○")&gt;0,1,0))</f>
        <v>0</v>
      </c>
      <c r="CC254" s="39" t="n">
        <f aca="false">IF(CC$4=0,0,IF(COUNTIFS(実績!$W$6:$W$505,CC$3,実績!$AI$6:$AI$505,"&lt;="&amp;$A254,実績!$AJ$6:$AJ$505,"&gt;"&amp;$A254,実績!$AK$6:$AK$505,"○")&gt;0,1,0))</f>
        <v>0</v>
      </c>
      <c r="CD254" s="39" t="n">
        <f aca="false">IF(CD$4=0,0,IF(COUNTIFS(実績!$W$6:$W$505,CD$3,実績!$AI$6:$AI$505,"&lt;="&amp;$A254,実績!$AJ$6:$AJ$505,"&gt;"&amp;$A254,実績!$AK$6:$AK$505,"○")&gt;0,1,0))</f>
        <v>0</v>
      </c>
      <c r="CE254" s="39" t="n">
        <f aca="false">IF(CE$4=0,0,IF(COUNTIFS(実績!$W$6:$W$505,CE$3,実績!$AI$6:$AI$505,"&lt;="&amp;$A254,実績!$AJ$6:$AJ$505,"&gt;"&amp;$A254,実績!$AK$6:$AK$505,"○")&gt;0,1,0))</f>
        <v>0</v>
      </c>
      <c r="CF254" s="39" t="n">
        <f aca="false">IF(CF$4=0,0,IF(COUNTIFS(実績!$W$6:$W$505,CF$3,実績!$AI$6:$AI$505,"&lt;="&amp;$A254,実績!$AJ$6:$AJ$505,"&gt;"&amp;$A254,実績!$AK$6:$AK$505,"○")&gt;0,1,0))</f>
        <v>0</v>
      </c>
      <c r="CG254" s="39" t="n">
        <f aca="false">IF(CG$4=0,0,IF(COUNTIFS(実績!$W$6:$W$505,CG$3,実績!$AI$6:$AI$505,"&lt;="&amp;$A254,実績!$AJ$6:$AJ$505,"&gt;"&amp;$A254,実績!$AK$6:$AK$505,"○")&gt;0,1,0))</f>
        <v>0</v>
      </c>
      <c r="CH254" s="39" t="n">
        <f aca="false">IF(CH$4=0,0,IF(COUNTIFS(実績!$W$6:$W$505,CH$3,実績!$AI$6:$AI$505,"&lt;="&amp;$A254,実績!$AJ$6:$AJ$505,"&gt;"&amp;$A254,実績!$AK$6:$AK$505,"○")&gt;0,1,0))</f>
        <v>0</v>
      </c>
      <c r="CI254" s="39" t="n">
        <f aca="false">IF(CI$4=0,0,IF(COUNTIFS(実績!$W$6:$W$505,CI$3,実績!$AI$6:$AI$505,"&lt;="&amp;$A254,実績!$AJ$6:$AJ$505,"&gt;"&amp;$A254,実績!$AK$6:$AK$505,"○")&gt;0,1,0))</f>
        <v>0</v>
      </c>
      <c r="CJ254" s="39" t="n">
        <f aca="false">IF(CJ$4=0,0,IF(COUNTIFS(実績!$W$6:$W$505,CJ$3,実績!$AI$6:$AI$505,"&lt;="&amp;$A254,実績!$AJ$6:$AJ$505,"&gt;"&amp;$A254,実績!$AK$6:$AK$505,"○")&gt;0,1,0))</f>
        <v>0</v>
      </c>
      <c r="CK254" s="39" t="n">
        <f aca="false">IF(CK$4=0,0,IF(COUNTIFS(実績!$W$6:$W$505,CK$3,実績!$AI$6:$AI$505,"&lt;="&amp;$A254,実績!$AJ$6:$AJ$505,"&gt;"&amp;$A254,実績!$AK$6:$AK$505,"○")&gt;0,1,0))</f>
        <v>0</v>
      </c>
      <c r="CL254" s="39" t="n">
        <f aca="false">IF(CL$4=0,0,IF(COUNTIFS(実績!$W$6:$W$505,CL$3,実績!$AI$6:$AI$505,"&lt;="&amp;$A254,実績!$AJ$6:$AJ$505,"&gt;"&amp;$A254,実績!$AK$6:$AK$505,"○")&gt;0,1,0))</f>
        <v>0</v>
      </c>
      <c r="CM254" s="39" t="n">
        <f aca="false">IF(CM$4=0,0,IF(COUNTIFS(実績!$W$6:$W$505,CM$3,実績!$AI$6:$AI$505,"&lt;="&amp;$A254,実績!$AJ$6:$AJ$505,"&gt;"&amp;$A254,実績!$AK$6:$AK$505,"○")&gt;0,1,0))</f>
        <v>0</v>
      </c>
      <c r="CN254" s="39" t="n">
        <f aca="false">IF(CN$4=0,0,IF(COUNTIFS(実績!$W$6:$W$505,CN$3,実績!$AI$6:$AI$505,"&lt;="&amp;$A254,実績!$AJ$6:$AJ$505,"&gt;"&amp;$A254,実績!$AK$6:$AK$505,"○")&gt;0,1,0))</f>
        <v>0</v>
      </c>
      <c r="CO254" s="39" t="n">
        <f aca="false">IF(CO$4=0,0,IF(COUNTIFS(実績!$W$6:$W$505,CO$3,実績!$AI$6:$AI$505,"&lt;="&amp;$A254,実績!$AJ$6:$AJ$505,"&gt;"&amp;$A254,実績!$AK$6:$AK$505,"○")&gt;0,1,0))</f>
        <v>0</v>
      </c>
      <c r="CP254" s="39" t="n">
        <f aca="false">IF(CP$4=0,0,IF(COUNTIFS(実績!$W$6:$W$505,CP$3,実績!$AI$6:$AI$505,"&lt;="&amp;$A254,実績!$AJ$6:$AJ$505,"&gt;"&amp;$A254,実績!$AK$6:$AK$505,"○")&gt;0,1,0))</f>
        <v>0</v>
      </c>
      <c r="CQ254" s="39" t="n">
        <f aca="false">IF(CQ$4=0,0,IF(COUNTIFS(実績!$W$6:$W$505,CQ$3,実績!$AI$6:$AI$505,"&lt;="&amp;$A254,実績!$AJ$6:$AJ$505,"&gt;"&amp;$A254,実績!$AK$6:$AK$505,"○")&gt;0,1,0))</f>
        <v>0</v>
      </c>
      <c r="CR254" s="39" t="n">
        <f aca="false">IF(CR$4=0,0,IF(COUNTIFS(実績!$W$6:$W$505,CR$3,実績!$AI$6:$AI$505,"&lt;="&amp;$A254,実績!$AJ$6:$AJ$505,"&gt;"&amp;$A254,実績!$AK$6:$AK$505,"○")&gt;0,1,0))</f>
        <v>0</v>
      </c>
      <c r="CS254" s="39" t="n">
        <f aca="false">IF(CS$4=0,0,IF(COUNTIFS(実績!$W$6:$W$505,CS$3,実績!$AI$6:$AI$505,"&lt;="&amp;$A254,実績!$AJ$6:$AJ$505,"&gt;"&amp;$A254,実績!$AK$6:$AK$505,"○")&gt;0,1,0))</f>
        <v>0</v>
      </c>
      <c r="CT254" s="39" t="n">
        <f aca="false">IF(CT$4=0,0,IF(COUNTIFS(実績!$W$6:$W$505,CT$3,実績!$AI$6:$AI$505,"&lt;="&amp;$A254,実績!$AJ$6:$AJ$505,"&gt;"&amp;$A254,実績!$AK$6:$AK$505,"○")&gt;0,1,0))</f>
        <v>0</v>
      </c>
      <c r="CU254" s="39" t="n">
        <f aca="false">IF(CU$4=0,0,IF(COUNTIFS(実績!$W$6:$W$505,CU$3,実績!$AI$6:$AI$505,"&lt;="&amp;$A254,実績!$AJ$6:$AJ$505,"&gt;"&amp;$A254,実績!$AK$6:$AK$505,"○")&gt;0,1,0))</f>
        <v>0</v>
      </c>
      <c r="CV254" s="39" t="n">
        <f aca="false">IF(CV$4=0,0,IF(COUNTIFS(実績!$W$6:$W$505,CV$3,実績!$AI$6:$AI$505,"&lt;="&amp;$A254,実績!$AJ$6:$AJ$505,"&gt;"&amp;$A254,実績!$AK$6:$AK$505,"○")&gt;0,1,0))</f>
        <v>0</v>
      </c>
      <c r="CW254" s="39" t="n">
        <f aca="false">IF(CW$4=0,0,IF(COUNTIFS(実績!$W$6:$W$505,CW$3,実績!$AI$6:$AI$505,"&lt;="&amp;$A254,実績!$AJ$6:$AJ$505,"&gt;"&amp;$A254,実績!$AK$6:$AK$505,"○")&gt;0,1,0))</f>
        <v>0</v>
      </c>
      <c r="CX254" s="39" t="n">
        <f aca="false">IF(CX$4=0,0,IF(COUNTIFS(実績!$W$6:$W$505,CX$3,実績!$AI$6:$AI$505,"&lt;="&amp;$A254,実績!$AJ$6:$AJ$505,"&gt;"&amp;$A254,実績!$AK$6:$AK$505,"○")&gt;0,1,0))</f>
        <v>0</v>
      </c>
      <c r="CY254" s="39" t="n">
        <f aca="false">IF(CY$4=0,0,IF(COUNTIFS(実績!$W$6:$W$505,CY$3,実績!$AI$6:$AI$505,"&lt;="&amp;$A254,実績!$AJ$6:$AJ$505,"&gt;"&amp;$A254,実績!$AK$6:$AK$505,"○")&gt;0,1,0))</f>
        <v>0</v>
      </c>
      <c r="CZ254" s="39" t="n">
        <f aca="false">IF(CZ$4=0,0,IF(COUNTIFS(実績!$W$6:$W$505,CZ$3,実績!$AI$6:$AI$505,"&lt;="&amp;$A254,実績!$AJ$6:$AJ$505,"&gt;"&amp;$A254,実績!$AK$6:$AK$505,"○")&gt;0,1,0))</f>
        <v>0</v>
      </c>
      <c r="DA254" s="39" t="n">
        <f aca="false">IF(DA$4=0,0,IF(COUNTIFS(実績!$W$6:$W$505,DA$3,実績!$AI$6:$AI$505,"&lt;="&amp;$A254,実績!$AJ$6:$AJ$505,"&gt;"&amp;$A254,実績!$AK$6:$AK$505,"○")&gt;0,1,0))</f>
        <v>0</v>
      </c>
      <c r="DB254" s="39" t="n">
        <f aca="false">IF(DB$4=0,0,IF(COUNTIFS(実績!$W$6:$W$505,DB$3,実績!$AI$6:$AI$505,"&lt;="&amp;$A254,実績!$AJ$6:$AJ$505,"&gt;"&amp;$A254,実績!$AK$6:$AK$505,"○")&gt;0,1,0))</f>
        <v>0</v>
      </c>
      <c r="DC254" s="39" t="n">
        <f aca="false">IF(DC$4=0,0,IF(COUNTIFS(実績!$W$6:$W$505,DC$3,実績!$AI$6:$AI$505,"&lt;="&amp;$A254,実績!$AJ$6:$AJ$505,"&gt;"&amp;$A254,実績!$AK$6:$AK$505,"○")&gt;0,1,0))</f>
        <v>0</v>
      </c>
      <c r="DD254" s="39" t="n">
        <f aca="false">IF(DD$4=0,0,IF(COUNTIFS(実績!$W$6:$W$505,DD$3,実績!$AI$6:$AI$505,"&lt;="&amp;$A254,実績!$AJ$6:$AJ$505,"&gt;"&amp;$A254,実績!$AK$6:$AK$505,"○")&gt;0,1,0))</f>
        <v>0</v>
      </c>
      <c r="DE254" s="39" t="n">
        <f aca="false">IF(DE$4=0,0,IF(COUNTIFS(実績!$W$6:$W$505,DE$3,実績!$AI$6:$AI$505,"&lt;="&amp;$A254,実績!$AJ$6:$AJ$505,"&gt;"&amp;$A254,実績!$AK$6:$AK$505,"○")&gt;0,1,0))</f>
        <v>0</v>
      </c>
      <c r="DF254" s="39" t="n">
        <f aca="false">IF(DF$4=0,0,IF(COUNTIFS(実績!$W$6:$W$505,DF$3,実績!$AI$6:$AI$505,"&lt;="&amp;$A254,実績!$AJ$6:$AJ$505,"&gt;"&amp;$A254,実績!$AK$6:$AK$505,"○")&gt;0,1,0))</f>
        <v>0</v>
      </c>
      <c r="DG254" s="39" t="n">
        <f aca="false">IF(DG$4=0,0,IF(COUNTIFS(実績!$W$6:$W$505,DG$3,実績!$AI$6:$AI$505,"&lt;="&amp;$A254,実績!$AJ$6:$AJ$505,"&gt;"&amp;$A254,実績!$AK$6:$AK$505,"○")&gt;0,1,0))</f>
        <v>0</v>
      </c>
      <c r="DH254" s="39" t="n">
        <f aca="false">IF(DH$4=0,0,IF(COUNTIFS(実績!$W$6:$W$505,DH$3,実績!$AI$6:$AI$505,"&lt;="&amp;$A254,実績!$AJ$6:$AJ$505,"&gt;"&amp;$A254,実績!$AK$6:$AK$505,"○")&gt;0,1,0))</f>
        <v>0</v>
      </c>
      <c r="DI254" s="39" t="n">
        <f aca="false">IF(DI$4=0,0,IF(COUNTIFS(実績!$W$6:$W$505,DI$3,実績!$AI$6:$AI$505,"&lt;="&amp;$A254,実績!$AJ$6:$AJ$505,"&gt;"&amp;$A254,実績!$AK$6:$AK$505,"○")&gt;0,1,0))</f>
        <v>0</v>
      </c>
      <c r="DJ254" s="39" t="n">
        <f aca="false">IF(DJ$4=0,0,IF(COUNTIFS(実績!$W$6:$W$505,DJ$3,実績!$AI$6:$AI$505,"&lt;="&amp;$A254,実績!$AJ$6:$AJ$505,"&gt;"&amp;$A254,実績!$AK$6:$AK$505,"○")&gt;0,1,0))</f>
        <v>0</v>
      </c>
      <c r="DK254" s="39" t="n">
        <f aca="false">IF(DK$4=0,0,IF(COUNTIFS(実績!$W$6:$W$505,DK$3,実績!$AI$6:$AI$505,"&lt;="&amp;$A254,実績!$AJ$6:$AJ$505,"&gt;"&amp;$A254,実績!$AK$6:$AK$505,"○")&gt;0,1,0))</f>
        <v>0</v>
      </c>
      <c r="DL254" s="39" t="n">
        <f aca="false">IF(DL$4=0,0,IF(COUNTIFS(実績!$W$6:$W$505,DL$3,実績!$AI$6:$AI$505,"&lt;="&amp;$A254,実績!$AJ$6:$AJ$505,"&gt;"&amp;$A254,実績!$AK$6:$AK$505,"○")&gt;0,1,0))</f>
        <v>0</v>
      </c>
      <c r="DM254" s="39" t="n">
        <f aca="false">IF(DM$4=0,0,IF(COUNTIFS(実績!$W$6:$W$505,DM$3,実績!$AI$6:$AI$505,"&lt;="&amp;$A254,実績!$AJ$6:$AJ$505,"&gt;"&amp;$A254,実績!$AK$6:$AK$505,"○")&gt;0,1,0))</f>
        <v>0</v>
      </c>
      <c r="DN254" s="39" t="n">
        <f aca="false">IF(DN$4=0,0,IF(COUNTIFS(実績!$W$6:$W$505,DN$3,実績!$AI$6:$AI$505,"&lt;="&amp;$A254,実績!$AJ$6:$AJ$505,"&gt;"&amp;$A254,実績!$AK$6:$AK$505,"○")&gt;0,1,0))</f>
        <v>0</v>
      </c>
      <c r="DO254" s="39" t="n">
        <f aca="false">IF(DO$4=0,0,IF(COUNTIFS(実績!$W$6:$W$505,DO$3,実績!$AI$6:$AI$505,"&lt;="&amp;$A254,実績!$AJ$6:$AJ$505,"&gt;"&amp;$A254,実績!$AK$6:$AK$505,"○")&gt;0,1,0))</f>
        <v>0</v>
      </c>
      <c r="DP254" s="39" t="n">
        <f aca="false">IF(DP$4=0,0,IF(COUNTIFS(実績!$W$6:$W$505,DP$3,実績!$AI$6:$AI$505,"&lt;="&amp;$A254,実績!$AJ$6:$AJ$505,"&gt;"&amp;$A254,実績!$AK$6:$AK$505,"○")&gt;0,1,0))</f>
        <v>0</v>
      </c>
      <c r="DQ254" s="39" t="n">
        <f aca="false">IF(DQ$4=0,0,IF(COUNTIFS(実績!$W$6:$W$505,DQ$3,実績!$AI$6:$AI$505,"&lt;="&amp;$A254,実績!$AJ$6:$AJ$505,"&gt;"&amp;$A254,実績!$AK$6:$AK$505,"○")&gt;0,1,0))</f>
        <v>0</v>
      </c>
      <c r="DR254" s="39" t="n">
        <f aca="false">IF(DR$4=0,0,IF(COUNTIFS(実績!$W$6:$W$505,DR$3,実績!$AI$6:$AI$505,"&lt;="&amp;$A254,実績!$AJ$6:$AJ$505,"&gt;"&amp;$A254,実績!$AK$6:$AK$505,"○")&gt;0,1,0))</f>
        <v>0</v>
      </c>
      <c r="DS254" s="39" t="n">
        <f aca="false">SUM(C254:DR254)</f>
        <v>0</v>
      </c>
      <c r="DT254" s="39" t="n">
        <f aca="false">SUMPRODUCT((実績!$C$6:$C$505="○")*ISNUMBER(実績!$AM$6:$AM$505)*(実績!$AM$6:$AM$505&lt;=$A254)*(実績!$AN$6:$AN$505&gt;$A254))</f>
        <v>0</v>
      </c>
      <c r="DU254" s="39" t="n">
        <f aca="false">SUMIF($C$2:$DR$2,"製鉄曳船",C254:DR254)</f>
        <v>0</v>
      </c>
      <c r="DV254" s="39" t="n">
        <f aca="false">SUMIF($C$2:$DR$2,"西日本海運",C254:DR254)</f>
        <v>0</v>
      </c>
    </row>
    <row r="255" customFormat="false" ht="15" hidden="false" customHeight="false" outlineLevel="0" collapsed="false">
      <c r="A255" s="0" t="n">
        <v>1245</v>
      </c>
      <c r="B255" s="38" t="n">
        <f aca="false">A255/1440</f>
        <v>0.864583333333333</v>
      </c>
      <c r="C255" s="39" t="n">
        <f aca="false">IF(C$4=0,0,IF(COUNTIFS(実績!$W$6:$W$505,C$3,実績!$AI$6:$AI$505,"&lt;="&amp;$A255,実績!$AJ$6:$AJ$505,"&gt;"&amp;$A255,実績!$AK$6:$AK$505,"○")&gt;0,1,0))</f>
        <v>0</v>
      </c>
      <c r="D255" s="39" t="n">
        <f aca="false">IF(D$4=0,0,IF(COUNTIFS(実績!$W$6:$W$505,D$3,実績!$AI$6:$AI$505,"&lt;="&amp;$A255,実績!$AJ$6:$AJ$505,"&gt;"&amp;$A255,実績!$AK$6:$AK$505,"○")&gt;0,1,0))</f>
        <v>0</v>
      </c>
      <c r="E255" s="39" t="n">
        <f aca="false">IF(E$4=0,0,IF(COUNTIFS(実績!$W$6:$W$505,E$3,実績!$AI$6:$AI$505,"&lt;="&amp;$A255,実績!$AJ$6:$AJ$505,"&gt;"&amp;$A255,実績!$AK$6:$AK$505,"○")&gt;0,1,0))</f>
        <v>0</v>
      </c>
      <c r="F255" s="39" t="n">
        <f aca="false">IF(F$4=0,0,IF(COUNTIFS(実績!$W$6:$W$505,F$3,実績!$AI$6:$AI$505,"&lt;="&amp;$A255,実績!$AJ$6:$AJ$505,"&gt;"&amp;$A255,実績!$AK$6:$AK$505,"○")&gt;0,1,0))</f>
        <v>0</v>
      </c>
      <c r="G255" s="39" t="n">
        <f aca="false">IF(G$4=0,0,IF(COUNTIFS(実績!$W$6:$W$505,G$3,実績!$AI$6:$AI$505,"&lt;="&amp;$A255,実績!$AJ$6:$AJ$505,"&gt;"&amp;$A255,実績!$AK$6:$AK$505,"○")&gt;0,1,0))</f>
        <v>0</v>
      </c>
      <c r="H255" s="39" t="n">
        <f aca="false">IF(H$4=0,0,IF(COUNTIFS(実績!$W$6:$W$505,H$3,実績!$AI$6:$AI$505,"&lt;="&amp;$A255,実績!$AJ$6:$AJ$505,"&gt;"&amp;$A255,実績!$AK$6:$AK$505,"○")&gt;0,1,0))</f>
        <v>0</v>
      </c>
      <c r="I255" s="39" t="n">
        <f aca="false">IF(I$4=0,0,IF(COUNTIFS(実績!$W$6:$W$505,I$3,実績!$AI$6:$AI$505,"&lt;="&amp;$A255,実績!$AJ$6:$AJ$505,"&gt;"&amp;$A255,実績!$AK$6:$AK$505,"○")&gt;0,1,0))</f>
        <v>0</v>
      </c>
      <c r="J255" s="39" t="n">
        <f aca="false">IF(J$4=0,0,IF(COUNTIFS(実績!$W$6:$W$505,J$3,実績!$AI$6:$AI$505,"&lt;="&amp;$A255,実績!$AJ$6:$AJ$505,"&gt;"&amp;$A255,実績!$AK$6:$AK$505,"○")&gt;0,1,0))</f>
        <v>0</v>
      </c>
      <c r="K255" s="39" t="n">
        <f aca="false">IF(K$4=0,0,IF(COUNTIFS(実績!$W$6:$W$505,K$3,実績!$AI$6:$AI$505,"&lt;="&amp;$A255,実績!$AJ$6:$AJ$505,"&gt;"&amp;$A255,実績!$AK$6:$AK$505,"○")&gt;0,1,0))</f>
        <v>0</v>
      </c>
      <c r="L255" s="39" t="n">
        <f aca="false">IF(L$4=0,0,IF(COUNTIFS(実績!$W$6:$W$505,L$3,実績!$AI$6:$AI$505,"&lt;="&amp;$A255,実績!$AJ$6:$AJ$505,"&gt;"&amp;$A255,実績!$AK$6:$AK$505,"○")&gt;0,1,0))</f>
        <v>0</v>
      </c>
      <c r="M255" s="39" t="n">
        <f aca="false">IF(M$4=0,0,IF(COUNTIFS(実績!$W$6:$W$505,M$3,実績!$AI$6:$AI$505,"&lt;="&amp;$A255,実績!$AJ$6:$AJ$505,"&gt;"&amp;$A255,実績!$AK$6:$AK$505,"○")&gt;0,1,0))</f>
        <v>0</v>
      </c>
      <c r="N255" s="39" t="n">
        <f aca="false">IF(N$4=0,0,IF(COUNTIFS(実績!$W$6:$W$505,N$3,実績!$AI$6:$AI$505,"&lt;="&amp;$A255,実績!$AJ$6:$AJ$505,"&gt;"&amp;$A255,実績!$AK$6:$AK$505,"○")&gt;0,1,0))</f>
        <v>0</v>
      </c>
      <c r="O255" s="39" t="n">
        <f aca="false">IF(O$4=0,0,IF(COUNTIFS(実績!$W$6:$W$505,O$3,実績!$AI$6:$AI$505,"&lt;="&amp;$A255,実績!$AJ$6:$AJ$505,"&gt;"&amp;$A255,実績!$AK$6:$AK$505,"○")&gt;0,1,0))</f>
        <v>0</v>
      </c>
      <c r="P255" s="39" t="n">
        <f aca="false">IF(P$4=0,0,IF(COUNTIFS(実績!$W$6:$W$505,P$3,実績!$AI$6:$AI$505,"&lt;="&amp;$A255,実績!$AJ$6:$AJ$505,"&gt;"&amp;$A255,実績!$AK$6:$AK$505,"○")&gt;0,1,0))</f>
        <v>0</v>
      </c>
      <c r="Q255" s="39" t="n">
        <f aca="false">IF(Q$4=0,0,IF(COUNTIFS(実績!$W$6:$W$505,Q$3,実績!$AI$6:$AI$505,"&lt;="&amp;$A255,実績!$AJ$6:$AJ$505,"&gt;"&amp;$A255,実績!$AK$6:$AK$505,"○")&gt;0,1,0))</f>
        <v>0</v>
      </c>
      <c r="R255" s="39" t="n">
        <f aca="false">IF(R$4=0,0,IF(COUNTIFS(実績!$W$6:$W$505,R$3,実績!$AI$6:$AI$505,"&lt;="&amp;$A255,実績!$AJ$6:$AJ$505,"&gt;"&amp;$A255,実績!$AK$6:$AK$505,"○")&gt;0,1,0))</f>
        <v>0</v>
      </c>
      <c r="S255" s="39" t="n">
        <f aca="false">IF(S$4=0,0,IF(COUNTIFS(実績!$W$6:$W$505,S$3,実績!$AI$6:$AI$505,"&lt;="&amp;$A255,実績!$AJ$6:$AJ$505,"&gt;"&amp;$A255,実績!$AK$6:$AK$505,"○")&gt;0,1,0))</f>
        <v>0</v>
      </c>
      <c r="T255" s="39" t="n">
        <f aca="false">IF(T$4=0,0,IF(COUNTIFS(実績!$W$6:$W$505,T$3,実績!$AI$6:$AI$505,"&lt;="&amp;$A255,実績!$AJ$6:$AJ$505,"&gt;"&amp;$A255,実績!$AK$6:$AK$505,"○")&gt;0,1,0))</f>
        <v>0</v>
      </c>
      <c r="U255" s="39" t="n">
        <f aca="false">IF(U$4=0,0,IF(COUNTIFS(実績!$W$6:$W$505,U$3,実績!$AI$6:$AI$505,"&lt;="&amp;$A255,実績!$AJ$6:$AJ$505,"&gt;"&amp;$A255,実績!$AK$6:$AK$505,"○")&gt;0,1,0))</f>
        <v>0</v>
      </c>
      <c r="V255" s="39" t="n">
        <f aca="false">IF(V$4=0,0,IF(COUNTIFS(実績!$W$6:$W$505,V$3,実績!$AI$6:$AI$505,"&lt;="&amp;$A255,実績!$AJ$6:$AJ$505,"&gt;"&amp;$A255,実績!$AK$6:$AK$505,"○")&gt;0,1,0))</f>
        <v>0</v>
      </c>
      <c r="W255" s="39" t="n">
        <f aca="false">IF(W$4=0,0,IF(COUNTIFS(実績!$W$6:$W$505,W$3,実績!$AI$6:$AI$505,"&lt;="&amp;$A255,実績!$AJ$6:$AJ$505,"&gt;"&amp;$A255,実績!$AK$6:$AK$505,"○")&gt;0,1,0))</f>
        <v>0</v>
      </c>
      <c r="X255" s="39" t="n">
        <f aca="false">IF(X$4=0,0,IF(COUNTIFS(実績!$W$6:$W$505,X$3,実績!$AI$6:$AI$505,"&lt;="&amp;$A255,実績!$AJ$6:$AJ$505,"&gt;"&amp;$A255,実績!$AK$6:$AK$505,"○")&gt;0,1,0))</f>
        <v>0</v>
      </c>
      <c r="Y255" s="39" t="n">
        <f aca="false">IF(Y$4=0,0,IF(COUNTIFS(実績!$W$6:$W$505,Y$3,実績!$AI$6:$AI$505,"&lt;="&amp;$A255,実績!$AJ$6:$AJ$505,"&gt;"&amp;$A255,実績!$AK$6:$AK$505,"○")&gt;0,1,0))</f>
        <v>0</v>
      </c>
      <c r="Z255" s="39" t="n">
        <f aca="false">IF(Z$4=0,0,IF(COUNTIFS(実績!$W$6:$W$505,Z$3,実績!$AI$6:$AI$505,"&lt;="&amp;$A255,実績!$AJ$6:$AJ$505,"&gt;"&amp;$A255,実績!$AK$6:$AK$505,"○")&gt;0,1,0))</f>
        <v>0</v>
      </c>
      <c r="AA255" s="39" t="n">
        <f aca="false">IF(AA$4=0,0,IF(COUNTIFS(実績!$W$6:$W$505,AA$3,実績!$AI$6:$AI$505,"&lt;="&amp;$A255,実績!$AJ$6:$AJ$505,"&gt;"&amp;$A255,実績!$AK$6:$AK$505,"○")&gt;0,1,0))</f>
        <v>0</v>
      </c>
      <c r="AB255" s="39" t="n">
        <f aca="false">IF(AB$4=0,0,IF(COUNTIFS(実績!$W$6:$W$505,AB$3,実績!$AI$6:$AI$505,"&lt;="&amp;$A255,実績!$AJ$6:$AJ$505,"&gt;"&amp;$A255,実績!$AK$6:$AK$505,"○")&gt;0,1,0))</f>
        <v>0</v>
      </c>
      <c r="AC255" s="39" t="n">
        <f aca="false">IF(AC$4=0,0,IF(COUNTIFS(実績!$W$6:$W$505,AC$3,実績!$AI$6:$AI$505,"&lt;="&amp;$A255,実績!$AJ$6:$AJ$505,"&gt;"&amp;$A255,実績!$AK$6:$AK$505,"○")&gt;0,1,0))</f>
        <v>0</v>
      </c>
      <c r="AD255" s="39" t="n">
        <f aca="false">IF(AD$4=0,0,IF(COUNTIFS(実績!$W$6:$W$505,AD$3,実績!$AI$6:$AI$505,"&lt;="&amp;$A255,実績!$AJ$6:$AJ$505,"&gt;"&amp;$A255,実績!$AK$6:$AK$505,"○")&gt;0,1,0))</f>
        <v>0</v>
      </c>
      <c r="AE255" s="39" t="n">
        <f aca="false">IF(AE$4=0,0,IF(COUNTIFS(実績!$W$6:$W$505,AE$3,実績!$AI$6:$AI$505,"&lt;="&amp;$A255,実績!$AJ$6:$AJ$505,"&gt;"&amp;$A255,実績!$AK$6:$AK$505,"○")&gt;0,1,0))</f>
        <v>0</v>
      </c>
      <c r="AF255" s="39" t="n">
        <f aca="false">IF(AF$4=0,0,IF(COUNTIFS(実績!$W$6:$W$505,AF$3,実績!$AI$6:$AI$505,"&lt;="&amp;$A255,実績!$AJ$6:$AJ$505,"&gt;"&amp;$A255,実績!$AK$6:$AK$505,"○")&gt;0,1,0))</f>
        <v>0</v>
      </c>
      <c r="AG255" s="39" t="n">
        <f aca="false">IF(AG$4=0,0,IF(COUNTIFS(実績!$W$6:$W$505,AG$3,実績!$AI$6:$AI$505,"&lt;="&amp;$A255,実績!$AJ$6:$AJ$505,"&gt;"&amp;$A255,実績!$AK$6:$AK$505,"○")&gt;0,1,0))</f>
        <v>0</v>
      </c>
      <c r="AH255" s="39" t="n">
        <f aca="false">IF(AH$4=0,0,IF(COUNTIFS(実績!$W$6:$W$505,AH$3,実績!$AI$6:$AI$505,"&lt;="&amp;$A255,実績!$AJ$6:$AJ$505,"&gt;"&amp;$A255,実績!$AK$6:$AK$505,"○")&gt;0,1,0))</f>
        <v>0</v>
      </c>
      <c r="AI255" s="39" t="n">
        <f aca="false">IF(AI$4=0,0,IF(COUNTIFS(実績!$W$6:$W$505,AI$3,実績!$AI$6:$AI$505,"&lt;="&amp;$A255,実績!$AJ$6:$AJ$505,"&gt;"&amp;$A255,実績!$AK$6:$AK$505,"○")&gt;0,1,0))</f>
        <v>0</v>
      </c>
      <c r="AJ255" s="39" t="n">
        <f aca="false">IF(AJ$4=0,0,IF(COUNTIFS(実績!$W$6:$W$505,AJ$3,実績!$AI$6:$AI$505,"&lt;="&amp;$A255,実績!$AJ$6:$AJ$505,"&gt;"&amp;$A255,実績!$AK$6:$AK$505,"○")&gt;0,1,0))</f>
        <v>0</v>
      </c>
      <c r="AK255" s="39" t="n">
        <f aca="false">IF(AK$4=0,0,IF(COUNTIFS(実績!$W$6:$W$505,AK$3,実績!$AI$6:$AI$505,"&lt;="&amp;$A255,実績!$AJ$6:$AJ$505,"&gt;"&amp;$A255,実績!$AK$6:$AK$505,"○")&gt;0,1,0))</f>
        <v>0</v>
      </c>
      <c r="AL255" s="39" t="n">
        <f aca="false">IF(AL$4=0,0,IF(COUNTIFS(実績!$W$6:$W$505,AL$3,実績!$AI$6:$AI$505,"&lt;="&amp;$A255,実績!$AJ$6:$AJ$505,"&gt;"&amp;$A255,実績!$AK$6:$AK$505,"○")&gt;0,1,0))</f>
        <v>0</v>
      </c>
      <c r="AM255" s="39" t="n">
        <f aca="false">IF(AM$4=0,0,IF(COUNTIFS(実績!$W$6:$W$505,AM$3,実績!$AI$6:$AI$505,"&lt;="&amp;$A255,実績!$AJ$6:$AJ$505,"&gt;"&amp;$A255,実績!$AK$6:$AK$505,"○")&gt;0,1,0))</f>
        <v>0</v>
      </c>
      <c r="AN255" s="39" t="n">
        <f aca="false">IF(AN$4=0,0,IF(COUNTIFS(実績!$W$6:$W$505,AN$3,実績!$AI$6:$AI$505,"&lt;="&amp;$A255,実績!$AJ$6:$AJ$505,"&gt;"&amp;$A255,実績!$AK$6:$AK$505,"○")&gt;0,1,0))</f>
        <v>0</v>
      </c>
      <c r="AO255" s="39" t="n">
        <f aca="false">IF(AO$4=0,0,IF(COUNTIFS(実績!$W$6:$W$505,AO$3,実績!$AI$6:$AI$505,"&lt;="&amp;$A255,実績!$AJ$6:$AJ$505,"&gt;"&amp;$A255,実績!$AK$6:$AK$505,"○")&gt;0,1,0))</f>
        <v>0</v>
      </c>
      <c r="AP255" s="39" t="n">
        <f aca="false">IF(AP$4=0,0,IF(COUNTIFS(実績!$W$6:$W$505,AP$3,実績!$AI$6:$AI$505,"&lt;="&amp;$A255,実績!$AJ$6:$AJ$505,"&gt;"&amp;$A255,実績!$AK$6:$AK$505,"○")&gt;0,1,0))</f>
        <v>0</v>
      </c>
      <c r="AQ255" s="39" t="n">
        <f aca="false">IF(AQ$4=0,0,IF(COUNTIFS(実績!$W$6:$W$505,AQ$3,実績!$AI$6:$AI$505,"&lt;="&amp;$A255,実績!$AJ$6:$AJ$505,"&gt;"&amp;$A255,実績!$AK$6:$AK$505,"○")&gt;0,1,0))</f>
        <v>0</v>
      </c>
      <c r="AR255" s="39" t="n">
        <f aca="false">IF(AR$4=0,0,IF(COUNTIFS(実績!$W$6:$W$505,AR$3,実績!$AI$6:$AI$505,"&lt;="&amp;$A255,実績!$AJ$6:$AJ$505,"&gt;"&amp;$A255,実績!$AK$6:$AK$505,"○")&gt;0,1,0))</f>
        <v>0</v>
      </c>
      <c r="AS255" s="39" t="n">
        <f aca="false">IF(AS$4=0,0,IF(COUNTIFS(実績!$W$6:$W$505,AS$3,実績!$AI$6:$AI$505,"&lt;="&amp;$A255,実績!$AJ$6:$AJ$505,"&gt;"&amp;$A255,実績!$AK$6:$AK$505,"○")&gt;0,1,0))</f>
        <v>0</v>
      </c>
      <c r="AT255" s="39" t="n">
        <f aca="false">IF(AT$4=0,0,IF(COUNTIFS(実績!$W$6:$W$505,AT$3,実績!$AI$6:$AI$505,"&lt;="&amp;$A255,実績!$AJ$6:$AJ$505,"&gt;"&amp;$A255,実績!$AK$6:$AK$505,"○")&gt;0,1,0))</f>
        <v>0</v>
      </c>
      <c r="AU255" s="39" t="n">
        <f aca="false">IF(AU$4=0,0,IF(COUNTIFS(実績!$W$6:$W$505,AU$3,実績!$AI$6:$AI$505,"&lt;="&amp;$A255,実績!$AJ$6:$AJ$505,"&gt;"&amp;$A255,実績!$AK$6:$AK$505,"○")&gt;0,1,0))</f>
        <v>0</v>
      </c>
      <c r="AV255" s="39" t="n">
        <f aca="false">IF(AV$4=0,0,IF(COUNTIFS(実績!$W$6:$W$505,AV$3,実績!$AI$6:$AI$505,"&lt;="&amp;$A255,実績!$AJ$6:$AJ$505,"&gt;"&amp;$A255,実績!$AK$6:$AK$505,"○")&gt;0,1,0))</f>
        <v>0</v>
      </c>
      <c r="AW255" s="39" t="n">
        <f aca="false">IF(AW$4=0,0,IF(COUNTIFS(実績!$W$6:$W$505,AW$3,実績!$AI$6:$AI$505,"&lt;="&amp;$A255,実績!$AJ$6:$AJ$505,"&gt;"&amp;$A255,実績!$AK$6:$AK$505,"○")&gt;0,1,0))</f>
        <v>0</v>
      </c>
      <c r="AX255" s="39" t="n">
        <f aca="false">IF(AX$4=0,0,IF(COUNTIFS(実績!$W$6:$W$505,AX$3,実績!$AI$6:$AI$505,"&lt;="&amp;$A255,実績!$AJ$6:$AJ$505,"&gt;"&amp;$A255,実績!$AK$6:$AK$505,"○")&gt;0,1,0))</f>
        <v>0</v>
      </c>
      <c r="AY255" s="39" t="n">
        <f aca="false">IF(AY$4=0,0,IF(COUNTIFS(実績!$W$6:$W$505,AY$3,実績!$AI$6:$AI$505,"&lt;="&amp;$A255,実績!$AJ$6:$AJ$505,"&gt;"&amp;$A255,実績!$AK$6:$AK$505,"○")&gt;0,1,0))</f>
        <v>0</v>
      </c>
      <c r="AZ255" s="39" t="n">
        <f aca="false">IF(AZ$4=0,0,IF(COUNTIFS(実績!$W$6:$W$505,AZ$3,実績!$AI$6:$AI$505,"&lt;="&amp;$A255,実績!$AJ$6:$AJ$505,"&gt;"&amp;$A255,実績!$AK$6:$AK$505,"○")&gt;0,1,0))</f>
        <v>0</v>
      </c>
      <c r="BA255" s="39" t="n">
        <f aca="false">IF(BA$4=0,0,IF(COUNTIFS(実績!$W$6:$W$505,BA$3,実績!$AI$6:$AI$505,"&lt;="&amp;$A255,実績!$AJ$6:$AJ$505,"&gt;"&amp;$A255,実績!$AK$6:$AK$505,"○")&gt;0,1,0))</f>
        <v>0</v>
      </c>
      <c r="BB255" s="39" t="n">
        <f aca="false">IF(BB$4=0,0,IF(COUNTIFS(実績!$W$6:$W$505,BB$3,実績!$AI$6:$AI$505,"&lt;="&amp;$A255,実績!$AJ$6:$AJ$505,"&gt;"&amp;$A255,実績!$AK$6:$AK$505,"○")&gt;0,1,0))</f>
        <v>0</v>
      </c>
      <c r="BC255" s="39" t="n">
        <f aca="false">IF(BC$4=0,0,IF(COUNTIFS(実績!$W$6:$W$505,BC$3,実績!$AI$6:$AI$505,"&lt;="&amp;$A255,実績!$AJ$6:$AJ$505,"&gt;"&amp;$A255,実績!$AK$6:$AK$505,"○")&gt;0,1,0))</f>
        <v>0</v>
      </c>
      <c r="BD255" s="39" t="n">
        <f aca="false">IF(BD$4=0,0,IF(COUNTIFS(実績!$W$6:$W$505,BD$3,実績!$AI$6:$AI$505,"&lt;="&amp;$A255,実績!$AJ$6:$AJ$505,"&gt;"&amp;$A255,実績!$AK$6:$AK$505,"○")&gt;0,1,0))</f>
        <v>0</v>
      </c>
      <c r="BE255" s="39" t="n">
        <f aca="false">IF(BE$4=0,0,IF(COUNTIFS(実績!$W$6:$W$505,BE$3,実績!$AI$6:$AI$505,"&lt;="&amp;$A255,実績!$AJ$6:$AJ$505,"&gt;"&amp;$A255,実績!$AK$6:$AK$505,"○")&gt;0,1,0))</f>
        <v>0</v>
      </c>
      <c r="BF255" s="39" t="n">
        <f aca="false">IF(BF$4=0,0,IF(COUNTIFS(実績!$W$6:$W$505,BF$3,実績!$AI$6:$AI$505,"&lt;="&amp;$A255,実績!$AJ$6:$AJ$505,"&gt;"&amp;$A255,実績!$AK$6:$AK$505,"○")&gt;0,1,0))</f>
        <v>0</v>
      </c>
      <c r="BG255" s="39" t="n">
        <f aca="false">IF(BG$4=0,0,IF(COUNTIFS(実績!$W$6:$W$505,BG$3,実績!$AI$6:$AI$505,"&lt;="&amp;$A255,実績!$AJ$6:$AJ$505,"&gt;"&amp;$A255,実績!$AK$6:$AK$505,"○")&gt;0,1,0))</f>
        <v>0</v>
      </c>
      <c r="BH255" s="39" t="n">
        <f aca="false">IF(BH$4=0,0,IF(COUNTIFS(実績!$W$6:$W$505,BH$3,実績!$AI$6:$AI$505,"&lt;="&amp;$A255,実績!$AJ$6:$AJ$505,"&gt;"&amp;$A255,実績!$AK$6:$AK$505,"○")&gt;0,1,0))</f>
        <v>0</v>
      </c>
      <c r="BI255" s="39" t="n">
        <f aca="false">IF(BI$4=0,0,IF(COUNTIFS(実績!$W$6:$W$505,BI$3,実績!$AI$6:$AI$505,"&lt;="&amp;$A255,実績!$AJ$6:$AJ$505,"&gt;"&amp;$A255,実績!$AK$6:$AK$505,"○")&gt;0,1,0))</f>
        <v>0</v>
      </c>
      <c r="BJ255" s="39" t="n">
        <f aca="false">IF(BJ$4=0,0,IF(COUNTIFS(実績!$W$6:$W$505,BJ$3,実績!$AI$6:$AI$505,"&lt;="&amp;$A255,実績!$AJ$6:$AJ$505,"&gt;"&amp;$A255,実績!$AK$6:$AK$505,"○")&gt;0,1,0))</f>
        <v>0</v>
      </c>
      <c r="BK255" s="39" t="n">
        <f aca="false">IF(BK$4=0,0,IF(COUNTIFS(実績!$W$6:$W$505,BK$3,実績!$AI$6:$AI$505,"&lt;="&amp;$A255,実績!$AJ$6:$AJ$505,"&gt;"&amp;$A255,実績!$AK$6:$AK$505,"○")&gt;0,1,0))</f>
        <v>0</v>
      </c>
      <c r="BL255" s="39" t="n">
        <f aca="false">IF(BL$4=0,0,IF(COUNTIFS(実績!$W$6:$W$505,BL$3,実績!$AI$6:$AI$505,"&lt;="&amp;$A255,実績!$AJ$6:$AJ$505,"&gt;"&amp;$A255,実績!$AK$6:$AK$505,"○")&gt;0,1,0))</f>
        <v>0</v>
      </c>
      <c r="BM255" s="39" t="n">
        <f aca="false">IF(BM$4=0,0,IF(COUNTIFS(実績!$W$6:$W$505,BM$3,実績!$AI$6:$AI$505,"&lt;="&amp;$A255,実績!$AJ$6:$AJ$505,"&gt;"&amp;$A255,実績!$AK$6:$AK$505,"○")&gt;0,1,0))</f>
        <v>0</v>
      </c>
      <c r="BN255" s="39" t="n">
        <f aca="false">IF(BN$4=0,0,IF(COUNTIFS(実績!$W$6:$W$505,BN$3,実績!$AI$6:$AI$505,"&lt;="&amp;$A255,実績!$AJ$6:$AJ$505,"&gt;"&amp;$A255,実績!$AK$6:$AK$505,"○")&gt;0,1,0))</f>
        <v>0</v>
      </c>
      <c r="BO255" s="39" t="n">
        <f aca="false">IF(BO$4=0,0,IF(COUNTIFS(実績!$W$6:$W$505,BO$3,実績!$AI$6:$AI$505,"&lt;="&amp;$A255,実績!$AJ$6:$AJ$505,"&gt;"&amp;$A255,実績!$AK$6:$AK$505,"○")&gt;0,1,0))</f>
        <v>0</v>
      </c>
      <c r="BP255" s="39" t="n">
        <f aca="false">IF(BP$4=0,0,IF(COUNTIFS(実績!$W$6:$W$505,BP$3,実績!$AI$6:$AI$505,"&lt;="&amp;$A255,実績!$AJ$6:$AJ$505,"&gt;"&amp;$A255,実績!$AK$6:$AK$505,"○")&gt;0,1,0))</f>
        <v>0</v>
      </c>
      <c r="BQ255" s="39" t="n">
        <f aca="false">IF(BQ$4=0,0,IF(COUNTIFS(実績!$W$6:$W$505,BQ$3,実績!$AI$6:$AI$505,"&lt;="&amp;$A255,実績!$AJ$6:$AJ$505,"&gt;"&amp;$A255,実績!$AK$6:$AK$505,"○")&gt;0,1,0))</f>
        <v>0</v>
      </c>
      <c r="BR255" s="39" t="n">
        <f aca="false">IF(BR$4=0,0,IF(COUNTIFS(実績!$W$6:$W$505,BR$3,実績!$AI$6:$AI$505,"&lt;="&amp;$A255,実績!$AJ$6:$AJ$505,"&gt;"&amp;$A255,実績!$AK$6:$AK$505,"○")&gt;0,1,0))</f>
        <v>0</v>
      </c>
      <c r="BS255" s="39" t="n">
        <f aca="false">IF(BS$4=0,0,IF(COUNTIFS(実績!$W$6:$W$505,BS$3,実績!$AI$6:$AI$505,"&lt;="&amp;$A255,実績!$AJ$6:$AJ$505,"&gt;"&amp;$A255,実績!$AK$6:$AK$505,"○")&gt;0,1,0))</f>
        <v>0</v>
      </c>
      <c r="BT255" s="39" t="n">
        <f aca="false">IF(BT$4=0,0,IF(COUNTIFS(実績!$W$6:$W$505,BT$3,実績!$AI$6:$AI$505,"&lt;="&amp;$A255,実績!$AJ$6:$AJ$505,"&gt;"&amp;$A255,実績!$AK$6:$AK$505,"○")&gt;0,1,0))</f>
        <v>0</v>
      </c>
      <c r="BU255" s="39" t="n">
        <f aca="false">IF(BU$4=0,0,IF(COUNTIFS(実績!$W$6:$W$505,BU$3,実績!$AI$6:$AI$505,"&lt;="&amp;$A255,実績!$AJ$6:$AJ$505,"&gt;"&amp;$A255,実績!$AK$6:$AK$505,"○")&gt;0,1,0))</f>
        <v>0</v>
      </c>
      <c r="BV255" s="39" t="n">
        <f aca="false">IF(BV$4=0,0,IF(COUNTIFS(実績!$W$6:$W$505,BV$3,実績!$AI$6:$AI$505,"&lt;="&amp;$A255,実績!$AJ$6:$AJ$505,"&gt;"&amp;$A255,実績!$AK$6:$AK$505,"○")&gt;0,1,0))</f>
        <v>0</v>
      </c>
      <c r="BW255" s="39" t="n">
        <f aca="false">IF(BW$4=0,0,IF(COUNTIFS(実績!$W$6:$W$505,BW$3,実績!$AI$6:$AI$505,"&lt;="&amp;$A255,実績!$AJ$6:$AJ$505,"&gt;"&amp;$A255,実績!$AK$6:$AK$505,"○")&gt;0,1,0))</f>
        <v>0</v>
      </c>
      <c r="BX255" s="39" t="n">
        <f aca="false">IF(BX$4=0,0,IF(COUNTIFS(実績!$W$6:$W$505,BX$3,実績!$AI$6:$AI$505,"&lt;="&amp;$A255,実績!$AJ$6:$AJ$505,"&gt;"&amp;$A255,実績!$AK$6:$AK$505,"○")&gt;0,1,0))</f>
        <v>0</v>
      </c>
      <c r="BY255" s="39" t="n">
        <f aca="false">IF(BY$4=0,0,IF(COUNTIFS(実績!$W$6:$W$505,BY$3,実績!$AI$6:$AI$505,"&lt;="&amp;$A255,実績!$AJ$6:$AJ$505,"&gt;"&amp;$A255,実績!$AK$6:$AK$505,"○")&gt;0,1,0))</f>
        <v>0</v>
      </c>
      <c r="BZ255" s="39" t="n">
        <f aca="false">IF(BZ$4=0,0,IF(COUNTIFS(実績!$W$6:$W$505,BZ$3,実績!$AI$6:$AI$505,"&lt;="&amp;$A255,実績!$AJ$6:$AJ$505,"&gt;"&amp;$A255,実績!$AK$6:$AK$505,"○")&gt;0,1,0))</f>
        <v>0</v>
      </c>
      <c r="CA255" s="39" t="n">
        <f aca="false">IF(CA$4=0,0,IF(COUNTIFS(実績!$W$6:$W$505,CA$3,実績!$AI$6:$AI$505,"&lt;="&amp;$A255,実績!$AJ$6:$AJ$505,"&gt;"&amp;$A255,実績!$AK$6:$AK$505,"○")&gt;0,1,0))</f>
        <v>0</v>
      </c>
      <c r="CB255" s="39" t="n">
        <f aca="false">IF(CB$4=0,0,IF(COUNTIFS(実績!$W$6:$W$505,CB$3,実績!$AI$6:$AI$505,"&lt;="&amp;$A255,実績!$AJ$6:$AJ$505,"&gt;"&amp;$A255,実績!$AK$6:$AK$505,"○")&gt;0,1,0))</f>
        <v>0</v>
      </c>
      <c r="CC255" s="39" t="n">
        <f aca="false">IF(CC$4=0,0,IF(COUNTIFS(実績!$W$6:$W$505,CC$3,実績!$AI$6:$AI$505,"&lt;="&amp;$A255,実績!$AJ$6:$AJ$505,"&gt;"&amp;$A255,実績!$AK$6:$AK$505,"○")&gt;0,1,0))</f>
        <v>0</v>
      </c>
      <c r="CD255" s="39" t="n">
        <f aca="false">IF(CD$4=0,0,IF(COUNTIFS(実績!$W$6:$W$505,CD$3,実績!$AI$6:$AI$505,"&lt;="&amp;$A255,実績!$AJ$6:$AJ$505,"&gt;"&amp;$A255,実績!$AK$6:$AK$505,"○")&gt;0,1,0))</f>
        <v>0</v>
      </c>
      <c r="CE255" s="39" t="n">
        <f aca="false">IF(CE$4=0,0,IF(COUNTIFS(実績!$W$6:$W$505,CE$3,実績!$AI$6:$AI$505,"&lt;="&amp;$A255,実績!$AJ$6:$AJ$505,"&gt;"&amp;$A255,実績!$AK$6:$AK$505,"○")&gt;0,1,0))</f>
        <v>0</v>
      </c>
      <c r="CF255" s="39" t="n">
        <f aca="false">IF(CF$4=0,0,IF(COUNTIFS(実績!$W$6:$W$505,CF$3,実績!$AI$6:$AI$505,"&lt;="&amp;$A255,実績!$AJ$6:$AJ$505,"&gt;"&amp;$A255,実績!$AK$6:$AK$505,"○")&gt;0,1,0))</f>
        <v>0</v>
      </c>
      <c r="CG255" s="39" t="n">
        <f aca="false">IF(CG$4=0,0,IF(COUNTIFS(実績!$W$6:$W$505,CG$3,実績!$AI$6:$AI$505,"&lt;="&amp;$A255,実績!$AJ$6:$AJ$505,"&gt;"&amp;$A255,実績!$AK$6:$AK$505,"○")&gt;0,1,0))</f>
        <v>0</v>
      </c>
      <c r="CH255" s="39" t="n">
        <f aca="false">IF(CH$4=0,0,IF(COUNTIFS(実績!$W$6:$W$505,CH$3,実績!$AI$6:$AI$505,"&lt;="&amp;$A255,実績!$AJ$6:$AJ$505,"&gt;"&amp;$A255,実績!$AK$6:$AK$505,"○")&gt;0,1,0))</f>
        <v>0</v>
      </c>
      <c r="CI255" s="39" t="n">
        <f aca="false">IF(CI$4=0,0,IF(COUNTIFS(実績!$W$6:$W$505,CI$3,実績!$AI$6:$AI$505,"&lt;="&amp;$A255,実績!$AJ$6:$AJ$505,"&gt;"&amp;$A255,実績!$AK$6:$AK$505,"○")&gt;0,1,0))</f>
        <v>0</v>
      </c>
      <c r="CJ255" s="39" t="n">
        <f aca="false">IF(CJ$4=0,0,IF(COUNTIFS(実績!$W$6:$W$505,CJ$3,実績!$AI$6:$AI$505,"&lt;="&amp;$A255,実績!$AJ$6:$AJ$505,"&gt;"&amp;$A255,実績!$AK$6:$AK$505,"○")&gt;0,1,0))</f>
        <v>0</v>
      </c>
      <c r="CK255" s="39" t="n">
        <f aca="false">IF(CK$4=0,0,IF(COUNTIFS(実績!$W$6:$W$505,CK$3,実績!$AI$6:$AI$505,"&lt;="&amp;$A255,実績!$AJ$6:$AJ$505,"&gt;"&amp;$A255,実績!$AK$6:$AK$505,"○")&gt;0,1,0))</f>
        <v>0</v>
      </c>
      <c r="CL255" s="39" t="n">
        <f aca="false">IF(CL$4=0,0,IF(COUNTIFS(実績!$W$6:$W$505,CL$3,実績!$AI$6:$AI$505,"&lt;="&amp;$A255,実績!$AJ$6:$AJ$505,"&gt;"&amp;$A255,実績!$AK$6:$AK$505,"○")&gt;0,1,0))</f>
        <v>0</v>
      </c>
      <c r="CM255" s="39" t="n">
        <f aca="false">IF(CM$4=0,0,IF(COUNTIFS(実績!$W$6:$W$505,CM$3,実績!$AI$6:$AI$505,"&lt;="&amp;$A255,実績!$AJ$6:$AJ$505,"&gt;"&amp;$A255,実績!$AK$6:$AK$505,"○")&gt;0,1,0))</f>
        <v>0</v>
      </c>
      <c r="CN255" s="39" t="n">
        <f aca="false">IF(CN$4=0,0,IF(COUNTIFS(実績!$W$6:$W$505,CN$3,実績!$AI$6:$AI$505,"&lt;="&amp;$A255,実績!$AJ$6:$AJ$505,"&gt;"&amp;$A255,実績!$AK$6:$AK$505,"○")&gt;0,1,0))</f>
        <v>0</v>
      </c>
      <c r="CO255" s="39" t="n">
        <f aca="false">IF(CO$4=0,0,IF(COUNTIFS(実績!$W$6:$W$505,CO$3,実績!$AI$6:$AI$505,"&lt;="&amp;$A255,実績!$AJ$6:$AJ$505,"&gt;"&amp;$A255,実績!$AK$6:$AK$505,"○")&gt;0,1,0))</f>
        <v>0</v>
      </c>
      <c r="CP255" s="39" t="n">
        <f aca="false">IF(CP$4=0,0,IF(COUNTIFS(実績!$W$6:$W$505,CP$3,実績!$AI$6:$AI$505,"&lt;="&amp;$A255,実績!$AJ$6:$AJ$505,"&gt;"&amp;$A255,実績!$AK$6:$AK$505,"○")&gt;0,1,0))</f>
        <v>0</v>
      </c>
      <c r="CQ255" s="39" t="n">
        <f aca="false">IF(CQ$4=0,0,IF(COUNTIFS(実績!$W$6:$W$505,CQ$3,実績!$AI$6:$AI$505,"&lt;="&amp;$A255,実績!$AJ$6:$AJ$505,"&gt;"&amp;$A255,実績!$AK$6:$AK$505,"○")&gt;0,1,0))</f>
        <v>0</v>
      </c>
      <c r="CR255" s="39" t="n">
        <f aca="false">IF(CR$4=0,0,IF(COUNTIFS(実績!$W$6:$W$505,CR$3,実績!$AI$6:$AI$505,"&lt;="&amp;$A255,実績!$AJ$6:$AJ$505,"&gt;"&amp;$A255,実績!$AK$6:$AK$505,"○")&gt;0,1,0))</f>
        <v>0</v>
      </c>
      <c r="CS255" s="39" t="n">
        <f aca="false">IF(CS$4=0,0,IF(COUNTIFS(実績!$W$6:$W$505,CS$3,実績!$AI$6:$AI$505,"&lt;="&amp;$A255,実績!$AJ$6:$AJ$505,"&gt;"&amp;$A255,実績!$AK$6:$AK$505,"○")&gt;0,1,0))</f>
        <v>0</v>
      </c>
      <c r="CT255" s="39" t="n">
        <f aca="false">IF(CT$4=0,0,IF(COUNTIFS(実績!$W$6:$W$505,CT$3,実績!$AI$6:$AI$505,"&lt;="&amp;$A255,実績!$AJ$6:$AJ$505,"&gt;"&amp;$A255,実績!$AK$6:$AK$505,"○")&gt;0,1,0))</f>
        <v>0</v>
      </c>
      <c r="CU255" s="39" t="n">
        <f aca="false">IF(CU$4=0,0,IF(COUNTIFS(実績!$W$6:$W$505,CU$3,実績!$AI$6:$AI$505,"&lt;="&amp;$A255,実績!$AJ$6:$AJ$505,"&gt;"&amp;$A255,実績!$AK$6:$AK$505,"○")&gt;0,1,0))</f>
        <v>0</v>
      </c>
      <c r="CV255" s="39" t="n">
        <f aca="false">IF(CV$4=0,0,IF(COUNTIFS(実績!$W$6:$W$505,CV$3,実績!$AI$6:$AI$505,"&lt;="&amp;$A255,実績!$AJ$6:$AJ$505,"&gt;"&amp;$A255,実績!$AK$6:$AK$505,"○")&gt;0,1,0))</f>
        <v>0</v>
      </c>
      <c r="CW255" s="39" t="n">
        <f aca="false">IF(CW$4=0,0,IF(COUNTIFS(実績!$W$6:$W$505,CW$3,実績!$AI$6:$AI$505,"&lt;="&amp;$A255,実績!$AJ$6:$AJ$505,"&gt;"&amp;$A255,実績!$AK$6:$AK$505,"○")&gt;0,1,0))</f>
        <v>0</v>
      </c>
      <c r="CX255" s="39" t="n">
        <f aca="false">IF(CX$4=0,0,IF(COUNTIFS(実績!$W$6:$W$505,CX$3,実績!$AI$6:$AI$505,"&lt;="&amp;$A255,実績!$AJ$6:$AJ$505,"&gt;"&amp;$A255,実績!$AK$6:$AK$505,"○")&gt;0,1,0))</f>
        <v>0</v>
      </c>
      <c r="CY255" s="39" t="n">
        <f aca="false">IF(CY$4=0,0,IF(COUNTIFS(実績!$W$6:$W$505,CY$3,実績!$AI$6:$AI$505,"&lt;="&amp;$A255,実績!$AJ$6:$AJ$505,"&gt;"&amp;$A255,実績!$AK$6:$AK$505,"○")&gt;0,1,0))</f>
        <v>0</v>
      </c>
      <c r="CZ255" s="39" t="n">
        <f aca="false">IF(CZ$4=0,0,IF(COUNTIFS(実績!$W$6:$W$505,CZ$3,実績!$AI$6:$AI$505,"&lt;="&amp;$A255,実績!$AJ$6:$AJ$505,"&gt;"&amp;$A255,実績!$AK$6:$AK$505,"○")&gt;0,1,0))</f>
        <v>0</v>
      </c>
      <c r="DA255" s="39" t="n">
        <f aca="false">IF(DA$4=0,0,IF(COUNTIFS(実績!$W$6:$W$505,DA$3,実績!$AI$6:$AI$505,"&lt;="&amp;$A255,実績!$AJ$6:$AJ$505,"&gt;"&amp;$A255,実績!$AK$6:$AK$505,"○")&gt;0,1,0))</f>
        <v>0</v>
      </c>
      <c r="DB255" s="39" t="n">
        <f aca="false">IF(DB$4=0,0,IF(COUNTIFS(実績!$W$6:$W$505,DB$3,実績!$AI$6:$AI$505,"&lt;="&amp;$A255,実績!$AJ$6:$AJ$505,"&gt;"&amp;$A255,実績!$AK$6:$AK$505,"○")&gt;0,1,0))</f>
        <v>0</v>
      </c>
      <c r="DC255" s="39" t="n">
        <f aca="false">IF(DC$4=0,0,IF(COUNTIFS(実績!$W$6:$W$505,DC$3,実績!$AI$6:$AI$505,"&lt;="&amp;$A255,実績!$AJ$6:$AJ$505,"&gt;"&amp;$A255,実績!$AK$6:$AK$505,"○")&gt;0,1,0))</f>
        <v>0</v>
      </c>
      <c r="DD255" s="39" t="n">
        <f aca="false">IF(DD$4=0,0,IF(COUNTIFS(実績!$W$6:$W$505,DD$3,実績!$AI$6:$AI$505,"&lt;="&amp;$A255,実績!$AJ$6:$AJ$505,"&gt;"&amp;$A255,実績!$AK$6:$AK$505,"○")&gt;0,1,0))</f>
        <v>0</v>
      </c>
      <c r="DE255" s="39" t="n">
        <f aca="false">IF(DE$4=0,0,IF(COUNTIFS(実績!$W$6:$W$505,DE$3,実績!$AI$6:$AI$505,"&lt;="&amp;$A255,実績!$AJ$6:$AJ$505,"&gt;"&amp;$A255,実績!$AK$6:$AK$505,"○")&gt;0,1,0))</f>
        <v>0</v>
      </c>
      <c r="DF255" s="39" t="n">
        <f aca="false">IF(DF$4=0,0,IF(COUNTIFS(実績!$W$6:$W$505,DF$3,実績!$AI$6:$AI$505,"&lt;="&amp;$A255,実績!$AJ$6:$AJ$505,"&gt;"&amp;$A255,実績!$AK$6:$AK$505,"○")&gt;0,1,0))</f>
        <v>0</v>
      </c>
      <c r="DG255" s="39" t="n">
        <f aca="false">IF(DG$4=0,0,IF(COUNTIFS(実績!$W$6:$W$505,DG$3,実績!$AI$6:$AI$505,"&lt;="&amp;$A255,実績!$AJ$6:$AJ$505,"&gt;"&amp;$A255,実績!$AK$6:$AK$505,"○")&gt;0,1,0))</f>
        <v>0</v>
      </c>
      <c r="DH255" s="39" t="n">
        <f aca="false">IF(DH$4=0,0,IF(COUNTIFS(実績!$W$6:$W$505,DH$3,実績!$AI$6:$AI$505,"&lt;="&amp;$A255,実績!$AJ$6:$AJ$505,"&gt;"&amp;$A255,実績!$AK$6:$AK$505,"○")&gt;0,1,0))</f>
        <v>0</v>
      </c>
      <c r="DI255" s="39" t="n">
        <f aca="false">IF(DI$4=0,0,IF(COUNTIFS(実績!$W$6:$W$505,DI$3,実績!$AI$6:$AI$505,"&lt;="&amp;$A255,実績!$AJ$6:$AJ$505,"&gt;"&amp;$A255,実績!$AK$6:$AK$505,"○")&gt;0,1,0))</f>
        <v>0</v>
      </c>
      <c r="DJ255" s="39" t="n">
        <f aca="false">IF(DJ$4=0,0,IF(COUNTIFS(実績!$W$6:$W$505,DJ$3,実績!$AI$6:$AI$505,"&lt;="&amp;$A255,実績!$AJ$6:$AJ$505,"&gt;"&amp;$A255,実績!$AK$6:$AK$505,"○")&gt;0,1,0))</f>
        <v>0</v>
      </c>
      <c r="DK255" s="39" t="n">
        <f aca="false">IF(DK$4=0,0,IF(COUNTIFS(実績!$W$6:$W$505,DK$3,実績!$AI$6:$AI$505,"&lt;="&amp;$A255,実績!$AJ$6:$AJ$505,"&gt;"&amp;$A255,実績!$AK$6:$AK$505,"○")&gt;0,1,0))</f>
        <v>0</v>
      </c>
      <c r="DL255" s="39" t="n">
        <f aca="false">IF(DL$4=0,0,IF(COUNTIFS(実績!$W$6:$W$505,DL$3,実績!$AI$6:$AI$505,"&lt;="&amp;$A255,実績!$AJ$6:$AJ$505,"&gt;"&amp;$A255,実績!$AK$6:$AK$505,"○")&gt;0,1,0))</f>
        <v>0</v>
      </c>
      <c r="DM255" s="39" t="n">
        <f aca="false">IF(DM$4=0,0,IF(COUNTIFS(実績!$W$6:$W$505,DM$3,実績!$AI$6:$AI$505,"&lt;="&amp;$A255,実績!$AJ$6:$AJ$505,"&gt;"&amp;$A255,実績!$AK$6:$AK$505,"○")&gt;0,1,0))</f>
        <v>0</v>
      </c>
      <c r="DN255" s="39" t="n">
        <f aca="false">IF(DN$4=0,0,IF(COUNTIFS(実績!$W$6:$W$505,DN$3,実績!$AI$6:$AI$505,"&lt;="&amp;$A255,実績!$AJ$6:$AJ$505,"&gt;"&amp;$A255,実績!$AK$6:$AK$505,"○")&gt;0,1,0))</f>
        <v>0</v>
      </c>
      <c r="DO255" s="39" t="n">
        <f aca="false">IF(DO$4=0,0,IF(COUNTIFS(実績!$W$6:$W$505,DO$3,実績!$AI$6:$AI$505,"&lt;="&amp;$A255,実績!$AJ$6:$AJ$505,"&gt;"&amp;$A255,実績!$AK$6:$AK$505,"○")&gt;0,1,0))</f>
        <v>0</v>
      </c>
      <c r="DP255" s="39" t="n">
        <f aca="false">IF(DP$4=0,0,IF(COUNTIFS(実績!$W$6:$W$505,DP$3,実績!$AI$6:$AI$505,"&lt;="&amp;$A255,実績!$AJ$6:$AJ$505,"&gt;"&amp;$A255,実績!$AK$6:$AK$505,"○")&gt;0,1,0))</f>
        <v>0</v>
      </c>
      <c r="DQ255" s="39" t="n">
        <f aca="false">IF(DQ$4=0,0,IF(COUNTIFS(実績!$W$6:$W$505,DQ$3,実績!$AI$6:$AI$505,"&lt;="&amp;$A255,実績!$AJ$6:$AJ$505,"&gt;"&amp;$A255,実績!$AK$6:$AK$505,"○")&gt;0,1,0))</f>
        <v>0</v>
      </c>
      <c r="DR255" s="39" t="n">
        <f aca="false">IF(DR$4=0,0,IF(COUNTIFS(実績!$W$6:$W$505,DR$3,実績!$AI$6:$AI$505,"&lt;="&amp;$A255,実績!$AJ$6:$AJ$505,"&gt;"&amp;$A255,実績!$AK$6:$AK$505,"○")&gt;0,1,0))</f>
        <v>0</v>
      </c>
      <c r="DS255" s="39" t="n">
        <f aca="false">SUM(C255:DR255)</f>
        <v>0</v>
      </c>
      <c r="DT255" s="39" t="n">
        <f aca="false">SUMPRODUCT((実績!$C$6:$C$505="○")*ISNUMBER(実績!$AM$6:$AM$505)*(実績!$AM$6:$AM$505&lt;=$A255)*(実績!$AN$6:$AN$505&gt;$A255))</f>
        <v>0</v>
      </c>
      <c r="DU255" s="39" t="n">
        <f aca="false">SUMIF($C$2:$DR$2,"製鉄曳船",C255:DR255)</f>
        <v>0</v>
      </c>
      <c r="DV255" s="39" t="n">
        <f aca="false">SUMIF($C$2:$DR$2,"西日本海運",C255:DR255)</f>
        <v>0</v>
      </c>
    </row>
    <row r="256" customFormat="false" ht="15" hidden="false" customHeight="false" outlineLevel="0" collapsed="false">
      <c r="A256" s="0" t="n">
        <v>1250</v>
      </c>
      <c r="B256" s="38" t="n">
        <f aca="false">A256/1440</f>
        <v>0.868055555555556</v>
      </c>
      <c r="C256" s="39" t="n">
        <f aca="false">IF(C$4=0,0,IF(COUNTIFS(実績!$W$6:$W$505,C$3,実績!$AI$6:$AI$505,"&lt;="&amp;$A256,実績!$AJ$6:$AJ$505,"&gt;"&amp;$A256,実績!$AK$6:$AK$505,"○")&gt;0,1,0))</f>
        <v>0</v>
      </c>
      <c r="D256" s="39" t="n">
        <f aca="false">IF(D$4=0,0,IF(COUNTIFS(実績!$W$6:$W$505,D$3,実績!$AI$6:$AI$505,"&lt;="&amp;$A256,実績!$AJ$6:$AJ$505,"&gt;"&amp;$A256,実績!$AK$6:$AK$505,"○")&gt;0,1,0))</f>
        <v>0</v>
      </c>
      <c r="E256" s="39" t="n">
        <f aca="false">IF(E$4=0,0,IF(COUNTIFS(実績!$W$6:$W$505,E$3,実績!$AI$6:$AI$505,"&lt;="&amp;$A256,実績!$AJ$6:$AJ$505,"&gt;"&amp;$A256,実績!$AK$6:$AK$505,"○")&gt;0,1,0))</f>
        <v>0</v>
      </c>
      <c r="F256" s="39" t="n">
        <f aca="false">IF(F$4=0,0,IF(COUNTIFS(実績!$W$6:$W$505,F$3,実績!$AI$6:$AI$505,"&lt;="&amp;$A256,実績!$AJ$6:$AJ$505,"&gt;"&amp;$A256,実績!$AK$6:$AK$505,"○")&gt;0,1,0))</f>
        <v>0</v>
      </c>
      <c r="G256" s="39" t="n">
        <f aca="false">IF(G$4=0,0,IF(COUNTIFS(実績!$W$6:$W$505,G$3,実績!$AI$6:$AI$505,"&lt;="&amp;$A256,実績!$AJ$6:$AJ$505,"&gt;"&amp;$A256,実績!$AK$6:$AK$505,"○")&gt;0,1,0))</f>
        <v>0</v>
      </c>
      <c r="H256" s="39" t="n">
        <f aca="false">IF(H$4=0,0,IF(COUNTIFS(実績!$W$6:$W$505,H$3,実績!$AI$6:$AI$505,"&lt;="&amp;$A256,実績!$AJ$6:$AJ$505,"&gt;"&amp;$A256,実績!$AK$6:$AK$505,"○")&gt;0,1,0))</f>
        <v>0</v>
      </c>
      <c r="I256" s="39" t="n">
        <f aca="false">IF(I$4=0,0,IF(COUNTIFS(実績!$W$6:$W$505,I$3,実績!$AI$6:$AI$505,"&lt;="&amp;$A256,実績!$AJ$6:$AJ$505,"&gt;"&amp;$A256,実績!$AK$6:$AK$505,"○")&gt;0,1,0))</f>
        <v>0</v>
      </c>
      <c r="J256" s="39" t="n">
        <f aca="false">IF(J$4=0,0,IF(COUNTIFS(実績!$W$6:$W$505,J$3,実績!$AI$6:$AI$505,"&lt;="&amp;$A256,実績!$AJ$6:$AJ$505,"&gt;"&amp;$A256,実績!$AK$6:$AK$505,"○")&gt;0,1,0))</f>
        <v>0</v>
      </c>
      <c r="K256" s="39" t="n">
        <f aca="false">IF(K$4=0,0,IF(COUNTIFS(実績!$W$6:$W$505,K$3,実績!$AI$6:$AI$505,"&lt;="&amp;$A256,実績!$AJ$6:$AJ$505,"&gt;"&amp;$A256,実績!$AK$6:$AK$505,"○")&gt;0,1,0))</f>
        <v>0</v>
      </c>
      <c r="L256" s="39" t="n">
        <f aca="false">IF(L$4=0,0,IF(COUNTIFS(実績!$W$6:$W$505,L$3,実績!$AI$6:$AI$505,"&lt;="&amp;$A256,実績!$AJ$6:$AJ$505,"&gt;"&amp;$A256,実績!$AK$6:$AK$505,"○")&gt;0,1,0))</f>
        <v>0</v>
      </c>
      <c r="M256" s="39" t="n">
        <f aca="false">IF(M$4=0,0,IF(COUNTIFS(実績!$W$6:$W$505,M$3,実績!$AI$6:$AI$505,"&lt;="&amp;$A256,実績!$AJ$6:$AJ$505,"&gt;"&amp;$A256,実績!$AK$6:$AK$505,"○")&gt;0,1,0))</f>
        <v>0</v>
      </c>
      <c r="N256" s="39" t="n">
        <f aca="false">IF(N$4=0,0,IF(COUNTIFS(実績!$W$6:$W$505,N$3,実績!$AI$6:$AI$505,"&lt;="&amp;$A256,実績!$AJ$6:$AJ$505,"&gt;"&amp;$A256,実績!$AK$6:$AK$505,"○")&gt;0,1,0))</f>
        <v>0</v>
      </c>
      <c r="O256" s="39" t="n">
        <f aca="false">IF(O$4=0,0,IF(COUNTIFS(実績!$W$6:$W$505,O$3,実績!$AI$6:$AI$505,"&lt;="&amp;$A256,実績!$AJ$6:$AJ$505,"&gt;"&amp;$A256,実績!$AK$6:$AK$505,"○")&gt;0,1,0))</f>
        <v>0</v>
      </c>
      <c r="P256" s="39" t="n">
        <f aca="false">IF(P$4=0,0,IF(COUNTIFS(実績!$W$6:$W$505,P$3,実績!$AI$6:$AI$505,"&lt;="&amp;$A256,実績!$AJ$6:$AJ$505,"&gt;"&amp;$A256,実績!$AK$6:$AK$505,"○")&gt;0,1,0))</f>
        <v>0</v>
      </c>
      <c r="Q256" s="39" t="n">
        <f aca="false">IF(Q$4=0,0,IF(COUNTIFS(実績!$W$6:$W$505,Q$3,実績!$AI$6:$AI$505,"&lt;="&amp;$A256,実績!$AJ$6:$AJ$505,"&gt;"&amp;$A256,実績!$AK$6:$AK$505,"○")&gt;0,1,0))</f>
        <v>0</v>
      </c>
      <c r="R256" s="39" t="n">
        <f aca="false">IF(R$4=0,0,IF(COUNTIFS(実績!$W$6:$W$505,R$3,実績!$AI$6:$AI$505,"&lt;="&amp;$A256,実績!$AJ$6:$AJ$505,"&gt;"&amp;$A256,実績!$AK$6:$AK$505,"○")&gt;0,1,0))</f>
        <v>0</v>
      </c>
      <c r="S256" s="39" t="n">
        <f aca="false">IF(S$4=0,0,IF(COUNTIFS(実績!$W$6:$W$505,S$3,実績!$AI$6:$AI$505,"&lt;="&amp;$A256,実績!$AJ$6:$AJ$505,"&gt;"&amp;$A256,実績!$AK$6:$AK$505,"○")&gt;0,1,0))</f>
        <v>0</v>
      </c>
      <c r="T256" s="39" t="n">
        <f aca="false">IF(T$4=0,0,IF(COUNTIFS(実績!$W$6:$W$505,T$3,実績!$AI$6:$AI$505,"&lt;="&amp;$A256,実績!$AJ$6:$AJ$505,"&gt;"&amp;$A256,実績!$AK$6:$AK$505,"○")&gt;0,1,0))</f>
        <v>0</v>
      </c>
      <c r="U256" s="39" t="n">
        <f aca="false">IF(U$4=0,0,IF(COUNTIFS(実績!$W$6:$W$505,U$3,実績!$AI$6:$AI$505,"&lt;="&amp;$A256,実績!$AJ$6:$AJ$505,"&gt;"&amp;$A256,実績!$AK$6:$AK$505,"○")&gt;0,1,0))</f>
        <v>0</v>
      </c>
      <c r="V256" s="39" t="n">
        <f aca="false">IF(V$4=0,0,IF(COUNTIFS(実績!$W$6:$W$505,V$3,実績!$AI$6:$AI$505,"&lt;="&amp;$A256,実績!$AJ$6:$AJ$505,"&gt;"&amp;$A256,実績!$AK$6:$AK$505,"○")&gt;0,1,0))</f>
        <v>0</v>
      </c>
      <c r="W256" s="39" t="n">
        <f aca="false">IF(W$4=0,0,IF(COUNTIFS(実績!$W$6:$W$505,W$3,実績!$AI$6:$AI$505,"&lt;="&amp;$A256,実績!$AJ$6:$AJ$505,"&gt;"&amp;$A256,実績!$AK$6:$AK$505,"○")&gt;0,1,0))</f>
        <v>0</v>
      </c>
      <c r="X256" s="39" t="n">
        <f aca="false">IF(X$4=0,0,IF(COUNTIFS(実績!$W$6:$W$505,X$3,実績!$AI$6:$AI$505,"&lt;="&amp;$A256,実績!$AJ$6:$AJ$505,"&gt;"&amp;$A256,実績!$AK$6:$AK$505,"○")&gt;0,1,0))</f>
        <v>0</v>
      </c>
      <c r="Y256" s="39" t="n">
        <f aca="false">IF(Y$4=0,0,IF(COUNTIFS(実績!$W$6:$W$505,Y$3,実績!$AI$6:$AI$505,"&lt;="&amp;$A256,実績!$AJ$6:$AJ$505,"&gt;"&amp;$A256,実績!$AK$6:$AK$505,"○")&gt;0,1,0))</f>
        <v>0</v>
      </c>
      <c r="Z256" s="39" t="n">
        <f aca="false">IF(Z$4=0,0,IF(COUNTIFS(実績!$W$6:$W$505,Z$3,実績!$AI$6:$AI$505,"&lt;="&amp;$A256,実績!$AJ$6:$AJ$505,"&gt;"&amp;$A256,実績!$AK$6:$AK$505,"○")&gt;0,1,0))</f>
        <v>0</v>
      </c>
      <c r="AA256" s="39" t="n">
        <f aca="false">IF(AA$4=0,0,IF(COUNTIFS(実績!$W$6:$W$505,AA$3,実績!$AI$6:$AI$505,"&lt;="&amp;$A256,実績!$AJ$6:$AJ$505,"&gt;"&amp;$A256,実績!$AK$6:$AK$505,"○")&gt;0,1,0))</f>
        <v>0</v>
      </c>
      <c r="AB256" s="39" t="n">
        <f aca="false">IF(AB$4=0,0,IF(COUNTIFS(実績!$W$6:$W$505,AB$3,実績!$AI$6:$AI$505,"&lt;="&amp;$A256,実績!$AJ$6:$AJ$505,"&gt;"&amp;$A256,実績!$AK$6:$AK$505,"○")&gt;0,1,0))</f>
        <v>0</v>
      </c>
      <c r="AC256" s="39" t="n">
        <f aca="false">IF(AC$4=0,0,IF(COUNTIFS(実績!$W$6:$W$505,AC$3,実績!$AI$6:$AI$505,"&lt;="&amp;$A256,実績!$AJ$6:$AJ$505,"&gt;"&amp;$A256,実績!$AK$6:$AK$505,"○")&gt;0,1,0))</f>
        <v>0</v>
      </c>
      <c r="AD256" s="39" t="n">
        <f aca="false">IF(AD$4=0,0,IF(COUNTIFS(実績!$W$6:$W$505,AD$3,実績!$AI$6:$AI$505,"&lt;="&amp;$A256,実績!$AJ$6:$AJ$505,"&gt;"&amp;$A256,実績!$AK$6:$AK$505,"○")&gt;0,1,0))</f>
        <v>0</v>
      </c>
      <c r="AE256" s="39" t="n">
        <f aca="false">IF(AE$4=0,0,IF(COUNTIFS(実績!$W$6:$W$505,AE$3,実績!$AI$6:$AI$505,"&lt;="&amp;$A256,実績!$AJ$6:$AJ$505,"&gt;"&amp;$A256,実績!$AK$6:$AK$505,"○")&gt;0,1,0))</f>
        <v>0</v>
      </c>
      <c r="AF256" s="39" t="n">
        <f aca="false">IF(AF$4=0,0,IF(COUNTIFS(実績!$W$6:$W$505,AF$3,実績!$AI$6:$AI$505,"&lt;="&amp;$A256,実績!$AJ$6:$AJ$505,"&gt;"&amp;$A256,実績!$AK$6:$AK$505,"○")&gt;0,1,0))</f>
        <v>0</v>
      </c>
      <c r="AG256" s="39" t="n">
        <f aca="false">IF(AG$4=0,0,IF(COUNTIFS(実績!$W$6:$W$505,AG$3,実績!$AI$6:$AI$505,"&lt;="&amp;$A256,実績!$AJ$6:$AJ$505,"&gt;"&amp;$A256,実績!$AK$6:$AK$505,"○")&gt;0,1,0))</f>
        <v>0</v>
      </c>
      <c r="AH256" s="39" t="n">
        <f aca="false">IF(AH$4=0,0,IF(COUNTIFS(実績!$W$6:$W$505,AH$3,実績!$AI$6:$AI$505,"&lt;="&amp;$A256,実績!$AJ$6:$AJ$505,"&gt;"&amp;$A256,実績!$AK$6:$AK$505,"○")&gt;0,1,0))</f>
        <v>0</v>
      </c>
      <c r="AI256" s="39" t="n">
        <f aca="false">IF(AI$4=0,0,IF(COUNTIFS(実績!$W$6:$W$505,AI$3,実績!$AI$6:$AI$505,"&lt;="&amp;$A256,実績!$AJ$6:$AJ$505,"&gt;"&amp;$A256,実績!$AK$6:$AK$505,"○")&gt;0,1,0))</f>
        <v>0</v>
      </c>
      <c r="AJ256" s="39" t="n">
        <f aca="false">IF(AJ$4=0,0,IF(COUNTIFS(実績!$W$6:$W$505,AJ$3,実績!$AI$6:$AI$505,"&lt;="&amp;$A256,実績!$AJ$6:$AJ$505,"&gt;"&amp;$A256,実績!$AK$6:$AK$505,"○")&gt;0,1,0))</f>
        <v>0</v>
      </c>
      <c r="AK256" s="39" t="n">
        <f aca="false">IF(AK$4=0,0,IF(COUNTIFS(実績!$W$6:$W$505,AK$3,実績!$AI$6:$AI$505,"&lt;="&amp;$A256,実績!$AJ$6:$AJ$505,"&gt;"&amp;$A256,実績!$AK$6:$AK$505,"○")&gt;0,1,0))</f>
        <v>0</v>
      </c>
      <c r="AL256" s="39" t="n">
        <f aca="false">IF(AL$4=0,0,IF(COUNTIFS(実績!$W$6:$W$505,AL$3,実績!$AI$6:$AI$505,"&lt;="&amp;$A256,実績!$AJ$6:$AJ$505,"&gt;"&amp;$A256,実績!$AK$6:$AK$505,"○")&gt;0,1,0))</f>
        <v>0</v>
      </c>
      <c r="AM256" s="39" t="n">
        <f aca="false">IF(AM$4=0,0,IF(COUNTIFS(実績!$W$6:$W$505,AM$3,実績!$AI$6:$AI$505,"&lt;="&amp;$A256,実績!$AJ$6:$AJ$505,"&gt;"&amp;$A256,実績!$AK$6:$AK$505,"○")&gt;0,1,0))</f>
        <v>0</v>
      </c>
      <c r="AN256" s="39" t="n">
        <f aca="false">IF(AN$4=0,0,IF(COUNTIFS(実績!$W$6:$W$505,AN$3,実績!$AI$6:$AI$505,"&lt;="&amp;$A256,実績!$AJ$6:$AJ$505,"&gt;"&amp;$A256,実績!$AK$6:$AK$505,"○")&gt;0,1,0))</f>
        <v>0</v>
      </c>
      <c r="AO256" s="39" t="n">
        <f aca="false">IF(AO$4=0,0,IF(COUNTIFS(実績!$W$6:$W$505,AO$3,実績!$AI$6:$AI$505,"&lt;="&amp;$A256,実績!$AJ$6:$AJ$505,"&gt;"&amp;$A256,実績!$AK$6:$AK$505,"○")&gt;0,1,0))</f>
        <v>0</v>
      </c>
      <c r="AP256" s="39" t="n">
        <f aca="false">IF(AP$4=0,0,IF(COUNTIFS(実績!$W$6:$W$505,AP$3,実績!$AI$6:$AI$505,"&lt;="&amp;$A256,実績!$AJ$6:$AJ$505,"&gt;"&amp;$A256,実績!$AK$6:$AK$505,"○")&gt;0,1,0))</f>
        <v>0</v>
      </c>
      <c r="AQ256" s="39" t="n">
        <f aca="false">IF(AQ$4=0,0,IF(COUNTIFS(実績!$W$6:$W$505,AQ$3,実績!$AI$6:$AI$505,"&lt;="&amp;$A256,実績!$AJ$6:$AJ$505,"&gt;"&amp;$A256,実績!$AK$6:$AK$505,"○")&gt;0,1,0))</f>
        <v>0</v>
      </c>
      <c r="AR256" s="39" t="n">
        <f aca="false">IF(AR$4=0,0,IF(COUNTIFS(実績!$W$6:$W$505,AR$3,実績!$AI$6:$AI$505,"&lt;="&amp;$A256,実績!$AJ$6:$AJ$505,"&gt;"&amp;$A256,実績!$AK$6:$AK$505,"○")&gt;0,1,0))</f>
        <v>0</v>
      </c>
      <c r="AS256" s="39" t="n">
        <f aca="false">IF(AS$4=0,0,IF(COUNTIFS(実績!$W$6:$W$505,AS$3,実績!$AI$6:$AI$505,"&lt;="&amp;$A256,実績!$AJ$6:$AJ$505,"&gt;"&amp;$A256,実績!$AK$6:$AK$505,"○")&gt;0,1,0))</f>
        <v>0</v>
      </c>
      <c r="AT256" s="39" t="n">
        <f aca="false">IF(AT$4=0,0,IF(COUNTIFS(実績!$W$6:$W$505,AT$3,実績!$AI$6:$AI$505,"&lt;="&amp;$A256,実績!$AJ$6:$AJ$505,"&gt;"&amp;$A256,実績!$AK$6:$AK$505,"○")&gt;0,1,0))</f>
        <v>0</v>
      </c>
      <c r="AU256" s="39" t="n">
        <f aca="false">IF(AU$4=0,0,IF(COUNTIFS(実績!$W$6:$W$505,AU$3,実績!$AI$6:$AI$505,"&lt;="&amp;$A256,実績!$AJ$6:$AJ$505,"&gt;"&amp;$A256,実績!$AK$6:$AK$505,"○")&gt;0,1,0))</f>
        <v>0</v>
      </c>
      <c r="AV256" s="39" t="n">
        <f aca="false">IF(AV$4=0,0,IF(COUNTIFS(実績!$W$6:$W$505,AV$3,実績!$AI$6:$AI$505,"&lt;="&amp;$A256,実績!$AJ$6:$AJ$505,"&gt;"&amp;$A256,実績!$AK$6:$AK$505,"○")&gt;0,1,0))</f>
        <v>0</v>
      </c>
      <c r="AW256" s="39" t="n">
        <f aca="false">IF(AW$4=0,0,IF(COUNTIFS(実績!$W$6:$W$505,AW$3,実績!$AI$6:$AI$505,"&lt;="&amp;$A256,実績!$AJ$6:$AJ$505,"&gt;"&amp;$A256,実績!$AK$6:$AK$505,"○")&gt;0,1,0))</f>
        <v>0</v>
      </c>
      <c r="AX256" s="39" t="n">
        <f aca="false">IF(AX$4=0,0,IF(COUNTIFS(実績!$W$6:$W$505,AX$3,実績!$AI$6:$AI$505,"&lt;="&amp;$A256,実績!$AJ$6:$AJ$505,"&gt;"&amp;$A256,実績!$AK$6:$AK$505,"○")&gt;0,1,0))</f>
        <v>0</v>
      </c>
      <c r="AY256" s="39" t="n">
        <f aca="false">IF(AY$4=0,0,IF(COUNTIFS(実績!$W$6:$W$505,AY$3,実績!$AI$6:$AI$505,"&lt;="&amp;$A256,実績!$AJ$6:$AJ$505,"&gt;"&amp;$A256,実績!$AK$6:$AK$505,"○")&gt;0,1,0))</f>
        <v>0</v>
      </c>
      <c r="AZ256" s="39" t="n">
        <f aca="false">IF(AZ$4=0,0,IF(COUNTIFS(実績!$W$6:$W$505,AZ$3,実績!$AI$6:$AI$505,"&lt;="&amp;$A256,実績!$AJ$6:$AJ$505,"&gt;"&amp;$A256,実績!$AK$6:$AK$505,"○")&gt;0,1,0))</f>
        <v>0</v>
      </c>
      <c r="BA256" s="39" t="n">
        <f aca="false">IF(BA$4=0,0,IF(COUNTIFS(実績!$W$6:$W$505,BA$3,実績!$AI$6:$AI$505,"&lt;="&amp;$A256,実績!$AJ$6:$AJ$505,"&gt;"&amp;$A256,実績!$AK$6:$AK$505,"○")&gt;0,1,0))</f>
        <v>0</v>
      </c>
      <c r="BB256" s="39" t="n">
        <f aca="false">IF(BB$4=0,0,IF(COUNTIFS(実績!$W$6:$W$505,BB$3,実績!$AI$6:$AI$505,"&lt;="&amp;$A256,実績!$AJ$6:$AJ$505,"&gt;"&amp;$A256,実績!$AK$6:$AK$505,"○")&gt;0,1,0))</f>
        <v>0</v>
      </c>
      <c r="BC256" s="39" t="n">
        <f aca="false">IF(BC$4=0,0,IF(COUNTIFS(実績!$W$6:$W$505,BC$3,実績!$AI$6:$AI$505,"&lt;="&amp;$A256,実績!$AJ$6:$AJ$505,"&gt;"&amp;$A256,実績!$AK$6:$AK$505,"○")&gt;0,1,0))</f>
        <v>0</v>
      </c>
      <c r="BD256" s="39" t="n">
        <f aca="false">IF(BD$4=0,0,IF(COUNTIFS(実績!$W$6:$W$505,BD$3,実績!$AI$6:$AI$505,"&lt;="&amp;$A256,実績!$AJ$6:$AJ$505,"&gt;"&amp;$A256,実績!$AK$6:$AK$505,"○")&gt;0,1,0))</f>
        <v>0</v>
      </c>
      <c r="BE256" s="39" t="n">
        <f aca="false">IF(BE$4=0,0,IF(COUNTIFS(実績!$W$6:$W$505,BE$3,実績!$AI$6:$AI$505,"&lt;="&amp;$A256,実績!$AJ$6:$AJ$505,"&gt;"&amp;$A256,実績!$AK$6:$AK$505,"○")&gt;0,1,0))</f>
        <v>0</v>
      </c>
      <c r="BF256" s="39" t="n">
        <f aca="false">IF(BF$4=0,0,IF(COUNTIFS(実績!$W$6:$W$505,BF$3,実績!$AI$6:$AI$505,"&lt;="&amp;$A256,実績!$AJ$6:$AJ$505,"&gt;"&amp;$A256,実績!$AK$6:$AK$505,"○")&gt;0,1,0))</f>
        <v>0</v>
      </c>
      <c r="BG256" s="39" t="n">
        <f aca="false">IF(BG$4=0,0,IF(COUNTIFS(実績!$W$6:$W$505,BG$3,実績!$AI$6:$AI$505,"&lt;="&amp;$A256,実績!$AJ$6:$AJ$505,"&gt;"&amp;$A256,実績!$AK$6:$AK$505,"○")&gt;0,1,0))</f>
        <v>0</v>
      </c>
      <c r="BH256" s="39" t="n">
        <f aca="false">IF(BH$4=0,0,IF(COUNTIFS(実績!$W$6:$W$505,BH$3,実績!$AI$6:$AI$505,"&lt;="&amp;$A256,実績!$AJ$6:$AJ$505,"&gt;"&amp;$A256,実績!$AK$6:$AK$505,"○")&gt;0,1,0))</f>
        <v>0</v>
      </c>
      <c r="BI256" s="39" t="n">
        <f aca="false">IF(BI$4=0,0,IF(COUNTIFS(実績!$W$6:$W$505,BI$3,実績!$AI$6:$AI$505,"&lt;="&amp;$A256,実績!$AJ$6:$AJ$505,"&gt;"&amp;$A256,実績!$AK$6:$AK$505,"○")&gt;0,1,0))</f>
        <v>0</v>
      </c>
      <c r="BJ256" s="39" t="n">
        <f aca="false">IF(BJ$4=0,0,IF(COUNTIFS(実績!$W$6:$W$505,BJ$3,実績!$AI$6:$AI$505,"&lt;="&amp;$A256,実績!$AJ$6:$AJ$505,"&gt;"&amp;$A256,実績!$AK$6:$AK$505,"○")&gt;0,1,0))</f>
        <v>0</v>
      </c>
      <c r="BK256" s="39" t="n">
        <f aca="false">IF(BK$4=0,0,IF(COUNTIFS(実績!$W$6:$W$505,BK$3,実績!$AI$6:$AI$505,"&lt;="&amp;$A256,実績!$AJ$6:$AJ$505,"&gt;"&amp;$A256,実績!$AK$6:$AK$505,"○")&gt;0,1,0))</f>
        <v>0</v>
      </c>
      <c r="BL256" s="39" t="n">
        <f aca="false">IF(BL$4=0,0,IF(COUNTIFS(実績!$W$6:$W$505,BL$3,実績!$AI$6:$AI$505,"&lt;="&amp;$A256,実績!$AJ$6:$AJ$505,"&gt;"&amp;$A256,実績!$AK$6:$AK$505,"○")&gt;0,1,0))</f>
        <v>0</v>
      </c>
      <c r="BM256" s="39" t="n">
        <f aca="false">IF(BM$4=0,0,IF(COUNTIFS(実績!$W$6:$W$505,BM$3,実績!$AI$6:$AI$505,"&lt;="&amp;$A256,実績!$AJ$6:$AJ$505,"&gt;"&amp;$A256,実績!$AK$6:$AK$505,"○")&gt;0,1,0))</f>
        <v>0</v>
      </c>
      <c r="BN256" s="39" t="n">
        <f aca="false">IF(BN$4=0,0,IF(COUNTIFS(実績!$W$6:$W$505,BN$3,実績!$AI$6:$AI$505,"&lt;="&amp;$A256,実績!$AJ$6:$AJ$505,"&gt;"&amp;$A256,実績!$AK$6:$AK$505,"○")&gt;0,1,0))</f>
        <v>0</v>
      </c>
      <c r="BO256" s="39" t="n">
        <f aca="false">IF(BO$4=0,0,IF(COUNTIFS(実績!$W$6:$W$505,BO$3,実績!$AI$6:$AI$505,"&lt;="&amp;$A256,実績!$AJ$6:$AJ$505,"&gt;"&amp;$A256,実績!$AK$6:$AK$505,"○")&gt;0,1,0))</f>
        <v>0</v>
      </c>
      <c r="BP256" s="39" t="n">
        <f aca="false">IF(BP$4=0,0,IF(COUNTIFS(実績!$W$6:$W$505,BP$3,実績!$AI$6:$AI$505,"&lt;="&amp;$A256,実績!$AJ$6:$AJ$505,"&gt;"&amp;$A256,実績!$AK$6:$AK$505,"○")&gt;0,1,0))</f>
        <v>0</v>
      </c>
      <c r="BQ256" s="39" t="n">
        <f aca="false">IF(BQ$4=0,0,IF(COUNTIFS(実績!$W$6:$W$505,BQ$3,実績!$AI$6:$AI$505,"&lt;="&amp;$A256,実績!$AJ$6:$AJ$505,"&gt;"&amp;$A256,実績!$AK$6:$AK$505,"○")&gt;0,1,0))</f>
        <v>0</v>
      </c>
      <c r="BR256" s="39" t="n">
        <f aca="false">IF(BR$4=0,0,IF(COUNTIFS(実績!$W$6:$W$505,BR$3,実績!$AI$6:$AI$505,"&lt;="&amp;$A256,実績!$AJ$6:$AJ$505,"&gt;"&amp;$A256,実績!$AK$6:$AK$505,"○")&gt;0,1,0))</f>
        <v>0</v>
      </c>
      <c r="BS256" s="39" t="n">
        <f aca="false">IF(BS$4=0,0,IF(COUNTIFS(実績!$W$6:$W$505,BS$3,実績!$AI$6:$AI$505,"&lt;="&amp;$A256,実績!$AJ$6:$AJ$505,"&gt;"&amp;$A256,実績!$AK$6:$AK$505,"○")&gt;0,1,0))</f>
        <v>0</v>
      </c>
      <c r="BT256" s="39" t="n">
        <f aca="false">IF(BT$4=0,0,IF(COUNTIFS(実績!$W$6:$W$505,BT$3,実績!$AI$6:$AI$505,"&lt;="&amp;$A256,実績!$AJ$6:$AJ$505,"&gt;"&amp;$A256,実績!$AK$6:$AK$505,"○")&gt;0,1,0))</f>
        <v>0</v>
      </c>
      <c r="BU256" s="39" t="n">
        <f aca="false">IF(BU$4=0,0,IF(COUNTIFS(実績!$W$6:$W$505,BU$3,実績!$AI$6:$AI$505,"&lt;="&amp;$A256,実績!$AJ$6:$AJ$505,"&gt;"&amp;$A256,実績!$AK$6:$AK$505,"○")&gt;0,1,0))</f>
        <v>0</v>
      </c>
      <c r="BV256" s="39" t="n">
        <f aca="false">IF(BV$4=0,0,IF(COUNTIFS(実績!$W$6:$W$505,BV$3,実績!$AI$6:$AI$505,"&lt;="&amp;$A256,実績!$AJ$6:$AJ$505,"&gt;"&amp;$A256,実績!$AK$6:$AK$505,"○")&gt;0,1,0))</f>
        <v>0</v>
      </c>
      <c r="BW256" s="39" t="n">
        <f aca="false">IF(BW$4=0,0,IF(COUNTIFS(実績!$W$6:$W$505,BW$3,実績!$AI$6:$AI$505,"&lt;="&amp;$A256,実績!$AJ$6:$AJ$505,"&gt;"&amp;$A256,実績!$AK$6:$AK$505,"○")&gt;0,1,0))</f>
        <v>0</v>
      </c>
      <c r="BX256" s="39" t="n">
        <f aca="false">IF(BX$4=0,0,IF(COUNTIFS(実績!$W$6:$W$505,BX$3,実績!$AI$6:$AI$505,"&lt;="&amp;$A256,実績!$AJ$6:$AJ$505,"&gt;"&amp;$A256,実績!$AK$6:$AK$505,"○")&gt;0,1,0))</f>
        <v>0</v>
      </c>
      <c r="BY256" s="39" t="n">
        <f aca="false">IF(BY$4=0,0,IF(COUNTIFS(実績!$W$6:$W$505,BY$3,実績!$AI$6:$AI$505,"&lt;="&amp;$A256,実績!$AJ$6:$AJ$505,"&gt;"&amp;$A256,実績!$AK$6:$AK$505,"○")&gt;0,1,0))</f>
        <v>0</v>
      </c>
      <c r="BZ256" s="39" t="n">
        <f aca="false">IF(BZ$4=0,0,IF(COUNTIFS(実績!$W$6:$W$505,BZ$3,実績!$AI$6:$AI$505,"&lt;="&amp;$A256,実績!$AJ$6:$AJ$505,"&gt;"&amp;$A256,実績!$AK$6:$AK$505,"○")&gt;0,1,0))</f>
        <v>0</v>
      </c>
      <c r="CA256" s="39" t="n">
        <f aca="false">IF(CA$4=0,0,IF(COUNTIFS(実績!$W$6:$W$505,CA$3,実績!$AI$6:$AI$505,"&lt;="&amp;$A256,実績!$AJ$6:$AJ$505,"&gt;"&amp;$A256,実績!$AK$6:$AK$505,"○")&gt;0,1,0))</f>
        <v>0</v>
      </c>
      <c r="CB256" s="39" t="n">
        <f aca="false">IF(CB$4=0,0,IF(COUNTIFS(実績!$W$6:$W$505,CB$3,実績!$AI$6:$AI$505,"&lt;="&amp;$A256,実績!$AJ$6:$AJ$505,"&gt;"&amp;$A256,実績!$AK$6:$AK$505,"○")&gt;0,1,0))</f>
        <v>0</v>
      </c>
      <c r="CC256" s="39" t="n">
        <f aca="false">IF(CC$4=0,0,IF(COUNTIFS(実績!$W$6:$W$505,CC$3,実績!$AI$6:$AI$505,"&lt;="&amp;$A256,実績!$AJ$6:$AJ$505,"&gt;"&amp;$A256,実績!$AK$6:$AK$505,"○")&gt;0,1,0))</f>
        <v>0</v>
      </c>
      <c r="CD256" s="39" t="n">
        <f aca="false">IF(CD$4=0,0,IF(COUNTIFS(実績!$W$6:$W$505,CD$3,実績!$AI$6:$AI$505,"&lt;="&amp;$A256,実績!$AJ$6:$AJ$505,"&gt;"&amp;$A256,実績!$AK$6:$AK$505,"○")&gt;0,1,0))</f>
        <v>0</v>
      </c>
      <c r="CE256" s="39" t="n">
        <f aca="false">IF(CE$4=0,0,IF(COUNTIFS(実績!$W$6:$W$505,CE$3,実績!$AI$6:$AI$505,"&lt;="&amp;$A256,実績!$AJ$6:$AJ$505,"&gt;"&amp;$A256,実績!$AK$6:$AK$505,"○")&gt;0,1,0))</f>
        <v>0</v>
      </c>
      <c r="CF256" s="39" t="n">
        <f aca="false">IF(CF$4=0,0,IF(COUNTIFS(実績!$W$6:$W$505,CF$3,実績!$AI$6:$AI$505,"&lt;="&amp;$A256,実績!$AJ$6:$AJ$505,"&gt;"&amp;$A256,実績!$AK$6:$AK$505,"○")&gt;0,1,0))</f>
        <v>0</v>
      </c>
      <c r="CG256" s="39" t="n">
        <f aca="false">IF(CG$4=0,0,IF(COUNTIFS(実績!$W$6:$W$505,CG$3,実績!$AI$6:$AI$505,"&lt;="&amp;$A256,実績!$AJ$6:$AJ$505,"&gt;"&amp;$A256,実績!$AK$6:$AK$505,"○")&gt;0,1,0))</f>
        <v>0</v>
      </c>
      <c r="CH256" s="39" t="n">
        <f aca="false">IF(CH$4=0,0,IF(COUNTIFS(実績!$W$6:$W$505,CH$3,実績!$AI$6:$AI$505,"&lt;="&amp;$A256,実績!$AJ$6:$AJ$505,"&gt;"&amp;$A256,実績!$AK$6:$AK$505,"○")&gt;0,1,0))</f>
        <v>0</v>
      </c>
      <c r="CI256" s="39" t="n">
        <f aca="false">IF(CI$4=0,0,IF(COUNTIFS(実績!$W$6:$W$505,CI$3,実績!$AI$6:$AI$505,"&lt;="&amp;$A256,実績!$AJ$6:$AJ$505,"&gt;"&amp;$A256,実績!$AK$6:$AK$505,"○")&gt;0,1,0))</f>
        <v>0</v>
      </c>
      <c r="CJ256" s="39" t="n">
        <f aca="false">IF(CJ$4=0,0,IF(COUNTIFS(実績!$W$6:$W$505,CJ$3,実績!$AI$6:$AI$505,"&lt;="&amp;$A256,実績!$AJ$6:$AJ$505,"&gt;"&amp;$A256,実績!$AK$6:$AK$505,"○")&gt;0,1,0))</f>
        <v>0</v>
      </c>
      <c r="CK256" s="39" t="n">
        <f aca="false">IF(CK$4=0,0,IF(COUNTIFS(実績!$W$6:$W$505,CK$3,実績!$AI$6:$AI$505,"&lt;="&amp;$A256,実績!$AJ$6:$AJ$505,"&gt;"&amp;$A256,実績!$AK$6:$AK$505,"○")&gt;0,1,0))</f>
        <v>0</v>
      </c>
      <c r="CL256" s="39" t="n">
        <f aca="false">IF(CL$4=0,0,IF(COUNTIFS(実績!$W$6:$W$505,CL$3,実績!$AI$6:$AI$505,"&lt;="&amp;$A256,実績!$AJ$6:$AJ$505,"&gt;"&amp;$A256,実績!$AK$6:$AK$505,"○")&gt;0,1,0))</f>
        <v>0</v>
      </c>
      <c r="CM256" s="39" t="n">
        <f aca="false">IF(CM$4=0,0,IF(COUNTIFS(実績!$W$6:$W$505,CM$3,実績!$AI$6:$AI$505,"&lt;="&amp;$A256,実績!$AJ$6:$AJ$505,"&gt;"&amp;$A256,実績!$AK$6:$AK$505,"○")&gt;0,1,0))</f>
        <v>0</v>
      </c>
      <c r="CN256" s="39" t="n">
        <f aca="false">IF(CN$4=0,0,IF(COUNTIFS(実績!$W$6:$W$505,CN$3,実績!$AI$6:$AI$505,"&lt;="&amp;$A256,実績!$AJ$6:$AJ$505,"&gt;"&amp;$A256,実績!$AK$6:$AK$505,"○")&gt;0,1,0))</f>
        <v>0</v>
      </c>
      <c r="CO256" s="39" t="n">
        <f aca="false">IF(CO$4=0,0,IF(COUNTIFS(実績!$W$6:$W$505,CO$3,実績!$AI$6:$AI$505,"&lt;="&amp;$A256,実績!$AJ$6:$AJ$505,"&gt;"&amp;$A256,実績!$AK$6:$AK$505,"○")&gt;0,1,0))</f>
        <v>0</v>
      </c>
      <c r="CP256" s="39" t="n">
        <f aca="false">IF(CP$4=0,0,IF(COUNTIFS(実績!$W$6:$W$505,CP$3,実績!$AI$6:$AI$505,"&lt;="&amp;$A256,実績!$AJ$6:$AJ$505,"&gt;"&amp;$A256,実績!$AK$6:$AK$505,"○")&gt;0,1,0))</f>
        <v>0</v>
      </c>
      <c r="CQ256" s="39" t="n">
        <f aca="false">IF(CQ$4=0,0,IF(COUNTIFS(実績!$W$6:$W$505,CQ$3,実績!$AI$6:$AI$505,"&lt;="&amp;$A256,実績!$AJ$6:$AJ$505,"&gt;"&amp;$A256,実績!$AK$6:$AK$505,"○")&gt;0,1,0))</f>
        <v>0</v>
      </c>
      <c r="CR256" s="39" t="n">
        <f aca="false">IF(CR$4=0,0,IF(COUNTIFS(実績!$W$6:$W$505,CR$3,実績!$AI$6:$AI$505,"&lt;="&amp;$A256,実績!$AJ$6:$AJ$505,"&gt;"&amp;$A256,実績!$AK$6:$AK$505,"○")&gt;0,1,0))</f>
        <v>0</v>
      </c>
      <c r="CS256" s="39" t="n">
        <f aca="false">IF(CS$4=0,0,IF(COUNTIFS(実績!$W$6:$W$505,CS$3,実績!$AI$6:$AI$505,"&lt;="&amp;$A256,実績!$AJ$6:$AJ$505,"&gt;"&amp;$A256,実績!$AK$6:$AK$505,"○")&gt;0,1,0))</f>
        <v>0</v>
      </c>
      <c r="CT256" s="39" t="n">
        <f aca="false">IF(CT$4=0,0,IF(COUNTIFS(実績!$W$6:$W$505,CT$3,実績!$AI$6:$AI$505,"&lt;="&amp;$A256,実績!$AJ$6:$AJ$505,"&gt;"&amp;$A256,実績!$AK$6:$AK$505,"○")&gt;0,1,0))</f>
        <v>0</v>
      </c>
      <c r="CU256" s="39" t="n">
        <f aca="false">IF(CU$4=0,0,IF(COUNTIFS(実績!$W$6:$W$505,CU$3,実績!$AI$6:$AI$505,"&lt;="&amp;$A256,実績!$AJ$6:$AJ$505,"&gt;"&amp;$A256,実績!$AK$6:$AK$505,"○")&gt;0,1,0))</f>
        <v>0</v>
      </c>
      <c r="CV256" s="39" t="n">
        <f aca="false">IF(CV$4=0,0,IF(COUNTIFS(実績!$W$6:$W$505,CV$3,実績!$AI$6:$AI$505,"&lt;="&amp;$A256,実績!$AJ$6:$AJ$505,"&gt;"&amp;$A256,実績!$AK$6:$AK$505,"○")&gt;0,1,0))</f>
        <v>0</v>
      </c>
      <c r="CW256" s="39" t="n">
        <f aca="false">IF(CW$4=0,0,IF(COUNTIFS(実績!$W$6:$W$505,CW$3,実績!$AI$6:$AI$505,"&lt;="&amp;$A256,実績!$AJ$6:$AJ$505,"&gt;"&amp;$A256,実績!$AK$6:$AK$505,"○")&gt;0,1,0))</f>
        <v>0</v>
      </c>
      <c r="CX256" s="39" t="n">
        <f aca="false">IF(CX$4=0,0,IF(COUNTIFS(実績!$W$6:$W$505,CX$3,実績!$AI$6:$AI$505,"&lt;="&amp;$A256,実績!$AJ$6:$AJ$505,"&gt;"&amp;$A256,実績!$AK$6:$AK$505,"○")&gt;0,1,0))</f>
        <v>0</v>
      </c>
      <c r="CY256" s="39" t="n">
        <f aca="false">IF(CY$4=0,0,IF(COUNTIFS(実績!$W$6:$W$505,CY$3,実績!$AI$6:$AI$505,"&lt;="&amp;$A256,実績!$AJ$6:$AJ$505,"&gt;"&amp;$A256,実績!$AK$6:$AK$505,"○")&gt;0,1,0))</f>
        <v>0</v>
      </c>
      <c r="CZ256" s="39" t="n">
        <f aca="false">IF(CZ$4=0,0,IF(COUNTIFS(実績!$W$6:$W$505,CZ$3,実績!$AI$6:$AI$505,"&lt;="&amp;$A256,実績!$AJ$6:$AJ$505,"&gt;"&amp;$A256,実績!$AK$6:$AK$505,"○")&gt;0,1,0))</f>
        <v>0</v>
      </c>
      <c r="DA256" s="39" t="n">
        <f aca="false">IF(DA$4=0,0,IF(COUNTIFS(実績!$W$6:$W$505,DA$3,実績!$AI$6:$AI$505,"&lt;="&amp;$A256,実績!$AJ$6:$AJ$505,"&gt;"&amp;$A256,実績!$AK$6:$AK$505,"○")&gt;0,1,0))</f>
        <v>0</v>
      </c>
      <c r="DB256" s="39" t="n">
        <f aca="false">IF(DB$4=0,0,IF(COUNTIFS(実績!$W$6:$W$505,DB$3,実績!$AI$6:$AI$505,"&lt;="&amp;$A256,実績!$AJ$6:$AJ$505,"&gt;"&amp;$A256,実績!$AK$6:$AK$505,"○")&gt;0,1,0))</f>
        <v>0</v>
      </c>
      <c r="DC256" s="39" t="n">
        <f aca="false">IF(DC$4=0,0,IF(COUNTIFS(実績!$W$6:$W$505,DC$3,実績!$AI$6:$AI$505,"&lt;="&amp;$A256,実績!$AJ$6:$AJ$505,"&gt;"&amp;$A256,実績!$AK$6:$AK$505,"○")&gt;0,1,0))</f>
        <v>0</v>
      </c>
      <c r="DD256" s="39" t="n">
        <f aca="false">IF(DD$4=0,0,IF(COUNTIFS(実績!$W$6:$W$505,DD$3,実績!$AI$6:$AI$505,"&lt;="&amp;$A256,実績!$AJ$6:$AJ$505,"&gt;"&amp;$A256,実績!$AK$6:$AK$505,"○")&gt;0,1,0))</f>
        <v>0</v>
      </c>
      <c r="DE256" s="39" t="n">
        <f aca="false">IF(DE$4=0,0,IF(COUNTIFS(実績!$W$6:$W$505,DE$3,実績!$AI$6:$AI$505,"&lt;="&amp;$A256,実績!$AJ$6:$AJ$505,"&gt;"&amp;$A256,実績!$AK$6:$AK$505,"○")&gt;0,1,0))</f>
        <v>0</v>
      </c>
      <c r="DF256" s="39" t="n">
        <f aca="false">IF(DF$4=0,0,IF(COUNTIFS(実績!$W$6:$W$505,DF$3,実績!$AI$6:$AI$505,"&lt;="&amp;$A256,実績!$AJ$6:$AJ$505,"&gt;"&amp;$A256,実績!$AK$6:$AK$505,"○")&gt;0,1,0))</f>
        <v>0</v>
      </c>
      <c r="DG256" s="39" t="n">
        <f aca="false">IF(DG$4=0,0,IF(COUNTIFS(実績!$W$6:$W$505,DG$3,実績!$AI$6:$AI$505,"&lt;="&amp;$A256,実績!$AJ$6:$AJ$505,"&gt;"&amp;$A256,実績!$AK$6:$AK$505,"○")&gt;0,1,0))</f>
        <v>0</v>
      </c>
      <c r="DH256" s="39" t="n">
        <f aca="false">IF(DH$4=0,0,IF(COUNTIFS(実績!$W$6:$W$505,DH$3,実績!$AI$6:$AI$505,"&lt;="&amp;$A256,実績!$AJ$6:$AJ$505,"&gt;"&amp;$A256,実績!$AK$6:$AK$505,"○")&gt;0,1,0))</f>
        <v>0</v>
      </c>
      <c r="DI256" s="39" t="n">
        <f aca="false">IF(DI$4=0,0,IF(COUNTIFS(実績!$W$6:$W$505,DI$3,実績!$AI$6:$AI$505,"&lt;="&amp;$A256,実績!$AJ$6:$AJ$505,"&gt;"&amp;$A256,実績!$AK$6:$AK$505,"○")&gt;0,1,0))</f>
        <v>0</v>
      </c>
      <c r="DJ256" s="39" t="n">
        <f aca="false">IF(DJ$4=0,0,IF(COUNTIFS(実績!$W$6:$W$505,DJ$3,実績!$AI$6:$AI$505,"&lt;="&amp;$A256,実績!$AJ$6:$AJ$505,"&gt;"&amp;$A256,実績!$AK$6:$AK$505,"○")&gt;0,1,0))</f>
        <v>0</v>
      </c>
      <c r="DK256" s="39" t="n">
        <f aca="false">IF(DK$4=0,0,IF(COUNTIFS(実績!$W$6:$W$505,DK$3,実績!$AI$6:$AI$505,"&lt;="&amp;$A256,実績!$AJ$6:$AJ$505,"&gt;"&amp;$A256,実績!$AK$6:$AK$505,"○")&gt;0,1,0))</f>
        <v>0</v>
      </c>
      <c r="DL256" s="39" t="n">
        <f aca="false">IF(DL$4=0,0,IF(COUNTIFS(実績!$W$6:$W$505,DL$3,実績!$AI$6:$AI$505,"&lt;="&amp;$A256,実績!$AJ$6:$AJ$505,"&gt;"&amp;$A256,実績!$AK$6:$AK$505,"○")&gt;0,1,0))</f>
        <v>0</v>
      </c>
      <c r="DM256" s="39" t="n">
        <f aca="false">IF(DM$4=0,0,IF(COUNTIFS(実績!$W$6:$W$505,DM$3,実績!$AI$6:$AI$505,"&lt;="&amp;$A256,実績!$AJ$6:$AJ$505,"&gt;"&amp;$A256,実績!$AK$6:$AK$505,"○")&gt;0,1,0))</f>
        <v>0</v>
      </c>
      <c r="DN256" s="39" t="n">
        <f aca="false">IF(DN$4=0,0,IF(COUNTIFS(実績!$W$6:$W$505,DN$3,実績!$AI$6:$AI$505,"&lt;="&amp;$A256,実績!$AJ$6:$AJ$505,"&gt;"&amp;$A256,実績!$AK$6:$AK$505,"○")&gt;0,1,0))</f>
        <v>0</v>
      </c>
      <c r="DO256" s="39" t="n">
        <f aca="false">IF(DO$4=0,0,IF(COUNTIFS(実績!$W$6:$W$505,DO$3,実績!$AI$6:$AI$505,"&lt;="&amp;$A256,実績!$AJ$6:$AJ$505,"&gt;"&amp;$A256,実績!$AK$6:$AK$505,"○")&gt;0,1,0))</f>
        <v>0</v>
      </c>
      <c r="DP256" s="39" t="n">
        <f aca="false">IF(DP$4=0,0,IF(COUNTIFS(実績!$W$6:$W$505,DP$3,実績!$AI$6:$AI$505,"&lt;="&amp;$A256,実績!$AJ$6:$AJ$505,"&gt;"&amp;$A256,実績!$AK$6:$AK$505,"○")&gt;0,1,0))</f>
        <v>0</v>
      </c>
      <c r="DQ256" s="39" t="n">
        <f aca="false">IF(DQ$4=0,0,IF(COUNTIFS(実績!$W$6:$W$505,DQ$3,実績!$AI$6:$AI$505,"&lt;="&amp;$A256,実績!$AJ$6:$AJ$505,"&gt;"&amp;$A256,実績!$AK$6:$AK$505,"○")&gt;0,1,0))</f>
        <v>0</v>
      </c>
      <c r="DR256" s="39" t="n">
        <f aca="false">IF(DR$4=0,0,IF(COUNTIFS(実績!$W$6:$W$505,DR$3,実績!$AI$6:$AI$505,"&lt;="&amp;$A256,実績!$AJ$6:$AJ$505,"&gt;"&amp;$A256,実績!$AK$6:$AK$505,"○")&gt;0,1,0))</f>
        <v>0</v>
      </c>
      <c r="DS256" s="39" t="n">
        <f aca="false">SUM(C256:DR256)</f>
        <v>0</v>
      </c>
      <c r="DT256" s="39" t="n">
        <f aca="false">SUMPRODUCT((実績!$C$6:$C$505="○")*ISNUMBER(実績!$AM$6:$AM$505)*(実績!$AM$6:$AM$505&lt;=$A256)*(実績!$AN$6:$AN$505&gt;$A256))</f>
        <v>0</v>
      </c>
      <c r="DU256" s="39" t="n">
        <f aca="false">SUMIF($C$2:$DR$2,"製鉄曳船",C256:DR256)</f>
        <v>0</v>
      </c>
      <c r="DV256" s="39" t="n">
        <f aca="false">SUMIF($C$2:$DR$2,"西日本海運",C256:DR256)</f>
        <v>0</v>
      </c>
    </row>
    <row r="257" customFormat="false" ht="15" hidden="false" customHeight="false" outlineLevel="0" collapsed="false">
      <c r="A257" s="0" t="n">
        <v>1255</v>
      </c>
      <c r="B257" s="38" t="n">
        <f aca="false">A257/1440</f>
        <v>0.871527777777778</v>
      </c>
      <c r="C257" s="39" t="n">
        <f aca="false">IF(C$4=0,0,IF(COUNTIFS(実績!$W$6:$W$505,C$3,実績!$AI$6:$AI$505,"&lt;="&amp;$A257,実績!$AJ$6:$AJ$505,"&gt;"&amp;$A257,実績!$AK$6:$AK$505,"○")&gt;0,1,0))</f>
        <v>0</v>
      </c>
      <c r="D257" s="39" t="n">
        <f aca="false">IF(D$4=0,0,IF(COUNTIFS(実績!$W$6:$W$505,D$3,実績!$AI$6:$AI$505,"&lt;="&amp;$A257,実績!$AJ$6:$AJ$505,"&gt;"&amp;$A257,実績!$AK$6:$AK$505,"○")&gt;0,1,0))</f>
        <v>0</v>
      </c>
      <c r="E257" s="39" t="n">
        <f aca="false">IF(E$4=0,0,IF(COUNTIFS(実績!$W$6:$W$505,E$3,実績!$AI$6:$AI$505,"&lt;="&amp;$A257,実績!$AJ$6:$AJ$505,"&gt;"&amp;$A257,実績!$AK$6:$AK$505,"○")&gt;0,1,0))</f>
        <v>0</v>
      </c>
      <c r="F257" s="39" t="n">
        <f aca="false">IF(F$4=0,0,IF(COUNTIFS(実績!$W$6:$W$505,F$3,実績!$AI$6:$AI$505,"&lt;="&amp;$A257,実績!$AJ$6:$AJ$505,"&gt;"&amp;$A257,実績!$AK$6:$AK$505,"○")&gt;0,1,0))</f>
        <v>0</v>
      </c>
      <c r="G257" s="39" t="n">
        <f aca="false">IF(G$4=0,0,IF(COUNTIFS(実績!$W$6:$W$505,G$3,実績!$AI$6:$AI$505,"&lt;="&amp;$A257,実績!$AJ$6:$AJ$505,"&gt;"&amp;$A257,実績!$AK$6:$AK$505,"○")&gt;0,1,0))</f>
        <v>0</v>
      </c>
      <c r="H257" s="39" t="n">
        <f aca="false">IF(H$4=0,0,IF(COUNTIFS(実績!$W$6:$W$505,H$3,実績!$AI$6:$AI$505,"&lt;="&amp;$A257,実績!$AJ$6:$AJ$505,"&gt;"&amp;$A257,実績!$AK$6:$AK$505,"○")&gt;0,1,0))</f>
        <v>0</v>
      </c>
      <c r="I257" s="39" t="n">
        <f aca="false">IF(I$4=0,0,IF(COUNTIFS(実績!$W$6:$W$505,I$3,実績!$AI$6:$AI$505,"&lt;="&amp;$A257,実績!$AJ$6:$AJ$505,"&gt;"&amp;$A257,実績!$AK$6:$AK$505,"○")&gt;0,1,0))</f>
        <v>0</v>
      </c>
      <c r="J257" s="39" t="n">
        <f aca="false">IF(J$4=0,0,IF(COUNTIFS(実績!$W$6:$W$505,J$3,実績!$AI$6:$AI$505,"&lt;="&amp;$A257,実績!$AJ$6:$AJ$505,"&gt;"&amp;$A257,実績!$AK$6:$AK$505,"○")&gt;0,1,0))</f>
        <v>0</v>
      </c>
      <c r="K257" s="39" t="n">
        <f aca="false">IF(K$4=0,0,IF(COUNTIFS(実績!$W$6:$W$505,K$3,実績!$AI$6:$AI$505,"&lt;="&amp;$A257,実績!$AJ$6:$AJ$505,"&gt;"&amp;$A257,実績!$AK$6:$AK$505,"○")&gt;0,1,0))</f>
        <v>0</v>
      </c>
      <c r="L257" s="39" t="n">
        <f aca="false">IF(L$4=0,0,IF(COUNTIFS(実績!$W$6:$W$505,L$3,実績!$AI$6:$AI$505,"&lt;="&amp;$A257,実績!$AJ$6:$AJ$505,"&gt;"&amp;$A257,実績!$AK$6:$AK$505,"○")&gt;0,1,0))</f>
        <v>0</v>
      </c>
      <c r="M257" s="39" t="n">
        <f aca="false">IF(M$4=0,0,IF(COUNTIFS(実績!$W$6:$W$505,M$3,実績!$AI$6:$AI$505,"&lt;="&amp;$A257,実績!$AJ$6:$AJ$505,"&gt;"&amp;$A257,実績!$AK$6:$AK$505,"○")&gt;0,1,0))</f>
        <v>0</v>
      </c>
      <c r="N257" s="39" t="n">
        <f aca="false">IF(N$4=0,0,IF(COUNTIFS(実績!$W$6:$W$505,N$3,実績!$AI$6:$AI$505,"&lt;="&amp;$A257,実績!$AJ$6:$AJ$505,"&gt;"&amp;$A257,実績!$AK$6:$AK$505,"○")&gt;0,1,0))</f>
        <v>0</v>
      </c>
      <c r="O257" s="39" t="n">
        <f aca="false">IF(O$4=0,0,IF(COUNTIFS(実績!$W$6:$W$505,O$3,実績!$AI$6:$AI$505,"&lt;="&amp;$A257,実績!$AJ$6:$AJ$505,"&gt;"&amp;$A257,実績!$AK$6:$AK$505,"○")&gt;0,1,0))</f>
        <v>0</v>
      </c>
      <c r="P257" s="39" t="n">
        <f aca="false">IF(P$4=0,0,IF(COUNTIFS(実績!$W$6:$W$505,P$3,実績!$AI$6:$AI$505,"&lt;="&amp;$A257,実績!$AJ$6:$AJ$505,"&gt;"&amp;$A257,実績!$AK$6:$AK$505,"○")&gt;0,1,0))</f>
        <v>0</v>
      </c>
      <c r="Q257" s="39" t="n">
        <f aca="false">IF(Q$4=0,0,IF(COUNTIFS(実績!$W$6:$W$505,Q$3,実績!$AI$6:$AI$505,"&lt;="&amp;$A257,実績!$AJ$6:$AJ$505,"&gt;"&amp;$A257,実績!$AK$6:$AK$505,"○")&gt;0,1,0))</f>
        <v>0</v>
      </c>
      <c r="R257" s="39" t="n">
        <f aca="false">IF(R$4=0,0,IF(COUNTIFS(実績!$W$6:$W$505,R$3,実績!$AI$6:$AI$505,"&lt;="&amp;$A257,実績!$AJ$6:$AJ$505,"&gt;"&amp;$A257,実績!$AK$6:$AK$505,"○")&gt;0,1,0))</f>
        <v>0</v>
      </c>
      <c r="S257" s="39" t="n">
        <f aca="false">IF(S$4=0,0,IF(COUNTIFS(実績!$W$6:$W$505,S$3,実績!$AI$6:$AI$505,"&lt;="&amp;$A257,実績!$AJ$6:$AJ$505,"&gt;"&amp;$A257,実績!$AK$6:$AK$505,"○")&gt;0,1,0))</f>
        <v>0</v>
      </c>
      <c r="T257" s="39" t="n">
        <f aca="false">IF(T$4=0,0,IF(COUNTIFS(実績!$W$6:$W$505,T$3,実績!$AI$6:$AI$505,"&lt;="&amp;$A257,実績!$AJ$6:$AJ$505,"&gt;"&amp;$A257,実績!$AK$6:$AK$505,"○")&gt;0,1,0))</f>
        <v>0</v>
      </c>
      <c r="U257" s="39" t="n">
        <f aca="false">IF(U$4=0,0,IF(COUNTIFS(実績!$W$6:$W$505,U$3,実績!$AI$6:$AI$505,"&lt;="&amp;$A257,実績!$AJ$6:$AJ$505,"&gt;"&amp;$A257,実績!$AK$6:$AK$505,"○")&gt;0,1,0))</f>
        <v>0</v>
      </c>
      <c r="V257" s="39" t="n">
        <f aca="false">IF(V$4=0,0,IF(COUNTIFS(実績!$W$6:$W$505,V$3,実績!$AI$6:$AI$505,"&lt;="&amp;$A257,実績!$AJ$6:$AJ$505,"&gt;"&amp;$A257,実績!$AK$6:$AK$505,"○")&gt;0,1,0))</f>
        <v>0</v>
      </c>
      <c r="W257" s="39" t="n">
        <f aca="false">IF(W$4=0,0,IF(COUNTIFS(実績!$W$6:$W$505,W$3,実績!$AI$6:$AI$505,"&lt;="&amp;$A257,実績!$AJ$6:$AJ$505,"&gt;"&amp;$A257,実績!$AK$6:$AK$505,"○")&gt;0,1,0))</f>
        <v>0</v>
      </c>
      <c r="X257" s="39" t="n">
        <f aca="false">IF(X$4=0,0,IF(COUNTIFS(実績!$W$6:$W$505,X$3,実績!$AI$6:$AI$505,"&lt;="&amp;$A257,実績!$AJ$6:$AJ$505,"&gt;"&amp;$A257,実績!$AK$6:$AK$505,"○")&gt;0,1,0))</f>
        <v>0</v>
      </c>
      <c r="Y257" s="39" t="n">
        <f aca="false">IF(Y$4=0,0,IF(COUNTIFS(実績!$W$6:$W$505,Y$3,実績!$AI$6:$AI$505,"&lt;="&amp;$A257,実績!$AJ$6:$AJ$505,"&gt;"&amp;$A257,実績!$AK$6:$AK$505,"○")&gt;0,1,0))</f>
        <v>0</v>
      </c>
      <c r="Z257" s="39" t="n">
        <f aca="false">IF(Z$4=0,0,IF(COUNTIFS(実績!$W$6:$W$505,Z$3,実績!$AI$6:$AI$505,"&lt;="&amp;$A257,実績!$AJ$6:$AJ$505,"&gt;"&amp;$A257,実績!$AK$6:$AK$505,"○")&gt;0,1,0))</f>
        <v>0</v>
      </c>
      <c r="AA257" s="39" t="n">
        <f aca="false">IF(AA$4=0,0,IF(COUNTIFS(実績!$W$6:$W$505,AA$3,実績!$AI$6:$AI$505,"&lt;="&amp;$A257,実績!$AJ$6:$AJ$505,"&gt;"&amp;$A257,実績!$AK$6:$AK$505,"○")&gt;0,1,0))</f>
        <v>0</v>
      </c>
      <c r="AB257" s="39" t="n">
        <f aca="false">IF(AB$4=0,0,IF(COUNTIFS(実績!$W$6:$W$505,AB$3,実績!$AI$6:$AI$505,"&lt;="&amp;$A257,実績!$AJ$6:$AJ$505,"&gt;"&amp;$A257,実績!$AK$6:$AK$505,"○")&gt;0,1,0))</f>
        <v>0</v>
      </c>
      <c r="AC257" s="39" t="n">
        <f aca="false">IF(AC$4=0,0,IF(COUNTIFS(実績!$W$6:$W$505,AC$3,実績!$AI$6:$AI$505,"&lt;="&amp;$A257,実績!$AJ$6:$AJ$505,"&gt;"&amp;$A257,実績!$AK$6:$AK$505,"○")&gt;0,1,0))</f>
        <v>0</v>
      </c>
      <c r="AD257" s="39" t="n">
        <f aca="false">IF(AD$4=0,0,IF(COUNTIFS(実績!$W$6:$W$505,AD$3,実績!$AI$6:$AI$505,"&lt;="&amp;$A257,実績!$AJ$6:$AJ$505,"&gt;"&amp;$A257,実績!$AK$6:$AK$505,"○")&gt;0,1,0))</f>
        <v>0</v>
      </c>
      <c r="AE257" s="39" t="n">
        <f aca="false">IF(AE$4=0,0,IF(COUNTIFS(実績!$W$6:$W$505,AE$3,実績!$AI$6:$AI$505,"&lt;="&amp;$A257,実績!$AJ$6:$AJ$505,"&gt;"&amp;$A257,実績!$AK$6:$AK$505,"○")&gt;0,1,0))</f>
        <v>0</v>
      </c>
      <c r="AF257" s="39" t="n">
        <f aca="false">IF(AF$4=0,0,IF(COUNTIFS(実績!$W$6:$W$505,AF$3,実績!$AI$6:$AI$505,"&lt;="&amp;$A257,実績!$AJ$6:$AJ$505,"&gt;"&amp;$A257,実績!$AK$6:$AK$505,"○")&gt;0,1,0))</f>
        <v>0</v>
      </c>
      <c r="AG257" s="39" t="n">
        <f aca="false">IF(AG$4=0,0,IF(COUNTIFS(実績!$W$6:$W$505,AG$3,実績!$AI$6:$AI$505,"&lt;="&amp;$A257,実績!$AJ$6:$AJ$505,"&gt;"&amp;$A257,実績!$AK$6:$AK$505,"○")&gt;0,1,0))</f>
        <v>0</v>
      </c>
      <c r="AH257" s="39" t="n">
        <f aca="false">IF(AH$4=0,0,IF(COUNTIFS(実績!$W$6:$W$505,AH$3,実績!$AI$6:$AI$505,"&lt;="&amp;$A257,実績!$AJ$6:$AJ$505,"&gt;"&amp;$A257,実績!$AK$6:$AK$505,"○")&gt;0,1,0))</f>
        <v>0</v>
      </c>
      <c r="AI257" s="39" t="n">
        <f aca="false">IF(AI$4=0,0,IF(COUNTIFS(実績!$W$6:$W$505,AI$3,実績!$AI$6:$AI$505,"&lt;="&amp;$A257,実績!$AJ$6:$AJ$505,"&gt;"&amp;$A257,実績!$AK$6:$AK$505,"○")&gt;0,1,0))</f>
        <v>0</v>
      </c>
      <c r="AJ257" s="39" t="n">
        <f aca="false">IF(AJ$4=0,0,IF(COUNTIFS(実績!$W$6:$W$505,AJ$3,実績!$AI$6:$AI$505,"&lt;="&amp;$A257,実績!$AJ$6:$AJ$505,"&gt;"&amp;$A257,実績!$AK$6:$AK$505,"○")&gt;0,1,0))</f>
        <v>0</v>
      </c>
      <c r="AK257" s="39" t="n">
        <f aca="false">IF(AK$4=0,0,IF(COUNTIFS(実績!$W$6:$W$505,AK$3,実績!$AI$6:$AI$505,"&lt;="&amp;$A257,実績!$AJ$6:$AJ$505,"&gt;"&amp;$A257,実績!$AK$6:$AK$505,"○")&gt;0,1,0))</f>
        <v>0</v>
      </c>
      <c r="AL257" s="39" t="n">
        <f aca="false">IF(AL$4=0,0,IF(COUNTIFS(実績!$W$6:$W$505,AL$3,実績!$AI$6:$AI$505,"&lt;="&amp;$A257,実績!$AJ$6:$AJ$505,"&gt;"&amp;$A257,実績!$AK$6:$AK$505,"○")&gt;0,1,0))</f>
        <v>0</v>
      </c>
      <c r="AM257" s="39" t="n">
        <f aca="false">IF(AM$4=0,0,IF(COUNTIFS(実績!$W$6:$W$505,AM$3,実績!$AI$6:$AI$505,"&lt;="&amp;$A257,実績!$AJ$6:$AJ$505,"&gt;"&amp;$A257,実績!$AK$6:$AK$505,"○")&gt;0,1,0))</f>
        <v>0</v>
      </c>
      <c r="AN257" s="39" t="n">
        <f aca="false">IF(AN$4=0,0,IF(COUNTIFS(実績!$W$6:$W$505,AN$3,実績!$AI$6:$AI$505,"&lt;="&amp;$A257,実績!$AJ$6:$AJ$505,"&gt;"&amp;$A257,実績!$AK$6:$AK$505,"○")&gt;0,1,0))</f>
        <v>0</v>
      </c>
      <c r="AO257" s="39" t="n">
        <f aca="false">IF(AO$4=0,0,IF(COUNTIFS(実績!$W$6:$W$505,AO$3,実績!$AI$6:$AI$505,"&lt;="&amp;$A257,実績!$AJ$6:$AJ$505,"&gt;"&amp;$A257,実績!$AK$6:$AK$505,"○")&gt;0,1,0))</f>
        <v>0</v>
      </c>
      <c r="AP257" s="39" t="n">
        <f aca="false">IF(AP$4=0,0,IF(COUNTIFS(実績!$W$6:$W$505,AP$3,実績!$AI$6:$AI$505,"&lt;="&amp;$A257,実績!$AJ$6:$AJ$505,"&gt;"&amp;$A257,実績!$AK$6:$AK$505,"○")&gt;0,1,0))</f>
        <v>0</v>
      </c>
      <c r="AQ257" s="39" t="n">
        <f aca="false">IF(AQ$4=0,0,IF(COUNTIFS(実績!$W$6:$W$505,AQ$3,実績!$AI$6:$AI$505,"&lt;="&amp;$A257,実績!$AJ$6:$AJ$505,"&gt;"&amp;$A257,実績!$AK$6:$AK$505,"○")&gt;0,1,0))</f>
        <v>0</v>
      </c>
      <c r="AR257" s="39" t="n">
        <f aca="false">IF(AR$4=0,0,IF(COUNTIFS(実績!$W$6:$W$505,AR$3,実績!$AI$6:$AI$505,"&lt;="&amp;$A257,実績!$AJ$6:$AJ$505,"&gt;"&amp;$A257,実績!$AK$6:$AK$505,"○")&gt;0,1,0))</f>
        <v>0</v>
      </c>
      <c r="AS257" s="39" t="n">
        <f aca="false">IF(AS$4=0,0,IF(COUNTIFS(実績!$W$6:$W$505,AS$3,実績!$AI$6:$AI$505,"&lt;="&amp;$A257,実績!$AJ$6:$AJ$505,"&gt;"&amp;$A257,実績!$AK$6:$AK$505,"○")&gt;0,1,0))</f>
        <v>0</v>
      </c>
      <c r="AT257" s="39" t="n">
        <f aca="false">IF(AT$4=0,0,IF(COUNTIFS(実績!$W$6:$W$505,AT$3,実績!$AI$6:$AI$505,"&lt;="&amp;$A257,実績!$AJ$6:$AJ$505,"&gt;"&amp;$A257,実績!$AK$6:$AK$505,"○")&gt;0,1,0))</f>
        <v>0</v>
      </c>
      <c r="AU257" s="39" t="n">
        <f aca="false">IF(AU$4=0,0,IF(COUNTIFS(実績!$W$6:$W$505,AU$3,実績!$AI$6:$AI$505,"&lt;="&amp;$A257,実績!$AJ$6:$AJ$505,"&gt;"&amp;$A257,実績!$AK$6:$AK$505,"○")&gt;0,1,0))</f>
        <v>0</v>
      </c>
      <c r="AV257" s="39" t="n">
        <f aca="false">IF(AV$4=0,0,IF(COUNTIFS(実績!$W$6:$W$505,AV$3,実績!$AI$6:$AI$505,"&lt;="&amp;$A257,実績!$AJ$6:$AJ$505,"&gt;"&amp;$A257,実績!$AK$6:$AK$505,"○")&gt;0,1,0))</f>
        <v>0</v>
      </c>
      <c r="AW257" s="39" t="n">
        <f aca="false">IF(AW$4=0,0,IF(COUNTIFS(実績!$W$6:$W$505,AW$3,実績!$AI$6:$AI$505,"&lt;="&amp;$A257,実績!$AJ$6:$AJ$505,"&gt;"&amp;$A257,実績!$AK$6:$AK$505,"○")&gt;0,1,0))</f>
        <v>0</v>
      </c>
      <c r="AX257" s="39" t="n">
        <f aca="false">IF(AX$4=0,0,IF(COUNTIFS(実績!$W$6:$W$505,AX$3,実績!$AI$6:$AI$505,"&lt;="&amp;$A257,実績!$AJ$6:$AJ$505,"&gt;"&amp;$A257,実績!$AK$6:$AK$505,"○")&gt;0,1,0))</f>
        <v>0</v>
      </c>
      <c r="AY257" s="39" t="n">
        <f aca="false">IF(AY$4=0,0,IF(COUNTIFS(実績!$W$6:$W$505,AY$3,実績!$AI$6:$AI$505,"&lt;="&amp;$A257,実績!$AJ$6:$AJ$505,"&gt;"&amp;$A257,実績!$AK$6:$AK$505,"○")&gt;0,1,0))</f>
        <v>0</v>
      </c>
      <c r="AZ257" s="39" t="n">
        <f aca="false">IF(AZ$4=0,0,IF(COUNTIFS(実績!$W$6:$W$505,AZ$3,実績!$AI$6:$AI$505,"&lt;="&amp;$A257,実績!$AJ$6:$AJ$505,"&gt;"&amp;$A257,実績!$AK$6:$AK$505,"○")&gt;0,1,0))</f>
        <v>0</v>
      </c>
      <c r="BA257" s="39" t="n">
        <f aca="false">IF(BA$4=0,0,IF(COUNTIFS(実績!$W$6:$W$505,BA$3,実績!$AI$6:$AI$505,"&lt;="&amp;$A257,実績!$AJ$6:$AJ$505,"&gt;"&amp;$A257,実績!$AK$6:$AK$505,"○")&gt;0,1,0))</f>
        <v>0</v>
      </c>
      <c r="BB257" s="39" t="n">
        <f aca="false">IF(BB$4=0,0,IF(COUNTIFS(実績!$W$6:$W$505,BB$3,実績!$AI$6:$AI$505,"&lt;="&amp;$A257,実績!$AJ$6:$AJ$505,"&gt;"&amp;$A257,実績!$AK$6:$AK$505,"○")&gt;0,1,0))</f>
        <v>0</v>
      </c>
      <c r="BC257" s="39" t="n">
        <f aca="false">IF(BC$4=0,0,IF(COUNTIFS(実績!$W$6:$W$505,BC$3,実績!$AI$6:$AI$505,"&lt;="&amp;$A257,実績!$AJ$6:$AJ$505,"&gt;"&amp;$A257,実績!$AK$6:$AK$505,"○")&gt;0,1,0))</f>
        <v>0</v>
      </c>
      <c r="BD257" s="39" t="n">
        <f aca="false">IF(BD$4=0,0,IF(COUNTIFS(実績!$W$6:$W$505,BD$3,実績!$AI$6:$AI$505,"&lt;="&amp;$A257,実績!$AJ$6:$AJ$505,"&gt;"&amp;$A257,実績!$AK$6:$AK$505,"○")&gt;0,1,0))</f>
        <v>0</v>
      </c>
      <c r="BE257" s="39" t="n">
        <f aca="false">IF(BE$4=0,0,IF(COUNTIFS(実績!$W$6:$W$505,BE$3,実績!$AI$6:$AI$505,"&lt;="&amp;$A257,実績!$AJ$6:$AJ$505,"&gt;"&amp;$A257,実績!$AK$6:$AK$505,"○")&gt;0,1,0))</f>
        <v>0</v>
      </c>
      <c r="BF257" s="39" t="n">
        <f aca="false">IF(BF$4=0,0,IF(COUNTIFS(実績!$W$6:$W$505,BF$3,実績!$AI$6:$AI$505,"&lt;="&amp;$A257,実績!$AJ$6:$AJ$505,"&gt;"&amp;$A257,実績!$AK$6:$AK$505,"○")&gt;0,1,0))</f>
        <v>0</v>
      </c>
      <c r="BG257" s="39" t="n">
        <f aca="false">IF(BG$4=0,0,IF(COUNTIFS(実績!$W$6:$W$505,BG$3,実績!$AI$6:$AI$505,"&lt;="&amp;$A257,実績!$AJ$6:$AJ$505,"&gt;"&amp;$A257,実績!$AK$6:$AK$505,"○")&gt;0,1,0))</f>
        <v>0</v>
      </c>
      <c r="BH257" s="39" t="n">
        <f aca="false">IF(BH$4=0,0,IF(COUNTIFS(実績!$W$6:$W$505,BH$3,実績!$AI$6:$AI$505,"&lt;="&amp;$A257,実績!$AJ$6:$AJ$505,"&gt;"&amp;$A257,実績!$AK$6:$AK$505,"○")&gt;0,1,0))</f>
        <v>0</v>
      </c>
      <c r="BI257" s="39" t="n">
        <f aca="false">IF(BI$4=0,0,IF(COUNTIFS(実績!$W$6:$W$505,BI$3,実績!$AI$6:$AI$505,"&lt;="&amp;$A257,実績!$AJ$6:$AJ$505,"&gt;"&amp;$A257,実績!$AK$6:$AK$505,"○")&gt;0,1,0))</f>
        <v>0</v>
      </c>
      <c r="BJ257" s="39" t="n">
        <f aca="false">IF(BJ$4=0,0,IF(COUNTIFS(実績!$W$6:$W$505,BJ$3,実績!$AI$6:$AI$505,"&lt;="&amp;$A257,実績!$AJ$6:$AJ$505,"&gt;"&amp;$A257,実績!$AK$6:$AK$505,"○")&gt;0,1,0))</f>
        <v>0</v>
      </c>
      <c r="BK257" s="39" t="n">
        <f aca="false">IF(BK$4=0,0,IF(COUNTIFS(実績!$W$6:$W$505,BK$3,実績!$AI$6:$AI$505,"&lt;="&amp;$A257,実績!$AJ$6:$AJ$505,"&gt;"&amp;$A257,実績!$AK$6:$AK$505,"○")&gt;0,1,0))</f>
        <v>0</v>
      </c>
      <c r="BL257" s="39" t="n">
        <f aca="false">IF(BL$4=0,0,IF(COUNTIFS(実績!$W$6:$W$505,BL$3,実績!$AI$6:$AI$505,"&lt;="&amp;$A257,実績!$AJ$6:$AJ$505,"&gt;"&amp;$A257,実績!$AK$6:$AK$505,"○")&gt;0,1,0))</f>
        <v>0</v>
      </c>
      <c r="BM257" s="39" t="n">
        <f aca="false">IF(BM$4=0,0,IF(COUNTIFS(実績!$W$6:$W$505,BM$3,実績!$AI$6:$AI$505,"&lt;="&amp;$A257,実績!$AJ$6:$AJ$505,"&gt;"&amp;$A257,実績!$AK$6:$AK$505,"○")&gt;0,1,0))</f>
        <v>0</v>
      </c>
      <c r="BN257" s="39" t="n">
        <f aca="false">IF(BN$4=0,0,IF(COUNTIFS(実績!$W$6:$W$505,BN$3,実績!$AI$6:$AI$505,"&lt;="&amp;$A257,実績!$AJ$6:$AJ$505,"&gt;"&amp;$A257,実績!$AK$6:$AK$505,"○")&gt;0,1,0))</f>
        <v>0</v>
      </c>
      <c r="BO257" s="39" t="n">
        <f aca="false">IF(BO$4=0,0,IF(COUNTIFS(実績!$W$6:$W$505,BO$3,実績!$AI$6:$AI$505,"&lt;="&amp;$A257,実績!$AJ$6:$AJ$505,"&gt;"&amp;$A257,実績!$AK$6:$AK$505,"○")&gt;0,1,0))</f>
        <v>0</v>
      </c>
      <c r="BP257" s="39" t="n">
        <f aca="false">IF(BP$4=0,0,IF(COUNTIFS(実績!$W$6:$W$505,BP$3,実績!$AI$6:$AI$505,"&lt;="&amp;$A257,実績!$AJ$6:$AJ$505,"&gt;"&amp;$A257,実績!$AK$6:$AK$505,"○")&gt;0,1,0))</f>
        <v>0</v>
      </c>
      <c r="BQ257" s="39" t="n">
        <f aca="false">IF(BQ$4=0,0,IF(COUNTIFS(実績!$W$6:$W$505,BQ$3,実績!$AI$6:$AI$505,"&lt;="&amp;$A257,実績!$AJ$6:$AJ$505,"&gt;"&amp;$A257,実績!$AK$6:$AK$505,"○")&gt;0,1,0))</f>
        <v>0</v>
      </c>
      <c r="BR257" s="39" t="n">
        <f aca="false">IF(BR$4=0,0,IF(COUNTIFS(実績!$W$6:$W$505,BR$3,実績!$AI$6:$AI$505,"&lt;="&amp;$A257,実績!$AJ$6:$AJ$505,"&gt;"&amp;$A257,実績!$AK$6:$AK$505,"○")&gt;0,1,0))</f>
        <v>0</v>
      </c>
      <c r="BS257" s="39" t="n">
        <f aca="false">IF(BS$4=0,0,IF(COUNTIFS(実績!$W$6:$W$505,BS$3,実績!$AI$6:$AI$505,"&lt;="&amp;$A257,実績!$AJ$6:$AJ$505,"&gt;"&amp;$A257,実績!$AK$6:$AK$505,"○")&gt;0,1,0))</f>
        <v>0</v>
      </c>
      <c r="BT257" s="39" t="n">
        <f aca="false">IF(BT$4=0,0,IF(COUNTIFS(実績!$W$6:$W$505,BT$3,実績!$AI$6:$AI$505,"&lt;="&amp;$A257,実績!$AJ$6:$AJ$505,"&gt;"&amp;$A257,実績!$AK$6:$AK$505,"○")&gt;0,1,0))</f>
        <v>0</v>
      </c>
      <c r="BU257" s="39" t="n">
        <f aca="false">IF(BU$4=0,0,IF(COUNTIFS(実績!$W$6:$W$505,BU$3,実績!$AI$6:$AI$505,"&lt;="&amp;$A257,実績!$AJ$6:$AJ$505,"&gt;"&amp;$A257,実績!$AK$6:$AK$505,"○")&gt;0,1,0))</f>
        <v>0</v>
      </c>
      <c r="BV257" s="39" t="n">
        <f aca="false">IF(BV$4=0,0,IF(COUNTIFS(実績!$W$6:$W$505,BV$3,実績!$AI$6:$AI$505,"&lt;="&amp;$A257,実績!$AJ$6:$AJ$505,"&gt;"&amp;$A257,実績!$AK$6:$AK$505,"○")&gt;0,1,0))</f>
        <v>0</v>
      </c>
      <c r="BW257" s="39" t="n">
        <f aca="false">IF(BW$4=0,0,IF(COUNTIFS(実績!$W$6:$W$505,BW$3,実績!$AI$6:$AI$505,"&lt;="&amp;$A257,実績!$AJ$6:$AJ$505,"&gt;"&amp;$A257,実績!$AK$6:$AK$505,"○")&gt;0,1,0))</f>
        <v>0</v>
      </c>
      <c r="BX257" s="39" t="n">
        <f aca="false">IF(BX$4=0,0,IF(COUNTIFS(実績!$W$6:$W$505,BX$3,実績!$AI$6:$AI$505,"&lt;="&amp;$A257,実績!$AJ$6:$AJ$505,"&gt;"&amp;$A257,実績!$AK$6:$AK$505,"○")&gt;0,1,0))</f>
        <v>0</v>
      </c>
      <c r="BY257" s="39" t="n">
        <f aca="false">IF(BY$4=0,0,IF(COUNTIFS(実績!$W$6:$W$505,BY$3,実績!$AI$6:$AI$505,"&lt;="&amp;$A257,実績!$AJ$6:$AJ$505,"&gt;"&amp;$A257,実績!$AK$6:$AK$505,"○")&gt;0,1,0))</f>
        <v>0</v>
      </c>
      <c r="BZ257" s="39" t="n">
        <f aca="false">IF(BZ$4=0,0,IF(COUNTIFS(実績!$W$6:$W$505,BZ$3,実績!$AI$6:$AI$505,"&lt;="&amp;$A257,実績!$AJ$6:$AJ$505,"&gt;"&amp;$A257,実績!$AK$6:$AK$505,"○")&gt;0,1,0))</f>
        <v>0</v>
      </c>
      <c r="CA257" s="39" t="n">
        <f aca="false">IF(CA$4=0,0,IF(COUNTIFS(実績!$W$6:$W$505,CA$3,実績!$AI$6:$AI$505,"&lt;="&amp;$A257,実績!$AJ$6:$AJ$505,"&gt;"&amp;$A257,実績!$AK$6:$AK$505,"○")&gt;0,1,0))</f>
        <v>0</v>
      </c>
      <c r="CB257" s="39" t="n">
        <f aca="false">IF(CB$4=0,0,IF(COUNTIFS(実績!$W$6:$W$505,CB$3,実績!$AI$6:$AI$505,"&lt;="&amp;$A257,実績!$AJ$6:$AJ$505,"&gt;"&amp;$A257,実績!$AK$6:$AK$505,"○")&gt;0,1,0))</f>
        <v>0</v>
      </c>
      <c r="CC257" s="39" t="n">
        <f aca="false">IF(CC$4=0,0,IF(COUNTIFS(実績!$W$6:$W$505,CC$3,実績!$AI$6:$AI$505,"&lt;="&amp;$A257,実績!$AJ$6:$AJ$505,"&gt;"&amp;$A257,実績!$AK$6:$AK$505,"○")&gt;0,1,0))</f>
        <v>0</v>
      </c>
      <c r="CD257" s="39" t="n">
        <f aca="false">IF(CD$4=0,0,IF(COUNTIFS(実績!$W$6:$W$505,CD$3,実績!$AI$6:$AI$505,"&lt;="&amp;$A257,実績!$AJ$6:$AJ$505,"&gt;"&amp;$A257,実績!$AK$6:$AK$505,"○")&gt;0,1,0))</f>
        <v>0</v>
      </c>
      <c r="CE257" s="39" t="n">
        <f aca="false">IF(CE$4=0,0,IF(COUNTIFS(実績!$W$6:$W$505,CE$3,実績!$AI$6:$AI$505,"&lt;="&amp;$A257,実績!$AJ$6:$AJ$505,"&gt;"&amp;$A257,実績!$AK$6:$AK$505,"○")&gt;0,1,0))</f>
        <v>0</v>
      </c>
      <c r="CF257" s="39" t="n">
        <f aca="false">IF(CF$4=0,0,IF(COUNTIFS(実績!$W$6:$W$505,CF$3,実績!$AI$6:$AI$505,"&lt;="&amp;$A257,実績!$AJ$6:$AJ$505,"&gt;"&amp;$A257,実績!$AK$6:$AK$505,"○")&gt;0,1,0))</f>
        <v>0</v>
      </c>
      <c r="CG257" s="39" t="n">
        <f aca="false">IF(CG$4=0,0,IF(COUNTIFS(実績!$W$6:$W$505,CG$3,実績!$AI$6:$AI$505,"&lt;="&amp;$A257,実績!$AJ$6:$AJ$505,"&gt;"&amp;$A257,実績!$AK$6:$AK$505,"○")&gt;0,1,0))</f>
        <v>0</v>
      </c>
      <c r="CH257" s="39" t="n">
        <f aca="false">IF(CH$4=0,0,IF(COUNTIFS(実績!$W$6:$W$505,CH$3,実績!$AI$6:$AI$505,"&lt;="&amp;$A257,実績!$AJ$6:$AJ$505,"&gt;"&amp;$A257,実績!$AK$6:$AK$505,"○")&gt;0,1,0))</f>
        <v>0</v>
      </c>
      <c r="CI257" s="39" t="n">
        <f aca="false">IF(CI$4=0,0,IF(COUNTIFS(実績!$W$6:$W$505,CI$3,実績!$AI$6:$AI$505,"&lt;="&amp;$A257,実績!$AJ$6:$AJ$505,"&gt;"&amp;$A257,実績!$AK$6:$AK$505,"○")&gt;0,1,0))</f>
        <v>0</v>
      </c>
      <c r="CJ257" s="39" t="n">
        <f aca="false">IF(CJ$4=0,0,IF(COUNTIFS(実績!$W$6:$W$505,CJ$3,実績!$AI$6:$AI$505,"&lt;="&amp;$A257,実績!$AJ$6:$AJ$505,"&gt;"&amp;$A257,実績!$AK$6:$AK$505,"○")&gt;0,1,0))</f>
        <v>0</v>
      </c>
      <c r="CK257" s="39" t="n">
        <f aca="false">IF(CK$4=0,0,IF(COUNTIFS(実績!$W$6:$W$505,CK$3,実績!$AI$6:$AI$505,"&lt;="&amp;$A257,実績!$AJ$6:$AJ$505,"&gt;"&amp;$A257,実績!$AK$6:$AK$505,"○")&gt;0,1,0))</f>
        <v>0</v>
      </c>
      <c r="CL257" s="39" t="n">
        <f aca="false">IF(CL$4=0,0,IF(COUNTIFS(実績!$W$6:$W$505,CL$3,実績!$AI$6:$AI$505,"&lt;="&amp;$A257,実績!$AJ$6:$AJ$505,"&gt;"&amp;$A257,実績!$AK$6:$AK$505,"○")&gt;0,1,0))</f>
        <v>0</v>
      </c>
      <c r="CM257" s="39" t="n">
        <f aca="false">IF(CM$4=0,0,IF(COUNTIFS(実績!$W$6:$W$505,CM$3,実績!$AI$6:$AI$505,"&lt;="&amp;$A257,実績!$AJ$6:$AJ$505,"&gt;"&amp;$A257,実績!$AK$6:$AK$505,"○")&gt;0,1,0))</f>
        <v>0</v>
      </c>
      <c r="CN257" s="39" t="n">
        <f aca="false">IF(CN$4=0,0,IF(COUNTIFS(実績!$W$6:$W$505,CN$3,実績!$AI$6:$AI$505,"&lt;="&amp;$A257,実績!$AJ$6:$AJ$505,"&gt;"&amp;$A257,実績!$AK$6:$AK$505,"○")&gt;0,1,0))</f>
        <v>0</v>
      </c>
      <c r="CO257" s="39" t="n">
        <f aca="false">IF(CO$4=0,0,IF(COUNTIFS(実績!$W$6:$W$505,CO$3,実績!$AI$6:$AI$505,"&lt;="&amp;$A257,実績!$AJ$6:$AJ$505,"&gt;"&amp;$A257,実績!$AK$6:$AK$505,"○")&gt;0,1,0))</f>
        <v>0</v>
      </c>
      <c r="CP257" s="39" t="n">
        <f aca="false">IF(CP$4=0,0,IF(COUNTIFS(実績!$W$6:$W$505,CP$3,実績!$AI$6:$AI$505,"&lt;="&amp;$A257,実績!$AJ$6:$AJ$505,"&gt;"&amp;$A257,実績!$AK$6:$AK$505,"○")&gt;0,1,0))</f>
        <v>0</v>
      </c>
      <c r="CQ257" s="39" t="n">
        <f aca="false">IF(CQ$4=0,0,IF(COUNTIFS(実績!$W$6:$W$505,CQ$3,実績!$AI$6:$AI$505,"&lt;="&amp;$A257,実績!$AJ$6:$AJ$505,"&gt;"&amp;$A257,実績!$AK$6:$AK$505,"○")&gt;0,1,0))</f>
        <v>0</v>
      </c>
      <c r="CR257" s="39" t="n">
        <f aca="false">IF(CR$4=0,0,IF(COUNTIFS(実績!$W$6:$W$505,CR$3,実績!$AI$6:$AI$505,"&lt;="&amp;$A257,実績!$AJ$6:$AJ$505,"&gt;"&amp;$A257,実績!$AK$6:$AK$505,"○")&gt;0,1,0))</f>
        <v>0</v>
      </c>
      <c r="CS257" s="39" t="n">
        <f aca="false">IF(CS$4=0,0,IF(COUNTIFS(実績!$W$6:$W$505,CS$3,実績!$AI$6:$AI$505,"&lt;="&amp;$A257,実績!$AJ$6:$AJ$505,"&gt;"&amp;$A257,実績!$AK$6:$AK$505,"○")&gt;0,1,0))</f>
        <v>0</v>
      </c>
      <c r="CT257" s="39" t="n">
        <f aca="false">IF(CT$4=0,0,IF(COUNTIFS(実績!$W$6:$W$505,CT$3,実績!$AI$6:$AI$505,"&lt;="&amp;$A257,実績!$AJ$6:$AJ$505,"&gt;"&amp;$A257,実績!$AK$6:$AK$505,"○")&gt;0,1,0))</f>
        <v>0</v>
      </c>
      <c r="CU257" s="39" t="n">
        <f aca="false">IF(CU$4=0,0,IF(COUNTIFS(実績!$W$6:$W$505,CU$3,実績!$AI$6:$AI$505,"&lt;="&amp;$A257,実績!$AJ$6:$AJ$505,"&gt;"&amp;$A257,実績!$AK$6:$AK$505,"○")&gt;0,1,0))</f>
        <v>0</v>
      </c>
      <c r="CV257" s="39" t="n">
        <f aca="false">IF(CV$4=0,0,IF(COUNTIFS(実績!$W$6:$W$505,CV$3,実績!$AI$6:$AI$505,"&lt;="&amp;$A257,実績!$AJ$6:$AJ$505,"&gt;"&amp;$A257,実績!$AK$6:$AK$505,"○")&gt;0,1,0))</f>
        <v>0</v>
      </c>
      <c r="CW257" s="39" t="n">
        <f aca="false">IF(CW$4=0,0,IF(COUNTIFS(実績!$W$6:$W$505,CW$3,実績!$AI$6:$AI$505,"&lt;="&amp;$A257,実績!$AJ$6:$AJ$505,"&gt;"&amp;$A257,実績!$AK$6:$AK$505,"○")&gt;0,1,0))</f>
        <v>0</v>
      </c>
      <c r="CX257" s="39" t="n">
        <f aca="false">IF(CX$4=0,0,IF(COUNTIFS(実績!$W$6:$W$505,CX$3,実績!$AI$6:$AI$505,"&lt;="&amp;$A257,実績!$AJ$6:$AJ$505,"&gt;"&amp;$A257,実績!$AK$6:$AK$505,"○")&gt;0,1,0))</f>
        <v>0</v>
      </c>
      <c r="CY257" s="39" t="n">
        <f aca="false">IF(CY$4=0,0,IF(COUNTIFS(実績!$W$6:$W$505,CY$3,実績!$AI$6:$AI$505,"&lt;="&amp;$A257,実績!$AJ$6:$AJ$505,"&gt;"&amp;$A257,実績!$AK$6:$AK$505,"○")&gt;0,1,0))</f>
        <v>0</v>
      </c>
      <c r="CZ257" s="39" t="n">
        <f aca="false">IF(CZ$4=0,0,IF(COUNTIFS(実績!$W$6:$W$505,CZ$3,実績!$AI$6:$AI$505,"&lt;="&amp;$A257,実績!$AJ$6:$AJ$505,"&gt;"&amp;$A257,実績!$AK$6:$AK$505,"○")&gt;0,1,0))</f>
        <v>0</v>
      </c>
      <c r="DA257" s="39" t="n">
        <f aca="false">IF(DA$4=0,0,IF(COUNTIFS(実績!$W$6:$W$505,DA$3,実績!$AI$6:$AI$505,"&lt;="&amp;$A257,実績!$AJ$6:$AJ$505,"&gt;"&amp;$A257,実績!$AK$6:$AK$505,"○")&gt;0,1,0))</f>
        <v>0</v>
      </c>
      <c r="DB257" s="39" t="n">
        <f aca="false">IF(DB$4=0,0,IF(COUNTIFS(実績!$W$6:$W$505,DB$3,実績!$AI$6:$AI$505,"&lt;="&amp;$A257,実績!$AJ$6:$AJ$505,"&gt;"&amp;$A257,実績!$AK$6:$AK$505,"○")&gt;0,1,0))</f>
        <v>0</v>
      </c>
      <c r="DC257" s="39" t="n">
        <f aca="false">IF(DC$4=0,0,IF(COUNTIFS(実績!$W$6:$W$505,DC$3,実績!$AI$6:$AI$505,"&lt;="&amp;$A257,実績!$AJ$6:$AJ$505,"&gt;"&amp;$A257,実績!$AK$6:$AK$505,"○")&gt;0,1,0))</f>
        <v>0</v>
      </c>
      <c r="DD257" s="39" t="n">
        <f aca="false">IF(DD$4=0,0,IF(COUNTIFS(実績!$W$6:$W$505,DD$3,実績!$AI$6:$AI$505,"&lt;="&amp;$A257,実績!$AJ$6:$AJ$505,"&gt;"&amp;$A257,実績!$AK$6:$AK$505,"○")&gt;0,1,0))</f>
        <v>0</v>
      </c>
      <c r="DE257" s="39" t="n">
        <f aca="false">IF(DE$4=0,0,IF(COUNTIFS(実績!$W$6:$W$505,DE$3,実績!$AI$6:$AI$505,"&lt;="&amp;$A257,実績!$AJ$6:$AJ$505,"&gt;"&amp;$A257,実績!$AK$6:$AK$505,"○")&gt;0,1,0))</f>
        <v>0</v>
      </c>
      <c r="DF257" s="39" t="n">
        <f aca="false">IF(DF$4=0,0,IF(COUNTIFS(実績!$W$6:$W$505,DF$3,実績!$AI$6:$AI$505,"&lt;="&amp;$A257,実績!$AJ$6:$AJ$505,"&gt;"&amp;$A257,実績!$AK$6:$AK$505,"○")&gt;0,1,0))</f>
        <v>0</v>
      </c>
      <c r="DG257" s="39" t="n">
        <f aca="false">IF(DG$4=0,0,IF(COUNTIFS(実績!$W$6:$W$505,DG$3,実績!$AI$6:$AI$505,"&lt;="&amp;$A257,実績!$AJ$6:$AJ$505,"&gt;"&amp;$A257,実績!$AK$6:$AK$505,"○")&gt;0,1,0))</f>
        <v>0</v>
      </c>
      <c r="DH257" s="39" t="n">
        <f aca="false">IF(DH$4=0,0,IF(COUNTIFS(実績!$W$6:$W$505,DH$3,実績!$AI$6:$AI$505,"&lt;="&amp;$A257,実績!$AJ$6:$AJ$505,"&gt;"&amp;$A257,実績!$AK$6:$AK$505,"○")&gt;0,1,0))</f>
        <v>0</v>
      </c>
      <c r="DI257" s="39" t="n">
        <f aca="false">IF(DI$4=0,0,IF(COUNTIFS(実績!$W$6:$W$505,DI$3,実績!$AI$6:$AI$505,"&lt;="&amp;$A257,実績!$AJ$6:$AJ$505,"&gt;"&amp;$A257,実績!$AK$6:$AK$505,"○")&gt;0,1,0))</f>
        <v>0</v>
      </c>
      <c r="DJ257" s="39" t="n">
        <f aca="false">IF(DJ$4=0,0,IF(COUNTIFS(実績!$W$6:$W$505,DJ$3,実績!$AI$6:$AI$505,"&lt;="&amp;$A257,実績!$AJ$6:$AJ$505,"&gt;"&amp;$A257,実績!$AK$6:$AK$505,"○")&gt;0,1,0))</f>
        <v>0</v>
      </c>
      <c r="DK257" s="39" t="n">
        <f aca="false">IF(DK$4=0,0,IF(COUNTIFS(実績!$W$6:$W$505,DK$3,実績!$AI$6:$AI$505,"&lt;="&amp;$A257,実績!$AJ$6:$AJ$505,"&gt;"&amp;$A257,実績!$AK$6:$AK$505,"○")&gt;0,1,0))</f>
        <v>0</v>
      </c>
      <c r="DL257" s="39" t="n">
        <f aca="false">IF(DL$4=0,0,IF(COUNTIFS(実績!$W$6:$W$505,DL$3,実績!$AI$6:$AI$505,"&lt;="&amp;$A257,実績!$AJ$6:$AJ$505,"&gt;"&amp;$A257,実績!$AK$6:$AK$505,"○")&gt;0,1,0))</f>
        <v>0</v>
      </c>
      <c r="DM257" s="39" t="n">
        <f aca="false">IF(DM$4=0,0,IF(COUNTIFS(実績!$W$6:$W$505,DM$3,実績!$AI$6:$AI$505,"&lt;="&amp;$A257,実績!$AJ$6:$AJ$505,"&gt;"&amp;$A257,実績!$AK$6:$AK$505,"○")&gt;0,1,0))</f>
        <v>0</v>
      </c>
      <c r="DN257" s="39" t="n">
        <f aca="false">IF(DN$4=0,0,IF(COUNTIFS(実績!$W$6:$W$505,DN$3,実績!$AI$6:$AI$505,"&lt;="&amp;$A257,実績!$AJ$6:$AJ$505,"&gt;"&amp;$A257,実績!$AK$6:$AK$505,"○")&gt;0,1,0))</f>
        <v>0</v>
      </c>
      <c r="DO257" s="39" t="n">
        <f aca="false">IF(DO$4=0,0,IF(COUNTIFS(実績!$W$6:$W$505,DO$3,実績!$AI$6:$AI$505,"&lt;="&amp;$A257,実績!$AJ$6:$AJ$505,"&gt;"&amp;$A257,実績!$AK$6:$AK$505,"○")&gt;0,1,0))</f>
        <v>0</v>
      </c>
      <c r="DP257" s="39" t="n">
        <f aca="false">IF(DP$4=0,0,IF(COUNTIFS(実績!$W$6:$W$505,DP$3,実績!$AI$6:$AI$505,"&lt;="&amp;$A257,実績!$AJ$6:$AJ$505,"&gt;"&amp;$A257,実績!$AK$6:$AK$505,"○")&gt;0,1,0))</f>
        <v>0</v>
      </c>
      <c r="DQ257" s="39" t="n">
        <f aca="false">IF(DQ$4=0,0,IF(COUNTIFS(実績!$W$6:$W$505,DQ$3,実績!$AI$6:$AI$505,"&lt;="&amp;$A257,実績!$AJ$6:$AJ$505,"&gt;"&amp;$A257,実績!$AK$6:$AK$505,"○")&gt;0,1,0))</f>
        <v>0</v>
      </c>
      <c r="DR257" s="39" t="n">
        <f aca="false">IF(DR$4=0,0,IF(COUNTIFS(実績!$W$6:$W$505,DR$3,実績!$AI$6:$AI$505,"&lt;="&amp;$A257,実績!$AJ$6:$AJ$505,"&gt;"&amp;$A257,実績!$AK$6:$AK$505,"○")&gt;0,1,0))</f>
        <v>0</v>
      </c>
      <c r="DS257" s="39" t="n">
        <f aca="false">SUM(C257:DR257)</f>
        <v>0</v>
      </c>
      <c r="DT257" s="39" t="n">
        <f aca="false">SUMPRODUCT((実績!$C$6:$C$505="○")*ISNUMBER(実績!$AM$6:$AM$505)*(実績!$AM$6:$AM$505&lt;=$A257)*(実績!$AN$6:$AN$505&gt;$A257))</f>
        <v>0</v>
      </c>
      <c r="DU257" s="39" t="n">
        <f aca="false">SUMIF($C$2:$DR$2,"製鉄曳船",C257:DR257)</f>
        <v>0</v>
      </c>
      <c r="DV257" s="39" t="n">
        <f aca="false">SUMIF($C$2:$DR$2,"西日本海運",C257:DR257)</f>
        <v>0</v>
      </c>
    </row>
    <row r="258" customFormat="false" ht="15" hidden="false" customHeight="false" outlineLevel="0" collapsed="false">
      <c r="A258" s="0" t="n">
        <v>1260</v>
      </c>
      <c r="B258" s="38" t="n">
        <f aca="false">A258/1440</f>
        <v>0.875</v>
      </c>
      <c r="C258" s="39" t="n">
        <f aca="false">IF(C$4=0,0,IF(COUNTIFS(実績!$W$6:$W$505,C$3,実績!$AI$6:$AI$505,"&lt;="&amp;$A258,実績!$AJ$6:$AJ$505,"&gt;"&amp;$A258,実績!$AK$6:$AK$505,"○")&gt;0,1,0))</f>
        <v>0</v>
      </c>
      <c r="D258" s="39" t="n">
        <f aca="false">IF(D$4=0,0,IF(COUNTIFS(実績!$W$6:$W$505,D$3,実績!$AI$6:$AI$505,"&lt;="&amp;$A258,実績!$AJ$6:$AJ$505,"&gt;"&amp;$A258,実績!$AK$6:$AK$505,"○")&gt;0,1,0))</f>
        <v>0</v>
      </c>
      <c r="E258" s="39" t="n">
        <f aca="false">IF(E$4=0,0,IF(COUNTIFS(実績!$W$6:$W$505,E$3,実績!$AI$6:$AI$505,"&lt;="&amp;$A258,実績!$AJ$6:$AJ$505,"&gt;"&amp;$A258,実績!$AK$6:$AK$505,"○")&gt;0,1,0))</f>
        <v>0</v>
      </c>
      <c r="F258" s="39" t="n">
        <f aca="false">IF(F$4=0,0,IF(COUNTIFS(実績!$W$6:$W$505,F$3,実績!$AI$6:$AI$505,"&lt;="&amp;$A258,実績!$AJ$6:$AJ$505,"&gt;"&amp;$A258,実績!$AK$6:$AK$505,"○")&gt;0,1,0))</f>
        <v>0</v>
      </c>
      <c r="G258" s="39" t="n">
        <f aca="false">IF(G$4=0,0,IF(COUNTIFS(実績!$W$6:$W$505,G$3,実績!$AI$6:$AI$505,"&lt;="&amp;$A258,実績!$AJ$6:$AJ$505,"&gt;"&amp;$A258,実績!$AK$6:$AK$505,"○")&gt;0,1,0))</f>
        <v>0</v>
      </c>
      <c r="H258" s="39" t="n">
        <f aca="false">IF(H$4=0,0,IF(COUNTIFS(実績!$W$6:$W$505,H$3,実績!$AI$6:$AI$505,"&lt;="&amp;$A258,実績!$AJ$6:$AJ$505,"&gt;"&amp;$A258,実績!$AK$6:$AK$505,"○")&gt;0,1,0))</f>
        <v>0</v>
      </c>
      <c r="I258" s="39" t="n">
        <f aca="false">IF(I$4=0,0,IF(COUNTIFS(実績!$W$6:$W$505,I$3,実績!$AI$6:$AI$505,"&lt;="&amp;$A258,実績!$AJ$6:$AJ$505,"&gt;"&amp;$A258,実績!$AK$6:$AK$505,"○")&gt;0,1,0))</f>
        <v>0</v>
      </c>
      <c r="J258" s="39" t="n">
        <f aca="false">IF(J$4=0,0,IF(COUNTIFS(実績!$W$6:$W$505,J$3,実績!$AI$6:$AI$505,"&lt;="&amp;$A258,実績!$AJ$6:$AJ$505,"&gt;"&amp;$A258,実績!$AK$6:$AK$505,"○")&gt;0,1,0))</f>
        <v>0</v>
      </c>
      <c r="K258" s="39" t="n">
        <f aca="false">IF(K$4=0,0,IF(COUNTIFS(実績!$W$6:$W$505,K$3,実績!$AI$6:$AI$505,"&lt;="&amp;$A258,実績!$AJ$6:$AJ$505,"&gt;"&amp;$A258,実績!$AK$6:$AK$505,"○")&gt;0,1,0))</f>
        <v>0</v>
      </c>
      <c r="L258" s="39" t="n">
        <f aca="false">IF(L$4=0,0,IF(COUNTIFS(実績!$W$6:$W$505,L$3,実績!$AI$6:$AI$505,"&lt;="&amp;$A258,実績!$AJ$6:$AJ$505,"&gt;"&amp;$A258,実績!$AK$6:$AK$505,"○")&gt;0,1,0))</f>
        <v>0</v>
      </c>
      <c r="M258" s="39" t="n">
        <f aca="false">IF(M$4=0,0,IF(COUNTIFS(実績!$W$6:$W$505,M$3,実績!$AI$6:$AI$505,"&lt;="&amp;$A258,実績!$AJ$6:$AJ$505,"&gt;"&amp;$A258,実績!$AK$6:$AK$505,"○")&gt;0,1,0))</f>
        <v>0</v>
      </c>
      <c r="N258" s="39" t="n">
        <f aca="false">IF(N$4=0,0,IF(COUNTIFS(実績!$W$6:$W$505,N$3,実績!$AI$6:$AI$505,"&lt;="&amp;$A258,実績!$AJ$6:$AJ$505,"&gt;"&amp;$A258,実績!$AK$6:$AK$505,"○")&gt;0,1,0))</f>
        <v>0</v>
      </c>
      <c r="O258" s="39" t="n">
        <f aca="false">IF(O$4=0,0,IF(COUNTIFS(実績!$W$6:$W$505,O$3,実績!$AI$6:$AI$505,"&lt;="&amp;$A258,実績!$AJ$6:$AJ$505,"&gt;"&amp;$A258,実績!$AK$6:$AK$505,"○")&gt;0,1,0))</f>
        <v>0</v>
      </c>
      <c r="P258" s="39" t="n">
        <f aca="false">IF(P$4=0,0,IF(COUNTIFS(実績!$W$6:$W$505,P$3,実績!$AI$6:$AI$505,"&lt;="&amp;$A258,実績!$AJ$6:$AJ$505,"&gt;"&amp;$A258,実績!$AK$6:$AK$505,"○")&gt;0,1,0))</f>
        <v>0</v>
      </c>
      <c r="Q258" s="39" t="n">
        <f aca="false">IF(Q$4=0,0,IF(COUNTIFS(実績!$W$6:$W$505,Q$3,実績!$AI$6:$AI$505,"&lt;="&amp;$A258,実績!$AJ$6:$AJ$505,"&gt;"&amp;$A258,実績!$AK$6:$AK$505,"○")&gt;0,1,0))</f>
        <v>0</v>
      </c>
      <c r="R258" s="39" t="n">
        <f aca="false">IF(R$4=0,0,IF(COUNTIFS(実績!$W$6:$W$505,R$3,実績!$AI$6:$AI$505,"&lt;="&amp;$A258,実績!$AJ$6:$AJ$505,"&gt;"&amp;$A258,実績!$AK$6:$AK$505,"○")&gt;0,1,0))</f>
        <v>0</v>
      </c>
      <c r="S258" s="39" t="n">
        <f aca="false">IF(S$4=0,0,IF(COUNTIFS(実績!$W$6:$W$505,S$3,実績!$AI$6:$AI$505,"&lt;="&amp;$A258,実績!$AJ$6:$AJ$505,"&gt;"&amp;$A258,実績!$AK$6:$AK$505,"○")&gt;0,1,0))</f>
        <v>0</v>
      </c>
      <c r="T258" s="39" t="n">
        <f aca="false">IF(T$4=0,0,IF(COUNTIFS(実績!$W$6:$W$505,T$3,実績!$AI$6:$AI$505,"&lt;="&amp;$A258,実績!$AJ$6:$AJ$505,"&gt;"&amp;$A258,実績!$AK$6:$AK$505,"○")&gt;0,1,0))</f>
        <v>0</v>
      </c>
      <c r="U258" s="39" t="n">
        <f aca="false">IF(U$4=0,0,IF(COUNTIFS(実績!$W$6:$W$505,U$3,実績!$AI$6:$AI$505,"&lt;="&amp;$A258,実績!$AJ$6:$AJ$505,"&gt;"&amp;$A258,実績!$AK$6:$AK$505,"○")&gt;0,1,0))</f>
        <v>0</v>
      </c>
      <c r="V258" s="39" t="n">
        <f aca="false">IF(V$4=0,0,IF(COUNTIFS(実績!$W$6:$W$505,V$3,実績!$AI$6:$AI$505,"&lt;="&amp;$A258,実績!$AJ$6:$AJ$505,"&gt;"&amp;$A258,実績!$AK$6:$AK$505,"○")&gt;0,1,0))</f>
        <v>0</v>
      </c>
      <c r="W258" s="39" t="n">
        <f aca="false">IF(W$4=0,0,IF(COUNTIFS(実績!$W$6:$W$505,W$3,実績!$AI$6:$AI$505,"&lt;="&amp;$A258,実績!$AJ$6:$AJ$505,"&gt;"&amp;$A258,実績!$AK$6:$AK$505,"○")&gt;0,1,0))</f>
        <v>0</v>
      </c>
      <c r="X258" s="39" t="n">
        <f aca="false">IF(X$4=0,0,IF(COUNTIFS(実績!$W$6:$W$505,X$3,実績!$AI$6:$AI$505,"&lt;="&amp;$A258,実績!$AJ$6:$AJ$505,"&gt;"&amp;$A258,実績!$AK$6:$AK$505,"○")&gt;0,1,0))</f>
        <v>0</v>
      </c>
      <c r="Y258" s="39" t="n">
        <f aca="false">IF(Y$4=0,0,IF(COUNTIFS(実績!$W$6:$W$505,Y$3,実績!$AI$6:$AI$505,"&lt;="&amp;$A258,実績!$AJ$6:$AJ$505,"&gt;"&amp;$A258,実績!$AK$6:$AK$505,"○")&gt;0,1,0))</f>
        <v>0</v>
      </c>
      <c r="Z258" s="39" t="n">
        <f aca="false">IF(Z$4=0,0,IF(COUNTIFS(実績!$W$6:$W$505,Z$3,実績!$AI$6:$AI$505,"&lt;="&amp;$A258,実績!$AJ$6:$AJ$505,"&gt;"&amp;$A258,実績!$AK$6:$AK$505,"○")&gt;0,1,0))</f>
        <v>0</v>
      </c>
      <c r="AA258" s="39" t="n">
        <f aca="false">IF(AA$4=0,0,IF(COUNTIFS(実績!$W$6:$W$505,AA$3,実績!$AI$6:$AI$505,"&lt;="&amp;$A258,実績!$AJ$6:$AJ$505,"&gt;"&amp;$A258,実績!$AK$6:$AK$505,"○")&gt;0,1,0))</f>
        <v>0</v>
      </c>
      <c r="AB258" s="39" t="n">
        <f aca="false">IF(AB$4=0,0,IF(COUNTIFS(実績!$W$6:$W$505,AB$3,実績!$AI$6:$AI$505,"&lt;="&amp;$A258,実績!$AJ$6:$AJ$505,"&gt;"&amp;$A258,実績!$AK$6:$AK$505,"○")&gt;0,1,0))</f>
        <v>0</v>
      </c>
      <c r="AC258" s="39" t="n">
        <f aca="false">IF(AC$4=0,0,IF(COUNTIFS(実績!$W$6:$W$505,AC$3,実績!$AI$6:$AI$505,"&lt;="&amp;$A258,実績!$AJ$6:$AJ$505,"&gt;"&amp;$A258,実績!$AK$6:$AK$505,"○")&gt;0,1,0))</f>
        <v>0</v>
      </c>
      <c r="AD258" s="39" t="n">
        <f aca="false">IF(AD$4=0,0,IF(COUNTIFS(実績!$W$6:$W$505,AD$3,実績!$AI$6:$AI$505,"&lt;="&amp;$A258,実績!$AJ$6:$AJ$505,"&gt;"&amp;$A258,実績!$AK$6:$AK$505,"○")&gt;0,1,0))</f>
        <v>0</v>
      </c>
      <c r="AE258" s="39" t="n">
        <f aca="false">IF(AE$4=0,0,IF(COUNTIFS(実績!$W$6:$W$505,AE$3,実績!$AI$6:$AI$505,"&lt;="&amp;$A258,実績!$AJ$6:$AJ$505,"&gt;"&amp;$A258,実績!$AK$6:$AK$505,"○")&gt;0,1,0))</f>
        <v>0</v>
      </c>
      <c r="AF258" s="39" t="n">
        <f aca="false">IF(AF$4=0,0,IF(COUNTIFS(実績!$W$6:$W$505,AF$3,実績!$AI$6:$AI$505,"&lt;="&amp;$A258,実績!$AJ$6:$AJ$505,"&gt;"&amp;$A258,実績!$AK$6:$AK$505,"○")&gt;0,1,0))</f>
        <v>0</v>
      </c>
      <c r="AG258" s="39" t="n">
        <f aca="false">IF(AG$4=0,0,IF(COUNTIFS(実績!$W$6:$W$505,AG$3,実績!$AI$6:$AI$505,"&lt;="&amp;$A258,実績!$AJ$6:$AJ$505,"&gt;"&amp;$A258,実績!$AK$6:$AK$505,"○")&gt;0,1,0))</f>
        <v>0</v>
      </c>
      <c r="AH258" s="39" t="n">
        <f aca="false">IF(AH$4=0,0,IF(COUNTIFS(実績!$W$6:$W$505,AH$3,実績!$AI$6:$AI$505,"&lt;="&amp;$A258,実績!$AJ$6:$AJ$505,"&gt;"&amp;$A258,実績!$AK$6:$AK$505,"○")&gt;0,1,0))</f>
        <v>0</v>
      </c>
      <c r="AI258" s="39" t="n">
        <f aca="false">IF(AI$4=0,0,IF(COUNTIFS(実績!$W$6:$W$505,AI$3,実績!$AI$6:$AI$505,"&lt;="&amp;$A258,実績!$AJ$6:$AJ$505,"&gt;"&amp;$A258,実績!$AK$6:$AK$505,"○")&gt;0,1,0))</f>
        <v>0</v>
      </c>
      <c r="AJ258" s="39" t="n">
        <f aca="false">IF(AJ$4=0,0,IF(COUNTIFS(実績!$W$6:$W$505,AJ$3,実績!$AI$6:$AI$505,"&lt;="&amp;$A258,実績!$AJ$6:$AJ$505,"&gt;"&amp;$A258,実績!$AK$6:$AK$505,"○")&gt;0,1,0))</f>
        <v>0</v>
      </c>
      <c r="AK258" s="39" t="n">
        <f aca="false">IF(AK$4=0,0,IF(COUNTIFS(実績!$W$6:$W$505,AK$3,実績!$AI$6:$AI$505,"&lt;="&amp;$A258,実績!$AJ$6:$AJ$505,"&gt;"&amp;$A258,実績!$AK$6:$AK$505,"○")&gt;0,1,0))</f>
        <v>0</v>
      </c>
      <c r="AL258" s="39" t="n">
        <f aca="false">IF(AL$4=0,0,IF(COUNTIFS(実績!$W$6:$W$505,AL$3,実績!$AI$6:$AI$505,"&lt;="&amp;$A258,実績!$AJ$6:$AJ$505,"&gt;"&amp;$A258,実績!$AK$6:$AK$505,"○")&gt;0,1,0))</f>
        <v>0</v>
      </c>
      <c r="AM258" s="39" t="n">
        <f aca="false">IF(AM$4=0,0,IF(COUNTIFS(実績!$W$6:$W$505,AM$3,実績!$AI$6:$AI$505,"&lt;="&amp;$A258,実績!$AJ$6:$AJ$505,"&gt;"&amp;$A258,実績!$AK$6:$AK$505,"○")&gt;0,1,0))</f>
        <v>0</v>
      </c>
      <c r="AN258" s="39" t="n">
        <f aca="false">IF(AN$4=0,0,IF(COUNTIFS(実績!$W$6:$W$505,AN$3,実績!$AI$6:$AI$505,"&lt;="&amp;$A258,実績!$AJ$6:$AJ$505,"&gt;"&amp;$A258,実績!$AK$6:$AK$505,"○")&gt;0,1,0))</f>
        <v>0</v>
      </c>
      <c r="AO258" s="39" t="n">
        <f aca="false">IF(AO$4=0,0,IF(COUNTIFS(実績!$W$6:$W$505,AO$3,実績!$AI$6:$AI$505,"&lt;="&amp;$A258,実績!$AJ$6:$AJ$505,"&gt;"&amp;$A258,実績!$AK$6:$AK$505,"○")&gt;0,1,0))</f>
        <v>0</v>
      </c>
      <c r="AP258" s="39" t="n">
        <f aca="false">IF(AP$4=0,0,IF(COUNTIFS(実績!$W$6:$W$505,AP$3,実績!$AI$6:$AI$505,"&lt;="&amp;$A258,実績!$AJ$6:$AJ$505,"&gt;"&amp;$A258,実績!$AK$6:$AK$505,"○")&gt;0,1,0))</f>
        <v>0</v>
      </c>
      <c r="AQ258" s="39" t="n">
        <f aca="false">IF(AQ$4=0,0,IF(COUNTIFS(実績!$W$6:$W$505,AQ$3,実績!$AI$6:$AI$505,"&lt;="&amp;$A258,実績!$AJ$6:$AJ$505,"&gt;"&amp;$A258,実績!$AK$6:$AK$505,"○")&gt;0,1,0))</f>
        <v>0</v>
      </c>
      <c r="AR258" s="39" t="n">
        <f aca="false">IF(AR$4=0,0,IF(COUNTIFS(実績!$W$6:$W$505,AR$3,実績!$AI$6:$AI$505,"&lt;="&amp;$A258,実績!$AJ$6:$AJ$505,"&gt;"&amp;$A258,実績!$AK$6:$AK$505,"○")&gt;0,1,0))</f>
        <v>0</v>
      </c>
      <c r="AS258" s="39" t="n">
        <f aca="false">IF(AS$4=0,0,IF(COUNTIFS(実績!$W$6:$W$505,AS$3,実績!$AI$6:$AI$505,"&lt;="&amp;$A258,実績!$AJ$6:$AJ$505,"&gt;"&amp;$A258,実績!$AK$6:$AK$505,"○")&gt;0,1,0))</f>
        <v>0</v>
      </c>
      <c r="AT258" s="39" t="n">
        <f aca="false">IF(AT$4=0,0,IF(COUNTIFS(実績!$W$6:$W$505,AT$3,実績!$AI$6:$AI$505,"&lt;="&amp;$A258,実績!$AJ$6:$AJ$505,"&gt;"&amp;$A258,実績!$AK$6:$AK$505,"○")&gt;0,1,0))</f>
        <v>0</v>
      </c>
      <c r="AU258" s="39" t="n">
        <f aca="false">IF(AU$4=0,0,IF(COUNTIFS(実績!$W$6:$W$505,AU$3,実績!$AI$6:$AI$505,"&lt;="&amp;$A258,実績!$AJ$6:$AJ$505,"&gt;"&amp;$A258,実績!$AK$6:$AK$505,"○")&gt;0,1,0))</f>
        <v>0</v>
      </c>
      <c r="AV258" s="39" t="n">
        <f aca="false">IF(AV$4=0,0,IF(COUNTIFS(実績!$W$6:$W$505,AV$3,実績!$AI$6:$AI$505,"&lt;="&amp;$A258,実績!$AJ$6:$AJ$505,"&gt;"&amp;$A258,実績!$AK$6:$AK$505,"○")&gt;0,1,0))</f>
        <v>0</v>
      </c>
      <c r="AW258" s="39" t="n">
        <f aca="false">IF(AW$4=0,0,IF(COUNTIFS(実績!$W$6:$W$505,AW$3,実績!$AI$6:$AI$505,"&lt;="&amp;$A258,実績!$AJ$6:$AJ$505,"&gt;"&amp;$A258,実績!$AK$6:$AK$505,"○")&gt;0,1,0))</f>
        <v>0</v>
      </c>
      <c r="AX258" s="39" t="n">
        <f aca="false">IF(AX$4=0,0,IF(COUNTIFS(実績!$W$6:$W$505,AX$3,実績!$AI$6:$AI$505,"&lt;="&amp;$A258,実績!$AJ$6:$AJ$505,"&gt;"&amp;$A258,実績!$AK$6:$AK$505,"○")&gt;0,1,0))</f>
        <v>0</v>
      </c>
      <c r="AY258" s="39" t="n">
        <f aca="false">IF(AY$4=0,0,IF(COUNTIFS(実績!$W$6:$W$505,AY$3,実績!$AI$6:$AI$505,"&lt;="&amp;$A258,実績!$AJ$6:$AJ$505,"&gt;"&amp;$A258,実績!$AK$6:$AK$505,"○")&gt;0,1,0))</f>
        <v>0</v>
      </c>
      <c r="AZ258" s="39" t="n">
        <f aca="false">IF(AZ$4=0,0,IF(COUNTIFS(実績!$W$6:$W$505,AZ$3,実績!$AI$6:$AI$505,"&lt;="&amp;$A258,実績!$AJ$6:$AJ$505,"&gt;"&amp;$A258,実績!$AK$6:$AK$505,"○")&gt;0,1,0))</f>
        <v>0</v>
      </c>
      <c r="BA258" s="39" t="n">
        <f aca="false">IF(BA$4=0,0,IF(COUNTIFS(実績!$W$6:$W$505,BA$3,実績!$AI$6:$AI$505,"&lt;="&amp;$A258,実績!$AJ$6:$AJ$505,"&gt;"&amp;$A258,実績!$AK$6:$AK$505,"○")&gt;0,1,0))</f>
        <v>0</v>
      </c>
      <c r="BB258" s="39" t="n">
        <f aca="false">IF(BB$4=0,0,IF(COUNTIFS(実績!$W$6:$W$505,BB$3,実績!$AI$6:$AI$505,"&lt;="&amp;$A258,実績!$AJ$6:$AJ$505,"&gt;"&amp;$A258,実績!$AK$6:$AK$505,"○")&gt;0,1,0))</f>
        <v>0</v>
      </c>
      <c r="BC258" s="39" t="n">
        <f aca="false">IF(BC$4=0,0,IF(COUNTIFS(実績!$W$6:$W$505,BC$3,実績!$AI$6:$AI$505,"&lt;="&amp;$A258,実績!$AJ$6:$AJ$505,"&gt;"&amp;$A258,実績!$AK$6:$AK$505,"○")&gt;0,1,0))</f>
        <v>0</v>
      </c>
      <c r="BD258" s="39" t="n">
        <f aca="false">IF(BD$4=0,0,IF(COUNTIFS(実績!$W$6:$W$505,BD$3,実績!$AI$6:$AI$505,"&lt;="&amp;$A258,実績!$AJ$6:$AJ$505,"&gt;"&amp;$A258,実績!$AK$6:$AK$505,"○")&gt;0,1,0))</f>
        <v>0</v>
      </c>
      <c r="BE258" s="39" t="n">
        <f aca="false">IF(BE$4=0,0,IF(COUNTIFS(実績!$W$6:$W$505,BE$3,実績!$AI$6:$AI$505,"&lt;="&amp;$A258,実績!$AJ$6:$AJ$505,"&gt;"&amp;$A258,実績!$AK$6:$AK$505,"○")&gt;0,1,0))</f>
        <v>0</v>
      </c>
      <c r="BF258" s="39" t="n">
        <f aca="false">IF(BF$4=0,0,IF(COUNTIFS(実績!$W$6:$W$505,BF$3,実績!$AI$6:$AI$505,"&lt;="&amp;$A258,実績!$AJ$6:$AJ$505,"&gt;"&amp;$A258,実績!$AK$6:$AK$505,"○")&gt;0,1,0))</f>
        <v>0</v>
      </c>
      <c r="BG258" s="39" t="n">
        <f aca="false">IF(BG$4=0,0,IF(COUNTIFS(実績!$W$6:$W$505,BG$3,実績!$AI$6:$AI$505,"&lt;="&amp;$A258,実績!$AJ$6:$AJ$505,"&gt;"&amp;$A258,実績!$AK$6:$AK$505,"○")&gt;0,1,0))</f>
        <v>0</v>
      </c>
      <c r="BH258" s="39" t="n">
        <f aca="false">IF(BH$4=0,0,IF(COUNTIFS(実績!$W$6:$W$505,BH$3,実績!$AI$6:$AI$505,"&lt;="&amp;$A258,実績!$AJ$6:$AJ$505,"&gt;"&amp;$A258,実績!$AK$6:$AK$505,"○")&gt;0,1,0))</f>
        <v>0</v>
      </c>
      <c r="BI258" s="39" t="n">
        <f aca="false">IF(BI$4=0,0,IF(COUNTIFS(実績!$W$6:$W$505,BI$3,実績!$AI$6:$AI$505,"&lt;="&amp;$A258,実績!$AJ$6:$AJ$505,"&gt;"&amp;$A258,実績!$AK$6:$AK$505,"○")&gt;0,1,0))</f>
        <v>0</v>
      </c>
      <c r="BJ258" s="39" t="n">
        <f aca="false">IF(BJ$4=0,0,IF(COUNTIFS(実績!$W$6:$W$505,BJ$3,実績!$AI$6:$AI$505,"&lt;="&amp;$A258,実績!$AJ$6:$AJ$505,"&gt;"&amp;$A258,実績!$AK$6:$AK$505,"○")&gt;0,1,0))</f>
        <v>0</v>
      </c>
      <c r="BK258" s="39" t="n">
        <f aca="false">IF(BK$4=0,0,IF(COUNTIFS(実績!$W$6:$W$505,BK$3,実績!$AI$6:$AI$505,"&lt;="&amp;$A258,実績!$AJ$6:$AJ$505,"&gt;"&amp;$A258,実績!$AK$6:$AK$505,"○")&gt;0,1,0))</f>
        <v>0</v>
      </c>
      <c r="BL258" s="39" t="n">
        <f aca="false">IF(BL$4=0,0,IF(COUNTIFS(実績!$W$6:$W$505,BL$3,実績!$AI$6:$AI$505,"&lt;="&amp;$A258,実績!$AJ$6:$AJ$505,"&gt;"&amp;$A258,実績!$AK$6:$AK$505,"○")&gt;0,1,0))</f>
        <v>0</v>
      </c>
      <c r="BM258" s="39" t="n">
        <f aca="false">IF(BM$4=0,0,IF(COUNTIFS(実績!$W$6:$W$505,BM$3,実績!$AI$6:$AI$505,"&lt;="&amp;$A258,実績!$AJ$6:$AJ$505,"&gt;"&amp;$A258,実績!$AK$6:$AK$505,"○")&gt;0,1,0))</f>
        <v>0</v>
      </c>
      <c r="BN258" s="39" t="n">
        <f aca="false">IF(BN$4=0,0,IF(COUNTIFS(実績!$W$6:$W$505,BN$3,実績!$AI$6:$AI$505,"&lt;="&amp;$A258,実績!$AJ$6:$AJ$505,"&gt;"&amp;$A258,実績!$AK$6:$AK$505,"○")&gt;0,1,0))</f>
        <v>0</v>
      </c>
      <c r="BO258" s="39" t="n">
        <f aca="false">IF(BO$4=0,0,IF(COUNTIFS(実績!$W$6:$W$505,BO$3,実績!$AI$6:$AI$505,"&lt;="&amp;$A258,実績!$AJ$6:$AJ$505,"&gt;"&amp;$A258,実績!$AK$6:$AK$505,"○")&gt;0,1,0))</f>
        <v>0</v>
      </c>
      <c r="BP258" s="39" t="n">
        <f aca="false">IF(BP$4=0,0,IF(COUNTIFS(実績!$W$6:$W$505,BP$3,実績!$AI$6:$AI$505,"&lt;="&amp;$A258,実績!$AJ$6:$AJ$505,"&gt;"&amp;$A258,実績!$AK$6:$AK$505,"○")&gt;0,1,0))</f>
        <v>0</v>
      </c>
      <c r="BQ258" s="39" t="n">
        <f aca="false">IF(BQ$4=0,0,IF(COUNTIFS(実績!$W$6:$W$505,BQ$3,実績!$AI$6:$AI$505,"&lt;="&amp;$A258,実績!$AJ$6:$AJ$505,"&gt;"&amp;$A258,実績!$AK$6:$AK$505,"○")&gt;0,1,0))</f>
        <v>0</v>
      </c>
      <c r="BR258" s="39" t="n">
        <f aca="false">IF(BR$4=0,0,IF(COUNTIFS(実績!$W$6:$W$505,BR$3,実績!$AI$6:$AI$505,"&lt;="&amp;$A258,実績!$AJ$6:$AJ$505,"&gt;"&amp;$A258,実績!$AK$6:$AK$505,"○")&gt;0,1,0))</f>
        <v>0</v>
      </c>
      <c r="BS258" s="39" t="n">
        <f aca="false">IF(BS$4=0,0,IF(COUNTIFS(実績!$W$6:$W$505,BS$3,実績!$AI$6:$AI$505,"&lt;="&amp;$A258,実績!$AJ$6:$AJ$505,"&gt;"&amp;$A258,実績!$AK$6:$AK$505,"○")&gt;0,1,0))</f>
        <v>0</v>
      </c>
      <c r="BT258" s="39" t="n">
        <f aca="false">IF(BT$4=0,0,IF(COUNTIFS(実績!$W$6:$W$505,BT$3,実績!$AI$6:$AI$505,"&lt;="&amp;$A258,実績!$AJ$6:$AJ$505,"&gt;"&amp;$A258,実績!$AK$6:$AK$505,"○")&gt;0,1,0))</f>
        <v>0</v>
      </c>
      <c r="BU258" s="39" t="n">
        <f aca="false">IF(BU$4=0,0,IF(COUNTIFS(実績!$W$6:$W$505,BU$3,実績!$AI$6:$AI$505,"&lt;="&amp;$A258,実績!$AJ$6:$AJ$505,"&gt;"&amp;$A258,実績!$AK$6:$AK$505,"○")&gt;0,1,0))</f>
        <v>0</v>
      </c>
      <c r="BV258" s="39" t="n">
        <f aca="false">IF(BV$4=0,0,IF(COUNTIFS(実績!$W$6:$W$505,BV$3,実績!$AI$6:$AI$505,"&lt;="&amp;$A258,実績!$AJ$6:$AJ$505,"&gt;"&amp;$A258,実績!$AK$6:$AK$505,"○")&gt;0,1,0))</f>
        <v>0</v>
      </c>
      <c r="BW258" s="39" t="n">
        <f aca="false">IF(BW$4=0,0,IF(COUNTIFS(実績!$W$6:$W$505,BW$3,実績!$AI$6:$AI$505,"&lt;="&amp;$A258,実績!$AJ$6:$AJ$505,"&gt;"&amp;$A258,実績!$AK$6:$AK$505,"○")&gt;0,1,0))</f>
        <v>0</v>
      </c>
      <c r="BX258" s="39" t="n">
        <f aca="false">IF(BX$4=0,0,IF(COUNTIFS(実績!$W$6:$W$505,BX$3,実績!$AI$6:$AI$505,"&lt;="&amp;$A258,実績!$AJ$6:$AJ$505,"&gt;"&amp;$A258,実績!$AK$6:$AK$505,"○")&gt;0,1,0))</f>
        <v>0</v>
      </c>
      <c r="BY258" s="39" t="n">
        <f aca="false">IF(BY$4=0,0,IF(COUNTIFS(実績!$W$6:$W$505,BY$3,実績!$AI$6:$AI$505,"&lt;="&amp;$A258,実績!$AJ$6:$AJ$505,"&gt;"&amp;$A258,実績!$AK$6:$AK$505,"○")&gt;0,1,0))</f>
        <v>0</v>
      </c>
      <c r="BZ258" s="39" t="n">
        <f aca="false">IF(BZ$4=0,0,IF(COUNTIFS(実績!$W$6:$W$505,BZ$3,実績!$AI$6:$AI$505,"&lt;="&amp;$A258,実績!$AJ$6:$AJ$505,"&gt;"&amp;$A258,実績!$AK$6:$AK$505,"○")&gt;0,1,0))</f>
        <v>0</v>
      </c>
      <c r="CA258" s="39" t="n">
        <f aca="false">IF(CA$4=0,0,IF(COUNTIFS(実績!$W$6:$W$505,CA$3,実績!$AI$6:$AI$505,"&lt;="&amp;$A258,実績!$AJ$6:$AJ$505,"&gt;"&amp;$A258,実績!$AK$6:$AK$505,"○")&gt;0,1,0))</f>
        <v>0</v>
      </c>
      <c r="CB258" s="39" t="n">
        <f aca="false">IF(CB$4=0,0,IF(COUNTIFS(実績!$W$6:$W$505,CB$3,実績!$AI$6:$AI$505,"&lt;="&amp;$A258,実績!$AJ$6:$AJ$505,"&gt;"&amp;$A258,実績!$AK$6:$AK$505,"○")&gt;0,1,0))</f>
        <v>0</v>
      </c>
      <c r="CC258" s="39" t="n">
        <f aca="false">IF(CC$4=0,0,IF(COUNTIFS(実績!$W$6:$W$505,CC$3,実績!$AI$6:$AI$505,"&lt;="&amp;$A258,実績!$AJ$6:$AJ$505,"&gt;"&amp;$A258,実績!$AK$6:$AK$505,"○")&gt;0,1,0))</f>
        <v>0</v>
      </c>
      <c r="CD258" s="39" t="n">
        <f aca="false">IF(CD$4=0,0,IF(COUNTIFS(実績!$W$6:$W$505,CD$3,実績!$AI$6:$AI$505,"&lt;="&amp;$A258,実績!$AJ$6:$AJ$505,"&gt;"&amp;$A258,実績!$AK$6:$AK$505,"○")&gt;0,1,0))</f>
        <v>0</v>
      </c>
      <c r="CE258" s="39" t="n">
        <f aca="false">IF(CE$4=0,0,IF(COUNTIFS(実績!$W$6:$W$505,CE$3,実績!$AI$6:$AI$505,"&lt;="&amp;$A258,実績!$AJ$6:$AJ$505,"&gt;"&amp;$A258,実績!$AK$6:$AK$505,"○")&gt;0,1,0))</f>
        <v>0</v>
      </c>
      <c r="CF258" s="39" t="n">
        <f aca="false">IF(CF$4=0,0,IF(COUNTIFS(実績!$W$6:$W$505,CF$3,実績!$AI$6:$AI$505,"&lt;="&amp;$A258,実績!$AJ$6:$AJ$505,"&gt;"&amp;$A258,実績!$AK$6:$AK$505,"○")&gt;0,1,0))</f>
        <v>0</v>
      </c>
      <c r="CG258" s="39" t="n">
        <f aca="false">IF(CG$4=0,0,IF(COUNTIFS(実績!$W$6:$W$505,CG$3,実績!$AI$6:$AI$505,"&lt;="&amp;$A258,実績!$AJ$6:$AJ$505,"&gt;"&amp;$A258,実績!$AK$6:$AK$505,"○")&gt;0,1,0))</f>
        <v>0</v>
      </c>
      <c r="CH258" s="39" t="n">
        <f aca="false">IF(CH$4=0,0,IF(COUNTIFS(実績!$W$6:$W$505,CH$3,実績!$AI$6:$AI$505,"&lt;="&amp;$A258,実績!$AJ$6:$AJ$505,"&gt;"&amp;$A258,実績!$AK$6:$AK$505,"○")&gt;0,1,0))</f>
        <v>0</v>
      </c>
      <c r="CI258" s="39" t="n">
        <f aca="false">IF(CI$4=0,0,IF(COUNTIFS(実績!$W$6:$W$505,CI$3,実績!$AI$6:$AI$505,"&lt;="&amp;$A258,実績!$AJ$6:$AJ$505,"&gt;"&amp;$A258,実績!$AK$6:$AK$505,"○")&gt;0,1,0))</f>
        <v>0</v>
      </c>
      <c r="CJ258" s="39" t="n">
        <f aca="false">IF(CJ$4=0,0,IF(COUNTIFS(実績!$W$6:$W$505,CJ$3,実績!$AI$6:$AI$505,"&lt;="&amp;$A258,実績!$AJ$6:$AJ$505,"&gt;"&amp;$A258,実績!$AK$6:$AK$505,"○")&gt;0,1,0))</f>
        <v>0</v>
      </c>
      <c r="CK258" s="39" t="n">
        <f aca="false">IF(CK$4=0,0,IF(COUNTIFS(実績!$W$6:$W$505,CK$3,実績!$AI$6:$AI$505,"&lt;="&amp;$A258,実績!$AJ$6:$AJ$505,"&gt;"&amp;$A258,実績!$AK$6:$AK$505,"○")&gt;0,1,0))</f>
        <v>0</v>
      </c>
      <c r="CL258" s="39" t="n">
        <f aca="false">IF(CL$4=0,0,IF(COUNTIFS(実績!$W$6:$W$505,CL$3,実績!$AI$6:$AI$505,"&lt;="&amp;$A258,実績!$AJ$6:$AJ$505,"&gt;"&amp;$A258,実績!$AK$6:$AK$505,"○")&gt;0,1,0))</f>
        <v>0</v>
      </c>
      <c r="CM258" s="39" t="n">
        <f aca="false">IF(CM$4=0,0,IF(COUNTIFS(実績!$W$6:$W$505,CM$3,実績!$AI$6:$AI$505,"&lt;="&amp;$A258,実績!$AJ$6:$AJ$505,"&gt;"&amp;$A258,実績!$AK$6:$AK$505,"○")&gt;0,1,0))</f>
        <v>0</v>
      </c>
      <c r="CN258" s="39" t="n">
        <f aca="false">IF(CN$4=0,0,IF(COUNTIFS(実績!$W$6:$W$505,CN$3,実績!$AI$6:$AI$505,"&lt;="&amp;$A258,実績!$AJ$6:$AJ$505,"&gt;"&amp;$A258,実績!$AK$6:$AK$505,"○")&gt;0,1,0))</f>
        <v>0</v>
      </c>
      <c r="CO258" s="39" t="n">
        <f aca="false">IF(CO$4=0,0,IF(COUNTIFS(実績!$W$6:$W$505,CO$3,実績!$AI$6:$AI$505,"&lt;="&amp;$A258,実績!$AJ$6:$AJ$505,"&gt;"&amp;$A258,実績!$AK$6:$AK$505,"○")&gt;0,1,0))</f>
        <v>0</v>
      </c>
      <c r="CP258" s="39" t="n">
        <f aca="false">IF(CP$4=0,0,IF(COUNTIFS(実績!$W$6:$W$505,CP$3,実績!$AI$6:$AI$505,"&lt;="&amp;$A258,実績!$AJ$6:$AJ$505,"&gt;"&amp;$A258,実績!$AK$6:$AK$505,"○")&gt;0,1,0))</f>
        <v>0</v>
      </c>
      <c r="CQ258" s="39" t="n">
        <f aca="false">IF(CQ$4=0,0,IF(COUNTIFS(実績!$W$6:$W$505,CQ$3,実績!$AI$6:$AI$505,"&lt;="&amp;$A258,実績!$AJ$6:$AJ$505,"&gt;"&amp;$A258,実績!$AK$6:$AK$505,"○")&gt;0,1,0))</f>
        <v>0</v>
      </c>
      <c r="CR258" s="39" t="n">
        <f aca="false">IF(CR$4=0,0,IF(COUNTIFS(実績!$W$6:$W$505,CR$3,実績!$AI$6:$AI$505,"&lt;="&amp;$A258,実績!$AJ$6:$AJ$505,"&gt;"&amp;$A258,実績!$AK$6:$AK$505,"○")&gt;0,1,0))</f>
        <v>0</v>
      </c>
      <c r="CS258" s="39" t="n">
        <f aca="false">IF(CS$4=0,0,IF(COUNTIFS(実績!$W$6:$W$505,CS$3,実績!$AI$6:$AI$505,"&lt;="&amp;$A258,実績!$AJ$6:$AJ$505,"&gt;"&amp;$A258,実績!$AK$6:$AK$505,"○")&gt;0,1,0))</f>
        <v>0</v>
      </c>
      <c r="CT258" s="39" t="n">
        <f aca="false">IF(CT$4=0,0,IF(COUNTIFS(実績!$W$6:$W$505,CT$3,実績!$AI$6:$AI$505,"&lt;="&amp;$A258,実績!$AJ$6:$AJ$505,"&gt;"&amp;$A258,実績!$AK$6:$AK$505,"○")&gt;0,1,0))</f>
        <v>0</v>
      </c>
      <c r="CU258" s="39" t="n">
        <f aca="false">IF(CU$4=0,0,IF(COUNTIFS(実績!$W$6:$W$505,CU$3,実績!$AI$6:$AI$505,"&lt;="&amp;$A258,実績!$AJ$6:$AJ$505,"&gt;"&amp;$A258,実績!$AK$6:$AK$505,"○")&gt;0,1,0))</f>
        <v>0</v>
      </c>
      <c r="CV258" s="39" t="n">
        <f aca="false">IF(CV$4=0,0,IF(COUNTIFS(実績!$W$6:$W$505,CV$3,実績!$AI$6:$AI$505,"&lt;="&amp;$A258,実績!$AJ$6:$AJ$505,"&gt;"&amp;$A258,実績!$AK$6:$AK$505,"○")&gt;0,1,0))</f>
        <v>0</v>
      </c>
      <c r="CW258" s="39" t="n">
        <f aca="false">IF(CW$4=0,0,IF(COUNTIFS(実績!$W$6:$W$505,CW$3,実績!$AI$6:$AI$505,"&lt;="&amp;$A258,実績!$AJ$6:$AJ$505,"&gt;"&amp;$A258,実績!$AK$6:$AK$505,"○")&gt;0,1,0))</f>
        <v>0</v>
      </c>
      <c r="CX258" s="39" t="n">
        <f aca="false">IF(CX$4=0,0,IF(COUNTIFS(実績!$W$6:$W$505,CX$3,実績!$AI$6:$AI$505,"&lt;="&amp;$A258,実績!$AJ$6:$AJ$505,"&gt;"&amp;$A258,実績!$AK$6:$AK$505,"○")&gt;0,1,0))</f>
        <v>0</v>
      </c>
      <c r="CY258" s="39" t="n">
        <f aca="false">IF(CY$4=0,0,IF(COUNTIFS(実績!$W$6:$W$505,CY$3,実績!$AI$6:$AI$505,"&lt;="&amp;$A258,実績!$AJ$6:$AJ$505,"&gt;"&amp;$A258,実績!$AK$6:$AK$505,"○")&gt;0,1,0))</f>
        <v>0</v>
      </c>
      <c r="CZ258" s="39" t="n">
        <f aca="false">IF(CZ$4=0,0,IF(COUNTIFS(実績!$W$6:$W$505,CZ$3,実績!$AI$6:$AI$505,"&lt;="&amp;$A258,実績!$AJ$6:$AJ$505,"&gt;"&amp;$A258,実績!$AK$6:$AK$505,"○")&gt;0,1,0))</f>
        <v>0</v>
      </c>
      <c r="DA258" s="39" t="n">
        <f aca="false">IF(DA$4=0,0,IF(COUNTIFS(実績!$W$6:$W$505,DA$3,実績!$AI$6:$AI$505,"&lt;="&amp;$A258,実績!$AJ$6:$AJ$505,"&gt;"&amp;$A258,実績!$AK$6:$AK$505,"○")&gt;0,1,0))</f>
        <v>0</v>
      </c>
      <c r="DB258" s="39" t="n">
        <f aca="false">IF(DB$4=0,0,IF(COUNTIFS(実績!$W$6:$W$505,DB$3,実績!$AI$6:$AI$505,"&lt;="&amp;$A258,実績!$AJ$6:$AJ$505,"&gt;"&amp;$A258,実績!$AK$6:$AK$505,"○")&gt;0,1,0))</f>
        <v>0</v>
      </c>
      <c r="DC258" s="39" t="n">
        <f aca="false">IF(DC$4=0,0,IF(COUNTIFS(実績!$W$6:$W$505,DC$3,実績!$AI$6:$AI$505,"&lt;="&amp;$A258,実績!$AJ$6:$AJ$505,"&gt;"&amp;$A258,実績!$AK$6:$AK$505,"○")&gt;0,1,0))</f>
        <v>0</v>
      </c>
      <c r="DD258" s="39" t="n">
        <f aca="false">IF(DD$4=0,0,IF(COUNTIFS(実績!$W$6:$W$505,DD$3,実績!$AI$6:$AI$505,"&lt;="&amp;$A258,実績!$AJ$6:$AJ$505,"&gt;"&amp;$A258,実績!$AK$6:$AK$505,"○")&gt;0,1,0))</f>
        <v>0</v>
      </c>
      <c r="DE258" s="39" t="n">
        <f aca="false">IF(DE$4=0,0,IF(COUNTIFS(実績!$W$6:$W$505,DE$3,実績!$AI$6:$AI$505,"&lt;="&amp;$A258,実績!$AJ$6:$AJ$505,"&gt;"&amp;$A258,実績!$AK$6:$AK$505,"○")&gt;0,1,0))</f>
        <v>0</v>
      </c>
      <c r="DF258" s="39" t="n">
        <f aca="false">IF(DF$4=0,0,IF(COUNTIFS(実績!$W$6:$W$505,DF$3,実績!$AI$6:$AI$505,"&lt;="&amp;$A258,実績!$AJ$6:$AJ$505,"&gt;"&amp;$A258,実績!$AK$6:$AK$505,"○")&gt;0,1,0))</f>
        <v>0</v>
      </c>
      <c r="DG258" s="39" t="n">
        <f aca="false">IF(DG$4=0,0,IF(COUNTIFS(実績!$W$6:$W$505,DG$3,実績!$AI$6:$AI$505,"&lt;="&amp;$A258,実績!$AJ$6:$AJ$505,"&gt;"&amp;$A258,実績!$AK$6:$AK$505,"○")&gt;0,1,0))</f>
        <v>0</v>
      </c>
      <c r="DH258" s="39" t="n">
        <f aca="false">IF(DH$4=0,0,IF(COUNTIFS(実績!$W$6:$W$505,DH$3,実績!$AI$6:$AI$505,"&lt;="&amp;$A258,実績!$AJ$6:$AJ$505,"&gt;"&amp;$A258,実績!$AK$6:$AK$505,"○")&gt;0,1,0))</f>
        <v>0</v>
      </c>
      <c r="DI258" s="39" t="n">
        <f aca="false">IF(DI$4=0,0,IF(COUNTIFS(実績!$W$6:$W$505,DI$3,実績!$AI$6:$AI$505,"&lt;="&amp;$A258,実績!$AJ$6:$AJ$505,"&gt;"&amp;$A258,実績!$AK$6:$AK$505,"○")&gt;0,1,0))</f>
        <v>0</v>
      </c>
      <c r="DJ258" s="39" t="n">
        <f aca="false">IF(DJ$4=0,0,IF(COUNTIFS(実績!$W$6:$W$505,DJ$3,実績!$AI$6:$AI$505,"&lt;="&amp;$A258,実績!$AJ$6:$AJ$505,"&gt;"&amp;$A258,実績!$AK$6:$AK$505,"○")&gt;0,1,0))</f>
        <v>0</v>
      </c>
      <c r="DK258" s="39" t="n">
        <f aca="false">IF(DK$4=0,0,IF(COUNTIFS(実績!$W$6:$W$505,DK$3,実績!$AI$6:$AI$505,"&lt;="&amp;$A258,実績!$AJ$6:$AJ$505,"&gt;"&amp;$A258,実績!$AK$6:$AK$505,"○")&gt;0,1,0))</f>
        <v>0</v>
      </c>
      <c r="DL258" s="39" t="n">
        <f aca="false">IF(DL$4=0,0,IF(COUNTIFS(実績!$W$6:$W$505,DL$3,実績!$AI$6:$AI$505,"&lt;="&amp;$A258,実績!$AJ$6:$AJ$505,"&gt;"&amp;$A258,実績!$AK$6:$AK$505,"○")&gt;0,1,0))</f>
        <v>0</v>
      </c>
      <c r="DM258" s="39" t="n">
        <f aca="false">IF(DM$4=0,0,IF(COUNTIFS(実績!$W$6:$W$505,DM$3,実績!$AI$6:$AI$505,"&lt;="&amp;$A258,実績!$AJ$6:$AJ$505,"&gt;"&amp;$A258,実績!$AK$6:$AK$505,"○")&gt;0,1,0))</f>
        <v>0</v>
      </c>
      <c r="DN258" s="39" t="n">
        <f aca="false">IF(DN$4=0,0,IF(COUNTIFS(実績!$W$6:$W$505,DN$3,実績!$AI$6:$AI$505,"&lt;="&amp;$A258,実績!$AJ$6:$AJ$505,"&gt;"&amp;$A258,実績!$AK$6:$AK$505,"○")&gt;0,1,0))</f>
        <v>0</v>
      </c>
      <c r="DO258" s="39" t="n">
        <f aca="false">IF(DO$4=0,0,IF(COUNTIFS(実績!$W$6:$W$505,DO$3,実績!$AI$6:$AI$505,"&lt;="&amp;$A258,実績!$AJ$6:$AJ$505,"&gt;"&amp;$A258,実績!$AK$6:$AK$505,"○")&gt;0,1,0))</f>
        <v>0</v>
      </c>
      <c r="DP258" s="39" t="n">
        <f aca="false">IF(DP$4=0,0,IF(COUNTIFS(実績!$W$6:$W$505,DP$3,実績!$AI$6:$AI$505,"&lt;="&amp;$A258,実績!$AJ$6:$AJ$505,"&gt;"&amp;$A258,実績!$AK$6:$AK$505,"○")&gt;0,1,0))</f>
        <v>0</v>
      </c>
      <c r="DQ258" s="39" t="n">
        <f aca="false">IF(DQ$4=0,0,IF(COUNTIFS(実績!$W$6:$W$505,DQ$3,実績!$AI$6:$AI$505,"&lt;="&amp;$A258,実績!$AJ$6:$AJ$505,"&gt;"&amp;$A258,実績!$AK$6:$AK$505,"○")&gt;0,1,0))</f>
        <v>0</v>
      </c>
      <c r="DR258" s="39" t="n">
        <f aca="false">IF(DR$4=0,0,IF(COUNTIFS(実績!$W$6:$W$505,DR$3,実績!$AI$6:$AI$505,"&lt;="&amp;$A258,実績!$AJ$6:$AJ$505,"&gt;"&amp;$A258,実績!$AK$6:$AK$505,"○")&gt;0,1,0))</f>
        <v>0</v>
      </c>
      <c r="DS258" s="39" t="n">
        <f aca="false">SUM(C258:DR258)</f>
        <v>0</v>
      </c>
      <c r="DT258" s="39" t="n">
        <f aca="false">SUMPRODUCT((実績!$C$6:$C$505="○")*ISNUMBER(実績!$AM$6:$AM$505)*(実績!$AM$6:$AM$505&lt;=$A258)*(実績!$AN$6:$AN$505&gt;$A258))</f>
        <v>0</v>
      </c>
      <c r="DU258" s="39" t="n">
        <f aca="false">SUMIF($C$2:$DR$2,"製鉄曳船",C258:DR258)</f>
        <v>0</v>
      </c>
      <c r="DV258" s="39" t="n">
        <f aca="false">SUMIF($C$2:$DR$2,"西日本海運",C258:DR258)</f>
        <v>0</v>
      </c>
    </row>
    <row r="259" customFormat="false" ht="15" hidden="false" customHeight="false" outlineLevel="0" collapsed="false">
      <c r="A259" s="0" t="n">
        <v>1265</v>
      </c>
      <c r="B259" s="38" t="n">
        <f aca="false">A259/1440</f>
        <v>0.878472222222222</v>
      </c>
      <c r="C259" s="39" t="n">
        <f aca="false">IF(C$4=0,0,IF(COUNTIFS(実績!$W$6:$W$505,C$3,実績!$AI$6:$AI$505,"&lt;="&amp;$A259,実績!$AJ$6:$AJ$505,"&gt;"&amp;$A259,実績!$AK$6:$AK$505,"○")&gt;0,1,0))</f>
        <v>0</v>
      </c>
      <c r="D259" s="39" t="n">
        <f aca="false">IF(D$4=0,0,IF(COUNTIFS(実績!$W$6:$W$505,D$3,実績!$AI$6:$AI$505,"&lt;="&amp;$A259,実績!$AJ$6:$AJ$505,"&gt;"&amp;$A259,実績!$AK$6:$AK$505,"○")&gt;0,1,0))</f>
        <v>0</v>
      </c>
      <c r="E259" s="39" t="n">
        <f aca="false">IF(E$4=0,0,IF(COUNTIFS(実績!$W$6:$W$505,E$3,実績!$AI$6:$AI$505,"&lt;="&amp;$A259,実績!$AJ$6:$AJ$505,"&gt;"&amp;$A259,実績!$AK$6:$AK$505,"○")&gt;0,1,0))</f>
        <v>0</v>
      </c>
      <c r="F259" s="39" t="n">
        <f aca="false">IF(F$4=0,0,IF(COUNTIFS(実績!$W$6:$W$505,F$3,実績!$AI$6:$AI$505,"&lt;="&amp;$A259,実績!$AJ$6:$AJ$505,"&gt;"&amp;$A259,実績!$AK$6:$AK$505,"○")&gt;0,1,0))</f>
        <v>0</v>
      </c>
      <c r="G259" s="39" t="n">
        <f aca="false">IF(G$4=0,0,IF(COUNTIFS(実績!$W$6:$W$505,G$3,実績!$AI$6:$AI$505,"&lt;="&amp;$A259,実績!$AJ$6:$AJ$505,"&gt;"&amp;$A259,実績!$AK$6:$AK$505,"○")&gt;0,1,0))</f>
        <v>0</v>
      </c>
      <c r="H259" s="39" t="n">
        <f aca="false">IF(H$4=0,0,IF(COUNTIFS(実績!$W$6:$W$505,H$3,実績!$AI$6:$AI$505,"&lt;="&amp;$A259,実績!$AJ$6:$AJ$505,"&gt;"&amp;$A259,実績!$AK$6:$AK$505,"○")&gt;0,1,0))</f>
        <v>0</v>
      </c>
      <c r="I259" s="39" t="n">
        <f aca="false">IF(I$4=0,0,IF(COUNTIFS(実績!$W$6:$W$505,I$3,実績!$AI$6:$AI$505,"&lt;="&amp;$A259,実績!$AJ$6:$AJ$505,"&gt;"&amp;$A259,実績!$AK$6:$AK$505,"○")&gt;0,1,0))</f>
        <v>0</v>
      </c>
      <c r="J259" s="39" t="n">
        <f aca="false">IF(J$4=0,0,IF(COUNTIFS(実績!$W$6:$W$505,J$3,実績!$AI$6:$AI$505,"&lt;="&amp;$A259,実績!$AJ$6:$AJ$505,"&gt;"&amp;$A259,実績!$AK$6:$AK$505,"○")&gt;0,1,0))</f>
        <v>0</v>
      </c>
      <c r="K259" s="39" t="n">
        <f aca="false">IF(K$4=0,0,IF(COUNTIFS(実績!$W$6:$W$505,K$3,実績!$AI$6:$AI$505,"&lt;="&amp;$A259,実績!$AJ$6:$AJ$505,"&gt;"&amp;$A259,実績!$AK$6:$AK$505,"○")&gt;0,1,0))</f>
        <v>0</v>
      </c>
      <c r="L259" s="39" t="n">
        <f aca="false">IF(L$4=0,0,IF(COUNTIFS(実績!$W$6:$W$505,L$3,実績!$AI$6:$AI$505,"&lt;="&amp;$A259,実績!$AJ$6:$AJ$505,"&gt;"&amp;$A259,実績!$AK$6:$AK$505,"○")&gt;0,1,0))</f>
        <v>0</v>
      </c>
      <c r="M259" s="39" t="n">
        <f aca="false">IF(M$4=0,0,IF(COUNTIFS(実績!$W$6:$W$505,M$3,実績!$AI$6:$AI$505,"&lt;="&amp;$A259,実績!$AJ$6:$AJ$505,"&gt;"&amp;$A259,実績!$AK$6:$AK$505,"○")&gt;0,1,0))</f>
        <v>0</v>
      </c>
      <c r="N259" s="39" t="n">
        <f aca="false">IF(N$4=0,0,IF(COUNTIFS(実績!$W$6:$W$505,N$3,実績!$AI$6:$AI$505,"&lt;="&amp;$A259,実績!$AJ$6:$AJ$505,"&gt;"&amp;$A259,実績!$AK$6:$AK$505,"○")&gt;0,1,0))</f>
        <v>0</v>
      </c>
      <c r="O259" s="39" t="n">
        <f aca="false">IF(O$4=0,0,IF(COUNTIFS(実績!$W$6:$W$505,O$3,実績!$AI$6:$AI$505,"&lt;="&amp;$A259,実績!$AJ$6:$AJ$505,"&gt;"&amp;$A259,実績!$AK$6:$AK$505,"○")&gt;0,1,0))</f>
        <v>0</v>
      </c>
      <c r="P259" s="39" t="n">
        <f aca="false">IF(P$4=0,0,IF(COUNTIFS(実績!$W$6:$W$505,P$3,実績!$AI$6:$AI$505,"&lt;="&amp;$A259,実績!$AJ$6:$AJ$505,"&gt;"&amp;$A259,実績!$AK$6:$AK$505,"○")&gt;0,1,0))</f>
        <v>0</v>
      </c>
      <c r="Q259" s="39" t="n">
        <f aca="false">IF(Q$4=0,0,IF(COUNTIFS(実績!$W$6:$W$505,Q$3,実績!$AI$6:$AI$505,"&lt;="&amp;$A259,実績!$AJ$6:$AJ$505,"&gt;"&amp;$A259,実績!$AK$6:$AK$505,"○")&gt;0,1,0))</f>
        <v>0</v>
      </c>
      <c r="R259" s="39" t="n">
        <f aca="false">IF(R$4=0,0,IF(COUNTIFS(実績!$W$6:$W$505,R$3,実績!$AI$6:$AI$505,"&lt;="&amp;$A259,実績!$AJ$6:$AJ$505,"&gt;"&amp;$A259,実績!$AK$6:$AK$505,"○")&gt;0,1,0))</f>
        <v>0</v>
      </c>
      <c r="S259" s="39" t="n">
        <f aca="false">IF(S$4=0,0,IF(COUNTIFS(実績!$W$6:$W$505,S$3,実績!$AI$6:$AI$505,"&lt;="&amp;$A259,実績!$AJ$6:$AJ$505,"&gt;"&amp;$A259,実績!$AK$6:$AK$505,"○")&gt;0,1,0))</f>
        <v>0</v>
      </c>
      <c r="T259" s="39" t="n">
        <f aca="false">IF(T$4=0,0,IF(COUNTIFS(実績!$W$6:$W$505,T$3,実績!$AI$6:$AI$505,"&lt;="&amp;$A259,実績!$AJ$6:$AJ$505,"&gt;"&amp;$A259,実績!$AK$6:$AK$505,"○")&gt;0,1,0))</f>
        <v>0</v>
      </c>
      <c r="U259" s="39" t="n">
        <f aca="false">IF(U$4=0,0,IF(COUNTIFS(実績!$W$6:$W$505,U$3,実績!$AI$6:$AI$505,"&lt;="&amp;$A259,実績!$AJ$6:$AJ$505,"&gt;"&amp;$A259,実績!$AK$6:$AK$505,"○")&gt;0,1,0))</f>
        <v>0</v>
      </c>
      <c r="V259" s="39" t="n">
        <f aca="false">IF(V$4=0,0,IF(COUNTIFS(実績!$W$6:$W$505,V$3,実績!$AI$6:$AI$505,"&lt;="&amp;$A259,実績!$AJ$6:$AJ$505,"&gt;"&amp;$A259,実績!$AK$6:$AK$505,"○")&gt;0,1,0))</f>
        <v>0</v>
      </c>
      <c r="W259" s="39" t="n">
        <f aca="false">IF(W$4=0,0,IF(COUNTIFS(実績!$W$6:$W$505,W$3,実績!$AI$6:$AI$505,"&lt;="&amp;$A259,実績!$AJ$6:$AJ$505,"&gt;"&amp;$A259,実績!$AK$6:$AK$505,"○")&gt;0,1,0))</f>
        <v>0</v>
      </c>
      <c r="X259" s="39" t="n">
        <f aca="false">IF(X$4=0,0,IF(COUNTIFS(実績!$W$6:$W$505,X$3,実績!$AI$6:$AI$505,"&lt;="&amp;$A259,実績!$AJ$6:$AJ$505,"&gt;"&amp;$A259,実績!$AK$6:$AK$505,"○")&gt;0,1,0))</f>
        <v>0</v>
      </c>
      <c r="Y259" s="39" t="n">
        <f aca="false">IF(Y$4=0,0,IF(COUNTIFS(実績!$W$6:$W$505,Y$3,実績!$AI$6:$AI$505,"&lt;="&amp;$A259,実績!$AJ$6:$AJ$505,"&gt;"&amp;$A259,実績!$AK$6:$AK$505,"○")&gt;0,1,0))</f>
        <v>0</v>
      </c>
      <c r="Z259" s="39" t="n">
        <f aca="false">IF(Z$4=0,0,IF(COUNTIFS(実績!$W$6:$W$505,Z$3,実績!$AI$6:$AI$505,"&lt;="&amp;$A259,実績!$AJ$6:$AJ$505,"&gt;"&amp;$A259,実績!$AK$6:$AK$505,"○")&gt;0,1,0))</f>
        <v>0</v>
      </c>
      <c r="AA259" s="39" t="n">
        <f aca="false">IF(AA$4=0,0,IF(COUNTIFS(実績!$W$6:$W$505,AA$3,実績!$AI$6:$AI$505,"&lt;="&amp;$A259,実績!$AJ$6:$AJ$505,"&gt;"&amp;$A259,実績!$AK$6:$AK$505,"○")&gt;0,1,0))</f>
        <v>0</v>
      </c>
      <c r="AB259" s="39" t="n">
        <f aca="false">IF(AB$4=0,0,IF(COUNTIFS(実績!$W$6:$W$505,AB$3,実績!$AI$6:$AI$505,"&lt;="&amp;$A259,実績!$AJ$6:$AJ$505,"&gt;"&amp;$A259,実績!$AK$6:$AK$505,"○")&gt;0,1,0))</f>
        <v>0</v>
      </c>
      <c r="AC259" s="39" t="n">
        <f aca="false">IF(AC$4=0,0,IF(COUNTIFS(実績!$W$6:$W$505,AC$3,実績!$AI$6:$AI$505,"&lt;="&amp;$A259,実績!$AJ$6:$AJ$505,"&gt;"&amp;$A259,実績!$AK$6:$AK$505,"○")&gt;0,1,0))</f>
        <v>0</v>
      </c>
      <c r="AD259" s="39" t="n">
        <f aca="false">IF(AD$4=0,0,IF(COUNTIFS(実績!$W$6:$W$505,AD$3,実績!$AI$6:$AI$505,"&lt;="&amp;$A259,実績!$AJ$6:$AJ$505,"&gt;"&amp;$A259,実績!$AK$6:$AK$505,"○")&gt;0,1,0))</f>
        <v>0</v>
      </c>
      <c r="AE259" s="39" t="n">
        <f aca="false">IF(AE$4=0,0,IF(COUNTIFS(実績!$W$6:$W$505,AE$3,実績!$AI$6:$AI$505,"&lt;="&amp;$A259,実績!$AJ$6:$AJ$505,"&gt;"&amp;$A259,実績!$AK$6:$AK$505,"○")&gt;0,1,0))</f>
        <v>0</v>
      </c>
      <c r="AF259" s="39" t="n">
        <f aca="false">IF(AF$4=0,0,IF(COUNTIFS(実績!$W$6:$W$505,AF$3,実績!$AI$6:$AI$505,"&lt;="&amp;$A259,実績!$AJ$6:$AJ$505,"&gt;"&amp;$A259,実績!$AK$6:$AK$505,"○")&gt;0,1,0))</f>
        <v>0</v>
      </c>
      <c r="AG259" s="39" t="n">
        <f aca="false">IF(AG$4=0,0,IF(COUNTIFS(実績!$W$6:$W$505,AG$3,実績!$AI$6:$AI$505,"&lt;="&amp;$A259,実績!$AJ$6:$AJ$505,"&gt;"&amp;$A259,実績!$AK$6:$AK$505,"○")&gt;0,1,0))</f>
        <v>0</v>
      </c>
      <c r="AH259" s="39" t="n">
        <f aca="false">IF(AH$4=0,0,IF(COUNTIFS(実績!$W$6:$W$505,AH$3,実績!$AI$6:$AI$505,"&lt;="&amp;$A259,実績!$AJ$6:$AJ$505,"&gt;"&amp;$A259,実績!$AK$6:$AK$505,"○")&gt;0,1,0))</f>
        <v>0</v>
      </c>
      <c r="AI259" s="39" t="n">
        <f aca="false">IF(AI$4=0,0,IF(COUNTIFS(実績!$W$6:$W$505,AI$3,実績!$AI$6:$AI$505,"&lt;="&amp;$A259,実績!$AJ$6:$AJ$505,"&gt;"&amp;$A259,実績!$AK$6:$AK$505,"○")&gt;0,1,0))</f>
        <v>0</v>
      </c>
      <c r="AJ259" s="39" t="n">
        <f aca="false">IF(AJ$4=0,0,IF(COUNTIFS(実績!$W$6:$W$505,AJ$3,実績!$AI$6:$AI$505,"&lt;="&amp;$A259,実績!$AJ$6:$AJ$505,"&gt;"&amp;$A259,実績!$AK$6:$AK$505,"○")&gt;0,1,0))</f>
        <v>0</v>
      </c>
      <c r="AK259" s="39" t="n">
        <f aca="false">IF(AK$4=0,0,IF(COUNTIFS(実績!$W$6:$W$505,AK$3,実績!$AI$6:$AI$505,"&lt;="&amp;$A259,実績!$AJ$6:$AJ$505,"&gt;"&amp;$A259,実績!$AK$6:$AK$505,"○")&gt;0,1,0))</f>
        <v>0</v>
      </c>
      <c r="AL259" s="39" t="n">
        <f aca="false">IF(AL$4=0,0,IF(COUNTIFS(実績!$W$6:$W$505,AL$3,実績!$AI$6:$AI$505,"&lt;="&amp;$A259,実績!$AJ$6:$AJ$505,"&gt;"&amp;$A259,実績!$AK$6:$AK$505,"○")&gt;0,1,0))</f>
        <v>0</v>
      </c>
      <c r="AM259" s="39" t="n">
        <f aca="false">IF(AM$4=0,0,IF(COUNTIFS(実績!$W$6:$W$505,AM$3,実績!$AI$6:$AI$505,"&lt;="&amp;$A259,実績!$AJ$6:$AJ$505,"&gt;"&amp;$A259,実績!$AK$6:$AK$505,"○")&gt;0,1,0))</f>
        <v>0</v>
      </c>
      <c r="AN259" s="39" t="n">
        <f aca="false">IF(AN$4=0,0,IF(COUNTIFS(実績!$W$6:$W$505,AN$3,実績!$AI$6:$AI$505,"&lt;="&amp;$A259,実績!$AJ$6:$AJ$505,"&gt;"&amp;$A259,実績!$AK$6:$AK$505,"○")&gt;0,1,0))</f>
        <v>0</v>
      </c>
      <c r="AO259" s="39" t="n">
        <f aca="false">IF(AO$4=0,0,IF(COUNTIFS(実績!$W$6:$W$505,AO$3,実績!$AI$6:$AI$505,"&lt;="&amp;$A259,実績!$AJ$6:$AJ$505,"&gt;"&amp;$A259,実績!$AK$6:$AK$505,"○")&gt;0,1,0))</f>
        <v>0</v>
      </c>
      <c r="AP259" s="39" t="n">
        <f aca="false">IF(AP$4=0,0,IF(COUNTIFS(実績!$W$6:$W$505,AP$3,実績!$AI$6:$AI$505,"&lt;="&amp;$A259,実績!$AJ$6:$AJ$505,"&gt;"&amp;$A259,実績!$AK$6:$AK$505,"○")&gt;0,1,0))</f>
        <v>0</v>
      </c>
      <c r="AQ259" s="39" t="n">
        <f aca="false">IF(AQ$4=0,0,IF(COUNTIFS(実績!$W$6:$W$505,AQ$3,実績!$AI$6:$AI$505,"&lt;="&amp;$A259,実績!$AJ$6:$AJ$505,"&gt;"&amp;$A259,実績!$AK$6:$AK$505,"○")&gt;0,1,0))</f>
        <v>0</v>
      </c>
      <c r="AR259" s="39" t="n">
        <f aca="false">IF(AR$4=0,0,IF(COUNTIFS(実績!$W$6:$W$505,AR$3,実績!$AI$6:$AI$505,"&lt;="&amp;$A259,実績!$AJ$6:$AJ$505,"&gt;"&amp;$A259,実績!$AK$6:$AK$505,"○")&gt;0,1,0))</f>
        <v>0</v>
      </c>
      <c r="AS259" s="39" t="n">
        <f aca="false">IF(AS$4=0,0,IF(COUNTIFS(実績!$W$6:$W$505,AS$3,実績!$AI$6:$AI$505,"&lt;="&amp;$A259,実績!$AJ$6:$AJ$505,"&gt;"&amp;$A259,実績!$AK$6:$AK$505,"○")&gt;0,1,0))</f>
        <v>0</v>
      </c>
      <c r="AT259" s="39" t="n">
        <f aca="false">IF(AT$4=0,0,IF(COUNTIFS(実績!$W$6:$W$505,AT$3,実績!$AI$6:$AI$505,"&lt;="&amp;$A259,実績!$AJ$6:$AJ$505,"&gt;"&amp;$A259,実績!$AK$6:$AK$505,"○")&gt;0,1,0))</f>
        <v>0</v>
      </c>
      <c r="AU259" s="39" t="n">
        <f aca="false">IF(AU$4=0,0,IF(COUNTIFS(実績!$W$6:$W$505,AU$3,実績!$AI$6:$AI$505,"&lt;="&amp;$A259,実績!$AJ$6:$AJ$505,"&gt;"&amp;$A259,実績!$AK$6:$AK$505,"○")&gt;0,1,0))</f>
        <v>0</v>
      </c>
      <c r="AV259" s="39" t="n">
        <f aca="false">IF(AV$4=0,0,IF(COUNTIFS(実績!$W$6:$W$505,AV$3,実績!$AI$6:$AI$505,"&lt;="&amp;$A259,実績!$AJ$6:$AJ$505,"&gt;"&amp;$A259,実績!$AK$6:$AK$505,"○")&gt;0,1,0))</f>
        <v>0</v>
      </c>
      <c r="AW259" s="39" t="n">
        <f aca="false">IF(AW$4=0,0,IF(COUNTIFS(実績!$W$6:$W$505,AW$3,実績!$AI$6:$AI$505,"&lt;="&amp;$A259,実績!$AJ$6:$AJ$505,"&gt;"&amp;$A259,実績!$AK$6:$AK$505,"○")&gt;0,1,0))</f>
        <v>0</v>
      </c>
      <c r="AX259" s="39" t="n">
        <f aca="false">IF(AX$4=0,0,IF(COUNTIFS(実績!$W$6:$W$505,AX$3,実績!$AI$6:$AI$505,"&lt;="&amp;$A259,実績!$AJ$6:$AJ$505,"&gt;"&amp;$A259,実績!$AK$6:$AK$505,"○")&gt;0,1,0))</f>
        <v>0</v>
      </c>
      <c r="AY259" s="39" t="n">
        <f aca="false">IF(AY$4=0,0,IF(COUNTIFS(実績!$W$6:$W$505,AY$3,実績!$AI$6:$AI$505,"&lt;="&amp;$A259,実績!$AJ$6:$AJ$505,"&gt;"&amp;$A259,実績!$AK$6:$AK$505,"○")&gt;0,1,0))</f>
        <v>0</v>
      </c>
      <c r="AZ259" s="39" t="n">
        <f aca="false">IF(AZ$4=0,0,IF(COUNTIFS(実績!$W$6:$W$505,AZ$3,実績!$AI$6:$AI$505,"&lt;="&amp;$A259,実績!$AJ$6:$AJ$505,"&gt;"&amp;$A259,実績!$AK$6:$AK$505,"○")&gt;0,1,0))</f>
        <v>0</v>
      </c>
      <c r="BA259" s="39" t="n">
        <f aca="false">IF(BA$4=0,0,IF(COUNTIFS(実績!$W$6:$W$505,BA$3,実績!$AI$6:$AI$505,"&lt;="&amp;$A259,実績!$AJ$6:$AJ$505,"&gt;"&amp;$A259,実績!$AK$6:$AK$505,"○")&gt;0,1,0))</f>
        <v>0</v>
      </c>
      <c r="BB259" s="39" t="n">
        <f aca="false">IF(BB$4=0,0,IF(COUNTIFS(実績!$W$6:$W$505,BB$3,実績!$AI$6:$AI$505,"&lt;="&amp;$A259,実績!$AJ$6:$AJ$505,"&gt;"&amp;$A259,実績!$AK$6:$AK$505,"○")&gt;0,1,0))</f>
        <v>0</v>
      </c>
      <c r="BC259" s="39" t="n">
        <f aca="false">IF(BC$4=0,0,IF(COUNTIFS(実績!$W$6:$W$505,BC$3,実績!$AI$6:$AI$505,"&lt;="&amp;$A259,実績!$AJ$6:$AJ$505,"&gt;"&amp;$A259,実績!$AK$6:$AK$505,"○")&gt;0,1,0))</f>
        <v>0</v>
      </c>
      <c r="BD259" s="39" t="n">
        <f aca="false">IF(BD$4=0,0,IF(COUNTIFS(実績!$W$6:$W$505,BD$3,実績!$AI$6:$AI$505,"&lt;="&amp;$A259,実績!$AJ$6:$AJ$505,"&gt;"&amp;$A259,実績!$AK$6:$AK$505,"○")&gt;0,1,0))</f>
        <v>0</v>
      </c>
      <c r="BE259" s="39" t="n">
        <f aca="false">IF(BE$4=0,0,IF(COUNTIFS(実績!$W$6:$W$505,BE$3,実績!$AI$6:$AI$505,"&lt;="&amp;$A259,実績!$AJ$6:$AJ$505,"&gt;"&amp;$A259,実績!$AK$6:$AK$505,"○")&gt;0,1,0))</f>
        <v>0</v>
      </c>
      <c r="BF259" s="39" t="n">
        <f aca="false">IF(BF$4=0,0,IF(COUNTIFS(実績!$W$6:$W$505,BF$3,実績!$AI$6:$AI$505,"&lt;="&amp;$A259,実績!$AJ$6:$AJ$505,"&gt;"&amp;$A259,実績!$AK$6:$AK$505,"○")&gt;0,1,0))</f>
        <v>0</v>
      </c>
      <c r="BG259" s="39" t="n">
        <f aca="false">IF(BG$4=0,0,IF(COUNTIFS(実績!$W$6:$W$505,BG$3,実績!$AI$6:$AI$505,"&lt;="&amp;$A259,実績!$AJ$6:$AJ$505,"&gt;"&amp;$A259,実績!$AK$6:$AK$505,"○")&gt;0,1,0))</f>
        <v>0</v>
      </c>
      <c r="BH259" s="39" t="n">
        <f aca="false">IF(BH$4=0,0,IF(COUNTIFS(実績!$W$6:$W$505,BH$3,実績!$AI$6:$AI$505,"&lt;="&amp;$A259,実績!$AJ$6:$AJ$505,"&gt;"&amp;$A259,実績!$AK$6:$AK$505,"○")&gt;0,1,0))</f>
        <v>0</v>
      </c>
      <c r="BI259" s="39" t="n">
        <f aca="false">IF(BI$4=0,0,IF(COUNTIFS(実績!$W$6:$W$505,BI$3,実績!$AI$6:$AI$505,"&lt;="&amp;$A259,実績!$AJ$6:$AJ$505,"&gt;"&amp;$A259,実績!$AK$6:$AK$505,"○")&gt;0,1,0))</f>
        <v>0</v>
      </c>
      <c r="BJ259" s="39" t="n">
        <f aca="false">IF(BJ$4=0,0,IF(COUNTIFS(実績!$W$6:$W$505,BJ$3,実績!$AI$6:$AI$505,"&lt;="&amp;$A259,実績!$AJ$6:$AJ$505,"&gt;"&amp;$A259,実績!$AK$6:$AK$505,"○")&gt;0,1,0))</f>
        <v>0</v>
      </c>
      <c r="BK259" s="39" t="n">
        <f aca="false">IF(BK$4=0,0,IF(COUNTIFS(実績!$W$6:$W$505,BK$3,実績!$AI$6:$AI$505,"&lt;="&amp;$A259,実績!$AJ$6:$AJ$505,"&gt;"&amp;$A259,実績!$AK$6:$AK$505,"○")&gt;0,1,0))</f>
        <v>0</v>
      </c>
      <c r="BL259" s="39" t="n">
        <f aca="false">IF(BL$4=0,0,IF(COUNTIFS(実績!$W$6:$W$505,BL$3,実績!$AI$6:$AI$505,"&lt;="&amp;$A259,実績!$AJ$6:$AJ$505,"&gt;"&amp;$A259,実績!$AK$6:$AK$505,"○")&gt;0,1,0))</f>
        <v>0</v>
      </c>
      <c r="BM259" s="39" t="n">
        <f aca="false">IF(BM$4=0,0,IF(COUNTIFS(実績!$W$6:$W$505,BM$3,実績!$AI$6:$AI$505,"&lt;="&amp;$A259,実績!$AJ$6:$AJ$505,"&gt;"&amp;$A259,実績!$AK$6:$AK$505,"○")&gt;0,1,0))</f>
        <v>0</v>
      </c>
      <c r="BN259" s="39" t="n">
        <f aca="false">IF(BN$4=0,0,IF(COUNTIFS(実績!$W$6:$W$505,BN$3,実績!$AI$6:$AI$505,"&lt;="&amp;$A259,実績!$AJ$6:$AJ$505,"&gt;"&amp;$A259,実績!$AK$6:$AK$505,"○")&gt;0,1,0))</f>
        <v>0</v>
      </c>
      <c r="BO259" s="39" t="n">
        <f aca="false">IF(BO$4=0,0,IF(COUNTIFS(実績!$W$6:$W$505,BO$3,実績!$AI$6:$AI$505,"&lt;="&amp;$A259,実績!$AJ$6:$AJ$505,"&gt;"&amp;$A259,実績!$AK$6:$AK$505,"○")&gt;0,1,0))</f>
        <v>0</v>
      </c>
      <c r="BP259" s="39" t="n">
        <f aca="false">IF(BP$4=0,0,IF(COUNTIFS(実績!$W$6:$W$505,BP$3,実績!$AI$6:$AI$505,"&lt;="&amp;$A259,実績!$AJ$6:$AJ$505,"&gt;"&amp;$A259,実績!$AK$6:$AK$505,"○")&gt;0,1,0))</f>
        <v>0</v>
      </c>
      <c r="BQ259" s="39" t="n">
        <f aca="false">IF(BQ$4=0,0,IF(COUNTIFS(実績!$W$6:$W$505,BQ$3,実績!$AI$6:$AI$505,"&lt;="&amp;$A259,実績!$AJ$6:$AJ$505,"&gt;"&amp;$A259,実績!$AK$6:$AK$505,"○")&gt;0,1,0))</f>
        <v>0</v>
      </c>
      <c r="BR259" s="39" t="n">
        <f aca="false">IF(BR$4=0,0,IF(COUNTIFS(実績!$W$6:$W$505,BR$3,実績!$AI$6:$AI$505,"&lt;="&amp;$A259,実績!$AJ$6:$AJ$505,"&gt;"&amp;$A259,実績!$AK$6:$AK$505,"○")&gt;0,1,0))</f>
        <v>0</v>
      </c>
      <c r="BS259" s="39" t="n">
        <f aca="false">IF(BS$4=0,0,IF(COUNTIFS(実績!$W$6:$W$505,BS$3,実績!$AI$6:$AI$505,"&lt;="&amp;$A259,実績!$AJ$6:$AJ$505,"&gt;"&amp;$A259,実績!$AK$6:$AK$505,"○")&gt;0,1,0))</f>
        <v>0</v>
      </c>
      <c r="BT259" s="39" t="n">
        <f aca="false">IF(BT$4=0,0,IF(COUNTIFS(実績!$W$6:$W$505,BT$3,実績!$AI$6:$AI$505,"&lt;="&amp;$A259,実績!$AJ$6:$AJ$505,"&gt;"&amp;$A259,実績!$AK$6:$AK$505,"○")&gt;0,1,0))</f>
        <v>0</v>
      </c>
      <c r="BU259" s="39" t="n">
        <f aca="false">IF(BU$4=0,0,IF(COUNTIFS(実績!$W$6:$W$505,BU$3,実績!$AI$6:$AI$505,"&lt;="&amp;$A259,実績!$AJ$6:$AJ$505,"&gt;"&amp;$A259,実績!$AK$6:$AK$505,"○")&gt;0,1,0))</f>
        <v>0</v>
      </c>
      <c r="BV259" s="39" t="n">
        <f aca="false">IF(BV$4=0,0,IF(COUNTIFS(実績!$W$6:$W$505,BV$3,実績!$AI$6:$AI$505,"&lt;="&amp;$A259,実績!$AJ$6:$AJ$505,"&gt;"&amp;$A259,実績!$AK$6:$AK$505,"○")&gt;0,1,0))</f>
        <v>0</v>
      </c>
      <c r="BW259" s="39" t="n">
        <f aca="false">IF(BW$4=0,0,IF(COUNTIFS(実績!$W$6:$W$505,BW$3,実績!$AI$6:$AI$505,"&lt;="&amp;$A259,実績!$AJ$6:$AJ$505,"&gt;"&amp;$A259,実績!$AK$6:$AK$505,"○")&gt;0,1,0))</f>
        <v>0</v>
      </c>
      <c r="BX259" s="39" t="n">
        <f aca="false">IF(BX$4=0,0,IF(COUNTIFS(実績!$W$6:$W$505,BX$3,実績!$AI$6:$AI$505,"&lt;="&amp;$A259,実績!$AJ$6:$AJ$505,"&gt;"&amp;$A259,実績!$AK$6:$AK$505,"○")&gt;0,1,0))</f>
        <v>0</v>
      </c>
      <c r="BY259" s="39" t="n">
        <f aca="false">IF(BY$4=0,0,IF(COUNTIFS(実績!$W$6:$W$505,BY$3,実績!$AI$6:$AI$505,"&lt;="&amp;$A259,実績!$AJ$6:$AJ$505,"&gt;"&amp;$A259,実績!$AK$6:$AK$505,"○")&gt;0,1,0))</f>
        <v>0</v>
      </c>
      <c r="BZ259" s="39" t="n">
        <f aca="false">IF(BZ$4=0,0,IF(COUNTIFS(実績!$W$6:$W$505,BZ$3,実績!$AI$6:$AI$505,"&lt;="&amp;$A259,実績!$AJ$6:$AJ$505,"&gt;"&amp;$A259,実績!$AK$6:$AK$505,"○")&gt;0,1,0))</f>
        <v>0</v>
      </c>
      <c r="CA259" s="39" t="n">
        <f aca="false">IF(CA$4=0,0,IF(COUNTIFS(実績!$W$6:$W$505,CA$3,実績!$AI$6:$AI$505,"&lt;="&amp;$A259,実績!$AJ$6:$AJ$505,"&gt;"&amp;$A259,実績!$AK$6:$AK$505,"○")&gt;0,1,0))</f>
        <v>0</v>
      </c>
      <c r="CB259" s="39" t="n">
        <f aca="false">IF(CB$4=0,0,IF(COUNTIFS(実績!$W$6:$W$505,CB$3,実績!$AI$6:$AI$505,"&lt;="&amp;$A259,実績!$AJ$6:$AJ$505,"&gt;"&amp;$A259,実績!$AK$6:$AK$505,"○")&gt;0,1,0))</f>
        <v>0</v>
      </c>
      <c r="CC259" s="39" t="n">
        <f aca="false">IF(CC$4=0,0,IF(COUNTIFS(実績!$W$6:$W$505,CC$3,実績!$AI$6:$AI$505,"&lt;="&amp;$A259,実績!$AJ$6:$AJ$505,"&gt;"&amp;$A259,実績!$AK$6:$AK$505,"○")&gt;0,1,0))</f>
        <v>0</v>
      </c>
      <c r="CD259" s="39" t="n">
        <f aca="false">IF(CD$4=0,0,IF(COUNTIFS(実績!$W$6:$W$505,CD$3,実績!$AI$6:$AI$505,"&lt;="&amp;$A259,実績!$AJ$6:$AJ$505,"&gt;"&amp;$A259,実績!$AK$6:$AK$505,"○")&gt;0,1,0))</f>
        <v>0</v>
      </c>
      <c r="CE259" s="39" t="n">
        <f aca="false">IF(CE$4=0,0,IF(COUNTIFS(実績!$W$6:$W$505,CE$3,実績!$AI$6:$AI$505,"&lt;="&amp;$A259,実績!$AJ$6:$AJ$505,"&gt;"&amp;$A259,実績!$AK$6:$AK$505,"○")&gt;0,1,0))</f>
        <v>0</v>
      </c>
      <c r="CF259" s="39" t="n">
        <f aca="false">IF(CF$4=0,0,IF(COUNTIFS(実績!$W$6:$W$505,CF$3,実績!$AI$6:$AI$505,"&lt;="&amp;$A259,実績!$AJ$6:$AJ$505,"&gt;"&amp;$A259,実績!$AK$6:$AK$505,"○")&gt;0,1,0))</f>
        <v>0</v>
      </c>
      <c r="CG259" s="39" t="n">
        <f aca="false">IF(CG$4=0,0,IF(COUNTIFS(実績!$W$6:$W$505,CG$3,実績!$AI$6:$AI$505,"&lt;="&amp;$A259,実績!$AJ$6:$AJ$505,"&gt;"&amp;$A259,実績!$AK$6:$AK$505,"○")&gt;0,1,0))</f>
        <v>0</v>
      </c>
      <c r="CH259" s="39" t="n">
        <f aca="false">IF(CH$4=0,0,IF(COUNTIFS(実績!$W$6:$W$505,CH$3,実績!$AI$6:$AI$505,"&lt;="&amp;$A259,実績!$AJ$6:$AJ$505,"&gt;"&amp;$A259,実績!$AK$6:$AK$505,"○")&gt;0,1,0))</f>
        <v>0</v>
      </c>
      <c r="CI259" s="39" t="n">
        <f aca="false">IF(CI$4=0,0,IF(COUNTIFS(実績!$W$6:$W$505,CI$3,実績!$AI$6:$AI$505,"&lt;="&amp;$A259,実績!$AJ$6:$AJ$505,"&gt;"&amp;$A259,実績!$AK$6:$AK$505,"○")&gt;0,1,0))</f>
        <v>0</v>
      </c>
      <c r="CJ259" s="39" t="n">
        <f aca="false">IF(CJ$4=0,0,IF(COUNTIFS(実績!$W$6:$W$505,CJ$3,実績!$AI$6:$AI$505,"&lt;="&amp;$A259,実績!$AJ$6:$AJ$505,"&gt;"&amp;$A259,実績!$AK$6:$AK$505,"○")&gt;0,1,0))</f>
        <v>0</v>
      </c>
      <c r="CK259" s="39" t="n">
        <f aca="false">IF(CK$4=0,0,IF(COUNTIFS(実績!$W$6:$W$505,CK$3,実績!$AI$6:$AI$505,"&lt;="&amp;$A259,実績!$AJ$6:$AJ$505,"&gt;"&amp;$A259,実績!$AK$6:$AK$505,"○")&gt;0,1,0))</f>
        <v>0</v>
      </c>
      <c r="CL259" s="39" t="n">
        <f aca="false">IF(CL$4=0,0,IF(COUNTIFS(実績!$W$6:$W$505,CL$3,実績!$AI$6:$AI$505,"&lt;="&amp;$A259,実績!$AJ$6:$AJ$505,"&gt;"&amp;$A259,実績!$AK$6:$AK$505,"○")&gt;0,1,0))</f>
        <v>0</v>
      </c>
      <c r="CM259" s="39" t="n">
        <f aca="false">IF(CM$4=0,0,IF(COUNTIFS(実績!$W$6:$W$505,CM$3,実績!$AI$6:$AI$505,"&lt;="&amp;$A259,実績!$AJ$6:$AJ$505,"&gt;"&amp;$A259,実績!$AK$6:$AK$505,"○")&gt;0,1,0))</f>
        <v>0</v>
      </c>
      <c r="CN259" s="39" t="n">
        <f aca="false">IF(CN$4=0,0,IF(COUNTIFS(実績!$W$6:$W$505,CN$3,実績!$AI$6:$AI$505,"&lt;="&amp;$A259,実績!$AJ$6:$AJ$505,"&gt;"&amp;$A259,実績!$AK$6:$AK$505,"○")&gt;0,1,0))</f>
        <v>0</v>
      </c>
      <c r="CO259" s="39" t="n">
        <f aca="false">IF(CO$4=0,0,IF(COUNTIFS(実績!$W$6:$W$505,CO$3,実績!$AI$6:$AI$505,"&lt;="&amp;$A259,実績!$AJ$6:$AJ$505,"&gt;"&amp;$A259,実績!$AK$6:$AK$505,"○")&gt;0,1,0))</f>
        <v>0</v>
      </c>
      <c r="CP259" s="39" t="n">
        <f aca="false">IF(CP$4=0,0,IF(COUNTIFS(実績!$W$6:$W$505,CP$3,実績!$AI$6:$AI$505,"&lt;="&amp;$A259,実績!$AJ$6:$AJ$505,"&gt;"&amp;$A259,実績!$AK$6:$AK$505,"○")&gt;0,1,0))</f>
        <v>0</v>
      </c>
      <c r="CQ259" s="39" t="n">
        <f aca="false">IF(CQ$4=0,0,IF(COUNTIFS(実績!$W$6:$W$505,CQ$3,実績!$AI$6:$AI$505,"&lt;="&amp;$A259,実績!$AJ$6:$AJ$505,"&gt;"&amp;$A259,実績!$AK$6:$AK$505,"○")&gt;0,1,0))</f>
        <v>0</v>
      </c>
      <c r="CR259" s="39" t="n">
        <f aca="false">IF(CR$4=0,0,IF(COUNTIFS(実績!$W$6:$W$505,CR$3,実績!$AI$6:$AI$505,"&lt;="&amp;$A259,実績!$AJ$6:$AJ$505,"&gt;"&amp;$A259,実績!$AK$6:$AK$505,"○")&gt;0,1,0))</f>
        <v>0</v>
      </c>
      <c r="CS259" s="39" t="n">
        <f aca="false">IF(CS$4=0,0,IF(COUNTIFS(実績!$W$6:$W$505,CS$3,実績!$AI$6:$AI$505,"&lt;="&amp;$A259,実績!$AJ$6:$AJ$505,"&gt;"&amp;$A259,実績!$AK$6:$AK$505,"○")&gt;0,1,0))</f>
        <v>0</v>
      </c>
      <c r="CT259" s="39" t="n">
        <f aca="false">IF(CT$4=0,0,IF(COUNTIFS(実績!$W$6:$W$505,CT$3,実績!$AI$6:$AI$505,"&lt;="&amp;$A259,実績!$AJ$6:$AJ$505,"&gt;"&amp;$A259,実績!$AK$6:$AK$505,"○")&gt;0,1,0))</f>
        <v>0</v>
      </c>
      <c r="CU259" s="39" t="n">
        <f aca="false">IF(CU$4=0,0,IF(COUNTIFS(実績!$W$6:$W$505,CU$3,実績!$AI$6:$AI$505,"&lt;="&amp;$A259,実績!$AJ$6:$AJ$505,"&gt;"&amp;$A259,実績!$AK$6:$AK$505,"○")&gt;0,1,0))</f>
        <v>0</v>
      </c>
      <c r="CV259" s="39" t="n">
        <f aca="false">IF(CV$4=0,0,IF(COUNTIFS(実績!$W$6:$W$505,CV$3,実績!$AI$6:$AI$505,"&lt;="&amp;$A259,実績!$AJ$6:$AJ$505,"&gt;"&amp;$A259,実績!$AK$6:$AK$505,"○")&gt;0,1,0))</f>
        <v>0</v>
      </c>
      <c r="CW259" s="39" t="n">
        <f aca="false">IF(CW$4=0,0,IF(COUNTIFS(実績!$W$6:$W$505,CW$3,実績!$AI$6:$AI$505,"&lt;="&amp;$A259,実績!$AJ$6:$AJ$505,"&gt;"&amp;$A259,実績!$AK$6:$AK$505,"○")&gt;0,1,0))</f>
        <v>0</v>
      </c>
      <c r="CX259" s="39" t="n">
        <f aca="false">IF(CX$4=0,0,IF(COUNTIFS(実績!$W$6:$W$505,CX$3,実績!$AI$6:$AI$505,"&lt;="&amp;$A259,実績!$AJ$6:$AJ$505,"&gt;"&amp;$A259,実績!$AK$6:$AK$505,"○")&gt;0,1,0))</f>
        <v>0</v>
      </c>
      <c r="CY259" s="39" t="n">
        <f aca="false">IF(CY$4=0,0,IF(COUNTIFS(実績!$W$6:$W$505,CY$3,実績!$AI$6:$AI$505,"&lt;="&amp;$A259,実績!$AJ$6:$AJ$505,"&gt;"&amp;$A259,実績!$AK$6:$AK$505,"○")&gt;0,1,0))</f>
        <v>0</v>
      </c>
      <c r="CZ259" s="39" t="n">
        <f aca="false">IF(CZ$4=0,0,IF(COUNTIFS(実績!$W$6:$W$505,CZ$3,実績!$AI$6:$AI$505,"&lt;="&amp;$A259,実績!$AJ$6:$AJ$505,"&gt;"&amp;$A259,実績!$AK$6:$AK$505,"○")&gt;0,1,0))</f>
        <v>0</v>
      </c>
      <c r="DA259" s="39" t="n">
        <f aca="false">IF(DA$4=0,0,IF(COUNTIFS(実績!$W$6:$W$505,DA$3,実績!$AI$6:$AI$505,"&lt;="&amp;$A259,実績!$AJ$6:$AJ$505,"&gt;"&amp;$A259,実績!$AK$6:$AK$505,"○")&gt;0,1,0))</f>
        <v>0</v>
      </c>
      <c r="DB259" s="39" t="n">
        <f aca="false">IF(DB$4=0,0,IF(COUNTIFS(実績!$W$6:$W$505,DB$3,実績!$AI$6:$AI$505,"&lt;="&amp;$A259,実績!$AJ$6:$AJ$505,"&gt;"&amp;$A259,実績!$AK$6:$AK$505,"○")&gt;0,1,0))</f>
        <v>0</v>
      </c>
      <c r="DC259" s="39" t="n">
        <f aca="false">IF(DC$4=0,0,IF(COUNTIFS(実績!$W$6:$W$505,DC$3,実績!$AI$6:$AI$505,"&lt;="&amp;$A259,実績!$AJ$6:$AJ$505,"&gt;"&amp;$A259,実績!$AK$6:$AK$505,"○")&gt;0,1,0))</f>
        <v>0</v>
      </c>
      <c r="DD259" s="39" t="n">
        <f aca="false">IF(DD$4=0,0,IF(COUNTIFS(実績!$W$6:$W$505,DD$3,実績!$AI$6:$AI$505,"&lt;="&amp;$A259,実績!$AJ$6:$AJ$505,"&gt;"&amp;$A259,実績!$AK$6:$AK$505,"○")&gt;0,1,0))</f>
        <v>0</v>
      </c>
      <c r="DE259" s="39" t="n">
        <f aca="false">IF(DE$4=0,0,IF(COUNTIFS(実績!$W$6:$W$505,DE$3,実績!$AI$6:$AI$505,"&lt;="&amp;$A259,実績!$AJ$6:$AJ$505,"&gt;"&amp;$A259,実績!$AK$6:$AK$505,"○")&gt;0,1,0))</f>
        <v>0</v>
      </c>
      <c r="DF259" s="39" t="n">
        <f aca="false">IF(DF$4=0,0,IF(COUNTIFS(実績!$W$6:$W$505,DF$3,実績!$AI$6:$AI$505,"&lt;="&amp;$A259,実績!$AJ$6:$AJ$505,"&gt;"&amp;$A259,実績!$AK$6:$AK$505,"○")&gt;0,1,0))</f>
        <v>0</v>
      </c>
      <c r="DG259" s="39" t="n">
        <f aca="false">IF(DG$4=0,0,IF(COUNTIFS(実績!$W$6:$W$505,DG$3,実績!$AI$6:$AI$505,"&lt;="&amp;$A259,実績!$AJ$6:$AJ$505,"&gt;"&amp;$A259,実績!$AK$6:$AK$505,"○")&gt;0,1,0))</f>
        <v>0</v>
      </c>
      <c r="DH259" s="39" t="n">
        <f aca="false">IF(DH$4=0,0,IF(COUNTIFS(実績!$W$6:$W$505,DH$3,実績!$AI$6:$AI$505,"&lt;="&amp;$A259,実績!$AJ$6:$AJ$505,"&gt;"&amp;$A259,実績!$AK$6:$AK$505,"○")&gt;0,1,0))</f>
        <v>0</v>
      </c>
      <c r="DI259" s="39" t="n">
        <f aca="false">IF(DI$4=0,0,IF(COUNTIFS(実績!$W$6:$W$505,DI$3,実績!$AI$6:$AI$505,"&lt;="&amp;$A259,実績!$AJ$6:$AJ$505,"&gt;"&amp;$A259,実績!$AK$6:$AK$505,"○")&gt;0,1,0))</f>
        <v>0</v>
      </c>
      <c r="DJ259" s="39" t="n">
        <f aca="false">IF(DJ$4=0,0,IF(COUNTIFS(実績!$W$6:$W$505,DJ$3,実績!$AI$6:$AI$505,"&lt;="&amp;$A259,実績!$AJ$6:$AJ$505,"&gt;"&amp;$A259,実績!$AK$6:$AK$505,"○")&gt;0,1,0))</f>
        <v>0</v>
      </c>
      <c r="DK259" s="39" t="n">
        <f aca="false">IF(DK$4=0,0,IF(COUNTIFS(実績!$W$6:$W$505,DK$3,実績!$AI$6:$AI$505,"&lt;="&amp;$A259,実績!$AJ$6:$AJ$505,"&gt;"&amp;$A259,実績!$AK$6:$AK$505,"○")&gt;0,1,0))</f>
        <v>0</v>
      </c>
      <c r="DL259" s="39" t="n">
        <f aca="false">IF(DL$4=0,0,IF(COUNTIFS(実績!$W$6:$W$505,DL$3,実績!$AI$6:$AI$505,"&lt;="&amp;$A259,実績!$AJ$6:$AJ$505,"&gt;"&amp;$A259,実績!$AK$6:$AK$505,"○")&gt;0,1,0))</f>
        <v>0</v>
      </c>
      <c r="DM259" s="39" t="n">
        <f aca="false">IF(DM$4=0,0,IF(COUNTIFS(実績!$W$6:$W$505,DM$3,実績!$AI$6:$AI$505,"&lt;="&amp;$A259,実績!$AJ$6:$AJ$505,"&gt;"&amp;$A259,実績!$AK$6:$AK$505,"○")&gt;0,1,0))</f>
        <v>0</v>
      </c>
      <c r="DN259" s="39" t="n">
        <f aca="false">IF(DN$4=0,0,IF(COUNTIFS(実績!$W$6:$W$505,DN$3,実績!$AI$6:$AI$505,"&lt;="&amp;$A259,実績!$AJ$6:$AJ$505,"&gt;"&amp;$A259,実績!$AK$6:$AK$505,"○")&gt;0,1,0))</f>
        <v>0</v>
      </c>
      <c r="DO259" s="39" t="n">
        <f aca="false">IF(DO$4=0,0,IF(COUNTIFS(実績!$W$6:$W$505,DO$3,実績!$AI$6:$AI$505,"&lt;="&amp;$A259,実績!$AJ$6:$AJ$505,"&gt;"&amp;$A259,実績!$AK$6:$AK$505,"○")&gt;0,1,0))</f>
        <v>0</v>
      </c>
      <c r="DP259" s="39" t="n">
        <f aca="false">IF(DP$4=0,0,IF(COUNTIFS(実績!$W$6:$W$505,DP$3,実績!$AI$6:$AI$505,"&lt;="&amp;$A259,実績!$AJ$6:$AJ$505,"&gt;"&amp;$A259,実績!$AK$6:$AK$505,"○")&gt;0,1,0))</f>
        <v>0</v>
      </c>
      <c r="DQ259" s="39" t="n">
        <f aca="false">IF(DQ$4=0,0,IF(COUNTIFS(実績!$W$6:$W$505,DQ$3,実績!$AI$6:$AI$505,"&lt;="&amp;$A259,実績!$AJ$6:$AJ$505,"&gt;"&amp;$A259,実績!$AK$6:$AK$505,"○")&gt;0,1,0))</f>
        <v>0</v>
      </c>
      <c r="DR259" s="39" t="n">
        <f aca="false">IF(DR$4=0,0,IF(COUNTIFS(実績!$W$6:$W$505,DR$3,実績!$AI$6:$AI$505,"&lt;="&amp;$A259,実績!$AJ$6:$AJ$505,"&gt;"&amp;$A259,実績!$AK$6:$AK$505,"○")&gt;0,1,0))</f>
        <v>0</v>
      </c>
      <c r="DS259" s="39" t="n">
        <f aca="false">SUM(C259:DR259)</f>
        <v>0</v>
      </c>
      <c r="DT259" s="39" t="n">
        <f aca="false">SUMPRODUCT((実績!$C$6:$C$505="○")*ISNUMBER(実績!$AM$6:$AM$505)*(実績!$AM$6:$AM$505&lt;=$A259)*(実績!$AN$6:$AN$505&gt;$A259))</f>
        <v>0</v>
      </c>
      <c r="DU259" s="39" t="n">
        <f aca="false">SUMIF($C$2:$DR$2,"製鉄曳船",C259:DR259)</f>
        <v>0</v>
      </c>
      <c r="DV259" s="39" t="n">
        <f aca="false">SUMIF($C$2:$DR$2,"西日本海運",C259:DR259)</f>
        <v>0</v>
      </c>
    </row>
    <row r="260" customFormat="false" ht="15" hidden="false" customHeight="false" outlineLevel="0" collapsed="false">
      <c r="A260" s="0" t="n">
        <v>1270</v>
      </c>
      <c r="B260" s="38" t="n">
        <f aca="false">A260/1440</f>
        <v>0.881944444444444</v>
      </c>
      <c r="C260" s="39" t="n">
        <f aca="false">IF(C$4=0,0,IF(COUNTIFS(実績!$W$6:$W$505,C$3,実績!$AI$6:$AI$505,"&lt;="&amp;$A260,実績!$AJ$6:$AJ$505,"&gt;"&amp;$A260,実績!$AK$6:$AK$505,"○")&gt;0,1,0))</f>
        <v>0</v>
      </c>
      <c r="D260" s="39" t="n">
        <f aca="false">IF(D$4=0,0,IF(COUNTIFS(実績!$W$6:$W$505,D$3,実績!$AI$6:$AI$505,"&lt;="&amp;$A260,実績!$AJ$6:$AJ$505,"&gt;"&amp;$A260,実績!$AK$6:$AK$505,"○")&gt;0,1,0))</f>
        <v>0</v>
      </c>
      <c r="E260" s="39" t="n">
        <f aca="false">IF(E$4=0,0,IF(COUNTIFS(実績!$W$6:$W$505,E$3,実績!$AI$6:$AI$505,"&lt;="&amp;$A260,実績!$AJ$6:$AJ$505,"&gt;"&amp;$A260,実績!$AK$6:$AK$505,"○")&gt;0,1,0))</f>
        <v>0</v>
      </c>
      <c r="F260" s="39" t="n">
        <f aca="false">IF(F$4=0,0,IF(COUNTIFS(実績!$W$6:$W$505,F$3,実績!$AI$6:$AI$505,"&lt;="&amp;$A260,実績!$AJ$6:$AJ$505,"&gt;"&amp;$A260,実績!$AK$6:$AK$505,"○")&gt;0,1,0))</f>
        <v>0</v>
      </c>
      <c r="G260" s="39" t="n">
        <f aca="false">IF(G$4=0,0,IF(COUNTIFS(実績!$W$6:$W$505,G$3,実績!$AI$6:$AI$505,"&lt;="&amp;$A260,実績!$AJ$6:$AJ$505,"&gt;"&amp;$A260,実績!$AK$6:$AK$505,"○")&gt;0,1,0))</f>
        <v>0</v>
      </c>
      <c r="H260" s="39" t="n">
        <f aca="false">IF(H$4=0,0,IF(COUNTIFS(実績!$W$6:$W$505,H$3,実績!$AI$6:$AI$505,"&lt;="&amp;$A260,実績!$AJ$6:$AJ$505,"&gt;"&amp;$A260,実績!$AK$6:$AK$505,"○")&gt;0,1,0))</f>
        <v>0</v>
      </c>
      <c r="I260" s="39" t="n">
        <f aca="false">IF(I$4=0,0,IF(COUNTIFS(実績!$W$6:$W$505,I$3,実績!$AI$6:$AI$505,"&lt;="&amp;$A260,実績!$AJ$6:$AJ$505,"&gt;"&amp;$A260,実績!$AK$6:$AK$505,"○")&gt;0,1,0))</f>
        <v>0</v>
      </c>
      <c r="J260" s="39" t="n">
        <f aca="false">IF(J$4=0,0,IF(COUNTIFS(実績!$W$6:$W$505,J$3,実績!$AI$6:$AI$505,"&lt;="&amp;$A260,実績!$AJ$6:$AJ$505,"&gt;"&amp;$A260,実績!$AK$6:$AK$505,"○")&gt;0,1,0))</f>
        <v>0</v>
      </c>
      <c r="K260" s="39" t="n">
        <f aca="false">IF(K$4=0,0,IF(COUNTIFS(実績!$W$6:$W$505,K$3,実績!$AI$6:$AI$505,"&lt;="&amp;$A260,実績!$AJ$6:$AJ$505,"&gt;"&amp;$A260,実績!$AK$6:$AK$505,"○")&gt;0,1,0))</f>
        <v>0</v>
      </c>
      <c r="L260" s="39" t="n">
        <f aca="false">IF(L$4=0,0,IF(COUNTIFS(実績!$W$6:$W$505,L$3,実績!$AI$6:$AI$505,"&lt;="&amp;$A260,実績!$AJ$6:$AJ$505,"&gt;"&amp;$A260,実績!$AK$6:$AK$505,"○")&gt;0,1,0))</f>
        <v>0</v>
      </c>
      <c r="M260" s="39" t="n">
        <f aca="false">IF(M$4=0,0,IF(COUNTIFS(実績!$W$6:$W$505,M$3,実績!$AI$6:$AI$505,"&lt;="&amp;$A260,実績!$AJ$6:$AJ$505,"&gt;"&amp;$A260,実績!$AK$6:$AK$505,"○")&gt;0,1,0))</f>
        <v>0</v>
      </c>
      <c r="N260" s="39" t="n">
        <f aca="false">IF(N$4=0,0,IF(COUNTIFS(実績!$W$6:$W$505,N$3,実績!$AI$6:$AI$505,"&lt;="&amp;$A260,実績!$AJ$6:$AJ$505,"&gt;"&amp;$A260,実績!$AK$6:$AK$505,"○")&gt;0,1,0))</f>
        <v>0</v>
      </c>
      <c r="O260" s="39" t="n">
        <f aca="false">IF(O$4=0,0,IF(COUNTIFS(実績!$W$6:$W$505,O$3,実績!$AI$6:$AI$505,"&lt;="&amp;$A260,実績!$AJ$6:$AJ$505,"&gt;"&amp;$A260,実績!$AK$6:$AK$505,"○")&gt;0,1,0))</f>
        <v>0</v>
      </c>
      <c r="P260" s="39" t="n">
        <f aca="false">IF(P$4=0,0,IF(COUNTIFS(実績!$W$6:$W$505,P$3,実績!$AI$6:$AI$505,"&lt;="&amp;$A260,実績!$AJ$6:$AJ$505,"&gt;"&amp;$A260,実績!$AK$6:$AK$505,"○")&gt;0,1,0))</f>
        <v>0</v>
      </c>
      <c r="Q260" s="39" t="n">
        <f aca="false">IF(Q$4=0,0,IF(COUNTIFS(実績!$W$6:$W$505,Q$3,実績!$AI$6:$AI$505,"&lt;="&amp;$A260,実績!$AJ$6:$AJ$505,"&gt;"&amp;$A260,実績!$AK$6:$AK$505,"○")&gt;0,1,0))</f>
        <v>0</v>
      </c>
      <c r="R260" s="39" t="n">
        <f aca="false">IF(R$4=0,0,IF(COUNTIFS(実績!$W$6:$W$505,R$3,実績!$AI$6:$AI$505,"&lt;="&amp;$A260,実績!$AJ$6:$AJ$505,"&gt;"&amp;$A260,実績!$AK$6:$AK$505,"○")&gt;0,1,0))</f>
        <v>0</v>
      </c>
      <c r="S260" s="39" t="n">
        <f aca="false">IF(S$4=0,0,IF(COUNTIFS(実績!$W$6:$W$505,S$3,実績!$AI$6:$AI$505,"&lt;="&amp;$A260,実績!$AJ$6:$AJ$505,"&gt;"&amp;$A260,実績!$AK$6:$AK$505,"○")&gt;0,1,0))</f>
        <v>0</v>
      </c>
      <c r="T260" s="39" t="n">
        <f aca="false">IF(T$4=0,0,IF(COUNTIFS(実績!$W$6:$W$505,T$3,実績!$AI$6:$AI$505,"&lt;="&amp;$A260,実績!$AJ$6:$AJ$505,"&gt;"&amp;$A260,実績!$AK$6:$AK$505,"○")&gt;0,1,0))</f>
        <v>0</v>
      </c>
      <c r="U260" s="39" t="n">
        <f aca="false">IF(U$4=0,0,IF(COUNTIFS(実績!$W$6:$W$505,U$3,実績!$AI$6:$AI$505,"&lt;="&amp;$A260,実績!$AJ$6:$AJ$505,"&gt;"&amp;$A260,実績!$AK$6:$AK$505,"○")&gt;0,1,0))</f>
        <v>0</v>
      </c>
      <c r="V260" s="39" t="n">
        <f aca="false">IF(V$4=0,0,IF(COUNTIFS(実績!$W$6:$W$505,V$3,実績!$AI$6:$AI$505,"&lt;="&amp;$A260,実績!$AJ$6:$AJ$505,"&gt;"&amp;$A260,実績!$AK$6:$AK$505,"○")&gt;0,1,0))</f>
        <v>0</v>
      </c>
      <c r="W260" s="39" t="n">
        <f aca="false">IF(W$4=0,0,IF(COUNTIFS(実績!$W$6:$W$505,W$3,実績!$AI$6:$AI$505,"&lt;="&amp;$A260,実績!$AJ$6:$AJ$505,"&gt;"&amp;$A260,実績!$AK$6:$AK$505,"○")&gt;0,1,0))</f>
        <v>0</v>
      </c>
      <c r="X260" s="39" t="n">
        <f aca="false">IF(X$4=0,0,IF(COUNTIFS(実績!$W$6:$W$505,X$3,実績!$AI$6:$AI$505,"&lt;="&amp;$A260,実績!$AJ$6:$AJ$505,"&gt;"&amp;$A260,実績!$AK$6:$AK$505,"○")&gt;0,1,0))</f>
        <v>0</v>
      </c>
      <c r="Y260" s="39" t="n">
        <f aca="false">IF(Y$4=0,0,IF(COUNTIFS(実績!$W$6:$W$505,Y$3,実績!$AI$6:$AI$505,"&lt;="&amp;$A260,実績!$AJ$6:$AJ$505,"&gt;"&amp;$A260,実績!$AK$6:$AK$505,"○")&gt;0,1,0))</f>
        <v>0</v>
      </c>
      <c r="Z260" s="39" t="n">
        <f aca="false">IF(Z$4=0,0,IF(COUNTIFS(実績!$W$6:$W$505,Z$3,実績!$AI$6:$AI$505,"&lt;="&amp;$A260,実績!$AJ$6:$AJ$505,"&gt;"&amp;$A260,実績!$AK$6:$AK$505,"○")&gt;0,1,0))</f>
        <v>0</v>
      </c>
      <c r="AA260" s="39" t="n">
        <f aca="false">IF(AA$4=0,0,IF(COUNTIFS(実績!$W$6:$W$505,AA$3,実績!$AI$6:$AI$505,"&lt;="&amp;$A260,実績!$AJ$6:$AJ$505,"&gt;"&amp;$A260,実績!$AK$6:$AK$505,"○")&gt;0,1,0))</f>
        <v>0</v>
      </c>
      <c r="AB260" s="39" t="n">
        <f aca="false">IF(AB$4=0,0,IF(COUNTIFS(実績!$W$6:$W$505,AB$3,実績!$AI$6:$AI$505,"&lt;="&amp;$A260,実績!$AJ$6:$AJ$505,"&gt;"&amp;$A260,実績!$AK$6:$AK$505,"○")&gt;0,1,0))</f>
        <v>0</v>
      </c>
      <c r="AC260" s="39" t="n">
        <f aca="false">IF(AC$4=0,0,IF(COUNTIFS(実績!$W$6:$W$505,AC$3,実績!$AI$6:$AI$505,"&lt;="&amp;$A260,実績!$AJ$6:$AJ$505,"&gt;"&amp;$A260,実績!$AK$6:$AK$505,"○")&gt;0,1,0))</f>
        <v>0</v>
      </c>
      <c r="AD260" s="39" t="n">
        <f aca="false">IF(AD$4=0,0,IF(COUNTIFS(実績!$W$6:$W$505,AD$3,実績!$AI$6:$AI$505,"&lt;="&amp;$A260,実績!$AJ$6:$AJ$505,"&gt;"&amp;$A260,実績!$AK$6:$AK$505,"○")&gt;0,1,0))</f>
        <v>0</v>
      </c>
      <c r="AE260" s="39" t="n">
        <f aca="false">IF(AE$4=0,0,IF(COUNTIFS(実績!$W$6:$W$505,AE$3,実績!$AI$6:$AI$505,"&lt;="&amp;$A260,実績!$AJ$6:$AJ$505,"&gt;"&amp;$A260,実績!$AK$6:$AK$505,"○")&gt;0,1,0))</f>
        <v>0</v>
      </c>
      <c r="AF260" s="39" t="n">
        <f aca="false">IF(AF$4=0,0,IF(COUNTIFS(実績!$W$6:$W$505,AF$3,実績!$AI$6:$AI$505,"&lt;="&amp;$A260,実績!$AJ$6:$AJ$505,"&gt;"&amp;$A260,実績!$AK$6:$AK$505,"○")&gt;0,1,0))</f>
        <v>0</v>
      </c>
      <c r="AG260" s="39" t="n">
        <f aca="false">IF(AG$4=0,0,IF(COUNTIFS(実績!$W$6:$W$505,AG$3,実績!$AI$6:$AI$505,"&lt;="&amp;$A260,実績!$AJ$6:$AJ$505,"&gt;"&amp;$A260,実績!$AK$6:$AK$505,"○")&gt;0,1,0))</f>
        <v>0</v>
      </c>
      <c r="AH260" s="39" t="n">
        <f aca="false">IF(AH$4=0,0,IF(COUNTIFS(実績!$W$6:$W$505,AH$3,実績!$AI$6:$AI$505,"&lt;="&amp;$A260,実績!$AJ$6:$AJ$505,"&gt;"&amp;$A260,実績!$AK$6:$AK$505,"○")&gt;0,1,0))</f>
        <v>0</v>
      </c>
      <c r="AI260" s="39" t="n">
        <f aca="false">IF(AI$4=0,0,IF(COUNTIFS(実績!$W$6:$W$505,AI$3,実績!$AI$6:$AI$505,"&lt;="&amp;$A260,実績!$AJ$6:$AJ$505,"&gt;"&amp;$A260,実績!$AK$6:$AK$505,"○")&gt;0,1,0))</f>
        <v>0</v>
      </c>
      <c r="AJ260" s="39" t="n">
        <f aca="false">IF(AJ$4=0,0,IF(COUNTIFS(実績!$W$6:$W$505,AJ$3,実績!$AI$6:$AI$505,"&lt;="&amp;$A260,実績!$AJ$6:$AJ$505,"&gt;"&amp;$A260,実績!$AK$6:$AK$505,"○")&gt;0,1,0))</f>
        <v>0</v>
      </c>
      <c r="AK260" s="39" t="n">
        <f aca="false">IF(AK$4=0,0,IF(COUNTIFS(実績!$W$6:$W$505,AK$3,実績!$AI$6:$AI$505,"&lt;="&amp;$A260,実績!$AJ$6:$AJ$505,"&gt;"&amp;$A260,実績!$AK$6:$AK$505,"○")&gt;0,1,0))</f>
        <v>0</v>
      </c>
      <c r="AL260" s="39" t="n">
        <f aca="false">IF(AL$4=0,0,IF(COUNTIFS(実績!$W$6:$W$505,AL$3,実績!$AI$6:$AI$505,"&lt;="&amp;$A260,実績!$AJ$6:$AJ$505,"&gt;"&amp;$A260,実績!$AK$6:$AK$505,"○")&gt;0,1,0))</f>
        <v>0</v>
      </c>
      <c r="AM260" s="39" t="n">
        <f aca="false">IF(AM$4=0,0,IF(COUNTIFS(実績!$W$6:$W$505,AM$3,実績!$AI$6:$AI$505,"&lt;="&amp;$A260,実績!$AJ$6:$AJ$505,"&gt;"&amp;$A260,実績!$AK$6:$AK$505,"○")&gt;0,1,0))</f>
        <v>0</v>
      </c>
      <c r="AN260" s="39" t="n">
        <f aca="false">IF(AN$4=0,0,IF(COUNTIFS(実績!$W$6:$W$505,AN$3,実績!$AI$6:$AI$505,"&lt;="&amp;$A260,実績!$AJ$6:$AJ$505,"&gt;"&amp;$A260,実績!$AK$6:$AK$505,"○")&gt;0,1,0))</f>
        <v>0</v>
      </c>
      <c r="AO260" s="39" t="n">
        <f aca="false">IF(AO$4=0,0,IF(COUNTIFS(実績!$W$6:$W$505,AO$3,実績!$AI$6:$AI$505,"&lt;="&amp;$A260,実績!$AJ$6:$AJ$505,"&gt;"&amp;$A260,実績!$AK$6:$AK$505,"○")&gt;0,1,0))</f>
        <v>0</v>
      </c>
      <c r="AP260" s="39" t="n">
        <f aca="false">IF(AP$4=0,0,IF(COUNTIFS(実績!$W$6:$W$505,AP$3,実績!$AI$6:$AI$505,"&lt;="&amp;$A260,実績!$AJ$6:$AJ$505,"&gt;"&amp;$A260,実績!$AK$6:$AK$505,"○")&gt;0,1,0))</f>
        <v>0</v>
      </c>
      <c r="AQ260" s="39" t="n">
        <f aca="false">IF(AQ$4=0,0,IF(COUNTIFS(実績!$W$6:$W$505,AQ$3,実績!$AI$6:$AI$505,"&lt;="&amp;$A260,実績!$AJ$6:$AJ$505,"&gt;"&amp;$A260,実績!$AK$6:$AK$505,"○")&gt;0,1,0))</f>
        <v>0</v>
      </c>
      <c r="AR260" s="39" t="n">
        <f aca="false">IF(AR$4=0,0,IF(COUNTIFS(実績!$W$6:$W$505,AR$3,実績!$AI$6:$AI$505,"&lt;="&amp;$A260,実績!$AJ$6:$AJ$505,"&gt;"&amp;$A260,実績!$AK$6:$AK$505,"○")&gt;0,1,0))</f>
        <v>0</v>
      </c>
      <c r="AS260" s="39" t="n">
        <f aca="false">IF(AS$4=0,0,IF(COUNTIFS(実績!$W$6:$W$505,AS$3,実績!$AI$6:$AI$505,"&lt;="&amp;$A260,実績!$AJ$6:$AJ$505,"&gt;"&amp;$A260,実績!$AK$6:$AK$505,"○")&gt;0,1,0))</f>
        <v>0</v>
      </c>
      <c r="AT260" s="39" t="n">
        <f aca="false">IF(AT$4=0,0,IF(COUNTIFS(実績!$W$6:$W$505,AT$3,実績!$AI$6:$AI$505,"&lt;="&amp;$A260,実績!$AJ$6:$AJ$505,"&gt;"&amp;$A260,実績!$AK$6:$AK$505,"○")&gt;0,1,0))</f>
        <v>0</v>
      </c>
      <c r="AU260" s="39" t="n">
        <f aca="false">IF(AU$4=0,0,IF(COUNTIFS(実績!$W$6:$W$505,AU$3,実績!$AI$6:$AI$505,"&lt;="&amp;$A260,実績!$AJ$6:$AJ$505,"&gt;"&amp;$A260,実績!$AK$6:$AK$505,"○")&gt;0,1,0))</f>
        <v>0</v>
      </c>
      <c r="AV260" s="39" t="n">
        <f aca="false">IF(AV$4=0,0,IF(COUNTIFS(実績!$W$6:$W$505,AV$3,実績!$AI$6:$AI$505,"&lt;="&amp;$A260,実績!$AJ$6:$AJ$505,"&gt;"&amp;$A260,実績!$AK$6:$AK$505,"○")&gt;0,1,0))</f>
        <v>0</v>
      </c>
      <c r="AW260" s="39" t="n">
        <f aca="false">IF(AW$4=0,0,IF(COUNTIFS(実績!$W$6:$W$505,AW$3,実績!$AI$6:$AI$505,"&lt;="&amp;$A260,実績!$AJ$6:$AJ$505,"&gt;"&amp;$A260,実績!$AK$6:$AK$505,"○")&gt;0,1,0))</f>
        <v>0</v>
      </c>
      <c r="AX260" s="39" t="n">
        <f aca="false">IF(AX$4=0,0,IF(COUNTIFS(実績!$W$6:$W$505,AX$3,実績!$AI$6:$AI$505,"&lt;="&amp;$A260,実績!$AJ$6:$AJ$505,"&gt;"&amp;$A260,実績!$AK$6:$AK$505,"○")&gt;0,1,0))</f>
        <v>0</v>
      </c>
      <c r="AY260" s="39" t="n">
        <f aca="false">IF(AY$4=0,0,IF(COUNTIFS(実績!$W$6:$W$505,AY$3,実績!$AI$6:$AI$505,"&lt;="&amp;$A260,実績!$AJ$6:$AJ$505,"&gt;"&amp;$A260,実績!$AK$6:$AK$505,"○")&gt;0,1,0))</f>
        <v>0</v>
      </c>
      <c r="AZ260" s="39" t="n">
        <f aca="false">IF(AZ$4=0,0,IF(COUNTIFS(実績!$W$6:$W$505,AZ$3,実績!$AI$6:$AI$505,"&lt;="&amp;$A260,実績!$AJ$6:$AJ$505,"&gt;"&amp;$A260,実績!$AK$6:$AK$505,"○")&gt;0,1,0))</f>
        <v>0</v>
      </c>
      <c r="BA260" s="39" t="n">
        <f aca="false">IF(BA$4=0,0,IF(COUNTIFS(実績!$W$6:$W$505,BA$3,実績!$AI$6:$AI$505,"&lt;="&amp;$A260,実績!$AJ$6:$AJ$505,"&gt;"&amp;$A260,実績!$AK$6:$AK$505,"○")&gt;0,1,0))</f>
        <v>0</v>
      </c>
      <c r="BB260" s="39" t="n">
        <f aca="false">IF(BB$4=0,0,IF(COUNTIFS(実績!$W$6:$W$505,BB$3,実績!$AI$6:$AI$505,"&lt;="&amp;$A260,実績!$AJ$6:$AJ$505,"&gt;"&amp;$A260,実績!$AK$6:$AK$505,"○")&gt;0,1,0))</f>
        <v>0</v>
      </c>
      <c r="BC260" s="39" t="n">
        <f aca="false">IF(BC$4=0,0,IF(COUNTIFS(実績!$W$6:$W$505,BC$3,実績!$AI$6:$AI$505,"&lt;="&amp;$A260,実績!$AJ$6:$AJ$505,"&gt;"&amp;$A260,実績!$AK$6:$AK$505,"○")&gt;0,1,0))</f>
        <v>0</v>
      </c>
      <c r="BD260" s="39" t="n">
        <f aca="false">IF(BD$4=0,0,IF(COUNTIFS(実績!$W$6:$W$505,BD$3,実績!$AI$6:$AI$505,"&lt;="&amp;$A260,実績!$AJ$6:$AJ$505,"&gt;"&amp;$A260,実績!$AK$6:$AK$505,"○")&gt;0,1,0))</f>
        <v>0</v>
      </c>
      <c r="BE260" s="39" t="n">
        <f aca="false">IF(BE$4=0,0,IF(COUNTIFS(実績!$W$6:$W$505,BE$3,実績!$AI$6:$AI$505,"&lt;="&amp;$A260,実績!$AJ$6:$AJ$505,"&gt;"&amp;$A260,実績!$AK$6:$AK$505,"○")&gt;0,1,0))</f>
        <v>0</v>
      </c>
      <c r="BF260" s="39" t="n">
        <f aca="false">IF(BF$4=0,0,IF(COUNTIFS(実績!$W$6:$W$505,BF$3,実績!$AI$6:$AI$505,"&lt;="&amp;$A260,実績!$AJ$6:$AJ$505,"&gt;"&amp;$A260,実績!$AK$6:$AK$505,"○")&gt;0,1,0))</f>
        <v>0</v>
      </c>
      <c r="BG260" s="39" t="n">
        <f aca="false">IF(BG$4=0,0,IF(COUNTIFS(実績!$W$6:$W$505,BG$3,実績!$AI$6:$AI$505,"&lt;="&amp;$A260,実績!$AJ$6:$AJ$505,"&gt;"&amp;$A260,実績!$AK$6:$AK$505,"○")&gt;0,1,0))</f>
        <v>0</v>
      </c>
      <c r="BH260" s="39" t="n">
        <f aca="false">IF(BH$4=0,0,IF(COUNTIFS(実績!$W$6:$W$505,BH$3,実績!$AI$6:$AI$505,"&lt;="&amp;$A260,実績!$AJ$6:$AJ$505,"&gt;"&amp;$A260,実績!$AK$6:$AK$505,"○")&gt;0,1,0))</f>
        <v>0</v>
      </c>
      <c r="BI260" s="39" t="n">
        <f aca="false">IF(BI$4=0,0,IF(COUNTIFS(実績!$W$6:$W$505,BI$3,実績!$AI$6:$AI$505,"&lt;="&amp;$A260,実績!$AJ$6:$AJ$505,"&gt;"&amp;$A260,実績!$AK$6:$AK$505,"○")&gt;0,1,0))</f>
        <v>0</v>
      </c>
      <c r="BJ260" s="39" t="n">
        <f aca="false">IF(BJ$4=0,0,IF(COUNTIFS(実績!$W$6:$W$505,BJ$3,実績!$AI$6:$AI$505,"&lt;="&amp;$A260,実績!$AJ$6:$AJ$505,"&gt;"&amp;$A260,実績!$AK$6:$AK$505,"○")&gt;0,1,0))</f>
        <v>0</v>
      </c>
      <c r="BK260" s="39" t="n">
        <f aca="false">IF(BK$4=0,0,IF(COUNTIFS(実績!$W$6:$W$505,BK$3,実績!$AI$6:$AI$505,"&lt;="&amp;$A260,実績!$AJ$6:$AJ$505,"&gt;"&amp;$A260,実績!$AK$6:$AK$505,"○")&gt;0,1,0))</f>
        <v>0</v>
      </c>
      <c r="BL260" s="39" t="n">
        <f aca="false">IF(BL$4=0,0,IF(COUNTIFS(実績!$W$6:$W$505,BL$3,実績!$AI$6:$AI$505,"&lt;="&amp;$A260,実績!$AJ$6:$AJ$505,"&gt;"&amp;$A260,実績!$AK$6:$AK$505,"○")&gt;0,1,0))</f>
        <v>0</v>
      </c>
      <c r="BM260" s="39" t="n">
        <f aca="false">IF(BM$4=0,0,IF(COUNTIFS(実績!$W$6:$W$505,BM$3,実績!$AI$6:$AI$505,"&lt;="&amp;$A260,実績!$AJ$6:$AJ$505,"&gt;"&amp;$A260,実績!$AK$6:$AK$505,"○")&gt;0,1,0))</f>
        <v>0</v>
      </c>
      <c r="BN260" s="39" t="n">
        <f aca="false">IF(BN$4=0,0,IF(COUNTIFS(実績!$W$6:$W$505,BN$3,実績!$AI$6:$AI$505,"&lt;="&amp;$A260,実績!$AJ$6:$AJ$505,"&gt;"&amp;$A260,実績!$AK$6:$AK$505,"○")&gt;0,1,0))</f>
        <v>0</v>
      </c>
      <c r="BO260" s="39" t="n">
        <f aca="false">IF(BO$4=0,0,IF(COUNTIFS(実績!$W$6:$W$505,BO$3,実績!$AI$6:$AI$505,"&lt;="&amp;$A260,実績!$AJ$6:$AJ$505,"&gt;"&amp;$A260,実績!$AK$6:$AK$505,"○")&gt;0,1,0))</f>
        <v>0</v>
      </c>
      <c r="BP260" s="39" t="n">
        <f aca="false">IF(BP$4=0,0,IF(COUNTIFS(実績!$W$6:$W$505,BP$3,実績!$AI$6:$AI$505,"&lt;="&amp;$A260,実績!$AJ$6:$AJ$505,"&gt;"&amp;$A260,実績!$AK$6:$AK$505,"○")&gt;0,1,0))</f>
        <v>0</v>
      </c>
      <c r="BQ260" s="39" t="n">
        <f aca="false">IF(BQ$4=0,0,IF(COUNTIFS(実績!$W$6:$W$505,BQ$3,実績!$AI$6:$AI$505,"&lt;="&amp;$A260,実績!$AJ$6:$AJ$505,"&gt;"&amp;$A260,実績!$AK$6:$AK$505,"○")&gt;0,1,0))</f>
        <v>0</v>
      </c>
      <c r="BR260" s="39" t="n">
        <f aca="false">IF(BR$4=0,0,IF(COUNTIFS(実績!$W$6:$W$505,BR$3,実績!$AI$6:$AI$505,"&lt;="&amp;$A260,実績!$AJ$6:$AJ$505,"&gt;"&amp;$A260,実績!$AK$6:$AK$505,"○")&gt;0,1,0))</f>
        <v>0</v>
      </c>
      <c r="BS260" s="39" t="n">
        <f aca="false">IF(BS$4=0,0,IF(COUNTIFS(実績!$W$6:$W$505,BS$3,実績!$AI$6:$AI$505,"&lt;="&amp;$A260,実績!$AJ$6:$AJ$505,"&gt;"&amp;$A260,実績!$AK$6:$AK$505,"○")&gt;0,1,0))</f>
        <v>0</v>
      </c>
      <c r="BT260" s="39" t="n">
        <f aca="false">IF(BT$4=0,0,IF(COUNTIFS(実績!$W$6:$W$505,BT$3,実績!$AI$6:$AI$505,"&lt;="&amp;$A260,実績!$AJ$6:$AJ$505,"&gt;"&amp;$A260,実績!$AK$6:$AK$505,"○")&gt;0,1,0))</f>
        <v>0</v>
      </c>
      <c r="BU260" s="39" t="n">
        <f aca="false">IF(BU$4=0,0,IF(COUNTIFS(実績!$W$6:$W$505,BU$3,実績!$AI$6:$AI$505,"&lt;="&amp;$A260,実績!$AJ$6:$AJ$505,"&gt;"&amp;$A260,実績!$AK$6:$AK$505,"○")&gt;0,1,0))</f>
        <v>0</v>
      </c>
      <c r="BV260" s="39" t="n">
        <f aca="false">IF(BV$4=0,0,IF(COUNTIFS(実績!$W$6:$W$505,BV$3,実績!$AI$6:$AI$505,"&lt;="&amp;$A260,実績!$AJ$6:$AJ$505,"&gt;"&amp;$A260,実績!$AK$6:$AK$505,"○")&gt;0,1,0))</f>
        <v>0</v>
      </c>
      <c r="BW260" s="39" t="n">
        <f aca="false">IF(BW$4=0,0,IF(COUNTIFS(実績!$W$6:$W$505,BW$3,実績!$AI$6:$AI$505,"&lt;="&amp;$A260,実績!$AJ$6:$AJ$505,"&gt;"&amp;$A260,実績!$AK$6:$AK$505,"○")&gt;0,1,0))</f>
        <v>0</v>
      </c>
      <c r="BX260" s="39" t="n">
        <f aca="false">IF(BX$4=0,0,IF(COUNTIFS(実績!$W$6:$W$505,BX$3,実績!$AI$6:$AI$505,"&lt;="&amp;$A260,実績!$AJ$6:$AJ$505,"&gt;"&amp;$A260,実績!$AK$6:$AK$505,"○")&gt;0,1,0))</f>
        <v>0</v>
      </c>
      <c r="BY260" s="39" t="n">
        <f aca="false">IF(BY$4=0,0,IF(COUNTIFS(実績!$W$6:$W$505,BY$3,実績!$AI$6:$AI$505,"&lt;="&amp;$A260,実績!$AJ$6:$AJ$505,"&gt;"&amp;$A260,実績!$AK$6:$AK$505,"○")&gt;0,1,0))</f>
        <v>0</v>
      </c>
      <c r="BZ260" s="39" t="n">
        <f aca="false">IF(BZ$4=0,0,IF(COUNTIFS(実績!$W$6:$W$505,BZ$3,実績!$AI$6:$AI$505,"&lt;="&amp;$A260,実績!$AJ$6:$AJ$505,"&gt;"&amp;$A260,実績!$AK$6:$AK$505,"○")&gt;0,1,0))</f>
        <v>0</v>
      </c>
      <c r="CA260" s="39" t="n">
        <f aca="false">IF(CA$4=0,0,IF(COUNTIFS(実績!$W$6:$W$505,CA$3,実績!$AI$6:$AI$505,"&lt;="&amp;$A260,実績!$AJ$6:$AJ$505,"&gt;"&amp;$A260,実績!$AK$6:$AK$505,"○")&gt;0,1,0))</f>
        <v>0</v>
      </c>
      <c r="CB260" s="39" t="n">
        <f aca="false">IF(CB$4=0,0,IF(COUNTIFS(実績!$W$6:$W$505,CB$3,実績!$AI$6:$AI$505,"&lt;="&amp;$A260,実績!$AJ$6:$AJ$505,"&gt;"&amp;$A260,実績!$AK$6:$AK$505,"○")&gt;0,1,0))</f>
        <v>0</v>
      </c>
      <c r="CC260" s="39" t="n">
        <f aca="false">IF(CC$4=0,0,IF(COUNTIFS(実績!$W$6:$W$505,CC$3,実績!$AI$6:$AI$505,"&lt;="&amp;$A260,実績!$AJ$6:$AJ$505,"&gt;"&amp;$A260,実績!$AK$6:$AK$505,"○")&gt;0,1,0))</f>
        <v>0</v>
      </c>
      <c r="CD260" s="39" t="n">
        <f aca="false">IF(CD$4=0,0,IF(COUNTIFS(実績!$W$6:$W$505,CD$3,実績!$AI$6:$AI$505,"&lt;="&amp;$A260,実績!$AJ$6:$AJ$505,"&gt;"&amp;$A260,実績!$AK$6:$AK$505,"○")&gt;0,1,0))</f>
        <v>0</v>
      </c>
      <c r="CE260" s="39" t="n">
        <f aca="false">IF(CE$4=0,0,IF(COUNTIFS(実績!$W$6:$W$505,CE$3,実績!$AI$6:$AI$505,"&lt;="&amp;$A260,実績!$AJ$6:$AJ$505,"&gt;"&amp;$A260,実績!$AK$6:$AK$505,"○")&gt;0,1,0))</f>
        <v>0</v>
      </c>
      <c r="CF260" s="39" t="n">
        <f aca="false">IF(CF$4=0,0,IF(COUNTIFS(実績!$W$6:$W$505,CF$3,実績!$AI$6:$AI$505,"&lt;="&amp;$A260,実績!$AJ$6:$AJ$505,"&gt;"&amp;$A260,実績!$AK$6:$AK$505,"○")&gt;0,1,0))</f>
        <v>0</v>
      </c>
      <c r="CG260" s="39" t="n">
        <f aca="false">IF(CG$4=0,0,IF(COUNTIFS(実績!$W$6:$W$505,CG$3,実績!$AI$6:$AI$505,"&lt;="&amp;$A260,実績!$AJ$6:$AJ$505,"&gt;"&amp;$A260,実績!$AK$6:$AK$505,"○")&gt;0,1,0))</f>
        <v>0</v>
      </c>
      <c r="CH260" s="39" t="n">
        <f aca="false">IF(CH$4=0,0,IF(COUNTIFS(実績!$W$6:$W$505,CH$3,実績!$AI$6:$AI$505,"&lt;="&amp;$A260,実績!$AJ$6:$AJ$505,"&gt;"&amp;$A260,実績!$AK$6:$AK$505,"○")&gt;0,1,0))</f>
        <v>0</v>
      </c>
      <c r="CI260" s="39" t="n">
        <f aca="false">IF(CI$4=0,0,IF(COUNTIFS(実績!$W$6:$W$505,CI$3,実績!$AI$6:$AI$505,"&lt;="&amp;$A260,実績!$AJ$6:$AJ$505,"&gt;"&amp;$A260,実績!$AK$6:$AK$505,"○")&gt;0,1,0))</f>
        <v>0</v>
      </c>
      <c r="CJ260" s="39" t="n">
        <f aca="false">IF(CJ$4=0,0,IF(COUNTIFS(実績!$W$6:$W$505,CJ$3,実績!$AI$6:$AI$505,"&lt;="&amp;$A260,実績!$AJ$6:$AJ$505,"&gt;"&amp;$A260,実績!$AK$6:$AK$505,"○")&gt;0,1,0))</f>
        <v>0</v>
      </c>
      <c r="CK260" s="39" t="n">
        <f aca="false">IF(CK$4=0,0,IF(COUNTIFS(実績!$W$6:$W$505,CK$3,実績!$AI$6:$AI$505,"&lt;="&amp;$A260,実績!$AJ$6:$AJ$505,"&gt;"&amp;$A260,実績!$AK$6:$AK$505,"○")&gt;0,1,0))</f>
        <v>0</v>
      </c>
      <c r="CL260" s="39" t="n">
        <f aca="false">IF(CL$4=0,0,IF(COUNTIFS(実績!$W$6:$W$505,CL$3,実績!$AI$6:$AI$505,"&lt;="&amp;$A260,実績!$AJ$6:$AJ$505,"&gt;"&amp;$A260,実績!$AK$6:$AK$505,"○")&gt;0,1,0))</f>
        <v>0</v>
      </c>
      <c r="CM260" s="39" t="n">
        <f aca="false">IF(CM$4=0,0,IF(COUNTIFS(実績!$W$6:$W$505,CM$3,実績!$AI$6:$AI$505,"&lt;="&amp;$A260,実績!$AJ$6:$AJ$505,"&gt;"&amp;$A260,実績!$AK$6:$AK$505,"○")&gt;0,1,0))</f>
        <v>0</v>
      </c>
      <c r="CN260" s="39" t="n">
        <f aca="false">IF(CN$4=0,0,IF(COUNTIFS(実績!$W$6:$W$505,CN$3,実績!$AI$6:$AI$505,"&lt;="&amp;$A260,実績!$AJ$6:$AJ$505,"&gt;"&amp;$A260,実績!$AK$6:$AK$505,"○")&gt;0,1,0))</f>
        <v>0</v>
      </c>
      <c r="CO260" s="39" t="n">
        <f aca="false">IF(CO$4=0,0,IF(COUNTIFS(実績!$W$6:$W$505,CO$3,実績!$AI$6:$AI$505,"&lt;="&amp;$A260,実績!$AJ$6:$AJ$505,"&gt;"&amp;$A260,実績!$AK$6:$AK$505,"○")&gt;0,1,0))</f>
        <v>0</v>
      </c>
      <c r="CP260" s="39" t="n">
        <f aca="false">IF(CP$4=0,0,IF(COUNTIFS(実績!$W$6:$W$505,CP$3,実績!$AI$6:$AI$505,"&lt;="&amp;$A260,実績!$AJ$6:$AJ$505,"&gt;"&amp;$A260,実績!$AK$6:$AK$505,"○")&gt;0,1,0))</f>
        <v>0</v>
      </c>
      <c r="CQ260" s="39" t="n">
        <f aca="false">IF(CQ$4=0,0,IF(COUNTIFS(実績!$W$6:$W$505,CQ$3,実績!$AI$6:$AI$505,"&lt;="&amp;$A260,実績!$AJ$6:$AJ$505,"&gt;"&amp;$A260,実績!$AK$6:$AK$505,"○")&gt;0,1,0))</f>
        <v>0</v>
      </c>
      <c r="CR260" s="39" t="n">
        <f aca="false">IF(CR$4=0,0,IF(COUNTIFS(実績!$W$6:$W$505,CR$3,実績!$AI$6:$AI$505,"&lt;="&amp;$A260,実績!$AJ$6:$AJ$505,"&gt;"&amp;$A260,実績!$AK$6:$AK$505,"○")&gt;0,1,0))</f>
        <v>0</v>
      </c>
      <c r="CS260" s="39" t="n">
        <f aca="false">IF(CS$4=0,0,IF(COUNTIFS(実績!$W$6:$W$505,CS$3,実績!$AI$6:$AI$505,"&lt;="&amp;$A260,実績!$AJ$6:$AJ$505,"&gt;"&amp;$A260,実績!$AK$6:$AK$505,"○")&gt;0,1,0))</f>
        <v>0</v>
      </c>
      <c r="CT260" s="39" t="n">
        <f aca="false">IF(CT$4=0,0,IF(COUNTIFS(実績!$W$6:$W$505,CT$3,実績!$AI$6:$AI$505,"&lt;="&amp;$A260,実績!$AJ$6:$AJ$505,"&gt;"&amp;$A260,実績!$AK$6:$AK$505,"○")&gt;0,1,0))</f>
        <v>0</v>
      </c>
      <c r="CU260" s="39" t="n">
        <f aca="false">IF(CU$4=0,0,IF(COUNTIFS(実績!$W$6:$W$505,CU$3,実績!$AI$6:$AI$505,"&lt;="&amp;$A260,実績!$AJ$6:$AJ$505,"&gt;"&amp;$A260,実績!$AK$6:$AK$505,"○")&gt;0,1,0))</f>
        <v>0</v>
      </c>
      <c r="CV260" s="39" t="n">
        <f aca="false">IF(CV$4=0,0,IF(COUNTIFS(実績!$W$6:$W$505,CV$3,実績!$AI$6:$AI$505,"&lt;="&amp;$A260,実績!$AJ$6:$AJ$505,"&gt;"&amp;$A260,実績!$AK$6:$AK$505,"○")&gt;0,1,0))</f>
        <v>0</v>
      </c>
      <c r="CW260" s="39" t="n">
        <f aca="false">IF(CW$4=0,0,IF(COUNTIFS(実績!$W$6:$W$505,CW$3,実績!$AI$6:$AI$505,"&lt;="&amp;$A260,実績!$AJ$6:$AJ$505,"&gt;"&amp;$A260,実績!$AK$6:$AK$505,"○")&gt;0,1,0))</f>
        <v>0</v>
      </c>
      <c r="CX260" s="39" t="n">
        <f aca="false">IF(CX$4=0,0,IF(COUNTIFS(実績!$W$6:$W$505,CX$3,実績!$AI$6:$AI$505,"&lt;="&amp;$A260,実績!$AJ$6:$AJ$505,"&gt;"&amp;$A260,実績!$AK$6:$AK$505,"○")&gt;0,1,0))</f>
        <v>0</v>
      </c>
      <c r="CY260" s="39" t="n">
        <f aca="false">IF(CY$4=0,0,IF(COUNTIFS(実績!$W$6:$W$505,CY$3,実績!$AI$6:$AI$505,"&lt;="&amp;$A260,実績!$AJ$6:$AJ$505,"&gt;"&amp;$A260,実績!$AK$6:$AK$505,"○")&gt;0,1,0))</f>
        <v>0</v>
      </c>
      <c r="CZ260" s="39" t="n">
        <f aca="false">IF(CZ$4=0,0,IF(COUNTIFS(実績!$W$6:$W$505,CZ$3,実績!$AI$6:$AI$505,"&lt;="&amp;$A260,実績!$AJ$6:$AJ$505,"&gt;"&amp;$A260,実績!$AK$6:$AK$505,"○")&gt;0,1,0))</f>
        <v>0</v>
      </c>
      <c r="DA260" s="39" t="n">
        <f aca="false">IF(DA$4=0,0,IF(COUNTIFS(実績!$W$6:$W$505,DA$3,実績!$AI$6:$AI$505,"&lt;="&amp;$A260,実績!$AJ$6:$AJ$505,"&gt;"&amp;$A260,実績!$AK$6:$AK$505,"○")&gt;0,1,0))</f>
        <v>0</v>
      </c>
      <c r="DB260" s="39" t="n">
        <f aca="false">IF(DB$4=0,0,IF(COUNTIFS(実績!$W$6:$W$505,DB$3,実績!$AI$6:$AI$505,"&lt;="&amp;$A260,実績!$AJ$6:$AJ$505,"&gt;"&amp;$A260,実績!$AK$6:$AK$505,"○")&gt;0,1,0))</f>
        <v>0</v>
      </c>
      <c r="DC260" s="39" t="n">
        <f aca="false">IF(DC$4=0,0,IF(COUNTIFS(実績!$W$6:$W$505,DC$3,実績!$AI$6:$AI$505,"&lt;="&amp;$A260,実績!$AJ$6:$AJ$505,"&gt;"&amp;$A260,実績!$AK$6:$AK$505,"○")&gt;0,1,0))</f>
        <v>0</v>
      </c>
      <c r="DD260" s="39" t="n">
        <f aca="false">IF(DD$4=0,0,IF(COUNTIFS(実績!$W$6:$W$505,DD$3,実績!$AI$6:$AI$505,"&lt;="&amp;$A260,実績!$AJ$6:$AJ$505,"&gt;"&amp;$A260,実績!$AK$6:$AK$505,"○")&gt;0,1,0))</f>
        <v>0</v>
      </c>
      <c r="DE260" s="39" t="n">
        <f aca="false">IF(DE$4=0,0,IF(COUNTIFS(実績!$W$6:$W$505,DE$3,実績!$AI$6:$AI$505,"&lt;="&amp;$A260,実績!$AJ$6:$AJ$505,"&gt;"&amp;$A260,実績!$AK$6:$AK$505,"○")&gt;0,1,0))</f>
        <v>0</v>
      </c>
      <c r="DF260" s="39" t="n">
        <f aca="false">IF(DF$4=0,0,IF(COUNTIFS(実績!$W$6:$W$505,DF$3,実績!$AI$6:$AI$505,"&lt;="&amp;$A260,実績!$AJ$6:$AJ$505,"&gt;"&amp;$A260,実績!$AK$6:$AK$505,"○")&gt;0,1,0))</f>
        <v>0</v>
      </c>
      <c r="DG260" s="39" t="n">
        <f aca="false">IF(DG$4=0,0,IF(COUNTIFS(実績!$W$6:$W$505,DG$3,実績!$AI$6:$AI$505,"&lt;="&amp;$A260,実績!$AJ$6:$AJ$505,"&gt;"&amp;$A260,実績!$AK$6:$AK$505,"○")&gt;0,1,0))</f>
        <v>0</v>
      </c>
      <c r="DH260" s="39" t="n">
        <f aca="false">IF(DH$4=0,0,IF(COUNTIFS(実績!$W$6:$W$505,DH$3,実績!$AI$6:$AI$505,"&lt;="&amp;$A260,実績!$AJ$6:$AJ$505,"&gt;"&amp;$A260,実績!$AK$6:$AK$505,"○")&gt;0,1,0))</f>
        <v>0</v>
      </c>
      <c r="DI260" s="39" t="n">
        <f aca="false">IF(DI$4=0,0,IF(COUNTIFS(実績!$W$6:$W$505,DI$3,実績!$AI$6:$AI$505,"&lt;="&amp;$A260,実績!$AJ$6:$AJ$505,"&gt;"&amp;$A260,実績!$AK$6:$AK$505,"○")&gt;0,1,0))</f>
        <v>0</v>
      </c>
      <c r="DJ260" s="39" t="n">
        <f aca="false">IF(DJ$4=0,0,IF(COUNTIFS(実績!$W$6:$W$505,DJ$3,実績!$AI$6:$AI$505,"&lt;="&amp;$A260,実績!$AJ$6:$AJ$505,"&gt;"&amp;$A260,実績!$AK$6:$AK$505,"○")&gt;0,1,0))</f>
        <v>0</v>
      </c>
      <c r="DK260" s="39" t="n">
        <f aca="false">IF(DK$4=0,0,IF(COUNTIFS(実績!$W$6:$W$505,DK$3,実績!$AI$6:$AI$505,"&lt;="&amp;$A260,実績!$AJ$6:$AJ$505,"&gt;"&amp;$A260,実績!$AK$6:$AK$505,"○")&gt;0,1,0))</f>
        <v>0</v>
      </c>
      <c r="DL260" s="39" t="n">
        <f aca="false">IF(DL$4=0,0,IF(COUNTIFS(実績!$W$6:$W$505,DL$3,実績!$AI$6:$AI$505,"&lt;="&amp;$A260,実績!$AJ$6:$AJ$505,"&gt;"&amp;$A260,実績!$AK$6:$AK$505,"○")&gt;0,1,0))</f>
        <v>0</v>
      </c>
      <c r="DM260" s="39" t="n">
        <f aca="false">IF(DM$4=0,0,IF(COUNTIFS(実績!$W$6:$W$505,DM$3,実績!$AI$6:$AI$505,"&lt;="&amp;$A260,実績!$AJ$6:$AJ$505,"&gt;"&amp;$A260,実績!$AK$6:$AK$505,"○")&gt;0,1,0))</f>
        <v>0</v>
      </c>
      <c r="DN260" s="39" t="n">
        <f aca="false">IF(DN$4=0,0,IF(COUNTIFS(実績!$W$6:$W$505,DN$3,実績!$AI$6:$AI$505,"&lt;="&amp;$A260,実績!$AJ$6:$AJ$505,"&gt;"&amp;$A260,実績!$AK$6:$AK$505,"○")&gt;0,1,0))</f>
        <v>0</v>
      </c>
      <c r="DO260" s="39" t="n">
        <f aca="false">IF(DO$4=0,0,IF(COUNTIFS(実績!$W$6:$W$505,DO$3,実績!$AI$6:$AI$505,"&lt;="&amp;$A260,実績!$AJ$6:$AJ$505,"&gt;"&amp;$A260,実績!$AK$6:$AK$505,"○")&gt;0,1,0))</f>
        <v>0</v>
      </c>
      <c r="DP260" s="39" t="n">
        <f aca="false">IF(DP$4=0,0,IF(COUNTIFS(実績!$W$6:$W$505,DP$3,実績!$AI$6:$AI$505,"&lt;="&amp;$A260,実績!$AJ$6:$AJ$505,"&gt;"&amp;$A260,実績!$AK$6:$AK$505,"○")&gt;0,1,0))</f>
        <v>0</v>
      </c>
      <c r="DQ260" s="39" t="n">
        <f aca="false">IF(DQ$4=0,0,IF(COUNTIFS(実績!$W$6:$W$505,DQ$3,実績!$AI$6:$AI$505,"&lt;="&amp;$A260,実績!$AJ$6:$AJ$505,"&gt;"&amp;$A260,実績!$AK$6:$AK$505,"○")&gt;0,1,0))</f>
        <v>0</v>
      </c>
      <c r="DR260" s="39" t="n">
        <f aca="false">IF(DR$4=0,0,IF(COUNTIFS(実績!$W$6:$W$505,DR$3,実績!$AI$6:$AI$505,"&lt;="&amp;$A260,実績!$AJ$6:$AJ$505,"&gt;"&amp;$A260,実績!$AK$6:$AK$505,"○")&gt;0,1,0))</f>
        <v>0</v>
      </c>
      <c r="DS260" s="39" t="n">
        <f aca="false">SUM(C260:DR260)</f>
        <v>0</v>
      </c>
      <c r="DT260" s="39" t="n">
        <f aca="false">SUMPRODUCT((実績!$C$6:$C$505="○")*ISNUMBER(実績!$AM$6:$AM$505)*(実績!$AM$6:$AM$505&lt;=$A260)*(実績!$AN$6:$AN$505&gt;$A260))</f>
        <v>0</v>
      </c>
      <c r="DU260" s="39" t="n">
        <f aca="false">SUMIF($C$2:$DR$2,"製鉄曳船",C260:DR260)</f>
        <v>0</v>
      </c>
      <c r="DV260" s="39" t="n">
        <f aca="false">SUMIF($C$2:$DR$2,"西日本海運",C260:DR260)</f>
        <v>0</v>
      </c>
    </row>
    <row r="261" customFormat="false" ht="15" hidden="false" customHeight="false" outlineLevel="0" collapsed="false">
      <c r="A261" s="0" t="n">
        <v>1275</v>
      </c>
      <c r="B261" s="38" t="n">
        <f aca="false">A261/1440</f>
        <v>0.885416666666667</v>
      </c>
      <c r="C261" s="39" t="n">
        <f aca="false">IF(C$4=0,0,IF(COUNTIFS(実績!$W$6:$W$505,C$3,実績!$AI$6:$AI$505,"&lt;="&amp;$A261,実績!$AJ$6:$AJ$505,"&gt;"&amp;$A261,実績!$AK$6:$AK$505,"○")&gt;0,1,0))</f>
        <v>0</v>
      </c>
      <c r="D261" s="39" t="n">
        <f aca="false">IF(D$4=0,0,IF(COUNTIFS(実績!$W$6:$W$505,D$3,実績!$AI$6:$AI$505,"&lt;="&amp;$A261,実績!$AJ$6:$AJ$505,"&gt;"&amp;$A261,実績!$AK$6:$AK$505,"○")&gt;0,1,0))</f>
        <v>0</v>
      </c>
      <c r="E261" s="39" t="n">
        <f aca="false">IF(E$4=0,0,IF(COUNTIFS(実績!$W$6:$W$505,E$3,実績!$AI$6:$AI$505,"&lt;="&amp;$A261,実績!$AJ$6:$AJ$505,"&gt;"&amp;$A261,実績!$AK$6:$AK$505,"○")&gt;0,1,0))</f>
        <v>0</v>
      </c>
      <c r="F261" s="39" t="n">
        <f aca="false">IF(F$4=0,0,IF(COUNTIFS(実績!$W$6:$W$505,F$3,実績!$AI$6:$AI$505,"&lt;="&amp;$A261,実績!$AJ$6:$AJ$505,"&gt;"&amp;$A261,実績!$AK$6:$AK$505,"○")&gt;0,1,0))</f>
        <v>0</v>
      </c>
      <c r="G261" s="39" t="n">
        <f aca="false">IF(G$4=0,0,IF(COUNTIFS(実績!$W$6:$W$505,G$3,実績!$AI$6:$AI$505,"&lt;="&amp;$A261,実績!$AJ$6:$AJ$505,"&gt;"&amp;$A261,実績!$AK$6:$AK$505,"○")&gt;0,1,0))</f>
        <v>0</v>
      </c>
      <c r="H261" s="39" t="n">
        <f aca="false">IF(H$4=0,0,IF(COUNTIFS(実績!$W$6:$W$505,H$3,実績!$AI$6:$AI$505,"&lt;="&amp;$A261,実績!$AJ$6:$AJ$505,"&gt;"&amp;$A261,実績!$AK$6:$AK$505,"○")&gt;0,1,0))</f>
        <v>0</v>
      </c>
      <c r="I261" s="39" t="n">
        <f aca="false">IF(I$4=0,0,IF(COUNTIFS(実績!$W$6:$W$505,I$3,実績!$AI$6:$AI$505,"&lt;="&amp;$A261,実績!$AJ$6:$AJ$505,"&gt;"&amp;$A261,実績!$AK$6:$AK$505,"○")&gt;0,1,0))</f>
        <v>0</v>
      </c>
      <c r="J261" s="39" t="n">
        <f aca="false">IF(J$4=0,0,IF(COUNTIFS(実績!$W$6:$W$505,J$3,実績!$AI$6:$AI$505,"&lt;="&amp;$A261,実績!$AJ$6:$AJ$505,"&gt;"&amp;$A261,実績!$AK$6:$AK$505,"○")&gt;0,1,0))</f>
        <v>0</v>
      </c>
      <c r="K261" s="39" t="n">
        <f aca="false">IF(K$4=0,0,IF(COUNTIFS(実績!$W$6:$W$505,K$3,実績!$AI$6:$AI$505,"&lt;="&amp;$A261,実績!$AJ$6:$AJ$505,"&gt;"&amp;$A261,実績!$AK$6:$AK$505,"○")&gt;0,1,0))</f>
        <v>0</v>
      </c>
      <c r="L261" s="39" t="n">
        <f aca="false">IF(L$4=0,0,IF(COUNTIFS(実績!$W$6:$W$505,L$3,実績!$AI$6:$AI$505,"&lt;="&amp;$A261,実績!$AJ$6:$AJ$505,"&gt;"&amp;$A261,実績!$AK$6:$AK$505,"○")&gt;0,1,0))</f>
        <v>0</v>
      </c>
      <c r="M261" s="39" t="n">
        <f aca="false">IF(M$4=0,0,IF(COUNTIFS(実績!$W$6:$W$505,M$3,実績!$AI$6:$AI$505,"&lt;="&amp;$A261,実績!$AJ$6:$AJ$505,"&gt;"&amp;$A261,実績!$AK$6:$AK$505,"○")&gt;0,1,0))</f>
        <v>0</v>
      </c>
      <c r="N261" s="39" t="n">
        <f aca="false">IF(N$4=0,0,IF(COUNTIFS(実績!$W$6:$W$505,N$3,実績!$AI$6:$AI$505,"&lt;="&amp;$A261,実績!$AJ$6:$AJ$505,"&gt;"&amp;$A261,実績!$AK$6:$AK$505,"○")&gt;0,1,0))</f>
        <v>0</v>
      </c>
      <c r="O261" s="39" t="n">
        <f aca="false">IF(O$4=0,0,IF(COUNTIFS(実績!$W$6:$W$505,O$3,実績!$AI$6:$AI$505,"&lt;="&amp;$A261,実績!$AJ$6:$AJ$505,"&gt;"&amp;$A261,実績!$AK$6:$AK$505,"○")&gt;0,1,0))</f>
        <v>0</v>
      </c>
      <c r="P261" s="39" t="n">
        <f aca="false">IF(P$4=0,0,IF(COUNTIFS(実績!$W$6:$W$505,P$3,実績!$AI$6:$AI$505,"&lt;="&amp;$A261,実績!$AJ$6:$AJ$505,"&gt;"&amp;$A261,実績!$AK$6:$AK$505,"○")&gt;0,1,0))</f>
        <v>0</v>
      </c>
      <c r="Q261" s="39" t="n">
        <f aca="false">IF(Q$4=0,0,IF(COUNTIFS(実績!$W$6:$W$505,Q$3,実績!$AI$6:$AI$505,"&lt;="&amp;$A261,実績!$AJ$6:$AJ$505,"&gt;"&amp;$A261,実績!$AK$6:$AK$505,"○")&gt;0,1,0))</f>
        <v>0</v>
      </c>
      <c r="R261" s="39" t="n">
        <f aca="false">IF(R$4=0,0,IF(COUNTIFS(実績!$W$6:$W$505,R$3,実績!$AI$6:$AI$505,"&lt;="&amp;$A261,実績!$AJ$6:$AJ$505,"&gt;"&amp;$A261,実績!$AK$6:$AK$505,"○")&gt;0,1,0))</f>
        <v>0</v>
      </c>
      <c r="S261" s="39" t="n">
        <f aca="false">IF(S$4=0,0,IF(COUNTIFS(実績!$W$6:$W$505,S$3,実績!$AI$6:$AI$505,"&lt;="&amp;$A261,実績!$AJ$6:$AJ$505,"&gt;"&amp;$A261,実績!$AK$6:$AK$505,"○")&gt;0,1,0))</f>
        <v>0</v>
      </c>
      <c r="T261" s="39" t="n">
        <f aca="false">IF(T$4=0,0,IF(COUNTIFS(実績!$W$6:$W$505,T$3,実績!$AI$6:$AI$505,"&lt;="&amp;$A261,実績!$AJ$6:$AJ$505,"&gt;"&amp;$A261,実績!$AK$6:$AK$505,"○")&gt;0,1,0))</f>
        <v>0</v>
      </c>
      <c r="U261" s="39" t="n">
        <f aca="false">IF(U$4=0,0,IF(COUNTIFS(実績!$W$6:$W$505,U$3,実績!$AI$6:$AI$505,"&lt;="&amp;$A261,実績!$AJ$6:$AJ$505,"&gt;"&amp;$A261,実績!$AK$6:$AK$505,"○")&gt;0,1,0))</f>
        <v>0</v>
      </c>
      <c r="V261" s="39" t="n">
        <f aca="false">IF(V$4=0,0,IF(COUNTIFS(実績!$W$6:$W$505,V$3,実績!$AI$6:$AI$505,"&lt;="&amp;$A261,実績!$AJ$6:$AJ$505,"&gt;"&amp;$A261,実績!$AK$6:$AK$505,"○")&gt;0,1,0))</f>
        <v>0</v>
      </c>
      <c r="W261" s="39" t="n">
        <f aca="false">IF(W$4=0,0,IF(COUNTIFS(実績!$W$6:$W$505,W$3,実績!$AI$6:$AI$505,"&lt;="&amp;$A261,実績!$AJ$6:$AJ$505,"&gt;"&amp;$A261,実績!$AK$6:$AK$505,"○")&gt;0,1,0))</f>
        <v>0</v>
      </c>
      <c r="X261" s="39" t="n">
        <f aca="false">IF(X$4=0,0,IF(COUNTIFS(実績!$W$6:$W$505,X$3,実績!$AI$6:$AI$505,"&lt;="&amp;$A261,実績!$AJ$6:$AJ$505,"&gt;"&amp;$A261,実績!$AK$6:$AK$505,"○")&gt;0,1,0))</f>
        <v>0</v>
      </c>
      <c r="Y261" s="39" t="n">
        <f aca="false">IF(Y$4=0,0,IF(COUNTIFS(実績!$W$6:$W$505,Y$3,実績!$AI$6:$AI$505,"&lt;="&amp;$A261,実績!$AJ$6:$AJ$505,"&gt;"&amp;$A261,実績!$AK$6:$AK$505,"○")&gt;0,1,0))</f>
        <v>0</v>
      </c>
      <c r="Z261" s="39" t="n">
        <f aca="false">IF(Z$4=0,0,IF(COUNTIFS(実績!$W$6:$W$505,Z$3,実績!$AI$6:$AI$505,"&lt;="&amp;$A261,実績!$AJ$6:$AJ$505,"&gt;"&amp;$A261,実績!$AK$6:$AK$505,"○")&gt;0,1,0))</f>
        <v>0</v>
      </c>
      <c r="AA261" s="39" t="n">
        <f aca="false">IF(AA$4=0,0,IF(COUNTIFS(実績!$W$6:$W$505,AA$3,実績!$AI$6:$AI$505,"&lt;="&amp;$A261,実績!$AJ$6:$AJ$505,"&gt;"&amp;$A261,実績!$AK$6:$AK$505,"○")&gt;0,1,0))</f>
        <v>0</v>
      </c>
      <c r="AB261" s="39" t="n">
        <f aca="false">IF(AB$4=0,0,IF(COUNTIFS(実績!$W$6:$W$505,AB$3,実績!$AI$6:$AI$505,"&lt;="&amp;$A261,実績!$AJ$6:$AJ$505,"&gt;"&amp;$A261,実績!$AK$6:$AK$505,"○")&gt;0,1,0))</f>
        <v>0</v>
      </c>
      <c r="AC261" s="39" t="n">
        <f aca="false">IF(AC$4=0,0,IF(COUNTIFS(実績!$W$6:$W$505,AC$3,実績!$AI$6:$AI$505,"&lt;="&amp;$A261,実績!$AJ$6:$AJ$505,"&gt;"&amp;$A261,実績!$AK$6:$AK$505,"○")&gt;0,1,0))</f>
        <v>0</v>
      </c>
      <c r="AD261" s="39" t="n">
        <f aca="false">IF(AD$4=0,0,IF(COUNTIFS(実績!$W$6:$W$505,AD$3,実績!$AI$6:$AI$505,"&lt;="&amp;$A261,実績!$AJ$6:$AJ$505,"&gt;"&amp;$A261,実績!$AK$6:$AK$505,"○")&gt;0,1,0))</f>
        <v>0</v>
      </c>
      <c r="AE261" s="39" t="n">
        <f aca="false">IF(AE$4=0,0,IF(COUNTIFS(実績!$W$6:$W$505,AE$3,実績!$AI$6:$AI$505,"&lt;="&amp;$A261,実績!$AJ$6:$AJ$505,"&gt;"&amp;$A261,実績!$AK$6:$AK$505,"○")&gt;0,1,0))</f>
        <v>0</v>
      </c>
      <c r="AF261" s="39" t="n">
        <f aca="false">IF(AF$4=0,0,IF(COUNTIFS(実績!$W$6:$W$505,AF$3,実績!$AI$6:$AI$505,"&lt;="&amp;$A261,実績!$AJ$6:$AJ$505,"&gt;"&amp;$A261,実績!$AK$6:$AK$505,"○")&gt;0,1,0))</f>
        <v>0</v>
      </c>
      <c r="AG261" s="39" t="n">
        <f aca="false">IF(AG$4=0,0,IF(COUNTIFS(実績!$W$6:$W$505,AG$3,実績!$AI$6:$AI$505,"&lt;="&amp;$A261,実績!$AJ$6:$AJ$505,"&gt;"&amp;$A261,実績!$AK$6:$AK$505,"○")&gt;0,1,0))</f>
        <v>0</v>
      </c>
      <c r="AH261" s="39" t="n">
        <f aca="false">IF(AH$4=0,0,IF(COUNTIFS(実績!$W$6:$W$505,AH$3,実績!$AI$6:$AI$505,"&lt;="&amp;$A261,実績!$AJ$6:$AJ$505,"&gt;"&amp;$A261,実績!$AK$6:$AK$505,"○")&gt;0,1,0))</f>
        <v>0</v>
      </c>
      <c r="AI261" s="39" t="n">
        <f aca="false">IF(AI$4=0,0,IF(COUNTIFS(実績!$W$6:$W$505,AI$3,実績!$AI$6:$AI$505,"&lt;="&amp;$A261,実績!$AJ$6:$AJ$505,"&gt;"&amp;$A261,実績!$AK$6:$AK$505,"○")&gt;0,1,0))</f>
        <v>0</v>
      </c>
      <c r="AJ261" s="39" t="n">
        <f aca="false">IF(AJ$4=0,0,IF(COUNTIFS(実績!$W$6:$W$505,AJ$3,実績!$AI$6:$AI$505,"&lt;="&amp;$A261,実績!$AJ$6:$AJ$505,"&gt;"&amp;$A261,実績!$AK$6:$AK$505,"○")&gt;0,1,0))</f>
        <v>0</v>
      </c>
      <c r="AK261" s="39" t="n">
        <f aca="false">IF(AK$4=0,0,IF(COUNTIFS(実績!$W$6:$W$505,AK$3,実績!$AI$6:$AI$505,"&lt;="&amp;$A261,実績!$AJ$6:$AJ$505,"&gt;"&amp;$A261,実績!$AK$6:$AK$505,"○")&gt;0,1,0))</f>
        <v>0</v>
      </c>
      <c r="AL261" s="39" t="n">
        <f aca="false">IF(AL$4=0,0,IF(COUNTIFS(実績!$W$6:$W$505,AL$3,実績!$AI$6:$AI$505,"&lt;="&amp;$A261,実績!$AJ$6:$AJ$505,"&gt;"&amp;$A261,実績!$AK$6:$AK$505,"○")&gt;0,1,0))</f>
        <v>0</v>
      </c>
      <c r="AM261" s="39" t="n">
        <f aca="false">IF(AM$4=0,0,IF(COUNTIFS(実績!$W$6:$W$505,AM$3,実績!$AI$6:$AI$505,"&lt;="&amp;$A261,実績!$AJ$6:$AJ$505,"&gt;"&amp;$A261,実績!$AK$6:$AK$505,"○")&gt;0,1,0))</f>
        <v>0</v>
      </c>
      <c r="AN261" s="39" t="n">
        <f aca="false">IF(AN$4=0,0,IF(COUNTIFS(実績!$W$6:$W$505,AN$3,実績!$AI$6:$AI$505,"&lt;="&amp;$A261,実績!$AJ$6:$AJ$505,"&gt;"&amp;$A261,実績!$AK$6:$AK$505,"○")&gt;0,1,0))</f>
        <v>0</v>
      </c>
      <c r="AO261" s="39" t="n">
        <f aca="false">IF(AO$4=0,0,IF(COUNTIFS(実績!$W$6:$W$505,AO$3,実績!$AI$6:$AI$505,"&lt;="&amp;$A261,実績!$AJ$6:$AJ$505,"&gt;"&amp;$A261,実績!$AK$6:$AK$505,"○")&gt;0,1,0))</f>
        <v>0</v>
      </c>
      <c r="AP261" s="39" t="n">
        <f aca="false">IF(AP$4=0,0,IF(COUNTIFS(実績!$W$6:$W$505,AP$3,実績!$AI$6:$AI$505,"&lt;="&amp;$A261,実績!$AJ$6:$AJ$505,"&gt;"&amp;$A261,実績!$AK$6:$AK$505,"○")&gt;0,1,0))</f>
        <v>0</v>
      </c>
      <c r="AQ261" s="39" t="n">
        <f aca="false">IF(AQ$4=0,0,IF(COUNTIFS(実績!$W$6:$W$505,AQ$3,実績!$AI$6:$AI$505,"&lt;="&amp;$A261,実績!$AJ$6:$AJ$505,"&gt;"&amp;$A261,実績!$AK$6:$AK$505,"○")&gt;0,1,0))</f>
        <v>0</v>
      </c>
      <c r="AR261" s="39" t="n">
        <f aca="false">IF(AR$4=0,0,IF(COUNTIFS(実績!$W$6:$W$505,AR$3,実績!$AI$6:$AI$505,"&lt;="&amp;$A261,実績!$AJ$6:$AJ$505,"&gt;"&amp;$A261,実績!$AK$6:$AK$505,"○")&gt;0,1,0))</f>
        <v>0</v>
      </c>
      <c r="AS261" s="39" t="n">
        <f aca="false">IF(AS$4=0,0,IF(COUNTIFS(実績!$W$6:$W$505,AS$3,実績!$AI$6:$AI$505,"&lt;="&amp;$A261,実績!$AJ$6:$AJ$505,"&gt;"&amp;$A261,実績!$AK$6:$AK$505,"○")&gt;0,1,0))</f>
        <v>0</v>
      </c>
      <c r="AT261" s="39" t="n">
        <f aca="false">IF(AT$4=0,0,IF(COUNTIFS(実績!$W$6:$W$505,AT$3,実績!$AI$6:$AI$505,"&lt;="&amp;$A261,実績!$AJ$6:$AJ$505,"&gt;"&amp;$A261,実績!$AK$6:$AK$505,"○")&gt;0,1,0))</f>
        <v>0</v>
      </c>
      <c r="AU261" s="39" t="n">
        <f aca="false">IF(AU$4=0,0,IF(COUNTIFS(実績!$W$6:$W$505,AU$3,実績!$AI$6:$AI$505,"&lt;="&amp;$A261,実績!$AJ$6:$AJ$505,"&gt;"&amp;$A261,実績!$AK$6:$AK$505,"○")&gt;0,1,0))</f>
        <v>0</v>
      </c>
      <c r="AV261" s="39" t="n">
        <f aca="false">IF(AV$4=0,0,IF(COUNTIFS(実績!$W$6:$W$505,AV$3,実績!$AI$6:$AI$505,"&lt;="&amp;$A261,実績!$AJ$6:$AJ$505,"&gt;"&amp;$A261,実績!$AK$6:$AK$505,"○")&gt;0,1,0))</f>
        <v>0</v>
      </c>
      <c r="AW261" s="39" t="n">
        <f aca="false">IF(AW$4=0,0,IF(COUNTIFS(実績!$W$6:$W$505,AW$3,実績!$AI$6:$AI$505,"&lt;="&amp;$A261,実績!$AJ$6:$AJ$505,"&gt;"&amp;$A261,実績!$AK$6:$AK$505,"○")&gt;0,1,0))</f>
        <v>0</v>
      </c>
      <c r="AX261" s="39" t="n">
        <f aca="false">IF(AX$4=0,0,IF(COUNTIFS(実績!$W$6:$W$505,AX$3,実績!$AI$6:$AI$505,"&lt;="&amp;$A261,実績!$AJ$6:$AJ$505,"&gt;"&amp;$A261,実績!$AK$6:$AK$505,"○")&gt;0,1,0))</f>
        <v>0</v>
      </c>
      <c r="AY261" s="39" t="n">
        <f aca="false">IF(AY$4=0,0,IF(COUNTIFS(実績!$W$6:$W$505,AY$3,実績!$AI$6:$AI$505,"&lt;="&amp;$A261,実績!$AJ$6:$AJ$505,"&gt;"&amp;$A261,実績!$AK$6:$AK$505,"○")&gt;0,1,0))</f>
        <v>0</v>
      </c>
      <c r="AZ261" s="39" t="n">
        <f aca="false">IF(AZ$4=0,0,IF(COUNTIFS(実績!$W$6:$W$505,AZ$3,実績!$AI$6:$AI$505,"&lt;="&amp;$A261,実績!$AJ$6:$AJ$505,"&gt;"&amp;$A261,実績!$AK$6:$AK$505,"○")&gt;0,1,0))</f>
        <v>0</v>
      </c>
      <c r="BA261" s="39" t="n">
        <f aca="false">IF(BA$4=0,0,IF(COUNTIFS(実績!$W$6:$W$505,BA$3,実績!$AI$6:$AI$505,"&lt;="&amp;$A261,実績!$AJ$6:$AJ$505,"&gt;"&amp;$A261,実績!$AK$6:$AK$505,"○")&gt;0,1,0))</f>
        <v>0</v>
      </c>
      <c r="BB261" s="39" t="n">
        <f aca="false">IF(BB$4=0,0,IF(COUNTIFS(実績!$W$6:$W$505,BB$3,実績!$AI$6:$AI$505,"&lt;="&amp;$A261,実績!$AJ$6:$AJ$505,"&gt;"&amp;$A261,実績!$AK$6:$AK$505,"○")&gt;0,1,0))</f>
        <v>0</v>
      </c>
      <c r="BC261" s="39" t="n">
        <f aca="false">IF(BC$4=0,0,IF(COUNTIFS(実績!$W$6:$W$505,BC$3,実績!$AI$6:$AI$505,"&lt;="&amp;$A261,実績!$AJ$6:$AJ$505,"&gt;"&amp;$A261,実績!$AK$6:$AK$505,"○")&gt;0,1,0))</f>
        <v>0</v>
      </c>
      <c r="BD261" s="39" t="n">
        <f aca="false">IF(BD$4=0,0,IF(COUNTIFS(実績!$W$6:$W$505,BD$3,実績!$AI$6:$AI$505,"&lt;="&amp;$A261,実績!$AJ$6:$AJ$505,"&gt;"&amp;$A261,実績!$AK$6:$AK$505,"○")&gt;0,1,0))</f>
        <v>0</v>
      </c>
      <c r="BE261" s="39" t="n">
        <f aca="false">IF(BE$4=0,0,IF(COUNTIFS(実績!$W$6:$W$505,BE$3,実績!$AI$6:$AI$505,"&lt;="&amp;$A261,実績!$AJ$6:$AJ$505,"&gt;"&amp;$A261,実績!$AK$6:$AK$505,"○")&gt;0,1,0))</f>
        <v>0</v>
      </c>
      <c r="BF261" s="39" t="n">
        <f aca="false">IF(BF$4=0,0,IF(COUNTIFS(実績!$W$6:$W$505,BF$3,実績!$AI$6:$AI$505,"&lt;="&amp;$A261,実績!$AJ$6:$AJ$505,"&gt;"&amp;$A261,実績!$AK$6:$AK$505,"○")&gt;0,1,0))</f>
        <v>0</v>
      </c>
      <c r="BG261" s="39" t="n">
        <f aca="false">IF(BG$4=0,0,IF(COUNTIFS(実績!$W$6:$W$505,BG$3,実績!$AI$6:$AI$505,"&lt;="&amp;$A261,実績!$AJ$6:$AJ$505,"&gt;"&amp;$A261,実績!$AK$6:$AK$505,"○")&gt;0,1,0))</f>
        <v>0</v>
      </c>
      <c r="BH261" s="39" t="n">
        <f aca="false">IF(BH$4=0,0,IF(COUNTIFS(実績!$W$6:$W$505,BH$3,実績!$AI$6:$AI$505,"&lt;="&amp;$A261,実績!$AJ$6:$AJ$505,"&gt;"&amp;$A261,実績!$AK$6:$AK$505,"○")&gt;0,1,0))</f>
        <v>0</v>
      </c>
      <c r="BI261" s="39" t="n">
        <f aca="false">IF(BI$4=0,0,IF(COUNTIFS(実績!$W$6:$W$505,BI$3,実績!$AI$6:$AI$505,"&lt;="&amp;$A261,実績!$AJ$6:$AJ$505,"&gt;"&amp;$A261,実績!$AK$6:$AK$505,"○")&gt;0,1,0))</f>
        <v>0</v>
      </c>
      <c r="BJ261" s="39" t="n">
        <f aca="false">IF(BJ$4=0,0,IF(COUNTIFS(実績!$W$6:$W$505,BJ$3,実績!$AI$6:$AI$505,"&lt;="&amp;$A261,実績!$AJ$6:$AJ$505,"&gt;"&amp;$A261,実績!$AK$6:$AK$505,"○")&gt;0,1,0))</f>
        <v>0</v>
      </c>
      <c r="BK261" s="39" t="n">
        <f aca="false">IF(BK$4=0,0,IF(COUNTIFS(実績!$W$6:$W$505,BK$3,実績!$AI$6:$AI$505,"&lt;="&amp;$A261,実績!$AJ$6:$AJ$505,"&gt;"&amp;$A261,実績!$AK$6:$AK$505,"○")&gt;0,1,0))</f>
        <v>0</v>
      </c>
      <c r="BL261" s="39" t="n">
        <f aca="false">IF(BL$4=0,0,IF(COUNTIFS(実績!$W$6:$W$505,BL$3,実績!$AI$6:$AI$505,"&lt;="&amp;$A261,実績!$AJ$6:$AJ$505,"&gt;"&amp;$A261,実績!$AK$6:$AK$505,"○")&gt;0,1,0))</f>
        <v>0</v>
      </c>
      <c r="BM261" s="39" t="n">
        <f aca="false">IF(BM$4=0,0,IF(COUNTIFS(実績!$W$6:$W$505,BM$3,実績!$AI$6:$AI$505,"&lt;="&amp;$A261,実績!$AJ$6:$AJ$505,"&gt;"&amp;$A261,実績!$AK$6:$AK$505,"○")&gt;0,1,0))</f>
        <v>0</v>
      </c>
      <c r="BN261" s="39" t="n">
        <f aca="false">IF(BN$4=0,0,IF(COUNTIFS(実績!$W$6:$W$505,BN$3,実績!$AI$6:$AI$505,"&lt;="&amp;$A261,実績!$AJ$6:$AJ$505,"&gt;"&amp;$A261,実績!$AK$6:$AK$505,"○")&gt;0,1,0))</f>
        <v>0</v>
      </c>
      <c r="BO261" s="39" t="n">
        <f aca="false">IF(BO$4=0,0,IF(COUNTIFS(実績!$W$6:$W$505,BO$3,実績!$AI$6:$AI$505,"&lt;="&amp;$A261,実績!$AJ$6:$AJ$505,"&gt;"&amp;$A261,実績!$AK$6:$AK$505,"○")&gt;0,1,0))</f>
        <v>0</v>
      </c>
      <c r="BP261" s="39" t="n">
        <f aca="false">IF(BP$4=0,0,IF(COUNTIFS(実績!$W$6:$W$505,BP$3,実績!$AI$6:$AI$505,"&lt;="&amp;$A261,実績!$AJ$6:$AJ$505,"&gt;"&amp;$A261,実績!$AK$6:$AK$505,"○")&gt;0,1,0))</f>
        <v>0</v>
      </c>
      <c r="BQ261" s="39" t="n">
        <f aca="false">IF(BQ$4=0,0,IF(COUNTIFS(実績!$W$6:$W$505,BQ$3,実績!$AI$6:$AI$505,"&lt;="&amp;$A261,実績!$AJ$6:$AJ$505,"&gt;"&amp;$A261,実績!$AK$6:$AK$505,"○")&gt;0,1,0))</f>
        <v>0</v>
      </c>
      <c r="BR261" s="39" t="n">
        <f aca="false">IF(BR$4=0,0,IF(COUNTIFS(実績!$W$6:$W$505,BR$3,実績!$AI$6:$AI$505,"&lt;="&amp;$A261,実績!$AJ$6:$AJ$505,"&gt;"&amp;$A261,実績!$AK$6:$AK$505,"○")&gt;0,1,0))</f>
        <v>0</v>
      </c>
      <c r="BS261" s="39" t="n">
        <f aca="false">IF(BS$4=0,0,IF(COUNTIFS(実績!$W$6:$W$505,BS$3,実績!$AI$6:$AI$505,"&lt;="&amp;$A261,実績!$AJ$6:$AJ$505,"&gt;"&amp;$A261,実績!$AK$6:$AK$505,"○")&gt;0,1,0))</f>
        <v>0</v>
      </c>
      <c r="BT261" s="39" t="n">
        <f aca="false">IF(BT$4=0,0,IF(COUNTIFS(実績!$W$6:$W$505,BT$3,実績!$AI$6:$AI$505,"&lt;="&amp;$A261,実績!$AJ$6:$AJ$505,"&gt;"&amp;$A261,実績!$AK$6:$AK$505,"○")&gt;0,1,0))</f>
        <v>0</v>
      </c>
      <c r="BU261" s="39" t="n">
        <f aca="false">IF(BU$4=0,0,IF(COUNTIFS(実績!$W$6:$W$505,BU$3,実績!$AI$6:$AI$505,"&lt;="&amp;$A261,実績!$AJ$6:$AJ$505,"&gt;"&amp;$A261,実績!$AK$6:$AK$505,"○")&gt;0,1,0))</f>
        <v>0</v>
      </c>
      <c r="BV261" s="39" t="n">
        <f aca="false">IF(BV$4=0,0,IF(COUNTIFS(実績!$W$6:$W$505,BV$3,実績!$AI$6:$AI$505,"&lt;="&amp;$A261,実績!$AJ$6:$AJ$505,"&gt;"&amp;$A261,実績!$AK$6:$AK$505,"○")&gt;0,1,0))</f>
        <v>0</v>
      </c>
      <c r="BW261" s="39" t="n">
        <f aca="false">IF(BW$4=0,0,IF(COUNTIFS(実績!$W$6:$W$505,BW$3,実績!$AI$6:$AI$505,"&lt;="&amp;$A261,実績!$AJ$6:$AJ$505,"&gt;"&amp;$A261,実績!$AK$6:$AK$505,"○")&gt;0,1,0))</f>
        <v>0</v>
      </c>
      <c r="BX261" s="39" t="n">
        <f aca="false">IF(BX$4=0,0,IF(COUNTIFS(実績!$W$6:$W$505,BX$3,実績!$AI$6:$AI$505,"&lt;="&amp;$A261,実績!$AJ$6:$AJ$505,"&gt;"&amp;$A261,実績!$AK$6:$AK$505,"○")&gt;0,1,0))</f>
        <v>0</v>
      </c>
      <c r="BY261" s="39" t="n">
        <f aca="false">IF(BY$4=0,0,IF(COUNTIFS(実績!$W$6:$W$505,BY$3,実績!$AI$6:$AI$505,"&lt;="&amp;$A261,実績!$AJ$6:$AJ$505,"&gt;"&amp;$A261,実績!$AK$6:$AK$505,"○")&gt;0,1,0))</f>
        <v>0</v>
      </c>
      <c r="BZ261" s="39" t="n">
        <f aca="false">IF(BZ$4=0,0,IF(COUNTIFS(実績!$W$6:$W$505,BZ$3,実績!$AI$6:$AI$505,"&lt;="&amp;$A261,実績!$AJ$6:$AJ$505,"&gt;"&amp;$A261,実績!$AK$6:$AK$505,"○")&gt;0,1,0))</f>
        <v>0</v>
      </c>
      <c r="CA261" s="39" t="n">
        <f aca="false">IF(CA$4=0,0,IF(COUNTIFS(実績!$W$6:$W$505,CA$3,実績!$AI$6:$AI$505,"&lt;="&amp;$A261,実績!$AJ$6:$AJ$505,"&gt;"&amp;$A261,実績!$AK$6:$AK$505,"○")&gt;0,1,0))</f>
        <v>0</v>
      </c>
      <c r="CB261" s="39" t="n">
        <f aca="false">IF(CB$4=0,0,IF(COUNTIFS(実績!$W$6:$W$505,CB$3,実績!$AI$6:$AI$505,"&lt;="&amp;$A261,実績!$AJ$6:$AJ$505,"&gt;"&amp;$A261,実績!$AK$6:$AK$505,"○")&gt;0,1,0))</f>
        <v>0</v>
      </c>
      <c r="CC261" s="39" t="n">
        <f aca="false">IF(CC$4=0,0,IF(COUNTIFS(実績!$W$6:$W$505,CC$3,実績!$AI$6:$AI$505,"&lt;="&amp;$A261,実績!$AJ$6:$AJ$505,"&gt;"&amp;$A261,実績!$AK$6:$AK$505,"○")&gt;0,1,0))</f>
        <v>0</v>
      </c>
      <c r="CD261" s="39" t="n">
        <f aca="false">IF(CD$4=0,0,IF(COUNTIFS(実績!$W$6:$W$505,CD$3,実績!$AI$6:$AI$505,"&lt;="&amp;$A261,実績!$AJ$6:$AJ$505,"&gt;"&amp;$A261,実績!$AK$6:$AK$505,"○")&gt;0,1,0))</f>
        <v>0</v>
      </c>
      <c r="CE261" s="39" t="n">
        <f aca="false">IF(CE$4=0,0,IF(COUNTIFS(実績!$W$6:$W$505,CE$3,実績!$AI$6:$AI$505,"&lt;="&amp;$A261,実績!$AJ$6:$AJ$505,"&gt;"&amp;$A261,実績!$AK$6:$AK$505,"○")&gt;0,1,0))</f>
        <v>0</v>
      </c>
      <c r="CF261" s="39" t="n">
        <f aca="false">IF(CF$4=0,0,IF(COUNTIFS(実績!$W$6:$W$505,CF$3,実績!$AI$6:$AI$505,"&lt;="&amp;$A261,実績!$AJ$6:$AJ$505,"&gt;"&amp;$A261,実績!$AK$6:$AK$505,"○")&gt;0,1,0))</f>
        <v>0</v>
      </c>
      <c r="CG261" s="39" t="n">
        <f aca="false">IF(CG$4=0,0,IF(COUNTIFS(実績!$W$6:$W$505,CG$3,実績!$AI$6:$AI$505,"&lt;="&amp;$A261,実績!$AJ$6:$AJ$505,"&gt;"&amp;$A261,実績!$AK$6:$AK$505,"○")&gt;0,1,0))</f>
        <v>0</v>
      </c>
      <c r="CH261" s="39" t="n">
        <f aca="false">IF(CH$4=0,0,IF(COUNTIFS(実績!$W$6:$W$505,CH$3,実績!$AI$6:$AI$505,"&lt;="&amp;$A261,実績!$AJ$6:$AJ$505,"&gt;"&amp;$A261,実績!$AK$6:$AK$505,"○")&gt;0,1,0))</f>
        <v>0</v>
      </c>
      <c r="CI261" s="39" t="n">
        <f aca="false">IF(CI$4=0,0,IF(COUNTIFS(実績!$W$6:$W$505,CI$3,実績!$AI$6:$AI$505,"&lt;="&amp;$A261,実績!$AJ$6:$AJ$505,"&gt;"&amp;$A261,実績!$AK$6:$AK$505,"○")&gt;0,1,0))</f>
        <v>0</v>
      </c>
      <c r="CJ261" s="39" t="n">
        <f aca="false">IF(CJ$4=0,0,IF(COUNTIFS(実績!$W$6:$W$505,CJ$3,実績!$AI$6:$AI$505,"&lt;="&amp;$A261,実績!$AJ$6:$AJ$505,"&gt;"&amp;$A261,実績!$AK$6:$AK$505,"○")&gt;0,1,0))</f>
        <v>0</v>
      </c>
      <c r="CK261" s="39" t="n">
        <f aca="false">IF(CK$4=0,0,IF(COUNTIFS(実績!$W$6:$W$505,CK$3,実績!$AI$6:$AI$505,"&lt;="&amp;$A261,実績!$AJ$6:$AJ$505,"&gt;"&amp;$A261,実績!$AK$6:$AK$505,"○")&gt;0,1,0))</f>
        <v>0</v>
      </c>
      <c r="CL261" s="39" t="n">
        <f aca="false">IF(CL$4=0,0,IF(COUNTIFS(実績!$W$6:$W$505,CL$3,実績!$AI$6:$AI$505,"&lt;="&amp;$A261,実績!$AJ$6:$AJ$505,"&gt;"&amp;$A261,実績!$AK$6:$AK$505,"○")&gt;0,1,0))</f>
        <v>0</v>
      </c>
      <c r="CM261" s="39" t="n">
        <f aca="false">IF(CM$4=0,0,IF(COUNTIFS(実績!$W$6:$W$505,CM$3,実績!$AI$6:$AI$505,"&lt;="&amp;$A261,実績!$AJ$6:$AJ$505,"&gt;"&amp;$A261,実績!$AK$6:$AK$505,"○")&gt;0,1,0))</f>
        <v>0</v>
      </c>
      <c r="CN261" s="39" t="n">
        <f aca="false">IF(CN$4=0,0,IF(COUNTIFS(実績!$W$6:$W$505,CN$3,実績!$AI$6:$AI$505,"&lt;="&amp;$A261,実績!$AJ$6:$AJ$505,"&gt;"&amp;$A261,実績!$AK$6:$AK$505,"○")&gt;0,1,0))</f>
        <v>0</v>
      </c>
      <c r="CO261" s="39" t="n">
        <f aca="false">IF(CO$4=0,0,IF(COUNTIFS(実績!$W$6:$W$505,CO$3,実績!$AI$6:$AI$505,"&lt;="&amp;$A261,実績!$AJ$6:$AJ$505,"&gt;"&amp;$A261,実績!$AK$6:$AK$505,"○")&gt;0,1,0))</f>
        <v>0</v>
      </c>
      <c r="CP261" s="39" t="n">
        <f aca="false">IF(CP$4=0,0,IF(COUNTIFS(実績!$W$6:$W$505,CP$3,実績!$AI$6:$AI$505,"&lt;="&amp;$A261,実績!$AJ$6:$AJ$505,"&gt;"&amp;$A261,実績!$AK$6:$AK$505,"○")&gt;0,1,0))</f>
        <v>0</v>
      </c>
      <c r="CQ261" s="39" t="n">
        <f aca="false">IF(CQ$4=0,0,IF(COUNTIFS(実績!$W$6:$W$505,CQ$3,実績!$AI$6:$AI$505,"&lt;="&amp;$A261,実績!$AJ$6:$AJ$505,"&gt;"&amp;$A261,実績!$AK$6:$AK$505,"○")&gt;0,1,0))</f>
        <v>0</v>
      </c>
      <c r="CR261" s="39" t="n">
        <f aca="false">IF(CR$4=0,0,IF(COUNTIFS(実績!$W$6:$W$505,CR$3,実績!$AI$6:$AI$505,"&lt;="&amp;$A261,実績!$AJ$6:$AJ$505,"&gt;"&amp;$A261,実績!$AK$6:$AK$505,"○")&gt;0,1,0))</f>
        <v>0</v>
      </c>
      <c r="CS261" s="39" t="n">
        <f aca="false">IF(CS$4=0,0,IF(COUNTIFS(実績!$W$6:$W$505,CS$3,実績!$AI$6:$AI$505,"&lt;="&amp;$A261,実績!$AJ$6:$AJ$505,"&gt;"&amp;$A261,実績!$AK$6:$AK$505,"○")&gt;0,1,0))</f>
        <v>0</v>
      </c>
      <c r="CT261" s="39" t="n">
        <f aca="false">IF(CT$4=0,0,IF(COUNTIFS(実績!$W$6:$W$505,CT$3,実績!$AI$6:$AI$505,"&lt;="&amp;$A261,実績!$AJ$6:$AJ$505,"&gt;"&amp;$A261,実績!$AK$6:$AK$505,"○")&gt;0,1,0))</f>
        <v>0</v>
      </c>
      <c r="CU261" s="39" t="n">
        <f aca="false">IF(CU$4=0,0,IF(COUNTIFS(実績!$W$6:$W$505,CU$3,実績!$AI$6:$AI$505,"&lt;="&amp;$A261,実績!$AJ$6:$AJ$505,"&gt;"&amp;$A261,実績!$AK$6:$AK$505,"○")&gt;0,1,0))</f>
        <v>0</v>
      </c>
      <c r="CV261" s="39" t="n">
        <f aca="false">IF(CV$4=0,0,IF(COUNTIFS(実績!$W$6:$W$505,CV$3,実績!$AI$6:$AI$505,"&lt;="&amp;$A261,実績!$AJ$6:$AJ$505,"&gt;"&amp;$A261,実績!$AK$6:$AK$505,"○")&gt;0,1,0))</f>
        <v>0</v>
      </c>
      <c r="CW261" s="39" t="n">
        <f aca="false">IF(CW$4=0,0,IF(COUNTIFS(実績!$W$6:$W$505,CW$3,実績!$AI$6:$AI$505,"&lt;="&amp;$A261,実績!$AJ$6:$AJ$505,"&gt;"&amp;$A261,実績!$AK$6:$AK$505,"○")&gt;0,1,0))</f>
        <v>0</v>
      </c>
      <c r="CX261" s="39" t="n">
        <f aca="false">IF(CX$4=0,0,IF(COUNTIFS(実績!$W$6:$W$505,CX$3,実績!$AI$6:$AI$505,"&lt;="&amp;$A261,実績!$AJ$6:$AJ$505,"&gt;"&amp;$A261,実績!$AK$6:$AK$505,"○")&gt;0,1,0))</f>
        <v>0</v>
      </c>
      <c r="CY261" s="39" t="n">
        <f aca="false">IF(CY$4=0,0,IF(COUNTIFS(実績!$W$6:$W$505,CY$3,実績!$AI$6:$AI$505,"&lt;="&amp;$A261,実績!$AJ$6:$AJ$505,"&gt;"&amp;$A261,実績!$AK$6:$AK$505,"○")&gt;0,1,0))</f>
        <v>0</v>
      </c>
      <c r="CZ261" s="39" t="n">
        <f aca="false">IF(CZ$4=0,0,IF(COUNTIFS(実績!$W$6:$W$505,CZ$3,実績!$AI$6:$AI$505,"&lt;="&amp;$A261,実績!$AJ$6:$AJ$505,"&gt;"&amp;$A261,実績!$AK$6:$AK$505,"○")&gt;0,1,0))</f>
        <v>0</v>
      </c>
      <c r="DA261" s="39" t="n">
        <f aca="false">IF(DA$4=0,0,IF(COUNTIFS(実績!$W$6:$W$505,DA$3,実績!$AI$6:$AI$505,"&lt;="&amp;$A261,実績!$AJ$6:$AJ$505,"&gt;"&amp;$A261,実績!$AK$6:$AK$505,"○")&gt;0,1,0))</f>
        <v>0</v>
      </c>
      <c r="DB261" s="39" t="n">
        <f aca="false">IF(DB$4=0,0,IF(COUNTIFS(実績!$W$6:$W$505,DB$3,実績!$AI$6:$AI$505,"&lt;="&amp;$A261,実績!$AJ$6:$AJ$505,"&gt;"&amp;$A261,実績!$AK$6:$AK$505,"○")&gt;0,1,0))</f>
        <v>0</v>
      </c>
      <c r="DC261" s="39" t="n">
        <f aca="false">IF(DC$4=0,0,IF(COUNTIFS(実績!$W$6:$W$505,DC$3,実績!$AI$6:$AI$505,"&lt;="&amp;$A261,実績!$AJ$6:$AJ$505,"&gt;"&amp;$A261,実績!$AK$6:$AK$505,"○")&gt;0,1,0))</f>
        <v>0</v>
      </c>
      <c r="DD261" s="39" t="n">
        <f aca="false">IF(DD$4=0,0,IF(COUNTIFS(実績!$W$6:$W$505,DD$3,実績!$AI$6:$AI$505,"&lt;="&amp;$A261,実績!$AJ$6:$AJ$505,"&gt;"&amp;$A261,実績!$AK$6:$AK$505,"○")&gt;0,1,0))</f>
        <v>0</v>
      </c>
      <c r="DE261" s="39" t="n">
        <f aca="false">IF(DE$4=0,0,IF(COUNTIFS(実績!$W$6:$W$505,DE$3,実績!$AI$6:$AI$505,"&lt;="&amp;$A261,実績!$AJ$6:$AJ$505,"&gt;"&amp;$A261,実績!$AK$6:$AK$505,"○")&gt;0,1,0))</f>
        <v>0</v>
      </c>
      <c r="DF261" s="39" t="n">
        <f aca="false">IF(DF$4=0,0,IF(COUNTIFS(実績!$W$6:$W$505,DF$3,実績!$AI$6:$AI$505,"&lt;="&amp;$A261,実績!$AJ$6:$AJ$505,"&gt;"&amp;$A261,実績!$AK$6:$AK$505,"○")&gt;0,1,0))</f>
        <v>0</v>
      </c>
      <c r="DG261" s="39" t="n">
        <f aca="false">IF(DG$4=0,0,IF(COUNTIFS(実績!$W$6:$W$505,DG$3,実績!$AI$6:$AI$505,"&lt;="&amp;$A261,実績!$AJ$6:$AJ$505,"&gt;"&amp;$A261,実績!$AK$6:$AK$505,"○")&gt;0,1,0))</f>
        <v>0</v>
      </c>
      <c r="DH261" s="39" t="n">
        <f aca="false">IF(DH$4=0,0,IF(COUNTIFS(実績!$W$6:$W$505,DH$3,実績!$AI$6:$AI$505,"&lt;="&amp;$A261,実績!$AJ$6:$AJ$505,"&gt;"&amp;$A261,実績!$AK$6:$AK$505,"○")&gt;0,1,0))</f>
        <v>0</v>
      </c>
      <c r="DI261" s="39" t="n">
        <f aca="false">IF(DI$4=0,0,IF(COUNTIFS(実績!$W$6:$W$505,DI$3,実績!$AI$6:$AI$505,"&lt;="&amp;$A261,実績!$AJ$6:$AJ$505,"&gt;"&amp;$A261,実績!$AK$6:$AK$505,"○")&gt;0,1,0))</f>
        <v>0</v>
      </c>
      <c r="DJ261" s="39" t="n">
        <f aca="false">IF(DJ$4=0,0,IF(COUNTIFS(実績!$W$6:$W$505,DJ$3,実績!$AI$6:$AI$505,"&lt;="&amp;$A261,実績!$AJ$6:$AJ$505,"&gt;"&amp;$A261,実績!$AK$6:$AK$505,"○")&gt;0,1,0))</f>
        <v>0</v>
      </c>
      <c r="DK261" s="39" t="n">
        <f aca="false">IF(DK$4=0,0,IF(COUNTIFS(実績!$W$6:$W$505,DK$3,実績!$AI$6:$AI$505,"&lt;="&amp;$A261,実績!$AJ$6:$AJ$505,"&gt;"&amp;$A261,実績!$AK$6:$AK$505,"○")&gt;0,1,0))</f>
        <v>0</v>
      </c>
      <c r="DL261" s="39" t="n">
        <f aca="false">IF(DL$4=0,0,IF(COUNTIFS(実績!$W$6:$W$505,DL$3,実績!$AI$6:$AI$505,"&lt;="&amp;$A261,実績!$AJ$6:$AJ$505,"&gt;"&amp;$A261,実績!$AK$6:$AK$505,"○")&gt;0,1,0))</f>
        <v>0</v>
      </c>
      <c r="DM261" s="39" t="n">
        <f aca="false">IF(DM$4=0,0,IF(COUNTIFS(実績!$W$6:$W$505,DM$3,実績!$AI$6:$AI$505,"&lt;="&amp;$A261,実績!$AJ$6:$AJ$505,"&gt;"&amp;$A261,実績!$AK$6:$AK$505,"○")&gt;0,1,0))</f>
        <v>0</v>
      </c>
      <c r="DN261" s="39" t="n">
        <f aca="false">IF(DN$4=0,0,IF(COUNTIFS(実績!$W$6:$W$505,DN$3,実績!$AI$6:$AI$505,"&lt;="&amp;$A261,実績!$AJ$6:$AJ$505,"&gt;"&amp;$A261,実績!$AK$6:$AK$505,"○")&gt;0,1,0))</f>
        <v>0</v>
      </c>
      <c r="DO261" s="39" t="n">
        <f aca="false">IF(DO$4=0,0,IF(COUNTIFS(実績!$W$6:$W$505,DO$3,実績!$AI$6:$AI$505,"&lt;="&amp;$A261,実績!$AJ$6:$AJ$505,"&gt;"&amp;$A261,実績!$AK$6:$AK$505,"○")&gt;0,1,0))</f>
        <v>0</v>
      </c>
      <c r="DP261" s="39" t="n">
        <f aca="false">IF(DP$4=0,0,IF(COUNTIFS(実績!$W$6:$W$505,DP$3,実績!$AI$6:$AI$505,"&lt;="&amp;$A261,実績!$AJ$6:$AJ$505,"&gt;"&amp;$A261,実績!$AK$6:$AK$505,"○")&gt;0,1,0))</f>
        <v>0</v>
      </c>
      <c r="DQ261" s="39" t="n">
        <f aca="false">IF(DQ$4=0,0,IF(COUNTIFS(実績!$W$6:$W$505,DQ$3,実績!$AI$6:$AI$505,"&lt;="&amp;$A261,実績!$AJ$6:$AJ$505,"&gt;"&amp;$A261,実績!$AK$6:$AK$505,"○")&gt;0,1,0))</f>
        <v>0</v>
      </c>
      <c r="DR261" s="39" t="n">
        <f aca="false">IF(DR$4=0,0,IF(COUNTIFS(実績!$W$6:$W$505,DR$3,実績!$AI$6:$AI$505,"&lt;="&amp;$A261,実績!$AJ$6:$AJ$505,"&gt;"&amp;$A261,実績!$AK$6:$AK$505,"○")&gt;0,1,0))</f>
        <v>0</v>
      </c>
      <c r="DS261" s="39" t="n">
        <f aca="false">SUM(C261:DR261)</f>
        <v>0</v>
      </c>
      <c r="DT261" s="39" t="n">
        <f aca="false">SUMPRODUCT((実績!$C$6:$C$505="○")*ISNUMBER(実績!$AM$6:$AM$505)*(実績!$AM$6:$AM$505&lt;=$A261)*(実績!$AN$6:$AN$505&gt;$A261))</f>
        <v>0</v>
      </c>
      <c r="DU261" s="39" t="n">
        <f aca="false">SUMIF($C$2:$DR$2,"製鉄曳船",C261:DR261)</f>
        <v>0</v>
      </c>
      <c r="DV261" s="39" t="n">
        <f aca="false">SUMIF($C$2:$DR$2,"西日本海運",C261:DR261)</f>
        <v>0</v>
      </c>
    </row>
    <row r="262" customFormat="false" ht="15" hidden="false" customHeight="false" outlineLevel="0" collapsed="false">
      <c r="A262" s="0" t="n">
        <v>1280</v>
      </c>
      <c r="B262" s="38" t="n">
        <f aca="false">A262/1440</f>
        <v>0.888888888888889</v>
      </c>
      <c r="C262" s="39" t="n">
        <f aca="false">IF(C$4=0,0,IF(COUNTIFS(実績!$W$6:$W$505,C$3,実績!$AI$6:$AI$505,"&lt;="&amp;$A262,実績!$AJ$6:$AJ$505,"&gt;"&amp;$A262,実績!$AK$6:$AK$505,"○")&gt;0,1,0))</f>
        <v>0</v>
      </c>
      <c r="D262" s="39" t="n">
        <f aca="false">IF(D$4=0,0,IF(COUNTIFS(実績!$W$6:$W$505,D$3,実績!$AI$6:$AI$505,"&lt;="&amp;$A262,実績!$AJ$6:$AJ$505,"&gt;"&amp;$A262,実績!$AK$6:$AK$505,"○")&gt;0,1,0))</f>
        <v>0</v>
      </c>
      <c r="E262" s="39" t="n">
        <f aca="false">IF(E$4=0,0,IF(COUNTIFS(実績!$W$6:$W$505,E$3,実績!$AI$6:$AI$505,"&lt;="&amp;$A262,実績!$AJ$6:$AJ$505,"&gt;"&amp;$A262,実績!$AK$6:$AK$505,"○")&gt;0,1,0))</f>
        <v>0</v>
      </c>
      <c r="F262" s="39" t="n">
        <f aca="false">IF(F$4=0,0,IF(COUNTIFS(実績!$W$6:$W$505,F$3,実績!$AI$6:$AI$505,"&lt;="&amp;$A262,実績!$AJ$6:$AJ$505,"&gt;"&amp;$A262,実績!$AK$6:$AK$505,"○")&gt;0,1,0))</f>
        <v>0</v>
      </c>
      <c r="G262" s="39" t="n">
        <f aca="false">IF(G$4=0,0,IF(COUNTIFS(実績!$W$6:$W$505,G$3,実績!$AI$6:$AI$505,"&lt;="&amp;$A262,実績!$AJ$6:$AJ$505,"&gt;"&amp;$A262,実績!$AK$6:$AK$505,"○")&gt;0,1,0))</f>
        <v>0</v>
      </c>
      <c r="H262" s="39" t="n">
        <f aca="false">IF(H$4=0,0,IF(COUNTIFS(実績!$W$6:$W$505,H$3,実績!$AI$6:$AI$505,"&lt;="&amp;$A262,実績!$AJ$6:$AJ$505,"&gt;"&amp;$A262,実績!$AK$6:$AK$505,"○")&gt;0,1,0))</f>
        <v>0</v>
      </c>
      <c r="I262" s="39" t="n">
        <f aca="false">IF(I$4=0,0,IF(COUNTIFS(実績!$W$6:$W$505,I$3,実績!$AI$6:$AI$505,"&lt;="&amp;$A262,実績!$AJ$6:$AJ$505,"&gt;"&amp;$A262,実績!$AK$6:$AK$505,"○")&gt;0,1,0))</f>
        <v>0</v>
      </c>
      <c r="J262" s="39" t="n">
        <f aca="false">IF(J$4=0,0,IF(COUNTIFS(実績!$W$6:$W$505,J$3,実績!$AI$6:$AI$505,"&lt;="&amp;$A262,実績!$AJ$6:$AJ$505,"&gt;"&amp;$A262,実績!$AK$6:$AK$505,"○")&gt;0,1,0))</f>
        <v>0</v>
      </c>
      <c r="K262" s="39" t="n">
        <f aca="false">IF(K$4=0,0,IF(COUNTIFS(実績!$W$6:$W$505,K$3,実績!$AI$6:$AI$505,"&lt;="&amp;$A262,実績!$AJ$6:$AJ$505,"&gt;"&amp;$A262,実績!$AK$6:$AK$505,"○")&gt;0,1,0))</f>
        <v>0</v>
      </c>
      <c r="L262" s="39" t="n">
        <f aca="false">IF(L$4=0,0,IF(COUNTIFS(実績!$W$6:$W$505,L$3,実績!$AI$6:$AI$505,"&lt;="&amp;$A262,実績!$AJ$6:$AJ$505,"&gt;"&amp;$A262,実績!$AK$6:$AK$505,"○")&gt;0,1,0))</f>
        <v>0</v>
      </c>
      <c r="M262" s="39" t="n">
        <f aca="false">IF(M$4=0,0,IF(COUNTIFS(実績!$W$6:$W$505,M$3,実績!$AI$6:$AI$505,"&lt;="&amp;$A262,実績!$AJ$6:$AJ$505,"&gt;"&amp;$A262,実績!$AK$6:$AK$505,"○")&gt;0,1,0))</f>
        <v>0</v>
      </c>
      <c r="N262" s="39" t="n">
        <f aca="false">IF(N$4=0,0,IF(COUNTIFS(実績!$W$6:$W$505,N$3,実績!$AI$6:$AI$505,"&lt;="&amp;$A262,実績!$AJ$6:$AJ$505,"&gt;"&amp;$A262,実績!$AK$6:$AK$505,"○")&gt;0,1,0))</f>
        <v>0</v>
      </c>
      <c r="O262" s="39" t="n">
        <f aca="false">IF(O$4=0,0,IF(COUNTIFS(実績!$W$6:$W$505,O$3,実績!$AI$6:$AI$505,"&lt;="&amp;$A262,実績!$AJ$6:$AJ$505,"&gt;"&amp;$A262,実績!$AK$6:$AK$505,"○")&gt;0,1,0))</f>
        <v>0</v>
      </c>
      <c r="P262" s="39" t="n">
        <f aca="false">IF(P$4=0,0,IF(COUNTIFS(実績!$W$6:$W$505,P$3,実績!$AI$6:$AI$505,"&lt;="&amp;$A262,実績!$AJ$6:$AJ$505,"&gt;"&amp;$A262,実績!$AK$6:$AK$505,"○")&gt;0,1,0))</f>
        <v>0</v>
      </c>
      <c r="Q262" s="39" t="n">
        <f aca="false">IF(Q$4=0,0,IF(COUNTIFS(実績!$W$6:$W$505,Q$3,実績!$AI$6:$AI$505,"&lt;="&amp;$A262,実績!$AJ$6:$AJ$505,"&gt;"&amp;$A262,実績!$AK$6:$AK$505,"○")&gt;0,1,0))</f>
        <v>0</v>
      </c>
      <c r="R262" s="39" t="n">
        <f aca="false">IF(R$4=0,0,IF(COUNTIFS(実績!$W$6:$W$505,R$3,実績!$AI$6:$AI$505,"&lt;="&amp;$A262,実績!$AJ$6:$AJ$505,"&gt;"&amp;$A262,実績!$AK$6:$AK$505,"○")&gt;0,1,0))</f>
        <v>0</v>
      </c>
      <c r="S262" s="39" t="n">
        <f aca="false">IF(S$4=0,0,IF(COUNTIFS(実績!$W$6:$W$505,S$3,実績!$AI$6:$AI$505,"&lt;="&amp;$A262,実績!$AJ$6:$AJ$505,"&gt;"&amp;$A262,実績!$AK$6:$AK$505,"○")&gt;0,1,0))</f>
        <v>0</v>
      </c>
      <c r="T262" s="39" t="n">
        <f aca="false">IF(T$4=0,0,IF(COUNTIFS(実績!$W$6:$W$505,T$3,実績!$AI$6:$AI$505,"&lt;="&amp;$A262,実績!$AJ$6:$AJ$505,"&gt;"&amp;$A262,実績!$AK$6:$AK$505,"○")&gt;0,1,0))</f>
        <v>0</v>
      </c>
      <c r="U262" s="39" t="n">
        <f aca="false">IF(U$4=0,0,IF(COUNTIFS(実績!$W$6:$W$505,U$3,実績!$AI$6:$AI$505,"&lt;="&amp;$A262,実績!$AJ$6:$AJ$505,"&gt;"&amp;$A262,実績!$AK$6:$AK$505,"○")&gt;0,1,0))</f>
        <v>0</v>
      </c>
      <c r="V262" s="39" t="n">
        <f aca="false">IF(V$4=0,0,IF(COUNTIFS(実績!$W$6:$W$505,V$3,実績!$AI$6:$AI$505,"&lt;="&amp;$A262,実績!$AJ$6:$AJ$505,"&gt;"&amp;$A262,実績!$AK$6:$AK$505,"○")&gt;0,1,0))</f>
        <v>0</v>
      </c>
      <c r="W262" s="39" t="n">
        <f aca="false">IF(W$4=0,0,IF(COUNTIFS(実績!$W$6:$W$505,W$3,実績!$AI$6:$AI$505,"&lt;="&amp;$A262,実績!$AJ$6:$AJ$505,"&gt;"&amp;$A262,実績!$AK$6:$AK$505,"○")&gt;0,1,0))</f>
        <v>0</v>
      </c>
      <c r="X262" s="39" t="n">
        <f aca="false">IF(X$4=0,0,IF(COUNTIFS(実績!$W$6:$W$505,X$3,実績!$AI$6:$AI$505,"&lt;="&amp;$A262,実績!$AJ$6:$AJ$505,"&gt;"&amp;$A262,実績!$AK$6:$AK$505,"○")&gt;0,1,0))</f>
        <v>0</v>
      </c>
      <c r="Y262" s="39" t="n">
        <f aca="false">IF(Y$4=0,0,IF(COUNTIFS(実績!$W$6:$W$505,Y$3,実績!$AI$6:$AI$505,"&lt;="&amp;$A262,実績!$AJ$6:$AJ$505,"&gt;"&amp;$A262,実績!$AK$6:$AK$505,"○")&gt;0,1,0))</f>
        <v>0</v>
      </c>
      <c r="Z262" s="39" t="n">
        <f aca="false">IF(Z$4=0,0,IF(COUNTIFS(実績!$W$6:$W$505,Z$3,実績!$AI$6:$AI$505,"&lt;="&amp;$A262,実績!$AJ$6:$AJ$505,"&gt;"&amp;$A262,実績!$AK$6:$AK$505,"○")&gt;0,1,0))</f>
        <v>0</v>
      </c>
      <c r="AA262" s="39" t="n">
        <f aca="false">IF(AA$4=0,0,IF(COUNTIFS(実績!$W$6:$W$505,AA$3,実績!$AI$6:$AI$505,"&lt;="&amp;$A262,実績!$AJ$6:$AJ$505,"&gt;"&amp;$A262,実績!$AK$6:$AK$505,"○")&gt;0,1,0))</f>
        <v>0</v>
      </c>
      <c r="AB262" s="39" t="n">
        <f aca="false">IF(AB$4=0,0,IF(COUNTIFS(実績!$W$6:$W$505,AB$3,実績!$AI$6:$AI$505,"&lt;="&amp;$A262,実績!$AJ$6:$AJ$505,"&gt;"&amp;$A262,実績!$AK$6:$AK$505,"○")&gt;0,1,0))</f>
        <v>0</v>
      </c>
      <c r="AC262" s="39" t="n">
        <f aca="false">IF(AC$4=0,0,IF(COUNTIFS(実績!$W$6:$W$505,AC$3,実績!$AI$6:$AI$505,"&lt;="&amp;$A262,実績!$AJ$6:$AJ$505,"&gt;"&amp;$A262,実績!$AK$6:$AK$505,"○")&gt;0,1,0))</f>
        <v>0</v>
      </c>
      <c r="AD262" s="39" t="n">
        <f aca="false">IF(AD$4=0,0,IF(COUNTIFS(実績!$W$6:$W$505,AD$3,実績!$AI$6:$AI$505,"&lt;="&amp;$A262,実績!$AJ$6:$AJ$505,"&gt;"&amp;$A262,実績!$AK$6:$AK$505,"○")&gt;0,1,0))</f>
        <v>0</v>
      </c>
      <c r="AE262" s="39" t="n">
        <f aca="false">IF(AE$4=0,0,IF(COUNTIFS(実績!$W$6:$W$505,AE$3,実績!$AI$6:$AI$505,"&lt;="&amp;$A262,実績!$AJ$6:$AJ$505,"&gt;"&amp;$A262,実績!$AK$6:$AK$505,"○")&gt;0,1,0))</f>
        <v>0</v>
      </c>
      <c r="AF262" s="39" t="n">
        <f aca="false">IF(AF$4=0,0,IF(COUNTIFS(実績!$W$6:$W$505,AF$3,実績!$AI$6:$AI$505,"&lt;="&amp;$A262,実績!$AJ$6:$AJ$505,"&gt;"&amp;$A262,実績!$AK$6:$AK$505,"○")&gt;0,1,0))</f>
        <v>0</v>
      </c>
      <c r="AG262" s="39" t="n">
        <f aca="false">IF(AG$4=0,0,IF(COUNTIFS(実績!$W$6:$W$505,AG$3,実績!$AI$6:$AI$505,"&lt;="&amp;$A262,実績!$AJ$6:$AJ$505,"&gt;"&amp;$A262,実績!$AK$6:$AK$505,"○")&gt;0,1,0))</f>
        <v>0</v>
      </c>
      <c r="AH262" s="39" t="n">
        <f aca="false">IF(AH$4=0,0,IF(COUNTIFS(実績!$W$6:$W$505,AH$3,実績!$AI$6:$AI$505,"&lt;="&amp;$A262,実績!$AJ$6:$AJ$505,"&gt;"&amp;$A262,実績!$AK$6:$AK$505,"○")&gt;0,1,0))</f>
        <v>0</v>
      </c>
      <c r="AI262" s="39" t="n">
        <f aca="false">IF(AI$4=0,0,IF(COUNTIFS(実績!$W$6:$W$505,AI$3,実績!$AI$6:$AI$505,"&lt;="&amp;$A262,実績!$AJ$6:$AJ$505,"&gt;"&amp;$A262,実績!$AK$6:$AK$505,"○")&gt;0,1,0))</f>
        <v>0</v>
      </c>
      <c r="AJ262" s="39" t="n">
        <f aca="false">IF(AJ$4=0,0,IF(COUNTIFS(実績!$W$6:$W$505,AJ$3,実績!$AI$6:$AI$505,"&lt;="&amp;$A262,実績!$AJ$6:$AJ$505,"&gt;"&amp;$A262,実績!$AK$6:$AK$505,"○")&gt;0,1,0))</f>
        <v>0</v>
      </c>
      <c r="AK262" s="39" t="n">
        <f aca="false">IF(AK$4=0,0,IF(COUNTIFS(実績!$W$6:$W$505,AK$3,実績!$AI$6:$AI$505,"&lt;="&amp;$A262,実績!$AJ$6:$AJ$505,"&gt;"&amp;$A262,実績!$AK$6:$AK$505,"○")&gt;0,1,0))</f>
        <v>0</v>
      </c>
      <c r="AL262" s="39" t="n">
        <f aca="false">IF(AL$4=0,0,IF(COUNTIFS(実績!$W$6:$W$505,AL$3,実績!$AI$6:$AI$505,"&lt;="&amp;$A262,実績!$AJ$6:$AJ$505,"&gt;"&amp;$A262,実績!$AK$6:$AK$505,"○")&gt;0,1,0))</f>
        <v>0</v>
      </c>
      <c r="AM262" s="39" t="n">
        <f aca="false">IF(AM$4=0,0,IF(COUNTIFS(実績!$W$6:$W$505,AM$3,実績!$AI$6:$AI$505,"&lt;="&amp;$A262,実績!$AJ$6:$AJ$505,"&gt;"&amp;$A262,実績!$AK$6:$AK$505,"○")&gt;0,1,0))</f>
        <v>0</v>
      </c>
      <c r="AN262" s="39" t="n">
        <f aca="false">IF(AN$4=0,0,IF(COUNTIFS(実績!$W$6:$W$505,AN$3,実績!$AI$6:$AI$505,"&lt;="&amp;$A262,実績!$AJ$6:$AJ$505,"&gt;"&amp;$A262,実績!$AK$6:$AK$505,"○")&gt;0,1,0))</f>
        <v>0</v>
      </c>
      <c r="AO262" s="39" t="n">
        <f aca="false">IF(AO$4=0,0,IF(COUNTIFS(実績!$W$6:$W$505,AO$3,実績!$AI$6:$AI$505,"&lt;="&amp;$A262,実績!$AJ$6:$AJ$505,"&gt;"&amp;$A262,実績!$AK$6:$AK$505,"○")&gt;0,1,0))</f>
        <v>0</v>
      </c>
      <c r="AP262" s="39" t="n">
        <f aca="false">IF(AP$4=0,0,IF(COUNTIFS(実績!$W$6:$W$505,AP$3,実績!$AI$6:$AI$505,"&lt;="&amp;$A262,実績!$AJ$6:$AJ$505,"&gt;"&amp;$A262,実績!$AK$6:$AK$505,"○")&gt;0,1,0))</f>
        <v>0</v>
      </c>
      <c r="AQ262" s="39" t="n">
        <f aca="false">IF(AQ$4=0,0,IF(COUNTIFS(実績!$W$6:$W$505,AQ$3,実績!$AI$6:$AI$505,"&lt;="&amp;$A262,実績!$AJ$6:$AJ$505,"&gt;"&amp;$A262,実績!$AK$6:$AK$505,"○")&gt;0,1,0))</f>
        <v>0</v>
      </c>
      <c r="AR262" s="39" t="n">
        <f aca="false">IF(AR$4=0,0,IF(COUNTIFS(実績!$W$6:$W$505,AR$3,実績!$AI$6:$AI$505,"&lt;="&amp;$A262,実績!$AJ$6:$AJ$505,"&gt;"&amp;$A262,実績!$AK$6:$AK$505,"○")&gt;0,1,0))</f>
        <v>0</v>
      </c>
      <c r="AS262" s="39" t="n">
        <f aca="false">IF(AS$4=0,0,IF(COUNTIFS(実績!$W$6:$W$505,AS$3,実績!$AI$6:$AI$505,"&lt;="&amp;$A262,実績!$AJ$6:$AJ$505,"&gt;"&amp;$A262,実績!$AK$6:$AK$505,"○")&gt;0,1,0))</f>
        <v>0</v>
      </c>
      <c r="AT262" s="39" t="n">
        <f aca="false">IF(AT$4=0,0,IF(COUNTIFS(実績!$W$6:$W$505,AT$3,実績!$AI$6:$AI$505,"&lt;="&amp;$A262,実績!$AJ$6:$AJ$505,"&gt;"&amp;$A262,実績!$AK$6:$AK$505,"○")&gt;0,1,0))</f>
        <v>0</v>
      </c>
      <c r="AU262" s="39" t="n">
        <f aca="false">IF(AU$4=0,0,IF(COUNTIFS(実績!$W$6:$W$505,AU$3,実績!$AI$6:$AI$505,"&lt;="&amp;$A262,実績!$AJ$6:$AJ$505,"&gt;"&amp;$A262,実績!$AK$6:$AK$505,"○")&gt;0,1,0))</f>
        <v>0</v>
      </c>
      <c r="AV262" s="39" t="n">
        <f aca="false">IF(AV$4=0,0,IF(COUNTIFS(実績!$W$6:$W$505,AV$3,実績!$AI$6:$AI$505,"&lt;="&amp;$A262,実績!$AJ$6:$AJ$505,"&gt;"&amp;$A262,実績!$AK$6:$AK$505,"○")&gt;0,1,0))</f>
        <v>0</v>
      </c>
      <c r="AW262" s="39" t="n">
        <f aca="false">IF(AW$4=0,0,IF(COUNTIFS(実績!$W$6:$W$505,AW$3,実績!$AI$6:$AI$505,"&lt;="&amp;$A262,実績!$AJ$6:$AJ$505,"&gt;"&amp;$A262,実績!$AK$6:$AK$505,"○")&gt;0,1,0))</f>
        <v>0</v>
      </c>
      <c r="AX262" s="39" t="n">
        <f aca="false">IF(AX$4=0,0,IF(COUNTIFS(実績!$W$6:$W$505,AX$3,実績!$AI$6:$AI$505,"&lt;="&amp;$A262,実績!$AJ$6:$AJ$505,"&gt;"&amp;$A262,実績!$AK$6:$AK$505,"○")&gt;0,1,0))</f>
        <v>0</v>
      </c>
      <c r="AY262" s="39" t="n">
        <f aca="false">IF(AY$4=0,0,IF(COUNTIFS(実績!$W$6:$W$505,AY$3,実績!$AI$6:$AI$505,"&lt;="&amp;$A262,実績!$AJ$6:$AJ$505,"&gt;"&amp;$A262,実績!$AK$6:$AK$505,"○")&gt;0,1,0))</f>
        <v>0</v>
      </c>
      <c r="AZ262" s="39" t="n">
        <f aca="false">IF(AZ$4=0,0,IF(COUNTIFS(実績!$W$6:$W$505,AZ$3,実績!$AI$6:$AI$505,"&lt;="&amp;$A262,実績!$AJ$6:$AJ$505,"&gt;"&amp;$A262,実績!$AK$6:$AK$505,"○")&gt;0,1,0))</f>
        <v>0</v>
      </c>
      <c r="BA262" s="39" t="n">
        <f aca="false">IF(BA$4=0,0,IF(COUNTIFS(実績!$W$6:$W$505,BA$3,実績!$AI$6:$AI$505,"&lt;="&amp;$A262,実績!$AJ$6:$AJ$505,"&gt;"&amp;$A262,実績!$AK$6:$AK$505,"○")&gt;0,1,0))</f>
        <v>0</v>
      </c>
      <c r="BB262" s="39" t="n">
        <f aca="false">IF(BB$4=0,0,IF(COUNTIFS(実績!$W$6:$W$505,BB$3,実績!$AI$6:$AI$505,"&lt;="&amp;$A262,実績!$AJ$6:$AJ$505,"&gt;"&amp;$A262,実績!$AK$6:$AK$505,"○")&gt;0,1,0))</f>
        <v>0</v>
      </c>
      <c r="BC262" s="39" t="n">
        <f aca="false">IF(BC$4=0,0,IF(COUNTIFS(実績!$W$6:$W$505,BC$3,実績!$AI$6:$AI$505,"&lt;="&amp;$A262,実績!$AJ$6:$AJ$505,"&gt;"&amp;$A262,実績!$AK$6:$AK$505,"○")&gt;0,1,0))</f>
        <v>0</v>
      </c>
      <c r="BD262" s="39" t="n">
        <f aca="false">IF(BD$4=0,0,IF(COUNTIFS(実績!$W$6:$W$505,BD$3,実績!$AI$6:$AI$505,"&lt;="&amp;$A262,実績!$AJ$6:$AJ$505,"&gt;"&amp;$A262,実績!$AK$6:$AK$505,"○")&gt;0,1,0))</f>
        <v>0</v>
      </c>
      <c r="BE262" s="39" t="n">
        <f aca="false">IF(BE$4=0,0,IF(COUNTIFS(実績!$W$6:$W$505,BE$3,実績!$AI$6:$AI$505,"&lt;="&amp;$A262,実績!$AJ$6:$AJ$505,"&gt;"&amp;$A262,実績!$AK$6:$AK$505,"○")&gt;0,1,0))</f>
        <v>0</v>
      </c>
      <c r="BF262" s="39" t="n">
        <f aca="false">IF(BF$4=0,0,IF(COUNTIFS(実績!$W$6:$W$505,BF$3,実績!$AI$6:$AI$505,"&lt;="&amp;$A262,実績!$AJ$6:$AJ$505,"&gt;"&amp;$A262,実績!$AK$6:$AK$505,"○")&gt;0,1,0))</f>
        <v>0</v>
      </c>
      <c r="BG262" s="39" t="n">
        <f aca="false">IF(BG$4=0,0,IF(COUNTIFS(実績!$W$6:$W$505,BG$3,実績!$AI$6:$AI$505,"&lt;="&amp;$A262,実績!$AJ$6:$AJ$505,"&gt;"&amp;$A262,実績!$AK$6:$AK$505,"○")&gt;0,1,0))</f>
        <v>0</v>
      </c>
      <c r="BH262" s="39" t="n">
        <f aca="false">IF(BH$4=0,0,IF(COUNTIFS(実績!$W$6:$W$505,BH$3,実績!$AI$6:$AI$505,"&lt;="&amp;$A262,実績!$AJ$6:$AJ$505,"&gt;"&amp;$A262,実績!$AK$6:$AK$505,"○")&gt;0,1,0))</f>
        <v>0</v>
      </c>
      <c r="BI262" s="39" t="n">
        <f aca="false">IF(BI$4=0,0,IF(COUNTIFS(実績!$W$6:$W$505,BI$3,実績!$AI$6:$AI$505,"&lt;="&amp;$A262,実績!$AJ$6:$AJ$505,"&gt;"&amp;$A262,実績!$AK$6:$AK$505,"○")&gt;0,1,0))</f>
        <v>0</v>
      </c>
      <c r="BJ262" s="39" t="n">
        <f aca="false">IF(BJ$4=0,0,IF(COUNTIFS(実績!$W$6:$W$505,BJ$3,実績!$AI$6:$AI$505,"&lt;="&amp;$A262,実績!$AJ$6:$AJ$505,"&gt;"&amp;$A262,実績!$AK$6:$AK$505,"○")&gt;0,1,0))</f>
        <v>0</v>
      </c>
      <c r="BK262" s="39" t="n">
        <f aca="false">IF(BK$4=0,0,IF(COUNTIFS(実績!$W$6:$W$505,BK$3,実績!$AI$6:$AI$505,"&lt;="&amp;$A262,実績!$AJ$6:$AJ$505,"&gt;"&amp;$A262,実績!$AK$6:$AK$505,"○")&gt;0,1,0))</f>
        <v>0</v>
      </c>
      <c r="BL262" s="39" t="n">
        <f aca="false">IF(BL$4=0,0,IF(COUNTIFS(実績!$W$6:$W$505,BL$3,実績!$AI$6:$AI$505,"&lt;="&amp;$A262,実績!$AJ$6:$AJ$505,"&gt;"&amp;$A262,実績!$AK$6:$AK$505,"○")&gt;0,1,0))</f>
        <v>0</v>
      </c>
      <c r="BM262" s="39" t="n">
        <f aca="false">IF(BM$4=0,0,IF(COUNTIFS(実績!$W$6:$W$505,BM$3,実績!$AI$6:$AI$505,"&lt;="&amp;$A262,実績!$AJ$6:$AJ$505,"&gt;"&amp;$A262,実績!$AK$6:$AK$505,"○")&gt;0,1,0))</f>
        <v>0</v>
      </c>
      <c r="BN262" s="39" t="n">
        <f aca="false">IF(BN$4=0,0,IF(COUNTIFS(実績!$W$6:$W$505,BN$3,実績!$AI$6:$AI$505,"&lt;="&amp;$A262,実績!$AJ$6:$AJ$505,"&gt;"&amp;$A262,実績!$AK$6:$AK$505,"○")&gt;0,1,0))</f>
        <v>0</v>
      </c>
      <c r="BO262" s="39" t="n">
        <f aca="false">IF(BO$4=0,0,IF(COUNTIFS(実績!$W$6:$W$505,BO$3,実績!$AI$6:$AI$505,"&lt;="&amp;$A262,実績!$AJ$6:$AJ$505,"&gt;"&amp;$A262,実績!$AK$6:$AK$505,"○")&gt;0,1,0))</f>
        <v>0</v>
      </c>
      <c r="BP262" s="39" t="n">
        <f aca="false">IF(BP$4=0,0,IF(COUNTIFS(実績!$W$6:$W$505,BP$3,実績!$AI$6:$AI$505,"&lt;="&amp;$A262,実績!$AJ$6:$AJ$505,"&gt;"&amp;$A262,実績!$AK$6:$AK$505,"○")&gt;0,1,0))</f>
        <v>0</v>
      </c>
      <c r="BQ262" s="39" t="n">
        <f aca="false">IF(BQ$4=0,0,IF(COUNTIFS(実績!$W$6:$W$505,BQ$3,実績!$AI$6:$AI$505,"&lt;="&amp;$A262,実績!$AJ$6:$AJ$505,"&gt;"&amp;$A262,実績!$AK$6:$AK$505,"○")&gt;0,1,0))</f>
        <v>0</v>
      </c>
      <c r="BR262" s="39" t="n">
        <f aca="false">IF(BR$4=0,0,IF(COUNTIFS(実績!$W$6:$W$505,BR$3,実績!$AI$6:$AI$505,"&lt;="&amp;$A262,実績!$AJ$6:$AJ$505,"&gt;"&amp;$A262,実績!$AK$6:$AK$505,"○")&gt;0,1,0))</f>
        <v>0</v>
      </c>
      <c r="BS262" s="39" t="n">
        <f aca="false">IF(BS$4=0,0,IF(COUNTIFS(実績!$W$6:$W$505,BS$3,実績!$AI$6:$AI$505,"&lt;="&amp;$A262,実績!$AJ$6:$AJ$505,"&gt;"&amp;$A262,実績!$AK$6:$AK$505,"○")&gt;0,1,0))</f>
        <v>0</v>
      </c>
      <c r="BT262" s="39" t="n">
        <f aca="false">IF(BT$4=0,0,IF(COUNTIFS(実績!$W$6:$W$505,BT$3,実績!$AI$6:$AI$505,"&lt;="&amp;$A262,実績!$AJ$6:$AJ$505,"&gt;"&amp;$A262,実績!$AK$6:$AK$505,"○")&gt;0,1,0))</f>
        <v>0</v>
      </c>
      <c r="BU262" s="39" t="n">
        <f aca="false">IF(BU$4=0,0,IF(COUNTIFS(実績!$W$6:$W$505,BU$3,実績!$AI$6:$AI$505,"&lt;="&amp;$A262,実績!$AJ$6:$AJ$505,"&gt;"&amp;$A262,実績!$AK$6:$AK$505,"○")&gt;0,1,0))</f>
        <v>0</v>
      </c>
      <c r="BV262" s="39" t="n">
        <f aca="false">IF(BV$4=0,0,IF(COUNTIFS(実績!$W$6:$W$505,BV$3,実績!$AI$6:$AI$505,"&lt;="&amp;$A262,実績!$AJ$6:$AJ$505,"&gt;"&amp;$A262,実績!$AK$6:$AK$505,"○")&gt;0,1,0))</f>
        <v>0</v>
      </c>
      <c r="BW262" s="39" t="n">
        <f aca="false">IF(BW$4=0,0,IF(COUNTIFS(実績!$W$6:$W$505,BW$3,実績!$AI$6:$AI$505,"&lt;="&amp;$A262,実績!$AJ$6:$AJ$505,"&gt;"&amp;$A262,実績!$AK$6:$AK$505,"○")&gt;0,1,0))</f>
        <v>0</v>
      </c>
      <c r="BX262" s="39" t="n">
        <f aca="false">IF(BX$4=0,0,IF(COUNTIFS(実績!$W$6:$W$505,BX$3,実績!$AI$6:$AI$505,"&lt;="&amp;$A262,実績!$AJ$6:$AJ$505,"&gt;"&amp;$A262,実績!$AK$6:$AK$505,"○")&gt;0,1,0))</f>
        <v>0</v>
      </c>
      <c r="BY262" s="39" t="n">
        <f aca="false">IF(BY$4=0,0,IF(COUNTIFS(実績!$W$6:$W$505,BY$3,実績!$AI$6:$AI$505,"&lt;="&amp;$A262,実績!$AJ$6:$AJ$505,"&gt;"&amp;$A262,実績!$AK$6:$AK$505,"○")&gt;0,1,0))</f>
        <v>0</v>
      </c>
      <c r="BZ262" s="39" t="n">
        <f aca="false">IF(BZ$4=0,0,IF(COUNTIFS(実績!$W$6:$W$505,BZ$3,実績!$AI$6:$AI$505,"&lt;="&amp;$A262,実績!$AJ$6:$AJ$505,"&gt;"&amp;$A262,実績!$AK$6:$AK$505,"○")&gt;0,1,0))</f>
        <v>0</v>
      </c>
      <c r="CA262" s="39" t="n">
        <f aca="false">IF(CA$4=0,0,IF(COUNTIFS(実績!$W$6:$W$505,CA$3,実績!$AI$6:$AI$505,"&lt;="&amp;$A262,実績!$AJ$6:$AJ$505,"&gt;"&amp;$A262,実績!$AK$6:$AK$505,"○")&gt;0,1,0))</f>
        <v>0</v>
      </c>
      <c r="CB262" s="39" t="n">
        <f aca="false">IF(CB$4=0,0,IF(COUNTIFS(実績!$W$6:$W$505,CB$3,実績!$AI$6:$AI$505,"&lt;="&amp;$A262,実績!$AJ$6:$AJ$505,"&gt;"&amp;$A262,実績!$AK$6:$AK$505,"○")&gt;0,1,0))</f>
        <v>0</v>
      </c>
      <c r="CC262" s="39" t="n">
        <f aca="false">IF(CC$4=0,0,IF(COUNTIFS(実績!$W$6:$W$505,CC$3,実績!$AI$6:$AI$505,"&lt;="&amp;$A262,実績!$AJ$6:$AJ$505,"&gt;"&amp;$A262,実績!$AK$6:$AK$505,"○")&gt;0,1,0))</f>
        <v>0</v>
      </c>
      <c r="CD262" s="39" t="n">
        <f aca="false">IF(CD$4=0,0,IF(COUNTIFS(実績!$W$6:$W$505,CD$3,実績!$AI$6:$AI$505,"&lt;="&amp;$A262,実績!$AJ$6:$AJ$505,"&gt;"&amp;$A262,実績!$AK$6:$AK$505,"○")&gt;0,1,0))</f>
        <v>0</v>
      </c>
      <c r="CE262" s="39" t="n">
        <f aca="false">IF(CE$4=0,0,IF(COUNTIFS(実績!$W$6:$W$505,CE$3,実績!$AI$6:$AI$505,"&lt;="&amp;$A262,実績!$AJ$6:$AJ$505,"&gt;"&amp;$A262,実績!$AK$6:$AK$505,"○")&gt;0,1,0))</f>
        <v>0</v>
      </c>
      <c r="CF262" s="39" t="n">
        <f aca="false">IF(CF$4=0,0,IF(COUNTIFS(実績!$W$6:$W$505,CF$3,実績!$AI$6:$AI$505,"&lt;="&amp;$A262,実績!$AJ$6:$AJ$505,"&gt;"&amp;$A262,実績!$AK$6:$AK$505,"○")&gt;0,1,0))</f>
        <v>0</v>
      </c>
      <c r="CG262" s="39" t="n">
        <f aca="false">IF(CG$4=0,0,IF(COUNTIFS(実績!$W$6:$W$505,CG$3,実績!$AI$6:$AI$505,"&lt;="&amp;$A262,実績!$AJ$6:$AJ$505,"&gt;"&amp;$A262,実績!$AK$6:$AK$505,"○")&gt;0,1,0))</f>
        <v>0</v>
      </c>
      <c r="CH262" s="39" t="n">
        <f aca="false">IF(CH$4=0,0,IF(COUNTIFS(実績!$W$6:$W$505,CH$3,実績!$AI$6:$AI$505,"&lt;="&amp;$A262,実績!$AJ$6:$AJ$505,"&gt;"&amp;$A262,実績!$AK$6:$AK$505,"○")&gt;0,1,0))</f>
        <v>0</v>
      </c>
      <c r="CI262" s="39" t="n">
        <f aca="false">IF(CI$4=0,0,IF(COUNTIFS(実績!$W$6:$W$505,CI$3,実績!$AI$6:$AI$505,"&lt;="&amp;$A262,実績!$AJ$6:$AJ$505,"&gt;"&amp;$A262,実績!$AK$6:$AK$505,"○")&gt;0,1,0))</f>
        <v>0</v>
      </c>
      <c r="CJ262" s="39" t="n">
        <f aca="false">IF(CJ$4=0,0,IF(COUNTIFS(実績!$W$6:$W$505,CJ$3,実績!$AI$6:$AI$505,"&lt;="&amp;$A262,実績!$AJ$6:$AJ$505,"&gt;"&amp;$A262,実績!$AK$6:$AK$505,"○")&gt;0,1,0))</f>
        <v>0</v>
      </c>
      <c r="CK262" s="39" t="n">
        <f aca="false">IF(CK$4=0,0,IF(COUNTIFS(実績!$W$6:$W$505,CK$3,実績!$AI$6:$AI$505,"&lt;="&amp;$A262,実績!$AJ$6:$AJ$505,"&gt;"&amp;$A262,実績!$AK$6:$AK$505,"○")&gt;0,1,0))</f>
        <v>0</v>
      </c>
      <c r="CL262" s="39" t="n">
        <f aca="false">IF(CL$4=0,0,IF(COUNTIFS(実績!$W$6:$W$505,CL$3,実績!$AI$6:$AI$505,"&lt;="&amp;$A262,実績!$AJ$6:$AJ$505,"&gt;"&amp;$A262,実績!$AK$6:$AK$505,"○")&gt;0,1,0))</f>
        <v>0</v>
      </c>
      <c r="CM262" s="39" t="n">
        <f aca="false">IF(CM$4=0,0,IF(COUNTIFS(実績!$W$6:$W$505,CM$3,実績!$AI$6:$AI$505,"&lt;="&amp;$A262,実績!$AJ$6:$AJ$505,"&gt;"&amp;$A262,実績!$AK$6:$AK$505,"○")&gt;0,1,0))</f>
        <v>0</v>
      </c>
      <c r="CN262" s="39" t="n">
        <f aca="false">IF(CN$4=0,0,IF(COUNTIFS(実績!$W$6:$W$505,CN$3,実績!$AI$6:$AI$505,"&lt;="&amp;$A262,実績!$AJ$6:$AJ$505,"&gt;"&amp;$A262,実績!$AK$6:$AK$505,"○")&gt;0,1,0))</f>
        <v>0</v>
      </c>
      <c r="CO262" s="39" t="n">
        <f aca="false">IF(CO$4=0,0,IF(COUNTIFS(実績!$W$6:$W$505,CO$3,実績!$AI$6:$AI$505,"&lt;="&amp;$A262,実績!$AJ$6:$AJ$505,"&gt;"&amp;$A262,実績!$AK$6:$AK$505,"○")&gt;0,1,0))</f>
        <v>0</v>
      </c>
      <c r="CP262" s="39" t="n">
        <f aca="false">IF(CP$4=0,0,IF(COUNTIFS(実績!$W$6:$W$505,CP$3,実績!$AI$6:$AI$505,"&lt;="&amp;$A262,実績!$AJ$6:$AJ$505,"&gt;"&amp;$A262,実績!$AK$6:$AK$505,"○")&gt;0,1,0))</f>
        <v>0</v>
      </c>
      <c r="CQ262" s="39" t="n">
        <f aca="false">IF(CQ$4=0,0,IF(COUNTIFS(実績!$W$6:$W$505,CQ$3,実績!$AI$6:$AI$505,"&lt;="&amp;$A262,実績!$AJ$6:$AJ$505,"&gt;"&amp;$A262,実績!$AK$6:$AK$505,"○")&gt;0,1,0))</f>
        <v>0</v>
      </c>
      <c r="CR262" s="39" t="n">
        <f aca="false">IF(CR$4=0,0,IF(COUNTIFS(実績!$W$6:$W$505,CR$3,実績!$AI$6:$AI$505,"&lt;="&amp;$A262,実績!$AJ$6:$AJ$505,"&gt;"&amp;$A262,実績!$AK$6:$AK$505,"○")&gt;0,1,0))</f>
        <v>0</v>
      </c>
      <c r="CS262" s="39" t="n">
        <f aca="false">IF(CS$4=0,0,IF(COUNTIFS(実績!$W$6:$W$505,CS$3,実績!$AI$6:$AI$505,"&lt;="&amp;$A262,実績!$AJ$6:$AJ$505,"&gt;"&amp;$A262,実績!$AK$6:$AK$505,"○")&gt;0,1,0))</f>
        <v>0</v>
      </c>
      <c r="CT262" s="39" t="n">
        <f aca="false">IF(CT$4=0,0,IF(COUNTIFS(実績!$W$6:$W$505,CT$3,実績!$AI$6:$AI$505,"&lt;="&amp;$A262,実績!$AJ$6:$AJ$505,"&gt;"&amp;$A262,実績!$AK$6:$AK$505,"○")&gt;0,1,0))</f>
        <v>0</v>
      </c>
      <c r="CU262" s="39" t="n">
        <f aca="false">IF(CU$4=0,0,IF(COUNTIFS(実績!$W$6:$W$505,CU$3,実績!$AI$6:$AI$505,"&lt;="&amp;$A262,実績!$AJ$6:$AJ$505,"&gt;"&amp;$A262,実績!$AK$6:$AK$505,"○")&gt;0,1,0))</f>
        <v>0</v>
      </c>
      <c r="CV262" s="39" t="n">
        <f aca="false">IF(CV$4=0,0,IF(COUNTIFS(実績!$W$6:$W$505,CV$3,実績!$AI$6:$AI$505,"&lt;="&amp;$A262,実績!$AJ$6:$AJ$505,"&gt;"&amp;$A262,実績!$AK$6:$AK$505,"○")&gt;0,1,0))</f>
        <v>0</v>
      </c>
      <c r="CW262" s="39" t="n">
        <f aca="false">IF(CW$4=0,0,IF(COUNTIFS(実績!$W$6:$W$505,CW$3,実績!$AI$6:$AI$505,"&lt;="&amp;$A262,実績!$AJ$6:$AJ$505,"&gt;"&amp;$A262,実績!$AK$6:$AK$505,"○")&gt;0,1,0))</f>
        <v>0</v>
      </c>
      <c r="CX262" s="39" t="n">
        <f aca="false">IF(CX$4=0,0,IF(COUNTIFS(実績!$W$6:$W$505,CX$3,実績!$AI$6:$AI$505,"&lt;="&amp;$A262,実績!$AJ$6:$AJ$505,"&gt;"&amp;$A262,実績!$AK$6:$AK$505,"○")&gt;0,1,0))</f>
        <v>0</v>
      </c>
      <c r="CY262" s="39" t="n">
        <f aca="false">IF(CY$4=0,0,IF(COUNTIFS(実績!$W$6:$W$505,CY$3,実績!$AI$6:$AI$505,"&lt;="&amp;$A262,実績!$AJ$6:$AJ$505,"&gt;"&amp;$A262,実績!$AK$6:$AK$505,"○")&gt;0,1,0))</f>
        <v>0</v>
      </c>
      <c r="CZ262" s="39" t="n">
        <f aca="false">IF(CZ$4=0,0,IF(COUNTIFS(実績!$W$6:$W$505,CZ$3,実績!$AI$6:$AI$505,"&lt;="&amp;$A262,実績!$AJ$6:$AJ$505,"&gt;"&amp;$A262,実績!$AK$6:$AK$505,"○")&gt;0,1,0))</f>
        <v>0</v>
      </c>
      <c r="DA262" s="39" t="n">
        <f aca="false">IF(DA$4=0,0,IF(COUNTIFS(実績!$W$6:$W$505,DA$3,実績!$AI$6:$AI$505,"&lt;="&amp;$A262,実績!$AJ$6:$AJ$505,"&gt;"&amp;$A262,実績!$AK$6:$AK$505,"○")&gt;0,1,0))</f>
        <v>0</v>
      </c>
      <c r="DB262" s="39" t="n">
        <f aca="false">IF(DB$4=0,0,IF(COUNTIFS(実績!$W$6:$W$505,DB$3,実績!$AI$6:$AI$505,"&lt;="&amp;$A262,実績!$AJ$6:$AJ$505,"&gt;"&amp;$A262,実績!$AK$6:$AK$505,"○")&gt;0,1,0))</f>
        <v>0</v>
      </c>
      <c r="DC262" s="39" t="n">
        <f aca="false">IF(DC$4=0,0,IF(COUNTIFS(実績!$W$6:$W$505,DC$3,実績!$AI$6:$AI$505,"&lt;="&amp;$A262,実績!$AJ$6:$AJ$505,"&gt;"&amp;$A262,実績!$AK$6:$AK$505,"○")&gt;0,1,0))</f>
        <v>0</v>
      </c>
      <c r="DD262" s="39" t="n">
        <f aca="false">IF(DD$4=0,0,IF(COUNTIFS(実績!$W$6:$W$505,DD$3,実績!$AI$6:$AI$505,"&lt;="&amp;$A262,実績!$AJ$6:$AJ$505,"&gt;"&amp;$A262,実績!$AK$6:$AK$505,"○")&gt;0,1,0))</f>
        <v>0</v>
      </c>
      <c r="DE262" s="39" t="n">
        <f aca="false">IF(DE$4=0,0,IF(COUNTIFS(実績!$W$6:$W$505,DE$3,実績!$AI$6:$AI$505,"&lt;="&amp;$A262,実績!$AJ$6:$AJ$505,"&gt;"&amp;$A262,実績!$AK$6:$AK$505,"○")&gt;0,1,0))</f>
        <v>0</v>
      </c>
      <c r="DF262" s="39" t="n">
        <f aca="false">IF(DF$4=0,0,IF(COUNTIFS(実績!$W$6:$W$505,DF$3,実績!$AI$6:$AI$505,"&lt;="&amp;$A262,実績!$AJ$6:$AJ$505,"&gt;"&amp;$A262,実績!$AK$6:$AK$505,"○")&gt;0,1,0))</f>
        <v>0</v>
      </c>
      <c r="DG262" s="39" t="n">
        <f aca="false">IF(DG$4=0,0,IF(COUNTIFS(実績!$W$6:$W$505,DG$3,実績!$AI$6:$AI$505,"&lt;="&amp;$A262,実績!$AJ$6:$AJ$505,"&gt;"&amp;$A262,実績!$AK$6:$AK$505,"○")&gt;0,1,0))</f>
        <v>0</v>
      </c>
      <c r="DH262" s="39" t="n">
        <f aca="false">IF(DH$4=0,0,IF(COUNTIFS(実績!$W$6:$W$505,DH$3,実績!$AI$6:$AI$505,"&lt;="&amp;$A262,実績!$AJ$6:$AJ$505,"&gt;"&amp;$A262,実績!$AK$6:$AK$505,"○")&gt;0,1,0))</f>
        <v>0</v>
      </c>
      <c r="DI262" s="39" t="n">
        <f aca="false">IF(DI$4=0,0,IF(COUNTIFS(実績!$W$6:$W$505,DI$3,実績!$AI$6:$AI$505,"&lt;="&amp;$A262,実績!$AJ$6:$AJ$505,"&gt;"&amp;$A262,実績!$AK$6:$AK$505,"○")&gt;0,1,0))</f>
        <v>0</v>
      </c>
      <c r="DJ262" s="39" t="n">
        <f aca="false">IF(DJ$4=0,0,IF(COUNTIFS(実績!$W$6:$W$505,DJ$3,実績!$AI$6:$AI$505,"&lt;="&amp;$A262,実績!$AJ$6:$AJ$505,"&gt;"&amp;$A262,実績!$AK$6:$AK$505,"○")&gt;0,1,0))</f>
        <v>0</v>
      </c>
      <c r="DK262" s="39" t="n">
        <f aca="false">IF(DK$4=0,0,IF(COUNTIFS(実績!$W$6:$W$505,DK$3,実績!$AI$6:$AI$505,"&lt;="&amp;$A262,実績!$AJ$6:$AJ$505,"&gt;"&amp;$A262,実績!$AK$6:$AK$505,"○")&gt;0,1,0))</f>
        <v>0</v>
      </c>
      <c r="DL262" s="39" t="n">
        <f aca="false">IF(DL$4=0,0,IF(COUNTIFS(実績!$W$6:$W$505,DL$3,実績!$AI$6:$AI$505,"&lt;="&amp;$A262,実績!$AJ$6:$AJ$505,"&gt;"&amp;$A262,実績!$AK$6:$AK$505,"○")&gt;0,1,0))</f>
        <v>0</v>
      </c>
      <c r="DM262" s="39" t="n">
        <f aca="false">IF(DM$4=0,0,IF(COUNTIFS(実績!$W$6:$W$505,DM$3,実績!$AI$6:$AI$505,"&lt;="&amp;$A262,実績!$AJ$6:$AJ$505,"&gt;"&amp;$A262,実績!$AK$6:$AK$505,"○")&gt;0,1,0))</f>
        <v>0</v>
      </c>
      <c r="DN262" s="39" t="n">
        <f aca="false">IF(DN$4=0,0,IF(COUNTIFS(実績!$W$6:$W$505,DN$3,実績!$AI$6:$AI$505,"&lt;="&amp;$A262,実績!$AJ$6:$AJ$505,"&gt;"&amp;$A262,実績!$AK$6:$AK$505,"○")&gt;0,1,0))</f>
        <v>0</v>
      </c>
      <c r="DO262" s="39" t="n">
        <f aca="false">IF(DO$4=0,0,IF(COUNTIFS(実績!$W$6:$W$505,DO$3,実績!$AI$6:$AI$505,"&lt;="&amp;$A262,実績!$AJ$6:$AJ$505,"&gt;"&amp;$A262,実績!$AK$6:$AK$505,"○")&gt;0,1,0))</f>
        <v>0</v>
      </c>
      <c r="DP262" s="39" t="n">
        <f aca="false">IF(DP$4=0,0,IF(COUNTIFS(実績!$W$6:$W$505,DP$3,実績!$AI$6:$AI$505,"&lt;="&amp;$A262,実績!$AJ$6:$AJ$505,"&gt;"&amp;$A262,実績!$AK$6:$AK$505,"○")&gt;0,1,0))</f>
        <v>0</v>
      </c>
      <c r="DQ262" s="39" t="n">
        <f aca="false">IF(DQ$4=0,0,IF(COUNTIFS(実績!$W$6:$W$505,DQ$3,実績!$AI$6:$AI$505,"&lt;="&amp;$A262,実績!$AJ$6:$AJ$505,"&gt;"&amp;$A262,実績!$AK$6:$AK$505,"○")&gt;0,1,0))</f>
        <v>0</v>
      </c>
      <c r="DR262" s="39" t="n">
        <f aca="false">IF(DR$4=0,0,IF(COUNTIFS(実績!$W$6:$W$505,DR$3,実績!$AI$6:$AI$505,"&lt;="&amp;$A262,実績!$AJ$6:$AJ$505,"&gt;"&amp;$A262,実績!$AK$6:$AK$505,"○")&gt;0,1,0))</f>
        <v>0</v>
      </c>
      <c r="DS262" s="39" t="n">
        <f aca="false">SUM(C262:DR262)</f>
        <v>0</v>
      </c>
      <c r="DT262" s="39" t="n">
        <f aca="false">SUMPRODUCT((実績!$C$6:$C$505="○")*ISNUMBER(実績!$AM$6:$AM$505)*(実績!$AM$6:$AM$505&lt;=$A262)*(実績!$AN$6:$AN$505&gt;$A262))</f>
        <v>0</v>
      </c>
      <c r="DU262" s="39" t="n">
        <f aca="false">SUMIF($C$2:$DR$2,"製鉄曳船",C262:DR262)</f>
        <v>0</v>
      </c>
      <c r="DV262" s="39" t="n">
        <f aca="false">SUMIF($C$2:$DR$2,"西日本海運",C262:DR262)</f>
        <v>0</v>
      </c>
    </row>
    <row r="263" customFormat="false" ht="15" hidden="false" customHeight="false" outlineLevel="0" collapsed="false">
      <c r="A263" s="0" t="n">
        <v>1285</v>
      </c>
      <c r="B263" s="38" t="n">
        <f aca="false">A263/1440</f>
        <v>0.892361111111111</v>
      </c>
      <c r="C263" s="39" t="n">
        <f aca="false">IF(C$4=0,0,IF(COUNTIFS(実績!$W$6:$W$505,C$3,実績!$AI$6:$AI$505,"&lt;="&amp;$A263,実績!$AJ$6:$AJ$505,"&gt;"&amp;$A263,実績!$AK$6:$AK$505,"○")&gt;0,1,0))</f>
        <v>0</v>
      </c>
      <c r="D263" s="39" t="n">
        <f aca="false">IF(D$4=0,0,IF(COUNTIFS(実績!$W$6:$W$505,D$3,実績!$AI$6:$AI$505,"&lt;="&amp;$A263,実績!$AJ$6:$AJ$505,"&gt;"&amp;$A263,実績!$AK$6:$AK$505,"○")&gt;0,1,0))</f>
        <v>0</v>
      </c>
      <c r="E263" s="39" t="n">
        <f aca="false">IF(E$4=0,0,IF(COUNTIFS(実績!$W$6:$W$505,E$3,実績!$AI$6:$AI$505,"&lt;="&amp;$A263,実績!$AJ$6:$AJ$505,"&gt;"&amp;$A263,実績!$AK$6:$AK$505,"○")&gt;0,1,0))</f>
        <v>0</v>
      </c>
      <c r="F263" s="39" t="n">
        <f aca="false">IF(F$4=0,0,IF(COUNTIFS(実績!$W$6:$W$505,F$3,実績!$AI$6:$AI$505,"&lt;="&amp;$A263,実績!$AJ$6:$AJ$505,"&gt;"&amp;$A263,実績!$AK$6:$AK$505,"○")&gt;0,1,0))</f>
        <v>0</v>
      </c>
      <c r="G263" s="39" t="n">
        <f aca="false">IF(G$4=0,0,IF(COUNTIFS(実績!$W$6:$W$505,G$3,実績!$AI$6:$AI$505,"&lt;="&amp;$A263,実績!$AJ$6:$AJ$505,"&gt;"&amp;$A263,実績!$AK$6:$AK$505,"○")&gt;0,1,0))</f>
        <v>0</v>
      </c>
      <c r="H263" s="39" t="n">
        <f aca="false">IF(H$4=0,0,IF(COUNTIFS(実績!$W$6:$W$505,H$3,実績!$AI$6:$AI$505,"&lt;="&amp;$A263,実績!$AJ$6:$AJ$505,"&gt;"&amp;$A263,実績!$AK$6:$AK$505,"○")&gt;0,1,0))</f>
        <v>0</v>
      </c>
      <c r="I263" s="39" t="n">
        <f aca="false">IF(I$4=0,0,IF(COUNTIFS(実績!$W$6:$W$505,I$3,実績!$AI$6:$AI$505,"&lt;="&amp;$A263,実績!$AJ$6:$AJ$505,"&gt;"&amp;$A263,実績!$AK$6:$AK$505,"○")&gt;0,1,0))</f>
        <v>0</v>
      </c>
      <c r="J263" s="39" t="n">
        <f aca="false">IF(J$4=0,0,IF(COUNTIFS(実績!$W$6:$W$505,J$3,実績!$AI$6:$AI$505,"&lt;="&amp;$A263,実績!$AJ$6:$AJ$505,"&gt;"&amp;$A263,実績!$AK$6:$AK$505,"○")&gt;0,1,0))</f>
        <v>0</v>
      </c>
      <c r="K263" s="39" t="n">
        <f aca="false">IF(K$4=0,0,IF(COUNTIFS(実績!$W$6:$W$505,K$3,実績!$AI$6:$AI$505,"&lt;="&amp;$A263,実績!$AJ$6:$AJ$505,"&gt;"&amp;$A263,実績!$AK$6:$AK$505,"○")&gt;0,1,0))</f>
        <v>0</v>
      </c>
      <c r="L263" s="39" t="n">
        <f aca="false">IF(L$4=0,0,IF(COUNTIFS(実績!$W$6:$W$505,L$3,実績!$AI$6:$AI$505,"&lt;="&amp;$A263,実績!$AJ$6:$AJ$505,"&gt;"&amp;$A263,実績!$AK$6:$AK$505,"○")&gt;0,1,0))</f>
        <v>0</v>
      </c>
      <c r="M263" s="39" t="n">
        <f aca="false">IF(M$4=0,0,IF(COUNTIFS(実績!$W$6:$W$505,M$3,実績!$AI$6:$AI$505,"&lt;="&amp;$A263,実績!$AJ$6:$AJ$505,"&gt;"&amp;$A263,実績!$AK$6:$AK$505,"○")&gt;0,1,0))</f>
        <v>0</v>
      </c>
      <c r="N263" s="39" t="n">
        <f aca="false">IF(N$4=0,0,IF(COUNTIFS(実績!$W$6:$W$505,N$3,実績!$AI$6:$AI$505,"&lt;="&amp;$A263,実績!$AJ$6:$AJ$505,"&gt;"&amp;$A263,実績!$AK$6:$AK$505,"○")&gt;0,1,0))</f>
        <v>0</v>
      </c>
      <c r="O263" s="39" t="n">
        <f aca="false">IF(O$4=0,0,IF(COUNTIFS(実績!$W$6:$W$505,O$3,実績!$AI$6:$AI$505,"&lt;="&amp;$A263,実績!$AJ$6:$AJ$505,"&gt;"&amp;$A263,実績!$AK$6:$AK$505,"○")&gt;0,1,0))</f>
        <v>0</v>
      </c>
      <c r="P263" s="39" t="n">
        <f aca="false">IF(P$4=0,0,IF(COUNTIFS(実績!$W$6:$W$505,P$3,実績!$AI$6:$AI$505,"&lt;="&amp;$A263,実績!$AJ$6:$AJ$505,"&gt;"&amp;$A263,実績!$AK$6:$AK$505,"○")&gt;0,1,0))</f>
        <v>0</v>
      </c>
      <c r="Q263" s="39" t="n">
        <f aca="false">IF(Q$4=0,0,IF(COUNTIFS(実績!$W$6:$W$505,Q$3,実績!$AI$6:$AI$505,"&lt;="&amp;$A263,実績!$AJ$6:$AJ$505,"&gt;"&amp;$A263,実績!$AK$6:$AK$505,"○")&gt;0,1,0))</f>
        <v>0</v>
      </c>
      <c r="R263" s="39" t="n">
        <f aca="false">IF(R$4=0,0,IF(COUNTIFS(実績!$W$6:$W$505,R$3,実績!$AI$6:$AI$505,"&lt;="&amp;$A263,実績!$AJ$6:$AJ$505,"&gt;"&amp;$A263,実績!$AK$6:$AK$505,"○")&gt;0,1,0))</f>
        <v>0</v>
      </c>
      <c r="S263" s="39" t="n">
        <f aca="false">IF(S$4=0,0,IF(COUNTIFS(実績!$W$6:$W$505,S$3,実績!$AI$6:$AI$505,"&lt;="&amp;$A263,実績!$AJ$6:$AJ$505,"&gt;"&amp;$A263,実績!$AK$6:$AK$505,"○")&gt;0,1,0))</f>
        <v>0</v>
      </c>
      <c r="T263" s="39" t="n">
        <f aca="false">IF(T$4=0,0,IF(COUNTIFS(実績!$W$6:$W$505,T$3,実績!$AI$6:$AI$505,"&lt;="&amp;$A263,実績!$AJ$6:$AJ$505,"&gt;"&amp;$A263,実績!$AK$6:$AK$505,"○")&gt;0,1,0))</f>
        <v>0</v>
      </c>
      <c r="U263" s="39" t="n">
        <f aca="false">IF(U$4=0,0,IF(COUNTIFS(実績!$W$6:$W$505,U$3,実績!$AI$6:$AI$505,"&lt;="&amp;$A263,実績!$AJ$6:$AJ$505,"&gt;"&amp;$A263,実績!$AK$6:$AK$505,"○")&gt;0,1,0))</f>
        <v>0</v>
      </c>
      <c r="V263" s="39" t="n">
        <f aca="false">IF(V$4=0,0,IF(COUNTIFS(実績!$W$6:$W$505,V$3,実績!$AI$6:$AI$505,"&lt;="&amp;$A263,実績!$AJ$6:$AJ$505,"&gt;"&amp;$A263,実績!$AK$6:$AK$505,"○")&gt;0,1,0))</f>
        <v>0</v>
      </c>
      <c r="W263" s="39" t="n">
        <f aca="false">IF(W$4=0,0,IF(COUNTIFS(実績!$W$6:$W$505,W$3,実績!$AI$6:$AI$505,"&lt;="&amp;$A263,実績!$AJ$6:$AJ$505,"&gt;"&amp;$A263,実績!$AK$6:$AK$505,"○")&gt;0,1,0))</f>
        <v>0</v>
      </c>
      <c r="X263" s="39" t="n">
        <f aca="false">IF(X$4=0,0,IF(COUNTIFS(実績!$W$6:$W$505,X$3,実績!$AI$6:$AI$505,"&lt;="&amp;$A263,実績!$AJ$6:$AJ$505,"&gt;"&amp;$A263,実績!$AK$6:$AK$505,"○")&gt;0,1,0))</f>
        <v>0</v>
      </c>
      <c r="Y263" s="39" t="n">
        <f aca="false">IF(Y$4=0,0,IF(COUNTIFS(実績!$W$6:$W$505,Y$3,実績!$AI$6:$AI$505,"&lt;="&amp;$A263,実績!$AJ$6:$AJ$505,"&gt;"&amp;$A263,実績!$AK$6:$AK$505,"○")&gt;0,1,0))</f>
        <v>0</v>
      </c>
      <c r="Z263" s="39" t="n">
        <f aca="false">IF(Z$4=0,0,IF(COUNTIFS(実績!$W$6:$W$505,Z$3,実績!$AI$6:$AI$505,"&lt;="&amp;$A263,実績!$AJ$6:$AJ$505,"&gt;"&amp;$A263,実績!$AK$6:$AK$505,"○")&gt;0,1,0))</f>
        <v>0</v>
      </c>
      <c r="AA263" s="39" t="n">
        <f aca="false">IF(AA$4=0,0,IF(COUNTIFS(実績!$W$6:$W$505,AA$3,実績!$AI$6:$AI$505,"&lt;="&amp;$A263,実績!$AJ$6:$AJ$505,"&gt;"&amp;$A263,実績!$AK$6:$AK$505,"○")&gt;0,1,0))</f>
        <v>0</v>
      </c>
      <c r="AB263" s="39" t="n">
        <f aca="false">IF(AB$4=0,0,IF(COUNTIFS(実績!$W$6:$W$505,AB$3,実績!$AI$6:$AI$505,"&lt;="&amp;$A263,実績!$AJ$6:$AJ$505,"&gt;"&amp;$A263,実績!$AK$6:$AK$505,"○")&gt;0,1,0))</f>
        <v>0</v>
      </c>
      <c r="AC263" s="39" t="n">
        <f aca="false">IF(AC$4=0,0,IF(COUNTIFS(実績!$W$6:$W$505,AC$3,実績!$AI$6:$AI$505,"&lt;="&amp;$A263,実績!$AJ$6:$AJ$505,"&gt;"&amp;$A263,実績!$AK$6:$AK$505,"○")&gt;0,1,0))</f>
        <v>0</v>
      </c>
      <c r="AD263" s="39" t="n">
        <f aca="false">IF(AD$4=0,0,IF(COUNTIFS(実績!$W$6:$W$505,AD$3,実績!$AI$6:$AI$505,"&lt;="&amp;$A263,実績!$AJ$6:$AJ$505,"&gt;"&amp;$A263,実績!$AK$6:$AK$505,"○")&gt;0,1,0))</f>
        <v>0</v>
      </c>
      <c r="AE263" s="39" t="n">
        <f aca="false">IF(AE$4=0,0,IF(COUNTIFS(実績!$W$6:$W$505,AE$3,実績!$AI$6:$AI$505,"&lt;="&amp;$A263,実績!$AJ$6:$AJ$505,"&gt;"&amp;$A263,実績!$AK$6:$AK$505,"○")&gt;0,1,0))</f>
        <v>0</v>
      </c>
      <c r="AF263" s="39" t="n">
        <f aca="false">IF(AF$4=0,0,IF(COUNTIFS(実績!$W$6:$W$505,AF$3,実績!$AI$6:$AI$505,"&lt;="&amp;$A263,実績!$AJ$6:$AJ$505,"&gt;"&amp;$A263,実績!$AK$6:$AK$505,"○")&gt;0,1,0))</f>
        <v>0</v>
      </c>
      <c r="AG263" s="39" t="n">
        <f aca="false">IF(AG$4=0,0,IF(COUNTIFS(実績!$W$6:$W$505,AG$3,実績!$AI$6:$AI$505,"&lt;="&amp;$A263,実績!$AJ$6:$AJ$505,"&gt;"&amp;$A263,実績!$AK$6:$AK$505,"○")&gt;0,1,0))</f>
        <v>0</v>
      </c>
      <c r="AH263" s="39" t="n">
        <f aca="false">IF(AH$4=0,0,IF(COUNTIFS(実績!$W$6:$W$505,AH$3,実績!$AI$6:$AI$505,"&lt;="&amp;$A263,実績!$AJ$6:$AJ$505,"&gt;"&amp;$A263,実績!$AK$6:$AK$505,"○")&gt;0,1,0))</f>
        <v>0</v>
      </c>
      <c r="AI263" s="39" t="n">
        <f aca="false">IF(AI$4=0,0,IF(COUNTIFS(実績!$W$6:$W$505,AI$3,実績!$AI$6:$AI$505,"&lt;="&amp;$A263,実績!$AJ$6:$AJ$505,"&gt;"&amp;$A263,実績!$AK$6:$AK$505,"○")&gt;0,1,0))</f>
        <v>0</v>
      </c>
      <c r="AJ263" s="39" t="n">
        <f aca="false">IF(AJ$4=0,0,IF(COUNTIFS(実績!$W$6:$W$505,AJ$3,実績!$AI$6:$AI$505,"&lt;="&amp;$A263,実績!$AJ$6:$AJ$505,"&gt;"&amp;$A263,実績!$AK$6:$AK$505,"○")&gt;0,1,0))</f>
        <v>0</v>
      </c>
      <c r="AK263" s="39" t="n">
        <f aca="false">IF(AK$4=0,0,IF(COUNTIFS(実績!$W$6:$W$505,AK$3,実績!$AI$6:$AI$505,"&lt;="&amp;$A263,実績!$AJ$6:$AJ$505,"&gt;"&amp;$A263,実績!$AK$6:$AK$505,"○")&gt;0,1,0))</f>
        <v>0</v>
      </c>
      <c r="AL263" s="39" t="n">
        <f aca="false">IF(AL$4=0,0,IF(COUNTIFS(実績!$W$6:$W$505,AL$3,実績!$AI$6:$AI$505,"&lt;="&amp;$A263,実績!$AJ$6:$AJ$505,"&gt;"&amp;$A263,実績!$AK$6:$AK$505,"○")&gt;0,1,0))</f>
        <v>0</v>
      </c>
      <c r="AM263" s="39" t="n">
        <f aca="false">IF(AM$4=0,0,IF(COUNTIFS(実績!$W$6:$W$505,AM$3,実績!$AI$6:$AI$505,"&lt;="&amp;$A263,実績!$AJ$6:$AJ$505,"&gt;"&amp;$A263,実績!$AK$6:$AK$505,"○")&gt;0,1,0))</f>
        <v>0</v>
      </c>
      <c r="AN263" s="39" t="n">
        <f aca="false">IF(AN$4=0,0,IF(COUNTIFS(実績!$W$6:$W$505,AN$3,実績!$AI$6:$AI$505,"&lt;="&amp;$A263,実績!$AJ$6:$AJ$505,"&gt;"&amp;$A263,実績!$AK$6:$AK$505,"○")&gt;0,1,0))</f>
        <v>0</v>
      </c>
      <c r="AO263" s="39" t="n">
        <f aca="false">IF(AO$4=0,0,IF(COUNTIFS(実績!$W$6:$W$505,AO$3,実績!$AI$6:$AI$505,"&lt;="&amp;$A263,実績!$AJ$6:$AJ$505,"&gt;"&amp;$A263,実績!$AK$6:$AK$505,"○")&gt;0,1,0))</f>
        <v>0</v>
      </c>
      <c r="AP263" s="39" t="n">
        <f aca="false">IF(AP$4=0,0,IF(COUNTIFS(実績!$W$6:$W$505,AP$3,実績!$AI$6:$AI$505,"&lt;="&amp;$A263,実績!$AJ$6:$AJ$505,"&gt;"&amp;$A263,実績!$AK$6:$AK$505,"○")&gt;0,1,0))</f>
        <v>0</v>
      </c>
      <c r="AQ263" s="39" t="n">
        <f aca="false">IF(AQ$4=0,0,IF(COUNTIFS(実績!$W$6:$W$505,AQ$3,実績!$AI$6:$AI$505,"&lt;="&amp;$A263,実績!$AJ$6:$AJ$505,"&gt;"&amp;$A263,実績!$AK$6:$AK$505,"○")&gt;0,1,0))</f>
        <v>0</v>
      </c>
      <c r="AR263" s="39" t="n">
        <f aca="false">IF(AR$4=0,0,IF(COUNTIFS(実績!$W$6:$W$505,AR$3,実績!$AI$6:$AI$505,"&lt;="&amp;$A263,実績!$AJ$6:$AJ$505,"&gt;"&amp;$A263,実績!$AK$6:$AK$505,"○")&gt;0,1,0))</f>
        <v>0</v>
      </c>
      <c r="AS263" s="39" t="n">
        <f aca="false">IF(AS$4=0,0,IF(COUNTIFS(実績!$W$6:$W$505,AS$3,実績!$AI$6:$AI$505,"&lt;="&amp;$A263,実績!$AJ$6:$AJ$505,"&gt;"&amp;$A263,実績!$AK$6:$AK$505,"○")&gt;0,1,0))</f>
        <v>0</v>
      </c>
      <c r="AT263" s="39" t="n">
        <f aca="false">IF(AT$4=0,0,IF(COUNTIFS(実績!$W$6:$W$505,AT$3,実績!$AI$6:$AI$505,"&lt;="&amp;$A263,実績!$AJ$6:$AJ$505,"&gt;"&amp;$A263,実績!$AK$6:$AK$505,"○")&gt;0,1,0))</f>
        <v>0</v>
      </c>
      <c r="AU263" s="39" t="n">
        <f aca="false">IF(AU$4=0,0,IF(COUNTIFS(実績!$W$6:$W$505,AU$3,実績!$AI$6:$AI$505,"&lt;="&amp;$A263,実績!$AJ$6:$AJ$505,"&gt;"&amp;$A263,実績!$AK$6:$AK$505,"○")&gt;0,1,0))</f>
        <v>0</v>
      </c>
      <c r="AV263" s="39" t="n">
        <f aca="false">IF(AV$4=0,0,IF(COUNTIFS(実績!$W$6:$W$505,AV$3,実績!$AI$6:$AI$505,"&lt;="&amp;$A263,実績!$AJ$6:$AJ$505,"&gt;"&amp;$A263,実績!$AK$6:$AK$505,"○")&gt;0,1,0))</f>
        <v>0</v>
      </c>
      <c r="AW263" s="39" t="n">
        <f aca="false">IF(AW$4=0,0,IF(COUNTIFS(実績!$W$6:$W$505,AW$3,実績!$AI$6:$AI$505,"&lt;="&amp;$A263,実績!$AJ$6:$AJ$505,"&gt;"&amp;$A263,実績!$AK$6:$AK$505,"○")&gt;0,1,0))</f>
        <v>0</v>
      </c>
      <c r="AX263" s="39" t="n">
        <f aca="false">IF(AX$4=0,0,IF(COUNTIFS(実績!$W$6:$W$505,AX$3,実績!$AI$6:$AI$505,"&lt;="&amp;$A263,実績!$AJ$6:$AJ$505,"&gt;"&amp;$A263,実績!$AK$6:$AK$505,"○")&gt;0,1,0))</f>
        <v>0</v>
      </c>
      <c r="AY263" s="39" t="n">
        <f aca="false">IF(AY$4=0,0,IF(COUNTIFS(実績!$W$6:$W$505,AY$3,実績!$AI$6:$AI$505,"&lt;="&amp;$A263,実績!$AJ$6:$AJ$505,"&gt;"&amp;$A263,実績!$AK$6:$AK$505,"○")&gt;0,1,0))</f>
        <v>0</v>
      </c>
      <c r="AZ263" s="39" t="n">
        <f aca="false">IF(AZ$4=0,0,IF(COUNTIFS(実績!$W$6:$W$505,AZ$3,実績!$AI$6:$AI$505,"&lt;="&amp;$A263,実績!$AJ$6:$AJ$505,"&gt;"&amp;$A263,実績!$AK$6:$AK$505,"○")&gt;0,1,0))</f>
        <v>0</v>
      </c>
      <c r="BA263" s="39" t="n">
        <f aca="false">IF(BA$4=0,0,IF(COUNTIFS(実績!$W$6:$W$505,BA$3,実績!$AI$6:$AI$505,"&lt;="&amp;$A263,実績!$AJ$6:$AJ$505,"&gt;"&amp;$A263,実績!$AK$6:$AK$505,"○")&gt;0,1,0))</f>
        <v>0</v>
      </c>
      <c r="BB263" s="39" t="n">
        <f aca="false">IF(BB$4=0,0,IF(COUNTIFS(実績!$W$6:$W$505,BB$3,実績!$AI$6:$AI$505,"&lt;="&amp;$A263,実績!$AJ$6:$AJ$505,"&gt;"&amp;$A263,実績!$AK$6:$AK$505,"○")&gt;0,1,0))</f>
        <v>0</v>
      </c>
      <c r="BC263" s="39" t="n">
        <f aca="false">IF(BC$4=0,0,IF(COUNTIFS(実績!$W$6:$W$505,BC$3,実績!$AI$6:$AI$505,"&lt;="&amp;$A263,実績!$AJ$6:$AJ$505,"&gt;"&amp;$A263,実績!$AK$6:$AK$505,"○")&gt;0,1,0))</f>
        <v>0</v>
      </c>
      <c r="BD263" s="39" t="n">
        <f aca="false">IF(BD$4=0,0,IF(COUNTIFS(実績!$W$6:$W$505,BD$3,実績!$AI$6:$AI$505,"&lt;="&amp;$A263,実績!$AJ$6:$AJ$505,"&gt;"&amp;$A263,実績!$AK$6:$AK$505,"○")&gt;0,1,0))</f>
        <v>0</v>
      </c>
      <c r="BE263" s="39" t="n">
        <f aca="false">IF(BE$4=0,0,IF(COUNTIFS(実績!$W$6:$W$505,BE$3,実績!$AI$6:$AI$505,"&lt;="&amp;$A263,実績!$AJ$6:$AJ$505,"&gt;"&amp;$A263,実績!$AK$6:$AK$505,"○")&gt;0,1,0))</f>
        <v>0</v>
      </c>
      <c r="BF263" s="39" t="n">
        <f aca="false">IF(BF$4=0,0,IF(COUNTIFS(実績!$W$6:$W$505,BF$3,実績!$AI$6:$AI$505,"&lt;="&amp;$A263,実績!$AJ$6:$AJ$505,"&gt;"&amp;$A263,実績!$AK$6:$AK$505,"○")&gt;0,1,0))</f>
        <v>0</v>
      </c>
      <c r="BG263" s="39" t="n">
        <f aca="false">IF(BG$4=0,0,IF(COUNTIFS(実績!$W$6:$W$505,BG$3,実績!$AI$6:$AI$505,"&lt;="&amp;$A263,実績!$AJ$6:$AJ$505,"&gt;"&amp;$A263,実績!$AK$6:$AK$505,"○")&gt;0,1,0))</f>
        <v>0</v>
      </c>
      <c r="BH263" s="39" t="n">
        <f aca="false">IF(BH$4=0,0,IF(COUNTIFS(実績!$W$6:$W$505,BH$3,実績!$AI$6:$AI$505,"&lt;="&amp;$A263,実績!$AJ$6:$AJ$505,"&gt;"&amp;$A263,実績!$AK$6:$AK$505,"○")&gt;0,1,0))</f>
        <v>0</v>
      </c>
      <c r="BI263" s="39" t="n">
        <f aca="false">IF(BI$4=0,0,IF(COUNTIFS(実績!$W$6:$W$505,BI$3,実績!$AI$6:$AI$505,"&lt;="&amp;$A263,実績!$AJ$6:$AJ$505,"&gt;"&amp;$A263,実績!$AK$6:$AK$505,"○")&gt;0,1,0))</f>
        <v>0</v>
      </c>
      <c r="BJ263" s="39" t="n">
        <f aca="false">IF(BJ$4=0,0,IF(COUNTIFS(実績!$W$6:$W$505,BJ$3,実績!$AI$6:$AI$505,"&lt;="&amp;$A263,実績!$AJ$6:$AJ$505,"&gt;"&amp;$A263,実績!$AK$6:$AK$505,"○")&gt;0,1,0))</f>
        <v>0</v>
      </c>
      <c r="BK263" s="39" t="n">
        <f aca="false">IF(BK$4=0,0,IF(COUNTIFS(実績!$W$6:$W$505,BK$3,実績!$AI$6:$AI$505,"&lt;="&amp;$A263,実績!$AJ$6:$AJ$505,"&gt;"&amp;$A263,実績!$AK$6:$AK$505,"○")&gt;0,1,0))</f>
        <v>0</v>
      </c>
      <c r="BL263" s="39" t="n">
        <f aca="false">IF(BL$4=0,0,IF(COUNTIFS(実績!$W$6:$W$505,BL$3,実績!$AI$6:$AI$505,"&lt;="&amp;$A263,実績!$AJ$6:$AJ$505,"&gt;"&amp;$A263,実績!$AK$6:$AK$505,"○")&gt;0,1,0))</f>
        <v>0</v>
      </c>
      <c r="BM263" s="39" t="n">
        <f aca="false">IF(BM$4=0,0,IF(COUNTIFS(実績!$W$6:$W$505,BM$3,実績!$AI$6:$AI$505,"&lt;="&amp;$A263,実績!$AJ$6:$AJ$505,"&gt;"&amp;$A263,実績!$AK$6:$AK$505,"○")&gt;0,1,0))</f>
        <v>0</v>
      </c>
      <c r="BN263" s="39" t="n">
        <f aca="false">IF(BN$4=0,0,IF(COUNTIFS(実績!$W$6:$W$505,BN$3,実績!$AI$6:$AI$505,"&lt;="&amp;$A263,実績!$AJ$6:$AJ$505,"&gt;"&amp;$A263,実績!$AK$6:$AK$505,"○")&gt;0,1,0))</f>
        <v>0</v>
      </c>
      <c r="BO263" s="39" t="n">
        <f aca="false">IF(BO$4=0,0,IF(COUNTIFS(実績!$W$6:$W$505,BO$3,実績!$AI$6:$AI$505,"&lt;="&amp;$A263,実績!$AJ$6:$AJ$505,"&gt;"&amp;$A263,実績!$AK$6:$AK$505,"○")&gt;0,1,0))</f>
        <v>0</v>
      </c>
      <c r="BP263" s="39" t="n">
        <f aca="false">IF(BP$4=0,0,IF(COUNTIFS(実績!$W$6:$W$505,BP$3,実績!$AI$6:$AI$505,"&lt;="&amp;$A263,実績!$AJ$6:$AJ$505,"&gt;"&amp;$A263,実績!$AK$6:$AK$505,"○")&gt;0,1,0))</f>
        <v>0</v>
      </c>
      <c r="BQ263" s="39" t="n">
        <f aca="false">IF(BQ$4=0,0,IF(COUNTIFS(実績!$W$6:$W$505,BQ$3,実績!$AI$6:$AI$505,"&lt;="&amp;$A263,実績!$AJ$6:$AJ$505,"&gt;"&amp;$A263,実績!$AK$6:$AK$505,"○")&gt;0,1,0))</f>
        <v>0</v>
      </c>
      <c r="BR263" s="39" t="n">
        <f aca="false">IF(BR$4=0,0,IF(COUNTIFS(実績!$W$6:$W$505,BR$3,実績!$AI$6:$AI$505,"&lt;="&amp;$A263,実績!$AJ$6:$AJ$505,"&gt;"&amp;$A263,実績!$AK$6:$AK$505,"○")&gt;0,1,0))</f>
        <v>0</v>
      </c>
      <c r="BS263" s="39" t="n">
        <f aca="false">IF(BS$4=0,0,IF(COUNTIFS(実績!$W$6:$W$505,BS$3,実績!$AI$6:$AI$505,"&lt;="&amp;$A263,実績!$AJ$6:$AJ$505,"&gt;"&amp;$A263,実績!$AK$6:$AK$505,"○")&gt;0,1,0))</f>
        <v>0</v>
      </c>
      <c r="BT263" s="39" t="n">
        <f aca="false">IF(BT$4=0,0,IF(COUNTIFS(実績!$W$6:$W$505,BT$3,実績!$AI$6:$AI$505,"&lt;="&amp;$A263,実績!$AJ$6:$AJ$505,"&gt;"&amp;$A263,実績!$AK$6:$AK$505,"○")&gt;0,1,0))</f>
        <v>0</v>
      </c>
      <c r="BU263" s="39" t="n">
        <f aca="false">IF(BU$4=0,0,IF(COUNTIFS(実績!$W$6:$W$505,BU$3,実績!$AI$6:$AI$505,"&lt;="&amp;$A263,実績!$AJ$6:$AJ$505,"&gt;"&amp;$A263,実績!$AK$6:$AK$505,"○")&gt;0,1,0))</f>
        <v>0</v>
      </c>
      <c r="BV263" s="39" t="n">
        <f aca="false">IF(BV$4=0,0,IF(COUNTIFS(実績!$W$6:$W$505,BV$3,実績!$AI$6:$AI$505,"&lt;="&amp;$A263,実績!$AJ$6:$AJ$505,"&gt;"&amp;$A263,実績!$AK$6:$AK$505,"○")&gt;0,1,0))</f>
        <v>0</v>
      </c>
      <c r="BW263" s="39" t="n">
        <f aca="false">IF(BW$4=0,0,IF(COUNTIFS(実績!$W$6:$W$505,BW$3,実績!$AI$6:$AI$505,"&lt;="&amp;$A263,実績!$AJ$6:$AJ$505,"&gt;"&amp;$A263,実績!$AK$6:$AK$505,"○")&gt;0,1,0))</f>
        <v>0</v>
      </c>
      <c r="BX263" s="39" t="n">
        <f aca="false">IF(BX$4=0,0,IF(COUNTIFS(実績!$W$6:$W$505,BX$3,実績!$AI$6:$AI$505,"&lt;="&amp;$A263,実績!$AJ$6:$AJ$505,"&gt;"&amp;$A263,実績!$AK$6:$AK$505,"○")&gt;0,1,0))</f>
        <v>0</v>
      </c>
      <c r="BY263" s="39" t="n">
        <f aca="false">IF(BY$4=0,0,IF(COUNTIFS(実績!$W$6:$W$505,BY$3,実績!$AI$6:$AI$505,"&lt;="&amp;$A263,実績!$AJ$6:$AJ$505,"&gt;"&amp;$A263,実績!$AK$6:$AK$505,"○")&gt;0,1,0))</f>
        <v>0</v>
      </c>
      <c r="BZ263" s="39" t="n">
        <f aca="false">IF(BZ$4=0,0,IF(COUNTIFS(実績!$W$6:$W$505,BZ$3,実績!$AI$6:$AI$505,"&lt;="&amp;$A263,実績!$AJ$6:$AJ$505,"&gt;"&amp;$A263,実績!$AK$6:$AK$505,"○")&gt;0,1,0))</f>
        <v>0</v>
      </c>
      <c r="CA263" s="39" t="n">
        <f aca="false">IF(CA$4=0,0,IF(COUNTIFS(実績!$W$6:$W$505,CA$3,実績!$AI$6:$AI$505,"&lt;="&amp;$A263,実績!$AJ$6:$AJ$505,"&gt;"&amp;$A263,実績!$AK$6:$AK$505,"○")&gt;0,1,0))</f>
        <v>0</v>
      </c>
      <c r="CB263" s="39" t="n">
        <f aca="false">IF(CB$4=0,0,IF(COUNTIFS(実績!$W$6:$W$505,CB$3,実績!$AI$6:$AI$505,"&lt;="&amp;$A263,実績!$AJ$6:$AJ$505,"&gt;"&amp;$A263,実績!$AK$6:$AK$505,"○")&gt;0,1,0))</f>
        <v>0</v>
      </c>
      <c r="CC263" s="39" t="n">
        <f aca="false">IF(CC$4=0,0,IF(COUNTIFS(実績!$W$6:$W$505,CC$3,実績!$AI$6:$AI$505,"&lt;="&amp;$A263,実績!$AJ$6:$AJ$505,"&gt;"&amp;$A263,実績!$AK$6:$AK$505,"○")&gt;0,1,0))</f>
        <v>0</v>
      </c>
      <c r="CD263" s="39" t="n">
        <f aca="false">IF(CD$4=0,0,IF(COUNTIFS(実績!$W$6:$W$505,CD$3,実績!$AI$6:$AI$505,"&lt;="&amp;$A263,実績!$AJ$6:$AJ$505,"&gt;"&amp;$A263,実績!$AK$6:$AK$505,"○")&gt;0,1,0))</f>
        <v>0</v>
      </c>
      <c r="CE263" s="39" t="n">
        <f aca="false">IF(CE$4=0,0,IF(COUNTIFS(実績!$W$6:$W$505,CE$3,実績!$AI$6:$AI$505,"&lt;="&amp;$A263,実績!$AJ$6:$AJ$505,"&gt;"&amp;$A263,実績!$AK$6:$AK$505,"○")&gt;0,1,0))</f>
        <v>0</v>
      </c>
      <c r="CF263" s="39" t="n">
        <f aca="false">IF(CF$4=0,0,IF(COUNTIFS(実績!$W$6:$W$505,CF$3,実績!$AI$6:$AI$505,"&lt;="&amp;$A263,実績!$AJ$6:$AJ$505,"&gt;"&amp;$A263,実績!$AK$6:$AK$505,"○")&gt;0,1,0))</f>
        <v>0</v>
      </c>
      <c r="CG263" s="39" t="n">
        <f aca="false">IF(CG$4=0,0,IF(COUNTIFS(実績!$W$6:$W$505,CG$3,実績!$AI$6:$AI$505,"&lt;="&amp;$A263,実績!$AJ$6:$AJ$505,"&gt;"&amp;$A263,実績!$AK$6:$AK$505,"○")&gt;0,1,0))</f>
        <v>0</v>
      </c>
      <c r="CH263" s="39" t="n">
        <f aca="false">IF(CH$4=0,0,IF(COUNTIFS(実績!$W$6:$W$505,CH$3,実績!$AI$6:$AI$505,"&lt;="&amp;$A263,実績!$AJ$6:$AJ$505,"&gt;"&amp;$A263,実績!$AK$6:$AK$505,"○")&gt;0,1,0))</f>
        <v>0</v>
      </c>
      <c r="CI263" s="39" t="n">
        <f aca="false">IF(CI$4=0,0,IF(COUNTIFS(実績!$W$6:$W$505,CI$3,実績!$AI$6:$AI$505,"&lt;="&amp;$A263,実績!$AJ$6:$AJ$505,"&gt;"&amp;$A263,実績!$AK$6:$AK$505,"○")&gt;0,1,0))</f>
        <v>0</v>
      </c>
      <c r="CJ263" s="39" t="n">
        <f aca="false">IF(CJ$4=0,0,IF(COUNTIFS(実績!$W$6:$W$505,CJ$3,実績!$AI$6:$AI$505,"&lt;="&amp;$A263,実績!$AJ$6:$AJ$505,"&gt;"&amp;$A263,実績!$AK$6:$AK$505,"○")&gt;0,1,0))</f>
        <v>0</v>
      </c>
      <c r="CK263" s="39" t="n">
        <f aca="false">IF(CK$4=0,0,IF(COUNTIFS(実績!$W$6:$W$505,CK$3,実績!$AI$6:$AI$505,"&lt;="&amp;$A263,実績!$AJ$6:$AJ$505,"&gt;"&amp;$A263,実績!$AK$6:$AK$505,"○")&gt;0,1,0))</f>
        <v>0</v>
      </c>
      <c r="CL263" s="39" t="n">
        <f aca="false">IF(CL$4=0,0,IF(COUNTIFS(実績!$W$6:$W$505,CL$3,実績!$AI$6:$AI$505,"&lt;="&amp;$A263,実績!$AJ$6:$AJ$505,"&gt;"&amp;$A263,実績!$AK$6:$AK$505,"○")&gt;0,1,0))</f>
        <v>0</v>
      </c>
      <c r="CM263" s="39" t="n">
        <f aca="false">IF(CM$4=0,0,IF(COUNTIFS(実績!$W$6:$W$505,CM$3,実績!$AI$6:$AI$505,"&lt;="&amp;$A263,実績!$AJ$6:$AJ$505,"&gt;"&amp;$A263,実績!$AK$6:$AK$505,"○")&gt;0,1,0))</f>
        <v>0</v>
      </c>
      <c r="CN263" s="39" t="n">
        <f aca="false">IF(CN$4=0,0,IF(COUNTIFS(実績!$W$6:$W$505,CN$3,実績!$AI$6:$AI$505,"&lt;="&amp;$A263,実績!$AJ$6:$AJ$505,"&gt;"&amp;$A263,実績!$AK$6:$AK$505,"○")&gt;0,1,0))</f>
        <v>0</v>
      </c>
      <c r="CO263" s="39" t="n">
        <f aca="false">IF(CO$4=0,0,IF(COUNTIFS(実績!$W$6:$W$505,CO$3,実績!$AI$6:$AI$505,"&lt;="&amp;$A263,実績!$AJ$6:$AJ$505,"&gt;"&amp;$A263,実績!$AK$6:$AK$505,"○")&gt;0,1,0))</f>
        <v>0</v>
      </c>
      <c r="CP263" s="39" t="n">
        <f aca="false">IF(CP$4=0,0,IF(COUNTIFS(実績!$W$6:$W$505,CP$3,実績!$AI$6:$AI$505,"&lt;="&amp;$A263,実績!$AJ$6:$AJ$505,"&gt;"&amp;$A263,実績!$AK$6:$AK$505,"○")&gt;0,1,0))</f>
        <v>0</v>
      </c>
      <c r="CQ263" s="39" t="n">
        <f aca="false">IF(CQ$4=0,0,IF(COUNTIFS(実績!$W$6:$W$505,CQ$3,実績!$AI$6:$AI$505,"&lt;="&amp;$A263,実績!$AJ$6:$AJ$505,"&gt;"&amp;$A263,実績!$AK$6:$AK$505,"○")&gt;0,1,0))</f>
        <v>0</v>
      </c>
      <c r="CR263" s="39" t="n">
        <f aca="false">IF(CR$4=0,0,IF(COUNTIFS(実績!$W$6:$W$505,CR$3,実績!$AI$6:$AI$505,"&lt;="&amp;$A263,実績!$AJ$6:$AJ$505,"&gt;"&amp;$A263,実績!$AK$6:$AK$505,"○")&gt;0,1,0))</f>
        <v>0</v>
      </c>
      <c r="CS263" s="39" t="n">
        <f aca="false">IF(CS$4=0,0,IF(COUNTIFS(実績!$W$6:$W$505,CS$3,実績!$AI$6:$AI$505,"&lt;="&amp;$A263,実績!$AJ$6:$AJ$505,"&gt;"&amp;$A263,実績!$AK$6:$AK$505,"○")&gt;0,1,0))</f>
        <v>0</v>
      </c>
      <c r="CT263" s="39" t="n">
        <f aca="false">IF(CT$4=0,0,IF(COUNTIFS(実績!$W$6:$W$505,CT$3,実績!$AI$6:$AI$505,"&lt;="&amp;$A263,実績!$AJ$6:$AJ$505,"&gt;"&amp;$A263,実績!$AK$6:$AK$505,"○")&gt;0,1,0))</f>
        <v>0</v>
      </c>
      <c r="CU263" s="39" t="n">
        <f aca="false">IF(CU$4=0,0,IF(COUNTIFS(実績!$W$6:$W$505,CU$3,実績!$AI$6:$AI$505,"&lt;="&amp;$A263,実績!$AJ$6:$AJ$505,"&gt;"&amp;$A263,実績!$AK$6:$AK$505,"○")&gt;0,1,0))</f>
        <v>0</v>
      </c>
      <c r="CV263" s="39" t="n">
        <f aca="false">IF(CV$4=0,0,IF(COUNTIFS(実績!$W$6:$W$505,CV$3,実績!$AI$6:$AI$505,"&lt;="&amp;$A263,実績!$AJ$6:$AJ$505,"&gt;"&amp;$A263,実績!$AK$6:$AK$505,"○")&gt;0,1,0))</f>
        <v>0</v>
      </c>
      <c r="CW263" s="39" t="n">
        <f aca="false">IF(CW$4=0,0,IF(COUNTIFS(実績!$W$6:$W$505,CW$3,実績!$AI$6:$AI$505,"&lt;="&amp;$A263,実績!$AJ$6:$AJ$505,"&gt;"&amp;$A263,実績!$AK$6:$AK$505,"○")&gt;0,1,0))</f>
        <v>0</v>
      </c>
      <c r="CX263" s="39" t="n">
        <f aca="false">IF(CX$4=0,0,IF(COUNTIFS(実績!$W$6:$W$505,CX$3,実績!$AI$6:$AI$505,"&lt;="&amp;$A263,実績!$AJ$6:$AJ$505,"&gt;"&amp;$A263,実績!$AK$6:$AK$505,"○")&gt;0,1,0))</f>
        <v>0</v>
      </c>
      <c r="CY263" s="39" t="n">
        <f aca="false">IF(CY$4=0,0,IF(COUNTIFS(実績!$W$6:$W$505,CY$3,実績!$AI$6:$AI$505,"&lt;="&amp;$A263,実績!$AJ$6:$AJ$505,"&gt;"&amp;$A263,実績!$AK$6:$AK$505,"○")&gt;0,1,0))</f>
        <v>0</v>
      </c>
      <c r="CZ263" s="39" t="n">
        <f aca="false">IF(CZ$4=0,0,IF(COUNTIFS(実績!$W$6:$W$505,CZ$3,実績!$AI$6:$AI$505,"&lt;="&amp;$A263,実績!$AJ$6:$AJ$505,"&gt;"&amp;$A263,実績!$AK$6:$AK$505,"○")&gt;0,1,0))</f>
        <v>0</v>
      </c>
      <c r="DA263" s="39" t="n">
        <f aca="false">IF(DA$4=0,0,IF(COUNTIFS(実績!$W$6:$W$505,DA$3,実績!$AI$6:$AI$505,"&lt;="&amp;$A263,実績!$AJ$6:$AJ$505,"&gt;"&amp;$A263,実績!$AK$6:$AK$505,"○")&gt;0,1,0))</f>
        <v>0</v>
      </c>
      <c r="DB263" s="39" t="n">
        <f aca="false">IF(DB$4=0,0,IF(COUNTIFS(実績!$W$6:$W$505,DB$3,実績!$AI$6:$AI$505,"&lt;="&amp;$A263,実績!$AJ$6:$AJ$505,"&gt;"&amp;$A263,実績!$AK$6:$AK$505,"○")&gt;0,1,0))</f>
        <v>0</v>
      </c>
      <c r="DC263" s="39" t="n">
        <f aca="false">IF(DC$4=0,0,IF(COUNTIFS(実績!$W$6:$W$505,DC$3,実績!$AI$6:$AI$505,"&lt;="&amp;$A263,実績!$AJ$6:$AJ$505,"&gt;"&amp;$A263,実績!$AK$6:$AK$505,"○")&gt;0,1,0))</f>
        <v>0</v>
      </c>
      <c r="DD263" s="39" t="n">
        <f aca="false">IF(DD$4=0,0,IF(COUNTIFS(実績!$W$6:$W$505,DD$3,実績!$AI$6:$AI$505,"&lt;="&amp;$A263,実績!$AJ$6:$AJ$505,"&gt;"&amp;$A263,実績!$AK$6:$AK$505,"○")&gt;0,1,0))</f>
        <v>0</v>
      </c>
      <c r="DE263" s="39" t="n">
        <f aca="false">IF(DE$4=0,0,IF(COUNTIFS(実績!$W$6:$W$505,DE$3,実績!$AI$6:$AI$505,"&lt;="&amp;$A263,実績!$AJ$6:$AJ$505,"&gt;"&amp;$A263,実績!$AK$6:$AK$505,"○")&gt;0,1,0))</f>
        <v>0</v>
      </c>
      <c r="DF263" s="39" t="n">
        <f aca="false">IF(DF$4=0,0,IF(COUNTIFS(実績!$W$6:$W$505,DF$3,実績!$AI$6:$AI$505,"&lt;="&amp;$A263,実績!$AJ$6:$AJ$505,"&gt;"&amp;$A263,実績!$AK$6:$AK$505,"○")&gt;0,1,0))</f>
        <v>0</v>
      </c>
      <c r="DG263" s="39" t="n">
        <f aca="false">IF(DG$4=0,0,IF(COUNTIFS(実績!$W$6:$W$505,DG$3,実績!$AI$6:$AI$505,"&lt;="&amp;$A263,実績!$AJ$6:$AJ$505,"&gt;"&amp;$A263,実績!$AK$6:$AK$505,"○")&gt;0,1,0))</f>
        <v>0</v>
      </c>
      <c r="DH263" s="39" t="n">
        <f aca="false">IF(DH$4=0,0,IF(COUNTIFS(実績!$W$6:$W$505,DH$3,実績!$AI$6:$AI$505,"&lt;="&amp;$A263,実績!$AJ$6:$AJ$505,"&gt;"&amp;$A263,実績!$AK$6:$AK$505,"○")&gt;0,1,0))</f>
        <v>0</v>
      </c>
      <c r="DI263" s="39" t="n">
        <f aca="false">IF(DI$4=0,0,IF(COUNTIFS(実績!$W$6:$W$505,DI$3,実績!$AI$6:$AI$505,"&lt;="&amp;$A263,実績!$AJ$6:$AJ$505,"&gt;"&amp;$A263,実績!$AK$6:$AK$505,"○")&gt;0,1,0))</f>
        <v>0</v>
      </c>
      <c r="DJ263" s="39" t="n">
        <f aca="false">IF(DJ$4=0,0,IF(COUNTIFS(実績!$W$6:$W$505,DJ$3,実績!$AI$6:$AI$505,"&lt;="&amp;$A263,実績!$AJ$6:$AJ$505,"&gt;"&amp;$A263,実績!$AK$6:$AK$505,"○")&gt;0,1,0))</f>
        <v>0</v>
      </c>
      <c r="DK263" s="39" t="n">
        <f aca="false">IF(DK$4=0,0,IF(COUNTIFS(実績!$W$6:$W$505,DK$3,実績!$AI$6:$AI$505,"&lt;="&amp;$A263,実績!$AJ$6:$AJ$505,"&gt;"&amp;$A263,実績!$AK$6:$AK$505,"○")&gt;0,1,0))</f>
        <v>0</v>
      </c>
      <c r="DL263" s="39" t="n">
        <f aca="false">IF(DL$4=0,0,IF(COUNTIFS(実績!$W$6:$W$505,DL$3,実績!$AI$6:$AI$505,"&lt;="&amp;$A263,実績!$AJ$6:$AJ$505,"&gt;"&amp;$A263,実績!$AK$6:$AK$505,"○")&gt;0,1,0))</f>
        <v>0</v>
      </c>
      <c r="DM263" s="39" t="n">
        <f aca="false">IF(DM$4=0,0,IF(COUNTIFS(実績!$W$6:$W$505,DM$3,実績!$AI$6:$AI$505,"&lt;="&amp;$A263,実績!$AJ$6:$AJ$505,"&gt;"&amp;$A263,実績!$AK$6:$AK$505,"○")&gt;0,1,0))</f>
        <v>0</v>
      </c>
      <c r="DN263" s="39" t="n">
        <f aca="false">IF(DN$4=0,0,IF(COUNTIFS(実績!$W$6:$W$505,DN$3,実績!$AI$6:$AI$505,"&lt;="&amp;$A263,実績!$AJ$6:$AJ$505,"&gt;"&amp;$A263,実績!$AK$6:$AK$505,"○")&gt;0,1,0))</f>
        <v>0</v>
      </c>
      <c r="DO263" s="39" t="n">
        <f aca="false">IF(DO$4=0,0,IF(COUNTIFS(実績!$W$6:$W$505,DO$3,実績!$AI$6:$AI$505,"&lt;="&amp;$A263,実績!$AJ$6:$AJ$505,"&gt;"&amp;$A263,実績!$AK$6:$AK$505,"○")&gt;0,1,0))</f>
        <v>0</v>
      </c>
      <c r="DP263" s="39" t="n">
        <f aca="false">IF(DP$4=0,0,IF(COUNTIFS(実績!$W$6:$W$505,DP$3,実績!$AI$6:$AI$505,"&lt;="&amp;$A263,実績!$AJ$6:$AJ$505,"&gt;"&amp;$A263,実績!$AK$6:$AK$505,"○")&gt;0,1,0))</f>
        <v>0</v>
      </c>
      <c r="DQ263" s="39" t="n">
        <f aca="false">IF(DQ$4=0,0,IF(COUNTIFS(実績!$W$6:$W$505,DQ$3,実績!$AI$6:$AI$505,"&lt;="&amp;$A263,実績!$AJ$6:$AJ$505,"&gt;"&amp;$A263,実績!$AK$6:$AK$505,"○")&gt;0,1,0))</f>
        <v>0</v>
      </c>
      <c r="DR263" s="39" t="n">
        <f aca="false">IF(DR$4=0,0,IF(COUNTIFS(実績!$W$6:$W$505,DR$3,実績!$AI$6:$AI$505,"&lt;="&amp;$A263,実績!$AJ$6:$AJ$505,"&gt;"&amp;$A263,実績!$AK$6:$AK$505,"○")&gt;0,1,0))</f>
        <v>0</v>
      </c>
      <c r="DS263" s="39" t="n">
        <f aca="false">SUM(C263:DR263)</f>
        <v>0</v>
      </c>
      <c r="DT263" s="39" t="n">
        <f aca="false">SUMPRODUCT((実績!$C$6:$C$505="○")*ISNUMBER(実績!$AM$6:$AM$505)*(実績!$AM$6:$AM$505&lt;=$A263)*(実績!$AN$6:$AN$505&gt;$A263))</f>
        <v>0</v>
      </c>
      <c r="DU263" s="39" t="n">
        <f aca="false">SUMIF($C$2:$DR$2,"製鉄曳船",C263:DR263)</f>
        <v>0</v>
      </c>
      <c r="DV263" s="39" t="n">
        <f aca="false">SUMIF($C$2:$DR$2,"西日本海運",C263:DR263)</f>
        <v>0</v>
      </c>
    </row>
    <row r="264" customFormat="false" ht="15" hidden="false" customHeight="false" outlineLevel="0" collapsed="false">
      <c r="A264" s="0" t="n">
        <v>1290</v>
      </c>
      <c r="B264" s="38" t="n">
        <f aca="false">A264/1440</f>
        <v>0.895833333333333</v>
      </c>
      <c r="C264" s="39" t="n">
        <f aca="false">IF(C$4=0,0,IF(COUNTIFS(実績!$W$6:$W$505,C$3,実績!$AI$6:$AI$505,"&lt;="&amp;$A264,実績!$AJ$6:$AJ$505,"&gt;"&amp;$A264,実績!$AK$6:$AK$505,"○")&gt;0,1,0))</f>
        <v>0</v>
      </c>
      <c r="D264" s="39" t="n">
        <f aca="false">IF(D$4=0,0,IF(COUNTIFS(実績!$W$6:$W$505,D$3,実績!$AI$6:$AI$505,"&lt;="&amp;$A264,実績!$AJ$6:$AJ$505,"&gt;"&amp;$A264,実績!$AK$6:$AK$505,"○")&gt;0,1,0))</f>
        <v>0</v>
      </c>
      <c r="E264" s="39" t="n">
        <f aca="false">IF(E$4=0,0,IF(COUNTIFS(実績!$W$6:$W$505,E$3,実績!$AI$6:$AI$505,"&lt;="&amp;$A264,実績!$AJ$6:$AJ$505,"&gt;"&amp;$A264,実績!$AK$6:$AK$505,"○")&gt;0,1,0))</f>
        <v>0</v>
      </c>
      <c r="F264" s="39" t="n">
        <f aca="false">IF(F$4=0,0,IF(COUNTIFS(実績!$W$6:$W$505,F$3,実績!$AI$6:$AI$505,"&lt;="&amp;$A264,実績!$AJ$6:$AJ$505,"&gt;"&amp;$A264,実績!$AK$6:$AK$505,"○")&gt;0,1,0))</f>
        <v>0</v>
      </c>
      <c r="G264" s="39" t="n">
        <f aca="false">IF(G$4=0,0,IF(COUNTIFS(実績!$W$6:$W$505,G$3,実績!$AI$6:$AI$505,"&lt;="&amp;$A264,実績!$AJ$6:$AJ$505,"&gt;"&amp;$A264,実績!$AK$6:$AK$505,"○")&gt;0,1,0))</f>
        <v>0</v>
      </c>
      <c r="H264" s="39" t="n">
        <f aca="false">IF(H$4=0,0,IF(COUNTIFS(実績!$W$6:$W$505,H$3,実績!$AI$6:$AI$505,"&lt;="&amp;$A264,実績!$AJ$6:$AJ$505,"&gt;"&amp;$A264,実績!$AK$6:$AK$505,"○")&gt;0,1,0))</f>
        <v>0</v>
      </c>
      <c r="I264" s="39" t="n">
        <f aca="false">IF(I$4=0,0,IF(COUNTIFS(実績!$W$6:$W$505,I$3,実績!$AI$6:$AI$505,"&lt;="&amp;$A264,実績!$AJ$6:$AJ$505,"&gt;"&amp;$A264,実績!$AK$6:$AK$505,"○")&gt;0,1,0))</f>
        <v>0</v>
      </c>
      <c r="J264" s="39" t="n">
        <f aca="false">IF(J$4=0,0,IF(COUNTIFS(実績!$W$6:$W$505,J$3,実績!$AI$6:$AI$505,"&lt;="&amp;$A264,実績!$AJ$6:$AJ$505,"&gt;"&amp;$A264,実績!$AK$6:$AK$505,"○")&gt;0,1,0))</f>
        <v>0</v>
      </c>
      <c r="K264" s="39" t="n">
        <f aca="false">IF(K$4=0,0,IF(COUNTIFS(実績!$W$6:$W$505,K$3,実績!$AI$6:$AI$505,"&lt;="&amp;$A264,実績!$AJ$6:$AJ$505,"&gt;"&amp;$A264,実績!$AK$6:$AK$505,"○")&gt;0,1,0))</f>
        <v>0</v>
      </c>
      <c r="L264" s="39" t="n">
        <f aca="false">IF(L$4=0,0,IF(COUNTIFS(実績!$W$6:$W$505,L$3,実績!$AI$6:$AI$505,"&lt;="&amp;$A264,実績!$AJ$6:$AJ$505,"&gt;"&amp;$A264,実績!$AK$6:$AK$505,"○")&gt;0,1,0))</f>
        <v>0</v>
      </c>
      <c r="M264" s="39" t="n">
        <f aca="false">IF(M$4=0,0,IF(COUNTIFS(実績!$W$6:$W$505,M$3,実績!$AI$6:$AI$505,"&lt;="&amp;$A264,実績!$AJ$6:$AJ$505,"&gt;"&amp;$A264,実績!$AK$6:$AK$505,"○")&gt;0,1,0))</f>
        <v>0</v>
      </c>
      <c r="N264" s="39" t="n">
        <f aca="false">IF(N$4=0,0,IF(COUNTIFS(実績!$W$6:$W$505,N$3,実績!$AI$6:$AI$505,"&lt;="&amp;$A264,実績!$AJ$6:$AJ$505,"&gt;"&amp;$A264,実績!$AK$6:$AK$505,"○")&gt;0,1,0))</f>
        <v>0</v>
      </c>
      <c r="O264" s="39" t="n">
        <f aca="false">IF(O$4=0,0,IF(COUNTIFS(実績!$W$6:$W$505,O$3,実績!$AI$6:$AI$505,"&lt;="&amp;$A264,実績!$AJ$6:$AJ$505,"&gt;"&amp;$A264,実績!$AK$6:$AK$505,"○")&gt;0,1,0))</f>
        <v>0</v>
      </c>
      <c r="P264" s="39" t="n">
        <f aca="false">IF(P$4=0,0,IF(COUNTIFS(実績!$W$6:$W$505,P$3,実績!$AI$6:$AI$505,"&lt;="&amp;$A264,実績!$AJ$6:$AJ$505,"&gt;"&amp;$A264,実績!$AK$6:$AK$505,"○")&gt;0,1,0))</f>
        <v>0</v>
      </c>
      <c r="Q264" s="39" t="n">
        <f aca="false">IF(Q$4=0,0,IF(COUNTIFS(実績!$W$6:$W$505,Q$3,実績!$AI$6:$AI$505,"&lt;="&amp;$A264,実績!$AJ$6:$AJ$505,"&gt;"&amp;$A264,実績!$AK$6:$AK$505,"○")&gt;0,1,0))</f>
        <v>0</v>
      </c>
      <c r="R264" s="39" t="n">
        <f aca="false">IF(R$4=0,0,IF(COUNTIFS(実績!$W$6:$W$505,R$3,実績!$AI$6:$AI$505,"&lt;="&amp;$A264,実績!$AJ$6:$AJ$505,"&gt;"&amp;$A264,実績!$AK$6:$AK$505,"○")&gt;0,1,0))</f>
        <v>0</v>
      </c>
      <c r="S264" s="39" t="n">
        <f aca="false">IF(S$4=0,0,IF(COUNTIFS(実績!$W$6:$W$505,S$3,実績!$AI$6:$AI$505,"&lt;="&amp;$A264,実績!$AJ$6:$AJ$505,"&gt;"&amp;$A264,実績!$AK$6:$AK$505,"○")&gt;0,1,0))</f>
        <v>0</v>
      </c>
      <c r="T264" s="39" t="n">
        <f aca="false">IF(T$4=0,0,IF(COUNTIFS(実績!$W$6:$W$505,T$3,実績!$AI$6:$AI$505,"&lt;="&amp;$A264,実績!$AJ$6:$AJ$505,"&gt;"&amp;$A264,実績!$AK$6:$AK$505,"○")&gt;0,1,0))</f>
        <v>0</v>
      </c>
      <c r="U264" s="39" t="n">
        <f aca="false">IF(U$4=0,0,IF(COUNTIFS(実績!$W$6:$W$505,U$3,実績!$AI$6:$AI$505,"&lt;="&amp;$A264,実績!$AJ$6:$AJ$505,"&gt;"&amp;$A264,実績!$AK$6:$AK$505,"○")&gt;0,1,0))</f>
        <v>0</v>
      </c>
      <c r="V264" s="39" t="n">
        <f aca="false">IF(V$4=0,0,IF(COUNTIFS(実績!$W$6:$W$505,V$3,実績!$AI$6:$AI$505,"&lt;="&amp;$A264,実績!$AJ$6:$AJ$505,"&gt;"&amp;$A264,実績!$AK$6:$AK$505,"○")&gt;0,1,0))</f>
        <v>0</v>
      </c>
      <c r="W264" s="39" t="n">
        <f aca="false">IF(W$4=0,0,IF(COUNTIFS(実績!$W$6:$W$505,W$3,実績!$AI$6:$AI$505,"&lt;="&amp;$A264,実績!$AJ$6:$AJ$505,"&gt;"&amp;$A264,実績!$AK$6:$AK$505,"○")&gt;0,1,0))</f>
        <v>0</v>
      </c>
      <c r="X264" s="39" t="n">
        <f aca="false">IF(X$4=0,0,IF(COUNTIFS(実績!$W$6:$W$505,X$3,実績!$AI$6:$AI$505,"&lt;="&amp;$A264,実績!$AJ$6:$AJ$505,"&gt;"&amp;$A264,実績!$AK$6:$AK$505,"○")&gt;0,1,0))</f>
        <v>0</v>
      </c>
      <c r="Y264" s="39" t="n">
        <f aca="false">IF(Y$4=0,0,IF(COUNTIFS(実績!$W$6:$W$505,Y$3,実績!$AI$6:$AI$505,"&lt;="&amp;$A264,実績!$AJ$6:$AJ$505,"&gt;"&amp;$A264,実績!$AK$6:$AK$505,"○")&gt;0,1,0))</f>
        <v>0</v>
      </c>
      <c r="Z264" s="39" t="n">
        <f aca="false">IF(Z$4=0,0,IF(COUNTIFS(実績!$W$6:$W$505,Z$3,実績!$AI$6:$AI$505,"&lt;="&amp;$A264,実績!$AJ$6:$AJ$505,"&gt;"&amp;$A264,実績!$AK$6:$AK$505,"○")&gt;0,1,0))</f>
        <v>0</v>
      </c>
      <c r="AA264" s="39" t="n">
        <f aca="false">IF(AA$4=0,0,IF(COUNTIFS(実績!$W$6:$W$505,AA$3,実績!$AI$6:$AI$505,"&lt;="&amp;$A264,実績!$AJ$6:$AJ$505,"&gt;"&amp;$A264,実績!$AK$6:$AK$505,"○")&gt;0,1,0))</f>
        <v>0</v>
      </c>
      <c r="AB264" s="39" t="n">
        <f aca="false">IF(AB$4=0,0,IF(COUNTIFS(実績!$W$6:$W$505,AB$3,実績!$AI$6:$AI$505,"&lt;="&amp;$A264,実績!$AJ$6:$AJ$505,"&gt;"&amp;$A264,実績!$AK$6:$AK$505,"○")&gt;0,1,0))</f>
        <v>0</v>
      </c>
      <c r="AC264" s="39" t="n">
        <f aca="false">IF(AC$4=0,0,IF(COUNTIFS(実績!$W$6:$W$505,AC$3,実績!$AI$6:$AI$505,"&lt;="&amp;$A264,実績!$AJ$6:$AJ$505,"&gt;"&amp;$A264,実績!$AK$6:$AK$505,"○")&gt;0,1,0))</f>
        <v>0</v>
      </c>
      <c r="AD264" s="39" t="n">
        <f aca="false">IF(AD$4=0,0,IF(COUNTIFS(実績!$W$6:$W$505,AD$3,実績!$AI$6:$AI$505,"&lt;="&amp;$A264,実績!$AJ$6:$AJ$505,"&gt;"&amp;$A264,実績!$AK$6:$AK$505,"○")&gt;0,1,0))</f>
        <v>0</v>
      </c>
      <c r="AE264" s="39" t="n">
        <f aca="false">IF(AE$4=0,0,IF(COUNTIFS(実績!$W$6:$W$505,AE$3,実績!$AI$6:$AI$505,"&lt;="&amp;$A264,実績!$AJ$6:$AJ$505,"&gt;"&amp;$A264,実績!$AK$6:$AK$505,"○")&gt;0,1,0))</f>
        <v>0</v>
      </c>
      <c r="AF264" s="39" t="n">
        <f aca="false">IF(AF$4=0,0,IF(COUNTIFS(実績!$W$6:$W$505,AF$3,実績!$AI$6:$AI$505,"&lt;="&amp;$A264,実績!$AJ$6:$AJ$505,"&gt;"&amp;$A264,実績!$AK$6:$AK$505,"○")&gt;0,1,0))</f>
        <v>0</v>
      </c>
      <c r="AG264" s="39" t="n">
        <f aca="false">IF(AG$4=0,0,IF(COUNTIFS(実績!$W$6:$W$505,AG$3,実績!$AI$6:$AI$505,"&lt;="&amp;$A264,実績!$AJ$6:$AJ$505,"&gt;"&amp;$A264,実績!$AK$6:$AK$505,"○")&gt;0,1,0))</f>
        <v>0</v>
      </c>
      <c r="AH264" s="39" t="n">
        <f aca="false">IF(AH$4=0,0,IF(COUNTIFS(実績!$W$6:$W$505,AH$3,実績!$AI$6:$AI$505,"&lt;="&amp;$A264,実績!$AJ$6:$AJ$505,"&gt;"&amp;$A264,実績!$AK$6:$AK$505,"○")&gt;0,1,0))</f>
        <v>0</v>
      </c>
      <c r="AI264" s="39" t="n">
        <f aca="false">IF(AI$4=0,0,IF(COUNTIFS(実績!$W$6:$W$505,AI$3,実績!$AI$6:$AI$505,"&lt;="&amp;$A264,実績!$AJ$6:$AJ$505,"&gt;"&amp;$A264,実績!$AK$6:$AK$505,"○")&gt;0,1,0))</f>
        <v>0</v>
      </c>
      <c r="AJ264" s="39" t="n">
        <f aca="false">IF(AJ$4=0,0,IF(COUNTIFS(実績!$W$6:$W$505,AJ$3,実績!$AI$6:$AI$505,"&lt;="&amp;$A264,実績!$AJ$6:$AJ$505,"&gt;"&amp;$A264,実績!$AK$6:$AK$505,"○")&gt;0,1,0))</f>
        <v>0</v>
      </c>
      <c r="AK264" s="39" t="n">
        <f aca="false">IF(AK$4=0,0,IF(COUNTIFS(実績!$W$6:$W$505,AK$3,実績!$AI$6:$AI$505,"&lt;="&amp;$A264,実績!$AJ$6:$AJ$505,"&gt;"&amp;$A264,実績!$AK$6:$AK$505,"○")&gt;0,1,0))</f>
        <v>0</v>
      </c>
      <c r="AL264" s="39" t="n">
        <f aca="false">IF(AL$4=0,0,IF(COUNTIFS(実績!$W$6:$W$505,AL$3,実績!$AI$6:$AI$505,"&lt;="&amp;$A264,実績!$AJ$6:$AJ$505,"&gt;"&amp;$A264,実績!$AK$6:$AK$505,"○")&gt;0,1,0))</f>
        <v>0</v>
      </c>
      <c r="AM264" s="39" t="n">
        <f aca="false">IF(AM$4=0,0,IF(COUNTIFS(実績!$W$6:$W$505,AM$3,実績!$AI$6:$AI$505,"&lt;="&amp;$A264,実績!$AJ$6:$AJ$505,"&gt;"&amp;$A264,実績!$AK$6:$AK$505,"○")&gt;0,1,0))</f>
        <v>0</v>
      </c>
      <c r="AN264" s="39" t="n">
        <f aca="false">IF(AN$4=0,0,IF(COUNTIFS(実績!$W$6:$W$505,AN$3,実績!$AI$6:$AI$505,"&lt;="&amp;$A264,実績!$AJ$6:$AJ$505,"&gt;"&amp;$A264,実績!$AK$6:$AK$505,"○")&gt;0,1,0))</f>
        <v>0</v>
      </c>
      <c r="AO264" s="39" t="n">
        <f aca="false">IF(AO$4=0,0,IF(COUNTIFS(実績!$W$6:$W$505,AO$3,実績!$AI$6:$AI$505,"&lt;="&amp;$A264,実績!$AJ$6:$AJ$505,"&gt;"&amp;$A264,実績!$AK$6:$AK$505,"○")&gt;0,1,0))</f>
        <v>0</v>
      </c>
      <c r="AP264" s="39" t="n">
        <f aca="false">IF(AP$4=0,0,IF(COUNTIFS(実績!$W$6:$W$505,AP$3,実績!$AI$6:$AI$505,"&lt;="&amp;$A264,実績!$AJ$6:$AJ$505,"&gt;"&amp;$A264,実績!$AK$6:$AK$505,"○")&gt;0,1,0))</f>
        <v>0</v>
      </c>
      <c r="AQ264" s="39" t="n">
        <f aca="false">IF(AQ$4=0,0,IF(COUNTIFS(実績!$W$6:$W$505,AQ$3,実績!$AI$6:$AI$505,"&lt;="&amp;$A264,実績!$AJ$6:$AJ$505,"&gt;"&amp;$A264,実績!$AK$6:$AK$505,"○")&gt;0,1,0))</f>
        <v>0</v>
      </c>
      <c r="AR264" s="39" t="n">
        <f aca="false">IF(AR$4=0,0,IF(COUNTIFS(実績!$W$6:$W$505,AR$3,実績!$AI$6:$AI$505,"&lt;="&amp;$A264,実績!$AJ$6:$AJ$505,"&gt;"&amp;$A264,実績!$AK$6:$AK$505,"○")&gt;0,1,0))</f>
        <v>0</v>
      </c>
      <c r="AS264" s="39" t="n">
        <f aca="false">IF(AS$4=0,0,IF(COUNTIFS(実績!$W$6:$W$505,AS$3,実績!$AI$6:$AI$505,"&lt;="&amp;$A264,実績!$AJ$6:$AJ$505,"&gt;"&amp;$A264,実績!$AK$6:$AK$505,"○")&gt;0,1,0))</f>
        <v>0</v>
      </c>
      <c r="AT264" s="39" t="n">
        <f aca="false">IF(AT$4=0,0,IF(COUNTIFS(実績!$W$6:$W$505,AT$3,実績!$AI$6:$AI$505,"&lt;="&amp;$A264,実績!$AJ$6:$AJ$505,"&gt;"&amp;$A264,実績!$AK$6:$AK$505,"○")&gt;0,1,0))</f>
        <v>0</v>
      </c>
      <c r="AU264" s="39" t="n">
        <f aca="false">IF(AU$4=0,0,IF(COUNTIFS(実績!$W$6:$W$505,AU$3,実績!$AI$6:$AI$505,"&lt;="&amp;$A264,実績!$AJ$6:$AJ$505,"&gt;"&amp;$A264,実績!$AK$6:$AK$505,"○")&gt;0,1,0))</f>
        <v>0</v>
      </c>
      <c r="AV264" s="39" t="n">
        <f aca="false">IF(AV$4=0,0,IF(COUNTIFS(実績!$W$6:$W$505,AV$3,実績!$AI$6:$AI$505,"&lt;="&amp;$A264,実績!$AJ$6:$AJ$505,"&gt;"&amp;$A264,実績!$AK$6:$AK$505,"○")&gt;0,1,0))</f>
        <v>0</v>
      </c>
      <c r="AW264" s="39" t="n">
        <f aca="false">IF(AW$4=0,0,IF(COUNTIFS(実績!$W$6:$W$505,AW$3,実績!$AI$6:$AI$505,"&lt;="&amp;$A264,実績!$AJ$6:$AJ$505,"&gt;"&amp;$A264,実績!$AK$6:$AK$505,"○")&gt;0,1,0))</f>
        <v>0</v>
      </c>
      <c r="AX264" s="39" t="n">
        <f aca="false">IF(AX$4=0,0,IF(COUNTIFS(実績!$W$6:$W$505,AX$3,実績!$AI$6:$AI$505,"&lt;="&amp;$A264,実績!$AJ$6:$AJ$505,"&gt;"&amp;$A264,実績!$AK$6:$AK$505,"○")&gt;0,1,0))</f>
        <v>0</v>
      </c>
      <c r="AY264" s="39" t="n">
        <f aca="false">IF(AY$4=0,0,IF(COUNTIFS(実績!$W$6:$W$505,AY$3,実績!$AI$6:$AI$505,"&lt;="&amp;$A264,実績!$AJ$6:$AJ$505,"&gt;"&amp;$A264,実績!$AK$6:$AK$505,"○")&gt;0,1,0))</f>
        <v>0</v>
      </c>
      <c r="AZ264" s="39" t="n">
        <f aca="false">IF(AZ$4=0,0,IF(COUNTIFS(実績!$W$6:$W$505,AZ$3,実績!$AI$6:$AI$505,"&lt;="&amp;$A264,実績!$AJ$6:$AJ$505,"&gt;"&amp;$A264,実績!$AK$6:$AK$505,"○")&gt;0,1,0))</f>
        <v>0</v>
      </c>
      <c r="BA264" s="39" t="n">
        <f aca="false">IF(BA$4=0,0,IF(COUNTIFS(実績!$W$6:$W$505,BA$3,実績!$AI$6:$AI$505,"&lt;="&amp;$A264,実績!$AJ$6:$AJ$505,"&gt;"&amp;$A264,実績!$AK$6:$AK$505,"○")&gt;0,1,0))</f>
        <v>0</v>
      </c>
      <c r="BB264" s="39" t="n">
        <f aca="false">IF(BB$4=0,0,IF(COUNTIFS(実績!$W$6:$W$505,BB$3,実績!$AI$6:$AI$505,"&lt;="&amp;$A264,実績!$AJ$6:$AJ$505,"&gt;"&amp;$A264,実績!$AK$6:$AK$505,"○")&gt;0,1,0))</f>
        <v>0</v>
      </c>
      <c r="BC264" s="39" t="n">
        <f aca="false">IF(BC$4=0,0,IF(COUNTIFS(実績!$W$6:$W$505,BC$3,実績!$AI$6:$AI$505,"&lt;="&amp;$A264,実績!$AJ$6:$AJ$505,"&gt;"&amp;$A264,実績!$AK$6:$AK$505,"○")&gt;0,1,0))</f>
        <v>0</v>
      </c>
      <c r="BD264" s="39" t="n">
        <f aca="false">IF(BD$4=0,0,IF(COUNTIFS(実績!$W$6:$W$505,BD$3,実績!$AI$6:$AI$505,"&lt;="&amp;$A264,実績!$AJ$6:$AJ$505,"&gt;"&amp;$A264,実績!$AK$6:$AK$505,"○")&gt;0,1,0))</f>
        <v>0</v>
      </c>
      <c r="BE264" s="39" t="n">
        <f aca="false">IF(BE$4=0,0,IF(COUNTIFS(実績!$W$6:$W$505,BE$3,実績!$AI$6:$AI$505,"&lt;="&amp;$A264,実績!$AJ$6:$AJ$505,"&gt;"&amp;$A264,実績!$AK$6:$AK$505,"○")&gt;0,1,0))</f>
        <v>0</v>
      </c>
      <c r="BF264" s="39" t="n">
        <f aca="false">IF(BF$4=0,0,IF(COUNTIFS(実績!$W$6:$W$505,BF$3,実績!$AI$6:$AI$505,"&lt;="&amp;$A264,実績!$AJ$6:$AJ$505,"&gt;"&amp;$A264,実績!$AK$6:$AK$505,"○")&gt;0,1,0))</f>
        <v>0</v>
      </c>
      <c r="BG264" s="39" t="n">
        <f aca="false">IF(BG$4=0,0,IF(COUNTIFS(実績!$W$6:$W$505,BG$3,実績!$AI$6:$AI$505,"&lt;="&amp;$A264,実績!$AJ$6:$AJ$505,"&gt;"&amp;$A264,実績!$AK$6:$AK$505,"○")&gt;0,1,0))</f>
        <v>0</v>
      </c>
      <c r="BH264" s="39" t="n">
        <f aca="false">IF(BH$4=0,0,IF(COUNTIFS(実績!$W$6:$W$505,BH$3,実績!$AI$6:$AI$505,"&lt;="&amp;$A264,実績!$AJ$6:$AJ$505,"&gt;"&amp;$A264,実績!$AK$6:$AK$505,"○")&gt;0,1,0))</f>
        <v>0</v>
      </c>
      <c r="BI264" s="39" t="n">
        <f aca="false">IF(BI$4=0,0,IF(COUNTIFS(実績!$W$6:$W$505,BI$3,実績!$AI$6:$AI$505,"&lt;="&amp;$A264,実績!$AJ$6:$AJ$505,"&gt;"&amp;$A264,実績!$AK$6:$AK$505,"○")&gt;0,1,0))</f>
        <v>0</v>
      </c>
      <c r="BJ264" s="39" t="n">
        <f aca="false">IF(BJ$4=0,0,IF(COUNTIFS(実績!$W$6:$W$505,BJ$3,実績!$AI$6:$AI$505,"&lt;="&amp;$A264,実績!$AJ$6:$AJ$505,"&gt;"&amp;$A264,実績!$AK$6:$AK$505,"○")&gt;0,1,0))</f>
        <v>0</v>
      </c>
      <c r="BK264" s="39" t="n">
        <f aca="false">IF(BK$4=0,0,IF(COUNTIFS(実績!$W$6:$W$505,BK$3,実績!$AI$6:$AI$505,"&lt;="&amp;$A264,実績!$AJ$6:$AJ$505,"&gt;"&amp;$A264,実績!$AK$6:$AK$505,"○")&gt;0,1,0))</f>
        <v>0</v>
      </c>
      <c r="BL264" s="39" t="n">
        <f aca="false">IF(BL$4=0,0,IF(COUNTIFS(実績!$W$6:$W$505,BL$3,実績!$AI$6:$AI$505,"&lt;="&amp;$A264,実績!$AJ$6:$AJ$505,"&gt;"&amp;$A264,実績!$AK$6:$AK$505,"○")&gt;0,1,0))</f>
        <v>0</v>
      </c>
      <c r="BM264" s="39" t="n">
        <f aca="false">IF(BM$4=0,0,IF(COUNTIFS(実績!$W$6:$W$505,BM$3,実績!$AI$6:$AI$505,"&lt;="&amp;$A264,実績!$AJ$6:$AJ$505,"&gt;"&amp;$A264,実績!$AK$6:$AK$505,"○")&gt;0,1,0))</f>
        <v>0</v>
      </c>
      <c r="BN264" s="39" t="n">
        <f aca="false">IF(BN$4=0,0,IF(COUNTIFS(実績!$W$6:$W$505,BN$3,実績!$AI$6:$AI$505,"&lt;="&amp;$A264,実績!$AJ$6:$AJ$505,"&gt;"&amp;$A264,実績!$AK$6:$AK$505,"○")&gt;0,1,0))</f>
        <v>0</v>
      </c>
      <c r="BO264" s="39" t="n">
        <f aca="false">IF(BO$4=0,0,IF(COUNTIFS(実績!$W$6:$W$505,BO$3,実績!$AI$6:$AI$505,"&lt;="&amp;$A264,実績!$AJ$6:$AJ$505,"&gt;"&amp;$A264,実績!$AK$6:$AK$505,"○")&gt;0,1,0))</f>
        <v>0</v>
      </c>
      <c r="BP264" s="39" t="n">
        <f aca="false">IF(BP$4=0,0,IF(COUNTIFS(実績!$W$6:$W$505,BP$3,実績!$AI$6:$AI$505,"&lt;="&amp;$A264,実績!$AJ$6:$AJ$505,"&gt;"&amp;$A264,実績!$AK$6:$AK$505,"○")&gt;0,1,0))</f>
        <v>0</v>
      </c>
      <c r="BQ264" s="39" t="n">
        <f aca="false">IF(BQ$4=0,0,IF(COUNTIFS(実績!$W$6:$W$505,BQ$3,実績!$AI$6:$AI$505,"&lt;="&amp;$A264,実績!$AJ$6:$AJ$505,"&gt;"&amp;$A264,実績!$AK$6:$AK$505,"○")&gt;0,1,0))</f>
        <v>0</v>
      </c>
      <c r="BR264" s="39" t="n">
        <f aca="false">IF(BR$4=0,0,IF(COUNTIFS(実績!$W$6:$W$505,BR$3,実績!$AI$6:$AI$505,"&lt;="&amp;$A264,実績!$AJ$6:$AJ$505,"&gt;"&amp;$A264,実績!$AK$6:$AK$505,"○")&gt;0,1,0))</f>
        <v>0</v>
      </c>
      <c r="BS264" s="39" t="n">
        <f aca="false">IF(BS$4=0,0,IF(COUNTIFS(実績!$W$6:$W$505,BS$3,実績!$AI$6:$AI$505,"&lt;="&amp;$A264,実績!$AJ$6:$AJ$505,"&gt;"&amp;$A264,実績!$AK$6:$AK$505,"○")&gt;0,1,0))</f>
        <v>0</v>
      </c>
      <c r="BT264" s="39" t="n">
        <f aca="false">IF(BT$4=0,0,IF(COUNTIFS(実績!$W$6:$W$505,BT$3,実績!$AI$6:$AI$505,"&lt;="&amp;$A264,実績!$AJ$6:$AJ$505,"&gt;"&amp;$A264,実績!$AK$6:$AK$505,"○")&gt;0,1,0))</f>
        <v>0</v>
      </c>
      <c r="BU264" s="39" t="n">
        <f aca="false">IF(BU$4=0,0,IF(COUNTIFS(実績!$W$6:$W$505,BU$3,実績!$AI$6:$AI$505,"&lt;="&amp;$A264,実績!$AJ$6:$AJ$505,"&gt;"&amp;$A264,実績!$AK$6:$AK$505,"○")&gt;0,1,0))</f>
        <v>0</v>
      </c>
      <c r="BV264" s="39" t="n">
        <f aca="false">IF(BV$4=0,0,IF(COUNTIFS(実績!$W$6:$W$505,BV$3,実績!$AI$6:$AI$505,"&lt;="&amp;$A264,実績!$AJ$6:$AJ$505,"&gt;"&amp;$A264,実績!$AK$6:$AK$505,"○")&gt;0,1,0))</f>
        <v>0</v>
      </c>
      <c r="BW264" s="39" t="n">
        <f aca="false">IF(BW$4=0,0,IF(COUNTIFS(実績!$W$6:$W$505,BW$3,実績!$AI$6:$AI$505,"&lt;="&amp;$A264,実績!$AJ$6:$AJ$505,"&gt;"&amp;$A264,実績!$AK$6:$AK$505,"○")&gt;0,1,0))</f>
        <v>0</v>
      </c>
      <c r="BX264" s="39" t="n">
        <f aca="false">IF(BX$4=0,0,IF(COUNTIFS(実績!$W$6:$W$505,BX$3,実績!$AI$6:$AI$505,"&lt;="&amp;$A264,実績!$AJ$6:$AJ$505,"&gt;"&amp;$A264,実績!$AK$6:$AK$505,"○")&gt;0,1,0))</f>
        <v>0</v>
      </c>
      <c r="BY264" s="39" t="n">
        <f aca="false">IF(BY$4=0,0,IF(COUNTIFS(実績!$W$6:$W$505,BY$3,実績!$AI$6:$AI$505,"&lt;="&amp;$A264,実績!$AJ$6:$AJ$505,"&gt;"&amp;$A264,実績!$AK$6:$AK$505,"○")&gt;0,1,0))</f>
        <v>0</v>
      </c>
      <c r="BZ264" s="39" t="n">
        <f aca="false">IF(BZ$4=0,0,IF(COUNTIFS(実績!$W$6:$W$505,BZ$3,実績!$AI$6:$AI$505,"&lt;="&amp;$A264,実績!$AJ$6:$AJ$505,"&gt;"&amp;$A264,実績!$AK$6:$AK$505,"○")&gt;0,1,0))</f>
        <v>0</v>
      </c>
      <c r="CA264" s="39" t="n">
        <f aca="false">IF(CA$4=0,0,IF(COUNTIFS(実績!$W$6:$W$505,CA$3,実績!$AI$6:$AI$505,"&lt;="&amp;$A264,実績!$AJ$6:$AJ$505,"&gt;"&amp;$A264,実績!$AK$6:$AK$505,"○")&gt;0,1,0))</f>
        <v>0</v>
      </c>
      <c r="CB264" s="39" t="n">
        <f aca="false">IF(CB$4=0,0,IF(COUNTIFS(実績!$W$6:$W$505,CB$3,実績!$AI$6:$AI$505,"&lt;="&amp;$A264,実績!$AJ$6:$AJ$505,"&gt;"&amp;$A264,実績!$AK$6:$AK$505,"○")&gt;0,1,0))</f>
        <v>0</v>
      </c>
      <c r="CC264" s="39" t="n">
        <f aca="false">IF(CC$4=0,0,IF(COUNTIFS(実績!$W$6:$W$505,CC$3,実績!$AI$6:$AI$505,"&lt;="&amp;$A264,実績!$AJ$6:$AJ$505,"&gt;"&amp;$A264,実績!$AK$6:$AK$505,"○")&gt;0,1,0))</f>
        <v>0</v>
      </c>
      <c r="CD264" s="39" t="n">
        <f aca="false">IF(CD$4=0,0,IF(COUNTIFS(実績!$W$6:$W$505,CD$3,実績!$AI$6:$AI$505,"&lt;="&amp;$A264,実績!$AJ$6:$AJ$505,"&gt;"&amp;$A264,実績!$AK$6:$AK$505,"○")&gt;0,1,0))</f>
        <v>0</v>
      </c>
      <c r="CE264" s="39" t="n">
        <f aca="false">IF(CE$4=0,0,IF(COUNTIFS(実績!$W$6:$W$505,CE$3,実績!$AI$6:$AI$505,"&lt;="&amp;$A264,実績!$AJ$6:$AJ$505,"&gt;"&amp;$A264,実績!$AK$6:$AK$505,"○")&gt;0,1,0))</f>
        <v>0</v>
      </c>
      <c r="CF264" s="39" t="n">
        <f aca="false">IF(CF$4=0,0,IF(COUNTIFS(実績!$W$6:$W$505,CF$3,実績!$AI$6:$AI$505,"&lt;="&amp;$A264,実績!$AJ$6:$AJ$505,"&gt;"&amp;$A264,実績!$AK$6:$AK$505,"○")&gt;0,1,0))</f>
        <v>0</v>
      </c>
      <c r="CG264" s="39" t="n">
        <f aca="false">IF(CG$4=0,0,IF(COUNTIFS(実績!$W$6:$W$505,CG$3,実績!$AI$6:$AI$505,"&lt;="&amp;$A264,実績!$AJ$6:$AJ$505,"&gt;"&amp;$A264,実績!$AK$6:$AK$505,"○")&gt;0,1,0))</f>
        <v>0</v>
      </c>
      <c r="CH264" s="39" t="n">
        <f aca="false">IF(CH$4=0,0,IF(COUNTIFS(実績!$W$6:$W$505,CH$3,実績!$AI$6:$AI$505,"&lt;="&amp;$A264,実績!$AJ$6:$AJ$505,"&gt;"&amp;$A264,実績!$AK$6:$AK$505,"○")&gt;0,1,0))</f>
        <v>0</v>
      </c>
      <c r="CI264" s="39" t="n">
        <f aca="false">IF(CI$4=0,0,IF(COUNTIFS(実績!$W$6:$W$505,CI$3,実績!$AI$6:$AI$505,"&lt;="&amp;$A264,実績!$AJ$6:$AJ$505,"&gt;"&amp;$A264,実績!$AK$6:$AK$505,"○")&gt;0,1,0))</f>
        <v>0</v>
      </c>
      <c r="CJ264" s="39" t="n">
        <f aca="false">IF(CJ$4=0,0,IF(COUNTIFS(実績!$W$6:$W$505,CJ$3,実績!$AI$6:$AI$505,"&lt;="&amp;$A264,実績!$AJ$6:$AJ$505,"&gt;"&amp;$A264,実績!$AK$6:$AK$505,"○")&gt;0,1,0))</f>
        <v>0</v>
      </c>
      <c r="CK264" s="39" t="n">
        <f aca="false">IF(CK$4=0,0,IF(COUNTIFS(実績!$W$6:$W$505,CK$3,実績!$AI$6:$AI$505,"&lt;="&amp;$A264,実績!$AJ$6:$AJ$505,"&gt;"&amp;$A264,実績!$AK$6:$AK$505,"○")&gt;0,1,0))</f>
        <v>0</v>
      </c>
      <c r="CL264" s="39" t="n">
        <f aca="false">IF(CL$4=0,0,IF(COUNTIFS(実績!$W$6:$W$505,CL$3,実績!$AI$6:$AI$505,"&lt;="&amp;$A264,実績!$AJ$6:$AJ$505,"&gt;"&amp;$A264,実績!$AK$6:$AK$505,"○")&gt;0,1,0))</f>
        <v>0</v>
      </c>
      <c r="CM264" s="39" t="n">
        <f aca="false">IF(CM$4=0,0,IF(COUNTIFS(実績!$W$6:$W$505,CM$3,実績!$AI$6:$AI$505,"&lt;="&amp;$A264,実績!$AJ$6:$AJ$505,"&gt;"&amp;$A264,実績!$AK$6:$AK$505,"○")&gt;0,1,0))</f>
        <v>0</v>
      </c>
      <c r="CN264" s="39" t="n">
        <f aca="false">IF(CN$4=0,0,IF(COUNTIFS(実績!$W$6:$W$505,CN$3,実績!$AI$6:$AI$505,"&lt;="&amp;$A264,実績!$AJ$6:$AJ$505,"&gt;"&amp;$A264,実績!$AK$6:$AK$505,"○")&gt;0,1,0))</f>
        <v>0</v>
      </c>
      <c r="CO264" s="39" t="n">
        <f aca="false">IF(CO$4=0,0,IF(COUNTIFS(実績!$W$6:$W$505,CO$3,実績!$AI$6:$AI$505,"&lt;="&amp;$A264,実績!$AJ$6:$AJ$505,"&gt;"&amp;$A264,実績!$AK$6:$AK$505,"○")&gt;0,1,0))</f>
        <v>0</v>
      </c>
      <c r="CP264" s="39" t="n">
        <f aca="false">IF(CP$4=0,0,IF(COUNTIFS(実績!$W$6:$W$505,CP$3,実績!$AI$6:$AI$505,"&lt;="&amp;$A264,実績!$AJ$6:$AJ$505,"&gt;"&amp;$A264,実績!$AK$6:$AK$505,"○")&gt;0,1,0))</f>
        <v>0</v>
      </c>
      <c r="CQ264" s="39" t="n">
        <f aca="false">IF(CQ$4=0,0,IF(COUNTIFS(実績!$W$6:$W$505,CQ$3,実績!$AI$6:$AI$505,"&lt;="&amp;$A264,実績!$AJ$6:$AJ$505,"&gt;"&amp;$A264,実績!$AK$6:$AK$505,"○")&gt;0,1,0))</f>
        <v>0</v>
      </c>
      <c r="CR264" s="39" t="n">
        <f aca="false">IF(CR$4=0,0,IF(COUNTIFS(実績!$W$6:$W$505,CR$3,実績!$AI$6:$AI$505,"&lt;="&amp;$A264,実績!$AJ$6:$AJ$505,"&gt;"&amp;$A264,実績!$AK$6:$AK$505,"○")&gt;0,1,0))</f>
        <v>0</v>
      </c>
      <c r="CS264" s="39" t="n">
        <f aca="false">IF(CS$4=0,0,IF(COUNTIFS(実績!$W$6:$W$505,CS$3,実績!$AI$6:$AI$505,"&lt;="&amp;$A264,実績!$AJ$6:$AJ$505,"&gt;"&amp;$A264,実績!$AK$6:$AK$505,"○")&gt;0,1,0))</f>
        <v>0</v>
      </c>
      <c r="CT264" s="39" t="n">
        <f aca="false">IF(CT$4=0,0,IF(COUNTIFS(実績!$W$6:$W$505,CT$3,実績!$AI$6:$AI$505,"&lt;="&amp;$A264,実績!$AJ$6:$AJ$505,"&gt;"&amp;$A264,実績!$AK$6:$AK$505,"○")&gt;0,1,0))</f>
        <v>0</v>
      </c>
      <c r="CU264" s="39" t="n">
        <f aca="false">IF(CU$4=0,0,IF(COUNTIFS(実績!$W$6:$W$505,CU$3,実績!$AI$6:$AI$505,"&lt;="&amp;$A264,実績!$AJ$6:$AJ$505,"&gt;"&amp;$A264,実績!$AK$6:$AK$505,"○")&gt;0,1,0))</f>
        <v>0</v>
      </c>
      <c r="CV264" s="39" t="n">
        <f aca="false">IF(CV$4=0,0,IF(COUNTIFS(実績!$W$6:$W$505,CV$3,実績!$AI$6:$AI$505,"&lt;="&amp;$A264,実績!$AJ$6:$AJ$505,"&gt;"&amp;$A264,実績!$AK$6:$AK$505,"○")&gt;0,1,0))</f>
        <v>0</v>
      </c>
      <c r="CW264" s="39" t="n">
        <f aca="false">IF(CW$4=0,0,IF(COUNTIFS(実績!$W$6:$W$505,CW$3,実績!$AI$6:$AI$505,"&lt;="&amp;$A264,実績!$AJ$6:$AJ$505,"&gt;"&amp;$A264,実績!$AK$6:$AK$505,"○")&gt;0,1,0))</f>
        <v>0</v>
      </c>
      <c r="CX264" s="39" t="n">
        <f aca="false">IF(CX$4=0,0,IF(COUNTIFS(実績!$W$6:$W$505,CX$3,実績!$AI$6:$AI$505,"&lt;="&amp;$A264,実績!$AJ$6:$AJ$505,"&gt;"&amp;$A264,実績!$AK$6:$AK$505,"○")&gt;0,1,0))</f>
        <v>0</v>
      </c>
      <c r="CY264" s="39" t="n">
        <f aca="false">IF(CY$4=0,0,IF(COUNTIFS(実績!$W$6:$W$505,CY$3,実績!$AI$6:$AI$505,"&lt;="&amp;$A264,実績!$AJ$6:$AJ$505,"&gt;"&amp;$A264,実績!$AK$6:$AK$505,"○")&gt;0,1,0))</f>
        <v>0</v>
      </c>
      <c r="CZ264" s="39" t="n">
        <f aca="false">IF(CZ$4=0,0,IF(COUNTIFS(実績!$W$6:$W$505,CZ$3,実績!$AI$6:$AI$505,"&lt;="&amp;$A264,実績!$AJ$6:$AJ$505,"&gt;"&amp;$A264,実績!$AK$6:$AK$505,"○")&gt;0,1,0))</f>
        <v>0</v>
      </c>
      <c r="DA264" s="39" t="n">
        <f aca="false">IF(DA$4=0,0,IF(COUNTIFS(実績!$W$6:$W$505,DA$3,実績!$AI$6:$AI$505,"&lt;="&amp;$A264,実績!$AJ$6:$AJ$505,"&gt;"&amp;$A264,実績!$AK$6:$AK$505,"○")&gt;0,1,0))</f>
        <v>0</v>
      </c>
      <c r="DB264" s="39" t="n">
        <f aca="false">IF(DB$4=0,0,IF(COUNTIFS(実績!$W$6:$W$505,DB$3,実績!$AI$6:$AI$505,"&lt;="&amp;$A264,実績!$AJ$6:$AJ$505,"&gt;"&amp;$A264,実績!$AK$6:$AK$505,"○")&gt;0,1,0))</f>
        <v>0</v>
      </c>
      <c r="DC264" s="39" t="n">
        <f aca="false">IF(DC$4=0,0,IF(COUNTIFS(実績!$W$6:$W$505,DC$3,実績!$AI$6:$AI$505,"&lt;="&amp;$A264,実績!$AJ$6:$AJ$505,"&gt;"&amp;$A264,実績!$AK$6:$AK$505,"○")&gt;0,1,0))</f>
        <v>0</v>
      </c>
      <c r="DD264" s="39" t="n">
        <f aca="false">IF(DD$4=0,0,IF(COUNTIFS(実績!$W$6:$W$505,DD$3,実績!$AI$6:$AI$505,"&lt;="&amp;$A264,実績!$AJ$6:$AJ$505,"&gt;"&amp;$A264,実績!$AK$6:$AK$505,"○")&gt;0,1,0))</f>
        <v>0</v>
      </c>
      <c r="DE264" s="39" t="n">
        <f aca="false">IF(DE$4=0,0,IF(COUNTIFS(実績!$W$6:$W$505,DE$3,実績!$AI$6:$AI$505,"&lt;="&amp;$A264,実績!$AJ$6:$AJ$505,"&gt;"&amp;$A264,実績!$AK$6:$AK$505,"○")&gt;0,1,0))</f>
        <v>0</v>
      </c>
      <c r="DF264" s="39" t="n">
        <f aca="false">IF(DF$4=0,0,IF(COUNTIFS(実績!$W$6:$W$505,DF$3,実績!$AI$6:$AI$505,"&lt;="&amp;$A264,実績!$AJ$6:$AJ$505,"&gt;"&amp;$A264,実績!$AK$6:$AK$505,"○")&gt;0,1,0))</f>
        <v>0</v>
      </c>
      <c r="DG264" s="39" t="n">
        <f aca="false">IF(DG$4=0,0,IF(COUNTIFS(実績!$W$6:$W$505,DG$3,実績!$AI$6:$AI$505,"&lt;="&amp;$A264,実績!$AJ$6:$AJ$505,"&gt;"&amp;$A264,実績!$AK$6:$AK$505,"○")&gt;0,1,0))</f>
        <v>0</v>
      </c>
      <c r="DH264" s="39" t="n">
        <f aca="false">IF(DH$4=0,0,IF(COUNTIFS(実績!$W$6:$W$505,DH$3,実績!$AI$6:$AI$505,"&lt;="&amp;$A264,実績!$AJ$6:$AJ$505,"&gt;"&amp;$A264,実績!$AK$6:$AK$505,"○")&gt;0,1,0))</f>
        <v>0</v>
      </c>
      <c r="DI264" s="39" t="n">
        <f aca="false">IF(DI$4=0,0,IF(COUNTIFS(実績!$W$6:$W$505,DI$3,実績!$AI$6:$AI$505,"&lt;="&amp;$A264,実績!$AJ$6:$AJ$505,"&gt;"&amp;$A264,実績!$AK$6:$AK$505,"○")&gt;0,1,0))</f>
        <v>0</v>
      </c>
      <c r="DJ264" s="39" t="n">
        <f aca="false">IF(DJ$4=0,0,IF(COUNTIFS(実績!$W$6:$W$505,DJ$3,実績!$AI$6:$AI$505,"&lt;="&amp;$A264,実績!$AJ$6:$AJ$505,"&gt;"&amp;$A264,実績!$AK$6:$AK$505,"○")&gt;0,1,0))</f>
        <v>0</v>
      </c>
      <c r="DK264" s="39" t="n">
        <f aca="false">IF(DK$4=0,0,IF(COUNTIFS(実績!$W$6:$W$505,DK$3,実績!$AI$6:$AI$505,"&lt;="&amp;$A264,実績!$AJ$6:$AJ$505,"&gt;"&amp;$A264,実績!$AK$6:$AK$505,"○")&gt;0,1,0))</f>
        <v>0</v>
      </c>
      <c r="DL264" s="39" t="n">
        <f aca="false">IF(DL$4=0,0,IF(COUNTIFS(実績!$W$6:$W$505,DL$3,実績!$AI$6:$AI$505,"&lt;="&amp;$A264,実績!$AJ$6:$AJ$505,"&gt;"&amp;$A264,実績!$AK$6:$AK$505,"○")&gt;0,1,0))</f>
        <v>0</v>
      </c>
      <c r="DM264" s="39" t="n">
        <f aca="false">IF(DM$4=0,0,IF(COUNTIFS(実績!$W$6:$W$505,DM$3,実績!$AI$6:$AI$505,"&lt;="&amp;$A264,実績!$AJ$6:$AJ$505,"&gt;"&amp;$A264,実績!$AK$6:$AK$505,"○")&gt;0,1,0))</f>
        <v>0</v>
      </c>
      <c r="DN264" s="39" t="n">
        <f aca="false">IF(DN$4=0,0,IF(COUNTIFS(実績!$W$6:$W$505,DN$3,実績!$AI$6:$AI$505,"&lt;="&amp;$A264,実績!$AJ$6:$AJ$505,"&gt;"&amp;$A264,実績!$AK$6:$AK$505,"○")&gt;0,1,0))</f>
        <v>0</v>
      </c>
      <c r="DO264" s="39" t="n">
        <f aca="false">IF(DO$4=0,0,IF(COUNTIFS(実績!$W$6:$W$505,DO$3,実績!$AI$6:$AI$505,"&lt;="&amp;$A264,実績!$AJ$6:$AJ$505,"&gt;"&amp;$A264,実績!$AK$6:$AK$505,"○")&gt;0,1,0))</f>
        <v>0</v>
      </c>
      <c r="DP264" s="39" t="n">
        <f aca="false">IF(DP$4=0,0,IF(COUNTIFS(実績!$W$6:$W$505,DP$3,実績!$AI$6:$AI$505,"&lt;="&amp;$A264,実績!$AJ$6:$AJ$505,"&gt;"&amp;$A264,実績!$AK$6:$AK$505,"○")&gt;0,1,0))</f>
        <v>0</v>
      </c>
      <c r="DQ264" s="39" t="n">
        <f aca="false">IF(DQ$4=0,0,IF(COUNTIFS(実績!$W$6:$W$505,DQ$3,実績!$AI$6:$AI$505,"&lt;="&amp;$A264,実績!$AJ$6:$AJ$505,"&gt;"&amp;$A264,実績!$AK$6:$AK$505,"○")&gt;0,1,0))</f>
        <v>0</v>
      </c>
      <c r="DR264" s="39" t="n">
        <f aca="false">IF(DR$4=0,0,IF(COUNTIFS(実績!$W$6:$W$505,DR$3,実績!$AI$6:$AI$505,"&lt;="&amp;$A264,実績!$AJ$6:$AJ$505,"&gt;"&amp;$A264,実績!$AK$6:$AK$505,"○")&gt;0,1,0))</f>
        <v>0</v>
      </c>
      <c r="DS264" s="39" t="n">
        <f aca="false">SUM(C264:DR264)</f>
        <v>0</v>
      </c>
      <c r="DT264" s="39" t="n">
        <f aca="false">SUMPRODUCT((実績!$C$6:$C$505="○")*ISNUMBER(実績!$AM$6:$AM$505)*(実績!$AM$6:$AM$505&lt;=$A264)*(実績!$AN$6:$AN$505&gt;$A264))</f>
        <v>0</v>
      </c>
      <c r="DU264" s="39" t="n">
        <f aca="false">SUMIF($C$2:$DR$2,"製鉄曳船",C264:DR264)</f>
        <v>0</v>
      </c>
      <c r="DV264" s="39" t="n">
        <f aca="false">SUMIF($C$2:$DR$2,"西日本海運",C264:DR264)</f>
        <v>0</v>
      </c>
    </row>
    <row r="265" customFormat="false" ht="15" hidden="false" customHeight="false" outlineLevel="0" collapsed="false">
      <c r="A265" s="0" t="n">
        <v>1295</v>
      </c>
      <c r="B265" s="38" t="n">
        <f aca="false">A265/1440</f>
        <v>0.899305555555556</v>
      </c>
      <c r="C265" s="39" t="n">
        <f aca="false">IF(C$4=0,0,IF(COUNTIFS(実績!$W$6:$W$505,C$3,実績!$AI$6:$AI$505,"&lt;="&amp;$A265,実績!$AJ$6:$AJ$505,"&gt;"&amp;$A265,実績!$AK$6:$AK$505,"○")&gt;0,1,0))</f>
        <v>0</v>
      </c>
      <c r="D265" s="39" t="n">
        <f aca="false">IF(D$4=0,0,IF(COUNTIFS(実績!$W$6:$W$505,D$3,実績!$AI$6:$AI$505,"&lt;="&amp;$A265,実績!$AJ$6:$AJ$505,"&gt;"&amp;$A265,実績!$AK$6:$AK$505,"○")&gt;0,1,0))</f>
        <v>0</v>
      </c>
      <c r="E265" s="39" t="n">
        <f aca="false">IF(E$4=0,0,IF(COUNTIFS(実績!$W$6:$W$505,E$3,実績!$AI$6:$AI$505,"&lt;="&amp;$A265,実績!$AJ$6:$AJ$505,"&gt;"&amp;$A265,実績!$AK$6:$AK$505,"○")&gt;0,1,0))</f>
        <v>0</v>
      </c>
      <c r="F265" s="39" t="n">
        <f aca="false">IF(F$4=0,0,IF(COUNTIFS(実績!$W$6:$W$505,F$3,実績!$AI$6:$AI$505,"&lt;="&amp;$A265,実績!$AJ$6:$AJ$505,"&gt;"&amp;$A265,実績!$AK$6:$AK$505,"○")&gt;0,1,0))</f>
        <v>0</v>
      </c>
      <c r="G265" s="39" t="n">
        <f aca="false">IF(G$4=0,0,IF(COUNTIFS(実績!$W$6:$W$505,G$3,実績!$AI$6:$AI$505,"&lt;="&amp;$A265,実績!$AJ$6:$AJ$505,"&gt;"&amp;$A265,実績!$AK$6:$AK$505,"○")&gt;0,1,0))</f>
        <v>0</v>
      </c>
      <c r="H265" s="39" t="n">
        <f aca="false">IF(H$4=0,0,IF(COUNTIFS(実績!$W$6:$W$505,H$3,実績!$AI$6:$AI$505,"&lt;="&amp;$A265,実績!$AJ$6:$AJ$505,"&gt;"&amp;$A265,実績!$AK$6:$AK$505,"○")&gt;0,1,0))</f>
        <v>0</v>
      </c>
      <c r="I265" s="39" t="n">
        <f aca="false">IF(I$4=0,0,IF(COUNTIFS(実績!$W$6:$W$505,I$3,実績!$AI$6:$AI$505,"&lt;="&amp;$A265,実績!$AJ$6:$AJ$505,"&gt;"&amp;$A265,実績!$AK$6:$AK$505,"○")&gt;0,1,0))</f>
        <v>0</v>
      </c>
      <c r="J265" s="39" t="n">
        <f aca="false">IF(J$4=0,0,IF(COUNTIFS(実績!$W$6:$W$505,J$3,実績!$AI$6:$AI$505,"&lt;="&amp;$A265,実績!$AJ$6:$AJ$505,"&gt;"&amp;$A265,実績!$AK$6:$AK$505,"○")&gt;0,1,0))</f>
        <v>0</v>
      </c>
      <c r="K265" s="39" t="n">
        <f aca="false">IF(K$4=0,0,IF(COUNTIFS(実績!$W$6:$W$505,K$3,実績!$AI$6:$AI$505,"&lt;="&amp;$A265,実績!$AJ$6:$AJ$505,"&gt;"&amp;$A265,実績!$AK$6:$AK$505,"○")&gt;0,1,0))</f>
        <v>0</v>
      </c>
      <c r="L265" s="39" t="n">
        <f aca="false">IF(L$4=0,0,IF(COUNTIFS(実績!$W$6:$W$505,L$3,実績!$AI$6:$AI$505,"&lt;="&amp;$A265,実績!$AJ$6:$AJ$505,"&gt;"&amp;$A265,実績!$AK$6:$AK$505,"○")&gt;0,1,0))</f>
        <v>0</v>
      </c>
      <c r="M265" s="39" t="n">
        <f aca="false">IF(M$4=0,0,IF(COUNTIFS(実績!$W$6:$W$505,M$3,実績!$AI$6:$AI$505,"&lt;="&amp;$A265,実績!$AJ$6:$AJ$505,"&gt;"&amp;$A265,実績!$AK$6:$AK$505,"○")&gt;0,1,0))</f>
        <v>0</v>
      </c>
      <c r="N265" s="39" t="n">
        <f aca="false">IF(N$4=0,0,IF(COUNTIFS(実績!$W$6:$W$505,N$3,実績!$AI$6:$AI$505,"&lt;="&amp;$A265,実績!$AJ$6:$AJ$505,"&gt;"&amp;$A265,実績!$AK$6:$AK$505,"○")&gt;0,1,0))</f>
        <v>0</v>
      </c>
      <c r="O265" s="39" t="n">
        <f aca="false">IF(O$4=0,0,IF(COUNTIFS(実績!$W$6:$W$505,O$3,実績!$AI$6:$AI$505,"&lt;="&amp;$A265,実績!$AJ$6:$AJ$505,"&gt;"&amp;$A265,実績!$AK$6:$AK$505,"○")&gt;0,1,0))</f>
        <v>0</v>
      </c>
      <c r="P265" s="39" t="n">
        <f aca="false">IF(P$4=0,0,IF(COUNTIFS(実績!$W$6:$W$505,P$3,実績!$AI$6:$AI$505,"&lt;="&amp;$A265,実績!$AJ$6:$AJ$505,"&gt;"&amp;$A265,実績!$AK$6:$AK$505,"○")&gt;0,1,0))</f>
        <v>0</v>
      </c>
      <c r="Q265" s="39" t="n">
        <f aca="false">IF(Q$4=0,0,IF(COUNTIFS(実績!$W$6:$W$505,Q$3,実績!$AI$6:$AI$505,"&lt;="&amp;$A265,実績!$AJ$6:$AJ$505,"&gt;"&amp;$A265,実績!$AK$6:$AK$505,"○")&gt;0,1,0))</f>
        <v>0</v>
      </c>
      <c r="R265" s="39" t="n">
        <f aca="false">IF(R$4=0,0,IF(COUNTIFS(実績!$W$6:$W$505,R$3,実績!$AI$6:$AI$505,"&lt;="&amp;$A265,実績!$AJ$6:$AJ$505,"&gt;"&amp;$A265,実績!$AK$6:$AK$505,"○")&gt;0,1,0))</f>
        <v>0</v>
      </c>
      <c r="S265" s="39" t="n">
        <f aca="false">IF(S$4=0,0,IF(COUNTIFS(実績!$W$6:$W$505,S$3,実績!$AI$6:$AI$505,"&lt;="&amp;$A265,実績!$AJ$6:$AJ$505,"&gt;"&amp;$A265,実績!$AK$6:$AK$505,"○")&gt;0,1,0))</f>
        <v>0</v>
      </c>
      <c r="T265" s="39" t="n">
        <f aca="false">IF(T$4=0,0,IF(COUNTIFS(実績!$W$6:$W$505,T$3,実績!$AI$6:$AI$505,"&lt;="&amp;$A265,実績!$AJ$6:$AJ$505,"&gt;"&amp;$A265,実績!$AK$6:$AK$505,"○")&gt;0,1,0))</f>
        <v>0</v>
      </c>
      <c r="U265" s="39" t="n">
        <f aca="false">IF(U$4=0,0,IF(COUNTIFS(実績!$W$6:$W$505,U$3,実績!$AI$6:$AI$505,"&lt;="&amp;$A265,実績!$AJ$6:$AJ$505,"&gt;"&amp;$A265,実績!$AK$6:$AK$505,"○")&gt;0,1,0))</f>
        <v>0</v>
      </c>
      <c r="V265" s="39" t="n">
        <f aca="false">IF(V$4=0,0,IF(COUNTIFS(実績!$W$6:$W$505,V$3,実績!$AI$6:$AI$505,"&lt;="&amp;$A265,実績!$AJ$6:$AJ$505,"&gt;"&amp;$A265,実績!$AK$6:$AK$505,"○")&gt;0,1,0))</f>
        <v>0</v>
      </c>
      <c r="W265" s="39" t="n">
        <f aca="false">IF(W$4=0,0,IF(COUNTIFS(実績!$W$6:$W$505,W$3,実績!$AI$6:$AI$505,"&lt;="&amp;$A265,実績!$AJ$6:$AJ$505,"&gt;"&amp;$A265,実績!$AK$6:$AK$505,"○")&gt;0,1,0))</f>
        <v>0</v>
      </c>
      <c r="X265" s="39" t="n">
        <f aca="false">IF(X$4=0,0,IF(COUNTIFS(実績!$W$6:$W$505,X$3,実績!$AI$6:$AI$505,"&lt;="&amp;$A265,実績!$AJ$6:$AJ$505,"&gt;"&amp;$A265,実績!$AK$6:$AK$505,"○")&gt;0,1,0))</f>
        <v>0</v>
      </c>
      <c r="Y265" s="39" t="n">
        <f aca="false">IF(Y$4=0,0,IF(COUNTIFS(実績!$W$6:$W$505,Y$3,実績!$AI$6:$AI$505,"&lt;="&amp;$A265,実績!$AJ$6:$AJ$505,"&gt;"&amp;$A265,実績!$AK$6:$AK$505,"○")&gt;0,1,0))</f>
        <v>0</v>
      </c>
      <c r="Z265" s="39" t="n">
        <f aca="false">IF(Z$4=0,0,IF(COUNTIFS(実績!$W$6:$W$505,Z$3,実績!$AI$6:$AI$505,"&lt;="&amp;$A265,実績!$AJ$6:$AJ$505,"&gt;"&amp;$A265,実績!$AK$6:$AK$505,"○")&gt;0,1,0))</f>
        <v>0</v>
      </c>
      <c r="AA265" s="39" t="n">
        <f aca="false">IF(AA$4=0,0,IF(COUNTIFS(実績!$W$6:$W$505,AA$3,実績!$AI$6:$AI$505,"&lt;="&amp;$A265,実績!$AJ$6:$AJ$505,"&gt;"&amp;$A265,実績!$AK$6:$AK$505,"○")&gt;0,1,0))</f>
        <v>0</v>
      </c>
      <c r="AB265" s="39" t="n">
        <f aca="false">IF(AB$4=0,0,IF(COUNTIFS(実績!$W$6:$W$505,AB$3,実績!$AI$6:$AI$505,"&lt;="&amp;$A265,実績!$AJ$6:$AJ$505,"&gt;"&amp;$A265,実績!$AK$6:$AK$505,"○")&gt;0,1,0))</f>
        <v>0</v>
      </c>
      <c r="AC265" s="39" t="n">
        <f aca="false">IF(AC$4=0,0,IF(COUNTIFS(実績!$W$6:$W$505,AC$3,実績!$AI$6:$AI$505,"&lt;="&amp;$A265,実績!$AJ$6:$AJ$505,"&gt;"&amp;$A265,実績!$AK$6:$AK$505,"○")&gt;0,1,0))</f>
        <v>0</v>
      </c>
      <c r="AD265" s="39" t="n">
        <f aca="false">IF(AD$4=0,0,IF(COUNTIFS(実績!$W$6:$W$505,AD$3,実績!$AI$6:$AI$505,"&lt;="&amp;$A265,実績!$AJ$6:$AJ$505,"&gt;"&amp;$A265,実績!$AK$6:$AK$505,"○")&gt;0,1,0))</f>
        <v>0</v>
      </c>
      <c r="AE265" s="39" t="n">
        <f aca="false">IF(AE$4=0,0,IF(COUNTIFS(実績!$W$6:$W$505,AE$3,実績!$AI$6:$AI$505,"&lt;="&amp;$A265,実績!$AJ$6:$AJ$505,"&gt;"&amp;$A265,実績!$AK$6:$AK$505,"○")&gt;0,1,0))</f>
        <v>0</v>
      </c>
      <c r="AF265" s="39" t="n">
        <f aca="false">IF(AF$4=0,0,IF(COUNTIFS(実績!$W$6:$W$505,AF$3,実績!$AI$6:$AI$505,"&lt;="&amp;$A265,実績!$AJ$6:$AJ$505,"&gt;"&amp;$A265,実績!$AK$6:$AK$505,"○")&gt;0,1,0))</f>
        <v>0</v>
      </c>
      <c r="AG265" s="39" t="n">
        <f aca="false">IF(AG$4=0,0,IF(COUNTIFS(実績!$W$6:$W$505,AG$3,実績!$AI$6:$AI$505,"&lt;="&amp;$A265,実績!$AJ$6:$AJ$505,"&gt;"&amp;$A265,実績!$AK$6:$AK$505,"○")&gt;0,1,0))</f>
        <v>0</v>
      </c>
      <c r="AH265" s="39" t="n">
        <f aca="false">IF(AH$4=0,0,IF(COUNTIFS(実績!$W$6:$W$505,AH$3,実績!$AI$6:$AI$505,"&lt;="&amp;$A265,実績!$AJ$6:$AJ$505,"&gt;"&amp;$A265,実績!$AK$6:$AK$505,"○")&gt;0,1,0))</f>
        <v>0</v>
      </c>
      <c r="AI265" s="39" t="n">
        <f aca="false">IF(AI$4=0,0,IF(COUNTIFS(実績!$W$6:$W$505,AI$3,実績!$AI$6:$AI$505,"&lt;="&amp;$A265,実績!$AJ$6:$AJ$505,"&gt;"&amp;$A265,実績!$AK$6:$AK$505,"○")&gt;0,1,0))</f>
        <v>0</v>
      </c>
      <c r="AJ265" s="39" t="n">
        <f aca="false">IF(AJ$4=0,0,IF(COUNTIFS(実績!$W$6:$W$505,AJ$3,実績!$AI$6:$AI$505,"&lt;="&amp;$A265,実績!$AJ$6:$AJ$505,"&gt;"&amp;$A265,実績!$AK$6:$AK$505,"○")&gt;0,1,0))</f>
        <v>0</v>
      </c>
      <c r="AK265" s="39" t="n">
        <f aca="false">IF(AK$4=0,0,IF(COUNTIFS(実績!$W$6:$W$505,AK$3,実績!$AI$6:$AI$505,"&lt;="&amp;$A265,実績!$AJ$6:$AJ$505,"&gt;"&amp;$A265,実績!$AK$6:$AK$505,"○")&gt;0,1,0))</f>
        <v>0</v>
      </c>
      <c r="AL265" s="39" t="n">
        <f aca="false">IF(AL$4=0,0,IF(COUNTIFS(実績!$W$6:$W$505,AL$3,実績!$AI$6:$AI$505,"&lt;="&amp;$A265,実績!$AJ$6:$AJ$505,"&gt;"&amp;$A265,実績!$AK$6:$AK$505,"○")&gt;0,1,0))</f>
        <v>0</v>
      </c>
      <c r="AM265" s="39" t="n">
        <f aca="false">IF(AM$4=0,0,IF(COUNTIFS(実績!$W$6:$W$505,AM$3,実績!$AI$6:$AI$505,"&lt;="&amp;$A265,実績!$AJ$6:$AJ$505,"&gt;"&amp;$A265,実績!$AK$6:$AK$505,"○")&gt;0,1,0))</f>
        <v>0</v>
      </c>
      <c r="AN265" s="39" t="n">
        <f aca="false">IF(AN$4=0,0,IF(COUNTIFS(実績!$W$6:$W$505,AN$3,実績!$AI$6:$AI$505,"&lt;="&amp;$A265,実績!$AJ$6:$AJ$505,"&gt;"&amp;$A265,実績!$AK$6:$AK$505,"○")&gt;0,1,0))</f>
        <v>0</v>
      </c>
      <c r="AO265" s="39" t="n">
        <f aca="false">IF(AO$4=0,0,IF(COUNTIFS(実績!$W$6:$W$505,AO$3,実績!$AI$6:$AI$505,"&lt;="&amp;$A265,実績!$AJ$6:$AJ$505,"&gt;"&amp;$A265,実績!$AK$6:$AK$505,"○")&gt;0,1,0))</f>
        <v>0</v>
      </c>
      <c r="AP265" s="39" t="n">
        <f aca="false">IF(AP$4=0,0,IF(COUNTIFS(実績!$W$6:$W$505,AP$3,実績!$AI$6:$AI$505,"&lt;="&amp;$A265,実績!$AJ$6:$AJ$505,"&gt;"&amp;$A265,実績!$AK$6:$AK$505,"○")&gt;0,1,0))</f>
        <v>0</v>
      </c>
      <c r="AQ265" s="39" t="n">
        <f aca="false">IF(AQ$4=0,0,IF(COUNTIFS(実績!$W$6:$W$505,AQ$3,実績!$AI$6:$AI$505,"&lt;="&amp;$A265,実績!$AJ$6:$AJ$505,"&gt;"&amp;$A265,実績!$AK$6:$AK$505,"○")&gt;0,1,0))</f>
        <v>0</v>
      </c>
      <c r="AR265" s="39" t="n">
        <f aca="false">IF(AR$4=0,0,IF(COUNTIFS(実績!$W$6:$W$505,AR$3,実績!$AI$6:$AI$505,"&lt;="&amp;$A265,実績!$AJ$6:$AJ$505,"&gt;"&amp;$A265,実績!$AK$6:$AK$505,"○")&gt;0,1,0))</f>
        <v>0</v>
      </c>
      <c r="AS265" s="39" t="n">
        <f aca="false">IF(AS$4=0,0,IF(COUNTIFS(実績!$W$6:$W$505,AS$3,実績!$AI$6:$AI$505,"&lt;="&amp;$A265,実績!$AJ$6:$AJ$505,"&gt;"&amp;$A265,実績!$AK$6:$AK$505,"○")&gt;0,1,0))</f>
        <v>0</v>
      </c>
      <c r="AT265" s="39" t="n">
        <f aca="false">IF(AT$4=0,0,IF(COUNTIFS(実績!$W$6:$W$505,AT$3,実績!$AI$6:$AI$505,"&lt;="&amp;$A265,実績!$AJ$6:$AJ$505,"&gt;"&amp;$A265,実績!$AK$6:$AK$505,"○")&gt;0,1,0))</f>
        <v>0</v>
      </c>
      <c r="AU265" s="39" t="n">
        <f aca="false">IF(AU$4=0,0,IF(COUNTIFS(実績!$W$6:$W$505,AU$3,実績!$AI$6:$AI$505,"&lt;="&amp;$A265,実績!$AJ$6:$AJ$505,"&gt;"&amp;$A265,実績!$AK$6:$AK$505,"○")&gt;0,1,0))</f>
        <v>0</v>
      </c>
      <c r="AV265" s="39" t="n">
        <f aca="false">IF(AV$4=0,0,IF(COUNTIFS(実績!$W$6:$W$505,AV$3,実績!$AI$6:$AI$505,"&lt;="&amp;$A265,実績!$AJ$6:$AJ$505,"&gt;"&amp;$A265,実績!$AK$6:$AK$505,"○")&gt;0,1,0))</f>
        <v>0</v>
      </c>
      <c r="AW265" s="39" t="n">
        <f aca="false">IF(AW$4=0,0,IF(COUNTIFS(実績!$W$6:$W$505,AW$3,実績!$AI$6:$AI$505,"&lt;="&amp;$A265,実績!$AJ$6:$AJ$505,"&gt;"&amp;$A265,実績!$AK$6:$AK$505,"○")&gt;0,1,0))</f>
        <v>0</v>
      </c>
      <c r="AX265" s="39" t="n">
        <f aca="false">IF(AX$4=0,0,IF(COUNTIFS(実績!$W$6:$W$505,AX$3,実績!$AI$6:$AI$505,"&lt;="&amp;$A265,実績!$AJ$6:$AJ$505,"&gt;"&amp;$A265,実績!$AK$6:$AK$505,"○")&gt;0,1,0))</f>
        <v>0</v>
      </c>
      <c r="AY265" s="39" t="n">
        <f aca="false">IF(AY$4=0,0,IF(COUNTIFS(実績!$W$6:$W$505,AY$3,実績!$AI$6:$AI$505,"&lt;="&amp;$A265,実績!$AJ$6:$AJ$505,"&gt;"&amp;$A265,実績!$AK$6:$AK$505,"○")&gt;0,1,0))</f>
        <v>0</v>
      </c>
      <c r="AZ265" s="39" t="n">
        <f aca="false">IF(AZ$4=0,0,IF(COUNTIFS(実績!$W$6:$W$505,AZ$3,実績!$AI$6:$AI$505,"&lt;="&amp;$A265,実績!$AJ$6:$AJ$505,"&gt;"&amp;$A265,実績!$AK$6:$AK$505,"○")&gt;0,1,0))</f>
        <v>0</v>
      </c>
      <c r="BA265" s="39" t="n">
        <f aca="false">IF(BA$4=0,0,IF(COUNTIFS(実績!$W$6:$W$505,BA$3,実績!$AI$6:$AI$505,"&lt;="&amp;$A265,実績!$AJ$6:$AJ$505,"&gt;"&amp;$A265,実績!$AK$6:$AK$505,"○")&gt;0,1,0))</f>
        <v>0</v>
      </c>
      <c r="BB265" s="39" t="n">
        <f aca="false">IF(BB$4=0,0,IF(COUNTIFS(実績!$W$6:$W$505,BB$3,実績!$AI$6:$AI$505,"&lt;="&amp;$A265,実績!$AJ$6:$AJ$505,"&gt;"&amp;$A265,実績!$AK$6:$AK$505,"○")&gt;0,1,0))</f>
        <v>0</v>
      </c>
      <c r="BC265" s="39" t="n">
        <f aca="false">IF(BC$4=0,0,IF(COUNTIFS(実績!$W$6:$W$505,BC$3,実績!$AI$6:$AI$505,"&lt;="&amp;$A265,実績!$AJ$6:$AJ$505,"&gt;"&amp;$A265,実績!$AK$6:$AK$505,"○")&gt;0,1,0))</f>
        <v>0</v>
      </c>
      <c r="BD265" s="39" t="n">
        <f aca="false">IF(BD$4=0,0,IF(COUNTIFS(実績!$W$6:$W$505,BD$3,実績!$AI$6:$AI$505,"&lt;="&amp;$A265,実績!$AJ$6:$AJ$505,"&gt;"&amp;$A265,実績!$AK$6:$AK$505,"○")&gt;0,1,0))</f>
        <v>0</v>
      </c>
      <c r="BE265" s="39" t="n">
        <f aca="false">IF(BE$4=0,0,IF(COUNTIFS(実績!$W$6:$W$505,BE$3,実績!$AI$6:$AI$505,"&lt;="&amp;$A265,実績!$AJ$6:$AJ$505,"&gt;"&amp;$A265,実績!$AK$6:$AK$505,"○")&gt;0,1,0))</f>
        <v>0</v>
      </c>
      <c r="BF265" s="39" t="n">
        <f aca="false">IF(BF$4=0,0,IF(COUNTIFS(実績!$W$6:$W$505,BF$3,実績!$AI$6:$AI$505,"&lt;="&amp;$A265,実績!$AJ$6:$AJ$505,"&gt;"&amp;$A265,実績!$AK$6:$AK$505,"○")&gt;0,1,0))</f>
        <v>0</v>
      </c>
      <c r="BG265" s="39" t="n">
        <f aca="false">IF(BG$4=0,0,IF(COUNTIFS(実績!$W$6:$W$505,BG$3,実績!$AI$6:$AI$505,"&lt;="&amp;$A265,実績!$AJ$6:$AJ$505,"&gt;"&amp;$A265,実績!$AK$6:$AK$505,"○")&gt;0,1,0))</f>
        <v>0</v>
      </c>
      <c r="BH265" s="39" t="n">
        <f aca="false">IF(BH$4=0,0,IF(COUNTIFS(実績!$W$6:$W$505,BH$3,実績!$AI$6:$AI$505,"&lt;="&amp;$A265,実績!$AJ$6:$AJ$505,"&gt;"&amp;$A265,実績!$AK$6:$AK$505,"○")&gt;0,1,0))</f>
        <v>0</v>
      </c>
      <c r="BI265" s="39" t="n">
        <f aca="false">IF(BI$4=0,0,IF(COUNTIFS(実績!$W$6:$W$505,BI$3,実績!$AI$6:$AI$505,"&lt;="&amp;$A265,実績!$AJ$6:$AJ$505,"&gt;"&amp;$A265,実績!$AK$6:$AK$505,"○")&gt;0,1,0))</f>
        <v>0</v>
      </c>
      <c r="BJ265" s="39" t="n">
        <f aca="false">IF(BJ$4=0,0,IF(COUNTIFS(実績!$W$6:$W$505,BJ$3,実績!$AI$6:$AI$505,"&lt;="&amp;$A265,実績!$AJ$6:$AJ$505,"&gt;"&amp;$A265,実績!$AK$6:$AK$505,"○")&gt;0,1,0))</f>
        <v>0</v>
      </c>
      <c r="BK265" s="39" t="n">
        <f aca="false">IF(BK$4=0,0,IF(COUNTIFS(実績!$W$6:$W$505,BK$3,実績!$AI$6:$AI$505,"&lt;="&amp;$A265,実績!$AJ$6:$AJ$505,"&gt;"&amp;$A265,実績!$AK$6:$AK$505,"○")&gt;0,1,0))</f>
        <v>0</v>
      </c>
      <c r="BL265" s="39" t="n">
        <f aca="false">IF(BL$4=0,0,IF(COUNTIFS(実績!$W$6:$W$505,BL$3,実績!$AI$6:$AI$505,"&lt;="&amp;$A265,実績!$AJ$6:$AJ$505,"&gt;"&amp;$A265,実績!$AK$6:$AK$505,"○")&gt;0,1,0))</f>
        <v>0</v>
      </c>
      <c r="BM265" s="39" t="n">
        <f aca="false">IF(BM$4=0,0,IF(COUNTIFS(実績!$W$6:$W$505,BM$3,実績!$AI$6:$AI$505,"&lt;="&amp;$A265,実績!$AJ$6:$AJ$505,"&gt;"&amp;$A265,実績!$AK$6:$AK$505,"○")&gt;0,1,0))</f>
        <v>0</v>
      </c>
      <c r="BN265" s="39" t="n">
        <f aca="false">IF(BN$4=0,0,IF(COUNTIFS(実績!$W$6:$W$505,BN$3,実績!$AI$6:$AI$505,"&lt;="&amp;$A265,実績!$AJ$6:$AJ$505,"&gt;"&amp;$A265,実績!$AK$6:$AK$505,"○")&gt;0,1,0))</f>
        <v>0</v>
      </c>
      <c r="BO265" s="39" t="n">
        <f aca="false">IF(BO$4=0,0,IF(COUNTIFS(実績!$W$6:$W$505,BO$3,実績!$AI$6:$AI$505,"&lt;="&amp;$A265,実績!$AJ$6:$AJ$505,"&gt;"&amp;$A265,実績!$AK$6:$AK$505,"○")&gt;0,1,0))</f>
        <v>0</v>
      </c>
      <c r="BP265" s="39" t="n">
        <f aca="false">IF(BP$4=0,0,IF(COUNTIFS(実績!$W$6:$W$505,BP$3,実績!$AI$6:$AI$505,"&lt;="&amp;$A265,実績!$AJ$6:$AJ$505,"&gt;"&amp;$A265,実績!$AK$6:$AK$505,"○")&gt;0,1,0))</f>
        <v>0</v>
      </c>
      <c r="BQ265" s="39" t="n">
        <f aca="false">IF(BQ$4=0,0,IF(COUNTIFS(実績!$W$6:$W$505,BQ$3,実績!$AI$6:$AI$505,"&lt;="&amp;$A265,実績!$AJ$6:$AJ$505,"&gt;"&amp;$A265,実績!$AK$6:$AK$505,"○")&gt;0,1,0))</f>
        <v>0</v>
      </c>
      <c r="BR265" s="39" t="n">
        <f aca="false">IF(BR$4=0,0,IF(COUNTIFS(実績!$W$6:$W$505,BR$3,実績!$AI$6:$AI$505,"&lt;="&amp;$A265,実績!$AJ$6:$AJ$505,"&gt;"&amp;$A265,実績!$AK$6:$AK$505,"○")&gt;0,1,0))</f>
        <v>0</v>
      </c>
      <c r="BS265" s="39" t="n">
        <f aca="false">IF(BS$4=0,0,IF(COUNTIFS(実績!$W$6:$W$505,BS$3,実績!$AI$6:$AI$505,"&lt;="&amp;$A265,実績!$AJ$6:$AJ$505,"&gt;"&amp;$A265,実績!$AK$6:$AK$505,"○")&gt;0,1,0))</f>
        <v>0</v>
      </c>
      <c r="BT265" s="39" t="n">
        <f aca="false">IF(BT$4=0,0,IF(COUNTIFS(実績!$W$6:$W$505,BT$3,実績!$AI$6:$AI$505,"&lt;="&amp;$A265,実績!$AJ$6:$AJ$505,"&gt;"&amp;$A265,実績!$AK$6:$AK$505,"○")&gt;0,1,0))</f>
        <v>0</v>
      </c>
      <c r="BU265" s="39" t="n">
        <f aca="false">IF(BU$4=0,0,IF(COUNTIFS(実績!$W$6:$W$505,BU$3,実績!$AI$6:$AI$505,"&lt;="&amp;$A265,実績!$AJ$6:$AJ$505,"&gt;"&amp;$A265,実績!$AK$6:$AK$505,"○")&gt;0,1,0))</f>
        <v>0</v>
      </c>
      <c r="BV265" s="39" t="n">
        <f aca="false">IF(BV$4=0,0,IF(COUNTIFS(実績!$W$6:$W$505,BV$3,実績!$AI$6:$AI$505,"&lt;="&amp;$A265,実績!$AJ$6:$AJ$505,"&gt;"&amp;$A265,実績!$AK$6:$AK$505,"○")&gt;0,1,0))</f>
        <v>0</v>
      </c>
      <c r="BW265" s="39" t="n">
        <f aca="false">IF(BW$4=0,0,IF(COUNTIFS(実績!$W$6:$W$505,BW$3,実績!$AI$6:$AI$505,"&lt;="&amp;$A265,実績!$AJ$6:$AJ$505,"&gt;"&amp;$A265,実績!$AK$6:$AK$505,"○")&gt;0,1,0))</f>
        <v>0</v>
      </c>
      <c r="BX265" s="39" t="n">
        <f aca="false">IF(BX$4=0,0,IF(COUNTIFS(実績!$W$6:$W$505,BX$3,実績!$AI$6:$AI$505,"&lt;="&amp;$A265,実績!$AJ$6:$AJ$505,"&gt;"&amp;$A265,実績!$AK$6:$AK$505,"○")&gt;0,1,0))</f>
        <v>0</v>
      </c>
      <c r="BY265" s="39" t="n">
        <f aca="false">IF(BY$4=0,0,IF(COUNTIFS(実績!$W$6:$W$505,BY$3,実績!$AI$6:$AI$505,"&lt;="&amp;$A265,実績!$AJ$6:$AJ$505,"&gt;"&amp;$A265,実績!$AK$6:$AK$505,"○")&gt;0,1,0))</f>
        <v>0</v>
      </c>
      <c r="BZ265" s="39" t="n">
        <f aca="false">IF(BZ$4=0,0,IF(COUNTIFS(実績!$W$6:$W$505,BZ$3,実績!$AI$6:$AI$505,"&lt;="&amp;$A265,実績!$AJ$6:$AJ$505,"&gt;"&amp;$A265,実績!$AK$6:$AK$505,"○")&gt;0,1,0))</f>
        <v>0</v>
      </c>
      <c r="CA265" s="39" t="n">
        <f aca="false">IF(CA$4=0,0,IF(COUNTIFS(実績!$W$6:$W$505,CA$3,実績!$AI$6:$AI$505,"&lt;="&amp;$A265,実績!$AJ$6:$AJ$505,"&gt;"&amp;$A265,実績!$AK$6:$AK$505,"○")&gt;0,1,0))</f>
        <v>0</v>
      </c>
      <c r="CB265" s="39" t="n">
        <f aca="false">IF(CB$4=0,0,IF(COUNTIFS(実績!$W$6:$W$505,CB$3,実績!$AI$6:$AI$505,"&lt;="&amp;$A265,実績!$AJ$6:$AJ$505,"&gt;"&amp;$A265,実績!$AK$6:$AK$505,"○")&gt;0,1,0))</f>
        <v>0</v>
      </c>
      <c r="CC265" s="39" t="n">
        <f aca="false">IF(CC$4=0,0,IF(COUNTIFS(実績!$W$6:$W$505,CC$3,実績!$AI$6:$AI$505,"&lt;="&amp;$A265,実績!$AJ$6:$AJ$505,"&gt;"&amp;$A265,実績!$AK$6:$AK$505,"○")&gt;0,1,0))</f>
        <v>0</v>
      </c>
      <c r="CD265" s="39" t="n">
        <f aca="false">IF(CD$4=0,0,IF(COUNTIFS(実績!$W$6:$W$505,CD$3,実績!$AI$6:$AI$505,"&lt;="&amp;$A265,実績!$AJ$6:$AJ$505,"&gt;"&amp;$A265,実績!$AK$6:$AK$505,"○")&gt;0,1,0))</f>
        <v>0</v>
      </c>
      <c r="CE265" s="39" t="n">
        <f aca="false">IF(CE$4=0,0,IF(COUNTIFS(実績!$W$6:$W$505,CE$3,実績!$AI$6:$AI$505,"&lt;="&amp;$A265,実績!$AJ$6:$AJ$505,"&gt;"&amp;$A265,実績!$AK$6:$AK$505,"○")&gt;0,1,0))</f>
        <v>0</v>
      </c>
      <c r="CF265" s="39" t="n">
        <f aca="false">IF(CF$4=0,0,IF(COUNTIFS(実績!$W$6:$W$505,CF$3,実績!$AI$6:$AI$505,"&lt;="&amp;$A265,実績!$AJ$6:$AJ$505,"&gt;"&amp;$A265,実績!$AK$6:$AK$505,"○")&gt;0,1,0))</f>
        <v>0</v>
      </c>
      <c r="CG265" s="39" t="n">
        <f aca="false">IF(CG$4=0,0,IF(COUNTIFS(実績!$W$6:$W$505,CG$3,実績!$AI$6:$AI$505,"&lt;="&amp;$A265,実績!$AJ$6:$AJ$505,"&gt;"&amp;$A265,実績!$AK$6:$AK$505,"○")&gt;0,1,0))</f>
        <v>0</v>
      </c>
      <c r="CH265" s="39" t="n">
        <f aca="false">IF(CH$4=0,0,IF(COUNTIFS(実績!$W$6:$W$505,CH$3,実績!$AI$6:$AI$505,"&lt;="&amp;$A265,実績!$AJ$6:$AJ$505,"&gt;"&amp;$A265,実績!$AK$6:$AK$505,"○")&gt;0,1,0))</f>
        <v>0</v>
      </c>
      <c r="CI265" s="39" t="n">
        <f aca="false">IF(CI$4=0,0,IF(COUNTIFS(実績!$W$6:$W$505,CI$3,実績!$AI$6:$AI$505,"&lt;="&amp;$A265,実績!$AJ$6:$AJ$505,"&gt;"&amp;$A265,実績!$AK$6:$AK$505,"○")&gt;0,1,0))</f>
        <v>0</v>
      </c>
      <c r="CJ265" s="39" t="n">
        <f aca="false">IF(CJ$4=0,0,IF(COUNTIFS(実績!$W$6:$W$505,CJ$3,実績!$AI$6:$AI$505,"&lt;="&amp;$A265,実績!$AJ$6:$AJ$505,"&gt;"&amp;$A265,実績!$AK$6:$AK$505,"○")&gt;0,1,0))</f>
        <v>0</v>
      </c>
      <c r="CK265" s="39" t="n">
        <f aca="false">IF(CK$4=0,0,IF(COUNTIFS(実績!$W$6:$W$505,CK$3,実績!$AI$6:$AI$505,"&lt;="&amp;$A265,実績!$AJ$6:$AJ$505,"&gt;"&amp;$A265,実績!$AK$6:$AK$505,"○")&gt;0,1,0))</f>
        <v>0</v>
      </c>
      <c r="CL265" s="39" t="n">
        <f aca="false">IF(CL$4=0,0,IF(COUNTIFS(実績!$W$6:$W$505,CL$3,実績!$AI$6:$AI$505,"&lt;="&amp;$A265,実績!$AJ$6:$AJ$505,"&gt;"&amp;$A265,実績!$AK$6:$AK$505,"○")&gt;0,1,0))</f>
        <v>0</v>
      </c>
      <c r="CM265" s="39" t="n">
        <f aca="false">IF(CM$4=0,0,IF(COUNTIFS(実績!$W$6:$W$505,CM$3,実績!$AI$6:$AI$505,"&lt;="&amp;$A265,実績!$AJ$6:$AJ$505,"&gt;"&amp;$A265,実績!$AK$6:$AK$505,"○")&gt;0,1,0))</f>
        <v>0</v>
      </c>
      <c r="CN265" s="39" t="n">
        <f aca="false">IF(CN$4=0,0,IF(COUNTIFS(実績!$W$6:$W$505,CN$3,実績!$AI$6:$AI$505,"&lt;="&amp;$A265,実績!$AJ$6:$AJ$505,"&gt;"&amp;$A265,実績!$AK$6:$AK$505,"○")&gt;0,1,0))</f>
        <v>0</v>
      </c>
      <c r="CO265" s="39" t="n">
        <f aca="false">IF(CO$4=0,0,IF(COUNTIFS(実績!$W$6:$W$505,CO$3,実績!$AI$6:$AI$505,"&lt;="&amp;$A265,実績!$AJ$6:$AJ$505,"&gt;"&amp;$A265,実績!$AK$6:$AK$505,"○")&gt;0,1,0))</f>
        <v>0</v>
      </c>
      <c r="CP265" s="39" t="n">
        <f aca="false">IF(CP$4=0,0,IF(COUNTIFS(実績!$W$6:$W$505,CP$3,実績!$AI$6:$AI$505,"&lt;="&amp;$A265,実績!$AJ$6:$AJ$505,"&gt;"&amp;$A265,実績!$AK$6:$AK$505,"○")&gt;0,1,0))</f>
        <v>0</v>
      </c>
      <c r="CQ265" s="39" t="n">
        <f aca="false">IF(CQ$4=0,0,IF(COUNTIFS(実績!$W$6:$W$505,CQ$3,実績!$AI$6:$AI$505,"&lt;="&amp;$A265,実績!$AJ$6:$AJ$505,"&gt;"&amp;$A265,実績!$AK$6:$AK$505,"○")&gt;0,1,0))</f>
        <v>0</v>
      </c>
      <c r="CR265" s="39" t="n">
        <f aca="false">IF(CR$4=0,0,IF(COUNTIFS(実績!$W$6:$W$505,CR$3,実績!$AI$6:$AI$505,"&lt;="&amp;$A265,実績!$AJ$6:$AJ$505,"&gt;"&amp;$A265,実績!$AK$6:$AK$505,"○")&gt;0,1,0))</f>
        <v>0</v>
      </c>
      <c r="CS265" s="39" t="n">
        <f aca="false">IF(CS$4=0,0,IF(COUNTIFS(実績!$W$6:$W$505,CS$3,実績!$AI$6:$AI$505,"&lt;="&amp;$A265,実績!$AJ$6:$AJ$505,"&gt;"&amp;$A265,実績!$AK$6:$AK$505,"○")&gt;0,1,0))</f>
        <v>0</v>
      </c>
      <c r="CT265" s="39" t="n">
        <f aca="false">IF(CT$4=0,0,IF(COUNTIFS(実績!$W$6:$W$505,CT$3,実績!$AI$6:$AI$505,"&lt;="&amp;$A265,実績!$AJ$6:$AJ$505,"&gt;"&amp;$A265,実績!$AK$6:$AK$505,"○")&gt;0,1,0))</f>
        <v>0</v>
      </c>
      <c r="CU265" s="39" t="n">
        <f aca="false">IF(CU$4=0,0,IF(COUNTIFS(実績!$W$6:$W$505,CU$3,実績!$AI$6:$AI$505,"&lt;="&amp;$A265,実績!$AJ$6:$AJ$505,"&gt;"&amp;$A265,実績!$AK$6:$AK$505,"○")&gt;0,1,0))</f>
        <v>0</v>
      </c>
      <c r="CV265" s="39" t="n">
        <f aca="false">IF(CV$4=0,0,IF(COUNTIFS(実績!$W$6:$W$505,CV$3,実績!$AI$6:$AI$505,"&lt;="&amp;$A265,実績!$AJ$6:$AJ$505,"&gt;"&amp;$A265,実績!$AK$6:$AK$505,"○")&gt;0,1,0))</f>
        <v>0</v>
      </c>
      <c r="CW265" s="39" t="n">
        <f aca="false">IF(CW$4=0,0,IF(COUNTIFS(実績!$W$6:$W$505,CW$3,実績!$AI$6:$AI$505,"&lt;="&amp;$A265,実績!$AJ$6:$AJ$505,"&gt;"&amp;$A265,実績!$AK$6:$AK$505,"○")&gt;0,1,0))</f>
        <v>0</v>
      </c>
      <c r="CX265" s="39" t="n">
        <f aca="false">IF(CX$4=0,0,IF(COUNTIFS(実績!$W$6:$W$505,CX$3,実績!$AI$6:$AI$505,"&lt;="&amp;$A265,実績!$AJ$6:$AJ$505,"&gt;"&amp;$A265,実績!$AK$6:$AK$505,"○")&gt;0,1,0))</f>
        <v>0</v>
      </c>
      <c r="CY265" s="39" t="n">
        <f aca="false">IF(CY$4=0,0,IF(COUNTIFS(実績!$W$6:$W$505,CY$3,実績!$AI$6:$AI$505,"&lt;="&amp;$A265,実績!$AJ$6:$AJ$505,"&gt;"&amp;$A265,実績!$AK$6:$AK$505,"○")&gt;0,1,0))</f>
        <v>0</v>
      </c>
      <c r="CZ265" s="39" t="n">
        <f aca="false">IF(CZ$4=0,0,IF(COUNTIFS(実績!$W$6:$W$505,CZ$3,実績!$AI$6:$AI$505,"&lt;="&amp;$A265,実績!$AJ$6:$AJ$505,"&gt;"&amp;$A265,実績!$AK$6:$AK$505,"○")&gt;0,1,0))</f>
        <v>0</v>
      </c>
      <c r="DA265" s="39" t="n">
        <f aca="false">IF(DA$4=0,0,IF(COUNTIFS(実績!$W$6:$W$505,DA$3,実績!$AI$6:$AI$505,"&lt;="&amp;$A265,実績!$AJ$6:$AJ$505,"&gt;"&amp;$A265,実績!$AK$6:$AK$505,"○")&gt;0,1,0))</f>
        <v>0</v>
      </c>
      <c r="DB265" s="39" t="n">
        <f aca="false">IF(DB$4=0,0,IF(COUNTIFS(実績!$W$6:$W$505,DB$3,実績!$AI$6:$AI$505,"&lt;="&amp;$A265,実績!$AJ$6:$AJ$505,"&gt;"&amp;$A265,実績!$AK$6:$AK$505,"○")&gt;0,1,0))</f>
        <v>0</v>
      </c>
      <c r="DC265" s="39" t="n">
        <f aca="false">IF(DC$4=0,0,IF(COUNTIFS(実績!$W$6:$W$505,DC$3,実績!$AI$6:$AI$505,"&lt;="&amp;$A265,実績!$AJ$6:$AJ$505,"&gt;"&amp;$A265,実績!$AK$6:$AK$505,"○")&gt;0,1,0))</f>
        <v>0</v>
      </c>
      <c r="DD265" s="39" t="n">
        <f aca="false">IF(DD$4=0,0,IF(COUNTIFS(実績!$W$6:$W$505,DD$3,実績!$AI$6:$AI$505,"&lt;="&amp;$A265,実績!$AJ$6:$AJ$505,"&gt;"&amp;$A265,実績!$AK$6:$AK$505,"○")&gt;0,1,0))</f>
        <v>0</v>
      </c>
      <c r="DE265" s="39" t="n">
        <f aca="false">IF(DE$4=0,0,IF(COUNTIFS(実績!$W$6:$W$505,DE$3,実績!$AI$6:$AI$505,"&lt;="&amp;$A265,実績!$AJ$6:$AJ$505,"&gt;"&amp;$A265,実績!$AK$6:$AK$505,"○")&gt;0,1,0))</f>
        <v>0</v>
      </c>
      <c r="DF265" s="39" t="n">
        <f aca="false">IF(DF$4=0,0,IF(COUNTIFS(実績!$W$6:$W$505,DF$3,実績!$AI$6:$AI$505,"&lt;="&amp;$A265,実績!$AJ$6:$AJ$505,"&gt;"&amp;$A265,実績!$AK$6:$AK$505,"○")&gt;0,1,0))</f>
        <v>0</v>
      </c>
      <c r="DG265" s="39" t="n">
        <f aca="false">IF(DG$4=0,0,IF(COUNTIFS(実績!$W$6:$W$505,DG$3,実績!$AI$6:$AI$505,"&lt;="&amp;$A265,実績!$AJ$6:$AJ$505,"&gt;"&amp;$A265,実績!$AK$6:$AK$505,"○")&gt;0,1,0))</f>
        <v>0</v>
      </c>
      <c r="DH265" s="39" t="n">
        <f aca="false">IF(DH$4=0,0,IF(COUNTIFS(実績!$W$6:$W$505,DH$3,実績!$AI$6:$AI$505,"&lt;="&amp;$A265,実績!$AJ$6:$AJ$505,"&gt;"&amp;$A265,実績!$AK$6:$AK$505,"○")&gt;0,1,0))</f>
        <v>0</v>
      </c>
      <c r="DI265" s="39" t="n">
        <f aca="false">IF(DI$4=0,0,IF(COUNTIFS(実績!$W$6:$W$505,DI$3,実績!$AI$6:$AI$505,"&lt;="&amp;$A265,実績!$AJ$6:$AJ$505,"&gt;"&amp;$A265,実績!$AK$6:$AK$505,"○")&gt;0,1,0))</f>
        <v>0</v>
      </c>
      <c r="DJ265" s="39" t="n">
        <f aca="false">IF(DJ$4=0,0,IF(COUNTIFS(実績!$W$6:$W$505,DJ$3,実績!$AI$6:$AI$505,"&lt;="&amp;$A265,実績!$AJ$6:$AJ$505,"&gt;"&amp;$A265,実績!$AK$6:$AK$505,"○")&gt;0,1,0))</f>
        <v>0</v>
      </c>
      <c r="DK265" s="39" t="n">
        <f aca="false">IF(DK$4=0,0,IF(COUNTIFS(実績!$W$6:$W$505,DK$3,実績!$AI$6:$AI$505,"&lt;="&amp;$A265,実績!$AJ$6:$AJ$505,"&gt;"&amp;$A265,実績!$AK$6:$AK$505,"○")&gt;0,1,0))</f>
        <v>0</v>
      </c>
      <c r="DL265" s="39" t="n">
        <f aca="false">IF(DL$4=0,0,IF(COUNTIFS(実績!$W$6:$W$505,DL$3,実績!$AI$6:$AI$505,"&lt;="&amp;$A265,実績!$AJ$6:$AJ$505,"&gt;"&amp;$A265,実績!$AK$6:$AK$505,"○")&gt;0,1,0))</f>
        <v>0</v>
      </c>
      <c r="DM265" s="39" t="n">
        <f aca="false">IF(DM$4=0,0,IF(COUNTIFS(実績!$W$6:$W$505,DM$3,実績!$AI$6:$AI$505,"&lt;="&amp;$A265,実績!$AJ$6:$AJ$505,"&gt;"&amp;$A265,実績!$AK$6:$AK$505,"○")&gt;0,1,0))</f>
        <v>0</v>
      </c>
      <c r="DN265" s="39" t="n">
        <f aca="false">IF(DN$4=0,0,IF(COUNTIFS(実績!$W$6:$W$505,DN$3,実績!$AI$6:$AI$505,"&lt;="&amp;$A265,実績!$AJ$6:$AJ$505,"&gt;"&amp;$A265,実績!$AK$6:$AK$505,"○")&gt;0,1,0))</f>
        <v>0</v>
      </c>
      <c r="DO265" s="39" t="n">
        <f aca="false">IF(DO$4=0,0,IF(COUNTIFS(実績!$W$6:$W$505,DO$3,実績!$AI$6:$AI$505,"&lt;="&amp;$A265,実績!$AJ$6:$AJ$505,"&gt;"&amp;$A265,実績!$AK$6:$AK$505,"○")&gt;0,1,0))</f>
        <v>0</v>
      </c>
      <c r="DP265" s="39" t="n">
        <f aca="false">IF(DP$4=0,0,IF(COUNTIFS(実績!$W$6:$W$505,DP$3,実績!$AI$6:$AI$505,"&lt;="&amp;$A265,実績!$AJ$6:$AJ$505,"&gt;"&amp;$A265,実績!$AK$6:$AK$505,"○")&gt;0,1,0))</f>
        <v>0</v>
      </c>
      <c r="DQ265" s="39" t="n">
        <f aca="false">IF(DQ$4=0,0,IF(COUNTIFS(実績!$W$6:$W$505,DQ$3,実績!$AI$6:$AI$505,"&lt;="&amp;$A265,実績!$AJ$6:$AJ$505,"&gt;"&amp;$A265,実績!$AK$6:$AK$505,"○")&gt;0,1,0))</f>
        <v>0</v>
      </c>
      <c r="DR265" s="39" t="n">
        <f aca="false">IF(DR$4=0,0,IF(COUNTIFS(実績!$W$6:$W$505,DR$3,実績!$AI$6:$AI$505,"&lt;="&amp;$A265,実績!$AJ$6:$AJ$505,"&gt;"&amp;$A265,実績!$AK$6:$AK$505,"○")&gt;0,1,0))</f>
        <v>0</v>
      </c>
      <c r="DS265" s="39" t="n">
        <f aca="false">SUM(C265:DR265)</f>
        <v>0</v>
      </c>
      <c r="DT265" s="39" t="n">
        <f aca="false">SUMPRODUCT((実績!$C$6:$C$505="○")*ISNUMBER(実績!$AM$6:$AM$505)*(実績!$AM$6:$AM$505&lt;=$A265)*(実績!$AN$6:$AN$505&gt;$A265))</f>
        <v>0</v>
      </c>
      <c r="DU265" s="39" t="n">
        <f aca="false">SUMIF($C$2:$DR$2,"製鉄曳船",C265:DR265)</f>
        <v>0</v>
      </c>
      <c r="DV265" s="39" t="n">
        <f aca="false">SUMIF($C$2:$DR$2,"西日本海運",C265:DR265)</f>
        <v>0</v>
      </c>
    </row>
    <row r="266" customFormat="false" ht="15" hidden="false" customHeight="false" outlineLevel="0" collapsed="false">
      <c r="A266" s="0" t="n">
        <v>1300</v>
      </c>
      <c r="B266" s="38" t="n">
        <f aca="false">A266/1440</f>
        <v>0.902777777777778</v>
      </c>
      <c r="C266" s="39" t="n">
        <f aca="false">IF(C$4=0,0,IF(COUNTIFS(実績!$W$6:$W$505,C$3,実績!$AI$6:$AI$505,"&lt;="&amp;$A266,実績!$AJ$6:$AJ$505,"&gt;"&amp;$A266,実績!$AK$6:$AK$505,"○")&gt;0,1,0))</f>
        <v>0</v>
      </c>
      <c r="D266" s="39" t="n">
        <f aca="false">IF(D$4=0,0,IF(COUNTIFS(実績!$W$6:$W$505,D$3,実績!$AI$6:$AI$505,"&lt;="&amp;$A266,実績!$AJ$6:$AJ$505,"&gt;"&amp;$A266,実績!$AK$6:$AK$505,"○")&gt;0,1,0))</f>
        <v>0</v>
      </c>
      <c r="E266" s="39" t="n">
        <f aca="false">IF(E$4=0,0,IF(COUNTIFS(実績!$W$6:$W$505,E$3,実績!$AI$6:$AI$505,"&lt;="&amp;$A266,実績!$AJ$6:$AJ$505,"&gt;"&amp;$A266,実績!$AK$6:$AK$505,"○")&gt;0,1,0))</f>
        <v>0</v>
      </c>
      <c r="F266" s="39" t="n">
        <f aca="false">IF(F$4=0,0,IF(COUNTIFS(実績!$W$6:$W$505,F$3,実績!$AI$6:$AI$505,"&lt;="&amp;$A266,実績!$AJ$6:$AJ$505,"&gt;"&amp;$A266,実績!$AK$6:$AK$505,"○")&gt;0,1,0))</f>
        <v>0</v>
      </c>
      <c r="G266" s="39" t="n">
        <f aca="false">IF(G$4=0,0,IF(COUNTIFS(実績!$W$6:$W$505,G$3,実績!$AI$6:$AI$505,"&lt;="&amp;$A266,実績!$AJ$6:$AJ$505,"&gt;"&amp;$A266,実績!$AK$6:$AK$505,"○")&gt;0,1,0))</f>
        <v>0</v>
      </c>
      <c r="H266" s="39" t="n">
        <f aca="false">IF(H$4=0,0,IF(COUNTIFS(実績!$W$6:$W$505,H$3,実績!$AI$6:$AI$505,"&lt;="&amp;$A266,実績!$AJ$6:$AJ$505,"&gt;"&amp;$A266,実績!$AK$6:$AK$505,"○")&gt;0,1,0))</f>
        <v>0</v>
      </c>
      <c r="I266" s="39" t="n">
        <f aca="false">IF(I$4=0,0,IF(COUNTIFS(実績!$W$6:$W$505,I$3,実績!$AI$6:$AI$505,"&lt;="&amp;$A266,実績!$AJ$6:$AJ$505,"&gt;"&amp;$A266,実績!$AK$6:$AK$505,"○")&gt;0,1,0))</f>
        <v>0</v>
      </c>
      <c r="J266" s="39" t="n">
        <f aca="false">IF(J$4=0,0,IF(COUNTIFS(実績!$W$6:$W$505,J$3,実績!$AI$6:$AI$505,"&lt;="&amp;$A266,実績!$AJ$6:$AJ$505,"&gt;"&amp;$A266,実績!$AK$6:$AK$505,"○")&gt;0,1,0))</f>
        <v>0</v>
      </c>
      <c r="K266" s="39" t="n">
        <f aca="false">IF(K$4=0,0,IF(COUNTIFS(実績!$W$6:$W$505,K$3,実績!$AI$6:$AI$505,"&lt;="&amp;$A266,実績!$AJ$6:$AJ$505,"&gt;"&amp;$A266,実績!$AK$6:$AK$505,"○")&gt;0,1,0))</f>
        <v>0</v>
      </c>
      <c r="L266" s="39" t="n">
        <f aca="false">IF(L$4=0,0,IF(COUNTIFS(実績!$W$6:$W$505,L$3,実績!$AI$6:$AI$505,"&lt;="&amp;$A266,実績!$AJ$6:$AJ$505,"&gt;"&amp;$A266,実績!$AK$6:$AK$505,"○")&gt;0,1,0))</f>
        <v>0</v>
      </c>
      <c r="M266" s="39" t="n">
        <f aca="false">IF(M$4=0,0,IF(COUNTIFS(実績!$W$6:$W$505,M$3,実績!$AI$6:$AI$505,"&lt;="&amp;$A266,実績!$AJ$6:$AJ$505,"&gt;"&amp;$A266,実績!$AK$6:$AK$505,"○")&gt;0,1,0))</f>
        <v>0</v>
      </c>
      <c r="N266" s="39" t="n">
        <f aca="false">IF(N$4=0,0,IF(COUNTIFS(実績!$W$6:$W$505,N$3,実績!$AI$6:$AI$505,"&lt;="&amp;$A266,実績!$AJ$6:$AJ$505,"&gt;"&amp;$A266,実績!$AK$6:$AK$505,"○")&gt;0,1,0))</f>
        <v>0</v>
      </c>
      <c r="O266" s="39" t="n">
        <f aca="false">IF(O$4=0,0,IF(COUNTIFS(実績!$W$6:$W$505,O$3,実績!$AI$6:$AI$505,"&lt;="&amp;$A266,実績!$AJ$6:$AJ$505,"&gt;"&amp;$A266,実績!$AK$6:$AK$505,"○")&gt;0,1,0))</f>
        <v>0</v>
      </c>
      <c r="P266" s="39" t="n">
        <f aca="false">IF(P$4=0,0,IF(COUNTIFS(実績!$W$6:$W$505,P$3,実績!$AI$6:$AI$505,"&lt;="&amp;$A266,実績!$AJ$6:$AJ$505,"&gt;"&amp;$A266,実績!$AK$6:$AK$505,"○")&gt;0,1,0))</f>
        <v>0</v>
      </c>
      <c r="Q266" s="39" t="n">
        <f aca="false">IF(Q$4=0,0,IF(COUNTIFS(実績!$W$6:$W$505,Q$3,実績!$AI$6:$AI$505,"&lt;="&amp;$A266,実績!$AJ$6:$AJ$505,"&gt;"&amp;$A266,実績!$AK$6:$AK$505,"○")&gt;0,1,0))</f>
        <v>0</v>
      </c>
      <c r="R266" s="39" t="n">
        <f aca="false">IF(R$4=0,0,IF(COUNTIFS(実績!$W$6:$W$505,R$3,実績!$AI$6:$AI$505,"&lt;="&amp;$A266,実績!$AJ$6:$AJ$505,"&gt;"&amp;$A266,実績!$AK$6:$AK$505,"○")&gt;0,1,0))</f>
        <v>0</v>
      </c>
      <c r="S266" s="39" t="n">
        <f aca="false">IF(S$4=0,0,IF(COUNTIFS(実績!$W$6:$W$505,S$3,実績!$AI$6:$AI$505,"&lt;="&amp;$A266,実績!$AJ$6:$AJ$505,"&gt;"&amp;$A266,実績!$AK$6:$AK$505,"○")&gt;0,1,0))</f>
        <v>0</v>
      </c>
      <c r="T266" s="39" t="n">
        <f aca="false">IF(T$4=0,0,IF(COUNTIFS(実績!$W$6:$W$505,T$3,実績!$AI$6:$AI$505,"&lt;="&amp;$A266,実績!$AJ$6:$AJ$505,"&gt;"&amp;$A266,実績!$AK$6:$AK$505,"○")&gt;0,1,0))</f>
        <v>0</v>
      </c>
      <c r="U266" s="39" t="n">
        <f aca="false">IF(U$4=0,0,IF(COUNTIFS(実績!$W$6:$W$505,U$3,実績!$AI$6:$AI$505,"&lt;="&amp;$A266,実績!$AJ$6:$AJ$505,"&gt;"&amp;$A266,実績!$AK$6:$AK$505,"○")&gt;0,1,0))</f>
        <v>0</v>
      </c>
      <c r="V266" s="39" t="n">
        <f aca="false">IF(V$4=0,0,IF(COUNTIFS(実績!$W$6:$W$505,V$3,実績!$AI$6:$AI$505,"&lt;="&amp;$A266,実績!$AJ$6:$AJ$505,"&gt;"&amp;$A266,実績!$AK$6:$AK$505,"○")&gt;0,1,0))</f>
        <v>0</v>
      </c>
      <c r="W266" s="39" t="n">
        <f aca="false">IF(W$4=0,0,IF(COUNTIFS(実績!$W$6:$W$505,W$3,実績!$AI$6:$AI$505,"&lt;="&amp;$A266,実績!$AJ$6:$AJ$505,"&gt;"&amp;$A266,実績!$AK$6:$AK$505,"○")&gt;0,1,0))</f>
        <v>0</v>
      </c>
      <c r="X266" s="39" t="n">
        <f aca="false">IF(X$4=0,0,IF(COUNTIFS(実績!$W$6:$W$505,X$3,実績!$AI$6:$AI$505,"&lt;="&amp;$A266,実績!$AJ$6:$AJ$505,"&gt;"&amp;$A266,実績!$AK$6:$AK$505,"○")&gt;0,1,0))</f>
        <v>0</v>
      </c>
      <c r="Y266" s="39" t="n">
        <f aca="false">IF(Y$4=0,0,IF(COUNTIFS(実績!$W$6:$W$505,Y$3,実績!$AI$6:$AI$505,"&lt;="&amp;$A266,実績!$AJ$6:$AJ$505,"&gt;"&amp;$A266,実績!$AK$6:$AK$505,"○")&gt;0,1,0))</f>
        <v>0</v>
      </c>
      <c r="Z266" s="39" t="n">
        <f aca="false">IF(Z$4=0,0,IF(COUNTIFS(実績!$W$6:$W$505,Z$3,実績!$AI$6:$AI$505,"&lt;="&amp;$A266,実績!$AJ$6:$AJ$505,"&gt;"&amp;$A266,実績!$AK$6:$AK$505,"○")&gt;0,1,0))</f>
        <v>0</v>
      </c>
      <c r="AA266" s="39" t="n">
        <f aca="false">IF(AA$4=0,0,IF(COUNTIFS(実績!$W$6:$W$505,AA$3,実績!$AI$6:$AI$505,"&lt;="&amp;$A266,実績!$AJ$6:$AJ$505,"&gt;"&amp;$A266,実績!$AK$6:$AK$505,"○")&gt;0,1,0))</f>
        <v>0</v>
      </c>
      <c r="AB266" s="39" t="n">
        <f aca="false">IF(AB$4=0,0,IF(COUNTIFS(実績!$W$6:$W$505,AB$3,実績!$AI$6:$AI$505,"&lt;="&amp;$A266,実績!$AJ$6:$AJ$505,"&gt;"&amp;$A266,実績!$AK$6:$AK$505,"○")&gt;0,1,0))</f>
        <v>0</v>
      </c>
      <c r="AC266" s="39" t="n">
        <f aca="false">IF(AC$4=0,0,IF(COUNTIFS(実績!$W$6:$W$505,AC$3,実績!$AI$6:$AI$505,"&lt;="&amp;$A266,実績!$AJ$6:$AJ$505,"&gt;"&amp;$A266,実績!$AK$6:$AK$505,"○")&gt;0,1,0))</f>
        <v>0</v>
      </c>
      <c r="AD266" s="39" t="n">
        <f aca="false">IF(AD$4=0,0,IF(COUNTIFS(実績!$W$6:$W$505,AD$3,実績!$AI$6:$AI$505,"&lt;="&amp;$A266,実績!$AJ$6:$AJ$505,"&gt;"&amp;$A266,実績!$AK$6:$AK$505,"○")&gt;0,1,0))</f>
        <v>0</v>
      </c>
      <c r="AE266" s="39" t="n">
        <f aca="false">IF(AE$4=0,0,IF(COUNTIFS(実績!$W$6:$W$505,AE$3,実績!$AI$6:$AI$505,"&lt;="&amp;$A266,実績!$AJ$6:$AJ$505,"&gt;"&amp;$A266,実績!$AK$6:$AK$505,"○")&gt;0,1,0))</f>
        <v>0</v>
      </c>
      <c r="AF266" s="39" t="n">
        <f aca="false">IF(AF$4=0,0,IF(COUNTIFS(実績!$W$6:$W$505,AF$3,実績!$AI$6:$AI$505,"&lt;="&amp;$A266,実績!$AJ$6:$AJ$505,"&gt;"&amp;$A266,実績!$AK$6:$AK$505,"○")&gt;0,1,0))</f>
        <v>0</v>
      </c>
      <c r="AG266" s="39" t="n">
        <f aca="false">IF(AG$4=0,0,IF(COUNTIFS(実績!$W$6:$W$505,AG$3,実績!$AI$6:$AI$505,"&lt;="&amp;$A266,実績!$AJ$6:$AJ$505,"&gt;"&amp;$A266,実績!$AK$6:$AK$505,"○")&gt;0,1,0))</f>
        <v>0</v>
      </c>
      <c r="AH266" s="39" t="n">
        <f aca="false">IF(AH$4=0,0,IF(COUNTIFS(実績!$W$6:$W$505,AH$3,実績!$AI$6:$AI$505,"&lt;="&amp;$A266,実績!$AJ$6:$AJ$505,"&gt;"&amp;$A266,実績!$AK$6:$AK$505,"○")&gt;0,1,0))</f>
        <v>0</v>
      </c>
      <c r="AI266" s="39" t="n">
        <f aca="false">IF(AI$4=0,0,IF(COUNTIFS(実績!$W$6:$W$505,AI$3,実績!$AI$6:$AI$505,"&lt;="&amp;$A266,実績!$AJ$6:$AJ$505,"&gt;"&amp;$A266,実績!$AK$6:$AK$505,"○")&gt;0,1,0))</f>
        <v>0</v>
      </c>
      <c r="AJ266" s="39" t="n">
        <f aca="false">IF(AJ$4=0,0,IF(COUNTIFS(実績!$W$6:$W$505,AJ$3,実績!$AI$6:$AI$505,"&lt;="&amp;$A266,実績!$AJ$6:$AJ$505,"&gt;"&amp;$A266,実績!$AK$6:$AK$505,"○")&gt;0,1,0))</f>
        <v>0</v>
      </c>
      <c r="AK266" s="39" t="n">
        <f aca="false">IF(AK$4=0,0,IF(COUNTIFS(実績!$W$6:$W$505,AK$3,実績!$AI$6:$AI$505,"&lt;="&amp;$A266,実績!$AJ$6:$AJ$505,"&gt;"&amp;$A266,実績!$AK$6:$AK$505,"○")&gt;0,1,0))</f>
        <v>0</v>
      </c>
      <c r="AL266" s="39" t="n">
        <f aca="false">IF(AL$4=0,0,IF(COUNTIFS(実績!$W$6:$W$505,AL$3,実績!$AI$6:$AI$505,"&lt;="&amp;$A266,実績!$AJ$6:$AJ$505,"&gt;"&amp;$A266,実績!$AK$6:$AK$505,"○")&gt;0,1,0))</f>
        <v>0</v>
      </c>
      <c r="AM266" s="39" t="n">
        <f aca="false">IF(AM$4=0,0,IF(COUNTIFS(実績!$W$6:$W$505,AM$3,実績!$AI$6:$AI$505,"&lt;="&amp;$A266,実績!$AJ$6:$AJ$505,"&gt;"&amp;$A266,実績!$AK$6:$AK$505,"○")&gt;0,1,0))</f>
        <v>0</v>
      </c>
      <c r="AN266" s="39" t="n">
        <f aca="false">IF(AN$4=0,0,IF(COUNTIFS(実績!$W$6:$W$505,AN$3,実績!$AI$6:$AI$505,"&lt;="&amp;$A266,実績!$AJ$6:$AJ$505,"&gt;"&amp;$A266,実績!$AK$6:$AK$505,"○")&gt;0,1,0))</f>
        <v>0</v>
      </c>
      <c r="AO266" s="39" t="n">
        <f aca="false">IF(AO$4=0,0,IF(COUNTIFS(実績!$W$6:$W$505,AO$3,実績!$AI$6:$AI$505,"&lt;="&amp;$A266,実績!$AJ$6:$AJ$505,"&gt;"&amp;$A266,実績!$AK$6:$AK$505,"○")&gt;0,1,0))</f>
        <v>0</v>
      </c>
      <c r="AP266" s="39" t="n">
        <f aca="false">IF(AP$4=0,0,IF(COUNTIFS(実績!$W$6:$W$505,AP$3,実績!$AI$6:$AI$505,"&lt;="&amp;$A266,実績!$AJ$6:$AJ$505,"&gt;"&amp;$A266,実績!$AK$6:$AK$505,"○")&gt;0,1,0))</f>
        <v>0</v>
      </c>
      <c r="AQ266" s="39" t="n">
        <f aca="false">IF(AQ$4=0,0,IF(COUNTIFS(実績!$W$6:$W$505,AQ$3,実績!$AI$6:$AI$505,"&lt;="&amp;$A266,実績!$AJ$6:$AJ$505,"&gt;"&amp;$A266,実績!$AK$6:$AK$505,"○")&gt;0,1,0))</f>
        <v>0</v>
      </c>
      <c r="AR266" s="39" t="n">
        <f aca="false">IF(AR$4=0,0,IF(COUNTIFS(実績!$W$6:$W$505,AR$3,実績!$AI$6:$AI$505,"&lt;="&amp;$A266,実績!$AJ$6:$AJ$505,"&gt;"&amp;$A266,実績!$AK$6:$AK$505,"○")&gt;0,1,0))</f>
        <v>0</v>
      </c>
      <c r="AS266" s="39" t="n">
        <f aca="false">IF(AS$4=0,0,IF(COUNTIFS(実績!$W$6:$W$505,AS$3,実績!$AI$6:$AI$505,"&lt;="&amp;$A266,実績!$AJ$6:$AJ$505,"&gt;"&amp;$A266,実績!$AK$6:$AK$505,"○")&gt;0,1,0))</f>
        <v>0</v>
      </c>
      <c r="AT266" s="39" t="n">
        <f aca="false">IF(AT$4=0,0,IF(COUNTIFS(実績!$W$6:$W$505,AT$3,実績!$AI$6:$AI$505,"&lt;="&amp;$A266,実績!$AJ$6:$AJ$505,"&gt;"&amp;$A266,実績!$AK$6:$AK$505,"○")&gt;0,1,0))</f>
        <v>0</v>
      </c>
      <c r="AU266" s="39" t="n">
        <f aca="false">IF(AU$4=0,0,IF(COUNTIFS(実績!$W$6:$W$505,AU$3,実績!$AI$6:$AI$505,"&lt;="&amp;$A266,実績!$AJ$6:$AJ$505,"&gt;"&amp;$A266,実績!$AK$6:$AK$505,"○")&gt;0,1,0))</f>
        <v>0</v>
      </c>
      <c r="AV266" s="39" t="n">
        <f aca="false">IF(AV$4=0,0,IF(COUNTIFS(実績!$W$6:$W$505,AV$3,実績!$AI$6:$AI$505,"&lt;="&amp;$A266,実績!$AJ$6:$AJ$505,"&gt;"&amp;$A266,実績!$AK$6:$AK$505,"○")&gt;0,1,0))</f>
        <v>0</v>
      </c>
      <c r="AW266" s="39" t="n">
        <f aca="false">IF(AW$4=0,0,IF(COUNTIFS(実績!$W$6:$W$505,AW$3,実績!$AI$6:$AI$505,"&lt;="&amp;$A266,実績!$AJ$6:$AJ$505,"&gt;"&amp;$A266,実績!$AK$6:$AK$505,"○")&gt;0,1,0))</f>
        <v>0</v>
      </c>
      <c r="AX266" s="39" t="n">
        <f aca="false">IF(AX$4=0,0,IF(COUNTIFS(実績!$W$6:$W$505,AX$3,実績!$AI$6:$AI$505,"&lt;="&amp;$A266,実績!$AJ$6:$AJ$505,"&gt;"&amp;$A266,実績!$AK$6:$AK$505,"○")&gt;0,1,0))</f>
        <v>0</v>
      </c>
      <c r="AY266" s="39" t="n">
        <f aca="false">IF(AY$4=0,0,IF(COUNTIFS(実績!$W$6:$W$505,AY$3,実績!$AI$6:$AI$505,"&lt;="&amp;$A266,実績!$AJ$6:$AJ$505,"&gt;"&amp;$A266,実績!$AK$6:$AK$505,"○")&gt;0,1,0))</f>
        <v>0</v>
      </c>
      <c r="AZ266" s="39" t="n">
        <f aca="false">IF(AZ$4=0,0,IF(COUNTIFS(実績!$W$6:$W$505,AZ$3,実績!$AI$6:$AI$505,"&lt;="&amp;$A266,実績!$AJ$6:$AJ$505,"&gt;"&amp;$A266,実績!$AK$6:$AK$505,"○")&gt;0,1,0))</f>
        <v>0</v>
      </c>
      <c r="BA266" s="39" t="n">
        <f aca="false">IF(BA$4=0,0,IF(COUNTIFS(実績!$W$6:$W$505,BA$3,実績!$AI$6:$AI$505,"&lt;="&amp;$A266,実績!$AJ$6:$AJ$505,"&gt;"&amp;$A266,実績!$AK$6:$AK$505,"○")&gt;0,1,0))</f>
        <v>0</v>
      </c>
      <c r="BB266" s="39" t="n">
        <f aca="false">IF(BB$4=0,0,IF(COUNTIFS(実績!$W$6:$W$505,BB$3,実績!$AI$6:$AI$505,"&lt;="&amp;$A266,実績!$AJ$6:$AJ$505,"&gt;"&amp;$A266,実績!$AK$6:$AK$505,"○")&gt;0,1,0))</f>
        <v>0</v>
      </c>
      <c r="BC266" s="39" t="n">
        <f aca="false">IF(BC$4=0,0,IF(COUNTIFS(実績!$W$6:$W$505,BC$3,実績!$AI$6:$AI$505,"&lt;="&amp;$A266,実績!$AJ$6:$AJ$505,"&gt;"&amp;$A266,実績!$AK$6:$AK$505,"○")&gt;0,1,0))</f>
        <v>0</v>
      </c>
      <c r="BD266" s="39" t="n">
        <f aca="false">IF(BD$4=0,0,IF(COUNTIFS(実績!$W$6:$W$505,BD$3,実績!$AI$6:$AI$505,"&lt;="&amp;$A266,実績!$AJ$6:$AJ$505,"&gt;"&amp;$A266,実績!$AK$6:$AK$505,"○")&gt;0,1,0))</f>
        <v>0</v>
      </c>
      <c r="BE266" s="39" t="n">
        <f aca="false">IF(BE$4=0,0,IF(COUNTIFS(実績!$W$6:$W$505,BE$3,実績!$AI$6:$AI$505,"&lt;="&amp;$A266,実績!$AJ$6:$AJ$505,"&gt;"&amp;$A266,実績!$AK$6:$AK$505,"○")&gt;0,1,0))</f>
        <v>0</v>
      </c>
      <c r="BF266" s="39" t="n">
        <f aca="false">IF(BF$4=0,0,IF(COUNTIFS(実績!$W$6:$W$505,BF$3,実績!$AI$6:$AI$505,"&lt;="&amp;$A266,実績!$AJ$6:$AJ$505,"&gt;"&amp;$A266,実績!$AK$6:$AK$505,"○")&gt;0,1,0))</f>
        <v>0</v>
      </c>
      <c r="BG266" s="39" t="n">
        <f aca="false">IF(BG$4=0,0,IF(COUNTIFS(実績!$W$6:$W$505,BG$3,実績!$AI$6:$AI$505,"&lt;="&amp;$A266,実績!$AJ$6:$AJ$505,"&gt;"&amp;$A266,実績!$AK$6:$AK$505,"○")&gt;0,1,0))</f>
        <v>0</v>
      </c>
      <c r="BH266" s="39" t="n">
        <f aca="false">IF(BH$4=0,0,IF(COUNTIFS(実績!$W$6:$W$505,BH$3,実績!$AI$6:$AI$505,"&lt;="&amp;$A266,実績!$AJ$6:$AJ$505,"&gt;"&amp;$A266,実績!$AK$6:$AK$505,"○")&gt;0,1,0))</f>
        <v>0</v>
      </c>
      <c r="BI266" s="39" t="n">
        <f aca="false">IF(BI$4=0,0,IF(COUNTIFS(実績!$W$6:$W$505,BI$3,実績!$AI$6:$AI$505,"&lt;="&amp;$A266,実績!$AJ$6:$AJ$505,"&gt;"&amp;$A266,実績!$AK$6:$AK$505,"○")&gt;0,1,0))</f>
        <v>0</v>
      </c>
      <c r="BJ266" s="39" t="n">
        <f aca="false">IF(BJ$4=0,0,IF(COUNTIFS(実績!$W$6:$W$505,BJ$3,実績!$AI$6:$AI$505,"&lt;="&amp;$A266,実績!$AJ$6:$AJ$505,"&gt;"&amp;$A266,実績!$AK$6:$AK$505,"○")&gt;0,1,0))</f>
        <v>0</v>
      </c>
      <c r="BK266" s="39" t="n">
        <f aca="false">IF(BK$4=0,0,IF(COUNTIFS(実績!$W$6:$W$505,BK$3,実績!$AI$6:$AI$505,"&lt;="&amp;$A266,実績!$AJ$6:$AJ$505,"&gt;"&amp;$A266,実績!$AK$6:$AK$505,"○")&gt;0,1,0))</f>
        <v>0</v>
      </c>
      <c r="BL266" s="39" t="n">
        <f aca="false">IF(BL$4=0,0,IF(COUNTIFS(実績!$W$6:$W$505,BL$3,実績!$AI$6:$AI$505,"&lt;="&amp;$A266,実績!$AJ$6:$AJ$505,"&gt;"&amp;$A266,実績!$AK$6:$AK$505,"○")&gt;0,1,0))</f>
        <v>0</v>
      </c>
      <c r="BM266" s="39" t="n">
        <f aca="false">IF(BM$4=0,0,IF(COUNTIFS(実績!$W$6:$W$505,BM$3,実績!$AI$6:$AI$505,"&lt;="&amp;$A266,実績!$AJ$6:$AJ$505,"&gt;"&amp;$A266,実績!$AK$6:$AK$505,"○")&gt;0,1,0))</f>
        <v>0</v>
      </c>
      <c r="BN266" s="39" t="n">
        <f aca="false">IF(BN$4=0,0,IF(COUNTIFS(実績!$W$6:$W$505,BN$3,実績!$AI$6:$AI$505,"&lt;="&amp;$A266,実績!$AJ$6:$AJ$505,"&gt;"&amp;$A266,実績!$AK$6:$AK$505,"○")&gt;0,1,0))</f>
        <v>0</v>
      </c>
      <c r="BO266" s="39" t="n">
        <f aca="false">IF(BO$4=0,0,IF(COUNTIFS(実績!$W$6:$W$505,BO$3,実績!$AI$6:$AI$505,"&lt;="&amp;$A266,実績!$AJ$6:$AJ$505,"&gt;"&amp;$A266,実績!$AK$6:$AK$505,"○")&gt;0,1,0))</f>
        <v>0</v>
      </c>
      <c r="BP266" s="39" t="n">
        <f aca="false">IF(BP$4=0,0,IF(COUNTIFS(実績!$W$6:$W$505,BP$3,実績!$AI$6:$AI$505,"&lt;="&amp;$A266,実績!$AJ$6:$AJ$505,"&gt;"&amp;$A266,実績!$AK$6:$AK$505,"○")&gt;0,1,0))</f>
        <v>0</v>
      </c>
      <c r="BQ266" s="39" t="n">
        <f aca="false">IF(BQ$4=0,0,IF(COUNTIFS(実績!$W$6:$W$505,BQ$3,実績!$AI$6:$AI$505,"&lt;="&amp;$A266,実績!$AJ$6:$AJ$505,"&gt;"&amp;$A266,実績!$AK$6:$AK$505,"○")&gt;0,1,0))</f>
        <v>0</v>
      </c>
      <c r="BR266" s="39" t="n">
        <f aca="false">IF(BR$4=0,0,IF(COUNTIFS(実績!$W$6:$W$505,BR$3,実績!$AI$6:$AI$505,"&lt;="&amp;$A266,実績!$AJ$6:$AJ$505,"&gt;"&amp;$A266,実績!$AK$6:$AK$505,"○")&gt;0,1,0))</f>
        <v>0</v>
      </c>
      <c r="BS266" s="39" t="n">
        <f aca="false">IF(BS$4=0,0,IF(COUNTIFS(実績!$W$6:$W$505,BS$3,実績!$AI$6:$AI$505,"&lt;="&amp;$A266,実績!$AJ$6:$AJ$505,"&gt;"&amp;$A266,実績!$AK$6:$AK$505,"○")&gt;0,1,0))</f>
        <v>0</v>
      </c>
      <c r="BT266" s="39" t="n">
        <f aca="false">IF(BT$4=0,0,IF(COUNTIFS(実績!$W$6:$W$505,BT$3,実績!$AI$6:$AI$505,"&lt;="&amp;$A266,実績!$AJ$6:$AJ$505,"&gt;"&amp;$A266,実績!$AK$6:$AK$505,"○")&gt;0,1,0))</f>
        <v>0</v>
      </c>
      <c r="BU266" s="39" t="n">
        <f aca="false">IF(BU$4=0,0,IF(COUNTIFS(実績!$W$6:$W$505,BU$3,実績!$AI$6:$AI$505,"&lt;="&amp;$A266,実績!$AJ$6:$AJ$505,"&gt;"&amp;$A266,実績!$AK$6:$AK$505,"○")&gt;0,1,0))</f>
        <v>0</v>
      </c>
      <c r="BV266" s="39" t="n">
        <f aca="false">IF(BV$4=0,0,IF(COUNTIFS(実績!$W$6:$W$505,BV$3,実績!$AI$6:$AI$505,"&lt;="&amp;$A266,実績!$AJ$6:$AJ$505,"&gt;"&amp;$A266,実績!$AK$6:$AK$505,"○")&gt;0,1,0))</f>
        <v>0</v>
      </c>
      <c r="BW266" s="39" t="n">
        <f aca="false">IF(BW$4=0,0,IF(COUNTIFS(実績!$W$6:$W$505,BW$3,実績!$AI$6:$AI$505,"&lt;="&amp;$A266,実績!$AJ$6:$AJ$505,"&gt;"&amp;$A266,実績!$AK$6:$AK$505,"○")&gt;0,1,0))</f>
        <v>0</v>
      </c>
      <c r="BX266" s="39" t="n">
        <f aca="false">IF(BX$4=0,0,IF(COUNTIFS(実績!$W$6:$W$505,BX$3,実績!$AI$6:$AI$505,"&lt;="&amp;$A266,実績!$AJ$6:$AJ$505,"&gt;"&amp;$A266,実績!$AK$6:$AK$505,"○")&gt;0,1,0))</f>
        <v>0</v>
      </c>
      <c r="BY266" s="39" t="n">
        <f aca="false">IF(BY$4=0,0,IF(COUNTIFS(実績!$W$6:$W$505,BY$3,実績!$AI$6:$AI$505,"&lt;="&amp;$A266,実績!$AJ$6:$AJ$505,"&gt;"&amp;$A266,実績!$AK$6:$AK$505,"○")&gt;0,1,0))</f>
        <v>0</v>
      </c>
      <c r="BZ266" s="39" t="n">
        <f aca="false">IF(BZ$4=0,0,IF(COUNTIFS(実績!$W$6:$W$505,BZ$3,実績!$AI$6:$AI$505,"&lt;="&amp;$A266,実績!$AJ$6:$AJ$505,"&gt;"&amp;$A266,実績!$AK$6:$AK$505,"○")&gt;0,1,0))</f>
        <v>0</v>
      </c>
      <c r="CA266" s="39" t="n">
        <f aca="false">IF(CA$4=0,0,IF(COUNTIFS(実績!$W$6:$W$505,CA$3,実績!$AI$6:$AI$505,"&lt;="&amp;$A266,実績!$AJ$6:$AJ$505,"&gt;"&amp;$A266,実績!$AK$6:$AK$505,"○")&gt;0,1,0))</f>
        <v>0</v>
      </c>
      <c r="CB266" s="39" t="n">
        <f aca="false">IF(CB$4=0,0,IF(COUNTIFS(実績!$W$6:$W$505,CB$3,実績!$AI$6:$AI$505,"&lt;="&amp;$A266,実績!$AJ$6:$AJ$505,"&gt;"&amp;$A266,実績!$AK$6:$AK$505,"○")&gt;0,1,0))</f>
        <v>0</v>
      </c>
      <c r="CC266" s="39" t="n">
        <f aca="false">IF(CC$4=0,0,IF(COUNTIFS(実績!$W$6:$W$505,CC$3,実績!$AI$6:$AI$505,"&lt;="&amp;$A266,実績!$AJ$6:$AJ$505,"&gt;"&amp;$A266,実績!$AK$6:$AK$505,"○")&gt;0,1,0))</f>
        <v>0</v>
      </c>
      <c r="CD266" s="39" t="n">
        <f aca="false">IF(CD$4=0,0,IF(COUNTIFS(実績!$W$6:$W$505,CD$3,実績!$AI$6:$AI$505,"&lt;="&amp;$A266,実績!$AJ$6:$AJ$505,"&gt;"&amp;$A266,実績!$AK$6:$AK$505,"○")&gt;0,1,0))</f>
        <v>0</v>
      </c>
      <c r="CE266" s="39" t="n">
        <f aca="false">IF(CE$4=0,0,IF(COUNTIFS(実績!$W$6:$W$505,CE$3,実績!$AI$6:$AI$505,"&lt;="&amp;$A266,実績!$AJ$6:$AJ$505,"&gt;"&amp;$A266,実績!$AK$6:$AK$505,"○")&gt;0,1,0))</f>
        <v>0</v>
      </c>
      <c r="CF266" s="39" t="n">
        <f aca="false">IF(CF$4=0,0,IF(COUNTIFS(実績!$W$6:$W$505,CF$3,実績!$AI$6:$AI$505,"&lt;="&amp;$A266,実績!$AJ$6:$AJ$505,"&gt;"&amp;$A266,実績!$AK$6:$AK$505,"○")&gt;0,1,0))</f>
        <v>0</v>
      </c>
      <c r="CG266" s="39" t="n">
        <f aca="false">IF(CG$4=0,0,IF(COUNTIFS(実績!$W$6:$W$505,CG$3,実績!$AI$6:$AI$505,"&lt;="&amp;$A266,実績!$AJ$6:$AJ$505,"&gt;"&amp;$A266,実績!$AK$6:$AK$505,"○")&gt;0,1,0))</f>
        <v>0</v>
      </c>
      <c r="CH266" s="39" t="n">
        <f aca="false">IF(CH$4=0,0,IF(COUNTIFS(実績!$W$6:$W$505,CH$3,実績!$AI$6:$AI$505,"&lt;="&amp;$A266,実績!$AJ$6:$AJ$505,"&gt;"&amp;$A266,実績!$AK$6:$AK$505,"○")&gt;0,1,0))</f>
        <v>0</v>
      </c>
      <c r="CI266" s="39" t="n">
        <f aca="false">IF(CI$4=0,0,IF(COUNTIFS(実績!$W$6:$W$505,CI$3,実績!$AI$6:$AI$505,"&lt;="&amp;$A266,実績!$AJ$6:$AJ$505,"&gt;"&amp;$A266,実績!$AK$6:$AK$505,"○")&gt;0,1,0))</f>
        <v>0</v>
      </c>
      <c r="CJ266" s="39" t="n">
        <f aca="false">IF(CJ$4=0,0,IF(COUNTIFS(実績!$W$6:$W$505,CJ$3,実績!$AI$6:$AI$505,"&lt;="&amp;$A266,実績!$AJ$6:$AJ$505,"&gt;"&amp;$A266,実績!$AK$6:$AK$505,"○")&gt;0,1,0))</f>
        <v>0</v>
      </c>
      <c r="CK266" s="39" t="n">
        <f aca="false">IF(CK$4=0,0,IF(COUNTIFS(実績!$W$6:$W$505,CK$3,実績!$AI$6:$AI$505,"&lt;="&amp;$A266,実績!$AJ$6:$AJ$505,"&gt;"&amp;$A266,実績!$AK$6:$AK$505,"○")&gt;0,1,0))</f>
        <v>0</v>
      </c>
      <c r="CL266" s="39" t="n">
        <f aca="false">IF(CL$4=0,0,IF(COUNTIFS(実績!$W$6:$W$505,CL$3,実績!$AI$6:$AI$505,"&lt;="&amp;$A266,実績!$AJ$6:$AJ$505,"&gt;"&amp;$A266,実績!$AK$6:$AK$505,"○")&gt;0,1,0))</f>
        <v>0</v>
      </c>
      <c r="CM266" s="39" t="n">
        <f aca="false">IF(CM$4=0,0,IF(COUNTIFS(実績!$W$6:$W$505,CM$3,実績!$AI$6:$AI$505,"&lt;="&amp;$A266,実績!$AJ$6:$AJ$505,"&gt;"&amp;$A266,実績!$AK$6:$AK$505,"○")&gt;0,1,0))</f>
        <v>0</v>
      </c>
      <c r="CN266" s="39" t="n">
        <f aca="false">IF(CN$4=0,0,IF(COUNTIFS(実績!$W$6:$W$505,CN$3,実績!$AI$6:$AI$505,"&lt;="&amp;$A266,実績!$AJ$6:$AJ$505,"&gt;"&amp;$A266,実績!$AK$6:$AK$505,"○")&gt;0,1,0))</f>
        <v>0</v>
      </c>
      <c r="CO266" s="39" t="n">
        <f aca="false">IF(CO$4=0,0,IF(COUNTIFS(実績!$W$6:$W$505,CO$3,実績!$AI$6:$AI$505,"&lt;="&amp;$A266,実績!$AJ$6:$AJ$505,"&gt;"&amp;$A266,実績!$AK$6:$AK$505,"○")&gt;0,1,0))</f>
        <v>0</v>
      </c>
      <c r="CP266" s="39" t="n">
        <f aca="false">IF(CP$4=0,0,IF(COUNTIFS(実績!$W$6:$W$505,CP$3,実績!$AI$6:$AI$505,"&lt;="&amp;$A266,実績!$AJ$6:$AJ$505,"&gt;"&amp;$A266,実績!$AK$6:$AK$505,"○")&gt;0,1,0))</f>
        <v>0</v>
      </c>
      <c r="CQ266" s="39" t="n">
        <f aca="false">IF(CQ$4=0,0,IF(COUNTIFS(実績!$W$6:$W$505,CQ$3,実績!$AI$6:$AI$505,"&lt;="&amp;$A266,実績!$AJ$6:$AJ$505,"&gt;"&amp;$A266,実績!$AK$6:$AK$505,"○")&gt;0,1,0))</f>
        <v>0</v>
      </c>
      <c r="CR266" s="39" t="n">
        <f aca="false">IF(CR$4=0,0,IF(COUNTIFS(実績!$W$6:$W$505,CR$3,実績!$AI$6:$AI$505,"&lt;="&amp;$A266,実績!$AJ$6:$AJ$505,"&gt;"&amp;$A266,実績!$AK$6:$AK$505,"○")&gt;0,1,0))</f>
        <v>0</v>
      </c>
      <c r="CS266" s="39" t="n">
        <f aca="false">IF(CS$4=0,0,IF(COUNTIFS(実績!$W$6:$W$505,CS$3,実績!$AI$6:$AI$505,"&lt;="&amp;$A266,実績!$AJ$6:$AJ$505,"&gt;"&amp;$A266,実績!$AK$6:$AK$505,"○")&gt;0,1,0))</f>
        <v>0</v>
      </c>
      <c r="CT266" s="39" t="n">
        <f aca="false">IF(CT$4=0,0,IF(COUNTIFS(実績!$W$6:$W$505,CT$3,実績!$AI$6:$AI$505,"&lt;="&amp;$A266,実績!$AJ$6:$AJ$505,"&gt;"&amp;$A266,実績!$AK$6:$AK$505,"○")&gt;0,1,0))</f>
        <v>0</v>
      </c>
      <c r="CU266" s="39" t="n">
        <f aca="false">IF(CU$4=0,0,IF(COUNTIFS(実績!$W$6:$W$505,CU$3,実績!$AI$6:$AI$505,"&lt;="&amp;$A266,実績!$AJ$6:$AJ$505,"&gt;"&amp;$A266,実績!$AK$6:$AK$505,"○")&gt;0,1,0))</f>
        <v>0</v>
      </c>
      <c r="CV266" s="39" t="n">
        <f aca="false">IF(CV$4=0,0,IF(COUNTIFS(実績!$W$6:$W$505,CV$3,実績!$AI$6:$AI$505,"&lt;="&amp;$A266,実績!$AJ$6:$AJ$505,"&gt;"&amp;$A266,実績!$AK$6:$AK$505,"○")&gt;0,1,0))</f>
        <v>0</v>
      </c>
      <c r="CW266" s="39" t="n">
        <f aca="false">IF(CW$4=0,0,IF(COUNTIFS(実績!$W$6:$W$505,CW$3,実績!$AI$6:$AI$505,"&lt;="&amp;$A266,実績!$AJ$6:$AJ$505,"&gt;"&amp;$A266,実績!$AK$6:$AK$505,"○")&gt;0,1,0))</f>
        <v>0</v>
      </c>
      <c r="CX266" s="39" t="n">
        <f aca="false">IF(CX$4=0,0,IF(COUNTIFS(実績!$W$6:$W$505,CX$3,実績!$AI$6:$AI$505,"&lt;="&amp;$A266,実績!$AJ$6:$AJ$505,"&gt;"&amp;$A266,実績!$AK$6:$AK$505,"○")&gt;0,1,0))</f>
        <v>0</v>
      </c>
      <c r="CY266" s="39" t="n">
        <f aca="false">IF(CY$4=0,0,IF(COUNTIFS(実績!$W$6:$W$505,CY$3,実績!$AI$6:$AI$505,"&lt;="&amp;$A266,実績!$AJ$6:$AJ$505,"&gt;"&amp;$A266,実績!$AK$6:$AK$505,"○")&gt;0,1,0))</f>
        <v>0</v>
      </c>
      <c r="CZ266" s="39" t="n">
        <f aca="false">IF(CZ$4=0,0,IF(COUNTIFS(実績!$W$6:$W$505,CZ$3,実績!$AI$6:$AI$505,"&lt;="&amp;$A266,実績!$AJ$6:$AJ$505,"&gt;"&amp;$A266,実績!$AK$6:$AK$505,"○")&gt;0,1,0))</f>
        <v>0</v>
      </c>
      <c r="DA266" s="39" t="n">
        <f aca="false">IF(DA$4=0,0,IF(COUNTIFS(実績!$W$6:$W$505,DA$3,実績!$AI$6:$AI$505,"&lt;="&amp;$A266,実績!$AJ$6:$AJ$505,"&gt;"&amp;$A266,実績!$AK$6:$AK$505,"○")&gt;0,1,0))</f>
        <v>0</v>
      </c>
      <c r="DB266" s="39" t="n">
        <f aca="false">IF(DB$4=0,0,IF(COUNTIFS(実績!$W$6:$W$505,DB$3,実績!$AI$6:$AI$505,"&lt;="&amp;$A266,実績!$AJ$6:$AJ$505,"&gt;"&amp;$A266,実績!$AK$6:$AK$505,"○")&gt;0,1,0))</f>
        <v>0</v>
      </c>
      <c r="DC266" s="39" t="n">
        <f aca="false">IF(DC$4=0,0,IF(COUNTIFS(実績!$W$6:$W$505,DC$3,実績!$AI$6:$AI$505,"&lt;="&amp;$A266,実績!$AJ$6:$AJ$505,"&gt;"&amp;$A266,実績!$AK$6:$AK$505,"○")&gt;0,1,0))</f>
        <v>0</v>
      </c>
      <c r="DD266" s="39" t="n">
        <f aca="false">IF(DD$4=0,0,IF(COUNTIFS(実績!$W$6:$W$505,DD$3,実績!$AI$6:$AI$505,"&lt;="&amp;$A266,実績!$AJ$6:$AJ$505,"&gt;"&amp;$A266,実績!$AK$6:$AK$505,"○")&gt;0,1,0))</f>
        <v>0</v>
      </c>
      <c r="DE266" s="39" t="n">
        <f aca="false">IF(DE$4=0,0,IF(COUNTIFS(実績!$W$6:$W$505,DE$3,実績!$AI$6:$AI$505,"&lt;="&amp;$A266,実績!$AJ$6:$AJ$505,"&gt;"&amp;$A266,実績!$AK$6:$AK$505,"○")&gt;0,1,0))</f>
        <v>0</v>
      </c>
      <c r="DF266" s="39" t="n">
        <f aca="false">IF(DF$4=0,0,IF(COUNTIFS(実績!$W$6:$W$505,DF$3,実績!$AI$6:$AI$505,"&lt;="&amp;$A266,実績!$AJ$6:$AJ$505,"&gt;"&amp;$A266,実績!$AK$6:$AK$505,"○")&gt;0,1,0))</f>
        <v>0</v>
      </c>
      <c r="DG266" s="39" t="n">
        <f aca="false">IF(DG$4=0,0,IF(COUNTIFS(実績!$W$6:$W$505,DG$3,実績!$AI$6:$AI$505,"&lt;="&amp;$A266,実績!$AJ$6:$AJ$505,"&gt;"&amp;$A266,実績!$AK$6:$AK$505,"○")&gt;0,1,0))</f>
        <v>0</v>
      </c>
      <c r="DH266" s="39" t="n">
        <f aca="false">IF(DH$4=0,0,IF(COUNTIFS(実績!$W$6:$W$505,DH$3,実績!$AI$6:$AI$505,"&lt;="&amp;$A266,実績!$AJ$6:$AJ$505,"&gt;"&amp;$A266,実績!$AK$6:$AK$505,"○")&gt;0,1,0))</f>
        <v>0</v>
      </c>
      <c r="DI266" s="39" t="n">
        <f aca="false">IF(DI$4=0,0,IF(COUNTIFS(実績!$W$6:$W$505,DI$3,実績!$AI$6:$AI$505,"&lt;="&amp;$A266,実績!$AJ$6:$AJ$505,"&gt;"&amp;$A266,実績!$AK$6:$AK$505,"○")&gt;0,1,0))</f>
        <v>0</v>
      </c>
      <c r="DJ266" s="39" t="n">
        <f aca="false">IF(DJ$4=0,0,IF(COUNTIFS(実績!$W$6:$W$505,DJ$3,実績!$AI$6:$AI$505,"&lt;="&amp;$A266,実績!$AJ$6:$AJ$505,"&gt;"&amp;$A266,実績!$AK$6:$AK$505,"○")&gt;0,1,0))</f>
        <v>0</v>
      </c>
      <c r="DK266" s="39" t="n">
        <f aca="false">IF(DK$4=0,0,IF(COUNTIFS(実績!$W$6:$W$505,DK$3,実績!$AI$6:$AI$505,"&lt;="&amp;$A266,実績!$AJ$6:$AJ$505,"&gt;"&amp;$A266,実績!$AK$6:$AK$505,"○")&gt;0,1,0))</f>
        <v>0</v>
      </c>
      <c r="DL266" s="39" t="n">
        <f aca="false">IF(DL$4=0,0,IF(COUNTIFS(実績!$W$6:$W$505,DL$3,実績!$AI$6:$AI$505,"&lt;="&amp;$A266,実績!$AJ$6:$AJ$505,"&gt;"&amp;$A266,実績!$AK$6:$AK$505,"○")&gt;0,1,0))</f>
        <v>0</v>
      </c>
      <c r="DM266" s="39" t="n">
        <f aca="false">IF(DM$4=0,0,IF(COUNTIFS(実績!$W$6:$W$505,DM$3,実績!$AI$6:$AI$505,"&lt;="&amp;$A266,実績!$AJ$6:$AJ$505,"&gt;"&amp;$A266,実績!$AK$6:$AK$505,"○")&gt;0,1,0))</f>
        <v>0</v>
      </c>
      <c r="DN266" s="39" t="n">
        <f aca="false">IF(DN$4=0,0,IF(COUNTIFS(実績!$W$6:$W$505,DN$3,実績!$AI$6:$AI$505,"&lt;="&amp;$A266,実績!$AJ$6:$AJ$505,"&gt;"&amp;$A266,実績!$AK$6:$AK$505,"○")&gt;0,1,0))</f>
        <v>0</v>
      </c>
      <c r="DO266" s="39" t="n">
        <f aca="false">IF(DO$4=0,0,IF(COUNTIFS(実績!$W$6:$W$505,DO$3,実績!$AI$6:$AI$505,"&lt;="&amp;$A266,実績!$AJ$6:$AJ$505,"&gt;"&amp;$A266,実績!$AK$6:$AK$505,"○")&gt;0,1,0))</f>
        <v>0</v>
      </c>
      <c r="DP266" s="39" t="n">
        <f aca="false">IF(DP$4=0,0,IF(COUNTIFS(実績!$W$6:$W$505,DP$3,実績!$AI$6:$AI$505,"&lt;="&amp;$A266,実績!$AJ$6:$AJ$505,"&gt;"&amp;$A266,実績!$AK$6:$AK$505,"○")&gt;0,1,0))</f>
        <v>0</v>
      </c>
      <c r="DQ266" s="39" t="n">
        <f aca="false">IF(DQ$4=0,0,IF(COUNTIFS(実績!$W$6:$W$505,DQ$3,実績!$AI$6:$AI$505,"&lt;="&amp;$A266,実績!$AJ$6:$AJ$505,"&gt;"&amp;$A266,実績!$AK$6:$AK$505,"○")&gt;0,1,0))</f>
        <v>0</v>
      </c>
      <c r="DR266" s="39" t="n">
        <f aca="false">IF(DR$4=0,0,IF(COUNTIFS(実績!$W$6:$W$505,DR$3,実績!$AI$6:$AI$505,"&lt;="&amp;$A266,実績!$AJ$6:$AJ$505,"&gt;"&amp;$A266,実績!$AK$6:$AK$505,"○")&gt;0,1,0))</f>
        <v>0</v>
      </c>
      <c r="DS266" s="39" t="n">
        <f aca="false">SUM(C266:DR266)</f>
        <v>0</v>
      </c>
      <c r="DT266" s="39" t="n">
        <f aca="false">SUMPRODUCT((実績!$C$6:$C$505="○")*ISNUMBER(実績!$AM$6:$AM$505)*(実績!$AM$6:$AM$505&lt;=$A266)*(実績!$AN$6:$AN$505&gt;$A266))</f>
        <v>0</v>
      </c>
      <c r="DU266" s="39" t="n">
        <f aca="false">SUMIF($C$2:$DR$2,"製鉄曳船",C266:DR266)</f>
        <v>0</v>
      </c>
      <c r="DV266" s="39" t="n">
        <f aca="false">SUMIF($C$2:$DR$2,"西日本海運",C266:DR266)</f>
        <v>0</v>
      </c>
    </row>
    <row r="267" customFormat="false" ht="15" hidden="false" customHeight="false" outlineLevel="0" collapsed="false">
      <c r="A267" s="0" t="n">
        <v>1305</v>
      </c>
      <c r="B267" s="38" t="n">
        <f aca="false">A267/1440</f>
        <v>0.90625</v>
      </c>
      <c r="C267" s="39" t="n">
        <f aca="false">IF(C$4=0,0,IF(COUNTIFS(実績!$W$6:$W$505,C$3,実績!$AI$6:$AI$505,"&lt;="&amp;$A267,実績!$AJ$6:$AJ$505,"&gt;"&amp;$A267,実績!$AK$6:$AK$505,"○")&gt;0,1,0))</f>
        <v>0</v>
      </c>
      <c r="D267" s="39" t="n">
        <f aca="false">IF(D$4=0,0,IF(COUNTIFS(実績!$W$6:$W$505,D$3,実績!$AI$6:$AI$505,"&lt;="&amp;$A267,実績!$AJ$6:$AJ$505,"&gt;"&amp;$A267,実績!$AK$6:$AK$505,"○")&gt;0,1,0))</f>
        <v>0</v>
      </c>
      <c r="E267" s="39" t="n">
        <f aca="false">IF(E$4=0,0,IF(COUNTIFS(実績!$W$6:$W$505,E$3,実績!$AI$6:$AI$505,"&lt;="&amp;$A267,実績!$AJ$6:$AJ$505,"&gt;"&amp;$A267,実績!$AK$6:$AK$505,"○")&gt;0,1,0))</f>
        <v>0</v>
      </c>
      <c r="F267" s="39" t="n">
        <f aca="false">IF(F$4=0,0,IF(COUNTIFS(実績!$W$6:$W$505,F$3,実績!$AI$6:$AI$505,"&lt;="&amp;$A267,実績!$AJ$6:$AJ$505,"&gt;"&amp;$A267,実績!$AK$6:$AK$505,"○")&gt;0,1,0))</f>
        <v>0</v>
      </c>
      <c r="G267" s="39" t="n">
        <f aca="false">IF(G$4=0,0,IF(COUNTIFS(実績!$W$6:$W$505,G$3,実績!$AI$6:$AI$505,"&lt;="&amp;$A267,実績!$AJ$6:$AJ$505,"&gt;"&amp;$A267,実績!$AK$6:$AK$505,"○")&gt;0,1,0))</f>
        <v>0</v>
      </c>
      <c r="H267" s="39" t="n">
        <f aca="false">IF(H$4=0,0,IF(COUNTIFS(実績!$W$6:$W$505,H$3,実績!$AI$6:$AI$505,"&lt;="&amp;$A267,実績!$AJ$6:$AJ$505,"&gt;"&amp;$A267,実績!$AK$6:$AK$505,"○")&gt;0,1,0))</f>
        <v>0</v>
      </c>
      <c r="I267" s="39" t="n">
        <f aca="false">IF(I$4=0,0,IF(COUNTIFS(実績!$W$6:$W$505,I$3,実績!$AI$6:$AI$505,"&lt;="&amp;$A267,実績!$AJ$6:$AJ$505,"&gt;"&amp;$A267,実績!$AK$6:$AK$505,"○")&gt;0,1,0))</f>
        <v>0</v>
      </c>
      <c r="J267" s="39" t="n">
        <f aca="false">IF(J$4=0,0,IF(COUNTIFS(実績!$W$6:$W$505,J$3,実績!$AI$6:$AI$505,"&lt;="&amp;$A267,実績!$AJ$6:$AJ$505,"&gt;"&amp;$A267,実績!$AK$6:$AK$505,"○")&gt;0,1,0))</f>
        <v>0</v>
      </c>
      <c r="K267" s="39" t="n">
        <f aca="false">IF(K$4=0,0,IF(COUNTIFS(実績!$W$6:$W$505,K$3,実績!$AI$6:$AI$505,"&lt;="&amp;$A267,実績!$AJ$6:$AJ$505,"&gt;"&amp;$A267,実績!$AK$6:$AK$505,"○")&gt;0,1,0))</f>
        <v>0</v>
      </c>
      <c r="L267" s="39" t="n">
        <f aca="false">IF(L$4=0,0,IF(COUNTIFS(実績!$W$6:$W$505,L$3,実績!$AI$6:$AI$505,"&lt;="&amp;$A267,実績!$AJ$6:$AJ$505,"&gt;"&amp;$A267,実績!$AK$6:$AK$505,"○")&gt;0,1,0))</f>
        <v>0</v>
      </c>
      <c r="M267" s="39" t="n">
        <f aca="false">IF(M$4=0,0,IF(COUNTIFS(実績!$W$6:$W$505,M$3,実績!$AI$6:$AI$505,"&lt;="&amp;$A267,実績!$AJ$6:$AJ$505,"&gt;"&amp;$A267,実績!$AK$6:$AK$505,"○")&gt;0,1,0))</f>
        <v>0</v>
      </c>
      <c r="N267" s="39" t="n">
        <f aca="false">IF(N$4=0,0,IF(COUNTIFS(実績!$W$6:$W$505,N$3,実績!$AI$6:$AI$505,"&lt;="&amp;$A267,実績!$AJ$6:$AJ$505,"&gt;"&amp;$A267,実績!$AK$6:$AK$505,"○")&gt;0,1,0))</f>
        <v>0</v>
      </c>
      <c r="O267" s="39" t="n">
        <f aca="false">IF(O$4=0,0,IF(COUNTIFS(実績!$W$6:$W$505,O$3,実績!$AI$6:$AI$505,"&lt;="&amp;$A267,実績!$AJ$6:$AJ$505,"&gt;"&amp;$A267,実績!$AK$6:$AK$505,"○")&gt;0,1,0))</f>
        <v>0</v>
      </c>
      <c r="P267" s="39" t="n">
        <f aca="false">IF(P$4=0,0,IF(COUNTIFS(実績!$W$6:$W$505,P$3,実績!$AI$6:$AI$505,"&lt;="&amp;$A267,実績!$AJ$6:$AJ$505,"&gt;"&amp;$A267,実績!$AK$6:$AK$505,"○")&gt;0,1,0))</f>
        <v>0</v>
      </c>
      <c r="Q267" s="39" t="n">
        <f aca="false">IF(Q$4=0,0,IF(COUNTIFS(実績!$W$6:$W$505,Q$3,実績!$AI$6:$AI$505,"&lt;="&amp;$A267,実績!$AJ$6:$AJ$505,"&gt;"&amp;$A267,実績!$AK$6:$AK$505,"○")&gt;0,1,0))</f>
        <v>0</v>
      </c>
      <c r="R267" s="39" t="n">
        <f aca="false">IF(R$4=0,0,IF(COUNTIFS(実績!$W$6:$W$505,R$3,実績!$AI$6:$AI$505,"&lt;="&amp;$A267,実績!$AJ$6:$AJ$505,"&gt;"&amp;$A267,実績!$AK$6:$AK$505,"○")&gt;0,1,0))</f>
        <v>0</v>
      </c>
      <c r="S267" s="39" t="n">
        <f aca="false">IF(S$4=0,0,IF(COUNTIFS(実績!$W$6:$W$505,S$3,実績!$AI$6:$AI$505,"&lt;="&amp;$A267,実績!$AJ$6:$AJ$505,"&gt;"&amp;$A267,実績!$AK$6:$AK$505,"○")&gt;0,1,0))</f>
        <v>0</v>
      </c>
      <c r="T267" s="39" t="n">
        <f aca="false">IF(T$4=0,0,IF(COUNTIFS(実績!$W$6:$W$505,T$3,実績!$AI$6:$AI$505,"&lt;="&amp;$A267,実績!$AJ$6:$AJ$505,"&gt;"&amp;$A267,実績!$AK$6:$AK$505,"○")&gt;0,1,0))</f>
        <v>0</v>
      </c>
      <c r="U267" s="39" t="n">
        <f aca="false">IF(U$4=0,0,IF(COUNTIFS(実績!$W$6:$W$505,U$3,実績!$AI$6:$AI$505,"&lt;="&amp;$A267,実績!$AJ$6:$AJ$505,"&gt;"&amp;$A267,実績!$AK$6:$AK$505,"○")&gt;0,1,0))</f>
        <v>0</v>
      </c>
      <c r="V267" s="39" t="n">
        <f aca="false">IF(V$4=0,0,IF(COUNTIFS(実績!$W$6:$W$505,V$3,実績!$AI$6:$AI$505,"&lt;="&amp;$A267,実績!$AJ$6:$AJ$505,"&gt;"&amp;$A267,実績!$AK$6:$AK$505,"○")&gt;0,1,0))</f>
        <v>0</v>
      </c>
      <c r="W267" s="39" t="n">
        <f aca="false">IF(W$4=0,0,IF(COUNTIFS(実績!$W$6:$W$505,W$3,実績!$AI$6:$AI$505,"&lt;="&amp;$A267,実績!$AJ$6:$AJ$505,"&gt;"&amp;$A267,実績!$AK$6:$AK$505,"○")&gt;0,1,0))</f>
        <v>0</v>
      </c>
      <c r="X267" s="39" t="n">
        <f aca="false">IF(X$4=0,0,IF(COUNTIFS(実績!$W$6:$W$505,X$3,実績!$AI$6:$AI$505,"&lt;="&amp;$A267,実績!$AJ$6:$AJ$505,"&gt;"&amp;$A267,実績!$AK$6:$AK$505,"○")&gt;0,1,0))</f>
        <v>0</v>
      </c>
      <c r="Y267" s="39" t="n">
        <f aca="false">IF(Y$4=0,0,IF(COUNTIFS(実績!$W$6:$W$505,Y$3,実績!$AI$6:$AI$505,"&lt;="&amp;$A267,実績!$AJ$6:$AJ$505,"&gt;"&amp;$A267,実績!$AK$6:$AK$505,"○")&gt;0,1,0))</f>
        <v>0</v>
      </c>
      <c r="Z267" s="39" t="n">
        <f aca="false">IF(Z$4=0,0,IF(COUNTIFS(実績!$W$6:$W$505,Z$3,実績!$AI$6:$AI$505,"&lt;="&amp;$A267,実績!$AJ$6:$AJ$505,"&gt;"&amp;$A267,実績!$AK$6:$AK$505,"○")&gt;0,1,0))</f>
        <v>0</v>
      </c>
      <c r="AA267" s="39" t="n">
        <f aca="false">IF(AA$4=0,0,IF(COUNTIFS(実績!$W$6:$W$505,AA$3,実績!$AI$6:$AI$505,"&lt;="&amp;$A267,実績!$AJ$6:$AJ$505,"&gt;"&amp;$A267,実績!$AK$6:$AK$505,"○")&gt;0,1,0))</f>
        <v>0</v>
      </c>
      <c r="AB267" s="39" t="n">
        <f aca="false">IF(AB$4=0,0,IF(COUNTIFS(実績!$W$6:$W$505,AB$3,実績!$AI$6:$AI$505,"&lt;="&amp;$A267,実績!$AJ$6:$AJ$505,"&gt;"&amp;$A267,実績!$AK$6:$AK$505,"○")&gt;0,1,0))</f>
        <v>0</v>
      </c>
      <c r="AC267" s="39" t="n">
        <f aca="false">IF(AC$4=0,0,IF(COUNTIFS(実績!$W$6:$W$505,AC$3,実績!$AI$6:$AI$505,"&lt;="&amp;$A267,実績!$AJ$6:$AJ$505,"&gt;"&amp;$A267,実績!$AK$6:$AK$505,"○")&gt;0,1,0))</f>
        <v>0</v>
      </c>
      <c r="AD267" s="39" t="n">
        <f aca="false">IF(AD$4=0,0,IF(COUNTIFS(実績!$W$6:$W$505,AD$3,実績!$AI$6:$AI$505,"&lt;="&amp;$A267,実績!$AJ$6:$AJ$505,"&gt;"&amp;$A267,実績!$AK$6:$AK$505,"○")&gt;0,1,0))</f>
        <v>0</v>
      </c>
      <c r="AE267" s="39" t="n">
        <f aca="false">IF(AE$4=0,0,IF(COUNTIFS(実績!$W$6:$W$505,AE$3,実績!$AI$6:$AI$505,"&lt;="&amp;$A267,実績!$AJ$6:$AJ$505,"&gt;"&amp;$A267,実績!$AK$6:$AK$505,"○")&gt;0,1,0))</f>
        <v>0</v>
      </c>
      <c r="AF267" s="39" t="n">
        <f aca="false">IF(AF$4=0,0,IF(COUNTIFS(実績!$W$6:$W$505,AF$3,実績!$AI$6:$AI$505,"&lt;="&amp;$A267,実績!$AJ$6:$AJ$505,"&gt;"&amp;$A267,実績!$AK$6:$AK$505,"○")&gt;0,1,0))</f>
        <v>0</v>
      </c>
      <c r="AG267" s="39" t="n">
        <f aca="false">IF(AG$4=0,0,IF(COUNTIFS(実績!$W$6:$W$505,AG$3,実績!$AI$6:$AI$505,"&lt;="&amp;$A267,実績!$AJ$6:$AJ$505,"&gt;"&amp;$A267,実績!$AK$6:$AK$505,"○")&gt;0,1,0))</f>
        <v>0</v>
      </c>
      <c r="AH267" s="39" t="n">
        <f aca="false">IF(AH$4=0,0,IF(COUNTIFS(実績!$W$6:$W$505,AH$3,実績!$AI$6:$AI$505,"&lt;="&amp;$A267,実績!$AJ$6:$AJ$505,"&gt;"&amp;$A267,実績!$AK$6:$AK$505,"○")&gt;0,1,0))</f>
        <v>0</v>
      </c>
      <c r="AI267" s="39" t="n">
        <f aca="false">IF(AI$4=0,0,IF(COUNTIFS(実績!$W$6:$W$505,AI$3,実績!$AI$6:$AI$505,"&lt;="&amp;$A267,実績!$AJ$6:$AJ$505,"&gt;"&amp;$A267,実績!$AK$6:$AK$505,"○")&gt;0,1,0))</f>
        <v>0</v>
      </c>
      <c r="AJ267" s="39" t="n">
        <f aca="false">IF(AJ$4=0,0,IF(COUNTIFS(実績!$W$6:$W$505,AJ$3,実績!$AI$6:$AI$505,"&lt;="&amp;$A267,実績!$AJ$6:$AJ$505,"&gt;"&amp;$A267,実績!$AK$6:$AK$505,"○")&gt;0,1,0))</f>
        <v>0</v>
      </c>
      <c r="AK267" s="39" t="n">
        <f aca="false">IF(AK$4=0,0,IF(COUNTIFS(実績!$W$6:$W$505,AK$3,実績!$AI$6:$AI$505,"&lt;="&amp;$A267,実績!$AJ$6:$AJ$505,"&gt;"&amp;$A267,実績!$AK$6:$AK$505,"○")&gt;0,1,0))</f>
        <v>0</v>
      </c>
      <c r="AL267" s="39" t="n">
        <f aca="false">IF(AL$4=0,0,IF(COUNTIFS(実績!$W$6:$W$505,AL$3,実績!$AI$6:$AI$505,"&lt;="&amp;$A267,実績!$AJ$6:$AJ$505,"&gt;"&amp;$A267,実績!$AK$6:$AK$505,"○")&gt;0,1,0))</f>
        <v>0</v>
      </c>
      <c r="AM267" s="39" t="n">
        <f aca="false">IF(AM$4=0,0,IF(COUNTIFS(実績!$W$6:$W$505,AM$3,実績!$AI$6:$AI$505,"&lt;="&amp;$A267,実績!$AJ$6:$AJ$505,"&gt;"&amp;$A267,実績!$AK$6:$AK$505,"○")&gt;0,1,0))</f>
        <v>0</v>
      </c>
      <c r="AN267" s="39" t="n">
        <f aca="false">IF(AN$4=0,0,IF(COUNTIFS(実績!$W$6:$W$505,AN$3,実績!$AI$6:$AI$505,"&lt;="&amp;$A267,実績!$AJ$6:$AJ$505,"&gt;"&amp;$A267,実績!$AK$6:$AK$505,"○")&gt;0,1,0))</f>
        <v>0</v>
      </c>
      <c r="AO267" s="39" t="n">
        <f aca="false">IF(AO$4=0,0,IF(COUNTIFS(実績!$W$6:$W$505,AO$3,実績!$AI$6:$AI$505,"&lt;="&amp;$A267,実績!$AJ$6:$AJ$505,"&gt;"&amp;$A267,実績!$AK$6:$AK$505,"○")&gt;0,1,0))</f>
        <v>0</v>
      </c>
      <c r="AP267" s="39" t="n">
        <f aca="false">IF(AP$4=0,0,IF(COUNTIFS(実績!$W$6:$W$505,AP$3,実績!$AI$6:$AI$505,"&lt;="&amp;$A267,実績!$AJ$6:$AJ$505,"&gt;"&amp;$A267,実績!$AK$6:$AK$505,"○")&gt;0,1,0))</f>
        <v>0</v>
      </c>
      <c r="AQ267" s="39" t="n">
        <f aca="false">IF(AQ$4=0,0,IF(COUNTIFS(実績!$W$6:$W$505,AQ$3,実績!$AI$6:$AI$505,"&lt;="&amp;$A267,実績!$AJ$6:$AJ$505,"&gt;"&amp;$A267,実績!$AK$6:$AK$505,"○")&gt;0,1,0))</f>
        <v>0</v>
      </c>
      <c r="AR267" s="39" t="n">
        <f aca="false">IF(AR$4=0,0,IF(COUNTIFS(実績!$W$6:$W$505,AR$3,実績!$AI$6:$AI$505,"&lt;="&amp;$A267,実績!$AJ$6:$AJ$505,"&gt;"&amp;$A267,実績!$AK$6:$AK$505,"○")&gt;0,1,0))</f>
        <v>0</v>
      </c>
      <c r="AS267" s="39" t="n">
        <f aca="false">IF(AS$4=0,0,IF(COUNTIFS(実績!$W$6:$W$505,AS$3,実績!$AI$6:$AI$505,"&lt;="&amp;$A267,実績!$AJ$6:$AJ$505,"&gt;"&amp;$A267,実績!$AK$6:$AK$505,"○")&gt;0,1,0))</f>
        <v>0</v>
      </c>
      <c r="AT267" s="39" t="n">
        <f aca="false">IF(AT$4=0,0,IF(COUNTIFS(実績!$W$6:$W$505,AT$3,実績!$AI$6:$AI$505,"&lt;="&amp;$A267,実績!$AJ$6:$AJ$505,"&gt;"&amp;$A267,実績!$AK$6:$AK$505,"○")&gt;0,1,0))</f>
        <v>0</v>
      </c>
      <c r="AU267" s="39" t="n">
        <f aca="false">IF(AU$4=0,0,IF(COUNTIFS(実績!$W$6:$W$505,AU$3,実績!$AI$6:$AI$505,"&lt;="&amp;$A267,実績!$AJ$6:$AJ$505,"&gt;"&amp;$A267,実績!$AK$6:$AK$505,"○")&gt;0,1,0))</f>
        <v>0</v>
      </c>
      <c r="AV267" s="39" t="n">
        <f aca="false">IF(AV$4=0,0,IF(COUNTIFS(実績!$W$6:$W$505,AV$3,実績!$AI$6:$AI$505,"&lt;="&amp;$A267,実績!$AJ$6:$AJ$505,"&gt;"&amp;$A267,実績!$AK$6:$AK$505,"○")&gt;0,1,0))</f>
        <v>0</v>
      </c>
      <c r="AW267" s="39" t="n">
        <f aca="false">IF(AW$4=0,0,IF(COUNTIFS(実績!$W$6:$W$505,AW$3,実績!$AI$6:$AI$505,"&lt;="&amp;$A267,実績!$AJ$6:$AJ$505,"&gt;"&amp;$A267,実績!$AK$6:$AK$505,"○")&gt;0,1,0))</f>
        <v>0</v>
      </c>
      <c r="AX267" s="39" t="n">
        <f aca="false">IF(AX$4=0,0,IF(COUNTIFS(実績!$W$6:$W$505,AX$3,実績!$AI$6:$AI$505,"&lt;="&amp;$A267,実績!$AJ$6:$AJ$505,"&gt;"&amp;$A267,実績!$AK$6:$AK$505,"○")&gt;0,1,0))</f>
        <v>0</v>
      </c>
      <c r="AY267" s="39" t="n">
        <f aca="false">IF(AY$4=0,0,IF(COUNTIFS(実績!$W$6:$W$505,AY$3,実績!$AI$6:$AI$505,"&lt;="&amp;$A267,実績!$AJ$6:$AJ$505,"&gt;"&amp;$A267,実績!$AK$6:$AK$505,"○")&gt;0,1,0))</f>
        <v>0</v>
      </c>
      <c r="AZ267" s="39" t="n">
        <f aca="false">IF(AZ$4=0,0,IF(COUNTIFS(実績!$W$6:$W$505,AZ$3,実績!$AI$6:$AI$505,"&lt;="&amp;$A267,実績!$AJ$6:$AJ$505,"&gt;"&amp;$A267,実績!$AK$6:$AK$505,"○")&gt;0,1,0))</f>
        <v>0</v>
      </c>
      <c r="BA267" s="39" t="n">
        <f aca="false">IF(BA$4=0,0,IF(COUNTIFS(実績!$W$6:$W$505,BA$3,実績!$AI$6:$AI$505,"&lt;="&amp;$A267,実績!$AJ$6:$AJ$505,"&gt;"&amp;$A267,実績!$AK$6:$AK$505,"○")&gt;0,1,0))</f>
        <v>0</v>
      </c>
      <c r="BB267" s="39" t="n">
        <f aca="false">IF(BB$4=0,0,IF(COUNTIFS(実績!$W$6:$W$505,BB$3,実績!$AI$6:$AI$505,"&lt;="&amp;$A267,実績!$AJ$6:$AJ$505,"&gt;"&amp;$A267,実績!$AK$6:$AK$505,"○")&gt;0,1,0))</f>
        <v>0</v>
      </c>
      <c r="BC267" s="39" t="n">
        <f aca="false">IF(BC$4=0,0,IF(COUNTIFS(実績!$W$6:$W$505,BC$3,実績!$AI$6:$AI$505,"&lt;="&amp;$A267,実績!$AJ$6:$AJ$505,"&gt;"&amp;$A267,実績!$AK$6:$AK$505,"○")&gt;0,1,0))</f>
        <v>0</v>
      </c>
      <c r="BD267" s="39" t="n">
        <f aca="false">IF(BD$4=0,0,IF(COUNTIFS(実績!$W$6:$W$505,BD$3,実績!$AI$6:$AI$505,"&lt;="&amp;$A267,実績!$AJ$6:$AJ$505,"&gt;"&amp;$A267,実績!$AK$6:$AK$505,"○")&gt;0,1,0))</f>
        <v>0</v>
      </c>
      <c r="BE267" s="39" t="n">
        <f aca="false">IF(BE$4=0,0,IF(COUNTIFS(実績!$W$6:$W$505,BE$3,実績!$AI$6:$AI$505,"&lt;="&amp;$A267,実績!$AJ$6:$AJ$505,"&gt;"&amp;$A267,実績!$AK$6:$AK$505,"○")&gt;0,1,0))</f>
        <v>0</v>
      </c>
      <c r="BF267" s="39" t="n">
        <f aca="false">IF(BF$4=0,0,IF(COUNTIFS(実績!$W$6:$W$505,BF$3,実績!$AI$6:$AI$505,"&lt;="&amp;$A267,実績!$AJ$6:$AJ$505,"&gt;"&amp;$A267,実績!$AK$6:$AK$505,"○")&gt;0,1,0))</f>
        <v>0</v>
      </c>
      <c r="BG267" s="39" t="n">
        <f aca="false">IF(BG$4=0,0,IF(COUNTIFS(実績!$W$6:$W$505,BG$3,実績!$AI$6:$AI$505,"&lt;="&amp;$A267,実績!$AJ$6:$AJ$505,"&gt;"&amp;$A267,実績!$AK$6:$AK$505,"○")&gt;0,1,0))</f>
        <v>0</v>
      </c>
      <c r="BH267" s="39" t="n">
        <f aca="false">IF(BH$4=0,0,IF(COUNTIFS(実績!$W$6:$W$505,BH$3,実績!$AI$6:$AI$505,"&lt;="&amp;$A267,実績!$AJ$6:$AJ$505,"&gt;"&amp;$A267,実績!$AK$6:$AK$505,"○")&gt;0,1,0))</f>
        <v>0</v>
      </c>
      <c r="BI267" s="39" t="n">
        <f aca="false">IF(BI$4=0,0,IF(COUNTIFS(実績!$W$6:$W$505,BI$3,実績!$AI$6:$AI$505,"&lt;="&amp;$A267,実績!$AJ$6:$AJ$505,"&gt;"&amp;$A267,実績!$AK$6:$AK$505,"○")&gt;0,1,0))</f>
        <v>0</v>
      </c>
      <c r="BJ267" s="39" t="n">
        <f aca="false">IF(BJ$4=0,0,IF(COUNTIFS(実績!$W$6:$W$505,BJ$3,実績!$AI$6:$AI$505,"&lt;="&amp;$A267,実績!$AJ$6:$AJ$505,"&gt;"&amp;$A267,実績!$AK$6:$AK$505,"○")&gt;0,1,0))</f>
        <v>0</v>
      </c>
      <c r="BK267" s="39" t="n">
        <f aca="false">IF(BK$4=0,0,IF(COUNTIFS(実績!$W$6:$W$505,BK$3,実績!$AI$6:$AI$505,"&lt;="&amp;$A267,実績!$AJ$6:$AJ$505,"&gt;"&amp;$A267,実績!$AK$6:$AK$505,"○")&gt;0,1,0))</f>
        <v>0</v>
      </c>
      <c r="BL267" s="39" t="n">
        <f aca="false">IF(BL$4=0,0,IF(COUNTIFS(実績!$W$6:$W$505,BL$3,実績!$AI$6:$AI$505,"&lt;="&amp;$A267,実績!$AJ$6:$AJ$505,"&gt;"&amp;$A267,実績!$AK$6:$AK$505,"○")&gt;0,1,0))</f>
        <v>0</v>
      </c>
      <c r="BM267" s="39" t="n">
        <f aca="false">IF(BM$4=0,0,IF(COUNTIFS(実績!$W$6:$W$505,BM$3,実績!$AI$6:$AI$505,"&lt;="&amp;$A267,実績!$AJ$6:$AJ$505,"&gt;"&amp;$A267,実績!$AK$6:$AK$505,"○")&gt;0,1,0))</f>
        <v>0</v>
      </c>
      <c r="BN267" s="39" t="n">
        <f aca="false">IF(BN$4=0,0,IF(COUNTIFS(実績!$W$6:$W$505,BN$3,実績!$AI$6:$AI$505,"&lt;="&amp;$A267,実績!$AJ$6:$AJ$505,"&gt;"&amp;$A267,実績!$AK$6:$AK$505,"○")&gt;0,1,0))</f>
        <v>0</v>
      </c>
      <c r="BO267" s="39" t="n">
        <f aca="false">IF(BO$4=0,0,IF(COUNTIFS(実績!$W$6:$W$505,BO$3,実績!$AI$6:$AI$505,"&lt;="&amp;$A267,実績!$AJ$6:$AJ$505,"&gt;"&amp;$A267,実績!$AK$6:$AK$505,"○")&gt;0,1,0))</f>
        <v>0</v>
      </c>
      <c r="BP267" s="39" t="n">
        <f aca="false">IF(BP$4=0,0,IF(COUNTIFS(実績!$W$6:$W$505,BP$3,実績!$AI$6:$AI$505,"&lt;="&amp;$A267,実績!$AJ$6:$AJ$505,"&gt;"&amp;$A267,実績!$AK$6:$AK$505,"○")&gt;0,1,0))</f>
        <v>0</v>
      </c>
      <c r="BQ267" s="39" t="n">
        <f aca="false">IF(BQ$4=0,0,IF(COUNTIFS(実績!$W$6:$W$505,BQ$3,実績!$AI$6:$AI$505,"&lt;="&amp;$A267,実績!$AJ$6:$AJ$505,"&gt;"&amp;$A267,実績!$AK$6:$AK$505,"○")&gt;0,1,0))</f>
        <v>0</v>
      </c>
      <c r="BR267" s="39" t="n">
        <f aca="false">IF(BR$4=0,0,IF(COUNTIFS(実績!$W$6:$W$505,BR$3,実績!$AI$6:$AI$505,"&lt;="&amp;$A267,実績!$AJ$6:$AJ$505,"&gt;"&amp;$A267,実績!$AK$6:$AK$505,"○")&gt;0,1,0))</f>
        <v>0</v>
      </c>
      <c r="BS267" s="39" t="n">
        <f aca="false">IF(BS$4=0,0,IF(COUNTIFS(実績!$W$6:$W$505,BS$3,実績!$AI$6:$AI$505,"&lt;="&amp;$A267,実績!$AJ$6:$AJ$505,"&gt;"&amp;$A267,実績!$AK$6:$AK$505,"○")&gt;0,1,0))</f>
        <v>0</v>
      </c>
      <c r="BT267" s="39" t="n">
        <f aca="false">IF(BT$4=0,0,IF(COUNTIFS(実績!$W$6:$W$505,BT$3,実績!$AI$6:$AI$505,"&lt;="&amp;$A267,実績!$AJ$6:$AJ$505,"&gt;"&amp;$A267,実績!$AK$6:$AK$505,"○")&gt;0,1,0))</f>
        <v>0</v>
      </c>
      <c r="BU267" s="39" t="n">
        <f aca="false">IF(BU$4=0,0,IF(COUNTIFS(実績!$W$6:$W$505,BU$3,実績!$AI$6:$AI$505,"&lt;="&amp;$A267,実績!$AJ$6:$AJ$505,"&gt;"&amp;$A267,実績!$AK$6:$AK$505,"○")&gt;0,1,0))</f>
        <v>0</v>
      </c>
      <c r="BV267" s="39" t="n">
        <f aca="false">IF(BV$4=0,0,IF(COUNTIFS(実績!$W$6:$W$505,BV$3,実績!$AI$6:$AI$505,"&lt;="&amp;$A267,実績!$AJ$6:$AJ$505,"&gt;"&amp;$A267,実績!$AK$6:$AK$505,"○")&gt;0,1,0))</f>
        <v>0</v>
      </c>
      <c r="BW267" s="39" t="n">
        <f aca="false">IF(BW$4=0,0,IF(COUNTIFS(実績!$W$6:$W$505,BW$3,実績!$AI$6:$AI$505,"&lt;="&amp;$A267,実績!$AJ$6:$AJ$505,"&gt;"&amp;$A267,実績!$AK$6:$AK$505,"○")&gt;0,1,0))</f>
        <v>0</v>
      </c>
      <c r="BX267" s="39" t="n">
        <f aca="false">IF(BX$4=0,0,IF(COUNTIFS(実績!$W$6:$W$505,BX$3,実績!$AI$6:$AI$505,"&lt;="&amp;$A267,実績!$AJ$6:$AJ$505,"&gt;"&amp;$A267,実績!$AK$6:$AK$505,"○")&gt;0,1,0))</f>
        <v>0</v>
      </c>
      <c r="BY267" s="39" t="n">
        <f aca="false">IF(BY$4=0,0,IF(COUNTIFS(実績!$W$6:$W$505,BY$3,実績!$AI$6:$AI$505,"&lt;="&amp;$A267,実績!$AJ$6:$AJ$505,"&gt;"&amp;$A267,実績!$AK$6:$AK$505,"○")&gt;0,1,0))</f>
        <v>0</v>
      </c>
      <c r="BZ267" s="39" t="n">
        <f aca="false">IF(BZ$4=0,0,IF(COUNTIFS(実績!$W$6:$W$505,BZ$3,実績!$AI$6:$AI$505,"&lt;="&amp;$A267,実績!$AJ$6:$AJ$505,"&gt;"&amp;$A267,実績!$AK$6:$AK$505,"○")&gt;0,1,0))</f>
        <v>0</v>
      </c>
      <c r="CA267" s="39" t="n">
        <f aca="false">IF(CA$4=0,0,IF(COUNTIFS(実績!$W$6:$W$505,CA$3,実績!$AI$6:$AI$505,"&lt;="&amp;$A267,実績!$AJ$6:$AJ$505,"&gt;"&amp;$A267,実績!$AK$6:$AK$505,"○")&gt;0,1,0))</f>
        <v>0</v>
      </c>
      <c r="CB267" s="39" t="n">
        <f aca="false">IF(CB$4=0,0,IF(COUNTIFS(実績!$W$6:$W$505,CB$3,実績!$AI$6:$AI$505,"&lt;="&amp;$A267,実績!$AJ$6:$AJ$505,"&gt;"&amp;$A267,実績!$AK$6:$AK$505,"○")&gt;0,1,0))</f>
        <v>0</v>
      </c>
      <c r="CC267" s="39" t="n">
        <f aca="false">IF(CC$4=0,0,IF(COUNTIFS(実績!$W$6:$W$505,CC$3,実績!$AI$6:$AI$505,"&lt;="&amp;$A267,実績!$AJ$6:$AJ$505,"&gt;"&amp;$A267,実績!$AK$6:$AK$505,"○")&gt;0,1,0))</f>
        <v>0</v>
      </c>
      <c r="CD267" s="39" t="n">
        <f aca="false">IF(CD$4=0,0,IF(COUNTIFS(実績!$W$6:$W$505,CD$3,実績!$AI$6:$AI$505,"&lt;="&amp;$A267,実績!$AJ$6:$AJ$505,"&gt;"&amp;$A267,実績!$AK$6:$AK$505,"○")&gt;0,1,0))</f>
        <v>0</v>
      </c>
      <c r="CE267" s="39" t="n">
        <f aca="false">IF(CE$4=0,0,IF(COUNTIFS(実績!$W$6:$W$505,CE$3,実績!$AI$6:$AI$505,"&lt;="&amp;$A267,実績!$AJ$6:$AJ$505,"&gt;"&amp;$A267,実績!$AK$6:$AK$505,"○")&gt;0,1,0))</f>
        <v>0</v>
      </c>
      <c r="CF267" s="39" t="n">
        <f aca="false">IF(CF$4=0,0,IF(COUNTIFS(実績!$W$6:$W$505,CF$3,実績!$AI$6:$AI$505,"&lt;="&amp;$A267,実績!$AJ$6:$AJ$505,"&gt;"&amp;$A267,実績!$AK$6:$AK$505,"○")&gt;0,1,0))</f>
        <v>0</v>
      </c>
      <c r="CG267" s="39" t="n">
        <f aca="false">IF(CG$4=0,0,IF(COUNTIFS(実績!$W$6:$W$505,CG$3,実績!$AI$6:$AI$505,"&lt;="&amp;$A267,実績!$AJ$6:$AJ$505,"&gt;"&amp;$A267,実績!$AK$6:$AK$505,"○")&gt;0,1,0))</f>
        <v>0</v>
      </c>
      <c r="CH267" s="39" t="n">
        <f aca="false">IF(CH$4=0,0,IF(COUNTIFS(実績!$W$6:$W$505,CH$3,実績!$AI$6:$AI$505,"&lt;="&amp;$A267,実績!$AJ$6:$AJ$505,"&gt;"&amp;$A267,実績!$AK$6:$AK$505,"○")&gt;0,1,0))</f>
        <v>0</v>
      </c>
      <c r="CI267" s="39" t="n">
        <f aca="false">IF(CI$4=0,0,IF(COUNTIFS(実績!$W$6:$W$505,CI$3,実績!$AI$6:$AI$505,"&lt;="&amp;$A267,実績!$AJ$6:$AJ$505,"&gt;"&amp;$A267,実績!$AK$6:$AK$505,"○")&gt;0,1,0))</f>
        <v>0</v>
      </c>
      <c r="CJ267" s="39" t="n">
        <f aca="false">IF(CJ$4=0,0,IF(COUNTIFS(実績!$W$6:$W$505,CJ$3,実績!$AI$6:$AI$505,"&lt;="&amp;$A267,実績!$AJ$6:$AJ$505,"&gt;"&amp;$A267,実績!$AK$6:$AK$505,"○")&gt;0,1,0))</f>
        <v>0</v>
      </c>
      <c r="CK267" s="39" t="n">
        <f aca="false">IF(CK$4=0,0,IF(COUNTIFS(実績!$W$6:$W$505,CK$3,実績!$AI$6:$AI$505,"&lt;="&amp;$A267,実績!$AJ$6:$AJ$505,"&gt;"&amp;$A267,実績!$AK$6:$AK$505,"○")&gt;0,1,0))</f>
        <v>0</v>
      </c>
      <c r="CL267" s="39" t="n">
        <f aca="false">IF(CL$4=0,0,IF(COUNTIFS(実績!$W$6:$W$505,CL$3,実績!$AI$6:$AI$505,"&lt;="&amp;$A267,実績!$AJ$6:$AJ$505,"&gt;"&amp;$A267,実績!$AK$6:$AK$505,"○")&gt;0,1,0))</f>
        <v>0</v>
      </c>
      <c r="CM267" s="39" t="n">
        <f aca="false">IF(CM$4=0,0,IF(COUNTIFS(実績!$W$6:$W$505,CM$3,実績!$AI$6:$AI$505,"&lt;="&amp;$A267,実績!$AJ$6:$AJ$505,"&gt;"&amp;$A267,実績!$AK$6:$AK$505,"○")&gt;0,1,0))</f>
        <v>0</v>
      </c>
      <c r="CN267" s="39" t="n">
        <f aca="false">IF(CN$4=0,0,IF(COUNTIFS(実績!$W$6:$W$505,CN$3,実績!$AI$6:$AI$505,"&lt;="&amp;$A267,実績!$AJ$6:$AJ$505,"&gt;"&amp;$A267,実績!$AK$6:$AK$505,"○")&gt;0,1,0))</f>
        <v>0</v>
      </c>
      <c r="CO267" s="39" t="n">
        <f aca="false">IF(CO$4=0,0,IF(COUNTIFS(実績!$W$6:$W$505,CO$3,実績!$AI$6:$AI$505,"&lt;="&amp;$A267,実績!$AJ$6:$AJ$505,"&gt;"&amp;$A267,実績!$AK$6:$AK$505,"○")&gt;0,1,0))</f>
        <v>0</v>
      </c>
      <c r="CP267" s="39" t="n">
        <f aca="false">IF(CP$4=0,0,IF(COUNTIFS(実績!$W$6:$W$505,CP$3,実績!$AI$6:$AI$505,"&lt;="&amp;$A267,実績!$AJ$6:$AJ$505,"&gt;"&amp;$A267,実績!$AK$6:$AK$505,"○")&gt;0,1,0))</f>
        <v>0</v>
      </c>
      <c r="CQ267" s="39" t="n">
        <f aca="false">IF(CQ$4=0,0,IF(COUNTIFS(実績!$W$6:$W$505,CQ$3,実績!$AI$6:$AI$505,"&lt;="&amp;$A267,実績!$AJ$6:$AJ$505,"&gt;"&amp;$A267,実績!$AK$6:$AK$505,"○")&gt;0,1,0))</f>
        <v>0</v>
      </c>
      <c r="CR267" s="39" t="n">
        <f aca="false">IF(CR$4=0,0,IF(COUNTIFS(実績!$W$6:$W$505,CR$3,実績!$AI$6:$AI$505,"&lt;="&amp;$A267,実績!$AJ$6:$AJ$505,"&gt;"&amp;$A267,実績!$AK$6:$AK$505,"○")&gt;0,1,0))</f>
        <v>0</v>
      </c>
      <c r="CS267" s="39" t="n">
        <f aca="false">IF(CS$4=0,0,IF(COUNTIFS(実績!$W$6:$W$505,CS$3,実績!$AI$6:$AI$505,"&lt;="&amp;$A267,実績!$AJ$6:$AJ$505,"&gt;"&amp;$A267,実績!$AK$6:$AK$505,"○")&gt;0,1,0))</f>
        <v>0</v>
      </c>
      <c r="CT267" s="39" t="n">
        <f aca="false">IF(CT$4=0,0,IF(COUNTIFS(実績!$W$6:$W$505,CT$3,実績!$AI$6:$AI$505,"&lt;="&amp;$A267,実績!$AJ$6:$AJ$505,"&gt;"&amp;$A267,実績!$AK$6:$AK$505,"○")&gt;0,1,0))</f>
        <v>0</v>
      </c>
      <c r="CU267" s="39" t="n">
        <f aca="false">IF(CU$4=0,0,IF(COUNTIFS(実績!$W$6:$W$505,CU$3,実績!$AI$6:$AI$505,"&lt;="&amp;$A267,実績!$AJ$6:$AJ$505,"&gt;"&amp;$A267,実績!$AK$6:$AK$505,"○")&gt;0,1,0))</f>
        <v>0</v>
      </c>
      <c r="CV267" s="39" t="n">
        <f aca="false">IF(CV$4=0,0,IF(COUNTIFS(実績!$W$6:$W$505,CV$3,実績!$AI$6:$AI$505,"&lt;="&amp;$A267,実績!$AJ$6:$AJ$505,"&gt;"&amp;$A267,実績!$AK$6:$AK$505,"○")&gt;0,1,0))</f>
        <v>0</v>
      </c>
      <c r="CW267" s="39" t="n">
        <f aca="false">IF(CW$4=0,0,IF(COUNTIFS(実績!$W$6:$W$505,CW$3,実績!$AI$6:$AI$505,"&lt;="&amp;$A267,実績!$AJ$6:$AJ$505,"&gt;"&amp;$A267,実績!$AK$6:$AK$505,"○")&gt;0,1,0))</f>
        <v>0</v>
      </c>
      <c r="CX267" s="39" t="n">
        <f aca="false">IF(CX$4=0,0,IF(COUNTIFS(実績!$W$6:$W$505,CX$3,実績!$AI$6:$AI$505,"&lt;="&amp;$A267,実績!$AJ$6:$AJ$505,"&gt;"&amp;$A267,実績!$AK$6:$AK$505,"○")&gt;0,1,0))</f>
        <v>0</v>
      </c>
      <c r="CY267" s="39" t="n">
        <f aca="false">IF(CY$4=0,0,IF(COUNTIFS(実績!$W$6:$W$505,CY$3,実績!$AI$6:$AI$505,"&lt;="&amp;$A267,実績!$AJ$6:$AJ$505,"&gt;"&amp;$A267,実績!$AK$6:$AK$505,"○")&gt;0,1,0))</f>
        <v>0</v>
      </c>
      <c r="CZ267" s="39" t="n">
        <f aca="false">IF(CZ$4=0,0,IF(COUNTIFS(実績!$W$6:$W$505,CZ$3,実績!$AI$6:$AI$505,"&lt;="&amp;$A267,実績!$AJ$6:$AJ$505,"&gt;"&amp;$A267,実績!$AK$6:$AK$505,"○")&gt;0,1,0))</f>
        <v>0</v>
      </c>
      <c r="DA267" s="39" t="n">
        <f aca="false">IF(DA$4=0,0,IF(COUNTIFS(実績!$W$6:$W$505,DA$3,実績!$AI$6:$AI$505,"&lt;="&amp;$A267,実績!$AJ$6:$AJ$505,"&gt;"&amp;$A267,実績!$AK$6:$AK$505,"○")&gt;0,1,0))</f>
        <v>0</v>
      </c>
      <c r="DB267" s="39" t="n">
        <f aca="false">IF(DB$4=0,0,IF(COUNTIFS(実績!$W$6:$W$505,DB$3,実績!$AI$6:$AI$505,"&lt;="&amp;$A267,実績!$AJ$6:$AJ$505,"&gt;"&amp;$A267,実績!$AK$6:$AK$505,"○")&gt;0,1,0))</f>
        <v>0</v>
      </c>
      <c r="DC267" s="39" t="n">
        <f aca="false">IF(DC$4=0,0,IF(COUNTIFS(実績!$W$6:$W$505,DC$3,実績!$AI$6:$AI$505,"&lt;="&amp;$A267,実績!$AJ$6:$AJ$505,"&gt;"&amp;$A267,実績!$AK$6:$AK$505,"○")&gt;0,1,0))</f>
        <v>0</v>
      </c>
      <c r="DD267" s="39" t="n">
        <f aca="false">IF(DD$4=0,0,IF(COUNTIFS(実績!$W$6:$W$505,DD$3,実績!$AI$6:$AI$505,"&lt;="&amp;$A267,実績!$AJ$6:$AJ$505,"&gt;"&amp;$A267,実績!$AK$6:$AK$505,"○")&gt;0,1,0))</f>
        <v>0</v>
      </c>
      <c r="DE267" s="39" t="n">
        <f aca="false">IF(DE$4=0,0,IF(COUNTIFS(実績!$W$6:$W$505,DE$3,実績!$AI$6:$AI$505,"&lt;="&amp;$A267,実績!$AJ$6:$AJ$505,"&gt;"&amp;$A267,実績!$AK$6:$AK$505,"○")&gt;0,1,0))</f>
        <v>0</v>
      </c>
      <c r="DF267" s="39" t="n">
        <f aca="false">IF(DF$4=0,0,IF(COUNTIFS(実績!$W$6:$W$505,DF$3,実績!$AI$6:$AI$505,"&lt;="&amp;$A267,実績!$AJ$6:$AJ$505,"&gt;"&amp;$A267,実績!$AK$6:$AK$505,"○")&gt;0,1,0))</f>
        <v>0</v>
      </c>
      <c r="DG267" s="39" t="n">
        <f aca="false">IF(DG$4=0,0,IF(COUNTIFS(実績!$W$6:$W$505,DG$3,実績!$AI$6:$AI$505,"&lt;="&amp;$A267,実績!$AJ$6:$AJ$505,"&gt;"&amp;$A267,実績!$AK$6:$AK$505,"○")&gt;0,1,0))</f>
        <v>0</v>
      </c>
      <c r="DH267" s="39" t="n">
        <f aca="false">IF(DH$4=0,0,IF(COUNTIFS(実績!$W$6:$W$505,DH$3,実績!$AI$6:$AI$505,"&lt;="&amp;$A267,実績!$AJ$6:$AJ$505,"&gt;"&amp;$A267,実績!$AK$6:$AK$505,"○")&gt;0,1,0))</f>
        <v>0</v>
      </c>
      <c r="DI267" s="39" t="n">
        <f aca="false">IF(DI$4=0,0,IF(COUNTIFS(実績!$W$6:$W$505,DI$3,実績!$AI$6:$AI$505,"&lt;="&amp;$A267,実績!$AJ$6:$AJ$505,"&gt;"&amp;$A267,実績!$AK$6:$AK$505,"○")&gt;0,1,0))</f>
        <v>0</v>
      </c>
      <c r="DJ267" s="39" t="n">
        <f aca="false">IF(DJ$4=0,0,IF(COUNTIFS(実績!$W$6:$W$505,DJ$3,実績!$AI$6:$AI$505,"&lt;="&amp;$A267,実績!$AJ$6:$AJ$505,"&gt;"&amp;$A267,実績!$AK$6:$AK$505,"○")&gt;0,1,0))</f>
        <v>0</v>
      </c>
      <c r="DK267" s="39" t="n">
        <f aca="false">IF(DK$4=0,0,IF(COUNTIFS(実績!$W$6:$W$505,DK$3,実績!$AI$6:$AI$505,"&lt;="&amp;$A267,実績!$AJ$6:$AJ$505,"&gt;"&amp;$A267,実績!$AK$6:$AK$505,"○")&gt;0,1,0))</f>
        <v>0</v>
      </c>
      <c r="DL267" s="39" t="n">
        <f aca="false">IF(DL$4=0,0,IF(COUNTIFS(実績!$W$6:$W$505,DL$3,実績!$AI$6:$AI$505,"&lt;="&amp;$A267,実績!$AJ$6:$AJ$505,"&gt;"&amp;$A267,実績!$AK$6:$AK$505,"○")&gt;0,1,0))</f>
        <v>0</v>
      </c>
      <c r="DM267" s="39" t="n">
        <f aca="false">IF(DM$4=0,0,IF(COUNTIFS(実績!$W$6:$W$505,DM$3,実績!$AI$6:$AI$505,"&lt;="&amp;$A267,実績!$AJ$6:$AJ$505,"&gt;"&amp;$A267,実績!$AK$6:$AK$505,"○")&gt;0,1,0))</f>
        <v>0</v>
      </c>
      <c r="DN267" s="39" t="n">
        <f aca="false">IF(DN$4=0,0,IF(COUNTIFS(実績!$W$6:$W$505,DN$3,実績!$AI$6:$AI$505,"&lt;="&amp;$A267,実績!$AJ$6:$AJ$505,"&gt;"&amp;$A267,実績!$AK$6:$AK$505,"○")&gt;0,1,0))</f>
        <v>0</v>
      </c>
      <c r="DO267" s="39" t="n">
        <f aca="false">IF(DO$4=0,0,IF(COUNTIFS(実績!$W$6:$W$505,DO$3,実績!$AI$6:$AI$505,"&lt;="&amp;$A267,実績!$AJ$6:$AJ$505,"&gt;"&amp;$A267,実績!$AK$6:$AK$505,"○")&gt;0,1,0))</f>
        <v>0</v>
      </c>
      <c r="DP267" s="39" t="n">
        <f aca="false">IF(DP$4=0,0,IF(COUNTIFS(実績!$W$6:$W$505,DP$3,実績!$AI$6:$AI$505,"&lt;="&amp;$A267,実績!$AJ$6:$AJ$505,"&gt;"&amp;$A267,実績!$AK$6:$AK$505,"○")&gt;0,1,0))</f>
        <v>0</v>
      </c>
      <c r="DQ267" s="39" t="n">
        <f aca="false">IF(DQ$4=0,0,IF(COUNTIFS(実績!$W$6:$W$505,DQ$3,実績!$AI$6:$AI$505,"&lt;="&amp;$A267,実績!$AJ$6:$AJ$505,"&gt;"&amp;$A267,実績!$AK$6:$AK$505,"○")&gt;0,1,0))</f>
        <v>0</v>
      </c>
      <c r="DR267" s="39" t="n">
        <f aca="false">IF(DR$4=0,0,IF(COUNTIFS(実績!$W$6:$W$505,DR$3,実績!$AI$6:$AI$505,"&lt;="&amp;$A267,実績!$AJ$6:$AJ$505,"&gt;"&amp;$A267,実績!$AK$6:$AK$505,"○")&gt;0,1,0))</f>
        <v>0</v>
      </c>
      <c r="DS267" s="39" t="n">
        <f aca="false">SUM(C267:DR267)</f>
        <v>0</v>
      </c>
      <c r="DT267" s="39" t="n">
        <f aca="false">SUMPRODUCT((実績!$C$6:$C$505="○")*ISNUMBER(実績!$AM$6:$AM$505)*(実績!$AM$6:$AM$505&lt;=$A267)*(実績!$AN$6:$AN$505&gt;$A267))</f>
        <v>0</v>
      </c>
      <c r="DU267" s="39" t="n">
        <f aca="false">SUMIF($C$2:$DR$2,"製鉄曳船",C267:DR267)</f>
        <v>0</v>
      </c>
      <c r="DV267" s="39" t="n">
        <f aca="false">SUMIF($C$2:$DR$2,"西日本海運",C267:DR267)</f>
        <v>0</v>
      </c>
    </row>
    <row r="268" customFormat="false" ht="15" hidden="false" customHeight="false" outlineLevel="0" collapsed="false">
      <c r="A268" s="0" t="n">
        <v>1310</v>
      </c>
      <c r="B268" s="38" t="n">
        <f aca="false">A268/1440</f>
        <v>0.909722222222222</v>
      </c>
      <c r="C268" s="39" t="n">
        <f aca="false">IF(C$4=0,0,IF(COUNTIFS(実績!$W$6:$W$505,C$3,実績!$AI$6:$AI$505,"&lt;="&amp;$A268,実績!$AJ$6:$AJ$505,"&gt;"&amp;$A268,実績!$AK$6:$AK$505,"○")&gt;0,1,0))</f>
        <v>0</v>
      </c>
      <c r="D268" s="39" t="n">
        <f aca="false">IF(D$4=0,0,IF(COUNTIFS(実績!$W$6:$W$505,D$3,実績!$AI$6:$AI$505,"&lt;="&amp;$A268,実績!$AJ$6:$AJ$505,"&gt;"&amp;$A268,実績!$AK$6:$AK$505,"○")&gt;0,1,0))</f>
        <v>0</v>
      </c>
      <c r="E268" s="39" t="n">
        <f aca="false">IF(E$4=0,0,IF(COUNTIFS(実績!$W$6:$W$505,E$3,実績!$AI$6:$AI$505,"&lt;="&amp;$A268,実績!$AJ$6:$AJ$505,"&gt;"&amp;$A268,実績!$AK$6:$AK$505,"○")&gt;0,1,0))</f>
        <v>0</v>
      </c>
      <c r="F268" s="39" t="n">
        <f aca="false">IF(F$4=0,0,IF(COUNTIFS(実績!$W$6:$W$505,F$3,実績!$AI$6:$AI$505,"&lt;="&amp;$A268,実績!$AJ$6:$AJ$505,"&gt;"&amp;$A268,実績!$AK$6:$AK$505,"○")&gt;0,1,0))</f>
        <v>0</v>
      </c>
      <c r="G268" s="39" t="n">
        <f aca="false">IF(G$4=0,0,IF(COUNTIFS(実績!$W$6:$W$505,G$3,実績!$AI$6:$AI$505,"&lt;="&amp;$A268,実績!$AJ$6:$AJ$505,"&gt;"&amp;$A268,実績!$AK$6:$AK$505,"○")&gt;0,1,0))</f>
        <v>0</v>
      </c>
      <c r="H268" s="39" t="n">
        <f aca="false">IF(H$4=0,0,IF(COUNTIFS(実績!$W$6:$W$505,H$3,実績!$AI$6:$AI$505,"&lt;="&amp;$A268,実績!$AJ$6:$AJ$505,"&gt;"&amp;$A268,実績!$AK$6:$AK$505,"○")&gt;0,1,0))</f>
        <v>0</v>
      </c>
      <c r="I268" s="39" t="n">
        <f aca="false">IF(I$4=0,0,IF(COUNTIFS(実績!$W$6:$W$505,I$3,実績!$AI$6:$AI$505,"&lt;="&amp;$A268,実績!$AJ$6:$AJ$505,"&gt;"&amp;$A268,実績!$AK$6:$AK$505,"○")&gt;0,1,0))</f>
        <v>0</v>
      </c>
      <c r="J268" s="39" t="n">
        <f aca="false">IF(J$4=0,0,IF(COUNTIFS(実績!$W$6:$W$505,J$3,実績!$AI$6:$AI$505,"&lt;="&amp;$A268,実績!$AJ$6:$AJ$505,"&gt;"&amp;$A268,実績!$AK$6:$AK$505,"○")&gt;0,1,0))</f>
        <v>0</v>
      </c>
      <c r="K268" s="39" t="n">
        <f aca="false">IF(K$4=0,0,IF(COUNTIFS(実績!$W$6:$W$505,K$3,実績!$AI$6:$AI$505,"&lt;="&amp;$A268,実績!$AJ$6:$AJ$505,"&gt;"&amp;$A268,実績!$AK$6:$AK$505,"○")&gt;0,1,0))</f>
        <v>0</v>
      </c>
      <c r="L268" s="39" t="n">
        <f aca="false">IF(L$4=0,0,IF(COUNTIFS(実績!$W$6:$W$505,L$3,実績!$AI$6:$AI$505,"&lt;="&amp;$A268,実績!$AJ$6:$AJ$505,"&gt;"&amp;$A268,実績!$AK$6:$AK$505,"○")&gt;0,1,0))</f>
        <v>0</v>
      </c>
      <c r="M268" s="39" t="n">
        <f aca="false">IF(M$4=0,0,IF(COUNTIFS(実績!$W$6:$W$505,M$3,実績!$AI$6:$AI$505,"&lt;="&amp;$A268,実績!$AJ$6:$AJ$505,"&gt;"&amp;$A268,実績!$AK$6:$AK$505,"○")&gt;0,1,0))</f>
        <v>0</v>
      </c>
      <c r="N268" s="39" t="n">
        <f aca="false">IF(N$4=0,0,IF(COUNTIFS(実績!$W$6:$W$505,N$3,実績!$AI$6:$AI$505,"&lt;="&amp;$A268,実績!$AJ$6:$AJ$505,"&gt;"&amp;$A268,実績!$AK$6:$AK$505,"○")&gt;0,1,0))</f>
        <v>0</v>
      </c>
      <c r="O268" s="39" t="n">
        <f aca="false">IF(O$4=0,0,IF(COUNTIFS(実績!$W$6:$W$505,O$3,実績!$AI$6:$AI$505,"&lt;="&amp;$A268,実績!$AJ$6:$AJ$505,"&gt;"&amp;$A268,実績!$AK$6:$AK$505,"○")&gt;0,1,0))</f>
        <v>0</v>
      </c>
      <c r="P268" s="39" t="n">
        <f aca="false">IF(P$4=0,0,IF(COUNTIFS(実績!$W$6:$W$505,P$3,実績!$AI$6:$AI$505,"&lt;="&amp;$A268,実績!$AJ$6:$AJ$505,"&gt;"&amp;$A268,実績!$AK$6:$AK$505,"○")&gt;0,1,0))</f>
        <v>0</v>
      </c>
      <c r="Q268" s="39" t="n">
        <f aca="false">IF(Q$4=0,0,IF(COUNTIFS(実績!$W$6:$W$505,Q$3,実績!$AI$6:$AI$505,"&lt;="&amp;$A268,実績!$AJ$6:$AJ$505,"&gt;"&amp;$A268,実績!$AK$6:$AK$505,"○")&gt;0,1,0))</f>
        <v>0</v>
      </c>
      <c r="R268" s="39" t="n">
        <f aca="false">IF(R$4=0,0,IF(COUNTIFS(実績!$W$6:$W$505,R$3,実績!$AI$6:$AI$505,"&lt;="&amp;$A268,実績!$AJ$6:$AJ$505,"&gt;"&amp;$A268,実績!$AK$6:$AK$505,"○")&gt;0,1,0))</f>
        <v>0</v>
      </c>
      <c r="S268" s="39" t="n">
        <f aca="false">IF(S$4=0,0,IF(COUNTIFS(実績!$W$6:$W$505,S$3,実績!$AI$6:$AI$505,"&lt;="&amp;$A268,実績!$AJ$6:$AJ$505,"&gt;"&amp;$A268,実績!$AK$6:$AK$505,"○")&gt;0,1,0))</f>
        <v>0</v>
      </c>
      <c r="T268" s="39" t="n">
        <f aca="false">IF(T$4=0,0,IF(COUNTIFS(実績!$W$6:$W$505,T$3,実績!$AI$6:$AI$505,"&lt;="&amp;$A268,実績!$AJ$6:$AJ$505,"&gt;"&amp;$A268,実績!$AK$6:$AK$505,"○")&gt;0,1,0))</f>
        <v>0</v>
      </c>
      <c r="U268" s="39" t="n">
        <f aca="false">IF(U$4=0,0,IF(COUNTIFS(実績!$W$6:$W$505,U$3,実績!$AI$6:$AI$505,"&lt;="&amp;$A268,実績!$AJ$6:$AJ$505,"&gt;"&amp;$A268,実績!$AK$6:$AK$505,"○")&gt;0,1,0))</f>
        <v>0</v>
      </c>
      <c r="V268" s="39" t="n">
        <f aca="false">IF(V$4=0,0,IF(COUNTIFS(実績!$W$6:$W$505,V$3,実績!$AI$6:$AI$505,"&lt;="&amp;$A268,実績!$AJ$6:$AJ$505,"&gt;"&amp;$A268,実績!$AK$6:$AK$505,"○")&gt;0,1,0))</f>
        <v>0</v>
      </c>
      <c r="W268" s="39" t="n">
        <f aca="false">IF(W$4=0,0,IF(COUNTIFS(実績!$W$6:$W$505,W$3,実績!$AI$6:$AI$505,"&lt;="&amp;$A268,実績!$AJ$6:$AJ$505,"&gt;"&amp;$A268,実績!$AK$6:$AK$505,"○")&gt;0,1,0))</f>
        <v>0</v>
      </c>
      <c r="X268" s="39" t="n">
        <f aca="false">IF(X$4=0,0,IF(COUNTIFS(実績!$W$6:$W$505,X$3,実績!$AI$6:$AI$505,"&lt;="&amp;$A268,実績!$AJ$6:$AJ$505,"&gt;"&amp;$A268,実績!$AK$6:$AK$505,"○")&gt;0,1,0))</f>
        <v>0</v>
      </c>
      <c r="Y268" s="39" t="n">
        <f aca="false">IF(Y$4=0,0,IF(COUNTIFS(実績!$W$6:$W$505,Y$3,実績!$AI$6:$AI$505,"&lt;="&amp;$A268,実績!$AJ$6:$AJ$505,"&gt;"&amp;$A268,実績!$AK$6:$AK$505,"○")&gt;0,1,0))</f>
        <v>0</v>
      </c>
      <c r="Z268" s="39" t="n">
        <f aca="false">IF(Z$4=0,0,IF(COUNTIFS(実績!$W$6:$W$505,Z$3,実績!$AI$6:$AI$505,"&lt;="&amp;$A268,実績!$AJ$6:$AJ$505,"&gt;"&amp;$A268,実績!$AK$6:$AK$505,"○")&gt;0,1,0))</f>
        <v>0</v>
      </c>
      <c r="AA268" s="39" t="n">
        <f aca="false">IF(AA$4=0,0,IF(COUNTIFS(実績!$W$6:$W$505,AA$3,実績!$AI$6:$AI$505,"&lt;="&amp;$A268,実績!$AJ$6:$AJ$505,"&gt;"&amp;$A268,実績!$AK$6:$AK$505,"○")&gt;0,1,0))</f>
        <v>0</v>
      </c>
      <c r="AB268" s="39" t="n">
        <f aca="false">IF(AB$4=0,0,IF(COUNTIFS(実績!$W$6:$W$505,AB$3,実績!$AI$6:$AI$505,"&lt;="&amp;$A268,実績!$AJ$6:$AJ$505,"&gt;"&amp;$A268,実績!$AK$6:$AK$505,"○")&gt;0,1,0))</f>
        <v>0</v>
      </c>
      <c r="AC268" s="39" t="n">
        <f aca="false">IF(AC$4=0,0,IF(COUNTIFS(実績!$W$6:$W$505,AC$3,実績!$AI$6:$AI$505,"&lt;="&amp;$A268,実績!$AJ$6:$AJ$505,"&gt;"&amp;$A268,実績!$AK$6:$AK$505,"○")&gt;0,1,0))</f>
        <v>0</v>
      </c>
      <c r="AD268" s="39" t="n">
        <f aca="false">IF(AD$4=0,0,IF(COUNTIFS(実績!$W$6:$W$505,AD$3,実績!$AI$6:$AI$505,"&lt;="&amp;$A268,実績!$AJ$6:$AJ$505,"&gt;"&amp;$A268,実績!$AK$6:$AK$505,"○")&gt;0,1,0))</f>
        <v>0</v>
      </c>
      <c r="AE268" s="39" t="n">
        <f aca="false">IF(AE$4=0,0,IF(COUNTIFS(実績!$W$6:$W$505,AE$3,実績!$AI$6:$AI$505,"&lt;="&amp;$A268,実績!$AJ$6:$AJ$505,"&gt;"&amp;$A268,実績!$AK$6:$AK$505,"○")&gt;0,1,0))</f>
        <v>0</v>
      </c>
      <c r="AF268" s="39" t="n">
        <f aca="false">IF(AF$4=0,0,IF(COUNTIFS(実績!$W$6:$W$505,AF$3,実績!$AI$6:$AI$505,"&lt;="&amp;$A268,実績!$AJ$6:$AJ$505,"&gt;"&amp;$A268,実績!$AK$6:$AK$505,"○")&gt;0,1,0))</f>
        <v>0</v>
      </c>
      <c r="AG268" s="39" t="n">
        <f aca="false">IF(AG$4=0,0,IF(COUNTIFS(実績!$W$6:$W$505,AG$3,実績!$AI$6:$AI$505,"&lt;="&amp;$A268,実績!$AJ$6:$AJ$505,"&gt;"&amp;$A268,実績!$AK$6:$AK$505,"○")&gt;0,1,0))</f>
        <v>0</v>
      </c>
      <c r="AH268" s="39" t="n">
        <f aca="false">IF(AH$4=0,0,IF(COUNTIFS(実績!$W$6:$W$505,AH$3,実績!$AI$6:$AI$505,"&lt;="&amp;$A268,実績!$AJ$6:$AJ$505,"&gt;"&amp;$A268,実績!$AK$6:$AK$505,"○")&gt;0,1,0))</f>
        <v>0</v>
      </c>
      <c r="AI268" s="39" t="n">
        <f aca="false">IF(AI$4=0,0,IF(COUNTIFS(実績!$W$6:$W$505,AI$3,実績!$AI$6:$AI$505,"&lt;="&amp;$A268,実績!$AJ$6:$AJ$505,"&gt;"&amp;$A268,実績!$AK$6:$AK$505,"○")&gt;0,1,0))</f>
        <v>0</v>
      </c>
      <c r="AJ268" s="39" t="n">
        <f aca="false">IF(AJ$4=0,0,IF(COUNTIFS(実績!$W$6:$W$505,AJ$3,実績!$AI$6:$AI$505,"&lt;="&amp;$A268,実績!$AJ$6:$AJ$505,"&gt;"&amp;$A268,実績!$AK$6:$AK$505,"○")&gt;0,1,0))</f>
        <v>0</v>
      </c>
      <c r="AK268" s="39" t="n">
        <f aca="false">IF(AK$4=0,0,IF(COUNTIFS(実績!$W$6:$W$505,AK$3,実績!$AI$6:$AI$505,"&lt;="&amp;$A268,実績!$AJ$6:$AJ$505,"&gt;"&amp;$A268,実績!$AK$6:$AK$505,"○")&gt;0,1,0))</f>
        <v>0</v>
      </c>
      <c r="AL268" s="39" t="n">
        <f aca="false">IF(AL$4=0,0,IF(COUNTIFS(実績!$W$6:$W$505,AL$3,実績!$AI$6:$AI$505,"&lt;="&amp;$A268,実績!$AJ$6:$AJ$505,"&gt;"&amp;$A268,実績!$AK$6:$AK$505,"○")&gt;0,1,0))</f>
        <v>0</v>
      </c>
      <c r="AM268" s="39" t="n">
        <f aca="false">IF(AM$4=0,0,IF(COUNTIFS(実績!$W$6:$W$505,AM$3,実績!$AI$6:$AI$505,"&lt;="&amp;$A268,実績!$AJ$6:$AJ$505,"&gt;"&amp;$A268,実績!$AK$6:$AK$505,"○")&gt;0,1,0))</f>
        <v>0</v>
      </c>
      <c r="AN268" s="39" t="n">
        <f aca="false">IF(AN$4=0,0,IF(COUNTIFS(実績!$W$6:$W$505,AN$3,実績!$AI$6:$AI$505,"&lt;="&amp;$A268,実績!$AJ$6:$AJ$505,"&gt;"&amp;$A268,実績!$AK$6:$AK$505,"○")&gt;0,1,0))</f>
        <v>0</v>
      </c>
      <c r="AO268" s="39" t="n">
        <f aca="false">IF(AO$4=0,0,IF(COUNTIFS(実績!$W$6:$W$505,AO$3,実績!$AI$6:$AI$505,"&lt;="&amp;$A268,実績!$AJ$6:$AJ$505,"&gt;"&amp;$A268,実績!$AK$6:$AK$505,"○")&gt;0,1,0))</f>
        <v>0</v>
      </c>
      <c r="AP268" s="39" t="n">
        <f aca="false">IF(AP$4=0,0,IF(COUNTIFS(実績!$W$6:$W$505,AP$3,実績!$AI$6:$AI$505,"&lt;="&amp;$A268,実績!$AJ$6:$AJ$505,"&gt;"&amp;$A268,実績!$AK$6:$AK$505,"○")&gt;0,1,0))</f>
        <v>0</v>
      </c>
      <c r="AQ268" s="39" t="n">
        <f aca="false">IF(AQ$4=0,0,IF(COUNTIFS(実績!$W$6:$W$505,AQ$3,実績!$AI$6:$AI$505,"&lt;="&amp;$A268,実績!$AJ$6:$AJ$505,"&gt;"&amp;$A268,実績!$AK$6:$AK$505,"○")&gt;0,1,0))</f>
        <v>0</v>
      </c>
      <c r="AR268" s="39" t="n">
        <f aca="false">IF(AR$4=0,0,IF(COUNTIFS(実績!$W$6:$W$505,AR$3,実績!$AI$6:$AI$505,"&lt;="&amp;$A268,実績!$AJ$6:$AJ$505,"&gt;"&amp;$A268,実績!$AK$6:$AK$505,"○")&gt;0,1,0))</f>
        <v>0</v>
      </c>
      <c r="AS268" s="39" t="n">
        <f aca="false">IF(AS$4=0,0,IF(COUNTIFS(実績!$W$6:$W$505,AS$3,実績!$AI$6:$AI$505,"&lt;="&amp;$A268,実績!$AJ$6:$AJ$505,"&gt;"&amp;$A268,実績!$AK$6:$AK$505,"○")&gt;0,1,0))</f>
        <v>0</v>
      </c>
      <c r="AT268" s="39" t="n">
        <f aca="false">IF(AT$4=0,0,IF(COUNTIFS(実績!$W$6:$W$505,AT$3,実績!$AI$6:$AI$505,"&lt;="&amp;$A268,実績!$AJ$6:$AJ$505,"&gt;"&amp;$A268,実績!$AK$6:$AK$505,"○")&gt;0,1,0))</f>
        <v>0</v>
      </c>
      <c r="AU268" s="39" t="n">
        <f aca="false">IF(AU$4=0,0,IF(COUNTIFS(実績!$W$6:$W$505,AU$3,実績!$AI$6:$AI$505,"&lt;="&amp;$A268,実績!$AJ$6:$AJ$505,"&gt;"&amp;$A268,実績!$AK$6:$AK$505,"○")&gt;0,1,0))</f>
        <v>0</v>
      </c>
      <c r="AV268" s="39" t="n">
        <f aca="false">IF(AV$4=0,0,IF(COUNTIFS(実績!$W$6:$W$505,AV$3,実績!$AI$6:$AI$505,"&lt;="&amp;$A268,実績!$AJ$6:$AJ$505,"&gt;"&amp;$A268,実績!$AK$6:$AK$505,"○")&gt;0,1,0))</f>
        <v>0</v>
      </c>
      <c r="AW268" s="39" t="n">
        <f aca="false">IF(AW$4=0,0,IF(COUNTIFS(実績!$W$6:$W$505,AW$3,実績!$AI$6:$AI$505,"&lt;="&amp;$A268,実績!$AJ$6:$AJ$505,"&gt;"&amp;$A268,実績!$AK$6:$AK$505,"○")&gt;0,1,0))</f>
        <v>0</v>
      </c>
      <c r="AX268" s="39" t="n">
        <f aca="false">IF(AX$4=0,0,IF(COUNTIFS(実績!$W$6:$W$505,AX$3,実績!$AI$6:$AI$505,"&lt;="&amp;$A268,実績!$AJ$6:$AJ$505,"&gt;"&amp;$A268,実績!$AK$6:$AK$505,"○")&gt;0,1,0))</f>
        <v>0</v>
      </c>
      <c r="AY268" s="39" t="n">
        <f aca="false">IF(AY$4=0,0,IF(COUNTIFS(実績!$W$6:$W$505,AY$3,実績!$AI$6:$AI$505,"&lt;="&amp;$A268,実績!$AJ$6:$AJ$505,"&gt;"&amp;$A268,実績!$AK$6:$AK$505,"○")&gt;0,1,0))</f>
        <v>0</v>
      </c>
      <c r="AZ268" s="39" t="n">
        <f aca="false">IF(AZ$4=0,0,IF(COUNTIFS(実績!$W$6:$W$505,AZ$3,実績!$AI$6:$AI$505,"&lt;="&amp;$A268,実績!$AJ$6:$AJ$505,"&gt;"&amp;$A268,実績!$AK$6:$AK$505,"○")&gt;0,1,0))</f>
        <v>0</v>
      </c>
      <c r="BA268" s="39" t="n">
        <f aca="false">IF(BA$4=0,0,IF(COUNTIFS(実績!$W$6:$W$505,BA$3,実績!$AI$6:$AI$505,"&lt;="&amp;$A268,実績!$AJ$6:$AJ$505,"&gt;"&amp;$A268,実績!$AK$6:$AK$505,"○")&gt;0,1,0))</f>
        <v>0</v>
      </c>
      <c r="BB268" s="39" t="n">
        <f aca="false">IF(BB$4=0,0,IF(COUNTIFS(実績!$W$6:$W$505,BB$3,実績!$AI$6:$AI$505,"&lt;="&amp;$A268,実績!$AJ$6:$AJ$505,"&gt;"&amp;$A268,実績!$AK$6:$AK$505,"○")&gt;0,1,0))</f>
        <v>0</v>
      </c>
      <c r="BC268" s="39" t="n">
        <f aca="false">IF(BC$4=0,0,IF(COUNTIFS(実績!$W$6:$W$505,BC$3,実績!$AI$6:$AI$505,"&lt;="&amp;$A268,実績!$AJ$6:$AJ$505,"&gt;"&amp;$A268,実績!$AK$6:$AK$505,"○")&gt;0,1,0))</f>
        <v>0</v>
      </c>
      <c r="BD268" s="39" t="n">
        <f aca="false">IF(BD$4=0,0,IF(COUNTIFS(実績!$W$6:$W$505,BD$3,実績!$AI$6:$AI$505,"&lt;="&amp;$A268,実績!$AJ$6:$AJ$505,"&gt;"&amp;$A268,実績!$AK$6:$AK$505,"○")&gt;0,1,0))</f>
        <v>0</v>
      </c>
      <c r="BE268" s="39" t="n">
        <f aca="false">IF(BE$4=0,0,IF(COUNTIFS(実績!$W$6:$W$505,BE$3,実績!$AI$6:$AI$505,"&lt;="&amp;$A268,実績!$AJ$6:$AJ$505,"&gt;"&amp;$A268,実績!$AK$6:$AK$505,"○")&gt;0,1,0))</f>
        <v>0</v>
      </c>
      <c r="BF268" s="39" t="n">
        <f aca="false">IF(BF$4=0,0,IF(COUNTIFS(実績!$W$6:$W$505,BF$3,実績!$AI$6:$AI$505,"&lt;="&amp;$A268,実績!$AJ$6:$AJ$505,"&gt;"&amp;$A268,実績!$AK$6:$AK$505,"○")&gt;0,1,0))</f>
        <v>0</v>
      </c>
      <c r="BG268" s="39" t="n">
        <f aca="false">IF(BG$4=0,0,IF(COUNTIFS(実績!$W$6:$W$505,BG$3,実績!$AI$6:$AI$505,"&lt;="&amp;$A268,実績!$AJ$6:$AJ$505,"&gt;"&amp;$A268,実績!$AK$6:$AK$505,"○")&gt;0,1,0))</f>
        <v>0</v>
      </c>
      <c r="BH268" s="39" t="n">
        <f aca="false">IF(BH$4=0,0,IF(COUNTIFS(実績!$W$6:$W$505,BH$3,実績!$AI$6:$AI$505,"&lt;="&amp;$A268,実績!$AJ$6:$AJ$505,"&gt;"&amp;$A268,実績!$AK$6:$AK$505,"○")&gt;0,1,0))</f>
        <v>0</v>
      </c>
      <c r="BI268" s="39" t="n">
        <f aca="false">IF(BI$4=0,0,IF(COUNTIFS(実績!$W$6:$W$505,BI$3,実績!$AI$6:$AI$505,"&lt;="&amp;$A268,実績!$AJ$6:$AJ$505,"&gt;"&amp;$A268,実績!$AK$6:$AK$505,"○")&gt;0,1,0))</f>
        <v>0</v>
      </c>
      <c r="BJ268" s="39" t="n">
        <f aca="false">IF(BJ$4=0,0,IF(COUNTIFS(実績!$W$6:$W$505,BJ$3,実績!$AI$6:$AI$505,"&lt;="&amp;$A268,実績!$AJ$6:$AJ$505,"&gt;"&amp;$A268,実績!$AK$6:$AK$505,"○")&gt;0,1,0))</f>
        <v>0</v>
      </c>
      <c r="BK268" s="39" t="n">
        <f aca="false">IF(BK$4=0,0,IF(COUNTIFS(実績!$W$6:$W$505,BK$3,実績!$AI$6:$AI$505,"&lt;="&amp;$A268,実績!$AJ$6:$AJ$505,"&gt;"&amp;$A268,実績!$AK$6:$AK$505,"○")&gt;0,1,0))</f>
        <v>0</v>
      </c>
      <c r="BL268" s="39" t="n">
        <f aca="false">IF(BL$4=0,0,IF(COUNTIFS(実績!$W$6:$W$505,BL$3,実績!$AI$6:$AI$505,"&lt;="&amp;$A268,実績!$AJ$6:$AJ$505,"&gt;"&amp;$A268,実績!$AK$6:$AK$505,"○")&gt;0,1,0))</f>
        <v>0</v>
      </c>
      <c r="BM268" s="39" t="n">
        <f aca="false">IF(BM$4=0,0,IF(COUNTIFS(実績!$W$6:$W$505,BM$3,実績!$AI$6:$AI$505,"&lt;="&amp;$A268,実績!$AJ$6:$AJ$505,"&gt;"&amp;$A268,実績!$AK$6:$AK$505,"○")&gt;0,1,0))</f>
        <v>0</v>
      </c>
      <c r="BN268" s="39" t="n">
        <f aca="false">IF(BN$4=0,0,IF(COUNTIFS(実績!$W$6:$W$505,BN$3,実績!$AI$6:$AI$505,"&lt;="&amp;$A268,実績!$AJ$6:$AJ$505,"&gt;"&amp;$A268,実績!$AK$6:$AK$505,"○")&gt;0,1,0))</f>
        <v>0</v>
      </c>
      <c r="BO268" s="39" t="n">
        <f aca="false">IF(BO$4=0,0,IF(COUNTIFS(実績!$W$6:$W$505,BO$3,実績!$AI$6:$AI$505,"&lt;="&amp;$A268,実績!$AJ$6:$AJ$505,"&gt;"&amp;$A268,実績!$AK$6:$AK$505,"○")&gt;0,1,0))</f>
        <v>0</v>
      </c>
      <c r="BP268" s="39" t="n">
        <f aca="false">IF(BP$4=0,0,IF(COUNTIFS(実績!$W$6:$W$505,BP$3,実績!$AI$6:$AI$505,"&lt;="&amp;$A268,実績!$AJ$6:$AJ$505,"&gt;"&amp;$A268,実績!$AK$6:$AK$505,"○")&gt;0,1,0))</f>
        <v>0</v>
      </c>
      <c r="BQ268" s="39" t="n">
        <f aca="false">IF(BQ$4=0,0,IF(COUNTIFS(実績!$W$6:$W$505,BQ$3,実績!$AI$6:$AI$505,"&lt;="&amp;$A268,実績!$AJ$6:$AJ$505,"&gt;"&amp;$A268,実績!$AK$6:$AK$505,"○")&gt;0,1,0))</f>
        <v>0</v>
      </c>
      <c r="BR268" s="39" t="n">
        <f aca="false">IF(BR$4=0,0,IF(COUNTIFS(実績!$W$6:$W$505,BR$3,実績!$AI$6:$AI$505,"&lt;="&amp;$A268,実績!$AJ$6:$AJ$505,"&gt;"&amp;$A268,実績!$AK$6:$AK$505,"○")&gt;0,1,0))</f>
        <v>0</v>
      </c>
      <c r="BS268" s="39" t="n">
        <f aca="false">IF(BS$4=0,0,IF(COUNTIFS(実績!$W$6:$W$505,BS$3,実績!$AI$6:$AI$505,"&lt;="&amp;$A268,実績!$AJ$6:$AJ$505,"&gt;"&amp;$A268,実績!$AK$6:$AK$505,"○")&gt;0,1,0))</f>
        <v>0</v>
      </c>
      <c r="BT268" s="39" t="n">
        <f aca="false">IF(BT$4=0,0,IF(COUNTIFS(実績!$W$6:$W$505,BT$3,実績!$AI$6:$AI$505,"&lt;="&amp;$A268,実績!$AJ$6:$AJ$505,"&gt;"&amp;$A268,実績!$AK$6:$AK$505,"○")&gt;0,1,0))</f>
        <v>0</v>
      </c>
      <c r="BU268" s="39" t="n">
        <f aca="false">IF(BU$4=0,0,IF(COUNTIFS(実績!$W$6:$W$505,BU$3,実績!$AI$6:$AI$505,"&lt;="&amp;$A268,実績!$AJ$6:$AJ$505,"&gt;"&amp;$A268,実績!$AK$6:$AK$505,"○")&gt;0,1,0))</f>
        <v>0</v>
      </c>
      <c r="BV268" s="39" t="n">
        <f aca="false">IF(BV$4=0,0,IF(COUNTIFS(実績!$W$6:$W$505,BV$3,実績!$AI$6:$AI$505,"&lt;="&amp;$A268,実績!$AJ$6:$AJ$505,"&gt;"&amp;$A268,実績!$AK$6:$AK$505,"○")&gt;0,1,0))</f>
        <v>0</v>
      </c>
      <c r="BW268" s="39" t="n">
        <f aca="false">IF(BW$4=0,0,IF(COUNTIFS(実績!$W$6:$W$505,BW$3,実績!$AI$6:$AI$505,"&lt;="&amp;$A268,実績!$AJ$6:$AJ$505,"&gt;"&amp;$A268,実績!$AK$6:$AK$505,"○")&gt;0,1,0))</f>
        <v>0</v>
      </c>
      <c r="BX268" s="39" t="n">
        <f aca="false">IF(BX$4=0,0,IF(COUNTIFS(実績!$W$6:$W$505,BX$3,実績!$AI$6:$AI$505,"&lt;="&amp;$A268,実績!$AJ$6:$AJ$505,"&gt;"&amp;$A268,実績!$AK$6:$AK$505,"○")&gt;0,1,0))</f>
        <v>0</v>
      </c>
      <c r="BY268" s="39" t="n">
        <f aca="false">IF(BY$4=0,0,IF(COUNTIFS(実績!$W$6:$W$505,BY$3,実績!$AI$6:$AI$505,"&lt;="&amp;$A268,実績!$AJ$6:$AJ$505,"&gt;"&amp;$A268,実績!$AK$6:$AK$505,"○")&gt;0,1,0))</f>
        <v>0</v>
      </c>
      <c r="BZ268" s="39" t="n">
        <f aca="false">IF(BZ$4=0,0,IF(COUNTIFS(実績!$W$6:$W$505,BZ$3,実績!$AI$6:$AI$505,"&lt;="&amp;$A268,実績!$AJ$6:$AJ$505,"&gt;"&amp;$A268,実績!$AK$6:$AK$505,"○")&gt;0,1,0))</f>
        <v>0</v>
      </c>
      <c r="CA268" s="39" t="n">
        <f aca="false">IF(CA$4=0,0,IF(COUNTIFS(実績!$W$6:$W$505,CA$3,実績!$AI$6:$AI$505,"&lt;="&amp;$A268,実績!$AJ$6:$AJ$505,"&gt;"&amp;$A268,実績!$AK$6:$AK$505,"○")&gt;0,1,0))</f>
        <v>0</v>
      </c>
      <c r="CB268" s="39" t="n">
        <f aca="false">IF(CB$4=0,0,IF(COUNTIFS(実績!$W$6:$W$505,CB$3,実績!$AI$6:$AI$505,"&lt;="&amp;$A268,実績!$AJ$6:$AJ$505,"&gt;"&amp;$A268,実績!$AK$6:$AK$505,"○")&gt;0,1,0))</f>
        <v>0</v>
      </c>
      <c r="CC268" s="39" t="n">
        <f aca="false">IF(CC$4=0,0,IF(COUNTIFS(実績!$W$6:$W$505,CC$3,実績!$AI$6:$AI$505,"&lt;="&amp;$A268,実績!$AJ$6:$AJ$505,"&gt;"&amp;$A268,実績!$AK$6:$AK$505,"○")&gt;0,1,0))</f>
        <v>0</v>
      </c>
      <c r="CD268" s="39" t="n">
        <f aca="false">IF(CD$4=0,0,IF(COUNTIFS(実績!$W$6:$W$505,CD$3,実績!$AI$6:$AI$505,"&lt;="&amp;$A268,実績!$AJ$6:$AJ$505,"&gt;"&amp;$A268,実績!$AK$6:$AK$505,"○")&gt;0,1,0))</f>
        <v>0</v>
      </c>
      <c r="CE268" s="39" t="n">
        <f aca="false">IF(CE$4=0,0,IF(COUNTIFS(実績!$W$6:$W$505,CE$3,実績!$AI$6:$AI$505,"&lt;="&amp;$A268,実績!$AJ$6:$AJ$505,"&gt;"&amp;$A268,実績!$AK$6:$AK$505,"○")&gt;0,1,0))</f>
        <v>0</v>
      </c>
      <c r="CF268" s="39" t="n">
        <f aca="false">IF(CF$4=0,0,IF(COUNTIFS(実績!$W$6:$W$505,CF$3,実績!$AI$6:$AI$505,"&lt;="&amp;$A268,実績!$AJ$6:$AJ$505,"&gt;"&amp;$A268,実績!$AK$6:$AK$505,"○")&gt;0,1,0))</f>
        <v>0</v>
      </c>
      <c r="CG268" s="39" t="n">
        <f aca="false">IF(CG$4=0,0,IF(COUNTIFS(実績!$W$6:$W$505,CG$3,実績!$AI$6:$AI$505,"&lt;="&amp;$A268,実績!$AJ$6:$AJ$505,"&gt;"&amp;$A268,実績!$AK$6:$AK$505,"○")&gt;0,1,0))</f>
        <v>0</v>
      </c>
      <c r="CH268" s="39" t="n">
        <f aca="false">IF(CH$4=0,0,IF(COUNTIFS(実績!$W$6:$W$505,CH$3,実績!$AI$6:$AI$505,"&lt;="&amp;$A268,実績!$AJ$6:$AJ$505,"&gt;"&amp;$A268,実績!$AK$6:$AK$505,"○")&gt;0,1,0))</f>
        <v>0</v>
      </c>
      <c r="CI268" s="39" t="n">
        <f aca="false">IF(CI$4=0,0,IF(COUNTIFS(実績!$W$6:$W$505,CI$3,実績!$AI$6:$AI$505,"&lt;="&amp;$A268,実績!$AJ$6:$AJ$505,"&gt;"&amp;$A268,実績!$AK$6:$AK$505,"○")&gt;0,1,0))</f>
        <v>0</v>
      </c>
      <c r="CJ268" s="39" t="n">
        <f aca="false">IF(CJ$4=0,0,IF(COUNTIFS(実績!$W$6:$W$505,CJ$3,実績!$AI$6:$AI$505,"&lt;="&amp;$A268,実績!$AJ$6:$AJ$505,"&gt;"&amp;$A268,実績!$AK$6:$AK$505,"○")&gt;0,1,0))</f>
        <v>0</v>
      </c>
      <c r="CK268" s="39" t="n">
        <f aca="false">IF(CK$4=0,0,IF(COUNTIFS(実績!$W$6:$W$505,CK$3,実績!$AI$6:$AI$505,"&lt;="&amp;$A268,実績!$AJ$6:$AJ$505,"&gt;"&amp;$A268,実績!$AK$6:$AK$505,"○")&gt;0,1,0))</f>
        <v>0</v>
      </c>
      <c r="CL268" s="39" t="n">
        <f aca="false">IF(CL$4=0,0,IF(COUNTIFS(実績!$W$6:$W$505,CL$3,実績!$AI$6:$AI$505,"&lt;="&amp;$A268,実績!$AJ$6:$AJ$505,"&gt;"&amp;$A268,実績!$AK$6:$AK$505,"○")&gt;0,1,0))</f>
        <v>0</v>
      </c>
      <c r="CM268" s="39" t="n">
        <f aca="false">IF(CM$4=0,0,IF(COUNTIFS(実績!$W$6:$W$505,CM$3,実績!$AI$6:$AI$505,"&lt;="&amp;$A268,実績!$AJ$6:$AJ$505,"&gt;"&amp;$A268,実績!$AK$6:$AK$505,"○")&gt;0,1,0))</f>
        <v>0</v>
      </c>
      <c r="CN268" s="39" t="n">
        <f aca="false">IF(CN$4=0,0,IF(COUNTIFS(実績!$W$6:$W$505,CN$3,実績!$AI$6:$AI$505,"&lt;="&amp;$A268,実績!$AJ$6:$AJ$505,"&gt;"&amp;$A268,実績!$AK$6:$AK$505,"○")&gt;0,1,0))</f>
        <v>0</v>
      </c>
      <c r="CO268" s="39" t="n">
        <f aca="false">IF(CO$4=0,0,IF(COUNTIFS(実績!$W$6:$W$505,CO$3,実績!$AI$6:$AI$505,"&lt;="&amp;$A268,実績!$AJ$6:$AJ$505,"&gt;"&amp;$A268,実績!$AK$6:$AK$505,"○")&gt;0,1,0))</f>
        <v>0</v>
      </c>
      <c r="CP268" s="39" t="n">
        <f aca="false">IF(CP$4=0,0,IF(COUNTIFS(実績!$W$6:$W$505,CP$3,実績!$AI$6:$AI$505,"&lt;="&amp;$A268,実績!$AJ$6:$AJ$505,"&gt;"&amp;$A268,実績!$AK$6:$AK$505,"○")&gt;0,1,0))</f>
        <v>0</v>
      </c>
      <c r="CQ268" s="39" t="n">
        <f aca="false">IF(CQ$4=0,0,IF(COUNTIFS(実績!$W$6:$W$505,CQ$3,実績!$AI$6:$AI$505,"&lt;="&amp;$A268,実績!$AJ$6:$AJ$505,"&gt;"&amp;$A268,実績!$AK$6:$AK$505,"○")&gt;0,1,0))</f>
        <v>0</v>
      </c>
      <c r="CR268" s="39" t="n">
        <f aca="false">IF(CR$4=0,0,IF(COUNTIFS(実績!$W$6:$W$505,CR$3,実績!$AI$6:$AI$505,"&lt;="&amp;$A268,実績!$AJ$6:$AJ$505,"&gt;"&amp;$A268,実績!$AK$6:$AK$505,"○")&gt;0,1,0))</f>
        <v>0</v>
      </c>
      <c r="CS268" s="39" t="n">
        <f aca="false">IF(CS$4=0,0,IF(COUNTIFS(実績!$W$6:$W$505,CS$3,実績!$AI$6:$AI$505,"&lt;="&amp;$A268,実績!$AJ$6:$AJ$505,"&gt;"&amp;$A268,実績!$AK$6:$AK$505,"○")&gt;0,1,0))</f>
        <v>0</v>
      </c>
      <c r="CT268" s="39" t="n">
        <f aca="false">IF(CT$4=0,0,IF(COUNTIFS(実績!$W$6:$W$505,CT$3,実績!$AI$6:$AI$505,"&lt;="&amp;$A268,実績!$AJ$6:$AJ$505,"&gt;"&amp;$A268,実績!$AK$6:$AK$505,"○")&gt;0,1,0))</f>
        <v>0</v>
      </c>
      <c r="CU268" s="39" t="n">
        <f aca="false">IF(CU$4=0,0,IF(COUNTIFS(実績!$W$6:$W$505,CU$3,実績!$AI$6:$AI$505,"&lt;="&amp;$A268,実績!$AJ$6:$AJ$505,"&gt;"&amp;$A268,実績!$AK$6:$AK$505,"○")&gt;0,1,0))</f>
        <v>0</v>
      </c>
      <c r="CV268" s="39" t="n">
        <f aca="false">IF(CV$4=0,0,IF(COUNTIFS(実績!$W$6:$W$505,CV$3,実績!$AI$6:$AI$505,"&lt;="&amp;$A268,実績!$AJ$6:$AJ$505,"&gt;"&amp;$A268,実績!$AK$6:$AK$505,"○")&gt;0,1,0))</f>
        <v>0</v>
      </c>
      <c r="CW268" s="39" t="n">
        <f aca="false">IF(CW$4=0,0,IF(COUNTIFS(実績!$W$6:$W$505,CW$3,実績!$AI$6:$AI$505,"&lt;="&amp;$A268,実績!$AJ$6:$AJ$505,"&gt;"&amp;$A268,実績!$AK$6:$AK$505,"○")&gt;0,1,0))</f>
        <v>0</v>
      </c>
      <c r="CX268" s="39" t="n">
        <f aca="false">IF(CX$4=0,0,IF(COUNTIFS(実績!$W$6:$W$505,CX$3,実績!$AI$6:$AI$505,"&lt;="&amp;$A268,実績!$AJ$6:$AJ$505,"&gt;"&amp;$A268,実績!$AK$6:$AK$505,"○")&gt;0,1,0))</f>
        <v>0</v>
      </c>
      <c r="CY268" s="39" t="n">
        <f aca="false">IF(CY$4=0,0,IF(COUNTIFS(実績!$W$6:$W$505,CY$3,実績!$AI$6:$AI$505,"&lt;="&amp;$A268,実績!$AJ$6:$AJ$505,"&gt;"&amp;$A268,実績!$AK$6:$AK$505,"○")&gt;0,1,0))</f>
        <v>0</v>
      </c>
      <c r="CZ268" s="39" t="n">
        <f aca="false">IF(CZ$4=0,0,IF(COUNTIFS(実績!$W$6:$W$505,CZ$3,実績!$AI$6:$AI$505,"&lt;="&amp;$A268,実績!$AJ$6:$AJ$505,"&gt;"&amp;$A268,実績!$AK$6:$AK$505,"○")&gt;0,1,0))</f>
        <v>0</v>
      </c>
      <c r="DA268" s="39" t="n">
        <f aca="false">IF(DA$4=0,0,IF(COUNTIFS(実績!$W$6:$W$505,DA$3,実績!$AI$6:$AI$505,"&lt;="&amp;$A268,実績!$AJ$6:$AJ$505,"&gt;"&amp;$A268,実績!$AK$6:$AK$505,"○")&gt;0,1,0))</f>
        <v>0</v>
      </c>
      <c r="DB268" s="39" t="n">
        <f aca="false">IF(DB$4=0,0,IF(COUNTIFS(実績!$W$6:$W$505,DB$3,実績!$AI$6:$AI$505,"&lt;="&amp;$A268,実績!$AJ$6:$AJ$505,"&gt;"&amp;$A268,実績!$AK$6:$AK$505,"○")&gt;0,1,0))</f>
        <v>0</v>
      </c>
      <c r="DC268" s="39" t="n">
        <f aca="false">IF(DC$4=0,0,IF(COUNTIFS(実績!$W$6:$W$505,DC$3,実績!$AI$6:$AI$505,"&lt;="&amp;$A268,実績!$AJ$6:$AJ$505,"&gt;"&amp;$A268,実績!$AK$6:$AK$505,"○")&gt;0,1,0))</f>
        <v>0</v>
      </c>
      <c r="DD268" s="39" t="n">
        <f aca="false">IF(DD$4=0,0,IF(COUNTIFS(実績!$W$6:$W$505,DD$3,実績!$AI$6:$AI$505,"&lt;="&amp;$A268,実績!$AJ$6:$AJ$505,"&gt;"&amp;$A268,実績!$AK$6:$AK$505,"○")&gt;0,1,0))</f>
        <v>0</v>
      </c>
      <c r="DE268" s="39" t="n">
        <f aca="false">IF(DE$4=0,0,IF(COUNTIFS(実績!$W$6:$W$505,DE$3,実績!$AI$6:$AI$505,"&lt;="&amp;$A268,実績!$AJ$6:$AJ$505,"&gt;"&amp;$A268,実績!$AK$6:$AK$505,"○")&gt;0,1,0))</f>
        <v>0</v>
      </c>
      <c r="DF268" s="39" t="n">
        <f aca="false">IF(DF$4=0,0,IF(COUNTIFS(実績!$W$6:$W$505,DF$3,実績!$AI$6:$AI$505,"&lt;="&amp;$A268,実績!$AJ$6:$AJ$505,"&gt;"&amp;$A268,実績!$AK$6:$AK$505,"○")&gt;0,1,0))</f>
        <v>0</v>
      </c>
      <c r="DG268" s="39" t="n">
        <f aca="false">IF(DG$4=0,0,IF(COUNTIFS(実績!$W$6:$W$505,DG$3,実績!$AI$6:$AI$505,"&lt;="&amp;$A268,実績!$AJ$6:$AJ$505,"&gt;"&amp;$A268,実績!$AK$6:$AK$505,"○")&gt;0,1,0))</f>
        <v>0</v>
      </c>
      <c r="DH268" s="39" t="n">
        <f aca="false">IF(DH$4=0,0,IF(COUNTIFS(実績!$W$6:$W$505,DH$3,実績!$AI$6:$AI$505,"&lt;="&amp;$A268,実績!$AJ$6:$AJ$505,"&gt;"&amp;$A268,実績!$AK$6:$AK$505,"○")&gt;0,1,0))</f>
        <v>0</v>
      </c>
      <c r="DI268" s="39" t="n">
        <f aca="false">IF(DI$4=0,0,IF(COUNTIFS(実績!$W$6:$W$505,DI$3,実績!$AI$6:$AI$505,"&lt;="&amp;$A268,実績!$AJ$6:$AJ$505,"&gt;"&amp;$A268,実績!$AK$6:$AK$505,"○")&gt;0,1,0))</f>
        <v>0</v>
      </c>
      <c r="DJ268" s="39" t="n">
        <f aca="false">IF(DJ$4=0,0,IF(COUNTIFS(実績!$W$6:$W$505,DJ$3,実績!$AI$6:$AI$505,"&lt;="&amp;$A268,実績!$AJ$6:$AJ$505,"&gt;"&amp;$A268,実績!$AK$6:$AK$505,"○")&gt;0,1,0))</f>
        <v>0</v>
      </c>
      <c r="DK268" s="39" t="n">
        <f aca="false">IF(DK$4=0,0,IF(COUNTIFS(実績!$W$6:$W$505,DK$3,実績!$AI$6:$AI$505,"&lt;="&amp;$A268,実績!$AJ$6:$AJ$505,"&gt;"&amp;$A268,実績!$AK$6:$AK$505,"○")&gt;0,1,0))</f>
        <v>0</v>
      </c>
      <c r="DL268" s="39" t="n">
        <f aca="false">IF(DL$4=0,0,IF(COUNTIFS(実績!$W$6:$W$505,DL$3,実績!$AI$6:$AI$505,"&lt;="&amp;$A268,実績!$AJ$6:$AJ$505,"&gt;"&amp;$A268,実績!$AK$6:$AK$505,"○")&gt;0,1,0))</f>
        <v>0</v>
      </c>
      <c r="DM268" s="39" t="n">
        <f aca="false">IF(DM$4=0,0,IF(COUNTIFS(実績!$W$6:$W$505,DM$3,実績!$AI$6:$AI$505,"&lt;="&amp;$A268,実績!$AJ$6:$AJ$505,"&gt;"&amp;$A268,実績!$AK$6:$AK$505,"○")&gt;0,1,0))</f>
        <v>0</v>
      </c>
      <c r="DN268" s="39" t="n">
        <f aca="false">IF(DN$4=0,0,IF(COUNTIFS(実績!$W$6:$W$505,DN$3,実績!$AI$6:$AI$505,"&lt;="&amp;$A268,実績!$AJ$6:$AJ$505,"&gt;"&amp;$A268,実績!$AK$6:$AK$505,"○")&gt;0,1,0))</f>
        <v>0</v>
      </c>
      <c r="DO268" s="39" t="n">
        <f aca="false">IF(DO$4=0,0,IF(COUNTIFS(実績!$W$6:$W$505,DO$3,実績!$AI$6:$AI$505,"&lt;="&amp;$A268,実績!$AJ$6:$AJ$505,"&gt;"&amp;$A268,実績!$AK$6:$AK$505,"○")&gt;0,1,0))</f>
        <v>0</v>
      </c>
      <c r="DP268" s="39" t="n">
        <f aca="false">IF(DP$4=0,0,IF(COUNTIFS(実績!$W$6:$W$505,DP$3,実績!$AI$6:$AI$505,"&lt;="&amp;$A268,実績!$AJ$6:$AJ$505,"&gt;"&amp;$A268,実績!$AK$6:$AK$505,"○")&gt;0,1,0))</f>
        <v>0</v>
      </c>
      <c r="DQ268" s="39" t="n">
        <f aca="false">IF(DQ$4=0,0,IF(COUNTIFS(実績!$W$6:$W$505,DQ$3,実績!$AI$6:$AI$505,"&lt;="&amp;$A268,実績!$AJ$6:$AJ$505,"&gt;"&amp;$A268,実績!$AK$6:$AK$505,"○")&gt;0,1,0))</f>
        <v>0</v>
      </c>
      <c r="DR268" s="39" t="n">
        <f aca="false">IF(DR$4=0,0,IF(COUNTIFS(実績!$W$6:$W$505,DR$3,実績!$AI$6:$AI$505,"&lt;="&amp;$A268,実績!$AJ$6:$AJ$505,"&gt;"&amp;$A268,実績!$AK$6:$AK$505,"○")&gt;0,1,0))</f>
        <v>0</v>
      </c>
      <c r="DS268" s="39" t="n">
        <f aca="false">SUM(C268:DR268)</f>
        <v>0</v>
      </c>
      <c r="DT268" s="39" t="n">
        <f aca="false">SUMPRODUCT((実績!$C$6:$C$505="○")*ISNUMBER(実績!$AM$6:$AM$505)*(実績!$AM$6:$AM$505&lt;=$A268)*(実績!$AN$6:$AN$505&gt;$A268))</f>
        <v>0</v>
      </c>
      <c r="DU268" s="39" t="n">
        <f aca="false">SUMIF($C$2:$DR$2,"製鉄曳船",C268:DR268)</f>
        <v>0</v>
      </c>
      <c r="DV268" s="39" t="n">
        <f aca="false">SUMIF($C$2:$DR$2,"西日本海運",C268:DR268)</f>
        <v>0</v>
      </c>
    </row>
    <row r="269" customFormat="false" ht="15" hidden="false" customHeight="false" outlineLevel="0" collapsed="false">
      <c r="A269" s="0" t="n">
        <v>1315</v>
      </c>
      <c r="B269" s="38" t="n">
        <f aca="false">A269/1440</f>
        <v>0.913194444444444</v>
      </c>
      <c r="C269" s="39" t="n">
        <f aca="false">IF(C$4=0,0,IF(COUNTIFS(実績!$W$6:$W$505,C$3,実績!$AI$6:$AI$505,"&lt;="&amp;$A269,実績!$AJ$6:$AJ$505,"&gt;"&amp;$A269,実績!$AK$6:$AK$505,"○")&gt;0,1,0))</f>
        <v>0</v>
      </c>
      <c r="D269" s="39" t="n">
        <f aca="false">IF(D$4=0,0,IF(COUNTIFS(実績!$W$6:$W$505,D$3,実績!$AI$6:$AI$505,"&lt;="&amp;$A269,実績!$AJ$6:$AJ$505,"&gt;"&amp;$A269,実績!$AK$6:$AK$505,"○")&gt;0,1,0))</f>
        <v>0</v>
      </c>
      <c r="E269" s="39" t="n">
        <f aca="false">IF(E$4=0,0,IF(COUNTIFS(実績!$W$6:$W$505,E$3,実績!$AI$6:$AI$505,"&lt;="&amp;$A269,実績!$AJ$6:$AJ$505,"&gt;"&amp;$A269,実績!$AK$6:$AK$505,"○")&gt;0,1,0))</f>
        <v>0</v>
      </c>
      <c r="F269" s="39" t="n">
        <f aca="false">IF(F$4=0,0,IF(COUNTIFS(実績!$W$6:$W$505,F$3,実績!$AI$6:$AI$505,"&lt;="&amp;$A269,実績!$AJ$6:$AJ$505,"&gt;"&amp;$A269,実績!$AK$6:$AK$505,"○")&gt;0,1,0))</f>
        <v>0</v>
      </c>
      <c r="G269" s="39" t="n">
        <f aca="false">IF(G$4=0,0,IF(COUNTIFS(実績!$W$6:$W$505,G$3,実績!$AI$6:$AI$505,"&lt;="&amp;$A269,実績!$AJ$6:$AJ$505,"&gt;"&amp;$A269,実績!$AK$6:$AK$505,"○")&gt;0,1,0))</f>
        <v>0</v>
      </c>
      <c r="H269" s="39" t="n">
        <f aca="false">IF(H$4=0,0,IF(COUNTIFS(実績!$W$6:$W$505,H$3,実績!$AI$6:$AI$505,"&lt;="&amp;$A269,実績!$AJ$6:$AJ$505,"&gt;"&amp;$A269,実績!$AK$6:$AK$505,"○")&gt;0,1,0))</f>
        <v>0</v>
      </c>
      <c r="I269" s="39" t="n">
        <f aca="false">IF(I$4=0,0,IF(COUNTIFS(実績!$W$6:$W$505,I$3,実績!$AI$6:$AI$505,"&lt;="&amp;$A269,実績!$AJ$6:$AJ$505,"&gt;"&amp;$A269,実績!$AK$6:$AK$505,"○")&gt;0,1,0))</f>
        <v>0</v>
      </c>
      <c r="J269" s="39" t="n">
        <f aca="false">IF(J$4=0,0,IF(COUNTIFS(実績!$W$6:$W$505,J$3,実績!$AI$6:$AI$505,"&lt;="&amp;$A269,実績!$AJ$6:$AJ$505,"&gt;"&amp;$A269,実績!$AK$6:$AK$505,"○")&gt;0,1,0))</f>
        <v>0</v>
      </c>
      <c r="K269" s="39" t="n">
        <f aca="false">IF(K$4=0,0,IF(COUNTIFS(実績!$W$6:$W$505,K$3,実績!$AI$6:$AI$505,"&lt;="&amp;$A269,実績!$AJ$6:$AJ$505,"&gt;"&amp;$A269,実績!$AK$6:$AK$505,"○")&gt;0,1,0))</f>
        <v>0</v>
      </c>
      <c r="L269" s="39" t="n">
        <f aca="false">IF(L$4=0,0,IF(COUNTIFS(実績!$W$6:$W$505,L$3,実績!$AI$6:$AI$505,"&lt;="&amp;$A269,実績!$AJ$6:$AJ$505,"&gt;"&amp;$A269,実績!$AK$6:$AK$505,"○")&gt;0,1,0))</f>
        <v>0</v>
      </c>
      <c r="M269" s="39" t="n">
        <f aca="false">IF(M$4=0,0,IF(COUNTIFS(実績!$W$6:$W$505,M$3,実績!$AI$6:$AI$505,"&lt;="&amp;$A269,実績!$AJ$6:$AJ$505,"&gt;"&amp;$A269,実績!$AK$6:$AK$505,"○")&gt;0,1,0))</f>
        <v>0</v>
      </c>
      <c r="N269" s="39" t="n">
        <f aca="false">IF(N$4=0,0,IF(COUNTIFS(実績!$W$6:$W$505,N$3,実績!$AI$6:$AI$505,"&lt;="&amp;$A269,実績!$AJ$6:$AJ$505,"&gt;"&amp;$A269,実績!$AK$6:$AK$505,"○")&gt;0,1,0))</f>
        <v>0</v>
      </c>
      <c r="O269" s="39" t="n">
        <f aca="false">IF(O$4=0,0,IF(COUNTIFS(実績!$W$6:$W$505,O$3,実績!$AI$6:$AI$505,"&lt;="&amp;$A269,実績!$AJ$6:$AJ$505,"&gt;"&amp;$A269,実績!$AK$6:$AK$505,"○")&gt;0,1,0))</f>
        <v>0</v>
      </c>
      <c r="P269" s="39" t="n">
        <f aca="false">IF(P$4=0,0,IF(COUNTIFS(実績!$W$6:$W$505,P$3,実績!$AI$6:$AI$505,"&lt;="&amp;$A269,実績!$AJ$6:$AJ$505,"&gt;"&amp;$A269,実績!$AK$6:$AK$505,"○")&gt;0,1,0))</f>
        <v>0</v>
      </c>
      <c r="Q269" s="39" t="n">
        <f aca="false">IF(Q$4=0,0,IF(COUNTIFS(実績!$W$6:$W$505,Q$3,実績!$AI$6:$AI$505,"&lt;="&amp;$A269,実績!$AJ$6:$AJ$505,"&gt;"&amp;$A269,実績!$AK$6:$AK$505,"○")&gt;0,1,0))</f>
        <v>0</v>
      </c>
      <c r="R269" s="39" t="n">
        <f aca="false">IF(R$4=0,0,IF(COUNTIFS(実績!$W$6:$W$505,R$3,実績!$AI$6:$AI$505,"&lt;="&amp;$A269,実績!$AJ$6:$AJ$505,"&gt;"&amp;$A269,実績!$AK$6:$AK$505,"○")&gt;0,1,0))</f>
        <v>0</v>
      </c>
      <c r="S269" s="39" t="n">
        <f aca="false">IF(S$4=0,0,IF(COUNTIFS(実績!$W$6:$W$505,S$3,実績!$AI$6:$AI$505,"&lt;="&amp;$A269,実績!$AJ$6:$AJ$505,"&gt;"&amp;$A269,実績!$AK$6:$AK$505,"○")&gt;0,1,0))</f>
        <v>0</v>
      </c>
      <c r="T269" s="39" t="n">
        <f aca="false">IF(T$4=0,0,IF(COUNTIFS(実績!$W$6:$W$505,T$3,実績!$AI$6:$AI$505,"&lt;="&amp;$A269,実績!$AJ$6:$AJ$505,"&gt;"&amp;$A269,実績!$AK$6:$AK$505,"○")&gt;0,1,0))</f>
        <v>0</v>
      </c>
      <c r="U269" s="39" t="n">
        <f aca="false">IF(U$4=0,0,IF(COUNTIFS(実績!$W$6:$W$505,U$3,実績!$AI$6:$AI$505,"&lt;="&amp;$A269,実績!$AJ$6:$AJ$505,"&gt;"&amp;$A269,実績!$AK$6:$AK$505,"○")&gt;0,1,0))</f>
        <v>0</v>
      </c>
      <c r="V269" s="39" t="n">
        <f aca="false">IF(V$4=0,0,IF(COUNTIFS(実績!$W$6:$W$505,V$3,実績!$AI$6:$AI$505,"&lt;="&amp;$A269,実績!$AJ$6:$AJ$505,"&gt;"&amp;$A269,実績!$AK$6:$AK$505,"○")&gt;0,1,0))</f>
        <v>0</v>
      </c>
      <c r="W269" s="39" t="n">
        <f aca="false">IF(W$4=0,0,IF(COUNTIFS(実績!$W$6:$W$505,W$3,実績!$AI$6:$AI$505,"&lt;="&amp;$A269,実績!$AJ$6:$AJ$505,"&gt;"&amp;$A269,実績!$AK$6:$AK$505,"○")&gt;0,1,0))</f>
        <v>0</v>
      </c>
      <c r="X269" s="39" t="n">
        <f aca="false">IF(X$4=0,0,IF(COUNTIFS(実績!$W$6:$W$505,X$3,実績!$AI$6:$AI$505,"&lt;="&amp;$A269,実績!$AJ$6:$AJ$505,"&gt;"&amp;$A269,実績!$AK$6:$AK$505,"○")&gt;0,1,0))</f>
        <v>0</v>
      </c>
      <c r="Y269" s="39" t="n">
        <f aca="false">IF(Y$4=0,0,IF(COUNTIFS(実績!$W$6:$W$505,Y$3,実績!$AI$6:$AI$505,"&lt;="&amp;$A269,実績!$AJ$6:$AJ$505,"&gt;"&amp;$A269,実績!$AK$6:$AK$505,"○")&gt;0,1,0))</f>
        <v>0</v>
      </c>
      <c r="Z269" s="39" t="n">
        <f aca="false">IF(Z$4=0,0,IF(COUNTIFS(実績!$W$6:$W$505,Z$3,実績!$AI$6:$AI$505,"&lt;="&amp;$A269,実績!$AJ$6:$AJ$505,"&gt;"&amp;$A269,実績!$AK$6:$AK$505,"○")&gt;0,1,0))</f>
        <v>0</v>
      </c>
      <c r="AA269" s="39" t="n">
        <f aca="false">IF(AA$4=0,0,IF(COUNTIFS(実績!$W$6:$W$505,AA$3,実績!$AI$6:$AI$505,"&lt;="&amp;$A269,実績!$AJ$6:$AJ$505,"&gt;"&amp;$A269,実績!$AK$6:$AK$505,"○")&gt;0,1,0))</f>
        <v>0</v>
      </c>
      <c r="AB269" s="39" t="n">
        <f aca="false">IF(AB$4=0,0,IF(COUNTIFS(実績!$W$6:$W$505,AB$3,実績!$AI$6:$AI$505,"&lt;="&amp;$A269,実績!$AJ$6:$AJ$505,"&gt;"&amp;$A269,実績!$AK$6:$AK$505,"○")&gt;0,1,0))</f>
        <v>0</v>
      </c>
      <c r="AC269" s="39" t="n">
        <f aca="false">IF(AC$4=0,0,IF(COUNTIFS(実績!$W$6:$W$505,AC$3,実績!$AI$6:$AI$505,"&lt;="&amp;$A269,実績!$AJ$6:$AJ$505,"&gt;"&amp;$A269,実績!$AK$6:$AK$505,"○")&gt;0,1,0))</f>
        <v>0</v>
      </c>
      <c r="AD269" s="39" t="n">
        <f aca="false">IF(AD$4=0,0,IF(COUNTIFS(実績!$W$6:$W$505,AD$3,実績!$AI$6:$AI$505,"&lt;="&amp;$A269,実績!$AJ$6:$AJ$505,"&gt;"&amp;$A269,実績!$AK$6:$AK$505,"○")&gt;0,1,0))</f>
        <v>0</v>
      </c>
      <c r="AE269" s="39" t="n">
        <f aca="false">IF(AE$4=0,0,IF(COUNTIFS(実績!$W$6:$W$505,AE$3,実績!$AI$6:$AI$505,"&lt;="&amp;$A269,実績!$AJ$6:$AJ$505,"&gt;"&amp;$A269,実績!$AK$6:$AK$505,"○")&gt;0,1,0))</f>
        <v>0</v>
      </c>
      <c r="AF269" s="39" t="n">
        <f aca="false">IF(AF$4=0,0,IF(COUNTIFS(実績!$W$6:$W$505,AF$3,実績!$AI$6:$AI$505,"&lt;="&amp;$A269,実績!$AJ$6:$AJ$505,"&gt;"&amp;$A269,実績!$AK$6:$AK$505,"○")&gt;0,1,0))</f>
        <v>0</v>
      </c>
      <c r="AG269" s="39" t="n">
        <f aca="false">IF(AG$4=0,0,IF(COUNTIFS(実績!$W$6:$W$505,AG$3,実績!$AI$6:$AI$505,"&lt;="&amp;$A269,実績!$AJ$6:$AJ$505,"&gt;"&amp;$A269,実績!$AK$6:$AK$505,"○")&gt;0,1,0))</f>
        <v>0</v>
      </c>
      <c r="AH269" s="39" t="n">
        <f aca="false">IF(AH$4=0,0,IF(COUNTIFS(実績!$W$6:$W$505,AH$3,実績!$AI$6:$AI$505,"&lt;="&amp;$A269,実績!$AJ$6:$AJ$505,"&gt;"&amp;$A269,実績!$AK$6:$AK$505,"○")&gt;0,1,0))</f>
        <v>0</v>
      </c>
      <c r="AI269" s="39" t="n">
        <f aca="false">IF(AI$4=0,0,IF(COUNTIFS(実績!$W$6:$W$505,AI$3,実績!$AI$6:$AI$505,"&lt;="&amp;$A269,実績!$AJ$6:$AJ$505,"&gt;"&amp;$A269,実績!$AK$6:$AK$505,"○")&gt;0,1,0))</f>
        <v>0</v>
      </c>
      <c r="AJ269" s="39" t="n">
        <f aca="false">IF(AJ$4=0,0,IF(COUNTIFS(実績!$W$6:$W$505,AJ$3,実績!$AI$6:$AI$505,"&lt;="&amp;$A269,実績!$AJ$6:$AJ$505,"&gt;"&amp;$A269,実績!$AK$6:$AK$505,"○")&gt;0,1,0))</f>
        <v>0</v>
      </c>
      <c r="AK269" s="39" t="n">
        <f aca="false">IF(AK$4=0,0,IF(COUNTIFS(実績!$W$6:$W$505,AK$3,実績!$AI$6:$AI$505,"&lt;="&amp;$A269,実績!$AJ$6:$AJ$505,"&gt;"&amp;$A269,実績!$AK$6:$AK$505,"○")&gt;0,1,0))</f>
        <v>0</v>
      </c>
      <c r="AL269" s="39" t="n">
        <f aca="false">IF(AL$4=0,0,IF(COUNTIFS(実績!$W$6:$W$505,AL$3,実績!$AI$6:$AI$505,"&lt;="&amp;$A269,実績!$AJ$6:$AJ$505,"&gt;"&amp;$A269,実績!$AK$6:$AK$505,"○")&gt;0,1,0))</f>
        <v>0</v>
      </c>
      <c r="AM269" s="39" t="n">
        <f aca="false">IF(AM$4=0,0,IF(COUNTIFS(実績!$W$6:$W$505,AM$3,実績!$AI$6:$AI$505,"&lt;="&amp;$A269,実績!$AJ$6:$AJ$505,"&gt;"&amp;$A269,実績!$AK$6:$AK$505,"○")&gt;0,1,0))</f>
        <v>0</v>
      </c>
      <c r="AN269" s="39" t="n">
        <f aca="false">IF(AN$4=0,0,IF(COUNTIFS(実績!$W$6:$W$505,AN$3,実績!$AI$6:$AI$505,"&lt;="&amp;$A269,実績!$AJ$6:$AJ$505,"&gt;"&amp;$A269,実績!$AK$6:$AK$505,"○")&gt;0,1,0))</f>
        <v>0</v>
      </c>
      <c r="AO269" s="39" t="n">
        <f aca="false">IF(AO$4=0,0,IF(COUNTIFS(実績!$W$6:$W$505,AO$3,実績!$AI$6:$AI$505,"&lt;="&amp;$A269,実績!$AJ$6:$AJ$505,"&gt;"&amp;$A269,実績!$AK$6:$AK$505,"○")&gt;0,1,0))</f>
        <v>0</v>
      </c>
      <c r="AP269" s="39" t="n">
        <f aca="false">IF(AP$4=0,0,IF(COUNTIFS(実績!$W$6:$W$505,AP$3,実績!$AI$6:$AI$505,"&lt;="&amp;$A269,実績!$AJ$6:$AJ$505,"&gt;"&amp;$A269,実績!$AK$6:$AK$505,"○")&gt;0,1,0))</f>
        <v>0</v>
      </c>
      <c r="AQ269" s="39" t="n">
        <f aca="false">IF(AQ$4=0,0,IF(COUNTIFS(実績!$W$6:$W$505,AQ$3,実績!$AI$6:$AI$505,"&lt;="&amp;$A269,実績!$AJ$6:$AJ$505,"&gt;"&amp;$A269,実績!$AK$6:$AK$505,"○")&gt;0,1,0))</f>
        <v>0</v>
      </c>
      <c r="AR269" s="39" t="n">
        <f aca="false">IF(AR$4=0,0,IF(COUNTIFS(実績!$W$6:$W$505,AR$3,実績!$AI$6:$AI$505,"&lt;="&amp;$A269,実績!$AJ$6:$AJ$505,"&gt;"&amp;$A269,実績!$AK$6:$AK$505,"○")&gt;0,1,0))</f>
        <v>0</v>
      </c>
      <c r="AS269" s="39" t="n">
        <f aca="false">IF(AS$4=0,0,IF(COUNTIFS(実績!$W$6:$W$505,AS$3,実績!$AI$6:$AI$505,"&lt;="&amp;$A269,実績!$AJ$6:$AJ$505,"&gt;"&amp;$A269,実績!$AK$6:$AK$505,"○")&gt;0,1,0))</f>
        <v>0</v>
      </c>
      <c r="AT269" s="39" t="n">
        <f aca="false">IF(AT$4=0,0,IF(COUNTIFS(実績!$W$6:$W$505,AT$3,実績!$AI$6:$AI$505,"&lt;="&amp;$A269,実績!$AJ$6:$AJ$505,"&gt;"&amp;$A269,実績!$AK$6:$AK$505,"○")&gt;0,1,0))</f>
        <v>0</v>
      </c>
      <c r="AU269" s="39" t="n">
        <f aca="false">IF(AU$4=0,0,IF(COUNTIFS(実績!$W$6:$W$505,AU$3,実績!$AI$6:$AI$505,"&lt;="&amp;$A269,実績!$AJ$6:$AJ$505,"&gt;"&amp;$A269,実績!$AK$6:$AK$505,"○")&gt;0,1,0))</f>
        <v>0</v>
      </c>
      <c r="AV269" s="39" t="n">
        <f aca="false">IF(AV$4=0,0,IF(COUNTIFS(実績!$W$6:$W$505,AV$3,実績!$AI$6:$AI$505,"&lt;="&amp;$A269,実績!$AJ$6:$AJ$505,"&gt;"&amp;$A269,実績!$AK$6:$AK$505,"○")&gt;0,1,0))</f>
        <v>0</v>
      </c>
      <c r="AW269" s="39" t="n">
        <f aca="false">IF(AW$4=0,0,IF(COUNTIFS(実績!$W$6:$W$505,AW$3,実績!$AI$6:$AI$505,"&lt;="&amp;$A269,実績!$AJ$6:$AJ$505,"&gt;"&amp;$A269,実績!$AK$6:$AK$505,"○")&gt;0,1,0))</f>
        <v>0</v>
      </c>
      <c r="AX269" s="39" t="n">
        <f aca="false">IF(AX$4=0,0,IF(COUNTIFS(実績!$W$6:$W$505,AX$3,実績!$AI$6:$AI$505,"&lt;="&amp;$A269,実績!$AJ$6:$AJ$505,"&gt;"&amp;$A269,実績!$AK$6:$AK$505,"○")&gt;0,1,0))</f>
        <v>0</v>
      </c>
      <c r="AY269" s="39" t="n">
        <f aca="false">IF(AY$4=0,0,IF(COUNTIFS(実績!$W$6:$W$505,AY$3,実績!$AI$6:$AI$505,"&lt;="&amp;$A269,実績!$AJ$6:$AJ$505,"&gt;"&amp;$A269,実績!$AK$6:$AK$505,"○")&gt;0,1,0))</f>
        <v>0</v>
      </c>
      <c r="AZ269" s="39" t="n">
        <f aca="false">IF(AZ$4=0,0,IF(COUNTIFS(実績!$W$6:$W$505,AZ$3,実績!$AI$6:$AI$505,"&lt;="&amp;$A269,実績!$AJ$6:$AJ$505,"&gt;"&amp;$A269,実績!$AK$6:$AK$505,"○")&gt;0,1,0))</f>
        <v>0</v>
      </c>
      <c r="BA269" s="39" t="n">
        <f aca="false">IF(BA$4=0,0,IF(COUNTIFS(実績!$W$6:$W$505,BA$3,実績!$AI$6:$AI$505,"&lt;="&amp;$A269,実績!$AJ$6:$AJ$505,"&gt;"&amp;$A269,実績!$AK$6:$AK$505,"○")&gt;0,1,0))</f>
        <v>0</v>
      </c>
      <c r="BB269" s="39" t="n">
        <f aca="false">IF(BB$4=0,0,IF(COUNTIFS(実績!$W$6:$W$505,BB$3,実績!$AI$6:$AI$505,"&lt;="&amp;$A269,実績!$AJ$6:$AJ$505,"&gt;"&amp;$A269,実績!$AK$6:$AK$505,"○")&gt;0,1,0))</f>
        <v>0</v>
      </c>
      <c r="BC269" s="39" t="n">
        <f aca="false">IF(BC$4=0,0,IF(COUNTIFS(実績!$W$6:$W$505,BC$3,実績!$AI$6:$AI$505,"&lt;="&amp;$A269,実績!$AJ$6:$AJ$505,"&gt;"&amp;$A269,実績!$AK$6:$AK$505,"○")&gt;0,1,0))</f>
        <v>0</v>
      </c>
      <c r="BD269" s="39" t="n">
        <f aca="false">IF(BD$4=0,0,IF(COUNTIFS(実績!$W$6:$W$505,BD$3,実績!$AI$6:$AI$505,"&lt;="&amp;$A269,実績!$AJ$6:$AJ$505,"&gt;"&amp;$A269,実績!$AK$6:$AK$505,"○")&gt;0,1,0))</f>
        <v>0</v>
      </c>
      <c r="BE269" s="39" t="n">
        <f aca="false">IF(BE$4=0,0,IF(COUNTIFS(実績!$W$6:$W$505,BE$3,実績!$AI$6:$AI$505,"&lt;="&amp;$A269,実績!$AJ$6:$AJ$505,"&gt;"&amp;$A269,実績!$AK$6:$AK$505,"○")&gt;0,1,0))</f>
        <v>0</v>
      </c>
      <c r="BF269" s="39" t="n">
        <f aca="false">IF(BF$4=0,0,IF(COUNTIFS(実績!$W$6:$W$505,BF$3,実績!$AI$6:$AI$505,"&lt;="&amp;$A269,実績!$AJ$6:$AJ$505,"&gt;"&amp;$A269,実績!$AK$6:$AK$505,"○")&gt;0,1,0))</f>
        <v>0</v>
      </c>
      <c r="BG269" s="39" t="n">
        <f aca="false">IF(BG$4=0,0,IF(COUNTIFS(実績!$W$6:$W$505,BG$3,実績!$AI$6:$AI$505,"&lt;="&amp;$A269,実績!$AJ$6:$AJ$505,"&gt;"&amp;$A269,実績!$AK$6:$AK$505,"○")&gt;0,1,0))</f>
        <v>0</v>
      </c>
      <c r="BH269" s="39" t="n">
        <f aca="false">IF(BH$4=0,0,IF(COUNTIFS(実績!$W$6:$W$505,BH$3,実績!$AI$6:$AI$505,"&lt;="&amp;$A269,実績!$AJ$6:$AJ$505,"&gt;"&amp;$A269,実績!$AK$6:$AK$505,"○")&gt;0,1,0))</f>
        <v>0</v>
      </c>
      <c r="BI269" s="39" t="n">
        <f aca="false">IF(BI$4=0,0,IF(COUNTIFS(実績!$W$6:$W$505,BI$3,実績!$AI$6:$AI$505,"&lt;="&amp;$A269,実績!$AJ$6:$AJ$505,"&gt;"&amp;$A269,実績!$AK$6:$AK$505,"○")&gt;0,1,0))</f>
        <v>0</v>
      </c>
      <c r="BJ269" s="39" t="n">
        <f aca="false">IF(BJ$4=0,0,IF(COUNTIFS(実績!$W$6:$W$505,BJ$3,実績!$AI$6:$AI$505,"&lt;="&amp;$A269,実績!$AJ$6:$AJ$505,"&gt;"&amp;$A269,実績!$AK$6:$AK$505,"○")&gt;0,1,0))</f>
        <v>0</v>
      </c>
      <c r="BK269" s="39" t="n">
        <f aca="false">IF(BK$4=0,0,IF(COUNTIFS(実績!$W$6:$W$505,BK$3,実績!$AI$6:$AI$505,"&lt;="&amp;$A269,実績!$AJ$6:$AJ$505,"&gt;"&amp;$A269,実績!$AK$6:$AK$505,"○")&gt;0,1,0))</f>
        <v>0</v>
      </c>
      <c r="BL269" s="39" t="n">
        <f aca="false">IF(BL$4=0,0,IF(COUNTIFS(実績!$W$6:$W$505,BL$3,実績!$AI$6:$AI$505,"&lt;="&amp;$A269,実績!$AJ$6:$AJ$505,"&gt;"&amp;$A269,実績!$AK$6:$AK$505,"○")&gt;0,1,0))</f>
        <v>0</v>
      </c>
      <c r="BM269" s="39" t="n">
        <f aca="false">IF(BM$4=0,0,IF(COUNTIFS(実績!$W$6:$W$505,BM$3,実績!$AI$6:$AI$505,"&lt;="&amp;$A269,実績!$AJ$6:$AJ$505,"&gt;"&amp;$A269,実績!$AK$6:$AK$505,"○")&gt;0,1,0))</f>
        <v>0</v>
      </c>
      <c r="BN269" s="39" t="n">
        <f aca="false">IF(BN$4=0,0,IF(COUNTIFS(実績!$W$6:$W$505,BN$3,実績!$AI$6:$AI$505,"&lt;="&amp;$A269,実績!$AJ$6:$AJ$505,"&gt;"&amp;$A269,実績!$AK$6:$AK$505,"○")&gt;0,1,0))</f>
        <v>0</v>
      </c>
      <c r="BO269" s="39" t="n">
        <f aca="false">IF(BO$4=0,0,IF(COUNTIFS(実績!$W$6:$W$505,BO$3,実績!$AI$6:$AI$505,"&lt;="&amp;$A269,実績!$AJ$6:$AJ$505,"&gt;"&amp;$A269,実績!$AK$6:$AK$505,"○")&gt;0,1,0))</f>
        <v>0</v>
      </c>
      <c r="BP269" s="39" t="n">
        <f aca="false">IF(BP$4=0,0,IF(COUNTIFS(実績!$W$6:$W$505,BP$3,実績!$AI$6:$AI$505,"&lt;="&amp;$A269,実績!$AJ$6:$AJ$505,"&gt;"&amp;$A269,実績!$AK$6:$AK$505,"○")&gt;0,1,0))</f>
        <v>0</v>
      </c>
      <c r="BQ269" s="39" t="n">
        <f aca="false">IF(BQ$4=0,0,IF(COUNTIFS(実績!$W$6:$W$505,BQ$3,実績!$AI$6:$AI$505,"&lt;="&amp;$A269,実績!$AJ$6:$AJ$505,"&gt;"&amp;$A269,実績!$AK$6:$AK$505,"○")&gt;0,1,0))</f>
        <v>0</v>
      </c>
      <c r="BR269" s="39" t="n">
        <f aca="false">IF(BR$4=0,0,IF(COUNTIFS(実績!$W$6:$W$505,BR$3,実績!$AI$6:$AI$505,"&lt;="&amp;$A269,実績!$AJ$6:$AJ$505,"&gt;"&amp;$A269,実績!$AK$6:$AK$505,"○")&gt;0,1,0))</f>
        <v>0</v>
      </c>
      <c r="BS269" s="39" t="n">
        <f aca="false">IF(BS$4=0,0,IF(COUNTIFS(実績!$W$6:$W$505,BS$3,実績!$AI$6:$AI$505,"&lt;="&amp;$A269,実績!$AJ$6:$AJ$505,"&gt;"&amp;$A269,実績!$AK$6:$AK$505,"○")&gt;0,1,0))</f>
        <v>0</v>
      </c>
      <c r="BT269" s="39" t="n">
        <f aca="false">IF(BT$4=0,0,IF(COUNTIFS(実績!$W$6:$W$505,BT$3,実績!$AI$6:$AI$505,"&lt;="&amp;$A269,実績!$AJ$6:$AJ$505,"&gt;"&amp;$A269,実績!$AK$6:$AK$505,"○")&gt;0,1,0))</f>
        <v>0</v>
      </c>
      <c r="BU269" s="39" t="n">
        <f aca="false">IF(BU$4=0,0,IF(COUNTIFS(実績!$W$6:$W$505,BU$3,実績!$AI$6:$AI$505,"&lt;="&amp;$A269,実績!$AJ$6:$AJ$505,"&gt;"&amp;$A269,実績!$AK$6:$AK$505,"○")&gt;0,1,0))</f>
        <v>0</v>
      </c>
      <c r="BV269" s="39" t="n">
        <f aca="false">IF(BV$4=0,0,IF(COUNTIFS(実績!$W$6:$W$505,BV$3,実績!$AI$6:$AI$505,"&lt;="&amp;$A269,実績!$AJ$6:$AJ$505,"&gt;"&amp;$A269,実績!$AK$6:$AK$505,"○")&gt;0,1,0))</f>
        <v>0</v>
      </c>
      <c r="BW269" s="39" t="n">
        <f aca="false">IF(BW$4=0,0,IF(COUNTIFS(実績!$W$6:$W$505,BW$3,実績!$AI$6:$AI$505,"&lt;="&amp;$A269,実績!$AJ$6:$AJ$505,"&gt;"&amp;$A269,実績!$AK$6:$AK$505,"○")&gt;0,1,0))</f>
        <v>0</v>
      </c>
      <c r="BX269" s="39" t="n">
        <f aca="false">IF(BX$4=0,0,IF(COUNTIFS(実績!$W$6:$W$505,BX$3,実績!$AI$6:$AI$505,"&lt;="&amp;$A269,実績!$AJ$6:$AJ$505,"&gt;"&amp;$A269,実績!$AK$6:$AK$505,"○")&gt;0,1,0))</f>
        <v>0</v>
      </c>
      <c r="BY269" s="39" t="n">
        <f aca="false">IF(BY$4=0,0,IF(COUNTIFS(実績!$W$6:$W$505,BY$3,実績!$AI$6:$AI$505,"&lt;="&amp;$A269,実績!$AJ$6:$AJ$505,"&gt;"&amp;$A269,実績!$AK$6:$AK$505,"○")&gt;0,1,0))</f>
        <v>0</v>
      </c>
      <c r="BZ269" s="39" t="n">
        <f aca="false">IF(BZ$4=0,0,IF(COUNTIFS(実績!$W$6:$W$505,BZ$3,実績!$AI$6:$AI$505,"&lt;="&amp;$A269,実績!$AJ$6:$AJ$505,"&gt;"&amp;$A269,実績!$AK$6:$AK$505,"○")&gt;0,1,0))</f>
        <v>0</v>
      </c>
      <c r="CA269" s="39" t="n">
        <f aca="false">IF(CA$4=0,0,IF(COUNTIFS(実績!$W$6:$W$505,CA$3,実績!$AI$6:$AI$505,"&lt;="&amp;$A269,実績!$AJ$6:$AJ$505,"&gt;"&amp;$A269,実績!$AK$6:$AK$505,"○")&gt;0,1,0))</f>
        <v>0</v>
      </c>
      <c r="CB269" s="39" t="n">
        <f aca="false">IF(CB$4=0,0,IF(COUNTIFS(実績!$W$6:$W$505,CB$3,実績!$AI$6:$AI$505,"&lt;="&amp;$A269,実績!$AJ$6:$AJ$505,"&gt;"&amp;$A269,実績!$AK$6:$AK$505,"○")&gt;0,1,0))</f>
        <v>0</v>
      </c>
      <c r="CC269" s="39" t="n">
        <f aca="false">IF(CC$4=0,0,IF(COUNTIFS(実績!$W$6:$W$505,CC$3,実績!$AI$6:$AI$505,"&lt;="&amp;$A269,実績!$AJ$6:$AJ$505,"&gt;"&amp;$A269,実績!$AK$6:$AK$505,"○")&gt;0,1,0))</f>
        <v>0</v>
      </c>
      <c r="CD269" s="39" t="n">
        <f aca="false">IF(CD$4=0,0,IF(COUNTIFS(実績!$W$6:$W$505,CD$3,実績!$AI$6:$AI$505,"&lt;="&amp;$A269,実績!$AJ$6:$AJ$505,"&gt;"&amp;$A269,実績!$AK$6:$AK$505,"○")&gt;0,1,0))</f>
        <v>0</v>
      </c>
      <c r="CE269" s="39" t="n">
        <f aca="false">IF(CE$4=0,0,IF(COUNTIFS(実績!$W$6:$W$505,CE$3,実績!$AI$6:$AI$505,"&lt;="&amp;$A269,実績!$AJ$6:$AJ$505,"&gt;"&amp;$A269,実績!$AK$6:$AK$505,"○")&gt;0,1,0))</f>
        <v>0</v>
      </c>
      <c r="CF269" s="39" t="n">
        <f aca="false">IF(CF$4=0,0,IF(COUNTIFS(実績!$W$6:$W$505,CF$3,実績!$AI$6:$AI$505,"&lt;="&amp;$A269,実績!$AJ$6:$AJ$505,"&gt;"&amp;$A269,実績!$AK$6:$AK$505,"○")&gt;0,1,0))</f>
        <v>0</v>
      </c>
      <c r="CG269" s="39" t="n">
        <f aca="false">IF(CG$4=0,0,IF(COUNTIFS(実績!$W$6:$W$505,CG$3,実績!$AI$6:$AI$505,"&lt;="&amp;$A269,実績!$AJ$6:$AJ$505,"&gt;"&amp;$A269,実績!$AK$6:$AK$505,"○")&gt;0,1,0))</f>
        <v>0</v>
      </c>
      <c r="CH269" s="39" t="n">
        <f aca="false">IF(CH$4=0,0,IF(COUNTIFS(実績!$W$6:$W$505,CH$3,実績!$AI$6:$AI$505,"&lt;="&amp;$A269,実績!$AJ$6:$AJ$505,"&gt;"&amp;$A269,実績!$AK$6:$AK$505,"○")&gt;0,1,0))</f>
        <v>0</v>
      </c>
      <c r="CI269" s="39" t="n">
        <f aca="false">IF(CI$4=0,0,IF(COUNTIFS(実績!$W$6:$W$505,CI$3,実績!$AI$6:$AI$505,"&lt;="&amp;$A269,実績!$AJ$6:$AJ$505,"&gt;"&amp;$A269,実績!$AK$6:$AK$505,"○")&gt;0,1,0))</f>
        <v>0</v>
      </c>
      <c r="CJ269" s="39" t="n">
        <f aca="false">IF(CJ$4=0,0,IF(COUNTIFS(実績!$W$6:$W$505,CJ$3,実績!$AI$6:$AI$505,"&lt;="&amp;$A269,実績!$AJ$6:$AJ$505,"&gt;"&amp;$A269,実績!$AK$6:$AK$505,"○")&gt;0,1,0))</f>
        <v>0</v>
      </c>
      <c r="CK269" s="39" t="n">
        <f aca="false">IF(CK$4=0,0,IF(COUNTIFS(実績!$W$6:$W$505,CK$3,実績!$AI$6:$AI$505,"&lt;="&amp;$A269,実績!$AJ$6:$AJ$505,"&gt;"&amp;$A269,実績!$AK$6:$AK$505,"○")&gt;0,1,0))</f>
        <v>0</v>
      </c>
      <c r="CL269" s="39" t="n">
        <f aca="false">IF(CL$4=0,0,IF(COUNTIFS(実績!$W$6:$W$505,CL$3,実績!$AI$6:$AI$505,"&lt;="&amp;$A269,実績!$AJ$6:$AJ$505,"&gt;"&amp;$A269,実績!$AK$6:$AK$505,"○")&gt;0,1,0))</f>
        <v>0</v>
      </c>
      <c r="CM269" s="39" t="n">
        <f aca="false">IF(CM$4=0,0,IF(COUNTIFS(実績!$W$6:$W$505,CM$3,実績!$AI$6:$AI$505,"&lt;="&amp;$A269,実績!$AJ$6:$AJ$505,"&gt;"&amp;$A269,実績!$AK$6:$AK$505,"○")&gt;0,1,0))</f>
        <v>0</v>
      </c>
      <c r="CN269" s="39" t="n">
        <f aca="false">IF(CN$4=0,0,IF(COUNTIFS(実績!$W$6:$W$505,CN$3,実績!$AI$6:$AI$505,"&lt;="&amp;$A269,実績!$AJ$6:$AJ$505,"&gt;"&amp;$A269,実績!$AK$6:$AK$505,"○")&gt;0,1,0))</f>
        <v>0</v>
      </c>
      <c r="CO269" s="39" t="n">
        <f aca="false">IF(CO$4=0,0,IF(COUNTIFS(実績!$W$6:$W$505,CO$3,実績!$AI$6:$AI$505,"&lt;="&amp;$A269,実績!$AJ$6:$AJ$505,"&gt;"&amp;$A269,実績!$AK$6:$AK$505,"○")&gt;0,1,0))</f>
        <v>0</v>
      </c>
      <c r="CP269" s="39" t="n">
        <f aca="false">IF(CP$4=0,0,IF(COUNTIFS(実績!$W$6:$W$505,CP$3,実績!$AI$6:$AI$505,"&lt;="&amp;$A269,実績!$AJ$6:$AJ$505,"&gt;"&amp;$A269,実績!$AK$6:$AK$505,"○")&gt;0,1,0))</f>
        <v>0</v>
      </c>
      <c r="CQ269" s="39" t="n">
        <f aca="false">IF(CQ$4=0,0,IF(COUNTIFS(実績!$W$6:$W$505,CQ$3,実績!$AI$6:$AI$505,"&lt;="&amp;$A269,実績!$AJ$6:$AJ$505,"&gt;"&amp;$A269,実績!$AK$6:$AK$505,"○")&gt;0,1,0))</f>
        <v>0</v>
      </c>
      <c r="CR269" s="39" t="n">
        <f aca="false">IF(CR$4=0,0,IF(COUNTIFS(実績!$W$6:$W$505,CR$3,実績!$AI$6:$AI$505,"&lt;="&amp;$A269,実績!$AJ$6:$AJ$505,"&gt;"&amp;$A269,実績!$AK$6:$AK$505,"○")&gt;0,1,0))</f>
        <v>0</v>
      </c>
      <c r="CS269" s="39" t="n">
        <f aca="false">IF(CS$4=0,0,IF(COUNTIFS(実績!$W$6:$W$505,CS$3,実績!$AI$6:$AI$505,"&lt;="&amp;$A269,実績!$AJ$6:$AJ$505,"&gt;"&amp;$A269,実績!$AK$6:$AK$505,"○")&gt;0,1,0))</f>
        <v>0</v>
      </c>
      <c r="CT269" s="39" t="n">
        <f aca="false">IF(CT$4=0,0,IF(COUNTIFS(実績!$W$6:$W$505,CT$3,実績!$AI$6:$AI$505,"&lt;="&amp;$A269,実績!$AJ$6:$AJ$505,"&gt;"&amp;$A269,実績!$AK$6:$AK$505,"○")&gt;0,1,0))</f>
        <v>0</v>
      </c>
      <c r="CU269" s="39" t="n">
        <f aca="false">IF(CU$4=0,0,IF(COUNTIFS(実績!$W$6:$W$505,CU$3,実績!$AI$6:$AI$505,"&lt;="&amp;$A269,実績!$AJ$6:$AJ$505,"&gt;"&amp;$A269,実績!$AK$6:$AK$505,"○")&gt;0,1,0))</f>
        <v>0</v>
      </c>
      <c r="CV269" s="39" t="n">
        <f aca="false">IF(CV$4=0,0,IF(COUNTIFS(実績!$W$6:$W$505,CV$3,実績!$AI$6:$AI$505,"&lt;="&amp;$A269,実績!$AJ$6:$AJ$505,"&gt;"&amp;$A269,実績!$AK$6:$AK$505,"○")&gt;0,1,0))</f>
        <v>0</v>
      </c>
      <c r="CW269" s="39" t="n">
        <f aca="false">IF(CW$4=0,0,IF(COUNTIFS(実績!$W$6:$W$505,CW$3,実績!$AI$6:$AI$505,"&lt;="&amp;$A269,実績!$AJ$6:$AJ$505,"&gt;"&amp;$A269,実績!$AK$6:$AK$505,"○")&gt;0,1,0))</f>
        <v>0</v>
      </c>
      <c r="CX269" s="39" t="n">
        <f aca="false">IF(CX$4=0,0,IF(COUNTIFS(実績!$W$6:$W$505,CX$3,実績!$AI$6:$AI$505,"&lt;="&amp;$A269,実績!$AJ$6:$AJ$505,"&gt;"&amp;$A269,実績!$AK$6:$AK$505,"○")&gt;0,1,0))</f>
        <v>0</v>
      </c>
      <c r="CY269" s="39" t="n">
        <f aca="false">IF(CY$4=0,0,IF(COUNTIFS(実績!$W$6:$W$505,CY$3,実績!$AI$6:$AI$505,"&lt;="&amp;$A269,実績!$AJ$6:$AJ$505,"&gt;"&amp;$A269,実績!$AK$6:$AK$505,"○")&gt;0,1,0))</f>
        <v>0</v>
      </c>
      <c r="CZ269" s="39" t="n">
        <f aca="false">IF(CZ$4=0,0,IF(COUNTIFS(実績!$W$6:$W$505,CZ$3,実績!$AI$6:$AI$505,"&lt;="&amp;$A269,実績!$AJ$6:$AJ$505,"&gt;"&amp;$A269,実績!$AK$6:$AK$505,"○")&gt;0,1,0))</f>
        <v>0</v>
      </c>
      <c r="DA269" s="39" t="n">
        <f aca="false">IF(DA$4=0,0,IF(COUNTIFS(実績!$W$6:$W$505,DA$3,実績!$AI$6:$AI$505,"&lt;="&amp;$A269,実績!$AJ$6:$AJ$505,"&gt;"&amp;$A269,実績!$AK$6:$AK$505,"○")&gt;0,1,0))</f>
        <v>0</v>
      </c>
      <c r="DB269" s="39" t="n">
        <f aca="false">IF(DB$4=0,0,IF(COUNTIFS(実績!$W$6:$W$505,DB$3,実績!$AI$6:$AI$505,"&lt;="&amp;$A269,実績!$AJ$6:$AJ$505,"&gt;"&amp;$A269,実績!$AK$6:$AK$505,"○")&gt;0,1,0))</f>
        <v>0</v>
      </c>
      <c r="DC269" s="39" t="n">
        <f aca="false">IF(DC$4=0,0,IF(COUNTIFS(実績!$W$6:$W$505,DC$3,実績!$AI$6:$AI$505,"&lt;="&amp;$A269,実績!$AJ$6:$AJ$505,"&gt;"&amp;$A269,実績!$AK$6:$AK$505,"○")&gt;0,1,0))</f>
        <v>0</v>
      </c>
      <c r="DD269" s="39" t="n">
        <f aca="false">IF(DD$4=0,0,IF(COUNTIFS(実績!$W$6:$W$505,DD$3,実績!$AI$6:$AI$505,"&lt;="&amp;$A269,実績!$AJ$6:$AJ$505,"&gt;"&amp;$A269,実績!$AK$6:$AK$505,"○")&gt;0,1,0))</f>
        <v>0</v>
      </c>
      <c r="DE269" s="39" t="n">
        <f aca="false">IF(DE$4=0,0,IF(COUNTIFS(実績!$W$6:$W$505,DE$3,実績!$AI$6:$AI$505,"&lt;="&amp;$A269,実績!$AJ$6:$AJ$505,"&gt;"&amp;$A269,実績!$AK$6:$AK$505,"○")&gt;0,1,0))</f>
        <v>0</v>
      </c>
      <c r="DF269" s="39" t="n">
        <f aca="false">IF(DF$4=0,0,IF(COUNTIFS(実績!$W$6:$W$505,DF$3,実績!$AI$6:$AI$505,"&lt;="&amp;$A269,実績!$AJ$6:$AJ$505,"&gt;"&amp;$A269,実績!$AK$6:$AK$505,"○")&gt;0,1,0))</f>
        <v>0</v>
      </c>
      <c r="DG269" s="39" t="n">
        <f aca="false">IF(DG$4=0,0,IF(COUNTIFS(実績!$W$6:$W$505,DG$3,実績!$AI$6:$AI$505,"&lt;="&amp;$A269,実績!$AJ$6:$AJ$505,"&gt;"&amp;$A269,実績!$AK$6:$AK$505,"○")&gt;0,1,0))</f>
        <v>0</v>
      </c>
      <c r="DH269" s="39" t="n">
        <f aca="false">IF(DH$4=0,0,IF(COUNTIFS(実績!$W$6:$W$505,DH$3,実績!$AI$6:$AI$505,"&lt;="&amp;$A269,実績!$AJ$6:$AJ$505,"&gt;"&amp;$A269,実績!$AK$6:$AK$505,"○")&gt;0,1,0))</f>
        <v>0</v>
      </c>
      <c r="DI269" s="39" t="n">
        <f aca="false">IF(DI$4=0,0,IF(COUNTIFS(実績!$W$6:$W$505,DI$3,実績!$AI$6:$AI$505,"&lt;="&amp;$A269,実績!$AJ$6:$AJ$505,"&gt;"&amp;$A269,実績!$AK$6:$AK$505,"○")&gt;0,1,0))</f>
        <v>0</v>
      </c>
      <c r="DJ269" s="39" t="n">
        <f aca="false">IF(DJ$4=0,0,IF(COUNTIFS(実績!$W$6:$W$505,DJ$3,実績!$AI$6:$AI$505,"&lt;="&amp;$A269,実績!$AJ$6:$AJ$505,"&gt;"&amp;$A269,実績!$AK$6:$AK$505,"○")&gt;0,1,0))</f>
        <v>0</v>
      </c>
      <c r="DK269" s="39" t="n">
        <f aca="false">IF(DK$4=0,0,IF(COUNTIFS(実績!$W$6:$W$505,DK$3,実績!$AI$6:$AI$505,"&lt;="&amp;$A269,実績!$AJ$6:$AJ$505,"&gt;"&amp;$A269,実績!$AK$6:$AK$505,"○")&gt;0,1,0))</f>
        <v>0</v>
      </c>
      <c r="DL269" s="39" t="n">
        <f aca="false">IF(DL$4=0,0,IF(COUNTIFS(実績!$W$6:$W$505,DL$3,実績!$AI$6:$AI$505,"&lt;="&amp;$A269,実績!$AJ$6:$AJ$505,"&gt;"&amp;$A269,実績!$AK$6:$AK$505,"○")&gt;0,1,0))</f>
        <v>0</v>
      </c>
      <c r="DM269" s="39" t="n">
        <f aca="false">IF(DM$4=0,0,IF(COUNTIFS(実績!$W$6:$W$505,DM$3,実績!$AI$6:$AI$505,"&lt;="&amp;$A269,実績!$AJ$6:$AJ$505,"&gt;"&amp;$A269,実績!$AK$6:$AK$505,"○")&gt;0,1,0))</f>
        <v>0</v>
      </c>
      <c r="DN269" s="39" t="n">
        <f aca="false">IF(DN$4=0,0,IF(COUNTIFS(実績!$W$6:$W$505,DN$3,実績!$AI$6:$AI$505,"&lt;="&amp;$A269,実績!$AJ$6:$AJ$505,"&gt;"&amp;$A269,実績!$AK$6:$AK$505,"○")&gt;0,1,0))</f>
        <v>0</v>
      </c>
      <c r="DO269" s="39" t="n">
        <f aca="false">IF(DO$4=0,0,IF(COUNTIFS(実績!$W$6:$W$505,DO$3,実績!$AI$6:$AI$505,"&lt;="&amp;$A269,実績!$AJ$6:$AJ$505,"&gt;"&amp;$A269,実績!$AK$6:$AK$505,"○")&gt;0,1,0))</f>
        <v>0</v>
      </c>
      <c r="DP269" s="39" t="n">
        <f aca="false">IF(DP$4=0,0,IF(COUNTIFS(実績!$W$6:$W$505,DP$3,実績!$AI$6:$AI$505,"&lt;="&amp;$A269,実績!$AJ$6:$AJ$505,"&gt;"&amp;$A269,実績!$AK$6:$AK$505,"○")&gt;0,1,0))</f>
        <v>0</v>
      </c>
      <c r="DQ269" s="39" t="n">
        <f aca="false">IF(DQ$4=0,0,IF(COUNTIFS(実績!$W$6:$W$505,DQ$3,実績!$AI$6:$AI$505,"&lt;="&amp;$A269,実績!$AJ$6:$AJ$505,"&gt;"&amp;$A269,実績!$AK$6:$AK$505,"○")&gt;0,1,0))</f>
        <v>0</v>
      </c>
      <c r="DR269" s="39" t="n">
        <f aca="false">IF(DR$4=0,0,IF(COUNTIFS(実績!$W$6:$W$505,DR$3,実績!$AI$6:$AI$505,"&lt;="&amp;$A269,実績!$AJ$6:$AJ$505,"&gt;"&amp;$A269,実績!$AK$6:$AK$505,"○")&gt;0,1,0))</f>
        <v>0</v>
      </c>
      <c r="DS269" s="39" t="n">
        <f aca="false">SUM(C269:DR269)</f>
        <v>0</v>
      </c>
      <c r="DT269" s="39" t="n">
        <f aca="false">SUMPRODUCT((実績!$C$6:$C$505="○")*ISNUMBER(実績!$AM$6:$AM$505)*(実績!$AM$6:$AM$505&lt;=$A269)*(実績!$AN$6:$AN$505&gt;$A269))</f>
        <v>0</v>
      </c>
      <c r="DU269" s="39" t="n">
        <f aca="false">SUMIF($C$2:$DR$2,"製鉄曳船",C269:DR269)</f>
        <v>0</v>
      </c>
      <c r="DV269" s="39" t="n">
        <f aca="false">SUMIF($C$2:$DR$2,"西日本海運",C269:DR269)</f>
        <v>0</v>
      </c>
    </row>
    <row r="270" customFormat="false" ht="15" hidden="false" customHeight="false" outlineLevel="0" collapsed="false">
      <c r="A270" s="0" t="n">
        <v>1320</v>
      </c>
      <c r="B270" s="38" t="n">
        <f aca="false">A270/1440</f>
        <v>0.916666666666667</v>
      </c>
      <c r="C270" s="39" t="n">
        <f aca="false">IF(C$4=0,0,IF(COUNTIFS(実績!$W$6:$W$505,C$3,実績!$AI$6:$AI$505,"&lt;="&amp;$A270,実績!$AJ$6:$AJ$505,"&gt;"&amp;$A270,実績!$AK$6:$AK$505,"○")&gt;0,1,0))</f>
        <v>0</v>
      </c>
      <c r="D270" s="39" t="n">
        <f aca="false">IF(D$4=0,0,IF(COUNTIFS(実績!$W$6:$W$505,D$3,実績!$AI$6:$AI$505,"&lt;="&amp;$A270,実績!$AJ$6:$AJ$505,"&gt;"&amp;$A270,実績!$AK$6:$AK$505,"○")&gt;0,1,0))</f>
        <v>0</v>
      </c>
      <c r="E270" s="39" t="n">
        <f aca="false">IF(E$4=0,0,IF(COUNTIFS(実績!$W$6:$W$505,E$3,実績!$AI$6:$AI$505,"&lt;="&amp;$A270,実績!$AJ$6:$AJ$505,"&gt;"&amp;$A270,実績!$AK$6:$AK$505,"○")&gt;0,1,0))</f>
        <v>0</v>
      </c>
      <c r="F270" s="39" t="n">
        <f aca="false">IF(F$4=0,0,IF(COUNTIFS(実績!$W$6:$W$505,F$3,実績!$AI$6:$AI$505,"&lt;="&amp;$A270,実績!$AJ$6:$AJ$505,"&gt;"&amp;$A270,実績!$AK$6:$AK$505,"○")&gt;0,1,0))</f>
        <v>0</v>
      </c>
      <c r="G270" s="39" t="n">
        <f aca="false">IF(G$4=0,0,IF(COUNTIFS(実績!$W$6:$W$505,G$3,実績!$AI$6:$AI$505,"&lt;="&amp;$A270,実績!$AJ$6:$AJ$505,"&gt;"&amp;$A270,実績!$AK$6:$AK$505,"○")&gt;0,1,0))</f>
        <v>0</v>
      </c>
      <c r="H270" s="39" t="n">
        <f aca="false">IF(H$4=0,0,IF(COUNTIFS(実績!$W$6:$W$505,H$3,実績!$AI$6:$AI$505,"&lt;="&amp;$A270,実績!$AJ$6:$AJ$505,"&gt;"&amp;$A270,実績!$AK$6:$AK$505,"○")&gt;0,1,0))</f>
        <v>0</v>
      </c>
      <c r="I270" s="39" t="n">
        <f aca="false">IF(I$4=0,0,IF(COUNTIFS(実績!$W$6:$W$505,I$3,実績!$AI$6:$AI$505,"&lt;="&amp;$A270,実績!$AJ$6:$AJ$505,"&gt;"&amp;$A270,実績!$AK$6:$AK$505,"○")&gt;0,1,0))</f>
        <v>0</v>
      </c>
      <c r="J270" s="39" t="n">
        <f aca="false">IF(J$4=0,0,IF(COUNTIFS(実績!$W$6:$W$505,J$3,実績!$AI$6:$AI$505,"&lt;="&amp;$A270,実績!$AJ$6:$AJ$505,"&gt;"&amp;$A270,実績!$AK$6:$AK$505,"○")&gt;0,1,0))</f>
        <v>0</v>
      </c>
      <c r="K270" s="39" t="n">
        <f aca="false">IF(K$4=0,0,IF(COUNTIFS(実績!$W$6:$W$505,K$3,実績!$AI$6:$AI$505,"&lt;="&amp;$A270,実績!$AJ$6:$AJ$505,"&gt;"&amp;$A270,実績!$AK$6:$AK$505,"○")&gt;0,1,0))</f>
        <v>0</v>
      </c>
      <c r="L270" s="39" t="n">
        <f aca="false">IF(L$4=0,0,IF(COUNTIFS(実績!$W$6:$W$505,L$3,実績!$AI$6:$AI$505,"&lt;="&amp;$A270,実績!$AJ$6:$AJ$505,"&gt;"&amp;$A270,実績!$AK$6:$AK$505,"○")&gt;0,1,0))</f>
        <v>0</v>
      </c>
      <c r="M270" s="39" t="n">
        <f aca="false">IF(M$4=0,0,IF(COUNTIFS(実績!$W$6:$W$505,M$3,実績!$AI$6:$AI$505,"&lt;="&amp;$A270,実績!$AJ$6:$AJ$505,"&gt;"&amp;$A270,実績!$AK$6:$AK$505,"○")&gt;0,1,0))</f>
        <v>0</v>
      </c>
      <c r="N270" s="39" t="n">
        <f aca="false">IF(N$4=0,0,IF(COUNTIFS(実績!$W$6:$W$505,N$3,実績!$AI$6:$AI$505,"&lt;="&amp;$A270,実績!$AJ$6:$AJ$505,"&gt;"&amp;$A270,実績!$AK$6:$AK$505,"○")&gt;0,1,0))</f>
        <v>0</v>
      </c>
      <c r="O270" s="39" t="n">
        <f aca="false">IF(O$4=0,0,IF(COUNTIFS(実績!$W$6:$W$505,O$3,実績!$AI$6:$AI$505,"&lt;="&amp;$A270,実績!$AJ$6:$AJ$505,"&gt;"&amp;$A270,実績!$AK$6:$AK$505,"○")&gt;0,1,0))</f>
        <v>0</v>
      </c>
      <c r="P270" s="39" t="n">
        <f aca="false">IF(P$4=0,0,IF(COUNTIFS(実績!$W$6:$W$505,P$3,実績!$AI$6:$AI$505,"&lt;="&amp;$A270,実績!$AJ$6:$AJ$505,"&gt;"&amp;$A270,実績!$AK$6:$AK$505,"○")&gt;0,1,0))</f>
        <v>0</v>
      </c>
      <c r="Q270" s="39" t="n">
        <f aca="false">IF(Q$4=0,0,IF(COUNTIFS(実績!$W$6:$W$505,Q$3,実績!$AI$6:$AI$505,"&lt;="&amp;$A270,実績!$AJ$6:$AJ$505,"&gt;"&amp;$A270,実績!$AK$6:$AK$505,"○")&gt;0,1,0))</f>
        <v>0</v>
      </c>
      <c r="R270" s="39" t="n">
        <f aca="false">IF(R$4=0,0,IF(COUNTIFS(実績!$W$6:$W$505,R$3,実績!$AI$6:$AI$505,"&lt;="&amp;$A270,実績!$AJ$6:$AJ$505,"&gt;"&amp;$A270,実績!$AK$6:$AK$505,"○")&gt;0,1,0))</f>
        <v>0</v>
      </c>
      <c r="S270" s="39" t="n">
        <f aca="false">IF(S$4=0,0,IF(COUNTIFS(実績!$W$6:$W$505,S$3,実績!$AI$6:$AI$505,"&lt;="&amp;$A270,実績!$AJ$6:$AJ$505,"&gt;"&amp;$A270,実績!$AK$6:$AK$505,"○")&gt;0,1,0))</f>
        <v>0</v>
      </c>
      <c r="T270" s="39" t="n">
        <f aca="false">IF(T$4=0,0,IF(COUNTIFS(実績!$W$6:$W$505,T$3,実績!$AI$6:$AI$505,"&lt;="&amp;$A270,実績!$AJ$6:$AJ$505,"&gt;"&amp;$A270,実績!$AK$6:$AK$505,"○")&gt;0,1,0))</f>
        <v>0</v>
      </c>
      <c r="U270" s="39" t="n">
        <f aca="false">IF(U$4=0,0,IF(COUNTIFS(実績!$W$6:$W$505,U$3,実績!$AI$6:$AI$505,"&lt;="&amp;$A270,実績!$AJ$6:$AJ$505,"&gt;"&amp;$A270,実績!$AK$6:$AK$505,"○")&gt;0,1,0))</f>
        <v>0</v>
      </c>
      <c r="V270" s="39" t="n">
        <f aca="false">IF(V$4=0,0,IF(COUNTIFS(実績!$W$6:$W$505,V$3,実績!$AI$6:$AI$505,"&lt;="&amp;$A270,実績!$AJ$6:$AJ$505,"&gt;"&amp;$A270,実績!$AK$6:$AK$505,"○")&gt;0,1,0))</f>
        <v>0</v>
      </c>
      <c r="W270" s="39" t="n">
        <f aca="false">IF(W$4=0,0,IF(COUNTIFS(実績!$W$6:$W$505,W$3,実績!$AI$6:$AI$505,"&lt;="&amp;$A270,実績!$AJ$6:$AJ$505,"&gt;"&amp;$A270,実績!$AK$6:$AK$505,"○")&gt;0,1,0))</f>
        <v>0</v>
      </c>
      <c r="X270" s="39" t="n">
        <f aca="false">IF(X$4=0,0,IF(COUNTIFS(実績!$W$6:$W$505,X$3,実績!$AI$6:$AI$505,"&lt;="&amp;$A270,実績!$AJ$6:$AJ$505,"&gt;"&amp;$A270,実績!$AK$6:$AK$505,"○")&gt;0,1,0))</f>
        <v>0</v>
      </c>
      <c r="Y270" s="39" t="n">
        <f aca="false">IF(Y$4=0,0,IF(COUNTIFS(実績!$W$6:$W$505,Y$3,実績!$AI$6:$AI$505,"&lt;="&amp;$A270,実績!$AJ$6:$AJ$505,"&gt;"&amp;$A270,実績!$AK$6:$AK$505,"○")&gt;0,1,0))</f>
        <v>0</v>
      </c>
      <c r="Z270" s="39" t="n">
        <f aca="false">IF(Z$4=0,0,IF(COUNTIFS(実績!$W$6:$W$505,Z$3,実績!$AI$6:$AI$505,"&lt;="&amp;$A270,実績!$AJ$6:$AJ$505,"&gt;"&amp;$A270,実績!$AK$6:$AK$505,"○")&gt;0,1,0))</f>
        <v>0</v>
      </c>
      <c r="AA270" s="39" t="n">
        <f aca="false">IF(AA$4=0,0,IF(COUNTIFS(実績!$W$6:$W$505,AA$3,実績!$AI$6:$AI$505,"&lt;="&amp;$A270,実績!$AJ$6:$AJ$505,"&gt;"&amp;$A270,実績!$AK$6:$AK$505,"○")&gt;0,1,0))</f>
        <v>0</v>
      </c>
      <c r="AB270" s="39" t="n">
        <f aca="false">IF(AB$4=0,0,IF(COUNTIFS(実績!$W$6:$W$505,AB$3,実績!$AI$6:$AI$505,"&lt;="&amp;$A270,実績!$AJ$6:$AJ$505,"&gt;"&amp;$A270,実績!$AK$6:$AK$505,"○")&gt;0,1,0))</f>
        <v>0</v>
      </c>
      <c r="AC270" s="39" t="n">
        <f aca="false">IF(AC$4=0,0,IF(COUNTIFS(実績!$W$6:$W$505,AC$3,実績!$AI$6:$AI$505,"&lt;="&amp;$A270,実績!$AJ$6:$AJ$505,"&gt;"&amp;$A270,実績!$AK$6:$AK$505,"○")&gt;0,1,0))</f>
        <v>0</v>
      </c>
      <c r="AD270" s="39" t="n">
        <f aca="false">IF(AD$4=0,0,IF(COUNTIFS(実績!$W$6:$W$505,AD$3,実績!$AI$6:$AI$505,"&lt;="&amp;$A270,実績!$AJ$6:$AJ$505,"&gt;"&amp;$A270,実績!$AK$6:$AK$505,"○")&gt;0,1,0))</f>
        <v>0</v>
      </c>
      <c r="AE270" s="39" t="n">
        <f aca="false">IF(AE$4=0,0,IF(COUNTIFS(実績!$W$6:$W$505,AE$3,実績!$AI$6:$AI$505,"&lt;="&amp;$A270,実績!$AJ$6:$AJ$505,"&gt;"&amp;$A270,実績!$AK$6:$AK$505,"○")&gt;0,1,0))</f>
        <v>0</v>
      </c>
      <c r="AF270" s="39" t="n">
        <f aca="false">IF(AF$4=0,0,IF(COUNTIFS(実績!$W$6:$W$505,AF$3,実績!$AI$6:$AI$505,"&lt;="&amp;$A270,実績!$AJ$6:$AJ$505,"&gt;"&amp;$A270,実績!$AK$6:$AK$505,"○")&gt;0,1,0))</f>
        <v>0</v>
      </c>
      <c r="AG270" s="39" t="n">
        <f aca="false">IF(AG$4=0,0,IF(COUNTIFS(実績!$W$6:$W$505,AG$3,実績!$AI$6:$AI$505,"&lt;="&amp;$A270,実績!$AJ$6:$AJ$505,"&gt;"&amp;$A270,実績!$AK$6:$AK$505,"○")&gt;0,1,0))</f>
        <v>0</v>
      </c>
      <c r="AH270" s="39" t="n">
        <f aca="false">IF(AH$4=0,0,IF(COUNTIFS(実績!$W$6:$W$505,AH$3,実績!$AI$6:$AI$505,"&lt;="&amp;$A270,実績!$AJ$6:$AJ$505,"&gt;"&amp;$A270,実績!$AK$6:$AK$505,"○")&gt;0,1,0))</f>
        <v>0</v>
      </c>
      <c r="AI270" s="39" t="n">
        <f aca="false">IF(AI$4=0,0,IF(COUNTIFS(実績!$W$6:$W$505,AI$3,実績!$AI$6:$AI$505,"&lt;="&amp;$A270,実績!$AJ$6:$AJ$505,"&gt;"&amp;$A270,実績!$AK$6:$AK$505,"○")&gt;0,1,0))</f>
        <v>0</v>
      </c>
      <c r="AJ270" s="39" t="n">
        <f aca="false">IF(AJ$4=0,0,IF(COUNTIFS(実績!$W$6:$W$505,AJ$3,実績!$AI$6:$AI$505,"&lt;="&amp;$A270,実績!$AJ$6:$AJ$505,"&gt;"&amp;$A270,実績!$AK$6:$AK$505,"○")&gt;0,1,0))</f>
        <v>0</v>
      </c>
      <c r="AK270" s="39" t="n">
        <f aca="false">IF(AK$4=0,0,IF(COUNTIFS(実績!$W$6:$W$505,AK$3,実績!$AI$6:$AI$505,"&lt;="&amp;$A270,実績!$AJ$6:$AJ$505,"&gt;"&amp;$A270,実績!$AK$6:$AK$505,"○")&gt;0,1,0))</f>
        <v>0</v>
      </c>
      <c r="AL270" s="39" t="n">
        <f aca="false">IF(AL$4=0,0,IF(COUNTIFS(実績!$W$6:$W$505,AL$3,実績!$AI$6:$AI$505,"&lt;="&amp;$A270,実績!$AJ$6:$AJ$505,"&gt;"&amp;$A270,実績!$AK$6:$AK$505,"○")&gt;0,1,0))</f>
        <v>0</v>
      </c>
      <c r="AM270" s="39" t="n">
        <f aca="false">IF(AM$4=0,0,IF(COUNTIFS(実績!$W$6:$W$505,AM$3,実績!$AI$6:$AI$505,"&lt;="&amp;$A270,実績!$AJ$6:$AJ$505,"&gt;"&amp;$A270,実績!$AK$6:$AK$505,"○")&gt;0,1,0))</f>
        <v>0</v>
      </c>
      <c r="AN270" s="39" t="n">
        <f aca="false">IF(AN$4=0,0,IF(COUNTIFS(実績!$W$6:$W$505,AN$3,実績!$AI$6:$AI$505,"&lt;="&amp;$A270,実績!$AJ$6:$AJ$505,"&gt;"&amp;$A270,実績!$AK$6:$AK$505,"○")&gt;0,1,0))</f>
        <v>0</v>
      </c>
      <c r="AO270" s="39" t="n">
        <f aca="false">IF(AO$4=0,0,IF(COUNTIFS(実績!$W$6:$W$505,AO$3,実績!$AI$6:$AI$505,"&lt;="&amp;$A270,実績!$AJ$6:$AJ$505,"&gt;"&amp;$A270,実績!$AK$6:$AK$505,"○")&gt;0,1,0))</f>
        <v>0</v>
      </c>
      <c r="AP270" s="39" t="n">
        <f aca="false">IF(AP$4=0,0,IF(COUNTIFS(実績!$W$6:$W$505,AP$3,実績!$AI$6:$AI$505,"&lt;="&amp;$A270,実績!$AJ$6:$AJ$505,"&gt;"&amp;$A270,実績!$AK$6:$AK$505,"○")&gt;0,1,0))</f>
        <v>0</v>
      </c>
      <c r="AQ270" s="39" t="n">
        <f aca="false">IF(AQ$4=0,0,IF(COUNTIFS(実績!$W$6:$W$505,AQ$3,実績!$AI$6:$AI$505,"&lt;="&amp;$A270,実績!$AJ$6:$AJ$505,"&gt;"&amp;$A270,実績!$AK$6:$AK$505,"○")&gt;0,1,0))</f>
        <v>0</v>
      </c>
      <c r="AR270" s="39" t="n">
        <f aca="false">IF(AR$4=0,0,IF(COUNTIFS(実績!$W$6:$W$505,AR$3,実績!$AI$6:$AI$505,"&lt;="&amp;$A270,実績!$AJ$6:$AJ$505,"&gt;"&amp;$A270,実績!$AK$6:$AK$505,"○")&gt;0,1,0))</f>
        <v>0</v>
      </c>
      <c r="AS270" s="39" t="n">
        <f aca="false">IF(AS$4=0,0,IF(COUNTIFS(実績!$W$6:$W$505,AS$3,実績!$AI$6:$AI$505,"&lt;="&amp;$A270,実績!$AJ$6:$AJ$505,"&gt;"&amp;$A270,実績!$AK$6:$AK$505,"○")&gt;0,1,0))</f>
        <v>0</v>
      </c>
      <c r="AT270" s="39" t="n">
        <f aca="false">IF(AT$4=0,0,IF(COUNTIFS(実績!$W$6:$W$505,AT$3,実績!$AI$6:$AI$505,"&lt;="&amp;$A270,実績!$AJ$6:$AJ$505,"&gt;"&amp;$A270,実績!$AK$6:$AK$505,"○")&gt;0,1,0))</f>
        <v>0</v>
      </c>
      <c r="AU270" s="39" t="n">
        <f aca="false">IF(AU$4=0,0,IF(COUNTIFS(実績!$W$6:$W$505,AU$3,実績!$AI$6:$AI$505,"&lt;="&amp;$A270,実績!$AJ$6:$AJ$505,"&gt;"&amp;$A270,実績!$AK$6:$AK$505,"○")&gt;0,1,0))</f>
        <v>0</v>
      </c>
      <c r="AV270" s="39" t="n">
        <f aca="false">IF(AV$4=0,0,IF(COUNTIFS(実績!$W$6:$W$505,AV$3,実績!$AI$6:$AI$505,"&lt;="&amp;$A270,実績!$AJ$6:$AJ$505,"&gt;"&amp;$A270,実績!$AK$6:$AK$505,"○")&gt;0,1,0))</f>
        <v>0</v>
      </c>
      <c r="AW270" s="39" t="n">
        <f aca="false">IF(AW$4=0,0,IF(COUNTIFS(実績!$W$6:$W$505,AW$3,実績!$AI$6:$AI$505,"&lt;="&amp;$A270,実績!$AJ$6:$AJ$505,"&gt;"&amp;$A270,実績!$AK$6:$AK$505,"○")&gt;0,1,0))</f>
        <v>0</v>
      </c>
      <c r="AX270" s="39" t="n">
        <f aca="false">IF(AX$4=0,0,IF(COUNTIFS(実績!$W$6:$W$505,AX$3,実績!$AI$6:$AI$505,"&lt;="&amp;$A270,実績!$AJ$6:$AJ$505,"&gt;"&amp;$A270,実績!$AK$6:$AK$505,"○")&gt;0,1,0))</f>
        <v>0</v>
      </c>
      <c r="AY270" s="39" t="n">
        <f aca="false">IF(AY$4=0,0,IF(COUNTIFS(実績!$W$6:$W$505,AY$3,実績!$AI$6:$AI$505,"&lt;="&amp;$A270,実績!$AJ$6:$AJ$505,"&gt;"&amp;$A270,実績!$AK$6:$AK$505,"○")&gt;0,1,0))</f>
        <v>0</v>
      </c>
      <c r="AZ270" s="39" t="n">
        <f aca="false">IF(AZ$4=0,0,IF(COUNTIFS(実績!$W$6:$W$505,AZ$3,実績!$AI$6:$AI$505,"&lt;="&amp;$A270,実績!$AJ$6:$AJ$505,"&gt;"&amp;$A270,実績!$AK$6:$AK$505,"○")&gt;0,1,0))</f>
        <v>0</v>
      </c>
      <c r="BA270" s="39" t="n">
        <f aca="false">IF(BA$4=0,0,IF(COUNTIFS(実績!$W$6:$W$505,BA$3,実績!$AI$6:$AI$505,"&lt;="&amp;$A270,実績!$AJ$6:$AJ$505,"&gt;"&amp;$A270,実績!$AK$6:$AK$505,"○")&gt;0,1,0))</f>
        <v>0</v>
      </c>
      <c r="BB270" s="39" t="n">
        <f aca="false">IF(BB$4=0,0,IF(COUNTIFS(実績!$W$6:$W$505,BB$3,実績!$AI$6:$AI$505,"&lt;="&amp;$A270,実績!$AJ$6:$AJ$505,"&gt;"&amp;$A270,実績!$AK$6:$AK$505,"○")&gt;0,1,0))</f>
        <v>0</v>
      </c>
      <c r="BC270" s="39" t="n">
        <f aca="false">IF(BC$4=0,0,IF(COUNTIFS(実績!$W$6:$W$505,BC$3,実績!$AI$6:$AI$505,"&lt;="&amp;$A270,実績!$AJ$6:$AJ$505,"&gt;"&amp;$A270,実績!$AK$6:$AK$505,"○")&gt;0,1,0))</f>
        <v>0</v>
      </c>
      <c r="BD270" s="39" t="n">
        <f aca="false">IF(BD$4=0,0,IF(COUNTIFS(実績!$W$6:$W$505,BD$3,実績!$AI$6:$AI$505,"&lt;="&amp;$A270,実績!$AJ$6:$AJ$505,"&gt;"&amp;$A270,実績!$AK$6:$AK$505,"○")&gt;0,1,0))</f>
        <v>0</v>
      </c>
      <c r="BE270" s="39" t="n">
        <f aca="false">IF(BE$4=0,0,IF(COUNTIFS(実績!$W$6:$W$505,BE$3,実績!$AI$6:$AI$505,"&lt;="&amp;$A270,実績!$AJ$6:$AJ$505,"&gt;"&amp;$A270,実績!$AK$6:$AK$505,"○")&gt;0,1,0))</f>
        <v>0</v>
      </c>
      <c r="BF270" s="39" t="n">
        <f aca="false">IF(BF$4=0,0,IF(COUNTIFS(実績!$W$6:$W$505,BF$3,実績!$AI$6:$AI$505,"&lt;="&amp;$A270,実績!$AJ$6:$AJ$505,"&gt;"&amp;$A270,実績!$AK$6:$AK$505,"○")&gt;0,1,0))</f>
        <v>0</v>
      </c>
      <c r="BG270" s="39" t="n">
        <f aca="false">IF(BG$4=0,0,IF(COUNTIFS(実績!$W$6:$W$505,BG$3,実績!$AI$6:$AI$505,"&lt;="&amp;$A270,実績!$AJ$6:$AJ$505,"&gt;"&amp;$A270,実績!$AK$6:$AK$505,"○")&gt;0,1,0))</f>
        <v>0</v>
      </c>
      <c r="BH270" s="39" t="n">
        <f aca="false">IF(BH$4=0,0,IF(COUNTIFS(実績!$W$6:$W$505,BH$3,実績!$AI$6:$AI$505,"&lt;="&amp;$A270,実績!$AJ$6:$AJ$505,"&gt;"&amp;$A270,実績!$AK$6:$AK$505,"○")&gt;0,1,0))</f>
        <v>0</v>
      </c>
      <c r="BI270" s="39" t="n">
        <f aca="false">IF(BI$4=0,0,IF(COUNTIFS(実績!$W$6:$W$505,BI$3,実績!$AI$6:$AI$505,"&lt;="&amp;$A270,実績!$AJ$6:$AJ$505,"&gt;"&amp;$A270,実績!$AK$6:$AK$505,"○")&gt;0,1,0))</f>
        <v>0</v>
      </c>
      <c r="BJ270" s="39" t="n">
        <f aca="false">IF(BJ$4=0,0,IF(COUNTIFS(実績!$W$6:$W$505,BJ$3,実績!$AI$6:$AI$505,"&lt;="&amp;$A270,実績!$AJ$6:$AJ$505,"&gt;"&amp;$A270,実績!$AK$6:$AK$505,"○")&gt;0,1,0))</f>
        <v>0</v>
      </c>
      <c r="BK270" s="39" t="n">
        <f aca="false">IF(BK$4=0,0,IF(COUNTIFS(実績!$W$6:$W$505,BK$3,実績!$AI$6:$AI$505,"&lt;="&amp;$A270,実績!$AJ$6:$AJ$505,"&gt;"&amp;$A270,実績!$AK$6:$AK$505,"○")&gt;0,1,0))</f>
        <v>0</v>
      </c>
      <c r="BL270" s="39" t="n">
        <f aca="false">IF(BL$4=0,0,IF(COUNTIFS(実績!$W$6:$W$505,BL$3,実績!$AI$6:$AI$505,"&lt;="&amp;$A270,実績!$AJ$6:$AJ$505,"&gt;"&amp;$A270,実績!$AK$6:$AK$505,"○")&gt;0,1,0))</f>
        <v>0</v>
      </c>
      <c r="BM270" s="39" t="n">
        <f aca="false">IF(BM$4=0,0,IF(COUNTIFS(実績!$W$6:$W$505,BM$3,実績!$AI$6:$AI$505,"&lt;="&amp;$A270,実績!$AJ$6:$AJ$505,"&gt;"&amp;$A270,実績!$AK$6:$AK$505,"○")&gt;0,1,0))</f>
        <v>0</v>
      </c>
      <c r="BN270" s="39" t="n">
        <f aca="false">IF(BN$4=0,0,IF(COUNTIFS(実績!$W$6:$W$505,BN$3,実績!$AI$6:$AI$505,"&lt;="&amp;$A270,実績!$AJ$6:$AJ$505,"&gt;"&amp;$A270,実績!$AK$6:$AK$505,"○")&gt;0,1,0))</f>
        <v>0</v>
      </c>
      <c r="BO270" s="39" t="n">
        <f aca="false">IF(BO$4=0,0,IF(COUNTIFS(実績!$W$6:$W$505,BO$3,実績!$AI$6:$AI$505,"&lt;="&amp;$A270,実績!$AJ$6:$AJ$505,"&gt;"&amp;$A270,実績!$AK$6:$AK$505,"○")&gt;0,1,0))</f>
        <v>0</v>
      </c>
      <c r="BP270" s="39" t="n">
        <f aca="false">IF(BP$4=0,0,IF(COUNTIFS(実績!$W$6:$W$505,BP$3,実績!$AI$6:$AI$505,"&lt;="&amp;$A270,実績!$AJ$6:$AJ$505,"&gt;"&amp;$A270,実績!$AK$6:$AK$505,"○")&gt;0,1,0))</f>
        <v>0</v>
      </c>
      <c r="BQ270" s="39" t="n">
        <f aca="false">IF(BQ$4=0,0,IF(COUNTIFS(実績!$W$6:$W$505,BQ$3,実績!$AI$6:$AI$505,"&lt;="&amp;$A270,実績!$AJ$6:$AJ$505,"&gt;"&amp;$A270,実績!$AK$6:$AK$505,"○")&gt;0,1,0))</f>
        <v>0</v>
      </c>
      <c r="BR270" s="39" t="n">
        <f aca="false">IF(BR$4=0,0,IF(COUNTIFS(実績!$W$6:$W$505,BR$3,実績!$AI$6:$AI$505,"&lt;="&amp;$A270,実績!$AJ$6:$AJ$505,"&gt;"&amp;$A270,実績!$AK$6:$AK$505,"○")&gt;0,1,0))</f>
        <v>0</v>
      </c>
      <c r="BS270" s="39" t="n">
        <f aca="false">IF(BS$4=0,0,IF(COUNTIFS(実績!$W$6:$W$505,BS$3,実績!$AI$6:$AI$505,"&lt;="&amp;$A270,実績!$AJ$6:$AJ$505,"&gt;"&amp;$A270,実績!$AK$6:$AK$505,"○")&gt;0,1,0))</f>
        <v>0</v>
      </c>
      <c r="BT270" s="39" t="n">
        <f aca="false">IF(BT$4=0,0,IF(COUNTIFS(実績!$W$6:$W$505,BT$3,実績!$AI$6:$AI$505,"&lt;="&amp;$A270,実績!$AJ$6:$AJ$505,"&gt;"&amp;$A270,実績!$AK$6:$AK$505,"○")&gt;0,1,0))</f>
        <v>0</v>
      </c>
      <c r="BU270" s="39" t="n">
        <f aca="false">IF(BU$4=0,0,IF(COUNTIFS(実績!$W$6:$W$505,BU$3,実績!$AI$6:$AI$505,"&lt;="&amp;$A270,実績!$AJ$6:$AJ$505,"&gt;"&amp;$A270,実績!$AK$6:$AK$505,"○")&gt;0,1,0))</f>
        <v>0</v>
      </c>
      <c r="BV270" s="39" t="n">
        <f aca="false">IF(BV$4=0,0,IF(COUNTIFS(実績!$W$6:$W$505,BV$3,実績!$AI$6:$AI$505,"&lt;="&amp;$A270,実績!$AJ$6:$AJ$505,"&gt;"&amp;$A270,実績!$AK$6:$AK$505,"○")&gt;0,1,0))</f>
        <v>0</v>
      </c>
      <c r="BW270" s="39" t="n">
        <f aca="false">IF(BW$4=0,0,IF(COUNTIFS(実績!$W$6:$W$505,BW$3,実績!$AI$6:$AI$505,"&lt;="&amp;$A270,実績!$AJ$6:$AJ$505,"&gt;"&amp;$A270,実績!$AK$6:$AK$505,"○")&gt;0,1,0))</f>
        <v>0</v>
      </c>
      <c r="BX270" s="39" t="n">
        <f aca="false">IF(BX$4=0,0,IF(COUNTIFS(実績!$W$6:$W$505,BX$3,実績!$AI$6:$AI$505,"&lt;="&amp;$A270,実績!$AJ$6:$AJ$505,"&gt;"&amp;$A270,実績!$AK$6:$AK$505,"○")&gt;0,1,0))</f>
        <v>0</v>
      </c>
      <c r="BY270" s="39" t="n">
        <f aca="false">IF(BY$4=0,0,IF(COUNTIFS(実績!$W$6:$W$505,BY$3,実績!$AI$6:$AI$505,"&lt;="&amp;$A270,実績!$AJ$6:$AJ$505,"&gt;"&amp;$A270,実績!$AK$6:$AK$505,"○")&gt;0,1,0))</f>
        <v>0</v>
      </c>
      <c r="BZ270" s="39" t="n">
        <f aca="false">IF(BZ$4=0,0,IF(COUNTIFS(実績!$W$6:$W$505,BZ$3,実績!$AI$6:$AI$505,"&lt;="&amp;$A270,実績!$AJ$6:$AJ$505,"&gt;"&amp;$A270,実績!$AK$6:$AK$505,"○")&gt;0,1,0))</f>
        <v>0</v>
      </c>
      <c r="CA270" s="39" t="n">
        <f aca="false">IF(CA$4=0,0,IF(COUNTIFS(実績!$W$6:$W$505,CA$3,実績!$AI$6:$AI$505,"&lt;="&amp;$A270,実績!$AJ$6:$AJ$505,"&gt;"&amp;$A270,実績!$AK$6:$AK$505,"○")&gt;0,1,0))</f>
        <v>0</v>
      </c>
      <c r="CB270" s="39" t="n">
        <f aca="false">IF(CB$4=0,0,IF(COUNTIFS(実績!$W$6:$W$505,CB$3,実績!$AI$6:$AI$505,"&lt;="&amp;$A270,実績!$AJ$6:$AJ$505,"&gt;"&amp;$A270,実績!$AK$6:$AK$505,"○")&gt;0,1,0))</f>
        <v>0</v>
      </c>
      <c r="CC270" s="39" t="n">
        <f aca="false">IF(CC$4=0,0,IF(COUNTIFS(実績!$W$6:$W$505,CC$3,実績!$AI$6:$AI$505,"&lt;="&amp;$A270,実績!$AJ$6:$AJ$505,"&gt;"&amp;$A270,実績!$AK$6:$AK$505,"○")&gt;0,1,0))</f>
        <v>0</v>
      </c>
      <c r="CD270" s="39" t="n">
        <f aca="false">IF(CD$4=0,0,IF(COUNTIFS(実績!$W$6:$W$505,CD$3,実績!$AI$6:$AI$505,"&lt;="&amp;$A270,実績!$AJ$6:$AJ$505,"&gt;"&amp;$A270,実績!$AK$6:$AK$505,"○")&gt;0,1,0))</f>
        <v>0</v>
      </c>
      <c r="CE270" s="39" t="n">
        <f aca="false">IF(CE$4=0,0,IF(COUNTIFS(実績!$W$6:$W$505,CE$3,実績!$AI$6:$AI$505,"&lt;="&amp;$A270,実績!$AJ$6:$AJ$505,"&gt;"&amp;$A270,実績!$AK$6:$AK$505,"○")&gt;0,1,0))</f>
        <v>0</v>
      </c>
      <c r="CF270" s="39" t="n">
        <f aca="false">IF(CF$4=0,0,IF(COUNTIFS(実績!$W$6:$W$505,CF$3,実績!$AI$6:$AI$505,"&lt;="&amp;$A270,実績!$AJ$6:$AJ$505,"&gt;"&amp;$A270,実績!$AK$6:$AK$505,"○")&gt;0,1,0))</f>
        <v>0</v>
      </c>
      <c r="CG270" s="39" t="n">
        <f aca="false">IF(CG$4=0,0,IF(COUNTIFS(実績!$W$6:$W$505,CG$3,実績!$AI$6:$AI$505,"&lt;="&amp;$A270,実績!$AJ$6:$AJ$505,"&gt;"&amp;$A270,実績!$AK$6:$AK$505,"○")&gt;0,1,0))</f>
        <v>0</v>
      </c>
      <c r="CH270" s="39" t="n">
        <f aca="false">IF(CH$4=0,0,IF(COUNTIFS(実績!$W$6:$W$505,CH$3,実績!$AI$6:$AI$505,"&lt;="&amp;$A270,実績!$AJ$6:$AJ$505,"&gt;"&amp;$A270,実績!$AK$6:$AK$505,"○")&gt;0,1,0))</f>
        <v>0</v>
      </c>
      <c r="CI270" s="39" t="n">
        <f aca="false">IF(CI$4=0,0,IF(COUNTIFS(実績!$W$6:$W$505,CI$3,実績!$AI$6:$AI$505,"&lt;="&amp;$A270,実績!$AJ$6:$AJ$505,"&gt;"&amp;$A270,実績!$AK$6:$AK$505,"○")&gt;0,1,0))</f>
        <v>0</v>
      </c>
      <c r="CJ270" s="39" t="n">
        <f aca="false">IF(CJ$4=0,0,IF(COUNTIFS(実績!$W$6:$W$505,CJ$3,実績!$AI$6:$AI$505,"&lt;="&amp;$A270,実績!$AJ$6:$AJ$505,"&gt;"&amp;$A270,実績!$AK$6:$AK$505,"○")&gt;0,1,0))</f>
        <v>0</v>
      </c>
      <c r="CK270" s="39" t="n">
        <f aca="false">IF(CK$4=0,0,IF(COUNTIFS(実績!$W$6:$W$505,CK$3,実績!$AI$6:$AI$505,"&lt;="&amp;$A270,実績!$AJ$6:$AJ$505,"&gt;"&amp;$A270,実績!$AK$6:$AK$505,"○")&gt;0,1,0))</f>
        <v>0</v>
      </c>
      <c r="CL270" s="39" t="n">
        <f aca="false">IF(CL$4=0,0,IF(COUNTIFS(実績!$W$6:$W$505,CL$3,実績!$AI$6:$AI$505,"&lt;="&amp;$A270,実績!$AJ$6:$AJ$505,"&gt;"&amp;$A270,実績!$AK$6:$AK$505,"○")&gt;0,1,0))</f>
        <v>0</v>
      </c>
      <c r="CM270" s="39" t="n">
        <f aca="false">IF(CM$4=0,0,IF(COUNTIFS(実績!$W$6:$W$505,CM$3,実績!$AI$6:$AI$505,"&lt;="&amp;$A270,実績!$AJ$6:$AJ$505,"&gt;"&amp;$A270,実績!$AK$6:$AK$505,"○")&gt;0,1,0))</f>
        <v>0</v>
      </c>
      <c r="CN270" s="39" t="n">
        <f aca="false">IF(CN$4=0,0,IF(COUNTIFS(実績!$W$6:$W$505,CN$3,実績!$AI$6:$AI$505,"&lt;="&amp;$A270,実績!$AJ$6:$AJ$505,"&gt;"&amp;$A270,実績!$AK$6:$AK$505,"○")&gt;0,1,0))</f>
        <v>0</v>
      </c>
      <c r="CO270" s="39" t="n">
        <f aca="false">IF(CO$4=0,0,IF(COUNTIFS(実績!$W$6:$W$505,CO$3,実績!$AI$6:$AI$505,"&lt;="&amp;$A270,実績!$AJ$6:$AJ$505,"&gt;"&amp;$A270,実績!$AK$6:$AK$505,"○")&gt;0,1,0))</f>
        <v>0</v>
      </c>
      <c r="CP270" s="39" t="n">
        <f aca="false">IF(CP$4=0,0,IF(COUNTIFS(実績!$W$6:$W$505,CP$3,実績!$AI$6:$AI$505,"&lt;="&amp;$A270,実績!$AJ$6:$AJ$505,"&gt;"&amp;$A270,実績!$AK$6:$AK$505,"○")&gt;0,1,0))</f>
        <v>0</v>
      </c>
      <c r="CQ270" s="39" t="n">
        <f aca="false">IF(CQ$4=0,0,IF(COUNTIFS(実績!$W$6:$W$505,CQ$3,実績!$AI$6:$AI$505,"&lt;="&amp;$A270,実績!$AJ$6:$AJ$505,"&gt;"&amp;$A270,実績!$AK$6:$AK$505,"○")&gt;0,1,0))</f>
        <v>0</v>
      </c>
      <c r="CR270" s="39" t="n">
        <f aca="false">IF(CR$4=0,0,IF(COUNTIFS(実績!$W$6:$W$505,CR$3,実績!$AI$6:$AI$505,"&lt;="&amp;$A270,実績!$AJ$6:$AJ$505,"&gt;"&amp;$A270,実績!$AK$6:$AK$505,"○")&gt;0,1,0))</f>
        <v>0</v>
      </c>
      <c r="CS270" s="39" t="n">
        <f aca="false">IF(CS$4=0,0,IF(COUNTIFS(実績!$W$6:$W$505,CS$3,実績!$AI$6:$AI$505,"&lt;="&amp;$A270,実績!$AJ$6:$AJ$505,"&gt;"&amp;$A270,実績!$AK$6:$AK$505,"○")&gt;0,1,0))</f>
        <v>0</v>
      </c>
      <c r="CT270" s="39" t="n">
        <f aca="false">IF(CT$4=0,0,IF(COUNTIFS(実績!$W$6:$W$505,CT$3,実績!$AI$6:$AI$505,"&lt;="&amp;$A270,実績!$AJ$6:$AJ$505,"&gt;"&amp;$A270,実績!$AK$6:$AK$505,"○")&gt;0,1,0))</f>
        <v>0</v>
      </c>
      <c r="CU270" s="39" t="n">
        <f aca="false">IF(CU$4=0,0,IF(COUNTIFS(実績!$W$6:$W$505,CU$3,実績!$AI$6:$AI$505,"&lt;="&amp;$A270,実績!$AJ$6:$AJ$505,"&gt;"&amp;$A270,実績!$AK$6:$AK$505,"○")&gt;0,1,0))</f>
        <v>0</v>
      </c>
      <c r="CV270" s="39" t="n">
        <f aca="false">IF(CV$4=0,0,IF(COUNTIFS(実績!$W$6:$W$505,CV$3,実績!$AI$6:$AI$505,"&lt;="&amp;$A270,実績!$AJ$6:$AJ$505,"&gt;"&amp;$A270,実績!$AK$6:$AK$505,"○")&gt;0,1,0))</f>
        <v>0</v>
      </c>
      <c r="CW270" s="39" t="n">
        <f aca="false">IF(CW$4=0,0,IF(COUNTIFS(実績!$W$6:$W$505,CW$3,実績!$AI$6:$AI$505,"&lt;="&amp;$A270,実績!$AJ$6:$AJ$505,"&gt;"&amp;$A270,実績!$AK$6:$AK$505,"○")&gt;0,1,0))</f>
        <v>0</v>
      </c>
      <c r="CX270" s="39" t="n">
        <f aca="false">IF(CX$4=0,0,IF(COUNTIFS(実績!$W$6:$W$505,CX$3,実績!$AI$6:$AI$505,"&lt;="&amp;$A270,実績!$AJ$6:$AJ$505,"&gt;"&amp;$A270,実績!$AK$6:$AK$505,"○")&gt;0,1,0))</f>
        <v>0</v>
      </c>
      <c r="CY270" s="39" t="n">
        <f aca="false">IF(CY$4=0,0,IF(COUNTIFS(実績!$W$6:$W$505,CY$3,実績!$AI$6:$AI$505,"&lt;="&amp;$A270,実績!$AJ$6:$AJ$505,"&gt;"&amp;$A270,実績!$AK$6:$AK$505,"○")&gt;0,1,0))</f>
        <v>0</v>
      </c>
      <c r="CZ270" s="39" t="n">
        <f aca="false">IF(CZ$4=0,0,IF(COUNTIFS(実績!$W$6:$W$505,CZ$3,実績!$AI$6:$AI$505,"&lt;="&amp;$A270,実績!$AJ$6:$AJ$505,"&gt;"&amp;$A270,実績!$AK$6:$AK$505,"○")&gt;0,1,0))</f>
        <v>0</v>
      </c>
      <c r="DA270" s="39" t="n">
        <f aca="false">IF(DA$4=0,0,IF(COUNTIFS(実績!$W$6:$W$505,DA$3,実績!$AI$6:$AI$505,"&lt;="&amp;$A270,実績!$AJ$6:$AJ$505,"&gt;"&amp;$A270,実績!$AK$6:$AK$505,"○")&gt;0,1,0))</f>
        <v>0</v>
      </c>
      <c r="DB270" s="39" t="n">
        <f aca="false">IF(DB$4=0,0,IF(COUNTIFS(実績!$W$6:$W$505,DB$3,実績!$AI$6:$AI$505,"&lt;="&amp;$A270,実績!$AJ$6:$AJ$505,"&gt;"&amp;$A270,実績!$AK$6:$AK$505,"○")&gt;0,1,0))</f>
        <v>0</v>
      </c>
      <c r="DC270" s="39" t="n">
        <f aca="false">IF(DC$4=0,0,IF(COUNTIFS(実績!$W$6:$W$505,DC$3,実績!$AI$6:$AI$505,"&lt;="&amp;$A270,実績!$AJ$6:$AJ$505,"&gt;"&amp;$A270,実績!$AK$6:$AK$505,"○")&gt;0,1,0))</f>
        <v>0</v>
      </c>
      <c r="DD270" s="39" t="n">
        <f aca="false">IF(DD$4=0,0,IF(COUNTIFS(実績!$W$6:$W$505,DD$3,実績!$AI$6:$AI$505,"&lt;="&amp;$A270,実績!$AJ$6:$AJ$505,"&gt;"&amp;$A270,実績!$AK$6:$AK$505,"○")&gt;0,1,0))</f>
        <v>0</v>
      </c>
      <c r="DE270" s="39" t="n">
        <f aca="false">IF(DE$4=0,0,IF(COUNTIFS(実績!$W$6:$W$505,DE$3,実績!$AI$6:$AI$505,"&lt;="&amp;$A270,実績!$AJ$6:$AJ$505,"&gt;"&amp;$A270,実績!$AK$6:$AK$505,"○")&gt;0,1,0))</f>
        <v>0</v>
      </c>
      <c r="DF270" s="39" t="n">
        <f aca="false">IF(DF$4=0,0,IF(COUNTIFS(実績!$W$6:$W$505,DF$3,実績!$AI$6:$AI$505,"&lt;="&amp;$A270,実績!$AJ$6:$AJ$505,"&gt;"&amp;$A270,実績!$AK$6:$AK$505,"○")&gt;0,1,0))</f>
        <v>0</v>
      </c>
      <c r="DG270" s="39" t="n">
        <f aca="false">IF(DG$4=0,0,IF(COUNTIFS(実績!$W$6:$W$505,DG$3,実績!$AI$6:$AI$505,"&lt;="&amp;$A270,実績!$AJ$6:$AJ$505,"&gt;"&amp;$A270,実績!$AK$6:$AK$505,"○")&gt;0,1,0))</f>
        <v>0</v>
      </c>
      <c r="DH270" s="39" t="n">
        <f aca="false">IF(DH$4=0,0,IF(COUNTIFS(実績!$W$6:$W$505,DH$3,実績!$AI$6:$AI$505,"&lt;="&amp;$A270,実績!$AJ$6:$AJ$505,"&gt;"&amp;$A270,実績!$AK$6:$AK$505,"○")&gt;0,1,0))</f>
        <v>0</v>
      </c>
      <c r="DI270" s="39" t="n">
        <f aca="false">IF(DI$4=0,0,IF(COUNTIFS(実績!$W$6:$W$505,DI$3,実績!$AI$6:$AI$505,"&lt;="&amp;$A270,実績!$AJ$6:$AJ$505,"&gt;"&amp;$A270,実績!$AK$6:$AK$505,"○")&gt;0,1,0))</f>
        <v>0</v>
      </c>
      <c r="DJ270" s="39" t="n">
        <f aca="false">IF(DJ$4=0,0,IF(COUNTIFS(実績!$W$6:$W$505,DJ$3,実績!$AI$6:$AI$505,"&lt;="&amp;$A270,実績!$AJ$6:$AJ$505,"&gt;"&amp;$A270,実績!$AK$6:$AK$505,"○")&gt;0,1,0))</f>
        <v>0</v>
      </c>
      <c r="DK270" s="39" t="n">
        <f aca="false">IF(DK$4=0,0,IF(COUNTIFS(実績!$W$6:$W$505,DK$3,実績!$AI$6:$AI$505,"&lt;="&amp;$A270,実績!$AJ$6:$AJ$505,"&gt;"&amp;$A270,実績!$AK$6:$AK$505,"○")&gt;0,1,0))</f>
        <v>0</v>
      </c>
      <c r="DL270" s="39" t="n">
        <f aca="false">IF(DL$4=0,0,IF(COUNTIFS(実績!$W$6:$W$505,DL$3,実績!$AI$6:$AI$505,"&lt;="&amp;$A270,実績!$AJ$6:$AJ$505,"&gt;"&amp;$A270,実績!$AK$6:$AK$505,"○")&gt;0,1,0))</f>
        <v>0</v>
      </c>
      <c r="DM270" s="39" t="n">
        <f aca="false">IF(DM$4=0,0,IF(COUNTIFS(実績!$W$6:$W$505,DM$3,実績!$AI$6:$AI$505,"&lt;="&amp;$A270,実績!$AJ$6:$AJ$505,"&gt;"&amp;$A270,実績!$AK$6:$AK$505,"○")&gt;0,1,0))</f>
        <v>0</v>
      </c>
      <c r="DN270" s="39" t="n">
        <f aca="false">IF(DN$4=0,0,IF(COUNTIFS(実績!$W$6:$W$505,DN$3,実績!$AI$6:$AI$505,"&lt;="&amp;$A270,実績!$AJ$6:$AJ$505,"&gt;"&amp;$A270,実績!$AK$6:$AK$505,"○")&gt;0,1,0))</f>
        <v>0</v>
      </c>
      <c r="DO270" s="39" t="n">
        <f aca="false">IF(DO$4=0,0,IF(COUNTIFS(実績!$W$6:$W$505,DO$3,実績!$AI$6:$AI$505,"&lt;="&amp;$A270,実績!$AJ$6:$AJ$505,"&gt;"&amp;$A270,実績!$AK$6:$AK$505,"○")&gt;0,1,0))</f>
        <v>0</v>
      </c>
      <c r="DP270" s="39" t="n">
        <f aca="false">IF(DP$4=0,0,IF(COUNTIFS(実績!$W$6:$W$505,DP$3,実績!$AI$6:$AI$505,"&lt;="&amp;$A270,実績!$AJ$6:$AJ$505,"&gt;"&amp;$A270,実績!$AK$6:$AK$505,"○")&gt;0,1,0))</f>
        <v>0</v>
      </c>
      <c r="DQ270" s="39" t="n">
        <f aca="false">IF(DQ$4=0,0,IF(COUNTIFS(実績!$W$6:$W$505,DQ$3,実績!$AI$6:$AI$505,"&lt;="&amp;$A270,実績!$AJ$6:$AJ$505,"&gt;"&amp;$A270,実績!$AK$6:$AK$505,"○")&gt;0,1,0))</f>
        <v>0</v>
      </c>
      <c r="DR270" s="39" t="n">
        <f aca="false">IF(DR$4=0,0,IF(COUNTIFS(実績!$W$6:$W$505,DR$3,実績!$AI$6:$AI$505,"&lt;="&amp;$A270,実績!$AJ$6:$AJ$505,"&gt;"&amp;$A270,実績!$AK$6:$AK$505,"○")&gt;0,1,0))</f>
        <v>0</v>
      </c>
      <c r="DS270" s="39" t="n">
        <f aca="false">SUM(C270:DR270)</f>
        <v>0</v>
      </c>
      <c r="DT270" s="39" t="n">
        <f aca="false">SUMPRODUCT((実績!$C$6:$C$505="○")*ISNUMBER(実績!$AM$6:$AM$505)*(実績!$AM$6:$AM$505&lt;=$A270)*(実績!$AN$6:$AN$505&gt;$A270))</f>
        <v>0</v>
      </c>
      <c r="DU270" s="39" t="n">
        <f aca="false">SUMIF($C$2:$DR$2,"製鉄曳船",C270:DR270)</f>
        <v>0</v>
      </c>
      <c r="DV270" s="39" t="n">
        <f aca="false">SUMIF($C$2:$DR$2,"西日本海運",C270:DR270)</f>
        <v>0</v>
      </c>
    </row>
    <row r="271" customFormat="false" ht="15" hidden="false" customHeight="false" outlineLevel="0" collapsed="false">
      <c r="A271" s="0" t="n">
        <v>1325</v>
      </c>
      <c r="B271" s="38" t="n">
        <f aca="false">A271/1440</f>
        <v>0.920138888888889</v>
      </c>
      <c r="C271" s="39" t="n">
        <f aca="false">IF(C$4=0,0,IF(COUNTIFS(実績!$W$6:$W$505,C$3,実績!$AI$6:$AI$505,"&lt;="&amp;$A271,実績!$AJ$6:$AJ$505,"&gt;"&amp;$A271,実績!$AK$6:$AK$505,"○")&gt;0,1,0))</f>
        <v>0</v>
      </c>
      <c r="D271" s="39" t="n">
        <f aca="false">IF(D$4=0,0,IF(COUNTIFS(実績!$W$6:$W$505,D$3,実績!$AI$6:$AI$505,"&lt;="&amp;$A271,実績!$AJ$6:$AJ$505,"&gt;"&amp;$A271,実績!$AK$6:$AK$505,"○")&gt;0,1,0))</f>
        <v>0</v>
      </c>
      <c r="E271" s="39" t="n">
        <f aca="false">IF(E$4=0,0,IF(COUNTIFS(実績!$W$6:$W$505,E$3,実績!$AI$6:$AI$505,"&lt;="&amp;$A271,実績!$AJ$6:$AJ$505,"&gt;"&amp;$A271,実績!$AK$6:$AK$505,"○")&gt;0,1,0))</f>
        <v>0</v>
      </c>
      <c r="F271" s="39" t="n">
        <f aca="false">IF(F$4=0,0,IF(COUNTIFS(実績!$W$6:$W$505,F$3,実績!$AI$6:$AI$505,"&lt;="&amp;$A271,実績!$AJ$6:$AJ$505,"&gt;"&amp;$A271,実績!$AK$6:$AK$505,"○")&gt;0,1,0))</f>
        <v>0</v>
      </c>
      <c r="G271" s="39" t="n">
        <f aca="false">IF(G$4=0,0,IF(COUNTIFS(実績!$W$6:$W$505,G$3,実績!$AI$6:$AI$505,"&lt;="&amp;$A271,実績!$AJ$6:$AJ$505,"&gt;"&amp;$A271,実績!$AK$6:$AK$505,"○")&gt;0,1,0))</f>
        <v>0</v>
      </c>
      <c r="H271" s="39" t="n">
        <f aca="false">IF(H$4=0,0,IF(COUNTIFS(実績!$W$6:$W$505,H$3,実績!$AI$6:$AI$505,"&lt;="&amp;$A271,実績!$AJ$6:$AJ$505,"&gt;"&amp;$A271,実績!$AK$6:$AK$505,"○")&gt;0,1,0))</f>
        <v>0</v>
      </c>
      <c r="I271" s="39" t="n">
        <f aca="false">IF(I$4=0,0,IF(COUNTIFS(実績!$W$6:$W$505,I$3,実績!$AI$6:$AI$505,"&lt;="&amp;$A271,実績!$AJ$6:$AJ$505,"&gt;"&amp;$A271,実績!$AK$6:$AK$505,"○")&gt;0,1,0))</f>
        <v>0</v>
      </c>
      <c r="J271" s="39" t="n">
        <f aca="false">IF(J$4=0,0,IF(COUNTIFS(実績!$W$6:$W$505,J$3,実績!$AI$6:$AI$505,"&lt;="&amp;$A271,実績!$AJ$6:$AJ$505,"&gt;"&amp;$A271,実績!$AK$6:$AK$505,"○")&gt;0,1,0))</f>
        <v>0</v>
      </c>
      <c r="K271" s="39" t="n">
        <f aca="false">IF(K$4=0,0,IF(COUNTIFS(実績!$W$6:$W$505,K$3,実績!$AI$6:$AI$505,"&lt;="&amp;$A271,実績!$AJ$6:$AJ$505,"&gt;"&amp;$A271,実績!$AK$6:$AK$505,"○")&gt;0,1,0))</f>
        <v>0</v>
      </c>
      <c r="L271" s="39" t="n">
        <f aca="false">IF(L$4=0,0,IF(COUNTIFS(実績!$W$6:$W$505,L$3,実績!$AI$6:$AI$505,"&lt;="&amp;$A271,実績!$AJ$6:$AJ$505,"&gt;"&amp;$A271,実績!$AK$6:$AK$505,"○")&gt;0,1,0))</f>
        <v>0</v>
      </c>
      <c r="M271" s="39" t="n">
        <f aca="false">IF(M$4=0,0,IF(COUNTIFS(実績!$W$6:$W$505,M$3,実績!$AI$6:$AI$505,"&lt;="&amp;$A271,実績!$AJ$6:$AJ$505,"&gt;"&amp;$A271,実績!$AK$6:$AK$505,"○")&gt;0,1,0))</f>
        <v>0</v>
      </c>
      <c r="N271" s="39" t="n">
        <f aca="false">IF(N$4=0,0,IF(COUNTIFS(実績!$W$6:$W$505,N$3,実績!$AI$6:$AI$505,"&lt;="&amp;$A271,実績!$AJ$6:$AJ$505,"&gt;"&amp;$A271,実績!$AK$6:$AK$505,"○")&gt;0,1,0))</f>
        <v>0</v>
      </c>
      <c r="O271" s="39" t="n">
        <f aca="false">IF(O$4=0,0,IF(COUNTIFS(実績!$W$6:$W$505,O$3,実績!$AI$6:$AI$505,"&lt;="&amp;$A271,実績!$AJ$6:$AJ$505,"&gt;"&amp;$A271,実績!$AK$6:$AK$505,"○")&gt;0,1,0))</f>
        <v>0</v>
      </c>
      <c r="P271" s="39" t="n">
        <f aca="false">IF(P$4=0,0,IF(COUNTIFS(実績!$W$6:$W$505,P$3,実績!$AI$6:$AI$505,"&lt;="&amp;$A271,実績!$AJ$6:$AJ$505,"&gt;"&amp;$A271,実績!$AK$6:$AK$505,"○")&gt;0,1,0))</f>
        <v>0</v>
      </c>
      <c r="Q271" s="39" t="n">
        <f aca="false">IF(Q$4=0,0,IF(COUNTIFS(実績!$W$6:$W$505,Q$3,実績!$AI$6:$AI$505,"&lt;="&amp;$A271,実績!$AJ$6:$AJ$505,"&gt;"&amp;$A271,実績!$AK$6:$AK$505,"○")&gt;0,1,0))</f>
        <v>0</v>
      </c>
      <c r="R271" s="39" t="n">
        <f aca="false">IF(R$4=0,0,IF(COUNTIFS(実績!$W$6:$W$505,R$3,実績!$AI$6:$AI$505,"&lt;="&amp;$A271,実績!$AJ$6:$AJ$505,"&gt;"&amp;$A271,実績!$AK$6:$AK$505,"○")&gt;0,1,0))</f>
        <v>0</v>
      </c>
      <c r="S271" s="39" t="n">
        <f aca="false">IF(S$4=0,0,IF(COUNTIFS(実績!$W$6:$W$505,S$3,実績!$AI$6:$AI$505,"&lt;="&amp;$A271,実績!$AJ$6:$AJ$505,"&gt;"&amp;$A271,実績!$AK$6:$AK$505,"○")&gt;0,1,0))</f>
        <v>0</v>
      </c>
      <c r="T271" s="39" t="n">
        <f aca="false">IF(T$4=0,0,IF(COUNTIFS(実績!$W$6:$W$505,T$3,実績!$AI$6:$AI$505,"&lt;="&amp;$A271,実績!$AJ$6:$AJ$505,"&gt;"&amp;$A271,実績!$AK$6:$AK$505,"○")&gt;0,1,0))</f>
        <v>0</v>
      </c>
      <c r="U271" s="39" t="n">
        <f aca="false">IF(U$4=0,0,IF(COUNTIFS(実績!$W$6:$W$505,U$3,実績!$AI$6:$AI$505,"&lt;="&amp;$A271,実績!$AJ$6:$AJ$505,"&gt;"&amp;$A271,実績!$AK$6:$AK$505,"○")&gt;0,1,0))</f>
        <v>0</v>
      </c>
      <c r="V271" s="39" t="n">
        <f aca="false">IF(V$4=0,0,IF(COUNTIFS(実績!$W$6:$W$505,V$3,実績!$AI$6:$AI$505,"&lt;="&amp;$A271,実績!$AJ$6:$AJ$505,"&gt;"&amp;$A271,実績!$AK$6:$AK$505,"○")&gt;0,1,0))</f>
        <v>0</v>
      </c>
      <c r="W271" s="39" t="n">
        <f aca="false">IF(W$4=0,0,IF(COUNTIFS(実績!$W$6:$W$505,W$3,実績!$AI$6:$AI$505,"&lt;="&amp;$A271,実績!$AJ$6:$AJ$505,"&gt;"&amp;$A271,実績!$AK$6:$AK$505,"○")&gt;0,1,0))</f>
        <v>0</v>
      </c>
      <c r="X271" s="39" t="n">
        <f aca="false">IF(X$4=0,0,IF(COUNTIFS(実績!$W$6:$W$505,X$3,実績!$AI$6:$AI$505,"&lt;="&amp;$A271,実績!$AJ$6:$AJ$505,"&gt;"&amp;$A271,実績!$AK$6:$AK$505,"○")&gt;0,1,0))</f>
        <v>0</v>
      </c>
      <c r="Y271" s="39" t="n">
        <f aca="false">IF(Y$4=0,0,IF(COUNTIFS(実績!$W$6:$W$505,Y$3,実績!$AI$6:$AI$505,"&lt;="&amp;$A271,実績!$AJ$6:$AJ$505,"&gt;"&amp;$A271,実績!$AK$6:$AK$505,"○")&gt;0,1,0))</f>
        <v>0</v>
      </c>
      <c r="Z271" s="39" t="n">
        <f aca="false">IF(Z$4=0,0,IF(COUNTIFS(実績!$W$6:$W$505,Z$3,実績!$AI$6:$AI$505,"&lt;="&amp;$A271,実績!$AJ$6:$AJ$505,"&gt;"&amp;$A271,実績!$AK$6:$AK$505,"○")&gt;0,1,0))</f>
        <v>0</v>
      </c>
      <c r="AA271" s="39" t="n">
        <f aca="false">IF(AA$4=0,0,IF(COUNTIFS(実績!$W$6:$W$505,AA$3,実績!$AI$6:$AI$505,"&lt;="&amp;$A271,実績!$AJ$6:$AJ$505,"&gt;"&amp;$A271,実績!$AK$6:$AK$505,"○")&gt;0,1,0))</f>
        <v>0</v>
      </c>
      <c r="AB271" s="39" t="n">
        <f aca="false">IF(AB$4=0,0,IF(COUNTIFS(実績!$W$6:$W$505,AB$3,実績!$AI$6:$AI$505,"&lt;="&amp;$A271,実績!$AJ$6:$AJ$505,"&gt;"&amp;$A271,実績!$AK$6:$AK$505,"○")&gt;0,1,0))</f>
        <v>0</v>
      </c>
      <c r="AC271" s="39" t="n">
        <f aca="false">IF(AC$4=0,0,IF(COUNTIFS(実績!$W$6:$W$505,AC$3,実績!$AI$6:$AI$505,"&lt;="&amp;$A271,実績!$AJ$6:$AJ$505,"&gt;"&amp;$A271,実績!$AK$6:$AK$505,"○")&gt;0,1,0))</f>
        <v>0</v>
      </c>
      <c r="AD271" s="39" t="n">
        <f aca="false">IF(AD$4=0,0,IF(COUNTIFS(実績!$W$6:$W$505,AD$3,実績!$AI$6:$AI$505,"&lt;="&amp;$A271,実績!$AJ$6:$AJ$505,"&gt;"&amp;$A271,実績!$AK$6:$AK$505,"○")&gt;0,1,0))</f>
        <v>0</v>
      </c>
      <c r="AE271" s="39" t="n">
        <f aca="false">IF(AE$4=0,0,IF(COUNTIFS(実績!$W$6:$W$505,AE$3,実績!$AI$6:$AI$505,"&lt;="&amp;$A271,実績!$AJ$6:$AJ$505,"&gt;"&amp;$A271,実績!$AK$6:$AK$505,"○")&gt;0,1,0))</f>
        <v>0</v>
      </c>
      <c r="AF271" s="39" t="n">
        <f aca="false">IF(AF$4=0,0,IF(COUNTIFS(実績!$W$6:$W$505,AF$3,実績!$AI$6:$AI$505,"&lt;="&amp;$A271,実績!$AJ$6:$AJ$505,"&gt;"&amp;$A271,実績!$AK$6:$AK$505,"○")&gt;0,1,0))</f>
        <v>0</v>
      </c>
      <c r="AG271" s="39" t="n">
        <f aca="false">IF(AG$4=0,0,IF(COUNTIFS(実績!$W$6:$W$505,AG$3,実績!$AI$6:$AI$505,"&lt;="&amp;$A271,実績!$AJ$6:$AJ$505,"&gt;"&amp;$A271,実績!$AK$6:$AK$505,"○")&gt;0,1,0))</f>
        <v>0</v>
      </c>
      <c r="AH271" s="39" t="n">
        <f aca="false">IF(AH$4=0,0,IF(COUNTIFS(実績!$W$6:$W$505,AH$3,実績!$AI$6:$AI$505,"&lt;="&amp;$A271,実績!$AJ$6:$AJ$505,"&gt;"&amp;$A271,実績!$AK$6:$AK$505,"○")&gt;0,1,0))</f>
        <v>0</v>
      </c>
      <c r="AI271" s="39" t="n">
        <f aca="false">IF(AI$4=0,0,IF(COUNTIFS(実績!$W$6:$W$505,AI$3,実績!$AI$6:$AI$505,"&lt;="&amp;$A271,実績!$AJ$6:$AJ$505,"&gt;"&amp;$A271,実績!$AK$6:$AK$505,"○")&gt;0,1,0))</f>
        <v>0</v>
      </c>
      <c r="AJ271" s="39" t="n">
        <f aca="false">IF(AJ$4=0,0,IF(COUNTIFS(実績!$W$6:$W$505,AJ$3,実績!$AI$6:$AI$505,"&lt;="&amp;$A271,実績!$AJ$6:$AJ$505,"&gt;"&amp;$A271,実績!$AK$6:$AK$505,"○")&gt;0,1,0))</f>
        <v>0</v>
      </c>
      <c r="AK271" s="39" t="n">
        <f aca="false">IF(AK$4=0,0,IF(COUNTIFS(実績!$W$6:$W$505,AK$3,実績!$AI$6:$AI$505,"&lt;="&amp;$A271,実績!$AJ$6:$AJ$505,"&gt;"&amp;$A271,実績!$AK$6:$AK$505,"○")&gt;0,1,0))</f>
        <v>0</v>
      </c>
      <c r="AL271" s="39" t="n">
        <f aca="false">IF(AL$4=0,0,IF(COUNTIFS(実績!$W$6:$W$505,AL$3,実績!$AI$6:$AI$505,"&lt;="&amp;$A271,実績!$AJ$6:$AJ$505,"&gt;"&amp;$A271,実績!$AK$6:$AK$505,"○")&gt;0,1,0))</f>
        <v>0</v>
      </c>
      <c r="AM271" s="39" t="n">
        <f aca="false">IF(AM$4=0,0,IF(COUNTIFS(実績!$W$6:$W$505,AM$3,実績!$AI$6:$AI$505,"&lt;="&amp;$A271,実績!$AJ$6:$AJ$505,"&gt;"&amp;$A271,実績!$AK$6:$AK$505,"○")&gt;0,1,0))</f>
        <v>0</v>
      </c>
      <c r="AN271" s="39" t="n">
        <f aca="false">IF(AN$4=0,0,IF(COUNTIFS(実績!$W$6:$W$505,AN$3,実績!$AI$6:$AI$505,"&lt;="&amp;$A271,実績!$AJ$6:$AJ$505,"&gt;"&amp;$A271,実績!$AK$6:$AK$505,"○")&gt;0,1,0))</f>
        <v>0</v>
      </c>
      <c r="AO271" s="39" t="n">
        <f aca="false">IF(AO$4=0,0,IF(COUNTIFS(実績!$W$6:$W$505,AO$3,実績!$AI$6:$AI$505,"&lt;="&amp;$A271,実績!$AJ$6:$AJ$505,"&gt;"&amp;$A271,実績!$AK$6:$AK$505,"○")&gt;0,1,0))</f>
        <v>0</v>
      </c>
      <c r="AP271" s="39" t="n">
        <f aca="false">IF(AP$4=0,0,IF(COUNTIFS(実績!$W$6:$W$505,AP$3,実績!$AI$6:$AI$505,"&lt;="&amp;$A271,実績!$AJ$6:$AJ$505,"&gt;"&amp;$A271,実績!$AK$6:$AK$505,"○")&gt;0,1,0))</f>
        <v>0</v>
      </c>
      <c r="AQ271" s="39" t="n">
        <f aca="false">IF(AQ$4=0,0,IF(COUNTIFS(実績!$W$6:$W$505,AQ$3,実績!$AI$6:$AI$505,"&lt;="&amp;$A271,実績!$AJ$6:$AJ$505,"&gt;"&amp;$A271,実績!$AK$6:$AK$505,"○")&gt;0,1,0))</f>
        <v>0</v>
      </c>
      <c r="AR271" s="39" t="n">
        <f aca="false">IF(AR$4=0,0,IF(COUNTIFS(実績!$W$6:$W$505,AR$3,実績!$AI$6:$AI$505,"&lt;="&amp;$A271,実績!$AJ$6:$AJ$505,"&gt;"&amp;$A271,実績!$AK$6:$AK$505,"○")&gt;0,1,0))</f>
        <v>0</v>
      </c>
      <c r="AS271" s="39" t="n">
        <f aca="false">IF(AS$4=0,0,IF(COUNTIFS(実績!$W$6:$W$505,AS$3,実績!$AI$6:$AI$505,"&lt;="&amp;$A271,実績!$AJ$6:$AJ$505,"&gt;"&amp;$A271,実績!$AK$6:$AK$505,"○")&gt;0,1,0))</f>
        <v>0</v>
      </c>
      <c r="AT271" s="39" t="n">
        <f aca="false">IF(AT$4=0,0,IF(COUNTIFS(実績!$W$6:$W$505,AT$3,実績!$AI$6:$AI$505,"&lt;="&amp;$A271,実績!$AJ$6:$AJ$505,"&gt;"&amp;$A271,実績!$AK$6:$AK$505,"○")&gt;0,1,0))</f>
        <v>0</v>
      </c>
      <c r="AU271" s="39" t="n">
        <f aca="false">IF(AU$4=0,0,IF(COUNTIFS(実績!$W$6:$W$505,AU$3,実績!$AI$6:$AI$505,"&lt;="&amp;$A271,実績!$AJ$6:$AJ$505,"&gt;"&amp;$A271,実績!$AK$6:$AK$505,"○")&gt;0,1,0))</f>
        <v>0</v>
      </c>
      <c r="AV271" s="39" t="n">
        <f aca="false">IF(AV$4=0,0,IF(COUNTIFS(実績!$W$6:$W$505,AV$3,実績!$AI$6:$AI$505,"&lt;="&amp;$A271,実績!$AJ$6:$AJ$505,"&gt;"&amp;$A271,実績!$AK$6:$AK$505,"○")&gt;0,1,0))</f>
        <v>0</v>
      </c>
      <c r="AW271" s="39" t="n">
        <f aca="false">IF(AW$4=0,0,IF(COUNTIFS(実績!$W$6:$W$505,AW$3,実績!$AI$6:$AI$505,"&lt;="&amp;$A271,実績!$AJ$6:$AJ$505,"&gt;"&amp;$A271,実績!$AK$6:$AK$505,"○")&gt;0,1,0))</f>
        <v>0</v>
      </c>
      <c r="AX271" s="39" t="n">
        <f aca="false">IF(AX$4=0,0,IF(COUNTIFS(実績!$W$6:$W$505,AX$3,実績!$AI$6:$AI$505,"&lt;="&amp;$A271,実績!$AJ$6:$AJ$505,"&gt;"&amp;$A271,実績!$AK$6:$AK$505,"○")&gt;0,1,0))</f>
        <v>0</v>
      </c>
      <c r="AY271" s="39" t="n">
        <f aca="false">IF(AY$4=0,0,IF(COUNTIFS(実績!$W$6:$W$505,AY$3,実績!$AI$6:$AI$505,"&lt;="&amp;$A271,実績!$AJ$6:$AJ$505,"&gt;"&amp;$A271,実績!$AK$6:$AK$505,"○")&gt;0,1,0))</f>
        <v>0</v>
      </c>
      <c r="AZ271" s="39" t="n">
        <f aca="false">IF(AZ$4=0,0,IF(COUNTIFS(実績!$W$6:$W$505,AZ$3,実績!$AI$6:$AI$505,"&lt;="&amp;$A271,実績!$AJ$6:$AJ$505,"&gt;"&amp;$A271,実績!$AK$6:$AK$505,"○")&gt;0,1,0))</f>
        <v>0</v>
      </c>
      <c r="BA271" s="39" t="n">
        <f aca="false">IF(BA$4=0,0,IF(COUNTIFS(実績!$W$6:$W$505,BA$3,実績!$AI$6:$AI$505,"&lt;="&amp;$A271,実績!$AJ$6:$AJ$505,"&gt;"&amp;$A271,実績!$AK$6:$AK$505,"○")&gt;0,1,0))</f>
        <v>0</v>
      </c>
      <c r="BB271" s="39" t="n">
        <f aca="false">IF(BB$4=0,0,IF(COUNTIFS(実績!$W$6:$W$505,BB$3,実績!$AI$6:$AI$505,"&lt;="&amp;$A271,実績!$AJ$6:$AJ$505,"&gt;"&amp;$A271,実績!$AK$6:$AK$505,"○")&gt;0,1,0))</f>
        <v>0</v>
      </c>
      <c r="BC271" s="39" t="n">
        <f aca="false">IF(BC$4=0,0,IF(COUNTIFS(実績!$W$6:$W$505,BC$3,実績!$AI$6:$AI$505,"&lt;="&amp;$A271,実績!$AJ$6:$AJ$505,"&gt;"&amp;$A271,実績!$AK$6:$AK$505,"○")&gt;0,1,0))</f>
        <v>0</v>
      </c>
      <c r="BD271" s="39" t="n">
        <f aca="false">IF(BD$4=0,0,IF(COUNTIFS(実績!$W$6:$W$505,BD$3,実績!$AI$6:$AI$505,"&lt;="&amp;$A271,実績!$AJ$6:$AJ$505,"&gt;"&amp;$A271,実績!$AK$6:$AK$505,"○")&gt;0,1,0))</f>
        <v>0</v>
      </c>
      <c r="BE271" s="39" t="n">
        <f aca="false">IF(BE$4=0,0,IF(COUNTIFS(実績!$W$6:$W$505,BE$3,実績!$AI$6:$AI$505,"&lt;="&amp;$A271,実績!$AJ$6:$AJ$505,"&gt;"&amp;$A271,実績!$AK$6:$AK$505,"○")&gt;0,1,0))</f>
        <v>0</v>
      </c>
      <c r="BF271" s="39" t="n">
        <f aca="false">IF(BF$4=0,0,IF(COUNTIFS(実績!$W$6:$W$505,BF$3,実績!$AI$6:$AI$505,"&lt;="&amp;$A271,実績!$AJ$6:$AJ$505,"&gt;"&amp;$A271,実績!$AK$6:$AK$505,"○")&gt;0,1,0))</f>
        <v>0</v>
      </c>
      <c r="BG271" s="39" t="n">
        <f aca="false">IF(BG$4=0,0,IF(COUNTIFS(実績!$W$6:$W$505,BG$3,実績!$AI$6:$AI$505,"&lt;="&amp;$A271,実績!$AJ$6:$AJ$505,"&gt;"&amp;$A271,実績!$AK$6:$AK$505,"○")&gt;0,1,0))</f>
        <v>0</v>
      </c>
      <c r="BH271" s="39" t="n">
        <f aca="false">IF(BH$4=0,0,IF(COUNTIFS(実績!$W$6:$W$505,BH$3,実績!$AI$6:$AI$505,"&lt;="&amp;$A271,実績!$AJ$6:$AJ$505,"&gt;"&amp;$A271,実績!$AK$6:$AK$505,"○")&gt;0,1,0))</f>
        <v>0</v>
      </c>
      <c r="BI271" s="39" t="n">
        <f aca="false">IF(BI$4=0,0,IF(COUNTIFS(実績!$W$6:$W$505,BI$3,実績!$AI$6:$AI$505,"&lt;="&amp;$A271,実績!$AJ$6:$AJ$505,"&gt;"&amp;$A271,実績!$AK$6:$AK$505,"○")&gt;0,1,0))</f>
        <v>0</v>
      </c>
      <c r="BJ271" s="39" t="n">
        <f aca="false">IF(BJ$4=0,0,IF(COUNTIFS(実績!$W$6:$W$505,BJ$3,実績!$AI$6:$AI$505,"&lt;="&amp;$A271,実績!$AJ$6:$AJ$505,"&gt;"&amp;$A271,実績!$AK$6:$AK$505,"○")&gt;0,1,0))</f>
        <v>0</v>
      </c>
      <c r="BK271" s="39" t="n">
        <f aca="false">IF(BK$4=0,0,IF(COUNTIFS(実績!$W$6:$W$505,BK$3,実績!$AI$6:$AI$505,"&lt;="&amp;$A271,実績!$AJ$6:$AJ$505,"&gt;"&amp;$A271,実績!$AK$6:$AK$505,"○")&gt;0,1,0))</f>
        <v>0</v>
      </c>
      <c r="BL271" s="39" t="n">
        <f aca="false">IF(BL$4=0,0,IF(COUNTIFS(実績!$W$6:$W$505,BL$3,実績!$AI$6:$AI$505,"&lt;="&amp;$A271,実績!$AJ$6:$AJ$505,"&gt;"&amp;$A271,実績!$AK$6:$AK$505,"○")&gt;0,1,0))</f>
        <v>0</v>
      </c>
      <c r="BM271" s="39" t="n">
        <f aca="false">IF(BM$4=0,0,IF(COUNTIFS(実績!$W$6:$W$505,BM$3,実績!$AI$6:$AI$505,"&lt;="&amp;$A271,実績!$AJ$6:$AJ$505,"&gt;"&amp;$A271,実績!$AK$6:$AK$505,"○")&gt;0,1,0))</f>
        <v>0</v>
      </c>
      <c r="BN271" s="39" t="n">
        <f aca="false">IF(BN$4=0,0,IF(COUNTIFS(実績!$W$6:$W$505,BN$3,実績!$AI$6:$AI$505,"&lt;="&amp;$A271,実績!$AJ$6:$AJ$505,"&gt;"&amp;$A271,実績!$AK$6:$AK$505,"○")&gt;0,1,0))</f>
        <v>0</v>
      </c>
      <c r="BO271" s="39" t="n">
        <f aca="false">IF(BO$4=0,0,IF(COUNTIFS(実績!$W$6:$W$505,BO$3,実績!$AI$6:$AI$505,"&lt;="&amp;$A271,実績!$AJ$6:$AJ$505,"&gt;"&amp;$A271,実績!$AK$6:$AK$505,"○")&gt;0,1,0))</f>
        <v>0</v>
      </c>
      <c r="BP271" s="39" t="n">
        <f aca="false">IF(BP$4=0,0,IF(COUNTIFS(実績!$W$6:$W$505,BP$3,実績!$AI$6:$AI$505,"&lt;="&amp;$A271,実績!$AJ$6:$AJ$505,"&gt;"&amp;$A271,実績!$AK$6:$AK$505,"○")&gt;0,1,0))</f>
        <v>0</v>
      </c>
      <c r="BQ271" s="39" t="n">
        <f aca="false">IF(BQ$4=0,0,IF(COUNTIFS(実績!$W$6:$W$505,BQ$3,実績!$AI$6:$AI$505,"&lt;="&amp;$A271,実績!$AJ$6:$AJ$505,"&gt;"&amp;$A271,実績!$AK$6:$AK$505,"○")&gt;0,1,0))</f>
        <v>0</v>
      </c>
      <c r="BR271" s="39" t="n">
        <f aca="false">IF(BR$4=0,0,IF(COUNTIFS(実績!$W$6:$W$505,BR$3,実績!$AI$6:$AI$505,"&lt;="&amp;$A271,実績!$AJ$6:$AJ$505,"&gt;"&amp;$A271,実績!$AK$6:$AK$505,"○")&gt;0,1,0))</f>
        <v>0</v>
      </c>
      <c r="BS271" s="39" t="n">
        <f aca="false">IF(BS$4=0,0,IF(COUNTIFS(実績!$W$6:$W$505,BS$3,実績!$AI$6:$AI$505,"&lt;="&amp;$A271,実績!$AJ$6:$AJ$505,"&gt;"&amp;$A271,実績!$AK$6:$AK$505,"○")&gt;0,1,0))</f>
        <v>0</v>
      </c>
      <c r="BT271" s="39" t="n">
        <f aca="false">IF(BT$4=0,0,IF(COUNTIFS(実績!$W$6:$W$505,BT$3,実績!$AI$6:$AI$505,"&lt;="&amp;$A271,実績!$AJ$6:$AJ$505,"&gt;"&amp;$A271,実績!$AK$6:$AK$505,"○")&gt;0,1,0))</f>
        <v>0</v>
      </c>
      <c r="BU271" s="39" t="n">
        <f aca="false">IF(BU$4=0,0,IF(COUNTIFS(実績!$W$6:$W$505,BU$3,実績!$AI$6:$AI$505,"&lt;="&amp;$A271,実績!$AJ$6:$AJ$505,"&gt;"&amp;$A271,実績!$AK$6:$AK$505,"○")&gt;0,1,0))</f>
        <v>0</v>
      </c>
      <c r="BV271" s="39" t="n">
        <f aca="false">IF(BV$4=0,0,IF(COUNTIFS(実績!$W$6:$W$505,BV$3,実績!$AI$6:$AI$505,"&lt;="&amp;$A271,実績!$AJ$6:$AJ$505,"&gt;"&amp;$A271,実績!$AK$6:$AK$505,"○")&gt;0,1,0))</f>
        <v>0</v>
      </c>
      <c r="BW271" s="39" t="n">
        <f aca="false">IF(BW$4=0,0,IF(COUNTIFS(実績!$W$6:$W$505,BW$3,実績!$AI$6:$AI$505,"&lt;="&amp;$A271,実績!$AJ$6:$AJ$505,"&gt;"&amp;$A271,実績!$AK$6:$AK$505,"○")&gt;0,1,0))</f>
        <v>0</v>
      </c>
      <c r="BX271" s="39" t="n">
        <f aca="false">IF(BX$4=0,0,IF(COUNTIFS(実績!$W$6:$W$505,BX$3,実績!$AI$6:$AI$505,"&lt;="&amp;$A271,実績!$AJ$6:$AJ$505,"&gt;"&amp;$A271,実績!$AK$6:$AK$505,"○")&gt;0,1,0))</f>
        <v>0</v>
      </c>
      <c r="BY271" s="39" t="n">
        <f aca="false">IF(BY$4=0,0,IF(COUNTIFS(実績!$W$6:$W$505,BY$3,実績!$AI$6:$AI$505,"&lt;="&amp;$A271,実績!$AJ$6:$AJ$505,"&gt;"&amp;$A271,実績!$AK$6:$AK$505,"○")&gt;0,1,0))</f>
        <v>0</v>
      </c>
      <c r="BZ271" s="39" t="n">
        <f aca="false">IF(BZ$4=0,0,IF(COUNTIFS(実績!$W$6:$W$505,BZ$3,実績!$AI$6:$AI$505,"&lt;="&amp;$A271,実績!$AJ$6:$AJ$505,"&gt;"&amp;$A271,実績!$AK$6:$AK$505,"○")&gt;0,1,0))</f>
        <v>0</v>
      </c>
      <c r="CA271" s="39" t="n">
        <f aca="false">IF(CA$4=0,0,IF(COUNTIFS(実績!$W$6:$W$505,CA$3,実績!$AI$6:$AI$505,"&lt;="&amp;$A271,実績!$AJ$6:$AJ$505,"&gt;"&amp;$A271,実績!$AK$6:$AK$505,"○")&gt;0,1,0))</f>
        <v>0</v>
      </c>
      <c r="CB271" s="39" t="n">
        <f aca="false">IF(CB$4=0,0,IF(COUNTIFS(実績!$W$6:$W$505,CB$3,実績!$AI$6:$AI$505,"&lt;="&amp;$A271,実績!$AJ$6:$AJ$505,"&gt;"&amp;$A271,実績!$AK$6:$AK$505,"○")&gt;0,1,0))</f>
        <v>0</v>
      </c>
      <c r="CC271" s="39" t="n">
        <f aca="false">IF(CC$4=0,0,IF(COUNTIFS(実績!$W$6:$W$505,CC$3,実績!$AI$6:$AI$505,"&lt;="&amp;$A271,実績!$AJ$6:$AJ$505,"&gt;"&amp;$A271,実績!$AK$6:$AK$505,"○")&gt;0,1,0))</f>
        <v>0</v>
      </c>
      <c r="CD271" s="39" t="n">
        <f aca="false">IF(CD$4=0,0,IF(COUNTIFS(実績!$W$6:$W$505,CD$3,実績!$AI$6:$AI$505,"&lt;="&amp;$A271,実績!$AJ$6:$AJ$505,"&gt;"&amp;$A271,実績!$AK$6:$AK$505,"○")&gt;0,1,0))</f>
        <v>0</v>
      </c>
      <c r="CE271" s="39" t="n">
        <f aca="false">IF(CE$4=0,0,IF(COUNTIFS(実績!$W$6:$W$505,CE$3,実績!$AI$6:$AI$505,"&lt;="&amp;$A271,実績!$AJ$6:$AJ$505,"&gt;"&amp;$A271,実績!$AK$6:$AK$505,"○")&gt;0,1,0))</f>
        <v>0</v>
      </c>
      <c r="CF271" s="39" t="n">
        <f aca="false">IF(CF$4=0,0,IF(COUNTIFS(実績!$W$6:$W$505,CF$3,実績!$AI$6:$AI$505,"&lt;="&amp;$A271,実績!$AJ$6:$AJ$505,"&gt;"&amp;$A271,実績!$AK$6:$AK$505,"○")&gt;0,1,0))</f>
        <v>0</v>
      </c>
      <c r="CG271" s="39" t="n">
        <f aca="false">IF(CG$4=0,0,IF(COUNTIFS(実績!$W$6:$W$505,CG$3,実績!$AI$6:$AI$505,"&lt;="&amp;$A271,実績!$AJ$6:$AJ$505,"&gt;"&amp;$A271,実績!$AK$6:$AK$505,"○")&gt;0,1,0))</f>
        <v>0</v>
      </c>
      <c r="CH271" s="39" t="n">
        <f aca="false">IF(CH$4=0,0,IF(COUNTIFS(実績!$W$6:$W$505,CH$3,実績!$AI$6:$AI$505,"&lt;="&amp;$A271,実績!$AJ$6:$AJ$505,"&gt;"&amp;$A271,実績!$AK$6:$AK$505,"○")&gt;0,1,0))</f>
        <v>0</v>
      </c>
      <c r="CI271" s="39" t="n">
        <f aca="false">IF(CI$4=0,0,IF(COUNTIFS(実績!$W$6:$W$505,CI$3,実績!$AI$6:$AI$505,"&lt;="&amp;$A271,実績!$AJ$6:$AJ$505,"&gt;"&amp;$A271,実績!$AK$6:$AK$505,"○")&gt;0,1,0))</f>
        <v>0</v>
      </c>
      <c r="CJ271" s="39" t="n">
        <f aca="false">IF(CJ$4=0,0,IF(COUNTIFS(実績!$W$6:$W$505,CJ$3,実績!$AI$6:$AI$505,"&lt;="&amp;$A271,実績!$AJ$6:$AJ$505,"&gt;"&amp;$A271,実績!$AK$6:$AK$505,"○")&gt;0,1,0))</f>
        <v>0</v>
      </c>
      <c r="CK271" s="39" t="n">
        <f aca="false">IF(CK$4=0,0,IF(COUNTIFS(実績!$W$6:$W$505,CK$3,実績!$AI$6:$AI$505,"&lt;="&amp;$A271,実績!$AJ$6:$AJ$505,"&gt;"&amp;$A271,実績!$AK$6:$AK$505,"○")&gt;0,1,0))</f>
        <v>0</v>
      </c>
      <c r="CL271" s="39" t="n">
        <f aca="false">IF(CL$4=0,0,IF(COUNTIFS(実績!$W$6:$W$505,CL$3,実績!$AI$6:$AI$505,"&lt;="&amp;$A271,実績!$AJ$6:$AJ$505,"&gt;"&amp;$A271,実績!$AK$6:$AK$505,"○")&gt;0,1,0))</f>
        <v>0</v>
      </c>
      <c r="CM271" s="39" t="n">
        <f aca="false">IF(CM$4=0,0,IF(COUNTIFS(実績!$W$6:$W$505,CM$3,実績!$AI$6:$AI$505,"&lt;="&amp;$A271,実績!$AJ$6:$AJ$505,"&gt;"&amp;$A271,実績!$AK$6:$AK$505,"○")&gt;0,1,0))</f>
        <v>0</v>
      </c>
      <c r="CN271" s="39" t="n">
        <f aca="false">IF(CN$4=0,0,IF(COUNTIFS(実績!$W$6:$W$505,CN$3,実績!$AI$6:$AI$505,"&lt;="&amp;$A271,実績!$AJ$6:$AJ$505,"&gt;"&amp;$A271,実績!$AK$6:$AK$505,"○")&gt;0,1,0))</f>
        <v>0</v>
      </c>
      <c r="CO271" s="39" t="n">
        <f aca="false">IF(CO$4=0,0,IF(COUNTIFS(実績!$W$6:$W$505,CO$3,実績!$AI$6:$AI$505,"&lt;="&amp;$A271,実績!$AJ$6:$AJ$505,"&gt;"&amp;$A271,実績!$AK$6:$AK$505,"○")&gt;0,1,0))</f>
        <v>0</v>
      </c>
      <c r="CP271" s="39" t="n">
        <f aca="false">IF(CP$4=0,0,IF(COUNTIFS(実績!$W$6:$W$505,CP$3,実績!$AI$6:$AI$505,"&lt;="&amp;$A271,実績!$AJ$6:$AJ$505,"&gt;"&amp;$A271,実績!$AK$6:$AK$505,"○")&gt;0,1,0))</f>
        <v>0</v>
      </c>
      <c r="CQ271" s="39" t="n">
        <f aca="false">IF(CQ$4=0,0,IF(COUNTIFS(実績!$W$6:$W$505,CQ$3,実績!$AI$6:$AI$505,"&lt;="&amp;$A271,実績!$AJ$6:$AJ$505,"&gt;"&amp;$A271,実績!$AK$6:$AK$505,"○")&gt;0,1,0))</f>
        <v>0</v>
      </c>
      <c r="CR271" s="39" t="n">
        <f aca="false">IF(CR$4=0,0,IF(COUNTIFS(実績!$W$6:$W$505,CR$3,実績!$AI$6:$AI$505,"&lt;="&amp;$A271,実績!$AJ$6:$AJ$505,"&gt;"&amp;$A271,実績!$AK$6:$AK$505,"○")&gt;0,1,0))</f>
        <v>0</v>
      </c>
      <c r="CS271" s="39" t="n">
        <f aca="false">IF(CS$4=0,0,IF(COUNTIFS(実績!$W$6:$W$505,CS$3,実績!$AI$6:$AI$505,"&lt;="&amp;$A271,実績!$AJ$6:$AJ$505,"&gt;"&amp;$A271,実績!$AK$6:$AK$505,"○")&gt;0,1,0))</f>
        <v>0</v>
      </c>
      <c r="CT271" s="39" t="n">
        <f aca="false">IF(CT$4=0,0,IF(COUNTIFS(実績!$W$6:$W$505,CT$3,実績!$AI$6:$AI$505,"&lt;="&amp;$A271,実績!$AJ$6:$AJ$505,"&gt;"&amp;$A271,実績!$AK$6:$AK$505,"○")&gt;0,1,0))</f>
        <v>0</v>
      </c>
      <c r="CU271" s="39" t="n">
        <f aca="false">IF(CU$4=0,0,IF(COUNTIFS(実績!$W$6:$W$505,CU$3,実績!$AI$6:$AI$505,"&lt;="&amp;$A271,実績!$AJ$6:$AJ$505,"&gt;"&amp;$A271,実績!$AK$6:$AK$505,"○")&gt;0,1,0))</f>
        <v>0</v>
      </c>
      <c r="CV271" s="39" t="n">
        <f aca="false">IF(CV$4=0,0,IF(COUNTIFS(実績!$W$6:$W$505,CV$3,実績!$AI$6:$AI$505,"&lt;="&amp;$A271,実績!$AJ$6:$AJ$505,"&gt;"&amp;$A271,実績!$AK$6:$AK$505,"○")&gt;0,1,0))</f>
        <v>0</v>
      </c>
      <c r="CW271" s="39" t="n">
        <f aca="false">IF(CW$4=0,0,IF(COUNTIFS(実績!$W$6:$W$505,CW$3,実績!$AI$6:$AI$505,"&lt;="&amp;$A271,実績!$AJ$6:$AJ$505,"&gt;"&amp;$A271,実績!$AK$6:$AK$505,"○")&gt;0,1,0))</f>
        <v>0</v>
      </c>
      <c r="CX271" s="39" t="n">
        <f aca="false">IF(CX$4=0,0,IF(COUNTIFS(実績!$W$6:$W$505,CX$3,実績!$AI$6:$AI$505,"&lt;="&amp;$A271,実績!$AJ$6:$AJ$505,"&gt;"&amp;$A271,実績!$AK$6:$AK$505,"○")&gt;0,1,0))</f>
        <v>0</v>
      </c>
      <c r="CY271" s="39" t="n">
        <f aca="false">IF(CY$4=0,0,IF(COUNTIFS(実績!$W$6:$W$505,CY$3,実績!$AI$6:$AI$505,"&lt;="&amp;$A271,実績!$AJ$6:$AJ$505,"&gt;"&amp;$A271,実績!$AK$6:$AK$505,"○")&gt;0,1,0))</f>
        <v>0</v>
      </c>
      <c r="CZ271" s="39" t="n">
        <f aca="false">IF(CZ$4=0,0,IF(COUNTIFS(実績!$W$6:$W$505,CZ$3,実績!$AI$6:$AI$505,"&lt;="&amp;$A271,実績!$AJ$6:$AJ$505,"&gt;"&amp;$A271,実績!$AK$6:$AK$505,"○")&gt;0,1,0))</f>
        <v>0</v>
      </c>
      <c r="DA271" s="39" t="n">
        <f aca="false">IF(DA$4=0,0,IF(COUNTIFS(実績!$W$6:$W$505,DA$3,実績!$AI$6:$AI$505,"&lt;="&amp;$A271,実績!$AJ$6:$AJ$505,"&gt;"&amp;$A271,実績!$AK$6:$AK$505,"○")&gt;0,1,0))</f>
        <v>0</v>
      </c>
      <c r="DB271" s="39" t="n">
        <f aca="false">IF(DB$4=0,0,IF(COUNTIFS(実績!$W$6:$W$505,DB$3,実績!$AI$6:$AI$505,"&lt;="&amp;$A271,実績!$AJ$6:$AJ$505,"&gt;"&amp;$A271,実績!$AK$6:$AK$505,"○")&gt;0,1,0))</f>
        <v>0</v>
      </c>
      <c r="DC271" s="39" t="n">
        <f aca="false">IF(DC$4=0,0,IF(COUNTIFS(実績!$W$6:$W$505,DC$3,実績!$AI$6:$AI$505,"&lt;="&amp;$A271,実績!$AJ$6:$AJ$505,"&gt;"&amp;$A271,実績!$AK$6:$AK$505,"○")&gt;0,1,0))</f>
        <v>0</v>
      </c>
      <c r="DD271" s="39" t="n">
        <f aca="false">IF(DD$4=0,0,IF(COUNTIFS(実績!$W$6:$W$505,DD$3,実績!$AI$6:$AI$505,"&lt;="&amp;$A271,実績!$AJ$6:$AJ$505,"&gt;"&amp;$A271,実績!$AK$6:$AK$505,"○")&gt;0,1,0))</f>
        <v>0</v>
      </c>
      <c r="DE271" s="39" t="n">
        <f aca="false">IF(DE$4=0,0,IF(COUNTIFS(実績!$W$6:$W$505,DE$3,実績!$AI$6:$AI$505,"&lt;="&amp;$A271,実績!$AJ$6:$AJ$505,"&gt;"&amp;$A271,実績!$AK$6:$AK$505,"○")&gt;0,1,0))</f>
        <v>0</v>
      </c>
      <c r="DF271" s="39" t="n">
        <f aca="false">IF(DF$4=0,0,IF(COUNTIFS(実績!$W$6:$W$505,DF$3,実績!$AI$6:$AI$505,"&lt;="&amp;$A271,実績!$AJ$6:$AJ$505,"&gt;"&amp;$A271,実績!$AK$6:$AK$505,"○")&gt;0,1,0))</f>
        <v>0</v>
      </c>
      <c r="DG271" s="39" t="n">
        <f aca="false">IF(DG$4=0,0,IF(COUNTIFS(実績!$W$6:$W$505,DG$3,実績!$AI$6:$AI$505,"&lt;="&amp;$A271,実績!$AJ$6:$AJ$505,"&gt;"&amp;$A271,実績!$AK$6:$AK$505,"○")&gt;0,1,0))</f>
        <v>0</v>
      </c>
      <c r="DH271" s="39" t="n">
        <f aca="false">IF(DH$4=0,0,IF(COUNTIFS(実績!$W$6:$W$505,DH$3,実績!$AI$6:$AI$505,"&lt;="&amp;$A271,実績!$AJ$6:$AJ$505,"&gt;"&amp;$A271,実績!$AK$6:$AK$505,"○")&gt;0,1,0))</f>
        <v>0</v>
      </c>
      <c r="DI271" s="39" t="n">
        <f aca="false">IF(DI$4=0,0,IF(COUNTIFS(実績!$W$6:$W$505,DI$3,実績!$AI$6:$AI$505,"&lt;="&amp;$A271,実績!$AJ$6:$AJ$505,"&gt;"&amp;$A271,実績!$AK$6:$AK$505,"○")&gt;0,1,0))</f>
        <v>0</v>
      </c>
      <c r="DJ271" s="39" t="n">
        <f aca="false">IF(DJ$4=0,0,IF(COUNTIFS(実績!$W$6:$W$505,DJ$3,実績!$AI$6:$AI$505,"&lt;="&amp;$A271,実績!$AJ$6:$AJ$505,"&gt;"&amp;$A271,実績!$AK$6:$AK$505,"○")&gt;0,1,0))</f>
        <v>0</v>
      </c>
      <c r="DK271" s="39" t="n">
        <f aca="false">IF(DK$4=0,0,IF(COUNTIFS(実績!$W$6:$W$505,DK$3,実績!$AI$6:$AI$505,"&lt;="&amp;$A271,実績!$AJ$6:$AJ$505,"&gt;"&amp;$A271,実績!$AK$6:$AK$505,"○")&gt;0,1,0))</f>
        <v>0</v>
      </c>
      <c r="DL271" s="39" t="n">
        <f aca="false">IF(DL$4=0,0,IF(COUNTIFS(実績!$W$6:$W$505,DL$3,実績!$AI$6:$AI$505,"&lt;="&amp;$A271,実績!$AJ$6:$AJ$505,"&gt;"&amp;$A271,実績!$AK$6:$AK$505,"○")&gt;0,1,0))</f>
        <v>0</v>
      </c>
      <c r="DM271" s="39" t="n">
        <f aca="false">IF(DM$4=0,0,IF(COUNTIFS(実績!$W$6:$W$505,DM$3,実績!$AI$6:$AI$505,"&lt;="&amp;$A271,実績!$AJ$6:$AJ$505,"&gt;"&amp;$A271,実績!$AK$6:$AK$505,"○")&gt;0,1,0))</f>
        <v>0</v>
      </c>
      <c r="DN271" s="39" t="n">
        <f aca="false">IF(DN$4=0,0,IF(COUNTIFS(実績!$W$6:$W$505,DN$3,実績!$AI$6:$AI$505,"&lt;="&amp;$A271,実績!$AJ$6:$AJ$505,"&gt;"&amp;$A271,実績!$AK$6:$AK$505,"○")&gt;0,1,0))</f>
        <v>0</v>
      </c>
      <c r="DO271" s="39" t="n">
        <f aca="false">IF(DO$4=0,0,IF(COUNTIFS(実績!$W$6:$W$505,DO$3,実績!$AI$6:$AI$505,"&lt;="&amp;$A271,実績!$AJ$6:$AJ$505,"&gt;"&amp;$A271,実績!$AK$6:$AK$505,"○")&gt;0,1,0))</f>
        <v>0</v>
      </c>
      <c r="DP271" s="39" t="n">
        <f aca="false">IF(DP$4=0,0,IF(COUNTIFS(実績!$W$6:$W$505,DP$3,実績!$AI$6:$AI$505,"&lt;="&amp;$A271,実績!$AJ$6:$AJ$505,"&gt;"&amp;$A271,実績!$AK$6:$AK$505,"○")&gt;0,1,0))</f>
        <v>0</v>
      </c>
      <c r="DQ271" s="39" t="n">
        <f aca="false">IF(DQ$4=0,0,IF(COUNTIFS(実績!$W$6:$W$505,DQ$3,実績!$AI$6:$AI$505,"&lt;="&amp;$A271,実績!$AJ$6:$AJ$505,"&gt;"&amp;$A271,実績!$AK$6:$AK$505,"○")&gt;0,1,0))</f>
        <v>0</v>
      </c>
      <c r="DR271" s="39" t="n">
        <f aca="false">IF(DR$4=0,0,IF(COUNTIFS(実績!$W$6:$W$505,DR$3,実績!$AI$6:$AI$505,"&lt;="&amp;$A271,実績!$AJ$6:$AJ$505,"&gt;"&amp;$A271,実績!$AK$6:$AK$505,"○")&gt;0,1,0))</f>
        <v>0</v>
      </c>
      <c r="DS271" s="39" t="n">
        <f aca="false">SUM(C271:DR271)</f>
        <v>0</v>
      </c>
      <c r="DT271" s="39" t="n">
        <f aca="false">SUMPRODUCT((実績!$C$6:$C$505="○")*ISNUMBER(実績!$AM$6:$AM$505)*(実績!$AM$6:$AM$505&lt;=$A271)*(実績!$AN$6:$AN$505&gt;$A271))</f>
        <v>0</v>
      </c>
      <c r="DU271" s="39" t="n">
        <f aca="false">SUMIF($C$2:$DR$2,"製鉄曳船",C271:DR271)</f>
        <v>0</v>
      </c>
      <c r="DV271" s="39" t="n">
        <f aca="false">SUMIF($C$2:$DR$2,"西日本海運",C271:DR271)</f>
        <v>0</v>
      </c>
    </row>
    <row r="272" customFormat="false" ht="15" hidden="false" customHeight="false" outlineLevel="0" collapsed="false">
      <c r="A272" s="0" t="n">
        <v>1330</v>
      </c>
      <c r="B272" s="38" t="n">
        <f aca="false">A272/1440</f>
        <v>0.923611111111111</v>
      </c>
      <c r="C272" s="39" t="n">
        <f aca="false">IF(C$4=0,0,IF(COUNTIFS(実績!$W$6:$W$505,C$3,実績!$AI$6:$AI$505,"&lt;="&amp;$A272,実績!$AJ$6:$AJ$505,"&gt;"&amp;$A272,実績!$AK$6:$AK$505,"○")&gt;0,1,0))</f>
        <v>0</v>
      </c>
      <c r="D272" s="39" t="n">
        <f aca="false">IF(D$4=0,0,IF(COUNTIFS(実績!$W$6:$W$505,D$3,実績!$AI$6:$AI$505,"&lt;="&amp;$A272,実績!$AJ$6:$AJ$505,"&gt;"&amp;$A272,実績!$AK$6:$AK$505,"○")&gt;0,1,0))</f>
        <v>0</v>
      </c>
      <c r="E272" s="39" t="n">
        <f aca="false">IF(E$4=0,0,IF(COUNTIFS(実績!$W$6:$W$505,E$3,実績!$AI$6:$AI$505,"&lt;="&amp;$A272,実績!$AJ$6:$AJ$505,"&gt;"&amp;$A272,実績!$AK$6:$AK$505,"○")&gt;0,1,0))</f>
        <v>0</v>
      </c>
      <c r="F272" s="39" t="n">
        <f aca="false">IF(F$4=0,0,IF(COUNTIFS(実績!$W$6:$W$505,F$3,実績!$AI$6:$AI$505,"&lt;="&amp;$A272,実績!$AJ$6:$AJ$505,"&gt;"&amp;$A272,実績!$AK$6:$AK$505,"○")&gt;0,1,0))</f>
        <v>0</v>
      </c>
      <c r="G272" s="39" t="n">
        <f aca="false">IF(G$4=0,0,IF(COUNTIFS(実績!$W$6:$W$505,G$3,実績!$AI$6:$AI$505,"&lt;="&amp;$A272,実績!$AJ$6:$AJ$505,"&gt;"&amp;$A272,実績!$AK$6:$AK$505,"○")&gt;0,1,0))</f>
        <v>0</v>
      </c>
      <c r="H272" s="39" t="n">
        <f aca="false">IF(H$4=0,0,IF(COUNTIFS(実績!$W$6:$W$505,H$3,実績!$AI$6:$AI$505,"&lt;="&amp;$A272,実績!$AJ$6:$AJ$505,"&gt;"&amp;$A272,実績!$AK$6:$AK$505,"○")&gt;0,1,0))</f>
        <v>0</v>
      </c>
      <c r="I272" s="39" t="n">
        <f aca="false">IF(I$4=0,0,IF(COUNTIFS(実績!$W$6:$W$505,I$3,実績!$AI$6:$AI$505,"&lt;="&amp;$A272,実績!$AJ$6:$AJ$505,"&gt;"&amp;$A272,実績!$AK$6:$AK$505,"○")&gt;0,1,0))</f>
        <v>0</v>
      </c>
      <c r="J272" s="39" t="n">
        <f aca="false">IF(J$4=0,0,IF(COUNTIFS(実績!$W$6:$W$505,J$3,実績!$AI$6:$AI$505,"&lt;="&amp;$A272,実績!$AJ$6:$AJ$505,"&gt;"&amp;$A272,実績!$AK$6:$AK$505,"○")&gt;0,1,0))</f>
        <v>0</v>
      </c>
      <c r="K272" s="39" t="n">
        <f aca="false">IF(K$4=0,0,IF(COUNTIFS(実績!$W$6:$W$505,K$3,実績!$AI$6:$AI$505,"&lt;="&amp;$A272,実績!$AJ$6:$AJ$505,"&gt;"&amp;$A272,実績!$AK$6:$AK$505,"○")&gt;0,1,0))</f>
        <v>0</v>
      </c>
      <c r="L272" s="39" t="n">
        <f aca="false">IF(L$4=0,0,IF(COUNTIFS(実績!$W$6:$W$505,L$3,実績!$AI$6:$AI$505,"&lt;="&amp;$A272,実績!$AJ$6:$AJ$505,"&gt;"&amp;$A272,実績!$AK$6:$AK$505,"○")&gt;0,1,0))</f>
        <v>0</v>
      </c>
      <c r="M272" s="39" t="n">
        <f aca="false">IF(M$4=0,0,IF(COUNTIFS(実績!$W$6:$W$505,M$3,実績!$AI$6:$AI$505,"&lt;="&amp;$A272,実績!$AJ$6:$AJ$505,"&gt;"&amp;$A272,実績!$AK$6:$AK$505,"○")&gt;0,1,0))</f>
        <v>0</v>
      </c>
      <c r="N272" s="39" t="n">
        <f aca="false">IF(N$4=0,0,IF(COUNTIFS(実績!$W$6:$W$505,N$3,実績!$AI$6:$AI$505,"&lt;="&amp;$A272,実績!$AJ$6:$AJ$505,"&gt;"&amp;$A272,実績!$AK$6:$AK$505,"○")&gt;0,1,0))</f>
        <v>0</v>
      </c>
      <c r="O272" s="39" t="n">
        <f aca="false">IF(O$4=0,0,IF(COUNTIFS(実績!$W$6:$W$505,O$3,実績!$AI$6:$AI$505,"&lt;="&amp;$A272,実績!$AJ$6:$AJ$505,"&gt;"&amp;$A272,実績!$AK$6:$AK$505,"○")&gt;0,1,0))</f>
        <v>0</v>
      </c>
      <c r="P272" s="39" t="n">
        <f aca="false">IF(P$4=0,0,IF(COUNTIFS(実績!$W$6:$W$505,P$3,実績!$AI$6:$AI$505,"&lt;="&amp;$A272,実績!$AJ$6:$AJ$505,"&gt;"&amp;$A272,実績!$AK$6:$AK$505,"○")&gt;0,1,0))</f>
        <v>0</v>
      </c>
      <c r="Q272" s="39" t="n">
        <f aca="false">IF(Q$4=0,0,IF(COUNTIFS(実績!$W$6:$W$505,Q$3,実績!$AI$6:$AI$505,"&lt;="&amp;$A272,実績!$AJ$6:$AJ$505,"&gt;"&amp;$A272,実績!$AK$6:$AK$505,"○")&gt;0,1,0))</f>
        <v>0</v>
      </c>
      <c r="R272" s="39" t="n">
        <f aca="false">IF(R$4=0,0,IF(COUNTIFS(実績!$W$6:$W$505,R$3,実績!$AI$6:$AI$505,"&lt;="&amp;$A272,実績!$AJ$6:$AJ$505,"&gt;"&amp;$A272,実績!$AK$6:$AK$505,"○")&gt;0,1,0))</f>
        <v>0</v>
      </c>
      <c r="S272" s="39" t="n">
        <f aca="false">IF(S$4=0,0,IF(COUNTIFS(実績!$W$6:$W$505,S$3,実績!$AI$6:$AI$505,"&lt;="&amp;$A272,実績!$AJ$6:$AJ$505,"&gt;"&amp;$A272,実績!$AK$6:$AK$505,"○")&gt;0,1,0))</f>
        <v>0</v>
      </c>
      <c r="T272" s="39" t="n">
        <f aca="false">IF(T$4=0,0,IF(COUNTIFS(実績!$W$6:$W$505,T$3,実績!$AI$6:$AI$505,"&lt;="&amp;$A272,実績!$AJ$6:$AJ$505,"&gt;"&amp;$A272,実績!$AK$6:$AK$505,"○")&gt;0,1,0))</f>
        <v>0</v>
      </c>
      <c r="U272" s="39" t="n">
        <f aca="false">IF(U$4=0,0,IF(COUNTIFS(実績!$W$6:$W$505,U$3,実績!$AI$6:$AI$505,"&lt;="&amp;$A272,実績!$AJ$6:$AJ$505,"&gt;"&amp;$A272,実績!$AK$6:$AK$505,"○")&gt;0,1,0))</f>
        <v>0</v>
      </c>
      <c r="V272" s="39" t="n">
        <f aca="false">IF(V$4=0,0,IF(COUNTIFS(実績!$W$6:$W$505,V$3,実績!$AI$6:$AI$505,"&lt;="&amp;$A272,実績!$AJ$6:$AJ$505,"&gt;"&amp;$A272,実績!$AK$6:$AK$505,"○")&gt;0,1,0))</f>
        <v>0</v>
      </c>
      <c r="W272" s="39" t="n">
        <f aca="false">IF(W$4=0,0,IF(COUNTIFS(実績!$W$6:$W$505,W$3,実績!$AI$6:$AI$505,"&lt;="&amp;$A272,実績!$AJ$6:$AJ$505,"&gt;"&amp;$A272,実績!$AK$6:$AK$505,"○")&gt;0,1,0))</f>
        <v>0</v>
      </c>
      <c r="X272" s="39" t="n">
        <f aca="false">IF(X$4=0,0,IF(COUNTIFS(実績!$W$6:$W$505,X$3,実績!$AI$6:$AI$505,"&lt;="&amp;$A272,実績!$AJ$6:$AJ$505,"&gt;"&amp;$A272,実績!$AK$6:$AK$505,"○")&gt;0,1,0))</f>
        <v>0</v>
      </c>
      <c r="Y272" s="39" t="n">
        <f aca="false">IF(Y$4=0,0,IF(COUNTIFS(実績!$W$6:$W$505,Y$3,実績!$AI$6:$AI$505,"&lt;="&amp;$A272,実績!$AJ$6:$AJ$505,"&gt;"&amp;$A272,実績!$AK$6:$AK$505,"○")&gt;0,1,0))</f>
        <v>0</v>
      </c>
      <c r="Z272" s="39" t="n">
        <f aca="false">IF(Z$4=0,0,IF(COUNTIFS(実績!$W$6:$W$505,Z$3,実績!$AI$6:$AI$505,"&lt;="&amp;$A272,実績!$AJ$6:$AJ$505,"&gt;"&amp;$A272,実績!$AK$6:$AK$505,"○")&gt;0,1,0))</f>
        <v>0</v>
      </c>
      <c r="AA272" s="39" t="n">
        <f aca="false">IF(AA$4=0,0,IF(COUNTIFS(実績!$W$6:$W$505,AA$3,実績!$AI$6:$AI$505,"&lt;="&amp;$A272,実績!$AJ$6:$AJ$505,"&gt;"&amp;$A272,実績!$AK$6:$AK$505,"○")&gt;0,1,0))</f>
        <v>0</v>
      </c>
      <c r="AB272" s="39" t="n">
        <f aca="false">IF(AB$4=0,0,IF(COUNTIFS(実績!$W$6:$W$505,AB$3,実績!$AI$6:$AI$505,"&lt;="&amp;$A272,実績!$AJ$6:$AJ$505,"&gt;"&amp;$A272,実績!$AK$6:$AK$505,"○")&gt;0,1,0))</f>
        <v>0</v>
      </c>
      <c r="AC272" s="39" t="n">
        <f aca="false">IF(AC$4=0,0,IF(COUNTIFS(実績!$W$6:$W$505,AC$3,実績!$AI$6:$AI$505,"&lt;="&amp;$A272,実績!$AJ$6:$AJ$505,"&gt;"&amp;$A272,実績!$AK$6:$AK$505,"○")&gt;0,1,0))</f>
        <v>0</v>
      </c>
      <c r="AD272" s="39" t="n">
        <f aca="false">IF(AD$4=0,0,IF(COUNTIFS(実績!$W$6:$W$505,AD$3,実績!$AI$6:$AI$505,"&lt;="&amp;$A272,実績!$AJ$6:$AJ$505,"&gt;"&amp;$A272,実績!$AK$6:$AK$505,"○")&gt;0,1,0))</f>
        <v>0</v>
      </c>
      <c r="AE272" s="39" t="n">
        <f aca="false">IF(AE$4=0,0,IF(COUNTIFS(実績!$W$6:$W$505,AE$3,実績!$AI$6:$AI$505,"&lt;="&amp;$A272,実績!$AJ$6:$AJ$505,"&gt;"&amp;$A272,実績!$AK$6:$AK$505,"○")&gt;0,1,0))</f>
        <v>0</v>
      </c>
      <c r="AF272" s="39" t="n">
        <f aca="false">IF(AF$4=0,0,IF(COUNTIFS(実績!$W$6:$W$505,AF$3,実績!$AI$6:$AI$505,"&lt;="&amp;$A272,実績!$AJ$6:$AJ$505,"&gt;"&amp;$A272,実績!$AK$6:$AK$505,"○")&gt;0,1,0))</f>
        <v>0</v>
      </c>
      <c r="AG272" s="39" t="n">
        <f aca="false">IF(AG$4=0,0,IF(COUNTIFS(実績!$W$6:$W$505,AG$3,実績!$AI$6:$AI$505,"&lt;="&amp;$A272,実績!$AJ$6:$AJ$505,"&gt;"&amp;$A272,実績!$AK$6:$AK$505,"○")&gt;0,1,0))</f>
        <v>0</v>
      </c>
      <c r="AH272" s="39" t="n">
        <f aca="false">IF(AH$4=0,0,IF(COUNTIFS(実績!$W$6:$W$505,AH$3,実績!$AI$6:$AI$505,"&lt;="&amp;$A272,実績!$AJ$6:$AJ$505,"&gt;"&amp;$A272,実績!$AK$6:$AK$505,"○")&gt;0,1,0))</f>
        <v>0</v>
      </c>
      <c r="AI272" s="39" t="n">
        <f aca="false">IF(AI$4=0,0,IF(COUNTIFS(実績!$W$6:$W$505,AI$3,実績!$AI$6:$AI$505,"&lt;="&amp;$A272,実績!$AJ$6:$AJ$505,"&gt;"&amp;$A272,実績!$AK$6:$AK$505,"○")&gt;0,1,0))</f>
        <v>0</v>
      </c>
      <c r="AJ272" s="39" t="n">
        <f aca="false">IF(AJ$4=0,0,IF(COUNTIFS(実績!$W$6:$W$505,AJ$3,実績!$AI$6:$AI$505,"&lt;="&amp;$A272,実績!$AJ$6:$AJ$505,"&gt;"&amp;$A272,実績!$AK$6:$AK$505,"○")&gt;0,1,0))</f>
        <v>0</v>
      </c>
      <c r="AK272" s="39" t="n">
        <f aca="false">IF(AK$4=0,0,IF(COUNTIFS(実績!$W$6:$W$505,AK$3,実績!$AI$6:$AI$505,"&lt;="&amp;$A272,実績!$AJ$6:$AJ$505,"&gt;"&amp;$A272,実績!$AK$6:$AK$505,"○")&gt;0,1,0))</f>
        <v>0</v>
      </c>
      <c r="AL272" s="39" t="n">
        <f aca="false">IF(AL$4=0,0,IF(COUNTIFS(実績!$W$6:$W$505,AL$3,実績!$AI$6:$AI$505,"&lt;="&amp;$A272,実績!$AJ$6:$AJ$505,"&gt;"&amp;$A272,実績!$AK$6:$AK$505,"○")&gt;0,1,0))</f>
        <v>0</v>
      </c>
      <c r="AM272" s="39" t="n">
        <f aca="false">IF(AM$4=0,0,IF(COUNTIFS(実績!$W$6:$W$505,AM$3,実績!$AI$6:$AI$505,"&lt;="&amp;$A272,実績!$AJ$6:$AJ$505,"&gt;"&amp;$A272,実績!$AK$6:$AK$505,"○")&gt;0,1,0))</f>
        <v>0</v>
      </c>
      <c r="AN272" s="39" t="n">
        <f aca="false">IF(AN$4=0,0,IF(COUNTIFS(実績!$W$6:$W$505,AN$3,実績!$AI$6:$AI$505,"&lt;="&amp;$A272,実績!$AJ$6:$AJ$505,"&gt;"&amp;$A272,実績!$AK$6:$AK$505,"○")&gt;0,1,0))</f>
        <v>0</v>
      </c>
      <c r="AO272" s="39" t="n">
        <f aca="false">IF(AO$4=0,0,IF(COUNTIFS(実績!$W$6:$W$505,AO$3,実績!$AI$6:$AI$505,"&lt;="&amp;$A272,実績!$AJ$6:$AJ$505,"&gt;"&amp;$A272,実績!$AK$6:$AK$505,"○")&gt;0,1,0))</f>
        <v>0</v>
      </c>
      <c r="AP272" s="39" t="n">
        <f aca="false">IF(AP$4=0,0,IF(COUNTIFS(実績!$W$6:$W$505,AP$3,実績!$AI$6:$AI$505,"&lt;="&amp;$A272,実績!$AJ$6:$AJ$505,"&gt;"&amp;$A272,実績!$AK$6:$AK$505,"○")&gt;0,1,0))</f>
        <v>0</v>
      </c>
      <c r="AQ272" s="39" t="n">
        <f aca="false">IF(AQ$4=0,0,IF(COUNTIFS(実績!$W$6:$W$505,AQ$3,実績!$AI$6:$AI$505,"&lt;="&amp;$A272,実績!$AJ$6:$AJ$505,"&gt;"&amp;$A272,実績!$AK$6:$AK$505,"○")&gt;0,1,0))</f>
        <v>0</v>
      </c>
      <c r="AR272" s="39" t="n">
        <f aca="false">IF(AR$4=0,0,IF(COUNTIFS(実績!$W$6:$W$505,AR$3,実績!$AI$6:$AI$505,"&lt;="&amp;$A272,実績!$AJ$6:$AJ$505,"&gt;"&amp;$A272,実績!$AK$6:$AK$505,"○")&gt;0,1,0))</f>
        <v>0</v>
      </c>
      <c r="AS272" s="39" t="n">
        <f aca="false">IF(AS$4=0,0,IF(COUNTIFS(実績!$W$6:$W$505,AS$3,実績!$AI$6:$AI$505,"&lt;="&amp;$A272,実績!$AJ$6:$AJ$505,"&gt;"&amp;$A272,実績!$AK$6:$AK$505,"○")&gt;0,1,0))</f>
        <v>0</v>
      </c>
      <c r="AT272" s="39" t="n">
        <f aca="false">IF(AT$4=0,0,IF(COUNTIFS(実績!$W$6:$W$505,AT$3,実績!$AI$6:$AI$505,"&lt;="&amp;$A272,実績!$AJ$6:$AJ$505,"&gt;"&amp;$A272,実績!$AK$6:$AK$505,"○")&gt;0,1,0))</f>
        <v>0</v>
      </c>
      <c r="AU272" s="39" t="n">
        <f aca="false">IF(AU$4=0,0,IF(COUNTIFS(実績!$W$6:$W$505,AU$3,実績!$AI$6:$AI$505,"&lt;="&amp;$A272,実績!$AJ$6:$AJ$505,"&gt;"&amp;$A272,実績!$AK$6:$AK$505,"○")&gt;0,1,0))</f>
        <v>0</v>
      </c>
      <c r="AV272" s="39" t="n">
        <f aca="false">IF(AV$4=0,0,IF(COUNTIFS(実績!$W$6:$W$505,AV$3,実績!$AI$6:$AI$505,"&lt;="&amp;$A272,実績!$AJ$6:$AJ$505,"&gt;"&amp;$A272,実績!$AK$6:$AK$505,"○")&gt;0,1,0))</f>
        <v>0</v>
      </c>
      <c r="AW272" s="39" t="n">
        <f aca="false">IF(AW$4=0,0,IF(COUNTIFS(実績!$W$6:$W$505,AW$3,実績!$AI$6:$AI$505,"&lt;="&amp;$A272,実績!$AJ$6:$AJ$505,"&gt;"&amp;$A272,実績!$AK$6:$AK$505,"○")&gt;0,1,0))</f>
        <v>0</v>
      </c>
      <c r="AX272" s="39" t="n">
        <f aca="false">IF(AX$4=0,0,IF(COUNTIFS(実績!$W$6:$W$505,AX$3,実績!$AI$6:$AI$505,"&lt;="&amp;$A272,実績!$AJ$6:$AJ$505,"&gt;"&amp;$A272,実績!$AK$6:$AK$505,"○")&gt;0,1,0))</f>
        <v>0</v>
      </c>
      <c r="AY272" s="39" t="n">
        <f aca="false">IF(AY$4=0,0,IF(COUNTIFS(実績!$W$6:$W$505,AY$3,実績!$AI$6:$AI$505,"&lt;="&amp;$A272,実績!$AJ$6:$AJ$505,"&gt;"&amp;$A272,実績!$AK$6:$AK$505,"○")&gt;0,1,0))</f>
        <v>0</v>
      </c>
      <c r="AZ272" s="39" t="n">
        <f aca="false">IF(AZ$4=0,0,IF(COUNTIFS(実績!$W$6:$W$505,AZ$3,実績!$AI$6:$AI$505,"&lt;="&amp;$A272,実績!$AJ$6:$AJ$505,"&gt;"&amp;$A272,実績!$AK$6:$AK$505,"○")&gt;0,1,0))</f>
        <v>0</v>
      </c>
      <c r="BA272" s="39" t="n">
        <f aca="false">IF(BA$4=0,0,IF(COUNTIFS(実績!$W$6:$W$505,BA$3,実績!$AI$6:$AI$505,"&lt;="&amp;$A272,実績!$AJ$6:$AJ$505,"&gt;"&amp;$A272,実績!$AK$6:$AK$505,"○")&gt;0,1,0))</f>
        <v>0</v>
      </c>
      <c r="BB272" s="39" t="n">
        <f aca="false">IF(BB$4=0,0,IF(COUNTIFS(実績!$W$6:$W$505,BB$3,実績!$AI$6:$AI$505,"&lt;="&amp;$A272,実績!$AJ$6:$AJ$505,"&gt;"&amp;$A272,実績!$AK$6:$AK$505,"○")&gt;0,1,0))</f>
        <v>0</v>
      </c>
      <c r="BC272" s="39" t="n">
        <f aca="false">IF(BC$4=0,0,IF(COUNTIFS(実績!$W$6:$W$505,BC$3,実績!$AI$6:$AI$505,"&lt;="&amp;$A272,実績!$AJ$6:$AJ$505,"&gt;"&amp;$A272,実績!$AK$6:$AK$505,"○")&gt;0,1,0))</f>
        <v>0</v>
      </c>
      <c r="BD272" s="39" t="n">
        <f aca="false">IF(BD$4=0,0,IF(COUNTIFS(実績!$W$6:$W$505,BD$3,実績!$AI$6:$AI$505,"&lt;="&amp;$A272,実績!$AJ$6:$AJ$505,"&gt;"&amp;$A272,実績!$AK$6:$AK$505,"○")&gt;0,1,0))</f>
        <v>0</v>
      </c>
      <c r="BE272" s="39" t="n">
        <f aca="false">IF(BE$4=0,0,IF(COUNTIFS(実績!$W$6:$W$505,BE$3,実績!$AI$6:$AI$505,"&lt;="&amp;$A272,実績!$AJ$6:$AJ$505,"&gt;"&amp;$A272,実績!$AK$6:$AK$505,"○")&gt;0,1,0))</f>
        <v>0</v>
      </c>
      <c r="BF272" s="39" t="n">
        <f aca="false">IF(BF$4=0,0,IF(COUNTIFS(実績!$W$6:$W$505,BF$3,実績!$AI$6:$AI$505,"&lt;="&amp;$A272,実績!$AJ$6:$AJ$505,"&gt;"&amp;$A272,実績!$AK$6:$AK$505,"○")&gt;0,1,0))</f>
        <v>0</v>
      </c>
      <c r="BG272" s="39" t="n">
        <f aca="false">IF(BG$4=0,0,IF(COUNTIFS(実績!$W$6:$W$505,BG$3,実績!$AI$6:$AI$505,"&lt;="&amp;$A272,実績!$AJ$6:$AJ$505,"&gt;"&amp;$A272,実績!$AK$6:$AK$505,"○")&gt;0,1,0))</f>
        <v>0</v>
      </c>
      <c r="BH272" s="39" t="n">
        <f aca="false">IF(BH$4=0,0,IF(COUNTIFS(実績!$W$6:$W$505,BH$3,実績!$AI$6:$AI$505,"&lt;="&amp;$A272,実績!$AJ$6:$AJ$505,"&gt;"&amp;$A272,実績!$AK$6:$AK$505,"○")&gt;0,1,0))</f>
        <v>0</v>
      </c>
      <c r="BI272" s="39" t="n">
        <f aca="false">IF(BI$4=0,0,IF(COUNTIFS(実績!$W$6:$W$505,BI$3,実績!$AI$6:$AI$505,"&lt;="&amp;$A272,実績!$AJ$6:$AJ$505,"&gt;"&amp;$A272,実績!$AK$6:$AK$505,"○")&gt;0,1,0))</f>
        <v>0</v>
      </c>
      <c r="BJ272" s="39" t="n">
        <f aca="false">IF(BJ$4=0,0,IF(COUNTIFS(実績!$W$6:$W$505,BJ$3,実績!$AI$6:$AI$505,"&lt;="&amp;$A272,実績!$AJ$6:$AJ$505,"&gt;"&amp;$A272,実績!$AK$6:$AK$505,"○")&gt;0,1,0))</f>
        <v>0</v>
      </c>
      <c r="BK272" s="39" t="n">
        <f aca="false">IF(BK$4=0,0,IF(COUNTIFS(実績!$W$6:$W$505,BK$3,実績!$AI$6:$AI$505,"&lt;="&amp;$A272,実績!$AJ$6:$AJ$505,"&gt;"&amp;$A272,実績!$AK$6:$AK$505,"○")&gt;0,1,0))</f>
        <v>0</v>
      </c>
      <c r="BL272" s="39" t="n">
        <f aca="false">IF(BL$4=0,0,IF(COUNTIFS(実績!$W$6:$W$505,BL$3,実績!$AI$6:$AI$505,"&lt;="&amp;$A272,実績!$AJ$6:$AJ$505,"&gt;"&amp;$A272,実績!$AK$6:$AK$505,"○")&gt;0,1,0))</f>
        <v>0</v>
      </c>
      <c r="BM272" s="39" t="n">
        <f aca="false">IF(BM$4=0,0,IF(COUNTIFS(実績!$W$6:$W$505,BM$3,実績!$AI$6:$AI$505,"&lt;="&amp;$A272,実績!$AJ$6:$AJ$505,"&gt;"&amp;$A272,実績!$AK$6:$AK$505,"○")&gt;0,1,0))</f>
        <v>0</v>
      </c>
      <c r="BN272" s="39" t="n">
        <f aca="false">IF(BN$4=0,0,IF(COUNTIFS(実績!$W$6:$W$505,BN$3,実績!$AI$6:$AI$505,"&lt;="&amp;$A272,実績!$AJ$6:$AJ$505,"&gt;"&amp;$A272,実績!$AK$6:$AK$505,"○")&gt;0,1,0))</f>
        <v>0</v>
      </c>
      <c r="BO272" s="39" t="n">
        <f aca="false">IF(BO$4=0,0,IF(COUNTIFS(実績!$W$6:$W$505,BO$3,実績!$AI$6:$AI$505,"&lt;="&amp;$A272,実績!$AJ$6:$AJ$505,"&gt;"&amp;$A272,実績!$AK$6:$AK$505,"○")&gt;0,1,0))</f>
        <v>0</v>
      </c>
      <c r="BP272" s="39" t="n">
        <f aca="false">IF(BP$4=0,0,IF(COUNTIFS(実績!$W$6:$W$505,BP$3,実績!$AI$6:$AI$505,"&lt;="&amp;$A272,実績!$AJ$6:$AJ$505,"&gt;"&amp;$A272,実績!$AK$6:$AK$505,"○")&gt;0,1,0))</f>
        <v>0</v>
      </c>
      <c r="BQ272" s="39" t="n">
        <f aca="false">IF(BQ$4=0,0,IF(COUNTIFS(実績!$W$6:$W$505,BQ$3,実績!$AI$6:$AI$505,"&lt;="&amp;$A272,実績!$AJ$6:$AJ$505,"&gt;"&amp;$A272,実績!$AK$6:$AK$505,"○")&gt;0,1,0))</f>
        <v>0</v>
      </c>
      <c r="BR272" s="39" t="n">
        <f aca="false">IF(BR$4=0,0,IF(COUNTIFS(実績!$W$6:$W$505,BR$3,実績!$AI$6:$AI$505,"&lt;="&amp;$A272,実績!$AJ$6:$AJ$505,"&gt;"&amp;$A272,実績!$AK$6:$AK$505,"○")&gt;0,1,0))</f>
        <v>0</v>
      </c>
      <c r="BS272" s="39" t="n">
        <f aca="false">IF(BS$4=0,0,IF(COUNTIFS(実績!$W$6:$W$505,BS$3,実績!$AI$6:$AI$505,"&lt;="&amp;$A272,実績!$AJ$6:$AJ$505,"&gt;"&amp;$A272,実績!$AK$6:$AK$505,"○")&gt;0,1,0))</f>
        <v>0</v>
      </c>
      <c r="BT272" s="39" t="n">
        <f aca="false">IF(BT$4=0,0,IF(COUNTIFS(実績!$W$6:$W$505,BT$3,実績!$AI$6:$AI$505,"&lt;="&amp;$A272,実績!$AJ$6:$AJ$505,"&gt;"&amp;$A272,実績!$AK$6:$AK$505,"○")&gt;0,1,0))</f>
        <v>0</v>
      </c>
      <c r="BU272" s="39" t="n">
        <f aca="false">IF(BU$4=0,0,IF(COUNTIFS(実績!$W$6:$W$505,BU$3,実績!$AI$6:$AI$505,"&lt;="&amp;$A272,実績!$AJ$6:$AJ$505,"&gt;"&amp;$A272,実績!$AK$6:$AK$505,"○")&gt;0,1,0))</f>
        <v>0</v>
      </c>
      <c r="BV272" s="39" t="n">
        <f aca="false">IF(BV$4=0,0,IF(COUNTIFS(実績!$W$6:$W$505,BV$3,実績!$AI$6:$AI$505,"&lt;="&amp;$A272,実績!$AJ$6:$AJ$505,"&gt;"&amp;$A272,実績!$AK$6:$AK$505,"○")&gt;0,1,0))</f>
        <v>0</v>
      </c>
      <c r="BW272" s="39" t="n">
        <f aca="false">IF(BW$4=0,0,IF(COUNTIFS(実績!$W$6:$W$505,BW$3,実績!$AI$6:$AI$505,"&lt;="&amp;$A272,実績!$AJ$6:$AJ$505,"&gt;"&amp;$A272,実績!$AK$6:$AK$505,"○")&gt;0,1,0))</f>
        <v>0</v>
      </c>
      <c r="BX272" s="39" t="n">
        <f aca="false">IF(BX$4=0,0,IF(COUNTIFS(実績!$W$6:$W$505,BX$3,実績!$AI$6:$AI$505,"&lt;="&amp;$A272,実績!$AJ$6:$AJ$505,"&gt;"&amp;$A272,実績!$AK$6:$AK$505,"○")&gt;0,1,0))</f>
        <v>0</v>
      </c>
      <c r="BY272" s="39" t="n">
        <f aca="false">IF(BY$4=0,0,IF(COUNTIFS(実績!$W$6:$W$505,BY$3,実績!$AI$6:$AI$505,"&lt;="&amp;$A272,実績!$AJ$6:$AJ$505,"&gt;"&amp;$A272,実績!$AK$6:$AK$505,"○")&gt;0,1,0))</f>
        <v>0</v>
      </c>
      <c r="BZ272" s="39" t="n">
        <f aca="false">IF(BZ$4=0,0,IF(COUNTIFS(実績!$W$6:$W$505,BZ$3,実績!$AI$6:$AI$505,"&lt;="&amp;$A272,実績!$AJ$6:$AJ$505,"&gt;"&amp;$A272,実績!$AK$6:$AK$505,"○")&gt;0,1,0))</f>
        <v>0</v>
      </c>
      <c r="CA272" s="39" t="n">
        <f aca="false">IF(CA$4=0,0,IF(COUNTIFS(実績!$W$6:$W$505,CA$3,実績!$AI$6:$AI$505,"&lt;="&amp;$A272,実績!$AJ$6:$AJ$505,"&gt;"&amp;$A272,実績!$AK$6:$AK$505,"○")&gt;0,1,0))</f>
        <v>0</v>
      </c>
      <c r="CB272" s="39" t="n">
        <f aca="false">IF(CB$4=0,0,IF(COUNTIFS(実績!$W$6:$W$505,CB$3,実績!$AI$6:$AI$505,"&lt;="&amp;$A272,実績!$AJ$6:$AJ$505,"&gt;"&amp;$A272,実績!$AK$6:$AK$505,"○")&gt;0,1,0))</f>
        <v>0</v>
      </c>
      <c r="CC272" s="39" t="n">
        <f aca="false">IF(CC$4=0,0,IF(COUNTIFS(実績!$W$6:$W$505,CC$3,実績!$AI$6:$AI$505,"&lt;="&amp;$A272,実績!$AJ$6:$AJ$505,"&gt;"&amp;$A272,実績!$AK$6:$AK$505,"○")&gt;0,1,0))</f>
        <v>0</v>
      </c>
      <c r="CD272" s="39" t="n">
        <f aca="false">IF(CD$4=0,0,IF(COUNTIFS(実績!$W$6:$W$505,CD$3,実績!$AI$6:$AI$505,"&lt;="&amp;$A272,実績!$AJ$6:$AJ$505,"&gt;"&amp;$A272,実績!$AK$6:$AK$505,"○")&gt;0,1,0))</f>
        <v>0</v>
      </c>
      <c r="CE272" s="39" t="n">
        <f aca="false">IF(CE$4=0,0,IF(COUNTIFS(実績!$W$6:$W$505,CE$3,実績!$AI$6:$AI$505,"&lt;="&amp;$A272,実績!$AJ$6:$AJ$505,"&gt;"&amp;$A272,実績!$AK$6:$AK$505,"○")&gt;0,1,0))</f>
        <v>0</v>
      </c>
      <c r="CF272" s="39" t="n">
        <f aca="false">IF(CF$4=0,0,IF(COUNTIFS(実績!$W$6:$W$505,CF$3,実績!$AI$6:$AI$505,"&lt;="&amp;$A272,実績!$AJ$6:$AJ$505,"&gt;"&amp;$A272,実績!$AK$6:$AK$505,"○")&gt;0,1,0))</f>
        <v>0</v>
      </c>
      <c r="CG272" s="39" t="n">
        <f aca="false">IF(CG$4=0,0,IF(COUNTIFS(実績!$W$6:$W$505,CG$3,実績!$AI$6:$AI$505,"&lt;="&amp;$A272,実績!$AJ$6:$AJ$505,"&gt;"&amp;$A272,実績!$AK$6:$AK$505,"○")&gt;0,1,0))</f>
        <v>0</v>
      </c>
      <c r="CH272" s="39" t="n">
        <f aca="false">IF(CH$4=0,0,IF(COUNTIFS(実績!$W$6:$W$505,CH$3,実績!$AI$6:$AI$505,"&lt;="&amp;$A272,実績!$AJ$6:$AJ$505,"&gt;"&amp;$A272,実績!$AK$6:$AK$505,"○")&gt;0,1,0))</f>
        <v>0</v>
      </c>
      <c r="CI272" s="39" t="n">
        <f aca="false">IF(CI$4=0,0,IF(COUNTIFS(実績!$W$6:$W$505,CI$3,実績!$AI$6:$AI$505,"&lt;="&amp;$A272,実績!$AJ$6:$AJ$505,"&gt;"&amp;$A272,実績!$AK$6:$AK$505,"○")&gt;0,1,0))</f>
        <v>0</v>
      </c>
      <c r="CJ272" s="39" t="n">
        <f aca="false">IF(CJ$4=0,0,IF(COUNTIFS(実績!$W$6:$W$505,CJ$3,実績!$AI$6:$AI$505,"&lt;="&amp;$A272,実績!$AJ$6:$AJ$505,"&gt;"&amp;$A272,実績!$AK$6:$AK$505,"○")&gt;0,1,0))</f>
        <v>0</v>
      </c>
      <c r="CK272" s="39" t="n">
        <f aca="false">IF(CK$4=0,0,IF(COUNTIFS(実績!$W$6:$W$505,CK$3,実績!$AI$6:$AI$505,"&lt;="&amp;$A272,実績!$AJ$6:$AJ$505,"&gt;"&amp;$A272,実績!$AK$6:$AK$505,"○")&gt;0,1,0))</f>
        <v>0</v>
      </c>
      <c r="CL272" s="39" t="n">
        <f aca="false">IF(CL$4=0,0,IF(COUNTIFS(実績!$W$6:$W$505,CL$3,実績!$AI$6:$AI$505,"&lt;="&amp;$A272,実績!$AJ$6:$AJ$505,"&gt;"&amp;$A272,実績!$AK$6:$AK$505,"○")&gt;0,1,0))</f>
        <v>0</v>
      </c>
      <c r="CM272" s="39" t="n">
        <f aca="false">IF(CM$4=0,0,IF(COUNTIFS(実績!$W$6:$W$505,CM$3,実績!$AI$6:$AI$505,"&lt;="&amp;$A272,実績!$AJ$6:$AJ$505,"&gt;"&amp;$A272,実績!$AK$6:$AK$505,"○")&gt;0,1,0))</f>
        <v>0</v>
      </c>
      <c r="CN272" s="39" t="n">
        <f aca="false">IF(CN$4=0,0,IF(COUNTIFS(実績!$W$6:$W$505,CN$3,実績!$AI$6:$AI$505,"&lt;="&amp;$A272,実績!$AJ$6:$AJ$505,"&gt;"&amp;$A272,実績!$AK$6:$AK$505,"○")&gt;0,1,0))</f>
        <v>0</v>
      </c>
      <c r="CO272" s="39" t="n">
        <f aca="false">IF(CO$4=0,0,IF(COUNTIFS(実績!$W$6:$W$505,CO$3,実績!$AI$6:$AI$505,"&lt;="&amp;$A272,実績!$AJ$6:$AJ$505,"&gt;"&amp;$A272,実績!$AK$6:$AK$505,"○")&gt;0,1,0))</f>
        <v>0</v>
      </c>
      <c r="CP272" s="39" t="n">
        <f aca="false">IF(CP$4=0,0,IF(COUNTIFS(実績!$W$6:$W$505,CP$3,実績!$AI$6:$AI$505,"&lt;="&amp;$A272,実績!$AJ$6:$AJ$505,"&gt;"&amp;$A272,実績!$AK$6:$AK$505,"○")&gt;0,1,0))</f>
        <v>0</v>
      </c>
      <c r="CQ272" s="39" t="n">
        <f aca="false">IF(CQ$4=0,0,IF(COUNTIFS(実績!$W$6:$W$505,CQ$3,実績!$AI$6:$AI$505,"&lt;="&amp;$A272,実績!$AJ$6:$AJ$505,"&gt;"&amp;$A272,実績!$AK$6:$AK$505,"○")&gt;0,1,0))</f>
        <v>0</v>
      </c>
      <c r="CR272" s="39" t="n">
        <f aca="false">IF(CR$4=0,0,IF(COUNTIFS(実績!$W$6:$W$505,CR$3,実績!$AI$6:$AI$505,"&lt;="&amp;$A272,実績!$AJ$6:$AJ$505,"&gt;"&amp;$A272,実績!$AK$6:$AK$505,"○")&gt;0,1,0))</f>
        <v>0</v>
      </c>
      <c r="CS272" s="39" t="n">
        <f aca="false">IF(CS$4=0,0,IF(COUNTIFS(実績!$W$6:$W$505,CS$3,実績!$AI$6:$AI$505,"&lt;="&amp;$A272,実績!$AJ$6:$AJ$505,"&gt;"&amp;$A272,実績!$AK$6:$AK$505,"○")&gt;0,1,0))</f>
        <v>0</v>
      </c>
      <c r="CT272" s="39" t="n">
        <f aca="false">IF(CT$4=0,0,IF(COUNTIFS(実績!$W$6:$W$505,CT$3,実績!$AI$6:$AI$505,"&lt;="&amp;$A272,実績!$AJ$6:$AJ$505,"&gt;"&amp;$A272,実績!$AK$6:$AK$505,"○")&gt;0,1,0))</f>
        <v>0</v>
      </c>
      <c r="CU272" s="39" t="n">
        <f aca="false">IF(CU$4=0,0,IF(COUNTIFS(実績!$W$6:$W$505,CU$3,実績!$AI$6:$AI$505,"&lt;="&amp;$A272,実績!$AJ$6:$AJ$505,"&gt;"&amp;$A272,実績!$AK$6:$AK$505,"○")&gt;0,1,0))</f>
        <v>0</v>
      </c>
      <c r="CV272" s="39" t="n">
        <f aca="false">IF(CV$4=0,0,IF(COUNTIFS(実績!$W$6:$W$505,CV$3,実績!$AI$6:$AI$505,"&lt;="&amp;$A272,実績!$AJ$6:$AJ$505,"&gt;"&amp;$A272,実績!$AK$6:$AK$505,"○")&gt;0,1,0))</f>
        <v>0</v>
      </c>
      <c r="CW272" s="39" t="n">
        <f aca="false">IF(CW$4=0,0,IF(COUNTIFS(実績!$W$6:$W$505,CW$3,実績!$AI$6:$AI$505,"&lt;="&amp;$A272,実績!$AJ$6:$AJ$505,"&gt;"&amp;$A272,実績!$AK$6:$AK$505,"○")&gt;0,1,0))</f>
        <v>0</v>
      </c>
      <c r="CX272" s="39" t="n">
        <f aca="false">IF(CX$4=0,0,IF(COUNTIFS(実績!$W$6:$W$505,CX$3,実績!$AI$6:$AI$505,"&lt;="&amp;$A272,実績!$AJ$6:$AJ$505,"&gt;"&amp;$A272,実績!$AK$6:$AK$505,"○")&gt;0,1,0))</f>
        <v>0</v>
      </c>
      <c r="CY272" s="39" t="n">
        <f aca="false">IF(CY$4=0,0,IF(COUNTIFS(実績!$W$6:$W$505,CY$3,実績!$AI$6:$AI$505,"&lt;="&amp;$A272,実績!$AJ$6:$AJ$505,"&gt;"&amp;$A272,実績!$AK$6:$AK$505,"○")&gt;0,1,0))</f>
        <v>0</v>
      </c>
      <c r="CZ272" s="39" t="n">
        <f aca="false">IF(CZ$4=0,0,IF(COUNTIFS(実績!$W$6:$W$505,CZ$3,実績!$AI$6:$AI$505,"&lt;="&amp;$A272,実績!$AJ$6:$AJ$505,"&gt;"&amp;$A272,実績!$AK$6:$AK$505,"○")&gt;0,1,0))</f>
        <v>0</v>
      </c>
      <c r="DA272" s="39" t="n">
        <f aca="false">IF(DA$4=0,0,IF(COUNTIFS(実績!$W$6:$W$505,DA$3,実績!$AI$6:$AI$505,"&lt;="&amp;$A272,実績!$AJ$6:$AJ$505,"&gt;"&amp;$A272,実績!$AK$6:$AK$505,"○")&gt;0,1,0))</f>
        <v>0</v>
      </c>
      <c r="DB272" s="39" t="n">
        <f aca="false">IF(DB$4=0,0,IF(COUNTIFS(実績!$W$6:$W$505,DB$3,実績!$AI$6:$AI$505,"&lt;="&amp;$A272,実績!$AJ$6:$AJ$505,"&gt;"&amp;$A272,実績!$AK$6:$AK$505,"○")&gt;0,1,0))</f>
        <v>0</v>
      </c>
      <c r="DC272" s="39" t="n">
        <f aca="false">IF(DC$4=0,0,IF(COUNTIFS(実績!$W$6:$W$505,DC$3,実績!$AI$6:$AI$505,"&lt;="&amp;$A272,実績!$AJ$6:$AJ$505,"&gt;"&amp;$A272,実績!$AK$6:$AK$505,"○")&gt;0,1,0))</f>
        <v>0</v>
      </c>
      <c r="DD272" s="39" t="n">
        <f aca="false">IF(DD$4=0,0,IF(COUNTIFS(実績!$W$6:$W$505,DD$3,実績!$AI$6:$AI$505,"&lt;="&amp;$A272,実績!$AJ$6:$AJ$505,"&gt;"&amp;$A272,実績!$AK$6:$AK$505,"○")&gt;0,1,0))</f>
        <v>0</v>
      </c>
      <c r="DE272" s="39" t="n">
        <f aca="false">IF(DE$4=0,0,IF(COUNTIFS(実績!$W$6:$W$505,DE$3,実績!$AI$6:$AI$505,"&lt;="&amp;$A272,実績!$AJ$6:$AJ$505,"&gt;"&amp;$A272,実績!$AK$6:$AK$505,"○")&gt;0,1,0))</f>
        <v>0</v>
      </c>
      <c r="DF272" s="39" t="n">
        <f aca="false">IF(DF$4=0,0,IF(COUNTIFS(実績!$W$6:$W$505,DF$3,実績!$AI$6:$AI$505,"&lt;="&amp;$A272,実績!$AJ$6:$AJ$505,"&gt;"&amp;$A272,実績!$AK$6:$AK$505,"○")&gt;0,1,0))</f>
        <v>0</v>
      </c>
      <c r="DG272" s="39" t="n">
        <f aca="false">IF(DG$4=0,0,IF(COUNTIFS(実績!$W$6:$W$505,DG$3,実績!$AI$6:$AI$505,"&lt;="&amp;$A272,実績!$AJ$6:$AJ$505,"&gt;"&amp;$A272,実績!$AK$6:$AK$505,"○")&gt;0,1,0))</f>
        <v>0</v>
      </c>
      <c r="DH272" s="39" t="n">
        <f aca="false">IF(DH$4=0,0,IF(COUNTIFS(実績!$W$6:$W$505,DH$3,実績!$AI$6:$AI$505,"&lt;="&amp;$A272,実績!$AJ$6:$AJ$505,"&gt;"&amp;$A272,実績!$AK$6:$AK$505,"○")&gt;0,1,0))</f>
        <v>0</v>
      </c>
      <c r="DI272" s="39" t="n">
        <f aca="false">IF(DI$4=0,0,IF(COUNTIFS(実績!$W$6:$W$505,DI$3,実績!$AI$6:$AI$505,"&lt;="&amp;$A272,実績!$AJ$6:$AJ$505,"&gt;"&amp;$A272,実績!$AK$6:$AK$505,"○")&gt;0,1,0))</f>
        <v>0</v>
      </c>
      <c r="DJ272" s="39" t="n">
        <f aca="false">IF(DJ$4=0,0,IF(COUNTIFS(実績!$W$6:$W$505,DJ$3,実績!$AI$6:$AI$505,"&lt;="&amp;$A272,実績!$AJ$6:$AJ$505,"&gt;"&amp;$A272,実績!$AK$6:$AK$505,"○")&gt;0,1,0))</f>
        <v>0</v>
      </c>
      <c r="DK272" s="39" t="n">
        <f aca="false">IF(DK$4=0,0,IF(COUNTIFS(実績!$W$6:$W$505,DK$3,実績!$AI$6:$AI$505,"&lt;="&amp;$A272,実績!$AJ$6:$AJ$505,"&gt;"&amp;$A272,実績!$AK$6:$AK$505,"○")&gt;0,1,0))</f>
        <v>0</v>
      </c>
      <c r="DL272" s="39" t="n">
        <f aca="false">IF(DL$4=0,0,IF(COUNTIFS(実績!$W$6:$W$505,DL$3,実績!$AI$6:$AI$505,"&lt;="&amp;$A272,実績!$AJ$6:$AJ$505,"&gt;"&amp;$A272,実績!$AK$6:$AK$505,"○")&gt;0,1,0))</f>
        <v>0</v>
      </c>
      <c r="DM272" s="39" t="n">
        <f aca="false">IF(DM$4=0,0,IF(COUNTIFS(実績!$W$6:$W$505,DM$3,実績!$AI$6:$AI$505,"&lt;="&amp;$A272,実績!$AJ$6:$AJ$505,"&gt;"&amp;$A272,実績!$AK$6:$AK$505,"○")&gt;0,1,0))</f>
        <v>0</v>
      </c>
      <c r="DN272" s="39" t="n">
        <f aca="false">IF(DN$4=0,0,IF(COUNTIFS(実績!$W$6:$W$505,DN$3,実績!$AI$6:$AI$505,"&lt;="&amp;$A272,実績!$AJ$6:$AJ$505,"&gt;"&amp;$A272,実績!$AK$6:$AK$505,"○")&gt;0,1,0))</f>
        <v>0</v>
      </c>
      <c r="DO272" s="39" t="n">
        <f aca="false">IF(DO$4=0,0,IF(COUNTIFS(実績!$W$6:$W$505,DO$3,実績!$AI$6:$AI$505,"&lt;="&amp;$A272,実績!$AJ$6:$AJ$505,"&gt;"&amp;$A272,実績!$AK$6:$AK$505,"○")&gt;0,1,0))</f>
        <v>0</v>
      </c>
      <c r="DP272" s="39" t="n">
        <f aca="false">IF(DP$4=0,0,IF(COUNTIFS(実績!$W$6:$W$505,DP$3,実績!$AI$6:$AI$505,"&lt;="&amp;$A272,実績!$AJ$6:$AJ$505,"&gt;"&amp;$A272,実績!$AK$6:$AK$505,"○")&gt;0,1,0))</f>
        <v>0</v>
      </c>
      <c r="DQ272" s="39" t="n">
        <f aca="false">IF(DQ$4=0,0,IF(COUNTIFS(実績!$W$6:$W$505,DQ$3,実績!$AI$6:$AI$505,"&lt;="&amp;$A272,実績!$AJ$6:$AJ$505,"&gt;"&amp;$A272,実績!$AK$6:$AK$505,"○")&gt;0,1,0))</f>
        <v>0</v>
      </c>
      <c r="DR272" s="39" t="n">
        <f aca="false">IF(DR$4=0,0,IF(COUNTIFS(実績!$W$6:$W$505,DR$3,実績!$AI$6:$AI$505,"&lt;="&amp;$A272,実績!$AJ$6:$AJ$505,"&gt;"&amp;$A272,実績!$AK$6:$AK$505,"○")&gt;0,1,0))</f>
        <v>0</v>
      </c>
      <c r="DS272" s="39" t="n">
        <f aca="false">SUM(C272:DR272)</f>
        <v>0</v>
      </c>
      <c r="DT272" s="39" t="n">
        <f aca="false">SUMPRODUCT((実績!$C$6:$C$505="○")*ISNUMBER(実績!$AM$6:$AM$505)*(実績!$AM$6:$AM$505&lt;=$A272)*(実績!$AN$6:$AN$505&gt;$A272))</f>
        <v>0</v>
      </c>
      <c r="DU272" s="39" t="n">
        <f aca="false">SUMIF($C$2:$DR$2,"製鉄曳船",C272:DR272)</f>
        <v>0</v>
      </c>
      <c r="DV272" s="39" t="n">
        <f aca="false">SUMIF($C$2:$DR$2,"西日本海運",C272:DR272)</f>
        <v>0</v>
      </c>
    </row>
    <row r="273" customFormat="false" ht="15" hidden="false" customHeight="false" outlineLevel="0" collapsed="false">
      <c r="A273" s="0" t="n">
        <v>1335</v>
      </c>
      <c r="B273" s="38" t="n">
        <f aca="false">A273/1440</f>
        <v>0.927083333333333</v>
      </c>
      <c r="C273" s="39" t="n">
        <f aca="false">IF(C$4=0,0,IF(COUNTIFS(実績!$W$6:$W$505,C$3,実績!$AI$6:$AI$505,"&lt;="&amp;$A273,実績!$AJ$6:$AJ$505,"&gt;"&amp;$A273,実績!$AK$6:$AK$505,"○")&gt;0,1,0))</f>
        <v>0</v>
      </c>
      <c r="D273" s="39" t="n">
        <f aca="false">IF(D$4=0,0,IF(COUNTIFS(実績!$W$6:$W$505,D$3,実績!$AI$6:$AI$505,"&lt;="&amp;$A273,実績!$AJ$6:$AJ$505,"&gt;"&amp;$A273,実績!$AK$6:$AK$505,"○")&gt;0,1,0))</f>
        <v>0</v>
      </c>
      <c r="E273" s="39" t="n">
        <f aca="false">IF(E$4=0,0,IF(COUNTIFS(実績!$W$6:$W$505,E$3,実績!$AI$6:$AI$505,"&lt;="&amp;$A273,実績!$AJ$6:$AJ$505,"&gt;"&amp;$A273,実績!$AK$6:$AK$505,"○")&gt;0,1,0))</f>
        <v>0</v>
      </c>
      <c r="F273" s="39" t="n">
        <f aca="false">IF(F$4=0,0,IF(COUNTIFS(実績!$W$6:$W$505,F$3,実績!$AI$6:$AI$505,"&lt;="&amp;$A273,実績!$AJ$6:$AJ$505,"&gt;"&amp;$A273,実績!$AK$6:$AK$505,"○")&gt;0,1,0))</f>
        <v>0</v>
      </c>
      <c r="G273" s="39" t="n">
        <f aca="false">IF(G$4=0,0,IF(COUNTIFS(実績!$W$6:$W$505,G$3,実績!$AI$6:$AI$505,"&lt;="&amp;$A273,実績!$AJ$6:$AJ$505,"&gt;"&amp;$A273,実績!$AK$6:$AK$505,"○")&gt;0,1,0))</f>
        <v>0</v>
      </c>
      <c r="H273" s="39" t="n">
        <f aca="false">IF(H$4=0,0,IF(COUNTIFS(実績!$W$6:$W$505,H$3,実績!$AI$6:$AI$505,"&lt;="&amp;$A273,実績!$AJ$6:$AJ$505,"&gt;"&amp;$A273,実績!$AK$6:$AK$505,"○")&gt;0,1,0))</f>
        <v>0</v>
      </c>
      <c r="I273" s="39" t="n">
        <f aca="false">IF(I$4=0,0,IF(COUNTIFS(実績!$W$6:$W$505,I$3,実績!$AI$6:$AI$505,"&lt;="&amp;$A273,実績!$AJ$6:$AJ$505,"&gt;"&amp;$A273,実績!$AK$6:$AK$505,"○")&gt;0,1,0))</f>
        <v>0</v>
      </c>
      <c r="J273" s="39" t="n">
        <f aca="false">IF(J$4=0,0,IF(COUNTIFS(実績!$W$6:$W$505,J$3,実績!$AI$6:$AI$505,"&lt;="&amp;$A273,実績!$AJ$6:$AJ$505,"&gt;"&amp;$A273,実績!$AK$6:$AK$505,"○")&gt;0,1,0))</f>
        <v>0</v>
      </c>
      <c r="K273" s="39" t="n">
        <f aca="false">IF(K$4=0,0,IF(COUNTIFS(実績!$W$6:$W$505,K$3,実績!$AI$6:$AI$505,"&lt;="&amp;$A273,実績!$AJ$6:$AJ$505,"&gt;"&amp;$A273,実績!$AK$6:$AK$505,"○")&gt;0,1,0))</f>
        <v>0</v>
      </c>
      <c r="L273" s="39" t="n">
        <f aca="false">IF(L$4=0,0,IF(COUNTIFS(実績!$W$6:$W$505,L$3,実績!$AI$6:$AI$505,"&lt;="&amp;$A273,実績!$AJ$6:$AJ$505,"&gt;"&amp;$A273,実績!$AK$6:$AK$505,"○")&gt;0,1,0))</f>
        <v>0</v>
      </c>
      <c r="M273" s="39" t="n">
        <f aca="false">IF(M$4=0,0,IF(COUNTIFS(実績!$W$6:$W$505,M$3,実績!$AI$6:$AI$505,"&lt;="&amp;$A273,実績!$AJ$6:$AJ$505,"&gt;"&amp;$A273,実績!$AK$6:$AK$505,"○")&gt;0,1,0))</f>
        <v>0</v>
      </c>
      <c r="N273" s="39" t="n">
        <f aca="false">IF(N$4=0,0,IF(COUNTIFS(実績!$W$6:$W$505,N$3,実績!$AI$6:$AI$505,"&lt;="&amp;$A273,実績!$AJ$6:$AJ$505,"&gt;"&amp;$A273,実績!$AK$6:$AK$505,"○")&gt;0,1,0))</f>
        <v>0</v>
      </c>
      <c r="O273" s="39" t="n">
        <f aca="false">IF(O$4=0,0,IF(COUNTIFS(実績!$W$6:$W$505,O$3,実績!$AI$6:$AI$505,"&lt;="&amp;$A273,実績!$AJ$6:$AJ$505,"&gt;"&amp;$A273,実績!$AK$6:$AK$505,"○")&gt;0,1,0))</f>
        <v>0</v>
      </c>
      <c r="P273" s="39" t="n">
        <f aca="false">IF(P$4=0,0,IF(COUNTIFS(実績!$W$6:$W$505,P$3,実績!$AI$6:$AI$505,"&lt;="&amp;$A273,実績!$AJ$6:$AJ$505,"&gt;"&amp;$A273,実績!$AK$6:$AK$505,"○")&gt;0,1,0))</f>
        <v>0</v>
      </c>
      <c r="Q273" s="39" t="n">
        <f aca="false">IF(Q$4=0,0,IF(COUNTIFS(実績!$W$6:$W$505,Q$3,実績!$AI$6:$AI$505,"&lt;="&amp;$A273,実績!$AJ$6:$AJ$505,"&gt;"&amp;$A273,実績!$AK$6:$AK$505,"○")&gt;0,1,0))</f>
        <v>0</v>
      </c>
      <c r="R273" s="39" t="n">
        <f aca="false">IF(R$4=0,0,IF(COUNTIFS(実績!$W$6:$W$505,R$3,実績!$AI$6:$AI$505,"&lt;="&amp;$A273,実績!$AJ$6:$AJ$505,"&gt;"&amp;$A273,実績!$AK$6:$AK$505,"○")&gt;0,1,0))</f>
        <v>0</v>
      </c>
      <c r="S273" s="39" t="n">
        <f aca="false">IF(S$4=0,0,IF(COUNTIFS(実績!$W$6:$W$505,S$3,実績!$AI$6:$AI$505,"&lt;="&amp;$A273,実績!$AJ$6:$AJ$505,"&gt;"&amp;$A273,実績!$AK$6:$AK$505,"○")&gt;0,1,0))</f>
        <v>0</v>
      </c>
      <c r="T273" s="39" t="n">
        <f aca="false">IF(T$4=0,0,IF(COUNTIFS(実績!$W$6:$W$505,T$3,実績!$AI$6:$AI$505,"&lt;="&amp;$A273,実績!$AJ$6:$AJ$505,"&gt;"&amp;$A273,実績!$AK$6:$AK$505,"○")&gt;0,1,0))</f>
        <v>0</v>
      </c>
      <c r="U273" s="39" t="n">
        <f aca="false">IF(U$4=0,0,IF(COUNTIFS(実績!$W$6:$W$505,U$3,実績!$AI$6:$AI$505,"&lt;="&amp;$A273,実績!$AJ$6:$AJ$505,"&gt;"&amp;$A273,実績!$AK$6:$AK$505,"○")&gt;0,1,0))</f>
        <v>0</v>
      </c>
      <c r="V273" s="39" t="n">
        <f aca="false">IF(V$4=0,0,IF(COUNTIFS(実績!$W$6:$W$505,V$3,実績!$AI$6:$AI$505,"&lt;="&amp;$A273,実績!$AJ$6:$AJ$505,"&gt;"&amp;$A273,実績!$AK$6:$AK$505,"○")&gt;0,1,0))</f>
        <v>0</v>
      </c>
      <c r="W273" s="39" t="n">
        <f aca="false">IF(W$4=0,0,IF(COUNTIFS(実績!$W$6:$W$505,W$3,実績!$AI$6:$AI$505,"&lt;="&amp;$A273,実績!$AJ$6:$AJ$505,"&gt;"&amp;$A273,実績!$AK$6:$AK$505,"○")&gt;0,1,0))</f>
        <v>0</v>
      </c>
      <c r="X273" s="39" t="n">
        <f aca="false">IF(X$4=0,0,IF(COUNTIFS(実績!$W$6:$W$505,X$3,実績!$AI$6:$AI$505,"&lt;="&amp;$A273,実績!$AJ$6:$AJ$505,"&gt;"&amp;$A273,実績!$AK$6:$AK$505,"○")&gt;0,1,0))</f>
        <v>0</v>
      </c>
      <c r="Y273" s="39" t="n">
        <f aca="false">IF(Y$4=0,0,IF(COUNTIFS(実績!$W$6:$W$505,Y$3,実績!$AI$6:$AI$505,"&lt;="&amp;$A273,実績!$AJ$6:$AJ$505,"&gt;"&amp;$A273,実績!$AK$6:$AK$505,"○")&gt;0,1,0))</f>
        <v>0</v>
      </c>
      <c r="Z273" s="39" t="n">
        <f aca="false">IF(Z$4=0,0,IF(COUNTIFS(実績!$W$6:$W$505,Z$3,実績!$AI$6:$AI$505,"&lt;="&amp;$A273,実績!$AJ$6:$AJ$505,"&gt;"&amp;$A273,実績!$AK$6:$AK$505,"○")&gt;0,1,0))</f>
        <v>0</v>
      </c>
      <c r="AA273" s="39" t="n">
        <f aca="false">IF(AA$4=0,0,IF(COUNTIFS(実績!$W$6:$W$505,AA$3,実績!$AI$6:$AI$505,"&lt;="&amp;$A273,実績!$AJ$6:$AJ$505,"&gt;"&amp;$A273,実績!$AK$6:$AK$505,"○")&gt;0,1,0))</f>
        <v>0</v>
      </c>
      <c r="AB273" s="39" t="n">
        <f aca="false">IF(AB$4=0,0,IF(COUNTIFS(実績!$W$6:$W$505,AB$3,実績!$AI$6:$AI$505,"&lt;="&amp;$A273,実績!$AJ$6:$AJ$505,"&gt;"&amp;$A273,実績!$AK$6:$AK$505,"○")&gt;0,1,0))</f>
        <v>0</v>
      </c>
      <c r="AC273" s="39" t="n">
        <f aca="false">IF(AC$4=0,0,IF(COUNTIFS(実績!$W$6:$W$505,AC$3,実績!$AI$6:$AI$505,"&lt;="&amp;$A273,実績!$AJ$6:$AJ$505,"&gt;"&amp;$A273,実績!$AK$6:$AK$505,"○")&gt;0,1,0))</f>
        <v>0</v>
      </c>
      <c r="AD273" s="39" t="n">
        <f aca="false">IF(AD$4=0,0,IF(COUNTIFS(実績!$W$6:$W$505,AD$3,実績!$AI$6:$AI$505,"&lt;="&amp;$A273,実績!$AJ$6:$AJ$505,"&gt;"&amp;$A273,実績!$AK$6:$AK$505,"○")&gt;0,1,0))</f>
        <v>0</v>
      </c>
      <c r="AE273" s="39" t="n">
        <f aca="false">IF(AE$4=0,0,IF(COUNTIFS(実績!$W$6:$W$505,AE$3,実績!$AI$6:$AI$505,"&lt;="&amp;$A273,実績!$AJ$6:$AJ$505,"&gt;"&amp;$A273,実績!$AK$6:$AK$505,"○")&gt;0,1,0))</f>
        <v>0</v>
      </c>
      <c r="AF273" s="39" t="n">
        <f aca="false">IF(AF$4=0,0,IF(COUNTIFS(実績!$W$6:$W$505,AF$3,実績!$AI$6:$AI$505,"&lt;="&amp;$A273,実績!$AJ$6:$AJ$505,"&gt;"&amp;$A273,実績!$AK$6:$AK$505,"○")&gt;0,1,0))</f>
        <v>0</v>
      </c>
      <c r="AG273" s="39" t="n">
        <f aca="false">IF(AG$4=0,0,IF(COUNTIFS(実績!$W$6:$W$505,AG$3,実績!$AI$6:$AI$505,"&lt;="&amp;$A273,実績!$AJ$6:$AJ$505,"&gt;"&amp;$A273,実績!$AK$6:$AK$505,"○")&gt;0,1,0))</f>
        <v>0</v>
      </c>
      <c r="AH273" s="39" t="n">
        <f aca="false">IF(AH$4=0,0,IF(COUNTIFS(実績!$W$6:$W$505,AH$3,実績!$AI$6:$AI$505,"&lt;="&amp;$A273,実績!$AJ$6:$AJ$505,"&gt;"&amp;$A273,実績!$AK$6:$AK$505,"○")&gt;0,1,0))</f>
        <v>0</v>
      </c>
      <c r="AI273" s="39" t="n">
        <f aca="false">IF(AI$4=0,0,IF(COUNTIFS(実績!$W$6:$W$505,AI$3,実績!$AI$6:$AI$505,"&lt;="&amp;$A273,実績!$AJ$6:$AJ$505,"&gt;"&amp;$A273,実績!$AK$6:$AK$505,"○")&gt;0,1,0))</f>
        <v>0</v>
      </c>
      <c r="AJ273" s="39" t="n">
        <f aca="false">IF(AJ$4=0,0,IF(COUNTIFS(実績!$W$6:$W$505,AJ$3,実績!$AI$6:$AI$505,"&lt;="&amp;$A273,実績!$AJ$6:$AJ$505,"&gt;"&amp;$A273,実績!$AK$6:$AK$505,"○")&gt;0,1,0))</f>
        <v>0</v>
      </c>
      <c r="AK273" s="39" t="n">
        <f aca="false">IF(AK$4=0,0,IF(COUNTIFS(実績!$W$6:$W$505,AK$3,実績!$AI$6:$AI$505,"&lt;="&amp;$A273,実績!$AJ$6:$AJ$505,"&gt;"&amp;$A273,実績!$AK$6:$AK$505,"○")&gt;0,1,0))</f>
        <v>0</v>
      </c>
      <c r="AL273" s="39" t="n">
        <f aca="false">IF(AL$4=0,0,IF(COUNTIFS(実績!$W$6:$W$505,AL$3,実績!$AI$6:$AI$505,"&lt;="&amp;$A273,実績!$AJ$6:$AJ$505,"&gt;"&amp;$A273,実績!$AK$6:$AK$505,"○")&gt;0,1,0))</f>
        <v>0</v>
      </c>
      <c r="AM273" s="39" t="n">
        <f aca="false">IF(AM$4=0,0,IF(COUNTIFS(実績!$W$6:$W$505,AM$3,実績!$AI$6:$AI$505,"&lt;="&amp;$A273,実績!$AJ$6:$AJ$505,"&gt;"&amp;$A273,実績!$AK$6:$AK$505,"○")&gt;0,1,0))</f>
        <v>0</v>
      </c>
      <c r="AN273" s="39" t="n">
        <f aca="false">IF(AN$4=0,0,IF(COUNTIFS(実績!$W$6:$W$505,AN$3,実績!$AI$6:$AI$505,"&lt;="&amp;$A273,実績!$AJ$6:$AJ$505,"&gt;"&amp;$A273,実績!$AK$6:$AK$505,"○")&gt;0,1,0))</f>
        <v>0</v>
      </c>
      <c r="AO273" s="39" t="n">
        <f aca="false">IF(AO$4=0,0,IF(COUNTIFS(実績!$W$6:$W$505,AO$3,実績!$AI$6:$AI$505,"&lt;="&amp;$A273,実績!$AJ$6:$AJ$505,"&gt;"&amp;$A273,実績!$AK$6:$AK$505,"○")&gt;0,1,0))</f>
        <v>0</v>
      </c>
      <c r="AP273" s="39" t="n">
        <f aca="false">IF(AP$4=0,0,IF(COUNTIFS(実績!$W$6:$W$505,AP$3,実績!$AI$6:$AI$505,"&lt;="&amp;$A273,実績!$AJ$6:$AJ$505,"&gt;"&amp;$A273,実績!$AK$6:$AK$505,"○")&gt;0,1,0))</f>
        <v>0</v>
      </c>
      <c r="AQ273" s="39" t="n">
        <f aca="false">IF(AQ$4=0,0,IF(COUNTIFS(実績!$W$6:$W$505,AQ$3,実績!$AI$6:$AI$505,"&lt;="&amp;$A273,実績!$AJ$6:$AJ$505,"&gt;"&amp;$A273,実績!$AK$6:$AK$505,"○")&gt;0,1,0))</f>
        <v>0</v>
      </c>
      <c r="AR273" s="39" t="n">
        <f aca="false">IF(AR$4=0,0,IF(COUNTIFS(実績!$W$6:$W$505,AR$3,実績!$AI$6:$AI$505,"&lt;="&amp;$A273,実績!$AJ$6:$AJ$505,"&gt;"&amp;$A273,実績!$AK$6:$AK$505,"○")&gt;0,1,0))</f>
        <v>0</v>
      </c>
      <c r="AS273" s="39" t="n">
        <f aca="false">IF(AS$4=0,0,IF(COUNTIFS(実績!$W$6:$W$505,AS$3,実績!$AI$6:$AI$505,"&lt;="&amp;$A273,実績!$AJ$6:$AJ$505,"&gt;"&amp;$A273,実績!$AK$6:$AK$505,"○")&gt;0,1,0))</f>
        <v>0</v>
      </c>
      <c r="AT273" s="39" t="n">
        <f aca="false">IF(AT$4=0,0,IF(COUNTIFS(実績!$W$6:$W$505,AT$3,実績!$AI$6:$AI$505,"&lt;="&amp;$A273,実績!$AJ$6:$AJ$505,"&gt;"&amp;$A273,実績!$AK$6:$AK$505,"○")&gt;0,1,0))</f>
        <v>0</v>
      </c>
      <c r="AU273" s="39" t="n">
        <f aca="false">IF(AU$4=0,0,IF(COUNTIFS(実績!$W$6:$W$505,AU$3,実績!$AI$6:$AI$505,"&lt;="&amp;$A273,実績!$AJ$6:$AJ$505,"&gt;"&amp;$A273,実績!$AK$6:$AK$505,"○")&gt;0,1,0))</f>
        <v>0</v>
      </c>
      <c r="AV273" s="39" t="n">
        <f aca="false">IF(AV$4=0,0,IF(COUNTIFS(実績!$W$6:$W$505,AV$3,実績!$AI$6:$AI$505,"&lt;="&amp;$A273,実績!$AJ$6:$AJ$505,"&gt;"&amp;$A273,実績!$AK$6:$AK$505,"○")&gt;0,1,0))</f>
        <v>0</v>
      </c>
      <c r="AW273" s="39" t="n">
        <f aca="false">IF(AW$4=0,0,IF(COUNTIFS(実績!$W$6:$W$505,AW$3,実績!$AI$6:$AI$505,"&lt;="&amp;$A273,実績!$AJ$6:$AJ$505,"&gt;"&amp;$A273,実績!$AK$6:$AK$505,"○")&gt;0,1,0))</f>
        <v>0</v>
      </c>
      <c r="AX273" s="39" t="n">
        <f aca="false">IF(AX$4=0,0,IF(COUNTIFS(実績!$W$6:$W$505,AX$3,実績!$AI$6:$AI$505,"&lt;="&amp;$A273,実績!$AJ$6:$AJ$505,"&gt;"&amp;$A273,実績!$AK$6:$AK$505,"○")&gt;0,1,0))</f>
        <v>0</v>
      </c>
      <c r="AY273" s="39" t="n">
        <f aca="false">IF(AY$4=0,0,IF(COUNTIFS(実績!$W$6:$W$505,AY$3,実績!$AI$6:$AI$505,"&lt;="&amp;$A273,実績!$AJ$6:$AJ$505,"&gt;"&amp;$A273,実績!$AK$6:$AK$505,"○")&gt;0,1,0))</f>
        <v>0</v>
      </c>
      <c r="AZ273" s="39" t="n">
        <f aca="false">IF(AZ$4=0,0,IF(COUNTIFS(実績!$W$6:$W$505,AZ$3,実績!$AI$6:$AI$505,"&lt;="&amp;$A273,実績!$AJ$6:$AJ$505,"&gt;"&amp;$A273,実績!$AK$6:$AK$505,"○")&gt;0,1,0))</f>
        <v>0</v>
      </c>
      <c r="BA273" s="39" t="n">
        <f aca="false">IF(BA$4=0,0,IF(COUNTIFS(実績!$W$6:$W$505,BA$3,実績!$AI$6:$AI$505,"&lt;="&amp;$A273,実績!$AJ$6:$AJ$505,"&gt;"&amp;$A273,実績!$AK$6:$AK$505,"○")&gt;0,1,0))</f>
        <v>0</v>
      </c>
      <c r="BB273" s="39" t="n">
        <f aca="false">IF(BB$4=0,0,IF(COUNTIFS(実績!$W$6:$W$505,BB$3,実績!$AI$6:$AI$505,"&lt;="&amp;$A273,実績!$AJ$6:$AJ$505,"&gt;"&amp;$A273,実績!$AK$6:$AK$505,"○")&gt;0,1,0))</f>
        <v>0</v>
      </c>
      <c r="BC273" s="39" t="n">
        <f aca="false">IF(BC$4=0,0,IF(COUNTIFS(実績!$W$6:$W$505,BC$3,実績!$AI$6:$AI$505,"&lt;="&amp;$A273,実績!$AJ$6:$AJ$505,"&gt;"&amp;$A273,実績!$AK$6:$AK$505,"○")&gt;0,1,0))</f>
        <v>0</v>
      </c>
      <c r="BD273" s="39" t="n">
        <f aca="false">IF(BD$4=0,0,IF(COUNTIFS(実績!$W$6:$W$505,BD$3,実績!$AI$6:$AI$505,"&lt;="&amp;$A273,実績!$AJ$6:$AJ$505,"&gt;"&amp;$A273,実績!$AK$6:$AK$505,"○")&gt;0,1,0))</f>
        <v>0</v>
      </c>
      <c r="BE273" s="39" t="n">
        <f aca="false">IF(BE$4=0,0,IF(COUNTIFS(実績!$W$6:$W$505,BE$3,実績!$AI$6:$AI$505,"&lt;="&amp;$A273,実績!$AJ$6:$AJ$505,"&gt;"&amp;$A273,実績!$AK$6:$AK$505,"○")&gt;0,1,0))</f>
        <v>0</v>
      </c>
      <c r="BF273" s="39" t="n">
        <f aca="false">IF(BF$4=0,0,IF(COUNTIFS(実績!$W$6:$W$505,BF$3,実績!$AI$6:$AI$505,"&lt;="&amp;$A273,実績!$AJ$6:$AJ$505,"&gt;"&amp;$A273,実績!$AK$6:$AK$505,"○")&gt;0,1,0))</f>
        <v>0</v>
      </c>
      <c r="BG273" s="39" t="n">
        <f aca="false">IF(BG$4=0,0,IF(COUNTIFS(実績!$W$6:$W$505,BG$3,実績!$AI$6:$AI$505,"&lt;="&amp;$A273,実績!$AJ$6:$AJ$505,"&gt;"&amp;$A273,実績!$AK$6:$AK$505,"○")&gt;0,1,0))</f>
        <v>0</v>
      </c>
      <c r="BH273" s="39" t="n">
        <f aca="false">IF(BH$4=0,0,IF(COUNTIFS(実績!$W$6:$W$505,BH$3,実績!$AI$6:$AI$505,"&lt;="&amp;$A273,実績!$AJ$6:$AJ$505,"&gt;"&amp;$A273,実績!$AK$6:$AK$505,"○")&gt;0,1,0))</f>
        <v>0</v>
      </c>
      <c r="BI273" s="39" t="n">
        <f aca="false">IF(BI$4=0,0,IF(COUNTIFS(実績!$W$6:$W$505,BI$3,実績!$AI$6:$AI$505,"&lt;="&amp;$A273,実績!$AJ$6:$AJ$505,"&gt;"&amp;$A273,実績!$AK$6:$AK$505,"○")&gt;0,1,0))</f>
        <v>0</v>
      </c>
      <c r="BJ273" s="39" t="n">
        <f aca="false">IF(BJ$4=0,0,IF(COUNTIFS(実績!$W$6:$W$505,BJ$3,実績!$AI$6:$AI$505,"&lt;="&amp;$A273,実績!$AJ$6:$AJ$505,"&gt;"&amp;$A273,実績!$AK$6:$AK$505,"○")&gt;0,1,0))</f>
        <v>0</v>
      </c>
      <c r="BK273" s="39" t="n">
        <f aca="false">IF(BK$4=0,0,IF(COUNTIFS(実績!$W$6:$W$505,BK$3,実績!$AI$6:$AI$505,"&lt;="&amp;$A273,実績!$AJ$6:$AJ$505,"&gt;"&amp;$A273,実績!$AK$6:$AK$505,"○")&gt;0,1,0))</f>
        <v>0</v>
      </c>
      <c r="BL273" s="39" t="n">
        <f aca="false">IF(BL$4=0,0,IF(COUNTIFS(実績!$W$6:$W$505,BL$3,実績!$AI$6:$AI$505,"&lt;="&amp;$A273,実績!$AJ$6:$AJ$505,"&gt;"&amp;$A273,実績!$AK$6:$AK$505,"○")&gt;0,1,0))</f>
        <v>0</v>
      </c>
      <c r="BM273" s="39" t="n">
        <f aca="false">IF(BM$4=0,0,IF(COUNTIFS(実績!$W$6:$W$505,BM$3,実績!$AI$6:$AI$505,"&lt;="&amp;$A273,実績!$AJ$6:$AJ$505,"&gt;"&amp;$A273,実績!$AK$6:$AK$505,"○")&gt;0,1,0))</f>
        <v>0</v>
      </c>
      <c r="BN273" s="39" t="n">
        <f aca="false">IF(BN$4=0,0,IF(COUNTIFS(実績!$W$6:$W$505,BN$3,実績!$AI$6:$AI$505,"&lt;="&amp;$A273,実績!$AJ$6:$AJ$505,"&gt;"&amp;$A273,実績!$AK$6:$AK$505,"○")&gt;0,1,0))</f>
        <v>0</v>
      </c>
      <c r="BO273" s="39" t="n">
        <f aca="false">IF(BO$4=0,0,IF(COUNTIFS(実績!$W$6:$W$505,BO$3,実績!$AI$6:$AI$505,"&lt;="&amp;$A273,実績!$AJ$6:$AJ$505,"&gt;"&amp;$A273,実績!$AK$6:$AK$505,"○")&gt;0,1,0))</f>
        <v>0</v>
      </c>
      <c r="BP273" s="39" t="n">
        <f aca="false">IF(BP$4=0,0,IF(COUNTIFS(実績!$W$6:$W$505,BP$3,実績!$AI$6:$AI$505,"&lt;="&amp;$A273,実績!$AJ$6:$AJ$505,"&gt;"&amp;$A273,実績!$AK$6:$AK$505,"○")&gt;0,1,0))</f>
        <v>0</v>
      </c>
      <c r="BQ273" s="39" t="n">
        <f aca="false">IF(BQ$4=0,0,IF(COUNTIFS(実績!$W$6:$W$505,BQ$3,実績!$AI$6:$AI$505,"&lt;="&amp;$A273,実績!$AJ$6:$AJ$505,"&gt;"&amp;$A273,実績!$AK$6:$AK$505,"○")&gt;0,1,0))</f>
        <v>0</v>
      </c>
      <c r="BR273" s="39" t="n">
        <f aca="false">IF(BR$4=0,0,IF(COUNTIFS(実績!$W$6:$W$505,BR$3,実績!$AI$6:$AI$505,"&lt;="&amp;$A273,実績!$AJ$6:$AJ$505,"&gt;"&amp;$A273,実績!$AK$6:$AK$505,"○")&gt;0,1,0))</f>
        <v>0</v>
      </c>
      <c r="BS273" s="39" t="n">
        <f aca="false">IF(BS$4=0,0,IF(COUNTIFS(実績!$W$6:$W$505,BS$3,実績!$AI$6:$AI$505,"&lt;="&amp;$A273,実績!$AJ$6:$AJ$505,"&gt;"&amp;$A273,実績!$AK$6:$AK$505,"○")&gt;0,1,0))</f>
        <v>0</v>
      </c>
      <c r="BT273" s="39" t="n">
        <f aca="false">IF(BT$4=0,0,IF(COUNTIFS(実績!$W$6:$W$505,BT$3,実績!$AI$6:$AI$505,"&lt;="&amp;$A273,実績!$AJ$6:$AJ$505,"&gt;"&amp;$A273,実績!$AK$6:$AK$505,"○")&gt;0,1,0))</f>
        <v>0</v>
      </c>
      <c r="BU273" s="39" t="n">
        <f aca="false">IF(BU$4=0,0,IF(COUNTIFS(実績!$W$6:$W$505,BU$3,実績!$AI$6:$AI$505,"&lt;="&amp;$A273,実績!$AJ$6:$AJ$505,"&gt;"&amp;$A273,実績!$AK$6:$AK$505,"○")&gt;0,1,0))</f>
        <v>0</v>
      </c>
      <c r="BV273" s="39" t="n">
        <f aca="false">IF(BV$4=0,0,IF(COUNTIFS(実績!$W$6:$W$505,BV$3,実績!$AI$6:$AI$505,"&lt;="&amp;$A273,実績!$AJ$6:$AJ$505,"&gt;"&amp;$A273,実績!$AK$6:$AK$505,"○")&gt;0,1,0))</f>
        <v>0</v>
      </c>
      <c r="BW273" s="39" t="n">
        <f aca="false">IF(BW$4=0,0,IF(COUNTIFS(実績!$W$6:$W$505,BW$3,実績!$AI$6:$AI$505,"&lt;="&amp;$A273,実績!$AJ$6:$AJ$505,"&gt;"&amp;$A273,実績!$AK$6:$AK$505,"○")&gt;0,1,0))</f>
        <v>0</v>
      </c>
      <c r="BX273" s="39" t="n">
        <f aca="false">IF(BX$4=0,0,IF(COUNTIFS(実績!$W$6:$W$505,BX$3,実績!$AI$6:$AI$505,"&lt;="&amp;$A273,実績!$AJ$6:$AJ$505,"&gt;"&amp;$A273,実績!$AK$6:$AK$505,"○")&gt;0,1,0))</f>
        <v>0</v>
      </c>
      <c r="BY273" s="39" t="n">
        <f aca="false">IF(BY$4=0,0,IF(COUNTIFS(実績!$W$6:$W$505,BY$3,実績!$AI$6:$AI$505,"&lt;="&amp;$A273,実績!$AJ$6:$AJ$505,"&gt;"&amp;$A273,実績!$AK$6:$AK$505,"○")&gt;0,1,0))</f>
        <v>0</v>
      </c>
      <c r="BZ273" s="39" t="n">
        <f aca="false">IF(BZ$4=0,0,IF(COUNTIFS(実績!$W$6:$W$505,BZ$3,実績!$AI$6:$AI$505,"&lt;="&amp;$A273,実績!$AJ$6:$AJ$505,"&gt;"&amp;$A273,実績!$AK$6:$AK$505,"○")&gt;0,1,0))</f>
        <v>0</v>
      </c>
      <c r="CA273" s="39" t="n">
        <f aca="false">IF(CA$4=0,0,IF(COUNTIFS(実績!$W$6:$W$505,CA$3,実績!$AI$6:$AI$505,"&lt;="&amp;$A273,実績!$AJ$6:$AJ$505,"&gt;"&amp;$A273,実績!$AK$6:$AK$505,"○")&gt;0,1,0))</f>
        <v>0</v>
      </c>
      <c r="CB273" s="39" t="n">
        <f aca="false">IF(CB$4=0,0,IF(COUNTIFS(実績!$W$6:$W$505,CB$3,実績!$AI$6:$AI$505,"&lt;="&amp;$A273,実績!$AJ$6:$AJ$505,"&gt;"&amp;$A273,実績!$AK$6:$AK$505,"○")&gt;0,1,0))</f>
        <v>0</v>
      </c>
      <c r="CC273" s="39" t="n">
        <f aca="false">IF(CC$4=0,0,IF(COUNTIFS(実績!$W$6:$W$505,CC$3,実績!$AI$6:$AI$505,"&lt;="&amp;$A273,実績!$AJ$6:$AJ$505,"&gt;"&amp;$A273,実績!$AK$6:$AK$505,"○")&gt;0,1,0))</f>
        <v>0</v>
      </c>
      <c r="CD273" s="39" t="n">
        <f aca="false">IF(CD$4=0,0,IF(COUNTIFS(実績!$W$6:$W$505,CD$3,実績!$AI$6:$AI$505,"&lt;="&amp;$A273,実績!$AJ$6:$AJ$505,"&gt;"&amp;$A273,実績!$AK$6:$AK$505,"○")&gt;0,1,0))</f>
        <v>0</v>
      </c>
      <c r="CE273" s="39" t="n">
        <f aca="false">IF(CE$4=0,0,IF(COUNTIFS(実績!$W$6:$W$505,CE$3,実績!$AI$6:$AI$505,"&lt;="&amp;$A273,実績!$AJ$6:$AJ$505,"&gt;"&amp;$A273,実績!$AK$6:$AK$505,"○")&gt;0,1,0))</f>
        <v>0</v>
      </c>
      <c r="CF273" s="39" t="n">
        <f aca="false">IF(CF$4=0,0,IF(COUNTIFS(実績!$W$6:$W$505,CF$3,実績!$AI$6:$AI$505,"&lt;="&amp;$A273,実績!$AJ$6:$AJ$505,"&gt;"&amp;$A273,実績!$AK$6:$AK$505,"○")&gt;0,1,0))</f>
        <v>0</v>
      </c>
      <c r="CG273" s="39" t="n">
        <f aca="false">IF(CG$4=0,0,IF(COUNTIFS(実績!$W$6:$W$505,CG$3,実績!$AI$6:$AI$505,"&lt;="&amp;$A273,実績!$AJ$6:$AJ$505,"&gt;"&amp;$A273,実績!$AK$6:$AK$505,"○")&gt;0,1,0))</f>
        <v>0</v>
      </c>
      <c r="CH273" s="39" t="n">
        <f aca="false">IF(CH$4=0,0,IF(COUNTIFS(実績!$W$6:$W$505,CH$3,実績!$AI$6:$AI$505,"&lt;="&amp;$A273,実績!$AJ$6:$AJ$505,"&gt;"&amp;$A273,実績!$AK$6:$AK$505,"○")&gt;0,1,0))</f>
        <v>0</v>
      </c>
      <c r="CI273" s="39" t="n">
        <f aca="false">IF(CI$4=0,0,IF(COUNTIFS(実績!$W$6:$W$505,CI$3,実績!$AI$6:$AI$505,"&lt;="&amp;$A273,実績!$AJ$6:$AJ$505,"&gt;"&amp;$A273,実績!$AK$6:$AK$505,"○")&gt;0,1,0))</f>
        <v>0</v>
      </c>
      <c r="CJ273" s="39" t="n">
        <f aca="false">IF(CJ$4=0,0,IF(COUNTIFS(実績!$W$6:$W$505,CJ$3,実績!$AI$6:$AI$505,"&lt;="&amp;$A273,実績!$AJ$6:$AJ$505,"&gt;"&amp;$A273,実績!$AK$6:$AK$505,"○")&gt;0,1,0))</f>
        <v>0</v>
      </c>
      <c r="CK273" s="39" t="n">
        <f aca="false">IF(CK$4=0,0,IF(COUNTIFS(実績!$W$6:$W$505,CK$3,実績!$AI$6:$AI$505,"&lt;="&amp;$A273,実績!$AJ$6:$AJ$505,"&gt;"&amp;$A273,実績!$AK$6:$AK$505,"○")&gt;0,1,0))</f>
        <v>0</v>
      </c>
      <c r="CL273" s="39" t="n">
        <f aca="false">IF(CL$4=0,0,IF(COUNTIFS(実績!$W$6:$W$505,CL$3,実績!$AI$6:$AI$505,"&lt;="&amp;$A273,実績!$AJ$6:$AJ$505,"&gt;"&amp;$A273,実績!$AK$6:$AK$505,"○")&gt;0,1,0))</f>
        <v>0</v>
      </c>
      <c r="CM273" s="39" t="n">
        <f aca="false">IF(CM$4=0,0,IF(COUNTIFS(実績!$W$6:$W$505,CM$3,実績!$AI$6:$AI$505,"&lt;="&amp;$A273,実績!$AJ$6:$AJ$505,"&gt;"&amp;$A273,実績!$AK$6:$AK$505,"○")&gt;0,1,0))</f>
        <v>0</v>
      </c>
      <c r="CN273" s="39" t="n">
        <f aca="false">IF(CN$4=0,0,IF(COUNTIFS(実績!$W$6:$W$505,CN$3,実績!$AI$6:$AI$505,"&lt;="&amp;$A273,実績!$AJ$6:$AJ$505,"&gt;"&amp;$A273,実績!$AK$6:$AK$505,"○")&gt;0,1,0))</f>
        <v>0</v>
      </c>
      <c r="CO273" s="39" t="n">
        <f aca="false">IF(CO$4=0,0,IF(COUNTIFS(実績!$W$6:$W$505,CO$3,実績!$AI$6:$AI$505,"&lt;="&amp;$A273,実績!$AJ$6:$AJ$505,"&gt;"&amp;$A273,実績!$AK$6:$AK$505,"○")&gt;0,1,0))</f>
        <v>0</v>
      </c>
      <c r="CP273" s="39" t="n">
        <f aca="false">IF(CP$4=0,0,IF(COUNTIFS(実績!$W$6:$W$505,CP$3,実績!$AI$6:$AI$505,"&lt;="&amp;$A273,実績!$AJ$6:$AJ$505,"&gt;"&amp;$A273,実績!$AK$6:$AK$505,"○")&gt;0,1,0))</f>
        <v>0</v>
      </c>
      <c r="CQ273" s="39" t="n">
        <f aca="false">IF(CQ$4=0,0,IF(COUNTIFS(実績!$W$6:$W$505,CQ$3,実績!$AI$6:$AI$505,"&lt;="&amp;$A273,実績!$AJ$6:$AJ$505,"&gt;"&amp;$A273,実績!$AK$6:$AK$505,"○")&gt;0,1,0))</f>
        <v>0</v>
      </c>
      <c r="CR273" s="39" t="n">
        <f aca="false">IF(CR$4=0,0,IF(COUNTIFS(実績!$W$6:$W$505,CR$3,実績!$AI$6:$AI$505,"&lt;="&amp;$A273,実績!$AJ$6:$AJ$505,"&gt;"&amp;$A273,実績!$AK$6:$AK$505,"○")&gt;0,1,0))</f>
        <v>0</v>
      </c>
      <c r="CS273" s="39" t="n">
        <f aca="false">IF(CS$4=0,0,IF(COUNTIFS(実績!$W$6:$W$505,CS$3,実績!$AI$6:$AI$505,"&lt;="&amp;$A273,実績!$AJ$6:$AJ$505,"&gt;"&amp;$A273,実績!$AK$6:$AK$505,"○")&gt;0,1,0))</f>
        <v>0</v>
      </c>
      <c r="CT273" s="39" t="n">
        <f aca="false">IF(CT$4=0,0,IF(COUNTIFS(実績!$W$6:$W$505,CT$3,実績!$AI$6:$AI$505,"&lt;="&amp;$A273,実績!$AJ$6:$AJ$505,"&gt;"&amp;$A273,実績!$AK$6:$AK$505,"○")&gt;0,1,0))</f>
        <v>0</v>
      </c>
      <c r="CU273" s="39" t="n">
        <f aca="false">IF(CU$4=0,0,IF(COUNTIFS(実績!$W$6:$W$505,CU$3,実績!$AI$6:$AI$505,"&lt;="&amp;$A273,実績!$AJ$6:$AJ$505,"&gt;"&amp;$A273,実績!$AK$6:$AK$505,"○")&gt;0,1,0))</f>
        <v>0</v>
      </c>
      <c r="CV273" s="39" t="n">
        <f aca="false">IF(CV$4=0,0,IF(COUNTIFS(実績!$W$6:$W$505,CV$3,実績!$AI$6:$AI$505,"&lt;="&amp;$A273,実績!$AJ$6:$AJ$505,"&gt;"&amp;$A273,実績!$AK$6:$AK$505,"○")&gt;0,1,0))</f>
        <v>0</v>
      </c>
      <c r="CW273" s="39" t="n">
        <f aca="false">IF(CW$4=0,0,IF(COUNTIFS(実績!$W$6:$W$505,CW$3,実績!$AI$6:$AI$505,"&lt;="&amp;$A273,実績!$AJ$6:$AJ$505,"&gt;"&amp;$A273,実績!$AK$6:$AK$505,"○")&gt;0,1,0))</f>
        <v>0</v>
      </c>
      <c r="CX273" s="39" t="n">
        <f aca="false">IF(CX$4=0,0,IF(COUNTIFS(実績!$W$6:$W$505,CX$3,実績!$AI$6:$AI$505,"&lt;="&amp;$A273,実績!$AJ$6:$AJ$505,"&gt;"&amp;$A273,実績!$AK$6:$AK$505,"○")&gt;0,1,0))</f>
        <v>0</v>
      </c>
      <c r="CY273" s="39" t="n">
        <f aca="false">IF(CY$4=0,0,IF(COUNTIFS(実績!$W$6:$W$505,CY$3,実績!$AI$6:$AI$505,"&lt;="&amp;$A273,実績!$AJ$6:$AJ$505,"&gt;"&amp;$A273,実績!$AK$6:$AK$505,"○")&gt;0,1,0))</f>
        <v>0</v>
      </c>
      <c r="CZ273" s="39" t="n">
        <f aca="false">IF(CZ$4=0,0,IF(COUNTIFS(実績!$W$6:$W$505,CZ$3,実績!$AI$6:$AI$505,"&lt;="&amp;$A273,実績!$AJ$6:$AJ$505,"&gt;"&amp;$A273,実績!$AK$6:$AK$505,"○")&gt;0,1,0))</f>
        <v>0</v>
      </c>
      <c r="DA273" s="39" t="n">
        <f aca="false">IF(DA$4=0,0,IF(COUNTIFS(実績!$W$6:$W$505,DA$3,実績!$AI$6:$AI$505,"&lt;="&amp;$A273,実績!$AJ$6:$AJ$505,"&gt;"&amp;$A273,実績!$AK$6:$AK$505,"○")&gt;0,1,0))</f>
        <v>0</v>
      </c>
      <c r="DB273" s="39" t="n">
        <f aca="false">IF(DB$4=0,0,IF(COUNTIFS(実績!$W$6:$W$505,DB$3,実績!$AI$6:$AI$505,"&lt;="&amp;$A273,実績!$AJ$6:$AJ$505,"&gt;"&amp;$A273,実績!$AK$6:$AK$505,"○")&gt;0,1,0))</f>
        <v>0</v>
      </c>
      <c r="DC273" s="39" t="n">
        <f aca="false">IF(DC$4=0,0,IF(COUNTIFS(実績!$W$6:$W$505,DC$3,実績!$AI$6:$AI$505,"&lt;="&amp;$A273,実績!$AJ$6:$AJ$505,"&gt;"&amp;$A273,実績!$AK$6:$AK$505,"○")&gt;0,1,0))</f>
        <v>0</v>
      </c>
      <c r="DD273" s="39" t="n">
        <f aca="false">IF(DD$4=0,0,IF(COUNTIFS(実績!$W$6:$W$505,DD$3,実績!$AI$6:$AI$505,"&lt;="&amp;$A273,実績!$AJ$6:$AJ$505,"&gt;"&amp;$A273,実績!$AK$6:$AK$505,"○")&gt;0,1,0))</f>
        <v>0</v>
      </c>
      <c r="DE273" s="39" t="n">
        <f aca="false">IF(DE$4=0,0,IF(COUNTIFS(実績!$W$6:$W$505,DE$3,実績!$AI$6:$AI$505,"&lt;="&amp;$A273,実績!$AJ$6:$AJ$505,"&gt;"&amp;$A273,実績!$AK$6:$AK$505,"○")&gt;0,1,0))</f>
        <v>0</v>
      </c>
      <c r="DF273" s="39" t="n">
        <f aca="false">IF(DF$4=0,0,IF(COUNTIFS(実績!$W$6:$W$505,DF$3,実績!$AI$6:$AI$505,"&lt;="&amp;$A273,実績!$AJ$6:$AJ$505,"&gt;"&amp;$A273,実績!$AK$6:$AK$505,"○")&gt;0,1,0))</f>
        <v>0</v>
      </c>
      <c r="DG273" s="39" t="n">
        <f aca="false">IF(DG$4=0,0,IF(COUNTIFS(実績!$W$6:$W$505,DG$3,実績!$AI$6:$AI$505,"&lt;="&amp;$A273,実績!$AJ$6:$AJ$505,"&gt;"&amp;$A273,実績!$AK$6:$AK$505,"○")&gt;0,1,0))</f>
        <v>0</v>
      </c>
      <c r="DH273" s="39" t="n">
        <f aca="false">IF(DH$4=0,0,IF(COUNTIFS(実績!$W$6:$W$505,DH$3,実績!$AI$6:$AI$505,"&lt;="&amp;$A273,実績!$AJ$6:$AJ$505,"&gt;"&amp;$A273,実績!$AK$6:$AK$505,"○")&gt;0,1,0))</f>
        <v>0</v>
      </c>
      <c r="DI273" s="39" t="n">
        <f aca="false">IF(DI$4=0,0,IF(COUNTIFS(実績!$W$6:$W$505,DI$3,実績!$AI$6:$AI$505,"&lt;="&amp;$A273,実績!$AJ$6:$AJ$505,"&gt;"&amp;$A273,実績!$AK$6:$AK$505,"○")&gt;0,1,0))</f>
        <v>0</v>
      </c>
      <c r="DJ273" s="39" t="n">
        <f aca="false">IF(DJ$4=0,0,IF(COUNTIFS(実績!$W$6:$W$505,DJ$3,実績!$AI$6:$AI$505,"&lt;="&amp;$A273,実績!$AJ$6:$AJ$505,"&gt;"&amp;$A273,実績!$AK$6:$AK$505,"○")&gt;0,1,0))</f>
        <v>0</v>
      </c>
      <c r="DK273" s="39" t="n">
        <f aca="false">IF(DK$4=0,0,IF(COUNTIFS(実績!$W$6:$W$505,DK$3,実績!$AI$6:$AI$505,"&lt;="&amp;$A273,実績!$AJ$6:$AJ$505,"&gt;"&amp;$A273,実績!$AK$6:$AK$505,"○")&gt;0,1,0))</f>
        <v>0</v>
      </c>
      <c r="DL273" s="39" t="n">
        <f aca="false">IF(DL$4=0,0,IF(COUNTIFS(実績!$W$6:$W$505,DL$3,実績!$AI$6:$AI$505,"&lt;="&amp;$A273,実績!$AJ$6:$AJ$505,"&gt;"&amp;$A273,実績!$AK$6:$AK$505,"○")&gt;0,1,0))</f>
        <v>0</v>
      </c>
      <c r="DM273" s="39" t="n">
        <f aca="false">IF(DM$4=0,0,IF(COUNTIFS(実績!$W$6:$W$505,DM$3,実績!$AI$6:$AI$505,"&lt;="&amp;$A273,実績!$AJ$6:$AJ$505,"&gt;"&amp;$A273,実績!$AK$6:$AK$505,"○")&gt;0,1,0))</f>
        <v>0</v>
      </c>
      <c r="DN273" s="39" t="n">
        <f aca="false">IF(DN$4=0,0,IF(COUNTIFS(実績!$W$6:$W$505,DN$3,実績!$AI$6:$AI$505,"&lt;="&amp;$A273,実績!$AJ$6:$AJ$505,"&gt;"&amp;$A273,実績!$AK$6:$AK$505,"○")&gt;0,1,0))</f>
        <v>0</v>
      </c>
      <c r="DO273" s="39" t="n">
        <f aca="false">IF(DO$4=0,0,IF(COUNTIFS(実績!$W$6:$W$505,DO$3,実績!$AI$6:$AI$505,"&lt;="&amp;$A273,実績!$AJ$6:$AJ$505,"&gt;"&amp;$A273,実績!$AK$6:$AK$505,"○")&gt;0,1,0))</f>
        <v>0</v>
      </c>
      <c r="DP273" s="39" t="n">
        <f aca="false">IF(DP$4=0,0,IF(COUNTIFS(実績!$W$6:$W$505,DP$3,実績!$AI$6:$AI$505,"&lt;="&amp;$A273,実績!$AJ$6:$AJ$505,"&gt;"&amp;$A273,実績!$AK$6:$AK$505,"○")&gt;0,1,0))</f>
        <v>0</v>
      </c>
      <c r="DQ273" s="39" t="n">
        <f aca="false">IF(DQ$4=0,0,IF(COUNTIFS(実績!$W$6:$W$505,DQ$3,実績!$AI$6:$AI$505,"&lt;="&amp;$A273,実績!$AJ$6:$AJ$505,"&gt;"&amp;$A273,実績!$AK$6:$AK$505,"○")&gt;0,1,0))</f>
        <v>0</v>
      </c>
      <c r="DR273" s="39" t="n">
        <f aca="false">IF(DR$4=0,0,IF(COUNTIFS(実績!$W$6:$W$505,DR$3,実績!$AI$6:$AI$505,"&lt;="&amp;$A273,実績!$AJ$6:$AJ$505,"&gt;"&amp;$A273,実績!$AK$6:$AK$505,"○")&gt;0,1,0))</f>
        <v>0</v>
      </c>
      <c r="DS273" s="39" t="n">
        <f aca="false">SUM(C273:DR273)</f>
        <v>0</v>
      </c>
      <c r="DT273" s="39" t="n">
        <f aca="false">SUMPRODUCT((実績!$C$6:$C$505="○")*ISNUMBER(実績!$AM$6:$AM$505)*(実績!$AM$6:$AM$505&lt;=$A273)*(実績!$AN$6:$AN$505&gt;$A273))</f>
        <v>0</v>
      </c>
      <c r="DU273" s="39" t="n">
        <f aca="false">SUMIF($C$2:$DR$2,"製鉄曳船",C273:DR273)</f>
        <v>0</v>
      </c>
      <c r="DV273" s="39" t="n">
        <f aca="false">SUMIF($C$2:$DR$2,"西日本海運",C273:DR273)</f>
        <v>0</v>
      </c>
    </row>
    <row r="274" customFormat="false" ht="15" hidden="false" customHeight="false" outlineLevel="0" collapsed="false">
      <c r="A274" s="0" t="n">
        <v>1340</v>
      </c>
      <c r="B274" s="38" t="n">
        <f aca="false">A274/1440</f>
        <v>0.930555555555556</v>
      </c>
      <c r="C274" s="39" t="n">
        <f aca="false">IF(C$4=0,0,IF(COUNTIFS(実績!$W$6:$W$505,C$3,実績!$AI$6:$AI$505,"&lt;="&amp;$A274,実績!$AJ$6:$AJ$505,"&gt;"&amp;$A274,実績!$AK$6:$AK$505,"○")&gt;0,1,0))</f>
        <v>0</v>
      </c>
      <c r="D274" s="39" t="n">
        <f aca="false">IF(D$4=0,0,IF(COUNTIFS(実績!$W$6:$W$505,D$3,実績!$AI$6:$AI$505,"&lt;="&amp;$A274,実績!$AJ$6:$AJ$505,"&gt;"&amp;$A274,実績!$AK$6:$AK$505,"○")&gt;0,1,0))</f>
        <v>0</v>
      </c>
      <c r="E274" s="39" t="n">
        <f aca="false">IF(E$4=0,0,IF(COUNTIFS(実績!$W$6:$W$505,E$3,実績!$AI$6:$AI$505,"&lt;="&amp;$A274,実績!$AJ$6:$AJ$505,"&gt;"&amp;$A274,実績!$AK$6:$AK$505,"○")&gt;0,1,0))</f>
        <v>0</v>
      </c>
      <c r="F274" s="39" t="n">
        <f aca="false">IF(F$4=0,0,IF(COUNTIFS(実績!$W$6:$W$505,F$3,実績!$AI$6:$AI$505,"&lt;="&amp;$A274,実績!$AJ$6:$AJ$505,"&gt;"&amp;$A274,実績!$AK$6:$AK$505,"○")&gt;0,1,0))</f>
        <v>0</v>
      </c>
      <c r="G274" s="39" t="n">
        <f aca="false">IF(G$4=0,0,IF(COUNTIFS(実績!$W$6:$W$505,G$3,実績!$AI$6:$AI$505,"&lt;="&amp;$A274,実績!$AJ$6:$AJ$505,"&gt;"&amp;$A274,実績!$AK$6:$AK$505,"○")&gt;0,1,0))</f>
        <v>0</v>
      </c>
      <c r="H274" s="39" t="n">
        <f aca="false">IF(H$4=0,0,IF(COUNTIFS(実績!$W$6:$W$505,H$3,実績!$AI$6:$AI$505,"&lt;="&amp;$A274,実績!$AJ$6:$AJ$505,"&gt;"&amp;$A274,実績!$AK$6:$AK$505,"○")&gt;0,1,0))</f>
        <v>0</v>
      </c>
      <c r="I274" s="39" t="n">
        <f aca="false">IF(I$4=0,0,IF(COUNTIFS(実績!$W$6:$W$505,I$3,実績!$AI$6:$AI$505,"&lt;="&amp;$A274,実績!$AJ$6:$AJ$505,"&gt;"&amp;$A274,実績!$AK$6:$AK$505,"○")&gt;0,1,0))</f>
        <v>0</v>
      </c>
      <c r="J274" s="39" t="n">
        <f aca="false">IF(J$4=0,0,IF(COUNTIFS(実績!$W$6:$W$505,J$3,実績!$AI$6:$AI$505,"&lt;="&amp;$A274,実績!$AJ$6:$AJ$505,"&gt;"&amp;$A274,実績!$AK$6:$AK$505,"○")&gt;0,1,0))</f>
        <v>0</v>
      </c>
      <c r="K274" s="39" t="n">
        <f aca="false">IF(K$4=0,0,IF(COUNTIFS(実績!$W$6:$W$505,K$3,実績!$AI$6:$AI$505,"&lt;="&amp;$A274,実績!$AJ$6:$AJ$505,"&gt;"&amp;$A274,実績!$AK$6:$AK$505,"○")&gt;0,1,0))</f>
        <v>0</v>
      </c>
      <c r="L274" s="39" t="n">
        <f aca="false">IF(L$4=0,0,IF(COUNTIFS(実績!$W$6:$W$505,L$3,実績!$AI$6:$AI$505,"&lt;="&amp;$A274,実績!$AJ$6:$AJ$505,"&gt;"&amp;$A274,実績!$AK$6:$AK$505,"○")&gt;0,1,0))</f>
        <v>0</v>
      </c>
      <c r="M274" s="39" t="n">
        <f aca="false">IF(M$4=0,0,IF(COUNTIFS(実績!$W$6:$W$505,M$3,実績!$AI$6:$AI$505,"&lt;="&amp;$A274,実績!$AJ$6:$AJ$505,"&gt;"&amp;$A274,実績!$AK$6:$AK$505,"○")&gt;0,1,0))</f>
        <v>0</v>
      </c>
      <c r="N274" s="39" t="n">
        <f aca="false">IF(N$4=0,0,IF(COUNTIFS(実績!$W$6:$W$505,N$3,実績!$AI$6:$AI$505,"&lt;="&amp;$A274,実績!$AJ$6:$AJ$505,"&gt;"&amp;$A274,実績!$AK$6:$AK$505,"○")&gt;0,1,0))</f>
        <v>0</v>
      </c>
      <c r="O274" s="39" t="n">
        <f aca="false">IF(O$4=0,0,IF(COUNTIFS(実績!$W$6:$W$505,O$3,実績!$AI$6:$AI$505,"&lt;="&amp;$A274,実績!$AJ$6:$AJ$505,"&gt;"&amp;$A274,実績!$AK$6:$AK$505,"○")&gt;0,1,0))</f>
        <v>0</v>
      </c>
      <c r="P274" s="39" t="n">
        <f aca="false">IF(P$4=0,0,IF(COUNTIFS(実績!$W$6:$W$505,P$3,実績!$AI$6:$AI$505,"&lt;="&amp;$A274,実績!$AJ$6:$AJ$505,"&gt;"&amp;$A274,実績!$AK$6:$AK$505,"○")&gt;0,1,0))</f>
        <v>0</v>
      </c>
      <c r="Q274" s="39" t="n">
        <f aca="false">IF(Q$4=0,0,IF(COUNTIFS(実績!$W$6:$W$505,Q$3,実績!$AI$6:$AI$505,"&lt;="&amp;$A274,実績!$AJ$6:$AJ$505,"&gt;"&amp;$A274,実績!$AK$6:$AK$505,"○")&gt;0,1,0))</f>
        <v>0</v>
      </c>
      <c r="R274" s="39" t="n">
        <f aca="false">IF(R$4=0,0,IF(COUNTIFS(実績!$W$6:$W$505,R$3,実績!$AI$6:$AI$505,"&lt;="&amp;$A274,実績!$AJ$6:$AJ$505,"&gt;"&amp;$A274,実績!$AK$6:$AK$505,"○")&gt;0,1,0))</f>
        <v>0</v>
      </c>
      <c r="S274" s="39" t="n">
        <f aca="false">IF(S$4=0,0,IF(COUNTIFS(実績!$W$6:$W$505,S$3,実績!$AI$6:$AI$505,"&lt;="&amp;$A274,実績!$AJ$6:$AJ$505,"&gt;"&amp;$A274,実績!$AK$6:$AK$505,"○")&gt;0,1,0))</f>
        <v>0</v>
      </c>
      <c r="T274" s="39" t="n">
        <f aca="false">IF(T$4=0,0,IF(COUNTIFS(実績!$W$6:$W$505,T$3,実績!$AI$6:$AI$505,"&lt;="&amp;$A274,実績!$AJ$6:$AJ$505,"&gt;"&amp;$A274,実績!$AK$6:$AK$505,"○")&gt;0,1,0))</f>
        <v>0</v>
      </c>
      <c r="U274" s="39" t="n">
        <f aca="false">IF(U$4=0,0,IF(COUNTIFS(実績!$W$6:$W$505,U$3,実績!$AI$6:$AI$505,"&lt;="&amp;$A274,実績!$AJ$6:$AJ$505,"&gt;"&amp;$A274,実績!$AK$6:$AK$505,"○")&gt;0,1,0))</f>
        <v>0</v>
      </c>
      <c r="V274" s="39" t="n">
        <f aca="false">IF(V$4=0,0,IF(COUNTIFS(実績!$W$6:$W$505,V$3,実績!$AI$6:$AI$505,"&lt;="&amp;$A274,実績!$AJ$6:$AJ$505,"&gt;"&amp;$A274,実績!$AK$6:$AK$505,"○")&gt;0,1,0))</f>
        <v>0</v>
      </c>
      <c r="W274" s="39" t="n">
        <f aca="false">IF(W$4=0,0,IF(COUNTIFS(実績!$W$6:$W$505,W$3,実績!$AI$6:$AI$505,"&lt;="&amp;$A274,実績!$AJ$6:$AJ$505,"&gt;"&amp;$A274,実績!$AK$6:$AK$505,"○")&gt;0,1,0))</f>
        <v>0</v>
      </c>
      <c r="X274" s="39" t="n">
        <f aca="false">IF(X$4=0,0,IF(COUNTIFS(実績!$W$6:$W$505,X$3,実績!$AI$6:$AI$505,"&lt;="&amp;$A274,実績!$AJ$6:$AJ$505,"&gt;"&amp;$A274,実績!$AK$6:$AK$505,"○")&gt;0,1,0))</f>
        <v>0</v>
      </c>
      <c r="Y274" s="39" t="n">
        <f aca="false">IF(Y$4=0,0,IF(COUNTIFS(実績!$W$6:$W$505,Y$3,実績!$AI$6:$AI$505,"&lt;="&amp;$A274,実績!$AJ$6:$AJ$505,"&gt;"&amp;$A274,実績!$AK$6:$AK$505,"○")&gt;0,1,0))</f>
        <v>0</v>
      </c>
      <c r="Z274" s="39" t="n">
        <f aca="false">IF(Z$4=0,0,IF(COUNTIFS(実績!$W$6:$W$505,Z$3,実績!$AI$6:$AI$505,"&lt;="&amp;$A274,実績!$AJ$6:$AJ$505,"&gt;"&amp;$A274,実績!$AK$6:$AK$505,"○")&gt;0,1,0))</f>
        <v>0</v>
      </c>
      <c r="AA274" s="39" t="n">
        <f aca="false">IF(AA$4=0,0,IF(COUNTIFS(実績!$W$6:$W$505,AA$3,実績!$AI$6:$AI$505,"&lt;="&amp;$A274,実績!$AJ$6:$AJ$505,"&gt;"&amp;$A274,実績!$AK$6:$AK$505,"○")&gt;0,1,0))</f>
        <v>0</v>
      </c>
      <c r="AB274" s="39" t="n">
        <f aca="false">IF(AB$4=0,0,IF(COUNTIFS(実績!$W$6:$W$505,AB$3,実績!$AI$6:$AI$505,"&lt;="&amp;$A274,実績!$AJ$6:$AJ$505,"&gt;"&amp;$A274,実績!$AK$6:$AK$505,"○")&gt;0,1,0))</f>
        <v>0</v>
      </c>
      <c r="AC274" s="39" t="n">
        <f aca="false">IF(AC$4=0,0,IF(COUNTIFS(実績!$W$6:$W$505,AC$3,実績!$AI$6:$AI$505,"&lt;="&amp;$A274,実績!$AJ$6:$AJ$505,"&gt;"&amp;$A274,実績!$AK$6:$AK$505,"○")&gt;0,1,0))</f>
        <v>0</v>
      </c>
      <c r="AD274" s="39" t="n">
        <f aca="false">IF(AD$4=0,0,IF(COUNTIFS(実績!$W$6:$W$505,AD$3,実績!$AI$6:$AI$505,"&lt;="&amp;$A274,実績!$AJ$6:$AJ$505,"&gt;"&amp;$A274,実績!$AK$6:$AK$505,"○")&gt;0,1,0))</f>
        <v>0</v>
      </c>
      <c r="AE274" s="39" t="n">
        <f aca="false">IF(AE$4=0,0,IF(COUNTIFS(実績!$W$6:$W$505,AE$3,実績!$AI$6:$AI$505,"&lt;="&amp;$A274,実績!$AJ$6:$AJ$505,"&gt;"&amp;$A274,実績!$AK$6:$AK$505,"○")&gt;0,1,0))</f>
        <v>0</v>
      </c>
      <c r="AF274" s="39" t="n">
        <f aca="false">IF(AF$4=0,0,IF(COUNTIFS(実績!$W$6:$W$505,AF$3,実績!$AI$6:$AI$505,"&lt;="&amp;$A274,実績!$AJ$6:$AJ$505,"&gt;"&amp;$A274,実績!$AK$6:$AK$505,"○")&gt;0,1,0))</f>
        <v>0</v>
      </c>
      <c r="AG274" s="39" t="n">
        <f aca="false">IF(AG$4=0,0,IF(COUNTIFS(実績!$W$6:$W$505,AG$3,実績!$AI$6:$AI$505,"&lt;="&amp;$A274,実績!$AJ$6:$AJ$505,"&gt;"&amp;$A274,実績!$AK$6:$AK$505,"○")&gt;0,1,0))</f>
        <v>0</v>
      </c>
      <c r="AH274" s="39" t="n">
        <f aca="false">IF(AH$4=0,0,IF(COUNTIFS(実績!$W$6:$W$505,AH$3,実績!$AI$6:$AI$505,"&lt;="&amp;$A274,実績!$AJ$6:$AJ$505,"&gt;"&amp;$A274,実績!$AK$6:$AK$505,"○")&gt;0,1,0))</f>
        <v>0</v>
      </c>
      <c r="AI274" s="39" t="n">
        <f aca="false">IF(AI$4=0,0,IF(COUNTIFS(実績!$W$6:$W$505,AI$3,実績!$AI$6:$AI$505,"&lt;="&amp;$A274,実績!$AJ$6:$AJ$505,"&gt;"&amp;$A274,実績!$AK$6:$AK$505,"○")&gt;0,1,0))</f>
        <v>0</v>
      </c>
      <c r="AJ274" s="39" t="n">
        <f aca="false">IF(AJ$4=0,0,IF(COUNTIFS(実績!$W$6:$W$505,AJ$3,実績!$AI$6:$AI$505,"&lt;="&amp;$A274,実績!$AJ$6:$AJ$505,"&gt;"&amp;$A274,実績!$AK$6:$AK$505,"○")&gt;0,1,0))</f>
        <v>0</v>
      </c>
      <c r="AK274" s="39" t="n">
        <f aca="false">IF(AK$4=0,0,IF(COUNTIFS(実績!$W$6:$W$505,AK$3,実績!$AI$6:$AI$505,"&lt;="&amp;$A274,実績!$AJ$6:$AJ$505,"&gt;"&amp;$A274,実績!$AK$6:$AK$505,"○")&gt;0,1,0))</f>
        <v>0</v>
      </c>
      <c r="AL274" s="39" t="n">
        <f aca="false">IF(AL$4=0,0,IF(COUNTIFS(実績!$W$6:$W$505,AL$3,実績!$AI$6:$AI$505,"&lt;="&amp;$A274,実績!$AJ$6:$AJ$505,"&gt;"&amp;$A274,実績!$AK$6:$AK$505,"○")&gt;0,1,0))</f>
        <v>0</v>
      </c>
      <c r="AM274" s="39" t="n">
        <f aca="false">IF(AM$4=0,0,IF(COUNTIFS(実績!$W$6:$W$505,AM$3,実績!$AI$6:$AI$505,"&lt;="&amp;$A274,実績!$AJ$6:$AJ$505,"&gt;"&amp;$A274,実績!$AK$6:$AK$505,"○")&gt;0,1,0))</f>
        <v>0</v>
      </c>
      <c r="AN274" s="39" t="n">
        <f aca="false">IF(AN$4=0,0,IF(COUNTIFS(実績!$W$6:$W$505,AN$3,実績!$AI$6:$AI$505,"&lt;="&amp;$A274,実績!$AJ$6:$AJ$505,"&gt;"&amp;$A274,実績!$AK$6:$AK$505,"○")&gt;0,1,0))</f>
        <v>0</v>
      </c>
      <c r="AO274" s="39" t="n">
        <f aca="false">IF(AO$4=0,0,IF(COUNTIFS(実績!$W$6:$W$505,AO$3,実績!$AI$6:$AI$505,"&lt;="&amp;$A274,実績!$AJ$6:$AJ$505,"&gt;"&amp;$A274,実績!$AK$6:$AK$505,"○")&gt;0,1,0))</f>
        <v>0</v>
      </c>
      <c r="AP274" s="39" t="n">
        <f aca="false">IF(AP$4=0,0,IF(COUNTIFS(実績!$W$6:$W$505,AP$3,実績!$AI$6:$AI$505,"&lt;="&amp;$A274,実績!$AJ$6:$AJ$505,"&gt;"&amp;$A274,実績!$AK$6:$AK$505,"○")&gt;0,1,0))</f>
        <v>0</v>
      </c>
      <c r="AQ274" s="39" t="n">
        <f aca="false">IF(AQ$4=0,0,IF(COUNTIFS(実績!$W$6:$W$505,AQ$3,実績!$AI$6:$AI$505,"&lt;="&amp;$A274,実績!$AJ$6:$AJ$505,"&gt;"&amp;$A274,実績!$AK$6:$AK$505,"○")&gt;0,1,0))</f>
        <v>0</v>
      </c>
      <c r="AR274" s="39" t="n">
        <f aca="false">IF(AR$4=0,0,IF(COUNTIFS(実績!$W$6:$W$505,AR$3,実績!$AI$6:$AI$505,"&lt;="&amp;$A274,実績!$AJ$6:$AJ$505,"&gt;"&amp;$A274,実績!$AK$6:$AK$505,"○")&gt;0,1,0))</f>
        <v>0</v>
      </c>
      <c r="AS274" s="39" t="n">
        <f aca="false">IF(AS$4=0,0,IF(COUNTIFS(実績!$W$6:$W$505,AS$3,実績!$AI$6:$AI$505,"&lt;="&amp;$A274,実績!$AJ$6:$AJ$505,"&gt;"&amp;$A274,実績!$AK$6:$AK$505,"○")&gt;0,1,0))</f>
        <v>0</v>
      </c>
      <c r="AT274" s="39" t="n">
        <f aca="false">IF(AT$4=0,0,IF(COUNTIFS(実績!$W$6:$W$505,AT$3,実績!$AI$6:$AI$505,"&lt;="&amp;$A274,実績!$AJ$6:$AJ$505,"&gt;"&amp;$A274,実績!$AK$6:$AK$505,"○")&gt;0,1,0))</f>
        <v>0</v>
      </c>
      <c r="AU274" s="39" t="n">
        <f aca="false">IF(AU$4=0,0,IF(COUNTIFS(実績!$W$6:$W$505,AU$3,実績!$AI$6:$AI$505,"&lt;="&amp;$A274,実績!$AJ$6:$AJ$505,"&gt;"&amp;$A274,実績!$AK$6:$AK$505,"○")&gt;0,1,0))</f>
        <v>0</v>
      </c>
      <c r="AV274" s="39" t="n">
        <f aca="false">IF(AV$4=0,0,IF(COUNTIFS(実績!$W$6:$W$505,AV$3,実績!$AI$6:$AI$505,"&lt;="&amp;$A274,実績!$AJ$6:$AJ$505,"&gt;"&amp;$A274,実績!$AK$6:$AK$505,"○")&gt;0,1,0))</f>
        <v>0</v>
      </c>
      <c r="AW274" s="39" t="n">
        <f aca="false">IF(AW$4=0,0,IF(COUNTIFS(実績!$W$6:$W$505,AW$3,実績!$AI$6:$AI$505,"&lt;="&amp;$A274,実績!$AJ$6:$AJ$505,"&gt;"&amp;$A274,実績!$AK$6:$AK$505,"○")&gt;0,1,0))</f>
        <v>0</v>
      </c>
      <c r="AX274" s="39" t="n">
        <f aca="false">IF(AX$4=0,0,IF(COUNTIFS(実績!$W$6:$W$505,AX$3,実績!$AI$6:$AI$505,"&lt;="&amp;$A274,実績!$AJ$6:$AJ$505,"&gt;"&amp;$A274,実績!$AK$6:$AK$505,"○")&gt;0,1,0))</f>
        <v>0</v>
      </c>
      <c r="AY274" s="39" t="n">
        <f aca="false">IF(AY$4=0,0,IF(COUNTIFS(実績!$W$6:$W$505,AY$3,実績!$AI$6:$AI$505,"&lt;="&amp;$A274,実績!$AJ$6:$AJ$505,"&gt;"&amp;$A274,実績!$AK$6:$AK$505,"○")&gt;0,1,0))</f>
        <v>0</v>
      </c>
      <c r="AZ274" s="39" t="n">
        <f aca="false">IF(AZ$4=0,0,IF(COUNTIFS(実績!$W$6:$W$505,AZ$3,実績!$AI$6:$AI$505,"&lt;="&amp;$A274,実績!$AJ$6:$AJ$505,"&gt;"&amp;$A274,実績!$AK$6:$AK$505,"○")&gt;0,1,0))</f>
        <v>0</v>
      </c>
      <c r="BA274" s="39" t="n">
        <f aca="false">IF(BA$4=0,0,IF(COUNTIFS(実績!$W$6:$W$505,BA$3,実績!$AI$6:$AI$505,"&lt;="&amp;$A274,実績!$AJ$6:$AJ$505,"&gt;"&amp;$A274,実績!$AK$6:$AK$505,"○")&gt;0,1,0))</f>
        <v>0</v>
      </c>
      <c r="BB274" s="39" t="n">
        <f aca="false">IF(BB$4=0,0,IF(COUNTIFS(実績!$W$6:$W$505,BB$3,実績!$AI$6:$AI$505,"&lt;="&amp;$A274,実績!$AJ$6:$AJ$505,"&gt;"&amp;$A274,実績!$AK$6:$AK$505,"○")&gt;0,1,0))</f>
        <v>0</v>
      </c>
      <c r="BC274" s="39" t="n">
        <f aca="false">IF(BC$4=0,0,IF(COUNTIFS(実績!$W$6:$W$505,BC$3,実績!$AI$6:$AI$505,"&lt;="&amp;$A274,実績!$AJ$6:$AJ$505,"&gt;"&amp;$A274,実績!$AK$6:$AK$505,"○")&gt;0,1,0))</f>
        <v>0</v>
      </c>
      <c r="BD274" s="39" t="n">
        <f aca="false">IF(BD$4=0,0,IF(COUNTIFS(実績!$W$6:$W$505,BD$3,実績!$AI$6:$AI$505,"&lt;="&amp;$A274,実績!$AJ$6:$AJ$505,"&gt;"&amp;$A274,実績!$AK$6:$AK$505,"○")&gt;0,1,0))</f>
        <v>0</v>
      </c>
      <c r="BE274" s="39" t="n">
        <f aca="false">IF(BE$4=0,0,IF(COUNTIFS(実績!$W$6:$W$505,BE$3,実績!$AI$6:$AI$505,"&lt;="&amp;$A274,実績!$AJ$6:$AJ$505,"&gt;"&amp;$A274,実績!$AK$6:$AK$505,"○")&gt;0,1,0))</f>
        <v>0</v>
      </c>
      <c r="BF274" s="39" t="n">
        <f aca="false">IF(BF$4=0,0,IF(COUNTIFS(実績!$W$6:$W$505,BF$3,実績!$AI$6:$AI$505,"&lt;="&amp;$A274,実績!$AJ$6:$AJ$505,"&gt;"&amp;$A274,実績!$AK$6:$AK$505,"○")&gt;0,1,0))</f>
        <v>0</v>
      </c>
      <c r="BG274" s="39" t="n">
        <f aca="false">IF(BG$4=0,0,IF(COUNTIFS(実績!$W$6:$W$505,BG$3,実績!$AI$6:$AI$505,"&lt;="&amp;$A274,実績!$AJ$6:$AJ$505,"&gt;"&amp;$A274,実績!$AK$6:$AK$505,"○")&gt;0,1,0))</f>
        <v>0</v>
      </c>
      <c r="BH274" s="39" t="n">
        <f aca="false">IF(BH$4=0,0,IF(COUNTIFS(実績!$W$6:$W$505,BH$3,実績!$AI$6:$AI$505,"&lt;="&amp;$A274,実績!$AJ$6:$AJ$505,"&gt;"&amp;$A274,実績!$AK$6:$AK$505,"○")&gt;0,1,0))</f>
        <v>0</v>
      </c>
      <c r="BI274" s="39" t="n">
        <f aca="false">IF(BI$4=0,0,IF(COUNTIFS(実績!$W$6:$W$505,BI$3,実績!$AI$6:$AI$505,"&lt;="&amp;$A274,実績!$AJ$6:$AJ$505,"&gt;"&amp;$A274,実績!$AK$6:$AK$505,"○")&gt;0,1,0))</f>
        <v>0</v>
      </c>
      <c r="BJ274" s="39" t="n">
        <f aca="false">IF(BJ$4=0,0,IF(COUNTIFS(実績!$W$6:$W$505,BJ$3,実績!$AI$6:$AI$505,"&lt;="&amp;$A274,実績!$AJ$6:$AJ$505,"&gt;"&amp;$A274,実績!$AK$6:$AK$505,"○")&gt;0,1,0))</f>
        <v>0</v>
      </c>
      <c r="BK274" s="39" t="n">
        <f aca="false">IF(BK$4=0,0,IF(COUNTIFS(実績!$W$6:$W$505,BK$3,実績!$AI$6:$AI$505,"&lt;="&amp;$A274,実績!$AJ$6:$AJ$505,"&gt;"&amp;$A274,実績!$AK$6:$AK$505,"○")&gt;0,1,0))</f>
        <v>0</v>
      </c>
      <c r="BL274" s="39" t="n">
        <f aca="false">IF(BL$4=0,0,IF(COUNTIFS(実績!$W$6:$W$505,BL$3,実績!$AI$6:$AI$505,"&lt;="&amp;$A274,実績!$AJ$6:$AJ$505,"&gt;"&amp;$A274,実績!$AK$6:$AK$505,"○")&gt;0,1,0))</f>
        <v>0</v>
      </c>
      <c r="BM274" s="39" t="n">
        <f aca="false">IF(BM$4=0,0,IF(COUNTIFS(実績!$W$6:$W$505,BM$3,実績!$AI$6:$AI$505,"&lt;="&amp;$A274,実績!$AJ$6:$AJ$505,"&gt;"&amp;$A274,実績!$AK$6:$AK$505,"○")&gt;0,1,0))</f>
        <v>0</v>
      </c>
      <c r="BN274" s="39" t="n">
        <f aca="false">IF(BN$4=0,0,IF(COUNTIFS(実績!$W$6:$W$505,BN$3,実績!$AI$6:$AI$505,"&lt;="&amp;$A274,実績!$AJ$6:$AJ$505,"&gt;"&amp;$A274,実績!$AK$6:$AK$505,"○")&gt;0,1,0))</f>
        <v>0</v>
      </c>
      <c r="BO274" s="39" t="n">
        <f aca="false">IF(BO$4=0,0,IF(COUNTIFS(実績!$W$6:$W$505,BO$3,実績!$AI$6:$AI$505,"&lt;="&amp;$A274,実績!$AJ$6:$AJ$505,"&gt;"&amp;$A274,実績!$AK$6:$AK$505,"○")&gt;0,1,0))</f>
        <v>0</v>
      </c>
      <c r="BP274" s="39" t="n">
        <f aca="false">IF(BP$4=0,0,IF(COUNTIFS(実績!$W$6:$W$505,BP$3,実績!$AI$6:$AI$505,"&lt;="&amp;$A274,実績!$AJ$6:$AJ$505,"&gt;"&amp;$A274,実績!$AK$6:$AK$505,"○")&gt;0,1,0))</f>
        <v>0</v>
      </c>
      <c r="BQ274" s="39" t="n">
        <f aca="false">IF(BQ$4=0,0,IF(COUNTIFS(実績!$W$6:$W$505,BQ$3,実績!$AI$6:$AI$505,"&lt;="&amp;$A274,実績!$AJ$6:$AJ$505,"&gt;"&amp;$A274,実績!$AK$6:$AK$505,"○")&gt;0,1,0))</f>
        <v>0</v>
      </c>
      <c r="BR274" s="39" t="n">
        <f aca="false">IF(BR$4=0,0,IF(COUNTIFS(実績!$W$6:$W$505,BR$3,実績!$AI$6:$AI$505,"&lt;="&amp;$A274,実績!$AJ$6:$AJ$505,"&gt;"&amp;$A274,実績!$AK$6:$AK$505,"○")&gt;0,1,0))</f>
        <v>0</v>
      </c>
      <c r="BS274" s="39" t="n">
        <f aca="false">IF(BS$4=0,0,IF(COUNTIFS(実績!$W$6:$W$505,BS$3,実績!$AI$6:$AI$505,"&lt;="&amp;$A274,実績!$AJ$6:$AJ$505,"&gt;"&amp;$A274,実績!$AK$6:$AK$505,"○")&gt;0,1,0))</f>
        <v>0</v>
      </c>
      <c r="BT274" s="39" t="n">
        <f aca="false">IF(BT$4=0,0,IF(COUNTIFS(実績!$W$6:$W$505,BT$3,実績!$AI$6:$AI$505,"&lt;="&amp;$A274,実績!$AJ$6:$AJ$505,"&gt;"&amp;$A274,実績!$AK$6:$AK$505,"○")&gt;0,1,0))</f>
        <v>0</v>
      </c>
      <c r="BU274" s="39" t="n">
        <f aca="false">IF(BU$4=0,0,IF(COUNTIFS(実績!$W$6:$W$505,BU$3,実績!$AI$6:$AI$505,"&lt;="&amp;$A274,実績!$AJ$6:$AJ$505,"&gt;"&amp;$A274,実績!$AK$6:$AK$505,"○")&gt;0,1,0))</f>
        <v>0</v>
      </c>
      <c r="BV274" s="39" t="n">
        <f aca="false">IF(BV$4=0,0,IF(COUNTIFS(実績!$W$6:$W$505,BV$3,実績!$AI$6:$AI$505,"&lt;="&amp;$A274,実績!$AJ$6:$AJ$505,"&gt;"&amp;$A274,実績!$AK$6:$AK$505,"○")&gt;0,1,0))</f>
        <v>0</v>
      </c>
      <c r="BW274" s="39" t="n">
        <f aca="false">IF(BW$4=0,0,IF(COUNTIFS(実績!$W$6:$W$505,BW$3,実績!$AI$6:$AI$505,"&lt;="&amp;$A274,実績!$AJ$6:$AJ$505,"&gt;"&amp;$A274,実績!$AK$6:$AK$505,"○")&gt;0,1,0))</f>
        <v>0</v>
      </c>
      <c r="BX274" s="39" t="n">
        <f aca="false">IF(BX$4=0,0,IF(COUNTIFS(実績!$W$6:$W$505,BX$3,実績!$AI$6:$AI$505,"&lt;="&amp;$A274,実績!$AJ$6:$AJ$505,"&gt;"&amp;$A274,実績!$AK$6:$AK$505,"○")&gt;0,1,0))</f>
        <v>0</v>
      </c>
      <c r="BY274" s="39" t="n">
        <f aca="false">IF(BY$4=0,0,IF(COUNTIFS(実績!$W$6:$W$505,BY$3,実績!$AI$6:$AI$505,"&lt;="&amp;$A274,実績!$AJ$6:$AJ$505,"&gt;"&amp;$A274,実績!$AK$6:$AK$505,"○")&gt;0,1,0))</f>
        <v>0</v>
      </c>
      <c r="BZ274" s="39" t="n">
        <f aca="false">IF(BZ$4=0,0,IF(COUNTIFS(実績!$W$6:$W$505,BZ$3,実績!$AI$6:$AI$505,"&lt;="&amp;$A274,実績!$AJ$6:$AJ$505,"&gt;"&amp;$A274,実績!$AK$6:$AK$505,"○")&gt;0,1,0))</f>
        <v>0</v>
      </c>
      <c r="CA274" s="39" t="n">
        <f aca="false">IF(CA$4=0,0,IF(COUNTIFS(実績!$W$6:$W$505,CA$3,実績!$AI$6:$AI$505,"&lt;="&amp;$A274,実績!$AJ$6:$AJ$505,"&gt;"&amp;$A274,実績!$AK$6:$AK$505,"○")&gt;0,1,0))</f>
        <v>0</v>
      </c>
      <c r="CB274" s="39" t="n">
        <f aca="false">IF(CB$4=0,0,IF(COUNTIFS(実績!$W$6:$W$505,CB$3,実績!$AI$6:$AI$505,"&lt;="&amp;$A274,実績!$AJ$6:$AJ$505,"&gt;"&amp;$A274,実績!$AK$6:$AK$505,"○")&gt;0,1,0))</f>
        <v>0</v>
      </c>
      <c r="CC274" s="39" t="n">
        <f aca="false">IF(CC$4=0,0,IF(COUNTIFS(実績!$W$6:$W$505,CC$3,実績!$AI$6:$AI$505,"&lt;="&amp;$A274,実績!$AJ$6:$AJ$505,"&gt;"&amp;$A274,実績!$AK$6:$AK$505,"○")&gt;0,1,0))</f>
        <v>0</v>
      </c>
      <c r="CD274" s="39" t="n">
        <f aca="false">IF(CD$4=0,0,IF(COUNTIFS(実績!$W$6:$W$505,CD$3,実績!$AI$6:$AI$505,"&lt;="&amp;$A274,実績!$AJ$6:$AJ$505,"&gt;"&amp;$A274,実績!$AK$6:$AK$505,"○")&gt;0,1,0))</f>
        <v>0</v>
      </c>
      <c r="CE274" s="39" t="n">
        <f aca="false">IF(CE$4=0,0,IF(COUNTIFS(実績!$W$6:$W$505,CE$3,実績!$AI$6:$AI$505,"&lt;="&amp;$A274,実績!$AJ$6:$AJ$505,"&gt;"&amp;$A274,実績!$AK$6:$AK$505,"○")&gt;0,1,0))</f>
        <v>0</v>
      </c>
      <c r="CF274" s="39" t="n">
        <f aca="false">IF(CF$4=0,0,IF(COUNTIFS(実績!$W$6:$W$505,CF$3,実績!$AI$6:$AI$505,"&lt;="&amp;$A274,実績!$AJ$6:$AJ$505,"&gt;"&amp;$A274,実績!$AK$6:$AK$505,"○")&gt;0,1,0))</f>
        <v>0</v>
      </c>
      <c r="CG274" s="39" t="n">
        <f aca="false">IF(CG$4=0,0,IF(COUNTIFS(実績!$W$6:$W$505,CG$3,実績!$AI$6:$AI$505,"&lt;="&amp;$A274,実績!$AJ$6:$AJ$505,"&gt;"&amp;$A274,実績!$AK$6:$AK$505,"○")&gt;0,1,0))</f>
        <v>0</v>
      </c>
      <c r="CH274" s="39" t="n">
        <f aca="false">IF(CH$4=0,0,IF(COUNTIFS(実績!$W$6:$W$505,CH$3,実績!$AI$6:$AI$505,"&lt;="&amp;$A274,実績!$AJ$6:$AJ$505,"&gt;"&amp;$A274,実績!$AK$6:$AK$505,"○")&gt;0,1,0))</f>
        <v>0</v>
      </c>
      <c r="CI274" s="39" t="n">
        <f aca="false">IF(CI$4=0,0,IF(COUNTIFS(実績!$W$6:$W$505,CI$3,実績!$AI$6:$AI$505,"&lt;="&amp;$A274,実績!$AJ$6:$AJ$505,"&gt;"&amp;$A274,実績!$AK$6:$AK$505,"○")&gt;0,1,0))</f>
        <v>0</v>
      </c>
      <c r="CJ274" s="39" t="n">
        <f aca="false">IF(CJ$4=0,0,IF(COUNTIFS(実績!$W$6:$W$505,CJ$3,実績!$AI$6:$AI$505,"&lt;="&amp;$A274,実績!$AJ$6:$AJ$505,"&gt;"&amp;$A274,実績!$AK$6:$AK$505,"○")&gt;0,1,0))</f>
        <v>0</v>
      </c>
      <c r="CK274" s="39" t="n">
        <f aca="false">IF(CK$4=0,0,IF(COUNTIFS(実績!$W$6:$W$505,CK$3,実績!$AI$6:$AI$505,"&lt;="&amp;$A274,実績!$AJ$6:$AJ$505,"&gt;"&amp;$A274,実績!$AK$6:$AK$505,"○")&gt;0,1,0))</f>
        <v>0</v>
      </c>
      <c r="CL274" s="39" t="n">
        <f aca="false">IF(CL$4=0,0,IF(COUNTIFS(実績!$W$6:$W$505,CL$3,実績!$AI$6:$AI$505,"&lt;="&amp;$A274,実績!$AJ$6:$AJ$505,"&gt;"&amp;$A274,実績!$AK$6:$AK$505,"○")&gt;0,1,0))</f>
        <v>0</v>
      </c>
      <c r="CM274" s="39" t="n">
        <f aca="false">IF(CM$4=0,0,IF(COUNTIFS(実績!$W$6:$W$505,CM$3,実績!$AI$6:$AI$505,"&lt;="&amp;$A274,実績!$AJ$6:$AJ$505,"&gt;"&amp;$A274,実績!$AK$6:$AK$505,"○")&gt;0,1,0))</f>
        <v>0</v>
      </c>
      <c r="CN274" s="39" t="n">
        <f aca="false">IF(CN$4=0,0,IF(COUNTIFS(実績!$W$6:$W$505,CN$3,実績!$AI$6:$AI$505,"&lt;="&amp;$A274,実績!$AJ$6:$AJ$505,"&gt;"&amp;$A274,実績!$AK$6:$AK$505,"○")&gt;0,1,0))</f>
        <v>0</v>
      </c>
      <c r="CO274" s="39" t="n">
        <f aca="false">IF(CO$4=0,0,IF(COUNTIFS(実績!$W$6:$W$505,CO$3,実績!$AI$6:$AI$505,"&lt;="&amp;$A274,実績!$AJ$6:$AJ$505,"&gt;"&amp;$A274,実績!$AK$6:$AK$505,"○")&gt;0,1,0))</f>
        <v>0</v>
      </c>
      <c r="CP274" s="39" t="n">
        <f aca="false">IF(CP$4=0,0,IF(COUNTIFS(実績!$W$6:$W$505,CP$3,実績!$AI$6:$AI$505,"&lt;="&amp;$A274,実績!$AJ$6:$AJ$505,"&gt;"&amp;$A274,実績!$AK$6:$AK$505,"○")&gt;0,1,0))</f>
        <v>0</v>
      </c>
      <c r="CQ274" s="39" t="n">
        <f aca="false">IF(CQ$4=0,0,IF(COUNTIFS(実績!$W$6:$W$505,CQ$3,実績!$AI$6:$AI$505,"&lt;="&amp;$A274,実績!$AJ$6:$AJ$505,"&gt;"&amp;$A274,実績!$AK$6:$AK$505,"○")&gt;0,1,0))</f>
        <v>0</v>
      </c>
      <c r="CR274" s="39" t="n">
        <f aca="false">IF(CR$4=0,0,IF(COUNTIFS(実績!$W$6:$W$505,CR$3,実績!$AI$6:$AI$505,"&lt;="&amp;$A274,実績!$AJ$6:$AJ$505,"&gt;"&amp;$A274,実績!$AK$6:$AK$505,"○")&gt;0,1,0))</f>
        <v>0</v>
      </c>
      <c r="CS274" s="39" t="n">
        <f aca="false">IF(CS$4=0,0,IF(COUNTIFS(実績!$W$6:$W$505,CS$3,実績!$AI$6:$AI$505,"&lt;="&amp;$A274,実績!$AJ$6:$AJ$505,"&gt;"&amp;$A274,実績!$AK$6:$AK$505,"○")&gt;0,1,0))</f>
        <v>0</v>
      </c>
      <c r="CT274" s="39" t="n">
        <f aca="false">IF(CT$4=0,0,IF(COUNTIFS(実績!$W$6:$W$505,CT$3,実績!$AI$6:$AI$505,"&lt;="&amp;$A274,実績!$AJ$6:$AJ$505,"&gt;"&amp;$A274,実績!$AK$6:$AK$505,"○")&gt;0,1,0))</f>
        <v>0</v>
      </c>
      <c r="CU274" s="39" t="n">
        <f aca="false">IF(CU$4=0,0,IF(COUNTIFS(実績!$W$6:$W$505,CU$3,実績!$AI$6:$AI$505,"&lt;="&amp;$A274,実績!$AJ$6:$AJ$505,"&gt;"&amp;$A274,実績!$AK$6:$AK$505,"○")&gt;0,1,0))</f>
        <v>0</v>
      </c>
      <c r="CV274" s="39" t="n">
        <f aca="false">IF(CV$4=0,0,IF(COUNTIFS(実績!$W$6:$W$505,CV$3,実績!$AI$6:$AI$505,"&lt;="&amp;$A274,実績!$AJ$6:$AJ$505,"&gt;"&amp;$A274,実績!$AK$6:$AK$505,"○")&gt;0,1,0))</f>
        <v>0</v>
      </c>
      <c r="CW274" s="39" t="n">
        <f aca="false">IF(CW$4=0,0,IF(COUNTIFS(実績!$W$6:$W$505,CW$3,実績!$AI$6:$AI$505,"&lt;="&amp;$A274,実績!$AJ$6:$AJ$505,"&gt;"&amp;$A274,実績!$AK$6:$AK$505,"○")&gt;0,1,0))</f>
        <v>0</v>
      </c>
      <c r="CX274" s="39" t="n">
        <f aca="false">IF(CX$4=0,0,IF(COUNTIFS(実績!$W$6:$W$505,CX$3,実績!$AI$6:$AI$505,"&lt;="&amp;$A274,実績!$AJ$6:$AJ$505,"&gt;"&amp;$A274,実績!$AK$6:$AK$505,"○")&gt;0,1,0))</f>
        <v>0</v>
      </c>
      <c r="CY274" s="39" t="n">
        <f aca="false">IF(CY$4=0,0,IF(COUNTIFS(実績!$W$6:$W$505,CY$3,実績!$AI$6:$AI$505,"&lt;="&amp;$A274,実績!$AJ$6:$AJ$505,"&gt;"&amp;$A274,実績!$AK$6:$AK$505,"○")&gt;0,1,0))</f>
        <v>0</v>
      </c>
      <c r="CZ274" s="39" t="n">
        <f aca="false">IF(CZ$4=0,0,IF(COUNTIFS(実績!$W$6:$W$505,CZ$3,実績!$AI$6:$AI$505,"&lt;="&amp;$A274,実績!$AJ$6:$AJ$505,"&gt;"&amp;$A274,実績!$AK$6:$AK$505,"○")&gt;0,1,0))</f>
        <v>0</v>
      </c>
      <c r="DA274" s="39" t="n">
        <f aca="false">IF(DA$4=0,0,IF(COUNTIFS(実績!$W$6:$W$505,DA$3,実績!$AI$6:$AI$505,"&lt;="&amp;$A274,実績!$AJ$6:$AJ$505,"&gt;"&amp;$A274,実績!$AK$6:$AK$505,"○")&gt;0,1,0))</f>
        <v>0</v>
      </c>
      <c r="DB274" s="39" t="n">
        <f aca="false">IF(DB$4=0,0,IF(COUNTIFS(実績!$W$6:$W$505,DB$3,実績!$AI$6:$AI$505,"&lt;="&amp;$A274,実績!$AJ$6:$AJ$505,"&gt;"&amp;$A274,実績!$AK$6:$AK$505,"○")&gt;0,1,0))</f>
        <v>0</v>
      </c>
      <c r="DC274" s="39" t="n">
        <f aca="false">IF(DC$4=0,0,IF(COUNTIFS(実績!$W$6:$W$505,DC$3,実績!$AI$6:$AI$505,"&lt;="&amp;$A274,実績!$AJ$6:$AJ$505,"&gt;"&amp;$A274,実績!$AK$6:$AK$505,"○")&gt;0,1,0))</f>
        <v>0</v>
      </c>
      <c r="DD274" s="39" t="n">
        <f aca="false">IF(DD$4=0,0,IF(COUNTIFS(実績!$W$6:$W$505,DD$3,実績!$AI$6:$AI$505,"&lt;="&amp;$A274,実績!$AJ$6:$AJ$505,"&gt;"&amp;$A274,実績!$AK$6:$AK$505,"○")&gt;0,1,0))</f>
        <v>0</v>
      </c>
      <c r="DE274" s="39" t="n">
        <f aca="false">IF(DE$4=0,0,IF(COUNTIFS(実績!$W$6:$W$505,DE$3,実績!$AI$6:$AI$505,"&lt;="&amp;$A274,実績!$AJ$6:$AJ$505,"&gt;"&amp;$A274,実績!$AK$6:$AK$505,"○")&gt;0,1,0))</f>
        <v>0</v>
      </c>
      <c r="DF274" s="39" t="n">
        <f aca="false">IF(DF$4=0,0,IF(COUNTIFS(実績!$W$6:$W$505,DF$3,実績!$AI$6:$AI$505,"&lt;="&amp;$A274,実績!$AJ$6:$AJ$505,"&gt;"&amp;$A274,実績!$AK$6:$AK$505,"○")&gt;0,1,0))</f>
        <v>0</v>
      </c>
      <c r="DG274" s="39" t="n">
        <f aca="false">IF(DG$4=0,0,IF(COUNTIFS(実績!$W$6:$W$505,DG$3,実績!$AI$6:$AI$505,"&lt;="&amp;$A274,実績!$AJ$6:$AJ$505,"&gt;"&amp;$A274,実績!$AK$6:$AK$505,"○")&gt;0,1,0))</f>
        <v>0</v>
      </c>
      <c r="DH274" s="39" t="n">
        <f aca="false">IF(DH$4=0,0,IF(COUNTIFS(実績!$W$6:$W$505,DH$3,実績!$AI$6:$AI$505,"&lt;="&amp;$A274,実績!$AJ$6:$AJ$505,"&gt;"&amp;$A274,実績!$AK$6:$AK$505,"○")&gt;0,1,0))</f>
        <v>0</v>
      </c>
      <c r="DI274" s="39" t="n">
        <f aca="false">IF(DI$4=0,0,IF(COUNTIFS(実績!$W$6:$W$505,DI$3,実績!$AI$6:$AI$505,"&lt;="&amp;$A274,実績!$AJ$6:$AJ$505,"&gt;"&amp;$A274,実績!$AK$6:$AK$505,"○")&gt;0,1,0))</f>
        <v>0</v>
      </c>
      <c r="DJ274" s="39" t="n">
        <f aca="false">IF(DJ$4=0,0,IF(COUNTIFS(実績!$W$6:$W$505,DJ$3,実績!$AI$6:$AI$505,"&lt;="&amp;$A274,実績!$AJ$6:$AJ$505,"&gt;"&amp;$A274,実績!$AK$6:$AK$505,"○")&gt;0,1,0))</f>
        <v>0</v>
      </c>
      <c r="DK274" s="39" t="n">
        <f aca="false">IF(DK$4=0,0,IF(COUNTIFS(実績!$W$6:$W$505,DK$3,実績!$AI$6:$AI$505,"&lt;="&amp;$A274,実績!$AJ$6:$AJ$505,"&gt;"&amp;$A274,実績!$AK$6:$AK$505,"○")&gt;0,1,0))</f>
        <v>0</v>
      </c>
      <c r="DL274" s="39" t="n">
        <f aca="false">IF(DL$4=0,0,IF(COUNTIFS(実績!$W$6:$W$505,DL$3,実績!$AI$6:$AI$505,"&lt;="&amp;$A274,実績!$AJ$6:$AJ$505,"&gt;"&amp;$A274,実績!$AK$6:$AK$505,"○")&gt;0,1,0))</f>
        <v>0</v>
      </c>
      <c r="DM274" s="39" t="n">
        <f aca="false">IF(DM$4=0,0,IF(COUNTIFS(実績!$W$6:$W$505,DM$3,実績!$AI$6:$AI$505,"&lt;="&amp;$A274,実績!$AJ$6:$AJ$505,"&gt;"&amp;$A274,実績!$AK$6:$AK$505,"○")&gt;0,1,0))</f>
        <v>0</v>
      </c>
      <c r="DN274" s="39" t="n">
        <f aca="false">IF(DN$4=0,0,IF(COUNTIFS(実績!$W$6:$W$505,DN$3,実績!$AI$6:$AI$505,"&lt;="&amp;$A274,実績!$AJ$6:$AJ$505,"&gt;"&amp;$A274,実績!$AK$6:$AK$505,"○")&gt;0,1,0))</f>
        <v>0</v>
      </c>
      <c r="DO274" s="39" t="n">
        <f aca="false">IF(DO$4=0,0,IF(COUNTIFS(実績!$W$6:$W$505,DO$3,実績!$AI$6:$AI$505,"&lt;="&amp;$A274,実績!$AJ$6:$AJ$505,"&gt;"&amp;$A274,実績!$AK$6:$AK$505,"○")&gt;0,1,0))</f>
        <v>0</v>
      </c>
      <c r="DP274" s="39" t="n">
        <f aca="false">IF(DP$4=0,0,IF(COUNTIFS(実績!$W$6:$W$505,DP$3,実績!$AI$6:$AI$505,"&lt;="&amp;$A274,実績!$AJ$6:$AJ$505,"&gt;"&amp;$A274,実績!$AK$6:$AK$505,"○")&gt;0,1,0))</f>
        <v>0</v>
      </c>
      <c r="DQ274" s="39" t="n">
        <f aca="false">IF(DQ$4=0,0,IF(COUNTIFS(実績!$W$6:$W$505,DQ$3,実績!$AI$6:$AI$505,"&lt;="&amp;$A274,実績!$AJ$6:$AJ$505,"&gt;"&amp;$A274,実績!$AK$6:$AK$505,"○")&gt;0,1,0))</f>
        <v>0</v>
      </c>
      <c r="DR274" s="39" t="n">
        <f aca="false">IF(DR$4=0,0,IF(COUNTIFS(実績!$W$6:$W$505,DR$3,実績!$AI$6:$AI$505,"&lt;="&amp;$A274,実績!$AJ$6:$AJ$505,"&gt;"&amp;$A274,実績!$AK$6:$AK$505,"○")&gt;0,1,0))</f>
        <v>0</v>
      </c>
      <c r="DS274" s="39" t="n">
        <f aca="false">SUM(C274:DR274)</f>
        <v>0</v>
      </c>
      <c r="DT274" s="39" t="n">
        <f aca="false">SUMPRODUCT((実績!$C$6:$C$505="○")*ISNUMBER(実績!$AM$6:$AM$505)*(実績!$AM$6:$AM$505&lt;=$A274)*(実績!$AN$6:$AN$505&gt;$A274))</f>
        <v>0</v>
      </c>
      <c r="DU274" s="39" t="n">
        <f aca="false">SUMIF($C$2:$DR$2,"製鉄曳船",C274:DR274)</f>
        <v>0</v>
      </c>
      <c r="DV274" s="39" t="n">
        <f aca="false">SUMIF($C$2:$DR$2,"西日本海運",C274:DR274)</f>
        <v>0</v>
      </c>
    </row>
    <row r="275" customFormat="false" ht="15" hidden="false" customHeight="false" outlineLevel="0" collapsed="false">
      <c r="A275" s="0" t="n">
        <v>1345</v>
      </c>
      <c r="B275" s="38" t="n">
        <f aca="false">A275/1440</f>
        <v>0.934027777777778</v>
      </c>
      <c r="C275" s="39" t="n">
        <f aca="false">IF(C$4=0,0,IF(COUNTIFS(実績!$W$6:$W$505,C$3,実績!$AI$6:$AI$505,"&lt;="&amp;$A275,実績!$AJ$6:$AJ$505,"&gt;"&amp;$A275,実績!$AK$6:$AK$505,"○")&gt;0,1,0))</f>
        <v>0</v>
      </c>
      <c r="D275" s="39" t="n">
        <f aca="false">IF(D$4=0,0,IF(COUNTIFS(実績!$W$6:$W$505,D$3,実績!$AI$6:$AI$505,"&lt;="&amp;$A275,実績!$AJ$6:$AJ$505,"&gt;"&amp;$A275,実績!$AK$6:$AK$505,"○")&gt;0,1,0))</f>
        <v>0</v>
      </c>
      <c r="E275" s="39" t="n">
        <f aca="false">IF(E$4=0,0,IF(COUNTIFS(実績!$W$6:$W$505,E$3,実績!$AI$6:$AI$505,"&lt;="&amp;$A275,実績!$AJ$6:$AJ$505,"&gt;"&amp;$A275,実績!$AK$6:$AK$505,"○")&gt;0,1,0))</f>
        <v>0</v>
      </c>
      <c r="F275" s="39" t="n">
        <f aca="false">IF(F$4=0,0,IF(COUNTIFS(実績!$W$6:$W$505,F$3,実績!$AI$6:$AI$505,"&lt;="&amp;$A275,実績!$AJ$6:$AJ$505,"&gt;"&amp;$A275,実績!$AK$6:$AK$505,"○")&gt;0,1,0))</f>
        <v>0</v>
      </c>
      <c r="G275" s="39" t="n">
        <f aca="false">IF(G$4=0,0,IF(COUNTIFS(実績!$W$6:$W$505,G$3,実績!$AI$6:$AI$505,"&lt;="&amp;$A275,実績!$AJ$6:$AJ$505,"&gt;"&amp;$A275,実績!$AK$6:$AK$505,"○")&gt;0,1,0))</f>
        <v>0</v>
      </c>
      <c r="H275" s="39" t="n">
        <f aca="false">IF(H$4=0,0,IF(COUNTIFS(実績!$W$6:$W$505,H$3,実績!$AI$6:$AI$505,"&lt;="&amp;$A275,実績!$AJ$6:$AJ$505,"&gt;"&amp;$A275,実績!$AK$6:$AK$505,"○")&gt;0,1,0))</f>
        <v>0</v>
      </c>
      <c r="I275" s="39" t="n">
        <f aca="false">IF(I$4=0,0,IF(COUNTIFS(実績!$W$6:$W$505,I$3,実績!$AI$6:$AI$505,"&lt;="&amp;$A275,実績!$AJ$6:$AJ$505,"&gt;"&amp;$A275,実績!$AK$6:$AK$505,"○")&gt;0,1,0))</f>
        <v>0</v>
      </c>
      <c r="J275" s="39" t="n">
        <f aca="false">IF(J$4=0,0,IF(COUNTIFS(実績!$W$6:$W$505,J$3,実績!$AI$6:$AI$505,"&lt;="&amp;$A275,実績!$AJ$6:$AJ$505,"&gt;"&amp;$A275,実績!$AK$6:$AK$505,"○")&gt;0,1,0))</f>
        <v>0</v>
      </c>
      <c r="K275" s="39" t="n">
        <f aca="false">IF(K$4=0,0,IF(COUNTIFS(実績!$W$6:$W$505,K$3,実績!$AI$6:$AI$505,"&lt;="&amp;$A275,実績!$AJ$6:$AJ$505,"&gt;"&amp;$A275,実績!$AK$6:$AK$505,"○")&gt;0,1,0))</f>
        <v>0</v>
      </c>
      <c r="L275" s="39" t="n">
        <f aca="false">IF(L$4=0,0,IF(COUNTIFS(実績!$W$6:$W$505,L$3,実績!$AI$6:$AI$505,"&lt;="&amp;$A275,実績!$AJ$6:$AJ$505,"&gt;"&amp;$A275,実績!$AK$6:$AK$505,"○")&gt;0,1,0))</f>
        <v>0</v>
      </c>
      <c r="M275" s="39" t="n">
        <f aca="false">IF(M$4=0,0,IF(COUNTIFS(実績!$W$6:$W$505,M$3,実績!$AI$6:$AI$505,"&lt;="&amp;$A275,実績!$AJ$6:$AJ$505,"&gt;"&amp;$A275,実績!$AK$6:$AK$505,"○")&gt;0,1,0))</f>
        <v>0</v>
      </c>
      <c r="N275" s="39" t="n">
        <f aca="false">IF(N$4=0,0,IF(COUNTIFS(実績!$W$6:$W$505,N$3,実績!$AI$6:$AI$505,"&lt;="&amp;$A275,実績!$AJ$6:$AJ$505,"&gt;"&amp;$A275,実績!$AK$6:$AK$505,"○")&gt;0,1,0))</f>
        <v>0</v>
      </c>
      <c r="O275" s="39" t="n">
        <f aca="false">IF(O$4=0,0,IF(COUNTIFS(実績!$W$6:$W$505,O$3,実績!$AI$6:$AI$505,"&lt;="&amp;$A275,実績!$AJ$6:$AJ$505,"&gt;"&amp;$A275,実績!$AK$6:$AK$505,"○")&gt;0,1,0))</f>
        <v>0</v>
      </c>
      <c r="P275" s="39" t="n">
        <f aca="false">IF(P$4=0,0,IF(COUNTIFS(実績!$W$6:$W$505,P$3,実績!$AI$6:$AI$505,"&lt;="&amp;$A275,実績!$AJ$6:$AJ$505,"&gt;"&amp;$A275,実績!$AK$6:$AK$505,"○")&gt;0,1,0))</f>
        <v>0</v>
      </c>
      <c r="Q275" s="39" t="n">
        <f aca="false">IF(Q$4=0,0,IF(COUNTIFS(実績!$W$6:$W$505,Q$3,実績!$AI$6:$AI$505,"&lt;="&amp;$A275,実績!$AJ$6:$AJ$505,"&gt;"&amp;$A275,実績!$AK$6:$AK$505,"○")&gt;0,1,0))</f>
        <v>0</v>
      </c>
      <c r="R275" s="39" t="n">
        <f aca="false">IF(R$4=0,0,IF(COUNTIFS(実績!$W$6:$W$505,R$3,実績!$AI$6:$AI$505,"&lt;="&amp;$A275,実績!$AJ$6:$AJ$505,"&gt;"&amp;$A275,実績!$AK$6:$AK$505,"○")&gt;0,1,0))</f>
        <v>0</v>
      </c>
      <c r="S275" s="39" t="n">
        <f aca="false">IF(S$4=0,0,IF(COUNTIFS(実績!$W$6:$W$505,S$3,実績!$AI$6:$AI$505,"&lt;="&amp;$A275,実績!$AJ$6:$AJ$505,"&gt;"&amp;$A275,実績!$AK$6:$AK$505,"○")&gt;0,1,0))</f>
        <v>0</v>
      </c>
      <c r="T275" s="39" t="n">
        <f aca="false">IF(T$4=0,0,IF(COUNTIFS(実績!$W$6:$W$505,T$3,実績!$AI$6:$AI$505,"&lt;="&amp;$A275,実績!$AJ$6:$AJ$505,"&gt;"&amp;$A275,実績!$AK$6:$AK$505,"○")&gt;0,1,0))</f>
        <v>0</v>
      </c>
      <c r="U275" s="39" t="n">
        <f aca="false">IF(U$4=0,0,IF(COUNTIFS(実績!$W$6:$W$505,U$3,実績!$AI$6:$AI$505,"&lt;="&amp;$A275,実績!$AJ$6:$AJ$505,"&gt;"&amp;$A275,実績!$AK$6:$AK$505,"○")&gt;0,1,0))</f>
        <v>0</v>
      </c>
      <c r="V275" s="39" t="n">
        <f aca="false">IF(V$4=0,0,IF(COUNTIFS(実績!$W$6:$W$505,V$3,実績!$AI$6:$AI$505,"&lt;="&amp;$A275,実績!$AJ$6:$AJ$505,"&gt;"&amp;$A275,実績!$AK$6:$AK$505,"○")&gt;0,1,0))</f>
        <v>0</v>
      </c>
      <c r="W275" s="39" t="n">
        <f aca="false">IF(W$4=0,0,IF(COUNTIFS(実績!$W$6:$W$505,W$3,実績!$AI$6:$AI$505,"&lt;="&amp;$A275,実績!$AJ$6:$AJ$505,"&gt;"&amp;$A275,実績!$AK$6:$AK$505,"○")&gt;0,1,0))</f>
        <v>0</v>
      </c>
      <c r="X275" s="39" t="n">
        <f aca="false">IF(X$4=0,0,IF(COUNTIFS(実績!$W$6:$W$505,X$3,実績!$AI$6:$AI$505,"&lt;="&amp;$A275,実績!$AJ$6:$AJ$505,"&gt;"&amp;$A275,実績!$AK$6:$AK$505,"○")&gt;0,1,0))</f>
        <v>0</v>
      </c>
      <c r="Y275" s="39" t="n">
        <f aca="false">IF(Y$4=0,0,IF(COUNTIFS(実績!$W$6:$W$505,Y$3,実績!$AI$6:$AI$505,"&lt;="&amp;$A275,実績!$AJ$6:$AJ$505,"&gt;"&amp;$A275,実績!$AK$6:$AK$505,"○")&gt;0,1,0))</f>
        <v>0</v>
      </c>
      <c r="Z275" s="39" t="n">
        <f aca="false">IF(Z$4=0,0,IF(COUNTIFS(実績!$W$6:$W$505,Z$3,実績!$AI$6:$AI$505,"&lt;="&amp;$A275,実績!$AJ$6:$AJ$505,"&gt;"&amp;$A275,実績!$AK$6:$AK$505,"○")&gt;0,1,0))</f>
        <v>0</v>
      </c>
      <c r="AA275" s="39" t="n">
        <f aca="false">IF(AA$4=0,0,IF(COUNTIFS(実績!$W$6:$W$505,AA$3,実績!$AI$6:$AI$505,"&lt;="&amp;$A275,実績!$AJ$6:$AJ$505,"&gt;"&amp;$A275,実績!$AK$6:$AK$505,"○")&gt;0,1,0))</f>
        <v>0</v>
      </c>
      <c r="AB275" s="39" t="n">
        <f aca="false">IF(AB$4=0,0,IF(COUNTIFS(実績!$W$6:$W$505,AB$3,実績!$AI$6:$AI$505,"&lt;="&amp;$A275,実績!$AJ$6:$AJ$505,"&gt;"&amp;$A275,実績!$AK$6:$AK$505,"○")&gt;0,1,0))</f>
        <v>0</v>
      </c>
      <c r="AC275" s="39" t="n">
        <f aca="false">IF(AC$4=0,0,IF(COUNTIFS(実績!$W$6:$W$505,AC$3,実績!$AI$6:$AI$505,"&lt;="&amp;$A275,実績!$AJ$6:$AJ$505,"&gt;"&amp;$A275,実績!$AK$6:$AK$505,"○")&gt;0,1,0))</f>
        <v>0</v>
      </c>
      <c r="AD275" s="39" t="n">
        <f aca="false">IF(AD$4=0,0,IF(COUNTIFS(実績!$W$6:$W$505,AD$3,実績!$AI$6:$AI$505,"&lt;="&amp;$A275,実績!$AJ$6:$AJ$505,"&gt;"&amp;$A275,実績!$AK$6:$AK$505,"○")&gt;0,1,0))</f>
        <v>0</v>
      </c>
      <c r="AE275" s="39" t="n">
        <f aca="false">IF(AE$4=0,0,IF(COUNTIFS(実績!$W$6:$W$505,AE$3,実績!$AI$6:$AI$505,"&lt;="&amp;$A275,実績!$AJ$6:$AJ$505,"&gt;"&amp;$A275,実績!$AK$6:$AK$505,"○")&gt;0,1,0))</f>
        <v>0</v>
      </c>
      <c r="AF275" s="39" t="n">
        <f aca="false">IF(AF$4=0,0,IF(COUNTIFS(実績!$W$6:$W$505,AF$3,実績!$AI$6:$AI$505,"&lt;="&amp;$A275,実績!$AJ$6:$AJ$505,"&gt;"&amp;$A275,実績!$AK$6:$AK$505,"○")&gt;0,1,0))</f>
        <v>0</v>
      </c>
      <c r="AG275" s="39" t="n">
        <f aca="false">IF(AG$4=0,0,IF(COUNTIFS(実績!$W$6:$W$505,AG$3,実績!$AI$6:$AI$505,"&lt;="&amp;$A275,実績!$AJ$6:$AJ$505,"&gt;"&amp;$A275,実績!$AK$6:$AK$505,"○")&gt;0,1,0))</f>
        <v>0</v>
      </c>
      <c r="AH275" s="39" t="n">
        <f aca="false">IF(AH$4=0,0,IF(COUNTIFS(実績!$W$6:$W$505,AH$3,実績!$AI$6:$AI$505,"&lt;="&amp;$A275,実績!$AJ$6:$AJ$505,"&gt;"&amp;$A275,実績!$AK$6:$AK$505,"○")&gt;0,1,0))</f>
        <v>0</v>
      </c>
      <c r="AI275" s="39" t="n">
        <f aca="false">IF(AI$4=0,0,IF(COUNTIFS(実績!$W$6:$W$505,AI$3,実績!$AI$6:$AI$505,"&lt;="&amp;$A275,実績!$AJ$6:$AJ$505,"&gt;"&amp;$A275,実績!$AK$6:$AK$505,"○")&gt;0,1,0))</f>
        <v>0</v>
      </c>
      <c r="AJ275" s="39" t="n">
        <f aca="false">IF(AJ$4=0,0,IF(COUNTIFS(実績!$W$6:$W$505,AJ$3,実績!$AI$6:$AI$505,"&lt;="&amp;$A275,実績!$AJ$6:$AJ$505,"&gt;"&amp;$A275,実績!$AK$6:$AK$505,"○")&gt;0,1,0))</f>
        <v>0</v>
      </c>
      <c r="AK275" s="39" t="n">
        <f aca="false">IF(AK$4=0,0,IF(COUNTIFS(実績!$W$6:$W$505,AK$3,実績!$AI$6:$AI$505,"&lt;="&amp;$A275,実績!$AJ$6:$AJ$505,"&gt;"&amp;$A275,実績!$AK$6:$AK$505,"○")&gt;0,1,0))</f>
        <v>0</v>
      </c>
      <c r="AL275" s="39" t="n">
        <f aca="false">IF(AL$4=0,0,IF(COUNTIFS(実績!$W$6:$W$505,AL$3,実績!$AI$6:$AI$505,"&lt;="&amp;$A275,実績!$AJ$6:$AJ$505,"&gt;"&amp;$A275,実績!$AK$6:$AK$505,"○")&gt;0,1,0))</f>
        <v>0</v>
      </c>
      <c r="AM275" s="39" t="n">
        <f aca="false">IF(AM$4=0,0,IF(COUNTIFS(実績!$W$6:$W$505,AM$3,実績!$AI$6:$AI$505,"&lt;="&amp;$A275,実績!$AJ$6:$AJ$505,"&gt;"&amp;$A275,実績!$AK$6:$AK$505,"○")&gt;0,1,0))</f>
        <v>0</v>
      </c>
      <c r="AN275" s="39" t="n">
        <f aca="false">IF(AN$4=0,0,IF(COUNTIFS(実績!$W$6:$W$505,AN$3,実績!$AI$6:$AI$505,"&lt;="&amp;$A275,実績!$AJ$6:$AJ$505,"&gt;"&amp;$A275,実績!$AK$6:$AK$505,"○")&gt;0,1,0))</f>
        <v>0</v>
      </c>
      <c r="AO275" s="39" t="n">
        <f aca="false">IF(AO$4=0,0,IF(COUNTIFS(実績!$W$6:$W$505,AO$3,実績!$AI$6:$AI$505,"&lt;="&amp;$A275,実績!$AJ$6:$AJ$505,"&gt;"&amp;$A275,実績!$AK$6:$AK$505,"○")&gt;0,1,0))</f>
        <v>0</v>
      </c>
      <c r="AP275" s="39" t="n">
        <f aca="false">IF(AP$4=0,0,IF(COUNTIFS(実績!$W$6:$W$505,AP$3,実績!$AI$6:$AI$505,"&lt;="&amp;$A275,実績!$AJ$6:$AJ$505,"&gt;"&amp;$A275,実績!$AK$6:$AK$505,"○")&gt;0,1,0))</f>
        <v>0</v>
      </c>
      <c r="AQ275" s="39" t="n">
        <f aca="false">IF(AQ$4=0,0,IF(COUNTIFS(実績!$W$6:$W$505,AQ$3,実績!$AI$6:$AI$505,"&lt;="&amp;$A275,実績!$AJ$6:$AJ$505,"&gt;"&amp;$A275,実績!$AK$6:$AK$505,"○")&gt;0,1,0))</f>
        <v>0</v>
      </c>
      <c r="AR275" s="39" t="n">
        <f aca="false">IF(AR$4=0,0,IF(COUNTIFS(実績!$W$6:$W$505,AR$3,実績!$AI$6:$AI$505,"&lt;="&amp;$A275,実績!$AJ$6:$AJ$505,"&gt;"&amp;$A275,実績!$AK$6:$AK$505,"○")&gt;0,1,0))</f>
        <v>0</v>
      </c>
      <c r="AS275" s="39" t="n">
        <f aca="false">IF(AS$4=0,0,IF(COUNTIFS(実績!$W$6:$W$505,AS$3,実績!$AI$6:$AI$505,"&lt;="&amp;$A275,実績!$AJ$6:$AJ$505,"&gt;"&amp;$A275,実績!$AK$6:$AK$505,"○")&gt;0,1,0))</f>
        <v>0</v>
      </c>
      <c r="AT275" s="39" t="n">
        <f aca="false">IF(AT$4=0,0,IF(COUNTIFS(実績!$W$6:$W$505,AT$3,実績!$AI$6:$AI$505,"&lt;="&amp;$A275,実績!$AJ$6:$AJ$505,"&gt;"&amp;$A275,実績!$AK$6:$AK$505,"○")&gt;0,1,0))</f>
        <v>0</v>
      </c>
      <c r="AU275" s="39" t="n">
        <f aca="false">IF(AU$4=0,0,IF(COUNTIFS(実績!$W$6:$W$505,AU$3,実績!$AI$6:$AI$505,"&lt;="&amp;$A275,実績!$AJ$6:$AJ$505,"&gt;"&amp;$A275,実績!$AK$6:$AK$505,"○")&gt;0,1,0))</f>
        <v>0</v>
      </c>
      <c r="AV275" s="39" t="n">
        <f aca="false">IF(AV$4=0,0,IF(COUNTIFS(実績!$W$6:$W$505,AV$3,実績!$AI$6:$AI$505,"&lt;="&amp;$A275,実績!$AJ$6:$AJ$505,"&gt;"&amp;$A275,実績!$AK$6:$AK$505,"○")&gt;0,1,0))</f>
        <v>0</v>
      </c>
      <c r="AW275" s="39" t="n">
        <f aca="false">IF(AW$4=0,0,IF(COUNTIFS(実績!$W$6:$W$505,AW$3,実績!$AI$6:$AI$505,"&lt;="&amp;$A275,実績!$AJ$6:$AJ$505,"&gt;"&amp;$A275,実績!$AK$6:$AK$505,"○")&gt;0,1,0))</f>
        <v>0</v>
      </c>
      <c r="AX275" s="39" t="n">
        <f aca="false">IF(AX$4=0,0,IF(COUNTIFS(実績!$W$6:$W$505,AX$3,実績!$AI$6:$AI$505,"&lt;="&amp;$A275,実績!$AJ$6:$AJ$505,"&gt;"&amp;$A275,実績!$AK$6:$AK$505,"○")&gt;0,1,0))</f>
        <v>0</v>
      </c>
      <c r="AY275" s="39" t="n">
        <f aca="false">IF(AY$4=0,0,IF(COUNTIFS(実績!$W$6:$W$505,AY$3,実績!$AI$6:$AI$505,"&lt;="&amp;$A275,実績!$AJ$6:$AJ$505,"&gt;"&amp;$A275,実績!$AK$6:$AK$505,"○")&gt;0,1,0))</f>
        <v>0</v>
      </c>
      <c r="AZ275" s="39" t="n">
        <f aca="false">IF(AZ$4=0,0,IF(COUNTIFS(実績!$W$6:$W$505,AZ$3,実績!$AI$6:$AI$505,"&lt;="&amp;$A275,実績!$AJ$6:$AJ$505,"&gt;"&amp;$A275,実績!$AK$6:$AK$505,"○")&gt;0,1,0))</f>
        <v>0</v>
      </c>
      <c r="BA275" s="39" t="n">
        <f aca="false">IF(BA$4=0,0,IF(COUNTIFS(実績!$W$6:$W$505,BA$3,実績!$AI$6:$AI$505,"&lt;="&amp;$A275,実績!$AJ$6:$AJ$505,"&gt;"&amp;$A275,実績!$AK$6:$AK$505,"○")&gt;0,1,0))</f>
        <v>0</v>
      </c>
      <c r="BB275" s="39" t="n">
        <f aca="false">IF(BB$4=0,0,IF(COUNTIFS(実績!$W$6:$W$505,BB$3,実績!$AI$6:$AI$505,"&lt;="&amp;$A275,実績!$AJ$6:$AJ$505,"&gt;"&amp;$A275,実績!$AK$6:$AK$505,"○")&gt;0,1,0))</f>
        <v>0</v>
      </c>
      <c r="BC275" s="39" t="n">
        <f aca="false">IF(BC$4=0,0,IF(COUNTIFS(実績!$W$6:$W$505,BC$3,実績!$AI$6:$AI$505,"&lt;="&amp;$A275,実績!$AJ$6:$AJ$505,"&gt;"&amp;$A275,実績!$AK$6:$AK$505,"○")&gt;0,1,0))</f>
        <v>0</v>
      </c>
      <c r="BD275" s="39" t="n">
        <f aca="false">IF(BD$4=0,0,IF(COUNTIFS(実績!$W$6:$W$505,BD$3,実績!$AI$6:$AI$505,"&lt;="&amp;$A275,実績!$AJ$6:$AJ$505,"&gt;"&amp;$A275,実績!$AK$6:$AK$505,"○")&gt;0,1,0))</f>
        <v>0</v>
      </c>
      <c r="BE275" s="39" t="n">
        <f aca="false">IF(BE$4=0,0,IF(COUNTIFS(実績!$W$6:$W$505,BE$3,実績!$AI$6:$AI$505,"&lt;="&amp;$A275,実績!$AJ$6:$AJ$505,"&gt;"&amp;$A275,実績!$AK$6:$AK$505,"○")&gt;0,1,0))</f>
        <v>0</v>
      </c>
      <c r="BF275" s="39" t="n">
        <f aca="false">IF(BF$4=0,0,IF(COUNTIFS(実績!$W$6:$W$505,BF$3,実績!$AI$6:$AI$505,"&lt;="&amp;$A275,実績!$AJ$6:$AJ$505,"&gt;"&amp;$A275,実績!$AK$6:$AK$505,"○")&gt;0,1,0))</f>
        <v>0</v>
      </c>
      <c r="BG275" s="39" t="n">
        <f aca="false">IF(BG$4=0,0,IF(COUNTIFS(実績!$W$6:$W$505,BG$3,実績!$AI$6:$AI$505,"&lt;="&amp;$A275,実績!$AJ$6:$AJ$505,"&gt;"&amp;$A275,実績!$AK$6:$AK$505,"○")&gt;0,1,0))</f>
        <v>0</v>
      </c>
      <c r="BH275" s="39" t="n">
        <f aca="false">IF(BH$4=0,0,IF(COUNTIFS(実績!$W$6:$W$505,BH$3,実績!$AI$6:$AI$505,"&lt;="&amp;$A275,実績!$AJ$6:$AJ$505,"&gt;"&amp;$A275,実績!$AK$6:$AK$505,"○")&gt;0,1,0))</f>
        <v>0</v>
      </c>
      <c r="BI275" s="39" t="n">
        <f aca="false">IF(BI$4=0,0,IF(COUNTIFS(実績!$W$6:$W$505,BI$3,実績!$AI$6:$AI$505,"&lt;="&amp;$A275,実績!$AJ$6:$AJ$505,"&gt;"&amp;$A275,実績!$AK$6:$AK$505,"○")&gt;0,1,0))</f>
        <v>0</v>
      </c>
      <c r="BJ275" s="39" t="n">
        <f aca="false">IF(BJ$4=0,0,IF(COUNTIFS(実績!$W$6:$W$505,BJ$3,実績!$AI$6:$AI$505,"&lt;="&amp;$A275,実績!$AJ$6:$AJ$505,"&gt;"&amp;$A275,実績!$AK$6:$AK$505,"○")&gt;0,1,0))</f>
        <v>0</v>
      </c>
      <c r="BK275" s="39" t="n">
        <f aca="false">IF(BK$4=0,0,IF(COUNTIFS(実績!$W$6:$W$505,BK$3,実績!$AI$6:$AI$505,"&lt;="&amp;$A275,実績!$AJ$6:$AJ$505,"&gt;"&amp;$A275,実績!$AK$6:$AK$505,"○")&gt;0,1,0))</f>
        <v>0</v>
      </c>
      <c r="BL275" s="39" t="n">
        <f aca="false">IF(BL$4=0,0,IF(COUNTIFS(実績!$W$6:$W$505,BL$3,実績!$AI$6:$AI$505,"&lt;="&amp;$A275,実績!$AJ$6:$AJ$505,"&gt;"&amp;$A275,実績!$AK$6:$AK$505,"○")&gt;0,1,0))</f>
        <v>0</v>
      </c>
      <c r="BM275" s="39" t="n">
        <f aca="false">IF(BM$4=0,0,IF(COUNTIFS(実績!$W$6:$W$505,BM$3,実績!$AI$6:$AI$505,"&lt;="&amp;$A275,実績!$AJ$6:$AJ$505,"&gt;"&amp;$A275,実績!$AK$6:$AK$505,"○")&gt;0,1,0))</f>
        <v>0</v>
      </c>
      <c r="BN275" s="39" t="n">
        <f aca="false">IF(BN$4=0,0,IF(COUNTIFS(実績!$W$6:$W$505,BN$3,実績!$AI$6:$AI$505,"&lt;="&amp;$A275,実績!$AJ$6:$AJ$505,"&gt;"&amp;$A275,実績!$AK$6:$AK$505,"○")&gt;0,1,0))</f>
        <v>0</v>
      </c>
      <c r="BO275" s="39" t="n">
        <f aca="false">IF(BO$4=0,0,IF(COUNTIFS(実績!$W$6:$W$505,BO$3,実績!$AI$6:$AI$505,"&lt;="&amp;$A275,実績!$AJ$6:$AJ$505,"&gt;"&amp;$A275,実績!$AK$6:$AK$505,"○")&gt;0,1,0))</f>
        <v>0</v>
      </c>
      <c r="BP275" s="39" t="n">
        <f aca="false">IF(BP$4=0,0,IF(COUNTIFS(実績!$W$6:$W$505,BP$3,実績!$AI$6:$AI$505,"&lt;="&amp;$A275,実績!$AJ$6:$AJ$505,"&gt;"&amp;$A275,実績!$AK$6:$AK$505,"○")&gt;0,1,0))</f>
        <v>0</v>
      </c>
      <c r="BQ275" s="39" t="n">
        <f aca="false">IF(BQ$4=0,0,IF(COUNTIFS(実績!$W$6:$W$505,BQ$3,実績!$AI$6:$AI$505,"&lt;="&amp;$A275,実績!$AJ$6:$AJ$505,"&gt;"&amp;$A275,実績!$AK$6:$AK$505,"○")&gt;0,1,0))</f>
        <v>0</v>
      </c>
      <c r="BR275" s="39" t="n">
        <f aca="false">IF(BR$4=0,0,IF(COUNTIFS(実績!$W$6:$W$505,BR$3,実績!$AI$6:$AI$505,"&lt;="&amp;$A275,実績!$AJ$6:$AJ$505,"&gt;"&amp;$A275,実績!$AK$6:$AK$505,"○")&gt;0,1,0))</f>
        <v>0</v>
      </c>
      <c r="BS275" s="39" t="n">
        <f aca="false">IF(BS$4=0,0,IF(COUNTIFS(実績!$W$6:$W$505,BS$3,実績!$AI$6:$AI$505,"&lt;="&amp;$A275,実績!$AJ$6:$AJ$505,"&gt;"&amp;$A275,実績!$AK$6:$AK$505,"○")&gt;0,1,0))</f>
        <v>0</v>
      </c>
      <c r="BT275" s="39" t="n">
        <f aca="false">IF(BT$4=0,0,IF(COUNTIFS(実績!$W$6:$W$505,BT$3,実績!$AI$6:$AI$505,"&lt;="&amp;$A275,実績!$AJ$6:$AJ$505,"&gt;"&amp;$A275,実績!$AK$6:$AK$505,"○")&gt;0,1,0))</f>
        <v>0</v>
      </c>
      <c r="BU275" s="39" t="n">
        <f aca="false">IF(BU$4=0,0,IF(COUNTIFS(実績!$W$6:$W$505,BU$3,実績!$AI$6:$AI$505,"&lt;="&amp;$A275,実績!$AJ$6:$AJ$505,"&gt;"&amp;$A275,実績!$AK$6:$AK$505,"○")&gt;0,1,0))</f>
        <v>0</v>
      </c>
      <c r="BV275" s="39" t="n">
        <f aca="false">IF(BV$4=0,0,IF(COUNTIFS(実績!$W$6:$W$505,BV$3,実績!$AI$6:$AI$505,"&lt;="&amp;$A275,実績!$AJ$6:$AJ$505,"&gt;"&amp;$A275,実績!$AK$6:$AK$505,"○")&gt;0,1,0))</f>
        <v>0</v>
      </c>
      <c r="BW275" s="39" t="n">
        <f aca="false">IF(BW$4=0,0,IF(COUNTIFS(実績!$W$6:$W$505,BW$3,実績!$AI$6:$AI$505,"&lt;="&amp;$A275,実績!$AJ$6:$AJ$505,"&gt;"&amp;$A275,実績!$AK$6:$AK$505,"○")&gt;0,1,0))</f>
        <v>0</v>
      </c>
      <c r="BX275" s="39" t="n">
        <f aca="false">IF(BX$4=0,0,IF(COUNTIFS(実績!$W$6:$W$505,BX$3,実績!$AI$6:$AI$505,"&lt;="&amp;$A275,実績!$AJ$6:$AJ$505,"&gt;"&amp;$A275,実績!$AK$6:$AK$505,"○")&gt;0,1,0))</f>
        <v>0</v>
      </c>
      <c r="BY275" s="39" t="n">
        <f aca="false">IF(BY$4=0,0,IF(COUNTIFS(実績!$W$6:$W$505,BY$3,実績!$AI$6:$AI$505,"&lt;="&amp;$A275,実績!$AJ$6:$AJ$505,"&gt;"&amp;$A275,実績!$AK$6:$AK$505,"○")&gt;0,1,0))</f>
        <v>0</v>
      </c>
      <c r="BZ275" s="39" t="n">
        <f aca="false">IF(BZ$4=0,0,IF(COUNTIFS(実績!$W$6:$W$505,BZ$3,実績!$AI$6:$AI$505,"&lt;="&amp;$A275,実績!$AJ$6:$AJ$505,"&gt;"&amp;$A275,実績!$AK$6:$AK$505,"○")&gt;0,1,0))</f>
        <v>0</v>
      </c>
      <c r="CA275" s="39" t="n">
        <f aca="false">IF(CA$4=0,0,IF(COUNTIFS(実績!$W$6:$W$505,CA$3,実績!$AI$6:$AI$505,"&lt;="&amp;$A275,実績!$AJ$6:$AJ$505,"&gt;"&amp;$A275,実績!$AK$6:$AK$505,"○")&gt;0,1,0))</f>
        <v>0</v>
      </c>
      <c r="CB275" s="39" t="n">
        <f aca="false">IF(CB$4=0,0,IF(COUNTIFS(実績!$W$6:$W$505,CB$3,実績!$AI$6:$AI$505,"&lt;="&amp;$A275,実績!$AJ$6:$AJ$505,"&gt;"&amp;$A275,実績!$AK$6:$AK$505,"○")&gt;0,1,0))</f>
        <v>0</v>
      </c>
      <c r="CC275" s="39" t="n">
        <f aca="false">IF(CC$4=0,0,IF(COUNTIFS(実績!$W$6:$W$505,CC$3,実績!$AI$6:$AI$505,"&lt;="&amp;$A275,実績!$AJ$6:$AJ$505,"&gt;"&amp;$A275,実績!$AK$6:$AK$505,"○")&gt;0,1,0))</f>
        <v>0</v>
      </c>
      <c r="CD275" s="39" t="n">
        <f aca="false">IF(CD$4=0,0,IF(COUNTIFS(実績!$W$6:$W$505,CD$3,実績!$AI$6:$AI$505,"&lt;="&amp;$A275,実績!$AJ$6:$AJ$505,"&gt;"&amp;$A275,実績!$AK$6:$AK$505,"○")&gt;0,1,0))</f>
        <v>0</v>
      </c>
      <c r="CE275" s="39" t="n">
        <f aca="false">IF(CE$4=0,0,IF(COUNTIFS(実績!$W$6:$W$505,CE$3,実績!$AI$6:$AI$505,"&lt;="&amp;$A275,実績!$AJ$6:$AJ$505,"&gt;"&amp;$A275,実績!$AK$6:$AK$505,"○")&gt;0,1,0))</f>
        <v>0</v>
      </c>
      <c r="CF275" s="39" t="n">
        <f aca="false">IF(CF$4=0,0,IF(COUNTIFS(実績!$W$6:$W$505,CF$3,実績!$AI$6:$AI$505,"&lt;="&amp;$A275,実績!$AJ$6:$AJ$505,"&gt;"&amp;$A275,実績!$AK$6:$AK$505,"○")&gt;0,1,0))</f>
        <v>0</v>
      </c>
      <c r="CG275" s="39" t="n">
        <f aca="false">IF(CG$4=0,0,IF(COUNTIFS(実績!$W$6:$W$505,CG$3,実績!$AI$6:$AI$505,"&lt;="&amp;$A275,実績!$AJ$6:$AJ$505,"&gt;"&amp;$A275,実績!$AK$6:$AK$505,"○")&gt;0,1,0))</f>
        <v>0</v>
      </c>
      <c r="CH275" s="39" t="n">
        <f aca="false">IF(CH$4=0,0,IF(COUNTIFS(実績!$W$6:$W$505,CH$3,実績!$AI$6:$AI$505,"&lt;="&amp;$A275,実績!$AJ$6:$AJ$505,"&gt;"&amp;$A275,実績!$AK$6:$AK$505,"○")&gt;0,1,0))</f>
        <v>0</v>
      </c>
      <c r="CI275" s="39" t="n">
        <f aca="false">IF(CI$4=0,0,IF(COUNTIFS(実績!$W$6:$W$505,CI$3,実績!$AI$6:$AI$505,"&lt;="&amp;$A275,実績!$AJ$6:$AJ$505,"&gt;"&amp;$A275,実績!$AK$6:$AK$505,"○")&gt;0,1,0))</f>
        <v>0</v>
      </c>
      <c r="CJ275" s="39" t="n">
        <f aca="false">IF(CJ$4=0,0,IF(COUNTIFS(実績!$W$6:$W$505,CJ$3,実績!$AI$6:$AI$505,"&lt;="&amp;$A275,実績!$AJ$6:$AJ$505,"&gt;"&amp;$A275,実績!$AK$6:$AK$505,"○")&gt;0,1,0))</f>
        <v>0</v>
      </c>
      <c r="CK275" s="39" t="n">
        <f aca="false">IF(CK$4=0,0,IF(COUNTIFS(実績!$W$6:$W$505,CK$3,実績!$AI$6:$AI$505,"&lt;="&amp;$A275,実績!$AJ$6:$AJ$505,"&gt;"&amp;$A275,実績!$AK$6:$AK$505,"○")&gt;0,1,0))</f>
        <v>0</v>
      </c>
      <c r="CL275" s="39" t="n">
        <f aca="false">IF(CL$4=0,0,IF(COUNTIFS(実績!$W$6:$W$505,CL$3,実績!$AI$6:$AI$505,"&lt;="&amp;$A275,実績!$AJ$6:$AJ$505,"&gt;"&amp;$A275,実績!$AK$6:$AK$505,"○")&gt;0,1,0))</f>
        <v>0</v>
      </c>
      <c r="CM275" s="39" t="n">
        <f aca="false">IF(CM$4=0,0,IF(COUNTIFS(実績!$W$6:$W$505,CM$3,実績!$AI$6:$AI$505,"&lt;="&amp;$A275,実績!$AJ$6:$AJ$505,"&gt;"&amp;$A275,実績!$AK$6:$AK$505,"○")&gt;0,1,0))</f>
        <v>0</v>
      </c>
      <c r="CN275" s="39" t="n">
        <f aca="false">IF(CN$4=0,0,IF(COUNTIFS(実績!$W$6:$W$505,CN$3,実績!$AI$6:$AI$505,"&lt;="&amp;$A275,実績!$AJ$6:$AJ$505,"&gt;"&amp;$A275,実績!$AK$6:$AK$505,"○")&gt;0,1,0))</f>
        <v>0</v>
      </c>
      <c r="CO275" s="39" t="n">
        <f aca="false">IF(CO$4=0,0,IF(COUNTIFS(実績!$W$6:$W$505,CO$3,実績!$AI$6:$AI$505,"&lt;="&amp;$A275,実績!$AJ$6:$AJ$505,"&gt;"&amp;$A275,実績!$AK$6:$AK$505,"○")&gt;0,1,0))</f>
        <v>0</v>
      </c>
      <c r="CP275" s="39" t="n">
        <f aca="false">IF(CP$4=0,0,IF(COUNTIFS(実績!$W$6:$W$505,CP$3,実績!$AI$6:$AI$505,"&lt;="&amp;$A275,実績!$AJ$6:$AJ$505,"&gt;"&amp;$A275,実績!$AK$6:$AK$505,"○")&gt;0,1,0))</f>
        <v>0</v>
      </c>
      <c r="CQ275" s="39" t="n">
        <f aca="false">IF(CQ$4=0,0,IF(COUNTIFS(実績!$W$6:$W$505,CQ$3,実績!$AI$6:$AI$505,"&lt;="&amp;$A275,実績!$AJ$6:$AJ$505,"&gt;"&amp;$A275,実績!$AK$6:$AK$505,"○")&gt;0,1,0))</f>
        <v>0</v>
      </c>
      <c r="CR275" s="39" t="n">
        <f aca="false">IF(CR$4=0,0,IF(COUNTIFS(実績!$W$6:$W$505,CR$3,実績!$AI$6:$AI$505,"&lt;="&amp;$A275,実績!$AJ$6:$AJ$505,"&gt;"&amp;$A275,実績!$AK$6:$AK$505,"○")&gt;0,1,0))</f>
        <v>0</v>
      </c>
      <c r="CS275" s="39" t="n">
        <f aca="false">IF(CS$4=0,0,IF(COUNTIFS(実績!$W$6:$W$505,CS$3,実績!$AI$6:$AI$505,"&lt;="&amp;$A275,実績!$AJ$6:$AJ$505,"&gt;"&amp;$A275,実績!$AK$6:$AK$505,"○")&gt;0,1,0))</f>
        <v>0</v>
      </c>
      <c r="CT275" s="39" t="n">
        <f aca="false">IF(CT$4=0,0,IF(COUNTIFS(実績!$W$6:$W$505,CT$3,実績!$AI$6:$AI$505,"&lt;="&amp;$A275,実績!$AJ$6:$AJ$505,"&gt;"&amp;$A275,実績!$AK$6:$AK$505,"○")&gt;0,1,0))</f>
        <v>0</v>
      </c>
      <c r="CU275" s="39" t="n">
        <f aca="false">IF(CU$4=0,0,IF(COUNTIFS(実績!$W$6:$W$505,CU$3,実績!$AI$6:$AI$505,"&lt;="&amp;$A275,実績!$AJ$6:$AJ$505,"&gt;"&amp;$A275,実績!$AK$6:$AK$505,"○")&gt;0,1,0))</f>
        <v>0</v>
      </c>
      <c r="CV275" s="39" t="n">
        <f aca="false">IF(CV$4=0,0,IF(COUNTIFS(実績!$W$6:$W$505,CV$3,実績!$AI$6:$AI$505,"&lt;="&amp;$A275,実績!$AJ$6:$AJ$505,"&gt;"&amp;$A275,実績!$AK$6:$AK$505,"○")&gt;0,1,0))</f>
        <v>0</v>
      </c>
      <c r="CW275" s="39" t="n">
        <f aca="false">IF(CW$4=0,0,IF(COUNTIFS(実績!$W$6:$W$505,CW$3,実績!$AI$6:$AI$505,"&lt;="&amp;$A275,実績!$AJ$6:$AJ$505,"&gt;"&amp;$A275,実績!$AK$6:$AK$505,"○")&gt;0,1,0))</f>
        <v>0</v>
      </c>
      <c r="CX275" s="39" t="n">
        <f aca="false">IF(CX$4=0,0,IF(COUNTIFS(実績!$W$6:$W$505,CX$3,実績!$AI$6:$AI$505,"&lt;="&amp;$A275,実績!$AJ$6:$AJ$505,"&gt;"&amp;$A275,実績!$AK$6:$AK$505,"○")&gt;0,1,0))</f>
        <v>0</v>
      </c>
      <c r="CY275" s="39" t="n">
        <f aca="false">IF(CY$4=0,0,IF(COUNTIFS(実績!$W$6:$W$505,CY$3,実績!$AI$6:$AI$505,"&lt;="&amp;$A275,実績!$AJ$6:$AJ$505,"&gt;"&amp;$A275,実績!$AK$6:$AK$505,"○")&gt;0,1,0))</f>
        <v>0</v>
      </c>
      <c r="CZ275" s="39" t="n">
        <f aca="false">IF(CZ$4=0,0,IF(COUNTIFS(実績!$W$6:$W$505,CZ$3,実績!$AI$6:$AI$505,"&lt;="&amp;$A275,実績!$AJ$6:$AJ$505,"&gt;"&amp;$A275,実績!$AK$6:$AK$505,"○")&gt;0,1,0))</f>
        <v>0</v>
      </c>
      <c r="DA275" s="39" t="n">
        <f aca="false">IF(DA$4=0,0,IF(COUNTIFS(実績!$W$6:$W$505,DA$3,実績!$AI$6:$AI$505,"&lt;="&amp;$A275,実績!$AJ$6:$AJ$505,"&gt;"&amp;$A275,実績!$AK$6:$AK$505,"○")&gt;0,1,0))</f>
        <v>0</v>
      </c>
      <c r="DB275" s="39" t="n">
        <f aca="false">IF(DB$4=0,0,IF(COUNTIFS(実績!$W$6:$W$505,DB$3,実績!$AI$6:$AI$505,"&lt;="&amp;$A275,実績!$AJ$6:$AJ$505,"&gt;"&amp;$A275,実績!$AK$6:$AK$505,"○")&gt;0,1,0))</f>
        <v>0</v>
      </c>
      <c r="DC275" s="39" t="n">
        <f aca="false">IF(DC$4=0,0,IF(COUNTIFS(実績!$W$6:$W$505,DC$3,実績!$AI$6:$AI$505,"&lt;="&amp;$A275,実績!$AJ$6:$AJ$505,"&gt;"&amp;$A275,実績!$AK$6:$AK$505,"○")&gt;0,1,0))</f>
        <v>0</v>
      </c>
      <c r="DD275" s="39" t="n">
        <f aca="false">IF(DD$4=0,0,IF(COUNTIFS(実績!$W$6:$W$505,DD$3,実績!$AI$6:$AI$505,"&lt;="&amp;$A275,実績!$AJ$6:$AJ$505,"&gt;"&amp;$A275,実績!$AK$6:$AK$505,"○")&gt;0,1,0))</f>
        <v>0</v>
      </c>
      <c r="DE275" s="39" t="n">
        <f aca="false">IF(DE$4=0,0,IF(COUNTIFS(実績!$W$6:$W$505,DE$3,実績!$AI$6:$AI$505,"&lt;="&amp;$A275,実績!$AJ$6:$AJ$505,"&gt;"&amp;$A275,実績!$AK$6:$AK$505,"○")&gt;0,1,0))</f>
        <v>0</v>
      </c>
      <c r="DF275" s="39" t="n">
        <f aca="false">IF(DF$4=0,0,IF(COUNTIFS(実績!$W$6:$W$505,DF$3,実績!$AI$6:$AI$505,"&lt;="&amp;$A275,実績!$AJ$6:$AJ$505,"&gt;"&amp;$A275,実績!$AK$6:$AK$505,"○")&gt;0,1,0))</f>
        <v>0</v>
      </c>
      <c r="DG275" s="39" t="n">
        <f aca="false">IF(DG$4=0,0,IF(COUNTIFS(実績!$W$6:$W$505,DG$3,実績!$AI$6:$AI$505,"&lt;="&amp;$A275,実績!$AJ$6:$AJ$505,"&gt;"&amp;$A275,実績!$AK$6:$AK$505,"○")&gt;0,1,0))</f>
        <v>0</v>
      </c>
      <c r="DH275" s="39" t="n">
        <f aca="false">IF(DH$4=0,0,IF(COUNTIFS(実績!$W$6:$W$505,DH$3,実績!$AI$6:$AI$505,"&lt;="&amp;$A275,実績!$AJ$6:$AJ$505,"&gt;"&amp;$A275,実績!$AK$6:$AK$505,"○")&gt;0,1,0))</f>
        <v>0</v>
      </c>
      <c r="DI275" s="39" t="n">
        <f aca="false">IF(DI$4=0,0,IF(COUNTIFS(実績!$W$6:$W$505,DI$3,実績!$AI$6:$AI$505,"&lt;="&amp;$A275,実績!$AJ$6:$AJ$505,"&gt;"&amp;$A275,実績!$AK$6:$AK$505,"○")&gt;0,1,0))</f>
        <v>0</v>
      </c>
      <c r="DJ275" s="39" t="n">
        <f aca="false">IF(DJ$4=0,0,IF(COUNTIFS(実績!$W$6:$W$505,DJ$3,実績!$AI$6:$AI$505,"&lt;="&amp;$A275,実績!$AJ$6:$AJ$505,"&gt;"&amp;$A275,実績!$AK$6:$AK$505,"○")&gt;0,1,0))</f>
        <v>0</v>
      </c>
      <c r="DK275" s="39" t="n">
        <f aca="false">IF(DK$4=0,0,IF(COUNTIFS(実績!$W$6:$W$505,DK$3,実績!$AI$6:$AI$505,"&lt;="&amp;$A275,実績!$AJ$6:$AJ$505,"&gt;"&amp;$A275,実績!$AK$6:$AK$505,"○")&gt;0,1,0))</f>
        <v>0</v>
      </c>
      <c r="DL275" s="39" t="n">
        <f aca="false">IF(DL$4=0,0,IF(COUNTIFS(実績!$W$6:$W$505,DL$3,実績!$AI$6:$AI$505,"&lt;="&amp;$A275,実績!$AJ$6:$AJ$505,"&gt;"&amp;$A275,実績!$AK$6:$AK$505,"○")&gt;0,1,0))</f>
        <v>0</v>
      </c>
      <c r="DM275" s="39" t="n">
        <f aca="false">IF(DM$4=0,0,IF(COUNTIFS(実績!$W$6:$W$505,DM$3,実績!$AI$6:$AI$505,"&lt;="&amp;$A275,実績!$AJ$6:$AJ$505,"&gt;"&amp;$A275,実績!$AK$6:$AK$505,"○")&gt;0,1,0))</f>
        <v>0</v>
      </c>
      <c r="DN275" s="39" t="n">
        <f aca="false">IF(DN$4=0,0,IF(COUNTIFS(実績!$W$6:$W$505,DN$3,実績!$AI$6:$AI$505,"&lt;="&amp;$A275,実績!$AJ$6:$AJ$505,"&gt;"&amp;$A275,実績!$AK$6:$AK$505,"○")&gt;0,1,0))</f>
        <v>0</v>
      </c>
      <c r="DO275" s="39" t="n">
        <f aca="false">IF(DO$4=0,0,IF(COUNTIFS(実績!$W$6:$W$505,DO$3,実績!$AI$6:$AI$505,"&lt;="&amp;$A275,実績!$AJ$6:$AJ$505,"&gt;"&amp;$A275,実績!$AK$6:$AK$505,"○")&gt;0,1,0))</f>
        <v>0</v>
      </c>
      <c r="DP275" s="39" t="n">
        <f aca="false">IF(DP$4=0,0,IF(COUNTIFS(実績!$W$6:$W$505,DP$3,実績!$AI$6:$AI$505,"&lt;="&amp;$A275,実績!$AJ$6:$AJ$505,"&gt;"&amp;$A275,実績!$AK$6:$AK$505,"○")&gt;0,1,0))</f>
        <v>0</v>
      </c>
      <c r="DQ275" s="39" t="n">
        <f aca="false">IF(DQ$4=0,0,IF(COUNTIFS(実績!$W$6:$W$505,DQ$3,実績!$AI$6:$AI$505,"&lt;="&amp;$A275,実績!$AJ$6:$AJ$505,"&gt;"&amp;$A275,実績!$AK$6:$AK$505,"○")&gt;0,1,0))</f>
        <v>0</v>
      </c>
      <c r="DR275" s="39" t="n">
        <f aca="false">IF(DR$4=0,0,IF(COUNTIFS(実績!$W$6:$W$505,DR$3,実績!$AI$6:$AI$505,"&lt;="&amp;$A275,実績!$AJ$6:$AJ$505,"&gt;"&amp;$A275,実績!$AK$6:$AK$505,"○")&gt;0,1,0))</f>
        <v>0</v>
      </c>
      <c r="DS275" s="39" t="n">
        <f aca="false">SUM(C275:DR275)</f>
        <v>0</v>
      </c>
      <c r="DT275" s="39" t="n">
        <f aca="false">SUMPRODUCT((実績!$C$6:$C$505="○")*ISNUMBER(実績!$AM$6:$AM$505)*(実績!$AM$6:$AM$505&lt;=$A275)*(実績!$AN$6:$AN$505&gt;$A275))</f>
        <v>0</v>
      </c>
      <c r="DU275" s="39" t="n">
        <f aca="false">SUMIF($C$2:$DR$2,"製鉄曳船",C275:DR275)</f>
        <v>0</v>
      </c>
      <c r="DV275" s="39" t="n">
        <f aca="false">SUMIF($C$2:$DR$2,"西日本海運",C275:DR275)</f>
        <v>0</v>
      </c>
    </row>
    <row r="276" customFormat="false" ht="15" hidden="false" customHeight="false" outlineLevel="0" collapsed="false">
      <c r="A276" s="0" t="n">
        <v>1350</v>
      </c>
      <c r="B276" s="38" t="n">
        <f aca="false">A276/1440</f>
        <v>0.9375</v>
      </c>
      <c r="C276" s="39" t="n">
        <f aca="false">IF(C$4=0,0,IF(COUNTIFS(実績!$W$6:$W$505,C$3,実績!$AI$6:$AI$505,"&lt;="&amp;$A276,実績!$AJ$6:$AJ$505,"&gt;"&amp;$A276,実績!$AK$6:$AK$505,"○")&gt;0,1,0))</f>
        <v>0</v>
      </c>
      <c r="D276" s="39" t="n">
        <f aca="false">IF(D$4=0,0,IF(COUNTIFS(実績!$W$6:$W$505,D$3,実績!$AI$6:$AI$505,"&lt;="&amp;$A276,実績!$AJ$6:$AJ$505,"&gt;"&amp;$A276,実績!$AK$6:$AK$505,"○")&gt;0,1,0))</f>
        <v>0</v>
      </c>
      <c r="E276" s="39" t="n">
        <f aca="false">IF(E$4=0,0,IF(COUNTIFS(実績!$W$6:$W$505,E$3,実績!$AI$6:$AI$505,"&lt;="&amp;$A276,実績!$AJ$6:$AJ$505,"&gt;"&amp;$A276,実績!$AK$6:$AK$505,"○")&gt;0,1,0))</f>
        <v>0</v>
      </c>
      <c r="F276" s="39" t="n">
        <f aca="false">IF(F$4=0,0,IF(COUNTIFS(実績!$W$6:$W$505,F$3,実績!$AI$6:$AI$505,"&lt;="&amp;$A276,実績!$AJ$6:$AJ$505,"&gt;"&amp;$A276,実績!$AK$6:$AK$505,"○")&gt;0,1,0))</f>
        <v>0</v>
      </c>
      <c r="G276" s="39" t="n">
        <f aca="false">IF(G$4=0,0,IF(COUNTIFS(実績!$W$6:$W$505,G$3,実績!$AI$6:$AI$505,"&lt;="&amp;$A276,実績!$AJ$6:$AJ$505,"&gt;"&amp;$A276,実績!$AK$6:$AK$505,"○")&gt;0,1,0))</f>
        <v>0</v>
      </c>
      <c r="H276" s="39" t="n">
        <f aca="false">IF(H$4=0,0,IF(COUNTIFS(実績!$W$6:$W$505,H$3,実績!$AI$6:$AI$505,"&lt;="&amp;$A276,実績!$AJ$6:$AJ$505,"&gt;"&amp;$A276,実績!$AK$6:$AK$505,"○")&gt;0,1,0))</f>
        <v>0</v>
      </c>
      <c r="I276" s="39" t="n">
        <f aca="false">IF(I$4=0,0,IF(COUNTIFS(実績!$W$6:$W$505,I$3,実績!$AI$6:$AI$505,"&lt;="&amp;$A276,実績!$AJ$6:$AJ$505,"&gt;"&amp;$A276,実績!$AK$6:$AK$505,"○")&gt;0,1,0))</f>
        <v>0</v>
      </c>
      <c r="J276" s="39" t="n">
        <f aca="false">IF(J$4=0,0,IF(COUNTIFS(実績!$W$6:$W$505,J$3,実績!$AI$6:$AI$505,"&lt;="&amp;$A276,実績!$AJ$6:$AJ$505,"&gt;"&amp;$A276,実績!$AK$6:$AK$505,"○")&gt;0,1,0))</f>
        <v>0</v>
      </c>
      <c r="K276" s="39" t="n">
        <f aca="false">IF(K$4=0,0,IF(COUNTIFS(実績!$W$6:$W$505,K$3,実績!$AI$6:$AI$505,"&lt;="&amp;$A276,実績!$AJ$6:$AJ$505,"&gt;"&amp;$A276,実績!$AK$6:$AK$505,"○")&gt;0,1,0))</f>
        <v>0</v>
      </c>
      <c r="L276" s="39" t="n">
        <f aca="false">IF(L$4=0,0,IF(COUNTIFS(実績!$W$6:$W$505,L$3,実績!$AI$6:$AI$505,"&lt;="&amp;$A276,実績!$AJ$6:$AJ$505,"&gt;"&amp;$A276,実績!$AK$6:$AK$505,"○")&gt;0,1,0))</f>
        <v>0</v>
      </c>
      <c r="M276" s="39" t="n">
        <f aca="false">IF(M$4=0,0,IF(COUNTIFS(実績!$W$6:$W$505,M$3,実績!$AI$6:$AI$505,"&lt;="&amp;$A276,実績!$AJ$6:$AJ$505,"&gt;"&amp;$A276,実績!$AK$6:$AK$505,"○")&gt;0,1,0))</f>
        <v>0</v>
      </c>
      <c r="N276" s="39" t="n">
        <f aca="false">IF(N$4=0,0,IF(COUNTIFS(実績!$W$6:$W$505,N$3,実績!$AI$6:$AI$505,"&lt;="&amp;$A276,実績!$AJ$6:$AJ$505,"&gt;"&amp;$A276,実績!$AK$6:$AK$505,"○")&gt;0,1,0))</f>
        <v>0</v>
      </c>
      <c r="O276" s="39" t="n">
        <f aca="false">IF(O$4=0,0,IF(COUNTIFS(実績!$W$6:$W$505,O$3,実績!$AI$6:$AI$505,"&lt;="&amp;$A276,実績!$AJ$6:$AJ$505,"&gt;"&amp;$A276,実績!$AK$6:$AK$505,"○")&gt;0,1,0))</f>
        <v>0</v>
      </c>
      <c r="P276" s="39" t="n">
        <f aca="false">IF(P$4=0,0,IF(COUNTIFS(実績!$W$6:$W$505,P$3,実績!$AI$6:$AI$505,"&lt;="&amp;$A276,実績!$AJ$6:$AJ$505,"&gt;"&amp;$A276,実績!$AK$6:$AK$505,"○")&gt;0,1,0))</f>
        <v>0</v>
      </c>
      <c r="Q276" s="39" t="n">
        <f aca="false">IF(Q$4=0,0,IF(COUNTIFS(実績!$W$6:$W$505,Q$3,実績!$AI$6:$AI$505,"&lt;="&amp;$A276,実績!$AJ$6:$AJ$505,"&gt;"&amp;$A276,実績!$AK$6:$AK$505,"○")&gt;0,1,0))</f>
        <v>0</v>
      </c>
      <c r="R276" s="39" t="n">
        <f aca="false">IF(R$4=0,0,IF(COUNTIFS(実績!$W$6:$W$505,R$3,実績!$AI$6:$AI$505,"&lt;="&amp;$A276,実績!$AJ$6:$AJ$505,"&gt;"&amp;$A276,実績!$AK$6:$AK$505,"○")&gt;0,1,0))</f>
        <v>0</v>
      </c>
      <c r="S276" s="39" t="n">
        <f aca="false">IF(S$4=0,0,IF(COUNTIFS(実績!$W$6:$W$505,S$3,実績!$AI$6:$AI$505,"&lt;="&amp;$A276,実績!$AJ$6:$AJ$505,"&gt;"&amp;$A276,実績!$AK$6:$AK$505,"○")&gt;0,1,0))</f>
        <v>0</v>
      </c>
      <c r="T276" s="39" t="n">
        <f aca="false">IF(T$4=0,0,IF(COUNTIFS(実績!$W$6:$W$505,T$3,実績!$AI$6:$AI$505,"&lt;="&amp;$A276,実績!$AJ$6:$AJ$505,"&gt;"&amp;$A276,実績!$AK$6:$AK$505,"○")&gt;0,1,0))</f>
        <v>0</v>
      </c>
      <c r="U276" s="39" t="n">
        <f aca="false">IF(U$4=0,0,IF(COUNTIFS(実績!$W$6:$W$505,U$3,実績!$AI$6:$AI$505,"&lt;="&amp;$A276,実績!$AJ$6:$AJ$505,"&gt;"&amp;$A276,実績!$AK$6:$AK$505,"○")&gt;0,1,0))</f>
        <v>0</v>
      </c>
      <c r="V276" s="39" t="n">
        <f aca="false">IF(V$4=0,0,IF(COUNTIFS(実績!$W$6:$W$505,V$3,実績!$AI$6:$AI$505,"&lt;="&amp;$A276,実績!$AJ$6:$AJ$505,"&gt;"&amp;$A276,実績!$AK$6:$AK$505,"○")&gt;0,1,0))</f>
        <v>0</v>
      </c>
      <c r="W276" s="39" t="n">
        <f aca="false">IF(W$4=0,0,IF(COUNTIFS(実績!$W$6:$W$505,W$3,実績!$AI$6:$AI$505,"&lt;="&amp;$A276,実績!$AJ$6:$AJ$505,"&gt;"&amp;$A276,実績!$AK$6:$AK$505,"○")&gt;0,1,0))</f>
        <v>0</v>
      </c>
      <c r="X276" s="39" t="n">
        <f aca="false">IF(X$4=0,0,IF(COUNTIFS(実績!$W$6:$W$505,X$3,実績!$AI$6:$AI$505,"&lt;="&amp;$A276,実績!$AJ$6:$AJ$505,"&gt;"&amp;$A276,実績!$AK$6:$AK$505,"○")&gt;0,1,0))</f>
        <v>0</v>
      </c>
      <c r="Y276" s="39" t="n">
        <f aca="false">IF(Y$4=0,0,IF(COUNTIFS(実績!$W$6:$W$505,Y$3,実績!$AI$6:$AI$505,"&lt;="&amp;$A276,実績!$AJ$6:$AJ$505,"&gt;"&amp;$A276,実績!$AK$6:$AK$505,"○")&gt;0,1,0))</f>
        <v>0</v>
      </c>
      <c r="Z276" s="39" t="n">
        <f aca="false">IF(Z$4=0,0,IF(COUNTIFS(実績!$W$6:$W$505,Z$3,実績!$AI$6:$AI$505,"&lt;="&amp;$A276,実績!$AJ$6:$AJ$505,"&gt;"&amp;$A276,実績!$AK$6:$AK$505,"○")&gt;0,1,0))</f>
        <v>0</v>
      </c>
      <c r="AA276" s="39" t="n">
        <f aca="false">IF(AA$4=0,0,IF(COUNTIFS(実績!$W$6:$W$505,AA$3,実績!$AI$6:$AI$505,"&lt;="&amp;$A276,実績!$AJ$6:$AJ$505,"&gt;"&amp;$A276,実績!$AK$6:$AK$505,"○")&gt;0,1,0))</f>
        <v>0</v>
      </c>
      <c r="AB276" s="39" t="n">
        <f aca="false">IF(AB$4=0,0,IF(COUNTIFS(実績!$W$6:$W$505,AB$3,実績!$AI$6:$AI$505,"&lt;="&amp;$A276,実績!$AJ$6:$AJ$505,"&gt;"&amp;$A276,実績!$AK$6:$AK$505,"○")&gt;0,1,0))</f>
        <v>0</v>
      </c>
      <c r="AC276" s="39" t="n">
        <f aca="false">IF(AC$4=0,0,IF(COUNTIFS(実績!$W$6:$W$505,AC$3,実績!$AI$6:$AI$505,"&lt;="&amp;$A276,実績!$AJ$6:$AJ$505,"&gt;"&amp;$A276,実績!$AK$6:$AK$505,"○")&gt;0,1,0))</f>
        <v>0</v>
      </c>
      <c r="AD276" s="39" t="n">
        <f aca="false">IF(AD$4=0,0,IF(COUNTIFS(実績!$W$6:$W$505,AD$3,実績!$AI$6:$AI$505,"&lt;="&amp;$A276,実績!$AJ$6:$AJ$505,"&gt;"&amp;$A276,実績!$AK$6:$AK$505,"○")&gt;0,1,0))</f>
        <v>0</v>
      </c>
      <c r="AE276" s="39" t="n">
        <f aca="false">IF(AE$4=0,0,IF(COUNTIFS(実績!$W$6:$W$505,AE$3,実績!$AI$6:$AI$505,"&lt;="&amp;$A276,実績!$AJ$6:$AJ$505,"&gt;"&amp;$A276,実績!$AK$6:$AK$505,"○")&gt;0,1,0))</f>
        <v>0</v>
      </c>
      <c r="AF276" s="39" t="n">
        <f aca="false">IF(AF$4=0,0,IF(COUNTIFS(実績!$W$6:$W$505,AF$3,実績!$AI$6:$AI$505,"&lt;="&amp;$A276,実績!$AJ$6:$AJ$505,"&gt;"&amp;$A276,実績!$AK$6:$AK$505,"○")&gt;0,1,0))</f>
        <v>0</v>
      </c>
      <c r="AG276" s="39" t="n">
        <f aca="false">IF(AG$4=0,0,IF(COUNTIFS(実績!$W$6:$W$505,AG$3,実績!$AI$6:$AI$505,"&lt;="&amp;$A276,実績!$AJ$6:$AJ$505,"&gt;"&amp;$A276,実績!$AK$6:$AK$505,"○")&gt;0,1,0))</f>
        <v>0</v>
      </c>
      <c r="AH276" s="39" t="n">
        <f aca="false">IF(AH$4=0,0,IF(COUNTIFS(実績!$W$6:$W$505,AH$3,実績!$AI$6:$AI$505,"&lt;="&amp;$A276,実績!$AJ$6:$AJ$505,"&gt;"&amp;$A276,実績!$AK$6:$AK$505,"○")&gt;0,1,0))</f>
        <v>0</v>
      </c>
      <c r="AI276" s="39" t="n">
        <f aca="false">IF(AI$4=0,0,IF(COUNTIFS(実績!$W$6:$W$505,AI$3,実績!$AI$6:$AI$505,"&lt;="&amp;$A276,実績!$AJ$6:$AJ$505,"&gt;"&amp;$A276,実績!$AK$6:$AK$505,"○")&gt;0,1,0))</f>
        <v>0</v>
      </c>
      <c r="AJ276" s="39" t="n">
        <f aca="false">IF(AJ$4=0,0,IF(COUNTIFS(実績!$W$6:$W$505,AJ$3,実績!$AI$6:$AI$505,"&lt;="&amp;$A276,実績!$AJ$6:$AJ$505,"&gt;"&amp;$A276,実績!$AK$6:$AK$505,"○")&gt;0,1,0))</f>
        <v>0</v>
      </c>
      <c r="AK276" s="39" t="n">
        <f aca="false">IF(AK$4=0,0,IF(COUNTIFS(実績!$W$6:$W$505,AK$3,実績!$AI$6:$AI$505,"&lt;="&amp;$A276,実績!$AJ$6:$AJ$505,"&gt;"&amp;$A276,実績!$AK$6:$AK$505,"○")&gt;0,1,0))</f>
        <v>0</v>
      </c>
      <c r="AL276" s="39" t="n">
        <f aca="false">IF(AL$4=0,0,IF(COUNTIFS(実績!$W$6:$W$505,AL$3,実績!$AI$6:$AI$505,"&lt;="&amp;$A276,実績!$AJ$6:$AJ$505,"&gt;"&amp;$A276,実績!$AK$6:$AK$505,"○")&gt;0,1,0))</f>
        <v>0</v>
      </c>
      <c r="AM276" s="39" t="n">
        <f aca="false">IF(AM$4=0,0,IF(COUNTIFS(実績!$W$6:$W$505,AM$3,実績!$AI$6:$AI$505,"&lt;="&amp;$A276,実績!$AJ$6:$AJ$505,"&gt;"&amp;$A276,実績!$AK$6:$AK$505,"○")&gt;0,1,0))</f>
        <v>0</v>
      </c>
      <c r="AN276" s="39" t="n">
        <f aca="false">IF(AN$4=0,0,IF(COUNTIFS(実績!$W$6:$W$505,AN$3,実績!$AI$6:$AI$505,"&lt;="&amp;$A276,実績!$AJ$6:$AJ$505,"&gt;"&amp;$A276,実績!$AK$6:$AK$505,"○")&gt;0,1,0))</f>
        <v>0</v>
      </c>
      <c r="AO276" s="39" t="n">
        <f aca="false">IF(AO$4=0,0,IF(COUNTIFS(実績!$W$6:$W$505,AO$3,実績!$AI$6:$AI$505,"&lt;="&amp;$A276,実績!$AJ$6:$AJ$505,"&gt;"&amp;$A276,実績!$AK$6:$AK$505,"○")&gt;0,1,0))</f>
        <v>0</v>
      </c>
      <c r="AP276" s="39" t="n">
        <f aca="false">IF(AP$4=0,0,IF(COUNTIFS(実績!$W$6:$W$505,AP$3,実績!$AI$6:$AI$505,"&lt;="&amp;$A276,実績!$AJ$6:$AJ$505,"&gt;"&amp;$A276,実績!$AK$6:$AK$505,"○")&gt;0,1,0))</f>
        <v>0</v>
      </c>
      <c r="AQ276" s="39" t="n">
        <f aca="false">IF(AQ$4=0,0,IF(COUNTIFS(実績!$W$6:$W$505,AQ$3,実績!$AI$6:$AI$505,"&lt;="&amp;$A276,実績!$AJ$6:$AJ$505,"&gt;"&amp;$A276,実績!$AK$6:$AK$505,"○")&gt;0,1,0))</f>
        <v>0</v>
      </c>
      <c r="AR276" s="39" t="n">
        <f aca="false">IF(AR$4=0,0,IF(COUNTIFS(実績!$W$6:$W$505,AR$3,実績!$AI$6:$AI$505,"&lt;="&amp;$A276,実績!$AJ$6:$AJ$505,"&gt;"&amp;$A276,実績!$AK$6:$AK$505,"○")&gt;0,1,0))</f>
        <v>0</v>
      </c>
      <c r="AS276" s="39" t="n">
        <f aca="false">IF(AS$4=0,0,IF(COUNTIFS(実績!$W$6:$W$505,AS$3,実績!$AI$6:$AI$505,"&lt;="&amp;$A276,実績!$AJ$6:$AJ$505,"&gt;"&amp;$A276,実績!$AK$6:$AK$505,"○")&gt;0,1,0))</f>
        <v>0</v>
      </c>
      <c r="AT276" s="39" t="n">
        <f aca="false">IF(AT$4=0,0,IF(COUNTIFS(実績!$W$6:$W$505,AT$3,実績!$AI$6:$AI$505,"&lt;="&amp;$A276,実績!$AJ$6:$AJ$505,"&gt;"&amp;$A276,実績!$AK$6:$AK$505,"○")&gt;0,1,0))</f>
        <v>0</v>
      </c>
      <c r="AU276" s="39" t="n">
        <f aca="false">IF(AU$4=0,0,IF(COUNTIFS(実績!$W$6:$W$505,AU$3,実績!$AI$6:$AI$505,"&lt;="&amp;$A276,実績!$AJ$6:$AJ$505,"&gt;"&amp;$A276,実績!$AK$6:$AK$505,"○")&gt;0,1,0))</f>
        <v>0</v>
      </c>
      <c r="AV276" s="39" t="n">
        <f aca="false">IF(AV$4=0,0,IF(COUNTIFS(実績!$W$6:$W$505,AV$3,実績!$AI$6:$AI$505,"&lt;="&amp;$A276,実績!$AJ$6:$AJ$505,"&gt;"&amp;$A276,実績!$AK$6:$AK$505,"○")&gt;0,1,0))</f>
        <v>0</v>
      </c>
      <c r="AW276" s="39" t="n">
        <f aca="false">IF(AW$4=0,0,IF(COUNTIFS(実績!$W$6:$W$505,AW$3,実績!$AI$6:$AI$505,"&lt;="&amp;$A276,実績!$AJ$6:$AJ$505,"&gt;"&amp;$A276,実績!$AK$6:$AK$505,"○")&gt;0,1,0))</f>
        <v>0</v>
      </c>
      <c r="AX276" s="39" t="n">
        <f aca="false">IF(AX$4=0,0,IF(COUNTIFS(実績!$W$6:$W$505,AX$3,実績!$AI$6:$AI$505,"&lt;="&amp;$A276,実績!$AJ$6:$AJ$505,"&gt;"&amp;$A276,実績!$AK$6:$AK$505,"○")&gt;0,1,0))</f>
        <v>0</v>
      </c>
      <c r="AY276" s="39" t="n">
        <f aca="false">IF(AY$4=0,0,IF(COUNTIFS(実績!$W$6:$W$505,AY$3,実績!$AI$6:$AI$505,"&lt;="&amp;$A276,実績!$AJ$6:$AJ$505,"&gt;"&amp;$A276,実績!$AK$6:$AK$505,"○")&gt;0,1,0))</f>
        <v>0</v>
      </c>
      <c r="AZ276" s="39" t="n">
        <f aca="false">IF(AZ$4=0,0,IF(COUNTIFS(実績!$W$6:$W$505,AZ$3,実績!$AI$6:$AI$505,"&lt;="&amp;$A276,実績!$AJ$6:$AJ$505,"&gt;"&amp;$A276,実績!$AK$6:$AK$505,"○")&gt;0,1,0))</f>
        <v>0</v>
      </c>
      <c r="BA276" s="39" t="n">
        <f aca="false">IF(BA$4=0,0,IF(COUNTIFS(実績!$W$6:$W$505,BA$3,実績!$AI$6:$AI$505,"&lt;="&amp;$A276,実績!$AJ$6:$AJ$505,"&gt;"&amp;$A276,実績!$AK$6:$AK$505,"○")&gt;0,1,0))</f>
        <v>0</v>
      </c>
      <c r="BB276" s="39" t="n">
        <f aca="false">IF(BB$4=0,0,IF(COUNTIFS(実績!$W$6:$W$505,BB$3,実績!$AI$6:$AI$505,"&lt;="&amp;$A276,実績!$AJ$6:$AJ$505,"&gt;"&amp;$A276,実績!$AK$6:$AK$505,"○")&gt;0,1,0))</f>
        <v>0</v>
      </c>
      <c r="BC276" s="39" t="n">
        <f aca="false">IF(BC$4=0,0,IF(COUNTIFS(実績!$W$6:$W$505,BC$3,実績!$AI$6:$AI$505,"&lt;="&amp;$A276,実績!$AJ$6:$AJ$505,"&gt;"&amp;$A276,実績!$AK$6:$AK$505,"○")&gt;0,1,0))</f>
        <v>0</v>
      </c>
      <c r="BD276" s="39" t="n">
        <f aca="false">IF(BD$4=0,0,IF(COUNTIFS(実績!$W$6:$W$505,BD$3,実績!$AI$6:$AI$505,"&lt;="&amp;$A276,実績!$AJ$6:$AJ$505,"&gt;"&amp;$A276,実績!$AK$6:$AK$505,"○")&gt;0,1,0))</f>
        <v>0</v>
      </c>
      <c r="BE276" s="39" t="n">
        <f aca="false">IF(BE$4=0,0,IF(COUNTIFS(実績!$W$6:$W$505,BE$3,実績!$AI$6:$AI$505,"&lt;="&amp;$A276,実績!$AJ$6:$AJ$505,"&gt;"&amp;$A276,実績!$AK$6:$AK$505,"○")&gt;0,1,0))</f>
        <v>0</v>
      </c>
      <c r="BF276" s="39" t="n">
        <f aca="false">IF(BF$4=0,0,IF(COUNTIFS(実績!$W$6:$W$505,BF$3,実績!$AI$6:$AI$505,"&lt;="&amp;$A276,実績!$AJ$6:$AJ$505,"&gt;"&amp;$A276,実績!$AK$6:$AK$505,"○")&gt;0,1,0))</f>
        <v>0</v>
      </c>
      <c r="BG276" s="39" t="n">
        <f aca="false">IF(BG$4=0,0,IF(COUNTIFS(実績!$W$6:$W$505,BG$3,実績!$AI$6:$AI$505,"&lt;="&amp;$A276,実績!$AJ$6:$AJ$505,"&gt;"&amp;$A276,実績!$AK$6:$AK$505,"○")&gt;0,1,0))</f>
        <v>0</v>
      </c>
      <c r="BH276" s="39" t="n">
        <f aca="false">IF(BH$4=0,0,IF(COUNTIFS(実績!$W$6:$W$505,BH$3,実績!$AI$6:$AI$505,"&lt;="&amp;$A276,実績!$AJ$6:$AJ$505,"&gt;"&amp;$A276,実績!$AK$6:$AK$505,"○")&gt;0,1,0))</f>
        <v>0</v>
      </c>
      <c r="BI276" s="39" t="n">
        <f aca="false">IF(BI$4=0,0,IF(COUNTIFS(実績!$W$6:$W$505,BI$3,実績!$AI$6:$AI$505,"&lt;="&amp;$A276,実績!$AJ$6:$AJ$505,"&gt;"&amp;$A276,実績!$AK$6:$AK$505,"○")&gt;0,1,0))</f>
        <v>0</v>
      </c>
      <c r="BJ276" s="39" t="n">
        <f aca="false">IF(BJ$4=0,0,IF(COUNTIFS(実績!$W$6:$W$505,BJ$3,実績!$AI$6:$AI$505,"&lt;="&amp;$A276,実績!$AJ$6:$AJ$505,"&gt;"&amp;$A276,実績!$AK$6:$AK$505,"○")&gt;0,1,0))</f>
        <v>0</v>
      </c>
      <c r="BK276" s="39" t="n">
        <f aca="false">IF(BK$4=0,0,IF(COUNTIFS(実績!$W$6:$W$505,BK$3,実績!$AI$6:$AI$505,"&lt;="&amp;$A276,実績!$AJ$6:$AJ$505,"&gt;"&amp;$A276,実績!$AK$6:$AK$505,"○")&gt;0,1,0))</f>
        <v>0</v>
      </c>
      <c r="BL276" s="39" t="n">
        <f aca="false">IF(BL$4=0,0,IF(COUNTIFS(実績!$W$6:$W$505,BL$3,実績!$AI$6:$AI$505,"&lt;="&amp;$A276,実績!$AJ$6:$AJ$505,"&gt;"&amp;$A276,実績!$AK$6:$AK$505,"○")&gt;0,1,0))</f>
        <v>0</v>
      </c>
      <c r="BM276" s="39" t="n">
        <f aca="false">IF(BM$4=0,0,IF(COUNTIFS(実績!$W$6:$W$505,BM$3,実績!$AI$6:$AI$505,"&lt;="&amp;$A276,実績!$AJ$6:$AJ$505,"&gt;"&amp;$A276,実績!$AK$6:$AK$505,"○")&gt;0,1,0))</f>
        <v>0</v>
      </c>
      <c r="BN276" s="39" t="n">
        <f aca="false">IF(BN$4=0,0,IF(COUNTIFS(実績!$W$6:$W$505,BN$3,実績!$AI$6:$AI$505,"&lt;="&amp;$A276,実績!$AJ$6:$AJ$505,"&gt;"&amp;$A276,実績!$AK$6:$AK$505,"○")&gt;0,1,0))</f>
        <v>0</v>
      </c>
      <c r="BO276" s="39" t="n">
        <f aca="false">IF(BO$4=0,0,IF(COUNTIFS(実績!$W$6:$W$505,BO$3,実績!$AI$6:$AI$505,"&lt;="&amp;$A276,実績!$AJ$6:$AJ$505,"&gt;"&amp;$A276,実績!$AK$6:$AK$505,"○")&gt;0,1,0))</f>
        <v>0</v>
      </c>
      <c r="BP276" s="39" t="n">
        <f aca="false">IF(BP$4=0,0,IF(COUNTIFS(実績!$W$6:$W$505,BP$3,実績!$AI$6:$AI$505,"&lt;="&amp;$A276,実績!$AJ$6:$AJ$505,"&gt;"&amp;$A276,実績!$AK$6:$AK$505,"○")&gt;0,1,0))</f>
        <v>0</v>
      </c>
      <c r="BQ276" s="39" t="n">
        <f aca="false">IF(BQ$4=0,0,IF(COUNTIFS(実績!$W$6:$W$505,BQ$3,実績!$AI$6:$AI$505,"&lt;="&amp;$A276,実績!$AJ$6:$AJ$505,"&gt;"&amp;$A276,実績!$AK$6:$AK$505,"○")&gt;0,1,0))</f>
        <v>0</v>
      </c>
      <c r="BR276" s="39" t="n">
        <f aca="false">IF(BR$4=0,0,IF(COUNTIFS(実績!$W$6:$W$505,BR$3,実績!$AI$6:$AI$505,"&lt;="&amp;$A276,実績!$AJ$6:$AJ$505,"&gt;"&amp;$A276,実績!$AK$6:$AK$505,"○")&gt;0,1,0))</f>
        <v>0</v>
      </c>
      <c r="BS276" s="39" t="n">
        <f aca="false">IF(BS$4=0,0,IF(COUNTIFS(実績!$W$6:$W$505,BS$3,実績!$AI$6:$AI$505,"&lt;="&amp;$A276,実績!$AJ$6:$AJ$505,"&gt;"&amp;$A276,実績!$AK$6:$AK$505,"○")&gt;0,1,0))</f>
        <v>0</v>
      </c>
      <c r="BT276" s="39" t="n">
        <f aca="false">IF(BT$4=0,0,IF(COUNTIFS(実績!$W$6:$W$505,BT$3,実績!$AI$6:$AI$505,"&lt;="&amp;$A276,実績!$AJ$6:$AJ$505,"&gt;"&amp;$A276,実績!$AK$6:$AK$505,"○")&gt;0,1,0))</f>
        <v>0</v>
      </c>
      <c r="BU276" s="39" t="n">
        <f aca="false">IF(BU$4=0,0,IF(COUNTIFS(実績!$W$6:$W$505,BU$3,実績!$AI$6:$AI$505,"&lt;="&amp;$A276,実績!$AJ$6:$AJ$505,"&gt;"&amp;$A276,実績!$AK$6:$AK$505,"○")&gt;0,1,0))</f>
        <v>0</v>
      </c>
      <c r="BV276" s="39" t="n">
        <f aca="false">IF(BV$4=0,0,IF(COUNTIFS(実績!$W$6:$W$505,BV$3,実績!$AI$6:$AI$505,"&lt;="&amp;$A276,実績!$AJ$6:$AJ$505,"&gt;"&amp;$A276,実績!$AK$6:$AK$505,"○")&gt;0,1,0))</f>
        <v>0</v>
      </c>
      <c r="BW276" s="39" t="n">
        <f aca="false">IF(BW$4=0,0,IF(COUNTIFS(実績!$W$6:$W$505,BW$3,実績!$AI$6:$AI$505,"&lt;="&amp;$A276,実績!$AJ$6:$AJ$505,"&gt;"&amp;$A276,実績!$AK$6:$AK$505,"○")&gt;0,1,0))</f>
        <v>0</v>
      </c>
      <c r="BX276" s="39" t="n">
        <f aca="false">IF(BX$4=0,0,IF(COUNTIFS(実績!$W$6:$W$505,BX$3,実績!$AI$6:$AI$505,"&lt;="&amp;$A276,実績!$AJ$6:$AJ$505,"&gt;"&amp;$A276,実績!$AK$6:$AK$505,"○")&gt;0,1,0))</f>
        <v>0</v>
      </c>
      <c r="BY276" s="39" t="n">
        <f aca="false">IF(BY$4=0,0,IF(COUNTIFS(実績!$W$6:$W$505,BY$3,実績!$AI$6:$AI$505,"&lt;="&amp;$A276,実績!$AJ$6:$AJ$505,"&gt;"&amp;$A276,実績!$AK$6:$AK$505,"○")&gt;0,1,0))</f>
        <v>0</v>
      </c>
      <c r="BZ276" s="39" t="n">
        <f aca="false">IF(BZ$4=0,0,IF(COUNTIFS(実績!$W$6:$W$505,BZ$3,実績!$AI$6:$AI$505,"&lt;="&amp;$A276,実績!$AJ$6:$AJ$505,"&gt;"&amp;$A276,実績!$AK$6:$AK$505,"○")&gt;0,1,0))</f>
        <v>0</v>
      </c>
      <c r="CA276" s="39" t="n">
        <f aca="false">IF(CA$4=0,0,IF(COUNTIFS(実績!$W$6:$W$505,CA$3,実績!$AI$6:$AI$505,"&lt;="&amp;$A276,実績!$AJ$6:$AJ$505,"&gt;"&amp;$A276,実績!$AK$6:$AK$505,"○")&gt;0,1,0))</f>
        <v>0</v>
      </c>
      <c r="CB276" s="39" t="n">
        <f aca="false">IF(CB$4=0,0,IF(COUNTIFS(実績!$W$6:$W$505,CB$3,実績!$AI$6:$AI$505,"&lt;="&amp;$A276,実績!$AJ$6:$AJ$505,"&gt;"&amp;$A276,実績!$AK$6:$AK$505,"○")&gt;0,1,0))</f>
        <v>0</v>
      </c>
      <c r="CC276" s="39" t="n">
        <f aca="false">IF(CC$4=0,0,IF(COUNTIFS(実績!$W$6:$W$505,CC$3,実績!$AI$6:$AI$505,"&lt;="&amp;$A276,実績!$AJ$6:$AJ$505,"&gt;"&amp;$A276,実績!$AK$6:$AK$505,"○")&gt;0,1,0))</f>
        <v>0</v>
      </c>
      <c r="CD276" s="39" t="n">
        <f aca="false">IF(CD$4=0,0,IF(COUNTIFS(実績!$W$6:$W$505,CD$3,実績!$AI$6:$AI$505,"&lt;="&amp;$A276,実績!$AJ$6:$AJ$505,"&gt;"&amp;$A276,実績!$AK$6:$AK$505,"○")&gt;0,1,0))</f>
        <v>0</v>
      </c>
      <c r="CE276" s="39" t="n">
        <f aca="false">IF(CE$4=0,0,IF(COUNTIFS(実績!$W$6:$W$505,CE$3,実績!$AI$6:$AI$505,"&lt;="&amp;$A276,実績!$AJ$6:$AJ$505,"&gt;"&amp;$A276,実績!$AK$6:$AK$505,"○")&gt;0,1,0))</f>
        <v>0</v>
      </c>
      <c r="CF276" s="39" t="n">
        <f aca="false">IF(CF$4=0,0,IF(COUNTIFS(実績!$W$6:$W$505,CF$3,実績!$AI$6:$AI$505,"&lt;="&amp;$A276,実績!$AJ$6:$AJ$505,"&gt;"&amp;$A276,実績!$AK$6:$AK$505,"○")&gt;0,1,0))</f>
        <v>0</v>
      </c>
      <c r="CG276" s="39" t="n">
        <f aca="false">IF(CG$4=0,0,IF(COUNTIFS(実績!$W$6:$W$505,CG$3,実績!$AI$6:$AI$505,"&lt;="&amp;$A276,実績!$AJ$6:$AJ$505,"&gt;"&amp;$A276,実績!$AK$6:$AK$505,"○")&gt;0,1,0))</f>
        <v>0</v>
      </c>
      <c r="CH276" s="39" t="n">
        <f aca="false">IF(CH$4=0,0,IF(COUNTIFS(実績!$W$6:$W$505,CH$3,実績!$AI$6:$AI$505,"&lt;="&amp;$A276,実績!$AJ$6:$AJ$505,"&gt;"&amp;$A276,実績!$AK$6:$AK$505,"○")&gt;0,1,0))</f>
        <v>0</v>
      </c>
      <c r="CI276" s="39" t="n">
        <f aca="false">IF(CI$4=0,0,IF(COUNTIFS(実績!$W$6:$W$505,CI$3,実績!$AI$6:$AI$505,"&lt;="&amp;$A276,実績!$AJ$6:$AJ$505,"&gt;"&amp;$A276,実績!$AK$6:$AK$505,"○")&gt;0,1,0))</f>
        <v>0</v>
      </c>
      <c r="CJ276" s="39" t="n">
        <f aca="false">IF(CJ$4=0,0,IF(COUNTIFS(実績!$W$6:$W$505,CJ$3,実績!$AI$6:$AI$505,"&lt;="&amp;$A276,実績!$AJ$6:$AJ$505,"&gt;"&amp;$A276,実績!$AK$6:$AK$505,"○")&gt;0,1,0))</f>
        <v>0</v>
      </c>
      <c r="CK276" s="39" t="n">
        <f aca="false">IF(CK$4=0,0,IF(COUNTIFS(実績!$W$6:$W$505,CK$3,実績!$AI$6:$AI$505,"&lt;="&amp;$A276,実績!$AJ$6:$AJ$505,"&gt;"&amp;$A276,実績!$AK$6:$AK$505,"○")&gt;0,1,0))</f>
        <v>0</v>
      </c>
      <c r="CL276" s="39" t="n">
        <f aca="false">IF(CL$4=0,0,IF(COUNTIFS(実績!$W$6:$W$505,CL$3,実績!$AI$6:$AI$505,"&lt;="&amp;$A276,実績!$AJ$6:$AJ$505,"&gt;"&amp;$A276,実績!$AK$6:$AK$505,"○")&gt;0,1,0))</f>
        <v>0</v>
      </c>
      <c r="CM276" s="39" t="n">
        <f aca="false">IF(CM$4=0,0,IF(COUNTIFS(実績!$W$6:$W$505,CM$3,実績!$AI$6:$AI$505,"&lt;="&amp;$A276,実績!$AJ$6:$AJ$505,"&gt;"&amp;$A276,実績!$AK$6:$AK$505,"○")&gt;0,1,0))</f>
        <v>0</v>
      </c>
      <c r="CN276" s="39" t="n">
        <f aca="false">IF(CN$4=0,0,IF(COUNTIFS(実績!$W$6:$W$505,CN$3,実績!$AI$6:$AI$505,"&lt;="&amp;$A276,実績!$AJ$6:$AJ$505,"&gt;"&amp;$A276,実績!$AK$6:$AK$505,"○")&gt;0,1,0))</f>
        <v>0</v>
      </c>
      <c r="CO276" s="39" t="n">
        <f aca="false">IF(CO$4=0,0,IF(COUNTIFS(実績!$W$6:$W$505,CO$3,実績!$AI$6:$AI$505,"&lt;="&amp;$A276,実績!$AJ$6:$AJ$505,"&gt;"&amp;$A276,実績!$AK$6:$AK$505,"○")&gt;0,1,0))</f>
        <v>0</v>
      </c>
      <c r="CP276" s="39" t="n">
        <f aca="false">IF(CP$4=0,0,IF(COUNTIFS(実績!$W$6:$W$505,CP$3,実績!$AI$6:$AI$505,"&lt;="&amp;$A276,実績!$AJ$6:$AJ$505,"&gt;"&amp;$A276,実績!$AK$6:$AK$505,"○")&gt;0,1,0))</f>
        <v>0</v>
      </c>
      <c r="CQ276" s="39" t="n">
        <f aca="false">IF(CQ$4=0,0,IF(COUNTIFS(実績!$W$6:$W$505,CQ$3,実績!$AI$6:$AI$505,"&lt;="&amp;$A276,実績!$AJ$6:$AJ$505,"&gt;"&amp;$A276,実績!$AK$6:$AK$505,"○")&gt;0,1,0))</f>
        <v>0</v>
      </c>
      <c r="CR276" s="39" t="n">
        <f aca="false">IF(CR$4=0,0,IF(COUNTIFS(実績!$W$6:$W$505,CR$3,実績!$AI$6:$AI$505,"&lt;="&amp;$A276,実績!$AJ$6:$AJ$505,"&gt;"&amp;$A276,実績!$AK$6:$AK$505,"○")&gt;0,1,0))</f>
        <v>0</v>
      </c>
      <c r="CS276" s="39" t="n">
        <f aca="false">IF(CS$4=0,0,IF(COUNTIFS(実績!$W$6:$W$505,CS$3,実績!$AI$6:$AI$505,"&lt;="&amp;$A276,実績!$AJ$6:$AJ$505,"&gt;"&amp;$A276,実績!$AK$6:$AK$505,"○")&gt;0,1,0))</f>
        <v>0</v>
      </c>
      <c r="CT276" s="39" t="n">
        <f aca="false">IF(CT$4=0,0,IF(COUNTIFS(実績!$W$6:$W$505,CT$3,実績!$AI$6:$AI$505,"&lt;="&amp;$A276,実績!$AJ$6:$AJ$505,"&gt;"&amp;$A276,実績!$AK$6:$AK$505,"○")&gt;0,1,0))</f>
        <v>0</v>
      </c>
      <c r="CU276" s="39" t="n">
        <f aca="false">IF(CU$4=0,0,IF(COUNTIFS(実績!$W$6:$W$505,CU$3,実績!$AI$6:$AI$505,"&lt;="&amp;$A276,実績!$AJ$6:$AJ$505,"&gt;"&amp;$A276,実績!$AK$6:$AK$505,"○")&gt;0,1,0))</f>
        <v>0</v>
      </c>
      <c r="CV276" s="39" t="n">
        <f aca="false">IF(CV$4=0,0,IF(COUNTIFS(実績!$W$6:$W$505,CV$3,実績!$AI$6:$AI$505,"&lt;="&amp;$A276,実績!$AJ$6:$AJ$505,"&gt;"&amp;$A276,実績!$AK$6:$AK$505,"○")&gt;0,1,0))</f>
        <v>0</v>
      </c>
      <c r="CW276" s="39" t="n">
        <f aca="false">IF(CW$4=0,0,IF(COUNTIFS(実績!$W$6:$W$505,CW$3,実績!$AI$6:$AI$505,"&lt;="&amp;$A276,実績!$AJ$6:$AJ$505,"&gt;"&amp;$A276,実績!$AK$6:$AK$505,"○")&gt;0,1,0))</f>
        <v>0</v>
      </c>
      <c r="CX276" s="39" t="n">
        <f aca="false">IF(CX$4=0,0,IF(COUNTIFS(実績!$W$6:$W$505,CX$3,実績!$AI$6:$AI$505,"&lt;="&amp;$A276,実績!$AJ$6:$AJ$505,"&gt;"&amp;$A276,実績!$AK$6:$AK$505,"○")&gt;0,1,0))</f>
        <v>0</v>
      </c>
      <c r="CY276" s="39" t="n">
        <f aca="false">IF(CY$4=0,0,IF(COUNTIFS(実績!$W$6:$W$505,CY$3,実績!$AI$6:$AI$505,"&lt;="&amp;$A276,実績!$AJ$6:$AJ$505,"&gt;"&amp;$A276,実績!$AK$6:$AK$505,"○")&gt;0,1,0))</f>
        <v>0</v>
      </c>
      <c r="CZ276" s="39" t="n">
        <f aca="false">IF(CZ$4=0,0,IF(COUNTIFS(実績!$W$6:$W$505,CZ$3,実績!$AI$6:$AI$505,"&lt;="&amp;$A276,実績!$AJ$6:$AJ$505,"&gt;"&amp;$A276,実績!$AK$6:$AK$505,"○")&gt;0,1,0))</f>
        <v>0</v>
      </c>
      <c r="DA276" s="39" t="n">
        <f aca="false">IF(DA$4=0,0,IF(COUNTIFS(実績!$W$6:$W$505,DA$3,実績!$AI$6:$AI$505,"&lt;="&amp;$A276,実績!$AJ$6:$AJ$505,"&gt;"&amp;$A276,実績!$AK$6:$AK$505,"○")&gt;0,1,0))</f>
        <v>0</v>
      </c>
      <c r="DB276" s="39" t="n">
        <f aca="false">IF(DB$4=0,0,IF(COUNTIFS(実績!$W$6:$W$505,DB$3,実績!$AI$6:$AI$505,"&lt;="&amp;$A276,実績!$AJ$6:$AJ$505,"&gt;"&amp;$A276,実績!$AK$6:$AK$505,"○")&gt;0,1,0))</f>
        <v>0</v>
      </c>
      <c r="DC276" s="39" t="n">
        <f aca="false">IF(DC$4=0,0,IF(COUNTIFS(実績!$W$6:$W$505,DC$3,実績!$AI$6:$AI$505,"&lt;="&amp;$A276,実績!$AJ$6:$AJ$505,"&gt;"&amp;$A276,実績!$AK$6:$AK$505,"○")&gt;0,1,0))</f>
        <v>0</v>
      </c>
      <c r="DD276" s="39" t="n">
        <f aca="false">IF(DD$4=0,0,IF(COUNTIFS(実績!$W$6:$W$505,DD$3,実績!$AI$6:$AI$505,"&lt;="&amp;$A276,実績!$AJ$6:$AJ$505,"&gt;"&amp;$A276,実績!$AK$6:$AK$505,"○")&gt;0,1,0))</f>
        <v>0</v>
      </c>
      <c r="DE276" s="39" t="n">
        <f aca="false">IF(DE$4=0,0,IF(COUNTIFS(実績!$W$6:$W$505,DE$3,実績!$AI$6:$AI$505,"&lt;="&amp;$A276,実績!$AJ$6:$AJ$505,"&gt;"&amp;$A276,実績!$AK$6:$AK$505,"○")&gt;0,1,0))</f>
        <v>0</v>
      </c>
      <c r="DF276" s="39" t="n">
        <f aca="false">IF(DF$4=0,0,IF(COUNTIFS(実績!$W$6:$W$505,DF$3,実績!$AI$6:$AI$505,"&lt;="&amp;$A276,実績!$AJ$6:$AJ$505,"&gt;"&amp;$A276,実績!$AK$6:$AK$505,"○")&gt;0,1,0))</f>
        <v>0</v>
      </c>
      <c r="DG276" s="39" t="n">
        <f aca="false">IF(DG$4=0,0,IF(COUNTIFS(実績!$W$6:$W$505,DG$3,実績!$AI$6:$AI$505,"&lt;="&amp;$A276,実績!$AJ$6:$AJ$505,"&gt;"&amp;$A276,実績!$AK$6:$AK$505,"○")&gt;0,1,0))</f>
        <v>0</v>
      </c>
      <c r="DH276" s="39" t="n">
        <f aca="false">IF(DH$4=0,0,IF(COUNTIFS(実績!$W$6:$W$505,DH$3,実績!$AI$6:$AI$505,"&lt;="&amp;$A276,実績!$AJ$6:$AJ$505,"&gt;"&amp;$A276,実績!$AK$6:$AK$505,"○")&gt;0,1,0))</f>
        <v>0</v>
      </c>
      <c r="DI276" s="39" t="n">
        <f aca="false">IF(DI$4=0,0,IF(COUNTIFS(実績!$W$6:$W$505,DI$3,実績!$AI$6:$AI$505,"&lt;="&amp;$A276,実績!$AJ$6:$AJ$505,"&gt;"&amp;$A276,実績!$AK$6:$AK$505,"○")&gt;0,1,0))</f>
        <v>0</v>
      </c>
      <c r="DJ276" s="39" t="n">
        <f aca="false">IF(DJ$4=0,0,IF(COUNTIFS(実績!$W$6:$W$505,DJ$3,実績!$AI$6:$AI$505,"&lt;="&amp;$A276,実績!$AJ$6:$AJ$505,"&gt;"&amp;$A276,実績!$AK$6:$AK$505,"○")&gt;0,1,0))</f>
        <v>0</v>
      </c>
      <c r="DK276" s="39" t="n">
        <f aca="false">IF(DK$4=0,0,IF(COUNTIFS(実績!$W$6:$W$505,DK$3,実績!$AI$6:$AI$505,"&lt;="&amp;$A276,実績!$AJ$6:$AJ$505,"&gt;"&amp;$A276,実績!$AK$6:$AK$505,"○")&gt;0,1,0))</f>
        <v>0</v>
      </c>
      <c r="DL276" s="39" t="n">
        <f aca="false">IF(DL$4=0,0,IF(COUNTIFS(実績!$W$6:$W$505,DL$3,実績!$AI$6:$AI$505,"&lt;="&amp;$A276,実績!$AJ$6:$AJ$505,"&gt;"&amp;$A276,実績!$AK$6:$AK$505,"○")&gt;0,1,0))</f>
        <v>0</v>
      </c>
      <c r="DM276" s="39" t="n">
        <f aca="false">IF(DM$4=0,0,IF(COUNTIFS(実績!$W$6:$W$505,DM$3,実績!$AI$6:$AI$505,"&lt;="&amp;$A276,実績!$AJ$6:$AJ$505,"&gt;"&amp;$A276,実績!$AK$6:$AK$505,"○")&gt;0,1,0))</f>
        <v>0</v>
      </c>
      <c r="DN276" s="39" t="n">
        <f aca="false">IF(DN$4=0,0,IF(COUNTIFS(実績!$W$6:$W$505,DN$3,実績!$AI$6:$AI$505,"&lt;="&amp;$A276,実績!$AJ$6:$AJ$505,"&gt;"&amp;$A276,実績!$AK$6:$AK$505,"○")&gt;0,1,0))</f>
        <v>0</v>
      </c>
      <c r="DO276" s="39" t="n">
        <f aca="false">IF(DO$4=0,0,IF(COUNTIFS(実績!$W$6:$W$505,DO$3,実績!$AI$6:$AI$505,"&lt;="&amp;$A276,実績!$AJ$6:$AJ$505,"&gt;"&amp;$A276,実績!$AK$6:$AK$505,"○")&gt;0,1,0))</f>
        <v>0</v>
      </c>
      <c r="DP276" s="39" t="n">
        <f aca="false">IF(DP$4=0,0,IF(COUNTIFS(実績!$W$6:$W$505,DP$3,実績!$AI$6:$AI$505,"&lt;="&amp;$A276,実績!$AJ$6:$AJ$505,"&gt;"&amp;$A276,実績!$AK$6:$AK$505,"○")&gt;0,1,0))</f>
        <v>0</v>
      </c>
      <c r="DQ276" s="39" t="n">
        <f aca="false">IF(DQ$4=0,0,IF(COUNTIFS(実績!$W$6:$W$505,DQ$3,実績!$AI$6:$AI$505,"&lt;="&amp;$A276,実績!$AJ$6:$AJ$505,"&gt;"&amp;$A276,実績!$AK$6:$AK$505,"○")&gt;0,1,0))</f>
        <v>0</v>
      </c>
      <c r="DR276" s="39" t="n">
        <f aca="false">IF(DR$4=0,0,IF(COUNTIFS(実績!$W$6:$W$505,DR$3,実績!$AI$6:$AI$505,"&lt;="&amp;$A276,実績!$AJ$6:$AJ$505,"&gt;"&amp;$A276,実績!$AK$6:$AK$505,"○")&gt;0,1,0))</f>
        <v>0</v>
      </c>
      <c r="DS276" s="39" t="n">
        <f aca="false">SUM(C276:DR276)</f>
        <v>0</v>
      </c>
      <c r="DT276" s="39" t="n">
        <f aca="false">SUMPRODUCT((実績!$C$6:$C$505="○")*ISNUMBER(実績!$AM$6:$AM$505)*(実績!$AM$6:$AM$505&lt;=$A276)*(実績!$AN$6:$AN$505&gt;$A276))</f>
        <v>0</v>
      </c>
      <c r="DU276" s="39" t="n">
        <f aca="false">SUMIF($C$2:$DR$2,"製鉄曳船",C276:DR276)</f>
        <v>0</v>
      </c>
      <c r="DV276" s="39" t="n">
        <f aca="false">SUMIF($C$2:$DR$2,"西日本海運",C276:DR276)</f>
        <v>0</v>
      </c>
    </row>
    <row r="277" customFormat="false" ht="15" hidden="false" customHeight="false" outlineLevel="0" collapsed="false">
      <c r="A277" s="0" t="n">
        <v>1355</v>
      </c>
      <c r="B277" s="38" t="n">
        <f aca="false">A277/1440</f>
        <v>0.940972222222222</v>
      </c>
      <c r="C277" s="39" t="n">
        <f aca="false">IF(C$4=0,0,IF(COUNTIFS(実績!$W$6:$W$505,C$3,実績!$AI$6:$AI$505,"&lt;="&amp;$A277,実績!$AJ$6:$AJ$505,"&gt;"&amp;$A277,実績!$AK$6:$AK$505,"○")&gt;0,1,0))</f>
        <v>0</v>
      </c>
      <c r="D277" s="39" t="n">
        <f aca="false">IF(D$4=0,0,IF(COUNTIFS(実績!$W$6:$W$505,D$3,実績!$AI$6:$AI$505,"&lt;="&amp;$A277,実績!$AJ$6:$AJ$505,"&gt;"&amp;$A277,実績!$AK$6:$AK$505,"○")&gt;0,1,0))</f>
        <v>0</v>
      </c>
      <c r="E277" s="39" t="n">
        <f aca="false">IF(E$4=0,0,IF(COUNTIFS(実績!$W$6:$W$505,E$3,実績!$AI$6:$AI$505,"&lt;="&amp;$A277,実績!$AJ$6:$AJ$505,"&gt;"&amp;$A277,実績!$AK$6:$AK$505,"○")&gt;0,1,0))</f>
        <v>0</v>
      </c>
      <c r="F277" s="39" t="n">
        <f aca="false">IF(F$4=0,0,IF(COUNTIFS(実績!$W$6:$W$505,F$3,実績!$AI$6:$AI$505,"&lt;="&amp;$A277,実績!$AJ$6:$AJ$505,"&gt;"&amp;$A277,実績!$AK$6:$AK$505,"○")&gt;0,1,0))</f>
        <v>0</v>
      </c>
      <c r="G277" s="39" t="n">
        <f aca="false">IF(G$4=0,0,IF(COUNTIFS(実績!$W$6:$W$505,G$3,実績!$AI$6:$AI$505,"&lt;="&amp;$A277,実績!$AJ$6:$AJ$505,"&gt;"&amp;$A277,実績!$AK$6:$AK$505,"○")&gt;0,1,0))</f>
        <v>0</v>
      </c>
      <c r="H277" s="39" t="n">
        <f aca="false">IF(H$4=0,0,IF(COUNTIFS(実績!$W$6:$W$505,H$3,実績!$AI$6:$AI$505,"&lt;="&amp;$A277,実績!$AJ$6:$AJ$505,"&gt;"&amp;$A277,実績!$AK$6:$AK$505,"○")&gt;0,1,0))</f>
        <v>0</v>
      </c>
      <c r="I277" s="39" t="n">
        <f aca="false">IF(I$4=0,0,IF(COUNTIFS(実績!$W$6:$W$505,I$3,実績!$AI$6:$AI$505,"&lt;="&amp;$A277,実績!$AJ$6:$AJ$505,"&gt;"&amp;$A277,実績!$AK$6:$AK$505,"○")&gt;0,1,0))</f>
        <v>0</v>
      </c>
      <c r="J277" s="39" t="n">
        <f aca="false">IF(J$4=0,0,IF(COUNTIFS(実績!$W$6:$W$505,J$3,実績!$AI$6:$AI$505,"&lt;="&amp;$A277,実績!$AJ$6:$AJ$505,"&gt;"&amp;$A277,実績!$AK$6:$AK$505,"○")&gt;0,1,0))</f>
        <v>0</v>
      </c>
      <c r="K277" s="39" t="n">
        <f aca="false">IF(K$4=0,0,IF(COUNTIFS(実績!$W$6:$W$505,K$3,実績!$AI$6:$AI$505,"&lt;="&amp;$A277,実績!$AJ$6:$AJ$505,"&gt;"&amp;$A277,実績!$AK$6:$AK$505,"○")&gt;0,1,0))</f>
        <v>0</v>
      </c>
      <c r="L277" s="39" t="n">
        <f aca="false">IF(L$4=0,0,IF(COUNTIFS(実績!$W$6:$W$505,L$3,実績!$AI$6:$AI$505,"&lt;="&amp;$A277,実績!$AJ$6:$AJ$505,"&gt;"&amp;$A277,実績!$AK$6:$AK$505,"○")&gt;0,1,0))</f>
        <v>0</v>
      </c>
      <c r="M277" s="39" t="n">
        <f aca="false">IF(M$4=0,0,IF(COUNTIFS(実績!$W$6:$W$505,M$3,実績!$AI$6:$AI$505,"&lt;="&amp;$A277,実績!$AJ$6:$AJ$505,"&gt;"&amp;$A277,実績!$AK$6:$AK$505,"○")&gt;0,1,0))</f>
        <v>0</v>
      </c>
      <c r="N277" s="39" t="n">
        <f aca="false">IF(N$4=0,0,IF(COUNTIFS(実績!$W$6:$W$505,N$3,実績!$AI$6:$AI$505,"&lt;="&amp;$A277,実績!$AJ$6:$AJ$505,"&gt;"&amp;$A277,実績!$AK$6:$AK$505,"○")&gt;0,1,0))</f>
        <v>0</v>
      </c>
      <c r="O277" s="39" t="n">
        <f aca="false">IF(O$4=0,0,IF(COUNTIFS(実績!$W$6:$W$505,O$3,実績!$AI$6:$AI$505,"&lt;="&amp;$A277,実績!$AJ$6:$AJ$505,"&gt;"&amp;$A277,実績!$AK$6:$AK$505,"○")&gt;0,1,0))</f>
        <v>0</v>
      </c>
      <c r="P277" s="39" t="n">
        <f aca="false">IF(P$4=0,0,IF(COUNTIFS(実績!$W$6:$W$505,P$3,実績!$AI$6:$AI$505,"&lt;="&amp;$A277,実績!$AJ$6:$AJ$505,"&gt;"&amp;$A277,実績!$AK$6:$AK$505,"○")&gt;0,1,0))</f>
        <v>0</v>
      </c>
      <c r="Q277" s="39" t="n">
        <f aca="false">IF(Q$4=0,0,IF(COUNTIFS(実績!$W$6:$W$505,Q$3,実績!$AI$6:$AI$505,"&lt;="&amp;$A277,実績!$AJ$6:$AJ$505,"&gt;"&amp;$A277,実績!$AK$6:$AK$505,"○")&gt;0,1,0))</f>
        <v>0</v>
      </c>
      <c r="R277" s="39" t="n">
        <f aca="false">IF(R$4=0,0,IF(COUNTIFS(実績!$W$6:$W$505,R$3,実績!$AI$6:$AI$505,"&lt;="&amp;$A277,実績!$AJ$6:$AJ$505,"&gt;"&amp;$A277,実績!$AK$6:$AK$505,"○")&gt;0,1,0))</f>
        <v>0</v>
      </c>
      <c r="S277" s="39" t="n">
        <f aca="false">IF(S$4=0,0,IF(COUNTIFS(実績!$W$6:$W$505,S$3,実績!$AI$6:$AI$505,"&lt;="&amp;$A277,実績!$AJ$6:$AJ$505,"&gt;"&amp;$A277,実績!$AK$6:$AK$505,"○")&gt;0,1,0))</f>
        <v>0</v>
      </c>
      <c r="T277" s="39" t="n">
        <f aca="false">IF(T$4=0,0,IF(COUNTIFS(実績!$W$6:$W$505,T$3,実績!$AI$6:$AI$505,"&lt;="&amp;$A277,実績!$AJ$6:$AJ$505,"&gt;"&amp;$A277,実績!$AK$6:$AK$505,"○")&gt;0,1,0))</f>
        <v>0</v>
      </c>
      <c r="U277" s="39" t="n">
        <f aca="false">IF(U$4=0,0,IF(COUNTIFS(実績!$W$6:$W$505,U$3,実績!$AI$6:$AI$505,"&lt;="&amp;$A277,実績!$AJ$6:$AJ$505,"&gt;"&amp;$A277,実績!$AK$6:$AK$505,"○")&gt;0,1,0))</f>
        <v>0</v>
      </c>
      <c r="V277" s="39" t="n">
        <f aca="false">IF(V$4=0,0,IF(COUNTIFS(実績!$W$6:$W$505,V$3,実績!$AI$6:$AI$505,"&lt;="&amp;$A277,実績!$AJ$6:$AJ$505,"&gt;"&amp;$A277,実績!$AK$6:$AK$505,"○")&gt;0,1,0))</f>
        <v>0</v>
      </c>
      <c r="W277" s="39" t="n">
        <f aca="false">IF(W$4=0,0,IF(COUNTIFS(実績!$W$6:$W$505,W$3,実績!$AI$6:$AI$505,"&lt;="&amp;$A277,実績!$AJ$6:$AJ$505,"&gt;"&amp;$A277,実績!$AK$6:$AK$505,"○")&gt;0,1,0))</f>
        <v>0</v>
      </c>
      <c r="X277" s="39" t="n">
        <f aca="false">IF(X$4=0,0,IF(COUNTIFS(実績!$W$6:$W$505,X$3,実績!$AI$6:$AI$505,"&lt;="&amp;$A277,実績!$AJ$6:$AJ$505,"&gt;"&amp;$A277,実績!$AK$6:$AK$505,"○")&gt;0,1,0))</f>
        <v>0</v>
      </c>
      <c r="Y277" s="39" t="n">
        <f aca="false">IF(Y$4=0,0,IF(COUNTIFS(実績!$W$6:$W$505,Y$3,実績!$AI$6:$AI$505,"&lt;="&amp;$A277,実績!$AJ$6:$AJ$505,"&gt;"&amp;$A277,実績!$AK$6:$AK$505,"○")&gt;0,1,0))</f>
        <v>0</v>
      </c>
      <c r="Z277" s="39" t="n">
        <f aca="false">IF(Z$4=0,0,IF(COUNTIFS(実績!$W$6:$W$505,Z$3,実績!$AI$6:$AI$505,"&lt;="&amp;$A277,実績!$AJ$6:$AJ$505,"&gt;"&amp;$A277,実績!$AK$6:$AK$505,"○")&gt;0,1,0))</f>
        <v>0</v>
      </c>
      <c r="AA277" s="39" t="n">
        <f aca="false">IF(AA$4=0,0,IF(COUNTIFS(実績!$W$6:$W$505,AA$3,実績!$AI$6:$AI$505,"&lt;="&amp;$A277,実績!$AJ$6:$AJ$505,"&gt;"&amp;$A277,実績!$AK$6:$AK$505,"○")&gt;0,1,0))</f>
        <v>0</v>
      </c>
      <c r="AB277" s="39" t="n">
        <f aca="false">IF(AB$4=0,0,IF(COUNTIFS(実績!$W$6:$W$505,AB$3,実績!$AI$6:$AI$505,"&lt;="&amp;$A277,実績!$AJ$6:$AJ$505,"&gt;"&amp;$A277,実績!$AK$6:$AK$505,"○")&gt;0,1,0))</f>
        <v>0</v>
      </c>
      <c r="AC277" s="39" t="n">
        <f aca="false">IF(AC$4=0,0,IF(COUNTIFS(実績!$W$6:$W$505,AC$3,実績!$AI$6:$AI$505,"&lt;="&amp;$A277,実績!$AJ$6:$AJ$505,"&gt;"&amp;$A277,実績!$AK$6:$AK$505,"○")&gt;0,1,0))</f>
        <v>0</v>
      </c>
      <c r="AD277" s="39" t="n">
        <f aca="false">IF(AD$4=0,0,IF(COUNTIFS(実績!$W$6:$W$505,AD$3,実績!$AI$6:$AI$505,"&lt;="&amp;$A277,実績!$AJ$6:$AJ$505,"&gt;"&amp;$A277,実績!$AK$6:$AK$505,"○")&gt;0,1,0))</f>
        <v>0</v>
      </c>
      <c r="AE277" s="39" t="n">
        <f aca="false">IF(AE$4=0,0,IF(COUNTIFS(実績!$W$6:$W$505,AE$3,実績!$AI$6:$AI$505,"&lt;="&amp;$A277,実績!$AJ$6:$AJ$505,"&gt;"&amp;$A277,実績!$AK$6:$AK$505,"○")&gt;0,1,0))</f>
        <v>0</v>
      </c>
      <c r="AF277" s="39" t="n">
        <f aca="false">IF(AF$4=0,0,IF(COUNTIFS(実績!$W$6:$W$505,AF$3,実績!$AI$6:$AI$505,"&lt;="&amp;$A277,実績!$AJ$6:$AJ$505,"&gt;"&amp;$A277,実績!$AK$6:$AK$505,"○")&gt;0,1,0))</f>
        <v>0</v>
      </c>
      <c r="AG277" s="39" t="n">
        <f aca="false">IF(AG$4=0,0,IF(COUNTIFS(実績!$W$6:$W$505,AG$3,実績!$AI$6:$AI$505,"&lt;="&amp;$A277,実績!$AJ$6:$AJ$505,"&gt;"&amp;$A277,実績!$AK$6:$AK$505,"○")&gt;0,1,0))</f>
        <v>0</v>
      </c>
      <c r="AH277" s="39" t="n">
        <f aca="false">IF(AH$4=0,0,IF(COUNTIFS(実績!$W$6:$W$505,AH$3,実績!$AI$6:$AI$505,"&lt;="&amp;$A277,実績!$AJ$6:$AJ$505,"&gt;"&amp;$A277,実績!$AK$6:$AK$505,"○")&gt;0,1,0))</f>
        <v>0</v>
      </c>
      <c r="AI277" s="39" t="n">
        <f aca="false">IF(AI$4=0,0,IF(COUNTIFS(実績!$W$6:$W$505,AI$3,実績!$AI$6:$AI$505,"&lt;="&amp;$A277,実績!$AJ$6:$AJ$505,"&gt;"&amp;$A277,実績!$AK$6:$AK$505,"○")&gt;0,1,0))</f>
        <v>0</v>
      </c>
      <c r="AJ277" s="39" t="n">
        <f aca="false">IF(AJ$4=0,0,IF(COUNTIFS(実績!$W$6:$W$505,AJ$3,実績!$AI$6:$AI$505,"&lt;="&amp;$A277,実績!$AJ$6:$AJ$505,"&gt;"&amp;$A277,実績!$AK$6:$AK$505,"○")&gt;0,1,0))</f>
        <v>0</v>
      </c>
      <c r="AK277" s="39" t="n">
        <f aca="false">IF(AK$4=0,0,IF(COUNTIFS(実績!$W$6:$W$505,AK$3,実績!$AI$6:$AI$505,"&lt;="&amp;$A277,実績!$AJ$6:$AJ$505,"&gt;"&amp;$A277,実績!$AK$6:$AK$505,"○")&gt;0,1,0))</f>
        <v>0</v>
      </c>
      <c r="AL277" s="39" t="n">
        <f aca="false">IF(AL$4=0,0,IF(COUNTIFS(実績!$W$6:$W$505,AL$3,実績!$AI$6:$AI$505,"&lt;="&amp;$A277,実績!$AJ$6:$AJ$505,"&gt;"&amp;$A277,実績!$AK$6:$AK$505,"○")&gt;0,1,0))</f>
        <v>0</v>
      </c>
      <c r="AM277" s="39" t="n">
        <f aca="false">IF(AM$4=0,0,IF(COUNTIFS(実績!$W$6:$W$505,AM$3,実績!$AI$6:$AI$505,"&lt;="&amp;$A277,実績!$AJ$6:$AJ$505,"&gt;"&amp;$A277,実績!$AK$6:$AK$505,"○")&gt;0,1,0))</f>
        <v>0</v>
      </c>
      <c r="AN277" s="39" t="n">
        <f aca="false">IF(AN$4=0,0,IF(COUNTIFS(実績!$W$6:$W$505,AN$3,実績!$AI$6:$AI$505,"&lt;="&amp;$A277,実績!$AJ$6:$AJ$505,"&gt;"&amp;$A277,実績!$AK$6:$AK$505,"○")&gt;0,1,0))</f>
        <v>0</v>
      </c>
      <c r="AO277" s="39" t="n">
        <f aca="false">IF(AO$4=0,0,IF(COUNTIFS(実績!$W$6:$W$505,AO$3,実績!$AI$6:$AI$505,"&lt;="&amp;$A277,実績!$AJ$6:$AJ$505,"&gt;"&amp;$A277,実績!$AK$6:$AK$505,"○")&gt;0,1,0))</f>
        <v>0</v>
      </c>
      <c r="AP277" s="39" t="n">
        <f aca="false">IF(AP$4=0,0,IF(COUNTIFS(実績!$W$6:$W$505,AP$3,実績!$AI$6:$AI$505,"&lt;="&amp;$A277,実績!$AJ$6:$AJ$505,"&gt;"&amp;$A277,実績!$AK$6:$AK$505,"○")&gt;0,1,0))</f>
        <v>0</v>
      </c>
      <c r="AQ277" s="39" t="n">
        <f aca="false">IF(AQ$4=0,0,IF(COUNTIFS(実績!$W$6:$W$505,AQ$3,実績!$AI$6:$AI$505,"&lt;="&amp;$A277,実績!$AJ$6:$AJ$505,"&gt;"&amp;$A277,実績!$AK$6:$AK$505,"○")&gt;0,1,0))</f>
        <v>0</v>
      </c>
      <c r="AR277" s="39" t="n">
        <f aca="false">IF(AR$4=0,0,IF(COUNTIFS(実績!$W$6:$W$505,AR$3,実績!$AI$6:$AI$505,"&lt;="&amp;$A277,実績!$AJ$6:$AJ$505,"&gt;"&amp;$A277,実績!$AK$6:$AK$505,"○")&gt;0,1,0))</f>
        <v>0</v>
      </c>
      <c r="AS277" s="39" t="n">
        <f aca="false">IF(AS$4=0,0,IF(COUNTIFS(実績!$W$6:$W$505,AS$3,実績!$AI$6:$AI$505,"&lt;="&amp;$A277,実績!$AJ$6:$AJ$505,"&gt;"&amp;$A277,実績!$AK$6:$AK$505,"○")&gt;0,1,0))</f>
        <v>0</v>
      </c>
      <c r="AT277" s="39" t="n">
        <f aca="false">IF(AT$4=0,0,IF(COUNTIFS(実績!$W$6:$W$505,AT$3,実績!$AI$6:$AI$505,"&lt;="&amp;$A277,実績!$AJ$6:$AJ$505,"&gt;"&amp;$A277,実績!$AK$6:$AK$505,"○")&gt;0,1,0))</f>
        <v>0</v>
      </c>
      <c r="AU277" s="39" t="n">
        <f aca="false">IF(AU$4=0,0,IF(COUNTIFS(実績!$W$6:$W$505,AU$3,実績!$AI$6:$AI$505,"&lt;="&amp;$A277,実績!$AJ$6:$AJ$505,"&gt;"&amp;$A277,実績!$AK$6:$AK$505,"○")&gt;0,1,0))</f>
        <v>0</v>
      </c>
      <c r="AV277" s="39" t="n">
        <f aca="false">IF(AV$4=0,0,IF(COUNTIFS(実績!$W$6:$W$505,AV$3,実績!$AI$6:$AI$505,"&lt;="&amp;$A277,実績!$AJ$6:$AJ$505,"&gt;"&amp;$A277,実績!$AK$6:$AK$505,"○")&gt;0,1,0))</f>
        <v>0</v>
      </c>
      <c r="AW277" s="39" t="n">
        <f aca="false">IF(AW$4=0,0,IF(COUNTIFS(実績!$W$6:$W$505,AW$3,実績!$AI$6:$AI$505,"&lt;="&amp;$A277,実績!$AJ$6:$AJ$505,"&gt;"&amp;$A277,実績!$AK$6:$AK$505,"○")&gt;0,1,0))</f>
        <v>0</v>
      </c>
      <c r="AX277" s="39" t="n">
        <f aca="false">IF(AX$4=0,0,IF(COUNTIFS(実績!$W$6:$W$505,AX$3,実績!$AI$6:$AI$505,"&lt;="&amp;$A277,実績!$AJ$6:$AJ$505,"&gt;"&amp;$A277,実績!$AK$6:$AK$505,"○")&gt;0,1,0))</f>
        <v>0</v>
      </c>
      <c r="AY277" s="39" t="n">
        <f aca="false">IF(AY$4=0,0,IF(COUNTIFS(実績!$W$6:$W$505,AY$3,実績!$AI$6:$AI$505,"&lt;="&amp;$A277,実績!$AJ$6:$AJ$505,"&gt;"&amp;$A277,実績!$AK$6:$AK$505,"○")&gt;0,1,0))</f>
        <v>0</v>
      </c>
      <c r="AZ277" s="39" t="n">
        <f aca="false">IF(AZ$4=0,0,IF(COUNTIFS(実績!$W$6:$W$505,AZ$3,実績!$AI$6:$AI$505,"&lt;="&amp;$A277,実績!$AJ$6:$AJ$505,"&gt;"&amp;$A277,実績!$AK$6:$AK$505,"○")&gt;0,1,0))</f>
        <v>0</v>
      </c>
      <c r="BA277" s="39" t="n">
        <f aca="false">IF(BA$4=0,0,IF(COUNTIFS(実績!$W$6:$W$505,BA$3,実績!$AI$6:$AI$505,"&lt;="&amp;$A277,実績!$AJ$6:$AJ$505,"&gt;"&amp;$A277,実績!$AK$6:$AK$505,"○")&gt;0,1,0))</f>
        <v>0</v>
      </c>
      <c r="BB277" s="39" t="n">
        <f aca="false">IF(BB$4=0,0,IF(COUNTIFS(実績!$W$6:$W$505,BB$3,実績!$AI$6:$AI$505,"&lt;="&amp;$A277,実績!$AJ$6:$AJ$505,"&gt;"&amp;$A277,実績!$AK$6:$AK$505,"○")&gt;0,1,0))</f>
        <v>0</v>
      </c>
      <c r="BC277" s="39" t="n">
        <f aca="false">IF(BC$4=0,0,IF(COUNTIFS(実績!$W$6:$W$505,BC$3,実績!$AI$6:$AI$505,"&lt;="&amp;$A277,実績!$AJ$6:$AJ$505,"&gt;"&amp;$A277,実績!$AK$6:$AK$505,"○")&gt;0,1,0))</f>
        <v>0</v>
      </c>
      <c r="BD277" s="39" t="n">
        <f aca="false">IF(BD$4=0,0,IF(COUNTIFS(実績!$W$6:$W$505,BD$3,実績!$AI$6:$AI$505,"&lt;="&amp;$A277,実績!$AJ$6:$AJ$505,"&gt;"&amp;$A277,実績!$AK$6:$AK$505,"○")&gt;0,1,0))</f>
        <v>0</v>
      </c>
      <c r="BE277" s="39" t="n">
        <f aca="false">IF(BE$4=0,0,IF(COUNTIFS(実績!$W$6:$W$505,BE$3,実績!$AI$6:$AI$505,"&lt;="&amp;$A277,実績!$AJ$6:$AJ$505,"&gt;"&amp;$A277,実績!$AK$6:$AK$505,"○")&gt;0,1,0))</f>
        <v>0</v>
      </c>
      <c r="BF277" s="39" t="n">
        <f aca="false">IF(BF$4=0,0,IF(COUNTIFS(実績!$W$6:$W$505,BF$3,実績!$AI$6:$AI$505,"&lt;="&amp;$A277,実績!$AJ$6:$AJ$505,"&gt;"&amp;$A277,実績!$AK$6:$AK$505,"○")&gt;0,1,0))</f>
        <v>0</v>
      </c>
      <c r="BG277" s="39" t="n">
        <f aca="false">IF(BG$4=0,0,IF(COUNTIFS(実績!$W$6:$W$505,BG$3,実績!$AI$6:$AI$505,"&lt;="&amp;$A277,実績!$AJ$6:$AJ$505,"&gt;"&amp;$A277,実績!$AK$6:$AK$505,"○")&gt;0,1,0))</f>
        <v>0</v>
      </c>
      <c r="BH277" s="39" t="n">
        <f aca="false">IF(BH$4=0,0,IF(COUNTIFS(実績!$W$6:$W$505,BH$3,実績!$AI$6:$AI$505,"&lt;="&amp;$A277,実績!$AJ$6:$AJ$505,"&gt;"&amp;$A277,実績!$AK$6:$AK$505,"○")&gt;0,1,0))</f>
        <v>0</v>
      </c>
      <c r="BI277" s="39" t="n">
        <f aca="false">IF(BI$4=0,0,IF(COUNTIFS(実績!$W$6:$W$505,BI$3,実績!$AI$6:$AI$505,"&lt;="&amp;$A277,実績!$AJ$6:$AJ$505,"&gt;"&amp;$A277,実績!$AK$6:$AK$505,"○")&gt;0,1,0))</f>
        <v>0</v>
      </c>
      <c r="BJ277" s="39" t="n">
        <f aca="false">IF(BJ$4=0,0,IF(COUNTIFS(実績!$W$6:$W$505,BJ$3,実績!$AI$6:$AI$505,"&lt;="&amp;$A277,実績!$AJ$6:$AJ$505,"&gt;"&amp;$A277,実績!$AK$6:$AK$505,"○")&gt;0,1,0))</f>
        <v>0</v>
      </c>
      <c r="BK277" s="39" t="n">
        <f aca="false">IF(BK$4=0,0,IF(COUNTIFS(実績!$W$6:$W$505,BK$3,実績!$AI$6:$AI$505,"&lt;="&amp;$A277,実績!$AJ$6:$AJ$505,"&gt;"&amp;$A277,実績!$AK$6:$AK$505,"○")&gt;0,1,0))</f>
        <v>0</v>
      </c>
      <c r="BL277" s="39" t="n">
        <f aca="false">IF(BL$4=0,0,IF(COUNTIFS(実績!$W$6:$W$505,BL$3,実績!$AI$6:$AI$505,"&lt;="&amp;$A277,実績!$AJ$6:$AJ$505,"&gt;"&amp;$A277,実績!$AK$6:$AK$505,"○")&gt;0,1,0))</f>
        <v>0</v>
      </c>
      <c r="BM277" s="39" t="n">
        <f aca="false">IF(BM$4=0,0,IF(COUNTIFS(実績!$W$6:$W$505,BM$3,実績!$AI$6:$AI$505,"&lt;="&amp;$A277,実績!$AJ$6:$AJ$505,"&gt;"&amp;$A277,実績!$AK$6:$AK$505,"○")&gt;0,1,0))</f>
        <v>0</v>
      </c>
      <c r="BN277" s="39" t="n">
        <f aca="false">IF(BN$4=0,0,IF(COUNTIFS(実績!$W$6:$W$505,BN$3,実績!$AI$6:$AI$505,"&lt;="&amp;$A277,実績!$AJ$6:$AJ$505,"&gt;"&amp;$A277,実績!$AK$6:$AK$505,"○")&gt;0,1,0))</f>
        <v>0</v>
      </c>
      <c r="BO277" s="39" t="n">
        <f aca="false">IF(BO$4=0,0,IF(COUNTIFS(実績!$W$6:$W$505,BO$3,実績!$AI$6:$AI$505,"&lt;="&amp;$A277,実績!$AJ$6:$AJ$505,"&gt;"&amp;$A277,実績!$AK$6:$AK$505,"○")&gt;0,1,0))</f>
        <v>0</v>
      </c>
      <c r="BP277" s="39" t="n">
        <f aca="false">IF(BP$4=0,0,IF(COUNTIFS(実績!$W$6:$W$505,BP$3,実績!$AI$6:$AI$505,"&lt;="&amp;$A277,実績!$AJ$6:$AJ$505,"&gt;"&amp;$A277,実績!$AK$6:$AK$505,"○")&gt;0,1,0))</f>
        <v>0</v>
      </c>
      <c r="BQ277" s="39" t="n">
        <f aca="false">IF(BQ$4=0,0,IF(COUNTIFS(実績!$W$6:$W$505,BQ$3,実績!$AI$6:$AI$505,"&lt;="&amp;$A277,実績!$AJ$6:$AJ$505,"&gt;"&amp;$A277,実績!$AK$6:$AK$505,"○")&gt;0,1,0))</f>
        <v>0</v>
      </c>
      <c r="BR277" s="39" t="n">
        <f aca="false">IF(BR$4=0,0,IF(COUNTIFS(実績!$W$6:$W$505,BR$3,実績!$AI$6:$AI$505,"&lt;="&amp;$A277,実績!$AJ$6:$AJ$505,"&gt;"&amp;$A277,実績!$AK$6:$AK$505,"○")&gt;0,1,0))</f>
        <v>0</v>
      </c>
      <c r="BS277" s="39" t="n">
        <f aca="false">IF(BS$4=0,0,IF(COUNTIFS(実績!$W$6:$W$505,BS$3,実績!$AI$6:$AI$505,"&lt;="&amp;$A277,実績!$AJ$6:$AJ$505,"&gt;"&amp;$A277,実績!$AK$6:$AK$505,"○")&gt;0,1,0))</f>
        <v>0</v>
      </c>
      <c r="BT277" s="39" t="n">
        <f aca="false">IF(BT$4=0,0,IF(COUNTIFS(実績!$W$6:$W$505,BT$3,実績!$AI$6:$AI$505,"&lt;="&amp;$A277,実績!$AJ$6:$AJ$505,"&gt;"&amp;$A277,実績!$AK$6:$AK$505,"○")&gt;0,1,0))</f>
        <v>0</v>
      </c>
      <c r="BU277" s="39" t="n">
        <f aca="false">IF(BU$4=0,0,IF(COUNTIFS(実績!$W$6:$W$505,BU$3,実績!$AI$6:$AI$505,"&lt;="&amp;$A277,実績!$AJ$6:$AJ$505,"&gt;"&amp;$A277,実績!$AK$6:$AK$505,"○")&gt;0,1,0))</f>
        <v>0</v>
      </c>
      <c r="BV277" s="39" t="n">
        <f aca="false">IF(BV$4=0,0,IF(COUNTIFS(実績!$W$6:$W$505,BV$3,実績!$AI$6:$AI$505,"&lt;="&amp;$A277,実績!$AJ$6:$AJ$505,"&gt;"&amp;$A277,実績!$AK$6:$AK$505,"○")&gt;0,1,0))</f>
        <v>0</v>
      </c>
      <c r="BW277" s="39" t="n">
        <f aca="false">IF(BW$4=0,0,IF(COUNTIFS(実績!$W$6:$W$505,BW$3,実績!$AI$6:$AI$505,"&lt;="&amp;$A277,実績!$AJ$6:$AJ$505,"&gt;"&amp;$A277,実績!$AK$6:$AK$505,"○")&gt;0,1,0))</f>
        <v>0</v>
      </c>
      <c r="BX277" s="39" t="n">
        <f aca="false">IF(BX$4=0,0,IF(COUNTIFS(実績!$W$6:$W$505,BX$3,実績!$AI$6:$AI$505,"&lt;="&amp;$A277,実績!$AJ$6:$AJ$505,"&gt;"&amp;$A277,実績!$AK$6:$AK$505,"○")&gt;0,1,0))</f>
        <v>0</v>
      </c>
      <c r="BY277" s="39" t="n">
        <f aca="false">IF(BY$4=0,0,IF(COUNTIFS(実績!$W$6:$W$505,BY$3,実績!$AI$6:$AI$505,"&lt;="&amp;$A277,実績!$AJ$6:$AJ$505,"&gt;"&amp;$A277,実績!$AK$6:$AK$505,"○")&gt;0,1,0))</f>
        <v>0</v>
      </c>
      <c r="BZ277" s="39" t="n">
        <f aca="false">IF(BZ$4=0,0,IF(COUNTIFS(実績!$W$6:$W$505,BZ$3,実績!$AI$6:$AI$505,"&lt;="&amp;$A277,実績!$AJ$6:$AJ$505,"&gt;"&amp;$A277,実績!$AK$6:$AK$505,"○")&gt;0,1,0))</f>
        <v>0</v>
      </c>
      <c r="CA277" s="39" t="n">
        <f aca="false">IF(CA$4=0,0,IF(COUNTIFS(実績!$W$6:$W$505,CA$3,実績!$AI$6:$AI$505,"&lt;="&amp;$A277,実績!$AJ$6:$AJ$505,"&gt;"&amp;$A277,実績!$AK$6:$AK$505,"○")&gt;0,1,0))</f>
        <v>0</v>
      </c>
      <c r="CB277" s="39" t="n">
        <f aca="false">IF(CB$4=0,0,IF(COUNTIFS(実績!$W$6:$W$505,CB$3,実績!$AI$6:$AI$505,"&lt;="&amp;$A277,実績!$AJ$6:$AJ$505,"&gt;"&amp;$A277,実績!$AK$6:$AK$505,"○")&gt;0,1,0))</f>
        <v>0</v>
      </c>
      <c r="CC277" s="39" t="n">
        <f aca="false">IF(CC$4=0,0,IF(COUNTIFS(実績!$W$6:$W$505,CC$3,実績!$AI$6:$AI$505,"&lt;="&amp;$A277,実績!$AJ$6:$AJ$505,"&gt;"&amp;$A277,実績!$AK$6:$AK$505,"○")&gt;0,1,0))</f>
        <v>0</v>
      </c>
      <c r="CD277" s="39" t="n">
        <f aca="false">IF(CD$4=0,0,IF(COUNTIFS(実績!$W$6:$W$505,CD$3,実績!$AI$6:$AI$505,"&lt;="&amp;$A277,実績!$AJ$6:$AJ$505,"&gt;"&amp;$A277,実績!$AK$6:$AK$505,"○")&gt;0,1,0))</f>
        <v>0</v>
      </c>
      <c r="CE277" s="39" t="n">
        <f aca="false">IF(CE$4=0,0,IF(COUNTIFS(実績!$W$6:$W$505,CE$3,実績!$AI$6:$AI$505,"&lt;="&amp;$A277,実績!$AJ$6:$AJ$505,"&gt;"&amp;$A277,実績!$AK$6:$AK$505,"○")&gt;0,1,0))</f>
        <v>0</v>
      </c>
      <c r="CF277" s="39" t="n">
        <f aca="false">IF(CF$4=0,0,IF(COUNTIFS(実績!$W$6:$W$505,CF$3,実績!$AI$6:$AI$505,"&lt;="&amp;$A277,実績!$AJ$6:$AJ$505,"&gt;"&amp;$A277,実績!$AK$6:$AK$505,"○")&gt;0,1,0))</f>
        <v>0</v>
      </c>
      <c r="CG277" s="39" t="n">
        <f aca="false">IF(CG$4=0,0,IF(COUNTIFS(実績!$W$6:$W$505,CG$3,実績!$AI$6:$AI$505,"&lt;="&amp;$A277,実績!$AJ$6:$AJ$505,"&gt;"&amp;$A277,実績!$AK$6:$AK$505,"○")&gt;0,1,0))</f>
        <v>0</v>
      </c>
      <c r="CH277" s="39" t="n">
        <f aca="false">IF(CH$4=0,0,IF(COUNTIFS(実績!$W$6:$W$505,CH$3,実績!$AI$6:$AI$505,"&lt;="&amp;$A277,実績!$AJ$6:$AJ$505,"&gt;"&amp;$A277,実績!$AK$6:$AK$505,"○")&gt;0,1,0))</f>
        <v>0</v>
      </c>
      <c r="CI277" s="39" t="n">
        <f aca="false">IF(CI$4=0,0,IF(COUNTIFS(実績!$W$6:$W$505,CI$3,実績!$AI$6:$AI$505,"&lt;="&amp;$A277,実績!$AJ$6:$AJ$505,"&gt;"&amp;$A277,実績!$AK$6:$AK$505,"○")&gt;0,1,0))</f>
        <v>0</v>
      </c>
      <c r="CJ277" s="39" t="n">
        <f aca="false">IF(CJ$4=0,0,IF(COUNTIFS(実績!$W$6:$W$505,CJ$3,実績!$AI$6:$AI$505,"&lt;="&amp;$A277,実績!$AJ$6:$AJ$505,"&gt;"&amp;$A277,実績!$AK$6:$AK$505,"○")&gt;0,1,0))</f>
        <v>0</v>
      </c>
      <c r="CK277" s="39" t="n">
        <f aca="false">IF(CK$4=0,0,IF(COUNTIFS(実績!$W$6:$W$505,CK$3,実績!$AI$6:$AI$505,"&lt;="&amp;$A277,実績!$AJ$6:$AJ$505,"&gt;"&amp;$A277,実績!$AK$6:$AK$505,"○")&gt;0,1,0))</f>
        <v>0</v>
      </c>
      <c r="CL277" s="39" t="n">
        <f aca="false">IF(CL$4=0,0,IF(COUNTIFS(実績!$W$6:$W$505,CL$3,実績!$AI$6:$AI$505,"&lt;="&amp;$A277,実績!$AJ$6:$AJ$505,"&gt;"&amp;$A277,実績!$AK$6:$AK$505,"○")&gt;0,1,0))</f>
        <v>0</v>
      </c>
      <c r="CM277" s="39" t="n">
        <f aca="false">IF(CM$4=0,0,IF(COUNTIFS(実績!$W$6:$W$505,CM$3,実績!$AI$6:$AI$505,"&lt;="&amp;$A277,実績!$AJ$6:$AJ$505,"&gt;"&amp;$A277,実績!$AK$6:$AK$505,"○")&gt;0,1,0))</f>
        <v>0</v>
      </c>
      <c r="CN277" s="39" t="n">
        <f aca="false">IF(CN$4=0,0,IF(COUNTIFS(実績!$W$6:$W$505,CN$3,実績!$AI$6:$AI$505,"&lt;="&amp;$A277,実績!$AJ$6:$AJ$505,"&gt;"&amp;$A277,実績!$AK$6:$AK$505,"○")&gt;0,1,0))</f>
        <v>0</v>
      </c>
      <c r="CO277" s="39" t="n">
        <f aca="false">IF(CO$4=0,0,IF(COUNTIFS(実績!$W$6:$W$505,CO$3,実績!$AI$6:$AI$505,"&lt;="&amp;$A277,実績!$AJ$6:$AJ$505,"&gt;"&amp;$A277,実績!$AK$6:$AK$505,"○")&gt;0,1,0))</f>
        <v>0</v>
      </c>
      <c r="CP277" s="39" t="n">
        <f aca="false">IF(CP$4=0,0,IF(COUNTIFS(実績!$W$6:$W$505,CP$3,実績!$AI$6:$AI$505,"&lt;="&amp;$A277,実績!$AJ$6:$AJ$505,"&gt;"&amp;$A277,実績!$AK$6:$AK$505,"○")&gt;0,1,0))</f>
        <v>0</v>
      </c>
      <c r="CQ277" s="39" t="n">
        <f aca="false">IF(CQ$4=0,0,IF(COUNTIFS(実績!$W$6:$W$505,CQ$3,実績!$AI$6:$AI$505,"&lt;="&amp;$A277,実績!$AJ$6:$AJ$505,"&gt;"&amp;$A277,実績!$AK$6:$AK$505,"○")&gt;0,1,0))</f>
        <v>0</v>
      </c>
      <c r="CR277" s="39" t="n">
        <f aca="false">IF(CR$4=0,0,IF(COUNTIFS(実績!$W$6:$W$505,CR$3,実績!$AI$6:$AI$505,"&lt;="&amp;$A277,実績!$AJ$6:$AJ$505,"&gt;"&amp;$A277,実績!$AK$6:$AK$505,"○")&gt;0,1,0))</f>
        <v>0</v>
      </c>
      <c r="CS277" s="39" t="n">
        <f aca="false">IF(CS$4=0,0,IF(COUNTIFS(実績!$W$6:$W$505,CS$3,実績!$AI$6:$AI$505,"&lt;="&amp;$A277,実績!$AJ$6:$AJ$505,"&gt;"&amp;$A277,実績!$AK$6:$AK$505,"○")&gt;0,1,0))</f>
        <v>0</v>
      </c>
      <c r="CT277" s="39" t="n">
        <f aca="false">IF(CT$4=0,0,IF(COUNTIFS(実績!$W$6:$W$505,CT$3,実績!$AI$6:$AI$505,"&lt;="&amp;$A277,実績!$AJ$6:$AJ$505,"&gt;"&amp;$A277,実績!$AK$6:$AK$505,"○")&gt;0,1,0))</f>
        <v>0</v>
      </c>
      <c r="CU277" s="39" t="n">
        <f aca="false">IF(CU$4=0,0,IF(COUNTIFS(実績!$W$6:$W$505,CU$3,実績!$AI$6:$AI$505,"&lt;="&amp;$A277,実績!$AJ$6:$AJ$505,"&gt;"&amp;$A277,実績!$AK$6:$AK$505,"○")&gt;0,1,0))</f>
        <v>0</v>
      </c>
      <c r="CV277" s="39" t="n">
        <f aca="false">IF(CV$4=0,0,IF(COUNTIFS(実績!$W$6:$W$505,CV$3,実績!$AI$6:$AI$505,"&lt;="&amp;$A277,実績!$AJ$6:$AJ$505,"&gt;"&amp;$A277,実績!$AK$6:$AK$505,"○")&gt;0,1,0))</f>
        <v>0</v>
      </c>
      <c r="CW277" s="39" t="n">
        <f aca="false">IF(CW$4=0,0,IF(COUNTIFS(実績!$W$6:$W$505,CW$3,実績!$AI$6:$AI$505,"&lt;="&amp;$A277,実績!$AJ$6:$AJ$505,"&gt;"&amp;$A277,実績!$AK$6:$AK$505,"○")&gt;0,1,0))</f>
        <v>0</v>
      </c>
      <c r="CX277" s="39" t="n">
        <f aca="false">IF(CX$4=0,0,IF(COUNTIFS(実績!$W$6:$W$505,CX$3,実績!$AI$6:$AI$505,"&lt;="&amp;$A277,実績!$AJ$6:$AJ$505,"&gt;"&amp;$A277,実績!$AK$6:$AK$505,"○")&gt;0,1,0))</f>
        <v>0</v>
      </c>
      <c r="CY277" s="39" t="n">
        <f aca="false">IF(CY$4=0,0,IF(COUNTIFS(実績!$W$6:$W$505,CY$3,実績!$AI$6:$AI$505,"&lt;="&amp;$A277,実績!$AJ$6:$AJ$505,"&gt;"&amp;$A277,実績!$AK$6:$AK$505,"○")&gt;0,1,0))</f>
        <v>0</v>
      </c>
      <c r="CZ277" s="39" t="n">
        <f aca="false">IF(CZ$4=0,0,IF(COUNTIFS(実績!$W$6:$W$505,CZ$3,実績!$AI$6:$AI$505,"&lt;="&amp;$A277,実績!$AJ$6:$AJ$505,"&gt;"&amp;$A277,実績!$AK$6:$AK$505,"○")&gt;0,1,0))</f>
        <v>0</v>
      </c>
      <c r="DA277" s="39" t="n">
        <f aca="false">IF(DA$4=0,0,IF(COUNTIFS(実績!$W$6:$W$505,DA$3,実績!$AI$6:$AI$505,"&lt;="&amp;$A277,実績!$AJ$6:$AJ$505,"&gt;"&amp;$A277,実績!$AK$6:$AK$505,"○")&gt;0,1,0))</f>
        <v>0</v>
      </c>
      <c r="DB277" s="39" t="n">
        <f aca="false">IF(DB$4=0,0,IF(COUNTIFS(実績!$W$6:$W$505,DB$3,実績!$AI$6:$AI$505,"&lt;="&amp;$A277,実績!$AJ$6:$AJ$505,"&gt;"&amp;$A277,実績!$AK$6:$AK$505,"○")&gt;0,1,0))</f>
        <v>0</v>
      </c>
      <c r="DC277" s="39" t="n">
        <f aca="false">IF(DC$4=0,0,IF(COUNTIFS(実績!$W$6:$W$505,DC$3,実績!$AI$6:$AI$505,"&lt;="&amp;$A277,実績!$AJ$6:$AJ$505,"&gt;"&amp;$A277,実績!$AK$6:$AK$505,"○")&gt;0,1,0))</f>
        <v>0</v>
      </c>
      <c r="DD277" s="39" t="n">
        <f aca="false">IF(DD$4=0,0,IF(COUNTIFS(実績!$W$6:$W$505,DD$3,実績!$AI$6:$AI$505,"&lt;="&amp;$A277,実績!$AJ$6:$AJ$505,"&gt;"&amp;$A277,実績!$AK$6:$AK$505,"○")&gt;0,1,0))</f>
        <v>0</v>
      </c>
      <c r="DE277" s="39" t="n">
        <f aca="false">IF(DE$4=0,0,IF(COUNTIFS(実績!$W$6:$W$505,DE$3,実績!$AI$6:$AI$505,"&lt;="&amp;$A277,実績!$AJ$6:$AJ$505,"&gt;"&amp;$A277,実績!$AK$6:$AK$505,"○")&gt;0,1,0))</f>
        <v>0</v>
      </c>
      <c r="DF277" s="39" t="n">
        <f aca="false">IF(DF$4=0,0,IF(COUNTIFS(実績!$W$6:$W$505,DF$3,実績!$AI$6:$AI$505,"&lt;="&amp;$A277,実績!$AJ$6:$AJ$505,"&gt;"&amp;$A277,実績!$AK$6:$AK$505,"○")&gt;0,1,0))</f>
        <v>0</v>
      </c>
      <c r="DG277" s="39" t="n">
        <f aca="false">IF(DG$4=0,0,IF(COUNTIFS(実績!$W$6:$W$505,DG$3,実績!$AI$6:$AI$505,"&lt;="&amp;$A277,実績!$AJ$6:$AJ$505,"&gt;"&amp;$A277,実績!$AK$6:$AK$505,"○")&gt;0,1,0))</f>
        <v>0</v>
      </c>
      <c r="DH277" s="39" t="n">
        <f aca="false">IF(DH$4=0,0,IF(COUNTIFS(実績!$W$6:$W$505,DH$3,実績!$AI$6:$AI$505,"&lt;="&amp;$A277,実績!$AJ$6:$AJ$505,"&gt;"&amp;$A277,実績!$AK$6:$AK$505,"○")&gt;0,1,0))</f>
        <v>0</v>
      </c>
      <c r="DI277" s="39" t="n">
        <f aca="false">IF(DI$4=0,0,IF(COUNTIFS(実績!$W$6:$W$505,DI$3,実績!$AI$6:$AI$505,"&lt;="&amp;$A277,実績!$AJ$6:$AJ$505,"&gt;"&amp;$A277,実績!$AK$6:$AK$505,"○")&gt;0,1,0))</f>
        <v>0</v>
      </c>
      <c r="DJ277" s="39" t="n">
        <f aca="false">IF(DJ$4=0,0,IF(COUNTIFS(実績!$W$6:$W$505,DJ$3,実績!$AI$6:$AI$505,"&lt;="&amp;$A277,実績!$AJ$6:$AJ$505,"&gt;"&amp;$A277,実績!$AK$6:$AK$505,"○")&gt;0,1,0))</f>
        <v>0</v>
      </c>
      <c r="DK277" s="39" t="n">
        <f aca="false">IF(DK$4=0,0,IF(COUNTIFS(実績!$W$6:$W$505,DK$3,実績!$AI$6:$AI$505,"&lt;="&amp;$A277,実績!$AJ$6:$AJ$505,"&gt;"&amp;$A277,実績!$AK$6:$AK$505,"○")&gt;0,1,0))</f>
        <v>0</v>
      </c>
      <c r="DL277" s="39" t="n">
        <f aca="false">IF(DL$4=0,0,IF(COUNTIFS(実績!$W$6:$W$505,DL$3,実績!$AI$6:$AI$505,"&lt;="&amp;$A277,実績!$AJ$6:$AJ$505,"&gt;"&amp;$A277,実績!$AK$6:$AK$505,"○")&gt;0,1,0))</f>
        <v>0</v>
      </c>
      <c r="DM277" s="39" t="n">
        <f aca="false">IF(DM$4=0,0,IF(COUNTIFS(実績!$W$6:$W$505,DM$3,実績!$AI$6:$AI$505,"&lt;="&amp;$A277,実績!$AJ$6:$AJ$505,"&gt;"&amp;$A277,実績!$AK$6:$AK$505,"○")&gt;0,1,0))</f>
        <v>0</v>
      </c>
      <c r="DN277" s="39" t="n">
        <f aca="false">IF(DN$4=0,0,IF(COUNTIFS(実績!$W$6:$W$505,DN$3,実績!$AI$6:$AI$505,"&lt;="&amp;$A277,実績!$AJ$6:$AJ$505,"&gt;"&amp;$A277,実績!$AK$6:$AK$505,"○")&gt;0,1,0))</f>
        <v>0</v>
      </c>
      <c r="DO277" s="39" t="n">
        <f aca="false">IF(DO$4=0,0,IF(COUNTIFS(実績!$W$6:$W$505,DO$3,実績!$AI$6:$AI$505,"&lt;="&amp;$A277,実績!$AJ$6:$AJ$505,"&gt;"&amp;$A277,実績!$AK$6:$AK$505,"○")&gt;0,1,0))</f>
        <v>0</v>
      </c>
      <c r="DP277" s="39" t="n">
        <f aca="false">IF(DP$4=0,0,IF(COUNTIFS(実績!$W$6:$W$505,DP$3,実績!$AI$6:$AI$505,"&lt;="&amp;$A277,実績!$AJ$6:$AJ$505,"&gt;"&amp;$A277,実績!$AK$6:$AK$505,"○")&gt;0,1,0))</f>
        <v>0</v>
      </c>
      <c r="DQ277" s="39" t="n">
        <f aca="false">IF(DQ$4=0,0,IF(COUNTIFS(実績!$W$6:$W$505,DQ$3,実績!$AI$6:$AI$505,"&lt;="&amp;$A277,実績!$AJ$6:$AJ$505,"&gt;"&amp;$A277,実績!$AK$6:$AK$505,"○")&gt;0,1,0))</f>
        <v>0</v>
      </c>
      <c r="DR277" s="39" t="n">
        <f aca="false">IF(DR$4=0,0,IF(COUNTIFS(実績!$W$6:$W$505,DR$3,実績!$AI$6:$AI$505,"&lt;="&amp;$A277,実績!$AJ$6:$AJ$505,"&gt;"&amp;$A277,実績!$AK$6:$AK$505,"○")&gt;0,1,0))</f>
        <v>0</v>
      </c>
      <c r="DS277" s="39" t="n">
        <f aca="false">SUM(C277:DR277)</f>
        <v>0</v>
      </c>
      <c r="DT277" s="39" t="n">
        <f aca="false">SUMPRODUCT((実績!$C$6:$C$505="○")*ISNUMBER(実績!$AM$6:$AM$505)*(実績!$AM$6:$AM$505&lt;=$A277)*(実績!$AN$6:$AN$505&gt;$A277))</f>
        <v>0</v>
      </c>
      <c r="DU277" s="39" t="n">
        <f aca="false">SUMIF($C$2:$DR$2,"製鉄曳船",C277:DR277)</f>
        <v>0</v>
      </c>
      <c r="DV277" s="39" t="n">
        <f aca="false">SUMIF($C$2:$DR$2,"西日本海運",C277:DR277)</f>
        <v>0</v>
      </c>
    </row>
    <row r="278" customFormat="false" ht="15" hidden="false" customHeight="false" outlineLevel="0" collapsed="false">
      <c r="A278" s="0" t="n">
        <v>1360</v>
      </c>
      <c r="B278" s="38" t="n">
        <f aca="false">A278/1440</f>
        <v>0.944444444444444</v>
      </c>
      <c r="C278" s="39" t="n">
        <f aca="false">IF(C$4=0,0,IF(COUNTIFS(実績!$W$6:$W$505,C$3,実績!$AI$6:$AI$505,"&lt;="&amp;$A278,実績!$AJ$6:$AJ$505,"&gt;"&amp;$A278,実績!$AK$6:$AK$505,"○")&gt;0,1,0))</f>
        <v>0</v>
      </c>
      <c r="D278" s="39" t="n">
        <f aca="false">IF(D$4=0,0,IF(COUNTIFS(実績!$W$6:$W$505,D$3,実績!$AI$6:$AI$505,"&lt;="&amp;$A278,実績!$AJ$6:$AJ$505,"&gt;"&amp;$A278,実績!$AK$6:$AK$505,"○")&gt;0,1,0))</f>
        <v>0</v>
      </c>
      <c r="E278" s="39" t="n">
        <f aca="false">IF(E$4=0,0,IF(COUNTIFS(実績!$W$6:$W$505,E$3,実績!$AI$6:$AI$505,"&lt;="&amp;$A278,実績!$AJ$6:$AJ$505,"&gt;"&amp;$A278,実績!$AK$6:$AK$505,"○")&gt;0,1,0))</f>
        <v>0</v>
      </c>
      <c r="F278" s="39" t="n">
        <f aca="false">IF(F$4=0,0,IF(COUNTIFS(実績!$W$6:$W$505,F$3,実績!$AI$6:$AI$505,"&lt;="&amp;$A278,実績!$AJ$6:$AJ$505,"&gt;"&amp;$A278,実績!$AK$6:$AK$505,"○")&gt;0,1,0))</f>
        <v>0</v>
      </c>
      <c r="G278" s="39" t="n">
        <f aca="false">IF(G$4=0,0,IF(COUNTIFS(実績!$W$6:$W$505,G$3,実績!$AI$6:$AI$505,"&lt;="&amp;$A278,実績!$AJ$6:$AJ$505,"&gt;"&amp;$A278,実績!$AK$6:$AK$505,"○")&gt;0,1,0))</f>
        <v>0</v>
      </c>
      <c r="H278" s="39" t="n">
        <f aca="false">IF(H$4=0,0,IF(COUNTIFS(実績!$W$6:$W$505,H$3,実績!$AI$6:$AI$505,"&lt;="&amp;$A278,実績!$AJ$6:$AJ$505,"&gt;"&amp;$A278,実績!$AK$6:$AK$505,"○")&gt;0,1,0))</f>
        <v>0</v>
      </c>
      <c r="I278" s="39" t="n">
        <f aca="false">IF(I$4=0,0,IF(COUNTIFS(実績!$W$6:$W$505,I$3,実績!$AI$6:$AI$505,"&lt;="&amp;$A278,実績!$AJ$6:$AJ$505,"&gt;"&amp;$A278,実績!$AK$6:$AK$505,"○")&gt;0,1,0))</f>
        <v>0</v>
      </c>
      <c r="J278" s="39" t="n">
        <f aca="false">IF(J$4=0,0,IF(COUNTIFS(実績!$W$6:$W$505,J$3,実績!$AI$6:$AI$505,"&lt;="&amp;$A278,実績!$AJ$6:$AJ$505,"&gt;"&amp;$A278,実績!$AK$6:$AK$505,"○")&gt;0,1,0))</f>
        <v>0</v>
      </c>
      <c r="K278" s="39" t="n">
        <f aca="false">IF(K$4=0,0,IF(COUNTIFS(実績!$W$6:$W$505,K$3,実績!$AI$6:$AI$505,"&lt;="&amp;$A278,実績!$AJ$6:$AJ$505,"&gt;"&amp;$A278,実績!$AK$6:$AK$505,"○")&gt;0,1,0))</f>
        <v>0</v>
      </c>
      <c r="L278" s="39" t="n">
        <f aca="false">IF(L$4=0,0,IF(COUNTIFS(実績!$W$6:$W$505,L$3,実績!$AI$6:$AI$505,"&lt;="&amp;$A278,実績!$AJ$6:$AJ$505,"&gt;"&amp;$A278,実績!$AK$6:$AK$505,"○")&gt;0,1,0))</f>
        <v>0</v>
      </c>
      <c r="M278" s="39" t="n">
        <f aca="false">IF(M$4=0,0,IF(COUNTIFS(実績!$W$6:$W$505,M$3,実績!$AI$6:$AI$505,"&lt;="&amp;$A278,実績!$AJ$6:$AJ$505,"&gt;"&amp;$A278,実績!$AK$6:$AK$505,"○")&gt;0,1,0))</f>
        <v>0</v>
      </c>
      <c r="N278" s="39" t="n">
        <f aca="false">IF(N$4=0,0,IF(COUNTIFS(実績!$W$6:$W$505,N$3,実績!$AI$6:$AI$505,"&lt;="&amp;$A278,実績!$AJ$6:$AJ$505,"&gt;"&amp;$A278,実績!$AK$6:$AK$505,"○")&gt;0,1,0))</f>
        <v>0</v>
      </c>
      <c r="O278" s="39" t="n">
        <f aca="false">IF(O$4=0,0,IF(COUNTIFS(実績!$W$6:$W$505,O$3,実績!$AI$6:$AI$505,"&lt;="&amp;$A278,実績!$AJ$6:$AJ$505,"&gt;"&amp;$A278,実績!$AK$6:$AK$505,"○")&gt;0,1,0))</f>
        <v>0</v>
      </c>
      <c r="P278" s="39" t="n">
        <f aca="false">IF(P$4=0,0,IF(COUNTIFS(実績!$W$6:$W$505,P$3,実績!$AI$6:$AI$505,"&lt;="&amp;$A278,実績!$AJ$6:$AJ$505,"&gt;"&amp;$A278,実績!$AK$6:$AK$505,"○")&gt;0,1,0))</f>
        <v>0</v>
      </c>
      <c r="Q278" s="39" t="n">
        <f aca="false">IF(Q$4=0,0,IF(COUNTIFS(実績!$W$6:$W$505,Q$3,実績!$AI$6:$AI$505,"&lt;="&amp;$A278,実績!$AJ$6:$AJ$505,"&gt;"&amp;$A278,実績!$AK$6:$AK$505,"○")&gt;0,1,0))</f>
        <v>0</v>
      </c>
      <c r="R278" s="39" t="n">
        <f aca="false">IF(R$4=0,0,IF(COUNTIFS(実績!$W$6:$W$505,R$3,実績!$AI$6:$AI$505,"&lt;="&amp;$A278,実績!$AJ$6:$AJ$505,"&gt;"&amp;$A278,実績!$AK$6:$AK$505,"○")&gt;0,1,0))</f>
        <v>0</v>
      </c>
      <c r="S278" s="39" t="n">
        <f aca="false">IF(S$4=0,0,IF(COUNTIFS(実績!$W$6:$W$505,S$3,実績!$AI$6:$AI$505,"&lt;="&amp;$A278,実績!$AJ$6:$AJ$505,"&gt;"&amp;$A278,実績!$AK$6:$AK$505,"○")&gt;0,1,0))</f>
        <v>0</v>
      </c>
      <c r="T278" s="39" t="n">
        <f aca="false">IF(T$4=0,0,IF(COUNTIFS(実績!$W$6:$W$505,T$3,実績!$AI$6:$AI$505,"&lt;="&amp;$A278,実績!$AJ$6:$AJ$505,"&gt;"&amp;$A278,実績!$AK$6:$AK$505,"○")&gt;0,1,0))</f>
        <v>0</v>
      </c>
      <c r="U278" s="39" t="n">
        <f aca="false">IF(U$4=0,0,IF(COUNTIFS(実績!$W$6:$W$505,U$3,実績!$AI$6:$AI$505,"&lt;="&amp;$A278,実績!$AJ$6:$AJ$505,"&gt;"&amp;$A278,実績!$AK$6:$AK$505,"○")&gt;0,1,0))</f>
        <v>0</v>
      </c>
      <c r="V278" s="39" t="n">
        <f aca="false">IF(V$4=0,0,IF(COUNTIFS(実績!$W$6:$W$505,V$3,実績!$AI$6:$AI$505,"&lt;="&amp;$A278,実績!$AJ$6:$AJ$505,"&gt;"&amp;$A278,実績!$AK$6:$AK$505,"○")&gt;0,1,0))</f>
        <v>0</v>
      </c>
      <c r="W278" s="39" t="n">
        <f aca="false">IF(W$4=0,0,IF(COUNTIFS(実績!$W$6:$W$505,W$3,実績!$AI$6:$AI$505,"&lt;="&amp;$A278,実績!$AJ$6:$AJ$505,"&gt;"&amp;$A278,実績!$AK$6:$AK$505,"○")&gt;0,1,0))</f>
        <v>0</v>
      </c>
      <c r="X278" s="39" t="n">
        <f aca="false">IF(X$4=0,0,IF(COUNTIFS(実績!$W$6:$W$505,X$3,実績!$AI$6:$AI$505,"&lt;="&amp;$A278,実績!$AJ$6:$AJ$505,"&gt;"&amp;$A278,実績!$AK$6:$AK$505,"○")&gt;0,1,0))</f>
        <v>0</v>
      </c>
      <c r="Y278" s="39" t="n">
        <f aca="false">IF(Y$4=0,0,IF(COUNTIFS(実績!$W$6:$W$505,Y$3,実績!$AI$6:$AI$505,"&lt;="&amp;$A278,実績!$AJ$6:$AJ$505,"&gt;"&amp;$A278,実績!$AK$6:$AK$505,"○")&gt;0,1,0))</f>
        <v>0</v>
      </c>
      <c r="Z278" s="39" t="n">
        <f aca="false">IF(Z$4=0,0,IF(COUNTIFS(実績!$W$6:$W$505,Z$3,実績!$AI$6:$AI$505,"&lt;="&amp;$A278,実績!$AJ$6:$AJ$505,"&gt;"&amp;$A278,実績!$AK$6:$AK$505,"○")&gt;0,1,0))</f>
        <v>0</v>
      </c>
      <c r="AA278" s="39" t="n">
        <f aca="false">IF(AA$4=0,0,IF(COUNTIFS(実績!$W$6:$W$505,AA$3,実績!$AI$6:$AI$505,"&lt;="&amp;$A278,実績!$AJ$6:$AJ$505,"&gt;"&amp;$A278,実績!$AK$6:$AK$505,"○")&gt;0,1,0))</f>
        <v>0</v>
      </c>
      <c r="AB278" s="39" t="n">
        <f aca="false">IF(AB$4=0,0,IF(COUNTIFS(実績!$W$6:$W$505,AB$3,実績!$AI$6:$AI$505,"&lt;="&amp;$A278,実績!$AJ$6:$AJ$505,"&gt;"&amp;$A278,実績!$AK$6:$AK$505,"○")&gt;0,1,0))</f>
        <v>0</v>
      </c>
      <c r="AC278" s="39" t="n">
        <f aca="false">IF(AC$4=0,0,IF(COUNTIFS(実績!$W$6:$W$505,AC$3,実績!$AI$6:$AI$505,"&lt;="&amp;$A278,実績!$AJ$6:$AJ$505,"&gt;"&amp;$A278,実績!$AK$6:$AK$505,"○")&gt;0,1,0))</f>
        <v>0</v>
      </c>
      <c r="AD278" s="39" t="n">
        <f aca="false">IF(AD$4=0,0,IF(COUNTIFS(実績!$W$6:$W$505,AD$3,実績!$AI$6:$AI$505,"&lt;="&amp;$A278,実績!$AJ$6:$AJ$505,"&gt;"&amp;$A278,実績!$AK$6:$AK$505,"○")&gt;0,1,0))</f>
        <v>0</v>
      </c>
      <c r="AE278" s="39" t="n">
        <f aca="false">IF(AE$4=0,0,IF(COUNTIFS(実績!$W$6:$W$505,AE$3,実績!$AI$6:$AI$505,"&lt;="&amp;$A278,実績!$AJ$6:$AJ$505,"&gt;"&amp;$A278,実績!$AK$6:$AK$505,"○")&gt;0,1,0))</f>
        <v>0</v>
      </c>
      <c r="AF278" s="39" t="n">
        <f aca="false">IF(AF$4=0,0,IF(COUNTIFS(実績!$W$6:$W$505,AF$3,実績!$AI$6:$AI$505,"&lt;="&amp;$A278,実績!$AJ$6:$AJ$505,"&gt;"&amp;$A278,実績!$AK$6:$AK$505,"○")&gt;0,1,0))</f>
        <v>0</v>
      </c>
      <c r="AG278" s="39" t="n">
        <f aca="false">IF(AG$4=0,0,IF(COUNTIFS(実績!$W$6:$W$505,AG$3,実績!$AI$6:$AI$505,"&lt;="&amp;$A278,実績!$AJ$6:$AJ$505,"&gt;"&amp;$A278,実績!$AK$6:$AK$505,"○")&gt;0,1,0))</f>
        <v>0</v>
      </c>
      <c r="AH278" s="39" t="n">
        <f aca="false">IF(AH$4=0,0,IF(COUNTIFS(実績!$W$6:$W$505,AH$3,実績!$AI$6:$AI$505,"&lt;="&amp;$A278,実績!$AJ$6:$AJ$505,"&gt;"&amp;$A278,実績!$AK$6:$AK$505,"○")&gt;0,1,0))</f>
        <v>0</v>
      </c>
      <c r="AI278" s="39" t="n">
        <f aca="false">IF(AI$4=0,0,IF(COUNTIFS(実績!$W$6:$W$505,AI$3,実績!$AI$6:$AI$505,"&lt;="&amp;$A278,実績!$AJ$6:$AJ$505,"&gt;"&amp;$A278,実績!$AK$6:$AK$505,"○")&gt;0,1,0))</f>
        <v>0</v>
      </c>
      <c r="AJ278" s="39" t="n">
        <f aca="false">IF(AJ$4=0,0,IF(COUNTIFS(実績!$W$6:$W$505,AJ$3,実績!$AI$6:$AI$505,"&lt;="&amp;$A278,実績!$AJ$6:$AJ$505,"&gt;"&amp;$A278,実績!$AK$6:$AK$505,"○")&gt;0,1,0))</f>
        <v>0</v>
      </c>
      <c r="AK278" s="39" t="n">
        <f aca="false">IF(AK$4=0,0,IF(COUNTIFS(実績!$W$6:$W$505,AK$3,実績!$AI$6:$AI$505,"&lt;="&amp;$A278,実績!$AJ$6:$AJ$505,"&gt;"&amp;$A278,実績!$AK$6:$AK$505,"○")&gt;0,1,0))</f>
        <v>0</v>
      </c>
      <c r="AL278" s="39" t="n">
        <f aca="false">IF(AL$4=0,0,IF(COUNTIFS(実績!$W$6:$W$505,AL$3,実績!$AI$6:$AI$505,"&lt;="&amp;$A278,実績!$AJ$6:$AJ$505,"&gt;"&amp;$A278,実績!$AK$6:$AK$505,"○")&gt;0,1,0))</f>
        <v>0</v>
      </c>
      <c r="AM278" s="39" t="n">
        <f aca="false">IF(AM$4=0,0,IF(COUNTIFS(実績!$W$6:$W$505,AM$3,実績!$AI$6:$AI$505,"&lt;="&amp;$A278,実績!$AJ$6:$AJ$505,"&gt;"&amp;$A278,実績!$AK$6:$AK$505,"○")&gt;0,1,0))</f>
        <v>0</v>
      </c>
      <c r="AN278" s="39" t="n">
        <f aca="false">IF(AN$4=0,0,IF(COUNTIFS(実績!$W$6:$W$505,AN$3,実績!$AI$6:$AI$505,"&lt;="&amp;$A278,実績!$AJ$6:$AJ$505,"&gt;"&amp;$A278,実績!$AK$6:$AK$505,"○")&gt;0,1,0))</f>
        <v>0</v>
      </c>
      <c r="AO278" s="39" t="n">
        <f aca="false">IF(AO$4=0,0,IF(COUNTIFS(実績!$W$6:$W$505,AO$3,実績!$AI$6:$AI$505,"&lt;="&amp;$A278,実績!$AJ$6:$AJ$505,"&gt;"&amp;$A278,実績!$AK$6:$AK$505,"○")&gt;0,1,0))</f>
        <v>0</v>
      </c>
      <c r="AP278" s="39" t="n">
        <f aca="false">IF(AP$4=0,0,IF(COUNTIFS(実績!$W$6:$W$505,AP$3,実績!$AI$6:$AI$505,"&lt;="&amp;$A278,実績!$AJ$6:$AJ$505,"&gt;"&amp;$A278,実績!$AK$6:$AK$505,"○")&gt;0,1,0))</f>
        <v>0</v>
      </c>
      <c r="AQ278" s="39" t="n">
        <f aca="false">IF(AQ$4=0,0,IF(COUNTIFS(実績!$W$6:$W$505,AQ$3,実績!$AI$6:$AI$505,"&lt;="&amp;$A278,実績!$AJ$6:$AJ$505,"&gt;"&amp;$A278,実績!$AK$6:$AK$505,"○")&gt;0,1,0))</f>
        <v>0</v>
      </c>
      <c r="AR278" s="39" t="n">
        <f aca="false">IF(AR$4=0,0,IF(COUNTIFS(実績!$W$6:$W$505,AR$3,実績!$AI$6:$AI$505,"&lt;="&amp;$A278,実績!$AJ$6:$AJ$505,"&gt;"&amp;$A278,実績!$AK$6:$AK$505,"○")&gt;0,1,0))</f>
        <v>0</v>
      </c>
      <c r="AS278" s="39" t="n">
        <f aca="false">IF(AS$4=0,0,IF(COUNTIFS(実績!$W$6:$W$505,AS$3,実績!$AI$6:$AI$505,"&lt;="&amp;$A278,実績!$AJ$6:$AJ$505,"&gt;"&amp;$A278,実績!$AK$6:$AK$505,"○")&gt;0,1,0))</f>
        <v>0</v>
      </c>
      <c r="AT278" s="39" t="n">
        <f aca="false">IF(AT$4=0,0,IF(COUNTIFS(実績!$W$6:$W$505,AT$3,実績!$AI$6:$AI$505,"&lt;="&amp;$A278,実績!$AJ$6:$AJ$505,"&gt;"&amp;$A278,実績!$AK$6:$AK$505,"○")&gt;0,1,0))</f>
        <v>0</v>
      </c>
      <c r="AU278" s="39" t="n">
        <f aca="false">IF(AU$4=0,0,IF(COUNTIFS(実績!$W$6:$W$505,AU$3,実績!$AI$6:$AI$505,"&lt;="&amp;$A278,実績!$AJ$6:$AJ$505,"&gt;"&amp;$A278,実績!$AK$6:$AK$505,"○")&gt;0,1,0))</f>
        <v>0</v>
      </c>
      <c r="AV278" s="39" t="n">
        <f aca="false">IF(AV$4=0,0,IF(COUNTIFS(実績!$W$6:$W$505,AV$3,実績!$AI$6:$AI$505,"&lt;="&amp;$A278,実績!$AJ$6:$AJ$505,"&gt;"&amp;$A278,実績!$AK$6:$AK$505,"○")&gt;0,1,0))</f>
        <v>0</v>
      </c>
      <c r="AW278" s="39" t="n">
        <f aca="false">IF(AW$4=0,0,IF(COUNTIFS(実績!$W$6:$W$505,AW$3,実績!$AI$6:$AI$505,"&lt;="&amp;$A278,実績!$AJ$6:$AJ$505,"&gt;"&amp;$A278,実績!$AK$6:$AK$505,"○")&gt;0,1,0))</f>
        <v>0</v>
      </c>
      <c r="AX278" s="39" t="n">
        <f aca="false">IF(AX$4=0,0,IF(COUNTIFS(実績!$W$6:$W$505,AX$3,実績!$AI$6:$AI$505,"&lt;="&amp;$A278,実績!$AJ$6:$AJ$505,"&gt;"&amp;$A278,実績!$AK$6:$AK$505,"○")&gt;0,1,0))</f>
        <v>0</v>
      </c>
      <c r="AY278" s="39" t="n">
        <f aca="false">IF(AY$4=0,0,IF(COUNTIFS(実績!$W$6:$W$505,AY$3,実績!$AI$6:$AI$505,"&lt;="&amp;$A278,実績!$AJ$6:$AJ$505,"&gt;"&amp;$A278,実績!$AK$6:$AK$505,"○")&gt;0,1,0))</f>
        <v>0</v>
      </c>
      <c r="AZ278" s="39" t="n">
        <f aca="false">IF(AZ$4=0,0,IF(COUNTIFS(実績!$W$6:$W$505,AZ$3,実績!$AI$6:$AI$505,"&lt;="&amp;$A278,実績!$AJ$6:$AJ$505,"&gt;"&amp;$A278,実績!$AK$6:$AK$505,"○")&gt;0,1,0))</f>
        <v>0</v>
      </c>
      <c r="BA278" s="39" t="n">
        <f aca="false">IF(BA$4=0,0,IF(COUNTIFS(実績!$W$6:$W$505,BA$3,実績!$AI$6:$AI$505,"&lt;="&amp;$A278,実績!$AJ$6:$AJ$505,"&gt;"&amp;$A278,実績!$AK$6:$AK$505,"○")&gt;0,1,0))</f>
        <v>0</v>
      </c>
      <c r="BB278" s="39" t="n">
        <f aca="false">IF(BB$4=0,0,IF(COUNTIFS(実績!$W$6:$W$505,BB$3,実績!$AI$6:$AI$505,"&lt;="&amp;$A278,実績!$AJ$6:$AJ$505,"&gt;"&amp;$A278,実績!$AK$6:$AK$505,"○")&gt;0,1,0))</f>
        <v>0</v>
      </c>
      <c r="BC278" s="39" t="n">
        <f aca="false">IF(BC$4=0,0,IF(COUNTIFS(実績!$W$6:$W$505,BC$3,実績!$AI$6:$AI$505,"&lt;="&amp;$A278,実績!$AJ$6:$AJ$505,"&gt;"&amp;$A278,実績!$AK$6:$AK$505,"○")&gt;0,1,0))</f>
        <v>0</v>
      </c>
      <c r="BD278" s="39" t="n">
        <f aca="false">IF(BD$4=0,0,IF(COUNTIFS(実績!$W$6:$W$505,BD$3,実績!$AI$6:$AI$505,"&lt;="&amp;$A278,実績!$AJ$6:$AJ$505,"&gt;"&amp;$A278,実績!$AK$6:$AK$505,"○")&gt;0,1,0))</f>
        <v>0</v>
      </c>
      <c r="BE278" s="39" t="n">
        <f aca="false">IF(BE$4=0,0,IF(COUNTIFS(実績!$W$6:$W$505,BE$3,実績!$AI$6:$AI$505,"&lt;="&amp;$A278,実績!$AJ$6:$AJ$505,"&gt;"&amp;$A278,実績!$AK$6:$AK$505,"○")&gt;0,1,0))</f>
        <v>0</v>
      </c>
      <c r="BF278" s="39" t="n">
        <f aca="false">IF(BF$4=0,0,IF(COUNTIFS(実績!$W$6:$W$505,BF$3,実績!$AI$6:$AI$505,"&lt;="&amp;$A278,実績!$AJ$6:$AJ$505,"&gt;"&amp;$A278,実績!$AK$6:$AK$505,"○")&gt;0,1,0))</f>
        <v>0</v>
      </c>
      <c r="BG278" s="39" t="n">
        <f aca="false">IF(BG$4=0,0,IF(COUNTIFS(実績!$W$6:$W$505,BG$3,実績!$AI$6:$AI$505,"&lt;="&amp;$A278,実績!$AJ$6:$AJ$505,"&gt;"&amp;$A278,実績!$AK$6:$AK$505,"○")&gt;0,1,0))</f>
        <v>0</v>
      </c>
      <c r="BH278" s="39" t="n">
        <f aca="false">IF(BH$4=0,0,IF(COUNTIFS(実績!$W$6:$W$505,BH$3,実績!$AI$6:$AI$505,"&lt;="&amp;$A278,実績!$AJ$6:$AJ$505,"&gt;"&amp;$A278,実績!$AK$6:$AK$505,"○")&gt;0,1,0))</f>
        <v>0</v>
      </c>
      <c r="BI278" s="39" t="n">
        <f aca="false">IF(BI$4=0,0,IF(COUNTIFS(実績!$W$6:$W$505,BI$3,実績!$AI$6:$AI$505,"&lt;="&amp;$A278,実績!$AJ$6:$AJ$505,"&gt;"&amp;$A278,実績!$AK$6:$AK$505,"○")&gt;0,1,0))</f>
        <v>0</v>
      </c>
      <c r="BJ278" s="39" t="n">
        <f aca="false">IF(BJ$4=0,0,IF(COUNTIFS(実績!$W$6:$W$505,BJ$3,実績!$AI$6:$AI$505,"&lt;="&amp;$A278,実績!$AJ$6:$AJ$505,"&gt;"&amp;$A278,実績!$AK$6:$AK$505,"○")&gt;0,1,0))</f>
        <v>0</v>
      </c>
      <c r="BK278" s="39" t="n">
        <f aca="false">IF(BK$4=0,0,IF(COUNTIFS(実績!$W$6:$W$505,BK$3,実績!$AI$6:$AI$505,"&lt;="&amp;$A278,実績!$AJ$6:$AJ$505,"&gt;"&amp;$A278,実績!$AK$6:$AK$505,"○")&gt;0,1,0))</f>
        <v>0</v>
      </c>
      <c r="BL278" s="39" t="n">
        <f aca="false">IF(BL$4=0,0,IF(COUNTIFS(実績!$W$6:$W$505,BL$3,実績!$AI$6:$AI$505,"&lt;="&amp;$A278,実績!$AJ$6:$AJ$505,"&gt;"&amp;$A278,実績!$AK$6:$AK$505,"○")&gt;0,1,0))</f>
        <v>0</v>
      </c>
      <c r="BM278" s="39" t="n">
        <f aca="false">IF(BM$4=0,0,IF(COUNTIFS(実績!$W$6:$W$505,BM$3,実績!$AI$6:$AI$505,"&lt;="&amp;$A278,実績!$AJ$6:$AJ$505,"&gt;"&amp;$A278,実績!$AK$6:$AK$505,"○")&gt;0,1,0))</f>
        <v>0</v>
      </c>
      <c r="BN278" s="39" t="n">
        <f aca="false">IF(BN$4=0,0,IF(COUNTIFS(実績!$W$6:$W$505,BN$3,実績!$AI$6:$AI$505,"&lt;="&amp;$A278,実績!$AJ$6:$AJ$505,"&gt;"&amp;$A278,実績!$AK$6:$AK$505,"○")&gt;0,1,0))</f>
        <v>0</v>
      </c>
      <c r="BO278" s="39" t="n">
        <f aca="false">IF(BO$4=0,0,IF(COUNTIFS(実績!$W$6:$W$505,BO$3,実績!$AI$6:$AI$505,"&lt;="&amp;$A278,実績!$AJ$6:$AJ$505,"&gt;"&amp;$A278,実績!$AK$6:$AK$505,"○")&gt;0,1,0))</f>
        <v>0</v>
      </c>
      <c r="BP278" s="39" t="n">
        <f aca="false">IF(BP$4=0,0,IF(COUNTIFS(実績!$W$6:$W$505,BP$3,実績!$AI$6:$AI$505,"&lt;="&amp;$A278,実績!$AJ$6:$AJ$505,"&gt;"&amp;$A278,実績!$AK$6:$AK$505,"○")&gt;0,1,0))</f>
        <v>0</v>
      </c>
      <c r="BQ278" s="39" t="n">
        <f aca="false">IF(BQ$4=0,0,IF(COUNTIFS(実績!$W$6:$W$505,BQ$3,実績!$AI$6:$AI$505,"&lt;="&amp;$A278,実績!$AJ$6:$AJ$505,"&gt;"&amp;$A278,実績!$AK$6:$AK$505,"○")&gt;0,1,0))</f>
        <v>0</v>
      </c>
      <c r="BR278" s="39" t="n">
        <f aca="false">IF(BR$4=0,0,IF(COUNTIFS(実績!$W$6:$W$505,BR$3,実績!$AI$6:$AI$505,"&lt;="&amp;$A278,実績!$AJ$6:$AJ$505,"&gt;"&amp;$A278,実績!$AK$6:$AK$505,"○")&gt;0,1,0))</f>
        <v>0</v>
      </c>
      <c r="BS278" s="39" t="n">
        <f aca="false">IF(BS$4=0,0,IF(COUNTIFS(実績!$W$6:$W$505,BS$3,実績!$AI$6:$AI$505,"&lt;="&amp;$A278,実績!$AJ$6:$AJ$505,"&gt;"&amp;$A278,実績!$AK$6:$AK$505,"○")&gt;0,1,0))</f>
        <v>0</v>
      </c>
      <c r="BT278" s="39" t="n">
        <f aca="false">IF(BT$4=0,0,IF(COUNTIFS(実績!$W$6:$W$505,BT$3,実績!$AI$6:$AI$505,"&lt;="&amp;$A278,実績!$AJ$6:$AJ$505,"&gt;"&amp;$A278,実績!$AK$6:$AK$505,"○")&gt;0,1,0))</f>
        <v>0</v>
      </c>
      <c r="BU278" s="39" t="n">
        <f aca="false">IF(BU$4=0,0,IF(COUNTIFS(実績!$W$6:$W$505,BU$3,実績!$AI$6:$AI$505,"&lt;="&amp;$A278,実績!$AJ$6:$AJ$505,"&gt;"&amp;$A278,実績!$AK$6:$AK$505,"○")&gt;0,1,0))</f>
        <v>0</v>
      </c>
      <c r="BV278" s="39" t="n">
        <f aca="false">IF(BV$4=0,0,IF(COUNTIFS(実績!$W$6:$W$505,BV$3,実績!$AI$6:$AI$505,"&lt;="&amp;$A278,実績!$AJ$6:$AJ$505,"&gt;"&amp;$A278,実績!$AK$6:$AK$505,"○")&gt;0,1,0))</f>
        <v>0</v>
      </c>
      <c r="BW278" s="39" t="n">
        <f aca="false">IF(BW$4=0,0,IF(COUNTIFS(実績!$W$6:$W$505,BW$3,実績!$AI$6:$AI$505,"&lt;="&amp;$A278,実績!$AJ$6:$AJ$505,"&gt;"&amp;$A278,実績!$AK$6:$AK$505,"○")&gt;0,1,0))</f>
        <v>0</v>
      </c>
      <c r="BX278" s="39" t="n">
        <f aca="false">IF(BX$4=0,0,IF(COUNTIFS(実績!$W$6:$W$505,BX$3,実績!$AI$6:$AI$505,"&lt;="&amp;$A278,実績!$AJ$6:$AJ$505,"&gt;"&amp;$A278,実績!$AK$6:$AK$505,"○")&gt;0,1,0))</f>
        <v>0</v>
      </c>
      <c r="BY278" s="39" t="n">
        <f aca="false">IF(BY$4=0,0,IF(COUNTIFS(実績!$W$6:$W$505,BY$3,実績!$AI$6:$AI$505,"&lt;="&amp;$A278,実績!$AJ$6:$AJ$505,"&gt;"&amp;$A278,実績!$AK$6:$AK$505,"○")&gt;0,1,0))</f>
        <v>0</v>
      </c>
      <c r="BZ278" s="39" t="n">
        <f aca="false">IF(BZ$4=0,0,IF(COUNTIFS(実績!$W$6:$W$505,BZ$3,実績!$AI$6:$AI$505,"&lt;="&amp;$A278,実績!$AJ$6:$AJ$505,"&gt;"&amp;$A278,実績!$AK$6:$AK$505,"○")&gt;0,1,0))</f>
        <v>0</v>
      </c>
      <c r="CA278" s="39" t="n">
        <f aca="false">IF(CA$4=0,0,IF(COUNTIFS(実績!$W$6:$W$505,CA$3,実績!$AI$6:$AI$505,"&lt;="&amp;$A278,実績!$AJ$6:$AJ$505,"&gt;"&amp;$A278,実績!$AK$6:$AK$505,"○")&gt;0,1,0))</f>
        <v>0</v>
      </c>
      <c r="CB278" s="39" t="n">
        <f aca="false">IF(CB$4=0,0,IF(COUNTIFS(実績!$W$6:$W$505,CB$3,実績!$AI$6:$AI$505,"&lt;="&amp;$A278,実績!$AJ$6:$AJ$505,"&gt;"&amp;$A278,実績!$AK$6:$AK$505,"○")&gt;0,1,0))</f>
        <v>0</v>
      </c>
      <c r="CC278" s="39" t="n">
        <f aca="false">IF(CC$4=0,0,IF(COUNTIFS(実績!$W$6:$W$505,CC$3,実績!$AI$6:$AI$505,"&lt;="&amp;$A278,実績!$AJ$6:$AJ$505,"&gt;"&amp;$A278,実績!$AK$6:$AK$505,"○")&gt;0,1,0))</f>
        <v>0</v>
      </c>
      <c r="CD278" s="39" t="n">
        <f aca="false">IF(CD$4=0,0,IF(COUNTIFS(実績!$W$6:$W$505,CD$3,実績!$AI$6:$AI$505,"&lt;="&amp;$A278,実績!$AJ$6:$AJ$505,"&gt;"&amp;$A278,実績!$AK$6:$AK$505,"○")&gt;0,1,0))</f>
        <v>0</v>
      </c>
      <c r="CE278" s="39" t="n">
        <f aca="false">IF(CE$4=0,0,IF(COUNTIFS(実績!$W$6:$W$505,CE$3,実績!$AI$6:$AI$505,"&lt;="&amp;$A278,実績!$AJ$6:$AJ$505,"&gt;"&amp;$A278,実績!$AK$6:$AK$505,"○")&gt;0,1,0))</f>
        <v>0</v>
      </c>
      <c r="CF278" s="39" t="n">
        <f aca="false">IF(CF$4=0,0,IF(COUNTIFS(実績!$W$6:$W$505,CF$3,実績!$AI$6:$AI$505,"&lt;="&amp;$A278,実績!$AJ$6:$AJ$505,"&gt;"&amp;$A278,実績!$AK$6:$AK$505,"○")&gt;0,1,0))</f>
        <v>0</v>
      </c>
      <c r="CG278" s="39" t="n">
        <f aca="false">IF(CG$4=0,0,IF(COUNTIFS(実績!$W$6:$W$505,CG$3,実績!$AI$6:$AI$505,"&lt;="&amp;$A278,実績!$AJ$6:$AJ$505,"&gt;"&amp;$A278,実績!$AK$6:$AK$505,"○")&gt;0,1,0))</f>
        <v>0</v>
      </c>
      <c r="CH278" s="39" t="n">
        <f aca="false">IF(CH$4=0,0,IF(COUNTIFS(実績!$W$6:$W$505,CH$3,実績!$AI$6:$AI$505,"&lt;="&amp;$A278,実績!$AJ$6:$AJ$505,"&gt;"&amp;$A278,実績!$AK$6:$AK$505,"○")&gt;0,1,0))</f>
        <v>0</v>
      </c>
      <c r="CI278" s="39" t="n">
        <f aca="false">IF(CI$4=0,0,IF(COUNTIFS(実績!$W$6:$W$505,CI$3,実績!$AI$6:$AI$505,"&lt;="&amp;$A278,実績!$AJ$6:$AJ$505,"&gt;"&amp;$A278,実績!$AK$6:$AK$505,"○")&gt;0,1,0))</f>
        <v>0</v>
      </c>
      <c r="CJ278" s="39" t="n">
        <f aca="false">IF(CJ$4=0,0,IF(COUNTIFS(実績!$W$6:$W$505,CJ$3,実績!$AI$6:$AI$505,"&lt;="&amp;$A278,実績!$AJ$6:$AJ$505,"&gt;"&amp;$A278,実績!$AK$6:$AK$505,"○")&gt;0,1,0))</f>
        <v>0</v>
      </c>
      <c r="CK278" s="39" t="n">
        <f aca="false">IF(CK$4=0,0,IF(COUNTIFS(実績!$W$6:$W$505,CK$3,実績!$AI$6:$AI$505,"&lt;="&amp;$A278,実績!$AJ$6:$AJ$505,"&gt;"&amp;$A278,実績!$AK$6:$AK$505,"○")&gt;0,1,0))</f>
        <v>0</v>
      </c>
      <c r="CL278" s="39" t="n">
        <f aca="false">IF(CL$4=0,0,IF(COUNTIFS(実績!$W$6:$W$505,CL$3,実績!$AI$6:$AI$505,"&lt;="&amp;$A278,実績!$AJ$6:$AJ$505,"&gt;"&amp;$A278,実績!$AK$6:$AK$505,"○")&gt;0,1,0))</f>
        <v>0</v>
      </c>
      <c r="CM278" s="39" t="n">
        <f aca="false">IF(CM$4=0,0,IF(COUNTIFS(実績!$W$6:$W$505,CM$3,実績!$AI$6:$AI$505,"&lt;="&amp;$A278,実績!$AJ$6:$AJ$505,"&gt;"&amp;$A278,実績!$AK$6:$AK$505,"○")&gt;0,1,0))</f>
        <v>0</v>
      </c>
      <c r="CN278" s="39" t="n">
        <f aca="false">IF(CN$4=0,0,IF(COUNTIFS(実績!$W$6:$W$505,CN$3,実績!$AI$6:$AI$505,"&lt;="&amp;$A278,実績!$AJ$6:$AJ$505,"&gt;"&amp;$A278,実績!$AK$6:$AK$505,"○")&gt;0,1,0))</f>
        <v>0</v>
      </c>
      <c r="CO278" s="39" t="n">
        <f aca="false">IF(CO$4=0,0,IF(COUNTIFS(実績!$W$6:$W$505,CO$3,実績!$AI$6:$AI$505,"&lt;="&amp;$A278,実績!$AJ$6:$AJ$505,"&gt;"&amp;$A278,実績!$AK$6:$AK$505,"○")&gt;0,1,0))</f>
        <v>0</v>
      </c>
      <c r="CP278" s="39" t="n">
        <f aca="false">IF(CP$4=0,0,IF(COUNTIFS(実績!$W$6:$W$505,CP$3,実績!$AI$6:$AI$505,"&lt;="&amp;$A278,実績!$AJ$6:$AJ$505,"&gt;"&amp;$A278,実績!$AK$6:$AK$505,"○")&gt;0,1,0))</f>
        <v>0</v>
      </c>
      <c r="CQ278" s="39" t="n">
        <f aca="false">IF(CQ$4=0,0,IF(COUNTIFS(実績!$W$6:$W$505,CQ$3,実績!$AI$6:$AI$505,"&lt;="&amp;$A278,実績!$AJ$6:$AJ$505,"&gt;"&amp;$A278,実績!$AK$6:$AK$505,"○")&gt;0,1,0))</f>
        <v>0</v>
      </c>
      <c r="CR278" s="39" t="n">
        <f aca="false">IF(CR$4=0,0,IF(COUNTIFS(実績!$W$6:$W$505,CR$3,実績!$AI$6:$AI$505,"&lt;="&amp;$A278,実績!$AJ$6:$AJ$505,"&gt;"&amp;$A278,実績!$AK$6:$AK$505,"○")&gt;0,1,0))</f>
        <v>0</v>
      </c>
      <c r="CS278" s="39" t="n">
        <f aca="false">IF(CS$4=0,0,IF(COUNTIFS(実績!$W$6:$W$505,CS$3,実績!$AI$6:$AI$505,"&lt;="&amp;$A278,実績!$AJ$6:$AJ$505,"&gt;"&amp;$A278,実績!$AK$6:$AK$505,"○")&gt;0,1,0))</f>
        <v>0</v>
      </c>
      <c r="CT278" s="39" t="n">
        <f aca="false">IF(CT$4=0,0,IF(COUNTIFS(実績!$W$6:$W$505,CT$3,実績!$AI$6:$AI$505,"&lt;="&amp;$A278,実績!$AJ$6:$AJ$505,"&gt;"&amp;$A278,実績!$AK$6:$AK$505,"○")&gt;0,1,0))</f>
        <v>0</v>
      </c>
      <c r="CU278" s="39" t="n">
        <f aca="false">IF(CU$4=0,0,IF(COUNTIFS(実績!$W$6:$W$505,CU$3,実績!$AI$6:$AI$505,"&lt;="&amp;$A278,実績!$AJ$6:$AJ$505,"&gt;"&amp;$A278,実績!$AK$6:$AK$505,"○")&gt;0,1,0))</f>
        <v>0</v>
      </c>
      <c r="CV278" s="39" t="n">
        <f aca="false">IF(CV$4=0,0,IF(COUNTIFS(実績!$W$6:$W$505,CV$3,実績!$AI$6:$AI$505,"&lt;="&amp;$A278,実績!$AJ$6:$AJ$505,"&gt;"&amp;$A278,実績!$AK$6:$AK$505,"○")&gt;0,1,0))</f>
        <v>0</v>
      </c>
      <c r="CW278" s="39" t="n">
        <f aca="false">IF(CW$4=0,0,IF(COUNTIFS(実績!$W$6:$W$505,CW$3,実績!$AI$6:$AI$505,"&lt;="&amp;$A278,実績!$AJ$6:$AJ$505,"&gt;"&amp;$A278,実績!$AK$6:$AK$505,"○")&gt;0,1,0))</f>
        <v>0</v>
      </c>
      <c r="CX278" s="39" t="n">
        <f aca="false">IF(CX$4=0,0,IF(COUNTIFS(実績!$W$6:$W$505,CX$3,実績!$AI$6:$AI$505,"&lt;="&amp;$A278,実績!$AJ$6:$AJ$505,"&gt;"&amp;$A278,実績!$AK$6:$AK$505,"○")&gt;0,1,0))</f>
        <v>0</v>
      </c>
      <c r="CY278" s="39" t="n">
        <f aca="false">IF(CY$4=0,0,IF(COUNTIFS(実績!$W$6:$W$505,CY$3,実績!$AI$6:$AI$505,"&lt;="&amp;$A278,実績!$AJ$6:$AJ$505,"&gt;"&amp;$A278,実績!$AK$6:$AK$505,"○")&gt;0,1,0))</f>
        <v>0</v>
      </c>
      <c r="CZ278" s="39" t="n">
        <f aca="false">IF(CZ$4=0,0,IF(COUNTIFS(実績!$W$6:$W$505,CZ$3,実績!$AI$6:$AI$505,"&lt;="&amp;$A278,実績!$AJ$6:$AJ$505,"&gt;"&amp;$A278,実績!$AK$6:$AK$505,"○")&gt;0,1,0))</f>
        <v>0</v>
      </c>
      <c r="DA278" s="39" t="n">
        <f aca="false">IF(DA$4=0,0,IF(COUNTIFS(実績!$W$6:$W$505,DA$3,実績!$AI$6:$AI$505,"&lt;="&amp;$A278,実績!$AJ$6:$AJ$505,"&gt;"&amp;$A278,実績!$AK$6:$AK$505,"○")&gt;0,1,0))</f>
        <v>0</v>
      </c>
      <c r="DB278" s="39" t="n">
        <f aca="false">IF(DB$4=0,0,IF(COUNTIFS(実績!$W$6:$W$505,DB$3,実績!$AI$6:$AI$505,"&lt;="&amp;$A278,実績!$AJ$6:$AJ$505,"&gt;"&amp;$A278,実績!$AK$6:$AK$505,"○")&gt;0,1,0))</f>
        <v>0</v>
      </c>
      <c r="DC278" s="39" t="n">
        <f aca="false">IF(DC$4=0,0,IF(COUNTIFS(実績!$W$6:$W$505,DC$3,実績!$AI$6:$AI$505,"&lt;="&amp;$A278,実績!$AJ$6:$AJ$505,"&gt;"&amp;$A278,実績!$AK$6:$AK$505,"○")&gt;0,1,0))</f>
        <v>0</v>
      </c>
      <c r="DD278" s="39" t="n">
        <f aca="false">IF(DD$4=0,0,IF(COUNTIFS(実績!$W$6:$W$505,DD$3,実績!$AI$6:$AI$505,"&lt;="&amp;$A278,実績!$AJ$6:$AJ$505,"&gt;"&amp;$A278,実績!$AK$6:$AK$505,"○")&gt;0,1,0))</f>
        <v>0</v>
      </c>
      <c r="DE278" s="39" t="n">
        <f aca="false">IF(DE$4=0,0,IF(COUNTIFS(実績!$W$6:$W$505,DE$3,実績!$AI$6:$AI$505,"&lt;="&amp;$A278,実績!$AJ$6:$AJ$505,"&gt;"&amp;$A278,実績!$AK$6:$AK$505,"○")&gt;0,1,0))</f>
        <v>0</v>
      </c>
      <c r="DF278" s="39" t="n">
        <f aca="false">IF(DF$4=0,0,IF(COUNTIFS(実績!$W$6:$W$505,DF$3,実績!$AI$6:$AI$505,"&lt;="&amp;$A278,実績!$AJ$6:$AJ$505,"&gt;"&amp;$A278,実績!$AK$6:$AK$505,"○")&gt;0,1,0))</f>
        <v>0</v>
      </c>
      <c r="DG278" s="39" t="n">
        <f aca="false">IF(DG$4=0,0,IF(COUNTIFS(実績!$W$6:$W$505,DG$3,実績!$AI$6:$AI$505,"&lt;="&amp;$A278,実績!$AJ$6:$AJ$505,"&gt;"&amp;$A278,実績!$AK$6:$AK$505,"○")&gt;0,1,0))</f>
        <v>0</v>
      </c>
      <c r="DH278" s="39" t="n">
        <f aca="false">IF(DH$4=0,0,IF(COUNTIFS(実績!$W$6:$W$505,DH$3,実績!$AI$6:$AI$505,"&lt;="&amp;$A278,実績!$AJ$6:$AJ$505,"&gt;"&amp;$A278,実績!$AK$6:$AK$505,"○")&gt;0,1,0))</f>
        <v>0</v>
      </c>
      <c r="DI278" s="39" t="n">
        <f aca="false">IF(DI$4=0,0,IF(COUNTIFS(実績!$W$6:$W$505,DI$3,実績!$AI$6:$AI$505,"&lt;="&amp;$A278,実績!$AJ$6:$AJ$505,"&gt;"&amp;$A278,実績!$AK$6:$AK$505,"○")&gt;0,1,0))</f>
        <v>0</v>
      </c>
      <c r="DJ278" s="39" t="n">
        <f aca="false">IF(DJ$4=0,0,IF(COUNTIFS(実績!$W$6:$W$505,DJ$3,実績!$AI$6:$AI$505,"&lt;="&amp;$A278,実績!$AJ$6:$AJ$505,"&gt;"&amp;$A278,実績!$AK$6:$AK$505,"○")&gt;0,1,0))</f>
        <v>0</v>
      </c>
      <c r="DK278" s="39" t="n">
        <f aca="false">IF(DK$4=0,0,IF(COUNTIFS(実績!$W$6:$W$505,DK$3,実績!$AI$6:$AI$505,"&lt;="&amp;$A278,実績!$AJ$6:$AJ$505,"&gt;"&amp;$A278,実績!$AK$6:$AK$505,"○")&gt;0,1,0))</f>
        <v>0</v>
      </c>
      <c r="DL278" s="39" t="n">
        <f aca="false">IF(DL$4=0,0,IF(COUNTIFS(実績!$W$6:$W$505,DL$3,実績!$AI$6:$AI$505,"&lt;="&amp;$A278,実績!$AJ$6:$AJ$505,"&gt;"&amp;$A278,実績!$AK$6:$AK$505,"○")&gt;0,1,0))</f>
        <v>0</v>
      </c>
      <c r="DM278" s="39" t="n">
        <f aca="false">IF(DM$4=0,0,IF(COUNTIFS(実績!$W$6:$W$505,DM$3,実績!$AI$6:$AI$505,"&lt;="&amp;$A278,実績!$AJ$6:$AJ$505,"&gt;"&amp;$A278,実績!$AK$6:$AK$505,"○")&gt;0,1,0))</f>
        <v>0</v>
      </c>
      <c r="DN278" s="39" t="n">
        <f aca="false">IF(DN$4=0,0,IF(COUNTIFS(実績!$W$6:$W$505,DN$3,実績!$AI$6:$AI$505,"&lt;="&amp;$A278,実績!$AJ$6:$AJ$505,"&gt;"&amp;$A278,実績!$AK$6:$AK$505,"○")&gt;0,1,0))</f>
        <v>0</v>
      </c>
      <c r="DO278" s="39" t="n">
        <f aca="false">IF(DO$4=0,0,IF(COUNTIFS(実績!$W$6:$W$505,DO$3,実績!$AI$6:$AI$505,"&lt;="&amp;$A278,実績!$AJ$6:$AJ$505,"&gt;"&amp;$A278,実績!$AK$6:$AK$505,"○")&gt;0,1,0))</f>
        <v>0</v>
      </c>
      <c r="DP278" s="39" t="n">
        <f aca="false">IF(DP$4=0,0,IF(COUNTIFS(実績!$W$6:$W$505,DP$3,実績!$AI$6:$AI$505,"&lt;="&amp;$A278,実績!$AJ$6:$AJ$505,"&gt;"&amp;$A278,実績!$AK$6:$AK$505,"○")&gt;0,1,0))</f>
        <v>0</v>
      </c>
      <c r="DQ278" s="39" t="n">
        <f aca="false">IF(DQ$4=0,0,IF(COUNTIFS(実績!$W$6:$W$505,DQ$3,実績!$AI$6:$AI$505,"&lt;="&amp;$A278,実績!$AJ$6:$AJ$505,"&gt;"&amp;$A278,実績!$AK$6:$AK$505,"○")&gt;0,1,0))</f>
        <v>0</v>
      </c>
      <c r="DR278" s="39" t="n">
        <f aca="false">IF(DR$4=0,0,IF(COUNTIFS(実績!$W$6:$W$505,DR$3,実績!$AI$6:$AI$505,"&lt;="&amp;$A278,実績!$AJ$6:$AJ$505,"&gt;"&amp;$A278,実績!$AK$6:$AK$505,"○")&gt;0,1,0))</f>
        <v>0</v>
      </c>
      <c r="DS278" s="39" t="n">
        <f aca="false">SUM(C278:DR278)</f>
        <v>0</v>
      </c>
      <c r="DT278" s="39" t="n">
        <f aca="false">SUMPRODUCT((実績!$C$6:$C$505="○")*ISNUMBER(実績!$AM$6:$AM$505)*(実績!$AM$6:$AM$505&lt;=$A278)*(実績!$AN$6:$AN$505&gt;$A278))</f>
        <v>0</v>
      </c>
      <c r="DU278" s="39" t="n">
        <f aca="false">SUMIF($C$2:$DR$2,"製鉄曳船",C278:DR278)</f>
        <v>0</v>
      </c>
      <c r="DV278" s="39" t="n">
        <f aca="false">SUMIF($C$2:$DR$2,"西日本海運",C278:DR278)</f>
        <v>0</v>
      </c>
    </row>
    <row r="279" customFormat="false" ht="15" hidden="false" customHeight="false" outlineLevel="0" collapsed="false">
      <c r="A279" s="0" t="n">
        <v>1365</v>
      </c>
      <c r="B279" s="38" t="n">
        <f aca="false">A279/1440</f>
        <v>0.947916666666667</v>
      </c>
      <c r="C279" s="39" t="n">
        <f aca="false">IF(C$4=0,0,IF(COUNTIFS(実績!$W$6:$W$505,C$3,実績!$AI$6:$AI$505,"&lt;="&amp;$A279,実績!$AJ$6:$AJ$505,"&gt;"&amp;$A279,実績!$AK$6:$AK$505,"○")&gt;0,1,0))</f>
        <v>0</v>
      </c>
      <c r="D279" s="39" t="n">
        <f aca="false">IF(D$4=0,0,IF(COUNTIFS(実績!$W$6:$W$505,D$3,実績!$AI$6:$AI$505,"&lt;="&amp;$A279,実績!$AJ$6:$AJ$505,"&gt;"&amp;$A279,実績!$AK$6:$AK$505,"○")&gt;0,1,0))</f>
        <v>0</v>
      </c>
      <c r="E279" s="39" t="n">
        <f aca="false">IF(E$4=0,0,IF(COUNTIFS(実績!$W$6:$W$505,E$3,実績!$AI$6:$AI$505,"&lt;="&amp;$A279,実績!$AJ$6:$AJ$505,"&gt;"&amp;$A279,実績!$AK$6:$AK$505,"○")&gt;0,1,0))</f>
        <v>0</v>
      </c>
      <c r="F279" s="39" t="n">
        <f aca="false">IF(F$4=0,0,IF(COUNTIFS(実績!$W$6:$W$505,F$3,実績!$AI$6:$AI$505,"&lt;="&amp;$A279,実績!$AJ$6:$AJ$505,"&gt;"&amp;$A279,実績!$AK$6:$AK$505,"○")&gt;0,1,0))</f>
        <v>0</v>
      </c>
      <c r="G279" s="39" t="n">
        <f aca="false">IF(G$4=0,0,IF(COUNTIFS(実績!$W$6:$W$505,G$3,実績!$AI$6:$AI$505,"&lt;="&amp;$A279,実績!$AJ$6:$AJ$505,"&gt;"&amp;$A279,実績!$AK$6:$AK$505,"○")&gt;0,1,0))</f>
        <v>0</v>
      </c>
      <c r="H279" s="39" t="n">
        <f aca="false">IF(H$4=0,0,IF(COUNTIFS(実績!$W$6:$W$505,H$3,実績!$AI$6:$AI$505,"&lt;="&amp;$A279,実績!$AJ$6:$AJ$505,"&gt;"&amp;$A279,実績!$AK$6:$AK$505,"○")&gt;0,1,0))</f>
        <v>0</v>
      </c>
      <c r="I279" s="39" t="n">
        <f aca="false">IF(I$4=0,0,IF(COUNTIFS(実績!$W$6:$W$505,I$3,実績!$AI$6:$AI$505,"&lt;="&amp;$A279,実績!$AJ$6:$AJ$505,"&gt;"&amp;$A279,実績!$AK$6:$AK$505,"○")&gt;0,1,0))</f>
        <v>0</v>
      </c>
      <c r="J279" s="39" t="n">
        <f aca="false">IF(J$4=0,0,IF(COUNTIFS(実績!$W$6:$W$505,J$3,実績!$AI$6:$AI$505,"&lt;="&amp;$A279,実績!$AJ$6:$AJ$505,"&gt;"&amp;$A279,実績!$AK$6:$AK$505,"○")&gt;0,1,0))</f>
        <v>0</v>
      </c>
      <c r="K279" s="39" t="n">
        <f aca="false">IF(K$4=0,0,IF(COUNTIFS(実績!$W$6:$W$505,K$3,実績!$AI$6:$AI$505,"&lt;="&amp;$A279,実績!$AJ$6:$AJ$505,"&gt;"&amp;$A279,実績!$AK$6:$AK$505,"○")&gt;0,1,0))</f>
        <v>0</v>
      </c>
      <c r="L279" s="39" t="n">
        <f aca="false">IF(L$4=0,0,IF(COUNTIFS(実績!$W$6:$W$505,L$3,実績!$AI$6:$AI$505,"&lt;="&amp;$A279,実績!$AJ$6:$AJ$505,"&gt;"&amp;$A279,実績!$AK$6:$AK$505,"○")&gt;0,1,0))</f>
        <v>0</v>
      </c>
      <c r="M279" s="39" t="n">
        <f aca="false">IF(M$4=0,0,IF(COUNTIFS(実績!$W$6:$W$505,M$3,実績!$AI$6:$AI$505,"&lt;="&amp;$A279,実績!$AJ$6:$AJ$505,"&gt;"&amp;$A279,実績!$AK$6:$AK$505,"○")&gt;0,1,0))</f>
        <v>0</v>
      </c>
      <c r="N279" s="39" t="n">
        <f aca="false">IF(N$4=0,0,IF(COUNTIFS(実績!$W$6:$W$505,N$3,実績!$AI$6:$AI$505,"&lt;="&amp;$A279,実績!$AJ$6:$AJ$505,"&gt;"&amp;$A279,実績!$AK$6:$AK$505,"○")&gt;0,1,0))</f>
        <v>0</v>
      </c>
      <c r="O279" s="39" t="n">
        <f aca="false">IF(O$4=0,0,IF(COUNTIFS(実績!$W$6:$W$505,O$3,実績!$AI$6:$AI$505,"&lt;="&amp;$A279,実績!$AJ$6:$AJ$505,"&gt;"&amp;$A279,実績!$AK$6:$AK$505,"○")&gt;0,1,0))</f>
        <v>0</v>
      </c>
      <c r="P279" s="39" t="n">
        <f aca="false">IF(P$4=0,0,IF(COUNTIFS(実績!$W$6:$W$505,P$3,実績!$AI$6:$AI$505,"&lt;="&amp;$A279,実績!$AJ$6:$AJ$505,"&gt;"&amp;$A279,実績!$AK$6:$AK$505,"○")&gt;0,1,0))</f>
        <v>0</v>
      </c>
      <c r="Q279" s="39" t="n">
        <f aca="false">IF(Q$4=0,0,IF(COUNTIFS(実績!$W$6:$W$505,Q$3,実績!$AI$6:$AI$505,"&lt;="&amp;$A279,実績!$AJ$6:$AJ$505,"&gt;"&amp;$A279,実績!$AK$6:$AK$505,"○")&gt;0,1,0))</f>
        <v>0</v>
      </c>
      <c r="R279" s="39" t="n">
        <f aca="false">IF(R$4=0,0,IF(COUNTIFS(実績!$W$6:$W$505,R$3,実績!$AI$6:$AI$505,"&lt;="&amp;$A279,実績!$AJ$6:$AJ$505,"&gt;"&amp;$A279,実績!$AK$6:$AK$505,"○")&gt;0,1,0))</f>
        <v>0</v>
      </c>
      <c r="S279" s="39" t="n">
        <f aca="false">IF(S$4=0,0,IF(COUNTIFS(実績!$W$6:$W$505,S$3,実績!$AI$6:$AI$505,"&lt;="&amp;$A279,実績!$AJ$6:$AJ$505,"&gt;"&amp;$A279,実績!$AK$6:$AK$505,"○")&gt;0,1,0))</f>
        <v>0</v>
      </c>
      <c r="T279" s="39" t="n">
        <f aca="false">IF(T$4=0,0,IF(COUNTIFS(実績!$W$6:$W$505,T$3,実績!$AI$6:$AI$505,"&lt;="&amp;$A279,実績!$AJ$6:$AJ$505,"&gt;"&amp;$A279,実績!$AK$6:$AK$505,"○")&gt;0,1,0))</f>
        <v>0</v>
      </c>
      <c r="U279" s="39" t="n">
        <f aca="false">IF(U$4=0,0,IF(COUNTIFS(実績!$W$6:$W$505,U$3,実績!$AI$6:$AI$505,"&lt;="&amp;$A279,実績!$AJ$6:$AJ$505,"&gt;"&amp;$A279,実績!$AK$6:$AK$505,"○")&gt;0,1,0))</f>
        <v>0</v>
      </c>
      <c r="V279" s="39" t="n">
        <f aca="false">IF(V$4=0,0,IF(COUNTIFS(実績!$W$6:$W$505,V$3,実績!$AI$6:$AI$505,"&lt;="&amp;$A279,実績!$AJ$6:$AJ$505,"&gt;"&amp;$A279,実績!$AK$6:$AK$505,"○")&gt;0,1,0))</f>
        <v>0</v>
      </c>
      <c r="W279" s="39" t="n">
        <f aca="false">IF(W$4=0,0,IF(COUNTIFS(実績!$W$6:$W$505,W$3,実績!$AI$6:$AI$505,"&lt;="&amp;$A279,実績!$AJ$6:$AJ$505,"&gt;"&amp;$A279,実績!$AK$6:$AK$505,"○")&gt;0,1,0))</f>
        <v>0</v>
      </c>
      <c r="X279" s="39" t="n">
        <f aca="false">IF(X$4=0,0,IF(COUNTIFS(実績!$W$6:$W$505,X$3,実績!$AI$6:$AI$505,"&lt;="&amp;$A279,実績!$AJ$6:$AJ$505,"&gt;"&amp;$A279,実績!$AK$6:$AK$505,"○")&gt;0,1,0))</f>
        <v>0</v>
      </c>
      <c r="Y279" s="39" t="n">
        <f aca="false">IF(Y$4=0,0,IF(COUNTIFS(実績!$W$6:$W$505,Y$3,実績!$AI$6:$AI$505,"&lt;="&amp;$A279,実績!$AJ$6:$AJ$505,"&gt;"&amp;$A279,実績!$AK$6:$AK$505,"○")&gt;0,1,0))</f>
        <v>0</v>
      </c>
      <c r="Z279" s="39" t="n">
        <f aca="false">IF(Z$4=0,0,IF(COUNTIFS(実績!$W$6:$W$505,Z$3,実績!$AI$6:$AI$505,"&lt;="&amp;$A279,実績!$AJ$6:$AJ$505,"&gt;"&amp;$A279,実績!$AK$6:$AK$505,"○")&gt;0,1,0))</f>
        <v>0</v>
      </c>
      <c r="AA279" s="39" t="n">
        <f aca="false">IF(AA$4=0,0,IF(COUNTIFS(実績!$W$6:$W$505,AA$3,実績!$AI$6:$AI$505,"&lt;="&amp;$A279,実績!$AJ$6:$AJ$505,"&gt;"&amp;$A279,実績!$AK$6:$AK$505,"○")&gt;0,1,0))</f>
        <v>0</v>
      </c>
      <c r="AB279" s="39" t="n">
        <f aca="false">IF(AB$4=0,0,IF(COUNTIFS(実績!$W$6:$W$505,AB$3,実績!$AI$6:$AI$505,"&lt;="&amp;$A279,実績!$AJ$6:$AJ$505,"&gt;"&amp;$A279,実績!$AK$6:$AK$505,"○")&gt;0,1,0))</f>
        <v>0</v>
      </c>
      <c r="AC279" s="39" t="n">
        <f aca="false">IF(AC$4=0,0,IF(COUNTIFS(実績!$W$6:$W$505,AC$3,実績!$AI$6:$AI$505,"&lt;="&amp;$A279,実績!$AJ$6:$AJ$505,"&gt;"&amp;$A279,実績!$AK$6:$AK$505,"○")&gt;0,1,0))</f>
        <v>0</v>
      </c>
      <c r="AD279" s="39" t="n">
        <f aca="false">IF(AD$4=0,0,IF(COUNTIFS(実績!$W$6:$W$505,AD$3,実績!$AI$6:$AI$505,"&lt;="&amp;$A279,実績!$AJ$6:$AJ$505,"&gt;"&amp;$A279,実績!$AK$6:$AK$505,"○")&gt;0,1,0))</f>
        <v>0</v>
      </c>
      <c r="AE279" s="39" t="n">
        <f aca="false">IF(AE$4=0,0,IF(COUNTIFS(実績!$W$6:$W$505,AE$3,実績!$AI$6:$AI$505,"&lt;="&amp;$A279,実績!$AJ$6:$AJ$505,"&gt;"&amp;$A279,実績!$AK$6:$AK$505,"○")&gt;0,1,0))</f>
        <v>0</v>
      </c>
      <c r="AF279" s="39" t="n">
        <f aca="false">IF(AF$4=0,0,IF(COUNTIFS(実績!$W$6:$W$505,AF$3,実績!$AI$6:$AI$505,"&lt;="&amp;$A279,実績!$AJ$6:$AJ$505,"&gt;"&amp;$A279,実績!$AK$6:$AK$505,"○")&gt;0,1,0))</f>
        <v>0</v>
      </c>
      <c r="AG279" s="39" t="n">
        <f aca="false">IF(AG$4=0,0,IF(COUNTIFS(実績!$W$6:$W$505,AG$3,実績!$AI$6:$AI$505,"&lt;="&amp;$A279,実績!$AJ$6:$AJ$505,"&gt;"&amp;$A279,実績!$AK$6:$AK$505,"○")&gt;0,1,0))</f>
        <v>0</v>
      </c>
      <c r="AH279" s="39" t="n">
        <f aca="false">IF(AH$4=0,0,IF(COUNTIFS(実績!$W$6:$W$505,AH$3,実績!$AI$6:$AI$505,"&lt;="&amp;$A279,実績!$AJ$6:$AJ$505,"&gt;"&amp;$A279,実績!$AK$6:$AK$505,"○")&gt;0,1,0))</f>
        <v>0</v>
      </c>
      <c r="AI279" s="39" t="n">
        <f aca="false">IF(AI$4=0,0,IF(COUNTIFS(実績!$W$6:$W$505,AI$3,実績!$AI$6:$AI$505,"&lt;="&amp;$A279,実績!$AJ$6:$AJ$505,"&gt;"&amp;$A279,実績!$AK$6:$AK$505,"○")&gt;0,1,0))</f>
        <v>0</v>
      </c>
      <c r="AJ279" s="39" t="n">
        <f aca="false">IF(AJ$4=0,0,IF(COUNTIFS(実績!$W$6:$W$505,AJ$3,実績!$AI$6:$AI$505,"&lt;="&amp;$A279,実績!$AJ$6:$AJ$505,"&gt;"&amp;$A279,実績!$AK$6:$AK$505,"○")&gt;0,1,0))</f>
        <v>0</v>
      </c>
      <c r="AK279" s="39" t="n">
        <f aca="false">IF(AK$4=0,0,IF(COUNTIFS(実績!$W$6:$W$505,AK$3,実績!$AI$6:$AI$505,"&lt;="&amp;$A279,実績!$AJ$6:$AJ$505,"&gt;"&amp;$A279,実績!$AK$6:$AK$505,"○")&gt;0,1,0))</f>
        <v>0</v>
      </c>
      <c r="AL279" s="39" t="n">
        <f aca="false">IF(AL$4=0,0,IF(COUNTIFS(実績!$W$6:$W$505,AL$3,実績!$AI$6:$AI$505,"&lt;="&amp;$A279,実績!$AJ$6:$AJ$505,"&gt;"&amp;$A279,実績!$AK$6:$AK$505,"○")&gt;0,1,0))</f>
        <v>0</v>
      </c>
      <c r="AM279" s="39" t="n">
        <f aca="false">IF(AM$4=0,0,IF(COUNTIFS(実績!$W$6:$W$505,AM$3,実績!$AI$6:$AI$505,"&lt;="&amp;$A279,実績!$AJ$6:$AJ$505,"&gt;"&amp;$A279,実績!$AK$6:$AK$505,"○")&gt;0,1,0))</f>
        <v>0</v>
      </c>
      <c r="AN279" s="39" t="n">
        <f aca="false">IF(AN$4=0,0,IF(COUNTIFS(実績!$W$6:$W$505,AN$3,実績!$AI$6:$AI$505,"&lt;="&amp;$A279,実績!$AJ$6:$AJ$505,"&gt;"&amp;$A279,実績!$AK$6:$AK$505,"○")&gt;0,1,0))</f>
        <v>0</v>
      </c>
      <c r="AO279" s="39" t="n">
        <f aca="false">IF(AO$4=0,0,IF(COUNTIFS(実績!$W$6:$W$505,AO$3,実績!$AI$6:$AI$505,"&lt;="&amp;$A279,実績!$AJ$6:$AJ$505,"&gt;"&amp;$A279,実績!$AK$6:$AK$505,"○")&gt;0,1,0))</f>
        <v>0</v>
      </c>
      <c r="AP279" s="39" t="n">
        <f aca="false">IF(AP$4=0,0,IF(COUNTIFS(実績!$W$6:$W$505,AP$3,実績!$AI$6:$AI$505,"&lt;="&amp;$A279,実績!$AJ$6:$AJ$505,"&gt;"&amp;$A279,実績!$AK$6:$AK$505,"○")&gt;0,1,0))</f>
        <v>0</v>
      </c>
      <c r="AQ279" s="39" t="n">
        <f aca="false">IF(AQ$4=0,0,IF(COUNTIFS(実績!$W$6:$W$505,AQ$3,実績!$AI$6:$AI$505,"&lt;="&amp;$A279,実績!$AJ$6:$AJ$505,"&gt;"&amp;$A279,実績!$AK$6:$AK$505,"○")&gt;0,1,0))</f>
        <v>0</v>
      </c>
      <c r="AR279" s="39" t="n">
        <f aca="false">IF(AR$4=0,0,IF(COUNTIFS(実績!$W$6:$W$505,AR$3,実績!$AI$6:$AI$505,"&lt;="&amp;$A279,実績!$AJ$6:$AJ$505,"&gt;"&amp;$A279,実績!$AK$6:$AK$505,"○")&gt;0,1,0))</f>
        <v>0</v>
      </c>
      <c r="AS279" s="39" t="n">
        <f aca="false">IF(AS$4=0,0,IF(COUNTIFS(実績!$W$6:$W$505,AS$3,実績!$AI$6:$AI$505,"&lt;="&amp;$A279,実績!$AJ$6:$AJ$505,"&gt;"&amp;$A279,実績!$AK$6:$AK$505,"○")&gt;0,1,0))</f>
        <v>0</v>
      </c>
      <c r="AT279" s="39" t="n">
        <f aca="false">IF(AT$4=0,0,IF(COUNTIFS(実績!$W$6:$W$505,AT$3,実績!$AI$6:$AI$505,"&lt;="&amp;$A279,実績!$AJ$6:$AJ$505,"&gt;"&amp;$A279,実績!$AK$6:$AK$505,"○")&gt;0,1,0))</f>
        <v>0</v>
      </c>
      <c r="AU279" s="39" t="n">
        <f aca="false">IF(AU$4=0,0,IF(COUNTIFS(実績!$W$6:$W$505,AU$3,実績!$AI$6:$AI$505,"&lt;="&amp;$A279,実績!$AJ$6:$AJ$505,"&gt;"&amp;$A279,実績!$AK$6:$AK$505,"○")&gt;0,1,0))</f>
        <v>0</v>
      </c>
      <c r="AV279" s="39" t="n">
        <f aca="false">IF(AV$4=0,0,IF(COUNTIFS(実績!$W$6:$W$505,AV$3,実績!$AI$6:$AI$505,"&lt;="&amp;$A279,実績!$AJ$6:$AJ$505,"&gt;"&amp;$A279,実績!$AK$6:$AK$505,"○")&gt;0,1,0))</f>
        <v>0</v>
      </c>
      <c r="AW279" s="39" t="n">
        <f aca="false">IF(AW$4=0,0,IF(COUNTIFS(実績!$W$6:$W$505,AW$3,実績!$AI$6:$AI$505,"&lt;="&amp;$A279,実績!$AJ$6:$AJ$505,"&gt;"&amp;$A279,実績!$AK$6:$AK$505,"○")&gt;0,1,0))</f>
        <v>0</v>
      </c>
      <c r="AX279" s="39" t="n">
        <f aca="false">IF(AX$4=0,0,IF(COUNTIFS(実績!$W$6:$W$505,AX$3,実績!$AI$6:$AI$505,"&lt;="&amp;$A279,実績!$AJ$6:$AJ$505,"&gt;"&amp;$A279,実績!$AK$6:$AK$505,"○")&gt;0,1,0))</f>
        <v>0</v>
      </c>
      <c r="AY279" s="39" t="n">
        <f aca="false">IF(AY$4=0,0,IF(COUNTIFS(実績!$W$6:$W$505,AY$3,実績!$AI$6:$AI$505,"&lt;="&amp;$A279,実績!$AJ$6:$AJ$505,"&gt;"&amp;$A279,実績!$AK$6:$AK$505,"○")&gt;0,1,0))</f>
        <v>0</v>
      </c>
      <c r="AZ279" s="39" t="n">
        <f aca="false">IF(AZ$4=0,0,IF(COUNTIFS(実績!$W$6:$W$505,AZ$3,実績!$AI$6:$AI$505,"&lt;="&amp;$A279,実績!$AJ$6:$AJ$505,"&gt;"&amp;$A279,実績!$AK$6:$AK$505,"○")&gt;0,1,0))</f>
        <v>0</v>
      </c>
      <c r="BA279" s="39" t="n">
        <f aca="false">IF(BA$4=0,0,IF(COUNTIFS(実績!$W$6:$W$505,BA$3,実績!$AI$6:$AI$505,"&lt;="&amp;$A279,実績!$AJ$6:$AJ$505,"&gt;"&amp;$A279,実績!$AK$6:$AK$505,"○")&gt;0,1,0))</f>
        <v>0</v>
      </c>
      <c r="BB279" s="39" t="n">
        <f aca="false">IF(BB$4=0,0,IF(COUNTIFS(実績!$W$6:$W$505,BB$3,実績!$AI$6:$AI$505,"&lt;="&amp;$A279,実績!$AJ$6:$AJ$505,"&gt;"&amp;$A279,実績!$AK$6:$AK$505,"○")&gt;0,1,0))</f>
        <v>0</v>
      </c>
      <c r="BC279" s="39" t="n">
        <f aca="false">IF(BC$4=0,0,IF(COUNTIFS(実績!$W$6:$W$505,BC$3,実績!$AI$6:$AI$505,"&lt;="&amp;$A279,実績!$AJ$6:$AJ$505,"&gt;"&amp;$A279,実績!$AK$6:$AK$505,"○")&gt;0,1,0))</f>
        <v>0</v>
      </c>
      <c r="BD279" s="39" t="n">
        <f aca="false">IF(BD$4=0,0,IF(COUNTIFS(実績!$W$6:$W$505,BD$3,実績!$AI$6:$AI$505,"&lt;="&amp;$A279,実績!$AJ$6:$AJ$505,"&gt;"&amp;$A279,実績!$AK$6:$AK$505,"○")&gt;0,1,0))</f>
        <v>0</v>
      </c>
      <c r="BE279" s="39" t="n">
        <f aca="false">IF(BE$4=0,0,IF(COUNTIFS(実績!$W$6:$W$505,BE$3,実績!$AI$6:$AI$505,"&lt;="&amp;$A279,実績!$AJ$6:$AJ$505,"&gt;"&amp;$A279,実績!$AK$6:$AK$505,"○")&gt;0,1,0))</f>
        <v>0</v>
      </c>
      <c r="BF279" s="39" t="n">
        <f aca="false">IF(BF$4=0,0,IF(COUNTIFS(実績!$W$6:$W$505,BF$3,実績!$AI$6:$AI$505,"&lt;="&amp;$A279,実績!$AJ$6:$AJ$505,"&gt;"&amp;$A279,実績!$AK$6:$AK$505,"○")&gt;0,1,0))</f>
        <v>0</v>
      </c>
      <c r="BG279" s="39" t="n">
        <f aca="false">IF(BG$4=0,0,IF(COUNTIFS(実績!$W$6:$W$505,BG$3,実績!$AI$6:$AI$505,"&lt;="&amp;$A279,実績!$AJ$6:$AJ$505,"&gt;"&amp;$A279,実績!$AK$6:$AK$505,"○")&gt;0,1,0))</f>
        <v>0</v>
      </c>
      <c r="BH279" s="39" t="n">
        <f aca="false">IF(BH$4=0,0,IF(COUNTIFS(実績!$W$6:$W$505,BH$3,実績!$AI$6:$AI$505,"&lt;="&amp;$A279,実績!$AJ$6:$AJ$505,"&gt;"&amp;$A279,実績!$AK$6:$AK$505,"○")&gt;0,1,0))</f>
        <v>0</v>
      </c>
      <c r="BI279" s="39" t="n">
        <f aca="false">IF(BI$4=0,0,IF(COUNTIFS(実績!$W$6:$W$505,BI$3,実績!$AI$6:$AI$505,"&lt;="&amp;$A279,実績!$AJ$6:$AJ$505,"&gt;"&amp;$A279,実績!$AK$6:$AK$505,"○")&gt;0,1,0))</f>
        <v>0</v>
      </c>
      <c r="BJ279" s="39" t="n">
        <f aca="false">IF(BJ$4=0,0,IF(COUNTIFS(実績!$W$6:$W$505,BJ$3,実績!$AI$6:$AI$505,"&lt;="&amp;$A279,実績!$AJ$6:$AJ$505,"&gt;"&amp;$A279,実績!$AK$6:$AK$505,"○")&gt;0,1,0))</f>
        <v>0</v>
      </c>
      <c r="BK279" s="39" t="n">
        <f aca="false">IF(BK$4=0,0,IF(COUNTIFS(実績!$W$6:$W$505,BK$3,実績!$AI$6:$AI$505,"&lt;="&amp;$A279,実績!$AJ$6:$AJ$505,"&gt;"&amp;$A279,実績!$AK$6:$AK$505,"○")&gt;0,1,0))</f>
        <v>0</v>
      </c>
      <c r="BL279" s="39" t="n">
        <f aca="false">IF(BL$4=0,0,IF(COUNTIFS(実績!$W$6:$W$505,BL$3,実績!$AI$6:$AI$505,"&lt;="&amp;$A279,実績!$AJ$6:$AJ$505,"&gt;"&amp;$A279,実績!$AK$6:$AK$505,"○")&gt;0,1,0))</f>
        <v>0</v>
      </c>
      <c r="BM279" s="39" t="n">
        <f aca="false">IF(BM$4=0,0,IF(COUNTIFS(実績!$W$6:$W$505,BM$3,実績!$AI$6:$AI$505,"&lt;="&amp;$A279,実績!$AJ$6:$AJ$505,"&gt;"&amp;$A279,実績!$AK$6:$AK$505,"○")&gt;0,1,0))</f>
        <v>0</v>
      </c>
      <c r="BN279" s="39" t="n">
        <f aca="false">IF(BN$4=0,0,IF(COUNTIFS(実績!$W$6:$W$505,BN$3,実績!$AI$6:$AI$505,"&lt;="&amp;$A279,実績!$AJ$6:$AJ$505,"&gt;"&amp;$A279,実績!$AK$6:$AK$505,"○")&gt;0,1,0))</f>
        <v>0</v>
      </c>
      <c r="BO279" s="39" t="n">
        <f aca="false">IF(BO$4=0,0,IF(COUNTIFS(実績!$W$6:$W$505,BO$3,実績!$AI$6:$AI$505,"&lt;="&amp;$A279,実績!$AJ$6:$AJ$505,"&gt;"&amp;$A279,実績!$AK$6:$AK$505,"○")&gt;0,1,0))</f>
        <v>0</v>
      </c>
      <c r="BP279" s="39" t="n">
        <f aca="false">IF(BP$4=0,0,IF(COUNTIFS(実績!$W$6:$W$505,BP$3,実績!$AI$6:$AI$505,"&lt;="&amp;$A279,実績!$AJ$6:$AJ$505,"&gt;"&amp;$A279,実績!$AK$6:$AK$505,"○")&gt;0,1,0))</f>
        <v>0</v>
      </c>
      <c r="BQ279" s="39" t="n">
        <f aca="false">IF(BQ$4=0,0,IF(COUNTIFS(実績!$W$6:$W$505,BQ$3,実績!$AI$6:$AI$505,"&lt;="&amp;$A279,実績!$AJ$6:$AJ$505,"&gt;"&amp;$A279,実績!$AK$6:$AK$505,"○")&gt;0,1,0))</f>
        <v>0</v>
      </c>
      <c r="BR279" s="39" t="n">
        <f aca="false">IF(BR$4=0,0,IF(COUNTIFS(実績!$W$6:$W$505,BR$3,実績!$AI$6:$AI$505,"&lt;="&amp;$A279,実績!$AJ$6:$AJ$505,"&gt;"&amp;$A279,実績!$AK$6:$AK$505,"○")&gt;0,1,0))</f>
        <v>0</v>
      </c>
      <c r="BS279" s="39" t="n">
        <f aca="false">IF(BS$4=0,0,IF(COUNTIFS(実績!$W$6:$W$505,BS$3,実績!$AI$6:$AI$505,"&lt;="&amp;$A279,実績!$AJ$6:$AJ$505,"&gt;"&amp;$A279,実績!$AK$6:$AK$505,"○")&gt;0,1,0))</f>
        <v>0</v>
      </c>
      <c r="BT279" s="39" t="n">
        <f aca="false">IF(BT$4=0,0,IF(COUNTIFS(実績!$W$6:$W$505,BT$3,実績!$AI$6:$AI$505,"&lt;="&amp;$A279,実績!$AJ$6:$AJ$505,"&gt;"&amp;$A279,実績!$AK$6:$AK$505,"○")&gt;0,1,0))</f>
        <v>0</v>
      </c>
      <c r="BU279" s="39" t="n">
        <f aca="false">IF(BU$4=0,0,IF(COUNTIFS(実績!$W$6:$W$505,BU$3,実績!$AI$6:$AI$505,"&lt;="&amp;$A279,実績!$AJ$6:$AJ$505,"&gt;"&amp;$A279,実績!$AK$6:$AK$505,"○")&gt;0,1,0))</f>
        <v>0</v>
      </c>
      <c r="BV279" s="39" t="n">
        <f aca="false">IF(BV$4=0,0,IF(COUNTIFS(実績!$W$6:$W$505,BV$3,実績!$AI$6:$AI$505,"&lt;="&amp;$A279,実績!$AJ$6:$AJ$505,"&gt;"&amp;$A279,実績!$AK$6:$AK$505,"○")&gt;0,1,0))</f>
        <v>0</v>
      </c>
      <c r="BW279" s="39" t="n">
        <f aca="false">IF(BW$4=0,0,IF(COUNTIFS(実績!$W$6:$W$505,BW$3,実績!$AI$6:$AI$505,"&lt;="&amp;$A279,実績!$AJ$6:$AJ$505,"&gt;"&amp;$A279,実績!$AK$6:$AK$505,"○")&gt;0,1,0))</f>
        <v>0</v>
      </c>
      <c r="BX279" s="39" t="n">
        <f aca="false">IF(BX$4=0,0,IF(COUNTIFS(実績!$W$6:$W$505,BX$3,実績!$AI$6:$AI$505,"&lt;="&amp;$A279,実績!$AJ$6:$AJ$505,"&gt;"&amp;$A279,実績!$AK$6:$AK$505,"○")&gt;0,1,0))</f>
        <v>0</v>
      </c>
      <c r="BY279" s="39" t="n">
        <f aca="false">IF(BY$4=0,0,IF(COUNTIFS(実績!$W$6:$W$505,BY$3,実績!$AI$6:$AI$505,"&lt;="&amp;$A279,実績!$AJ$6:$AJ$505,"&gt;"&amp;$A279,実績!$AK$6:$AK$505,"○")&gt;0,1,0))</f>
        <v>0</v>
      </c>
      <c r="BZ279" s="39" t="n">
        <f aca="false">IF(BZ$4=0,0,IF(COUNTIFS(実績!$W$6:$W$505,BZ$3,実績!$AI$6:$AI$505,"&lt;="&amp;$A279,実績!$AJ$6:$AJ$505,"&gt;"&amp;$A279,実績!$AK$6:$AK$505,"○")&gt;0,1,0))</f>
        <v>0</v>
      </c>
      <c r="CA279" s="39" t="n">
        <f aca="false">IF(CA$4=0,0,IF(COUNTIFS(実績!$W$6:$W$505,CA$3,実績!$AI$6:$AI$505,"&lt;="&amp;$A279,実績!$AJ$6:$AJ$505,"&gt;"&amp;$A279,実績!$AK$6:$AK$505,"○")&gt;0,1,0))</f>
        <v>0</v>
      </c>
      <c r="CB279" s="39" t="n">
        <f aca="false">IF(CB$4=0,0,IF(COUNTIFS(実績!$W$6:$W$505,CB$3,実績!$AI$6:$AI$505,"&lt;="&amp;$A279,実績!$AJ$6:$AJ$505,"&gt;"&amp;$A279,実績!$AK$6:$AK$505,"○")&gt;0,1,0))</f>
        <v>0</v>
      </c>
      <c r="CC279" s="39" t="n">
        <f aca="false">IF(CC$4=0,0,IF(COUNTIFS(実績!$W$6:$W$505,CC$3,実績!$AI$6:$AI$505,"&lt;="&amp;$A279,実績!$AJ$6:$AJ$505,"&gt;"&amp;$A279,実績!$AK$6:$AK$505,"○")&gt;0,1,0))</f>
        <v>0</v>
      </c>
      <c r="CD279" s="39" t="n">
        <f aca="false">IF(CD$4=0,0,IF(COUNTIFS(実績!$W$6:$W$505,CD$3,実績!$AI$6:$AI$505,"&lt;="&amp;$A279,実績!$AJ$6:$AJ$505,"&gt;"&amp;$A279,実績!$AK$6:$AK$505,"○")&gt;0,1,0))</f>
        <v>0</v>
      </c>
      <c r="CE279" s="39" t="n">
        <f aca="false">IF(CE$4=0,0,IF(COUNTIFS(実績!$W$6:$W$505,CE$3,実績!$AI$6:$AI$505,"&lt;="&amp;$A279,実績!$AJ$6:$AJ$505,"&gt;"&amp;$A279,実績!$AK$6:$AK$505,"○")&gt;0,1,0))</f>
        <v>0</v>
      </c>
      <c r="CF279" s="39" t="n">
        <f aca="false">IF(CF$4=0,0,IF(COUNTIFS(実績!$W$6:$W$505,CF$3,実績!$AI$6:$AI$505,"&lt;="&amp;$A279,実績!$AJ$6:$AJ$505,"&gt;"&amp;$A279,実績!$AK$6:$AK$505,"○")&gt;0,1,0))</f>
        <v>0</v>
      </c>
      <c r="CG279" s="39" t="n">
        <f aca="false">IF(CG$4=0,0,IF(COUNTIFS(実績!$W$6:$W$505,CG$3,実績!$AI$6:$AI$505,"&lt;="&amp;$A279,実績!$AJ$6:$AJ$505,"&gt;"&amp;$A279,実績!$AK$6:$AK$505,"○")&gt;0,1,0))</f>
        <v>0</v>
      </c>
      <c r="CH279" s="39" t="n">
        <f aca="false">IF(CH$4=0,0,IF(COUNTIFS(実績!$W$6:$W$505,CH$3,実績!$AI$6:$AI$505,"&lt;="&amp;$A279,実績!$AJ$6:$AJ$505,"&gt;"&amp;$A279,実績!$AK$6:$AK$505,"○")&gt;0,1,0))</f>
        <v>0</v>
      </c>
      <c r="CI279" s="39" t="n">
        <f aca="false">IF(CI$4=0,0,IF(COUNTIFS(実績!$W$6:$W$505,CI$3,実績!$AI$6:$AI$505,"&lt;="&amp;$A279,実績!$AJ$6:$AJ$505,"&gt;"&amp;$A279,実績!$AK$6:$AK$505,"○")&gt;0,1,0))</f>
        <v>0</v>
      </c>
      <c r="CJ279" s="39" t="n">
        <f aca="false">IF(CJ$4=0,0,IF(COUNTIFS(実績!$W$6:$W$505,CJ$3,実績!$AI$6:$AI$505,"&lt;="&amp;$A279,実績!$AJ$6:$AJ$505,"&gt;"&amp;$A279,実績!$AK$6:$AK$505,"○")&gt;0,1,0))</f>
        <v>0</v>
      </c>
      <c r="CK279" s="39" t="n">
        <f aca="false">IF(CK$4=0,0,IF(COUNTIFS(実績!$W$6:$W$505,CK$3,実績!$AI$6:$AI$505,"&lt;="&amp;$A279,実績!$AJ$6:$AJ$505,"&gt;"&amp;$A279,実績!$AK$6:$AK$505,"○")&gt;0,1,0))</f>
        <v>0</v>
      </c>
      <c r="CL279" s="39" t="n">
        <f aca="false">IF(CL$4=0,0,IF(COUNTIFS(実績!$W$6:$W$505,CL$3,実績!$AI$6:$AI$505,"&lt;="&amp;$A279,実績!$AJ$6:$AJ$505,"&gt;"&amp;$A279,実績!$AK$6:$AK$505,"○")&gt;0,1,0))</f>
        <v>0</v>
      </c>
      <c r="CM279" s="39" t="n">
        <f aca="false">IF(CM$4=0,0,IF(COUNTIFS(実績!$W$6:$W$505,CM$3,実績!$AI$6:$AI$505,"&lt;="&amp;$A279,実績!$AJ$6:$AJ$505,"&gt;"&amp;$A279,実績!$AK$6:$AK$505,"○")&gt;0,1,0))</f>
        <v>0</v>
      </c>
      <c r="CN279" s="39" t="n">
        <f aca="false">IF(CN$4=0,0,IF(COUNTIFS(実績!$W$6:$W$505,CN$3,実績!$AI$6:$AI$505,"&lt;="&amp;$A279,実績!$AJ$6:$AJ$505,"&gt;"&amp;$A279,実績!$AK$6:$AK$505,"○")&gt;0,1,0))</f>
        <v>0</v>
      </c>
      <c r="CO279" s="39" t="n">
        <f aca="false">IF(CO$4=0,0,IF(COUNTIFS(実績!$W$6:$W$505,CO$3,実績!$AI$6:$AI$505,"&lt;="&amp;$A279,実績!$AJ$6:$AJ$505,"&gt;"&amp;$A279,実績!$AK$6:$AK$505,"○")&gt;0,1,0))</f>
        <v>0</v>
      </c>
      <c r="CP279" s="39" t="n">
        <f aca="false">IF(CP$4=0,0,IF(COUNTIFS(実績!$W$6:$W$505,CP$3,実績!$AI$6:$AI$505,"&lt;="&amp;$A279,実績!$AJ$6:$AJ$505,"&gt;"&amp;$A279,実績!$AK$6:$AK$505,"○")&gt;0,1,0))</f>
        <v>0</v>
      </c>
      <c r="CQ279" s="39" t="n">
        <f aca="false">IF(CQ$4=0,0,IF(COUNTIFS(実績!$W$6:$W$505,CQ$3,実績!$AI$6:$AI$505,"&lt;="&amp;$A279,実績!$AJ$6:$AJ$505,"&gt;"&amp;$A279,実績!$AK$6:$AK$505,"○")&gt;0,1,0))</f>
        <v>0</v>
      </c>
      <c r="CR279" s="39" t="n">
        <f aca="false">IF(CR$4=0,0,IF(COUNTIFS(実績!$W$6:$W$505,CR$3,実績!$AI$6:$AI$505,"&lt;="&amp;$A279,実績!$AJ$6:$AJ$505,"&gt;"&amp;$A279,実績!$AK$6:$AK$505,"○")&gt;0,1,0))</f>
        <v>0</v>
      </c>
      <c r="CS279" s="39" t="n">
        <f aca="false">IF(CS$4=0,0,IF(COUNTIFS(実績!$W$6:$W$505,CS$3,実績!$AI$6:$AI$505,"&lt;="&amp;$A279,実績!$AJ$6:$AJ$505,"&gt;"&amp;$A279,実績!$AK$6:$AK$505,"○")&gt;0,1,0))</f>
        <v>0</v>
      </c>
      <c r="CT279" s="39" t="n">
        <f aca="false">IF(CT$4=0,0,IF(COUNTIFS(実績!$W$6:$W$505,CT$3,実績!$AI$6:$AI$505,"&lt;="&amp;$A279,実績!$AJ$6:$AJ$505,"&gt;"&amp;$A279,実績!$AK$6:$AK$505,"○")&gt;0,1,0))</f>
        <v>0</v>
      </c>
      <c r="CU279" s="39" t="n">
        <f aca="false">IF(CU$4=0,0,IF(COUNTIFS(実績!$W$6:$W$505,CU$3,実績!$AI$6:$AI$505,"&lt;="&amp;$A279,実績!$AJ$6:$AJ$505,"&gt;"&amp;$A279,実績!$AK$6:$AK$505,"○")&gt;0,1,0))</f>
        <v>0</v>
      </c>
      <c r="CV279" s="39" t="n">
        <f aca="false">IF(CV$4=0,0,IF(COUNTIFS(実績!$W$6:$W$505,CV$3,実績!$AI$6:$AI$505,"&lt;="&amp;$A279,実績!$AJ$6:$AJ$505,"&gt;"&amp;$A279,実績!$AK$6:$AK$505,"○")&gt;0,1,0))</f>
        <v>0</v>
      </c>
      <c r="CW279" s="39" t="n">
        <f aca="false">IF(CW$4=0,0,IF(COUNTIFS(実績!$W$6:$W$505,CW$3,実績!$AI$6:$AI$505,"&lt;="&amp;$A279,実績!$AJ$6:$AJ$505,"&gt;"&amp;$A279,実績!$AK$6:$AK$505,"○")&gt;0,1,0))</f>
        <v>0</v>
      </c>
      <c r="CX279" s="39" t="n">
        <f aca="false">IF(CX$4=0,0,IF(COUNTIFS(実績!$W$6:$W$505,CX$3,実績!$AI$6:$AI$505,"&lt;="&amp;$A279,実績!$AJ$6:$AJ$505,"&gt;"&amp;$A279,実績!$AK$6:$AK$505,"○")&gt;0,1,0))</f>
        <v>0</v>
      </c>
      <c r="CY279" s="39" t="n">
        <f aca="false">IF(CY$4=0,0,IF(COUNTIFS(実績!$W$6:$W$505,CY$3,実績!$AI$6:$AI$505,"&lt;="&amp;$A279,実績!$AJ$6:$AJ$505,"&gt;"&amp;$A279,実績!$AK$6:$AK$505,"○")&gt;0,1,0))</f>
        <v>0</v>
      </c>
      <c r="CZ279" s="39" t="n">
        <f aca="false">IF(CZ$4=0,0,IF(COUNTIFS(実績!$W$6:$W$505,CZ$3,実績!$AI$6:$AI$505,"&lt;="&amp;$A279,実績!$AJ$6:$AJ$505,"&gt;"&amp;$A279,実績!$AK$6:$AK$505,"○")&gt;0,1,0))</f>
        <v>0</v>
      </c>
      <c r="DA279" s="39" t="n">
        <f aca="false">IF(DA$4=0,0,IF(COUNTIFS(実績!$W$6:$W$505,DA$3,実績!$AI$6:$AI$505,"&lt;="&amp;$A279,実績!$AJ$6:$AJ$505,"&gt;"&amp;$A279,実績!$AK$6:$AK$505,"○")&gt;0,1,0))</f>
        <v>0</v>
      </c>
      <c r="DB279" s="39" t="n">
        <f aca="false">IF(DB$4=0,0,IF(COUNTIFS(実績!$W$6:$W$505,DB$3,実績!$AI$6:$AI$505,"&lt;="&amp;$A279,実績!$AJ$6:$AJ$505,"&gt;"&amp;$A279,実績!$AK$6:$AK$505,"○")&gt;0,1,0))</f>
        <v>0</v>
      </c>
      <c r="DC279" s="39" t="n">
        <f aca="false">IF(DC$4=0,0,IF(COUNTIFS(実績!$W$6:$W$505,DC$3,実績!$AI$6:$AI$505,"&lt;="&amp;$A279,実績!$AJ$6:$AJ$505,"&gt;"&amp;$A279,実績!$AK$6:$AK$505,"○")&gt;0,1,0))</f>
        <v>0</v>
      </c>
      <c r="DD279" s="39" t="n">
        <f aca="false">IF(DD$4=0,0,IF(COUNTIFS(実績!$W$6:$W$505,DD$3,実績!$AI$6:$AI$505,"&lt;="&amp;$A279,実績!$AJ$6:$AJ$505,"&gt;"&amp;$A279,実績!$AK$6:$AK$505,"○")&gt;0,1,0))</f>
        <v>0</v>
      </c>
      <c r="DE279" s="39" t="n">
        <f aca="false">IF(DE$4=0,0,IF(COUNTIFS(実績!$W$6:$W$505,DE$3,実績!$AI$6:$AI$505,"&lt;="&amp;$A279,実績!$AJ$6:$AJ$505,"&gt;"&amp;$A279,実績!$AK$6:$AK$505,"○")&gt;0,1,0))</f>
        <v>0</v>
      </c>
      <c r="DF279" s="39" t="n">
        <f aca="false">IF(DF$4=0,0,IF(COUNTIFS(実績!$W$6:$W$505,DF$3,実績!$AI$6:$AI$505,"&lt;="&amp;$A279,実績!$AJ$6:$AJ$505,"&gt;"&amp;$A279,実績!$AK$6:$AK$505,"○")&gt;0,1,0))</f>
        <v>0</v>
      </c>
      <c r="DG279" s="39" t="n">
        <f aca="false">IF(DG$4=0,0,IF(COUNTIFS(実績!$W$6:$W$505,DG$3,実績!$AI$6:$AI$505,"&lt;="&amp;$A279,実績!$AJ$6:$AJ$505,"&gt;"&amp;$A279,実績!$AK$6:$AK$505,"○")&gt;0,1,0))</f>
        <v>0</v>
      </c>
      <c r="DH279" s="39" t="n">
        <f aca="false">IF(DH$4=0,0,IF(COUNTIFS(実績!$W$6:$W$505,DH$3,実績!$AI$6:$AI$505,"&lt;="&amp;$A279,実績!$AJ$6:$AJ$505,"&gt;"&amp;$A279,実績!$AK$6:$AK$505,"○")&gt;0,1,0))</f>
        <v>0</v>
      </c>
      <c r="DI279" s="39" t="n">
        <f aca="false">IF(DI$4=0,0,IF(COUNTIFS(実績!$W$6:$W$505,DI$3,実績!$AI$6:$AI$505,"&lt;="&amp;$A279,実績!$AJ$6:$AJ$505,"&gt;"&amp;$A279,実績!$AK$6:$AK$505,"○")&gt;0,1,0))</f>
        <v>0</v>
      </c>
      <c r="DJ279" s="39" t="n">
        <f aca="false">IF(DJ$4=0,0,IF(COUNTIFS(実績!$W$6:$W$505,DJ$3,実績!$AI$6:$AI$505,"&lt;="&amp;$A279,実績!$AJ$6:$AJ$505,"&gt;"&amp;$A279,実績!$AK$6:$AK$505,"○")&gt;0,1,0))</f>
        <v>0</v>
      </c>
      <c r="DK279" s="39" t="n">
        <f aca="false">IF(DK$4=0,0,IF(COUNTIFS(実績!$W$6:$W$505,DK$3,実績!$AI$6:$AI$505,"&lt;="&amp;$A279,実績!$AJ$6:$AJ$505,"&gt;"&amp;$A279,実績!$AK$6:$AK$505,"○")&gt;0,1,0))</f>
        <v>0</v>
      </c>
      <c r="DL279" s="39" t="n">
        <f aca="false">IF(DL$4=0,0,IF(COUNTIFS(実績!$W$6:$W$505,DL$3,実績!$AI$6:$AI$505,"&lt;="&amp;$A279,実績!$AJ$6:$AJ$505,"&gt;"&amp;$A279,実績!$AK$6:$AK$505,"○")&gt;0,1,0))</f>
        <v>0</v>
      </c>
      <c r="DM279" s="39" t="n">
        <f aca="false">IF(DM$4=0,0,IF(COUNTIFS(実績!$W$6:$W$505,DM$3,実績!$AI$6:$AI$505,"&lt;="&amp;$A279,実績!$AJ$6:$AJ$505,"&gt;"&amp;$A279,実績!$AK$6:$AK$505,"○")&gt;0,1,0))</f>
        <v>0</v>
      </c>
      <c r="DN279" s="39" t="n">
        <f aca="false">IF(DN$4=0,0,IF(COUNTIFS(実績!$W$6:$W$505,DN$3,実績!$AI$6:$AI$505,"&lt;="&amp;$A279,実績!$AJ$6:$AJ$505,"&gt;"&amp;$A279,実績!$AK$6:$AK$505,"○")&gt;0,1,0))</f>
        <v>0</v>
      </c>
      <c r="DO279" s="39" t="n">
        <f aca="false">IF(DO$4=0,0,IF(COUNTIFS(実績!$W$6:$W$505,DO$3,実績!$AI$6:$AI$505,"&lt;="&amp;$A279,実績!$AJ$6:$AJ$505,"&gt;"&amp;$A279,実績!$AK$6:$AK$505,"○")&gt;0,1,0))</f>
        <v>0</v>
      </c>
      <c r="DP279" s="39" t="n">
        <f aca="false">IF(DP$4=0,0,IF(COUNTIFS(実績!$W$6:$W$505,DP$3,実績!$AI$6:$AI$505,"&lt;="&amp;$A279,実績!$AJ$6:$AJ$505,"&gt;"&amp;$A279,実績!$AK$6:$AK$505,"○")&gt;0,1,0))</f>
        <v>0</v>
      </c>
      <c r="DQ279" s="39" t="n">
        <f aca="false">IF(DQ$4=0,0,IF(COUNTIFS(実績!$W$6:$W$505,DQ$3,実績!$AI$6:$AI$505,"&lt;="&amp;$A279,実績!$AJ$6:$AJ$505,"&gt;"&amp;$A279,実績!$AK$6:$AK$505,"○")&gt;0,1,0))</f>
        <v>0</v>
      </c>
      <c r="DR279" s="39" t="n">
        <f aca="false">IF(DR$4=0,0,IF(COUNTIFS(実績!$W$6:$W$505,DR$3,実績!$AI$6:$AI$505,"&lt;="&amp;$A279,実績!$AJ$6:$AJ$505,"&gt;"&amp;$A279,実績!$AK$6:$AK$505,"○")&gt;0,1,0))</f>
        <v>0</v>
      </c>
      <c r="DS279" s="39" t="n">
        <f aca="false">SUM(C279:DR279)</f>
        <v>0</v>
      </c>
      <c r="DT279" s="39" t="n">
        <f aca="false">SUMPRODUCT((実績!$C$6:$C$505="○")*ISNUMBER(実績!$AM$6:$AM$505)*(実績!$AM$6:$AM$505&lt;=$A279)*(実績!$AN$6:$AN$505&gt;$A279))</f>
        <v>0</v>
      </c>
      <c r="DU279" s="39" t="n">
        <f aca="false">SUMIF($C$2:$DR$2,"製鉄曳船",C279:DR279)</f>
        <v>0</v>
      </c>
      <c r="DV279" s="39" t="n">
        <f aca="false">SUMIF($C$2:$DR$2,"西日本海運",C279:DR279)</f>
        <v>0</v>
      </c>
    </row>
    <row r="280" customFormat="false" ht="15" hidden="false" customHeight="false" outlineLevel="0" collapsed="false">
      <c r="A280" s="0" t="n">
        <v>1370</v>
      </c>
      <c r="B280" s="38" t="n">
        <f aca="false">A280/1440</f>
        <v>0.951388888888889</v>
      </c>
      <c r="C280" s="39" t="n">
        <f aca="false">IF(C$4=0,0,IF(COUNTIFS(実績!$W$6:$W$505,C$3,実績!$AI$6:$AI$505,"&lt;="&amp;$A280,実績!$AJ$6:$AJ$505,"&gt;"&amp;$A280,実績!$AK$6:$AK$505,"○")&gt;0,1,0))</f>
        <v>0</v>
      </c>
      <c r="D280" s="39" t="n">
        <f aca="false">IF(D$4=0,0,IF(COUNTIFS(実績!$W$6:$W$505,D$3,実績!$AI$6:$AI$505,"&lt;="&amp;$A280,実績!$AJ$6:$AJ$505,"&gt;"&amp;$A280,実績!$AK$6:$AK$505,"○")&gt;0,1,0))</f>
        <v>0</v>
      </c>
      <c r="E280" s="39" t="n">
        <f aca="false">IF(E$4=0,0,IF(COUNTIFS(実績!$W$6:$W$505,E$3,実績!$AI$6:$AI$505,"&lt;="&amp;$A280,実績!$AJ$6:$AJ$505,"&gt;"&amp;$A280,実績!$AK$6:$AK$505,"○")&gt;0,1,0))</f>
        <v>0</v>
      </c>
      <c r="F280" s="39" t="n">
        <f aca="false">IF(F$4=0,0,IF(COUNTIFS(実績!$W$6:$W$505,F$3,実績!$AI$6:$AI$505,"&lt;="&amp;$A280,実績!$AJ$6:$AJ$505,"&gt;"&amp;$A280,実績!$AK$6:$AK$505,"○")&gt;0,1,0))</f>
        <v>0</v>
      </c>
      <c r="G280" s="39" t="n">
        <f aca="false">IF(G$4=0,0,IF(COUNTIFS(実績!$W$6:$W$505,G$3,実績!$AI$6:$AI$505,"&lt;="&amp;$A280,実績!$AJ$6:$AJ$505,"&gt;"&amp;$A280,実績!$AK$6:$AK$505,"○")&gt;0,1,0))</f>
        <v>0</v>
      </c>
      <c r="H280" s="39" t="n">
        <f aca="false">IF(H$4=0,0,IF(COUNTIFS(実績!$W$6:$W$505,H$3,実績!$AI$6:$AI$505,"&lt;="&amp;$A280,実績!$AJ$6:$AJ$505,"&gt;"&amp;$A280,実績!$AK$6:$AK$505,"○")&gt;0,1,0))</f>
        <v>0</v>
      </c>
      <c r="I280" s="39" t="n">
        <f aca="false">IF(I$4=0,0,IF(COUNTIFS(実績!$W$6:$W$505,I$3,実績!$AI$6:$AI$505,"&lt;="&amp;$A280,実績!$AJ$6:$AJ$505,"&gt;"&amp;$A280,実績!$AK$6:$AK$505,"○")&gt;0,1,0))</f>
        <v>0</v>
      </c>
      <c r="J280" s="39" t="n">
        <f aca="false">IF(J$4=0,0,IF(COUNTIFS(実績!$W$6:$W$505,J$3,実績!$AI$6:$AI$505,"&lt;="&amp;$A280,実績!$AJ$6:$AJ$505,"&gt;"&amp;$A280,実績!$AK$6:$AK$505,"○")&gt;0,1,0))</f>
        <v>0</v>
      </c>
      <c r="K280" s="39" t="n">
        <f aca="false">IF(K$4=0,0,IF(COUNTIFS(実績!$W$6:$W$505,K$3,実績!$AI$6:$AI$505,"&lt;="&amp;$A280,実績!$AJ$6:$AJ$505,"&gt;"&amp;$A280,実績!$AK$6:$AK$505,"○")&gt;0,1,0))</f>
        <v>0</v>
      </c>
      <c r="L280" s="39" t="n">
        <f aca="false">IF(L$4=0,0,IF(COUNTIFS(実績!$W$6:$W$505,L$3,実績!$AI$6:$AI$505,"&lt;="&amp;$A280,実績!$AJ$6:$AJ$505,"&gt;"&amp;$A280,実績!$AK$6:$AK$505,"○")&gt;0,1,0))</f>
        <v>0</v>
      </c>
      <c r="M280" s="39" t="n">
        <f aca="false">IF(M$4=0,0,IF(COUNTIFS(実績!$W$6:$W$505,M$3,実績!$AI$6:$AI$505,"&lt;="&amp;$A280,実績!$AJ$6:$AJ$505,"&gt;"&amp;$A280,実績!$AK$6:$AK$505,"○")&gt;0,1,0))</f>
        <v>0</v>
      </c>
      <c r="N280" s="39" t="n">
        <f aca="false">IF(N$4=0,0,IF(COUNTIFS(実績!$W$6:$W$505,N$3,実績!$AI$6:$AI$505,"&lt;="&amp;$A280,実績!$AJ$6:$AJ$505,"&gt;"&amp;$A280,実績!$AK$6:$AK$505,"○")&gt;0,1,0))</f>
        <v>0</v>
      </c>
      <c r="O280" s="39" t="n">
        <f aca="false">IF(O$4=0,0,IF(COUNTIFS(実績!$W$6:$W$505,O$3,実績!$AI$6:$AI$505,"&lt;="&amp;$A280,実績!$AJ$6:$AJ$505,"&gt;"&amp;$A280,実績!$AK$6:$AK$505,"○")&gt;0,1,0))</f>
        <v>0</v>
      </c>
      <c r="P280" s="39" t="n">
        <f aca="false">IF(P$4=0,0,IF(COUNTIFS(実績!$W$6:$W$505,P$3,実績!$AI$6:$AI$505,"&lt;="&amp;$A280,実績!$AJ$6:$AJ$505,"&gt;"&amp;$A280,実績!$AK$6:$AK$505,"○")&gt;0,1,0))</f>
        <v>0</v>
      </c>
      <c r="Q280" s="39" t="n">
        <f aca="false">IF(Q$4=0,0,IF(COUNTIFS(実績!$W$6:$W$505,Q$3,実績!$AI$6:$AI$505,"&lt;="&amp;$A280,実績!$AJ$6:$AJ$505,"&gt;"&amp;$A280,実績!$AK$6:$AK$505,"○")&gt;0,1,0))</f>
        <v>0</v>
      </c>
      <c r="R280" s="39" t="n">
        <f aca="false">IF(R$4=0,0,IF(COUNTIFS(実績!$W$6:$W$505,R$3,実績!$AI$6:$AI$505,"&lt;="&amp;$A280,実績!$AJ$6:$AJ$505,"&gt;"&amp;$A280,実績!$AK$6:$AK$505,"○")&gt;0,1,0))</f>
        <v>0</v>
      </c>
      <c r="S280" s="39" t="n">
        <f aca="false">IF(S$4=0,0,IF(COUNTIFS(実績!$W$6:$W$505,S$3,実績!$AI$6:$AI$505,"&lt;="&amp;$A280,実績!$AJ$6:$AJ$505,"&gt;"&amp;$A280,実績!$AK$6:$AK$505,"○")&gt;0,1,0))</f>
        <v>0</v>
      </c>
      <c r="T280" s="39" t="n">
        <f aca="false">IF(T$4=0,0,IF(COUNTIFS(実績!$W$6:$W$505,T$3,実績!$AI$6:$AI$505,"&lt;="&amp;$A280,実績!$AJ$6:$AJ$505,"&gt;"&amp;$A280,実績!$AK$6:$AK$505,"○")&gt;0,1,0))</f>
        <v>0</v>
      </c>
      <c r="U280" s="39" t="n">
        <f aca="false">IF(U$4=0,0,IF(COUNTIFS(実績!$W$6:$W$505,U$3,実績!$AI$6:$AI$505,"&lt;="&amp;$A280,実績!$AJ$6:$AJ$505,"&gt;"&amp;$A280,実績!$AK$6:$AK$505,"○")&gt;0,1,0))</f>
        <v>0</v>
      </c>
      <c r="V280" s="39" t="n">
        <f aca="false">IF(V$4=0,0,IF(COUNTIFS(実績!$W$6:$W$505,V$3,実績!$AI$6:$AI$505,"&lt;="&amp;$A280,実績!$AJ$6:$AJ$505,"&gt;"&amp;$A280,実績!$AK$6:$AK$505,"○")&gt;0,1,0))</f>
        <v>0</v>
      </c>
      <c r="W280" s="39" t="n">
        <f aca="false">IF(W$4=0,0,IF(COUNTIFS(実績!$W$6:$W$505,W$3,実績!$AI$6:$AI$505,"&lt;="&amp;$A280,実績!$AJ$6:$AJ$505,"&gt;"&amp;$A280,実績!$AK$6:$AK$505,"○")&gt;0,1,0))</f>
        <v>0</v>
      </c>
      <c r="X280" s="39" t="n">
        <f aca="false">IF(X$4=0,0,IF(COUNTIFS(実績!$W$6:$W$505,X$3,実績!$AI$6:$AI$505,"&lt;="&amp;$A280,実績!$AJ$6:$AJ$505,"&gt;"&amp;$A280,実績!$AK$6:$AK$505,"○")&gt;0,1,0))</f>
        <v>0</v>
      </c>
      <c r="Y280" s="39" t="n">
        <f aca="false">IF(Y$4=0,0,IF(COUNTIFS(実績!$W$6:$W$505,Y$3,実績!$AI$6:$AI$505,"&lt;="&amp;$A280,実績!$AJ$6:$AJ$505,"&gt;"&amp;$A280,実績!$AK$6:$AK$505,"○")&gt;0,1,0))</f>
        <v>0</v>
      </c>
      <c r="Z280" s="39" t="n">
        <f aca="false">IF(Z$4=0,0,IF(COUNTIFS(実績!$W$6:$W$505,Z$3,実績!$AI$6:$AI$505,"&lt;="&amp;$A280,実績!$AJ$6:$AJ$505,"&gt;"&amp;$A280,実績!$AK$6:$AK$505,"○")&gt;0,1,0))</f>
        <v>0</v>
      </c>
      <c r="AA280" s="39" t="n">
        <f aca="false">IF(AA$4=0,0,IF(COUNTIFS(実績!$W$6:$W$505,AA$3,実績!$AI$6:$AI$505,"&lt;="&amp;$A280,実績!$AJ$6:$AJ$505,"&gt;"&amp;$A280,実績!$AK$6:$AK$505,"○")&gt;0,1,0))</f>
        <v>0</v>
      </c>
      <c r="AB280" s="39" t="n">
        <f aca="false">IF(AB$4=0,0,IF(COUNTIFS(実績!$W$6:$W$505,AB$3,実績!$AI$6:$AI$505,"&lt;="&amp;$A280,実績!$AJ$6:$AJ$505,"&gt;"&amp;$A280,実績!$AK$6:$AK$505,"○")&gt;0,1,0))</f>
        <v>0</v>
      </c>
      <c r="AC280" s="39" t="n">
        <f aca="false">IF(AC$4=0,0,IF(COUNTIFS(実績!$W$6:$W$505,AC$3,実績!$AI$6:$AI$505,"&lt;="&amp;$A280,実績!$AJ$6:$AJ$505,"&gt;"&amp;$A280,実績!$AK$6:$AK$505,"○")&gt;0,1,0))</f>
        <v>0</v>
      </c>
      <c r="AD280" s="39" t="n">
        <f aca="false">IF(AD$4=0,0,IF(COUNTIFS(実績!$W$6:$W$505,AD$3,実績!$AI$6:$AI$505,"&lt;="&amp;$A280,実績!$AJ$6:$AJ$505,"&gt;"&amp;$A280,実績!$AK$6:$AK$505,"○")&gt;0,1,0))</f>
        <v>0</v>
      </c>
      <c r="AE280" s="39" t="n">
        <f aca="false">IF(AE$4=0,0,IF(COUNTIFS(実績!$W$6:$W$505,AE$3,実績!$AI$6:$AI$505,"&lt;="&amp;$A280,実績!$AJ$6:$AJ$505,"&gt;"&amp;$A280,実績!$AK$6:$AK$505,"○")&gt;0,1,0))</f>
        <v>0</v>
      </c>
      <c r="AF280" s="39" t="n">
        <f aca="false">IF(AF$4=0,0,IF(COUNTIFS(実績!$W$6:$W$505,AF$3,実績!$AI$6:$AI$505,"&lt;="&amp;$A280,実績!$AJ$6:$AJ$505,"&gt;"&amp;$A280,実績!$AK$6:$AK$505,"○")&gt;0,1,0))</f>
        <v>0</v>
      </c>
      <c r="AG280" s="39" t="n">
        <f aca="false">IF(AG$4=0,0,IF(COUNTIFS(実績!$W$6:$W$505,AG$3,実績!$AI$6:$AI$505,"&lt;="&amp;$A280,実績!$AJ$6:$AJ$505,"&gt;"&amp;$A280,実績!$AK$6:$AK$505,"○")&gt;0,1,0))</f>
        <v>0</v>
      </c>
      <c r="AH280" s="39" t="n">
        <f aca="false">IF(AH$4=0,0,IF(COUNTIFS(実績!$W$6:$W$505,AH$3,実績!$AI$6:$AI$505,"&lt;="&amp;$A280,実績!$AJ$6:$AJ$505,"&gt;"&amp;$A280,実績!$AK$6:$AK$505,"○")&gt;0,1,0))</f>
        <v>0</v>
      </c>
      <c r="AI280" s="39" t="n">
        <f aca="false">IF(AI$4=0,0,IF(COUNTIFS(実績!$W$6:$W$505,AI$3,実績!$AI$6:$AI$505,"&lt;="&amp;$A280,実績!$AJ$6:$AJ$505,"&gt;"&amp;$A280,実績!$AK$6:$AK$505,"○")&gt;0,1,0))</f>
        <v>0</v>
      </c>
      <c r="AJ280" s="39" t="n">
        <f aca="false">IF(AJ$4=0,0,IF(COUNTIFS(実績!$W$6:$W$505,AJ$3,実績!$AI$6:$AI$505,"&lt;="&amp;$A280,実績!$AJ$6:$AJ$505,"&gt;"&amp;$A280,実績!$AK$6:$AK$505,"○")&gt;0,1,0))</f>
        <v>0</v>
      </c>
      <c r="AK280" s="39" t="n">
        <f aca="false">IF(AK$4=0,0,IF(COUNTIFS(実績!$W$6:$W$505,AK$3,実績!$AI$6:$AI$505,"&lt;="&amp;$A280,実績!$AJ$6:$AJ$505,"&gt;"&amp;$A280,実績!$AK$6:$AK$505,"○")&gt;0,1,0))</f>
        <v>0</v>
      </c>
      <c r="AL280" s="39" t="n">
        <f aca="false">IF(AL$4=0,0,IF(COUNTIFS(実績!$W$6:$W$505,AL$3,実績!$AI$6:$AI$505,"&lt;="&amp;$A280,実績!$AJ$6:$AJ$505,"&gt;"&amp;$A280,実績!$AK$6:$AK$505,"○")&gt;0,1,0))</f>
        <v>0</v>
      </c>
      <c r="AM280" s="39" t="n">
        <f aca="false">IF(AM$4=0,0,IF(COUNTIFS(実績!$W$6:$W$505,AM$3,実績!$AI$6:$AI$505,"&lt;="&amp;$A280,実績!$AJ$6:$AJ$505,"&gt;"&amp;$A280,実績!$AK$6:$AK$505,"○")&gt;0,1,0))</f>
        <v>0</v>
      </c>
      <c r="AN280" s="39" t="n">
        <f aca="false">IF(AN$4=0,0,IF(COUNTIFS(実績!$W$6:$W$505,AN$3,実績!$AI$6:$AI$505,"&lt;="&amp;$A280,実績!$AJ$6:$AJ$505,"&gt;"&amp;$A280,実績!$AK$6:$AK$505,"○")&gt;0,1,0))</f>
        <v>0</v>
      </c>
      <c r="AO280" s="39" t="n">
        <f aca="false">IF(AO$4=0,0,IF(COUNTIFS(実績!$W$6:$W$505,AO$3,実績!$AI$6:$AI$505,"&lt;="&amp;$A280,実績!$AJ$6:$AJ$505,"&gt;"&amp;$A280,実績!$AK$6:$AK$505,"○")&gt;0,1,0))</f>
        <v>0</v>
      </c>
      <c r="AP280" s="39" t="n">
        <f aca="false">IF(AP$4=0,0,IF(COUNTIFS(実績!$W$6:$W$505,AP$3,実績!$AI$6:$AI$505,"&lt;="&amp;$A280,実績!$AJ$6:$AJ$505,"&gt;"&amp;$A280,実績!$AK$6:$AK$505,"○")&gt;0,1,0))</f>
        <v>0</v>
      </c>
      <c r="AQ280" s="39" t="n">
        <f aca="false">IF(AQ$4=0,0,IF(COUNTIFS(実績!$W$6:$W$505,AQ$3,実績!$AI$6:$AI$505,"&lt;="&amp;$A280,実績!$AJ$6:$AJ$505,"&gt;"&amp;$A280,実績!$AK$6:$AK$505,"○")&gt;0,1,0))</f>
        <v>0</v>
      </c>
      <c r="AR280" s="39" t="n">
        <f aca="false">IF(AR$4=0,0,IF(COUNTIFS(実績!$W$6:$W$505,AR$3,実績!$AI$6:$AI$505,"&lt;="&amp;$A280,実績!$AJ$6:$AJ$505,"&gt;"&amp;$A280,実績!$AK$6:$AK$505,"○")&gt;0,1,0))</f>
        <v>0</v>
      </c>
      <c r="AS280" s="39" t="n">
        <f aca="false">IF(AS$4=0,0,IF(COUNTIFS(実績!$W$6:$W$505,AS$3,実績!$AI$6:$AI$505,"&lt;="&amp;$A280,実績!$AJ$6:$AJ$505,"&gt;"&amp;$A280,実績!$AK$6:$AK$505,"○")&gt;0,1,0))</f>
        <v>0</v>
      </c>
      <c r="AT280" s="39" t="n">
        <f aca="false">IF(AT$4=0,0,IF(COUNTIFS(実績!$W$6:$W$505,AT$3,実績!$AI$6:$AI$505,"&lt;="&amp;$A280,実績!$AJ$6:$AJ$505,"&gt;"&amp;$A280,実績!$AK$6:$AK$505,"○")&gt;0,1,0))</f>
        <v>0</v>
      </c>
      <c r="AU280" s="39" t="n">
        <f aca="false">IF(AU$4=0,0,IF(COUNTIFS(実績!$W$6:$W$505,AU$3,実績!$AI$6:$AI$505,"&lt;="&amp;$A280,実績!$AJ$6:$AJ$505,"&gt;"&amp;$A280,実績!$AK$6:$AK$505,"○")&gt;0,1,0))</f>
        <v>0</v>
      </c>
      <c r="AV280" s="39" t="n">
        <f aca="false">IF(AV$4=0,0,IF(COUNTIFS(実績!$W$6:$W$505,AV$3,実績!$AI$6:$AI$505,"&lt;="&amp;$A280,実績!$AJ$6:$AJ$505,"&gt;"&amp;$A280,実績!$AK$6:$AK$505,"○")&gt;0,1,0))</f>
        <v>0</v>
      </c>
      <c r="AW280" s="39" t="n">
        <f aca="false">IF(AW$4=0,0,IF(COUNTIFS(実績!$W$6:$W$505,AW$3,実績!$AI$6:$AI$505,"&lt;="&amp;$A280,実績!$AJ$6:$AJ$505,"&gt;"&amp;$A280,実績!$AK$6:$AK$505,"○")&gt;0,1,0))</f>
        <v>0</v>
      </c>
      <c r="AX280" s="39" t="n">
        <f aca="false">IF(AX$4=0,0,IF(COUNTIFS(実績!$W$6:$W$505,AX$3,実績!$AI$6:$AI$505,"&lt;="&amp;$A280,実績!$AJ$6:$AJ$505,"&gt;"&amp;$A280,実績!$AK$6:$AK$505,"○")&gt;0,1,0))</f>
        <v>0</v>
      </c>
      <c r="AY280" s="39" t="n">
        <f aca="false">IF(AY$4=0,0,IF(COUNTIFS(実績!$W$6:$W$505,AY$3,実績!$AI$6:$AI$505,"&lt;="&amp;$A280,実績!$AJ$6:$AJ$505,"&gt;"&amp;$A280,実績!$AK$6:$AK$505,"○")&gt;0,1,0))</f>
        <v>0</v>
      </c>
      <c r="AZ280" s="39" t="n">
        <f aca="false">IF(AZ$4=0,0,IF(COUNTIFS(実績!$W$6:$W$505,AZ$3,実績!$AI$6:$AI$505,"&lt;="&amp;$A280,実績!$AJ$6:$AJ$505,"&gt;"&amp;$A280,実績!$AK$6:$AK$505,"○")&gt;0,1,0))</f>
        <v>0</v>
      </c>
      <c r="BA280" s="39" t="n">
        <f aca="false">IF(BA$4=0,0,IF(COUNTIFS(実績!$W$6:$W$505,BA$3,実績!$AI$6:$AI$505,"&lt;="&amp;$A280,実績!$AJ$6:$AJ$505,"&gt;"&amp;$A280,実績!$AK$6:$AK$505,"○")&gt;0,1,0))</f>
        <v>0</v>
      </c>
      <c r="BB280" s="39" t="n">
        <f aca="false">IF(BB$4=0,0,IF(COUNTIFS(実績!$W$6:$W$505,BB$3,実績!$AI$6:$AI$505,"&lt;="&amp;$A280,実績!$AJ$6:$AJ$505,"&gt;"&amp;$A280,実績!$AK$6:$AK$505,"○")&gt;0,1,0))</f>
        <v>0</v>
      </c>
      <c r="BC280" s="39" t="n">
        <f aca="false">IF(BC$4=0,0,IF(COUNTIFS(実績!$W$6:$W$505,BC$3,実績!$AI$6:$AI$505,"&lt;="&amp;$A280,実績!$AJ$6:$AJ$505,"&gt;"&amp;$A280,実績!$AK$6:$AK$505,"○")&gt;0,1,0))</f>
        <v>0</v>
      </c>
      <c r="BD280" s="39" t="n">
        <f aca="false">IF(BD$4=0,0,IF(COUNTIFS(実績!$W$6:$W$505,BD$3,実績!$AI$6:$AI$505,"&lt;="&amp;$A280,実績!$AJ$6:$AJ$505,"&gt;"&amp;$A280,実績!$AK$6:$AK$505,"○")&gt;0,1,0))</f>
        <v>0</v>
      </c>
      <c r="BE280" s="39" t="n">
        <f aca="false">IF(BE$4=0,0,IF(COUNTIFS(実績!$W$6:$W$505,BE$3,実績!$AI$6:$AI$505,"&lt;="&amp;$A280,実績!$AJ$6:$AJ$505,"&gt;"&amp;$A280,実績!$AK$6:$AK$505,"○")&gt;0,1,0))</f>
        <v>0</v>
      </c>
      <c r="BF280" s="39" t="n">
        <f aca="false">IF(BF$4=0,0,IF(COUNTIFS(実績!$W$6:$W$505,BF$3,実績!$AI$6:$AI$505,"&lt;="&amp;$A280,実績!$AJ$6:$AJ$505,"&gt;"&amp;$A280,実績!$AK$6:$AK$505,"○")&gt;0,1,0))</f>
        <v>0</v>
      </c>
      <c r="BG280" s="39" t="n">
        <f aca="false">IF(BG$4=0,0,IF(COUNTIFS(実績!$W$6:$W$505,BG$3,実績!$AI$6:$AI$505,"&lt;="&amp;$A280,実績!$AJ$6:$AJ$505,"&gt;"&amp;$A280,実績!$AK$6:$AK$505,"○")&gt;0,1,0))</f>
        <v>0</v>
      </c>
      <c r="BH280" s="39" t="n">
        <f aca="false">IF(BH$4=0,0,IF(COUNTIFS(実績!$W$6:$W$505,BH$3,実績!$AI$6:$AI$505,"&lt;="&amp;$A280,実績!$AJ$6:$AJ$505,"&gt;"&amp;$A280,実績!$AK$6:$AK$505,"○")&gt;0,1,0))</f>
        <v>0</v>
      </c>
      <c r="BI280" s="39" t="n">
        <f aca="false">IF(BI$4=0,0,IF(COUNTIFS(実績!$W$6:$W$505,BI$3,実績!$AI$6:$AI$505,"&lt;="&amp;$A280,実績!$AJ$6:$AJ$505,"&gt;"&amp;$A280,実績!$AK$6:$AK$505,"○")&gt;0,1,0))</f>
        <v>0</v>
      </c>
      <c r="BJ280" s="39" t="n">
        <f aca="false">IF(BJ$4=0,0,IF(COUNTIFS(実績!$W$6:$W$505,BJ$3,実績!$AI$6:$AI$505,"&lt;="&amp;$A280,実績!$AJ$6:$AJ$505,"&gt;"&amp;$A280,実績!$AK$6:$AK$505,"○")&gt;0,1,0))</f>
        <v>0</v>
      </c>
      <c r="BK280" s="39" t="n">
        <f aca="false">IF(BK$4=0,0,IF(COUNTIFS(実績!$W$6:$W$505,BK$3,実績!$AI$6:$AI$505,"&lt;="&amp;$A280,実績!$AJ$6:$AJ$505,"&gt;"&amp;$A280,実績!$AK$6:$AK$505,"○")&gt;0,1,0))</f>
        <v>0</v>
      </c>
      <c r="BL280" s="39" t="n">
        <f aca="false">IF(BL$4=0,0,IF(COUNTIFS(実績!$W$6:$W$505,BL$3,実績!$AI$6:$AI$505,"&lt;="&amp;$A280,実績!$AJ$6:$AJ$505,"&gt;"&amp;$A280,実績!$AK$6:$AK$505,"○")&gt;0,1,0))</f>
        <v>0</v>
      </c>
      <c r="BM280" s="39" t="n">
        <f aca="false">IF(BM$4=0,0,IF(COUNTIFS(実績!$W$6:$W$505,BM$3,実績!$AI$6:$AI$505,"&lt;="&amp;$A280,実績!$AJ$6:$AJ$505,"&gt;"&amp;$A280,実績!$AK$6:$AK$505,"○")&gt;0,1,0))</f>
        <v>0</v>
      </c>
      <c r="BN280" s="39" t="n">
        <f aca="false">IF(BN$4=0,0,IF(COUNTIFS(実績!$W$6:$W$505,BN$3,実績!$AI$6:$AI$505,"&lt;="&amp;$A280,実績!$AJ$6:$AJ$505,"&gt;"&amp;$A280,実績!$AK$6:$AK$505,"○")&gt;0,1,0))</f>
        <v>0</v>
      </c>
      <c r="BO280" s="39" t="n">
        <f aca="false">IF(BO$4=0,0,IF(COUNTIFS(実績!$W$6:$W$505,BO$3,実績!$AI$6:$AI$505,"&lt;="&amp;$A280,実績!$AJ$6:$AJ$505,"&gt;"&amp;$A280,実績!$AK$6:$AK$505,"○")&gt;0,1,0))</f>
        <v>0</v>
      </c>
      <c r="BP280" s="39" t="n">
        <f aca="false">IF(BP$4=0,0,IF(COUNTIFS(実績!$W$6:$W$505,BP$3,実績!$AI$6:$AI$505,"&lt;="&amp;$A280,実績!$AJ$6:$AJ$505,"&gt;"&amp;$A280,実績!$AK$6:$AK$505,"○")&gt;0,1,0))</f>
        <v>0</v>
      </c>
      <c r="BQ280" s="39" t="n">
        <f aca="false">IF(BQ$4=0,0,IF(COUNTIFS(実績!$W$6:$W$505,BQ$3,実績!$AI$6:$AI$505,"&lt;="&amp;$A280,実績!$AJ$6:$AJ$505,"&gt;"&amp;$A280,実績!$AK$6:$AK$505,"○")&gt;0,1,0))</f>
        <v>0</v>
      </c>
      <c r="BR280" s="39" t="n">
        <f aca="false">IF(BR$4=0,0,IF(COUNTIFS(実績!$W$6:$W$505,BR$3,実績!$AI$6:$AI$505,"&lt;="&amp;$A280,実績!$AJ$6:$AJ$505,"&gt;"&amp;$A280,実績!$AK$6:$AK$505,"○")&gt;0,1,0))</f>
        <v>0</v>
      </c>
      <c r="BS280" s="39" t="n">
        <f aca="false">IF(BS$4=0,0,IF(COUNTIFS(実績!$W$6:$W$505,BS$3,実績!$AI$6:$AI$505,"&lt;="&amp;$A280,実績!$AJ$6:$AJ$505,"&gt;"&amp;$A280,実績!$AK$6:$AK$505,"○")&gt;0,1,0))</f>
        <v>0</v>
      </c>
      <c r="BT280" s="39" t="n">
        <f aca="false">IF(BT$4=0,0,IF(COUNTIFS(実績!$W$6:$W$505,BT$3,実績!$AI$6:$AI$505,"&lt;="&amp;$A280,実績!$AJ$6:$AJ$505,"&gt;"&amp;$A280,実績!$AK$6:$AK$505,"○")&gt;0,1,0))</f>
        <v>0</v>
      </c>
      <c r="BU280" s="39" t="n">
        <f aca="false">IF(BU$4=0,0,IF(COUNTIFS(実績!$W$6:$W$505,BU$3,実績!$AI$6:$AI$505,"&lt;="&amp;$A280,実績!$AJ$6:$AJ$505,"&gt;"&amp;$A280,実績!$AK$6:$AK$505,"○")&gt;0,1,0))</f>
        <v>0</v>
      </c>
      <c r="BV280" s="39" t="n">
        <f aca="false">IF(BV$4=0,0,IF(COUNTIFS(実績!$W$6:$W$505,BV$3,実績!$AI$6:$AI$505,"&lt;="&amp;$A280,実績!$AJ$6:$AJ$505,"&gt;"&amp;$A280,実績!$AK$6:$AK$505,"○")&gt;0,1,0))</f>
        <v>0</v>
      </c>
      <c r="BW280" s="39" t="n">
        <f aca="false">IF(BW$4=0,0,IF(COUNTIFS(実績!$W$6:$W$505,BW$3,実績!$AI$6:$AI$505,"&lt;="&amp;$A280,実績!$AJ$6:$AJ$505,"&gt;"&amp;$A280,実績!$AK$6:$AK$505,"○")&gt;0,1,0))</f>
        <v>0</v>
      </c>
      <c r="BX280" s="39" t="n">
        <f aca="false">IF(BX$4=0,0,IF(COUNTIFS(実績!$W$6:$W$505,BX$3,実績!$AI$6:$AI$505,"&lt;="&amp;$A280,実績!$AJ$6:$AJ$505,"&gt;"&amp;$A280,実績!$AK$6:$AK$505,"○")&gt;0,1,0))</f>
        <v>0</v>
      </c>
      <c r="BY280" s="39" t="n">
        <f aca="false">IF(BY$4=0,0,IF(COUNTIFS(実績!$W$6:$W$505,BY$3,実績!$AI$6:$AI$505,"&lt;="&amp;$A280,実績!$AJ$6:$AJ$505,"&gt;"&amp;$A280,実績!$AK$6:$AK$505,"○")&gt;0,1,0))</f>
        <v>0</v>
      </c>
      <c r="BZ280" s="39" t="n">
        <f aca="false">IF(BZ$4=0,0,IF(COUNTIFS(実績!$W$6:$W$505,BZ$3,実績!$AI$6:$AI$505,"&lt;="&amp;$A280,実績!$AJ$6:$AJ$505,"&gt;"&amp;$A280,実績!$AK$6:$AK$505,"○")&gt;0,1,0))</f>
        <v>0</v>
      </c>
      <c r="CA280" s="39" t="n">
        <f aca="false">IF(CA$4=0,0,IF(COUNTIFS(実績!$W$6:$W$505,CA$3,実績!$AI$6:$AI$505,"&lt;="&amp;$A280,実績!$AJ$6:$AJ$505,"&gt;"&amp;$A280,実績!$AK$6:$AK$505,"○")&gt;0,1,0))</f>
        <v>0</v>
      </c>
      <c r="CB280" s="39" t="n">
        <f aca="false">IF(CB$4=0,0,IF(COUNTIFS(実績!$W$6:$W$505,CB$3,実績!$AI$6:$AI$505,"&lt;="&amp;$A280,実績!$AJ$6:$AJ$505,"&gt;"&amp;$A280,実績!$AK$6:$AK$505,"○")&gt;0,1,0))</f>
        <v>0</v>
      </c>
      <c r="CC280" s="39" t="n">
        <f aca="false">IF(CC$4=0,0,IF(COUNTIFS(実績!$W$6:$W$505,CC$3,実績!$AI$6:$AI$505,"&lt;="&amp;$A280,実績!$AJ$6:$AJ$505,"&gt;"&amp;$A280,実績!$AK$6:$AK$505,"○")&gt;0,1,0))</f>
        <v>0</v>
      </c>
      <c r="CD280" s="39" t="n">
        <f aca="false">IF(CD$4=0,0,IF(COUNTIFS(実績!$W$6:$W$505,CD$3,実績!$AI$6:$AI$505,"&lt;="&amp;$A280,実績!$AJ$6:$AJ$505,"&gt;"&amp;$A280,実績!$AK$6:$AK$505,"○")&gt;0,1,0))</f>
        <v>0</v>
      </c>
      <c r="CE280" s="39" t="n">
        <f aca="false">IF(CE$4=0,0,IF(COUNTIFS(実績!$W$6:$W$505,CE$3,実績!$AI$6:$AI$505,"&lt;="&amp;$A280,実績!$AJ$6:$AJ$505,"&gt;"&amp;$A280,実績!$AK$6:$AK$505,"○")&gt;0,1,0))</f>
        <v>0</v>
      </c>
      <c r="CF280" s="39" t="n">
        <f aca="false">IF(CF$4=0,0,IF(COUNTIFS(実績!$W$6:$W$505,CF$3,実績!$AI$6:$AI$505,"&lt;="&amp;$A280,実績!$AJ$6:$AJ$505,"&gt;"&amp;$A280,実績!$AK$6:$AK$505,"○")&gt;0,1,0))</f>
        <v>0</v>
      </c>
      <c r="CG280" s="39" t="n">
        <f aca="false">IF(CG$4=0,0,IF(COUNTIFS(実績!$W$6:$W$505,CG$3,実績!$AI$6:$AI$505,"&lt;="&amp;$A280,実績!$AJ$6:$AJ$505,"&gt;"&amp;$A280,実績!$AK$6:$AK$505,"○")&gt;0,1,0))</f>
        <v>0</v>
      </c>
      <c r="CH280" s="39" t="n">
        <f aca="false">IF(CH$4=0,0,IF(COUNTIFS(実績!$W$6:$W$505,CH$3,実績!$AI$6:$AI$505,"&lt;="&amp;$A280,実績!$AJ$6:$AJ$505,"&gt;"&amp;$A280,実績!$AK$6:$AK$505,"○")&gt;0,1,0))</f>
        <v>0</v>
      </c>
      <c r="CI280" s="39" t="n">
        <f aca="false">IF(CI$4=0,0,IF(COUNTIFS(実績!$W$6:$W$505,CI$3,実績!$AI$6:$AI$505,"&lt;="&amp;$A280,実績!$AJ$6:$AJ$505,"&gt;"&amp;$A280,実績!$AK$6:$AK$505,"○")&gt;0,1,0))</f>
        <v>0</v>
      </c>
      <c r="CJ280" s="39" t="n">
        <f aca="false">IF(CJ$4=0,0,IF(COUNTIFS(実績!$W$6:$W$505,CJ$3,実績!$AI$6:$AI$505,"&lt;="&amp;$A280,実績!$AJ$6:$AJ$505,"&gt;"&amp;$A280,実績!$AK$6:$AK$505,"○")&gt;0,1,0))</f>
        <v>0</v>
      </c>
      <c r="CK280" s="39" t="n">
        <f aca="false">IF(CK$4=0,0,IF(COUNTIFS(実績!$W$6:$W$505,CK$3,実績!$AI$6:$AI$505,"&lt;="&amp;$A280,実績!$AJ$6:$AJ$505,"&gt;"&amp;$A280,実績!$AK$6:$AK$505,"○")&gt;0,1,0))</f>
        <v>0</v>
      </c>
      <c r="CL280" s="39" t="n">
        <f aca="false">IF(CL$4=0,0,IF(COUNTIFS(実績!$W$6:$W$505,CL$3,実績!$AI$6:$AI$505,"&lt;="&amp;$A280,実績!$AJ$6:$AJ$505,"&gt;"&amp;$A280,実績!$AK$6:$AK$505,"○")&gt;0,1,0))</f>
        <v>0</v>
      </c>
      <c r="CM280" s="39" t="n">
        <f aca="false">IF(CM$4=0,0,IF(COUNTIFS(実績!$W$6:$W$505,CM$3,実績!$AI$6:$AI$505,"&lt;="&amp;$A280,実績!$AJ$6:$AJ$505,"&gt;"&amp;$A280,実績!$AK$6:$AK$505,"○")&gt;0,1,0))</f>
        <v>0</v>
      </c>
      <c r="CN280" s="39" t="n">
        <f aca="false">IF(CN$4=0,0,IF(COUNTIFS(実績!$W$6:$W$505,CN$3,実績!$AI$6:$AI$505,"&lt;="&amp;$A280,実績!$AJ$6:$AJ$505,"&gt;"&amp;$A280,実績!$AK$6:$AK$505,"○")&gt;0,1,0))</f>
        <v>0</v>
      </c>
      <c r="CO280" s="39" t="n">
        <f aca="false">IF(CO$4=0,0,IF(COUNTIFS(実績!$W$6:$W$505,CO$3,実績!$AI$6:$AI$505,"&lt;="&amp;$A280,実績!$AJ$6:$AJ$505,"&gt;"&amp;$A280,実績!$AK$6:$AK$505,"○")&gt;0,1,0))</f>
        <v>0</v>
      </c>
      <c r="CP280" s="39" t="n">
        <f aca="false">IF(CP$4=0,0,IF(COUNTIFS(実績!$W$6:$W$505,CP$3,実績!$AI$6:$AI$505,"&lt;="&amp;$A280,実績!$AJ$6:$AJ$505,"&gt;"&amp;$A280,実績!$AK$6:$AK$505,"○")&gt;0,1,0))</f>
        <v>0</v>
      </c>
      <c r="CQ280" s="39" t="n">
        <f aca="false">IF(CQ$4=0,0,IF(COUNTIFS(実績!$W$6:$W$505,CQ$3,実績!$AI$6:$AI$505,"&lt;="&amp;$A280,実績!$AJ$6:$AJ$505,"&gt;"&amp;$A280,実績!$AK$6:$AK$505,"○")&gt;0,1,0))</f>
        <v>0</v>
      </c>
      <c r="CR280" s="39" t="n">
        <f aca="false">IF(CR$4=0,0,IF(COUNTIFS(実績!$W$6:$W$505,CR$3,実績!$AI$6:$AI$505,"&lt;="&amp;$A280,実績!$AJ$6:$AJ$505,"&gt;"&amp;$A280,実績!$AK$6:$AK$505,"○")&gt;0,1,0))</f>
        <v>0</v>
      </c>
      <c r="CS280" s="39" t="n">
        <f aca="false">IF(CS$4=0,0,IF(COUNTIFS(実績!$W$6:$W$505,CS$3,実績!$AI$6:$AI$505,"&lt;="&amp;$A280,実績!$AJ$6:$AJ$505,"&gt;"&amp;$A280,実績!$AK$6:$AK$505,"○")&gt;0,1,0))</f>
        <v>0</v>
      </c>
      <c r="CT280" s="39" t="n">
        <f aca="false">IF(CT$4=0,0,IF(COUNTIFS(実績!$W$6:$W$505,CT$3,実績!$AI$6:$AI$505,"&lt;="&amp;$A280,実績!$AJ$6:$AJ$505,"&gt;"&amp;$A280,実績!$AK$6:$AK$505,"○")&gt;0,1,0))</f>
        <v>0</v>
      </c>
      <c r="CU280" s="39" t="n">
        <f aca="false">IF(CU$4=0,0,IF(COUNTIFS(実績!$W$6:$W$505,CU$3,実績!$AI$6:$AI$505,"&lt;="&amp;$A280,実績!$AJ$6:$AJ$505,"&gt;"&amp;$A280,実績!$AK$6:$AK$505,"○")&gt;0,1,0))</f>
        <v>0</v>
      </c>
      <c r="CV280" s="39" t="n">
        <f aca="false">IF(CV$4=0,0,IF(COUNTIFS(実績!$W$6:$W$505,CV$3,実績!$AI$6:$AI$505,"&lt;="&amp;$A280,実績!$AJ$6:$AJ$505,"&gt;"&amp;$A280,実績!$AK$6:$AK$505,"○")&gt;0,1,0))</f>
        <v>0</v>
      </c>
      <c r="CW280" s="39" t="n">
        <f aca="false">IF(CW$4=0,0,IF(COUNTIFS(実績!$W$6:$W$505,CW$3,実績!$AI$6:$AI$505,"&lt;="&amp;$A280,実績!$AJ$6:$AJ$505,"&gt;"&amp;$A280,実績!$AK$6:$AK$505,"○")&gt;0,1,0))</f>
        <v>0</v>
      </c>
      <c r="CX280" s="39" t="n">
        <f aca="false">IF(CX$4=0,0,IF(COUNTIFS(実績!$W$6:$W$505,CX$3,実績!$AI$6:$AI$505,"&lt;="&amp;$A280,実績!$AJ$6:$AJ$505,"&gt;"&amp;$A280,実績!$AK$6:$AK$505,"○")&gt;0,1,0))</f>
        <v>0</v>
      </c>
      <c r="CY280" s="39" t="n">
        <f aca="false">IF(CY$4=0,0,IF(COUNTIFS(実績!$W$6:$W$505,CY$3,実績!$AI$6:$AI$505,"&lt;="&amp;$A280,実績!$AJ$6:$AJ$505,"&gt;"&amp;$A280,実績!$AK$6:$AK$505,"○")&gt;0,1,0))</f>
        <v>0</v>
      </c>
      <c r="CZ280" s="39" t="n">
        <f aca="false">IF(CZ$4=0,0,IF(COUNTIFS(実績!$W$6:$W$505,CZ$3,実績!$AI$6:$AI$505,"&lt;="&amp;$A280,実績!$AJ$6:$AJ$505,"&gt;"&amp;$A280,実績!$AK$6:$AK$505,"○")&gt;0,1,0))</f>
        <v>0</v>
      </c>
      <c r="DA280" s="39" t="n">
        <f aca="false">IF(DA$4=0,0,IF(COUNTIFS(実績!$W$6:$W$505,DA$3,実績!$AI$6:$AI$505,"&lt;="&amp;$A280,実績!$AJ$6:$AJ$505,"&gt;"&amp;$A280,実績!$AK$6:$AK$505,"○")&gt;0,1,0))</f>
        <v>0</v>
      </c>
      <c r="DB280" s="39" t="n">
        <f aca="false">IF(DB$4=0,0,IF(COUNTIFS(実績!$W$6:$W$505,DB$3,実績!$AI$6:$AI$505,"&lt;="&amp;$A280,実績!$AJ$6:$AJ$505,"&gt;"&amp;$A280,実績!$AK$6:$AK$505,"○")&gt;0,1,0))</f>
        <v>0</v>
      </c>
      <c r="DC280" s="39" t="n">
        <f aca="false">IF(DC$4=0,0,IF(COUNTIFS(実績!$W$6:$W$505,DC$3,実績!$AI$6:$AI$505,"&lt;="&amp;$A280,実績!$AJ$6:$AJ$505,"&gt;"&amp;$A280,実績!$AK$6:$AK$505,"○")&gt;0,1,0))</f>
        <v>0</v>
      </c>
      <c r="DD280" s="39" t="n">
        <f aca="false">IF(DD$4=0,0,IF(COUNTIFS(実績!$W$6:$W$505,DD$3,実績!$AI$6:$AI$505,"&lt;="&amp;$A280,実績!$AJ$6:$AJ$505,"&gt;"&amp;$A280,実績!$AK$6:$AK$505,"○")&gt;0,1,0))</f>
        <v>0</v>
      </c>
      <c r="DE280" s="39" t="n">
        <f aca="false">IF(DE$4=0,0,IF(COUNTIFS(実績!$W$6:$W$505,DE$3,実績!$AI$6:$AI$505,"&lt;="&amp;$A280,実績!$AJ$6:$AJ$505,"&gt;"&amp;$A280,実績!$AK$6:$AK$505,"○")&gt;0,1,0))</f>
        <v>0</v>
      </c>
      <c r="DF280" s="39" t="n">
        <f aca="false">IF(DF$4=0,0,IF(COUNTIFS(実績!$W$6:$W$505,DF$3,実績!$AI$6:$AI$505,"&lt;="&amp;$A280,実績!$AJ$6:$AJ$505,"&gt;"&amp;$A280,実績!$AK$6:$AK$505,"○")&gt;0,1,0))</f>
        <v>0</v>
      </c>
      <c r="DG280" s="39" t="n">
        <f aca="false">IF(DG$4=0,0,IF(COUNTIFS(実績!$W$6:$W$505,DG$3,実績!$AI$6:$AI$505,"&lt;="&amp;$A280,実績!$AJ$6:$AJ$505,"&gt;"&amp;$A280,実績!$AK$6:$AK$505,"○")&gt;0,1,0))</f>
        <v>0</v>
      </c>
      <c r="DH280" s="39" t="n">
        <f aca="false">IF(DH$4=0,0,IF(COUNTIFS(実績!$W$6:$W$505,DH$3,実績!$AI$6:$AI$505,"&lt;="&amp;$A280,実績!$AJ$6:$AJ$505,"&gt;"&amp;$A280,実績!$AK$6:$AK$505,"○")&gt;0,1,0))</f>
        <v>0</v>
      </c>
      <c r="DI280" s="39" t="n">
        <f aca="false">IF(DI$4=0,0,IF(COUNTIFS(実績!$W$6:$W$505,DI$3,実績!$AI$6:$AI$505,"&lt;="&amp;$A280,実績!$AJ$6:$AJ$505,"&gt;"&amp;$A280,実績!$AK$6:$AK$505,"○")&gt;0,1,0))</f>
        <v>0</v>
      </c>
      <c r="DJ280" s="39" t="n">
        <f aca="false">IF(DJ$4=0,0,IF(COUNTIFS(実績!$W$6:$W$505,DJ$3,実績!$AI$6:$AI$505,"&lt;="&amp;$A280,実績!$AJ$6:$AJ$505,"&gt;"&amp;$A280,実績!$AK$6:$AK$505,"○")&gt;0,1,0))</f>
        <v>0</v>
      </c>
      <c r="DK280" s="39" t="n">
        <f aca="false">IF(DK$4=0,0,IF(COUNTIFS(実績!$W$6:$W$505,DK$3,実績!$AI$6:$AI$505,"&lt;="&amp;$A280,実績!$AJ$6:$AJ$505,"&gt;"&amp;$A280,実績!$AK$6:$AK$505,"○")&gt;0,1,0))</f>
        <v>0</v>
      </c>
      <c r="DL280" s="39" t="n">
        <f aca="false">IF(DL$4=0,0,IF(COUNTIFS(実績!$W$6:$W$505,DL$3,実績!$AI$6:$AI$505,"&lt;="&amp;$A280,実績!$AJ$6:$AJ$505,"&gt;"&amp;$A280,実績!$AK$6:$AK$505,"○")&gt;0,1,0))</f>
        <v>0</v>
      </c>
      <c r="DM280" s="39" t="n">
        <f aca="false">IF(DM$4=0,0,IF(COUNTIFS(実績!$W$6:$W$505,DM$3,実績!$AI$6:$AI$505,"&lt;="&amp;$A280,実績!$AJ$6:$AJ$505,"&gt;"&amp;$A280,実績!$AK$6:$AK$505,"○")&gt;0,1,0))</f>
        <v>0</v>
      </c>
      <c r="DN280" s="39" t="n">
        <f aca="false">IF(DN$4=0,0,IF(COUNTIFS(実績!$W$6:$W$505,DN$3,実績!$AI$6:$AI$505,"&lt;="&amp;$A280,実績!$AJ$6:$AJ$505,"&gt;"&amp;$A280,実績!$AK$6:$AK$505,"○")&gt;0,1,0))</f>
        <v>0</v>
      </c>
      <c r="DO280" s="39" t="n">
        <f aca="false">IF(DO$4=0,0,IF(COUNTIFS(実績!$W$6:$W$505,DO$3,実績!$AI$6:$AI$505,"&lt;="&amp;$A280,実績!$AJ$6:$AJ$505,"&gt;"&amp;$A280,実績!$AK$6:$AK$505,"○")&gt;0,1,0))</f>
        <v>0</v>
      </c>
      <c r="DP280" s="39" t="n">
        <f aca="false">IF(DP$4=0,0,IF(COUNTIFS(実績!$W$6:$W$505,DP$3,実績!$AI$6:$AI$505,"&lt;="&amp;$A280,実績!$AJ$6:$AJ$505,"&gt;"&amp;$A280,実績!$AK$6:$AK$505,"○")&gt;0,1,0))</f>
        <v>0</v>
      </c>
      <c r="DQ280" s="39" t="n">
        <f aca="false">IF(DQ$4=0,0,IF(COUNTIFS(実績!$W$6:$W$505,DQ$3,実績!$AI$6:$AI$505,"&lt;="&amp;$A280,実績!$AJ$6:$AJ$505,"&gt;"&amp;$A280,実績!$AK$6:$AK$505,"○")&gt;0,1,0))</f>
        <v>0</v>
      </c>
      <c r="DR280" s="39" t="n">
        <f aca="false">IF(DR$4=0,0,IF(COUNTIFS(実績!$W$6:$W$505,DR$3,実績!$AI$6:$AI$505,"&lt;="&amp;$A280,実績!$AJ$6:$AJ$505,"&gt;"&amp;$A280,実績!$AK$6:$AK$505,"○")&gt;0,1,0))</f>
        <v>0</v>
      </c>
      <c r="DS280" s="39" t="n">
        <f aca="false">SUM(C280:DR280)</f>
        <v>0</v>
      </c>
      <c r="DT280" s="39" t="n">
        <f aca="false">SUMPRODUCT((実績!$C$6:$C$505="○")*ISNUMBER(実績!$AM$6:$AM$505)*(実績!$AM$6:$AM$505&lt;=$A280)*(実績!$AN$6:$AN$505&gt;$A280))</f>
        <v>0</v>
      </c>
      <c r="DU280" s="39" t="n">
        <f aca="false">SUMIF($C$2:$DR$2,"製鉄曳船",C280:DR280)</f>
        <v>0</v>
      </c>
      <c r="DV280" s="39" t="n">
        <f aca="false">SUMIF($C$2:$DR$2,"西日本海運",C280:DR280)</f>
        <v>0</v>
      </c>
    </row>
    <row r="281" customFormat="false" ht="15" hidden="false" customHeight="false" outlineLevel="0" collapsed="false">
      <c r="A281" s="0" t="n">
        <v>1375</v>
      </c>
      <c r="B281" s="38" t="n">
        <f aca="false">A281/1440</f>
        <v>0.954861111111111</v>
      </c>
      <c r="C281" s="39" t="n">
        <f aca="false">IF(C$4=0,0,IF(COUNTIFS(実績!$W$6:$W$505,C$3,実績!$AI$6:$AI$505,"&lt;="&amp;$A281,実績!$AJ$6:$AJ$505,"&gt;"&amp;$A281,実績!$AK$6:$AK$505,"○")&gt;0,1,0))</f>
        <v>0</v>
      </c>
      <c r="D281" s="39" t="n">
        <f aca="false">IF(D$4=0,0,IF(COUNTIFS(実績!$W$6:$W$505,D$3,実績!$AI$6:$AI$505,"&lt;="&amp;$A281,実績!$AJ$6:$AJ$505,"&gt;"&amp;$A281,実績!$AK$6:$AK$505,"○")&gt;0,1,0))</f>
        <v>0</v>
      </c>
      <c r="E281" s="39" t="n">
        <f aca="false">IF(E$4=0,0,IF(COUNTIFS(実績!$W$6:$W$505,E$3,実績!$AI$6:$AI$505,"&lt;="&amp;$A281,実績!$AJ$6:$AJ$505,"&gt;"&amp;$A281,実績!$AK$6:$AK$505,"○")&gt;0,1,0))</f>
        <v>0</v>
      </c>
      <c r="F281" s="39" t="n">
        <f aca="false">IF(F$4=0,0,IF(COUNTIFS(実績!$W$6:$W$505,F$3,実績!$AI$6:$AI$505,"&lt;="&amp;$A281,実績!$AJ$6:$AJ$505,"&gt;"&amp;$A281,実績!$AK$6:$AK$505,"○")&gt;0,1,0))</f>
        <v>0</v>
      </c>
      <c r="G281" s="39" t="n">
        <f aca="false">IF(G$4=0,0,IF(COUNTIFS(実績!$W$6:$W$505,G$3,実績!$AI$6:$AI$505,"&lt;="&amp;$A281,実績!$AJ$6:$AJ$505,"&gt;"&amp;$A281,実績!$AK$6:$AK$505,"○")&gt;0,1,0))</f>
        <v>0</v>
      </c>
      <c r="H281" s="39" t="n">
        <f aca="false">IF(H$4=0,0,IF(COUNTIFS(実績!$W$6:$W$505,H$3,実績!$AI$6:$AI$505,"&lt;="&amp;$A281,実績!$AJ$6:$AJ$505,"&gt;"&amp;$A281,実績!$AK$6:$AK$505,"○")&gt;0,1,0))</f>
        <v>0</v>
      </c>
      <c r="I281" s="39" t="n">
        <f aca="false">IF(I$4=0,0,IF(COUNTIFS(実績!$W$6:$W$505,I$3,実績!$AI$6:$AI$505,"&lt;="&amp;$A281,実績!$AJ$6:$AJ$505,"&gt;"&amp;$A281,実績!$AK$6:$AK$505,"○")&gt;0,1,0))</f>
        <v>0</v>
      </c>
      <c r="J281" s="39" t="n">
        <f aca="false">IF(J$4=0,0,IF(COUNTIFS(実績!$W$6:$W$505,J$3,実績!$AI$6:$AI$505,"&lt;="&amp;$A281,実績!$AJ$6:$AJ$505,"&gt;"&amp;$A281,実績!$AK$6:$AK$505,"○")&gt;0,1,0))</f>
        <v>0</v>
      </c>
      <c r="K281" s="39" t="n">
        <f aca="false">IF(K$4=0,0,IF(COUNTIFS(実績!$W$6:$W$505,K$3,実績!$AI$6:$AI$505,"&lt;="&amp;$A281,実績!$AJ$6:$AJ$505,"&gt;"&amp;$A281,実績!$AK$6:$AK$505,"○")&gt;0,1,0))</f>
        <v>0</v>
      </c>
      <c r="L281" s="39" t="n">
        <f aca="false">IF(L$4=0,0,IF(COUNTIFS(実績!$W$6:$W$505,L$3,実績!$AI$6:$AI$505,"&lt;="&amp;$A281,実績!$AJ$6:$AJ$505,"&gt;"&amp;$A281,実績!$AK$6:$AK$505,"○")&gt;0,1,0))</f>
        <v>0</v>
      </c>
      <c r="M281" s="39" t="n">
        <f aca="false">IF(M$4=0,0,IF(COUNTIFS(実績!$W$6:$W$505,M$3,実績!$AI$6:$AI$505,"&lt;="&amp;$A281,実績!$AJ$6:$AJ$505,"&gt;"&amp;$A281,実績!$AK$6:$AK$505,"○")&gt;0,1,0))</f>
        <v>0</v>
      </c>
      <c r="N281" s="39" t="n">
        <f aca="false">IF(N$4=0,0,IF(COUNTIFS(実績!$W$6:$W$505,N$3,実績!$AI$6:$AI$505,"&lt;="&amp;$A281,実績!$AJ$6:$AJ$505,"&gt;"&amp;$A281,実績!$AK$6:$AK$505,"○")&gt;0,1,0))</f>
        <v>0</v>
      </c>
      <c r="O281" s="39" t="n">
        <f aca="false">IF(O$4=0,0,IF(COUNTIFS(実績!$W$6:$W$505,O$3,実績!$AI$6:$AI$505,"&lt;="&amp;$A281,実績!$AJ$6:$AJ$505,"&gt;"&amp;$A281,実績!$AK$6:$AK$505,"○")&gt;0,1,0))</f>
        <v>0</v>
      </c>
      <c r="P281" s="39" t="n">
        <f aca="false">IF(P$4=0,0,IF(COUNTIFS(実績!$W$6:$W$505,P$3,実績!$AI$6:$AI$505,"&lt;="&amp;$A281,実績!$AJ$6:$AJ$505,"&gt;"&amp;$A281,実績!$AK$6:$AK$505,"○")&gt;0,1,0))</f>
        <v>0</v>
      </c>
      <c r="Q281" s="39" t="n">
        <f aca="false">IF(Q$4=0,0,IF(COUNTIFS(実績!$W$6:$W$505,Q$3,実績!$AI$6:$AI$505,"&lt;="&amp;$A281,実績!$AJ$6:$AJ$505,"&gt;"&amp;$A281,実績!$AK$6:$AK$505,"○")&gt;0,1,0))</f>
        <v>0</v>
      </c>
      <c r="R281" s="39" t="n">
        <f aca="false">IF(R$4=0,0,IF(COUNTIFS(実績!$W$6:$W$505,R$3,実績!$AI$6:$AI$505,"&lt;="&amp;$A281,実績!$AJ$6:$AJ$505,"&gt;"&amp;$A281,実績!$AK$6:$AK$505,"○")&gt;0,1,0))</f>
        <v>0</v>
      </c>
      <c r="S281" s="39" t="n">
        <f aca="false">IF(S$4=0,0,IF(COUNTIFS(実績!$W$6:$W$505,S$3,実績!$AI$6:$AI$505,"&lt;="&amp;$A281,実績!$AJ$6:$AJ$505,"&gt;"&amp;$A281,実績!$AK$6:$AK$505,"○")&gt;0,1,0))</f>
        <v>0</v>
      </c>
      <c r="T281" s="39" t="n">
        <f aca="false">IF(T$4=0,0,IF(COUNTIFS(実績!$W$6:$W$505,T$3,実績!$AI$6:$AI$505,"&lt;="&amp;$A281,実績!$AJ$6:$AJ$505,"&gt;"&amp;$A281,実績!$AK$6:$AK$505,"○")&gt;0,1,0))</f>
        <v>0</v>
      </c>
      <c r="U281" s="39" t="n">
        <f aca="false">IF(U$4=0,0,IF(COUNTIFS(実績!$W$6:$W$505,U$3,実績!$AI$6:$AI$505,"&lt;="&amp;$A281,実績!$AJ$6:$AJ$505,"&gt;"&amp;$A281,実績!$AK$6:$AK$505,"○")&gt;0,1,0))</f>
        <v>0</v>
      </c>
      <c r="V281" s="39" t="n">
        <f aca="false">IF(V$4=0,0,IF(COUNTIFS(実績!$W$6:$W$505,V$3,実績!$AI$6:$AI$505,"&lt;="&amp;$A281,実績!$AJ$6:$AJ$505,"&gt;"&amp;$A281,実績!$AK$6:$AK$505,"○")&gt;0,1,0))</f>
        <v>0</v>
      </c>
      <c r="W281" s="39" t="n">
        <f aca="false">IF(W$4=0,0,IF(COUNTIFS(実績!$W$6:$W$505,W$3,実績!$AI$6:$AI$505,"&lt;="&amp;$A281,実績!$AJ$6:$AJ$505,"&gt;"&amp;$A281,実績!$AK$6:$AK$505,"○")&gt;0,1,0))</f>
        <v>0</v>
      </c>
      <c r="X281" s="39" t="n">
        <f aca="false">IF(X$4=0,0,IF(COUNTIFS(実績!$W$6:$W$505,X$3,実績!$AI$6:$AI$505,"&lt;="&amp;$A281,実績!$AJ$6:$AJ$505,"&gt;"&amp;$A281,実績!$AK$6:$AK$505,"○")&gt;0,1,0))</f>
        <v>0</v>
      </c>
      <c r="Y281" s="39" t="n">
        <f aca="false">IF(Y$4=0,0,IF(COUNTIFS(実績!$W$6:$W$505,Y$3,実績!$AI$6:$AI$505,"&lt;="&amp;$A281,実績!$AJ$6:$AJ$505,"&gt;"&amp;$A281,実績!$AK$6:$AK$505,"○")&gt;0,1,0))</f>
        <v>0</v>
      </c>
      <c r="Z281" s="39" t="n">
        <f aca="false">IF(Z$4=0,0,IF(COUNTIFS(実績!$W$6:$W$505,Z$3,実績!$AI$6:$AI$505,"&lt;="&amp;$A281,実績!$AJ$6:$AJ$505,"&gt;"&amp;$A281,実績!$AK$6:$AK$505,"○")&gt;0,1,0))</f>
        <v>0</v>
      </c>
      <c r="AA281" s="39" t="n">
        <f aca="false">IF(AA$4=0,0,IF(COUNTIFS(実績!$W$6:$W$505,AA$3,実績!$AI$6:$AI$505,"&lt;="&amp;$A281,実績!$AJ$6:$AJ$505,"&gt;"&amp;$A281,実績!$AK$6:$AK$505,"○")&gt;0,1,0))</f>
        <v>0</v>
      </c>
      <c r="AB281" s="39" t="n">
        <f aca="false">IF(AB$4=0,0,IF(COUNTIFS(実績!$W$6:$W$505,AB$3,実績!$AI$6:$AI$505,"&lt;="&amp;$A281,実績!$AJ$6:$AJ$505,"&gt;"&amp;$A281,実績!$AK$6:$AK$505,"○")&gt;0,1,0))</f>
        <v>0</v>
      </c>
      <c r="AC281" s="39" t="n">
        <f aca="false">IF(AC$4=0,0,IF(COUNTIFS(実績!$W$6:$W$505,AC$3,実績!$AI$6:$AI$505,"&lt;="&amp;$A281,実績!$AJ$6:$AJ$505,"&gt;"&amp;$A281,実績!$AK$6:$AK$505,"○")&gt;0,1,0))</f>
        <v>0</v>
      </c>
      <c r="AD281" s="39" t="n">
        <f aca="false">IF(AD$4=0,0,IF(COUNTIFS(実績!$W$6:$W$505,AD$3,実績!$AI$6:$AI$505,"&lt;="&amp;$A281,実績!$AJ$6:$AJ$505,"&gt;"&amp;$A281,実績!$AK$6:$AK$505,"○")&gt;0,1,0))</f>
        <v>0</v>
      </c>
      <c r="AE281" s="39" t="n">
        <f aca="false">IF(AE$4=0,0,IF(COUNTIFS(実績!$W$6:$W$505,AE$3,実績!$AI$6:$AI$505,"&lt;="&amp;$A281,実績!$AJ$6:$AJ$505,"&gt;"&amp;$A281,実績!$AK$6:$AK$505,"○")&gt;0,1,0))</f>
        <v>0</v>
      </c>
      <c r="AF281" s="39" t="n">
        <f aca="false">IF(AF$4=0,0,IF(COUNTIFS(実績!$W$6:$W$505,AF$3,実績!$AI$6:$AI$505,"&lt;="&amp;$A281,実績!$AJ$6:$AJ$505,"&gt;"&amp;$A281,実績!$AK$6:$AK$505,"○")&gt;0,1,0))</f>
        <v>0</v>
      </c>
      <c r="AG281" s="39" t="n">
        <f aca="false">IF(AG$4=0,0,IF(COUNTIFS(実績!$W$6:$W$505,AG$3,実績!$AI$6:$AI$505,"&lt;="&amp;$A281,実績!$AJ$6:$AJ$505,"&gt;"&amp;$A281,実績!$AK$6:$AK$505,"○")&gt;0,1,0))</f>
        <v>0</v>
      </c>
      <c r="AH281" s="39" t="n">
        <f aca="false">IF(AH$4=0,0,IF(COUNTIFS(実績!$W$6:$W$505,AH$3,実績!$AI$6:$AI$505,"&lt;="&amp;$A281,実績!$AJ$6:$AJ$505,"&gt;"&amp;$A281,実績!$AK$6:$AK$505,"○")&gt;0,1,0))</f>
        <v>0</v>
      </c>
      <c r="AI281" s="39" t="n">
        <f aca="false">IF(AI$4=0,0,IF(COUNTIFS(実績!$W$6:$W$505,AI$3,実績!$AI$6:$AI$505,"&lt;="&amp;$A281,実績!$AJ$6:$AJ$505,"&gt;"&amp;$A281,実績!$AK$6:$AK$505,"○")&gt;0,1,0))</f>
        <v>0</v>
      </c>
      <c r="AJ281" s="39" t="n">
        <f aca="false">IF(AJ$4=0,0,IF(COUNTIFS(実績!$W$6:$W$505,AJ$3,実績!$AI$6:$AI$505,"&lt;="&amp;$A281,実績!$AJ$6:$AJ$505,"&gt;"&amp;$A281,実績!$AK$6:$AK$505,"○")&gt;0,1,0))</f>
        <v>0</v>
      </c>
      <c r="AK281" s="39" t="n">
        <f aca="false">IF(AK$4=0,0,IF(COUNTIFS(実績!$W$6:$W$505,AK$3,実績!$AI$6:$AI$505,"&lt;="&amp;$A281,実績!$AJ$6:$AJ$505,"&gt;"&amp;$A281,実績!$AK$6:$AK$505,"○")&gt;0,1,0))</f>
        <v>0</v>
      </c>
      <c r="AL281" s="39" t="n">
        <f aca="false">IF(AL$4=0,0,IF(COUNTIFS(実績!$W$6:$W$505,AL$3,実績!$AI$6:$AI$505,"&lt;="&amp;$A281,実績!$AJ$6:$AJ$505,"&gt;"&amp;$A281,実績!$AK$6:$AK$505,"○")&gt;0,1,0))</f>
        <v>0</v>
      </c>
      <c r="AM281" s="39" t="n">
        <f aca="false">IF(AM$4=0,0,IF(COUNTIFS(実績!$W$6:$W$505,AM$3,実績!$AI$6:$AI$505,"&lt;="&amp;$A281,実績!$AJ$6:$AJ$505,"&gt;"&amp;$A281,実績!$AK$6:$AK$505,"○")&gt;0,1,0))</f>
        <v>0</v>
      </c>
      <c r="AN281" s="39" t="n">
        <f aca="false">IF(AN$4=0,0,IF(COUNTIFS(実績!$W$6:$W$505,AN$3,実績!$AI$6:$AI$505,"&lt;="&amp;$A281,実績!$AJ$6:$AJ$505,"&gt;"&amp;$A281,実績!$AK$6:$AK$505,"○")&gt;0,1,0))</f>
        <v>0</v>
      </c>
      <c r="AO281" s="39" t="n">
        <f aca="false">IF(AO$4=0,0,IF(COUNTIFS(実績!$W$6:$W$505,AO$3,実績!$AI$6:$AI$505,"&lt;="&amp;$A281,実績!$AJ$6:$AJ$505,"&gt;"&amp;$A281,実績!$AK$6:$AK$505,"○")&gt;0,1,0))</f>
        <v>0</v>
      </c>
      <c r="AP281" s="39" t="n">
        <f aca="false">IF(AP$4=0,0,IF(COUNTIFS(実績!$W$6:$W$505,AP$3,実績!$AI$6:$AI$505,"&lt;="&amp;$A281,実績!$AJ$6:$AJ$505,"&gt;"&amp;$A281,実績!$AK$6:$AK$505,"○")&gt;0,1,0))</f>
        <v>0</v>
      </c>
      <c r="AQ281" s="39" t="n">
        <f aca="false">IF(AQ$4=0,0,IF(COUNTIFS(実績!$W$6:$W$505,AQ$3,実績!$AI$6:$AI$505,"&lt;="&amp;$A281,実績!$AJ$6:$AJ$505,"&gt;"&amp;$A281,実績!$AK$6:$AK$505,"○")&gt;0,1,0))</f>
        <v>0</v>
      </c>
      <c r="AR281" s="39" t="n">
        <f aca="false">IF(AR$4=0,0,IF(COUNTIFS(実績!$W$6:$W$505,AR$3,実績!$AI$6:$AI$505,"&lt;="&amp;$A281,実績!$AJ$6:$AJ$505,"&gt;"&amp;$A281,実績!$AK$6:$AK$505,"○")&gt;0,1,0))</f>
        <v>0</v>
      </c>
      <c r="AS281" s="39" t="n">
        <f aca="false">IF(AS$4=0,0,IF(COUNTIFS(実績!$W$6:$W$505,AS$3,実績!$AI$6:$AI$505,"&lt;="&amp;$A281,実績!$AJ$6:$AJ$505,"&gt;"&amp;$A281,実績!$AK$6:$AK$505,"○")&gt;0,1,0))</f>
        <v>0</v>
      </c>
      <c r="AT281" s="39" t="n">
        <f aca="false">IF(AT$4=0,0,IF(COUNTIFS(実績!$W$6:$W$505,AT$3,実績!$AI$6:$AI$505,"&lt;="&amp;$A281,実績!$AJ$6:$AJ$505,"&gt;"&amp;$A281,実績!$AK$6:$AK$505,"○")&gt;0,1,0))</f>
        <v>0</v>
      </c>
      <c r="AU281" s="39" t="n">
        <f aca="false">IF(AU$4=0,0,IF(COUNTIFS(実績!$W$6:$W$505,AU$3,実績!$AI$6:$AI$505,"&lt;="&amp;$A281,実績!$AJ$6:$AJ$505,"&gt;"&amp;$A281,実績!$AK$6:$AK$505,"○")&gt;0,1,0))</f>
        <v>0</v>
      </c>
      <c r="AV281" s="39" t="n">
        <f aca="false">IF(AV$4=0,0,IF(COUNTIFS(実績!$W$6:$W$505,AV$3,実績!$AI$6:$AI$505,"&lt;="&amp;$A281,実績!$AJ$6:$AJ$505,"&gt;"&amp;$A281,実績!$AK$6:$AK$505,"○")&gt;0,1,0))</f>
        <v>0</v>
      </c>
      <c r="AW281" s="39" t="n">
        <f aca="false">IF(AW$4=0,0,IF(COUNTIFS(実績!$W$6:$W$505,AW$3,実績!$AI$6:$AI$505,"&lt;="&amp;$A281,実績!$AJ$6:$AJ$505,"&gt;"&amp;$A281,実績!$AK$6:$AK$505,"○")&gt;0,1,0))</f>
        <v>0</v>
      </c>
      <c r="AX281" s="39" t="n">
        <f aca="false">IF(AX$4=0,0,IF(COUNTIFS(実績!$W$6:$W$505,AX$3,実績!$AI$6:$AI$505,"&lt;="&amp;$A281,実績!$AJ$6:$AJ$505,"&gt;"&amp;$A281,実績!$AK$6:$AK$505,"○")&gt;0,1,0))</f>
        <v>0</v>
      </c>
      <c r="AY281" s="39" t="n">
        <f aca="false">IF(AY$4=0,0,IF(COUNTIFS(実績!$W$6:$W$505,AY$3,実績!$AI$6:$AI$505,"&lt;="&amp;$A281,実績!$AJ$6:$AJ$505,"&gt;"&amp;$A281,実績!$AK$6:$AK$505,"○")&gt;0,1,0))</f>
        <v>0</v>
      </c>
      <c r="AZ281" s="39" t="n">
        <f aca="false">IF(AZ$4=0,0,IF(COUNTIFS(実績!$W$6:$W$505,AZ$3,実績!$AI$6:$AI$505,"&lt;="&amp;$A281,実績!$AJ$6:$AJ$505,"&gt;"&amp;$A281,実績!$AK$6:$AK$505,"○")&gt;0,1,0))</f>
        <v>0</v>
      </c>
      <c r="BA281" s="39" t="n">
        <f aca="false">IF(BA$4=0,0,IF(COUNTIFS(実績!$W$6:$W$505,BA$3,実績!$AI$6:$AI$505,"&lt;="&amp;$A281,実績!$AJ$6:$AJ$505,"&gt;"&amp;$A281,実績!$AK$6:$AK$505,"○")&gt;0,1,0))</f>
        <v>0</v>
      </c>
      <c r="BB281" s="39" t="n">
        <f aca="false">IF(BB$4=0,0,IF(COUNTIFS(実績!$W$6:$W$505,BB$3,実績!$AI$6:$AI$505,"&lt;="&amp;$A281,実績!$AJ$6:$AJ$505,"&gt;"&amp;$A281,実績!$AK$6:$AK$505,"○")&gt;0,1,0))</f>
        <v>0</v>
      </c>
      <c r="BC281" s="39" t="n">
        <f aca="false">IF(BC$4=0,0,IF(COUNTIFS(実績!$W$6:$W$505,BC$3,実績!$AI$6:$AI$505,"&lt;="&amp;$A281,実績!$AJ$6:$AJ$505,"&gt;"&amp;$A281,実績!$AK$6:$AK$505,"○")&gt;0,1,0))</f>
        <v>0</v>
      </c>
      <c r="BD281" s="39" t="n">
        <f aca="false">IF(BD$4=0,0,IF(COUNTIFS(実績!$W$6:$W$505,BD$3,実績!$AI$6:$AI$505,"&lt;="&amp;$A281,実績!$AJ$6:$AJ$505,"&gt;"&amp;$A281,実績!$AK$6:$AK$505,"○")&gt;0,1,0))</f>
        <v>0</v>
      </c>
      <c r="BE281" s="39" t="n">
        <f aca="false">IF(BE$4=0,0,IF(COUNTIFS(実績!$W$6:$W$505,BE$3,実績!$AI$6:$AI$505,"&lt;="&amp;$A281,実績!$AJ$6:$AJ$505,"&gt;"&amp;$A281,実績!$AK$6:$AK$505,"○")&gt;0,1,0))</f>
        <v>0</v>
      </c>
      <c r="BF281" s="39" t="n">
        <f aca="false">IF(BF$4=0,0,IF(COUNTIFS(実績!$W$6:$W$505,BF$3,実績!$AI$6:$AI$505,"&lt;="&amp;$A281,実績!$AJ$6:$AJ$505,"&gt;"&amp;$A281,実績!$AK$6:$AK$505,"○")&gt;0,1,0))</f>
        <v>0</v>
      </c>
      <c r="BG281" s="39" t="n">
        <f aca="false">IF(BG$4=0,0,IF(COUNTIFS(実績!$W$6:$W$505,BG$3,実績!$AI$6:$AI$505,"&lt;="&amp;$A281,実績!$AJ$6:$AJ$505,"&gt;"&amp;$A281,実績!$AK$6:$AK$505,"○")&gt;0,1,0))</f>
        <v>0</v>
      </c>
      <c r="BH281" s="39" t="n">
        <f aca="false">IF(BH$4=0,0,IF(COUNTIFS(実績!$W$6:$W$505,BH$3,実績!$AI$6:$AI$505,"&lt;="&amp;$A281,実績!$AJ$6:$AJ$505,"&gt;"&amp;$A281,実績!$AK$6:$AK$505,"○")&gt;0,1,0))</f>
        <v>0</v>
      </c>
      <c r="BI281" s="39" t="n">
        <f aca="false">IF(BI$4=0,0,IF(COUNTIFS(実績!$W$6:$W$505,BI$3,実績!$AI$6:$AI$505,"&lt;="&amp;$A281,実績!$AJ$6:$AJ$505,"&gt;"&amp;$A281,実績!$AK$6:$AK$505,"○")&gt;0,1,0))</f>
        <v>0</v>
      </c>
      <c r="BJ281" s="39" t="n">
        <f aca="false">IF(BJ$4=0,0,IF(COUNTIFS(実績!$W$6:$W$505,BJ$3,実績!$AI$6:$AI$505,"&lt;="&amp;$A281,実績!$AJ$6:$AJ$505,"&gt;"&amp;$A281,実績!$AK$6:$AK$505,"○")&gt;0,1,0))</f>
        <v>0</v>
      </c>
      <c r="BK281" s="39" t="n">
        <f aca="false">IF(BK$4=0,0,IF(COUNTIFS(実績!$W$6:$W$505,BK$3,実績!$AI$6:$AI$505,"&lt;="&amp;$A281,実績!$AJ$6:$AJ$505,"&gt;"&amp;$A281,実績!$AK$6:$AK$505,"○")&gt;0,1,0))</f>
        <v>0</v>
      </c>
      <c r="BL281" s="39" t="n">
        <f aca="false">IF(BL$4=0,0,IF(COUNTIFS(実績!$W$6:$W$505,BL$3,実績!$AI$6:$AI$505,"&lt;="&amp;$A281,実績!$AJ$6:$AJ$505,"&gt;"&amp;$A281,実績!$AK$6:$AK$505,"○")&gt;0,1,0))</f>
        <v>0</v>
      </c>
      <c r="BM281" s="39" t="n">
        <f aca="false">IF(BM$4=0,0,IF(COUNTIFS(実績!$W$6:$W$505,BM$3,実績!$AI$6:$AI$505,"&lt;="&amp;$A281,実績!$AJ$6:$AJ$505,"&gt;"&amp;$A281,実績!$AK$6:$AK$505,"○")&gt;0,1,0))</f>
        <v>0</v>
      </c>
      <c r="BN281" s="39" t="n">
        <f aca="false">IF(BN$4=0,0,IF(COUNTIFS(実績!$W$6:$W$505,BN$3,実績!$AI$6:$AI$505,"&lt;="&amp;$A281,実績!$AJ$6:$AJ$505,"&gt;"&amp;$A281,実績!$AK$6:$AK$505,"○")&gt;0,1,0))</f>
        <v>0</v>
      </c>
      <c r="BO281" s="39" t="n">
        <f aca="false">IF(BO$4=0,0,IF(COUNTIFS(実績!$W$6:$W$505,BO$3,実績!$AI$6:$AI$505,"&lt;="&amp;$A281,実績!$AJ$6:$AJ$505,"&gt;"&amp;$A281,実績!$AK$6:$AK$505,"○")&gt;0,1,0))</f>
        <v>0</v>
      </c>
      <c r="BP281" s="39" t="n">
        <f aca="false">IF(BP$4=0,0,IF(COUNTIFS(実績!$W$6:$W$505,BP$3,実績!$AI$6:$AI$505,"&lt;="&amp;$A281,実績!$AJ$6:$AJ$505,"&gt;"&amp;$A281,実績!$AK$6:$AK$505,"○")&gt;0,1,0))</f>
        <v>0</v>
      </c>
      <c r="BQ281" s="39" t="n">
        <f aca="false">IF(BQ$4=0,0,IF(COUNTIFS(実績!$W$6:$W$505,BQ$3,実績!$AI$6:$AI$505,"&lt;="&amp;$A281,実績!$AJ$6:$AJ$505,"&gt;"&amp;$A281,実績!$AK$6:$AK$505,"○")&gt;0,1,0))</f>
        <v>0</v>
      </c>
      <c r="BR281" s="39" t="n">
        <f aca="false">IF(BR$4=0,0,IF(COUNTIFS(実績!$W$6:$W$505,BR$3,実績!$AI$6:$AI$505,"&lt;="&amp;$A281,実績!$AJ$6:$AJ$505,"&gt;"&amp;$A281,実績!$AK$6:$AK$505,"○")&gt;0,1,0))</f>
        <v>0</v>
      </c>
      <c r="BS281" s="39" t="n">
        <f aca="false">IF(BS$4=0,0,IF(COUNTIFS(実績!$W$6:$W$505,BS$3,実績!$AI$6:$AI$505,"&lt;="&amp;$A281,実績!$AJ$6:$AJ$505,"&gt;"&amp;$A281,実績!$AK$6:$AK$505,"○")&gt;0,1,0))</f>
        <v>0</v>
      </c>
      <c r="BT281" s="39" t="n">
        <f aca="false">IF(BT$4=0,0,IF(COUNTIFS(実績!$W$6:$W$505,BT$3,実績!$AI$6:$AI$505,"&lt;="&amp;$A281,実績!$AJ$6:$AJ$505,"&gt;"&amp;$A281,実績!$AK$6:$AK$505,"○")&gt;0,1,0))</f>
        <v>0</v>
      </c>
      <c r="BU281" s="39" t="n">
        <f aca="false">IF(BU$4=0,0,IF(COUNTIFS(実績!$W$6:$W$505,BU$3,実績!$AI$6:$AI$505,"&lt;="&amp;$A281,実績!$AJ$6:$AJ$505,"&gt;"&amp;$A281,実績!$AK$6:$AK$505,"○")&gt;0,1,0))</f>
        <v>0</v>
      </c>
      <c r="BV281" s="39" t="n">
        <f aca="false">IF(BV$4=0,0,IF(COUNTIFS(実績!$W$6:$W$505,BV$3,実績!$AI$6:$AI$505,"&lt;="&amp;$A281,実績!$AJ$6:$AJ$505,"&gt;"&amp;$A281,実績!$AK$6:$AK$505,"○")&gt;0,1,0))</f>
        <v>0</v>
      </c>
      <c r="BW281" s="39" t="n">
        <f aca="false">IF(BW$4=0,0,IF(COUNTIFS(実績!$W$6:$W$505,BW$3,実績!$AI$6:$AI$505,"&lt;="&amp;$A281,実績!$AJ$6:$AJ$505,"&gt;"&amp;$A281,実績!$AK$6:$AK$505,"○")&gt;0,1,0))</f>
        <v>0</v>
      </c>
      <c r="BX281" s="39" t="n">
        <f aca="false">IF(BX$4=0,0,IF(COUNTIFS(実績!$W$6:$W$505,BX$3,実績!$AI$6:$AI$505,"&lt;="&amp;$A281,実績!$AJ$6:$AJ$505,"&gt;"&amp;$A281,実績!$AK$6:$AK$505,"○")&gt;0,1,0))</f>
        <v>0</v>
      </c>
      <c r="BY281" s="39" t="n">
        <f aca="false">IF(BY$4=0,0,IF(COUNTIFS(実績!$W$6:$W$505,BY$3,実績!$AI$6:$AI$505,"&lt;="&amp;$A281,実績!$AJ$6:$AJ$505,"&gt;"&amp;$A281,実績!$AK$6:$AK$505,"○")&gt;0,1,0))</f>
        <v>0</v>
      </c>
      <c r="BZ281" s="39" t="n">
        <f aca="false">IF(BZ$4=0,0,IF(COUNTIFS(実績!$W$6:$W$505,BZ$3,実績!$AI$6:$AI$505,"&lt;="&amp;$A281,実績!$AJ$6:$AJ$505,"&gt;"&amp;$A281,実績!$AK$6:$AK$505,"○")&gt;0,1,0))</f>
        <v>0</v>
      </c>
      <c r="CA281" s="39" t="n">
        <f aca="false">IF(CA$4=0,0,IF(COUNTIFS(実績!$W$6:$W$505,CA$3,実績!$AI$6:$AI$505,"&lt;="&amp;$A281,実績!$AJ$6:$AJ$505,"&gt;"&amp;$A281,実績!$AK$6:$AK$505,"○")&gt;0,1,0))</f>
        <v>0</v>
      </c>
      <c r="CB281" s="39" t="n">
        <f aca="false">IF(CB$4=0,0,IF(COUNTIFS(実績!$W$6:$W$505,CB$3,実績!$AI$6:$AI$505,"&lt;="&amp;$A281,実績!$AJ$6:$AJ$505,"&gt;"&amp;$A281,実績!$AK$6:$AK$505,"○")&gt;0,1,0))</f>
        <v>0</v>
      </c>
      <c r="CC281" s="39" t="n">
        <f aca="false">IF(CC$4=0,0,IF(COUNTIFS(実績!$W$6:$W$505,CC$3,実績!$AI$6:$AI$505,"&lt;="&amp;$A281,実績!$AJ$6:$AJ$505,"&gt;"&amp;$A281,実績!$AK$6:$AK$505,"○")&gt;0,1,0))</f>
        <v>0</v>
      </c>
      <c r="CD281" s="39" t="n">
        <f aca="false">IF(CD$4=0,0,IF(COUNTIFS(実績!$W$6:$W$505,CD$3,実績!$AI$6:$AI$505,"&lt;="&amp;$A281,実績!$AJ$6:$AJ$505,"&gt;"&amp;$A281,実績!$AK$6:$AK$505,"○")&gt;0,1,0))</f>
        <v>0</v>
      </c>
      <c r="CE281" s="39" t="n">
        <f aca="false">IF(CE$4=0,0,IF(COUNTIFS(実績!$W$6:$W$505,CE$3,実績!$AI$6:$AI$505,"&lt;="&amp;$A281,実績!$AJ$6:$AJ$505,"&gt;"&amp;$A281,実績!$AK$6:$AK$505,"○")&gt;0,1,0))</f>
        <v>0</v>
      </c>
      <c r="CF281" s="39" t="n">
        <f aca="false">IF(CF$4=0,0,IF(COUNTIFS(実績!$W$6:$W$505,CF$3,実績!$AI$6:$AI$505,"&lt;="&amp;$A281,実績!$AJ$6:$AJ$505,"&gt;"&amp;$A281,実績!$AK$6:$AK$505,"○")&gt;0,1,0))</f>
        <v>0</v>
      </c>
      <c r="CG281" s="39" t="n">
        <f aca="false">IF(CG$4=0,0,IF(COUNTIFS(実績!$W$6:$W$505,CG$3,実績!$AI$6:$AI$505,"&lt;="&amp;$A281,実績!$AJ$6:$AJ$505,"&gt;"&amp;$A281,実績!$AK$6:$AK$505,"○")&gt;0,1,0))</f>
        <v>0</v>
      </c>
      <c r="CH281" s="39" t="n">
        <f aca="false">IF(CH$4=0,0,IF(COUNTIFS(実績!$W$6:$W$505,CH$3,実績!$AI$6:$AI$505,"&lt;="&amp;$A281,実績!$AJ$6:$AJ$505,"&gt;"&amp;$A281,実績!$AK$6:$AK$505,"○")&gt;0,1,0))</f>
        <v>0</v>
      </c>
      <c r="CI281" s="39" t="n">
        <f aca="false">IF(CI$4=0,0,IF(COUNTIFS(実績!$W$6:$W$505,CI$3,実績!$AI$6:$AI$505,"&lt;="&amp;$A281,実績!$AJ$6:$AJ$505,"&gt;"&amp;$A281,実績!$AK$6:$AK$505,"○")&gt;0,1,0))</f>
        <v>0</v>
      </c>
      <c r="CJ281" s="39" t="n">
        <f aca="false">IF(CJ$4=0,0,IF(COUNTIFS(実績!$W$6:$W$505,CJ$3,実績!$AI$6:$AI$505,"&lt;="&amp;$A281,実績!$AJ$6:$AJ$505,"&gt;"&amp;$A281,実績!$AK$6:$AK$505,"○")&gt;0,1,0))</f>
        <v>0</v>
      </c>
      <c r="CK281" s="39" t="n">
        <f aca="false">IF(CK$4=0,0,IF(COUNTIFS(実績!$W$6:$W$505,CK$3,実績!$AI$6:$AI$505,"&lt;="&amp;$A281,実績!$AJ$6:$AJ$505,"&gt;"&amp;$A281,実績!$AK$6:$AK$505,"○")&gt;0,1,0))</f>
        <v>0</v>
      </c>
      <c r="CL281" s="39" t="n">
        <f aca="false">IF(CL$4=0,0,IF(COUNTIFS(実績!$W$6:$W$505,CL$3,実績!$AI$6:$AI$505,"&lt;="&amp;$A281,実績!$AJ$6:$AJ$505,"&gt;"&amp;$A281,実績!$AK$6:$AK$505,"○")&gt;0,1,0))</f>
        <v>0</v>
      </c>
      <c r="CM281" s="39" t="n">
        <f aca="false">IF(CM$4=0,0,IF(COUNTIFS(実績!$W$6:$W$505,CM$3,実績!$AI$6:$AI$505,"&lt;="&amp;$A281,実績!$AJ$6:$AJ$505,"&gt;"&amp;$A281,実績!$AK$6:$AK$505,"○")&gt;0,1,0))</f>
        <v>0</v>
      </c>
      <c r="CN281" s="39" t="n">
        <f aca="false">IF(CN$4=0,0,IF(COUNTIFS(実績!$W$6:$W$505,CN$3,実績!$AI$6:$AI$505,"&lt;="&amp;$A281,実績!$AJ$6:$AJ$505,"&gt;"&amp;$A281,実績!$AK$6:$AK$505,"○")&gt;0,1,0))</f>
        <v>0</v>
      </c>
      <c r="CO281" s="39" t="n">
        <f aca="false">IF(CO$4=0,0,IF(COUNTIFS(実績!$W$6:$W$505,CO$3,実績!$AI$6:$AI$505,"&lt;="&amp;$A281,実績!$AJ$6:$AJ$505,"&gt;"&amp;$A281,実績!$AK$6:$AK$505,"○")&gt;0,1,0))</f>
        <v>0</v>
      </c>
      <c r="CP281" s="39" t="n">
        <f aca="false">IF(CP$4=0,0,IF(COUNTIFS(実績!$W$6:$W$505,CP$3,実績!$AI$6:$AI$505,"&lt;="&amp;$A281,実績!$AJ$6:$AJ$505,"&gt;"&amp;$A281,実績!$AK$6:$AK$505,"○")&gt;0,1,0))</f>
        <v>0</v>
      </c>
      <c r="CQ281" s="39" t="n">
        <f aca="false">IF(CQ$4=0,0,IF(COUNTIFS(実績!$W$6:$W$505,CQ$3,実績!$AI$6:$AI$505,"&lt;="&amp;$A281,実績!$AJ$6:$AJ$505,"&gt;"&amp;$A281,実績!$AK$6:$AK$505,"○")&gt;0,1,0))</f>
        <v>0</v>
      </c>
      <c r="CR281" s="39" t="n">
        <f aca="false">IF(CR$4=0,0,IF(COUNTIFS(実績!$W$6:$W$505,CR$3,実績!$AI$6:$AI$505,"&lt;="&amp;$A281,実績!$AJ$6:$AJ$505,"&gt;"&amp;$A281,実績!$AK$6:$AK$505,"○")&gt;0,1,0))</f>
        <v>0</v>
      </c>
      <c r="CS281" s="39" t="n">
        <f aca="false">IF(CS$4=0,0,IF(COUNTIFS(実績!$W$6:$W$505,CS$3,実績!$AI$6:$AI$505,"&lt;="&amp;$A281,実績!$AJ$6:$AJ$505,"&gt;"&amp;$A281,実績!$AK$6:$AK$505,"○")&gt;0,1,0))</f>
        <v>0</v>
      </c>
      <c r="CT281" s="39" t="n">
        <f aca="false">IF(CT$4=0,0,IF(COUNTIFS(実績!$W$6:$W$505,CT$3,実績!$AI$6:$AI$505,"&lt;="&amp;$A281,実績!$AJ$6:$AJ$505,"&gt;"&amp;$A281,実績!$AK$6:$AK$505,"○")&gt;0,1,0))</f>
        <v>0</v>
      </c>
      <c r="CU281" s="39" t="n">
        <f aca="false">IF(CU$4=0,0,IF(COUNTIFS(実績!$W$6:$W$505,CU$3,実績!$AI$6:$AI$505,"&lt;="&amp;$A281,実績!$AJ$6:$AJ$505,"&gt;"&amp;$A281,実績!$AK$6:$AK$505,"○")&gt;0,1,0))</f>
        <v>0</v>
      </c>
      <c r="CV281" s="39" t="n">
        <f aca="false">IF(CV$4=0,0,IF(COUNTIFS(実績!$W$6:$W$505,CV$3,実績!$AI$6:$AI$505,"&lt;="&amp;$A281,実績!$AJ$6:$AJ$505,"&gt;"&amp;$A281,実績!$AK$6:$AK$505,"○")&gt;0,1,0))</f>
        <v>0</v>
      </c>
      <c r="CW281" s="39" t="n">
        <f aca="false">IF(CW$4=0,0,IF(COUNTIFS(実績!$W$6:$W$505,CW$3,実績!$AI$6:$AI$505,"&lt;="&amp;$A281,実績!$AJ$6:$AJ$505,"&gt;"&amp;$A281,実績!$AK$6:$AK$505,"○")&gt;0,1,0))</f>
        <v>0</v>
      </c>
      <c r="CX281" s="39" t="n">
        <f aca="false">IF(CX$4=0,0,IF(COUNTIFS(実績!$W$6:$W$505,CX$3,実績!$AI$6:$AI$505,"&lt;="&amp;$A281,実績!$AJ$6:$AJ$505,"&gt;"&amp;$A281,実績!$AK$6:$AK$505,"○")&gt;0,1,0))</f>
        <v>0</v>
      </c>
      <c r="CY281" s="39" t="n">
        <f aca="false">IF(CY$4=0,0,IF(COUNTIFS(実績!$W$6:$W$505,CY$3,実績!$AI$6:$AI$505,"&lt;="&amp;$A281,実績!$AJ$6:$AJ$505,"&gt;"&amp;$A281,実績!$AK$6:$AK$505,"○")&gt;0,1,0))</f>
        <v>0</v>
      </c>
      <c r="CZ281" s="39" t="n">
        <f aca="false">IF(CZ$4=0,0,IF(COUNTIFS(実績!$W$6:$W$505,CZ$3,実績!$AI$6:$AI$505,"&lt;="&amp;$A281,実績!$AJ$6:$AJ$505,"&gt;"&amp;$A281,実績!$AK$6:$AK$505,"○")&gt;0,1,0))</f>
        <v>0</v>
      </c>
      <c r="DA281" s="39" t="n">
        <f aca="false">IF(DA$4=0,0,IF(COUNTIFS(実績!$W$6:$W$505,DA$3,実績!$AI$6:$AI$505,"&lt;="&amp;$A281,実績!$AJ$6:$AJ$505,"&gt;"&amp;$A281,実績!$AK$6:$AK$505,"○")&gt;0,1,0))</f>
        <v>0</v>
      </c>
      <c r="DB281" s="39" t="n">
        <f aca="false">IF(DB$4=0,0,IF(COUNTIFS(実績!$W$6:$W$505,DB$3,実績!$AI$6:$AI$505,"&lt;="&amp;$A281,実績!$AJ$6:$AJ$505,"&gt;"&amp;$A281,実績!$AK$6:$AK$505,"○")&gt;0,1,0))</f>
        <v>0</v>
      </c>
      <c r="DC281" s="39" t="n">
        <f aca="false">IF(DC$4=0,0,IF(COUNTIFS(実績!$W$6:$W$505,DC$3,実績!$AI$6:$AI$505,"&lt;="&amp;$A281,実績!$AJ$6:$AJ$505,"&gt;"&amp;$A281,実績!$AK$6:$AK$505,"○")&gt;0,1,0))</f>
        <v>0</v>
      </c>
      <c r="DD281" s="39" t="n">
        <f aca="false">IF(DD$4=0,0,IF(COUNTIFS(実績!$W$6:$W$505,DD$3,実績!$AI$6:$AI$505,"&lt;="&amp;$A281,実績!$AJ$6:$AJ$505,"&gt;"&amp;$A281,実績!$AK$6:$AK$505,"○")&gt;0,1,0))</f>
        <v>0</v>
      </c>
      <c r="DE281" s="39" t="n">
        <f aca="false">IF(DE$4=0,0,IF(COUNTIFS(実績!$W$6:$W$505,DE$3,実績!$AI$6:$AI$505,"&lt;="&amp;$A281,実績!$AJ$6:$AJ$505,"&gt;"&amp;$A281,実績!$AK$6:$AK$505,"○")&gt;0,1,0))</f>
        <v>0</v>
      </c>
      <c r="DF281" s="39" t="n">
        <f aca="false">IF(DF$4=0,0,IF(COUNTIFS(実績!$W$6:$W$505,DF$3,実績!$AI$6:$AI$505,"&lt;="&amp;$A281,実績!$AJ$6:$AJ$505,"&gt;"&amp;$A281,実績!$AK$6:$AK$505,"○")&gt;0,1,0))</f>
        <v>0</v>
      </c>
      <c r="DG281" s="39" t="n">
        <f aca="false">IF(DG$4=0,0,IF(COUNTIFS(実績!$W$6:$W$505,DG$3,実績!$AI$6:$AI$505,"&lt;="&amp;$A281,実績!$AJ$6:$AJ$505,"&gt;"&amp;$A281,実績!$AK$6:$AK$505,"○")&gt;0,1,0))</f>
        <v>0</v>
      </c>
      <c r="DH281" s="39" t="n">
        <f aca="false">IF(DH$4=0,0,IF(COUNTIFS(実績!$W$6:$W$505,DH$3,実績!$AI$6:$AI$505,"&lt;="&amp;$A281,実績!$AJ$6:$AJ$505,"&gt;"&amp;$A281,実績!$AK$6:$AK$505,"○")&gt;0,1,0))</f>
        <v>0</v>
      </c>
      <c r="DI281" s="39" t="n">
        <f aca="false">IF(DI$4=0,0,IF(COUNTIFS(実績!$W$6:$W$505,DI$3,実績!$AI$6:$AI$505,"&lt;="&amp;$A281,実績!$AJ$6:$AJ$505,"&gt;"&amp;$A281,実績!$AK$6:$AK$505,"○")&gt;0,1,0))</f>
        <v>0</v>
      </c>
      <c r="DJ281" s="39" t="n">
        <f aca="false">IF(DJ$4=0,0,IF(COUNTIFS(実績!$W$6:$W$505,DJ$3,実績!$AI$6:$AI$505,"&lt;="&amp;$A281,実績!$AJ$6:$AJ$505,"&gt;"&amp;$A281,実績!$AK$6:$AK$505,"○")&gt;0,1,0))</f>
        <v>0</v>
      </c>
      <c r="DK281" s="39" t="n">
        <f aca="false">IF(DK$4=0,0,IF(COUNTIFS(実績!$W$6:$W$505,DK$3,実績!$AI$6:$AI$505,"&lt;="&amp;$A281,実績!$AJ$6:$AJ$505,"&gt;"&amp;$A281,実績!$AK$6:$AK$505,"○")&gt;0,1,0))</f>
        <v>0</v>
      </c>
      <c r="DL281" s="39" t="n">
        <f aca="false">IF(DL$4=0,0,IF(COUNTIFS(実績!$W$6:$W$505,DL$3,実績!$AI$6:$AI$505,"&lt;="&amp;$A281,実績!$AJ$6:$AJ$505,"&gt;"&amp;$A281,実績!$AK$6:$AK$505,"○")&gt;0,1,0))</f>
        <v>0</v>
      </c>
      <c r="DM281" s="39" t="n">
        <f aca="false">IF(DM$4=0,0,IF(COUNTIFS(実績!$W$6:$W$505,DM$3,実績!$AI$6:$AI$505,"&lt;="&amp;$A281,実績!$AJ$6:$AJ$505,"&gt;"&amp;$A281,実績!$AK$6:$AK$505,"○")&gt;0,1,0))</f>
        <v>0</v>
      </c>
      <c r="DN281" s="39" t="n">
        <f aca="false">IF(DN$4=0,0,IF(COUNTIFS(実績!$W$6:$W$505,DN$3,実績!$AI$6:$AI$505,"&lt;="&amp;$A281,実績!$AJ$6:$AJ$505,"&gt;"&amp;$A281,実績!$AK$6:$AK$505,"○")&gt;0,1,0))</f>
        <v>0</v>
      </c>
      <c r="DO281" s="39" t="n">
        <f aca="false">IF(DO$4=0,0,IF(COUNTIFS(実績!$W$6:$W$505,DO$3,実績!$AI$6:$AI$505,"&lt;="&amp;$A281,実績!$AJ$6:$AJ$505,"&gt;"&amp;$A281,実績!$AK$6:$AK$505,"○")&gt;0,1,0))</f>
        <v>0</v>
      </c>
      <c r="DP281" s="39" t="n">
        <f aca="false">IF(DP$4=0,0,IF(COUNTIFS(実績!$W$6:$W$505,DP$3,実績!$AI$6:$AI$505,"&lt;="&amp;$A281,実績!$AJ$6:$AJ$505,"&gt;"&amp;$A281,実績!$AK$6:$AK$505,"○")&gt;0,1,0))</f>
        <v>0</v>
      </c>
      <c r="DQ281" s="39" t="n">
        <f aca="false">IF(DQ$4=0,0,IF(COUNTIFS(実績!$W$6:$W$505,DQ$3,実績!$AI$6:$AI$505,"&lt;="&amp;$A281,実績!$AJ$6:$AJ$505,"&gt;"&amp;$A281,実績!$AK$6:$AK$505,"○")&gt;0,1,0))</f>
        <v>0</v>
      </c>
      <c r="DR281" s="39" t="n">
        <f aca="false">IF(DR$4=0,0,IF(COUNTIFS(実績!$W$6:$W$505,DR$3,実績!$AI$6:$AI$505,"&lt;="&amp;$A281,実績!$AJ$6:$AJ$505,"&gt;"&amp;$A281,実績!$AK$6:$AK$505,"○")&gt;0,1,0))</f>
        <v>0</v>
      </c>
      <c r="DS281" s="39" t="n">
        <f aca="false">SUM(C281:DR281)</f>
        <v>0</v>
      </c>
      <c r="DT281" s="39" t="n">
        <f aca="false">SUMPRODUCT((実績!$C$6:$C$505="○")*ISNUMBER(実績!$AM$6:$AM$505)*(実績!$AM$6:$AM$505&lt;=$A281)*(実績!$AN$6:$AN$505&gt;$A281))</f>
        <v>0</v>
      </c>
      <c r="DU281" s="39" t="n">
        <f aca="false">SUMIF($C$2:$DR$2,"製鉄曳船",C281:DR281)</f>
        <v>0</v>
      </c>
      <c r="DV281" s="39" t="n">
        <f aca="false">SUMIF($C$2:$DR$2,"西日本海運",C281:DR281)</f>
        <v>0</v>
      </c>
    </row>
    <row r="282" customFormat="false" ht="15" hidden="false" customHeight="false" outlineLevel="0" collapsed="false">
      <c r="A282" s="0" t="n">
        <v>1380</v>
      </c>
      <c r="B282" s="38" t="n">
        <f aca="false">A282/1440</f>
        <v>0.958333333333333</v>
      </c>
      <c r="C282" s="39" t="n">
        <f aca="false">IF(C$4=0,0,IF(COUNTIFS(実績!$W$6:$W$505,C$3,実績!$AI$6:$AI$505,"&lt;="&amp;$A282,実績!$AJ$6:$AJ$505,"&gt;"&amp;$A282,実績!$AK$6:$AK$505,"○")&gt;0,1,0))</f>
        <v>0</v>
      </c>
      <c r="D282" s="39" t="n">
        <f aca="false">IF(D$4=0,0,IF(COUNTIFS(実績!$W$6:$W$505,D$3,実績!$AI$6:$AI$505,"&lt;="&amp;$A282,実績!$AJ$6:$AJ$505,"&gt;"&amp;$A282,実績!$AK$6:$AK$505,"○")&gt;0,1,0))</f>
        <v>0</v>
      </c>
      <c r="E282" s="39" t="n">
        <f aca="false">IF(E$4=0,0,IF(COUNTIFS(実績!$W$6:$W$505,E$3,実績!$AI$6:$AI$505,"&lt;="&amp;$A282,実績!$AJ$6:$AJ$505,"&gt;"&amp;$A282,実績!$AK$6:$AK$505,"○")&gt;0,1,0))</f>
        <v>0</v>
      </c>
      <c r="F282" s="39" t="n">
        <f aca="false">IF(F$4=0,0,IF(COUNTIFS(実績!$W$6:$W$505,F$3,実績!$AI$6:$AI$505,"&lt;="&amp;$A282,実績!$AJ$6:$AJ$505,"&gt;"&amp;$A282,実績!$AK$6:$AK$505,"○")&gt;0,1,0))</f>
        <v>0</v>
      </c>
      <c r="G282" s="39" t="n">
        <f aca="false">IF(G$4=0,0,IF(COUNTIFS(実績!$W$6:$W$505,G$3,実績!$AI$6:$AI$505,"&lt;="&amp;$A282,実績!$AJ$6:$AJ$505,"&gt;"&amp;$A282,実績!$AK$6:$AK$505,"○")&gt;0,1,0))</f>
        <v>0</v>
      </c>
      <c r="H282" s="39" t="n">
        <f aca="false">IF(H$4=0,0,IF(COUNTIFS(実績!$W$6:$W$505,H$3,実績!$AI$6:$AI$505,"&lt;="&amp;$A282,実績!$AJ$6:$AJ$505,"&gt;"&amp;$A282,実績!$AK$6:$AK$505,"○")&gt;0,1,0))</f>
        <v>0</v>
      </c>
      <c r="I282" s="39" t="n">
        <f aca="false">IF(I$4=0,0,IF(COUNTIFS(実績!$W$6:$W$505,I$3,実績!$AI$6:$AI$505,"&lt;="&amp;$A282,実績!$AJ$6:$AJ$505,"&gt;"&amp;$A282,実績!$AK$6:$AK$505,"○")&gt;0,1,0))</f>
        <v>0</v>
      </c>
      <c r="J282" s="39" t="n">
        <f aca="false">IF(J$4=0,0,IF(COUNTIFS(実績!$W$6:$W$505,J$3,実績!$AI$6:$AI$505,"&lt;="&amp;$A282,実績!$AJ$6:$AJ$505,"&gt;"&amp;$A282,実績!$AK$6:$AK$505,"○")&gt;0,1,0))</f>
        <v>0</v>
      </c>
      <c r="K282" s="39" t="n">
        <f aca="false">IF(K$4=0,0,IF(COUNTIFS(実績!$W$6:$W$505,K$3,実績!$AI$6:$AI$505,"&lt;="&amp;$A282,実績!$AJ$6:$AJ$505,"&gt;"&amp;$A282,実績!$AK$6:$AK$505,"○")&gt;0,1,0))</f>
        <v>0</v>
      </c>
      <c r="L282" s="39" t="n">
        <f aca="false">IF(L$4=0,0,IF(COUNTIFS(実績!$W$6:$W$505,L$3,実績!$AI$6:$AI$505,"&lt;="&amp;$A282,実績!$AJ$6:$AJ$505,"&gt;"&amp;$A282,実績!$AK$6:$AK$505,"○")&gt;0,1,0))</f>
        <v>0</v>
      </c>
      <c r="M282" s="39" t="n">
        <f aca="false">IF(M$4=0,0,IF(COUNTIFS(実績!$W$6:$W$505,M$3,実績!$AI$6:$AI$505,"&lt;="&amp;$A282,実績!$AJ$6:$AJ$505,"&gt;"&amp;$A282,実績!$AK$6:$AK$505,"○")&gt;0,1,0))</f>
        <v>0</v>
      </c>
      <c r="N282" s="39" t="n">
        <f aca="false">IF(N$4=0,0,IF(COUNTIFS(実績!$W$6:$W$505,N$3,実績!$AI$6:$AI$505,"&lt;="&amp;$A282,実績!$AJ$6:$AJ$505,"&gt;"&amp;$A282,実績!$AK$6:$AK$505,"○")&gt;0,1,0))</f>
        <v>0</v>
      </c>
      <c r="O282" s="39" t="n">
        <f aca="false">IF(O$4=0,0,IF(COUNTIFS(実績!$W$6:$W$505,O$3,実績!$AI$6:$AI$505,"&lt;="&amp;$A282,実績!$AJ$6:$AJ$505,"&gt;"&amp;$A282,実績!$AK$6:$AK$505,"○")&gt;0,1,0))</f>
        <v>0</v>
      </c>
      <c r="P282" s="39" t="n">
        <f aca="false">IF(P$4=0,0,IF(COUNTIFS(実績!$W$6:$W$505,P$3,実績!$AI$6:$AI$505,"&lt;="&amp;$A282,実績!$AJ$6:$AJ$505,"&gt;"&amp;$A282,実績!$AK$6:$AK$505,"○")&gt;0,1,0))</f>
        <v>0</v>
      </c>
      <c r="Q282" s="39" t="n">
        <f aca="false">IF(Q$4=0,0,IF(COUNTIFS(実績!$W$6:$W$505,Q$3,実績!$AI$6:$AI$505,"&lt;="&amp;$A282,実績!$AJ$6:$AJ$505,"&gt;"&amp;$A282,実績!$AK$6:$AK$505,"○")&gt;0,1,0))</f>
        <v>0</v>
      </c>
      <c r="R282" s="39" t="n">
        <f aca="false">IF(R$4=0,0,IF(COUNTIFS(実績!$W$6:$W$505,R$3,実績!$AI$6:$AI$505,"&lt;="&amp;$A282,実績!$AJ$6:$AJ$505,"&gt;"&amp;$A282,実績!$AK$6:$AK$505,"○")&gt;0,1,0))</f>
        <v>0</v>
      </c>
      <c r="S282" s="39" t="n">
        <f aca="false">IF(S$4=0,0,IF(COUNTIFS(実績!$W$6:$W$505,S$3,実績!$AI$6:$AI$505,"&lt;="&amp;$A282,実績!$AJ$6:$AJ$505,"&gt;"&amp;$A282,実績!$AK$6:$AK$505,"○")&gt;0,1,0))</f>
        <v>0</v>
      </c>
      <c r="T282" s="39" t="n">
        <f aca="false">IF(T$4=0,0,IF(COUNTIFS(実績!$W$6:$W$505,T$3,実績!$AI$6:$AI$505,"&lt;="&amp;$A282,実績!$AJ$6:$AJ$505,"&gt;"&amp;$A282,実績!$AK$6:$AK$505,"○")&gt;0,1,0))</f>
        <v>0</v>
      </c>
      <c r="U282" s="39" t="n">
        <f aca="false">IF(U$4=0,0,IF(COUNTIFS(実績!$W$6:$W$505,U$3,実績!$AI$6:$AI$505,"&lt;="&amp;$A282,実績!$AJ$6:$AJ$505,"&gt;"&amp;$A282,実績!$AK$6:$AK$505,"○")&gt;0,1,0))</f>
        <v>0</v>
      </c>
      <c r="V282" s="39" t="n">
        <f aca="false">IF(V$4=0,0,IF(COUNTIFS(実績!$W$6:$W$505,V$3,実績!$AI$6:$AI$505,"&lt;="&amp;$A282,実績!$AJ$6:$AJ$505,"&gt;"&amp;$A282,実績!$AK$6:$AK$505,"○")&gt;0,1,0))</f>
        <v>0</v>
      </c>
      <c r="W282" s="39" t="n">
        <f aca="false">IF(W$4=0,0,IF(COUNTIFS(実績!$W$6:$W$505,W$3,実績!$AI$6:$AI$505,"&lt;="&amp;$A282,実績!$AJ$6:$AJ$505,"&gt;"&amp;$A282,実績!$AK$6:$AK$505,"○")&gt;0,1,0))</f>
        <v>0</v>
      </c>
      <c r="X282" s="39" t="n">
        <f aca="false">IF(X$4=0,0,IF(COUNTIFS(実績!$W$6:$W$505,X$3,実績!$AI$6:$AI$505,"&lt;="&amp;$A282,実績!$AJ$6:$AJ$505,"&gt;"&amp;$A282,実績!$AK$6:$AK$505,"○")&gt;0,1,0))</f>
        <v>0</v>
      </c>
      <c r="Y282" s="39" t="n">
        <f aca="false">IF(Y$4=0,0,IF(COUNTIFS(実績!$W$6:$W$505,Y$3,実績!$AI$6:$AI$505,"&lt;="&amp;$A282,実績!$AJ$6:$AJ$505,"&gt;"&amp;$A282,実績!$AK$6:$AK$505,"○")&gt;0,1,0))</f>
        <v>0</v>
      </c>
      <c r="Z282" s="39" t="n">
        <f aca="false">IF(Z$4=0,0,IF(COUNTIFS(実績!$W$6:$W$505,Z$3,実績!$AI$6:$AI$505,"&lt;="&amp;$A282,実績!$AJ$6:$AJ$505,"&gt;"&amp;$A282,実績!$AK$6:$AK$505,"○")&gt;0,1,0))</f>
        <v>0</v>
      </c>
      <c r="AA282" s="39" t="n">
        <f aca="false">IF(AA$4=0,0,IF(COUNTIFS(実績!$W$6:$W$505,AA$3,実績!$AI$6:$AI$505,"&lt;="&amp;$A282,実績!$AJ$6:$AJ$505,"&gt;"&amp;$A282,実績!$AK$6:$AK$505,"○")&gt;0,1,0))</f>
        <v>0</v>
      </c>
      <c r="AB282" s="39" t="n">
        <f aca="false">IF(AB$4=0,0,IF(COUNTIFS(実績!$W$6:$W$505,AB$3,実績!$AI$6:$AI$505,"&lt;="&amp;$A282,実績!$AJ$6:$AJ$505,"&gt;"&amp;$A282,実績!$AK$6:$AK$505,"○")&gt;0,1,0))</f>
        <v>0</v>
      </c>
      <c r="AC282" s="39" t="n">
        <f aca="false">IF(AC$4=0,0,IF(COUNTIFS(実績!$W$6:$W$505,AC$3,実績!$AI$6:$AI$505,"&lt;="&amp;$A282,実績!$AJ$6:$AJ$505,"&gt;"&amp;$A282,実績!$AK$6:$AK$505,"○")&gt;0,1,0))</f>
        <v>0</v>
      </c>
      <c r="AD282" s="39" t="n">
        <f aca="false">IF(AD$4=0,0,IF(COUNTIFS(実績!$W$6:$W$505,AD$3,実績!$AI$6:$AI$505,"&lt;="&amp;$A282,実績!$AJ$6:$AJ$505,"&gt;"&amp;$A282,実績!$AK$6:$AK$505,"○")&gt;0,1,0))</f>
        <v>0</v>
      </c>
      <c r="AE282" s="39" t="n">
        <f aca="false">IF(AE$4=0,0,IF(COUNTIFS(実績!$W$6:$W$505,AE$3,実績!$AI$6:$AI$505,"&lt;="&amp;$A282,実績!$AJ$6:$AJ$505,"&gt;"&amp;$A282,実績!$AK$6:$AK$505,"○")&gt;0,1,0))</f>
        <v>0</v>
      </c>
      <c r="AF282" s="39" t="n">
        <f aca="false">IF(AF$4=0,0,IF(COUNTIFS(実績!$W$6:$W$505,AF$3,実績!$AI$6:$AI$505,"&lt;="&amp;$A282,実績!$AJ$6:$AJ$505,"&gt;"&amp;$A282,実績!$AK$6:$AK$505,"○")&gt;0,1,0))</f>
        <v>0</v>
      </c>
      <c r="AG282" s="39" t="n">
        <f aca="false">IF(AG$4=0,0,IF(COUNTIFS(実績!$W$6:$W$505,AG$3,実績!$AI$6:$AI$505,"&lt;="&amp;$A282,実績!$AJ$6:$AJ$505,"&gt;"&amp;$A282,実績!$AK$6:$AK$505,"○")&gt;0,1,0))</f>
        <v>0</v>
      </c>
      <c r="AH282" s="39" t="n">
        <f aca="false">IF(AH$4=0,0,IF(COUNTIFS(実績!$W$6:$W$505,AH$3,実績!$AI$6:$AI$505,"&lt;="&amp;$A282,実績!$AJ$6:$AJ$505,"&gt;"&amp;$A282,実績!$AK$6:$AK$505,"○")&gt;0,1,0))</f>
        <v>0</v>
      </c>
      <c r="AI282" s="39" t="n">
        <f aca="false">IF(AI$4=0,0,IF(COUNTIFS(実績!$W$6:$W$505,AI$3,実績!$AI$6:$AI$505,"&lt;="&amp;$A282,実績!$AJ$6:$AJ$505,"&gt;"&amp;$A282,実績!$AK$6:$AK$505,"○")&gt;0,1,0))</f>
        <v>0</v>
      </c>
      <c r="AJ282" s="39" t="n">
        <f aca="false">IF(AJ$4=0,0,IF(COUNTIFS(実績!$W$6:$W$505,AJ$3,実績!$AI$6:$AI$505,"&lt;="&amp;$A282,実績!$AJ$6:$AJ$505,"&gt;"&amp;$A282,実績!$AK$6:$AK$505,"○")&gt;0,1,0))</f>
        <v>0</v>
      </c>
      <c r="AK282" s="39" t="n">
        <f aca="false">IF(AK$4=0,0,IF(COUNTIFS(実績!$W$6:$W$505,AK$3,実績!$AI$6:$AI$505,"&lt;="&amp;$A282,実績!$AJ$6:$AJ$505,"&gt;"&amp;$A282,実績!$AK$6:$AK$505,"○")&gt;0,1,0))</f>
        <v>0</v>
      </c>
      <c r="AL282" s="39" t="n">
        <f aca="false">IF(AL$4=0,0,IF(COUNTIFS(実績!$W$6:$W$505,AL$3,実績!$AI$6:$AI$505,"&lt;="&amp;$A282,実績!$AJ$6:$AJ$505,"&gt;"&amp;$A282,実績!$AK$6:$AK$505,"○")&gt;0,1,0))</f>
        <v>0</v>
      </c>
      <c r="AM282" s="39" t="n">
        <f aca="false">IF(AM$4=0,0,IF(COUNTIFS(実績!$W$6:$W$505,AM$3,実績!$AI$6:$AI$505,"&lt;="&amp;$A282,実績!$AJ$6:$AJ$505,"&gt;"&amp;$A282,実績!$AK$6:$AK$505,"○")&gt;0,1,0))</f>
        <v>0</v>
      </c>
      <c r="AN282" s="39" t="n">
        <f aca="false">IF(AN$4=0,0,IF(COUNTIFS(実績!$W$6:$W$505,AN$3,実績!$AI$6:$AI$505,"&lt;="&amp;$A282,実績!$AJ$6:$AJ$505,"&gt;"&amp;$A282,実績!$AK$6:$AK$505,"○")&gt;0,1,0))</f>
        <v>0</v>
      </c>
      <c r="AO282" s="39" t="n">
        <f aca="false">IF(AO$4=0,0,IF(COUNTIFS(実績!$W$6:$W$505,AO$3,実績!$AI$6:$AI$505,"&lt;="&amp;$A282,実績!$AJ$6:$AJ$505,"&gt;"&amp;$A282,実績!$AK$6:$AK$505,"○")&gt;0,1,0))</f>
        <v>0</v>
      </c>
      <c r="AP282" s="39" t="n">
        <f aca="false">IF(AP$4=0,0,IF(COUNTIFS(実績!$W$6:$W$505,AP$3,実績!$AI$6:$AI$505,"&lt;="&amp;$A282,実績!$AJ$6:$AJ$505,"&gt;"&amp;$A282,実績!$AK$6:$AK$505,"○")&gt;0,1,0))</f>
        <v>0</v>
      </c>
      <c r="AQ282" s="39" t="n">
        <f aca="false">IF(AQ$4=0,0,IF(COUNTIFS(実績!$W$6:$W$505,AQ$3,実績!$AI$6:$AI$505,"&lt;="&amp;$A282,実績!$AJ$6:$AJ$505,"&gt;"&amp;$A282,実績!$AK$6:$AK$505,"○")&gt;0,1,0))</f>
        <v>0</v>
      </c>
      <c r="AR282" s="39" t="n">
        <f aca="false">IF(AR$4=0,0,IF(COUNTIFS(実績!$W$6:$W$505,AR$3,実績!$AI$6:$AI$505,"&lt;="&amp;$A282,実績!$AJ$6:$AJ$505,"&gt;"&amp;$A282,実績!$AK$6:$AK$505,"○")&gt;0,1,0))</f>
        <v>0</v>
      </c>
      <c r="AS282" s="39" t="n">
        <f aca="false">IF(AS$4=0,0,IF(COUNTIFS(実績!$W$6:$W$505,AS$3,実績!$AI$6:$AI$505,"&lt;="&amp;$A282,実績!$AJ$6:$AJ$505,"&gt;"&amp;$A282,実績!$AK$6:$AK$505,"○")&gt;0,1,0))</f>
        <v>0</v>
      </c>
      <c r="AT282" s="39" t="n">
        <f aca="false">IF(AT$4=0,0,IF(COUNTIFS(実績!$W$6:$W$505,AT$3,実績!$AI$6:$AI$505,"&lt;="&amp;$A282,実績!$AJ$6:$AJ$505,"&gt;"&amp;$A282,実績!$AK$6:$AK$505,"○")&gt;0,1,0))</f>
        <v>0</v>
      </c>
      <c r="AU282" s="39" t="n">
        <f aca="false">IF(AU$4=0,0,IF(COUNTIFS(実績!$W$6:$W$505,AU$3,実績!$AI$6:$AI$505,"&lt;="&amp;$A282,実績!$AJ$6:$AJ$505,"&gt;"&amp;$A282,実績!$AK$6:$AK$505,"○")&gt;0,1,0))</f>
        <v>0</v>
      </c>
      <c r="AV282" s="39" t="n">
        <f aca="false">IF(AV$4=0,0,IF(COUNTIFS(実績!$W$6:$W$505,AV$3,実績!$AI$6:$AI$505,"&lt;="&amp;$A282,実績!$AJ$6:$AJ$505,"&gt;"&amp;$A282,実績!$AK$6:$AK$505,"○")&gt;0,1,0))</f>
        <v>0</v>
      </c>
      <c r="AW282" s="39" t="n">
        <f aca="false">IF(AW$4=0,0,IF(COUNTIFS(実績!$W$6:$W$505,AW$3,実績!$AI$6:$AI$505,"&lt;="&amp;$A282,実績!$AJ$6:$AJ$505,"&gt;"&amp;$A282,実績!$AK$6:$AK$505,"○")&gt;0,1,0))</f>
        <v>0</v>
      </c>
      <c r="AX282" s="39" t="n">
        <f aca="false">IF(AX$4=0,0,IF(COUNTIFS(実績!$W$6:$W$505,AX$3,実績!$AI$6:$AI$505,"&lt;="&amp;$A282,実績!$AJ$6:$AJ$505,"&gt;"&amp;$A282,実績!$AK$6:$AK$505,"○")&gt;0,1,0))</f>
        <v>0</v>
      </c>
      <c r="AY282" s="39" t="n">
        <f aca="false">IF(AY$4=0,0,IF(COUNTIFS(実績!$W$6:$W$505,AY$3,実績!$AI$6:$AI$505,"&lt;="&amp;$A282,実績!$AJ$6:$AJ$505,"&gt;"&amp;$A282,実績!$AK$6:$AK$505,"○")&gt;0,1,0))</f>
        <v>0</v>
      </c>
      <c r="AZ282" s="39" t="n">
        <f aca="false">IF(AZ$4=0,0,IF(COUNTIFS(実績!$W$6:$W$505,AZ$3,実績!$AI$6:$AI$505,"&lt;="&amp;$A282,実績!$AJ$6:$AJ$505,"&gt;"&amp;$A282,実績!$AK$6:$AK$505,"○")&gt;0,1,0))</f>
        <v>0</v>
      </c>
      <c r="BA282" s="39" t="n">
        <f aca="false">IF(BA$4=0,0,IF(COUNTIFS(実績!$W$6:$W$505,BA$3,実績!$AI$6:$AI$505,"&lt;="&amp;$A282,実績!$AJ$6:$AJ$505,"&gt;"&amp;$A282,実績!$AK$6:$AK$505,"○")&gt;0,1,0))</f>
        <v>0</v>
      </c>
      <c r="BB282" s="39" t="n">
        <f aca="false">IF(BB$4=0,0,IF(COUNTIFS(実績!$W$6:$W$505,BB$3,実績!$AI$6:$AI$505,"&lt;="&amp;$A282,実績!$AJ$6:$AJ$505,"&gt;"&amp;$A282,実績!$AK$6:$AK$505,"○")&gt;0,1,0))</f>
        <v>0</v>
      </c>
      <c r="BC282" s="39" t="n">
        <f aca="false">IF(BC$4=0,0,IF(COUNTIFS(実績!$W$6:$W$505,BC$3,実績!$AI$6:$AI$505,"&lt;="&amp;$A282,実績!$AJ$6:$AJ$505,"&gt;"&amp;$A282,実績!$AK$6:$AK$505,"○")&gt;0,1,0))</f>
        <v>0</v>
      </c>
      <c r="BD282" s="39" t="n">
        <f aca="false">IF(BD$4=0,0,IF(COUNTIFS(実績!$W$6:$W$505,BD$3,実績!$AI$6:$AI$505,"&lt;="&amp;$A282,実績!$AJ$6:$AJ$505,"&gt;"&amp;$A282,実績!$AK$6:$AK$505,"○")&gt;0,1,0))</f>
        <v>0</v>
      </c>
      <c r="BE282" s="39" t="n">
        <f aca="false">IF(BE$4=0,0,IF(COUNTIFS(実績!$W$6:$W$505,BE$3,実績!$AI$6:$AI$505,"&lt;="&amp;$A282,実績!$AJ$6:$AJ$505,"&gt;"&amp;$A282,実績!$AK$6:$AK$505,"○")&gt;0,1,0))</f>
        <v>0</v>
      </c>
      <c r="BF282" s="39" t="n">
        <f aca="false">IF(BF$4=0,0,IF(COUNTIFS(実績!$W$6:$W$505,BF$3,実績!$AI$6:$AI$505,"&lt;="&amp;$A282,実績!$AJ$6:$AJ$505,"&gt;"&amp;$A282,実績!$AK$6:$AK$505,"○")&gt;0,1,0))</f>
        <v>0</v>
      </c>
      <c r="BG282" s="39" t="n">
        <f aca="false">IF(BG$4=0,0,IF(COUNTIFS(実績!$W$6:$W$505,BG$3,実績!$AI$6:$AI$505,"&lt;="&amp;$A282,実績!$AJ$6:$AJ$505,"&gt;"&amp;$A282,実績!$AK$6:$AK$505,"○")&gt;0,1,0))</f>
        <v>0</v>
      </c>
      <c r="BH282" s="39" t="n">
        <f aca="false">IF(BH$4=0,0,IF(COUNTIFS(実績!$W$6:$W$505,BH$3,実績!$AI$6:$AI$505,"&lt;="&amp;$A282,実績!$AJ$6:$AJ$505,"&gt;"&amp;$A282,実績!$AK$6:$AK$505,"○")&gt;0,1,0))</f>
        <v>0</v>
      </c>
      <c r="BI282" s="39" t="n">
        <f aca="false">IF(BI$4=0,0,IF(COUNTIFS(実績!$W$6:$W$505,BI$3,実績!$AI$6:$AI$505,"&lt;="&amp;$A282,実績!$AJ$6:$AJ$505,"&gt;"&amp;$A282,実績!$AK$6:$AK$505,"○")&gt;0,1,0))</f>
        <v>0</v>
      </c>
      <c r="BJ282" s="39" t="n">
        <f aca="false">IF(BJ$4=0,0,IF(COUNTIFS(実績!$W$6:$W$505,BJ$3,実績!$AI$6:$AI$505,"&lt;="&amp;$A282,実績!$AJ$6:$AJ$505,"&gt;"&amp;$A282,実績!$AK$6:$AK$505,"○")&gt;0,1,0))</f>
        <v>0</v>
      </c>
      <c r="BK282" s="39" t="n">
        <f aca="false">IF(BK$4=0,0,IF(COUNTIFS(実績!$W$6:$W$505,BK$3,実績!$AI$6:$AI$505,"&lt;="&amp;$A282,実績!$AJ$6:$AJ$505,"&gt;"&amp;$A282,実績!$AK$6:$AK$505,"○")&gt;0,1,0))</f>
        <v>0</v>
      </c>
      <c r="BL282" s="39" t="n">
        <f aca="false">IF(BL$4=0,0,IF(COUNTIFS(実績!$W$6:$W$505,BL$3,実績!$AI$6:$AI$505,"&lt;="&amp;$A282,実績!$AJ$6:$AJ$505,"&gt;"&amp;$A282,実績!$AK$6:$AK$505,"○")&gt;0,1,0))</f>
        <v>0</v>
      </c>
      <c r="BM282" s="39" t="n">
        <f aca="false">IF(BM$4=0,0,IF(COUNTIFS(実績!$W$6:$W$505,BM$3,実績!$AI$6:$AI$505,"&lt;="&amp;$A282,実績!$AJ$6:$AJ$505,"&gt;"&amp;$A282,実績!$AK$6:$AK$505,"○")&gt;0,1,0))</f>
        <v>0</v>
      </c>
      <c r="BN282" s="39" t="n">
        <f aca="false">IF(BN$4=0,0,IF(COUNTIFS(実績!$W$6:$W$505,BN$3,実績!$AI$6:$AI$505,"&lt;="&amp;$A282,実績!$AJ$6:$AJ$505,"&gt;"&amp;$A282,実績!$AK$6:$AK$505,"○")&gt;0,1,0))</f>
        <v>0</v>
      </c>
      <c r="BO282" s="39" t="n">
        <f aca="false">IF(BO$4=0,0,IF(COUNTIFS(実績!$W$6:$W$505,BO$3,実績!$AI$6:$AI$505,"&lt;="&amp;$A282,実績!$AJ$6:$AJ$505,"&gt;"&amp;$A282,実績!$AK$6:$AK$505,"○")&gt;0,1,0))</f>
        <v>0</v>
      </c>
      <c r="BP282" s="39" t="n">
        <f aca="false">IF(BP$4=0,0,IF(COUNTIFS(実績!$W$6:$W$505,BP$3,実績!$AI$6:$AI$505,"&lt;="&amp;$A282,実績!$AJ$6:$AJ$505,"&gt;"&amp;$A282,実績!$AK$6:$AK$505,"○")&gt;0,1,0))</f>
        <v>0</v>
      </c>
      <c r="BQ282" s="39" t="n">
        <f aca="false">IF(BQ$4=0,0,IF(COUNTIFS(実績!$W$6:$W$505,BQ$3,実績!$AI$6:$AI$505,"&lt;="&amp;$A282,実績!$AJ$6:$AJ$505,"&gt;"&amp;$A282,実績!$AK$6:$AK$505,"○")&gt;0,1,0))</f>
        <v>0</v>
      </c>
      <c r="BR282" s="39" t="n">
        <f aca="false">IF(BR$4=0,0,IF(COUNTIFS(実績!$W$6:$W$505,BR$3,実績!$AI$6:$AI$505,"&lt;="&amp;$A282,実績!$AJ$6:$AJ$505,"&gt;"&amp;$A282,実績!$AK$6:$AK$505,"○")&gt;0,1,0))</f>
        <v>0</v>
      </c>
      <c r="BS282" s="39" t="n">
        <f aca="false">IF(BS$4=0,0,IF(COUNTIFS(実績!$W$6:$W$505,BS$3,実績!$AI$6:$AI$505,"&lt;="&amp;$A282,実績!$AJ$6:$AJ$505,"&gt;"&amp;$A282,実績!$AK$6:$AK$505,"○")&gt;0,1,0))</f>
        <v>0</v>
      </c>
      <c r="BT282" s="39" t="n">
        <f aca="false">IF(BT$4=0,0,IF(COUNTIFS(実績!$W$6:$W$505,BT$3,実績!$AI$6:$AI$505,"&lt;="&amp;$A282,実績!$AJ$6:$AJ$505,"&gt;"&amp;$A282,実績!$AK$6:$AK$505,"○")&gt;0,1,0))</f>
        <v>0</v>
      </c>
      <c r="BU282" s="39" t="n">
        <f aca="false">IF(BU$4=0,0,IF(COUNTIFS(実績!$W$6:$W$505,BU$3,実績!$AI$6:$AI$505,"&lt;="&amp;$A282,実績!$AJ$6:$AJ$505,"&gt;"&amp;$A282,実績!$AK$6:$AK$505,"○")&gt;0,1,0))</f>
        <v>0</v>
      </c>
      <c r="BV282" s="39" t="n">
        <f aca="false">IF(BV$4=0,0,IF(COUNTIFS(実績!$W$6:$W$505,BV$3,実績!$AI$6:$AI$505,"&lt;="&amp;$A282,実績!$AJ$6:$AJ$505,"&gt;"&amp;$A282,実績!$AK$6:$AK$505,"○")&gt;0,1,0))</f>
        <v>0</v>
      </c>
      <c r="BW282" s="39" t="n">
        <f aca="false">IF(BW$4=0,0,IF(COUNTIFS(実績!$W$6:$W$505,BW$3,実績!$AI$6:$AI$505,"&lt;="&amp;$A282,実績!$AJ$6:$AJ$505,"&gt;"&amp;$A282,実績!$AK$6:$AK$505,"○")&gt;0,1,0))</f>
        <v>0</v>
      </c>
      <c r="BX282" s="39" t="n">
        <f aca="false">IF(BX$4=0,0,IF(COUNTIFS(実績!$W$6:$W$505,BX$3,実績!$AI$6:$AI$505,"&lt;="&amp;$A282,実績!$AJ$6:$AJ$505,"&gt;"&amp;$A282,実績!$AK$6:$AK$505,"○")&gt;0,1,0))</f>
        <v>0</v>
      </c>
      <c r="BY282" s="39" t="n">
        <f aca="false">IF(BY$4=0,0,IF(COUNTIFS(実績!$W$6:$W$505,BY$3,実績!$AI$6:$AI$505,"&lt;="&amp;$A282,実績!$AJ$6:$AJ$505,"&gt;"&amp;$A282,実績!$AK$6:$AK$505,"○")&gt;0,1,0))</f>
        <v>0</v>
      </c>
      <c r="BZ282" s="39" t="n">
        <f aca="false">IF(BZ$4=0,0,IF(COUNTIFS(実績!$W$6:$W$505,BZ$3,実績!$AI$6:$AI$505,"&lt;="&amp;$A282,実績!$AJ$6:$AJ$505,"&gt;"&amp;$A282,実績!$AK$6:$AK$505,"○")&gt;0,1,0))</f>
        <v>0</v>
      </c>
      <c r="CA282" s="39" t="n">
        <f aca="false">IF(CA$4=0,0,IF(COUNTIFS(実績!$W$6:$W$505,CA$3,実績!$AI$6:$AI$505,"&lt;="&amp;$A282,実績!$AJ$6:$AJ$505,"&gt;"&amp;$A282,実績!$AK$6:$AK$505,"○")&gt;0,1,0))</f>
        <v>0</v>
      </c>
      <c r="CB282" s="39" t="n">
        <f aca="false">IF(CB$4=0,0,IF(COUNTIFS(実績!$W$6:$W$505,CB$3,実績!$AI$6:$AI$505,"&lt;="&amp;$A282,実績!$AJ$6:$AJ$505,"&gt;"&amp;$A282,実績!$AK$6:$AK$505,"○")&gt;0,1,0))</f>
        <v>0</v>
      </c>
      <c r="CC282" s="39" t="n">
        <f aca="false">IF(CC$4=0,0,IF(COUNTIFS(実績!$W$6:$W$505,CC$3,実績!$AI$6:$AI$505,"&lt;="&amp;$A282,実績!$AJ$6:$AJ$505,"&gt;"&amp;$A282,実績!$AK$6:$AK$505,"○")&gt;0,1,0))</f>
        <v>0</v>
      </c>
      <c r="CD282" s="39" t="n">
        <f aca="false">IF(CD$4=0,0,IF(COUNTIFS(実績!$W$6:$W$505,CD$3,実績!$AI$6:$AI$505,"&lt;="&amp;$A282,実績!$AJ$6:$AJ$505,"&gt;"&amp;$A282,実績!$AK$6:$AK$505,"○")&gt;0,1,0))</f>
        <v>0</v>
      </c>
      <c r="CE282" s="39" t="n">
        <f aca="false">IF(CE$4=0,0,IF(COUNTIFS(実績!$W$6:$W$505,CE$3,実績!$AI$6:$AI$505,"&lt;="&amp;$A282,実績!$AJ$6:$AJ$505,"&gt;"&amp;$A282,実績!$AK$6:$AK$505,"○")&gt;0,1,0))</f>
        <v>0</v>
      </c>
      <c r="CF282" s="39" t="n">
        <f aca="false">IF(CF$4=0,0,IF(COUNTIFS(実績!$W$6:$W$505,CF$3,実績!$AI$6:$AI$505,"&lt;="&amp;$A282,実績!$AJ$6:$AJ$505,"&gt;"&amp;$A282,実績!$AK$6:$AK$505,"○")&gt;0,1,0))</f>
        <v>0</v>
      </c>
      <c r="CG282" s="39" t="n">
        <f aca="false">IF(CG$4=0,0,IF(COUNTIFS(実績!$W$6:$W$505,CG$3,実績!$AI$6:$AI$505,"&lt;="&amp;$A282,実績!$AJ$6:$AJ$505,"&gt;"&amp;$A282,実績!$AK$6:$AK$505,"○")&gt;0,1,0))</f>
        <v>0</v>
      </c>
      <c r="CH282" s="39" t="n">
        <f aca="false">IF(CH$4=0,0,IF(COUNTIFS(実績!$W$6:$W$505,CH$3,実績!$AI$6:$AI$505,"&lt;="&amp;$A282,実績!$AJ$6:$AJ$505,"&gt;"&amp;$A282,実績!$AK$6:$AK$505,"○")&gt;0,1,0))</f>
        <v>0</v>
      </c>
      <c r="CI282" s="39" t="n">
        <f aca="false">IF(CI$4=0,0,IF(COUNTIFS(実績!$W$6:$W$505,CI$3,実績!$AI$6:$AI$505,"&lt;="&amp;$A282,実績!$AJ$6:$AJ$505,"&gt;"&amp;$A282,実績!$AK$6:$AK$505,"○")&gt;0,1,0))</f>
        <v>0</v>
      </c>
      <c r="CJ282" s="39" t="n">
        <f aca="false">IF(CJ$4=0,0,IF(COUNTIFS(実績!$W$6:$W$505,CJ$3,実績!$AI$6:$AI$505,"&lt;="&amp;$A282,実績!$AJ$6:$AJ$505,"&gt;"&amp;$A282,実績!$AK$6:$AK$505,"○")&gt;0,1,0))</f>
        <v>0</v>
      </c>
      <c r="CK282" s="39" t="n">
        <f aca="false">IF(CK$4=0,0,IF(COUNTIFS(実績!$W$6:$W$505,CK$3,実績!$AI$6:$AI$505,"&lt;="&amp;$A282,実績!$AJ$6:$AJ$505,"&gt;"&amp;$A282,実績!$AK$6:$AK$505,"○")&gt;0,1,0))</f>
        <v>0</v>
      </c>
      <c r="CL282" s="39" t="n">
        <f aca="false">IF(CL$4=0,0,IF(COUNTIFS(実績!$W$6:$W$505,CL$3,実績!$AI$6:$AI$505,"&lt;="&amp;$A282,実績!$AJ$6:$AJ$505,"&gt;"&amp;$A282,実績!$AK$6:$AK$505,"○")&gt;0,1,0))</f>
        <v>0</v>
      </c>
      <c r="CM282" s="39" t="n">
        <f aca="false">IF(CM$4=0,0,IF(COUNTIFS(実績!$W$6:$W$505,CM$3,実績!$AI$6:$AI$505,"&lt;="&amp;$A282,実績!$AJ$6:$AJ$505,"&gt;"&amp;$A282,実績!$AK$6:$AK$505,"○")&gt;0,1,0))</f>
        <v>0</v>
      </c>
      <c r="CN282" s="39" t="n">
        <f aca="false">IF(CN$4=0,0,IF(COUNTIFS(実績!$W$6:$W$505,CN$3,実績!$AI$6:$AI$505,"&lt;="&amp;$A282,実績!$AJ$6:$AJ$505,"&gt;"&amp;$A282,実績!$AK$6:$AK$505,"○")&gt;0,1,0))</f>
        <v>0</v>
      </c>
      <c r="CO282" s="39" t="n">
        <f aca="false">IF(CO$4=0,0,IF(COUNTIFS(実績!$W$6:$W$505,CO$3,実績!$AI$6:$AI$505,"&lt;="&amp;$A282,実績!$AJ$6:$AJ$505,"&gt;"&amp;$A282,実績!$AK$6:$AK$505,"○")&gt;0,1,0))</f>
        <v>0</v>
      </c>
      <c r="CP282" s="39" t="n">
        <f aca="false">IF(CP$4=0,0,IF(COUNTIFS(実績!$W$6:$W$505,CP$3,実績!$AI$6:$AI$505,"&lt;="&amp;$A282,実績!$AJ$6:$AJ$505,"&gt;"&amp;$A282,実績!$AK$6:$AK$505,"○")&gt;0,1,0))</f>
        <v>0</v>
      </c>
      <c r="CQ282" s="39" t="n">
        <f aca="false">IF(CQ$4=0,0,IF(COUNTIFS(実績!$W$6:$W$505,CQ$3,実績!$AI$6:$AI$505,"&lt;="&amp;$A282,実績!$AJ$6:$AJ$505,"&gt;"&amp;$A282,実績!$AK$6:$AK$505,"○")&gt;0,1,0))</f>
        <v>0</v>
      </c>
      <c r="CR282" s="39" t="n">
        <f aca="false">IF(CR$4=0,0,IF(COUNTIFS(実績!$W$6:$W$505,CR$3,実績!$AI$6:$AI$505,"&lt;="&amp;$A282,実績!$AJ$6:$AJ$505,"&gt;"&amp;$A282,実績!$AK$6:$AK$505,"○")&gt;0,1,0))</f>
        <v>0</v>
      </c>
      <c r="CS282" s="39" t="n">
        <f aca="false">IF(CS$4=0,0,IF(COUNTIFS(実績!$W$6:$W$505,CS$3,実績!$AI$6:$AI$505,"&lt;="&amp;$A282,実績!$AJ$6:$AJ$505,"&gt;"&amp;$A282,実績!$AK$6:$AK$505,"○")&gt;0,1,0))</f>
        <v>0</v>
      </c>
      <c r="CT282" s="39" t="n">
        <f aca="false">IF(CT$4=0,0,IF(COUNTIFS(実績!$W$6:$W$505,CT$3,実績!$AI$6:$AI$505,"&lt;="&amp;$A282,実績!$AJ$6:$AJ$505,"&gt;"&amp;$A282,実績!$AK$6:$AK$505,"○")&gt;0,1,0))</f>
        <v>0</v>
      </c>
      <c r="CU282" s="39" t="n">
        <f aca="false">IF(CU$4=0,0,IF(COUNTIFS(実績!$W$6:$W$505,CU$3,実績!$AI$6:$AI$505,"&lt;="&amp;$A282,実績!$AJ$6:$AJ$505,"&gt;"&amp;$A282,実績!$AK$6:$AK$505,"○")&gt;0,1,0))</f>
        <v>0</v>
      </c>
      <c r="CV282" s="39" t="n">
        <f aca="false">IF(CV$4=0,0,IF(COUNTIFS(実績!$W$6:$W$505,CV$3,実績!$AI$6:$AI$505,"&lt;="&amp;$A282,実績!$AJ$6:$AJ$505,"&gt;"&amp;$A282,実績!$AK$6:$AK$505,"○")&gt;0,1,0))</f>
        <v>0</v>
      </c>
      <c r="CW282" s="39" t="n">
        <f aca="false">IF(CW$4=0,0,IF(COUNTIFS(実績!$W$6:$W$505,CW$3,実績!$AI$6:$AI$505,"&lt;="&amp;$A282,実績!$AJ$6:$AJ$505,"&gt;"&amp;$A282,実績!$AK$6:$AK$505,"○")&gt;0,1,0))</f>
        <v>0</v>
      </c>
      <c r="CX282" s="39" t="n">
        <f aca="false">IF(CX$4=0,0,IF(COUNTIFS(実績!$W$6:$W$505,CX$3,実績!$AI$6:$AI$505,"&lt;="&amp;$A282,実績!$AJ$6:$AJ$505,"&gt;"&amp;$A282,実績!$AK$6:$AK$505,"○")&gt;0,1,0))</f>
        <v>0</v>
      </c>
      <c r="CY282" s="39" t="n">
        <f aca="false">IF(CY$4=0,0,IF(COUNTIFS(実績!$W$6:$W$505,CY$3,実績!$AI$6:$AI$505,"&lt;="&amp;$A282,実績!$AJ$6:$AJ$505,"&gt;"&amp;$A282,実績!$AK$6:$AK$505,"○")&gt;0,1,0))</f>
        <v>0</v>
      </c>
      <c r="CZ282" s="39" t="n">
        <f aca="false">IF(CZ$4=0,0,IF(COUNTIFS(実績!$W$6:$W$505,CZ$3,実績!$AI$6:$AI$505,"&lt;="&amp;$A282,実績!$AJ$6:$AJ$505,"&gt;"&amp;$A282,実績!$AK$6:$AK$505,"○")&gt;0,1,0))</f>
        <v>0</v>
      </c>
      <c r="DA282" s="39" t="n">
        <f aca="false">IF(DA$4=0,0,IF(COUNTIFS(実績!$W$6:$W$505,DA$3,実績!$AI$6:$AI$505,"&lt;="&amp;$A282,実績!$AJ$6:$AJ$505,"&gt;"&amp;$A282,実績!$AK$6:$AK$505,"○")&gt;0,1,0))</f>
        <v>0</v>
      </c>
      <c r="DB282" s="39" t="n">
        <f aca="false">IF(DB$4=0,0,IF(COUNTIFS(実績!$W$6:$W$505,DB$3,実績!$AI$6:$AI$505,"&lt;="&amp;$A282,実績!$AJ$6:$AJ$505,"&gt;"&amp;$A282,実績!$AK$6:$AK$505,"○")&gt;0,1,0))</f>
        <v>0</v>
      </c>
      <c r="DC282" s="39" t="n">
        <f aca="false">IF(DC$4=0,0,IF(COUNTIFS(実績!$W$6:$W$505,DC$3,実績!$AI$6:$AI$505,"&lt;="&amp;$A282,実績!$AJ$6:$AJ$505,"&gt;"&amp;$A282,実績!$AK$6:$AK$505,"○")&gt;0,1,0))</f>
        <v>0</v>
      </c>
      <c r="DD282" s="39" t="n">
        <f aca="false">IF(DD$4=0,0,IF(COUNTIFS(実績!$W$6:$W$505,DD$3,実績!$AI$6:$AI$505,"&lt;="&amp;$A282,実績!$AJ$6:$AJ$505,"&gt;"&amp;$A282,実績!$AK$6:$AK$505,"○")&gt;0,1,0))</f>
        <v>0</v>
      </c>
      <c r="DE282" s="39" t="n">
        <f aca="false">IF(DE$4=0,0,IF(COUNTIFS(実績!$W$6:$W$505,DE$3,実績!$AI$6:$AI$505,"&lt;="&amp;$A282,実績!$AJ$6:$AJ$505,"&gt;"&amp;$A282,実績!$AK$6:$AK$505,"○")&gt;0,1,0))</f>
        <v>0</v>
      </c>
      <c r="DF282" s="39" t="n">
        <f aca="false">IF(DF$4=0,0,IF(COUNTIFS(実績!$W$6:$W$505,DF$3,実績!$AI$6:$AI$505,"&lt;="&amp;$A282,実績!$AJ$6:$AJ$505,"&gt;"&amp;$A282,実績!$AK$6:$AK$505,"○")&gt;0,1,0))</f>
        <v>0</v>
      </c>
      <c r="DG282" s="39" t="n">
        <f aca="false">IF(DG$4=0,0,IF(COUNTIFS(実績!$W$6:$W$505,DG$3,実績!$AI$6:$AI$505,"&lt;="&amp;$A282,実績!$AJ$6:$AJ$505,"&gt;"&amp;$A282,実績!$AK$6:$AK$505,"○")&gt;0,1,0))</f>
        <v>0</v>
      </c>
      <c r="DH282" s="39" t="n">
        <f aca="false">IF(DH$4=0,0,IF(COUNTIFS(実績!$W$6:$W$505,DH$3,実績!$AI$6:$AI$505,"&lt;="&amp;$A282,実績!$AJ$6:$AJ$505,"&gt;"&amp;$A282,実績!$AK$6:$AK$505,"○")&gt;0,1,0))</f>
        <v>0</v>
      </c>
      <c r="DI282" s="39" t="n">
        <f aca="false">IF(DI$4=0,0,IF(COUNTIFS(実績!$W$6:$W$505,DI$3,実績!$AI$6:$AI$505,"&lt;="&amp;$A282,実績!$AJ$6:$AJ$505,"&gt;"&amp;$A282,実績!$AK$6:$AK$505,"○")&gt;0,1,0))</f>
        <v>0</v>
      </c>
      <c r="DJ282" s="39" t="n">
        <f aca="false">IF(DJ$4=0,0,IF(COUNTIFS(実績!$W$6:$W$505,DJ$3,実績!$AI$6:$AI$505,"&lt;="&amp;$A282,実績!$AJ$6:$AJ$505,"&gt;"&amp;$A282,実績!$AK$6:$AK$505,"○")&gt;0,1,0))</f>
        <v>0</v>
      </c>
      <c r="DK282" s="39" t="n">
        <f aca="false">IF(DK$4=0,0,IF(COUNTIFS(実績!$W$6:$W$505,DK$3,実績!$AI$6:$AI$505,"&lt;="&amp;$A282,実績!$AJ$6:$AJ$505,"&gt;"&amp;$A282,実績!$AK$6:$AK$505,"○")&gt;0,1,0))</f>
        <v>0</v>
      </c>
      <c r="DL282" s="39" t="n">
        <f aca="false">IF(DL$4=0,0,IF(COUNTIFS(実績!$W$6:$W$505,DL$3,実績!$AI$6:$AI$505,"&lt;="&amp;$A282,実績!$AJ$6:$AJ$505,"&gt;"&amp;$A282,実績!$AK$6:$AK$505,"○")&gt;0,1,0))</f>
        <v>0</v>
      </c>
      <c r="DM282" s="39" t="n">
        <f aca="false">IF(DM$4=0,0,IF(COUNTIFS(実績!$W$6:$W$505,DM$3,実績!$AI$6:$AI$505,"&lt;="&amp;$A282,実績!$AJ$6:$AJ$505,"&gt;"&amp;$A282,実績!$AK$6:$AK$505,"○")&gt;0,1,0))</f>
        <v>0</v>
      </c>
      <c r="DN282" s="39" t="n">
        <f aca="false">IF(DN$4=0,0,IF(COUNTIFS(実績!$W$6:$W$505,DN$3,実績!$AI$6:$AI$505,"&lt;="&amp;$A282,実績!$AJ$6:$AJ$505,"&gt;"&amp;$A282,実績!$AK$6:$AK$505,"○")&gt;0,1,0))</f>
        <v>0</v>
      </c>
      <c r="DO282" s="39" t="n">
        <f aca="false">IF(DO$4=0,0,IF(COUNTIFS(実績!$W$6:$W$505,DO$3,実績!$AI$6:$AI$505,"&lt;="&amp;$A282,実績!$AJ$6:$AJ$505,"&gt;"&amp;$A282,実績!$AK$6:$AK$505,"○")&gt;0,1,0))</f>
        <v>0</v>
      </c>
      <c r="DP282" s="39" t="n">
        <f aca="false">IF(DP$4=0,0,IF(COUNTIFS(実績!$W$6:$W$505,DP$3,実績!$AI$6:$AI$505,"&lt;="&amp;$A282,実績!$AJ$6:$AJ$505,"&gt;"&amp;$A282,実績!$AK$6:$AK$505,"○")&gt;0,1,0))</f>
        <v>0</v>
      </c>
      <c r="DQ282" s="39" t="n">
        <f aca="false">IF(DQ$4=0,0,IF(COUNTIFS(実績!$W$6:$W$505,DQ$3,実績!$AI$6:$AI$505,"&lt;="&amp;$A282,実績!$AJ$6:$AJ$505,"&gt;"&amp;$A282,実績!$AK$6:$AK$505,"○")&gt;0,1,0))</f>
        <v>0</v>
      </c>
      <c r="DR282" s="39" t="n">
        <f aca="false">IF(DR$4=0,0,IF(COUNTIFS(実績!$W$6:$W$505,DR$3,実績!$AI$6:$AI$505,"&lt;="&amp;$A282,実績!$AJ$6:$AJ$505,"&gt;"&amp;$A282,実績!$AK$6:$AK$505,"○")&gt;0,1,0))</f>
        <v>0</v>
      </c>
      <c r="DS282" s="39" t="n">
        <f aca="false">SUM(C282:DR282)</f>
        <v>0</v>
      </c>
      <c r="DT282" s="39" t="n">
        <f aca="false">SUMPRODUCT((実績!$C$6:$C$505="○")*ISNUMBER(実績!$AM$6:$AM$505)*(実績!$AM$6:$AM$505&lt;=$A282)*(実績!$AN$6:$AN$505&gt;$A282))</f>
        <v>0</v>
      </c>
      <c r="DU282" s="39" t="n">
        <f aca="false">SUMIF($C$2:$DR$2,"製鉄曳船",C282:DR282)</f>
        <v>0</v>
      </c>
      <c r="DV282" s="39" t="n">
        <f aca="false">SUMIF($C$2:$DR$2,"西日本海運",C282:DR282)</f>
        <v>0</v>
      </c>
    </row>
    <row r="283" customFormat="false" ht="15" hidden="false" customHeight="false" outlineLevel="0" collapsed="false">
      <c r="A283" s="0" t="n">
        <v>1385</v>
      </c>
      <c r="B283" s="38" t="n">
        <f aca="false">A283/1440</f>
        <v>0.961805555555556</v>
      </c>
      <c r="C283" s="39" t="n">
        <f aca="false">IF(C$4=0,0,IF(COUNTIFS(実績!$W$6:$W$505,C$3,実績!$AI$6:$AI$505,"&lt;="&amp;$A283,実績!$AJ$6:$AJ$505,"&gt;"&amp;$A283,実績!$AK$6:$AK$505,"○")&gt;0,1,0))</f>
        <v>0</v>
      </c>
      <c r="D283" s="39" t="n">
        <f aca="false">IF(D$4=0,0,IF(COUNTIFS(実績!$W$6:$W$505,D$3,実績!$AI$6:$AI$505,"&lt;="&amp;$A283,実績!$AJ$6:$AJ$505,"&gt;"&amp;$A283,実績!$AK$6:$AK$505,"○")&gt;0,1,0))</f>
        <v>0</v>
      </c>
      <c r="E283" s="39" t="n">
        <f aca="false">IF(E$4=0,0,IF(COUNTIFS(実績!$W$6:$W$505,E$3,実績!$AI$6:$AI$505,"&lt;="&amp;$A283,実績!$AJ$6:$AJ$505,"&gt;"&amp;$A283,実績!$AK$6:$AK$505,"○")&gt;0,1,0))</f>
        <v>0</v>
      </c>
      <c r="F283" s="39" t="n">
        <f aca="false">IF(F$4=0,0,IF(COUNTIFS(実績!$W$6:$W$505,F$3,実績!$AI$6:$AI$505,"&lt;="&amp;$A283,実績!$AJ$6:$AJ$505,"&gt;"&amp;$A283,実績!$AK$6:$AK$505,"○")&gt;0,1,0))</f>
        <v>0</v>
      </c>
      <c r="G283" s="39" t="n">
        <f aca="false">IF(G$4=0,0,IF(COUNTIFS(実績!$W$6:$W$505,G$3,実績!$AI$6:$AI$505,"&lt;="&amp;$A283,実績!$AJ$6:$AJ$505,"&gt;"&amp;$A283,実績!$AK$6:$AK$505,"○")&gt;0,1,0))</f>
        <v>0</v>
      </c>
      <c r="H283" s="39" t="n">
        <f aca="false">IF(H$4=0,0,IF(COUNTIFS(実績!$W$6:$W$505,H$3,実績!$AI$6:$AI$505,"&lt;="&amp;$A283,実績!$AJ$6:$AJ$505,"&gt;"&amp;$A283,実績!$AK$6:$AK$505,"○")&gt;0,1,0))</f>
        <v>0</v>
      </c>
      <c r="I283" s="39" t="n">
        <f aca="false">IF(I$4=0,0,IF(COUNTIFS(実績!$W$6:$W$505,I$3,実績!$AI$6:$AI$505,"&lt;="&amp;$A283,実績!$AJ$6:$AJ$505,"&gt;"&amp;$A283,実績!$AK$6:$AK$505,"○")&gt;0,1,0))</f>
        <v>0</v>
      </c>
      <c r="J283" s="39" t="n">
        <f aca="false">IF(J$4=0,0,IF(COUNTIFS(実績!$W$6:$W$505,J$3,実績!$AI$6:$AI$505,"&lt;="&amp;$A283,実績!$AJ$6:$AJ$505,"&gt;"&amp;$A283,実績!$AK$6:$AK$505,"○")&gt;0,1,0))</f>
        <v>0</v>
      </c>
      <c r="K283" s="39" t="n">
        <f aca="false">IF(K$4=0,0,IF(COUNTIFS(実績!$W$6:$W$505,K$3,実績!$AI$6:$AI$505,"&lt;="&amp;$A283,実績!$AJ$6:$AJ$505,"&gt;"&amp;$A283,実績!$AK$6:$AK$505,"○")&gt;0,1,0))</f>
        <v>0</v>
      </c>
      <c r="L283" s="39" t="n">
        <f aca="false">IF(L$4=0,0,IF(COUNTIFS(実績!$W$6:$W$505,L$3,実績!$AI$6:$AI$505,"&lt;="&amp;$A283,実績!$AJ$6:$AJ$505,"&gt;"&amp;$A283,実績!$AK$6:$AK$505,"○")&gt;0,1,0))</f>
        <v>0</v>
      </c>
      <c r="M283" s="39" t="n">
        <f aca="false">IF(M$4=0,0,IF(COUNTIFS(実績!$W$6:$W$505,M$3,実績!$AI$6:$AI$505,"&lt;="&amp;$A283,実績!$AJ$6:$AJ$505,"&gt;"&amp;$A283,実績!$AK$6:$AK$505,"○")&gt;0,1,0))</f>
        <v>0</v>
      </c>
      <c r="N283" s="39" t="n">
        <f aca="false">IF(N$4=0,0,IF(COUNTIFS(実績!$W$6:$W$505,N$3,実績!$AI$6:$AI$505,"&lt;="&amp;$A283,実績!$AJ$6:$AJ$505,"&gt;"&amp;$A283,実績!$AK$6:$AK$505,"○")&gt;0,1,0))</f>
        <v>0</v>
      </c>
      <c r="O283" s="39" t="n">
        <f aca="false">IF(O$4=0,0,IF(COUNTIFS(実績!$W$6:$W$505,O$3,実績!$AI$6:$AI$505,"&lt;="&amp;$A283,実績!$AJ$6:$AJ$505,"&gt;"&amp;$A283,実績!$AK$6:$AK$505,"○")&gt;0,1,0))</f>
        <v>0</v>
      </c>
      <c r="P283" s="39" t="n">
        <f aca="false">IF(P$4=0,0,IF(COUNTIFS(実績!$W$6:$W$505,P$3,実績!$AI$6:$AI$505,"&lt;="&amp;$A283,実績!$AJ$6:$AJ$505,"&gt;"&amp;$A283,実績!$AK$6:$AK$505,"○")&gt;0,1,0))</f>
        <v>0</v>
      </c>
      <c r="Q283" s="39" t="n">
        <f aca="false">IF(Q$4=0,0,IF(COUNTIFS(実績!$W$6:$W$505,Q$3,実績!$AI$6:$AI$505,"&lt;="&amp;$A283,実績!$AJ$6:$AJ$505,"&gt;"&amp;$A283,実績!$AK$6:$AK$505,"○")&gt;0,1,0))</f>
        <v>0</v>
      </c>
      <c r="R283" s="39" t="n">
        <f aca="false">IF(R$4=0,0,IF(COUNTIFS(実績!$W$6:$W$505,R$3,実績!$AI$6:$AI$505,"&lt;="&amp;$A283,実績!$AJ$6:$AJ$505,"&gt;"&amp;$A283,実績!$AK$6:$AK$505,"○")&gt;0,1,0))</f>
        <v>0</v>
      </c>
      <c r="S283" s="39" t="n">
        <f aca="false">IF(S$4=0,0,IF(COUNTIFS(実績!$W$6:$W$505,S$3,実績!$AI$6:$AI$505,"&lt;="&amp;$A283,実績!$AJ$6:$AJ$505,"&gt;"&amp;$A283,実績!$AK$6:$AK$505,"○")&gt;0,1,0))</f>
        <v>0</v>
      </c>
      <c r="T283" s="39" t="n">
        <f aca="false">IF(T$4=0,0,IF(COUNTIFS(実績!$W$6:$W$505,T$3,実績!$AI$6:$AI$505,"&lt;="&amp;$A283,実績!$AJ$6:$AJ$505,"&gt;"&amp;$A283,実績!$AK$6:$AK$505,"○")&gt;0,1,0))</f>
        <v>0</v>
      </c>
      <c r="U283" s="39" t="n">
        <f aca="false">IF(U$4=0,0,IF(COUNTIFS(実績!$W$6:$W$505,U$3,実績!$AI$6:$AI$505,"&lt;="&amp;$A283,実績!$AJ$6:$AJ$505,"&gt;"&amp;$A283,実績!$AK$6:$AK$505,"○")&gt;0,1,0))</f>
        <v>0</v>
      </c>
      <c r="V283" s="39" t="n">
        <f aca="false">IF(V$4=0,0,IF(COUNTIFS(実績!$W$6:$W$505,V$3,実績!$AI$6:$AI$505,"&lt;="&amp;$A283,実績!$AJ$6:$AJ$505,"&gt;"&amp;$A283,実績!$AK$6:$AK$505,"○")&gt;0,1,0))</f>
        <v>0</v>
      </c>
      <c r="W283" s="39" t="n">
        <f aca="false">IF(W$4=0,0,IF(COUNTIFS(実績!$W$6:$W$505,W$3,実績!$AI$6:$AI$505,"&lt;="&amp;$A283,実績!$AJ$6:$AJ$505,"&gt;"&amp;$A283,実績!$AK$6:$AK$505,"○")&gt;0,1,0))</f>
        <v>0</v>
      </c>
      <c r="X283" s="39" t="n">
        <f aca="false">IF(X$4=0,0,IF(COUNTIFS(実績!$W$6:$W$505,X$3,実績!$AI$6:$AI$505,"&lt;="&amp;$A283,実績!$AJ$6:$AJ$505,"&gt;"&amp;$A283,実績!$AK$6:$AK$505,"○")&gt;0,1,0))</f>
        <v>0</v>
      </c>
      <c r="Y283" s="39" t="n">
        <f aca="false">IF(Y$4=0,0,IF(COUNTIFS(実績!$W$6:$W$505,Y$3,実績!$AI$6:$AI$505,"&lt;="&amp;$A283,実績!$AJ$6:$AJ$505,"&gt;"&amp;$A283,実績!$AK$6:$AK$505,"○")&gt;0,1,0))</f>
        <v>0</v>
      </c>
      <c r="Z283" s="39" t="n">
        <f aca="false">IF(Z$4=0,0,IF(COUNTIFS(実績!$W$6:$W$505,Z$3,実績!$AI$6:$AI$505,"&lt;="&amp;$A283,実績!$AJ$6:$AJ$505,"&gt;"&amp;$A283,実績!$AK$6:$AK$505,"○")&gt;0,1,0))</f>
        <v>0</v>
      </c>
      <c r="AA283" s="39" t="n">
        <f aca="false">IF(AA$4=0,0,IF(COUNTIFS(実績!$W$6:$W$505,AA$3,実績!$AI$6:$AI$505,"&lt;="&amp;$A283,実績!$AJ$6:$AJ$505,"&gt;"&amp;$A283,実績!$AK$6:$AK$505,"○")&gt;0,1,0))</f>
        <v>0</v>
      </c>
      <c r="AB283" s="39" t="n">
        <f aca="false">IF(AB$4=0,0,IF(COUNTIFS(実績!$W$6:$W$505,AB$3,実績!$AI$6:$AI$505,"&lt;="&amp;$A283,実績!$AJ$6:$AJ$505,"&gt;"&amp;$A283,実績!$AK$6:$AK$505,"○")&gt;0,1,0))</f>
        <v>0</v>
      </c>
      <c r="AC283" s="39" t="n">
        <f aca="false">IF(AC$4=0,0,IF(COUNTIFS(実績!$W$6:$W$505,AC$3,実績!$AI$6:$AI$505,"&lt;="&amp;$A283,実績!$AJ$6:$AJ$505,"&gt;"&amp;$A283,実績!$AK$6:$AK$505,"○")&gt;0,1,0))</f>
        <v>0</v>
      </c>
      <c r="AD283" s="39" t="n">
        <f aca="false">IF(AD$4=0,0,IF(COUNTIFS(実績!$W$6:$W$505,AD$3,実績!$AI$6:$AI$505,"&lt;="&amp;$A283,実績!$AJ$6:$AJ$505,"&gt;"&amp;$A283,実績!$AK$6:$AK$505,"○")&gt;0,1,0))</f>
        <v>0</v>
      </c>
      <c r="AE283" s="39" t="n">
        <f aca="false">IF(AE$4=0,0,IF(COUNTIFS(実績!$W$6:$W$505,AE$3,実績!$AI$6:$AI$505,"&lt;="&amp;$A283,実績!$AJ$6:$AJ$505,"&gt;"&amp;$A283,実績!$AK$6:$AK$505,"○")&gt;0,1,0))</f>
        <v>0</v>
      </c>
      <c r="AF283" s="39" t="n">
        <f aca="false">IF(AF$4=0,0,IF(COUNTIFS(実績!$W$6:$W$505,AF$3,実績!$AI$6:$AI$505,"&lt;="&amp;$A283,実績!$AJ$6:$AJ$505,"&gt;"&amp;$A283,実績!$AK$6:$AK$505,"○")&gt;0,1,0))</f>
        <v>0</v>
      </c>
      <c r="AG283" s="39" t="n">
        <f aca="false">IF(AG$4=0,0,IF(COUNTIFS(実績!$W$6:$W$505,AG$3,実績!$AI$6:$AI$505,"&lt;="&amp;$A283,実績!$AJ$6:$AJ$505,"&gt;"&amp;$A283,実績!$AK$6:$AK$505,"○")&gt;0,1,0))</f>
        <v>0</v>
      </c>
      <c r="AH283" s="39" t="n">
        <f aca="false">IF(AH$4=0,0,IF(COUNTIFS(実績!$W$6:$W$505,AH$3,実績!$AI$6:$AI$505,"&lt;="&amp;$A283,実績!$AJ$6:$AJ$505,"&gt;"&amp;$A283,実績!$AK$6:$AK$505,"○")&gt;0,1,0))</f>
        <v>0</v>
      </c>
      <c r="AI283" s="39" t="n">
        <f aca="false">IF(AI$4=0,0,IF(COUNTIFS(実績!$W$6:$W$505,AI$3,実績!$AI$6:$AI$505,"&lt;="&amp;$A283,実績!$AJ$6:$AJ$505,"&gt;"&amp;$A283,実績!$AK$6:$AK$505,"○")&gt;0,1,0))</f>
        <v>0</v>
      </c>
      <c r="AJ283" s="39" t="n">
        <f aca="false">IF(AJ$4=0,0,IF(COUNTIFS(実績!$W$6:$W$505,AJ$3,実績!$AI$6:$AI$505,"&lt;="&amp;$A283,実績!$AJ$6:$AJ$505,"&gt;"&amp;$A283,実績!$AK$6:$AK$505,"○")&gt;0,1,0))</f>
        <v>0</v>
      </c>
      <c r="AK283" s="39" t="n">
        <f aca="false">IF(AK$4=0,0,IF(COUNTIFS(実績!$W$6:$W$505,AK$3,実績!$AI$6:$AI$505,"&lt;="&amp;$A283,実績!$AJ$6:$AJ$505,"&gt;"&amp;$A283,実績!$AK$6:$AK$505,"○")&gt;0,1,0))</f>
        <v>0</v>
      </c>
      <c r="AL283" s="39" t="n">
        <f aca="false">IF(AL$4=0,0,IF(COUNTIFS(実績!$W$6:$W$505,AL$3,実績!$AI$6:$AI$505,"&lt;="&amp;$A283,実績!$AJ$6:$AJ$505,"&gt;"&amp;$A283,実績!$AK$6:$AK$505,"○")&gt;0,1,0))</f>
        <v>0</v>
      </c>
      <c r="AM283" s="39" t="n">
        <f aca="false">IF(AM$4=0,0,IF(COUNTIFS(実績!$W$6:$W$505,AM$3,実績!$AI$6:$AI$505,"&lt;="&amp;$A283,実績!$AJ$6:$AJ$505,"&gt;"&amp;$A283,実績!$AK$6:$AK$505,"○")&gt;0,1,0))</f>
        <v>0</v>
      </c>
      <c r="AN283" s="39" t="n">
        <f aca="false">IF(AN$4=0,0,IF(COUNTIFS(実績!$W$6:$W$505,AN$3,実績!$AI$6:$AI$505,"&lt;="&amp;$A283,実績!$AJ$6:$AJ$505,"&gt;"&amp;$A283,実績!$AK$6:$AK$505,"○")&gt;0,1,0))</f>
        <v>0</v>
      </c>
      <c r="AO283" s="39" t="n">
        <f aca="false">IF(AO$4=0,0,IF(COUNTIFS(実績!$W$6:$W$505,AO$3,実績!$AI$6:$AI$505,"&lt;="&amp;$A283,実績!$AJ$6:$AJ$505,"&gt;"&amp;$A283,実績!$AK$6:$AK$505,"○")&gt;0,1,0))</f>
        <v>0</v>
      </c>
      <c r="AP283" s="39" t="n">
        <f aca="false">IF(AP$4=0,0,IF(COUNTIFS(実績!$W$6:$W$505,AP$3,実績!$AI$6:$AI$505,"&lt;="&amp;$A283,実績!$AJ$6:$AJ$505,"&gt;"&amp;$A283,実績!$AK$6:$AK$505,"○")&gt;0,1,0))</f>
        <v>0</v>
      </c>
      <c r="AQ283" s="39" t="n">
        <f aca="false">IF(AQ$4=0,0,IF(COUNTIFS(実績!$W$6:$W$505,AQ$3,実績!$AI$6:$AI$505,"&lt;="&amp;$A283,実績!$AJ$6:$AJ$505,"&gt;"&amp;$A283,実績!$AK$6:$AK$505,"○")&gt;0,1,0))</f>
        <v>0</v>
      </c>
      <c r="AR283" s="39" t="n">
        <f aca="false">IF(AR$4=0,0,IF(COUNTIFS(実績!$W$6:$W$505,AR$3,実績!$AI$6:$AI$505,"&lt;="&amp;$A283,実績!$AJ$6:$AJ$505,"&gt;"&amp;$A283,実績!$AK$6:$AK$505,"○")&gt;0,1,0))</f>
        <v>0</v>
      </c>
      <c r="AS283" s="39" t="n">
        <f aca="false">IF(AS$4=0,0,IF(COUNTIFS(実績!$W$6:$W$505,AS$3,実績!$AI$6:$AI$505,"&lt;="&amp;$A283,実績!$AJ$6:$AJ$505,"&gt;"&amp;$A283,実績!$AK$6:$AK$505,"○")&gt;0,1,0))</f>
        <v>0</v>
      </c>
      <c r="AT283" s="39" t="n">
        <f aca="false">IF(AT$4=0,0,IF(COUNTIFS(実績!$W$6:$W$505,AT$3,実績!$AI$6:$AI$505,"&lt;="&amp;$A283,実績!$AJ$6:$AJ$505,"&gt;"&amp;$A283,実績!$AK$6:$AK$505,"○")&gt;0,1,0))</f>
        <v>0</v>
      </c>
      <c r="AU283" s="39" t="n">
        <f aca="false">IF(AU$4=0,0,IF(COUNTIFS(実績!$W$6:$W$505,AU$3,実績!$AI$6:$AI$505,"&lt;="&amp;$A283,実績!$AJ$6:$AJ$505,"&gt;"&amp;$A283,実績!$AK$6:$AK$505,"○")&gt;0,1,0))</f>
        <v>0</v>
      </c>
      <c r="AV283" s="39" t="n">
        <f aca="false">IF(AV$4=0,0,IF(COUNTIFS(実績!$W$6:$W$505,AV$3,実績!$AI$6:$AI$505,"&lt;="&amp;$A283,実績!$AJ$6:$AJ$505,"&gt;"&amp;$A283,実績!$AK$6:$AK$505,"○")&gt;0,1,0))</f>
        <v>0</v>
      </c>
      <c r="AW283" s="39" t="n">
        <f aca="false">IF(AW$4=0,0,IF(COUNTIFS(実績!$W$6:$W$505,AW$3,実績!$AI$6:$AI$505,"&lt;="&amp;$A283,実績!$AJ$6:$AJ$505,"&gt;"&amp;$A283,実績!$AK$6:$AK$505,"○")&gt;0,1,0))</f>
        <v>0</v>
      </c>
      <c r="AX283" s="39" t="n">
        <f aca="false">IF(AX$4=0,0,IF(COUNTIFS(実績!$W$6:$W$505,AX$3,実績!$AI$6:$AI$505,"&lt;="&amp;$A283,実績!$AJ$6:$AJ$505,"&gt;"&amp;$A283,実績!$AK$6:$AK$505,"○")&gt;0,1,0))</f>
        <v>0</v>
      </c>
      <c r="AY283" s="39" t="n">
        <f aca="false">IF(AY$4=0,0,IF(COUNTIFS(実績!$W$6:$W$505,AY$3,実績!$AI$6:$AI$505,"&lt;="&amp;$A283,実績!$AJ$6:$AJ$505,"&gt;"&amp;$A283,実績!$AK$6:$AK$505,"○")&gt;0,1,0))</f>
        <v>0</v>
      </c>
      <c r="AZ283" s="39" t="n">
        <f aca="false">IF(AZ$4=0,0,IF(COUNTIFS(実績!$W$6:$W$505,AZ$3,実績!$AI$6:$AI$505,"&lt;="&amp;$A283,実績!$AJ$6:$AJ$505,"&gt;"&amp;$A283,実績!$AK$6:$AK$505,"○")&gt;0,1,0))</f>
        <v>0</v>
      </c>
      <c r="BA283" s="39" t="n">
        <f aca="false">IF(BA$4=0,0,IF(COUNTIFS(実績!$W$6:$W$505,BA$3,実績!$AI$6:$AI$505,"&lt;="&amp;$A283,実績!$AJ$6:$AJ$505,"&gt;"&amp;$A283,実績!$AK$6:$AK$505,"○")&gt;0,1,0))</f>
        <v>0</v>
      </c>
      <c r="BB283" s="39" t="n">
        <f aca="false">IF(BB$4=0,0,IF(COUNTIFS(実績!$W$6:$W$505,BB$3,実績!$AI$6:$AI$505,"&lt;="&amp;$A283,実績!$AJ$6:$AJ$505,"&gt;"&amp;$A283,実績!$AK$6:$AK$505,"○")&gt;0,1,0))</f>
        <v>0</v>
      </c>
      <c r="BC283" s="39" t="n">
        <f aca="false">IF(BC$4=0,0,IF(COUNTIFS(実績!$W$6:$W$505,BC$3,実績!$AI$6:$AI$505,"&lt;="&amp;$A283,実績!$AJ$6:$AJ$505,"&gt;"&amp;$A283,実績!$AK$6:$AK$505,"○")&gt;0,1,0))</f>
        <v>0</v>
      </c>
      <c r="BD283" s="39" t="n">
        <f aca="false">IF(BD$4=0,0,IF(COUNTIFS(実績!$W$6:$W$505,BD$3,実績!$AI$6:$AI$505,"&lt;="&amp;$A283,実績!$AJ$6:$AJ$505,"&gt;"&amp;$A283,実績!$AK$6:$AK$505,"○")&gt;0,1,0))</f>
        <v>0</v>
      </c>
      <c r="BE283" s="39" t="n">
        <f aca="false">IF(BE$4=0,0,IF(COUNTIFS(実績!$W$6:$W$505,BE$3,実績!$AI$6:$AI$505,"&lt;="&amp;$A283,実績!$AJ$6:$AJ$505,"&gt;"&amp;$A283,実績!$AK$6:$AK$505,"○")&gt;0,1,0))</f>
        <v>0</v>
      </c>
      <c r="BF283" s="39" t="n">
        <f aca="false">IF(BF$4=0,0,IF(COUNTIFS(実績!$W$6:$W$505,BF$3,実績!$AI$6:$AI$505,"&lt;="&amp;$A283,実績!$AJ$6:$AJ$505,"&gt;"&amp;$A283,実績!$AK$6:$AK$505,"○")&gt;0,1,0))</f>
        <v>0</v>
      </c>
      <c r="BG283" s="39" t="n">
        <f aca="false">IF(BG$4=0,0,IF(COUNTIFS(実績!$W$6:$W$505,BG$3,実績!$AI$6:$AI$505,"&lt;="&amp;$A283,実績!$AJ$6:$AJ$505,"&gt;"&amp;$A283,実績!$AK$6:$AK$505,"○")&gt;0,1,0))</f>
        <v>0</v>
      </c>
      <c r="BH283" s="39" t="n">
        <f aca="false">IF(BH$4=0,0,IF(COUNTIFS(実績!$W$6:$W$505,BH$3,実績!$AI$6:$AI$505,"&lt;="&amp;$A283,実績!$AJ$6:$AJ$505,"&gt;"&amp;$A283,実績!$AK$6:$AK$505,"○")&gt;0,1,0))</f>
        <v>0</v>
      </c>
      <c r="BI283" s="39" t="n">
        <f aca="false">IF(BI$4=0,0,IF(COUNTIFS(実績!$W$6:$W$505,BI$3,実績!$AI$6:$AI$505,"&lt;="&amp;$A283,実績!$AJ$6:$AJ$505,"&gt;"&amp;$A283,実績!$AK$6:$AK$505,"○")&gt;0,1,0))</f>
        <v>0</v>
      </c>
      <c r="BJ283" s="39" t="n">
        <f aca="false">IF(BJ$4=0,0,IF(COUNTIFS(実績!$W$6:$W$505,BJ$3,実績!$AI$6:$AI$505,"&lt;="&amp;$A283,実績!$AJ$6:$AJ$505,"&gt;"&amp;$A283,実績!$AK$6:$AK$505,"○")&gt;0,1,0))</f>
        <v>0</v>
      </c>
      <c r="BK283" s="39" t="n">
        <f aca="false">IF(BK$4=0,0,IF(COUNTIFS(実績!$W$6:$W$505,BK$3,実績!$AI$6:$AI$505,"&lt;="&amp;$A283,実績!$AJ$6:$AJ$505,"&gt;"&amp;$A283,実績!$AK$6:$AK$505,"○")&gt;0,1,0))</f>
        <v>0</v>
      </c>
      <c r="BL283" s="39" t="n">
        <f aca="false">IF(BL$4=0,0,IF(COUNTIFS(実績!$W$6:$W$505,BL$3,実績!$AI$6:$AI$505,"&lt;="&amp;$A283,実績!$AJ$6:$AJ$505,"&gt;"&amp;$A283,実績!$AK$6:$AK$505,"○")&gt;0,1,0))</f>
        <v>0</v>
      </c>
      <c r="BM283" s="39" t="n">
        <f aca="false">IF(BM$4=0,0,IF(COUNTIFS(実績!$W$6:$W$505,BM$3,実績!$AI$6:$AI$505,"&lt;="&amp;$A283,実績!$AJ$6:$AJ$505,"&gt;"&amp;$A283,実績!$AK$6:$AK$505,"○")&gt;0,1,0))</f>
        <v>0</v>
      </c>
      <c r="BN283" s="39" t="n">
        <f aca="false">IF(BN$4=0,0,IF(COUNTIFS(実績!$W$6:$W$505,BN$3,実績!$AI$6:$AI$505,"&lt;="&amp;$A283,実績!$AJ$6:$AJ$505,"&gt;"&amp;$A283,実績!$AK$6:$AK$505,"○")&gt;0,1,0))</f>
        <v>0</v>
      </c>
      <c r="BO283" s="39" t="n">
        <f aca="false">IF(BO$4=0,0,IF(COUNTIFS(実績!$W$6:$W$505,BO$3,実績!$AI$6:$AI$505,"&lt;="&amp;$A283,実績!$AJ$6:$AJ$505,"&gt;"&amp;$A283,実績!$AK$6:$AK$505,"○")&gt;0,1,0))</f>
        <v>0</v>
      </c>
      <c r="BP283" s="39" t="n">
        <f aca="false">IF(BP$4=0,0,IF(COUNTIFS(実績!$W$6:$W$505,BP$3,実績!$AI$6:$AI$505,"&lt;="&amp;$A283,実績!$AJ$6:$AJ$505,"&gt;"&amp;$A283,実績!$AK$6:$AK$505,"○")&gt;0,1,0))</f>
        <v>0</v>
      </c>
      <c r="BQ283" s="39" t="n">
        <f aca="false">IF(BQ$4=0,0,IF(COUNTIFS(実績!$W$6:$W$505,BQ$3,実績!$AI$6:$AI$505,"&lt;="&amp;$A283,実績!$AJ$6:$AJ$505,"&gt;"&amp;$A283,実績!$AK$6:$AK$505,"○")&gt;0,1,0))</f>
        <v>0</v>
      </c>
      <c r="BR283" s="39" t="n">
        <f aca="false">IF(BR$4=0,0,IF(COUNTIFS(実績!$W$6:$W$505,BR$3,実績!$AI$6:$AI$505,"&lt;="&amp;$A283,実績!$AJ$6:$AJ$505,"&gt;"&amp;$A283,実績!$AK$6:$AK$505,"○")&gt;0,1,0))</f>
        <v>0</v>
      </c>
      <c r="BS283" s="39" t="n">
        <f aca="false">IF(BS$4=0,0,IF(COUNTIFS(実績!$W$6:$W$505,BS$3,実績!$AI$6:$AI$505,"&lt;="&amp;$A283,実績!$AJ$6:$AJ$505,"&gt;"&amp;$A283,実績!$AK$6:$AK$505,"○")&gt;0,1,0))</f>
        <v>0</v>
      </c>
      <c r="BT283" s="39" t="n">
        <f aca="false">IF(BT$4=0,0,IF(COUNTIFS(実績!$W$6:$W$505,BT$3,実績!$AI$6:$AI$505,"&lt;="&amp;$A283,実績!$AJ$6:$AJ$505,"&gt;"&amp;$A283,実績!$AK$6:$AK$505,"○")&gt;0,1,0))</f>
        <v>0</v>
      </c>
      <c r="BU283" s="39" t="n">
        <f aca="false">IF(BU$4=0,0,IF(COUNTIFS(実績!$W$6:$W$505,BU$3,実績!$AI$6:$AI$505,"&lt;="&amp;$A283,実績!$AJ$6:$AJ$505,"&gt;"&amp;$A283,実績!$AK$6:$AK$505,"○")&gt;0,1,0))</f>
        <v>0</v>
      </c>
      <c r="BV283" s="39" t="n">
        <f aca="false">IF(BV$4=0,0,IF(COUNTIFS(実績!$W$6:$W$505,BV$3,実績!$AI$6:$AI$505,"&lt;="&amp;$A283,実績!$AJ$6:$AJ$505,"&gt;"&amp;$A283,実績!$AK$6:$AK$505,"○")&gt;0,1,0))</f>
        <v>0</v>
      </c>
      <c r="BW283" s="39" t="n">
        <f aca="false">IF(BW$4=0,0,IF(COUNTIFS(実績!$W$6:$W$505,BW$3,実績!$AI$6:$AI$505,"&lt;="&amp;$A283,実績!$AJ$6:$AJ$505,"&gt;"&amp;$A283,実績!$AK$6:$AK$505,"○")&gt;0,1,0))</f>
        <v>0</v>
      </c>
      <c r="BX283" s="39" t="n">
        <f aca="false">IF(BX$4=0,0,IF(COUNTIFS(実績!$W$6:$W$505,BX$3,実績!$AI$6:$AI$505,"&lt;="&amp;$A283,実績!$AJ$6:$AJ$505,"&gt;"&amp;$A283,実績!$AK$6:$AK$505,"○")&gt;0,1,0))</f>
        <v>0</v>
      </c>
      <c r="BY283" s="39" t="n">
        <f aca="false">IF(BY$4=0,0,IF(COUNTIFS(実績!$W$6:$W$505,BY$3,実績!$AI$6:$AI$505,"&lt;="&amp;$A283,実績!$AJ$6:$AJ$505,"&gt;"&amp;$A283,実績!$AK$6:$AK$505,"○")&gt;0,1,0))</f>
        <v>0</v>
      </c>
      <c r="BZ283" s="39" t="n">
        <f aca="false">IF(BZ$4=0,0,IF(COUNTIFS(実績!$W$6:$W$505,BZ$3,実績!$AI$6:$AI$505,"&lt;="&amp;$A283,実績!$AJ$6:$AJ$505,"&gt;"&amp;$A283,実績!$AK$6:$AK$505,"○")&gt;0,1,0))</f>
        <v>0</v>
      </c>
      <c r="CA283" s="39" t="n">
        <f aca="false">IF(CA$4=0,0,IF(COUNTIFS(実績!$W$6:$W$505,CA$3,実績!$AI$6:$AI$505,"&lt;="&amp;$A283,実績!$AJ$6:$AJ$505,"&gt;"&amp;$A283,実績!$AK$6:$AK$505,"○")&gt;0,1,0))</f>
        <v>0</v>
      </c>
      <c r="CB283" s="39" t="n">
        <f aca="false">IF(CB$4=0,0,IF(COUNTIFS(実績!$W$6:$W$505,CB$3,実績!$AI$6:$AI$505,"&lt;="&amp;$A283,実績!$AJ$6:$AJ$505,"&gt;"&amp;$A283,実績!$AK$6:$AK$505,"○")&gt;0,1,0))</f>
        <v>0</v>
      </c>
      <c r="CC283" s="39" t="n">
        <f aca="false">IF(CC$4=0,0,IF(COUNTIFS(実績!$W$6:$W$505,CC$3,実績!$AI$6:$AI$505,"&lt;="&amp;$A283,実績!$AJ$6:$AJ$505,"&gt;"&amp;$A283,実績!$AK$6:$AK$505,"○")&gt;0,1,0))</f>
        <v>0</v>
      </c>
      <c r="CD283" s="39" t="n">
        <f aca="false">IF(CD$4=0,0,IF(COUNTIFS(実績!$W$6:$W$505,CD$3,実績!$AI$6:$AI$505,"&lt;="&amp;$A283,実績!$AJ$6:$AJ$505,"&gt;"&amp;$A283,実績!$AK$6:$AK$505,"○")&gt;0,1,0))</f>
        <v>0</v>
      </c>
      <c r="CE283" s="39" t="n">
        <f aca="false">IF(CE$4=0,0,IF(COUNTIFS(実績!$W$6:$W$505,CE$3,実績!$AI$6:$AI$505,"&lt;="&amp;$A283,実績!$AJ$6:$AJ$505,"&gt;"&amp;$A283,実績!$AK$6:$AK$505,"○")&gt;0,1,0))</f>
        <v>0</v>
      </c>
      <c r="CF283" s="39" t="n">
        <f aca="false">IF(CF$4=0,0,IF(COUNTIFS(実績!$W$6:$W$505,CF$3,実績!$AI$6:$AI$505,"&lt;="&amp;$A283,実績!$AJ$6:$AJ$505,"&gt;"&amp;$A283,実績!$AK$6:$AK$505,"○")&gt;0,1,0))</f>
        <v>0</v>
      </c>
      <c r="CG283" s="39" t="n">
        <f aca="false">IF(CG$4=0,0,IF(COUNTIFS(実績!$W$6:$W$505,CG$3,実績!$AI$6:$AI$505,"&lt;="&amp;$A283,実績!$AJ$6:$AJ$505,"&gt;"&amp;$A283,実績!$AK$6:$AK$505,"○")&gt;0,1,0))</f>
        <v>0</v>
      </c>
      <c r="CH283" s="39" t="n">
        <f aca="false">IF(CH$4=0,0,IF(COUNTIFS(実績!$W$6:$W$505,CH$3,実績!$AI$6:$AI$505,"&lt;="&amp;$A283,実績!$AJ$6:$AJ$505,"&gt;"&amp;$A283,実績!$AK$6:$AK$505,"○")&gt;0,1,0))</f>
        <v>0</v>
      </c>
      <c r="CI283" s="39" t="n">
        <f aca="false">IF(CI$4=0,0,IF(COUNTIFS(実績!$W$6:$W$505,CI$3,実績!$AI$6:$AI$505,"&lt;="&amp;$A283,実績!$AJ$6:$AJ$505,"&gt;"&amp;$A283,実績!$AK$6:$AK$505,"○")&gt;0,1,0))</f>
        <v>0</v>
      </c>
      <c r="CJ283" s="39" t="n">
        <f aca="false">IF(CJ$4=0,0,IF(COUNTIFS(実績!$W$6:$W$505,CJ$3,実績!$AI$6:$AI$505,"&lt;="&amp;$A283,実績!$AJ$6:$AJ$505,"&gt;"&amp;$A283,実績!$AK$6:$AK$505,"○")&gt;0,1,0))</f>
        <v>0</v>
      </c>
      <c r="CK283" s="39" t="n">
        <f aca="false">IF(CK$4=0,0,IF(COUNTIFS(実績!$W$6:$W$505,CK$3,実績!$AI$6:$AI$505,"&lt;="&amp;$A283,実績!$AJ$6:$AJ$505,"&gt;"&amp;$A283,実績!$AK$6:$AK$505,"○")&gt;0,1,0))</f>
        <v>0</v>
      </c>
      <c r="CL283" s="39" t="n">
        <f aca="false">IF(CL$4=0,0,IF(COUNTIFS(実績!$W$6:$W$505,CL$3,実績!$AI$6:$AI$505,"&lt;="&amp;$A283,実績!$AJ$6:$AJ$505,"&gt;"&amp;$A283,実績!$AK$6:$AK$505,"○")&gt;0,1,0))</f>
        <v>0</v>
      </c>
      <c r="CM283" s="39" t="n">
        <f aca="false">IF(CM$4=0,0,IF(COUNTIFS(実績!$W$6:$W$505,CM$3,実績!$AI$6:$AI$505,"&lt;="&amp;$A283,実績!$AJ$6:$AJ$505,"&gt;"&amp;$A283,実績!$AK$6:$AK$505,"○")&gt;0,1,0))</f>
        <v>0</v>
      </c>
      <c r="CN283" s="39" t="n">
        <f aca="false">IF(CN$4=0,0,IF(COUNTIFS(実績!$W$6:$W$505,CN$3,実績!$AI$6:$AI$505,"&lt;="&amp;$A283,実績!$AJ$6:$AJ$505,"&gt;"&amp;$A283,実績!$AK$6:$AK$505,"○")&gt;0,1,0))</f>
        <v>0</v>
      </c>
      <c r="CO283" s="39" t="n">
        <f aca="false">IF(CO$4=0,0,IF(COUNTIFS(実績!$W$6:$W$505,CO$3,実績!$AI$6:$AI$505,"&lt;="&amp;$A283,実績!$AJ$6:$AJ$505,"&gt;"&amp;$A283,実績!$AK$6:$AK$505,"○")&gt;0,1,0))</f>
        <v>0</v>
      </c>
      <c r="CP283" s="39" t="n">
        <f aca="false">IF(CP$4=0,0,IF(COUNTIFS(実績!$W$6:$W$505,CP$3,実績!$AI$6:$AI$505,"&lt;="&amp;$A283,実績!$AJ$6:$AJ$505,"&gt;"&amp;$A283,実績!$AK$6:$AK$505,"○")&gt;0,1,0))</f>
        <v>0</v>
      </c>
      <c r="CQ283" s="39" t="n">
        <f aca="false">IF(CQ$4=0,0,IF(COUNTIFS(実績!$W$6:$W$505,CQ$3,実績!$AI$6:$AI$505,"&lt;="&amp;$A283,実績!$AJ$6:$AJ$505,"&gt;"&amp;$A283,実績!$AK$6:$AK$505,"○")&gt;0,1,0))</f>
        <v>0</v>
      </c>
      <c r="CR283" s="39" t="n">
        <f aca="false">IF(CR$4=0,0,IF(COUNTIFS(実績!$W$6:$W$505,CR$3,実績!$AI$6:$AI$505,"&lt;="&amp;$A283,実績!$AJ$6:$AJ$505,"&gt;"&amp;$A283,実績!$AK$6:$AK$505,"○")&gt;0,1,0))</f>
        <v>0</v>
      </c>
      <c r="CS283" s="39" t="n">
        <f aca="false">IF(CS$4=0,0,IF(COUNTIFS(実績!$W$6:$W$505,CS$3,実績!$AI$6:$AI$505,"&lt;="&amp;$A283,実績!$AJ$6:$AJ$505,"&gt;"&amp;$A283,実績!$AK$6:$AK$505,"○")&gt;0,1,0))</f>
        <v>0</v>
      </c>
      <c r="CT283" s="39" t="n">
        <f aca="false">IF(CT$4=0,0,IF(COUNTIFS(実績!$W$6:$W$505,CT$3,実績!$AI$6:$AI$505,"&lt;="&amp;$A283,実績!$AJ$6:$AJ$505,"&gt;"&amp;$A283,実績!$AK$6:$AK$505,"○")&gt;0,1,0))</f>
        <v>0</v>
      </c>
      <c r="CU283" s="39" t="n">
        <f aca="false">IF(CU$4=0,0,IF(COUNTIFS(実績!$W$6:$W$505,CU$3,実績!$AI$6:$AI$505,"&lt;="&amp;$A283,実績!$AJ$6:$AJ$505,"&gt;"&amp;$A283,実績!$AK$6:$AK$505,"○")&gt;0,1,0))</f>
        <v>0</v>
      </c>
      <c r="CV283" s="39" t="n">
        <f aca="false">IF(CV$4=0,0,IF(COUNTIFS(実績!$W$6:$W$505,CV$3,実績!$AI$6:$AI$505,"&lt;="&amp;$A283,実績!$AJ$6:$AJ$505,"&gt;"&amp;$A283,実績!$AK$6:$AK$505,"○")&gt;0,1,0))</f>
        <v>0</v>
      </c>
      <c r="CW283" s="39" t="n">
        <f aca="false">IF(CW$4=0,0,IF(COUNTIFS(実績!$W$6:$W$505,CW$3,実績!$AI$6:$AI$505,"&lt;="&amp;$A283,実績!$AJ$6:$AJ$505,"&gt;"&amp;$A283,実績!$AK$6:$AK$505,"○")&gt;0,1,0))</f>
        <v>0</v>
      </c>
      <c r="CX283" s="39" t="n">
        <f aca="false">IF(CX$4=0,0,IF(COUNTIFS(実績!$W$6:$W$505,CX$3,実績!$AI$6:$AI$505,"&lt;="&amp;$A283,実績!$AJ$6:$AJ$505,"&gt;"&amp;$A283,実績!$AK$6:$AK$505,"○")&gt;0,1,0))</f>
        <v>0</v>
      </c>
      <c r="CY283" s="39" t="n">
        <f aca="false">IF(CY$4=0,0,IF(COUNTIFS(実績!$W$6:$W$505,CY$3,実績!$AI$6:$AI$505,"&lt;="&amp;$A283,実績!$AJ$6:$AJ$505,"&gt;"&amp;$A283,実績!$AK$6:$AK$505,"○")&gt;0,1,0))</f>
        <v>0</v>
      </c>
      <c r="CZ283" s="39" t="n">
        <f aca="false">IF(CZ$4=0,0,IF(COUNTIFS(実績!$W$6:$W$505,CZ$3,実績!$AI$6:$AI$505,"&lt;="&amp;$A283,実績!$AJ$6:$AJ$505,"&gt;"&amp;$A283,実績!$AK$6:$AK$505,"○")&gt;0,1,0))</f>
        <v>0</v>
      </c>
      <c r="DA283" s="39" t="n">
        <f aca="false">IF(DA$4=0,0,IF(COUNTIFS(実績!$W$6:$W$505,DA$3,実績!$AI$6:$AI$505,"&lt;="&amp;$A283,実績!$AJ$6:$AJ$505,"&gt;"&amp;$A283,実績!$AK$6:$AK$505,"○")&gt;0,1,0))</f>
        <v>0</v>
      </c>
      <c r="DB283" s="39" t="n">
        <f aca="false">IF(DB$4=0,0,IF(COUNTIFS(実績!$W$6:$W$505,DB$3,実績!$AI$6:$AI$505,"&lt;="&amp;$A283,実績!$AJ$6:$AJ$505,"&gt;"&amp;$A283,実績!$AK$6:$AK$505,"○")&gt;0,1,0))</f>
        <v>0</v>
      </c>
      <c r="DC283" s="39" t="n">
        <f aca="false">IF(DC$4=0,0,IF(COUNTIFS(実績!$W$6:$W$505,DC$3,実績!$AI$6:$AI$505,"&lt;="&amp;$A283,実績!$AJ$6:$AJ$505,"&gt;"&amp;$A283,実績!$AK$6:$AK$505,"○")&gt;0,1,0))</f>
        <v>0</v>
      </c>
      <c r="DD283" s="39" t="n">
        <f aca="false">IF(DD$4=0,0,IF(COUNTIFS(実績!$W$6:$W$505,DD$3,実績!$AI$6:$AI$505,"&lt;="&amp;$A283,実績!$AJ$6:$AJ$505,"&gt;"&amp;$A283,実績!$AK$6:$AK$505,"○")&gt;0,1,0))</f>
        <v>0</v>
      </c>
      <c r="DE283" s="39" t="n">
        <f aca="false">IF(DE$4=0,0,IF(COUNTIFS(実績!$W$6:$W$505,DE$3,実績!$AI$6:$AI$505,"&lt;="&amp;$A283,実績!$AJ$6:$AJ$505,"&gt;"&amp;$A283,実績!$AK$6:$AK$505,"○")&gt;0,1,0))</f>
        <v>0</v>
      </c>
      <c r="DF283" s="39" t="n">
        <f aca="false">IF(DF$4=0,0,IF(COUNTIFS(実績!$W$6:$W$505,DF$3,実績!$AI$6:$AI$505,"&lt;="&amp;$A283,実績!$AJ$6:$AJ$505,"&gt;"&amp;$A283,実績!$AK$6:$AK$505,"○")&gt;0,1,0))</f>
        <v>0</v>
      </c>
      <c r="DG283" s="39" t="n">
        <f aca="false">IF(DG$4=0,0,IF(COUNTIFS(実績!$W$6:$W$505,DG$3,実績!$AI$6:$AI$505,"&lt;="&amp;$A283,実績!$AJ$6:$AJ$505,"&gt;"&amp;$A283,実績!$AK$6:$AK$505,"○")&gt;0,1,0))</f>
        <v>0</v>
      </c>
      <c r="DH283" s="39" t="n">
        <f aca="false">IF(DH$4=0,0,IF(COUNTIFS(実績!$W$6:$W$505,DH$3,実績!$AI$6:$AI$505,"&lt;="&amp;$A283,実績!$AJ$6:$AJ$505,"&gt;"&amp;$A283,実績!$AK$6:$AK$505,"○")&gt;0,1,0))</f>
        <v>0</v>
      </c>
      <c r="DI283" s="39" t="n">
        <f aca="false">IF(DI$4=0,0,IF(COUNTIFS(実績!$W$6:$W$505,DI$3,実績!$AI$6:$AI$505,"&lt;="&amp;$A283,実績!$AJ$6:$AJ$505,"&gt;"&amp;$A283,実績!$AK$6:$AK$505,"○")&gt;0,1,0))</f>
        <v>0</v>
      </c>
      <c r="DJ283" s="39" t="n">
        <f aca="false">IF(DJ$4=0,0,IF(COUNTIFS(実績!$W$6:$W$505,DJ$3,実績!$AI$6:$AI$505,"&lt;="&amp;$A283,実績!$AJ$6:$AJ$505,"&gt;"&amp;$A283,実績!$AK$6:$AK$505,"○")&gt;0,1,0))</f>
        <v>0</v>
      </c>
      <c r="DK283" s="39" t="n">
        <f aca="false">IF(DK$4=0,0,IF(COUNTIFS(実績!$W$6:$W$505,DK$3,実績!$AI$6:$AI$505,"&lt;="&amp;$A283,実績!$AJ$6:$AJ$505,"&gt;"&amp;$A283,実績!$AK$6:$AK$505,"○")&gt;0,1,0))</f>
        <v>0</v>
      </c>
      <c r="DL283" s="39" t="n">
        <f aca="false">IF(DL$4=0,0,IF(COUNTIFS(実績!$W$6:$W$505,DL$3,実績!$AI$6:$AI$505,"&lt;="&amp;$A283,実績!$AJ$6:$AJ$505,"&gt;"&amp;$A283,実績!$AK$6:$AK$505,"○")&gt;0,1,0))</f>
        <v>0</v>
      </c>
      <c r="DM283" s="39" t="n">
        <f aca="false">IF(DM$4=0,0,IF(COUNTIFS(実績!$W$6:$W$505,DM$3,実績!$AI$6:$AI$505,"&lt;="&amp;$A283,実績!$AJ$6:$AJ$505,"&gt;"&amp;$A283,実績!$AK$6:$AK$505,"○")&gt;0,1,0))</f>
        <v>0</v>
      </c>
      <c r="DN283" s="39" t="n">
        <f aca="false">IF(DN$4=0,0,IF(COUNTIFS(実績!$W$6:$W$505,DN$3,実績!$AI$6:$AI$505,"&lt;="&amp;$A283,実績!$AJ$6:$AJ$505,"&gt;"&amp;$A283,実績!$AK$6:$AK$505,"○")&gt;0,1,0))</f>
        <v>0</v>
      </c>
      <c r="DO283" s="39" t="n">
        <f aca="false">IF(DO$4=0,0,IF(COUNTIFS(実績!$W$6:$W$505,DO$3,実績!$AI$6:$AI$505,"&lt;="&amp;$A283,実績!$AJ$6:$AJ$505,"&gt;"&amp;$A283,実績!$AK$6:$AK$505,"○")&gt;0,1,0))</f>
        <v>0</v>
      </c>
      <c r="DP283" s="39" t="n">
        <f aca="false">IF(DP$4=0,0,IF(COUNTIFS(実績!$W$6:$W$505,DP$3,実績!$AI$6:$AI$505,"&lt;="&amp;$A283,実績!$AJ$6:$AJ$505,"&gt;"&amp;$A283,実績!$AK$6:$AK$505,"○")&gt;0,1,0))</f>
        <v>0</v>
      </c>
      <c r="DQ283" s="39" t="n">
        <f aca="false">IF(DQ$4=0,0,IF(COUNTIFS(実績!$W$6:$W$505,DQ$3,実績!$AI$6:$AI$505,"&lt;="&amp;$A283,実績!$AJ$6:$AJ$505,"&gt;"&amp;$A283,実績!$AK$6:$AK$505,"○")&gt;0,1,0))</f>
        <v>0</v>
      </c>
      <c r="DR283" s="39" t="n">
        <f aca="false">IF(DR$4=0,0,IF(COUNTIFS(実績!$W$6:$W$505,DR$3,実績!$AI$6:$AI$505,"&lt;="&amp;$A283,実績!$AJ$6:$AJ$505,"&gt;"&amp;$A283,実績!$AK$6:$AK$505,"○")&gt;0,1,0))</f>
        <v>0</v>
      </c>
      <c r="DS283" s="39" t="n">
        <f aca="false">SUM(C283:DR283)</f>
        <v>0</v>
      </c>
      <c r="DT283" s="39" t="n">
        <f aca="false">SUMPRODUCT((実績!$C$6:$C$505="○")*ISNUMBER(実績!$AM$6:$AM$505)*(実績!$AM$6:$AM$505&lt;=$A283)*(実績!$AN$6:$AN$505&gt;$A283))</f>
        <v>0</v>
      </c>
      <c r="DU283" s="39" t="n">
        <f aca="false">SUMIF($C$2:$DR$2,"製鉄曳船",C283:DR283)</f>
        <v>0</v>
      </c>
      <c r="DV283" s="39" t="n">
        <f aca="false">SUMIF($C$2:$DR$2,"西日本海運",C283:DR283)</f>
        <v>0</v>
      </c>
    </row>
    <row r="284" customFormat="false" ht="15" hidden="false" customHeight="false" outlineLevel="0" collapsed="false">
      <c r="A284" s="0" t="n">
        <v>1390</v>
      </c>
      <c r="B284" s="38" t="n">
        <f aca="false">A284/1440</f>
        <v>0.965277777777778</v>
      </c>
      <c r="C284" s="39" t="n">
        <f aca="false">IF(C$4=0,0,IF(COUNTIFS(実績!$W$6:$W$505,C$3,実績!$AI$6:$AI$505,"&lt;="&amp;$A284,実績!$AJ$6:$AJ$505,"&gt;"&amp;$A284,実績!$AK$6:$AK$505,"○")&gt;0,1,0))</f>
        <v>0</v>
      </c>
      <c r="D284" s="39" t="n">
        <f aca="false">IF(D$4=0,0,IF(COUNTIFS(実績!$W$6:$W$505,D$3,実績!$AI$6:$AI$505,"&lt;="&amp;$A284,実績!$AJ$6:$AJ$505,"&gt;"&amp;$A284,実績!$AK$6:$AK$505,"○")&gt;0,1,0))</f>
        <v>0</v>
      </c>
      <c r="E284" s="39" t="n">
        <f aca="false">IF(E$4=0,0,IF(COUNTIFS(実績!$W$6:$W$505,E$3,実績!$AI$6:$AI$505,"&lt;="&amp;$A284,実績!$AJ$6:$AJ$505,"&gt;"&amp;$A284,実績!$AK$6:$AK$505,"○")&gt;0,1,0))</f>
        <v>0</v>
      </c>
      <c r="F284" s="39" t="n">
        <f aca="false">IF(F$4=0,0,IF(COUNTIFS(実績!$W$6:$W$505,F$3,実績!$AI$6:$AI$505,"&lt;="&amp;$A284,実績!$AJ$6:$AJ$505,"&gt;"&amp;$A284,実績!$AK$6:$AK$505,"○")&gt;0,1,0))</f>
        <v>0</v>
      </c>
      <c r="G284" s="39" t="n">
        <f aca="false">IF(G$4=0,0,IF(COUNTIFS(実績!$W$6:$W$505,G$3,実績!$AI$6:$AI$505,"&lt;="&amp;$A284,実績!$AJ$6:$AJ$505,"&gt;"&amp;$A284,実績!$AK$6:$AK$505,"○")&gt;0,1,0))</f>
        <v>0</v>
      </c>
      <c r="H284" s="39" t="n">
        <f aca="false">IF(H$4=0,0,IF(COUNTIFS(実績!$W$6:$W$505,H$3,実績!$AI$6:$AI$505,"&lt;="&amp;$A284,実績!$AJ$6:$AJ$505,"&gt;"&amp;$A284,実績!$AK$6:$AK$505,"○")&gt;0,1,0))</f>
        <v>0</v>
      </c>
      <c r="I284" s="39" t="n">
        <f aca="false">IF(I$4=0,0,IF(COUNTIFS(実績!$W$6:$W$505,I$3,実績!$AI$6:$AI$505,"&lt;="&amp;$A284,実績!$AJ$6:$AJ$505,"&gt;"&amp;$A284,実績!$AK$6:$AK$505,"○")&gt;0,1,0))</f>
        <v>0</v>
      </c>
      <c r="J284" s="39" t="n">
        <f aca="false">IF(J$4=0,0,IF(COUNTIFS(実績!$W$6:$W$505,J$3,実績!$AI$6:$AI$505,"&lt;="&amp;$A284,実績!$AJ$6:$AJ$505,"&gt;"&amp;$A284,実績!$AK$6:$AK$505,"○")&gt;0,1,0))</f>
        <v>0</v>
      </c>
      <c r="K284" s="39" t="n">
        <f aca="false">IF(K$4=0,0,IF(COUNTIFS(実績!$W$6:$W$505,K$3,実績!$AI$6:$AI$505,"&lt;="&amp;$A284,実績!$AJ$6:$AJ$505,"&gt;"&amp;$A284,実績!$AK$6:$AK$505,"○")&gt;0,1,0))</f>
        <v>0</v>
      </c>
      <c r="L284" s="39" t="n">
        <f aca="false">IF(L$4=0,0,IF(COUNTIFS(実績!$W$6:$W$505,L$3,実績!$AI$6:$AI$505,"&lt;="&amp;$A284,実績!$AJ$6:$AJ$505,"&gt;"&amp;$A284,実績!$AK$6:$AK$505,"○")&gt;0,1,0))</f>
        <v>0</v>
      </c>
      <c r="M284" s="39" t="n">
        <f aca="false">IF(M$4=0,0,IF(COUNTIFS(実績!$W$6:$W$505,M$3,実績!$AI$6:$AI$505,"&lt;="&amp;$A284,実績!$AJ$6:$AJ$505,"&gt;"&amp;$A284,実績!$AK$6:$AK$505,"○")&gt;0,1,0))</f>
        <v>0</v>
      </c>
      <c r="N284" s="39" t="n">
        <f aca="false">IF(N$4=0,0,IF(COUNTIFS(実績!$W$6:$W$505,N$3,実績!$AI$6:$AI$505,"&lt;="&amp;$A284,実績!$AJ$6:$AJ$505,"&gt;"&amp;$A284,実績!$AK$6:$AK$505,"○")&gt;0,1,0))</f>
        <v>0</v>
      </c>
      <c r="O284" s="39" t="n">
        <f aca="false">IF(O$4=0,0,IF(COUNTIFS(実績!$W$6:$W$505,O$3,実績!$AI$6:$AI$505,"&lt;="&amp;$A284,実績!$AJ$6:$AJ$505,"&gt;"&amp;$A284,実績!$AK$6:$AK$505,"○")&gt;0,1,0))</f>
        <v>0</v>
      </c>
      <c r="P284" s="39" t="n">
        <f aca="false">IF(P$4=0,0,IF(COUNTIFS(実績!$W$6:$W$505,P$3,実績!$AI$6:$AI$505,"&lt;="&amp;$A284,実績!$AJ$6:$AJ$505,"&gt;"&amp;$A284,実績!$AK$6:$AK$505,"○")&gt;0,1,0))</f>
        <v>0</v>
      </c>
      <c r="Q284" s="39" t="n">
        <f aca="false">IF(Q$4=0,0,IF(COUNTIFS(実績!$W$6:$W$505,Q$3,実績!$AI$6:$AI$505,"&lt;="&amp;$A284,実績!$AJ$6:$AJ$505,"&gt;"&amp;$A284,実績!$AK$6:$AK$505,"○")&gt;0,1,0))</f>
        <v>0</v>
      </c>
      <c r="R284" s="39" t="n">
        <f aca="false">IF(R$4=0,0,IF(COUNTIFS(実績!$W$6:$W$505,R$3,実績!$AI$6:$AI$505,"&lt;="&amp;$A284,実績!$AJ$6:$AJ$505,"&gt;"&amp;$A284,実績!$AK$6:$AK$505,"○")&gt;0,1,0))</f>
        <v>0</v>
      </c>
      <c r="S284" s="39" t="n">
        <f aca="false">IF(S$4=0,0,IF(COUNTIFS(実績!$W$6:$W$505,S$3,実績!$AI$6:$AI$505,"&lt;="&amp;$A284,実績!$AJ$6:$AJ$505,"&gt;"&amp;$A284,実績!$AK$6:$AK$505,"○")&gt;0,1,0))</f>
        <v>0</v>
      </c>
      <c r="T284" s="39" t="n">
        <f aca="false">IF(T$4=0,0,IF(COUNTIFS(実績!$W$6:$W$505,T$3,実績!$AI$6:$AI$505,"&lt;="&amp;$A284,実績!$AJ$6:$AJ$505,"&gt;"&amp;$A284,実績!$AK$6:$AK$505,"○")&gt;0,1,0))</f>
        <v>0</v>
      </c>
      <c r="U284" s="39" t="n">
        <f aca="false">IF(U$4=0,0,IF(COUNTIFS(実績!$W$6:$W$505,U$3,実績!$AI$6:$AI$505,"&lt;="&amp;$A284,実績!$AJ$6:$AJ$505,"&gt;"&amp;$A284,実績!$AK$6:$AK$505,"○")&gt;0,1,0))</f>
        <v>0</v>
      </c>
      <c r="V284" s="39" t="n">
        <f aca="false">IF(V$4=0,0,IF(COUNTIFS(実績!$W$6:$W$505,V$3,実績!$AI$6:$AI$505,"&lt;="&amp;$A284,実績!$AJ$6:$AJ$505,"&gt;"&amp;$A284,実績!$AK$6:$AK$505,"○")&gt;0,1,0))</f>
        <v>0</v>
      </c>
      <c r="W284" s="39" t="n">
        <f aca="false">IF(W$4=0,0,IF(COUNTIFS(実績!$W$6:$W$505,W$3,実績!$AI$6:$AI$505,"&lt;="&amp;$A284,実績!$AJ$6:$AJ$505,"&gt;"&amp;$A284,実績!$AK$6:$AK$505,"○")&gt;0,1,0))</f>
        <v>0</v>
      </c>
      <c r="X284" s="39" t="n">
        <f aca="false">IF(X$4=0,0,IF(COUNTIFS(実績!$W$6:$W$505,X$3,実績!$AI$6:$AI$505,"&lt;="&amp;$A284,実績!$AJ$6:$AJ$505,"&gt;"&amp;$A284,実績!$AK$6:$AK$505,"○")&gt;0,1,0))</f>
        <v>0</v>
      </c>
      <c r="Y284" s="39" t="n">
        <f aca="false">IF(Y$4=0,0,IF(COUNTIFS(実績!$W$6:$W$505,Y$3,実績!$AI$6:$AI$505,"&lt;="&amp;$A284,実績!$AJ$6:$AJ$505,"&gt;"&amp;$A284,実績!$AK$6:$AK$505,"○")&gt;0,1,0))</f>
        <v>0</v>
      </c>
      <c r="Z284" s="39" t="n">
        <f aca="false">IF(Z$4=0,0,IF(COUNTIFS(実績!$W$6:$W$505,Z$3,実績!$AI$6:$AI$505,"&lt;="&amp;$A284,実績!$AJ$6:$AJ$505,"&gt;"&amp;$A284,実績!$AK$6:$AK$505,"○")&gt;0,1,0))</f>
        <v>0</v>
      </c>
      <c r="AA284" s="39" t="n">
        <f aca="false">IF(AA$4=0,0,IF(COUNTIFS(実績!$W$6:$W$505,AA$3,実績!$AI$6:$AI$505,"&lt;="&amp;$A284,実績!$AJ$6:$AJ$505,"&gt;"&amp;$A284,実績!$AK$6:$AK$505,"○")&gt;0,1,0))</f>
        <v>0</v>
      </c>
      <c r="AB284" s="39" t="n">
        <f aca="false">IF(AB$4=0,0,IF(COUNTIFS(実績!$W$6:$W$505,AB$3,実績!$AI$6:$AI$505,"&lt;="&amp;$A284,実績!$AJ$6:$AJ$505,"&gt;"&amp;$A284,実績!$AK$6:$AK$505,"○")&gt;0,1,0))</f>
        <v>0</v>
      </c>
      <c r="AC284" s="39" t="n">
        <f aca="false">IF(AC$4=0,0,IF(COUNTIFS(実績!$W$6:$W$505,AC$3,実績!$AI$6:$AI$505,"&lt;="&amp;$A284,実績!$AJ$6:$AJ$505,"&gt;"&amp;$A284,実績!$AK$6:$AK$505,"○")&gt;0,1,0))</f>
        <v>0</v>
      </c>
      <c r="AD284" s="39" t="n">
        <f aca="false">IF(AD$4=0,0,IF(COUNTIFS(実績!$W$6:$W$505,AD$3,実績!$AI$6:$AI$505,"&lt;="&amp;$A284,実績!$AJ$6:$AJ$505,"&gt;"&amp;$A284,実績!$AK$6:$AK$505,"○")&gt;0,1,0))</f>
        <v>0</v>
      </c>
      <c r="AE284" s="39" t="n">
        <f aca="false">IF(AE$4=0,0,IF(COUNTIFS(実績!$W$6:$W$505,AE$3,実績!$AI$6:$AI$505,"&lt;="&amp;$A284,実績!$AJ$6:$AJ$505,"&gt;"&amp;$A284,実績!$AK$6:$AK$505,"○")&gt;0,1,0))</f>
        <v>0</v>
      </c>
      <c r="AF284" s="39" t="n">
        <f aca="false">IF(AF$4=0,0,IF(COUNTIFS(実績!$W$6:$W$505,AF$3,実績!$AI$6:$AI$505,"&lt;="&amp;$A284,実績!$AJ$6:$AJ$505,"&gt;"&amp;$A284,実績!$AK$6:$AK$505,"○")&gt;0,1,0))</f>
        <v>0</v>
      </c>
      <c r="AG284" s="39" t="n">
        <f aca="false">IF(AG$4=0,0,IF(COUNTIFS(実績!$W$6:$W$505,AG$3,実績!$AI$6:$AI$505,"&lt;="&amp;$A284,実績!$AJ$6:$AJ$505,"&gt;"&amp;$A284,実績!$AK$6:$AK$505,"○")&gt;0,1,0))</f>
        <v>0</v>
      </c>
      <c r="AH284" s="39" t="n">
        <f aca="false">IF(AH$4=0,0,IF(COUNTIFS(実績!$W$6:$W$505,AH$3,実績!$AI$6:$AI$505,"&lt;="&amp;$A284,実績!$AJ$6:$AJ$505,"&gt;"&amp;$A284,実績!$AK$6:$AK$505,"○")&gt;0,1,0))</f>
        <v>0</v>
      </c>
      <c r="AI284" s="39" t="n">
        <f aca="false">IF(AI$4=0,0,IF(COUNTIFS(実績!$W$6:$W$505,AI$3,実績!$AI$6:$AI$505,"&lt;="&amp;$A284,実績!$AJ$6:$AJ$505,"&gt;"&amp;$A284,実績!$AK$6:$AK$505,"○")&gt;0,1,0))</f>
        <v>0</v>
      </c>
      <c r="AJ284" s="39" t="n">
        <f aca="false">IF(AJ$4=0,0,IF(COUNTIFS(実績!$W$6:$W$505,AJ$3,実績!$AI$6:$AI$505,"&lt;="&amp;$A284,実績!$AJ$6:$AJ$505,"&gt;"&amp;$A284,実績!$AK$6:$AK$505,"○")&gt;0,1,0))</f>
        <v>0</v>
      </c>
      <c r="AK284" s="39" t="n">
        <f aca="false">IF(AK$4=0,0,IF(COUNTIFS(実績!$W$6:$W$505,AK$3,実績!$AI$6:$AI$505,"&lt;="&amp;$A284,実績!$AJ$6:$AJ$505,"&gt;"&amp;$A284,実績!$AK$6:$AK$505,"○")&gt;0,1,0))</f>
        <v>0</v>
      </c>
      <c r="AL284" s="39" t="n">
        <f aca="false">IF(AL$4=0,0,IF(COUNTIFS(実績!$W$6:$W$505,AL$3,実績!$AI$6:$AI$505,"&lt;="&amp;$A284,実績!$AJ$6:$AJ$505,"&gt;"&amp;$A284,実績!$AK$6:$AK$505,"○")&gt;0,1,0))</f>
        <v>0</v>
      </c>
      <c r="AM284" s="39" t="n">
        <f aca="false">IF(AM$4=0,0,IF(COUNTIFS(実績!$W$6:$W$505,AM$3,実績!$AI$6:$AI$505,"&lt;="&amp;$A284,実績!$AJ$6:$AJ$505,"&gt;"&amp;$A284,実績!$AK$6:$AK$505,"○")&gt;0,1,0))</f>
        <v>0</v>
      </c>
      <c r="AN284" s="39" t="n">
        <f aca="false">IF(AN$4=0,0,IF(COUNTIFS(実績!$W$6:$W$505,AN$3,実績!$AI$6:$AI$505,"&lt;="&amp;$A284,実績!$AJ$6:$AJ$505,"&gt;"&amp;$A284,実績!$AK$6:$AK$505,"○")&gt;0,1,0))</f>
        <v>0</v>
      </c>
      <c r="AO284" s="39" t="n">
        <f aca="false">IF(AO$4=0,0,IF(COUNTIFS(実績!$W$6:$W$505,AO$3,実績!$AI$6:$AI$505,"&lt;="&amp;$A284,実績!$AJ$6:$AJ$505,"&gt;"&amp;$A284,実績!$AK$6:$AK$505,"○")&gt;0,1,0))</f>
        <v>0</v>
      </c>
      <c r="AP284" s="39" t="n">
        <f aca="false">IF(AP$4=0,0,IF(COUNTIFS(実績!$W$6:$W$505,AP$3,実績!$AI$6:$AI$505,"&lt;="&amp;$A284,実績!$AJ$6:$AJ$505,"&gt;"&amp;$A284,実績!$AK$6:$AK$505,"○")&gt;0,1,0))</f>
        <v>0</v>
      </c>
      <c r="AQ284" s="39" t="n">
        <f aca="false">IF(AQ$4=0,0,IF(COUNTIFS(実績!$W$6:$W$505,AQ$3,実績!$AI$6:$AI$505,"&lt;="&amp;$A284,実績!$AJ$6:$AJ$505,"&gt;"&amp;$A284,実績!$AK$6:$AK$505,"○")&gt;0,1,0))</f>
        <v>0</v>
      </c>
      <c r="AR284" s="39" t="n">
        <f aca="false">IF(AR$4=0,0,IF(COUNTIFS(実績!$W$6:$W$505,AR$3,実績!$AI$6:$AI$505,"&lt;="&amp;$A284,実績!$AJ$6:$AJ$505,"&gt;"&amp;$A284,実績!$AK$6:$AK$505,"○")&gt;0,1,0))</f>
        <v>0</v>
      </c>
      <c r="AS284" s="39" t="n">
        <f aca="false">IF(AS$4=0,0,IF(COUNTIFS(実績!$W$6:$W$505,AS$3,実績!$AI$6:$AI$505,"&lt;="&amp;$A284,実績!$AJ$6:$AJ$505,"&gt;"&amp;$A284,実績!$AK$6:$AK$505,"○")&gt;0,1,0))</f>
        <v>0</v>
      </c>
      <c r="AT284" s="39" t="n">
        <f aca="false">IF(AT$4=0,0,IF(COUNTIFS(実績!$W$6:$W$505,AT$3,実績!$AI$6:$AI$505,"&lt;="&amp;$A284,実績!$AJ$6:$AJ$505,"&gt;"&amp;$A284,実績!$AK$6:$AK$505,"○")&gt;0,1,0))</f>
        <v>0</v>
      </c>
      <c r="AU284" s="39" t="n">
        <f aca="false">IF(AU$4=0,0,IF(COUNTIFS(実績!$W$6:$W$505,AU$3,実績!$AI$6:$AI$505,"&lt;="&amp;$A284,実績!$AJ$6:$AJ$505,"&gt;"&amp;$A284,実績!$AK$6:$AK$505,"○")&gt;0,1,0))</f>
        <v>0</v>
      </c>
      <c r="AV284" s="39" t="n">
        <f aca="false">IF(AV$4=0,0,IF(COUNTIFS(実績!$W$6:$W$505,AV$3,実績!$AI$6:$AI$505,"&lt;="&amp;$A284,実績!$AJ$6:$AJ$505,"&gt;"&amp;$A284,実績!$AK$6:$AK$505,"○")&gt;0,1,0))</f>
        <v>0</v>
      </c>
      <c r="AW284" s="39" t="n">
        <f aca="false">IF(AW$4=0,0,IF(COUNTIFS(実績!$W$6:$W$505,AW$3,実績!$AI$6:$AI$505,"&lt;="&amp;$A284,実績!$AJ$6:$AJ$505,"&gt;"&amp;$A284,実績!$AK$6:$AK$505,"○")&gt;0,1,0))</f>
        <v>0</v>
      </c>
      <c r="AX284" s="39" t="n">
        <f aca="false">IF(AX$4=0,0,IF(COUNTIFS(実績!$W$6:$W$505,AX$3,実績!$AI$6:$AI$505,"&lt;="&amp;$A284,実績!$AJ$6:$AJ$505,"&gt;"&amp;$A284,実績!$AK$6:$AK$505,"○")&gt;0,1,0))</f>
        <v>0</v>
      </c>
      <c r="AY284" s="39" t="n">
        <f aca="false">IF(AY$4=0,0,IF(COUNTIFS(実績!$W$6:$W$505,AY$3,実績!$AI$6:$AI$505,"&lt;="&amp;$A284,実績!$AJ$6:$AJ$505,"&gt;"&amp;$A284,実績!$AK$6:$AK$505,"○")&gt;0,1,0))</f>
        <v>0</v>
      </c>
      <c r="AZ284" s="39" t="n">
        <f aca="false">IF(AZ$4=0,0,IF(COUNTIFS(実績!$W$6:$W$505,AZ$3,実績!$AI$6:$AI$505,"&lt;="&amp;$A284,実績!$AJ$6:$AJ$505,"&gt;"&amp;$A284,実績!$AK$6:$AK$505,"○")&gt;0,1,0))</f>
        <v>0</v>
      </c>
      <c r="BA284" s="39" t="n">
        <f aca="false">IF(BA$4=0,0,IF(COUNTIFS(実績!$W$6:$W$505,BA$3,実績!$AI$6:$AI$505,"&lt;="&amp;$A284,実績!$AJ$6:$AJ$505,"&gt;"&amp;$A284,実績!$AK$6:$AK$505,"○")&gt;0,1,0))</f>
        <v>0</v>
      </c>
      <c r="BB284" s="39" t="n">
        <f aca="false">IF(BB$4=0,0,IF(COUNTIFS(実績!$W$6:$W$505,BB$3,実績!$AI$6:$AI$505,"&lt;="&amp;$A284,実績!$AJ$6:$AJ$505,"&gt;"&amp;$A284,実績!$AK$6:$AK$505,"○")&gt;0,1,0))</f>
        <v>0</v>
      </c>
      <c r="BC284" s="39" t="n">
        <f aca="false">IF(BC$4=0,0,IF(COUNTIFS(実績!$W$6:$W$505,BC$3,実績!$AI$6:$AI$505,"&lt;="&amp;$A284,実績!$AJ$6:$AJ$505,"&gt;"&amp;$A284,実績!$AK$6:$AK$505,"○")&gt;0,1,0))</f>
        <v>0</v>
      </c>
      <c r="BD284" s="39" t="n">
        <f aca="false">IF(BD$4=0,0,IF(COUNTIFS(実績!$W$6:$W$505,BD$3,実績!$AI$6:$AI$505,"&lt;="&amp;$A284,実績!$AJ$6:$AJ$505,"&gt;"&amp;$A284,実績!$AK$6:$AK$505,"○")&gt;0,1,0))</f>
        <v>0</v>
      </c>
      <c r="BE284" s="39" t="n">
        <f aca="false">IF(BE$4=0,0,IF(COUNTIFS(実績!$W$6:$W$505,BE$3,実績!$AI$6:$AI$505,"&lt;="&amp;$A284,実績!$AJ$6:$AJ$505,"&gt;"&amp;$A284,実績!$AK$6:$AK$505,"○")&gt;0,1,0))</f>
        <v>0</v>
      </c>
      <c r="BF284" s="39" t="n">
        <f aca="false">IF(BF$4=0,0,IF(COUNTIFS(実績!$W$6:$W$505,BF$3,実績!$AI$6:$AI$505,"&lt;="&amp;$A284,実績!$AJ$6:$AJ$505,"&gt;"&amp;$A284,実績!$AK$6:$AK$505,"○")&gt;0,1,0))</f>
        <v>0</v>
      </c>
      <c r="BG284" s="39" t="n">
        <f aca="false">IF(BG$4=0,0,IF(COUNTIFS(実績!$W$6:$W$505,BG$3,実績!$AI$6:$AI$505,"&lt;="&amp;$A284,実績!$AJ$6:$AJ$505,"&gt;"&amp;$A284,実績!$AK$6:$AK$505,"○")&gt;0,1,0))</f>
        <v>0</v>
      </c>
      <c r="BH284" s="39" t="n">
        <f aca="false">IF(BH$4=0,0,IF(COUNTIFS(実績!$W$6:$W$505,BH$3,実績!$AI$6:$AI$505,"&lt;="&amp;$A284,実績!$AJ$6:$AJ$505,"&gt;"&amp;$A284,実績!$AK$6:$AK$505,"○")&gt;0,1,0))</f>
        <v>0</v>
      </c>
      <c r="BI284" s="39" t="n">
        <f aca="false">IF(BI$4=0,0,IF(COUNTIFS(実績!$W$6:$W$505,BI$3,実績!$AI$6:$AI$505,"&lt;="&amp;$A284,実績!$AJ$6:$AJ$505,"&gt;"&amp;$A284,実績!$AK$6:$AK$505,"○")&gt;0,1,0))</f>
        <v>0</v>
      </c>
      <c r="BJ284" s="39" t="n">
        <f aca="false">IF(BJ$4=0,0,IF(COUNTIFS(実績!$W$6:$W$505,BJ$3,実績!$AI$6:$AI$505,"&lt;="&amp;$A284,実績!$AJ$6:$AJ$505,"&gt;"&amp;$A284,実績!$AK$6:$AK$505,"○")&gt;0,1,0))</f>
        <v>0</v>
      </c>
      <c r="BK284" s="39" t="n">
        <f aca="false">IF(BK$4=0,0,IF(COUNTIFS(実績!$W$6:$W$505,BK$3,実績!$AI$6:$AI$505,"&lt;="&amp;$A284,実績!$AJ$6:$AJ$505,"&gt;"&amp;$A284,実績!$AK$6:$AK$505,"○")&gt;0,1,0))</f>
        <v>0</v>
      </c>
      <c r="BL284" s="39" t="n">
        <f aca="false">IF(BL$4=0,0,IF(COUNTIFS(実績!$W$6:$W$505,BL$3,実績!$AI$6:$AI$505,"&lt;="&amp;$A284,実績!$AJ$6:$AJ$505,"&gt;"&amp;$A284,実績!$AK$6:$AK$505,"○")&gt;0,1,0))</f>
        <v>0</v>
      </c>
      <c r="BM284" s="39" t="n">
        <f aca="false">IF(BM$4=0,0,IF(COUNTIFS(実績!$W$6:$W$505,BM$3,実績!$AI$6:$AI$505,"&lt;="&amp;$A284,実績!$AJ$6:$AJ$505,"&gt;"&amp;$A284,実績!$AK$6:$AK$505,"○")&gt;0,1,0))</f>
        <v>0</v>
      </c>
      <c r="BN284" s="39" t="n">
        <f aca="false">IF(BN$4=0,0,IF(COUNTIFS(実績!$W$6:$W$505,BN$3,実績!$AI$6:$AI$505,"&lt;="&amp;$A284,実績!$AJ$6:$AJ$505,"&gt;"&amp;$A284,実績!$AK$6:$AK$505,"○")&gt;0,1,0))</f>
        <v>0</v>
      </c>
      <c r="BO284" s="39" t="n">
        <f aca="false">IF(BO$4=0,0,IF(COUNTIFS(実績!$W$6:$W$505,BO$3,実績!$AI$6:$AI$505,"&lt;="&amp;$A284,実績!$AJ$6:$AJ$505,"&gt;"&amp;$A284,実績!$AK$6:$AK$505,"○")&gt;0,1,0))</f>
        <v>0</v>
      </c>
      <c r="BP284" s="39" t="n">
        <f aca="false">IF(BP$4=0,0,IF(COUNTIFS(実績!$W$6:$W$505,BP$3,実績!$AI$6:$AI$505,"&lt;="&amp;$A284,実績!$AJ$6:$AJ$505,"&gt;"&amp;$A284,実績!$AK$6:$AK$505,"○")&gt;0,1,0))</f>
        <v>0</v>
      </c>
      <c r="BQ284" s="39" t="n">
        <f aca="false">IF(BQ$4=0,0,IF(COUNTIFS(実績!$W$6:$W$505,BQ$3,実績!$AI$6:$AI$505,"&lt;="&amp;$A284,実績!$AJ$6:$AJ$505,"&gt;"&amp;$A284,実績!$AK$6:$AK$505,"○")&gt;0,1,0))</f>
        <v>0</v>
      </c>
      <c r="BR284" s="39" t="n">
        <f aca="false">IF(BR$4=0,0,IF(COUNTIFS(実績!$W$6:$W$505,BR$3,実績!$AI$6:$AI$505,"&lt;="&amp;$A284,実績!$AJ$6:$AJ$505,"&gt;"&amp;$A284,実績!$AK$6:$AK$505,"○")&gt;0,1,0))</f>
        <v>0</v>
      </c>
      <c r="BS284" s="39" t="n">
        <f aca="false">IF(BS$4=0,0,IF(COUNTIFS(実績!$W$6:$W$505,BS$3,実績!$AI$6:$AI$505,"&lt;="&amp;$A284,実績!$AJ$6:$AJ$505,"&gt;"&amp;$A284,実績!$AK$6:$AK$505,"○")&gt;0,1,0))</f>
        <v>0</v>
      </c>
      <c r="BT284" s="39" t="n">
        <f aca="false">IF(BT$4=0,0,IF(COUNTIFS(実績!$W$6:$W$505,BT$3,実績!$AI$6:$AI$505,"&lt;="&amp;$A284,実績!$AJ$6:$AJ$505,"&gt;"&amp;$A284,実績!$AK$6:$AK$505,"○")&gt;0,1,0))</f>
        <v>0</v>
      </c>
      <c r="BU284" s="39" t="n">
        <f aca="false">IF(BU$4=0,0,IF(COUNTIFS(実績!$W$6:$W$505,BU$3,実績!$AI$6:$AI$505,"&lt;="&amp;$A284,実績!$AJ$6:$AJ$505,"&gt;"&amp;$A284,実績!$AK$6:$AK$505,"○")&gt;0,1,0))</f>
        <v>0</v>
      </c>
      <c r="BV284" s="39" t="n">
        <f aca="false">IF(BV$4=0,0,IF(COUNTIFS(実績!$W$6:$W$505,BV$3,実績!$AI$6:$AI$505,"&lt;="&amp;$A284,実績!$AJ$6:$AJ$505,"&gt;"&amp;$A284,実績!$AK$6:$AK$505,"○")&gt;0,1,0))</f>
        <v>0</v>
      </c>
      <c r="BW284" s="39" t="n">
        <f aca="false">IF(BW$4=0,0,IF(COUNTIFS(実績!$W$6:$W$505,BW$3,実績!$AI$6:$AI$505,"&lt;="&amp;$A284,実績!$AJ$6:$AJ$505,"&gt;"&amp;$A284,実績!$AK$6:$AK$505,"○")&gt;0,1,0))</f>
        <v>0</v>
      </c>
      <c r="BX284" s="39" t="n">
        <f aca="false">IF(BX$4=0,0,IF(COUNTIFS(実績!$W$6:$W$505,BX$3,実績!$AI$6:$AI$505,"&lt;="&amp;$A284,実績!$AJ$6:$AJ$505,"&gt;"&amp;$A284,実績!$AK$6:$AK$505,"○")&gt;0,1,0))</f>
        <v>0</v>
      </c>
      <c r="BY284" s="39" t="n">
        <f aca="false">IF(BY$4=0,0,IF(COUNTIFS(実績!$W$6:$W$505,BY$3,実績!$AI$6:$AI$505,"&lt;="&amp;$A284,実績!$AJ$6:$AJ$505,"&gt;"&amp;$A284,実績!$AK$6:$AK$505,"○")&gt;0,1,0))</f>
        <v>0</v>
      </c>
      <c r="BZ284" s="39" t="n">
        <f aca="false">IF(BZ$4=0,0,IF(COUNTIFS(実績!$W$6:$W$505,BZ$3,実績!$AI$6:$AI$505,"&lt;="&amp;$A284,実績!$AJ$6:$AJ$505,"&gt;"&amp;$A284,実績!$AK$6:$AK$505,"○")&gt;0,1,0))</f>
        <v>0</v>
      </c>
      <c r="CA284" s="39" t="n">
        <f aca="false">IF(CA$4=0,0,IF(COUNTIFS(実績!$W$6:$W$505,CA$3,実績!$AI$6:$AI$505,"&lt;="&amp;$A284,実績!$AJ$6:$AJ$505,"&gt;"&amp;$A284,実績!$AK$6:$AK$505,"○")&gt;0,1,0))</f>
        <v>0</v>
      </c>
      <c r="CB284" s="39" t="n">
        <f aca="false">IF(CB$4=0,0,IF(COUNTIFS(実績!$W$6:$W$505,CB$3,実績!$AI$6:$AI$505,"&lt;="&amp;$A284,実績!$AJ$6:$AJ$505,"&gt;"&amp;$A284,実績!$AK$6:$AK$505,"○")&gt;0,1,0))</f>
        <v>0</v>
      </c>
      <c r="CC284" s="39" t="n">
        <f aca="false">IF(CC$4=0,0,IF(COUNTIFS(実績!$W$6:$W$505,CC$3,実績!$AI$6:$AI$505,"&lt;="&amp;$A284,実績!$AJ$6:$AJ$505,"&gt;"&amp;$A284,実績!$AK$6:$AK$505,"○")&gt;0,1,0))</f>
        <v>0</v>
      </c>
      <c r="CD284" s="39" t="n">
        <f aca="false">IF(CD$4=0,0,IF(COUNTIFS(実績!$W$6:$W$505,CD$3,実績!$AI$6:$AI$505,"&lt;="&amp;$A284,実績!$AJ$6:$AJ$505,"&gt;"&amp;$A284,実績!$AK$6:$AK$505,"○")&gt;0,1,0))</f>
        <v>0</v>
      </c>
      <c r="CE284" s="39" t="n">
        <f aca="false">IF(CE$4=0,0,IF(COUNTIFS(実績!$W$6:$W$505,CE$3,実績!$AI$6:$AI$505,"&lt;="&amp;$A284,実績!$AJ$6:$AJ$505,"&gt;"&amp;$A284,実績!$AK$6:$AK$505,"○")&gt;0,1,0))</f>
        <v>0</v>
      </c>
      <c r="CF284" s="39" t="n">
        <f aca="false">IF(CF$4=0,0,IF(COUNTIFS(実績!$W$6:$W$505,CF$3,実績!$AI$6:$AI$505,"&lt;="&amp;$A284,実績!$AJ$6:$AJ$505,"&gt;"&amp;$A284,実績!$AK$6:$AK$505,"○")&gt;0,1,0))</f>
        <v>0</v>
      </c>
      <c r="CG284" s="39" t="n">
        <f aca="false">IF(CG$4=0,0,IF(COUNTIFS(実績!$W$6:$W$505,CG$3,実績!$AI$6:$AI$505,"&lt;="&amp;$A284,実績!$AJ$6:$AJ$505,"&gt;"&amp;$A284,実績!$AK$6:$AK$505,"○")&gt;0,1,0))</f>
        <v>0</v>
      </c>
      <c r="CH284" s="39" t="n">
        <f aca="false">IF(CH$4=0,0,IF(COUNTIFS(実績!$W$6:$W$505,CH$3,実績!$AI$6:$AI$505,"&lt;="&amp;$A284,実績!$AJ$6:$AJ$505,"&gt;"&amp;$A284,実績!$AK$6:$AK$505,"○")&gt;0,1,0))</f>
        <v>0</v>
      </c>
      <c r="CI284" s="39" t="n">
        <f aca="false">IF(CI$4=0,0,IF(COUNTIFS(実績!$W$6:$W$505,CI$3,実績!$AI$6:$AI$505,"&lt;="&amp;$A284,実績!$AJ$6:$AJ$505,"&gt;"&amp;$A284,実績!$AK$6:$AK$505,"○")&gt;0,1,0))</f>
        <v>0</v>
      </c>
      <c r="CJ284" s="39" t="n">
        <f aca="false">IF(CJ$4=0,0,IF(COUNTIFS(実績!$W$6:$W$505,CJ$3,実績!$AI$6:$AI$505,"&lt;="&amp;$A284,実績!$AJ$6:$AJ$505,"&gt;"&amp;$A284,実績!$AK$6:$AK$505,"○")&gt;0,1,0))</f>
        <v>0</v>
      </c>
      <c r="CK284" s="39" t="n">
        <f aca="false">IF(CK$4=0,0,IF(COUNTIFS(実績!$W$6:$W$505,CK$3,実績!$AI$6:$AI$505,"&lt;="&amp;$A284,実績!$AJ$6:$AJ$505,"&gt;"&amp;$A284,実績!$AK$6:$AK$505,"○")&gt;0,1,0))</f>
        <v>0</v>
      </c>
      <c r="CL284" s="39" t="n">
        <f aca="false">IF(CL$4=0,0,IF(COUNTIFS(実績!$W$6:$W$505,CL$3,実績!$AI$6:$AI$505,"&lt;="&amp;$A284,実績!$AJ$6:$AJ$505,"&gt;"&amp;$A284,実績!$AK$6:$AK$505,"○")&gt;0,1,0))</f>
        <v>0</v>
      </c>
      <c r="CM284" s="39" t="n">
        <f aca="false">IF(CM$4=0,0,IF(COUNTIFS(実績!$W$6:$W$505,CM$3,実績!$AI$6:$AI$505,"&lt;="&amp;$A284,実績!$AJ$6:$AJ$505,"&gt;"&amp;$A284,実績!$AK$6:$AK$505,"○")&gt;0,1,0))</f>
        <v>0</v>
      </c>
      <c r="CN284" s="39" t="n">
        <f aca="false">IF(CN$4=0,0,IF(COUNTIFS(実績!$W$6:$W$505,CN$3,実績!$AI$6:$AI$505,"&lt;="&amp;$A284,実績!$AJ$6:$AJ$505,"&gt;"&amp;$A284,実績!$AK$6:$AK$505,"○")&gt;0,1,0))</f>
        <v>0</v>
      </c>
      <c r="CO284" s="39" t="n">
        <f aca="false">IF(CO$4=0,0,IF(COUNTIFS(実績!$W$6:$W$505,CO$3,実績!$AI$6:$AI$505,"&lt;="&amp;$A284,実績!$AJ$6:$AJ$505,"&gt;"&amp;$A284,実績!$AK$6:$AK$505,"○")&gt;0,1,0))</f>
        <v>0</v>
      </c>
      <c r="CP284" s="39" t="n">
        <f aca="false">IF(CP$4=0,0,IF(COUNTIFS(実績!$W$6:$W$505,CP$3,実績!$AI$6:$AI$505,"&lt;="&amp;$A284,実績!$AJ$6:$AJ$505,"&gt;"&amp;$A284,実績!$AK$6:$AK$505,"○")&gt;0,1,0))</f>
        <v>0</v>
      </c>
      <c r="CQ284" s="39" t="n">
        <f aca="false">IF(CQ$4=0,0,IF(COUNTIFS(実績!$W$6:$W$505,CQ$3,実績!$AI$6:$AI$505,"&lt;="&amp;$A284,実績!$AJ$6:$AJ$505,"&gt;"&amp;$A284,実績!$AK$6:$AK$505,"○")&gt;0,1,0))</f>
        <v>0</v>
      </c>
      <c r="CR284" s="39" t="n">
        <f aca="false">IF(CR$4=0,0,IF(COUNTIFS(実績!$W$6:$W$505,CR$3,実績!$AI$6:$AI$505,"&lt;="&amp;$A284,実績!$AJ$6:$AJ$505,"&gt;"&amp;$A284,実績!$AK$6:$AK$505,"○")&gt;0,1,0))</f>
        <v>0</v>
      </c>
      <c r="CS284" s="39" t="n">
        <f aca="false">IF(CS$4=0,0,IF(COUNTIFS(実績!$W$6:$W$505,CS$3,実績!$AI$6:$AI$505,"&lt;="&amp;$A284,実績!$AJ$6:$AJ$505,"&gt;"&amp;$A284,実績!$AK$6:$AK$505,"○")&gt;0,1,0))</f>
        <v>0</v>
      </c>
      <c r="CT284" s="39" t="n">
        <f aca="false">IF(CT$4=0,0,IF(COUNTIFS(実績!$W$6:$W$505,CT$3,実績!$AI$6:$AI$505,"&lt;="&amp;$A284,実績!$AJ$6:$AJ$505,"&gt;"&amp;$A284,実績!$AK$6:$AK$505,"○")&gt;0,1,0))</f>
        <v>0</v>
      </c>
      <c r="CU284" s="39" t="n">
        <f aca="false">IF(CU$4=0,0,IF(COUNTIFS(実績!$W$6:$W$505,CU$3,実績!$AI$6:$AI$505,"&lt;="&amp;$A284,実績!$AJ$6:$AJ$505,"&gt;"&amp;$A284,実績!$AK$6:$AK$505,"○")&gt;0,1,0))</f>
        <v>0</v>
      </c>
      <c r="CV284" s="39" t="n">
        <f aca="false">IF(CV$4=0,0,IF(COUNTIFS(実績!$W$6:$W$505,CV$3,実績!$AI$6:$AI$505,"&lt;="&amp;$A284,実績!$AJ$6:$AJ$505,"&gt;"&amp;$A284,実績!$AK$6:$AK$505,"○")&gt;0,1,0))</f>
        <v>0</v>
      </c>
      <c r="CW284" s="39" t="n">
        <f aca="false">IF(CW$4=0,0,IF(COUNTIFS(実績!$W$6:$W$505,CW$3,実績!$AI$6:$AI$505,"&lt;="&amp;$A284,実績!$AJ$6:$AJ$505,"&gt;"&amp;$A284,実績!$AK$6:$AK$505,"○")&gt;0,1,0))</f>
        <v>0</v>
      </c>
      <c r="CX284" s="39" t="n">
        <f aca="false">IF(CX$4=0,0,IF(COUNTIFS(実績!$W$6:$W$505,CX$3,実績!$AI$6:$AI$505,"&lt;="&amp;$A284,実績!$AJ$6:$AJ$505,"&gt;"&amp;$A284,実績!$AK$6:$AK$505,"○")&gt;0,1,0))</f>
        <v>0</v>
      </c>
      <c r="CY284" s="39" t="n">
        <f aca="false">IF(CY$4=0,0,IF(COUNTIFS(実績!$W$6:$W$505,CY$3,実績!$AI$6:$AI$505,"&lt;="&amp;$A284,実績!$AJ$6:$AJ$505,"&gt;"&amp;$A284,実績!$AK$6:$AK$505,"○")&gt;0,1,0))</f>
        <v>0</v>
      </c>
      <c r="CZ284" s="39" t="n">
        <f aca="false">IF(CZ$4=0,0,IF(COUNTIFS(実績!$W$6:$W$505,CZ$3,実績!$AI$6:$AI$505,"&lt;="&amp;$A284,実績!$AJ$6:$AJ$505,"&gt;"&amp;$A284,実績!$AK$6:$AK$505,"○")&gt;0,1,0))</f>
        <v>0</v>
      </c>
      <c r="DA284" s="39" t="n">
        <f aca="false">IF(DA$4=0,0,IF(COUNTIFS(実績!$W$6:$W$505,DA$3,実績!$AI$6:$AI$505,"&lt;="&amp;$A284,実績!$AJ$6:$AJ$505,"&gt;"&amp;$A284,実績!$AK$6:$AK$505,"○")&gt;0,1,0))</f>
        <v>0</v>
      </c>
      <c r="DB284" s="39" t="n">
        <f aca="false">IF(DB$4=0,0,IF(COUNTIFS(実績!$W$6:$W$505,DB$3,実績!$AI$6:$AI$505,"&lt;="&amp;$A284,実績!$AJ$6:$AJ$505,"&gt;"&amp;$A284,実績!$AK$6:$AK$505,"○")&gt;0,1,0))</f>
        <v>0</v>
      </c>
      <c r="DC284" s="39" t="n">
        <f aca="false">IF(DC$4=0,0,IF(COUNTIFS(実績!$W$6:$W$505,DC$3,実績!$AI$6:$AI$505,"&lt;="&amp;$A284,実績!$AJ$6:$AJ$505,"&gt;"&amp;$A284,実績!$AK$6:$AK$505,"○")&gt;0,1,0))</f>
        <v>0</v>
      </c>
      <c r="DD284" s="39" t="n">
        <f aca="false">IF(DD$4=0,0,IF(COUNTIFS(実績!$W$6:$W$505,DD$3,実績!$AI$6:$AI$505,"&lt;="&amp;$A284,実績!$AJ$6:$AJ$505,"&gt;"&amp;$A284,実績!$AK$6:$AK$505,"○")&gt;0,1,0))</f>
        <v>0</v>
      </c>
      <c r="DE284" s="39" t="n">
        <f aca="false">IF(DE$4=0,0,IF(COUNTIFS(実績!$W$6:$W$505,DE$3,実績!$AI$6:$AI$505,"&lt;="&amp;$A284,実績!$AJ$6:$AJ$505,"&gt;"&amp;$A284,実績!$AK$6:$AK$505,"○")&gt;0,1,0))</f>
        <v>0</v>
      </c>
      <c r="DF284" s="39" t="n">
        <f aca="false">IF(DF$4=0,0,IF(COUNTIFS(実績!$W$6:$W$505,DF$3,実績!$AI$6:$AI$505,"&lt;="&amp;$A284,実績!$AJ$6:$AJ$505,"&gt;"&amp;$A284,実績!$AK$6:$AK$505,"○")&gt;0,1,0))</f>
        <v>0</v>
      </c>
      <c r="DG284" s="39" t="n">
        <f aca="false">IF(DG$4=0,0,IF(COUNTIFS(実績!$W$6:$W$505,DG$3,実績!$AI$6:$AI$505,"&lt;="&amp;$A284,実績!$AJ$6:$AJ$505,"&gt;"&amp;$A284,実績!$AK$6:$AK$505,"○")&gt;0,1,0))</f>
        <v>0</v>
      </c>
      <c r="DH284" s="39" t="n">
        <f aca="false">IF(DH$4=0,0,IF(COUNTIFS(実績!$W$6:$W$505,DH$3,実績!$AI$6:$AI$505,"&lt;="&amp;$A284,実績!$AJ$6:$AJ$505,"&gt;"&amp;$A284,実績!$AK$6:$AK$505,"○")&gt;0,1,0))</f>
        <v>0</v>
      </c>
      <c r="DI284" s="39" t="n">
        <f aca="false">IF(DI$4=0,0,IF(COUNTIFS(実績!$W$6:$W$505,DI$3,実績!$AI$6:$AI$505,"&lt;="&amp;$A284,実績!$AJ$6:$AJ$505,"&gt;"&amp;$A284,実績!$AK$6:$AK$505,"○")&gt;0,1,0))</f>
        <v>0</v>
      </c>
      <c r="DJ284" s="39" t="n">
        <f aca="false">IF(DJ$4=0,0,IF(COUNTIFS(実績!$W$6:$W$505,DJ$3,実績!$AI$6:$AI$505,"&lt;="&amp;$A284,実績!$AJ$6:$AJ$505,"&gt;"&amp;$A284,実績!$AK$6:$AK$505,"○")&gt;0,1,0))</f>
        <v>0</v>
      </c>
      <c r="DK284" s="39" t="n">
        <f aca="false">IF(DK$4=0,0,IF(COUNTIFS(実績!$W$6:$W$505,DK$3,実績!$AI$6:$AI$505,"&lt;="&amp;$A284,実績!$AJ$6:$AJ$505,"&gt;"&amp;$A284,実績!$AK$6:$AK$505,"○")&gt;0,1,0))</f>
        <v>0</v>
      </c>
      <c r="DL284" s="39" t="n">
        <f aca="false">IF(DL$4=0,0,IF(COUNTIFS(実績!$W$6:$W$505,DL$3,実績!$AI$6:$AI$505,"&lt;="&amp;$A284,実績!$AJ$6:$AJ$505,"&gt;"&amp;$A284,実績!$AK$6:$AK$505,"○")&gt;0,1,0))</f>
        <v>0</v>
      </c>
      <c r="DM284" s="39" t="n">
        <f aca="false">IF(DM$4=0,0,IF(COUNTIFS(実績!$W$6:$W$505,DM$3,実績!$AI$6:$AI$505,"&lt;="&amp;$A284,実績!$AJ$6:$AJ$505,"&gt;"&amp;$A284,実績!$AK$6:$AK$505,"○")&gt;0,1,0))</f>
        <v>0</v>
      </c>
      <c r="DN284" s="39" t="n">
        <f aca="false">IF(DN$4=0,0,IF(COUNTIFS(実績!$W$6:$W$505,DN$3,実績!$AI$6:$AI$505,"&lt;="&amp;$A284,実績!$AJ$6:$AJ$505,"&gt;"&amp;$A284,実績!$AK$6:$AK$505,"○")&gt;0,1,0))</f>
        <v>0</v>
      </c>
      <c r="DO284" s="39" t="n">
        <f aca="false">IF(DO$4=0,0,IF(COUNTIFS(実績!$W$6:$W$505,DO$3,実績!$AI$6:$AI$505,"&lt;="&amp;$A284,実績!$AJ$6:$AJ$505,"&gt;"&amp;$A284,実績!$AK$6:$AK$505,"○")&gt;0,1,0))</f>
        <v>0</v>
      </c>
      <c r="DP284" s="39" t="n">
        <f aca="false">IF(DP$4=0,0,IF(COUNTIFS(実績!$W$6:$W$505,DP$3,実績!$AI$6:$AI$505,"&lt;="&amp;$A284,実績!$AJ$6:$AJ$505,"&gt;"&amp;$A284,実績!$AK$6:$AK$505,"○")&gt;0,1,0))</f>
        <v>0</v>
      </c>
      <c r="DQ284" s="39" t="n">
        <f aca="false">IF(DQ$4=0,0,IF(COUNTIFS(実績!$W$6:$W$505,DQ$3,実績!$AI$6:$AI$505,"&lt;="&amp;$A284,実績!$AJ$6:$AJ$505,"&gt;"&amp;$A284,実績!$AK$6:$AK$505,"○")&gt;0,1,0))</f>
        <v>0</v>
      </c>
      <c r="DR284" s="39" t="n">
        <f aca="false">IF(DR$4=0,0,IF(COUNTIFS(実績!$W$6:$W$505,DR$3,実績!$AI$6:$AI$505,"&lt;="&amp;$A284,実績!$AJ$6:$AJ$505,"&gt;"&amp;$A284,実績!$AK$6:$AK$505,"○")&gt;0,1,0))</f>
        <v>0</v>
      </c>
      <c r="DS284" s="39" t="n">
        <f aca="false">SUM(C284:DR284)</f>
        <v>0</v>
      </c>
      <c r="DT284" s="39" t="n">
        <f aca="false">SUMPRODUCT((実績!$C$6:$C$505="○")*ISNUMBER(実績!$AM$6:$AM$505)*(実績!$AM$6:$AM$505&lt;=$A284)*(実績!$AN$6:$AN$505&gt;$A284))</f>
        <v>0</v>
      </c>
      <c r="DU284" s="39" t="n">
        <f aca="false">SUMIF($C$2:$DR$2,"製鉄曳船",C284:DR284)</f>
        <v>0</v>
      </c>
      <c r="DV284" s="39" t="n">
        <f aca="false">SUMIF($C$2:$DR$2,"西日本海運",C284:DR284)</f>
        <v>0</v>
      </c>
    </row>
    <row r="285" customFormat="false" ht="15" hidden="false" customHeight="false" outlineLevel="0" collapsed="false">
      <c r="A285" s="0" t="n">
        <v>1395</v>
      </c>
      <c r="B285" s="38" t="n">
        <f aca="false">A285/1440</f>
        <v>0.96875</v>
      </c>
      <c r="C285" s="39" t="n">
        <f aca="false">IF(C$4=0,0,IF(COUNTIFS(実績!$W$6:$W$505,C$3,実績!$AI$6:$AI$505,"&lt;="&amp;$A285,実績!$AJ$6:$AJ$505,"&gt;"&amp;$A285,実績!$AK$6:$AK$505,"○")&gt;0,1,0))</f>
        <v>0</v>
      </c>
      <c r="D285" s="39" t="n">
        <f aca="false">IF(D$4=0,0,IF(COUNTIFS(実績!$W$6:$W$505,D$3,実績!$AI$6:$AI$505,"&lt;="&amp;$A285,実績!$AJ$6:$AJ$505,"&gt;"&amp;$A285,実績!$AK$6:$AK$505,"○")&gt;0,1,0))</f>
        <v>0</v>
      </c>
      <c r="E285" s="39" t="n">
        <f aca="false">IF(E$4=0,0,IF(COUNTIFS(実績!$W$6:$W$505,E$3,実績!$AI$6:$AI$505,"&lt;="&amp;$A285,実績!$AJ$6:$AJ$505,"&gt;"&amp;$A285,実績!$AK$6:$AK$505,"○")&gt;0,1,0))</f>
        <v>0</v>
      </c>
      <c r="F285" s="39" t="n">
        <f aca="false">IF(F$4=0,0,IF(COUNTIFS(実績!$W$6:$W$505,F$3,実績!$AI$6:$AI$505,"&lt;="&amp;$A285,実績!$AJ$6:$AJ$505,"&gt;"&amp;$A285,実績!$AK$6:$AK$505,"○")&gt;0,1,0))</f>
        <v>0</v>
      </c>
      <c r="G285" s="39" t="n">
        <f aca="false">IF(G$4=0,0,IF(COUNTIFS(実績!$W$6:$W$505,G$3,実績!$AI$6:$AI$505,"&lt;="&amp;$A285,実績!$AJ$6:$AJ$505,"&gt;"&amp;$A285,実績!$AK$6:$AK$505,"○")&gt;0,1,0))</f>
        <v>0</v>
      </c>
      <c r="H285" s="39" t="n">
        <f aca="false">IF(H$4=0,0,IF(COUNTIFS(実績!$W$6:$W$505,H$3,実績!$AI$6:$AI$505,"&lt;="&amp;$A285,実績!$AJ$6:$AJ$505,"&gt;"&amp;$A285,実績!$AK$6:$AK$505,"○")&gt;0,1,0))</f>
        <v>0</v>
      </c>
      <c r="I285" s="39" t="n">
        <f aca="false">IF(I$4=0,0,IF(COUNTIFS(実績!$W$6:$W$505,I$3,実績!$AI$6:$AI$505,"&lt;="&amp;$A285,実績!$AJ$6:$AJ$505,"&gt;"&amp;$A285,実績!$AK$6:$AK$505,"○")&gt;0,1,0))</f>
        <v>0</v>
      </c>
      <c r="J285" s="39" t="n">
        <f aca="false">IF(J$4=0,0,IF(COUNTIFS(実績!$W$6:$W$505,J$3,実績!$AI$6:$AI$505,"&lt;="&amp;$A285,実績!$AJ$6:$AJ$505,"&gt;"&amp;$A285,実績!$AK$6:$AK$505,"○")&gt;0,1,0))</f>
        <v>0</v>
      </c>
      <c r="K285" s="39" t="n">
        <f aca="false">IF(K$4=0,0,IF(COUNTIFS(実績!$W$6:$W$505,K$3,実績!$AI$6:$AI$505,"&lt;="&amp;$A285,実績!$AJ$6:$AJ$505,"&gt;"&amp;$A285,実績!$AK$6:$AK$505,"○")&gt;0,1,0))</f>
        <v>0</v>
      </c>
      <c r="L285" s="39" t="n">
        <f aca="false">IF(L$4=0,0,IF(COUNTIFS(実績!$W$6:$W$505,L$3,実績!$AI$6:$AI$505,"&lt;="&amp;$A285,実績!$AJ$6:$AJ$505,"&gt;"&amp;$A285,実績!$AK$6:$AK$505,"○")&gt;0,1,0))</f>
        <v>0</v>
      </c>
      <c r="M285" s="39" t="n">
        <f aca="false">IF(M$4=0,0,IF(COUNTIFS(実績!$W$6:$W$505,M$3,実績!$AI$6:$AI$505,"&lt;="&amp;$A285,実績!$AJ$6:$AJ$505,"&gt;"&amp;$A285,実績!$AK$6:$AK$505,"○")&gt;0,1,0))</f>
        <v>0</v>
      </c>
      <c r="N285" s="39" t="n">
        <f aca="false">IF(N$4=0,0,IF(COUNTIFS(実績!$W$6:$W$505,N$3,実績!$AI$6:$AI$505,"&lt;="&amp;$A285,実績!$AJ$6:$AJ$505,"&gt;"&amp;$A285,実績!$AK$6:$AK$505,"○")&gt;0,1,0))</f>
        <v>0</v>
      </c>
      <c r="O285" s="39" t="n">
        <f aca="false">IF(O$4=0,0,IF(COUNTIFS(実績!$W$6:$W$505,O$3,実績!$AI$6:$AI$505,"&lt;="&amp;$A285,実績!$AJ$6:$AJ$505,"&gt;"&amp;$A285,実績!$AK$6:$AK$505,"○")&gt;0,1,0))</f>
        <v>0</v>
      </c>
      <c r="P285" s="39" t="n">
        <f aca="false">IF(P$4=0,0,IF(COUNTIFS(実績!$W$6:$W$505,P$3,実績!$AI$6:$AI$505,"&lt;="&amp;$A285,実績!$AJ$6:$AJ$505,"&gt;"&amp;$A285,実績!$AK$6:$AK$505,"○")&gt;0,1,0))</f>
        <v>0</v>
      </c>
      <c r="Q285" s="39" t="n">
        <f aca="false">IF(Q$4=0,0,IF(COUNTIFS(実績!$W$6:$W$505,Q$3,実績!$AI$6:$AI$505,"&lt;="&amp;$A285,実績!$AJ$6:$AJ$505,"&gt;"&amp;$A285,実績!$AK$6:$AK$505,"○")&gt;0,1,0))</f>
        <v>0</v>
      </c>
      <c r="R285" s="39" t="n">
        <f aca="false">IF(R$4=0,0,IF(COUNTIFS(実績!$W$6:$W$505,R$3,実績!$AI$6:$AI$505,"&lt;="&amp;$A285,実績!$AJ$6:$AJ$505,"&gt;"&amp;$A285,実績!$AK$6:$AK$505,"○")&gt;0,1,0))</f>
        <v>0</v>
      </c>
      <c r="S285" s="39" t="n">
        <f aca="false">IF(S$4=0,0,IF(COUNTIFS(実績!$W$6:$W$505,S$3,実績!$AI$6:$AI$505,"&lt;="&amp;$A285,実績!$AJ$6:$AJ$505,"&gt;"&amp;$A285,実績!$AK$6:$AK$505,"○")&gt;0,1,0))</f>
        <v>0</v>
      </c>
      <c r="T285" s="39" t="n">
        <f aca="false">IF(T$4=0,0,IF(COUNTIFS(実績!$W$6:$W$505,T$3,実績!$AI$6:$AI$505,"&lt;="&amp;$A285,実績!$AJ$6:$AJ$505,"&gt;"&amp;$A285,実績!$AK$6:$AK$505,"○")&gt;0,1,0))</f>
        <v>0</v>
      </c>
      <c r="U285" s="39" t="n">
        <f aca="false">IF(U$4=0,0,IF(COUNTIFS(実績!$W$6:$W$505,U$3,実績!$AI$6:$AI$505,"&lt;="&amp;$A285,実績!$AJ$6:$AJ$505,"&gt;"&amp;$A285,実績!$AK$6:$AK$505,"○")&gt;0,1,0))</f>
        <v>0</v>
      </c>
      <c r="V285" s="39" t="n">
        <f aca="false">IF(V$4=0,0,IF(COUNTIFS(実績!$W$6:$W$505,V$3,実績!$AI$6:$AI$505,"&lt;="&amp;$A285,実績!$AJ$6:$AJ$505,"&gt;"&amp;$A285,実績!$AK$6:$AK$505,"○")&gt;0,1,0))</f>
        <v>0</v>
      </c>
      <c r="W285" s="39" t="n">
        <f aca="false">IF(W$4=0,0,IF(COUNTIFS(実績!$W$6:$W$505,W$3,実績!$AI$6:$AI$505,"&lt;="&amp;$A285,実績!$AJ$6:$AJ$505,"&gt;"&amp;$A285,実績!$AK$6:$AK$505,"○")&gt;0,1,0))</f>
        <v>0</v>
      </c>
      <c r="X285" s="39" t="n">
        <f aca="false">IF(X$4=0,0,IF(COUNTIFS(実績!$W$6:$W$505,X$3,実績!$AI$6:$AI$505,"&lt;="&amp;$A285,実績!$AJ$6:$AJ$505,"&gt;"&amp;$A285,実績!$AK$6:$AK$505,"○")&gt;0,1,0))</f>
        <v>0</v>
      </c>
      <c r="Y285" s="39" t="n">
        <f aca="false">IF(Y$4=0,0,IF(COUNTIFS(実績!$W$6:$W$505,Y$3,実績!$AI$6:$AI$505,"&lt;="&amp;$A285,実績!$AJ$6:$AJ$505,"&gt;"&amp;$A285,実績!$AK$6:$AK$505,"○")&gt;0,1,0))</f>
        <v>0</v>
      </c>
      <c r="Z285" s="39" t="n">
        <f aca="false">IF(Z$4=0,0,IF(COUNTIFS(実績!$W$6:$W$505,Z$3,実績!$AI$6:$AI$505,"&lt;="&amp;$A285,実績!$AJ$6:$AJ$505,"&gt;"&amp;$A285,実績!$AK$6:$AK$505,"○")&gt;0,1,0))</f>
        <v>0</v>
      </c>
      <c r="AA285" s="39" t="n">
        <f aca="false">IF(AA$4=0,0,IF(COUNTIFS(実績!$W$6:$W$505,AA$3,実績!$AI$6:$AI$505,"&lt;="&amp;$A285,実績!$AJ$6:$AJ$505,"&gt;"&amp;$A285,実績!$AK$6:$AK$505,"○")&gt;0,1,0))</f>
        <v>0</v>
      </c>
      <c r="AB285" s="39" t="n">
        <f aca="false">IF(AB$4=0,0,IF(COUNTIFS(実績!$W$6:$W$505,AB$3,実績!$AI$6:$AI$505,"&lt;="&amp;$A285,実績!$AJ$6:$AJ$505,"&gt;"&amp;$A285,実績!$AK$6:$AK$505,"○")&gt;0,1,0))</f>
        <v>0</v>
      </c>
      <c r="AC285" s="39" t="n">
        <f aca="false">IF(AC$4=0,0,IF(COUNTIFS(実績!$W$6:$W$505,AC$3,実績!$AI$6:$AI$505,"&lt;="&amp;$A285,実績!$AJ$6:$AJ$505,"&gt;"&amp;$A285,実績!$AK$6:$AK$505,"○")&gt;0,1,0))</f>
        <v>0</v>
      </c>
      <c r="AD285" s="39" t="n">
        <f aca="false">IF(AD$4=0,0,IF(COUNTIFS(実績!$W$6:$W$505,AD$3,実績!$AI$6:$AI$505,"&lt;="&amp;$A285,実績!$AJ$6:$AJ$505,"&gt;"&amp;$A285,実績!$AK$6:$AK$505,"○")&gt;0,1,0))</f>
        <v>0</v>
      </c>
      <c r="AE285" s="39" t="n">
        <f aca="false">IF(AE$4=0,0,IF(COUNTIFS(実績!$W$6:$W$505,AE$3,実績!$AI$6:$AI$505,"&lt;="&amp;$A285,実績!$AJ$6:$AJ$505,"&gt;"&amp;$A285,実績!$AK$6:$AK$505,"○")&gt;0,1,0))</f>
        <v>0</v>
      </c>
      <c r="AF285" s="39" t="n">
        <f aca="false">IF(AF$4=0,0,IF(COUNTIFS(実績!$W$6:$W$505,AF$3,実績!$AI$6:$AI$505,"&lt;="&amp;$A285,実績!$AJ$6:$AJ$505,"&gt;"&amp;$A285,実績!$AK$6:$AK$505,"○")&gt;0,1,0))</f>
        <v>0</v>
      </c>
      <c r="AG285" s="39" t="n">
        <f aca="false">IF(AG$4=0,0,IF(COUNTIFS(実績!$W$6:$W$505,AG$3,実績!$AI$6:$AI$505,"&lt;="&amp;$A285,実績!$AJ$6:$AJ$505,"&gt;"&amp;$A285,実績!$AK$6:$AK$505,"○")&gt;0,1,0))</f>
        <v>0</v>
      </c>
      <c r="AH285" s="39" t="n">
        <f aca="false">IF(AH$4=0,0,IF(COUNTIFS(実績!$W$6:$W$505,AH$3,実績!$AI$6:$AI$505,"&lt;="&amp;$A285,実績!$AJ$6:$AJ$505,"&gt;"&amp;$A285,実績!$AK$6:$AK$505,"○")&gt;0,1,0))</f>
        <v>0</v>
      </c>
      <c r="AI285" s="39" t="n">
        <f aca="false">IF(AI$4=0,0,IF(COUNTIFS(実績!$W$6:$W$505,AI$3,実績!$AI$6:$AI$505,"&lt;="&amp;$A285,実績!$AJ$6:$AJ$505,"&gt;"&amp;$A285,実績!$AK$6:$AK$505,"○")&gt;0,1,0))</f>
        <v>0</v>
      </c>
      <c r="AJ285" s="39" t="n">
        <f aca="false">IF(AJ$4=0,0,IF(COUNTIFS(実績!$W$6:$W$505,AJ$3,実績!$AI$6:$AI$505,"&lt;="&amp;$A285,実績!$AJ$6:$AJ$505,"&gt;"&amp;$A285,実績!$AK$6:$AK$505,"○")&gt;0,1,0))</f>
        <v>0</v>
      </c>
      <c r="AK285" s="39" t="n">
        <f aca="false">IF(AK$4=0,0,IF(COUNTIFS(実績!$W$6:$W$505,AK$3,実績!$AI$6:$AI$505,"&lt;="&amp;$A285,実績!$AJ$6:$AJ$505,"&gt;"&amp;$A285,実績!$AK$6:$AK$505,"○")&gt;0,1,0))</f>
        <v>0</v>
      </c>
      <c r="AL285" s="39" t="n">
        <f aca="false">IF(AL$4=0,0,IF(COUNTIFS(実績!$W$6:$W$505,AL$3,実績!$AI$6:$AI$505,"&lt;="&amp;$A285,実績!$AJ$6:$AJ$505,"&gt;"&amp;$A285,実績!$AK$6:$AK$505,"○")&gt;0,1,0))</f>
        <v>0</v>
      </c>
      <c r="AM285" s="39" t="n">
        <f aca="false">IF(AM$4=0,0,IF(COUNTIFS(実績!$W$6:$W$505,AM$3,実績!$AI$6:$AI$505,"&lt;="&amp;$A285,実績!$AJ$6:$AJ$505,"&gt;"&amp;$A285,実績!$AK$6:$AK$505,"○")&gt;0,1,0))</f>
        <v>0</v>
      </c>
      <c r="AN285" s="39" t="n">
        <f aca="false">IF(AN$4=0,0,IF(COUNTIFS(実績!$W$6:$W$505,AN$3,実績!$AI$6:$AI$505,"&lt;="&amp;$A285,実績!$AJ$6:$AJ$505,"&gt;"&amp;$A285,実績!$AK$6:$AK$505,"○")&gt;0,1,0))</f>
        <v>0</v>
      </c>
      <c r="AO285" s="39" t="n">
        <f aca="false">IF(AO$4=0,0,IF(COUNTIFS(実績!$W$6:$W$505,AO$3,実績!$AI$6:$AI$505,"&lt;="&amp;$A285,実績!$AJ$6:$AJ$505,"&gt;"&amp;$A285,実績!$AK$6:$AK$505,"○")&gt;0,1,0))</f>
        <v>0</v>
      </c>
      <c r="AP285" s="39" t="n">
        <f aca="false">IF(AP$4=0,0,IF(COUNTIFS(実績!$W$6:$W$505,AP$3,実績!$AI$6:$AI$505,"&lt;="&amp;$A285,実績!$AJ$6:$AJ$505,"&gt;"&amp;$A285,実績!$AK$6:$AK$505,"○")&gt;0,1,0))</f>
        <v>0</v>
      </c>
      <c r="AQ285" s="39" t="n">
        <f aca="false">IF(AQ$4=0,0,IF(COUNTIFS(実績!$W$6:$W$505,AQ$3,実績!$AI$6:$AI$505,"&lt;="&amp;$A285,実績!$AJ$6:$AJ$505,"&gt;"&amp;$A285,実績!$AK$6:$AK$505,"○")&gt;0,1,0))</f>
        <v>0</v>
      </c>
      <c r="AR285" s="39" t="n">
        <f aca="false">IF(AR$4=0,0,IF(COUNTIFS(実績!$W$6:$W$505,AR$3,実績!$AI$6:$AI$505,"&lt;="&amp;$A285,実績!$AJ$6:$AJ$505,"&gt;"&amp;$A285,実績!$AK$6:$AK$505,"○")&gt;0,1,0))</f>
        <v>0</v>
      </c>
      <c r="AS285" s="39" t="n">
        <f aca="false">IF(AS$4=0,0,IF(COUNTIFS(実績!$W$6:$W$505,AS$3,実績!$AI$6:$AI$505,"&lt;="&amp;$A285,実績!$AJ$6:$AJ$505,"&gt;"&amp;$A285,実績!$AK$6:$AK$505,"○")&gt;0,1,0))</f>
        <v>0</v>
      </c>
      <c r="AT285" s="39" t="n">
        <f aca="false">IF(AT$4=0,0,IF(COUNTIFS(実績!$W$6:$W$505,AT$3,実績!$AI$6:$AI$505,"&lt;="&amp;$A285,実績!$AJ$6:$AJ$505,"&gt;"&amp;$A285,実績!$AK$6:$AK$505,"○")&gt;0,1,0))</f>
        <v>0</v>
      </c>
      <c r="AU285" s="39" t="n">
        <f aca="false">IF(AU$4=0,0,IF(COUNTIFS(実績!$W$6:$W$505,AU$3,実績!$AI$6:$AI$505,"&lt;="&amp;$A285,実績!$AJ$6:$AJ$505,"&gt;"&amp;$A285,実績!$AK$6:$AK$505,"○")&gt;0,1,0))</f>
        <v>0</v>
      </c>
      <c r="AV285" s="39" t="n">
        <f aca="false">IF(AV$4=0,0,IF(COUNTIFS(実績!$W$6:$W$505,AV$3,実績!$AI$6:$AI$505,"&lt;="&amp;$A285,実績!$AJ$6:$AJ$505,"&gt;"&amp;$A285,実績!$AK$6:$AK$505,"○")&gt;0,1,0))</f>
        <v>0</v>
      </c>
      <c r="AW285" s="39" t="n">
        <f aca="false">IF(AW$4=0,0,IF(COUNTIFS(実績!$W$6:$W$505,AW$3,実績!$AI$6:$AI$505,"&lt;="&amp;$A285,実績!$AJ$6:$AJ$505,"&gt;"&amp;$A285,実績!$AK$6:$AK$505,"○")&gt;0,1,0))</f>
        <v>0</v>
      </c>
      <c r="AX285" s="39" t="n">
        <f aca="false">IF(AX$4=0,0,IF(COUNTIFS(実績!$W$6:$W$505,AX$3,実績!$AI$6:$AI$505,"&lt;="&amp;$A285,実績!$AJ$6:$AJ$505,"&gt;"&amp;$A285,実績!$AK$6:$AK$505,"○")&gt;0,1,0))</f>
        <v>0</v>
      </c>
      <c r="AY285" s="39" t="n">
        <f aca="false">IF(AY$4=0,0,IF(COUNTIFS(実績!$W$6:$W$505,AY$3,実績!$AI$6:$AI$505,"&lt;="&amp;$A285,実績!$AJ$6:$AJ$505,"&gt;"&amp;$A285,実績!$AK$6:$AK$505,"○")&gt;0,1,0))</f>
        <v>0</v>
      </c>
      <c r="AZ285" s="39" t="n">
        <f aca="false">IF(AZ$4=0,0,IF(COUNTIFS(実績!$W$6:$W$505,AZ$3,実績!$AI$6:$AI$505,"&lt;="&amp;$A285,実績!$AJ$6:$AJ$505,"&gt;"&amp;$A285,実績!$AK$6:$AK$505,"○")&gt;0,1,0))</f>
        <v>0</v>
      </c>
      <c r="BA285" s="39" t="n">
        <f aca="false">IF(BA$4=0,0,IF(COUNTIFS(実績!$W$6:$W$505,BA$3,実績!$AI$6:$AI$505,"&lt;="&amp;$A285,実績!$AJ$6:$AJ$505,"&gt;"&amp;$A285,実績!$AK$6:$AK$505,"○")&gt;0,1,0))</f>
        <v>0</v>
      </c>
      <c r="BB285" s="39" t="n">
        <f aca="false">IF(BB$4=0,0,IF(COUNTIFS(実績!$W$6:$W$505,BB$3,実績!$AI$6:$AI$505,"&lt;="&amp;$A285,実績!$AJ$6:$AJ$505,"&gt;"&amp;$A285,実績!$AK$6:$AK$505,"○")&gt;0,1,0))</f>
        <v>0</v>
      </c>
      <c r="BC285" s="39" t="n">
        <f aca="false">IF(BC$4=0,0,IF(COUNTIFS(実績!$W$6:$W$505,BC$3,実績!$AI$6:$AI$505,"&lt;="&amp;$A285,実績!$AJ$6:$AJ$505,"&gt;"&amp;$A285,実績!$AK$6:$AK$505,"○")&gt;0,1,0))</f>
        <v>0</v>
      </c>
      <c r="BD285" s="39" t="n">
        <f aca="false">IF(BD$4=0,0,IF(COUNTIFS(実績!$W$6:$W$505,BD$3,実績!$AI$6:$AI$505,"&lt;="&amp;$A285,実績!$AJ$6:$AJ$505,"&gt;"&amp;$A285,実績!$AK$6:$AK$505,"○")&gt;0,1,0))</f>
        <v>0</v>
      </c>
      <c r="BE285" s="39" t="n">
        <f aca="false">IF(BE$4=0,0,IF(COUNTIFS(実績!$W$6:$W$505,BE$3,実績!$AI$6:$AI$505,"&lt;="&amp;$A285,実績!$AJ$6:$AJ$505,"&gt;"&amp;$A285,実績!$AK$6:$AK$505,"○")&gt;0,1,0))</f>
        <v>0</v>
      </c>
      <c r="BF285" s="39" t="n">
        <f aca="false">IF(BF$4=0,0,IF(COUNTIFS(実績!$W$6:$W$505,BF$3,実績!$AI$6:$AI$505,"&lt;="&amp;$A285,実績!$AJ$6:$AJ$505,"&gt;"&amp;$A285,実績!$AK$6:$AK$505,"○")&gt;0,1,0))</f>
        <v>0</v>
      </c>
      <c r="BG285" s="39" t="n">
        <f aca="false">IF(BG$4=0,0,IF(COUNTIFS(実績!$W$6:$W$505,BG$3,実績!$AI$6:$AI$505,"&lt;="&amp;$A285,実績!$AJ$6:$AJ$505,"&gt;"&amp;$A285,実績!$AK$6:$AK$505,"○")&gt;0,1,0))</f>
        <v>0</v>
      </c>
      <c r="BH285" s="39" t="n">
        <f aca="false">IF(BH$4=0,0,IF(COUNTIFS(実績!$W$6:$W$505,BH$3,実績!$AI$6:$AI$505,"&lt;="&amp;$A285,実績!$AJ$6:$AJ$505,"&gt;"&amp;$A285,実績!$AK$6:$AK$505,"○")&gt;0,1,0))</f>
        <v>0</v>
      </c>
      <c r="BI285" s="39" t="n">
        <f aca="false">IF(BI$4=0,0,IF(COUNTIFS(実績!$W$6:$W$505,BI$3,実績!$AI$6:$AI$505,"&lt;="&amp;$A285,実績!$AJ$6:$AJ$505,"&gt;"&amp;$A285,実績!$AK$6:$AK$505,"○")&gt;0,1,0))</f>
        <v>0</v>
      </c>
      <c r="BJ285" s="39" t="n">
        <f aca="false">IF(BJ$4=0,0,IF(COUNTIFS(実績!$W$6:$W$505,BJ$3,実績!$AI$6:$AI$505,"&lt;="&amp;$A285,実績!$AJ$6:$AJ$505,"&gt;"&amp;$A285,実績!$AK$6:$AK$505,"○")&gt;0,1,0))</f>
        <v>0</v>
      </c>
      <c r="BK285" s="39" t="n">
        <f aca="false">IF(BK$4=0,0,IF(COUNTIFS(実績!$W$6:$W$505,BK$3,実績!$AI$6:$AI$505,"&lt;="&amp;$A285,実績!$AJ$6:$AJ$505,"&gt;"&amp;$A285,実績!$AK$6:$AK$505,"○")&gt;0,1,0))</f>
        <v>0</v>
      </c>
      <c r="BL285" s="39" t="n">
        <f aca="false">IF(BL$4=0,0,IF(COUNTIFS(実績!$W$6:$W$505,BL$3,実績!$AI$6:$AI$505,"&lt;="&amp;$A285,実績!$AJ$6:$AJ$505,"&gt;"&amp;$A285,実績!$AK$6:$AK$505,"○")&gt;0,1,0))</f>
        <v>0</v>
      </c>
      <c r="BM285" s="39" t="n">
        <f aca="false">IF(BM$4=0,0,IF(COUNTIFS(実績!$W$6:$W$505,BM$3,実績!$AI$6:$AI$505,"&lt;="&amp;$A285,実績!$AJ$6:$AJ$505,"&gt;"&amp;$A285,実績!$AK$6:$AK$505,"○")&gt;0,1,0))</f>
        <v>0</v>
      </c>
      <c r="BN285" s="39" t="n">
        <f aca="false">IF(BN$4=0,0,IF(COUNTIFS(実績!$W$6:$W$505,BN$3,実績!$AI$6:$AI$505,"&lt;="&amp;$A285,実績!$AJ$6:$AJ$505,"&gt;"&amp;$A285,実績!$AK$6:$AK$505,"○")&gt;0,1,0))</f>
        <v>0</v>
      </c>
      <c r="BO285" s="39" t="n">
        <f aca="false">IF(BO$4=0,0,IF(COUNTIFS(実績!$W$6:$W$505,BO$3,実績!$AI$6:$AI$505,"&lt;="&amp;$A285,実績!$AJ$6:$AJ$505,"&gt;"&amp;$A285,実績!$AK$6:$AK$505,"○")&gt;0,1,0))</f>
        <v>0</v>
      </c>
      <c r="BP285" s="39" t="n">
        <f aca="false">IF(BP$4=0,0,IF(COUNTIFS(実績!$W$6:$W$505,BP$3,実績!$AI$6:$AI$505,"&lt;="&amp;$A285,実績!$AJ$6:$AJ$505,"&gt;"&amp;$A285,実績!$AK$6:$AK$505,"○")&gt;0,1,0))</f>
        <v>0</v>
      </c>
      <c r="BQ285" s="39" t="n">
        <f aca="false">IF(BQ$4=0,0,IF(COUNTIFS(実績!$W$6:$W$505,BQ$3,実績!$AI$6:$AI$505,"&lt;="&amp;$A285,実績!$AJ$6:$AJ$505,"&gt;"&amp;$A285,実績!$AK$6:$AK$505,"○")&gt;0,1,0))</f>
        <v>0</v>
      </c>
      <c r="BR285" s="39" t="n">
        <f aca="false">IF(BR$4=0,0,IF(COUNTIFS(実績!$W$6:$W$505,BR$3,実績!$AI$6:$AI$505,"&lt;="&amp;$A285,実績!$AJ$6:$AJ$505,"&gt;"&amp;$A285,実績!$AK$6:$AK$505,"○")&gt;0,1,0))</f>
        <v>0</v>
      </c>
      <c r="BS285" s="39" t="n">
        <f aca="false">IF(BS$4=0,0,IF(COUNTIFS(実績!$W$6:$W$505,BS$3,実績!$AI$6:$AI$505,"&lt;="&amp;$A285,実績!$AJ$6:$AJ$505,"&gt;"&amp;$A285,実績!$AK$6:$AK$505,"○")&gt;0,1,0))</f>
        <v>0</v>
      </c>
      <c r="BT285" s="39" t="n">
        <f aca="false">IF(BT$4=0,0,IF(COUNTIFS(実績!$W$6:$W$505,BT$3,実績!$AI$6:$AI$505,"&lt;="&amp;$A285,実績!$AJ$6:$AJ$505,"&gt;"&amp;$A285,実績!$AK$6:$AK$505,"○")&gt;0,1,0))</f>
        <v>0</v>
      </c>
      <c r="BU285" s="39" t="n">
        <f aca="false">IF(BU$4=0,0,IF(COUNTIFS(実績!$W$6:$W$505,BU$3,実績!$AI$6:$AI$505,"&lt;="&amp;$A285,実績!$AJ$6:$AJ$505,"&gt;"&amp;$A285,実績!$AK$6:$AK$505,"○")&gt;0,1,0))</f>
        <v>0</v>
      </c>
      <c r="BV285" s="39" t="n">
        <f aca="false">IF(BV$4=0,0,IF(COUNTIFS(実績!$W$6:$W$505,BV$3,実績!$AI$6:$AI$505,"&lt;="&amp;$A285,実績!$AJ$6:$AJ$505,"&gt;"&amp;$A285,実績!$AK$6:$AK$505,"○")&gt;0,1,0))</f>
        <v>0</v>
      </c>
      <c r="BW285" s="39" t="n">
        <f aca="false">IF(BW$4=0,0,IF(COUNTIFS(実績!$W$6:$W$505,BW$3,実績!$AI$6:$AI$505,"&lt;="&amp;$A285,実績!$AJ$6:$AJ$505,"&gt;"&amp;$A285,実績!$AK$6:$AK$505,"○")&gt;0,1,0))</f>
        <v>0</v>
      </c>
      <c r="BX285" s="39" t="n">
        <f aca="false">IF(BX$4=0,0,IF(COUNTIFS(実績!$W$6:$W$505,BX$3,実績!$AI$6:$AI$505,"&lt;="&amp;$A285,実績!$AJ$6:$AJ$505,"&gt;"&amp;$A285,実績!$AK$6:$AK$505,"○")&gt;0,1,0))</f>
        <v>0</v>
      </c>
      <c r="BY285" s="39" t="n">
        <f aca="false">IF(BY$4=0,0,IF(COUNTIFS(実績!$W$6:$W$505,BY$3,実績!$AI$6:$AI$505,"&lt;="&amp;$A285,実績!$AJ$6:$AJ$505,"&gt;"&amp;$A285,実績!$AK$6:$AK$505,"○")&gt;0,1,0))</f>
        <v>0</v>
      </c>
      <c r="BZ285" s="39" t="n">
        <f aca="false">IF(BZ$4=0,0,IF(COUNTIFS(実績!$W$6:$W$505,BZ$3,実績!$AI$6:$AI$505,"&lt;="&amp;$A285,実績!$AJ$6:$AJ$505,"&gt;"&amp;$A285,実績!$AK$6:$AK$505,"○")&gt;0,1,0))</f>
        <v>0</v>
      </c>
      <c r="CA285" s="39" t="n">
        <f aca="false">IF(CA$4=0,0,IF(COUNTIFS(実績!$W$6:$W$505,CA$3,実績!$AI$6:$AI$505,"&lt;="&amp;$A285,実績!$AJ$6:$AJ$505,"&gt;"&amp;$A285,実績!$AK$6:$AK$505,"○")&gt;0,1,0))</f>
        <v>0</v>
      </c>
      <c r="CB285" s="39" t="n">
        <f aca="false">IF(CB$4=0,0,IF(COUNTIFS(実績!$W$6:$W$505,CB$3,実績!$AI$6:$AI$505,"&lt;="&amp;$A285,実績!$AJ$6:$AJ$505,"&gt;"&amp;$A285,実績!$AK$6:$AK$505,"○")&gt;0,1,0))</f>
        <v>0</v>
      </c>
      <c r="CC285" s="39" t="n">
        <f aca="false">IF(CC$4=0,0,IF(COUNTIFS(実績!$W$6:$W$505,CC$3,実績!$AI$6:$AI$505,"&lt;="&amp;$A285,実績!$AJ$6:$AJ$505,"&gt;"&amp;$A285,実績!$AK$6:$AK$505,"○")&gt;0,1,0))</f>
        <v>0</v>
      </c>
      <c r="CD285" s="39" t="n">
        <f aca="false">IF(CD$4=0,0,IF(COUNTIFS(実績!$W$6:$W$505,CD$3,実績!$AI$6:$AI$505,"&lt;="&amp;$A285,実績!$AJ$6:$AJ$505,"&gt;"&amp;$A285,実績!$AK$6:$AK$505,"○")&gt;0,1,0))</f>
        <v>0</v>
      </c>
      <c r="CE285" s="39" t="n">
        <f aca="false">IF(CE$4=0,0,IF(COUNTIFS(実績!$W$6:$W$505,CE$3,実績!$AI$6:$AI$505,"&lt;="&amp;$A285,実績!$AJ$6:$AJ$505,"&gt;"&amp;$A285,実績!$AK$6:$AK$505,"○")&gt;0,1,0))</f>
        <v>0</v>
      </c>
      <c r="CF285" s="39" t="n">
        <f aca="false">IF(CF$4=0,0,IF(COUNTIFS(実績!$W$6:$W$505,CF$3,実績!$AI$6:$AI$505,"&lt;="&amp;$A285,実績!$AJ$6:$AJ$505,"&gt;"&amp;$A285,実績!$AK$6:$AK$505,"○")&gt;0,1,0))</f>
        <v>0</v>
      </c>
      <c r="CG285" s="39" t="n">
        <f aca="false">IF(CG$4=0,0,IF(COUNTIFS(実績!$W$6:$W$505,CG$3,実績!$AI$6:$AI$505,"&lt;="&amp;$A285,実績!$AJ$6:$AJ$505,"&gt;"&amp;$A285,実績!$AK$6:$AK$505,"○")&gt;0,1,0))</f>
        <v>0</v>
      </c>
      <c r="CH285" s="39" t="n">
        <f aca="false">IF(CH$4=0,0,IF(COUNTIFS(実績!$W$6:$W$505,CH$3,実績!$AI$6:$AI$505,"&lt;="&amp;$A285,実績!$AJ$6:$AJ$505,"&gt;"&amp;$A285,実績!$AK$6:$AK$505,"○")&gt;0,1,0))</f>
        <v>0</v>
      </c>
      <c r="CI285" s="39" t="n">
        <f aca="false">IF(CI$4=0,0,IF(COUNTIFS(実績!$W$6:$W$505,CI$3,実績!$AI$6:$AI$505,"&lt;="&amp;$A285,実績!$AJ$6:$AJ$505,"&gt;"&amp;$A285,実績!$AK$6:$AK$505,"○")&gt;0,1,0))</f>
        <v>0</v>
      </c>
      <c r="CJ285" s="39" t="n">
        <f aca="false">IF(CJ$4=0,0,IF(COUNTIFS(実績!$W$6:$W$505,CJ$3,実績!$AI$6:$AI$505,"&lt;="&amp;$A285,実績!$AJ$6:$AJ$505,"&gt;"&amp;$A285,実績!$AK$6:$AK$505,"○")&gt;0,1,0))</f>
        <v>0</v>
      </c>
      <c r="CK285" s="39" t="n">
        <f aca="false">IF(CK$4=0,0,IF(COUNTIFS(実績!$W$6:$W$505,CK$3,実績!$AI$6:$AI$505,"&lt;="&amp;$A285,実績!$AJ$6:$AJ$505,"&gt;"&amp;$A285,実績!$AK$6:$AK$505,"○")&gt;0,1,0))</f>
        <v>0</v>
      </c>
      <c r="CL285" s="39" t="n">
        <f aca="false">IF(CL$4=0,0,IF(COUNTIFS(実績!$W$6:$W$505,CL$3,実績!$AI$6:$AI$505,"&lt;="&amp;$A285,実績!$AJ$6:$AJ$505,"&gt;"&amp;$A285,実績!$AK$6:$AK$505,"○")&gt;0,1,0))</f>
        <v>0</v>
      </c>
      <c r="CM285" s="39" t="n">
        <f aca="false">IF(CM$4=0,0,IF(COUNTIFS(実績!$W$6:$W$505,CM$3,実績!$AI$6:$AI$505,"&lt;="&amp;$A285,実績!$AJ$6:$AJ$505,"&gt;"&amp;$A285,実績!$AK$6:$AK$505,"○")&gt;0,1,0))</f>
        <v>0</v>
      </c>
      <c r="CN285" s="39" t="n">
        <f aca="false">IF(CN$4=0,0,IF(COUNTIFS(実績!$W$6:$W$505,CN$3,実績!$AI$6:$AI$505,"&lt;="&amp;$A285,実績!$AJ$6:$AJ$505,"&gt;"&amp;$A285,実績!$AK$6:$AK$505,"○")&gt;0,1,0))</f>
        <v>0</v>
      </c>
      <c r="CO285" s="39" t="n">
        <f aca="false">IF(CO$4=0,0,IF(COUNTIFS(実績!$W$6:$W$505,CO$3,実績!$AI$6:$AI$505,"&lt;="&amp;$A285,実績!$AJ$6:$AJ$505,"&gt;"&amp;$A285,実績!$AK$6:$AK$505,"○")&gt;0,1,0))</f>
        <v>0</v>
      </c>
      <c r="CP285" s="39" t="n">
        <f aca="false">IF(CP$4=0,0,IF(COUNTIFS(実績!$W$6:$W$505,CP$3,実績!$AI$6:$AI$505,"&lt;="&amp;$A285,実績!$AJ$6:$AJ$505,"&gt;"&amp;$A285,実績!$AK$6:$AK$505,"○")&gt;0,1,0))</f>
        <v>0</v>
      </c>
      <c r="CQ285" s="39" t="n">
        <f aca="false">IF(CQ$4=0,0,IF(COUNTIFS(実績!$W$6:$W$505,CQ$3,実績!$AI$6:$AI$505,"&lt;="&amp;$A285,実績!$AJ$6:$AJ$505,"&gt;"&amp;$A285,実績!$AK$6:$AK$505,"○")&gt;0,1,0))</f>
        <v>0</v>
      </c>
      <c r="CR285" s="39" t="n">
        <f aca="false">IF(CR$4=0,0,IF(COUNTIFS(実績!$W$6:$W$505,CR$3,実績!$AI$6:$AI$505,"&lt;="&amp;$A285,実績!$AJ$6:$AJ$505,"&gt;"&amp;$A285,実績!$AK$6:$AK$505,"○")&gt;0,1,0))</f>
        <v>0</v>
      </c>
      <c r="CS285" s="39" t="n">
        <f aca="false">IF(CS$4=0,0,IF(COUNTIFS(実績!$W$6:$W$505,CS$3,実績!$AI$6:$AI$505,"&lt;="&amp;$A285,実績!$AJ$6:$AJ$505,"&gt;"&amp;$A285,実績!$AK$6:$AK$505,"○")&gt;0,1,0))</f>
        <v>0</v>
      </c>
      <c r="CT285" s="39" t="n">
        <f aca="false">IF(CT$4=0,0,IF(COUNTIFS(実績!$W$6:$W$505,CT$3,実績!$AI$6:$AI$505,"&lt;="&amp;$A285,実績!$AJ$6:$AJ$505,"&gt;"&amp;$A285,実績!$AK$6:$AK$505,"○")&gt;0,1,0))</f>
        <v>0</v>
      </c>
      <c r="CU285" s="39" t="n">
        <f aca="false">IF(CU$4=0,0,IF(COUNTIFS(実績!$W$6:$W$505,CU$3,実績!$AI$6:$AI$505,"&lt;="&amp;$A285,実績!$AJ$6:$AJ$505,"&gt;"&amp;$A285,実績!$AK$6:$AK$505,"○")&gt;0,1,0))</f>
        <v>0</v>
      </c>
      <c r="CV285" s="39" t="n">
        <f aca="false">IF(CV$4=0,0,IF(COUNTIFS(実績!$W$6:$W$505,CV$3,実績!$AI$6:$AI$505,"&lt;="&amp;$A285,実績!$AJ$6:$AJ$505,"&gt;"&amp;$A285,実績!$AK$6:$AK$505,"○")&gt;0,1,0))</f>
        <v>0</v>
      </c>
      <c r="CW285" s="39" t="n">
        <f aca="false">IF(CW$4=0,0,IF(COUNTIFS(実績!$W$6:$W$505,CW$3,実績!$AI$6:$AI$505,"&lt;="&amp;$A285,実績!$AJ$6:$AJ$505,"&gt;"&amp;$A285,実績!$AK$6:$AK$505,"○")&gt;0,1,0))</f>
        <v>0</v>
      </c>
      <c r="CX285" s="39" t="n">
        <f aca="false">IF(CX$4=0,0,IF(COUNTIFS(実績!$W$6:$W$505,CX$3,実績!$AI$6:$AI$505,"&lt;="&amp;$A285,実績!$AJ$6:$AJ$505,"&gt;"&amp;$A285,実績!$AK$6:$AK$505,"○")&gt;0,1,0))</f>
        <v>0</v>
      </c>
      <c r="CY285" s="39" t="n">
        <f aca="false">IF(CY$4=0,0,IF(COUNTIFS(実績!$W$6:$W$505,CY$3,実績!$AI$6:$AI$505,"&lt;="&amp;$A285,実績!$AJ$6:$AJ$505,"&gt;"&amp;$A285,実績!$AK$6:$AK$505,"○")&gt;0,1,0))</f>
        <v>0</v>
      </c>
      <c r="CZ285" s="39" t="n">
        <f aca="false">IF(CZ$4=0,0,IF(COUNTIFS(実績!$W$6:$W$505,CZ$3,実績!$AI$6:$AI$505,"&lt;="&amp;$A285,実績!$AJ$6:$AJ$505,"&gt;"&amp;$A285,実績!$AK$6:$AK$505,"○")&gt;0,1,0))</f>
        <v>0</v>
      </c>
      <c r="DA285" s="39" t="n">
        <f aca="false">IF(DA$4=0,0,IF(COUNTIFS(実績!$W$6:$W$505,DA$3,実績!$AI$6:$AI$505,"&lt;="&amp;$A285,実績!$AJ$6:$AJ$505,"&gt;"&amp;$A285,実績!$AK$6:$AK$505,"○")&gt;0,1,0))</f>
        <v>0</v>
      </c>
      <c r="DB285" s="39" t="n">
        <f aca="false">IF(DB$4=0,0,IF(COUNTIFS(実績!$W$6:$W$505,DB$3,実績!$AI$6:$AI$505,"&lt;="&amp;$A285,実績!$AJ$6:$AJ$505,"&gt;"&amp;$A285,実績!$AK$6:$AK$505,"○")&gt;0,1,0))</f>
        <v>0</v>
      </c>
      <c r="DC285" s="39" t="n">
        <f aca="false">IF(DC$4=0,0,IF(COUNTIFS(実績!$W$6:$W$505,DC$3,実績!$AI$6:$AI$505,"&lt;="&amp;$A285,実績!$AJ$6:$AJ$505,"&gt;"&amp;$A285,実績!$AK$6:$AK$505,"○")&gt;0,1,0))</f>
        <v>0</v>
      </c>
      <c r="DD285" s="39" t="n">
        <f aca="false">IF(DD$4=0,0,IF(COUNTIFS(実績!$W$6:$W$505,DD$3,実績!$AI$6:$AI$505,"&lt;="&amp;$A285,実績!$AJ$6:$AJ$505,"&gt;"&amp;$A285,実績!$AK$6:$AK$505,"○")&gt;0,1,0))</f>
        <v>0</v>
      </c>
      <c r="DE285" s="39" t="n">
        <f aca="false">IF(DE$4=0,0,IF(COUNTIFS(実績!$W$6:$W$505,DE$3,実績!$AI$6:$AI$505,"&lt;="&amp;$A285,実績!$AJ$6:$AJ$505,"&gt;"&amp;$A285,実績!$AK$6:$AK$505,"○")&gt;0,1,0))</f>
        <v>0</v>
      </c>
      <c r="DF285" s="39" t="n">
        <f aca="false">IF(DF$4=0,0,IF(COUNTIFS(実績!$W$6:$W$505,DF$3,実績!$AI$6:$AI$505,"&lt;="&amp;$A285,実績!$AJ$6:$AJ$505,"&gt;"&amp;$A285,実績!$AK$6:$AK$505,"○")&gt;0,1,0))</f>
        <v>0</v>
      </c>
      <c r="DG285" s="39" t="n">
        <f aca="false">IF(DG$4=0,0,IF(COUNTIFS(実績!$W$6:$W$505,DG$3,実績!$AI$6:$AI$505,"&lt;="&amp;$A285,実績!$AJ$6:$AJ$505,"&gt;"&amp;$A285,実績!$AK$6:$AK$505,"○")&gt;0,1,0))</f>
        <v>0</v>
      </c>
      <c r="DH285" s="39" t="n">
        <f aca="false">IF(DH$4=0,0,IF(COUNTIFS(実績!$W$6:$W$505,DH$3,実績!$AI$6:$AI$505,"&lt;="&amp;$A285,実績!$AJ$6:$AJ$505,"&gt;"&amp;$A285,実績!$AK$6:$AK$505,"○")&gt;0,1,0))</f>
        <v>0</v>
      </c>
      <c r="DI285" s="39" t="n">
        <f aca="false">IF(DI$4=0,0,IF(COUNTIFS(実績!$W$6:$W$505,DI$3,実績!$AI$6:$AI$505,"&lt;="&amp;$A285,実績!$AJ$6:$AJ$505,"&gt;"&amp;$A285,実績!$AK$6:$AK$505,"○")&gt;0,1,0))</f>
        <v>0</v>
      </c>
      <c r="DJ285" s="39" t="n">
        <f aca="false">IF(DJ$4=0,0,IF(COUNTIFS(実績!$W$6:$W$505,DJ$3,実績!$AI$6:$AI$505,"&lt;="&amp;$A285,実績!$AJ$6:$AJ$505,"&gt;"&amp;$A285,実績!$AK$6:$AK$505,"○")&gt;0,1,0))</f>
        <v>0</v>
      </c>
      <c r="DK285" s="39" t="n">
        <f aca="false">IF(DK$4=0,0,IF(COUNTIFS(実績!$W$6:$W$505,DK$3,実績!$AI$6:$AI$505,"&lt;="&amp;$A285,実績!$AJ$6:$AJ$505,"&gt;"&amp;$A285,実績!$AK$6:$AK$505,"○")&gt;0,1,0))</f>
        <v>0</v>
      </c>
      <c r="DL285" s="39" t="n">
        <f aca="false">IF(DL$4=0,0,IF(COUNTIFS(実績!$W$6:$W$505,DL$3,実績!$AI$6:$AI$505,"&lt;="&amp;$A285,実績!$AJ$6:$AJ$505,"&gt;"&amp;$A285,実績!$AK$6:$AK$505,"○")&gt;0,1,0))</f>
        <v>0</v>
      </c>
      <c r="DM285" s="39" t="n">
        <f aca="false">IF(DM$4=0,0,IF(COUNTIFS(実績!$W$6:$W$505,DM$3,実績!$AI$6:$AI$505,"&lt;="&amp;$A285,実績!$AJ$6:$AJ$505,"&gt;"&amp;$A285,実績!$AK$6:$AK$505,"○")&gt;0,1,0))</f>
        <v>0</v>
      </c>
      <c r="DN285" s="39" t="n">
        <f aca="false">IF(DN$4=0,0,IF(COUNTIFS(実績!$W$6:$W$505,DN$3,実績!$AI$6:$AI$505,"&lt;="&amp;$A285,実績!$AJ$6:$AJ$505,"&gt;"&amp;$A285,実績!$AK$6:$AK$505,"○")&gt;0,1,0))</f>
        <v>0</v>
      </c>
      <c r="DO285" s="39" t="n">
        <f aca="false">IF(DO$4=0,0,IF(COUNTIFS(実績!$W$6:$W$505,DO$3,実績!$AI$6:$AI$505,"&lt;="&amp;$A285,実績!$AJ$6:$AJ$505,"&gt;"&amp;$A285,実績!$AK$6:$AK$505,"○")&gt;0,1,0))</f>
        <v>0</v>
      </c>
      <c r="DP285" s="39" t="n">
        <f aca="false">IF(DP$4=0,0,IF(COUNTIFS(実績!$W$6:$W$505,DP$3,実績!$AI$6:$AI$505,"&lt;="&amp;$A285,実績!$AJ$6:$AJ$505,"&gt;"&amp;$A285,実績!$AK$6:$AK$505,"○")&gt;0,1,0))</f>
        <v>0</v>
      </c>
      <c r="DQ285" s="39" t="n">
        <f aca="false">IF(DQ$4=0,0,IF(COUNTIFS(実績!$W$6:$W$505,DQ$3,実績!$AI$6:$AI$505,"&lt;="&amp;$A285,実績!$AJ$6:$AJ$505,"&gt;"&amp;$A285,実績!$AK$6:$AK$505,"○")&gt;0,1,0))</f>
        <v>0</v>
      </c>
      <c r="DR285" s="39" t="n">
        <f aca="false">IF(DR$4=0,0,IF(COUNTIFS(実績!$W$6:$W$505,DR$3,実績!$AI$6:$AI$505,"&lt;="&amp;$A285,実績!$AJ$6:$AJ$505,"&gt;"&amp;$A285,実績!$AK$6:$AK$505,"○")&gt;0,1,0))</f>
        <v>0</v>
      </c>
      <c r="DS285" s="39" t="n">
        <f aca="false">SUM(C285:DR285)</f>
        <v>0</v>
      </c>
      <c r="DT285" s="39" t="n">
        <f aca="false">SUMPRODUCT((実績!$C$6:$C$505="○")*ISNUMBER(実績!$AM$6:$AM$505)*(実績!$AM$6:$AM$505&lt;=$A285)*(実績!$AN$6:$AN$505&gt;$A285))</f>
        <v>0</v>
      </c>
      <c r="DU285" s="39" t="n">
        <f aca="false">SUMIF($C$2:$DR$2,"製鉄曳船",C285:DR285)</f>
        <v>0</v>
      </c>
      <c r="DV285" s="39" t="n">
        <f aca="false">SUMIF($C$2:$DR$2,"西日本海運",C285:DR285)</f>
        <v>0</v>
      </c>
    </row>
    <row r="286" customFormat="false" ht="15" hidden="false" customHeight="false" outlineLevel="0" collapsed="false">
      <c r="A286" s="0" t="n">
        <v>1400</v>
      </c>
      <c r="B286" s="38" t="n">
        <f aca="false">A286/1440</f>
        <v>0.972222222222222</v>
      </c>
      <c r="C286" s="39" t="n">
        <f aca="false">IF(C$4=0,0,IF(COUNTIFS(実績!$W$6:$W$505,C$3,実績!$AI$6:$AI$505,"&lt;="&amp;$A286,実績!$AJ$6:$AJ$505,"&gt;"&amp;$A286,実績!$AK$6:$AK$505,"○")&gt;0,1,0))</f>
        <v>0</v>
      </c>
      <c r="D286" s="39" t="n">
        <f aca="false">IF(D$4=0,0,IF(COUNTIFS(実績!$W$6:$W$505,D$3,実績!$AI$6:$AI$505,"&lt;="&amp;$A286,実績!$AJ$6:$AJ$505,"&gt;"&amp;$A286,実績!$AK$6:$AK$505,"○")&gt;0,1,0))</f>
        <v>0</v>
      </c>
      <c r="E286" s="39" t="n">
        <f aca="false">IF(E$4=0,0,IF(COUNTIFS(実績!$W$6:$W$505,E$3,実績!$AI$6:$AI$505,"&lt;="&amp;$A286,実績!$AJ$6:$AJ$505,"&gt;"&amp;$A286,実績!$AK$6:$AK$505,"○")&gt;0,1,0))</f>
        <v>0</v>
      </c>
      <c r="F286" s="39" t="n">
        <f aca="false">IF(F$4=0,0,IF(COUNTIFS(実績!$W$6:$W$505,F$3,実績!$AI$6:$AI$505,"&lt;="&amp;$A286,実績!$AJ$6:$AJ$505,"&gt;"&amp;$A286,実績!$AK$6:$AK$505,"○")&gt;0,1,0))</f>
        <v>0</v>
      </c>
      <c r="G286" s="39" t="n">
        <f aca="false">IF(G$4=0,0,IF(COUNTIFS(実績!$W$6:$W$505,G$3,実績!$AI$6:$AI$505,"&lt;="&amp;$A286,実績!$AJ$6:$AJ$505,"&gt;"&amp;$A286,実績!$AK$6:$AK$505,"○")&gt;0,1,0))</f>
        <v>0</v>
      </c>
      <c r="H286" s="39" t="n">
        <f aca="false">IF(H$4=0,0,IF(COUNTIFS(実績!$W$6:$W$505,H$3,実績!$AI$6:$AI$505,"&lt;="&amp;$A286,実績!$AJ$6:$AJ$505,"&gt;"&amp;$A286,実績!$AK$6:$AK$505,"○")&gt;0,1,0))</f>
        <v>0</v>
      </c>
      <c r="I286" s="39" t="n">
        <f aca="false">IF(I$4=0,0,IF(COUNTIFS(実績!$W$6:$W$505,I$3,実績!$AI$6:$AI$505,"&lt;="&amp;$A286,実績!$AJ$6:$AJ$505,"&gt;"&amp;$A286,実績!$AK$6:$AK$505,"○")&gt;0,1,0))</f>
        <v>0</v>
      </c>
      <c r="J286" s="39" t="n">
        <f aca="false">IF(J$4=0,0,IF(COUNTIFS(実績!$W$6:$W$505,J$3,実績!$AI$6:$AI$505,"&lt;="&amp;$A286,実績!$AJ$6:$AJ$505,"&gt;"&amp;$A286,実績!$AK$6:$AK$505,"○")&gt;0,1,0))</f>
        <v>0</v>
      </c>
      <c r="K286" s="39" t="n">
        <f aca="false">IF(K$4=0,0,IF(COUNTIFS(実績!$W$6:$W$505,K$3,実績!$AI$6:$AI$505,"&lt;="&amp;$A286,実績!$AJ$6:$AJ$505,"&gt;"&amp;$A286,実績!$AK$6:$AK$505,"○")&gt;0,1,0))</f>
        <v>0</v>
      </c>
      <c r="L286" s="39" t="n">
        <f aca="false">IF(L$4=0,0,IF(COUNTIFS(実績!$W$6:$W$505,L$3,実績!$AI$6:$AI$505,"&lt;="&amp;$A286,実績!$AJ$6:$AJ$505,"&gt;"&amp;$A286,実績!$AK$6:$AK$505,"○")&gt;0,1,0))</f>
        <v>0</v>
      </c>
      <c r="M286" s="39" t="n">
        <f aca="false">IF(M$4=0,0,IF(COUNTIFS(実績!$W$6:$W$505,M$3,実績!$AI$6:$AI$505,"&lt;="&amp;$A286,実績!$AJ$6:$AJ$505,"&gt;"&amp;$A286,実績!$AK$6:$AK$505,"○")&gt;0,1,0))</f>
        <v>0</v>
      </c>
      <c r="N286" s="39" t="n">
        <f aca="false">IF(N$4=0,0,IF(COUNTIFS(実績!$W$6:$W$505,N$3,実績!$AI$6:$AI$505,"&lt;="&amp;$A286,実績!$AJ$6:$AJ$505,"&gt;"&amp;$A286,実績!$AK$6:$AK$505,"○")&gt;0,1,0))</f>
        <v>0</v>
      </c>
      <c r="O286" s="39" t="n">
        <f aca="false">IF(O$4=0,0,IF(COUNTIFS(実績!$W$6:$W$505,O$3,実績!$AI$6:$AI$505,"&lt;="&amp;$A286,実績!$AJ$6:$AJ$505,"&gt;"&amp;$A286,実績!$AK$6:$AK$505,"○")&gt;0,1,0))</f>
        <v>0</v>
      </c>
      <c r="P286" s="39" t="n">
        <f aca="false">IF(P$4=0,0,IF(COUNTIFS(実績!$W$6:$W$505,P$3,実績!$AI$6:$AI$505,"&lt;="&amp;$A286,実績!$AJ$6:$AJ$505,"&gt;"&amp;$A286,実績!$AK$6:$AK$505,"○")&gt;0,1,0))</f>
        <v>0</v>
      </c>
      <c r="Q286" s="39" t="n">
        <f aca="false">IF(Q$4=0,0,IF(COUNTIFS(実績!$W$6:$W$505,Q$3,実績!$AI$6:$AI$505,"&lt;="&amp;$A286,実績!$AJ$6:$AJ$505,"&gt;"&amp;$A286,実績!$AK$6:$AK$505,"○")&gt;0,1,0))</f>
        <v>0</v>
      </c>
      <c r="R286" s="39" t="n">
        <f aca="false">IF(R$4=0,0,IF(COUNTIFS(実績!$W$6:$W$505,R$3,実績!$AI$6:$AI$505,"&lt;="&amp;$A286,実績!$AJ$6:$AJ$505,"&gt;"&amp;$A286,実績!$AK$6:$AK$505,"○")&gt;0,1,0))</f>
        <v>0</v>
      </c>
      <c r="S286" s="39" t="n">
        <f aca="false">IF(S$4=0,0,IF(COUNTIFS(実績!$W$6:$W$505,S$3,実績!$AI$6:$AI$505,"&lt;="&amp;$A286,実績!$AJ$6:$AJ$505,"&gt;"&amp;$A286,実績!$AK$6:$AK$505,"○")&gt;0,1,0))</f>
        <v>0</v>
      </c>
      <c r="T286" s="39" t="n">
        <f aca="false">IF(T$4=0,0,IF(COUNTIFS(実績!$W$6:$W$505,T$3,実績!$AI$6:$AI$505,"&lt;="&amp;$A286,実績!$AJ$6:$AJ$505,"&gt;"&amp;$A286,実績!$AK$6:$AK$505,"○")&gt;0,1,0))</f>
        <v>0</v>
      </c>
      <c r="U286" s="39" t="n">
        <f aca="false">IF(U$4=0,0,IF(COUNTIFS(実績!$W$6:$W$505,U$3,実績!$AI$6:$AI$505,"&lt;="&amp;$A286,実績!$AJ$6:$AJ$505,"&gt;"&amp;$A286,実績!$AK$6:$AK$505,"○")&gt;0,1,0))</f>
        <v>0</v>
      </c>
      <c r="V286" s="39" t="n">
        <f aca="false">IF(V$4=0,0,IF(COUNTIFS(実績!$W$6:$W$505,V$3,実績!$AI$6:$AI$505,"&lt;="&amp;$A286,実績!$AJ$6:$AJ$505,"&gt;"&amp;$A286,実績!$AK$6:$AK$505,"○")&gt;0,1,0))</f>
        <v>0</v>
      </c>
      <c r="W286" s="39" t="n">
        <f aca="false">IF(W$4=0,0,IF(COUNTIFS(実績!$W$6:$W$505,W$3,実績!$AI$6:$AI$505,"&lt;="&amp;$A286,実績!$AJ$6:$AJ$505,"&gt;"&amp;$A286,実績!$AK$6:$AK$505,"○")&gt;0,1,0))</f>
        <v>0</v>
      </c>
      <c r="X286" s="39" t="n">
        <f aca="false">IF(X$4=0,0,IF(COUNTIFS(実績!$W$6:$W$505,X$3,実績!$AI$6:$AI$505,"&lt;="&amp;$A286,実績!$AJ$6:$AJ$505,"&gt;"&amp;$A286,実績!$AK$6:$AK$505,"○")&gt;0,1,0))</f>
        <v>0</v>
      </c>
      <c r="Y286" s="39" t="n">
        <f aca="false">IF(Y$4=0,0,IF(COUNTIFS(実績!$W$6:$W$505,Y$3,実績!$AI$6:$AI$505,"&lt;="&amp;$A286,実績!$AJ$6:$AJ$505,"&gt;"&amp;$A286,実績!$AK$6:$AK$505,"○")&gt;0,1,0))</f>
        <v>0</v>
      </c>
      <c r="Z286" s="39" t="n">
        <f aca="false">IF(Z$4=0,0,IF(COUNTIFS(実績!$W$6:$W$505,Z$3,実績!$AI$6:$AI$505,"&lt;="&amp;$A286,実績!$AJ$6:$AJ$505,"&gt;"&amp;$A286,実績!$AK$6:$AK$505,"○")&gt;0,1,0))</f>
        <v>0</v>
      </c>
      <c r="AA286" s="39" t="n">
        <f aca="false">IF(AA$4=0,0,IF(COUNTIFS(実績!$W$6:$W$505,AA$3,実績!$AI$6:$AI$505,"&lt;="&amp;$A286,実績!$AJ$6:$AJ$505,"&gt;"&amp;$A286,実績!$AK$6:$AK$505,"○")&gt;0,1,0))</f>
        <v>0</v>
      </c>
      <c r="AB286" s="39" t="n">
        <f aca="false">IF(AB$4=0,0,IF(COUNTIFS(実績!$W$6:$W$505,AB$3,実績!$AI$6:$AI$505,"&lt;="&amp;$A286,実績!$AJ$6:$AJ$505,"&gt;"&amp;$A286,実績!$AK$6:$AK$505,"○")&gt;0,1,0))</f>
        <v>0</v>
      </c>
      <c r="AC286" s="39" t="n">
        <f aca="false">IF(AC$4=0,0,IF(COUNTIFS(実績!$W$6:$W$505,AC$3,実績!$AI$6:$AI$505,"&lt;="&amp;$A286,実績!$AJ$6:$AJ$505,"&gt;"&amp;$A286,実績!$AK$6:$AK$505,"○")&gt;0,1,0))</f>
        <v>0</v>
      </c>
      <c r="AD286" s="39" t="n">
        <f aca="false">IF(AD$4=0,0,IF(COUNTIFS(実績!$W$6:$W$505,AD$3,実績!$AI$6:$AI$505,"&lt;="&amp;$A286,実績!$AJ$6:$AJ$505,"&gt;"&amp;$A286,実績!$AK$6:$AK$505,"○")&gt;0,1,0))</f>
        <v>0</v>
      </c>
      <c r="AE286" s="39" t="n">
        <f aca="false">IF(AE$4=0,0,IF(COUNTIFS(実績!$W$6:$W$505,AE$3,実績!$AI$6:$AI$505,"&lt;="&amp;$A286,実績!$AJ$6:$AJ$505,"&gt;"&amp;$A286,実績!$AK$6:$AK$505,"○")&gt;0,1,0))</f>
        <v>0</v>
      </c>
      <c r="AF286" s="39" t="n">
        <f aca="false">IF(AF$4=0,0,IF(COUNTIFS(実績!$W$6:$W$505,AF$3,実績!$AI$6:$AI$505,"&lt;="&amp;$A286,実績!$AJ$6:$AJ$505,"&gt;"&amp;$A286,実績!$AK$6:$AK$505,"○")&gt;0,1,0))</f>
        <v>0</v>
      </c>
      <c r="AG286" s="39" t="n">
        <f aca="false">IF(AG$4=0,0,IF(COUNTIFS(実績!$W$6:$W$505,AG$3,実績!$AI$6:$AI$505,"&lt;="&amp;$A286,実績!$AJ$6:$AJ$505,"&gt;"&amp;$A286,実績!$AK$6:$AK$505,"○")&gt;0,1,0))</f>
        <v>0</v>
      </c>
      <c r="AH286" s="39" t="n">
        <f aca="false">IF(AH$4=0,0,IF(COUNTIFS(実績!$W$6:$W$505,AH$3,実績!$AI$6:$AI$505,"&lt;="&amp;$A286,実績!$AJ$6:$AJ$505,"&gt;"&amp;$A286,実績!$AK$6:$AK$505,"○")&gt;0,1,0))</f>
        <v>0</v>
      </c>
      <c r="AI286" s="39" t="n">
        <f aca="false">IF(AI$4=0,0,IF(COUNTIFS(実績!$W$6:$W$505,AI$3,実績!$AI$6:$AI$505,"&lt;="&amp;$A286,実績!$AJ$6:$AJ$505,"&gt;"&amp;$A286,実績!$AK$6:$AK$505,"○")&gt;0,1,0))</f>
        <v>0</v>
      </c>
      <c r="AJ286" s="39" t="n">
        <f aca="false">IF(AJ$4=0,0,IF(COUNTIFS(実績!$W$6:$W$505,AJ$3,実績!$AI$6:$AI$505,"&lt;="&amp;$A286,実績!$AJ$6:$AJ$505,"&gt;"&amp;$A286,実績!$AK$6:$AK$505,"○")&gt;0,1,0))</f>
        <v>0</v>
      </c>
      <c r="AK286" s="39" t="n">
        <f aca="false">IF(AK$4=0,0,IF(COUNTIFS(実績!$W$6:$W$505,AK$3,実績!$AI$6:$AI$505,"&lt;="&amp;$A286,実績!$AJ$6:$AJ$505,"&gt;"&amp;$A286,実績!$AK$6:$AK$505,"○")&gt;0,1,0))</f>
        <v>0</v>
      </c>
      <c r="AL286" s="39" t="n">
        <f aca="false">IF(AL$4=0,0,IF(COUNTIFS(実績!$W$6:$W$505,AL$3,実績!$AI$6:$AI$505,"&lt;="&amp;$A286,実績!$AJ$6:$AJ$505,"&gt;"&amp;$A286,実績!$AK$6:$AK$505,"○")&gt;0,1,0))</f>
        <v>0</v>
      </c>
      <c r="AM286" s="39" t="n">
        <f aca="false">IF(AM$4=0,0,IF(COUNTIFS(実績!$W$6:$W$505,AM$3,実績!$AI$6:$AI$505,"&lt;="&amp;$A286,実績!$AJ$6:$AJ$505,"&gt;"&amp;$A286,実績!$AK$6:$AK$505,"○")&gt;0,1,0))</f>
        <v>0</v>
      </c>
      <c r="AN286" s="39" t="n">
        <f aca="false">IF(AN$4=0,0,IF(COUNTIFS(実績!$W$6:$W$505,AN$3,実績!$AI$6:$AI$505,"&lt;="&amp;$A286,実績!$AJ$6:$AJ$505,"&gt;"&amp;$A286,実績!$AK$6:$AK$505,"○")&gt;0,1,0))</f>
        <v>0</v>
      </c>
      <c r="AO286" s="39" t="n">
        <f aca="false">IF(AO$4=0,0,IF(COUNTIFS(実績!$W$6:$W$505,AO$3,実績!$AI$6:$AI$505,"&lt;="&amp;$A286,実績!$AJ$6:$AJ$505,"&gt;"&amp;$A286,実績!$AK$6:$AK$505,"○")&gt;0,1,0))</f>
        <v>0</v>
      </c>
      <c r="AP286" s="39" t="n">
        <f aca="false">IF(AP$4=0,0,IF(COUNTIFS(実績!$W$6:$W$505,AP$3,実績!$AI$6:$AI$505,"&lt;="&amp;$A286,実績!$AJ$6:$AJ$505,"&gt;"&amp;$A286,実績!$AK$6:$AK$505,"○")&gt;0,1,0))</f>
        <v>0</v>
      </c>
      <c r="AQ286" s="39" t="n">
        <f aca="false">IF(AQ$4=0,0,IF(COUNTIFS(実績!$W$6:$W$505,AQ$3,実績!$AI$6:$AI$505,"&lt;="&amp;$A286,実績!$AJ$6:$AJ$505,"&gt;"&amp;$A286,実績!$AK$6:$AK$505,"○")&gt;0,1,0))</f>
        <v>0</v>
      </c>
      <c r="AR286" s="39" t="n">
        <f aca="false">IF(AR$4=0,0,IF(COUNTIFS(実績!$W$6:$W$505,AR$3,実績!$AI$6:$AI$505,"&lt;="&amp;$A286,実績!$AJ$6:$AJ$505,"&gt;"&amp;$A286,実績!$AK$6:$AK$505,"○")&gt;0,1,0))</f>
        <v>0</v>
      </c>
      <c r="AS286" s="39" t="n">
        <f aca="false">IF(AS$4=0,0,IF(COUNTIFS(実績!$W$6:$W$505,AS$3,実績!$AI$6:$AI$505,"&lt;="&amp;$A286,実績!$AJ$6:$AJ$505,"&gt;"&amp;$A286,実績!$AK$6:$AK$505,"○")&gt;0,1,0))</f>
        <v>0</v>
      </c>
      <c r="AT286" s="39" t="n">
        <f aca="false">IF(AT$4=0,0,IF(COUNTIFS(実績!$W$6:$W$505,AT$3,実績!$AI$6:$AI$505,"&lt;="&amp;$A286,実績!$AJ$6:$AJ$505,"&gt;"&amp;$A286,実績!$AK$6:$AK$505,"○")&gt;0,1,0))</f>
        <v>0</v>
      </c>
      <c r="AU286" s="39" t="n">
        <f aca="false">IF(AU$4=0,0,IF(COUNTIFS(実績!$W$6:$W$505,AU$3,実績!$AI$6:$AI$505,"&lt;="&amp;$A286,実績!$AJ$6:$AJ$505,"&gt;"&amp;$A286,実績!$AK$6:$AK$505,"○")&gt;0,1,0))</f>
        <v>0</v>
      </c>
      <c r="AV286" s="39" t="n">
        <f aca="false">IF(AV$4=0,0,IF(COUNTIFS(実績!$W$6:$W$505,AV$3,実績!$AI$6:$AI$505,"&lt;="&amp;$A286,実績!$AJ$6:$AJ$505,"&gt;"&amp;$A286,実績!$AK$6:$AK$505,"○")&gt;0,1,0))</f>
        <v>0</v>
      </c>
      <c r="AW286" s="39" t="n">
        <f aca="false">IF(AW$4=0,0,IF(COUNTIFS(実績!$W$6:$W$505,AW$3,実績!$AI$6:$AI$505,"&lt;="&amp;$A286,実績!$AJ$6:$AJ$505,"&gt;"&amp;$A286,実績!$AK$6:$AK$505,"○")&gt;0,1,0))</f>
        <v>0</v>
      </c>
      <c r="AX286" s="39" t="n">
        <f aca="false">IF(AX$4=0,0,IF(COUNTIFS(実績!$W$6:$W$505,AX$3,実績!$AI$6:$AI$505,"&lt;="&amp;$A286,実績!$AJ$6:$AJ$505,"&gt;"&amp;$A286,実績!$AK$6:$AK$505,"○")&gt;0,1,0))</f>
        <v>0</v>
      </c>
      <c r="AY286" s="39" t="n">
        <f aca="false">IF(AY$4=0,0,IF(COUNTIFS(実績!$W$6:$W$505,AY$3,実績!$AI$6:$AI$505,"&lt;="&amp;$A286,実績!$AJ$6:$AJ$505,"&gt;"&amp;$A286,実績!$AK$6:$AK$505,"○")&gt;0,1,0))</f>
        <v>0</v>
      </c>
      <c r="AZ286" s="39" t="n">
        <f aca="false">IF(AZ$4=0,0,IF(COUNTIFS(実績!$W$6:$W$505,AZ$3,実績!$AI$6:$AI$505,"&lt;="&amp;$A286,実績!$AJ$6:$AJ$505,"&gt;"&amp;$A286,実績!$AK$6:$AK$505,"○")&gt;0,1,0))</f>
        <v>0</v>
      </c>
      <c r="BA286" s="39" t="n">
        <f aca="false">IF(BA$4=0,0,IF(COUNTIFS(実績!$W$6:$W$505,BA$3,実績!$AI$6:$AI$505,"&lt;="&amp;$A286,実績!$AJ$6:$AJ$505,"&gt;"&amp;$A286,実績!$AK$6:$AK$505,"○")&gt;0,1,0))</f>
        <v>0</v>
      </c>
      <c r="BB286" s="39" t="n">
        <f aca="false">IF(BB$4=0,0,IF(COUNTIFS(実績!$W$6:$W$505,BB$3,実績!$AI$6:$AI$505,"&lt;="&amp;$A286,実績!$AJ$6:$AJ$505,"&gt;"&amp;$A286,実績!$AK$6:$AK$505,"○")&gt;0,1,0))</f>
        <v>0</v>
      </c>
      <c r="BC286" s="39" t="n">
        <f aca="false">IF(BC$4=0,0,IF(COUNTIFS(実績!$W$6:$W$505,BC$3,実績!$AI$6:$AI$505,"&lt;="&amp;$A286,実績!$AJ$6:$AJ$505,"&gt;"&amp;$A286,実績!$AK$6:$AK$505,"○")&gt;0,1,0))</f>
        <v>0</v>
      </c>
      <c r="BD286" s="39" t="n">
        <f aca="false">IF(BD$4=0,0,IF(COUNTIFS(実績!$W$6:$W$505,BD$3,実績!$AI$6:$AI$505,"&lt;="&amp;$A286,実績!$AJ$6:$AJ$505,"&gt;"&amp;$A286,実績!$AK$6:$AK$505,"○")&gt;0,1,0))</f>
        <v>0</v>
      </c>
      <c r="BE286" s="39" t="n">
        <f aca="false">IF(BE$4=0,0,IF(COUNTIFS(実績!$W$6:$W$505,BE$3,実績!$AI$6:$AI$505,"&lt;="&amp;$A286,実績!$AJ$6:$AJ$505,"&gt;"&amp;$A286,実績!$AK$6:$AK$505,"○")&gt;0,1,0))</f>
        <v>0</v>
      </c>
      <c r="BF286" s="39" t="n">
        <f aca="false">IF(BF$4=0,0,IF(COUNTIFS(実績!$W$6:$W$505,BF$3,実績!$AI$6:$AI$505,"&lt;="&amp;$A286,実績!$AJ$6:$AJ$505,"&gt;"&amp;$A286,実績!$AK$6:$AK$505,"○")&gt;0,1,0))</f>
        <v>0</v>
      </c>
      <c r="BG286" s="39" t="n">
        <f aca="false">IF(BG$4=0,0,IF(COUNTIFS(実績!$W$6:$W$505,BG$3,実績!$AI$6:$AI$505,"&lt;="&amp;$A286,実績!$AJ$6:$AJ$505,"&gt;"&amp;$A286,実績!$AK$6:$AK$505,"○")&gt;0,1,0))</f>
        <v>0</v>
      </c>
      <c r="BH286" s="39" t="n">
        <f aca="false">IF(BH$4=0,0,IF(COUNTIFS(実績!$W$6:$W$505,BH$3,実績!$AI$6:$AI$505,"&lt;="&amp;$A286,実績!$AJ$6:$AJ$505,"&gt;"&amp;$A286,実績!$AK$6:$AK$505,"○")&gt;0,1,0))</f>
        <v>0</v>
      </c>
      <c r="BI286" s="39" t="n">
        <f aca="false">IF(BI$4=0,0,IF(COUNTIFS(実績!$W$6:$W$505,BI$3,実績!$AI$6:$AI$505,"&lt;="&amp;$A286,実績!$AJ$6:$AJ$505,"&gt;"&amp;$A286,実績!$AK$6:$AK$505,"○")&gt;0,1,0))</f>
        <v>0</v>
      </c>
      <c r="BJ286" s="39" t="n">
        <f aca="false">IF(BJ$4=0,0,IF(COUNTIFS(実績!$W$6:$W$505,BJ$3,実績!$AI$6:$AI$505,"&lt;="&amp;$A286,実績!$AJ$6:$AJ$505,"&gt;"&amp;$A286,実績!$AK$6:$AK$505,"○")&gt;0,1,0))</f>
        <v>0</v>
      </c>
      <c r="BK286" s="39" t="n">
        <f aca="false">IF(BK$4=0,0,IF(COUNTIFS(実績!$W$6:$W$505,BK$3,実績!$AI$6:$AI$505,"&lt;="&amp;$A286,実績!$AJ$6:$AJ$505,"&gt;"&amp;$A286,実績!$AK$6:$AK$505,"○")&gt;0,1,0))</f>
        <v>0</v>
      </c>
      <c r="BL286" s="39" t="n">
        <f aca="false">IF(BL$4=0,0,IF(COUNTIFS(実績!$W$6:$W$505,BL$3,実績!$AI$6:$AI$505,"&lt;="&amp;$A286,実績!$AJ$6:$AJ$505,"&gt;"&amp;$A286,実績!$AK$6:$AK$505,"○")&gt;0,1,0))</f>
        <v>0</v>
      </c>
      <c r="BM286" s="39" t="n">
        <f aca="false">IF(BM$4=0,0,IF(COUNTIFS(実績!$W$6:$W$505,BM$3,実績!$AI$6:$AI$505,"&lt;="&amp;$A286,実績!$AJ$6:$AJ$505,"&gt;"&amp;$A286,実績!$AK$6:$AK$505,"○")&gt;0,1,0))</f>
        <v>0</v>
      </c>
      <c r="BN286" s="39" t="n">
        <f aca="false">IF(BN$4=0,0,IF(COUNTIFS(実績!$W$6:$W$505,BN$3,実績!$AI$6:$AI$505,"&lt;="&amp;$A286,実績!$AJ$6:$AJ$505,"&gt;"&amp;$A286,実績!$AK$6:$AK$505,"○")&gt;0,1,0))</f>
        <v>0</v>
      </c>
      <c r="BO286" s="39" t="n">
        <f aca="false">IF(BO$4=0,0,IF(COUNTIFS(実績!$W$6:$W$505,BO$3,実績!$AI$6:$AI$505,"&lt;="&amp;$A286,実績!$AJ$6:$AJ$505,"&gt;"&amp;$A286,実績!$AK$6:$AK$505,"○")&gt;0,1,0))</f>
        <v>0</v>
      </c>
      <c r="BP286" s="39" t="n">
        <f aca="false">IF(BP$4=0,0,IF(COUNTIFS(実績!$W$6:$W$505,BP$3,実績!$AI$6:$AI$505,"&lt;="&amp;$A286,実績!$AJ$6:$AJ$505,"&gt;"&amp;$A286,実績!$AK$6:$AK$505,"○")&gt;0,1,0))</f>
        <v>0</v>
      </c>
      <c r="BQ286" s="39" t="n">
        <f aca="false">IF(BQ$4=0,0,IF(COUNTIFS(実績!$W$6:$W$505,BQ$3,実績!$AI$6:$AI$505,"&lt;="&amp;$A286,実績!$AJ$6:$AJ$505,"&gt;"&amp;$A286,実績!$AK$6:$AK$505,"○")&gt;0,1,0))</f>
        <v>0</v>
      </c>
      <c r="BR286" s="39" t="n">
        <f aca="false">IF(BR$4=0,0,IF(COUNTIFS(実績!$W$6:$W$505,BR$3,実績!$AI$6:$AI$505,"&lt;="&amp;$A286,実績!$AJ$6:$AJ$505,"&gt;"&amp;$A286,実績!$AK$6:$AK$505,"○")&gt;0,1,0))</f>
        <v>0</v>
      </c>
      <c r="BS286" s="39" t="n">
        <f aca="false">IF(BS$4=0,0,IF(COUNTIFS(実績!$W$6:$W$505,BS$3,実績!$AI$6:$AI$505,"&lt;="&amp;$A286,実績!$AJ$6:$AJ$505,"&gt;"&amp;$A286,実績!$AK$6:$AK$505,"○")&gt;0,1,0))</f>
        <v>0</v>
      </c>
      <c r="BT286" s="39" t="n">
        <f aca="false">IF(BT$4=0,0,IF(COUNTIFS(実績!$W$6:$W$505,BT$3,実績!$AI$6:$AI$505,"&lt;="&amp;$A286,実績!$AJ$6:$AJ$505,"&gt;"&amp;$A286,実績!$AK$6:$AK$505,"○")&gt;0,1,0))</f>
        <v>0</v>
      </c>
      <c r="BU286" s="39" t="n">
        <f aca="false">IF(BU$4=0,0,IF(COUNTIFS(実績!$W$6:$W$505,BU$3,実績!$AI$6:$AI$505,"&lt;="&amp;$A286,実績!$AJ$6:$AJ$505,"&gt;"&amp;$A286,実績!$AK$6:$AK$505,"○")&gt;0,1,0))</f>
        <v>0</v>
      </c>
      <c r="BV286" s="39" t="n">
        <f aca="false">IF(BV$4=0,0,IF(COUNTIFS(実績!$W$6:$W$505,BV$3,実績!$AI$6:$AI$505,"&lt;="&amp;$A286,実績!$AJ$6:$AJ$505,"&gt;"&amp;$A286,実績!$AK$6:$AK$505,"○")&gt;0,1,0))</f>
        <v>0</v>
      </c>
      <c r="BW286" s="39" t="n">
        <f aca="false">IF(BW$4=0,0,IF(COUNTIFS(実績!$W$6:$W$505,BW$3,実績!$AI$6:$AI$505,"&lt;="&amp;$A286,実績!$AJ$6:$AJ$505,"&gt;"&amp;$A286,実績!$AK$6:$AK$505,"○")&gt;0,1,0))</f>
        <v>0</v>
      </c>
      <c r="BX286" s="39" t="n">
        <f aca="false">IF(BX$4=0,0,IF(COUNTIFS(実績!$W$6:$W$505,BX$3,実績!$AI$6:$AI$505,"&lt;="&amp;$A286,実績!$AJ$6:$AJ$505,"&gt;"&amp;$A286,実績!$AK$6:$AK$505,"○")&gt;0,1,0))</f>
        <v>0</v>
      </c>
      <c r="BY286" s="39" t="n">
        <f aca="false">IF(BY$4=0,0,IF(COUNTIFS(実績!$W$6:$W$505,BY$3,実績!$AI$6:$AI$505,"&lt;="&amp;$A286,実績!$AJ$6:$AJ$505,"&gt;"&amp;$A286,実績!$AK$6:$AK$505,"○")&gt;0,1,0))</f>
        <v>0</v>
      </c>
      <c r="BZ286" s="39" t="n">
        <f aca="false">IF(BZ$4=0,0,IF(COUNTIFS(実績!$W$6:$W$505,BZ$3,実績!$AI$6:$AI$505,"&lt;="&amp;$A286,実績!$AJ$6:$AJ$505,"&gt;"&amp;$A286,実績!$AK$6:$AK$505,"○")&gt;0,1,0))</f>
        <v>0</v>
      </c>
      <c r="CA286" s="39" t="n">
        <f aca="false">IF(CA$4=0,0,IF(COUNTIFS(実績!$W$6:$W$505,CA$3,実績!$AI$6:$AI$505,"&lt;="&amp;$A286,実績!$AJ$6:$AJ$505,"&gt;"&amp;$A286,実績!$AK$6:$AK$505,"○")&gt;0,1,0))</f>
        <v>0</v>
      </c>
      <c r="CB286" s="39" t="n">
        <f aca="false">IF(CB$4=0,0,IF(COUNTIFS(実績!$W$6:$W$505,CB$3,実績!$AI$6:$AI$505,"&lt;="&amp;$A286,実績!$AJ$6:$AJ$505,"&gt;"&amp;$A286,実績!$AK$6:$AK$505,"○")&gt;0,1,0))</f>
        <v>0</v>
      </c>
      <c r="CC286" s="39" t="n">
        <f aca="false">IF(CC$4=0,0,IF(COUNTIFS(実績!$W$6:$W$505,CC$3,実績!$AI$6:$AI$505,"&lt;="&amp;$A286,実績!$AJ$6:$AJ$505,"&gt;"&amp;$A286,実績!$AK$6:$AK$505,"○")&gt;0,1,0))</f>
        <v>0</v>
      </c>
      <c r="CD286" s="39" t="n">
        <f aca="false">IF(CD$4=0,0,IF(COUNTIFS(実績!$W$6:$W$505,CD$3,実績!$AI$6:$AI$505,"&lt;="&amp;$A286,実績!$AJ$6:$AJ$505,"&gt;"&amp;$A286,実績!$AK$6:$AK$505,"○")&gt;0,1,0))</f>
        <v>0</v>
      </c>
      <c r="CE286" s="39" t="n">
        <f aca="false">IF(CE$4=0,0,IF(COUNTIFS(実績!$W$6:$W$505,CE$3,実績!$AI$6:$AI$505,"&lt;="&amp;$A286,実績!$AJ$6:$AJ$505,"&gt;"&amp;$A286,実績!$AK$6:$AK$505,"○")&gt;0,1,0))</f>
        <v>0</v>
      </c>
      <c r="CF286" s="39" t="n">
        <f aca="false">IF(CF$4=0,0,IF(COUNTIFS(実績!$W$6:$W$505,CF$3,実績!$AI$6:$AI$505,"&lt;="&amp;$A286,実績!$AJ$6:$AJ$505,"&gt;"&amp;$A286,実績!$AK$6:$AK$505,"○")&gt;0,1,0))</f>
        <v>0</v>
      </c>
      <c r="CG286" s="39" t="n">
        <f aca="false">IF(CG$4=0,0,IF(COUNTIFS(実績!$W$6:$W$505,CG$3,実績!$AI$6:$AI$505,"&lt;="&amp;$A286,実績!$AJ$6:$AJ$505,"&gt;"&amp;$A286,実績!$AK$6:$AK$505,"○")&gt;0,1,0))</f>
        <v>0</v>
      </c>
      <c r="CH286" s="39" t="n">
        <f aca="false">IF(CH$4=0,0,IF(COUNTIFS(実績!$W$6:$W$505,CH$3,実績!$AI$6:$AI$505,"&lt;="&amp;$A286,実績!$AJ$6:$AJ$505,"&gt;"&amp;$A286,実績!$AK$6:$AK$505,"○")&gt;0,1,0))</f>
        <v>0</v>
      </c>
      <c r="CI286" s="39" t="n">
        <f aca="false">IF(CI$4=0,0,IF(COUNTIFS(実績!$W$6:$W$505,CI$3,実績!$AI$6:$AI$505,"&lt;="&amp;$A286,実績!$AJ$6:$AJ$505,"&gt;"&amp;$A286,実績!$AK$6:$AK$505,"○")&gt;0,1,0))</f>
        <v>0</v>
      </c>
      <c r="CJ286" s="39" t="n">
        <f aca="false">IF(CJ$4=0,0,IF(COUNTIFS(実績!$W$6:$W$505,CJ$3,実績!$AI$6:$AI$505,"&lt;="&amp;$A286,実績!$AJ$6:$AJ$505,"&gt;"&amp;$A286,実績!$AK$6:$AK$505,"○")&gt;0,1,0))</f>
        <v>0</v>
      </c>
      <c r="CK286" s="39" t="n">
        <f aca="false">IF(CK$4=0,0,IF(COUNTIFS(実績!$W$6:$W$505,CK$3,実績!$AI$6:$AI$505,"&lt;="&amp;$A286,実績!$AJ$6:$AJ$505,"&gt;"&amp;$A286,実績!$AK$6:$AK$505,"○")&gt;0,1,0))</f>
        <v>0</v>
      </c>
      <c r="CL286" s="39" t="n">
        <f aca="false">IF(CL$4=0,0,IF(COUNTIFS(実績!$W$6:$W$505,CL$3,実績!$AI$6:$AI$505,"&lt;="&amp;$A286,実績!$AJ$6:$AJ$505,"&gt;"&amp;$A286,実績!$AK$6:$AK$505,"○")&gt;0,1,0))</f>
        <v>0</v>
      </c>
      <c r="CM286" s="39" t="n">
        <f aca="false">IF(CM$4=0,0,IF(COUNTIFS(実績!$W$6:$W$505,CM$3,実績!$AI$6:$AI$505,"&lt;="&amp;$A286,実績!$AJ$6:$AJ$505,"&gt;"&amp;$A286,実績!$AK$6:$AK$505,"○")&gt;0,1,0))</f>
        <v>0</v>
      </c>
      <c r="CN286" s="39" t="n">
        <f aca="false">IF(CN$4=0,0,IF(COUNTIFS(実績!$W$6:$W$505,CN$3,実績!$AI$6:$AI$505,"&lt;="&amp;$A286,実績!$AJ$6:$AJ$505,"&gt;"&amp;$A286,実績!$AK$6:$AK$505,"○")&gt;0,1,0))</f>
        <v>0</v>
      </c>
      <c r="CO286" s="39" t="n">
        <f aca="false">IF(CO$4=0,0,IF(COUNTIFS(実績!$W$6:$W$505,CO$3,実績!$AI$6:$AI$505,"&lt;="&amp;$A286,実績!$AJ$6:$AJ$505,"&gt;"&amp;$A286,実績!$AK$6:$AK$505,"○")&gt;0,1,0))</f>
        <v>0</v>
      </c>
      <c r="CP286" s="39" t="n">
        <f aca="false">IF(CP$4=0,0,IF(COUNTIFS(実績!$W$6:$W$505,CP$3,実績!$AI$6:$AI$505,"&lt;="&amp;$A286,実績!$AJ$6:$AJ$505,"&gt;"&amp;$A286,実績!$AK$6:$AK$505,"○")&gt;0,1,0))</f>
        <v>0</v>
      </c>
      <c r="CQ286" s="39" t="n">
        <f aca="false">IF(CQ$4=0,0,IF(COUNTIFS(実績!$W$6:$W$505,CQ$3,実績!$AI$6:$AI$505,"&lt;="&amp;$A286,実績!$AJ$6:$AJ$505,"&gt;"&amp;$A286,実績!$AK$6:$AK$505,"○")&gt;0,1,0))</f>
        <v>0</v>
      </c>
      <c r="CR286" s="39" t="n">
        <f aca="false">IF(CR$4=0,0,IF(COUNTIFS(実績!$W$6:$W$505,CR$3,実績!$AI$6:$AI$505,"&lt;="&amp;$A286,実績!$AJ$6:$AJ$505,"&gt;"&amp;$A286,実績!$AK$6:$AK$505,"○")&gt;0,1,0))</f>
        <v>0</v>
      </c>
      <c r="CS286" s="39" t="n">
        <f aca="false">IF(CS$4=0,0,IF(COUNTIFS(実績!$W$6:$W$505,CS$3,実績!$AI$6:$AI$505,"&lt;="&amp;$A286,実績!$AJ$6:$AJ$505,"&gt;"&amp;$A286,実績!$AK$6:$AK$505,"○")&gt;0,1,0))</f>
        <v>0</v>
      </c>
      <c r="CT286" s="39" t="n">
        <f aca="false">IF(CT$4=0,0,IF(COUNTIFS(実績!$W$6:$W$505,CT$3,実績!$AI$6:$AI$505,"&lt;="&amp;$A286,実績!$AJ$6:$AJ$505,"&gt;"&amp;$A286,実績!$AK$6:$AK$505,"○")&gt;0,1,0))</f>
        <v>0</v>
      </c>
      <c r="CU286" s="39" t="n">
        <f aca="false">IF(CU$4=0,0,IF(COUNTIFS(実績!$W$6:$W$505,CU$3,実績!$AI$6:$AI$505,"&lt;="&amp;$A286,実績!$AJ$6:$AJ$505,"&gt;"&amp;$A286,実績!$AK$6:$AK$505,"○")&gt;0,1,0))</f>
        <v>0</v>
      </c>
      <c r="CV286" s="39" t="n">
        <f aca="false">IF(CV$4=0,0,IF(COUNTIFS(実績!$W$6:$W$505,CV$3,実績!$AI$6:$AI$505,"&lt;="&amp;$A286,実績!$AJ$6:$AJ$505,"&gt;"&amp;$A286,実績!$AK$6:$AK$505,"○")&gt;0,1,0))</f>
        <v>0</v>
      </c>
      <c r="CW286" s="39" t="n">
        <f aca="false">IF(CW$4=0,0,IF(COUNTIFS(実績!$W$6:$W$505,CW$3,実績!$AI$6:$AI$505,"&lt;="&amp;$A286,実績!$AJ$6:$AJ$505,"&gt;"&amp;$A286,実績!$AK$6:$AK$505,"○")&gt;0,1,0))</f>
        <v>0</v>
      </c>
      <c r="CX286" s="39" t="n">
        <f aca="false">IF(CX$4=0,0,IF(COUNTIFS(実績!$W$6:$W$505,CX$3,実績!$AI$6:$AI$505,"&lt;="&amp;$A286,実績!$AJ$6:$AJ$505,"&gt;"&amp;$A286,実績!$AK$6:$AK$505,"○")&gt;0,1,0))</f>
        <v>0</v>
      </c>
      <c r="CY286" s="39" t="n">
        <f aca="false">IF(CY$4=0,0,IF(COUNTIFS(実績!$W$6:$W$505,CY$3,実績!$AI$6:$AI$505,"&lt;="&amp;$A286,実績!$AJ$6:$AJ$505,"&gt;"&amp;$A286,実績!$AK$6:$AK$505,"○")&gt;0,1,0))</f>
        <v>0</v>
      </c>
      <c r="CZ286" s="39" t="n">
        <f aca="false">IF(CZ$4=0,0,IF(COUNTIFS(実績!$W$6:$W$505,CZ$3,実績!$AI$6:$AI$505,"&lt;="&amp;$A286,実績!$AJ$6:$AJ$505,"&gt;"&amp;$A286,実績!$AK$6:$AK$505,"○")&gt;0,1,0))</f>
        <v>0</v>
      </c>
      <c r="DA286" s="39" t="n">
        <f aca="false">IF(DA$4=0,0,IF(COUNTIFS(実績!$W$6:$W$505,DA$3,実績!$AI$6:$AI$505,"&lt;="&amp;$A286,実績!$AJ$6:$AJ$505,"&gt;"&amp;$A286,実績!$AK$6:$AK$505,"○")&gt;0,1,0))</f>
        <v>0</v>
      </c>
      <c r="DB286" s="39" t="n">
        <f aca="false">IF(DB$4=0,0,IF(COUNTIFS(実績!$W$6:$W$505,DB$3,実績!$AI$6:$AI$505,"&lt;="&amp;$A286,実績!$AJ$6:$AJ$505,"&gt;"&amp;$A286,実績!$AK$6:$AK$505,"○")&gt;0,1,0))</f>
        <v>0</v>
      </c>
      <c r="DC286" s="39" t="n">
        <f aca="false">IF(DC$4=0,0,IF(COUNTIFS(実績!$W$6:$W$505,DC$3,実績!$AI$6:$AI$505,"&lt;="&amp;$A286,実績!$AJ$6:$AJ$505,"&gt;"&amp;$A286,実績!$AK$6:$AK$505,"○")&gt;0,1,0))</f>
        <v>0</v>
      </c>
      <c r="DD286" s="39" t="n">
        <f aca="false">IF(DD$4=0,0,IF(COUNTIFS(実績!$W$6:$W$505,DD$3,実績!$AI$6:$AI$505,"&lt;="&amp;$A286,実績!$AJ$6:$AJ$505,"&gt;"&amp;$A286,実績!$AK$6:$AK$505,"○")&gt;0,1,0))</f>
        <v>0</v>
      </c>
      <c r="DE286" s="39" t="n">
        <f aca="false">IF(DE$4=0,0,IF(COUNTIFS(実績!$W$6:$W$505,DE$3,実績!$AI$6:$AI$505,"&lt;="&amp;$A286,実績!$AJ$6:$AJ$505,"&gt;"&amp;$A286,実績!$AK$6:$AK$505,"○")&gt;0,1,0))</f>
        <v>0</v>
      </c>
      <c r="DF286" s="39" t="n">
        <f aca="false">IF(DF$4=0,0,IF(COUNTIFS(実績!$W$6:$W$505,DF$3,実績!$AI$6:$AI$505,"&lt;="&amp;$A286,実績!$AJ$6:$AJ$505,"&gt;"&amp;$A286,実績!$AK$6:$AK$505,"○")&gt;0,1,0))</f>
        <v>0</v>
      </c>
      <c r="DG286" s="39" t="n">
        <f aca="false">IF(DG$4=0,0,IF(COUNTIFS(実績!$W$6:$W$505,DG$3,実績!$AI$6:$AI$505,"&lt;="&amp;$A286,実績!$AJ$6:$AJ$505,"&gt;"&amp;$A286,実績!$AK$6:$AK$505,"○")&gt;0,1,0))</f>
        <v>0</v>
      </c>
      <c r="DH286" s="39" t="n">
        <f aca="false">IF(DH$4=0,0,IF(COUNTIFS(実績!$W$6:$W$505,DH$3,実績!$AI$6:$AI$505,"&lt;="&amp;$A286,実績!$AJ$6:$AJ$505,"&gt;"&amp;$A286,実績!$AK$6:$AK$505,"○")&gt;0,1,0))</f>
        <v>0</v>
      </c>
      <c r="DI286" s="39" t="n">
        <f aca="false">IF(DI$4=0,0,IF(COUNTIFS(実績!$W$6:$W$505,DI$3,実績!$AI$6:$AI$505,"&lt;="&amp;$A286,実績!$AJ$6:$AJ$505,"&gt;"&amp;$A286,実績!$AK$6:$AK$505,"○")&gt;0,1,0))</f>
        <v>0</v>
      </c>
      <c r="DJ286" s="39" t="n">
        <f aca="false">IF(DJ$4=0,0,IF(COUNTIFS(実績!$W$6:$W$505,DJ$3,実績!$AI$6:$AI$505,"&lt;="&amp;$A286,実績!$AJ$6:$AJ$505,"&gt;"&amp;$A286,実績!$AK$6:$AK$505,"○")&gt;0,1,0))</f>
        <v>0</v>
      </c>
      <c r="DK286" s="39" t="n">
        <f aca="false">IF(DK$4=0,0,IF(COUNTIFS(実績!$W$6:$W$505,DK$3,実績!$AI$6:$AI$505,"&lt;="&amp;$A286,実績!$AJ$6:$AJ$505,"&gt;"&amp;$A286,実績!$AK$6:$AK$505,"○")&gt;0,1,0))</f>
        <v>0</v>
      </c>
      <c r="DL286" s="39" t="n">
        <f aca="false">IF(DL$4=0,0,IF(COUNTIFS(実績!$W$6:$W$505,DL$3,実績!$AI$6:$AI$505,"&lt;="&amp;$A286,実績!$AJ$6:$AJ$505,"&gt;"&amp;$A286,実績!$AK$6:$AK$505,"○")&gt;0,1,0))</f>
        <v>0</v>
      </c>
      <c r="DM286" s="39" t="n">
        <f aca="false">IF(DM$4=0,0,IF(COUNTIFS(実績!$W$6:$W$505,DM$3,実績!$AI$6:$AI$505,"&lt;="&amp;$A286,実績!$AJ$6:$AJ$505,"&gt;"&amp;$A286,実績!$AK$6:$AK$505,"○")&gt;0,1,0))</f>
        <v>0</v>
      </c>
      <c r="DN286" s="39" t="n">
        <f aca="false">IF(DN$4=0,0,IF(COUNTIFS(実績!$W$6:$W$505,DN$3,実績!$AI$6:$AI$505,"&lt;="&amp;$A286,実績!$AJ$6:$AJ$505,"&gt;"&amp;$A286,実績!$AK$6:$AK$505,"○")&gt;0,1,0))</f>
        <v>0</v>
      </c>
      <c r="DO286" s="39" t="n">
        <f aca="false">IF(DO$4=0,0,IF(COUNTIFS(実績!$W$6:$W$505,DO$3,実績!$AI$6:$AI$505,"&lt;="&amp;$A286,実績!$AJ$6:$AJ$505,"&gt;"&amp;$A286,実績!$AK$6:$AK$505,"○")&gt;0,1,0))</f>
        <v>0</v>
      </c>
      <c r="DP286" s="39" t="n">
        <f aca="false">IF(DP$4=0,0,IF(COUNTIFS(実績!$W$6:$W$505,DP$3,実績!$AI$6:$AI$505,"&lt;="&amp;$A286,実績!$AJ$6:$AJ$505,"&gt;"&amp;$A286,実績!$AK$6:$AK$505,"○")&gt;0,1,0))</f>
        <v>0</v>
      </c>
      <c r="DQ286" s="39" t="n">
        <f aca="false">IF(DQ$4=0,0,IF(COUNTIFS(実績!$W$6:$W$505,DQ$3,実績!$AI$6:$AI$505,"&lt;="&amp;$A286,実績!$AJ$6:$AJ$505,"&gt;"&amp;$A286,実績!$AK$6:$AK$505,"○")&gt;0,1,0))</f>
        <v>0</v>
      </c>
      <c r="DR286" s="39" t="n">
        <f aca="false">IF(DR$4=0,0,IF(COUNTIFS(実績!$W$6:$W$505,DR$3,実績!$AI$6:$AI$505,"&lt;="&amp;$A286,実績!$AJ$6:$AJ$505,"&gt;"&amp;$A286,実績!$AK$6:$AK$505,"○")&gt;0,1,0))</f>
        <v>0</v>
      </c>
      <c r="DS286" s="39" t="n">
        <f aca="false">SUM(C286:DR286)</f>
        <v>0</v>
      </c>
      <c r="DT286" s="39" t="n">
        <f aca="false">SUMPRODUCT((実績!$C$6:$C$505="○")*ISNUMBER(実績!$AM$6:$AM$505)*(実績!$AM$6:$AM$505&lt;=$A286)*(実績!$AN$6:$AN$505&gt;$A286))</f>
        <v>0</v>
      </c>
      <c r="DU286" s="39" t="n">
        <f aca="false">SUMIF($C$2:$DR$2,"製鉄曳船",C286:DR286)</f>
        <v>0</v>
      </c>
      <c r="DV286" s="39" t="n">
        <f aca="false">SUMIF($C$2:$DR$2,"西日本海運",C286:DR286)</f>
        <v>0</v>
      </c>
    </row>
    <row r="287" customFormat="false" ht="15" hidden="false" customHeight="false" outlineLevel="0" collapsed="false">
      <c r="A287" s="0" t="n">
        <v>1405</v>
      </c>
      <c r="B287" s="38" t="n">
        <f aca="false">A287/1440</f>
        <v>0.975694444444444</v>
      </c>
      <c r="C287" s="39" t="n">
        <f aca="false">IF(C$4=0,0,IF(COUNTIFS(実績!$W$6:$W$505,C$3,実績!$AI$6:$AI$505,"&lt;="&amp;$A287,実績!$AJ$6:$AJ$505,"&gt;"&amp;$A287,実績!$AK$6:$AK$505,"○")&gt;0,1,0))</f>
        <v>0</v>
      </c>
      <c r="D287" s="39" t="n">
        <f aca="false">IF(D$4=0,0,IF(COUNTIFS(実績!$W$6:$W$505,D$3,実績!$AI$6:$AI$505,"&lt;="&amp;$A287,実績!$AJ$6:$AJ$505,"&gt;"&amp;$A287,実績!$AK$6:$AK$505,"○")&gt;0,1,0))</f>
        <v>0</v>
      </c>
      <c r="E287" s="39" t="n">
        <f aca="false">IF(E$4=0,0,IF(COUNTIFS(実績!$W$6:$W$505,E$3,実績!$AI$6:$AI$505,"&lt;="&amp;$A287,実績!$AJ$6:$AJ$505,"&gt;"&amp;$A287,実績!$AK$6:$AK$505,"○")&gt;0,1,0))</f>
        <v>0</v>
      </c>
      <c r="F287" s="39" t="n">
        <f aca="false">IF(F$4=0,0,IF(COUNTIFS(実績!$W$6:$W$505,F$3,実績!$AI$6:$AI$505,"&lt;="&amp;$A287,実績!$AJ$6:$AJ$505,"&gt;"&amp;$A287,実績!$AK$6:$AK$505,"○")&gt;0,1,0))</f>
        <v>0</v>
      </c>
      <c r="G287" s="39" t="n">
        <f aca="false">IF(G$4=0,0,IF(COUNTIFS(実績!$W$6:$W$505,G$3,実績!$AI$6:$AI$505,"&lt;="&amp;$A287,実績!$AJ$6:$AJ$505,"&gt;"&amp;$A287,実績!$AK$6:$AK$505,"○")&gt;0,1,0))</f>
        <v>0</v>
      </c>
      <c r="H287" s="39" t="n">
        <f aca="false">IF(H$4=0,0,IF(COUNTIFS(実績!$W$6:$W$505,H$3,実績!$AI$6:$AI$505,"&lt;="&amp;$A287,実績!$AJ$6:$AJ$505,"&gt;"&amp;$A287,実績!$AK$6:$AK$505,"○")&gt;0,1,0))</f>
        <v>0</v>
      </c>
      <c r="I287" s="39" t="n">
        <f aca="false">IF(I$4=0,0,IF(COUNTIFS(実績!$W$6:$W$505,I$3,実績!$AI$6:$AI$505,"&lt;="&amp;$A287,実績!$AJ$6:$AJ$505,"&gt;"&amp;$A287,実績!$AK$6:$AK$505,"○")&gt;0,1,0))</f>
        <v>0</v>
      </c>
      <c r="J287" s="39" t="n">
        <f aca="false">IF(J$4=0,0,IF(COUNTIFS(実績!$W$6:$W$505,J$3,実績!$AI$6:$AI$505,"&lt;="&amp;$A287,実績!$AJ$6:$AJ$505,"&gt;"&amp;$A287,実績!$AK$6:$AK$505,"○")&gt;0,1,0))</f>
        <v>0</v>
      </c>
      <c r="K287" s="39" t="n">
        <f aca="false">IF(K$4=0,0,IF(COUNTIFS(実績!$W$6:$W$505,K$3,実績!$AI$6:$AI$505,"&lt;="&amp;$A287,実績!$AJ$6:$AJ$505,"&gt;"&amp;$A287,実績!$AK$6:$AK$505,"○")&gt;0,1,0))</f>
        <v>0</v>
      </c>
      <c r="L287" s="39" t="n">
        <f aca="false">IF(L$4=0,0,IF(COUNTIFS(実績!$W$6:$W$505,L$3,実績!$AI$6:$AI$505,"&lt;="&amp;$A287,実績!$AJ$6:$AJ$505,"&gt;"&amp;$A287,実績!$AK$6:$AK$505,"○")&gt;0,1,0))</f>
        <v>0</v>
      </c>
      <c r="M287" s="39" t="n">
        <f aca="false">IF(M$4=0,0,IF(COUNTIFS(実績!$W$6:$W$505,M$3,実績!$AI$6:$AI$505,"&lt;="&amp;$A287,実績!$AJ$6:$AJ$505,"&gt;"&amp;$A287,実績!$AK$6:$AK$505,"○")&gt;0,1,0))</f>
        <v>0</v>
      </c>
      <c r="N287" s="39" t="n">
        <f aca="false">IF(N$4=0,0,IF(COUNTIFS(実績!$W$6:$W$505,N$3,実績!$AI$6:$AI$505,"&lt;="&amp;$A287,実績!$AJ$6:$AJ$505,"&gt;"&amp;$A287,実績!$AK$6:$AK$505,"○")&gt;0,1,0))</f>
        <v>0</v>
      </c>
      <c r="O287" s="39" t="n">
        <f aca="false">IF(O$4=0,0,IF(COUNTIFS(実績!$W$6:$W$505,O$3,実績!$AI$6:$AI$505,"&lt;="&amp;$A287,実績!$AJ$6:$AJ$505,"&gt;"&amp;$A287,実績!$AK$6:$AK$505,"○")&gt;0,1,0))</f>
        <v>0</v>
      </c>
      <c r="P287" s="39" t="n">
        <f aca="false">IF(P$4=0,0,IF(COUNTIFS(実績!$W$6:$W$505,P$3,実績!$AI$6:$AI$505,"&lt;="&amp;$A287,実績!$AJ$6:$AJ$505,"&gt;"&amp;$A287,実績!$AK$6:$AK$505,"○")&gt;0,1,0))</f>
        <v>0</v>
      </c>
      <c r="Q287" s="39" t="n">
        <f aca="false">IF(Q$4=0,0,IF(COUNTIFS(実績!$W$6:$W$505,Q$3,実績!$AI$6:$AI$505,"&lt;="&amp;$A287,実績!$AJ$6:$AJ$505,"&gt;"&amp;$A287,実績!$AK$6:$AK$505,"○")&gt;0,1,0))</f>
        <v>0</v>
      </c>
      <c r="R287" s="39" t="n">
        <f aca="false">IF(R$4=0,0,IF(COUNTIFS(実績!$W$6:$W$505,R$3,実績!$AI$6:$AI$505,"&lt;="&amp;$A287,実績!$AJ$6:$AJ$505,"&gt;"&amp;$A287,実績!$AK$6:$AK$505,"○")&gt;0,1,0))</f>
        <v>0</v>
      </c>
      <c r="S287" s="39" t="n">
        <f aca="false">IF(S$4=0,0,IF(COUNTIFS(実績!$W$6:$W$505,S$3,実績!$AI$6:$AI$505,"&lt;="&amp;$A287,実績!$AJ$6:$AJ$505,"&gt;"&amp;$A287,実績!$AK$6:$AK$505,"○")&gt;0,1,0))</f>
        <v>0</v>
      </c>
      <c r="T287" s="39" t="n">
        <f aca="false">IF(T$4=0,0,IF(COUNTIFS(実績!$W$6:$W$505,T$3,実績!$AI$6:$AI$505,"&lt;="&amp;$A287,実績!$AJ$6:$AJ$505,"&gt;"&amp;$A287,実績!$AK$6:$AK$505,"○")&gt;0,1,0))</f>
        <v>0</v>
      </c>
      <c r="U287" s="39" t="n">
        <f aca="false">IF(U$4=0,0,IF(COUNTIFS(実績!$W$6:$W$505,U$3,実績!$AI$6:$AI$505,"&lt;="&amp;$A287,実績!$AJ$6:$AJ$505,"&gt;"&amp;$A287,実績!$AK$6:$AK$505,"○")&gt;0,1,0))</f>
        <v>0</v>
      </c>
      <c r="V287" s="39" t="n">
        <f aca="false">IF(V$4=0,0,IF(COUNTIFS(実績!$W$6:$W$505,V$3,実績!$AI$6:$AI$505,"&lt;="&amp;$A287,実績!$AJ$6:$AJ$505,"&gt;"&amp;$A287,実績!$AK$6:$AK$505,"○")&gt;0,1,0))</f>
        <v>0</v>
      </c>
      <c r="W287" s="39" t="n">
        <f aca="false">IF(W$4=0,0,IF(COUNTIFS(実績!$W$6:$W$505,W$3,実績!$AI$6:$AI$505,"&lt;="&amp;$A287,実績!$AJ$6:$AJ$505,"&gt;"&amp;$A287,実績!$AK$6:$AK$505,"○")&gt;0,1,0))</f>
        <v>0</v>
      </c>
      <c r="X287" s="39" t="n">
        <f aca="false">IF(X$4=0,0,IF(COUNTIFS(実績!$W$6:$W$505,X$3,実績!$AI$6:$AI$505,"&lt;="&amp;$A287,実績!$AJ$6:$AJ$505,"&gt;"&amp;$A287,実績!$AK$6:$AK$505,"○")&gt;0,1,0))</f>
        <v>0</v>
      </c>
      <c r="Y287" s="39" t="n">
        <f aca="false">IF(Y$4=0,0,IF(COUNTIFS(実績!$W$6:$W$505,Y$3,実績!$AI$6:$AI$505,"&lt;="&amp;$A287,実績!$AJ$6:$AJ$505,"&gt;"&amp;$A287,実績!$AK$6:$AK$505,"○")&gt;0,1,0))</f>
        <v>0</v>
      </c>
      <c r="Z287" s="39" t="n">
        <f aca="false">IF(Z$4=0,0,IF(COUNTIFS(実績!$W$6:$W$505,Z$3,実績!$AI$6:$AI$505,"&lt;="&amp;$A287,実績!$AJ$6:$AJ$505,"&gt;"&amp;$A287,実績!$AK$6:$AK$505,"○")&gt;0,1,0))</f>
        <v>0</v>
      </c>
      <c r="AA287" s="39" t="n">
        <f aca="false">IF(AA$4=0,0,IF(COUNTIFS(実績!$W$6:$W$505,AA$3,実績!$AI$6:$AI$505,"&lt;="&amp;$A287,実績!$AJ$6:$AJ$505,"&gt;"&amp;$A287,実績!$AK$6:$AK$505,"○")&gt;0,1,0))</f>
        <v>0</v>
      </c>
      <c r="AB287" s="39" t="n">
        <f aca="false">IF(AB$4=0,0,IF(COUNTIFS(実績!$W$6:$W$505,AB$3,実績!$AI$6:$AI$505,"&lt;="&amp;$A287,実績!$AJ$6:$AJ$505,"&gt;"&amp;$A287,実績!$AK$6:$AK$505,"○")&gt;0,1,0))</f>
        <v>0</v>
      </c>
      <c r="AC287" s="39" t="n">
        <f aca="false">IF(AC$4=0,0,IF(COUNTIFS(実績!$W$6:$W$505,AC$3,実績!$AI$6:$AI$505,"&lt;="&amp;$A287,実績!$AJ$6:$AJ$505,"&gt;"&amp;$A287,実績!$AK$6:$AK$505,"○")&gt;0,1,0))</f>
        <v>0</v>
      </c>
      <c r="AD287" s="39" t="n">
        <f aca="false">IF(AD$4=0,0,IF(COUNTIFS(実績!$W$6:$W$505,AD$3,実績!$AI$6:$AI$505,"&lt;="&amp;$A287,実績!$AJ$6:$AJ$505,"&gt;"&amp;$A287,実績!$AK$6:$AK$505,"○")&gt;0,1,0))</f>
        <v>0</v>
      </c>
      <c r="AE287" s="39" t="n">
        <f aca="false">IF(AE$4=0,0,IF(COUNTIFS(実績!$W$6:$W$505,AE$3,実績!$AI$6:$AI$505,"&lt;="&amp;$A287,実績!$AJ$6:$AJ$505,"&gt;"&amp;$A287,実績!$AK$6:$AK$505,"○")&gt;0,1,0))</f>
        <v>0</v>
      </c>
      <c r="AF287" s="39" t="n">
        <f aca="false">IF(AF$4=0,0,IF(COUNTIFS(実績!$W$6:$W$505,AF$3,実績!$AI$6:$AI$505,"&lt;="&amp;$A287,実績!$AJ$6:$AJ$505,"&gt;"&amp;$A287,実績!$AK$6:$AK$505,"○")&gt;0,1,0))</f>
        <v>0</v>
      </c>
      <c r="AG287" s="39" t="n">
        <f aca="false">IF(AG$4=0,0,IF(COUNTIFS(実績!$W$6:$W$505,AG$3,実績!$AI$6:$AI$505,"&lt;="&amp;$A287,実績!$AJ$6:$AJ$505,"&gt;"&amp;$A287,実績!$AK$6:$AK$505,"○")&gt;0,1,0))</f>
        <v>0</v>
      </c>
      <c r="AH287" s="39" t="n">
        <f aca="false">IF(AH$4=0,0,IF(COUNTIFS(実績!$W$6:$W$505,AH$3,実績!$AI$6:$AI$505,"&lt;="&amp;$A287,実績!$AJ$6:$AJ$505,"&gt;"&amp;$A287,実績!$AK$6:$AK$505,"○")&gt;0,1,0))</f>
        <v>0</v>
      </c>
      <c r="AI287" s="39" t="n">
        <f aca="false">IF(AI$4=0,0,IF(COUNTIFS(実績!$W$6:$W$505,AI$3,実績!$AI$6:$AI$505,"&lt;="&amp;$A287,実績!$AJ$6:$AJ$505,"&gt;"&amp;$A287,実績!$AK$6:$AK$505,"○")&gt;0,1,0))</f>
        <v>0</v>
      </c>
      <c r="AJ287" s="39" t="n">
        <f aca="false">IF(AJ$4=0,0,IF(COUNTIFS(実績!$W$6:$W$505,AJ$3,実績!$AI$6:$AI$505,"&lt;="&amp;$A287,実績!$AJ$6:$AJ$505,"&gt;"&amp;$A287,実績!$AK$6:$AK$505,"○")&gt;0,1,0))</f>
        <v>0</v>
      </c>
      <c r="AK287" s="39" t="n">
        <f aca="false">IF(AK$4=0,0,IF(COUNTIFS(実績!$W$6:$W$505,AK$3,実績!$AI$6:$AI$505,"&lt;="&amp;$A287,実績!$AJ$6:$AJ$505,"&gt;"&amp;$A287,実績!$AK$6:$AK$505,"○")&gt;0,1,0))</f>
        <v>0</v>
      </c>
      <c r="AL287" s="39" t="n">
        <f aca="false">IF(AL$4=0,0,IF(COUNTIFS(実績!$W$6:$W$505,AL$3,実績!$AI$6:$AI$505,"&lt;="&amp;$A287,実績!$AJ$6:$AJ$505,"&gt;"&amp;$A287,実績!$AK$6:$AK$505,"○")&gt;0,1,0))</f>
        <v>0</v>
      </c>
      <c r="AM287" s="39" t="n">
        <f aca="false">IF(AM$4=0,0,IF(COUNTIFS(実績!$W$6:$W$505,AM$3,実績!$AI$6:$AI$505,"&lt;="&amp;$A287,実績!$AJ$6:$AJ$505,"&gt;"&amp;$A287,実績!$AK$6:$AK$505,"○")&gt;0,1,0))</f>
        <v>0</v>
      </c>
      <c r="AN287" s="39" t="n">
        <f aca="false">IF(AN$4=0,0,IF(COUNTIFS(実績!$W$6:$W$505,AN$3,実績!$AI$6:$AI$505,"&lt;="&amp;$A287,実績!$AJ$6:$AJ$505,"&gt;"&amp;$A287,実績!$AK$6:$AK$505,"○")&gt;0,1,0))</f>
        <v>0</v>
      </c>
      <c r="AO287" s="39" t="n">
        <f aca="false">IF(AO$4=0,0,IF(COUNTIFS(実績!$W$6:$W$505,AO$3,実績!$AI$6:$AI$505,"&lt;="&amp;$A287,実績!$AJ$6:$AJ$505,"&gt;"&amp;$A287,実績!$AK$6:$AK$505,"○")&gt;0,1,0))</f>
        <v>0</v>
      </c>
      <c r="AP287" s="39" t="n">
        <f aca="false">IF(AP$4=0,0,IF(COUNTIFS(実績!$W$6:$W$505,AP$3,実績!$AI$6:$AI$505,"&lt;="&amp;$A287,実績!$AJ$6:$AJ$505,"&gt;"&amp;$A287,実績!$AK$6:$AK$505,"○")&gt;0,1,0))</f>
        <v>0</v>
      </c>
      <c r="AQ287" s="39" t="n">
        <f aca="false">IF(AQ$4=0,0,IF(COUNTIFS(実績!$W$6:$W$505,AQ$3,実績!$AI$6:$AI$505,"&lt;="&amp;$A287,実績!$AJ$6:$AJ$505,"&gt;"&amp;$A287,実績!$AK$6:$AK$505,"○")&gt;0,1,0))</f>
        <v>0</v>
      </c>
      <c r="AR287" s="39" t="n">
        <f aca="false">IF(AR$4=0,0,IF(COUNTIFS(実績!$W$6:$W$505,AR$3,実績!$AI$6:$AI$505,"&lt;="&amp;$A287,実績!$AJ$6:$AJ$505,"&gt;"&amp;$A287,実績!$AK$6:$AK$505,"○")&gt;0,1,0))</f>
        <v>0</v>
      </c>
      <c r="AS287" s="39" t="n">
        <f aca="false">IF(AS$4=0,0,IF(COUNTIFS(実績!$W$6:$W$505,AS$3,実績!$AI$6:$AI$505,"&lt;="&amp;$A287,実績!$AJ$6:$AJ$505,"&gt;"&amp;$A287,実績!$AK$6:$AK$505,"○")&gt;0,1,0))</f>
        <v>0</v>
      </c>
      <c r="AT287" s="39" t="n">
        <f aca="false">IF(AT$4=0,0,IF(COUNTIFS(実績!$W$6:$W$505,AT$3,実績!$AI$6:$AI$505,"&lt;="&amp;$A287,実績!$AJ$6:$AJ$505,"&gt;"&amp;$A287,実績!$AK$6:$AK$505,"○")&gt;0,1,0))</f>
        <v>0</v>
      </c>
      <c r="AU287" s="39" t="n">
        <f aca="false">IF(AU$4=0,0,IF(COUNTIFS(実績!$W$6:$W$505,AU$3,実績!$AI$6:$AI$505,"&lt;="&amp;$A287,実績!$AJ$6:$AJ$505,"&gt;"&amp;$A287,実績!$AK$6:$AK$505,"○")&gt;0,1,0))</f>
        <v>0</v>
      </c>
      <c r="AV287" s="39" t="n">
        <f aca="false">IF(AV$4=0,0,IF(COUNTIFS(実績!$W$6:$W$505,AV$3,実績!$AI$6:$AI$505,"&lt;="&amp;$A287,実績!$AJ$6:$AJ$505,"&gt;"&amp;$A287,実績!$AK$6:$AK$505,"○")&gt;0,1,0))</f>
        <v>0</v>
      </c>
      <c r="AW287" s="39" t="n">
        <f aca="false">IF(AW$4=0,0,IF(COUNTIFS(実績!$W$6:$W$505,AW$3,実績!$AI$6:$AI$505,"&lt;="&amp;$A287,実績!$AJ$6:$AJ$505,"&gt;"&amp;$A287,実績!$AK$6:$AK$505,"○")&gt;0,1,0))</f>
        <v>0</v>
      </c>
      <c r="AX287" s="39" t="n">
        <f aca="false">IF(AX$4=0,0,IF(COUNTIFS(実績!$W$6:$W$505,AX$3,実績!$AI$6:$AI$505,"&lt;="&amp;$A287,実績!$AJ$6:$AJ$505,"&gt;"&amp;$A287,実績!$AK$6:$AK$505,"○")&gt;0,1,0))</f>
        <v>0</v>
      </c>
      <c r="AY287" s="39" t="n">
        <f aca="false">IF(AY$4=0,0,IF(COUNTIFS(実績!$W$6:$W$505,AY$3,実績!$AI$6:$AI$505,"&lt;="&amp;$A287,実績!$AJ$6:$AJ$505,"&gt;"&amp;$A287,実績!$AK$6:$AK$505,"○")&gt;0,1,0))</f>
        <v>0</v>
      </c>
      <c r="AZ287" s="39" t="n">
        <f aca="false">IF(AZ$4=0,0,IF(COUNTIFS(実績!$W$6:$W$505,AZ$3,実績!$AI$6:$AI$505,"&lt;="&amp;$A287,実績!$AJ$6:$AJ$505,"&gt;"&amp;$A287,実績!$AK$6:$AK$505,"○")&gt;0,1,0))</f>
        <v>0</v>
      </c>
      <c r="BA287" s="39" t="n">
        <f aca="false">IF(BA$4=0,0,IF(COUNTIFS(実績!$W$6:$W$505,BA$3,実績!$AI$6:$AI$505,"&lt;="&amp;$A287,実績!$AJ$6:$AJ$505,"&gt;"&amp;$A287,実績!$AK$6:$AK$505,"○")&gt;0,1,0))</f>
        <v>0</v>
      </c>
      <c r="BB287" s="39" t="n">
        <f aca="false">IF(BB$4=0,0,IF(COUNTIFS(実績!$W$6:$W$505,BB$3,実績!$AI$6:$AI$505,"&lt;="&amp;$A287,実績!$AJ$6:$AJ$505,"&gt;"&amp;$A287,実績!$AK$6:$AK$505,"○")&gt;0,1,0))</f>
        <v>0</v>
      </c>
      <c r="BC287" s="39" t="n">
        <f aca="false">IF(BC$4=0,0,IF(COUNTIFS(実績!$W$6:$W$505,BC$3,実績!$AI$6:$AI$505,"&lt;="&amp;$A287,実績!$AJ$6:$AJ$505,"&gt;"&amp;$A287,実績!$AK$6:$AK$505,"○")&gt;0,1,0))</f>
        <v>0</v>
      </c>
      <c r="BD287" s="39" t="n">
        <f aca="false">IF(BD$4=0,0,IF(COUNTIFS(実績!$W$6:$W$505,BD$3,実績!$AI$6:$AI$505,"&lt;="&amp;$A287,実績!$AJ$6:$AJ$505,"&gt;"&amp;$A287,実績!$AK$6:$AK$505,"○")&gt;0,1,0))</f>
        <v>0</v>
      </c>
      <c r="BE287" s="39" t="n">
        <f aca="false">IF(BE$4=0,0,IF(COUNTIFS(実績!$W$6:$W$505,BE$3,実績!$AI$6:$AI$505,"&lt;="&amp;$A287,実績!$AJ$6:$AJ$505,"&gt;"&amp;$A287,実績!$AK$6:$AK$505,"○")&gt;0,1,0))</f>
        <v>0</v>
      </c>
      <c r="BF287" s="39" t="n">
        <f aca="false">IF(BF$4=0,0,IF(COUNTIFS(実績!$W$6:$W$505,BF$3,実績!$AI$6:$AI$505,"&lt;="&amp;$A287,実績!$AJ$6:$AJ$505,"&gt;"&amp;$A287,実績!$AK$6:$AK$505,"○")&gt;0,1,0))</f>
        <v>0</v>
      </c>
      <c r="BG287" s="39" t="n">
        <f aca="false">IF(BG$4=0,0,IF(COUNTIFS(実績!$W$6:$W$505,BG$3,実績!$AI$6:$AI$505,"&lt;="&amp;$A287,実績!$AJ$6:$AJ$505,"&gt;"&amp;$A287,実績!$AK$6:$AK$505,"○")&gt;0,1,0))</f>
        <v>0</v>
      </c>
      <c r="BH287" s="39" t="n">
        <f aca="false">IF(BH$4=0,0,IF(COUNTIFS(実績!$W$6:$W$505,BH$3,実績!$AI$6:$AI$505,"&lt;="&amp;$A287,実績!$AJ$6:$AJ$505,"&gt;"&amp;$A287,実績!$AK$6:$AK$505,"○")&gt;0,1,0))</f>
        <v>0</v>
      </c>
      <c r="BI287" s="39" t="n">
        <f aca="false">IF(BI$4=0,0,IF(COUNTIFS(実績!$W$6:$W$505,BI$3,実績!$AI$6:$AI$505,"&lt;="&amp;$A287,実績!$AJ$6:$AJ$505,"&gt;"&amp;$A287,実績!$AK$6:$AK$505,"○")&gt;0,1,0))</f>
        <v>0</v>
      </c>
      <c r="BJ287" s="39" t="n">
        <f aca="false">IF(BJ$4=0,0,IF(COUNTIFS(実績!$W$6:$W$505,BJ$3,実績!$AI$6:$AI$505,"&lt;="&amp;$A287,実績!$AJ$6:$AJ$505,"&gt;"&amp;$A287,実績!$AK$6:$AK$505,"○")&gt;0,1,0))</f>
        <v>0</v>
      </c>
      <c r="BK287" s="39" t="n">
        <f aca="false">IF(BK$4=0,0,IF(COUNTIFS(実績!$W$6:$W$505,BK$3,実績!$AI$6:$AI$505,"&lt;="&amp;$A287,実績!$AJ$6:$AJ$505,"&gt;"&amp;$A287,実績!$AK$6:$AK$505,"○")&gt;0,1,0))</f>
        <v>0</v>
      </c>
      <c r="BL287" s="39" t="n">
        <f aca="false">IF(BL$4=0,0,IF(COUNTIFS(実績!$W$6:$W$505,BL$3,実績!$AI$6:$AI$505,"&lt;="&amp;$A287,実績!$AJ$6:$AJ$505,"&gt;"&amp;$A287,実績!$AK$6:$AK$505,"○")&gt;0,1,0))</f>
        <v>0</v>
      </c>
      <c r="BM287" s="39" t="n">
        <f aca="false">IF(BM$4=0,0,IF(COUNTIFS(実績!$W$6:$W$505,BM$3,実績!$AI$6:$AI$505,"&lt;="&amp;$A287,実績!$AJ$6:$AJ$505,"&gt;"&amp;$A287,実績!$AK$6:$AK$505,"○")&gt;0,1,0))</f>
        <v>0</v>
      </c>
      <c r="BN287" s="39" t="n">
        <f aca="false">IF(BN$4=0,0,IF(COUNTIFS(実績!$W$6:$W$505,BN$3,実績!$AI$6:$AI$505,"&lt;="&amp;$A287,実績!$AJ$6:$AJ$505,"&gt;"&amp;$A287,実績!$AK$6:$AK$505,"○")&gt;0,1,0))</f>
        <v>0</v>
      </c>
      <c r="BO287" s="39" t="n">
        <f aca="false">IF(BO$4=0,0,IF(COUNTIFS(実績!$W$6:$W$505,BO$3,実績!$AI$6:$AI$505,"&lt;="&amp;$A287,実績!$AJ$6:$AJ$505,"&gt;"&amp;$A287,実績!$AK$6:$AK$505,"○")&gt;0,1,0))</f>
        <v>0</v>
      </c>
      <c r="BP287" s="39" t="n">
        <f aca="false">IF(BP$4=0,0,IF(COUNTIFS(実績!$W$6:$W$505,BP$3,実績!$AI$6:$AI$505,"&lt;="&amp;$A287,実績!$AJ$6:$AJ$505,"&gt;"&amp;$A287,実績!$AK$6:$AK$505,"○")&gt;0,1,0))</f>
        <v>0</v>
      </c>
      <c r="BQ287" s="39" t="n">
        <f aca="false">IF(BQ$4=0,0,IF(COUNTIFS(実績!$W$6:$W$505,BQ$3,実績!$AI$6:$AI$505,"&lt;="&amp;$A287,実績!$AJ$6:$AJ$505,"&gt;"&amp;$A287,実績!$AK$6:$AK$505,"○")&gt;0,1,0))</f>
        <v>0</v>
      </c>
      <c r="BR287" s="39" t="n">
        <f aca="false">IF(BR$4=0,0,IF(COUNTIFS(実績!$W$6:$W$505,BR$3,実績!$AI$6:$AI$505,"&lt;="&amp;$A287,実績!$AJ$6:$AJ$505,"&gt;"&amp;$A287,実績!$AK$6:$AK$505,"○")&gt;0,1,0))</f>
        <v>0</v>
      </c>
      <c r="BS287" s="39" t="n">
        <f aca="false">IF(BS$4=0,0,IF(COUNTIFS(実績!$W$6:$W$505,BS$3,実績!$AI$6:$AI$505,"&lt;="&amp;$A287,実績!$AJ$6:$AJ$505,"&gt;"&amp;$A287,実績!$AK$6:$AK$505,"○")&gt;0,1,0))</f>
        <v>0</v>
      </c>
      <c r="BT287" s="39" t="n">
        <f aca="false">IF(BT$4=0,0,IF(COUNTIFS(実績!$W$6:$W$505,BT$3,実績!$AI$6:$AI$505,"&lt;="&amp;$A287,実績!$AJ$6:$AJ$505,"&gt;"&amp;$A287,実績!$AK$6:$AK$505,"○")&gt;0,1,0))</f>
        <v>0</v>
      </c>
      <c r="BU287" s="39" t="n">
        <f aca="false">IF(BU$4=0,0,IF(COUNTIFS(実績!$W$6:$W$505,BU$3,実績!$AI$6:$AI$505,"&lt;="&amp;$A287,実績!$AJ$6:$AJ$505,"&gt;"&amp;$A287,実績!$AK$6:$AK$505,"○")&gt;0,1,0))</f>
        <v>0</v>
      </c>
      <c r="BV287" s="39" t="n">
        <f aca="false">IF(BV$4=0,0,IF(COUNTIFS(実績!$W$6:$W$505,BV$3,実績!$AI$6:$AI$505,"&lt;="&amp;$A287,実績!$AJ$6:$AJ$505,"&gt;"&amp;$A287,実績!$AK$6:$AK$505,"○")&gt;0,1,0))</f>
        <v>0</v>
      </c>
      <c r="BW287" s="39" t="n">
        <f aca="false">IF(BW$4=0,0,IF(COUNTIFS(実績!$W$6:$W$505,BW$3,実績!$AI$6:$AI$505,"&lt;="&amp;$A287,実績!$AJ$6:$AJ$505,"&gt;"&amp;$A287,実績!$AK$6:$AK$505,"○")&gt;0,1,0))</f>
        <v>0</v>
      </c>
      <c r="BX287" s="39" t="n">
        <f aca="false">IF(BX$4=0,0,IF(COUNTIFS(実績!$W$6:$W$505,BX$3,実績!$AI$6:$AI$505,"&lt;="&amp;$A287,実績!$AJ$6:$AJ$505,"&gt;"&amp;$A287,実績!$AK$6:$AK$505,"○")&gt;0,1,0))</f>
        <v>0</v>
      </c>
      <c r="BY287" s="39" t="n">
        <f aca="false">IF(BY$4=0,0,IF(COUNTIFS(実績!$W$6:$W$505,BY$3,実績!$AI$6:$AI$505,"&lt;="&amp;$A287,実績!$AJ$6:$AJ$505,"&gt;"&amp;$A287,実績!$AK$6:$AK$505,"○")&gt;0,1,0))</f>
        <v>0</v>
      </c>
      <c r="BZ287" s="39" t="n">
        <f aca="false">IF(BZ$4=0,0,IF(COUNTIFS(実績!$W$6:$W$505,BZ$3,実績!$AI$6:$AI$505,"&lt;="&amp;$A287,実績!$AJ$6:$AJ$505,"&gt;"&amp;$A287,実績!$AK$6:$AK$505,"○")&gt;0,1,0))</f>
        <v>0</v>
      </c>
      <c r="CA287" s="39" t="n">
        <f aca="false">IF(CA$4=0,0,IF(COUNTIFS(実績!$W$6:$W$505,CA$3,実績!$AI$6:$AI$505,"&lt;="&amp;$A287,実績!$AJ$6:$AJ$505,"&gt;"&amp;$A287,実績!$AK$6:$AK$505,"○")&gt;0,1,0))</f>
        <v>0</v>
      </c>
      <c r="CB287" s="39" t="n">
        <f aca="false">IF(CB$4=0,0,IF(COUNTIFS(実績!$W$6:$W$505,CB$3,実績!$AI$6:$AI$505,"&lt;="&amp;$A287,実績!$AJ$6:$AJ$505,"&gt;"&amp;$A287,実績!$AK$6:$AK$505,"○")&gt;0,1,0))</f>
        <v>0</v>
      </c>
      <c r="CC287" s="39" t="n">
        <f aca="false">IF(CC$4=0,0,IF(COUNTIFS(実績!$W$6:$W$505,CC$3,実績!$AI$6:$AI$505,"&lt;="&amp;$A287,実績!$AJ$6:$AJ$505,"&gt;"&amp;$A287,実績!$AK$6:$AK$505,"○")&gt;0,1,0))</f>
        <v>0</v>
      </c>
      <c r="CD287" s="39" t="n">
        <f aca="false">IF(CD$4=0,0,IF(COUNTIFS(実績!$W$6:$W$505,CD$3,実績!$AI$6:$AI$505,"&lt;="&amp;$A287,実績!$AJ$6:$AJ$505,"&gt;"&amp;$A287,実績!$AK$6:$AK$505,"○")&gt;0,1,0))</f>
        <v>0</v>
      </c>
      <c r="CE287" s="39" t="n">
        <f aca="false">IF(CE$4=0,0,IF(COUNTIFS(実績!$W$6:$W$505,CE$3,実績!$AI$6:$AI$505,"&lt;="&amp;$A287,実績!$AJ$6:$AJ$505,"&gt;"&amp;$A287,実績!$AK$6:$AK$505,"○")&gt;0,1,0))</f>
        <v>0</v>
      </c>
      <c r="CF287" s="39" t="n">
        <f aca="false">IF(CF$4=0,0,IF(COUNTIFS(実績!$W$6:$W$505,CF$3,実績!$AI$6:$AI$505,"&lt;="&amp;$A287,実績!$AJ$6:$AJ$505,"&gt;"&amp;$A287,実績!$AK$6:$AK$505,"○")&gt;0,1,0))</f>
        <v>0</v>
      </c>
      <c r="CG287" s="39" t="n">
        <f aca="false">IF(CG$4=0,0,IF(COUNTIFS(実績!$W$6:$W$505,CG$3,実績!$AI$6:$AI$505,"&lt;="&amp;$A287,実績!$AJ$6:$AJ$505,"&gt;"&amp;$A287,実績!$AK$6:$AK$505,"○")&gt;0,1,0))</f>
        <v>0</v>
      </c>
      <c r="CH287" s="39" t="n">
        <f aca="false">IF(CH$4=0,0,IF(COUNTIFS(実績!$W$6:$W$505,CH$3,実績!$AI$6:$AI$505,"&lt;="&amp;$A287,実績!$AJ$6:$AJ$505,"&gt;"&amp;$A287,実績!$AK$6:$AK$505,"○")&gt;0,1,0))</f>
        <v>0</v>
      </c>
      <c r="CI287" s="39" t="n">
        <f aca="false">IF(CI$4=0,0,IF(COUNTIFS(実績!$W$6:$W$505,CI$3,実績!$AI$6:$AI$505,"&lt;="&amp;$A287,実績!$AJ$6:$AJ$505,"&gt;"&amp;$A287,実績!$AK$6:$AK$505,"○")&gt;0,1,0))</f>
        <v>0</v>
      </c>
      <c r="CJ287" s="39" t="n">
        <f aca="false">IF(CJ$4=0,0,IF(COUNTIFS(実績!$W$6:$W$505,CJ$3,実績!$AI$6:$AI$505,"&lt;="&amp;$A287,実績!$AJ$6:$AJ$505,"&gt;"&amp;$A287,実績!$AK$6:$AK$505,"○")&gt;0,1,0))</f>
        <v>0</v>
      </c>
      <c r="CK287" s="39" t="n">
        <f aca="false">IF(CK$4=0,0,IF(COUNTIFS(実績!$W$6:$W$505,CK$3,実績!$AI$6:$AI$505,"&lt;="&amp;$A287,実績!$AJ$6:$AJ$505,"&gt;"&amp;$A287,実績!$AK$6:$AK$505,"○")&gt;0,1,0))</f>
        <v>0</v>
      </c>
      <c r="CL287" s="39" t="n">
        <f aca="false">IF(CL$4=0,0,IF(COUNTIFS(実績!$W$6:$W$505,CL$3,実績!$AI$6:$AI$505,"&lt;="&amp;$A287,実績!$AJ$6:$AJ$505,"&gt;"&amp;$A287,実績!$AK$6:$AK$505,"○")&gt;0,1,0))</f>
        <v>0</v>
      </c>
      <c r="CM287" s="39" t="n">
        <f aca="false">IF(CM$4=0,0,IF(COUNTIFS(実績!$W$6:$W$505,CM$3,実績!$AI$6:$AI$505,"&lt;="&amp;$A287,実績!$AJ$6:$AJ$505,"&gt;"&amp;$A287,実績!$AK$6:$AK$505,"○")&gt;0,1,0))</f>
        <v>0</v>
      </c>
      <c r="CN287" s="39" t="n">
        <f aca="false">IF(CN$4=0,0,IF(COUNTIFS(実績!$W$6:$W$505,CN$3,実績!$AI$6:$AI$505,"&lt;="&amp;$A287,実績!$AJ$6:$AJ$505,"&gt;"&amp;$A287,実績!$AK$6:$AK$505,"○")&gt;0,1,0))</f>
        <v>0</v>
      </c>
      <c r="CO287" s="39" t="n">
        <f aca="false">IF(CO$4=0,0,IF(COUNTIFS(実績!$W$6:$W$505,CO$3,実績!$AI$6:$AI$505,"&lt;="&amp;$A287,実績!$AJ$6:$AJ$505,"&gt;"&amp;$A287,実績!$AK$6:$AK$505,"○")&gt;0,1,0))</f>
        <v>0</v>
      </c>
      <c r="CP287" s="39" t="n">
        <f aca="false">IF(CP$4=0,0,IF(COUNTIFS(実績!$W$6:$W$505,CP$3,実績!$AI$6:$AI$505,"&lt;="&amp;$A287,実績!$AJ$6:$AJ$505,"&gt;"&amp;$A287,実績!$AK$6:$AK$505,"○")&gt;0,1,0))</f>
        <v>0</v>
      </c>
      <c r="CQ287" s="39" t="n">
        <f aca="false">IF(CQ$4=0,0,IF(COUNTIFS(実績!$W$6:$W$505,CQ$3,実績!$AI$6:$AI$505,"&lt;="&amp;$A287,実績!$AJ$6:$AJ$505,"&gt;"&amp;$A287,実績!$AK$6:$AK$505,"○")&gt;0,1,0))</f>
        <v>0</v>
      </c>
      <c r="CR287" s="39" t="n">
        <f aca="false">IF(CR$4=0,0,IF(COUNTIFS(実績!$W$6:$W$505,CR$3,実績!$AI$6:$AI$505,"&lt;="&amp;$A287,実績!$AJ$6:$AJ$505,"&gt;"&amp;$A287,実績!$AK$6:$AK$505,"○")&gt;0,1,0))</f>
        <v>0</v>
      </c>
      <c r="CS287" s="39" t="n">
        <f aca="false">IF(CS$4=0,0,IF(COUNTIFS(実績!$W$6:$W$505,CS$3,実績!$AI$6:$AI$505,"&lt;="&amp;$A287,実績!$AJ$6:$AJ$505,"&gt;"&amp;$A287,実績!$AK$6:$AK$505,"○")&gt;0,1,0))</f>
        <v>0</v>
      </c>
      <c r="CT287" s="39" t="n">
        <f aca="false">IF(CT$4=0,0,IF(COUNTIFS(実績!$W$6:$W$505,CT$3,実績!$AI$6:$AI$505,"&lt;="&amp;$A287,実績!$AJ$6:$AJ$505,"&gt;"&amp;$A287,実績!$AK$6:$AK$505,"○")&gt;0,1,0))</f>
        <v>0</v>
      </c>
      <c r="CU287" s="39" t="n">
        <f aca="false">IF(CU$4=0,0,IF(COUNTIFS(実績!$W$6:$W$505,CU$3,実績!$AI$6:$AI$505,"&lt;="&amp;$A287,実績!$AJ$6:$AJ$505,"&gt;"&amp;$A287,実績!$AK$6:$AK$505,"○")&gt;0,1,0))</f>
        <v>0</v>
      </c>
      <c r="CV287" s="39" t="n">
        <f aca="false">IF(CV$4=0,0,IF(COUNTIFS(実績!$W$6:$W$505,CV$3,実績!$AI$6:$AI$505,"&lt;="&amp;$A287,実績!$AJ$6:$AJ$505,"&gt;"&amp;$A287,実績!$AK$6:$AK$505,"○")&gt;0,1,0))</f>
        <v>0</v>
      </c>
      <c r="CW287" s="39" t="n">
        <f aca="false">IF(CW$4=0,0,IF(COUNTIFS(実績!$W$6:$W$505,CW$3,実績!$AI$6:$AI$505,"&lt;="&amp;$A287,実績!$AJ$6:$AJ$505,"&gt;"&amp;$A287,実績!$AK$6:$AK$505,"○")&gt;0,1,0))</f>
        <v>0</v>
      </c>
      <c r="CX287" s="39" t="n">
        <f aca="false">IF(CX$4=0,0,IF(COUNTIFS(実績!$W$6:$W$505,CX$3,実績!$AI$6:$AI$505,"&lt;="&amp;$A287,実績!$AJ$6:$AJ$505,"&gt;"&amp;$A287,実績!$AK$6:$AK$505,"○")&gt;0,1,0))</f>
        <v>0</v>
      </c>
      <c r="CY287" s="39" t="n">
        <f aca="false">IF(CY$4=0,0,IF(COUNTIFS(実績!$W$6:$W$505,CY$3,実績!$AI$6:$AI$505,"&lt;="&amp;$A287,実績!$AJ$6:$AJ$505,"&gt;"&amp;$A287,実績!$AK$6:$AK$505,"○")&gt;0,1,0))</f>
        <v>0</v>
      </c>
      <c r="CZ287" s="39" t="n">
        <f aca="false">IF(CZ$4=0,0,IF(COUNTIFS(実績!$W$6:$W$505,CZ$3,実績!$AI$6:$AI$505,"&lt;="&amp;$A287,実績!$AJ$6:$AJ$505,"&gt;"&amp;$A287,実績!$AK$6:$AK$505,"○")&gt;0,1,0))</f>
        <v>0</v>
      </c>
      <c r="DA287" s="39" t="n">
        <f aca="false">IF(DA$4=0,0,IF(COUNTIFS(実績!$W$6:$W$505,DA$3,実績!$AI$6:$AI$505,"&lt;="&amp;$A287,実績!$AJ$6:$AJ$505,"&gt;"&amp;$A287,実績!$AK$6:$AK$505,"○")&gt;0,1,0))</f>
        <v>0</v>
      </c>
      <c r="DB287" s="39" t="n">
        <f aca="false">IF(DB$4=0,0,IF(COUNTIFS(実績!$W$6:$W$505,DB$3,実績!$AI$6:$AI$505,"&lt;="&amp;$A287,実績!$AJ$6:$AJ$505,"&gt;"&amp;$A287,実績!$AK$6:$AK$505,"○")&gt;0,1,0))</f>
        <v>0</v>
      </c>
      <c r="DC287" s="39" t="n">
        <f aca="false">IF(DC$4=0,0,IF(COUNTIFS(実績!$W$6:$W$505,DC$3,実績!$AI$6:$AI$505,"&lt;="&amp;$A287,実績!$AJ$6:$AJ$505,"&gt;"&amp;$A287,実績!$AK$6:$AK$505,"○")&gt;0,1,0))</f>
        <v>0</v>
      </c>
      <c r="DD287" s="39" t="n">
        <f aca="false">IF(DD$4=0,0,IF(COUNTIFS(実績!$W$6:$W$505,DD$3,実績!$AI$6:$AI$505,"&lt;="&amp;$A287,実績!$AJ$6:$AJ$505,"&gt;"&amp;$A287,実績!$AK$6:$AK$505,"○")&gt;0,1,0))</f>
        <v>0</v>
      </c>
      <c r="DE287" s="39" t="n">
        <f aca="false">IF(DE$4=0,0,IF(COUNTIFS(実績!$W$6:$W$505,DE$3,実績!$AI$6:$AI$505,"&lt;="&amp;$A287,実績!$AJ$6:$AJ$505,"&gt;"&amp;$A287,実績!$AK$6:$AK$505,"○")&gt;0,1,0))</f>
        <v>0</v>
      </c>
      <c r="DF287" s="39" t="n">
        <f aca="false">IF(DF$4=0,0,IF(COUNTIFS(実績!$W$6:$W$505,DF$3,実績!$AI$6:$AI$505,"&lt;="&amp;$A287,実績!$AJ$6:$AJ$505,"&gt;"&amp;$A287,実績!$AK$6:$AK$505,"○")&gt;0,1,0))</f>
        <v>0</v>
      </c>
      <c r="DG287" s="39" t="n">
        <f aca="false">IF(DG$4=0,0,IF(COUNTIFS(実績!$W$6:$W$505,DG$3,実績!$AI$6:$AI$505,"&lt;="&amp;$A287,実績!$AJ$6:$AJ$505,"&gt;"&amp;$A287,実績!$AK$6:$AK$505,"○")&gt;0,1,0))</f>
        <v>0</v>
      </c>
      <c r="DH287" s="39" t="n">
        <f aca="false">IF(DH$4=0,0,IF(COUNTIFS(実績!$W$6:$W$505,DH$3,実績!$AI$6:$AI$505,"&lt;="&amp;$A287,実績!$AJ$6:$AJ$505,"&gt;"&amp;$A287,実績!$AK$6:$AK$505,"○")&gt;0,1,0))</f>
        <v>0</v>
      </c>
      <c r="DI287" s="39" t="n">
        <f aca="false">IF(DI$4=0,0,IF(COUNTIFS(実績!$W$6:$W$505,DI$3,実績!$AI$6:$AI$505,"&lt;="&amp;$A287,実績!$AJ$6:$AJ$505,"&gt;"&amp;$A287,実績!$AK$6:$AK$505,"○")&gt;0,1,0))</f>
        <v>0</v>
      </c>
      <c r="DJ287" s="39" t="n">
        <f aca="false">IF(DJ$4=0,0,IF(COUNTIFS(実績!$W$6:$W$505,DJ$3,実績!$AI$6:$AI$505,"&lt;="&amp;$A287,実績!$AJ$6:$AJ$505,"&gt;"&amp;$A287,実績!$AK$6:$AK$505,"○")&gt;0,1,0))</f>
        <v>0</v>
      </c>
      <c r="DK287" s="39" t="n">
        <f aca="false">IF(DK$4=0,0,IF(COUNTIFS(実績!$W$6:$W$505,DK$3,実績!$AI$6:$AI$505,"&lt;="&amp;$A287,実績!$AJ$6:$AJ$505,"&gt;"&amp;$A287,実績!$AK$6:$AK$505,"○")&gt;0,1,0))</f>
        <v>0</v>
      </c>
      <c r="DL287" s="39" t="n">
        <f aca="false">IF(DL$4=0,0,IF(COUNTIFS(実績!$W$6:$W$505,DL$3,実績!$AI$6:$AI$505,"&lt;="&amp;$A287,実績!$AJ$6:$AJ$505,"&gt;"&amp;$A287,実績!$AK$6:$AK$505,"○")&gt;0,1,0))</f>
        <v>0</v>
      </c>
      <c r="DM287" s="39" t="n">
        <f aca="false">IF(DM$4=0,0,IF(COUNTIFS(実績!$W$6:$W$505,DM$3,実績!$AI$6:$AI$505,"&lt;="&amp;$A287,実績!$AJ$6:$AJ$505,"&gt;"&amp;$A287,実績!$AK$6:$AK$505,"○")&gt;0,1,0))</f>
        <v>0</v>
      </c>
      <c r="DN287" s="39" t="n">
        <f aca="false">IF(DN$4=0,0,IF(COUNTIFS(実績!$W$6:$W$505,DN$3,実績!$AI$6:$AI$505,"&lt;="&amp;$A287,実績!$AJ$6:$AJ$505,"&gt;"&amp;$A287,実績!$AK$6:$AK$505,"○")&gt;0,1,0))</f>
        <v>0</v>
      </c>
      <c r="DO287" s="39" t="n">
        <f aca="false">IF(DO$4=0,0,IF(COUNTIFS(実績!$W$6:$W$505,DO$3,実績!$AI$6:$AI$505,"&lt;="&amp;$A287,実績!$AJ$6:$AJ$505,"&gt;"&amp;$A287,実績!$AK$6:$AK$505,"○")&gt;0,1,0))</f>
        <v>0</v>
      </c>
      <c r="DP287" s="39" t="n">
        <f aca="false">IF(DP$4=0,0,IF(COUNTIFS(実績!$W$6:$W$505,DP$3,実績!$AI$6:$AI$505,"&lt;="&amp;$A287,実績!$AJ$6:$AJ$505,"&gt;"&amp;$A287,実績!$AK$6:$AK$505,"○")&gt;0,1,0))</f>
        <v>0</v>
      </c>
      <c r="DQ287" s="39" t="n">
        <f aca="false">IF(DQ$4=0,0,IF(COUNTIFS(実績!$W$6:$W$505,DQ$3,実績!$AI$6:$AI$505,"&lt;="&amp;$A287,実績!$AJ$6:$AJ$505,"&gt;"&amp;$A287,実績!$AK$6:$AK$505,"○")&gt;0,1,0))</f>
        <v>0</v>
      </c>
      <c r="DR287" s="39" t="n">
        <f aca="false">IF(DR$4=0,0,IF(COUNTIFS(実績!$W$6:$W$505,DR$3,実績!$AI$6:$AI$505,"&lt;="&amp;$A287,実績!$AJ$6:$AJ$505,"&gt;"&amp;$A287,実績!$AK$6:$AK$505,"○")&gt;0,1,0))</f>
        <v>0</v>
      </c>
      <c r="DS287" s="39" t="n">
        <f aca="false">SUM(C287:DR287)</f>
        <v>0</v>
      </c>
      <c r="DT287" s="39" t="n">
        <f aca="false">SUMPRODUCT((実績!$C$6:$C$505="○")*ISNUMBER(実績!$AM$6:$AM$505)*(実績!$AM$6:$AM$505&lt;=$A287)*(実績!$AN$6:$AN$505&gt;$A287))</f>
        <v>0</v>
      </c>
      <c r="DU287" s="39" t="n">
        <f aca="false">SUMIF($C$2:$DR$2,"製鉄曳船",C287:DR287)</f>
        <v>0</v>
      </c>
      <c r="DV287" s="39" t="n">
        <f aca="false">SUMIF($C$2:$DR$2,"西日本海運",C287:DR287)</f>
        <v>0</v>
      </c>
    </row>
    <row r="288" customFormat="false" ht="15" hidden="false" customHeight="false" outlineLevel="0" collapsed="false">
      <c r="A288" s="0" t="n">
        <v>1410</v>
      </c>
      <c r="B288" s="38" t="n">
        <f aca="false">A288/1440</f>
        <v>0.979166666666667</v>
      </c>
      <c r="C288" s="39" t="n">
        <f aca="false">IF(C$4=0,0,IF(COUNTIFS(実績!$W$6:$W$505,C$3,実績!$AI$6:$AI$505,"&lt;="&amp;$A288,実績!$AJ$6:$AJ$505,"&gt;"&amp;$A288,実績!$AK$6:$AK$505,"○")&gt;0,1,0))</f>
        <v>0</v>
      </c>
      <c r="D288" s="39" t="n">
        <f aca="false">IF(D$4=0,0,IF(COUNTIFS(実績!$W$6:$W$505,D$3,実績!$AI$6:$AI$505,"&lt;="&amp;$A288,実績!$AJ$6:$AJ$505,"&gt;"&amp;$A288,実績!$AK$6:$AK$505,"○")&gt;0,1,0))</f>
        <v>0</v>
      </c>
      <c r="E288" s="39" t="n">
        <f aca="false">IF(E$4=0,0,IF(COUNTIFS(実績!$W$6:$W$505,E$3,実績!$AI$6:$AI$505,"&lt;="&amp;$A288,実績!$AJ$6:$AJ$505,"&gt;"&amp;$A288,実績!$AK$6:$AK$505,"○")&gt;0,1,0))</f>
        <v>0</v>
      </c>
      <c r="F288" s="39" t="n">
        <f aca="false">IF(F$4=0,0,IF(COUNTIFS(実績!$W$6:$W$505,F$3,実績!$AI$6:$AI$505,"&lt;="&amp;$A288,実績!$AJ$6:$AJ$505,"&gt;"&amp;$A288,実績!$AK$6:$AK$505,"○")&gt;0,1,0))</f>
        <v>0</v>
      </c>
      <c r="G288" s="39" t="n">
        <f aca="false">IF(G$4=0,0,IF(COUNTIFS(実績!$W$6:$W$505,G$3,実績!$AI$6:$AI$505,"&lt;="&amp;$A288,実績!$AJ$6:$AJ$505,"&gt;"&amp;$A288,実績!$AK$6:$AK$505,"○")&gt;0,1,0))</f>
        <v>0</v>
      </c>
      <c r="H288" s="39" t="n">
        <f aca="false">IF(H$4=0,0,IF(COUNTIFS(実績!$W$6:$W$505,H$3,実績!$AI$6:$AI$505,"&lt;="&amp;$A288,実績!$AJ$6:$AJ$505,"&gt;"&amp;$A288,実績!$AK$6:$AK$505,"○")&gt;0,1,0))</f>
        <v>0</v>
      </c>
      <c r="I288" s="39" t="n">
        <f aca="false">IF(I$4=0,0,IF(COUNTIFS(実績!$W$6:$W$505,I$3,実績!$AI$6:$AI$505,"&lt;="&amp;$A288,実績!$AJ$6:$AJ$505,"&gt;"&amp;$A288,実績!$AK$6:$AK$505,"○")&gt;0,1,0))</f>
        <v>0</v>
      </c>
      <c r="J288" s="39" t="n">
        <f aca="false">IF(J$4=0,0,IF(COUNTIFS(実績!$W$6:$W$505,J$3,実績!$AI$6:$AI$505,"&lt;="&amp;$A288,実績!$AJ$6:$AJ$505,"&gt;"&amp;$A288,実績!$AK$6:$AK$505,"○")&gt;0,1,0))</f>
        <v>0</v>
      </c>
      <c r="K288" s="39" t="n">
        <f aca="false">IF(K$4=0,0,IF(COUNTIFS(実績!$W$6:$W$505,K$3,実績!$AI$6:$AI$505,"&lt;="&amp;$A288,実績!$AJ$6:$AJ$505,"&gt;"&amp;$A288,実績!$AK$6:$AK$505,"○")&gt;0,1,0))</f>
        <v>0</v>
      </c>
      <c r="L288" s="39" t="n">
        <f aca="false">IF(L$4=0,0,IF(COUNTIFS(実績!$W$6:$W$505,L$3,実績!$AI$6:$AI$505,"&lt;="&amp;$A288,実績!$AJ$6:$AJ$505,"&gt;"&amp;$A288,実績!$AK$6:$AK$505,"○")&gt;0,1,0))</f>
        <v>0</v>
      </c>
      <c r="M288" s="39" t="n">
        <f aca="false">IF(M$4=0,0,IF(COUNTIFS(実績!$W$6:$W$505,M$3,実績!$AI$6:$AI$505,"&lt;="&amp;$A288,実績!$AJ$6:$AJ$505,"&gt;"&amp;$A288,実績!$AK$6:$AK$505,"○")&gt;0,1,0))</f>
        <v>0</v>
      </c>
      <c r="N288" s="39" t="n">
        <f aca="false">IF(N$4=0,0,IF(COUNTIFS(実績!$W$6:$W$505,N$3,実績!$AI$6:$AI$505,"&lt;="&amp;$A288,実績!$AJ$6:$AJ$505,"&gt;"&amp;$A288,実績!$AK$6:$AK$505,"○")&gt;0,1,0))</f>
        <v>0</v>
      </c>
      <c r="O288" s="39" t="n">
        <f aca="false">IF(O$4=0,0,IF(COUNTIFS(実績!$W$6:$W$505,O$3,実績!$AI$6:$AI$505,"&lt;="&amp;$A288,実績!$AJ$6:$AJ$505,"&gt;"&amp;$A288,実績!$AK$6:$AK$505,"○")&gt;0,1,0))</f>
        <v>0</v>
      </c>
      <c r="P288" s="39" t="n">
        <f aca="false">IF(P$4=0,0,IF(COUNTIFS(実績!$W$6:$W$505,P$3,実績!$AI$6:$AI$505,"&lt;="&amp;$A288,実績!$AJ$6:$AJ$505,"&gt;"&amp;$A288,実績!$AK$6:$AK$505,"○")&gt;0,1,0))</f>
        <v>0</v>
      </c>
      <c r="Q288" s="39" t="n">
        <f aca="false">IF(Q$4=0,0,IF(COUNTIFS(実績!$W$6:$W$505,Q$3,実績!$AI$6:$AI$505,"&lt;="&amp;$A288,実績!$AJ$6:$AJ$505,"&gt;"&amp;$A288,実績!$AK$6:$AK$505,"○")&gt;0,1,0))</f>
        <v>0</v>
      </c>
      <c r="R288" s="39" t="n">
        <f aca="false">IF(R$4=0,0,IF(COUNTIFS(実績!$W$6:$W$505,R$3,実績!$AI$6:$AI$505,"&lt;="&amp;$A288,実績!$AJ$6:$AJ$505,"&gt;"&amp;$A288,実績!$AK$6:$AK$505,"○")&gt;0,1,0))</f>
        <v>0</v>
      </c>
      <c r="S288" s="39" t="n">
        <f aca="false">IF(S$4=0,0,IF(COUNTIFS(実績!$W$6:$W$505,S$3,実績!$AI$6:$AI$505,"&lt;="&amp;$A288,実績!$AJ$6:$AJ$505,"&gt;"&amp;$A288,実績!$AK$6:$AK$505,"○")&gt;0,1,0))</f>
        <v>0</v>
      </c>
      <c r="T288" s="39" t="n">
        <f aca="false">IF(T$4=0,0,IF(COUNTIFS(実績!$W$6:$W$505,T$3,実績!$AI$6:$AI$505,"&lt;="&amp;$A288,実績!$AJ$6:$AJ$505,"&gt;"&amp;$A288,実績!$AK$6:$AK$505,"○")&gt;0,1,0))</f>
        <v>0</v>
      </c>
      <c r="U288" s="39" t="n">
        <f aca="false">IF(U$4=0,0,IF(COUNTIFS(実績!$W$6:$W$505,U$3,実績!$AI$6:$AI$505,"&lt;="&amp;$A288,実績!$AJ$6:$AJ$505,"&gt;"&amp;$A288,実績!$AK$6:$AK$505,"○")&gt;0,1,0))</f>
        <v>0</v>
      </c>
      <c r="V288" s="39" t="n">
        <f aca="false">IF(V$4=0,0,IF(COUNTIFS(実績!$W$6:$W$505,V$3,実績!$AI$6:$AI$505,"&lt;="&amp;$A288,実績!$AJ$6:$AJ$505,"&gt;"&amp;$A288,実績!$AK$6:$AK$505,"○")&gt;0,1,0))</f>
        <v>0</v>
      </c>
      <c r="W288" s="39" t="n">
        <f aca="false">IF(W$4=0,0,IF(COUNTIFS(実績!$W$6:$W$505,W$3,実績!$AI$6:$AI$505,"&lt;="&amp;$A288,実績!$AJ$6:$AJ$505,"&gt;"&amp;$A288,実績!$AK$6:$AK$505,"○")&gt;0,1,0))</f>
        <v>0</v>
      </c>
      <c r="X288" s="39" t="n">
        <f aca="false">IF(X$4=0,0,IF(COUNTIFS(実績!$W$6:$W$505,X$3,実績!$AI$6:$AI$505,"&lt;="&amp;$A288,実績!$AJ$6:$AJ$505,"&gt;"&amp;$A288,実績!$AK$6:$AK$505,"○")&gt;0,1,0))</f>
        <v>0</v>
      </c>
      <c r="Y288" s="39" t="n">
        <f aca="false">IF(Y$4=0,0,IF(COUNTIFS(実績!$W$6:$W$505,Y$3,実績!$AI$6:$AI$505,"&lt;="&amp;$A288,実績!$AJ$6:$AJ$505,"&gt;"&amp;$A288,実績!$AK$6:$AK$505,"○")&gt;0,1,0))</f>
        <v>0</v>
      </c>
      <c r="Z288" s="39" t="n">
        <f aca="false">IF(Z$4=0,0,IF(COUNTIFS(実績!$W$6:$W$505,Z$3,実績!$AI$6:$AI$505,"&lt;="&amp;$A288,実績!$AJ$6:$AJ$505,"&gt;"&amp;$A288,実績!$AK$6:$AK$505,"○")&gt;0,1,0))</f>
        <v>0</v>
      </c>
      <c r="AA288" s="39" t="n">
        <f aca="false">IF(AA$4=0,0,IF(COUNTIFS(実績!$W$6:$W$505,AA$3,実績!$AI$6:$AI$505,"&lt;="&amp;$A288,実績!$AJ$6:$AJ$505,"&gt;"&amp;$A288,実績!$AK$6:$AK$505,"○")&gt;0,1,0))</f>
        <v>0</v>
      </c>
      <c r="AB288" s="39" t="n">
        <f aca="false">IF(AB$4=0,0,IF(COUNTIFS(実績!$W$6:$W$505,AB$3,実績!$AI$6:$AI$505,"&lt;="&amp;$A288,実績!$AJ$6:$AJ$505,"&gt;"&amp;$A288,実績!$AK$6:$AK$505,"○")&gt;0,1,0))</f>
        <v>0</v>
      </c>
      <c r="AC288" s="39" t="n">
        <f aca="false">IF(AC$4=0,0,IF(COUNTIFS(実績!$W$6:$W$505,AC$3,実績!$AI$6:$AI$505,"&lt;="&amp;$A288,実績!$AJ$6:$AJ$505,"&gt;"&amp;$A288,実績!$AK$6:$AK$505,"○")&gt;0,1,0))</f>
        <v>0</v>
      </c>
      <c r="AD288" s="39" t="n">
        <f aca="false">IF(AD$4=0,0,IF(COUNTIFS(実績!$W$6:$W$505,AD$3,実績!$AI$6:$AI$505,"&lt;="&amp;$A288,実績!$AJ$6:$AJ$505,"&gt;"&amp;$A288,実績!$AK$6:$AK$505,"○")&gt;0,1,0))</f>
        <v>0</v>
      </c>
      <c r="AE288" s="39" t="n">
        <f aca="false">IF(AE$4=0,0,IF(COUNTIFS(実績!$W$6:$W$505,AE$3,実績!$AI$6:$AI$505,"&lt;="&amp;$A288,実績!$AJ$6:$AJ$505,"&gt;"&amp;$A288,実績!$AK$6:$AK$505,"○")&gt;0,1,0))</f>
        <v>0</v>
      </c>
      <c r="AF288" s="39" t="n">
        <f aca="false">IF(AF$4=0,0,IF(COUNTIFS(実績!$W$6:$W$505,AF$3,実績!$AI$6:$AI$505,"&lt;="&amp;$A288,実績!$AJ$6:$AJ$505,"&gt;"&amp;$A288,実績!$AK$6:$AK$505,"○")&gt;0,1,0))</f>
        <v>0</v>
      </c>
      <c r="AG288" s="39" t="n">
        <f aca="false">IF(AG$4=0,0,IF(COUNTIFS(実績!$W$6:$W$505,AG$3,実績!$AI$6:$AI$505,"&lt;="&amp;$A288,実績!$AJ$6:$AJ$505,"&gt;"&amp;$A288,実績!$AK$6:$AK$505,"○")&gt;0,1,0))</f>
        <v>0</v>
      </c>
      <c r="AH288" s="39" t="n">
        <f aca="false">IF(AH$4=0,0,IF(COUNTIFS(実績!$W$6:$W$505,AH$3,実績!$AI$6:$AI$505,"&lt;="&amp;$A288,実績!$AJ$6:$AJ$505,"&gt;"&amp;$A288,実績!$AK$6:$AK$505,"○")&gt;0,1,0))</f>
        <v>0</v>
      </c>
      <c r="AI288" s="39" t="n">
        <f aca="false">IF(AI$4=0,0,IF(COUNTIFS(実績!$W$6:$W$505,AI$3,実績!$AI$6:$AI$505,"&lt;="&amp;$A288,実績!$AJ$6:$AJ$505,"&gt;"&amp;$A288,実績!$AK$6:$AK$505,"○")&gt;0,1,0))</f>
        <v>0</v>
      </c>
      <c r="AJ288" s="39" t="n">
        <f aca="false">IF(AJ$4=0,0,IF(COUNTIFS(実績!$W$6:$W$505,AJ$3,実績!$AI$6:$AI$505,"&lt;="&amp;$A288,実績!$AJ$6:$AJ$505,"&gt;"&amp;$A288,実績!$AK$6:$AK$505,"○")&gt;0,1,0))</f>
        <v>0</v>
      </c>
      <c r="AK288" s="39" t="n">
        <f aca="false">IF(AK$4=0,0,IF(COUNTIFS(実績!$W$6:$W$505,AK$3,実績!$AI$6:$AI$505,"&lt;="&amp;$A288,実績!$AJ$6:$AJ$505,"&gt;"&amp;$A288,実績!$AK$6:$AK$505,"○")&gt;0,1,0))</f>
        <v>0</v>
      </c>
      <c r="AL288" s="39" t="n">
        <f aca="false">IF(AL$4=0,0,IF(COUNTIFS(実績!$W$6:$W$505,AL$3,実績!$AI$6:$AI$505,"&lt;="&amp;$A288,実績!$AJ$6:$AJ$505,"&gt;"&amp;$A288,実績!$AK$6:$AK$505,"○")&gt;0,1,0))</f>
        <v>0</v>
      </c>
      <c r="AM288" s="39" t="n">
        <f aca="false">IF(AM$4=0,0,IF(COUNTIFS(実績!$W$6:$W$505,AM$3,実績!$AI$6:$AI$505,"&lt;="&amp;$A288,実績!$AJ$6:$AJ$505,"&gt;"&amp;$A288,実績!$AK$6:$AK$505,"○")&gt;0,1,0))</f>
        <v>0</v>
      </c>
      <c r="AN288" s="39" t="n">
        <f aca="false">IF(AN$4=0,0,IF(COUNTIFS(実績!$W$6:$W$505,AN$3,実績!$AI$6:$AI$505,"&lt;="&amp;$A288,実績!$AJ$6:$AJ$505,"&gt;"&amp;$A288,実績!$AK$6:$AK$505,"○")&gt;0,1,0))</f>
        <v>0</v>
      </c>
      <c r="AO288" s="39" t="n">
        <f aca="false">IF(AO$4=0,0,IF(COUNTIFS(実績!$W$6:$W$505,AO$3,実績!$AI$6:$AI$505,"&lt;="&amp;$A288,実績!$AJ$6:$AJ$505,"&gt;"&amp;$A288,実績!$AK$6:$AK$505,"○")&gt;0,1,0))</f>
        <v>0</v>
      </c>
      <c r="AP288" s="39" t="n">
        <f aca="false">IF(AP$4=0,0,IF(COUNTIFS(実績!$W$6:$W$505,AP$3,実績!$AI$6:$AI$505,"&lt;="&amp;$A288,実績!$AJ$6:$AJ$505,"&gt;"&amp;$A288,実績!$AK$6:$AK$505,"○")&gt;0,1,0))</f>
        <v>0</v>
      </c>
      <c r="AQ288" s="39" t="n">
        <f aca="false">IF(AQ$4=0,0,IF(COUNTIFS(実績!$W$6:$W$505,AQ$3,実績!$AI$6:$AI$505,"&lt;="&amp;$A288,実績!$AJ$6:$AJ$505,"&gt;"&amp;$A288,実績!$AK$6:$AK$505,"○")&gt;0,1,0))</f>
        <v>0</v>
      </c>
      <c r="AR288" s="39" t="n">
        <f aca="false">IF(AR$4=0,0,IF(COUNTIFS(実績!$W$6:$W$505,AR$3,実績!$AI$6:$AI$505,"&lt;="&amp;$A288,実績!$AJ$6:$AJ$505,"&gt;"&amp;$A288,実績!$AK$6:$AK$505,"○")&gt;0,1,0))</f>
        <v>0</v>
      </c>
      <c r="AS288" s="39" t="n">
        <f aca="false">IF(AS$4=0,0,IF(COUNTIFS(実績!$W$6:$W$505,AS$3,実績!$AI$6:$AI$505,"&lt;="&amp;$A288,実績!$AJ$6:$AJ$505,"&gt;"&amp;$A288,実績!$AK$6:$AK$505,"○")&gt;0,1,0))</f>
        <v>0</v>
      </c>
      <c r="AT288" s="39" t="n">
        <f aca="false">IF(AT$4=0,0,IF(COUNTIFS(実績!$W$6:$W$505,AT$3,実績!$AI$6:$AI$505,"&lt;="&amp;$A288,実績!$AJ$6:$AJ$505,"&gt;"&amp;$A288,実績!$AK$6:$AK$505,"○")&gt;0,1,0))</f>
        <v>0</v>
      </c>
      <c r="AU288" s="39" t="n">
        <f aca="false">IF(AU$4=0,0,IF(COUNTIFS(実績!$W$6:$W$505,AU$3,実績!$AI$6:$AI$505,"&lt;="&amp;$A288,実績!$AJ$6:$AJ$505,"&gt;"&amp;$A288,実績!$AK$6:$AK$505,"○")&gt;0,1,0))</f>
        <v>0</v>
      </c>
      <c r="AV288" s="39" t="n">
        <f aca="false">IF(AV$4=0,0,IF(COUNTIFS(実績!$W$6:$W$505,AV$3,実績!$AI$6:$AI$505,"&lt;="&amp;$A288,実績!$AJ$6:$AJ$505,"&gt;"&amp;$A288,実績!$AK$6:$AK$505,"○")&gt;0,1,0))</f>
        <v>0</v>
      </c>
      <c r="AW288" s="39" t="n">
        <f aca="false">IF(AW$4=0,0,IF(COUNTIFS(実績!$W$6:$W$505,AW$3,実績!$AI$6:$AI$505,"&lt;="&amp;$A288,実績!$AJ$6:$AJ$505,"&gt;"&amp;$A288,実績!$AK$6:$AK$505,"○")&gt;0,1,0))</f>
        <v>0</v>
      </c>
      <c r="AX288" s="39" t="n">
        <f aca="false">IF(AX$4=0,0,IF(COUNTIFS(実績!$W$6:$W$505,AX$3,実績!$AI$6:$AI$505,"&lt;="&amp;$A288,実績!$AJ$6:$AJ$505,"&gt;"&amp;$A288,実績!$AK$6:$AK$505,"○")&gt;0,1,0))</f>
        <v>0</v>
      </c>
      <c r="AY288" s="39" t="n">
        <f aca="false">IF(AY$4=0,0,IF(COUNTIFS(実績!$W$6:$W$505,AY$3,実績!$AI$6:$AI$505,"&lt;="&amp;$A288,実績!$AJ$6:$AJ$505,"&gt;"&amp;$A288,実績!$AK$6:$AK$505,"○")&gt;0,1,0))</f>
        <v>0</v>
      </c>
      <c r="AZ288" s="39" t="n">
        <f aca="false">IF(AZ$4=0,0,IF(COUNTIFS(実績!$W$6:$W$505,AZ$3,実績!$AI$6:$AI$505,"&lt;="&amp;$A288,実績!$AJ$6:$AJ$505,"&gt;"&amp;$A288,実績!$AK$6:$AK$505,"○")&gt;0,1,0))</f>
        <v>0</v>
      </c>
      <c r="BA288" s="39" t="n">
        <f aca="false">IF(BA$4=0,0,IF(COUNTIFS(実績!$W$6:$W$505,BA$3,実績!$AI$6:$AI$505,"&lt;="&amp;$A288,実績!$AJ$6:$AJ$505,"&gt;"&amp;$A288,実績!$AK$6:$AK$505,"○")&gt;0,1,0))</f>
        <v>0</v>
      </c>
      <c r="BB288" s="39" t="n">
        <f aca="false">IF(BB$4=0,0,IF(COUNTIFS(実績!$W$6:$W$505,BB$3,実績!$AI$6:$AI$505,"&lt;="&amp;$A288,実績!$AJ$6:$AJ$505,"&gt;"&amp;$A288,実績!$AK$6:$AK$505,"○")&gt;0,1,0))</f>
        <v>0</v>
      </c>
      <c r="BC288" s="39" t="n">
        <f aca="false">IF(BC$4=0,0,IF(COUNTIFS(実績!$W$6:$W$505,BC$3,実績!$AI$6:$AI$505,"&lt;="&amp;$A288,実績!$AJ$6:$AJ$505,"&gt;"&amp;$A288,実績!$AK$6:$AK$505,"○")&gt;0,1,0))</f>
        <v>0</v>
      </c>
      <c r="BD288" s="39" t="n">
        <f aca="false">IF(BD$4=0,0,IF(COUNTIFS(実績!$W$6:$W$505,BD$3,実績!$AI$6:$AI$505,"&lt;="&amp;$A288,実績!$AJ$6:$AJ$505,"&gt;"&amp;$A288,実績!$AK$6:$AK$505,"○")&gt;0,1,0))</f>
        <v>0</v>
      </c>
      <c r="BE288" s="39" t="n">
        <f aca="false">IF(BE$4=0,0,IF(COUNTIFS(実績!$W$6:$W$505,BE$3,実績!$AI$6:$AI$505,"&lt;="&amp;$A288,実績!$AJ$6:$AJ$505,"&gt;"&amp;$A288,実績!$AK$6:$AK$505,"○")&gt;0,1,0))</f>
        <v>0</v>
      </c>
      <c r="BF288" s="39" t="n">
        <f aca="false">IF(BF$4=0,0,IF(COUNTIFS(実績!$W$6:$W$505,BF$3,実績!$AI$6:$AI$505,"&lt;="&amp;$A288,実績!$AJ$6:$AJ$505,"&gt;"&amp;$A288,実績!$AK$6:$AK$505,"○")&gt;0,1,0))</f>
        <v>0</v>
      </c>
      <c r="BG288" s="39" t="n">
        <f aca="false">IF(BG$4=0,0,IF(COUNTIFS(実績!$W$6:$W$505,BG$3,実績!$AI$6:$AI$505,"&lt;="&amp;$A288,実績!$AJ$6:$AJ$505,"&gt;"&amp;$A288,実績!$AK$6:$AK$505,"○")&gt;0,1,0))</f>
        <v>0</v>
      </c>
      <c r="BH288" s="39" t="n">
        <f aca="false">IF(BH$4=0,0,IF(COUNTIFS(実績!$W$6:$W$505,BH$3,実績!$AI$6:$AI$505,"&lt;="&amp;$A288,実績!$AJ$6:$AJ$505,"&gt;"&amp;$A288,実績!$AK$6:$AK$505,"○")&gt;0,1,0))</f>
        <v>0</v>
      </c>
      <c r="BI288" s="39" t="n">
        <f aca="false">IF(BI$4=0,0,IF(COUNTIFS(実績!$W$6:$W$505,BI$3,実績!$AI$6:$AI$505,"&lt;="&amp;$A288,実績!$AJ$6:$AJ$505,"&gt;"&amp;$A288,実績!$AK$6:$AK$505,"○")&gt;0,1,0))</f>
        <v>0</v>
      </c>
      <c r="BJ288" s="39" t="n">
        <f aca="false">IF(BJ$4=0,0,IF(COUNTIFS(実績!$W$6:$W$505,BJ$3,実績!$AI$6:$AI$505,"&lt;="&amp;$A288,実績!$AJ$6:$AJ$505,"&gt;"&amp;$A288,実績!$AK$6:$AK$505,"○")&gt;0,1,0))</f>
        <v>0</v>
      </c>
      <c r="BK288" s="39" t="n">
        <f aca="false">IF(BK$4=0,0,IF(COUNTIFS(実績!$W$6:$W$505,BK$3,実績!$AI$6:$AI$505,"&lt;="&amp;$A288,実績!$AJ$6:$AJ$505,"&gt;"&amp;$A288,実績!$AK$6:$AK$505,"○")&gt;0,1,0))</f>
        <v>0</v>
      </c>
      <c r="BL288" s="39" t="n">
        <f aca="false">IF(BL$4=0,0,IF(COUNTIFS(実績!$W$6:$W$505,BL$3,実績!$AI$6:$AI$505,"&lt;="&amp;$A288,実績!$AJ$6:$AJ$505,"&gt;"&amp;$A288,実績!$AK$6:$AK$505,"○")&gt;0,1,0))</f>
        <v>0</v>
      </c>
      <c r="BM288" s="39" t="n">
        <f aca="false">IF(BM$4=0,0,IF(COUNTIFS(実績!$W$6:$W$505,BM$3,実績!$AI$6:$AI$505,"&lt;="&amp;$A288,実績!$AJ$6:$AJ$505,"&gt;"&amp;$A288,実績!$AK$6:$AK$505,"○")&gt;0,1,0))</f>
        <v>0</v>
      </c>
      <c r="BN288" s="39" t="n">
        <f aca="false">IF(BN$4=0,0,IF(COUNTIFS(実績!$W$6:$W$505,BN$3,実績!$AI$6:$AI$505,"&lt;="&amp;$A288,実績!$AJ$6:$AJ$505,"&gt;"&amp;$A288,実績!$AK$6:$AK$505,"○")&gt;0,1,0))</f>
        <v>0</v>
      </c>
      <c r="BO288" s="39" t="n">
        <f aca="false">IF(BO$4=0,0,IF(COUNTIFS(実績!$W$6:$W$505,BO$3,実績!$AI$6:$AI$505,"&lt;="&amp;$A288,実績!$AJ$6:$AJ$505,"&gt;"&amp;$A288,実績!$AK$6:$AK$505,"○")&gt;0,1,0))</f>
        <v>0</v>
      </c>
      <c r="BP288" s="39" t="n">
        <f aca="false">IF(BP$4=0,0,IF(COUNTIFS(実績!$W$6:$W$505,BP$3,実績!$AI$6:$AI$505,"&lt;="&amp;$A288,実績!$AJ$6:$AJ$505,"&gt;"&amp;$A288,実績!$AK$6:$AK$505,"○")&gt;0,1,0))</f>
        <v>0</v>
      </c>
      <c r="BQ288" s="39" t="n">
        <f aca="false">IF(BQ$4=0,0,IF(COUNTIFS(実績!$W$6:$W$505,BQ$3,実績!$AI$6:$AI$505,"&lt;="&amp;$A288,実績!$AJ$6:$AJ$505,"&gt;"&amp;$A288,実績!$AK$6:$AK$505,"○")&gt;0,1,0))</f>
        <v>0</v>
      </c>
      <c r="BR288" s="39" t="n">
        <f aca="false">IF(BR$4=0,0,IF(COUNTIFS(実績!$W$6:$W$505,BR$3,実績!$AI$6:$AI$505,"&lt;="&amp;$A288,実績!$AJ$6:$AJ$505,"&gt;"&amp;$A288,実績!$AK$6:$AK$505,"○")&gt;0,1,0))</f>
        <v>0</v>
      </c>
      <c r="BS288" s="39" t="n">
        <f aca="false">IF(BS$4=0,0,IF(COUNTIFS(実績!$W$6:$W$505,BS$3,実績!$AI$6:$AI$505,"&lt;="&amp;$A288,実績!$AJ$6:$AJ$505,"&gt;"&amp;$A288,実績!$AK$6:$AK$505,"○")&gt;0,1,0))</f>
        <v>0</v>
      </c>
      <c r="BT288" s="39" t="n">
        <f aca="false">IF(BT$4=0,0,IF(COUNTIFS(実績!$W$6:$W$505,BT$3,実績!$AI$6:$AI$505,"&lt;="&amp;$A288,実績!$AJ$6:$AJ$505,"&gt;"&amp;$A288,実績!$AK$6:$AK$505,"○")&gt;0,1,0))</f>
        <v>0</v>
      </c>
      <c r="BU288" s="39" t="n">
        <f aca="false">IF(BU$4=0,0,IF(COUNTIFS(実績!$W$6:$W$505,BU$3,実績!$AI$6:$AI$505,"&lt;="&amp;$A288,実績!$AJ$6:$AJ$505,"&gt;"&amp;$A288,実績!$AK$6:$AK$505,"○")&gt;0,1,0))</f>
        <v>0</v>
      </c>
      <c r="BV288" s="39" t="n">
        <f aca="false">IF(BV$4=0,0,IF(COUNTIFS(実績!$W$6:$W$505,BV$3,実績!$AI$6:$AI$505,"&lt;="&amp;$A288,実績!$AJ$6:$AJ$505,"&gt;"&amp;$A288,実績!$AK$6:$AK$505,"○")&gt;0,1,0))</f>
        <v>0</v>
      </c>
      <c r="BW288" s="39" t="n">
        <f aca="false">IF(BW$4=0,0,IF(COUNTIFS(実績!$W$6:$W$505,BW$3,実績!$AI$6:$AI$505,"&lt;="&amp;$A288,実績!$AJ$6:$AJ$505,"&gt;"&amp;$A288,実績!$AK$6:$AK$505,"○")&gt;0,1,0))</f>
        <v>0</v>
      </c>
      <c r="BX288" s="39" t="n">
        <f aca="false">IF(BX$4=0,0,IF(COUNTIFS(実績!$W$6:$W$505,BX$3,実績!$AI$6:$AI$505,"&lt;="&amp;$A288,実績!$AJ$6:$AJ$505,"&gt;"&amp;$A288,実績!$AK$6:$AK$505,"○")&gt;0,1,0))</f>
        <v>0</v>
      </c>
      <c r="BY288" s="39" t="n">
        <f aca="false">IF(BY$4=0,0,IF(COUNTIFS(実績!$W$6:$W$505,BY$3,実績!$AI$6:$AI$505,"&lt;="&amp;$A288,実績!$AJ$6:$AJ$505,"&gt;"&amp;$A288,実績!$AK$6:$AK$505,"○")&gt;0,1,0))</f>
        <v>0</v>
      </c>
      <c r="BZ288" s="39" t="n">
        <f aca="false">IF(BZ$4=0,0,IF(COUNTIFS(実績!$W$6:$W$505,BZ$3,実績!$AI$6:$AI$505,"&lt;="&amp;$A288,実績!$AJ$6:$AJ$505,"&gt;"&amp;$A288,実績!$AK$6:$AK$505,"○")&gt;0,1,0))</f>
        <v>0</v>
      </c>
      <c r="CA288" s="39" t="n">
        <f aca="false">IF(CA$4=0,0,IF(COUNTIFS(実績!$W$6:$W$505,CA$3,実績!$AI$6:$AI$505,"&lt;="&amp;$A288,実績!$AJ$6:$AJ$505,"&gt;"&amp;$A288,実績!$AK$6:$AK$505,"○")&gt;0,1,0))</f>
        <v>0</v>
      </c>
      <c r="CB288" s="39" t="n">
        <f aca="false">IF(CB$4=0,0,IF(COUNTIFS(実績!$W$6:$W$505,CB$3,実績!$AI$6:$AI$505,"&lt;="&amp;$A288,実績!$AJ$6:$AJ$505,"&gt;"&amp;$A288,実績!$AK$6:$AK$505,"○")&gt;0,1,0))</f>
        <v>0</v>
      </c>
      <c r="CC288" s="39" t="n">
        <f aca="false">IF(CC$4=0,0,IF(COUNTIFS(実績!$W$6:$W$505,CC$3,実績!$AI$6:$AI$505,"&lt;="&amp;$A288,実績!$AJ$6:$AJ$505,"&gt;"&amp;$A288,実績!$AK$6:$AK$505,"○")&gt;0,1,0))</f>
        <v>0</v>
      </c>
      <c r="CD288" s="39" t="n">
        <f aca="false">IF(CD$4=0,0,IF(COUNTIFS(実績!$W$6:$W$505,CD$3,実績!$AI$6:$AI$505,"&lt;="&amp;$A288,実績!$AJ$6:$AJ$505,"&gt;"&amp;$A288,実績!$AK$6:$AK$505,"○")&gt;0,1,0))</f>
        <v>0</v>
      </c>
      <c r="CE288" s="39" t="n">
        <f aca="false">IF(CE$4=0,0,IF(COUNTIFS(実績!$W$6:$W$505,CE$3,実績!$AI$6:$AI$505,"&lt;="&amp;$A288,実績!$AJ$6:$AJ$505,"&gt;"&amp;$A288,実績!$AK$6:$AK$505,"○")&gt;0,1,0))</f>
        <v>0</v>
      </c>
      <c r="CF288" s="39" t="n">
        <f aca="false">IF(CF$4=0,0,IF(COUNTIFS(実績!$W$6:$W$505,CF$3,実績!$AI$6:$AI$505,"&lt;="&amp;$A288,実績!$AJ$6:$AJ$505,"&gt;"&amp;$A288,実績!$AK$6:$AK$505,"○")&gt;0,1,0))</f>
        <v>0</v>
      </c>
      <c r="CG288" s="39" t="n">
        <f aca="false">IF(CG$4=0,0,IF(COUNTIFS(実績!$W$6:$W$505,CG$3,実績!$AI$6:$AI$505,"&lt;="&amp;$A288,実績!$AJ$6:$AJ$505,"&gt;"&amp;$A288,実績!$AK$6:$AK$505,"○")&gt;0,1,0))</f>
        <v>0</v>
      </c>
      <c r="CH288" s="39" t="n">
        <f aca="false">IF(CH$4=0,0,IF(COUNTIFS(実績!$W$6:$W$505,CH$3,実績!$AI$6:$AI$505,"&lt;="&amp;$A288,実績!$AJ$6:$AJ$505,"&gt;"&amp;$A288,実績!$AK$6:$AK$505,"○")&gt;0,1,0))</f>
        <v>0</v>
      </c>
      <c r="CI288" s="39" t="n">
        <f aca="false">IF(CI$4=0,0,IF(COUNTIFS(実績!$W$6:$W$505,CI$3,実績!$AI$6:$AI$505,"&lt;="&amp;$A288,実績!$AJ$6:$AJ$505,"&gt;"&amp;$A288,実績!$AK$6:$AK$505,"○")&gt;0,1,0))</f>
        <v>0</v>
      </c>
      <c r="CJ288" s="39" t="n">
        <f aca="false">IF(CJ$4=0,0,IF(COUNTIFS(実績!$W$6:$W$505,CJ$3,実績!$AI$6:$AI$505,"&lt;="&amp;$A288,実績!$AJ$6:$AJ$505,"&gt;"&amp;$A288,実績!$AK$6:$AK$505,"○")&gt;0,1,0))</f>
        <v>0</v>
      </c>
      <c r="CK288" s="39" t="n">
        <f aca="false">IF(CK$4=0,0,IF(COUNTIFS(実績!$W$6:$W$505,CK$3,実績!$AI$6:$AI$505,"&lt;="&amp;$A288,実績!$AJ$6:$AJ$505,"&gt;"&amp;$A288,実績!$AK$6:$AK$505,"○")&gt;0,1,0))</f>
        <v>0</v>
      </c>
      <c r="CL288" s="39" t="n">
        <f aca="false">IF(CL$4=0,0,IF(COUNTIFS(実績!$W$6:$W$505,CL$3,実績!$AI$6:$AI$505,"&lt;="&amp;$A288,実績!$AJ$6:$AJ$505,"&gt;"&amp;$A288,実績!$AK$6:$AK$505,"○")&gt;0,1,0))</f>
        <v>0</v>
      </c>
      <c r="CM288" s="39" t="n">
        <f aca="false">IF(CM$4=0,0,IF(COUNTIFS(実績!$W$6:$W$505,CM$3,実績!$AI$6:$AI$505,"&lt;="&amp;$A288,実績!$AJ$6:$AJ$505,"&gt;"&amp;$A288,実績!$AK$6:$AK$505,"○")&gt;0,1,0))</f>
        <v>0</v>
      </c>
      <c r="CN288" s="39" t="n">
        <f aca="false">IF(CN$4=0,0,IF(COUNTIFS(実績!$W$6:$W$505,CN$3,実績!$AI$6:$AI$505,"&lt;="&amp;$A288,実績!$AJ$6:$AJ$505,"&gt;"&amp;$A288,実績!$AK$6:$AK$505,"○")&gt;0,1,0))</f>
        <v>0</v>
      </c>
      <c r="CO288" s="39" t="n">
        <f aca="false">IF(CO$4=0,0,IF(COUNTIFS(実績!$W$6:$W$505,CO$3,実績!$AI$6:$AI$505,"&lt;="&amp;$A288,実績!$AJ$6:$AJ$505,"&gt;"&amp;$A288,実績!$AK$6:$AK$505,"○")&gt;0,1,0))</f>
        <v>0</v>
      </c>
      <c r="CP288" s="39" t="n">
        <f aca="false">IF(CP$4=0,0,IF(COUNTIFS(実績!$W$6:$W$505,CP$3,実績!$AI$6:$AI$505,"&lt;="&amp;$A288,実績!$AJ$6:$AJ$505,"&gt;"&amp;$A288,実績!$AK$6:$AK$505,"○")&gt;0,1,0))</f>
        <v>0</v>
      </c>
      <c r="CQ288" s="39" t="n">
        <f aca="false">IF(CQ$4=0,0,IF(COUNTIFS(実績!$W$6:$W$505,CQ$3,実績!$AI$6:$AI$505,"&lt;="&amp;$A288,実績!$AJ$6:$AJ$505,"&gt;"&amp;$A288,実績!$AK$6:$AK$505,"○")&gt;0,1,0))</f>
        <v>0</v>
      </c>
      <c r="CR288" s="39" t="n">
        <f aca="false">IF(CR$4=0,0,IF(COUNTIFS(実績!$W$6:$W$505,CR$3,実績!$AI$6:$AI$505,"&lt;="&amp;$A288,実績!$AJ$6:$AJ$505,"&gt;"&amp;$A288,実績!$AK$6:$AK$505,"○")&gt;0,1,0))</f>
        <v>0</v>
      </c>
      <c r="CS288" s="39" t="n">
        <f aca="false">IF(CS$4=0,0,IF(COUNTIFS(実績!$W$6:$W$505,CS$3,実績!$AI$6:$AI$505,"&lt;="&amp;$A288,実績!$AJ$6:$AJ$505,"&gt;"&amp;$A288,実績!$AK$6:$AK$505,"○")&gt;0,1,0))</f>
        <v>0</v>
      </c>
      <c r="CT288" s="39" t="n">
        <f aca="false">IF(CT$4=0,0,IF(COUNTIFS(実績!$W$6:$W$505,CT$3,実績!$AI$6:$AI$505,"&lt;="&amp;$A288,実績!$AJ$6:$AJ$505,"&gt;"&amp;$A288,実績!$AK$6:$AK$505,"○")&gt;0,1,0))</f>
        <v>0</v>
      </c>
      <c r="CU288" s="39" t="n">
        <f aca="false">IF(CU$4=0,0,IF(COUNTIFS(実績!$W$6:$W$505,CU$3,実績!$AI$6:$AI$505,"&lt;="&amp;$A288,実績!$AJ$6:$AJ$505,"&gt;"&amp;$A288,実績!$AK$6:$AK$505,"○")&gt;0,1,0))</f>
        <v>0</v>
      </c>
      <c r="CV288" s="39" t="n">
        <f aca="false">IF(CV$4=0,0,IF(COUNTIFS(実績!$W$6:$W$505,CV$3,実績!$AI$6:$AI$505,"&lt;="&amp;$A288,実績!$AJ$6:$AJ$505,"&gt;"&amp;$A288,実績!$AK$6:$AK$505,"○")&gt;0,1,0))</f>
        <v>0</v>
      </c>
      <c r="CW288" s="39" t="n">
        <f aca="false">IF(CW$4=0,0,IF(COUNTIFS(実績!$W$6:$W$505,CW$3,実績!$AI$6:$AI$505,"&lt;="&amp;$A288,実績!$AJ$6:$AJ$505,"&gt;"&amp;$A288,実績!$AK$6:$AK$505,"○")&gt;0,1,0))</f>
        <v>0</v>
      </c>
      <c r="CX288" s="39" t="n">
        <f aca="false">IF(CX$4=0,0,IF(COUNTIFS(実績!$W$6:$W$505,CX$3,実績!$AI$6:$AI$505,"&lt;="&amp;$A288,実績!$AJ$6:$AJ$505,"&gt;"&amp;$A288,実績!$AK$6:$AK$505,"○")&gt;0,1,0))</f>
        <v>0</v>
      </c>
      <c r="CY288" s="39" t="n">
        <f aca="false">IF(CY$4=0,0,IF(COUNTIFS(実績!$W$6:$W$505,CY$3,実績!$AI$6:$AI$505,"&lt;="&amp;$A288,実績!$AJ$6:$AJ$505,"&gt;"&amp;$A288,実績!$AK$6:$AK$505,"○")&gt;0,1,0))</f>
        <v>0</v>
      </c>
      <c r="CZ288" s="39" t="n">
        <f aca="false">IF(CZ$4=0,0,IF(COUNTIFS(実績!$W$6:$W$505,CZ$3,実績!$AI$6:$AI$505,"&lt;="&amp;$A288,実績!$AJ$6:$AJ$505,"&gt;"&amp;$A288,実績!$AK$6:$AK$505,"○")&gt;0,1,0))</f>
        <v>0</v>
      </c>
      <c r="DA288" s="39" t="n">
        <f aca="false">IF(DA$4=0,0,IF(COUNTIFS(実績!$W$6:$W$505,DA$3,実績!$AI$6:$AI$505,"&lt;="&amp;$A288,実績!$AJ$6:$AJ$505,"&gt;"&amp;$A288,実績!$AK$6:$AK$505,"○")&gt;0,1,0))</f>
        <v>0</v>
      </c>
      <c r="DB288" s="39" t="n">
        <f aca="false">IF(DB$4=0,0,IF(COUNTIFS(実績!$W$6:$W$505,DB$3,実績!$AI$6:$AI$505,"&lt;="&amp;$A288,実績!$AJ$6:$AJ$505,"&gt;"&amp;$A288,実績!$AK$6:$AK$505,"○")&gt;0,1,0))</f>
        <v>0</v>
      </c>
      <c r="DC288" s="39" t="n">
        <f aca="false">IF(DC$4=0,0,IF(COUNTIFS(実績!$W$6:$W$505,DC$3,実績!$AI$6:$AI$505,"&lt;="&amp;$A288,実績!$AJ$6:$AJ$505,"&gt;"&amp;$A288,実績!$AK$6:$AK$505,"○")&gt;0,1,0))</f>
        <v>0</v>
      </c>
      <c r="DD288" s="39" t="n">
        <f aca="false">IF(DD$4=0,0,IF(COUNTIFS(実績!$W$6:$W$505,DD$3,実績!$AI$6:$AI$505,"&lt;="&amp;$A288,実績!$AJ$6:$AJ$505,"&gt;"&amp;$A288,実績!$AK$6:$AK$505,"○")&gt;0,1,0))</f>
        <v>0</v>
      </c>
      <c r="DE288" s="39" t="n">
        <f aca="false">IF(DE$4=0,0,IF(COUNTIFS(実績!$W$6:$W$505,DE$3,実績!$AI$6:$AI$505,"&lt;="&amp;$A288,実績!$AJ$6:$AJ$505,"&gt;"&amp;$A288,実績!$AK$6:$AK$505,"○")&gt;0,1,0))</f>
        <v>0</v>
      </c>
      <c r="DF288" s="39" t="n">
        <f aca="false">IF(DF$4=0,0,IF(COUNTIFS(実績!$W$6:$W$505,DF$3,実績!$AI$6:$AI$505,"&lt;="&amp;$A288,実績!$AJ$6:$AJ$505,"&gt;"&amp;$A288,実績!$AK$6:$AK$505,"○")&gt;0,1,0))</f>
        <v>0</v>
      </c>
      <c r="DG288" s="39" t="n">
        <f aca="false">IF(DG$4=0,0,IF(COUNTIFS(実績!$W$6:$W$505,DG$3,実績!$AI$6:$AI$505,"&lt;="&amp;$A288,実績!$AJ$6:$AJ$505,"&gt;"&amp;$A288,実績!$AK$6:$AK$505,"○")&gt;0,1,0))</f>
        <v>0</v>
      </c>
      <c r="DH288" s="39" t="n">
        <f aca="false">IF(DH$4=0,0,IF(COUNTIFS(実績!$W$6:$W$505,DH$3,実績!$AI$6:$AI$505,"&lt;="&amp;$A288,実績!$AJ$6:$AJ$505,"&gt;"&amp;$A288,実績!$AK$6:$AK$505,"○")&gt;0,1,0))</f>
        <v>0</v>
      </c>
      <c r="DI288" s="39" t="n">
        <f aca="false">IF(DI$4=0,0,IF(COUNTIFS(実績!$W$6:$W$505,DI$3,実績!$AI$6:$AI$505,"&lt;="&amp;$A288,実績!$AJ$6:$AJ$505,"&gt;"&amp;$A288,実績!$AK$6:$AK$505,"○")&gt;0,1,0))</f>
        <v>0</v>
      </c>
      <c r="DJ288" s="39" t="n">
        <f aca="false">IF(DJ$4=0,0,IF(COUNTIFS(実績!$W$6:$W$505,DJ$3,実績!$AI$6:$AI$505,"&lt;="&amp;$A288,実績!$AJ$6:$AJ$505,"&gt;"&amp;$A288,実績!$AK$6:$AK$505,"○")&gt;0,1,0))</f>
        <v>0</v>
      </c>
      <c r="DK288" s="39" t="n">
        <f aca="false">IF(DK$4=0,0,IF(COUNTIFS(実績!$W$6:$W$505,DK$3,実績!$AI$6:$AI$505,"&lt;="&amp;$A288,実績!$AJ$6:$AJ$505,"&gt;"&amp;$A288,実績!$AK$6:$AK$505,"○")&gt;0,1,0))</f>
        <v>0</v>
      </c>
      <c r="DL288" s="39" t="n">
        <f aca="false">IF(DL$4=0,0,IF(COUNTIFS(実績!$W$6:$W$505,DL$3,実績!$AI$6:$AI$505,"&lt;="&amp;$A288,実績!$AJ$6:$AJ$505,"&gt;"&amp;$A288,実績!$AK$6:$AK$505,"○")&gt;0,1,0))</f>
        <v>0</v>
      </c>
      <c r="DM288" s="39" t="n">
        <f aca="false">IF(DM$4=0,0,IF(COUNTIFS(実績!$W$6:$W$505,DM$3,実績!$AI$6:$AI$505,"&lt;="&amp;$A288,実績!$AJ$6:$AJ$505,"&gt;"&amp;$A288,実績!$AK$6:$AK$505,"○")&gt;0,1,0))</f>
        <v>0</v>
      </c>
      <c r="DN288" s="39" t="n">
        <f aca="false">IF(DN$4=0,0,IF(COUNTIFS(実績!$W$6:$W$505,DN$3,実績!$AI$6:$AI$505,"&lt;="&amp;$A288,実績!$AJ$6:$AJ$505,"&gt;"&amp;$A288,実績!$AK$6:$AK$505,"○")&gt;0,1,0))</f>
        <v>0</v>
      </c>
      <c r="DO288" s="39" t="n">
        <f aca="false">IF(DO$4=0,0,IF(COUNTIFS(実績!$W$6:$W$505,DO$3,実績!$AI$6:$AI$505,"&lt;="&amp;$A288,実績!$AJ$6:$AJ$505,"&gt;"&amp;$A288,実績!$AK$6:$AK$505,"○")&gt;0,1,0))</f>
        <v>0</v>
      </c>
      <c r="DP288" s="39" t="n">
        <f aca="false">IF(DP$4=0,0,IF(COUNTIFS(実績!$W$6:$W$505,DP$3,実績!$AI$6:$AI$505,"&lt;="&amp;$A288,実績!$AJ$6:$AJ$505,"&gt;"&amp;$A288,実績!$AK$6:$AK$505,"○")&gt;0,1,0))</f>
        <v>0</v>
      </c>
      <c r="DQ288" s="39" t="n">
        <f aca="false">IF(DQ$4=0,0,IF(COUNTIFS(実績!$W$6:$W$505,DQ$3,実績!$AI$6:$AI$505,"&lt;="&amp;$A288,実績!$AJ$6:$AJ$505,"&gt;"&amp;$A288,実績!$AK$6:$AK$505,"○")&gt;0,1,0))</f>
        <v>0</v>
      </c>
      <c r="DR288" s="39" t="n">
        <f aca="false">IF(DR$4=0,0,IF(COUNTIFS(実績!$W$6:$W$505,DR$3,実績!$AI$6:$AI$505,"&lt;="&amp;$A288,実績!$AJ$6:$AJ$505,"&gt;"&amp;$A288,実績!$AK$6:$AK$505,"○")&gt;0,1,0))</f>
        <v>0</v>
      </c>
      <c r="DS288" s="39" t="n">
        <f aca="false">SUM(C288:DR288)</f>
        <v>0</v>
      </c>
      <c r="DT288" s="39" t="n">
        <f aca="false">SUMPRODUCT((実績!$C$6:$C$505="○")*ISNUMBER(実績!$AM$6:$AM$505)*(実績!$AM$6:$AM$505&lt;=$A288)*(実績!$AN$6:$AN$505&gt;$A288))</f>
        <v>0</v>
      </c>
      <c r="DU288" s="39" t="n">
        <f aca="false">SUMIF($C$2:$DR$2,"製鉄曳船",C288:DR288)</f>
        <v>0</v>
      </c>
      <c r="DV288" s="39" t="n">
        <f aca="false">SUMIF($C$2:$DR$2,"西日本海運",C288:DR288)</f>
        <v>0</v>
      </c>
    </row>
    <row r="289" customFormat="false" ht="15" hidden="false" customHeight="false" outlineLevel="0" collapsed="false">
      <c r="A289" s="0" t="n">
        <v>1415</v>
      </c>
      <c r="B289" s="38" t="n">
        <f aca="false">A289/1440</f>
        <v>0.982638888888889</v>
      </c>
      <c r="C289" s="39" t="n">
        <f aca="false">IF(C$4=0,0,IF(COUNTIFS(実績!$W$6:$W$505,C$3,実績!$AI$6:$AI$505,"&lt;="&amp;$A289,実績!$AJ$6:$AJ$505,"&gt;"&amp;$A289,実績!$AK$6:$AK$505,"○")&gt;0,1,0))</f>
        <v>0</v>
      </c>
      <c r="D289" s="39" t="n">
        <f aca="false">IF(D$4=0,0,IF(COUNTIFS(実績!$W$6:$W$505,D$3,実績!$AI$6:$AI$505,"&lt;="&amp;$A289,実績!$AJ$6:$AJ$505,"&gt;"&amp;$A289,実績!$AK$6:$AK$505,"○")&gt;0,1,0))</f>
        <v>0</v>
      </c>
      <c r="E289" s="39" t="n">
        <f aca="false">IF(E$4=0,0,IF(COUNTIFS(実績!$W$6:$W$505,E$3,実績!$AI$6:$AI$505,"&lt;="&amp;$A289,実績!$AJ$6:$AJ$505,"&gt;"&amp;$A289,実績!$AK$6:$AK$505,"○")&gt;0,1,0))</f>
        <v>0</v>
      </c>
      <c r="F289" s="39" t="n">
        <f aca="false">IF(F$4=0,0,IF(COUNTIFS(実績!$W$6:$W$505,F$3,実績!$AI$6:$AI$505,"&lt;="&amp;$A289,実績!$AJ$6:$AJ$505,"&gt;"&amp;$A289,実績!$AK$6:$AK$505,"○")&gt;0,1,0))</f>
        <v>0</v>
      </c>
      <c r="G289" s="39" t="n">
        <f aca="false">IF(G$4=0,0,IF(COUNTIFS(実績!$W$6:$W$505,G$3,実績!$AI$6:$AI$505,"&lt;="&amp;$A289,実績!$AJ$6:$AJ$505,"&gt;"&amp;$A289,実績!$AK$6:$AK$505,"○")&gt;0,1,0))</f>
        <v>0</v>
      </c>
      <c r="H289" s="39" t="n">
        <f aca="false">IF(H$4=0,0,IF(COUNTIFS(実績!$W$6:$W$505,H$3,実績!$AI$6:$AI$505,"&lt;="&amp;$A289,実績!$AJ$6:$AJ$505,"&gt;"&amp;$A289,実績!$AK$6:$AK$505,"○")&gt;0,1,0))</f>
        <v>0</v>
      </c>
      <c r="I289" s="39" t="n">
        <f aca="false">IF(I$4=0,0,IF(COUNTIFS(実績!$W$6:$W$505,I$3,実績!$AI$6:$AI$505,"&lt;="&amp;$A289,実績!$AJ$6:$AJ$505,"&gt;"&amp;$A289,実績!$AK$6:$AK$505,"○")&gt;0,1,0))</f>
        <v>0</v>
      </c>
      <c r="J289" s="39" t="n">
        <f aca="false">IF(J$4=0,0,IF(COUNTIFS(実績!$W$6:$W$505,J$3,実績!$AI$6:$AI$505,"&lt;="&amp;$A289,実績!$AJ$6:$AJ$505,"&gt;"&amp;$A289,実績!$AK$6:$AK$505,"○")&gt;0,1,0))</f>
        <v>0</v>
      </c>
      <c r="K289" s="39" t="n">
        <f aca="false">IF(K$4=0,0,IF(COUNTIFS(実績!$W$6:$W$505,K$3,実績!$AI$6:$AI$505,"&lt;="&amp;$A289,実績!$AJ$6:$AJ$505,"&gt;"&amp;$A289,実績!$AK$6:$AK$505,"○")&gt;0,1,0))</f>
        <v>0</v>
      </c>
      <c r="L289" s="39" t="n">
        <f aca="false">IF(L$4=0,0,IF(COUNTIFS(実績!$W$6:$W$505,L$3,実績!$AI$6:$AI$505,"&lt;="&amp;$A289,実績!$AJ$6:$AJ$505,"&gt;"&amp;$A289,実績!$AK$6:$AK$505,"○")&gt;0,1,0))</f>
        <v>0</v>
      </c>
      <c r="M289" s="39" t="n">
        <f aca="false">IF(M$4=0,0,IF(COUNTIFS(実績!$W$6:$W$505,M$3,実績!$AI$6:$AI$505,"&lt;="&amp;$A289,実績!$AJ$6:$AJ$505,"&gt;"&amp;$A289,実績!$AK$6:$AK$505,"○")&gt;0,1,0))</f>
        <v>0</v>
      </c>
      <c r="N289" s="39" t="n">
        <f aca="false">IF(N$4=0,0,IF(COUNTIFS(実績!$W$6:$W$505,N$3,実績!$AI$6:$AI$505,"&lt;="&amp;$A289,実績!$AJ$6:$AJ$505,"&gt;"&amp;$A289,実績!$AK$6:$AK$505,"○")&gt;0,1,0))</f>
        <v>0</v>
      </c>
      <c r="O289" s="39" t="n">
        <f aca="false">IF(O$4=0,0,IF(COUNTIFS(実績!$W$6:$W$505,O$3,実績!$AI$6:$AI$505,"&lt;="&amp;$A289,実績!$AJ$6:$AJ$505,"&gt;"&amp;$A289,実績!$AK$6:$AK$505,"○")&gt;0,1,0))</f>
        <v>0</v>
      </c>
      <c r="P289" s="39" t="n">
        <f aca="false">IF(P$4=0,0,IF(COUNTIFS(実績!$W$6:$W$505,P$3,実績!$AI$6:$AI$505,"&lt;="&amp;$A289,実績!$AJ$6:$AJ$505,"&gt;"&amp;$A289,実績!$AK$6:$AK$505,"○")&gt;0,1,0))</f>
        <v>0</v>
      </c>
      <c r="Q289" s="39" t="n">
        <f aca="false">IF(Q$4=0,0,IF(COUNTIFS(実績!$W$6:$W$505,Q$3,実績!$AI$6:$AI$505,"&lt;="&amp;$A289,実績!$AJ$6:$AJ$505,"&gt;"&amp;$A289,実績!$AK$6:$AK$505,"○")&gt;0,1,0))</f>
        <v>0</v>
      </c>
      <c r="R289" s="39" t="n">
        <f aca="false">IF(R$4=0,0,IF(COUNTIFS(実績!$W$6:$W$505,R$3,実績!$AI$6:$AI$505,"&lt;="&amp;$A289,実績!$AJ$6:$AJ$505,"&gt;"&amp;$A289,実績!$AK$6:$AK$505,"○")&gt;0,1,0))</f>
        <v>0</v>
      </c>
      <c r="S289" s="39" t="n">
        <f aca="false">IF(S$4=0,0,IF(COUNTIFS(実績!$W$6:$W$505,S$3,実績!$AI$6:$AI$505,"&lt;="&amp;$A289,実績!$AJ$6:$AJ$505,"&gt;"&amp;$A289,実績!$AK$6:$AK$505,"○")&gt;0,1,0))</f>
        <v>0</v>
      </c>
      <c r="T289" s="39" t="n">
        <f aca="false">IF(T$4=0,0,IF(COUNTIFS(実績!$W$6:$W$505,T$3,実績!$AI$6:$AI$505,"&lt;="&amp;$A289,実績!$AJ$6:$AJ$505,"&gt;"&amp;$A289,実績!$AK$6:$AK$505,"○")&gt;0,1,0))</f>
        <v>0</v>
      </c>
      <c r="U289" s="39" t="n">
        <f aca="false">IF(U$4=0,0,IF(COUNTIFS(実績!$W$6:$W$505,U$3,実績!$AI$6:$AI$505,"&lt;="&amp;$A289,実績!$AJ$6:$AJ$505,"&gt;"&amp;$A289,実績!$AK$6:$AK$505,"○")&gt;0,1,0))</f>
        <v>0</v>
      </c>
      <c r="V289" s="39" t="n">
        <f aca="false">IF(V$4=0,0,IF(COUNTIFS(実績!$W$6:$W$505,V$3,実績!$AI$6:$AI$505,"&lt;="&amp;$A289,実績!$AJ$6:$AJ$505,"&gt;"&amp;$A289,実績!$AK$6:$AK$505,"○")&gt;0,1,0))</f>
        <v>0</v>
      </c>
      <c r="W289" s="39" t="n">
        <f aca="false">IF(W$4=0,0,IF(COUNTIFS(実績!$W$6:$W$505,W$3,実績!$AI$6:$AI$505,"&lt;="&amp;$A289,実績!$AJ$6:$AJ$505,"&gt;"&amp;$A289,実績!$AK$6:$AK$505,"○")&gt;0,1,0))</f>
        <v>0</v>
      </c>
      <c r="X289" s="39" t="n">
        <f aca="false">IF(X$4=0,0,IF(COUNTIFS(実績!$W$6:$W$505,X$3,実績!$AI$6:$AI$505,"&lt;="&amp;$A289,実績!$AJ$6:$AJ$505,"&gt;"&amp;$A289,実績!$AK$6:$AK$505,"○")&gt;0,1,0))</f>
        <v>0</v>
      </c>
      <c r="Y289" s="39" t="n">
        <f aca="false">IF(Y$4=0,0,IF(COUNTIFS(実績!$W$6:$W$505,Y$3,実績!$AI$6:$AI$505,"&lt;="&amp;$A289,実績!$AJ$6:$AJ$505,"&gt;"&amp;$A289,実績!$AK$6:$AK$505,"○")&gt;0,1,0))</f>
        <v>0</v>
      </c>
      <c r="Z289" s="39" t="n">
        <f aca="false">IF(Z$4=0,0,IF(COUNTIFS(実績!$W$6:$W$505,Z$3,実績!$AI$6:$AI$505,"&lt;="&amp;$A289,実績!$AJ$6:$AJ$505,"&gt;"&amp;$A289,実績!$AK$6:$AK$505,"○")&gt;0,1,0))</f>
        <v>0</v>
      </c>
      <c r="AA289" s="39" t="n">
        <f aca="false">IF(AA$4=0,0,IF(COUNTIFS(実績!$W$6:$W$505,AA$3,実績!$AI$6:$AI$505,"&lt;="&amp;$A289,実績!$AJ$6:$AJ$505,"&gt;"&amp;$A289,実績!$AK$6:$AK$505,"○")&gt;0,1,0))</f>
        <v>0</v>
      </c>
      <c r="AB289" s="39" t="n">
        <f aca="false">IF(AB$4=0,0,IF(COUNTIFS(実績!$W$6:$W$505,AB$3,実績!$AI$6:$AI$505,"&lt;="&amp;$A289,実績!$AJ$6:$AJ$505,"&gt;"&amp;$A289,実績!$AK$6:$AK$505,"○")&gt;0,1,0))</f>
        <v>0</v>
      </c>
      <c r="AC289" s="39" t="n">
        <f aca="false">IF(AC$4=0,0,IF(COUNTIFS(実績!$W$6:$W$505,AC$3,実績!$AI$6:$AI$505,"&lt;="&amp;$A289,実績!$AJ$6:$AJ$505,"&gt;"&amp;$A289,実績!$AK$6:$AK$505,"○")&gt;0,1,0))</f>
        <v>0</v>
      </c>
      <c r="AD289" s="39" t="n">
        <f aca="false">IF(AD$4=0,0,IF(COUNTIFS(実績!$W$6:$W$505,AD$3,実績!$AI$6:$AI$505,"&lt;="&amp;$A289,実績!$AJ$6:$AJ$505,"&gt;"&amp;$A289,実績!$AK$6:$AK$505,"○")&gt;0,1,0))</f>
        <v>0</v>
      </c>
      <c r="AE289" s="39" t="n">
        <f aca="false">IF(AE$4=0,0,IF(COUNTIFS(実績!$W$6:$W$505,AE$3,実績!$AI$6:$AI$505,"&lt;="&amp;$A289,実績!$AJ$6:$AJ$505,"&gt;"&amp;$A289,実績!$AK$6:$AK$505,"○")&gt;0,1,0))</f>
        <v>0</v>
      </c>
      <c r="AF289" s="39" t="n">
        <f aca="false">IF(AF$4=0,0,IF(COUNTIFS(実績!$W$6:$W$505,AF$3,実績!$AI$6:$AI$505,"&lt;="&amp;$A289,実績!$AJ$6:$AJ$505,"&gt;"&amp;$A289,実績!$AK$6:$AK$505,"○")&gt;0,1,0))</f>
        <v>0</v>
      </c>
      <c r="AG289" s="39" t="n">
        <f aca="false">IF(AG$4=0,0,IF(COUNTIFS(実績!$W$6:$W$505,AG$3,実績!$AI$6:$AI$505,"&lt;="&amp;$A289,実績!$AJ$6:$AJ$505,"&gt;"&amp;$A289,実績!$AK$6:$AK$505,"○")&gt;0,1,0))</f>
        <v>0</v>
      </c>
      <c r="AH289" s="39" t="n">
        <f aca="false">IF(AH$4=0,0,IF(COUNTIFS(実績!$W$6:$W$505,AH$3,実績!$AI$6:$AI$505,"&lt;="&amp;$A289,実績!$AJ$6:$AJ$505,"&gt;"&amp;$A289,実績!$AK$6:$AK$505,"○")&gt;0,1,0))</f>
        <v>0</v>
      </c>
      <c r="AI289" s="39" t="n">
        <f aca="false">IF(AI$4=0,0,IF(COUNTIFS(実績!$W$6:$W$505,AI$3,実績!$AI$6:$AI$505,"&lt;="&amp;$A289,実績!$AJ$6:$AJ$505,"&gt;"&amp;$A289,実績!$AK$6:$AK$505,"○")&gt;0,1,0))</f>
        <v>0</v>
      </c>
      <c r="AJ289" s="39" t="n">
        <f aca="false">IF(AJ$4=0,0,IF(COUNTIFS(実績!$W$6:$W$505,AJ$3,実績!$AI$6:$AI$505,"&lt;="&amp;$A289,実績!$AJ$6:$AJ$505,"&gt;"&amp;$A289,実績!$AK$6:$AK$505,"○")&gt;0,1,0))</f>
        <v>0</v>
      </c>
      <c r="AK289" s="39" t="n">
        <f aca="false">IF(AK$4=0,0,IF(COUNTIFS(実績!$W$6:$W$505,AK$3,実績!$AI$6:$AI$505,"&lt;="&amp;$A289,実績!$AJ$6:$AJ$505,"&gt;"&amp;$A289,実績!$AK$6:$AK$505,"○")&gt;0,1,0))</f>
        <v>0</v>
      </c>
      <c r="AL289" s="39" t="n">
        <f aca="false">IF(AL$4=0,0,IF(COUNTIFS(実績!$W$6:$W$505,AL$3,実績!$AI$6:$AI$505,"&lt;="&amp;$A289,実績!$AJ$6:$AJ$505,"&gt;"&amp;$A289,実績!$AK$6:$AK$505,"○")&gt;0,1,0))</f>
        <v>0</v>
      </c>
      <c r="AM289" s="39" t="n">
        <f aca="false">IF(AM$4=0,0,IF(COUNTIFS(実績!$W$6:$W$505,AM$3,実績!$AI$6:$AI$505,"&lt;="&amp;$A289,実績!$AJ$6:$AJ$505,"&gt;"&amp;$A289,実績!$AK$6:$AK$505,"○")&gt;0,1,0))</f>
        <v>0</v>
      </c>
      <c r="AN289" s="39" t="n">
        <f aca="false">IF(AN$4=0,0,IF(COUNTIFS(実績!$W$6:$W$505,AN$3,実績!$AI$6:$AI$505,"&lt;="&amp;$A289,実績!$AJ$6:$AJ$505,"&gt;"&amp;$A289,実績!$AK$6:$AK$505,"○")&gt;0,1,0))</f>
        <v>0</v>
      </c>
      <c r="AO289" s="39" t="n">
        <f aca="false">IF(AO$4=0,0,IF(COUNTIFS(実績!$W$6:$W$505,AO$3,実績!$AI$6:$AI$505,"&lt;="&amp;$A289,実績!$AJ$6:$AJ$505,"&gt;"&amp;$A289,実績!$AK$6:$AK$505,"○")&gt;0,1,0))</f>
        <v>0</v>
      </c>
      <c r="AP289" s="39" t="n">
        <f aca="false">IF(AP$4=0,0,IF(COUNTIFS(実績!$W$6:$W$505,AP$3,実績!$AI$6:$AI$505,"&lt;="&amp;$A289,実績!$AJ$6:$AJ$505,"&gt;"&amp;$A289,実績!$AK$6:$AK$505,"○")&gt;0,1,0))</f>
        <v>0</v>
      </c>
      <c r="AQ289" s="39" t="n">
        <f aca="false">IF(AQ$4=0,0,IF(COUNTIFS(実績!$W$6:$W$505,AQ$3,実績!$AI$6:$AI$505,"&lt;="&amp;$A289,実績!$AJ$6:$AJ$505,"&gt;"&amp;$A289,実績!$AK$6:$AK$505,"○")&gt;0,1,0))</f>
        <v>0</v>
      </c>
      <c r="AR289" s="39" t="n">
        <f aca="false">IF(AR$4=0,0,IF(COUNTIFS(実績!$W$6:$W$505,AR$3,実績!$AI$6:$AI$505,"&lt;="&amp;$A289,実績!$AJ$6:$AJ$505,"&gt;"&amp;$A289,実績!$AK$6:$AK$505,"○")&gt;0,1,0))</f>
        <v>0</v>
      </c>
      <c r="AS289" s="39" t="n">
        <f aca="false">IF(AS$4=0,0,IF(COUNTIFS(実績!$W$6:$W$505,AS$3,実績!$AI$6:$AI$505,"&lt;="&amp;$A289,実績!$AJ$6:$AJ$505,"&gt;"&amp;$A289,実績!$AK$6:$AK$505,"○")&gt;0,1,0))</f>
        <v>0</v>
      </c>
      <c r="AT289" s="39" t="n">
        <f aca="false">IF(AT$4=0,0,IF(COUNTIFS(実績!$W$6:$W$505,AT$3,実績!$AI$6:$AI$505,"&lt;="&amp;$A289,実績!$AJ$6:$AJ$505,"&gt;"&amp;$A289,実績!$AK$6:$AK$505,"○")&gt;0,1,0))</f>
        <v>0</v>
      </c>
      <c r="AU289" s="39" t="n">
        <f aca="false">IF(AU$4=0,0,IF(COUNTIFS(実績!$W$6:$W$505,AU$3,実績!$AI$6:$AI$505,"&lt;="&amp;$A289,実績!$AJ$6:$AJ$505,"&gt;"&amp;$A289,実績!$AK$6:$AK$505,"○")&gt;0,1,0))</f>
        <v>0</v>
      </c>
      <c r="AV289" s="39" t="n">
        <f aca="false">IF(AV$4=0,0,IF(COUNTIFS(実績!$W$6:$W$505,AV$3,実績!$AI$6:$AI$505,"&lt;="&amp;$A289,実績!$AJ$6:$AJ$505,"&gt;"&amp;$A289,実績!$AK$6:$AK$505,"○")&gt;0,1,0))</f>
        <v>0</v>
      </c>
      <c r="AW289" s="39" t="n">
        <f aca="false">IF(AW$4=0,0,IF(COUNTIFS(実績!$W$6:$W$505,AW$3,実績!$AI$6:$AI$505,"&lt;="&amp;$A289,実績!$AJ$6:$AJ$505,"&gt;"&amp;$A289,実績!$AK$6:$AK$505,"○")&gt;0,1,0))</f>
        <v>0</v>
      </c>
      <c r="AX289" s="39" t="n">
        <f aca="false">IF(AX$4=0,0,IF(COUNTIFS(実績!$W$6:$W$505,AX$3,実績!$AI$6:$AI$505,"&lt;="&amp;$A289,実績!$AJ$6:$AJ$505,"&gt;"&amp;$A289,実績!$AK$6:$AK$505,"○")&gt;0,1,0))</f>
        <v>0</v>
      </c>
      <c r="AY289" s="39" t="n">
        <f aca="false">IF(AY$4=0,0,IF(COUNTIFS(実績!$W$6:$W$505,AY$3,実績!$AI$6:$AI$505,"&lt;="&amp;$A289,実績!$AJ$6:$AJ$505,"&gt;"&amp;$A289,実績!$AK$6:$AK$505,"○")&gt;0,1,0))</f>
        <v>0</v>
      </c>
      <c r="AZ289" s="39" t="n">
        <f aca="false">IF(AZ$4=0,0,IF(COUNTIFS(実績!$W$6:$W$505,AZ$3,実績!$AI$6:$AI$505,"&lt;="&amp;$A289,実績!$AJ$6:$AJ$505,"&gt;"&amp;$A289,実績!$AK$6:$AK$505,"○")&gt;0,1,0))</f>
        <v>0</v>
      </c>
      <c r="BA289" s="39" t="n">
        <f aca="false">IF(BA$4=0,0,IF(COUNTIFS(実績!$W$6:$W$505,BA$3,実績!$AI$6:$AI$505,"&lt;="&amp;$A289,実績!$AJ$6:$AJ$505,"&gt;"&amp;$A289,実績!$AK$6:$AK$505,"○")&gt;0,1,0))</f>
        <v>0</v>
      </c>
      <c r="BB289" s="39" t="n">
        <f aca="false">IF(BB$4=0,0,IF(COUNTIFS(実績!$W$6:$W$505,BB$3,実績!$AI$6:$AI$505,"&lt;="&amp;$A289,実績!$AJ$6:$AJ$505,"&gt;"&amp;$A289,実績!$AK$6:$AK$505,"○")&gt;0,1,0))</f>
        <v>0</v>
      </c>
      <c r="BC289" s="39" t="n">
        <f aca="false">IF(BC$4=0,0,IF(COUNTIFS(実績!$W$6:$W$505,BC$3,実績!$AI$6:$AI$505,"&lt;="&amp;$A289,実績!$AJ$6:$AJ$505,"&gt;"&amp;$A289,実績!$AK$6:$AK$505,"○")&gt;0,1,0))</f>
        <v>0</v>
      </c>
      <c r="BD289" s="39" t="n">
        <f aca="false">IF(BD$4=0,0,IF(COUNTIFS(実績!$W$6:$W$505,BD$3,実績!$AI$6:$AI$505,"&lt;="&amp;$A289,実績!$AJ$6:$AJ$505,"&gt;"&amp;$A289,実績!$AK$6:$AK$505,"○")&gt;0,1,0))</f>
        <v>0</v>
      </c>
      <c r="BE289" s="39" t="n">
        <f aca="false">IF(BE$4=0,0,IF(COUNTIFS(実績!$W$6:$W$505,BE$3,実績!$AI$6:$AI$505,"&lt;="&amp;$A289,実績!$AJ$6:$AJ$505,"&gt;"&amp;$A289,実績!$AK$6:$AK$505,"○")&gt;0,1,0))</f>
        <v>0</v>
      </c>
      <c r="BF289" s="39" t="n">
        <f aca="false">IF(BF$4=0,0,IF(COUNTIFS(実績!$W$6:$W$505,BF$3,実績!$AI$6:$AI$505,"&lt;="&amp;$A289,実績!$AJ$6:$AJ$505,"&gt;"&amp;$A289,実績!$AK$6:$AK$505,"○")&gt;0,1,0))</f>
        <v>0</v>
      </c>
      <c r="BG289" s="39" t="n">
        <f aca="false">IF(BG$4=0,0,IF(COUNTIFS(実績!$W$6:$W$505,BG$3,実績!$AI$6:$AI$505,"&lt;="&amp;$A289,実績!$AJ$6:$AJ$505,"&gt;"&amp;$A289,実績!$AK$6:$AK$505,"○")&gt;0,1,0))</f>
        <v>0</v>
      </c>
      <c r="BH289" s="39" t="n">
        <f aca="false">IF(BH$4=0,0,IF(COUNTIFS(実績!$W$6:$W$505,BH$3,実績!$AI$6:$AI$505,"&lt;="&amp;$A289,実績!$AJ$6:$AJ$505,"&gt;"&amp;$A289,実績!$AK$6:$AK$505,"○")&gt;0,1,0))</f>
        <v>0</v>
      </c>
      <c r="BI289" s="39" t="n">
        <f aca="false">IF(BI$4=0,0,IF(COUNTIFS(実績!$W$6:$W$505,BI$3,実績!$AI$6:$AI$505,"&lt;="&amp;$A289,実績!$AJ$6:$AJ$505,"&gt;"&amp;$A289,実績!$AK$6:$AK$505,"○")&gt;0,1,0))</f>
        <v>0</v>
      </c>
      <c r="BJ289" s="39" t="n">
        <f aca="false">IF(BJ$4=0,0,IF(COUNTIFS(実績!$W$6:$W$505,BJ$3,実績!$AI$6:$AI$505,"&lt;="&amp;$A289,実績!$AJ$6:$AJ$505,"&gt;"&amp;$A289,実績!$AK$6:$AK$505,"○")&gt;0,1,0))</f>
        <v>0</v>
      </c>
      <c r="BK289" s="39" t="n">
        <f aca="false">IF(BK$4=0,0,IF(COUNTIFS(実績!$W$6:$W$505,BK$3,実績!$AI$6:$AI$505,"&lt;="&amp;$A289,実績!$AJ$6:$AJ$505,"&gt;"&amp;$A289,実績!$AK$6:$AK$505,"○")&gt;0,1,0))</f>
        <v>0</v>
      </c>
      <c r="BL289" s="39" t="n">
        <f aca="false">IF(BL$4=0,0,IF(COUNTIFS(実績!$W$6:$W$505,BL$3,実績!$AI$6:$AI$505,"&lt;="&amp;$A289,実績!$AJ$6:$AJ$505,"&gt;"&amp;$A289,実績!$AK$6:$AK$505,"○")&gt;0,1,0))</f>
        <v>0</v>
      </c>
      <c r="BM289" s="39" t="n">
        <f aca="false">IF(BM$4=0,0,IF(COUNTIFS(実績!$W$6:$W$505,BM$3,実績!$AI$6:$AI$505,"&lt;="&amp;$A289,実績!$AJ$6:$AJ$505,"&gt;"&amp;$A289,実績!$AK$6:$AK$505,"○")&gt;0,1,0))</f>
        <v>0</v>
      </c>
      <c r="BN289" s="39" t="n">
        <f aca="false">IF(BN$4=0,0,IF(COUNTIFS(実績!$W$6:$W$505,BN$3,実績!$AI$6:$AI$505,"&lt;="&amp;$A289,実績!$AJ$6:$AJ$505,"&gt;"&amp;$A289,実績!$AK$6:$AK$505,"○")&gt;0,1,0))</f>
        <v>0</v>
      </c>
      <c r="BO289" s="39" t="n">
        <f aca="false">IF(BO$4=0,0,IF(COUNTIFS(実績!$W$6:$W$505,BO$3,実績!$AI$6:$AI$505,"&lt;="&amp;$A289,実績!$AJ$6:$AJ$505,"&gt;"&amp;$A289,実績!$AK$6:$AK$505,"○")&gt;0,1,0))</f>
        <v>0</v>
      </c>
      <c r="BP289" s="39" t="n">
        <f aca="false">IF(BP$4=0,0,IF(COUNTIFS(実績!$W$6:$W$505,BP$3,実績!$AI$6:$AI$505,"&lt;="&amp;$A289,実績!$AJ$6:$AJ$505,"&gt;"&amp;$A289,実績!$AK$6:$AK$505,"○")&gt;0,1,0))</f>
        <v>0</v>
      </c>
      <c r="BQ289" s="39" t="n">
        <f aca="false">IF(BQ$4=0,0,IF(COUNTIFS(実績!$W$6:$W$505,BQ$3,実績!$AI$6:$AI$505,"&lt;="&amp;$A289,実績!$AJ$6:$AJ$505,"&gt;"&amp;$A289,実績!$AK$6:$AK$505,"○")&gt;0,1,0))</f>
        <v>0</v>
      </c>
      <c r="BR289" s="39" t="n">
        <f aca="false">IF(BR$4=0,0,IF(COUNTIFS(実績!$W$6:$W$505,BR$3,実績!$AI$6:$AI$505,"&lt;="&amp;$A289,実績!$AJ$6:$AJ$505,"&gt;"&amp;$A289,実績!$AK$6:$AK$505,"○")&gt;0,1,0))</f>
        <v>0</v>
      </c>
      <c r="BS289" s="39" t="n">
        <f aca="false">IF(BS$4=0,0,IF(COUNTIFS(実績!$W$6:$W$505,BS$3,実績!$AI$6:$AI$505,"&lt;="&amp;$A289,実績!$AJ$6:$AJ$505,"&gt;"&amp;$A289,実績!$AK$6:$AK$505,"○")&gt;0,1,0))</f>
        <v>0</v>
      </c>
      <c r="BT289" s="39" t="n">
        <f aca="false">IF(BT$4=0,0,IF(COUNTIFS(実績!$W$6:$W$505,BT$3,実績!$AI$6:$AI$505,"&lt;="&amp;$A289,実績!$AJ$6:$AJ$505,"&gt;"&amp;$A289,実績!$AK$6:$AK$505,"○")&gt;0,1,0))</f>
        <v>0</v>
      </c>
      <c r="BU289" s="39" t="n">
        <f aca="false">IF(BU$4=0,0,IF(COUNTIFS(実績!$W$6:$W$505,BU$3,実績!$AI$6:$AI$505,"&lt;="&amp;$A289,実績!$AJ$6:$AJ$505,"&gt;"&amp;$A289,実績!$AK$6:$AK$505,"○")&gt;0,1,0))</f>
        <v>0</v>
      </c>
      <c r="BV289" s="39" t="n">
        <f aca="false">IF(BV$4=0,0,IF(COUNTIFS(実績!$W$6:$W$505,BV$3,実績!$AI$6:$AI$505,"&lt;="&amp;$A289,実績!$AJ$6:$AJ$505,"&gt;"&amp;$A289,実績!$AK$6:$AK$505,"○")&gt;0,1,0))</f>
        <v>0</v>
      </c>
      <c r="BW289" s="39" t="n">
        <f aca="false">IF(BW$4=0,0,IF(COUNTIFS(実績!$W$6:$W$505,BW$3,実績!$AI$6:$AI$505,"&lt;="&amp;$A289,実績!$AJ$6:$AJ$505,"&gt;"&amp;$A289,実績!$AK$6:$AK$505,"○")&gt;0,1,0))</f>
        <v>0</v>
      </c>
      <c r="BX289" s="39" t="n">
        <f aca="false">IF(BX$4=0,0,IF(COUNTIFS(実績!$W$6:$W$505,BX$3,実績!$AI$6:$AI$505,"&lt;="&amp;$A289,実績!$AJ$6:$AJ$505,"&gt;"&amp;$A289,実績!$AK$6:$AK$505,"○")&gt;0,1,0))</f>
        <v>0</v>
      </c>
      <c r="BY289" s="39" t="n">
        <f aca="false">IF(BY$4=0,0,IF(COUNTIFS(実績!$W$6:$W$505,BY$3,実績!$AI$6:$AI$505,"&lt;="&amp;$A289,実績!$AJ$6:$AJ$505,"&gt;"&amp;$A289,実績!$AK$6:$AK$505,"○")&gt;0,1,0))</f>
        <v>0</v>
      </c>
      <c r="BZ289" s="39" t="n">
        <f aca="false">IF(BZ$4=0,0,IF(COUNTIFS(実績!$W$6:$W$505,BZ$3,実績!$AI$6:$AI$505,"&lt;="&amp;$A289,実績!$AJ$6:$AJ$505,"&gt;"&amp;$A289,実績!$AK$6:$AK$505,"○")&gt;0,1,0))</f>
        <v>0</v>
      </c>
      <c r="CA289" s="39" t="n">
        <f aca="false">IF(CA$4=0,0,IF(COUNTIFS(実績!$W$6:$W$505,CA$3,実績!$AI$6:$AI$505,"&lt;="&amp;$A289,実績!$AJ$6:$AJ$505,"&gt;"&amp;$A289,実績!$AK$6:$AK$505,"○")&gt;0,1,0))</f>
        <v>0</v>
      </c>
      <c r="CB289" s="39" t="n">
        <f aca="false">IF(CB$4=0,0,IF(COUNTIFS(実績!$W$6:$W$505,CB$3,実績!$AI$6:$AI$505,"&lt;="&amp;$A289,実績!$AJ$6:$AJ$505,"&gt;"&amp;$A289,実績!$AK$6:$AK$505,"○")&gt;0,1,0))</f>
        <v>0</v>
      </c>
      <c r="CC289" s="39" t="n">
        <f aca="false">IF(CC$4=0,0,IF(COUNTIFS(実績!$W$6:$W$505,CC$3,実績!$AI$6:$AI$505,"&lt;="&amp;$A289,実績!$AJ$6:$AJ$505,"&gt;"&amp;$A289,実績!$AK$6:$AK$505,"○")&gt;0,1,0))</f>
        <v>0</v>
      </c>
      <c r="CD289" s="39" t="n">
        <f aca="false">IF(CD$4=0,0,IF(COUNTIFS(実績!$W$6:$W$505,CD$3,実績!$AI$6:$AI$505,"&lt;="&amp;$A289,実績!$AJ$6:$AJ$505,"&gt;"&amp;$A289,実績!$AK$6:$AK$505,"○")&gt;0,1,0))</f>
        <v>0</v>
      </c>
      <c r="CE289" s="39" t="n">
        <f aca="false">IF(CE$4=0,0,IF(COUNTIFS(実績!$W$6:$W$505,CE$3,実績!$AI$6:$AI$505,"&lt;="&amp;$A289,実績!$AJ$6:$AJ$505,"&gt;"&amp;$A289,実績!$AK$6:$AK$505,"○")&gt;0,1,0))</f>
        <v>0</v>
      </c>
      <c r="CF289" s="39" t="n">
        <f aca="false">IF(CF$4=0,0,IF(COUNTIFS(実績!$W$6:$W$505,CF$3,実績!$AI$6:$AI$505,"&lt;="&amp;$A289,実績!$AJ$6:$AJ$505,"&gt;"&amp;$A289,実績!$AK$6:$AK$505,"○")&gt;0,1,0))</f>
        <v>0</v>
      </c>
      <c r="CG289" s="39" t="n">
        <f aca="false">IF(CG$4=0,0,IF(COUNTIFS(実績!$W$6:$W$505,CG$3,実績!$AI$6:$AI$505,"&lt;="&amp;$A289,実績!$AJ$6:$AJ$505,"&gt;"&amp;$A289,実績!$AK$6:$AK$505,"○")&gt;0,1,0))</f>
        <v>0</v>
      </c>
      <c r="CH289" s="39" t="n">
        <f aca="false">IF(CH$4=0,0,IF(COUNTIFS(実績!$W$6:$W$505,CH$3,実績!$AI$6:$AI$505,"&lt;="&amp;$A289,実績!$AJ$6:$AJ$505,"&gt;"&amp;$A289,実績!$AK$6:$AK$505,"○")&gt;0,1,0))</f>
        <v>0</v>
      </c>
      <c r="CI289" s="39" t="n">
        <f aca="false">IF(CI$4=0,0,IF(COUNTIFS(実績!$W$6:$W$505,CI$3,実績!$AI$6:$AI$505,"&lt;="&amp;$A289,実績!$AJ$6:$AJ$505,"&gt;"&amp;$A289,実績!$AK$6:$AK$505,"○")&gt;0,1,0))</f>
        <v>0</v>
      </c>
      <c r="CJ289" s="39" t="n">
        <f aca="false">IF(CJ$4=0,0,IF(COUNTIFS(実績!$W$6:$W$505,CJ$3,実績!$AI$6:$AI$505,"&lt;="&amp;$A289,実績!$AJ$6:$AJ$505,"&gt;"&amp;$A289,実績!$AK$6:$AK$505,"○")&gt;0,1,0))</f>
        <v>0</v>
      </c>
      <c r="CK289" s="39" t="n">
        <f aca="false">IF(CK$4=0,0,IF(COUNTIFS(実績!$W$6:$W$505,CK$3,実績!$AI$6:$AI$505,"&lt;="&amp;$A289,実績!$AJ$6:$AJ$505,"&gt;"&amp;$A289,実績!$AK$6:$AK$505,"○")&gt;0,1,0))</f>
        <v>0</v>
      </c>
      <c r="CL289" s="39" t="n">
        <f aca="false">IF(CL$4=0,0,IF(COUNTIFS(実績!$W$6:$W$505,CL$3,実績!$AI$6:$AI$505,"&lt;="&amp;$A289,実績!$AJ$6:$AJ$505,"&gt;"&amp;$A289,実績!$AK$6:$AK$505,"○")&gt;0,1,0))</f>
        <v>0</v>
      </c>
      <c r="CM289" s="39" t="n">
        <f aca="false">IF(CM$4=0,0,IF(COUNTIFS(実績!$W$6:$W$505,CM$3,実績!$AI$6:$AI$505,"&lt;="&amp;$A289,実績!$AJ$6:$AJ$505,"&gt;"&amp;$A289,実績!$AK$6:$AK$505,"○")&gt;0,1,0))</f>
        <v>0</v>
      </c>
      <c r="CN289" s="39" t="n">
        <f aca="false">IF(CN$4=0,0,IF(COUNTIFS(実績!$W$6:$W$505,CN$3,実績!$AI$6:$AI$505,"&lt;="&amp;$A289,実績!$AJ$6:$AJ$505,"&gt;"&amp;$A289,実績!$AK$6:$AK$505,"○")&gt;0,1,0))</f>
        <v>0</v>
      </c>
      <c r="CO289" s="39" t="n">
        <f aca="false">IF(CO$4=0,0,IF(COUNTIFS(実績!$W$6:$W$505,CO$3,実績!$AI$6:$AI$505,"&lt;="&amp;$A289,実績!$AJ$6:$AJ$505,"&gt;"&amp;$A289,実績!$AK$6:$AK$505,"○")&gt;0,1,0))</f>
        <v>0</v>
      </c>
      <c r="CP289" s="39" t="n">
        <f aca="false">IF(CP$4=0,0,IF(COUNTIFS(実績!$W$6:$W$505,CP$3,実績!$AI$6:$AI$505,"&lt;="&amp;$A289,実績!$AJ$6:$AJ$505,"&gt;"&amp;$A289,実績!$AK$6:$AK$505,"○")&gt;0,1,0))</f>
        <v>0</v>
      </c>
      <c r="CQ289" s="39" t="n">
        <f aca="false">IF(CQ$4=0,0,IF(COUNTIFS(実績!$W$6:$W$505,CQ$3,実績!$AI$6:$AI$505,"&lt;="&amp;$A289,実績!$AJ$6:$AJ$505,"&gt;"&amp;$A289,実績!$AK$6:$AK$505,"○")&gt;0,1,0))</f>
        <v>0</v>
      </c>
      <c r="CR289" s="39" t="n">
        <f aca="false">IF(CR$4=0,0,IF(COUNTIFS(実績!$W$6:$W$505,CR$3,実績!$AI$6:$AI$505,"&lt;="&amp;$A289,実績!$AJ$6:$AJ$505,"&gt;"&amp;$A289,実績!$AK$6:$AK$505,"○")&gt;0,1,0))</f>
        <v>0</v>
      </c>
      <c r="CS289" s="39" t="n">
        <f aca="false">IF(CS$4=0,0,IF(COUNTIFS(実績!$W$6:$W$505,CS$3,実績!$AI$6:$AI$505,"&lt;="&amp;$A289,実績!$AJ$6:$AJ$505,"&gt;"&amp;$A289,実績!$AK$6:$AK$505,"○")&gt;0,1,0))</f>
        <v>0</v>
      </c>
      <c r="CT289" s="39" t="n">
        <f aca="false">IF(CT$4=0,0,IF(COUNTIFS(実績!$W$6:$W$505,CT$3,実績!$AI$6:$AI$505,"&lt;="&amp;$A289,実績!$AJ$6:$AJ$505,"&gt;"&amp;$A289,実績!$AK$6:$AK$505,"○")&gt;0,1,0))</f>
        <v>0</v>
      </c>
      <c r="CU289" s="39" t="n">
        <f aca="false">IF(CU$4=0,0,IF(COUNTIFS(実績!$W$6:$W$505,CU$3,実績!$AI$6:$AI$505,"&lt;="&amp;$A289,実績!$AJ$6:$AJ$505,"&gt;"&amp;$A289,実績!$AK$6:$AK$505,"○")&gt;0,1,0))</f>
        <v>0</v>
      </c>
      <c r="CV289" s="39" t="n">
        <f aca="false">IF(CV$4=0,0,IF(COUNTIFS(実績!$W$6:$W$505,CV$3,実績!$AI$6:$AI$505,"&lt;="&amp;$A289,実績!$AJ$6:$AJ$505,"&gt;"&amp;$A289,実績!$AK$6:$AK$505,"○")&gt;0,1,0))</f>
        <v>0</v>
      </c>
      <c r="CW289" s="39" t="n">
        <f aca="false">IF(CW$4=0,0,IF(COUNTIFS(実績!$W$6:$W$505,CW$3,実績!$AI$6:$AI$505,"&lt;="&amp;$A289,実績!$AJ$6:$AJ$505,"&gt;"&amp;$A289,実績!$AK$6:$AK$505,"○")&gt;0,1,0))</f>
        <v>0</v>
      </c>
      <c r="CX289" s="39" t="n">
        <f aca="false">IF(CX$4=0,0,IF(COUNTIFS(実績!$W$6:$W$505,CX$3,実績!$AI$6:$AI$505,"&lt;="&amp;$A289,実績!$AJ$6:$AJ$505,"&gt;"&amp;$A289,実績!$AK$6:$AK$505,"○")&gt;0,1,0))</f>
        <v>0</v>
      </c>
      <c r="CY289" s="39" t="n">
        <f aca="false">IF(CY$4=0,0,IF(COUNTIFS(実績!$W$6:$W$505,CY$3,実績!$AI$6:$AI$505,"&lt;="&amp;$A289,実績!$AJ$6:$AJ$505,"&gt;"&amp;$A289,実績!$AK$6:$AK$505,"○")&gt;0,1,0))</f>
        <v>0</v>
      </c>
      <c r="CZ289" s="39" t="n">
        <f aca="false">IF(CZ$4=0,0,IF(COUNTIFS(実績!$W$6:$W$505,CZ$3,実績!$AI$6:$AI$505,"&lt;="&amp;$A289,実績!$AJ$6:$AJ$505,"&gt;"&amp;$A289,実績!$AK$6:$AK$505,"○")&gt;0,1,0))</f>
        <v>0</v>
      </c>
      <c r="DA289" s="39" t="n">
        <f aca="false">IF(DA$4=0,0,IF(COUNTIFS(実績!$W$6:$W$505,DA$3,実績!$AI$6:$AI$505,"&lt;="&amp;$A289,実績!$AJ$6:$AJ$505,"&gt;"&amp;$A289,実績!$AK$6:$AK$505,"○")&gt;0,1,0))</f>
        <v>0</v>
      </c>
      <c r="DB289" s="39" t="n">
        <f aca="false">IF(DB$4=0,0,IF(COUNTIFS(実績!$W$6:$W$505,DB$3,実績!$AI$6:$AI$505,"&lt;="&amp;$A289,実績!$AJ$6:$AJ$505,"&gt;"&amp;$A289,実績!$AK$6:$AK$505,"○")&gt;0,1,0))</f>
        <v>0</v>
      </c>
      <c r="DC289" s="39" t="n">
        <f aca="false">IF(DC$4=0,0,IF(COUNTIFS(実績!$W$6:$W$505,DC$3,実績!$AI$6:$AI$505,"&lt;="&amp;$A289,実績!$AJ$6:$AJ$505,"&gt;"&amp;$A289,実績!$AK$6:$AK$505,"○")&gt;0,1,0))</f>
        <v>0</v>
      </c>
      <c r="DD289" s="39" t="n">
        <f aca="false">IF(DD$4=0,0,IF(COUNTIFS(実績!$W$6:$W$505,DD$3,実績!$AI$6:$AI$505,"&lt;="&amp;$A289,実績!$AJ$6:$AJ$505,"&gt;"&amp;$A289,実績!$AK$6:$AK$505,"○")&gt;0,1,0))</f>
        <v>0</v>
      </c>
      <c r="DE289" s="39" t="n">
        <f aca="false">IF(DE$4=0,0,IF(COUNTIFS(実績!$W$6:$W$505,DE$3,実績!$AI$6:$AI$505,"&lt;="&amp;$A289,実績!$AJ$6:$AJ$505,"&gt;"&amp;$A289,実績!$AK$6:$AK$505,"○")&gt;0,1,0))</f>
        <v>0</v>
      </c>
      <c r="DF289" s="39" t="n">
        <f aca="false">IF(DF$4=0,0,IF(COUNTIFS(実績!$W$6:$W$505,DF$3,実績!$AI$6:$AI$505,"&lt;="&amp;$A289,実績!$AJ$6:$AJ$505,"&gt;"&amp;$A289,実績!$AK$6:$AK$505,"○")&gt;0,1,0))</f>
        <v>0</v>
      </c>
      <c r="DG289" s="39" t="n">
        <f aca="false">IF(DG$4=0,0,IF(COUNTIFS(実績!$W$6:$W$505,DG$3,実績!$AI$6:$AI$505,"&lt;="&amp;$A289,実績!$AJ$6:$AJ$505,"&gt;"&amp;$A289,実績!$AK$6:$AK$505,"○")&gt;0,1,0))</f>
        <v>0</v>
      </c>
      <c r="DH289" s="39" t="n">
        <f aca="false">IF(DH$4=0,0,IF(COUNTIFS(実績!$W$6:$W$505,DH$3,実績!$AI$6:$AI$505,"&lt;="&amp;$A289,実績!$AJ$6:$AJ$505,"&gt;"&amp;$A289,実績!$AK$6:$AK$505,"○")&gt;0,1,0))</f>
        <v>0</v>
      </c>
      <c r="DI289" s="39" t="n">
        <f aca="false">IF(DI$4=0,0,IF(COUNTIFS(実績!$W$6:$W$505,DI$3,実績!$AI$6:$AI$505,"&lt;="&amp;$A289,実績!$AJ$6:$AJ$505,"&gt;"&amp;$A289,実績!$AK$6:$AK$505,"○")&gt;0,1,0))</f>
        <v>0</v>
      </c>
      <c r="DJ289" s="39" t="n">
        <f aca="false">IF(DJ$4=0,0,IF(COUNTIFS(実績!$W$6:$W$505,DJ$3,実績!$AI$6:$AI$505,"&lt;="&amp;$A289,実績!$AJ$6:$AJ$505,"&gt;"&amp;$A289,実績!$AK$6:$AK$505,"○")&gt;0,1,0))</f>
        <v>0</v>
      </c>
      <c r="DK289" s="39" t="n">
        <f aca="false">IF(DK$4=0,0,IF(COUNTIFS(実績!$W$6:$W$505,DK$3,実績!$AI$6:$AI$505,"&lt;="&amp;$A289,実績!$AJ$6:$AJ$505,"&gt;"&amp;$A289,実績!$AK$6:$AK$505,"○")&gt;0,1,0))</f>
        <v>0</v>
      </c>
      <c r="DL289" s="39" t="n">
        <f aca="false">IF(DL$4=0,0,IF(COUNTIFS(実績!$W$6:$W$505,DL$3,実績!$AI$6:$AI$505,"&lt;="&amp;$A289,実績!$AJ$6:$AJ$505,"&gt;"&amp;$A289,実績!$AK$6:$AK$505,"○")&gt;0,1,0))</f>
        <v>0</v>
      </c>
      <c r="DM289" s="39" t="n">
        <f aca="false">IF(DM$4=0,0,IF(COUNTIFS(実績!$W$6:$W$505,DM$3,実績!$AI$6:$AI$505,"&lt;="&amp;$A289,実績!$AJ$6:$AJ$505,"&gt;"&amp;$A289,実績!$AK$6:$AK$505,"○")&gt;0,1,0))</f>
        <v>0</v>
      </c>
      <c r="DN289" s="39" t="n">
        <f aca="false">IF(DN$4=0,0,IF(COUNTIFS(実績!$W$6:$W$505,DN$3,実績!$AI$6:$AI$505,"&lt;="&amp;$A289,実績!$AJ$6:$AJ$505,"&gt;"&amp;$A289,実績!$AK$6:$AK$505,"○")&gt;0,1,0))</f>
        <v>0</v>
      </c>
      <c r="DO289" s="39" t="n">
        <f aca="false">IF(DO$4=0,0,IF(COUNTIFS(実績!$W$6:$W$505,DO$3,実績!$AI$6:$AI$505,"&lt;="&amp;$A289,実績!$AJ$6:$AJ$505,"&gt;"&amp;$A289,実績!$AK$6:$AK$505,"○")&gt;0,1,0))</f>
        <v>0</v>
      </c>
      <c r="DP289" s="39" t="n">
        <f aca="false">IF(DP$4=0,0,IF(COUNTIFS(実績!$W$6:$W$505,DP$3,実績!$AI$6:$AI$505,"&lt;="&amp;$A289,実績!$AJ$6:$AJ$505,"&gt;"&amp;$A289,実績!$AK$6:$AK$505,"○")&gt;0,1,0))</f>
        <v>0</v>
      </c>
      <c r="DQ289" s="39" t="n">
        <f aca="false">IF(DQ$4=0,0,IF(COUNTIFS(実績!$W$6:$W$505,DQ$3,実績!$AI$6:$AI$505,"&lt;="&amp;$A289,実績!$AJ$6:$AJ$505,"&gt;"&amp;$A289,実績!$AK$6:$AK$505,"○")&gt;0,1,0))</f>
        <v>0</v>
      </c>
      <c r="DR289" s="39" t="n">
        <f aca="false">IF(DR$4=0,0,IF(COUNTIFS(実績!$W$6:$W$505,DR$3,実績!$AI$6:$AI$505,"&lt;="&amp;$A289,実績!$AJ$6:$AJ$505,"&gt;"&amp;$A289,実績!$AK$6:$AK$505,"○")&gt;0,1,0))</f>
        <v>0</v>
      </c>
      <c r="DS289" s="39" t="n">
        <f aca="false">SUM(C289:DR289)</f>
        <v>0</v>
      </c>
      <c r="DT289" s="39" t="n">
        <f aca="false">SUMPRODUCT((実績!$C$6:$C$505="○")*ISNUMBER(実績!$AM$6:$AM$505)*(実績!$AM$6:$AM$505&lt;=$A289)*(実績!$AN$6:$AN$505&gt;$A289))</f>
        <v>0</v>
      </c>
      <c r="DU289" s="39" t="n">
        <f aca="false">SUMIF($C$2:$DR$2,"製鉄曳船",C289:DR289)</f>
        <v>0</v>
      </c>
      <c r="DV289" s="39" t="n">
        <f aca="false">SUMIF($C$2:$DR$2,"西日本海運",C289:DR289)</f>
        <v>0</v>
      </c>
    </row>
    <row r="290" customFormat="false" ht="15" hidden="false" customHeight="false" outlineLevel="0" collapsed="false">
      <c r="A290" s="0" t="n">
        <v>1420</v>
      </c>
      <c r="B290" s="38" t="n">
        <f aca="false">A290/1440</f>
        <v>0.986111111111111</v>
      </c>
      <c r="C290" s="39" t="n">
        <f aca="false">IF(C$4=0,0,IF(COUNTIFS(実績!$W$6:$W$505,C$3,実績!$AI$6:$AI$505,"&lt;="&amp;$A290,実績!$AJ$6:$AJ$505,"&gt;"&amp;$A290,実績!$AK$6:$AK$505,"○")&gt;0,1,0))</f>
        <v>0</v>
      </c>
      <c r="D290" s="39" t="n">
        <f aca="false">IF(D$4=0,0,IF(COUNTIFS(実績!$W$6:$W$505,D$3,実績!$AI$6:$AI$505,"&lt;="&amp;$A290,実績!$AJ$6:$AJ$505,"&gt;"&amp;$A290,実績!$AK$6:$AK$505,"○")&gt;0,1,0))</f>
        <v>0</v>
      </c>
      <c r="E290" s="39" t="n">
        <f aca="false">IF(E$4=0,0,IF(COUNTIFS(実績!$W$6:$W$505,E$3,実績!$AI$6:$AI$505,"&lt;="&amp;$A290,実績!$AJ$6:$AJ$505,"&gt;"&amp;$A290,実績!$AK$6:$AK$505,"○")&gt;0,1,0))</f>
        <v>0</v>
      </c>
      <c r="F290" s="39" t="n">
        <f aca="false">IF(F$4=0,0,IF(COUNTIFS(実績!$W$6:$W$505,F$3,実績!$AI$6:$AI$505,"&lt;="&amp;$A290,実績!$AJ$6:$AJ$505,"&gt;"&amp;$A290,実績!$AK$6:$AK$505,"○")&gt;0,1,0))</f>
        <v>0</v>
      </c>
      <c r="G290" s="39" t="n">
        <f aca="false">IF(G$4=0,0,IF(COUNTIFS(実績!$W$6:$W$505,G$3,実績!$AI$6:$AI$505,"&lt;="&amp;$A290,実績!$AJ$6:$AJ$505,"&gt;"&amp;$A290,実績!$AK$6:$AK$505,"○")&gt;0,1,0))</f>
        <v>0</v>
      </c>
      <c r="H290" s="39" t="n">
        <f aca="false">IF(H$4=0,0,IF(COUNTIFS(実績!$W$6:$W$505,H$3,実績!$AI$6:$AI$505,"&lt;="&amp;$A290,実績!$AJ$6:$AJ$505,"&gt;"&amp;$A290,実績!$AK$6:$AK$505,"○")&gt;0,1,0))</f>
        <v>0</v>
      </c>
      <c r="I290" s="39" t="n">
        <f aca="false">IF(I$4=0,0,IF(COUNTIFS(実績!$W$6:$W$505,I$3,実績!$AI$6:$AI$505,"&lt;="&amp;$A290,実績!$AJ$6:$AJ$505,"&gt;"&amp;$A290,実績!$AK$6:$AK$505,"○")&gt;0,1,0))</f>
        <v>0</v>
      </c>
      <c r="J290" s="39" t="n">
        <f aca="false">IF(J$4=0,0,IF(COUNTIFS(実績!$W$6:$W$505,J$3,実績!$AI$6:$AI$505,"&lt;="&amp;$A290,実績!$AJ$6:$AJ$505,"&gt;"&amp;$A290,実績!$AK$6:$AK$505,"○")&gt;0,1,0))</f>
        <v>0</v>
      </c>
      <c r="K290" s="39" t="n">
        <f aca="false">IF(K$4=0,0,IF(COUNTIFS(実績!$W$6:$W$505,K$3,実績!$AI$6:$AI$505,"&lt;="&amp;$A290,実績!$AJ$6:$AJ$505,"&gt;"&amp;$A290,実績!$AK$6:$AK$505,"○")&gt;0,1,0))</f>
        <v>0</v>
      </c>
      <c r="L290" s="39" t="n">
        <f aca="false">IF(L$4=0,0,IF(COUNTIFS(実績!$W$6:$W$505,L$3,実績!$AI$6:$AI$505,"&lt;="&amp;$A290,実績!$AJ$6:$AJ$505,"&gt;"&amp;$A290,実績!$AK$6:$AK$505,"○")&gt;0,1,0))</f>
        <v>0</v>
      </c>
      <c r="M290" s="39" t="n">
        <f aca="false">IF(M$4=0,0,IF(COUNTIFS(実績!$W$6:$W$505,M$3,実績!$AI$6:$AI$505,"&lt;="&amp;$A290,実績!$AJ$6:$AJ$505,"&gt;"&amp;$A290,実績!$AK$6:$AK$505,"○")&gt;0,1,0))</f>
        <v>0</v>
      </c>
      <c r="N290" s="39" t="n">
        <f aca="false">IF(N$4=0,0,IF(COUNTIFS(実績!$W$6:$W$505,N$3,実績!$AI$6:$AI$505,"&lt;="&amp;$A290,実績!$AJ$6:$AJ$505,"&gt;"&amp;$A290,実績!$AK$6:$AK$505,"○")&gt;0,1,0))</f>
        <v>0</v>
      </c>
      <c r="O290" s="39" t="n">
        <f aca="false">IF(O$4=0,0,IF(COUNTIFS(実績!$W$6:$W$505,O$3,実績!$AI$6:$AI$505,"&lt;="&amp;$A290,実績!$AJ$6:$AJ$505,"&gt;"&amp;$A290,実績!$AK$6:$AK$505,"○")&gt;0,1,0))</f>
        <v>0</v>
      </c>
      <c r="P290" s="39" t="n">
        <f aca="false">IF(P$4=0,0,IF(COUNTIFS(実績!$W$6:$W$505,P$3,実績!$AI$6:$AI$505,"&lt;="&amp;$A290,実績!$AJ$6:$AJ$505,"&gt;"&amp;$A290,実績!$AK$6:$AK$505,"○")&gt;0,1,0))</f>
        <v>0</v>
      </c>
      <c r="Q290" s="39" t="n">
        <f aca="false">IF(Q$4=0,0,IF(COUNTIFS(実績!$W$6:$W$505,Q$3,実績!$AI$6:$AI$505,"&lt;="&amp;$A290,実績!$AJ$6:$AJ$505,"&gt;"&amp;$A290,実績!$AK$6:$AK$505,"○")&gt;0,1,0))</f>
        <v>0</v>
      </c>
      <c r="R290" s="39" t="n">
        <f aca="false">IF(R$4=0,0,IF(COUNTIFS(実績!$W$6:$W$505,R$3,実績!$AI$6:$AI$505,"&lt;="&amp;$A290,実績!$AJ$6:$AJ$505,"&gt;"&amp;$A290,実績!$AK$6:$AK$505,"○")&gt;0,1,0))</f>
        <v>0</v>
      </c>
      <c r="S290" s="39" t="n">
        <f aca="false">IF(S$4=0,0,IF(COUNTIFS(実績!$W$6:$W$505,S$3,実績!$AI$6:$AI$505,"&lt;="&amp;$A290,実績!$AJ$6:$AJ$505,"&gt;"&amp;$A290,実績!$AK$6:$AK$505,"○")&gt;0,1,0))</f>
        <v>0</v>
      </c>
      <c r="T290" s="39" t="n">
        <f aca="false">IF(T$4=0,0,IF(COUNTIFS(実績!$W$6:$W$505,T$3,実績!$AI$6:$AI$505,"&lt;="&amp;$A290,実績!$AJ$6:$AJ$505,"&gt;"&amp;$A290,実績!$AK$6:$AK$505,"○")&gt;0,1,0))</f>
        <v>0</v>
      </c>
      <c r="U290" s="39" t="n">
        <f aca="false">IF(U$4=0,0,IF(COUNTIFS(実績!$W$6:$W$505,U$3,実績!$AI$6:$AI$505,"&lt;="&amp;$A290,実績!$AJ$6:$AJ$505,"&gt;"&amp;$A290,実績!$AK$6:$AK$505,"○")&gt;0,1,0))</f>
        <v>0</v>
      </c>
      <c r="V290" s="39" t="n">
        <f aca="false">IF(V$4=0,0,IF(COUNTIFS(実績!$W$6:$W$505,V$3,実績!$AI$6:$AI$505,"&lt;="&amp;$A290,実績!$AJ$6:$AJ$505,"&gt;"&amp;$A290,実績!$AK$6:$AK$505,"○")&gt;0,1,0))</f>
        <v>0</v>
      </c>
      <c r="W290" s="39" t="n">
        <f aca="false">IF(W$4=0,0,IF(COUNTIFS(実績!$W$6:$W$505,W$3,実績!$AI$6:$AI$505,"&lt;="&amp;$A290,実績!$AJ$6:$AJ$505,"&gt;"&amp;$A290,実績!$AK$6:$AK$505,"○")&gt;0,1,0))</f>
        <v>0</v>
      </c>
      <c r="X290" s="39" t="n">
        <f aca="false">IF(X$4=0,0,IF(COUNTIFS(実績!$W$6:$W$505,X$3,実績!$AI$6:$AI$505,"&lt;="&amp;$A290,実績!$AJ$6:$AJ$505,"&gt;"&amp;$A290,実績!$AK$6:$AK$505,"○")&gt;0,1,0))</f>
        <v>0</v>
      </c>
      <c r="Y290" s="39" t="n">
        <f aca="false">IF(Y$4=0,0,IF(COUNTIFS(実績!$W$6:$W$505,Y$3,実績!$AI$6:$AI$505,"&lt;="&amp;$A290,実績!$AJ$6:$AJ$505,"&gt;"&amp;$A290,実績!$AK$6:$AK$505,"○")&gt;0,1,0))</f>
        <v>0</v>
      </c>
      <c r="Z290" s="39" t="n">
        <f aca="false">IF(Z$4=0,0,IF(COUNTIFS(実績!$W$6:$W$505,Z$3,実績!$AI$6:$AI$505,"&lt;="&amp;$A290,実績!$AJ$6:$AJ$505,"&gt;"&amp;$A290,実績!$AK$6:$AK$505,"○")&gt;0,1,0))</f>
        <v>0</v>
      </c>
      <c r="AA290" s="39" t="n">
        <f aca="false">IF(AA$4=0,0,IF(COUNTIFS(実績!$W$6:$W$505,AA$3,実績!$AI$6:$AI$505,"&lt;="&amp;$A290,実績!$AJ$6:$AJ$505,"&gt;"&amp;$A290,実績!$AK$6:$AK$505,"○")&gt;0,1,0))</f>
        <v>0</v>
      </c>
      <c r="AB290" s="39" t="n">
        <f aca="false">IF(AB$4=0,0,IF(COUNTIFS(実績!$W$6:$W$505,AB$3,実績!$AI$6:$AI$505,"&lt;="&amp;$A290,実績!$AJ$6:$AJ$505,"&gt;"&amp;$A290,実績!$AK$6:$AK$505,"○")&gt;0,1,0))</f>
        <v>0</v>
      </c>
      <c r="AC290" s="39" t="n">
        <f aca="false">IF(AC$4=0,0,IF(COUNTIFS(実績!$W$6:$W$505,AC$3,実績!$AI$6:$AI$505,"&lt;="&amp;$A290,実績!$AJ$6:$AJ$505,"&gt;"&amp;$A290,実績!$AK$6:$AK$505,"○")&gt;0,1,0))</f>
        <v>0</v>
      </c>
      <c r="AD290" s="39" t="n">
        <f aca="false">IF(AD$4=0,0,IF(COUNTIFS(実績!$W$6:$W$505,AD$3,実績!$AI$6:$AI$505,"&lt;="&amp;$A290,実績!$AJ$6:$AJ$505,"&gt;"&amp;$A290,実績!$AK$6:$AK$505,"○")&gt;0,1,0))</f>
        <v>0</v>
      </c>
      <c r="AE290" s="39" t="n">
        <f aca="false">IF(AE$4=0,0,IF(COUNTIFS(実績!$W$6:$W$505,AE$3,実績!$AI$6:$AI$505,"&lt;="&amp;$A290,実績!$AJ$6:$AJ$505,"&gt;"&amp;$A290,実績!$AK$6:$AK$505,"○")&gt;0,1,0))</f>
        <v>0</v>
      </c>
      <c r="AF290" s="39" t="n">
        <f aca="false">IF(AF$4=0,0,IF(COUNTIFS(実績!$W$6:$W$505,AF$3,実績!$AI$6:$AI$505,"&lt;="&amp;$A290,実績!$AJ$6:$AJ$505,"&gt;"&amp;$A290,実績!$AK$6:$AK$505,"○")&gt;0,1,0))</f>
        <v>0</v>
      </c>
      <c r="AG290" s="39" t="n">
        <f aca="false">IF(AG$4=0,0,IF(COUNTIFS(実績!$W$6:$W$505,AG$3,実績!$AI$6:$AI$505,"&lt;="&amp;$A290,実績!$AJ$6:$AJ$505,"&gt;"&amp;$A290,実績!$AK$6:$AK$505,"○")&gt;0,1,0))</f>
        <v>0</v>
      </c>
      <c r="AH290" s="39" t="n">
        <f aca="false">IF(AH$4=0,0,IF(COUNTIFS(実績!$W$6:$W$505,AH$3,実績!$AI$6:$AI$505,"&lt;="&amp;$A290,実績!$AJ$6:$AJ$505,"&gt;"&amp;$A290,実績!$AK$6:$AK$505,"○")&gt;0,1,0))</f>
        <v>0</v>
      </c>
      <c r="AI290" s="39" t="n">
        <f aca="false">IF(AI$4=0,0,IF(COUNTIFS(実績!$W$6:$W$505,AI$3,実績!$AI$6:$AI$505,"&lt;="&amp;$A290,実績!$AJ$6:$AJ$505,"&gt;"&amp;$A290,実績!$AK$6:$AK$505,"○")&gt;0,1,0))</f>
        <v>0</v>
      </c>
      <c r="AJ290" s="39" t="n">
        <f aca="false">IF(AJ$4=0,0,IF(COUNTIFS(実績!$W$6:$W$505,AJ$3,実績!$AI$6:$AI$505,"&lt;="&amp;$A290,実績!$AJ$6:$AJ$505,"&gt;"&amp;$A290,実績!$AK$6:$AK$505,"○")&gt;0,1,0))</f>
        <v>0</v>
      </c>
      <c r="AK290" s="39" t="n">
        <f aca="false">IF(AK$4=0,0,IF(COUNTIFS(実績!$W$6:$W$505,AK$3,実績!$AI$6:$AI$505,"&lt;="&amp;$A290,実績!$AJ$6:$AJ$505,"&gt;"&amp;$A290,実績!$AK$6:$AK$505,"○")&gt;0,1,0))</f>
        <v>0</v>
      </c>
      <c r="AL290" s="39" t="n">
        <f aca="false">IF(AL$4=0,0,IF(COUNTIFS(実績!$W$6:$W$505,AL$3,実績!$AI$6:$AI$505,"&lt;="&amp;$A290,実績!$AJ$6:$AJ$505,"&gt;"&amp;$A290,実績!$AK$6:$AK$505,"○")&gt;0,1,0))</f>
        <v>0</v>
      </c>
      <c r="AM290" s="39" t="n">
        <f aca="false">IF(AM$4=0,0,IF(COUNTIFS(実績!$W$6:$W$505,AM$3,実績!$AI$6:$AI$505,"&lt;="&amp;$A290,実績!$AJ$6:$AJ$505,"&gt;"&amp;$A290,実績!$AK$6:$AK$505,"○")&gt;0,1,0))</f>
        <v>0</v>
      </c>
      <c r="AN290" s="39" t="n">
        <f aca="false">IF(AN$4=0,0,IF(COUNTIFS(実績!$W$6:$W$505,AN$3,実績!$AI$6:$AI$505,"&lt;="&amp;$A290,実績!$AJ$6:$AJ$505,"&gt;"&amp;$A290,実績!$AK$6:$AK$505,"○")&gt;0,1,0))</f>
        <v>0</v>
      </c>
      <c r="AO290" s="39" t="n">
        <f aca="false">IF(AO$4=0,0,IF(COUNTIFS(実績!$W$6:$W$505,AO$3,実績!$AI$6:$AI$505,"&lt;="&amp;$A290,実績!$AJ$6:$AJ$505,"&gt;"&amp;$A290,実績!$AK$6:$AK$505,"○")&gt;0,1,0))</f>
        <v>0</v>
      </c>
      <c r="AP290" s="39" t="n">
        <f aca="false">IF(AP$4=0,0,IF(COUNTIFS(実績!$W$6:$W$505,AP$3,実績!$AI$6:$AI$505,"&lt;="&amp;$A290,実績!$AJ$6:$AJ$505,"&gt;"&amp;$A290,実績!$AK$6:$AK$505,"○")&gt;0,1,0))</f>
        <v>0</v>
      </c>
      <c r="AQ290" s="39" t="n">
        <f aca="false">IF(AQ$4=0,0,IF(COUNTIFS(実績!$W$6:$W$505,AQ$3,実績!$AI$6:$AI$505,"&lt;="&amp;$A290,実績!$AJ$6:$AJ$505,"&gt;"&amp;$A290,実績!$AK$6:$AK$505,"○")&gt;0,1,0))</f>
        <v>0</v>
      </c>
      <c r="AR290" s="39" t="n">
        <f aca="false">IF(AR$4=0,0,IF(COUNTIFS(実績!$W$6:$W$505,AR$3,実績!$AI$6:$AI$505,"&lt;="&amp;$A290,実績!$AJ$6:$AJ$505,"&gt;"&amp;$A290,実績!$AK$6:$AK$505,"○")&gt;0,1,0))</f>
        <v>0</v>
      </c>
      <c r="AS290" s="39" t="n">
        <f aca="false">IF(AS$4=0,0,IF(COUNTIFS(実績!$W$6:$W$505,AS$3,実績!$AI$6:$AI$505,"&lt;="&amp;$A290,実績!$AJ$6:$AJ$505,"&gt;"&amp;$A290,実績!$AK$6:$AK$505,"○")&gt;0,1,0))</f>
        <v>0</v>
      </c>
      <c r="AT290" s="39" t="n">
        <f aca="false">IF(AT$4=0,0,IF(COUNTIFS(実績!$W$6:$W$505,AT$3,実績!$AI$6:$AI$505,"&lt;="&amp;$A290,実績!$AJ$6:$AJ$505,"&gt;"&amp;$A290,実績!$AK$6:$AK$505,"○")&gt;0,1,0))</f>
        <v>0</v>
      </c>
      <c r="AU290" s="39" t="n">
        <f aca="false">IF(AU$4=0,0,IF(COUNTIFS(実績!$W$6:$W$505,AU$3,実績!$AI$6:$AI$505,"&lt;="&amp;$A290,実績!$AJ$6:$AJ$505,"&gt;"&amp;$A290,実績!$AK$6:$AK$505,"○")&gt;0,1,0))</f>
        <v>0</v>
      </c>
      <c r="AV290" s="39" t="n">
        <f aca="false">IF(AV$4=0,0,IF(COUNTIFS(実績!$W$6:$W$505,AV$3,実績!$AI$6:$AI$505,"&lt;="&amp;$A290,実績!$AJ$6:$AJ$505,"&gt;"&amp;$A290,実績!$AK$6:$AK$505,"○")&gt;0,1,0))</f>
        <v>0</v>
      </c>
      <c r="AW290" s="39" t="n">
        <f aca="false">IF(AW$4=0,0,IF(COUNTIFS(実績!$W$6:$W$505,AW$3,実績!$AI$6:$AI$505,"&lt;="&amp;$A290,実績!$AJ$6:$AJ$505,"&gt;"&amp;$A290,実績!$AK$6:$AK$505,"○")&gt;0,1,0))</f>
        <v>0</v>
      </c>
      <c r="AX290" s="39" t="n">
        <f aca="false">IF(AX$4=0,0,IF(COUNTIFS(実績!$W$6:$W$505,AX$3,実績!$AI$6:$AI$505,"&lt;="&amp;$A290,実績!$AJ$6:$AJ$505,"&gt;"&amp;$A290,実績!$AK$6:$AK$505,"○")&gt;0,1,0))</f>
        <v>0</v>
      </c>
      <c r="AY290" s="39" t="n">
        <f aca="false">IF(AY$4=0,0,IF(COUNTIFS(実績!$W$6:$W$505,AY$3,実績!$AI$6:$AI$505,"&lt;="&amp;$A290,実績!$AJ$6:$AJ$505,"&gt;"&amp;$A290,実績!$AK$6:$AK$505,"○")&gt;0,1,0))</f>
        <v>0</v>
      </c>
      <c r="AZ290" s="39" t="n">
        <f aca="false">IF(AZ$4=0,0,IF(COUNTIFS(実績!$W$6:$W$505,AZ$3,実績!$AI$6:$AI$505,"&lt;="&amp;$A290,実績!$AJ$6:$AJ$505,"&gt;"&amp;$A290,実績!$AK$6:$AK$505,"○")&gt;0,1,0))</f>
        <v>0</v>
      </c>
      <c r="BA290" s="39" t="n">
        <f aca="false">IF(BA$4=0,0,IF(COUNTIFS(実績!$W$6:$W$505,BA$3,実績!$AI$6:$AI$505,"&lt;="&amp;$A290,実績!$AJ$6:$AJ$505,"&gt;"&amp;$A290,実績!$AK$6:$AK$505,"○")&gt;0,1,0))</f>
        <v>0</v>
      </c>
      <c r="BB290" s="39" t="n">
        <f aca="false">IF(BB$4=0,0,IF(COUNTIFS(実績!$W$6:$W$505,BB$3,実績!$AI$6:$AI$505,"&lt;="&amp;$A290,実績!$AJ$6:$AJ$505,"&gt;"&amp;$A290,実績!$AK$6:$AK$505,"○")&gt;0,1,0))</f>
        <v>0</v>
      </c>
      <c r="BC290" s="39" t="n">
        <f aca="false">IF(BC$4=0,0,IF(COUNTIFS(実績!$W$6:$W$505,BC$3,実績!$AI$6:$AI$505,"&lt;="&amp;$A290,実績!$AJ$6:$AJ$505,"&gt;"&amp;$A290,実績!$AK$6:$AK$505,"○")&gt;0,1,0))</f>
        <v>0</v>
      </c>
      <c r="BD290" s="39" t="n">
        <f aca="false">IF(BD$4=0,0,IF(COUNTIFS(実績!$W$6:$W$505,BD$3,実績!$AI$6:$AI$505,"&lt;="&amp;$A290,実績!$AJ$6:$AJ$505,"&gt;"&amp;$A290,実績!$AK$6:$AK$505,"○")&gt;0,1,0))</f>
        <v>0</v>
      </c>
      <c r="BE290" s="39" t="n">
        <f aca="false">IF(BE$4=0,0,IF(COUNTIFS(実績!$W$6:$W$505,BE$3,実績!$AI$6:$AI$505,"&lt;="&amp;$A290,実績!$AJ$6:$AJ$505,"&gt;"&amp;$A290,実績!$AK$6:$AK$505,"○")&gt;0,1,0))</f>
        <v>0</v>
      </c>
      <c r="BF290" s="39" t="n">
        <f aca="false">IF(BF$4=0,0,IF(COUNTIFS(実績!$W$6:$W$505,BF$3,実績!$AI$6:$AI$505,"&lt;="&amp;$A290,実績!$AJ$6:$AJ$505,"&gt;"&amp;$A290,実績!$AK$6:$AK$505,"○")&gt;0,1,0))</f>
        <v>0</v>
      </c>
      <c r="BG290" s="39" t="n">
        <f aca="false">IF(BG$4=0,0,IF(COUNTIFS(実績!$W$6:$W$505,BG$3,実績!$AI$6:$AI$505,"&lt;="&amp;$A290,実績!$AJ$6:$AJ$505,"&gt;"&amp;$A290,実績!$AK$6:$AK$505,"○")&gt;0,1,0))</f>
        <v>0</v>
      </c>
      <c r="BH290" s="39" t="n">
        <f aca="false">IF(BH$4=0,0,IF(COUNTIFS(実績!$W$6:$W$505,BH$3,実績!$AI$6:$AI$505,"&lt;="&amp;$A290,実績!$AJ$6:$AJ$505,"&gt;"&amp;$A290,実績!$AK$6:$AK$505,"○")&gt;0,1,0))</f>
        <v>0</v>
      </c>
      <c r="BI290" s="39" t="n">
        <f aca="false">IF(BI$4=0,0,IF(COUNTIFS(実績!$W$6:$W$505,BI$3,実績!$AI$6:$AI$505,"&lt;="&amp;$A290,実績!$AJ$6:$AJ$505,"&gt;"&amp;$A290,実績!$AK$6:$AK$505,"○")&gt;0,1,0))</f>
        <v>0</v>
      </c>
      <c r="BJ290" s="39" t="n">
        <f aca="false">IF(BJ$4=0,0,IF(COUNTIFS(実績!$W$6:$W$505,BJ$3,実績!$AI$6:$AI$505,"&lt;="&amp;$A290,実績!$AJ$6:$AJ$505,"&gt;"&amp;$A290,実績!$AK$6:$AK$505,"○")&gt;0,1,0))</f>
        <v>0</v>
      </c>
      <c r="BK290" s="39" t="n">
        <f aca="false">IF(BK$4=0,0,IF(COUNTIFS(実績!$W$6:$W$505,BK$3,実績!$AI$6:$AI$505,"&lt;="&amp;$A290,実績!$AJ$6:$AJ$505,"&gt;"&amp;$A290,実績!$AK$6:$AK$505,"○")&gt;0,1,0))</f>
        <v>0</v>
      </c>
      <c r="BL290" s="39" t="n">
        <f aca="false">IF(BL$4=0,0,IF(COUNTIFS(実績!$W$6:$W$505,BL$3,実績!$AI$6:$AI$505,"&lt;="&amp;$A290,実績!$AJ$6:$AJ$505,"&gt;"&amp;$A290,実績!$AK$6:$AK$505,"○")&gt;0,1,0))</f>
        <v>0</v>
      </c>
      <c r="BM290" s="39" t="n">
        <f aca="false">IF(BM$4=0,0,IF(COUNTIFS(実績!$W$6:$W$505,BM$3,実績!$AI$6:$AI$505,"&lt;="&amp;$A290,実績!$AJ$6:$AJ$505,"&gt;"&amp;$A290,実績!$AK$6:$AK$505,"○")&gt;0,1,0))</f>
        <v>0</v>
      </c>
      <c r="BN290" s="39" t="n">
        <f aca="false">IF(BN$4=0,0,IF(COUNTIFS(実績!$W$6:$W$505,BN$3,実績!$AI$6:$AI$505,"&lt;="&amp;$A290,実績!$AJ$6:$AJ$505,"&gt;"&amp;$A290,実績!$AK$6:$AK$505,"○")&gt;0,1,0))</f>
        <v>0</v>
      </c>
      <c r="BO290" s="39" t="n">
        <f aca="false">IF(BO$4=0,0,IF(COUNTIFS(実績!$W$6:$W$505,BO$3,実績!$AI$6:$AI$505,"&lt;="&amp;$A290,実績!$AJ$6:$AJ$505,"&gt;"&amp;$A290,実績!$AK$6:$AK$505,"○")&gt;0,1,0))</f>
        <v>0</v>
      </c>
      <c r="BP290" s="39" t="n">
        <f aca="false">IF(BP$4=0,0,IF(COUNTIFS(実績!$W$6:$W$505,BP$3,実績!$AI$6:$AI$505,"&lt;="&amp;$A290,実績!$AJ$6:$AJ$505,"&gt;"&amp;$A290,実績!$AK$6:$AK$505,"○")&gt;0,1,0))</f>
        <v>0</v>
      </c>
      <c r="BQ290" s="39" t="n">
        <f aca="false">IF(BQ$4=0,0,IF(COUNTIFS(実績!$W$6:$W$505,BQ$3,実績!$AI$6:$AI$505,"&lt;="&amp;$A290,実績!$AJ$6:$AJ$505,"&gt;"&amp;$A290,実績!$AK$6:$AK$505,"○")&gt;0,1,0))</f>
        <v>0</v>
      </c>
      <c r="BR290" s="39" t="n">
        <f aca="false">IF(BR$4=0,0,IF(COUNTIFS(実績!$W$6:$W$505,BR$3,実績!$AI$6:$AI$505,"&lt;="&amp;$A290,実績!$AJ$6:$AJ$505,"&gt;"&amp;$A290,実績!$AK$6:$AK$505,"○")&gt;0,1,0))</f>
        <v>0</v>
      </c>
      <c r="BS290" s="39" t="n">
        <f aca="false">IF(BS$4=0,0,IF(COUNTIFS(実績!$W$6:$W$505,BS$3,実績!$AI$6:$AI$505,"&lt;="&amp;$A290,実績!$AJ$6:$AJ$505,"&gt;"&amp;$A290,実績!$AK$6:$AK$505,"○")&gt;0,1,0))</f>
        <v>0</v>
      </c>
      <c r="BT290" s="39" t="n">
        <f aca="false">IF(BT$4=0,0,IF(COUNTIFS(実績!$W$6:$W$505,BT$3,実績!$AI$6:$AI$505,"&lt;="&amp;$A290,実績!$AJ$6:$AJ$505,"&gt;"&amp;$A290,実績!$AK$6:$AK$505,"○")&gt;0,1,0))</f>
        <v>0</v>
      </c>
      <c r="BU290" s="39" t="n">
        <f aca="false">IF(BU$4=0,0,IF(COUNTIFS(実績!$W$6:$W$505,BU$3,実績!$AI$6:$AI$505,"&lt;="&amp;$A290,実績!$AJ$6:$AJ$505,"&gt;"&amp;$A290,実績!$AK$6:$AK$505,"○")&gt;0,1,0))</f>
        <v>0</v>
      </c>
      <c r="BV290" s="39" t="n">
        <f aca="false">IF(BV$4=0,0,IF(COUNTIFS(実績!$W$6:$W$505,BV$3,実績!$AI$6:$AI$505,"&lt;="&amp;$A290,実績!$AJ$6:$AJ$505,"&gt;"&amp;$A290,実績!$AK$6:$AK$505,"○")&gt;0,1,0))</f>
        <v>0</v>
      </c>
      <c r="BW290" s="39" t="n">
        <f aca="false">IF(BW$4=0,0,IF(COUNTIFS(実績!$W$6:$W$505,BW$3,実績!$AI$6:$AI$505,"&lt;="&amp;$A290,実績!$AJ$6:$AJ$505,"&gt;"&amp;$A290,実績!$AK$6:$AK$505,"○")&gt;0,1,0))</f>
        <v>0</v>
      </c>
      <c r="BX290" s="39" t="n">
        <f aca="false">IF(BX$4=0,0,IF(COUNTIFS(実績!$W$6:$W$505,BX$3,実績!$AI$6:$AI$505,"&lt;="&amp;$A290,実績!$AJ$6:$AJ$505,"&gt;"&amp;$A290,実績!$AK$6:$AK$505,"○")&gt;0,1,0))</f>
        <v>0</v>
      </c>
      <c r="BY290" s="39" t="n">
        <f aca="false">IF(BY$4=0,0,IF(COUNTIFS(実績!$W$6:$W$505,BY$3,実績!$AI$6:$AI$505,"&lt;="&amp;$A290,実績!$AJ$6:$AJ$505,"&gt;"&amp;$A290,実績!$AK$6:$AK$505,"○")&gt;0,1,0))</f>
        <v>0</v>
      </c>
      <c r="BZ290" s="39" t="n">
        <f aca="false">IF(BZ$4=0,0,IF(COUNTIFS(実績!$W$6:$W$505,BZ$3,実績!$AI$6:$AI$505,"&lt;="&amp;$A290,実績!$AJ$6:$AJ$505,"&gt;"&amp;$A290,実績!$AK$6:$AK$505,"○")&gt;0,1,0))</f>
        <v>0</v>
      </c>
      <c r="CA290" s="39" t="n">
        <f aca="false">IF(CA$4=0,0,IF(COUNTIFS(実績!$W$6:$W$505,CA$3,実績!$AI$6:$AI$505,"&lt;="&amp;$A290,実績!$AJ$6:$AJ$505,"&gt;"&amp;$A290,実績!$AK$6:$AK$505,"○")&gt;0,1,0))</f>
        <v>0</v>
      </c>
      <c r="CB290" s="39" t="n">
        <f aca="false">IF(CB$4=0,0,IF(COUNTIFS(実績!$W$6:$W$505,CB$3,実績!$AI$6:$AI$505,"&lt;="&amp;$A290,実績!$AJ$6:$AJ$505,"&gt;"&amp;$A290,実績!$AK$6:$AK$505,"○")&gt;0,1,0))</f>
        <v>0</v>
      </c>
      <c r="CC290" s="39" t="n">
        <f aca="false">IF(CC$4=0,0,IF(COUNTIFS(実績!$W$6:$W$505,CC$3,実績!$AI$6:$AI$505,"&lt;="&amp;$A290,実績!$AJ$6:$AJ$505,"&gt;"&amp;$A290,実績!$AK$6:$AK$505,"○")&gt;0,1,0))</f>
        <v>0</v>
      </c>
      <c r="CD290" s="39" t="n">
        <f aca="false">IF(CD$4=0,0,IF(COUNTIFS(実績!$W$6:$W$505,CD$3,実績!$AI$6:$AI$505,"&lt;="&amp;$A290,実績!$AJ$6:$AJ$505,"&gt;"&amp;$A290,実績!$AK$6:$AK$505,"○")&gt;0,1,0))</f>
        <v>0</v>
      </c>
      <c r="CE290" s="39" t="n">
        <f aca="false">IF(CE$4=0,0,IF(COUNTIFS(実績!$W$6:$W$505,CE$3,実績!$AI$6:$AI$505,"&lt;="&amp;$A290,実績!$AJ$6:$AJ$505,"&gt;"&amp;$A290,実績!$AK$6:$AK$505,"○")&gt;0,1,0))</f>
        <v>0</v>
      </c>
      <c r="CF290" s="39" t="n">
        <f aca="false">IF(CF$4=0,0,IF(COUNTIFS(実績!$W$6:$W$505,CF$3,実績!$AI$6:$AI$505,"&lt;="&amp;$A290,実績!$AJ$6:$AJ$505,"&gt;"&amp;$A290,実績!$AK$6:$AK$505,"○")&gt;0,1,0))</f>
        <v>0</v>
      </c>
      <c r="CG290" s="39" t="n">
        <f aca="false">IF(CG$4=0,0,IF(COUNTIFS(実績!$W$6:$W$505,CG$3,実績!$AI$6:$AI$505,"&lt;="&amp;$A290,実績!$AJ$6:$AJ$505,"&gt;"&amp;$A290,実績!$AK$6:$AK$505,"○")&gt;0,1,0))</f>
        <v>0</v>
      </c>
      <c r="CH290" s="39" t="n">
        <f aca="false">IF(CH$4=0,0,IF(COUNTIFS(実績!$W$6:$W$505,CH$3,実績!$AI$6:$AI$505,"&lt;="&amp;$A290,実績!$AJ$6:$AJ$505,"&gt;"&amp;$A290,実績!$AK$6:$AK$505,"○")&gt;0,1,0))</f>
        <v>0</v>
      </c>
      <c r="CI290" s="39" t="n">
        <f aca="false">IF(CI$4=0,0,IF(COUNTIFS(実績!$W$6:$W$505,CI$3,実績!$AI$6:$AI$505,"&lt;="&amp;$A290,実績!$AJ$6:$AJ$505,"&gt;"&amp;$A290,実績!$AK$6:$AK$505,"○")&gt;0,1,0))</f>
        <v>0</v>
      </c>
      <c r="CJ290" s="39" t="n">
        <f aca="false">IF(CJ$4=0,0,IF(COUNTIFS(実績!$W$6:$W$505,CJ$3,実績!$AI$6:$AI$505,"&lt;="&amp;$A290,実績!$AJ$6:$AJ$505,"&gt;"&amp;$A290,実績!$AK$6:$AK$505,"○")&gt;0,1,0))</f>
        <v>0</v>
      </c>
      <c r="CK290" s="39" t="n">
        <f aca="false">IF(CK$4=0,0,IF(COUNTIFS(実績!$W$6:$W$505,CK$3,実績!$AI$6:$AI$505,"&lt;="&amp;$A290,実績!$AJ$6:$AJ$505,"&gt;"&amp;$A290,実績!$AK$6:$AK$505,"○")&gt;0,1,0))</f>
        <v>0</v>
      </c>
      <c r="CL290" s="39" t="n">
        <f aca="false">IF(CL$4=0,0,IF(COUNTIFS(実績!$W$6:$W$505,CL$3,実績!$AI$6:$AI$505,"&lt;="&amp;$A290,実績!$AJ$6:$AJ$505,"&gt;"&amp;$A290,実績!$AK$6:$AK$505,"○")&gt;0,1,0))</f>
        <v>0</v>
      </c>
      <c r="CM290" s="39" t="n">
        <f aca="false">IF(CM$4=0,0,IF(COUNTIFS(実績!$W$6:$W$505,CM$3,実績!$AI$6:$AI$505,"&lt;="&amp;$A290,実績!$AJ$6:$AJ$505,"&gt;"&amp;$A290,実績!$AK$6:$AK$505,"○")&gt;0,1,0))</f>
        <v>0</v>
      </c>
      <c r="CN290" s="39" t="n">
        <f aca="false">IF(CN$4=0,0,IF(COUNTIFS(実績!$W$6:$W$505,CN$3,実績!$AI$6:$AI$505,"&lt;="&amp;$A290,実績!$AJ$6:$AJ$505,"&gt;"&amp;$A290,実績!$AK$6:$AK$505,"○")&gt;0,1,0))</f>
        <v>0</v>
      </c>
      <c r="CO290" s="39" t="n">
        <f aca="false">IF(CO$4=0,0,IF(COUNTIFS(実績!$W$6:$W$505,CO$3,実績!$AI$6:$AI$505,"&lt;="&amp;$A290,実績!$AJ$6:$AJ$505,"&gt;"&amp;$A290,実績!$AK$6:$AK$505,"○")&gt;0,1,0))</f>
        <v>0</v>
      </c>
      <c r="CP290" s="39" t="n">
        <f aca="false">IF(CP$4=0,0,IF(COUNTIFS(実績!$W$6:$W$505,CP$3,実績!$AI$6:$AI$505,"&lt;="&amp;$A290,実績!$AJ$6:$AJ$505,"&gt;"&amp;$A290,実績!$AK$6:$AK$505,"○")&gt;0,1,0))</f>
        <v>0</v>
      </c>
      <c r="CQ290" s="39" t="n">
        <f aca="false">IF(CQ$4=0,0,IF(COUNTIFS(実績!$W$6:$W$505,CQ$3,実績!$AI$6:$AI$505,"&lt;="&amp;$A290,実績!$AJ$6:$AJ$505,"&gt;"&amp;$A290,実績!$AK$6:$AK$505,"○")&gt;0,1,0))</f>
        <v>0</v>
      </c>
      <c r="CR290" s="39" t="n">
        <f aca="false">IF(CR$4=0,0,IF(COUNTIFS(実績!$W$6:$W$505,CR$3,実績!$AI$6:$AI$505,"&lt;="&amp;$A290,実績!$AJ$6:$AJ$505,"&gt;"&amp;$A290,実績!$AK$6:$AK$505,"○")&gt;0,1,0))</f>
        <v>0</v>
      </c>
      <c r="CS290" s="39" t="n">
        <f aca="false">IF(CS$4=0,0,IF(COUNTIFS(実績!$W$6:$W$505,CS$3,実績!$AI$6:$AI$505,"&lt;="&amp;$A290,実績!$AJ$6:$AJ$505,"&gt;"&amp;$A290,実績!$AK$6:$AK$505,"○")&gt;0,1,0))</f>
        <v>0</v>
      </c>
      <c r="CT290" s="39" t="n">
        <f aca="false">IF(CT$4=0,0,IF(COUNTIFS(実績!$W$6:$W$505,CT$3,実績!$AI$6:$AI$505,"&lt;="&amp;$A290,実績!$AJ$6:$AJ$505,"&gt;"&amp;$A290,実績!$AK$6:$AK$505,"○")&gt;0,1,0))</f>
        <v>0</v>
      </c>
      <c r="CU290" s="39" t="n">
        <f aca="false">IF(CU$4=0,0,IF(COUNTIFS(実績!$W$6:$W$505,CU$3,実績!$AI$6:$AI$505,"&lt;="&amp;$A290,実績!$AJ$6:$AJ$505,"&gt;"&amp;$A290,実績!$AK$6:$AK$505,"○")&gt;0,1,0))</f>
        <v>0</v>
      </c>
      <c r="CV290" s="39" t="n">
        <f aca="false">IF(CV$4=0,0,IF(COUNTIFS(実績!$W$6:$W$505,CV$3,実績!$AI$6:$AI$505,"&lt;="&amp;$A290,実績!$AJ$6:$AJ$505,"&gt;"&amp;$A290,実績!$AK$6:$AK$505,"○")&gt;0,1,0))</f>
        <v>0</v>
      </c>
      <c r="CW290" s="39" t="n">
        <f aca="false">IF(CW$4=0,0,IF(COUNTIFS(実績!$W$6:$W$505,CW$3,実績!$AI$6:$AI$505,"&lt;="&amp;$A290,実績!$AJ$6:$AJ$505,"&gt;"&amp;$A290,実績!$AK$6:$AK$505,"○")&gt;0,1,0))</f>
        <v>0</v>
      </c>
      <c r="CX290" s="39" t="n">
        <f aca="false">IF(CX$4=0,0,IF(COUNTIFS(実績!$W$6:$W$505,CX$3,実績!$AI$6:$AI$505,"&lt;="&amp;$A290,実績!$AJ$6:$AJ$505,"&gt;"&amp;$A290,実績!$AK$6:$AK$505,"○")&gt;0,1,0))</f>
        <v>0</v>
      </c>
      <c r="CY290" s="39" t="n">
        <f aca="false">IF(CY$4=0,0,IF(COUNTIFS(実績!$W$6:$W$505,CY$3,実績!$AI$6:$AI$505,"&lt;="&amp;$A290,実績!$AJ$6:$AJ$505,"&gt;"&amp;$A290,実績!$AK$6:$AK$505,"○")&gt;0,1,0))</f>
        <v>0</v>
      </c>
      <c r="CZ290" s="39" t="n">
        <f aca="false">IF(CZ$4=0,0,IF(COUNTIFS(実績!$W$6:$W$505,CZ$3,実績!$AI$6:$AI$505,"&lt;="&amp;$A290,実績!$AJ$6:$AJ$505,"&gt;"&amp;$A290,実績!$AK$6:$AK$505,"○")&gt;0,1,0))</f>
        <v>0</v>
      </c>
      <c r="DA290" s="39" t="n">
        <f aca="false">IF(DA$4=0,0,IF(COUNTIFS(実績!$W$6:$W$505,DA$3,実績!$AI$6:$AI$505,"&lt;="&amp;$A290,実績!$AJ$6:$AJ$505,"&gt;"&amp;$A290,実績!$AK$6:$AK$505,"○")&gt;0,1,0))</f>
        <v>0</v>
      </c>
      <c r="DB290" s="39" t="n">
        <f aca="false">IF(DB$4=0,0,IF(COUNTIFS(実績!$W$6:$W$505,DB$3,実績!$AI$6:$AI$505,"&lt;="&amp;$A290,実績!$AJ$6:$AJ$505,"&gt;"&amp;$A290,実績!$AK$6:$AK$505,"○")&gt;0,1,0))</f>
        <v>0</v>
      </c>
      <c r="DC290" s="39" t="n">
        <f aca="false">IF(DC$4=0,0,IF(COUNTIFS(実績!$W$6:$W$505,DC$3,実績!$AI$6:$AI$505,"&lt;="&amp;$A290,実績!$AJ$6:$AJ$505,"&gt;"&amp;$A290,実績!$AK$6:$AK$505,"○")&gt;0,1,0))</f>
        <v>0</v>
      </c>
      <c r="DD290" s="39" t="n">
        <f aca="false">IF(DD$4=0,0,IF(COUNTIFS(実績!$W$6:$W$505,DD$3,実績!$AI$6:$AI$505,"&lt;="&amp;$A290,実績!$AJ$6:$AJ$505,"&gt;"&amp;$A290,実績!$AK$6:$AK$505,"○")&gt;0,1,0))</f>
        <v>0</v>
      </c>
      <c r="DE290" s="39" t="n">
        <f aca="false">IF(DE$4=0,0,IF(COUNTIFS(実績!$W$6:$W$505,DE$3,実績!$AI$6:$AI$505,"&lt;="&amp;$A290,実績!$AJ$6:$AJ$505,"&gt;"&amp;$A290,実績!$AK$6:$AK$505,"○")&gt;0,1,0))</f>
        <v>0</v>
      </c>
      <c r="DF290" s="39" t="n">
        <f aca="false">IF(DF$4=0,0,IF(COUNTIFS(実績!$W$6:$W$505,DF$3,実績!$AI$6:$AI$505,"&lt;="&amp;$A290,実績!$AJ$6:$AJ$505,"&gt;"&amp;$A290,実績!$AK$6:$AK$505,"○")&gt;0,1,0))</f>
        <v>0</v>
      </c>
      <c r="DG290" s="39" t="n">
        <f aca="false">IF(DG$4=0,0,IF(COUNTIFS(実績!$W$6:$W$505,DG$3,実績!$AI$6:$AI$505,"&lt;="&amp;$A290,実績!$AJ$6:$AJ$505,"&gt;"&amp;$A290,実績!$AK$6:$AK$505,"○")&gt;0,1,0))</f>
        <v>0</v>
      </c>
      <c r="DH290" s="39" t="n">
        <f aca="false">IF(DH$4=0,0,IF(COUNTIFS(実績!$W$6:$W$505,DH$3,実績!$AI$6:$AI$505,"&lt;="&amp;$A290,実績!$AJ$6:$AJ$505,"&gt;"&amp;$A290,実績!$AK$6:$AK$505,"○")&gt;0,1,0))</f>
        <v>0</v>
      </c>
      <c r="DI290" s="39" t="n">
        <f aca="false">IF(DI$4=0,0,IF(COUNTIFS(実績!$W$6:$W$505,DI$3,実績!$AI$6:$AI$505,"&lt;="&amp;$A290,実績!$AJ$6:$AJ$505,"&gt;"&amp;$A290,実績!$AK$6:$AK$505,"○")&gt;0,1,0))</f>
        <v>0</v>
      </c>
      <c r="DJ290" s="39" t="n">
        <f aca="false">IF(DJ$4=0,0,IF(COUNTIFS(実績!$W$6:$W$505,DJ$3,実績!$AI$6:$AI$505,"&lt;="&amp;$A290,実績!$AJ$6:$AJ$505,"&gt;"&amp;$A290,実績!$AK$6:$AK$505,"○")&gt;0,1,0))</f>
        <v>0</v>
      </c>
      <c r="DK290" s="39" t="n">
        <f aca="false">IF(DK$4=0,0,IF(COUNTIFS(実績!$W$6:$W$505,DK$3,実績!$AI$6:$AI$505,"&lt;="&amp;$A290,実績!$AJ$6:$AJ$505,"&gt;"&amp;$A290,実績!$AK$6:$AK$505,"○")&gt;0,1,0))</f>
        <v>0</v>
      </c>
      <c r="DL290" s="39" t="n">
        <f aca="false">IF(DL$4=0,0,IF(COUNTIFS(実績!$W$6:$W$505,DL$3,実績!$AI$6:$AI$505,"&lt;="&amp;$A290,実績!$AJ$6:$AJ$505,"&gt;"&amp;$A290,実績!$AK$6:$AK$505,"○")&gt;0,1,0))</f>
        <v>0</v>
      </c>
      <c r="DM290" s="39" t="n">
        <f aca="false">IF(DM$4=0,0,IF(COUNTIFS(実績!$W$6:$W$505,DM$3,実績!$AI$6:$AI$505,"&lt;="&amp;$A290,実績!$AJ$6:$AJ$505,"&gt;"&amp;$A290,実績!$AK$6:$AK$505,"○")&gt;0,1,0))</f>
        <v>0</v>
      </c>
      <c r="DN290" s="39" t="n">
        <f aca="false">IF(DN$4=0,0,IF(COUNTIFS(実績!$W$6:$W$505,DN$3,実績!$AI$6:$AI$505,"&lt;="&amp;$A290,実績!$AJ$6:$AJ$505,"&gt;"&amp;$A290,実績!$AK$6:$AK$505,"○")&gt;0,1,0))</f>
        <v>0</v>
      </c>
      <c r="DO290" s="39" t="n">
        <f aca="false">IF(DO$4=0,0,IF(COUNTIFS(実績!$W$6:$W$505,DO$3,実績!$AI$6:$AI$505,"&lt;="&amp;$A290,実績!$AJ$6:$AJ$505,"&gt;"&amp;$A290,実績!$AK$6:$AK$505,"○")&gt;0,1,0))</f>
        <v>0</v>
      </c>
      <c r="DP290" s="39" t="n">
        <f aca="false">IF(DP$4=0,0,IF(COUNTIFS(実績!$W$6:$W$505,DP$3,実績!$AI$6:$AI$505,"&lt;="&amp;$A290,実績!$AJ$6:$AJ$505,"&gt;"&amp;$A290,実績!$AK$6:$AK$505,"○")&gt;0,1,0))</f>
        <v>0</v>
      </c>
      <c r="DQ290" s="39" t="n">
        <f aca="false">IF(DQ$4=0,0,IF(COUNTIFS(実績!$W$6:$W$505,DQ$3,実績!$AI$6:$AI$505,"&lt;="&amp;$A290,実績!$AJ$6:$AJ$505,"&gt;"&amp;$A290,実績!$AK$6:$AK$505,"○")&gt;0,1,0))</f>
        <v>0</v>
      </c>
      <c r="DR290" s="39" t="n">
        <f aca="false">IF(DR$4=0,0,IF(COUNTIFS(実績!$W$6:$W$505,DR$3,実績!$AI$6:$AI$505,"&lt;="&amp;$A290,実績!$AJ$6:$AJ$505,"&gt;"&amp;$A290,実績!$AK$6:$AK$505,"○")&gt;0,1,0))</f>
        <v>0</v>
      </c>
      <c r="DS290" s="39" t="n">
        <f aca="false">SUM(C290:DR290)</f>
        <v>0</v>
      </c>
      <c r="DT290" s="39" t="n">
        <f aca="false">SUMPRODUCT((実績!$C$6:$C$505="○")*ISNUMBER(実績!$AM$6:$AM$505)*(実績!$AM$6:$AM$505&lt;=$A290)*(実績!$AN$6:$AN$505&gt;$A290))</f>
        <v>0</v>
      </c>
      <c r="DU290" s="39" t="n">
        <f aca="false">SUMIF($C$2:$DR$2,"製鉄曳船",C290:DR290)</f>
        <v>0</v>
      </c>
      <c r="DV290" s="39" t="n">
        <f aca="false">SUMIF($C$2:$DR$2,"西日本海運",C290:DR290)</f>
        <v>0</v>
      </c>
    </row>
    <row r="291" customFormat="false" ht="15" hidden="false" customHeight="false" outlineLevel="0" collapsed="false">
      <c r="A291" s="0" t="n">
        <v>1425</v>
      </c>
      <c r="B291" s="38" t="n">
        <f aca="false">A291/1440</f>
        <v>0.989583333333333</v>
      </c>
      <c r="C291" s="39" t="n">
        <f aca="false">IF(C$4=0,0,IF(COUNTIFS(実績!$W$6:$W$505,C$3,実績!$AI$6:$AI$505,"&lt;="&amp;$A291,実績!$AJ$6:$AJ$505,"&gt;"&amp;$A291,実績!$AK$6:$AK$505,"○")&gt;0,1,0))</f>
        <v>0</v>
      </c>
      <c r="D291" s="39" t="n">
        <f aca="false">IF(D$4=0,0,IF(COUNTIFS(実績!$W$6:$W$505,D$3,実績!$AI$6:$AI$505,"&lt;="&amp;$A291,実績!$AJ$6:$AJ$505,"&gt;"&amp;$A291,実績!$AK$6:$AK$505,"○")&gt;0,1,0))</f>
        <v>0</v>
      </c>
      <c r="E291" s="39" t="n">
        <f aca="false">IF(E$4=0,0,IF(COUNTIFS(実績!$W$6:$W$505,E$3,実績!$AI$6:$AI$505,"&lt;="&amp;$A291,実績!$AJ$6:$AJ$505,"&gt;"&amp;$A291,実績!$AK$6:$AK$505,"○")&gt;0,1,0))</f>
        <v>0</v>
      </c>
      <c r="F291" s="39" t="n">
        <f aca="false">IF(F$4=0,0,IF(COUNTIFS(実績!$W$6:$W$505,F$3,実績!$AI$6:$AI$505,"&lt;="&amp;$A291,実績!$AJ$6:$AJ$505,"&gt;"&amp;$A291,実績!$AK$6:$AK$505,"○")&gt;0,1,0))</f>
        <v>0</v>
      </c>
      <c r="G291" s="39" t="n">
        <f aca="false">IF(G$4=0,0,IF(COUNTIFS(実績!$W$6:$W$505,G$3,実績!$AI$6:$AI$505,"&lt;="&amp;$A291,実績!$AJ$6:$AJ$505,"&gt;"&amp;$A291,実績!$AK$6:$AK$505,"○")&gt;0,1,0))</f>
        <v>0</v>
      </c>
      <c r="H291" s="39" t="n">
        <f aca="false">IF(H$4=0,0,IF(COUNTIFS(実績!$W$6:$W$505,H$3,実績!$AI$6:$AI$505,"&lt;="&amp;$A291,実績!$AJ$6:$AJ$505,"&gt;"&amp;$A291,実績!$AK$6:$AK$505,"○")&gt;0,1,0))</f>
        <v>0</v>
      </c>
      <c r="I291" s="39" t="n">
        <f aca="false">IF(I$4=0,0,IF(COUNTIFS(実績!$W$6:$W$505,I$3,実績!$AI$6:$AI$505,"&lt;="&amp;$A291,実績!$AJ$6:$AJ$505,"&gt;"&amp;$A291,実績!$AK$6:$AK$505,"○")&gt;0,1,0))</f>
        <v>0</v>
      </c>
      <c r="J291" s="39" t="n">
        <f aca="false">IF(J$4=0,0,IF(COUNTIFS(実績!$W$6:$W$505,J$3,実績!$AI$6:$AI$505,"&lt;="&amp;$A291,実績!$AJ$6:$AJ$505,"&gt;"&amp;$A291,実績!$AK$6:$AK$505,"○")&gt;0,1,0))</f>
        <v>0</v>
      </c>
      <c r="K291" s="39" t="n">
        <f aca="false">IF(K$4=0,0,IF(COUNTIFS(実績!$W$6:$W$505,K$3,実績!$AI$6:$AI$505,"&lt;="&amp;$A291,実績!$AJ$6:$AJ$505,"&gt;"&amp;$A291,実績!$AK$6:$AK$505,"○")&gt;0,1,0))</f>
        <v>0</v>
      </c>
      <c r="L291" s="39" t="n">
        <f aca="false">IF(L$4=0,0,IF(COUNTIFS(実績!$W$6:$W$505,L$3,実績!$AI$6:$AI$505,"&lt;="&amp;$A291,実績!$AJ$6:$AJ$505,"&gt;"&amp;$A291,実績!$AK$6:$AK$505,"○")&gt;0,1,0))</f>
        <v>0</v>
      </c>
      <c r="M291" s="39" t="n">
        <f aca="false">IF(M$4=0,0,IF(COUNTIFS(実績!$W$6:$W$505,M$3,実績!$AI$6:$AI$505,"&lt;="&amp;$A291,実績!$AJ$6:$AJ$505,"&gt;"&amp;$A291,実績!$AK$6:$AK$505,"○")&gt;0,1,0))</f>
        <v>0</v>
      </c>
      <c r="N291" s="39" t="n">
        <f aca="false">IF(N$4=0,0,IF(COUNTIFS(実績!$W$6:$W$505,N$3,実績!$AI$6:$AI$505,"&lt;="&amp;$A291,実績!$AJ$6:$AJ$505,"&gt;"&amp;$A291,実績!$AK$6:$AK$505,"○")&gt;0,1,0))</f>
        <v>0</v>
      </c>
      <c r="O291" s="39" t="n">
        <f aca="false">IF(O$4=0,0,IF(COUNTIFS(実績!$W$6:$W$505,O$3,実績!$AI$6:$AI$505,"&lt;="&amp;$A291,実績!$AJ$6:$AJ$505,"&gt;"&amp;$A291,実績!$AK$6:$AK$505,"○")&gt;0,1,0))</f>
        <v>0</v>
      </c>
      <c r="P291" s="39" t="n">
        <f aca="false">IF(P$4=0,0,IF(COUNTIFS(実績!$W$6:$W$505,P$3,実績!$AI$6:$AI$505,"&lt;="&amp;$A291,実績!$AJ$6:$AJ$505,"&gt;"&amp;$A291,実績!$AK$6:$AK$505,"○")&gt;0,1,0))</f>
        <v>0</v>
      </c>
      <c r="Q291" s="39" t="n">
        <f aca="false">IF(Q$4=0,0,IF(COUNTIFS(実績!$W$6:$W$505,Q$3,実績!$AI$6:$AI$505,"&lt;="&amp;$A291,実績!$AJ$6:$AJ$505,"&gt;"&amp;$A291,実績!$AK$6:$AK$505,"○")&gt;0,1,0))</f>
        <v>0</v>
      </c>
      <c r="R291" s="39" t="n">
        <f aca="false">IF(R$4=0,0,IF(COUNTIFS(実績!$W$6:$W$505,R$3,実績!$AI$6:$AI$505,"&lt;="&amp;$A291,実績!$AJ$6:$AJ$505,"&gt;"&amp;$A291,実績!$AK$6:$AK$505,"○")&gt;0,1,0))</f>
        <v>0</v>
      </c>
      <c r="S291" s="39" t="n">
        <f aca="false">IF(S$4=0,0,IF(COUNTIFS(実績!$W$6:$W$505,S$3,実績!$AI$6:$AI$505,"&lt;="&amp;$A291,実績!$AJ$6:$AJ$505,"&gt;"&amp;$A291,実績!$AK$6:$AK$505,"○")&gt;0,1,0))</f>
        <v>0</v>
      </c>
      <c r="T291" s="39" t="n">
        <f aca="false">IF(T$4=0,0,IF(COUNTIFS(実績!$W$6:$W$505,T$3,実績!$AI$6:$AI$505,"&lt;="&amp;$A291,実績!$AJ$6:$AJ$505,"&gt;"&amp;$A291,実績!$AK$6:$AK$505,"○")&gt;0,1,0))</f>
        <v>0</v>
      </c>
      <c r="U291" s="39" t="n">
        <f aca="false">IF(U$4=0,0,IF(COUNTIFS(実績!$W$6:$W$505,U$3,実績!$AI$6:$AI$505,"&lt;="&amp;$A291,実績!$AJ$6:$AJ$505,"&gt;"&amp;$A291,実績!$AK$6:$AK$505,"○")&gt;0,1,0))</f>
        <v>0</v>
      </c>
      <c r="V291" s="39" t="n">
        <f aca="false">IF(V$4=0,0,IF(COUNTIFS(実績!$W$6:$W$505,V$3,実績!$AI$6:$AI$505,"&lt;="&amp;$A291,実績!$AJ$6:$AJ$505,"&gt;"&amp;$A291,実績!$AK$6:$AK$505,"○")&gt;0,1,0))</f>
        <v>0</v>
      </c>
      <c r="W291" s="39" t="n">
        <f aca="false">IF(W$4=0,0,IF(COUNTIFS(実績!$W$6:$W$505,W$3,実績!$AI$6:$AI$505,"&lt;="&amp;$A291,実績!$AJ$6:$AJ$505,"&gt;"&amp;$A291,実績!$AK$6:$AK$505,"○")&gt;0,1,0))</f>
        <v>0</v>
      </c>
      <c r="X291" s="39" t="n">
        <f aca="false">IF(X$4=0,0,IF(COUNTIFS(実績!$W$6:$W$505,X$3,実績!$AI$6:$AI$505,"&lt;="&amp;$A291,実績!$AJ$6:$AJ$505,"&gt;"&amp;$A291,実績!$AK$6:$AK$505,"○")&gt;0,1,0))</f>
        <v>0</v>
      </c>
      <c r="Y291" s="39" t="n">
        <f aca="false">IF(Y$4=0,0,IF(COUNTIFS(実績!$W$6:$W$505,Y$3,実績!$AI$6:$AI$505,"&lt;="&amp;$A291,実績!$AJ$6:$AJ$505,"&gt;"&amp;$A291,実績!$AK$6:$AK$505,"○")&gt;0,1,0))</f>
        <v>0</v>
      </c>
      <c r="Z291" s="39" t="n">
        <f aca="false">IF(Z$4=0,0,IF(COUNTIFS(実績!$W$6:$W$505,Z$3,実績!$AI$6:$AI$505,"&lt;="&amp;$A291,実績!$AJ$6:$AJ$505,"&gt;"&amp;$A291,実績!$AK$6:$AK$505,"○")&gt;0,1,0))</f>
        <v>0</v>
      </c>
      <c r="AA291" s="39" t="n">
        <f aca="false">IF(AA$4=0,0,IF(COUNTIFS(実績!$W$6:$W$505,AA$3,実績!$AI$6:$AI$505,"&lt;="&amp;$A291,実績!$AJ$6:$AJ$505,"&gt;"&amp;$A291,実績!$AK$6:$AK$505,"○")&gt;0,1,0))</f>
        <v>0</v>
      </c>
      <c r="AB291" s="39" t="n">
        <f aca="false">IF(AB$4=0,0,IF(COUNTIFS(実績!$W$6:$W$505,AB$3,実績!$AI$6:$AI$505,"&lt;="&amp;$A291,実績!$AJ$6:$AJ$505,"&gt;"&amp;$A291,実績!$AK$6:$AK$505,"○")&gt;0,1,0))</f>
        <v>0</v>
      </c>
      <c r="AC291" s="39" t="n">
        <f aca="false">IF(AC$4=0,0,IF(COUNTIFS(実績!$W$6:$W$505,AC$3,実績!$AI$6:$AI$505,"&lt;="&amp;$A291,実績!$AJ$6:$AJ$505,"&gt;"&amp;$A291,実績!$AK$6:$AK$505,"○")&gt;0,1,0))</f>
        <v>0</v>
      </c>
      <c r="AD291" s="39" t="n">
        <f aca="false">IF(AD$4=0,0,IF(COUNTIFS(実績!$W$6:$W$505,AD$3,実績!$AI$6:$AI$505,"&lt;="&amp;$A291,実績!$AJ$6:$AJ$505,"&gt;"&amp;$A291,実績!$AK$6:$AK$505,"○")&gt;0,1,0))</f>
        <v>0</v>
      </c>
      <c r="AE291" s="39" t="n">
        <f aca="false">IF(AE$4=0,0,IF(COUNTIFS(実績!$W$6:$W$505,AE$3,実績!$AI$6:$AI$505,"&lt;="&amp;$A291,実績!$AJ$6:$AJ$505,"&gt;"&amp;$A291,実績!$AK$6:$AK$505,"○")&gt;0,1,0))</f>
        <v>0</v>
      </c>
      <c r="AF291" s="39" t="n">
        <f aca="false">IF(AF$4=0,0,IF(COUNTIFS(実績!$W$6:$W$505,AF$3,実績!$AI$6:$AI$505,"&lt;="&amp;$A291,実績!$AJ$6:$AJ$505,"&gt;"&amp;$A291,実績!$AK$6:$AK$505,"○")&gt;0,1,0))</f>
        <v>0</v>
      </c>
      <c r="AG291" s="39" t="n">
        <f aca="false">IF(AG$4=0,0,IF(COUNTIFS(実績!$W$6:$W$505,AG$3,実績!$AI$6:$AI$505,"&lt;="&amp;$A291,実績!$AJ$6:$AJ$505,"&gt;"&amp;$A291,実績!$AK$6:$AK$505,"○")&gt;0,1,0))</f>
        <v>0</v>
      </c>
      <c r="AH291" s="39" t="n">
        <f aca="false">IF(AH$4=0,0,IF(COUNTIFS(実績!$W$6:$W$505,AH$3,実績!$AI$6:$AI$505,"&lt;="&amp;$A291,実績!$AJ$6:$AJ$505,"&gt;"&amp;$A291,実績!$AK$6:$AK$505,"○")&gt;0,1,0))</f>
        <v>0</v>
      </c>
      <c r="AI291" s="39" t="n">
        <f aca="false">IF(AI$4=0,0,IF(COUNTIFS(実績!$W$6:$W$505,AI$3,実績!$AI$6:$AI$505,"&lt;="&amp;$A291,実績!$AJ$6:$AJ$505,"&gt;"&amp;$A291,実績!$AK$6:$AK$505,"○")&gt;0,1,0))</f>
        <v>0</v>
      </c>
      <c r="AJ291" s="39" t="n">
        <f aca="false">IF(AJ$4=0,0,IF(COUNTIFS(実績!$W$6:$W$505,AJ$3,実績!$AI$6:$AI$505,"&lt;="&amp;$A291,実績!$AJ$6:$AJ$505,"&gt;"&amp;$A291,実績!$AK$6:$AK$505,"○")&gt;0,1,0))</f>
        <v>0</v>
      </c>
      <c r="AK291" s="39" t="n">
        <f aca="false">IF(AK$4=0,0,IF(COUNTIFS(実績!$W$6:$W$505,AK$3,実績!$AI$6:$AI$505,"&lt;="&amp;$A291,実績!$AJ$6:$AJ$505,"&gt;"&amp;$A291,実績!$AK$6:$AK$505,"○")&gt;0,1,0))</f>
        <v>0</v>
      </c>
      <c r="AL291" s="39" t="n">
        <f aca="false">IF(AL$4=0,0,IF(COUNTIFS(実績!$W$6:$W$505,AL$3,実績!$AI$6:$AI$505,"&lt;="&amp;$A291,実績!$AJ$6:$AJ$505,"&gt;"&amp;$A291,実績!$AK$6:$AK$505,"○")&gt;0,1,0))</f>
        <v>0</v>
      </c>
      <c r="AM291" s="39" t="n">
        <f aca="false">IF(AM$4=0,0,IF(COUNTIFS(実績!$W$6:$W$505,AM$3,実績!$AI$6:$AI$505,"&lt;="&amp;$A291,実績!$AJ$6:$AJ$505,"&gt;"&amp;$A291,実績!$AK$6:$AK$505,"○")&gt;0,1,0))</f>
        <v>0</v>
      </c>
      <c r="AN291" s="39" t="n">
        <f aca="false">IF(AN$4=0,0,IF(COUNTIFS(実績!$W$6:$W$505,AN$3,実績!$AI$6:$AI$505,"&lt;="&amp;$A291,実績!$AJ$6:$AJ$505,"&gt;"&amp;$A291,実績!$AK$6:$AK$505,"○")&gt;0,1,0))</f>
        <v>0</v>
      </c>
      <c r="AO291" s="39" t="n">
        <f aca="false">IF(AO$4=0,0,IF(COUNTIFS(実績!$W$6:$W$505,AO$3,実績!$AI$6:$AI$505,"&lt;="&amp;$A291,実績!$AJ$6:$AJ$505,"&gt;"&amp;$A291,実績!$AK$6:$AK$505,"○")&gt;0,1,0))</f>
        <v>0</v>
      </c>
      <c r="AP291" s="39" t="n">
        <f aca="false">IF(AP$4=0,0,IF(COUNTIFS(実績!$W$6:$W$505,AP$3,実績!$AI$6:$AI$505,"&lt;="&amp;$A291,実績!$AJ$6:$AJ$505,"&gt;"&amp;$A291,実績!$AK$6:$AK$505,"○")&gt;0,1,0))</f>
        <v>0</v>
      </c>
      <c r="AQ291" s="39" t="n">
        <f aca="false">IF(AQ$4=0,0,IF(COUNTIFS(実績!$W$6:$W$505,AQ$3,実績!$AI$6:$AI$505,"&lt;="&amp;$A291,実績!$AJ$6:$AJ$505,"&gt;"&amp;$A291,実績!$AK$6:$AK$505,"○")&gt;0,1,0))</f>
        <v>0</v>
      </c>
      <c r="AR291" s="39" t="n">
        <f aca="false">IF(AR$4=0,0,IF(COUNTIFS(実績!$W$6:$W$505,AR$3,実績!$AI$6:$AI$505,"&lt;="&amp;$A291,実績!$AJ$6:$AJ$505,"&gt;"&amp;$A291,実績!$AK$6:$AK$505,"○")&gt;0,1,0))</f>
        <v>0</v>
      </c>
      <c r="AS291" s="39" t="n">
        <f aca="false">IF(AS$4=0,0,IF(COUNTIFS(実績!$W$6:$W$505,AS$3,実績!$AI$6:$AI$505,"&lt;="&amp;$A291,実績!$AJ$6:$AJ$505,"&gt;"&amp;$A291,実績!$AK$6:$AK$505,"○")&gt;0,1,0))</f>
        <v>0</v>
      </c>
      <c r="AT291" s="39" t="n">
        <f aca="false">IF(AT$4=0,0,IF(COUNTIFS(実績!$W$6:$W$505,AT$3,実績!$AI$6:$AI$505,"&lt;="&amp;$A291,実績!$AJ$6:$AJ$505,"&gt;"&amp;$A291,実績!$AK$6:$AK$505,"○")&gt;0,1,0))</f>
        <v>0</v>
      </c>
      <c r="AU291" s="39" t="n">
        <f aca="false">IF(AU$4=0,0,IF(COUNTIFS(実績!$W$6:$W$505,AU$3,実績!$AI$6:$AI$505,"&lt;="&amp;$A291,実績!$AJ$6:$AJ$505,"&gt;"&amp;$A291,実績!$AK$6:$AK$505,"○")&gt;0,1,0))</f>
        <v>0</v>
      </c>
      <c r="AV291" s="39" t="n">
        <f aca="false">IF(AV$4=0,0,IF(COUNTIFS(実績!$W$6:$W$505,AV$3,実績!$AI$6:$AI$505,"&lt;="&amp;$A291,実績!$AJ$6:$AJ$505,"&gt;"&amp;$A291,実績!$AK$6:$AK$505,"○")&gt;0,1,0))</f>
        <v>0</v>
      </c>
      <c r="AW291" s="39" t="n">
        <f aca="false">IF(AW$4=0,0,IF(COUNTIFS(実績!$W$6:$W$505,AW$3,実績!$AI$6:$AI$505,"&lt;="&amp;$A291,実績!$AJ$6:$AJ$505,"&gt;"&amp;$A291,実績!$AK$6:$AK$505,"○")&gt;0,1,0))</f>
        <v>0</v>
      </c>
      <c r="AX291" s="39" t="n">
        <f aca="false">IF(AX$4=0,0,IF(COUNTIFS(実績!$W$6:$W$505,AX$3,実績!$AI$6:$AI$505,"&lt;="&amp;$A291,実績!$AJ$6:$AJ$505,"&gt;"&amp;$A291,実績!$AK$6:$AK$505,"○")&gt;0,1,0))</f>
        <v>0</v>
      </c>
      <c r="AY291" s="39" t="n">
        <f aca="false">IF(AY$4=0,0,IF(COUNTIFS(実績!$W$6:$W$505,AY$3,実績!$AI$6:$AI$505,"&lt;="&amp;$A291,実績!$AJ$6:$AJ$505,"&gt;"&amp;$A291,実績!$AK$6:$AK$505,"○")&gt;0,1,0))</f>
        <v>0</v>
      </c>
      <c r="AZ291" s="39" t="n">
        <f aca="false">IF(AZ$4=0,0,IF(COUNTIFS(実績!$W$6:$W$505,AZ$3,実績!$AI$6:$AI$505,"&lt;="&amp;$A291,実績!$AJ$6:$AJ$505,"&gt;"&amp;$A291,実績!$AK$6:$AK$505,"○")&gt;0,1,0))</f>
        <v>0</v>
      </c>
      <c r="BA291" s="39" t="n">
        <f aca="false">IF(BA$4=0,0,IF(COUNTIFS(実績!$W$6:$W$505,BA$3,実績!$AI$6:$AI$505,"&lt;="&amp;$A291,実績!$AJ$6:$AJ$505,"&gt;"&amp;$A291,実績!$AK$6:$AK$505,"○")&gt;0,1,0))</f>
        <v>0</v>
      </c>
      <c r="BB291" s="39" t="n">
        <f aca="false">IF(BB$4=0,0,IF(COUNTIFS(実績!$W$6:$W$505,BB$3,実績!$AI$6:$AI$505,"&lt;="&amp;$A291,実績!$AJ$6:$AJ$505,"&gt;"&amp;$A291,実績!$AK$6:$AK$505,"○")&gt;0,1,0))</f>
        <v>0</v>
      </c>
      <c r="BC291" s="39" t="n">
        <f aca="false">IF(BC$4=0,0,IF(COUNTIFS(実績!$W$6:$W$505,BC$3,実績!$AI$6:$AI$505,"&lt;="&amp;$A291,実績!$AJ$6:$AJ$505,"&gt;"&amp;$A291,実績!$AK$6:$AK$505,"○")&gt;0,1,0))</f>
        <v>0</v>
      </c>
      <c r="BD291" s="39" t="n">
        <f aca="false">IF(BD$4=0,0,IF(COUNTIFS(実績!$W$6:$W$505,BD$3,実績!$AI$6:$AI$505,"&lt;="&amp;$A291,実績!$AJ$6:$AJ$505,"&gt;"&amp;$A291,実績!$AK$6:$AK$505,"○")&gt;0,1,0))</f>
        <v>0</v>
      </c>
      <c r="BE291" s="39" t="n">
        <f aca="false">IF(BE$4=0,0,IF(COUNTIFS(実績!$W$6:$W$505,BE$3,実績!$AI$6:$AI$505,"&lt;="&amp;$A291,実績!$AJ$6:$AJ$505,"&gt;"&amp;$A291,実績!$AK$6:$AK$505,"○")&gt;0,1,0))</f>
        <v>0</v>
      </c>
      <c r="BF291" s="39" t="n">
        <f aca="false">IF(BF$4=0,0,IF(COUNTIFS(実績!$W$6:$W$505,BF$3,実績!$AI$6:$AI$505,"&lt;="&amp;$A291,実績!$AJ$6:$AJ$505,"&gt;"&amp;$A291,実績!$AK$6:$AK$505,"○")&gt;0,1,0))</f>
        <v>0</v>
      </c>
      <c r="BG291" s="39" t="n">
        <f aca="false">IF(BG$4=0,0,IF(COUNTIFS(実績!$W$6:$W$505,BG$3,実績!$AI$6:$AI$505,"&lt;="&amp;$A291,実績!$AJ$6:$AJ$505,"&gt;"&amp;$A291,実績!$AK$6:$AK$505,"○")&gt;0,1,0))</f>
        <v>0</v>
      </c>
      <c r="BH291" s="39" t="n">
        <f aca="false">IF(BH$4=0,0,IF(COUNTIFS(実績!$W$6:$W$505,BH$3,実績!$AI$6:$AI$505,"&lt;="&amp;$A291,実績!$AJ$6:$AJ$505,"&gt;"&amp;$A291,実績!$AK$6:$AK$505,"○")&gt;0,1,0))</f>
        <v>0</v>
      </c>
      <c r="BI291" s="39" t="n">
        <f aca="false">IF(BI$4=0,0,IF(COUNTIFS(実績!$W$6:$W$505,BI$3,実績!$AI$6:$AI$505,"&lt;="&amp;$A291,実績!$AJ$6:$AJ$505,"&gt;"&amp;$A291,実績!$AK$6:$AK$505,"○")&gt;0,1,0))</f>
        <v>0</v>
      </c>
      <c r="BJ291" s="39" t="n">
        <f aca="false">IF(BJ$4=0,0,IF(COUNTIFS(実績!$W$6:$W$505,BJ$3,実績!$AI$6:$AI$505,"&lt;="&amp;$A291,実績!$AJ$6:$AJ$505,"&gt;"&amp;$A291,実績!$AK$6:$AK$505,"○")&gt;0,1,0))</f>
        <v>0</v>
      </c>
      <c r="BK291" s="39" t="n">
        <f aca="false">IF(BK$4=0,0,IF(COUNTIFS(実績!$W$6:$W$505,BK$3,実績!$AI$6:$AI$505,"&lt;="&amp;$A291,実績!$AJ$6:$AJ$505,"&gt;"&amp;$A291,実績!$AK$6:$AK$505,"○")&gt;0,1,0))</f>
        <v>0</v>
      </c>
      <c r="BL291" s="39" t="n">
        <f aca="false">IF(BL$4=0,0,IF(COUNTIFS(実績!$W$6:$W$505,BL$3,実績!$AI$6:$AI$505,"&lt;="&amp;$A291,実績!$AJ$6:$AJ$505,"&gt;"&amp;$A291,実績!$AK$6:$AK$505,"○")&gt;0,1,0))</f>
        <v>0</v>
      </c>
      <c r="BM291" s="39" t="n">
        <f aca="false">IF(BM$4=0,0,IF(COUNTIFS(実績!$W$6:$W$505,BM$3,実績!$AI$6:$AI$505,"&lt;="&amp;$A291,実績!$AJ$6:$AJ$505,"&gt;"&amp;$A291,実績!$AK$6:$AK$505,"○")&gt;0,1,0))</f>
        <v>0</v>
      </c>
      <c r="BN291" s="39" t="n">
        <f aca="false">IF(BN$4=0,0,IF(COUNTIFS(実績!$W$6:$W$505,BN$3,実績!$AI$6:$AI$505,"&lt;="&amp;$A291,実績!$AJ$6:$AJ$505,"&gt;"&amp;$A291,実績!$AK$6:$AK$505,"○")&gt;0,1,0))</f>
        <v>0</v>
      </c>
      <c r="BO291" s="39" t="n">
        <f aca="false">IF(BO$4=0,0,IF(COUNTIFS(実績!$W$6:$W$505,BO$3,実績!$AI$6:$AI$505,"&lt;="&amp;$A291,実績!$AJ$6:$AJ$505,"&gt;"&amp;$A291,実績!$AK$6:$AK$505,"○")&gt;0,1,0))</f>
        <v>0</v>
      </c>
      <c r="BP291" s="39" t="n">
        <f aca="false">IF(BP$4=0,0,IF(COUNTIFS(実績!$W$6:$W$505,BP$3,実績!$AI$6:$AI$505,"&lt;="&amp;$A291,実績!$AJ$6:$AJ$505,"&gt;"&amp;$A291,実績!$AK$6:$AK$505,"○")&gt;0,1,0))</f>
        <v>0</v>
      </c>
      <c r="BQ291" s="39" t="n">
        <f aca="false">IF(BQ$4=0,0,IF(COUNTIFS(実績!$W$6:$W$505,BQ$3,実績!$AI$6:$AI$505,"&lt;="&amp;$A291,実績!$AJ$6:$AJ$505,"&gt;"&amp;$A291,実績!$AK$6:$AK$505,"○")&gt;0,1,0))</f>
        <v>0</v>
      </c>
      <c r="BR291" s="39" t="n">
        <f aca="false">IF(BR$4=0,0,IF(COUNTIFS(実績!$W$6:$W$505,BR$3,実績!$AI$6:$AI$505,"&lt;="&amp;$A291,実績!$AJ$6:$AJ$505,"&gt;"&amp;$A291,実績!$AK$6:$AK$505,"○")&gt;0,1,0))</f>
        <v>0</v>
      </c>
      <c r="BS291" s="39" t="n">
        <f aca="false">IF(BS$4=0,0,IF(COUNTIFS(実績!$W$6:$W$505,BS$3,実績!$AI$6:$AI$505,"&lt;="&amp;$A291,実績!$AJ$6:$AJ$505,"&gt;"&amp;$A291,実績!$AK$6:$AK$505,"○")&gt;0,1,0))</f>
        <v>0</v>
      </c>
      <c r="BT291" s="39" t="n">
        <f aca="false">IF(BT$4=0,0,IF(COUNTIFS(実績!$W$6:$W$505,BT$3,実績!$AI$6:$AI$505,"&lt;="&amp;$A291,実績!$AJ$6:$AJ$505,"&gt;"&amp;$A291,実績!$AK$6:$AK$505,"○")&gt;0,1,0))</f>
        <v>0</v>
      </c>
      <c r="BU291" s="39" t="n">
        <f aca="false">IF(BU$4=0,0,IF(COUNTIFS(実績!$W$6:$W$505,BU$3,実績!$AI$6:$AI$505,"&lt;="&amp;$A291,実績!$AJ$6:$AJ$505,"&gt;"&amp;$A291,実績!$AK$6:$AK$505,"○")&gt;0,1,0))</f>
        <v>0</v>
      </c>
      <c r="BV291" s="39" t="n">
        <f aca="false">IF(BV$4=0,0,IF(COUNTIFS(実績!$W$6:$W$505,BV$3,実績!$AI$6:$AI$505,"&lt;="&amp;$A291,実績!$AJ$6:$AJ$505,"&gt;"&amp;$A291,実績!$AK$6:$AK$505,"○")&gt;0,1,0))</f>
        <v>0</v>
      </c>
      <c r="BW291" s="39" t="n">
        <f aca="false">IF(BW$4=0,0,IF(COUNTIFS(実績!$W$6:$W$505,BW$3,実績!$AI$6:$AI$505,"&lt;="&amp;$A291,実績!$AJ$6:$AJ$505,"&gt;"&amp;$A291,実績!$AK$6:$AK$505,"○")&gt;0,1,0))</f>
        <v>0</v>
      </c>
      <c r="BX291" s="39" t="n">
        <f aca="false">IF(BX$4=0,0,IF(COUNTIFS(実績!$W$6:$W$505,BX$3,実績!$AI$6:$AI$505,"&lt;="&amp;$A291,実績!$AJ$6:$AJ$505,"&gt;"&amp;$A291,実績!$AK$6:$AK$505,"○")&gt;0,1,0))</f>
        <v>0</v>
      </c>
      <c r="BY291" s="39" t="n">
        <f aca="false">IF(BY$4=0,0,IF(COUNTIFS(実績!$W$6:$W$505,BY$3,実績!$AI$6:$AI$505,"&lt;="&amp;$A291,実績!$AJ$6:$AJ$505,"&gt;"&amp;$A291,実績!$AK$6:$AK$505,"○")&gt;0,1,0))</f>
        <v>0</v>
      </c>
      <c r="BZ291" s="39" t="n">
        <f aca="false">IF(BZ$4=0,0,IF(COUNTIFS(実績!$W$6:$W$505,BZ$3,実績!$AI$6:$AI$505,"&lt;="&amp;$A291,実績!$AJ$6:$AJ$505,"&gt;"&amp;$A291,実績!$AK$6:$AK$505,"○")&gt;0,1,0))</f>
        <v>0</v>
      </c>
      <c r="CA291" s="39" t="n">
        <f aca="false">IF(CA$4=0,0,IF(COUNTIFS(実績!$W$6:$W$505,CA$3,実績!$AI$6:$AI$505,"&lt;="&amp;$A291,実績!$AJ$6:$AJ$505,"&gt;"&amp;$A291,実績!$AK$6:$AK$505,"○")&gt;0,1,0))</f>
        <v>0</v>
      </c>
      <c r="CB291" s="39" t="n">
        <f aca="false">IF(CB$4=0,0,IF(COUNTIFS(実績!$W$6:$W$505,CB$3,実績!$AI$6:$AI$505,"&lt;="&amp;$A291,実績!$AJ$6:$AJ$505,"&gt;"&amp;$A291,実績!$AK$6:$AK$505,"○")&gt;0,1,0))</f>
        <v>0</v>
      </c>
      <c r="CC291" s="39" t="n">
        <f aca="false">IF(CC$4=0,0,IF(COUNTIFS(実績!$W$6:$W$505,CC$3,実績!$AI$6:$AI$505,"&lt;="&amp;$A291,実績!$AJ$6:$AJ$505,"&gt;"&amp;$A291,実績!$AK$6:$AK$505,"○")&gt;0,1,0))</f>
        <v>0</v>
      </c>
      <c r="CD291" s="39" t="n">
        <f aca="false">IF(CD$4=0,0,IF(COUNTIFS(実績!$W$6:$W$505,CD$3,実績!$AI$6:$AI$505,"&lt;="&amp;$A291,実績!$AJ$6:$AJ$505,"&gt;"&amp;$A291,実績!$AK$6:$AK$505,"○")&gt;0,1,0))</f>
        <v>0</v>
      </c>
      <c r="CE291" s="39" t="n">
        <f aca="false">IF(CE$4=0,0,IF(COUNTIFS(実績!$W$6:$W$505,CE$3,実績!$AI$6:$AI$505,"&lt;="&amp;$A291,実績!$AJ$6:$AJ$505,"&gt;"&amp;$A291,実績!$AK$6:$AK$505,"○")&gt;0,1,0))</f>
        <v>0</v>
      </c>
      <c r="CF291" s="39" t="n">
        <f aca="false">IF(CF$4=0,0,IF(COUNTIFS(実績!$W$6:$W$505,CF$3,実績!$AI$6:$AI$505,"&lt;="&amp;$A291,実績!$AJ$6:$AJ$505,"&gt;"&amp;$A291,実績!$AK$6:$AK$505,"○")&gt;0,1,0))</f>
        <v>0</v>
      </c>
      <c r="CG291" s="39" t="n">
        <f aca="false">IF(CG$4=0,0,IF(COUNTIFS(実績!$W$6:$W$505,CG$3,実績!$AI$6:$AI$505,"&lt;="&amp;$A291,実績!$AJ$6:$AJ$505,"&gt;"&amp;$A291,実績!$AK$6:$AK$505,"○")&gt;0,1,0))</f>
        <v>0</v>
      </c>
      <c r="CH291" s="39" t="n">
        <f aca="false">IF(CH$4=0,0,IF(COUNTIFS(実績!$W$6:$W$505,CH$3,実績!$AI$6:$AI$505,"&lt;="&amp;$A291,実績!$AJ$6:$AJ$505,"&gt;"&amp;$A291,実績!$AK$6:$AK$505,"○")&gt;0,1,0))</f>
        <v>0</v>
      </c>
      <c r="CI291" s="39" t="n">
        <f aca="false">IF(CI$4=0,0,IF(COUNTIFS(実績!$W$6:$W$505,CI$3,実績!$AI$6:$AI$505,"&lt;="&amp;$A291,実績!$AJ$6:$AJ$505,"&gt;"&amp;$A291,実績!$AK$6:$AK$505,"○")&gt;0,1,0))</f>
        <v>0</v>
      </c>
      <c r="CJ291" s="39" t="n">
        <f aca="false">IF(CJ$4=0,0,IF(COUNTIFS(実績!$W$6:$W$505,CJ$3,実績!$AI$6:$AI$505,"&lt;="&amp;$A291,実績!$AJ$6:$AJ$505,"&gt;"&amp;$A291,実績!$AK$6:$AK$505,"○")&gt;0,1,0))</f>
        <v>0</v>
      </c>
      <c r="CK291" s="39" t="n">
        <f aca="false">IF(CK$4=0,0,IF(COUNTIFS(実績!$W$6:$W$505,CK$3,実績!$AI$6:$AI$505,"&lt;="&amp;$A291,実績!$AJ$6:$AJ$505,"&gt;"&amp;$A291,実績!$AK$6:$AK$505,"○")&gt;0,1,0))</f>
        <v>0</v>
      </c>
      <c r="CL291" s="39" t="n">
        <f aca="false">IF(CL$4=0,0,IF(COUNTIFS(実績!$W$6:$W$505,CL$3,実績!$AI$6:$AI$505,"&lt;="&amp;$A291,実績!$AJ$6:$AJ$505,"&gt;"&amp;$A291,実績!$AK$6:$AK$505,"○")&gt;0,1,0))</f>
        <v>0</v>
      </c>
      <c r="CM291" s="39" t="n">
        <f aca="false">IF(CM$4=0,0,IF(COUNTIFS(実績!$W$6:$W$505,CM$3,実績!$AI$6:$AI$505,"&lt;="&amp;$A291,実績!$AJ$6:$AJ$505,"&gt;"&amp;$A291,実績!$AK$6:$AK$505,"○")&gt;0,1,0))</f>
        <v>0</v>
      </c>
      <c r="CN291" s="39" t="n">
        <f aca="false">IF(CN$4=0,0,IF(COUNTIFS(実績!$W$6:$W$505,CN$3,実績!$AI$6:$AI$505,"&lt;="&amp;$A291,実績!$AJ$6:$AJ$505,"&gt;"&amp;$A291,実績!$AK$6:$AK$505,"○")&gt;0,1,0))</f>
        <v>0</v>
      </c>
      <c r="CO291" s="39" t="n">
        <f aca="false">IF(CO$4=0,0,IF(COUNTIFS(実績!$W$6:$W$505,CO$3,実績!$AI$6:$AI$505,"&lt;="&amp;$A291,実績!$AJ$6:$AJ$505,"&gt;"&amp;$A291,実績!$AK$6:$AK$505,"○")&gt;0,1,0))</f>
        <v>0</v>
      </c>
      <c r="CP291" s="39" t="n">
        <f aca="false">IF(CP$4=0,0,IF(COUNTIFS(実績!$W$6:$W$505,CP$3,実績!$AI$6:$AI$505,"&lt;="&amp;$A291,実績!$AJ$6:$AJ$505,"&gt;"&amp;$A291,実績!$AK$6:$AK$505,"○")&gt;0,1,0))</f>
        <v>0</v>
      </c>
      <c r="CQ291" s="39" t="n">
        <f aca="false">IF(CQ$4=0,0,IF(COUNTIFS(実績!$W$6:$W$505,CQ$3,実績!$AI$6:$AI$505,"&lt;="&amp;$A291,実績!$AJ$6:$AJ$505,"&gt;"&amp;$A291,実績!$AK$6:$AK$505,"○")&gt;0,1,0))</f>
        <v>0</v>
      </c>
      <c r="CR291" s="39" t="n">
        <f aca="false">IF(CR$4=0,0,IF(COUNTIFS(実績!$W$6:$W$505,CR$3,実績!$AI$6:$AI$505,"&lt;="&amp;$A291,実績!$AJ$6:$AJ$505,"&gt;"&amp;$A291,実績!$AK$6:$AK$505,"○")&gt;0,1,0))</f>
        <v>0</v>
      </c>
      <c r="CS291" s="39" t="n">
        <f aca="false">IF(CS$4=0,0,IF(COUNTIFS(実績!$W$6:$W$505,CS$3,実績!$AI$6:$AI$505,"&lt;="&amp;$A291,実績!$AJ$6:$AJ$505,"&gt;"&amp;$A291,実績!$AK$6:$AK$505,"○")&gt;0,1,0))</f>
        <v>0</v>
      </c>
      <c r="CT291" s="39" t="n">
        <f aca="false">IF(CT$4=0,0,IF(COUNTIFS(実績!$W$6:$W$505,CT$3,実績!$AI$6:$AI$505,"&lt;="&amp;$A291,実績!$AJ$6:$AJ$505,"&gt;"&amp;$A291,実績!$AK$6:$AK$505,"○")&gt;0,1,0))</f>
        <v>0</v>
      </c>
      <c r="CU291" s="39" t="n">
        <f aca="false">IF(CU$4=0,0,IF(COUNTIFS(実績!$W$6:$W$505,CU$3,実績!$AI$6:$AI$505,"&lt;="&amp;$A291,実績!$AJ$6:$AJ$505,"&gt;"&amp;$A291,実績!$AK$6:$AK$505,"○")&gt;0,1,0))</f>
        <v>0</v>
      </c>
      <c r="CV291" s="39" t="n">
        <f aca="false">IF(CV$4=0,0,IF(COUNTIFS(実績!$W$6:$W$505,CV$3,実績!$AI$6:$AI$505,"&lt;="&amp;$A291,実績!$AJ$6:$AJ$505,"&gt;"&amp;$A291,実績!$AK$6:$AK$505,"○")&gt;0,1,0))</f>
        <v>0</v>
      </c>
      <c r="CW291" s="39" t="n">
        <f aca="false">IF(CW$4=0,0,IF(COUNTIFS(実績!$W$6:$W$505,CW$3,実績!$AI$6:$AI$505,"&lt;="&amp;$A291,実績!$AJ$6:$AJ$505,"&gt;"&amp;$A291,実績!$AK$6:$AK$505,"○")&gt;0,1,0))</f>
        <v>0</v>
      </c>
      <c r="CX291" s="39" t="n">
        <f aca="false">IF(CX$4=0,0,IF(COUNTIFS(実績!$W$6:$W$505,CX$3,実績!$AI$6:$AI$505,"&lt;="&amp;$A291,実績!$AJ$6:$AJ$505,"&gt;"&amp;$A291,実績!$AK$6:$AK$505,"○")&gt;0,1,0))</f>
        <v>0</v>
      </c>
      <c r="CY291" s="39" t="n">
        <f aca="false">IF(CY$4=0,0,IF(COUNTIFS(実績!$W$6:$W$505,CY$3,実績!$AI$6:$AI$505,"&lt;="&amp;$A291,実績!$AJ$6:$AJ$505,"&gt;"&amp;$A291,実績!$AK$6:$AK$505,"○")&gt;0,1,0))</f>
        <v>0</v>
      </c>
      <c r="CZ291" s="39" t="n">
        <f aca="false">IF(CZ$4=0,0,IF(COUNTIFS(実績!$W$6:$W$505,CZ$3,実績!$AI$6:$AI$505,"&lt;="&amp;$A291,実績!$AJ$6:$AJ$505,"&gt;"&amp;$A291,実績!$AK$6:$AK$505,"○")&gt;0,1,0))</f>
        <v>0</v>
      </c>
      <c r="DA291" s="39" t="n">
        <f aca="false">IF(DA$4=0,0,IF(COUNTIFS(実績!$W$6:$W$505,DA$3,実績!$AI$6:$AI$505,"&lt;="&amp;$A291,実績!$AJ$6:$AJ$505,"&gt;"&amp;$A291,実績!$AK$6:$AK$505,"○")&gt;0,1,0))</f>
        <v>0</v>
      </c>
      <c r="DB291" s="39" t="n">
        <f aca="false">IF(DB$4=0,0,IF(COUNTIFS(実績!$W$6:$W$505,DB$3,実績!$AI$6:$AI$505,"&lt;="&amp;$A291,実績!$AJ$6:$AJ$505,"&gt;"&amp;$A291,実績!$AK$6:$AK$505,"○")&gt;0,1,0))</f>
        <v>0</v>
      </c>
      <c r="DC291" s="39" t="n">
        <f aca="false">IF(DC$4=0,0,IF(COUNTIFS(実績!$W$6:$W$505,DC$3,実績!$AI$6:$AI$505,"&lt;="&amp;$A291,実績!$AJ$6:$AJ$505,"&gt;"&amp;$A291,実績!$AK$6:$AK$505,"○")&gt;0,1,0))</f>
        <v>0</v>
      </c>
      <c r="DD291" s="39" t="n">
        <f aca="false">IF(DD$4=0,0,IF(COUNTIFS(実績!$W$6:$W$505,DD$3,実績!$AI$6:$AI$505,"&lt;="&amp;$A291,実績!$AJ$6:$AJ$505,"&gt;"&amp;$A291,実績!$AK$6:$AK$505,"○")&gt;0,1,0))</f>
        <v>0</v>
      </c>
      <c r="DE291" s="39" t="n">
        <f aca="false">IF(DE$4=0,0,IF(COUNTIFS(実績!$W$6:$W$505,DE$3,実績!$AI$6:$AI$505,"&lt;="&amp;$A291,実績!$AJ$6:$AJ$505,"&gt;"&amp;$A291,実績!$AK$6:$AK$505,"○")&gt;0,1,0))</f>
        <v>0</v>
      </c>
      <c r="DF291" s="39" t="n">
        <f aca="false">IF(DF$4=0,0,IF(COUNTIFS(実績!$W$6:$W$505,DF$3,実績!$AI$6:$AI$505,"&lt;="&amp;$A291,実績!$AJ$6:$AJ$505,"&gt;"&amp;$A291,実績!$AK$6:$AK$505,"○")&gt;0,1,0))</f>
        <v>0</v>
      </c>
      <c r="DG291" s="39" t="n">
        <f aca="false">IF(DG$4=0,0,IF(COUNTIFS(実績!$W$6:$W$505,DG$3,実績!$AI$6:$AI$505,"&lt;="&amp;$A291,実績!$AJ$6:$AJ$505,"&gt;"&amp;$A291,実績!$AK$6:$AK$505,"○")&gt;0,1,0))</f>
        <v>0</v>
      </c>
      <c r="DH291" s="39" t="n">
        <f aca="false">IF(DH$4=0,0,IF(COUNTIFS(実績!$W$6:$W$505,DH$3,実績!$AI$6:$AI$505,"&lt;="&amp;$A291,実績!$AJ$6:$AJ$505,"&gt;"&amp;$A291,実績!$AK$6:$AK$505,"○")&gt;0,1,0))</f>
        <v>0</v>
      </c>
      <c r="DI291" s="39" t="n">
        <f aca="false">IF(DI$4=0,0,IF(COUNTIFS(実績!$W$6:$W$505,DI$3,実績!$AI$6:$AI$505,"&lt;="&amp;$A291,実績!$AJ$6:$AJ$505,"&gt;"&amp;$A291,実績!$AK$6:$AK$505,"○")&gt;0,1,0))</f>
        <v>0</v>
      </c>
      <c r="DJ291" s="39" t="n">
        <f aca="false">IF(DJ$4=0,0,IF(COUNTIFS(実績!$W$6:$W$505,DJ$3,実績!$AI$6:$AI$505,"&lt;="&amp;$A291,実績!$AJ$6:$AJ$505,"&gt;"&amp;$A291,実績!$AK$6:$AK$505,"○")&gt;0,1,0))</f>
        <v>0</v>
      </c>
      <c r="DK291" s="39" t="n">
        <f aca="false">IF(DK$4=0,0,IF(COUNTIFS(実績!$W$6:$W$505,DK$3,実績!$AI$6:$AI$505,"&lt;="&amp;$A291,実績!$AJ$6:$AJ$505,"&gt;"&amp;$A291,実績!$AK$6:$AK$505,"○")&gt;0,1,0))</f>
        <v>0</v>
      </c>
      <c r="DL291" s="39" t="n">
        <f aca="false">IF(DL$4=0,0,IF(COUNTIFS(実績!$W$6:$W$505,DL$3,実績!$AI$6:$AI$505,"&lt;="&amp;$A291,実績!$AJ$6:$AJ$505,"&gt;"&amp;$A291,実績!$AK$6:$AK$505,"○")&gt;0,1,0))</f>
        <v>0</v>
      </c>
      <c r="DM291" s="39" t="n">
        <f aca="false">IF(DM$4=0,0,IF(COUNTIFS(実績!$W$6:$W$505,DM$3,実績!$AI$6:$AI$505,"&lt;="&amp;$A291,実績!$AJ$6:$AJ$505,"&gt;"&amp;$A291,実績!$AK$6:$AK$505,"○")&gt;0,1,0))</f>
        <v>0</v>
      </c>
      <c r="DN291" s="39" t="n">
        <f aca="false">IF(DN$4=0,0,IF(COUNTIFS(実績!$W$6:$W$505,DN$3,実績!$AI$6:$AI$505,"&lt;="&amp;$A291,実績!$AJ$6:$AJ$505,"&gt;"&amp;$A291,実績!$AK$6:$AK$505,"○")&gt;0,1,0))</f>
        <v>0</v>
      </c>
      <c r="DO291" s="39" t="n">
        <f aca="false">IF(DO$4=0,0,IF(COUNTIFS(実績!$W$6:$W$505,DO$3,実績!$AI$6:$AI$505,"&lt;="&amp;$A291,実績!$AJ$6:$AJ$505,"&gt;"&amp;$A291,実績!$AK$6:$AK$505,"○")&gt;0,1,0))</f>
        <v>0</v>
      </c>
      <c r="DP291" s="39" t="n">
        <f aca="false">IF(DP$4=0,0,IF(COUNTIFS(実績!$W$6:$W$505,DP$3,実績!$AI$6:$AI$505,"&lt;="&amp;$A291,実績!$AJ$6:$AJ$505,"&gt;"&amp;$A291,実績!$AK$6:$AK$505,"○")&gt;0,1,0))</f>
        <v>0</v>
      </c>
      <c r="DQ291" s="39" t="n">
        <f aca="false">IF(DQ$4=0,0,IF(COUNTIFS(実績!$W$6:$W$505,DQ$3,実績!$AI$6:$AI$505,"&lt;="&amp;$A291,実績!$AJ$6:$AJ$505,"&gt;"&amp;$A291,実績!$AK$6:$AK$505,"○")&gt;0,1,0))</f>
        <v>0</v>
      </c>
      <c r="DR291" s="39" t="n">
        <f aca="false">IF(DR$4=0,0,IF(COUNTIFS(実績!$W$6:$W$505,DR$3,実績!$AI$6:$AI$505,"&lt;="&amp;$A291,実績!$AJ$6:$AJ$505,"&gt;"&amp;$A291,実績!$AK$6:$AK$505,"○")&gt;0,1,0))</f>
        <v>0</v>
      </c>
      <c r="DS291" s="39" t="n">
        <f aca="false">SUM(C291:DR291)</f>
        <v>0</v>
      </c>
      <c r="DT291" s="39" t="n">
        <f aca="false">SUMPRODUCT((実績!$C$6:$C$505="○")*ISNUMBER(実績!$AM$6:$AM$505)*(実績!$AM$6:$AM$505&lt;=$A291)*(実績!$AN$6:$AN$505&gt;$A291))</f>
        <v>0</v>
      </c>
      <c r="DU291" s="39" t="n">
        <f aca="false">SUMIF($C$2:$DR$2,"製鉄曳船",C291:DR291)</f>
        <v>0</v>
      </c>
      <c r="DV291" s="39" t="n">
        <f aca="false">SUMIF($C$2:$DR$2,"西日本海運",C291:DR291)</f>
        <v>0</v>
      </c>
    </row>
    <row r="292" customFormat="false" ht="15" hidden="false" customHeight="false" outlineLevel="0" collapsed="false">
      <c r="A292" s="0" t="n">
        <v>1430</v>
      </c>
      <c r="B292" s="38" t="n">
        <f aca="false">A292/1440</f>
        <v>0.993055555555556</v>
      </c>
      <c r="C292" s="39" t="n">
        <f aca="false">IF(C$4=0,0,IF(COUNTIFS(実績!$W$6:$W$505,C$3,実績!$AI$6:$AI$505,"&lt;="&amp;$A292,実績!$AJ$6:$AJ$505,"&gt;"&amp;$A292,実績!$AK$6:$AK$505,"○")&gt;0,1,0))</f>
        <v>0</v>
      </c>
      <c r="D292" s="39" t="n">
        <f aca="false">IF(D$4=0,0,IF(COUNTIFS(実績!$W$6:$W$505,D$3,実績!$AI$6:$AI$505,"&lt;="&amp;$A292,実績!$AJ$6:$AJ$505,"&gt;"&amp;$A292,実績!$AK$6:$AK$505,"○")&gt;0,1,0))</f>
        <v>0</v>
      </c>
      <c r="E292" s="39" t="n">
        <f aca="false">IF(E$4=0,0,IF(COUNTIFS(実績!$W$6:$W$505,E$3,実績!$AI$6:$AI$505,"&lt;="&amp;$A292,実績!$AJ$6:$AJ$505,"&gt;"&amp;$A292,実績!$AK$6:$AK$505,"○")&gt;0,1,0))</f>
        <v>0</v>
      </c>
      <c r="F292" s="39" t="n">
        <f aca="false">IF(F$4=0,0,IF(COUNTIFS(実績!$W$6:$W$505,F$3,実績!$AI$6:$AI$505,"&lt;="&amp;$A292,実績!$AJ$6:$AJ$505,"&gt;"&amp;$A292,実績!$AK$6:$AK$505,"○")&gt;0,1,0))</f>
        <v>0</v>
      </c>
      <c r="G292" s="39" t="n">
        <f aca="false">IF(G$4=0,0,IF(COUNTIFS(実績!$W$6:$W$505,G$3,実績!$AI$6:$AI$505,"&lt;="&amp;$A292,実績!$AJ$6:$AJ$505,"&gt;"&amp;$A292,実績!$AK$6:$AK$505,"○")&gt;0,1,0))</f>
        <v>0</v>
      </c>
      <c r="H292" s="39" t="n">
        <f aca="false">IF(H$4=0,0,IF(COUNTIFS(実績!$W$6:$W$505,H$3,実績!$AI$6:$AI$505,"&lt;="&amp;$A292,実績!$AJ$6:$AJ$505,"&gt;"&amp;$A292,実績!$AK$6:$AK$505,"○")&gt;0,1,0))</f>
        <v>0</v>
      </c>
      <c r="I292" s="39" t="n">
        <f aca="false">IF(I$4=0,0,IF(COUNTIFS(実績!$W$6:$W$505,I$3,実績!$AI$6:$AI$505,"&lt;="&amp;$A292,実績!$AJ$6:$AJ$505,"&gt;"&amp;$A292,実績!$AK$6:$AK$505,"○")&gt;0,1,0))</f>
        <v>0</v>
      </c>
      <c r="J292" s="39" t="n">
        <f aca="false">IF(J$4=0,0,IF(COUNTIFS(実績!$W$6:$W$505,J$3,実績!$AI$6:$AI$505,"&lt;="&amp;$A292,実績!$AJ$6:$AJ$505,"&gt;"&amp;$A292,実績!$AK$6:$AK$505,"○")&gt;0,1,0))</f>
        <v>0</v>
      </c>
      <c r="K292" s="39" t="n">
        <f aca="false">IF(K$4=0,0,IF(COUNTIFS(実績!$W$6:$W$505,K$3,実績!$AI$6:$AI$505,"&lt;="&amp;$A292,実績!$AJ$6:$AJ$505,"&gt;"&amp;$A292,実績!$AK$6:$AK$505,"○")&gt;0,1,0))</f>
        <v>0</v>
      </c>
      <c r="L292" s="39" t="n">
        <f aca="false">IF(L$4=0,0,IF(COUNTIFS(実績!$W$6:$W$505,L$3,実績!$AI$6:$AI$505,"&lt;="&amp;$A292,実績!$AJ$6:$AJ$505,"&gt;"&amp;$A292,実績!$AK$6:$AK$505,"○")&gt;0,1,0))</f>
        <v>0</v>
      </c>
      <c r="M292" s="39" t="n">
        <f aca="false">IF(M$4=0,0,IF(COUNTIFS(実績!$W$6:$W$505,M$3,実績!$AI$6:$AI$505,"&lt;="&amp;$A292,実績!$AJ$6:$AJ$505,"&gt;"&amp;$A292,実績!$AK$6:$AK$505,"○")&gt;0,1,0))</f>
        <v>0</v>
      </c>
      <c r="N292" s="39" t="n">
        <f aca="false">IF(N$4=0,0,IF(COUNTIFS(実績!$W$6:$W$505,N$3,実績!$AI$6:$AI$505,"&lt;="&amp;$A292,実績!$AJ$6:$AJ$505,"&gt;"&amp;$A292,実績!$AK$6:$AK$505,"○")&gt;0,1,0))</f>
        <v>0</v>
      </c>
      <c r="O292" s="39" t="n">
        <f aca="false">IF(O$4=0,0,IF(COUNTIFS(実績!$W$6:$W$505,O$3,実績!$AI$6:$AI$505,"&lt;="&amp;$A292,実績!$AJ$6:$AJ$505,"&gt;"&amp;$A292,実績!$AK$6:$AK$505,"○")&gt;0,1,0))</f>
        <v>0</v>
      </c>
      <c r="P292" s="39" t="n">
        <f aca="false">IF(P$4=0,0,IF(COUNTIFS(実績!$W$6:$W$505,P$3,実績!$AI$6:$AI$505,"&lt;="&amp;$A292,実績!$AJ$6:$AJ$505,"&gt;"&amp;$A292,実績!$AK$6:$AK$505,"○")&gt;0,1,0))</f>
        <v>0</v>
      </c>
      <c r="Q292" s="39" t="n">
        <f aca="false">IF(Q$4=0,0,IF(COUNTIFS(実績!$W$6:$W$505,Q$3,実績!$AI$6:$AI$505,"&lt;="&amp;$A292,実績!$AJ$6:$AJ$505,"&gt;"&amp;$A292,実績!$AK$6:$AK$505,"○")&gt;0,1,0))</f>
        <v>0</v>
      </c>
      <c r="R292" s="39" t="n">
        <f aca="false">IF(R$4=0,0,IF(COUNTIFS(実績!$W$6:$W$505,R$3,実績!$AI$6:$AI$505,"&lt;="&amp;$A292,実績!$AJ$6:$AJ$505,"&gt;"&amp;$A292,実績!$AK$6:$AK$505,"○")&gt;0,1,0))</f>
        <v>0</v>
      </c>
      <c r="S292" s="39" t="n">
        <f aca="false">IF(S$4=0,0,IF(COUNTIFS(実績!$W$6:$W$505,S$3,実績!$AI$6:$AI$505,"&lt;="&amp;$A292,実績!$AJ$6:$AJ$505,"&gt;"&amp;$A292,実績!$AK$6:$AK$505,"○")&gt;0,1,0))</f>
        <v>0</v>
      </c>
      <c r="T292" s="39" t="n">
        <f aca="false">IF(T$4=0,0,IF(COUNTIFS(実績!$W$6:$W$505,T$3,実績!$AI$6:$AI$505,"&lt;="&amp;$A292,実績!$AJ$6:$AJ$505,"&gt;"&amp;$A292,実績!$AK$6:$AK$505,"○")&gt;0,1,0))</f>
        <v>0</v>
      </c>
      <c r="U292" s="39" t="n">
        <f aca="false">IF(U$4=0,0,IF(COUNTIFS(実績!$W$6:$W$505,U$3,実績!$AI$6:$AI$505,"&lt;="&amp;$A292,実績!$AJ$6:$AJ$505,"&gt;"&amp;$A292,実績!$AK$6:$AK$505,"○")&gt;0,1,0))</f>
        <v>0</v>
      </c>
      <c r="V292" s="39" t="n">
        <f aca="false">IF(V$4=0,0,IF(COUNTIFS(実績!$W$6:$W$505,V$3,実績!$AI$6:$AI$505,"&lt;="&amp;$A292,実績!$AJ$6:$AJ$505,"&gt;"&amp;$A292,実績!$AK$6:$AK$505,"○")&gt;0,1,0))</f>
        <v>0</v>
      </c>
      <c r="W292" s="39" t="n">
        <f aca="false">IF(W$4=0,0,IF(COUNTIFS(実績!$W$6:$W$505,W$3,実績!$AI$6:$AI$505,"&lt;="&amp;$A292,実績!$AJ$6:$AJ$505,"&gt;"&amp;$A292,実績!$AK$6:$AK$505,"○")&gt;0,1,0))</f>
        <v>0</v>
      </c>
      <c r="X292" s="39" t="n">
        <f aca="false">IF(X$4=0,0,IF(COUNTIFS(実績!$W$6:$W$505,X$3,実績!$AI$6:$AI$505,"&lt;="&amp;$A292,実績!$AJ$6:$AJ$505,"&gt;"&amp;$A292,実績!$AK$6:$AK$505,"○")&gt;0,1,0))</f>
        <v>0</v>
      </c>
      <c r="Y292" s="39" t="n">
        <f aca="false">IF(Y$4=0,0,IF(COUNTIFS(実績!$W$6:$W$505,Y$3,実績!$AI$6:$AI$505,"&lt;="&amp;$A292,実績!$AJ$6:$AJ$505,"&gt;"&amp;$A292,実績!$AK$6:$AK$505,"○")&gt;0,1,0))</f>
        <v>0</v>
      </c>
      <c r="Z292" s="39" t="n">
        <f aca="false">IF(Z$4=0,0,IF(COUNTIFS(実績!$W$6:$W$505,Z$3,実績!$AI$6:$AI$505,"&lt;="&amp;$A292,実績!$AJ$6:$AJ$505,"&gt;"&amp;$A292,実績!$AK$6:$AK$505,"○")&gt;0,1,0))</f>
        <v>0</v>
      </c>
      <c r="AA292" s="39" t="n">
        <f aca="false">IF(AA$4=0,0,IF(COUNTIFS(実績!$W$6:$W$505,AA$3,実績!$AI$6:$AI$505,"&lt;="&amp;$A292,実績!$AJ$6:$AJ$505,"&gt;"&amp;$A292,実績!$AK$6:$AK$505,"○")&gt;0,1,0))</f>
        <v>0</v>
      </c>
      <c r="AB292" s="39" t="n">
        <f aca="false">IF(AB$4=0,0,IF(COUNTIFS(実績!$W$6:$W$505,AB$3,実績!$AI$6:$AI$505,"&lt;="&amp;$A292,実績!$AJ$6:$AJ$505,"&gt;"&amp;$A292,実績!$AK$6:$AK$505,"○")&gt;0,1,0))</f>
        <v>0</v>
      </c>
      <c r="AC292" s="39" t="n">
        <f aca="false">IF(AC$4=0,0,IF(COUNTIFS(実績!$W$6:$W$505,AC$3,実績!$AI$6:$AI$505,"&lt;="&amp;$A292,実績!$AJ$6:$AJ$505,"&gt;"&amp;$A292,実績!$AK$6:$AK$505,"○")&gt;0,1,0))</f>
        <v>0</v>
      </c>
      <c r="AD292" s="39" t="n">
        <f aca="false">IF(AD$4=0,0,IF(COUNTIFS(実績!$W$6:$W$505,AD$3,実績!$AI$6:$AI$505,"&lt;="&amp;$A292,実績!$AJ$6:$AJ$505,"&gt;"&amp;$A292,実績!$AK$6:$AK$505,"○")&gt;0,1,0))</f>
        <v>0</v>
      </c>
      <c r="AE292" s="39" t="n">
        <f aca="false">IF(AE$4=0,0,IF(COUNTIFS(実績!$W$6:$W$505,AE$3,実績!$AI$6:$AI$505,"&lt;="&amp;$A292,実績!$AJ$6:$AJ$505,"&gt;"&amp;$A292,実績!$AK$6:$AK$505,"○")&gt;0,1,0))</f>
        <v>0</v>
      </c>
      <c r="AF292" s="39" t="n">
        <f aca="false">IF(AF$4=0,0,IF(COUNTIFS(実績!$W$6:$W$505,AF$3,実績!$AI$6:$AI$505,"&lt;="&amp;$A292,実績!$AJ$6:$AJ$505,"&gt;"&amp;$A292,実績!$AK$6:$AK$505,"○")&gt;0,1,0))</f>
        <v>0</v>
      </c>
      <c r="AG292" s="39" t="n">
        <f aca="false">IF(AG$4=0,0,IF(COUNTIFS(実績!$W$6:$W$505,AG$3,実績!$AI$6:$AI$505,"&lt;="&amp;$A292,実績!$AJ$6:$AJ$505,"&gt;"&amp;$A292,実績!$AK$6:$AK$505,"○")&gt;0,1,0))</f>
        <v>0</v>
      </c>
      <c r="AH292" s="39" t="n">
        <f aca="false">IF(AH$4=0,0,IF(COUNTIFS(実績!$W$6:$W$505,AH$3,実績!$AI$6:$AI$505,"&lt;="&amp;$A292,実績!$AJ$6:$AJ$505,"&gt;"&amp;$A292,実績!$AK$6:$AK$505,"○")&gt;0,1,0))</f>
        <v>0</v>
      </c>
      <c r="AI292" s="39" t="n">
        <f aca="false">IF(AI$4=0,0,IF(COUNTIFS(実績!$W$6:$W$505,AI$3,実績!$AI$6:$AI$505,"&lt;="&amp;$A292,実績!$AJ$6:$AJ$505,"&gt;"&amp;$A292,実績!$AK$6:$AK$505,"○")&gt;0,1,0))</f>
        <v>0</v>
      </c>
      <c r="AJ292" s="39" t="n">
        <f aca="false">IF(AJ$4=0,0,IF(COUNTIFS(実績!$W$6:$W$505,AJ$3,実績!$AI$6:$AI$505,"&lt;="&amp;$A292,実績!$AJ$6:$AJ$505,"&gt;"&amp;$A292,実績!$AK$6:$AK$505,"○")&gt;0,1,0))</f>
        <v>0</v>
      </c>
      <c r="AK292" s="39" t="n">
        <f aca="false">IF(AK$4=0,0,IF(COUNTIFS(実績!$W$6:$W$505,AK$3,実績!$AI$6:$AI$505,"&lt;="&amp;$A292,実績!$AJ$6:$AJ$505,"&gt;"&amp;$A292,実績!$AK$6:$AK$505,"○")&gt;0,1,0))</f>
        <v>0</v>
      </c>
      <c r="AL292" s="39" t="n">
        <f aca="false">IF(AL$4=0,0,IF(COUNTIFS(実績!$W$6:$W$505,AL$3,実績!$AI$6:$AI$505,"&lt;="&amp;$A292,実績!$AJ$6:$AJ$505,"&gt;"&amp;$A292,実績!$AK$6:$AK$505,"○")&gt;0,1,0))</f>
        <v>0</v>
      </c>
      <c r="AM292" s="39" t="n">
        <f aca="false">IF(AM$4=0,0,IF(COUNTIFS(実績!$W$6:$W$505,AM$3,実績!$AI$6:$AI$505,"&lt;="&amp;$A292,実績!$AJ$6:$AJ$505,"&gt;"&amp;$A292,実績!$AK$6:$AK$505,"○")&gt;0,1,0))</f>
        <v>0</v>
      </c>
      <c r="AN292" s="39" t="n">
        <f aca="false">IF(AN$4=0,0,IF(COUNTIFS(実績!$W$6:$W$505,AN$3,実績!$AI$6:$AI$505,"&lt;="&amp;$A292,実績!$AJ$6:$AJ$505,"&gt;"&amp;$A292,実績!$AK$6:$AK$505,"○")&gt;0,1,0))</f>
        <v>0</v>
      </c>
      <c r="AO292" s="39" t="n">
        <f aca="false">IF(AO$4=0,0,IF(COUNTIFS(実績!$W$6:$W$505,AO$3,実績!$AI$6:$AI$505,"&lt;="&amp;$A292,実績!$AJ$6:$AJ$505,"&gt;"&amp;$A292,実績!$AK$6:$AK$505,"○")&gt;0,1,0))</f>
        <v>0</v>
      </c>
      <c r="AP292" s="39" t="n">
        <f aca="false">IF(AP$4=0,0,IF(COUNTIFS(実績!$W$6:$W$505,AP$3,実績!$AI$6:$AI$505,"&lt;="&amp;$A292,実績!$AJ$6:$AJ$505,"&gt;"&amp;$A292,実績!$AK$6:$AK$505,"○")&gt;0,1,0))</f>
        <v>0</v>
      </c>
      <c r="AQ292" s="39" t="n">
        <f aca="false">IF(AQ$4=0,0,IF(COUNTIFS(実績!$W$6:$W$505,AQ$3,実績!$AI$6:$AI$505,"&lt;="&amp;$A292,実績!$AJ$6:$AJ$505,"&gt;"&amp;$A292,実績!$AK$6:$AK$505,"○")&gt;0,1,0))</f>
        <v>0</v>
      </c>
      <c r="AR292" s="39" t="n">
        <f aca="false">IF(AR$4=0,0,IF(COUNTIFS(実績!$W$6:$W$505,AR$3,実績!$AI$6:$AI$505,"&lt;="&amp;$A292,実績!$AJ$6:$AJ$505,"&gt;"&amp;$A292,実績!$AK$6:$AK$505,"○")&gt;0,1,0))</f>
        <v>0</v>
      </c>
      <c r="AS292" s="39" t="n">
        <f aca="false">IF(AS$4=0,0,IF(COUNTIFS(実績!$W$6:$W$505,AS$3,実績!$AI$6:$AI$505,"&lt;="&amp;$A292,実績!$AJ$6:$AJ$505,"&gt;"&amp;$A292,実績!$AK$6:$AK$505,"○")&gt;0,1,0))</f>
        <v>0</v>
      </c>
      <c r="AT292" s="39" t="n">
        <f aca="false">IF(AT$4=0,0,IF(COUNTIFS(実績!$W$6:$W$505,AT$3,実績!$AI$6:$AI$505,"&lt;="&amp;$A292,実績!$AJ$6:$AJ$505,"&gt;"&amp;$A292,実績!$AK$6:$AK$505,"○")&gt;0,1,0))</f>
        <v>0</v>
      </c>
      <c r="AU292" s="39" t="n">
        <f aca="false">IF(AU$4=0,0,IF(COUNTIFS(実績!$W$6:$W$505,AU$3,実績!$AI$6:$AI$505,"&lt;="&amp;$A292,実績!$AJ$6:$AJ$505,"&gt;"&amp;$A292,実績!$AK$6:$AK$505,"○")&gt;0,1,0))</f>
        <v>0</v>
      </c>
      <c r="AV292" s="39" t="n">
        <f aca="false">IF(AV$4=0,0,IF(COUNTIFS(実績!$W$6:$W$505,AV$3,実績!$AI$6:$AI$505,"&lt;="&amp;$A292,実績!$AJ$6:$AJ$505,"&gt;"&amp;$A292,実績!$AK$6:$AK$505,"○")&gt;0,1,0))</f>
        <v>0</v>
      </c>
      <c r="AW292" s="39" t="n">
        <f aca="false">IF(AW$4=0,0,IF(COUNTIFS(実績!$W$6:$W$505,AW$3,実績!$AI$6:$AI$505,"&lt;="&amp;$A292,実績!$AJ$6:$AJ$505,"&gt;"&amp;$A292,実績!$AK$6:$AK$505,"○")&gt;0,1,0))</f>
        <v>0</v>
      </c>
      <c r="AX292" s="39" t="n">
        <f aca="false">IF(AX$4=0,0,IF(COUNTIFS(実績!$W$6:$W$505,AX$3,実績!$AI$6:$AI$505,"&lt;="&amp;$A292,実績!$AJ$6:$AJ$505,"&gt;"&amp;$A292,実績!$AK$6:$AK$505,"○")&gt;0,1,0))</f>
        <v>0</v>
      </c>
      <c r="AY292" s="39" t="n">
        <f aca="false">IF(AY$4=0,0,IF(COUNTIFS(実績!$W$6:$W$505,AY$3,実績!$AI$6:$AI$505,"&lt;="&amp;$A292,実績!$AJ$6:$AJ$505,"&gt;"&amp;$A292,実績!$AK$6:$AK$505,"○")&gt;0,1,0))</f>
        <v>0</v>
      </c>
      <c r="AZ292" s="39" t="n">
        <f aca="false">IF(AZ$4=0,0,IF(COUNTIFS(実績!$W$6:$W$505,AZ$3,実績!$AI$6:$AI$505,"&lt;="&amp;$A292,実績!$AJ$6:$AJ$505,"&gt;"&amp;$A292,実績!$AK$6:$AK$505,"○")&gt;0,1,0))</f>
        <v>0</v>
      </c>
      <c r="BA292" s="39" t="n">
        <f aca="false">IF(BA$4=0,0,IF(COUNTIFS(実績!$W$6:$W$505,BA$3,実績!$AI$6:$AI$505,"&lt;="&amp;$A292,実績!$AJ$6:$AJ$505,"&gt;"&amp;$A292,実績!$AK$6:$AK$505,"○")&gt;0,1,0))</f>
        <v>0</v>
      </c>
      <c r="BB292" s="39" t="n">
        <f aca="false">IF(BB$4=0,0,IF(COUNTIFS(実績!$W$6:$W$505,BB$3,実績!$AI$6:$AI$505,"&lt;="&amp;$A292,実績!$AJ$6:$AJ$505,"&gt;"&amp;$A292,実績!$AK$6:$AK$505,"○")&gt;0,1,0))</f>
        <v>0</v>
      </c>
      <c r="BC292" s="39" t="n">
        <f aca="false">IF(BC$4=0,0,IF(COUNTIFS(実績!$W$6:$W$505,BC$3,実績!$AI$6:$AI$505,"&lt;="&amp;$A292,実績!$AJ$6:$AJ$505,"&gt;"&amp;$A292,実績!$AK$6:$AK$505,"○")&gt;0,1,0))</f>
        <v>0</v>
      </c>
      <c r="BD292" s="39" t="n">
        <f aca="false">IF(BD$4=0,0,IF(COUNTIFS(実績!$W$6:$W$505,BD$3,実績!$AI$6:$AI$505,"&lt;="&amp;$A292,実績!$AJ$6:$AJ$505,"&gt;"&amp;$A292,実績!$AK$6:$AK$505,"○")&gt;0,1,0))</f>
        <v>0</v>
      </c>
      <c r="BE292" s="39" t="n">
        <f aca="false">IF(BE$4=0,0,IF(COUNTIFS(実績!$W$6:$W$505,BE$3,実績!$AI$6:$AI$505,"&lt;="&amp;$A292,実績!$AJ$6:$AJ$505,"&gt;"&amp;$A292,実績!$AK$6:$AK$505,"○")&gt;0,1,0))</f>
        <v>0</v>
      </c>
      <c r="BF292" s="39" t="n">
        <f aca="false">IF(BF$4=0,0,IF(COUNTIFS(実績!$W$6:$W$505,BF$3,実績!$AI$6:$AI$505,"&lt;="&amp;$A292,実績!$AJ$6:$AJ$505,"&gt;"&amp;$A292,実績!$AK$6:$AK$505,"○")&gt;0,1,0))</f>
        <v>0</v>
      </c>
      <c r="BG292" s="39" t="n">
        <f aca="false">IF(BG$4=0,0,IF(COUNTIFS(実績!$W$6:$W$505,BG$3,実績!$AI$6:$AI$505,"&lt;="&amp;$A292,実績!$AJ$6:$AJ$505,"&gt;"&amp;$A292,実績!$AK$6:$AK$505,"○")&gt;0,1,0))</f>
        <v>0</v>
      </c>
      <c r="BH292" s="39" t="n">
        <f aca="false">IF(BH$4=0,0,IF(COUNTIFS(実績!$W$6:$W$505,BH$3,実績!$AI$6:$AI$505,"&lt;="&amp;$A292,実績!$AJ$6:$AJ$505,"&gt;"&amp;$A292,実績!$AK$6:$AK$505,"○")&gt;0,1,0))</f>
        <v>0</v>
      </c>
      <c r="BI292" s="39" t="n">
        <f aca="false">IF(BI$4=0,0,IF(COUNTIFS(実績!$W$6:$W$505,BI$3,実績!$AI$6:$AI$505,"&lt;="&amp;$A292,実績!$AJ$6:$AJ$505,"&gt;"&amp;$A292,実績!$AK$6:$AK$505,"○")&gt;0,1,0))</f>
        <v>0</v>
      </c>
      <c r="BJ292" s="39" t="n">
        <f aca="false">IF(BJ$4=0,0,IF(COUNTIFS(実績!$W$6:$W$505,BJ$3,実績!$AI$6:$AI$505,"&lt;="&amp;$A292,実績!$AJ$6:$AJ$505,"&gt;"&amp;$A292,実績!$AK$6:$AK$505,"○")&gt;0,1,0))</f>
        <v>0</v>
      </c>
      <c r="BK292" s="39" t="n">
        <f aca="false">IF(BK$4=0,0,IF(COUNTIFS(実績!$W$6:$W$505,BK$3,実績!$AI$6:$AI$505,"&lt;="&amp;$A292,実績!$AJ$6:$AJ$505,"&gt;"&amp;$A292,実績!$AK$6:$AK$505,"○")&gt;0,1,0))</f>
        <v>0</v>
      </c>
      <c r="BL292" s="39" t="n">
        <f aca="false">IF(BL$4=0,0,IF(COUNTIFS(実績!$W$6:$W$505,BL$3,実績!$AI$6:$AI$505,"&lt;="&amp;$A292,実績!$AJ$6:$AJ$505,"&gt;"&amp;$A292,実績!$AK$6:$AK$505,"○")&gt;0,1,0))</f>
        <v>0</v>
      </c>
      <c r="BM292" s="39" t="n">
        <f aca="false">IF(BM$4=0,0,IF(COUNTIFS(実績!$W$6:$W$505,BM$3,実績!$AI$6:$AI$505,"&lt;="&amp;$A292,実績!$AJ$6:$AJ$505,"&gt;"&amp;$A292,実績!$AK$6:$AK$505,"○")&gt;0,1,0))</f>
        <v>0</v>
      </c>
      <c r="BN292" s="39" t="n">
        <f aca="false">IF(BN$4=0,0,IF(COUNTIFS(実績!$W$6:$W$505,BN$3,実績!$AI$6:$AI$505,"&lt;="&amp;$A292,実績!$AJ$6:$AJ$505,"&gt;"&amp;$A292,実績!$AK$6:$AK$505,"○")&gt;0,1,0))</f>
        <v>0</v>
      </c>
      <c r="BO292" s="39" t="n">
        <f aca="false">IF(BO$4=0,0,IF(COUNTIFS(実績!$W$6:$W$505,BO$3,実績!$AI$6:$AI$505,"&lt;="&amp;$A292,実績!$AJ$6:$AJ$505,"&gt;"&amp;$A292,実績!$AK$6:$AK$505,"○")&gt;0,1,0))</f>
        <v>0</v>
      </c>
      <c r="BP292" s="39" t="n">
        <f aca="false">IF(BP$4=0,0,IF(COUNTIFS(実績!$W$6:$W$505,BP$3,実績!$AI$6:$AI$505,"&lt;="&amp;$A292,実績!$AJ$6:$AJ$505,"&gt;"&amp;$A292,実績!$AK$6:$AK$505,"○")&gt;0,1,0))</f>
        <v>0</v>
      </c>
      <c r="BQ292" s="39" t="n">
        <f aca="false">IF(BQ$4=0,0,IF(COUNTIFS(実績!$W$6:$W$505,BQ$3,実績!$AI$6:$AI$505,"&lt;="&amp;$A292,実績!$AJ$6:$AJ$505,"&gt;"&amp;$A292,実績!$AK$6:$AK$505,"○")&gt;0,1,0))</f>
        <v>0</v>
      </c>
      <c r="BR292" s="39" t="n">
        <f aca="false">IF(BR$4=0,0,IF(COUNTIFS(実績!$W$6:$W$505,BR$3,実績!$AI$6:$AI$505,"&lt;="&amp;$A292,実績!$AJ$6:$AJ$505,"&gt;"&amp;$A292,実績!$AK$6:$AK$505,"○")&gt;0,1,0))</f>
        <v>0</v>
      </c>
      <c r="BS292" s="39" t="n">
        <f aca="false">IF(BS$4=0,0,IF(COUNTIFS(実績!$W$6:$W$505,BS$3,実績!$AI$6:$AI$505,"&lt;="&amp;$A292,実績!$AJ$6:$AJ$505,"&gt;"&amp;$A292,実績!$AK$6:$AK$505,"○")&gt;0,1,0))</f>
        <v>0</v>
      </c>
      <c r="BT292" s="39" t="n">
        <f aca="false">IF(BT$4=0,0,IF(COUNTIFS(実績!$W$6:$W$505,BT$3,実績!$AI$6:$AI$505,"&lt;="&amp;$A292,実績!$AJ$6:$AJ$505,"&gt;"&amp;$A292,実績!$AK$6:$AK$505,"○")&gt;0,1,0))</f>
        <v>0</v>
      </c>
      <c r="BU292" s="39" t="n">
        <f aca="false">IF(BU$4=0,0,IF(COUNTIFS(実績!$W$6:$W$505,BU$3,実績!$AI$6:$AI$505,"&lt;="&amp;$A292,実績!$AJ$6:$AJ$505,"&gt;"&amp;$A292,実績!$AK$6:$AK$505,"○")&gt;0,1,0))</f>
        <v>0</v>
      </c>
      <c r="BV292" s="39" t="n">
        <f aca="false">IF(BV$4=0,0,IF(COUNTIFS(実績!$W$6:$W$505,BV$3,実績!$AI$6:$AI$505,"&lt;="&amp;$A292,実績!$AJ$6:$AJ$505,"&gt;"&amp;$A292,実績!$AK$6:$AK$505,"○")&gt;0,1,0))</f>
        <v>0</v>
      </c>
      <c r="BW292" s="39" t="n">
        <f aca="false">IF(BW$4=0,0,IF(COUNTIFS(実績!$W$6:$W$505,BW$3,実績!$AI$6:$AI$505,"&lt;="&amp;$A292,実績!$AJ$6:$AJ$505,"&gt;"&amp;$A292,実績!$AK$6:$AK$505,"○")&gt;0,1,0))</f>
        <v>0</v>
      </c>
      <c r="BX292" s="39" t="n">
        <f aca="false">IF(BX$4=0,0,IF(COUNTIFS(実績!$W$6:$W$505,BX$3,実績!$AI$6:$AI$505,"&lt;="&amp;$A292,実績!$AJ$6:$AJ$505,"&gt;"&amp;$A292,実績!$AK$6:$AK$505,"○")&gt;0,1,0))</f>
        <v>0</v>
      </c>
      <c r="BY292" s="39" t="n">
        <f aca="false">IF(BY$4=0,0,IF(COUNTIFS(実績!$W$6:$W$505,BY$3,実績!$AI$6:$AI$505,"&lt;="&amp;$A292,実績!$AJ$6:$AJ$505,"&gt;"&amp;$A292,実績!$AK$6:$AK$505,"○")&gt;0,1,0))</f>
        <v>0</v>
      </c>
      <c r="BZ292" s="39" t="n">
        <f aca="false">IF(BZ$4=0,0,IF(COUNTIFS(実績!$W$6:$W$505,BZ$3,実績!$AI$6:$AI$505,"&lt;="&amp;$A292,実績!$AJ$6:$AJ$505,"&gt;"&amp;$A292,実績!$AK$6:$AK$505,"○")&gt;0,1,0))</f>
        <v>0</v>
      </c>
      <c r="CA292" s="39" t="n">
        <f aca="false">IF(CA$4=0,0,IF(COUNTIFS(実績!$W$6:$W$505,CA$3,実績!$AI$6:$AI$505,"&lt;="&amp;$A292,実績!$AJ$6:$AJ$505,"&gt;"&amp;$A292,実績!$AK$6:$AK$505,"○")&gt;0,1,0))</f>
        <v>0</v>
      </c>
      <c r="CB292" s="39" t="n">
        <f aca="false">IF(CB$4=0,0,IF(COUNTIFS(実績!$W$6:$W$505,CB$3,実績!$AI$6:$AI$505,"&lt;="&amp;$A292,実績!$AJ$6:$AJ$505,"&gt;"&amp;$A292,実績!$AK$6:$AK$505,"○")&gt;0,1,0))</f>
        <v>0</v>
      </c>
      <c r="CC292" s="39" t="n">
        <f aca="false">IF(CC$4=0,0,IF(COUNTIFS(実績!$W$6:$W$505,CC$3,実績!$AI$6:$AI$505,"&lt;="&amp;$A292,実績!$AJ$6:$AJ$505,"&gt;"&amp;$A292,実績!$AK$6:$AK$505,"○")&gt;0,1,0))</f>
        <v>0</v>
      </c>
      <c r="CD292" s="39" t="n">
        <f aca="false">IF(CD$4=0,0,IF(COUNTIFS(実績!$W$6:$W$505,CD$3,実績!$AI$6:$AI$505,"&lt;="&amp;$A292,実績!$AJ$6:$AJ$505,"&gt;"&amp;$A292,実績!$AK$6:$AK$505,"○")&gt;0,1,0))</f>
        <v>0</v>
      </c>
      <c r="CE292" s="39" t="n">
        <f aca="false">IF(CE$4=0,0,IF(COUNTIFS(実績!$W$6:$W$505,CE$3,実績!$AI$6:$AI$505,"&lt;="&amp;$A292,実績!$AJ$6:$AJ$505,"&gt;"&amp;$A292,実績!$AK$6:$AK$505,"○")&gt;0,1,0))</f>
        <v>0</v>
      </c>
      <c r="CF292" s="39" t="n">
        <f aca="false">IF(CF$4=0,0,IF(COUNTIFS(実績!$W$6:$W$505,CF$3,実績!$AI$6:$AI$505,"&lt;="&amp;$A292,実績!$AJ$6:$AJ$505,"&gt;"&amp;$A292,実績!$AK$6:$AK$505,"○")&gt;0,1,0))</f>
        <v>0</v>
      </c>
      <c r="CG292" s="39" t="n">
        <f aca="false">IF(CG$4=0,0,IF(COUNTIFS(実績!$W$6:$W$505,CG$3,実績!$AI$6:$AI$505,"&lt;="&amp;$A292,実績!$AJ$6:$AJ$505,"&gt;"&amp;$A292,実績!$AK$6:$AK$505,"○")&gt;0,1,0))</f>
        <v>0</v>
      </c>
      <c r="CH292" s="39" t="n">
        <f aca="false">IF(CH$4=0,0,IF(COUNTIFS(実績!$W$6:$W$505,CH$3,実績!$AI$6:$AI$505,"&lt;="&amp;$A292,実績!$AJ$6:$AJ$505,"&gt;"&amp;$A292,実績!$AK$6:$AK$505,"○")&gt;0,1,0))</f>
        <v>0</v>
      </c>
      <c r="CI292" s="39" t="n">
        <f aca="false">IF(CI$4=0,0,IF(COUNTIFS(実績!$W$6:$W$505,CI$3,実績!$AI$6:$AI$505,"&lt;="&amp;$A292,実績!$AJ$6:$AJ$505,"&gt;"&amp;$A292,実績!$AK$6:$AK$505,"○")&gt;0,1,0))</f>
        <v>0</v>
      </c>
      <c r="CJ292" s="39" t="n">
        <f aca="false">IF(CJ$4=0,0,IF(COUNTIFS(実績!$W$6:$W$505,CJ$3,実績!$AI$6:$AI$505,"&lt;="&amp;$A292,実績!$AJ$6:$AJ$505,"&gt;"&amp;$A292,実績!$AK$6:$AK$505,"○")&gt;0,1,0))</f>
        <v>0</v>
      </c>
      <c r="CK292" s="39" t="n">
        <f aca="false">IF(CK$4=0,0,IF(COUNTIFS(実績!$W$6:$W$505,CK$3,実績!$AI$6:$AI$505,"&lt;="&amp;$A292,実績!$AJ$6:$AJ$505,"&gt;"&amp;$A292,実績!$AK$6:$AK$505,"○")&gt;0,1,0))</f>
        <v>0</v>
      </c>
      <c r="CL292" s="39" t="n">
        <f aca="false">IF(CL$4=0,0,IF(COUNTIFS(実績!$W$6:$W$505,CL$3,実績!$AI$6:$AI$505,"&lt;="&amp;$A292,実績!$AJ$6:$AJ$505,"&gt;"&amp;$A292,実績!$AK$6:$AK$505,"○")&gt;0,1,0))</f>
        <v>0</v>
      </c>
      <c r="CM292" s="39" t="n">
        <f aca="false">IF(CM$4=0,0,IF(COUNTIFS(実績!$W$6:$W$505,CM$3,実績!$AI$6:$AI$505,"&lt;="&amp;$A292,実績!$AJ$6:$AJ$505,"&gt;"&amp;$A292,実績!$AK$6:$AK$505,"○")&gt;0,1,0))</f>
        <v>0</v>
      </c>
      <c r="CN292" s="39" t="n">
        <f aca="false">IF(CN$4=0,0,IF(COUNTIFS(実績!$W$6:$W$505,CN$3,実績!$AI$6:$AI$505,"&lt;="&amp;$A292,実績!$AJ$6:$AJ$505,"&gt;"&amp;$A292,実績!$AK$6:$AK$505,"○")&gt;0,1,0))</f>
        <v>0</v>
      </c>
      <c r="CO292" s="39" t="n">
        <f aca="false">IF(CO$4=0,0,IF(COUNTIFS(実績!$W$6:$W$505,CO$3,実績!$AI$6:$AI$505,"&lt;="&amp;$A292,実績!$AJ$6:$AJ$505,"&gt;"&amp;$A292,実績!$AK$6:$AK$505,"○")&gt;0,1,0))</f>
        <v>0</v>
      </c>
      <c r="CP292" s="39" t="n">
        <f aca="false">IF(CP$4=0,0,IF(COUNTIFS(実績!$W$6:$W$505,CP$3,実績!$AI$6:$AI$505,"&lt;="&amp;$A292,実績!$AJ$6:$AJ$505,"&gt;"&amp;$A292,実績!$AK$6:$AK$505,"○")&gt;0,1,0))</f>
        <v>0</v>
      </c>
      <c r="CQ292" s="39" t="n">
        <f aca="false">IF(CQ$4=0,0,IF(COUNTIFS(実績!$W$6:$W$505,CQ$3,実績!$AI$6:$AI$505,"&lt;="&amp;$A292,実績!$AJ$6:$AJ$505,"&gt;"&amp;$A292,実績!$AK$6:$AK$505,"○")&gt;0,1,0))</f>
        <v>0</v>
      </c>
      <c r="CR292" s="39" t="n">
        <f aca="false">IF(CR$4=0,0,IF(COUNTIFS(実績!$W$6:$W$505,CR$3,実績!$AI$6:$AI$505,"&lt;="&amp;$A292,実績!$AJ$6:$AJ$505,"&gt;"&amp;$A292,実績!$AK$6:$AK$505,"○")&gt;0,1,0))</f>
        <v>0</v>
      </c>
      <c r="CS292" s="39" t="n">
        <f aca="false">IF(CS$4=0,0,IF(COUNTIFS(実績!$W$6:$W$505,CS$3,実績!$AI$6:$AI$505,"&lt;="&amp;$A292,実績!$AJ$6:$AJ$505,"&gt;"&amp;$A292,実績!$AK$6:$AK$505,"○")&gt;0,1,0))</f>
        <v>0</v>
      </c>
      <c r="CT292" s="39" t="n">
        <f aca="false">IF(CT$4=0,0,IF(COUNTIFS(実績!$W$6:$W$505,CT$3,実績!$AI$6:$AI$505,"&lt;="&amp;$A292,実績!$AJ$6:$AJ$505,"&gt;"&amp;$A292,実績!$AK$6:$AK$505,"○")&gt;0,1,0))</f>
        <v>0</v>
      </c>
      <c r="CU292" s="39" t="n">
        <f aca="false">IF(CU$4=0,0,IF(COUNTIFS(実績!$W$6:$W$505,CU$3,実績!$AI$6:$AI$505,"&lt;="&amp;$A292,実績!$AJ$6:$AJ$505,"&gt;"&amp;$A292,実績!$AK$6:$AK$505,"○")&gt;0,1,0))</f>
        <v>0</v>
      </c>
      <c r="CV292" s="39" t="n">
        <f aca="false">IF(CV$4=0,0,IF(COUNTIFS(実績!$W$6:$W$505,CV$3,実績!$AI$6:$AI$505,"&lt;="&amp;$A292,実績!$AJ$6:$AJ$505,"&gt;"&amp;$A292,実績!$AK$6:$AK$505,"○")&gt;0,1,0))</f>
        <v>0</v>
      </c>
      <c r="CW292" s="39" t="n">
        <f aca="false">IF(CW$4=0,0,IF(COUNTIFS(実績!$W$6:$W$505,CW$3,実績!$AI$6:$AI$505,"&lt;="&amp;$A292,実績!$AJ$6:$AJ$505,"&gt;"&amp;$A292,実績!$AK$6:$AK$505,"○")&gt;0,1,0))</f>
        <v>0</v>
      </c>
      <c r="CX292" s="39" t="n">
        <f aca="false">IF(CX$4=0,0,IF(COUNTIFS(実績!$W$6:$W$505,CX$3,実績!$AI$6:$AI$505,"&lt;="&amp;$A292,実績!$AJ$6:$AJ$505,"&gt;"&amp;$A292,実績!$AK$6:$AK$505,"○")&gt;0,1,0))</f>
        <v>0</v>
      </c>
      <c r="CY292" s="39" t="n">
        <f aca="false">IF(CY$4=0,0,IF(COUNTIFS(実績!$W$6:$W$505,CY$3,実績!$AI$6:$AI$505,"&lt;="&amp;$A292,実績!$AJ$6:$AJ$505,"&gt;"&amp;$A292,実績!$AK$6:$AK$505,"○")&gt;0,1,0))</f>
        <v>0</v>
      </c>
      <c r="CZ292" s="39" t="n">
        <f aca="false">IF(CZ$4=0,0,IF(COUNTIFS(実績!$W$6:$W$505,CZ$3,実績!$AI$6:$AI$505,"&lt;="&amp;$A292,実績!$AJ$6:$AJ$505,"&gt;"&amp;$A292,実績!$AK$6:$AK$505,"○")&gt;0,1,0))</f>
        <v>0</v>
      </c>
      <c r="DA292" s="39" t="n">
        <f aca="false">IF(DA$4=0,0,IF(COUNTIFS(実績!$W$6:$W$505,DA$3,実績!$AI$6:$AI$505,"&lt;="&amp;$A292,実績!$AJ$6:$AJ$505,"&gt;"&amp;$A292,実績!$AK$6:$AK$505,"○")&gt;0,1,0))</f>
        <v>0</v>
      </c>
      <c r="DB292" s="39" t="n">
        <f aca="false">IF(DB$4=0,0,IF(COUNTIFS(実績!$W$6:$W$505,DB$3,実績!$AI$6:$AI$505,"&lt;="&amp;$A292,実績!$AJ$6:$AJ$505,"&gt;"&amp;$A292,実績!$AK$6:$AK$505,"○")&gt;0,1,0))</f>
        <v>0</v>
      </c>
      <c r="DC292" s="39" t="n">
        <f aca="false">IF(DC$4=0,0,IF(COUNTIFS(実績!$W$6:$W$505,DC$3,実績!$AI$6:$AI$505,"&lt;="&amp;$A292,実績!$AJ$6:$AJ$505,"&gt;"&amp;$A292,実績!$AK$6:$AK$505,"○")&gt;0,1,0))</f>
        <v>0</v>
      </c>
      <c r="DD292" s="39" t="n">
        <f aca="false">IF(DD$4=0,0,IF(COUNTIFS(実績!$W$6:$W$505,DD$3,実績!$AI$6:$AI$505,"&lt;="&amp;$A292,実績!$AJ$6:$AJ$505,"&gt;"&amp;$A292,実績!$AK$6:$AK$505,"○")&gt;0,1,0))</f>
        <v>0</v>
      </c>
      <c r="DE292" s="39" t="n">
        <f aca="false">IF(DE$4=0,0,IF(COUNTIFS(実績!$W$6:$W$505,DE$3,実績!$AI$6:$AI$505,"&lt;="&amp;$A292,実績!$AJ$6:$AJ$505,"&gt;"&amp;$A292,実績!$AK$6:$AK$505,"○")&gt;0,1,0))</f>
        <v>0</v>
      </c>
      <c r="DF292" s="39" t="n">
        <f aca="false">IF(DF$4=0,0,IF(COUNTIFS(実績!$W$6:$W$505,DF$3,実績!$AI$6:$AI$505,"&lt;="&amp;$A292,実績!$AJ$6:$AJ$505,"&gt;"&amp;$A292,実績!$AK$6:$AK$505,"○")&gt;0,1,0))</f>
        <v>0</v>
      </c>
      <c r="DG292" s="39" t="n">
        <f aca="false">IF(DG$4=0,0,IF(COUNTIFS(実績!$W$6:$W$505,DG$3,実績!$AI$6:$AI$505,"&lt;="&amp;$A292,実績!$AJ$6:$AJ$505,"&gt;"&amp;$A292,実績!$AK$6:$AK$505,"○")&gt;0,1,0))</f>
        <v>0</v>
      </c>
      <c r="DH292" s="39" t="n">
        <f aca="false">IF(DH$4=0,0,IF(COUNTIFS(実績!$W$6:$W$505,DH$3,実績!$AI$6:$AI$505,"&lt;="&amp;$A292,実績!$AJ$6:$AJ$505,"&gt;"&amp;$A292,実績!$AK$6:$AK$505,"○")&gt;0,1,0))</f>
        <v>0</v>
      </c>
      <c r="DI292" s="39" t="n">
        <f aca="false">IF(DI$4=0,0,IF(COUNTIFS(実績!$W$6:$W$505,DI$3,実績!$AI$6:$AI$505,"&lt;="&amp;$A292,実績!$AJ$6:$AJ$505,"&gt;"&amp;$A292,実績!$AK$6:$AK$505,"○")&gt;0,1,0))</f>
        <v>0</v>
      </c>
      <c r="DJ292" s="39" t="n">
        <f aca="false">IF(DJ$4=0,0,IF(COUNTIFS(実績!$W$6:$W$505,DJ$3,実績!$AI$6:$AI$505,"&lt;="&amp;$A292,実績!$AJ$6:$AJ$505,"&gt;"&amp;$A292,実績!$AK$6:$AK$505,"○")&gt;0,1,0))</f>
        <v>0</v>
      </c>
      <c r="DK292" s="39" t="n">
        <f aca="false">IF(DK$4=0,0,IF(COUNTIFS(実績!$W$6:$W$505,DK$3,実績!$AI$6:$AI$505,"&lt;="&amp;$A292,実績!$AJ$6:$AJ$505,"&gt;"&amp;$A292,実績!$AK$6:$AK$505,"○")&gt;0,1,0))</f>
        <v>0</v>
      </c>
      <c r="DL292" s="39" t="n">
        <f aca="false">IF(DL$4=0,0,IF(COUNTIFS(実績!$W$6:$W$505,DL$3,実績!$AI$6:$AI$505,"&lt;="&amp;$A292,実績!$AJ$6:$AJ$505,"&gt;"&amp;$A292,実績!$AK$6:$AK$505,"○")&gt;0,1,0))</f>
        <v>0</v>
      </c>
      <c r="DM292" s="39" t="n">
        <f aca="false">IF(DM$4=0,0,IF(COUNTIFS(実績!$W$6:$W$505,DM$3,実績!$AI$6:$AI$505,"&lt;="&amp;$A292,実績!$AJ$6:$AJ$505,"&gt;"&amp;$A292,実績!$AK$6:$AK$505,"○")&gt;0,1,0))</f>
        <v>0</v>
      </c>
      <c r="DN292" s="39" t="n">
        <f aca="false">IF(DN$4=0,0,IF(COUNTIFS(実績!$W$6:$W$505,DN$3,実績!$AI$6:$AI$505,"&lt;="&amp;$A292,実績!$AJ$6:$AJ$505,"&gt;"&amp;$A292,実績!$AK$6:$AK$505,"○")&gt;0,1,0))</f>
        <v>0</v>
      </c>
      <c r="DO292" s="39" t="n">
        <f aca="false">IF(DO$4=0,0,IF(COUNTIFS(実績!$W$6:$W$505,DO$3,実績!$AI$6:$AI$505,"&lt;="&amp;$A292,実績!$AJ$6:$AJ$505,"&gt;"&amp;$A292,実績!$AK$6:$AK$505,"○")&gt;0,1,0))</f>
        <v>0</v>
      </c>
      <c r="DP292" s="39" t="n">
        <f aca="false">IF(DP$4=0,0,IF(COUNTIFS(実績!$W$6:$W$505,DP$3,実績!$AI$6:$AI$505,"&lt;="&amp;$A292,実績!$AJ$6:$AJ$505,"&gt;"&amp;$A292,実績!$AK$6:$AK$505,"○")&gt;0,1,0))</f>
        <v>0</v>
      </c>
      <c r="DQ292" s="39" t="n">
        <f aca="false">IF(DQ$4=0,0,IF(COUNTIFS(実績!$W$6:$W$505,DQ$3,実績!$AI$6:$AI$505,"&lt;="&amp;$A292,実績!$AJ$6:$AJ$505,"&gt;"&amp;$A292,実績!$AK$6:$AK$505,"○")&gt;0,1,0))</f>
        <v>0</v>
      </c>
      <c r="DR292" s="39" t="n">
        <f aca="false">IF(DR$4=0,0,IF(COUNTIFS(実績!$W$6:$W$505,DR$3,実績!$AI$6:$AI$505,"&lt;="&amp;$A292,実績!$AJ$6:$AJ$505,"&gt;"&amp;$A292,実績!$AK$6:$AK$505,"○")&gt;0,1,0))</f>
        <v>0</v>
      </c>
      <c r="DS292" s="39" t="n">
        <f aca="false">SUM(C292:DR292)</f>
        <v>0</v>
      </c>
      <c r="DT292" s="39" t="n">
        <f aca="false">SUMPRODUCT((実績!$C$6:$C$505="○")*ISNUMBER(実績!$AM$6:$AM$505)*(実績!$AM$6:$AM$505&lt;=$A292)*(実績!$AN$6:$AN$505&gt;$A292))</f>
        <v>0</v>
      </c>
      <c r="DU292" s="39" t="n">
        <f aca="false">SUMIF($C$2:$DR$2,"製鉄曳船",C292:DR292)</f>
        <v>0</v>
      </c>
      <c r="DV292" s="39" t="n">
        <f aca="false">SUMIF($C$2:$DR$2,"西日本海運",C292:DR292)</f>
        <v>0</v>
      </c>
    </row>
    <row r="293" customFormat="false" ht="15" hidden="false" customHeight="false" outlineLevel="0" collapsed="false">
      <c r="A293" s="0" t="n">
        <v>1435</v>
      </c>
      <c r="B293" s="38" t="n">
        <f aca="false">A293/1440</f>
        <v>0.996527777777778</v>
      </c>
      <c r="C293" s="39" t="n">
        <f aca="false">IF(C$4=0,0,IF(COUNTIFS(実績!$W$6:$W$505,C$3,実績!$AI$6:$AI$505,"&lt;="&amp;$A293,実績!$AJ$6:$AJ$505,"&gt;"&amp;$A293,実績!$AK$6:$AK$505,"○")&gt;0,1,0))</f>
        <v>0</v>
      </c>
      <c r="D293" s="39" t="n">
        <f aca="false">IF(D$4=0,0,IF(COUNTIFS(実績!$W$6:$W$505,D$3,実績!$AI$6:$AI$505,"&lt;="&amp;$A293,実績!$AJ$6:$AJ$505,"&gt;"&amp;$A293,実績!$AK$6:$AK$505,"○")&gt;0,1,0))</f>
        <v>0</v>
      </c>
      <c r="E293" s="39" t="n">
        <f aca="false">IF(E$4=0,0,IF(COUNTIFS(実績!$W$6:$W$505,E$3,実績!$AI$6:$AI$505,"&lt;="&amp;$A293,実績!$AJ$6:$AJ$505,"&gt;"&amp;$A293,実績!$AK$6:$AK$505,"○")&gt;0,1,0))</f>
        <v>0</v>
      </c>
      <c r="F293" s="39" t="n">
        <f aca="false">IF(F$4=0,0,IF(COUNTIFS(実績!$W$6:$W$505,F$3,実績!$AI$6:$AI$505,"&lt;="&amp;$A293,実績!$AJ$6:$AJ$505,"&gt;"&amp;$A293,実績!$AK$6:$AK$505,"○")&gt;0,1,0))</f>
        <v>0</v>
      </c>
      <c r="G293" s="39" t="n">
        <f aca="false">IF(G$4=0,0,IF(COUNTIFS(実績!$W$6:$W$505,G$3,実績!$AI$6:$AI$505,"&lt;="&amp;$A293,実績!$AJ$6:$AJ$505,"&gt;"&amp;$A293,実績!$AK$6:$AK$505,"○")&gt;0,1,0))</f>
        <v>0</v>
      </c>
      <c r="H293" s="39" t="n">
        <f aca="false">IF(H$4=0,0,IF(COUNTIFS(実績!$W$6:$W$505,H$3,実績!$AI$6:$AI$505,"&lt;="&amp;$A293,実績!$AJ$6:$AJ$505,"&gt;"&amp;$A293,実績!$AK$6:$AK$505,"○")&gt;0,1,0))</f>
        <v>0</v>
      </c>
      <c r="I293" s="39" t="n">
        <f aca="false">IF(I$4=0,0,IF(COUNTIFS(実績!$W$6:$W$505,I$3,実績!$AI$6:$AI$505,"&lt;="&amp;$A293,実績!$AJ$6:$AJ$505,"&gt;"&amp;$A293,実績!$AK$6:$AK$505,"○")&gt;0,1,0))</f>
        <v>0</v>
      </c>
      <c r="J293" s="39" t="n">
        <f aca="false">IF(J$4=0,0,IF(COUNTIFS(実績!$W$6:$W$505,J$3,実績!$AI$6:$AI$505,"&lt;="&amp;$A293,実績!$AJ$6:$AJ$505,"&gt;"&amp;$A293,実績!$AK$6:$AK$505,"○")&gt;0,1,0))</f>
        <v>0</v>
      </c>
      <c r="K293" s="39" t="n">
        <f aca="false">IF(K$4=0,0,IF(COUNTIFS(実績!$W$6:$W$505,K$3,実績!$AI$6:$AI$505,"&lt;="&amp;$A293,実績!$AJ$6:$AJ$505,"&gt;"&amp;$A293,実績!$AK$6:$AK$505,"○")&gt;0,1,0))</f>
        <v>0</v>
      </c>
      <c r="L293" s="39" t="n">
        <f aca="false">IF(L$4=0,0,IF(COUNTIFS(実績!$W$6:$W$505,L$3,実績!$AI$6:$AI$505,"&lt;="&amp;$A293,実績!$AJ$6:$AJ$505,"&gt;"&amp;$A293,実績!$AK$6:$AK$505,"○")&gt;0,1,0))</f>
        <v>0</v>
      </c>
      <c r="M293" s="39" t="n">
        <f aca="false">IF(M$4=0,0,IF(COUNTIFS(実績!$W$6:$W$505,M$3,実績!$AI$6:$AI$505,"&lt;="&amp;$A293,実績!$AJ$6:$AJ$505,"&gt;"&amp;$A293,実績!$AK$6:$AK$505,"○")&gt;0,1,0))</f>
        <v>0</v>
      </c>
      <c r="N293" s="39" t="n">
        <f aca="false">IF(N$4=0,0,IF(COUNTIFS(実績!$W$6:$W$505,N$3,実績!$AI$6:$AI$505,"&lt;="&amp;$A293,実績!$AJ$6:$AJ$505,"&gt;"&amp;$A293,実績!$AK$6:$AK$505,"○")&gt;0,1,0))</f>
        <v>0</v>
      </c>
      <c r="O293" s="39" t="n">
        <f aca="false">IF(O$4=0,0,IF(COUNTIFS(実績!$W$6:$W$505,O$3,実績!$AI$6:$AI$505,"&lt;="&amp;$A293,実績!$AJ$6:$AJ$505,"&gt;"&amp;$A293,実績!$AK$6:$AK$505,"○")&gt;0,1,0))</f>
        <v>0</v>
      </c>
      <c r="P293" s="39" t="n">
        <f aca="false">IF(P$4=0,0,IF(COUNTIFS(実績!$W$6:$W$505,P$3,実績!$AI$6:$AI$505,"&lt;="&amp;$A293,実績!$AJ$6:$AJ$505,"&gt;"&amp;$A293,実績!$AK$6:$AK$505,"○")&gt;0,1,0))</f>
        <v>0</v>
      </c>
      <c r="Q293" s="39" t="n">
        <f aca="false">IF(Q$4=0,0,IF(COUNTIFS(実績!$W$6:$W$505,Q$3,実績!$AI$6:$AI$505,"&lt;="&amp;$A293,実績!$AJ$6:$AJ$505,"&gt;"&amp;$A293,実績!$AK$6:$AK$505,"○")&gt;0,1,0))</f>
        <v>0</v>
      </c>
      <c r="R293" s="39" t="n">
        <f aca="false">IF(R$4=0,0,IF(COUNTIFS(実績!$W$6:$W$505,R$3,実績!$AI$6:$AI$505,"&lt;="&amp;$A293,実績!$AJ$6:$AJ$505,"&gt;"&amp;$A293,実績!$AK$6:$AK$505,"○")&gt;0,1,0))</f>
        <v>0</v>
      </c>
      <c r="S293" s="39" t="n">
        <f aca="false">IF(S$4=0,0,IF(COUNTIFS(実績!$W$6:$W$505,S$3,実績!$AI$6:$AI$505,"&lt;="&amp;$A293,実績!$AJ$6:$AJ$505,"&gt;"&amp;$A293,実績!$AK$6:$AK$505,"○")&gt;0,1,0))</f>
        <v>0</v>
      </c>
      <c r="T293" s="39" t="n">
        <f aca="false">IF(T$4=0,0,IF(COUNTIFS(実績!$W$6:$W$505,T$3,実績!$AI$6:$AI$505,"&lt;="&amp;$A293,実績!$AJ$6:$AJ$505,"&gt;"&amp;$A293,実績!$AK$6:$AK$505,"○")&gt;0,1,0))</f>
        <v>0</v>
      </c>
      <c r="U293" s="39" t="n">
        <f aca="false">IF(U$4=0,0,IF(COUNTIFS(実績!$W$6:$W$505,U$3,実績!$AI$6:$AI$505,"&lt;="&amp;$A293,実績!$AJ$6:$AJ$505,"&gt;"&amp;$A293,実績!$AK$6:$AK$505,"○")&gt;0,1,0))</f>
        <v>0</v>
      </c>
      <c r="V293" s="39" t="n">
        <f aca="false">IF(V$4=0,0,IF(COUNTIFS(実績!$W$6:$W$505,V$3,実績!$AI$6:$AI$505,"&lt;="&amp;$A293,実績!$AJ$6:$AJ$505,"&gt;"&amp;$A293,実績!$AK$6:$AK$505,"○")&gt;0,1,0))</f>
        <v>0</v>
      </c>
      <c r="W293" s="39" t="n">
        <f aca="false">IF(W$4=0,0,IF(COUNTIFS(実績!$W$6:$W$505,W$3,実績!$AI$6:$AI$505,"&lt;="&amp;$A293,実績!$AJ$6:$AJ$505,"&gt;"&amp;$A293,実績!$AK$6:$AK$505,"○")&gt;0,1,0))</f>
        <v>0</v>
      </c>
      <c r="X293" s="39" t="n">
        <f aca="false">IF(X$4=0,0,IF(COUNTIFS(実績!$W$6:$W$505,X$3,実績!$AI$6:$AI$505,"&lt;="&amp;$A293,実績!$AJ$6:$AJ$505,"&gt;"&amp;$A293,実績!$AK$6:$AK$505,"○")&gt;0,1,0))</f>
        <v>0</v>
      </c>
      <c r="Y293" s="39" t="n">
        <f aca="false">IF(Y$4=0,0,IF(COUNTIFS(実績!$W$6:$W$505,Y$3,実績!$AI$6:$AI$505,"&lt;="&amp;$A293,実績!$AJ$6:$AJ$505,"&gt;"&amp;$A293,実績!$AK$6:$AK$505,"○")&gt;0,1,0))</f>
        <v>0</v>
      </c>
      <c r="Z293" s="39" t="n">
        <f aca="false">IF(Z$4=0,0,IF(COUNTIFS(実績!$W$6:$W$505,Z$3,実績!$AI$6:$AI$505,"&lt;="&amp;$A293,実績!$AJ$6:$AJ$505,"&gt;"&amp;$A293,実績!$AK$6:$AK$505,"○")&gt;0,1,0))</f>
        <v>0</v>
      </c>
      <c r="AA293" s="39" t="n">
        <f aca="false">IF(AA$4=0,0,IF(COUNTIFS(実績!$W$6:$W$505,AA$3,実績!$AI$6:$AI$505,"&lt;="&amp;$A293,実績!$AJ$6:$AJ$505,"&gt;"&amp;$A293,実績!$AK$6:$AK$505,"○")&gt;0,1,0))</f>
        <v>0</v>
      </c>
      <c r="AB293" s="39" t="n">
        <f aca="false">IF(AB$4=0,0,IF(COUNTIFS(実績!$W$6:$W$505,AB$3,実績!$AI$6:$AI$505,"&lt;="&amp;$A293,実績!$AJ$6:$AJ$505,"&gt;"&amp;$A293,実績!$AK$6:$AK$505,"○")&gt;0,1,0))</f>
        <v>0</v>
      </c>
      <c r="AC293" s="39" t="n">
        <f aca="false">IF(AC$4=0,0,IF(COUNTIFS(実績!$W$6:$W$505,AC$3,実績!$AI$6:$AI$505,"&lt;="&amp;$A293,実績!$AJ$6:$AJ$505,"&gt;"&amp;$A293,実績!$AK$6:$AK$505,"○")&gt;0,1,0))</f>
        <v>0</v>
      </c>
      <c r="AD293" s="39" t="n">
        <f aca="false">IF(AD$4=0,0,IF(COUNTIFS(実績!$W$6:$W$505,AD$3,実績!$AI$6:$AI$505,"&lt;="&amp;$A293,実績!$AJ$6:$AJ$505,"&gt;"&amp;$A293,実績!$AK$6:$AK$505,"○")&gt;0,1,0))</f>
        <v>0</v>
      </c>
      <c r="AE293" s="39" t="n">
        <f aca="false">IF(AE$4=0,0,IF(COUNTIFS(実績!$W$6:$W$505,AE$3,実績!$AI$6:$AI$505,"&lt;="&amp;$A293,実績!$AJ$6:$AJ$505,"&gt;"&amp;$A293,実績!$AK$6:$AK$505,"○")&gt;0,1,0))</f>
        <v>0</v>
      </c>
      <c r="AF293" s="39" t="n">
        <f aca="false">IF(AF$4=0,0,IF(COUNTIFS(実績!$W$6:$W$505,AF$3,実績!$AI$6:$AI$505,"&lt;="&amp;$A293,実績!$AJ$6:$AJ$505,"&gt;"&amp;$A293,実績!$AK$6:$AK$505,"○")&gt;0,1,0))</f>
        <v>0</v>
      </c>
      <c r="AG293" s="39" t="n">
        <f aca="false">IF(AG$4=0,0,IF(COUNTIFS(実績!$W$6:$W$505,AG$3,実績!$AI$6:$AI$505,"&lt;="&amp;$A293,実績!$AJ$6:$AJ$505,"&gt;"&amp;$A293,実績!$AK$6:$AK$505,"○")&gt;0,1,0))</f>
        <v>0</v>
      </c>
      <c r="AH293" s="39" t="n">
        <f aca="false">IF(AH$4=0,0,IF(COUNTIFS(実績!$W$6:$W$505,AH$3,実績!$AI$6:$AI$505,"&lt;="&amp;$A293,実績!$AJ$6:$AJ$505,"&gt;"&amp;$A293,実績!$AK$6:$AK$505,"○")&gt;0,1,0))</f>
        <v>0</v>
      </c>
      <c r="AI293" s="39" t="n">
        <f aca="false">IF(AI$4=0,0,IF(COUNTIFS(実績!$W$6:$W$505,AI$3,実績!$AI$6:$AI$505,"&lt;="&amp;$A293,実績!$AJ$6:$AJ$505,"&gt;"&amp;$A293,実績!$AK$6:$AK$505,"○")&gt;0,1,0))</f>
        <v>0</v>
      </c>
      <c r="AJ293" s="39" t="n">
        <f aca="false">IF(AJ$4=0,0,IF(COUNTIFS(実績!$W$6:$W$505,AJ$3,実績!$AI$6:$AI$505,"&lt;="&amp;$A293,実績!$AJ$6:$AJ$505,"&gt;"&amp;$A293,実績!$AK$6:$AK$505,"○")&gt;0,1,0))</f>
        <v>0</v>
      </c>
      <c r="AK293" s="39" t="n">
        <f aca="false">IF(AK$4=0,0,IF(COUNTIFS(実績!$W$6:$W$505,AK$3,実績!$AI$6:$AI$505,"&lt;="&amp;$A293,実績!$AJ$6:$AJ$505,"&gt;"&amp;$A293,実績!$AK$6:$AK$505,"○")&gt;0,1,0))</f>
        <v>0</v>
      </c>
      <c r="AL293" s="39" t="n">
        <f aca="false">IF(AL$4=0,0,IF(COUNTIFS(実績!$W$6:$W$505,AL$3,実績!$AI$6:$AI$505,"&lt;="&amp;$A293,実績!$AJ$6:$AJ$505,"&gt;"&amp;$A293,実績!$AK$6:$AK$505,"○")&gt;0,1,0))</f>
        <v>0</v>
      </c>
      <c r="AM293" s="39" t="n">
        <f aca="false">IF(AM$4=0,0,IF(COUNTIFS(実績!$W$6:$W$505,AM$3,実績!$AI$6:$AI$505,"&lt;="&amp;$A293,実績!$AJ$6:$AJ$505,"&gt;"&amp;$A293,実績!$AK$6:$AK$505,"○")&gt;0,1,0))</f>
        <v>0</v>
      </c>
      <c r="AN293" s="39" t="n">
        <f aca="false">IF(AN$4=0,0,IF(COUNTIFS(実績!$W$6:$W$505,AN$3,実績!$AI$6:$AI$505,"&lt;="&amp;$A293,実績!$AJ$6:$AJ$505,"&gt;"&amp;$A293,実績!$AK$6:$AK$505,"○")&gt;0,1,0))</f>
        <v>0</v>
      </c>
      <c r="AO293" s="39" t="n">
        <f aca="false">IF(AO$4=0,0,IF(COUNTIFS(実績!$W$6:$W$505,AO$3,実績!$AI$6:$AI$505,"&lt;="&amp;$A293,実績!$AJ$6:$AJ$505,"&gt;"&amp;$A293,実績!$AK$6:$AK$505,"○")&gt;0,1,0))</f>
        <v>0</v>
      </c>
      <c r="AP293" s="39" t="n">
        <f aca="false">IF(AP$4=0,0,IF(COUNTIFS(実績!$W$6:$W$505,AP$3,実績!$AI$6:$AI$505,"&lt;="&amp;$A293,実績!$AJ$6:$AJ$505,"&gt;"&amp;$A293,実績!$AK$6:$AK$505,"○")&gt;0,1,0))</f>
        <v>0</v>
      </c>
      <c r="AQ293" s="39" t="n">
        <f aca="false">IF(AQ$4=0,0,IF(COUNTIFS(実績!$W$6:$W$505,AQ$3,実績!$AI$6:$AI$505,"&lt;="&amp;$A293,実績!$AJ$6:$AJ$505,"&gt;"&amp;$A293,実績!$AK$6:$AK$505,"○")&gt;0,1,0))</f>
        <v>0</v>
      </c>
      <c r="AR293" s="39" t="n">
        <f aca="false">IF(AR$4=0,0,IF(COUNTIFS(実績!$W$6:$W$505,AR$3,実績!$AI$6:$AI$505,"&lt;="&amp;$A293,実績!$AJ$6:$AJ$505,"&gt;"&amp;$A293,実績!$AK$6:$AK$505,"○")&gt;0,1,0))</f>
        <v>0</v>
      </c>
      <c r="AS293" s="39" t="n">
        <f aca="false">IF(AS$4=0,0,IF(COUNTIFS(実績!$W$6:$W$505,AS$3,実績!$AI$6:$AI$505,"&lt;="&amp;$A293,実績!$AJ$6:$AJ$505,"&gt;"&amp;$A293,実績!$AK$6:$AK$505,"○")&gt;0,1,0))</f>
        <v>0</v>
      </c>
      <c r="AT293" s="39" t="n">
        <f aca="false">IF(AT$4=0,0,IF(COUNTIFS(実績!$W$6:$W$505,AT$3,実績!$AI$6:$AI$505,"&lt;="&amp;$A293,実績!$AJ$6:$AJ$505,"&gt;"&amp;$A293,実績!$AK$6:$AK$505,"○")&gt;0,1,0))</f>
        <v>0</v>
      </c>
      <c r="AU293" s="39" t="n">
        <f aca="false">IF(AU$4=0,0,IF(COUNTIFS(実績!$W$6:$W$505,AU$3,実績!$AI$6:$AI$505,"&lt;="&amp;$A293,実績!$AJ$6:$AJ$505,"&gt;"&amp;$A293,実績!$AK$6:$AK$505,"○")&gt;0,1,0))</f>
        <v>0</v>
      </c>
      <c r="AV293" s="39" t="n">
        <f aca="false">IF(AV$4=0,0,IF(COUNTIFS(実績!$W$6:$W$505,AV$3,実績!$AI$6:$AI$505,"&lt;="&amp;$A293,実績!$AJ$6:$AJ$505,"&gt;"&amp;$A293,実績!$AK$6:$AK$505,"○")&gt;0,1,0))</f>
        <v>0</v>
      </c>
      <c r="AW293" s="39" t="n">
        <f aca="false">IF(AW$4=0,0,IF(COUNTIFS(実績!$W$6:$W$505,AW$3,実績!$AI$6:$AI$505,"&lt;="&amp;$A293,実績!$AJ$6:$AJ$505,"&gt;"&amp;$A293,実績!$AK$6:$AK$505,"○")&gt;0,1,0))</f>
        <v>0</v>
      </c>
      <c r="AX293" s="39" t="n">
        <f aca="false">IF(AX$4=0,0,IF(COUNTIFS(実績!$W$6:$W$505,AX$3,実績!$AI$6:$AI$505,"&lt;="&amp;$A293,実績!$AJ$6:$AJ$505,"&gt;"&amp;$A293,実績!$AK$6:$AK$505,"○")&gt;0,1,0))</f>
        <v>0</v>
      </c>
      <c r="AY293" s="39" t="n">
        <f aca="false">IF(AY$4=0,0,IF(COUNTIFS(実績!$W$6:$W$505,AY$3,実績!$AI$6:$AI$505,"&lt;="&amp;$A293,実績!$AJ$6:$AJ$505,"&gt;"&amp;$A293,実績!$AK$6:$AK$505,"○")&gt;0,1,0))</f>
        <v>0</v>
      </c>
      <c r="AZ293" s="39" t="n">
        <f aca="false">IF(AZ$4=0,0,IF(COUNTIFS(実績!$W$6:$W$505,AZ$3,実績!$AI$6:$AI$505,"&lt;="&amp;$A293,実績!$AJ$6:$AJ$505,"&gt;"&amp;$A293,実績!$AK$6:$AK$505,"○")&gt;0,1,0))</f>
        <v>0</v>
      </c>
      <c r="BA293" s="39" t="n">
        <f aca="false">IF(BA$4=0,0,IF(COUNTIFS(実績!$W$6:$W$505,BA$3,実績!$AI$6:$AI$505,"&lt;="&amp;$A293,実績!$AJ$6:$AJ$505,"&gt;"&amp;$A293,実績!$AK$6:$AK$505,"○")&gt;0,1,0))</f>
        <v>0</v>
      </c>
      <c r="BB293" s="39" t="n">
        <f aca="false">IF(BB$4=0,0,IF(COUNTIFS(実績!$W$6:$W$505,BB$3,実績!$AI$6:$AI$505,"&lt;="&amp;$A293,実績!$AJ$6:$AJ$505,"&gt;"&amp;$A293,実績!$AK$6:$AK$505,"○")&gt;0,1,0))</f>
        <v>0</v>
      </c>
      <c r="BC293" s="39" t="n">
        <f aca="false">IF(BC$4=0,0,IF(COUNTIFS(実績!$W$6:$W$505,BC$3,実績!$AI$6:$AI$505,"&lt;="&amp;$A293,実績!$AJ$6:$AJ$505,"&gt;"&amp;$A293,実績!$AK$6:$AK$505,"○")&gt;0,1,0))</f>
        <v>0</v>
      </c>
      <c r="BD293" s="39" t="n">
        <f aca="false">IF(BD$4=0,0,IF(COUNTIFS(実績!$W$6:$W$505,BD$3,実績!$AI$6:$AI$505,"&lt;="&amp;$A293,実績!$AJ$6:$AJ$505,"&gt;"&amp;$A293,実績!$AK$6:$AK$505,"○")&gt;0,1,0))</f>
        <v>0</v>
      </c>
      <c r="BE293" s="39" t="n">
        <f aca="false">IF(BE$4=0,0,IF(COUNTIFS(実績!$W$6:$W$505,BE$3,実績!$AI$6:$AI$505,"&lt;="&amp;$A293,実績!$AJ$6:$AJ$505,"&gt;"&amp;$A293,実績!$AK$6:$AK$505,"○")&gt;0,1,0))</f>
        <v>0</v>
      </c>
      <c r="BF293" s="39" t="n">
        <f aca="false">IF(BF$4=0,0,IF(COUNTIFS(実績!$W$6:$W$505,BF$3,実績!$AI$6:$AI$505,"&lt;="&amp;$A293,実績!$AJ$6:$AJ$505,"&gt;"&amp;$A293,実績!$AK$6:$AK$505,"○")&gt;0,1,0))</f>
        <v>0</v>
      </c>
      <c r="BG293" s="39" t="n">
        <f aca="false">IF(BG$4=0,0,IF(COUNTIFS(実績!$W$6:$W$505,BG$3,実績!$AI$6:$AI$505,"&lt;="&amp;$A293,実績!$AJ$6:$AJ$505,"&gt;"&amp;$A293,実績!$AK$6:$AK$505,"○")&gt;0,1,0))</f>
        <v>0</v>
      </c>
      <c r="BH293" s="39" t="n">
        <f aca="false">IF(BH$4=0,0,IF(COUNTIFS(実績!$W$6:$W$505,BH$3,実績!$AI$6:$AI$505,"&lt;="&amp;$A293,実績!$AJ$6:$AJ$505,"&gt;"&amp;$A293,実績!$AK$6:$AK$505,"○")&gt;0,1,0))</f>
        <v>0</v>
      </c>
      <c r="BI293" s="39" t="n">
        <f aca="false">IF(BI$4=0,0,IF(COUNTIFS(実績!$W$6:$W$505,BI$3,実績!$AI$6:$AI$505,"&lt;="&amp;$A293,実績!$AJ$6:$AJ$505,"&gt;"&amp;$A293,実績!$AK$6:$AK$505,"○")&gt;0,1,0))</f>
        <v>0</v>
      </c>
      <c r="BJ293" s="39" t="n">
        <f aca="false">IF(BJ$4=0,0,IF(COUNTIFS(実績!$W$6:$W$505,BJ$3,実績!$AI$6:$AI$505,"&lt;="&amp;$A293,実績!$AJ$6:$AJ$505,"&gt;"&amp;$A293,実績!$AK$6:$AK$505,"○")&gt;0,1,0))</f>
        <v>0</v>
      </c>
      <c r="BK293" s="39" t="n">
        <f aca="false">IF(BK$4=0,0,IF(COUNTIFS(実績!$W$6:$W$505,BK$3,実績!$AI$6:$AI$505,"&lt;="&amp;$A293,実績!$AJ$6:$AJ$505,"&gt;"&amp;$A293,実績!$AK$6:$AK$505,"○")&gt;0,1,0))</f>
        <v>0</v>
      </c>
      <c r="BL293" s="39" t="n">
        <f aca="false">IF(BL$4=0,0,IF(COUNTIFS(実績!$W$6:$W$505,BL$3,実績!$AI$6:$AI$505,"&lt;="&amp;$A293,実績!$AJ$6:$AJ$505,"&gt;"&amp;$A293,実績!$AK$6:$AK$505,"○")&gt;0,1,0))</f>
        <v>0</v>
      </c>
      <c r="BM293" s="39" t="n">
        <f aca="false">IF(BM$4=0,0,IF(COUNTIFS(実績!$W$6:$W$505,BM$3,実績!$AI$6:$AI$505,"&lt;="&amp;$A293,実績!$AJ$6:$AJ$505,"&gt;"&amp;$A293,実績!$AK$6:$AK$505,"○")&gt;0,1,0))</f>
        <v>0</v>
      </c>
      <c r="BN293" s="39" t="n">
        <f aca="false">IF(BN$4=0,0,IF(COUNTIFS(実績!$W$6:$W$505,BN$3,実績!$AI$6:$AI$505,"&lt;="&amp;$A293,実績!$AJ$6:$AJ$505,"&gt;"&amp;$A293,実績!$AK$6:$AK$505,"○")&gt;0,1,0))</f>
        <v>0</v>
      </c>
      <c r="BO293" s="39" t="n">
        <f aca="false">IF(BO$4=0,0,IF(COUNTIFS(実績!$W$6:$W$505,BO$3,実績!$AI$6:$AI$505,"&lt;="&amp;$A293,実績!$AJ$6:$AJ$505,"&gt;"&amp;$A293,実績!$AK$6:$AK$505,"○")&gt;0,1,0))</f>
        <v>0</v>
      </c>
      <c r="BP293" s="39" t="n">
        <f aca="false">IF(BP$4=0,0,IF(COUNTIFS(実績!$W$6:$W$505,BP$3,実績!$AI$6:$AI$505,"&lt;="&amp;$A293,実績!$AJ$6:$AJ$505,"&gt;"&amp;$A293,実績!$AK$6:$AK$505,"○")&gt;0,1,0))</f>
        <v>0</v>
      </c>
      <c r="BQ293" s="39" t="n">
        <f aca="false">IF(BQ$4=0,0,IF(COUNTIFS(実績!$W$6:$W$505,BQ$3,実績!$AI$6:$AI$505,"&lt;="&amp;$A293,実績!$AJ$6:$AJ$505,"&gt;"&amp;$A293,実績!$AK$6:$AK$505,"○")&gt;0,1,0))</f>
        <v>0</v>
      </c>
      <c r="BR293" s="39" t="n">
        <f aca="false">IF(BR$4=0,0,IF(COUNTIFS(実績!$W$6:$W$505,BR$3,実績!$AI$6:$AI$505,"&lt;="&amp;$A293,実績!$AJ$6:$AJ$505,"&gt;"&amp;$A293,実績!$AK$6:$AK$505,"○")&gt;0,1,0))</f>
        <v>0</v>
      </c>
      <c r="BS293" s="39" t="n">
        <f aca="false">IF(BS$4=0,0,IF(COUNTIFS(実績!$W$6:$W$505,BS$3,実績!$AI$6:$AI$505,"&lt;="&amp;$A293,実績!$AJ$6:$AJ$505,"&gt;"&amp;$A293,実績!$AK$6:$AK$505,"○")&gt;0,1,0))</f>
        <v>0</v>
      </c>
      <c r="BT293" s="39" t="n">
        <f aca="false">IF(BT$4=0,0,IF(COUNTIFS(実績!$W$6:$W$505,BT$3,実績!$AI$6:$AI$505,"&lt;="&amp;$A293,実績!$AJ$6:$AJ$505,"&gt;"&amp;$A293,実績!$AK$6:$AK$505,"○")&gt;0,1,0))</f>
        <v>0</v>
      </c>
      <c r="BU293" s="39" t="n">
        <f aca="false">IF(BU$4=0,0,IF(COUNTIFS(実績!$W$6:$W$505,BU$3,実績!$AI$6:$AI$505,"&lt;="&amp;$A293,実績!$AJ$6:$AJ$505,"&gt;"&amp;$A293,実績!$AK$6:$AK$505,"○")&gt;0,1,0))</f>
        <v>0</v>
      </c>
      <c r="BV293" s="39" t="n">
        <f aca="false">IF(BV$4=0,0,IF(COUNTIFS(実績!$W$6:$W$505,BV$3,実績!$AI$6:$AI$505,"&lt;="&amp;$A293,実績!$AJ$6:$AJ$505,"&gt;"&amp;$A293,実績!$AK$6:$AK$505,"○")&gt;0,1,0))</f>
        <v>0</v>
      </c>
      <c r="BW293" s="39" t="n">
        <f aca="false">IF(BW$4=0,0,IF(COUNTIFS(実績!$W$6:$W$505,BW$3,実績!$AI$6:$AI$505,"&lt;="&amp;$A293,実績!$AJ$6:$AJ$505,"&gt;"&amp;$A293,実績!$AK$6:$AK$505,"○")&gt;0,1,0))</f>
        <v>0</v>
      </c>
      <c r="BX293" s="39" t="n">
        <f aca="false">IF(BX$4=0,0,IF(COUNTIFS(実績!$W$6:$W$505,BX$3,実績!$AI$6:$AI$505,"&lt;="&amp;$A293,実績!$AJ$6:$AJ$505,"&gt;"&amp;$A293,実績!$AK$6:$AK$505,"○")&gt;0,1,0))</f>
        <v>0</v>
      </c>
      <c r="BY293" s="39" t="n">
        <f aca="false">IF(BY$4=0,0,IF(COUNTIFS(実績!$W$6:$W$505,BY$3,実績!$AI$6:$AI$505,"&lt;="&amp;$A293,実績!$AJ$6:$AJ$505,"&gt;"&amp;$A293,実績!$AK$6:$AK$505,"○")&gt;0,1,0))</f>
        <v>0</v>
      </c>
      <c r="BZ293" s="39" t="n">
        <f aca="false">IF(BZ$4=0,0,IF(COUNTIFS(実績!$W$6:$W$505,BZ$3,実績!$AI$6:$AI$505,"&lt;="&amp;$A293,実績!$AJ$6:$AJ$505,"&gt;"&amp;$A293,実績!$AK$6:$AK$505,"○")&gt;0,1,0))</f>
        <v>0</v>
      </c>
      <c r="CA293" s="39" t="n">
        <f aca="false">IF(CA$4=0,0,IF(COUNTIFS(実績!$W$6:$W$505,CA$3,実績!$AI$6:$AI$505,"&lt;="&amp;$A293,実績!$AJ$6:$AJ$505,"&gt;"&amp;$A293,実績!$AK$6:$AK$505,"○")&gt;0,1,0))</f>
        <v>0</v>
      </c>
      <c r="CB293" s="39" t="n">
        <f aca="false">IF(CB$4=0,0,IF(COUNTIFS(実績!$W$6:$W$505,CB$3,実績!$AI$6:$AI$505,"&lt;="&amp;$A293,実績!$AJ$6:$AJ$505,"&gt;"&amp;$A293,実績!$AK$6:$AK$505,"○")&gt;0,1,0))</f>
        <v>0</v>
      </c>
      <c r="CC293" s="39" t="n">
        <f aca="false">IF(CC$4=0,0,IF(COUNTIFS(実績!$W$6:$W$505,CC$3,実績!$AI$6:$AI$505,"&lt;="&amp;$A293,実績!$AJ$6:$AJ$505,"&gt;"&amp;$A293,実績!$AK$6:$AK$505,"○")&gt;0,1,0))</f>
        <v>0</v>
      </c>
      <c r="CD293" s="39" t="n">
        <f aca="false">IF(CD$4=0,0,IF(COUNTIFS(実績!$W$6:$W$505,CD$3,実績!$AI$6:$AI$505,"&lt;="&amp;$A293,実績!$AJ$6:$AJ$505,"&gt;"&amp;$A293,実績!$AK$6:$AK$505,"○")&gt;0,1,0))</f>
        <v>0</v>
      </c>
      <c r="CE293" s="39" t="n">
        <f aca="false">IF(CE$4=0,0,IF(COUNTIFS(実績!$W$6:$W$505,CE$3,実績!$AI$6:$AI$505,"&lt;="&amp;$A293,実績!$AJ$6:$AJ$505,"&gt;"&amp;$A293,実績!$AK$6:$AK$505,"○")&gt;0,1,0))</f>
        <v>0</v>
      </c>
      <c r="CF293" s="39" t="n">
        <f aca="false">IF(CF$4=0,0,IF(COUNTIFS(実績!$W$6:$W$505,CF$3,実績!$AI$6:$AI$505,"&lt;="&amp;$A293,実績!$AJ$6:$AJ$505,"&gt;"&amp;$A293,実績!$AK$6:$AK$505,"○")&gt;0,1,0))</f>
        <v>0</v>
      </c>
      <c r="CG293" s="39" t="n">
        <f aca="false">IF(CG$4=0,0,IF(COUNTIFS(実績!$W$6:$W$505,CG$3,実績!$AI$6:$AI$505,"&lt;="&amp;$A293,実績!$AJ$6:$AJ$505,"&gt;"&amp;$A293,実績!$AK$6:$AK$505,"○")&gt;0,1,0))</f>
        <v>0</v>
      </c>
      <c r="CH293" s="39" t="n">
        <f aca="false">IF(CH$4=0,0,IF(COUNTIFS(実績!$W$6:$W$505,CH$3,実績!$AI$6:$AI$505,"&lt;="&amp;$A293,実績!$AJ$6:$AJ$505,"&gt;"&amp;$A293,実績!$AK$6:$AK$505,"○")&gt;0,1,0))</f>
        <v>0</v>
      </c>
      <c r="CI293" s="39" t="n">
        <f aca="false">IF(CI$4=0,0,IF(COUNTIFS(実績!$W$6:$W$505,CI$3,実績!$AI$6:$AI$505,"&lt;="&amp;$A293,実績!$AJ$6:$AJ$505,"&gt;"&amp;$A293,実績!$AK$6:$AK$505,"○")&gt;0,1,0))</f>
        <v>0</v>
      </c>
      <c r="CJ293" s="39" t="n">
        <f aca="false">IF(CJ$4=0,0,IF(COUNTIFS(実績!$W$6:$W$505,CJ$3,実績!$AI$6:$AI$505,"&lt;="&amp;$A293,実績!$AJ$6:$AJ$505,"&gt;"&amp;$A293,実績!$AK$6:$AK$505,"○")&gt;0,1,0))</f>
        <v>0</v>
      </c>
      <c r="CK293" s="39" t="n">
        <f aca="false">IF(CK$4=0,0,IF(COUNTIFS(実績!$W$6:$W$505,CK$3,実績!$AI$6:$AI$505,"&lt;="&amp;$A293,実績!$AJ$6:$AJ$505,"&gt;"&amp;$A293,実績!$AK$6:$AK$505,"○")&gt;0,1,0))</f>
        <v>0</v>
      </c>
      <c r="CL293" s="39" t="n">
        <f aca="false">IF(CL$4=0,0,IF(COUNTIFS(実績!$W$6:$W$505,CL$3,実績!$AI$6:$AI$505,"&lt;="&amp;$A293,実績!$AJ$6:$AJ$505,"&gt;"&amp;$A293,実績!$AK$6:$AK$505,"○")&gt;0,1,0))</f>
        <v>0</v>
      </c>
      <c r="CM293" s="39" t="n">
        <f aca="false">IF(CM$4=0,0,IF(COUNTIFS(実績!$W$6:$W$505,CM$3,実績!$AI$6:$AI$505,"&lt;="&amp;$A293,実績!$AJ$6:$AJ$505,"&gt;"&amp;$A293,実績!$AK$6:$AK$505,"○")&gt;0,1,0))</f>
        <v>0</v>
      </c>
      <c r="CN293" s="39" t="n">
        <f aca="false">IF(CN$4=0,0,IF(COUNTIFS(実績!$W$6:$W$505,CN$3,実績!$AI$6:$AI$505,"&lt;="&amp;$A293,実績!$AJ$6:$AJ$505,"&gt;"&amp;$A293,実績!$AK$6:$AK$505,"○")&gt;0,1,0))</f>
        <v>0</v>
      </c>
      <c r="CO293" s="39" t="n">
        <f aca="false">IF(CO$4=0,0,IF(COUNTIFS(実績!$W$6:$W$505,CO$3,実績!$AI$6:$AI$505,"&lt;="&amp;$A293,実績!$AJ$6:$AJ$505,"&gt;"&amp;$A293,実績!$AK$6:$AK$505,"○")&gt;0,1,0))</f>
        <v>0</v>
      </c>
      <c r="CP293" s="39" t="n">
        <f aca="false">IF(CP$4=0,0,IF(COUNTIFS(実績!$W$6:$W$505,CP$3,実績!$AI$6:$AI$505,"&lt;="&amp;$A293,実績!$AJ$6:$AJ$505,"&gt;"&amp;$A293,実績!$AK$6:$AK$505,"○")&gt;0,1,0))</f>
        <v>0</v>
      </c>
      <c r="CQ293" s="39" t="n">
        <f aca="false">IF(CQ$4=0,0,IF(COUNTIFS(実績!$W$6:$W$505,CQ$3,実績!$AI$6:$AI$505,"&lt;="&amp;$A293,実績!$AJ$6:$AJ$505,"&gt;"&amp;$A293,実績!$AK$6:$AK$505,"○")&gt;0,1,0))</f>
        <v>0</v>
      </c>
      <c r="CR293" s="39" t="n">
        <f aca="false">IF(CR$4=0,0,IF(COUNTIFS(実績!$W$6:$W$505,CR$3,実績!$AI$6:$AI$505,"&lt;="&amp;$A293,実績!$AJ$6:$AJ$505,"&gt;"&amp;$A293,実績!$AK$6:$AK$505,"○")&gt;0,1,0))</f>
        <v>0</v>
      </c>
      <c r="CS293" s="39" t="n">
        <f aca="false">IF(CS$4=0,0,IF(COUNTIFS(実績!$W$6:$W$505,CS$3,実績!$AI$6:$AI$505,"&lt;="&amp;$A293,実績!$AJ$6:$AJ$505,"&gt;"&amp;$A293,実績!$AK$6:$AK$505,"○")&gt;0,1,0))</f>
        <v>0</v>
      </c>
      <c r="CT293" s="39" t="n">
        <f aca="false">IF(CT$4=0,0,IF(COUNTIFS(実績!$W$6:$W$505,CT$3,実績!$AI$6:$AI$505,"&lt;="&amp;$A293,実績!$AJ$6:$AJ$505,"&gt;"&amp;$A293,実績!$AK$6:$AK$505,"○")&gt;0,1,0))</f>
        <v>0</v>
      </c>
      <c r="CU293" s="39" t="n">
        <f aca="false">IF(CU$4=0,0,IF(COUNTIFS(実績!$W$6:$W$505,CU$3,実績!$AI$6:$AI$505,"&lt;="&amp;$A293,実績!$AJ$6:$AJ$505,"&gt;"&amp;$A293,実績!$AK$6:$AK$505,"○")&gt;0,1,0))</f>
        <v>0</v>
      </c>
      <c r="CV293" s="39" t="n">
        <f aca="false">IF(CV$4=0,0,IF(COUNTIFS(実績!$W$6:$W$505,CV$3,実績!$AI$6:$AI$505,"&lt;="&amp;$A293,実績!$AJ$6:$AJ$505,"&gt;"&amp;$A293,実績!$AK$6:$AK$505,"○")&gt;0,1,0))</f>
        <v>0</v>
      </c>
      <c r="CW293" s="39" t="n">
        <f aca="false">IF(CW$4=0,0,IF(COUNTIFS(実績!$W$6:$W$505,CW$3,実績!$AI$6:$AI$505,"&lt;="&amp;$A293,実績!$AJ$6:$AJ$505,"&gt;"&amp;$A293,実績!$AK$6:$AK$505,"○")&gt;0,1,0))</f>
        <v>0</v>
      </c>
      <c r="CX293" s="39" t="n">
        <f aca="false">IF(CX$4=0,0,IF(COUNTIFS(実績!$W$6:$W$505,CX$3,実績!$AI$6:$AI$505,"&lt;="&amp;$A293,実績!$AJ$6:$AJ$505,"&gt;"&amp;$A293,実績!$AK$6:$AK$505,"○")&gt;0,1,0))</f>
        <v>0</v>
      </c>
      <c r="CY293" s="39" t="n">
        <f aca="false">IF(CY$4=0,0,IF(COUNTIFS(実績!$W$6:$W$505,CY$3,実績!$AI$6:$AI$505,"&lt;="&amp;$A293,実績!$AJ$6:$AJ$505,"&gt;"&amp;$A293,実績!$AK$6:$AK$505,"○")&gt;0,1,0))</f>
        <v>0</v>
      </c>
      <c r="CZ293" s="39" t="n">
        <f aca="false">IF(CZ$4=0,0,IF(COUNTIFS(実績!$W$6:$W$505,CZ$3,実績!$AI$6:$AI$505,"&lt;="&amp;$A293,実績!$AJ$6:$AJ$505,"&gt;"&amp;$A293,実績!$AK$6:$AK$505,"○")&gt;0,1,0))</f>
        <v>0</v>
      </c>
      <c r="DA293" s="39" t="n">
        <f aca="false">IF(DA$4=0,0,IF(COUNTIFS(実績!$W$6:$W$505,DA$3,実績!$AI$6:$AI$505,"&lt;="&amp;$A293,実績!$AJ$6:$AJ$505,"&gt;"&amp;$A293,実績!$AK$6:$AK$505,"○")&gt;0,1,0))</f>
        <v>0</v>
      </c>
      <c r="DB293" s="39" t="n">
        <f aca="false">IF(DB$4=0,0,IF(COUNTIFS(実績!$W$6:$W$505,DB$3,実績!$AI$6:$AI$505,"&lt;="&amp;$A293,実績!$AJ$6:$AJ$505,"&gt;"&amp;$A293,実績!$AK$6:$AK$505,"○")&gt;0,1,0))</f>
        <v>0</v>
      </c>
      <c r="DC293" s="39" t="n">
        <f aca="false">IF(DC$4=0,0,IF(COUNTIFS(実績!$W$6:$W$505,DC$3,実績!$AI$6:$AI$505,"&lt;="&amp;$A293,実績!$AJ$6:$AJ$505,"&gt;"&amp;$A293,実績!$AK$6:$AK$505,"○")&gt;0,1,0))</f>
        <v>0</v>
      </c>
      <c r="DD293" s="39" t="n">
        <f aca="false">IF(DD$4=0,0,IF(COUNTIFS(実績!$W$6:$W$505,DD$3,実績!$AI$6:$AI$505,"&lt;="&amp;$A293,実績!$AJ$6:$AJ$505,"&gt;"&amp;$A293,実績!$AK$6:$AK$505,"○")&gt;0,1,0))</f>
        <v>0</v>
      </c>
      <c r="DE293" s="39" t="n">
        <f aca="false">IF(DE$4=0,0,IF(COUNTIFS(実績!$W$6:$W$505,DE$3,実績!$AI$6:$AI$505,"&lt;="&amp;$A293,実績!$AJ$6:$AJ$505,"&gt;"&amp;$A293,実績!$AK$6:$AK$505,"○")&gt;0,1,0))</f>
        <v>0</v>
      </c>
      <c r="DF293" s="39" t="n">
        <f aca="false">IF(DF$4=0,0,IF(COUNTIFS(実績!$W$6:$W$505,DF$3,実績!$AI$6:$AI$505,"&lt;="&amp;$A293,実績!$AJ$6:$AJ$505,"&gt;"&amp;$A293,実績!$AK$6:$AK$505,"○")&gt;0,1,0))</f>
        <v>0</v>
      </c>
      <c r="DG293" s="39" t="n">
        <f aca="false">IF(DG$4=0,0,IF(COUNTIFS(実績!$W$6:$W$505,DG$3,実績!$AI$6:$AI$505,"&lt;="&amp;$A293,実績!$AJ$6:$AJ$505,"&gt;"&amp;$A293,実績!$AK$6:$AK$505,"○")&gt;0,1,0))</f>
        <v>0</v>
      </c>
      <c r="DH293" s="39" t="n">
        <f aca="false">IF(DH$4=0,0,IF(COUNTIFS(実績!$W$6:$W$505,DH$3,実績!$AI$6:$AI$505,"&lt;="&amp;$A293,実績!$AJ$6:$AJ$505,"&gt;"&amp;$A293,実績!$AK$6:$AK$505,"○")&gt;0,1,0))</f>
        <v>0</v>
      </c>
      <c r="DI293" s="39" t="n">
        <f aca="false">IF(DI$4=0,0,IF(COUNTIFS(実績!$W$6:$W$505,DI$3,実績!$AI$6:$AI$505,"&lt;="&amp;$A293,実績!$AJ$6:$AJ$505,"&gt;"&amp;$A293,実績!$AK$6:$AK$505,"○")&gt;0,1,0))</f>
        <v>0</v>
      </c>
      <c r="DJ293" s="39" t="n">
        <f aca="false">IF(DJ$4=0,0,IF(COUNTIFS(実績!$W$6:$W$505,DJ$3,実績!$AI$6:$AI$505,"&lt;="&amp;$A293,実績!$AJ$6:$AJ$505,"&gt;"&amp;$A293,実績!$AK$6:$AK$505,"○")&gt;0,1,0))</f>
        <v>0</v>
      </c>
      <c r="DK293" s="39" t="n">
        <f aca="false">IF(DK$4=0,0,IF(COUNTIFS(実績!$W$6:$W$505,DK$3,実績!$AI$6:$AI$505,"&lt;="&amp;$A293,実績!$AJ$6:$AJ$505,"&gt;"&amp;$A293,実績!$AK$6:$AK$505,"○")&gt;0,1,0))</f>
        <v>0</v>
      </c>
      <c r="DL293" s="39" t="n">
        <f aca="false">IF(DL$4=0,0,IF(COUNTIFS(実績!$W$6:$W$505,DL$3,実績!$AI$6:$AI$505,"&lt;="&amp;$A293,実績!$AJ$6:$AJ$505,"&gt;"&amp;$A293,実績!$AK$6:$AK$505,"○")&gt;0,1,0))</f>
        <v>0</v>
      </c>
      <c r="DM293" s="39" t="n">
        <f aca="false">IF(DM$4=0,0,IF(COUNTIFS(実績!$W$6:$W$505,DM$3,実績!$AI$6:$AI$505,"&lt;="&amp;$A293,実績!$AJ$6:$AJ$505,"&gt;"&amp;$A293,実績!$AK$6:$AK$505,"○")&gt;0,1,0))</f>
        <v>0</v>
      </c>
      <c r="DN293" s="39" t="n">
        <f aca="false">IF(DN$4=0,0,IF(COUNTIFS(実績!$W$6:$W$505,DN$3,実績!$AI$6:$AI$505,"&lt;="&amp;$A293,実績!$AJ$6:$AJ$505,"&gt;"&amp;$A293,実績!$AK$6:$AK$505,"○")&gt;0,1,0))</f>
        <v>0</v>
      </c>
      <c r="DO293" s="39" t="n">
        <f aca="false">IF(DO$4=0,0,IF(COUNTIFS(実績!$W$6:$W$505,DO$3,実績!$AI$6:$AI$505,"&lt;="&amp;$A293,実績!$AJ$6:$AJ$505,"&gt;"&amp;$A293,実績!$AK$6:$AK$505,"○")&gt;0,1,0))</f>
        <v>0</v>
      </c>
      <c r="DP293" s="39" t="n">
        <f aca="false">IF(DP$4=0,0,IF(COUNTIFS(実績!$W$6:$W$505,DP$3,実績!$AI$6:$AI$505,"&lt;="&amp;$A293,実績!$AJ$6:$AJ$505,"&gt;"&amp;$A293,実績!$AK$6:$AK$505,"○")&gt;0,1,0))</f>
        <v>0</v>
      </c>
      <c r="DQ293" s="39" t="n">
        <f aca="false">IF(DQ$4=0,0,IF(COUNTIFS(実績!$W$6:$W$505,DQ$3,実績!$AI$6:$AI$505,"&lt;="&amp;$A293,実績!$AJ$6:$AJ$505,"&gt;"&amp;$A293,実績!$AK$6:$AK$505,"○")&gt;0,1,0))</f>
        <v>0</v>
      </c>
      <c r="DR293" s="39" t="n">
        <f aca="false">IF(DR$4=0,0,IF(COUNTIFS(実績!$W$6:$W$505,DR$3,実績!$AI$6:$AI$505,"&lt;="&amp;$A293,実績!$AJ$6:$AJ$505,"&gt;"&amp;$A293,実績!$AK$6:$AK$505,"○")&gt;0,1,0))</f>
        <v>0</v>
      </c>
      <c r="DS293" s="39" t="n">
        <f aca="false">SUM(C293:DR293)</f>
        <v>0</v>
      </c>
      <c r="DT293" s="39" t="n">
        <f aca="false">SUMPRODUCT((実績!$C$6:$C$505="○")*ISNUMBER(実績!$AM$6:$AM$505)*(実績!$AM$6:$AM$505&lt;=$A293)*(実績!$AN$6:$AN$505&gt;$A293))</f>
        <v>0</v>
      </c>
      <c r="DU293" s="39" t="n">
        <f aca="false">SUMIF($C$2:$DR$2,"製鉄曳船",C293:DR293)</f>
        <v>0</v>
      </c>
      <c r="DV293" s="39" t="n">
        <f aca="false">SUMIF($C$2:$DR$2,"西日本海運",C293:DR293)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S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6" t="s">
        <v>566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/>
      </c>
      <c r="AL1" s="0" t="str">
        <f aca="false">IF(マスター!$O$41&lt;&gt;"○","",IF(マスター!$C$41="","未確認",マスター!$C$41))</f>
        <v/>
      </c>
      <c r="AM1" s="0" t="str">
        <f aca="false">IF(マスター!$O$42&lt;&gt;"○","",IF(マスター!$C$42="","未確認",マスター!$C$42))</f>
        <v/>
      </c>
      <c r="AN1" s="0" t="str">
        <f aca="false">IF(マスター!$O$43&lt;&gt;"○","",IF(マスター!$C$43="","未確認",マスター!$C$43))</f>
        <v/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16" t="s">
        <v>558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/>
      </c>
      <c r="AL2" s="0" t="str">
        <f aca="false">IF(マスター!$O$41&lt;&gt;"○","",マスター!$L$41)</f>
        <v/>
      </c>
      <c r="AM2" s="0" t="str">
        <f aca="false">IF(マスター!$O$42&lt;&gt;"○","",マスター!$L$42)</f>
        <v/>
      </c>
      <c r="AN2" s="0" t="str">
        <f aca="false">IF(マスター!$O$43&lt;&gt;"○","",マスター!$L$43)</f>
        <v/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16" t="s">
        <v>559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/>
      </c>
      <c r="AL3" s="0" t="str">
        <f aca="false">IF(マスター!$O$41&lt;&gt;"○","",マスター!$K$41)</f>
        <v/>
      </c>
      <c r="AM3" s="0" t="str">
        <f aca="false">IF(マスター!$O$42&lt;&gt;"○","",マスター!$K$42)</f>
        <v/>
      </c>
      <c r="AN3" s="0" t="str">
        <f aca="false">IF(マスター!$O$43&lt;&gt;"○","",マスター!$K$43)</f>
        <v/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16" t="s">
        <v>560</v>
      </c>
      <c r="C4" s="0" t="n">
        <f aca="false">IF(C$3="",0,IF(COUNTIFS(実績!$W$6:$W$505,C$3,実績!$AL$6:$AL$505,"○")&gt;0,1,0))</f>
        <v>0</v>
      </c>
      <c r="D4" s="0" t="n">
        <f aca="false">IF(D$3="",0,IF(COUNTIFS(実績!$W$6:$W$505,D$3,実績!$AL$6:$AL$505,"○")&gt;0,1,0))</f>
        <v>0</v>
      </c>
      <c r="E4" s="0" t="n">
        <f aca="false">IF(E$3="",0,IF(COUNTIFS(実績!$W$6:$W$505,E$3,実績!$AL$6:$AL$505,"○")&gt;0,1,0))</f>
        <v>0</v>
      </c>
      <c r="F4" s="0" t="n">
        <f aca="false">IF(F$3="",0,IF(COUNTIFS(実績!$W$6:$W$505,F$3,実績!$AL$6:$AL$505,"○")&gt;0,1,0))</f>
        <v>0</v>
      </c>
      <c r="G4" s="0" t="n">
        <f aca="false">IF(G$3="",0,IF(COUNTIFS(実績!$W$6:$W$505,G$3,実績!$AL$6:$AL$505,"○")&gt;0,1,0))</f>
        <v>0</v>
      </c>
      <c r="H4" s="0" t="n">
        <f aca="false">IF(H$3="",0,IF(COUNTIFS(実績!$W$6:$W$505,H$3,実績!$AL$6:$AL$505,"○")&gt;0,1,0))</f>
        <v>0</v>
      </c>
      <c r="I4" s="0" t="n">
        <f aca="false">IF(I$3="",0,IF(COUNTIFS(実績!$W$6:$W$505,I$3,実績!$AL$6:$AL$505,"○")&gt;0,1,0))</f>
        <v>0</v>
      </c>
      <c r="J4" s="0" t="n">
        <f aca="false">IF(J$3="",0,IF(COUNTIFS(実績!$W$6:$W$505,J$3,実績!$AL$6:$AL$505,"○")&gt;0,1,0))</f>
        <v>0</v>
      </c>
      <c r="K4" s="0" t="n">
        <f aca="false">IF(K$3="",0,IF(COUNTIFS(実績!$W$6:$W$505,K$3,実績!$AL$6:$AL$505,"○")&gt;0,1,0))</f>
        <v>0</v>
      </c>
      <c r="L4" s="0" t="n">
        <f aca="false">IF(L$3="",0,IF(COUNTIFS(実績!$W$6:$W$505,L$3,実績!$AL$6:$AL$505,"○")&gt;0,1,0))</f>
        <v>0</v>
      </c>
      <c r="M4" s="0" t="n">
        <f aca="false">IF(M$3="",0,IF(COUNTIFS(実績!$W$6:$W$505,M$3,実績!$AL$6:$AL$505,"○")&gt;0,1,0))</f>
        <v>0</v>
      </c>
      <c r="N4" s="0" t="n">
        <f aca="false">IF(N$3="",0,IF(COUNTIFS(実績!$W$6:$W$505,N$3,実績!$AL$6:$AL$505,"○")&gt;0,1,0))</f>
        <v>0</v>
      </c>
      <c r="O4" s="0" t="n">
        <f aca="false">IF(O$3="",0,IF(COUNTIFS(実績!$W$6:$W$505,O$3,実績!$AL$6:$AL$505,"○")&gt;0,1,0))</f>
        <v>0</v>
      </c>
      <c r="P4" s="0" t="n">
        <f aca="false">IF(P$3="",0,IF(COUNTIFS(実績!$W$6:$W$505,P$3,実績!$AL$6:$AL$505,"○")&gt;0,1,0))</f>
        <v>0</v>
      </c>
      <c r="Q4" s="0" t="n">
        <f aca="false">IF(Q$3="",0,IF(COUNTIFS(実績!$W$6:$W$505,Q$3,実績!$AL$6:$AL$505,"○")&gt;0,1,0))</f>
        <v>0</v>
      </c>
      <c r="R4" s="0" t="n">
        <f aca="false">IF(R$3="",0,IF(COUNTIFS(実績!$W$6:$W$505,R$3,実績!$AL$6:$AL$505,"○")&gt;0,1,0))</f>
        <v>0</v>
      </c>
      <c r="S4" s="0" t="n">
        <f aca="false">IF(S$3="",0,IF(COUNTIFS(実績!$W$6:$W$505,S$3,実績!$AL$6:$AL$505,"○")&gt;0,1,0))</f>
        <v>0</v>
      </c>
      <c r="T4" s="0" t="n">
        <f aca="false">IF(T$3="",0,IF(COUNTIFS(実績!$W$6:$W$505,T$3,実績!$AL$6:$AL$505,"○")&gt;0,1,0))</f>
        <v>0</v>
      </c>
      <c r="U4" s="0" t="n">
        <f aca="false">IF(U$3="",0,IF(COUNTIFS(実績!$W$6:$W$505,U$3,実績!$AL$6:$AL$505,"○")&gt;0,1,0))</f>
        <v>0</v>
      </c>
      <c r="V4" s="0" t="n">
        <f aca="false">IF(V$3="",0,IF(COUNTIFS(実績!$W$6:$W$505,V$3,実績!$AL$6:$AL$505,"○")&gt;0,1,0))</f>
        <v>0</v>
      </c>
      <c r="W4" s="0" t="n">
        <f aca="false">IF(W$3="",0,IF(COUNTIFS(実績!$W$6:$W$505,W$3,実績!$AL$6:$AL$505,"○")&gt;0,1,0))</f>
        <v>0</v>
      </c>
      <c r="X4" s="0" t="n">
        <f aca="false">IF(X$3="",0,IF(COUNTIFS(実績!$W$6:$W$505,X$3,実績!$AL$6:$AL$505,"○")&gt;0,1,0))</f>
        <v>0</v>
      </c>
      <c r="Y4" s="0" t="n">
        <f aca="false">IF(Y$3="",0,IF(COUNTIFS(実績!$W$6:$W$505,Y$3,実績!$AL$6:$AL$505,"○")&gt;0,1,0))</f>
        <v>0</v>
      </c>
      <c r="Z4" s="0" t="n">
        <f aca="false">IF(Z$3="",0,IF(COUNTIFS(実績!$W$6:$W$505,Z$3,実績!$AL$6:$AL$505,"○")&gt;0,1,0))</f>
        <v>0</v>
      </c>
      <c r="AA4" s="0" t="n">
        <f aca="false">IF(AA$3="",0,IF(COUNTIFS(実績!$W$6:$W$505,AA$3,実績!$AL$6:$AL$505,"○")&gt;0,1,0))</f>
        <v>0</v>
      </c>
      <c r="AB4" s="0" t="n">
        <f aca="false">IF(AB$3="",0,IF(COUNTIFS(実績!$W$6:$W$505,AB$3,実績!$AL$6:$AL$505,"○")&gt;0,1,0))</f>
        <v>0</v>
      </c>
      <c r="AC4" s="0" t="n">
        <f aca="false">IF(AC$3="",0,IF(COUNTIFS(実績!$W$6:$W$505,AC$3,実績!$AL$6:$AL$505,"○")&gt;0,1,0))</f>
        <v>0</v>
      </c>
      <c r="AD4" s="0" t="n">
        <f aca="false">IF(AD$3="",0,IF(COUNTIFS(実績!$W$6:$W$505,AD$3,実績!$AL$6:$AL$505,"○")&gt;0,1,0))</f>
        <v>0</v>
      </c>
      <c r="AE4" s="0" t="n">
        <f aca="false">IF(AE$3="",0,IF(COUNTIFS(実績!$W$6:$W$505,AE$3,実績!$AL$6:$AL$505,"○")&gt;0,1,0))</f>
        <v>0</v>
      </c>
      <c r="AF4" s="0" t="n">
        <f aca="false">IF(AF$3="",0,IF(COUNTIFS(実績!$W$6:$W$505,AF$3,実績!$AL$6:$AL$505,"○")&gt;0,1,0))</f>
        <v>0</v>
      </c>
      <c r="AG4" s="0" t="n">
        <f aca="false">IF(AG$3="",0,IF(COUNTIFS(実績!$W$6:$W$505,AG$3,実績!$AL$6:$AL$505,"○")&gt;0,1,0))</f>
        <v>0</v>
      </c>
      <c r="AH4" s="0" t="n">
        <f aca="false">IF(AH$3="",0,IF(COUNTIFS(実績!$W$6:$W$505,AH$3,実績!$AL$6:$AL$505,"○")&gt;0,1,0))</f>
        <v>0</v>
      </c>
      <c r="AI4" s="0" t="n">
        <f aca="false">IF(AI$3="",0,IF(COUNTIFS(実績!$W$6:$W$505,AI$3,実績!$AL$6:$AL$505,"○")&gt;0,1,0))</f>
        <v>0</v>
      </c>
      <c r="AJ4" s="0" t="n">
        <f aca="false">IF(AJ$3="",0,IF(COUNTIFS(実績!$W$6:$W$505,AJ$3,実績!$AL$6:$AL$505,"○")&gt;0,1,0))</f>
        <v>0</v>
      </c>
      <c r="AK4" s="0" t="n">
        <f aca="false">IF(AK$3="",0,IF(COUNTIFS(実績!$W$6:$W$505,AK$3,実績!$AL$6:$AL$505,"○")&gt;0,1,0))</f>
        <v>0</v>
      </c>
      <c r="AL4" s="0" t="n">
        <f aca="false">IF(AL$3="",0,IF(COUNTIFS(実績!$W$6:$W$505,AL$3,実績!$AL$6:$AL$505,"○")&gt;0,1,0))</f>
        <v>0</v>
      </c>
      <c r="AM4" s="0" t="n">
        <f aca="false">IF(AM$3="",0,IF(COUNTIFS(実績!$W$6:$W$505,AM$3,実績!$AL$6:$AL$505,"○")&gt;0,1,0))</f>
        <v>0</v>
      </c>
      <c r="AN4" s="0" t="n">
        <f aca="false">IF(AN$3="",0,IF(COUNTIFS(実績!$W$6:$W$505,AN$3,実績!$AL$6:$AL$505,"○")&gt;0,1,0))</f>
        <v>0</v>
      </c>
      <c r="AO4" s="0" t="n">
        <f aca="false">IF(AO$3="",0,IF(COUNTIFS(実績!$W$6:$W$505,AO$3,実績!$AL$6:$AL$505,"○")&gt;0,1,0))</f>
        <v>0</v>
      </c>
      <c r="AP4" s="0" t="n">
        <f aca="false">IF(AP$3="",0,IF(COUNTIFS(実績!$W$6:$W$505,AP$3,実績!$AL$6:$AL$505,"○")&gt;0,1,0))</f>
        <v>0</v>
      </c>
      <c r="AQ4" s="0" t="n">
        <f aca="false">IF(AQ$3="",0,IF(COUNTIFS(実績!$W$6:$W$505,AQ$3,実績!$AL$6:$AL$505,"○")&gt;0,1,0))</f>
        <v>0</v>
      </c>
      <c r="AR4" s="0" t="n">
        <f aca="false">IF(AR$3="",0,IF(COUNTIFS(実績!$W$6:$W$505,AR$3,実績!$AL$6:$AL$505,"○")&gt;0,1,0))</f>
        <v>0</v>
      </c>
      <c r="AS4" s="0" t="n">
        <f aca="false">IF(AS$3="",0,IF(COUNTIFS(実績!$W$6:$W$505,AS$3,実績!$AL$6:$AL$505,"○")&gt;0,1,0))</f>
        <v>0</v>
      </c>
      <c r="AT4" s="0" t="n">
        <f aca="false">IF(AT$3="",0,IF(COUNTIFS(実績!$W$6:$W$505,AT$3,実績!$AL$6:$AL$505,"○")&gt;0,1,0))</f>
        <v>0</v>
      </c>
      <c r="AU4" s="0" t="n">
        <f aca="false">IF(AU$3="",0,IF(COUNTIFS(実績!$W$6:$W$505,AU$3,実績!$AL$6:$AL$505,"○")&gt;0,1,0))</f>
        <v>0</v>
      </c>
      <c r="AV4" s="0" t="n">
        <f aca="false">IF(AV$3="",0,IF(COUNTIFS(実績!$W$6:$W$505,AV$3,実績!$AL$6:$AL$505,"○")&gt;0,1,0))</f>
        <v>0</v>
      </c>
      <c r="AW4" s="0" t="n">
        <f aca="false">IF(AW$3="",0,IF(COUNTIFS(実績!$W$6:$W$505,AW$3,実績!$AL$6:$AL$505,"○")&gt;0,1,0))</f>
        <v>0</v>
      </c>
      <c r="AX4" s="0" t="n">
        <f aca="false">IF(AX$3="",0,IF(COUNTIFS(実績!$W$6:$W$505,AX$3,実績!$AL$6:$AL$505,"○")&gt;0,1,0))</f>
        <v>0</v>
      </c>
      <c r="AY4" s="0" t="n">
        <f aca="false">IF(AY$3="",0,IF(COUNTIFS(実績!$W$6:$W$505,AY$3,実績!$AL$6:$AL$505,"○")&gt;0,1,0))</f>
        <v>0</v>
      </c>
      <c r="AZ4" s="0" t="n">
        <f aca="false">IF(AZ$3="",0,IF(COUNTIFS(実績!$W$6:$W$505,AZ$3,実績!$AL$6:$AL$505,"○")&gt;0,1,0))</f>
        <v>0</v>
      </c>
      <c r="BA4" s="0" t="n">
        <f aca="false">IF(BA$3="",0,IF(COUNTIFS(実績!$W$6:$W$505,BA$3,実績!$AL$6:$AL$505,"○")&gt;0,1,0))</f>
        <v>0</v>
      </c>
      <c r="BB4" s="0" t="n">
        <f aca="false">IF(BB$3="",0,IF(COUNTIFS(実績!$W$6:$W$505,BB$3,実績!$AL$6:$AL$505,"○")&gt;0,1,0))</f>
        <v>0</v>
      </c>
      <c r="BC4" s="0" t="n">
        <f aca="false">IF(BC$3="",0,IF(COUNTIFS(実績!$W$6:$W$505,BC$3,実績!$AL$6:$AL$505,"○")&gt;0,1,0))</f>
        <v>0</v>
      </c>
      <c r="BD4" s="0" t="n">
        <f aca="false">IF(BD$3="",0,IF(COUNTIFS(実績!$W$6:$W$505,BD$3,実績!$AL$6:$AL$505,"○")&gt;0,1,0))</f>
        <v>0</v>
      </c>
      <c r="BE4" s="0" t="n">
        <f aca="false">IF(BE$3="",0,IF(COUNTIFS(実績!$W$6:$W$505,BE$3,実績!$AL$6:$AL$505,"○")&gt;0,1,0))</f>
        <v>0</v>
      </c>
      <c r="BF4" s="0" t="n">
        <f aca="false">IF(BF$3="",0,IF(COUNTIFS(実績!$W$6:$W$505,BF$3,実績!$AL$6:$AL$505,"○")&gt;0,1,0))</f>
        <v>0</v>
      </c>
      <c r="BG4" s="0" t="n">
        <f aca="false">IF(BG$3="",0,IF(COUNTIFS(実績!$W$6:$W$505,BG$3,実績!$AL$6:$AL$505,"○")&gt;0,1,0))</f>
        <v>0</v>
      </c>
      <c r="BH4" s="0" t="n">
        <f aca="false">IF(BH$3="",0,IF(COUNTIFS(実績!$W$6:$W$505,BH$3,実績!$AL$6:$AL$505,"○")&gt;0,1,0))</f>
        <v>0</v>
      </c>
      <c r="BI4" s="0" t="n">
        <f aca="false">IF(BI$3="",0,IF(COUNTIFS(実績!$W$6:$W$505,BI$3,実績!$AL$6:$AL$505,"○")&gt;0,1,0))</f>
        <v>0</v>
      </c>
      <c r="BJ4" s="0" t="n">
        <f aca="false">IF(BJ$3="",0,IF(COUNTIFS(実績!$W$6:$W$505,BJ$3,実績!$AL$6:$AL$505,"○")&gt;0,1,0))</f>
        <v>0</v>
      </c>
      <c r="BK4" s="0" t="n">
        <f aca="false">IF(BK$3="",0,IF(COUNTIFS(実績!$W$6:$W$505,BK$3,実績!$AL$6:$AL$505,"○")&gt;0,1,0))</f>
        <v>0</v>
      </c>
      <c r="BL4" s="0" t="n">
        <f aca="false">IF(BL$3="",0,IF(COUNTIFS(実績!$W$6:$W$505,BL$3,実績!$AL$6:$AL$505,"○")&gt;0,1,0))</f>
        <v>0</v>
      </c>
      <c r="BM4" s="0" t="n">
        <f aca="false">IF(BM$3="",0,IF(COUNTIFS(実績!$W$6:$W$505,BM$3,実績!$AL$6:$AL$505,"○")&gt;0,1,0))</f>
        <v>0</v>
      </c>
      <c r="BN4" s="0" t="n">
        <f aca="false">IF(BN$3="",0,IF(COUNTIFS(実績!$W$6:$W$505,BN$3,実績!$AL$6:$AL$505,"○")&gt;0,1,0))</f>
        <v>0</v>
      </c>
      <c r="BO4" s="0" t="n">
        <f aca="false">IF(BO$3="",0,IF(COUNTIFS(実績!$W$6:$W$505,BO$3,実績!$AL$6:$AL$505,"○")&gt;0,1,0))</f>
        <v>0</v>
      </c>
      <c r="BP4" s="0" t="n">
        <f aca="false">IF(BP$3="",0,IF(COUNTIFS(実績!$W$6:$W$505,BP$3,実績!$AL$6:$AL$505,"○")&gt;0,1,0))</f>
        <v>0</v>
      </c>
      <c r="BQ4" s="0" t="n">
        <f aca="false">IF(BQ$3="",0,IF(COUNTIFS(実績!$W$6:$W$505,BQ$3,実績!$AL$6:$AL$505,"○")&gt;0,1,0))</f>
        <v>0</v>
      </c>
      <c r="BR4" s="0" t="n">
        <f aca="false">IF(BR$3="",0,IF(COUNTIFS(実績!$W$6:$W$505,BR$3,実績!$AL$6:$AL$505,"○")&gt;0,1,0))</f>
        <v>0</v>
      </c>
      <c r="BS4" s="0" t="n">
        <f aca="false">IF(BS$3="",0,IF(COUNTIFS(実績!$W$6:$W$505,BS$3,実績!$AL$6:$AL$505,"○")&gt;0,1,0))</f>
        <v>0</v>
      </c>
      <c r="BT4" s="0" t="n">
        <f aca="false">IF(BT$3="",0,IF(COUNTIFS(実績!$W$6:$W$505,BT$3,実績!$AL$6:$AL$505,"○")&gt;0,1,0))</f>
        <v>0</v>
      </c>
      <c r="BU4" s="0" t="n">
        <f aca="false">IF(BU$3="",0,IF(COUNTIFS(実績!$W$6:$W$505,BU$3,実績!$AL$6:$AL$505,"○")&gt;0,1,0))</f>
        <v>0</v>
      </c>
      <c r="BV4" s="0" t="n">
        <f aca="false">IF(BV$3="",0,IF(COUNTIFS(実績!$W$6:$W$505,BV$3,実績!$AL$6:$AL$505,"○")&gt;0,1,0))</f>
        <v>0</v>
      </c>
      <c r="BW4" s="0" t="n">
        <f aca="false">IF(BW$3="",0,IF(COUNTIFS(実績!$W$6:$W$505,BW$3,実績!$AL$6:$AL$505,"○")&gt;0,1,0))</f>
        <v>0</v>
      </c>
      <c r="BX4" s="0" t="n">
        <f aca="false">IF(BX$3="",0,IF(COUNTIFS(実績!$W$6:$W$505,BX$3,実績!$AL$6:$AL$505,"○")&gt;0,1,0))</f>
        <v>0</v>
      </c>
      <c r="BY4" s="0" t="n">
        <f aca="false">IF(BY$3="",0,IF(COUNTIFS(実績!$W$6:$W$505,BY$3,実績!$AL$6:$AL$505,"○")&gt;0,1,0))</f>
        <v>0</v>
      </c>
      <c r="BZ4" s="0" t="n">
        <f aca="false">IF(BZ$3="",0,IF(COUNTIFS(実績!$W$6:$W$505,BZ$3,実績!$AL$6:$AL$505,"○")&gt;0,1,0))</f>
        <v>0</v>
      </c>
      <c r="CA4" s="0" t="n">
        <f aca="false">IF(CA$3="",0,IF(COUNTIFS(実績!$W$6:$W$505,CA$3,実績!$AL$6:$AL$505,"○")&gt;0,1,0))</f>
        <v>0</v>
      </c>
      <c r="CB4" s="0" t="n">
        <f aca="false">IF(CB$3="",0,IF(COUNTIFS(実績!$W$6:$W$505,CB$3,実績!$AL$6:$AL$505,"○")&gt;0,1,0))</f>
        <v>0</v>
      </c>
      <c r="CC4" s="0" t="n">
        <f aca="false">IF(CC$3="",0,IF(COUNTIFS(実績!$W$6:$W$505,CC$3,実績!$AL$6:$AL$505,"○")&gt;0,1,0))</f>
        <v>0</v>
      </c>
      <c r="CD4" s="0" t="n">
        <f aca="false">IF(CD$3="",0,IF(COUNTIFS(実績!$W$6:$W$505,CD$3,実績!$AL$6:$AL$505,"○")&gt;0,1,0))</f>
        <v>0</v>
      </c>
      <c r="CE4" s="0" t="n">
        <f aca="false">IF(CE$3="",0,IF(COUNTIFS(実績!$W$6:$W$505,CE$3,実績!$AL$6:$AL$505,"○")&gt;0,1,0))</f>
        <v>0</v>
      </c>
      <c r="CF4" s="0" t="n">
        <f aca="false">IF(CF$3="",0,IF(COUNTIFS(実績!$W$6:$W$505,CF$3,実績!$AL$6:$AL$505,"○")&gt;0,1,0))</f>
        <v>0</v>
      </c>
      <c r="CG4" s="0" t="n">
        <f aca="false">IF(CG$3="",0,IF(COUNTIFS(実績!$W$6:$W$505,CG$3,実績!$AL$6:$AL$505,"○")&gt;0,1,0))</f>
        <v>0</v>
      </c>
      <c r="CH4" s="0" t="n">
        <f aca="false">IF(CH$3="",0,IF(COUNTIFS(実績!$W$6:$W$505,CH$3,実績!$AL$6:$AL$505,"○")&gt;0,1,0))</f>
        <v>0</v>
      </c>
      <c r="CI4" s="0" t="n">
        <f aca="false">IF(CI$3="",0,IF(COUNTIFS(実績!$W$6:$W$505,CI$3,実績!$AL$6:$AL$505,"○")&gt;0,1,0))</f>
        <v>0</v>
      </c>
      <c r="CJ4" s="0" t="n">
        <f aca="false">IF(CJ$3="",0,IF(COUNTIFS(実績!$W$6:$W$505,CJ$3,実績!$AL$6:$AL$505,"○")&gt;0,1,0))</f>
        <v>0</v>
      </c>
      <c r="CK4" s="0" t="n">
        <f aca="false">IF(CK$3="",0,IF(COUNTIFS(実績!$W$6:$W$505,CK$3,実績!$AL$6:$AL$505,"○")&gt;0,1,0))</f>
        <v>0</v>
      </c>
      <c r="CL4" s="0" t="n">
        <f aca="false">IF(CL$3="",0,IF(COUNTIFS(実績!$W$6:$W$505,CL$3,実績!$AL$6:$AL$505,"○")&gt;0,1,0))</f>
        <v>0</v>
      </c>
      <c r="CM4" s="0" t="n">
        <f aca="false">IF(CM$3="",0,IF(COUNTIFS(実績!$W$6:$W$505,CM$3,実績!$AL$6:$AL$505,"○")&gt;0,1,0))</f>
        <v>0</v>
      </c>
      <c r="CN4" s="0" t="n">
        <f aca="false">IF(CN$3="",0,IF(COUNTIFS(実績!$W$6:$W$505,CN$3,実績!$AL$6:$AL$505,"○")&gt;0,1,0))</f>
        <v>0</v>
      </c>
      <c r="CO4" s="0" t="n">
        <f aca="false">IF(CO$3="",0,IF(COUNTIFS(実績!$W$6:$W$505,CO$3,実績!$AL$6:$AL$505,"○")&gt;0,1,0))</f>
        <v>0</v>
      </c>
      <c r="CP4" s="0" t="n">
        <f aca="false">IF(CP$3="",0,IF(COUNTIFS(実績!$W$6:$W$505,CP$3,実績!$AL$6:$AL$505,"○")&gt;0,1,0))</f>
        <v>0</v>
      </c>
      <c r="CQ4" s="0" t="n">
        <f aca="false">IF(CQ$3="",0,IF(COUNTIFS(実績!$W$6:$W$505,CQ$3,実績!$AL$6:$AL$505,"○")&gt;0,1,0))</f>
        <v>0</v>
      </c>
      <c r="CR4" s="0" t="n">
        <f aca="false">IF(CR$3="",0,IF(COUNTIFS(実績!$W$6:$W$505,CR$3,実績!$AL$6:$AL$505,"○")&gt;0,1,0))</f>
        <v>0</v>
      </c>
      <c r="CS4" s="0" t="n">
        <f aca="false">IF(CS$3="",0,IF(COUNTIFS(実績!$W$6:$W$505,CS$3,実績!$AL$6:$AL$505,"○")&gt;0,1,0))</f>
        <v>0</v>
      </c>
      <c r="CT4" s="0" t="n">
        <f aca="false">IF(CT$3="",0,IF(COUNTIFS(実績!$W$6:$W$505,CT$3,実績!$AL$6:$AL$505,"○")&gt;0,1,0))</f>
        <v>0</v>
      </c>
      <c r="CU4" s="0" t="n">
        <f aca="false">IF(CU$3="",0,IF(COUNTIFS(実績!$W$6:$W$505,CU$3,実績!$AL$6:$AL$505,"○")&gt;0,1,0))</f>
        <v>0</v>
      </c>
      <c r="CV4" s="0" t="n">
        <f aca="false">IF(CV$3="",0,IF(COUNTIFS(実績!$W$6:$W$505,CV$3,実績!$AL$6:$AL$505,"○")&gt;0,1,0))</f>
        <v>0</v>
      </c>
      <c r="CW4" s="0" t="n">
        <f aca="false">IF(CW$3="",0,IF(COUNTIFS(実績!$W$6:$W$505,CW$3,実績!$AL$6:$AL$505,"○")&gt;0,1,0))</f>
        <v>0</v>
      </c>
      <c r="CX4" s="0" t="n">
        <f aca="false">IF(CX$3="",0,IF(COUNTIFS(実績!$W$6:$W$505,CX$3,実績!$AL$6:$AL$505,"○")&gt;0,1,0))</f>
        <v>0</v>
      </c>
      <c r="CY4" s="0" t="n">
        <f aca="false">IF(CY$3="",0,IF(COUNTIFS(実績!$W$6:$W$505,CY$3,実績!$AL$6:$AL$505,"○")&gt;0,1,0))</f>
        <v>0</v>
      </c>
      <c r="CZ4" s="0" t="n">
        <f aca="false">IF(CZ$3="",0,IF(COUNTIFS(実績!$W$6:$W$505,CZ$3,実績!$AL$6:$AL$505,"○")&gt;0,1,0))</f>
        <v>0</v>
      </c>
      <c r="DA4" s="0" t="n">
        <f aca="false">IF(DA$3="",0,IF(COUNTIFS(実績!$W$6:$W$505,DA$3,実績!$AL$6:$AL$505,"○")&gt;0,1,0))</f>
        <v>0</v>
      </c>
      <c r="DB4" s="0" t="n">
        <f aca="false">IF(DB$3="",0,IF(COUNTIFS(実績!$W$6:$W$505,DB$3,実績!$AL$6:$AL$505,"○")&gt;0,1,0))</f>
        <v>0</v>
      </c>
      <c r="DC4" s="0" t="n">
        <f aca="false">IF(DC$3="",0,IF(COUNTIFS(実績!$W$6:$W$505,DC$3,実績!$AL$6:$AL$505,"○")&gt;0,1,0))</f>
        <v>0</v>
      </c>
      <c r="DD4" s="0" t="n">
        <f aca="false">IF(DD$3="",0,IF(COUNTIFS(実績!$W$6:$W$505,DD$3,実績!$AL$6:$AL$505,"○")&gt;0,1,0))</f>
        <v>0</v>
      </c>
      <c r="DE4" s="0" t="n">
        <f aca="false">IF(DE$3="",0,IF(COUNTIFS(実績!$W$6:$W$505,DE$3,実績!$AL$6:$AL$505,"○")&gt;0,1,0))</f>
        <v>0</v>
      </c>
      <c r="DF4" s="0" t="n">
        <f aca="false">IF(DF$3="",0,IF(COUNTIFS(実績!$W$6:$W$505,DF$3,実績!$AL$6:$AL$505,"○")&gt;0,1,0))</f>
        <v>0</v>
      </c>
      <c r="DG4" s="0" t="n">
        <f aca="false">IF(DG$3="",0,IF(COUNTIFS(実績!$W$6:$W$505,DG$3,実績!$AL$6:$AL$505,"○")&gt;0,1,0))</f>
        <v>0</v>
      </c>
      <c r="DH4" s="0" t="n">
        <f aca="false">IF(DH$3="",0,IF(COUNTIFS(実績!$W$6:$W$505,DH$3,実績!$AL$6:$AL$505,"○")&gt;0,1,0))</f>
        <v>0</v>
      </c>
      <c r="DI4" s="0" t="n">
        <f aca="false">IF(DI$3="",0,IF(COUNTIFS(実績!$W$6:$W$505,DI$3,実績!$AL$6:$AL$505,"○")&gt;0,1,0))</f>
        <v>0</v>
      </c>
      <c r="DJ4" s="0" t="n">
        <f aca="false">IF(DJ$3="",0,IF(COUNTIFS(実績!$W$6:$W$505,DJ$3,実績!$AL$6:$AL$505,"○")&gt;0,1,0))</f>
        <v>0</v>
      </c>
      <c r="DK4" s="0" t="n">
        <f aca="false">IF(DK$3="",0,IF(COUNTIFS(実績!$W$6:$W$505,DK$3,実績!$AL$6:$AL$505,"○")&gt;0,1,0))</f>
        <v>0</v>
      </c>
      <c r="DL4" s="0" t="n">
        <f aca="false">IF(DL$3="",0,IF(COUNTIFS(実績!$W$6:$W$505,DL$3,実績!$AL$6:$AL$505,"○")&gt;0,1,0))</f>
        <v>0</v>
      </c>
      <c r="DM4" s="0" t="n">
        <f aca="false">IF(DM$3="",0,IF(COUNTIFS(実績!$W$6:$W$505,DM$3,実績!$AL$6:$AL$505,"○")&gt;0,1,0))</f>
        <v>0</v>
      </c>
      <c r="DN4" s="0" t="n">
        <f aca="false">IF(DN$3="",0,IF(COUNTIFS(実績!$W$6:$W$505,DN$3,実績!$AL$6:$AL$505,"○")&gt;0,1,0))</f>
        <v>0</v>
      </c>
      <c r="DO4" s="0" t="n">
        <f aca="false">IF(DO$3="",0,IF(COUNTIFS(実績!$W$6:$W$505,DO$3,実績!$AL$6:$AL$505,"○")&gt;0,1,0))</f>
        <v>0</v>
      </c>
      <c r="DP4" s="0" t="n">
        <f aca="false">IF(DP$3="",0,IF(COUNTIFS(実績!$W$6:$W$505,DP$3,実績!$AL$6:$AL$505,"○")&gt;0,1,0))</f>
        <v>0</v>
      </c>
      <c r="DQ4" s="0" t="n">
        <f aca="false">IF(DQ$3="",0,IF(COUNTIFS(実績!$W$6:$W$505,DQ$3,実績!$AL$6:$AL$505,"○")&gt;0,1,0))</f>
        <v>0</v>
      </c>
      <c r="DR4" s="0" t="n">
        <f aca="false">IF(DR$3="",0,IF(COUNTIFS(実績!$W$6:$W$505,DR$3,実績!$AL$6:$AL$505,"○")&gt;0,1,0))</f>
        <v>0</v>
      </c>
    </row>
    <row r="5" customFormat="false" ht="15" hidden="false" customHeight="false" outlineLevel="0" collapsed="false">
      <c r="A5" s="16" t="s">
        <v>561</v>
      </c>
      <c r="B5" s="16" t="s">
        <v>562</v>
      </c>
      <c r="DS5" s="16" t="s">
        <v>567</v>
      </c>
    </row>
    <row r="6" customFormat="false" ht="15" hidden="false" customHeight="false" outlineLevel="0" collapsed="false">
      <c r="A6" s="0" t="n">
        <v>0</v>
      </c>
      <c r="B6" s="38" t="n">
        <f aca="false">A6/1440</f>
        <v>0</v>
      </c>
      <c r="C6" s="39" t="n">
        <f aca="false">IF(C$4=0,0,IF(COUNTIFS(実績!$W$6:$W$505,C$3,実績!$AI$6:$AI$505,"&lt;="&amp;$A6,実績!$AJ$6:$AJ$505,"&gt;"&amp;$A6,実績!$AL$6:$AL$505,"○")&gt;0,1,0))</f>
        <v>0</v>
      </c>
      <c r="D6" s="39" t="n">
        <f aca="false">IF(D$4=0,0,IF(COUNTIFS(実績!$W$6:$W$505,D$3,実績!$AI$6:$AI$505,"&lt;="&amp;$A6,実績!$AJ$6:$AJ$505,"&gt;"&amp;$A6,実績!$AL$6:$AL$505,"○")&gt;0,1,0))</f>
        <v>0</v>
      </c>
      <c r="E6" s="39" t="n">
        <f aca="false">IF(E$4=0,0,IF(COUNTIFS(実績!$W$6:$W$505,E$3,実績!$AI$6:$AI$505,"&lt;="&amp;$A6,実績!$AJ$6:$AJ$505,"&gt;"&amp;$A6,実績!$AL$6:$AL$505,"○")&gt;0,1,0))</f>
        <v>0</v>
      </c>
      <c r="F6" s="39" t="n">
        <f aca="false">IF(F$4=0,0,IF(COUNTIFS(実績!$W$6:$W$505,F$3,実績!$AI$6:$AI$505,"&lt;="&amp;$A6,実績!$AJ$6:$AJ$505,"&gt;"&amp;$A6,実績!$AL$6:$AL$505,"○")&gt;0,1,0))</f>
        <v>0</v>
      </c>
      <c r="G6" s="39" t="n">
        <f aca="false">IF(G$4=0,0,IF(COUNTIFS(実績!$W$6:$W$505,G$3,実績!$AI$6:$AI$505,"&lt;="&amp;$A6,実績!$AJ$6:$AJ$505,"&gt;"&amp;$A6,実績!$AL$6:$AL$505,"○")&gt;0,1,0))</f>
        <v>0</v>
      </c>
      <c r="H6" s="39" t="n">
        <f aca="false">IF(H$4=0,0,IF(COUNTIFS(実績!$W$6:$W$505,H$3,実績!$AI$6:$AI$505,"&lt;="&amp;$A6,実績!$AJ$6:$AJ$505,"&gt;"&amp;$A6,実績!$AL$6:$AL$505,"○")&gt;0,1,0))</f>
        <v>0</v>
      </c>
      <c r="I6" s="39" t="n">
        <f aca="false">IF(I$4=0,0,IF(COUNTIFS(実績!$W$6:$W$505,I$3,実績!$AI$6:$AI$505,"&lt;="&amp;$A6,実績!$AJ$6:$AJ$505,"&gt;"&amp;$A6,実績!$AL$6:$AL$505,"○")&gt;0,1,0))</f>
        <v>0</v>
      </c>
      <c r="J6" s="39" t="n">
        <f aca="false">IF(J$4=0,0,IF(COUNTIFS(実績!$W$6:$W$505,J$3,実績!$AI$6:$AI$505,"&lt;="&amp;$A6,実績!$AJ$6:$AJ$505,"&gt;"&amp;$A6,実績!$AL$6:$AL$505,"○")&gt;0,1,0))</f>
        <v>0</v>
      </c>
      <c r="K6" s="39" t="n">
        <f aca="false">IF(K$4=0,0,IF(COUNTIFS(実績!$W$6:$W$505,K$3,実績!$AI$6:$AI$505,"&lt;="&amp;$A6,実績!$AJ$6:$AJ$505,"&gt;"&amp;$A6,実績!$AL$6:$AL$505,"○")&gt;0,1,0))</f>
        <v>0</v>
      </c>
      <c r="L6" s="39" t="n">
        <f aca="false">IF(L$4=0,0,IF(COUNTIFS(実績!$W$6:$W$505,L$3,実績!$AI$6:$AI$505,"&lt;="&amp;$A6,実績!$AJ$6:$AJ$505,"&gt;"&amp;$A6,実績!$AL$6:$AL$505,"○")&gt;0,1,0))</f>
        <v>0</v>
      </c>
      <c r="M6" s="39" t="n">
        <f aca="false">IF(M$4=0,0,IF(COUNTIFS(実績!$W$6:$W$505,M$3,実績!$AI$6:$AI$505,"&lt;="&amp;$A6,実績!$AJ$6:$AJ$505,"&gt;"&amp;$A6,実績!$AL$6:$AL$505,"○")&gt;0,1,0))</f>
        <v>0</v>
      </c>
      <c r="N6" s="39" t="n">
        <f aca="false">IF(N$4=0,0,IF(COUNTIFS(実績!$W$6:$W$505,N$3,実績!$AI$6:$AI$505,"&lt;="&amp;$A6,実績!$AJ$6:$AJ$505,"&gt;"&amp;$A6,実績!$AL$6:$AL$505,"○")&gt;0,1,0))</f>
        <v>0</v>
      </c>
      <c r="O6" s="39" t="n">
        <f aca="false">IF(O$4=0,0,IF(COUNTIFS(実績!$W$6:$W$505,O$3,実績!$AI$6:$AI$505,"&lt;="&amp;$A6,実績!$AJ$6:$AJ$505,"&gt;"&amp;$A6,実績!$AL$6:$AL$505,"○")&gt;0,1,0))</f>
        <v>0</v>
      </c>
      <c r="P6" s="39" t="n">
        <f aca="false">IF(P$4=0,0,IF(COUNTIFS(実績!$W$6:$W$505,P$3,実績!$AI$6:$AI$505,"&lt;="&amp;$A6,実績!$AJ$6:$AJ$505,"&gt;"&amp;$A6,実績!$AL$6:$AL$505,"○")&gt;0,1,0))</f>
        <v>0</v>
      </c>
      <c r="Q6" s="39" t="n">
        <f aca="false">IF(Q$4=0,0,IF(COUNTIFS(実績!$W$6:$W$505,Q$3,実績!$AI$6:$AI$505,"&lt;="&amp;$A6,実績!$AJ$6:$AJ$505,"&gt;"&amp;$A6,実績!$AL$6:$AL$505,"○")&gt;0,1,0))</f>
        <v>0</v>
      </c>
      <c r="R6" s="39" t="n">
        <f aca="false">IF(R$4=0,0,IF(COUNTIFS(実績!$W$6:$W$505,R$3,実績!$AI$6:$AI$505,"&lt;="&amp;$A6,実績!$AJ$6:$AJ$505,"&gt;"&amp;$A6,実績!$AL$6:$AL$505,"○")&gt;0,1,0))</f>
        <v>0</v>
      </c>
      <c r="S6" s="39" t="n">
        <f aca="false">IF(S$4=0,0,IF(COUNTIFS(実績!$W$6:$W$505,S$3,実績!$AI$6:$AI$505,"&lt;="&amp;$A6,実績!$AJ$6:$AJ$505,"&gt;"&amp;$A6,実績!$AL$6:$AL$505,"○")&gt;0,1,0))</f>
        <v>0</v>
      </c>
      <c r="T6" s="39" t="n">
        <f aca="false">IF(T$4=0,0,IF(COUNTIFS(実績!$W$6:$W$505,T$3,実績!$AI$6:$AI$505,"&lt;="&amp;$A6,実績!$AJ$6:$AJ$505,"&gt;"&amp;$A6,実績!$AL$6:$AL$505,"○")&gt;0,1,0))</f>
        <v>0</v>
      </c>
      <c r="U6" s="39" t="n">
        <f aca="false">IF(U$4=0,0,IF(COUNTIFS(実績!$W$6:$W$505,U$3,実績!$AI$6:$AI$505,"&lt;="&amp;$A6,実績!$AJ$6:$AJ$505,"&gt;"&amp;$A6,実績!$AL$6:$AL$505,"○")&gt;0,1,0))</f>
        <v>0</v>
      </c>
      <c r="V6" s="39" t="n">
        <f aca="false">IF(V$4=0,0,IF(COUNTIFS(実績!$W$6:$W$505,V$3,実績!$AI$6:$AI$505,"&lt;="&amp;$A6,実績!$AJ$6:$AJ$505,"&gt;"&amp;$A6,実績!$AL$6:$AL$505,"○")&gt;0,1,0))</f>
        <v>0</v>
      </c>
      <c r="W6" s="39" t="n">
        <f aca="false">IF(W$4=0,0,IF(COUNTIFS(実績!$W$6:$W$505,W$3,実績!$AI$6:$AI$505,"&lt;="&amp;$A6,実績!$AJ$6:$AJ$505,"&gt;"&amp;$A6,実績!$AL$6:$AL$505,"○")&gt;0,1,0))</f>
        <v>0</v>
      </c>
      <c r="X6" s="39" t="n">
        <f aca="false">IF(X$4=0,0,IF(COUNTIFS(実績!$W$6:$W$505,X$3,実績!$AI$6:$AI$505,"&lt;="&amp;$A6,実績!$AJ$6:$AJ$505,"&gt;"&amp;$A6,実績!$AL$6:$AL$505,"○")&gt;0,1,0))</f>
        <v>0</v>
      </c>
      <c r="Y6" s="39" t="n">
        <f aca="false">IF(Y$4=0,0,IF(COUNTIFS(実績!$W$6:$W$505,Y$3,実績!$AI$6:$AI$505,"&lt;="&amp;$A6,実績!$AJ$6:$AJ$505,"&gt;"&amp;$A6,実績!$AL$6:$AL$505,"○")&gt;0,1,0))</f>
        <v>0</v>
      </c>
      <c r="Z6" s="39" t="n">
        <f aca="false">IF(Z$4=0,0,IF(COUNTIFS(実績!$W$6:$W$505,Z$3,実績!$AI$6:$AI$505,"&lt;="&amp;$A6,実績!$AJ$6:$AJ$505,"&gt;"&amp;$A6,実績!$AL$6:$AL$505,"○")&gt;0,1,0))</f>
        <v>0</v>
      </c>
      <c r="AA6" s="39" t="n">
        <f aca="false">IF(AA$4=0,0,IF(COUNTIFS(実績!$W$6:$W$505,AA$3,実績!$AI$6:$AI$505,"&lt;="&amp;$A6,実績!$AJ$6:$AJ$505,"&gt;"&amp;$A6,実績!$AL$6:$AL$505,"○")&gt;0,1,0))</f>
        <v>0</v>
      </c>
      <c r="AB6" s="39" t="n">
        <f aca="false">IF(AB$4=0,0,IF(COUNTIFS(実績!$W$6:$W$505,AB$3,実績!$AI$6:$AI$505,"&lt;="&amp;$A6,実績!$AJ$6:$AJ$505,"&gt;"&amp;$A6,実績!$AL$6:$AL$505,"○")&gt;0,1,0))</f>
        <v>0</v>
      </c>
      <c r="AC6" s="39" t="n">
        <f aca="false">IF(AC$4=0,0,IF(COUNTIFS(実績!$W$6:$W$505,AC$3,実績!$AI$6:$AI$505,"&lt;="&amp;$A6,実績!$AJ$6:$AJ$505,"&gt;"&amp;$A6,実績!$AL$6:$AL$505,"○")&gt;0,1,0))</f>
        <v>0</v>
      </c>
      <c r="AD6" s="39" t="n">
        <f aca="false">IF(AD$4=0,0,IF(COUNTIFS(実績!$W$6:$W$505,AD$3,実績!$AI$6:$AI$505,"&lt;="&amp;$A6,実績!$AJ$6:$AJ$505,"&gt;"&amp;$A6,実績!$AL$6:$AL$505,"○")&gt;0,1,0))</f>
        <v>0</v>
      </c>
      <c r="AE6" s="39" t="n">
        <f aca="false">IF(AE$4=0,0,IF(COUNTIFS(実績!$W$6:$W$505,AE$3,実績!$AI$6:$AI$505,"&lt;="&amp;$A6,実績!$AJ$6:$AJ$505,"&gt;"&amp;$A6,実績!$AL$6:$AL$505,"○")&gt;0,1,0))</f>
        <v>0</v>
      </c>
      <c r="AF6" s="39" t="n">
        <f aca="false">IF(AF$4=0,0,IF(COUNTIFS(実績!$W$6:$W$505,AF$3,実績!$AI$6:$AI$505,"&lt;="&amp;$A6,実績!$AJ$6:$AJ$505,"&gt;"&amp;$A6,実績!$AL$6:$AL$505,"○")&gt;0,1,0))</f>
        <v>0</v>
      </c>
      <c r="AG6" s="39" t="n">
        <f aca="false">IF(AG$4=0,0,IF(COUNTIFS(実績!$W$6:$W$505,AG$3,実績!$AI$6:$AI$505,"&lt;="&amp;$A6,実績!$AJ$6:$AJ$505,"&gt;"&amp;$A6,実績!$AL$6:$AL$505,"○")&gt;0,1,0))</f>
        <v>0</v>
      </c>
      <c r="AH6" s="39" t="n">
        <f aca="false">IF(AH$4=0,0,IF(COUNTIFS(実績!$W$6:$W$505,AH$3,実績!$AI$6:$AI$505,"&lt;="&amp;$A6,実績!$AJ$6:$AJ$505,"&gt;"&amp;$A6,実績!$AL$6:$AL$505,"○")&gt;0,1,0))</f>
        <v>0</v>
      </c>
      <c r="AI6" s="39" t="n">
        <f aca="false">IF(AI$4=0,0,IF(COUNTIFS(実績!$W$6:$W$505,AI$3,実績!$AI$6:$AI$505,"&lt;="&amp;$A6,実績!$AJ$6:$AJ$505,"&gt;"&amp;$A6,実績!$AL$6:$AL$505,"○")&gt;0,1,0))</f>
        <v>0</v>
      </c>
      <c r="AJ6" s="39" t="n">
        <f aca="false">IF(AJ$4=0,0,IF(COUNTIFS(実績!$W$6:$W$505,AJ$3,実績!$AI$6:$AI$505,"&lt;="&amp;$A6,実績!$AJ$6:$AJ$505,"&gt;"&amp;$A6,実績!$AL$6:$AL$505,"○")&gt;0,1,0))</f>
        <v>0</v>
      </c>
      <c r="AK6" s="39" t="n">
        <f aca="false">IF(AK$4=0,0,IF(COUNTIFS(実績!$W$6:$W$505,AK$3,実績!$AI$6:$AI$505,"&lt;="&amp;$A6,実績!$AJ$6:$AJ$505,"&gt;"&amp;$A6,実績!$AL$6:$AL$505,"○")&gt;0,1,0))</f>
        <v>0</v>
      </c>
      <c r="AL6" s="39" t="n">
        <f aca="false">IF(AL$4=0,0,IF(COUNTIFS(実績!$W$6:$W$505,AL$3,実績!$AI$6:$AI$505,"&lt;="&amp;$A6,実績!$AJ$6:$AJ$505,"&gt;"&amp;$A6,実績!$AL$6:$AL$505,"○")&gt;0,1,0))</f>
        <v>0</v>
      </c>
      <c r="AM6" s="39" t="n">
        <f aca="false">IF(AM$4=0,0,IF(COUNTIFS(実績!$W$6:$W$505,AM$3,実績!$AI$6:$AI$505,"&lt;="&amp;$A6,実績!$AJ$6:$AJ$505,"&gt;"&amp;$A6,実績!$AL$6:$AL$505,"○")&gt;0,1,0))</f>
        <v>0</v>
      </c>
      <c r="AN6" s="39" t="n">
        <f aca="false">IF(AN$4=0,0,IF(COUNTIFS(実績!$W$6:$W$505,AN$3,実績!$AI$6:$AI$505,"&lt;="&amp;$A6,実績!$AJ$6:$AJ$505,"&gt;"&amp;$A6,実績!$AL$6:$AL$505,"○")&gt;0,1,0))</f>
        <v>0</v>
      </c>
      <c r="AO6" s="39" t="n">
        <f aca="false">IF(AO$4=0,0,IF(COUNTIFS(実績!$W$6:$W$505,AO$3,実績!$AI$6:$AI$505,"&lt;="&amp;$A6,実績!$AJ$6:$AJ$505,"&gt;"&amp;$A6,実績!$AL$6:$AL$505,"○")&gt;0,1,0))</f>
        <v>0</v>
      </c>
      <c r="AP6" s="39" t="n">
        <f aca="false">IF(AP$4=0,0,IF(COUNTIFS(実績!$W$6:$W$505,AP$3,実績!$AI$6:$AI$505,"&lt;="&amp;$A6,実績!$AJ$6:$AJ$505,"&gt;"&amp;$A6,実績!$AL$6:$AL$505,"○")&gt;0,1,0))</f>
        <v>0</v>
      </c>
      <c r="AQ6" s="39" t="n">
        <f aca="false">IF(AQ$4=0,0,IF(COUNTIFS(実績!$W$6:$W$505,AQ$3,実績!$AI$6:$AI$505,"&lt;="&amp;$A6,実績!$AJ$6:$AJ$505,"&gt;"&amp;$A6,実績!$AL$6:$AL$505,"○")&gt;0,1,0))</f>
        <v>0</v>
      </c>
      <c r="AR6" s="39" t="n">
        <f aca="false">IF(AR$4=0,0,IF(COUNTIFS(実績!$W$6:$W$505,AR$3,実績!$AI$6:$AI$505,"&lt;="&amp;$A6,実績!$AJ$6:$AJ$505,"&gt;"&amp;$A6,実績!$AL$6:$AL$505,"○")&gt;0,1,0))</f>
        <v>0</v>
      </c>
      <c r="AS6" s="39" t="n">
        <f aca="false">IF(AS$4=0,0,IF(COUNTIFS(実績!$W$6:$W$505,AS$3,実績!$AI$6:$AI$505,"&lt;="&amp;$A6,実績!$AJ$6:$AJ$505,"&gt;"&amp;$A6,実績!$AL$6:$AL$505,"○")&gt;0,1,0))</f>
        <v>0</v>
      </c>
      <c r="AT6" s="39" t="n">
        <f aca="false">IF(AT$4=0,0,IF(COUNTIFS(実績!$W$6:$W$505,AT$3,実績!$AI$6:$AI$505,"&lt;="&amp;$A6,実績!$AJ$6:$AJ$505,"&gt;"&amp;$A6,実績!$AL$6:$AL$505,"○")&gt;0,1,0))</f>
        <v>0</v>
      </c>
      <c r="AU6" s="39" t="n">
        <f aca="false">IF(AU$4=0,0,IF(COUNTIFS(実績!$W$6:$W$505,AU$3,実績!$AI$6:$AI$505,"&lt;="&amp;$A6,実績!$AJ$6:$AJ$505,"&gt;"&amp;$A6,実績!$AL$6:$AL$505,"○")&gt;0,1,0))</f>
        <v>0</v>
      </c>
      <c r="AV6" s="39" t="n">
        <f aca="false">IF(AV$4=0,0,IF(COUNTIFS(実績!$W$6:$W$505,AV$3,実績!$AI$6:$AI$505,"&lt;="&amp;$A6,実績!$AJ$6:$AJ$505,"&gt;"&amp;$A6,実績!$AL$6:$AL$505,"○")&gt;0,1,0))</f>
        <v>0</v>
      </c>
      <c r="AW6" s="39" t="n">
        <f aca="false">IF(AW$4=0,0,IF(COUNTIFS(実績!$W$6:$W$505,AW$3,実績!$AI$6:$AI$505,"&lt;="&amp;$A6,実績!$AJ$6:$AJ$505,"&gt;"&amp;$A6,実績!$AL$6:$AL$505,"○")&gt;0,1,0))</f>
        <v>0</v>
      </c>
      <c r="AX6" s="39" t="n">
        <f aca="false">IF(AX$4=0,0,IF(COUNTIFS(実績!$W$6:$W$505,AX$3,実績!$AI$6:$AI$505,"&lt;="&amp;$A6,実績!$AJ$6:$AJ$505,"&gt;"&amp;$A6,実績!$AL$6:$AL$505,"○")&gt;0,1,0))</f>
        <v>0</v>
      </c>
      <c r="AY6" s="39" t="n">
        <f aca="false">IF(AY$4=0,0,IF(COUNTIFS(実績!$W$6:$W$505,AY$3,実績!$AI$6:$AI$505,"&lt;="&amp;$A6,実績!$AJ$6:$AJ$505,"&gt;"&amp;$A6,実績!$AL$6:$AL$505,"○")&gt;0,1,0))</f>
        <v>0</v>
      </c>
      <c r="AZ6" s="39" t="n">
        <f aca="false">IF(AZ$4=0,0,IF(COUNTIFS(実績!$W$6:$W$505,AZ$3,実績!$AI$6:$AI$505,"&lt;="&amp;$A6,実績!$AJ$6:$AJ$505,"&gt;"&amp;$A6,実績!$AL$6:$AL$505,"○")&gt;0,1,0))</f>
        <v>0</v>
      </c>
      <c r="BA6" s="39" t="n">
        <f aca="false">IF(BA$4=0,0,IF(COUNTIFS(実績!$W$6:$W$505,BA$3,実績!$AI$6:$AI$505,"&lt;="&amp;$A6,実績!$AJ$6:$AJ$505,"&gt;"&amp;$A6,実績!$AL$6:$AL$505,"○")&gt;0,1,0))</f>
        <v>0</v>
      </c>
      <c r="BB6" s="39" t="n">
        <f aca="false">IF(BB$4=0,0,IF(COUNTIFS(実績!$W$6:$W$505,BB$3,実績!$AI$6:$AI$505,"&lt;="&amp;$A6,実績!$AJ$6:$AJ$505,"&gt;"&amp;$A6,実績!$AL$6:$AL$505,"○")&gt;0,1,0))</f>
        <v>0</v>
      </c>
      <c r="BC6" s="39" t="n">
        <f aca="false">IF(BC$4=0,0,IF(COUNTIFS(実績!$W$6:$W$505,BC$3,実績!$AI$6:$AI$505,"&lt;="&amp;$A6,実績!$AJ$6:$AJ$505,"&gt;"&amp;$A6,実績!$AL$6:$AL$505,"○")&gt;0,1,0))</f>
        <v>0</v>
      </c>
      <c r="BD6" s="39" t="n">
        <f aca="false">IF(BD$4=0,0,IF(COUNTIFS(実績!$W$6:$W$505,BD$3,実績!$AI$6:$AI$505,"&lt;="&amp;$A6,実績!$AJ$6:$AJ$505,"&gt;"&amp;$A6,実績!$AL$6:$AL$505,"○")&gt;0,1,0))</f>
        <v>0</v>
      </c>
      <c r="BE6" s="39" t="n">
        <f aca="false">IF(BE$4=0,0,IF(COUNTIFS(実績!$W$6:$W$505,BE$3,実績!$AI$6:$AI$505,"&lt;="&amp;$A6,実績!$AJ$6:$AJ$505,"&gt;"&amp;$A6,実績!$AL$6:$AL$505,"○")&gt;0,1,0))</f>
        <v>0</v>
      </c>
      <c r="BF6" s="39" t="n">
        <f aca="false">IF(BF$4=0,0,IF(COUNTIFS(実績!$W$6:$W$505,BF$3,実績!$AI$6:$AI$505,"&lt;="&amp;$A6,実績!$AJ$6:$AJ$505,"&gt;"&amp;$A6,実績!$AL$6:$AL$505,"○")&gt;0,1,0))</f>
        <v>0</v>
      </c>
      <c r="BG6" s="39" t="n">
        <f aca="false">IF(BG$4=0,0,IF(COUNTIFS(実績!$W$6:$W$505,BG$3,実績!$AI$6:$AI$505,"&lt;="&amp;$A6,実績!$AJ$6:$AJ$505,"&gt;"&amp;$A6,実績!$AL$6:$AL$505,"○")&gt;0,1,0))</f>
        <v>0</v>
      </c>
      <c r="BH6" s="39" t="n">
        <f aca="false">IF(BH$4=0,0,IF(COUNTIFS(実績!$W$6:$W$505,BH$3,実績!$AI$6:$AI$505,"&lt;="&amp;$A6,実績!$AJ$6:$AJ$505,"&gt;"&amp;$A6,実績!$AL$6:$AL$505,"○")&gt;0,1,0))</f>
        <v>0</v>
      </c>
      <c r="BI6" s="39" t="n">
        <f aca="false">IF(BI$4=0,0,IF(COUNTIFS(実績!$W$6:$W$505,BI$3,実績!$AI$6:$AI$505,"&lt;="&amp;$A6,実績!$AJ$6:$AJ$505,"&gt;"&amp;$A6,実績!$AL$6:$AL$505,"○")&gt;0,1,0))</f>
        <v>0</v>
      </c>
      <c r="BJ6" s="39" t="n">
        <f aca="false">IF(BJ$4=0,0,IF(COUNTIFS(実績!$W$6:$W$505,BJ$3,実績!$AI$6:$AI$505,"&lt;="&amp;$A6,実績!$AJ$6:$AJ$505,"&gt;"&amp;$A6,実績!$AL$6:$AL$505,"○")&gt;0,1,0))</f>
        <v>0</v>
      </c>
      <c r="BK6" s="39" t="n">
        <f aca="false">IF(BK$4=0,0,IF(COUNTIFS(実績!$W$6:$W$505,BK$3,実績!$AI$6:$AI$505,"&lt;="&amp;$A6,実績!$AJ$6:$AJ$505,"&gt;"&amp;$A6,実績!$AL$6:$AL$505,"○")&gt;0,1,0))</f>
        <v>0</v>
      </c>
      <c r="BL6" s="39" t="n">
        <f aca="false">IF(BL$4=0,0,IF(COUNTIFS(実績!$W$6:$W$505,BL$3,実績!$AI$6:$AI$505,"&lt;="&amp;$A6,実績!$AJ$6:$AJ$505,"&gt;"&amp;$A6,実績!$AL$6:$AL$505,"○")&gt;0,1,0))</f>
        <v>0</v>
      </c>
      <c r="BM6" s="39" t="n">
        <f aca="false">IF(BM$4=0,0,IF(COUNTIFS(実績!$W$6:$W$505,BM$3,実績!$AI$6:$AI$505,"&lt;="&amp;$A6,実績!$AJ$6:$AJ$505,"&gt;"&amp;$A6,実績!$AL$6:$AL$505,"○")&gt;0,1,0))</f>
        <v>0</v>
      </c>
      <c r="BN6" s="39" t="n">
        <f aca="false">IF(BN$4=0,0,IF(COUNTIFS(実績!$W$6:$W$505,BN$3,実績!$AI$6:$AI$505,"&lt;="&amp;$A6,実績!$AJ$6:$AJ$505,"&gt;"&amp;$A6,実績!$AL$6:$AL$505,"○")&gt;0,1,0))</f>
        <v>0</v>
      </c>
      <c r="BO6" s="39" t="n">
        <f aca="false">IF(BO$4=0,0,IF(COUNTIFS(実績!$W$6:$W$505,BO$3,実績!$AI$6:$AI$505,"&lt;="&amp;$A6,実績!$AJ$6:$AJ$505,"&gt;"&amp;$A6,実績!$AL$6:$AL$505,"○")&gt;0,1,0))</f>
        <v>0</v>
      </c>
      <c r="BP6" s="39" t="n">
        <f aca="false">IF(BP$4=0,0,IF(COUNTIFS(実績!$W$6:$W$505,BP$3,実績!$AI$6:$AI$505,"&lt;="&amp;$A6,実績!$AJ$6:$AJ$505,"&gt;"&amp;$A6,実績!$AL$6:$AL$505,"○")&gt;0,1,0))</f>
        <v>0</v>
      </c>
      <c r="BQ6" s="39" t="n">
        <f aca="false">IF(BQ$4=0,0,IF(COUNTIFS(実績!$W$6:$W$505,BQ$3,実績!$AI$6:$AI$505,"&lt;="&amp;$A6,実績!$AJ$6:$AJ$505,"&gt;"&amp;$A6,実績!$AL$6:$AL$505,"○")&gt;0,1,0))</f>
        <v>0</v>
      </c>
      <c r="BR6" s="39" t="n">
        <f aca="false">IF(BR$4=0,0,IF(COUNTIFS(実績!$W$6:$W$505,BR$3,実績!$AI$6:$AI$505,"&lt;="&amp;$A6,実績!$AJ$6:$AJ$505,"&gt;"&amp;$A6,実績!$AL$6:$AL$505,"○")&gt;0,1,0))</f>
        <v>0</v>
      </c>
      <c r="BS6" s="39" t="n">
        <f aca="false">IF(BS$4=0,0,IF(COUNTIFS(実績!$W$6:$W$505,BS$3,実績!$AI$6:$AI$505,"&lt;="&amp;$A6,実績!$AJ$6:$AJ$505,"&gt;"&amp;$A6,実績!$AL$6:$AL$505,"○")&gt;0,1,0))</f>
        <v>0</v>
      </c>
      <c r="BT6" s="39" t="n">
        <f aca="false">IF(BT$4=0,0,IF(COUNTIFS(実績!$W$6:$W$505,BT$3,実績!$AI$6:$AI$505,"&lt;="&amp;$A6,実績!$AJ$6:$AJ$505,"&gt;"&amp;$A6,実績!$AL$6:$AL$505,"○")&gt;0,1,0))</f>
        <v>0</v>
      </c>
      <c r="BU6" s="39" t="n">
        <f aca="false">IF(BU$4=0,0,IF(COUNTIFS(実績!$W$6:$W$505,BU$3,実績!$AI$6:$AI$505,"&lt;="&amp;$A6,実績!$AJ$6:$AJ$505,"&gt;"&amp;$A6,実績!$AL$6:$AL$505,"○")&gt;0,1,0))</f>
        <v>0</v>
      </c>
      <c r="BV6" s="39" t="n">
        <f aca="false">IF(BV$4=0,0,IF(COUNTIFS(実績!$W$6:$W$505,BV$3,実績!$AI$6:$AI$505,"&lt;="&amp;$A6,実績!$AJ$6:$AJ$505,"&gt;"&amp;$A6,実績!$AL$6:$AL$505,"○")&gt;0,1,0))</f>
        <v>0</v>
      </c>
      <c r="BW6" s="39" t="n">
        <f aca="false">IF(BW$4=0,0,IF(COUNTIFS(実績!$W$6:$W$505,BW$3,実績!$AI$6:$AI$505,"&lt;="&amp;$A6,実績!$AJ$6:$AJ$505,"&gt;"&amp;$A6,実績!$AL$6:$AL$505,"○")&gt;0,1,0))</f>
        <v>0</v>
      </c>
      <c r="BX6" s="39" t="n">
        <f aca="false">IF(BX$4=0,0,IF(COUNTIFS(実績!$W$6:$W$505,BX$3,実績!$AI$6:$AI$505,"&lt;="&amp;$A6,実績!$AJ$6:$AJ$505,"&gt;"&amp;$A6,実績!$AL$6:$AL$505,"○")&gt;0,1,0))</f>
        <v>0</v>
      </c>
      <c r="BY6" s="39" t="n">
        <f aca="false">IF(BY$4=0,0,IF(COUNTIFS(実績!$W$6:$W$505,BY$3,実績!$AI$6:$AI$505,"&lt;="&amp;$A6,実績!$AJ$6:$AJ$505,"&gt;"&amp;$A6,実績!$AL$6:$AL$505,"○")&gt;0,1,0))</f>
        <v>0</v>
      </c>
      <c r="BZ6" s="39" t="n">
        <f aca="false">IF(BZ$4=0,0,IF(COUNTIFS(実績!$W$6:$W$505,BZ$3,実績!$AI$6:$AI$505,"&lt;="&amp;$A6,実績!$AJ$6:$AJ$505,"&gt;"&amp;$A6,実績!$AL$6:$AL$505,"○")&gt;0,1,0))</f>
        <v>0</v>
      </c>
      <c r="CA6" s="39" t="n">
        <f aca="false">IF(CA$4=0,0,IF(COUNTIFS(実績!$W$6:$W$505,CA$3,実績!$AI$6:$AI$505,"&lt;="&amp;$A6,実績!$AJ$6:$AJ$505,"&gt;"&amp;$A6,実績!$AL$6:$AL$505,"○")&gt;0,1,0))</f>
        <v>0</v>
      </c>
      <c r="CB6" s="39" t="n">
        <f aca="false">IF(CB$4=0,0,IF(COUNTIFS(実績!$W$6:$W$505,CB$3,実績!$AI$6:$AI$505,"&lt;="&amp;$A6,実績!$AJ$6:$AJ$505,"&gt;"&amp;$A6,実績!$AL$6:$AL$505,"○")&gt;0,1,0))</f>
        <v>0</v>
      </c>
      <c r="CC6" s="39" t="n">
        <f aca="false">IF(CC$4=0,0,IF(COUNTIFS(実績!$W$6:$W$505,CC$3,実績!$AI$6:$AI$505,"&lt;="&amp;$A6,実績!$AJ$6:$AJ$505,"&gt;"&amp;$A6,実績!$AL$6:$AL$505,"○")&gt;0,1,0))</f>
        <v>0</v>
      </c>
      <c r="CD6" s="39" t="n">
        <f aca="false">IF(CD$4=0,0,IF(COUNTIFS(実績!$W$6:$W$505,CD$3,実績!$AI$6:$AI$505,"&lt;="&amp;$A6,実績!$AJ$6:$AJ$505,"&gt;"&amp;$A6,実績!$AL$6:$AL$505,"○")&gt;0,1,0))</f>
        <v>0</v>
      </c>
      <c r="CE6" s="39" t="n">
        <f aca="false">IF(CE$4=0,0,IF(COUNTIFS(実績!$W$6:$W$505,CE$3,実績!$AI$6:$AI$505,"&lt;="&amp;$A6,実績!$AJ$6:$AJ$505,"&gt;"&amp;$A6,実績!$AL$6:$AL$505,"○")&gt;0,1,0))</f>
        <v>0</v>
      </c>
      <c r="CF6" s="39" t="n">
        <f aca="false">IF(CF$4=0,0,IF(COUNTIFS(実績!$W$6:$W$505,CF$3,実績!$AI$6:$AI$505,"&lt;="&amp;$A6,実績!$AJ$6:$AJ$505,"&gt;"&amp;$A6,実績!$AL$6:$AL$505,"○")&gt;0,1,0))</f>
        <v>0</v>
      </c>
      <c r="CG6" s="39" t="n">
        <f aca="false">IF(CG$4=0,0,IF(COUNTIFS(実績!$W$6:$W$505,CG$3,実績!$AI$6:$AI$505,"&lt;="&amp;$A6,実績!$AJ$6:$AJ$505,"&gt;"&amp;$A6,実績!$AL$6:$AL$505,"○")&gt;0,1,0))</f>
        <v>0</v>
      </c>
      <c r="CH6" s="39" t="n">
        <f aca="false">IF(CH$4=0,0,IF(COUNTIFS(実績!$W$6:$W$505,CH$3,実績!$AI$6:$AI$505,"&lt;="&amp;$A6,実績!$AJ$6:$AJ$505,"&gt;"&amp;$A6,実績!$AL$6:$AL$505,"○")&gt;0,1,0))</f>
        <v>0</v>
      </c>
      <c r="CI6" s="39" t="n">
        <f aca="false">IF(CI$4=0,0,IF(COUNTIFS(実績!$W$6:$W$505,CI$3,実績!$AI$6:$AI$505,"&lt;="&amp;$A6,実績!$AJ$6:$AJ$505,"&gt;"&amp;$A6,実績!$AL$6:$AL$505,"○")&gt;0,1,0))</f>
        <v>0</v>
      </c>
      <c r="CJ6" s="39" t="n">
        <f aca="false">IF(CJ$4=0,0,IF(COUNTIFS(実績!$W$6:$W$505,CJ$3,実績!$AI$6:$AI$505,"&lt;="&amp;$A6,実績!$AJ$6:$AJ$505,"&gt;"&amp;$A6,実績!$AL$6:$AL$505,"○")&gt;0,1,0))</f>
        <v>0</v>
      </c>
      <c r="CK6" s="39" t="n">
        <f aca="false">IF(CK$4=0,0,IF(COUNTIFS(実績!$W$6:$W$505,CK$3,実績!$AI$6:$AI$505,"&lt;="&amp;$A6,実績!$AJ$6:$AJ$505,"&gt;"&amp;$A6,実績!$AL$6:$AL$505,"○")&gt;0,1,0))</f>
        <v>0</v>
      </c>
      <c r="CL6" s="39" t="n">
        <f aca="false">IF(CL$4=0,0,IF(COUNTIFS(実績!$W$6:$W$505,CL$3,実績!$AI$6:$AI$505,"&lt;="&amp;$A6,実績!$AJ$6:$AJ$505,"&gt;"&amp;$A6,実績!$AL$6:$AL$505,"○")&gt;0,1,0))</f>
        <v>0</v>
      </c>
      <c r="CM6" s="39" t="n">
        <f aca="false">IF(CM$4=0,0,IF(COUNTIFS(実績!$W$6:$W$505,CM$3,実績!$AI$6:$AI$505,"&lt;="&amp;$A6,実績!$AJ$6:$AJ$505,"&gt;"&amp;$A6,実績!$AL$6:$AL$505,"○")&gt;0,1,0))</f>
        <v>0</v>
      </c>
      <c r="CN6" s="39" t="n">
        <f aca="false">IF(CN$4=0,0,IF(COUNTIFS(実績!$W$6:$W$505,CN$3,実績!$AI$6:$AI$505,"&lt;="&amp;$A6,実績!$AJ$6:$AJ$505,"&gt;"&amp;$A6,実績!$AL$6:$AL$505,"○")&gt;0,1,0))</f>
        <v>0</v>
      </c>
      <c r="CO6" s="39" t="n">
        <f aca="false">IF(CO$4=0,0,IF(COUNTIFS(実績!$W$6:$W$505,CO$3,実績!$AI$6:$AI$505,"&lt;="&amp;$A6,実績!$AJ$6:$AJ$505,"&gt;"&amp;$A6,実績!$AL$6:$AL$505,"○")&gt;0,1,0))</f>
        <v>0</v>
      </c>
      <c r="CP6" s="39" t="n">
        <f aca="false">IF(CP$4=0,0,IF(COUNTIFS(実績!$W$6:$W$505,CP$3,実績!$AI$6:$AI$505,"&lt;="&amp;$A6,実績!$AJ$6:$AJ$505,"&gt;"&amp;$A6,実績!$AL$6:$AL$505,"○")&gt;0,1,0))</f>
        <v>0</v>
      </c>
      <c r="CQ6" s="39" t="n">
        <f aca="false">IF(CQ$4=0,0,IF(COUNTIFS(実績!$W$6:$W$505,CQ$3,実績!$AI$6:$AI$505,"&lt;="&amp;$A6,実績!$AJ$6:$AJ$505,"&gt;"&amp;$A6,実績!$AL$6:$AL$505,"○")&gt;0,1,0))</f>
        <v>0</v>
      </c>
      <c r="CR6" s="39" t="n">
        <f aca="false">IF(CR$4=0,0,IF(COUNTIFS(実績!$W$6:$W$505,CR$3,実績!$AI$6:$AI$505,"&lt;="&amp;$A6,実績!$AJ$6:$AJ$505,"&gt;"&amp;$A6,実績!$AL$6:$AL$505,"○")&gt;0,1,0))</f>
        <v>0</v>
      </c>
      <c r="CS6" s="39" t="n">
        <f aca="false">IF(CS$4=0,0,IF(COUNTIFS(実績!$W$6:$W$505,CS$3,実績!$AI$6:$AI$505,"&lt;="&amp;$A6,実績!$AJ$6:$AJ$505,"&gt;"&amp;$A6,実績!$AL$6:$AL$505,"○")&gt;0,1,0))</f>
        <v>0</v>
      </c>
      <c r="CT6" s="39" t="n">
        <f aca="false">IF(CT$4=0,0,IF(COUNTIFS(実績!$W$6:$W$505,CT$3,実績!$AI$6:$AI$505,"&lt;="&amp;$A6,実績!$AJ$6:$AJ$505,"&gt;"&amp;$A6,実績!$AL$6:$AL$505,"○")&gt;0,1,0))</f>
        <v>0</v>
      </c>
      <c r="CU6" s="39" t="n">
        <f aca="false">IF(CU$4=0,0,IF(COUNTIFS(実績!$W$6:$W$505,CU$3,実績!$AI$6:$AI$505,"&lt;="&amp;$A6,実績!$AJ$6:$AJ$505,"&gt;"&amp;$A6,実績!$AL$6:$AL$505,"○")&gt;0,1,0))</f>
        <v>0</v>
      </c>
      <c r="CV6" s="39" t="n">
        <f aca="false">IF(CV$4=0,0,IF(COUNTIFS(実績!$W$6:$W$505,CV$3,実績!$AI$6:$AI$505,"&lt;="&amp;$A6,実績!$AJ$6:$AJ$505,"&gt;"&amp;$A6,実績!$AL$6:$AL$505,"○")&gt;0,1,0))</f>
        <v>0</v>
      </c>
      <c r="CW6" s="39" t="n">
        <f aca="false">IF(CW$4=0,0,IF(COUNTIFS(実績!$W$6:$W$505,CW$3,実績!$AI$6:$AI$505,"&lt;="&amp;$A6,実績!$AJ$6:$AJ$505,"&gt;"&amp;$A6,実績!$AL$6:$AL$505,"○")&gt;0,1,0))</f>
        <v>0</v>
      </c>
      <c r="CX6" s="39" t="n">
        <f aca="false">IF(CX$4=0,0,IF(COUNTIFS(実績!$W$6:$W$505,CX$3,実績!$AI$6:$AI$505,"&lt;="&amp;$A6,実績!$AJ$6:$AJ$505,"&gt;"&amp;$A6,実績!$AL$6:$AL$505,"○")&gt;0,1,0))</f>
        <v>0</v>
      </c>
      <c r="CY6" s="39" t="n">
        <f aca="false">IF(CY$4=0,0,IF(COUNTIFS(実績!$W$6:$W$505,CY$3,実績!$AI$6:$AI$505,"&lt;="&amp;$A6,実績!$AJ$6:$AJ$505,"&gt;"&amp;$A6,実績!$AL$6:$AL$505,"○")&gt;0,1,0))</f>
        <v>0</v>
      </c>
      <c r="CZ6" s="39" t="n">
        <f aca="false">IF(CZ$4=0,0,IF(COUNTIFS(実績!$W$6:$W$505,CZ$3,実績!$AI$6:$AI$505,"&lt;="&amp;$A6,実績!$AJ$6:$AJ$505,"&gt;"&amp;$A6,実績!$AL$6:$AL$505,"○")&gt;0,1,0))</f>
        <v>0</v>
      </c>
      <c r="DA6" s="39" t="n">
        <f aca="false">IF(DA$4=0,0,IF(COUNTIFS(実績!$W$6:$W$505,DA$3,実績!$AI$6:$AI$505,"&lt;="&amp;$A6,実績!$AJ$6:$AJ$505,"&gt;"&amp;$A6,実績!$AL$6:$AL$505,"○")&gt;0,1,0))</f>
        <v>0</v>
      </c>
      <c r="DB6" s="39" t="n">
        <f aca="false">IF(DB$4=0,0,IF(COUNTIFS(実績!$W$6:$W$505,DB$3,実績!$AI$6:$AI$505,"&lt;="&amp;$A6,実績!$AJ$6:$AJ$505,"&gt;"&amp;$A6,実績!$AL$6:$AL$505,"○")&gt;0,1,0))</f>
        <v>0</v>
      </c>
      <c r="DC6" s="39" t="n">
        <f aca="false">IF(DC$4=0,0,IF(COUNTIFS(実績!$W$6:$W$505,DC$3,実績!$AI$6:$AI$505,"&lt;="&amp;$A6,実績!$AJ$6:$AJ$505,"&gt;"&amp;$A6,実績!$AL$6:$AL$505,"○")&gt;0,1,0))</f>
        <v>0</v>
      </c>
      <c r="DD6" s="39" t="n">
        <f aca="false">IF(DD$4=0,0,IF(COUNTIFS(実績!$W$6:$W$505,DD$3,実績!$AI$6:$AI$505,"&lt;="&amp;$A6,実績!$AJ$6:$AJ$505,"&gt;"&amp;$A6,実績!$AL$6:$AL$505,"○")&gt;0,1,0))</f>
        <v>0</v>
      </c>
      <c r="DE6" s="39" t="n">
        <f aca="false">IF(DE$4=0,0,IF(COUNTIFS(実績!$W$6:$W$505,DE$3,実績!$AI$6:$AI$505,"&lt;="&amp;$A6,実績!$AJ$6:$AJ$505,"&gt;"&amp;$A6,実績!$AL$6:$AL$505,"○")&gt;0,1,0))</f>
        <v>0</v>
      </c>
      <c r="DF6" s="39" t="n">
        <f aca="false">IF(DF$4=0,0,IF(COUNTIFS(実績!$W$6:$W$505,DF$3,実績!$AI$6:$AI$505,"&lt;="&amp;$A6,実績!$AJ$6:$AJ$505,"&gt;"&amp;$A6,実績!$AL$6:$AL$505,"○")&gt;0,1,0))</f>
        <v>0</v>
      </c>
      <c r="DG6" s="39" t="n">
        <f aca="false">IF(DG$4=0,0,IF(COUNTIFS(実績!$W$6:$W$505,DG$3,実績!$AI$6:$AI$505,"&lt;="&amp;$A6,実績!$AJ$6:$AJ$505,"&gt;"&amp;$A6,実績!$AL$6:$AL$505,"○")&gt;0,1,0))</f>
        <v>0</v>
      </c>
      <c r="DH6" s="39" t="n">
        <f aca="false">IF(DH$4=0,0,IF(COUNTIFS(実績!$W$6:$W$505,DH$3,実績!$AI$6:$AI$505,"&lt;="&amp;$A6,実績!$AJ$6:$AJ$505,"&gt;"&amp;$A6,実績!$AL$6:$AL$505,"○")&gt;0,1,0))</f>
        <v>0</v>
      </c>
      <c r="DI6" s="39" t="n">
        <f aca="false">IF(DI$4=0,0,IF(COUNTIFS(実績!$W$6:$W$505,DI$3,実績!$AI$6:$AI$505,"&lt;="&amp;$A6,実績!$AJ$6:$AJ$505,"&gt;"&amp;$A6,実績!$AL$6:$AL$505,"○")&gt;0,1,0))</f>
        <v>0</v>
      </c>
      <c r="DJ6" s="39" t="n">
        <f aca="false">IF(DJ$4=0,0,IF(COUNTIFS(実績!$W$6:$W$505,DJ$3,実績!$AI$6:$AI$505,"&lt;="&amp;$A6,実績!$AJ$6:$AJ$505,"&gt;"&amp;$A6,実績!$AL$6:$AL$505,"○")&gt;0,1,0))</f>
        <v>0</v>
      </c>
      <c r="DK6" s="39" t="n">
        <f aca="false">IF(DK$4=0,0,IF(COUNTIFS(実績!$W$6:$W$505,DK$3,実績!$AI$6:$AI$505,"&lt;="&amp;$A6,実績!$AJ$6:$AJ$505,"&gt;"&amp;$A6,実績!$AL$6:$AL$505,"○")&gt;0,1,0))</f>
        <v>0</v>
      </c>
      <c r="DL6" s="39" t="n">
        <f aca="false">IF(DL$4=0,0,IF(COUNTIFS(実績!$W$6:$W$505,DL$3,実績!$AI$6:$AI$505,"&lt;="&amp;$A6,実績!$AJ$6:$AJ$505,"&gt;"&amp;$A6,実績!$AL$6:$AL$505,"○")&gt;0,1,0))</f>
        <v>0</v>
      </c>
      <c r="DM6" s="39" t="n">
        <f aca="false">IF(DM$4=0,0,IF(COUNTIFS(実績!$W$6:$W$505,DM$3,実績!$AI$6:$AI$505,"&lt;="&amp;$A6,実績!$AJ$6:$AJ$505,"&gt;"&amp;$A6,実績!$AL$6:$AL$505,"○")&gt;0,1,0))</f>
        <v>0</v>
      </c>
      <c r="DN6" s="39" t="n">
        <f aca="false">IF(DN$4=0,0,IF(COUNTIFS(実績!$W$6:$W$505,DN$3,実績!$AI$6:$AI$505,"&lt;="&amp;$A6,実績!$AJ$6:$AJ$505,"&gt;"&amp;$A6,実績!$AL$6:$AL$505,"○")&gt;0,1,0))</f>
        <v>0</v>
      </c>
      <c r="DO6" s="39" t="n">
        <f aca="false">IF(DO$4=0,0,IF(COUNTIFS(実績!$W$6:$W$505,DO$3,実績!$AI$6:$AI$505,"&lt;="&amp;$A6,実績!$AJ$6:$AJ$505,"&gt;"&amp;$A6,実績!$AL$6:$AL$505,"○")&gt;0,1,0))</f>
        <v>0</v>
      </c>
      <c r="DP6" s="39" t="n">
        <f aca="false">IF(DP$4=0,0,IF(COUNTIFS(実績!$W$6:$W$505,DP$3,実績!$AI$6:$AI$505,"&lt;="&amp;$A6,実績!$AJ$6:$AJ$505,"&gt;"&amp;$A6,実績!$AL$6:$AL$505,"○")&gt;0,1,0))</f>
        <v>0</v>
      </c>
      <c r="DQ6" s="39" t="n">
        <f aca="false">IF(DQ$4=0,0,IF(COUNTIFS(実績!$W$6:$W$505,DQ$3,実績!$AI$6:$AI$505,"&lt;="&amp;$A6,実績!$AJ$6:$AJ$505,"&gt;"&amp;$A6,実績!$AL$6:$AL$505,"○")&gt;0,1,0))</f>
        <v>0</v>
      </c>
      <c r="DR6" s="39" t="n">
        <f aca="false">IF(DR$4=0,0,IF(COUNTIFS(実績!$W$6:$W$505,DR$3,実績!$AI$6:$AI$505,"&lt;="&amp;$A6,実績!$AJ$6:$AJ$505,"&gt;"&amp;$A6,実績!$AL$6:$AL$505,"○")&gt;0,1,0))</f>
        <v>0</v>
      </c>
      <c r="DS6" s="39" t="n">
        <f aca="false">SUM(C6:DR6)</f>
        <v>0</v>
      </c>
    </row>
    <row r="7" customFormat="false" ht="15" hidden="false" customHeight="false" outlineLevel="0" collapsed="false">
      <c r="A7" s="0" t="n">
        <v>5</v>
      </c>
      <c r="B7" s="38" t="n">
        <f aca="false">A7/1440</f>
        <v>0.00347222222222222</v>
      </c>
      <c r="C7" s="39" t="n">
        <f aca="false">IF(C$4=0,0,IF(COUNTIFS(実績!$W$6:$W$505,C$3,実績!$AI$6:$AI$505,"&lt;="&amp;$A7,実績!$AJ$6:$AJ$505,"&gt;"&amp;$A7,実績!$AL$6:$AL$505,"○")&gt;0,1,0))</f>
        <v>0</v>
      </c>
      <c r="D7" s="39" t="n">
        <f aca="false">IF(D$4=0,0,IF(COUNTIFS(実績!$W$6:$W$505,D$3,実績!$AI$6:$AI$505,"&lt;="&amp;$A7,実績!$AJ$6:$AJ$505,"&gt;"&amp;$A7,実績!$AL$6:$AL$505,"○")&gt;0,1,0))</f>
        <v>0</v>
      </c>
      <c r="E7" s="39" t="n">
        <f aca="false">IF(E$4=0,0,IF(COUNTIFS(実績!$W$6:$W$505,E$3,実績!$AI$6:$AI$505,"&lt;="&amp;$A7,実績!$AJ$6:$AJ$505,"&gt;"&amp;$A7,実績!$AL$6:$AL$505,"○")&gt;0,1,0))</f>
        <v>0</v>
      </c>
      <c r="F7" s="39" t="n">
        <f aca="false">IF(F$4=0,0,IF(COUNTIFS(実績!$W$6:$W$505,F$3,実績!$AI$6:$AI$505,"&lt;="&amp;$A7,実績!$AJ$6:$AJ$505,"&gt;"&amp;$A7,実績!$AL$6:$AL$505,"○")&gt;0,1,0))</f>
        <v>0</v>
      </c>
      <c r="G7" s="39" t="n">
        <f aca="false">IF(G$4=0,0,IF(COUNTIFS(実績!$W$6:$W$505,G$3,実績!$AI$6:$AI$505,"&lt;="&amp;$A7,実績!$AJ$6:$AJ$505,"&gt;"&amp;$A7,実績!$AL$6:$AL$505,"○")&gt;0,1,0))</f>
        <v>0</v>
      </c>
      <c r="H7" s="39" t="n">
        <f aca="false">IF(H$4=0,0,IF(COUNTIFS(実績!$W$6:$W$505,H$3,実績!$AI$6:$AI$505,"&lt;="&amp;$A7,実績!$AJ$6:$AJ$505,"&gt;"&amp;$A7,実績!$AL$6:$AL$505,"○")&gt;0,1,0))</f>
        <v>0</v>
      </c>
      <c r="I7" s="39" t="n">
        <f aca="false">IF(I$4=0,0,IF(COUNTIFS(実績!$W$6:$W$505,I$3,実績!$AI$6:$AI$505,"&lt;="&amp;$A7,実績!$AJ$6:$AJ$505,"&gt;"&amp;$A7,実績!$AL$6:$AL$505,"○")&gt;0,1,0))</f>
        <v>0</v>
      </c>
      <c r="J7" s="39" t="n">
        <f aca="false">IF(J$4=0,0,IF(COUNTIFS(実績!$W$6:$W$505,J$3,実績!$AI$6:$AI$505,"&lt;="&amp;$A7,実績!$AJ$6:$AJ$505,"&gt;"&amp;$A7,実績!$AL$6:$AL$505,"○")&gt;0,1,0))</f>
        <v>0</v>
      </c>
      <c r="K7" s="39" t="n">
        <f aca="false">IF(K$4=0,0,IF(COUNTIFS(実績!$W$6:$W$505,K$3,実績!$AI$6:$AI$505,"&lt;="&amp;$A7,実績!$AJ$6:$AJ$505,"&gt;"&amp;$A7,実績!$AL$6:$AL$505,"○")&gt;0,1,0))</f>
        <v>0</v>
      </c>
      <c r="L7" s="39" t="n">
        <f aca="false">IF(L$4=0,0,IF(COUNTIFS(実績!$W$6:$W$505,L$3,実績!$AI$6:$AI$505,"&lt;="&amp;$A7,実績!$AJ$6:$AJ$505,"&gt;"&amp;$A7,実績!$AL$6:$AL$505,"○")&gt;0,1,0))</f>
        <v>0</v>
      </c>
      <c r="M7" s="39" t="n">
        <f aca="false">IF(M$4=0,0,IF(COUNTIFS(実績!$W$6:$W$505,M$3,実績!$AI$6:$AI$505,"&lt;="&amp;$A7,実績!$AJ$6:$AJ$505,"&gt;"&amp;$A7,実績!$AL$6:$AL$505,"○")&gt;0,1,0))</f>
        <v>0</v>
      </c>
      <c r="N7" s="39" t="n">
        <f aca="false">IF(N$4=0,0,IF(COUNTIFS(実績!$W$6:$W$505,N$3,実績!$AI$6:$AI$505,"&lt;="&amp;$A7,実績!$AJ$6:$AJ$505,"&gt;"&amp;$A7,実績!$AL$6:$AL$505,"○")&gt;0,1,0))</f>
        <v>0</v>
      </c>
      <c r="O7" s="39" t="n">
        <f aca="false">IF(O$4=0,0,IF(COUNTIFS(実績!$W$6:$W$505,O$3,実績!$AI$6:$AI$505,"&lt;="&amp;$A7,実績!$AJ$6:$AJ$505,"&gt;"&amp;$A7,実績!$AL$6:$AL$505,"○")&gt;0,1,0))</f>
        <v>0</v>
      </c>
      <c r="P7" s="39" t="n">
        <f aca="false">IF(P$4=0,0,IF(COUNTIFS(実績!$W$6:$W$505,P$3,実績!$AI$6:$AI$505,"&lt;="&amp;$A7,実績!$AJ$6:$AJ$505,"&gt;"&amp;$A7,実績!$AL$6:$AL$505,"○")&gt;0,1,0))</f>
        <v>0</v>
      </c>
      <c r="Q7" s="39" t="n">
        <f aca="false">IF(Q$4=0,0,IF(COUNTIFS(実績!$W$6:$W$505,Q$3,実績!$AI$6:$AI$505,"&lt;="&amp;$A7,実績!$AJ$6:$AJ$505,"&gt;"&amp;$A7,実績!$AL$6:$AL$505,"○")&gt;0,1,0))</f>
        <v>0</v>
      </c>
      <c r="R7" s="39" t="n">
        <f aca="false">IF(R$4=0,0,IF(COUNTIFS(実績!$W$6:$W$505,R$3,実績!$AI$6:$AI$505,"&lt;="&amp;$A7,実績!$AJ$6:$AJ$505,"&gt;"&amp;$A7,実績!$AL$6:$AL$505,"○")&gt;0,1,0))</f>
        <v>0</v>
      </c>
      <c r="S7" s="39" t="n">
        <f aca="false">IF(S$4=0,0,IF(COUNTIFS(実績!$W$6:$W$505,S$3,実績!$AI$6:$AI$505,"&lt;="&amp;$A7,実績!$AJ$6:$AJ$505,"&gt;"&amp;$A7,実績!$AL$6:$AL$505,"○")&gt;0,1,0))</f>
        <v>0</v>
      </c>
      <c r="T7" s="39" t="n">
        <f aca="false">IF(T$4=0,0,IF(COUNTIFS(実績!$W$6:$W$505,T$3,実績!$AI$6:$AI$505,"&lt;="&amp;$A7,実績!$AJ$6:$AJ$505,"&gt;"&amp;$A7,実績!$AL$6:$AL$505,"○")&gt;0,1,0))</f>
        <v>0</v>
      </c>
      <c r="U7" s="39" t="n">
        <f aca="false">IF(U$4=0,0,IF(COUNTIFS(実績!$W$6:$W$505,U$3,実績!$AI$6:$AI$505,"&lt;="&amp;$A7,実績!$AJ$6:$AJ$505,"&gt;"&amp;$A7,実績!$AL$6:$AL$505,"○")&gt;0,1,0))</f>
        <v>0</v>
      </c>
      <c r="V7" s="39" t="n">
        <f aca="false">IF(V$4=0,0,IF(COUNTIFS(実績!$W$6:$W$505,V$3,実績!$AI$6:$AI$505,"&lt;="&amp;$A7,実績!$AJ$6:$AJ$505,"&gt;"&amp;$A7,実績!$AL$6:$AL$505,"○")&gt;0,1,0))</f>
        <v>0</v>
      </c>
      <c r="W7" s="39" t="n">
        <f aca="false">IF(W$4=0,0,IF(COUNTIFS(実績!$W$6:$W$505,W$3,実績!$AI$6:$AI$505,"&lt;="&amp;$A7,実績!$AJ$6:$AJ$505,"&gt;"&amp;$A7,実績!$AL$6:$AL$505,"○")&gt;0,1,0))</f>
        <v>0</v>
      </c>
      <c r="X7" s="39" t="n">
        <f aca="false">IF(X$4=0,0,IF(COUNTIFS(実績!$W$6:$W$505,X$3,実績!$AI$6:$AI$505,"&lt;="&amp;$A7,実績!$AJ$6:$AJ$505,"&gt;"&amp;$A7,実績!$AL$6:$AL$505,"○")&gt;0,1,0))</f>
        <v>0</v>
      </c>
      <c r="Y7" s="39" t="n">
        <f aca="false">IF(Y$4=0,0,IF(COUNTIFS(実績!$W$6:$W$505,Y$3,実績!$AI$6:$AI$505,"&lt;="&amp;$A7,実績!$AJ$6:$AJ$505,"&gt;"&amp;$A7,実績!$AL$6:$AL$505,"○")&gt;0,1,0))</f>
        <v>0</v>
      </c>
      <c r="Z7" s="39" t="n">
        <f aca="false">IF(Z$4=0,0,IF(COUNTIFS(実績!$W$6:$W$505,Z$3,実績!$AI$6:$AI$505,"&lt;="&amp;$A7,実績!$AJ$6:$AJ$505,"&gt;"&amp;$A7,実績!$AL$6:$AL$505,"○")&gt;0,1,0))</f>
        <v>0</v>
      </c>
      <c r="AA7" s="39" t="n">
        <f aca="false">IF(AA$4=0,0,IF(COUNTIFS(実績!$W$6:$W$505,AA$3,実績!$AI$6:$AI$505,"&lt;="&amp;$A7,実績!$AJ$6:$AJ$505,"&gt;"&amp;$A7,実績!$AL$6:$AL$505,"○")&gt;0,1,0))</f>
        <v>0</v>
      </c>
      <c r="AB7" s="39" t="n">
        <f aca="false">IF(AB$4=0,0,IF(COUNTIFS(実績!$W$6:$W$505,AB$3,実績!$AI$6:$AI$505,"&lt;="&amp;$A7,実績!$AJ$6:$AJ$505,"&gt;"&amp;$A7,実績!$AL$6:$AL$505,"○")&gt;0,1,0))</f>
        <v>0</v>
      </c>
      <c r="AC7" s="39" t="n">
        <f aca="false">IF(AC$4=0,0,IF(COUNTIFS(実績!$W$6:$W$505,AC$3,実績!$AI$6:$AI$505,"&lt;="&amp;$A7,実績!$AJ$6:$AJ$505,"&gt;"&amp;$A7,実績!$AL$6:$AL$505,"○")&gt;0,1,0))</f>
        <v>0</v>
      </c>
      <c r="AD7" s="39" t="n">
        <f aca="false">IF(AD$4=0,0,IF(COUNTIFS(実績!$W$6:$W$505,AD$3,実績!$AI$6:$AI$505,"&lt;="&amp;$A7,実績!$AJ$6:$AJ$505,"&gt;"&amp;$A7,実績!$AL$6:$AL$505,"○")&gt;0,1,0))</f>
        <v>0</v>
      </c>
      <c r="AE7" s="39" t="n">
        <f aca="false">IF(AE$4=0,0,IF(COUNTIFS(実績!$W$6:$W$505,AE$3,実績!$AI$6:$AI$505,"&lt;="&amp;$A7,実績!$AJ$6:$AJ$505,"&gt;"&amp;$A7,実績!$AL$6:$AL$505,"○")&gt;0,1,0))</f>
        <v>0</v>
      </c>
      <c r="AF7" s="39" t="n">
        <f aca="false">IF(AF$4=0,0,IF(COUNTIFS(実績!$W$6:$W$505,AF$3,実績!$AI$6:$AI$505,"&lt;="&amp;$A7,実績!$AJ$6:$AJ$505,"&gt;"&amp;$A7,実績!$AL$6:$AL$505,"○")&gt;0,1,0))</f>
        <v>0</v>
      </c>
      <c r="AG7" s="39" t="n">
        <f aca="false">IF(AG$4=0,0,IF(COUNTIFS(実績!$W$6:$W$505,AG$3,実績!$AI$6:$AI$505,"&lt;="&amp;$A7,実績!$AJ$6:$AJ$505,"&gt;"&amp;$A7,実績!$AL$6:$AL$505,"○")&gt;0,1,0))</f>
        <v>0</v>
      </c>
      <c r="AH7" s="39" t="n">
        <f aca="false">IF(AH$4=0,0,IF(COUNTIFS(実績!$W$6:$W$505,AH$3,実績!$AI$6:$AI$505,"&lt;="&amp;$A7,実績!$AJ$6:$AJ$505,"&gt;"&amp;$A7,実績!$AL$6:$AL$505,"○")&gt;0,1,0))</f>
        <v>0</v>
      </c>
      <c r="AI7" s="39" t="n">
        <f aca="false">IF(AI$4=0,0,IF(COUNTIFS(実績!$W$6:$W$505,AI$3,実績!$AI$6:$AI$505,"&lt;="&amp;$A7,実績!$AJ$6:$AJ$505,"&gt;"&amp;$A7,実績!$AL$6:$AL$505,"○")&gt;0,1,0))</f>
        <v>0</v>
      </c>
      <c r="AJ7" s="39" t="n">
        <f aca="false">IF(AJ$4=0,0,IF(COUNTIFS(実績!$W$6:$W$505,AJ$3,実績!$AI$6:$AI$505,"&lt;="&amp;$A7,実績!$AJ$6:$AJ$505,"&gt;"&amp;$A7,実績!$AL$6:$AL$505,"○")&gt;0,1,0))</f>
        <v>0</v>
      </c>
      <c r="AK7" s="39" t="n">
        <f aca="false">IF(AK$4=0,0,IF(COUNTIFS(実績!$W$6:$W$505,AK$3,実績!$AI$6:$AI$505,"&lt;="&amp;$A7,実績!$AJ$6:$AJ$505,"&gt;"&amp;$A7,実績!$AL$6:$AL$505,"○")&gt;0,1,0))</f>
        <v>0</v>
      </c>
      <c r="AL7" s="39" t="n">
        <f aca="false">IF(AL$4=0,0,IF(COUNTIFS(実績!$W$6:$W$505,AL$3,実績!$AI$6:$AI$505,"&lt;="&amp;$A7,実績!$AJ$6:$AJ$505,"&gt;"&amp;$A7,実績!$AL$6:$AL$505,"○")&gt;0,1,0))</f>
        <v>0</v>
      </c>
      <c r="AM7" s="39" t="n">
        <f aca="false">IF(AM$4=0,0,IF(COUNTIFS(実績!$W$6:$W$505,AM$3,実績!$AI$6:$AI$505,"&lt;="&amp;$A7,実績!$AJ$6:$AJ$505,"&gt;"&amp;$A7,実績!$AL$6:$AL$505,"○")&gt;0,1,0))</f>
        <v>0</v>
      </c>
      <c r="AN7" s="39" t="n">
        <f aca="false">IF(AN$4=0,0,IF(COUNTIFS(実績!$W$6:$W$505,AN$3,実績!$AI$6:$AI$505,"&lt;="&amp;$A7,実績!$AJ$6:$AJ$505,"&gt;"&amp;$A7,実績!$AL$6:$AL$505,"○")&gt;0,1,0))</f>
        <v>0</v>
      </c>
      <c r="AO7" s="39" t="n">
        <f aca="false">IF(AO$4=0,0,IF(COUNTIFS(実績!$W$6:$W$505,AO$3,実績!$AI$6:$AI$505,"&lt;="&amp;$A7,実績!$AJ$6:$AJ$505,"&gt;"&amp;$A7,実績!$AL$6:$AL$505,"○")&gt;0,1,0))</f>
        <v>0</v>
      </c>
      <c r="AP7" s="39" t="n">
        <f aca="false">IF(AP$4=0,0,IF(COUNTIFS(実績!$W$6:$W$505,AP$3,実績!$AI$6:$AI$505,"&lt;="&amp;$A7,実績!$AJ$6:$AJ$505,"&gt;"&amp;$A7,実績!$AL$6:$AL$505,"○")&gt;0,1,0))</f>
        <v>0</v>
      </c>
      <c r="AQ7" s="39" t="n">
        <f aca="false">IF(AQ$4=0,0,IF(COUNTIFS(実績!$W$6:$W$505,AQ$3,実績!$AI$6:$AI$505,"&lt;="&amp;$A7,実績!$AJ$6:$AJ$505,"&gt;"&amp;$A7,実績!$AL$6:$AL$505,"○")&gt;0,1,0))</f>
        <v>0</v>
      </c>
      <c r="AR7" s="39" t="n">
        <f aca="false">IF(AR$4=0,0,IF(COUNTIFS(実績!$W$6:$W$505,AR$3,実績!$AI$6:$AI$505,"&lt;="&amp;$A7,実績!$AJ$6:$AJ$505,"&gt;"&amp;$A7,実績!$AL$6:$AL$505,"○")&gt;0,1,0))</f>
        <v>0</v>
      </c>
      <c r="AS7" s="39" t="n">
        <f aca="false">IF(AS$4=0,0,IF(COUNTIFS(実績!$W$6:$W$505,AS$3,実績!$AI$6:$AI$505,"&lt;="&amp;$A7,実績!$AJ$6:$AJ$505,"&gt;"&amp;$A7,実績!$AL$6:$AL$505,"○")&gt;0,1,0))</f>
        <v>0</v>
      </c>
      <c r="AT7" s="39" t="n">
        <f aca="false">IF(AT$4=0,0,IF(COUNTIFS(実績!$W$6:$W$505,AT$3,実績!$AI$6:$AI$505,"&lt;="&amp;$A7,実績!$AJ$6:$AJ$505,"&gt;"&amp;$A7,実績!$AL$6:$AL$505,"○")&gt;0,1,0))</f>
        <v>0</v>
      </c>
      <c r="AU7" s="39" t="n">
        <f aca="false">IF(AU$4=0,0,IF(COUNTIFS(実績!$W$6:$W$505,AU$3,実績!$AI$6:$AI$505,"&lt;="&amp;$A7,実績!$AJ$6:$AJ$505,"&gt;"&amp;$A7,実績!$AL$6:$AL$505,"○")&gt;0,1,0))</f>
        <v>0</v>
      </c>
      <c r="AV7" s="39" t="n">
        <f aca="false">IF(AV$4=0,0,IF(COUNTIFS(実績!$W$6:$W$505,AV$3,実績!$AI$6:$AI$505,"&lt;="&amp;$A7,実績!$AJ$6:$AJ$505,"&gt;"&amp;$A7,実績!$AL$6:$AL$505,"○")&gt;0,1,0))</f>
        <v>0</v>
      </c>
      <c r="AW7" s="39" t="n">
        <f aca="false">IF(AW$4=0,0,IF(COUNTIFS(実績!$W$6:$W$505,AW$3,実績!$AI$6:$AI$505,"&lt;="&amp;$A7,実績!$AJ$6:$AJ$505,"&gt;"&amp;$A7,実績!$AL$6:$AL$505,"○")&gt;0,1,0))</f>
        <v>0</v>
      </c>
      <c r="AX7" s="39" t="n">
        <f aca="false">IF(AX$4=0,0,IF(COUNTIFS(実績!$W$6:$W$505,AX$3,実績!$AI$6:$AI$505,"&lt;="&amp;$A7,実績!$AJ$6:$AJ$505,"&gt;"&amp;$A7,実績!$AL$6:$AL$505,"○")&gt;0,1,0))</f>
        <v>0</v>
      </c>
      <c r="AY7" s="39" t="n">
        <f aca="false">IF(AY$4=0,0,IF(COUNTIFS(実績!$W$6:$W$505,AY$3,実績!$AI$6:$AI$505,"&lt;="&amp;$A7,実績!$AJ$6:$AJ$505,"&gt;"&amp;$A7,実績!$AL$6:$AL$505,"○")&gt;0,1,0))</f>
        <v>0</v>
      </c>
      <c r="AZ7" s="39" t="n">
        <f aca="false">IF(AZ$4=0,0,IF(COUNTIFS(実績!$W$6:$W$505,AZ$3,実績!$AI$6:$AI$505,"&lt;="&amp;$A7,実績!$AJ$6:$AJ$505,"&gt;"&amp;$A7,実績!$AL$6:$AL$505,"○")&gt;0,1,0))</f>
        <v>0</v>
      </c>
      <c r="BA7" s="39" t="n">
        <f aca="false">IF(BA$4=0,0,IF(COUNTIFS(実績!$W$6:$W$505,BA$3,実績!$AI$6:$AI$505,"&lt;="&amp;$A7,実績!$AJ$6:$AJ$505,"&gt;"&amp;$A7,実績!$AL$6:$AL$505,"○")&gt;0,1,0))</f>
        <v>0</v>
      </c>
      <c r="BB7" s="39" t="n">
        <f aca="false">IF(BB$4=0,0,IF(COUNTIFS(実績!$W$6:$W$505,BB$3,実績!$AI$6:$AI$505,"&lt;="&amp;$A7,実績!$AJ$6:$AJ$505,"&gt;"&amp;$A7,実績!$AL$6:$AL$505,"○")&gt;0,1,0))</f>
        <v>0</v>
      </c>
      <c r="BC7" s="39" t="n">
        <f aca="false">IF(BC$4=0,0,IF(COUNTIFS(実績!$W$6:$W$505,BC$3,実績!$AI$6:$AI$505,"&lt;="&amp;$A7,実績!$AJ$6:$AJ$505,"&gt;"&amp;$A7,実績!$AL$6:$AL$505,"○")&gt;0,1,0))</f>
        <v>0</v>
      </c>
      <c r="BD7" s="39" t="n">
        <f aca="false">IF(BD$4=0,0,IF(COUNTIFS(実績!$W$6:$W$505,BD$3,実績!$AI$6:$AI$505,"&lt;="&amp;$A7,実績!$AJ$6:$AJ$505,"&gt;"&amp;$A7,実績!$AL$6:$AL$505,"○")&gt;0,1,0))</f>
        <v>0</v>
      </c>
      <c r="BE7" s="39" t="n">
        <f aca="false">IF(BE$4=0,0,IF(COUNTIFS(実績!$W$6:$W$505,BE$3,実績!$AI$6:$AI$505,"&lt;="&amp;$A7,実績!$AJ$6:$AJ$505,"&gt;"&amp;$A7,実績!$AL$6:$AL$505,"○")&gt;0,1,0))</f>
        <v>0</v>
      </c>
      <c r="BF7" s="39" t="n">
        <f aca="false">IF(BF$4=0,0,IF(COUNTIFS(実績!$W$6:$W$505,BF$3,実績!$AI$6:$AI$505,"&lt;="&amp;$A7,実績!$AJ$6:$AJ$505,"&gt;"&amp;$A7,実績!$AL$6:$AL$505,"○")&gt;0,1,0))</f>
        <v>0</v>
      </c>
      <c r="BG7" s="39" t="n">
        <f aca="false">IF(BG$4=0,0,IF(COUNTIFS(実績!$W$6:$W$505,BG$3,実績!$AI$6:$AI$505,"&lt;="&amp;$A7,実績!$AJ$6:$AJ$505,"&gt;"&amp;$A7,実績!$AL$6:$AL$505,"○")&gt;0,1,0))</f>
        <v>0</v>
      </c>
      <c r="BH7" s="39" t="n">
        <f aca="false">IF(BH$4=0,0,IF(COUNTIFS(実績!$W$6:$W$505,BH$3,実績!$AI$6:$AI$505,"&lt;="&amp;$A7,実績!$AJ$6:$AJ$505,"&gt;"&amp;$A7,実績!$AL$6:$AL$505,"○")&gt;0,1,0))</f>
        <v>0</v>
      </c>
      <c r="BI7" s="39" t="n">
        <f aca="false">IF(BI$4=0,0,IF(COUNTIFS(実績!$W$6:$W$505,BI$3,実績!$AI$6:$AI$505,"&lt;="&amp;$A7,実績!$AJ$6:$AJ$505,"&gt;"&amp;$A7,実績!$AL$6:$AL$505,"○")&gt;0,1,0))</f>
        <v>0</v>
      </c>
      <c r="BJ7" s="39" t="n">
        <f aca="false">IF(BJ$4=0,0,IF(COUNTIFS(実績!$W$6:$W$505,BJ$3,実績!$AI$6:$AI$505,"&lt;="&amp;$A7,実績!$AJ$6:$AJ$505,"&gt;"&amp;$A7,実績!$AL$6:$AL$505,"○")&gt;0,1,0))</f>
        <v>0</v>
      </c>
      <c r="BK7" s="39" t="n">
        <f aca="false">IF(BK$4=0,0,IF(COUNTIFS(実績!$W$6:$W$505,BK$3,実績!$AI$6:$AI$505,"&lt;="&amp;$A7,実績!$AJ$6:$AJ$505,"&gt;"&amp;$A7,実績!$AL$6:$AL$505,"○")&gt;0,1,0))</f>
        <v>0</v>
      </c>
      <c r="BL7" s="39" t="n">
        <f aca="false">IF(BL$4=0,0,IF(COUNTIFS(実績!$W$6:$W$505,BL$3,実績!$AI$6:$AI$505,"&lt;="&amp;$A7,実績!$AJ$6:$AJ$505,"&gt;"&amp;$A7,実績!$AL$6:$AL$505,"○")&gt;0,1,0))</f>
        <v>0</v>
      </c>
      <c r="BM7" s="39" t="n">
        <f aca="false">IF(BM$4=0,0,IF(COUNTIFS(実績!$W$6:$W$505,BM$3,実績!$AI$6:$AI$505,"&lt;="&amp;$A7,実績!$AJ$6:$AJ$505,"&gt;"&amp;$A7,実績!$AL$6:$AL$505,"○")&gt;0,1,0))</f>
        <v>0</v>
      </c>
      <c r="BN7" s="39" t="n">
        <f aca="false">IF(BN$4=0,0,IF(COUNTIFS(実績!$W$6:$W$505,BN$3,実績!$AI$6:$AI$505,"&lt;="&amp;$A7,実績!$AJ$6:$AJ$505,"&gt;"&amp;$A7,実績!$AL$6:$AL$505,"○")&gt;0,1,0))</f>
        <v>0</v>
      </c>
      <c r="BO7" s="39" t="n">
        <f aca="false">IF(BO$4=0,0,IF(COUNTIFS(実績!$W$6:$W$505,BO$3,実績!$AI$6:$AI$505,"&lt;="&amp;$A7,実績!$AJ$6:$AJ$505,"&gt;"&amp;$A7,実績!$AL$6:$AL$505,"○")&gt;0,1,0))</f>
        <v>0</v>
      </c>
      <c r="BP7" s="39" t="n">
        <f aca="false">IF(BP$4=0,0,IF(COUNTIFS(実績!$W$6:$W$505,BP$3,実績!$AI$6:$AI$505,"&lt;="&amp;$A7,実績!$AJ$6:$AJ$505,"&gt;"&amp;$A7,実績!$AL$6:$AL$505,"○")&gt;0,1,0))</f>
        <v>0</v>
      </c>
      <c r="BQ7" s="39" t="n">
        <f aca="false">IF(BQ$4=0,0,IF(COUNTIFS(実績!$W$6:$W$505,BQ$3,実績!$AI$6:$AI$505,"&lt;="&amp;$A7,実績!$AJ$6:$AJ$505,"&gt;"&amp;$A7,実績!$AL$6:$AL$505,"○")&gt;0,1,0))</f>
        <v>0</v>
      </c>
      <c r="BR7" s="39" t="n">
        <f aca="false">IF(BR$4=0,0,IF(COUNTIFS(実績!$W$6:$W$505,BR$3,実績!$AI$6:$AI$505,"&lt;="&amp;$A7,実績!$AJ$6:$AJ$505,"&gt;"&amp;$A7,実績!$AL$6:$AL$505,"○")&gt;0,1,0))</f>
        <v>0</v>
      </c>
      <c r="BS7" s="39" t="n">
        <f aca="false">IF(BS$4=0,0,IF(COUNTIFS(実績!$W$6:$W$505,BS$3,実績!$AI$6:$AI$505,"&lt;="&amp;$A7,実績!$AJ$6:$AJ$505,"&gt;"&amp;$A7,実績!$AL$6:$AL$505,"○")&gt;0,1,0))</f>
        <v>0</v>
      </c>
      <c r="BT7" s="39" t="n">
        <f aca="false">IF(BT$4=0,0,IF(COUNTIFS(実績!$W$6:$W$505,BT$3,実績!$AI$6:$AI$505,"&lt;="&amp;$A7,実績!$AJ$6:$AJ$505,"&gt;"&amp;$A7,実績!$AL$6:$AL$505,"○")&gt;0,1,0))</f>
        <v>0</v>
      </c>
      <c r="BU7" s="39" t="n">
        <f aca="false">IF(BU$4=0,0,IF(COUNTIFS(実績!$W$6:$W$505,BU$3,実績!$AI$6:$AI$505,"&lt;="&amp;$A7,実績!$AJ$6:$AJ$505,"&gt;"&amp;$A7,実績!$AL$6:$AL$505,"○")&gt;0,1,0))</f>
        <v>0</v>
      </c>
      <c r="BV7" s="39" t="n">
        <f aca="false">IF(BV$4=0,0,IF(COUNTIFS(実績!$W$6:$W$505,BV$3,実績!$AI$6:$AI$505,"&lt;="&amp;$A7,実績!$AJ$6:$AJ$505,"&gt;"&amp;$A7,実績!$AL$6:$AL$505,"○")&gt;0,1,0))</f>
        <v>0</v>
      </c>
      <c r="BW7" s="39" t="n">
        <f aca="false">IF(BW$4=0,0,IF(COUNTIFS(実績!$W$6:$W$505,BW$3,実績!$AI$6:$AI$505,"&lt;="&amp;$A7,実績!$AJ$6:$AJ$505,"&gt;"&amp;$A7,実績!$AL$6:$AL$505,"○")&gt;0,1,0))</f>
        <v>0</v>
      </c>
      <c r="BX7" s="39" t="n">
        <f aca="false">IF(BX$4=0,0,IF(COUNTIFS(実績!$W$6:$W$505,BX$3,実績!$AI$6:$AI$505,"&lt;="&amp;$A7,実績!$AJ$6:$AJ$505,"&gt;"&amp;$A7,実績!$AL$6:$AL$505,"○")&gt;0,1,0))</f>
        <v>0</v>
      </c>
      <c r="BY7" s="39" t="n">
        <f aca="false">IF(BY$4=0,0,IF(COUNTIFS(実績!$W$6:$W$505,BY$3,実績!$AI$6:$AI$505,"&lt;="&amp;$A7,実績!$AJ$6:$AJ$505,"&gt;"&amp;$A7,実績!$AL$6:$AL$505,"○")&gt;0,1,0))</f>
        <v>0</v>
      </c>
      <c r="BZ7" s="39" t="n">
        <f aca="false">IF(BZ$4=0,0,IF(COUNTIFS(実績!$W$6:$W$505,BZ$3,実績!$AI$6:$AI$505,"&lt;="&amp;$A7,実績!$AJ$6:$AJ$505,"&gt;"&amp;$A7,実績!$AL$6:$AL$505,"○")&gt;0,1,0))</f>
        <v>0</v>
      </c>
      <c r="CA7" s="39" t="n">
        <f aca="false">IF(CA$4=0,0,IF(COUNTIFS(実績!$W$6:$W$505,CA$3,実績!$AI$6:$AI$505,"&lt;="&amp;$A7,実績!$AJ$6:$AJ$505,"&gt;"&amp;$A7,実績!$AL$6:$AL$505,"○")&gt;0,1,0))</f>
        <v>0</v>
      </c>
      <c r="CB7" s="39" t="n">
        <f aca="false">IF(CB$4=0,0,IF(COUNTIFS(実績!$W$6:$W$505,CB$3,実績!$AI$6:$AI$505,"&lt;="&amp;$A7,実績!$AJ$6:$AJ$505,"&gt;"&amp;$A7,実績!$AL$6:$AL$505,"○")&gt;0,1,0))</f>
        <v>0</v>
      </c>
      <c r="CC7" s="39" t="n">
        <f aca="false">IF(CC$4=0,0,IF(COUNTIFS(実績!$W$6:$W$505,CC$3,実績!$AI$6:$AI$505,"&lt;="&amp;$A7,実績!$AJ$6:$AJ$505,"&gt;"&amp;$A7,実績!$AL$6:$AL$505,"○")&gt;0,1,0))</f>
        <v>0</v>
      </c>
      <c r="CD7" s="39" t="n">
        <f aca="false">IF(CD$4=0,0,IF(COUNTIFS(実績!$W$6:$W$505,CD$3,実績!$AI$6:$AI$505,"&lt;="&amp;$A7,実績!$AJ$6:$AJ$505,"&gt;"&amp;$A7,実績!$AL$6:$AL$505,"○")&gt;0,1,0))</f>
        <v>0</v>
      </c>
      <c r="CE7" s="39" t="n">
        <f aca="false">IF(CE$4=0,0,IF(COUNTIFS(実績!$W$6:$W$505,CE$3,実績!$AI$6:$AI$505,"&lt;="&amp;$A7,実績!$AJ$6:$AJ$505,"&gt;"&amp;$A7,実績!$AL$6:$AL$505,"○")&gt;0,1,0))</f>
        <v>0</v>
      </c>
      <c r="CF7" s="39" t="n">
        <f aca="false">IF(CF$4=0,0,IF(COUNTIFS(実績!$W$6:$W$505,CF$3,実績!$AI$6:$AI$505,"&lt;="&amp;$A7,実績!$AJ$6:$AJ$505,"&gt;"&amp;$A7,実績!$AL$6:$AL$505,"○")&gt;0,1,0))</f>
        <v>0</v>
      </c>
      <c r="CG7" s="39" t="n">
        <f aca="false">IF(CG$4=0,0,IF(COUNTIFS(実績!$W$6:$W$505,CG$3,実績!$AI$6:$AI$505,"&lt;="&amp;$A7,実績!$AJ$6:$AJ$505,"&gt;"&amp;$A7,実績!$AL$6:$AL$505,"○")&gt;0,1,0))</f>
        <v>0</v>
      </c>
      <c r="CH7" s="39" t="n">
        <f aca="false">IF(CH$4=0,0,IF(COUNTIFS(実績!$W$6:$W$505,CH$3,実績!$AI$6:$AI$505,"&lt;="&amp;$A7,実績!$AJ$6:$AJ$505,"&gt;"&amp;$A7,実績!$AL$6:$AL$505,"○")&gt;0,1,0))</f>
        <v>0</v>
      </c>
      <c r="CI7" s="39" t="n">
        <f aca="false">IF(CI$4=0,0,IF(COUNTIFS(実績!$W$6:$W$505,CI$3,実績!$AI$6:$AI$505,"&lt;="&amp;$A7,実績!$AJ$6:$AJ$505,"&gt;"&amp;$A7,実績!$AL$6:$AL$505,"○")&gt;0,1,0))</f>
        <v>0</v>
      </c>
      <c r="CJ7" s="39" t="n">
        <f aca="false">IF(CJ$4=0,0,IF(COUNTIFS(実績!$W$6:$W$505,CJ$3,実績!$AI$6:$AI$505,"&lt;="&amp;$A7,実績!$AJ$6:$AJ$505,"&gt;"&amp;$A7,実績!$AL$6:$AL$505,"○")&gt;0,1,0))</f>
        <v>0</v>
      </c>
      <c r="CK7" s="39" t="n">
        <f aca="false">IF(CK$4=0,0,IF(COUNTIFS(実績!$W$6:$W$505,CK$3,実績!$AI$6:$AI$505,"&lt;="&amp;$A7,実績!$AJ$6:$AJ$505,"&gt;"&amp;$A7,実績!$AL$6:$AL$505,"○")&gt;0,1,0))</f>
        <v>0</v>
      </c>
      <c r="CL7" s="39" t="n">
        <f aca="false">IF(CL$4=0,0,IF(COUNTIFS(実績!$W$6:$W$505,CL$3,実績!$AI$6:$AI$505,"&lt;="&amp;$A7,実績!$AJ$6:$AJ$505,"&gt;"&amp;$A7,実績!$AL$6:$AL$505,"○")&gt;0,1,0))</f>
        <v>0</v>
      </c>
      <c r="CM7" s="39" t="n">
        <f aca="false">IF(CM$4=0,0,IF(COUNTIFS(実績!$W$6:$W$505,CM$3,実績!$AI$6:$AI$505,"&lt;="&amp;$A7,実績!$AJ$6:$AJ$505,"&gt;"&amp;$A7,実績!$AL$6:$AL$505,"○")&gt;0,1,0))</f>
        <v>0</v>
      </c>
      <c r="CN7" s="39" t="n">
        <f aca="false">IF(CN$4=0,0,IF(COUNTIFS(実績!$W$6:$W$505,CN$3,実績!$AI$6:$AI$505,"&lt;="&amp;$A7,実績!$AJ$6:$AJ$505,"&gt;"&amp;$A7,実績!$AL$6:$AL$505,"○")&gt;0,1,0))</f>
        <v>0</v>
      </c>
      <c r="CO7" s="39" t="n">
        <f aca="false">IF(CO$4=0,0,IF(COUNTIFS(実績!$W$6:$W$505,CO$3,実績!$AI$6:$AI$505,"&lt;="&amp;$A7,実績!$AJ$6:$AJ$505,"&gt;"&amp;$A7,実績!$AL$6:$AL$505,"○")&gt;0,1,0))</f>
        <v>0</v>
      </c>
      <c r="CP7" s="39" t="n">
        <f aca="false">IF(CP$4=0,0,IF(COUNTIFS(実績!$W$6:$W$505,CP$3,実績!$AI$6:$AI$505,"&lt;="&amp;$A7,実績!$AJ$6:$AJ$505,"&gt;"&amp;$A7,実績!$AL$6:$AL$505,"○")&gt;0,1,0))</f>
        <v>0</v>
      </c>
      <c r="CQ7" s="39" t="n">
        <f aca="false">IF(CQ$4=0,0,IF(COUNTIFS(実績!$W$6:$W$505,CQ$3,実績!$AI$6:$AI$505,"&lt;="&amp;$A7,実績!$AJ$6:$AJ$505,"&gt;"&amp;$A7,実績!$AL$6:$AL$505,"○")&gt;0,1,0))</f>
        <v>0</v>
      </c>
      <c r="CR7" s="39" t="n">
        <f aca="false">IF(CR$4=0,0,IF(COUNTIFS(実績!$W$6:$W$505,CR$3,実績!$AI$6:$AI$505,"&lt;="&amp;$A7,実績!$AJ$6:$AJ$505,"&gt;"&amp;$A7,実績!$AL$6:$AL$505,"○")&gt;0,1,0))</f>
        <v>0</v>
      </c>
      <c r="CS7" s="39" t="n">
        <f aca="false">IF(CS$4=0,0,IF(COUNTIFS(実績!$W$6:$W$505,CS$3,実績!$AI$6:$AI$505,"&lt;="&amp;$A7,実績!$AJ$6:$AJ$505,"&gt;"&amp;$A7,実績!$AL$6:$AL$505,"○")&gt;0,1,0))</f>
        <v>0</v>
      </c>
      <c r="CT7" s="39" t="n">
        <f aca="false">IF(CT$4=0,0,IF(COUNTIFS(実績!$W$6:$W$505,CT$3,実績!$AI$6:$AI$505,"&lt;="&amp;$A7,実績!$AJ$6:$AJ$505,"&gt;"&amp;$A7,実績!$AL$6:$AL$505,"○")&gt;0,1,0))</f>
        <v>0</v>
      </c>
      <c r="CU7" s="39" t="n">
        <f aca="false">IF(CU$4=0,0,IF(COUNTIFS(実績!$W$6:$W$505,CU$3,実績!$AI$6:$AI$505,"&lt;="&amp;$A7,実績!$AJ$6:$AJ$505,"&gt;"&amp;$A7,実績!$AL$6:$AL$505,"○")&gt;0,1,0))</f>
        <v>0</v>
      </c>
      <c r="CV7" s="39" t="n">
        <f aca="false">IF(CV$4=0,0,IF(COUNTIFS(実績!$W$6:$W$505,CV$3,実績!$AI$6:$AI$505,"&lt;="&amp;$A7,実績!$AJ$6:$AJ$505,"&gt;"&amp;$A7,実績!$AL$6:$AL$505,"○")&gt;0,1,0))</f>
        <v>0</v>
      </c>
      <c r="CW7" s="39" t="n">
        <f aca="false">IF(CW$4=0,0,IF(COUNTIFS(実績!$W$6:$W$505,CW$3,実績!$AI$6:$AI$505,"&lt;="&amp;$A7,実績!$AJ$6:$AJ$505,"&gt;"&amp;$A7,実績!$AL$6:$AL$505,"○")&gt;0,1,0))</f>
        <v>0</v>
      </c>
      <c r="CX7" s="39" t="n">
        <f aca="false">IF(CX$4=0,0,IF(COUNTIFS(実績!$W$6:$W$505,CX$3,実績!$AI$6:$AI$505,"&lt;="&amp;$A7,実績!$AJ$6:$AJ$505,"&gt;"&amp;$A7,実績!$AL$6:$AL$505,"○")&gt;0,1,0))</f>
        <v>0</v>
      </c>
      <c r="CY7" s="39" t="n">
        <f aca="false">IF(CY$4=0,0,IF(COUNTIFS(実績!$W$6:$W$505,CY$3,実績!$AI$6:$AI$505,"&lt;="&amp;$A7,実績!$AJ$6:$AJ$505,"&gt;"&amp;$A7,実績!$AL$6:$AL$505,"○")&gt;0,1,0))</f>
        <v>0</v>
      </c>
      <c r="CZ7" s="39" t="n">
        <f aca="false">IF(CZ$4=0,0,IF(COUNTIFS(実績!$W$6:$W$505,CZ$3,実績!$AI$6:$AI$505,"&lt;="&amp;$A7,実績!$AJ$6:$AJ$505,"&gt;"&amp;$A7,実績!$AL$6:$AL$505,"○")&gt;0,1,0))</f>
        <v>0</v>
      </c>
      <c r="DA7" s="39" t="n">
        <f aca="false">IF(DA$4=0,0,IF(COUNTIFS(実績!$W$6:$W$505,DA$3,実績!$AI$6:$AI$505,"&lt;="&amp;$A7,実績!$AJ$6:$AJ$505,"&gt;"&amp;$A7,実績!$AL$6:$AL$505,"○")&gt;0,1,0))</f>
        <v>0</v>
      </c>
      <c r="DB7" s="39" t="n">
        <f aca="false">IF(DB$4=0,0,IF(COUNTIFS(実績!$W$6:$W$505,DB$3,実績!$AI$6:$AI$505,"&lt;="&amp;$A7,実績!$AJ$6:$AJ$505,"&gt;"&amp;$A7,実績!$AL$6:$AL$505,"○")&gt;0,1,0))</f>
        <v>0</v>
      </c>
      <c r="DC7" s="39" t="n">
        <f aca="false">IF(DC$4=0,0,IF(COUNTIFS(実績!$W$6:$W$505,DC$3,実績!$AI$6:$AI$505,"&lt;="&amp;$A7,実績!$AJ$6:$AJ$505,"&gt;"&amp;$A7,実績!$AL$6:$AL$505,"○")&gt;0,1,0))</f>
        <v>0</v>
      </c>
      <c r="DD7" s="39" t="n">
        <f aca="false">IF(DD$4=0,0,IF(COUNTIFS(実績!$W$6:$W$505,DD$3,実績!$AI$6:$AI$505,"&lt;="&amp;$A7,実績!$AJ$6:$AJ$505,"&gt;"&amp;$A7,実績!$AL$6:$AL$505,"○")&gt;0,1,0))</f>
        <v>0</v>
      </c>
      <c r="DE7" s="39" t="n">
        <f aca="false">IF(DE$4=0,0,IF(COUNTIFS(実績!$W$6:$W$505,DE$3,実績!$AI$6:$AI$505,"&lt;="&amp;$A7,実績!$AJ$6:$AJ$505,"&gt;"&amp;$A7,実績!$AL$6:$AL$505,"○")&gt;0,1,0))</f>
        <v>0</v>
      </c>
      <c r="DF7" s="39" t="n">
        <f aca="false">IF(DF$4=0,0,IF(COUNTIFS(実績!$W$6:$W$505,DF$3,実績!$AI$6:$AI$505,"&lt;="&amp;$A7,実績!$AJ$6:$AJ$505,"&gt;"&amp;$A7,実績!$AL$6:$AL$505,"○")&gt;0,1,0))</f>
        <v>0</v>
      </c>
      <c r="DG7" s="39" t="n">
        <f aca="false">IF(DG$4=0,0,IF(COUNTIFS(実績!$W$6:$W$505,DG$3,実績!$AI$6:$AI$505,"&lt;="&amp;$A7,実績!$AJ$6:$AJ$505,"&gt;"&amp;$A7,実績!$AL$6:$AL$505,"○")&gt;0,1,0))</f>
        <v>0</v>
      </c>
      <c r="DH7" s="39" t="n">
        <f aca="false">IF(DH$4=0,0,IF(COUNTIFS(実績!$W$6:$W$505,DH$3,実績!$AI$6:$AI$505,"&lt;="&amp;$A7,実績!$AJ$6:$AJ$505,"&gt;"&amp;$A7,実績!$AL$6:$AL$505,"○")&gt;0,1,0))</f>
        <v>0</v>
      </c>
      <c r="DI7" s="39" t="n">
        <f aca="false">IF(DI$4=0,0,IF(COUNTIFS(実績!$W$6:$W$505,DI$3,実績!$AI$6:$AI$505,"&lt;="&amp;$A7,実績!$AJ$6:$AJ$505,"&gt;"&amp;$A7,実績!$AL$6:$AL$505,"○")&gt;0,1,0))</f>
        <v>0</v>
      </c>
      <c r="DJ7" s="39" t="n">
        <f aca="false">IF(DJ$4=0,0,IF(COUNTIFS(実績!$W$6:$W$505,DJ$3,実績!$AI$6:$AI$505,"&lt;="&amp;$A7,実績!$AJ$6:$AJ$505,"&gt;"&amp;$A7,実績!$AL$6:$AL$505,"○")&gt;0,1,0))</f>
        <v>0</v>
      </c>
      <c r="DK7" s="39" t="n">
        <f aca="false">IF(DK$4=0,0,IF(COUNTIFS(実績!$W$6:$W$505,DK$3,実績!$AI$6:$AI$505,"&lt;="&amp;$A7,実績!$AJ$6:$AJ$505,"&gt;"&amp;$A7,実績!$AL$6:$AL$505,"○")&gt;0,1,0))</f>
        <v>0</v>
      </c>
      <c r="DL7" s="39" t="n">
        <f aca="false">IF(DL$4=0,0,IF(COUNTIFS(実績!$W$6:$W$505,DL$3,実績!$AI$6:$AI$505,"&lt;="&amp;$A7,実績!$AJ$6:$AJ$505,"&gt;"&amp;$A7,実績!$AL$6:$AL$505,"○")&gt;0,1,0))</f>
        <v>0</v>
      </c>
      <c r="DM7" s="39" t="n">
        <f aca="false">IF(DM$4=0,0,IF(COUNTIFS(実績!$W$6:$W$505,DM$3,実績!$AI$6:$AI$505,"&lt;="&amp;$A7,実績!$AJ$6:$AJ$505,"&gt;"&amp;$A7,実績!$AL$6:$AL$505,"○")&gt;0,1,0))</f>
        <v>0</v>
      </c>
      <c r="DN7" s="39" t="n">
        <f aca="false">IF(DN$4=0,0,IF(COUNTIFS(実績!$W$6:$W$505,DN$3,実績!$AI$6:$AI$505,"&lt;="&amp;$A7,実績!$AJ$6:$AJ$505,"&gt;"&amp;$A7,実績!$AL$6:$AL$505,"○")&gt;0,1,0))</f>
        <v>0</v>
      </c>
      <c r="DO7" s="39" t="n">
        <f aca="false">IF(DO$4=0,0,IF(COUNTIFS(実績!$W$6:$W$505,DO$3,実績!$AI$6:$AI$505,"&lt;="&amp;$A7,実績!$AJ$6:$AJ$505,"&gt;"&amp;$A7,実績!$AL$6:$AL$505,"○")&gt;0,1,0))</f>
        <v>0</v>
      </c>
      <c r="DP7" s="39" t="n">
        <f aca="false">IF(DP$4=0,0,IF(COUNTIFS(実績!$W$6:$W$505,DP$3,実績!$AI$6:$AI$505,"&lt;="&amp;$A7,実績!$AJ$6:$AJ$505,"&gt;"&amp;$A7,実績!$AL$6:$AL$505,"○")&gt;0,1,0))</f>
        <v>0</v>
      </c>
      <c r="DQ7" s="39" t="n">
        <f aca="false">IF(DQ$4=0,0,IF(COUNTIFS(実績!$W$6:$W$505,DQ$3,実績!$AI$6:$AI$505,"&lt;="&amp;$A7,実績!$AJ$6:$AJ$505,"&gt;"&amp;$A7,実績!$AL$6:$AL$505,"○")&gt;0,1,0))</f>
        <v>0</v>
      </c>
      <c r="DR7" s="39" t="n">
        <f aca="false">IF(DR$4=0,0,IF(COUNTIFS(実績!$W$6:$W$505,DR$3,実績!$AI$6:$AI$505,"&lt;="&amp;$A7,実績!$AJ$6:$AJ$505,"&gt;"&amp;$A7,実績!$AL$6:$AL$505,"○")&gt;0,1,0))</f>
        <v>0</v>
      </c>
      <c r="DS7" s="39" t="n">
        <f aca="false">SUM(C7:DR7)</f>
        <v>0</v>
      </c>
    </row>
    <row r="8" customFormat="false" ht="15" hidden="false" customHeight="false" outlineLevel="0" collapsed="false">
      <c r="A8" s="0" t="n">
        <v>10</v>
      </c>
      <c r="B8" s="38" t="n">
        <f aca="false">A8/1440</f>
        <v>0.00694444444444444</v>
      </c>
      <c r="C8" s="39" t="n">
        <f aca="false">IF(C$4=0,0,IF(COUNTIFS(実績!$W$6:$W$505,C$3,実績!$AI$6:$AI$505,"&lt;="&amp;$A8,実績!$AJ$6:$AJ$505,"&gt;"&amp;$A8,実績!$AL$6:$AL$505,"○")&gt;0,1,0))</f>
        <v>0</v>
      </c>
      <c r="D8" s="39" t="n">
        <f aca="false">IF(D$4=0,0,IF(COUNTIFS(実績!$W$6:$W$505,D$3,実績!$AI$6:$AI$505,"&lt;="&amp;$A8,実績!$AJ$6:$AJ$505,"&gt;"&amp;$A8,実績!$AL$6:$AL$505,"○")&gt;0,1,0))</f>
        <v>0</v>
      </c>
      <c r="E8" s="39" t="n">
        <f aca="false">IF(E$4=0,0,IF(COUNTIFS(実績!$W$6:$W$505,E$3,実績!$AI$6:$AI$505,"&lt;="&amp;$A8,実績!$AJ$6:$AJ$505,"&gt;"&amp;$A8,実績!$AL$6:$AL$505,"○")&gt;0,1,0))</f>
        <v>0</v>
      </c>
      <c r="F8" s="39" t="n">
        <f aca="false">IF(F$4=0,0,IF(COUNTIFS(実績!$W$6:$W$505,F$3,実績!$AI$6:$AI$505,"&lt;="&amp;$A8,実績!$AJ$6:$AJ$505,"&gt;"&amp;$A8,実績!$AL$6:$AL$505,"○")&gt;0,1,0))</f>
        <v>0</v>
      </c>
      <c r="G8" s="39" t="n">
        <f aca="false">IF(G$4=0,0,IF(COUNTIFS(実績!$W$6:$W$505,G$3,実績!$AI$6:$AI$505,"&lt;="&amp;$A8,実績!$AJ$6:$AJ$505,"&gt;"&amp;$A8,実績!$AL$6:$AL$505,"○")&gt;0,1,0))</f>
        <v>0</v>
      </c>
      <c r="H8" s="39" t="n">
        <f aca="false">IF(H$4=0,0,IF(COUNTIFS(実績!$W$6:$W$505,H$3,実績!$AI$6:$AI$505,"&lt;="&amp;$A8,実績!$AJ$6:$AJ$505,"&gt;"&amp;$A8,実績!$AL$6:$AL$505,"○")&gt;0,1,0))</f>
        <v>0</v>
      </c>
      <c r="I8" s="39" t="n">
        <f aca="false">IF(I$4=0,0,IF(COUNTIFS(実績!$W$6:$W$505,I$3,実績!$AI$6:$AI$505,"&lt;="&amp;$A8,実績!$AJ$6:$AJ$505,"&gt;"&amp;$A8,実績!$AL$6:$AL$505,"○")&gt;0,1,0))</f>
        <v>0</v>
      </c>
      <c r="J8" s="39" t="n">
        <f aca="false">IF(J$4=0,0,IF(COUNTIFS(実績!$W$6:$W$505,J$3,実績!$AI$6:$AI$505,"&lt;="&amp;$A8,実績!$AJ$6:$AJ$505,"&gt;"&amp;$A8,実績!$AL$6:$AL$505,"○")&gt;0,1,0))</f>
        <v>0</v>
      </c>
      <c r="K8" s="39" t="n">
        <f aca="false">IF(K$4=0,0,IF(COUNTIFS(実績!$W$6:$W$505,K$3,実績!$AI$6:$AI$505,"&lt;="&amp;$A8,実績!$AJ$6:$AJ$505,"&gt;"&amp;$A8,実績!$AL$6:$AL$505,"○")&gt;0,1,0))</f>
        <v>0</v>
      </c>
      <c r="L8" s="39" t="n">
        <f aca="false">IF(L$4=0,0,IF(COUNTIFS(実績!$W$6:$W$505,L$3,実績!$AI$6:$AI$505,"&lt;="&amp;$A8,実績!$AJ$6:$AJ$505,"&gt;"&amp;$A8,実績!$AL$6:$AL$505,"○")&gt;0,1,0))</f>
        <v>0</v>
      </c>
      <c r="M8" s="39" t="n">
        <f aca="false">IF(M$4=0,0,IF(COUNTIFS(実績!$W$6:$W$505,M$3,実績!$AI$6:$AI$505,"&lt;="&amp;$A8,実績!$AJ$6:$AJ$505,"&gt;"&amp;$A8,実績!$AL$6:$AL$505,"○")&gt;0,1,0))</f>
        <v>0</v>
      </c>
      <c r="N8" s="39" t="n">
        <f aca="false">IF(N$4=0,0,IF(COUNTIFS(実績!$W$6:$W$505,N$3,実績!$AI$6:$AI$505,"&lt;="&amp;$A8,実績!$AJ$6:$AJ$505,"&gt;"&amp;$A8,実績!$AL$6:$AL$505,"○")&gt;0,1,0))</f>
        <v>0</v>
      </c>
      <c r="O8" s="39" t="n">
        <f aca="false">IF(O$4=0,0,IF(COUNTIFS(実績!$W$6:$W$505,O$3,実績!$AI$6:$AI$505,"&lt;="&amp;$A8,実績!$AJ$6:$AJ$505,"&gt;"&amp;$A8,実績!$AL$6:$AL$505,"○")&gt;0,1,0))</f>
        <v>0</v>
      </c>
      <c r="P8" s="39" t="n">
        <f aca="false">IF(P$4=0,0,IF(COUNTIFS(実績!$W$6:$W$505,P$3,実績!$AI$6:$AI$505,"&lt;="&amp;$A8,実績!$AJ$6:$AJ$505,"&gt;"&amp;$A8,実績!$AL$6:$AL$505,"○")&gt;0,1,0))</f>
        <v>0</v>
      </c>
      <c r="Q8" s="39" t="n">
        <f aca="false">IF(Q$4=0,0,IF(COUNTIFS(実績!$W$6:$W$505,Q$3,実績!$AI$6:$AI$505,"&lt;="&amp;$A8,実績!$AJ$6:$AJ$505,"&gt;"&amp;$A8,実績!$AL$6:$AL$505,"○")&gt;0,1,0))</f>
        <v>0</v>
      </c>
      <c r="R8" s="39" t="n">
        <f aca="false">IF(R$4=0,0,IF(COUNTIFS(実績!$W$6:$W$505,R$3,実績!$AI$6:$AI$505,"&lt;="&amp;$A8,実績!$AJ$6:$AJ$505,"&gt;"&amp;$A8,実績!$AL$6:$AL$505,"○")&gt;0,1,0))</f>
        <v>0</v>
      </c>
      <c r="S8" s="39" t="n">
        <f aca="false">IF(S$4=0,0,IF(COUNTIFS(実績!$W$6:$W$505,S$3,実績!$AI$6:$AI$505,"&lt;="&amp;$A8,実績!$AJ$6:$AJ$505,"&gt;"&amp;$A8,実績!$AL$6:$AL$505,"○")&gt;0,1,0))</f>
        <v>0</v>
      </c>
      <c r="T8" s="39" t="n">
        <f aca="false">IF(T$4=0,0,IF(COUNTIFS(実績!$W$6:$W$505,T$3,実績!$AI$6:$AI$505,"&lt;="&amp;$A8,実績!$AJ$6:$AJ$505,"&gt;"&amp;$A8,実績!$AL$6:$AL$505,"○")&gt;0,1,0))</f>
        <v>0</v>
      </c>
      <c r="U8" s="39" t="n">
        <f aca="false">IF(U$4=0,0,IF(COUNTIFS(実績!$W$6:$W$505,U$3,実績!$AI$6:$AI$505,"&lt;="&amp;$A8,実績!$AJ$6:$AJ$505,"&gt;"&amp;$A8,実績!$AL$6:$AL$505,"○")&gt;0,1,0))</f>
        <v>0</v>
      </c>
      <c r="V8" s="39" t="n">
        <f aca="false">IF(V$4=0,0,IF(COUNTIFS(実績!$W$6:$W$505,V$3,実績!$AI$6:$AI$505,"&lt;="&amp;$A8,実績!$AJ$6:$AJ$505,"&gt;"&amp;$A8,実績!$AL$6:$AL$505,"○")&gt;0,1,0))</f>
        <v>0</v>
      </c>
      <c r="W8" s="39" t="n">
        <f aca="false">IF(W$4=0,0,IF(COUNTIFS(実績!$W$6:$W$505,W$3,実績!$AI$6:$AI$505,"&lt;="&amp;$A8,実績!$AJ$6:$AJ$505,"&gt;"&amp;$A8,実績!$AL$6:$AL$505,"○")&gt;0,1,0))</f>
        <v>0</v>
      </c>
      <c r="X8" s="39" t="n">
        <f aca="false">IF(X$4=0,0,IF(COUNTIFS(実績!$W$6:$W$505,X$3,実績!$AI$6:$AI$505,"&lt;="&amp;$A8,実績!$AJ$6:$AJ$505,"&gt;"&amp;$A8,実績!$AL$6:$AL$505,"○")&gt;0,1,0))</f>
        <v>0</v>
      </c>
      <c r="Y8" s="39" t="n">
        <f aca="false">IF(Y$4=0,0,IF(COUNTIFS(実績!$W$6:$W$505,Y$3,実績!$AI$6:$AI$505,"&lt;="&amp;$A8,実績!$AJ$6:$AJ$505,"&gt;"&amp;$A8,実績!$AL$6:$AL$505,"○")&gt;0,1,0))</f>
        <v>0</v>
      </c>
      <c r="Z8" s="39" t="n">
        <f aca="false">IF(Z$4=0,0,IF(COUNTIFS(実績!$W$6:$W$505,Z$3,実績!$AI$6:$AI$505,"&lt;="&amp;$A8,実績!$AJ$6:$AJ$505,"&gt;"&amp;$A8,実績!$AL$6:$AL$505,"○")&gt;0,1,0))</f>
        <v>0</v>
      </c>
      <c r="AA8" s="39" t="n">
        <f aca="false">IF(AA$4=0,0,IF(COUNTIFS(実績!$W$6:$W$505,AA$3,実績!$AI$6:$AI$505,"&lt;="&amp;$A8,実績!$AJ$6:$AJ$505,"&gt;"&amp;$A8,実績!$AL$6:$AL$505,"○")&gt;0,1,0))</f>
        <v>0</v>
      </c>
      <c r="AB8" s="39" t="n">
        <f aca="false">IF(AB$4=0,0,IF(COUNTIFS(実績!$W$6:$W$505,AB$3,実績!$AI$6:$AI$505,"&lt;="&amp;$A8,実績!$AJ$6:$AJ$505,"&gt;"&amp;$A8,実績!$AL$6:$AL$505,"○")&gt;0,1,0))</f>
        <v>0</v>
      </c>
      <c r="AC8" s="39" t="n">
        <f aca="false">IF(AC$4=0,0,IF(COUNTIFS(実績!$W$6:$W$505,AC$3,実績!$AI$6:$AI$505,"&lt;="&amp;$A8,実績!$AJ$6:$AJ$505,"&gt;"&amp;$A8,実績!$AL$6:$AL$505,"○")&gt;0,1,0))</f>
        <v>0</v>
      </c>
      <c r="AD8" s="39" t="n">
        <f aca="false">IF(AD$4=0,0,IF(COUNTIFS(実績!$W$6:$W$505,AD$3,実績!$AI$6:$AI$505,"&lt;="&amp;$A8,実績!$AJ$6:$AJ$505,"&gt;"&amp;$A8,実績!$AL$6:$AL$505,"○")&gt;0,1,0))</f>
        <v>0</v>
      </c>
      <c r="AE8" s="39" t="n">
        <f aca="false">IF(AE$4=0,0,IF(COUNTIFS(実績!$W$6:$W$505,AE$3,実績!$AI$6:$AI$505,"&lt;="&amp;$A8,実績!$AJ$6:$AJ$505,"&gt;"&amp;$A8,実績!$AL$6:$AL$505,"○")&gt;0,1,0))</f>
        <v>0</v>
      </c>
      <c r="AF8" s="39" t="n">
        <f aca="false">IF(AF$4=0,0,IF(COUNTIFS(実績!$W$6:$W$505,AF$3,実績!$AI$6:$AI$505,"&lt;="&amp;$A8,実績!$AJ$6:$AJ$505,"&gt;"&amp;$A8,実績!$AL$6:$AL$505,"○")&gt;0,1,0))</f>
        <v>0</v>
      </c>
      <c r="AG8" s="39" t="n">
        <f aca="false">IF(AG$4=0,0,IF(COUNTIFS(実績!$W$6:$W$505,AG$3,実績!$AI$6:$AI$505,"&lt;="&amp;$A8,実績!$AJ$6:$AJ$505,"&gt;"&amp;$A8,実績!$AL$6:$AL$505,"○")&gt;0,1,0))</f>
        <v>0</v>
      </c>
      <c r="AH8" s="39" t="n">
        <f aca="false">IF(AH$4=0,0,IF(COUNTIFS(実績!$W$6:$W$505,AH$3,実績!$AI$6:$AI$505,"&lt;="&amp;$A8,実績!$AJ$6:$AJ$505,"&gt;"&amp;$A8,実績!$AL$6:$AL$505,"○")&gt;0,1,0))</f>
        <v>0</v>
      </c>
      <c r="AI8" s="39" t="n">
        <f aca="false">IF(AI$4=0,0,IF(COUNTIFS(実績!$W$6:$W$505,AI$3,実績!$AI$6:$AI$505,"&lt;="&amp;$A8,実績!$AJ$6:$AJ$505,"&gt;"&amp;$A8,実績!$AL$6:$AL$505,"○")&gt;0,1,0))</f>
        <v>0</v>
      </c>
      <c r="AJ8" s="39" t="n">
        <f aca="false">IF(AJ$4=0,0,IF(COUNTIFS(実績!$W$6:$W$505,AJ$3,実績!$AI$6:$AI$505,"&lt;="&amp;$A8,実績!$AJ$6:$AJ$505,"&gt;"&amp;$A8,実績!$AL$6:$AL$505,"○")&gt;0,1,0))</f>
        <v>0</v>
      </c>
      <c r="AK8" s="39" t="n">
        <f aca="false">IF(AK$4=0,0,IF(COUNTIFS(実績!$W$6:$W$505,AK$3,実績!$AI$6:$AI$505,"&lt;="&amp;$A8,実績!$AJ$6:$AJ$505,"&gt;"&amp;$A8,実績!$AL$6:$AL$505,"○")&gt;0,1,0))</f>
        <v>0</v>
      </c>
      <c r="AL8" s="39" t="n">
        <f aca="false">IF(AL$4=0,0,IF(COUNTIFS(実績!$W$6:$W$505,AL$3,実績!$AI$6:$AI$505,"&lt;="&amp;$A8,実績!$AJ$6:$AJ$505,"&gt;"&amp;$A8,実績!$AL$6:$AL$505,"○")&gt;0,1,0))</f>
        <v>0</v>
      </c>
      <c r="AM8" s="39" t="n">
        <f aca="false">IF(AM$4=0,0,IF(COUNTIFS(実績!$W$6:$W$505,AM$3,実績!$AI$6:$AI$505,"&lt;="&amp;$A8,実績!$AJ$6:$AJ$505,"&gt;"&amp;$A8,実績!$AL$6:$AL$505,"○")&gt;0,1,0))</f>
        <v>0</v>
      </c>
      <c r="AN8" s="39" t="n">
        <f aca="false">IF(AN$4=0,0,IF(COUNTIFS(実績!$W$6:$W$505,AN$3,実績!$AI$6:$AI$505,"&lt;="&amp;$A8,実績!$AJ$6:$AJ$505,"&gt;"&amp;$A8,実績!$AL$6:$AL$505,"○")&gt;0,1,0))</f>
        <v>0</v>
      </c>
      <c r="AO8" s="39" t="n">
        <f aca="false">IF(AO$4=0,0,IF(COUNTIFS(実績!$W$6:$W$505,AO$3,実績!$AI$6:$AI$505,"&lt;="&amp;$A8,実績!$AJ$6:$AJ$505,"&gt;"&amp;$A8,実績!$AL$6:$AL$505,"○")&gt;0,1,0))</f>
        <v>0</v>
      </c>
      <c r="AP8" s="39" t="n">
        <f aca="false">IF(AP$4=0,0,IF(COUNTIFS(実績!$W$6:$W$505,AP$3,実績!$AI$6:$AI$505,"&lt;="&amp;$A8,実績!$AJ$6:$AJ$505,"&gt;"&amp;$A8,実績!$AL$6:$AL$505,"○")&gt;0,1,0))</f>
        <v>0</v>
      </c>
      <c r="AQ8" s="39" t="n">
        <f aca="false">IF(AQ$4=0,0,IF(COUNTIFS(実績!$W$6:$W$505,AQ$3,実績!$AI$6:$AI$505,"&lt;="&amp;$A8,実績!$AJ$6:$AJ$505,"&gt;"&amp;$A8,実績!$AL$6:$AL$505,"○")&gt;0,1,0))</f>
        <v>0</v>
      </c>
      <c r="AR8" s="39" t="n">
        <f aca="false">IF(AR$4=0,0,IF(COUNTIFS(実績!$W$6:$W$505,AR$3,実績!$AI$6:$AI$505,"&lt;="&amp;$A8,実績!$AJ$6:$AJ$505,"&gt;"&amp;$A8,実績!$AL$6:$AL$505,"○")&gt;0,1,0))</f>
        <v>0</v>
      </c>
      <c r="AS8" s="39" t="n">
        <f aca="false">IF(AS$4=0,0,IF(COUNTIFS(実績!$W$6:$W$505,AS$3,実績!$AI$6:$AI$505,"&lt;="&amp;$A8,実績!$AJ$6:$AJ$505,"&gt;"&amp;$A8,実績!$AL$6:$AL$505,"○")&gt;0,1,0))</f>
        <v>0</v>
      </c>
      <c r="AT8" s="39" t="n">
        <f aca="false">IF(AT$4=0,0,IF(COUNTIFS(実績!$W$6:$W$505,AT$3,実績!$AI$6:$AI$505,"&lt;="&amp;$A8,実績!$AJ$6:$AJ$505,"&gt;"&amp;$A8,実績!$AL$6:$AL$505,"○")&gt;0,1,0))</f>
        <v>0</v>
      </c>
      <c r="AU8" s="39" t="n">
        <f aca="false">IF(AU$4=0,0,IF(COUNTIFS(実績!$W$6:$W$505,AU$3,実績!$AI$6:$AI$505,"&lt;="&amp;$A8,実績!$AJ$6:$AJ$505,"&gt;"&amp;$A8,実績!$AL$6:$AL$505,"○")&gt;0,1,0))</f>
        <v>0</v>
      </c>
      <c r="AV8" s="39" t="n">
        <f aca="false">IF(AV$4=0,0,IF(COUNTIFS(実績!$W$6:$W$505,AV$3,実績!$AI$6:$AI$505,"&lt;="&amp;$A8,実績!$AJ$6:$AJ$505,"&gt;"&amp;$A8,実績!$AL$6:$AL$505,"○")&gt;0,1,0))</f>
        <v>0</v>
      </c>
      <c r="AW8" s="39" t="n">
        <f aca="false">IF(AW$4=0,0,IF(COUNTIFS(実績!$W$6:$W$505,AW$3,実績!$AI$6:$AI$505,"&lt;="&amp;$A8,実績!$AJ$6:$AJ$505,"&gt;"&amp;$A8,実績!$AL$6:$AL$505,"○")&gt;0,1,0))</f>
        <v>0</v>
      </c>
      <c r="AX8" s="39" t="n">
        <f aca="false">IF(AX$4=0,0,IF(COUNTIFS(実績!$W$6:$W$505,AX$3,実績!$AI$6:$AI$505,"&lt;="&amp;$A8,実績!$AJ$6:$AJ$505,"&gt;"&amp;$A8,実績!$AL$6:$AL$505,"○")&gt;0,1,0))</f>
        <v>0</v>
      </c>
      <c r="AY8" s="39" t="n">
        <f aca="false">IF(AY$4=0,0,IF(COUNTIFS(実績!$W$6:$W$505,AY$3,実績!$AI$6:$AI$505,"&lt;="&amp;$A8,実績!$AJ$6:$AJ$505,"&gt;"&amp;$A8,実績!$AL$6:$AL$505,"○")&gt;0,1,0))</f>
        <v>0</v>
      </c>
      <c r="AZ8" s="39" t="n">
        <f aca="false">IF(AZ$4=0,0,IF(COUNTIFS(実績!$W$6:$W$505,AZ$3,実績!$AI$6:$AI$505,"&lt;="&amp;$A8,実績!$AJ$6:$AJ$505,"&gt;"&amp;$A8,実績!$AL$6:$AL$505,"○")&gt;0,1,0))</f>
        <v>0</v>
      </c>
      <c r="BA8" s="39" t="n">
        <f aca="false">IF(BA$4=0,0,IF(COUNTIFS(実績!$W$6:$W$505,BA$3,実績!$AI$6:$AI$505,"&lt;="&amp;$A8,実績!$AJ$6:$AJ$505,"&gt;"&amp;$A8,実績!$AL$6:$AL$505,"○")&gt;0,1,0))</f>
        <v>0</v>
      </c>
      <c r="BB8" s="39" t="n">
        <f aca="false">IF(BB$4=0,0,IF(COUNTIFS(実績!$W$6:$W$505,BB$3,実績!$AI$6:$AI$505,"&lt;="&amp;$A8,実績!$AJ$6:$AJ$505,"&gt;"&amp;$A8,実績!$AL$6:$AL$505,"○")&gt;0,1,0))</f>
        <v>0</v>
      </c>
      <c r="BC8" s="39" t="n">
        <f aca="false">IF(BC$4=0,0,IF(COUNTIFS(実績!$W$6:$W$505,BC$3,実績!$AI$6:$AI$505,"&lt;="&amp;$A8,実績!$AJ$6:$AJ$505,"&gt;"&amp;$A8,実績!$AL$6:$AL$505,"○")&gt;0,1,0))</f>
        <v>0</v>
      </c>
      <c r="BD8" s="39" t="n">
        <f aca="false">IF(BD$4=0,0,IF(COUNTIFS(実績!$W$6:$W$505,BD$3,実績!$AI$6:$AI$505,"&lt;="&amp;$A8,実績!$AJ$6:$AJ$505,"&gt;"&amp;$A8,実績!$AL$6:$AL$505,"○")&gt;0,1,0))</f>
        <v>0</v>
      </c>
      <c r="BE8" s="39" t="n">
        <f aca="false">IF(BE$4=0,0,IF(COUNTIFS(実績!$W$6:$W$505,BE$3,実績!$AI$6:$AI$505,"&lt;="&amp;$A8,実績!$AJ$6:$AJ$505,"&gt;"&amp;$A8,実績!$AL$6:$AL$505,"○")&gt;0,1,0))</f>
        <v>0</v>
      </c>
      <c r="BF8" s="39" t="n">
        <f aca="false">IF(BF$4=0,0,IF(COUNTIFS(実績!$W$6:$W$505,BF$3,実績!$AI$6:$AI$505,"&lt;="&amp;$A8,実績!$AJ$6:$AJ$505,"&gt;"&amp;$A8,実績!$AL$6:$AL$505,"○")&gt;0,1,0))</f>
        <v>0</v>
      </c>
      <c r="BG8" s="39" t="n">
        <f aca="false">IF(BG$4=0,0,IF(COUNTIFS(実績!$W$6:$W$505,BG$3,実績!$AI$6:$AI$505,"&lt;="&amp;$A8,実績!$AJ$6:$AJ$505,"&gt;"&amp;$A8,実績!$AL$6:$AL$505,"○")&gt;0,1,0))</f>
        <v>0</v>
      </c>
      <c r="BH8" s="39" t="n">
        <f aca="false">IF(BH$4=0,0,IF(COUNTIFS(実績!$W$6:$W$505,BH$3,実績!$AI$6:$AI$505,"&lt;="&amp;$A8,実績!$AJ$6:$AJ$505,"&gt;"&amp;$A8,実績!$AL$6:$AL$505,"○")&gt;0,1,0))</f>
        <v>0</v>
      </c>
      <c r="BI8" s="39" t="n">
        <f aca="false">IF(BI$4=0,0,IF(COUNTIFS(実績!$W$6:$W$505,BI$3,実績!$AI$6:$AI$505,"&lt;="&amp;$A8,実績!$AJ$6:$AJ$505,"&gt;"&amp;$A8,実績!$AL$6:$AL$505,"○")&gt;0,1,0))</f>
        <v>0</v>
      </c>
      <c r="BJ8" s="39" t="n">
        <f aca="false">IF(BJ$4=0,0,IF(COUNTIFS(実績!$W$6:$W$505,BJ$3,実績!$AI$6:$AI$505,"&lt;="&amp;$A8,実績!$AJ$6:$AJ$505,"&gt;"&amp;$A8,実績!$AL$6:$AL$505,"○")&gt;0,1,0))</f>
        <v>0</v>
      </c>
      <c r="BK8" s="39" t="n">
        <f aca="false">IF(BK$4=0,0,IF(COUNTIFS(実績!$W$6:$W$505,BK$3,実績!$AI$6:$AI$505,"&lt;="&amp;$A8,実績!$AJ$6:$AJ$505,"&gt;"&amp;$A8,実績!$AL$6:$AL$505,"○")&gt;0,1,0))</f>
        <v>0</v>
      </c>
      <c r="BL8" s="39" t="n">
        <f aca="false">IF(BL$4=0,0,IF(COUNTIFS(実績!$W$6:$W$505,BL$3,実績!$AI$6:$AI$505,"&lt;="&amp;$A8,実績!$AJ$6:$AJ$505,"&gt;"&amp;$A8,実績!$AL$6:$AL$505,"○")&gt;0,1,0))</f>
        <v>0</v>
      </c>
      <c r="BM8" s="39" t="n">
        <f aca="false">IF(BM$4=0,0,IF(COUNTIFS(実績!$W$6:$W$505,BM$3,実績!$AI$6:$AI$505,"&lt;="&amp;$A8,実績!$AJ$6:$AJ$505,"&gt;"&amp;$A8,実績!$AL$6:$AL$505,"○")&gt;0,1,0))</f>
        <v>0</v>
      </c>
      <c r="BN8" s="39" t="n">
        <f aca="false">IF(BN$4=0,0,IF(COUNTIFS(実績!$W$6:$W$505,BN$3,実績!$AI$6:$AI$505,"&lt;="&amp;$A8,実績!$AJ$6:$AJ$505,"&gt;"&amp;$A8,実績!$AL$6:$AL$505,"○")&gt;0,1,0))</f>
        <v>0</v>
      </c>
      <c r="BO8" s="39" t="n">
        <f aca="false">IF(BO$4=0,0,IF(COUNTIFS(実績!$W$6:$W$505,BO$3,実績!$AI$6:$AI$505,"&lt;="&amp;$A8,実績!$AJ$6:$AJ$505,"&gt;"&amp;$A8,実績!$AL$6:$AL$505,"○")&gt;0,1,0))</f>
        <v>0</v>
      </c>
      <c r="BP8" s="39" t="n">
        <f aca="false">IF(BP$4=0,0,IF(COUNTIFS(実績!$W$6:$W$505,BP$3,実績!$AI$6:$AI$505,"&lt;="&amp;$A8,実績!$AJ$6:$AJ$505,"&gt;"&amp;$A8,実績!$AL$6:$AL$505,"○")&gt;0,1,0))</f>
        <v>0</v>
      </c>
      <c r="BQ8" s="39" t="n">
        <f aca="false">IF(BQ$4=0,0,IF(COUNTIFS(実績!$W$6:$W$505,BQ$3,実績!$AI$6:$AI$505,"&lt;="&amp;$A8,実績!$AJ$6:$AJ$505,"&gt;"&amp;$A8,実績!$AL$6:$AL$505,"○")&gt;0,1,0))</f>
        <v>0</v>
      </c>
      <c r="BR8" s="39" t="n">
        <f aca="false">IF(BR$4=0,0,IF(COUNTIFS(実績!$W$6:$W$505,BR$3,実績!$AI$6:$AI$505,"&lt;="&amp;$A8,実績!$AJ$6:$AJ$505,"&gt;"&amp;$A8,実績!$AL$6:$AL$505,"○")&gt;0,1,0))</f>
        <v>0</v>
      </c>
      <c r="BS8" s="39" t="n">
        <f aca="false">IF(BS$4=0,0,IF(COUNTIFS(実績!$W$6:$W$505,BS$3,実績!$AI$6:$AI$505,"&lt;="&amp;$A8,実績!$AJ$6:$AJ$505,"&gt;"&amp;$A8,実績!$AL$6:$AL$505,"○")&gt;0,1,0))</f>
        <v>0</v>
      </c>
      <c r="BT8" s="39" t="n">
        <f aca="false">IF(BT$4=0,0,IF(COUNTIFS(実績!$W$6:$W$505,BT$3,実績!$AI$6:$AI$505,"&lt;="&amp;$A8,実績!$AJ$6:$AJ$505,"&gt;"&amp;$A8,実績!$AL$6:$AL$505,"○")&gt;0,1,0))</f>
        <v>0</v>
      </c>
      <c r="BU8" s="39" t="n">
        <f aca="false">IF(BU$4=0,0,IF(COUNTIFS(実績!$W$6:$W$505,BU$3,実績!$AI$6:$AI$505,"&lt;="&amp;$A8,実績!$AJ$6:$AJ$505,"&gt;"&amp;$A8,実績!$AL$6:$AL$505,"○")&gt;0,1,0))</f>
        <v>0</v>
      </c>
      <c r="BV8" s="39" t="n">
        <f aca="false">IF(BV$4=0,0,IF(COUNTIFS(実績!$W$6:$W$505,BV$3,実績!$AI$6:$AI$505,"&lt;="&amp;$A8,実績!$AJ$6:$AJ$505,"&gt;"&amp;$A8,実績!$AL$6:$AL$505,"○")&gt;0,1,0))</f>
        <v>0</v>
      </c>
      <c r="BW8" s="39" t="n">
        <f aca="false">IF(BW$4=0,0,IF(COUNTIFS(実績!$W$6:$W$505,BW$3,実績!$AI$6:$AI$505,"&lt;="&amp;$A8,実績!$AJ$6:$AJ$505,"&gt;"&amp;$A8,実績!$AL$6:$AL$505,"○")&gt;0,1,0))</f>
        <v>0</v>
      </c>
      <c r="BX8" s="39" t="n">
        <f aca="false">IF(BX$4=0,0,IF(COUNTIFS(実績!$W$6:$W$505,BX$3,実績!$AI$6:$AI$505,"&lt;="&amp;$A8,実績!$AJ$6:$AJ$505,"&gt;"&amp;$A8,実績!$AL$6:$AL$505,"○")&gt;0,1,0))</f>
        <v>0</v>
      </c>
      <c r="BY8" s="39" t="n">
        <f aca="false">IF(BY$4=0,0,IF(COUNTIFS(実績!$W$6:$W$505,BY$3,実績!$AI$6:$AI$505,"&lt;="&amp;$A8,実績!$AJ$6:$AJ$505,"&gt;"&amp;$A8,実績!$AL$6:$AL$505,"○")&gt;0,1,0))</f>
        <v>0</v>
      </c>
      <c r="BZ8" s="39" t="n">
        <f aca="false">IF(BZ$4=0,0,IF(COUNTIFS(実績!$W$6:$W$505,BZ$3,実績!$AI$6:$AI$505,"&lt;="&amp;$A8,実績!$AJ$6:$AJ$505,"&gt;"&amp;$A8,実績!$AL$6:$AL$505,"○")&gt;0,1,0))</f>
        <v>0</v>
      </c>
      <c r="CA8" s="39" t="n">
        <f aca="false">IF(CA$4=0,0,IF(COUNTIFS(実績!$W$6:$W$505,CA$3,実績!$AI$6:$AI$505,"&lt;="&amp;$A8,実績!$AJ$6:$AJ$505,"&gt;"&amp;$A8,実績!$AL$6:$AL$505,"○")&gt;0,1,0))</f>
        <v>0</v>
      </c>
      <c r="CB8" s="39" t="n">
        <f aca="false">IF(CB$4=0,0,IF(COUNTIFS(実績!$W$6:$W$505,CB$3,実績!$AI$6:$AI$505,"&lt;="&amp;$A8,実績!$AJ$6:$AJ$505,"&gt;"&amp;$A8,実績!$AL$6:$AL$505,"○")&gt;0,1,0))</f>
        <v>0</v>
      </c>
      <c r="CC8" s="39" t="n">
        <f aca="false">IF(CC$4=0,0,IF(COUNTIFS(実績!$W$6:$W$505,CC$3,実績!$AI$6:$AI$505,"&lt;="&amp;$A8,実績!$AJ$6:$AJ$505,"&gt;"&amp;$A8,実績!$AL$6:$AL$505,"○")&gt;0,1,0))</f>
        <v>0</v>
      </c>
      <c r="CD8" s="39" t="n">
        <f aca="false">IF(CD$4=0,0,IF(COUNTIFS(実績!$W$6:$W$505,CD$3,実績!$AI$6:$AI$505,"&lt;="&amp;$A8,実績!$AJ$6:$AJ$505,"&gt;"&amp;$A8,実績!$AL$6:$AL$505,"○")&gt;0,1,0))</f>
        <v>0</v>
      </c>
      <c r="CE8" s="39" t="n">
        <f aca="false">IF(CE$4=0,0,IF(COUNTIFS(実績!$W$6:$W$505,CE$3,実績!$AI$6:$AI$505,"&lt;="&amp;$A8,実績!$AJ$6:$AJ$505,"&gt;"&amp;$A8,実績!$AL$6:$AL$505,"○")&gt;0,1,0))</f>
        <v>0</v>
      </c>
      <c r="CF8" s="39" t="n">
        <f aca="false">IF(CF$4=0,0,IF(COUNTIFS(実績!$W$6:$W$505,CF$3,実績!$AI$6:$AI$505,"&lt;="&amp;$A8,実績!$AJ$6:$AJ$505,"&gt;"&amp;$A8,実績!$AL$6:$AL$505,"○")&gt;0,1,0))</f>
        <v>0</v>
      </c>
      <c r="CG8" s="39" t="n">
        <f aca="false">IF(CG$4=0,0,IF(COUNTIFS(実績!$W$6:$W$505,CG$3,実績!$AI$6:$AI$505,"&lt;="&amp;$A8,実績!$AJ$6:$AJ$505,"&gt;"&amp;$A8,実績!$AL$6:$AL$505,"○")&gt;0,1,0))</f>
        <v>0</v>
      </c>
      <c r="CH8" s="39" t="n">
        <f aca="false">IF(CH$4=0,0,IF(COUNTIFS(実績!$W$6:$W$505,CH$3,実績!$AI$6:$AI$505,"&lt;="&amp;$A8,実績!$AJ$6:$AJ$505,"&gt;"&amp;$A8,実績!$AL$6:$AL$505,"○")&gt;0,1,0))</f>
        <v>0</v>
      </c>
      <c r="CI8" s="39" t="n">
        <f aca="false">IF(CI$4=0,0,IF(COUNTIFS(実績!$W$6:$W$505,CI$3,実績!$AI$6:$AI$505,"&lt;="&amp;$A8,実績!$AJ$6:$AJ$505,"&gt;"&amp;$A8,実績!$AL$6:$AL$505,"○")&gt;0,1,0))</f>
        <v>0</v>
      </c>
      <c r="CJ8" s="39" t="n">
        <f aca="false">IF(CJ$4=0,0,IF(COUNTIFS(実績!$W$6:$W$505,CJ$3,実績!$AI$6:$AI$505,"&lt;="&amp;$A8,実績!$AJ$6:$AJ$505,"&gt;"&amp;$A8,実績!$AL$6:$AL$505,"○")&gt;0,1,0))</f>
        <v>0</v>
      </c>
      <c r="CK8" s="39" t="n">
        <f aca="false">IF(CK$4=0,0,IF(COUNTIFS(実績!$W$6:$W$505,CK$3,実績!$AI$6:$AI$505,"&lt;="&amp;$A8,実績!$AJ$6:$AJ$505,"&gt;"&amp;$A8,実績!$AL$6:$AL$505,"○")&gt;0,1,0))</f>
        <v>0</v>
      </c>
      <c r="CL8" s="39" t="n">
        <f aca="false">IF(CL$4=0,0,IF(COUNTIFS(実績!$W$6:$W$505,CL$3,実績!$AI$6:$AI$505,"&lt;="&amp;$A8,実績!$AJ$6:$AJ$505,"&gt;"&amp;$A8,実績!$AL$6:$AL$505,"○")&gt;0,1,0))</f>
        <v>0</v>
      </c>
      <c r="CM8" s="39" t="n">
        <f aca="false">IF(CM$4=0,0,IF(COUNTIFS(実績!$W$6:$W$505,CM$3,実績!$AI$6:$AI$505,"&lt;="&amp;$A8,実績!$AJ$6:$AJ$505,"&gt;"&amp;$A8,実績!$AL$6:$AL$505,"○")&gt;0,1,0))</f>
        <v>0</v>
      </c>
      <c r="CN8" s="39" t="n">
        <f aca="false">IF(CN$4=0,0,IF(COUNTIFS(実績!$W$6:$W$505,CN$3,実績!$AI$6:$AI$505,"&lt;="&amp;$A8,実績!$AJ$6:$AJ$505,"&gt;"&amp;$A8,実績!$AL$6:$AL$505,"○")&gt;0,1,0))</f>
        <v>0</v>
      </c>
      <c r="CO8" s="39" t="n">
        <f aca="false">IF(CO$4=0,0,IF(COUNTIFS(実績!$W$6:$W$505,CO$3,実績!$AI$6:$AI$505,"&lt;="&amp;$A8,実績!$AJ$6:$AJ$505,"&gt;"&amp;$A8,実績!$AL$6:$AL$505,"○")&gt;0,1,0))</f>
        <v>0</v>
      </c>
      <c r="CP8" s="39" t="n">
        <f aca="false">IF(CP$4=0,0,IF(COUNTIFS(実績!$W$6:$W$505,CP$3,実績!$AI$6:$AI$505,"&lt;="&amp;$A8,実績!$AJ$6:$AJ$505,"&gt;"&amp;$A8,実績!$AL$6:$AL$505,"○")&gt;0,1,0))</f>
        <v>0</v>
      </c>
      <c r="CQ8" s="39" t="n">
        <f aca="false">IF(CQ$4=0,0,IF(COUNTIFS(実績!$W$6:$W$505,CQ$3,実績!$AI$6:$AI$505,"&lt;="&amp;$A8,実績!$AJ$6:$AJ$505,"&gt;"&amp;$A8,実績!$AL$6:$AL$505,"○")&gt;0,1,0))</f>
        <v>0</v>
      </c>
      <c r="CR8" s="39" t="n">
        <f aca="false">IF(CR$4=0,0,IF(COUNTIFS(実績!$W$6:$W$505,CR$3,実績!$AI$6:$AI$505,"&lt;="&amp;$A8,実績!$AJ$6:$AJ$505,"&gt;"&amp;$A8,実績!$AL$6:$AL$505,"○")&gt;0,1,0))</f>
        <v>0</v>
      </c>
      <c r="CS8" s="39" t="n">
        <f aca="false">IF(CS$4=0,0,IF(COUNTIFS(実績!$W$6:$W$505,CS$3,実績!$AI$6:$AI$505,"&lt;="&amp;$A8,実績!$AJ$6:$AJ$505,"&gt;"&amp;$A8,実績!$AL$6:$AL$505,"○")&gt;0,1,0))</f>
        <v>0</v>
      </c>
      <c r="CT8" s="39" t="n">
        <f aca="false">IF(CT$4=0,0,IF(COUNTIFS(実績!$W$6:$W$505,CT$3,実績!$AI$6:$AI$505,"&lt;="&amp;$A8,実績!$AJ$6:$AJ$505,"&gt;"&amp;$A8,実績!$AL$6:$AL$505,"○")&gt;0,1,0))</f>
        <v>0</v>
      </c>
      <c r="CU8" s="39" t="n">
        <f aca="false">IF(CU$4=0,0,IF(COUNTIFS(実績!$W$6:$W$505,CU$3,実績!$AI$6:$AI$505,"&lt;="&amp;$A8,実績!$AJ$6:$AJ$505,"&gt;"&amp;$A8,実績!$AL$6:$AL$505,"○")&gt;0,1,0))</f>
        <v>0</v>
      </c>
      <c r="CV8" s="39" t="n">
        <f aca="false">IF(CV$4=0,0,IF(COUNTIFS(実績!$W$6:$W$505,CV$3,実績!$AI$6:$AI$505,"&lt;="&amp;$A8,実績!$AJ$6:$AJ$505,"&gt;"&amp;$A8,実績!$AL$6:$AL$505,"○")&gt;0,1,0))</f>
        <v>0</v>
      </c>
      <c r="CW8" s="39" t="n">
        <f aca="false">IF(CW$4=0,0,IF(COUNTIFS(実績!$W$6:$W$505,CW$3,実績!$AI$6:$AI$505,"&lt;="&amp;$A8,実績!$AJ$6:$AJ$505,"&gt;"&amp;$A8,実績!$AL$6:$AL$505,"○")&gt;0,1,0))</f>
        <v>0</v>
      </c>
      <c r="CX8" s="39" t="n">
        <f aca="false">IF(CX$4=0,0,IF(COUNTIFS(実績!$W$6:$W$505,CX$3,実績!$AI$6:$AI$505,"&lt;="&amp;$A8,実績!$AJ$6:$AJ$505,"&gt;"&amp;$A8,実績!$AL$6:$AL$505,"○")&gt;0,1,0))</f>
        <v>0</v>
      </c>
      <c r="CY8" s="39" t="n">
        <f aca="false">IF(CY$4=0,0,IF(COUNTIFS(実績!$W$6:$W$505,CY$3,実績!$AI$6:$AI$505,"&lt;="&amp;$A8,実績!$AJ$6:$AJ$505,"&gt;"&amp;$A8,実績!$AL$6:$AL$505,"○")&gt;0,1,0))</f>
        <v>0</v>
      </c>
      <c r="CZ8" s="39" t="n">
        <f aca="false">IF(CZ$4=0,0,IF(COUNTIFS(実績!$W$6:$W$505,CZ$3,実績!$AI$6:$AI$505,"&lt;="&amp;$A8,実績!$AJ$6:$AJ$505,"&gt;"&amp;$A8,実績!$AL$6:$AL$505,"○")&gt;0,1,0))</f>
        <v>0</v>
      </c>
      <c r="DA8" s="39" t="n">
        <f aca="false">IF(DA$4=0,0,IF(COUNTIFS(実績!$W$6:$W$505,DA$3,実績!$AI$6:$AI$505,"&lt;="&amp;$A8,実績!$AJ$6:$AJ$505,"&gt;"&amp;$A8,実績!$AL$6:$AL$505,"○")&gt;0,1,0))</f>
        <v>0</v>
      </c>
      <c r="DB8" s="39" t="n">
        <f aca="false">IF(DB$4=0,0,IF(COUNTIFS(実績!$W$6:$W$505,DB$3,実績!$AI$6:$AI$505,"&lt;="&amp;$A8,実績!$AJ$6:$AJ$505,"&gt;"&amp;$A8,実績!$AL$6:$AL$505,"○")&gt;0,1,0))</f>
        <v>0</v>
      </c>
      <c r="DC8" s="39" t="n">
        <f aca="false">IF(DC$4=0,0,IF(COUNTIFS(実績!$W$6:$W$505,DC$3,実績!$AI$6:$AI$505,"&lt;="&amp;$A8,実績!$AJ$6:$AJ$505,"&gt;"&amp;$A8,実績!$AL$6:$AL$505,"○")&gt;0,1,0))</f>
        <v>0</v>
      </c>
      <c r="DD8" s="39" t="n">
        <f aca="false">IF(DD$4=0,0,IF(COUNTIFS(実績!$W$6:$W$505,DD$3,実績!$AI$6:$AI$505,"&lt;="&amp;$A8,実績!$AJ$6:$AJ$505,"&gt;"&amp;$A8,実績!$AL$6:$AL$505,"○")&gt;0,1,0))</f>
        <v>0</v>
      </c>
      <c r="DE8" s="39" t="n">
        <f aca="false">IF(DE$4=0,0,IF(COUNTIFS(実績!$W$6:$W$505,DE$3,実績!$AI$6:$AI$505,"&lt;="&amp;$A8,実績!$AJ$6:$AJ$505,"&gt;"&amp;$A8,実績!$AL$6:$AL$505,"○")&gt;0,1,0))</f>
        <v>0</v>
      </c>
      <c r="DF8" s="39" t="n">
        <f aca="false">IF(DF$4=0,0,IF(COUNTIFS(実績!$W$6:$W$505,DF$3,実績!$AI$6:$AI$505,"&lt;="&amp;$A8,実績!$AJ$6:$AJ$505,"&gt;"&amp;$A8,実績!$AL$6:$AL$505,"○")&gt;0,1,0))</f>
        <v>0</v>
      </c>
      <c r="DG8" s="39" t="n">
        <f aca="false">IF(DG$4=0,0,IF(COUNTIFS(実績!$W$6:$W$505,DG$3,実績!$AI$6:$AI$505,"&lt;="&amp;$A8,実績!$AJ$6:$AJ$505,"&gt;"&amp;$A8,実績!$AL$6:$AL$505,"○")&gt;0,1,0))</f>
        <v>0</v>
      </c>
      <c r="DH8" s="39" t="n">
        <f aca="false">IF(DH$4=0,0,IF(COUNTIFS(実績!$W$6:$W$505,DH$3,実績!$AI$6:$AI$505,"&lt;="&amp;$A8,実績!$AJ$6:$AJ$505,"&gt;"&amp;$A8,実績!$AL$6:$AL$505,"○")&gt;0,1,0))</f>
        <v>0</v>
      </c>
      <c r="DI8" s="39" t="n">
        <f aca="false">IF(DI$4=0,0,IF(COUNTIFS(実績!$W$6:$W$505,DI$3,実績!$AI$6:$AI$505,"&lt;="&amp;$A8,実績!$AJ$6:$AJ$505,"&gt;"&amp;$A8,実績!$AL$6:$AL$505,"○")&gt;0,1,0))</f>
        <v>0</v>
      </c>
      <c r="DJ8" s="39" t="n">
        <f aca="false">IF(DJ$4=0,0,IF(COUNTIFS(実績!$W$6:$W$505,DJ$3,実績!$AI$6:$AI$505,"&lt;="&amp;$A8,実績!$AJ$6:$AJ$505,"&gt;"&amp;$A8,実績!$AL$6:$AL$505,"○")&gt;0,1,0))</f>
        <v>0</v>
      </c>
      <c r="DK8" s="39" t="n">
        <f aca="false">IF(DK$4=0,0,IF(COUNTIFS(実績!$W$6:$W$505,DK$3,実績!$AI$6:$AI$505,"&lt;="&amp;$A8,実績!$AJ$6:$AJ$505,"&gt;"&amp;$A8,実績!$AL$6:$AL$505,"○")&gt;0,1,0))</f>
        <v>0</v>
      </c>
      <c r="DL8" s="39" t="n">
        <f aca="false">IF(DL$4=0,0,IF(COUNTIFS(実績!$W$6:$W$505,DL$3,実績!$AI$6:$AI$505,"&lt;="&amp;$A8,実績!$AJ$6:$AJ$505,"&gt;"&amp;$A8,実績!$AL$6:$AL$505,"○")&gt;0,1,0))</f>
        <v>0</v>
      </c>
      <c r="DM8" s="39" t="n">
        <f aca="false">IF(DM$4=0,0,IF(COUNTIFS(実績!$W$6:$W$505,DM$3,実績!$AI$6:$AI$505,"&lt;="&amp;$A8,実績!$AJ$6:$AJ$505,"&gt;"&amp;$A8,実績!$AL$6:$AL$505,"○")&gt;0,1,0))</f>
        <v>0</v>
      </c>
      <c r="DN8" s="39" t="n">
        <f aca="false">IF(DN$4=0,0,IF(COUNTIFS(実績!$W$6:$W$505,DN$3,実績!$AI$6:$AI$505,"&lt;="&amp;$A8,実績!$AJ$6:$AJ$505,"&gt;"&amp;$A8,実績!$AL$6:$AL$505,"○")&gt;0,1,0))</f>
        <v>0</v>
      </c>
      <c r="DO8" s="39" t="n">
        <f aca="false">IF(DO$4=0,0,IF(COUNTIFS(実績!$W$6:$W$505,DO$3,実績!$AI$6:$AI$505,"&lt;="&amp;$A8,実績!$AJ$6:$AJ$505,"&gt;"&amp;$A8,実績!$AL$6:$AL$505,"○")&gt;0,1,0))</f>
        <v>0</v>
      </c>
      <c r="DP8" s="39" t="n">
        <f aca="false">IF(DP$4=0,0,IF(COUNTIFS(実績!$W$6:$W$505,DP$3,実績!$AI$6:$AI$505,"&lt;="&amp;$A8,実績!$AJ$6:$AJ$505,"&gt;"&amp;$A8,実績!$AL$6:$AL$505,"○")&gt;0,1,0))</f>
        <v>0</v>
      </c>
      <c r="DQ8" s="39" t="n">
        <f aca="false">IF(DQ$4=0,0,IF(COUNTIFS(実績!$W$6:$W$505,DQ$3,実績!$AI$6:$AI$505,"&lt;="&amp;$A8,実績!$AJ$6:$AJ$505,"&gt;"&amp;$A8,実績!$AL$6:$AL$505,"○")&gt;0,1,0))</f>
        <v>0</v>
      </c>
      <c r="DR8" s="39" t="n">
        <f aca="false">IF(DR$4=0,0,IF(COUNTIFS(実績!$W$6:$W$505,DR$3,実績!$AI$6:$AI$505,"&lt;="&amp;$A8,実績!$AJ$6:$AJ$505,"&gt;"&amp;$A8,実績!$AL$6:$AL$505,"○")&gt;0,1,0))</f>
        <v>0</v>
      </c>
      <c r="DS8" s="39" t="n">
        <f aca="false">SUM(C8:DR8)</f>
        <v>0</v>
      </c>
    </row>
    <row r="9" customFormat="false" ht="15" hidden="false" customHeight="false" outlineLevel="0" collapsed="false">
      <c r="A9" s="0" t="n">
        <v>15</v>
      </c>
      <c r="B9" s="38" t="n">
        <f aca="false">A9/1440</f>
        <v>0.0104166666666667</v>
      </c>
      <c r="C9" s="39" t="n">
        <f aca="false">IF(C$4=0,0,IF(COUNTIFS(実績!$W$6:$W$505,C$3,実績!$AI$6:$AI$505,"&lt;="&amp;$A9,実績!$AJ$6:$AJ$505,"&gt;"&amp;$A9,実績!$AL$6:$AL$505,"○")&gt;0,1,0))</f>
        <v>0</v>
      </c>
      <c r="D9" s="39" t="n">
        <f aca="false">IF(D$4=0,0,IF(COUNTIFS(実績!$W$6:$W$505,D$3,実績!$AI$6:$AI$505,"&lt;="&amp;$A9,実績!$AJ$6:$AJ$505,"&gt;"&amp;$A9,実績!$AL$6:$AL$505,"○")&gt;0,1,0))</f>
        <v>0</v>
      </c>
      <c r="E9" s="39" t="n">
        <f aca="false">IF(E$4=0,0,IF(COUNTIFS(実績!$W$6:$W$505,E$3,実績!$AI$6:$AI$505,"&lt;="&amp;$A9,実績!$AJ$6:$AJ$505,"&gt;"&amp;$A9,実績!$AL$6:$AL$505,"○")&gt;0,1,0))</f>
        <v>0</v>
      </c>
      <c r="F9" s="39" t="n">
        <f aca="false">IF(F$4=0,0,IF(COUNTIFS(実績!$W$6:$W$505,F$3,実績!$AI$6:$AI$505,"&lt;="&amp;$A9,実績!$AJ$6:$AJ$505,"&gt;"&amp;$A9,実績!$AL$6:$AL$505,"○")&gt;0,1,0))</f>
        <v>0</v>
      </c>
      <c r="G9" s="39" t="n">
        <f aca="false">IF(G$4=0,0,IF(COUNTIFS(実績!$W$6:$W$505,G$3,実績!$AI$6:$AI$505,"&lt;="&amp;$A9,実績!$AJ$6:$AJ$505,"&gt;"&amp;$A9,実績!$AL$6:$AL$505,"○")&gt;0,1,0))</f>
        <v>0</v>
      </c>
      <c r="H9" s="39" t="n">
        <f aca="false">IF(H$4=0,0,IF(COUNTIFS(実績!$W$6:$W$505,H$3,実績!$AI$6:$AI$505,"&lt;="&amp;$A9,実績!$AJ$6:$AJ$505,"&gt;"&amp;$A9,実績!$AL$6:$AL$505,"○")&gt;0,1,0))</f>
        <v>0</v>
      </c>
      <c r="I9" s="39" t="n">
        <f aca="false">IF(I$4=0,0,IF(COUNTIFS(実績!$W$6:$W$505,I$3,実績!$AI$6:$AI$505,"&lt;="&amp;$A9,実績!$AJ$6:$AJ$505,"&gt;"&amp;$A9,実績!$AL$6:$AL$505,"○")&gt;0,1,0))</f>
        <v>0</v>
      </c>
      <c r="J9" s="39" t="n">
        <f aca="false">IF(J$4=0,0,IF(COUNTIFS(実績!$W$6:$W$505,J$3,実績!$AI$6:$AI$505,"&lt;="&amp;$A9,実績!$AJ$6:$AJ$505,"&gt;"&amp;$A9,実績!$AL$6:$AL$505,"○")&gt;0,1,0))</f>
        <v>0</v>
      </c>
      <c r="K9" s="39" t="n">
        <f aca="false">IF(K$4=0,0,IF(COUNTIFS(実績!$W$6:$W$505,K$3,実績!$AI$6:$AI$505,"&lt;="&amp;$A9,実績!$AJ$6:$AJ$505,"&gt;"&amp;$A9,実績!$AL$6:$AL$505,"○")&gt;0,1,0))</f>
        <v>0</v>
      </c>
      <c r="L9" s="39" t="n">
        <f aca="false">IF(L$4=0,0,IF(COUNTIFS(実績!$W$6:$W$505,L$3,実績!$AI$6:$AI$505,"&lt;="&amp;$A9,実績!$AJ$6:$AJ$505,"&gt;"&amp;$A9,実績!$AL$6:$AL$505,"○")&gt;0,1,0))</f>
        <v>0</v>
      </c>
      <c r="M9" s="39" t="n">
        <f aca="false">IF(M$4=0,0,IF(COUNTIFS(実績!$W$6:$W$505,M$3,実績!$AI$6:$AI$505,"&lt;="&amp;$A9,実績!$AJ$6:$AJ$505,"&gt;"&amp;$A9,実績!$AL$6:$AL$505,"○")&gt;0,1,0))</f>
        <v>0</v>
      </c>
      <c r="N9" s="39" t="n">
        <f aca="false">IF(N$4=0,0,IF(COUNTIFS(実績!$W$6:$W$505,N$3,実績!$AI$6:$AI$505,"&lt;="&amp;$A9,実績!$AJ$6:$AJ$505,"&gt;"&amp;$A9,実績!$AL$6:$AL$505,"○")&gt;0,1,0))</f>
        <v>0</v>
      </c>
      <c r="O9" s="39" t="n">
        <f aca="false">IF(O$4=0,0,IF(COUNTIFS(実績!$W$6:$W$505,O$3,実績!$AI$6:$AI$505,"&lt;="&amp;$A9,実績!$AJ$6:$AJ$505,"&gt;"&amp;$A9,実績!$AL$6:$AL$505,"○")&gt;0,1,0))</f>
        <v>0</v>
      </c>
      <c r="P9" s="39" t="n">
        <f aca="false">IF(P$4=0,0,IF(COUNTIFS(実績!$W$6:$W$505,P$3,実績!$AI$6:$AI$505,"&lt;="&amp;$A9,実績!$AJ$6:$AJ$505,"&gt;"&amp;$A9,実績!$AL$6:$AL$505,"○")&gt;0,1,0))</f>
        <v>0</v>
      </c>
      <c r="Q9" s="39" t="n">
        <f aca="false">IF(Q$4=0,0,IF(COUNTIFS(実績!$W$6:$W$505,Q$3,実績!$AI$6:$AI$505,"&lt;="&amp;$A9,実績!$AJ$6:$AJ$505,"&gt;"&amp;$A9,実績!$AL$6:$AL$505,"○")&gt;0,1,0))</f>
        <v>0</v>
      </c>
      <c r="R9" s="39" t="n">
        <f aca="false">IF(R$4=0,0,IF(COUNTIFS(実績!$W$6:$W$505,R$3,実績!$AI$6:$AI$505,"&lt;="&amp;$A9,実績!$AJ$6:$AJ$505,"&gt;"&amp;$A9,実績!$AL$6:$AL$505,"○")&gt;0,1,0))</f>
        <v>0</v>
      </c>
      <c r="S9" s="39" t="n">
        <f aca="false">IF(S$4=0,0,IF(COUNTIFS(実績!$W$6:$W$505,S$3,実績!$AI$6:$AI$505,"&lt;="&amp;$A9,実績!$AJ$6:$AJ$505,"&gt;"&amp;$A9,実績!$AL$6:$AL$505,"○")&gt;0,1,0))</f>
        <v>0</v>
      </c>
      <c r="T9" s="39" t="n">
        <f aca="false">IF(T$4=0,0,IF(COUNTIFS(実績!$W$6:$W$505,T$3,実績!$AI$6:$AI$505,"&lt;="&amp;$A9,実績!$AJ$6:$AJ$505,"&gt;"&amp;$A9,実績!$AL$6:$AL$505,"○")&gt;0,1,0))</f>
        <v>0</v>
      </c>
      <c r="U9" s="39" t="n">
        <f aca="false">IF(U$4=0,0,IF(COUNTIFS(実績!$W$6:$W$505,U$3,実績!$AI$6:$AI$505,"&lt;="&amp;$A9,実績!$AJ$6:$AJ$505,"&gt;"&amp;$A9,実績!$AL$6:$AL$505,"○")&gt;0,1,0))</f>
        <v>0</v>
      </c>
      <c r="V9" s="39" t="n">
        <f aca="false">IF(V$4=0,0,IF(COUNTIFS(実績!$W$6:$W$505,V$3,実績!$AI$6:$AI$505,"&lt;="&amp;$A9,実績!$AJ$6:$AJ$505,"&gt;"&amp;$A9,実績!$AL$6:$AL$505,"○")&gt;0,1,0))</f>
        <v>0</v>
      </c>
      <c r="W9" s="39" t="n">
        <f aca="false">IF(W$4=0,0,IF(COUNTIFS(実績!$W$6:$W$505,W$3,実績!$AI$6:$AI$505,"&lt;="&amp;$A9,実績!$AJ$6:$AJ$505,"&gt;"&amp;$A9,実績!$AL$6:$AL$505,"○")&gt;0,1,0))</f>
        <v>0</v>
      </c>
      <c r="X9" s="39" t="n">
        <f aca="false">IF(X$4=0,0,IF(COUNTIFS(実績!$W$6:$W$505,X$3,実績!$AI$6:$AI$505,"&lt;="&amp;$A9,実績!$AJ$6:$AJ$505,"&gt;"&amp;$A9,実績!$AL$6:$AL$505,"○")&gt;0,1,0))</f>
        <v>0</v>
      </c>
      <c r="Y9" s="39" t="n">
        <f aca="false">IF(Y$4=0,0,IF(COUNTIFS(実績!$W$6:$W$505,Y$3,実績!$AI$6:$AI$505,"&lt;="&amp;$A9,実績!$AJ$6:$AJ$505,"&gt;"&amp;$A9,実績!$AL$6:$AL$505,"○")&gt;0,1,0))</f>
        <v>0</v>
      </c>
      <c r="Z9" s="39" t="n">
        <f aca="false">IF(Z$4=0,0,IF(COUNTIFS(実績!$W$6:$W$505,Z$3,実績!$AI$6:$AI$505,"&lt;="&amp;$A9,実績!$AJ$6:$AJ$505,"&gt;"&amp;$A9,実績!$AL$6:$AL$505,"○")&gt;0,1,0))</f>
        <v>0</v>
      </c>
      <c r="AA9" s="39" t="n">
        <f aca="false">IF(AA$4=0,0,IF(COUNTIFS(実績!$W$6:$W$505,AA$3,実績!$AI$6:$AI$505,"&lt;="&amp;$A9,実績!$AJ$6:$AJ$505,"&gt;"&amp;$A9,実績!$AL$6:$AL$505,"○")&gt;0,1,0))</f>
        <v>0</v>
      </c>
      <c r="AB9" s="39" t="n">
        <f aca="false">IF(AB$4=0,0,IF(COUNTIFS(実績!$W$6:$W$505,AB$3,実績!$AI$6:$AI$505,"&lt;="&amp;$A9,実績!$AJ$6:$AJ$505,"&gt;"&amp;$A9,実績!$AL$6:$AL$505,"○")&gt;0,1,0))</f>
        <v>0</v>
      </c>
      <c r="AC9" s="39" t="n">
        <f aca="false">IF(AC$4=0,0,IF(COUNTIFS(実績!$W$6:$W$505,AC$3,実績!$AI$6:$AI$505,"&lt;="&amp;$A9,実績!$AJ$6:$AJ$505,"&gt;"&amp;$A9,実績!$AL$6:$AL$505,"○")&gt;0,1,0))</f>
        <v>0</v>
      </c>
      <c r="AD9" s="39" t="n">
        <f aca="false">IF(AD$4=0,0,IF(COUNTIFS(実績!$W$6:$W$505,AD$3,実績!$AI$6:$AI$505,"&lt;="&amp;$A9,実績!$AJ$6:$AJ$505,"&gt;"&amp;$A9,実績!$AL$6:$AL$505,"○")&gt;0,1,0))</f>
        <v>0</v>
      </c>
      <c r="AE9" s="39" t="n">
        <f aca="false">IF(AE$4=0,0,IF(COUNTIFS(実績!$W$6:$W$505,AE$3,実績!$AI$6:$AI$505,"&lt;="&amp;$A9,実績!$AJ$6:$AJ$505,"&gt;"&amp;$A9,実績!$AL$6:$AL$505,"○")&gt;0,1,0))</f>
        <v>0</v>
      </c>
      <c r="AF9" s="39" t="n">
        <f aca="false">IF(AF$4=0,0,IF(COUNTIFS(実績!$W$6:$W$505,AF$3,実績!$AI$6:$AI$505,"&lt;="&amp;$A9,実績!$AJ$6:$AJ$505,"&gt;"&amp;$A9,実績!$AL$6:$AL$505,"○")&gt;0,1,0))</f>
        <v>0</v>
      </c>
      <c r="AG9" s="39" t="n">
        <f aca="false">IF(AG$4=0,0,IF(COUNTIFS(実績!$W$6:$W$505,AG$3,実績!$AI$6:$AI$505,"&lt;="&amp;$A9,実績!$AJ$6:$AJ$505,"&gt;"&amp;$A9,実績!$AL$6:$AL$505,"○")&gt;0,1,0))</f>
        <v>0</v>
      </c>
      <c r="AH9" s="39" t="n">
        <f aca="false">IF(AH$4=0,0,IF(COUNTIFS(実績!$W$6:$W$505,AH$3,実績!$AI$6:$AI$505,"&lt;="&amp;$A9,実績!$AJ$6:$AJ$505,"&gt;"&amp;$A9,実績!$AL$6:$AL$505,"○")&gt;0,1,0))</f>
        <v>0</v>
      </c>
      <c r="AI9" s="39" t="n">
        <f aca="false">IF(AI$4=0,0,IF(COUNTIFS(実績!$W$6:$W$505,AI$3,実績!$AI$6:$AI$505,"&lt;="&amp;$A9,実績!$AJ$6:$AJ$505,"&gt;"&amp;$A9,実績!$AL$6:$AL$505,"○")&gt;0,1,0))</f>
        <v>0</v>
      </c>
      <c r="AJ9" s="39" t="n">
        <f aca="false">IF(AJ$4=0,0,IF(COUNTIFS(実績!$W$6:$W$505,AJ$3,実績!$AI$6:$AI$505,"&lt;="&amp;$A9,実績!$AJ$6:$AJ$505,"&gt;"&amp;$A9,実績!$AL$6:$AL$505,"○")&gt;0,1,0))</f>
        <v>0</v>
      </c>
      <c r="AK9" s="39" t="n">
        <f aca="false">IF(AK$4=0,0,IF(COUNTIFS(実績!$W$6:$W$505,AK$3,実績!$AI$6:$AI$505,"&lt;="&amp;$A9,実績!$AJ$6:$AJ$505,"&gt;"&amp;$A9,実績!$AL$6:$AL$505,"○")&gt;0,1,0))</f>
        <v>0</v>
      </c>
      <c r="AL9" s="39" t="n">
        <f aca="false">IF(AL$4=0,0,IF(COUNTIFS(実績!$W$6:$W$505,AL$3,実績!$AI$6:$AI$505,"&lt;="&amp;$A9,実績!$AJ$6:$AJ$505,"&gt;"&amp;$A9,実績!$AL$6:$AL$505,"○")&gt;0,1,0))</f>
        <v>0</v>
      </c>
      <c r="AM9" s="39" t="n">
        <f aca="false">IF(AM$4=0,0,IF(COUNTIFS(実績!$W$6:$W$505,AM$3,実績!$AI$6:$AI$505,"&lt;="&amp;$A9,実績!$AJ$6:$AJ$505,"&gt;"&amp;$A9,実績!$AL$6:$AL$505,"○")&gt;0,1,0))</f>
        <v>0</v>
      </c>
      <c r="AN9" s="39" t="n">
        <f aca="false">IF(AN$4=0,0,IF(COUNTIFS(実績!$W$6:$W$505,AN$3,実績!$AI$6:$AI$505,"&lt;="&amp;$A9,実績!$AJ$6:$AJ$505,"&gt;"&amp;$A9,実績!$AL$6:$AL$505,"○")&gt;0,1,0))</f>
        <v>0</v>
      </c>
      <c r="AO9" s="39" t="n">
        <f aca="false">IF(AO$4=0,0,IF(COUNTIFS(実績!$W$6:$W$505,AO$3,実績!$AI$6:$AI$505,"&lt;="&amp;$A9,実績!$AJ$6:$AJ$505,"&gt;"&amp;$A9,実績!$AL$6:$AL$505,"○")&gt;0,1,0))</f>
        <v>0</v>
      </c>
      <c r="AP9" s="39" t="n">
        <f aca="false">IF(AP$4=0,0,IF(COUNTIFS(実績!$W$6:$W$505,AP$3,実績!$AI$6:$AI$505,"&lt;="&amp;$A9,実績!$AJ$6:$AJ$505,"&gt;"&amp;$A9,実績!$AL$6:$AL$505,"○")&gt;0,1,0))</f>
        <v>0</v>
      </c>
      <c r="AQ9" s="39" t="n">
        <f aca="false">IF(AQ$4=0,0,IF(COUNTIFS(実績!$W$6:$W$505,AQ$3,実績!$AI$6:$AI$505,"&lt;="&amp;$A9,実績!$AJ$6:$AJ$505,"&gt;"&amp;$A9,実績!$AL$6:$AL$505,"○")&gt;0,1,0))</f>
        <v>0</v>
      </c>
      <c r="AR9" s="39" t="n">
        <f aca="false">IF(AR$4=0,0,IF(COUNTIFS(実績!$W$6:$W$505,AR$3,実績!$AI$6:$AI$505,"&lt;="&amp;$A9,実績!$AJ$6:$AJ$505,"&gt;"&amp;$A9,実績!$AL$6:$AL$505,"○")&gt;0,1,0))</f>
        <v>0</v>
      </c>
      <c r="AS9" s="39" t="n">
        <f aca="false">IF(AS$4=0,0,IF(COUNTIFS(実績!$W$6:$W$505,AS$3,実績!$AI$6:$AI$505,"&lt;="&amp;$A9,実績!$AJ$6:$AJ$505,"&gt;"&amp;$A9,実績!$AL$6:$AL$505,"○")&gt;0,1,0))</f>
        <v>0</v>
      </c>
      <c r="AT9" s="39" t="n">
        <f aca="false">IF(AT$4=0,0,IF(COUNTIFS(実績!$W$6:$W$505,AT$3,実績!$AI$6:$AI$505,"&lt;="&amp;$A9,実績!$AJ$6:$AJ$505,"&gt;"&amp;$A9,実績!$AL$6:$AL$505,"○")&gt;0,1,0))</f>
        <v>0</v>
      </c>
      <c r="AU9" s="39" t="n">
        <f aca="false">IF(AU$4=0,0,IF(COUNTIFS(実績!$W$6:$W$505,AU$3,実績!$AI$6:$AI$505,"&lt;="&amp;$A9,実績!$AJ$6:$AJ$505,"&gt;"&amp;$A9,実績!$AL$6:$AL$505,"○")&gt;0,1,0))</f>
        <v>0</v>
      </c>
      <c r="AV9" s="39" t="n">
        <f aca="false">IF(AV$4=0,0,IF(COUNTIFS(実績!$W$6:$W$505,AV$3,実績!$AI$6:$AI$505,"&lt;="&amp;$A9,実績!$AJ$6:$AJ$505,"&gt;"&amp;$A9,実績!$AL$6:$AL$505,"○")&gt;0,1,0))</f>
        <v>0</v>
      </c>
      <c r="AW9" s="39" t="n">
        <f aca="false">IF(AW$4=0,0,IF(COUNTIFS(実績!$W$6:$W$505,AW$3,実績!$AI$6:$AI$505,"&lt;="&amp;$A9,実績!$AJ$6:$AJ$505,"&gt;"&amp;$A9,実績!$AL$6:$AL$505,"○")&gt;0,1,0))</f>
        <v>0</v>
      </c>
      <c r="AX9" s="39" t="n">
        <f aca="false">IF(AX$4=0,0,IF(COUNTIFS(実績!$W$6:$W$505,AX$3,実績!$AI$6:$AI$505,"&lt;="&amp;$A9,実績!$AJ$6:$AJ$505,"&gt;"&amp;$A9,実績!$AL$6:$AL$505,"○")&gt;0,1,0))</f>
        <v>0</v>
      </c>
      <c r="AY9" s="39" t="n">
        <f aca="false">IF(AY$4=0,0,IF(COUNTIFS(実績!$W$6:$W$505,AY$3,実績!$AI$6:$AI$505,"&lt;="&amp;$A9,実績!$AJ$6:$AJ$505,"&gt;"&amp;$A9,実績!$AL$6:$AL$505,"○")&gt;0,1,0))</f>
        <v>0</v>
      </c>
      <c r="AZ9" s="39" t="n">
        <f aca="false">IF(AZ$4=0,0,IF(COUNTIFS(実績!$W$6:$W$505,AZ$3,実績!$AI$6:$AI$505,"&lt;="&amp;$A9,実績!$AJ$6:$AJ$505,"&gt;"&amp;$A9,実績!$AL$6:$AL$505,"○")&gt;0,1,0))</f>
        <v>0</v>
      </c>
      <c r="BA9" s="39" t="n">
        <f aca="false">IF(BA$4=0,0,IF(COUNTIFS(実績!$W$6:$W$505,BA$3,実績!$AI$6:$AI$505,"&lt;="&amp;$A9,実績!$AJ$6:$AJ$505,"&gt;"&amp;$A9,実績!$AL$6:$AL$505,"○")&gt;0,1,0))</f>
        <v>0</v>
      </c>
      <c r="BB9" s="39" t="n">
        <f aca="false">IF(BB$4=0,0,IF(COUNTIFS(実績!$W$6:$W$505,BB$3,実績!$AI$6:$AI$505,"&lt;="&amp;$A9,実績!$AJ$6:$AJ$505,"&gt;"&amp;$A9,実績!$AL$6:$AL$505,"○")&gt;0,1,0))</f>
        <v>0</v>
      </c>
      <c r="BC9" s="39" t="n">
        <f aca="false">IF(BC$4=0,0,IF(COUNTIFS(実績!$W$6:$W$505,BC$3,実績!$AI$6:$AI$505,"&lt;="&amp;$A9,実績!$AJ$6:$AJ$505,"&gt;"&amp;$A9,実績!$AL$6:$AL$505,"○")&gt;0,1,0))</f>
        <v>0</v>
      </c>
      <c r="BD9" s="39" t="n">
        <f aca="false">IF(BD$4=0,0,IF(COUNTIFS(実績!$W$6:$W$505,BD$3,実績!$AI$6:$AI$505,"&lt;="&amp;$A9,実績!$AJ$6:$AJ$505,"&gt;"&amp;$A9,実績!$AL$6:$AL$505,"○")&gt;0,1,0))</f>
        <v>0</v>
      </c>
      <c r="BE9" s="39" t="n">
        <f aca="false">IF(BE$4=0,0,IF(COUNTIFS(実績!$W$6:$W$505,BE$3,実績!$AI$6:$AI$505,"&lt;="&amp;$A9,実績!$AJ$6:$AJ$505,"&gt;"&amp;$A9,実績!$AL$6:$AL$505,"○")&gt;0,1,0))</f>
        <v>0</v>
      </c>
      <c r="BF9" s="39" t="n">
        <f aca="false">IF(BF$4=0,0,IF(COUNTIFS(実績!$W$6:$W$505,BF$3,実績!$AI$6:$AI$505,"&lt;="&amp;$A9,実績!$AJ$6:$AJ$505,"&gt;"&amp;$A9,実績!$AL$6:$AL$505,"○")&gt;0,1,0))</f>
        <v>0</v>
      </c>
      <c r="BG9" s="39" t="n">
        <f aca="false">IF(BG$4=0,0,IF(COUNTIFS(実績!$W$6:$W$505,BG$3,実績!$AI$6:$AI$505,"&lt;="&amp;$A9,実績!$AJ$6:$AJ$505,"&gt;"&amp;$A9,実績!$AL$6:$AL$505,"○")&gt;0,1,0))</f>
        <v>0</v>
      </c>
      <c r="BH9" s="39" t="n">
        <f aca="false">IF(BH$4=0,0,IF(COUNTIFS(実績!$W$6:$W$505,BH$3,実績!$AI$6:$AI$505,"&lt;="&amp;$A9,実績!$AJ$6:$AJ$505,"&gt;"&amp;$A9,実績!$AL$6:$AL$505,"○")&gt;0,1,0))</f>
        <v>0</v>
      </c>
      <c r="BI9" s="39" t="n">
        <f aca="false">IF(BI$4=0,0,IF(COUNTIFS(実績!$W$6:$W$505,BI$3,実績!$AI$6:$AI$505,"&lt;="&amp;$A9,実績!$AJ$6:$AJ$505,"&gt;"&amp;$A9,実績!$AL$6:$AL$505,"○")&gt;0,1,0))</f>
        <v>0</v>
      </c>
      <c r="BJ9" s="39" t="n">
        <f aca="false">IF(BJ$4=0,0,IF(COUNTIFS(実績!$W$6:$W$505,BJ$3,実績!$AI$6:$AI$505,"&lt;="&amp;$A9,実績!$AJ$6:$AJ$505,"&gt;"&amp;$A9,実績!$AL$6:$AL$505,"○")&gt;0,1,0))</f>
        <v>0</v>
      </c>
      <c r="BK9" s="39" t="n">
        <f aca="false">IF(BK$4=0,0,IF(COUNTIFS(実績!$W$6:$W$505,BK$3,実績!$AI$6:$AI$505,"&lt;="&amp;$A9,実績!$AJ$6:$AJ$505,"&gt;"&amp;$A9,実績!$AL$6:$AL$505,"○")&gt;0,1,0))</f>
        <v>0</v>
      </c>
      <c r="BL9" s="39" t="n">
        <f aca="false">IF(BL$4=0,0,IF(COUNTIFS(実績!$W$6:$W$505,BL$3,実績!$AI$6:$AI$505,"&lt;="&amp;$A9,実績!$AJ$6:$AJ$505,"&gt;"&amp;$A9,実績!$AL$6:$AL$505,"○")&gt;0,1,0))</f>
        <v>0</v>
      </c>
      <c r="BM9" s="39" t="n">
        <f aca="false">IF(BM$4=0,0,IF(COUNTIFS(実績!$W$6:$W$505,BM$3,実績!$AI$6:$AI$505,"&lt;="&amp;$A9,実績!$AJ$6:$AJ$505,"&gt;"&amp;$A9,実績!$AL$6:$AL$505,"○")&gt;0,1,0))</f>
        <v>0</v>
      </c>
      <c r="BN9" s="39" t="n">
        <f aca="false">IF(BN$4=0,0,IF(COUNTIFS(実績!$W$6:$W$505,BN$3,実績!$AI$6:$AI$505,"&lt;="&amp;$A9,実績!$AJ$6:$AJ$505,"&gt;"&amp;$A9,実績!$AL$6:$AL$505,"○")&gt;0,1,0))</f>
        <v>0</v>
      </c>
      <c r="BO9" s="39" t="n">
        <f aca="false">IF(BO$4=0,0,IF(COUNTIFS(実績!$W$6:$W$505,BO$3,実績!$AI$6:$AI$505,"&lt;="&amp;$A9,実績!$AJ$6:$AJ$505,"&gt;"&amp;$A9,実績!$AL$6:$AL$505,"○")&gt;0,1,0))</f>
        <v>0</v>
      </c>
      <c r="BP9" s="39" t="n">
        <f aca="false">IF(BP$4=0,0,IF(COUNTIFS(実績!$W$6:$W$505,BP$3,実績!$AI$6:$AI$505,"&lt;="&amp;$A9,実績!$AJ$6:$AJ$505,"&gt;"&amp;$A9,実績!$AL$6:$AL$505,"○")&gt;0,1,0))</f>
        <v>0</v>
      </c>
      <c r="BQ9" s="39" t="n">
        <f aca="false">IF(BQ$4=0,0,IF(COUNTIFS(実績!$W$6:$W$505,BQ$3,実績!$AI$6:$AI$505,"&lt;="&amp;$A9,実績!$AJ$6:$AJ$505,"&gt;"&amp;$A9,実績!$AL$6:$AL$505,"○")&gt;0,1,0))</f>
        <v>0</v>
      </c>
      <c r="BR9" s="39" t="n">
        <f aca="false">IF(BR$4=0,0,IF(COUNTIFS(実績!$W$6:$W$505,BR$3,実績!$AI$6:$AI$505,"&lt;="&amp;$A9,実績!$AJ$6:$AJ$505,"&gt;"&amp;$A9,実績!$AL$6:$AL$505,"○")&gt;0,1,0))</f>
        <v>0</v>
      </c>
      <c r="BS9" s="39" t="n">
        <f aca="false">IF(BS$4=0,0,IF(COUNTIFS(実績!$W$6:$W$505,BS$3,実績!$AI$6:$AI$505,"&lt;="&amp;$A9,実績!$AJ$6:$AJ$505,"&gt;"&amp;$A9,実績!$AL$6:$AL$505,"○")&gt;0,1,0))</f>
        <v>0</v>
      </c>
      <c r="BT9" s="39" t="n">
        <f aca="false">IF(BT$4=0,0,IF(COUNTIFS(実績!$W$6:$W$505,BT$3,実績!$AI$6:$AI$505,"&lt;="&amp;$A9,実績!$AJ$6:$AJ$505,"&gt;"&amp;$A9,実績!$AL$6:$AL$505,"○")&gt;0,1,0))</f>
        <v>0</v>
      </c>
      <c r="BU9" s="39" t="n">
        <f aca="false">IF(BU$4=0,0,IF(COUNTIFS(実績!$W$6:$W$505,BU$3,実績!$AI$6:$AI$505,"&lt;="&amp;$A9,実績!$AJ$6:$AJ$505,"&gt;"&amp;$A9,実績!$AL$6:$AL$505,"○")&gt;0,1,0))</f>
        <v>0</v>
      </c>
      <c r="BV9" s="39" t="n">
        <f aca="false">IF(BV$4=0,0,IF(COUNTIFS(実績!$W$6:$W$505,BV$3,実績!$AI$6:$AI$505,"&lt;="&amp;$A9,実績!$AJ$6:$AJ$505,"&gt;"&amp;$A9,実績!$AL$6:$AL$505,"○")&gt;0,1,0))</f>
        <v>0</v>
      </c>
      <c r="BW9" s="39" t="n">
        <f aca="false">IF(BW$4=0,0,IF(COUNTIFS(実績!$W$6:$W$505,BW$3,実績!$AI$6:$AI$505,"&lt;="&amp;$A9,実績!$AJ$6:$AJ$505,"&gt;"&amp;$A9,実績!$AL$6:$AL$505,"○")&gt;0,1,0))</f>
        <v>0</v>
      </c>
      <c r="BX9" s="39" t="n">
        <f aca="false">IF(BX$4=0,0,IF(COUNTIFS(実績!$W$6:$W$505,BX$3,実績!$AI$6:$AI$505,"&lt;="&amp;$A9,実績!$AJ$6:$AJ$505,"&gt;"&amp;$A9,実績!$AL$6:$AL$505,"○")&gt;0,1,0))</f>
        <v>0</v>
      </c>
      <c r="BY9" s="39" t="n">
        <f aca="false">IF(BY$4=0,0,IF(COUNTIFS(実績!$W$6:$W$505,BY$3,実績!$AI$6:$AI$505,"&lt;="&amp;$A9,実績!$AJ$6:$AJ$505,"&gt;"&amp;$A9,実績!$AL$6:$AL$505,"○")&gt;0,1,0))</f>
        <v>0</v>
      </c>
      <c r="BZ9" s="39" t="n">
        <f aca="false">IF(BZ$4=0,0,IF(COUNTIFS(実績!$W$6:$W$505,BZ$3,実績!$AI$6:$AI$505,"&lt;="&amp;$A9,実績!$AJ$6:$AJ$505,"&gt;"&amp;$A9,実績!$AL$6:$AL$505,"○")&gt;0,1,0))</f>
        <v>0</v>
      </c>
      <c r="CA9" s="39" t="n">
        <f aca="false">IF(CA$4=0,0,IF(COUNTIFS(実績!$W$6:$W$505,CA$3,実績!$AI$6:$AI$505,"&lt;="&amp;$A9,実績!$AJ$6:$AJ$505,"&gt;"&amp;$A9,実績!$AL$6:$AL$505,"○")&gt;0,1,0))</f>
        <v>0</v>
      </c>
      <c r="CB9" s="39" t="n">
        <f aca="false">IF(CB$4=0,0,IF(COUNTIFS(実績!$W$6:$W$505,CB$3,実績!$AI$6:$AI$505,"&lt;="&amp;$A9,実績!$AJ$6:$AJ$505,"&gt;"&amp;$A9,実績!$AL$6:$AL$505,"○")&gt;0,1,0))</f>
        <v>0</v>
      </c>
      <c r="CC9" s="39" t="n">
        <f aca="false">IF(CC$4=0,0,IF(COUNTIFS(実績!$W$6:$W$505,CC$3,実績!$AI$6:$AI$505,"&lt;="&amp;$A9,実績!$AJ$6:$AJ$505,"&gt;"&amp;$A9,実績!$AL$6:$AL$505,"○")&gt;0,1,0))</f>
        <v>0</v>
      </c>
      <c r="CD9" s="39" t="n">
        <f aca="false">IF(CD$4=0,0,IF(COUNTIFS(実績!$W$6:$W$505,CD$3,実績!$AI$6:$AI$505,"&lt;="&amp;$A9,実績!$AJ$6:$AJ$505,"&gt;"&amp;$A9,実績!$AL$6:$AL$505,"○")&gt;0,1,0))</f>
        <v>0</v>
      </c>
      <c r="CE9" s="39" t="n">
        <f aca="false">IF(CE$4=0,0,IF(COUNTIFS(実績!$W$6:$W$505,CE$3,実績!$AI$6:$AI$505,"&lt;="&amp;$A9,実績!$AJ$6:$AJ$505,"&gt;"&amp;$A9,実績!$AL$6:$AL$505,"○")&gt;0,1,0))</f>
        <v>0</v>
      </c>
      <c r="CF9" s="39" t="n">
        <f aca="false">IF(CF$4=0,0,IF(COUNTIFS(実績!$W$6:$W$505,CF$3,実績!$AI$6:$AI$505,"&lt;="&amp;$A9,実績!$AJ$6:$AJ$505,"&gt;"&amp;$A9,実績!$AL$6:$AL$505,"○")&gt;0,1,0))</f>
        <v>0</v>
      </c>
      <c r="CG9" s="39" t="n">
        <f aca="false">IF(CG$4=0,0,IF(COUNTIFS(実績!$W$6:$W$505,CG$3,実績!$AI$6:$AI$505,"&lt;="&amp;$A9,実績!$AJ$6:$AJ$505,"&gt;"&amp;$A9,実績!$AL$6:$AL$505,"○")&gt;0,1,0))</f>
        <v>0</v>
      </c>
      <c r="CH9" s="39" t="n">
        <f aca="false">IF(CH$4=0,0,IF(COUNTIFS(実績!$W$6:$W$505,CH$3,実績!$AI$6:$AI$505,"&lt;="&amp;$A9,実績!$AJ$6:$AJ$505,"&gt;"&amp;$A9,実績!$AL$6:$AL$505,"○")&gt;0,1,0))</f>
        <v>0</v>
      </c>
      <c r="CI9" s="39" t="n">
        <f aca="false">IF(CI$4=0,0,IF(COUNTIFS(実績!$W$6:$W$505,CI$3,実績!$AI$6:$AI$505,"&lt;="&amp;$A9,実績!$AJ$6:$AJ$505,"&gt;"&amp;$A9,実績!$AL$6:$AL$505,"○")&gt;0,1,0))</f>
        <v>0</v>
      </c>
      <c r="CJ9" s="39" t="n">
        <f aca="false">IF(CJ$4=0,0,IF(COUNTIFS(実績!$W$6:$W$505,CJ$3,実績!$AI$6:$AI$505,"&lt;="&amp;$A9,実績!$AJ$6:$AJ$505,"&gt;"&amp;$A9,実績!$AL$6:$AL$505,"○")&gt;0,1,0))</f>
        <v>0</v>
      </c>
      <c r="CK9" s="39" t="n">
        <f aca="false">IF(CK$4=0,0,IF(COUNTIFS(実績!$W$6:$W$505,CK$3,実績!$AI$6:$AI$505,"&lt;="&amp;$A9,実績!$AJ$6:$AJ$505,"&gt;"&amp;$A9,実績!$AL$6:$AL$505,"○")&gt;0,1,0))</f>
        <v>0</v>
      </c>
      <c r="CL9" s="39" t="n">
        <f aca="false">IF(CL$4=0,0,IF(COUNTIFS(実績!$W$6:$W$505,CL$3,実績!$AI$6:$AI$505,"&lt;="&amp;$A9,実績!$AJ$6:$AJ$505,"&gt;"&amp;$A9,実績!$AL$6:$AL$505,"○")&gt;0,1,0))</f>
        <v>0</v>
      </c>
      <c r="CM9" s="39" t="n">
        <f aca="false">IF(CM$4=0,0,IF(COUNTIFS(実績!$W$6:$W$505,CM$3,実績!$AI$6:$AI$505,"&lt;="&amp;$A9,実績!$AJ$6:$AJ$505,"&gt;"&amp;$A9,実績!$AL$6:$AL$505,"○")&gt;0,1,0))</f>
        <v>0</v>
      </c>
      <c r="CN9" s="39" t="n">
        <f aca="false">IF(CN$4=0,0,IF(COUNTIFS(実績!$W$6:$W$505,CN$3,実績!$AI$6:$AI$505,"&lt;="&amp;$A9,実績!$AJ$6:$AJ$505,"&gt;"&amp;$A9,実績!$AL$6:$AL$505,"○")&gt;0,1,0))</f>
        <v>0</v>
      </c>
      <c r="CO9" s="39" t="n">
        <f aca="false">IF(CO$4=0,0,IF(COUNTIFS(実績!$W$6:$W$505,CO$3,実績!$AI$6:$AI$505,"&lt;="&amp;$A9,実績!$AJ$6:$AJ$505,"&gt;"&amp;$A9,実績!$AL$6:$AL$505,"○")&gt;0,1,0))</f>
        <v>0</v>
      </c>
      <c r="CP9" s="39" t="n">
        <f aca="false">IF(CP$4=0,0,IF(COUNTIFS(実績!$W$6:$W$505,CP$3,実績!$AI$6:$AI$505,"&lt;="&amp;$A9,実績!$AJ$6:$AJ$505,"&gt;"&amp;$A9,実績!$AL$6:$AL$505,"○")&gt;0,1,0))</f>
        <v>0</v>
      </c>
      <c r="CQ9" s="39" t="n">
        <f aca="false">IF(CQ$4=0,0,IF(COUNTIFS(実績!$W$6:$W$505,CQ$3,実績!$AI$6:$AI$505,"&lt;="&amp;$A9,実績!$AJ$6:$AJ$505,"&gt;"&amp;$A9,実績!$AL$6:$AL$505,"○")&gt;0,1,0))</f>
        <v>0</v>
      </c>
      <c r="CR9" s="39" t="n">
        <f aca="false">IF(CR$4=0,0,IF(COUNTIFS(実績!$W$6:$W$505,CR$3,実績!$AI$6:$AI$505,"&lt;="&amp;$A9,実績!$AJ$6:$AJ$505,"&gt;"&amp;$A9,実績!$AL$6:$AL$505,"○")&gt;0,1,0))</f>
        <v>0</v>
      </c>
      <c r="CS9" s="39" t="n">
        <f aca="false">IF(CS$4=0,0,IF(COUNTIFS(実績!$W$6:$W$505,CS$3,実績!$AI$6:$AI$505,"&lt;="&amp;$A9,実績!$AJ$6:$AJ$505,"&gt;"&amp;$A9,実績!$AL$6:$AL$505,"○")&gt;0,1,0))</f>
        <v>0</v>
      </c>
      <c r="CT9" s="39" t="n">
        <f aca="false">IF(CT$4=0,0,IF(COUNTIFS(実績!$W$6:$W$505,CT$3,実績!$AI$6:$AI$505,"&lt;="&amp;$A9,実績!$AJ$6:$AJ$505,"&gt;"&amp;$A9,実績!$AL$6:$AL$505,"○")&gt;0,1,0))</f>
        <v>0</v>
      </c>
      <c r="CU9" s="39" t="n">
        <f aca="false">IF(CU$4=0,0,IF(COUNTIFS(実績!$W$6:$W$505,CU$3,実績!$AI$6:$AI$505,"&lt;="&amp;$A9,実績!$AJ$6:$AJ$505,"&gt;"&amp;$A9,実績!$AL$6:$AL$505,"○")&gt;0,1,0))</f>
        <v>0</v>
      </c>
      <c r="CV9" s="39" t="n">
        <f aca="false">IF(CV$4=0,0,IF(COUNTIFS(実績!$W$6:$W$505,CV$3,実績!$AI$6:$AI$505,"&lt;="&amp;$A9,実績!$AJ$6:$AJ$505,"&gt;"&amp;$A9,実績!$AL$6:$AL$505,"○")&gt;0,1,0))</f>
        <v>0</v>
      </c>
      <c r="CW9" s="39" t="n">
        <f aca="false">IF(CW$4=0,0,IF(COUNTIFS(実績!$W$6:$W$505,CW$3,実績!$AI$6:$AI$505,"&lt;="&amp;$A9,実績!$AJ$6:$AJ$505,"&gt;"&amp;$A9,実績!$AL$6:$AL$505,"○")&gt;0,1,0))</f>
        <v>0</v>
      </c>
      <c r="CX9" s="39" t="n">
        <f aca="false">IF(CX$4=0,0,IF(COUNTIFS(実績!$W$6:$W$505,CX$3,実績!$AI$6:$AI$505,"&lt;="&amp;$A9,実績!$AJ$6:$AJ$505,"&gt;"&amp;$A9,実績!$AL$6:$AL$505,"○")&gt;0,1,0))</f>
        <v>0</v>
      </c>
      <c r="CY9" s="39" t="n">
        <f aca="false">IF(CY$4=0,0,IF(COUNTIFS(実績!$W$6:$W$505,CY$3,実績!$AI$6:$AI$505,"&lt;="&amp;$A9,実績!$AJ$6:$AJ$505,"&gt;"&amp;$A9,実績!$AL$6:$AL$505,"○")&gt;0,1,0))</f>
        <v>0</v>
      </c>
      <c r="CZ9" s="39" t="n">
        <f aca="false">IF(CZ$4=0,0,IF(COUNTIFS(実績!$W$6:$W$505,CZ$3,実績!$AI$6:$AI$505,"&lt;="&amp;$A9,実績!$AJ$6:$AJ$505,"&gt;"&amp;$A9,実績!$AL$6:$AL$505,"○")&gt;0,1,0))</f>
        <v>0</v>
      </c>
      <c r="DA9" s="39" t="n">
        <f aca="false">IF(DA$4=0,0,IF(COUNTIFS(実績!$W$6:$W$505,DA$3,実績!$AI$6:$AI$505,"&lt;="&amp;$A9,実績!$AJ$6:$AJ$505,"&gt;"&amp;$A9,実績!$AL$6:$AL$505,"○")&gt;0,1,0))</f>
        <v>0</v>
      </c>
      <c r="DB9" s="39" t="n">
        <f aca="false">IF(DB$4=0,0,IF(COUNTIFS(実績!$W$6:$W$505,DB$3,実績!$AI$6:$AI$505,"&lt;="&amp;$A9,実績!$AJ$6:$AJ$505,"&gt;"&amp;$A9,実績!$AL$6:$AL$505,"○")&gt;0,1,0))</f>
        <v>0</v>
      </c>
      <c r="DC9" s="39" t="n">
        <f aca="false">IF(DC$4=0,0,IF(COUNTIFS(実績!$W$6:$W$505,DC$3,実績!$AI$6:$AI$505,"&lt;="&amp;$A9,実績!$AJ$6:$AJ$505,"&gt;"&amp;$A9,実績!$AL$6:$AL$505,"○")&gt;0,1,0))</f>
        <v>0</v>
      </c>
      <c r="DD9" s="39" t="n">
        <f aca="false">IF(DD$4=0,0,IF(COUNTIFS(実績!$W$6:$W$505,DD$3,実績!$AI$6:$AI$505,"&lt;="&amp;$A9,実績!$AJ$6:$AJ$505,"&gt;"&amp;$A9,実績!$AL$6:$AL$505,"○")&gt;0,1,0))</f>
        <v>0</v>
      </c>
      <c r="DE9" s="39" t="n">
        <f aca="false">IF(DE$4=0,0,IF(COUNTIFS(実績!$W$6:$W$505,DE$3,実績!$AI$6:$AI$505,"&lt;="&amp;$A9,実績!$AJ$6:$AJ$505,"&gt;"&amp;$A9,実績!$AL$6:$AL$505,"○")&gt;0,1,0))</f>
        <v>0</v>
      </c>
      <c r="DF9" s="39" t="n">
        <f aca="false">IF(DF$4=0,0,IF(COUNTIFS(実績!$W$6:$W$505,DF$3,実績!$AI$6:$AI$505,"&lt;="&amp;$A9,実績!$AJ$6:$AJ$505,"&gt;"&amp;$A9,実績!$AL$6:$AL$505,"○")&gt;0,1,0))</f>
        <v>0</v>
      </c>
      <c r="DG9" s="39" t="n">
        <f aca="false">IF(DG$4=0,0,IF(COUNTIFS(実績!$W$6:$W$505,DG$3,実績!$AI$6:$AI$505,"&lt;="&amp;$A9,実績!$AJ$6:$AJ$505,"&gt;"&amp;$A9,実績!$AL$6:$AL$505,"○")&gt;0,1,0))</f>
        <v>0</v>
      </c>
      <c r="DH9" s="39" t="n">
        <f aca="false">IF(DH$4=0,0,IF(COUNTIFS(実績!$W$6:$W$505,DH$3,実績!$AI$6:$AI$505,"&lt;="&amp;$A9,実績!$AJ$6:$AJ$505,"&gt;"&amp;$A9,実績!$AL$6:$AL$505,"○")&gt;0,1,0))</f>
        <v>0</v>
      </c>
      <c r="DI9" s="39" t="n">
        <f aca="false">IF(DI$4=0,0,IF(COUNTIFS(実績!$W$6:$W$505,DI$3,実績!$AI$6:$AI$505,"&lt;="&amp;$A9,実績!$AJ$6:$AJ$505,"&gt;"&amp;$A9,実績!$AL$6:$AL$505,"○")&gt;0,1,0))</f>
        <v>0</v>
      </c>
      <c r="DJ9" s="39" t="n">
        <f aca="false">IF(DJ$4=0,0,IF(COUNTIFS(実績!$W$6:$W$505,DJ$3,実績!$AI$6:$AI$505,"&lt;="&amp;$A9,実績!$AJ$6:$AJ$505,"&gt;"&amp;$A9,実績!$AL$6:$AL$505,"○")&gt;0,1,0))</f>
        <v>0</v>
      </c>
      <c r="DK9" s="39" t="n">
        <f aca="false">IF(DK$4=0,0,IF(COUNTIFS(実績!$W$6:$W$505,DK$3,実績!$AI$6:$AI$505,"&lt;="&amp;$A9,実績!$AJ$6:$AJ$505,"&gt;"&amp;$A9,実績!$AL$6:$AL$505,"○")&gt;0,1,0))</f>
        <v>0</v>
      </c>
      <c r="DL9" s="39" t="n">
        <f aca="false">IF(DL$4=0,0,IF(COUNTIFS(実績!$W$6:$W$505,DL$3,実績!$AI$6:$AI$505,"&lt;="&amp;$A9,実績!$AJ$6:$AJ$505,"&gt;"&amp;$A9,実績!$AL$6:$AL$505,"○")&gt;0,1,0))</f>
        <v>0</v>
      </c>
      <c r="DM9" s="39" t="n">
        <f aca="false">IF(DM$4=0,0,IF(COUNTIFS(実績!$W$6:$W$505,DM$3,実績!$AI$6:$AI$505,"&lt;="&amp;$A9,実績!$AJ$6:$AJ$505,"&gt;"&amp;$A9,実績!$AL$6:$AL$505,"○")&gt;0,1,0))</f>
        <v>0</v>
      </c>
      <c r="DN9" s="39" t="n">
        <f aca="false">IF(DN$4=0,0,IF(COUNTIFS(実績!$W$6:$W$505,DN$3,実績!$AI$6:$AI$505,"&lt;="&amp;$A9,実績!$AJ$6:$AJ$505,"&gt;"&amp;$A9,実績!$AL$6:$AL$505,"○")&gt;0,1,0))</f>
        <v>0</v>
      </c>
      <c r="DO9" s="39" t="n">
        <f aca="false">IF(DO$4=0,0,IF(COUNTIFS(実績!$W$6:$W$505,DO$3,実績!$AI$6:$AI$505,"&lt;="&amp;$A9,実績!$AJ$6:$AJ$505,"&gt;"&amp;$A9,実績!$AL$6:$AL$505,"○")&gt;0,1,0))</f>
        <v>0</v>
      </c>
      <c r="DP9" s="39" t="n">
        <f aca="false">IF(DP$4=0,0,IF(COUNTIFS(実績!$W$6:$W$505,DP$3,実績!$AI$6:$AI$505,"&lt;="&amp;$A9,実績!$AJ$6:$AJ$505,"&gt;"&amp;$A9,実績!$AL$6:$AL$505,"○")&gt;0,1,0))</f>
        <v>0</v>
      </c>
      <c r="DQ9" s="39" t="n">
        <f aca="false">IF(DQ$4=0,0,IF(COUNTIFS(実績!$W$6:$W$505,DQ$3,実績!$AI$6:$AI$505,"&lt;="&amp;$A9,実績!$AJ$6:$AJ$505,"&gt;"&amp;$A9,実績!$AL$6:$AL$505,"○")&gt;0,1,0))</f>
        <v>0</v>
      </c>
      <c r="DR9" s="39" t="n">
        <f aca="false">IF(DR$4=0,0,IF(COUNTIFS(実績!$W$6:$W$505,DR$3,実績!$AI$6:$AI$505,"&lt;="&amp;$A9,実績!$AJ$6:$AJ$505,"&gt;"&amp;$A9,実績!$AL$6:$AL$505,"○")&gt;0,1,0))</f>
        <v>0</v>
      </c>
      <c r="DS9" s="39" t="n">
        <f aca="false">SUM(C9:DR9)</f>
        <v>0</v>
      </c>
    </row>
    <row r="10" customFormat="false" ht="15" hidden="false" customHeight="false" outlineLevel="0" collapsed="false">
      <c r="A10" s="0" t="n">
        <v>20</v>
      </c>
      <c r="B10" s="38" t="n">
        <f aca="false">A10/1440</f>
        <v>0.0138888888888889</v>
      </c>
      <c r="C10" s="39" t="n">
        <f aca="false">IF(C$4=0,0,IF(COUNTIFS(実績!$W$6:$W$505,C$3,実績!$AI$6:$AI$505,"&lt;="&amp;$A10,実績!$AJ$6:$AJ$505,"&gt;"&amp;$A10,実績!$AL$6:$AL$505,"○")&gt;0,1,0))</f>
        <v>0</v>
      </c>
      <c r="D10" s="39" t="n">
        <f aca="false">IF(D$4=0,0,IF(COUNTIFS(実績!$W$6:$W$505,D$3,実績!$AI$6:$AI$505,"&lt;="&amp;$A10,実績!$AJ$6:$AJ$505,"&gt;"&amp;$A10,実績!$AL$6:$AL$505,"○")&gt;0,1,0))</f>
        <v>0</v>
      </c>
      <c r="E10" s="39" t="n">
        <f aca="false">IF(E$4=0,0,IF(COUNTIFS(実績!$W$6:$W$505,E$3,実績!$AI$6:$AI$505,"&lt;="&amp;$A10,実績!$AJ$6:$AJ$505,"&gt;"&amp;$A10,実績!$AL$6:$AL$505,"○")&gt;0,1,0))</f>
        <v>0</v>
      </c>
      <c r="F10" s="39" t="n">
        <f aca="false">IF(F$4=0,0,IF(COUNTIFS(実績!$W$6:$W$505,F$3,実績!$AI$6:$AI$505,"&lt;="&amp;$A10,実績!$AJ$6:$AJ$505,"&gt;"&amp;$A10,実績!$AL$6:$AL$505,"○")&gt;0,1,0))</f>
        <v>0</v>
      </c>
      <c r="G10" s="39" t="n">
        <f aca="false">IF(G$4=0,0,IF(COUNTIFS(実績!$W$6:$W$505,G$3,実績!$AI$6:$AI$505,"&lt;="&amp;$A10,実績!$AJ$6:$AJ$505,"&gt;"&amp;$A10,実績!$AL$6:$AL$505,"○")&gt;0,1,0))</f>
        <v>0</v>
      </c>
      <c r="H10" s="39" t="n">
        <f aca="false">IF(H$4=0,0,IF(COUNTIFS(実績!$W$6:$W$505,H$3,実績!$AI$6:$AI$505,"&lt;="&amp;$A10,実績!$AJ$6:$AJ$505,"&gt;"&amp;$A10,実績!$AL$6:$AL$505,"○")&gt;0,1,0))</f>
        <v>0</v>
      </c>
      <c r="I10" s="39" t="n">
        <f aca="false">IF(I$4=0,0,IF(COUNTIFS(実績!$W$6:$W$505,I$3,実績!$AI$6:$AI$505,"&lt;="&amp;$A10,実績!$AJ$6:$AJ$505,"&gt;"&amp;$A10,実績!$AL$6:$AL$505,"○")&gt;0,1,0))</f>
        <v>0</v>
      </c>
      <c r="J10" s="39" t="n">
        <f aca="false">IF(J$4=0,0,IF(COUNTIFS(実績!$W$6:$W$505,J$3,実績!$AI$6:$AI$505,"&lt;="&amp;$A10,実績!$AJ$6:$AJ$505,"&gt;"&amp;$A10,実績!$AL$6:$AL$505,"○")&gt;0,1,0))</f>
        <v>0</v>
      </c>
      <c r="K10" s="39" t="n">
        <f aca="false">IF(K$4=0,0,IF(COUNTIFS(実績!$W$6:$W$505,K$3,実績!$AI$6:$AI$505,"&lt;="&amp;$A10,実績!$AJ$6:$AJ$505,"&gt;"&amp;$A10,実績!$AL$6:$AL$505,"○")&gt;0,1,0))</f>
        <v>0</v>
      </c>
      <c r="L10" s="39" t="n">
        <f aca="false">IF(L$4=0,0,IF(COUNTIFS(実績!$W$6:$W$505,L$3,実績!$AI$6:$AI$505,"&lt;="&amp;$A10,実績!$AJ$6:$AJ$505,"&gt;"&amp;$A10,実績!$AL$6:$AL$505,"○")&gt;0,1,0))</f>
        <v>0</v>
      </c>
      <c r="M10" s="39" t="n">
        <f aca="false">IF(M$4=0,0,IF(COUNTIFS(実績!$W$6:$W$505,M$3,実績!$AI$6:$AI$505,"&lt;="&amp;$A10,実績!$AJ$6:$AJ$505,"&gt;"&amp;$A10,実績!$AL$6:$AL$505,"○")&gt;0,1,0))</f>
        <v>0</v>
      </c>
      <c r="N10" s="39" t="n">
        <f aca="false">IF(N$4=0,0,IF(COUNTIFS(実績!$W$6:$W$505,N$3,実績!$AI$6:$AI$505,"&lt;="&amp;$A10,実績!$AJ$6:$AJ$505,"&gt;"&amp;$A10,実績!$AL$6:$AL$505,"○")&gt;0,1,0))</f>
        <v>0</v>
      </c>
      <c r="O10" s="39" t="n">
        <f aca="false">IF(O$4=0,0,IF(COUNTIFS(実績!$W$6:$W$505,O$3,実績!$AI$6:$AI$505,"&lt;="&amp;$A10,実績!$AJ$6:$AJ$505,"&gt;"&amp;$A10,実績!$AL$6:$AL$505,"○")&gt;0,1,0))</f>
        <v>0</v>
      </c>
      <c r="P10" s="39" t="n">
        <f aca="false">IF(P$4=0,0,IF(COUNTIFS(実績!$W$6:$W$505,P$3,実績!$AI$6:$AI$505,"&lt;="&amp;$A10,実績!$AJ$6:$AJ$505,"&gt;"&amp;$A10,実績!$AL$6:$AL$505,"○")&gt;0,1,0))</f>
        <v>0</v>
      </c>
      <c r="Q10" s="39" t="n">
        <f aca="false">IF(Q$4=0,0,IF(COUNTIFS(実績!$W$6:$W$505,Q$3,実績!$AI$6:$AI$505,"&lt;="&amp;$A10,実績!$AJ$6:$AJ$505,"&gt;"&amp;$A10,実績!$AL$6:$AL$505,"○")&gt;0,1,0))</f>
        <v>0</v>
      </c>
      <c r="R10" s="39" t="n">
        <f aca="false">IF(R$4=0,0,IF(COUNTIFS(実績!$W$6:$W$505,R$3,実績!$AI$6:$AI$505,"&lt;="&amp;$A10,実績!$AJ$6:$AJ$505,"&gt;"&amp;$A10,実績!$AL$6:$AL$505,"○")&gt;0,1,0))</f>
        <v>0</v>
      </c>
      <c r="S10" s="39" t="n">
        <f aca="false">IF(S$4=0,0,IF(COUNTIFS(実績!$W$6:$W$505,S$3,実績!$AI$6:$AI$505,"&lt;="&amp;$A10,実績!$AJ$6:$AJ$505,"&gt;"&amp;$A10,実績!$AL$6:$AL$505,"○")&gt;0,1,0))</f>
        <v>0</v>
      </c>
      <c r="T10" s="39" t="n">
        <f aca="false">IF(T$4=0,0,IF(COUNTIFS(実績!$W$6:$W$505,T$3,実績!$AI$6:$AI$505,"&lt;="&amp;$A10,実績!$AJ$6:$AJ$505,"&gt;"&amp;$A10,実績!$AL$6:$AL$505,"○")&gt;0,1,0))</f>
        <v>0</v>
      </c>
      <c r="U10" s="39" t="n">
        <f aca="false">IF(U$4=0,0,IF(COUNTIFS(実績!$W$6:$W$505,U$3,実績!$AI$6:$AI$505,"&lt;="&amp;$A10,実績!$AJ$6:$AJ$505,"&gt;"&amp;$A10,実績!$AL$6:$AL$505,"○")&gt;0,1,0))</f>
        <v>0</v>
      </c>
      <c r="V10" s="39" t="n">
        <f aca="false">IF(V$4=0,0,IF(COUNTIFS(実績!$W$6:$W$505,V$3,実績!$AI$6:$AI$505,"&lt;="&amp;$A10,実績!$AJ$6:$AJ$505,"&gt;"&amp;$A10,実績!$AL$6:$AL$505,"○")&gt;0,1,0))</f>
        <v>0</v>
      </c>
      <c r="W10" s="39" t="n">
        <f aca="false">IF(W$4=0,0,IF(COUNTIFS(実績!$W$6:$W$505,W$3,実績!$AI$6:$AI$505,"&lt;="&amp;$A10,実績!$AJ$6:$AJ$505,"&gt;"&amp;$A10,実績!$AL$6:$AL$505,"○")&gt;0,1,0))</f>
        <v>0</v>
      </c>
      <c r="X10" s="39" t="n">
        <f aca="false">IF(X$4=0,0,IF(COUNTIFS(実績!$W$6:$W$505,X$3,実績!$AI$6:$AI$505,"&lt;="&amp;$A10,実績!$AJ$6:$AJ$505,"&gt;"&amp;$A10,実績!$AL$6:$AL$505,"○")&gt;0,1,0))</f>
        <v>0</v>
      </c>
      <c r="Y10" s="39" t="n">
        <f aca="false">IF(Y$4=0,0,IF(COUNTIFS(実績!$W$6:$W$505,Y$3,実績!$AI$6:$AI$505,"&lt;="&amp;$A10,実績!$AJ$6:$AJ$505,"&gt;"&amp;$A10,実績!$AL$6:$AL$505,"○")&gt;0,1,0))</f>
        <v>0</v>
      </c>
      <c r="Z10" s="39" t="n">
        <f aca="false">IF(Z$4=0,0,IF(COUNTIFS(実績!$W$6:$W$505,Z$3,実績!$AI$6:$AI$505,"&lt;="&amp;$A10,実績!$AJ$6:$AJ$505,"&gt;"&amp;$A10,実績!$AL$6:$AL$505,"○")&gt;0,1,0))</f>
        <v>0</v>
      </c>
      <c r="AA10" s="39" t="n">
        <f aca="false">IF(AA$4=0,0,IF(COUNTIFS(実績!$W$6:$W$505,AA$3,実績!$AI$6:$AI$505,"&lt;="&amp;$A10,実績!$AJ$6:$AJ$505,"&gt;"&amp;$A10,実績!$AL$6:$AL$505,"○")&gt;0,1,0))</f>
        <v>0</v>
      </c>
      <c r="AB10" s="39" t="n">
        <f aca="false">IF(AB$4=0,0,IF(COUNTIFS(実績!$W$6:$W$505,AB$3,実績!$AI$6:$AI$505,"&lt;="&amp;$A10,実績!$AJ$6:$AJ$505,"&gt;"&amp;$A10,実績!$AL$6:$AL$505,"○")&gt;0,1,0))</f>
        <v>0</v>
      </c>
      <c r="AC10" s="39" t="n">
        <f aca="false">IF(AC$4=0,0,IF(COUNTIFS(実績!$W$6:$W$505,AC$3,実績!$AI$6:$AI$505,"&lt;="&amp;$A10,実績!$AJ$6:$AJ$505,"&gt;"&amp;$A10,実績!$AL$6:$AL$505,"○")&gt;0,1,0))</f>
        <v>0</v>
      </c>
      <c r="AD10" s="39" t="n">
        <f aca="false">IF(AD$4=0,0,IF(COUNTIFS(実績!$W$6:$W$505,AD$3,実績!$AI$6:$AI$505,"&lt;="&amp;$A10,実績!$AJ$6:$AJ$505,"&gt;"&amp;$A10,実績!$AL$6:$AL$505,"○")&gt;0,1,0))</f>
        <v>0</v>
      </c>
      <c r="AE10" s="39" t="n">
        <f aca="false">IF(AE$4=0,0,IF(COUNTIFS(実績!$W$6:$W$505,AE$3,実績!$AI$6:$AI$505,"&lt;="&amp;$A10,実績!$AJ$6:$AJ$505,"&gt;"&amp;$A10,実績!$AL$6:$AL$505,"○")&gt;0,1,0))</f>
        <v>0</v>
      </c>
      <c r="AF10" s="39" t="n">
        <f aca="false">IF(AF$4=0,0,IF(COUNTIFS(実績!$W$6:$W$505,AF$3,実績!$AI$6:$AI$505,"&lt;="&amp;$A10,実績!$AJ$6:$AJ$505,"&gt;"&amp;$A10,実績!$AL$6:$AL$505,"○")&gt;0,1,0))</f>
        <v>0</v>
      </c>
      <c r="AG10" s="39" t="n">
        <f aca="false">IF(AG$4=0,0,IF(COUNTIFS(実績!$W$6:$W$505,AG$3,実績!$AI$6:$AI$505,"&lt;="&amp;$A10,実績!$AJ$6:$AJ$505,"&gt;"&amp;$A10,実績!$AL$6:$AL$505,"○")&gt;0,1,0))</f>
        <v>0</v>
      </c>
      <c r="AH10" s="39" t="n">
        <f aca="false">IF(AH$4=0,0,IF(COUNTIFS(実績!$W$6:$W$505,AH$3,実績!$AI$6:$AI$505,"&lt;="&amp;$A10,実績!$AJ$6:$AJ$505,"&gt;"&amp;$A10,実績!$AL$6:$AL$505,"○")&gt;0,1,0))</f>
        <v>0</v>
      </c>
      <c r="AI10" s="39" t="n">
        <f aca="false">IF(AI$4=0,0,IF(COUNTIFS(実績!$W$6:$W$505,AI$3,実績!$AI$6:$AI$505,"&lt;="&amp;$A10,実績!$AJ$6:$AJ$505,"&gt;"&amp;$A10,実績!$AL$6:$AL$505,"○")&gt;0,1,0))</f>
        <v>0</v>
      </c>
      <c r="AJ10" s="39" t="n">
        <f aca="false">IF(AJ$4=0,0,IF(COUNTIFS(実績!$W$6:$W$505,AJ$3,実績!$AI$6:$AI$505,"&lt;="&amp;$A10,実績!$AJ$6:$AJ$505,"&gt;"&amp;$A10,実績!$AL$6:$AL$505,"○")&gt;0,1,0))</f>
        <v>0</v>
      </c>
      <c r="AK10" s="39" t="n">
        <f aca="false">IF(AK$4=0,0,IF(COUNTIFS(実績!$W$6:$W$505,AK$3,実績!$AI$6:$AI$505,"&lt;="&amp;$A10,実績!$AJ$6:$AJ$505,"&gt;"&amp;$A10,実績!$AL$6:$AL$505,"○")&gt;0,1,0))</f>
        <v>0</v>
      </c>
      <c r="AL10" s="39" t="n">
        <f aca="false">IF(AL$4=0,0,IF(COUNTIFS(実績!$W$6:$W$505,AL$3,実績!$AI$6:$AI$505,"&lt;="&amp;$A10,実績!$AJ$6:$AJ$505,"&gt;"&amp;$A10,実績!$AL$6:$AL$505,"○")&gt;0,1,0))</f>
        <v>0</v>
      </c>
      <c r="AM10" s="39" t="n">
        <f aca="false">IF(AM$4=0,0,IF(COUNTIFS(実績!$W$6:$W$505,AM$3,実績!$AI$6:$AI$505,"&lt;="&amp;$A10,実績!$AJ$6:$AJ$505,"&gt;"&amp;$A10,実績!$AL$6:$AL$505,"○")&gt;0,1,0))</f>
        <v>0</v>
      </c>
      <c r="AN10" s="39" t="n">
        <f aca="false">IF(AN$4=0,0,IF(COUNTIFS(実績!$W$6:$W$505,AN$3,実績!$AI$6:$AI$505,"&lt;="&amp;$A10,実績!$AJ$6:$AJ$505,"&gt;"&amp;$A10,実績!$AL$6:$AL$505,"○")&gt;0,1,0))</f>
        <v>0</v>
      </c>
      <c r="AO10" s="39" t="n">
        <f aca="false">IF(AO$4=0,0,IF(COUNTIFS(実績!$W$6:$W$505,AO$3,実績!$AI$6:$AI$505,"&lt;="&amp;$A10,実績!$AJ$6:$AJ$505,"&gt;"&amp;$A10,実績!$AL$6:$AL$505,"○")&gt;0,1,0))</f>
        <v>0</v>
      </c>
      <c r="AP10" s="39" t="n">
        <f aca="false">IF(AP$4=0,0,IF(COUNTIFS(実績!$W$6:$W$505,AP$3,実績!$AI$6:$AI$505,"&lt;="&amp;$A10,実績!$AJ$6:$AJ$505,"&gt;"&amp;$A10,実績!$AL$6:$AL$505,"○")&gt;0,1,0))</f>
        <v>0</v>
      </c>
      <c r="AQ10" s="39" t="n">
        <f aca="false">IF(AQ$4=0,0,IF(COUNTIFS(実績!$W$6:$W$505,AQ$3,実績!$AI$6:$AI$505,"&lt;="&amp;$A10,実績!$AJ$6:$AJ$505,"&gt;"&amp;$A10,実績!$AL$6:$AL$505,"○")&gt;0,1,0))</f>
        <v>0</v>
      </c>
      <c r="AR10" s="39" t="n">
        <f aca="false">IF(AR$4=0,0,IF(COUNTIFS(実績!$W$6:$W$505,AR$3,実績!$AI$6:$AI$505,"&lt;="&amp;$A10,実績!$AJ$6:$AJ$505,"&gt;"&amp;$A10,実績!$AL$6:$AL$505,"○")&gt;0,1,0))</f>
        <v>0</v>
      </c>
      <c r="AS10" s="39" t="n">
        <f aca="false">IF(AS$4=0,0,IF(COUNTIFS(実績!$W$6:$W$505,AS$3,実績!$AI$6:$AI$505,"&lt;="&amp;$A10,実績!$AJ$6:$AJ$505,"&gt;"&amp;$A10,実績!$AL$6:$AL$505,"○")&gt;0,1,0))</f>
        <v>0</v>
      </c>
      <c r="AT10" s="39" t="n">
        <f aca="false">IF(AT$4=0,0,IF(COUNTIFS(実績!$W$6:$W$505,AT$3,実績!$AI$6:$AI$505,"&lt;="&amp;$A10,実績!$AJ$6:$AJ$505,"&gt;"&amp;$A10,実績!$AL$6:$AL$505,"○")&gt;0,1,0))</f>
        <v>0</v>
      </c>
      <c r="AU10" s="39" t="n">
        <f aca="false">IF(AU$4=0,0,IF(COUNTIFS(実績!$W$6:$W$505,AU$3,実績!$AI$6:$AI$505,"&lt;="&amp;$A10,実績!$AJ$6:$AJ$505,"&gt;"&amp;$A10,実績!$AL$6:$AL$505,"○")&gt;0,1,0))</f>
        <v>0</v>
      </c>
      <c r="AV10" s="39" t="n">
        <f aca="false">IF(AV$4=0,0,IF(COUNTIFS(実績!$W$6:$W$505,AV$3,実績!$AI$6:$AI$505,"&lt;="&amp;$A10,実績!$AJ$6:$AJ$505,"&gt;"&amp;$A10,実績!$AL$6:$AL$505,"○")&gt;0,1,0))</f>
        <v>0</v>
      </c>
      <c r="AW10" s="39" t="n">
        <f aca="false">IF(AW$4=0,0,IF(COUNTIFS(実績!$W$6:$W$505,AW$3,実績!$AI$6:$AI$505,"&lt;="&amp;$A10,実績!$AJ$6:$AJ$505,"&gt;"&amp;$A10,実績!$AL$6:$AL$505,"○")&gt;0,1,0))</f>
        <v>0</v>
      </c>
      <c r="AX10" s="39" t="n">
        <f aca="false">IF(AX$4=0,0,IF(COUNTIFS(実績!$W$6:$W$505,AX$3,実績!$AI$6:$AI$505,"&lt;="&amp;$A10,実績!$AJ$6:$AJ$505,"&gt;"&amp;$A10,実績!$AL$6:$AL$505,"○")&gt;0,1,0))</f>
        <v>0</v>
      </c>
      <c r="AY10" s="39" t="n">
        <f aca="false">IF(AY$4=0,0,IF(COUNTIFS(実績!$W$6:$W$505,AY$3,実績!$AI$6:$AI$505,"&lt;="&amp;$A10,実績!$AJ$6:$AJ$505,"&gt;"&amp;$A10,実績!$AL$6:$AL$505,"○")&gt;0,1,0))</f>
        <v>0</v>
      </c>
      <c r="AZ10" s="39" t="n">
        <f aca="false">IF(AZ$4=0,0,IF(COUNTIFS(実績!$W$6:$W$505,AZ$3,実績!$AI$6:$AI$505,"&lt;="&amp;$A10,実績!$AJ$6:$AJ$505,"&gt;"&amp;$A10,実績!$AL$6:$AL$505,"○")&gt;0,1,0))</f>
        <v>0</v>
      </c>
      <c r="BA10" s="39" t="n">
        <f aca="false">IF(BA$4=0,0,IF(COUNTIFS(実績!$W$6:$W$505,BA$3,実績!$AI$6:$AI$505,"&lt;="&amp;$A10,実績!$AJ$6:$AJ$505,"&gt;"&amp;$A10,実績!$AL$6:$AL$505,"○")&gt;0,1,0))</f>
        <v>0</v>
      </c>
      <c r="BB10" s="39" t="n">
        <f aca="false">IF(BB$4=0,0,IF(COUNTIFS(実績!$W$6:$W$505,BB$3,実績!$AI$6:$AI$505,"&lt;="&amp;$A10,実績!$AJ$6:$AJ$505,"&gt;"&amp;$A10,実績!$AL$6:$AL$505,"○")&gt;0,1,0))</f>
        <v>0</v>
      </c>
      <c r="BC10" s="39" t="n">
        <f aca="false">IF(BC$4=0,0,IF(COUNTIFS(実績!$W$6:$W$505,BC$3,実績!$AI$6:$AI$505,"&lt;="&amp;$A10,実績!$AJ$6:$AJ$505,"&gt;"&amp;$A10,実績!$AL$6:$AL$505,"○")&gt;0,1,0))</f>
        <v>0</v>
      </c>
      <c r="BD10" s="39" t="n">
        <f aca="false">IF(BD$4=0,0,IF(COUNTIFS(実績!$W$6:$W$505,BD$3,実績!$AI$6:$AI$505,"&lt;="&amp;$A10,実績!$AJ$6:$AJ$505,"&gt;"&amp;$A10,実績!$AL$6:$AL$505,"○")&gt;0,1,0))</f>
        <v>0</v>
      </c>
      <c r="BE10" s="39" t="n">
        <f aca="false">IF(BE$4=0,0,IF(COUNTIFS(実績!$W$6:$W$505,BE$3,実績!$AI$6:$AI$505,"&lt;="&amp;$A10,実績!$AJ$6:$AJ$505,"&gt;"&amp;$A10,実績!$AL$6:$AL$505,"○")&gt;0,1,0))</f>
        <v>0</v>
      </c>
      <c r="BF10" s="39" t="n">
        <f aca="false">IF(BF$4=0,0,IF(COUNTIFS(実績!$W$6:$W$505,BF$3,実績!$AI$6:$AI$505,"&lt;="&amp;$A10,実績!$AJ$6:$AJ$505,"&gt;"&amp;$A10,実績!$AL$6:$AL$505,"○")&gt;0,1,0))</f>
        <v>0</v>
      </c>
      <c r="BG10" s="39" t="n">
        <f aca="false">IF(BG$4=0,0,IF(COUNTIFS(実績!$W$6:$W$505,BG$3,実績!$AI$6:$AI$505,"&lt;="&amp;$A10,実績!$AJ$6:$AJ$505,"&gt;"&amp;$A10,実績!$AL$6:$AL$505,"○")&gt;0,1,0))</f>
        <v>0</v>
      </c>
      <c r="BH10" s="39" t="n">
        <f aca="false">IF(BH$4=0,0,IF(COUNTIFS(実績!$W$6:$W$505,BH$3,実績!$AI$6:$AI$505,"&lt;="&amp;$A10,実績!$AJ$6:$AJ$505,"&gt;"&amp;$A10,実績!$AL$6:$AL$505,"○")&gt;0,1,0))</f>
        <v>0</v>
      </c>
      <c r="BI10" s="39" t="n">
        <f aca="false">IF(BI$4=0,0,IF(COUNTIFS(実績!$W$6:$W$505,BI$3,実績!$AI$6:$AI$505,"&lt;="&amp;$A10,実績!$AJ$6:$AJ$505,"&gt;"&amp;$A10,実績!$AL$6:$AL$505,"○")&gt;0,1,0))</f>
        <v>0</v>
      </c>
      <c r="BJ10" s="39" t="n">
        <f aca="false">IF(BJ$4=0,0,IF(COUNTIFS(実績!$W$6:$W$505,BJ$3,実績!$AI$6:$AI$505,"&lt;="&amp;$A10,実績!$AJ$6:$AJ$505,"&gt;"&amp;$A10,実績!$AL$6:$AL$505,"○")&gt;0,1,0))</f>
        <v>0</v>
      </c>
      <c r="BK10" s="39" t="n">
        <f aca="false">IF(BK$4=0,0,IF(COUNTIFS(実績!$W$6:$W$505,BK$3,実績!$AI$6:$AI$505,"&lt;="&amp;$A10,実績!$AJ$6:$AJ$505,"&gt;"&amp;$A10,実績!$AL$6:$AL$505,"○")&gt;0,1,0))</f>
        <v>0</v>
      </c>
      <c r="BL10" s="39" t="n">
        <f aca="false">IF(BL$4=0,0,IF(COUNTIFS(実績!$W$6:$W$505,BL$3,実績!$AI$6:$AI$505,"&lt;="&amp;$A10,実績!$AJ$6:$AJ$505,"&gt;"&amp;$A10,実績!$AL$6:$AL$505,"○")&gt;0,1,0))</f>
        <v>0</v>
      </c>
      <c r="BM10" s="39" t="n">
        <f aca="false">IF(BM$4=0,0,IF(COUNTIFS(実績!$W$6:$W$505,BM$3,実績!$AI$6:$AI$505,"&lt;="&amp;$A10,実績!$AJ$6:$AJ$505,"&gt;"&amp;$A10,実績!$AL$6:$AL$505,"○")&gt;0,1,0))</f>
        <v>0</v>
      </c>
      <c r="BN10" s="39" t="n">
        <f aca="false">IF(BN$4=0,0,IF(COUNTIFS(実績!$W$6:$W$505,BN$3,実績!$AI$6:$AI$505,"&lt;="&amp;$A10,実績!$AJ$6:$AJ$505,"&gt;"&amp;$A10,実績!$AL$6:$AL$505,"○")&gt;0,1,0))</f>
        <v>0</v>
      </c>
      <c r="BO10" s="39" t="n">
        <f aca="false">IF(BO$4=0,0,IF(COUNTIFS(実績!$W$6:$W$505,BO$3,実績!$AI$6:$AI$505,"&lt;="&amp;$A10,実績!$AJ$6:$AJ$505,"&gt;"&amp;$A10,実績!$AL$6:$AL$505,"○")&gt;0,1,0))</f>
        <v>0</v>
      </c>
      <c r="BP10" s="39" t="n">
        <f aca="false">IF(BP$4=0,0,IF(COUNTIFS(実績!$W$6:$W$505,BP$3,実績!$AI$6:$AI$505,"&lt;="&amp;$A10,実績!$AJ$6:$AJ$505,"&gt;"&amp;$A10,実績!$AL$6:$AL$505,"○")&gt;0,1,0))</f>
        <v>0</v>
      </c>
      <c r="BQ10" s="39" t="n">
        <f aca="false">IF(BQ$4=0,0,IF(COUNTIFS(実績!$W$6:$W$505,BQ$3,実績!$AI$6:$AI$505,"&lt;="&amp;$A10,実績!$AJ$6:$AJ$505,"&gt;"&amp;$A10,実績!$AL$6:$AL$505,"○")&gt;0,1,0))</f>
        <v>0</v>
      </c>
      <c r="BR10" s="39" t="n">
        <f aca="false">IF(BR$4=0,0,IF(COUNTIFS(実績!$W$6:$W$505,BR$3,実績!$AI$6:$AI$505,"&lt;="&amp;$A10,実績!$AJ$6:$AJ$505,"&gt;"&amp;$A10,実績!$AL$6:$AL$505,"○")&gt;0,1,0))</f>
        <v>0</v>
      </c>
      <c r="BS10" s="39" t="n">
        <f aca="false">IF(BS$4=0,0,IF(COUNTIFS(実績!$W$6:$W$505,BS$3,実績!$AI$6:$AI$505,"&lt;="&amp;$A10,実績!$AJ$6:$AJ$505,"&gt;"&amp;$A10,実績!$AL$6:$AL$505,"○")&gt;0,1,0))</f>
        <v>0</v>
      </c>
      <c r="BT10" s="39" t="n">
        <f aca="false">IF(BT$4=0,0,IF(COUNTIFS(実績!$W$6:$W$505,BT$3,実績!$AI$6:$AI$505,"&lt;="&amp;$A10,実績!$AJ$6:$AJ$505,"&gt;"&amp;$A10,実績!$AL$6:$AL$505,"○")&gt;0,1,0))</f>
        <v>0</v>
      </c>
      <c r="BU10" s="39" t="n">
        <f aca="false">IF(BU$4=0,0,IF(COUNTIFS(実績!$W$6:$W$505,BU$3,実績!$AI$6:$AI$505,"&lt;="&amp;$A10,実績!$AJ$6:$AJ$505,"&gt;"&amp;$A10,実績!$AL$6:$AL$505,"○")&gt;0,1,0))</f>
        <v>0</v>
      </c>
      <c r="BV10" s="39" t="n">
        <f aca="false">IF(BV$4=0,0,IF(COUNTIFS(実績!$W$6:$W$505,BV$3,実績!$AI$6:$AI$505,"&lt;="&amp;$A10,実績!$AJ$6:$AJ$505,"&gt;"&amp;$A10,実績!$AL$6:$AL$505,"○")&gt;0,1,0))</f>
        <v>0</v>
      </c>
      <c r="BW10" s="39" t="n">
        <f aca="false">IF(BW$4=0,0,IF(COUNTIFS(実績!$W$6:$W$505,BW$3,実績!$AI$6:$AI$505,"&lt;="&amp;$A10,実績!$AJ$6:$AJ$505,"&gt;"&amp;$A10,実績!$AL$6:$AL$505,"○")&gt;0,1,0))</f>
        <v>0</v>
      </c>
      <c r="BX10" s="39" t="n">
        <f aca="false">IF(BX$4=0,0,IF(COUNTIFS(実績!$W$6:$W$505,BX$3,実績!$AI$6:$AI$505,"&lt;="&amp;$A10,実績!$AJ$6:$AJ$505,"&gt;"&amp;$A10,実績!$AL$6:$AL$505,"○")&gt;0,1,0))</f>
        <v>0</v>
      </c>
      <c r="BY10" s="39" t="n">
        <f aca="false">IF(BY$4=0,0,IF(COUNTIFS(実績!$W$6:$W$505,BY$3,実績!$AI$6:$AI$505,"&lt;="&amp;$A10,実績!$AJ$6:$AJ$505,"&gt;"&amp;$A10,実績!$AL$6:$AL$505,"○")&gt;0,1,0))</f>
        <v>0</v>
      </c>
      <c r="BZ10" s="39" t="n">
        <f aca="false">IF(BZ$4=0,0,IF(COUNTIFS(実績!$W$6:$W$505,BZ$3,実績!$AI$6:$AI$505,"&lt;="&amp;$A10,実績!$AJ$6:$AJ$505,"&gt;"&amp;$A10,実績!$AL$6:$AL$505,"○")&gt;0,1,0))</f>
        <v>0</v>
      </c>
      <c r="CA10" s="39" t="n">
        <f aca="false">IF(CA$4=0,0,IF(COUNTIFS(実績!$W$6:$W$505,CA$3,実績!$AI$6:$AI$505,"&lt;="&amp;$A10,実績!$AJ$6:$AJ$505,"&gt;"&amp;$A10,実績!$AL$6:$AL$505,"○")&gt;0,1,0))</f>
        <v>0</v>
      </c>
      <c r="CB10" s="39" t="n">
        <f aca="false">IF(CB$4=0,0,IF(COUNTIFS(実績!$W$6:$W$505,CB$3,実績!$AI$6:$AI$505,"&lt;="&amp;$A10,実績!$AJ$6:$AJ$505,"&gt;"&amp;$A10,実績!$AL$6:$AL$505,"○")&gt;0,1,0))</f>
        <v>0</v>
      </c>
      <c r="CC10" s="39" t="n">
        <f aca="false">IF(CC$4=0,0,IF(COUNTIFS(実績!$W$6:$W$505,CC$3,実績!$AI$6:$AI$505,"&lt;="&amp;$A10,実績!$AJ$6:$AJ$505,"&gt;"&amp;$A10,実績!$AL$6:$AL$505,"○")&gt;0,1,0))</f>
        <v>0</v>
      </c>
      <c r="CD10" s="39" t="n">
        <f aca="false">IF(CD$4=0,0,IF(COUNTIFS(実績!$W$6:$W$505,CD$3,実績!$AI$6:$AI$505,"&lt;="&amp;$A10,実績!$AJ$6:$AJ$505,"&gt;"&amp;$A10,実績!$AL$6:$AL$505,"○")&gt;0,1,0))</f>
        <v>0</v>
      </c>
      <c r="CE10" s="39" t="n">
        <f aca="false">IF(CE$4=0,0,IF(COUNTIFS(実績!$W$6:$W$505,CE$3,実績!$AI$6:$AI$505,"&lt;="&amp;$A10,実績!$AJ$6:$AJ$505,"&gt;"&amp;$A10,実績!$AL$6:$AL$505,"○")&gt;0,1,0))</f>
        <v>0</v>
      </c>
      <c r="CF10" s="39" t="n">
        <f aca="false">IF(CF$4=0,0,IF(COUNTIFS(実績!$W$6:$W$505,CF$3,実績!$AI$6:$AI$505,"&lt;="&amp;$A10,実績!$AJ$6:$AJ$505,"&gt;"&amp;$A10,実績!$AL$6:$AL$505,"○")&gt;0,1,0))</f>
        <v>0</v>
      </c>
      <c r="CG10" s="39" t="n">
        <f aca="false">IF(CG$4=0,0,IF(COUNTIFS(実績!$W$6:$W$505,CG$3,実績!$AI$6:$AI$505,"&lt;="&amp;$A10,実績!$AJ$6:$AJ$505,"&gt;"&amp;$A10,実績!$AL$6:$AL$505,"○")&gt;0,1,0))</f>
        <v>0</v>
      </c>
      <c r="CH10" s="39" t="n">
        <f aca="false">IF(CH$4=0,0,IF(COUNTIFS(実績!$W$6:$W$505,CH$3,実績!$AI$6:$AI$505,"&lt;="&amp;$A10,実績!$AJ$6:$AJ$505,"&gt;"&amp;$A10,実績!$AL$6:$AL$505,"○")&gt;0,1,0))</f>
        <v>0</v>
      </c>
      <c r="CI10" s="39" t="n">
        <f aca="false">IF(CI$4=0,0,IF(COUNTIFS(実績!$W$6:$W$505,CI$3,実績!$AI$6:$AI$505,"&lt;="&amp;$A10,実績!$AJ$6:$AJ$505,"&gt;"&amp;$A10,実績!$AL$6:$AL$505,"○")&gt;0,1,0))</f>
        <v>0</v>
      </c>
      <c r="CJ10" s="39" t="n">
        <f aca="false">IF(CJ$4=0,0,IF(COUNTIFS(実績!$W$6:$W$505,CJ$3,実績!$AI$6:$AI$505,"&lt;="&amp;$A10,実績!$AJ$6:$AJ$505,"&gt;"&amp;$A10,実績!$AL$6:$AL$505,"○")&gt;0,1,0))</f>
        <v>0</v>
      </c>
      <c r="CK10" s="39" t="n">
        <f aca="false">IF(CK$4=0,0,IF(COUNTIFS(実績!$W$6:$W$505,CK$3,実績!$AI$6:$AI$505,"&lt;="&amp;$A10,実績!$AJ$6:$AJ$505,"&gt;"&amp;$A10,実績!$AL$6:$AL$505,"○")&gt;0,1,0))</f>
        <v>0</v>
      </c>
      <c r="CL10" s="39" t="n">
        <f aca="false">IF(CL$4=0,0,IF(COUNTIFS(実績!$W$6:$W$505,CL$3,実績!$AI$6:$AI$505,"&lt;="&amp;$A10,実績!$AJ$6:$AJ$505,"&gt;"&amp;$A10,実績!$AL$6:$AL$505,"○")&gt;0,1,0))</f>
        <v>0</v>
      </c>
      <c r="CM10" s="39" t="n">
        <f aca="false">IF(CM$4=0,0,IF(COUNTIFS(実績!$W$6:$W$505,CM$3,実績!$AI$6:$AI$505,"&lt;="&amp;$A10,実績!$AJ$6:$AJ$505,"&gt;"&amp;$A10,実績!$AL$6:$AL$505,"○")&gt;0,1,0))</f>
        <v>0</v>
      </c>
      <c r="CN10" s="39" t="n">
        <f aca="false">IF(CN$4=0,0,IF(COUNTIFS(実績!$W$6:$W$505,CN$3,実績!$AI$6:$AI$505,"&lt;="&amp;$A10,実績!$AJ$6:$AJ$505,"&gt;"&amp;$A10,実績!$AL$6:$AL$505,"○")&gt;0,1,0))</f>
        <v>0</v>
      </c>
      <c r="CO10" s="39" t="n">
        <f aca="false">IF(CO$4=0,0,IF(COUNTIFS(実績!$W$6:$W$505,CO$3,実績!$AI$6:$AI$505,"&lt;="&amp;$A10,実績!$AJ$6:$AJ$505,"&gt;"&amp;$A10,実績!$AL$6:$AL$505,"○")&gt;0,1,0))</f>
        <v>0</v>
      </c>
      <c r="CP10" s="39" t="n">
        <f aca="false">IF(CP$4=0,0,IF(COUNTIFS(実績!$W$6:$W$505,CP$3,実績!$AI$6:$AI$505,"&lt;="&amp;$A10,実績!$AJ$6:$AJ$505,"&gt;"&amp;$A10,実績!$AL$6:$AL$505,"○")&gt;0,1,0))</f>
        <v>0</v>
      </c>
      <c r="CQ10" s="39" t="n">
        <f aca="false">IF(CQ$4=0,0,IF(COUNTIFS(実績!$W$6:$W$505,CQ$3,実績!$AI$6:$AI$505,"&lt;="&amp;$A10,実績!$AJ$6:$AJ$505,"&gt;"&amp;$A10,実績!$AL$6:$AL$505,"○")&gt;0,1,0))</f>
        <v>0</v>
      </c>
      <c r="CR10" s="39" t="n">
        <f aca="false">IF(CR$4=0,0,IF(COUNTIFS(実績!$W$6:$W$505,CR$3,実績!$AI$6:$AI$505,"&lt;="&amp;$A10,実績!$AJ$6:$AJ$505,"&gt;"&amp;$A10,実績!$AL$6:$AL$505,"○")&gt;0,1,0))</f>
        <v>0</v>
      </c>
      <c r="CS10" s="39" t="n">
        <f aca="false">IF(CS$4=0,0,IF(COUNTIFS(実績!$W$6:$W$505,CS$3,実績!$AI$6:$AI$505,"&lt;="&amp;$A10,実績!$AJ$6:$AJ$505,"&gt;"&amp;$A10,実績!$AL$6:$AL$505,"○")&gt;0,1,0))</f>
        <v>0</v>
      </c>
      <c r="CT10" s="39" t="n">
        <f aca="false">IF(CT$4=0,0,IF(COUNTIFS(実績!$W$6:$W$505,CT$3,実績!$AI$6:$AI$505,"&lt;="&amp;$A10,実績!$AJ$6:$AJ$505,"&gt;"&amp;$A10,実績!$AL$6:$AL$505,"○")&gt;0,1,0))</f>
        <v>0</v>
      </c>
      <c r="CU10" s="39" t="n">
        <f aca="false">IF(CU$4=0,0,IF(COUNTIFS(実績!$W$6:$W$505,CU$3,実績!$AI$6:$AI$505,"&lt;="&amp;$A10,実績!$AJ$6:$AJ$505,"&gt;"&amp;$A10,実績!$AL$6:$AL$505,"○")&gt;0,1,0))</f>
        <v>0</v>
      </c>
      <c r="CV10" s="39" t="n">
        <f aca="false">IF(CV$4=0,0,IF(COUNTIFS(実績!$W$6:$W$505,CV$3,実績!$AI$6:$AI$505,"&lt;="&amp;$A10,実績!$AJ$6:$AJ$505,"&gt;"&amp;$A10,実績!$AL$6:$AL$505,"○")&gt;0,1,0))</f>
        <v>0</v>
      </c>
      <c r="CW10" s="39" t="n">
        <f aca="false">IF(CW$4=0,0,IF(COUNTIFS(実績!$W$6:$W$505,CW$3,実績!$AI$6:$AI$505,"&lt;="&amp;$A10,実績!$AJ$6:$AJ$505,"&gt;"&amp;$A10,実績!$AL$6:$AL$505,"○")&gt;0,1,0))</f>
        <v>0</v>
      </c>
      <c r="CX10" s="39" t="n">
        <f aca="false">IF(CX$4=0,0,IF(COUNTIFS(実績!$W$6:$W$505,CX$3,実績!$AI$6:$AI$505,"&lt;="&amp;$A10,実績!$AJ$6:$AJ$505,"&gt;"&amp;$A10,実績!$AL$6:$AL$505,"○")&gt;0,1,0))</f>
        <v>0</v>
      </c>
      <c r="CY10" s="39" t="n">
        <f aca="false">IF(CY$4=0,0,IF(COUNTIFS(実績!$W$6:$W$505,CY$3,実績!$AI$6:$AI$505,"&lt;="&amp;$A10,実績!$AJ$6:$AJ$505,"&gt;"&amp;$A10,実績!$AL$6:$AL$505,"○")&gt;0,1,0))</f>
        <v>0</v>
      </c>
      <c r="CZ10" s="39" t="n">
        <f aca="false">IF(CZ$4=0,0,IF(COUNTIFS(実績!$W$6:$W$505,CZ$3,実績!$AI$6:$AI$505,"&lt;="&amp;$A10,実績!$AJ$6:$AJ$505,"&gt;"&amp;$A10,実績!$AL$6:$AL$505,"○")&gt;0,1,0))</f>
        <v>0</v>
      </c>
      <c r="DA10" s="39" t="n">
        <f aca="false">IF(DA$4=0,0,IF(COUNTIFS(実績!$W$6:$W$505,DA$3,実績!$AI$6:$AI$505,"&lt;="&amp;$A10,実績!$AJ$6:$AJ$505,"&gt;"&amp;$A10,実績!$AL$6:$AL$505,"○")&gt;0,1,0))</f>
        <v>0</v>
      </c>
      <c r="DB10" s="39" t="n">
        <f aca="false">IF(DB$4=0,0,IF(COUNTIFS(実績!$W$6:$W$505,DB$3,実績!$AI$6:$AI$505,"&lt;="&amp;$A10,実績!$AJ$6:$AJ$505,"&gt;"&amp;$A10,実績!$AL$6:$AL$505,"○")&gt;0,1,0))</f>
        <v>0</v>
      </c>
      <c r="DC10" s="39" t="n">
        <f aca="false">IF(DC$4=0,0,IF(COUNTIFS(実績!$W$6:$W$505,DC$3,実績!$AI$6:$AI$505,"&lt;="&amp;$A10,実績!$AJ$6:$AJ$505,"&gt;"&amp;$A10,実績!$AL$6:$AL$505,"○")&gt;0,1,0))</f>
        <v>0</v>
      </c>
      <c r="DD10" s="39" t="n">
        <f aca="false">IF(DD$4=0,0,IF(COUNTIFS(実績!$W$6:$W$505,DD$3,実績!$AI$6:$AI$505,"&lt;="&amp;$A10,実績!$AJ$6:$AJ$505,"&gt;"&amp;$A10,実績!$AL$6:$AL$505,"○")&gt;0,1,0))</f>
        <v>0</v>
      </c>
      <c r="DE10" s="39" t="n">
        <f aca="false">IF(DE$4=0,0,IF(COUNTIFS(実績!$W$6:$W$505,DE$3,実績!$AI$6:$AI$505,"&lt;="&amp;$A10,実績!$AJ$6:$AJ$505,"&gt;"&amp;$A10,実績!$AL$6:$AL$505,"○")&gt;0,1,0))</f>
        <v>0</v>
      </c>
      <c r="DF10" s="39" t="n">
        <f aca="false">IF(DF$4=0,0,IF(COUNTIFS(実績!$W$6:$W$505,DF$3,実績!$AI$6:$AI$505,"&lt;="&amp;$A10,実績!$AJ$6:$AJ$505,"&gt;"&amp;$A10,実績!$AL$6:$AL$505,"○")&gt;0,1,0))</f>
        <v>0</v>
      </c>
      <c r="DG10" s="39" t="n">
        <f aca="false">IF(DG$4=0,0,IF(COUNTIFS(実績!$W$6:$W$505,DG$3,実績!$AI$6:$AI$505,"&lt;="&amp;$A10,実績!$AJ$6:$AJ$505,"&gt;"&amp;$A10,実績!$AL$6:$AL$505,"○")&gt;0,1,0))</f>
        <v>0</v>
      </c>
      <c r="DH10" s="39" t="n">
        <f aca="false">IF(DH$4=0,0,IF(COUNTIFS(実績!$W$6:$W$505,DH$3,実績!$AI$6:$AI$505,"&lt;="&amp;$A10,実績!$AJ$6:$AJ$505,"&gt;"&amp;$A10,実績!$AL$6:$AL$505,"○")&gt;0,1,0))</f>
        <v>0</v>
      </c>
      <c r="DI10" s="39" t="n">
        <f aca="false">IF(DI$4=0,0,IF(COUNTIFS(実績!$W$6:$W$505,DI$3,実績!$AI$6:$AI$505,"&lt;="&amp;$A10,実績!$AJ$6:$AJ$505,"&gt;"&amp;$A10,実績!$AL$6:$AL$505,"○")&gt;0,1,0))</f>
        <v>0</v>
      </c>
      <c r="DJ10" s="39" t="n">
        <f aca="false">IF(DJ$4=0,0,IF(COUNTIFS(実績!$W$6:$W$505,DJ$3,実績!$AI$6:$AI$505,"&lt;="&amp;$A10,実績!$AJ$6:$AJ$505,"&gt;"&amp;$A10,実績!$AL$6:$AL$505,"○")&gt;0,1,0))</f>
        <v>0</v>
      </c>
      <c r="DK10" s="39" t="n">
        <f aca="false">IF(DK$4=0,0,IF(COUNTIFS(実績!$W$6:$W$505,DK$3,実績!$AI$6:$AI$505,"&lt;="&amp;$A10,実績!$AJ$6:$AJ$505,"&gt;"&amp;$A10,実績!$AL$6:$AL$505,"○")&gt;0,1,0))</f>
        <v>0</v>
      </c>
      <c r="DL10" s="39" t="n">
        <f aca="false">IF(DL$4=0,0,IF(COUNTIFS(実績!$W$6:$W$505,DL$3,実績!$AI$6:$AI$505,"&lt;="&amp;$A10,実績!$AJ$6:$AJ$505,"&gt;"&amp;$A10,実績!$AL$6:$AL$505,"○")&gt;0,1,0))</f>
        <v>0</v>
      </c>
      <c r="DM10" s="39" t="n">
        <f aca="false">IF(DM$4=0,0,IF(COUNTIFS(実績!$W$6:$W$505,DM$3,実績!$AI$6:$AI$505,"&lt;="&amp;$A10,実績!$AJ$6:$AJ$505,"&gt;"&amp;$A10,実績!$AL$6:$AL$505,"○")&gt;0,1,0))</f>
        <v>0</v>
      </c>
      <c r="DN10" s="39" t="n">
        <f aca="false">IF(DN$4=0,0,IF(COUNTIFS(実績!$W$6:$W$505,DN$3,実績!$AI$6:$AI$505,"&lt;="&amp;$A10,実績!$AJ$6:$AJ$505,"&gt;"&amp;$A10,実績!$AL$6:$AL$505,"○")&gt;0,1,0))</f>
        <v>0</v>
      </c>
      <c r="DO10" s="39" t="n">
        <f aca="false">IF(DO$4=0,0,IF(COUNTIFS(実績!$W$6:$W$505,DO$3,実績!$AI$6:$AI$505,"&lt;="&amp;$A10,実績!$AJ$6:$AJ$505,"&gt;"&amp;$A10,実績!$AL$6:$AL$505,"○")&gt;0,1,0))</f>
        <v>0</v>
      </c>
      <c r="DP10" s="39" t="n">
        <f aca="false">IF(DP$4=0,0,IF(COUNTIFS(実績!$W$6:$W$505,DP$3,実績!$AI$6:$AI$505,"&lt;="&amp;$A10,実績!$AJ$6:$AJ$505,"&gt;"&amp;$A10,実績!$AL$6:$AL$505,"○")&gt;0,1,0))</f>
        <v>0</v>
      </c>
      <c r="DQ10" s="39" t="n">
        <f aca="false">IF(DQ$4=0,0,IF(COUNTIFS(実績!$W$6:$W$505,DQ$3,実績!$AI$6:$AI$505,"&lt;="&amp;$A10,実績!$AJ$6:$AJ$505,"&gt;"&amp;$A10,実績!$AL$6:$AL$505,"○")&gt;0,1,0))</f>
        <v>0</v>
      </c>
      <c r="DR10" s="39" t="n">
        <f aca="false">IF(DR$4=0,0,IF(COUNTIFS(実績!$W$6:$W$505,DR$3,実績!$AI$6:$AI$505,"&lt;="&amp;$A10,実績!$AJ$6:$AJ$505,"&gt;"&amp;$A10,実績!$AL$6:$AL$505,"○")&gt;0,1,0))</f>
        <v>0</v>
      </c>
      <c r="DS10" s="39" t="n">
        <f aca="false">SUM(C10:DR10)</f>
        <v>0</v>
      </c>
    </row>
    <row r="11" customFormat="false" ht="15" hidden="false" customHeight="false" outlineLevel="0" collapsed="false">
      <c r="A11" s="0" t="n">
        <v>25</v>
      </c>
      <c r="B11" s="38" t="n">
        <f aca="false">A11/1440</f>
        <v>0.0173611111111111</v>
      </c>
      <c r="C11" s="39" t="n">
        <f aca="false">IF(C$4=0,0,IF(COUNTIFS(実績!$W$6:$W$505,C$3,実績!$AI$6:$AI$505,"&lt;="&amp;$A11,実績!$AJ$6:$AJ$505,"&gt;"&amp;$A11,実績!$AL$6:$AL$505,"○")&gt;0,1,0))</f>
        <v>0</v>
      </c>
      <c r="D11" s="39" t="n">
        <f aca="false">IF(D$4=0,0,IF(COUNTIFS(実績!$W$6:$W$505,D$3,実績!$AI$6:$AI$505,"&lt;="&amp;$A11,実績!$AJ$6:$AJ$505,"&gt;"&amp;$A11,実績!$AL$6:$AL$505,"○")&gt;0,1,0))</f>
        <v>0</v>
      </c>
      <c r="E11" s="39" t="n">
        <f aca="false">IF(E$4=0,0,IF(COUNTIFS(実績!$W$6:$W$505,E$3,実績!$AI$6:$AI$505,"&lt;="&amp;$A11,実績!$AJ$6:$AJ$505,"&gt;"&amp;$A11,実績!$AL$6:$AL$505,"○")&gt;0,1,0))</f>
        <v>0</v>
      </c>
      <c r="F11" s="39" t="n">
        <f aca="false">IF(F$4=0,0,IF(COUNTIFS(実績!$W$6:$W$505,F$3,実績!$AI$6:$AI$505,"&lt;="&amp;$A11,実績!$AJ$6:$AJ$505,"&gt;"&amp;$A11,実績!$AL$6:$AL$505,"○")&gt;0,1,0))</f>
        <v>0</v>
      </c>
      <c r="G11" s="39" t="n">
        <f aca="false">IF(G$4=0,0,IF(COUNTIFS(実績!$W$6:$W$505,G$3,実績!$AI$6:$AI$505,"&lt;="&amp;$A11,実績!$AJ$6:$AJ$505,"&gt;"&amp;$A11,実績!$AL$6:$AL$505,"○")&gt;0,1,0))</f>
        <v>0</v>
      </c>
      <c r="H11" s="39" t="n">
        <f aca="false">IF(H$4=0,0,IF(COUNTIFS(実績!$W$6:$W$505,H$3,実績!$AI$6:$AI$505,"&lt;="&amp;$A11,実績!$AJ$6:$AJ$505,"&gt;"&amp;$A11,実績!$AL$6:$AL$505,"○")&gt;0,1,0))</f>
        <v>0</v>
      </c>
      <c r="I11" s="39" t="n">
        <f aca="false">IF(I$4=0,0,IF(COUNTIFS(実績!$W$6:$W$505,I$3,実績!$AI$6:$AI$505,"&lt;="&amp;$A11,実績!$AJ$6:$AJ$505,"&gt;"&amp;$A11,実績!$AL$6:$AL$505,"○")&gt;0,1,0))</f>
        <v>0</v>
      </c>
      <c r="J11" s="39" t="n">
        <f aca="false">IF(J$4=0,0,IF(COUNTIFS(実績!$W$6:$W$505,J$3,実績!$AI$6:$AI$505,"&lt;="&amp;$A11,実績!$AJ$6:$AJ$505,"&gt;"&amp;$A11,実績!$AL$6:$AL$505,"○")&gt;0,1,0))</f>
        <v>0</v>
      </c>
      <c r="K11" s="39" t="n">
        <f aca="false">IF(K$4=0,0,IF(COUNTIFS(実績!$W$6:$W$505,K$3,実績!$AI$6:$AI$505,"&lt;="&amp;$A11,実績!$AJ$6:$AJ$505,"&gt;"&amp;$A11,実績!$AL$6:$AL$505,"○")&gt;0,1,0))</f>
        <v>0</v>
      </c>
      <c r="L11" s="39" t="n">
        <f aca="false">IF(L$4=0,0,IF(COUNTIFS(実績!$W$6:$W$505,L$3,実績!$AI$6:$AI$505,"&lt;="&amp;$A11,実績!$AJ$6:$AJ$505,"&gt;"&amp;$A11,実績!$AL$6:$AL$505,"○")&gt;0,1,0))</f>
        <v>0</v>
      </c>
      <c r="M11" s="39" t="n">
        <f aca="false">IF(M$4=0,0,IF(COUNTIFS(実績!$W$6:$W$505,M$3,実績!$AI$6:$AI$505,"&lt;="&amp;$A11,実績!$AJ$6:$AJ$505,"&gt;"&amp;$A11,実績!$AL$6:$AL$505,"○")&gt;0,1,0))</f>
        <v>0</v>
      </c>
      <c r="N11" s="39" t="n">
        <f aca="false">IF(N$4=0,0,IF(COUNTIFS(実績!$W$6:$W$505,N$3,実績!$AI$6:$AI$505,"&lt;="&amp;$A11,実績!$AJ$6:$AJ$505,"&gt;"&amp;$A11,実績!$AL$6:$AL$505,"○")&gt;0,1,0))</f>
        <v>0</v>
      </c>
      <c r="O11" s="39" t="n">
        <f aca="false">IF(O$4=0,0,IF(COUNTIFS(実績!$W$6:$W$505,O$3,実績!$AI$6:$AI$505,"&lt;="&amp;$A11,実績!$AJ$6:$AJ$505,"&gt;"&amp;$A11,実績!$AL$6:$AL$505,"○")&gt;0,1,0))</f>
        <v>0</v>
      </c>
      <c r="P11" s="39" t="n">
        <f aca="false">IF(P$4=0,0,IF(COUNTIFS(実績!$W$6:$W$505,P$3,実績!$AI$6:$AI$505,"&lt;="&amp;$A11,実績!$AJ$6:$AJ$505,"&gt;"&amp;$A11,実績!$AL$6:$AL$505,"○")&gt;0,1,0))</f>
        <v>0</v>
      </c>
      <c r="Q11" s="39" t="n">
        <f aca="false">IF(Q$4=0,0,IF(COUNTIFS(実績!$W$6:$W$505,Q$3,実績!$AI$6:$AI$505,"&lt;="&amp;$A11,実績!$AJ$6:$AJ$505,"&gt;"&amp;$A11,実績!$AL$6:$AL$505,"○")&gt;0,1,0))</f>
        <v>0</v>
      </c>
      <c r="R11" s="39" t="n">
        <f aca="false">IF(R$4=0,0,IF(COUNTIFS(実績!$W$6:$W$505,R$3,実績!$AI$6:$AI$505,"&lt;="&amp;$A11,実績!$AJ$6:$AJ$505,"&gt;"&amp;$A11,実績!$AL$6:$AL$505,"○")&gt;0,1,0))</f>
        <v>0</v>
      </c>
      <c r="S11" s="39" t="n">
        <f aca="false">IF(S$4=0,0,IF(COUNTIFS(実績!$W$6:$W$505,S$3,実績!$AI$6:$AI$505,"&lt;="&amp;$A11,実績!$AJ$6:$AJ$505,"&gt;"&amp;$A11,実績!$AL$6:$AL$505,"○")&gt;0,1,0))</f>
        <v>0</v>
      </c>
      <c r="T11" s="39" t="n">
        <f aca="false">IF(T$4=0,0,IF(COUNTIFS(実績!$W$6:$W$505,T$3,実績!$AI$6:$AI$505,"&lt;="&amp;$A11,実績!$AJ$6:$AJ$505,"&gt;"&amp;$A11,実績!$AL$6:$AL$505,"○")&gt;0,1,0))</f>
        <v>0</v>
      </c>
      <c r="U11" s="39" t="n">
        <f aca="false">IF(U$4=0,0,IF(COUNTIFS(実績!$W$6:$W$505,U$3,実績!$AI$6:$AI$505,"&lt;="&amp;$A11,実績!$AJ$6:$AJ$505,"&gt;"&amp;$A11,実績!$AL$6:$AL$505,"○")&gt;0,1,0))</f>
        <v>0</v>
      </c>
      <c r="V11" s="39" t="n">
        <f aca="false">IF(V$4=0,0,IF(COUNTIFS(実績!$W$6:$W$505,V$3,実績!$AI$6:$AI$505,"&lt;="&amp;$A11,実績!$AJ$6:$AJ$505,"&gt;"&amp;$A11,実績!$AL$6:$AL$505,"○")&gt;0,1,0))</f>
        <v>0</v>
      </c>
      <c r="W11" s="39" t="n">
        <f aca="false">IF(W$4=0,0,IF(COUNTIFS(実績!$W$6:$W$505,W$3,実績!$AI$6:$AI$505,"&lt;="&amp;$A11,実績!$AJ$6:$AJ$505,"&gt;"&amp;$A11,実績!$AL$6:$AL$505,"○")&gt;0,1,0))</f>
        <v>0</v>
      </c>
      <c r="X11" s="39" t="n">
        <f aca="false">IF(X$4=0,0,IF(COUNTIFS(実績!$W$6:$W$505,X$3,実績!$AI$6:$AI$505,"&lt;="&amp;$A11,実績!$AJ$6:$AJ$505,"&gt;"&amp;$A11,実績!$AL$6:$AL$505,"○")&gt;0,1,0))</f>
        <v>0</v>
      </c>
      <c r="Y11" s="39" t="n">
        <f aca="false">IF(Y$4=0,0,IF(COUNTIFS(実績!$W$6:$W$505,Y$3,実績!$AI$6:$AI$505,"&lt;="&amp;$A11,実績!$AJ$6:$AJ$505,"&gt;"&amp;$A11,実績!$AL$6:$AL$505,"○")&gt;0,1,0))</f>
        <v>0</v>
      </c>
      <c r="Z11" s="39" t="n">
        <f aca="false">IF(Z$4=0,0,IF(COUNTIFS(実績!$W$6:$W$505,Z$3,実績!$AI$6:$AI$505,"&lt;="&amp;$A11,実績!$AJ$6:$AJ$505,"&gt;"&amp;$A11,実績!$AL$6:$AL$505,"○")&gt;0,1,0))</f>
        <v>0</v>
      </c>
      <c r="AA11" s="39" t="n">
        <f aca="false">IF(AA$4=0,0,IF(COUNTIFS(実績!$W$6:$W$505,AA$3,実績!$AI$6:$AI$505,"&lt;="&amp;$A11,実績!$AJ$6:$AJ$505,"&gt;"&amp;$A11,実績!$AL$6:$AL$505,"○")&gt;0,1,0))</f>
        <v>0</v>
      </c>
      <c r="AB11" s="39" t="n">
        <f aca="false">IF(AB$4=0,0,IF(COUNTIFS(実績!$W$6:$W$505,AB$3,実績!$AI$6:$AI$505,"&lt;="&amp;$A11,実績!$AJ$6:$AJ$505,"&gt;"&amp;$A11,実績!$AL$6:$AL$505,"○")&gt;0,1,0))</f>
        <v>0</v>
      </c>
      <c r="AC11" s="39" t="n">
        <f aca="false">IF(AC$4=0,0,IF(COUNTIFS(実績!$W$6:$W$505,AC$3,実績!$AI$6:$AI$505,"&lt;="&amp;$A11,実績!$AJ$6:$AJ$505,"&gt;"&amp;$A11,実績!$AL$6:$AL$505,"○")&gt;0,1,0))</f>
        <v>0</v>
      </c>
      <c r="AD11" s="39" t="n">
        <f aca="false">IF(AD$4=0,0,IF(COUNTIFS(実績!$W$6:$W$505,AD$3,実績!$AI$6:$AI$505,"&lt;="&amp;$A11,実績!$AJ$6:$AJ$505,"&gt;"&amp;$A11,実績!$AL$6:$AL$505,"○")&gt;0,1,0))</f>
        <v>0</v>
      </c>
      <c r="AE11" s="39" t="n">
        <f aca="false">IF(AE$4=0,0,IF(COUNTIFS(実績!$W$6:$W$505,AE$3,実績!$AI$6:$AI$505,"&lt;="&amp;$A11,実績!$AJ$6:$AJ$505,"&gt;"&amp;$A11,実績!$AL$6:$AL$505,"○")&gt;0,1,0))</f>
        <v>0</v>
      </c>
      <c r="AF11" s="39" t="n">
        <f aca="false">IF(AF$4=0,0,IF(COUNTIFS(実績!$W$6:$W$505,AF$3,実績!$AI$6:$AI$505,"&lt;="&amp;$A11,実績!$AJ$6:$AJ$505,"&gt;"&amp;$A11,実績!$AL$6:$AL$505,"○")&gt;0,1,0))</f>
        <v>0</v>
      </c>
      <c r="AG11" s="39" t="n">
        <f aca="false">IF(AG$4=0,0,IF(COUNTIFS(実績!$W$6:$W$505,AG$3,実績!$AI$6:$AI$505,"&lt;="&amp;$A11,実績!$AJ$6:$AJ$505,"&gt;"&amp;$A11,実績!$AL$6:$AL$505,"○")&gt;0,1,0))</f>
        <v>0</v>
      </c>
      <c r="AH11" s="39" t="n">
        <f aca="false">IF(AH$4=0,0,IF(COUNTIFS(実績!$W$6:$W$505,AH$3,実績!$AI$6:$AI$505,"&lt;="&amp;$A11,実績!$AJ$6:$AJ$505,"&gt;"&amp;$A11,実績!$AL$6:$AL$505,"○")&gt;0,1,0))</f>
        <v>0</v>
      </c>
      <c r="AI11" s="39" t="n">
        <f aca="false">IF(AI$4=0,0,IF(COUNTIFS(実績!$W$6:$W$505,AI$3,実績!$AI$6:$AI$505,"&lt;="&amp;$A11,実績!$AJ$6:$AJ$505,"&gt;"&amp;$A11,実績!$AL$6:$AL$505,"○")&gt;0,1,0))</f>
        <v>0</v>
      </c>
      <c r="AJ11" s="39" t="n">
        <f aca="false">IF(AJ$4=0,0,IF(COUNTIFS(実績!$W$6:$W$505,AJ$3,実績!$AI$6:$AI$505,"&lt;="&amp;$A11,実績!$AJ$6:$AJ$505,"&gt;"&amp;$A11,実績!$AL$6:$AL$505,"○")&gt;0,1,0))</f>
        <v>0</v>
      </c>
      <c r="AK11" s="39" t="n">
        <f aca="false">IF(AK$4=0,0,IF(COUNTIFS(実績!$W$6:$W$505,AK$3,実績!$AI$6:$AI$505,"&lt;="&amp;$A11,実績!$AJ$6:$AJ$505,"&gt;"&amp;$A11,実績!$AL$6:$AL$505,"○")&gt;0,1,0))</f>
        <v>0</v>
      </c>
      <c r="AL11" s="39" t="n">
        <f aca="false">IF(AL$4=0,0,IF(COUNTIFS(実績!$W$6:$W$505,AL$3,実績!$AI$6:$AI$505,"&lt;="&amp;$A11,実績!$AJ$6:$AJ$505,"&gt;"&amp;$A11,実績!$AL$6:$AL$505,"○")&gt;0,1,0))</f>
        <v>0</v>
      </c>
      <c r="AM11" s="39" t="n">
        <f aca="false">IF(AM$4=0,0,IF(COUNTIFS(実績!$W$6:$W$505,AM$3,実績!$AI$6:$AI$505,"&lt;="&amp;$A11,実績!$AJ$6:$AJ$505,"&gt;"&amp;$A11,実績!$AL$6:$AL$505,"○")&gt;0,1,0))</f>
        <v>0</v>
      </c>
      <c r="AN11" s="39" t="n">
        <f aca="false">IF(AN$4=0,0,IF(COUNTIFS(実績!$W$6:$W$505,AN$3,実績!$AI$6:$AI$505,"&lt;="&amp;$A11,実績!$AJ$6:$AJ$505,"&gt;"&amp;$A11,実績!$AL$6:$AL$505,"○")&gt;0,1,0))</f>
        <v>0</v>
      </c>
      <c r="AO11" s="39" t="n">
        <f aca="false">IF(AO$4=0,0,IF(COUNTIFS(実績!$W$6:$W$505,AO$3,実績!$AI$6:$AI$505,"&lt;="&amp;$A11,実績!$AJ$6:$AJ$505,"&gt;"&amp;$A11,実績!$AL$6:$AL$505,"○")&gt;0,1,0))</f>
        <v>0</v>
      </c>
      <c r="AP11" s="39" t="n">
        <f aca="false">IF(AP$4=0,0,IF(COUNTIFS(実績!$W$6:$W$505,AP$3,実績!$AI$6:$AI$505,"&lt;="&amp;$A11,実績!$AJ$6:$AJ$505,"&gt;"&amp;$A11,実績!$AL$6:$AL$505,"○")&gt;0,1,0))</f>
        <v>0</v>
      </c>
      <c r="AQ11" s="39" t="n">
        <f aca="false">IF(AQ$4=0,0,IF(COUNTIFS(実績!$W$6:$W$505,AQ$3,実績!$AI$6:$AI$505,"&lt;="&amp;$A11,実績!$AJ$6:$AJ$505,"&gt;"&amp;$A11,実績!$AL$6:$AL$505,"○")&gt;0,1,0))</f>
        <v>0</v>
      </c>
      <c r="AR11" s="39" t="n">
        <f aca="false">IF(AR$4=0,0,IF(COUNTIFS(実績!$W$6:$W$505,AR$3,実績!$AI$6:$AI$505,"&lt;="&amp;$A11,実績!$AJ$6:$AJ$505,"&gt;"&amp;$A11,実績!$AL$6:$AL$505,"○")&gt;0,1,0))</f>
        <v>0</v>
      </c>
      <c r="AS11" s="39" t="n">
        <f aca="false">IF(AS$4=0,0,IF(COUNTIFS(実績!$W$6:$W$505,AS$3,実績!$AI$6:$AI$505,"&lt;="&amp;$A11,実績!$AJ$6:$AJ$505,"&gt;"&amp;$A11,実績!$AL$6:$AL$505,"○")&gt;0,1,0))</f>
        <v>0</v>
      </c>
      <c r="AT11" s="39" t="n">
        <f aca="false">IF(AT$4=0,0,IF(COUNTIFS(実績!$W$6:$W$505,AT$3,実績!$AI$6:$AI$505,"&lt;="&amp;$A11,実績!$AJ$6:$AJ$505,"&gt;"&amp;$A11,実績!$AL$6:$AL$505,"○")&gt;0,1,0))</f>
        <v>0</v>
      </c>
      <c r="AU11" s="39" t="n">
        <f aca="false">IF(AU$4=0,0,IF(COUNTIFS(実績!$W$6:$W$505,AU$3,実績!$AI$6:$AI$505,"&lt;="&amp;$A11,実績!$AJ$6:$AJ$505,"&gt;"&amp;$A11,実績!$AL$6:$AL$505,"○")&gt;0,1,0))</f>
        <v>0</v>
      </c>
      <c r="AV11" s="39" t="n">
        <f aca="false">IF(AV$4=0,0,IF(COUNTIFS(実績!$W$6:$W$505,AV$3,実績!$AI$6:$AI$505,"&lt;="&amp;$A11,実績!$AJ$6:$AJ$505,"&gt;"&amp;$A11,実績!$AL$6:$AL$505,"○")&gt;0,1,0))</f>
        <v>0</v>
      </c>
      <c r="AW11" s="39" t="n">
        <f aca="false">IF(AW$4=0,0,IF(COUNTIFS(実績!$W$6:$W$505,AW$3,実績!$AI$6:$AI$505,"&lt;="&amp;$A11,実績!$AJ$6:$AJ$505,"&gt;"&amp;$A11,実績!$AL$6:$AL$505,"○")&gt;0,1,0))</f>
        <v>0</v>
      </c>
      <c r="AX11" s="39" t="n">
        <f aca="false">IF(AX$4=0,0,IF(COUNTIFS(実績!$W$6:$W$505,AX$3,実績!$AI$6:$AI$505,"&lt;="&amp;$A11,実績!$AJ$6:$AJ$505,"&gt;"&amp;$A11,実績!$AL$6:$AL$505,"○")&gt;0,1,0))</f>
        <v>0</v>
      </c>
      <c r="AY11" s="39" t="n">
        <f aca="false">IF(AY$4=0,0,IF(COUNTIFS(実績!$W$6:$W$505,AY$3,実績!$AI$6:$AI$505,"&lt;="&amp;$A11,実績!$AJ$6:$AJ$505,"&gt;"&amp;$A11,実績!$AL$6:$AL$505,"○")&gt;0,1,0))</f>
        <v>0</v>
      </c>
      <c r="AZ11" s="39" t="n">
        <f aca="false">IF(AZ$4=0,0,IF(COUNTIFS(実績!$W$6:$W$505,AZ$3,実績!$AI$6:$AI$505,"&lt;="&amp;$A11,実績!$AJ$6:$AJ$505,"&gt;"&amp;$A11,実績!$AL$6:$AL$505,"○")&gt;0,1,0))</f>
        <v>0</v>
      </c>
      <c r="BA11" s="39" t="n">
        <f aca="false">IF(BA$4=0,0,IF(COUNTIFS(実績!$W$6:$W$505,BA$3,実績!$AI$6:$AI$505,"&lt;="&amp;$A11,実績!$AJ$6:$AJ$505,"&gt;"&amp;$A11,実績!$AL$6:$AL$505,"○")&gt;0,1,0))</f>
        <v>0</v>
      </c>
      <c r="BB11" s="39" t="n">
        <f aca="false">IF(BB$4=0,0,IF(COUNTIFS(実績!$W$6:$W$505,BB$3,実績!$AI$6:$AI$505,"&lt;="&amp;$A11,実績!$AJ$6:$AJ$505,"&gt;"&amp;$A11,実績!$AL$6:$AL$505,"○")&gt;0,1,0))</f>
        <v>0</v>
      </c>
      <c r="BC11" s="39" t="n">
        <f aca="false">IF(BC$4=0,0,IF(COUNTIFS(実績!$W$6:$W$505,BC$3,実績!$AI$6:$AI$505,"&lt;="&amp;$A11,実績!$AJ$6:$AJ$505,"&gt;"&amp;$A11,実績!$AL$6:$AL$505,"○")&gt;0,1,0))</f>
        <v>0</v>
      </c>
      <c r="BD11" s="39" t="n">
        <f aca="false">IF(BD$4=0,0,IF(COUNTIFS(実績!$W$6:$W$505,BD$3,実績!$AI$6:$AI$505,"&lt;="&amp;$A11,実績!$AJ$6:$AJ$505,"&gt;"&amp;$A11,実績!$AL$6:$AL$505,"○")&gt;0,1,0))</f>
        <v>0</v>
      </c>
      <c r="BE11" s="39" t="n">
        <f aca="false">IF(BE$4=0,0,IF(COUNTIFS(実績!$W$6:$W$505,BE$3,実績!$AI$6:$AI$505,"&lt;="&amp;$A11,実績!$AJ$6:$AJ$505,"&gt;"&amp;$A11,実績!$AL$6:$AL$505,"○")&gt;0,1,0))</f>
        <v>0</v>
      </c>
      <c r="BF11" s="39" t="n">
        <f aca="false">IF(BF$4=0,0,IF(COUNTIFS(実績!$W$6:$W$505,BF$3,実績!$AI$6:$AI$505,"&lt;="&amp;$A11,実績!$AJ$6:$AJ$505,"&gt;"&amp;$A11,実績!$AL$6:$AL$505,"○")&gt;0,1,0))</f>
        <v>0</v>
      </c>
      <c r="BG11" s="39" t="n">
        <f aca="false">IF(BG$4=0,0,IF(COUNTIFS(実績!$W$6:$W$505,BG$3,実績!$AI$6:$AI$505,"&lt;="&amp;$A11,実績!$AJ$6:$AJ$505,"&gt;"&amp;$A11,実績!$AL$6:$AL$505,"○")&gt;0,1,0))</f>
        <v>0</v>
      </c>
      <c r="BH11" s="39" t="n">
        <f aca="false">IF(BH$4=0,0,IF(COUNTIFS(実績!$W$6:$W$505,BH$3,実績!$AI$6:$AI$505,"&lt;="&amp;$A11,実績!$AJ$6:$AJ$505,"&gt;"&amp;$A11,実績!$AL$6:$AL$505,"○")&gt;0,1,0))</f>
        <v>0</v>
      </c>
      <c r="BI11" s="39" t="n">
        <f aca="false">IF(BI$4=0,0,IF(COUNTIFS(実績!$W$6:$W$505,BI$3,実績!$AI$6:$AI$505,"&lt;="&amp;$A11,実績!$AJ$6:$AJ$505,"&gt;"&amp;$A11,実績!$AL$6:$AL$505,"○")&gt;0,1,0))</f>
        <v>0</v>
      </c>
      <c r="BJ11" s="39" t="n">
        <f aca="false">IF(BJ$4=0,0,IF(COUNTIFS(実績!$W$6:$W$505,BJ$3,実績!$AI$6:$AI$505,"&lt;="&amp;$A11,実績!$AJ$6:$AJ$505,"&gt;"&amp;$A11,実績!$AL$6:$AL$505,"○")&gt;0,1,0))</f>
        <v>0</v>
      </c>
      <c r="BK11" s="39" t="n">
        <f aca="false">IF(BK$4=0,0,IF(COUNTIFS(実績!$W$6:$W$505,BK$3,実績!$AI$6:$AI$505,"&lt;="&amp;$A11,実績!$AJ$6:$AJ$505,"&gt;"&amp;$A11,実績!$AL$6:$AL$505,"○")&gt;0,1,0))</f>
        <v>0</v>
      </c>
      <c r="BL11" s="39" t="n">
        <f aca="false">IF(BL$4=0,0,IF(COUNTIFS(実績!$W$6:$W$505,BL$3,実績!$AI$6:$AI$505,"&lt;="&amp;$A11,実績!$AJ$6:$AJ$505,"&gt;"&amp;$A11,実績!$AL$6:$AL$505,"○")&gt;0,1,0))</f>
        <v>0</v>
      </c>
      <c r="BM11" s="39" t="n">
        <f aca="false">IF(BM$4=0,0,IF(COUNTIFS(実績!$W$6:$W$505,BM$3,実績!$AI$6:$AI$505,"&lt;="&amp;$A11,実績!$AJ$6:$AJ$505,"&gt;"&amp;$A11,実績!$AL$6:$AL$505,"○")&gt;0,1,0))</f>
        <v>0</v>
      </c>
      <c r="BN11" s="39" t="n">
        <f aca="false">IF(BN$4=0,0,IF(COUNTIFS(実績!$W$6:$W$505,BN$3,実績!$AI$6:$AI$505,"&lt;="&amp;$A11,実績!$AJ$6:$AJ$505,"&gt;"&amp;$A11,実績!$AL$6:$AL$505,"○")&gt;0,1,0))</f>
        <v>0</v>
      </c>
      <c r="BO11" s="39" t="n">
        <f aca="false">IF(BO$4=0,0,IF(COUNTIFS(実績!$W$6:$W$505,BO$3,実績!$AI$6:$AI$505,"&lt;="&amp;$A11,実績!$AJ$6:$AJ$505,"&gt;"&amp;$A11,実績!$AL$6:$AL$505,"○")&gt;0,1,0))</f>
        <v>0</v>
      </c>
      <c r="BP11" s="39" t="n">
        <f aca="false">IF(BP$4=0,0,IF(COUNTIFS(実績!$W$6:$W$505,BP$3,実績!$AI$6:$AI$505,"&lt;="&amp;$A11,実績!$AJ$6:$AJ$505,"&gt;"&amp;$A11,実績!$AL$6:$AL$505,"○")&gt;0,1,0))</f>
        <v>0</v>
      </c>
      <c r="BQ11" s="39" t="n">
        <f aca="false">IF(BQ$4=0,0,IF(COUNTIFS(実績!$W$6:$W$505,BQ$3,実績!$AI$6:$AI$505,"&lt;="&amp;$A11,実績!$AJ$6:$AJ$505,"&gt;"&amp;$A11,実績!$AL$6:$AL$505,"○")&gt;0,1,0))</f>
        <v>0</v>
      </c>
      <c r="BR11" s="39" t="n">
        <f aca="false">IF(BR$4=0,0,IF(COUNTIFS(実績!$W$6:$W$505,BR$3,実績!$AI$6:$AI$505,"&lt;="&amp;$A11,実績!$AJ$6:$AJ$505,"&gt;"&amp;$A11,実績!$AL$6:$AL$505,"○")&gt;0,1,0))</f>
        <v>0</v>
      </c>
      <c r="BS11" s="39" t="n">
        <f aca="false">IF(BS$4=0,0,IF(COUNTIFS(実績!$W$6:$W$505,BS$3,実績!$AI$6:$AI$505,"&lt;="&amp;$A11,実績!$AJ$6:$AJ$505,"&gt;"&amp;$A11,実績!$AL$6:$AL$505,"○")&gt;0,1,0))</f>
        <v>0</v>
      </c>
      <c r="BT11" s="39" t="n">
        <f aca="false">IF(BT$4=0,0,IF(COUNTIFS(実績!$W$6:$W$505,BT$3,実績!$AI$6:$AI$505,"&lt;="&amp;$A11,実績!$AJ$6:$AJ$505,"&gt;"&amp;$A11,実績!$AL$6:$AL$505,"○")&gt;0,1,0))</f>
        <v>0</v>
      </c>
      <c r="BU11" s="39" t="n">
        <f aca="false">IF(BU$4=0,0,IF(COUNTIFS(実績!$W$6:$W$505,BU$3,実績!$AI$6:$AI$505,"&lt;="&amp;$A11,実績!$AJ$6:$AJ$505,"&gt;"&amp;$A11,実績!$AL$6:$AL$505,"○")&gt;0,1,0))</f>
        <v>0</v>
      </c>
      <c r="BV11" s="39" t="n">
        <f aca="false">IF(BV$4=0,0,IF(COUNTIFS(実績!$W$6:$W$505,BV$3,実績!$AI$6:$AI$505,"&lt;="&amp;$A11,実績!$AJ$6:$AJ$505,"&gt;"&amp;$A11,実績!$AL$6:$AL$505,"○")&gt;0,1,0))</f>
        <v>0</v>
      </c>
      <c r="BW11" s="39" t="n">
        <f aca="false">IF(BW$4=0,0,IF(COUNTIFS(実績!$W$6:$W$505,BW$3,実績!$AI$6:$AI$505,"&lt;="&amp;$A11,実績!$AJ$6:$AJ$505,"&gt;"&amp;$A11,実績!$AL$6:$AL$505,"○")&gt;0,1,0))</f>
        <v>0</v>
      </c>
      <c r="BX11" s="39" t="n">
        <f aca="false">IF(BX$4=0,0,IF(COUNTIFS(実績!$W$6:$W$505,BX$3,実績!$AI$6:$AI$505,"&lt;="&amp;$A11,実績!$AJ$6:$AJ$505,"&gt;"&amp;$A11,実績!$AL$6:$AL$505,"○")&gt;0,1,0))</f>
        <v>0</v>
      </c>
      <c r="BY11" s="39" t="n">
        <f aca="false">IF(BY$4=0,0,IF(COUNTIFS(実績!$W$6:$W$505,BY$3,実績!$AI$6:$AI$505,"&lt;="&amp;$A11,実績!$AJ$6:$AJ$505,"&gt;"&amp;$A11,実績!$AL$6:$AL$505,"○")&gt;0,1,0))</f>
        <v>0</v>
      </c>
      <c r="BZ11" s="39" t="n">
        <f aca="false">IF(BZ$4=0,0,IF(COUNTIFS(実績!$W$6:$W$505,BZ$3,実績!$AI$6:$AI$505,"&lt;="&amp;$A11,実績!$AJ$6:$AJ$505,"&gt;"&amp;$A11,実績!$AL$6:$AL$505,"○")&gt;0,1,0))</f>
        <v>0</v>
      </c>
      <c r="CA11" s="39" t="n">
        <f aca="false">IF(CA$4=0,0,IF(COUNTIFS(実績!$W$6:$W$505,CA$3,実績!$AI$6:$AI$505,"&lt;="&amp;$A11,実績!$AJ$6:$AJ$505,"&gt;"&amp;$A11,実績!$AL$6:$AL$505,"○")&gt;0,1,0))</f>
        <v>0</v>
      </c>
      <c r="CB11" s="39" t="n">
        <f aca="false">IF(CB$4=0,0,IF(COUNTIFS(実績!$W$6:$W$505,CB$3,実績!$AI$6:$AI$505,"&lt;="&amp;$A11,実績!$AJ$6:$AJ$505,"&gt;"&amp;$A11,実績!$AL$6:$AL$505,"○")&gt;0,1,0))</f>
        <v>0</v>
      </c>
      <c r="CC11" s="39" t="n">
        <f aca="false">IF(CC$4=0,0,IF(COUNTIFS(実績!$W$6:$W$505,CC$3,実績!$AI$6:$AI$505,"&lt;="&amp;$A11,実績!$AJ$6:$AJ$505,"&gt;"&amp;$A11,実績!$AL$6:$AL$505,"○")&gt;0,1,0))</f>
        <v>0</v>
      </c>
      <c r="CD11" s="39" t="n">
        <f aca="false">IF(CD$4=0,0,IF(COUNTIFS(実績!$W$6:$W$505,CD$3,実績!$AI$6:$AI$505,"&lt;="&amp;$A11,実績!$AJ$6:$AJ$505,"&gt;"&amp;$A11,実績!$AL$6:$AL$505,"○")&gt;0,1,0))</f>
        <v>0</v>
      </c>
      <c r="CE11" s="39" t="n">
        <f aca="false">IF(CE$4=0,0,IF(COUNTIFS(実績!$W$6:$W$505,CE$3,実績!$AI$6:$AI$505,"&lt;="&amp;$A11,実績!$AJ$6:$AJ$505,"&gt;"&amp;$A11,実績!$AL$6:$AL$505,"○")&gt;0,1,0))</f>
        <v>0</v>
      </c>
      <c r="CF11" s="39" t="n">
        <f aca="false">IF(CF$4=0,0,IF(COUNTIFS(実績!$W$6:$W$505,CF$3,実績!$AI$6:$AI$505,"&lt;="&amp;$A11,実績!$AJ$6:$AJ$505,"&gt;"&amp;$A11,実績!$AL$6:$AL$505,"○")&gt;0,1,0))</f>
        <v>0</v>
      </c>
      <c r="CG11" s="39" t="n">
        <f aca="false">IF(CG$4=0,0,IF(COUNTIFS(実績!$W$6:$W$505,CG$3,実績!$AI$6:$AI$505,"&lt;="&amp;$A11,実績!$AJ$6:$AJ$505,"&gt;"&amp;$A11,実績!$AL$6:$AL$505,"○")&gt;0,1,0))</f>
        <v>0</v>
      </c>
      <c r="CH11" s="39" t="n">
        <f aca="false">IF(CH$4=0,0,IF(COUNTIFS(実績!$W$6:$W$505,CH$3,実績!$AI$6:$AI$505,"&lt;="&amp;$A11,実績!$AJ$6:$AJ$505,"&gt;"&amp;$A11,実績!$AL$6:$AL$505,"○")&gt;0,1,0))</f>
        <v>0</v>
      </c>
      <c r="CI11" s="39" t="n">
        <f aca="false">IF(CI$4=0,0,IF(COUNTIFS(実績!$W$6:$W$505,CI$3,実績!$AI$6:$AI$505,"&lt;="&amp;$A11,実績!$AJ$6:$AJ$505,"&gt;"&amp;$A11,実績!$AL$6:$AL$505,"○")&gt;0,1,0))</f>
        <v>0</v>
      </c>
      <c r="CJ11" s="39" t="n">
        <f aca="false">IF(CJ$4=0,0,IF(COUNTIFS(実績!$W$6:$W$505,CJ$3,実績!$AI$6:$AI$505,"&lt;="&amp;$A11,実績!$AJ$6:$AJ$505,"&gt;"&amp;$A11,実績!$AL$6:$AL$505,"○")&gt;0,1,0))</f>
        <v>0</v>
      </c>
      <c r="CK11" s="39" t="n">
        <f aca="false">IF(CK$4=0,0,IF(COUNTIFS(実績!$W$6:$W$505,CK$3,実績!$AI$6:$AI$505,"&lt;="&amp;$A11,実績!$AJ$6:$AJ$505,"&gt;"&amp;$A11,実績!$AL$6:$AL$505,"○")&gt;0,1,0))</f>
        <v>0</v>
      </c>
      <c r="CL11" s="39" t="n">
        <f aca="false">IF(CL$4=0,0,IF(COUNTIFS(実績!$W$6:$W$505,CL$3,実績!$AI$6:$AI$505,"&lt;="&amp;$A11,実績!$AJ$6:$AJ$505,"&gt;"&amp;$A11,実績!$AL$6:$AL$505,"○")&gt;0,1,0))</f>
        <v>0</v>
      </c>
      <c r="CM11" s="39" t="n">
        <f aca="false">IF(CM$4=0,0,IF(COUNTIFS(実績!$W$6:$W$505,CM$3,実績!$AI$6:$AI$505,"&lt;="&amp;$A11,実績!$AJ$6:$AJ$505,"&gt;"&amp;$A11,実績!$AL$6:$AL$505,"○")&gt;0,1,0))</f>
        <v>0</v>
      </c>
      <c r="CN11" s="39" t="n">
        <f aca="false">IF(CN$4=0,0,IF(COUNTIFS(実績!$W$6:$W$505,CN$3,実績!$AI$6:$AI$505,"&lt;="&amp;$A11,実績!$AJ$6:$AJ$505,"&gt;"&amp;$A11,実績!$AL$6:$AL$505,"○")&gt;0,1,0))</f>
        <v>0</v>
      </c>
      <c r="CO11" s="39" t="n">
        <f aca="false">IF(CO$4=0,0,IF(COUNTIFS(実績!$W$6:$W$505,CO$3,実績!$AI$6:$AI$505,"&lt;="&amp;$A11,実績!$AJ$6:$AJ$505,"&gt;"&amp;$A11,実績!$AL$6:$AL$505,"○")&gt;0,1,0))</f>
        <v>0</v>
      </c>
      <c r="CP11" s="39" t="n">
        <f aca="false">IF(CP$4=0,0,IF(COUNTIFS(実績!$W$6:$W$505,CP$3,実績!$AI$6:$AI$505,"&lt;="&amp;$A11,実績!$AJ$6:$AJ$505,"&gt;"&amp;$A11,実績!$AL$6:$AL$505,"○")&gt;0,1,0))</f>
        <v>0</v>
      </c>
      <c r="CQ11" s="39" t="n">
        <f aca="false">IF(CQ$4=0,0,IF(COUNTIFS(実績!$W$6:$W$505,CQ$3,実績!$AI$6:$AI$505,"&lt;="&amp;$A11,実績!$AJ$6:$AJ$505,"&gt;"&amp;$A11,実績!$AL$6:$AL$505,"○")&gt;0,1,0))</f>
        <v>0</v>
      </c>
      <c r="CR11" s="39" t="n">
        <f aca="false">IF(CR$4=0,0,IF(COUNTIFS(実績!$W$6:$W$505,CR$3,実績!$AI$6:$AI$505,"&lt;="&amp;$A11,実績!$AJ$6:$AJ$505,"&gt;"&amp;$A11,実績!$AL$6:$AL$505,"○")&gt;0,1,0))</f>
        <v>0</v>
      </c>
      <c r="CS11" s="39" t="n">
        <f aca="false">IF(CS$4=0,0,IF(COUNTIFS(実績!$W$6:$W$505,CS$3,実績!$AI$6:$AI$505,"&lt;="&amp;$A11,実績!$AJ$6:$AJ$505,"&gt;"&amp;$A11,実績!$AL$6:$AL$505,"○")&gt;0,1,0))</f>
        <v>0</v>
      </c>
      <c r="CT11" s="39" t="n">
        <f aca="false">IF(CT$4=0,0,IF(COUNTIFS(実績!$W$6:$W$505,CT$3,実績!$AI$6:$AI$505,"&lt;="&amp;$A11,実績!$AJ$6:$AJ$505,"&gt;"&amp;$A11,実績!$AL$6:$AL$505,"○")&gt;0,1,0))</f>
        <v>0</v>
      </c>
      <c r="CU11" s="39" t="n">
        <f aca="false">IF(CU$4=0,0,IF(COUNTIFS(実績!$W$6:$W$505,CU$3,実績!$AI$6:$AI$505,"&lt;="&amp;$A11,実績!$AJ$6:$AJ$505,"&gt;"&amp;$A11,実績!$AL$6:$AL$505,"○")&gt;0,1,0))</f>
        <v>0</v>
      </c>
      <c r="CV11" s="39" t="n">
        <f aca="false">IF(CV$4=0,0,IF(COUNTIFS(実績!$W$6:$W$505,CV$3,実績!$AI$6:$AI$505,"&lt;="&amp;$A11,実績!$AJ$6:$AJ$505,"&gt;"&amp;$A11,実績!$AL$6:$AL$505,"○")&gt;0,1,0))</f>
        <v>0</v>
      </c>
      <c r="CW11" s="39" t="n">
        <f aca="false">IF(CW$4=0,0,IF(COUNTIFS(実績!$W$6:$W$505,CW$3,実績!$AI$6:$AI$505,"&lt;="&amp;$A11,実績!$AJ$6:$AJ$505,"&gt;"&amp;$A11,実績!$AL$6:$AL$505,"○")&gt;0,1,0))</f>
        <v>0</v>
      </c>
      <c r="CX11" s="39" t="n">
        <f aca="false">IF(CX$4=0,0,IF(COUNTIFS(実績!$W$6:$W$505,CX$3,実績!$AI$6:$AI$505,"&lt;="&amp;$A11,実績!$AJ$6:$AJ$505,"&gt;"&amp;$A11,実績!$AL$6:$AL$505,"○")&gt;0,1,0))</f>
        <v>0</v>
      </c>
      <c r="CY11" s="39" t="n">
        <f aca="false">IF(CY$4=0,0,IF(COUNTIFS(実績!$W$6:$W$505,CY$3,実績!$AI$6:$AI$505,"&lt;="&amp;$A11,実績!$AJ$6:$AJ$505,"&gt;"&amp;$A11,実績!$AL$6:$AL$505,"○")&gt;0,1,0))</f>
        <v>0</v>
      </c>
      <c r="CZ11" s="39" t="n">
        <f aca="false">IF(CZ$4=0,0,IF(COUNTIFS(実績!$W$6:$W$505,CZ$3,実績!$AI$6:$AI$505,"&lt;="&amp;$A11,実績!$AJ$6:$AJ$505,"&gt;"&amp;$A11,実績!$AL$6:$AL$505,"○")&gt;0,1,0))</f>
        <v>0</v>
      </c>
      <c r="DA11" s="39" t="n">
        <f aca="false">IF(DA$4=0,0,IF(COUNTIFS(実績!$W$6:$W$505,DA$3,実績!$AI$6:$AI$505,"&lt;="&amp;$A11,実績!$AJ$6:$AJ$505,"&gt;"&amp;$A11,実績!$AL$6:$AL$505,"○")&gt;0,1,0))</f>
        <v>0</v>
      </c>
      <c r="DB11" s="39" t="n">
        <f aca="false">IF(DB$4=0,0,IF(COUNTIFS(実績!$W$6:$W$505,DB$3,実績!$AI$6:$AI$505,"&lt;="&amp;$A11,実績!$AJ$6:$AJ$505,"&gt;"&amp;$A11,実績!$AL$6:$AL$505,"○")&gt;0,1,0))</f>
        <v>0</v>
      </c>
      <c r="DC11" s="39" t="n">
        <f aca="false">IF(DC$4=0,0,IF(COUNTIFS(実績!$W$6:$W$505,DC$3,実績!$AI$6:$AI$505,"&lt;="&amp;$A11,実績!$AJ$6:$AJ$505,"&gt;"&amp;$A11,実績!$AL$6:$AL$505,"○")&gt;0,1,0))</f>
        <v>0</v>
      </c>
      <c r="DD11" s="39" t="n">
        <f aca="false">IF(DD$4=0,0,IF(COUNTIFS(実績!$W$6:$W$505,DD$3,実績!$AI$6:$AI$505,"&lt;="&amp;$A11,実績!$AJ$6:$AJ$505,"&gt;"&amp;$A11,実績!$AL$6:$AL$505,"○")&gt;0,1,0))</f>
        <v>0</v>
      </c>
      <c r="DE11" s="39" t="n">
        <f aca="false">IF(DE$4=0,0,IF(COUNTIFS(実績!$W$6:$W$505,DE$3,実績!$AI$6:$AI$505,"&lt;="&amp;$A11,実績!$AJ$6:$AJ$505,"&gt;"&amp;$A11,実績!$AL$6:$AL$505,"○")&gt;0,1,0))</f>
        <v>0</v>
      </c>
      <c r="DF11" s="39" t="n">
        <f aca="false">IF(DF$4=0,0,IF(COUNTIFS(実績!$W$6:$W$505,DF$3,実績!$AI$6:$AI$505,"&lt;="&amp;$A11,実績!$AJ$6:$AJ$505,"&gt;"&amp;$A11,実績!$AL$6:$AL$505,"○")&gt;0,1,0))</f>
        <v>0</v>
      </c>
      <c r="DG11" s="39" t="n">
        <f aca="false">IF(DG$4=0,0,IF(COUNTIFS(実績!$W$6:$W$505,DG$3,実績!$AI$6:$AI$505,"&lt;="&amp;$A11,実績!$AJ$6:$AJ$505,"&gt;"&amp;$A11,実績!$AL$6:$AL$505,"○")&gt;0,1,0))</f>
        <v>0</v>
      </c>
      <c r="DH11" s="39" t="n">
        <f aca="false">IF(DH$4=0,0,IF(COUNTIFS(実績!$W$6:$W$505,DH$3,実績!$AI$6:$AI$505,"&lt;="&amp;$A11,実績!$AJ$6:$AJ$505,"&gt;"&amp;$A11,実績!$AL$6:$AL$505,"○")&gt;0,1,0))</f>
        <v>0</v>
      </c>
      <c r="DI11" s="39" t="n">
        <f aca="false">IF(DI$4=0,0,IF(COUNTIFS(実績!$W$6:$W$505,DI$3,実績!$AI$6:$AI$505,"&lt;="&amp;$A11,実績!$AJ$6:$AJ$505,"&gt;"&amp;$A11,実績!$AL$6:$AL$505,"○")&gt;0,1,0))</f>
        <v>0</v>
      </c>
      <c r="DJ11" s="39" t="n">
        <f aca="false">IF(DJ$4=0,0,IF(COUNTIFS(実績!$W$6:$W$505,DJ$3,実績!$AI$6:$AI$505,"&lt;="&amp;$A11,実績!$AJ$6:$AJ$505,"&gt;"&amp;$A11,実績!$AL$6:$AL$505,"○")&gt;0,1,0))</f>
        <v>0</v>
      </c>
      <c r="DK11" s="39" t="n">
        <f aca="false">IF(DK$4=0,0,IF(COUNTIFS(実績!$W$6:$W$505,DK$3,実績!$AI$6:$AI$505,"&lt;="&amp;$A11,実績!$AJ$6:$AJ$505,"&gt;"&amp;$A11,実績!$AL$6:$AL$505,"○")&gt;0,1,0))</f>
        <v>0</v>
      </c>
      <c r="DL11" s="39" t="n">
        <f aca="false">IF(DL$4=0,0,IF(COUNTIFS(実績!$W$6:$W$505,DL$3,実績!$AI$6:$AI$505,"&lt;="&amp;$A11,実績!$AJ$6:$AJ$505,"&gt;"&amp;$A11,実績!$AL$6:$AL$505,"○")&gt;0,1,0))</f>
        <v>0</v>
      </c>
      <c r="DM11" s="39" t="n">
        <f aca="false">IF(DM$4=0,0,IF(COUNTIFS(実績!$W$6:$W$505,DM$3,実績!$AI$6:$AI$505,"&lt;="&amp;$A11,実績!$AJ$6:$AJ$505,"&gt;"&amp;$A11,実績!$AL$6:$AL$505,"○")&gt;0,1,0))</f>
        <v>0</v>
      </c>
      <c r="DN11" s="39" t="n">
        <f aca="false">IF(DN$4=0,0,IF(COUNTIFS(実績!$W$6:$W$505,DN$3,実績!$AI$6:$AI$505,"&lt;="&amp;$A11,実績!$AJ$6:$AJ$505,"&gt;"&amp;$A11,実績!$AL$6:$AL$505,"○")&gt;0,1,0))</f>
        <v>0</v>
      </c>
      <c r="DO11" s="39" t="n">
        <f aca="false">IF(DO$4=0,0,IF(COUNTIFS(実績!$W$6:$W$505,DO$3,実績!$AI$6:$AI$505,"&lt;="&amp;$A11,実績!$AJ$6:$AJ$505,"&gt;"&amp;$A11,実績!$AL$6:$AL$505,"○")&gt;0,1,0))</f>
        <v>0</v>
      </c>
      <c r="DP11" s="39" t="n">
        <f aca="false">IF(DP$4=0,0,IF(COUNTIFS(実績!$W$6:$W$505,DP$3,実績!$AI$6:$AI$505,"&lt;="&amp;$A11,実績!$AJ$6:$AJ$505,"&gt;"&amp;$A11,実績!$AL$6:$AL$505,"○")&gt;0,1,0))</f>
        <v>0</v>
      </c>
      <c r="DQ11" s="39" t="n">
        <f aca="false">IF(DQ$4=0,0,IF(COUNTIFS(実績!$W$6:$W$505,DQ$3,実績!$AI$6:$AI$505,"&lt;="&amp;$A11,実績!$AJ$6:$AJ$505,"&gt;"&amp;$A11,実績!$AL$6:$AL$505,"○")&gt;0,1,0))</f>
        <v>0</v>
      </c>
      <c r="DR11" s="39" t="n">
        <f aca="false">IF(DR$4=0,0,IF(COUNTIFS(実績!$W$6:$W$505,DR$3,実績!$AI$6:$AI$505,"&lt;="&amp;$A11,実績!$AJ$6:$AJ$505,"&gt;"&amp;$A11,実績!$AL$6:$AL$505,"○")&gt;0,1,0))</f>
        <v>0</v>
      </c>
      <c r="DS11" s="39" t="n">
        <f aca="false">SUM(C11:DR11)</f>
        <v>0</v>
      </c>
    </row>
    <row r="12" customFormat="false" ht="15" hidden="false" customHeight="false" outlineLevel="0" collapsed="false">
      <c r="A12" s="0" t="n">
        <v>30</v>
      </c>
      <c r="B12" s="38" t="n">
        <f aca="false">A12/1440</f>
        <v>0.0208333333333333</v>
      </c>
      <c r="C12" s="39" t="n">
        <f aca="false">IF(C$4=0,0,IF(COUNTIFS(実績!$W$6:$W$505,C$3,実績!$AI$6:$AI$505,"&lt;="&amp;$A12,実績!$AJ$6:$AJ$505,"&gt;"&amp;$A12,実績!$AL$6:$AL$505,"○")&gt;0,1,0))</f>
        <v>0</v>
      </c>
      <c r="D12" s="39" t="n">
        <f aca="false">IF(D$4=0,0,IF(COUNTIFS(実績!$W$6:$W$505,D$3,実績!$AI$6:$AI$505,"&lt;="&amp;$A12,実績!$AJ$6:$AJ$505,"&gt;"&amp;$A12,実績!$AL$6:$AL$505,"○")&gt;0,1,0))</f>
        <v>0</v>
      </c>
      <c r="E12" s="39" t="n">
        <f aca="false">IF(E$4=0,0,IF(COUNTIFS(実績!$W$6:$W$505,E$3,実績!$AI$6:$AI$505,"&lt;="&amp;$A12,実績!$AJ$6:$AJ$505,"&gt;"&amp;$A12,実績!$AL$6:$AL$505,"○")&gt;0,1,0))</f>
        <v>0</v>
      </c>
      <c r="F12" s="39" t="n">
        <f aca="false">IF(F$4=0,0,IF(COUNTIFS(実績!$W$6:$W$505,F$3,実績!$AI$6:$AI$505,"&lt;="&amp;$A12,実績!$AJ$6:$AJ$505,"&gt;"&amp;$A12,実績!$AL$6:$AL$505,"○")&gt;0,1,0))</f>
        <v>0</v>
      </c>
      <c r="G12" s="39" t="n">
        <f aca="false">IF(G$4=0,0,IF(COUNTIFS(実績!$W$6:$W$505,G$3,実績!$AI$6:$AI$505,"&lt;="&amp;$A12,実績!$AJ$6:$AJ$505,"&gt;"&amp;$A12,実績!$AL$6:$AL$505,"○")&gt;0,1,0))</f>
        <v>0</v>
      </c>
      <c r="H12" s="39" t="n">
        <f aca="false">IF(H$4=0,0,IF(COUNTIFS(実績!$W$6:$W$505,H$3,実績!$AI$6:$AI$505,"&lt;="&amp;$A12,実績!$AJ$6:$AJ$505,"&gt;"&amp;$A12,実績!$AL$6:$AL$505,"○")&gt;0,1,0))</f>
        <v>0</v>
      </c>
      <c r="I12" s="39" t="n">
        <f aca="false">IF(I$4=0,0,IF(COUNTIFS(実績!$W$6:$W$505,I$3,実績!$AI$6:$AI$505,"&lt;="&amp;$A12,実績!$AJ$6:$AJ$505,"&gt;"&amp;$A12,実績!$AL$6:$AL$505,"○")&gt;0,1,0))</f>
        <v>0</v>
      </c>
      <c r="J12" s="39" t="n">
        <f aca="false">IF(J$4=0,0,IF(COUNTIFS(実績!$W$6:$W$505,J$3,実績!$AI$6:$AI$505,"&lt;="&amp;$A12,実績!$AJ$6:$AJ$505,"&gt;"&amp;$A12,実績!$AL$6:$AL$505,"○")&gt;0,1,0))</f>
        <v>0</v>
      </c>
      <c r="K12" s="39" t="n">
        <f aca="false">IF(K$4=0,0,IF(COUNTIFS(実績!$W$6:$W$505,K$3,実績!$AI$6:$AI$505,"&lt;="&amp;$A12,実績!$AJ$6:$AJ$505,"&gt;"&amp;$A12,実績!$AL$6:$AL$505,"○")&gt;0,1,0))</f>
        <v>0</v>
      </c>
      <c r="L12" s="39" t="n">
        <f aca="false">IF(L$4=0,0,IF(COUNTIFS(実績!$W$6:$W$505,L$3,実績!$AI$6:$AI$505,"&lt;="&amp;$A12,実績!$AJ$6:$AJ$505,"&gt;"&amp;$A12,実績!$AL$6:$AL$505,"○")&gt;0,1,0))</f>
        <v>0</v>
      </c>
      <c r="M12" s="39" t="n">
        <f aca="false">IF(M$4=0,0,IF(COUNTIFS(実績!$W$6:$W$505,M$3,実績!$AI$6:$AI$505,"&lt;="&amp;$A12,実績!$AJ$6:$AJ$505,"&gt;"&amp;$A12,実績!$AL$6:$AL$505,"○")&gt;0,1,0))</f>
        <v>0</v>
      </c>
      <c r="N12" s="39" t="n">
        <f aca="false">IF(N$4=0,0,IF(COUNTIFS(実績!$W$6:$W$505,N$3,実績!$AI$6:$AI$505,"&lt;="&amp;$A12,実績!$AJ$6:$AJ$505,"&gt;"&amp;$A12,実績!$AL$6:$AL$505,"○")&gt;0,1,0))</f>
        <v>0</v>
      </c>
      <c r="O12" s="39" t="n">
        <f aca="false">IF(O$4=0,0,IF(COUNTIFS(実績!$W$6:$W$505,O$3,実績!$AI$6:$AI$505,"&lt;="&amp;$A12,実績!$AJ$6:$AJ$505,"&gt;"&amp;$A12,実績!$AL$6:$AL$505,"○")&gt;0,1,0))</f>
        <v>0</v>
      </c>
      <c r="P12" s="39" t="n">
        <f aca="false">IF(P$4=0,0,IF(COUNTIFS(実績!$W$6:$W$505,P$3,実績!$AI$6:$AI$505,"&lt;="&amp;$A12,実績!$AJ$6:$AJ$505,"&gt;"&amp;$A12,実績!$AL$6:$AL$505,"○")&gt;0,1,0))</f>
        <v>0</v>
      </c>
      <c r="Q12" s="39" t="n">
        <f aca="false">IF(Q$4=0,0,IF(COUNTIFS(実績!$W$6:$W$505,Q$3,実績!$AI$6:$AI$505,"&lt;="&amp;$A12,実績!$AJ$6:$AJ$505,"&gt;"&amp;$A12,実績!$AL$6:$AL$505,"○")&gt;0,1,0))</f>
        <v>0</v>
      </c>
      <c r="R12" s="39" t="n">
        <f aca="false">IF(R$4=0,0,IF(COUNTIFS(実績!$W$6:$W$505,R$3,実績!$AI$6:$AI$505,"&lt;="&amp;$A12,実績!$AJ$6:$AJ$505,"&gt;"&amp;$A12,実績!$AL$6:$AL$505,"○")&gt;0,1,0))</f>
        <v>0</v>
      </c>
      <c r="S12" s="39" t="n">
        <f aca="false">IF(S$4=0,0,IF(COUNTIFS(実績!$W$6:$W$505,S$3,実績!$AI$6:$AI$505,"&lt;="&amp;$A12,実績!$AJ$6:$AJ$505,"&gt;"&amp;$A12,実績!$AL$6:$AL$505,"○")&gt;0,1,0))</f>
        <v>0</v>
      </c>
      <c r="T12" s="39" t="n">
        <f aca="false">IF(T$4=0,0,IF(COUNTIFS(実績!$W$6:$W$505,T$3,実績!$AI$6:$AI$505,"&lt;="&amp;$A12,実績!$AJ$6:$AJ$505,"&gt;"&amp;$A12,実績!$AL$6:$AL$505,"○")&gt;0,1,0))</f>
        <v>0</v>
      </c>
      <c r="U12" s="39" t="n">
        <f aca="false">IF(U$4=0,0,IF(COUNTIFS(実績!$W$6:$W$505,U$3,実績!$AI$6:$AI$505,"&lt;="&amp;$A12,実績!$AJ$6:$AJ$505,"&gt;"&amp;$A12,実績!$AL$6:$AL$505,"○")&gt;0,1,0))</f>
        <v>0</v>
      </c>
      <c r="V12" s="39" t="n">
        <f aca="false">IF(V$4=0,0,IF(COUNTIFS(実績!$W$6:$W$505,V$3,実績!$AI$6:$AI$505,"&lt;="&amp;$A12,実績!$AJ$6:$AJ$505,"&gt;"&amp;$A12,実績!$AL$6:$AL$505,"○")&gt;0,1,0))</f>
        <v>0</v>
      </c>
      <c r="W12" s="39" t="n">
        <f aca="false">IF(W$4=0,0,IF(COUNTIFS(実績!$W$6:$W$505,W$3,実績!$AI$6:$AI$505,"&lt;="&amp;$A12,実績!$AJ$6:$AJ$505,"&gt;"&amp;$A12,実績!$AL$6:$AL$505,"○")&gt;0,1,0))</f>
        <v>0</v>
      </c>
      <c r="X12" s="39" t="n">
        <f aca="false">IF(X$4=0,0,IF(COUNTIFS(実績!$W$6:$W$505,X$3,実績!$AI$6:$AI$505,"&lt;="&amp;$A12,実績!$AJ$6:$AJ$505,"&gt;"&amp;$A12,実績!$AL$6:$AL$505,"○")&gt;0,1,0))</f>
        <v>0</v>
      </c>
      <c r="Y12" s="39" t="n">
        <f aca="false">IF(Y$4=0,0,IF(COUNTIFS(実績!$W$6:$W$505,Y$3,実績!$AI$6:$AI$505,"&lt;="&amp;$A12,実績!$AJ$6:$AJ$505,"&gt;"&amp;$A12,実績!$AL$6:$AL$505,"○")&gt;0,1,0))</f>
        <v>0</v>
      </c>
      <c r="Z12" s="39" t="n">
        <f aca="false">IF(Z$4=0,0,IF(COUNTIFS(実績!$W$6:$W$505,Z$3,実績!$AI$6:$AI$505,"&lt;="&amp;$A12,実績!$AJ$6:$AJ$505,"&gt;"&amp;$A12,実績!$AL$6:$AL$505,"○")&gt;0,1,0))</f>
        <v>0</v>
      </c>
      <c r="AA12" s="39" t="n">
        <f aca="false">IF(AA$4=0,0,IF(COUNTIFS(実績!$W$6:$W$505,AA$3,実績!$AI$6:$AI$505,"&lt;="&amp;$A12,実績!$AJ$6:$AJ$505,"&gt;"&amp;$A12,実績!$AL$6:$AL$505,"○")&gt;0,1,0))</f>
        <v>0</v>
      </c>
      <c r="AB12" s="39" t="n">
        <f aca="false">IF(AB$4=0,0,IF(COUNTIFS(実績!$W$6:$W$505,AB$3,実績!$AI$6:$AI$505,"&lt;="&amp;$A12,実績!$AJ$6:$AJ$505,"&gt;"&amp;$A12,実績!$AL$6:$AL$505,"○")&gt;0,1,0))</f>
        <v>0</v>
      </c>
      <c r="AC12" s="39" t="n">
        <f aca="false">IF(AC$4=0,0,IF(COUNTIFS(実績!$W$6:$W$505,AC$3,実績!$AI$6:$AI$505,"&lt;="&amp;$A12,実績!$AJ$6:$AJ$505,"&gt;"&amp;$A12,実績!$AL$6:$AL$505,"○")&gt;0,1,0))</f>
        <v>0</v>
      </c>
      <c r="AD12" s="39" t="n">
        <f aca="false">IF(AD$4=0,0,IF(COUNTIFS(実績!$W$6:$W$505,AD$3,実績!$AI$6:$AI$505,"&lt;="&amp;$A12,実績!$AJ$6:$AJ$505,"&gt;"&amp;$A12,実績!$AL$6:$AL$505,"○")&gt;0,1,0))</f>
        <v>0</v>
      </c>
      <c r="AE12" s="39" t="n">
        <f aca="false">IF(AE$4=0,0,IF(COUNTIFS(実績!$W$6:$W$505,AE$3,実績!$AI$6:$AI$505,"&lt;="&amp;$A12,実績!$AJ$6:$AJ$505,"&gt;"&amp;$A12,実績!$AL$6:$AL$505,"○")&gt;0,1,0))</f>
        <v>0</v>
      </c>
      <c r="AF12" s="39" t="n">
        <f aca="false">IF(AF$4=0,0,IF(COUNTIFS(実績!$W$6:$W$505,AF$3,実績!$AI$6:$AI$505,"&lt;="&amp;$A12,実績!$AJ$6:$AJ$505,"&gt;"&amp;$A12,実績!$AL$6:$AL$505,"○")&gt;0,1,0))</f>
        <v>0</v>
      </c>
      <c r="AG12" s="39" t="n">
        <f aca="false">IF(AG$4=0,0,IF(COUNTIFS(実績!$W$6:$W$505,AG$3,実績!$AI$6:$AI$505,"&lt;="&amp;$A12,実績!$AJ$6:$AJ$505,"&gt;"&amp;$A12,実績!$AL$6:$AL$505,"○")&gt;0,1,0))</f>
        <v>0</v>
      </c>
      <c r="AH12" s="39" t="n">
        <f aca="false">IF(AH$4=0,0,IF(COUNTIFS(実績!$W$6:$W$505,AH$3,実績!$AI$6:$AI$505,"&lt;="&amp;$A12,実績!$AJ$6:$AJ$505,"&gt;"&amp;$A12,実績!$AL$6:$AL$505,"○")&gt;0,1,0))</f>
        <v>0</v>
      </c>
      <c r="AI12" s="39" t="n">
        <f aca="false">IF(AI$4=0,0,IF(COUNTIFS(実績!$W$6:$W$505,AI$3,実績!$AI$6:$AI$505,"&lt;="&amp;$A12,実績!$AJ$6:$AJ$505,"&gt;"&amp;$A12,実績!$AL$6:$AL$505,"○")&gt;0,1,0))</f>
        <v>0</v>
      </c>
      <c r="AJ12" s="39" t="n">
        <f aca="false">IF(AJ$4=0,0,IF(COUNTIFS(実績!$W$6:$W$505,AJ$3,実績!$AI$6:$AI$505,"&lt;="&amp;$A12,実績!$AJ$6:$AJ$505,"&gt;"&amp;$A12,実績!$AL$6:$AL$505,"○")&gt;0,1,0))</f>
        <v>0</v>
      </c>
      <c r="AK12" s="39" t="n">
        <f aca="false">IF(AK$4=0,0,IF(COUNTIFS(実績!$W$6:$W$505,AK$3,実績!$AI$6:$AI$505,"&lt;="&amp;$A12,実績!$AJ$6:$AJ$505,"&gt;"&amp;$A12,実績!$AL$6:$AL$505,"○")&gt;0,1,0))</f>
        <v>0</v>
      </c>
      <c r="AL12" s="39" t="n">
        <f aca="false">IF(AL$4=0,0,IF(COUNTIFS(実績!$W$6:$W$505,AL$3,実績!$AI$6:$AI$505,"&lt;="&amp;$A12,実績!$AJ$6:$AJ$505,"&gt;"&amp;$A12,実績!$AL$6:$AL$505,"○")&gt;0,1,0))</f>
        <v>0</v>
      </c>
      <c r="AM12" s="39" t="n">
        <f aca="false">IF(AM$4=0,0,IF(COUNTIFS(実績!$W$6:$W$505,AM$3,実績!$AI$6:$AI$505,"&lt;="&amp;$A12,実績!$AJ$6:$AJ$505,"&gt;"&amp;$A12,実績!$AL$6:$AL$505,"○")&gt;0,1,0))</f>
        <v>0</v>
      </c>
      <c r="AN12" s="39" t="n">
        <f aca="false">IF(AN$4=0,0,IF(COUNTIFS(実績!$W$6:$W$505,AN$3,実績!$AI$6:$AI$505,"&lt;="&amp;$A12,実績!$AJ$6:$AJ$505,"&gt;"&amp;$A12,実績!$AL$6:$AL$505,"○")&gt;0,1,0))</f>
        <v>0</v>
      </c>
      <c r="AO12" s="39" t="n">
        <f aca="false">IF(AO$4=0,0,IF(COUNTIFS(実績!$W$6:$W$505,AO$3,実績!$AI$6:$AI$505,"&lt;="&amp;$A12,実績!$AJ$6:$AJ$505,"&gt;"&amp;$A12,実績!$AL$6:$AL$505,"○")&gt;0,1,0))</f>
        <v>0</v>
      </c>
      <c r="AP12" s="39" t="n">
        <f aca="false">IF(AP$4=0,0,IF(COUNTIFS(実績!$W$6:$W$505,AP$3,実績!$AI$6:$AI$505,"&lt;="&amp;$A12,実績!$AJ$6:$AJ$505,"&gt;"&amp;$A12,実績!$AL$6:$AL$505,"○")&gt;0,1,0))</f>
        <v>0</v>
      </c>
      <c r="AQ12" s="39" t="n">
        <f aca="false">IF(AQ$4=0,0,IF(COUNTIFS(実績!$W$6:$W$505,AQ$3,実績!$AI$6:$AI$505,"&lt;="&amp;$A12,実績!$AJ$6:$AJ$505,"&gt;"&amp;$A12,実績!$AL$6:$AL$505,"○")&gt;0,1,0))</f>
        <v>0</v>
      </c>
      <c r="AR12" s="39" t="n">
        <f aca="false">IF(AR$4=0,0,IF(COUNTIFS(実績!$W$6:$W$505,AR$3,実績!$AI$6:$AI$505,"&lt;="&amp;$A12,実績!$AJ$6:$AJ$505,"&gt;"&amp;$A12,実績!$AL$6:$AL$505,"○")&gt;0,1,0))</f>
        <v>0</v>
      </c>
      <c r="AS12" s="39" t="n">
        <f aca="false">IF(AS$4=0,0,IF(COUNTIFS(実績!$W$6:$W$505,AS$3,実績!$AI$6:$AI$505,"&lt;="&amp;$A12,実績!$AJ$6:$AJ$505,"&gt;"&amp;$A12,実績!$AL$6:$AL$505,"○")&gt;0,1,0))</f>
        <v>0</v>
      </c>
      <c r="AT12" s="39" t="n">
        <f aca="false">IF(AT$4=0,0,IF(COUNTIFS(実績!$W$6:$W$505,AT$3,実績!$AI$6:$AI$505,"&lt;="&amp;$A12,実績!$AJ$6:$AJ$505,"&gt;"&amp;$A12,実績!$AL$6:$AL$505,"○")&gt;0,1,0))</f>
        <v>0</v>
      </c>
      <c r="AU12" s="39" t="n">
        <f aca="false">IF(AU$4=0,0,IF(COUNTIFS(実績!$W$6:$W$505,AU$3,実績!$AI$6:$AI$505,"&lt;="&amp;$A12,実績!$AJ$6:$AJ$505,"&gt;"&amp;$A12,実績!$AL$6:$AL$505,"○")&gt;0,1,0))</f>
        <v>0</v>
      </c>
      <c r="AV12" s="39" t="n">
        <f aca="false">IF(AV$4=0,0,IF(COUNTIFS(実績!$W$6:$W$505,AV$3,実績!$AI$6:$AI$505,"&lt;="&amp;$A12,実績!$AJ$6:$AJ$505,"&gt;"&amp;$A12,実績!$AL$6:$AL$505,"○")&gt;0,1,0))</f>
        <v>0</v>
      </c>
      <c r="AW12" s="39" t="n">
        <f aca="false">IF(AW$4=0,0,IF(COUNTIFS(実績!$W$6:$W$505,AW$3,実績!$AI$6:$AI$505,"&lt;="&amp;$A12,実績!$AJ$6:$AJ$505,"&gt;"&amp;$A12,実績!$AL$6:$AL$505,"○")&gt;0,1,0))</f>
        <v>0</v>
      </c>
      <c r="AX12" s="39" t="n">
        <f aca="false">IF(AX$4=0,0,IF(COUNTIFS(実績!$W$6:$W$505,AX$3,実績!$AI$6:$AI$505,"&lt;="&amp;$A12,実績!$AJ$6:$AJ$505,"&gt;"&amp;$A12,実績!$AL$6:$AL$505,"○")&gt;0,1,0))</f>
        <v>0</v>
      </c>
      <c r="AY12" s="39" t="n">
        <f aca="false">IF(AY$4=0,0,IF(COUNTIFS(実績!$W$6:$W$505,AY$3,実績!$AI$6:$AI$505,"&lt;="&amp;$A12,実績!$AJ$6:$AJ$505,"&gt;"&amp;$A12,実績!$AL$6:$AL$505,"○")&gt;0,1,0))</f>
        <v>0</v>
      </c>
      <c r="AZ12" s="39" t="n">
        <f aca="false">IF(AZ$4=0,0,IF(COUNTIFS(実績!$W$6:$W$505,AZ$3,実績!$AI$6:$AI$505,"&lt;="&amp;$A12,実績!$AJ$6:$AJ$505,"&gt;"&amp;$A12,実績!$AL$6:$AL$505,"○")&gt;0,1,0))</f>
        <v>0</v>
      </c>
      <c r="BA12" s="39" t="n">
        <f aca="false">IF(BA$4=0,0,IF(COUNTIFS(実績!$W$6:$W$505,BA$3,実績!$AI$6:$AI$505,"&lt;="&amp;$A12,実績!$AJ$6:$AJ$505,"&gt;"&amp;$A12,実績!$AL$6:$AL$505,"○")&gt;0,1,0))</f>
        <v>0</v>
      </c>
      <c r="BB12" s="39" t="n">
        <f aca="false">IF(BB$4=0,0,IF(COUNTIFS(実績!$W$6:$W$505,BB$3,実績!$AI$6:$AI$505,"&lt;="&amp;$A12,実績!$AJ$6:$AJ$505,"&gt;"&amp;$A12,実績!$AL$6:$AL$505,"○")&gt;0,1,0))</f>
        <v>0</v>
      </c>
      <c r="BC12" s="39" t="n">
        <f aca="false">IF(BC$4=0,0,IF(COUNTIFS(実績!$W$6:$W$505,BC$3,実績!$AI$6:$AI$505,"&lt;="&amp;$A12,実績!$AJ$6:$AJ$505,"&gt;"&amp;$A12,実績!$AL$6:$AL$505,"○")&gt;0,1,0))</f>
        <v>0</v>
      </c>
      <c r="BD12" s="39" t="n">
        <f aca="false">IF(BD$4=0,0,IF(COUNTIFS(実績!$W$6:$W$505,BD$3,実績!$AI$6:$AI$505,"&lt;="&amp;$A12,実績!$AJ$6:$AJ$505,"&gt;"&amp;$A12,実績!$AL$6:$AL$505,"○")&gt;0,1,0))</f>
        <v>0</v>
      </c>
      <c r="BE12" s="39" t="n">
        <f aca="false">IF(BE$4=0,0,IF(COUNTIFS(実績!$W$6:$W$505,BE$3,実績!$AI$6:$AI$505,"&lt;="&amp;$A12,実績!$AJ$6:$AJ$505,"&gt;"&amp;$A12,実績!$AL$6:$AL$505,"○")&gt;0,1,0))</f>
        <v>0</v>
      </c>
      <c r="BF12" s="39" t="n">
        <f aca="false">IF(BF$4=0,0,IF(COUNTIFS(実績!$W$6:$W$505,BF$3,実績!$AI$6:$AI$505,"&lt;="&amp;$A12,実績!$AJ$6:$AJ$505,"&gt;"&amp;$A12,実績!$AL$6:$AL$505,"○")&gt;0,1,0))</f>
        <v>0</v>
      </c>
      <c r="BG12" s="39" t="n">
        <f aca="false">IF(BG$4=0,0,IF(COUNTIFS(実績!$W$6:$W$505,BG$3,実績!$AI$6:$AI$505,"&lt;="&amp;$A12,実績!$AJ$6:$AJ$505,"&gt;"&amp;$A12,実績!$AL$6:$AL$505,"○")&gt;0,1,0))</f>
        <v>0</v>
      </c>
      <c r="BH12" s="39" t="n">
        <f aca="false">IF(BH$4=0,0,IF(COUNTIFS(実績!$W$6:$W$505,BH$3,実績!$AI$6:$AI$505,"&lt;="&amp;$A12,実績!$AJ$6:$AJ$505,"&gt;"&amp;$A12,実績!$AL$6:$AL$505,"○")&gt;0,1,0))</f>
        <v>0</v>
      </c>
      <c r="BI12" s="39" t="n">
        <f aca="false">IF(BI$4=0,0,IF(COUNTIFS(実績!$W$6:$W$505,BI$3,実績!$AI$6:$AI$505,"&lt;="&amp;$A12,実績!$AJ$6:$AJ$505,"&gt;"&amp;$A12,実績!$AL$6:$AL$505,"○")&gt;0,1,0))</f>
        <v>0</v>
      </c>
      <c r="BJ12" s="39" t="n">
        <f aca="false">IF(BJ$4=0,0,IF(COUNTIFS(実績!$W$6:$W$505,BJ$3,実績!$AI$6:$AI$505,"&lt;="&amp;$A12,実績!$AJ$6:$AJ$505,"&gt;"&amp;$A12,実績!$AL$6:$AL$505,"○")&gt;0,1,0))</f>
        <v>0</v>
      </c>
      <c r="BK12" s="39" t="n">
        <f aca="false">IF(BK$4=0,0,IF(COUNTIFS(実績!$W$6:$W$505,BK$3,実績!$AI$6:$AI$505,"&lt;="&amp;$A12,実績!$AJ$6:$AJ$505,"&gt;"&amp;$A12,実績!$AL$6:$AL$505,"○")&gt;0,1,0))</f>
        <v>0</v>
      </c>
      <c r="BL12" s="39" t="n">
        <f aca="false">IF(BL$4=0,0,IF(COUNTIFS(実績!$W$6:$W$505,BL$3,実績!$AI$6:$AI$505,"&lt;="&amp;$A12,実績!$AJ$6:$AJ$505,"&gt;"&amp;$A12,実績!$AL$6:$AL$505,"○")&gt;0,1,0))</f>
        <v>0</v>
      </c>
      <c r="BM12" s="39" t="n">
        <f aca="false">IF(BM$4=0,0,IF(COUNTIFS(実績!$W$6:$W$505,BM$3,実績!$AI$6:$AI$505,"&lt;="&amp;$A12,実績!$AJ$6:$AJ$505,"&gt;"&amp;$A12,実績!$AL$6:$AL$505,"○")&gt;0,1,0))</f>
        <v>0</v>
      </c>
      <c r="BN12" s="39" t="n">
        <f aca="false">IF(BN$4=0,0,IF(COUNTIFS(実績!$W$6:$W$505,BN$3,実績!$AI$6:$AI$505,"&lt;="&amp;$A12,実績!$AJ$6:$AJ$505,"&gt;"&amp;$A12,実績!$AL$6:$AL$505,"○")&gt;0,1,0))</f>
        <v>0</v>
      </c>
      <c r="BO12" s="39" t="n">
        <f aca="false">IF(BO$4=0,0,IF(COUNTIFS(実績!$W$6:$W$505,BO$3,実績!$AI$6:$AI$505,"&lt;="&amp;$A12,実績!$AJ$6:$AJ$505,"&gt;"&amp;$A12,実績!$AL$6:$AL$505,"○")&gt;0,1,0))</f>
        <v>0</v>
      </c>
      <c r="BP12" s="39" t="n">
        <f aca="false">IF(BP$4=0,0,IF(COUNTIFS(実績!$W$6:$W$505,BP$3,実績!$AI$6:$AI$505,"&lt;="&amp;$A12,実績!$AJ$6:$AJ$505,"&gt;"&amp;$A12,実績!$AL$6:$AL$505,"○")&gt;0,1,0))</f>
        <v>0</v>
      </c>
      <c r="BQ12" s="39" t="n">
        <f aca="false">IF(BQ$4=0,0,IF(COUNTIFS(実績!$W$6:$W$505,BQ$3,実績!$AI$6:$AI$505,"&lt;="&amp;$A12,実績!$AJ$6:$AJ$505,"&gt;"&amp;$A12,実績!$AL$6:$AL$505,"○")&gt;0,1,0))</f>
        <v>0</v>
      </c>
      <c r="BR12" s="39" t="n">
        <f aca="false">IF(BR$4=0,0,IF(COUNTIFS(実績!$W$6:$W$505,BR$3,実績!$AI$6:$AI$505,"&lt;="&amp;$A12,実績!$AJ$6:$AJ$505,"&gt;"&amp;$A12,実績!$AL$6:$AL$505,"○")&gt;0,1,0))</f>
        <v>0</v>
      </c>
      <c r="BS12" s="39" t="n">
        <f aca="false">IF(BS$4=0,0,IF(COUNTIFS(実績!$W$6:$W$505,BS$3,実績!$AI$6:$AI$505,"&lt;="&amp;$A12,実績!$AJ$6:$AJ$505,"&gt;"&amp;$A12,実績!$AL$6:$AL$505,"○")&gt;0,1,0))</f>
        <v>0</v>
      </c>
      <c r="BT12" s="39" t="n">
        <f aca="false">IF(BT$4=0,0,IF(COUNTIFS(実績!$W$6:$W$505,BT$3,実績!$AI$6:$AI$505,"&lt;="&amp;$A12,実績!$AJ$6:$AJ$505,"&gt;"&amp;$A12,実績!$AL$6:$AL$505,"○")&gt;0,1,0))</f>
        <v>0</v>
      </c>
      <c r="BU12" s="39" t="n">
        <f aca="false">IF(BU$4=0,0,IF(COUNTIFS(実績!$W$6:$W$505,BU$3,実績!$AI$6:$AI$505,"&lt;="&amp;$A12,実績!$AJ$6:$AJ$505,"&gt;"&amp;$A12,実績!$AL$6:$AL$505,"○")&gt;0,1,0))</f>
        <v>0</v>
      </c>
      <c r="BV12" s="39" t="n">
        <f aca="false">IF(BV$4=0,0,IF(COUNTIFS(実績!$W$6:$W$505,BV$3,実績!$AI$6:$AI$505,"&lt;="&amp;$A12,実績!$AJ$6:$AJ$505,"&gt;"&amp;$A12,実績!$AL$6:$AL$505,"○")&gt;0,1,0))</f>
        <v>0</v>
      </c>
      <c r="BW12" s="39" t="n">
        <f aca="false">IF(BW$4=0,0,IF(COUNTIFS(実績!$W$6:$W$505,BW$3,実績!$AI$6:$AI$505,"&lt;="&amp;$A12,実績!$AJ$6:$AJ$505,"&gt;"&amp;$A12,実績!$AL$6:$AL$505,"○")&gt;0,1,0))</f>
        <v>0</v>
      </c>
      <c r="BX12" s="39" t="n">
        <f aca="false">IF(BX$4=0,0,IF(COUNTIFS(実績!$W$6:$W$505,BX$3,実績!$AI$6:$AI$505,"&lt;="&amp;$A12,実績!$AJ$6:$AJ$505,"&gt;"&amp;$A12,実績!$AL$6:$AL$505,"○")&gt;0,1,0))</f>
        <v>0</v>
      </c>
      <c r="BY12" s="39" t="n">
        <f aca="false">IF(BY$4=0,0,IF(COUNTIFS(実績!$W$6:$W$505,BY$3,実績!$AI$6:$AI$505,"&lt;="&amp;$A12,実績!$AJ$6:$AJ$505,"&gt;"&amp;$A12,実績!$AL$6:$AL$505,"○")&gt;0,1,0))</f>
        <v>0</v>
      </c>
      <c r="BZ12" s="39" t="n">
        <f aca="false">IF(BZ$4=0,0,IF(COUNTIFS(実績!$W$6:$W$505,BZ$3,実績!$AI$6:$AI$505,"&lt;="&amp;$A12,実績!$AJ$6:$AJ$505,"&gt;"&amp;$A12,実績!$AL$6:$AL$505,"○")&gt;0,1,0))</f>
        <v>0</v>
      </c>
      <c r="CA12" s="39" t="n">
        <f aca="false">IF(CA$4=0,0,IF(COUNTIFS(実績!$W$6:$W$505,CA$3,実績!$AI$6:$AI$505,"&lt;="&amp;$A12,実績!$AJ$6:$AJ$505,"&gt;"&amp;$A12,実績!$AL$6:$AL$505,"○")&gt;0,1,0))</f>
        <v>0</v>
      </c>
      <c r="CB12" s="39" t="n">
        <f aca="false">IF(CB$4=0,0,IF(COUNTIFS(実績!$W$6:$W$505,CB$3,実績!$AI$6:$AI$505,"&lt;="&amp;$A12,実績!$AJ$6:$AJ$505,"&gt;"&amp;$A12,実績!$AL$6:$AL$505,"○")&gt;0,1,0))</f>
        <v>0</v>
      </c>
      <c r="CC12" s="39" t="n">
        <f aca="false">IF(CC$4=0,0,IF(COUNTIFS(実績!$W$6:$W$505,CC$3,実績!$AI$6:$AI$505,"&lt;="&amp;$A12,実績!$AJ$6:$AJ$505,"&gt;"&amp;$A12,実績!$AL$6:$AL$505,"○")&gt;0,1,0))</f>
        <v>0</v>
      </c>
      <c r="CD12" s="39" t="n">
        <f aca="false">IF(CD$4=0,0,IF(COUNTIFS(実績!$W$6:$W$505,CD$3,実績!$AI$6:$AI$505,"&lt;="&amp;$A12,実績!$AJ$6:$AJ$505,"&gt;"&amp;$A12,実績!$AL$6:$AL$505,"○")&gt;0,1,0))</f>
        <v>0</v>
      </c>
      <c r="CE12" s="39" t="n">
        <f aca="false">IF(CE$4=0,0,IF(COUNTIFS(実績!$W$6:$W$505,CE$3,実績!$AI$6:$AI$505,"&lt;="&amp;$A12,実績!$AJ$6:$AJ$505,"&gt;"&amp;$A12,実績!$AL$6:$AL$505,"○")&gt;0,1,0))</f>
        <v>0</v>
      </c>
      <c r="CF12" s="39" t="n">
        <f aca="false">IF(CF$4=0,0,IF(COUNTIFS(実績!$W$6:$W$505,CF$3,実績!$AI$6:$AI$505,"&lt;="&amp;$A12,実績!$AJ$6:$AJ$505,"&gt;"&amp;$A12,実績!$AL$6:$AL$505,"○")&gt;0,1,0))</f>
        <v>0</v>
      </c>
      <c r="CG12" s="39" t="n">
        <f aca="false">IF(CG$4=0,0,IF(COUNTIFS(実績!$W$6:$W$505,CG$3,実績!$AI$6:$AI$505,"&lt;="&amp;$A12,実績!$AJ$6:$AJ$505,"&gt;"&amp;$A12,実績!$AL$6:$AL$505,"○")&gt;0,1,0))</f>
        <v>0</v>
      </c>
      <c r="CH12" s="39" t="n">
        <f aca="false">IF(CH$4=0,0,IF(COUNTIFS(実績!$W$6:$W$505,CH$3,実績!$AI$6:$AI$505,"&lt;="&amp;$A12,実績!$AJ$6:$AJ$505,"&gt;"&amp;$A12,実績!$AL$6:$AL$505,"○")&gt;0,1,0))</f>
        <v>0</v>
      </c>
      <c r="CI12" s="39" t="n">
        <f aca="false">IF(CI$4=0,0,IF(COUNTIFS(実績!$W$6:$W$505,CI$3,実績!$AI$6:$AI$505,"&lt;="&amp;$A12,実績!$AJ$6:$AJ$505,"&gt;"&amp;$A12,実績!$AL$6:$AL$505,"○")&gt;0,1,0))</f>
        <v>0</v>
      </c>
      <c r="CJ12" s="39" t="n">
        <f aca="false">IF(CJ$4=0,0,IF(COUNTIFS(実績!$W$6:$W$505,CJ$3,実績!$AI$6:$AI$505,"&lt;="&amp;$A12,実績!$AJ$6:$AJ$505,"&gt;"&amp;$A12,実績!$AL$6:$AL$505,"○")&gt;0,1,0))</f>
        <v>0</v>
      </c>
      <c r="CK12" s="39" t="n">
        <f aca="false">IF(CK$4=0,0,IF(COUNTIFS(実績!$W$6:$W$505,CK$3,実績!$AI$6:$AI$505,"&lt;="&amp;$A12,実績!$AJ$6:$AJ$505,"&gt;"&amp;$A12,実績!$AL$6:$AL$505,"○")&gt;0,1,0))</f>
        <v>0</v>
      </c>
      <c r="CL12" s="39" t="n">
        <f aca="false">IF(CL$4=0,0,IF(COUNTIFS(実績!$W$6:$W$505,CL$3,実績!$AI$6:$AI$505,"&lt;="&amp;$A12,実績!$AJ$6:$AJ$505,"&gt;"&amp;$A12,実績!$AL$6:$AL$505,"○")&gt;0,1,0))</f>
        <v>0</v>
      </c>
      <c r="CM12" s="39" t="n">
        <f aca="false">IF(CM$4=0,0,IF(COUNTIFS(実績!$W$6:$W$505,CM$3,実績!$AI$6:$AI$505,"&lt;="&amp;$A12,実績!$AJ$6:$AJ$505,"&gt;"&amp;$A12,実績!$AL$6:$AL$505,"○")&gt;0,1,0))</f>
        <v>0</v>
      </c>
      <c r="CN12" s="39" t="n">
        <f aca="false">IF(CN$4=0,0,IF(COUNTIFS(実績!$W$6:$W$505,CN$3,実績!$AI$6:$AI$505,"&lt;="&amp;$A12,実績!$AJ$6:$AJ$505,"&gt;"&amp;$A12,実績!$AL$6:$AL$505,"○")&gt;0,1,0))</f>
        <v>0</v>
      </c>
      <c r="CO12" s="39" t="n">
        <f aca="false">IF(CO$4=0,0,IF(COUNTIFS(実績!$W$6:$W$505,CO$3,実績!$AI$6:$AI$505,"&lt;="&amp;$A12,実績!$AJ$6:$AJ$505,"&gt;"&amp;$A12,実績!$AL$6:$AL$505,"○")&gt;0,1,0))</f>
        <v>0</v>
      </c>
      <c r="CP12" s="39" t="n">
        <f aca="false">IF(CP$4=0,0,IF(COUNTIFS(実績!$W$6:$W$505,CP$3,実績!$AI$6:$AI$505,"&lt;="&amp;$A12,実績!$AJ$6:$AJ$505,"&gt;"&amp;$A12,実績!$AL$6:$AL$505,"○")&gt;0,1,0))</f>
        <v>0</v>
      </c>
      <c r="CQ12" s="39" t="n">
        <f aca="false">IF(CQ$4=0,0,IF(COUNTIFS(実績!$W$6:$W$505,CQ$3,実績!$AI$6:$AI$505,"&lt;="&amp;$A12,実績!$AJ$6:$AJ$505,"&gt;"&amp;$A12,実績!$AL$6:$AL$505,"○")&gt;0,1,0))</f>
        <v>0</v>
      </c>
      <c r="CR12" s="39" t="n">
        <f aca="false">IF(CR$4=0,0,IF(COUNTIFS(実績!$W$6:$W$505,CR$3,実績!$AI$6:$AI$505,"&lt;="&amp;$A12,実績!$AJ$6:$AJ$505,"&gt;"&amp;$A12,実績!$AL$6:$AL$505,"○")&gt;0,1,0))</f>
        <v>0</v>
      </c>
      <c r="CS12" s="39" t="n">
        <f aca="false">IF(CS$4=0,0,IF(COUNTIFS(実績!$W$6:$W$505,CS$3,実績!$AI$6:$AI$505,"&lt;="&amp;$A12,実績!$AJ$6:$AJ$505,"&gt;"&amp;$A12,実績!$AL$6:$AL$505,"○")&gt;0,1,0))</f>
        <v>0</v>
      </c>
      <c r="CT12" s="39" t="n">
        <f aca="false">IF(CT$4=0,0,IF(COUNTIFS(実績!$W$6:$W$505,CT$3,実績!$AI$6:$AI$505,"&lt;="&amp;$A12,実績!$AJ$6:$AJ$505,"&gt;"&amp;$A12,実績!$AL$6:$AL$505,"○")&gt;0,1,0))</f>
        <v>0</v>
      </c>
      <c r="CU12" s="39" t="n">
        <f aca="false">IF(CU$4=0,0,IF(COUNTIFS(実績!$W$6:$W$505,CU$3,実績!$AI$6:$AI$505,"&lt;="&amp;$A12,実績!$AJ$6:$AJ$505,"&gt;"&amp;$A12,実績!$AL$6:$AL$505,"○")&gt;0,1,0))</f>
        <v>0</v>
      </c>
      <c r="CV12" s="39" t="n">
        <f aca="false">IF(CV$4=0,0,IF(COUNTIFS(実績!$W$6:$W$505,CV$3,実績!$AI$6:$AI$505,"&lt;="&amp;$A12,実績!$AJ$6:$AJ$505,"&gt;"&amp;$A12,実績!$AL$6:$AL$505,"○")&gt;0,1,0))</f>
        <v>0</v>
      </c>
      <c r="CW12" s="39" t="n">
        <f aca="false">IF(CW$4=0,0,IF(COUNTIFS(実績!$W$6:$W$505,CW$3,実績!$AI$6:$AI$505,"&lt;="&amp;$A12,実績!$AJ$6:$AJ$505,"&gt;"&amp;$A12,実績!$AL$6:$AL$505,"○")&gt;0,1,0))</f>
        <v>0</v>
      </c>
      <c r="CX12" s="39" t="n">
        <f aca="false">IF(CX$4=0,0,IF(COUNTIFS(実績!$W$6:$W$505,CX$3,実績!$AI$6:$AI$505,"&lt;="&amp;$A12,実績!$AJ$6:$AJ$505,"&gt;"&amp;$A12,実績!$AL$6:$AL$505,"○")&gt;0,1,0))</f>
        <v>0</v>
      </c>
      <c r="CY12" s="39" t="n">
        <f aca="false">IF(CY$4=0,0,IF(COUNTIFS(実績!$W$6:$W$505,CY$3,実績!$AI$6:$AI$505,"&lt;="&amp;$A12,実績!$AJ$6:$AJ$505,"&gt;"&amp;$A12,実績!$AL$6:$AL$505,"○")&gt;0,1,0))</f>
        <v>0</v>
      </c>
      <c r="CZ12" s="39" t="n">
        <f aca="false">IF(CZ$4=0,0,IF(COUNTIFS(実績!$W$6:$W$505,CZ$3,実績!$AI$6:$AI$505,"&lt;="&amp;$A12,実績!$AJ$6:$AJ$505,"&gt;"&amp;$A12,実績!$AL$6:$AL$505,"○")&gt;0,1,0))</f>
        <v>0</v>
      </c>
      <c r="DA12" s="39" t="n">
        <f aca="false">IF(DA$4=0,0,IF(COUNTIFS(実績!$W$6:$W$505,DA$3,実績!$AI$6:$AI$505,"&lt;="&amp;$A12,実績!$AJ$6:$AJ$505,"&gt;"&amp;$A12,実績!$AL$6:$AL$505,"○")&gt;0,1,0))</f>
        <v>0</v>
      </c>
      <c r="DB12" s="39" t="n">
        <f aca="false">IF(DB$4=0,0,IF(COUNTIFS(実績!$W$6:$W$505,DB$3,実績!$AI$6:$AI$505,"&lt;="&amp;$A12,実績!$AJ$6:$AJ$505,"&gt;"&amp;$A12,実績!$AL$6:$AL$505,"○")&gt;0,1,0))</f>
        <v>0</v>
      </c>
      <c r="DC12" s="39" t="n">
        <f aca="false">IF(DC$4=0,0,IF(COUNTIFS(実績!$W$6:$W$505,DC$3,実績!$AI$6:$AI$505,"&lt;="&amp;$A12,実績!$AJ$6:$AJ$505,"&gt;"&amp;$A12,実績!$AL$6:$AL$505,"○")&gt;0,1,0))</f>
        <v>0</v>
      </c>
      <c r="DD12" s="39" t="n">
        <f aca="false">IF(DD$4=0,0,IF(COUNTIFS(実績!$W$6:$W$505,DD$3,実績!$AI$6:$AI$505,"&lt;="&amp;$A12,実績!$AJ$6:$AJ$505,"&gt;"&amp;$A12,実績!$AL$6:$AL$505,"○")&gt;0,1,0))</f>
        <v>0</v>
      </c>
      <c r="DE12" s="39" t="n">
        <f aca="false">IF(DE$4=0,0,IF(COUNTIFS(実績!$W$6:$W$505,DE$3,実績!$AI$6:$AI$505,"&lt;="&amp;$A12,実績!$AJ$6:$AJ$505,"&gt;"&amp;$A12,実績!$AL$6:$AL$505,"○")&gt;0,1,0))</f>
        <v>0</v>
      </c>
      <c r="DF12" s="39" t="n">
        <f aca="false">IF(DF$4=0,0,IF(COUNTIFS(実績!$W$6:$W$505,DF$3,実績!$AI$6:$AI$505,"&lt;="&amp;$A12,実績!$AJ$6:$AJ$505,"&gt;"&amp;$A12,実績!$AL$6:$AL$505,"○")&gt;0,1,0))</f>
        <v>0</v>
      </c>
      <c r="DG12" s="39" t="n">
        <f aca="false">IF(DG$4=0,0,IF(COUNTIFS(実績!$W$6:$W$505,DG$3,実績!$AI$6:$AI$505,"&lt;="&amp;$A12,実績!$AJ$6:$AJ$505,"&gt;"&amp;$A12,実績!$AL$6:$AL$505,"○")&gt;0,1,0))</f>
        <v>0</v>
      </c>
      <c r="DH12" s="39" t="n">
        <f aca="false">IF(DH$4=0,0,IF(COUNTIFS(実績!$W$6:$W$505,DH$3,実績!$AI$6:$AI$505,"&lt;="&amp;$A12,実績!$AJ$6:$AJ$505,"&gt;"&amp;$A12,実績!$AL$6:$AL$505,"○")&gt;0,1,0))</f>
        <v>0</v>
      </c>
      <c r="DI12" s="39" t="n">
        <f aca="false">IF(DI$4=0,0,IF(COUNTIFS(実績!$W$6:$W$505,DI$3,実績!$AI$6:$AI$505,"&lt;="&amp;$A12,実績!$AJ$6:$AJ$505,"&gt;"&amp;$A12,実績!$AL$6:$AL$505,"○")&gt;0,1,0))</f>
        <v>0</v>
      </c>
      <c r="DJ12" s="39" t="n">
        <f aca="false">IF(DJ$4=0,0,IF(COUNTIFS(実績!$W$6:$W$505,DJ$3,実績!$AI$6:$AI$505,"&lt;="&amp;$A12,実績!$AJ$6:$AJ$505,"&gt;"&amp;$A12,実績!$AL$6:$AL$505,"○")&gt;0,1,0))</f>
        <v>0</v>
      </c>
      <c r="DK12" s="39" t="n">
        <f aca="false">IF(DK$4=0,0,IF(COUNTIFS(実績!$W$6:$W$505,DK$3,実績!$AI$6:$AI$505,"&lt;="&amp;$A12,実績!$AJ$6:$AJ$505,"&gt;"&amp;$A12,実績!$AL$6:$AL$505,"○")&gt;0,1,0))</f>
        <v>0</v>
      </c>
      <c r="DL12" s="39" t="n">
        <f aca="false">IF(DL$4=0,0,IF(COUNTIFS(実績!$W$6:$W$505,DL$3,実績!$AI$6:$AI$505,"&lt;="&amp;$A12,実績!$AJ$6:$AJ$505,"&gt;"&amp;$A12,実績!$AL$6:$AL$505,"○")&gt;0,1,0))</f>
        <v>0</v>
      </c>
      <c r="DM12" s="39" t="n">
        <f aca="false">IF(DM$4=0,0,IF(COUNTIFS(実績!$W$6:$W$505,DM$3,実績!$AI$6:$AI$505,"&lt;="&amp;$A12,実績!$AJ$6:$AJ$505,"&gt;"&amp;$A12,実績!$AL$6:$AL$505,"○")&gt;0,1,0))</f>
        <v>0</v>
      </c>
      <c r="DN12" s="39" t="n">
        <f aca="false">IF(DN$4=0,0,IF(COUNTIFS(実績!$W$6:$W$505,DN$3,実績!$AI$6:$AI$505,"&lt;="&amp;$A12,実績!$AJ$6:$AJ$505,"&gt;"&amp;$A12,実績!$AL$6:$AL$505,"○")&gt;0,1,0))</f>
        <v>0</v>
      </c>
      <c r="DO12" s="39" t="n">
        <f aca="false">IF(DO$4=0,0,IF(COUNTIFS(実績!$W$6:$W$505,DO$3,実績!$AI$6:$AI$505,"&lt;="&amp;$A12,実績!$AJ$6:$AJ$505,"&gt;"&amp;$A12,実績!$AL$6:$AL$505,"○")&gt;0,1,0))</f>
        <v>0</v>
      </c>
      <c r="DP12" s="39" t="n">
        <f aca="false">IF(DP$4=0,0,IF(COUNTIFS(実績!$W$6:$W$505,DP$3,実績!$AI$6:$AI$505,"&lt;="&amp;$A12,実績!$AJ$6:$AJ$505,"&gt;"&amp;$A12,実績!$AL$6:$AL$505,"○")&gt;0,1,0))</f>
        <v>0</v>
      </c>
      <c r="DQ12" s="39" t="n">
        <f aca="false">IF(DQ$4=0,0,IF(COUNTIFS(実績!$W$6:$W$505,DQ$3,実績!$AI$6:$AI$505,"&lt;="&amp;$A12,実績!$AJ$6:$AJ$505,"&gt;"&amp;$A12,実績!$AL$6:$AL$505,"○")&gt;0,1,0))</f>
        <v>0</v>
      </c>
      <c r="DR12" s="39" t="n">
        <f aca="false">IF(DR$4=0,0,IF(COUNTIFS(実績!$W$6:$W$505,DR$3,実績!$AI$6:$AI$505,"&lt;="&amp;$A12,実績!$AJ$6:$AJ$505,"&gt;"&amp;$A12,実績!$AL$6:$AL$505,"○")&gt;0,1,0))</f>
        <v>0</v>
      </c>
      <c r="DS12" s="39" t="n">
        <f aca="false">SUM(C12:DR12)</f>
        <v>0</v>
      </c>
    </row>
    <row r="13" customFormat="false" ht="15" hidden="false" customHeight="false" outlineLevel="0" collapsed="false">
      <c r="A13" s="0" t="n">
        <v>35</v>
      </c>
      <c r="B13" s="38" t="n">
        <f aca="false">A13/1440</f>
        <v>0.0243055555555556</v>
      </c>
      <c r="C13" s="39" t="n">
        <f aca="false">IF(C$4=0,0,IF(COUNTIFS(実績!$W$6:$W$505,C$3,実績!$AI$6:$AI$505,"&lt;="&amp;$A13,実績!$AJ$6:$AJ$505,"&gt;"&amp;$A13,実績!$AL$6:$AL$505,"○")&gt;0,1,0))</f>
        <v>0</v>
      </c>
      <c r="D13" s="39" t="n">
        <f aca="false">IF(D$4=0,0,IF(COUNTIFS(実績!$W$6:$W$505,D$3,実績!$AI$6:$AI$505,"&lt;="&amp;$A13,実績!$AJ$6:$AJ$505,"&gt;"&amp;$A13,実績!$AL$6:$AL$505,"○")&gt;0,1,0))</f>
        <v>0</v>
      </c>
      <c r="E13" s="39" t="n">
        <f aca="false">IF(E$4=0,0,IF(COUNTIFS(実績!$W$6:$W$505,E$3,実績!$AI$6:$AI$505,"&lt;="&amp;$A13,実績!$AJ$6:$AJ$505,"&gt;"&amp;$A13,実績!$AL$6:$AL$505,"○")&gt;0,1,0))</f>
        <v>0</v>
      </c>
      <c r="F13" s="39" t="n">
        <f aca="false">IF(F$4=0,0,IF(COUNTIFS(実績!$W$6:$W$505,F$3,実績!$AI$6:$AI$505,"&lt;="&amp;$A13,実績!$AJ$6:$AJ$505,"&gt;"&amp;$A13,実績!$AL$6:$AL$505,"○")&gt;0,1,0))</f>
        <v>0</v>
      </c>
      <c r="G13" s="39" t="n">
        <f aca="false">IF(G$4=0,0,IF(COUNTIFS(実績!$W$6:$W$505,G$3,実績!$AI$6:$AI$505,"&lt;="&amp;$A13,実績!$AJ$6:$AJ$505,"&gt;"&amp;$A13,実績!$AL$6:$AL$505,"○")&gt;0,1,0))</f>
        <v>0</v>
      </c>
      <c r="H13" s="39" t="n">
        <f aca="false">IF(H$4=0,0,IF(COUNTIFS(実績!$W$6:$W$505,H$3,実績!$AI$6:$AI$505,"&lt;="&amp;$A13,実績!$AJ$6:$AJ$505,"&gt;"&amp;$A13,実績!$AL$6:$AL$505,"○")&gt;0,1,0))</f>
        <v>0</v>
      </c>
      <c r="I13" s="39" t="n">
        <f aca="false">IF(I$4=0,0,IF(COUNTIFS(実績!$W$6:$W$505,I$3,実績!$AI$6:$AI$505,"&lt;="&amp;$A13,実績!$AJ$6:$AJ$505,"&gt;"&amp;$A13,実績!$AL$6:$AL$505,"○")&gt;0,1,0))</f>
        <v>0</v>
      </c>
      <c r="J13" s="39" t="n">
        <f aca="false">IF(J$4=0,0,IF(COUNTIFS(実績!$W$6:$W$505,J$3,実績!$AI$6:$AI$505,"&lt;="&amp;$A13,実績!$AJ$6:$AJ$505,"&gt;"&amp;$A13,実績!$AL$6:$AL$505,"○")&gt;0,1,0))</f>
        <v>0</v>
      </c>
      <c r="K13" s="39" t="n">
        <f aca="false">IF(K$4=0,0,IF(COUNTIFS(実績!$W$6:$W$505,K$3,実績!$AI$6:$AI$505,"&lt;="&amp;$A13,実績!$AJ$6:$AJ$505,"&gt;"&amp;$A13,実績!$AL$6:$AL$505,"○")&gt;0,1,0))</f>
        <v>0</v>
      </c>
      <c r="L13" s="39" t="n">
        <f aca="false">IF(L$4=0,0,IF(COUNTIFS(実績!$W$6:$W$505,L$3,実績!$AI$6:$AI$505,"&lt;="&amp;$A13,実績!$AJ$6:$AJ$505,"&gt;"&amp;$A13,実績!$AL$6:$AL$505,"○")&gt;0,1,0))</f>
        <v>0</v>
      </c>
      <c r="M13" s="39" t="n">
        <f aca="false">IF(M$4=0,0,IF(COUNTIFS(実績!$W$6:$W$505,M$3,実績!$AI$6:$AI$505,"&lt;="&amp;$A13,実績!$AJ$6:$AJ$505,"&gt;"&amp;$A13,実績!$AL$6:$AL$505,"○")&gt;0,1,0))</f>
        <v>0</v>
      </c>
      <c r="N13" s="39" t="n">
        <f aca="false">IF(N$4=0,0,IF(COUNTIFS(実績!$W$6:$W$505,N$3,実績!$AI$6:$AI$505,"&lt;="&amp;$A13,実績!$AJ$6:$AJ$505,"&gt;"&amp;$A13,実績!$AL$6:$AL$505,"○")&gt;0,1,0))</f>
        <v>0</v>
      </c>
      <c r="O13" s="39" t="n">
        <f aca="false">IF(O$4=0,0,IF(COUNTIFS(実績!$W$6:$W$505,O$3,実績!$AI$6:$AI$505,"&lt;="&amp;$A13,実績!$AJ$6:$AJ$505,"&gt;"&amp;$A13,実績!$AL$6:$AL$505,"○")&gt;0,1,0))</f>
        <v>0</v>
      </c>
      <c r="P13" s="39" t="n">
        <f aca="false">IF(P$4=0,0,IF(COUNTIFS(実績!$W$6:$W$505,P$3,実績!$AI$6:$AI$505,"&lt;="&amp;$A13,実績!$AJ$6:$AJ$505,"&gt;"&amp;$A13,実績!$AL$6:$AL$505,"○")&gt;0,1,0))</f>
        <v>0</v>
      </c>
      <c r="Q13" s="39" t="n">
        <f aca="false">IF(Q$4=0,0,IF(COUNTIFS(実績!$W$6:$W$505,Q$3,実績!$AI$6:$AI$505,"&lt;="&amp;$A13,実績!$AJ$6:$AJ$505,"&gt;"&amp;$A13,実績!$AL$6:$AL$505,"○")&gt;0,1,0))</f>
        <v>0</v>
      </c>
      <c r="R13" s="39" t="n">
        <f aca="false">IF(R$4=0,0,IF(COUNTIFS(実績!$W$6:$W$505,R$3,実績!$AI$6:$AI$505,"&lt;="&amp;$A13,実績!$AJ$6:$AJ$505,"&gt;"&amp;$A13,実績!$AL$6:$AL$505,"○")&gt;0,1,0))</f>
        <v>0</v>
      </c>
      <c r="S13" s="39" t="n">
        <f aca="false">IF(S$4=0,0,IF(COUNTIFS(実績!$W$6:$W$505,S$3,実績!$AI$6:$AI$505,"&lt;="&amp;$A13,実績!$AJ$6:$AJ$505,"&gt;"&amp;$A13,実績!$AL$6:$AL$505,"○")&gt;0,1,0))</f>
        <v>0</v>
      </c>
      <c r="T13" s="39" t="n">
        <f aca="false">IF(T$4=0,0,IF(COUNTIFS(実績!$W$6:$W$505,T$3,実績!$AI$6:$AI$505,"&lt;="&amp;$A13,実績!$AJ$6:$AJ$505,"&gt;"&amp;$A13,実績!$AL$6:$AL$505,"○")&gt;0,1,0))</f>
        <v>0</v>
      </c>
      <c r="U13" s="39" t="n">
        <f aca="false">IF(U$4=0,0,IF(COUNTIFS(実績!$W$6:$W$505,U$3,実績!$AI$6:$AI$505,"&lt;="&amp;$A13,実績!$AJ$6:$AJ$505,"&gt;"&amp;$A13,実績!$AL$6:$AL$505,"○")&gt;0,1,0))</f>
        <v>0</v>
      </c>
      <c r="V13" s="39" t="n">
        <f aca="false">IF(V$4=0,0,IF(COUNTIFS(実績!$W$6:$W$505,V$3,実績!$AI$6:$AI$505,"&lt;="&amp;$A13,実績!$AJ$6:$AJ$505,"&gt;"&amp;$A13,実績!$AL$6:$AL$505,"○")&gt;0,1,0))</f>
        <v>0</v>
      </c>
      <c r="W13" s="39" t="n">
        <f aca="false">IF(W$4=0,0,IF(COUNTIFS(実績!$W$6:$W$505,W$3,実績!$AI$6:$AI$505,"&lt;="&amp;$A13,実績!$AJ$6:$AJ$505,"&gt;"&amp;$A13,実績!$AL$6:$AL$505,"○")&gt;0,1,0))</f>
        <v>0</v>
      </c>
      <c r="X13" s="39" t="n">
        <f aca="false">IF(X$4=0,0,IF(COUNTIFS(実績!$W$6:$W$505,X$3,実績!$AI$6:$AI$505,"&lt;="&amp;$A13,実績!$AJ$6:$AJ$505,"&gt;"&amp;$A13,実績!$AL$6:$AL$505,"○")&gt;0,1,0))</f>
        <v>0</v>
      </c>
      <c r="Y13" s="39" t="n">
        <f aca="false">IF(Y$4=0,0,IF(COUNTIFS(実績!$W$6:$W$505,Y$3,実績!$AI$6:$AI$505,"&lt;="&amp;$A13,実績!$AJ$6:$AJ$505,"&gt;"&amp;$A13,実績!$AL$6:$AL$505,"○")&gt;0,1,0))</f>
        <v>0</v>
      </c>
      <c r="Z13" s="39" t="n">
        <f aca="false">IF(Z$4=0,0,IF(COUNTIFS(実績!$W$6:$W$505,Z$3,実績!$AI$6:$AI$505,"&lt;="&amp;$A13,実績!$AJ$6:$AJ$505,"&gt;"&amp;$A13,実績!$AL$6:$AL$505,"○")&gt;0,1,0))</f>
        <v>0</v>
      </c>
      <c r="AA13" s="39" t="n">
        <f aca="false">IF(AA$4=0,0,IF(COUNTIFS(実績!$W$6:$W$505,AA$3,実績!$AI$6:$AI$505,"&lt;="&amp;$A13,実績!$AJ$6:$AJ$505,"&gt;"&amp;$A13,実績!$AL$6:$AL$505,"○")&gt;0,1,0))</f>
        <v>0</v>
      </c>
      <c r="AB13" s="39" t="n">
        <f aca="false">IF(AB$4=0,0,IF(COUNTIFS(実績!$W$6:$W$505,AB$3,実績!$AI$6:$AI$505,"&lt;="&amp;$A13,実績!$AJ$6:$AJ$505,"&gt;"&amp;$A13,実績!$AL$6:$AL$505,"○")&gt;0,1,0))</f>
        <v>0</v>
      </c>
      <c r="AC13" s="39" t="n">
        <f aca="false">IF(AC$4=0,0,IF(COUNTIFS(実績!$W$6:$W$505,AC$3,実績!$AI$6:$AI$505,"&lt;="&amp;$A13,実績!$AJ$6:$AJ$505,"&gt;"&amp;$A13,実績!$AL$6:$AL$505,"○")&gt;0,1,0))</f>
        <v>0</v>
      </c>
      <c r="AD13" s="39" t="n">
        <f aca="false">IF(AD$4=0,0,IF(COUNTIFS(実績!$W$6:$W$505,AD$3,実績!$AI$6:$AI$505,"&lt;="&amp;$A13,実績!$AJ$6:$AJ$505,"&gt;"&amp;$A13,実績!$AL$6:$AL$505,"○")&gt;0,1,0))</f>
        <v>0</v>
      </c>
      <c r="AE13" s="39" t="n">
        <f aca="false">IF(AE$4=0,0,IF(COUNTIFS(実績!$W$6:$W$505,AE$3,実績!$AI$6:$AI$505,"&lt;="&amp;$A13,実績!$AJ$6:$AJ$505,"&gt;"&amp;$A13,実績!$AL$6:$AL$505,"○")&gt;0,1,0))</f>
        <v>0</v>
      </c>
      <c r="AF13" s="39" t="n">
        <f aca="false">IF(AF$4=0,0,IF(COUNTIFS(実績!$W$6:$W$505,AF$3,実績!$AI$6:$AI$505,"&lt;="&amp;$A13,実績!$AJ$6:$AJ$505,"&gt;"&amp;$A13,実績!$AL$6:$AL$505,"○")&gt;0,1,0))</f>
        <v>0</v>
      </c>
      <c r="AG13" s="39" t="n">
        <f aca="false">IF(AG$4=0,0,IF(COUNTIFS(実績!$W$6:$W$505,AG$3,実績!$AI$6:$AI$505,"&lt;="&amp;$A13,実績!$AJ$6:$AJ$505,"&gt;"&amp;$A13,実績!$AL$6:$AL$505,"○")&gt;0,1,0))</f>
        <v>0</v>
      </c>
      <c r="AH13" s="39" t="n">
        <f aca="false">IF(AH$4=0,0,IF(COUNTIFS(実績!$W$6:$W$505,AH$3,実績!$AI$6:$AI$505,"&lt;="&amp;$A13,実績!$AJ$6:$AJ$505,"&gt;"&amp;$A13,実績!$AL$6:$AL$505,"○")&gt;0,1,0))</f>
        <v>0</v>
      </c>
      <c r="AI13" s="39" t="n">
        <f aca="false">IF(AI$4=0,0,IF(COUNTIFS(実績!$W$6:$W$505,AI$3,実績!$AI$6:$AI$505,"&lt;="&amp;$A13,実績!$AJ$6:$AJ$505,"&gt;"&amp;$A13,実績!$AL$6:$AL$505,"○")&gt;0,1,0))</f>
        <v>0</v>
      </c>
      <c r="AJ13" s="39" t="n">
        <f aca="false">IF(AJ$4=0,0,IF(COUNTIFS(実績!$W$6:$W$505,AJ$3,実績!$AI$6:$AI$505,"&lt;="&amp;$A13,実績!$AJ$6:$AJ$505,"&gt;"&amp;$A13,実績!$AL$6:$AL$505,"○")&gt;0,1,0))</f>
        <v>0</v>
      </c>
      <c r="AK13" s="39" t="n">
        <f aca="false">IF(AK$4=0,0,IF(COUNTIFS(実績!$W$6:$W$505,AK$3,実績!$AI$6:$AI$505,"&lt;="&amp;$A13,実績!$AJ$6:$AJ$505,"&gt;"&amp;$A13,実績!$AL$6:$AL$505,"○")&gt;0,1,0))</f>
        <v>0</v>
      </c>
      <c r="AL13" s="39" t="n">
        <f aca="false">IF(AL$4=0,0,IF(COUNTIFS(実績!$W$6:$W$505,AL$3,実績!$AI$6:$AI$505,"&lt;="&amp;$A13,実績!$AJ$6:$AJ$505,"&gt;"&amp;$A13,実績!$AL$6:$AL$505,"○")&gt;0,1,0))</f>
        <v>0</v>
      </c>
      <c r="AM13" s="39" t="n">
        <f aca="false">IF(AM$4=0,0,IF(COUNTIFS(実績!$W$6:$W$505,AM$3,実績!$AI$6:$AI$505,"&lt;="&amp;$A13,実績!$AJ$6:$AJ$505,"&gt;"&amp;$A13,実績!$AL$6:$AL$505,"○")&gt;0,1,0))</f>
        <v>0</v>
      </c>
      <c r="AN13" s="39" t="n">
        <f aca="false">IF(AN$4=0,0,IF(COUNTIFS(実績!$W$6:$W$505,AN$3,実績!$AI$6:$AI$505,"&lt;="&amp;$A13,実績!$AJ$6:$AJ$505,"&gt;"&amp;$A13,実績!$AL$6:$AL$505,"○")&gt;0,1,0))</f>
        <v>0</v>
      </c>
      <c r="AO13" s="39" t="n">
        <f aca="false">IF(AO$4=0,0,IF(COUNTIFS(実績!$W$6:$W$505,AO$3,実績!$AI$6:$AI$505,"&lt;="&amp;$A13,実績!$AJ$6:$AJ$505,"&gt;"&amp;$A13,実績!$AL$6:$AL$505,"○")&gt;0,1,0))</f>
        <v>0</v>
      </c>
      <c r="AP13" s="39" t="n">
        <f aca="false">IF(AP$4=0,0,IF(COUNTIFS(実績!$W$6:$W$505,AP$3,実績!$AI$6:$AI$505,"&lt;="&amp;$A13,実績!$AJ$6:$AJ$505,"&gt;"&amp;$A13,実績!$AL$6:$AL$505,"○")&gt;0,1,0))</f>
        <v>0</v>
      </c>
      <c r="AQ13" s="39" t="n">
        <f aca="false">IF(AQ$4=0,0,IF(COUNTIFS(実績!$W$6:$W$505,AQ$3,実績!$AI$6:$AI$505,"&lt;="&amp;$A13,実績!$AJ$6:$AJ$505,"&gt;"&amp;$A13,実績!$AL$6:$AL$505,"○")&gt;0,1,0))</f>
        <v>0</v>
      </c>
      <c r="AR13" s="39" t="n">
        <f aca="false">IF(AR$4=0,0,IF(COUNTIFS(実績!$W$6:$W$505,AR$3,実績!$AI$6:$AI$505,"&lt;="&amp;$A13,実績!$AJ$6:$AJ$505,"&gt;"&amp;$A13,実績!$AL$6:$AL$505,"○")&gt;0,1,0))</f>
        <v>0</v>
      </c>
      <c r="AS13" s="39" t="n">
        <f aca="false">IF(AS$4=0,0,IF(COUNTIFS(実績!$W$6:$W$505,AS$3,実績!$AI$6:$AI$505,"&lt;="&amp;$A13,実績!$AJ$6:$AJ$505,"&gt;"&amp;$A13,実績!$AL$6:$AL$505,"○")&gt;0,1,0))</f>
        <v>0</v>
      </c>
      <c r="AT13" s="39" t="n">
        <f aca="false">IF(AT$4=0,0,IF(COUNTIFS(実績!$W$6:$W$505,AT$3,実績!$AI$6:$AI$505,"&lt;="&amp;$A13,実績!$AJ$6:$AJ$505,"&gt;"&amp;$A13,実績!$AL$6:$AL$505,"○")&gt;0,1,0))</f>
        <v>0</v>
      </c>
      <c r="AU13" s="39" t="n">
        <f aca="false">IF(AU$4=0,0,IF(COUNTIFS(実績!$W$6:$W$505,AU$3,実績!$AI$6:$AI$505,"&lt;="&amp;$A13,実績!$AJ$6:$AJ$505,"&gt;"&amp;$A13,実績!$AL$6:$AL$505,"○")&gt;0,1,0))</f>
        <v>0</v>
      </c>
      <c r="AV13" s="39" t="n">
        <f aca="false">IF(AV$4=0,0,IF(COUNTIFS(実績!$W$6:$W$505,AV$3,実績!$AI$6:$AI$505,"&lt;="&amp;$A13,実績!$AJ$6:$AJ$505,"&gt;"&amp;$A13,実績!$AL$6:$AL$505,"○")&gt;0,1,0))</f>
        <v>0</v>
      </c>
      <c r="AW13" s="39" t="n">
        <f aca="false">IF(AW$4=0,0,IF(COUNTIFS(実績!$W$6:$W$505,AW$3,実績!$AI$6:$AI$505,"&lt;="&amp;$A13,実績!$AJ$6:$AJ$505,"&gt;"&amp;$A13,実績!$AL$6:$AL$505,"○")&gt;0,1,0))</f>
        <v>0</v>
      </c>
      <c r="AX13" s="39" t="n">
        <f aca="false">IF(AX$4=0,0,IF(COUNTIFS(実績!$W$6:$W$505,AX$3,実績!$AI$6:$AI$505,"&lt;="&amp;$A13,実績!$AJ$6:$AJ$505,"&gt;"&amp;$A13,実績!$AL$6:$AL$505,"○")&gt;0,1,0))</f>
        <v>0</v>
      </c>
      <c r="AY13" s="39" t="n">
        <f aca="false">IF(AY$4=0,0,IF(COUNTIFS(実績!$W$6:$W$505,AY$3,実績!$AI$6:$AI$505,"&lt;="&amp;$A13,実績!$AJ$6:$AJ$505,"&gt;"&amp;$A13,実績!$AL$6:$AL$505,"○")&gt;0,1,0))</f>
        <v>0</v>
      </c>
      <c r="AZ13" s="39" t="n">
        <f aca="false">IF(AZ$4=0,0,IF(COUNTIFS(実績!$W$6:$W$505,AZ$3,実績!$AI$6:$AI$505,"&lt;="&amp;$A13,実績!$AJ$6:$AJ$505,"&gt;"&amp;$A13,実績!$AL$6:$AL$505,"○")&gt;0,1,0))</f>
        <v>0</v>
      </c>
      <c r="BA13" s="39" t="n">
        <f aca="false">IF(BA$4=0,0,IF(COUNTIFS(実績!$W$6:$W$505,BA$3,実績!$AI$6:$AI$505,"&lt;="&amp;$A13,実績!$AJ$6:$AJ$505,"&gt;"&amp;$A13,実績!$AL$6:$AL$505,"○")&gt;0,1,0))</f>
        <v>0</v>
      </c>
      <c r="BB13" s="39" t="n">
        <f aca="false">IF(BB$4=0,0,IF(COUNTIFS(実績!$W$6:$W$505,BB$3,実績!$AI$6:$AI$505,"&lt;="&amp;$A13,実績!$AJ$6:$AJ$505,"&gt;"&amp;$A13,実績!$AL$6:$AL$505,"○")&gt;0,1,0))</f>
        <v>0</v>
      </c>
      <c r="BC13" s="39" t="n">
        <f aca="false">IF(BC$4=0,0,IF(COUNTIFS(実績!$W$6:$W$505,BC$3,実績!$AI$6:$AI$505,"&lt;="&amp;$A13,実績!$AJ$6:$AJ$505,"&gt;"&amp;$A13,実績!$AL$6:$AL$505,"○")&gt;0,1,0))</f>
        <v>0</v>
      </c>
      <c r="BD13" s="39" t="n">
        <f aca="false">IF(BD$4=0,0,IF(COUNTIFS(実績!$W$6:$W$505,BD$3,実績!$AI$6:$AI$505,"&lt;="&amp;$A13,実績!$AJ$6:$AJ$505,"&gt;"&amp;$A13,実績!$AL$6:$AL$505,"○")&gt;0,1,0))</f>
        <v>0</v>
      </c>
      <c r="BE13" s="39" t="n">
        <f aca="false">IF(BE$4=0,0,IF(COUNTIFS(実績!$W$6:$W$505,BE$3,実績!$AI$6:$AI$505,"&lt;="&amp;$A13,実績!$AJ$6:$AJ$505,"&gt;"&amp;$A13,実績!$AL$6:$AL$505,"○")&gt;0,1,0))</f>
        <v>0</v>
      </c>
      <c r="BF13" s="39" t="n">
        <f aca="false">IF(BF$4=0,0,IF(COUNTIFS(実績!$W$6:$W$505,BF$3,実績!$AI$6:$AI$505,"&lt;="&amp;$A13,実績!$AJ$6:$AJ$505,"&gt;"&amp;$A13,実績!$AL$6:$AL$505,"○")&gt;0,1,0))</f>
        <v>0</v>
      </c>
      <c r="BG13" s="39" t="n">
        <f aca="false">IF(BG$4=0,0,IF(COUNTIFS(実績!$W$6:$W$505,BG$3,実績!$AI$6:$AI$505,"&lt;="&amp;$A13,実績!$AJ$6:$AJ$505,"&gt;"&amp;$A13,実績!$AL$6:$AL$505,"○")&gt;0,1,0))</f>
        <v>0</v>
      </c>
      <c r="BH13" s="39" t="n">
        <f aca="false">IF(BH$4=0,0,IF(COUNTIFS(実績!$W$6:$W$505,BH$3,実績!$AI$6:$AI$505,"&lt;="&amp;$A13,実績!$AJ$6:$AJ$505,"&gt;"&amp;$A13,実績!$AL$6:$AL$505,"○")&gt;0,1,0))</f>
        <v>0</v>
      </c>
      <c r="BI13" s="39" t="n">
        <f aca="false">IF(BI$4=0,0,IF(COUNTIFS(実績!$W$6:$W$505,BI$3,実績!$AI$6:$AI$505,"&lt;="&amp;$A13,実績!$AJ$6:$AJ$505,"&gt;"&amp;$A13,実績!$AL$6:$AL$505,"○")&gt;0,1,0))</f>
        <v>0</v>
      </c>
      <c r="BJ13" s="39" t="n">
        <f aca="false">IF(BJ$4=0,0,IF(COUNTIFS(実績!$W$6:$W$505,BJ$3,実績!$AI$6:$AI$505,"&lt;="&amp;$A13,実績!$AJ$6:$AJ$505,"&gt;"&amp;$A13,実績!$AL$6:$AL$505,"○")&gt;0,1,0))</f>
        <v>0</v>
      </c>
      <c r="BK13" s="39" t="n">
        <f aca="false">IF(BK$4=0,0,IF(COUNTIFS(実績!$W$6:$W$505,BK$3,実績!$AI$6:$AI$505,"&lt;="&amp;$A13,実績!$AJ$6:$AJ$505,"&gt;"&amp;$A13,実績!$AL$6:$AL$505,"○")&gt;0,1,0))</f>
        <v>0</v>
      </c>
      <c r="BL13" s="39" t="n">
        <f aca="false">IF(BL$4=0,0,IF(COUNTIFS(実績!$W$6:$W$505,BL$3,実績!$AI$6:$AI$505,"&lt;="&amp;$A13,実績!$AJ$6:$AJ$505,"&gt;"&amp;$A13,実績!$AL$6:$AL$505,"○")&gt;0,1,0))</f>
        <v>0</v>
      </c>
      <c r="BM13" s="39" t="n">
        <f aca="false">IF(BM$4=0,0,IF(COUNTIFS(実績!$W$6:$W$505,BM$3,実績!$AI$6:$AI$505,"&lt;="&amp;$A13,実績!$AJ$6:$AJ$505,"&gt;"&amp;$A13,実績!$AL$6:$AL$505,"○")&gt;0,1,0))</f>
        <v>0</v>
      </c>
      <c r="BN13" s="39" t="n">
        <f aca="false">IF(BN$4=0,0,IF(COUNTIFS(実績!$W$6:$W$505,BN$3,実績!$AI$6:$AI$505,"&lt;="&amp;$A13,実績!$AJ$6:$AJ$505,"&gt;"&amp;$A13,実績!$AL$6:$AL$505,"○")&gt;0,1,0))</f>
        <v>0</v>
      </c>
      <c r="BO13" s="39" t="n">
        <f aca="false">IF(BO$4=0,0,IF(COUNTIFS(実績!$W$6:$W$505,BO$3,実績!$AI$6:$AI$505,"&lt;="&amp;$A13,実績!$AJ$6:$AJ$505,"&gt;"&amp;$A13,実績!$AL$6:$AL$505,"○")&gt;0,1,0))</f>
        <v>0</v>
      </c>
      <c r="BP13" s="39" t="n">
        <f aca="false">IF(BP$4=0,0,IF(COUNTIFS(実績!$W$6:$W$505,BP$3,実績!$AI$6:$AI$505,"&lt;="&amp;$A13,実績!$AJ$6:$AJ$505,"&gt;"&amp;$A13,実績!$AL$6:$AL$505,"○")&gt;0,1,0))</f>
        <v>0</v>
      </c>
      <c r="BQ13" s="39" t="n">
        <f aca="false">IF(BQ$4=0,0,IF(COUNTIFS(実績!$W$6:$W$505,BQ$3,実績!$AI$6:$AI$505,"&lt;="&amp;$A13,実績!$AJ$6:$AJ$505,"&gt;"&amp;$A13,実績!$AL$6:$AL$505,"○")&gt;0,1,0))</f>
        <v>0</v>
      </c>
      <c r="BR13" s="39" t="n">
        <f aca="false">IF(BR$4=0,0,IF(COUNTIFS(実績!$W$6:$W$505,BR$3,実績!$AI$6:$AI$505,"&lt;="&amp;$A13,実績!$AJ$6:$AJ$505,"&gt;"&amp;$A13,実績!$AL$6:$AL$505,"○")&gt;0,1,0))</f>
        <v>0</v>
      </c>
      <c r="BS13" s="39" t="n">
        <f aca="false">IF(BS$4=0,0,IF(COUNTIFS(実績!$W$6:$W$505,BS$3,実績!$AI$6:$AI$505,"&lt;="&amp;$A13,実績!$AJ$6:$AJ$505,"&gt;"&amp;$A13,実績!$AL$6:$AL$505,"○")&gt;0,1,0))</f>
        <v>0</v>
      </c>
      <c r="BT13" s="39" t="n">
        <f aca="false">IF(BT$4=0,0,IF(COUNTIFS(実績!$W$6:$W$505,BT$3,実績!$AI$6:$AI$505,"&lt;="&amp;$A13,実績!$AJ$6:$AJ$505,"&gt;"&amp;$A13,実績!$AL$6:$AL$505,"○")&gt;0,1,0))</f>
        <v>0</v>
      </c>
      <c r="BU13" s="39" t="n">
        <f aca="false">IF(BU$4=0,0,IF(COUNTIFS(実績!$W$6:$W$505,BU$3,実績!$AI$6:$AI$505,"&lt;="&amp;$A13,実績!$AJ$6:$AJ$505,"&gt;"&amp;$A13,実績!$AL$6:$AL$505,"○")&gt;0,1,0))</f>
        <v>0</v>
      </c>
      <c r="BV13" s="39" t="n">
        <f aca="false">IF(BV$4=0,0,IF(COUNTIFS(実績!$W$6:$W$505,BV$3,実績!$AI$6:$AI$505,"&lt;="&amp;$A13,実績!$AJ$6:$AJ$505,"&gt;"&amp;$A13,実績!$AL$6:$AL$505,"○")&gt;0,1,0))</f>
        <v>0</v>
      </c>
      <c r="BW13" s="39" t="n">
        <f aca="false">IF(BW$4=0,0,IF(COUNTIFS(実績!$W$6:$W$505,BW$3,実績!$AI$6:$AI$505,"&lt;="&amp;$A13,実績!$AJ$6:$AJ$505,"&gt;"&amp;$A13,実績!$AL$6:$AL$505,"○")&gt;0,1,0))</f>
        <v>0</v>
      </c>
      <c r="BX13" s="39" t="n">
        <f aca="false">IF(BX$4=0,0,IF(COUNTIFS(実績!$W$6:$W$505,BX$3,実績!$AI$6:$AI$505,"&lt;="&amp;$A13,実績!$AJ$6:$AJ$505,"&gt;"&amp;$A13,実績!$AL$6:$AL$505,"○")&gt;0,1,0))</f>
        <v>0</v>
      </c>
      <c r="BY13" s="39" t="n">
        <f aca="false">IF(BY$4=0,0,IF(COUNTIFS(実績!$W$6:$W$505,BY$3,実績!$AI$6:$AI$505,"&lt;="&amp;$A13,実績!$AJ$6:$AJ$505,"&gt;"&amp;$A13,実績!$AL$6:$AL$505,"○")&gt;0,1,0))</f>
        <v>0</v>
      </c>
      <c r="BZ13" s="39" t="n">
        <f aca="false">IF(BZ$4=0,0,IF(COUNTIFS(実績!$W$6:$W$505,BZ$3,実績!$AI$6:$AI$505,"&lt;="&amp;$A13,実績!$AJ$6:$AJ$505,"&gt;"&amp;$A13,実績!$AL$6:$AL$505,"○")&gt;0,1,0))</f>
        <v>0</v>
      </c>
      <c r="CA13" s="39" t="n">
        <f aca="false">IF(CA$4=0,0,IF(COUNTIFS(実績!$W$6:$W$505,CA$3,実績!$AI$6:$AI$505,"&lt;="&amp;$A13,実績!$AJ$6:$AJ$505,"&gt;"&amp;$A13,実績!$AL$6:$AL$505,"○")&gt;0,1,0))</f>
        <v>0</v>
      </c>
      <c r="CB13" s="39" t="n">
        <f aca="false">IF(CB$4=0,0,IF(COUNTIFS(実績!$W$6:$W$505,CB$3,実績!$AI$6:$AI$505,"&lt;="&amp;$A13,実績!$AJ$6:$AJ$505,"&gt;"&amp;$A13,実績!$AL$6:$AL$505,"○")&gt;0,1,0))</f>
        <v>0</v>
      </c>
      <c r="CC13" s="39" t="n">
        <f aca="false">IF(CC$4=0,0,IF(COUNTIFS(実績!$W$6:$W$505,CC$3,実績!$AI$6:$AI$505,"&lt;="&amp;$A13,実績!$AJ$6:$AJ$505,"&gt;"&amp;$A13,実績!$AL$6:$AL$505,"○")&gt;0,1,0))</f>
        <v>0</v>
      </c>
      <c r="CD13" s="39" t="n">
        <f aca="false">IF(CD$4=0,0,IF(COUNTIFS(実績!$W$6:$W$505,CD$3,実績!$AI$6:$AI$505,"&lt;="&amp;$A13,実績!$AJ$6:$AJ$505,"&gt;"&amp;$A13,実績!$AL$6:$AL$505,"○")&gt;0,1,0))</f>
        <v>0</v>
      </c>
      <c r="CE13" s="39" t="n">
        <f aca="false">IF(CE$4=0,0,IF(COUNTIFS(実績!$W$6:$W$505,CE$3,実績!$AI$6:$AI$505,"&lt;="&amp;$A13,実績!$AJ$6:$AJ$505,"&gt;"&amp;$A13,実績!$AL$6:$AL$505,"○")&gt;0,1,0))</f>
        <v>0</v>
      </c>
      <c r="CF13" s="39" t="n">
        <f aca="false">IF(CF$4=0,0,IF(COUNTIFS(実績!$W$6:$W$505,CF$3,実績!$AI$6:$AI$505,"&lt;="&amp;$A13,実績!$AJ$6:$AJ$505,"&gt;"&amp;$A13,実績!$AL$6:$AL$505,"○")&gt;0,1,0))</f>
        <v>0</v>
      </c>
      <c r="CG13" s="39" t="n">
        <f aca="false">IF(CG$4=0,0,IF(COUNTIFS(実績!$W$6:$W$505,CG$3,実績!$AI$6:$AI$505,"&lt;="&amp;$A13,実績!$AJ$6:$AJ$505,"&gt;"&amp;$A13,実績!$AL$6:$AL$505,"○")&gt;0,1,0))</f>
        <v>0</v>
      </c>
      <c r="CH13" s="39" t="n">
        <f aca="false">IF(CH$4=0,0,IF(COUNTIFS(実績!$W$6:$W$505,CH$3,実績!$AI$6:$AI$505,"&lt;="&amp;$A13,実績!$AJ$6:$AJ$505,"&gt;"&amp;$A13,実績!$AL$6:$AL$505,"○")&gt;0,1,0))</f>
        <v>0</v>
      </c>
      <c r="CI13" s="39" t="n">
        <f aca="false">IF(CI$4=0,0,IF(COUNTIFS(実績!$W$6:$W$505,CI$3,実績!$AI$6:$AI$505,"&lt;="&amp;$A13,実績!$AJ$6:$AJ$505,"&gt;"&amp;$A13,実績!$AL$6:$AL$505,"○")&gt;0,1,0))</f>
        <v>0</v>
      </c>
      <c r="CJ13" s="39" t="n">
        <f aca="false">IF(CJ$4=0,0,IF(COUNTIFS(実績!$W$6:$W$505,CJ$3,実績!$AI$6:$AI$505,"&lt;="&amp;$A13,実績!$AJ$6:$AJ$505,"&gt;"&amp;$A13,実績!$AL$6:$AL$505,"○")&gt;0,1,0))</f>
        <v>0</v>
      </c>
      <c r="CK13" s="39" t="n">
        <f aca="false">IF(CK$4=0,0,IF(COUNTIFS(実績!$W$6:$W$505,CK$3,実績!$AI$6:$AI$505,"&lt;="&amp;$A13,実績!$AJ$6:$AJ$505,"&gt;"&amp;$A13,実績!$AL$6:$AL$505,"○")&gt;0,1,0))</f>
        <v>0</v>
      </c>
      <c r="CL13" s="39" t="n">
        <f aca="false">IF(CL$4=0,0,IF(COUNTIFS(実績!$W$6:$W$505,CL$3,実績!$AI$6:$AI$505,"&lt;="&amp;$A13,実績!$AJ$6:$AJ$505,"&gt;"&amp;$A13,実績!$AL$6:$AL$505,"○")&gt;0,1,0))</f>
        <v>0</v>
      </c>
      <c r="CM13" s="39" t="n">
        <f aca="false">IF(CM$4=0,0,IF(COUNTIFS(実績!$W$6:$W$505,CM$3,実績!$AI$6:$AI$505,"&lt;="&amp;$A13,実績!$AJ$6:$AJ$505,"&gt;"&amp;$A13,実績!$AL$6:$AL$505,"○")&gt;0,1,0))</f>
        <v>0</v>
      </c>
      <c r="CN13" s="39" t="n">
        <f aca="false">IF(CN$4=0,0,IF(COUNTIFS(実績!$W$6:$W$505,CN$3,実績!$AI$6:$AI$505,"&lt;="&amp;$A13,実績!$AJ$6:$AJ$505,"&gt;"&amp;$A13,実績!$AL$6:$AL$505,"○")&gt;0,1,0))</f>
        <v>0</v>
      </c>
      <c r="CO13" s="39" t="n">
        <f aca="false">IF(CO$4=0,0,IF(COUNTIFS(実績!$W$6:$W$505,CO$3,実績!$AI$6:$AI$505,"&lt;="&amp;$A13,実績!$AJ$6:$AJ$505,"&gt;"&amp;$A13,実績!$AL$6:$AL$505,"○")&gt;0,1,0))</f>
        <v>0</v>
      </c>
      <c r="CP13" s="39" t="n">
        <f aca="false">IF(CP$4=0,0,IF(COUNTIFS(実績!$W$6:$W$505,CP$3,実績!$AI$6:$AI$505,"&lt;="&amp;$A13,実績!$AJ$6:$AJ$505,"&gt;"&amp;$A13,実績!$AL$6:$AL$505,"○")&gt;0,1,0))</f>
        <v>0</v>
      </c>
      <c r="CQ13" s="39" t="n">
        <f aca="false">IF(CQ$4=0,0,IF(COUNTIFS(実績!$W$6:$W$505,CQ$3,実績!$AI$6:$AI$505,"&lt;="&amp;$A13,実績!$AJ$6:$AJ$505,"&gt;"&amp;$A13,実績!$AL$6:$AL$505,"○")&gt;0,1,0))</f>
        <v>0</v>
      </c>
      <c r="CR13" s="39" t="n">
        <f aca="false">IF(CR$4=0,0,IF(COUNTIFS(実績!$W$6:$W$505,CR$3,実績!$AI$6:$AI$505,"&lt;="&amp;$A13,実績!$AJ$6:$AJ$505,"&gt;"&amp;$A13,実績!$AL$6:$AL$505,"○")&gt;0,1,0))</f>
        <v>0</v>
      </c>
      <c r="CS13" s="39" t="n">
        <f aca="false">IF(CS$4=0,0,IF(COUNTIFS(実績!$W$6:$W$505,CS$3,実績!$AI$6:$AI$505,"&lt;="&amp;$A13,実績!$AJ$6:$AJ$505,"&gt;"&amp;$A13,実績!$AL$6:$AL$505,"○")&gt;0,1,0))</f>
        <v>0</v>
      </c>
      <c r="CT13" s="39" t="n">
        <f aca="false">IF(CT$4=0,0,IF(COUNTIFS(実績!$W$6:$W$505,CT$3,実績!$AI$6:$AI$505,"&lt;="&amp;$A13,実績!$AJ$6:$AJ$505,"&gt;"&amp;$A13,実績!$AL$6:$AL$505,"○")&gt;0,1,0))</f>
        <v>0</v>
      </c>
      <c r="CU13" s="39" t="n">
        <f aca="false">IF(CU$4=0,0,IF(COUNTIFS(実績!$W$6:$W$505,CU$3,実績!$AI$6:$AI$505,"&lt;="&amp;$A13,実績!$AJ$6:$AJ$505,"&gt;"&amp;$A13,実績!$AL$6:$AL$505,"○")&gt;0,1,0))</f>
        <v>0</v>
      </c>
      <c r="CV13" s="39" t="n">
        <f aca="false">IF(CV$4=0,0,IF(COUNTIFS(実績!$W$6:$W$505,CV$3,実績!$AI$6:$AI$505,"&lt;="&amp;$A13,実績!$AJ$6:$AJ$505,"&gt;"&amp;$A13,実績!$AL$6:$AL$505,"○")&gt;0,1,0))</f>
        <v>0</v>
      </c>
      <c r="CW13" s="39" t="n">
        <f aca="false">IF(CW$4=0,0,IF(COUNTIFS(実績!$W$6:$W$505,CW$3,実績!$AI$6:$AI$505,"&lt;="&amp;$A13,実績!$AJ$6:$AJ$505,"&gt;"&amp;$A13,実績!$AL$6:$AL$505,"○")&gt;0,1,0))</f>
        <v>0</v>
      </c>
      <c r="CX13" s="39" t="n">
        <f aca="false">IF(CX$4=0,0,IF(COUNTIFS(実績!$W$6:$W$505,CX$3,実績!$AI$6:$AI$505,"&lt;="&amp;$A13,実績!$AJ$6:$AJ$505,"&gt;"&amp;$A13,実績!$AL$6:$AL$505,"○")&gt;0,1,0))</f>
        <v>0</v>
      </c>
      <c r="CY13" s="39" t="n">
        <f aca="false">IF(CY$4=0,0,IF(COUNTIFS(実績!$W$6:$W$505,CY$3,実績!$AI$6:$AI$505,"&lt;="&amp;$A13,実績!$AJ$6:$AJ$505,"&gt;"&amp;$A13,実績!$AL$6:$AL$505,"○")&gt;0,1,0))</f>
        <v>0</v>
      </c>
      <c r="CZ13" s="39" t="n">
        <f aca="false">IF(CZ$4=0,0,IF(COUNTIFS(実績!$W$6:$W$505,CZ$3,実績!$AI$6:$AI$505,"&lt;="&amp;$A13,実績!$AJ$6:$AJ$505,"&gt;"&amp;$A13,実績!$AL$6:$AL$505,"○")&gt;0,1,0))</f>
        <v>0</v>
      </c>
      <c r="DA13" s="39" t="n">
        <f aca="false">IF(DA$4=0,0,IF(COUNTIFS(実績!$W$6:$W$505,DA$3,実績!$AI$6:$AI$505,"&lt;="&amp;$A13,実績!$AJ$6:$AJ$505,"&gt;"&amp;$A13,実績!$AL$6:$AL$505,"○")&gt;0,1,0))</f>
        <v>0</v>
      </c>
      <c r="DB13" s="39" t="n">
        <f aca="false">IF(DB$4=0,0,IF(COUNTIFS(実績!$W$6:$W$505,DB$3,実績!$AI$6:$AI$505,"&lt;="&amp;$A13,実績!$AJ$6:$AJ$505,"&gt;"&amp;$A13,実績!$AL$6:$AL$505,"○")&gt;0,1,0))</f>
        <v>0</v>
      </c>
      <c r="DC13" s="39" t="n">
        <f aca="false">IF(DC$4=0,0,IF(COUNTIFS(実績!$W$6:$W$505,DC$3,実績!$AI$6:$AI$505,"&lt;="&amp;$A13,実績!$AJ$6:$AJ$505,"&gt;"&amp;$A13,実績!$AL$6:$AL$505,"○")&gt;0,1,0))</f>
        <v>0</v>
      </c>
      <c r="DD13" s="39" t="n">
        <f aca="false">IF(DD$4=0,0,IF(COUNTIFS(実績!$W$6:$W$505,DD$3,実績!$AI$6:$AI$505,"&lt;="&amp;$A13,実績!$AJ$6:$AJ$505,"&gt;"&amp;$A13,実績!$AL$6:$AL$505,"○")&gt;0,1,0))</f>
        <v>0</v>
      </c>
      <c r="DE13" s="39" t="n">
        <f aca="false">IF(DE$4=0,0,IF(COUNTIFS(実績!$W$6:$W$505,DE$3,実績!$AI$6:$AI$505,"&lt;="&amp;$A13,実績!$AJ$6:$AJ$505,"&gt;"&amp;$A13,実績!$AL$6:$AL$505,"○")&gt;0,1,0))</f>
        <v>0</v>
      </c>
      <c r="DF13" s="39" t="n">
        <f aca="false">IF(DF$4=0,0,IF(COUNTIFS(実績!$W$6:$W$505,DF$3,実績!$AI$6:$AI$505,"&lt;="&amp;$A13,実績!$AJ$6:$AJ$505,"&gt;"&amp;$A13,実績!$AL$6:$AL$505,"○")&gt;0,1,0))</f>
        <v>0</v>
      </c>
      <c r="DG13" s="39" t="n">
        <f aca="false">IF(DG$4=0,0,IF(COUNTIFS(実績!$W$6:$W$505,DG$3,実績!$AI$6:$AI$505,"&lt;="&amp;$A13,実績!$AJ$6:$AJ$505,"&gt;"&amp;$A13,実績!$AL$6:$AL$505,"○")&gt;0,1,0))</f>
        <v>0</v>
      </c>
      <c r="DH13" s="39" t="n">
        <f aca="false">IF(DH$4=0,0,IF(COUNTIFS(実績!$W$6:$W$505,DH$3,実績!$AI$6:$AI$505,"&lt;="&amp;$A13,実績!$AJ$6:$AJ$505,"&gt;"&amp;$A13,実績!$AL$6:$AL$505,"○")&gt;0,1,0))</f>
        <v>0</v>
      </c>
      <c r="DI13" s="39" t="n">
        <f aca="false">IF(DI$4=0,0,IF(COUNTIFS(実績!$W$6:$W$505,DI$3,実績!$AI$6:$AI$505,"&lt;="&amp;$A13,実績!$AJ$6:$AJ$505,"&gt;"&amp;$A13,実績!$AL$6:$AL$505,"○")&gt;0,1,0))</f>
        <v>0</v>
      </c>
      <c r="DJ13" s="39" t="n">
        <f aca="false">IF(DJ$4=0,0,IF(COUNTIFS(実績!$W$6:$W$505,DJ$3,実績!$AI$6:$AI$505,"&lt;="&amp;$A13,実績!$AJ$6:$AJ$505,"&gt;"&amp;$A13,実績!$AL$6:$AL$505,"○")&gt;0,1,0))</f>
        <v>0</v>
      </c>
      <c r="DK13" s="39" t="n">
        <f aca="false">IF(DK$4=0,0,IF(COUNTIFS(実績!$W$6:$W$505,DK$3,実績!$AI$6:$AI$505,"&lt;="&amp;$A13,実績!$AJ$6:$AJ$505,"&gt;"&amp;$A13,実績!$AL$6:$AL$505,"○")&gt;0,1,0))</f>
        <v>0</v>
      </c>
      <c r="DL13" s="39" t="n">
        <f aca="false">IF(DL$4=0,0,IF(COUNTIFS(実績!$W$6:$W$505,DL$3,実績!$AI$6:$AI$505,"&lt;="&amp;$A13,実績!$AJ$6:$AJ$505,"&gt;"&amp;$A13,実績!$AL$6:$AL$505,"○")&gt;0,1,0))</f>
        <v>0</v>
      </c>
      <c r="DM13" s="39" t="n">
        <f aca="false">IF(DM$4=0,0,IF(COUNTIFS(実績!$W$6:$W$505,DM$3,実績!$AI$6:$AI$505,"&lt;="&amp;$A13,実績!$AJ$6:$AJ$505,"&gt;"&amp;$A13,実績!$AL$6:$AL$505,"○")&gt;0,1,0))</f>
        <v>0</v>
      </c>
      <c r="DN13" s="39" t="n">
        <f aca="false">IF(DN$4=0,0,IF(COUNTIFS(実績!$W$6:$W$505,DN$3,実績!$AI$6:$AI$505,"&lt;="&amp;$A13,実績!$AJ$6:$AJ$505,"&gt;"&amp;$A13,実績!$AL$6:$AL$505,"○")&gt;0,1,0))</f>
        <v>0</v>
      </c>
      <c r="DO13" s="39" t="n">
        <f aca="false">IF(DO$4=0,0,IF(COUNTIFS(実績!$W$6:$W$505,DO$3,実績!$AI$6:$AI$505,"&lt;="&amp;$A13,実績!$AJ$6:$AJ$505,"&gt;"&amp;$A13,実績!$AL$6:$AL$505,"○")&gt;0,1,0))</f>
        <v>0</v>
      </c>
      <c r="DP13" s="39" t="n">
        <f aca="false">IF(DP$4=0,0,IF(COUNTIFS(実績!$W$6:$W$505,DP$3,実績!$AI$6:$AI$505,"&lt;="&amp;$A13,実績!$AJ$6:$AJ$505,"&gt;"&amp;$A13,実績!$AL$6:$AL$505,"○")&gt;0,1,0))</f>
        <v>0</v>
      </c>
      <c r="DQ13" s="39" t="n">
        <f aca="false">IF(DQ$4=0,0,IF(COUNTIFS(実績!$W$6:$W$505,DQ$3,実績!$AI$6:$AI$505,"&lt;="&amp;$A13,実績!$AJ$6:$AJ$505,"&gt;"&amp;$A13,実績!$AL$6:$AL$505,"○")&gt;0,1,0))</f>
        <v>0</v>
      </c>
      <c r="DR13" s="39" t="n">
        <f aca="false">IF(DR$4=0,0,IF(COUNTIFS(実績!$W$6:$W$505,DR$3,実績!$AI$6:$AI$505,"&lt;="&amp;$A13,実績!$AJ$6:$AJ$505,"&gt;"&amp;$A13,実績!$AL$6:$AL$505,"○")&gt;0,1,0))</f>
        <v>0</v>
      </c>
      <c r="DS13" s="39" t="n">
        <f aca="false">SUM(C13:DR13)</f>
        <v>0</v>
      </c>
    </row>
    <row r="14" customFormat="false" ht="15" hidden="false" customHeight="false" outlineLevel="0" collapsed="false">
      <c r="A14" s="0" t="n">
        <v>40</v>
      </c>
      <c r="B14" s="38" t="n">
        <f aca="false">A14/1440</f>
        <v>0.0277777777777778</v>
      </c>
      <c r="C14" s="39" t="n">
        <f aca="false">IF(C$4=0,0,IF(COUNTIFS(実績!$W$6:$W$505,C$3,実績!$AI$6:$AI$505,"&lt;="&amp;$A14,実績!$AJ$6:$AJ$505,"&gt;"&amp;$A14,実績!$AL$6:$AL$505,"○")&gt;0,1,0))</f>
        <v>0</v>
      </c>
      <c r="D14" s="39" t="n">
        <f aca="false">IF(D$4=0,0,IF(COUNTIFS(実績!$W$6:$W$505,D$3,実績!$AI$6:$AI$505,"&lt;="&amp;$A14,実績!$AJ$6:$AJ$505,"&gt;"&amp;$A14,実績!$AL$6:$AL$505,"○")&gt;0,1,0))</f>
        <v>0</v>
      </c>
      <c r="E14" s="39" t="n">
        <f aca="false">IF(E$4=0,0,IF(COUNTIFS(実績!$W$6:$W$505,E$3,実績!$AI$6:$AI$505,"&lt;="&amp;$A14,実績!$AJ$6:$AJ$505,"&gt;"&amp;$A14,実績!$AL$6:$AL$505,"○")&gt;0,1,0))</f>
        <v>0</v>
      </c>
      <c r="F14" s="39" t="n">
        <f aca="false">IF(F$4=0,0,IF(COUNTIFS(実績!$W$6:$W$505,F$3,実績!$AI$6:$AI$505,"&lt;="&amp;$A14,実績!$AJ$6:$AJ$505,"&gt;"&amp;$A14,実績!$AL$6:$AL$505,"○")&gt;0,1,0))</f>
        <v>0</v>
      </c>
      <c r="G14" s="39" t="n">
        <f aca="false">IF(G$4=0,0,IF(COUNTIFS(実績!$W$6:$W$505,G$3,実績!$AI$6:$AI$505,"&lt;="&amp;$A14,実績!$AJ$6:$AJ$505,"&gt;"&amp;$A14,実績!$AL$6:$AL$505,"○")&gt;0,1,0))</f>
        <v>0</v>
      </c>
      <c r="H14" s="39" t="n">
        <f aca="false">IF(H$4=0,0,IF(COUNTIFS(実績!$W$6:$W$505,H$3,実績!$AI$6:$AI$505,"&lt;="&amp;$A14,実績!$AJ$6:$AJ$505,"&gt;"&amp;$A14,実績!$AL$6:$AL$505,"○")&gt;0,1,0))</f>
        <v>0</v>
      </c>
      <c r="I14" s="39" t="n">
        <f aca="false">IF(I$4=0,0,IF(COUNTIFS(実績!$W$6:$W$505,I$3,実績!$AI$6:$AI$505,"&lt;="&amp;$A14,実績!$AJ$6:$AJ$505,"&gt;"&amp;$A14,実績!$AL$6:$AL$505,"○")&gt;0,1,0))</f>
        <v>0</v>
      </c>
      <c r="J14" s="39" t="n">
        <f aca="false">IF(J$4=0,0,IF(COUNTIFS(実績!$W$6:$W$505,J$3,実績!$AI$6:$AI$505,"&lt;="&amp;$A14,実績!$AJ$6:$AJ$505,"&gt;"&amp;$A14,実績!$AL$6:$AL$505,"○")&gt;0,1,0))</f>
        <v>0</v>
      </c>
      <c r="K14" s="39" t="n">
        <f aca="false">IF(K$4=0,0,IF(COUNTIFS(実績!$W$6:$W$505,K$3,実績!$AI$6:$AI$505,"&lt;="&amp;$A14,実績!$AJ$6:$AJ$505,"&gt;"&amp;$A14,実績!$AL$6:$AL$505,"○")&gt;0,1,0))</f>
        <v>0</v>
      </c>
      <c r="L14" s="39" t="n">
        <f aca="false">IF(L$4=0,0,IF(COUNTIFS(実績!$W$6:$W$505,L$3,実績!$AI$6:$AI$505,"&lt;="&amp;$A14,実績!$AJ$6:$AJ$505,"&gt;"&amp;$A14,実績!$AL$6:$AL$505,"○")&gt;0,1,0))</f>
        <v>0</v>
      </c>
      <c r="M14" s="39" t="n">
        <f aca="false">IF(M$4=0,0,IF(COUNTIFS(実績!$W$6:$W$505,M$3,実績!$AI$6:$AI$505,"&lt;="&amp;$A14,実績!$AJ$6:$AJ$505,"&gt;"&amp;$A14,実績!$AL$6:$AL$505,"○")&gt;0,1,0))</f>
        <v>0</v>
      </c>
      <c r="N14" s="39" t="n">
        <f aca="false">IF(N$4=0,0,IF(COUNTIFS(実績!$W$6:$W$505,N$3,実績!$AI$6:$AI$505,"&lt;="&amp;$A14,実績!$AJ$6:$AJ$505,"&gt;"&amp;$A14,実績!$AL$6:$AL$505,"○")&gt;0,1,0))</f>
        <v>0</v>
      </c>
      <c r="O14" s="39" t="n">
        <f aca="false">IF(O$4=0,0,IF(COUNTIFS(実績!$W$6:$W$505,O$3,実績!$AI$6:$AI$505,"&lt;="&amp;$A14,実績!$AJ$6:$AJ$505,"&gt;"&amp;$A14,実績!$AL$6:$AL$505,"○")&gt;0,1,0))</f>
        <v>0</v>
      </c>
      <c r="P14" s="39" t="n">
        <f aca="false">IF(P$4=0,0,IF(COUNTIFS(実績!$W$6:$W$505,P$3,実績!$AI$6:$AI$505,"&lt;="&amp;$A14,実績!$AJ$6:$AJ$505,"&gt;"&amp;$A14,実績!$AL$6:$AL$505,"○")&gt;0,1,0))</f>
        <v>0</v>
      </c>
      <c r="Q14" s="39" t="n">
        <f aca="false">IF(Q$4=0,0,IF(COUNTIFS(実績!$W$6:$W$505,Q$3,実績!$AI$6:$AI$505,"&lt;="&amp;$A14,実績!$AJ$6:$AJ$505,"&gt;"&amp;$A14,実績!$AL$6:$AL$505,"○")&gt;0,1,0))</f>
        <v>0</v>
      </c>
      <c r="R14" s="39" t="n">
        <f aca="false">IF(R$4=0,0,IF(COUNTIFS(実績!$W$6:$W$505,R$3,実績!$AI$6:$AI$505,"&lt;="&amp;$A14,実績!$AJ$6:$AJ$505,"&gt;"&amp;$A14,実績!$AL$6:$AL$505,"○")&gt;0,1,0))</f>
        <v>0</v>
      </c>
      <c r="S14" s="39" t="n">
        <f aca="false">IF(S$4=0,0,IF(COUNTIFS(実績!$W$6:$W$505,S$3,実績!$AI$6:$AI$505,"&lt;="&amp;$A14,実績!$AJ$6:$AJ$505,"&gt;"&amp;$A14,実績!$AL$6:$AL$505,"○")&gt;0,1,0))</f>
        <v>0</v>
      </c>
      <c r="T14" s="39" t="n">
        <f aca="false">IF(T$4=0,0,IF(COUNTIFS(実績!$W$6:$W$505,T$3,実績!$AI$6:$AI$505,"&lt;="&amp;$A14,実績!$AJ$6:$AJ$505,"&gt;"&amp;$A14,実績!$AL$6:$AL$505,"○")&gt;0,1,0))</f>
        <v>0</v>
      </c>
      <c r="U14" s="39" t="n">
        <f aca="false">IF(U$4=0,0,IF(COUNTIFS(実績!$W$6:$W$505,U$3,実績!$AI$6:$AI$505,"&lt;="&amp;$A14,実績!$AJ$6:$AJ$505,"&gt;"&amp;$A14,実績!$AL$6:$AL$505,"○")&gt;0,1,0))</f>
        <v>0</v>
      </c>
      <c r="V14" s="39" t="n">
        <f aca="false">IF(V$4=0,0,IF(COUNTIFS(実績!$W$6:$W$505,V$3,実績!$AI$6:$AI$505,"&lt;="&amp;$A14,実績!$AJ$6:$AJ$505,"&gt;"&amp;$A14,実績!$AL$6:$AL$505,"○")&gt;0,1,0))</f>
        <v>0</v>
      </c>
      <c r="W14" s="39" t="n">
        <f aca="false">IF(W$4=0,0,IF(COUNTIFS(実績!$W$6:$W$505,W$3,実績!$AI$6:$AI$505,"&lt;="&amp;$A14,実績!$AJ$6:$AJ$505,"&gt;"&amp;$A14,実績!$AL$6:$AL$505,"○")&gt;0,1,0))</f>
        <v>0</v>
      </c>
      <c r="X14" s="39" t="n">
        <f aca="false">IF(X$4=0,0,IF(COUNTIFS(実績!$W$6:$W$505,X$3,実績!$AI$6:$AI$505,"&lt;="&amp;$A14,実績!$AJ$6:$AJ$505,"&gt;"&amp;$A14,実績!$AL$6:$AL$505,"○")&gt;0,1,0))</f>
        <v>0</v>
      </c>
      <c r="Y14" s="39" t="n">
        <f aca="false">IF(Y$4=0,0,IF(COUNTIFS(実績!$W$6:$W$505,Y$3,実績!$AI$6:$AI$505,"&lt;="&amp;$A14,実績!$AJ$6:$AJ$505,"&gt;"&amp;$A14,実績!$AL$6:$AL$505,"○")&gt;0,1,0))</f>
        <v>0</v>
      </c>
      <c r="Z14" s="39" t="n">
        <f aca="false">IF(Z$4=0,0,IF(COUNTIFS(実績!$W$6:$W$505,Z$3,実績!$AI$6:$AI$505,"&lt;="&amp;$A14,実績!$AJ$6:$AJ$505,"&gt;"&amp;$A14,実績!$AL$6:$AL$505,"○")&gt;0,1,0))</f>
        <v>0</v>
      </c>
      <c r="AA14" s="39" t="n">
        <f aca="false">IF(AA$4=0,0,IF(COUNTIFS(実績!$W$6:$W$505,AA$3,実績!$AI$6:$AI$505,"&lt;="&amp;$A14,実績!$AJ$6:$AJ$505,"&gt;"&amp;$A14,実績!$AL$6:$AL$505,"○")&gt;0,1,0))</f>
        <v>0</v>
      </c>
      <c r="AB14" s="39" t="n">
        <f aca="false">IF(AB$4=0,0,IF(COUNTIFS(実績!$W$6:$W$505,AB$3,実績!$AI$6:$AI$505,"&lt;="&amp;$A14,実績!$AJ$6:$AJ$505,"&gt;"&amp;$A14,実績!$AL$6:$AL$505,"○")&gt;0,1,0))</f>
        <v>0</v>
      </c>
      <c r="AC14" s="39" t="n">
        <f aca="false">IF(AC$4=0,0,IF(COUNTIFS(実績!$W$6:$W$505,AC$3,実績!$AI$6:$AI$505,"&lt;="&amp;$A14,実績!$AJ$6:$AJ$505,"&gt;"&amp;$A14,実績!$AL$6:$AL$505,"○")&gt;0,1,0))</f>
        <v>0</v>
      </c>
      <c r="AD14" s="39" t="n">
        <f aca="false">IF(AD$4=0,0,IF(COUNTIFS(実績!$W$6:$W$505,AD$3,実績!$AI$6:$AI$505,"&lt;="&amp;$A14,実績!$AJ$6:$AJ$505,"&gt;"&amp;$A14,実績!$AL$6:$AL$505,"○")&gt;0,1,0))</f>
        <v>0</v>
      </c>
      <c r="AE14" s="39" t="n">
        <f aca="false">IF(AE$4=0,0,IF(COUNTIFS(実績!$W$6:$W$505,AE$3,実績!$AI$6:$AI$505,"&lt;="&amp;$A14,実績!$AJ$6:$AJ$505,"&gt;"&amp;$A14,実績!$AL$6:$AL$505,"○")&gt;0,1,0))</f>
        <v>0</v>
      </c>
      <c r="AF14" s="39" t="n">
        <f aca="false">IF(AF$4=0,0,IF(COUNTIFS(実績!$W$6:$W$505,AF$3,実績!$AI$6:$AI$505,"&lt;="&amp;$A14,実績!$AJ$6:$AJ$505,"&gt;"&amp;$A14,実績!$AL$6:$AL$505,"○")&gt;0,1,0))</f>
        <v>0</v>
      </c>
      <c r="AG14" s="39" t="n">
        <f aca="false">IF(AG$4=0,0,IF(COUNTIFS(実績!$W$6:$W$505,AG$3,実績!$AI$6:$AI$505,"&lt;="&amp;$A14,実績!$AJ$6:$AJ$505,"&gt;"&amp;$A14,実績!$AL$6:$AL$505,"○")&gt;0,1,0))</f>
        <v>0</v>
      </c>
      <c r="AH14" s="39" t="n">
        <f aca="false">IF(AH$4=0,0,IF(COUNTIFS(実績!$W$6:$W$505,AH$3,実績!$AI$6:$AI$505,"&lt;="&amp;$A14,実績!$AJ$6:$AJ$505,"&gt;"&amp;$A14,実績!$AL$6:$AL$505,"○")&gt;0,1,0))</f>
        <v>0</v>
      </c>
      <c r="AI14" s="39" t="n">
        <f aca="false">IF(AI$4=0,0,IF(COUNTIFS(実績!$W$6:$W$505,AI$3,実績!$AI$6:$AI$505,"&lt;="&amp;$A14,実績!$AJ$6:$AJ$505,"&gt;"&amp;$A14,実績!$AL$6:$AL$505,"○")&gt;0,1,0))</f>
        <v>0</v>
      </c>
      <c r="AJ14" s="39" t="n">
        <f aca="false">IF(AJ$4=0,0,IF(COUNTIFS(実績!$W$6:$W$505,AJ$3,実績!$AI$6:$AI$505,"&lt;="&amp;$A14,実績!$AJ$6:$AJ$505,"&gt;"&amp;$A14,実績!$AL$6:$AL$505,"○")&gt;0,1,0))</f>
        <v>0</v>
      </c>
      <c r="AK14" s="39" t="n">
        <f aca="false">IF(AK$4=0,0,IF(COUNTIFS(実績!$W$6:$W$505,AK$3,実績!$AI$6:$AI$505,"&lt;="&amp;$A14,実績!$AJ$6:$AJ$505,"&gt;"&amp;$A14,実績!$AL$6:$AL$505,"○")&gt;0,1,0))</f>
        <v>0</v>
      </c>
      <c r="AL14" s="39" t="n">
        <f aca="false">IF(AL$4=0,0,IF(COUNTIFS(実績!$W$6:$W$505,AL$3,実績!$AI$6:$AI$505,"&lt;="&amp;$A14,実績!$AJ$6:$AJ$505,"&gt;"&amp;$A14,実績!$AL$6:$AL$505,"○")&gt;0,1,0))</f>
        <v>0</v>
      </c>
      <c r="AM14" s="39" t="n">
        <f aca="false">IF(AM$4=0,0,IF(COUNTIFS(実績!$W$6:$W$505,AM$3,実績!$AI$6:$AI$505,"&lt;="&amp;$A14,実績!$AJ$6:$AJ$505,"&gt;"&amp;$A14,実績!$AL$6:$AL$505,"○")&gt;0,1,0))</f>
        <v>0</v>
      </c>
      <c r="AN14" s="39" t="n">
        <f aca="false">IF(AN$4=0,0,IF(COUNTIFS(実績!$W$6:$W$505,AN$3,実績!$AI$6:$AI$505,"&lt;="&amp;$A14,実績!$AJ$6:$AJ$505,"&gt;"&amp;$A14,実績!$AL$6:$AL$505,"○")&gt;0,1,0))</f>
        <v>0</v>
      </c>
      <c r="AO14" s="39" t="n">
        <f aca="false">IF(AO$4=0,0,IF(COUNTIFS(実績!$W$6:$W$505,AO$3,実績!$AI$6:$AI$505,"&lt;="&amp;$A14,実績!$AJ$6:$AJ$505,"&gt;"&amp;$A14,実績!$AL$6:$AL$505,"○")&gt;0,1,0))</f>
        <v>0</v>
      </c>
      <c r="AP14" s="39" t="n">
        <f aca="false">IF(AP$4=0,0,IF(COUNTIFS(実績!$W$6:$W$505,AP$3,実績!$AI$6:$AI$505,"&lt;="&amp;$A14,実績!$AJ$6:$AJ$505,"&gt;"&amp;$A14,実績!$AL$6:$AL$505,"○")&gt;0,1,0))</f>
        <v>0</v>
      </c>
      <c r="AQ14" s="39" t="n">
        <f aca="false">IF(AQ$4=0,0,IF(COUNTIFS(実績!$W$6:$W$505,AQ$3,実績!$AI$6:$AI$505,"&lt;="&amp;$A14,実績!$AJ$6:$AJ$505,"&gt;"&amp;$A14,実績!$AL$6:$AL$505,"○")&gt;0,1,0))</f>
        <v>0</v>
      </c>
      <c r="AR14" s="39" t="n">
        <f aca="false">IF(AR$4=0,0,IF(COUNTIFS(実績!$W$6:$W$505,AR$3,実績!$AI$6:$AI$505,"&lt;="&amp;$A14,実績!$AJ$6:$AJ$505,"&gt;"&amp;$A14,実績!$AL$6:$AL$505,"○")&gt;0,1,0))</f>
        <v>0</v>
      </c>
      <c r="AS14" s="39" t="n">
        <f aca="false">IF(AS$4=0,0,IF(COUNTIFS(実績!$W$6:$W$505,AS$3,実績!$AI$6:$AI$505,"&lt;="&amp;$A14,実績!$AJ$6:$AJ$505,"&gt;"&amp;$A14,実績!$AL$6:$AL$505,"○")&gt;0,1,0))</f>
        <v>0</v>
      </c>
      <c r="AT14" s="39" t="n">
        <f aca="false">IF(AT$4=0,0,IF(COUNTIFS(実績!$W$6:$W$505,AT$3,実績!$AI$6:$AI$505,"&lt;="&amp;$A14,実績!$AJ$6:$AJ$505,"&gt;"&amp;$A14,実績!$AL$6:$AL$505,"○")&gt;0,1,0))</f>
        <v>0</v>
      </c>
      <c r="AU14" s="39" t="n">
        <f aca="false">IF(AU$4=0,0,IF(COUNTIFS(実績!$W$6:$W$505,AU$3,実績!$AI$6:$AI$505,"&lt;="&amp;$A14,実績!$AJ$6:$AJ$505,"&gt;"&amp;$A14,実績!$AL$6:$AL$505,"○")&gt;0,1,0))</f>
        <v>0</v>
      </c>
      <c r="AV14" s="39" t="n">
        <f aca="false">IF(AV$4=0,0,IF(COUNTIFS(実績!$W$6:$W$505,AV$3,実績!$AI$6:$AI$505,"&lt;="&amp;$A14,実績!$AJ$6:$AJ$505,"&gt;"&amp;$A14,実績!$AL$6:$AL$505,"○")&gt;0,1,0))</f>
        <v>0</v>
      </c>
      <c r="AW14" s="39" t="n">
        <f aca="false">IF(AW$4=0,0,IF(COUNTIFS(実績!$W$6:$W$505,AW$3,実績!$AI$6:$AI$505,"&lt;="&amp;$A14,実績!$AJ$6:$AJ$505,"&gt;"&amp;$A14,実績!$AL$6:$AL$505,"○")&gt;0,1,0))</f>
        <v>0</v>
      </c>
      <c r="AX14" s="39" t="n">
        <f aca="false">IF(AX$4=0,0,IF(COUNTIFS(実績!$W$6:$W$505,AX$3,実績!$AI$6:$AI$505,"&lt;="&amp;$A14,実績!$AJ$6:$AJ$505,"&gt;"&amp;$A14,実績!$AL$6:$AL$505,"○")&gt;0,1,0))</f>
        <v>0</v>
      </c>
      <c r="AY14" s="39" t="n">
        <f aca="false">IF(AY$4=0,0,IF(COUNTIFS(実績!$W$6:$W$505,AY$3,実績!$AI$6:$AI$505,"&lt;="&amp;$A14,実績!$AJ$6:$AJ$505,"&gt;"&amp;$A14,実績!$AL$6:$AL$505,"○")&gt;0,1,0))</f>
        <v>0</v>
      </c>
      <c r="AZ14" s="39" t="n">
        <f aca="false">IF(AZ$4=0,0,IF(COUNTIFS(実績!$W$6:$W$505,AZ$3,実績!$AI$6:$AI$505,"&lt;="&amp;$A14,実績!$AJ$6:$AJ$505,"&gt;"&amp;$A14,実績!$AL$6:$AL$505,"○")&gt;0,1,0))</f>
        <v>0</v>
      </c>
      <c r="BA14" s="39" t="n">
        <f aca="false">IF(BA$4=0,0,IF(COUNTIFS(実績!$W$6:$W$505,BA$3,実績!$AI$6:$AI$505,"&lt;="&amp;$A14,実績!$AJ$6:$AJ$505,"&gt;"&amp;$A14,実績!$AL$6:$AL$505,"○")&gt;0,1,0))</f>
        <v>0</v>
      </c>
      <c r="BB14" s="39" t="n">
        <f aca="false">IF(BB$4=0,0,IF(COUNTIFS(実績!$W$6:$W$505,BB$3,実績!$AI$6:$AI$505,"&lt;="&amp;$A14,実績!$AJ$6:$AJ$505,"&gt;"&amp;$A14,実績!$AL$6:$AL$505,"○")&gt;0,1,0))</f>
        <v>0</v>
      </c>
      <c r="BC14" s="39" t="n">
        <f aca="false">IF(BC$4=0,0,IF(COUNTIFS(実績!$W$6:$W$505,BC$3,実績!$AI$6:$AI$505,"&lt;="&amp;$A14,実績!$AJ$6:$AJ$505,"&gt;"&amp;$A14,実績!$AL$6:$AL$505,"○")&gt;0,1,0))</f>
        <v>0</v>
      </c>
      <c r="BD14" s="39" t="n">
        <f aca="false">IF(BD$4=0,0,IF(COUNTIFS(実績!$W$6:$W$505,BD$3,実績!$AI$6:$AI$505,"&lt;="&amp;$A14,実績!$AJ$6:$AJ$505,"&gt;"&amp;$A14,実績!$AL$6:$AL$505,"○")&gt;0,1,0))</f>
        <v>0</v>
      </c>
      <c r="BE14" s="39" t="n">
        <f aca="false">IF(BE$4=0,0,IF(COUNTIFS(実績!$W$6:$W$505,BE$3,実績!$AI$6:$AI$505,"&lt;="&amp;$A14,実績!$AJ$6:$AJ$505,"&gt;"&amp;$A14,実績!$AL$6:$AL$505,"○")&gt;0,1,0))</f>
        <v>0</v>
      </c>
      <c r="BF14" s="39" t="n">
        <f aca="false">IF(BF$4=0,0,IF(COUNTIFS(実績!$W$6:$W$505,BF$3,実績!$AI$6:$AI$505,"&lt;="&amp;$A14,実績!$AJ$6:$AJ$505,"&gt;"&amp;$A14,実績!$AL$6:$AL$505,"○")&gt;0,1,0))</f>
        <v>0</v>
      </c>
      <c r="BG14" s="39" t="n">
        <f aca="false">IF(BG$4=0,0,IF(COUNTIFS(実績!$W$6:$W$505,BG$3,実績!$AI$6:$AI$505,"&lt;="&amp;$A14,実績!$AJ$6:$AJ$505,"&gt;"&amp;$A14,実績!$AL$6:$AL$505,"○")&gt;0,1,0))</f>
        <v>0</v>
      </c>
      <c r="BH14" s="39" t="n">
        <f aca="false">IF(BH$4=0,0,IF(COUNTIFS(実績!$W$6:$W$505,BH$3,実績!$AI$6:$AI$505,"&lt;="&amp;$A14,実績!$AJ$6:$AJ$505,"&gt;"&amp;$A14,実績!$AL$6:$AL$505,"○")&gt;0,1,0))</f>
        <v>0</v>
      </c>
      <c r="BI14" s="39" t="n">
        <f aca="false">IF(BI$4=0,0,IF(COUNTIFS(実績!$W$6:$W$505,BI$3,実績!$AI$6:$AI$505,"&lt;="&amp;$A14,実績!$AJ$6:$AJ$505,"&gt;"&amp;$A14,実績!$AL$6:$AL$505,"○")&gt;0,1,0))</f>
        <v>0</v>
      </c>
      <c r="BJ14" s="39" t="n">
        <f aca="false">IF(BJ$4=0,0,IF(COUNTIFS(実績!$W$6:$W$505,BJ$3,実績!$AI$6:$AI$505,"&lt;="&amp;$A14,実績!$AJ$6:$AJ$505,"&gt;"&amp;$A14,実績!$AL$6:$AL$505,"○")&gt;0,1,0))</f>
        <v>0</v>
      </c>
      <c r="BK14" s="39" t="n">
        <f aca="false">IF(BK$4=0,0,IF(COUNTIFS(実績!$W$6:$W$505,BK$3,実績!$AI$6:$AI$505,"&lt;="&amp;$A14,実績!$AJ$6:$AJ$505,"&gt;"&amp;$A14,実績!$AL$6:$AL$505,"○")&gt;0,1,0))</f>
        <v>0</v>
      </c>
      <c r="BL14" s="39" t="n">
        <f aca="false">IF(BL$4=0,0,IF(COUNTIFS(実績!$W$6:$W$505,BL$3,実績!$AI$6:$AI$505,"&lt;="&amp;$A14,実績!$AJ$6:$AJ$505,"&gt;"&amp;$A14,実績!$AL$6:$AL$505,"○")&gt;0,1,0))</f>
        <v>0</v>
      </c>
      <c r="BM14" s="39" t="n">
        <f aca="false">IF(BM$4=0,0,IF(COUNTIFS(実績!$W$6:$W$505,BM$3,実績!$AI$6:$AI$505,"&lt;="&amp;$A14,実績!$AJ$6:$AJ$505,"&gt;"&amp;$A14,実績!$AL$6:$AL$505,"○")&gt;0,1,0))</f>
        <v>0</v>
      </c>
      <c r="BN14" s="39" t="n">
        <f aca="false">IF(BN$4=0,0,IF(COUNTIFS(実績!$W$6:$W$505,BN$3,実績!$AI$6:$AI$505,"&lt;="&amp;$A14,実績!$AJ$6:$AJ$505,"&gt;"&amp;$A14,実績!$AL$6:$AL$505,"○")&gt;0,1,0))</f>
        <v>0</v>
      </c>
      <c r="BO14" s="39" t="n">
        <f aca="false">IF(BO$4=0,0,IF(COUNTIFS(実績!$W$6:$W$505,BO$3,実績!$AI$6:$AI$505,"&lt;="&amp;$A14,実績!$AJ$6:$AJ$505,"&gt;"&amp;$A14,実績!$AL$6:$AL$505,"○")&gt;0,1,0))</f>
        <v>0</v>
      </c>
      <c r="BP14" s="39" t="n">
        <f aca="false">IF(BP$4=0,0,IF(COUNTIFS(実績!$W$6:$W$505,BP$3,実績!$AI$6:$AI$505,"&lt;="&amp;$A14,実績!$AJ$6:$AJ$505,"&gt;"&amp;$A14,実績!$AL$6:$AL$505,"○")&gt;0,1,0))</f>
        <v>0</v>
      </c>
      <c r="BQ14" s="39" t="n">
        <f aca="false">IF(BQ$4=0,0,IF(COUNTIFS(実績!$W$6:$W$505,BQ$3,実績!$AI$6:$AI$505,"&lt;="&amp;$A14,実績!$AJ$6:$AJ$505,"&gt;"&amp;$A14,実績!$AL$6:$AL$505,"○")&gt;0,1,0))</f>
        <v>0</v>
      </c>
      <c r="BR14" s="39" t="n">
        <f aca="false">IF(BR$4=0,0,IF(COUNTIFS(実績!$W$6:$W$505,BR$3,実績!$AI$6:$AI$505,"&lt;="&amp;$A14,実績!$AJ$6:$AJ$505,"&gt;"&amp;$A14,実績!$AL$6:$AL$505,"○")&gt;0,1,0))</f>
        <v>0</v>
      </c>
      <c r="BS14" s="39" t="n">
        <f aca="false">IF(BS$4=0,0,IF(COUNTIFS(実績!$W$6:$W$505,BS$3,実績!$AI$6:$AI$505,"&lt;="&amp;$A14,実績!$AJ$6:$AJ$505,"&gt;"&amp;$A14,実績!$AL$6:$AL$505,"○")&gt;0,1,0))</f>
        <v>0</v>
      </c>
      <c r="BT14" s="39" t="n">
        <f aca="false">IF(BT$4=0,0,IF(COUNTIFS(実績!$W$6:$W$505,BT$3,実績!$AI$6:$AI$505,"&lt;="&amp;$A14,実績!$AJ$6:$AJ$505,"&gt;"&amp;$A14,実績!$AL$6:$AL$505,"○")&gt;0,1,0))</f>
        <v>0</v>
      </c>
      <c r="BU14" s="39" t="n">
        <f aca="false">IF(BU$4=0,0,IF(COUNTIFS(実績!$W$6:$W$505,BU$3,実績!$AI$6:$AI$505,"&lt;="&amp;$A14,実績!$AJ$6:$AJ$505,"&gt;"&amp;$A14,実績!$AL$6:$AL$505,"○")&gt;0,1,0))</f>
        <v>0</v>
      </c>
      <c r="BV14" s="39" t="n">
        <f aca="false">IF(BV$4=0,0,IF(COUNTIFS(実績!$W$6:$W$505,BV$3,実績!$AI$6:$AI$505,"&lt;="&amp;$A14,実績!$AJ$6:$AJ$505,"&gt;"&amp;$A14,実績!$AL$6:$AL$505,"○")&gt;0,1,0))</f>
        <v>0</v>
      </c>
      <c r="BW14" s="39" t="n">
        <f aca="false">IF(BW$4=0,0,IF(COUNTIFS(実績!$W$6:$W$505,BW$3,実績!$AI$6:$AI$505,"&lt;="&amp;$A14,実績!$AJ$6:$AJ$505,"&gt;"&amp;$A14,実績!$AL$6:$AL$505,"○")&gt;0,1,0))</f>
        <v>0</v>
      </c>
      <c r="BX14" s="39" t="n">
        <f aca="false">IF(BX$4=0,0,IF(COUNTIFS(実績!$W$6:$W$505,BX$3,実績!$AI$6:$AI$505,"&lt;="&amp;$A14,実績!$AJ$6:$AJ$505,"&gt;"&amp;$A14,実績!$AL$6:$AL$505,"○")&gt;0,1,0))</f>
        <v>0</v>
      </c>
      <c r="BY14" s="39" t="n">
        <f aca="false">IF(BY$4=0,0,IF(COUNTIFS(実績!$W$6:$W$505,BY$3,実績!$AI$6:$AI$505,"&lt;="&amp;$A14,実績!$AJ$6:$AJ$505,"&gt;"&amp;$A14,実績!$AL$6:$AL$505,"○")&gt;0,1,0))</f>
        <v>0</v>
      </c>
      <c r="BZ14" s="39" t="n">
        <f aca="false">IF(BZ$4=0,0,IF(COUNTIFS(実績!$W$6:$W$505,BZ$3,実績!$AI$6:$AI$505,"&lt;="&amp;$A14,実績!$AJ$6:$AJ$505,"&gt;"&amp;$A14,実績!$AL$6:$AL$505,"○")&gt;0,1,0))</f>
        <v>0</v>
      </c>
      <c r="CA14" s="39" t="n">
        <f aca="false">IF(CA$4=0,0,IF(COUNTIFS(実績!$W$6:$W$505,CA$3,実績!$AI$6:$AI$505,"&lt;="&amp;$A14,実績!$AJ$6:$AJ$505,"&gt;"&amp;$A14,実績!$AL$6:$AL$505,"○")&gt;0,1,0))</f>
        <v>0</v>
      </c>
      <c r="CB14" s="39" t="n">
        <f aca="false">IF(CB$4=0,0,IF(COUNTIFS(実績!$W$6:$W$505,CB$3,実績!$AI$6:$AI$505,"&lt;="&amp;$A14,実績!$AJ$6:$AJ$505,"&gt;"&amp;$A14,実績!$AL$6:$AL$505,"○")&gt;0,1,0))</f>
        <v>0</v>
      </c>
      <c r="CC14" s="39" t="n">
        <f aca="false">IF(CC$4=0,0,IF(COUNTIFS(実績!$W$6:$W$505,CC$3,実績!$AI$6:$AI$505,"&lt;="&amp;$A14,実績!$AJ$6:$AJ$505,"&gt;"&amp;$A14,実績!$AL$6:$AL$505,"○")&gt;0,1,0))</f>
        <v>0</v>
      </c>
      <c r="CD14" s="39" t="n">
        <f aca="false">IF(CD$4=0,0,IF(COUNTIFS(実績!$W$6:$W$505,CD$3,実績!$AI$6:$AI$505,"&lt;="&amp;$A14,実績!$AJ$6:$AJ$505,"&gt;"&amp;$A14,実績!$AL$6:$AL$505,"○")&gt;0,1,0))</f>
        <v>0</v>
      </c>
      <c r="CE14" s="39" t="n">
        <f aca="false">IF(CE$4=0,0,IF(COUNTIFS(実績!$W$6:$W$505,CE$3,実績!$AI$6:$AI$505,"&lt;="&amp;$A14,実績!$AJ$6:$AJ$505,"&gt;"&amp;$A14,実績!$AL$6:$AL$505,"○")&gt;0,1,0))</f>
        <v>0</v>
      </c>
      <c r="CF14" s="39" t="n">
        <f aca="false">IF(CF$4=0,0,IF(COUNTIFS(実績!$W$6:$W$505,CF$3,実績!$AI$6:$AI$505,"&lt;="&amp;$A14,実績!$AJ$6:$AJ$505,"&gt;"&amp;$A14,実績!$AL$6:$AL$505,"○")&gt;0,1,0))</f>
        <v>0</v>
      </c>
      <c r="CG14" s="39" t="n">
        <f aca="false">IF(CG$4=0,0,IF(COUNTIFS(実績!$W$6:$W$505,CG$3,実績!$AI$6:$AI$505,"&lt;="&amp;$A14,実績!$AJ$6:$AJ$505,"&gt;"&amp;$A14,実績!$AL$6:$AL$505,"○")&gt;0,1,0))</f>
        <v>0</v>
      </c>
      <c r="CH14" s="39" t="n">
        <f aca="false">IF(CH$4=0,0,IF(COUNTIFS(実績!$W$6:$W$505,CH$3,実績!$AI$6:$AI$505,"&lt;="&amp;$A14,実績!$AJ$6:$AJ$505,"&gt;"&amp;$A14,実績!$AL$6:$AL$505,"○")&gt;0,1,0))</f>
        <v>0</v>
      </c>
      <c r="CI14" s="39" t="n">
        <f aca="false">IF(CI$4=0,0,IF(COUNTIFS(実績!$W$6:$W$505,CI$3,実績!$AI$6:$AI$505,"&lt;="&amp;$A14,実績!$AJ$6:$AJ$505,"&gt;"&amp;$A14,実績!$AL$6:$AL$505,"○")&gt;0,1,0))</f>
        <v>0</v>
      </c>
      <c r="CJ14" s="39" t="n">
        <f aca="false">IF(CJ$4=0,0,IF(COUNTIFS(実績!$W$6:$W$505,CJ$3,実績!$AI$6:$AI$505,"&lt;="&amp;$A14,実績!$AJ$6:$AJ$505,"&gt;"&amp;$A14,実績!$AL$6:$AL$505,"○")&gt;0,1,0))</f>
        <v>0</v>
      </c>
      <c r="CK14" s="39" t="n">
        <f aca="false">IF(CK$4=0,0,IF(COUNTIFS(実績!$W$6:$W$505,CK$3,実績!$AI$6:$AI$505,"&lt;="&amp;$A14,実績!$AJ$6:$AJ$505,"&gt;"&amp;$A14,実績!$AL$6:$AL$505,"○")&gt;0,1,0))</f>
        <v>0</v>
      </c>
      <c r="CL14" s="39" t="n">
        <f aca="false">IF(CL$4=0,0,IF(COUNTIFS(実績!$W$6:$W$505,CL$3,実績!$AI$6:$AI$505,"&lt;="&amp;$A14,実績!$AJ$6:$AJ$505,"&gt;"&amp;$A14,実績!$AL$6:$AL$505,"○")&gt;0,1,0))</f>
        <v>0</v>
      </c>
      <c r="CM14" s="39" t="n">
        <f aca="false">IF(CM$4=0,0,IF(COUNTIFS(実績!$W$6:$W$505,CM$3,実績!$AI$6:$AI$505,"&lt;="&amp;$A14,実績!$AJ$6:$AJ$505,"&gt;"&amp;$A14,実績!$AL$6:$AL$505,"○")&gt;0,1,0))</f>
        <v>0</v>
      </c>
      <c r="CN14" s="39" t="n">
        <f aca="false">IF(CN$4=0,0,IF(COUNTIFS(実績!$W$6:$W$505,CN$3,実績!$AI$6:$AI$505,"&lt;="&amp;$A14,実績!$AJ$6:$AJ$505,"&gt;"&amp;$A14,実績!$AL$6:$AL$505,"○")&gt;0,1,0))</f>
        <v>0</v>
      </c>
      <c r="CO14" s="39" t="n">
        <f aca="false">IF(CO$4=0,0,IF(COUNTIFS(実績!$W$6:$W$505,CO$3,実績!$AI$6:$AI$505,"&lt;="&amp;$A14,実績!$AJ$6:$AJ$505,"&gt;"&amp;$A14,実績!$AL$6:$AL$505,"○")&gt;0,1,0))</f>
        <v>0</v>
      </c>
      <c r="CP14" s="39" t="n">
        <f aca="false">IF(CP$4=0,0,IF(COUNTIFS(実績!$W$6:$W$505,CP$3,実績!$AI$6:$AI$505,"&lt;="&amp;$A14,実績!$AJ$6:$AJ$505,"&gt;"&amp;$A14,実績!$AL$6:$AL$505,"○")&gt;0,1,0))</f>
        <v>0</v>
      </c>
      <c r="CQ14" s="39" t="n">
        <f aca="false">IF(CQ$4=0,0,IF(COUNTIFS(実績!$W$6:$W$505,CQ$3,実績!$AI$6:$AI$505,"&lt;="&amp;$A14,実績!$AJ$6:$AJ$505,"&gt;"&amp;$A14,実績!$AL$6:$AL$505,"○")&gt;0,1,0))</f>
        <v>0</v>
      </c>
      <c r="CR14" s="39" t="n">
        <f aca="false">IF(CR$4=0,0,IF(COUNTIFS(実績!$W$6:$W$505,CR$3,実績!$AI$6:$AI$505,"&lt;="&amp;$A14,実績!$AJ$6:$AJ$505,"&gt;"&amp;$A14,実績!$AL$6:$AL$505,"○")&gt;0,1,0))</f>
        <v>0</v>
      </c>
      <c r="CS14" s="39" t="n">
        <f aca="false">IF(CS$4=0,0,IF(COUNTIFS(実績!$W$6:$W$505,CS$3,実績!$AI$6:$AI$505,"&lt;="&amp;$A14,実績!$AJ$6:$AJ$505,"&gt;"&amp;$A14,実績!$AL$6:$AL$505,"○")&gt;0,1,0))</f>
        <v>0</v>
      </c>
      <c r="CT14" s="39" t="n">
        <f aca="false">IF(CT$4=0,0,IF(COUNTIFS(実績!$W$6:$W$505,CT$3,実績!$AI$6:$AI$505,"&lt;="&amp;$A14,実績!$AJ$6:$AJ$505,"&gt;"&amp;$A14,実績!$AL$6:$AL$505,"○")&gt;0,1,0))</f>
        <v>0</v>
      </c>
      <c r="CU14" s="39" t="n">
        <f aca="false">IF(CU$4=0,0,IF(COUNTIFS(実績!$W$6:$W$505,CU$3,実績!$AI$6:$AI$505,"&lt;="&amp;$A14,実績!$AJ$6:$AJ$505,"&gt;"&amp;$A14,実績!$AL$6:$AL$505,"○")&gt;0,1,0))</f>
        <v>0</v>
      </c>
      <c r="CV14" s="39" t="n">
        <f aca="false">IF(CV$4=0,0,IF(COUNTIFS(実績!$W$6:$W$505,CV$3,実績!$AI$6:$AI$505,"&lt;="&amp;$A14,実績!$AJ$6:$AJ$505,"&gt;"&amp;$A14,実績!$AL$6:$AL$505,"○")&gt;0,1,0))</f>
        <v>0</v>
      </c>
      <c r="CW14" s="39" t="n">
        <f aca="false">IF(CW$4=0,0,IF(COUNTIFS(実績!$W$6:$W$505,CW$3,実績!$AI$6:$AI$505,"&lt;="&amp;$A14,実績!$AJ$6:$AJ$505,"&gt;"&amp;$A14,実績!$AL$6:$AL$505,"○")&gt;0,1,0))</f>
        <v>0</v>
      </c>
      <c r="CX14" s="39" t="n">
        <f aca="false">IF(CX$4=0,0,IF(COUNTIFS(実績!$W$6:$W$505,CX$3,実績!$AI$6:$AI$505,"&lt;="&amp;$A14,実績!$AJ$6:$AJ$505,"&gt;"&amp;$A14,実績!$AL$6:$AL$505,"○")&gt;0,1,0))</f>
        <v>0</v>
      </c>
      <c r="CY14" s="39" t="n">
        <f aca="false">IF(CY$4=0,0,IF(COUNTIFS(実績!$W$6:$W$505,CY$3,実績!$AI$6:$AI$505,"&lt;="&amp;$A14,実績!$AJ$6:$AJ$505,"&gt;"&amp;$A14,実績!$AL$6:$AL$505,"○")&gt;0,1,0))</f>
        <v>0</v>
      </c>
      <c r="CZ14" s="39" t="n">
        <f aca="false">IF(CZ$4=0,0,IF(COUNTIFS(実績!$W$6:$W$505,CZ$3,実績!$AI$6:$AI$505,"&lt;="&amp;$A14,実績!$AJ$6:$AJ$505,"&gt;"&amp;$A14,実績!$AL$6:$AL$505,"○")&gt;0,1,0))</f>
        <v>0</v>
      </c>
      <c r="DA14" s="39" t="n">
        <f aca="false">IF(DA$4=0,0,IF(COUNTIFS(実績!$W$6:$W$505,DA$3,実績!$AI$6:$AI$505,"&lt;="&amp;$A14,実績!$AJ$6:$AJ$505,"&gt;"&amp;$A14,実績!$AL$6:$AL$505,"○")&gt;0,1,0))</f>
        <v>0</v>
      </c>
      <c r="DB14" s="39" t="n">
        <f aca="false">IF(DB$4=0,0,IF(COUNTIFS(実績!$W$6:$W$505,DB$3,実績!$AI$6:$AI$505,"&lt;="&amp;$A14,実績!$AJ$6:$AJ$505,"&gt;"&amp;$A14,実績!$AL$6:$AL$505,"○")&gt;0,1,0))</f>
        <v>0</v>
      </c>
      <c r="DC14" s="39" t="n">
        <f aca="false">IF(DC$4=0,0,IF(COUNTIFS(実績!$W$6:$W$505,DC$3,実績!$AI$6:$AI$505,"&lt;="&amp;$A14,実績!$AJ$6:$AJ$505,"&gt;"&amp;$A14,実績!$AL$6:$AL$505,"○")&gt;0,1,0))</f>
        <v>0</v>
      </c>
      <c r="DD14" s="39" t="n">
        <f aca="false">IF(DD$4=0,0,IF(COUNTIFS(実績!$W$6:$W$505,DD$3,実績!$AI$6:$AI$505,"&lt;="&amp;$A14,実績!$AJ$6:$AJ$505,"&gt;"&amp;$A14,実績!$AL$6:$AL$505,"○")&gt;0,1,0))</f>
        <v>0</v>
      </c>
      <c r="DE14" s="39" t="n">
        <f aca="false">IF(DE$4=0,0,IF(COUNTIFS(実績!$W$6:$W$505,DE$3,実績!$AI$6:$AI$505,"&lt;="&amp;$A14,実績!$AJ$6:$AJ$505,"&gt;"&amp;$A14,実績!$AL$6:$AL$505,"○")&gt;0,1,0))</f>
        <v>0</v>
      </c>
      <c r="DF14" s="39" t="n">
        <f aca="false">IF(DF$4=0,0,IF(COUNTIFS(実績!$W$6:$W$505,DF$3,実績!$AI$6:$AI$505,"&lt;="&amp;$A14,実績!$AJ$6:$AJ$505,"&gt;"&amp;$A14,実績!$AL$6:$AL$505,"○")&gt;0,1,0))</f>
        <v>0</v>
      </c>
      <c r="DG14" s="39" t="n">
        <f aca="false">IF(DG$4=0,0,IF(COUNTIFS(実績!$W$6:$W$505,DG$3,実績!$AI$6:$AI$505,"&lt;="&amp;$A14,実績!$AJ$6:$AJ$505,"&gt;"&amp;$A14,実績!$AL$6:$AL$505,"○")&gt;0,1,0))</f>
        <v>0</v>
      </c>
      <c r="DH14" s="39" t="n">
        <f aca="false">IF(DH$4=0,0,IF(COUNTIFS(実績!$W$6:$W$505,DH$3,実績!$AI$6:$AI$505,"&lt;="&amp;$A14,実績!$AJ$6:$AJ$505,"&gt;"&amp;$A14,実績!$AL$6:$AL$505,"○")&gt;0,1,0))</f>
        <v>0</v>
      </c>
      <c r="DI14" s="39" t="n">
        <f aca="false">IF(DI$4=0,0,IF(COUNTIFS(実績!$W$6:$W$505,DI$3,実績!$AI$6:$AI$505,"&lt;="&amp;$A14,実績!$AJ$6:$AJ$505,"&gt;"&amp;$A14,実績!$AL$6:$AL$505,"○")&gt;0,1,0))</f>
        <v>0</v>
      </c>
      <c r="DJ14" s="39" t="n">
        <f aca="false">IF(DJ$4=0,0,IF(COUNTIFS(実績!$W$6:$W$505,DJ$3,実績!$AI$6:$AI$505,"&lt;="&amp;$A14,実績!$AJ$6:$AJ$505,"&gt;"&amp;$A14,実績!$AL$6:$AL$505,"○")&gt;0,1,0))</f>
        <v>0</v>
      </c>
      <c r="DK14" s="39" t="n">
        <f aca="false">IF(DK$4=0,0,IF(COUNTIFS(実績!$W$6:$W$505,DK$3,実績!$AI$6:$AI$505,"&lt;="&amp;$A14,実績!$AJ$6:$AJ$505,"&gt;"&amp;$A14,実績!$AL$6:$AL$505,"○")&gt;0,1,0))</f>
        <v>0</v>
      </c>
      <c r="DL14" s="39" t="n">
        <f aca="false">IF(DL$4=0,0,IF(COUNTIFS(実績!$W$6:$W$505,DL$3,実績!$AI$6:$AI$505,"&lt;="&amp;$A14,実績!$AJ$6:$AJ$505,"&gt;"&amp;$A14,実績!$AL$6:$AL$505,"○")&gt;0,1,0))</f>
        <v>0</v>
      </c>
      <c r="DM14" s="39" t="n">
        <f aca="false">IF(DM$4=0,0,IF(COUNTIFS(実績!$W$6:$W$505,DM$3,実績!$AI$6:$AI$505,"&lt;="&amp;$A14,実績!$AJ$6:$AJ$505,"&gt;"&amp;$A14,実績!$AL$6:$AL$505,"○")&gt;0,1,0))</f>
        <v>0</v>
      </c>
      <c r="DN14" s="39" t="n">
        <f aca="false">IF(DN$4=0,0,IF(COUNTIFS(実績!$W$6:$W$505,DN$3,実績!$AI$6:$AI$505,"&lt;="&amp;$A14,実績!$AJ$6:$AJ$505,"&gt;"&amp;$A14,実績!$AL$6:$AL$505,"○")&gt;0,1,0))</f>
        <v>0</v>
      </c>
      <c r="DO14" s="39" t="n">
        <f aca="false">IF(DO$4=0,0,IF(COUNTIFS(実績!$W$6:$W$505,DO$3,実績!$AI$6:$AI$505,"&lt;="&amp;$A14,実績!$AJ$6:$AJ$505,"&gt;"&amp;$A14,実績!$AL$6:$AL$505,"○")&gt;0,1,0))</f>
        <v>0</v>
      </c>
      <c r="DP14" s="39" t="n">
        <f aca="false">IF(DP$4=0,0,IF(COUNTIFS(実績!$W$6:$W$505,DP$3,実績!$AI$6:$AI$505,"&lt;="&amp;$A14,実績!$AJ$6:$AJ$505,"&gt;"&amp;$A14,実績!$AL$6:$AL$505,"○")&gt;0,1,0))</f>
        <v>0</v>
      </c>
      <c r="DQ14" s="39" t="n">
        <f aca="false">IF(DQ$4=0,0,IF(COUNTIFS(実績!$W$6:$W$505,DQ$3,実績!$AI$6:$AI$505,"&lt;="&amp;$A14,実績!$AJ$6:$AJ$505,"&gt;"&amp;$A14,実績!$AL$6:$AL$505,"○")&gt;0,1,0))</f>
        <v>0</v>
      </c>
      <c r="DR14" s="39" t="n">
        <f aca="false">IF(DR$4=0,0,IF(COUNTIFS(実績!$W$6:$W$505,DR$3,実績!$AI$6:$AI$505,"&lt;="&amp;$A14,実績!$AJ$6:$AJ$505,"&gt;"&amp;$A14,実績!$AL$6:$AL$505,"○")&gt;0,1,0))</f>
        <v>0</v>
      </c>
      <c r="DS14" s="39" t="n">
        <f aca="false">SUM(C14:DR14)</f>
        <v>0</v>
      </c>
    </row>
    <row r="15" customFormat="false" ht="15" hidden="false" customHeight="false" outlineLevel="0" collapsed="false">
      <c r="A15" s="0" t="n">
        <v>45</v>
      </c>
      <c r="B15" s="38" t="n">
        <f aca="false">A15/1440</f>
        <v>0.03125</v>
      </c>
      <c r="C15" s="39" t="n">
        <f aca="false">IF(C$4=0,0,IF(COUNTIFS(実績!$W$6:$W$505,C$3,実績!$AI$6:$AI$505,"&lt;="&amp;$A15,実績!$AJ$6:$AJ$505,"&gt;"&amp;$A15,実績!$AL$6:$AL$505,"○")&gt;0,1,0))</f>
        <v>0</v>
      </c>
      <c r="D15" s="39" t="n">
        <f aca="false">IF(D$4=0,0,IF(COUNTIFS(実績!$W$6:$W$505,D$3,実績!$AI$6:$AI$505,"&lt;="&amp;$A15,実績!$AJ$6:$AJ$505,"&gt;"&amp;$A15,実績!$AL$6:$AL$505,"○")&gt;0,1,0))</f>
        <v>0</v>
      </c>
      <c r="E15" s="39" t="n">
        <f aca="false">IF(E$4=0,0,IF(COUNTIFS(実績!$W$6:$W$505,E$3,実績!$AI$6:$AI$505,"&lt;="&amp;$A15,実績!$AJ$6:$AJ$505,"&gt;"&amp;$A15,実績!$AL$6:$AL$505,"○")&gt;0,1,0))</f>
        <v>0</v>
      </c>
      <c r="F15" s="39" t="n">
        <f aca="false">IF(F$4=0,0,IF(COUNTIFS(実績!$W$6:$W$505,F$3,実績!$AI$6:$AI$505,"&lt;="&amp;$A15,実績!$AJ$6:$AJ$505,"&gt;"&amp;$A15,実績!$AL$6:$AL$505,"○")&gt;0,1,0))</f>
        <v>0</v>
      </c>
      <c r="G15" s="39" t="n">
        <f aca="false">IF(G$4=0,0,IF(COUNTIFS(実績!$W$6:$W$505,G$3,実績!$AI$6:$AI$505,"&lt;="&amp;$A15,実績!$AJ$6:$AJ$505,"&gt;"&amp;$A15,実績!$AL$6:$AL$505,"○")&gt;0,1,0))</f>
        <v>0</v>
      </c>
      <c r="H15" s="39" t="n">
        <f aca="false">IF(H$4=0,0,IF(COUNTIFS(実績!$W$6:$W$505,H$3,実績!$AI$6:$AI$505,"&lt;="&amp;$A15,実績!$AJ$6:$AJ$505,"&gt;"&amp;$A15,実績!$AL$6:$AL$505,"○")&gt;0,1,0))</f>
        <v>0</v>
      </c>
      <c r="I15" s="39" t="n">
        <f aca="false">IF(I$4=0,0,IF(COUNTIFS(実績!$W$6:$W$505,I$3,実績!$AI$6:$AI$505,"&lt;="&amp;$A15,実績!$AJ$6:$AJ$505,"&gt;"&amp;$A15,実績!$AL$6:$AL$505,"○")&gt;0,1,0))</f>
        <v>0</v>
      </c>
      <c r="J15" s="39" t="n">
        <f aca="false">IF(J$4=0,0,IF(COUNTIFS(実績!$W$6:$W$505,J$3,実績!$AI$6:$AI$505,"&lt;="&amp;$A15,実績!$AJ$6:$AJ$505,"&gt;"&amp;$A15,実績!$AL$6:$AL$505,"○")&gt;0,1,0))</f>
        <v>0</v>
      </c>
      <c r="K15" s="39" t="n">
        <f aca="false">IF(K$4=0,0,IF(COUNTIFS(実績!$W$6:$W$505,K$3,実績!$AI$6:$AI$505,"&lt;="&amp;$A15,実績!$AJ$6:$AJ$505,"&gt;"&amp;$A15,実績!$AL$6:$AL$505,"○")&gt;0,1,0))</f>
        <v>0</v>
      </c>
      <c r="L15" s="39" t="n">
        <f aca="false">IF(L$4=0,0,IF(COUNTIFS(実績!$W$6:$W$505,L$3,実績!$AI$6:$AI$505,"&lt;="&amp;$A15,実績!$AJ$6:$AJ$505,"&gt;"&amp;$A15,実績!$AL$6:$AL$505,"○")&gt;0,1,0))</f>
        <v>0</v>
      </c>
      <c r="M15" s="39" t="n">
        <f aca="false">IF(M$4=0,0,IF(COUNTIFS(実績!$W$6:$W$505,M$3,実績!$AI$6:$AI$505,"&lt;="&amp;$A15,実績!$AJ$6:$AJ$505,"&gt;"&amp;$A15,実績!$AL$6:$AL$505,"○")&gt;0,1,0))</f>
        <v>0</v>
      </c>
      <c r="N15" s="39" t="n">
        <f aca="false">IF(N$4=0,0,IF(COUNTIFS(実績!$W$6:$W$505,N$3,実績!$AI$6:$AI$505,"&lt;="&amp;$A15,実績!$AJ$6:$AJ$505,"&gt;"&amp;$A15,実績!$AL$6:$AL$505,"○")&gt;0,1,0))</f>
        <v>0</v>
      </c>
      <c r="O15" s="39" t="n">
        <f aca="false">IF(O$4=0,0,IF(COUNTIFS(実績!$W$6:$W$505,O$3,実績!$AI$6:$AI$505,"&lt;="&amp;$A15,実績!$AJ$6:$AJ$505,"&gt;"&amp;$A15,実績!$AL$6:$AL$505,"○")&gt;0,1,0))</f>
        <v>0</v>
      </c>
      <c r="P15" s="39" t="n">
        <f aca="false">IF(P$4=0,0,IF(COUNTIFS(実績!$W$6:$W$505,P$3,実績!$AI$6:$AI$505,"&lt;="&amp;$A15,実績!$AJ$6:$AJ$505,"&gt;"&amp;$A15,実績!$AL$6:$AL$505,"○")&gt;0,1,0))</f>
        <v>0</v>
      </c>
      <c r="Q15" s="39" t="n">
        <f aca="false">IF(Q$4=0,0,IF(COUNTIFS(実績!$W$6:$W$505,Q$3,実績!$AI$6:$AI$505,"&lt;="&amp;$A15,実績!$AJ$6:$AJ$505,"&gt;"&amp;$A15,実績!$AL$6:$AL$505,"○")&gt;0,1,0))</f>
        <v>0</v>
      </c>
      <c r="R15" s="39" t="n">
        <f aca="false">IF(R$4=0,0,IF(COUNTIFS(実績!$W$6:$W$505,R$3,実績!$AI$6:$AI$505,"&lt;="&amp;$A15,実績!$AJ$6:$AJ$505,"&gt;"&amp;$A15,実績!$AL$6:$AL$505,"○")&gt;0,1,0))</f>
        <v>0</v>
      </c>
      <c r="S15" s="39" t="n">
        <f aca="false">IF(S$4=0,0,IF(COUNTIFS(実績!$W$6:$W$505,S$3,実績!$AI$6:$AI$505,"&lt;="&amp;$A15,実績!$AJ$6:$AJ$505,"&gt;"&amp;$A15,実績!$AL$6:$AL$505,"○")&gt;0,1,0))</f>
        <v>0</v>
      </c>
      <c r="T15" s="39" t="n">
        <f aca="false">IF(T$4=0,0,IF(COUNTIFS(実績!$W$6:$W$505,T$3,実績!$AI$6:$AI$505,"&lt;="&amp;$A15,実績!$AJ$6:$AJ$505,"&gt;"&amp;$A15,実績!$AL$6:$AL$505,"○")&gt;0,1,0))</f>
        <v>0</v>
      </c>
      <c r="U15" s="39" t="n">
        <f aca="false">IF(U$4=0,0,IF(COUNTIFS(実績!$W$6:$W$505,U$3,実績!$AI$6:$AI$505,"&lt;="&amp;$A15,実績!$AJ$6:$AJ$505,"&gt;"&amp;$A15,実績!$AL$6:$AL$505,"○")&gt;0,1,0))</f>
        <v>0</v>
      </c>
      <c r="V15" s="39" t="n">
        <f aca="false">IF(V$4=0,0,IF(COUNTIFS(実績!$W$6:$W$505,V$3,実績!$AI$6:$AI$505,"&lt;="&amp;$A15,実績!$AJ$6:$AJ$505,"&gt;"&amp;$A15,実績!$AL$6:$AL$505,"○")&gt;0,1,0))</f>
        <v>0</v>
      </c>
      <c r="W15" s="39" t="n">
        <f aca="false">IF(W$4=0,0,IF(COUNTIFS(実績!$W$6:$W$505,W$3,実績!$AI$6:$AI$505,"&lt;="&amp;$A15,実績!$AJ$6:$AJ$505,"&gt;"&amp;$A15,実績!$AL$6:$AL$505,"○")&gt;0,1,0))</f>
        <v>0</v>
      </c>
      <c r="X15" s="39" t="n">
        <f aca="false">IF(X$4=0,0,IF(COUNTIFS(実績!$W$6:$W$505,X$3,実績!$AI$6:$AI$505,"&lt;="&amp;$A15,実績!$AJ$6:$AJ$505,"&gt;"&amp;$A15,実績!$AL$6:$AL$505,"○")&gt;0,1,0))</f>
        <v>0</v>
      </c>
      <c r="Y15" s="39" t="n">
        <f aca="false">IF(Y$4=0,0,IF(COUNTIFS(実績!$W$6:$W$505,Y$3,実績!$AI$6:$AI$505,"&lt;="&amp;$A15,実績!$AJ$6:$AJ$505,"&gt;"&amp;$A15,実績!$AL$6:$AL$505,"○")&gt;0,1,0))</f>
        <v>0</v>
      </c>
      <c r="Z15" s="39" t="n">
        <f aca="false">IF(Z$4=0,0,IF(COUNTIFS(実績!$W$6:$W$505,Z$3,実績!$AI$6:$AI$505,"&lt;="&amp;$A15,実績!$AJ$6:$AJ$505,"&gt;"&amp;$A15,実績!$AL$6:$AL$505,"○")&gt;0,1,0))</f>
        <v>0</v>
      </c>
      <c r="AA15" s="39" t="n">
        <f aca="false">IF(AA$4=0,0,IF(COUNTIFS(実績!$W$6:$W$505,AA$3,実績!$AI$6:$AI$505,"&lt;="&amp;$A15,実績!$AJ$6:$AJ$505,"&gt;"&amp;$A15,実績!$AL$6:$AL$505,"○")&gt;0,1,0))</f>
        <v>0</v>
      </c>
      <c r="AB15" s="39" t="n">
        <f aca="false">IF(AB$4=0,0,IF(COUNTIFS(実績!$W$6:$W$505,AB$3,実績!$AI$6:$AI$505,"&lt;="&amp;$A15,実績!$AJ$6:$AJ$505,"&gt;"&amp;$A15,実績!$AL$6:$AL$505,"○")&gt;0,1,0))</f>
        <v>0</v>
      </c>
      <c r="AC15" s="39" t="n">
        <f aca="false">IF(AC$4=0,0,IF(COUNTIFS(実績!$W$6:$W$505,AC$3,実績!$AI$6:$AI$505,"&lt;="&amp;$A15,実績!$AJ$6:$AJ$505,"&gt;"&amp;$A15,実績!$AL$6:$AL$505,"○")&gt;0,1,0))</f>
        <v>0</v>
      </c>
      <c r="AD15" s="39" t="n">
        <f aca="false">IF(AD$4=0,0,IF(COUNTIFS(実績!$W$6:$W$505,AD$3,実績!$AI$6:$AI$505,"&lt;="&amp;$A15,実績!$AJ$6:$AJ$505,"&gt;"&amp;$A15,実績!$AL$6:$AL$505,"○")&gt;0,1,0))</f>
        <v>0</v>
      </c>
      <c r="AE15" s="39" t="n">
        <f aca="false">IF(AE$4=0,0,IF(COUNTIFS(実績!$W$6:$W$505,AE$3,実績!$AI$6:$AI$505,"&lt;="&amp;$A15,実績!$AJ$6:$AJ$505,"&gt;"&amp;$A15,実績!$AL$6:$AL$505,"○")&gt;0,1,0))</f>
        <v>0</v>
      </c>
      <c r="AF15" s="39" t="n">
        <f aca="false">IF(AF$4=0,0,IF(COUNTIFS(実績!$W$6:$W$505,AF$3,実績!$AI$6:$AI$505,"&lt;="&amp;$A15,実績!$AJ$6:$AJ$505,"&gt;"&amp;$A15,実績!$AL$6:$AL$505,"○")&gt;0,1,0))</f>
        <v>0</v>
      </c>
      <c r="AG15" s="39" t="n">
        <f aca="false">IF(AG$4=0,0,IF(COUNTIFS(実績!$W$6:$W$505,AG$3,実績!$AI$6:$AI$505,"&lt;="&amp;$A15,実績!$AJ$6:$AJ$505,"&gt;"&amp;$A15,実績!$AL$6:$AL$505,"○")&gt;0,1,0))</f>
        <v>0</v>
      </c>
      <c r="AH15" s="39" t="n">
        <f aca="false">IF(AH$4=0,0,IF(COUNTIFS(実績!$W$6:$W$505,AH$3,実績!$AI$6:$AI$505,"&lt;="&amp;$A15,実績!$AJ$6:$AJ$505,"&gt;"&amp;$A15,実績!$AL$6:$AL$505,"○")&gt;0,1,0))</f>
        <v>0</v>
      </c>
      <c r="AI15" s="39" t="n">
        <f aca="false">IF(AI$4=0,0,IF(COUNTIFS(実績!$W$6:$W$505,AI$3,実績!$AI$6:$AI$505,"&lt;="&amp;$A15,実績!$AJ$6:$AJ$505,"&gt;"&amp;$A15,実績!$AL$6:$AL$505,"○")&gt;0,1,0))</f>
        <v>0</v>
      </c>
      <c r="AJ15" s="39" t="n">
        <f aca="false">IF(AJ$4=0,0,IF(COUNTIFS(実績!$W$6:$W$505,AJ$3,実績!$AI$6:$AI$505,"&lt;="&amp;$A15,実績!$AJ$6:$AJ$505,"&gt;"&amp;$A15,実績!$AL$6:$AL$505,"○")&gt;0,1,0))</f>
        <v>0</v>
      </c>
      <c r="AK15" s="39" t="n">
        <f aca="false">IF(AK$4=0,0,IF(COUNTIFS(実績!$W$6:$W$505,AK$3,実績!$AI$6:$AI$505,"&lt;="&amp;$A15,実績!$AJ$6:$AJ$505,"&gt;"&amp;$A15,実績!$AL$6:$AL$505,"○")&gt;0,1,0))</f>
        <v>0</v>
      </c>
      <c r="AL15" s="39" t="n">
        <f aca="false">IF(AL$4=0,0,IF(COUNTIFS(実績!$W$6:$W$505,AL$3,実績!$AI$6:$AI$505,"&lt;="&amp;$A15,実績!$AJ$6:$AJ$505,"&gt;"&amp;$A15,実績!$AL$6:$AL$505,"○")&gt;0,1,0))</f>
        <v>0</v>
      </c>
      <c r="AM15" s="39" t="n">
        <f aca="false">IF(AM$4=0,0,IF(COUNTIFS(実績!$W$6:$W$505,AM$3,実績!$AI$6:$AI$505,"&lt;="&amp;$A15,実績!$AJ$6:$AJ$505,"&gt;"&amp;$A15,実績!$AL$6:$AL$505,"○")&gt;0,1,0))</f>
        <v>0</v>
      </c>
      <c r="AN15" s="39" t="n">
        <f aca="false">IF(AN$4=0,0,IF(COUNTIFS(実績!$W$6:$W$505,AN$3,実績!$AI$6:$AI$505,"&lt;="&amp;$A15,実績!$AJ$6:$AJ$505,"&gt;"&amp;$A15,実績!$AL$6:$AL$505,"○")&gt;0,1,0))</f>
        <v>0</v>
      </c>
      <c r="AO15" s="39" t="n">
        <f aca="false">IF(AO$4=0,0,IF(COUNTIFS(実績!$W$6:$W$505,AO$3,実績!$AI$6:$AI$505,"&lt;="&amp;$A15,実績!$AJ$6:$AJ$505,"&gt;"&amp;$A15,実績!$AL$6:$AL$505,"○")&gt;0,1,0))</f>
        <v>0</v>
      </c>
      <c r="AP15" s="39" t="n">
        <f aca="false">IF(AP$4=0,0,IF(COUNTIFS(実績!$W$6:$W$505,AP$3,実績!$AI$6:$AI$505,"&lt;="&amp;$A15,実績!$AJ$6:$AJ$505,"&gt;"&amp;$A15,実績!$AL$6:$AL$505,"○")&gt;0,1,0))</f>
        <v>0</v>
      </c>
      <c r="AQ15" s="39" t="n">
        <f aca="false">IF(AQ$4=0,0,IF(COUNTIFS(実績!$W$6:$W$505,AQ$3,実績!$AI$6:$AI$505,"&lt;="&amp;$A15,実績!$AJ$6:$AJ$505,"&gt;"&amp;$A15,実績!$AL$6:$AL$505,"○")&gt;0,1,0))</f>
        <v>0</v>
      </c>
      <c r="AR15" s="39" t="n">
        <f aca="false">IF(AR$4=0,0,IF(COUNTIFS(実績!$W$6:$W$505,AR$3,実績!$AI$6:$AI$505,"&lt;="&amp;$A15,実績!$AJ$6:$AJ$505,"&gt;"&amp;$A15,実績!$AL$6:$AL$505,"○")&gt;0,1,0))</f>
        <v>0</v>
      </c>
      <c r="AS15" s="39" t="n">
        <f aca="false">IF(AS$4=0,0,IF(COUNTIFS(実績!$W$6:$W$505,AS$3,実績!$AI$6:$AI$505,"&lt;="&amp;$A15,実績!$AJ$6:$AJ$505,"&gt;"&amp;$A15,実績!$AL$6:$AL$505,"○")&gt;0,1,0))</f>
        <v>0</v>
      </c>
      <c r="AT15" s="39" t="n">
        <f aca="false">IF(AT$4=0,0,IF(COUNTIFS(実績!$W$6:$W$505,AT$3,実績!$AI$6:$AI$505,"&lt;="&amp;$A15,実績!$AJ$6:$AJ$505,"&gt;"&amp;$A15,実績!$AL$6:$AL$505,"○")&gt;0,1,0))</f>
        <v>0</v>
      </c>
      <c r="AU15" s="39" t="n">
        <f aca="false">IF(AU$4=0,0,IF(COUNTIFS(実績!$W$6:$W$505,AU$3,実績!$AI$6:$AI$505,"&lt;="&amp;$A15,実績!$AJ$6:$AJ$505,"&gt;"&amp;$A15,実績!$AL$6:$AL$505,"○")&gt;0,1,0))</f>
        <v>0</v>
      </c>
      <c r="AV15" s="39" t="n">
        <f aca="false">IF(AV$4=0,0,IF(COUNTIFS(実績!$W$6:$W$505,AV$3,実績!$AI$6:$AI$505,"&lt;="&amp;$A15,実績!$AJ$6:$AJ$505,"&gt;"&amp;$A15,実績!$AL$6:$AL$505,"○")&gt;0,1,0))</f>
        <v>0</v>
      </c>
      <c r="AW15" s="39" t="n">
        <f aca="false">IF(AW$4=0,0,IF(COUNTIFS(実績!$W$6:$W$505,AW$3,実績!$AI$6:$AI$505,"&lt;="&amp;$A15,実績!$AJ$6:$AJ$505,"&gt;"&amp;$A15,実績!$AL$6:$AL$505,"○")&gt;0,1,0))</f>
        <v>0</v>
      </c>
      <c r="AX15" s="39" t="n">
        <f aca="false">IF(AX$4=0,0,IF(COUNTIFS(実績!$W$6:$W$505,AX$3,実績!$AI$6:$AI$505,"&lt;="&amp;$A15,実績!$AJ$6:$AJ$505,"&gt;"&amp;$A15,実績!$AL$6:$AL$505,"○")&gt;0,1,0))</f>
        <v>0</v>
      </c>
      <c r="AY15" s="39" t="n">
        <f aca="false">IF(AY$4=0,0,IF(COUNTIFS(実績!$W$6:$W$505,AY$3,実績!$AI$6:$AI$505,"&lt;="&amp;$A15,実績!$AJ$6:$AJ$505,"&gt;"&amp;$A15,実績!$AL$6:$AL$505,"○")&gt;0,1,0))</f>
        <v>0</v>
      </c>
      <c r="AZ15" s="39" t="n">
        <f aca="false">IF(AZ$4=0,0,IF(COUNTIFS(実績!$W$6:$W$505,AZ$3,実績!$AI$6:$AI$505,"&lt;="&amp;$A15,実績!$AJ$6:$AJ$505,"&gt;"&amp;$A15,実績!$AL$6:$AL$505,"○")&gt;0,1,0))</f>
        <v>0</v>
      </c>
      <c r="BA15" s="39" t="n">
        <f aca="false">IF(BA$4=0,0,IF(COUNTIFS(実績!$W$6:$W$505,BA$3,実績!$AI$6:$AI$505,"&lt;="&amp;$A15,実績!$AJ$6:$AJ$505,"&gt;"&amp;$A15,実績!$AL$6:$AL$505,"○")&gt;0,1,0))</f>
        <v>0</v>
      </c>
      <c r="BB15" s="39" t="n">
        <f aca="false">IF(BB$4=0,0,IF(COUNTIFS(実績!$W$6:$W$505,BB$3,実績!$AI$6:$AI$505,"&lt;="&amp;$A15,実績!$AJ$6:$AJ$505,"&gt;"&amp;$A15,実績!$AL$6:$AL$505,"○")&gt;0,1,0))</f>
        <v>0</v>
      </c>
      <c r="BC15" s="39" t="n">
        <f aca="false">IF(BC$4=0,0,IF(COUNTIFS(実績!$W$6:$W$505,BC$3,実績!$AI$6:$AI$505,"&lt;="&amp;$A15,実績!$AJ$6:$AJ$505,"&gt;"&amp;$A15,実績!$AL$6:$AL$505,"○")&gt;0,1,0))</f>
        <v>0</v>
      </c>
      <c r="BD15" s="39" t="n">
        <f aca="false">IF(BD$4=0,0,IF(COUNTIFS(実績!$W$6:$W$505,BD$3,実績!$AI$6:$AI$505,"&lt;="&amp;$A15,実績!$AJ$6:$AJ$505,"&gt;"&amp;$A15,実績!$AL$6:$AL$505,"○")&gt;0,1,0))</f>
        <v>0</v>
      </c>
      <c r="BE15" s="39" t="n">
        <f aca="false">IF(BE$4=0,0,IF(COUNTIFS(実績!$W$6:$W$505,BE$3,実績!$AI$6:$AI$505,"&lt;="&amp;$A15,実績!$AJ$6:$AJ$505,"&gt;"&amp;$A15,実績!$AL$6:$AL$505,"○")&gt;0,1,0))</f>
        <v>0</v>
      </c>
      <c r="BF15" s="39" t="n">
        <f aca="false">IF(BF$4=0,0,IF(COUNTIFS(実績!$W$6:$W$505,BF$3,実績!$AI$6:$AI$505,"&lt;="&amp;$A15,実績!$AJ$6:$AJ$505,"&gt;"&amp;$A15,実績!$AL$6:$AL$505,"○")&gt;0,1,0))</f>
        <v>0</v>
      </c>
      <c r="BG15" s="39" t="n">
        <f aca="false">IF(BG$4=0,0,IF(COUNTIFS(実績!$W$6:$W$505,BG$3,実績!$AI$6:$AI$505,"&lt;="&amp;$A15,実績!$AJ$6:$AJ$505,"&gt;"&amp;$A15,実績!$AL$6:$AL$505,"○")&gt;0,1,0))</f>
        <v>0</v>
      </c>
      <c r="BH15" s="39" t="n">
        <f aca="false">IF(BH$4=0,0,IF(COUNTIFS(実績!$W$6:$W$505,BH$3,実績!$AI$6:$AI$505,"&lt;="&amp;$A15,実績!$AJ$6:$AJ$505,"&gt;"&amp;$A15,実績!$AL$6:$AL$505,"○")&gt;0,1,0))</f>
        <v>0</v>
      </c>
      <c r="BI15" s="39" t="n">
        <f aca="false">IF(BI$4=0,0,IF(COUNTIFS(実績!$W$6:$W$505,BI$3,実績!$AI$6:$AI$505,"&lt;="&amp;$A15,実績!$AJ$6:$AJ$505,"&gt;"&amp;$A15,実績!$AL$6:$AL$505,"○")&gt;0,1,0))</f>
        <v>0</v>
      </c>
      <c r="BJ15" s="39" t="n">
        <f aca="false">IF(BJ$4=0,0,IF(COUNTIFS(実績!$W$6:$W$505,BJ$3,実績!$AI$6:$AI$505,"&lt;="&amp;$A15,実績!$AJ$6:$AJ$505,"&gt;"&amp;$A15,実績!$AL$6:$AL$505,"○")&gt;0,1,0))</f>
        <v>0</v>
      </c>
      <c r="BK15" s="39" t="n">
        <f aca="false">IF(BK$4=0,0,IF(COUNTIFS(実績!$W$6:$W$505,BK$3,実績!$AI$6:$AI$505,"&lt;="&amp;$A15,実績!$AJ$6:$AJ$505,"&gt;"&amp;$A15,実績!$AL$6:$AL$505,"○")&gt;0,1,0))</f>
        <v>0</v>
      </c>
      <c r="BL15" s="39" t="n">
        <f aca="false">IF(BL$4=0,0,IF(COUNTIFS(実績!$W$6:$W$505,BL$3,実績!$AI$6:$AI$505,"&lt;="&amp;$A15,実績!$AJ$6:$AJ$505,"&gt;"&amp;$A15,実績!$AL$6:$AL$505,"○")&gt;0,1,0))</f>
        <v>0</v>
      </c>
      <c r="BM15" s="39" t="n">
        <f aca="false">IF(BM$4=0,0,IF(COUNTIFS(実績!$W$6:$W$505,BM$3,実績!$AI$6:$AI$505,"&lt;="&amp;$A15,実績!$AJ$6:$AJ$505,"&gt;"&amp;$A15,実績!$AL$6:$AL$505,"○")&gt;0,1,0))</f>
        <v>0</v>
      </c>
      <c r="BN15" s="39" t="n">
        <f aca="false">IF(BN$4=0,0,IF(COUNTIFS(実績!$W$6:$W$505,BN$3,実績!$AI$6:$AI$505,"&lt;="&amp;$A15,実績!$AJ$6:$AJ$505,"&gt;"&amp;$A15,実績!$AL$6:$AL$505,"○")&gt;0,1,0))</f>
        <v>0</v>
      </c>
      <c r="BO15" s="39" t="n">
        <f aca="false">IF(BO$4=0,0,IF(COUNTIFS(実績!$W$6:$W$505,BO$3,実績!$AI$6:$AI$505,"&lt;="&amp;$A15,実績!$AJ$6:$AJ$505,"&gt;"&amp;$A15,実績!$AL$6:$AL$505,"○")&gt;0,1,0))</f>
        <v>0</v>
      </c>
      <c r="BP15" s="39" t="n">
        <f aca="false">IF(BP$4=0,0,IF(COUNTIFS(実績!$W$6:$W$505,BP$3,実績!$AI$6:$AI$505,"&lt;="&amp;$A15,実績!$AJ$6:$AJ$505,"&gt;"&amp;$A15,実績!$AL$6:$AL$505,"○")&gt;0,1,0))</f>
        <v>0</v>
      </c>
      <c r="BQ15" s="39" t="n">
        <f aca="false">IF(BQ$4=0,0,IF(COUNTIFS(実績!$W$6:$W$505,BQ$3,実績!$AI$6:$AI$505,"&lt;="&amp;$A15,実績!$AJ$6:$AJ$505,"&gt;"&amp;$A15,実績!$AL$6:$AL$505,"○")&gt;0,1,0))</f>
        <v>0</v>
      </c>
      <c r="BR15" s="39" t="n">
        <f aca="false">IF(BR$4=0,0,IF(COUNTIFS(実績!$W$6:$W$505,BR$3,実績!$AI$6:$AI$505,"&lt;="&amp;$A15,実績!$AJ$6:$AJ$505,"&gt;"&amp;$A15,実績!$AL$6:$AL$505,"○")&gt;0,1,0))</f>
        <v>0</v>
      </c>
      <c r="BS15" s="39" t="n">
        <f aca="false">IF(BS$4=0,0,IF(COUNTIFS(実績!$W$6:$W$505,BS$3,実績!$AI$6:$AI$505,"&lt;="&amp;$A15,実績!$AJ$6:$AJ$505,"&gt;"&amp;$A15,実績!$AL$6:$AL$505,"○")&gt;0,1,0))</f>
        <v>0</v>
      </c>
      <c r="BT15" s="39" t="n">
        <f aca="false">IF(BT$4=0,0,IF(COUNTIFS(実績!$W$6:$W$505,BT$3,実績!$AI$6:$AI$505,"&lt;="&amp;$A15,実績!$AJ$6:$AJ$505,"&gt;"&amp;$A15,実績!$AL$6:$AL$505,"○")&gt;0,1,0))</f>
        <v>0</v>
      </c>
      <c r="BU15" s="39" t="n">
        <f aca="false">IF(BU$4=0,0,IF(COUNTIFS(実績!$W$6:$W$505,BU$3,実績!$AI$6:$AI$505,"&lt;="&amp;$A15,実績!$AJ$6:$AJ$505,"&gt;"&amp;$A15,実績!$AL$6:$AL$505,"○")&gt;0,1,0))</f>
        <v>0</v>
      </c>
      <c r="BV15" s="39" t="n">
        <f aca="false">IF(BV$4=0,0,IF(COUNTIFS(実績!$W$6:$W$505,BV$3,実績!$AI$6:$AI$505,"&lt;="&amp;$A15,実績!$AJ$6:$AJ$505,"&gt;"&amp;$A15,実績!$AL$6:$AL$505,"○")&gt;0,1,0))</f>
        <v>0</v>
      </c>
      <c r="BW15" s="39" t="n">
        <f aca="false">IF(BW$4=0,0,IF(COUNTIFS(実績!$W$6:$W$505,BW$3,実績!$AI$6:$AI$505,"&lt;="&amp;$A15,実績!$AJ$6:$AJ$505,"&gt;"&amp;$A15,実績!$AL$6:$AL$505,"○")&gt;0,1,0))</f>
        <v>0</v>
      </c>
      <c r="BX15" s="39" t="n">
        <f aca="false">IF(BX$4=0,0,IF(COUNTIFS(実績!$W$6:$W$505,BX$3,実績!$AI$6:$AI$505,"&lt;="&amp;$A15,実績!$AJ$6:$AJ$505,"&gt;"&amp;$A15,実績!$AL$6:$AL$505,"○")&gt;0,1,0))</f>
        <v>0</v>
      </c>
      <c r="BY15" s="39" t="n">
        <f aca="false">IF(BY$4=0,0,IF(COUNTIFS(実績!$W$6:$W$505,BY$3,実績!$AI$6:$AI$505,"&lt;="&amp;$A15,実績!$AJ$6:$AJ$505,"&gt;"&amp;$A15,実績!$AL$6:$AL$505,"○")&gt;0,1,0))</f>
        <v>0</v>
      </c>
      <c r="BZ15" s="39" t="n">
        <f aca="false">IF(BZ$4=0,0,IF(COUNTIFS(実績!$W$6:$W$505,BZ$3,実績!$AI$6:$AI$505,"&lt;="&amp;$A15,実績!$AJ$6:$AJ$505,"&gt;"&amp;$A15,実績!$AL$6:$AL$505,"○")&gt;0,1,0))</f>
        <v>0</v>
      </c>
      <c r="CA15" s="39" t="n">
        <f aca="false">IF(CA$4=0,0,IF(COUNTIFS(実績!$W$6:$W$505,CA$3,実績!$AI$6:$AI$505,"&lt;="&amp;$A15,実績!$AJ$6:$AJ$505,"&gt;"&amp;$A15,実績!$AL$6:$AL$505,"○")&gt;0,1,0))</f>
        <v>0</v>
      </c>
      <c r="CB15" s="39" t="n">
        <f aca="false">IF(CB$4=0,0,IF(COUNTIFS(実績!$W$6:$W$505,CB$3,実績!$AI$6:$AI$505,"&lt;="&amp;$A15,実績!$AJ$6:$AJ$505,"&gt;"&amp;$A15,実績!$AL$6:$AL$505,"○")&gt;0,1,0))</f>
        <v>0</v>
      </c>
      <c r="CC15" s="39" t="n">
        <f aca="false">IF(CC$4=0,0,IF(COUNTIFS(実績!$W$6:$W$505,CC$3,実績!$AI$6:$AI$505,"&lt;="&amp;$A15,実績!$AJ$6:$AJ$505,"&gt;"&amp;$A15,実績!$AL$6:$AL$505,"○")&gt;0,1,0))</f>
        <v>0</v>
      </c>
      <c r="CD15" s="39" t="n">
        <f aca="false">IF(CD$4=0,0,IF(COUNTIFS(実績!$W$6:$W$505,CD$3,実績!$AI$6:$AI$505,"&lt;="&amp;$A15,実績!$AJ$6:$AJ$505,"&gt;"&amp;$A15,実績!$AL$6:$AL$505,"○")&gt;0,1,0))</f>
        <v>0</v>
      </c>
      <c r="CE15" s="39" t="n">
        <f aca="false">IF(CE$4=0,0,IF(COUNTIFS(実績!$W$6:$W$505,CE$3,実績!$AI$6:$AI$505,"&lt;="&amp;$A15,実績!$AJ$6:$AJ$505,"&gt;"&amp;$A15,実績!$AL$6:$AL$505,"○")&gt;0,1,0))</f>
        <v>0</v>
      </c>
      <c r="CF15" s="39" t="n">
        <f aca="false">IF(CF$4=0,0,IF(COUNTIFS(実績!$W$6:$W$505,CF$3,実績!$AI$6:$AI$505,"&lt;="&amp;$A15,実績!$AJ$6:$AJ$505,"&gt;"&amp;$A15,実績!$AL$6:$AL$505,"○")&gt;0,1,0))</f>
        <v>0</v>
      </c>
      <c r="CG15" s="39" t="n">
        <f aca="false">IF(CG$4=0,0,IF(COUNTIFS(実績!$W$6:$W$505,CG$3,実績!$AI$6:$AI$505,"&lt;="&amp;$A15,実績!$AJ$6:$AJ$505,"&gt;"&amp;$A15,実績!$AL$6:$AL$505,"○")&gt;0,1,0))</f>
        <v>0</v>
      </c>
      <c r="CH15" s="39" t="n">
        <f aca="false">IF(CH$4=0,0,IF(COUNTIFS(実績!$W$6:$W$505,CH$3,実績!$AI$6:$AI$505,"&lt;="&amp;$A15,実績!$AJ$6:$AJ$505,"&gt;"&amp;$A15,実績!$AL$6:$AL$505,"○")&gt;0,1,0))</f>
        <v>0</v>
      </c>
      <c r="CI15" s="39" t="n">
        <f aca="false">IF(CI$4=0,0,IF(COUNTIFS(実績!$W$6:$W$505,CI$3,実績!$AI$6:$AI$505,"&lt;="&amp;$A15,実績!$AJ$6:$AJ$505,"&gt;"&amp;$A15,実績!$AL$6:$AL$505,"○")&gt;0,1,0))</f>
        <v>0</v>
      </c>
      <c r="CJ15" s="39" t="n">
        <f aca="false">IF(CJ$4=0,0,IF(COUNTIFS(実績!$W$6:$W$505,CJ$3,実績!$AI$6:$AI$505,"&lt;="&amp;$A15,実績!$AJ$6:$AJ$505,"&gt;"&amp;$A15,実績!$AL$6:$AL$505,"○")&gt;0,1,0))</f>
        <v>0</v>
      </c>
      <c r="CK15" s="39" t="n">
        <f aca="false">IF(CK$4=0,0,IF(COUNTIFS(実績!$W$6:$W$505,CK$3,実績!$AI$6:$AI$505,"&lt;="&amp;$A15,実績!$AJ$6:$AJ$505,"&gt;"&amp;$A15,実績!$AL$6:$AL$505,"○")&gt;0,1,0))</f>
        <v>0</v>
      </c>
      <c r="CL15" s="39" t="n">
        <f aca="false">IF(CL$4=0,0,IF(COUNTIFS(実績!$W$6:$W$505,CL$3,実績!$AI$6:$AI$505,"&lt;="&amp;$A15,実績!$AJ$6:$AJ$505,"&gt;"&amp;$A15,実績!$AL$6:$AL$505,"○")&gt;0,1,0))</f>
        <v>0</v>
      </c>
      <c r="CM15" s="39" t="n">
        <f aca="false">IF(CM$4=0,0,IF(COUNTIFS(実績!$W$6:$W$505,CM$3,実績!$AI$6:$AI$505,"&lt;="&amp;$A15,実績!$AJ$6:$AJ$505,"&gt;"&amp;$A15,実績!$AL$6:$AL$505,"○")&gt;0,1,0))</f>
        <v>0</v>
      </c>
      <c r="CN15" s="39" t="n">
        <f aca="false">IF(CN$4=0,0,IF(COUNTIFS(実績!$W$6:$W$505,CN$3,実績!$AI$6:$AI$505,"&lt;="&amp;$A15,実績!$AJ$6:$AJ$505,"&gt;"&amp;$A15,実績!$AL$6:$AL$505,"○")&gt;0,1,0))</f>
        <v>0</v>
      </c>
      <c r="CO15" s="39" t="n">
        <f aca="false">IF(CO$4=0,0,IF(COUNTIFS(実績!$W$6:$W$505,CO$3,実績!$AI$6:$AI$505,"&lt;="&amp;$A15,実績!$AJ$6:$AJ$505,"&gt;"&amp;$A15,実績!$AL$6:$AL$505,"○")&gt;0,1,0))</f>
        <v>0</v>
      </c>
      <c r="CP15" s="39" t="n">
        <f aca="false">IF(CP$4=0,0,IF(COUNTIFS(実績!$W$6:$W$505,CP$3,実績!$AI$6:$AI$505,"&lt;="&amp;$A15,実績!$AJ$6:$AJ$505,"&gt;"&amp;$A15,実績!$AL$6:$AL$505,"○")&gt;0,1,0))</f>
        <v>0</v>
      </c>
      <c r="CQ15" s="39" t="n">
        <f aca="false">IF(CQ$4=0,0,IF(COUNTIFS(実績!$W$6:$W$505,CQ$3,実績!$AI$6:$AI$505,"&lt;="&amp;$A15,実績!$AJ$6:$AJ$505,"&gt;"&amp;$A15,実績!$AL$6:$AL$505,"○")&gt;0,1,0))</f>
        <v>0</v>
      </c>
      <c r="CR15" s="39" t="n">
        <f aca="false">IF(CR$4=0,0,IF(COUNTIFS(実績!$W$6:$W$505,CR$3,実績!$AI$6:$AI$505,"&lt;="&amp;$A15,実績!$AJ$6:$AJ$505,"&gt;"&amp;$A15,実績!$AL$6:$AL$505,"○")&gt;0,1,0))</f>
        <v>0</v>
      </c>
      <c r="CS15" s="39" t="n">
        <f aca="false">IF(CS$4=0,0,IF(COUNTIFS(実績!$W$6:$W$505,CS$3,実績!$AI$6:$AI$505,"&lt;="&amp;$A15,実績!$AJ$6:$AJ$505,"&gt;"&amp;$A15,実績!$AL$6:$AL$505,"○")&gt;0,1,0))</f>
        <v>0</v>
      </c>
      <c r="CT15" s="39" t="n">
        <f aca="false">IF(CT$4=0,0,IF(COUNTIFS(実績!$W$6:$W$505,CT$3,実績!$AI$6:$AI$505,"&lt;="&amp;$A15,実績!$AJ$6:$AJ$505,"&gt;"&amp;$A15,実績!$AL$6:$AL$505,"○")&gt;0,1,0))</f>
        <v>0</v>
      </c>
      <c r="CU15" s="39" t="n">
        <f aca="false">IF(CU$4=0,0,IF(COUNTIFS(実績!$W$6:$W$505,CU$3,実績!$AI$6:$AI$505,"&lt;="&amp;$A15,実績!$AJ$6:$AJ$505,"&gt;"&amp;$A15,実績!$AL$6:$AL$505,"○")&gt;0,1,0))</f>
        <v>0</v>
      </c>
      <c r="CV15" s="39" t="n">
        <f aca="false">IF(CV$4=0,0,IF(COUNTIFS(実績!$W$6:$W$505,CV$3,実績!$AI$6:$AI$505,"&lt;="&amp;$A15,実績!$AJ$6:$AJ$505,"&gt;"&amp;$A15,実績!$AL$6:$AL$505,"○")&gt;0,1,0))</f>
        <v>0</v>
      </c>
      <c r="CW15" s="39" t="n">
        <f aca="false">IF(CW$4=0,0,IF(COUNTIFS(実績!$W$6:$W$505,CW$3,実績!$AI$6:$AI$505,"&lt;="&amp;$A15,実績!$AJ$6:$AJ$505,"&gt;"&amp;$A15,実績!$AL$6:$AL$505,"○")&gt;0,1,0))</f>
        <v>0</v>
      </c>
      <c r="CX15" s="39" t="n">
        <f aca="false">IF(CX$4=0,0,IF(COUNTIFS(実績!$W$6:$W$505,CX$3,実績!$AI$6:$AI$505,"&lt;="&amp;$A15,実績!$AJ$6:$AJ$505,"&gt;"&amp;$A15,実績!$AL$6:$AL$505,"○")&gt;0,1,0))</f>
        <v>0</v>
      </c>
      <c r="CY15" s="39" t="n">
        <f aca="false">IF(CY$4=0,0,IF(COUNTIFS(実績!$W$6:$W$505,CY$3,実績!$AI$6:$AI$505,"&lt;="&amp;$A15,実績!$AJ$6:$AJ$505,"&gt;"&amp;$A15,実績!$AL$6:$AL$505,"○")&gt;0,1,0))</f>
        <v>0</v>
      </c>
      <c r="CZ15" s="39" t="n">
        <f aca="false">IF(CZ$4=0,0,IF(COUNTIFS(実績!$W$6:$W$505,CZ$3,実績!$AI$6:$AI$505,"&lt;="&amp;$A15,実績!$AJ$6:$AJ$505,"&gt;"&amp;$A15,実績!$AL$6:$AL$505,"○")&gt;0,1,0))</f>
        <v>0</v>
      </c>
      <c r="DA15" s="39" t="n">
        <f aca="false">IF(DA$4=0,0,IF(COUNTIFS(実績!$W$6:$W$505,DA$3,実績!$AI$6:$AI$505,"&lt;="&amp;$A15,実績!$AJ$6:$AJ$505,"&gt;"&amp;$A15,実績!$AL$6:$AL$505,"○")&gt;0,1,0))</f>
        <v>0</v>
      </c>
      <c r="DB15" s="39" t="n">
        <f aca="false">IF(DB$4=0,0,IF(COUNTIFS(実績!$W$6:$W$505,DB$3,実績!$AI$6:$AI$505,"&lt;="&amp;$A15,実績!$AJ$6:$AJ$505,"&gt;"&amp;$A15,実績!$AL$6:$AL$505,"○")&gt;0,1,0))</f>
        <v>0</v>
      </c>
      <c r="DC15" s="39" t="n">
        <f aca="false">IF(DC$4=0,0,IF(COUNTIFS(実績!$W$6:$W$505,DC$3,実績!$AI$6:$AI$505,"&lt;="&amp;$A15,実績!$AJ$6:$AJ$505,"&gt;"&amp;$A15,実績!$AL$6:$AL$505,"○")&gt;0,1,0))</f>
        <v>0</v>
      </c>
      <c r="DD15" s="39" t="n">
        <f aca="false">IF(DD$4=0,0,IF(COUNTIFS(実績!$W$6:$W$505,DD$3,実績!$AI$6:$AI$505,"&lt;="&amp;$A15,実績!$AJ$6:$AJ$505,"&gt;"&amp;$A15,実績!$AL$6:$AL$505,"○")&gt;0,1,0))</f>
        <v>0</v>
      </c>
      <c r="DE15" s="39" t="n">
        <f aca="false">IF(DE$4=0,0,IF(COUNTIFS(実績!$W$6:$W$505,DE$3,実績!$AI$6:$AI$505,"&lt;="&amp;$A15,実績!$AJ$6:$AJ$505,"&gt;"&amp;$A15,実績!$AL$6:$AL$505,"○")&gt;0,1,0))</f>
        <v>0</v>
      </c>
      <c r="DF15" s="39" t="n">
        <f aca="false">IF(DF$4=0,0,IF(COUNTIFS(実績!$W$6:$W$505,DF$3,実績!$AI$6:$AI$505,"&lt;="&amp;$A15,実績!$AJ$6:$AJ$505,"&gt;"&amp;$A15,実績!$AL$6:$AL$505,"○")&gt;0,1,0))</f>
        <v>0</v>
      </c>
      <c r="DG15" s="39" t="n">
        <f aca="false">IF(DG$4=0,0,IF(COUNTIFS(実績!$W$6:$W$505,DG$3,実績!$AI$6:$AI$505,"&lt;="&amp;$A15,実績!$AJ$6:$AJ$505,"&gt;"&amp;$A15,実績!$AL$6:$AL$505,"○")&gt;0,1,0))</f>
        <v>0</v>
      </c>
      <c r="DH15" s="39" t="n">
        <f aca="false">IF(DH$4=0,0,IF(COUNTIFS(実績!$W$6:$W$505,DH$3,実績!$AI$6:$AI$505,"&lt;="&amp;$A15,実績!$AJ$6:$AJ$505,"&gt;"&amp;$A15,実績!$AL$6:$AL$505,"○")&gt;0,1,0))</f>
        <v>0</v>
      </c>
      <c r="DI15" s="39" t="n">
        <f aca="false">IF(DI$4=0,0,IF(COUNTIFS(実績!$W$6:$W$505,DI$3,実績!$AI$6:$AI$505,"&lt;="&amp;$A15,実績!$AJ$6:$AJ$505,"&gt;"&amp;$A15,実績!$AL$6:$AL$505,"○")&gt;0,1,0))</f>
        <v>0</v>
      </c>
      <c r="DJ15" s="39" t="n">
        <f aca="false">IF(DJ$4=0,0,IF(COUNTIFS(実績!$W$6:$W$505,DJ$3,実績!$AI$6:$AI$505,"&lt;="&amp;$A15,実績!$AJ$6:$AJ$505,"&gt;"&amp;$A15,実績!$AL$6:$AL$505,"○")&gt;0,1,0))</f>
        <v>0</v>
      </c>
      <c r="DK15" s="39" t="n">
        <f aca="false">IF(DK$4=0,0,IF(COUNTIFS(実績!$W$6:$W$505,DK$3,実績!$AI$6:$AI$505,"&lt;="&amp;$A15,実績!$AJ$6:$AJ$505,"&gt;"&amp;$A15,実績!$AL$6:$AL$505,"○")&gt;0,1,0))</f>
        <v>0</v>
      </c>
      <c r="DL15" s="39" t="n">
        <f aca="false">IF(DL$4=0,0,IF(COUNTIFS(実績!$W$6:$W$505,DL$3,実績!$AI$6:$AI$505,"&lt;="&amp;$A15,実績!$AJ$6:$AJ$505,"&gt;"&amp;$A15,実績!$AL$6:$AL$505,"○")&gt;0,1,0))</f>
        <v>0</v>
      </c>
      <c r="DM15" s="39" t="n">
        <f aca="false">IF(DM$4=0,0,IF(COUNTIFS(実績!$W$6:$W$505,DM$3,実績!$AI$6:$AI$505,"&lt;="&amp;$A15,実績!$AJ$6:$AJ$505,"&gt;"&amp;$A15,実績!$AL$6:$AL$505,"○")&gt;0,1,0))</f>
        <v>0</v>
      </c>
      <c r="DN15" s="39" t="n">
        <f aca="false">IF(DN$4=0,0,IF(COUNTIFS(実績!$W$6:$W$505,DN$3,実績!$AI$6:$AI$505,"&lt;="&amp;$A15,実績!$AJ$6:$AJ$505,"&gt;"&amp;$A15,実績!$AL$6:$AL$505,"○")&gt;0,1,0))</f>
        <v>0</v>
      </c>
      <c r="DO15" s="39" t="n">
        <f aca="false">IF(DO$4=0,0,IF(COUNTIFS(実績!$W$6:$W$505,DO$3,実績!$AI$6:$AI$505,"&lt;="&amp;$A15,実績!$AJ$6:$AJ$505,"&gt;"&amp;$A15,実績!$AL$6:$AL$505,"○")&gt;0,1,0))</f>
        <v>0</v>
      </c>
      <c r="DP15" s="39" t="n">
        <f aca="false">IF(DP$4=0,0,IF(COUNTIFS(実績!$W$6:$W$505,DP$3,実績!$AI$6:$AI$505,"&lt;="&amp;$A15,実績!$AJ$6:$AJ$505,"&gt;"&amp;$A15,実績!$AL$6:$AL$505,"○")&gt;0,1,0))</f>
        <v>0</v>
      </c>
      <c r="DQ15" s="39" t="n">
        <f aca="false">IF(DQ$4=0,0,IF(COUNTIFS(実績!$W$6:$W$505,DQ$3,実績!$AI$6:$AI$505,"&lt;="&amp;$A15,実績!$AJ$6:$AJ$505,"&gt;"&amp;$A15,実績!$AL$6:$AL$505,"○")&gt;0,1,0))</f>
        <v>0</v>
      </c>
      <c r="DR15" s="39" t="n">
        <f aca="false">IF(DR$4=0,0,IF(COUNTIFS(実績!$W$6:$W$505,DR$3,実績!$AI$6:$AI$505,"&lt;="&amp;$A15,実績!$AJ$6:$AJ$505,"&gt;"&amp;$A15,実績!$AL$6:$AL$505,"○")&gt;0,1,0))</f>
        <v>0</v>
      </c>
      <c r="DS15" s="39" t="n">
        <f aca="false">SUM(C15:DR15)</f>
        <v>0</v>
      </c>
    </row>
    <row r="16" customFormat="false" ht="15" hidden="false" customHeight="false" outlineLevel="0" collapsed="false">
      <c r="A16" s="0" t="n">
        <v>50</v>
      </c>
      <c r="B16" s="38" t="n">
        <f aca="false">A16/1440</f>
        <v>0.0347222222222222</v>
      </c>
      <c r="C16" s="39" t="n">
        <f aca="false">IF(C$4=0,0,IF(COUNTIFS(実績!$W$6:$W$505,C$3,実績!$AI$6:$AI$505,"&lt;="&amp;$A16,実績!$AJ$6:$AJ$505,"&gt;"&amp;$A16,実績!$AL$6:$AL$505,"○")&gt;0,1,0))</f>
        <v>0</v>
      </c>
      <c r="D16" s="39" t="n">
        <f aca="false">IF(D$4=0,0,IF(COUNTIFS(実績!$W$6:$W$505,D$3,実績!$AI$6:$AI$505,"&lt;="&amp;$A16,実績!$AJ$6:$AJ$505,"&gt;"&amp;$A16,実績!$AL$6:$AL$505,"○")&gt;0,1,0))</f>
        <v>0</v>
      </c>
      <c r="E16" s="39" t="n">
        <f aca="false">IF(E$4=0,0,IF(COUNTIFS(実績!$W$6:$W$505,E$3,実績!$AI$6:$AI$505,"&lt;="&amp;$A16,実績!$AJ$6:$AJ$505,"&gt;"&amp;$A16,実績!$AL$6:$AL$505,"○")&gt;0,1,0))</f>
        <v>0</v>
      </c>
      <c r="F16" s="39" t="n">
        <f aca="false">IF(F$4=0,0,IF(COUNTIFS(実績!$W$6:$W$505,F$3,実績!$AI$6:$AI$505,"&lt;="&amp;$A16,実績!$AJ$6:$AJ$505,"&gt;"&amp;$A16,実績!$AL$6:$AL$505,"○")&gt;0,1,0))</f>
        <v>0</v>
      </c>
      <c r="G16" s="39" t="n">
        <f aca="false">IF(G$4=0,0,IF(COUNTIFS(実績!$W$6:$W$505,G$3,実績!$AI$6:$AI$505,"&lt;="&amp;$A16,実績!$AJ$6:$AJ$505,"&gt;"&amp;$A16,実績!$AL$6:$AL$505,"○")&gt;0,1,0))</f>
        <v>0</v>
      </c>
      <c r="H16" s="39" t="n">
        <f aca="false">IF(H$4=0,0,IF(COUNTIFS(実績!$W$6:$W$505,H$3,実績!$AI$6:$AI$505,"&lt;="&amp;$A16,実績!$AJ$6:$AJ$505,"&gt;"&amp;$A16,実績!$AL$6:$AL$505,"○")&gt;0,1,0))</f>
        <v>0</v>
      </c>
      <c r="I16" s="39" t="n">
        <f aca="false">IF(I$4=0,0,IF(COUNTIFS(実績!$W$6:$W$505,I$3,実績!$AI$6:$AI$505,"&lt;="&amp;$A16,実績!$AJ$6:$AJ$505,"&gt;"&amp;$A16,実績!$AL$6:$AL$505,"○")&gt;0,1,0))</f>
        <v>0</v>
      </c>
      <c r="J16" s="39" t="n">
        <f aca="false">IF(J$4=0,0,IF(COUNTIFS(実績!$W$6:$W$505,J$3,実績!$AI$6:$AI$505,"&lt;="&amp;$A16,実績!$AJ$6:$AJ$505,"&gt;"&amp;$A16,実績!$AL$6:$AL$505,"○")&gt;0,1,0))</f>
        <v>0</v>
      </c>
      <c r="K16" s="39" t="n">
        <f aca="false">IF(K$4=0,0,IF(COUNTIFS(実績!$W$6:$W$505,K$3,実績!$AI$6:$AI$505,"&lt;="&amp;$A16,実績!$AJ$6:$AJ$505,"&gt;"&amp;$A16,実績!$AL$6:$AL$505,"○")&gt;0,1,0))</f>
        <v>0</v>
      </c>
      <c r="L16" s="39" t="n">
        <f aca="false">IF(L$4=0,0,IF(COUNTIFS(実績!$W$6:$W$505,L$3,実績!$AI$6:$AI$505,"&lt;="&amp;$A16,実績!$AJ$6:$AJ$505,"&gt;"&amp;$A16,実績!$AL$6:$AL$505,"○")&gt;0,1,0))</f>
        <v>0</v>
      </c>
      <c r="M16" s="39" t="n">
        <f aca="false">IF(M$4=0,0,IF(COUNTIFS(実績!$W$6:$W$505,M$3,実績!$AI$6:$AI$505,"&lt;="&amp;$A16,実績!$AJ$6:$AJ$505,"&gt;"&amp;$A16,実績!$AL$6:$AL$505,"○")&gt;0,1,0))</f>
        <v>0</v>
      </c>
      <c r="N16" s="39" t="n">
        <f aca="false">IF(N$4=0,0,IF(COUNTIFS(実績!$W$6:$W$505,N$3,実績!$AI$6:$AI$505,"&lt;="&amp;$A16,実績!$AJ$6:$AJ$505,"&gt;"&amp;$A16,実績!$AL$6:$AL$505,"○")&gt;0,1,0))</f>
        <v>0</v>
      </c>
      <c r="O16" s="39" t="n">
        <f aca="false">IF(O$4=0,0,IF(COUNTIFS(実績!$W$6:$W$505,O$3,実績!$AI$6:$AI$505,"&lt;="&amp;$A16,実績!$AJ$6:$AJ$505,"&gt;"&amp;$A16,実績!$AL$6:$AL$505,"○")&gt;0,1,0))</f>
        <v>0</v>
      </c>
      <c r="P16" s="39" t="n">
        <f aca="false">IF(P$4=0,0,IF(COUNTIFS(実績!$W$6:$W$505,P$3,実績!$AI$6:$AI$505,"&lt;="&amp;$A16,実績!$AJ$6:$AJ$505,"&gt;"&amp;$A16,実績!$AL$6:$AL$505,"○")&gt;0,1,0))</f>
        <v>0</v>
      </c>
      <c r="Q16" s="39" t="n">
        <f aca="false">IF(Q$4=0,0,IF(COUNTIFS(実績!$W$6:$W$505,Q$3,実績!$AI$6:$AI$505,"&lt;="&amp;$A16,実績!$AJ$6:$AJ$505,"&gt;"&amp;$A16,実績!$AL$6:$AL$505,"○")&gt;0,1,0))</f>
        <v>0</v>
      </c>
      <c r="R16" s="39" t="n">
        <f aca="false">IF(R$4=0,0,IF(COUNTIFS(実績!$W$6:$W$505,R$3,実績!$AI$6:$AI$505,"&lt;="&amp;$A16,実績!$AJ$6:$AJ$505,"&gt;"&amp;$A16,実績!$AL$6:$AL$505,"○")&gt;0,1,0))</f>
        <v>0</v>
      </c>
      <c r="S16" s="39" t="n">
        <f aca="false">IF(S$4=0,0,IF(COUNTIFS(実績!$W$6:$W$505,S$3,実績!$AI$6:$AI$505,"&lt;="&amp;$A16,実績!$AJ$6:$AJ$505,"&gt;"&amp;$A16,実績!$AL$6:$AL$505,"○")&gt;0,1,0))</f>
        <v>0</v>
      </c>
      <c r="T16" s="39" t="n">
        <f aca="false">IF(T$4=0,0,IF(COUNTIFS(実績!$W$6:$W$505,T$3,実績!$AI$6:$AI$505,"&lt;="&amp;$A16,実績!$AJ$6:$AJ$505,"&gt;"&amp;$A16,実績!$AL$6:$AL$505,"○")&gt;0,1,0))</f>
        <v>0</v>
      </c>
      <c r="U16" s="39" t="n">
        <f aca="false">IF(U$4=0,0,IF(COUNTIFS(実績!$W$6:$W$505,U$3,実績!$AI$6:$AI$505,"&lt;="&amp;$A16,実績!$AJ$6:$AJ$505,"&gt;"&amp;$A16,実績!$AL$6:$AL$505,"○")&gt;0,1,0))</f>
        <v>0</v>
      </c>
      <c r="V16" s="39" t="n">
        <f aca="false">IF(V$4=0,0,IF(COUNTIFS(実績!$W$6:$W$505,V$3,実績!$AI$6:$AI$505,"&lt;="&amp;$A16,実績!$AJ$6:$AJ$505,"&gt;"&amp;$A16,実績!$AL$6:$AL$505,"○")&gt;0,1,0))</f>
        <v>0</v>
      </c>
      <c r="W16" s="39" t="n">
        <f aca="false">IF(W$4=0,0,IF(COUNTIFS(実績!$W$6:$W$505,W$3,実績!$AI$6:$AI$505,"&lt;="&amp;$A16,実績!$AJ$6:$AJ$505,"&gt;"&amp;$A16,実績!$AL$6:$AL$505,"○")&gt;0,1,0))</f>
        <v>0</v>
      </c>
      <c r="X16" s="39" t="n">
        <f aca="false">IF(X$4=0,0,IF(COUNTIFS(実績!$W$6:$W$505,X$3,実績!$AI$6:$AI$505,"&lt;="&amp;$A16,実績!$AJ$6:$AJ$505,"&gt;"&amp;$A16,実績!$AL$6:$AL$505,"○")&gt;0,1,0))</f>
        <v>0</v>
      </c>
      <c r="Y16" s="39" t="n">
        <f aca="false">IF(Y$4=0,0,IF(COUNTIFS(実績!$W$6:$W$505,Y$3,実績!$AI$6:$AI$505,"&lt;="&amp;$A16,実績!$AJ$6:$AJ$505,"&gt;"&amp;$A16,実績!$AL$6:$AL$505,"○")&gt;0,1,0))</f>
        <v>0</v>
      </c>
      <c r="Z16" s="39" t="n">
        <f aca="false">IF(Z$4=0,0,IF(COUNTIFS(実績!$W$6:$W$505,Z$3,実績!$AI$6:$AI$505,"&lt;="&amp;$A16,実績!$AJ$6:$AJ$505,"&gt;"&amp;$A16,実績!$AL$6:$AL$505,"○")&gt;0,1,0))</f>
        <v>0</v>
      </c>
      <c r="AA16" s="39" t="n">
        <f aca="false">IF(AA$4=0,0,IF(COUNTIFS(実績!$W$6:$W$505,AA$3,実績!$AI$6:$AI$505,"&lt;="&amp;$A16,実績!$AJ$6:$AJ$505,"&gt;"&amp;$A16,実績!$AL$6:$AL$505,"○")&gt;0,1,0))</f>
        <v>0</v>
      </c>
      <c r="AB16" s="39" t="n">
        <f aca="false">IF(AB$4=0,0,IF(COUNTIFS(実績!$W$6:$W$505,AB$3,実績!$AI$6:$AI$505,"&lt;="&amp;$A16,実績!$AJ$6:$AJ$505,"&gt;"&amp;$A16,実績!$AL$6:$AL$505,"○")&gt;0,1,0))</f>
        <v>0</v>
      </c>
      <c r="AC16" s="39" t="n">
        <f aca="false">IF(AC$4=0,0,IF(COUNTIFS(実績!$W$6:$W$505,AC$3,実績!$AI$6:$AI$505,"&lt;="&amp;$A16,実績!$AJ$6:$AJ$505,"&gt;"&amp;$A16,実績!$AL$6:$AL$505,"○")&gt;0,1,0))</f>
        <v>0</v>
      </c>
      <c r="AD16" s="39" t="n">
        <f aca="false">IF(AD$4=0,0,IF(COUNTIFS(実績!$W$6:$W$505,AD$3,実績!$AI$6:$AI$505,"&lt;="&amp;$A16,実績!$AJ$6:$AJ$505,"&gt;"&amp;$A16,実績!$AL$6:$AL$505,"○")&gt;0,1,0))</f>
        <v>0</v>
      </c>
      <c r="AE16" s="39" t="n">
        <f aca="false">IF(AE$4=0,0,IF(COUNTIFS(実績!$W$6:$W$505,AE$3,実績!$AI$6:$AI$505,"&lt;="&amp;$A16,実績!$AJ$6:$AJ$505,"&gt;"&amp;$A16,実績!$AL$6:$AL$505,"○")&gt;0,1,0))</f>
        <v>0</v>
      </c>
      <c r="AF16" s="39" t="n">
        <f aca="false">IF(AF$4=0,0,IF(COUNTIFS(実績!$W$6:$W$505,AF$3,実績!$AI$6:$AI$505,"&lt;="&amp;$A16,実績!$AJ$6:$AJ$505,"&gt;"&amp;$A16,実績!$AL$6:$AL$505,"○")&gt;0,1,0))</f>
        <v>0</v>
      </c>
      <c r="AG16" s="39" t="n">
        <f aca="false">IF(AG$4=0,0,IF(COUNTIFS(実績!$W$6:$W$505,AG$3,実績!$AI$6:$AI$505,"&lt;="&amp;$A16,実績!$AJ$6:$AJ$505,"&gt;"&amp;$A16,実績!$AL$6:$AL$505,"○")&gt;0,1,0))</f>
        <v>0</v>
      </c>
      <c r="AH16" s="39" t="n">
        <f aca="false">IF(AH$4=0,0,IF(COUNTIFS(実績!$W$6:$W$505,AH$3,実績!$AI$6:$AI$505,"&lt;="&amp;$A16,実績!$AJ$6:$AJ$505,"&gt;"&amp;$A16,実績!$AL$6:$AL$505,"○")&gt;0,1,0))</f>
        <v>0</v>
      </c>
      <c r="AI16" s="39" t="n">
        <f aca="false">IF(AI$4=0,0,IF(COUNTIFS(実績!$W$6:$W$505,AI$3,実績!$AI$6:$AI$505,"&lt;="&amp;$A16,実績!$AJ$6:$AJ$505,"&gt;"&amp;$A16,実績!$AL$6:$AL$505,"○")&gt;0,1,0))</f>
        <v>0</v>
      </c>
      <c r="AJ16" s="39" t="n">
        <f aca="false">IF(AJ$4=0,0,IF(COUNTIFS(実績!$W$6:$W$505,AJ$3,実績!$AI$6:$AI$505,"&lt;="&amp;$A16,実績!$AJ$6:$AJ$505,"&gt;"&amp;$A16,実績!$AL$6:$AL$505,"○")&gt;0,1,0))</f>
        <v>0</v>
      </c>
      <c r="AK16" s="39" t="n">
        <f aca="false">IF(AK$4=0,0,IF(COUNTIFS(実績!$W$6:$W$505,AK$3,実績!$AI$6:$AI$505,"&lt;="&amp;$A16,実績!$AJ$6:$AJ$505,"&gt;"&amp;$A16,実績!$AL$6:$AL$505,"○")&gt;0,1,0))</f>
        <v>0</v>
      </c>
      <c r="AL16" s="39" t="n">
        <f aca="false">IF(AL$4=0,0,IF(COUNTIFS(実績!$W$6:$W$505,AL$3,実績!$AI$6:$AI$505,"&lt;="&amp;$A16,実績!$AJ$6:$AJ$505,"&gt;"&amp;$A16,実績!$AL$6:$AL$505,"○")&gt;0,1,0))</f>
        <v>0</v>
      </c>
      <c r="AM16" s="39" t="n">
        <f aca="false">IF(AM$4=0,0,IF(COUNTIFS(実績!$W$6:$W$505,AM$3,実績!$AI$6:$AI$505,"&lt;="&amp;$A16,実績!$AJ$6:$AJ$505,"&gt;"&amp;$A16,実績!$AL$6:$AL$505,"○")&gt;0,1,0))</f>
        <v>0</v>
      </c>
      <c r="AN16" s="39" t="n">
        <f aca="false">IF(AN$4=0,0,IF(COUNTIFS(実績!$W$6:$W$505,AN$3,実績!$AI$6:$AI$505,"&lt;="&amp;$A16,実績!$AJ$6:$AJ$505,"&gt;"&amp;$A16,実績!$AL$6:$AL$505,"○")&gt;0,1,0))</f>
        <v>0</v>
      </c>
      <c r="AO16" s="39" t="n">
        <f aca="false">IF(AO$4=0,0,IF(COUNTIFS(実績!$W$6:$W$505,AO$3,実績!$AI$6:$AI$505,"&lt;="&amp;$A16,実績!$AJ$6:$AJ$505,"&gt;"&amp;$A16,実績!$AL$6:$AL$505,"○")&gt;0,1,0))</f>
        <v>0</v>
      </c>
      <c r="AP16" s="39" t="n">
        <f aca="false">IF(AP$4=0,0,IF(COUNTIFS(実績!$W$6:$W$505,AP$3,実績!$AI$6:$AI$505,"&lt;="&amp;$A16,実績!$AJ$6:$AJ$505,"&gt;"&amp;$A16,実績!$AL$6:$AL$505,"○")&gt;0,1,0))</f>
        <v>0</v>
      </c>
      <c r="AQ16" s="39" t="n">
        <f aca="false">IF(AQ$4=0,0,IF(COUNTIFS(実績!$W$6:$W$505,AQ$3,実績!$AI$6:$AI$505,"&lt;="&amp;$A16,実績!$AJ$6:$AJ$505,"&gt;"&amp;$A16,実績!$AL$6:$AL$505,"○")&gt;0,1,0))</f>
        <v>0</v>
      </c>
      <c r="AR16" s="39" t="n">
        <f aca="false">IF(AR$4=0,0,IF(COUNTIFS(実績!$W$6:$W$505,AR$3,実績!$AI$6:$AI$505,"&lt;="&amp;$A16,実績!$AJ$6:$AJ$505,"&gt;"&amp;$A16,実績!$AL$6:$AL$505,"○")&gt;0,1,0))</f>
        <v>0</v>
      </c>
      <c r="AS16" s="39" t="n">
        <f aca="false">IF(AS$4=0,0,IF(COUNTIFS(実績!$W$6:$W$505,AS$3,実績!$AI$6:$AI$505,"&lt;="&amp;$A16,実績!$AJ$6:$AJ$505,"&gt;"&amp;$A16,実績!$AL$6:$AL$505,"○")&gt;0,1,0))</f>
        <v>0</v>
      </c>
      <c r="AT16" s="39" t="n">
        <f aca="false">IF(AT$4=0,0,IF(COUNTIFS(実績!$W$6:$W$505,AT$3,実績!$AI$6:$AI$505,"&lt;="&amp;$A16,実績!$AJ$6:$AJ$505,"&gt;"&amp;$A16,実績!$AL$6:$AL$505,"○")&gt;0,1,0))</f>
        <v>0</v>
      </c>
      <c r="AU16" s="39" t="n">
        <f aca="false">IF(AU$4=0,0,IF(COUNTIFS(実績!$W$6:$W$505,AU$3,実績!$AI$6:$AI$505,"&lt;="&amp;$A16,実績!$AJ$6:$AJ$505,"&gt;"&amp;$A16,実績!$AL$6:$AL$505,"○")&gt;0,1,0))</f>
        <v>0</v>
      </c>
      <c r="AV16" s="39" t="n">
        <f aca="false">IF(AV$4=0,0,IF(COUNTIFS(実績!$W$6:$W$505,AV$3,実績!$AI$6:$AI$505,"&lt;="&amp;$A16,実績!$AJ$6:$AJ$505,"&gt;"&amp;$A16,実績!$AL$6:$AL$505,"○")&gt;0,1,0))</f>
        <v>0</v>
      </c>
      <c r="AW16" s="39" t="n">
        <f aca="false">IF(AW$4=0,0,IF(COUNTIFS(実績!$W$6:$W$505,AW$3,実績!$AI$6:$AI$505,"&lt;="&amp;$A16,実績!$AJ$6:$AJ$505,"&gt;"&amp;$A16,実績!$AL$6:$AL$505,"○")&gt;0,1,0))</f>
        <v>0</v>
      </c>
      <c r="AX16" s="39" t="n">
        <f aca="false">IF(AX$4=0,0,IF(COUNTIFS(実績!$W$6:$W$505,AX$3,実績!$AI$6:$AI$505,"&lt;="&amp;$A16,実績!$AJ$6:$AJ$505,"&gt;"&amp;$A16,実績!$AL$6:$AL$505,"○")&gt;0,1,0))</f>
        <v>0</v>
      </c>
      <c r="AY16" s="39" t="n">
        <f aca="false">IF(AY$4=0,0,IF(COUNTIFS(実績!$W$6:$W$505,AY$3,実績!$AI$6:$AI$505,"&lt;="&amp;$A16,実績!$AJ$6:$AJ$505,"&gt;"&amp;$A16,実績!$AL$6:$AL$505,"○")&gt;0,1,0))</f>
        <v>0</v>
      </c>
      <c r="AZ16" s="39" t="n">
        <f aca="false">IF(AZ$4=0,0,IF(COUNTIFS(実績!$W$6:$W$505,AZ$3,実績!$AI$6:$AI$505,"&lt;="&amp;$A16,実績!$AJ$6:$AJ$505,"&gt;"&amp;$A16,実績!$AL$6:$AL$505,"○")&gt;0,1,0))</f>
        <v>0</v>
      </c>
      <c r="BA16" s="39" t="n">
        <f aca="false">IF(BA$4=0,0,IF(COUNTIFS(実績!$W$6:$W$505,BA$3,実績!$AI$6:$AI$505,"&lt;="&amp;$A16,実績!$AJ$6:$AJ$505,"&gt;"&amp;$A16,実績!$AL$6:$AL$505,"○")&gt;0,1,0))</f>
        <v>0</v>
      </c>
      <c r="BB16" s="39" t="n">
        <f aca="false">IF(BB$4=0,0,IF(COUNTIFS(実績!$W$6:$W$505,BB$3,実績!$AI$6:$AI$505,"&lt;="&amp;$A16,実績!$AJ$6:$AJ$505,"&gt;"&amp;$A16,実績!$AL$6:$AL$505,"○")&gt;0,1,0))</f>
        <v>0</v>
      </c>
      <c r="BC16" s="39" t="n">
        <f aca="false">IF(BC$4=0,0,IF(COUNTIFS(実績!$W$6:$W$505,BC$3,実績!$AI$6:$AI$505,"&lt;="&amp;$A16,実績!$AJ$6:$AJ$505,"&gt;"&amp;$A16,実績!$AL$6:$AL$505,"○")&gt;0,1,0))</f>
        <v>0</v>
      </c>
      <c r="BD16" s="39" t="n">
        <f aca="false">IF(BD$4=0,0,IF(COUNTIFS(実績!$W$6:$W$505,BD$3,実績!$AI$6:$AI$505,"&lt;="&amp;$A16,実績!$AJ$6:$AJ$505,"&gt;"&amp;$A16,実績!$AL$6:$AL$505,"○")&gt;0,1,0))</f>
        <v>0</v>
      </c>
      <c r="BE16" s="39" t="n">
        <f aca="false">IF(BE$4=0,0,IF(COUNTIFS(実績!$W$6:$W$505,BE$3,実績!$AI$6:$AI$505,"&lt;="&amp;$A16,実績!$AJ$6:$AJ$505,"&gt;"&amp;$A16,実績!$AL$6:$AL$505,"○")&gt;0,1,0))</f>
        <v>0</v>
      </c>
      <c r="BF16" s="39" t="n">
        <f aca="false">IF(BF$4=0,0,IF(COUNTIFS(実績!$W$6:$W$505,BF$3,実績!$AI$6:$AI$505,"&lt;="&amp;$A16,実績!$AJ$6:$AJ$505,"&gt;"&amp;$A16,実績!$AL$6:$AL$505,"○")&gt;0,1,0))</f>
        <v>0</v>
      </c>
      <c r="BG16" s="39" t="n">
        <f aca="false">IF(BG$4=0,0,IF(COUNTIFS(実績!$W$6:$W$505,BG$3,実績!$AI$6:$AI$505,"&lt;="&amp;$A16,実績!$AJ$6:$AJ$505,"&gt;"&amp;$A16,実績!$AL$6:$AL$505,"○")&gt;0,1,0))</f>
        <v>0</v>
      </c>
      <c r="BH16" s="39" t="n">
        <f aca="false">IF(BH$4=0,0,IF(COUNTIFS(実績!$W$6:$W$505,BH$3,実績!$AI$6:$AI$505,"&lt;="&amp;$A16,実績!$AJ$6:$AJ$505,"&gt;"&amp;$A16,実績!$AL$6:$AL$505,"○")&gt;0,1,0))</f>
        <v>0</v>
      </c>
      <c r="BI16" s="39" t="n">
        <f aca="false">IF(BI$4=0,0,IF(COUNTIFS(実績!$W$6:$W$505,BI$3,実績!$AI$6:$AI$505,"&lt;="&amp;$A16,実績!$AJ$6:$AJ$505,"&gt;"&amp;$A16,実績!$AL$6:$AL$505,"○")&gt;0,1,0))</f>
        <v>0</v>
      </c>
      <c r="BJ16" s="39" t="n">
        <f aca="false">IF(BJ$4=0,0,IF(COUNTIFS(実績!$W$6:$W$505,BJ$3,実績!$AI$6:$AI$505,"&lt;="&amp;$A16,実績!$AJ$6:$AJ$505,"&gt;"&amp;$A16,実績!$AL$6:$AL$505,"○")&gt;0,1,0))</f>
        <v>0</v>
      </c>
      <c r="BK16" s="39" t="n">
        <f aca="false">IF(BK$4=0,0,IF(COUNTIFS(実績!$W$6:$W$505,BK$3,実績!$AI$6:$AI$505,"&lt;="&amp;$A16,実績!$AJ$6:$AJ$505,"&gt;"&amp;$A16,実績!$AL$6:$AL$505,"○")&gt;0,1,0))</f>
        <v>0</v>
      </c>
      <c r="BL16" s="39" t="n">
        <f aca="false">IF(BL$4=0,0,IF(COUNTIFS(実績!$W$6:$W$505,BL$3,実績!$AI$6:$AI$505,"&lt;="&amp;$A16,実績!$AJ$6:$AJ$505,"&gt;"&amp;$A16,実績!$AL$6:$AL$505,"○")&gt;0,1,0))</f>
        <v>0</v>
      </c>
      <c r="BM16" s="39" t="n">
        <f aca="false">IF(BM$4=0,0,IF(COUNTIFS(実績!$W$6:$W$505,BM$3,実績!$AI$6:$AI$505,"&lt;="&amp;$A16,実績!$AJ$6:$AJ$505,"&gt;"&amp;$A16,実績!$AL$6:$AL$505,"○")&gt;0,1,0))</f>
        <v>0</v>
      </c>
      <c r="BN16" s="39" t="n">
        <f aca="false">IF(BN$4=0,0,IF(COUNTIFS(実績!$W$6:$W$505,BN$3,実績!$AI$6:$AI$505,"&lt;="&amp;$A16,実績!$AJ$6:$AJ$505,"&gt;"&amp;$A16,実績!$AL$6:$AL$505,"○")&gt;0,1,0))</f>
        <v>0</v>
      </c>
      <c r="BO16" s="39" t="n">
        <f aca="false">IF(BO$4=0,0,IF(COUNTIFS(実績!$W$6:$W$505,BO$3,実績!$AI$6:$AI$505,"&lt;="&amp;$A16,実績!$AJ$6:$AJ$505,"&gt;"&amp;$A16,実績!$AL$6:$AL$505,"○")&gt;0,1,0))</f>
        <v>0</v>
      </c>
      <c r="BP16" s="39" t="n">
        <f aca="false">IF(BP$4=0,0,IF(COUNTIFS(実績!$W$6:$W$505,BP$3,実績!$AI$6:$AI$505,"&lt;="&amp;$A16,実績!$AJ$6:$AJ$505,"&gt;"&amp;$A16,実績!$AL$6:$AL$505,"○")&gt;0,1,0))</f>
        <v>0</v>
      </c>
      <c r="BQ16" s="39" t="n">
        <f aca="false">IF(BQ$4=0,0,IF(COUNTIFS(実績!$W$6:$W$505,BQ$3,実績!$AI$6:$AI$505,"&lt;="&amp;$A16,実績!$AJ$6:$AJ$505,"&gt;"&amp;$A16,実績!$AL$6:$AL$505,"○")&gt;0,1,0))</f>
        <v>0</v>
      </c>
      <c r="BR16" s="39" t="n">
        <f aca="false">IF(BR$4=0,0,IF(COUNTIFS(実績!$W$6:$W$505,BR$3,実績!$AI$6:$AI$505,"&lt;="&amp;$A16,実績!$AJ$6:$AJ$505,"&gt;"&amp;$A16,実績!$AL$6:$AL$505,"○")&gt;0,1,0))</f>
        <v>0</v>
      </c>
      <c r="BS16" s="39" t="n">
        <f aca="false">IF(BS$4=0,0,IF(COUNTIFS(実績!$W$6:$W$505,BS$3,実績!$AI$6:$AI$505,"&lt;="&amp;$A16,実績!$AJ$6:$AJ$505,"&gt;"&amp;$A16,実績!$AL$6:$AL$505,"○")&gt;0,1,0))</f>
        <v>0</v>
      </c>
      <c r="BT16" s="39" t="n">
        <f aca="false">IF(BT$4=0,0,IF(COUNTIFS(実績!$W$6:$W$505,BT$3,実績!$AI$6:$AI$505,"&lt;="&amp;$A16,実績!$AJ$6:$AJ$505,"&gt;"&amp;$A16,実績!$AL$6:$AL$505,"○")&gt;0,1,0))</f>
        <v>0</v>
      </c>
      <c r="BU16" s="39" t="n">
        <f aca="false">IF(BU$4=0,0,IF(COUNTIFS(実績!$W$6:$W$505,BU$3,実績!$AI$6:$AI$505,"&lt;="&amp;$A16,実績!$AJ$6:$AJ$505,"&gt;"&amp;$A16,実績!$AL$6:$AL$505,"○")&gt;0,1,0))</f>
        <v>0</v>
      </c>
      <c r="BV16" s="39" t="n">
        <f aca="false">IF(BV$4=0,0,IF(COUNTIFS(実績!$W$6:$W$505,BV$3,実績!$AI$6:$AI$505,"&lt;="&amp;$A16,実績!$AJ$6:$AJ$505,"&gt;"&amp;$A16,実績!$AL$6:$AL$505,"○")&gt;0,1,0))</f>
        <v>0</v>
      </c>
      <c r="BW16" s="39" t="n">
        <f aca="false">IF(BW$4=0,0,IF(COUNTIFS(実績!$W$6:$W$505,BW$3,実績!$AI$6:$AI$505,"&lt;="&amp;$A16,実績!$AJ$6:$AJ$505,"&gt;"&amp;$A16,実績!$AL$6:$AL$505,"○")&gt;0,1,0))</f>
        <v>0</v>
      </c>
      <c r="BX16" s="39" t="n">
        <f aca="false">IF(BX$4=0,0,IF(COUNTIFS(実績!$W$6:$W$505,BX$3,実績!$AI$6:$AI$505,"&lt;="&amp;$A16,実績!$AJ$6:$AJ$505,"&gt;"&amp;$A16,実績!$AL$6:$AL$505,"○")&gt;0,1,0))</f>
        <v>0</v>
      </c>
      <c r="BY16" s="39" t="n">
        <f aca="false">IF(BY$4=0,0,IF(COUNTIFS(実績!$W$6:$W$505,BY$3,実績!$AI$6:$AI$505,"&lt;="&amp;$A16,実績!$AJ$6:$AJ$505,"&gt;"&amp;$A16,実績!$AL$6:$AL$505,"○")&gt;0,1,0))</f>
        <v>0</v>
      </c>
      <c r="BZ16" s="39" t="n">
        <f aca="false">IF(BZ$4=0,0,IF(COUNTIFS(実績!$W$6:$W$505,BZ$3,実績!$AI$6:$AI$505,"&lt;="&amp;$A16,実績!$AJ$6:$AJ$505,"&gt;"&amp;$A16,実績!$AL$6:$AL$505,"○")&gt;0,1,0))</f>
        <v>0</v>
      </c>
      <c r="CA16" s="39" t="n">
        <f aca="false">IF(CA$4=0,0,IF(COUNTIFS(実績!$W$6:$W$505,CA$3,実績!$AI$6:$AI$505,"&lt;="&amp;$A16,実績!$AJ$6:$AJ$505,"&gt;"&amp;$A16,実績!$AL$6:$AL$505,"○")&gt;0,1,0))</f>
        <v>0</v>
      </c>
      <c r="CB16" s="39" t="n">
        <f aca="false">IF(CB$4=0,0,IF(COUNTIFS(実績!$W$6:$W$505,CB$3,実績!$AI$6:$AI$505,"&lt;="&amp;$A16,実績!$AJ$6:$AJ$505,"&gt;"&amp;$A16,実績!$AL$6:$AL$505,"○")&gt;0,1,0))</f>
        <v>0</v>
      </c>
      <c r="CC16" s="39" t="n">
        <f aca="false">IF(CC$4=0,0,IF(COUNTIFS(実績!$W$6:$W$505,CC$3,実績!$AI$6:$AI$505,"&lt;="&amp;$A16,実績!$AJ$6:$AJ$505,"&gt;"&amp;$A16,実績!$AL$6:$AL$505,"○")&gt;0,1,0))</f>
        <v>0</v>
      </c>
      <c r="CD16" s="39" t="n">
        <f aca="false">IF(CD$4=0,0,IF(COUNTIFS(実績!$W$6:$W$505,CD$3,実績!$AI$6:$AI$505,"&lt;="&amp;$A16,実績!$AJ$6:$AJ$505,"&gt;"&amp;$A16,実績!$AL$6:$AL$505,"○")&gt;0,1,0))</f>
        <v>0</v>
      </c>
      <c r="CE16" s="39" t="n">
        <f aca="false">IF(CE$4=0,0,IF(COUNTIFS(実績!$W$6:$W$505,CE$3,実績!$AI$6:$AI$505,"&lt;="&amp;$A16,実績!$AJ$6:$AJ$505,"&gt;"&amp;$A16,実績!$AL$6:$AL$505,"○")&gt;0,1,0))</f>
        <v>0</v>
      </c>
      <c r="CF16" s="39" t="n">
        <f aca="false">IF(CF$4=0,0,IF(COUNTIFS(実績!$W$6:$W$505,CF$3,実績!$AI$6:$AI$505,"&lt;="&amp;$A16,実績!$AJ$6:$AJ$505,"&gt;"&amp;$A16,実績!$AL$6:$AL$505,"○")&gt;0,1,0))</f>
        <v>0</v>
      </c>
      <c r="CG16" s="39" t="n">
        <f aca="false">IF(CG$4=0,0,IF(COUNTIFS(実績!$W$6:$W$505,CG$3,実績!$AI$6:$AI$505,"&lt;="&amp;$A16,実績!$AJ$6:$AJ$505,"&gt;"&amp;$A16,実績!$AL$6:$AL$505,"○")&gt;0,1,0))</f>
        <v>0</v>
      </c>
      <c r="CH16" s="39" t="n">
        <f aca="false">IF(CH$4=0,0,IF(COUNTIFS(実績!$W$6:$W$505,CH$3,実績!$AI$6:$AI$505,"&lt;="&amp;$A16,実績!$AJ$6:$AJ$505,"&gt;"&amp;$A16,実績!$AL$6:$AL$505,"○")&gt;0,1,0))</f>
        <v>0</v>
      </c>
      <c r="CI16" s="39" t="n">
        <f aca="false">IF(CI$4=0,0,IF(COUNTIFS(実績!$W$6:$W$505,CI$3,実績!$AI$6:$AI$505,"&lt;="&amp;$A16,実績!$AJ$6:$AJ$505,"&gt;"&amp;$A16,実績!$AL$6:$AL$505,"○")&gt;0,1,0))</f>
        <v>0</v>
      </c>
      <c r="CJ16" s="39" t="n">
        <f aca="false">IF(CJ$4=0,0,IF(COUNTIFS(実績!$W$6:$W$505,CJ$3,実績!$AI$6:$AI$505,"&lt;="&amp;$A16,実績!$AJ$6:$AJ$505,"&gt;"&amp;$A16,実績!$AL$6:$AL$505,"○")&gt;0,1,0))</f>
        <v>0</v>
      </c>
      <c r="CK16" s="39" t="n">
        <f aca="false">IF(CK$4=0,0,IF(COUNTIFS(実績!$W$6:$W$505,CK$3,実績!$AI$6:$AI$505,"&lt;="&amp;$A16,実績!$AJ$6:$AJ$505,"&gt;"&amp;$A16,実績!$AL$6:$AL$505,"○")&gt;0,1,0))</f>
        <v>0</v>
      </c>
      <c r="CL16" s="39" t="n">
        <f aca="false">IF(CL$4=0,0,IF(COUNTIFS(実績!$W$6:$W$505,CL$3,実績!$AI$6:$AI$505,"&lt;="&amp;$A16,実績!$AJ$6:$AJ$505,"&gt;"&amp;$A16,実績!$AL$6:$AL$505,"○")&gt;0,1,0))</f>
        <v>0</v>
      </c>
      <c r="CM16" s="39" t="n">
        <f aca="false">IF(CM$4=0,0,IF(COUNTIFS(実績!$W$6:$W$505,CM$3,実績!$AI$6:$AI$505,"&lt;="&amp;$A16,実績!$AJ$6:$AJ$505,"&gt;"&amp;$A16,実績!$AL$6:$AL$505,"○")&gt;0,1,0))</f>
        <v>0</v>
      </c>
      <c r="CN16" s="39" t="n">
        <f aca="false">IF(CN$4=0,0,IF(COUNTIFS(実績!$W$6:$W$505,CN$3,実績!$AI$6:$AI$505,"&lt;="&amp;$A16,実績!$AJ$6:$AJ$505,"&gt;"&amp;$A16,実績!$AL$6:$AL$505,"○")&gt;0,1,0))</f>
        <v>0</v>
      </c>
      <c r="CO16" s="39" t="n">
        <f aca="false">IF(CO$4=0,0,IF(COUNTIFS(実績!$W$6:$W$505,CO$3,実績!$AI$6:$AI$505,"&lt;="&amp;$A16,実績!$AJ$6:$AJ$505,"&gt;"&amp;$A16,実績!$AL$6:$AL$505,"○")&gt;0,1,0))</f>
        <v>0</v>
      </c>
      <c r="CP16" s="39" t="n">
        <f aca="false">IF(CP$4=0,0,IF(COUNTIFS(実績!$W$6:$W$505,CP$3,実績!$AI$6:$AI$505,"&lt;="&amp;$A16,実績!$AJ$6:$AJ$505,"&gt;"&amp;$A16,実績!$AL$6:$AL$505,"○")&gt;0,1,0))</f>
        <v>0</v>
      </c>
      <c r="CQ16" s="39" t="n">
        <f aca="false">IF(CQ$4=0,0,IF(COUNTIFS(実績!$W$6:$W$505,CQ$3,実績!$AI$6:$AI$505,"&lt;="&amp;$A16,実績!$AJ$6:$AJ$505,"&gt;"&amp;$A16,実績!$AL$6:$AL$505,"○")&gt;0,1,0))</f>
        <v>0</v>
      </c>
      <c r="CR16" s="39" t="n">
        <f aca="false">IF(CR$4=0,0,IF(COUNTIFS(実績!$W$6:$W$505,CR$3,実績!$AI$6:$AI$505,"&lt;="&amp;$A16,実績!$AJ$6:$AJ$505,"&gt;"&amp;$A16,実績!$AL$6:$AL$505,"○")&gt;0,1,0))</f>
        <v>0</v>
      </c>
      <c r="CS16" s="39" t="n">
        <f aca="false">IF(CS$4=0,0,IF(COUNTIFS(実績!$W$6:$W$505,CS$3,実績!$AI$6:$AI$505,"&lt;="&amp;$A16,実績!$AJ$6:$AJ$505,"&gt;"&amp;$A16,実績!$AL$6:$AL$505,"○")&gt;0,1,0))</f>
        <v>0</v>
      </c>
      <c r="CT16" s="39" t="n">
        <f aca="false">IF(CT$4=0,0,IF(COUNTIFS(実績!$W$6:$W$505,CT$3,実績!$AI$6:$AI$505,"&lt;="&amp;$A16,実績!$AJ$6:$AJ$505,"&gt;"&amp;$A16,実績!$AL$6:$AL$505,"○")&gt;0,1,0))</f>
        <v>0</v>
      </c>
      <c r="CU16" s="39" t="n">
        <f aca="false">IF(CU$4=0,0,IF(COUNTIFS(実績!$W$6:$W$505,CU$3,実績!$AI$6:$AI$505,"&lt;="&amp;$A16,実績!$AJ$6:$AJ$505,"&gt;"&amp;$A16,実績!$AL$6:$AL$505,"○")&gt;0,1,0))</f>
        <v>0</v>
      </c>
      <c r="CV16" s="39" t="n">
        <f aca="false">IF(CV$4=0,0,IF(COUNTIFS(実績!$W$6:$W$505,CV$3,実績!$AI$6:$AI$505,"&lt;="&amp;$A16,実績!$AJ$6:$AJ$505,"&gt;"&amp;$A16,実績!$AL$6:$AL$505,"○")&gt;0,1,0))</f>
        <v>0</v>
      </c>
      <c r="CW16" s="39" t="n">
        <f aca="false">IF(CW$4=0,0,IF(COUNTIFS(実績!$W$6:$W$505,CW$3,実績!$AI$6:$AI$505,"&lt;="&amp;$A16,実績!$AJ$6:$AJ$505,"&gt;"&amp;$A16,実績!$AL$6:$AL$505,"○")&gt;0,1,0))</f>
        <v>0</v>
      </c>
      <c r="CX16" s="39" t="n">
        <f aca="false">IF(CX$4=0,0,IF(COUNTIFS(実績!$W$6:$W$505,CX$3,実績!$AI$6:$AI$505,"&lt;="&amp;$A16,実績!$AJ$6:$AJ$505,"&gt;"&amp;$A16,実績!$AL$6:$AL$505,"○")&gt;0,1,0))</f>
        <v>0</v>
      </c>
      <c r="CY16" s="39" t="n">
        <f aca="false">IF(CY$4=0,0,IF(COUNTIFS(実績!$W$6:$W$505,CY$3,実績!$AI$6:$AI$505,"&lt;="&amp;$A16,実績!$AJ$6:$AJ$505,"&gt;"&amp;$A16,実績!$AL$6:$AL$505,"○")&gt;0,1,0))</f>
        <v>0</v>
      </c>
      <c r="CZ16" s="39" t="n">
        <f aca="false">IF(CZ$4=0,0,IF(COUNTIFS(実績!$W$6:$W$505,CZ$3,実績!$AI$6:$AI$505,"&lt;="&amp;$A16,実績!$AJ$6:$AJ$505,"&gt;"&amp;$A16,実績!$AL$6:$AL$505,"○")&gt;0,1,0))</f>
        <v>0</v>
      </c>
      <c r="DA16" s="39" t="n">
        <f aca="false">IF(DA$4=0,0,IF(COUNTIFS(実績!$W$6:$W$505,DA$3,実績!$AI$6:$AI$505,"&lt;="&amp;$A16,実績!$AJ$6:$AJ$505,"&gt;"&amp;$A16,実績!$AL$6:$AL$505,"○")&gt;0,1,0))</f>
        <v>0</v>
      </c>
      <c r="DB16" s="39" t="n">
        <f aca="false">IF(DB$4=0,0,IF(COUNTIFS(実績!$W$6:$W$505,DB$3,実績!$AI$6:$AI$505,"&lt;="&amp;$A16,実績!$AJ$6:$AJ$505,"&gt;"&amp;$A16,実績!$AL$6:$AL$505,"○")&gt;0,1,0))</f>
        <v>0</v>
      </c>
      <c r="DC16" s="39" t="n">
        <f aca="false">IF(DC$4=0,0,IF(COUNTIFS(実績!$W$6:$W$505,DC$3,実績!$AI$6:$AI$505,"&lt;="&amp;$A16,実績!$AJ$6:$AJ$505,"&gt;"&amp;$A16,実績!$AL$6:$AL$505,"○")&gt;0,1,0))</f>
        <v>0</v>
      </c>
      <c r="DD16" s="39" t="n">
        <f aca="false">IF(DD$4=0,0,IF(COUNTIFS(実績!$W$6:$W$505,DD$3,実績!$AI$6:$AI$505,"&lt;="&amp;$A16,実績!$AJ$6:$AJ$505,"&gt;"&amp;$A16,実績!$AL$6:$AL$505,"○")&gt;0,1,0))</f>
        <v>0</v>
      </c>
      <c r="DE16" s="39" t="n">
        <f aca="false">IF(DE$4=0,0,IF(COUNTIFS(実績!$W$6:$W$505,DE$3,実績!$AI$6:$AI$505,"&lt;="&amp;$A16,実績!$AJ$6:$AJ$505,"&gt;"&amp;$A16,実績!$AL$6:$AL$505,"○")&gt;0,1,0))</f>
        <v>0</v>
      </c>
      <c r="DF16" s="39" t="n">
        <f aca="false">IF(DF$4=0,0,IF(COUNTIFS(実績!$W$6:$W$505,DF$3,実績!$AI$6:$AI$505,"&lt;="&amp;$A16,実績!$AJ$6:$AJ$505,"&gt;"&amp;$A16,実績!$AL$6:$AL$505,"○")&gt;0,1,0))</f>
        <v>0</v>
      </c>
      <c r="DG16" s="39" t="n">
        <f aca="false">IF(DG$4=0,0,IF(COUNTIFS(実績!$W$6:$W$505,DG$3,実績!$AI$6:$AI$505,"&lt;="&amp;$A16,実績!$AJ$6:$AJ$505,"&gt;"&amp;$A16,実績!$AL$6:$AL$505,"○")&gt;0,1,0))</f>
        <v>0</v>
      </c>
      <c r="DH16" s="39" t="n">
        <f aca="false">IF(DH$4=0,0,IF(COUNTIFS(実績!$W$6:$W$505,DH$3,実績!$AI$6:$AI$505,"&lt;="&amp;$A16,実績!$AJ$6:$AJ$505,"&gt;"&amp;$A16,実績!$AL$6:$AL$505,"○")&gt;0,1,0))</f>
        <v>0</v>
      </c>
      <c r="DI16" s="39" t="n">
        <f aca="false">IF(DI$4=0,0,IF(COUNTIFS(実績!$W$6:$W$505,DI$3,実績!$AI$6:$AI$505,"&lt;="&amp;$A16,実績!$AJ$6:$AJ$505,"&gt;"&amp;$A16,実績!$AL$6:$AL$505,"○")&gt;0,1,0))</f>
        <v>0</v>
      </c>
      <c r="DJ16" s="39" t="n">
        <f aca="false">IF(DJ$4=0,0,IF(COUNTIFS(実績!$W$6:$W$505,DJ$3,実績!$AI$6:$AI$505,"&lt;="&amp;$A16,実績!$AJ$6:$AJ$505,"&gt;"&amp;$A16,実績!$AL$6:$AL$505,"○")&gt;0,1,0))</f>
        <v>0</v>
      </c>
      <c r="DK16" s="39" t="n">
        <f aca="false">IF(DK$4=0,0,IF(COUNTIFS(実績!$W$6:$W$505,DK$3,実績!$AI$6:$AI$505,"&lt;="&amp;$A16,実績!$AJ$6:$AJ$505,"&gt;"&amp;$A16,実績!$AL$6:$AL$505,"○")&gt;0,1,0))</f>
        <v>0</v>
      </c>
      <c r="DL16" s="39" t="n">
        <f aca="false">IF(DL$4=0,0,IF(COUNTIFS(実績!$W$6:$W$505,DL$3,実績!$AI$6:$AI$505,"&lt;="&amp;$A16,実績!$AJ$6:$AJ$505,"&gt;"&amp;$A16,実績!$AL$6:$AL$505,"○")&gt;0,1,0))</f>
        <v>0</v>
      </c>
      <c r="DM16" s="39" t="n">
        <f aca="false">IF(DM$4=0,0,IF(COUNTIFS(実績!$W$6:$W$505,DM$3,実績!$AI$6:$AI$505,"&lt;="&amp;$A16,実績!$AJ$6:$AJ$505,"&gt;"&amp;$A16,実績!$AL$6:$AL$505,"○")&gt;0,1,0))</f>
        <v>0</v>
      </c>
      <c r="DN16" s="39" t="n">
        <f aca="false">IF(DN$4=0,0,IF(COUNTIFS(実績!$W$6:$W$505,DN$3,実績!$AI$6:$AI$505,"&lt;="&amp;$A16,実績!$AJ$6:$AJ$505,"&gt;"&amp;$A16,実績!$AL$6:$AL$505,"○")&gt;0,1,0))</f>
        <v>0</v>
      </c>
      <c r="DO16" s="39" t="n">
        <f aca="false">IF(DO$4=0,0,IF(COUNTIFS(実績!$W$6:$W$505,DO$3,実績!$AI$6:$AI$505,"&lt;="&amp;$A16,実績!$AJ$6:$AJ$505,"&gt;"&amp;$A16,実績!$AL$6:$AL$505,"○")&gt;0,1,0))</f>
        <v>0</v>
      </c>
      <c r="DP16" s="39" t="n">
        <f aca="false">IF(DP$4=0,0,IF(COUNTIFS(実績!$W$6:$W$505,DP$3,実績!$AI$6:$AI$505,"&lt;="&amp;$A16,実績!$AJ$6:$AJ$505,"&gt;"&amp;$A16,実績!$AL$6:$AL$505,"○")&gt;0,1,0))</f>
        <v>0</v>
      </c>
      <c r="DQ16" s="39" t="n">
        <f aca="false">IF(DQ$4=0,0,IF(COUNTIFS(実績!$W$6:$W$505,DQ$3,実績!$AI$6:$AI$505,"&lt;="&amp;$A16,実績!$AJ$6:$AJ$505,"&gt;"&amp;$A16,実績!$AL$6:$AL$505,"○")&gt;0,1,0))</f>
        <v>0</v>
      </c>
      <c r="DR16" s="39" t="n">
        <f aca="false">IF(DR$4=0,0,IF(COUNTIFS(実績!$W$6:$W$505,DR$3,実績!$AI$6:$AI$505,"&lt;="&amp;$A16,実績!$AJ$6:$AJ$505,"&gt;"&amp;$A16,実績!$AL$6:$AL$505,"○")&gt;0,1,0))</f>
        <v>0</v>
      </c>
      <c r="DS16" s="39" t="n">
        <f aca="false">SUM(C16:DR16)</f>
        <v>0</v>
      </c>
    </row>
    <row r="17" customFormat="false" ht="15" hidden="false" customHeight="false" outlineLevel="0" collapsed="false">
      <c r="A17" s="0" t="n">
        <v>55</v>
      </c>
      <c r="B17" s="38" t="n">
        <f aca="false">A17/1440</f>
        <v>0.0381944444444445</v>
      </c>
      <c r="C17" s="39" t="n">
        <f aca="false">IF(C$4=0,0,IF(COUNTIFS(実績!$W$6:$W$505,C$3,実績!$AI$6:$AI$505,"&lt;="&amp;$A17,実績!$AJ$6:$AJ$505,"&gt;"&amp;$A17,実績!$AL$6:$AL$505,"○")&gt;0,1,0))</f>
        <v>0</v>
      </c>
      <c r="D17" s="39" t="n">
        <f aca="false">IF(D$4=0,0,IF(COUNTIFS(実績!$W$6:$W$505,D$3,実績!$AI$6:$AI$505,"&lt;="&amp;$A17,実績!$AJ$6:$AJ$505,"&gt;"&amp;$A17,実績!$AL$6:$AL$505,"○")&gt;0,1,0))</f>
        <v>0</v>
      </c>
      <c r="E17" s="39" t="n">
        <f aca="false">IF(E$4=0,0,IF(COUNTIFS(実績!$W$6:$W$505,E$3,実績!$AI$6:$AI$505,"&lt;="&amp;$A17,実績!$AJ$6:$AJ$505,"&gt;"&amp;$A17,実績!$AL$6:$AL$505,"○")&gt;0,1,0))</f>
        <v>0</v>
      </c>
      <c r="F17" s="39" t="n">
        <f aca="false">IF(F$4=0,0,IF(COUNTIFS(実績!$W$6:$W$505,F$3,実績!$AI$6:$AI$505,"&lt;="&amp;$A17,実績!$AJ$6:$AJ$505,"&gt;"&amp;$A17,実績!$AL$6:$AL$505,"○")&gt;0,1,0))</f>
        <v>0</v>
      </c>
      <c r="G17" s="39" t="n">
        <f aca="false">IF(G$4=0,0,IF(COUNTIFS(実績!$W$6:$W$505,G$3,実績!$AI$6:$AI$505,"&lt;="&amp;$A17,実績!$AJ$6:$AJ$505,"&gt;"&amp;$A17,実績!$AL$6:$AL$505,"○")&gt;0,1,0))</f>
        <v>0</v>
      </c>
      <c r="H17" s="39" t="n">
        <f aca="false">IF(H$4=0,0,IF(COUNTIFS(実績!$W$6:$W$505,H$3,実績!$AI$6:$AI$505,"&lt;="&amp;$A17,実績!$AJ$6:$AJ$505,"&gt;"&amp;$A17,実績!$AL$6:$AL$505,"○")&gt;0,1,0))</f>
        <v>0</v>
      </c>
      <c r="I17" s="39" t="n">
        <f aca="false">IF(I$4=0,0,IF(COUNTIFS(実績!$W$6:$W$505,I$3,実績!$AI$6:$AI$505,"&lt;="&amp;$A17,実績!$AJ$6:$AJ$505,"&gt;"&amp;$A17,実績!$AL$6:$AL$505,"○")&gt;0,1,0))</f>
        <v>0</v>
      </c>
      <c r="J17" s="39" t="n">
        <f aca="false">IF(J$4=0,0,IF(COUNTIFS(実績!$W$6:$W$505,J$3,実績!$AI$6:$AI$505,"&lt;="&amp;$A17,実績!$AJ$6:$AJ$505,"&gt;"&amp;$A17,実績!$AL$6:$AL$505,"○")&gt;0,1,0))</f>
        <v>0</v>
      </c>
      <c r="K17" s="39" t="n">
        <f aca="false">IF(K$4=0,0,IF(COUNTIFS(実績!$W$6:$W$505,K$3,実績!$AI$6:$AI$505,"&lt;="&amp;$A17,実績!$AJ$6:$AJ$505,"&gt;"&amp;$A17,実績!$AL$6:$AL$505,"○")&gt;0,1,0))</f>
        <v>0</v>
      </c>
      <c r="L17" s="39" t="n">
        <f aca="false">IF(L$4=0,0,IF(COUNTIFS(実績!$W$6:$W$505,L$3,実績!$AI$6:$AI$505,"&lt;="&amp;$A17,実績!$AJ$6:$AJ$505,"&gt;"&amp;$A17,実績!$AL$6:$AL$505,"○")&gt;0,1,0))</f>
        <v>0</v>
      </c>
      <c r="M17" s="39" t="n">
        <f aca="false">IF(M$4=0,0,IF(COUNTIFS(実績!$W$6:$W$505,M$3,実績!$AI$6:$AI$505,"&lt;="&amp;$A17,実績!$AJ$6:$AJ$505,"&gt;"&amp;$A17,実績!$AL$6:$AL$505,"○")&gt;0,1,0))</f>
        <v>0</v>
      </c>
      <c r="N17" s="39" t="n">
        <f aca="false">IF(N$4=0,0,IF(COUNTIFS(実績!$W$6:$W$505,N$3,実績!$AI$6:$AI$505,"&lt;="&amp;$A17,実績!$AJ$6:$AJ$505,"&gt;"&amp;$A17,実績!$AL$6:$AL$505,"○")&gt;0,1,0))</f>
        <v>0</v>
      </c>
      <c r="O17" s="39" t="n">
        <f aca="false">IF(O$4=0,0,IF(COUNTIFS(実績!$W$6:$W$505,O$3,実績!$AI$6:$AI$505,"&lt;="&amp;$A17,実績!$AJ$6:$AJ$505,"&gt;"&amp;$A17,実績!$AL$6:$AL$505,"○")&gt;0,1,0))</f>
        <v>0</v>
      </c>
      <c r="P17" s="39" t="n">
        <f aca="false">IF(P$4=0,0,IF(COUNTIFS(実績!$W$6:$W$505,P$3,実績!$AI$6:$AI$505,"&lt;="&amp;$A17,実績!$AJ$6:$AJ$505,"&gt;"&amp;$A17,実績!$AL$6:$AL$505,"○")&gt;0,1,0))</f>
        <v>0</v>
      </c>
      <c r="Q17" s="39" t="n">
        <f aca="false">IF(Q$4=0,0,IF(COUNTIFS(実績!$W$6:$W$505,Q$3,実績!$AI$6:$AI$505,"&lt;="&amp;$A17,実績!$AJ$6:$AJ$505,"&gt;"&amp;$A17,実績!$AL$6:$AL$505,"○")&gt;0,1,0))</f>
        <v>0</v>
      </c>
      <c r="R17" s="39" t="n">
        <f aca="false">IF(R$4=0,0,IF(COUNTIFS(実績!$W$6:$W$505,R$3,実績!$AI$6:$AI$505,"&lt;="&amp;$A17,実績!$AJ$6:$AJ$505,"&gt;"&amp;$A17,実績!$AL$6:$AL$505,"○")&gt;0,1,0))</f>
        <v>0</v>
      </c>
      <c r="S17" s="39" t="n">
        <f aca="false">IF(S$4=0,0,IF(COUNTIFS(実績!$W$6:$W$505,S$3,実績!$AI$6:$AI$505,"&lt;="&amp;$A17,実績!$AJ$6:$AJ$505,"&gt;"&amp;$A17,実績!$AL$6:$AL$505,"○")&gt;0,1,0))</f>
        <v>0</v>
      </c>
      <c r="T17" s="39" t="n">
        <f aca="false">IF(T$4=0,0,IF(COUNTIFS(実績!$W$6:$W$505,T$3,実績!$AI$6:$AI$505,"&lt;="&amp;$A17,実績!$AJ$6:$AJ$505,"&gt;"&amp;$A17,実績!$AL$6:$AL$505,"○")&gt;0,1,0))</f>
        <v>0</v>
      </c>
      <c r="U17" s="39" t="n">
        <f aca="false">IF(U$4=0,0,IF(COUNTIFS(実績!$W$6:$W$505,U$3,実績!$AI$6:$AI$505,"&lt;="&amp;$A17,実績!$AJ$6:$AJ$505,"&gt;"&amp;$A17,実績!$AL$6:$AL$505,"○")&gt;0,1,0))</f>
        <v>0</v>
      </c>
      <c r="V17" s="39" t="n">
        <f aca="false">IF(V$4=0,0,IF(COUNTIFS(実績!$W$6:$W$505,V$3,実績!$AI$6:$AI$505,"&lt;="&amp;$A17,実績!$AJ$6:$AJ$505,"&gt;"&amp;$A17,実績!$AL$6:$AL$505,"○")&gt;0,1,0))</f>
        <v>0</v>
      </c>
      <c r="W17" s="39" t="n">
        <f aca="false">IF(W$4=0,0,IF(COUNTIFS(実績!$W$6:$W$505,W$3,実績!$AI$6:$AI$505,"&lt;="&amp;$A17,実績!$AJ$6:$AJ$505,"&gt;"&amp;$A17,実績!$AL$6:$AL$505,"○")&gt;0,1,0))</f>
        <v>0</v>
      </c>
      <c r="X17" s="39" t="n">
        <f aca="false">IF(X$4=0,0,IF(COUNTIFS(実績!$W$6:$W$505,X$3,実績!$AI$6:$AI$505,"&lt;="&amp;$A17,実績!$AJ$6:$AJ$505,"&gt;"&amp;$A17,実績!$AL$6:$AL$505,"○")&gt;0,1,0))</f>
        <v>0</v>
      </c>
      <c r="Y17" s="39" t="n">
        <f aca="false">IF(Y$4=0,0,IF(COUNTIFS(実績!$W$6:$W$505,Y$3,実績!$AI$6:$AI$505,"&lt;="&amp;$A17,実績!$AJ$6:$AJ$505,"&gt;"&amp;$A17,実績!$AL$6:$AL$505,"○")&gt;0,1,0))</f>
        <v>0</v>
      </c>
      <c r="Z17" s="39" t="n">
        <f aca="false">IF(Z$4=0,0,IF(COUNTIFS(実績!$W$6:$W$505,Z$3,実績!$AI$6:$AI$505,"&lt;="&amp;$A17,実績!$AJ$6:$AJ$505,"&gt;"&amp;$A17,実績!$AL$6:$AL$505,"○")&gt;0,1,0))</f>
        <v>0</v>
      </c>
      <c r="AA17" s="39" t="n">
        <f aca="false">IF(AA$4=0,0,IF(COUNTIFS(実績!$W$6:$W$505,AA$3,実績!$AI$6:$AI$505,"&lt;="&amp;$A17,実績!$AJ$6:$AJ$505,"&gt;"&amp;$A17,実績!$AL$6:$AL$505,"○")&gt;0,1,0))</f>
        <v>0</v>
      </c>
      <c r="AB17" s="39" t="n">
        <f aca="false">IF(AB$4=0,0,IF(COUNTIFS(実績!$W$6:$W$505,AB$3,実績!$AI$6:$AI$505,"&lt;="&amp;$A17,実績!$AJ$6:$AJ$505,"&gt;"&amp;$A17,実績!$AL$6:$AL$505,"○")&gt;0,1,0))</f>
        <v>0</v>
      </c>
      <c r="AC17" s="39" t="n">
        <f aca="false">IF(AC$4=0,0,IF(COUNTIFS(実績!$W$6:$W$505,AC$3,実績!$AI$6:$AI$505,"&lt;="&amp;$A17,実績!$AJ$6:$AJ$505,"&gt;"&amp;$A17,実績!$AL$6:$AL$505,"○")&gt;0,1,0))</f>
        <v>0</v>
      </c>
      <c r="AD17" s="39" t="n">
        <f aca="false">IF(AD$4=0,0,IF(COUNTIFS(実績!$W$6:$W$505,AD$3,実績!$AI$6:$AI$505,"&lt;="&amp;$A17,実績!$AJ$6:$AJ$505,"&gt;"&amp;$A17,実績!$AL$6:$AL$505,"○")&gt;0,1,0))</f>
        <v>0</v>
      </c>
      <c r="AE17" s="39" t="n">
        <f aca="false">IF(AE$4=0,0,IF(COUNTIFS(実績!$W$6:$W$505,AE$3,実績!$AI$6:$AI$505,"&lt;="&amp;$A17,実績!$AJ$6:$AJ$505,"&gt;"&amp;$A17,実績!$AL$6:$AL$505,"○")&gt;0,1,0))</f>
        <v>0</v>
      </c>
      <c r="AF17" s="39" t="n">
        <f aca="false">IF(AF$4=0,0,IF(COUNTIFS(実績!$W$6:$W$505,AF$3,実績!$AI$6:$AI$505,"&lt;="&amp;$A17,実績!$AJ$6:$AJ$505,"&gt;"&amp;$A17,実績!$AL$6:$AL$505,"○")&gt;0,1,0))</f>
        <v>0</v>
      </c>
      <c r="AG17" s="39" t="n">
        <f aca="false">IF(AG$4=0,0,IF(COUNTIFS(実績!$W$6:$W$505,AG$3,実績!$AI$6:$AI$505,"&lt;="&amp;$A17,実績!$AJ$6:$AJ$505,"&gt;"&amp;$A17,実績!$AL$6:$AL$505,"○")&gt;0,1,0))</f>
        <v>0</v>
      </c>
      <c r="AH17" s="39" t="n">
        <f aca="false">IF(AH$4=0,0,IF(COUNTIFS(実績!$W$6:$W$505,AH$3,実績!$AI$6:$AI$505,"&lt;="&amp;$A17,実績!$AJ$6:$AJ$505,"&gt;"&amp;$A17,実績!$AL$6:$AL$505,"○")&gt;0,1,0))</f>
        <v>0</v>
      </c>
      <c r="AI17" s="39" t="n">
        <f aca="false">IF(AI$4=0,0,IF(COUNTIFS(実績!$W$6:$W$505,AI$3,実績!$AI$6:$AI$505,"&lt;="&amp;$A17,実績!$AJ$6:$AJ$505,"&gt;"&amp;$A17,実績!$AL$6:$AL$505,"○")&gt;0,1,0))</f>
        <v>0</v>
      </c>
      <c r="AJ17" s="39" t="n">
        <f aca="false">IF(AJ$4=0,0,IF(COUNTIFS(実績!$W$6:$W$505,AJ$3,実績!$AI$6:$AI$505,"&lt;="&amp;$A17,実績!$AJ$6:$AJ$505,"&gt;"&amp;$A17,実績!$AL$6:$AL$505,"○")&gt;0,1,0))</f>
        <v>0</v>
      </c>
      <c r="AK17" s="39" t="n">
        <f aca="false">IF(AK$4=0,0,IF(COUNTIFS(実績!$W$6:$W$505,AK$3,実績!$AI$6:$AI$505,"&lt;="&amp;$A17,実績!$AJ$6:$AJ$505,"&gt;"&amp;$A17,実績!$AL$6:$AL$505,"○")&gt;0,1,0))</f>
        <v>0</v>
      </c>
      <c r="AL17" s="39" t="n">
        <f aca="false">IF(AL$4=0,0,IF(COUNTIFS(実績!$W$6:$W$505,AL$3,実績!$AI$6:$AI$505,"&lt;="&amp;$A17,実績!$AJ$6:$AJ$505,"&gt;"&amp;$A17,実績!$AL$6:$AL$505,"○")&gt;0,1,0))</f>
        <v>0</v>
      </c>
      <c r="AM17" s="39" t="n">
        <f aca="false">IF(AM$4=0,0,IF(COUNTIFS(実績!$W$6:$W$505,AM$3,実績!$AI$6:$AI$505,"&lt;="&amp;$A17,実績!$AJ$6:$AJ$505,"&gt;"&amp;$A17,実績!$AL$6:$AL$505,"○")&gt;0,1,0))</f>
        <v>0</v>
      </c>
      <c r="AN17" s="39" t="n">
        <f aca="false">IF(AN$4=0,0,IF(COUNTIFS(実績!$W$6:$W$505,AN$3,実績!$AI$6:$AI$505,"&lt;="&amp;$A17,実績!$AJ$6:$AJ$505,"&gt;"&amp;$A17,実績!$AL$6:$AL$505,"○")&gt;0,1,0))</f>
        <v>0</v>
      </c>
      <c r="AO17" s="39" t="n">
        <f aca="false">IF(AO$4=0,0,IF(COUNTIFS(実績!$W$6:$W$505,AO$3,実績!$AI$6:$AI$505,"&lt;="&amp;$A17,実績!$AJ$6:$AJ$505,"&gt;"&amp;$A17,実績!$AL$6:$AL$505,"○")&gt;0,1,0))</f>
        <v>0</v>
      </c>
      <c r="AP17" s="39" t="n">
        <f aca="false">IF(AP$4=0,0,IF(COUNTIFS(実績!$W$6:$W$505,AP$3,実績!$AI$6:$AI$505,"&lt;="&amp;$A17,実績!$AJ$6:$AJ$505,"&gt;"&amp;$A17,実績!$AL$6:$AL$505,"○")&gt;0,1,0))</f>
        <v>0</v>
      </c>
      <c r="AQ17" s="39" t="n">
        <f aca="false">IF(AQ$4=0,0,IF(COUNTIFS(実績!$W$6:$W$505,AQ$3,実績!$AI$6:$AI$505,"&lt;="&amp;$A17,実績!$AJ$6:$AJ$505,"&gt;"&amp;$A17,実績!$AL$6:$AL$505,"○")&gt;0,1,0))</f>
        <v>0</v>
      </c>
      <c r="AR17" s="39" t="n">
        <f aca="false">IF(AR$4=0,0,IF(COUNTIFS(実績!$W$6:$W$505,AR$3,実績!$AI$6:$AI$505,"&lt;="&amp;$A17,実績!$AJ$6:$AJ$505,"&gt;"&amp;$A17,実績!$AL$6:$AL$505,"○")&gt;0,1,0))</f>
        <v>0</v>
      </c>
      <c r="AS17" s="39" t="n">
        <f aca="false">IF(AS$4=0,0,IF(COUNTIFS(実績!$W$6:$W$505,AS$3,実績!$AI$6:$AI$505,"&lt;="&amp;$A17,実績!$AJ$6:$AJ$505,"&gt;"&amp;$A17,実績!$AL$6:$AL$505,"○")&gt;0,1,0))</f>
        <v>0</v>
      </c>
      <c r="AT17" s="39" t="n">
        <f aca="false">IF(AT$4=0,0,IF(COUNTIFS(実績!$W$6:$W$505,AT$3,実績!$AI$6:$AI$505,"&lt;="&amp;$A17,実績!$AJ$6:$AJ$505,"&gt;"&amp;$A17,実績!$AL$6:$AL$505,"○")&gt;0,1,0))</f>
        <v>0</v>
      </c>
      <c r="AU17" s="39" t="n">
        <f aca="false">IF(AU$4=0,0,IF(COUNTIFS(実績!$W$6:$W$505,AU$3,実績!$AI$6:$AI$505,"&lt;="&amp;$A17,実績!$AJ$6:$AJ$505,"&gt;"&amp;$A17,実績!$AL$6:$AL$505,"○")&gt;0,1,0))</f>
        <v>0</v>
      </c>
      <c r="AV17" s="39" t="n">
        <f aca="false">IF(AV$4=0,0,IF(COUNTIFS(実績!$W$6:$W$505,AV$3,実績!$AI$6:$AI$505,"&lt;="&amp;$A17,実績!$AJ$6:$AJ$505,"&gt;"&amp;$A17,実績!$AL$6:$AL$505,"○")&gt;0,1,0))</f>
        <v>0</v>
      </c>
      <c r="AW17" s="39" t="n">
        <f aca="false">IF(AW$4=0,0,IF(COUNTIFS(実績!$W$6:$W$505,AW$3,実績!$AI$6:$AI$505,"&lt;="&amp;$A17,実績!$AJ$6:$AJ$505,"&gt;"&amp;$A17,実績!$AL$6:$AL$505,"○")&gt;0,1,0))</f>
        <v>0</v>
      </c>
      <c r="AX17" s="39" t="n">
        <f aca="false">IF(AX$4=0,0,IF(COUNTIFS(実績!$W$6:$W$505,AX$3,実績!$AI$6:$AI$505,"&lt;="&amp;$A17,実績!$AJ$6:$AJ$505,"&gt;"&amp;$A17,実績!$AL$6:$AL$505,"○")&gt;0,1,0))</f>
        <v>0</v>
      </c>
      <c r="AY17" s="39" t="n">
        <f aca="false">IF(AY$4=0,0,IF(COUNTIFS(実績!$W$6:$W$505,AY$3,実績!$AI$6:$AI$505,"&lt;="&amp;$A17,実績!$AJ$6:$AJ$505,"&gt;"&amp;$A17,実績!$AL$6:$AL$505,"○")&gt;0,1,0))</f>
        <v>0</v>
      </c>
      <c r="AZ17" s="39" t="n">
        <f aca="false">IF(AZ$4=0,0,IF(COUNTIFS(実績!$W$6:$W$505,AZ$3,実績!$AI$6:$AI$505,"&lt;="&amp;$A17,実績!$AJ$6:$AJ$505,"&gt;"&amp;$A17,実績!$AL$6:$AL$505,"○")&gt;0,1,0))</f>
        <v>0</v>
      </c>
      <c r="BA17" s="39" t="n">
        <f aca="false">IF(BA$4=0,0,IF(COUNTIFS(実績!$W$6:$W$505,BA$3,実績!$AI$6:$AI$505,"&lt;="&amp;$A17,実績!$AJ$6:$AJ$505,"&gt;"&amp;$A17,実績!$AL$6:$AL$505,"○")&gt;0,1,0))</f>
        <v>0</v>
      </c>
      <c r="BB17" s="39" t="n">
        <f aca="false">IF(BB$4=0,0,IF(COUNTIFS(実績!$W$6:$W$505,BB$3,実績!$AI$6:$AI$505,"&lt;="&amp;$A17,実績!$AJ$6:$AJ$505,"&gt;"&amp;$A17,実績!$AL$6:$AL$505,"○")&gt;0,1,0))</f>
        <v>0</v>
      </c>
      <c r="BC17" s="39" t="n">
        <f aca="false">IF(BC$4=0,0,IF(COUNTIFS(実績!$W$6:$W$505,BC$3,実績!$AI$6:$AI$505,"&lt;="&amp;$A17,実績!$AJ$6:$AJ$505,"&gt;"&amp;$A17,実績!$AL$6:$AL$505,"○")&gt;0,1,0))</f>
        <v>0</v>
      </c>
      <c r="BD17" s="39" t="n">
        <f aca="false">IF(BD$4=0,0,IF(COUNTIFS(実績!$W$6:$W$505,BD$3,実績!$AI$6:$AI$505,"&lt;="&amp;$A17,実績!$AJ$6:$AJ$505,"&gt;"&amp;$A17,実績!$AL$6:$AL$505,"○")&gt;0,1,0))</f>
        <v>0</v>
      </c>
      <c r="BE17" s="39" t="n">
        <f aca="false">IF(BE$4=0,0,IF(COUNTIFS(実績!$W$6:$W$505,BE$3,実績!$AI$6:$AI$505,"&lt;="&amp;$A17,実績!$AJ$6:$AJ$505,"&gt;"&amp;$A17,実績!$AL$6:$AL$505,"○")&gt;0,1,0))</f>
        <v>0</v>
      </c>
      <c r="BF17" s="39" t="n">
        <f aca="false">IF(BF$4=0,0,IF(COUNTIFS(実績!$W$6:$W$505,BF$3,実績!$AI$6:$AI$505,"&lt;="&amp;$A17,実績!$AJ$6:$AJ$505,"&gt;"&amp;$A17,実績!$AL$6:$AL$505,"○")&gt;0,1,0))</f>
        <v>0</v>
      </c>
      <c r="BG17" s="39" t="n">
        <f aca="false">IF(BG$4=0,0,IF(COUNTIFS(実績!$W$6:$W$505,BG$3,実績!$AI$6:$AI$505,"&lt;="&amp;$A17,実績!$AJ$6:$AJ$505,"&gt;"&amp;$A17,実績!$AL$6:$AL$505,"○")&gt;0,1,0))</f>
        <v>0</v>
      </c>
      <c r="BH17" s="39" t="n">
        <f aca="false">IF(BH$4=0,0,IF(COUNTIFS(実績!$W$6:$W$505,BH$3,実績!$AI$6:$AI$505,"&lt;="&amp;$A17,実績!$AJ$6:$AJ$505,"&gt;"&amp;$A17,実績!$AL$6:$AL$505,"○")&gt;0,1,0))</f>
        <v>0</v>
      </c>
      <c r="BI17" s="39" t="n">
        <f aca="false">IF(BI$4=0,0,IF(COUNTIFS(実績!$W$6:$W$505,BI$3,実績!$AI$6:$AI$505,"&lt;="&amp;$A17,実績!$AJ$6:$AJ$505,"&gt;"&amp;$A17,実績!$AL$6:$AL$505,"○")&gt;0,1,0))</f>
        <v>0</v>
      </c>
      <c r="BJ17" s="39" t="n">
        <f aca="false">IF(BJ$4=0,0,IF(COUNTIFS(実績!$W$6:$W$505,BJ$3,実績!$AI$6:$AI$505,"&lt;="&amp;$A17,実績!$AJ$6:$AJ$505,"&gt;"&amp;$A17,実績!$AL$6:$AL$505,"○")&gt;0,1,0))</f>
        <v>0</v>
      </c>
      <c r="BK17" s="39" t="n">
        <f aca="false">IF(BK$4=0,0,IF(COUNTIFS(実績!$W$6:$W$505,BK$3,実績!$AI$6:$AI$505,"&lt;="&amp;$A17,実績!$AJ$6:$AJ$505,"&gt;"&amp;$A17,実績!$AL$6:$AL$505,"○")&gt;0,1,0))</f>
        <v>0</v>
      </c>
      <c r="BL17" s="39" t="n">
        <f aca="false">IF(BL$4=0,0,IF(COUNTIFS(実績!$W$6:$W$505,BL$3,実績!$AI$6:$AI$505,"&lt;="&amp;$A17,実績!$AJ$6:$AJ$505,"&gt;"&amp;$A17,実績!$AL$6:$AL$505,"○")&gt;0,1,0))</f>
        <v>0</v>
      </c>
      <c r="BM17" s="39" t="n">
        <f aca="false">IF(BM$4=0,0,IF(COUNTIFS(実績!$W$6:$W$505,BM$3,実績!$AI$6:$AI$505,"&lt;="&amp;$A17,実績!$AJ$6:$AJ$505,"&gt;"&amp;$A17,実績!$AL$6:$AL$505,"○")&gt;0,1,0))</f>
        <v>0</v>
      </c>
      <c r="BN17" s="39" t="n">
        <f aca="false">IF(BN$4=0,0,IF(COUNTIFS(実績!$W$6:$W$505,BN$3,実績!$AI$6:$AI$505,"&lt;="&amp;$A17,実績!$AJ$6:$AJ$505,"&gt;"&amp;$A17,実績!$AL$6:$AL$505,"○")&gt;0,1,0))</f>
        <v>0</v>
      </c>
      <c r="BO17" s="39" t="n">
        <f aca="false">IF(BO$4=0,0,IF(COUNTIFS(実績!$W$6:$W$505,BO$3,実績!$AI$6:$AI$505,"&lt;="&amp;$A17,実績!$AJ$6:$AJ$505,"&gt;"&amp;$A17,実績!$AL$6:$AL$505,"○")&gt;0,1,0))</f>
        <v>0</v>
      </c>
      <c r="BP17" s="39" t="n">
        <f aca="false">IF(BP$4=0,0,IF(COUNTIFS(実績!$W$6:$W$505,BP$3,実績!$AI$6:$AI$505,"&lt;="&amp;$A17,実績!$AJ$6:$AJ$505,"&gt;"&amp;$A17,実績!$AL$6:$AL$505,"○")&gt;0,1,0))</f>
        <v>0</v>
      </c>
      <c r="BQ17" s="39" t="n">
        <f aca="false">IF(BQ$4=0,0,IF(COUNTIFS(実績!$W$6:$W$505,BQ$3,実績!$AI$6:$AI$505,"&lt;="&amp;$A17,実績!$AJ$6:$AJ$505,"&gt;"&amp;$A17,実績!$AL$6:$AL$505,"○")&gt;0,1,0))</f>
        <v>0</v>
      </c>
      <c r="BR17" s="39" t="n">
        <f aca="false">IF(BR$4=0,0,IF(COUNTIFS(実績!$W$6:$W$505,BR$3,実績!$AI$6:$AI$505,"&lt;="&amp;$A17,実績!$AJ$6:$AJ$505,"&gt;"&amp;$A17,実績!$AL$6:$AL$505,"○")&gt;0,1,0))</f>
        <v>0</v>
      </c>
      <c r="BS17" s="39" t="n">
        <f aca="false">IF(BS$4=0,0,IF(COUNTIFS(実績!$W$6:$W$505,BS$3,実績!$AI$6:$AI$505,"&lt;="&amp;$A17,実績!$AJ$6:$AJ$505,"&gt;"&amp;$A17,実績!$AL$6:$AL$505,"○")&gt;0,1,0))</f>
        <v>0</v>
      </c>
      <c r="BT17" s="39" t="n">
        <f aca="false">IF(BT$4=0,0,IF(COUNTIFS(実績!$W$6:$W$505,BT$3,実績!$AI$6:$AI$505,"&lt;="&amp;$A17,実績!$AJ$6:$AJ$505,"&gt;"&amp;$A17,実績!$AL$6:$AL$505,"○")&gt;0,1,0))</f>
        <v>0</v>
      </c>
      <c r="BU17" s="39" t="n">
        <f aca="false">IF(BU$4=0,0,IF(COUNTIFS(実績!$W$6:$W$505,BU$3,実績!$AI$6:$AI$505,"&lt;="&amp;$A17,実績!$AJ$6:$AJ$505,"&gt;"&amp;$A17,実績!$AL$6:$AL$505,"○")&gt;0,1,0))</f>
        <v>0</v>
      </c>
      <c r="BV17" s="39" t="n">
        <f aca="false">IF(BV$4=0,0,IF(COUNTIFS(実績!$W$6:$W$505,BV$3,実績!$AI$6:$AI$505,"&lt;="&amp;$A17,実績!$AJ$6:$AJ$505,"&gt;"&amp;$A17,実績!$AL$6:$AL$505,"○")&gt;0,1,0))</f>
        <v>0</v>
      </c>
      <c r="BW17" s="39" t="n">
        <f aca="false">IF(BW$4=0,0,IF(COUNTIFS(実績!$W$6:$W$505,BW$3,実績!$AI$6:$AI$505,"&lt;="&amp;$A17,実績!$AJ$6:$AJ$505,"&gt;"&amp;$A17,実績!$AL$6:$AL$505,"○")&gt;0,1,0))</f>
        <v>0</v>
      </c>
      <c r="BX17" s="39" t="n">
        <f aca="false">IF(BX$4=0,0,IF(COUNTIFS(実績!$W$6:$W$505,BX$3,実績!$AI$6:$AI$505,"&lt;="&amp;$A17,実績!$AJ$6:$AJ$505,"&gt;"&amp;$A17,実績!$AL$6:$AL$505,"○")&gt;0,1,0))</f>
        <v>0</v>
      </c>
      <c r="BY17" s="39" t="n">
        <f aca="false">IF(BY$4=0,0,IF(COUNTIFS(実績!$W$6:$W$505,BY$3,実績!$AI$6:$AI$505,"&lt;="&amp;$A17,実績!$AJ$6:$AJ$505,"&gt;"&amp;$A17,実績!$AL$6:$AL$505,"○")&gt;0,1,0))</f>
        <v>0</v>
      </c>
      <c r="BZ17" s="39" t="n">
        <f aca="false">IF(BZ$4=0,0,IF(COUNTIFS(実績!$W$6:$W$505,BZ$3,実績!$AI$6:$AI$505,"&lt;="&amp;$A17,実績!$AJ$6:$AJ$505,"&gt;"&amp;$A17,実績!$AL$6:$AL$505,"○")&gt;0,1,0))</f>
        <v>0</v>
      </c>
      <c r="CA17" s="39" t="n">
        <f aca="false">IF(CA$4=0,0,IF(COUNTIFS(実績!$W$6:$W$505,CA$3,実績!$AI$6:$AI$505,"&lt;="&amp;$A17,実績!$AJ$6:$AJ$505,"&gt;"&amp;$A17,実績!$AL$6:$AL$505,"○")&gt;0,1,0))</f>
        <v>0</v>
      </c>
      <c r="CB17" s="39" t="n">
        <f aca="false">IF(CB$4=0,0,IF(COUNTIFS(実績!$W$6:$W$505,CB$3,実績!$AI$6:$AI$505,"&lt;="&amp;$A17,実績!$AJ$6:$AJ$505,"&gt;"&amp;$A17,実績!$AL$6:$AL$505,"○")&gt;0,1,0))</f>
        <v>0</v>
      </c>
      <c r="CC17" s="39" t="n">
        <f aca="false">IF(CC$4=0,0,IF(COUNTIFS(実績!$W$6:$W$505,CC$3,実績!$AI$6:$AI$505,"&lt;="&amp;$A17,実績!$AJ$6:$AJ$505,"&gt;"&amp;$A17,実績!$AL$6:$AL$505,"○")&gt;0,1,0))</f>
        <v>0</v>
      </c>
      <c r="CD17" s="39" t="n">
        <f aca="false">IF(CD$4=0,0,IF(COUNTIFS(実績!$W$6:$W$505,CD$3,実績!$AI$6:$AI$505,"&lt;="&amp;$A17,実績!$AJ$6:$AJ$505,"&gt;"&amp;$A17,実績!$AL$6:$AL$505,"○")&gt;0,1,0))</f>
        <v>0</v>
      </c>
      <c r="CE17" s="39" t="n">
        <f aca="false">IF(CE$4=0,0,IF(COUNTIFS(実績!$W$6:$W$505,CE$3,実績!$AI$6:$AI$505,"&lt;="&amp;$A17,実績!$AJ$6:$AJ$505,"&gt;"&amp;$A17,実績!$AL$6:$AL$505,"○")&gt;0,1,0))</f>
        <v>0</v>
      </c>
      <c r="CF17" s="39" t="n">
        <f aca="false">IF(CF$4=0,0,IF(COUNTIFS(実績!$W$6:$W$505,CF$3,実績!$AI$6:$AI$505,"&lt;="&amp;$A17,実績!$AJ$6:$AJ$505,"&gt;"&amp;$A17,実績!$AL$6:$AL$505,"○")&gt;0,1,0))</f>
        <v>0</v>
      </c>
      <c r="CG17" s="39" t="n">
        <f aca="false">IF(CG$4=0,0,IF(COUNTIFS(実績!$W$6:$W$505,CG$3,実績!$AI$6:$AI$505,"&lt;="&amp;$A17,実績!$AJ$6:$AJ$505,"&gt;"&amp;$A17,実績!$AL$6:$AL$505,"○")&gt;0,1,0))</f>
        <v>0</v>
      </c>
      <c r="CH17" s="39" t="n">
        <f aca="false">IF(CH$4=0,0,IF(COUNTIFS(実績!$W$6:$W$505,CH$3,実績!$AI$6:$AI$505,"&lt;="&amp;$A17,実績!$AJ$6:$AJ$505,"&gt;"&amp;$A17,実績!$AL$6:$AL$505,"○")&gt;0,1,0))</f>
        <v>0</v>
      </c>
      <c r="CI17" s="39" t="n">
        <f aca="false">IF(CI$4=0,0,IF(COUNTIFS(実績!$W$6:$W$505,CI$3,実績!$AI$6:$AI$505,"&lt;="&amp;$A17,実績!$AJ$6:$AJ$505,"&gt;"&amp;$A17,実績!$AL$6:$AL$505,"○")&gt;0,1,0))</f>
        <v>0</v>
      </c>
      <c r="CJ17" s="39" t="n">
        <f aca="false">IF(CJ$4=0,0,IF(COUNTIFS(実績!$W$6:$W$505,CJ$3,実績!$AI$6:$AI$505,"&lt;="&amp;$A17,実績!$AJ$6:$AJ$505,"&gt;"&amp;$A17,実績!$AL$6:$AL$505,"○")&gt;0,1,0))</f>
        <v>0</v>
      </c>
      <c r="CK17" s="39" t="n">
        <f aca="false">IF(CK$4=0,0,IF(COUNTIFS(実績!$W$6:$W$505,CK$3,実績!$AI$6:$AI$505,"&lt;="&amp;$A17,実績!$AJ$6:$AJ$505,"&gt;"&amp;$A17,実績!$AL$6:$AL$505,"○")&gt;0,1,0))</f>
        <v>0</v>
      </c>
      <c r="CL17" s="39" t="n">
        <f aca="false">IF(CL$4=0,0,IF(COUNTIFS(実績!$W$6:$W$505,CL$3,実績!$AI$6:$AI$505,"&lt;="&amp;$A17,実績!$AJ$6:$AJ$505,"&gt;"&amp;$A17,実績!$AL$6:$AL$505,"○")&gt;0,1,0))</f>
        <v>0</v>
      </c>
      <c r="CM17" s="39" t="n">
        <f aca="false">IF(CM$4=0,0,IF(COUNTIFS(実績!$W$6:$W$505,CM$3,実績!$AI$6:$AI$505,"&lt;="&amp;$A17,実績!$AJ$6:$AJ$505,"&gt;"&amp;$A17,実績!$AL$6:$AL$505,"○")&gt;0,1,0))</f>
        <v>0</v>
      </c>
      <c r="CN17" s="39" t="n">
        <f aca="false">IF(CN$4=0,0,IF(COUNTIFS(実績!$W$6:$W$505,CN$3,実績!$AI$6:$AI$505,"&lt;="&amp;$A17,実績!$AJ$6:$AJ$505,"&gt;"&amp;$A17,実績!$AL$6:$AL$505,"○")&gt;0,1,0))</f>
        <v>0</v>
      </c>
      <c r="CO17" s="39" t="n">
        <f aca="false">IF(CO$4=0,0,IF(COUNTIFS(実績!$W$6:$W$505,CO$3,実績!$AI$6:$AI$505,"&lt;="&amp;$A17,実績!$AJ$6:$AJ$505,"&gt;"&amp;$A17,実績!$AL$6:$AL$505,"○")&gt;0,1,0))</f>
        <v>0</v>
      </c>
      <c r="CP17" s="39" t="n">
        <f aca="false">IF(CP$4=0,0,IF(COUNTIFS(実績!$W$6:$W$505,CP$3,実績!$AI$6:$AI$505,"&lt;="&amp;$A17,実績!$AJ$6:$AJ$505,"&gt;"&amp;$A17,実績!$AL$6:$AL$505,"○")&gt;0,1,0))</f>
        <v>0</v>
      </c>
      <c r="CQ17" s="39" t="n">
        <f aca="false">IF(CQ$4=0,0,IF(COUNTIFS(実績!$W$6:$W$505,CQ$3,実績!$AI$6:$AI$505,"&lt;="&amp;$A17,実績!$AJ$6:$AJ$505,"&gt;"&amp;$A17,実績!$AL$6:$AL$505,"○")&gt;0,1,0))</f>
        <v>0</v>
      </c>
      <c r="CR17" s="39" t="n">
        <f aca="false">IF(CR$4=0,0,IF(COUNTIFS(実績!$W$6:$W$505,CR$3,実績!$AI$6:$AI$505,"&lt;="&amp;$A17,実績!$AJ$6:$AJ$505,"&gt;"&amp;$A17,実績!$AL$6:$AL$505,"○")&gt;0,1,0))</f>
        <v>0</v>
      </c>
      <c r="CS17" s="39" t="n">
        <f aca="false">IF(CS$4=0,0,IF(COUNTIFS(実績!$W$6:$W$505,CS$3,実績!$AI$6:$AI$505,"&lt;="&amp;$A17,実績!$AJ$6:$AJ$505,"&gt;"&amp;$A17,実績!$AL$6:$AL$505,"○")&gt;0,1,0))</f>
        <v>0</v>
      </c>
      <c r="CT17" s="39" t="n">
        <f aca="false">IF(CT$4=0,0,IF(COUNTIFS(実績!$W$6:$W$505,CT$3,実績!$AI$6:$AI$505,"&lt;="&amp;$A17,実績!$AJ$6:$AJ$505,"&gt;"&amp;$A17,実績!$AL$6:$AL$505,"○")&gt;0,1,0))</f>
        <v>0</v>
      </c>
      <c r="CU17" s="39" t="n">
        <f aca="false">IF(CU$4=0,0,IF(COUNTIFS(実績!$W$6:$W$505,CU$3,実績!$AI$6:$AI$505,"&lt;="&amp;$A17,実績!$AJ$6:$AJ$505,"&gt;"&amp;$A17,実績!$AL$6:$AL$505,"○")&gt;0,1,0))</f>
        <v>0</v>
      </c>
      <c r="CV17" s="39" t="n">
        <f aca="false">IF(CV$4=0,0,IF(COUNTIFS(実績!$W$6:$W$505,CV$3,実績!$AI$6:$AI$505,"&lt;="&amp;$A17,実績!$AJ$6:$AJ$505,"&gt;"&amp;$A17,実績!$AL$6:$AL$505,"○")&gt;0,1,0))</f>
        <v>0</v>
      </c>
      <c r="CW17" s="39" t="n">
        <f aca="false">IF(CW$4=0,0,IF(COUNTIFS(実績!$W$6:$W$505,CW$3,実績!$AI$6:$AI$505,"&lt;="&amp;$A17,実績!$AJ$6:$AJ$505,"&gt;"&amp;$A17,実績!$AL$6:$AL$505,"○")&gt;0,1,0))</f>
        <v>0</v>
      </c>
      <c r="CX17" s="39" t="n">
        <f aca="false">IF(CX$4=0,0,IF(COUNTIFS(実績!$W$6:$W$505,CX$3,実績!$AI$6:$AI$505,"&lt;="&amp;$A17,実績!$AJ$6:$AJ$505,"&gt;"&amp;$A17,実績!$AL$6:$AL$505,"○")&gt;0,1,0))</f>
        <v>0</v>
      </c>
      <c r="CY17" s="39" t="n">
        <f aca="false">IF(CY$4=0,0,IF(COUNTIFS(実績!$W$6:$W$505,CY$3,実績!$AI$6:$AI$505,"&lt;="&amp;$A17,実績!$AJ$6:$AJ$505,"&gt;"&amp;$A17,実績!$AL$6:$AL$505,"○")&gt;0,1,0))</f>
        <v>0</v>
      </c>
      <c r="CZ17" s="39" t="n">
        <f aca="false">IF(CZ$4=0,0,IF(COUNTIFS(実績!$W$6:$W$505,CZ$3,実績!$AI$6:$AI$505,"&lt;="&amp;$A17,実績!$AJ$6:$AJ$505,"&gt;"&amp;$A17,実績!$AL$6:$AL$505,"○")&gt;0,1,0))</f>
        <v>0</v>
      </c>
      <c r="DA17" s="39" t="n">
        <f aca="false">IF(DA$4=0,0,IF(COUNTIFS(実績!$W$6:$W$505,DA$3,実績!$AI$6:$AI$505,"&lt;="&amp;$A17,実績!$AJ$6:$AJ$505,"&gt;"&amp;$A17,実績!$AL$6:$AL$505,"○")&gt;0,1,0))</f>
        <v>0</v>
      </c>
      <c r="DB17" s="39" t="n">
        <f aca="false">IF(DB$4=0,0,IF(COUNTIFS(実績!$W$6:$W$505,DB$3,実績!$AI$6:$AI$505,"&lt;="&amp;$A17,実績!$AJ$6:$AJ$505,"&gt;"&amp;$A17,実績!$AL$6:$AL$505,"○")&gt;0,1,0))</f>
        <v>0</v>
      </c>
      <c r="DC17" s="39" t="n">
        <f aca="false">IF(DC$4=0,0,IF(COUNTIFS(実績!$W$6:$W$505,DC$3,実績!$AI$6:$AI$505,"&lt;="&amp;$A17,実績!$AJ$6:$AJ$505,"&gt;"&amp;$A17,実績!$AL$6:$AL$505,"○")&gt;0,1,0))</f>
        <v>0</v>
      </c>
      <c r="DD17" s="39" t="n">
        <f aca="false">IF(DD$4=0,0,IF(COUNTIFS(実績!$W$6:$W$505,DD$3,実績!$AI$6:$AI$505,"&lt;="&amp;$A17,実績!$AJ$6:$AJ$505,"&gt;"&amp;$A17,実績!$AL$6:$AL$505,"○")&gt;0,1,0))</f>
        <v>0</v>
      </c>
      <c r="DE17" s="39" t="n">
        <f aca="false">IF(DE$4=0,0,IF(COUNTIFS(実績!$W$6:$W$505,DE$3,実績!$AI$6:$AI$505,"&lt;="&amp;$A17,実績!$AJ$6:$AJ$505,"&gt;"&amp;$A17,実績!$AL$6:$AL$505,"○")&gt;0,1,0))</f>
        <v>0</v>
      </c>
      <c r="DF17" s="39" t="n">
        <f aca="false">IF(DF$4=0,0,IF(COUNTIFS(実績!$W$6:$W$505,DF$3,実績!$AI$6:$AI$505,"&lt;="&amp;$A17,実績!$AJ$6:$AJ$505,"&gt;"&amp;$A17,実績!$AL$6:$AL$505,"○")&gt;0,1,0))</f>
        <v>0</v>
      </c>
      <c r="DG17" s="39" t="n">
        <f aca="false">IF(DG$4=0,0,IF(COUNTIFS(実績!$W$6:$W$505,DG$3,実績!$AI$6:$AI$505,"&lt;="&amp;$A17,実績!$AJ$6:$AJ$505,"&gt;"&amp;$A17,実績!$AL$6:$AL$505,"○")&gt;0,1,0))</f>
        <v>0</v>
      </c>
      <c r="DH17" s="39" t="n">
        <f aca="false">IF(DH$4=0,0,IF(COUNTIFS(実績!$W$6:$W$505,DH$3,実績!$AI$6:$AI$505,"&lt;="&amp;$A17,実績!$AJ$6:$AJ$505,"&gt;"&amp;$A17,実績!$AL$6:$AL$505,"○")&gt;0,1,0))</f>
        <v>0</v>
      </c>
      <c r="DI17" s="39" t="n">
        <f aca="false">IF(DI$4=0,0,IF(COUNTIFS(実績!$W$6:$W$505,DI$3,実績!$AI$6:$AI$505,"&lt;="&amp;$A17,実績!$AJ$6:$AJ$505,"&gt;"&amp;$A17,実績!$AL$6:$AL$505,"○")&gt;0,1,0))</f>
        <v>0</v>
      </c>
      <c r="DJ17" s="39" t="n">
        <f aca="false">IF(DJ$4=0,0,IF(COUNTIFS(実績!$W$6:$W$505,DJ$3,実績!$AI$6:$AI$505,"&lt;="&amp;$A17,実績!$AJ$6:$AJ$505,"&gt;"&amp;$A17,実績!$AL$6:$AL$505,"○")&gt;0,1,0))</f>
        <v>0</v>
      </c>
      <c r="DK17" s="39" t="n">
        <f aca="false">IF(DK$4=0,0,IF(COUNTIFS(実績!$W$6:$W$505,DK$3,実績!$AI$6:$AI$505,"&lt;="&amp;$A17,実績!$AJ$6:$AJ$505,"&gt;"&amp;$A17,実績!$AL$6:$AL$505,"○")&gt;0,1,0))</f>
        <v>0</v>
      </c>
      <c r="DL17" s="39" t="n">
        <f aca="false">IF(DL$4=0,0,IF(COUNTIFS(実績!$W$6:$W$505,DL$3,実績!$AI$6:$AI$505,"&lt;="&amp;$A17,実績!$AJ$6:$AJ$505,"&gt;"&amp;$A17,実績!$AL$6:$AL$505,"○")&gt;0,1,0))</f>
        <v>0</v>
      </c>
      <c r="DM17" s="39" t="n">
        <f aca="false">IF(DM$4=0,0,IF(COUNTIFS(実績!$W$6:$W$505,DM$3,実績!$AI$6:$AI$505,"&lt;="&amp;$A17,実績!$AJ$6:$AJ$505,"&gt;"&amp;$A17,実績!$AL$6:$AL$505,"○")&gt;0,1,0))</f>
        <v>0</v>
      </c>
      <c r="DN17" s="39" t="n">
        <f aca="false">IF(DN$4=0,0,IF(COUNTIFS(実績!$W$6:$W$505,DN$3,実績!$AI$6:$AI$505,"&lt;="&amp;$A17,実績!$AJ$6:$AJ$505,"&gt;"&amp;$A17,実績!$AL$6:$AL$505,"○")&gt;0,1,0))</f>
        <v>0</v>
      </c>
      <c r="DO17" s="39" t="n">
        <f aca="false">IF(DO$4=0,0,IF(COUNTIFS(実績!$W$6:$W$505,DO$3,実績!$AI$6:$AI$505,"&lt;="&amp;$A17,実績!$AJ$6:$AJ$505,"&gt;"&amp;$A17,実績!$AL$6:$AL$505,"○")&gt;0,1,0))</f>
        <v>0</v>
      </c>
      <c r="DP17" s="39" t="n">
        <f aca="false">IF(DP$4=0,0,IF(COUNTIFS(実績!$W$6:$W$505,DP$3,実績!$AI$6:$AI$505,"&lt;="&amp;$A17,実績!$AJ$6:$AJ$505,"&gt;"&amp;$A17,実績!$AL$6:$AL$505,"○")&gt;0,1,0))</f>
        <v>0</v>
      </c>
      <c r="DQ17" s="39" t="n">
        <f aca="false">IF(DQ$4=0,0,IF(COUNTIFS(実績!$W$6:$W$505,DQ$3,実績!$AI$6:$AI$505,"&lt;="&amp;$A17,実績!$AJ$6:$AJ$505,"&gt;"&amp;$A17,実績!$AL$6:$AL$505,"○")&gt;0,1,0))</f>
        <v>0</v>
      </c>
      <c r="DR17" s="39" t="n">
        <f aca="false">IF(DR$4=0,0,IF(COUNTIFS(実績!$W$6:$W$505,DR$3,実績!$AI$6:$AI$505,"&lt;="&amp;$A17,実績!$AJ$6:$AJ$505,"&gt;"&amp;$A17,実績!$AL$6:$AL$505,"○")&gt;0,1,0))</f>
        <v>0</v>
      </c>
      <c r="DS17" s="39" t="n">
        <f aca="false">SUM(C17:DR17)</f>
        <v>0</v>
      </c>
    </row>
    <row r="18" customFormat="false" ht="15" hidden="false" customHeight="false" outlineLevel="0" collapsed="false">
      <c r="A18" s="0" t="n">
        <v>60</v>
      </c>
      <c r="B18" s="38" t="n">
        <f aca="false">A18/1440</f>
        <v>0.0416666666666667</v>
      </c>
      <c r="C18" s="39" t="n">
        <f aca="false">IF(C$4=0,0,IF(COUNTIFS(実績!$W$6:$W$505,C$3,実績!$AI$6:$AI$505,"&lt;="&amp;$A18,実績!$AJ$6:$AJ$505,"&gt;"&amp;$A18,実績!$AL$6:$AL$505,"○")&gt;0,1,0))</f>
        <v>0</v>
      </c>
      <c r="D18" s="39" t="n">
        <f aca="false">IF(D$4=0,0,IF(COUNTIFS(実績!$W$6:$W$505,D$3,実績!$AI$6:$AI$505,"&lt;="&amp;$A18,実績!$AJ$6:$AJ$505,"&gt;"&amp;$A18,実績!$AL$6:$AL$505,"○")&gt;0,1,0))</f>
        <v>0</v>
      </c>
      <c r="E18" s="39" t="n">
        <f aca="false">IF(E$4=0,0,IF(COUNTIFS(実績!$W$6:$W$505,E$3,実績!$AI$6:$AI$505,"&lt;="&amp;$A18,実績!$AJ$6:$AJ$505,"&gt;"&amp;$A18,実績!$AL$6:$AL$505,"○")&gt;0,1,0))</f>
        <v>0</v>
      </c>
      <c r="F18" s="39" t="n">
        <f aca="false">IF(F$4=0,0,IF(COUNTIFS(実績!$W$6:$W$505,F$3,実績!$AI$6:$AI$505,"&lt;="&amp;$A18,実績!$AJ$6:$AJ$505,"&gt;"&amp;$A18,実績!$AL$6:$AL$505,"○")&gt;0,1,0))</f>
        <v>0</v>
      </c>
      <c r="G18" s="39" t="n">
        <f aca="false">IF(G$4=0,0,IF(COUNTIFS(実績!$W$6:$W$505,G$3,実績!$AI$6:$AI$505,"&lt;="&amp;$A18,実績!$AJ$6:$AJ$505,"&gt;"&amp;$A18,実績!$AL$6:$AL$505,"○")&gt;0,1,0))</f>
        <v>0</v>
      </c>
      <c r="H18" s="39" t="n">
        <f aca="false">IF(H$4=0,0,IF(COUNTIFS(実績!$W$6:$W$505,H$3,実績!$AI$6:$AI$505,"&lt;="&amp;$A18,実績!$AJ$6:$AJ$505,"&gt;"&amp;$A18,実績!$AL$6:$AL$505,"○")&gt;0,1,0))</f>
        <v>0</v>
      </c>
      <c r="I18" s="39" t="n">
        <f aca="false">IF(I$4=0,0,IF(COUNTIFS(実績!$W$6:$W$505,I$3,実績!$AI$6:$AI$505,"&lt;="&amp;$A18,実績!$AJ$6:$AJ$505,"&gt;"&amp;$A18,実績!$AL$6:$AL$505,"○")&gt;0,1,0))</f>
        <v>0</v>
      </c>
      <c r="J18" s="39" t="n">
        <f aca="false">IF(J$4=0,0,IF(COUNTIFS(実績!$W$6:$W$505,J$3,実績!$AI$6:$AI$505,"&lt;="&amp;$A18,実績!$AJ$6:$AJ$505,"&gt;"&amp;$A18,実績!$AL$6:$AL$505,"○")&gt;0,1,0))</f>
        <v>0</v>
      </c>
      <c r="K18" s="39" t="n">
        <f aca="false">IF(K$4=0,0,IF(COUNTIFS(実績!$W$6:$W$505,K$3,実績!$AI$6:$AI$505,"&lt;="&amp;$A18,実績!$AJ$6:$AJ$505,"&gt;"&amp;$A18,実績!$AL$6:$AL$505,"○")&gt;0,1,0))</f>
        <v>0</v>
      </c>
      <c r="L18" s="39" t="n">
        <f aca="false">IF(L$4=0,0,IF(COUNTIFS(実績!$W$6:$W$505,L$3,実績!$AI$6:$AI$505,"&lt;="&amp;$A18,実績!$AJ$6:$AJ$505,"&gt;"&amp;$A18,実績!$AL$6:$AL$505,"○")&gt;0,1,0))</f>
        <v>0</v>
      </c>
      <c r="M18" s="39" t="n">
        <f aca="false">IF(M$4=0,0,IF(COUNTIFS(実績!$W$6:$W$505,M$3,実績!$AI$6:$AI$505,"&lt;="&amp;$A18,実績!$AJ$6:$AJ$505,"&gt;"&amp;$A18,実績!$AL$6:$AL$505,"○")&gt;0,1,0))</f>
        <v>0</v>
      </c>
      <c r="N18" s="39" t="n">
        <f aca="false">IF(N$4=0,0,IF(COUNTIFS(実績!$W$6:$W$505,N$3,実績!$AI$6:$AI$505,"&lt;="&amp;$A18,実績!$AJ$6:$AJ$505,"&gt;"&amp;$A18,実績!$AL$6:$AL$505,"○")&gt;0,1,0))</f>
        <v>0</v>
      </c>
      <c r="O18" s="39" t="n">
        <f aca="false">IF(O$4=0,0,IF(COUNTIFS(実績!$W$6:$W$505,O$3,実績!$AI$6:$AI$505,"&lt;="&amp;$A18,実績!$AJ$6:$AJ$505,"&gt;"&amp;$A18,実績!$AL$6:$AL$505,"○")&gt;0,1,0))</f>
        <v>0</v>
      </c>
      <c r="P18" s="39" t="n">
        <f aca="false">IF(P$4=0,0,IF(COUNTIFS(実績!$W$6:$W$505,P$3,実績!$AI$6:$AI$505,"&lt;="&amp;$A18,実績!$AJ$6:$AJ$505,"&gt;"&amp;$A18,実績!$AL$6:$AL$505,"○")&gt;0,1,0))</f>
        <v>0</v>
      </c>
      <c r="Q18" s="39" t="n">
        <f aca="false">IF(Q$4=0,0,IF(COUNTIFS(実績!$W$6:$W$505,Q$3,実績!$AI$6:$AI$505,"&lt;="&amp;$A18,実績!$AJ$6:$AJ$505,"&gt;"&amp;$A18,実績!$AL$6:$AL$505,"○")&gt;0,1,0))</f>
        <v>0</v>
      </c>
      <c r="R18" s="39" t="n">
        <f aca="false">IF(R$4=0,0,IF(COUNTIFS(実績!$W$6:$W$505,R$3,実績!$AI$6:$AI$505,"&lt;="&amp;$A18,実績!$AJ$6:$AJ$505,"&gt;"&amp;$A18,実績!$AL$6:$AL$505,"○")&gt;0,1,0))</f>
        <v>0</v>
      </c>
      <c r="S18" s="39" t="n">
        <f aca="false">IF(S$4=0,0,IF(COUNTIFS(実績!$W$6:$W$505,S$3,実績!$AI$6:$AI$505,"&lt;="&amp;$A18,実績!$AJ$6:$AJ$505,"&gt;"&amp;$A18,実績!$AL$6:$AL$505,"○")&gt;0,1,0))</f>
        <v>0</v>
      </c>
      <c r="T18" s="39" t="n">
        <f aca="false">IF(T$4=0,0,IF(COUNTIFS(実績!$W$6:$W$505,T$3,実績!$AI$6:$AI$505,"&lt;="&amp;$A18,実績!$AJ$6:$AJ$505,"&gt;"&amp;$A18,実績!$AL$6:$AL$505,"○")&gt;0,1,0))</f>
        <v>0</v>
      </c>
      <c r="U18" s="39" t="n">
        <f aca="false">IF(U$4=0,0,IF(COUNTIFS(実績!$W$6:$W$505,U$3,実績!$AI$6:$AI$505,"&lt;="&amp;$A18,実績!$AJ$6:$AJ$505,"&gt;"&amp;$A18,実績!$AL$6:$AL$505,"○")&gt;0,1,0))</f>
        <v>0</v>
      </c>
      <c r="V18" s="39" t="n">
        <f aca="false">IF(V$4=0,0,IF(COUNTIFS(実績!$W$6:$W$505,V$3,実績!$AI$6:$AI$505,"&lt;="&amp;$A18,実績!$AJ$6:$AJ$505,"&gt;"&amp;$A18,実績!$AL$6:$AL$505,"○")&gt;0,1,0))</f>
        <v>0</v>
      </c>
      <c r="W18" s="39" t="n">
        <f aca="false">IF(W$4=0,0,IF(COUNTIFS(実績!$W$6:$W$505,W$3,実績!$AI$6:$AI$505,"&lt;="&amp;$A18,実績!$AJ$6:$AJ$505,"&gt;"&amp;$A18,実績!$AL$6:$AL$505,"○")&gt;0,1,0))</f>
        <v>0</v>
      </c>
      <c r="X18" s="39" t="n">
        <f aca="false">IF(X$4=0,0,IF(COUNTIFS(実績!$W$6:$W$505,X$3,実績!$AI$6:$AI$505,"&lt;="&amp;$A18,実績!$AJ$6:$AJ$505,"&gt;"&amp;$A18,実績!$AL$6:$AL$505,"○")&gt;0,1,0))</f>
        <v>0</v>
      </c>
      <c r="Y18" s="39" t="n">
        <f aca="false">IF(Y$4=0,0,IF(COUNTIFS(実績!$W$6:$W$505,Y$3,実績!$AI$6:$AI$505,"&lt;="&amp;$A18,実績!$AJ$6:$AJ$505,"&gt;"&amp;$A18,実績!$AL$6:$AL$505,"○")&gt;0,1,0))</f>
        <v>0</v>
      </c>
      <c r="Z18" s="39" t="n">
        <f aca="false">IF(Z$4=0,0,IF(COUNTIFS(実績!$W$6:$W$505,Z$3,実績!$AI$6:$AI$505,"&lt;="&amp;$A18,実績!$AJ$6:$AJ$505,"&gt;"&amp;$A18,実績!$AL$6:$AL$505,"○")&gt;0,1,0))</f>
        <v>0</v>
      </c>
      <c r="AA18" s="39" t="n">
        <f aca="false">IF(AA$4=0,0,IF(COUNTIFS(実績!$W$6:$W$505,AA$3,実績!$AI$6:$AI$505,"&lt;="&amp;$A18,実績!$AJ$6:$AJ$505,"&gt;"&amp;$A18,実績!$AL$6:$AL$505,"○")&gt;0,1,0))</f>
        <v>0</v>
      </c>
      <c r="AB18" s="39" t="n">
        <f aca="false">IF(AB$4=0,0,IF(COUNTIFS(実績!$W$6:$W$505,AB$3,実績!$AI$6:$AI$505,"&lt;="&amp;$A18,実績!$AJ$6:$AJ$505,"&gt;"&amp;$A18,実績!$AL$6:$AL$505,"○")&gt;0,1,0))</f>
        <v>0</v>
      </c>
      <c r="AC18" s="39" t="n">
        <f aca="false">IF(AC$4=0,0,IF(COUNTIFS(実績!$W$6:$W$505,AC$3,実績!$AI$6:$AI$505,"&lt;="&amp;$A18,実績!$AJ$6:$AJ$505,"&gt;"&amp;$A18,実績!$AL$6:$AL$505,"○")&gt;0,1,0))</f>
        <v>0</v>
      </c>
      <c r="AD18" s="39" t="n">
        <f aca="false">IF(AD$4=0,0,IF(COUNTIFS(実績!$W$6:$W$505,AD$3,実績!$AI$6:$AI$505,"&lt;="&amp;$A18,実績!$AJ$6:$AJ$505,"&gt;"&amp;$A18,実績!$AL$6:$AL$505,"○")&gt;0,1,0))</f>
        <v>0</v>
      </c>
      <c r="AE18" s="39" t="n">
        <f aca="false">IF(AE$4=0,0,IF(COUNTIFS(実績!$W$6:$W$505,AE$3,実績!$AI$6:$AI$505,"&lt;="&amp;$A18,実績!$AJ$6:$AJ$505,"&gt;"&amp;$A18,実績!$AL$6:$AL$505,"○")&gt;0,1,0))</f>
        <v>0</v>
      </c>
      <c r="AF18" s="39" t="n">
        <f aca="false">IF(AF$4=0,0,IF(COUNTIFS(実績!$W$6:$W$505,AF$3,実績!$AI$6:$AI$505,"&lt;="&amp;$A18,実績!$AJ$6:$AJ$505,"&gt;"&amp;$A18,実績!$AL$6:$AL$505,"○")&gt;0,1,0))</f>
        <v>0</v>
      </c>
      <c r="AG18" s="39" t="n">
        <f aca="false">IF(AG$4=0,0,IF(COUNTIFS(実績!$W$6:$W$505,AG$3,実績!$AI$6:$AI$505,"&lt;="&amp;$A18,実績!$AJ$6:$AJ$505,"&gt;"&amp;$A18,実績!$AL$6:$AL$505,"○")&gt;0,1,0))</f>
        <v>0</v>
      </c>
      <c r="AH18" s="39" t="n">
        <f aca="false">IF(AH$4=0,0,IF(COUNTIFS(実績!$W$6:$W$505,AH$3,実績!$AI$6:$AI$505,"&lt;="&amp;$A18,実績!$AJ$6:$AJ$505,"&gt;"&amp;$A18,実績!$AL$6:$AL$505,"○")&gt;0,1,0))</f>
        <v>0</v>
      </c>
      <c r="AI18" s="39" t="n">
        <f aca="false">IF(AI$4=0,0,IF(COUNTIFS(実績!$W$6:$W$505,AI$3,実績!$AI$6:$AI$505,"&lt;="&amp;$A18,実績!$AJ$6:$AJ$505,"&gt;"&amp;$A18,実績!$AL$6:$AL$505,"○")&gt;0,1,0))</f>
        <v>0</v>
      </c>
      <c r="AJ18" s="39" t="n">
        <f aca="false">IF(AJ$4=0,0,IF(COUNTIFS(実績!$W$6:$W$505,AJ$3,実績!$AI$6:$AI$505,"&lt;="&amp;$A18,実績!$AJ$6:$AJ$505,"&gt;"&amp;$A18,実績!$AL$6:$AL$505,"○")&gt;0,1,0))</f>
        <v>0</v>
      </c>
      <c r="AK18" s="39" t="n">
        <f aca="false">IF(AK$4=0,0,IF(COUNTIFS(実績!$W$6:$W$505,AK$3,実績!$AI$6:$AI$505,"&lt;="&amp;$A18,実績!$AJ$6:$AJ$505,"&gt;"&amp;$A18,実績!$AL$6:$AL$505,"○")&gt;0,1,0))</f>
        <v>0</v>
      </c>
      <c r="AL18" s="39" t="n">
        <f aca="false">IF(AL$4=0,0,IF(COUNTIFS(実績!$W$6:$W$505,AL$3,実績!$AI$6:$AI$505,"&lt;="&amp;$A18,実績!$AJ$6:$AJ$505,"&gt;"&amp;$A18,実績!$AL$6:$AL$505,"○")&gt;0,1,0))</f>
        <v>0</v>
      </c>
      <c r="AM18" s="39" t="n">
        <f aca="false">IF(AM$4=0,0,IF(COUNTIFS(実績!$W$6:$W$505,AM$3,実績!$AI$6:$AI$505,"&lt;="&amp;$A18,実績!$AJ$6:$AJ$505,"&gt;"&amp;$A18,実績!$AL$6:$AL$505,"○")&gt;0,1,0))</f>
        <v>0</v>
      </c>
      <c r="AN18" s="39" t="n">
        <f aca="false">IF(AN$4=0,0,IF(COUNTIFS(実績!$W$6:$W$505,AN$3,実績!$AI$6:$AI$505,"&lt;="&amp;$A18,実績!$AJ$6:$AJ$505,"&gt;"&amp;$A18,実績!$AL$6:$AL$505,"○")&gt;0,1,0))</f>
        <v>0</v>
      </c>
      <c r="AO18" s="39" t="n">
        <f aca="false">IF(AO$4=0,0,IF(COUNTIFS(実績!$W$6:$W$505,AO$3,実績!$AI$6:$AI$505,"&lt;="&amp;$A18,実績!$AJ$6:$AJ$505,"&gt;"&amp;$A18,実績!$AL$6:$AL$505,"○")&gt;0,1,0))</f>
        <v>0</v>
      </c>
      <c r="AP18" s="39" t="n">
        <f aca="false">IF(AP$4=0,0,IF(COUNTIFS(実績!$W$6:$W$505,AP$3,実績!$AI$6:$AI$505,"&lt;="&amp;$A18,実績!$AJ$6:$AJ$505,"&gt;"&amp;$A18,実績!$AL$6:$AL$505,"○")&gt;0,1,0))</f>
        <v>0</v>
      </c>
      <c r="AQ18" s="39" t="n">
        <f aca="false">IF(AQ$4=0,0,IF(COUNTIFS(実績!$W$6:$W$505,AQ$3,実績!$AI$6:$AI$505,"&lt;="&amp;$A18,実績!$AJ$6:$AJ$505,"&gt;"&amp;$A18,実績!$AL$6:$AL$505,"○")&gt;0,1,0))</f>
        <v>0</v>
      </c>
      <c r="AR18" s="39" t="n">
        <f aca="false">IF(AR$4=0,0,IF(COUNTIFS(実績!$W$6:$W$505,AR$3,実績!$AI$6:$AI$505,"&lt;="&amp;$A18,実績!$AJ$6:$AJ$505,"&gt;"&amp;$A18,実績!$AL$6:$AL$505,"○")&gt;0,1,0))</f>
        <v>0</v>
      </c>
      <c r="AS18" s="39" t="n">
        <f aca="false">IF(AS$4=0,0,IF(COUNTIFS(実績!$W$6:$W$505,AS$3,実績!$AI$6:$AI$505,"&lt;="&amp;$A18,実績!$AJ$6:$AJ$505,"&gt;"&amp;$A18,実績!$AL$6:$AL$505,"○")&gt;0,1,0))</f>
        <v>0</v>
      </c>
      <c r="AT18" s="39" t="n">
        <f aca="false">IF(AT$4=0,0,IF(COUNTIFS(実績!$W$6:$W$505,AT$3,実績!$AI$6:$AI$505,"&lt;="&amp;$A18,実績!$AJ$6:$AJ$505,"&gt;"&amp;$A18,実績!$AL$6:$AL$505,"○")&gt;0,1,0))</f>
        <v>0</v>
      </c>
      <c r="AU18" s="39" t="n">
        <f aca="false">IF(AU$4=0,0,IF(COUNTIFS(実績!$W$6:$W$505,AU$3,実績!$AI$6:$AI$505,"&lt;="&amp;$A18,実績!$AJ$6:$AJ$505,"&gt;"&amp;$A18,実績!$AL$6:$AL$505,"○")&gt;0,1,0))</f>
        <v>0</v>
      </c>
      <c r="AV18" s="39" t="n">
        <f aca="false">IF(AV$4=0,0,IF(COUNTIFS(実績!$W$6:$W$505,AV$3,実績!$AI$6:$AI$505,"&lt;="&amp;$A18,実績!$AJ$6:$AJ$505,"&gt;"&amp;$A18,実績!$AL$6:$AL$505,"○")&gt;0,1,0))</f>
        <v>0</v>
      </c>
      <c r="AW18" s="39" t="n">
        <f aca="false">IF(AW$4=0,0,IF(COUNTIFS(実績!$W$6:$W$505,AW$3,実績!$AI$6:$AI$505,"&lt;="&amp;$A18,実績!$AJ$6:$AJ$505,"&gt;"&amp;$A18,実績!$AL$6:$AL$505,"○")&gt;0,1,0))</f>
        <v>0</v>
      </c>
      <c r="AX18" s="39" t="n">
        <f aca="false">IF(AX$4=0,0,IF(COUNTIFS(実績!$W$6:$W$505,AX$3,実績!$AI$6:$AI$505,"&lt;="&amp;$A18,実績!$AJ$6:$AJ$505,"&gt;"&amp;$A18,実績!$AL$6:$AL$505,"○")&gt;0,1,0))</f>
        <v>0</v>
      </c>
      <c r="AY18" s="39" t="n">
        <f aca="false">IF(AY$4=0,0,IF(COUNTIFS(実績!$W$6:$W$505,AY$3,実績!$AI$6:$AI$505,"&lt;="&amp;$A18,実績!$AJ$6:$AJ$505,"&gt;"&amp;$A18,実績!$AL$6:$AL$505,"○")&gt;0,1,0))</f>
        <v>0</v>
      </c>
      <c r="AZ18" s="39" t="n">
        <f aca="false">IF(AZ$4=0,0,IF(COUNTIFS(実績!$W$6:$W$505,AZ$3,実績!$AI$6:$AI$505,"&lt;="&amp;$A18,実績!$AJ$6:$AJ$505,"&gt;"&amp;$A18,実績!$AL$6:$AL$505,"○")&gt;0,1,0))</f>
        <v>0</v>
      </c>
      <c r="BA18" s="39" t="n">
        <f aca="false">IF(BA$4=0,0,IF(COUNTIFS(実績!$W$6:$W$505,BA$3,実績!$AI$6:$AI$505,"&lt;="&amp;$A18,実績!$AJ$6:$AJ$505,"&gt;"&amp;$A18,実績!$AL$6:$AL$505,"○")&gt;0,1,0))</f>
        <v>0</v>
      </c>
      <c r="BB18" s="39" t="n">
        <f aca="false">IF(BB$4=0,0,IF(COUNTIFS(実績!$W$6:$W$505,BB$3,実績!$AI$6:$AI$505,"&lt;="&amp;$A18,実績!$AJ$6:$AJ$505,"&gt;"&amp;$A18,実績!$AL$6:$AL$505,"○")&gt;0,1,0))</f>
        <v>0</v>
      </c>
      <c r="BC18" s="39" t="n">
        <f aca="false">IF(BC$4=0,0,IF(COUNTIFS(実績!$W$6:$W$505,BC$3,実績!$AI$6:$AI$505,"&lt;="&amp;$A18,実績!$AJ$6:$AJ$505,"&gt;"&amp;$A18,実績!$AL$6:$AL$505,"○")&gt;0,1,0))</f>
        <v>0</v>
      </c>
      <c r="BD18" s="39" t="n">
        <f aca="false">IF(BD$4=0,0,IF(COUNTIFS(実績!$W$6:$W$505,BD$3,実績!$AI$6:$AI$505,"&lt;="&amp;$A18,実績!$AJ$6:$AJ$505,"&gt;"&amp;$A18,実績!$AL$6:$AL$505,"○")&gt;0,1,0))</f>
        <v>0</v>
      </c>
      <c r="BE18" s="39" t="n">
        <f aca="false">IF(BE$4=0,0,IF(COUNTIFS(実績!$W$6:$W$505,BE$3,実績!$AI$6:$AI$505,"&lt;="&amp;$A18,実績!$AJ$6:$AJ$505,"&gt;"&amp;$A18,実績!$AL$6:$AL$505,"○")&gt;0,1,0))</f>
        <v>0</v>
      </c>
      <c r="BF18" s="39" t="n">
        <f aca="false">IF(BF$4=0,0,IF(COUNTIFS(実績!$W$6:$W$505,BF$3,実績!$AI$6:$AI$505,"&lt;="&amp;$A18,実績!$AJ$6:$AJ$505,"&gt;"&amp;$A18,実績!$AL$6:$AL$505,"○")&gt;0,1,0))</f>
        <v>0</v>
      </c>
      <c r="BG18" s="39" t="n">
        <f aca="false">IF(BG$4=0,0,IF(COUNTIFS(実績!$W$6:$W$505,BG$3,実績!$AI$6:$AI$505,"&lt;="&amp;$A18,実績!$AJ$6:$AJ$505,"&gt;"&amp;$A18,実績!$AL$6:$AL$505,"○")&gt;0,1,0))</f>
        <v>0</v>
      </c>
      <c r="BH18" s="39" t="n">
        <f aca="false">IF(BH$4=0,0,IF(COUNTIFS(実績!$W$6:$W$505,BH$3,実績!$AI$6:$AI$505,"&lt;="&amp;$A18,実績!$AJ$6:$AJ$505,"&gt;"&amp;$A18,実績!$AL$6:$AL$505,"○")&gt;0,1,0))</f>
        <v>0</v>
      </c>
      <c r="BI18" s="39" t="n">
        <f aca="false">IF(BI$4=0,0,IF(COUNTIFS(実績!$W$6:$W$505,BI$3,実績!$AI$6:$AI$505,"&lt;="&amp;$A18,実績!$AJ$6:$AJ$505,"&gt;"&amp;$A18,実績!$AL$6:$AL$505,"○")&gt;0,1,0))</f>
        <v>0</v>
      </c>
      <c r="BJ18" s="39" t="n">
        <f aca="false">IF(BJ$4=0,0,IF(COUNTIFS(実績!$W$6:$W$505,BJ$3,実績!$AI$6:$AI$505,"&lt;="&amp;$A18,実績!$AJ$6:$AJ$505,"&gt;"&amp;$A18,実績!$AL$6:$AL$505,"○")&gt;0,1,0))</f>
        <v>0</v>
      </c>
      <c r="BK18" s="39" t="n">
        <f aca="false">IF(BK$4=0,0,IF(COUNTIFS(実績!$W$6:$W$505,BK$3,実績!$AI$6:$AI$505,"&lt;="&amp;$A18,実績!$AJ$6:$AJ$505,"&gt;"&amp;$A18,実績!$AL$6:$AL$505,"○")&gt;0,1,0))</f>
        <v>0</v>
      </c>
      <c r="BL18" s="39" t="n">
        <f aca="false">IF(BL$4=0,0,IF(COUNTIFS(実績!$W$6:$W$505,BL$3,実績!$AI$6:$AI$505,"&lt;="&amp;$A18,実績!$AJ$6:$AJ$505,"&gt;"&amp;$A18,実績!$AL$6:$AL$505,"○")&gt;0,1,0))</f>
        <v>0</v>
      </c>
      <c r="BM18" s="39" t="n">
        <f aca="false">IF(BM$4=0,0,IF(COUNTIFS(実績!$W$6:$W$505,BM$3,実績!$AI$6:$AI$505,"&lt;="&amp;$A18,実績!$AJ$6:$AJ$505,"&gt;"&amp;$A18,実績!$AL$6:$AL$505,"○")&gt;0,1,0))</f>
        <v>0</v>
      </c>
      <c r="BN18" s="39" t="n">
        <f aca="false">IF(BN$4=0,0,IF(COUNTIFS(実績!$W$6:$W$505,BN$3,実績!$AI$6:$AI$505,"&lt;="&amp;$A18,実績!$AJ$6:$AJ$505,"&gt;"&amp;$A18,実績!$AL$6:$AL$505,"○")&gt;0,1,0))</f>
        <v>0</v>
      </c>
      <c r="BO18" s="39" t="n">
        <f aca="false">IF(BO$4=0,0,IF(COUNTIFS(実績!$W$6:$W$505,BO$3,実績!$AI$6:$AI$505,"&lt;="&amp;$A18,実績!$AJ$6:$AJ$505,"&gt;"&amp;$A18,実績!$AL$6:$AL$505,"○")&gt;0,1,0))</f>
        <v>0</v>
      </c>
      <c r="BP18" s="39" t="n">
        <f aca="false">IF(BP$4=0,0,IF(COUNTIFS(実績!$W$6:$W$505,BP$3,実績!$AI$6:$AI$505,"&lt;="&amp;$A18,実績!$AJ$6:$AJ$505,"&gt;"&amp;$A18,実績!$AL$6:$AL$505,"○")&gt;0,1,0))</f>
        <v>0</v>
      </c>
      <c r="BQ18" s="39" t="n">
        <f aca="false">IF(BQ$4=0,0,IF(COUNTIFS(実績!$W$6:$W$505,BQ$3,実績!$AI$6:$AI$505,"&lt;="&amp;$A18,実績!$AJ$6:$AJ$505,"&gt;"&amp;$A18,実績!$AL$6:$AL$505,"○")&gt;0,1,0))</f>
        <v>0</v>
      </c>
      <c r="BR18" s="39" t="n">
        <f aca="false">IF(BR$4=0,0,IF(COUNTIFS(実績!$W$6:$W$505,BR$3,実績!$AI$6:$AI$505,"&lt;="&amp;$A18,実績!$AJ$6:$AJ$505,"&gt;"&amp;$A18,実績!$AL$6:$AL$505,"○")&gt;0,1,0))</f>
        <v>0</v>
      </c>
      <c r="BS18" s="39" t="n">
        <f aca="false">IF(BS$4=0,0,IF(COUNTIFS(実績!$W$6:$W$505,BS$3,実績!$AI$6:$AI$505,"&lt;="&amp;$A18,実績!$AJ$6:$AJ$505,"&gt;"&amp;$A18,実績!$AL$6:$AL$505,"○")&gt;0,1,0))</f>
        <v>0</v>
      </c>
      <c r="BT18" s="39" t="n">
        <f aca="false">IF(BT$4=0,0,IF(COUNTIFS(実績!$W$6:$W$505,BT$3,実績!$AI$6:$AI$505,"&lt;="&amp;$A18,実績!$AJ$6:$AJ$505,"&gt;"&amp;$A18,実績!$AL$6:$AL$505,"○")&gt;0,1,0))</f>
        <v>0</v>
      </c>
      <c r="BU18" s="39" t="n">
        <f aca="false">IF(BU$4=0,0,IF(COUNTIFS(実績!$W$6:$W$505,BU$3,実績!$AI$6:$AI$505,"&lt;="&amp;$A18,実績!$AJ$6:$AJ$505,"&gt;"&amp;$A18,実績!$AL$6:$AL$505,"○")&gt;0,1,0))</f>
        <v>0</v>
      </c>
      <c r="BV18" s="39" t="n">
        <f aca="false">IF(BV$4=0,0,IF(COUNTIFS(実績!$W$6:$W$505,BV$3,実績!$AI$6:$AI$505,"&lt;="&amp;$A18,実績!$AJ$6:$AJ$505,"&gt;"&amp;$A18,実績!$AL$6:$AL$505,"○")&gt;0,1,0))</f>
        <v>0</v>
      </c>
      <c r="BW18" s="39" t="n">
        <f aca="false">IF(BW$4=0,0,IF(COUNTIFS(実績!$W$6:$W$505,BW$3,実績!$AI$6:$AI$505,"&lt;="&amp;$A18,実績!$AJ$6:$AJ$505,"&gt;"&amp;$A18,実績!$AL$6:$AL$505,"○")&gt;0,1,0))</f>
        <v>0</v>
      </c>
      <c r="BX18" s="39" t="n">
        <f aca="false">IF(BX$4=0,0,IF(COUNTIFS(実績!$W$6:$W$505,BX$3,実績!$AI$6:$AI$505,"&lt;="&amp;$A18,実績!$AJ$6:$AJ$505,"&gt;"&amp;$A18,実績!$AL$6:$AL$505,"○")&gt;0,1,0))</f>
        <v>0</v>
      </c>
      <c r="BY18" s="39" t="n">
        <f aca="false">IF(BY$4=0,0,IF(COUNTIFS(実績!$W$6:$W$505,BY$3,実績!$AI$6:$AI$505,"&lt;="&amp;$A18,実績!$AJ$6:$AJ$505,"&gt;"&amp;$A18,実績!$AL$6:$AL$505,"○")&gt;0,1,0))</f>
        <v>0</v>
      </c>
      <c r="BZ18" s="39" t="n">
        <f aca="false">IF(BZ$4=0,0,IF(COUNTIFS(実績!$W$6:$W$505,BZ$3,実績!$AI$6:$AI$505,"&lt;="&amp;$A18,実績!$AJ$6:$AJ$505,"&gt;"&amp;$A18,実績!$AL$6:$AL$505,"○")&gt;0,1,0))</f>
        <v>0</v>
      </c>
      <c r="CA18" s="39" t="n">
        <f aca="false">IF(CA$4=0,0,IF(COUNTIFS(実績!$W$6:$W$505,CA$3,実績!$AI$6:$AI$505,"&lt;="&amp;$A18,実績!$AJ$6:$AJ$505,"&gt;"&amp;$A18,実績!$AL$6:$AL$505,"○")&gt;0,1,0))</f>
        <v>0</v>
      </c>
      <c r="CB18" s="39" t="n">
        <f aca="false">IF(CB$4=0,0,IF(COUNTIFS(実績!$W$6:$W$505,CB$3,実績!$AI$6:$AI$505,"&lt;="&amp;$A18,実績!$AJ$6:$AJ$505,"&gt;"&amp;$A18,実績!$AL$6:$AL$505,"○")&gt;0,1,0))</f>
        <v>0</v>
      </c>
      <c r="CC18" s="39" t="n">
        <f aca="false">IF(CC$4=0,0,IF(COUNTIFS(実績!$W$6:$W$505,CC$3,実績!$AI$6:$AI$505,"&lt;="&amp;$A18,実績!$AJ$6:$AJ$505,"&gt;"&amp;$A18,実績!$AL$6:$AL$505,"○")&gt;0,1,0))</f>
        <v>0</v>
      </c>
      <c r="CD18" s="39" t="n">
        <f aca="false">IF(CD$4=0,0,IF(COUNTIFS(実績!$W$6:$W$505,CD$3,実績!$AI$6:$AI$505,"&lt;="&amp;$A18,実績!$AJ$6:$AJ$505,"&gt;"&amp;$A18,実績!$AL$6:$AL$505,"○")&gt;0,1,0))</f>
        <v>0</v>
      </c>
      <c r="CE18" s="39" t="n">
        <f aca="false">IF(CE$4=0,0,IF(COUNTIFS(実績!$W$6:$W$505,CE$3,実績!$AI$6:$AI$505,"&lt;="&amp;$A18,実績!$AJ$6:$AJ$505,"&gt;"&amp;$A18,実績!$AL$6:$AL$505,"○")&gt;0,1,0))</f>
        <v>0</v>
      </c>
      <c r="CF18" s="39" t="n">
        <f aca="false">IF(CF$4=0,0,IF(COUNTIFS(実績!$W$6:$W$505,CF$3,実績!$AI$6:$AI$505,"&lt;="&amp;$A18,実績!$AJ$6:$AJ$505,"&gt;"&amp;$A18,実績!$AL$6:$AL$505,"○")&gt;0,1,0))</f>
        <v>0</v>
      </c>
      <c r="CG18" s="39" t="n">
        <f aca="false">IF(CG$4=0,0,IF(COUNTIFS(実績!$W$6:$W$505,CG$3,実績!$AI$6:$AI$505,"&lt;="&amp;$A18,実績!$AJ$6:$AJ$505,"&gt;"&amp;$A18,実績!$AL$6:$AL$505,"○")&gt;0,1,0))</f>
        <v>0</v>
      </c>
      <c r="CH18" s="39" t="n">
        <f aca="false">IF(CH$4=0,0,IF(COUNTIFS(実績!$W$6:$W$505,CH$3,実績!$AI$6:$AI$505,"&lt;="&amp;$A18,実績!$AJ$6:$AJ$505,"&gt;"&amp;$A18,実績!$AL$6:$AL$505,"○")&gt;0,1,0))</f>
        <v>0</v>
      </c>
      <c r="CI18" s="39" t="n">
        <f aca="false">IF(CI$4=0,0,IF(COUNTIFS(実績!$W$6:$W$505,CI$3,実績!$AI$6:$AI$505,"&lt;="&amp;$A18,実績!$AJ$6:$AJ$505,"&gt;"&amp;$A18,実績!$AL$6:$AL$505,"○")&gt;0,1,0))</f>
        <v>0</v>
      </c>
      <c r="CJ18" s="39" t="n">
        <f aca="false">IF(CJ$4=0,0,IF(COUNTIFS(実績!$W$6:$W$505,CJ$3,実績!$AI$6:$AI$505,"&lt;="&amp;$A18,実績!$AJ$6:$AJ$505,"&gt;"&amp;$A18,実績!$AL$6:$AL$505,"○")&gt;0,1,0))</f>
        <v>0</v>
      </c>
      <c r="CK18" s="39" t="n">
        <f aca="false">IF(CK$4=0,0,IF(COUNTIFS(実績!$W$6:$W$505,CK$3,実績!$AI$6:$AI$505,"&lt;="&amp;$A18,実績!$AJ$6:$AJ$505,"&gt;"&amp;$A18,実績!$AL$6:$AL$505,"○")&gt;0,1,0))</f>
        <v>0</v>
      </c>
      <c r="CL18" s="39" t="n">
        <f aca="false">IF(CL$4=0,0,IF(COUNTIFS(実績!$W$6:$W$505,CL$3,実績!$AI$6:$AI$505,"&lt;="&amp;$A18,実績!$AJ$6:$AJ$505,"&gt;"&amp;$A18,実績!$AL$6:$AL$505,"○")&gt;0,1,0))</f>
        <v>0</v>
      </c>
      <c r="CM18" s="39" t="n">
        <f aca="false">IF(CM$4=0,0,IF(COUNTIFS(実績!$W$6:$W$505,CM$3,実績!$AI$6:$AI$505,"&lt;="&amp;$A18,実績!$AJ$6:$AJ$505,"&gt;"&amp;$A18,実績!$AL$6:$AL$505,"○")&gt;0,1,0))</f>
        <v>0</v>
      </c>
      <c r="CN18" s="39" t="n">
        <f aca="false">IF(CN$4=0,0,IF(COUNTIFS(実績!$W$6:$W$505,CN$3,実績!$AI$6:$AI$505,"&lt;="&amp;$A18,実績!$AJ$6:$AJ$505,"&gt;"&amp;$A18,実績!$AL$6:$AL$505,"○")&gt;0,1,0))</f>
        <v>0</v>
      </c>
      <c r="CO18" s="39" t="n">
        <f aca="false">IF(CO$4=0,0,IF(COUNTIFS(実績!$W$6:$W$505,CO$3,実績!$AI$6:$AI$505,"&lt;="&amp;$A18,実績!$AJ$6:$AJ$505,"&gt;"&amp;$A18,実績!$AL$6:$AL$505,"○")&gt;0,1,0))</f>
        <v>0</v>
      </c>
      <c r="CP18" s="39" t="n">
        <f aca="false">IF(CP$4=0,0,IF(COUNTIFS(実績!$W$6:$W$505,CP$3,実績!$AI$6:$AI$505,"&lt;="&amp;$A18,実績!$AJ$6:$AJ$505,"&gt;"&amp;$A18,実績!$AL$6:$AL$505,"○")&gt;0,1,0))</f>
        <v>0</v>
      </c>
      <c r="CQ18" s="39" t="n">
        <f aca="false">IF(CQ$4=0,0,IF(COUNTIFS(実績!$W$6:$W$505,CQ$3,実績!$AI$6:$AI$505,"&lt;="&amp;$A18,実績!$AJ$6:$AJ$505,"&gt;"&amp;$A18,実績!$AL$6:$AL$505,"○")&gt;0,1,0))</f>
        <v>0</v>
      </c>
      <c r="CR18" s="39" t="n">
        <f aca="false">IF(CR$4=0,0,IF(COUNTIFS(実績!$W$6:$W$505,CR$3,実績!$AI$6:$AI$505,"&lt;="&amp;$A18,実績!$AJ$6:$AJ$505,"&gt;"&amp;$A18,実績!$AL$6:$AL$505,"○")&gt;0,1,0))</f>
        <v>0</v>
      </c>
      <c r="CS18" s="39" t="n">
        <f aca="false">IF(CS$4=0,0,IF(COUNTIFS(実績!$W$6:$W$505,CS$3,実績!$AI$6:$AI$505,"&lt;="&amp;$A18,実績!$AJ$6:$AJ$505,"&gt;"&amp;$A18,実績!$AL$6:$AL$505,"○")&gt;0,1,0))</f>
        <v>0</v>
      </c>
      <c r="CT18" s="39" t="n">
        <f aca="false">IF(CT$4=0,0,IF(COUNTIFS(実績!$W$6:$W$505,CT$3,実績!$AI$6:$AI$505,"&lt;="&amp;$A18,実績!$AJ$6:$AJ$505,"&gt;"&amp;$A18,実績!$AL$6:$AL$505,"○")&gt;0,1,0))</f>
        <v>0</v>
      </c>
      <c r="CU18" s="39" t="n">
        <f aca="false">IF(CU$4=0,0,IF(COUNTIFS(実績!$W$6:$W$505,CU$3,実績!$AI$6:$AI$505,"&lt;="&amp;$A18,実績!$AJ$6:$AJ$505,"&gt;"&amp;$A18,実績!$AL$6:$AL$505,"○")&gt;0,1,0))</f>
        <v>0</v>
      </c>
      <c r="CV18" s="39" t="n">
        <f aca="false">IF(CV$4=0,0,IF(COUNTIFS(実績!$W$6:$W$505,CV$3,実績!$AI$6:$AI$505,"&lt;="&amp;$A18,実績!$AJ$6:$AJ$505,"&gt;"&amp;$A18,実績!$AL$6:$AL$505,"○")&gt;0,1,0))</f>
        <v>0</v>
      </c>
      <c r="CW18" s="39" t="n">
        <f aca="false">IF(CW$4=0,0,IF(COUNTIFS(実績!$W$6:$W$505,CW$3,実績!$AI$6:$AI$505,"&lt;="&amp;$A18,実績!$AJ$6:$AJ$505,"&gt;"&amp;$A18,実績!$AL$6:$AL$505,"○")&gt;0,1,0))</f>
        <v>0</v>
      </c>
      <c r="CX18" s="39" t="n">
        <f aca="false">IF(CX$4=0,0,IF(COUNTIFS(実績!$W$6:$W$505,CX$3,実績!$AI$6:$AI$505,"&lt;="&amp;$A18,実績!$AJ$6:$AJ$505,"&gt;"&amp;$A18,実績!$AL$6:$AL$505,"○")&gt;0,1,0))</f>
        <v>0</v>
      </c>
      <c r="CY18" s="39" t="n">
        <f aca="false">IF(CY$4=0,0,IF(COUNTIFS(実績!$W$6:$W$505,CY$3,実績!$AI$6:$AI$505,"&lt;="&amp;$A18,実績!$AJ$6:$AJ$505,"&gt;"&amp;$A18,実績!$AL$6:$AL$505,"○")&gt;0,1,0))</f>
        <v>0</v>
      </c>
      <c r="CZ18" s="39" t="n">
        <f aca="false">IF(CZ$4=0,0,IF(COUNTIFS(実績!$W$6:$W$505,CZ$3,実績!$AI$6:$AI$505,"&lt;="&amp;$A18,実績!$AJ$6:$AJ$505,"&gt;"&amp;$A18,実績!$AL$6:$AL$505,"○")&gt;0,1,0))</f>
        <v>0</v>
      </c>
      <c r="DA18" s="39" t="n">
        <f aca="false">IF(DA$4=0,0,IF(COUNTIFS(実績!$W$6:$W$505,DA$3,実績!$AI$6:$AI$505,"&lt;="&amp;$A18,実績!$AJ$6:$AJ$505,"&gt;"&amp;$A18,実績!$AL$6:$AL$505,"○")&gt;0,1,0))</f>
        <v>0</v>
      </c>
      <c r="DB18" s="39" t="n">
        <f aca="false">IF(DB$4=0,0,IF(COUNTIFS(実績!$W$6:$W$505,DB$3,実績!$AI$6:$AI$505,"&lt;="&amp;$A18,実績!$AJ$6:$AJ$505,"&gt;"&amp;$A18,実績!$AL$6:$AL$505,"○")&gt;0,1,0))</f>
        <v>0</v>
      </c>
      <c r="DC18" s="39" t="n">
        <f aca="false">IF(DC$4=0,0,IF(COUNTIFS(実績!$W$6:$W$505,DC$3,実績!$AI$6:$AI$505,"&lt;="&amp;$A18,実績!$AJ$6:$AJ$505,"&gt;"&amp;$A18,実績!$AL$6:$AL$505,"○")&gt;0,1,0))</f>
        <v>0</v>
      </c>
      <c r="DD18" s="39" t="n">
        <f aca="false">IF(DD$4=0,0,IF(COUNTIFS(実績!$W$6:$W$505,DD$3,実績!$AI$6:$AI$505,"&lt;="&amp;$A18,実績!$AJ$6:$AJ$505,"&gt;"&amp;$A18,実績!$AL$6:$AL$505,"○")&gt;0,1,0))</f>
        <v>0</v>
      </c>
      <c r="DE18" s="39" t="n">
        <f aca="false">IF(DE$4=0,0,IF(COUNTIFS(実績!$W$6:$W$505,DE$3,実績!$AI$6:$AI$505,"&lt;="&amp;$A18,実績!$AJ$6:$AJ$505,"&gt;"&amp;$A18,実績!$AL$6:$AL$505,"○")&gt;0,1,0))</f>
        <v>0</v>
      </c>
      <c r="DF18" s="39" t="n">
        <f aca="false">IF(DF$4=0,0,IF(COUNTIFS(実績!$W$6:$W$505,DF$3,実績!$AI$6:$AI$505,"&lt;="&amp;$A18,実績!$AJ$6:$AJ$505,"&gt;"&amp;$A18,実績!$AL$6:$AL$505,"○")&gt;0,1,0))</f>
        <v>0</v>
      </c>
      <c r="DG18" s="39" t="n">
        <f aca="false">IF(DG$4=0,0,IF(COUNTIFS(実績!$W$6:$W$505,DG$3,実績!$AI$6:$AI$505,"&lt;="&amp;$A18,実績!$AJ$6:$AJ$505,"&gt;"&amp;$A18,実績!$AL$6:$AL$505,"○")&gt;0,1,0))</f>
        <v>0</v>
      </c>
      <c r="DH18" s="39" t="n">
        <f aca="false">IF(DH$4=0,0,IF(COUNTIFS(実績!$W$6:$W$505,DH$3,実績!$AI$6:$AI$505,"&lt;="&amp;$A18,実績!$AJ$6:$AJ$505,"&gt;"&amp;$A18,実績!$AL$6:$AL$505,"○")&gt;0,1,0))</f>
        <v>0</v>
      </c>
      <c r="DI18" s="39" t="n">
        <f aca="false">IF(DI$4=0,0,IF(COUNTIFS(実績!$W$6:$W$505,DI$3,実績!$AI$6:$AI$505,"&lt;="&amp;$A18,実績!$AJ$6:$AJ$505,"&gt;"&amp;$A18,実績!$AL$6:$AL$505,"○")&gt;0,1,0))</f>
        <v>0</v>
      </c>
      <c r="DJ18" s="39" t="n">
        <f aca="false">IF(DJ$4=0,0,IF(COUNTIFS(実績!$W$6:$W$505,DJ$3,実績!$AI$6:$AI$505,"&lt;="&amp;$A18,実績!$AJ$6:$AJ$505,"&gt;"&amp;$A18,実績!$AL$6:$AL$505,"○")&gt;0,1,0))</f>
        <v>0</v>
      </c>
      <c r="DK18" s="39" t="n">
        <f aca="false">IF(DK$4=0,0,IF(COUNTIFS(実績!$W$6:$W$505,DK$3,実績!$AI$6:$AI$505,"&lt;="&amp;$A18,実績!$AJ$6:$AJ$505,"&gt;"&amp;$A18,実績!$AL$6:$AL$505,"○")&gt;0,1,0))</f>
        <v>0</v>
      </c>
      <c r="DL18" s="39" t="n">
        <f aca="false">IF(DL$4=0,0,IF(COUNTIFS(実績!$W$6:$W$505,DL$3,実績!$AI$6:$AI$505,"&lt;="&amp;$A18,実績!$AJ$6:$AJ$505,"&gt;"&amp;$A18,実績!$AL$6:$AL$505,"○")&gt;0,1,0))</f>
        <v>0</v>
      </c>
      <c r="DM18" s="39" t="n">
        <f aca="false">IF(DM$4=0,0,IF(COUNTIFS(実績!$W$6:$W$505,DM$3,実績!$AI$6:$AI$505,"&lt;="&amp;$A18,実績!$AJ$6:$AJ$505,"&gt;"&amp;$A18,実績!$AL$6:$AL$505,"○")&gt;0,1,0))</f>
        <v>0</v>
      </c>
      <c r="DN18" s="39" t="n">
        <f aca="false">IF(DN$4=0,0,IF(COUNTIFS(実績!$W$6:$W$505,DN$3,実績!$AI$6:$AI$505,"&lt;="&amp;$A18,実績!$AJ$6:$AJ$505,"&gt;"&amp;$A18,実績!$AL$6:$AL$505,"○")&gt;0,1,0))</f>
        <v>0</v>
      </c>
      <c r="DO18" s="39" t="n">
        <f aca="false">IF(DO$4=0,0,IF(COUNTIFS(実績!$W$6:$W$505,DO$3,実績!$AI$6:$AI$505,"&lt;="&amp;$A18,実績!$AJ$6:$AJ$505,"&gt;"&amp;$A18,実績!$AL$6:$AL$505,"○")&gt;0,1,0))</f>
        <v>0</v>
      </c>
      <c r="DP18" s="39" t="n">
        <f aca="false">IF(DP$4=0,0,IF(COUNTIFS(実績!$W$6:$W$505,DP$3,実績!$AI$6:$AI$505,"&lt;="&amp;$A18,実績!$AJ$6:$AJ$505,"&gt;"&amp;$A18,実績!$AL$6:$AL$505,"○")&gt;0,1,0))</f>
        <v>0</v>
      </c>
      <c r="DQ18" s="39" t="n">
        <f aca="false">IF(DQ$4=0,0,IF(COUNTIFS(実績!$W$6:$W$505,DQ$3,実績!$AI$6:$AI$505,"&lt;="&amp;$A18,実績!$AJ$6:$AJ$505,"&gt;"&amp;$A18,実績!$AL$6:$AL$505,"○")&gt;0,1,0))</f>
        <v>0</v>
      </c>
      <c r="DR18" s="39" t="n">
        <f aca="false">IF(DR$4=0,0,IF(COUNTIFS(実績!$W$6:$W$505,DR$3,実績!$AI$6:$AI$505,"&lt;="&amp;$A18,実績!$AJ$6:$AJ$505,"&gt;"&amp;$A18,実績!$AL$6:$AL$505,"○")&gt;0,1,0))</f>
        <v>0</v>
      </c>
      <c r="DS18" s="39" t="n">
        <f aca="false">SUM(C18:DR18)</f>
        <v>0</v>
      </c>
    </row>
    <row r="19" customFormat="false" ht="15" hidden="false" customHeight="false" outlineLevel="0" collapsed="false">
      <c r="A19" s="0" t="n">
        <v>65</v>
      </c>
      <c r="B19" s="38" t="n">
        <f aca="false">A19/1440</f>
        <v>0.0451388888888889</v>
      </c>
      <c r="C19" s="39" t="n">
        <f aca="false">IF(C$4=0,0,IF(COUNTIFS(実績!$W$6:$W$505,C$3,実績!$AI$6:$AI$505,"&lt;="&amp;$A19,実績!$AJ$6:$AJ$505,"&gt;"&amp;$A19,実績!$AL$6:$AL$505,"○")&gt;0,1,0))</f>
        <v>0</v>
      </c>
      <c r="D19" s="39" t="n">
        <f aca="false">IF(D$4=0,0,IF(COUNTIFS(実績!$W$6:$W$505,D$3,実績!$AI$6:$AI$505,"&lt;="&amp;$A19,実績!$AJ$6:$AJ$505,"&gt;"&amp;$A19,実績!$AL$6:$AL$505,"○")&gt;0,1,0))</f>
        <v>0</v>
      </c>
      <c r="E19" s="39" t="n">
        <f aca="false">IF(E$4=0,0,IF(COUNTIFS(実績!$W$6:$W$505,E$3,実績!$AI$6:$AI$505,"&lt;="&amp;$A19,実績!$AJ$6:$AJ$505,"&gt;"&amp;$A19,実績!$AL$6:$AL$505,"○")&gt;0,1,0))</f>
        <v>0</v>
      </c>
      <c r="F19" s="39" t="n">
        <f aca="false">IF(F$4=0,0,IF(COUNTIFS(実績!$W$6:$W$505,F$3,実績!$AI$6:$AI$505,"&lt;="&amp;$A19,実績!$AJ$6:$AJ$505,"&gt;"&amp;$A19,実績!$AL$6:$AL$505,"○")&gt;0,1,0))</f>
        <v>0</v>
      </c>
      <c r="G19" s="39" t="n">
        <f aca="false">IF(G$4=0,0,IF(COUNTIFS(実績!$W$6:$W$505,G$3,実績!$AI$6:$AI$505,"&lt;="&amp;$A19,実績!$AJ$6:$AJ$505,"&gt;"&amp;$A19,実績!$AL$6:$AL$505,"○")&gt;0,1,0))</f>
        <v>0</v>
      </c>
      <c r="H19" s="39" t="n">
        <f aca="false">IF(H$4=0,0,IF(COUNTIFS(実績!$W$6:$W$505,H$3,実績!$AI$6:$AI$505,"&lt;="&amp;$A19,実績!$AJ$6:$AJ$505,"&gt;"&amp;$A19,実績!$AL$6:$AL$505,"○")&gt;0,1,0))</f>
        <v>0</v>
      </c>
      <c r="I19" s="39" t="n">
        <f aca="false">IF(I$4=0,0,IF(COUNTIFS(実績!$W$6:$W$505,I$3,実績!$AI$6:$AI$505,"&lt;="&amp;$A19,実績!$AJ$6:$AJ$505,"&gt;"&amp;$A19,実績!$AL$6:$AL$505,"○")&gt;0,1,0))</f>
        <v>0</v>
      </c>
      <c r="J19" s="39" t="n">
        <f aca="false">IF(J$4=0,0,IF(COUNTIFS(実績!$W$6:$W$505,J$3,実績!$AI$6:$AI$505,"&lt;="&amp;$A19,実績!$AJ$6:$AJ$505,"&gt;"&amp;$A19,実績!$AL$6:$AL$505,"○")&gt;0,1,0))</f>
        <v>0</v>
      </c>
      <c r="K19" s="39" t="n">
        <f aca="false">IF(K$4=0,0,IF(COUNTIFS(実績!$W$6:$W$505,K$3,実績!$AI$6:$AI$505,"&lt;="&amp;$A19,実績!$AJ$6:$AJ$505,"&gt;"&amp;$A19,実績!$AL$6:$AL$505,"○")&gt;0,1,0))</f>
        <v>0</v>
      </c>
      <c r="L19" s="39" t="n">
        <f aca="false">IF(L$4=0,0,IF(COUNTIFS(実績!$W$6:$W$505,L$3,実績!$AI$6:$AI$505,"&lt;="&amp;$A19,実績!$AJ$6:$AJ$505,"&gt;"&amp;$A19,実績!$AL$6:$AL$505,"○")&gt;0,1,0))</f>
        <v>0</v>
      </c>
      <c r="M19" s="39" t="n">
        <f aca="false">IF(M$4=0,0,IF(COUNTIFS(実績!$W$6:$W$505,M$3,実績!$AI$6:$AI$505,"&lt;="&amp;$A19,実績!$AJ$6:$AJ$505,"&gt;"&amp;$A19,実績!$AL$6:$AL$505,"○")&gt;0,1,0))</f>
        <v>0</v>
      </c>
      <c r="N19" s="39" t="n">
        <f aca="false">IF(N$4=0,0,IF(COUNTIFS(実績!$W$6:$W$505,N$3,実績!$AI$6:$AI$505,"&lt;="&amp;$A19,実績!$AJ$6:$AJ$505,"&gt;"&amp;$A19,実績!$AL$6:$AL$505,"○")&gt;0,1,0))</f>
        <v>0</v>
      </c>
      <c r="O19" s="39" t="n">
        <f aca="false">IF(O$4=0,0,IF(COUNTIFS(実績!$W$6:$W$505,O$3,実績!$AI$6:$AI$505,"&lt;="&amp;$A19,実績!$AJ$6:$AJ$505,"&gt;"&amp;$A19,実績!$AL$6:$AL$505,"○")&gt;0,1,0))</f>
        <v>0</v>
      </c>
      <c r="P19" s="39" t="n">
        <f aca="false">IF(P$4=0,0,IF(COUNTIFS(実績!$W$6:$W$505,P$3,実績!$AI$6:$AI$505,"&lt;="&amp;$A19,実績!$AJ$6:$AJ$505,"&gt;"&amp;$A19,実績!$AL$6:$AL$505,"○")&gt;0,1,0))</f>
        <v>0</v>
      </c>
      <c r="Q19" s="39" t="n">
        <f aca="false">IF(Q$4=0,0,IF(COUNTIFS(実績!$W$6:$W$505,Q$3,実績!$AI$6:$AI$505,"&lt;="&amp;$A19,実績!$AJ$6:$AJ$505,"&gt;"&amp;$A19,実績!$AL$6:$AL$505,"○")&gt;0,1,0))</f>
        <v>0</v>
      </c>
      <c r="R19" s="39" t="n">
        <f aca="false">IF(R$4=0,0,IF(COUNTIFS(実績!$W$6:$W$505,R$3,実績!$AI$6:$AI$505,"&lt;="&amp;$A19,実績!$AJ$6:$AJ$505,"&gt;"&amp;$A19,実績!$AL$6:$AL$505,"○")&gt;0,1,0))</f>
        <v>0</v>
      </c>
      <c r="S19" s="39" t="n">
        <f aca="false">IF(S$4=0,0,IF(COUNTIFS(実績!$W$6:$W$505,S$3,実績!$AI$6:$AI$505,"&lt;="&amp;$A19,実績!$AJ$6:$AJ$505,"&gt;"&amp;$A19,実績!$AL$6:$AL$505,"○")&gt;0,1,0))</f>
        <v>0</v>
      </c>
      <c r="T19" s="39" t="n">
        <f aca="false">IF(T$4=0,0,IF(COUNTIFS(実績!$W$6:$W$505,T$3,実績!$AI$6:$AI$505,"&lt;="&amp;$A19,実績!$AJ$6:$AJ$505,"&gt;"&amp;$A19,実績!$AL$6:$AL$505,"○")&gt;0,1,0))</f>
        <v>0</v>
      </c>
      <c r="U19" s="39" t="n">
        <f aca="false">IF(U$4=0,0,IF(COUNTIFS(実績!$W$6:$W$505,U$3,実績!$AI$6:$AI$505,"&lt;="&amp;$A19,実績!$AJ$6:$AJ$505,"&gt;"&amp;$A19,実績!$AL$6:$AL$505,"○")&gt;0,1,0))</f>
        <v>0</v>
      </c>
      <c r="V19" s="39" t="n">
        <f aca="false">IF(V$4=0,0,IF(COUNTIFS(実績!$W$6:$W$505,V$3,実績!$AI$6:$AI$505,"&lt;="&amp;$A19,実績!$AJ$6:$AJ$505,"&gt;"&amp;$A19,実績!$AL$6:$AL$505,"○")&gt;0,1,0))</f>
        <v>0</v>
      </c>
      <c r="W19" s="39" t="n">
        <f aca="false">IF(W$4=0,0,IF(COUNTIFS(実績!$W$6:$W$505,W$3,実績!$AI$6:$AI$505,"&lt;="&amp;$A19,実績!$AJ$6:$AJ$505,"&gt;"&amp;$A19,実績!$AL$6:$AL$505,"○")&gt;0,1,0))</f>
        <v>0</v>
      </c>
      <c r="X19" s="39" t="n">
        <f aca="false">IF(X$4=0,0,IF(COUNTIFS(実績!$W$6:$W$505,X$3,実績!$AI$6:$AI$505,"&lt;="&amp;$A19,実績!$AJ$6:$AJ$505,"&gt;"&amp;$A19,実績!$AL$6:$AL$505,"○")&gt;0,1,0))</f>
        <v>0</v>
      </c>
      <c r="Y19" s="39" t="n">
        <f aca="false">IF(Y$4=0,0,IF(COUNTIFS(実績!$W$6:$W$505,Y$3,実績!$AI$6:$AI$505,"&lt;="&amp;$A19,実績!$AJ$6:$AJ$505,"&gt;"&amp;$A19,実績!$AL$6:$AL$505,"○")&gt;0,1,0))</f>
        <v>0</v>
      </c>
      <c r="Z19" s="39" t="n">
        <f aca="false">IF(Z$4=0,0,IF(COUNTIFS(実績!$W$6:$W$505,Z$3,実績!$AI$6:$AI$505,"&lt;="&amp;$A19,実績!$AJ$6:$AJ$505,"&gt;"&amp;$A19,実績!$AL$6:$AL$505,"○")&gt;0,1,0))</f>
        <v>0</v>
      </c>
      <c r="AA19" s="39" t="n">
        <f aca="false">IF(AA$4=0,0,IF(COUNTIFS(実績!$W$6:$W$505,AA$3,実績!$AI$6:$AI$505,"&lt;="&amp;$A19,実績!$AJ$6:$AJ$505,"&gt;"&amp;$A19,実績!$AL$6:$AL$505,"○")&gt;0,1,0))</f>
        <v>0</v>
      </c>
      <c r="AB19" s="39" t="n">
        <f aca="false">IF(AB$4=0,0,IF(COUNTIFS(実績!$W$6:$W$505,AB$3,実績!$AI$6:$AI$505,"&lt;="&amp;$A19,実績!$AJ$6:$AJ$505,"&gt;"&amp;$A19,実績!$AL$6:$AL$505,"○")&gt;0,1,0))</f>
        <v>0</v>
      </c>
      <c r="AC19" s="39" t="n">
        <f aca="false">IF(AC$4=0,0,IF(COUNTIFS(実績!$W$6:$W$505,AC$3,実績!$AI$6:$AI$505,"&lt;="&amp;$A19,実績!$AJ$6:$AJ$505,"&gt;"&amp;$A19,実績!$AL$6:$AL$505,"○")&gt;0,1,0))</f>
        <v>0</v>
      </c>
      <c r="AD19" s="39" t="n">
        <f aca="false">IF(AD$4=0,0,IF(COUNTIFS(実績!$W$6:$W$505,AD$3,実績!$AI$6:$AI$505,"&lt;="&amp;$A19,実績!$AJ$6:$AJ$505,"&gt;"&amp;$A19,実績!$AL$6:$AL$505,"○")&gt;0,1,0))</f>
        <v>0</v>
      </c>
      <c r="AE19" s="39" t="n">
        <f aca="false">IF(AE$4=0,0,IF(COUNTIFS(実績!$W$6:$W$505,AE$3,実績!$AI$6:$AI$505,"&lt;="&amp;$A19,実績!$AJ$6:$AJ$505,"&gt;"&amp;$A19,実績!$AL$6:$AL$505,"○")&gt;0,1,0))</f>
        <v>0</v>
      </c>
      <c r="AF19" s="39" t="n">
        <f aca="false">IF(AF$4=0,0,IF(COUNTIFS(実績!$W$6:$W$505,AF$3,実績!$AI$6:$AI$505,"&lt;="&amp;$A19,実績!$AJ$6:$AJ$505,"&gt;"&amp;$A19,実績!$AL$6:$AL$505,"○")&gt;0,1,0))</f>
        <v>0</v>
      </c>
      <c r="AG19" s="39" t="n">
        <f aca="false">IF(AG$4=0,0,IF(COUNTIFS(実績!$W$6:$W$505,AG$3,実績!$AI$6:$AI$505,"&lt;="&amp;$A19,実績!$AJ$6:$AJ$505,"&gt;"&amp;$A19,実績!$AL$6:$AL$505,"○")&gt;0,1,0))</f>
        <v>0</v>
      </c>
      <c r="AH19" s="39" t="n">
        <f aca="false">IF(AH$4=0,0,IF(COUNTIFS(実績!$W$6:$W$505,AH$3,実績!$AI$6:$AI$505,"&lt;="&amp;$A19,実績!$AJ$6:$AJ$505,"&gt;"&amp;$A19,実績!$AL$6:$AL$505,"○")&gt;0,1,0))</f>
        <v>0</v>
      </c>
      <c r="AI19" s="39" t="n">
        <f aca="false">IF(AI$4=0,0,IF(COUNTIFS(実績!$W$6:$W$505,AI$3,実績!$AI$6:$AI$505,"&lt;="&amp;$A19,実績!$AJ$6:$AJ$505,"&gt;"&amp;$A19,実績!$AL$6:$AL$505,"○")&gt;0,1,0))</f>
        <v>0</v>
      </c>
      <c r="AJ19" s="39" t="n">
        <f aca="false">IF(AJ$4=0,0,IF(COUNTIFS(実績!$W$6:$W$505,AJ$3,実績!$AI$6:$AI$505,"&lt;="&amp;$A19,実績!$AJ$6:$AJ$505,"&gt;"&amp;$A19,実績!$AL$6:$AL$505,"○")&gt;0,1,0))</f>
        <v>0</v>
      </c>
      <c r="AK19" s="39" t="n">
        <f aca="false">IF(AK$4=0,0,IF(COUNTIFS(実績!$W$6:$W$505,AK$3,実績!$AI$6:$AI$505,"&lt;="&amp;$A19,実績!$AJ$6:$AJ$505,"&gt;"&amp;$A19,実績!$AL$6:$AL$505,"○")&gt;0,1,0))</f>
        <v>0</v>
      </c>
      <c r="AL19" s="39" t="n">
        <f aca="false">IF(AL$4=0,0,IF(COUNTIFS(実績!$W$6:$W$505,AL$3,実績!$AI$6:$AI$505,"&lt;="&amp;$A19,実績!$AJ$6:$AJ$505,"&gt;"&amp;$A19,実績!$AL$6:$AL$505,"○")&gt;0,1,0))</f>
        <v>0</v>
      </c>
      <c r="AM19" s="39" t="n">
        <f aca="false">IF(AM$4=0,0,IF(COUNTIFS(実績!$W$6:$W$505,AM$3,実績!$AI$6:$AI$505,"&lt;="&amp;$A19,実績!$AJ$6:$AJ$505,"&gt;"&amp;$A19,実績!$AL$6:$AL$505,"○")&gt;0,1,0))</f>
        <v>0</v>
      </c>
      <c r="AN19" s="39" t="n">
        <f aca="false">IF(AN$4=0,0,IF(COUNTIFS(実績!$W$6:$W$505,AN$3,実績!$AI$6:$AI$505,"&lt;="&amp;$A19,実績!$AJ$6:$AJ$505,"&gt;"&amp;$A19,実績!$AL$6:$AL$505,"○")&gt;0,1,0))</f>
        <v>0</v>
      </c>
      <c r="AO19" s="39" t="n">
        <f aca="false">IF(AO$4=0,0,IF(COUNTIFS(実績!$W$6:$W$505,AO$3,実績!$AI$6:$AI$505,"&lt;="&amp;$A19,実績!$AJ$6:$AJ$505,"&gt;"&amp;$A19,実績!$AL$6:$AL$505,"○")&gt;0,1,0))</f>
        <v>0</v>
      </c>
      <c r="AP19" s="39" t="n">
        <f aca="false">IF(AP$4=0,0,IF(COUNTIFS(実績!$W$6:$W$505,AP$3,実績!$AI$6:$AI$505,"&lt;="&amp;$A19,実績!$AJ$6:$AJ$505,"&gt;"&amp;$A19,実績!$AL$6:$AL$505,"○")&gt;0,1,0))</f>
        <v>0</v>
      </c>
      <c r="AQ19" s="39" t="n">
        <f aca="false">IF(AQ$4=0,0,IF(COUNTIFS(実績!$W$6:$W$505,AQ$3,実績!$AI$6:$AI$505,"&lt;="&amp;$A19,実績!$AJ$6:$AJ$505,"&gt;"&amp;$A19,実績!$AL$6:$AL$505,"○")&gt;0,1,0))</f>
        <v>0</v>
      </c>
      <c r="AR19" s="39" t="n">
        <f aca="false">IF(AR$4=0,0,IF(COUNTIFS(実績!$W$6:$W$505,AR$3,実績!$AI$6:$AI$505,"&lt;="&amp;$A19,実績!$AJ$6:$AJ$505,"&gt;"&amp;$A19,実績!$AL$6:$AL$505,"○")&gt;0,1,0))</f>
        <v>0</v>
      </c>
      <c r="AS19" s="39" t="n">
        <f aca="false">IF(AS$4=0,0,IF(COUNTIFS(実績!$W$6:$W$505,AS$3,実績!$AI$6:$AI$505,"&lt;="&amp;$A19,実績!$AJ$6:$AJ$505,"&gt;"&amp;$A19,実績!$AL$6:$AL$505,"○")&gt;0,1,0))</f>
        <v>0</v>
      </c>
      <c r="AT19" s="39" t="n">
        <f aca="false">IF(AT$4=0,0,IF(COUNTIFS(実績!$W$6:$W$505,AT$3,実績!$AI$6:$AI$505,"&lt;="&amp;$A19,実績!$AJ$6:$AJ$505,"&gt;"&amp;$A19,実績!$AL$6:$AL$505,"○")&gt;0,1,0))</f>
        <v>0</v>
      </c>
      <c r="AU19" s="39" t="n">
        <f aca="false">IF(AU$4=0,0,IF(COUNTIFS(実績!$W$6:$W$505,AU$3,実績!$AI$6:$AI$505,"&lt;="&amp;$A19,実績!$AJ$6:$AJ$505,"&gt;"&amp;$A19,実績!$AL$6:$AL$505,"○")&gt;0,1,0))</f>
        <v>0</v>
      </c>
      <c r="AV19" s="39" t="n">
        <f aca="false">IF(AV$4=0,0,IF(COUNTIFS(実績!$W$6:$W$505,AV$3,実績!$AI$6:$AI$505,"&lt;="&amp;$A19,実績!$AJ$6:$AJ$505,"&gt;"&amp;$A19,実績!$AL$6:$AL$505,"○")&gt;0,1,0))</f>
        <v>0</v>
      </c>
      <c r="AW19" s="39" t="n">
        <f aca="false">IF(AW$4=0,0,IF(COUNTIFS(実績!$W$6:$W$505,AW$3,実績!$AI$6:$AI$505,"&lt;="&amp;$A19,実績!$AJ$6:$AJ$505,"&gt;"&amp;$A19,実績!$AL$6:$AL$505,"○")&gt;0,1,0))</f>
        <v>0</v>
      </c>
      <c r="AX19" s="39" t="n">
        <f aca="false">IF(AX$4=0,0,IF(COUNTIFS(実績!$W$6:$W$505,AX$3,実績!$AI$6:$AI$505,"&lt;="&amp;$A19,実績!$AJ$6:$AJ$505,"&gt;"&amp;$A19,実績!$AL$6:$AL$505,"○")&gt;0,1,0))</f>
        <v>0</v>
      </c>
      <c r="AY19" s="39" t="n">
        <f aca="false">IF(AY$4=0,0,IF(COUNTIFS(実績!$W$6:$W$505,AY$3,実績!$AI$6:$AI$505,"&lt;="&amp;$A19,実績!$AJ$6:$AJ$505,"&gt;"&amp;$A19,実績!$AL$6:$AL$505,"○")&gt;0,1,0))</f>
        <v>0</v>
      </c>
      <c r="AZ19" s="39" t="n">
        <f aca="false">IF(AZ$4=0,0,IF(COUNTIFS(実績!$W$6:$W$505,AZ$3,実績!$AI$6:$AI$505,"&lt;="&amp;$A19,実績!$AJ$6:$AJ$505,"&gt;"&amp;$A19,実績!$AL$6:$AL$505,"○")&gt;0,1,0))</f>
        <v>0</v>
      </c>
      <c r="BA19" s="39" t="n">
        <f aca="false">IF(BA$4=0,0,IF(COUNTIFS(実績!$W$6:$W$505,BA$3,実績!$AI$6:$AI$505,"&lt;="&amp;$A19,実績!$AJ$6:$AJ$505,"&gt;"&amp;$A19,実績!$AL$6:$AL$505,"○")&gt;0,1,0))</f>
        <v>0</v>
      </c>
      <c r="BB19" s="39" t="n">
        <f aca="false">IF(BB$4=0,0,IF(COUNTIFS(実績!$W$6:$W$505,BB$3,実績!$AI$6:$AI$505,"&lt;="&amp;$A19,実績!$AJ$6:$AJ$505,"&gt;"&amp;$A19,実績!$AL$6:$AL$505,"○")&gt;0,1,0))</f>
        <v>0</v>
      </c>
      <c r="BC19" s="39" t="n">
        <f aca="false">IF(BC$4=0,0,IF(COUNTIFS(実績!$W$6:$W$505,BC$3,実績!$AI$6:$AI$505,"&lt;="&amp;$A19,実績!$AJ$6:$AJ$505,"&gt;"&amp;$A19,実績!$AL$6:$AL$505,"○")&gt;0,1,0))</f>
        <v>0</v>
      </c>
      <c r="BD19" s="39" t="n">
        <f aca="false">IF(BD$4=0,0,IF(COUNTIFS(実績!$W$6:$W$505,BD$3,実績!$AI$6:$AI$505,"&lt;="&amp;$A19,実績!$AJ$6:$AJ$505,"&gt;"&amp;$A19,実績!$AL$6:$AL$505,"○")&gt;0,1,0))</f>
        <v>0</v>
      </c>
      <c r="BE19" s="39" t="n">
        <f aca="false">IF(BE$4=0,0,IF(COUNTIFS(実績!$W$6:$W$505,BE$3,実績!$AI$6:$AI$505,"&lt;="&amp;$A19,実績!$AJ$6:$AJ$505,"&gt;"&amp;$A19,実績!$AL$6:$AL$505,"○")&gt;0,1,0))</f>
        <v>0</v>
      </c>
      <c r="BF19" s="39" t="n">
        <f aca="false">IF(BF$4=0,0,IF(COUNTIFS(実績!$W$6:$W$505,BF$3,実績!$AI$6:$AI$505,"&lt;="&amp;$A19,実績!$AJ$6:$AJ$505,"&gt;"&amp;$A19,実績!$AL$6:$AL$505,"○")&gt;0,1,0))</f>
        <v>0</v>
      </c>
      <c r="BG19" s="39" t="n">
        <f aca="false">IF(BG$4=0,0,IF(COUNTIFS(実績!$W$6:$W$505,BG$3,実績!$AI$6:$AI$505,"&lt;="&amp;$A19,実績!$AJ$6:$AJ$505,"&gt;"&amp;$A19,実績!$AL$6:$AL$505,"○")&gt;0,1,0))</f>
        <v>0</v>
      </c>
      <c r="BH19" s="39" t="n">
        <f aca="false">IF(BH$4=0,0,IF(COUNTIFS(実績!$W$6:$W$505,BH$3,実績!$AI$6:$AI$505,"&lt;="&amp;$A19,実績!$AJ$6:$AJ$505,"&gt;"&amp;$A19,実績!$AL$6:$AL$505,"○")&gt;0,1,0))</f>
        <v>0</v>
      </c>
      <c r="BI19" s="39" t="n">
        <f aca="false">IF(BI$4=0,0,IF(COUNTIFS(実績!$W$6:$W$505,BI$3,実績!$AI$6:$AI$505,"&lt;="&amp;$A19,実績!$AJ$6:$AJ$505,"&gt;"&amp;$A19,実績!$AL$6:$AL$505,"○")&gt;0,1,0))</f>
        <v>0</v>
      </c>
      <c r="BJ19" s="39" t="n">
        <f aca="false">IF(BJ$4=0,0,IF(COUNTIFS(実績!$W$6:$W$505,BJ$3,実績!$AI$6:$AI$505,"&lt;="&amp;$A19,実績!$AJ$6:$AJ$505,"&gt;"&amp;$A19,実績!$AL$6:$AL$505,"○")&gt;0,1,0))</f>
        <v>0</v>
      </c>
      <c r="BK19" s="39" t="n">
        <f aca="false">IF(BK$4=0,0,IF(COUNTIFS(実績!$W$6:$W$505,BK$3,実績!$AI$6:$AI$505,"&lt;="&amp;$A19,実績!$AJ$6:$AJ$505,"&gt;"&amp;$A19,実績!$AL$6:$AL$505,"○")&gt;0,1,0))</f>
        <v>0</v>
      </c>
      <c r="BL19" s="39" t="n">
        <f aca="false">IF(BL$4=0,0,IF(COUNTIFS(実績!$W$6:$W$505,BL$3,実績!$AI$6:$AI$505,"&lt;="&amp;$A19,実績!$AJ$6:$AJ$505,"&gt;"&amp;$A19,実績!$AL$6:$AL$505,"○")&gt;0,1,0))</f>
        <v>0</v>
      </c>
      <c r="BM19" s="39" t="n">
        <f aca="false">IF(BM$4=0,0,IF(COUNTIFS(実績!$W$6:$W$505,BM$3,実績!$AI$6:$AI$505,"&lt;="&amp;$A19,実績!$AJ$6:$AJ$505,"&gt;"&amp;$A19,実績!$AL$6:$AL$505,"○")&gt;0,1,0))</f>
        <v>0</v>
      </c>
      <c r="BN19" s="39" t="n">
        <f aca="false">IF(BN$4=0,0,IF(COUNTIFS(実績!$W$6:$W$505,BN$3,実績!$AI$6:$AI$505,"&lt;="&amp;$A19,実績!$AJ$6:$AJ$505,"&gt;"&amp;$A19,実績!$AL$6:$AL$505,"○")&gt;0,1,0))</f>
        <v>0</v>
      </c>
      <c r="BO19" s="39" t="n">
        <f aca="false">IF(BO$4=0,0,IF(COUNTIFS(実績!$W$6:$W$505,BO$3,実績!$AI$6:$AI$505,"&lt;="&amp;$A19,実績!$AJ$6:$AJ$505,"&gt;"&amp;$A19,実績!$AL$6:$AL$505,"○")&gt;0,1,0))</f>
        <v>0</v>
      </c>
      <c r="BP19" s="39" t="n">
        <f aca="false">IF(BP$4=0,0,IF(COUNTIFS(実績!$W$6:$W$505,BP$3,実績!$AI$6:$AI$505,"&lt;="&amp;$A19,実績!$AJ$6:$AJ$505,"&gt;"&amp;$A19,実績!$AL$6:$AL$505,"○")&gt;0,1,0))</f>
        <v>0</v>
      </c>
      <c r="BQ19" s="39" t="n">
        <f aca="false">IF(BQ$4=0,0,IF(COUNTIFS(実績!$W$6:$W$505,BQ$3,実績!$AI$6:$AI$505,"&lt;="&amp;$A19,実績!$AJ$6:$AJ$505,"&gt;"&amp;$A19,実績!$AL$6:$AL$505,"○")&gt;0,1,0))</f>
        <v>0</v>
      </c>
      <c r="BR19" s="39" t="n">
        <f aca="false">IF(BR$4=0,0,IF(COUNTIFS(実績!$W$6:$W$505,BR$3,実績!$AI$6:$AI$505,"&lt;="&amp;$A19,実績!$AJ$6:$AJ$505,"&gt;"&amp;$A19,実績!$AL$6:$AL$505,"○")&gt;0,1,0))</f>
        <v>0</v>
      </c>
      <c r="BS19" s="39" t="n">
        <f aca="false">IF(BS$4=0,0,IF(COUNTIFS(実績!$W$6:$W$505,BS$3,実績!$AI$6:$AI$505,"&lt;="&amp;$A19,実績!$AJ$6:$AJ$505,"&gt;"&amp;$A19,実績!$AL$6:$AL$505,"○")&gt;0,1,0))</f>
        <v>0</v>
      </c>
      <c r="BT19" s="39" t="n">
        <f aca="false">IF(BT$4=0,0,IF(COUNTIFS(実績!$W$6:$W$505,BT$3,実績!$AI$6:$AI$505,"&lt;="&amp;$A19,実績!$AJ$6:$AJ$505,"&gt;"&amp;$A19,実績!$AL$6:$AL$505,"○")&gt;0,1,0))</f>
        <v>0</v>
      </c>
      <c r="BU19" s="39" t="n">
        <f aca="false">IF(BU$4=0,0,IF(COUNTIFS(実績!$W$6:$W$505,BU$3,実績!$AI$6:$AI$505,"&lt;="&amp;$A19,実績!$AJ$6:$AJ$505,"&gt;"&amp;$A19,実績!$AL$6:$AL$505,"○")&gt;0,1,0))</f>
        <v>0</v>
      </c>
      <c r="BV19" s="39" t="n">
        <f aca="false">IF(BV$4=0,0,IF(COUNTIFS(実績!$W$6:$W$505,BV$3,実績!$AI$6:$AI$505,"&lt;="&amp;$A19,実績!$AJ$6:$AJ$505,"&gt;"&amp;$A19,実績!$AL$6:$AL$505,"○")&gt;0,1,0))</f>
        <v>0</v>
      </c>
      <c r="BW19" s="39" t="n">
        <f aca="false">IF(BW$4=0,0,IF(COUNTIFS(実績!$W$6:$W$505,BW$3,実績!$AI$6:$AI$505,"&lt;="&amp;$A19,実績!$AJ$6:$AJ$505,"&gt;"&amp;$A19,実績!$AL$6:$AL$505,"○")&gt;0,1,0))</f>
        <v>0</v>
      </c>
      <c r="BX19" s="39" t="n">
        <f aca="false">IF(BX$4=0,0,IF(COUNTIFS(実績!$W$6:$W$505,BX$3,実績!$AI$6:$AI$505,"&lt;="&amp;$A19,実績!$AJ$6:$AJ$505,"&gt;"&amp;$A19,実績!$AL$6:$AL$505,"○")&gt;0,1,0))</f>
        <v>0</v>
      </c>
      <c r="BY19" s="39" t="n">
        <f aca="false">IF(BY$4=0,0,IF(COUNTIFS(実績!$W$6:$W$505,BY$3,実績!$AI$6:$AI$505,"&lt;="&amp;$A19,実績!$AJ$6:$AJ$505,"&gt;"&amp;$A19,実績!$AL$6:$AL$505,"○")&gt;0,1,0))</f>
        <v>0</v>
      </c>
      <c r="BZ19" s="39" t="n">
        <f aca="false">IF(BZ$4=0,0,IF(COUNTIFS(実績!$W$6:$W$505,BZ$3,実績!$AI$6:$AI$505,"&lt;="&amp;$A19,実績!$AJ$6:$AJ$505,"&gt;"&amp;$A19,実績!$AL$6:$AL$505,"○")&gt;0,1,0))</f>
        <v>0</v>
      </c>
      <c r="CA19" s="39" t="n">
        <f aca="false">IF(CA$4=0,0,IF(COUNTIFS(実績!$W$6:$W$505,CA$3,実績!$AI$6:$AI$505,"&lt;="&amp;$A19,実績!$AJ$6:$AJ$505,"&gt;"&amp;$A19,実績!$AL$6:$AL$505,"○")&gt;0,1,0))</f>
        <v>0</v>
      </c>
      <c r="CB19" s="39" t="n">
        <f aca="false">IF(CB$4=0,0,IF(COUNTIFS(実績!$W$6:$W$505,CB$3,実績!$AI$6:$AI$505,"&lt;="&amp;$A19,実績!$AJ$6:$AJ$505,"&gt;"&amp;$A19,実績!$AL$6:$AL$505,"○")&gt;0,1,0))</f>
        <v>0</v>
      </c>
      <c r="CC19" s="39" t="n">
        <f aca="false">IF(CC$4=0,0,IF(COUNTIFS(実績!$W$6:$W$505,CC$3,実績!$AI$6:$AI$505,"&lt;="&amp;$A19,実績!$AJ$6:$AJ$505,"&gt;"&amp;$A19,実績!$AL$6:$AL$505,"○")&gt;0,1,0))</f>
        <v>0</v>
      </c>
      <c r="CD19" s="39" t="n">
        <f aca="false">IF(CD$4=0,0,IF(COUNTIFS(実績!$W$6:$W$505,CD$3,実績!$AI$6:$AI$505,"&lt;="&amp;$A19,実績!$AJ$6:$AJ$505,"&gt;"&amp;$A19,実績!$AL$6:$AL$505,"○")&gt;0,1,0))</f>
        <v>0</v>
      </c>
      <c r="CE19" s="39" t="n">
        <f aca="false">IF(CE$4=0,0,IF(COUNTIFS(実績!$W$6:$W$505,CE$3,実績!$AI$6:$AI$505,"&lt;="&amp;$A19,実績!$AJ$6:$AJ$505,"&gt;"&amp;$A19,実績!$AL$6:$AL$505,"○")&gt;0,1,0))</f>
        <v>0</v>
      </c>
      <c r="CF19" s="39" t="n">
        <f aca="false">IF(CF$4=0,0,IF(COUNTIFS(実績!$W$6:$W$505,CF$3,実績!$AI$6:$AI$505,"&lt;="&amp;$A19,実績!$AJ$6:$AJ$505,"&gt;"&amp;$A19,実績!$AL$6:$AL$505,"○")&gt;0,1,0))</f>
        <v>0</v>
      </c>
      <c r="CG19" s="39" t="n">
        <f aca="false">IF(CG$4=0,0,IF(COUNTIFS(実績!$W$6:$W$505,CG$3,実績!$AI$6:$AI$505,"&lt;="&amp;$A19,実績!$AJ$6:$AJ$505,"&gt;"&amp;$A19,実績!$AL$6:$AL$505,"○")&gt;0,1,0))</f>
        <v>0</v>
      </c>
      <c r="CH19" s="39" t="n">
        <f aca="false">IF(CH$4=0,0,IF(COUNTIFS(実績!$W$6:$W$505,CH$3,実績!$AI$6:$AI$505,"&lt;="&amp;$A19,実績!$AJ$6:$AJ$505,"&gt;"&amp;$A19,実績!$AL$6:$AL$505,"○")&gt;0,1,0))</f>
        <v>0</v>
      </c>
      <c r="CI19" s="39" t="n">
        <f aca="false">IF(CI$4=0,0,IF(COUNTIFS(実績!$W$6:$W$505,CI$3,実績!$AI$6:$AI$505,"&lt;="&amp;$A19,実績!$AJ$6:$AJ$505,"&gt;"&amp;$A19,実績!$AL$6:$AL$505,"○")&gt;0,1,0))</f>
        <v>0</v>
      </c>
      <c r="CJ19" s="39" t="n">
        <f aca="false">IF(CJ$4=0,0,IF(COUNTIFS(実績!$W$6:$W$505,CJ$3,実績!$AI$6:$AI$505,"&lt;="&amp;$A19,実績!$AJ$6:$AJ$505,"&gt;"&amp;$A19,実績!$AL$6:$AL$505,"○")&gt;0,1,0))</f>
        <v>0</v>
      </c>
      <c r="CK19" s="39" t="n">
        <f aca="false">IF(CK$4=0,0,IF(COUNTIFS(実績!$W$6:$W$505,CK$3,実績!$AI$6:$AI$505,"&lt;="&amp;$A19,実績!$AJ$6:$AJ$505,"&gt;"&amp;$A19,実績!$AL$6:$AL$505,"○")&gt;0,1,0))</f>
        <v>0</v>
      </c>
      <c r="CL19" s="39" t="n">
        <f aca="false">IF(CL$4=0,0,IF(COUNTIFS(実績!$W$6:$W$505,CL$3,実績!$AI$6:$AI$505,"&lt;="&amp;$A19,実績!$AJ$6:$AJ$505,"&gt;"&amp;$A19,実績!$AL$6:$AL$505,"○")&gt;0,1,0))</f>
        <v>0</v>
      </c>
      <c r="CM19" s="39" t="n">
        <f aca="false">IF(CM$4=0,0,IF(COUNTIFS(実績!$W$6:$W$505,CM$3,実績!$AI$6:$AI$505,"&lt;="&amp;$A19,実績!$AJ$6:$AJ$505,"&gt;"&amp;$A19,実績!$AL$6:$AL$505,"○")&gt;0,1,0))</f>
        <v>0</v>
      </c>
      <c r="CN19" s="39" t="n">
        <f aca="false">IF(CN$4=0,0,IF(COUNTIFS(実績!$W$6:$W$505,CN$3,実績!$AI$6:$AI$505,"&lt;="&amp;$A19,実績!$AJ$6:$AJ$505,"&gt;"&amp;$A19,実績!$AL$6:$AL$505,"○")&gt;0,1,0))</f>
        <v>0</v>
      </c>
      <c r="CO19" s="39" t="n">
        <f aca="false">IF(CO$4=0,0,IF(COUNTIFS(実績!$W$6:$W$505,CO$3,実績!$AI$6:$AI$505,"&lt;="&amp;$A19,実績!$AJ$6:$AJ$505,"&gt;"&amp;$A19,実績!$AL$6:$AL$505,"○")&gt;0,1,0))</f>
        <v>0</v>
      </c>
      <c r="CP19" s="39" t="n">
        <f aca="false">IF(CP$4=0,0,IF(COUNTIFS(実績!$W$6:$W$505,CP$3,実績!$AI$6:$AI$505,"&lt;="&amp;$A19,実績!$AJ$6:$AJ$505,"&gt;"&amp;$A19,実績!$AL$6:$AL$505,"○")&gt;0,1,0))</f>
        <v>0</v>
      </c>
      <c r="CQ19" s="39" t="n">
        <f aca="false">IF(CQ$4=0,0,IF(COUNTIFS(実績!$W$6:$W$505,CQ$3,実績!$AI$6:$AI$505,"&lt;="&amp;$A19,実績!$AJ$6:$AJ$505,"&gt;"&amp;$A19,実績!$AL$6:$AL$505,"○")&gt;0,1,0))</f>
        <v>0</v>
      </c>
      <c r="CR19" s="39" t="n">
        <f aca="false">IF(CR$4=0,0,IF(COUNTIFS(実績!$W$6:$W$505,CR$3,実績!$AI$6:$AI$505,"&lt;="&amp;$A19,実績!$AJ$6:$AJ$505,"&gt;"&amp;$A19,実績!$AL$6:$AL$505,"○")&gt;0,1,0))</f>
        <v>0</v>
      </c>
      <c r="CS19" s="39" t="n">
        <f aca="false">IF(CS$4=0,0,IF(COUNTIFS(実績!$W$6:$W$505,CS$3,実績!$AI$6:$AI$505,"&lt;="&amp;$A19,実績!$AJ$6:$AJ$505,"&gt;"&amp;$A19,実績!$AL$6:$AL$505,"○")&gt;0,1,0))</f>
        <v>0</v>
      </c>
      <c r="CT19" s="39" t="n">
        <f aca="false">IF(CT$4=0,0,IF(COUNTIFS(実績!$W$6:$W$505,CT$3,実績!$AI$6:$AI$505,"&lt;="&amp;$A19,実績!$AJ$6:$AJ$505,"&gt;"&amp;$A19,実績!$AL$6:$AL$505,"○")&gt;0,1,0))</f>
        <v>0</v>
      </c>
      <c r="CU19" s="39" t="n">
        <f aca="false">IF(CU$4=0,0,IF(COUNTIFS(実績!$W$6:$W$505,CU$3,実績!$AI$6:$AI$505,"&lt;="&amp;$A19,実績!$AJ$6:$AJ$505,"&gt;"&amp;$A19,実績!$AL$6:$AL$505,"○")&gt;0,1,0))</f>
        <v>0</v>
      </c>
      <c r="CV19" s="39" t="n">
        <f aca="false">IF(CV$4=0,0,IF(COUNTIFS(実績!$W$6:$W$505,CV$3,実績!$AI$6:$AI$505,"&lt;="&amp;$A19,実績!$AJ$6:$AJ$505,"&gt;"&amp;$A19,実績!$AL$6:$AL$505,"○")&gt;0,1,0))</f>
        <v>0</v>
      </c>
      <c r="CW19" s="39" t="n">
        <f aca="false">IF(CW$4=0,0,IF(COUNTIFS(実績!$W$6:$W$505,CW$3,実績!$AI$6:$AI$505,"&lt;="&amp;$A19,実績!$AJ$6:$AJ$505,"&gt;"&amp;$A19,実績!$AL$6:$AL$505,"○")&gt;0,1,0))</f>
        <v>0</v>
      </c>
      <c r="CX19" s="39" t="n">
        <f aca="false">IF(CX$4=0,0,IF(COUNTIFS(実績!$W$6:$W$505,CX$3,実績!$AI$6:$AI$505,"&lt;="&amp;$A19,実績!$AJ$6:$AJ$505,"&gt;"&amp;$A19,実績!$AL$6:$AL$505,"○")&gt;0,1,0))</f>
        <v>0</v>
      </c>
      <c r="CY19" s="39" t="n">
        <f aca="false">IF(CY$4=0,0,IF(COUNTIFS(実績!$W$6:$W$505,CY$3,実績!$AI$6:$AI$505,"&lt;="&amp;$A19,実績!$AJ$6:$AJ$505,"&gt;"&amp;$A19,実績!$AL$6:$AL$505,"○")&gt;0,1,0))</f>
        <v>0</v>
      </c>
      <c r="CZ19" s="39" t="n">
        <f aca="false">IF(CZ$4=0,0,IF(COUNTIFS(実績!$W$6:$W$505,CZ$3,実績!$AI$6:$AI$505,"&lt;="&amp;$A19,実績!$AJ$6:$AJ$505,"&gt;"&amp;$A19,実績!$AL$6:$AL$505,"○")&gt;0,1,0))</f>
        <v>0</v>
      </c>
      <c r="DA19" s="39" t="n">
        <f aca="false">IF(DA$4=0,0,IF(COUNTIFS(実績!$W$6:$W$505,DA$3,実績!$AI$6:$AI$505,"&lt;="&amp;$A19,実績!$AJ$6:$AJ$505,"&gt;"&amp;$A19,実績!$AL$6:$AL$505,"○")&gt;0,1,0))</f>
        <v>0</v>
      </c>
      <c r="DB19" s="39" t="n">
        <f aca="false">IF(DB$4=0,0,IF(COUNTIFS(実績!$W$6:$W$505,DB$3,実績!$AI$6:$AI$505,"&lt;="&amp;$A19,実績!$AJ$6:$AJ$505,"&gt;"&amp;$A19,実績!$AL$6:$AL$505,"○")&gt;0,1,0))</f>
        <v>0</v>
      </c>
      <c r="DC19" s="39" t="n">
        <f aca="false">IF(DC$4=0,0,IF(COUNTIFS(実績!$W$6:$W$505,DC$3,実績!$AI$6:$AI$505,"&lt;="&amp;$A19,実績!$AJ$6:$AJ$505,"&gt;"&amp;$A19,実績!$AL$6:$AL$505,"○")&gt;0,1,0))</f>
        <v>0</v>
      </c>
      <c r="DD19" s="39" t="n">
        <f aca="false">IF(DD$4=0,0,IF(COUNTIFS(実績!$W$6:$W$505,DD$3,実績!$AI$6:$AI$505,"&lt;="&amp;$A19,実績!$AJ$6:$AJ$505,"&gt;"&amp;$A19,実績!$AL$6:$AL$505,"○")&gt;0,1,0))</f>
        <v>0</v>
      </c>
      <c r="DE19" s="39" t="n">
        <f aca="false">IF(DE$4=0,0,IF(COUNTIFS(実績!$W$6:$W$505,DE$3,実績!$AI$6:$AI$505,"&lt;="&amp;$A19,実績!$AJ$6:$AJ$505,"&gt;"&amp;$A19,実績!$AL$6:$AL$505,"○")&gt;0,1,0))</f>
        <v>0</v>
      </c>
      <c r="DF19" s="39" t="n">
        <f aca="false">IF(DF$4=0,0,IF(COUNTIFS(実績!$W$6:$W$505,DF$3,実績!$AI$6:$AI$505,"&lt;="&amp;$A19,実績!$AJ$6:$AJ$505,"&gt;"&amp;$A19,実績!$AL$6:$AL$505,"○")&gt;0,1,0))</f>
        <v>0</v>
      </c>
      <c r="DG19" s="39" t="n">
        <f aca="false">IF(DG$4=0,0,IF(COUNTIFS(実績!$W$6:$W$505,DG$3,実績!$AI$6:$AI$505,"&lt;="&amp;$A19,実績!$AJ$6:$AJ$505,"&gt;"&amp;$A19,実績!$AL$6:$AL$505,"○")&gt;0,1,0))</f>
        <v>0</v>
      </c>
      <c r="DH19" s="39" t="n">
        <f aca="false">IF(DH$4=0,0,IF(COUNTIFS(実績!$W$6:$W$505,DH$3,実績!$AI$6:$AI$505,"&lt;="&amp;$A19,実績!$AJ$6:$AJ$505,"&gt;"&amp;$A19,実績!$AL$6:$AL$505,"○")&gt;0,1,0))</f>
        <v>0</v>
      </c>
      <c r="DI19" s="39" t="n">
        <f aca="false">IF(DI$4=0,0,IF(COUNTIFS(実績!$W$6:$W$505,DI$3,実績!$AI$6:$AI$505,"&lt;="&amp;$A19,実績!$AJ$6:$AJ$505,"&gt;"&amp;$A19,実績!$AL$6:$AL$505,"○")&gt;0,1,0))</f>
        <v>0</v>
      </c>
      <c r="DJ19" s="39" t="n">
        <f aca="false">IF(DJ$4=0,0,IF(COUNTIFS(実績!$W$6:$W$505,DJ$3,実績!$AI$6:$AI$505,"&lt;="&amp;$A19,実績!$AJ$6:$AJ$505,"&gt;"&amp;$A19,実績!$AL$6:$AL$505,"○")&gt;0,1,0))</f>
        <v>0</v>
      </c>
      <c r="DK19" s="39" t="n">
        <f aca="false">IF(DK$4=0,0,IF(COUNTIFS(実績!$W$6:$W$505,DK$3,実績!$AI$6:$AI$505,"&lt;="&amp;$A19,実績!$AJ$6:$AJ$505,"&gt;"&amp;$A19,実績!$AL$6:$AL$505,"○")&gt;0,1,0))</f>
        <v>0</v>
      </c>
      <c r="DL19" s="39" t="n">
        <f aca="false">IF(DL$4=0,0,IF(COUNTIFS(実績!$W$6:$W$505,DL$3,実績!$AI$6:$AI$505,"&lt;="&amp;$A19,実績!$AJ$6:$AJ$505,"&gt;"&amp;$A19,実績!$AL$6:$AL$505,"○")&gt;0,1,0))</f>
        <v>0</v>
      </c>
      <c r="DM19" s="39" t="n">
        <f aca="false">IF(DM$4=0,0,IF(COUNTIFS(実績!$W$6:$W$505,DM$3,実績!$AI$6:$AI$505,"&lt;="&amp;$A19,実績!$AJ$6:$AJ$505,"&gt;"&amp;$A19,実績!$AL$6:$AL$505,"○")&gt;0,1,0))</f>
        <v>0</v>
      </c>
      <c r="DN19" s="39" t="n">
        <f aca="false">IF(DN$4=0,0,IF(COUNTIFS(実績!$W$6:$W$505,DN$3,実績!$AI$6:$AI$505,"&lt;="&amp;$A19,実績!$AJ$6:$AJ$505,"&gt;"&amp;$A19,実績!$AL$6:$AL$505,"○")&gt;0,1,0))</f>
        <v>0</v>
      </c>
      <c r="DO19" s="39" t="n">
        <f aca="false">IF(DO$4=0,0,IF(COUNTIFS(実績!$W$6:$W$505,DO$3,実績!$AI$6:$AI$505,"&lt;="&amp;$A19,実績!$AJ$6:$AJ$505,"&gt;"&amp;$A19,実績!$AL$6:$AL$505,"○")&gt;0,1,0))</f>
        <v>0</v>
      </c>
      <c r="DP19" s="39" t="n">
        <f aca="false">IF(DP$4=0,0,IF(COUNTIFS(実績!$W$6:$W$505,DP$3,実績!$AI$6:$AI$505,"&lt;="&amp;$A19,実績!$AJ$6:$AJ$505,"&gt;"&amp;$A19,実績!$AL$6:$AL$505,"○")&gt;0,1,0))</f>
        <v>0</v>
      </c>
      <c r="DQ19" s="39" t="n">
        <f aca="false">IF(DQ$4=0,0,IF(COUNTIFS(実績!$W$6:$W$505,DQ$3,実績!$AI$6:$AI$505,"&lt;="&amp;$A19,実績!$AJ$6:$AJ$505,"&gt;"&amp;$A19,実績!$AL$6:$AL$505,"○")&gt;0,1,0))</f>
        <v>0</v>
      </c>
      <c r="DR19" s="39" t="n">
        <f aca="false">IF(DR$4=0,0,IF(COUNTIFS(実績!$W$6:$W$505,DR$3,実績!$AI$6:$AI$505,"&lt;="&amp;$A19,実績!$AJ$6:$AJ$505,"&gt;"&amp;$A19,実績!$AL$6:$AL$505,"○")&gt;0,1,0))</f>
        <v>0</v>
      </c>
      <c r="DS19" s="39" t="n">
        <f aca="false">SUM(C19:DR19)</f>
        <v>0</v>
      </c>
    </row>
    <row r="20" customFormat="false" ht="15" hidden="false" customHeight="false" outlineLevel="0" collapsed="false">
      <c r="A20" s="0" t="n">
        <v>70</v>
      </c>
      <c r="B20" s="38" t="n">
        <f aca="false">A20/1440</f>
        <v>0.0486111111111111</v>
      </c>
      <c r="C20" s="39" t="n">
        <f aca="false">IF(C$4=0,0,IF(COUNTIFS(実績!$W$6:$W$505,C$3,実績!$AI$6:$AI$505,"&lt;="&amp;$A20,実績!$AJ$6:$AJ$505,"&gt;"&amp;$A20,実績!$AL$6:$AL$505,"○")&gt;0,1,0))</f>
        <v>0</v>
      </c>
      <c r="D20" s="39" t="n">
        <f aca="false">IF(D$4=0,0,IF(COUNTIFS(実績!$W$6:$W$505,D$3,実績!$AI$6:$AI$505,"&lt;="&amp;$A20,実績!$AJ$6:$AJ$505,"&gt;"&amp;$A20,実績!$AL$6:$AL$505,"○")&gt;0,1,0))</f>
        <v>0</v>
      </c>
      <c r="E20" s="39" t="n">
        <f aca="false">IF(E$4=0,0,IF(COUNTIFS(実績!$W$6:$W$505,E$3,実績!$AI$6:$AI$505,"&lt;="&amp;$A20,実績!$AJ$6:$AJ$505,"&gt;"&amp;$A20,実績!$AL$6:$AL$505,"○")&gt;0,1,0))</f>
        <v>0</v>
      </c>
      <c r="F20" s="39" t="n">
        <f aca="false">IF(F$4=0,0,IF(COUNTIFS(実績!$W$6:$W$505,F$3,実績!$AI$6:$AI$505,"&lt;="&amp;$A20,実績!$AJ$6:$AJ$505,"&gt;"&amp;$A20,実績!$AL$6:$AL$505,"○")&gt;0,1,0))</f>
        <v>0</v>
      </c>
      <c r="G20" s="39" t="n">
        <f aca="false">IF(G$4=0,0,IF(COUNTIFS(実績!$W$6:$W$505,G$3,実績!$AI$6:$AI$505,"&lt;="&amp;$A20,実績!$AJ$6:$AJ$505,"&gt;"&amp;$A20,実績!$AL$6:$AL$505,"○")&gt;0,1,0))</f>
        <v>0</v>
      </c>
      <c r="H20" s="39" t="n">
        <f aca="false">IF(H$4=0,0,IF(COUNTIFS(実績!$W$6:$W$505,H$3,実績!$AI$6:$AI$505,"&lt;="&amp;$A20,実績!$AJ$6:$AJ$505,"&gt;"&amp;$A20,実績!$AL$6:$AL$505,"○")&gt;0,1,0))</f>
        <v>0</v>
      </c>
      <c r="I20" s="39" t="n">
        <f aca="false">IF(I$4=0,0,IF(COUNTIFS(実績!$W$6:$W$505,I$3,実績!$AI$6:$AI$505,"&lt;="&amp;$A20,実績!$AJ$6:$AJ$505,"&gt;"&amp;$A20,実績!$AL$6:$AL$505,"○")&gt;0,1,0))</f>
        <v>0</v>
      </c>
      <c r="J20" s="39" t="n">
        <f aca="false">IF(J$4=0,0,IF(COUNTIFS(実績!$W$6:$W$505,J$3,実績!$AI$6:$AI$505,"&lt;="&amp;$A20,実績!$AJ$6:$AJ$505,"&gt;"&amp;$A20,実績!$AL$6:$AL$505,"○")&gt;0,1,0))</f>
        <v>0</v>
      </c>
      <c r="K20" s="39" t="n">
        <f aca="false">IF(K$4=0,0,IF(COUNTIFS(実績!$W$6:$W$505,K$3,実績!$AI$6:$AI$505,"&lt;="&amp;$A20,実績!$AJ$6:$AJ$505,"&gt;"&amp;$A20,実績!$AL$6:$AL$505,"○")&gt;0,1,0))</f>
        <v>0</v>
      </c>
      <c r="L20" s="39" t="n">
        <f aca="false">IF(L$4=0,0,IF(COUNTIFS(実績!$W$6:$W$505,L$3,実績!$AI$6:$AI$505,"&lt;="&amp;$A20,実績!$AJ$6:$AJ$505,"&gt;"&amp;$A20,実績!$AL$6:$AL$505,"○")&gt;0,1,0))</f>
        <v>0</v>
      </c>
      <c r="M20" s="39" t="n">
        <f aca="false">IF(M$4=0,0,IF(COUNTIFS(実績!$W$6:$W$505,M$3,実績!$AI$6:$AI$505,"&lt;="&amp;$A20,実績!$AJ$6:$AJ$505,"&gt;"&amp;$A20,実績!$AL$6:$AL$505,"○")&gt;0,1,0))</f>
        <v>0</v>
      </c>
      <c r="N20" s="39" t="n">
        <f aca="false">IF(N$4=0,0,IF(COUNTIFS(実績!$W$6:$W$505,N$3,実績!$AI$6:$AI$505,"&lt;="&amp;$A20,実績!$AJ$6:$AJ$505,"&gt;"&amp;$A20,実績!$AL$6:$AL$505,"○")&gt;0,1,0))</f>
        <v>0</v>
      </c>
      <c r="O20" s="39" t="n">
        <f aca="false">IF(O$4=0,0,IF(COUNTIFS(実績!$W$6:$W$505,O$3,実績!$AI$6:$AI$505,"&lt;="&amp;$A20,実績!$AJ$6:$AJ$505,"&gt;"&amp;$A20,実績!$AL$6:$AL$505,"○")&gt;0,1,0))</f>
        <v>0</v>
      </c>
      <c r="P20" s="39" t="n">
        <f aca="false">IF(P$4=0,0,IF(COUNTIFS(実績!$W$6:$W$505,P$3,実績!$AI$6:$AI$505,"&lt;="&amp;$A20,実績!$AJ$6:$AJ$505,"&gt;"&amp;$A20,実績!$AL$6:$AL$505,"○")&gt;0,1,0))</f>
        <v>0</v>
      </c>
      <c r="Q20" s="39" t="n">
        <f aca="false">IF(Q$4=0,0,IF(COUNTIFS(実績!$W$6:$W$505,Q$3,実績!$AI$6:$AI$505,"&lt;="&amp;$A20,実績!$AJ$6:$AJ$505,"&gt;"&amp;$A20,実績!$AL$6:$AL$505,"○")&gt;0,1,0))</f>
        <v>0</v>
      </c>
      <c r="R20" s="39" t="n">
        <f aca="false">IF(R$4=0,0,IF(COUNTIFS(実績!$W$6:$W$505,R$3,実績!$AI$6:$AI$505,"&lt;="&amp;$A20,実績!$AJ$6:$AJ$505,"&gt;"&amp;$A20,実績!$AL$6:$AL$505,"○")&gt;0,1,0))</f>
        <v>0</v>
      </c>
      <c r="S20" s="39" t="n">
        <f aca="false">IF(S$4=0,0,IF(COUNTIFS(実績!$W$6:$W$505,S$3,実績!$AI$6:$AI$505,"&lt;="&amp;$A20,実績!$AJ$6:$AJ$505,"&gt;"&amp;$A20,実績!$AL$6:$AL$505,"○")&gt;0,1,0))</f>
        <v>0</v>
      </c>
      <c r="T20" s="39" t="n">
        <f aca="false">IF(T$4=0,0,IF(COUNTIFS(実績!$W$6:$W$505,T$3,実績!$AI$6:$AI$505,"&lt;="&amp;$A20,実績!$AJ$6:$AJ$505,"&gt;"&amp;$A20,実績!$AL$6:$AL$505,"○")&gt;0,1,0))</f>
        <v>0</v>
      </c>
      <c r="U20" s="39" t="n">
        <f aca="false">IF(U$4=0,0,IF(COUNTIFS(実績!$W$6:$W$505,U$3,実績!$AI$6:$AI$505,"&lt;="&amp;$A20,実績!$AJ$6:$AJ$505,"&gt;"&amp;$A20,実績!$AL$6:$AL$505,"○")&gt;0,1,0))</f>
        <v>0</v>
      </c>
      <c r="V20" s="39" t="n">
        <f aca="false">IF(V$4=0,0,IF(COUNTIFS(実績!$W$6:$W$505,V$3,実績!$AI$6:$AI$505,"&lt;="&amp;$A20,実績!$AJ$6:$AJ$505,"&gt;"&amp;$A20,実績!$AL$6:$AL$505,"○")&gt;0,1,0))</f>
        <v>0</v>
      </c>
      <c r="W20" s="39" t="n">
        <f aca="false">IF(W$4=0,0,IF(COUNTIFS(実績!$W$6:$W$505,W$3,実績!$AI$6:$AI$505,"&lt;="&amp;$A20,実績!$AJ$6:$AJ$505,"&gt;"&amp;$A20,実績!$AL$6:$AL$505,"○")&gt;0,1,0))</f>
        <v>0</v>
      </c>
      <c r="X20" s="39" t="n">
        <f aca="false">IF(X$4=0,0,IF(COUNTIFS(実績!$W$6:$W$505,X$3,実績!$AI$6:$AI$505,"&lt;="&amp;$A20,実績!$AJ$6:$AJ$505,"&gt;"&amp;$A20,実績!$AL$6:$AL$505,"○")&gt;0,1,0))</f>
        <v>0</v>
      </c>
      <c r="Y20" s="39" t="n">
        <f aca="false">IF(Y$4=0,0,IF(COUNTIFS(実績!$W$6:$W$505,Y$3,実績!$AI$6:$AI$505,"&lt;="&amp;$A20,実績!$AJ$6:$AJ$505,"&gt;"&amp;$A20,実績!$AL$6:$AL$505,"○")&gt;0,1,0))</f>
        <v>0</v>
      </c>
      <c r="Z20" s="39" t="n">
        <f aca="false">IF(Z$4=0,0,IF(COUNTIFS(実績!$W$6:$W$505,Z$3,実績!$AI$6:$AI$505,"&lt;="&amp;$A20,実績!$AJ$6:$AJ$505,"&gt;"&amp;$A20,実績!$AL$6:$AL$505,"○")&gt;0,1,0))</f>
        <v>0</v>
      </c>
      <c r="AA20" s="39" t="n">
        <f aca="false">IF(AA$4=0,0,IF(COUNTIFS(実績!$W$6:$W$505,AA$3,実績!$AI$6:$AI$505,"&lt;="&amp;$A20,実績!$AJ$6:$AJ$505,"&gt;"&amp;$A20,実績!$AL$6:$AL$505,"○")&gt;0,1,0))</f>
        <v>0</v>
      </c>
      <c r="AB20" s="39" t="n">
        <f aca="false">IF(AB$4=0,0,IF(COUNTIFS(実績!$W$6:$W$505,AB$3,実績!$AI$6:$AI$505,"&lt;="&amp;$A20,実績!$AJ$6:$AJ$505,"&gt;"&amp;$A20,実績!$AL$6:$AL$505,"○")&gt;0,1,0))</f>
        <v>0</v>
      </c>
      <c r="AC20" s="39" t="n">
        <f aca="false">IF(AC$4=0,0,IF(COUNTIFS(実績!$W$6:$W$505,AC$3,実績!$AI$6:$AI$505,"&lt;="&amp;$A20,実績!$AJ$6:$AJ$505,"&gt;"&amp;$A20,実績!$AL$6:$AL$505,"○")&gt;0,1,0))</f>
        <v>0</v>
      </c>
      <c r="AD20" s="39" t="n">
        <f aca="false">IF(AD$4=0,0,IF(COUNTIFS(実績!$W$6:$W$505,AD$3,実績!$AI$6:$AI$505,"&lt;="&amp;$A20,実績!$AJ$6:$AJ$505,"&gt;"&amp;$A20,実績!$AL$6:$AL$505,"○")&gt;0,1,0))</f>
        <v>0</v>
      </c>
      <c r="AE20" s="39" t="n">
        <f aca="false">IF(AE$4=0,0,IF(COUNTIFS(実績!$W$6:$W$505,AE$3,実績!$AI$6:$AI$505,"&lt;="&amp;$A20,実績!$AJ$6:$AJ$505,"&gt;"&amp;$A20,実績!$AL$6:$AL$505,"○")&gt;0,1,0))</f>
        <v>0</v>
      </c>
      <c r="AF20" s="39" t="n">
        <f aca="false">IF(AF$4=0,0,IF(COUNTIFS(実績!$W$6:$W$505,AF$3,実績!$AI$6:$AI$505,"&lt;="&amp;$A20,実績!$AJ$6:$AJ$505,"&gt;"&amp;$A20,実績!$AL$6:$AL$505,"○")&gt;0,1,0))</f>
        <v>0</v>
      </c>
      <c r="AG20" s="39" t="n">
        <f aca="false">IF(AG$4=0,0,IF(COUNTIFS(実績!$W$6:$W$505,AG$3,実績!$AI$6:$AI$505,"&lt;="&amp;$A20,実績!$AJ$6:$AJ$505,"&gt;"&amp;$A20,実績!$AL$6:$AL$505,"○")&gt;0,1,0))</f>
        <v>0</v>
      </c>
      <c r="AH20" s="39" t="n">
        <f aca="false">IF(AH$4=0,0,IF(COUNTIFS(実績!$W$6:$W$505,AH$3,実績!$AI$6:$AI$505,"&lt;="&amp;$A20,実績!$AJ$6:$AJ$505,"&gt;"&amp;$A20,実績!$AL$6:$AL$505,"○")&gt;0,1,0))</f>
        <v>0</v>
      </c>
      <c r="AI20" s="39" t="n">
        <f aca="false">IF(AI$4=0,0,IF(COUNTIFS(実績!$W$6:$W$505,AI$3,実績!$AI$6:$AI$505,"&lt;="&amp;$A20,実績!$AJ$6:$AJ$505,"&gt;"&amp;$A20,実績!$AL$6:$AL$505,"○")&gt;0,1,0))</f>
        <v>0</v>
      </c>
      <c r="AJ20" s="39" t="n">
        <f aca="false">IF(AJ$4=0,0,IF(COUNTIFS(実績!$W$6:$W$505,AJ$3,実績!$AI$6:$AI$505,"&lt;="&amp;$A20,実績!$AJ$6:$AJ$505,"&gt;"&amp;$A20,実績!$AL$6:$AL$505,"○")&gt;0,1,0))</f>
        <v>0</v>
      </c>
      <c r="AK20" s="39" t="n">
        <f aca="false">IF(AK$4=0,0,IF(COUNTIFS(実績!$W$6:$W$505,AK$3,実績!$AI$6:$AI$505,"&lt;="&amp;$A20,実績!$AJ$6:$AJ$505,"&gt;"&amp;$A20,実績!$AL$6:$AL$505,"○")&gt;0,1,0))</f>
        <v>0</v>
      </c>
      <c r="AL20" s="39" t="n">
        <f aca="false">IF(AL$4=0,0,IF(COUNTIFS(実績!$W$6:$W$505,AL$3,実績!$AI$6:$AI$505,"&lt;="&amp;$A20,実績!$AJ$6:$AJ$505,"&gt;"&amp;$A20,実績!$AL$6:$AL$505,"○")&gt;0,1,0))</f>
        <v>0</v>
      </c>
      <c r="AM20" s="39" t="n">
        <f aca="false">IF(AM$4=0,0,IF(COUNTIFS(実績!$W$6:$W$505,AM$3,実績!$AI$6:$AI$505,"&lt;="&amp;$A20,実績!$AJ$6:$AJ$505,"&gt;"&amp;$A20,実績!$AL$6:$AL$505,"○")&gt;0,1,0))</f>
        <v>0</v>
      </c>
      <c r="AN20" s="39" t="n">
        <f aca="false">IF(AN$4=0,0,IF(COUNTIFS(実績!$W$6:$W$505,AN$3,実績!$AI$6:$AI$505,"&lt;="&amp;$A20,実績!$AJ$6:$AJ$505,"&gt;"&amp;$A20,実績!$AL$6:$AL$505,"○")&gt;0,1,0))</f>
        <v>0</v>
      </c>
      <c r="AO20" s="39" t="n">
        <f aca="false">IF(AO$4=0,0,IF(COUNTIFS(実績!$W$6:$W$505,AO$3,実績!$AI$6:$AI$505,"&lt;="&amp;$A20,実績!$AJ$6:$AJ$505,"&gt;"&amp;$A20,実績!$AL$6:$AL$505,"○")&gt;0,1,0))</f>
        <v>0</v>
      </c>
      <c r="AP20" s="39" t="n">
        <f aca="false">IF(AP$4=0,0,IF(COUNTIFS(実績!$W$6:$W$505,AP$3,実績!$AI$6:$AI$505,"&lt;="&amp;$A20,実績!$AJ$6:$AJ$505,"&gt;"&amp;$A20,実績!$AL$6:$AL$505,"○")&gt;0,1,0))</f>
        <v>0</v>
      </c>
      <c r="AQ20" s="39" t="n">
        <f aca="false">IF(AQ$4=0,0,IF(COUNTIFS(実績!$W$6:$W$505,AQ$3,実績!$AI$6:$AI$505,"&lt;="&amp;$A20,実績!$AJ$6:$AJ$505,"&gt;"&amp;$A20,実績!$AL$6:$AL$505,"○")&gt;0,1,0))</f>
        <v>0</v>
      </c>
      <c r="AR20" s="39" t="n">
        <f aca="false">IF(AR$4=0,0,IF(COUNTIFS(実績!$W$6:$W$505,AR$3,実績!$AI$6:$AI$505,"&lt;="&amp;$A20,実績!$AJ$6:$AJ$505,"&gt;"&amp;$A20,実績!$AL$6:$AL$505,"○")&gt;0,1,0))</f>
        <v>0</v>
      </c>
      <c r="AS20" s="39" t="n">
        <f aca="false">IF(AS$4=0,0,IF(COUNTIFS(実績!$W$6:$W$505,AS$3,実績!$AI$6:$AI$505,"&lt;="&amp;$A20,実績!$AJ$6:$AJ$505,"&gt;"&amp;$A20,実績!$AL$6:$AL$505,"○")&gt;0,1,0))</f>
        <v>0</v>
      </c>
      <c r="AT20" s="39" t="n">
        <f aca="false">IF(AT$4=0,0,IF(COUNTIFS(実績!$W$6:$W$505,AT$3,実績!$AI$6:$AI$505,"&lt;="&amp;$A20,実績!$AJ$6:$AJ$505,"&gt;"&amp;$A20,実績!$AL$6:$AL$505,"○")&gt;0,1,0))</f>
        <v>0</v>
      </c>
      <c r="AU20" s="39" t="n">
        <f aca="false">IF(AU$4=0,0,IF(COUNTIFS(実績!$W$6:$W$505,AU$3,実績!$AI$6:$AI$505,"&lt;="&amp;$A20,実績!$AJ$6:$AJ$505,"&gt;"&amp;$A20,実績!$AL$6:$AL$505,"○")&gt;0,1,0))</f>
        <v>0</v>
      </c>
      <c r="AV20" s="39" t="n">
        <f aca="false">IF(AV$4=0,0,IF(COUNTIFS(実績!$W$6:$W$505,AV$3,実績!$AI$6:$AI$505,"&lt;="&amp;$A20,実績!$AJ$6:$AJ$505,"&gt;"&amp;$A20,実績!$AL$6:$AL$505,"○")&gt;0,1,0))</f>
        <v>0</v>
      </c>
      <c r="AW20" s="39" t="n">
        <f aca="false">IF(AW$4=0,0,IF(COUNTIFS(実績!$W$6:$W$505,AW$3,実績!$AI$6:$AI$505,"&lt;="&amp;$A20,実績!$AJ$6:$AJ$505,"&gt;"&amp;$A20,実績!$AL$6:$AL$505,"○")&gt;0,1,0))</f>
        <v>0</v>
      </c>
      <c r="AX20" s="39" t="n">
        <f aca="false">IF(AX$4=0,0,IF(COUNTIFS(実績!$W$6:$W$505,AX$3,実績!$AI$6:$AI$505,"&lt;="&amp;$A20,実績!$AJ$6:$AJ$505,"&gt;"&amp;$A20,実績!$AL$6:$AL$505,"○")&gt;0,1,0))</f>
        <v>0</v>
      </c>
      <c r="AY20" s="39" t="n">
        <f aca="false">IF(AY$4=0,0,IF(COUNTIFS(実績!$W$6:$W$505,AY$3,実績!$AI$6:$AI$505,"&lt;="&amp;$A20,実績!$AJ$6:$AJ$505,"&gt;"&amp;$A20,実績!$AL$6:$AL$505,"○")&gt;0,1,0))</f>
        <v>0</v>
      </c>
      <c r="AZ20" s="39" t="n">
        <f aca="false">IF(AZ$4=0,0,IF(COUNTIFS(実績!$W$6:$W$505,AZ$3,実績!$AI$6:$AI$505,"&lt;="&amp;$A20,実績!$AJ$6:$AJ$505,"&gt;"&amp;$A20,実績!$AL$6:$AL$505,"○")&gt;0,1,0))</f>
        <v>0</v>
      </c>
      <c r="BA20" s="39" t="n">
        <f aca="false">IF(BA$4=0,0,IF(COUNTIFS(実績!$W$6:$W$505,BA$3,実績!$AI$6:$AI$505,"&lt;="&amp;$A20,実績!$AJ$6:$AJ$505,"&gt;"&amp;$A20,実績!$AL$6:$AL$505,"○")&gt;0,1,0))</f>
        <v>0</v>
      </c>
      <c r="BB20" s="39" t="n">
        <f aca="false">IF(BB$4=0,0,IF(COUNTIFS(実績!$W$6:$W$505,BB$3,実績!$AI$6:$AI$505,"&lt;="&amp;$A20,実績!$AJ$6:$AJ$505,"&gt;"&amp;$A20,実績!$AL$6:$AL$505,"○")&gt;0,1,0))</f>
        <v>0</v>
      </c>
      <c r="BC20" s="39" t="n">
        <f aca="false">IF(BC$4=0,0,IF(COUNTIFS(実績!$W$6:$W$505,BC$3,実績!$AI$6:$AI$505,"&lt;="&amp;$A20,実績!$AJ$6:$AJ$505,"&gt;"&amp;$A20,実績!$AL$6:$AL$505,"○")&gt;0,1,0))</f>
        <v>0</v>
      </c>
      <c r="BD20" s="39" t="n">
        <f aca="false">IF(BD$4=0,0,IF(COUNTIFS(実績!$W$6:$W$505,BD$3,実績!$AI$6:$AI$505,"&lt;="&amp;$A20,実績!$AJ$6:$AJ$505,"&gt;"&amp;$A20,実績!$AL$6:$AL$505,"○")&gt;0,1,0))</f>
        <v>0</v>
      </c>
      <c r="BE20" s="39" t="n">
        <f aca="false">IF(BE$4=0,0,IF(COUNTIFS(実績!$W$6:$W$505,BE$3,実績!$AI$6:$AI$505,"&lt;="&amp;$A20,実績!$AJ$6:$AJ$505,"&gt;"&amp;$A20,実績!$AL$6:$AL$505,"○")&gt;0,1,0))</f>
        <v>0</v>
      </c>
      <c r="BF20" s="39" t="n">
        <f aca="false">IF(BF$4=0,0,IF(COUNTIFS(実績!$W$6:$W$505,BF$3,実績!$AI$6:$AI$505,"&lt;="&amp;$A20,実績!$AJ$6:$AJ$505,"&gt;"&amp;$A20,実績!$AL$6:$AL$505,"○")&gt;0,1,0))</f>
        <v>0</v>
      </c>
      <c r="BG20" s="39" t="n">
        <f aca="false">IF(BG$4=0,0,IF(COUNTIFS(実績!$W$6:$W$505,BG$3,実績!$AI$6:$AI$505,"&lt;="&amp;$A20,実績!$AJ$6:$AJ$505,"&gt;"&amp;$A20,実績!$AL$6:$AL$505,"○")&gt;0,1,0))</f>
        <v>0</v>
      </c>
      <c r="BH20" s="39" t="n">
        <f aca="false">IF(BH$4=0,0,IF(COUNTIFS(実績!$W$6:$W$505,BH$3,実績!$AI$6:$AI$505,"&lt;="&amp;$A20,実績!$AJ$6:$AJ$505,"&gt;"&amp;$A20,実績!$AL$6:$AL$505,"○")&gt;0,1,0))</f>
        <v>0</v>
      </c>
      <c r="BI20" s="39" t="n">
        <f aca="false">IF(BI$4=0,0,IF(COUNTIFS(実績!$W$6:$W$505,BI$3,実績!$AI$6:$AI$505,"&lt;="&amp;$A20,実績!$AJ$6:$AJ$505,"&gt;"&amp;$A20,実績!$AL$6:$AL$505,"○")&gt;0,1,0))</f>
        <v>0</v>
      </c>
      <c r="BJ20" s="39" t="n">
        <f aca="false">IF(BJ$4=0,0,IF(COUNTIFS(実績!$W$6:$W$505,BJ$3,実績!$AI$6:$AI$505,"&lt;="&amp;$A20,実績!$AJ$6:$AJ$505,"&gt;"&amp;$A20,実績!$AL$6:$AL$505,"○")&gt;0,1,0))</f>
        <v>0</v>
      </c>
      <c r="BK20" s="39" t="n">
        <f aca="false">IF(BK$4=0,0,IF(COUNTIFS(実績!$W$6:$W$505,BK$3,実績!$AI$6:$AI$505,"&lt;="&amp;$A20,実績!$AJ$6:$AJ$505,"&gt;"&amp;$A20,実績!$AL$6:$AL$505,"○")&gt;0,1,0))</f>
        <v>0</v>
      </c>
      <c r="BL20" s="39" t="n">
        <f aca="false">IF(BL$4=0,0,IF(COUNTIFS(実績!$W$6:$W$505,BL$3,実績!$AI$6:$AI$505,"&lt;="&amp;$A20,実績!$AJ$6:$AJ$505,"&gt;"&amp;$A20,実績!$AL$6:$AL$505,"○")&gt;0,1,0))</f>
        <v>0</v>
      </c>
      <c r="BM20" s="39" t="n">
        <f aca="false">IF(BM$4=0,0,IF(COUNTIFS(実績!$W$6:$W$505,BM$3,実績!$AI$6:$AI$505,"&lt;="&amp;$A20,実績!$AJ$6:$AJ$505,"&gt;"&amp;$A20,実績!$AL$6:$AL$505,"○")&gt;0,1,0))</f>
        <v>0</v>
      </c>
      <c r="BN20" s="39" t="n">
        <f aca="false">IF(BN$4=0,0,IF(COUNTIFS(実績!$W$6:$W$505,BN$3,実績!$AI$6:$AI$505,"&lt;="&amp;$A20,実績!$AJ$6:$AJ$505,"&gt;"&amp;$A20,実績!$AL$6:$AL$505,"○")&gt;0,1,0))</f>
        <v>0</v>
      </c>
      <c r="BO20" s="39" t="n">
        <f aca="false">IF(BO$4=0,0,IF(COUNTIFS(実績!$W$6:$W$505,BO$3,実績!$AI$6:$AI$505,"&lt;="&amp;$A20,実績!$AJ$6:$AJ$505,"&gt;"&amp;$A20,実績!$AL$6:$AL$505,"○")&gt;0,1,0))</f>
        <v>0</v>
      </c>
      <c r="BP20" s="39" t="n">
        <f aca="false">IF(BP$4=0,0,IF(COUNTIFS(実績!$W$6:$W$505,BP$3,実績!$AI$6:$AI$505,"&lt;="&amp;$A20,実績!$AJ$6:$AJ$505,"&gt;"&amp;$A20,実績!$AL$6:$AL$505,"○")&gt;0,1,0))</f>
        <v>0</v>
      </c>
      <c r="BQ20" s="39" t="n">
        <f aca="false">IF(BQ$4=0,0,IF(COUNTIFS(実績!$W$6:$W$505,BQ$3,実績!$AI$6:$AI$505,"&lt;="&amp;$A20,実績!$AJ$6:$AJ$505,"&gt;"&amp;$A20,実績!$AL$6:$AL$505,"○")&gt;0,1,0))</f>
        <v>0</v>
      </c>
      <c r="BR20" s="39" t="n">
        <f aca="false">IF(BR$4=0,0,IF(COUNTIFS(実績!$W$6:$W$505,BR$3,実績!$AI$6:$AI$505,"&lt;="&amp;$A20,実績!$AJ$6:$AJ$505,"&gt;"&amp;$A20,実績!$AL$6:$AL$505,"○")&gt;0,1,0))</f>
        <v>0</v>
      </c>
      <c r="BS20" s="39" t="n">
        <f aca="false">IF(BS$4=0,0,IF(COUNTIFS(実績!$W$6:$W$505,BS$3,実績!$AI$6:$AI$505,"&lt;="&amp;$A20,実績!$AJ$6:$AJ$505,"&gt;"&amp;$A20,実績!$AL$6:$AL$505,"○")&gt;0,1,0))</f>
        <v>0</v>
      </c>
      <c r="BT20" s="39" t="n">
        <f aca="false">IF(BT$4=0,0,IF(COUNTIFS(実績!$W$6:$W$505,BT$3,実績!$AI$6:$AI$505,"&lt;="&amp;$A20,実績!$AJ$6:$AJ$505,"&gt;"&amp;$A20,実績!$AL$6:$AL$505,"○")&gt;0,1,0))</f>
        <v>0</v>
      </c>
      <c r="BU20" s="39" t="n">
        <f aca="false">IF(BU$4=0,0,IF(COUNTIFS(実績!$W$6:$W$505,BU$3,実績!$AI$6:$AI$505,"&lt;="&amp;$A20,実績!$AJ$6:$AJ$505,"&gt;"&amp;$A20,実績!$AL$6:$AL$505,"○")&gt;0,1,0))</f>
        <v>0</v>
      </c>
      <c r="BV20" s="39" t="n">
        <f aca="false">IF(BV$4=0,0,IF(COUNTIFS(実績!$W$6:$W$505,BV$3,実績!$AI$6:$AI$505,"&lt;="&amp;$A20,実績!$AJ$6:$AJ$505,"&gt;"&amp;$A20,実績!$AL$6:$AL$505,"○")&gt;0,1,0))</f>
        <v>0</v>
      </c>
      <c r="BW20" s="39" t="n">
        <f aca="false">IF(BW$4=0,0,IF(COUNTIFS(実績!$W$6:$W$505,BW$3,実績!$AI$6:$AI$505,"&lt;="&amp;$A20,実績!$AJ$6:$AJ$505,"&gt;"&amp;$A20,実績!$AL$6:$AL$505,"○")&gt;0,1,0))</f>
        <v>0</v>
      </c>
      <c r="BX20" s="39" t="n">
        <f aca="false">IF(BX$4=0,0,IF(COUNTIFS(実績!$W$6:$W$505,BX$3,実績!$AI$6:$AI$505,"&lt;="&amp;$A20,実績!$AJ$6:$AJ$505,"&gt;"&amp;$A20,実績!$AL$6:$AL$505,"○")&gt;0,1,0))</f>
        <v>0</v>
      </c>
      <c r="BY20" s="39" t="n">
        <f aca="false">IF(BY$4=0,0,IF(COUNTIFS(実績!$W$6:$W$505,BY$3,実績!$AI$6:$AI$505,"&lt;="&amp;$A20,実績!$AJ$6:$AJ$505,"&gt;"&amp;$A20,実績!$AL$6:$AL$505,"○")&gt;0,1,0))</f>
        <v>0</v>
      </c>
      <c r="BZ20" s="39" t="n">
        <f aca="false">IF(BZ$4=0,0,IF(COUNTIFS(実績!$W$6:$W$505,BZ$3,実績!$AI$6:$AI$505,"&lt;="&amp;$A20,実績!$AJ$6:$AJ$505,"&gt;"&amp;$A20,実績!$AL$6:$AL$505,"○")&gt;0,1,0))</f>
        <v>0</v>
      </c>
      <c r="CA20" s="39" t="n">
        <f aca="false">IF(CA$4=0,0,IF(COUNTIFS(実績!$W$6:$W$505,CA$3,実績!$AI$6:$AI$505,"&lt;="&amp;$A20,実績!$AJ$6:$AJ$505,"&gt;"&amp;$A20,実績!$AL$6:$AL$505,"○")&gt;0,1,0))</f>
        <v>0</v>
      </c>
      <c r="CB20" s="39" t="n">
        <f aca="false">IF(CB$4=0,0,IF(COUNTIFS(実績!$W$6:$W$505,CB$3,実績!$AI$6:$AI$505,"&lt;="&amp;$A20,実績!$AJ$6:$AJ$505,"&gt;"&amp;$A20,実績!$AL$6:$AL$505,"○")&gt;0,1,0))</f>
        <v>0</v>
      </c>
      <c r="CC20" s="39" t="n">
        <f aca="false">IF(CC$4=0,0,IF(COUNTIFS(実績!$W$6:$W$505,CC$3,実績!$AI$6:$AI$505,"&lt;="&amp;$A20,実績!$AJ$6:$AJ$505,"&gt;"&amp;$A20,実績!$AL$6:$AL$505,"○")&gt;0,1,0))</f>
        <v>0</v>
      </c>
      <c r="CD20" s="39" t="n">
        <f aca="false">IF(CD$4=0,0,IF(COUNTIFS(実績!$W$6:$W$505,CD$3,実績!$AI$6:$AI$505,"&lt;="&amp;$A20,実績!$AJ$6:$AJ$505,"&gt;"&amp;$A20,実績!$AL$6:$AL$505,"○")&gt;0,1,0))</f>
        <v>0</v>
      </c>
      <c r="CE20" s="39" t="n">
        <f aca="false">IF(CE$4=0,0,IF(COUNTIFS(実績!$W$6:$W$505,CE$3,実績!$AI$6:$AI$505,"&lt;="&amp;$A20,実績!$AJ$6:$AJ$505,"&gt;"&amp;$A20,実績!$AL$6:$AL$505,"○")&gt;0,1,0))</f>
        <v>0</v>
      </c>
      <c r="CF20" s="39" t="n">
        <f aca="false">IF(CF$4=0,0,IF(COUNTIFS(実績!$W$6:$W$505,CF$3,実績!$AI$6:$AI$505,"&lt;="&amp;$A20,実績!$AJ$6:$AJ$505,"&gt;"&amp;$A20,実績!$AL$6:$AL$505,"○")&gt;0,1,0))</f>
        <v>0</v>
      </c>
      <c r="CG20" s="39" t="n">
        <f aca="false">IF(CG$4=0,0,IF(COUNTIFS(実績!$W$6:$W$505,CG$3,実績!$AI$6:$AI$505,"&lt;="&amp;$A20,実績!$AJ$6:$AJ$505,"&gt;"&amp;$A20,実績!$AL$6:$AL$505,"○")&gt;0,1,0))</f>
        <v>0</v>
      </c>
      <c r="CH20" s="39" t="n">
        <f aca="false">IF(CH$4=0,0,IF(COUNTIFS(実績!$W$6:$W$505,CH$3,実績!$AI$6:$AI$505,"&lt;="&amp;$A20,実績!$AJ$6:$AJ$505,"&gt;"&amp;$A20,実績!$AL$6:$AL$505,"○")&gt;0,1,0))</f>
        <v>0</v>
      </c>
      <c r="CI20" s="39" t="n">
        <f aca="false">IF(CI$4=0,0,IF(COUNTIFS(実績!$W$6:$W$505,CI$3,実績!$AI$6:$AI$505,"&lt;="&amp;$A20,実績!$AJ$6:$AJ$505,"&gt;"&amp;$A20,実績!$AL$6:$AL$505,"○")&gt;0,1,0))</f>
        <v>0</v>
      </c>
      <c r="CJ20" s="39" t="n">
        <f aca="false">IF(CJ$4=0,0,IF(COUNTIFS(実績!$W$6:$W$505,CJ$3,実績!$AI$6:$AI$505,"&lt;="&amp;$A20,実績!$AJ$6:$AJ$505,"&gt;"&amp;$A20,実績!$AL$6:$AL$505,"○")&gt;0,1,0))</f>
        <v>0</v>
      </c>
      <c r="CK20" s="39" t="n">
        <f aca="false">IF(CK$4=0,0,IF(COUNTIFS(実績!$W$6:$W$505,CK$3,実績!$AI$6:$AI$505,"&lt;="&amp;$A20,実績!$AJ$6:$AJ$505,"&gt;"&amp;$A20,実績!$AL$6:$AL$505,"○")&gt;0,1,0))</f>
        <v>0</v>
      </c>
      <c r="CL20" s="39" t="n">
        <f aca="false">IF(CL$4=0,0,IF(COUNTIFS(実績!$W$6:$W$505,CL$3,実績!$AI$6:$AI$505,"&lt;="&amp;$A20,実績!$AJ$6:$AJ$505,"&gt;"&amp;$A20,実績!$AL$6:$AL$505,"○")&gt;0,1,0))</f>
        <v>0</v>
      </c>
      <c r="CM20" s="39" t="n">
        <f aca="false">IF(CM$4=0,0,IF(COUNTIFS(実績!$W$6:$W$505,CM$3,実績!$AI$6:$AI$505,"&lt;="&amp;$A20,実績!$AJ$6:$AJ$505,"&gt;"&amp;$A20,実績!$AL$6:$AL$505,"○")&gt;0,1,0))</f>
        <v>0</v>
      </c>
      <c r="CN20" s="39" t="n">
        <f aca="false">IF(CN$4=0,0,IF(COUNTIFS(実績!$W$6:$W$505,CN$3,実績!$AI$6:$AI$505,"&lt;="&amp;$A20,実績!$AJ$6:$AJ$505,"&gt;"&amp;$A20,実績!$AL$6:$AL$505,"○")&gt;0,1,0))</f>
        <v>0</v>
      </c>
      <c r="CO20" s="39" t="n">
        <f aca="false">IF(CO$4=0,0,IF(COUNTIFS(実績!$W$6:$W$505,CO$3,実績!$AI$6:$AI$505,"&lt;="&amp;$A20,実績!$AJ$6:$AJ$505,"&gt;"&amp;$A20,実績!$AL$6:$AL$505,"○")&gt;0,1,0))</f>
        <v>0</v>
      </c>
      <c r="CP20" s="39" t="n">
        <f aca="false">IF(CP$4=0,0,IF(COUNTIFS(実績!$W$6:$W$505,CP$3,実績!$AI$6:$AI$505,"&lt;="&amp;$A20,実績!$AJ$6:$AJ$505,"&gt;"&amp;$A20,実績!$AL$6:$AL$505,"○")&gt;0,1,0))</f>
        <v>0</v>
      </c>
      <c r="CQ20" s="39" t="n">
        <f aca="false">IF(CQ$4=0,0,IF(COUNTIFS(実績!$W$6:$W$505,CQ$3,実績!$AI$6:$AI$505,"&lt;="&amp;$A20,実績!$AJ$6:$AJ$505,"&gt;"&amp;$A20,実績!$AL$6:$AL$505,"○")&gt;0,1,0))</f>
        <v>0</v>
      </c>
      <c r="CR20" s="39" t="n">
        <f aca="false">IF(CR$4=0,0,IF(COUNTIFS(実績!$W$6:$W$505,CR$3,実績!$AI$6:$AI$505,"&lt;="&amp;$A20,実績!$AJ$6:$AJ$505,"&gt;"&amp;$A20,実績!$AL$6:$AL$505,"○")&gt;0,1,0))</f>
        <v>0</v>
      </c>
      <c r="CS20" s="39" t="n">
        <f aca="false">IF(CS$4=0,0,IF(COUNTIFS(実績!$W$6:$W$505,CS$3,実績!$AI$6:$AI$505,"&lt;="&amp;$A20,実績!$AJ$6:$AJ$505,"&gt;"&amp;$A20,実績!$AL$6:$AL$505,"○")&gt;0,1,0))</f>
        <v>0</v>
      </c>
      <c r="CT20" s="39" t="n">
        <f aca="false">IF(CT$4=0,0,IF(COUNTIFS(実績!$W$6:$W$505,CT$3,実績!$AI$6:$AI$505,"&lt;="&amp;$A20,実績!$AJ$6:$AJ$505,"&gt;"&amp;$A20,実績!$AL$6:$AL$505,"○")&gt;0,1,0))</f>
        <v>0</v>
      </c>
      <c r="CU20" s="39" t="n">
        <f aca="false">IF(CU$4=0,0,IF(COUNTIFS(実績!$W$6:$W$505,CU$3,実績!$AI$6:$AI$505,"&lt;="&amp;$A20,実績!$AJ$6:$AJ$505,"&gt;"&amp;$A20,実績!$AL$6:$AL$505,"○")&gt;0,1,0))</f>
        <v>0</v>
      </c>
      <c r="CV20" s="39" t="n">
        <f aca="false">IF(CV$4=0,0,IF(COUNTIFS(実績!$W$6:$W$505,CV$3,実績!$AI$6:$AI$505,"&lt;="&amp;$A20,実績!$AJ$6:$AJ$505,"&gt;"&amp;$A20,実績!$AL$6:$AL$505,"○")&gt;0,1,0))</f>
        <v>0</v>
      </c>
      <c r="CW20" s="39" t="n">
        <f aca="false">IF(CW$4=0,0,IF(COUNTIFS(実績!$W$6:$W$505,CW$3,実績!$AI$6:$AI$505,"&lt;="&amp;$A20,実績!$AJ$6:$AJ$505,"&gt;"&amp;$A20,実績!$AL$6:$AL$505,"○")&gt;0,1,0))</f>
        <v>0</v>
      </c>
      <c r="CX20" s="39" t="n">
        <f aca="false">IF(CX$4=0,0,IF(COUNTIFS(実績!$W$6:$W$505,CX$3,実績!$AI$6:$AI$505,"&lt;="&amp;$A20,実績!$AJ$6:$AJ$505,"&gt;"&amp;$A20,実績!$AL$6:$AL$505,"○")&gt;0,1,0))</f>
        <v>0</v>
      </c>
      <c r="CY20" s="39" t="n">
        <f aca="false">IF(CY$4=0,0,IF(COUNTIFS(実績!$W$6:$W$505,CY$3,実績!$AI$6:$AI$505,"&lt;="&amp;$A20,実績!$AJ$6:$AJ$505,"&gt;"&amp;$A20,実績!$AL$6:$AL$505,"○")&gt;0,1,0))</f>
        <v>0</v>
      </c>
      <c r="CZ20" s="39" t="n">
        <f aca="false">IF(CZ$4=0,0,IF(COUNTIFS(実績!$W$6:$W$505,CZ$3,実績!$AI$6:$AI$505,"&lt;="&amp;$A20,実績!$AJ$6:$AJ$505,"&gt;"&amp;$A20,実績!$AL$6:$AL$505,"○")&gt;0,1,0))</f>
        <v>0</v>
      </c>
      <c r="DA20" s="39" t="n">
        <f aca="false">IF(DA$4=0,0,IF(COUNTIFS(実績!$W$6:$W$505,DA$3,実績!$AI$6:$AI$505,"&lt;="&amp;$A20,実績!$AJ$6:$AJ$505,"&gt;"&amp;$A20,実績!$AL$6:$AL$505,"○")&gt;0,1,0))</f>
        <v>0</v>
      </c>
      <c r="DB20" s="39" t="n">
        <f aca="false">IF(DB$4=0,0,IF(COUNTIFS(実績!$W$6:$W$505,DB$3,実績!$AI$6:$AI$505,"&lt;="&amp;$A20,実績!$AJ$6:$AJ$505,"&gt;"&amp;$A20,実績!$AL$6:$AL$505,"○")&gt;0,1,0))</f>
        <v>0</v>
      </c>
      <c r="DC20" s="39" t="n">
        <f aca="false">IF(DC$4=0,0,IF(COUNTIFS(実績!$W$6:$W$505,DC$3,実績!$AI$6:$AI$505,"&lt;="&amp;$A20,実績!$AJ$6:$AJ$505,"&gt;"&amp;$A20,実績!$AL$6:$AL$505,"○")&gt;0,1,0))</f>
        <v>0</v>
      </c>
      <c r="DD20" s="39" t="n">
        <f aca="false">IF(DD$4=0,0,IF(COUNTIFS(実績!$W$6:$W$505,DD$3,実績!$AI$6:$AI$505,"&lt;="&amp;$A20,実績!$AJ$6:$AJ$505,"&gt;"&amp;$A20,実績!$AL$6:$AL$505,"○")&gt;0,1,0))</f>
        <v>0</v>
      </c>
      <c r="DE20" s="39" t="n">
        <f aca="false">IF(DE$4=0,0,IF(COUNTIFS(実績!$W$6:$W$505,DE$3,実績!$AI$6:$AI$505,"&lt;="&amp;$A20,実績!$AJ$6:$AJ$505,"&gt;"&amp;$A20,実績!$AL$6:$AL$505,"○")&gt;0,1,0))</f>
        <v>0</v>
      </c>
      <c r="DF20" s="39" t="n">
        <f aca="false">IF(DF$4=0,0,IF(COUNTIFS(実績!$W$6:$W$505,DF$3,実績!$AI$6:$AI$505,"&lt;="&amp;$A20,実績!$AJ$6:$AJ$505,"&gt;"&amp;$A20,実績!$AL$6:$AL$505,"○")&gt;0,1,0))</f>
        <v>0</v>
      </c>
      <c r="DG20" s="39" t="n">
        <f aca="false">IF(DG$4=0,0,IF(COUNTIFS(実績!$W$6:$W$505,DG$3,実績!$AI$6:$AI$505,"&lt;="&amp;$A20,実績!$AJ$6:$AJ$505,"&gt;"&amp;$A20,実績!$AL$6:$AL$505,"○")&gt;0,1,0))</f>
        <v>0</v>
      </c>
      <c r="DH20" s="39" t="n">
        <f aca="false">IF(DH$4=0,0,IF(COUNTIFS(実績!$W$6:$W$505,DH$3,実績!$AI$6:$AI$505,"&lt;="&amp;$A20,実績!$AJ$6:$AJ$505,"&gt;"&amp;$A20,実績!$AL$6:$AL$505,"○")&gt;0,1,0))</f>
        <v>0</v>
      </c>
      <c r="DI20" s="39" t="n">
        <f aca="false">IF(DI$4=0,0,IF(COUNTIFS(実績!$W$6:$W$505,DI$3,実績!$AI$6:$AI$505,"&lt;="&amp;$A20,実績!$AJ$6:$AJ$505,"&gt;"&amp;$A20,実績!$AL$6:$AL$505,"○")&gt;0,1,0))</f>
        <v>0</v>
      </c>
      <c r="DJ20" s="39" t="n">
        <f aca="false">IF(DJ$4=0,0,IF(COUNTIFS(実績!$W$6:$W$505,DJ$3,実績!$AI$6:$AI$505,"&lt;="&amp;$A20,実績!$AJ$6:$AJ$505,"&gt;"&amp;$A20,実績!$AL$6:$AL$505,"○")&gt;0,1,0))</f>
        <v>0</v>
      </c>
      <c r="DK20" s="39" t="n">
        <f aca="false">IF(DK$4=0,0,IF(COUNTIFS(実績!$W$6:$W$505,DK$3,実績!$AI$6:$AI$505,"&lt;="&amp;$A20,実績!$AJ$6:$AJ$505,"&gt;"&amp;$A20,実績!$AL$6:$AL$505,"○")&gt;0,1,0))</f>
        <v>0</v>
      </c>
      <c r="DL20" s="39" t="n">
        <f aca="false">IF(DL$4=0,0,IF(COUNTIFS(実績!$W$6:$W$505,DL$3,実績!$AI$6:$AI$505,"&lt;="&amp;$A20,実績!$AJ$6:$AJ$505,"&gt;"&amp;$A20,実績!$AL$6:$AL$505,"○")&gt;0,1,0))</f>
        <v>0</v>
      </c>
      <c r="DM20" s="39" t="n">
        <f aca="false">IF(DM$4=0,0,IF(COUNTIFS(実績!$W$6:$W$505,DM$3,実績!$AI$6:$AI$505,"&lt;="&amp;$A20,実績!$AJ$6:$AJ$505,"&gt;"&amp;$A20,実績!$AL$6:$AL$505,"○")&gt;0,1,0))</f>
        <v>0</v>
      </c>
      <c r="DN20" s="39" t="n">
        <f aca="false">IF(DN$4=0,0,IF(COUNTIFS(実績!$W$6:$W$505,DN$3,実績!$AI$6:$AI$505,"&lt;="&amp;$A20,実績!$AJ$6:$AJ$505,"&gt;"&amp;$A20,実績!$AL$6:$AL$505,"○")&gt;0,1,0))</f>
        <v>0</v>
      </c>
      <c r="DO20" s="39" t="n">
        <f aca="false">IF(DO$4=0,0,IF(COUNTIFS(実績!$W$6:$W$505,DO$3,実績!$AI$6:$AI$505,"&lt;="&amp;$A20,実績!$AJ$6:$AJ$505,"&gt;"&amp;$A20,実績!$AL$6:$AL$505,"○")&gt;0,1,0))</f>
        <v>0</v>
      </c>
      <c r="DP20" s="39" t="n">
        <f aca="false">IF(DP$4=0,0,IF(COUNTIFS(実績!$W$6:$W$505,DP$3,実績!$AI$6:$AI$505,"&lt;="&amp;$A20,実績!$AJ$6:$AJ$505,"&gt;"&amp;$A20,実績!$AL$6:$AL$505,"○")&gt;0,1,0))</f>
        <v>0</v>
      </c>
      <c r="DQ20" s="39" t="n">
        <f aca="false">IF(DQ$4=0,0,IF(COUNTIFS(実績!$W$6:$W$505,DQ$3,実績!$AI$6:$AI$505,"&lt;="&amp;$A20,実績!$AJ$6:$AJ$505,"&gt;"&amp;$A20,実績!$AL$6:$AL$505,"○")&gt;0,1,0))</f>
        <v>0</v>
      </c>
      <c r="DR20" s="39" t="n">
        <f aca="false">IF(DR$4=0,0,IF(COUNTIFS(実績!$W$6:$W$505,DR$3,実績!$AI$6:$AI$505,"&lt;="&amp;$A20,実績!$AJ$6:$AJ$505,"&gt;"&amp;$A20,実績!$AL$6:$AL$505,"○")&gt;0,1,0))</f>
        <v>0</v>
      </c>
      <c r="DS20" s="39" t="n">
        <f aca="false">SUM(C20:DR20)</f>
        <v>0</v>
      </c>
    </row>
    <row r="21" customFormat="false" ht="15" hidden="false" customHeight="false" outlineLevel="0" collapsed="false">
      <c r="A21" s="0" t="n">
        <v>75</v>
      </c>
      <c r="B21" s="38" t="n">
        <f aca="false">A21/1440</f>
        <v>0.0520833333333333</v>
      </c>
      <c r="C21" s="39" t="n">
        <f aca="false">IF(C$4=0,0,IF(COUNTIFS(実績!$W$6:$W$505,C$3,実績!$AI$6:$AI$505,"&lt;="&amp;$A21,実績!$AJ$6:$AJ$505,"&gt;"&amp;$A21,実績!$AL$6:$AL$505,"○")&gt;0,1,0))</f>
        <v>0</v>
      </c>
      <c r="D21" s="39" t="n">
        <f aca="false">IF(D$4=0,0,IF(COUNTIFS(実績!$W$6:$W$505,D$3,実績!$AI$6:$AI$505,"&lt;="&amp;$A21,実績!$AJ$6:$AJ$505,"&gt;"&amp;$A21,実績!$AL$6:$AL$505,"○")&gt;0,1,0))</f>
        <v>0</v>
      </c>
      <c r="E21" s="39" t="n">
        <f aca="false">IF(E$4=0,0,IF(COUNTIFS(実績!$W$6:$W$505,E$3,実績!$AI$6:$AI$505,"&lt;="&amp;$A21,実績!$AJ$6:$AJ$505,"&gt;"&amp;$A21,実績!$AL$6:$AL$505,"○")&gt;0,1,0))</f>
        <v>0</v>
      </c>
      <c r="F21" s="39" t="n">
        <f aca="false">IF(F$4=0,0,IF(COUNTIFS(実績!$W$6:$W$505,F$3,実績!$AI$6:$AI$505,"&lt;="&amp;$A21,実績!$AJ$6:$AJ$505,"&gt;"&amp;$A21,実績!$AL$6:$AL$505,"○")&gt;0,1,0))</f>
        <v>0</v>
      </c>
      <c r="G21" s="39" t="n">
        <f aca="false">IF(G$4=0,0,IF(COUNTIFS(実績!$W$6:$W$505,G$3,実績!$AI$6:$AI$505,"&lt;="&amp;$A21,実績!$AJ$6:$AJ$505,"&gt;"&amp;$A21,実績!$AL$6:$AL$505,"○")&gt;0,1,0))</f>
        <v>0</v>
      </c>
      <c r="H21" s="39" t="n">
        <f aca="false">IF(H$4=0,0,IF(COUNTIFS(実績!$W$6:$W$505,H$3,実績!$AI$6:$AI$505,"&lt;="&amp;$A21,実績!$AJ$6:$AJ$505,"&gt;"&amp;$A21,実績!$AL$6:$AL$505,"○")&gt;0,1,0))</f>
        <v>0</v>
      </c>
      <c r="I21" s="39" t="n">
        <f aca="false">IF(I$4=0,0,IF(COUNTIFS(実績!$W$6:$W$505,I$3,実績!$AI$6:$AI$505,"&lt;="&amp;$A21,実績!$AJ$6:$AJ$505,"&gt;"&amp;$A21,実績!$AL$6:$AL$505,"○")&gt;0,1,0))</f>
        <v>0</v>
      </c>
      <c r="J21" s="39" t="n">
        <f aca="false">IF(J$4=0,0,IF(COUNTIFS(実績!$W$6:$W$505,J$3,実績!$AI$6:$AI$505,"&lt;="&amp;$A21,実績!$AJ$6:$AJ$505,"&gt;"&amp;$A21,実績!$AL$6:$AL$505,"○")&gt;0,1,0))</f>
        <v>0</v>
      </c>
      <c r="K21" s="39" t="n">
        <f aca="false">IF(K$4=0,0,IF(COUNTIFS(実績!$W$6:$W$505,K$3,実績!$AI$6:$AI$505,"&lt;="&amp;$A21,実績!$AJ$6:$AJ$505,"&gt;"&amp;$A21,実績!$AL$6:$AL$505,"○")&gt;0,1,0))</f>
        <v>0</v>
      </c>
      <c r="L21" s="39" t="n">
        <f aca="false">IF(L$4=0,0,IF(COUNTIFS(実績!$W$6:$W$505,L$3,実績!$AI$6:$AI$505,"&lt;="&amp;$A21,実績!$AJ$6:$AJ$505,"&gt;"&amp;$A21,実績!$AL$6:$AL$505,"○")&gt;0,1,0))</f>
        <v>0</v>
      </c>
      <c r="M21" s="39" t="n">
        <f aca="false">IF(M$4=0,0,IF(COUNTIFS(実績!$W$6:$W$505,M$3,実績!$AI$6:$AI$505,"&lt;="&amp;$A21,実績!$AJ$6:$AJ$505,"&gt;"&amp;$A21,実績!$AL$6:$AL$505,"○")&gt;0,1,0))</f>
        <v>0</v>
      </c>
      <c r="N21" s="39" t="n">
        <f aca="false">IF(N$4=0,0,IF(COUNTIFS(実績!$W$6:$W$505,N$3,実績!$AI$6:$AI$505,"&lt;="&amp;$A21,実績!$AJ$6:$AJ$505,"&gt;"&amp;$A21,実績!$AL$6:$AL$505,"○")&gt;0,1,0))</f>
        <v>0</v>
      </c>
      <c r="O21" s="39" t="n">
        <f aca="false">IF(O$4=0,0,IF(COUNTIFS(実績!$W$6:$W$505,O$3,実績!$AI$6:$AI$505,"&lt;="&amp;$A21,実績!$AJ$6:$AJ$505,"&gt;"&amp;$A21,実績!$AL$6:$AL$505,"○")&gt;0,1,0))</f>
        <v>0</v>
      </c>
      <c r="P21" s="39" t="n">
        <f aca="false">IF(P$4=0,0,IF(COUNTIFS(実績!$W$6:$W$505,P$3,実績!$AI$6:$AI$505,"&lt;="&amp;$A21,実績!$AJ$6:$AJ$505,"&gt;"&amp;$A21,実績!$AL$6:$AL$505,"○")&gt;0,1,0))</f>
        <v>0</v>
      </c>
      <c r="Q21" s="39" t="n">
        <f aca="false">IF(Q$4=0,0,IF(COUNTIFS(実績!$W$6:$W$505,Q$3,実績!$AI$6:$AI$505,"&lt;="&amp;$A21,実績!$AJ$6:$AJ$505,"&gt;"&amp;$A21,実績!$AL$6:$AL$505,"○")&gt;0,1,0))</f>
        <v>0</v>
      </c>
      <c r="R21" s="39" t="n">
        <f aca="false">IF(R$4=0,0,IF(COUNTIFS(実績!$W$6:$W$505,R$3,実績!$AI$6:$AI$505,"&lt;="&amp;$A21,実績!$AJ$6:$AJ$505,"&gt;"&amp;$A21,実績!$AL$6:$AL$505,"○")&gt;0,1,0))</f>
        <v>0</v>
      </c>
      <c r="S21" s="39" t="n">
        <f aca="false">IF(S$4=0,0,IF(COUNTIFS(実績!$W$6:$W$505,S$3,実績!$AI$6:$AI$505,"&lt;="&amp;$A21,実績!$AJ$6:$AJ$505,"&gt;"&amp;$A21,実績!$AL$6:$AL$505,"○")&gt;0,1,0))</f>
        <v>0</v>
      </c>
      <c r="T21" s="39" t="n">
        <f aca="false">IF(T$4=0,0,IF(COUNTIFS(実績!$W$6:$W$505,T$3,実績!$AI$6:$AI$505,"&lt;="&amp;$A21,実績!$AJ$6:$AJ$505,"&gt;"&amp;$A21,実績!$AL$6:$AL$505,"○")&gt;0,1,0))</f>
        <v>0</v>
      </c>
      <c r="U21" s="39" t="n">
        <f aca="false">IF(U$4=0,0,IF(COUNTIFS(実績!$W$6:$W$505,U$3,実績!$AI$6:$AI$505,"&lt;="&amp;$A21,実績!$AJ$6:$AJ$505,"&gt;"&amp;$A21,実績!$AL$6:$AL$505,"○")&gt;0,1,0))</f>
        <v>0</v>
      </c>
      <c r="V21" s="39" t="n">
        <f aca="false">IF(V$4=0,0,IF(COUNTIFS(実績!$W$6:$W$505,V$3,実績!$AI$6:$AI$505,"&lt;="&amp;$A21,実績!$AJ$6:$AJ$505,"&gt;"&amp;$A21,実績!$AL$6:$AL$505,"○")&gt;0,1,0))</f>
        <v>0</v>
      </c>
      <c r="W21" s="39" t="n">
        <f aca="false">IF(W$4=0,0,IF(COUNTIFS(実績!$W$6:$W$505,W$3,実績!$AI$6:$AI$505,"&lt;="&amp;$A21,実績!$AJ$6:$AJ$505,"&gt;"&amp;$A21,実績!$AL$6:$AL$505,"○")&gt;0,1,0))</f>
        <v>0</v>
      </c>
      <c r="X21" s="39" t="n">
        <f aca="false">IF(X$4=0,0,IF(COUNTIFS(実績!$W$6:$W$505,X$3,実績!$AI$6:$AI$505,"&lt;="&amp;$A21,実績!$AJ$6:$AJ$505,"&gt;"&amp;$A21,実績!$AL$6:$AL$505,"○")&gt;0,1,0))</f>
        <v>0</v>
      </c>
      <c r="Y21" s="39" t="n">
        <f aca="false">IF(Y$4=0,0,IF(COUNTIFS(実績!$W$6:$W$505,Y$3,実績!$AI$6:$AI$505,"&lt;="&amp;$A21,実績!$AJ$6:$AJ$505,"&gt;"&amp;$A21,実績!$AL$6:$AL$505,"○")&gt;0,1,0))</f>
        <v>0</v>
      </c>
      <c r="Z21" s="39" t="n">
        <f aca="false">IF(Z$4=0,0,IF(COUNTIFS(実績!$W$6:$W$505,Z$3,実績!$AI$6:$AI$505,"&lt;="&amp;$A21,実績!$AJ$6:$AJ$505,"&gt;"&amp;$A21,実績!$AL$6:$AL$505,"○")&gt;0,1,0))</f>
        <v>0</v>
      </c>
      <c r="AA21" s="39" t="n">
        <f aca="false">IF(AA$4=0,0,IF(COUNTIFS(実績!$W$6:$W$505,AA$3,実績!$AI$6:$AI$505,"&lt;="&amp;$A21,実績!$AJ$6:$AJ$505,"&gt;"&amp;$A21,実績!$AL$6:$AL$505,"○")&gt;0,1,0))</f>
        <v>0</v>
      </c>
      <c r="AB21" s="39" t="n">
        <f aca="false">IF(AB$4=0,0,IF(COUNTIFS(実績!$W$6:$W$505,AB$3,実績!$AI$6:$AI$505,"&lt;="&amp;$A21,実績!$AJ$6:$AJ$505,"&gt;"&amp;$A21,実績!$AL$6:$AL$505,"○")&gt;0,1,0))</f>
        <v>0</v>
      </c>
      <c r="AC21" s="39" t="n">
        <f aca="false">IF(AC$4=0,0,IF(COUNTIFS(実績!$W$6:$W$505,AC$3,実績!$AI$6:$AI$505,"&lt;="&amp;$A21,実績!$AJ$6:$AJ$505,"&gt;"&amp;$A21,実績!$AL$6:$AL$505,"○")&gt;0,1,0))</f>
        <v>0</v>
      </c>
      <c r="AD21" s="39" t="n">
        <f aca="false">IF(AD$4=0,0,IF(COUNTIFS(実績!$W$6:$W$505,AD$3,実績!$AI$6:$AI$505,"&lt;="&amp;$A21,実績!$AJ$6:$AJ$505,"&gt;"&amp;$A21,実績!$AL$6:$AL$505,"○")&gt;0,1,0))</f>
        <v>0</v>
      </c>
      <c r="AE21" s="39" t="n">
        <f aca="false">IF(AE$4=0,0,IF(COUNTIFS(実績!$W$6:$W$505,AE$3,実績!$AI$6:$AI$505,"&lt;="&amp;$A21,実績!$AJ$6:$AJ$505,"&gt;"&amp;$A21,実績!$AL$6:$AL$505,"○")&gt;0,1,0))</f>
        <v>0</v>
      </c>
      <c r="AF21" s="39" t="n">
        <f aca="false">IF(AF$4=0,0,IF(COUNTIFS(実績!$W$6:$W$505,AF$3,実績!$AI$6:$AI$505,"&lt;="&amp;$A21,実績!$AJ$6:$AJ$505,"&gt;"&amp;$A21,実績!$AL$6:$AL$505,"○")&gt;0,1,0))</f>
        <v>0</v>
      </c>
      <c r="AG21" s="39" t="n">
        <f aca="false">IF(AG$4=0,0,IF(COUNTIFS(実績!$W$6:$W$505,AG$3,実績!$AI$6:$AI$505,"&lt;="&amp;$A21,実績!$AJ$6:$AJ$505,"&gt;"&amp;$A21,実績!$AL$6:$AL$505,"○")&gt;0,1,0))</f>
        <v>0</v>
      </c>
      <c r="AH21" s="39" t="n">
        <f aca="false">IF(AH$4=0,0,IF(COUNTIFS(実績!$W$6:$W$505,AH$3,実績!$AI$6:$AI$505,"&lt;="&amp;$A21,実績!$AJ$6:$AJ$505,"&gt;"&amp;$A21,実績!$AL$6:$AL$505,"○")&gt;0,1,0))</f>
        <v>0</v>
      </c>
      <c r="AI21" s="39" t="n">
        <f aca="false">IF(AI$4=0,0,IF(COUNTIFS(実績!$W$6:$W$505,AI$3,実績!$AI$6:$AI$505,"&lt;="&amp;$A21,実績!$AJ$6:$AJ$505,"&gt;"&amp;$A21,実績!$AL$6:$AL$505,"○")&gt;0,1,0))</f>
        <v>0</v>
      </c>
      <c r="AJ21" s="39" t="n">
        <f aca="false">IF(AJ$4=0,0,IF(COUNTIFS(実績!$W$6:$W$505,AJ$3,実績!$AI$6:$AI$505,"&lt;="&amp;$A21,実績!$AJ$6:$AJ$505,"&gt;"&amp;$A21,実績!$AL$6:$AL$505,"○")&gt;0,1,0))</f>
        <v>0</v>
      </c>
      <c r="AK21" s="39" t="n">
        <f aca="false">IF(AK$4=0,0,IF(COUNTIFS(実績!$W$6:$W$505,AK$3,実績!$AI$6:$AI$505,"&lt;="&amp;$A21,実績!$AJ$6:$AJ$505,"&gt;"&amp;$A21,実績!$AL$6:$AL$505,"○")&gt;0,1,0))</f>
        <v>0</v>
      </c>
      <c r="AL21" s="39" t="n">
        <f aca="false">IF(AL$4=0,0,IF(COUNTIFS(実績!$W$6:$W$505,AL$3,実績!$AI$6:$AI$505,"&lt;="&amp;$A21,実績!$AJ$6:$AJ$505,"&gt;"&amp;$A21,実績!$AL$6:$AL$505,"○")&gt;0,1,0))</f>
        <v>0</v>
      </c>
      <c r="AM21" s="39" t="n">
        <f aca="false">IF(AM$4=0,0,IF(COUNTIFS(実績!$W$6:$W$505,AM$3,実績!$AI$6:$AI$505,"&lt;="&amp;$A21,実績!$AJ$6:$AJ$505,"&gt;"&amp;$A21,実績!$AL$6:$AL$505,"○")&gt;0,1,0))</f>
        <v>0</v>
      </c>
      <c r="AN21" s="39" t="n">
        <f aca="false">IF(AN$4=0,0,IF(COUNTIFS(実績!$W$6:$W$505,AN$3,実績!$AI$6:$AI$505,"&lt;="&amp;$A21,実績!$AJ$6:$AJ$505,"&gt;"&amp;$A21,実績!$AL$6:$AL$505,"○")&gt;0,1,0))</f>
        <v>0</v>
      </c>
      <c r="AO21" s="39" t="n">
        <f aca="false">IF(AO$4=0,0,IF(COUNTIFS(実績!$W$6:$W$505,AO$3,実績!$AI$6:$AI$505,"&lt;="&amp;$A21,実績!$AJ$6:$AJ$505,"&gt;"&amp;$A21,実績!$AL$6:$AL$505,"○")&gt;0,1,0))</f>
        <v>0</v>
      </c>
      <c r="AP21" s="39" t="n">
        <f aca="false">IF(AP$4=0,0,IF(COUNTIFS(実績!$W$6:$W$505,AP$3,実績!$AI$6:$AI$505,"&lt;="&amp;$A21,実績!$AJ$6:$AJ$505,"&gt;"&amp;$A21,実績!$AL$6:$AL$505,"○")&gt;0,1,0))</f>
        <v>0</v>
      </c>
      <c r="AQ21" s="39" t="n">
        <f aca="false">IF(AQ$4=0,0,IF(COUNTIFS(実績!$W$6:$W$505,AQ$3,実績!$AI$6:$AI$505,"&lt;="&amp;$A21,実績!$AJ$6:$AJ$505,"&gt;"&amp;$A21,実績!$AL$6:$AL$505,"○")&gt;0,1,0))</f>
        <v>0</v>
      </c>
      <c r="AR21" s="39" t="n">
        <f aca="false">IF(AR$4=0,0,IF(COUNTIFS(実績!$W$6:$W$505,AR$3,実績!$AI$6:$AI$505,"&lt;="&amp;$A21,実績!$AJ$6:$AJ$505,"&gt;"&amp;$A21,実績!$AL$6:$AL$505,"○")&gt;0,1,0))</f>
        <v>0</v>
      </c>
      <c r="AS21" s="39" t="n">
        <f aca="false">IF(AS$4=0,0,IF(COUNTIFS(実績!$W$6:$W$505,AS$3,実績!$AI$6:$AI$505,"&lt;="&amp;$A21,実績!$AJ$6:$AJ$505,"&gt;"&amp;$A21,実績!$AL$6:$AL$505,"○")&gt;0,1,0))</f>
        <v>0</v>
      </c>
      <c r="AT21" s="39" t="n">
        <f aca="false">IF(AT$4=0,0,IF(COUNTIFS(実績!$W$6:$W$505,AT$3,実績!$AI$6:$AI$505,"&lt;="&amp;$A21,実績!$AJ$6:$AJ$505,"&gt;"&amp;$A21,実績!$AL$6:$AL$505,"○")&gt;0,1,0))</f>
        <v>0</v>
      </c>
      <c r="AU21" s="39" t="n">
        <f aca="false">IF(AU$4=0,0,IF(COUNTIFS(実績!$W$6:$W$505,AU$3,実績!$AI$6:$AI$505,"&lt;="&amp;$A21,実績!$AJ$6:$AJ$505,"&gt;"&amp;$A21,実績!$AL$6:$AL$505,"○")&gt;0,1,0))</f>
        <v>0</v>
      </c>
      <c r="AV21" s="39" t="n">
        <f aca="false">IF(AV$4=0,0,IF(COUNTIFS(実績!$W$6:$W$505,AV$3,実績!$AI$6:$AI$505,"&lt;="&amp;$A21,実績!$AJ$6:$AJ$505,"&gt;"&amp;$A21,実績!$AL$6:$AL$505,"○")&gt;0,1,0))</f>
        <v>0</v>
      </c>
      <c r="AW21" s="39" t="n">
        <f aca="false">IF(AW$4=0,0,IF(COUNTIFS(実績!$W$6:$W$505,AW$3,実績!$AI$6:$AI$505,"&lt;="&amp;$A21,実績!$AJ$6:$AJ$505,"&gt;"&amp;$A21,実績!$AL$6:$AL$505,"○")&gt;0,1,0))</f>
        <v>0</v>
      </c>
      <c r="AX21" s="39" t="n">
        <f aca="false">IF(AX$4=0,0,IF(COUNTIFS(実績!$W$6:$W$505,AX$3,実績!$AI$6:$AI$505,"&lt;="&amp;$A21,実績!$AJ$6:$AJ$505,"&gt;"&amp;$A21,実績!$AL$6:$AL$505,"○")&gt;0,1,0))</f>
        <v>0</v>
      </c>
      <c r="AY21" s="39" t="n">
        <f aca="false">IF(AY$4=0,0,IF(COUNTIFS(実績!$W$6:$W$505,AY$3,実績!$AI$6:$AI$505,"&lt;="&amp;$A21,実績!$AJ$6:$AJ$505,"&gt;"&amp;$A21,実績!$AL$6:$AL$505,"○")&gt;0,1,0))</f>
        <v>0</v>
      </c>
      <c r="AZ21" s="39" t="n">
        <f aca="false">IF(AZ$4=0,0,IF(COUNTIFS(実績!$W$6:$W$505,AZ$3,実績!$AI$6:$AI$505,"&lt;="&amp;$A21,実績!$AJ$6:$AJ$505,"&gt;"&amp;$A21,実績!$AL$6:$AL$505,"○")&gt;0,1,0))</f>
        <v>0</v>
      </c>
      <c r="BA21" s="39" t="n">
        <f aca="false">IF(BA$4=0,0,IF(COUNTIFS(実績!$W$6:$W$505,BA$3,実績!$AI$6:$AI$505,"&lt;="&amp;$A21,実績!$AJ$6:$AJ$505,"&gt;"&amp;$A21,実績!$AL$6:$AL$505,"○")&gt;0,1,0))</f>
        <v>0</v>
      </c>
      <c r="BB21" s="39" t="n">
        <f aca="false">IF(BB$4=0,0,IF(COUNTIFS(実績!$W$6:$W$505,BB$3,実績!$AI$6:$AI$505,"&lt;="&amp;$A21,実績!$AJ$6:$AJ$505,"&gt;"&amp;$A21,実績!$AL$6:$AL$505,"○")&gt;0,1,0))</f>
        <v>0</v>
      </c>
      <c r="BC21" s="39" t="n">
        <f aca="false">IF(BC$4=0,0,IF(COUNTIFS(実績!$W$6:$W$505,BC$3,実績!$AI$6:$AI$505,"&lt;="&amp;$A21,実績!$AJ$6:$AJ$505,"&gt;"&amp;$A21,実績!$AL$6:$AL$505,"○")&gt;0,1,0))</f>
        <v>0</v>
      </c>
      <c r="BD21" s="39" t="n">
        <f aca="false">IF(BD$4=0,0,IF(COUNTIFS(実績!$W$6:$W$505,BD$3,実績!$AI$6:$AI$505,"&lt;="&amp;$A21,実績!$AJ$6:$AJ$505,"&gt;"&amp;$A21,実績!$AL$6:$AL$505,"○")&gt;0,1,0))</f>
        <v>0</v>
      </c>
      <c r="BE21" s="39" t="n">
        <f aca="false">IF(BE$4=0,0,IF(COUNTIFS(実績!$W$6:$W$505,BE$3,実績!$AI$6:$AI$505,"&lt;="&amp;$A21,実績!$AJ$6:$AJ$505,"&gt;"&amp;$A21,実績!$AL$6:$AL$505,"○")&gt;0,1,0))</f>
        <v>0</v>
      </c>
      <c r="BF21" s="39" t="n">
        <f aca="false">IF(BF$4=0,0,IF(COUNTIFS(実績!$W$6:$W$505,BF$3,実績!$AI$6:$AI$505,"&lt;="&amp;$A21,実績!$AJ$6:$AJ$505,"&gt;"&amp;$A21,実績!$AL$6:$AL$505,"○")&gt;0,1,0))</f>
        <v>0</v>
      </c>
      <c r="BG21" s="39" t="n">
        <f aca="false">IF(BG$4=0,0,IF(COUNTIFS(実績!$W$6:$W$505,BG$3,実績!$AI$6:$AI$505,"&lt;="&amp;$A21,実績!$AJ$6:$AJ$505,"&gt;"&amp;$A21,実績!$AL$6:$AL$505,"○")&gt;0,1,0))</f>
        <v>0</v>
      </c>
      <c r="BH21" s="39" t="n">
        <f aca="false">IF(BH$4=0,0,IF(COUNTIFS(実績!$W$6:$W$505,BH$3,実績!$AI$6:$AI$505,"&lt;="&amp;$A21,実績!$AJ$6:$AJ$505,"&gt;"&amp;$A21,実績!$AL$6:$AL$505,"○")&gt;0,1,0))</f>
        <v>0</v>
      </c>
      <c r="BI21" s="39" t="n">
        <f aca="false">IF(BI$4=0,0,IF(COUNTIFS(実績!$W$6:$W$505,BI$3,実績!$AI$6:$AI$505,"&lt;="&amp;$A21,実績!$AJ$6:$AJ$505,"&gt;"&amp;$A21,実績!$AL$6:$AL$505,"○")&gt;0,1,0))</f>
        <v>0</v>
      </c>
      <c r="BJ21" s="39" t="n">
        <f aca="false">IF(BJ$4=0,0,IF(COUNTIFS(実績!$W$6:$W$505,BJ$3,実績!$AI$6:$AI$505,"&lt;="&amp;$A21,実績!$AJ$6:$AJ$505,"&gt;"&amp;$A21,実績!$AL$6:$AL$505,"○")&gt;0,1,0))</f>
        <v>0</v>
      </c>
      <c r="BK21" s="39" t="n">
        <f aca="false">IF(BK$4=0,0,IF(COUNTIFS(実績!$W$6:$W$505,BK$3,実績!$AI$6:$AI$505,"&lt;="&amp;$A21,実績!$AJ$6:$AJ$505,"&gt;"&amp;$A21,実績!$AL$6:$AL$505,"○")&gt;0,1,0))</f>
        <v>0</v>
      </c>
      <c r="BL21" s="39" t="n">
        <f aca="false">IF(BL$4=0,0,IF(COUNTIFS(実績!$W$6:$W$505,BL$3,実績!$AI$6:$AI$505,"&lt;="&amp;$A21,実績!$AJ$6:$AJ$505,"&gt;"&amp;$A21,実績!$AL$6:$AL$505,"○")&gt;0,1,0))</f>
        <v>0</v>
      </c>
      <c r="BM21" s="39" t="n">
        <f aca="false">IF(BM$4=0,0,IF(COUNTIFS(実績!$W$6:$W$505,BM$3,実績!$AI$6:$AI$505,"&lt;="&amp;$A21,実績!$AJ$6:$AJ$505,"&gt;"&amp;$A21,実績!$AL$6:$AL$505,"○")&gt;0,1,0))</f>
        <v>0</v>
      </c>
      <c r="BN21" s="39" t="n">
        <f aca="false">IF(BN$4=0,0,IF(COUNTIFS(実績!$W$6:$W$505,BN$3,実績!$AI$6:$AI$505,"&lt;="&amp;$A21,実績!$AJ$6:$AJ$505,"&gt;"&amp;$A21,実績!$AL$6:$AL$505,"○")&gt;0,1,0))</f>
        <v>0</v>
      </c>
      <c r="BO21" s="39" t="n">
        <f aca="false">IF(BO$4=0,0,IF(COUNTIFS(実績!$W$6:$W$505,BO$3,実績!$AI$6:$AI$505,"&lt;="&amp;$A21,実績!$AJ$6:$AJ$505,"&gt;"&amp;$A21,実績!$AL$6:$AL$505,"○")&gt;0,1,0))</f>
        <v>0</v>
      </c>
      <c r="BP21" s="39" t="n">
        <f aca="false">IF(BP$4=0,0,IF(COUNTIFS(実績!$W$6:$W$505,BP$3,実績!$AI$6:$AI$505,"&lt;="&amp;$A21,実績!$AJ$6:$AJ$505,"&gt;"&amp;$A21,実績!$AL$6:$AL$505,"○")&gt;0,1,0))</f>
        <v>0</v>
      </c>
      <c r="BQ21" s="39" t="n">
        <f aca="false">IF(BQ$4=0,0,IF(COUNTIFS(実績!$W$6:$W$505,BQ$3,実績!$AI$6:$AI$505,"&lt;="&amp;$A21,実績!$AJ$6:$AJ$505,"&gt;"&amp;$A21,実績!$AL$6:$AL$505,"○")&gt;0,1,0))</f>
        <v>0</v>
      </c>
      <c r="BR21" s="39" t="n">
        <f aca="false">IF(BR$4=0,0,IF(COUNTIFS(実績!$W$6:$W$505,BR$3,実績!$AI$6:$AI$505,"&lt;="&amp;$A21,実績!$AJ$6:$AJ$505,"&gt;"&amp;$A21,実績!$AL$6:$AL$505,"○")&gt;0,1,0))</f>
        <v>0</v>
      </c>
      <c r="BS21" s="39" t="n">
        <f aca="false">IF(BS$4=0,0,IF(COUNTIFS(実績!$W$6:$W$505,BS$3,実績!$AI$6:$AI$505,"&lt;="&amp;$A21,実績!$AJ$6:$AJ$505,"&gt;"&amp;$A21,実績!$AL$6:$AL$505,"○")&gt;0,1,0))</f>
        <v>0</v>
      </c>
      <c r="BT21" s="39" t="n">
        <f aca="false">IF(BT$4=0,0,IF(COUNTIFS(実績!$W$6:$W$505,BT$3,実績!$AI$6:$AI$505,"&lt;="&amp;$A21,実績!$AJ$6:$AJ$505,"&gt;"&amp;$A21,実績!$AL$6:$AL$505,"○")&gt;0,1,0))</f>
        <v>0</v>
      </c>
      <c r="BU21" s="39" t="n">
        <f aca="false">IF(BU$4=0,0,IF(COUNTIFS(実績!$W$6:$W$505,BU$3,実績!$AI$6:$AI$505,"&lt;="&amp;$A21,実績!$AJ$6:$AJ$505,"&gt;"&amp;$A21,実績!$AL$6:$AL$505,"○")&gt;0,1,0))</f>
        <v>0</v>
      </c>
      <c r="BV21" s="39" t="n">
        <f aca="false">IF(BV$4=0,0,IF(COUNTIFS(実績!$W$6:$W$505,BV$3,実績!$AI$6:$AI$505,"&lt;="&amp;$A21,実績!$AJ$6:$AJ$505,"&gt;"&amp;$A21,実績!$AL$6:$AL$505,"○")&gt;0,1,0))</f>
        <v>0</v>
      </c>
      <c r="BW21" s="39" t="n">
        <f aca="false">IF(BW$4=0,0,IF(COUNTIFS(実績!$W$6:$W$505,BW$3,実績!$AI$6:$AI$505,"&lt;="&amp;$A21,実績!$AJ$6:$AJ$505,"&gt;"&amp;$A21,実績!$AL$6:$AL$505,"○")&gt;0,1,0))</f>
        <v>0</v>
      </c>
      <c r="BX21" s="39" t="n">
        <f aca="false">IF(BX$4=0,0,IF(COUNTIFS(実績!$W$6:$W$505,BX$3,実績!$AI$6:$AI$505,"&lt;="&amp;$A21,実績!$AJ$6:$AJ$505,"&gt;"&amp;$A21,実績!$AL$6:$AL$505,"○")&gt;0,1,0))</f>
        <v>0</v>
      </c>
      <c r="BY21" s="39" t="n">
        <f aca="false">IF(BY$4=0,0,IF(COUNTIFS(実績!$W$6:$W$505,BY$3,実績!$AI$6:$AI$505,"&lt;="&amp;$A21,実績!$AJ$6:$AJ$505,"&gt;"&amp;$A21,実績!$AL$6:$AL$505,"○")&gt;0,1,0))</f>
        <v>0</v>
      </c>
      <c r="BZ21" s="39" t="n">
        <f aca="false">IF(BZ$4=0,0,IF(COUNTIFS(実績!$W$6:$W$505,BZ$3,実績!$AI$6:$AI$505,"&lt;="&amp;$A21,実績!$AJ$6:$AJ$505,"&gt;"&amp;$A21,実績!$AL$6:$AL$505,"○")&gt;0,1,0))</f>
        <v>0</v>
      </c>
      <c r="CA21" s="39" t="n">
        <f aca="false">IF(CA$4=0,0,IF(COUNTIFS(実績!$W$6:$W$505,CA$3,実績!$AI$6:$AI$505,"&lt;="&amp;$A21,実績!$AJ$6:$AJ$505,"&gt;"&amp;$A21,実績!$AL$6:$AL$505,"○")&gt;0,1,0))</f>
        <v>0</v>
      </c>
      <c r="CB21" s="39" t="n">
        <f aca="false">IF(CB$4=0,0,IF(COUNTIFS(実績!$W$6:$W$505,CB$3,実績!$AI$6:$AI$505,"&lt;="&amp;$A21,実績!$AJ$6:$AJ$505,"&gt;"&amp;$A21,実績!$AL$6:$AL$505,"○")&gt;0,1,0))</f>
        <v>0</v>
      </c>
      <c r="CC21" s="39" t="n">
        <f aca="false">IF(CC$4=0,0,IF(COUNTIFS(実績!$W$6:$W$505,CC$3,実績!$AI$6:$AI$505,"&lt;="&amp;$A21,実績!$AJ$6:$AJ$505,"&gt;"&amp;$A21,実績!$AL$6:$AL$505,"○")&gt;0,1,0))</f>
        <v>0</v>
      </c>
      <c r="CD21" s="39" t="n">
        <f aca="false">IF(CD$4=0,0,IF(COUNTIFS(実績!$W$6:$W$505,CD$3,実績!$AI$6:$AI$505,"&lt;="&amp;$A21,実績!$AJ$6:$AJ$505,"&gt;"&amp;$A21,実績!$AL$6:$AL$505,"○")&gt;0,1,0))</f>
        <v>0</v>
      </c>
      <c r="CE21" s="39" t="n">
        <f aca="false">IF(CE$4=0,0,IF(COUNTIFS(実績!$W$6:$W$505,CE$3,実績!$AI$6:$AI$505,"&lt;="&amp;$A21,実績!$AJ$6:$AJ$505,"&gt;"&amp;$A21,実績!$AL$6:$AL$505,"○")&gt;0,1,0))</f>
        <v>0</v>
      </c>
      <c r="CF21" s="39" t="n">
        <f aca="false">IF(CF$4=0,0,IF(COUNTIFS(実績!$W$6:$W$505,CF$3,実績!$AI$6:$AI$505,"&lt;="&amp;$A21,実績!$AJ$6:$AJ$505,"&gt;"&amp;$A21,実績!$AL$6:$AL$505,"○")&gt;0,1,0))</f>
        <v>0</v>
      </c>
      <c r="CG21" s="39" t="n">
        <f aca="false">IF(CG$4=0,0,IF(COUNTIFS(実績!$W$6:$W$505,CG$3,実績!$AI$6:$AI$505,"&lt;="&amp;$A21,実績!$AJ$6:$AJ$505,"&gt;"&amp;$A21,実績!$AL$6:$AL$505,"○")&gt;0,1,0))</f>
        <v>0</v>
      </c>
      <c r="CH21" s="39" t="n">
        <f aca="false">IF(CH$4=0,0,IF(COUNTIFS(実績!$W$6:$W$505,CH$3,実績!$AI$6:$AI$505,"&lt;="&amp;$A21,実績!$AJ$6:$AJ$505,"&gt;"&amp;$A21,実績!$AL$6:$AL$505,"○")&gt;0,1,0))</f>
        <v>0</v>
      </c>
      <c r="CI21" s="39" t="n">
        <f aca="false">IF(CI$4=0,0,IF(COUNTIFS(実績!$W$6:$W$505,CI$3,実績!$AI$6:$AI$505,"&lt;="&amp;$A21,実績!$AJ$6:$AJ$505,"&gt;"&amp;$A21,実績!$AL$6:$AL$505,"○")&gt;0,1,0))</f>
        <v>0</v>
      </c>
      <c r="CJ21" s="39" t="n">
        <f aca="false">IF(CJ$4=0,0,IF(COUNTIFS(実績!$W$6:$W$505,CJ$3,実績!$AI$6:$AI$505,"&lt;="&amp;$A21,実績!$AJ$6:$AJ$505,"&gt;"&amp;$A21,実績!$AL$6:$AL$505,"○")&gt;0,1,0))</f>
        <v>0</v>
      </c>
      <c r="CK21" s="39" t="n">
        <f aca="false">IF(CK$4=0,0,IF(COUNTIFS(実績!$W$6:$W$505,CK$3,実績!$AI$6:$AI$505,"&lt;="&amp;$A21,実績!$AJ$6:$AJ$505,"&gt;"&amp;$A21,実績!$AL$6:$AL$505,"○")&gt;0,1,0))</f>
        <v>0</v>
      </c>
      <c r="CL21" s="39" t="n">
        <f aca="false">IF(CL$4=0,0,IF(COUNTIFS(実績!$W$6:$W$505,CL$3,実績!$AI$6:$AI$505,"&lt;="&amp;$A21,実績!$AJ$6:$AJ$505,"&gt;"&amp;$A21,実績!$AL$6:$AL$505,"○")&gt;0,1,0))</f>
        <v>0</v>
      </c>
      <c r="CM21" s="39" t="n">
        <f aca="false">IF(CM$4=0,0,IF(COUNTIFS(実績!$W$6:$W$505,CM$3,実績!$AI$6:$AI$505,"&lt;="&amp;$A21,実績!$AJ$6:$AJ$505,"&gt;"&amp;$A21,実績!$AL$6:$AL$505,"○")&gt;0,1,0))</f>
        <v>0</v>
      </c>
      <c r="CN21" s="39" t="n">
        <f aca="false">IF(CN$4=0,0,IF(COUNTIFS(実績!$W$6:$W$505,CN$3,実績!$AI$6:$AI$505,"&lt;="&amp;$A21,実績!$AJ$6:$AJ$505,"&gt;"&amp;$A21,実績!$AL$6:$AL$505,"○")&gt;0,1,0))</f>
        <v>0</v>
      </c>
      <c r="CO21" s="39" t="n">
        <f aca="false">IF(CO$4=0,0,IF(COUNTIFS(実績!$W$6:$W$505,CO$3,実績!$AI$6:$AI$505,"&lt;="&amp;$A21,実績!$AJ$6:$AJ$505,"&gt;"&amp;$A21,実績!$AL$6:$AL$505,"○")&gt;0,1,0))</f>
        <v>0</v>
      </c>
      <c r="CP21" s="39" t="n">
        <f aca="false">IF(CP$4=0,0,IF(COUNTIFS(実績!$W$6:$W$505,CP$3,実績!$AI$6:$AI$505,"&lt;="&amp;$A21,実績!$AJ$6:$AJ$505,"&gt;"&amp;$A21,実績!$AL$6:$AL$505,"○")&gt;0,1,0))</f>
        <v>0</v>
      </c>
      <c r="CQ21" s="39" t="n">
        <f aca="false">IF(CQ$4=0,0,IF(COUNTIFS(実績!$W$6:$W$505,CQ$3,実績!$AI$6:$AI$505,"&lt;="&amp;$A21,実績!$AJ$6:$AJ$505,"&gt;"&amp;$A21,実績!$AL$6:$AL$505,"○")&gt;0,1,0))</f>
        <v>0</v>
      </c>
      <c r="CR21" s="39" t="n">
        <f aca="false">IF(CR$4=0,0,IF(COUNTIFS(実績!$W$6:$W$505,CR$3,実績!$AI$6:$AI$505,"&lt;="&amp;$A21,実績!$AJ$6:$AJ$505,"&gt;"&amp;$A21,実績!$AL$6:$AL$505,"○")&gt;0,1,0))</f>
        <v>0</v>
      </c>
      <c r="CS21" s="39" t="n">
        <f aca="false">IF(CS$4=0,0,IF(COUNTIFS(実績!$W$6:$W$505,CS$3,実績!$AI$6:$AI$505,"&lt;="&amp;$A21,実績!$AJ$6:$AJ$505,"&gt;"&amp;$A21,実績!$AL$6:$AL$505,"○")&gt;0,1,0))</f>
        <v>0</v>
      </c>
      <c r="CT21" s="39" t="n">
        <f aca="false">IF(CT$4=0,0,IF(COUNTIFS(実績!$W$6:$W$505,CT$3,実績!$AI$6:$AI$505,"&lt;="&amp;$A21,実績!$AJ$6:$AJ$505,"&gt;"&amp;$A21,実績!$AL$6:$AL$505,"○")&gt;0,1,0))</f>
        <v>0</v>
      </c>
      <c r="CU21" s="39" t="n">
        <f aca="false">IF(CU$4=0,0,IF(COUNTIFS(実績!$W$6:$W$505,CU$3,実績!$AI$6:$AI$505,"&lt;="&amp;$A21,実績!$AJ$6:$AJ$505,"&gt;"&amp;$A21,実績!$AL$6:$AL$505,"○")&gt;0,1,0))</f>
        <v>0</v>
      </c>
      <c r="CV21" s="39" t="n">
        <f aca="false">IF(CV$4=0,0,IF(COUNTIFS(実績!$W$6:$W$505,CV$3,実績!$AI$6:$AI$505,"&lt;="&amp;$A21,実績!$AJ$6:$AJ$505,"&gt;"&amp;$A21,実績!$AL$6:$AL$505,"○")&gt;0,1,0))</f>
        <v>0</v>
      </c>
      <c r="CW21" s="39" t="n">
        <f aca="false">IF(CW$4=0,0,IF(COUNTIFS(実績!$W$6:$W$505,CW$3,実績!$AI$6:$AI$505,"&lt;="&amp;$A21,実績!$AJ$6:$AJ$505,"&gt;"&amp;$A21,実績!$AL$6:$AL$505,"○")&gt;0,1,0))</f>
        <v>0</v>
      </c>
      <c r="CX21" s="39" t="n">
        <f aca="false">IF(CX$4=0,0,IF(COUNTIFS(実績!$W$6:$W$505,CX$3,実績!$AI$6:$AI$505,"&lt;="&amp;$A21,実績!$AJ$6:$AJ$505,"&gt;"&amp;$A21,実績!$AL$6:$AL$505,"○")&gt;0,1,0))</f>
        <v>0</v>
      </c>
      <c r="CY21" s="39" t="n">
        <f aca="false">IF(CY$4=0,0,IF(COUNTIFS(実績!$W$6:$W$505,CY$3,実績!$AI$6:$AI$505,"&lt;="&amp;$A21,実績!$AJ$6:$AJ$505,"&gt;"&amp;$A21,実績!$AL$6:$AL$505,"○")&gt;0,1,0))</f>
        <v>0</v>
      </c>
      <c r="CZ21" s="39" t="n">
        <f aca="false">IF(CZ$4=0,0,IF(COUNTIFS(実績!$W$6:$W$505,CZ$3,実績!$AI$6:$AI$505,"&lt;="&amp;$A21,実績!$AJ$6:$AJ$505,"&gt;"&amp;$A21,実績!$AL$6:$AL$505,"○")&gt;0,1,0))</f>
        <v>0</v>
      </c>
      <c r="DA21" s="39" t="n">
        <f aca="false">IF(DA$4=0,0,IF(COUNTIFS(実績!$W$6:$W$505,DA$3,実績!$AI$6:$AI$505,"&lt;="&amp;$A21,実績!$AJ$6:$AJ$505,"&gt;"&amp;$A21,実績!$AL$6:$AL$505,"○")&gt;0,1,0))</f>
        <v>0</v>
      </c>
      <c r="DB21" s="39" t="n">
        <f aca="false">IF(DB$4=0,0,IF(COUNTIFS(実績!$W$6:$W$505,DB$3,実績!$AI$6:$AI$505,"&lt;="&amp;$A21,実績!$AJ$6:$AJ$505,"&gt;"&amp;$A21,実績!$AL$6:$AL$505,"○")&gt;0,1,0))</f>
        <v>0</v>
      </c>
      <c r="DC21" s="39" t="n">
        <f aca="false">IF(DC$4=0,0,IF(COUNTIFS(実績!$W$6:$W$505,DC$3,実績!$AI$6:$AI$505,"&lt;="&amp;$A21,実績!$AJ$6:$AJ$505,"&gt;"&amp;$A21,実績!$AL$6:$AL$505,"○")&gt;0,1,0))</f>
        <v>0</v>
      </c>
      <c r="DD21" s="39" t="n">
        <f aca="false">IF(DD$4=0,0,IF(COUNTIFS(実績!$W$6:$W$505,DD$3,実績!$AI$6:$AI$505,"&lt;="&amp;$A21,実績!$AJ$6:$AJ$505,"&gt;"&amp;$A21,実績!$AL$6:$AL$505,"○")&gt;0,1,0))</f>
        <v>0</v>
      </c>
      <c r="DE21" s="39" t="n">
        <f aca="false">IF(DE$4=0,0,IF(COUNTIFS(実績!$W$6:$W$505,DE$3,実績!$AI$6:$AI$505,"&lt;="&amp;$A21,実績!$AJ$6:$AJ$505,"&gt;"&amp;$A21,実績!$AL$6:$AL$505,"○")&gt;0,1,0))</f>
        <v>0</v>
      </c>
      <c r="DF21" s="39" t="n">
        <f aca="false">IF(DF$4=0,0,IF(COUNTIFS(実績!$W$6:$W$505,DF$3,実績!$AI$6:$AI$505,"&lt;="&amp;$A21,実績!$AJ$6:$AJ$505,"&gt;"&amp;$A21,実績!$AL$6:$AL$505,"○")&gt;0,1,0))</f>
        <v>0</v>
      </c>
      <c r="DG21" s="39" t="n">
        <f aca="false">IF(DG$4=0,0,IF(COUNTIFS(実績!$W$6:$W$505,DG$3,実績!$AI$6:$AI$505,"&lt;="&amp;$A21,実績!$AJ$6:$AJ$505,"&gt;"&amp;$A21,実績!$AL$6:$AL$505,"○")&gt;0,1,0))</f>
        <v>0</v>
      </c>
      <c r="DH21" s="39" t="n">
        <f aca="false">IF(DH$4=0,0,IF(COUNTIFS(実績!$W$6:$W$505,DH$3,実績!$AI$6:$AI$505,"&lt;="&amp;$A21,実績!$AJ$6:$AJ$505,"&gt;"&amp;$A21,実績!$AL$6:$AL$505,"○")&gt;0,1,0))</f>
        <v>0</v>
      </c>
      <c r="DI21" s="39" t="n">
        <f aca="false">IF(DI$4=0,0,IF(COUNTIFS(実績!$W$6:$W$505,DI$3,実績!$AI$6:$AI$505,"&lt;="&amp;$A21,実績!$AJ$6:$AJ$505,"&gt;"&amp;$A21,実績!$AL$6:$AL$505,"○")&gt;0,1,0))</f>
        <v>0</v>
      </c>
      <c r="DJ21" s="39" t="n">
        <f aca="false">IF(DJ$4=0,0,IF(COUNTIFS(実績!$W$6:$W$505,DJ$3,実績!$AI$6:$AI$505,"&lt;="&amp;$A21,実績!$AJ$6:$AJ$505,"&gt;"&amp;$A21,実績!$AL$6:$AL$505,"○")&gt;0,1,0))</f>
        <v>0</v>
      </c>
      <c r="DK21" s="39" t="n">
        <f aca="false">IF(DK$4=0,0,IF(COUNTIFS(実績!$W$6:$W$505,DK$3,実績!$AI$6:$AI$505,"&lt;="&amp;$A21,実績!$AJ$6:$AJ$505,"&gt;"&amp;$A21,実績!$AL$6:$AL$505,"○")&gt;0,1,0))</f>
        <v>0</v>
      </c>
      <c r="DL21" s="39" t="n">
        <f aca="false">IF(DL$4=0,0,IF(COUNTIFS(実績!$W$6:$W$505,DL$3,実績!$AI$6:$AI$505,"&lt;="&amp;$A21,実績!$AJ$6:$AJ$505,"&gt;"&amp;$A21,実績!$AL$6:$AL$505,"○")&gt;0,1,0))</f>
        <v>0</v>
      </c>
      <c r="DM21" s="39" t="n">
        <f aca="false">IF(DM$4=0,0,IF(COUNTIFS(実績!$W$6:$W$505,DM$3,実績!$AI$6:$AI$505,"&lt;="&amp;$A21,実績!$AJ$6:$AJ$505,"&gt;"&amp;$A21,実績!$AL$6:$AL$505,"○")&gt;0,1,0))</f>
        <v>0</v>
      </c>
      <c r="DN21" s="39" t="n">
        <f aca="false">IF(DN$4=0,0,IF(COUNTIFS(実績!$W$6:$W$505,DN$3,実績!$AI$6:$AI$505,"&lt;="&amp;$A21,実績!$AJ$6:$AJ$505,"&gt;"&amp;$A21,実績!$AL$6:$AL$505,"○")&gt;0,1,0))</f>
        <v>0</v>
      </c>
      <c r="DO21" s="39" t="n">
        <f aca="false">IF(DO$4=0,0,IF(COUNTIFS(実績!$W$6:$W$505,DO$3,実績!$AI$6:$AI$505,"&lt;="&amp;$A21,実績!$AJ$6:$AJ$505,"&gt;"&amp;$A21,実績!$AL$6:$AL$505,"○")&gt;0,1,0))</f>
        <v>0</v>
      </c>
      <c r="DP21" s="39" t="n">
        <f aca="false">IF(DP$4=0,0,IF(COUNTIFS(実績!$W$6:$W$505,DP$3,実績!$AI$6:$AI$505,"&lt;="&amp;$A21,実績!$AJ$6:$AJ$505,"&gt;"&amp;$A21,実績!$AL$6:$AL$505,"○")&gt;0,1,0))</f>
        <v>0</v>
      </c>
      <c r="DQ21" s="39" t="n">
        <f aca="false">IF(DQ$4=0,0,IF(COUNTIFS(実績!$W$6:$W$505,DQ$3,実績!$AI$6:$AI$505,"&lt;="&amp;$A21,実績!$AJ$6:$AJ$505,"&gt;"&amp;$A21,実績!$AL$6:$AL$505,"○")&gt;0,1,0))</f>
        <v>0</v>
      </c>
      <c r="DR21" s="39" t="n">
        <f aca="false">IF(DR$4=0,0,IF(COUNTIFS(実績!$W$6:$W$505,DR$3,実績!$AI$6:$AI$505,"&lt;="&amp;$A21,実績!$AJ$6:$AJ$505,"&gt;"&amp;$A21,実績!$AL$6:$AL$505,"○")&gt;0,1,0))</f>
        <v>0</v>
      </c>
      <c r="DS21" s="39" t="n">
        <f aca="false">SUM(C21:DR21)</f>
        <v>0</v>
      </c>
    </row>
    <row r="22" customFormat="false" ht="15" hidden="false" customHeight="false" outlineLevel="0" collapsed="false">
      <c r="A22" s="0" t="n">
        <v>80</v>
      </c>
      <c r="B22" s="38" t="n">
        <f aca="false">A22/1440</f>
        <v>0.0555555555555556</v>
      </c>
      <c r="C22" s="39" t="n">
        <f aca="false">IF(C$4=0,0,IF(COUNTIFS(実績!$W$6:$W$505,C$3,実績!$AI$6:$AI$505,"&lt;="&amp;$A22,実績!$AJ$6:$AJ$505,"&gt;"&amp;$A22,実績!$AL$6:$AL$505,"○")&gt;0,1,0))</f>
        <v>0</v>
      </c>
      <c r="D22" s="39" t="n">
        <f aca="false">IF(D$4=0,0,IF(COUNTIFS(実績!$W$6:$W$505,D$3,実績!$AI$6:$AI$505,"&lt;="&amp;$A22,実績!$AJ$6:$AJ$505,"&gt;"&amp;$A22,実績!$AL$6:$AL$505,"○")&gt;0,1,0))</f>
        <v>0</v>
      </c>
      <c r="E22" s="39" t="n">
        <f aca="false">IF(E$4=0,0,IF(COUNTIFS(実績!$W$6:$W$505,E$3,実績!$AI$6:$AI$505,"&lt;="&amp;$A22,実績!$AJ$6:$AJ$505,"&gt;"&amp;$A22,実績!$AL$6:$AL$505,"○")&gt;0,1,0))</f>
        <v>0</v>
      </c>
      <c r="F22" s="39" t="n">
        <f aca="false">IF(F$4=0,0,IF(COUNTIFS(実績!$W$6:$W$505,F$3,実績!$AI$6:$AI$505,"&lt;="&amp;$A22,実績!$AJ$6:$AJ$505,"&gt;"&amp;$A22,実績!$AL$6:$AL$505,"○")&gt;0,1,0))</f>
        <v>0</v>
      </c>
      <c r="G22" s="39" t="n">
        <f aca="false">IF(G$4=0,0,IF(COUNTIFS(実績!$W$6:$W$505,G$3,実績!$AI$6:$AI$505,"&lt;="&amp;$A22,実績!$AJ$6:$AJ$505,"&gt;"&amp;$A22,実績!$AL$6:$AL$505,"○")&gt;0,1,0))</f>
        <v>0</v>
      </c>
      <c r="H22" s="39" t="n">
        <f aca="false">IF(H$4=0,0,IF(COUNTIFS(実績!$W$6:$W$505,H$3,実績!$AI$6:$AI$505,"&lt;="&amp;$A22,実績!$AJ$6:$AJ$505,"&gt;"&amp;$A22,実績!$AL$6:$AL$505,"○")&gt;0,1,0))</f>
        <v>0</v>
      </c>
      <c r="I22" s="39" t="n">
        <f aca="false">IF(I$4=0,0,IF(COUNTIFS(実績!$W$6:$W$505,I$3,実績!$AI$6:$AI$505,"&lt;="&amp;$A22,実績!$AJ$6:$AJ$505,"&gt;"&amp;$A22,実績!$AL$6:$AL$505,"○")&gt;0,1,0))</f>
        <v>0</v>
      </c>
      <c r="J22" s="39" t="n">
        <f aca="false">IF(J$4=0,0,IF(COUNTIFS(実績!$W$6:$W$505,J$3,実績!$AI$6:$AI$505,"&lt;="&amp;$A22,実績!$AJ$6:$AJ$505,"&gt;"&amp;$A22,実績!$AL$6:$AL$505,"○")&gt;0,1,0))</f>
        <v>0</v>
      </c>
      <c r="K22" s="39" t="n">
        <f aca="false">IF(K$4=0,0,IF(COUNTIFS(実績!$W$6:$W$505,K$3,実績!$AI$6:$AI$505,"&lt;="&amp;$A22,実績!$AJ$6:$AJ$505,"&gt;"&amp;$A22,実績!$AL$6:$AL$505,"○")&gt;0,1,0))</f>
        <v>0</v>
      </c>
      <c r="L22" s="39" t="n">
        <f aca="false">IF(L$4=0,0,IF(COUNTIFS(実績!$W$6:$W$505,L$3,実績!$AI$6:$AI$505,"&lt;="&amp;$A22,実績!$AJ$6:$AJ$505,"&gt;"&amp;$A22,実績!$AL$6:$AL$505,"○")&gt;0,1,0))</f>
        <v>0</v>
      </c>
      <c r="M22" s="39" t="n">
        <f aca="false">IF(M$4=0,0,IF(COUNTIFS(実績!$W$6:$W$505,M$3,実績!$AI$6:$AI$505,"&lt;="&amp;$A22,実績!$AJ$6:$AJ$505,"&gt;"&amp;$A22,実績!$AL$6:$AL$505,"○")&gt;0,1,0))</f>
        <v>0</v>
      </c>
      <c r="N22" s="39" t="n">
        <f aca="false">IF(N$4=0,0,IF(COUNTIFS(実績!$W$6:$W$505,N$3,実績!$AI$6:$AI$505,"&lt;="&amp;$A22,実績!$AJ$6:$AJ$505,"&gt;"&amp;$A22,実績!$AL$6:$AL$505,"○")&gt;0,1,0))</f>
        <v>0</v>
      </c>
      <c r="O22" s="39" t="n">
        <f aca="false">IF(O$4=0,0,IF(COUNTIFS(実績!$W$6:$W$505,O$3,実績!$AI$6:$AI$505,"&lt;="&amp;$A22,実績!$AJ$6:$AJ$505,"&gt;"&amp;$A22,実績!$AL$6:$AL$505,"○")&gt;0,1,0))</f>
        <v>0</v>
      </c>
      <c r="P22" s="39" t="n">
        <f aca="false">IF(P$4=0,0,IF(COUNTIFS(実績!$W$6:$W$505,P$3,実績!$AI$6:$AI$505,"&lt;="&amp;$A22,実績!$AJ$6:$AJ$505,"&gt;"&amp;$A22,実績!$AL$6:$AL$505,"○")&gt;0,1,0))</f>
        <v>0</v>
      </c>
      <c r="Q22" s="39" t="n">
        <f aca="false">IF(Q$4=0,0,IF(COUNTIFS(実績!$W$6:$W$505,Q$3,実績!$AI$6:$AI$505,"&lt;="&amp;$A22,実績!$AJ$6:$AJ$505,"&gt;"&amp;$A22,実績!$AL$6:$AL$505,"○")&gt;0,1,0))</f>
        <v>0</v>
      </c>
      <c r="R22" s="39" t="n">
        <f aca="false">IF(R$4=0,0,IF(COUNTIFS(実績!$W$6:$W$505,R$3,実績!$AI$6:$AI$505,"&lt;="&amp;$A22,実績!$AJ$6:$AJ$505,"&gt;"&amp;$A22,実績!$AL$6:$AL$505,"○")&gt;0,1,0))</f>
        <v>0</v>
      </c>
      <c r="S22" s="39" t="n">
        <f aca="false">IF(S$4=0,0,IF(COUNTIFS(実績!$W$6:$W$505,S$3,実績!$AI$6:$AI$505,"&lt;="&amp;$A22,実績!$AJ$6:$AJ$505,"&gt;"&amp;$A22,実績!$AL$6:$AL$505,"○")&gt;0,1,0))</f>
        <v>0</v>
      </c>
      <c r="T22" s="39" t="n">
        <f aca="false">IF(T$4=0,0,IF(COUNTIFS(実績!$W$6:$W$505,T$3,実績!$AI$6:$AI$505,"&lt;="&amp;$A22,実績!$AJ$6:$AJ$505,"&gt;"&amp;$A22,実績!$AL$6:$AL$505,"○")&gt;0,1,0))</f>
        <v>0</v>
      </c>
      <c r="U22" s="39" t="n">
        <f aca="false">IF(U$4=0,0,IF(COUNTIFS(実績!$W$6:$W$505,U$3,実績!$AI$6:$AI$505,"&lt;="&amp;$A22,実績!$AJ$6:$AJ$505,"&gt;"&amp;$A22,実績!$AL$6:$AL$505,"○")&gt;0,1,0))</f>
        <v>0</v>
      </c>
      <c r="V22" s="39" t="n">
        <f aca="false">IF(V$4=0,0,IF(COUNTIFS(実績!$W$6:$W$505,V$3,実績!$AI$6:$AI$505,"&lt;="&amp;$A22,実績!$AJ$6:$AJ$505,"&gt;"&amp;$A22,実績!$AL$6:$AL$505,"○")&gt;0,1,0))</f>
        <v>0</v>
      </c>
      <c r="W22" s="39" t="n">
        <f aca="false">IF(W$4=0,0,IF(COUNTIFS(実績!$W$6:$W$505,W$3,実績!$AI$6:$AI$505,"&lt;="&amp;$A22,実績!$AJ$6:$AJ$505,"&gt;"&amp;$A22,実績!$AL$6:$AL$505,"○")&gt;0,1,0))</f>
        <v>0</v>
      </c>
      <c r="X22" s="39" t="n">
        <f aca="false">IF(X$4=0,0,IF(COUNTIFS(実績!$W$6:$W$505,X$3,実績!$AI$6:$AI$505,"&lt;="&amp;$A22,実績!$AJ$6:$AJ$505,"&gt;"&amp;$A22,実績!$AL$6:$AL$505,"○")&gt;0,1,0))</f>
        <v>0</v>
      </c>
      <c r="Y22" s="39" t="n">
        <f aca="false">IF(Y$4=0,0,IF(COUNTIFS(実績!$W$6:$W$505,Y$3,実績!$AI$6:$AI$505,"&lt;="&amp;$A22,実績!$AJ$6:$AJ$505,"&gt;"&amp;$A22,実績!$AL$6:$AL$505,"○")&gt;0,1,0))</f>
        <v>0</v>
      </c>
      <c r="Z22" s="39" t="n">
        <f aca="false">IF(Z$4=0,0,IF(COUNTIFS(実績!$W$6:$W$505,Z$3,実績!$AI$6:$AI$505,"&lt;="&amp;$A22,実績!$AJ$6:$AJ$505,"&gt;"&amp;$A22,実績!$AL$6:$AL$505,"○")&gt;0,1,0))</f>
        <v>0</v>
      </c>
      <c r="AA22" s="39" t="n">
        <f aca="false">IF(AA$4=0,0,IF(COUNTIFS(実績!$W$6:$W$505,AA$3,実績!$AI$6:$AI$505,"&lt;="&amp;$A22,実績!$AJ$6:$AJ$505,"&gt;"&amp;$A22,実績!$AL$6:$AL$505,"○")&gt;0,1,0))</f>
        <v>0</v>
      </c>
      <c r="AB22" s="39" t="n">
        <f aca="false">IF(AB$4=0,0,IF(COUNTIFS(実績!$W$6:$W$505,AB$3,実績!$AI$6:$AI$505,"&lt;="&amp;$A22,実績!$AJ$6:$AJ$505,"&gt;"&amp;$A22,実績!$AL$6:$AL$505,"○")&gt;0,1,0))</f>
        <v>0</v>
      </c>
      <c r="AC22" s="39" t="n">
        <f aca="false">IF(AC$4=0,0,IF(COUNTIFS(実績!$W$6:$W$505,AC$3,実績!$AI$6:$AI$505,"&lt;="&amp;$A22,実績!$AJ$6:$AJ$505,"&gt;"&amp;$A22,実績!$AL$6:$AL$505,"○")&gt;0,1,0))</f>
        <v>0</v>
      </c>
      <c r="AD22" s="39" t="n">
        <f aca="false">IF(AD$4=0,0,IF(COUNTIFS(実績!$W$6:$W$505,AD$3,実績!$AI$6:$AI$505,"&lt;="&amp;$A22,実績!$AJ$6:$AJ$505,"&gt;"&amp;$A22,実績!$AL$6:$AL$505,"○")&gt;0,1,0))</f>
        <v>0</v>
      </c>
      <c r="AE22" s="39" t="n">
        <f aca="false">IF(AE$4=0,0,IF(COUNTIFS(実績!$W$6:$W$505,AE$3,実績!$AI$6:$AI$505,"&lt;="&amp;$A22,実績!$AJ$6:$AJ$505,"&gt;"&amp;$A22,実績!$AL$6:$AL$505,"○")&gt;0,1,0))</f>
        <v>0</v>
      </c>
      <c r="AF22" s="39" t="n">
        <f aca="false">IF(AF$4=0,0,IF(COUNTIFS(実績!$W$6:$W$505,AF$3,実績!$AI$6:$AI$505,"&lt;="&amp;$A22,実績!$AJ$6:$AJ$505,"&gt;"&amp;$A22,実績!$AL$6:$AL$505,"○")&gt;0,1,0))</f>
        <v>0</v>
      </c>
      <c r="AG22" s="39" t="n">
        <f aca="false">IF(AG$4=0,0,IF(COUNTIFS(実績!$W$6:$W$505,AG$3,実績!$AI$6:$AI$505,"&lt;="&amp;$A22,実績!$AJ$6:$AJ$505,"&gt;"&amp;$A22,実績!$AL$6:$AL$505,"○")&gt;0,1,0))</f>
        <v>0</v>
      </c>
      <c r="AH22" s="39" t="n">
        <f aca="false">IF(AH$4=0,0,IF(COUNTIFS(実績!$W$6:$W$505,AH$3,実績!$AI$6:$AI$505,"&lt;="&amp;$A22,実績!$AJ$6:$AJ$505,"&gt;"&amp;$A22,実績!$AL$6:$AL$505,"○")&gt;0,1,0))</f>
        <v>0</v>
      </c>
      <c r="AI22" s="39" t="n">
        <f aca="false">IF(AI$4=0,0,IF(COUNTIFS(実績!$W$6:$W$505,AI$3,実績!$AI$6:$AI$505,"&lt;="&amp;$A22,実績!$AJ$6:$AJ$505,"&gt;"&amp;$A22,実績!$AL$6:$AL$505,"○")&gt;0,1,0))</f>
        <v>0</v>
      </c>
      <c r="AJ22" s="39" t="n">
        <f aca="false">IF(AJ$4=0,0,IF(COUNTIFS(実績!$W$6:$W$505,AJ$3,実績!$AI$6:$AI$505,"&lt;="&amp;$A22,実績!$AJ$6:$AJ$505,"&gt;"&amp;$A22,実績!$AL$6:$AL$505,"○")&gt;0,1,0))</f>
        <v>0</v>
      </c>
      <c r="AK22" s="39" t="n">
        <f aca="false">IF(AK$4=0,0,IF(COUNTIFS(実績!$W$6:$W$505,AK$3,実績!$AI$6:$AI$505,"&lt;="&amp;$A22,実績!$AJ$6:$AJ$505,"&gt;"&amp;$A22,実績!$AL$6:$AL$505,"○")&gt;0,1,0))</f>
        <v>0</v>
      </c>
      <c r="AL22" s="39" t="n">
        <f aca="false">IF(AL$4=0,0,IF(COUNTIFS(実績!$W$6:$W$505,AL$3,実績!$AI$6:$AI$505,"&lt;="&amp;$A22,実績!$AJ$6:$AJ$505,"&gt;"&amp;$A22,実績!$AL$6:$AL$505,"○")&gt;0,1,0))</f>
        <v>0</v>
      </c>
      <c r="AM22" s="39" t="n">
        <f aca="false">IF(AM$4=0,0,IF(COUNTIFS(実績!$W$6:$W$505,AM$3,実績!$AI$6:$AI$505,"&lt;="&amp;$A22,実績!$AJ$6:$AJ$505,"&gt;"&amp;$A22,実績!$AL$6:$AL$505,"○")&gt;0,1,0))</f>
        <v>0</v>
      </c>
      <c r="AN22" s="39" t="n">
        <f aca="false">IF(AN$4=0,0,IF(COUNTIFS(実績!$W$6:$W$505,AN$3,実績!$AI$6:$AI$505,"&lt;="&amp;$A22,実績!$AJ$6:$AJ$505,"&gt;"&amp;$A22,実績!$AL$6:$AL$505,"○")&gt;0,1,0))</f>
        <v>0</v>
      </c>
      <c r="AO22" s="39" t="n">
        <f aca="false">IF(AO$4=0,0,IF(COUNTIFS(実績!$W$6:$W$505,AO$3,実績!$AI$6:$AI$505,"&lt;="&amp;$A22,実績!$AJ$6:$AJ$505,"&gt;"&amp;$A22,実績!$AL$6:$AL$505,"○")&gt;0,1,0))</f>
        <v>0</v>
      </c>
      <c r="AP22" s="39" t="n">
        <f aca="false">IF(AP$4=0,0,IF(COUNTIFS(実績!$W$6:$W$505,AP$3,実績!$AI$6:$AI$505,"&lt;="&amp;$A22,実績!$AJ$6:$AJ$505,"&gt;"&amp;$A22,実績!$AL$6:$AL$505,"○")&gt;0,1,0))</f>
        <v>0</v>
      </c>
      <c r="AQ22" s="39" t="n">
        <f aca="false">IF(AQ$4=0,0,IF(COUNTIFS(実績!$W$6:$W$505,AQ$3,実績!$AI$6:$AI$505,"&lt;="&amp;$A22,実績!$AJ$6:$AJ$505,"&gt;"&amp;$A22,実績!$AL$6:$AL$505,"○")&gt;0,1,0))</f>
        <v>0</v>
      </c>
      <c r="AR22" s="39" t="n">
        <f aca="false">IF(AR$4=0,0,IF(COUNTIFS(実績!$W$6:$W$505,AR$3,実績!$AI$6:$AI$505,"&lt;="&amp;$A22,実績!$AJ$6:$AJ$505,"&gt;"&amp;$A22,実績!$AL$6:$AL$505,"○")&gt;0,1,0))</f>
        <v>0</v>
      </c>
      <c r="AS22" s="39" t="n">
        <f aca="false">IF(AS$4=0,0,IF(COUNTIFS(実績!$W$6:$W$505,AS$3,実績!$AI$6:$AI$505,"&lt;="&amp;$A22,実績!$AJ$6:$AJ$505,"&gt;"&amp;$A22,実績!$AL$6:$AL$505,"○")&gt;0,1,0))</f>
        <v>0</v>
      </c>
      <c r="AT22" s="39" t="n">
        <f aca="false">IF(AT$4=0,0,IF(COUNTIFS(実績!$W$6:$W$505,AT$3,実績!$AI$6:$AI$505,"&lt;="&amp;$A22,実績!$AJ$6:$AJ$505,"&gt;"&amp;$A22,実績!$AL$6:$AL$505,"○")&gt;0,1,0))</f>
        <v>0</v>
      </c>
      <c r="AU22" s="39" t="n">
        <f aca="false">IF(AU$4=0,0,IF(COUNTIFS(実績!$W$6:$W$505,AU$3,実績!$AI$6:$AI$505,"&lt;="&amp;$A22,実績!$AJ$6:$AJ$505,"&gt;"&amp;$A22,実績!$AL$6:$AL$505,"○")&gt;0,1,0))</f>
        <v>0</v>
      </c>
      <c r="AV22" s="39" t="n">
        <f aca="false">IF(AV$4=0,0,IF(COUNTIFS(実績!$W$6:$W$505,AV$3,実績!$AI$6:$AI$505,"&lt;="&amp;$A22,実績!$AJ$6:$AJ$505,"&gt;"&amp;$A22,実績!$AL$6:$AL$505,"○")&gt;0,1,0))</f>
        <v>0</v>
      </c>
      <c r="AW22" s="39" t="n">
        <f aca="false">IF(AW$4=0,0,IF(COUNTIFS(実績!$W$6:$W$505,AW$3,実績!$AI$6:$AI$505,"&lt;="&amp;$A22,実績!$AJ$6:$AJ$505,"&gt;"&amp;$A22,実績!$AL$6:$AL$505,"○")&gt;0,1,0))</f>
        <v>0</v>
      </c>
      <c r="AX22" s="39" t="n">
        <f aca="false">IF(AX$4=0,0,IF(COUNTIFS(実績!$W$6:$W$505,AX$3,実績!$AI$6:$AI$505,"&lt;="&amp;$A22,実績!$AJ$6:$AJ$505,"&gt;"&amp;$A22,実績!$AL$6:$AL$505,"○")&gt;0,1,0))</f>
        <v>0</v>
      </c>
      <c r="AY22" s="39" t="n">
        <f aca="false">IF(AY$4=0,0,IF(COUNTIFS(実績!$W$6:$W$505,AY$3,実績!$AI$6:$AI$505,"&lt;="&amp;$A22,実績!$AJ$6:$AJ$505,"&gt;"&amp;$A22,実績!$AL$6:$AL$505,"○")&gt;0,1,0))</f>
        <v>0</v>
      </c>
      <c r="AZ22" s="39" t="n">
        <f aca="false">IF(AZ$4=0,0,IF(COUNTIFS(実績!$W$6:$W$505,AZ$3,実績!$AI$6:$AI$505,"&lt;="&amp;$A22,実績!$AJ$6:$AJ$505,"&gt;"&amp;$A22,実績!$AL$6:$AL$505,"○")&gt;0,1,0))</f>
        <v>0</v>
      </c>
      <c r="BA22" s="39" t="n">
        <f aca="false">IF(BA$4=0,0,IF(COUNTIFS(実績!$W$6:$W$505,BA$3,実績!$AI$6:$AI$505,"&lt;="&amp;$A22,実績!$AJ$6:$AJ$505,"&gt;"&amp;$A22,実績!$AL$6:$AL$505,"○")&gt;0,1,0))</f>
        <v>0</v>
      </c>
      <c r="BB22" s="39" t="n">
        <f aca="false">IF(BB$4=0,0,IF(COUNTIFS(実績!$W$6:$W$505,BB$3,実績!$AI$6:$AI$505,"&lt;="&amp;$A22,実績!$AJ$6:$AJ$505,"&gt;"&amp;$A22,実績!$AL$6:$AL$505,"○")&gt;0,1,0))</f>
        <v>0</v>
      </c>
      <c r="BC22" s="39" t="n">
        <f aca="false">IF(BC$4=0,0,IF(COUNTIFS(実績!$W$6:$W$505,BC$3,実績!$AI$6:$AI$505,"&lt;="&amp;$A22,実績!$AJ$6:$AJ$505,"&gt;"&amp;$A22,実績!$AL$6:$AL$505,"○")&gt;0,1,0))</f>
        <v>0</v>
      </c>
      <c r="BD22" s="39" t="n">
        <f aca="false">IF(BD$4=0,0,IF(COUNTIFS(実績!$W$6:$W$505,BD$3,実績!$AI$6:$AI$505,"&lt;="&amp;$A22,実績!$AJ$6:$AJ$505,"&gt;"&amp;$A22,実績!$AL$6:$AL$505,"○")&gt;0,1,0))</f>
        <v>0</v>
      </c>
      <c r="BE22" s="39" t="n">
        <f aca="false">IF(BE$4=0,0,IF(COUNTIFS(実績!$W$6:$W$505,BE$3,実績!$AI$6:$AI$505,"&lt;="&amp;$A22,実績!$AJ$6:$AJ$505,"&gt;"&amp;$A22,実績!$AL$6:$AL$505,"○")&gt;0,1,0))</f>
        <v>0</v>
      </c>
      <c r="BF22" s="39" t="n">
        <f aca="false">IF(BF$4=0,0,IF(COUNTIFS(実績!$W$6:$W$505,BF$3,実績!$AI$6:$AI$505,"&lt;="&amp;$A22,実績!$AJ$6:$AJ$505,"&gt;"&amp;$A22,実績!$AL$6:$AL$505,"○")&gt;0,1,0))</f>
        <v>0</v>
      </c>
      <c r="BG22" s="39" t="n">
        <f aca="false">IF(BG$4=0,0,IF(COUNTIFS(実績!$W$6:$W$505,BG$3,実績!$AI$6:$AI$505,"&lt;="&amp;$A22,実績!$AJ$6:$AJ$505,"&gt;"&amp;$A22,実績!$AL$6:$AL$505,"○")&gt;0,1,0))</f>
        <v>0</v>
      </c>
      <c r="BH22" s="39" t="n">
        <f aca="false">IF(BH$4=0,0,IF(COUNTIFS(実績!$W$6:$W$505,BH$3,実績!$AI$6:$AI$505,"&lt;="&amp;$A22,実績!$AJ$6:$AJ$505,"&gt;"&amp;$A22,実績!$AL$6:$AL$505,"○")&gt;0,1,0))</f>
        <v>0</v>
      </c>
      <c r="BI22" s="39" t="n">
        <f aca="false">IF(BI$4=0,0,IF(COUNTIFS(実績!$W$6:$W$505,BI$3,実績!$AI$6:$AI$505,"&lt;="&amp;$A22,実績!$AJ$6:$AJ$505,"&gt;"&amp;$A22,実績!$AL$6:$AL$505,"○")&gt;0,1,0))</f>
        <v>0</v>
      </c>
      <c r="BJ22" s="39" t="n">
        <f aca="false">IF(BJ$4=0,0,IF(COUNTIFS(実績!$W$6:$W$505,BJ$3,実績!$AI$6:$AI$505,"&lt;="&amp;$A22,実績!$AJ$6:$AJ$505,"&gt;"&amp;$A22,実績!$AL$6:$AL$505,"○")&gt;0,1,0))</f>
        <v>0</v>
      </c>
      <c r="BK22" s="39" t="n">
        <f aca="false">IF(BK$4=0,0,IF(COUNTIFS(実績!$W$6:$W$505,BK$3,実績!$AI$6:$AI$505,"&lt;="&amp;$A22,実績!$AJ$6:$AJ$505,"&gt;"&amp;$A22,実績!$AL$6:$AL$505,"○")&gt;0,1,0))</f>
        <v>0</v>
      </c>
      <c r="BL22" s="39" t="n">
        <f aca="false">IF(BL$4=0,0,IF(COUNTIFS(実績!$W$6:$W$505,BL$3,実績!$AI$6:$AI$505,"&lt;="&amp;$A22,実績!$AJ$6:$AJ$505,"&gt;"&amp;$A22,実績!$AL$6:$AL$505,"○")&gt;0,1,0))</f>
        <v>0</v>
      </c>
      <c r="BM22" s="39" t="n">
        <f aca="false">IF(BM$4=0,0,IF(COUNTIFS(実績!$W$6:$W$505,BM$3,実績!$AI$6:$AI$505,"&lt;="&amp;$A22,実績!$AJ$6:$AJ$505,"&gt;"&amp;$A22,実績!$AL$6:$AL$505,"○")&gt;0,1,0))</f>
        <v>0</v>
      </c>
      <c r="BN22" s="39" t="n">
        <f aca="false">IF(BN$4=0,0,IF(COUNTIFS(実績!$W$6:$W$505,BN$3,実績!$AI$6:$AI$505,"&lt;="&amp;$A22,実績!$AJ$6:$AJ$505,"&gt;"&amp;$A22,実績!$AL$6:$AL$505,"○")&gt;0,1,0))</f>
        <v>0</v>
      </c>
      <c r="BO22" s="39" t="n">
        <f aca="false">IF(BO$4=0,0,IF(COUNTIFS(実績!$W$6:$W$505,BO$3,実績!$AI$6:$AI$505,"&lt;="&amp;$A22,実績!$AJ$6:$AJ$505,"&gt;"&amp;$A22,実績!$AL$6:$AL$505,"○")&gt;0,1,0))</f>
        <v>0</v>
      </c>
      <c r="BP22" s="39" t="n">
        <f aca="false">IF(BP$4=0,0,IF(COUNTIFS(実績!$W$6:$W$505,BP$3,実績!$AI$6:$AI$505,"&lt;="&amp;$A22,実績!$AJ$6:$AJ$505,"&gt;"&amp;$A22,実績!$AL$6:$AL$505,"○")&gt;0,1,0))</f>
        <v>0</v>
      </c>
      <c r="BQ22" s="39" t="n">
        <f aca="false">IF(BQ$4=0,0,IF(COUNTIFS(実績!$W$6:$W$505,BQ$3,実績!$AI$6:$AI$505,"&lt;="&amp;$A22,実績!$AJ$6:$AJ$505,"&gt;"&amp;$A22,実績!$AL$6:$AL$505,"○")&gt;0,1,0))</f>
        <v>0</v>
      </c>
      <c r="BR22" s="39" t="n">
        <f aca="false">IF(BR$4=0,0,IF(COUNTIFS(実績!$W$6:$W$505,BR$3,実績!$AI$6:$AI$505,"&lt;="&amp;$A22,実績!$AJ$6:$AJ$505,"&gt;"&amp;$A22,実績!$AL$6:$AL$505,"○")&gt;0,1,0))</f>
        <v>0</v>
      </c>
      <c r="BS22" s="39" t="n">
        <f aca="false">IF(BS$4=0,0,IF(COUNTIFS(実績!$W$6:$W$505,BS$3,実績!$AI$6:$AI$505,"&lt;="&amp;$A22,実績!$AJ$6:$AJ$505,"&gt;"&amp;$A22,実績!$AL$6:$AL$505,"○")&gt;0,1,0))</f>
        <v>0</v>
      </c>
      <c r="BT22" s="39" t="n">
        <f aca="false">IF(BT$4=0,0,IF(COUNTIFS(実績!$W$6:$W$505,BT$3,実績!$AI$6:$AI$505,"&lt;="&amp;$A22,実績!$AJ$6:$AJ$505,"&gt;"&amp;$A22,実績!$AL$6:$AL$505,"○")&gt;0,1,0))</f>
        <v>0</v>
      </c>
      <c r="BU22" s="39" t="n">
        <f aca="false">IF(BU$4=0,0,IF(COUNTIFS(実績!$W$6:$W$505,BU$3,実績!$AI$6:$AI$505,"&lt;="&amp;$A22,実績!$AJ$6:$AJ$505,"&gt;"&amp;$A22,実績!$AL$6:$AL$505,"○")&gt;0,1,0))</f>
        <v>0</v>
      </c>
      <c r="BV22" s="39" t="n">
        <f aca="false">IF(BV$4=0,0,IF(COUNTIFS(実績!$W$6:$W$505,BV$3,実績!$AI$6:$AI$505,"&lt;="&amp;$A22,実績!$AJ$6:$AJ$505,"&gt;"&amp;$A22,実績!$AL$6:$AL$505,"○")&gt;0,1,0))</f>
        <v>0</v>
      </c>
      <c r="BW22" s="39" t="n">
        <f aca="false">IF(BW$4=0,0,IF(COUNTIFS(実績!$W$6:$W$505,BW$3,実績!$AI$6:$AI$505,"&lt;="&amp;$A22,実績!$AJ$6:$AJ$505,"&gt;"&amp;$A22,実績!$AL$6:$AL$505,"○")&gt;0,1,0))</f>
        <v>0</v>
      </c>
      <c r="BX22" s="39" t="n">
        <f aca="false">IF(BX$4=0,0,IF(COUNTIFS(実績!$W$6:$W$505,BX$3,実績!$AI$6:$AI$505,"&lt;="&amp;$A22,実績!$AJ$6:$AJ$505,"&gt;"&amp;$A22,実績!$AL$6:$AL$505,"○")&gt;0,1,0))</f>
        <v>0</v>
      </c>
      <c r="BY22" s="39" t="n">
        <f aca="false">IF(BY$4=0,0,IF(COUNTIFS(実績!$W$6:$W$505,BY$3,実績!$AI$6:$AI$505,"&lt;="&amp;$A22,実績!$AJ$6:$AJ$505,"&gt;"&amp;$A22,実績!$AL$6:$AL$505,"○")&gt;0,1,0))</f>
        <v>0</v>
      </c>
      <c r="BZ22" s="39" t="n">
        <f aca="false">IF(BZ$4=0,0,IF(COUNTIFS(実績!$W$6:$W$505,BZ$3,実績!$AI$6:$AI$505,"&lt;="&amp;$A22,実績!$AJ$6:$AJ$505,"&gt;"&amp;$A22,実績!$AL$6:$AL$505,"○")&gt;0,1,0))</f>
        <v>0</v>
      </c>
      <c r="CA22" s="39" t="n">
        <f aca="false">IF(CA$4=0,0,IF(COUNTIFS(実績!$W$6:$W$505,CA$3,実績!$AI$6:$AI$505,"&lt;="&amp;$A22,実績!$AJ$6:$AJ$505,"&gt;"&amp;$A22,実績!$AL$6:$AL$505,"○")&gt;0,1,0))</f>
        <v>0</v>
      </c>
      <c r="CB22" s="39" t="n">
        <f aca="false">IF(CB$4=0,0,IF(COUNTIFS(実績!$W$6:$W$505,CB$3,実績!$AI$6:$AI$505,"&lt;="&amp;$A22,実績!$AJ$6:$AJ$505,"&gt;"&amp;$A22,実績!$AL$6:$AL$505,"○")&gt;0,1,0))</f>
        <v>0</v>
      </c>
      <c r="CC22" s="39" t="n">
        <f aca="false">IF(CC$4=0,0,IF(COUNTIFS(実績!$W$6:$W$505,CC$3,実績!$AI$6:$AI$505,"&lt;="&amp;$A22,実績!$AJ$6:$AJ$505,"&gt;"&amp;$A22,実績!$AL$6:$AL$505,"○")&gt;0,1,0))</f>
        <v>0</v>
      </c>
      <c r="CD22" s="39" t="n">
        <f aca="false">IF(CD$4=0,0,IF(COUNTIFS(実績!$W$6:$W$505,CD$3,実績!$AI$6:$AI$505,"&lt;="&amp;$A22,実績!$AJ$6:$AJ$505,"&gt;"&amp;$A22,実績!$AL$6:$AL$505,"○")&gt;0,1,0))</f>
        <v>0</v>
      </c>
      <c r="CE22" s="39" t="n">
        <f aca="false">IF(CE$4=0,0,IF(COUNTIFS(実績!$W$6:$W$505,CE$3,実績!$AI$6:$AI$505,"&lt;="&amp;$A22,実績!$AJ$6:$AJ$505,"&gt;"&amp;$A22,実績!$AL$6:$AL$505,"○")&gt;0,1,0))</f>
        <v>0</v>
      </c>
      <c r="CF22" s="39" t="n">
        <f aca="false">IF(CF$4=0,0,IF(COUNTIFS(実績!$W$6:$W$505,CF$3,実績!$AI$6:$AI$505,"&lt;="&amp;$A22,実績!$AJ$6:$AJ$505,"&gt;"&amp;$A22,実績!$AL$6:$AL$505,"○")&gt;0,1,0))</f>
        <v>0</v>
      </c>
      <c r="CG22" s="39" t="n">
        <f aca="false">IF(CG$4=0,0,IF(COUNTIFS(実績!$W$6:$W$505,CG$3,実績!$AI$6:$AI$505,"&lt;="&amp;$A22,実績!$AJ$6:$AJ$505,"&gt;"&amp;$A22,実績!$AL$6:$AL$505,"○")&gt;0,1,0))</f>
        <v>0</v>
      </c>
      <c r="CH22" s="39" t="n">
        <f aca="false">IF(CH$4=0,0,IF(COUNTIFS(実績!$W$6:$W$505,CH$3,実績!$AI$6:$AI$505,"&lt;="&amp;$A22,実績!$AJ$6:$AJ$505,"&gt;"&amp;$A22,実績!$AL$6:$AL$505,"○")&gt;0,1,0))</f>
        <v>0</v>
      </c>
      <c r="CI22" s="39" t="n">
        <f aca="false">IF(CI$4=0,0,IF(COUNTIFS(実績!$W$6:$W$505,CI$3,実績!$AI$6:$AI$505,"&lt;="&amp;$A22,実績!$AJ$6:$AJ$505,"&gt;"&amp;$A22,実績!$AL$6:$AL$505,"○")&gt;0,1,0))</f>
        <v>0</v>
      </c>
      <c r="CJ22" s="39" t="n">
        <f aca="false">IF(CJ$4=0,0,IF(COUNTIFS(実績!$W$6:$W$505,CJ$3,実績!$AI$6:$AI$505,"&lt;="&amp;$A22,実績!$AJ$6:$AJ$505,"&gt;"&amp;$A22,実績!$AL$6:$AL$505,"○")&gt;0,1,0))</f>
        <v>0</v>
      </c>
      <c r="CK22" s="39" t="n">
        <f aca="false">IF(CK$4=0,0,IF(COUNTIFS(実績!$W$6:$W$505,CK$3,実績!$AI$6:$AI$505,"&lt;="&amp;$A22,実績!$AJ$6:$AJ$505,"&gt;"&amp;$A22,実績!$AL$6:$AL$505,"○")&gt;0,1,0))</f>
        <v>0</v>
      </c>
      <c r="CL22" s="39" t="n">
        <f aca="false">IF(CL$4=0,0,IF(COUNTIFS(実績!$W$6:$W$505,CL$3,実績!$AI$6:$AI$505,"&lt;="&amp;$A22,実績!$AJ$6:$AJ$505,"&gt;"&amp;$A22,実績!$AL$6:$AL$505,"○")&gt;0,1,0))</f>
        <v>0</v>
      </c>
      <c r="CM22" s="39" t="n">
        <f aca="false">IF(CM$4=0,0,IF(COUNTIFS(実績!$W$6:$W$505,CM$3,実績!$AI$6:$AI$505,"&lt;="&amp;$A22,実績!$AJ$6:$AJ$505,"&gt;"&amp;$A22,実績!$AL$6:$AL$505,"○")&gt;0,1,0))</f>
        <v>0</v>
      </c>
      <c r="CN22" s="39" t="n">
        <f aca="false">IF(CN$4=0,0,IF(COUNTIFS(実績!$W$6:$W$505,CN$3,実績!$AI$6:$AI$505,"&lt;="&amp;$A22,実績!$AJ$6:$AJ$505,"&gt;"&amp;$A22,実績!$AL$6:$AL$505,"○")&gt;0,1,0))</f>
        <v>0</v>
      </c>
      <c r="CO22" s="39" t="n">
        <f aca="false">IF(CO$4=0,0,IF(COUNTIFS(実績!$W$6:$W$505,CO$3,実績!$AI$6:$AI$505,"&lt;="&amp;$A22,実績!$AJ$6:$AJ$505,"&gt;"&amp;$A22,実績!$AL$6:$AL$505,"○")&gt;0,1,0))</f>
        <v>0</v>
      </c>
      <c r="CP22" s="39" t="n">
        <f aca="false">IF(CP$4=0,0,IF(COUNTIFS(実績!$W$6:$W$505,CP$3,実績!$AI$6:$AI$505,"&lt;="&amp;$A22,実績!$AJ$6:$AJ$505,"&gt;"&amp;$A22,実績!$AL$6:$AL$505,"○")&gt;0,1,0))</f>
        <v>0</v>
      </c>
      <c r="CQ22" s="39" t="n">
        <f aca="false">IF(CQ$4=0,0,IF(COUNTIFS(実績!$W$6:$W$505,CQ$3,実績!$AI$6:$AI$505,"&lt;="&amp;$A22,実績!$AJ$6:$AJ$505,"&gt;"&amp;$A22,実績!$AL$6:$AL$505,"○")&gt;0,1,0))</f>
        <v>0</v>
      </c>
      <c r="CR22" s="39" t="n">
        <f aca="false">IF(CR$4=0,0,IF(COUNTIFS(実績!$W$6:$W$505,CR$3,実績!$AI$6:$AI$505,"&lt;="&amp;$A22,実績!$AJ$6:$AJ$505,"&gt;"&amp;$A22,実績!$AL$6:$AL$505,"○")&gt;0,1,0))</f>
        <v>0</v>
      </c>
      <c r="CS22" s="39" t="n">
        <f aca="false">IF(CS$4=0,0,IF(COUNTIFS(実績!$W$6:$W$505,CS$3,実績!$AI$6:$AI$505,"&lt;="&amp;$A22,実績!$AJ$6:$AJ$505,"&gt;"&amp;$A22,実績!$AL$6:$AL$505,"○")&gt;0,1,0))</f>
        <v>0</v>
      </c>
      <c r="CT22" s="39" t="n">
        <f aca="false">IF(CT$4=0,0,IF(COUNTIFS(実績!$W$6:$W$505,CT$3,実績!$AI$6:$AI$505,"&lt;="&amp;$A22,実績!$AJ$6:$AJ$505,"&gt;"&amp;$A22,実績!$AL$6:$AL$505,"○")&gt;0,1,0))</f>
        <v>0</v>
      </c>
      <c r="CU22" s="39" t="n">
        <f aca="false">IF(CU$4=0,0,IF(COUNTIFS(実績!$W$6:$W$505,CU$3,実績!$AI$6:$AI$505,"&lt;="&amp;$A22,実績!$AJ$6:$AJ$505,"&gt;"&amp;$A22,実績!$AL$6:$AL$505,"○")&gt;0,1,0))</f>
        <v>0</v>
      </c>
      <c r="CV22" s="39" t="n">
        <f aca="false">IF(CV$4=0,0,IF(COUNTIFS(実績!$W$6:$W$505,CV$3,実績!$AI$6:$AI$505,"&lt;="&amp;$A22,実績!$AJ$6:$AJ$505,"&gt;"&amp;$A22,実績!$AL$6:$AL$505,"○")&gt;0,1,0))</f>
        <v>0</v>
      </c>
      <c r="CW22" s="39" t="n">
        <f aca="false">IF(CW$4=0,0,IF(COUNTIFS(実績!$W$6:$W$505,CW$3,実績!$AI$6:$AI$505,"&lt;="&amp;$A22,実績!$AJ$6:$AJ$505,"&gt;"&amp;$A22,実績!$AL$6:$AL$505,"○")&gt;0,1,0))</f>
        <v>0</v>
      </c>
      <c r="CX22" s="39" t="n">
        <f aca="false">IF(CX$4=0,0,IF(COUNTIFS(実績!$W$6:$W$505,CX$3,実績!$AI$6:$AI$505,"&lt;="&amp;$A22,実績!$AJ$6:$AJ$505,"&gt;"&amp;$A22,実績!$AL$6:$AL$505,"○")&gt;0,1,0))</f>
        <v>0</v>
      </c>
      <c r="CY22" s="39" t="n">
        <f aca="false">IF(CY$4=0,0,IF(COUNTIFS(実績!$W$6:$W$505,CY$3,実績!$AI$6:$AI$505,"&lt;="&amp;$A22,実績!$AJ$6:$AJ$505,"&gt;"&amp;$A22,実績!$AL$6:$AL$505,"○")&gt;0,1,0))</f>
        <v>0</v>
      </c>
      <c r="CZ22" s="39" t="n">
        <f aca="false">IF(CZ$4=0,0,IF(COUNTIFS(実績!$W$6:$W$505,CZ$3,実績!$AI$6:$AI$505,"&lt;="&amp;$A22,実績!$AJ$6:$AJ$505,"&gt;"&amp;$A22,実績!$AL$6:$AL$505,"○")&gt;0,1,0))</f>
        <v>0</v>
      </c>
      <c r="DA22" s="39" t="n">
        <f aca="false">IF(DA$4=0,0,IF(COUNTIFS(実績!$W$6:$W$505,DA$3,実績!$AI$6:$AI$505,"&lt;="&amp;$A22,実績!$AJ$6:$AJ$505,"&gt;"&amp;$A22,実績!$AL$6:$AL$505,"○")&gt;0,1,0))</f>
        <v>0</v>
      </c>
      <c r="DB22" s="39" t="n">
        <f aca="false">IF(DB$4=0,0,IF(COUNTIFS(実績!$W$6:$W$505,DB$3,実績!$AI$6:$AI$505,"&lt;="&amp;$A22,実績!$AJ$6:$AJ$505,"&gt;"&amp;$A22,実績!$AL$6:$AL$505,"○")&gt;0,1,0))</f>
        <v>0</v>
      </c>
      <c r="DC22" s="39" t="n">
        <f aca="false">IF(DC$4=0,0,IF(COUNTIFS(実績!$W$6:$W$505,DC$3,実績!$AI$6:$AI$505,"&lt;="&amp;$A22,実績!$AJ$6:$AJ$505,"&gt;"&amp;$A22,実績!$AL$6:$AL$505,"○")&gt;0,1,0))</f>
        <v>0</v>
      </c>
      <c r="DD22" s="39" t="n">
        <f aca="false">IF(DD$4=0,0,IF(COUNTIFS(実績!$W$6:$W$505,DD$3,実績!$AI$6:$AI$505,"&lt;="&amp;$A22,実績!$AJ$6:$AJ$505,"&gt;"&amp;$A22,実績!$AL$6:$AL$505,"○")&gt;0,1,0))</f>
        <v>0</v>
      </c>
      <c r="DE22" s="39" t="n">
        <f aca="false">IF(DE$4=0,0,IF(COUNTIFS(実績!$W$6:$W$505,DE$3,実績!$AI$6:$AI$505,"&lt;="&amp;$A22,実績!$AJ$6:$AJ$505,"&gt;"&amp;$A22,実績!$AL$6:$AL$505,"○")&gt;0,1,0))</f>
        <v>0</v>
      </c>
      <c r="DF22" s="39" t="n">
        <f aca="false">IF(DF$4=0,0,IF(COUNTIFS(実績!$W$6:$W$505,DF$3,実績!$AI$6:$AI$505,"&lt;="&amp;$A22,実績!$AJ$6:$AJ$505,"&gt;"&amp;$A22,実績!$AL$6:$AL$505,"○")&gt;0,1,0))</f>
        <v>0</v>
      </c>
      <c r="DG22" s="39" t="n">
        <f aca="false">IF(DG$4=0,0,IF(COUNTIFS(実績!$W$6:$W$505,DG$3,実績!$AI$6:$AI$505,"&lt;="&amp;$A22,実績!$AJ$6:$AJ$505,"&gt;"&amp;$A22,実績!$AL$6:$AL$505,"○")&gt;0,1,0))</f>
        <v>0</v>
      </c>
      <c r="DH22" s="39" t="n">
        <f aca="false">IF(DH$4=0,0,IF(COUNTIFS(実績!$W$6:$W$505,DH$3,実績!$AI$6:$AI$505,"&lt;="&amp;$A22,実績!$AJ$6:$AJ$505,"&gt;"&amp;$A22,実績!$AL$6:$AL$505,"○")&gt;0,1,0))</f>
        <v>0</v>
      </c>
      <c r="DI22" s="39" t="n">
        <f aca="false">IF(DI$4=0,0,IF(COUNTIFS(実績!$W$6:$W$505,DI$3,実績!$AI$6:$AI$505,"&lt;="&amp;$A22,実績!$AJ$6:$AJ$505,"&gt;"&amp;$A22,実績!$AL$6:$AL$505,"○")&gt;0,1,0))</f>
        <v>0</v>
      </c>
      <c r="DJ22" s="39" t="n">
        <f aca="false">IF(DJ$4=0,0,IF(COUNTIFS(実績!$W$6:$W$505,DJ$3,実績!$AI$6:$AI$505,"&lt;="&amp;$A22,実績!$AJ$6:$AJ$505,"&gt;"&amp;$A22,実績!$AL$6:$AL$505,"○")&gt;0,1,0))</f>
        <v>0</v>
      </c>
      <c r="DK22" s="39" t="n">
        <f aca="false">IF(DK$4=0,0,IF(COUNTIFS(実績!$W$6:$W$505,DK$3,実績!$AI$6:$AI$505,"&lt;="&amp;$A22,実績!$AJ$6:$AJ$505,"&gt;"&amp;$A22,実績!$AL$6:$AL$505,"○")&gt;0,1,0))</f>
        <v>0</v>
      </c>
      <c r="DL22" s="39" t="n">
        <f aca="false">IF(DL$4=0,0,IF(COUNTIFS(実績!$W$6:$W$505,DL$3,実績!$AI$6:$AI$505,"&lt;="&amp;$A22,実績!$AJ$6:$AJ$505,"&gt;"&amp;$A22,実績!$AL$6:$AL$505,"○")&gt;0,1,0))</f>
        <v>0</v>
      </c>
      <c r="DM22" s="39" t="n">
        <f aca="false">IF(DM$4=0,0,IF(COUNTIFS(実績!$W$6:$W$505,DM$3,実績!$AI$6:$AI$505,"&lt;="&amp;$A22,実績!$AJ$6:$AJ$505,"&gt;"&amp;$A22,実績!$AL$6:$AL$505,"○")&gt;0,1,0))</f>
        <v>0</v>
      </c>
      <c r="DN22" s="39" t="n">
        <f aca="false">IF(DN$4=0,0,IF(COUNTIFS(実績!$W$6:$W$505,DN$3,実績!$AI$6:$AI$505,"&lt;="&amp;$A22,実績!$AJ$6:$AJ$505,"&gt;"&amp;$A22,実績!$AL$6:$AL$505,"○")&gt;0,1,0))</f>
        <v>0</v>
      </c>
      <c r="DO22" s="39" t="n">
        <f aca="false">IF(DO$4=0,0,IF(COUNTIFS(実績!$W$6:$W$505,DO$3,実績!$AI$6:$AI$505,"&lt;="&amp;$A22,実績!$AJ$6:$AJ$505,"&gt;"&amp;$A22,実績!$AL$6:$AL$505,"○")&gt;0,1,0))</f>
        <v>0</v>
      </c>
      <c r="DP22" s="39" t="n">
        <f aca="false">IF(DP$4=0,0,IF(COUNTIFS(実績!$W$6:$W$505,DP$3,実績!$AI$6:$AI$505,"&lt;="&amp;$A22,実績!$AJ$6:$AJ$505,"&gt;"&amp;$A22,実績!$AL$6:$AL$505,"○")&gt;0,1,0))</f>
        <v>0</v>
      </c>
      <c r="DQ22" s="39" t="n">
        <f aca="false">IF(DQ$4=0,0,IF(COUNTIFS(実績!$W$6:$W$505,DQ$3,実績!$AI$6:$AI$505,"&lt;="&amp;$A22,実績!$AJ$6:$AJ$505,"&gt;"&amp;$A22,実績!$AL$6:$AL$505,"○")&gt;0,1,0))</f>
        <v>0</v>
      </c>
      <c r="DR22" s="39" t="n">
        <f aca="false">IF(DR$4=0,0,IF(COUNTIFS(実績!$W$6:$W$505,DR$3,実績!$AI$6:$AI$505,"&lt;="&amp;$A22,実績!$AJ$6:$AJ$505,"&gt;"&amp;$A22,実績!$AL$6:$AL$505,"○")&gt;0,1,0))</f>
        <v>0</v>
      </c>
      <c r="DS22" s="39" t="n">
        <f aca="false">SUM(C22:DR22)</f>
        <v>0</v>
      </c>
    </row>
    <row r="23" customFormat="false" ht="15" hidden="false" customHeight="false" outlineLevel="0" collapsed="false">
      <c r="A23" s="0" t="n">
        <v>85</v>
      </c>
      <c r="B23" s="38" t="n">
        <f aca="false">A23/1440</f>
        <v>0.0590277777777778</v>
      </c>
      <c r="C23" s="39" t="n">
        <f aca="false">IF(C$4=0,0,IF(COUNTIFS(実績!$W$6:$W$505,C$3,実績!$AI$6:$AI$505,"&lt;="&amp;$A23,実績!$AJ$6:$AJ$505,"&gt;"&amp;$A23,実績!$AL$6:$AL$505,"○")&gt;0,1,0))</f>
        <v>0</v>
      </c>
      <c r="D23" s="39" t="n">
        <f aca="false">IF(D$4=0,0,IF(COUNTIFS(実績!$W$6:$W$505,D$3,実績!$AI$6:$AI$505,"&lt;="&amp;$A23,実績!$AJ$6:$AJ$505,"&gt;"&amp;$A23,実績!$AL$6:$AL$505,"○")&gt;0,1,0))</f>
        <v>0</v>
      </c>
      <c r="E23" s="39" t="n">
        <f aca="false">IF(E$4=0,0,IF(COUNTIFS(実績!$W$6:$W$505,E$3,実績!$AI$6:$AI$505,"&lt;="&amp;$A23,実績!$AJ$6:$AJ$505,"&gt;"&amp;$A23,実績!$AL$6:$AL$505,"○")&gt;0,1,0))</f>
        <v>0</v>
      </c>
      <c r="F23" s="39" t="n">
        <f aca="false">IF(F$4=0,0,IF(COUNTIFS(実績!$W$6:$W$505,F$3,実績!$AI$6:$AI$505,"&lt;="&amp;$A23,実績!$AJ$6:$AJ$505,"&gt;"&amp;$A23,実績!$AL$6:$AL$505,"○")&gt;0,1,0))</f>
        <v>0</v>
      </c>
      <c r="G23" s="39" t="n">
        <f aca="false">IF(G$4=0,0,IF(COUNTIFS(実績!$W$6:$W$505,G$3,実績!$AI$6:$AI$505,"&lt;="&amp;$A23,実績!$AJ$6:$AJ$505,"&gt;"&amp;$A23,実績!$AL$6:$AL$505,"○")&gt;0,1,0))</f>
        <v>0</v>
      </c>
      <c r="H23" s="39" t="n">
        <f aca="false">IF(H$4=0,0,IF(COUNTIFS(実績!$W$6:$W$505,H$3,実績!$AI$6:$AI$505,"&lt;="&amp;$A23,実績!$AJ$6:$AJ$505,"&gt;"&amp;$A23,実績!$AL$6:$AL$505,"○")&gt;0,1,0))</f>
        <v>0</v>
      </c>
      <c r="I23" s="39" t="n">
        <f aca="false">IF(I$4=0,0,IF(COUNTIFS(実績!$W$6:$W$505,I$3,実績!$AI$6:$AI$505,"&lt;="&amp;$A23,実績!$AJ$6:$AJ$505,"&gt;"&amp;$A23,実績!$AL$6:$AL$505,"○")&gt;0,1,0))</f>
        <v>0</v>
      </c>
      <c r="J23" s="39" t="n">
        <f aca="false">IF(J$4=0,0,IF(COUNTIFS(実績!$W$6:$W$505,J$3,実績!$AI$6:$AI$505,"&lt;="&amp;$A23,実績!$AJ$6:$AJ$505,"&gt;"&amp;$A23,実績!$AL$6:$AL$505,"○")&gt;0,1,0))</f>
        <v>0</v>
      </c>
      <c r="K23" s="39" t="n">
        <f aca="false">IF(K$4=0,0,IF(COUNTIFS(実績!$W$6:$W$505,K$3,実績!$AI$6:$AI$505,"&lt;="&amp;$A23,実績!$AJ$6:$AJ$505,"&gt;"&amp;$A23,実績!$AL$6:$AL$505,"○")&gt;0,1,0))</f>
        <v>0</v>
      </c>
      <c r="L23" s="39" t="n">
        <f aca="false">IF(L$4=0,0,IF(COUNTIFS(実績!$W$6:$W$505,L$3,実績!$AI$6:$AI$505,"&lt;="&amp;$A23,実績!$AJ$6:$AJ$505,"&gt;"&amp;$A23,実績!$AL$6:$AL$505,"○")&gt;0,1,0))</f>
        <v>0</v>
      </c>
      <c r="M23" s="39" t="n">
        <f aca="false">IF(M$4=0,0,IF(COUNTIFS(実績!$W$6:$W$505,M$3,実績!$AI$6:$AI$505,"&lt;="&amp;$A23,実績!$AJ$6:$AJ$505,"&gt;"&amp;$A23,実績!$AL$6:$AL$505,"○")&gt;0,1,0))</f>
        <v>0</v>
      </c>
      <c r="N23" s="39" t="n">
        <f aca="false">IF(N$4=0,0,IF(COUNTIFS(実績!$W$6:$W$505,N$3,実績!$AI$6:$AI$505,"&lt;="&amp;$A23,実績!$AJ$6:$AJ$505,"&gt;"&amp;$A23,実績!$AL$6:$AL$505,"○")&gt;0,1,0))</f>
        <v>0</v>
      </c>
      <c r="O23" s="39" t="n">
        <f aca="false">IF(O$4=0,0,IF(COUNTIFS(実績!$W$6:$W$505,O$3,実績!$AI$6:$AI$505,"&lt;="&amp;$A23,実績!$AJ$6:$AJ$505,"&gt;"&amp;$A23,実績!$AL$6:$AL$505,"○")&gt;0,1,0))</f>
        <v>0</v>
      </c>
      <c r="P23" s="39" t="n">
        <f aca="false">IF(P$4=0,0,IF(COUNTIFS(実績!$W$6:$W$505,P$3,実績!$AI$6:$AI$505,"&lt;="&amp;$A23,実績!$AJ$6:$AJ$505,"&gt;"&amp;$A23,実績!$AL$6:$AL$505,"○")&gt;0,1,0))</f>
        <v>0</v>
      </c>
      <c r="Q23" s="39" t="n">
        <f aca="false">IF(Q$4=0,0,IF(COUNTIFS(実績!$W$6:$W$505,Q$3,実績!$AI$6:$AI$505,"&lt;="&amp;$A23,実績!$AJ$6:$AJ$505,"&gt;"&amp;$A23,実績!$AL$6:$AL$505,"○")&gt;0,1,0))</f>
        <v>0</v>
      </c>
      <c r="R23" s="39" t="n">
        <f aca="false">IF(R$4=0,0,IF(COUNTIFS(実績!$W$6:$W$505,R$3,実績!$AI$6:$AI$505,"&lt;="&amp;$A23,実績!$AJ$6:$AJ$505,"&gt;"&amp;$A23,実績!$AL$6:$AL$505,"○")&gt;0,1,0))</f>
        <v>0</v>
      </c>
      <c r="S23" s="39" t="n">
        <f aca="false">IF(S$4=0,0,IF(COUNTIFS(実績!$W$6:$W$505,S$3,実績!$AI$6:$AI$505,"&lt;="&amp;$A23,実績!$AJ$6:$AJ$505,"&gt;"&amp;$A23,実績!$AL$6:$AL$505,"○")&gt;0,1,0))</f>
        <v>0</v>
      </c>
      <c r="T23" s="39" t="n">
        <f aca="false">IF(T$4=0,0,IF(COUNTIFS(実績!$W$6:$W$505,T$3,実績!$AI$6:$AI$505,"&lt;="&amp;$A23,実績!$AJ$6:$AJ$505,"&gt;"&amp;$A23,実績!$AL$6:$AL$505,"○")&gt;0,1,0))</f>
        <v>0</v>
      </c>
      <c r="U23" s="39" t="n">
        <f aca="false">IF(U$4=0,0,IF(COUNTIFS(実績!$W$6:$W$505,U$3,実績!$AI$6:$AI$505,"&lt;="&amp;$A23,実績!$AJ$6:$AJ$505,"&gt;"&amp;$A23,実績!$AL$6:$AL$505,"○")&gt;0,1,0))</f>
        <v>0</v>
      </c>
      <c r="V23" s="39" t="n">
        <f aca="false">IF(V$4=0,0,IF(COUNTIFS(実績!$W$6:$W$505,V$3,実績!$AI$6:$AI$505,"&lt;="&amp;$A23,実績!$AJ$6:$AJ$505,"&gt;"&amp;$A23,実績!$AL$6:$AL$505,"○")&gt;0,1,0))</f>
        <v>0</v>
      </c>
      <c r="W23" s="39" t="n">
        <f aca="false">IF(W$4=0,0,IF(COUNTIFS(実績!$W$6:$W$505,W$3,実績!$AI$6:$AI$505,"&lt;="&amp;$A23,実績!$AJ$6:$AJ$505,"&gt;"&amp;$A23,実績!$AL$6:$AL$505,"○")&gt;0,1,0))</f>
        <v>0</v>
      </c>
      <c r="X23" s="39" t="n">
        <f aca="false">IF(X$4=0,0,IF(COUNTIFS(実績!$W$6:$W$505,X$3,実績!$AI$6:$AI$505,"&lt;="&amp;$A23,実績!$AJ$6:$AJ$505,"&gt;"&amp;$A23,実績!$AL$6:$AL$505,"○")&gt;0,1,0))</f>
        <v>0</v>
      </c>
      <c r="Y23" s="39" t="n">
        <f aca="false">IF(Y$4=0,0,IF(COUNTIFS(実績!$W$6:$W$505,Y$3,実績!$AI$6:$AI$505,"&lt;="&amp;$A23,実績!$AJ$6:$AJ$505,"&gt;"&amp;$A23,実績!$AL$6:$AL$505,"○")&gt;0,1,0))</f>
        <v>0</v>
      </c>
      <c r="Z23" s="39" t="n">
        <f aca="false">IF(Z$4=0,0,IF(COUNTIFS(実績!$W$6:$W$505,Z$3,実績!$AI$6:$AI$505,"&lt;="&amp;$A23,実績!$AJ$6:$AJ$505,"&gt;"&amp;$A23,実績!$AL$6:$AL$505,"○")&gt;0,1,0))</f>
        <v>0</v>
      </c>
      <c r="AA23" s="39" t="n">
        <f aca="false">IF(AA$4=0,0,IF(COUNTIFS(実績!$W$6:$W$505,AA$3,実績!$AI$6:$AI$505,"&lt;="&amp;$A23,実績!$AJ$6:$AJ$505,"&gt;"&amp;$A23,実績!$AL$6:$AL$505,"○")&gt;0,1,0))</f>
        <v>0</v>
      </c>
      <c r="AB23" s="39" t="n">
        <f aca="false">IF(AB$4=0,0,IF(COUNTIFS(実績!$W$6:$W$505,AB$3,実績!$AI$6:$AI$505,"&lt;="&amp;$A23,実績!$AJ$6:$AJ$505,"&gt;"&amp;$A23,実績!$AL$6:$AL$505,"○")&gt;0,1,0))</f>
        <v>0</v>
      </c>
      <c r="AC23" s="39" t="n">
        <f aca="false">IF(AC$4=0,0,IF(COUNTIFS(実績!$W$6:$W$505,AC$3,実績!$AI$6:$AI$505,"&lt;="&amp;$A23,実績!$AJ$6:$AJ$505,"&gt;"&amp;$A23,実績!$AL$6:$AL$505,"○")&gt;0,1,0))</f>
        <v>0</v>
      </c>
      <c r="AD23" s="39" t="n">
        <f aca="false">IF(AD$4=0,0,IF(COUNTIFS(実績!$W$6:$W$505,AD$3,実績!$AI$6:$AI$505,"&lt;="&amp;$A23,実績!$AJ$6:$AJ$505,"&gt;"&amp;$A23,実績!$AL$6:$AL$505,"○")&gt;0,1,0))</f>
        <v>0</v>
      </c>
      <c r="AE23" s="39" t="n">
        <f aca="false">IF(AE$4=0,0,IF(COUNTIFS(実績!$W$6:$W$505,AE$3,実績!$AI$6:$AI$505,"&lt;="&amp;$A23,実績!$AJ$6:$AJ$505,"&gt;"&amp;$A23,実績!$AL$6:$AL$505,"○")&gt;0,1,0))</f>
        <v>0</v>
      </c>
      <c r="AF23" s="39" t="n">
        <f aca="false">IF(AF$4=0,0,IF(COUNTIFS(実績!$W$6:$W$505,AF$3,実績!$AI$6:$AI$505,"&lt;="&amp;$A23,実績!$AJ$6:$AJ$505,"&gt;"&amp;$A23,実績!$AL$6:$AL$505,"○")&gt;0,1,0))</f>
        <v>0</v>
      </c>
      <c r="AG23" s="39" t="n">
        <f aca="false">IF(AG$4=0,0,IF(COUNTIFS(実績!$W$6:$W$505,AG$3,実績!$AI$6:$AI$505,"&lt;="&amp;$A23,実績!$AJ$6:$AJ$505,"&gt;"&amp;$A23,実績!$AL$6:$AL$505,"○")&gt;0,1,0))</f>
        <v>0</v>
      </c>
      <c r="AH23" s="39" t="n">
        <f aca="false">IF(AH$4=0,0,IF(COUNTIFS(実績!$W$6:$W$505,AH$3,実績!$AI$6:$AI$505,"&lt;="&amp;$A23,実績!$AJ$6:$AJ$505,"&gt;"&amp;$A23,実績!$AL$6:$AL$505,"○")&gt;0,1,0))</f>
        <v>0</v>
      </c>
      <c r="AI23" s="39" t="n">
        <f aca="false">IF(AI$4=0,0,IF(COUNTIFS(実績!$W$6:$W$505,AI$3,実績!$AI$6:$AI$505,"&lt;="&amp;$A23,実績!$AJ$6:$AJ$505,"&gt;"&amp;$A23,実績!$AL$6:$AL$505,"○")&gt;0,1,0))</f>
        <v>0</v>
      </c>
      <c r="AJ23" s="39" t="n">
        <f aca="false">IF(AJ$4=0,0,IF(COUNTIFS(実績!$W$6:$W$505,AJ$3,実績!$AI$6:$AI$505,"&lt;="&amp;$A23,実績!$AJ$6:$AJ$505,"&gt;"&amp;$A23,実績!$AL$6:$AL$505,"○")&gt;0,1,0))</f>
        <v>0</v>
      </c>
      <c r="AK23" s="39" t="n">
        <f aca="false">IF(AK$4=0,0,IF(COUNTIFS(実績!$W$6:$W$505,AK$3,実績!$AI$6:$AI$505,"&lt;="&amp;$A23,実績!$AJ$6:$AJ$505,"&gt;"&amp;$A23,実績!$AL$6:$AL$505,"○")&gt;0,1,0))</f>
        <v>0</v>
      </c>
      <c r="AL23" s="39" t="n">
        <f aca="false">IF(AL$4=0,0,IF(COUNTIFS(実績!$W$6:$W$505,AL$3,実績!$AI$6:$AI$505,"&lt;="&amp;$A23,実績!$AJ$6:$AJ$505,"&gt;"&amp;$A23,実績!$AL$6:$AL$505,"○")&gt;0,1,0))</f>
        <v>0</v>
      </c>
      <c r="AM23" s="39" t="n">
        <f aca="false">IF(AM$4=0,0,IF(COUNTIFS(実績!$W$6:$W$505,AM$3,実績!$AI$6:$AI$505,"&lt;="&amp;$A23,実績!$AJ$6:$AJ$505,"&gt;"&amp;$A23,実績!$AL$6:$AL$505,"○")&gt;0,1,0))</f>
        <v>0</v>
      </c>
      <c r="AN23" s="39" t="n">
        <f aca="false">IF(AN$4=0,0,IF(COUNTIFS(実績!$W$6:$W$505,AN$3,実績!$AI$6:$AI$505,"&lt;="&amp;$A23,実績!$AJ$6:$AJ$505,"&gt;"&amp;$A23,実績!$AL$6:$AL$505,"○")&gt;0,1,0))</f>
        <v>0</v>
      </c>
      <c r="AO23" s="39" t="n">
        <f aca="false">IF(AO$4=0,0,IF(COUNTIFS(実績!$W$6:$W$505,AO$3,実績!$AI$6:$AI$505,"&lt;="&amp;$A23,実績!$AJ$6:$AJ$505,"&gt;"&amp;$A23,実績!$AL$6:$AL$505,"○")&gt;0,1,0))</f>
        <v>0</v>
      </c>
      <c r="AP23" s="39" t="n">
        <f aca="false">IF(AP$4=0,0,IF(COUNTIFS(実績!$W$6:$W$505,AP$3,実績!$AI$6:$AI$505,"&lt;="&amp;$A23,実績!$AJ$6:$AJ$505,"&gt;"&amp;$A23,実績!$AL$6:$AL$505,"○")&gt;0,1,0))</f>
        <v>0</v>
      </c>
      <c r="AQ23" s="39" t="n">
        <f aca="false">IF(AQ$4=0,0,IF(COUNTIFS(実績!$W$6:$W$505,AQ$3,実績!$AI$6:$AI$505,"&lt;="&amp;$A23,実績!$AJ$6:$AJ$505,"&gt;"&amp;$A23,実績!$AL$6:$AL$505,"○")&gt;0,1,0))</f>
        <v>0</v>
      </c>
      <c r="AR23" s="39" t="n">
        <f aca="false">IF(AR$4=0,0,IF(COUNTIFS(実績!$W$6:$W$505,AR$3,実績!$AI$6:$AI$505,"&lt;="&amp;$A23,実績!$AJ$6:$AJ$505,"&gt;"&amp;$A23,実績!$AL$6:$AL$505,"○")&gt;0,1,0))</f>
        <v>0</v>
      </c>
      <c r="AS23" s="39" t="n">
        <f aca="false">IF(AS$4=0,0,IF(COUNTIFS(実績!$W$6:$W$505,AS$3,実績!$AI$6:$AI$505,"&lt;="&amp;$A23,実績!$AJ$6:$AJ$505,"&gt;"&amp;$A23,実績!$AL$6:$AL$505,"○")&gt;0,1,0))</f>
        <v>0</v>
      </c>
      <c r="AT23" s="39" t="n">
        <f aca="false">IF(AT$4=0,0,IF(COUNTIFS(実績!$W$6:$W$505,AT$3,実績!$AI$6:$AI$505,"&lt;="&amp;$A23,実績!$AJ$6:$AJ$505,"&gt;"&amp;$A23,実績!$AL$6:$AL$505,"○")&gt;0,1,0))</f>
        <v>0</v>
      </c>
      <c r="AU23" s="39" t="n">
        <f aca="false">IF(AU$4=0,0,IF(COUNTIFS(実績!$W$6:$W$505,AU$3,実績!$AI$6:$AI$505,"&lt;="&amp;$A23,実績!$AJ$6:$AJ$505,"&gt;"&amp;$A23,実績!$AL$6:$AL$505,"○")&gt;0,1,0))</f>
        <v>0</v>
      </c>
      <c r="AV23" s="39" t="n">
        <f aca="false">IF(AV$4=0,0,IF(COUNTIFS(実績!$W$6:$W$505,AV$3,実績!$AI$6:$AI$505,"&lt;="&amp;$A23,実績!$AJ$6:$AJ$505,"&gt;"&amp;$A23,実績!$AL$6:$AL$505,"○")&gt;0,1,0))</f>
        <v>0</v>
      </c>
      <c r="AW23" s="39" t="n">
        <f aca="false">IF(AW$4=0,0,IF(COUNTIFS(実績!$W$6:$W$505,AW$3,実績!$AI$6:$AI$505,"&lt;="&amp;$A23,実績!$AJ$6:$AJ$505,"&gt;"&amp;$A23,実績!$AL$6:$AL$505,"○")&gt;0,1,0))</f>
        <v>0</v>
      </c>
      <c r="AX23" s="39" t="n">
        <f aca="false">IF(AX$4=0,0,IF(COUNTIFS(実績!$W$6:$W$505,AX$3,実績!$AI$6:$AI$505,"&lt;="&amp;$A23,実績!$AJ$6:$AJ$505,"&gt;"&amp;$A23,実績!$AL$6:$AL$505,"○")&gt;0,1,0))</f>
        <v>0</v>
      </c>
      <c r="AY23" s="39" t="n">
        <f aca="false">IF(AY$4=0,0,IF(COUNTIFS(実績!$W$6:$W$505,AY$3,実績!$AI$6:$AI$505,"&lt;="&amp;$A23,実績!$AJ$6:$AJ$505,"&gt;"&amp;$A23,実績!$AL$6:$AL$505,"○")&gt;0,1,0))</f>
        <v>0</v>
      </c>
      <c r="AZ23" s="39" t="n">
        <f aca="false">IF(AZ$4=0,0,IF(COUNTIFS(実績!$W$6:$W$505,AZ$3,実績!$AI$6:$AI$505,"&lt;="&amp;$A23,実績!$AJ$6:$AJ$505,"&gt;"&amp;$A23,実績!$AL$6:$AL$505,"○")&gt;0,1,0))</f>
        <v>0</v>
      </c>
      <c r="BA23" s="39" t="n">
        <f aca="false">IF(BA$4=0,0,IF(COUNTIFS(実績!$W$6:$W$505,BA$3,実績!$AI$6:$AI$505,"&lt;="&amp;$A23,実績!$AJ$6:$AJ$505,"&gt;"&amp;$A23,実績!$AL$6:$AL$505,"○")&gt;0,1,0))</f>
        <v>0</v>
      </c>
      <c r="BB23" s="39" t="n">
        <f aca="false">IF(BB$4=0,0,IF(COUNTIFS(実績!$W$6:$W$505,BB$3,実績!$AI$6:$AI$505,"&lt;="&amp;$A23,実績!$AJ$6:$AJ$505,"&gt;"&amp;$A23,実績!$AL$6:$AL$505,"○")&gt;0,1,0))</f>
        <v>0</v>
      </c>
      <c r="BC23" s="39" t="n">
        <f aca="false">IF(BC$4=0,0,IF(COUNTIFS(実績!$W$6:$W$505,BC$3,実績!$AI$6:$AI$505,"&lt;="&amp;$A23,実績!$AJ$6:$AJ$505,"&gt;"&amp;$A23,実績!$AL$6:$AL$505,"○")&gt;0,1,0))</f>
        <v>0</v>
      </c>
      <c r="BD23" s="39" t="n">
        <f aca="false">IF(BD$4=0,0,IF(COUNTIFS(実績!$W$6:$W$505,BD$3,実績!$AI$6:$AI$505,"&lt;="&amp;$A23,実績!$AJ$6:$AJ$505,"&gt;"&amp;$A23,実績!$AL$6:$AL$505,"○")&gt;0,1,0))</f>
        <v>0</v>
      </c>
      <c r="BE23" s="39" t="n">
        <f aca="false">IF(BE$4=0,0,IF(COUNTIFS(実績!$W$6:$W$505,BE$3,実績!$AI$6:$AI$505,"&lt;="&amp;$A23,実績!$AJ$6:$AJ$505,"&gt;"&amp;$A23,実績!$AL$6:$AL$505,"○")&gt;0,1,0))</f>
        <v>0</v>
      </c>
      <c r="BF23" s="39" t="n">
        <f aca="false">IF(BF$4=0,0,IF(COUNTIFS(実績!$W$6:$W$505,BF$3,実績!$AI$6:$AI$505,"&lt;="&amp;$A23,実績!$AJ$6:$AJ$505,"&gt;"&amp;$A23,実績!$AL$6:$AL$505,"○")&gt;0,1,0))</f>
        <v>0</v>
      </c>
      <c r="BG23" s="39" t="n">
        <f aca="false">IF(BG$4=0,0,IF(COUNTIFS(実績!$W$6:$W$505,BG$3,実績!$AI$6:$AI$505,"&lt;="&amp;$A23,実績!$AJ$6:$AJ$505,"&gt;"&amp;$A23,実績!$AL$6:$AL$505,"○")&gt;0,1,0))</f>
        <v>0</v>
      </c>
      <c r="BH23" s="39" t="n">
        <f aca="false">IF(BH$4=0,0,IF(COUNTIFS(実績!$W$6:$W$505,BH$3,実績!$AI$6:$AI$505,"&lt;="&amp;$A23,実績!$AJ$6:$AJ$505,"&gt;"&amp;$A23,実績!$AL$6:$AL$505,"○")&gt;0,1,0))</f>
        <v>0</v>
      </c>
      <c r="BI23" s="39" t="n">
        <f aca="false">IF(BI$4=0,0,IF(COUNTIFS(実績!$W$6:$W$505,BI$3,実績!$AI$6:$AI$505,"&lt;="&amp;$A23,実績!$AJ$6:$AJ$505,"&gt;"&amp;$A23,実績!$AL$6:$AL$505,"○")&gt;0,1,0))</f>
        <v>0</v>
      </c>
      <c r="BJ23" s="39" t="n">
        <f aca="false">IF(BJ$4=0,0,IF(COUNTIFS(実績!$W$6:$W$505,BJ$3,実績!$AI$6:$AI$505,"&lt;="&amp;$A23,実績!$AJ$6:$AJ$505,"&gt;"&amp;$A23,実績!$AL$6:$AL$505,"○")&gt;0,1,0))</f>
        <v>0</v>
      </c>
      <c r="BK23" s="39" t="n">
        <f aca="false">IF(BK$4=0,0,IF(COUNTIFS(実績!$W$6:$W$505,BK$3,実績!$AI$6:$AI$505,"&lt;="&amp;$A23,実績!$AJ$6:$AJ$505,"&gt;"&amp;$A23,実績!$AL$6:$AL$505,"○")&gt;0,1,0))</f>
        <v>0</v>
      </c>
      <c r="BL23" s="39" t="n">
        <f aca="false">IF(BL$4=0,0,IF(COUNTIFS(実績!$W$6:$W$505,BL$3,実績!$AI$6:$AI$505,"&lt;="&amp;$A23,実績!$AJ$6:$AJ$505,"&gt;"&amp;$A23,実績!$AL$6:$AL$505,"○")&gt;0,1,0))</f>
        <v>0</v>
      </c>
      <c r="BM23" s="39" t="n">
        <f aca="false">IF(BM$4=0,0,IF(COUNTIFS(実績!$W$6:$W$505,BM$3,実績!$AI$6:$AI$505,"&lt;="&amp;$A23,実績!$AJ$6:$AJ$505,"&gt;"&amp;$A23,実績!$AL$6:$AL$505,"○")&gt;0,1,0))</f>
        <v>0</v>
      </c>
      <c r="BN23" s="39" t="n">
        <f aca="false">IF(BN$4=0,0,IF(COUNTIFS(実績!$W$6:$W$505,BN$3,実績!$AI$6:$AI$505,"&lt;="&amp;$A23,実績!$AJ$6:$AJ$505,"&gt;"&amp;$A23,実績!$AL$6:$AL$505,"○")&gt;0,1,0))</f>
        <v>0</v>
      </c>
      <c r="BO23" s="39" t="n">
        <f aca="false">IF(BO$4=0,0,IF(COUNTIFS(実績!$W$6:$W$505,BO$3,実績!$AI$6:$AI$505,"&lt;="&amp;$A23,実績!$AJ$6:$AJ$505,"&gt;"&amp;$A23,実績!$AL$6:$AL$505,"○")&gt;0,1,0))</f>
        <v>0</v>
      </c>
      <c r="BP23" s="39" t="n">
        <f aca="false">IF(BP$4=0,0,IF(COUNTIFS(実績!$W$6:$W$505,BP$3,実績!$AI$6:$AI$505,"&lt;="&amp;$A23,実績!$AJ$6:$AJ$505,"&gt;"&amp;$A23,実績!$AL$6:$AL$505,"○")&gt;0,1,0))</f>
        <v>0</v>
      </c>
      <c r="BQ23" s="39" t="n">
        <f aca="false">IF(BQ$4=0,0,IF(COUNTIFS(実績!$W$6:$W$505,BQ$3,実績!$AI$6:$AI$505,"&lt;="&amp;$A23,実績!$AJ$6:$AJ$505,"&gt;"&amp;$A23,実績!$AL$6:$AL$505,"○")&gt;0,1,0))</f>
        <v>0</v>
      </c>
      <c r="BR23" s="39" t="n">
        <f aca="false">IF(BR$4=0,0,IF(COUNTIFS(実績!$W$6:$W$505,BR$3,実績!$AI$6:$AI$505,"&lt;="&amp;$A23,実績!$AJ$6:$AJ$505,"&gt;"&amp;$A23,実績!$AL$6:$AL$505,"○")&gt;0,1,0))</f>
        <v>0</v>
      </c>
      <c r="BS23" s="39" t="n">
        <f aca="false">IF(BS$4=0,0,IF(COUNTIFS(実績!$W$6:$W$505,BS$3,実績!$AI$6:$AI$505,"&lt;="&amp;$A23,実績!$AJ$6:$AJ$505,"&gt;"&amp;$A23,実績!$AL$6:$AL$505,"○")&gt;0,1,0))</f>
        <v>0</v>
      </c>
      <c r="BT23" s="39" t="n">
        <f aca="false">IF(BT$4=0,0,IF(COUNTIFS(実績!$W$6:$W$505,BT$3,実績!$AI$6:$AI$505,"&lt;="&amp;$A23,実績!$AJ$6:$AJ$505,"&gt;"&amp;$A23,実績!$AL$6:$AL$505,"○")&gt;0,1,0))</f>
        <v>0</v>
      </c>
      <c r="BU23" s="39" t="n">
        <f aca="false">IF(BU$4=0,0,IF(COUNTIFS(実績!$W$6:$W$505,BU$3,実績!$AI$6:$AI$505,"&lt;="&amp;$A23,実績!$AJ$6:$AJ$505,"&gt;"&amp;$A23,実績!$AL$6:$AL$505,"○")&gt;0,1,0))</f>
        <v>0</v>
      </c>
      <c r="BV23" s="39" t="n">
        <f aca="false">IF(BV$4=0,0,IF(COUNTIFS(実績!$W$6:$W$505,BV$3,実績!$AI$6:$AI$505,"&lt;="&amp;$A23,実績!$AJ$6:$AJ$505,"&gt;"&amp;$A23,実績!$AL$6:$AL$505,"○")&gt;0,1,0))</f>
        <v>0</v>
      </c>
      <c r="BW23" s="39" t="n">
        <f aca="false">IF(BW$4=0,0,IF(COUNTIFS(実績!$W$6:$W$505,BW$3,実績!$AI$6:$AI$505,"&lt;="&amp;$A23,実績!$AJ$6:$AJ$505,"&gt;"&amp;$A23,実績!$AL$6:$AL$505,"○")&gt;0,1,0))</f>
        <v>0</v>
      </c>
      <c r="BX23" s="39" t="n">
        <f aca="false">IF(BX$4=0,0,IF(COUNTIFS(実績!$W$6:$W$505,BX$3,実績!$AI$6:$AI$505,"&lt;="&amp;$A23,実績!$AJ$6:$AJ$505,"&gt;"&amp;$A23,実績!$AL$6:$AL$505,"○")&gt;0,1,0))</f>
        <v>0</v>
      </c>
      <c r="BY23" s="39" t="n">
        <f aca="false">IF(BY$4=0,0,IF(COUNTIFS(実績!$W$6:$W$505,BY$3,実績!$AI$6:$AI$505,"&lt;="&amp;$A23,実績!$AJ$6:$AJ$505,"&gt;"&amp;$A23,実績!$AL$6:$AL$505,"○")&gt;0,1,0))</f>
        <v>0</v>
      </c>
      <c r="BZ23" s="39" t="n">
        <f aca="false">IF(BZ$4=0,0,IF(COUNTIFS(実績!$W$6:$W$505,BZ$3,実績!$AI$6:$AI$505,"&lt;="&amp;$A23,実績!$AJ$6:$AJ$505,"&gt;"&amp;$A23,実績!$AL$6:$AL$505,"○")&gt;0,1,0))</f>
        <v>0</v>
      </c>
      <c r="CA23" s="39" t="n">
        <f aca="false">IF(CA$4=0,0,IF(COUNTIFS(実績!$W$6:$W$505,CA$3,実績!$AI$6:$AI$505,"&lt;="&amp;$A23,実績!$AJ$6:$AJ$505,"&gt;"&amp;$A23,実績!$AL$6:$AL$505,"○")&gt;0,1,0))</f>
        <v>0</v>
      </c>
      <c r="CB23" s="39" t="n">
        <f aca="false">IF(CB$4=0,0,IF(COUNTIFS(実績!$W$6:$W$505,CB$3,実績!$AI$6:$AI$505,"&lt;="&amp;$A23,実績!$AJ$6:$AJ$505,"&gt;"&amp;$A23,実績!$AL$6:$AL$505,"○")&gt;0,1,0))</f>
        <v>0</v>
      </c>
      <c r="CC23" s="39" t="n">
        <f aca="false">IF(CC$4=0,0,IF(COUNTIFS(実績!$W$6:$W$505,CC$3,実績!$AI$6:$AI$505,"&lt;="&amp;$A23,実績!$AJ$6:$AJ$505,"&gt;"&amp;$A23,実績!$AL$6:$AL$505,"○")&gt;0,1,0))</f>
        <v>0</v>
      </c>
      <c r="CD23" s="39" t="n">
        <f aca="false">IF(CD$4=0,0,IF(COUNTIFS(実績!$W$6:$W$505,CD$3,実績!$AI$6:$AI$505,"&lt;="&amp;$A23,実績!$AJ$6:$AJ$505,"&gt;"&amp;$A23,実績!$AL$6:$AL$505,"○")&gt;0,1,0))</f>
        <v>0</v>
      </c>
      <c r="CE23" s="39" t="n">
        <f aca="false">IF(CE$4=0,0,IF(COUNTIFS(実績!$W$6:$W$505,CE$3,実績!$AI$6:$AI$505,"&lt;="&amp;$A23,実績!$AJ$6:$AJ$505,"&gt;"&amp;$A23,実績!$AL$6:$AL$505,"○")&gt;0,1,0))</f>
        <v>0</v>
      </c>
      <c r="CF23" s="39" t="n">
        <f aca="false">IF(CF$4=0,0,IF(COUNTIFS(実績!$W$6:$W$505,CF$3,実績!$AI$6:$AI$505,"&lt;="&amp;$A23,実績!$AJ$6:$AJ$505,"&gt;"&amp;$A23,実績!$AL$6:$AL$505,"○")&gt;0,1,0))</f>
        <v>0</v>
      </c>
      <c r="CG23" s="39" t="n">
        <f aca="false">IF(CG$4=0,0,IF(COUNTIFS(実績!$W$6:$W$505,CG$3,実績!$AI$6:$AI$505,"&lt;="&amp;$A23,実績!$AJ$6:$AJ$505,"&gt;"&amp;$A23,実績!$AL$6:$AL$505,"○")&gt;0,1,0))</f>
        <v>0</v>
      </c>
      <c r="CH23" s="39" t="n">
        <f aca="false">IF(CH$4=0,0,IF(COUNTIFS(実績!$W$6:$W$505,CH$3,実績!$AI$6:$AI$505,"&lt;="&amp;$A23,実績!$AJ$6:$AJ$505,"&gt;"&amp;$A23,実績!$AL$6:$AL$505,"○")&gt;0,1,0))</f>
        <v>0</v>
      </c>
      <c r="CI23" s="39" t="n">
        <f aca="false">IF(CI$4=0,0,IF(COUNTIFS(実績!$W$6:$W$505,CI$3,実績!$AI$6:$AI$505,"&lt;="&amp;$A23,実績!$AJ$6:$AJ$505,"&gt;"&amp;$A23,実績!$AL$6:$AL$505,"○")&gt;0,1,0))</f>
        <v>0</v>
      </c>
      <c r="CJ23" s="39" t="n">
        <f aca="false">IF(CJ$4=0,0,IF(COUNTIFS(実績!$W$6:$W$505,CJ$3,実績!$AI$6:$AI$505,"&lt;="&amp;$A23,実績!$AJ$6:$AJ$505,"&gt;"&amp;$A23,実績!$AL$6:$AL$505,"○")&gt;0,1,0))</f>
        <v>0</v>
      </c>
      <c r="CK23" s="39" t="n">
        <f aca="false">IF(CK$4=0,0,IF(COUNTIFS(実績!$W$6:$W$505,CK$3,実績!$AI$6:$AI$505,"&lt;="&amp;$A23,実績!$AJ$6:$AJ$505,"&gt;"&amp;$A23,実績!$AL$6:$AL$505,"○")&gt;0,1,0))</f>
        <v>0</v>
      </c>
      <c r="CL23" s="39" t="n">
        <f aca="false">IF(CL$4=0,0,IF(COUNTIFS(実績!$W$6:$W$505,CL$3,実績!$AI$6:$AI$505,"&lt;="&amp;$A23,実績!$AJ$6:$AJ$505,"&gt;"&amp;$A23,実績!$AL$6:$AL$505,"○")&gt;0,1,0))</f>
        <v>0</v>
      </c>
      <c r="CM23" s="39" t="n">
        <f aca="false">IF(CM$4=0,0,IF(COUNTIFS(実績!$W$6:$W$505,CM$3,実績!$AI$6:$AI$505,"&lt;="&amp;$A23,実績!$AJ$6:$AJ$505,"&gt;"&amp;$A23,実績!$AL$6:$AL$505,"○")&gt;0,1,0))</f>
        <v>0</v>
      </c>
      <c r="CN23" s="39" t="n">
        <f aca="false">IF(CN$4=0,0,IF(COUNTIFS(実績!$W$6:$W$505,CN$3,実績!$AI$6:$AI$505,"&lt;="&amp;$A23,実績!$AJ$6:$AJ$505,"&gt;"&amp;$A23,実績!$AL$6:$AL$505,"○")&gt;0,1,0))</f>
        <v>0</v>
      </c>
      <c r="CO23" s="39" t="n">
        <f aca="false">IF(CO$4=0,0,IF(COUNTIFS(実績!$W$6:$W$505,CO$3,実績!$AI$6:$AI$505,"&lt;="&amp;$A23,実績!$AJ$6:$AJ$505,"&gt;"&amp;$A23,実績!$AL$6:$AL$505,"○")&gt;0,1,0))</f>
        <v>0</v>
      </c>
      <c r="CP23" s="39" t="n">
        <f aca="false">IF(CP$4=0,0,IF(COUNTIFS(実績!$W$6:$W$505,CP$3,実績!$AI$6:$AI$505,"&lt;="&amp;$A23,実績!$AJ$6:$AJ$505,"&gt;"&amp;$A23,実績!$AL$6:$AL$505,"○")&gt;0,1,0))</f>
        <v>0</v>
      </c>
      <c r="CQ23" s="39" t="n">
        <f aca="false">IF(CQ$4=0,0,IF(COUNTIFS(実績!$W$6:$W$505,CQ$3,実績!$AI$6:$AI$505,"&lt;="&amp;$A23,実績!$AJ$6:$AJ$505,"&gt;"&amp;$A23,実績!$AL$6:$AL$505,"○")&gt;0,1,0))</f>
        <v>0</v>
      </c>
      <c r="CR23" s="39" t="n">
        <f aca="false">IF(CR$4=0,0,IF(COUNTIFS(実績!$W$6:$W$505,CR$3,実績!$AI$6:$AI$505,"&lt;="&amp;$A23,実績!$AJ$6:$AJ$505,"&gt;"&amp;$A23,実績!$AL$6:$AL$505,"○")&gt;0,1,0))</f>
        <v>0</v>
      </c>
      <c r="CS23" s="39" t="n">
        <f aca="false">IF(CS$4=0,0,IF(COUNTIFS(実績!$W$6:$W$505,CS$3,実績!$AI$6:$AI$505,"&lt;="&amp;$A23,実績!$AJ$6:$AJ$505,"&gt;"&amp;$A23,実績!$AL$6:$AL$505,"○")&gt;0,1,0))</f>
        <v>0</v>
      </c>
      <c r="CT23" s="39" t="n">
        <f aca="false">IF(CT$4=0,0,IF(COUNTIFS(実績!$W$6:$W$505,CT$3,実績!$AI$6:$AI$505,"&lt;="&amp;$A23,実績!$AJ$6:$AJ$505,"&gt;"&amp;$A23,実績!$AL$6:$AL$505,"○")&gt;0,1,0))</f>
        <v>0</v>
      </c>
      <c r="CU23" s="39" t="n">
        <f aca="false">IF(CU$4=0,0,IF(COUNTIFS(実績!$W$6:$W$505,CU$3,実績!$AI$6:$AI$505,"&lt;="&amp;$A23,実績!$AJ$6:$AJ$505,"&gt;"&amp;$A23,実績!$AL$6:$AL$505,"○")&gt;0,1,0))</f>
        <v>0</v>
      </c>
      <c r="CV23" s="39" t="n">
        <f aca="false">IF(CV$4=0,0,IF(COUNTIFS(実績!$W$6:$W$505,CV$3,実績!$AI$6:$AI$505,"&lt;="&amp;$A23,実績!$AJ$6:$AJ$505,"&gt;"&amp;$A23,実績!$AL$6:$AL$505,"○")&gt;0,1,0))</f>
        <v>0</v>
      </c>
      <c r="CW23" s="39" t="n">
        <f aca="false">IF(CW$4=0,0,IF(COUNTIFS(実績!$W$6:$W$505,CW$3,実績!$AI$6:$AI$505,"&lt;="&amp;$A23,実績!$AJ$6:$AJ$505,"&gt;"&amp;$A23,実績!$AL$6:$AL$505,"○")&gt;0,1,0))</f>
        <v>0</v>
      </c>
      <c r="CX23" s="39" t="n">
        <f aca="false">IF(CX$4=0,0,IF(COUNTIFS(実績!$W$6:$W$505,CX$3,実績!$AI$6:$AI$505,"&lt;="&amp;$A23,実績!$AJ$6:$AJ$505,"&gt;"&amp;$A23,実績!$AL$6:$AL$505,"○")&gt;0,1,0))</f>
        <v>0</v>
      </c>
      <c r="CY23" s="39" t="n">
        <f aca="false">IF(CY$4=0,0,IF(COUNTIFS(実績!$W$6:$W$505,CY$3,実績!$AI$6:$AI$505,"&lt;="&amp;$A23,実績!$AJ$6:$AJ$505,"&gt;"&amp;$A23,実績!$AL$6:$AL$505,"○")&gt;0,1,0))</f>
        <v>0</v>
      </c>
      <c r="CZ23" s="39" t="n">
        <f aca="false">IF(CZ$4=0,0,IF(COUNTIFS(実績!$W$6:$W$505,CZ$3,実績!$AI$6:$AI$505,"&lt;="&amp;$A23,実績!$AJ$6:$AJ$505,"&gt;"&amp;$A23,実績!$AL$6:$AL$505,"○")&gt;0,1,0))</f>
        <v>0</v>
      </c>
      <c r="DA23" s="39" t="n">
        <f aca="false">IF(DA$4=0,0,IF(COUNTIFS(実績!$W$6:$W$505,DA$3,実績!$AI$6:$AI$505,"&lt;="&amp;$A23,実績!$AJ$6:$AJ$505,"&gt;"&amp;$A23,実績!$AL$6:$AL$505,"○")&gt;0,1,0))</f>
        <v>0</v>
      </c>
      <c r="DB23" s="39" t="n">
        <f aca="false">IF(DB$4=0,0,IF(COUNTIFS(実績!$W$6:$W$505,DB$3,実績!$AI$6:$AI$505,"&lt;="&amp;$A23,実績!$AJ$6:$AJ$505,"&gt;"&amp;$A23,実績!$AL$6:$AL$505,"○")&gt;0,1,0))</f>
        <v>0</v>
      </c>
      <c r="DC23" s="39" t="n">
        <f aca="false">IF(DC$4=0,0,IF(COUNTIFS(実績!$W$6:$W$505,DC$3,実績!$AI$6:$AI$505,"&lt;="&amp;$A23,実績!$AJ$6:$AJ$505,"&gt;"&amp;$A23,実績!$AL$6:$AL$505,"○")&gt;0,1,0))</f>
        <v>0</v>
      </c>
      <c r="DD23" s="39" t="n">
        <f aca="false">IF(DD$4=0,0,IF(COUNTIFS(実績!$W$6:$W$505,DD$3,実績!$AI$6:$AI$505,"&lt;="&amp;$A23,実績!$AJ$6:$AJ$505,"&gt;"&amp;$A23,実績!$AL$6:$AL$505,"○")&gt;0,1,0))</f>
        <v>0</v>
      </c>
      <c r="DE23" s="39" t="n">
        <f aca="false">IF(DE$4=0,0,IF(COUNTIFS(実績!$W$6:$W$505,DE$3,実績!$AI$6:$AI$505,"&lt;="&amp;$A23,実績!$AJ$6:$AJ$505,"&gt;"&amp;$A23,実績!$AL$6:$AL$505,"○")&gt;0,1,0))</f>
        <v>0</v>
      </c>
      <c r="DF23" s="39" t="n">
        <f aca="false">IF(DF$4=0,0,IF(COUNTIFS(実績!$W$6:$W$505,DF$3,実績!$AI$6:$AI$505,"&lt;="&amp;$A23,実績!$AJ$6:$AJ$505,"&gt;"&amp;$A23,実績!$AL$6:$AL$505,"○")&gt;0,1,0))</f>
        <v>0</v>
      </c>
      <c r="DG23" s="39" t="n">
        <f aca="false">IF(DG$4=0,0,IF(COUNTIFS(実績!$W$6:$W$505,DG$3,実績!$AI$6:$AI$505,"&lt;="&amp;$A23,実績!$AJ$6:$AJ$505,"&gt;"&amp;$A23,実績!$AL$6:$AL$505,"○")&gt;0,1,0))</f>
        <v>0</v>
      </c>
      <c r="DH23" s="39" t="n">
        <f aca="false">IF(DH$4=0,0,IF(COUNTIFS(実績!$W$6:$W$505,DH$3,実績!$AI$6:$AI$505,"&lt;="&amp;$A23,実績!$AJ$6:$AJ$505,"&gt;"&amp;$A23,実績!$AL$6:$AL$505,"○")&gt;0,1,0))</f>
        <v>0</v>
      </c>
      <c r="DI23" s="39" t="n">
        <f aca="false">IF(DI$4=0,0,IF(COUNTIFS(実績!$W$6:$W$505,DI$3,実績!$AI$6:$AI$505,"&lt;="&amp;$A23,実績!$AJ$6:$AJ$505,"&gt;"&amp;$A23,実績!$AL$6:$AL$505,"○")&gt;0,1,0))</f>
        <v>0</v>
      </c>
      <c r="DJ23" s="39" t="n">
        <f aca="false">IF(DJ$4=0,0,IF(COUNTIFS(実績!$W$6:$W$505,DJ$3,実績!$AI$6:$AI$505,"&lt;="&amp;$A23,実績!$AJ$6:$AJ$505,"&gt;"&amp;$A23,実績!$AL$6:$AL$505,"○")&gt;0,1,0))</f>
        <v>0</v>
      </c>
      <c r="DK23" s="39" t="n">
        <f aca="false">IF(DK$4=0,0,IF(COUNTIFS(実績!$W$6:$W$505,DK$3,実績!$AI$6:$AI$505,"&lt;="&amp;$A23,実績!$AJ$6:$AJ$505,"&gt;"&amp;$A23,実績!$AL$6:$AL$505,"○")&gt;0,1,0))</f>
        <v>0</v>
      </c>
      <c r="DL23" s="39" t="n">
        <f aca="false">IF(DL$4=0,0,IF(COUNTIFS(実績!$W$6:$W$505,DL$3,実績!$AI$6:$AI$505,"&lt;="&amp;$A23,実績!$AJ$6:$AJ$505,"&gt;"&amp;$A23,実績!$AL$6:$AL$505,"○")&gt;0,1,0))</f>
        <v>0</v>
      </c>
      <c r="DM23" s="39" t="n">
        <f aca="false">IF(DM$4=0,0,IF(COUNTIFS(実績!$W$6:$W$505,DM$3,実績!$AI$6:$AI$505,"&lt;="&amp;$A23,実績!$AJ$6:$AJ$505,"&gt;"&amp;$A23,実績!$AL$6:$AL$505,"○")&gt;0,1,0))</f>
        <v>0</v>
      </c>
      <c r="DN23" s="39" t="n">
        <f aca="false">IF(DN$4=0,0,IF(COUNTIFS(実績!$W$6:$W$505,DN$3,実績!$AI$6:$AI$505,"&lt;="&amp;$A23,実績!$AJ$6:$AJ$505,"&gt;"&amp;$A23,実績!$AL$6:$AL$505,"○")&gt;0,1,0))</f>
        <v>0</v>
      </c>
      <c r="DO23" s="39" t="n">
        <f aca="false">IF(DO$4=0,0,IF(COUNTIFS(実績!$W$6:$W$505,DO$3,実績!$AI$6:$AI$505,"&lt;="&amp;$A23,実績!$AJ$6:$AJ$505,"&gt;"&amp;$A23,実績!$AL$6:$AL$505,"○")&gt;0,1,0))</f>
        <v>0</v>
      </c>
      <c r="DP23" s="39" t="n">
        <f aca="false">IF(DP$4=0,0,IF(COUNTIFS(実績!$W$6:$W$505,DP$3,実績!$AI$6:$AI$505,"&lt;="&amp;$A23,実績!$AJ$6:$AJ$505,"&gt;"&amp;$A23,実績!$AL$6:$AL$505,"○")&gt;0,1,0))</f>
        <v>0</v>
      </c>
      <c r="DQ23" s="39" t="n">
        <f aca="false">IF(DQ$4=0,0,IF(COUNTIFS(実績!$W$6:$W$505,DQ$3,実績!$AI$6:$AI$505,"&lt;="&amp;$A23,実績!$AJ$6:$AJ$505,"&gt;"&amp;$A23,実績!$AL$6:$AL$505,"○")&gt;0,1,0))</f>
        <v>0</v>
      </c>
      <c r="DR23" s="39" t="n">
        <f aca="false">IF(DR$4=0,0,IF(COUNTIFS(実績!$W$6:$W$505,DR$3,実績!$AI$6:$AI$505,"&lt;="&amp;$A23,実績!$AJ$6:$AJ$505,"&gt;"&amp;$A23,実績!$AL$6:$AL$505,"○")&gt;0,1,0))</f>
        <v>0</v>
      </c>
      <c r="DS23" s="39" t="n">
        <f aca="false">SUM(C23:DR23)</f>
        <v>0</v>
      </c>
    </row>
    <row r="24" customFormat="false" ht="15" hidden="false" customHeight="false" outlineLevel="0" collapsed="false">
      <c r="A24" s="0" t="n">
        <v>90</v>
      </c>
      <c r="B24" s="38" t="n">
        <f aca="false">A24/1440</f>
        <v>0.0625</v>
      </c>
      <c r="C24" s="39" t="n">
        <f aca="false">IF(C$4=0,0,IF(COUNTIFS(実績!$W$6:$W$505,C$3,実績!$AI$6:$AI$505,"&lt;="&amp;$A24,実績!$AJ$6:$AJ$505,"&gt;"&amp;$A24,実績!$AL$6:$AL$505,"○")&gt;0,1,0))</f>
        <v>0</v>
      </c>
      <c r="D24" s="39" t="n">
        <f aca="false">IF(D$4=0,0,IF(COUNTIFS(実績!$W$6:$W$505,D$3,実績!$AI$6:$AI$505,"&lt;="&amp;$A24,実績!$AJ$6:$AJ$505,"&gt;"&amp;$A24,実績!$AL$6:$AL$505,"○")&gt;0,1,0))</f>
        <v>0</v>
      </c>
      <c r="E24" s="39" t="n">
        <f aca="false">IF(E$4=0,0,IF(COUNTIFS(実績!$W$6:$W$505,E$3,実績!$AI$6:$AI$505,"&lt;="&amp;$A24,実績!$AJ$6:$AJ$505,"&gt;"&amp;$A24,実績!$AL$6:$AL$505,"○")&gt;0,1,0))</f>
        <v>0</v>
      </c>
      <c r="F24" s="39" t="n">
        <f aca="false">IF(F$4=0,0,IF(COUNTIFS(実績!$W$6:$W$505,F$3,実績!$AI$6:$AI$505,"&lt;="&amp;$A24,実績!$AJ$6:$AJ$505,"&gt;"&amp;$A24,実績!$AL$6:$AL$505,"○")&gt;0,1,0))</f>
        <v>0</v>
      </c>
      <c r="G24" s="39" t="n">
        <f aca="false">IF(G$4=0,0,IF(COUNTIFS(実績!$W$6:$W$505,G$3,実績!$AI$6:$AI$505,"&lt;="&amp;$A24,実績!$AJ$6:$AJ$505,"&gt;"&amp;$A24,実績!$AL$6:$AL$505,"○")&gt;0,1,0))</f>
        <v>0</v>
      </c>
      <c r="H24" s="39" t="n">
        <f aca="false">IF(H$4=0,0,IF(COUNTIFS(実績!$W$6:$W$505,H$3,実績!$AI$6:$AI$505,"&lt;="&amp;$A24,実績!$AJ$6:$AJ$505,"&gt;"&amp;$A24,実績!$AL$6:$AL$505,"○")&gt;0,1,0))</f>
        <v>0</v>
      </c>
      <c r="I24" s="39" t="n">
        <f aca="false">IF(I$4=0,0,IF(COUNTIFS(実績!$W$6:$W$505,I$3,実績!$AI$6:$AI$505,"&lt;="&amp;$A24,実績!$AJ$6:$AJ$505,"&gt;"&amp;$A24,実績!$AL$6:$AL$505,"○")&gt;0,1,0))</f>
        <v>0</v>
      </c>
      <c r="J24" s="39" t="n">
        <f aca="false">IF(J$4=0,0,IF(COUNTIFS(実績!$W$6:$W$505,J$3,実績!$AI$6:$AI$505,"&lt;="&amp;$A24,実績!$AJ$6:$AJ$505,"&gt;"&amp;$A24,実績!$AL$6:$AL$505,"○")&gt;0,1,0))</f>
        <v>0</v>
      </c>
      <c r="K24" s="39" t="n">
        <f aca="false">IF(K$4=0,0,IF(COUNTIFS(実績!$W$6:$W$505,K$3,実績!$AI$6:$AI$505,"&lt;="&amp;$A24,実績!$AJ$6:$AJ$505,"&gt;"&amp;$A24,実績!$AL$6:$AL$505,"○")&gt;0,1,0))</f>
        <v>0</v>
      </c>
      <c r="L24" s="39" t="n">
        <f aca="false">IF(L$4=0,0,IF(COUNTIFS(実績!$W$6:$W$505,L$3,実績!$AI$6:$AI$505,"&lt;="&amp;$A24,実績!$AJ$6:$AJ$505,"&gt;"&amp;$A24,実績!$AL$6:$AL$505,"○")&gt;0,1,0))</f>
        <v>0</v>
      </c>
      <c r="M24" s="39" t="n">
        <f aca="false">IF(M$4=0,0,IF(COUNTIFS(実績!$W$6:$W$505,M$3,実績!$AI$6:$AI$505,"&lt;="&amp;$A24,実績!$AJ$6:$AJ$505,"&gt;"&amp;$A24,実績!$AL$6:$AL$505,"○")&gt;0,1,0))</f>
        <v>0</v>
      </c>
      <c r="N24" s="39" t="n">
        <f aca="false">IF(N$4=0,0,IF(COUNTIFS(実績!$W$6:$W$505,N$3,実績!$AI$6:$AI$505,"&lt;="&amp;$A24,実績!$AJ$6:$AJ$505,"&gt;"&amp;$A24,実績!$AL$6:$AL$505,"○")&gt;0,1,0))</f>
        <v>0</v>
      </c>
      <c r="O24" s="39" t="n">
        <f aca="false">IF(O$4=0,0,IF(COUNTIFS(実績!$W$6:$W$505,O$3,実績!$AI$6:$AI$505,"&lt;="&amp;$A24,実績!$AJ$6:$AJ$505,"&gt;"&amp;$A24,実績!$AL$6:$AL$505,"○")&gt;0,1,0))</f>
        <v>0</v>
      </c>
      <c r="P24" s="39" t="n">
        <f aca="false">IF(P$4=0,0,IF(COUNTIFS(実績!$W$6:$W$505,P$3,実績!$AI$6:$AI$505,"&lt;="&amp;$A24,実績!$AJ$6:$AJ$505,"&gt;"&amp;$A24,実績!$AL$6:$AL$505,"○")&gt;0,1,0))</f>
        <v>0</v>
      </c>
      <c r="Q24" s="39" t="n">
        <f aca="false">IF(Q$4=0,0,IF(COUNTIFS(実績!$W$6:$W$505,Q$3,実績!$AI$6:$AI$505,"&lt;="&amp;$A24,実績!$AJ$6:$AJ$505,"&gt;"&amp;$A24,実績!$AL$6:$AL$505,"○")&gt;0,1,0))</f>
        <v>0</v>
      </c>
      <c r="R24" s="39" t="n">
        <f aca="false">IF(R$4=0,0,IF(COUNTIFS(実績!$W$6:$W$505,R$3,実績!$AI$6:$AI$505,"&lt;="&amp;$A24,実績!$AJ$6:$AJ$505,"&gt;"&amp;$A24,実績!$AL$6:$AL$505,"○")&gt;0,1,0))</f>
        <v>0</v>
      </c>
      <c r="S24" s="39" t="n">
        <f aca="false">IF(S$4=0,0,IF(COUNTIFS(実績!$W$6:$W$505,S$3,実績!$AI$6:$AI$505,"&lt;="&amp;$A24,実績!$AJ$6:$AJ$505,"&gt;"&amp;$A24,実績!$AL$6:$AL$505,"○")&gt;0,1,0))</f>
        <v>0</v>
      </c>
      <c r="T24" s="39" t="n">
        <f aca="false">IF(T$4=0,0,IF(COUNTIFS(実績!$W$6:$W$505,T$3,実績!$AI$6:$AI$505,"&lt;="&amp;$A24,実績!$AJ$6:$AJ$505,"&gt;"&amp;$A24,実績!$AL$6:$AL$505,"○")&gt;0,1,0))</f>
        <v>0</v>
      </c>
      <c r="U24" s="39" t="n">
        <f aca="false">IF(U$4=0,0,IF(COUNTIFS(実績!$W$6:$W$505,U$3,実績!$AI$6:$AI$505,"&lt;="&amp;$A24,実績!$AJ$6:$AJ$505,"&gt;"&amp;$A24,実績!$AL$6:$AL$505,"○")&gt;0,1,0))</f>
        <v>0</v>
      </c>
      <c r="V24" s="39" t="n">
        <f aca="false">IF(V$4=0,0,IF(COUNTIFS(実績!$W$6:$W$505,V$3,実績!$AI$6:$AI$505,"&lt;="&amp;$A24,実績!$AJ$6:$AJ$505,"&gt;"&amp;$A24,実績!$AL$6:$AL$505,"○")&gt;0,1,0))</f>
        <v>0</v>
      </c>
      <c r="W24" s="39" t="n">
        <f aca="false">IF(W$4=0,0,IF(COUNTIFS(実績!$W$6:$W$505,W$3,実績!$AI$6:$AI$505,"&lt;="&amp;$A24,実績!$AJ$6:$AJ$505,"&gt;"&amp;$A24,実績!$AL$6:$AL$505,"○")&gt;0,1,0))</f>
        <v>0</v>
      </c>
      <c r="X24" s="39" t="n">
        <f aca="false">IF(X$4=0,0,IF(COUNTIFS(実績!$W$6:$W$505,X$3,実績!$AI$6:$AI$505,"&lt;="&amp;$A24,実績!$AJ$6:$AJ$505,"&gt;"&amp;$A24,実績!$AL$6:$AL$505,"○")&gt;0,1,0))</f>
        <v>0</v>
      </c>
      <c r="Y24" s="39" t="n">
        <f aca="false">IF(Y$4=0,0,IF(COUNTIFS(実績!$W$6:$W$505,Y$3,実績!$AI$6:$AI$505,"&lt;="&amp;$A24,実績!$AJ$6:$AJ$505,"&gt;"&amp;$A24,実績!$AL$6:$AL$505,"○")&gt;0,1,0))</f>
        <v>0</v>
      </c>
      <c r="Z24" s="39" t="n">
        <f aca="false">IF(Z$4=0,0,IF(COUNTIFS(実績!$W$6:$W$505,Z$3,実績!$AI$6:$AI$505,"&lt;="&amp;$A24,実績!$AJ$6:$AJ$505,"&gt;"&amp;$A24,実績!$AL$6:$AL$505,"○")&gt;0,1,0))</f>
        <v>0</v>
      </c>
      <c r="AA24" s="39" t="n">
        <f aca="false">IF(AA$4=0,0,IF(COUNTIFS(実績!$W$6:$W$505,AA$3,実績!$AI$6:$AI$505,"&lt;="&amp;$A24,実績!$AJ$6:$AJ$505,"&gt;"&amp;$A24,実績!$AL$6:$AL$505,"○")&gt;0,1,0))</f>
        <v>0</v>
      </c>
      <c r="AB24" s="39" t="n">
        <f aca="false">IF(AB$4=0,0,IF(COUNTIFS(実績!$W$6:$W$505,AB$3,実績!$AI$6:$AI$505,"&lt;="&amp;$A24,実績!$AJ$6:$AJ$505,"&gt;"&amp;$A24,実績!$AL$6:$AL$505,"○")&gt;0,1,0))</f>
        <v>0</v>
      </c>
      <c r="AC24" s="39" t="n">
        <f aca="false">IF(AC$4=0,0,IF(COUNTIFS(実績!$W$6:$W$505,AC$3,実績!$AI$6:$AI$505,"&lt;="&amp;$A24,実績!$AJ$6:$AJ$505,"&gt;"&amp;$A24,実績!$AL$6:$AL$505,"○")&gt;0,1,0))</f>
        <v>0</v>
      </c>
      <c r="AD24" s="39" t="n">
        <f aca="false">IF(AD$4=0,0,IF(COUNTIFS(実績!$W$6:$W$505,AD$3,実績!$AI$6:$AI$505,"&lt;="&amp;$A24,実績!$AJ$6:$AJ$505,"&gt;"&amp;$A24,実績!$AL$6:$AL$505,"○")&gt;0,1,0))</f>
        <v>0</v>
      </c>
      <c r="AE24" s="39" t="n">
        <f aca="false">IF(AE$4=0,0,IF(COUNTIFS(実績!$W$6:$W$505,AE$3,実績!$AI$6:$AI$505,"&lt;="&amp;$A24,実績!$AJ$6:$AJ$505,"&gt;"&amp;$A24,実績!$AL$6:$AL$505,"○")&gt;0,1,0))</f>
        <v>0</v>
      </c>
      <c r="AF24" s="39" t="n">
        <f aca="false">IF(AF$4=0,0,IF(COUNTIFS(実績!$W$6:$W$505,AF$3,実績!$AI$6:$AI$505,"&lt;="&amp;$A24,実績!$AJ$6:$AJ$505,"&gt;"&amp;$A24,実績!$AL$6:$AL$505,"○")&gt;0,1,0))</f>
        <v>0</v>
      </c>
      <c r="AG24" s="39" t="n">
        <f aca="false">IF(AG$4=0,0,IF(COUNTIFS(実績!$W$6:$W$505,AG$3,実績!$AI$6:$AI$505,"&lt;="&amp;$A24,実績!$AJ$6:$AJ$505,"&gt;"&amp;$A24,実績!$AL$6:$AL$505,"○")&gt;0,1,0))</f>
        <v>0</v>
      </c>
      <c r="AH24" s="39" t="n">
        <f aca="false">IF(AH$4=0,0,IF(COUNTIFS(実績!$W$6:$W$505,AH$3,実績!$AI$6:$AI$505,"&lt;="&amp;$A24,実績!$AJ$6:$AJ$505,"&gt;"&amp;$A24,実績!$AL$6:$AL$505,"○")&gt;0,1,0))</f>
        <v>0</v>
      </c>
      <c r="AI24" s="39" t="n">
        <f aca="false">IF(AI$4=0,0,IF(COUNTIFS(実績!$W$6:$W$505,AI$3,実績!$AI$6:$AI$505,"&lt;="&amp;$A24,実績!$AJ$6:$AJ$505,"&gt;"&amp;$A24,実績!$AL$6:$AL$505,"○")&gt;0,1,0))</f>
        <v>0</v>
      </c>
      <c r="AJ24" s="39" t="n">
        <f aca="false">IF(AJ$4=0,0,IF(COUNTIFS(実績!$W$6:$W$505,AJ$3,実績!$AI$6:$AI$505,"&lt;="&amp;$A24,実績!$AJ$6:$AJ$505,"&gt;"&amp;$A24,実績!$AL$6:$AL$505,"○")&gt;0,1,0))</f>
        <v>0</v>
      </c>
      <c r="AK24" s="39" t="n">
        <f aca="false">IF(AK$4=0,0,IF(COUNTIFS(実績!$W$6:$W$505,AK$3,実績!$AI$6:$AI$505,"&lt;="&amp;$A24,実績!$AJ$6:$AJ$505,"&gt;"&amp;$A24,実績!$AL$6:$AL$505,"○")&gt;0,1,0))</f>
        <v>0</v>
      </c>
      <c r="AL24" s="39" t="n">
        <f aca="false">IF(AL$4=0,0,IF(COUNTIFS(実績!$W$6:$W$505,AL$3,実績!$AI$6:$AI$505,"&lt;="&amp;$A24,実績!$AJ$6:$AJ$505,"&gt;"&amp;$A24,実績!$AL$6:$AL$505,"○")&gt;0,1,0))</f>
        <v>0</v>
      </c>
      <c r="AM24" s="39" t="n">
        <f aca="false">IF(AM$4=0,0,IF(COUNTIFS(実績!$W$6:$W$505,AM$3,実績!$AI$6:$AI$505,"&lt;="&amp;$A24,実績!$AJ$6:$AJ$505,"&gt;"&amp;$A24,実績!$AL$6:$AL$505,"○")&gt;0,1,0))</f>
        <v>0</v>
      </c>
      <c r="AN24" s="39" t="n">
        <f aca="false">IF(AN$4=0,0,IF(COUNTIFS(実績!$W$6:$W$505,AN$3,実績!$AI$6:$AI$505,"&lt;="&amp;$A24,実績!$AJ$6:$AJ$505,"&gt;"&amp;$A24,実績!$AL$6:$AL$505,"○")&gt;0,1,0))</f>
        <v>0</v>
      </c>
      <c r="AO24" s="39" t="n">
        <f aca="false">IF(AO$4=0,0,IF(COUNTIFS(実績!$W$6:$W$505,AO$3,実績!$AI$6:$AI$505,"&lt;="&amp;$A24,実績!$AJ$6:$AJ$505,"&gt;"&amp;$A24,実績!$AL$6:$AL$505,"○")&gt;0,1,0))</f>
        <v>0</v>
      </c>
      <c r="AP24" s="39" t="n">
        <f aca="false">IF(AP$4=0,0,IF(COUNTIFS(実績!$W$6:$W$505,AP$3,実績!$AI$6:$AI$505,"&lt;="&amp;$A24,実績!$AJ$6:$AJ$505,"&gt;"&amp;$A24,実績!$AL$6:$AL$505,"○")&gt;0,1,0))</f>
        <v>0</v>
      </c>
      <c r="AQ24" s="39" t="n">
        <f aca="false">IF(AQ$4=0,0,IF(COUNTIFS(実績!$W$6:$W$505,AQ$3,実績!$AI$6:$AI$505,"&lt;="&amp;$A24,実績!$AJ$6:$AJ$505,"&gt;"&amp;$A24,実績!$AL$6:$AL$505,"○")&gt;0,1,0))</f>
        <v>0</v>
      </c>
      <c r="AR24" s="39" t="n">
        <f aca="false">IF(AR$4=0,0,IF(COUNTIFS(実績!$W$6:$W$505,AR$3,実績!$AI$6:$AI$505,"&lt;="&amp;$A24,実績!$AJ$6:$AJ$505,"&gt;"&amp;$A24,実績!$AL$6:$AL$505,"○")&gt;0,1,0))</f>
        <v>0</v>
      </c>
      <c r="AS24" s="39" t="n">
        <f aca="false">IF(AS$4=0,0,IF(COUNTIFS(実績!$W$6:$W$505,AS$3,実績!$AI$6:$AI$505,"&lt;="&amp;$A24,実績!$AJ$6:$AJ$505,"&gt;"&amp;$A24,実績!$AL$6:$AL$505,"○")&gt;0,1,0))</f>
        <v>0</v>
      </c>
      <c r="AT24" s="39" t="n">
        <f aca="false">IF(AT$4=0,0,IF(COUNTIFS(実績!$W$6:$W$505,AT$3,実績!$AI$6:$AI$505,"&lt;="&amp;$A24,実績!$AJ$6:$AJ$505,"&gt;"&amp;$A24,実績!$AL$6:$AL$505,"○")&gt;0,1,0))</f>
        <v>0</v>
      </c>
      <c r="AU24" s="39" t="n">
        <f aca="false">IF(AU$4=0,0,IF(COUNTIFS(実績!$W$6:$W$505,AU$3,実績!$AI$6:$AI$505,"&lt;="&amp;$A24,実績!$AJ$6:$AJ$505,"&gt;"&amp;$A24,実績!$AL$6:$AL$505,"○")&gt;0,1,0))</f>
        <v>0</v>
      </c>
      <c r="AV24" s="39" t="n">
        <f aca="false">IF(AV$4=0,0,IF(COUNTIFS(実績!$W$6:$W$505,AV$3,実績!$AI$6:$AI$505,"&lt;="&amp;$A24,実績!$AJ$6:$AJ$505,"&gt;"&amp;$A24,実績!$AL$6:$AL$505,"○")&gt;0,1,0))</f>
        <v>0</v>
      </c>
      <c r="AW24" s="39" t="n">
        <f aca="false">IF(AW$4=0,0,IF(COUNTIFS(実績!$W$6:$W$505,AW$3,実績!$AI$6:$AI$505,"&lt;="&amp;$A24,実績!$AJ$6:$AJ$505,"&gt;"&amp;$A24,実績!$AL$6:$AL$505,"○")&gt;0,1,0))</f>
        <v>0</v>
      </c>
      <c r="AX24" s="39" t="n">
        <f aca="false">IF(AX$4=0,0,IF(COUNTIFS(実績!$W$6:$W$505,AX$3,実績!$AI$6:$AI$505,"&lt;="&amp;$A24,実績!$AJ$6:$AJ$505,"&gt;"&amp;$A24,実績!$AL$6:$AL$505,"○")&gt;0,1,0))</f>
        <v>0</v>
      </c>
      <c r="AY24" s="39" t="n">
        <f aca="false">IF(AY$4=0,0,IF(COUNTIFS(実績!$W$6:$W$505,AY$3,実績!$AI$6:$AI$505,"&lt;="&amp;$A24,実績!$AJ$6:$AJ$505,"&gt;"&amp;$A24,実績!$AL$6:$AL$505,"○")&gt;0,1,0))</f>
        <v>0</v>
      </c>
      <c r="AZ24" s="39" t="n">
        <f aca="false">IF(AZ$4=0,0,IF(COUNTIFS(実績!$W$6:$W$505,AZ$3,実績!$AI$6:$AI$505,"&lt;="&amp;$A24,実績!$AJ$6:$AJ$505,"&gt;"&amp;$A24,実績!$AL$6:$AL$505,"○")&gt;0,1,0))</f>
        <v>0</v>
      </c>
      <c r="BA24" s="39" t="n">
        <f aca="false">IF(BA$4=0,0,IF(COUNTIFS(実績!$W$6:$W$505,BA$3,実績!$AI$6:$AI$505,"&lt;="&amp;$A24,実績!$AJ$6:$AJ$505,"&gt;"&amp;$A24,実績!$AL$6:$AL$505,"○")&gt;0,1,0))</f>
        <v>0</v>
      </c>
      <c r="BB24" s="39" t="n">
        <f aca="false">IF(BB$4=0,0,IF(COUNTIFS(実績!$W$6:$W$505,BB$3,実績!$AI$6:$AI$505,"&lt;="&amp;$A24,実績!$AJ$6:$AJ$505,"&gt;"&amp;$A24,実績!$AL$6:$AL$505,"○")&gt;0,1,0))</f>
        <v>0</v>
      </c>
      <c r="BC24" s="39" t="n">
        <f aca="false">IF(BC$4=0,0,IF(COUNTIFS(実績!$W$6:$W$505,BC$3,実績!$AI$6:$AI$505,"&lt;="&amp;$A24,実績!$AJ$6:$AJ$505,"&gt;"&amp;$A24,実績!$AL$6:$AL$505,"○")&gt;0,1,0))</f>
        <v>0</v>
      </c>
      <c r="BD24" s="39" t="n">
        <f aca="false">IF(BD$4=0,0,IF(COUNTIFS(実績!$W$6:$W$505,BD$3,実績!$AI$6:$AI$505,"&lt;="&amp;$A24,実績!$AJ$6:$AJ$505,"&gt;"&amp;$A24,実績!$AL$6:$AL$505,"○")&gt;0,1,0))</f>
        <v>0</v>
      </c>
      <c r="BE24" s="39" t="n">
        <f aca="false">IF(BE$4=0,0,IF(COUNTIFS(実績!$W$6:$W$505,BE$3,実績!$AI$6:$AI$505,"&lt;="&amp;$A24,実績!$AJ$6:$AJ$505,"&gt;"&amp;$A24,実績!$AL$6:$AL$505,"○")&gt;0,1,0))</f>
        <v>0</v>
      </c>
      <c r="BF24" s="39" t="n">
        <f aca="false">IF(BF$4=0,0,IF(COUNTIFS(実績!$W$6:$W$505,BF$3,実績!$AI$6:$AI$505,"&lt;="&amp;$A24,実績!$AJ$6:$AJ$505,"&gt;"&amp;$A24,実績!$AL$6:$AL$505,"○")&gt;0,1,0))</f>
        <v>0</v>
      </c>
      <c r="BG24" s="39" t="n">
        <f aca="false">IF(BG$4=0,0,IF(COUNTIFS(実績!$W$6:$W$505,BG$3,実績!$AI$6:$AI$505,"&lt;="&amp;$A24,実績!$AJ$6:$AJ$505,"&gt;"&amp;$A24,実績!$AL$6:$AL$505,"○")&gt;0,1,0))</f>
        <v>0</v>
      </c>
      <c r="BH24" s="39" t="n">
        <f aca="false">IF(BH$4=0,0,IF(COUNTIFS(実績!$W$6:$W$505,BH$3,実績!$AI$6:$AI$505,"&lt;="&amp;$A24,実績!$AJ$6:$AJ$505,"&gt;"&amp;$A24,実績!$AL$6:$AL$505,"○")&gt;0,1,0))</f>
        <v>0</v>
      </c>
      <c r="BI24" s="39" t="n">
        <f aca="false">IF(BI$4=0,0,IF(COUNTIFS(実績!$W$6:$W$505,BI$3,実績!$AI$6:$AI$505,"&lt;="&amp;$A24,実績!$AJ$6:$AJ$505,"&gt;"&amp;$A24,実績!$AL$6:$AL$505,"○")&gt;0,1,0))</f>
        <v>0</v>
      </c>
      <c r="BJ24" s="39" t="n">
        <f aca="false">IF(BJ$4=0,0,IF(COUNTIFS(実績!$W$6:$W$505,BJ$3,実績!$AI$6:$AI$505,"&lt;="&amp;$A24,実績!$AJ$6:$AJ$505,"&gt;"&amp;$A24,実績!$AL$6:$AL$505,"○")&gt;0,1,0))</f>
        <v>0</v>
      </c>
      <c r="BK24" s="39" t="n">
        <f aca="false">IF(BK$4=0,0,IF(COUNTIFS(実績!$W$6:$W$505,BK$3,実績!$AI$6:$AI$505,"&lt;="&amp;$A24,実績!$AJ$6:$AJ$505,"&gt;"&amp;$A24,実績!$AL$6:$AL$505,"○")&gt;0,1,0))</f>
        <v>0</v>
      </c>
      <c r="BL24" s="39" t="n">
        <f aca="false">IF(BL$4=0,0,IF(COUNTIFS(実績!$W$6:$W$505,BL$3,実績!$AI$6:$AI$505,"&lt;="&amp;$A24,実績!$AJ$6:$AJ$505,"&gt;"&amp;$A24,実績!$AL$6:$AL$505,"○")&gt;0,1,0))</f>
        <v>0</v>
      </c>
      <c r="BM24" s="39" t="n">
        <f aca="false">IF(BM$4=0,0,IF(COUNTIFS(実績!$W$6:$W$505,BM$3,実績!$AI$6:$AI$505,"&lt;="&amp;$A24,実績!$AJ$6:$AJ$505,"&gt;"&amp;$A24,実績!$AL$6:$AL$505,"○")&gt;0,1,0))</f>
        <v>0</v>
      </c>
      <c r="BN24" s="39" t="n">
        <f aca="false">IF(BN$4=0,0,IF(COUNTIFS(実績!$W$6:$W$505,BN$3,実績!$AI$6:$AI$505,"&lt;="&amp;$A24,実績!$AJ$6:$AJ$505,"&gt;"&amp;$A24,実績!$AL$6:$AL$505,"○")&gt;0,1,0))</f>
        <v>0</v>
      </c>
      <c r="BO24" s="39" t="n">
        <f aca="false">IF(BO$4=0,0,IF(COUNTIFS(実績!$W$6:$W$505,BO$3,実績!$AI$6:$AI$505,"&lt;="&amp;$A24,実績!$AJ$6:$AJ$505,"&gt;"&amp;$A24,実績!$AL$6:$AL$505,"○")&gt;0,1,0))</f>
        <v>0</v>
      </c>
      <c r="BP24" s="39" t="n">
        <f aca="false">IF(BP$4=0,0,IF(COUNTIFS(実績!$W$6:$W$505,BP$3,実績!$AI$6:$AI$505,"&lt;="&amp;$A24,実績!$AJ$6:$AJ$505,"&gt;"&amp;$A24,実績!$AL$6:$AL$505,"○")&gt;0,1,0))</f>
        <v>0</v>
      </c>
      <c r="BQ24" s="39" t="n">
        <f aca="false">IF(BQ$4=0,0,IF(COUNTIFS(実績!$W$6:$W$505,BQ$3,実績!$AI$6:$AI$505,"&lt;="&amp;$A24,実績!$AJ$6:$AJ$505,"&gt;"&amp;$A24,実績!$AL$6:$AL$505,"○")&gt;0,1,0))</f>
        <v>0</v>
      </c>
      <c r="BR24" s="39" t="n">
        <f aca="false">IF(BR$4=0,0,IF(COUNTIFS(実績!$W$6:$W$505,BR$3,実績!$AI$6:$AI$505,"&lt;="&amp;$A24,実績!$AJ$6:$AJ$505,"&gt;"&amp;$A24,実績!$AL$6:$AL$505,"○")&gt;0,1,0))</f>
        <v>0</v>
      </c>
      <c r="BS24" s="39" t="n">
        <f aca="false">IF(BS$4=0,0,IF(COUNTIFS(実績!$W$6:$W$505,BS$3,実績!$AI$6:$AI$505,"&lt;="&amp;$A24,実績!$AJ$6:$AJ$505,"&gt;"&amp;$A24,実績!$AL$6:$AL$505,"○")&gt;0,1,0))</f>
        <v>0</v>
      </c>
      <c r="BT24" s="39" t="n">
        <f aca="false">IF(BT$4=0,0,IF(COUNTIFS(実績!$W$6:$W$505,BT$3,実績!$AI$6:$AI$505,"&lt;="&amp;$A24,実績!$AJ$6:$AJ$505,"&gt;"&amp;$A24,実績!$AL$6:$AL$505,"○")&gt;0,1,0))</f>
        <v>0</v>
      </c>
      <c r="BU24" s="39" t="n">
        <f aca="false">IF(BU$4=0,0,IF(COUNTIFS(実績!$W$6:$W$505,BU$3,実績!$AI$6:$AI$505,"&lt;="&amp;$A24,実績!$AJ$6:$AJ$505,"&gt;"&amp;$A24,実績!$AL$6:$AL$505,"○")&gt;0,1,0))</f>
        <v>0</v>
      </c>
      <c r="BV24" s="39" t="n">
        <f aca="false">IF(BV$4=0,0,IF(COUNTIFS(実績!$W$6:$W$505,BV$3,実績!$AI$6:$AI$505,"&lt;="&amp;$A24,実績!$AJ$6:$AJ$505,"&gt;"&amp;$A24,実績!$AL$6:$AL$505,"○")&gt;0,1,0))</f>
        <v>0</v>
      </c>
      <c r="BW24" s="39" t="n">
        <f aca="false">IF(BW$4=0,0,IF(COUNTIFS(実績!$W$6:$W$505,BW$3,実績!$AI$6:$AI$505,"&lt;="&amp;$A24,実績!$AJ$6:$AJ$505,"&gt;"&amp;$A24,実績!$AL$6:$AL$505,"○")&gt;0,1,0))</f>
        <v>0</v>
      </c>
      <c r="BX24" s="39" t="n">
        <f aca="false">IF(BX$4=0,0,IF(COUNTIFS(実績!$W$6:$W$505,BX$3,実績!$AI$6:$AI$505,"&lt;="&amp;$A24,実績!$AJ$6:$AJ$505,"&gt;"&amp;$A24,実績!$AL$6:$AL$505,"○")&gt;0,1,0))</f>
        <v>0</v>
      </c>
      <c r="BY24" s="39" t="n">
        <f aca="false">IF(BY$4=0,0,IF(COUNTIFS(実績!$W$6:$W$505,BY$3,実績!$AI$6:$AI$505,"&lt;="&amp;$A24,実績!$AJ$6:$AJ$505,"&gt;"&amp;$A24,実績!$AL$6:$AL$505,"○")&gt;0,1,0))</f>
        <v>0</v>
      </c>
      <c r="BZ24" s="39" t="n">
        <f aca="false">IF(BZ$4=0,0,IF(COUNTIFS(実績!$W$6:$W$505,BZ$3,実績!$AI$6:$AI$505,"&lt;="&amp;$A24,実績!$AJ$6:$AJ$505,"&gt;"&amp;$A24,実績!$AL$6:$AL$505,"○")&gt;0,1,0))</f>
        <v>0</v>
      </c>
      <c r="CA24" s="39" t="n">
        <f aca="false">IF(CA$4=0,0,IF(COUNTIFS(実績!$W$6:$W$505,CA$3,実績!$AI$6:$AI$505,"&lt;="&amp;$A24,実績!$AJ$6:$AJ$505,"&gt;"&amp;$A24,実績!$AL$6:$AL$505,"○")&gt;0,1,0))</f>
        <v>0</v>
      </c>
      <c r="CB24" s="39" t="n">
        <f aca="false">IF(CB$4=0,0,IF(COUNTIFS(実績!$W$6:$W$505,CB$3,実績!$AI$6:$AI$505,"&lt;="&amp;$A24,実績!$AJ$6:$AJ$505,"&gt;"&amp;$A24,実績!$AL$6:$AL$505,"○")&gt;0,1,0))</f>
        <v>0</v>
      </c>
      <c r="CC24" s="39" t="n">
        <f aca="false">IF(CC$4=0,0,IF(COUNTIFS(実績!$W$6:$W$505,CC$3,実績!$AI$6:$AI$505,"&lt;="&amp;$A24,実績!$AJ$6:$AJ$505,"&gt;"&amp;$A24,実績!$AL$6:$AL$505,"○")&gt;0,1,0))</f>
        <v>0</v>
      </c>
      <c r="CD24" s="39" t="n">
        <f aca="false">IF(CD$4=0,0,IF(COUNTIFS(実績!$W$6:$W$505,CD$3,実績!$AI$6:$AI$505,"&lt;="&amp;$A24,実績!$AJ$6:$AJ$505,"&gt;"&amp;$A24,実績!$AL$6:$AL$505,"○")&gt;0,1,0))</f>
        <v>0</v>
      </c>
      <c r="CE24" s="39" t="n">
        <f aca="false">IF(CE$4=0,0,IF(COUNTIFS(実績!$W$6:$W$505,CE$3,実績!$AI$6:$AI$505,"&lt;="&amp;$A24,実績!$AJ$6:$AJ$505,"&gt;"&amp;$A24,実績!$AL$6:$AL$505,"○")&gt;0,1,0))</f>
        <v>0</v>
      </c>
      <c r="CF24" s="39" t="n">
        <f aca="false">IF(CF$4=0,0,IF(COUNTIFS(実績!$W$6:$W$505,CF$3,実績!$AI$6:$AI$505,"&lt;="&amp;$A24,実績!$AJ$6:$AJ$505,"&gt;"&amp;$A24,実績!$AL$6:$AL$505,"○")&gt;0,1,0))</f>
        <v>0</v>
      </c>
      <c r="CG24" s="39" t="n">
        <f aca="false">IF(CG$4=0,0,IF(COUNTIFS(実績!$W$6:$W$505,CG$3,実績!$AI$6:$AI$505,"&lt;="&amp;$A24,実績!$AJ$6:$AJ$505,"&gt;"&amp;$A24,実績!$AL$6:$AL$505,"○")&gt;0,1,0))</f>
        <v>0</v>
      </c>
      <c r="CH24" s="39" t="n">
        <f aca="false">IF(CH$4=0,0,IF(COUNTIFS(実績!$W$6:$W$505,CH$3,実績!$AI$6:$AI$505,"&lt;="&amp;$A24,実績!$AJ$6:$AJ$505,"&gt;"&amp;$A24,実績!$AL$6:$AL$505,"○")&gt;0,1,0))</f>
        <v>0</v>
      </c>
      <c r="CI24" s="39" t="n">
        <f aca="false">IF(CI$4=0,0,IF(COUNTIFS(実績!$W$6:$W$505,CI$3,実績!$AI$6:$AI$505,"&lt;="&amp;$A24,実績!$AJ$6:$AJ$505,"&gt;"&amp;$A24,実績!$AL$6:$AL$505,"○")&gt;0,1,0))</f>
        <v>0</v>
      </c>
      <c r="CJ24" s="39" t="n">
        <f aca="false">IF(CJ$4=0,0,IF(COUNTIFS(実績!$W$6:$W$505,CJ$3,実績!$AI$6:$AI$505,"&lt;="&amp;$A24,実績!$AJ$6:$AJ$505,"&gt;"&amp;$A24,実績!$AL$6:$AL$505,"○")&gt;0,1,0))</f>
        <v>0</v>
      </c>
      <c r="CK24" s="39" t="n">
        <f aca="false">IF(CK$4=0,0,IF(COUNTIFS(実績!$W$6:$W$505,CK$3,実績!$AI$6:$AI$505,"&lt;="&amp;$A24,実績!$AJ$6:$AJ$505,"&gt;"&amp;$A24,実績!$AL$6:$AL$505,"○")&gt;0,1,0))</f>
        <v>0</v>
      </c>
      <c r="CL24" s="39" t="n">
        <f aca="false">IF(CL$4=0,0,IF(COUNTIFS(実績!$W$6:$W$505,CL$3,実績!$AI$6:$AI$505,"&lt;="&amp;$A24,実績!$AJ$6:$AJ$505,"&gt;"&amp;$A24,実績!$AL$6:$AL$505,"○")&gt;0,1,0))</f>
        <v>0</v>
      </c>
      <c r="CM24" s="39" t="n">
        <f aca="false">IF(CM$4=0,0,IF(COUNTIFS(実績!$W$6:$W$505,CM$3,実績!$AI$6:$AI$505,"&lt;="&amp;$A24,実績!$AJ$6:$AJ$505,"&gt;"&amp;$A24,実績!$AL$6:$AL$505,"○")&gt;0,1,0))</f>
        <v>0</v>
      </c>
      <c r="CN24" s="39" t="n">
        <f aca="false">IF(CN$4=0,0,IF(COUNTIFS(実績!$W$6:$W$505,CN$3,実績!$AI$6:$AI$505,"&lt;="&amp;$A24,実績!$AJ$6:$AJ$505,"&gt;"&amp;$A24,実績!$AL$6:$AL$505,"○")&gt;0,1,0))</f>
        <v>0</v>
      </c>
      <c r="CO24" s="39" t="n">
        <f aca="false">IF(CO$4=0,0,IF(COUNTIFS(実績!$W$6:$W$505,CO$3,実績!$AI$6:$AI$505,"&lt;="&amp;$A24,実績!$AJ$6:$AJ$505,"&gt;"&amp;$A24,実績!$AL$6:$AL$505,"○")&gt;0,1,0))</f>
        <v>0</v>
      </c>
      <c r="CP24" s="39" t="n">
        <f aca="false">IF(CP$4=0,0,IF(COUNTIFS(実績!$W$6:$W$505,CP$3,実績!$AI$6:$AI$505,"&lt;="&amp;$A24,実績!$AJ$6:$AJ$505,"&gt;"&amp;$A24,実績!$AL$6:$AL$505,"○")&gt;0,1,0))</f>
        <v>0</v>
      </c>
      <c r="CQ24" s="39" t="n">
        <f aca="false">IF(CQ$4=0,0,IF(COUNTIFS(実績!$W$6:$W$505,CQ$3,実績!$AI$6:$AI$505,"&lt;="&amp;$A24,実績!$AJ$6:$AJ$505,"&gt;"&amp;$A24,実績!$AL$6:$AL$505,"○")&gt;0,1,0))</f>
        <v>0</v>
      </c>
      <c r="CR24" s="39" t="n">
        <f aca="false">IF(CR$4=0,0,IF(COUNTIFS(実績!$W$6:$W$505,CR$3,実績!$AI$6:$AI$505,"&lt;="&amp;$A24,実績!$AJ$6:$AJ$505,"&gt;"&amp;$A24,実績!$AL$6:$AL$505,"○")&gt;0,1,0))</f>
        <v>0</v>
      </c>
      <c r="CS24" s="39" t="n">
        <f aca="false">IF(CS$4=0,0,IF(COUNTIFS(実績!$W$6:$W$505,CS$3,実績!$AI$6:$AI$505,"&lt;="&amp;$A24,実績!$AJ$6:$AJ$505,"&gt;"&amp;$A24,実績!$AL$6:$AL$505,"○")&gt;0,1,0))</f>
        <v>0</v>
      </c>
      <c r="CT24" s="39" t="n">
        <f aca="false">IF(CT$4=0,0,IF(COUNTIFS(実績!$W$6:$W$505,CT$3,実績!$AI$6:$AI$505,"&lt;="&amp;$A24,実績!$AJ$6:$AJ$505,"&gt;"&amp;$A24,実績!$AL$6:$AL$505,"○")&gt;0,1,0))</f>
        <v>0</v>
      </c>
      <c r="CU24" s="39" t="n">
        <f aca="false">IF(CU$4=0,0,IF(COUNTIFS(実績!$W$6:$W$505,CU$3,実績!$AI$6:$AI$505,"&lt;="&amp;$A24,実績!$AJ$6:$AJ$505,"&gt;"&amp;$A24,実績!$AL$6:$AL$505,"○")&gt;0,1,0))</f>
        <v>0</v>
      </c>
      <c r="CV24" s="39" t="n">
        <f aca="false">IF(CV$4=0,0,IF(COUNTIFS(実績!$W$6:$W$505,CV$3,実績!$AI$6:$AI$505,"&lt;="&amp;$A24,実績!$AJ$6:$AJ$505,"&gt;"&amp;$A24,実績!$AL$6:$AL$505,"○")&gt;0,1,0))</f>
        <v>0</v>
      </c>
      <c r="CW24" s="39" t="n">
        <f aca="false">IF(CW$4=0,0,IF(COUNTIFS(実績!$W$6:$W$505,CW$3,実績!$AI$6:$AI$505,"&lt;="&amp;$A24,実績!$AJ$6:$AJ$505,"&gt;"&amp;$A24,実績!$AL$6:$AL$505,"○")&gt;0,1,0))</f>
        <v>0</v>
      </c>
      <c r="CX24" s="39" t="n">
        <f aca="false">IF(CX$4=0,0,IF(COUNTIFS(実績!$W$6:$W$505,CX$3,実績!$AI$6:$AI$505,"&lt;="&amp;$A24,実績!$AJ$6:$AJ$505,"&gt;"&amp;$A24,実績!$AL$6:$AL$505,"○")&gt;0,1,0))</f>
        <v>0</v>
      </c>
      <c r="CY24" s="39" t="n">
        <f aca="false">IF(CY$4=0,0,IF(COUNTIFS(実績!$W$6:$W$505,CY$3,実績!$AI$6:$AI$505,"&lt;="&amp;$A24,実績!$AJ$6:$AJ$505,"&gt;"&amp;$A24,実績!$AL$6:$AL$505,"○")&gt;0,1,0))</f>
        <v>0</v>
      </c>
      <c r="CZ24" s="39" t="n">
        <f aca="false">IF(CZ$4=0,0,IF(COUNTIFS(実績!$W$6:$W$505,CZ$3,実績!$AI$6:$AI$505,"&lt;="&amp;$A24,実績!$AJ$6:$AJ$505,"&gt;"&amp;$A24,実績!$AL$6:$AL$505,"○")&gt;0,1,0))</f>
        <v>0</v>
      </c>
      <c r="DA24" s="39" t="n">
        <f aca="false">IF(DA$4=0,0,IF(COUNTIFS(実績!$W$6:$W$505,DA$3,実績!$AI$6:$AI$505,"&lt;="&amp;$A24,実績!$AJ$6:$AJ$505,"&gt;"&amp;$A24,実績!$AL$6:$AL$505,"○")&gt;0,1,0))</f>
        <v>0</v>
      </c>
      <c r="DB24" s="39" t="n">
        <f aca="false">IF(DB$4=0,0,IF(COUNTIFS(実績!$W$6:$W$505,DB$3,実績!$AI$6:$AI$505,"&lt;="&amp;$A24,実績!$AJ$6:$AJ$505,"&gt;"&amp;$A24,実績!$AL$6:$AL$505,"○")&gt;0,1,0))</f>
        <v>0</v>
      </c>
      <c r="DC24" s="39" t="n">
        <f aca="false">IF(DC$4=0,0,IF(COUNTIFS(実績!$W$6:$W$505,DC$3,実績!$AI$6:$AI$505,"&lt;="&amp;$A24,実績!$AJ$6:$AJ$505,"&gt;"&amp;$A24,実績!$AL$6:$AL$505,"○")&gt;0,1,0))</f>
        <v>0</v>
      </c>
      <c r="DD24" s="39" t="n">
        <f aca="false">IF(DD$4=0,0,IF(COUNTIFS(実績!$W$6:$W$505,DD$3,実績!$AI$6:$AI$505,"&lt;="&amp;$A24,実績!$AJ$6:$AJ$505,"&gt;"&amp;$A24,実績!$AL$6:$AL$505,"○")&gt;0,1,0))</f>
        <v>0</v>
      </c>
      <c r="DE24" s="39" t="n">
        <f aca="false">IF(DE$4=0,0,IF(COUNTIFS(実績!$W$6:$W$505,DE$3,実績!$AI$6:$AI$505,"&lt;="&amp;$A24,実績!$AJ$6:$AJ$505,"&gt;"&amp;$A24,実績!$AL$6:$AL$505,"○")&gt;0,1,0))</f>
        <v>0</v>
      </c>
      <c r="DF24" s="39" t="n">
        <f aca="false">IF(DF$4=0,0,IF(COUNTIFS(実績!$W$6:$W$505,DF$3,実績!$AI$6:$AI$505,"&lt;="&amp;$A24,実績!$AJ$6:$AJ$505,"&gt;"&amp;$A24,実績!$AL$6:$AL$505,"○")&gt;0,1,0))</f>
        <v>0</v>
      </c>
      <c r="DG24" s="39" t="n">
        <f aca="false">IF(DG$4=0,0,IF(COUNTIFS(実績!$W$6:$W$505,DG$3,実績!$AI$6:$AI$505,"&lt;="&amp;$A24,実績!$AJ$6:$AJ$505,"&gt;"&amp;$A24,実績!$AL$6:$AL$505,"○")&gt;0,1,0))</f>
        <v>0</v>
      </c>
      <c r="DH24" s="39" t="n">
        <f aca="false">IF(DH$4=0,0,IF(COUNTIFS(実績!$W$6:$W$505,DH$3,実績!$AI$6:$AI$505,"&lt;="&amp;$A24,実績!$AJ$6:$AJ$505,"&gt;"&amp;$A24,実績!$AL$6:$AL$505,"○")&gt;0,1,0))</f>
        <v>0</v>
      </c>
      <c r="DI24" s="39" t="n">
        <f aca="false">IF(DI$4=0,0,IF(COUNTIFS(実績!$W$6:$W$505,DI$3,実績!$AI$6:$AI$505,"&lt;="&amp;$A24,実績!$AJ$6:$AJ$505,"&gt;"&amp;$A24,実績!$AL$6:$AL$505,"○")&gt;0,1,0))</f>
        <v>0</v>
      </c>
      <c r="DJ24" s="39" t="n">
        <f aca="false">IF(DJ$4=0,0,IF(COUNTIFS(実績!$W$6:$W$505,DJ$3,実績!$AI$6:$AI$505,"&lt;="&amp;$A24,実績!$AJ$6:$AJ$505,"&gt;"&amp;$A24,実績!$AL$6:$AL$505,"○")&gt;0,1,0))</f>
        <v>0</v>
      </c>
      <c r="DK24" s="39" t="n">
        <f aca="false">IF(DK$4=0,0,IF(COUNTIFS(実績!$W$6:$W$505,DK$3,実績!$AI$6:$AI$505,"&lt;="&amp;$A24,実績!$AJ$6:$AJ$505,"&gt;"&amp;$A24,実績!$AL$6:$AL$505,"○")&gt;0,1,0))</f>
        <v>0</v>
      </c>
      <c r="DL24" s="39" t="n">
        <f aca="false">IF(DL$4=0,0,IF(COUNTIFS(実績!$W$6:$W$505,DL$3,実績!$AI$6:$AI$505,"&lt;="&amp;$A24,実績!$AJ$6:$AJ$505,"&gt;"&amp;$A24,実績!$AL$6:$AL$505,"○")&gt;0,1,0))</f>
        <v>0</v>
      </c>
      <c r="DM24" s="39" t="n">
        <f aca="false">IF(DM$4=0,0,IF(COUNTIFS(実績!$W$6:$W$505,DM$3,実績!$AI$6:$AI$505,"&lt;="&amp;$A24,実績!$AJ$6:$AJ$505,"&gt;"&amp;$A24,実績!$AL$6:$AL$505,"○")&gt;0,1,0))</f>
        <v>0</v>
      </c>
      <c r="DN24" s="39" t="n">
        <f aca="false">IF(DN$4=0,0,IF(COUNTIFS(実績!$W$6:$W$505,DN$3,実績!$AI$6:$AI$505,"&lt;="&amp;$A24,実績!$AJ$6:$AJ$505,"&gt;"&amp;$A24,実績!$AL$6:$AL$505,"○")&gt;0,1,0))</f>
        <v>0</v>
      </c>
      <c r="DO24" s="39" t="n">
        <f aca="false">IF(DO$4=0,0,IF(COUNTIFS(実績!$W$6:$W$505,DO$3,実績!$AI$6:$AI$505,"&lt;="&amp;$A24,実績!$AJ$6:$AJ$505,"&gt;"&amp;$A24,実績!$AL$6:$AL$505,"○")&gt;0,1,0))</f>
        <v>0</v>
      </c>
      <c r="DP24" s="39" t="n">
        <f aca="false">IF(DP$4=0,0,IF(COUNTIFS(実績!$W$6:$W$505,DP$3,実績!$AI$6:$AI$505,"&lt;="&amp;$A24,実績!$AJ$6:$AJ$505,"&gt;"&amp;$A24,実績!$AL$6:$AL$505,"○")&gt;0,1,0))</f>
        <v>0</v>
      </c>
      <c r="DQ24" s="39" t="n">
        <f aca="false">IF(DQ$4=0,0,IF(COUNTIFS(実績!$W$6:$W$505,DQ$3,実績!$AI$6:$AI$505,"&lt;="&amp;$A24,実績!$AJ$6:$AJ$505,"&gt;"&amp;$A24,実績!$AL$6:$AL$505,"○")&gt;0,1,0))</f>
        <v>0</v>
      </c>
      <c r="DR24" s="39" t="n">
        <f aca="false">IF(DR$4=0,0,IF(COUNTIFS(実績!$W$6:$W$505,DR$3,実績!$AI$6:$AI$505,"&lt;="&amp;$A24,実績!$AJ$6:$AJ$505,"&gt;"&amp;$A24,実績!$AL$6:$AL$505,"○")&gt;0,1,0))</f>
        <v>0</v>
      </c>
      <c r="DS24" s="39" t="n">
        <f aca="false">SUM(C24:DR24)</f>
        <v>0</v>
      </c>
    </row>
    <row r="25" customFormat="false" ht="15" hidden="false" customHeight="false" outlineLevel="0" collapsed="false">
      <c r="A25" s="0" t="n">
        <v>95</v>
      </c>
      <c r="B25" s="38" t="n">
        <f aca="false">A25/1440</f>
        <v>0.0659722222222222</v>
      </c>
      <c r="C25" s="39" t="n">
        <f aca="false">IF(C$4=0,0,IF(COUNTIFS(実績!$W$6:$W$505,C$3,実績!$AI$6:$AI$505,"&lt;="&amp;$A25,実績!$AJ$6:$AJ$505,"&gt;"&amp;$A25,実績!$AL$6:$AL$505,"○")&gt;0,1,0))</f>
        <v>0</v>
      </c>
      <c r="D25" s="39" t="n">
        <f aca="false">IF(D$4=0,0,IF(COUNTIFS(実績!$W$6:$W$505,D$3,実績!$AI$6:$AI$505,"&lt;="&amp;$A25,実績!$AJ$6:$AJ$505,"&gt;"&amp;$A25,実績!$AL$6:$AL$505,"○")&gt;0,1,0))</f>
        <v>0</v>
      </c>
      <c r="E25" s="39" t="n">
        <f aca="false">IF(E$4=0,0,IF(COUNTIFS(実績!$W$6:$W$505,E$3,実績!$AI$6:$AI$505,"&lt;="&amp;$A25,実績!$AJ$6:$AJ$505,"&gt;"&amp;$A25,実績!$AL$6:$AL$505,"○")&gt;0,1,0))</f>
        <v>0</v>
      </c>
      <c r="F25" s="39" t="n">
        <f aca="false">IF(F$4=0,0,IF(COUNTIFS(実績!$W$6:$W$505,F$3,実績!$AI$6:$AI$505,"&lt;="&amp;$A25,実績!$AJ$6:$AJ$505,"&gt;"&amp;$A25,実績!$AL$6:$AL$505,"○")&gt;0,1,0))</f>
        <v>0</v>
      </c>
      <c r="G25" s="39" t="n">
        <f aca="false">IF(G$4=0,0,IF(COUNTIFS(実績!$W$6:$W$505,G$3,実績!$AI$6:$AI$505,"&lt;="&amp;$A25,実績!$AJ$6:$AJ$505,"&gt;"&amp;$A25,実績!$AL$6:$AL$505,"○")&gt;0,1,0))</f>
        <v>0</v>
      </c>
      <c r="H25" s="39" t="n">
        <f aca="false">IF(H$4=0,0,IF(COUNTIFS(実績!$W$6:$W$505,H$3,実績!$AI$6:$AI$505,"&lt;="&amp;$A25,実績!$AJ$6:$AJ$505,"&gt;"&amp;$A25,実績!$AL$6:$AL$505,"○")&gt;0,1,0))</f>
        <v>0</v>
      </c>
      <c r="I25" s="39" t="n">
        <f aca="false">IF(I$4=0,0,IF(COUNTIFS(実績!$W$6:$W$505,I$3,実績!$AI$6:$AI$505,"&lt;="&amp;$A25,実績!$AJ$6:$AJ$505,"&gt;"&amp;$A25,実績!$AL$6:$AL$505,"○")&gt;0,1,0))</f>
        <v>0</v>
      </c>
      <c r="J25" s="39" t="n">
        <f aca="false">IF(J$4=0,0,IF(COUNTIFS(実績!$W$6:$W$505,J$3,実績!$AI$6:$AI$505,"&lt;="&amp;$A25,実績!$AJ$6:$AJ$505,"&gt;"&amp;$A25,実績!$AL$6:$AL$505,"○")&gt;0,1,0))</f>
        <v>0</v>
      </c>
      <c r="K25" s="39" t="n">
        <f aca="false">IF(K$4=0,0,IF(COUNTIFS(実績!$W$6:$W$505,K$3,実績!$AI$6:$AI$505,"&lt;="&amp;$A25,実績!$AJ$6:$AJ$505,"&gt;"&amp;$A25,実績!$AL$6:$AL$505,"○")&gt;0,1,0))</f>
        <v>0</v>
      </c>
      <c r="L25" s="39" t="n">
        <f aca="false">IF(L$4=0,0,IF(COUNTIFS(実績!$W$6:$W$505,L$3,実績!$AI$6:$AI$505,"&lt;="&amp;$A25,実績!$AJ$6:$AJ$505,"&gt;"&amp;$A25,実績!$AL$6:$AL$505,"○")&gt;0,1,0))</f>
        <v>0</v>
      </c>
      <c r="M25" s="39" t="n">
        <f aca="false">IF(M$4=0,0,IF(COUNTIFS(実績!$W$6:$W$505,M$3,実績!$AI$6:$AI$505,"&lt;="&amp;$A25,実績!$AJ$6:$AJ$505,"&gt;"&amp;$A25,実績!$AL$6:$AL$505,"○")&gt;0,1,0))</f>
        <v>0</v>
      </c>
      <c r="N25" s="39" t="n">
        <f aca="false">IF(N$4=0,0,IF(COUNTIFS(実績!$W$6:$W$505,N$3,実績!$AI$6:$AI$505,"&lt;="&amp;$A25,実績!$AJ$6:$AJ$505,"&gt;"&amp;$A25,実績!$AL$6:$AL$505,"○")&gt;0,1,0))</f>
        <v>0</v>
      </c>
      <c r="O25" s="39" t="n">
        <f aca="false">IF(O$4=0,0,IF(COUNTIFS(実績!$W$6:$W$505,O$3,実績!$AI$6:$AI$505,"&lt;="&amp;$A25,実績!$AJ$6:$AJ$505,"&gt;"&amp;$A25,実績!$AL$6:$AL$505,"○")&gt;0,1,0))</f>
        <v>0</v>
      </c>
      <c r="P25" s="39" t="n">
        <f aca="false">IF(P$4=0,0,IF(COUNTIFS(実績!$W$6:$W$505,P$3,実績!$AI$6:$AI$505,"&lt;="&amp;$A25,実績!$AJ$6:$AJ$505,"&gt;"&amp;$A25,実績!$AL$6:$AL$505,"○")&gt;0,1,0))</f>
        <v>0</v>
      </c>
      <c r="Q25" s="39" t="n">
        <f aca="false">IF(Q$4=0,0,IF(COUNTIFS(実績!$W$6:$W$505,Q$3,実績!$AI$6:$AI$505,"&lt;="&amp;$A25,実績!$AJ$6:$AJ$505,"&gt;"&amp;$A25,実績!$AL$6:$AL$505,"○")&gt;0,1,0))</f>
        <v>0</v>
      </c>
      <c r="R25" s="39" t="n">
        <f aca="false">IF(R$4=0,0,IF(COUNTIFS(実績!$W$6:$W$505,R$3,実績!$AI$6:$AI$505,"&lt;="&amp;$A25,実績!$AJ$6:$AJ$505,"&gt;"&amp;$A25,実績!$AL$6:$AL$505,"○")&gt;0,1,0))</f>
        <v>0</v>
      </c>
      <c r="S25" s="39" t="n">
        <f aca="false">IF(S$4=0,0,IF(COUNTIFS(実績!$W$6:$W$505,S$3,実績!$AI$6:$AI$505,"&lt;="&amp;$A25,実績!$AJ$6:$AJ$505,"&gt;"&amp;$A25,実績!$AL$6:$AL$505,"○")&gt;0,1,0))</f>
        <v>0</v>
      </c>
      <c r="T25" s="39" t="n">
        <f aca="false">IF(T$4=0,0,IF(COUNTIFS(実績!$W$6:$W$505,T$3,実績!$AI$6:$AI$505,"&lt;="&amp;$A25,実績!$AJ$6:$AJ$505,"&gt;"&amp;$A25,実績!$AL$6:$AL$505,"○")&gt;0,1,0))</f>
        <v>0</v>
      </c>
      <c r="U25" s="39" t="n">
        <f aca="false">IF(U$4=0,0,IF(COUNTIFS(実績!$W$6:$W$505,U$3,実績!$AI$6:$AI$505,"&lt;="&amp;$A25,実績!$AJ$6:$AJ$505,"&gt;"&amp;$A25,実績!$AL$6:$AL$505,"○")&gt;0,1,0))</f>
        <v>0</v>
      </c>
      <c r="V25" s="39" t="n">
        <f aca="false">IF(V$4=0,0,IF(COUNTIFS(実績!$W$6:$W$505,V$3,実績!$AI$6:$AI$505,"&lt;="&amp;$A25,実績!$AJ$6:$AJ$505,"&gt;"&amp;$A25,実績!$AL$6:$AL$505,"○")&gt;0,1,0))</f>
        <v>0</v>
      </c>
      <c r="W25" s="39" t="n">
        <f aca="false">IF(W$4=0,0,IF(COUNTIFS(実績!$W$6:$W$505,W$3,実績!$AI$6:$AI$505,"&lt;="&amp;$A25,実績!$AJ$6:$AJ$505,"&gt;"&amp;$A25,実績!$AL$6:$AL$505,"○")&gt;0,1,0))</f>
        <v>0</v>
      </c>
      <c r="X25" s="39" t="n">
        <f aca="false">IF(X$4=0,0,IF(COUNTIFS(実績!$W$6:$W$505,X$3,実績!$AI$6:$AI$505,"&lt;="&amp;$A25,実績!$AJ$6:$AJ$505,"&gt;"&amp;$A25,実績!$AL$6:$AL$505,"○")&gt;0,1,0))</f>
        <v>0</v>
      </c>
      <c r="Y25" s="39" t="n">
        <f aca="false">IF(Y$4=0,0,IF(COUNTIFS(実績!$W$6:$W$505,Y$3,実績!$AI$6:$AI$505,"&lt;="&amp;$A25,実績!$AJ$6:$AJ$505,"&gt;"&amp;$A25,実績!$AL$6:$AL$505,"○")&gt;0,1,0))</f>
        <v>0</v>
      </c>
      <c r="Z25" s="39" t="n">
        <f aca="false">IF(Z$4=0,0,IF(COUNTIFS(実績!$W$6:$W$505,Z$3,実績!$AI$6:$AI$505,"&lt;="&amp;$A25,実績!$AJ$6:$AJ$505,"&gt;"&amp;$A25,実績!$AL$6:$AL$505,"○")&gt;0,1,0))</f>
        <v>0</v>
      </c>
      <c r="AA25" s="39" t="n">
        <f aca="false">IF(AA$4=0,0,IF(COUNTIFS(実績!$W$6:$W$505,AA$3,実績!$AI$6:$AI$505,"&lt;="&amp;$A25,実績!$AJ$6:$AJ$505,"&gt;"&amp;$A25,実績!$AL$6:$AL$505,"○")&gt;0,1,0))</f>
        <v>0</v>
      </c>
      <c r="AB25" s="39" t="n">
        <f aca="false">IF(AB$4=0,0,IF(COUNTIFS(実績!$W$6:$W$505,AB$3,実績!$AI$6:$AI$505,"&lt;="&amp;$A25,実績!$AJ$6:$AJ$505,"&gt;"&amp;$A25,実績!$AL$6:$AL$505,"○")&gt;0,1,0))</f>
        <v>0</v>
      </c>
      <c r="AC25" s="39" t="n">
        <f aca="false">IF(AC$4=0,0,IF(COUNTIFS(実績!$W$6:$W$505,AC$3,実績!$AI$6:$AI$505,"&lt;="&amp;$A25,実績!$AJ$6:$AJ$505,"&gt;"&amp;$A25,実績!$AL$6:$AL$505,"○")&gt;0,1,0))</f>
        <v>0</v>
      </c>
      <c r="AD25" s="39" t="n">
        <f aca="false">IF(AD$4=0,0,IF(COUNTIFS(実績!$W$6:$W$505,AD$3,実績!$AI$6:$AI$505,"&lt;="&amp;$A25,実績!$AJ$6:$AJ$505,"&gt;"&amp;$A25,実績!$AL$6:$AL$505,"○")&gt;0,1,0))</f>
        <v>0</v>
      </c>
      <c r="AE25" s="39" t="n">
        <f aca="false">IF(AE$4=0,0,IF(COUNTIFS(実績!$W$6:$W$505,AE$3,実績!$AI$6:$AI$505,"&lt;="&amp;$A25,実績!$AJ$6:$AJ$505,"&gt;"&amp;$A25,実績!$AL$6:$AL$505,"○")&gt;0,1,0))</f>
        <v>0</v>
      </c>
      <c r="AF25" s="39" t="n">
        <f aca="false">IF(AF$4=0,0,IF(COUNTIFS(実績!$W$6:$W$505,AF$3,実績!$AI$6:$AI$505,"&lt;="&amp;$A25,実績!$AJ$6:$AJ$505,"&gt;"&amp;$A25,実績!$AL$6:$AL$505,"○")&gt;0,1,0))</f>
        <v>0</v>
      </c>
      <c r="AG25" s="39" t="n">
        <f aca="false">IF(AG$4=0,0,IF(COUNTIFS(実績!$W$6:$W$505,AG$3,実績!$AI$6:$AI$505,"&lt;="&amp;$A25,実績!$AJ$6:$AJ$505,"&gt;"&amp;$A25,実績!$AL$6:$AL$505,"○")&gt;0,1,0))</f>
        <v>0</v>
      </c>
      <c r="AH25" s="39" t="n">
        <f aca="false">IF(AH$4=0,0,IF(COUNTIFS(実績!$W$6:$W$505,AH$3,実績!$AI$6:$AI$505,"&lt;="&amp;$A25,実績!$AJ$6:$AJ$505,"&gt;"&amp;$A25,実績!$AL$6:$AL$505,"○")&gt;0,1,0))</f>
        <v>0</v>
      </c>
      <c r="AI25" s="39" t="n">
        <f aca="false">IF(AI$4=0,0,IF(COUNTIFS(実績!$W$6:$W$505,AI$3,実績!$AI$6:$AI$505,"&lt;="&amp;$A25,実績!$AJ$6:$AJ$505,"&gt;"&amp;$A25,実績!$AL$6:$AL$505,"○")&gt;0,1,0))</f>
        <v>0</v>
      </c>
      <c r="AJ25" s="39" t="n">
        <f aca="false">IF(AJ$4=0,0,IF(COUNTIFS(実績!$W$6:$W$505,AJ$3,実績!$AI$6:$AI$505,"&lt;="&amp;$A25,実績!$AJ$6:$AJ$505,"&gt;"&amp;$A25,実績!$AL$6:$AL$505,"○")&gt;0,1,0))</f>
        <v>0</v>
      </c>
      <c r="AK25" s="39" t="n">
        <f aca="false">IF(AK$4=0,0,IF(COUNTIFS(実績!$W$6:$W$505,AK$3,実績!$AI$6:$AI$505,"&lt;="&amp;$A25,実績!$AJ$6:$AJ$505,"&gt;"&amp;$A25,実績!$AL$6:$AL$505,"○")&gt;0,1,0))</f>
        <v>0</v>
      </c>
      <c r="AL25" s="39" t="n">
        <f aca="false">IF(AL$4=0,0,IF(COUNTIFS(実績!$W$6:$W$505,AL$3,実績!$AI$6:$AI$505,"&lt;="&amp;$A25,実績!$AJ$6:$AJ$505,"&gt;"&amp;$A25,実績!$AL$6:$AL$505,"○")&gt;0,1,0))</f>
        <v>0</v>
      </c>
      <c r="AM25" s="39" t="n">
        <f aca="false">IF(AM$4=0,0,IF(COUNTIFS(実績!$W$6:$W$505,AM$3,実績!$AI$6:$AI$505,"&lt;="&amp;$A25,実績!$AJ$6:$AJ$505,"&gt;"&amp;$A25,実績!$AL$6:$AL$505,"○")&gt;0,1,0))</f>
        <v>0</v>
      </c>
      <c r="AN25" s="39" t="n">
        <f aca="false">IF(AN$4=0,0,IF(COUNTIFS(実績!$W$6:$W$505,AN$3,実績!$AI$6:$AI$505,"&lt;="&amp;$A25,実績!$AJ$6:$AJ$505,"&gt;"&amp;$A25,実績!$AL$6:$AL$505,"○")&gt;0,1,0))</f>
        <v>0</v>
      </c>
      <c r="AO25" s="39" t="n">
        <f aca="false">IF(AO$4=0,0,IF(COUNTIFS(実績!$W$6:$W$505,AO$3,実績!$AI$6:$AI$505,"&lt;="&amp;$A25,実績!$AJ$6:$AJ$505,"&gt;"&amp;$A25,実績!$AL$6:$AL$505,"○")&gt;0,1,0))</f>
        <v>0</v>
      </c>
      <c r="AP25" s="39" t="n">
        <f aca="false">IF(AP$4=0,0,IF(COUNTIFS(実績!$W$6:$W$505,AP$3,実績!$AI$6:$AI$505,"&lt;="&amp;$A25,実績!$AJ$6:$AJ$505,"&gt;"&amp;$A25,実績!$AL$6:$AL$505,"○")&gt;0,1,0))</f>
        <v>0</v>
      </c>
      <c r="AQ25" s="39" t="n">
        <f aca="false">IF(AQ$4=0,0,IF(COUNTIFS(実績!$W$6:$W$505,AQ$3,実績!$AI$6:$AI$505,"&lt;="&amp;$A25,実績!$AJ$6:$AJ$505,"&gt;"&amp;$A25,実績!$AL$6:$AL$505,"○")&gt;0,1,0))</f>
        <v>0</v>
      </c>
      <c r="AR25" s="39" t="n">
        <f aca="false">IF(AR$4=0,0,IF(COUNTIFS(実績!$W$6:$W$505,AR$3,実績!$AI$6:$AI$505,"&lt;="&amp;$A25,実績!$AJ$6:$AJ$505,"&gt;"&amp;$A25,実績!$AL$6:$AL$505,"○")&gt;0,1,0))</f>
        <v>0</v>
      </c>
      <c r="AS25" s="39" t="n">
        <f aca="false">IF(AS$4=0,0,IF(COUNTIFS(実績!$W$6:$W$505,AS$3,実績!$AI$6:$AI$505,"&lt;="&amp;$A25,実績!$AJ$6:$AJ$505,"&gt;"&amp;$A25,実績!$AL$6:$AL$505,"○")&gt;0,1,0))</f>
        <v>0</v>
      </c>
      <c r="AT25" s="39" t="n">
        <f aca="false">IF(AT$4=0,0,IF(COUNTIFS(実績!$W$6:$W$505,AT$3,実績!$AI$6:$AI$505,"&lt;="&amp;$A25,実績!$AJ$6:$AJ$505,"&gt;"&amp;$A25,実績!$AL$6:$AL$505,"○")&gt;0,1,0))</f>
        <v>0</v>
      </c>
      <c r="AU25" s="39" t="n">
        <f aca="false">IF(AU$4=0,0,IF(COUNTIFS(実績!$W$6:$W$505,AU$3,実績!$AI$6:$AI$505,"&lt;="&amp;$A25,実績!$AJ$6:$AJ$505,"&gt;"&amp;$A25,実績!$AL$6:$AL$505,"○")&gt;0,1,0))</f>
        <v>0</v>
      </c>
      <c r="AV25" s="39" t="n">
        <f aca="false">IF(AV$4=0,0,IF(COUNTIFS(実績!$W$6:$W$505,AV$3,実績!$AI$6:$AI$505,"&lt;="&amp;$A25,実績!$AJ$6:$AJ$505,"&gt;"&amp;$A25,実績!$AL$6:$AL$505,"○")&gt;0,1,0))</f>
        <v>0</v>
      </c>
      <c r="AW25" s="39" t="n">
        <f aca="false">IF(AW$4=0,0,IF(COUNTIFS(実績!$W$6:$W$505,AW$3,実績!$AI$6:$AI$505,"&lt;="&amp;$A25,実績!$AJ$6:$AJ$505,"&gt;"&amp;$A25,実績!$AL$6:$AL$505,"○")&gt;0,1,0))</f>
        <v>0</v>
      </c>
      <c r="AX25" s="39" t="n">
        <f aca="false">IF(AX$4=0,0,IF(COUNTIFS(実績!$W$6:$W$505,AX$3,実績!$AI$6:$AI$505,"&lt;="&amp;$A25,実績!$AJ$6:$AJ$505,"&gt;"&amp;$A25,実績!$AL$6:$AL$505,"○")&gt;0,1,0))</f>
        <v>0</v>
      </c>
      <c r="AY25" s="39" t="n">
        <f aca="false">IF(AY$4=0,0,IF(COUNTIFS(実績!$W$6:$W$505,AY$3,実績!$AI$6:$AI$505,"&lt;="&amp;$A25,実績!$AJ$6:$AJ$505,"&gt;"&amp;$A25,実績!$AL$6:$AL$505,"○")&gt;0,1,0))</f>
        <v>0</v>
      </c>
      <c r="AZ25" s="39" t="n">
        <f aca="false">IF(AZ$4=0,0,IF(COUNTIFS(実績!$W$6:$W$505,AZ$3,実績!$AI$6:$AI$505,"&lt;="&amp;$A25,実績!$AJ$6:$AJ$505,"&gt;"&amp;$A25,実績!$AL$6:$AL$505,"○")&gt;0,1,0))</f>
        <v>0</v>
      </c>
      <c r="BA25" s="39" t="n">
        <f aca="false">IF(BA$4=0,0,IF(COUNTIFS(実績!$W$6:$W$505,BA$3,実績!$AI$6:$AI$505,"&lt;="&amp;$A25,実績!$AJ$6:$AJ$505,"&gt;"&amp;$A25,実績!$AL$6:$AL$505,"○")&gt;0,1,0))</f>
        <v>0</v>
      </c>
      <c r="BB25" s="39" t="n">
        <f aca="false">IF(BB$4=0,0,IF(COUNTIFS(実績!$W$6:$W$505,BB$3,実績!$AI$6:$AI$505,"&lt;="&amp;$A25,実績!$AJ$6:$AJ$505,"&gt;"&amp;$A25,実績!$AL$6:$AL$505,"○")&gt;0,1,0))</f>
        <v>0</v>
      </c>
      <c r="BC25" s="39" t="n">
        <f aca="false">IF(BC$4=0,0,IF(COUNTIFS(実績!$W$6:$W$505,BC$3,実績!$AI$6:$AI$505,"&lt;="&amp;$A25,実績!$AJ$6:$AJ$505,"&gt;"&amp;$A25,実績!$AL$6:$AL$505,"○")&gt;0,1,0))</f>
        <v>0</v>
      </c>
      <c r="BD25" s="39" t="n">
        <f aca="false">IF(BD$4=0,0,IF(COUNTIFS(実績!$W$6:$W$505,BD$3,実績!$AI$6:$AI$505,"&lt;="&amp;$A25,実績!$AJ$6:$AJ$505,"&gt;"&amp;$A25,実績!$AL$6:$AL$505,"○")&gt;0,1,0))</f>
        <v>0</v>
      </c>
      <c r="BE25" s="39" t="n">
        <f aca="false">IF(BE$4=0,0,IF(COUNTIFS(実績!$W$6:$W$505,BE$3,実績!$AI$6:$AI$505,"&lt;="&amp;$A25,実績!$AJ$6:$AJ$505,"&gt;"&amp;$A25,実績!$AL$6:$AL$505,"○")&gt;0,1,0))</f>
        <v>0</v>
      </c>
      <c r="BF25" s="39" t="n">
        <f aca="false">IF(BF$4=0,0,IF(COUNTIFS(実績!$W$6:$W$505,BF$3,実績!$AI$6:$AI$505,"&lt;="&amp;$A25,実績!$AJ$6:$AJ$505,"&gt;"&amp;$A25,実績!$AL$6:$AL$505,"○")&gt;0,1,0))</f>
        <v>0</v>
      </c>
      <c r="BG25" s="39" t="n">
        <f aca="false">IF(BG$4=0,0,IF(COUNTIFS(実績!$W$6:$W$505,BG$3,実績!$AI$6:$AI$505,"&lt;="&amp;$A25,実績!$AJ$6:$AJ$505,"&gt;"&amp;$A25,実績!$AL$6:$AL$505,"○")&gt;0,1,0))</f>
        <v>0</v>
      </c>
      <c r="BH25" s="39" t="n">
        <f aca="false">IF(BH$4=0,0,IF(COUNTIFS(実績!$W$6:$W$505,BH$3,実績!$AI$6:$AI$505,"&lt;="&amp;$A25,実績!$AJ$6:$AJ$505,"&gt;"&amp;$A25,実績!$AL$6:$AL$505,"○")&gt;0,1,0))</f>
        <v>0</v>
      </c>
      <c r="BI25" s="39" t="n">
        <f aca="false">IF(BI$4=0,0,IF(COUNTIFS(実績!$W$6:$W$505,BI$3,実績!$AI$6:$AI$505,"&lt;="&amp;$A25,実績!$AJ$6:$AJ$505,"&gt;"&amp;$A25,実績!$AL$6:$AL$505,"○")&gt;0,1,0))</f>
        <v>0</v>
      </c>
      <c r="BJ25" s="39" t="n">
        <f aca="false">IF(BJ$4=0,0,IF(COUNTIFS(実績!$W$6:$W$505,BJ$3,実績!$AI$6:$AI$505,"&lt;="&amp;$A25,実績!$AJ$6:$AJ$505,"&gt;"&amp;$A25,実績!$AL$6:$AL$505,"○")&gt;0,1,0))</f>
        <v>0</v>
      </c>
      <c r="BK25" s="39" t="n">
        <f aca="false">IF(BK$4=0,0,IF(COUNTIFS(実績!$W$6:$W$505,BK$3,実績!$AI$6:$AI$505,"&lt;="&amp;$A25,実績!$AJ$6:$AJ$505,"&gt;"&amp;$A25,実績!$AL$6:$AL$505,"○")&gt;0,1,0))</f>
        <v>0</v>
      </c>
      <c r="BL25" s="39" t="n">
        <f aca="false">IF(BL$4=0,0,IF(COUNTIFS(実績!$W$6:$W$505,BL$3,実績!$AI$6:$AI$505,"&lt;="&amp;$A25,実績!$AJ$6:$AJ$505,"&gt;"&amp;$A25,実績!$AL$6:$AL$505,"○")&gt;0,1,0))</f>
        <v>0</v>
      </c>
      <c r="BM25" s="39" t="n">
        <f aca="false">IF(BM$4=0,0,IF(COUNTIFS(実績!$W$6:$W$505,BM$3,実績!$AI$6:$AI$505,"&lt;="&amp;$A25,実績!$AJ$6:$AJ$505,"&gt;"&amp;$A25,実績!$AL$6:$AL$505,"○")&gt;0,1,0))</f>
        <v>0</v>
      </c>
      <c r="BN25" s="39" t="n">
        <f aca="false">IF(BN$4=0,0,IF(COUNTIFS(実績!$W$6:$W$505,BN$3,実績!$AI$6:$AI$505,"&lt;="&amp;$A25,実績!$AJ$6:$AJ$505,"&gt;"&amp;$A25,実績!$AL$6:$AL$505,"○")&gt;0,1,0))</f>
        <v>0</v>
      </c>
      <c r="BO25" s="39" t="n">
        <f aca="false">IF(BO$4=0,0,IF(COUNTIFS(実績!$W$6:$W$505,BO$3,実績!$AI$6:$AI$505,"&lt;="&amp;$A25,実績!$AJ$6:$AJ$505,"&gt;"&amp;$A25,実績!$AL$6:$AL$505,"○")&gt;0,1,0))</f>
        <v>0</v>
      </c>
      <c r="BP25" s="39" t="n">
        <f aca="false">IF(BP$4=0,0,IF(COUNTIFS(実績!$W$6:$W$505,BP$3,実績!$AI$6:$AI$505,"&lt;="&amp;$A25,実績!$AJ$6:$AJ$505,"&gt;"&amp;$A25,実績!$AL$6:$AL$505,"○")&gt;0,1,0))</f>
        <v>0</v>
      </c>
      <c r="BQ25" s="39" t="n">
        <f aca="false">IF(BQ$4=0,0,IF(COUNTIFS(実績!$W$6:$W$505,BQ$3,実績!$AI$6:$AI$505,"&lt;="&amp;$A25,実績!$AJ$6:$AJ$505,"&gt;"&amp;$A25,実績!$AL$6:$AL$505,"○")&gt;0,1,0))</f>
        <v>0</v>
      </c>
      <c r="BR25" s="39" t="n">
        <f aca="false">IF(BR$4=0,0,IF(COUNTIFS(実績!$W$6:$W$505,BR$3,実績!$AI$6:$AI$505,"&lt;="&amp;$A25,実績!$AJ$6:$AJ$505,"&gt;"&amp;$A25,実績!$AL$6:$AL$505,"○")&gt;0,1,0))</f>
        <v>0</v>
      </c>
      <c r="BS25" s="39" t="n">
        <f aca="false">IF(BS$4=0,0,IF(COUNTIFS(実績!$W$6:$W$505,BS$3,実績!$AI$6:$AI$505,"&lt;="&amp;$A25,実績!$AJ$6:$AJ$505,"&gt;"&amp;$A25,実績!$AL$6:$AL$505,"○")&gt;0,1,0))</f>
        <v>0</v>
      </c>
      <c r="BT25" s="39" t="n">
        <f aca="false">IF(BT$4=0,0,IF(COUNTIFS(実績!$W$6:$W$505,BT$3,実績!$AI$6:$AI$505,"&lt;="&amp;$A25,実績!$AJ$6:$AJ$505,"&gt;"&amp;$A25,実績!$AL$6:$AL$505,"○")&gt;0,1,0))</f>
        <v>0</v>
      </c>
      <c r="BU25" s="39" t="n">
        <f aca="false">IF(BU$4=0,0,IF(COUNTIFS(実績!$W$6:$W$505,BU$3,実績!$AI$6:$AI$505,"&lt;="&amp;$A25,実績!$AJ$6:$AJ$505,"&gt;"&amp;$A25,実績!$AL$6:$AL$505,"○")&gt;0,1,0))</f>
        <v>0</v>
      </c>
      <c r="BV25" s="39" t="n">
        <f aca="false">IF(BV$4=0,0,IF(COUNTIFS(実績!$W$6:$W$505,BV$3,実績!$AI$6:$AI$505,"&lt;="&amp;$A25,実績!$AJ$6:$AJ$505,"&gt;"&amp;$A25,実績!$AL$6:$AL$505,"○")&gt;0,1,0))</f>
        <v>0</v>
      </c>
      <c r="BW25" s="39" t="n">
        <f aca="false">IF(BW$4=0,0,IF(COUNTIFS(実績!$W$6:$W$505,BW$3,実績!$AI$6:$AI$505,"&lt;="&amp;$A25,実績!$AJ$6:$AJ$505,"&gt;"&amp;$A25,実績!$AL$6:$AL$505,"○")&gt;0,1,0))</f>
        <v>0</v>
      </c>
      <c r="BX25" s="39" t="n">
        <f aca="false">IF(BX$4=0,0,IF(COUNTIFS(実績!$W$6:$W$505,BX$3,実績!$AI$6:$AI$505,"&lt;="&amp;$A25,実績!$AJ$6:$AJ$505,"&gt;"&amp;$A25,実績!$AL$6:$AL$505,"○")&gt;0,1,0))</f>
        <v>0</v>
      </c>
      <c r="BY25" s="39" t="n">
        <f aca="false">IF(BY$4=0,0,IF(COUNTIFS(実績!$W$6:$W$505,BY$3,実績!$AI$6:$AI$505,"&lt;="&amp;$A25,実績!$AJ$6:$AJ$505,"&gt;"&amp;$A25,実績!$AL$6:$AL$505,"○")&gt;0,1,0))</f>
        <v>0</v>
      </c>
      <c r="BZ25" s="39" t="n">
        <f aca="false">IF(BZ$4=0,0,IF(COUNTIFS(実績!$W$6:$W$505,BZ$3,実績!$AI$6:$AI$505,"&lt;="&amp;$A25,実績!$AJ$6:$AJ$505,"&gt;"&amp;$A25,実績!$AL$6:$AL$505,"○")&gt;0,1,0))</f>
        <v>0</v>
      </c>
      <c r="CA25" s="39" t="n">
        <f aca="false">IF(CA$4=0,0,IF(COUNTIFS(実績!$W$6:$W$505,CA$3,実績!$AI$6:$AI$505,"&lt;="&amp;$A25,実績!$AJ$6:$AJ$505,"&gt;"&amp;$A25,実績!$AL$6:$AL$505,"○")&gt;0,1,0))</f>
        <v>0</v>
      </c>
      <c r="CB25" s="39" t="n">
        <f aca="false">IF(CB$4=0,0,IF(COUNTIFS(実績!$W$6:$W$505,CB$3,実績!$AI$6:$AI$505,"&lt;="&amp;$A25,実績!$AJ$6:$AJ$505,"&gt;"&amp;$A25,実績!$AL$6:$AL$505,"○")&gt;0,1,0))</f>
        <v>0</v>
      </c>
      <c r="CC25" s="39" t="n">
        <f aca="false">IF(CC$4=0,0,IF(COUNTIFS(実績!$W$6:$W$505,CC$3,実績!$AI$6:$AI$505,"&lt;="&amp;$A25,実績!$AJ$6:$AJ$505,"&gt;"&amp;$A25,実績!$AL$6:$AL$505,"○")&gt;0,1,0))</f>
        <v>0</v>
      </c>
      <c r="CD25" s="39" t="n">
        <f aca="false">IF(CD$4=0,0,IF(COUNTIFS(実績!$W$6:$W$505,CD$3,実績!$AI$6:$AI$505,"&lt;="&amp;$A25,実績!$AJ$6:$AJ$505,"&gt;"&amp;$A25,実績!$AL$6:$AL$505,"○")&gt;0,1,0))</f>
        <v>0</v>
      </c>
      <c r="CE25" s="39" t="n">
        <f aca="false">IF(CE$4=0,0,IF(COUNTIFS(実績!$W$6:$W$505,CE$3,実績!$AI$6:$AI$505,"&lt;="&amp;$A25,実績!$AJ$6:$AJ$505,"&gt;"&amp;$A25,実績!$AL$6:$AL$505,"○")&gt;0,1,0))</f>
        <v>0</v>
      </c>
      <c r="CF25" s="39" t="n">
        <f aca="false">IF(CF$4=0,0,IF(COUNTIFS(実績!$W$6:$W$505,CF$3,実績!$AI$6:$AI$505,"&lt;="&amp;$A25,実績!$AJ$6:$AJ$505,"&gt;"&amp;$A25,実績!$AL$6:$AL$505,"○")&gt;0,1,0))</f>
        <v>0</v>
      </c>
      <c r="CG25" s="39" t="n">
        <f aca="false">IF(CG$4=0,0,IF(COUNTIFS(実績!$W$6:$W$505,CG$3,実績!$AI$6:$AI$505,"&lt;="&amp;$A25,実績!$AJ$6:$AJ$505,"&gt;"&amp;$A25,実績!$AL$6:$AL$505,"○")&gt;0,1,0))</f>
        <v>0</v>
      </c>
      <c r="CH25" s="39" t="n">
        <f aca="false">IF(CH$4=0,0,IF(COUNTIFS(実績!$W$6:$W$505,CH$3,実績!$AI$6:$AI$505,"&lt;="&amp;$A25,実績!$AJ$6:$AJ$505,"&gt;"&amp;$A25,実績!$AL$6:$AL$505,"○")&gt;0,1,0))</f>
        <v>0</v>
      </c>
      <c r="CI25" s="39" t="n">
        <f aca="false">IF(CI$4=0,0,IF(COUNTIFS(実績!$W$6:$W$505,CI$3,実績!$AI$6:$AI$505,"&lt;="&amp;$A25,実績!$AJ$6:$AJ$505,"&gt;"&amp;$A25,実績!$AL$6:$AL$505,"○")&gt;0,1,0))</f>
        <v>0</v>
      </c>
      <c r="CJ25" s="39" t="n">
        <f aca="false">IF(CJ$4=0,0,IF(COUNTIFS(実績!$W$6:$W$505,CJ$3,実績!$AI$6:$AI$505,"&lt;="&amp;$A25,実績!$AJ$6:$AJ$505,"&gt;"&amp;$A25,実績!$AL$6:$AL$505,"○")&gt;0,1,0))</f>
        <v>0</v>
      </c>
      <c r="CK25" s="39" t="n">
        <f aca="false">IF(CK$4=0,0,IF(COUNTIFS(実績!$W$6:$W$505,CK$3,実績!$AI$6:$AI$505,"&lt;="&amp;$A25,実績!$AJ$6:$AJ$505,"&gt;"&amp;$A25,実績!$AL$6:$AL$505,"○")&gt;0,1,0))</f>
        <v>0</v>
      </c>
      <c r="CL25" s="39" t="n">
        <f aca="false">IF(CL$4=0,0,IF(COUNTIFS(実績!$W$6:$W$505,CL$3,実績!$AI$6:$AI$505,"&lt;="&amp;$A25,実績!$AJ$6:$AJ$505,"&gt;"&amp;$A25,実績!$AL$6:$AL$505,"○")&gt;0,1,0))</f>
        <v>0</v>
      </c>
      <c r="CM25" s="39" t="n">
        <f aca="false">IF(CM$4=0,0,IF(COUNTIFS(実績!$W$6:$W$505,CM$3,実績!$AI$6:$AI$505,"&lt;="&amp;$A25,実績!$AJ$6:$AJ$505,"&gt;"&amp;$A25,実績!$AL$6:$AL$505,"○")&gt;0,1,0))</f>
        <v>0</v>
      </c>
      <c r="CN25" s="39" t="n">
        <f aca="false">IF(CN$4=0,0,IF(COUNTIFS(実績!$W$6:$W$505,CN$3,実績!$AI$6:$AI$505,"&lt;="&amp;$A25,実績!$AJ$6:$AJ$505,"&gt;"&amp;$A25,実績!$AL$6:$AL$505,"○")&gt;0,1,0))</f>
        <v>0</v>
      </c>
      <c r="CO25" s="39" t="n">
        <f aca="false">IF(CO$4=0,0,IF(COUNTIFS(実績!$W$6:$W$505,CO$3,実績!$AI$6:$AI$505,"&lt;="&amp;$A25,実績!$AJ$6:$AJ$505,"&gt;"&amp;$A25,実績!$AL$6:$AL$505,"○")&gt;0,1,0))</f>
        <v>0</v>
      </c>
      <c r="CP25" s="39" t="n">
        <f aca="false">IF(CP$4=0,0,IF(COUNTIFS(実績!$W$6:$W$505,CP$3,実績!$AI$6:$AI$505,"&lt;="&amp;$A25,実績!$AJ$6:$AJ$505,"&gt;"&amp;$A25,実績!$AL$6:$AL$505,"○")&gt;0,1,0))</f>
        <v>0</v>
      </c>
      <c r="CQ25" s="39" t="n">
        <f aca="false">IF(CQ$4=0,0,IF(COUNTIFS(実績!$W$6:$W$505,CQ$3,実績!$AI$6:$AI$505,"&lt;="&amp;$A25,実績!$AJ$6:$AJ$505,"&gt;"&amp;$A25,実績!$AL$6:$AL$505,"○")&gt;0,1,0))</f>
        <v>0</v>
      </c>
      <c r="CR25" s="39" t="n">
        <f aca="false">IF(CR$4=0,0,IF(COUNTIFS(実績!$W$6:$W$505,CR$3,実績!$AI$6:$AI$505,"&lt;="&amp;$A25,実績!$AJ$6:$AJ$505,"&gt;"&amp;$A25,実績!$AL$6:$AL$505,"○")&gt;0,1,0))</f>
        <v>0</v>
      </c>
      <c r="CS25" s="39" t="n">
        <f aca="false">IF(CS$4=0,0,IF(COUNTIFS(実績!$W$6:$W$505,CS$3,実績!$AI$6:$AI$505,"&lt;="&amp;$A25,実績!$AJ$6:$AJ$505,"&gt;"&amp;$A25,実績!$AL$6:$AL$505,"○")&gt;0,1,0))</f>
        <v>0</v>
      </c>
      <c r="CT25" s="39" t="n">
        <f aca="false">IF(CT$4=0,0,IF(COUNTIFS(実績!$W$6:$W$505,CT$3,実績!$AI$6:$AI$505,"&lt;="&amp;$A25,実績!$AJ$6:$AJ$505,"&gt;"&amp;$A25,実績!$AL$6:$AL$505,"○")&gt;0,1,0))</f>
        <v>0</v>
      </c>
      <c r="CU25" s="39" t="n">
        <f aca="false">IF(CU$4=0,0,IF(COUNTIFS(実績!$W$6:$W$505,CU$3,実績!$AI$6:$AI$505,"&lt;="&amp;$A25,実績!$AJ$6:$AJ$505,"&gt;"&amp;$A25,実績!$AL$6:$AL$505,"○")&gt;0,1,0))</f>
        <v>0</v>
      </c>
      <c r="CV25" s="39" t="n">
        <f aca="false">IF(CV$4=0,0,IF(COUNTIFS(実績!$W$6:$W$505,CV$3,実績!$AI$6:$AI$505,"&lt;="&amp;$A25,実績!$AJ$6:$AJ$505,"&gt;"&amp;$A25,実績!$AL$6:$AL$505,"○")&gt;0,1,0))</f>
        <v>0</v>
      </c>
      <c r="CW25" s="39" t="n">
        <f aca="false">IF(CW$4=0,0,IF(COUNTIFS(実績!$W$6:$W$505,CW$3,実績!$AI$6:$AI$505,"&lt;="&amp;$A25,実績!$AJ$6:$AJ$505,"&gt;"&amp;$A25,実績!$AL$6:$AL$505,"○")&gt;0,1,0))</f>
        <v>0</v>
      </c>
      <c r="CX25" s="39" t="n">
        <f aca="false">IF(CX$4=0,0,IF(COUNTIFS(実績!$W$6:$W$505,CX$3,実績!$AI$6:$AI$505,"&lt;="&amp;$A25,実績!$AJ$6:$AJ$505,"&gt;"&amp;$A25,実績!$AL$6:$AL$505,"○")&gt;0,1,0))</f>
        <v>0</v>
      </c>
      <c r="CY25" s="39" t="n">
        <f aca="false">IF(CY$4=0,0,IF(COUNTIFS(実績!$W$6:$W$505,CY$3,実績!$AI$6:$AI$505,"&lt;="&amp;$A25,実績!$AJ$6:$AJ$505,"&gt;"&amp;$A25,実績!$AL$6:$AL$505,"○")&gt;0,1,0))</f>
        <v>0</v>
      </c>
      <c r="CZ25" s="39" t="n">
        <f aca="false">IF(CZ$4=0,0,IF(COUNTIFS(実績!$W$6:$W$505,CZ$3,実績!$AI$6:$AI$505,"&lt;="&amp;$A25,実績!$AJ$6:$AJ$505,"&gt;"&amp;$A25,実績!$AL$6:$AL$505,"○")&gt;0,1,0))</f>
        <v>0</v>
      </c>
      <c r="DA25" s="39" t="n">
        <f aca="false">IF(DA$4=0,0,IF(COUNTIFS(実績!$W$6:$W$505,DA$3,実績!$AI$6:$AI$505,"&lt;="&amp;$A25,実績!$AJ$6:$AJ$505,"&gt;"&amp;$A25,実績!$AL$6:$AL$505,"○")&gt;0,1,0))</f>
        <v>0</v>
      </c>
      <c r="DB25" s="39" t="n">
        <f aca="false">IF(DB$4=0,0,IF(COUNTIFS(実績!$W$6:$W$505,DB$3,実績!$AI$6:$AI$505,"&lt;="&amp;$A25,実績!$AJ$6:$AJ$505,"&gt;"&amp;$A25,実績!$AL$6:$AL$505,"○")&gt;0,1,0))</f>
        <v>0</v>
      </c>
      <c r="DC25" s="39" t="n">
        <f aca="false">IF(DC$4=0,0,IF(COUNTIFS(実績!$W$6:$W$505,DC$3,実績!$AI$6:$AI$505,"&lt;="&amp;$A25,実績!$AJ$6:$AJ$505,"&gt;"&amp;$A25,実績!$AL$6:$AL$505,"○")&gt;0,1,0))</f>
        <v>0</v>
      </c>
      <c r="DD25" s="39" t="n">
        <f aca="false">IF(DD$4=0,0,IF(COUNTIFS(実績!$W$6:$W$505,DD$3,実績!$AI$6:$AI$505,"&lt;="&amp;$A25,実績!$AJ$6:$AJ$505,"&gt;"&amp;$A25,実績!$AL$6:$AL$505,"○")&gt;0,1,0))</f>
        <v>0</v>
      </c>
      <c r="DE25" s="39" t="n">
        <f aca="false">IF(DE$4=0,0,IF(COUNTIFS(実績!$W$6:$W$505,DE$3,実績!$AI$6:$AI$505,"&lt;="&amp;$A25,実績!$AJ$6:$AJ$505,"&gt;"&amp;$A25,実績!$AL$6:$AL$505,"○")&gt;0,1,0))</f>
        <v>0</v>
      </c>
      <c r="DF25" s="39" t="n">
        <f aca="false">IF(DF$4=0,0,IF(COUNTIFS(実績!$W$6:$W$505,DF$3,実績!$AI$6:$AI$505,"&lt;="&amp;$A25,実績!$AJ$6:$AJ$505,"&gt;"&amp;$A25,実績!$AL$6:$AL$505,"○")&gt;0,1,0))</f>
        <v>0</v>
      </c>
      <c r="DG25" s="39" t="n">
        <f aca="false">IF(DG$4=0,0,IF(COUNTIFS(実績!$W$6:$W$505,DG$3,実績!$AI$6:$AI$505,"&lt;="&amp;$A25,実績!$AJ$6:$AJ$505,"&gt;"&amp;$A25,実績!$AL$6:$AL$505,"○")&gt;0,1,0))</f>
        <v>0</v>
      </c>
      <c r="DH25" s="39" t="n">
        <f aca="false">IF(DH$4=0,0,IF(COUNTIFS(実績!$W$6:$W$505,DH$3,実績!$AI$6:$AI$505,"&lt;="&amp;$A25,実績!$AJ$6:$AJ$505,"&gt;"&amp;$A25,実績!$AL$6:$AL$505,"○")&gt;0,1,0))</f>
        <v>0</v>
      </c>
      <c r="DI25" s="39" t="n">
        <f aca="false">IF(DI$4=0,0,IF(COUNTIFS(実績!$W$6:$W$505,DI$3,実績!$AI$6:$AI$505,"&lt;="&amp;$A25,実績!$AJ$6:$AJ$505,"&gt;"&amp;$A25,実績!$AL$6:$AL$505,"○")&gt;0,1,0))</f>
        <v>0</v>
      </c>
      <c r="DJ25" s="39" t="n">
        <f aca="false">IF(DJ$4=0,0,IF(COUNTIFS(実績!$W$6:$W$505,DJ$3,実績!$AI$6:$AI$505,"&lt;="&amp;$A25,実績!$AJ$6:$AJ$505,"&gt;"&amp;$A25,実績!$AL$6:$AL$505,"○")&gt;0,1,0))</f>
        <v>0</v>
      </c>
      <c r="DK25" s="39" t="n">
        <f aca="false">IF(DK$4=0,0,IF(COUNTIFS(実績!$W$6:$W$505,DK$3,実績!$AI$6:$AI$505,"&lt;="&amp;$A25,実績!$AJ$6:$AJ$505,"&gt;"&amp;$A25,実績!$AL$6:$AL$505,"○")&gt;0,1,0))</f>
        <v>0</v>
      </c>
      <c r="DL25" s="39" t="n">
        <f aca="false">IF(DL$4=0,0,IF(COUNTIFS(実績!$W$6:$W$505,DL$3,実績!$AI$6:$AI$505,"&lt;="&amp;$A25,実績!$AJ$6:$AJ$505,"&gt;"&amp;$A25,実績!$AL$6:$AL$505,"○")&gt;0,1,0))</f>
        <v>0</v>
      </c>
      <c r="DM25" s="39" t="n">
        <f aca="false">IF(DM$4=0,0,IF(COUNTIFS(実績!$W$6:$W$505,DM$3,実績!$AI$6:$AI$505,"&lt;="&amp;$A25,実績!$AJ$6:$AJ$505,"&gt;"&amp;$A25,実績!$AL$6:$AL$505,"○")&gt;0,1,0))</f>
        <v>0</v>
      </c>
      <c r="DN25" s="39" t="n">
        <f aca="false">IF(DN$4=0,0,IF(COUNTIFS(実績!$W$6:$W$505,DN$3,実績!$AI$6:$AI$505,"&lt;="&amp;$A25,実績!$AJ$6:$AJ$505,"&gt;"&amp;$A25,実績!$AL$6:$AL$505,"○")&gt;0,1,0))</f>
        <v>0</v>
      </c>
      <c r="DO25" s="39" t="n">
        <f aca="false">IF(DO$4=0,0,IF(COUNTIFS(実績!$W$6:$W$505,DO$3,実績!$AI$6:$AI$505,"&lt;="&amp;$A25,実績!$AJ$6:$AJ$505,"&gt;"&amp;$A25,実績!$AL$6:$AL$505,"○")&gt;0,1,0))</f>
        <v>0</v>
      </c>
      <c r="DP25" s="39" t="n">
        <f aca="false">IF(DP$4=0,0,IF(COUNTIFS(実績!$W$6:$W$505,DP$3,実績!$AI$6:$AI$505,"&lt;="&amp;$A25,実績!$AJ$6:$AJ$505,"&gt;"&amp;$A25,実績!$AL$6:$AL$505,"○")&gt;0,1,0))</f>
        <v>0</v>
      </c>
      <c r="DQ25" s="39" t="n">
        <f aca="false">IF(DQ$4=0,0,IF(COUNTIFS(実績!$W$6:$W$505,DQ$3,実績!$AI$6:$AI$505,"&lt;="&amp;$A25,実績!$AJ$6:$AJ$505,"&gt;"&amp;$A25,実績!$AL$6:$AL$505,"○")&gt;0,1,0))</f>
        <v>0</v>
      </c>
      <c r="DR25" s="39" t="n">
        <f aca="false">IF(DR$4=0,0,IF(COUNTIFS(実績!$W$6:$W$505,DR$3,実績!$AI$6:$AI$505,"&lt;="&amp;$A25,実績!$AJ$6:$AJ$505,"&gt;"&amp;$A25,実績!$AL$6:$AL$505,"○")&gt;0,1,0))</f>
        <v>0</v>
      </c>
      <c r="DS25" s="39" t="n">
        <f aca="false">SUM(C25:DR25)</f>
        <v>0</v>
      </c>
    </row>
    <row r="26" customFormat="false" ht="15" hidden="false" customHeight="false" outlineLevel="0" collapsed="false">
      <c r="A26" s="0" t="n">
        <v>100</v>
      </c>
      <c r="B26" s="38" t="n">
        <f aca="false">A26/1440</f>
        <v>0.0694444444444445</v>
      </c>
      <c r="C26" s="39" t="n">
        <f aca="false">IF(C$4=0,0,IF(COUNTIFS(実績!$W$6:$W$505,C$3,実績!$AI$6:$AI$505,"&lt;="&amp;$A26,実績!$AJ$6:$AJ$505,"&gt;"&amp;$A26,実績!$AL$6:$AL$505,"○")&gt;0,1,0))</f>
        <v>0</v>
      </c>
      <c r="D26" s="39" t="n">
        <f aca="false">IF(D$4=0,0,IF(COUNTIFS(実績!$W$6:$W$505,D$3,実績!$AI$6:$AI$505,"&lt;="&amp;$A26,実績!$AJ$6:$AJ$505,"&gt;"&amp;$A26,実績!$AL$6:$AL$505,"○")&gt;0,1,0))</f>
        <v>0</v>
      </c>
      <c r="E26" s="39" t="n">
        <f aca="false">IF(E$4=0,0,IF(COUNTIFS(実績!$W$6:$W$505,E$3,実績!$AI$6:$AI$505,"&lt;="&amp;$A26,実績!$AJ$6:$AJ$505,"&gt;"&amp;$A26,実績!$AL$6:$AL$505,"○")&gt;0,1,0))</f>
        <v>0</v>
      </c>
      <c r="F26" s="39" t="n">
        <f aca="false">IF(F$4=0,0,IF(COUNTIFS(実績!$W$6:$W$505,F$3,実績!$AI$6:$AI$505,"&lt;="&amp;$A26,実績!$AJ$6:$AJ$505,"&gt;"&amp;$A26,実績!$AL$6:$AL$505,"○")&gt;0,1,0))</f>
        <v>0</v>
      </c>
      <c r="G26" s="39" t="n">
        <f aca="false">IF(G$4=0,0,IF(COUNTIFS(実績!$W$6:$W$505,G$3,実績!$AI$6:$AI$505,"&lt;="&amp;$A26,実績!$AJ$6:$AJ$505,"&gt;"&amp;$A26,実績!$AL$6:$AL$505,"○")&gt;0,1,0))</f>
        <v>0</v>
      </c>
      <c r="H26" s="39" t="n">
        <f aca="false">IF(H$4=0,0,IF(COUNTIFS(実績!$W$6:$W$505,H$3,実績!$AI$6:$AI$505,"&lt;="&amp;$A26,実績!$AJ$6:$AJ$505,"&gt;"&amp;$A26,実績!$AL$6:$AL$505,"○")&gt;0,1,0))</f>
        <v>0</v>
      </c>
      <c r="I26" s="39" t="n">
        <f aca="false">IF(I$4=0,0,IF(COUNTIFS(実績!$W$6:$W$505,I$3,実績!$AI$6:$AI$505,"&lt;="&amp;$A26,実績!$AJ$6:$AJ$505,"&gt;"&amp;$A26,実績!$AL$6:$AL$505,"○")&gt;0,1,0))</f>
        <v>0</v>
      </c>
      <c r="J26" s="39" t="n">
        <f aca="false">IF(J$4=0,0,IF(COUNTIFS(実績!$W$6:$W$505,J$3,実績!$AI$6:$AI$505,"&lt;="&amp;$A26,実績!$AJ$6:$AJ$505,"&gt;"&amp;$A26,実績!$AL$6:$AL$505,"○")&gt;0,1,0))</f>
        <v>0</v>
      </c>
      <c r="K26" s="39" t="n">
        <f aca="false">IF(K$4=0,0,IF(COUNTIFS(実績!$W$6:$W$505,K$3,実績!$AI$6:$AI$505,"&lt;="&amp;$A26,実績!$AJ$6:$AJ$505,"&gt;"&amp;$A26,実績!$AL$6:$AL$505,"○")&gt;0,1,0))</f>
        <v>0</v>
      </c>
      <c r="L26" s="39" t="n">
        <f aca="false">IF(L$4=0,0,IF(COUNTIFS(実績!$W$6:$W$505,L$3,実績!$AI$6:$AI$505,"&lt;="&amp;$A26,実績!$AJ$6:$AJ$505,"&gt;"&amp;$A26,実績!$AL$6:$AL$505,"○")&gt;0,1,0))</f>
        <v>0</v>
      </c>
      <c r="M26" s="39" t="n">
        <f aca="false">IF(M$4=0,0,IF(COUNTIFS(実績!$W$6:$W$505,M$3,実績!$AI$6:$AI$505,"&lt;="&amp;$A26,実績!$AJ$6:$AJ$505,"&gt;"&amp;$A26,実績!$AL$6:$AL$505,"○")&gt;0,1,0))</f>
        <v>0</v>
      </c>
      <c r="N26" s="39" t="n">
        <f aca="false">IF(N$4=0,0,IF(COUNTIFS(実績!$W$6:$W$505,N$3,実績!$AI$6:$AI$505,"&lt;="&amp;$A26,実績!$AJ$6:$AJ$505,"&gt;"&amp;$A26,実績!$AL$6:$AL$505,"○")&gt;0,1,0))</f>
        <v>0</v>
      </c>
      <c r="O26" s="39" t="n">
        <f aca="false">IF(O$4=0,0,IF(COUNTIFS(実績!$W$6:$W$505,O$3,実績!$AI$6:$AI$505,"&lt;="&amp;$A26,実績!$AJ$6:$AJ$505,"&gt;"&amp;$A26,実績!$AL$6:$AL$505,"○")&gt;0,1,0))</f>
        <v>0</v>
      </c>
      <c r="P26" s="39" t="n">
        <f aca="false">IF(P$4=0,0,IF(COUNTIFS(実績!$W$6:$W$505,P$3,実績!$AI$6:$AI$505,"&lt;="&amp;$A26,実績!$AJ$6:$AJ$505,"&gt;"&amp;$A26,実績!$AL$6:$AL$505,"○")&gt;0,1,0))</f>
        <v>0</v>
      </c>
      <c r="Q26" s="39" t="n">
        <f aca="false">IF(Q$4=0,0,IF(COUNTIFS(実績!$W$6:$W$505,Q$3,実績!$AI$6:$AI$505,"&lt;="&amp;$A26,実績!$AJ$6:$AJ$505,"&gt;"&amp;$A26,実績!$AL$6:$AL$505,"○")&gt;0,1,0))</f>
        <v>0</v>
      </c>
      <c r="R26" s="39" t="n">
        <f aca="false">IF(R$4=0,0,IF(COUNTIFS(実績!$W$6:$W$505,R$3,実績!$AI$6:$AI$505,"&lt;="&amp;$A26,実績!$AJ$6:$AJ$505,"&gt;"&amp;$A26,実績!$AL$6:$AL$505,"○")&gt;0,1,0))</f>
        <v>0</v>
      </c>
      <c r="S26" s="39" t="n">
        <f aca="false">IF(S$4=0,0,IF(COUNTIFS(実績!$W$6:$W$505,S$3,実績!$AI$6:$AI$505,"&lt;="&amp;$A26,実績!$AJ$6:$AJ$505,"&gt;"&amp;$A26,実績!$AL$6:$AL$505,"○")&gt;0,1,0))</f>
        <v>0</v>
      </c>
      <c r="T26" s="39" t="n">
        <f aca="false">IF(T$4=0,0,IF(COUNTIFS(実績!$W$6:$W$505,T$3,実績!$AI$6:$AI$505,"&lt;="&amp;$A26,実績!$AJ$6:$AJ$505,"&gt;"&amp;$A26,実績!$AL$6:$AL$505,"○")&gt;0,1,0))</f>
        <v>0</v>
      </c>
      <c r="U26" s="39" t="n">
        <f aca="false">IF(U$4=0,0,IF(COUNTIFS(実績!$W$6:$W$505,U$3,実績!$AI$6:$AI$505,"&lt;="&amp;$A26,実績!$AJ$6:$AJ$505,"&gt;"&amp;$A26,実績!$AL$6:$AL$505,"○")&gt;0,1,0))</f>
        <v>0</v>
      </c>
      <c r="V26" s="39" t="n">
        <f aca="false">IF(V$4=0,0,IF(COUNTIFS(実績!$W$6:$W$505,V$3,実績!$AI$6:$AI$505,"&lt;="&amp;$A26,実績!$AJ$6:$AJ$505,"&gt;"&amp;$A26,実績!$AL$6:$AL$505,"○")&gt;0,1,0))</f>
        <v>0</v>
      </c>
      <c r="W26" s="39" t="n">
        <f aca="false">IF(W$4=0,0,IF(COUNTIFS(実績!$W$6:$W$505,W$3,実績!$AI$6:$AI$505,"&lt;="&amp;$A26,実績!$AJ$6:$AJ$505,"&gt;"&amp;$A26,実績!$AL$6:$AL$505,"○")&gt;0,1,0))</f>
        <v>0</v>
      </c>
      <c r="X26" s="39" t="n">
        <f aca="false">IF(X$4=0,0,IF(COUNTIFS(実績!$W$6:$W$505,X$3,実績!$AI$6:$AI$505,"&lt;="&amp;$A26,実績!$AJ$6:$AJ$505,"&gt;"&amp;$A26,実績!$AL$6:$AL$505,"○")&gt;0,1,0))</f>
        <v>0</v>
      </c>
      <c r="Y26" s="39" t="n">
        <f aca="false">IF(Y$4=0,0,IF(COUNTIFS(実績!$W$6:$W$505,Y$3,実績!$AI$6:$AI$505,"&lt;="&amp;$A26,実績!$AJ$6:$AJ$505,"&gt;"&amp;$A26,実績!$AL$6:$AL$505,"○")&gt;0,1,0))</f>
        <v>0</v>
      </c>
      <c r="Z26" s="39" t="n">
        <f aca="false">IF(Z$4=0,0,IF(COUNTIFS(実績!$W$6:$W$505,Z$3,実績!$AI$6:$AI$505,"&lt;="&amp;$A26,実績!$AJ$6:$AJ$505,"&gt;"&amp;$A26,実績!$AL$6:$AL$505,"○")&gt;0,1,0))</f>
        <v>0</v>
      </c>
      <c r="AA26" s="39" t="n">
        <f aca="false">IF(AA$4=0,0,IF(COUNTIFS(実績!$W$6:$W$505,AA$3,実績!$AI$6:$AI$505,"&lt;="&amp;$A26,実績!$AJ$6:$AJ$505,"&gt;"&amp;$A26,実績!$AL$6:$AL$505,"○")&gt;0,1,0))</f>
        <v>0</v>
      </c>
      <c r="AB26" s="39" t="n">
        <f aca="false">IF(AB$4=0,0,IF(COUNTIFS(実績!$W$6:$W$505,AB$3,実績!$AI$6:$AI$505,"&lt;="&amp;$A26,実績!$AJ$6:$AJ$505,"&gt;"&amp;$A26,実績!$AL$6:$AL$505,"○")&gt;0,1,0))</f>
        <v>0</v>
      </c>
      <c r="AC26" s="39" t="n">
        <f aca="false">IF(AC$4=0,0,IF(COUNTIFS(実績!$W$6:$W$505,AC$3,実績!$AI$6:$AI$505,"&lt;="&amp;$A26,実績!$AJ$6:$AJ$505,"&gt;"&amp;$A26,実績!$AL$6:$AL$505,"○")&gt;0,1,0))</f>
        <v>0</v>
      </c>
      <c r="AD26" s="39" t="n">
        <f aca="false">IF(AD$4=0,0,IF(COUNTIFS(実績!$W$6:$W$505,AD$3,実績!$AI$6:$AI$505,"&lt;="&amp;$A26,実績!$AJ$6:$AJ$505,"&gt;"&amp;$A26,実績!$AL$6:$AL$505,"○")&gt;0,1,0))</f>
        <v>0</v>
      </c>
      <c r="AE26" s="39" t="n">
        <f aca="false">IF(AE$4=0,0,IF(COUNTIFS(実績!$W$6:$W$505,AE$3,実績!$AI$6:$AI$505,"&lt;="&amp;$A26,実績!$AJ$6:$AJ$505,"&gt;"&amp;$A26,実績!$AL$6:$AL$505,"○")&gt;0,1,0))</f>
        <v>0</v>
      </c>
      <c r="AF26" s="39" t="n">
        <f aca="false">IF(AF$4=0,0,IF(COUNTIFS(実績!$W$6:$W$505,AF$3,実績!$AI$6:$AI$505,"&lt;="&amp;$A26,実績!$AJ$6:$AJ$505,"&gt;"&amp;$A26,実績!$AL$6:$AL$505,"○")&gt;0,1,0))</f>
        <v>0</v>
      </c>
      <c r="AG26" s="39" t="n">
        <f aca="false">IF(AG$4=0,0,IF(COUNTIFS(実績!$W$6:$W$505,AG$3,実績!$AI$6:$AI$505,"&lt;="&amp;$A26,実績!$AJ$6:$AJ$505,"&gt;"&amp;$A26,実績!$AL$6:$AL$505,"○")&gt;0,1,0))</f>
        <v>0</v>
      </c>
      <c r="AH26" s="39" t="n">
        <f aca="false">IF(AH$4=0,0,IF(COUNTIFS(実績!$W$6:$W$505,AH$3,実績!$AI$6:$AI$505,"&lt;="&amp;$A26,実績!$AJ$6:$AJ$505,"&gt;"&amp;$A26,実績!$AL$6:$AL$505,"○")&gt;0,1,0))</f>
        <v>0</v>
      </c>
      <c r="AI26" s="39" t="n">
        <f aca="false">IF(AI$4=0,0,IF(COUNTIFS(実績!$W$6:$W$505,AI$3,実績!$AI$6:$AI$505,"&lt;="&amp;$A26,実績!$AJ$6:$AJ$505,"&gt;"&amp;$A26,実績!$AL$6:$AL$505,"○")&gt;0,1,0))</f>
        <v>0</v>
      </c>
      <c r="AJ26" s="39" t="n">
        <f aca="false">IF(AJ$4=0,0,IF(COUNTIFS(実績!$W$6:$W$505,AJ$3,実績!$AI$6:$AI$505,"&lt;="&amp;$A26,実績!$AJ$6:$AJ$505,"&gt;"&amp;$A26,実績!$AL$6:$AL$505,"○")&gt;0,1,0))</f>
        <v>0</v>
      </c>
      <c r="AK26" s="39" t="n">
        <f aca="false">IF(AK$4=0,0,IF(COUNTIFS(実績!$W$6:$W$505,AK$3,実績!$AI$6:$AI$505,"&lt;="&amp;$A26,実績!$AJ$6:$AJ$505,"&gt;"&amp;$A26,実績!$AL$6:$AL$505,"○")&gt;0,1,0))</f>
        <v>0</v>
      </c>
      <c r="AL26" s="39" t="n">
        <f aca="false">IF(AL$4=0,0,IF(COUNTIFS(実績!$W$6:$W$505,AL$3,実績!$AI$6:$AI$505,"&lt;="&amp;$A26,実績!$AJ$6:$AJ$505,"&gt;"&amp;$A26,実績!$AL$6:$AL$505,"○")&gt;0,1,0))</f>
        <v>0</v>
      </c>
      <c r="AM26" s="39" t="n">
        <f aca="false">IF(AM$4=0,0,IF(COUNTIFS(実績!$W$6:$W$505,AM$3,実績!$AI$6:$AI$505,"&lt;="&amp;$A26,実績!$AJ$6:$AJ$505,"&gt;"&amp;$A26,実績!$AL$6:$AL$505,"○")&gt;0,1,0))</f>
        <v>0</v>
      </c>
      <c r="AN26" s="39" t="n">
        <f aca="false">IF(AN$4=0,0,IF(COUNTIFS(実績!$W$6:$W$505,AN$3,実績!$AI$6:$AI$505,"&lt;="&amp;$A26,実績!$AJ$6:$AJ$505,"&gt;"&amp;$A26,実績!$AL$6:$AL$505,"○")&gt;0,1,0))</f>
        <v>0</v>
      </c>
      <c r="AO26" s="39" t="n">
        <f aca="false">IF(AO$4=0,0,IF(COUNTIFS(実績!$W$6:$W$505,AO$3,実績!$AI$6:$AI$505,"&lt;="&amp;$A26,実績!$AJ$6:$AJ$505,"&gt;"&amp;$A26,実績!$AL$6:$AL$505,"○")&gt;0,1,0))</f>
        <v>0</v>
      </c>
      <c r="AP26" s="39" t="n">
        <f aca="false">IF(AP$4=0,0,IF(COUNTIFS(実績!$W$6:$W$505,AP$3,実績!$AI$6:$AI$505,"&lt;="&amp;$A26,実績!$AJ$6:$AJ$505,"&gt;"&amp;$A26,実績!$AL$6:$AL$505,"○")&gt;0,1,0))</f>
        <v>0</v>
      </c>
      <c r="AQ26" s="39" t="n">
        <f aca="false">IF(AQ$4=0,0,IF(COUNTIFS(実績!$W$6:$W$505,AQ$3,実績!$AI$6:$AI$505,"&lt;="&amp;$A26,実績!$AJ$6:$AJ$505,"&gt;"&amp;$A26,実績!$AL$6:$AL$505,"○")&gt;0,1,0))</f>
        <v>0</v>
      </c>
      <c r="AR26" s="39" t="n">
        <f aca="false">IF(AR$4=0,0,IF(COUNTIFS(実績!$W$6:$W$505,AR$3,実績!$AI$6:$AI$505,"&lt;="&amp;$A26,実績!$AJ$6:$AJ$505,"&gt;"&amp;$A26,実績!$AL$6:$AL$505,"○")&gt;0,1,0))</f>
        <v>0</v>
      </c>
      <c r="AS26" s="39" t="n">
        <f aca="false">IF(AS$4=0,0,IF(COUNTIFS(実績!$W$6:$W$505,AS$3,実績!$AI$6:$AI$505,"&lt;="&amp;$A26,実績!$AJ$6:$AJ$505,"&gt;"&amp;$A26,実績!$AL$6:$AL$505,"○")&gt;0,1,0))</f>
        <v>0</v>
      </c>
      <c r="AT26" s="39" t="n">
        <f aca="false">IF(AT$4=0,0,IF(COUNTIFS(実績!$W$6:$W$505,AT$3,実績!$AI$6:$AI$505,"&lt;="&amp;$A26,実績!$AJ$6:$AJ$505,"&gt;"&amp;$A26,実績!$AL$6:$AL$505,"○")&gt;0,1,0))</f>
        <v>0</v>
      </c>
      <c r="AU26" s="39" t="n">
        <f aca="false">IF(AU$4=0,0,IF(COUNTIFS(実績!$W$6:$W$505,AU$3,実績!$AI$6:$AI$505,"&lt;="&amp;$A26,実績!$AJ$6:$AJ$505,"&gt;"&amp;$A26,実績!$AL$6:$AL$505,"○")&gt;0,1,0))</f>
        <v>0</v>
      </c>
      <c r="AV26" s="39" t="n">
        <f aca="false">IF(AV$4=0,0,IF(COUNTIFS(実績!$W$6:$W$505,AV$3,実績!$AI$6:$AI$505,"&lt;="&amp;$A26,実績!$AJ$6:$AJ$505,"&gt;"&amp;$A26,実績!$AL$6:$AL$505,"○")&gt;0,1,0))</f>
        <v>0</v>
      </c>
      <c r="AW26" s="39" t="n">
        <f aca="false">IF(AW$4=0,0,IF(COUNTIFS(実績!$W$6:$W$505,AW$3,実績!$AI$6:$AI$505,"&lt;="&amp;$A26,実績!$AJ$6:$AJ$505,"&gt;"&amp;$A26,実績!$AL$6:$AL$505,"○")&gt;0,1,0))</f>
        <v>0</v>
      </c>
      <c r="AX26" s="39" t="n">
        <f aca="false">IF(AX$4=0,0,IF(COUNTIFS(実績!$W$6:$W$505,AX$3,実績!$AI$6:$AI$505,"&lt;="&amp;$A26,実績!$AJ$6:$AJ$505,"&gt;"&amp;$A26,実績!$AL$6:$AL$505,"○")&gt;0,1,0))</f>
        <v>0</v>
      </c>
      <c r="AY26" s="39" t="n">
        <f aca="false">IF(AY$4=0,0,IF(COUNTIFS(実績!$W$6:$W$505,AY$3,実績!$AI$6:$AI$505,"&lt;="&amp;$A26,実績!$AJ$6:$AJ$505,"&gt;"&amp;$A26,実績!$AL$6:$AL$505,"○")&gt;0,1,0))</f>
        <v>0</v>
      </c>
      <c r="AZ26" s="39" t="n">
        <f aca="false">IF(AZ$4=0,0,IF(COUNTIFS(実績!$W$6:$W$505,AZ$3,実績!$AI$6:$AI$505,"&lt;="&amp;$A26,実績!$AJ$6:$AJ$505,"&gt;"&amp;$A26,実績!$AL$6:$AL$505,"○")&gt;0,1,0))</f>
        <v>0</v>
      </c>
      <c r="BA26" s="39" t="n">
        <f aca="false">IF(BA$4=0,0,IF(COUNTIFS(実績!$W$6:$W$505,BA$3,実績!$AI$6:$AI$505,"&lt;="&amp;$A26,実績!$AJ$6:$AJ$505,"&gt;"&amp;$A26,実績!$AL$6:$AL$505,"○")&gt;0,1,0))</f>
        <v>0</v>
      </c>
      <c r="BB26" s="39" t="n">
        <f aca="false">IF(BB$4=0,0,IF(COUNTIFS(実績!$W$6:$W$505,BB$3,実績!$AI$6:$AI$505,"&lt;="&amp;$A26,実績!$AJ$6:$AJ$505,"&gt;"&amp;$A26,実績!$AL$6:$AL$505,"○")&gt;0,1,0))</f>
        <v>0</v>
      </c>
      <c r="BC26" s="39" t="n">
        <f aca="false">IF(BC$4=0,0,IF(COUNTIFS(実績!$W$6:$W$505,BC$3,実績!$AI$6:$AI$505,"&lt;="&amp;$A26,実績!$AJ$6:$AJ$505,"&gt;"&amp;$A26,実績!$AL$6:$AL$505,"○")&gt;0,1,0))</f>
        <v>0</v>
      </c>
      <c r="BD26" s="39" t="n">
        <f aca="false">IF(BD$4=0,0,IF(COUNTIFS(実績!$W$6:$W$505,BD$3,実績!$AI$6:$AI$505,"&lt;="&amp;$A26,実績!$AJ$6:$AJ$505,"&gt;"&amp;$A26,実績!$AL$6:$AL$505,"○")&gt;0,1,0))</f>
        <v>0</v>
      </c>
      <c r="BE26" s="39" t="n">
        <f aca="false">IF(BE$4=0,0,IF(COUNTIFS(実績!$W$6:$W$505,BE$3,実績!$AI$6:$AI$505,"&lt;="&amp;$A26,実績!$AJ$6:$AJ$505,"&gt;"&amp;$A26,実績!$AL$6:$AL$505,"○")&gt;0,1,0))</f>
        <v>0</v>
      </c>
      <c r="BF26" s="39" t="n">
        <f aca="false">IF(BF$4=0,0,IF(COUNTIFS(実績!$W$6:$W$505,BF$3,実績!$AI$6:$AI$505,"&lt;="&amp;$A26,実績!$AJ$6:$AJ$505,"&gt;"&amp;$A26,実績!$AL$6:$AL$505,"○")&gt;0,1,0))</f>
        <v>0</v>
      </c>
      <c r="BG26" s="39" t="n">
        <f aca="false">IF(BG$4=0,0,IF(COUNTIFS(実績!$W$6:$W$505,BG$3,実績!$AI$6:$AI$505,"&lt;="&amp;$A26,実績!$AJ$6:$AJ$505,"&gt;"&amp;$A26,実績!$AL$6:$AL$505,"○")&gt;0,1,0))</f>
        <v>0</v>
      </c>
      <c r="BH26" s="39" t="n">
        <f aca="false">IF(BH$4=0,0,IF(COUNTIFS(実績!$W$6:$W$505,BH$3,実績!$AI$6:$AI$505,"&lt;="&amp;$A26,実績!$AJ$6:$AJ$505,"&gt;"&amp;$A26,実績!$AL$6:$AL$505,"○")&gt;0,1,0))</f>
        <v>0</v>
      </c>
      <c r="BI26" s="39" t="n">
        <f aca="false">IF(BI$4=0,0,IF(COUNTIFS(実績!$W$6:$W$505,BI$3,実績!$AI$6:$AI$505,"&lt;="&amp;$A26,実績!$AJ$6:$AJ$505,"&gt;"&amp;$A26,実績!$AL$6:$AL$505,"○")&gt;0,1,0))</f>
        <v>0</v>
      </c>
      <c r="BJ26" s="39" t="n">
        <f aca="false">IF(BJ$4=0,0,IF(COUNTIFS(実績!$W$6:$W$505,BJ$3,実績!$AI$6:$AI$505,"&lt;="&amp;$A26,実績!$AJ$6:$AJ$505,"&gt;"&amp;$A26,実績!$AL$6:$AL$505,"○")&gt;0,1,0))</f>
        <v>0</v>
      </c>
      <c r="BK26" s="39" t="n">
        <f aca="false">IF(BK$4=0,0,IF(COUNTIFS(実績!$W$6:$W$505,BK$3,実績!$AI$6:$AI$505,"&lt;="&amp;$A26,実績!$AJ$6:$AJ$505,"&gt;"&amp;$A26,実績!$AL$6:$AL$505,"○")&gt;0,1,0))</f>
        <v>0</v>
      </c>
      <c r="BL26" s="39" t="n">
        <f aca="false">IF(BL$4=0,0,IF(COUNTIFS(実績!$W$6:$W$505,BL$3,実績!$AI$6:$AI$505,"&lt;="&amp;$A26,実績!$AJ$6:$AJ$505,"&gt;"&amp;$A26,実績!$AL$6:$AL$505,"○")&gt;0,1,0))</f>
        <v>0</v>
      </c>
      <c r="BM26" s="39" t="n">
        <f aca="false">IF(BM$4=0,0,IF(COUNTIFS(実績!$W$6:$W$505,BM$3,実績!$AI$6:$AI$505,"&lt;="&amp;$A26,実績!$AJ$6:$AJ$505,"&gt;"&amp;$A26,実績!$AL$6:$AL$505,"○")&gt;0,1,0))</f>
        <v>0</v>
      </c>
      <c r="BN26" s="39" t="n">
        <f aca="false">IF(BN$4=0,0,IF(COUNTIFS(実績!$W$6:$W$505,BN$3,実績!$AI$6:$AI$505,"&lt;="&amp;$A26,実績!$AJ$6:$AJ$505,"&gt;"&amp;$A26,実績!$AL$6:$AL$505,"○")&gt;0,1,0))</f>
        <v>0</v>
      </c>
      <c r="BO26" s="39" t="n">
        <f aca="false">IF(BO$4=0,0,IF(COUNTIFS(実績!$W$6:$W$505,BO$3,実績!$AI$6:$AI$505,"&lt;="&amp;$A26,実績!$AJ$6:$AJ$505,"&gt;"&amp;$A26,実績!$AL$6:$AL$505,"○")&gt;0,1,0))</f>
        <v>0</v>
      </c>
      <c r="BP26" s="39" t="n">
        <f aca="false">IF(BP$4=0,0,IF(COUNTIFS(実績!$W$6:$W$505,BP$3,実績!$AI$6:$AI$505,"&lt;="&amp;$A26,実績!$AJ$6:$AJ$505,"&gt;"&amp;$A26,実績!$AL$6:$AL$505,"○")&gt;0,1,0))</f>
        <v>0</v>
      </c>
      <c r="BQ26" s="39" t="n">
        <f aca="false">IF(BQ$4=0,0,IF(COUNTIFS(実績!$W$6:$W$505,BQ$3,実績!$AI$6:$AI$505,"&lt;="&amp;$A26,実績!$AJ$6:$AJ$505,"&gt;"&amp;$A26,実績!$AL$6:$AL$505,"○")&gt;0,1,0))</f>
        <v>0</v>
      </c>
      <c r="BR26" s="39" t="n">
        <f aca="false">IF(BR$4=0,0,IF(COUNTIFS(実績!$W$6:$W$505,BR$3,実績!$AI$6:$AI$505,"&lt;="&amp;$A26,実績!$AJ$6:$AJ$505,"&gt;"&amp;$A26,実績!$AL$6:$AL$505,"○")&gt;0,1,0))</f>
        <v>0</v>
      </c>
      <c r="BS26" s="39" t="n">
        <f aca="false">IF(BS$4=0,0,IF(COUNTIFS(実績!$W$6:$W$505,BS$3,実績!$AI$6:$AI$505,"&lt;="&amp;$A26,実績!$AJ$6:$AJ$505,"&gt;"&amp;$A26,実績!$AL$6:$AL$505,"○")&gt;0,1,0))</f>
        <v>0</v>
      </c>
      <c r="BT26" s="39" t="n">
        <f aca="false">IF(BT$4=0,0,IF(COUNTIFS(実績!$W$6:$W$505,BT$3,実績!$AI$6:$AI$505,"&lt;="&amp;$A26,実績!$AJ$6:$AJ$505,"&gt;"&amp;$A26,実績!$AL$6:$AL$505,"○")&gt;0,1,0))</f>
        <v>0</v>
      </c>
      <c r="BU26" s="39" t="n">
        <f aca="false">IF(BU$4=0,0,IF(COUNTIFS(実績!$W$6:$W$505,BU$3,実績!$AI$6:$AI$505,"&lt;="&amp;$A26,実績!$AJ$6:$AJ$505,"&gt;"&amp;$A26,実績!$AL$6:$AL$505,"○")&gt;0,1,0))</f>
        <v>0</v>
      </c>
      <c r="BV26" s="39" t="n">
        <f aca="false">IF(BV$4=0,0,IF(COUNTIFS(実績!$W$6:$W$505,BV$3,実績!$AI$6:$AI$505,"&lt;="&amp;$A26,実績!$AJ$6:$AJ$505,"&gt;"&amp;$A26,実績!$AL$6:$AL$505,"○")&gt;0,1,0))</f>
        <v>0</v>
      </c>
      <c r="BW26" s="39" t="n">
        <f aca="false">IF(BW$4=0,0,IF(COUNTIFS(実績!$W$6:$W$505,BW$3,実績!$AI$6:$AI$505,"&lt;="&amp;$A26,実績!$AJ$6:$AJ$505,"&gt;"&amp;$A26,実績!$AL$6:$AL$505,"○")&gt;0,1,0))</f>
        <v>0</v>
      </c>
      <c r="BX26" s="39" t="n">
        <f aca="false">IF(BX$4=0,0,IF(COUNTIFS(実績!$W$6:$W$505,BX$3,実績!$AI$6:$AI$505,"&lt;="&amp;$A26,実績!$AJ$6:$AJ$505,"&gt;"&amp;$A26,実績!$AL$6:$AL$505,"○")&gt;0,1,0))</f>
        <v>0</v>
      </c>
      <c r="BY26" s="39" t="n">
        <f aca="false">IF(BY$4=0,0,IF(COUNTIFS(実績!$W$6:$W$505,BY$3,実績!$AI$6:$AI$505,"&lt;="&amp;$A26,実績!$AJ$6:$AJ$505,"&gt;"&amp;$A26,実績!$AL$6:$AL$505,"○")&gt;0,1,0))</f>
        <v>0</v>
      </c>
      <c r="BZ26" s="39" t="n">
        <f aca="false">IF(BZ$4=0,0,IF(COUNTIFS(実績!$W$6:$W$505,BZ$3,実績!$AI$6:$AI$505,"&lt;="&amp;$A26,実績!$AJ$6:$AJ$505,"&gt;"&amp;$A26,実績!$AL$6:$AL$505,"○")&gt;0,1,0))</f>
        <v>0</v>
      </c>
      <c r="CA26" s="39" t="n">
        <f aca="false">IF(CA$4=0,0,IF(COUNTIFS(実績!$W$6:$W$505,CA$3,実績!$AI$6:$AI$505,"&lt;="&amp;$A26,実績!$AJ$6:$AJ$505,"&gt;"&amp;$A26,実績!$AL$6:$AL$505,"○")&gt;0,1,0))</f>
        <v>0</v>
      </c>
      <c r="CB26" s="39" t="n">
        <f aca="false">IF(CB$4=0,0,IF(COUNTIFS(実績!$W$6:$W$505,CB$3,実績!$AI$6:$AI$505,"&lt;="&amp;$A26,実績!$AJ$6:$AJ$505,"&gt;"&amp;$A26,実績!$AL$6:$AL$505,"○")&gt;0,1,0))</f>
        <v>0</v>
      </c>
      <c r="CC26" s="39" t="n">
        <f aca="false">IF(CC$4=0,0,IF(COUNTIFS(実績!$W$6:$W$505,CC$3,実績!$AI$6:$AI$505,"&lt;="&amp;$A26,実績!$AJ$6:$AJ$505,"&gt;"&amp;$A26,実績!$AL$6:$AL$505,"○")&gt;0,1,0))</f>
        <v>0</v>
      </c>
      <c r="CD26" s="39" t="n">
        <f aca="false">IF(CD$4=0,0,IF(COUNTIFS(実績!$W$6:$W$505,CD$3,実績!$AI$6:$AI$505,"&lt;="&amp;$A26,実績!$AJ$6:$AJ$505,"&gt;"&amp;$A26,実績!$AL$6:$AL$505,"○")&gt;0,1,0))</f>
        <v>0</v>
      </c>
      <c r="CE26" s="39" t="n">
        <f aca="false">IF(CE$4=0,0,IF(COUNTIFS(実績!$W$6:$W$505,CE$3,実績!$AI$6:$AI$505,"&lt;="&amp;$A26,実績!$AJ$6:$AJ$505,"&gt;"&amp;$A26,実績!$AL$6:$AL$505,"○")&gt;0,1,0))</f>
        <v>0</v>
      </c>
      <c r="CF26" s="39" t="n">
        <f aca="false">IF(CF$4=0,0,IF(COUNTIFS(実績!$W$6:$W$505,CF$3,実績!$AI$6:$AI$505,"&lt;="&amp;$A26,実績!$AJ$6:$AJ$505,"&gt;"&amp;$A26,実績!$AL$6:$AL$505,"○")&gt;0,1,0))</f>
        <v>0</v>
      </c>
      <c r="CG26" s="39" t="n">
        <f aca="false">IF(CG$4=0,0,IF(COUNTIFS(実績!$W$6:$W$505,CG$3,実績!$AI$6:$AI$505,"&lt;="&amp;$A26,実績!$AJ$6:$AJ$505,"&gt;"&amp;$A26,実績!$AL$6:$AL$505,"○")&gt;0,1,0))</f>
        <v>0</v>
      </c>
      <c r="CH26" s="39" t="n">
        <f aca="false">IF(CH$4=0,0,IF(COUNTIFS(実績!$W$6:$W$505,CH$3,実績!$AI$6:$AI$505,"&lt;="&amp;$A26,実績!$AJ$6:$AJ$505,"&gt;"&amp;$A26,実績!$AL$6:$AL$505,"○")&gt;0,1,0))</f>
        <v>0</v>
      </c>
      <c r="CI26" s="39" t="n">
        <f aca="false">IF(CI$4=0,0,IF(COUNTIFS(実績!$W$6:$W$505,CI$3,実績!$AI$6:$AI$505,"&lt;="&amp;$A26,実績!$AJ$6:$AJ$505,"&gt;"&amp;$A26,実績!$AL$6:$AL$505,"○")&gt;0,1,0))</f>
        <v>0</v>
      </c>
      <c r="CJ26" s="39" t="n">
        <f aca="false">IF(CJ$4=0,0,IF(COUNTIFS(実績!$W$6:$W$505,CJ$3,実績!$AI$6:$AI$505,"&lt;="&amp;$A26,実績!$AJ$6:$AJ$505,"&gt;"&amp;$A26,実績!$AL$6:$AL$505,"○")&gt;0,1,0))</f>
        <v>0</v>
      </c>
      <c r="CK26" s="39" t="n">
        <f aca="false">IF(CK$4=0,0,IF(COUNTIFS(実績!$W$6:$W$505,CK$3,実績!$AI$6:$AI$505,"&lt;="&amp;$A26,実績!$AJ$6:$AJ$505,"&gt;"&amp;$A26,実績!$AL$6:$AL$505,"○")&gt;0,1,0))</f>
        <v>0</v>
      </c>
      <c r="CL26" s="39" t="n">
        <f aca="false">IF(CL$4=0,0,IF(COUNTIFS(実績!$W$6:$W$505,CL$3,実績!$AI$6:$AI$505,"&lt;="&amp;$A26,実績!$AJ$6:$AJ$505,"&gt;"&amp;$A26,実績!$AL$6:$AL$505,"○")&gt;0,1,0))</f>
        <v>0</v>
      </c>
      <c r="CM26" s="39" t="n">
        <f aca="false">IF(CM$4=0,0,IF(COUNTIFS(実績!$W$6:$W$505,CM$3,実績!$AI$6:$AI$505,"&lt;="&amp;$A26,実績!$AJ$6:$AJ$505,"&gt;"&amp;$A26,実績!$AL$6:$AL$505,"○")&gt;0,1,0))</f>
        <v>0</v>
      </c>
      <c r="CN26" s="39" t="n">
        <f aca="false">IF(CN$4=0,0,IF(COUNTIFS(実績!$W$6:$W$505,CN$3,実績!$AI$6:$AI$505,"&lt;="&amp;$A26,実績!$AJ$6:$AJ$505,"&gt;"&amp;$A26,実績!$AL$6:$AL$505,"○")&gt;0,1,0))</f>
        <v>0</v>
      </c>
      <c r="CO26" s="39" t="n">
        <f aca="false">IF(CO$4=0,0,IF(COUNTIFS(実績!$W$6:$W$505,CO$3,実績!$AI$6:$AI$505,"&lt;="&amp;$A26,実績!$AJ$6:$AJ$505,"&gt;"&amp;$A26,実績!$AL$6:$AL$505,"○")&gt;0,1,0))</f>
        <v>0</v>
      </c>
      <c r="CP26" s="39" t="n">
        <f aca="false">IF(CP$4=0,0,IF(COUNTIFS(実績!$W$6:$W$505,CP$3,実績!$AI$6:$AI$505,"&lt;="&amp;$A26,実績!$AJ$6:$AJ$505,"&gt;"&amp;$A26,実績!$AL$6:$AL$505,"○")&gt;0,1,0))</f>
        <v>0</v>
      </c>
      <c r="CQ26" s="39" t="n">
        <f aca="false">IF(CQ$4=0,0,IF(COUNTIFS(実績!$W$6:$W$505,CQ$3,実績!$AI$6:$AI$505,"&lt;="&amp;$A26,実績!$AJ$6:$AJ$505,"&gt;"&amp;$A26,実績!$AL$6:$AL$505,"○")&gt;0,1,0))</f>
        <v>0</v>
      </c>
      <c r="CR26" s="39" t="n">
        <f aca="false">IF(CR$4=0,0,IF(COUNTIFS(実績!$W$6:$W$505,CR$3,実績!$AI$6:$AI$505,"&lt;="&amp;$A26,実績!$AJ$6:$AJ$505,"&gt;"&amp;$A26,実績!$AL$6:$AL$505,"○")&gt;0,1,0))</f>
        <v>0</v>
      </c>
      <c r="CS26" s="39" t="n">
        <f aca="false">IF(CS$4=0,0,IF(COUNTIFS(実績!$W$6:$W$505,CS$3,実績!$AI$6:$AI$505,"&lt;="&amp;$A26,実績!$AJ$6:$AJ$505,"&gt;"&amp;$A26,実績!$AL$6:$AL$505,"○")&gt;0,1,0))</f>
        <v>0</v>
      </c>
      <c r="CT26" s="39" t="n">
        <f aca="false">IF(CT$4=0,0,IF(COUNTIFS(実績!$W$6:$W$505,CT$3,実績!$AI$6:$AI$505,"&lt;="&amp;$A26,実績!$AJ$6:$AJ$505,"&gt;"&amp;$A26,実績!$AL$6:$AL$505,"○")&gt;0,1,0))</f>
        <v>0</v>
      </c>
      <c r="CU26" s="39" t="n">
        <f aca="false">IF(CU$4=0,0,IF(COUNTIFS(実績!$W$6:$W$505,CU$3,実績!$AI$6:$AI$505,"&lt;="&amp;$A26,実績!$AJ$6:$AJ$505,"&gt;"&amp;$A26,実績!$AL$6:$AL$505,"○")&gt;0,1,0))</f>
        <v>0</v>
      </c>
      <c r="CV26" s="39" t="n">
        <f aca="false">IF(CV$4=0,0,IF(COUNTIFS(実績!$W$6:$W$505,CV$3,実績!$AI$6:$AI$505,"&lt;="&amp;$A26,実績!$AJ$6:$AJ$505,"&gt;"&amp;$A26,実績!$AL$6:$AL$505,"○")&gt;0,1,0))</f>
        <v>0</v>
      </c>
      <c r="CW26" s="39" t="n">
        <f aca="false">IF(CW$4=0,0,IF(COUNTIFS(実績!$W$6:$W$505,CW$3,実績!$AI$6:$AI$505,"&lt;="&amp;$A26,実績!$AJ$6:$AJ$505,"&gt;"&amp;$A26,実績!$AL$6:$AL$505,"○")&gt;0,1,0))</f>
        <v>0</v>
      </c>
      <c r="CX26" s="39" t="n">
        <f aca="false">IF(CX$4=0,0,IF(COUNTIFS(実績!$W$6:$W$505,CX$3,実績!$AI$6:$AI$505,"&lt;="&amp;$A26,実績!$AJ$6:$AJ$505,"&gt;"&amp;$A26,実績!$AL$6:$AL$505,"○")&gt;0,1,0))</f>
        <v>0</v>
      </c>
      <c r="CY26" s="39" t="n">
        <f aca="false">IF(CY$4=0,0,IF(COUNTIFS(実績!$W$6:$W$505,CY$3,実績!$AI$6:$AI$505,"&lt;="&amp;$A26,実績!$AJ$6:$AJ$505,"&gt;"&amp;$A26,実績!$AL$6:$AL$505,"○")&gt;0,1,0))</f>
        <v>0</v>
      </c>
      <c r="CZ26" s="39" t="n">
        <f aca="false">IF(CZ$4=0,0,IF(COUNTIFS(実績!$W$6:$W$505,CZ$3,実績!$AI$6:$AI$505,"&lt;="&amp;$A26,実績!$AJ$6:$AJ$505,"&gt;"&amp;$A26,実績!$AL$6:$AL$505,"○")&gt;0,1,0))</f>
        <v>0</v>
      </c>
      <c r="DA26" s="39" t="n">
        <f aca="false">IF(DA$4=0,0,IF(COUNTIFS(実績!$W$6:$W$505,DA$3,実績!$AI$6:$AI$505,"&lt;="&amp;$A26,実績!$AJ$6:$AJ$505,"&gt;"&amp;$A26,実績!$AL$6:$AL$505,"○")&gt;0,1,0))</f>
        <v>0</v>
      </c>
      <c r="DB26" s="39" t="n">
        <f aca="false">IF(DB$4=0,0,IF(COUNTIFS(実績!$W$6:$W$505,DB$3,実績!$AI$6:$AI$505,"&lt;="&amp;$A26,実績!$AJ$6:$AJ$505,"&gt;"&amp;$A26,実績!$AL$6:$AL$505,"○")&gt;0,1,0))</f>
        <v>0</v>
      </c>
      <c r="DC26" s="39" t="n">
        <f aca="false">IF(DC$4=0,0,IF(COUNTIFS(実績!$W$6:$W$505,DC$3,実績!$AI$6:$AI$505,"&lt;="&amp;$A26,実績!$AJ$6:$AJ$505,"&gt;"&amp;$A26,実績!$AL$6:$AL$505,"○")&gt;0,1,0))</f>
        <v>0</v>
      </c>
      <c r="DD26" s="39" t="n">
        <f aca="false">IF(DD$4=0,0,IF(COUNTIFS(実績!$W$6:$W$505,DD$3,実績!$AI$6:$AI$505,"&lt;="&amp;$A26,実績!$AJ$6:$AJ$505,"&gt;"&amp;$A26,実績!$AL$6:$AL$505,"○")&gt;0,1,0))</f>
        <v>0</v>
      </c>
      <c r="DE26" s="39" t="n">
        <f aca="false">IF(DE$4=0,0,IF(COUNTIFS(実績!$W$6:$W$505,DE$3,実績!$AI$6:$AI$505,"&lt;="&amp;$A26,実績!$AJ$6:$AJ$505,"&gt;"&amp;$A26,実績!$AL$6:$AL$505,"○")&gt;0,1,0))</f>
        <v>0</v>
      </c>
      <c r="DF26" s="39" t="n">
        <f aca="false">IF(DF$4=0,0,IF(COUNTIFS(実績!$W$6:$W$505,DF$3,実績!$AI$6:$AI$505,"&lt;="&amp;$A26,実績!$AJ$6:$AJ$505,"&gt;"&amp;$A26,実績!$AL$6:$AL$505,"○")&gt;0,1,0))</f>
        <v>0</v>
      </c>
      <c r="DG26" s="39" t="n">
        <f aca="false">IF(DG$4=0,0,IF(COUNTIFS(実績!$W$6:$W$505,DG$3,実績!$AI$6:$AI$505,"&lt;="&amp;$A26,実績!$AJ$6:$AJ$505,"&gt;"&amp;$A26,実績!$AL$6:$AL$505,"○")&gt;0,1,0))</f>
        <v>0</v>
      </c>
      <c r="DH26" s="39" t="n">
        <f aca="false">IF(DH$4=0,0,IF(COUNTIFS(実績!$W$6:$W$505,DH$3,実績!$AI$6:$AI$505,"&lt;="&amp;$A26,実績!$AJ$6:$AJ$505,"&gt;"&amp;$A26,実績!$AL$6:$AL$505,"○")&gt;0,1,0))</f>
        <v>0</v>
      </c>
      <c r="DI26" s="39" t="n">
        <f aca="false">IF(DI$4=0,0,IF(COUNTIFS(実績!$W$6:$W$505,DI$3,実績!$AI$6:$AI$505,"&lt;="&amp;$A26,実績!$AJ$6:$AJ$505,"&gt;"&amp;$A26,実績!$AL$6:$AL$505,"○")&gt;0,1,0))</f>
        <v>0</v>
      </c>
      <c r="DJ26" s="39" t="n">
        <f aca="false">IF(DJ$4=0,0,IF(COUNTIFS(実績!$W$6:$W$505,DJ$3,実績!$AI$6:$AI$505,"&lt;="&amp;$A26,実績!$AJ$6:$AJ$505,"&gt;"&amp;$A26,実績!$AL$6:$AL$505,"○")&gt;0,1,0))</f>
        <v>0</v>
      </c>
      <c r="DK26" s="39" t="n">
        <f aca="false">IF(DK$4=0,0,IF(COUNTIFS(実績!$W$6:$W$505,DK$3,実績!$AI$6:$AI$505,"&lt;="&amp;$A26,実績!$AJ$6:$AJ$505,"&gt;"&amp;$A26,実績!$AL$6:$AL$505,"○")&gt;0,1,0))</f>
        <v>0</v>
      </c>
      <c r="DL26" s="39" t="n">
        <f aca="false">IF(DL$4=0,0,IF(COUNTIFS(実績!$W$6:$W$505,DL$3,実績!$AI$6:$AI$505,"&lt;="&amp;$A26,実績!$AJ$6:$AJ$505,"&gt;"&amp;$A26,実績!$AL$6:$AL$505,"○")&gt;0,1,0))</f>
        <v>0</v>
      </c>
      <c r="DM26" s="39" t="n">
        <f aca="false">IF(DM$4=0,0,IF(COUNTIFS(実績!$W$6:$W$505,DM$3,実績!$AI$6:$AI$505,"&lt;="&amp;$A26,実績!$AJ$6:$AJ$505,"&gt;"&amp;$A26,実績!$AL$6:$AL$505,"○")&gt;0,1,0))</f>
        <v>0</v>
      </c>
      <c r="DN26" s="39" t="n">
        <f aca="false">IF(DN$4=0,0,IF(COUNTIFS(実績!$W$6:$W$505,DN$3,実績!$AI$6:$AI$505,"&lt;="&amp;$A26,実績!$AJ$6:$AJ$505,"&gt;"&amp;$A26,実績!$AL$6:$AL$505,"○")&gt;0,1,0))</f>
        <v>0</v>
      </c>
      <c r="DO26" s="39" t="n">
        <f aca="false">IF(DO$4=0,0,IF(COUNTIFS(実績!$W$6:$W$505,DO$3,実績!$AI$6:$AI$505,"&lt;="&amp;$A26,実績!$AJ$6:$AJ$505,"&gt;"&amp;$A26,実績!$AL$6:$AL$505,"○")&gt;0,1,0))</f>
        <v>0</v>
      </c>
      <c r="DP26" s="39" t="n">
        <f aca="false">IF(DP$4=0,0,IF(COUNTIFS(実績!$W$6:$W$505,DP$3,実績!$AI$6:$AI$505,"&lt;="&amp;$A26,実績!$AJ$6:$AJ$505,"&gt;"&amp;$A26,実績!$AL$6:$AL$505,"○")&gt;0,1,0))</f>
        <v>0</v>
      </c>
      <c r="DQ26" s="39" t="n">
        <f aca="false">IF(DQ$4=0,0,IF(COUNTIFS(実績!$W$6:$W$505,DQ$3,実績!$AI$6:$AI$505,"&lt;="&amp;$A26,実績!$AJ$6:$AJ$505,"&gt;"&amp;$A26,実績!$AL$6:$AL$505,"○")&gt;0,1,0))</f>
        <v>0</v>
      </c>
      <c r="DR26" s="39" t="n">
        <f aca="false">IF(DR$4=0,0,IF(COUNTIFS(実績!$W$6:$W$505,DR$3,実績!$AI$6:$AI$505,"&lt;="&amp;$A26,実績!$AJ$6:$AJ$505,"&gt;"&amp;$A26,実績!$AL$6:$AL$505,"○")&gt;0,1,0))</f>
        <v>0</v>
      </c>
      <c r="DS26" s="39" t="n">
        <f aca="false">SUM(C26:DR26)</f>
        <v>0</v>
      </c>
    </row>
    <row r="27" customFormat="false" ht="15" hidden="false" customHeight="false" outlineLevel="0" collapsed="false">
      <c r="A27" s="0" t="n">
        <v>105</v>
      </c>
      <c r="B27" s="38" t="n">
        <f aca="false">A27/1440</f>
        <v>0.0729166666666667</v>
      </c>
      <c r="C27" s="39" t="n">
        <f aca="false">IF(C$4=0,0,IF(COUNTIFS(実績!$W$6:$W$505,C$3,実績!$AI$6:$AI$505,"&lt;="&amp;$A27,実績!$AJ$6:$AJ$505,"&gt;"&amp;$A27,実績!$AL$6:$AL$505,"○")&gt;0,1,0))</f>
        <v>0</v>
      </c>
      <c r="D27" s="39" t="n">
        <f aca="false">IF(D$4=0,0,IF(COUNTIFS(実績!$W$6:$W$505,D$3,実績!$AI$6:$AI$505,"&lt;="&amp;$A27,実績!$AJ$6:$AJ$505,"&gt;"&amp;$A27,実績!$AL$6:$AL$505,"○")&gt;0,1,0))</f>
        <v>0</v>
      </c>
      <c r="E27" s="39" t="n">
        <f aca="false">IF(E$4=0,0,IF(COUNTIFS(実績!$W$6:$W$505,E$3,実績!$AI$6:$AI$505,"&lt;="&amp;$A27,実績!$AJ$6:$AJ$505,"&gt;"&amp;$A27,実績!$AL$6:$AL$505,"○")&gt;0,1,0))</f>
        <v>0</v>
      </c>
      <c r="F27" s="39" t="n">
        <f aca="false">IF(F$4=0,0,IF(COUNTIFS(実績!$W$6:$W$505,F$3,実績!$AI$6:$AI$505,"&lt;="&amp;$A27,実績!$AJ$6:$AJ$505,"&gt;"&amp;$A27,実績!$AL$6:$AL$505,"○")&gt;0,1,0))</f>
        <v>0</v>
      </c>
      <c r="G27" s="39" t="n">
        <f aca="false">IF(G$4=0,0,IF(COUNTIFS(実績!$W$6:$W$505,G$3,実績!$AI$6:$AI$505,"&lt;="&amp;$A27,実績!$AJ$6:$AJ$505,"&gt;"&amp;$A27,実績!$AL$6:$AL$505,"○")&gt;0,1,0))</f>
        <v>0</v>
      </c>
      <c r="H27" s="39" t="n">
        <f aca="false">IF(H$4=0,0,IF(COUNTIFS(実績!$W$6:$W$505,H$3,実績!$AI$6:$AI$505,"&lt;="&amp;$A27,実績!$AJ$6:$AJ$505,"&gt;"&amp;$A27,実績!$AL$6:$AL$505,"○")&gt;0,1,0))</f>
        <v>0</v>
      </c>
      <c r="I27" s="39" t="n">
        <f aca="false">IF(I$4=0,0,IF(COUNTIFS(実績!$W$6:$W$505,I$3,実績!$AI$6:$AI$505,"&lt;="&amp;$A27,実績!$AJ$6:$AJ$505,"&gt;"&amp;$A27,実績!$AL$6:$AL$505,"○")&gt;0,1,0))</f>
        <v>0</v>
      </c>
      <c r="J27" s="39" t="n">
        <f aca="false">IF(J$4=0,0,IF(COUNTIFS(実績!$W$6:$W$505,J$3,実績!$AI$6:$AI$505,"&lt;="&amp;$A27,実績!$AJ$6:$AJ$505,"&gt;"&amp;$A27,実績!$AL$6:$AL$505,"○")&gt;0,1,0))</f>
        <v>0</v>
      </c>
      <c r="K27" s="39" t="n">
        <f aca="false">IF(K$4=0,0,IF(COUNTIFS(実績!$W$6:$W$505,K$3,実績!$AI$6:$AI$505,"&lt;="&amp;$A27,実績!$AJ$6:$AJ$505,"&gt;"&amp;$A27,実績!$AL$6:$AL$505,"○")&gt;0,1,0))</f>
        <v>0</v>
      </c>
      <c r="L27" s="39" t="n">
        <f aca="false">IF(L$4=0,0,IF(COUNTIFS(実績!$W$6:$W$505,L$3,実績!$AI$6:$AI$505,"&lt;="&amp;$A27,実績!$AJ$6:$AJ$505,"&gt;"&amp;$A27,実績!$AL$6:$AL$505,"○")&gt;0,1,0))</f>
        <v>0</v>
      </c>
      <c r="M27" s="39" t="n">
        <f aca="false">IF(M$4=0,0,IF(COUNTIFS(実績!$W$6:$W$505,M$3,実績!$AI$6:$AI$505,"&lt;="&amp;$A27,実績!$AJ$6:$AJ$505,"&gt;"&amp;$A27,実績!$AL$6:$AL$505,"○")&gt;0,1,0))</f>
        <v>0</v>
      </c>
      <c r="N27" s="39" t="n">
        <f aca="false">IF(N$4=0,0,IF(COUNTIFS(実績!$W$6:$W$505,N$3,実績!$AI$6:$AI$505,"&lt;="&amp;$A27,実績!$AJ$6:$AJ$505,"&gt;"&amp;$A27,実績!$AL$6:$AL$505,"○")&gt;0,1,0))</f>
        <v>0</v>
      </c>
      <c r="O27" s="39" t="n">
        <f aca="false">IF(O$4=0,0,IF(COUNTIFS(実績!$W$6:$W$505,O$3,実績!$AI$6:$AI$505,"&lt;="&amp;$A27,実績!$AJ$6:$AJ$505,"&gt;"&amp;$A27,実績!$AL$6:$AL$505,"○")&gt;0,1,0))</f>
        <v>0</v>
      </c>
      <c r="P27" s="39" t="n">
        <f aca="false">IF(P$4=0,0,IF(COUNTIFS(実績!$W$6:$W$505,P$3,実績!$AI$6:$AI$505,"&lt;="&amp;$A27,実績!$AJ$6:$AJ$505,"&gt;"&amp;$A27,実績!$AL$6:$AL$505,"○")&gt;0,1,0))</f>
        <v>0</v>
      </c>
      <c r="Q27" s="39" t="n">
        <f aca="false">IF(Q$4=0,0,IF(COUNTIFS(実績!$W$6:$W$505,Q$3,実績!$AI$6:$AI$505,"&lt;="&amp;$A27,実績!$AJ$6:$AJ$505,"&gt;"&amp;$A27,実績!$AL$6:$AL$505,"○")&gt;0,1,0))</f>
        <v>0</v>
      </c>
      <c r="R27" s="39" t="n">
        <f aca="false">IF(R$4=0,0,IF(COUNTIFS(実績!$W$6:$W$505,R$3,実績!$AI$6:$AI$505,"&lt;="&amp;$A27,実績!$AJ$6:$AJ$505,"&gt;"&amp;$A27,実績!$AL$6:$AL$505,"○")&gt;0,1,0))</f>
        <v>0</v>
      </c>
      <c r="S27" s="39" t="n">
        <f aca="false">IF(S$4=0,0,IF(COUNTIFS(実績!$W$6:$W$505,S$3,実績!$AI$6:$AI$505,"&lt;="&amp;$A27,実績!$AJ$6:$AJ$505,"&gt;"&amp;$A27,実績!$AL$6:$AL$505,"○")&gt;0,1,0))</f>
        <v>0</v>
      </c>
      <c r="T27" s="39" t="n">
        <f aca="false">IF(T$4=0,0,IF(COUNTIFS(実績!$W$6:$W$505,T$3,実績!$AI$6:$AI$505,"&lt;="&amp;$A27,実績!$AJ$6:$AJ$505,"&gt;"&amp;$A27,実績!$AL$6:$AL$505,"○")&gt;0,1,0))</f>
        <v>0</v>
      </c>
      <c r="U27" s="39" t="n">
        <f aca="false">IF(U$4=0,0,IF(COUNTIFS(実績!$W$6:$W$505,U$3,実績!$AI$6:$AI$505,"&lt;="&amp;$A27,実績!$AJ$6:$AJ$505,"&gt;"&amp;$A27,実績!$AL$6:$AL$505,"○")&gt;0,1,0))</f>
        <v>0</v>
      </c>
      <c r="V27" s="39" t="n">
        <f aca="false">IF(V$4=0,0,IF(COUNTIFS(実績!$W$6:$W$505,V$3,実績!$AI$6:$AI$505,"&lt;="&amp;$A27,実績!$AJ$6:$AJ$505,"&gt;"&amp;$A27,実績!$AL$6:$AL$505,"○")&gt;0,1,0))</f>
        <v>0</v>
      </c>
      <c r="W27" s="39" t="n">
        <f aca="false">IF(W$4=0,0,IF(COUNTIFS(実績!$W$6:$W$505,W$3,実績!$AI$6:$AI$505,"&lt;="&amp;$A27,実績!$AJ$6:$AJ$505,"&gt;"&amp;$A27,実績!$AL$6:$AL$505,"○")&gt;0,1,0))</f>
        <v>0</v>
      </c>
      <c r="X27" s="39" t="n">
        <f aca="false">IF(X$4=0,0,IF(COUNTIFS(実績!$W$6:$W$505,X$3,実績!$AI$6:$AI$505,"&lt;="&amp;$A27,実績!$AJ$6:$AJ$505,"&gt;"&amp;$A27,実績!$AL$6:$AL$505,"○")&gt;0,1,0))</f>
        <v>0</v>
      </c>
      <c r="Y27" s="39" t="n">
        <f aca="false">IF(Y$4=0,0,IF(COUNTIFS(実績!$W$6:$W$505,Y$3,実績!$AI$6:$AI$505,"&lt;="&amp;$A27,実績!$AJ$6:$AJ$505,"&gt;"&amp;$A27,実績!$AL$6:$AL$505,"○")&gt;0,1,0))</f>
        <v>0</v>
      </c>
      <c r="Z27" s="39" t="n">
        <f aca="false">IF(Z$4=0,0,IF(COUNTIFS(実績!$W$6:$W$505,Z$3,実績!$AI$6:$AI$505,"&lt;="&amp;$A27,実績!$AJ$6:$AJ$505,"&gt;"&amp;$A27,実績!$AL$6:$AL$505,"○")&gt;0,1,0))</f>
        <v>0</v>
      </c>
      <c r="AA27" s="39" t="n">
        <f aca="false">IF(AA$4=0,0,IF(COUNTIFS(実績!$W$6:$W$505,AA$3,実績!$AI$6:$AI$505,"&lt;="&amp;$A27,実績!$AJ$6:$AJ$505,"&gt;"&amp;$A27,実績!$AL$6:$AL$505,"○")&gt;0,1,0))</f>
        <v>0</v>
      </c>
      <c r="AB27" s="39" t="n">
        <f aca="false">IF(AB$4=0,0,IF(COUNTIFS(実績!$W$6:$W$505,AB$3,実績!$AI$6:$AI$505,"&lt;="&amp;$A27,実績!$AJ$6:$AJ$505,"&gt;"&amp;$A27,実績!$AL$6:$AL$505,"○")&gt;0,1,0))</f>
        <v>0</v>
      </c>
      <c r="AC27" s="39" t="n">
        <f aca="false">IF(AC$4=0,0,IF(COUNTIFS(実績!$W$6:$W$505,AC$3,実績!$AI$6:$AI$505,"&lt;="&amp;$A27,実績!$AJ$6:$AJ$505,"&gt;"&amp;$A27,実績!$AL$6:$AL$505,"○")&gt;0,1,0))</f>
        <v>0</v>
      </c>
      <c r="AD27" s="39" t="n">
        <f aca="false">IF(AD$4=0,0,IF(COUNTIFS(実績!$W$6:$W$505,AD$3,実績!$AI$6:$AI$505,"&lt;="&amp;$A27,実績!$AJ$6:$AJ$505,"&gt;"&amp;$A27,実績!$AL$6:$AL$505,"○")&gt;0,1,0))</f>
        <v>0</v>
      </c>
      <c r="AE27" s="39" t="n">
        <f aca="false">IF(AE$4=0,0,IF(COUNTIFS(実績!$W$6:$W$505,AE$3,実績!$AI$6:$AI$505,"&lt;="&amp;$A27,実績!$AJ$6:$AJ$505,"&gt;"&amp;$A27,実績!$AL$6:$AL$505,"○")&gt;0,1,0))</f>
        <v>0</v>
      </c>
      <c r="AF27" s="39" t="n">
        <f aca="false">IF(AF$4=0,0,IF(COUNTIFS(実績!$W$6:$W$505,AF$3,実績!$AI$6:$AI$505,"&lt;="&amp;$A27,実績!$AJ$6:$AJ$505,"&gt;"&amp;$A27,実績!$AL$6:$AL$505,"○")&gt;0,1,0))</f>
        <v>0</v>
      </c>
      <c r="AG27" s="39" t="n">
        <f aca="false">IF(AG$4=0,0,IF(COUNTIFS(実績!$W$6:$W$505,AG$3,実績!$AI$6:$AI$505,"&lt;="&amp;$A27,実績!$AJ$6:$AJ$505,"&gt;"&amp;$A27,実績!$AL$6:$AL$505,"○")&gt;0,1,0))</f>
        <v>0</v>
      </c>
      <c r="AH27" s="39" t="n">
        <f aca="false">IF(AH$4=0,0,IF(COUNTIFS(実績!$W$6:$W$505,AH$3,実績!$AI$6:$AI$505,"&lt;="&amp;$A27,実績!$AJ$6:$AJ$505,"&gt;"&amp;$A27,実績!$AL$6:$AL$505,"○")&gt;0,1,0))</f>
        <v>0</v>
      </c>
      <c r="AI27" s="39" t="n">
        <f aca="false">IF(AI$4=0,0,IF(COUNTIFS(実績!$W$6:$W$505,AI$3,実績!$AI$6:$AI$505,"&lt;="&amp;$A27,実績!$AJ$6:$AJ$505,"&gt;"&amp;$A27,実績!$AL$6:$AL$505,"○")&gt;0,1,0))</f>
        <v>0</v>
      </c>
      <c r="AJ27" s="39" t="n">
        <f aca="false">IF(AJ$4=0,0,IF(COUNTIFS(実績!$W$6:$W$505,AJ$3,実績!$AI$6:$AI$505,"&lt;="&amp;$A27,実績!$AJ$6:$AJ$505,"&gt;"&amp;$A27,実績!$AL$6:$AL$505,"○")&gt;0,1,0))</f>
        <v>0</v>
      </c>
      <c r="AK27" s="39" t="n">
        <f aca="false">IF(AK$4=0,0,IF(COUNTIFS(実績!$W$6:$W$505,AK$3,実績!$AI$6:$AI$505,"&lt;="&amp;$A27,実績!$AJ$6:$AJ$505,"&gt;"&amp;$A27,実績!$AL$6:$AL$505,"○")&gt;0,1,0))</f>
        <v>0</v>
      </c>
      <c r="AL27" s="39" t="n">
        <f aca="false">IF(AL$4=0,0,IF(COUNTIFS(実績!$W$6:$W$505,AL$3,実績!$AI$6:$AI$505,"&lt;="&amp;$A27,実績!$AJ$6:$AJ$505,"&gt;"&amp;$A27,実績!$AL$6:$AL$505,"○")&gt;0,1,0))</f>
        <v>0</v>
      </c>
      <c r="AM27" s="39" t="n">
        <f aca="false">IF(AM$4=0,0,IF(COUNTIFS(実績!$W$6:$W$505,AM$3,実績!$AI$6:$AI$505,"&lt;="&amp;$A27,実績!$AJ$6:$AJ$505,"&gt;"&amp;$A27,実績!$AL$6:$AL$505,"○")&gt;0,1,0))</f>
        <v>0</v>
      </c>
      <c r="AN27" s="39" t="n">
        <f aca="false">IF(AN$4=0,0,IF(COUNTIFS(実績!$W$6:$W$505,AN$3,実績!$AI$6:$AI$505,"&lt;="&amp;$A27,実績!$AJ$6:$AJ$505,"&gt;"&amp;$A27,実績!$AL$6:$AL$505,"○")&gt;0,1,0))</f>
        <v>0</v>
      </c>
      <c r="AO27" s="39" t="n">
        <f aca="false">IF(AO$4=0,0,IF(COUNTIFS(実績!$W$6:$W$505,AO$3,実績!$AI$6:$AI$505,"&lt;="&amp;$A27,実績!$AJ$6:$AJ$505,"&gt;"&amp;$A27,実績!$AL$6:$AL$505,"○")&gt;0,1,0))</f>
        <v>0</v>
      </c>
      <c r="AP27" s="39" t="n">
        <f aca="false">IF(AP$4=0,0,IF(COUNTIFS(実績!$W$6:$W$505,AP$3,実績!$AI$6:$AI$505,"&lt;="&amp;$A27,実績!$AJ$6:$AJ$505,"&gt;"&amp;$A27,実績!$AL$6:$AL$505,"○")&gt;0,1,0))</f>
        <v>0</v>
      </c>
      <c r="AQ27" s="39" t="n">
        <f aca="false">IF(AQ$4=0,0,IF(COUNTIFS(実績!$W$6:$W$505,AQ$3,実績!$AI$6:$AI$505,"&lt;="&amp;$A27,実績!$AJ$6:$AJ$505,"&gt;"&amp;$A27,実績!$AL$6:$AL$505,"○")&gt;0,1,0))</f>
        <v>0</v>
      </c>
      <c r="AR27" s="39" t="n">
        <f aca="false">IF(AR$4=0,0,IF(COUNTIFS(実績!$W$6:$W$505,AR$3,実績!$AI$6:$AI$505,"&lt;="&amp;$A27,実績!$AJ$6:$AJ$505,"&gt;"&amp;$A27,実績!$AL$6:$AL$505,"○")&gt;0,1,0))</f>
        <v>0</v>
      </c>
      <c r="AS27" s="39" t="n">
        <f aca="false">IF(AS$4=0,0,IF(COUNTIFS(実績!$W$6:$W$505,AS$3,実績!$AI$6:$AI$505,"&lt;="&amp;$A27,実績!$AJ$6:$AJ$505,"&gt;"&amp;$A27,実績!$AL$6:$AL$505,"○")&gt;0,1,0))</f>
        <v>0</v>
      </c>
      <c r="AT27" s="39" t="n">
        <f aca="false">IF(AT$4=0,0,IF(COUNTIFS(実績!$W$6:$W$505,AT$3,実績!$AI$6:$AI$505,"&lt;="&amp;$A27,実績!$AJ$6:$AJ$505,"&gt;"&amp;$A27,実績!$AL$6:$AL$505,"○")&gt;0,1,0))</f>
        <v>0</v>
      </c>
      <c r="AU27" s="39" t="n">
        <f aca="false">IF(AU$4=0,0,IF(COUNTIFS(実績!$W$6:$W$505,AU$3,実績!$AI$6:$AI$505,"&lt;="&amp;$A27,実績!$AJ$6:$AJ$505,"&gt;"&amp;$A27,実績!$AL$6:$AL$505,"○")&gt;0,1,0))</f>
        <v>0</v>
      </c>
      <c r="AV27" s="39" t="n">
        <f aca="false">IF(AV$4=0,0,IF(COUNTIFS(実績!$W$6:$W$505,AV$3,実績!$AI$6:$AI$505,"&lt;="&amp;$A27,実績!$AJ$6:$AJ$505,"&gt;"&amp;$A27,実績!$AL$6:$AL$505,"○")&gt;0,1,0))</f>
        <v>0</v>
      </c>
      <c r="AW27" s="39" t="n">
        <f aca="false">IF(AW$4=0,0,IF(COUNTIFS(実績!$W$6:$W$505,AW$3,実績!$AI$6:$AI$505,"&lt;="&amp;$A27,実績!$AJ$6:$AJ$505,"&gt;"&amp;$A27,実績!$AL$6:$AL$505,"○")&gt;0,1,0))</f>
        <v>0</v>
      </c>
      <c r="AX27" s="39" t="n">
        <f aca="false">IF(AX$4=0,0,IF(COUNTIFS(実績!$W$6:$W$505,AX$3,実績!$AI$6:$AI$505,"&lt;="&amp;$A27,実績!$AJ$6:$AJ$505,"&gt;"&amp;$A27,実績!$AL$6:$AL$505,"○")&gt;0,1,0))</f>
        <v>0</v>
      </c>
      <c r="AY27" s="39" t="n">
        <f aca="false">IF(AY$4=0,0,IF(COUNTIFS(実績!$W$6:$W$505,AY$3,実績!$AI$6:$AI$505,"&lt;="&amp;$A27,実績!$AJ$6:$AJ$505,"&gt;"&amp;$A27,実績!$AL$6:$AL$505,"○")&gt;0,1,0))</f>
        <v>0</v>
      </c>
      <c r="AZ27" s="39" t="n">
        <f aca="false">IF(AZ$4=0,0,IF(COUNTIFS(実績!$W$6:$W$505,AZ$3,実績!$AI$6:$AI$505,"&lt;="&amp;$A27,実績!$AJ$6:$AJ$505,"&gt;"&amp;$A27,実績!$AL$6:$AL$505,"○")&gt;0,1,0))</f>
        <v>0</v>
      </c>
      <c r="BA27" s="39" t="n">
        <f aca="false">IF(BA$4=0,0,IF(COUNTIFS(実績!$W$6:$W$505,BA$3,実績!$AI$6:$AI$505,"&lt;="&amp;$A27,実績!$AJ$6:$AJ$505,"&gt;"&amp;$A27,実績!$AL$6:$AL$505,"○")&gt;0,1,0))</f>
        <v>0</v>
      </c>
      <c r="BB27" s="39" t="n">
        <f aca="false">IF(BB$4=0,0,IF(COUNTIFS(実績!$W$6:$W$505,BB$3,実績!$AI$6:$AI$505,"&lt;="&amp;$A27,実績!$AJ$6:$AJ$505,"&gt;"&amp;$A27,実績!$AL$6:$AL$505,"○")&gt;0,1,0))</f>
        <v>0</v>
      </c>
      <c r="BC27" s="39" t="n">
        <f aca="false">IF(BC$4=0,0,IF(COUNTIFS(実績!$W$6:$W$505,BC$3,実績!$AI$6:$AI$505,"&lt;="&amp;$A27,実績!$AJ$6:$AJ$505,"&gt;"&amp;$A27,実績!$AL$6:$AL$505,"○")&gt;0,1,0))</f>
        <v>0</v>
      </c>
      <c r="BD27" s="39" t="n">
        <f aca="false">IF(BD$4=0,0,IF(COUNTIFS(実績!$W$6:$W$505,BD$3,実績!$AI$6:$AI$505,"&lt;="&amp;$A27,実績!$AJ$6:$AJ$505,"&gt;"&amp;$A27,実績!$AL$6:$AL$505,"○")&gt;0,1,0))</f>
        <v>0</v>
      </c>
      <c r="BE27" s="39" t="n">
        <f aca="false">IF(BE$4=0,0,IF(COUNTIFS(実績!$W$6:$W$505,BE$3,実績!$AI$6:$AI$505,"&lt;="&amp;$A27,実績!$AJ$6:$AJ$505,"&gt;"&amp;$A27,実績!$AL$6:$AL$505,"○")&gt;0,1,0))</f>
        <v>0</v>
      </c>
      <c r="BF27" s="39" t="n">
        <f aca="false">IF(BF$4=0,0,IF(COUNTIFS(実績!$W$6:$W$505,BF$3,実績!$AI$6:$AI$505,"&lt;="&amp;$A27,実績!$AJ$6:$AJ$505,"&gt;"&amp;$A27,実績!$AL$6:$AL$505,"○")&gt;0,1,0))</f>
        <v>0</v>
      </c>
      <c r="BG27" s="39" t="n">
        <f aca="false">IF(BG$4=0,0,IF(COUNTIFS(実績!$W$6:$W$505,BG$3,実績!$AI$6:$AI$505,"&lt;="&amp;$A27,実績!$AJ$6:$AJ$505,"&gt;"&amp;$A27,実績!$AL$6:$AL$505,"○")&gt;0,1,0))</f>
        <v>0</v>
      </c>
      <c r="BH27" s="39" t="n">
        <f aca="false">IF(BH$4=0,0,IF(COUNTIFS(実績!$W$6:$W$505,BH$3,実績!$AI$6:$AI$505,"&lt;="&amp;$A27,実績!$AJ$6:$AJ$505,"&gt;"&amp;$A27,実績!$AL$6:$AL$505,"○")&gt;0,1,0))</f>
        <v>0</v>
      </c>
      <c r="BI27" s="39" t="n">
        <f aca="false">IF(BI$4=0,0,IF(COUNTIFS(実績!$W$6:$W$505,BI$3,実績!$AI$6:$AI$505,"&lt;="&amp;$A27,実績!$AJ$6:$AJ$505,"&gt;"&amp;$A27,実績!$AL$6:$AL$505,"○")&gt;0,1,0))</f>
        <v>0</v>
      </c>
      <c r="BJ27" s="39" t="n">
        <f aca="false">IF(BJ$4=0,0,IF(COUNTIFS(実績!$W$6:$W$505,BJ$3,実績!$AI$6:$AI$505,"&lt;="&amp;$A27,実績!$AJ$6:$AJ$505,"&gt;"&amp;$A27,実績!$AL$6:$AL$505,"○")&gt;0,1,0))</f>
        <v>0</v>
      </c>
      <c r="BK27" s="39" t="n">
        <f aca="false">IF(BK$4=0,0,IF(COUNTIFS(実績!$W$6:$W$505,BK$3,実績!$AI$6:$AI$505,"&lt;="&amp;$A27,実績!$AJ$6:$AJ$505,"&gt;"&amp;$A27,実績!$AL$6:$AL$505,"○")&gt;0,1,0))</f>
        <v>0</v>
      </c>
      <c r="BL27" s="39" t="n">
        <f aca="false">IF(BL$4=0,0,IF(COUNTIFS(実績!$W$6:$W$505,BL$3,実績!$AI$6:$AI$505,"&lt;="&amp;$A27,実績!$AJ$6:$AJ$505,"&gt;"&amp;$A27,実績!$AL$6:$AL$505,"○")&gt;0,1,0))</f>
        <v>0</v>
      </c>
      <c r="BM27" s="39" t="n">
        <f aca="false">IF(BM$4=0,0,IF(COUNTIFS(実績!$W$6:$W$505,BM$3,実績!$AI$6:$AI$505,"&lt;="&amp;$A27,実績!$AJ$6:$AJ$505,"&gt;"&amp;$A27,実績!$AL$6:$AL$505,"○")&gt;0,1,0))</f>
        <v>0</v>
      </c>
      <c r="BN27" s="39" t="n">
        <f aca="false">IF(BN$4=0,0,IF(COUNTIFS(実績!$W$6:$W$505,BN$3,実績!$AI$6:$AI$505,"&lt;="&amp;$A27,実績!$AJ$6:$AJ$505,"&gt;"&amp;$A27,実績!$AL$6:$AL$505,"○")&gt;0,1,0))</f>
        <v>0</v>
      </c>
      <c r="BO27" s="39" t="n">
        <f aca="false">IF(BO$4=0,0,IF(COUNTIFS(実績!$W$6:$W$505,BO$3,実績!$AI$6:$AI$505,"&lt;="&amp;$A27,実績!$AJ$6:$AJ$505,"&gt;"&amp;$A27,実績!$AL$6:$AL$505,"○")&gt;0,1,0))</f>
        <v>0</v>
      </c>
      <c r="BP27" s="39" t="n">
        <f aca="false">IF(BP$4=0,0,IF(COUNTIFS(実績!$W$6:$W$505,BP$3,実績!$AI$6:$AI$505,"&lt;="&amp;$A27,実績!$AJ$6:$AJ$505,"&gt;"&amp;$A27,実績!$AL$6:$AL$505,"○")&gt;0,1,0))</f>
        <v>0</v>
      </c>
      <c r="BQ27" s="39" t="n">
        <f aca="false">IF(BQ$4=0,0,IF(COUNTIFS(実績!$W$6:$W$505,BQ$3,実績!$AI$6:$AI$505,"&lt;="&amp;$A27,実績!$AJ$6:$AJ$505,"&gt;"&amp;$A27,実績!$AL$6:$AL$505,"○")&gt;0,1,0))</f>
        <v>0</v>
      </c>
      <c r="BR27" s="39" t="n">
        <f aca="false">IF(BR$4=0,0,IF(COUNTIFS(実績!$W$6:$W$505,BR$3,実績!$AI$6:$AI$505,"&lt;="&amp;$A27,実績!$AJ$6:$AJ$505,"&gt;"&amp;$A27,実績!$AL$6:$AL$505,"○")&gt;0,1,0))</f>
        <v>0</v>
      </c>
      <c r="BS27" s="39" t="n">
        <f aca="false">IF(BS$4=0,0,IF(COUNTIFS(実績!$W$6:$W$505,BS$3,実績!$AI$6:$AI$505,"&lt;="&amp;$A27,実績!$AJ$6:$AJ$505,"&gt;"&amp;$A27,実績!$AL$6:$AL$505,"○")&gt;0,1,0))</f>
        <v>0</v>
      </c>
      <c r="BT27" s="39" t="n">
        <f aca="false">IF(BT$4=0,0,IF(COUNTIFS(実績!$W$6:$W$505,BT$3,実績!$AI$6:$AI$505,"&lt;="&amp;$A27,実績!$AJ$6:$AJ$505,"&gt;"&amp;$A27,実績!$AL$6:$AL$505,"○")&gt;0,1,0))</f>
        <v>0</v>
      </c>
      <c r="BU27" s="39" t="n">
        <f aca="false">IF(BU$4=0,0,IF(COUNTIFS(実績!$W$6:$W$505,BU$3,実績!$AI$6:$AI$505,"&lt;="&amp;$A27,実績!$AJ$6:$AJ$505,"&gt;"&amp;$A27,実績!$AL$6:$AL$505,"○")&gt;0,1,0))</f>
        <v>0</v>
      </c>
      <c r="BV27" s="39" t="n">
        <f aca="false">IF(BV$4=0,0,IF(COUNTIFS(実績!$W$6:$W$505,BV$3,実績!$AI$6:$AI$505,"&lt;="&amp;$A27,実績!$AJ$6:$AJ$505,"&gt;"&amp;$A27,実績!$AL$6:$AL$505,"○")&gt;0,1,0))</f>
        <v>0</v>
      </c>
      <c r="BW27" s="39" t="n">
        <f aca="false">IF(BW$4=0,0,IF(COUNTIFS(実績!$W$6:$W$505,BW$3,実績!$AI$6:$AI$505,"&lt;="&amp;$A27,実績!$AJ$6:$AJ$505,"&gt;"&amp;$A27,実績!$AL$6:$AL$505,"○")&gt;0,1,0))</f>
        <v>0</v>
      </c>
      <c r="BX27" s="39" t="n">
        <f aca="false">IF(BX$4=0,0,IF(COUNTIFS(実績!$W$6:$W$505,BX$3,実績!$AI$6:$AI$505,"&lt;="&amp;$A27,実績!$AJ$6:$AJ$505,"&gt;"&amp;$A27,実績!$AL$6:$AL$505,"○")&gt;0,1,0))</f>
        <v>0</v>
      </c>
      <c r="BY27" s="39" t="n">
        <f aca="false">IF(BY$4=0,0,IF(COUNTIFS(実績!$W$6:$W$505,BY$3,実績!$AI$6:$AI$505,"&lt;="&amp;$A27,実績!$AJ$6:$AJ$505,"&gt;"&amp;$A27,実績!$AL$6:$AL$505,"○")&gt;0,1,0))</f>
        <v>0</v>
      </c>
      <c r="BZ27" s="39" t="n">
        <f aca="false">IF(BZ$4=0,0,IF(COUNTIFS(実績!$W$6:$W$505,BZ$3,実績!$AI$6:$AI$505,"&lt;="&amp;$A27,実績!$AJ$6:$AJ$505,"&gt;"&amp;$A27,実績!$AL$6:$AL$505,"○")&gt;0,1,0))</f>
        <v>0</v>
      </c>
      <c r="CA27" s="39" t="n">
        <f aca="false">IF(CA$4=0,0,IF(COUNTIFS(実績!$W$6:$W$505,CA$3,実績!$AI$6:$AI$505,"&lt;="&amp;$A27,実績!$AJ$6:$AJ$505,"&gt;"&amp;$A27,実績!$AL$6:$AL$505,"○")&gt;0,1,0))</f>
        <v>0</v>
      </c>
      <c r="CB27" s="39" t="n">
        <f aca="false">IF(CB$4=0,0,IF(COUNTIFS(実績!$W$6:$W$505,CB$3,実績!$AI$6:$AI$505,"&lt;="&amp;$A27,実績!$AJ$6:$AJ$505,"&gt;"&amp;$A27,実績!$AL$6:$AL$505,"○")&gt;0,1,0))</f>
        <v>0</v>
      </c>
      <c r="CC27" s="39" t="n">
        <f aca="false">IF(CC$4=0,0,IF(COUNTIFS(実績!$W$6:$W$505,CC$3,実績!$AI$6:$AI$505,"&lt;="&amp;$A27,実績!$AJ$6:$AJ$505,"&gt;"&amp;$A27,実績!$AL$6:$AL$505,"○")&gt;0,1,0))</f>
        <v>0</v>
      </c>
      <c r="CD27" s="39" t="n">
        <f aca="false">IF(CD$4=0,0,IF(COUNTIFS(実績!$W$6:$W$505,CD$3,実績!$AI$6:$AI$505,"&lt;="&amp;$A27,実績!$AJ$6:$AJ$505,"&gt;"&amp;$A27,実績!$AL$6:$AL$505,"○")&gt;0,1,0))</f>
        <v>0</v>
      </c>
      <c r="CE27" s="39" t="n">
        <f aca="false">IF(CE$4=0,0,IF(COUNTIFS(実績!$W$6:$W$505,CE$3,実績!$AI$6:$AI$505,"&lt;="&amp;$A27,実績!$AJ$6:$AJ$505,"&gt;"&amp;$A27,実績!$AL$6:$AL$505,"○")&gt;0,1,0))</f>
        <v>0</v>
      </c>
      <c r="CF27" s="39" t="n">
        <f aca="false">IF(CF$4=0,0,IF(COUNTIFS(実績!$W$6:$W$505,CF$3,実績!$AI$6:$AI$505,"&lt;="&amp;$A27,実績!$AJ$6:$AJ$505,"&gt;"&amp;$A27,実績!$AL$6:$AL$505,"○")&gt;0,1,0))</f>
        <v>0</v>
      </c>
      <c r="CG27" s="39" t="n">
        <f aca="false">IF(CG$4=0,0,IF(COUNTIFS(実績!$W$6:$W$505,CG$3,実績!$AI$6:$AI$505,"&lt;="&amp;$A27,実績!$AJ$6:$AJ$505,"&gt;"&amp;$A27,実績!$AL$6:$AL$505,"○")&gt;0,1,0))</f>
        <v>0</v>
      </c>
      <c r="CH27" s="39" t="n">
        <f aca="false">IF(CH$4=0,0,IF(COUNTIFS(実績!$W$6:$W$505,CH$3,実績!$AI$6:$AI$505,"&lt;="&amp;$A27,実績!$AJ$6:$AJ$505,"&gt;"&amp;$A27,実績!$AL$6:$AL$505,"○")&gt;0,1,0))</f>
        <v>0</v>
      </c>
      <c r="CI27" s="39" t="n">
        <f aca="false">IF(CI$4=0,0,IF(COUNTIFS(実績!$W$6:$W$505,CI$3,実績!$AI$6:$AI$505,"&lt;="&amp;$A27,実績!$AJ$6:$AJ$505,"&gt;"&amp;$A27,実績!$AL$6:$AL$505,"○")&gt;0,1,0))</f>
        <v>0</v>
      </c>
      <c r="CJ27" s="39" t="n">
        <f aca="false">IF(CJ$4=0,0,IF(COUNTIFS(実績!$W$6:$W$505,CJ$3,実績!$AI$6:$AI$505,"&lt;="&amp;$A27,実績!$AJ$6:$AJ$505,"&gt;"&amp;$A27,実績!$AL$6:$AL$505,"○")&gt;0,1,0))</f>
        <v>0</v>
      </c>
      <c r="CK27" s="39" t="n">
        <f aca="false">IF(CK$4=0,0,IF(COUNTIFS(実績!$W$6:$W$505,CK$3,実績!$AI$6:$AI$505,"&lt;="&amp;$A27,実績!$AJ$6:$AJ$505,"&gt;"&amp;$A27,実績!$AL$6:$AL$505,"○")&gt;0,1,0))</f>
        <v>0</v>
      </c>
      <c r="CL27" s="39" t="n">
        <f aca="false">IF(CL$4=0,0,IF(COUNTIFS(実績!$W$6:$W$505,CL$3,実績!$AI$6:$AI$505,"&lt;="&amp;$A27,実績!$AJ$6:$AJ$505,"&gt;"&amp;$A27,実績!$AL$6:$AL$505,"○")&gt;0,1,0))</f>
        <v>0</v>
      </c>
      <c r="CM27" s="39" t="n">
        <f aca="false">IF(CM$4=0,0,IF(COUNTIFS(実績!$W$6:$W$505,CM$3,実績!$AI$6:$AI$505,"&lt;="&amp;$A27,実績!$AJ$6:$AJ$505,"&gt;"&amp;$A27,実績!$AL$6:$AL$505,"○")&gt;0,1,0))</f>
        <v>0</v>
      </c>
      <c r="CN27" s="39" t="n">
        <f aca="false">IF(CN$4=0,0,IF(COUNTIFS(実績!$W$6:$W$505,CN$3,実績!$AI$6:$AI$505,"&lt;="&amp;$A27,実績!$AJ$6:$AJ$505,"&gt;"&amp;$A27,実績!$AL$6:$AL$505,"○")&gt;0,1,0))</f>
        <v>0</v>
      </c>
      <c r="CO27" s="39" t="n">
        <f aca="false">IF(CO$4=0,0,IF(COUNTIFS(実績!$W$6:$W$505,CO$3,実績!$AI$6:$AI$505,"&lt;="&amp;$A27,実績!$AJ$6:$AJ$505,"&gt;"&amp;$A27,実績!$AL$6:$AL$505,"○")&gt;0,1,0))</f>
        <v>0</v>
      </c>
      <c r="CP27" s="39" t="n">
        <f aca="false">IF(CP$4=0,0,IF(COUNTIFS(実績!$W$6:$W$505,CP$3,実績!$AI$6:$AI$505,"&lt;="&amp;$A27,実績!$AJ$6:$AJ$505,"&gt;"&amp;$A27,実績!$AL$6:$AL$505,"○")&gt;0,1,0))</f>
        <v>0</v>
      </c>
      <c r="CQ27" s="39" t="n">
        <f aca="false">IF(CQ$4=0,0,IF(COUNTIFS(実績!$W$6:$W$505,CQ$3,実績!$AI$6:$AI$505,"&lt;="&amp;$A27,実績!$AJ$6:$AJ$505,"&gt;"&amp;$A27,実績!$AL$6:$AL$505,"○")&gt;0,1,0))</f>
        <v>0</v>
      </c>
      <c r="CR27" s="39" t="n">
        <f aca="false">IF(CR$4=0,0,IF(COUNTIFS(実績!$W$6:$W$505,CR$3,実績!$AI$6:$AI$505,"&lt;="&amp;$A27,実績!$AJ$6:$AJ$505,"&gt;"&amp;$A27,実績!$AL$6:$AL$505,"○")&gt;0,1,0))</f>
        <v>0</v>
      </c>
      <c r="CS27" s="39" t="n">
        <f aca="false">IF(CS$4=0,0,IF(COUNTIFS(実績!$W$6:$W$505,CS$3,実績!$AI$6:$AI$505,"&lt;="&amp;$A27,実績!$AJ$6:$AJ$505,"&gt;"&amp;$A27,実績!$AL$6:$AL$505,"○")&gt;0,1,0))</f>
        <v>0</v>
      </c>
      <c r="CT27" s="39" t="n">
        <f aca="false">IF(CT$4=0,0,IF(COUNTIFS(実績!$W$6:$W$505,CT$3,実績!$AI$6:$AI$505,"&lt;="&amp;$A27,実績!$AJ$6:$AJ$505,"&gt;"&amp;$A27,実績!$AL$6:$AL$505,"○")&gt;0,1,0))</f>
        <v>0</v>
      </c>
      <c r="CU27" s="39" t="n">
        <f aca="false">IF(CU$4=0,0,IF(COUNTIFS(実績!$W$6:$W$505,CU$3,実績!$AI$6:$AI$505,"&lt;="&amp;$A27,実績!$AJ$6:$AJ$505,"&gt;"&amp;$A27,実績!$AL$6:$AL$505,"○")&gt;0,1,0))</f>
        <v>0</v>
      </c>
      <c r="CV27" s="39" t="n">
        <f aca="false">IF(CV$4=0,0,IF(COUNTIFS(実績!$W$6:$W$505,CV$3,実績!$AI$6:$AI$505,"&lt;="&amp;$A27,実績!$AJ$6:$AJ$505,"&gt;"&amp;$A27,実績!$AL$6:$AL$505,"○")&gt;0,1,0))</f>
        <v>0</v>
      </c>
      <c r="CW27" s="39" t="n">
        <f aca="false">IF(CW$4=0,0,IF(COUNTIFS(実績!$W$6:$W$505,CW$3,実績!$AI$6:$AI$505,"&lt;="&amp;$A27,実績!$AJ$6:$AJ$505,"&gt;"&amp;$A27,実績!$AL$6:$AL$505,"○")&gt;0,1,0))</f>
        <v>0</v>
      </c>
      <c r="CX27" s="39" t="n">
        <f aca="false">IF(CX$4=0,0,IF(COUNTIFS(実績!$W$6:$W$505,CX$3,実績!$AI$6:$AI$505,"&lt;="&amp;$A27,実績!$AJ$6:$AJ$505,"&gt;"&amp;$A27,実績!$AL$6:$AL$505,"○")&gt;0,1,0))</f>
        <v>0</v>
      </c>
      <c r="CY27" s="39" t="n">
        <f aca="false">IF(CY$4=0,0,IF(COUNTIFS(実績!$W$6:$W$505,CY$3,実績!$AI$6:$AI$505,"&lt;="&amp;$A27,実績!$AJ$6:$AJ$505,"&gt;"&amp;$A27,実績!$AL$6:$AL$505,"○")&gt;0,1,0))</f>
        <v>0</v>
      </c>
      <c r="CZ27" s="39" t="n">
        <f aca="false">IF(CZ$4=0,0,IF(COUNTIFS(実績!$W$6:$W$505,CZ$3,実績!$AI$6:$AI$505,"&lt;="&amp;$A27,実績!$AJ$6:$AJ$505,"&gt;"&amp;$A27,実績!$AL$6:$AL$505,"○")&gt;0,1,0))</f>
        <v>0</v>
      </c>
      <c r="DA27" s="39" t="n">
        <f aca="false">IF(DA$4=0,0,IF(COUNTIFS(実績!$W$6:$W$505,DA$3,実績!$AI$6:$AI$505,"&lt;="&amp;$A27,実績!$AJ$6:$AJ$505,"&gt;"&amp;$A27,実績!$AL$6:$AL$505,"○")&gt;0,1,0))</f>
        <v>0</v>
      </c>
      <c r="DB27" s="39" t="n">
        <f aca="false">IF(DB$4=0,0,IF(COUNTIFS(実績!$W$6:$W$505,DB$3,実績!$AI$6:$AI$505,"&lt;="&amp;$A27,実績!$AJ$6:$AJ$505,"&gt;"&amp;$A27,実績!$AL$6:$AL$505,"○")&gt;0,1,0))</f>
        <v>0</v>
      </c>
      <c r="DC27" s="39" t="n">
        <f aca="false">IF(DC$4=0,0,IF(COUNTIFS(実績!$W$6:$W$505,DC$3,実績!$AI$6:$AI$505,"&lt;="&amp;$A27,実績!$AJ$6:$AJ$505,"&gt;"&amp;$A27,実績!$AL$6:$AL$505,"○")&gt;0,1,0))</f>
        <v>0</v>
      </c>
      <c r="DD27" s="39" t="n">
        <f aca="false">IF(DD$4=0,0,IF(COUNTIFS(実績!$W$6:$W$505,DD$3,実績!$AI$6:$AI$505,"&lt;="&amp;$A27,実績!$AJ$6:$AJ$505,"&gt;"&amp;$A27,実績!$AL$6:$AL$505,"○")&gt;0,1,0))</f>
        <v>0</v>
      </c>
      <c r="DE27" s="39" t="n">
        <f aca="false">IF(DE$4=0,0,IF(COUNTIFS(実績!$W$6:$W$505,DE$3,実績!$AI$6:$AI$505,"&lt;="&amp;$A27,実績!$AJ$6:$AJ$505,"&gt;"&amp;$A27,実績!$AL$6:$AL$505,"○")&gt;0,1,0))</f>
        <v>0</v>
      </c>
      <c r="DF27" s="39" t="n">
        <f aca="false">IF(DF$4=0,0,IF(COUNTIFS(実績!$W$6:$W$505,DF$3,実績!$AI$6:$AI$505,"&lt;="&amp;$A27,実績!$AJ$6:$AJ$505,"&gt;"&amp;$A27,実績!$AL$6:$AL$505,"○")&gt;0,1,0))</f>
        <v>0</v>
      </c>
      <c r="DG27" s="39" t="n">
        <f aca="false">IF(DG$4=0,0,IF(COUNTIFS(実績!$W$6:$W$505,DG$3,実績!$AI$6:$AI$505,"&lt;="&amp;$A27,実績!$AJ$6:$AJ$505,"&gt;"&amp;$A27,実績!$AL$6:$AL$505,"○")&gt;0,1,0))</f>
        <v>0</v>
      </c>
      <c r="DH27" s="39" t="n">
        <f aca="false">IF(DH$4=0,0,IF(COUNTIFS(実績!$W$6:$W$505,DH$3,実績!$AI$6:$AI$505,"&lt;="&amp;$A27,実績!$AJ$6:$AJ$505,"&gt;"&amp;$A27,実績!$AL$6:$AL$505,"○")&gt;0,1,0))</f>
        <v>0</v>
      </c>
      <c r="DI27" s="39" t="n">
        <f aca="false">IF(DI$4=0,0,IF(COUNTIFS(実績!$W$6:$W$505,DI$3,実績!$AI$6:$AI$505,"&lt;="&amp;$A27,実績!$AJ$6:$AJ$505,"&gt;"&amp;$A27,実績!$AL$6:$AL$505,"○")&gt;0,1,0))</f>
        <v>0</v>
      </c>
      <c r="DJ27" s="39" t="n">
        <f aca="false">IF(DJ$4=0,0,IF(COUNTIFS(実績!$W$6:$W$505,DJ$3,実績!$AI$6:$AI$505,"&lt;="&amp;$A27,実績!$AJ$6:$AJ$505,"&gt;"&amp;$A27,実績!$AL$6:$AL$505,"○")&gt;0,1,0))</f>
        <v>0</v>
      </c>
      <c r="DK27" s="39" t="n">
        <f aca="false">IF(DK$4=0,0,IF(COUNTIFS(実績!$W$6:$W$505,DK$3,実績!$AI$6:$AI$505,"&lt;="&amp;$A27,実績!$AJ$6:$AJ$505,"&gt;"&amp;$A27,実績!$AL$6:$AL$505,"○")&gt;0,1,0))</f>
        <v>0</v>
      </c>
      <c r="DL27" s="39" t="n">
        <f aca="false">IF(DL$4=0,0,IF(COUNTIFS(実績!$W$6:$W$505,DL$3,実績!$AI$6:$AI$505,"&lt;="&amp;$A27,実績!$AJ$6:$AJ$505,"&gt;"&amp;$A27,実績!$AL$6:$AL$505,"○")&gt;0,1,0))</f>
        <v>0</v>
      </c>
      <c r="DM27" s="39" t="n">
        <f aca="false">IF(DM$4=0,0,IF(COUNTIFS(実績!$W$6:$W$505,DM$3,実績!$AI$6:$AI$505,"&lt;="&amp;$A27,実績!$AJ$6:$AJ$505,"&gt;"&amp;$A27,実績!$AL$6:$AL$505,"○")&gt;0,1,0))</f>
        <v>0</v>
      </c>
      <c r="DN27" s="39" t="n">
        <f aca="false">IF(DN$4=0,0,IF(COUNTIFS(実績!$W$6:$W$505,DN$3,実績!$AI$6:$AI$505,"&lt;="&amp;$A27,実績!$AJ$6:$AJ$505,"&gt;"&amp;$A27,実績!$AL$6:$AL$505,"○")&gt;0,1,0))</f>
        <v>0</v>
      </c>
      <c r="DO27" s="39" t="n">
        <f aca="false">IF(DO$4=0,0,IF(COUNTIFS(実績!$W$6:$W$505,DO$3,実績!$AI$6:$AI$505,"&lt;="&amp;$A27,実績!$AJ$6:$AJ$505,"&gt;"&amp;$A27,実績!$AL$6:$AL$505,"○")&gt;0,1,0))</f>
        <v>0</v>
      </c>
      <c r="DP27" s="39" t="n">
        <f aca="false">IF(DP$4=0,0,IF(COUNTIFS(実績!$W$6:$W$505,DP$3,実績!$AI$6:$AI$505,"&lt;="&amp;$A27,実績!$AJ$6:$AJ$505,"&gt;"&amp;$A27,実績!$AL$6:$AL$505,"○")&gt;0,1,0))</f>
        <v>0</v>
      </c>
      <c r="DQ27" s="39" t="n">
        <f aca="false">IF(DQ$4=0,0,IF(COUNTIFS(実績!$W$6:$W$505,DQ$3,実績!$AI$6:$AI$505,"&lt;="&amp;$A27,実績!$AJ$6:$AJ$505,"&gt;"&amp;$A27,実績!$AL$6:$AL$505,"○")&gt;0,1,0))</f>
        <v>0</v>
      </c>
      <c r="DR27" s="39" t="n">
        <f aca="false">IF(DR$4=0,0,IF(COUNTIFS(実績!$W$6:$W$505,DR$3,実績!$AI$6:$AI$505,"&lt;="&amp;$A27,実績!$AJ$6:$AJ$505,"&gt;"&amp;$A27,実績!$AL$6:$AL$505,"○")&gt;0,1,0))</f>
        <v>0</v>
      </c>
      <c r="DS27" s="39" t="n">
        <f aca="false">SUM(C27:DR27)</f>
        <v>0</v>
      </c>
    </row>
    <row r="28" customFormat="false" ht="15" hidden="false" customHeight="false" outlineLevel="0" collapsed="false">
      <c r="A28" s="0" t="n">
        <v>110</v>
      </c>
      <c r="B28" s="38" t="n">
        <f aca="false">A28/1440</f>
        <v>0.0763888888888889</v>
      </c>
      <c r="C28" s="39" t="n">
        <f aca="false">IF(C$4=0,0,IF(COUNTIFS(実績!$W$6:$W$505,C$3,実績!$AI$6:$AI$505,"&lt;="&amp;$A28,実績!$AJ$6:$AJ$505,"&gt;"&amp;$A28,実績!$AL$6:$AL$505,"○")&gt;0,1,0))</f>
        <v>0</v>
      </c>
      <c r="D28" s="39" t="n">
        <f aca="false">IF(D$4=0,0,IF(COUNTIFS(実績!$W$6:$W$505,D$3,実績!$AI$6:$AI$505,"&lt;="&amp;$A28,実績!$AJ$6:$AJ$505,"&gt;"&amp;$A28,実績!$AL$6:$AL$505,"○")&gt;0,1,0))</f>
        <v>0</v>
      </c>
      <c r="E28" s="39" t="n">
        <f aca="false">IF(E$4=0,0,IF(COUNTIFS(実績!$W$6:$W$505,E$3,実績!$AI$6:$AI$505,"&lt;="&amp;$A28,実績!$AJ$6:$AJ$505,"&gt;"&amp;$A28,実績!$AL$6:$AL$505,"○")&gt;0,1,0))</f>
        <v>0</v>
      </c>
      <c r="F28" s="39" t="n">
        <f aca="false">IF(F$4=0,0,IF(COUNTIFS(実績!$W$6:$W$505,F$3,実績!$AI$6:$AI$505,"&lt;="&amp;$A28,実績!$AJ$6:$AJ$505,"&gt;"&amp;$A28,実績!$AL$6:$AL$505,"○")&gt;0,1,0))</f>
        <v>0</v>
      </c>
      <c r="G28" s="39" t="n">
        <f aca="false">IF(G$4=0,0,IF(COUNTIFS(実績!$W$6:$W$505,G$3,実績!$AI$6:$AI$505,"&lt;="&amp;$A28,実績!$AJ$6:$AJ$505,"&gt;"&amp;$A28,実績!$AL$6:$AL$505,"○")&gt;0,1,0))</f>
        <v>0</v>
      </c>
      <c r="H28" s="39" t="n">
        <f aca="false">IF(H$4=0,0,IF(COUNTIFS(実績!$W$6:$W$505,H$3,実績!$AI$6:$AI$505,"&lt;="&amp;$A28,実績!$AJ$6:$AJ$505,"&gt;"&amp;$A28,実績!$AL$6:$AL$505,"○")&gt;0,1,0))</f>
        <v>0</v>
      </c>
      <c r="I28" s="39" t="n">
        <f aca="false">IF(I$4=0,0,IF(COUNTIFS(実績!$W$6:$W$505,I$3,実績!$AI$6:$AI$505,"&lt;="&amp;$A28,実績!$AJ$6:$AJ$505,"&gt;"&amp;$A28,実績!$AL$6:$AL$505,"○")&gt;0,1,0))</f>
        <v>0</v>
      </c>
      <c r="J28" s="39" t="n">
        <f aca="false">IF(J$4=0,0,IF(COUNTIFS(実績!$W$6:$W$505,J$3,実績!$AI$6:$AI$505,"&lt;="&amp;$A28,実績!$AJ$6:$AJ$505,"&gt;"&amp;$A28,実績!$AL$6:$AL$505,"○")&gt;0,1,0))</f>
        <v>0</v>
      </c>
      <c r="K28" s="39" t="n">
        <f aca="false">IF(K$4=0,0,IF(COUNTIFS(実績!$W$6:$W$505,K$3,実績!$AI$6:$AI$505,"&lt;="&amp;$A28,実績!$AJ$6:$AJ$505,"&gt;"&amp;$A28,実績!$AL$6:$AL$505,"○")&gt;0,1,0))</f>
        <v>0</v>
      </c>
      <c r="L28" s="39" t="n">
        <f aca="false">IF(L$4=0,0,IF(COUNTIFS(実績!$W$6:$W$505,L$3,実績!$AI$6:$AI$505,"&lt;="&amp;$A28,実績!$AJ$6:$AJ$505,"&gt;"&amp;$A28,実績!$AL$6:$AL$505,"○")&gt;0,1,0))</f>
        <v>0</v>
      </c>
      <c r="M28" s="39" t="n">
        <f aca="false">IF(M$4=0,0,IF(COUNTIFS(実績!$W$6:$W$505,M$3,実績!$AI$6:$AI$505,"&lt;="&amp;$A28,実績!$AJ$6:$AJ$505,"&gt;"&amp;$A28,実績!$AL$6:$AL$505,"○")&gt;0,1,0))</f>
        <v>0</v>
      </c>
      <c r="N28" s="39" t="n">
        <f aca="false">IF(N$4=0,0,IF(COUNTIFS(実績!$W$6:$W$505,N$3,実績!$AI$6:$AI$505,"&lt;="&amp;$A28,実績!$AJ$6:$AJ$505,"&gt;"&amp;$A28,実績!$AL$6:$AL$505,"○")&gt;0,1,0))</f>
        <v>0</v>
      </c>
      <c r="O28" s="39" t="n">
        <f aca="false">IF(O$4=0,0,IF(COUNTIFS(実績!$W$6:$W$505,O$3,実績!$AI$6:$AI$505,"&lt;="&amp;$A28,実績!$AJ$6:$AJ$505,"&gt;"&amp;$A28,実績!$AL$6:$AL$505,"○")&gt;0,1,0))</f>
        <v>0</v>
      </c>
      <c r="P28" s="39" t="n">
        <f aca="false">IF(P$4=0,0,IF(COUNTIFS(実績!$W$6:$W$505,P$3,実績!$AI$6:$AI$505,"&lt;="&amp;$A28,実績!$AJ$6:$AJ$505,"&gt;"&amp;$A28,実績!$AL$6:$AL$505,"○")&gt;0,1,0))</f>
        <v>0</v>
      </c>
      <c r="Q28" s="39" t="n">
        <f aca="false">IF(Q$4=0,0,IF(COUNTIFS(実績!$W$6:$W$505,Q$3,実績!$AI$6:$AI$505,"&lt;="&amp;$A28,実績!$AJ$6:$AJ$505,"&gt;"&amp;$A28,実績!$AL$6:$AL$505,"○")&gt;0,1,0))</f>
        <v>0</v>
      </c>
      <c r="R28" s="39" t="n">
        <f aca="false">IF(R$4=0,0,IF(COUNTIFS(実績!$W$6:$W$505,R$3,実績!$AI$6:$AI$505,"&lt;="&amp;$A28,実績!$AJ$6:$AJ$505,"&gt;"&amp;$A28,実績!$AL$6:$AL$505,"○")&gt;0,1,0))</f>
        <v>0</v>
      </c>
      <c r="S28" s="39" t="n">
        <f aca="false">IF(S$4=0,0,IF(COUNTIFS(実績!$W$6:$W$505,S$3,実績!$AI$6:$AI$505,"&lt;="&amp;$A28,実績!$AJ$6:$AJ$505,"&gt;"&amp;$A28,実績!$AL$6:$AL$505,"○")&gt;0,1,0))</f>
        <v>0</v>
      </c>
      <c r="T28" s="39" t="n">
        <f aca="false">IF(T$4=0,0,IF(COUNTIFS(実績!$W$6:$W$505,T$3,実績!$AI$6:$AI$505,"&lt;="&amp;$A28,実績!$AJ$6:$AJ$505,"&gt;"&amp;$A28,実績!$AL$6:$AL$505,"○")&gt;0,1,0))</f>
        <v>0</v>
      </c>
      <c r="U28" s="39" t="n">
        <f aca="false">IF(U$4=0,0,IF(COUNTIFS(実績!$W$6:$W$505,U$3,実績!$AI$6:$AI$505,"&lt;="&amp;$A28,実績!$AJ$6:$AJ$505,"&gt;"&amp;$A28,実績!$AL$6:$AL$505,"○")&gt;0,1,0))</f>
        <v>0</v>
      </c>
      <c r="V28" s="39" t="n">
        <f aca="false">IF(V$4=0,0,IF(COUNTIFS(実績!$W$6:$W$505,V$3,実績!$AI$6:$AI$505,"&lt;="&amp;$A28,実績!$AJ$6:$AJ$505,"&gt;"&amp;$A28,実績!$AL$6:$AL$505,"○")&gt;0,1,0))</f>
        <v>0</v>
      </c>
      <c r="W28" s="39" t="n">
        <f aca="false">IF(W$4=0,0,IF(COUNTIFS(実績!$W$6:$W$505,W$3,実績!$AI$6:$AI$505,"&lt;="&amp;$A28,実績!$AJ$6:$AJ$505,"&gt;"&amp;$A28,実績!$AL$6:$AL$505,"○")&gt;0,1,0))</f>
        <v>0</v>
      </c>
      <c r="X28" s="39" t="n">
        <f aca="false">IF(X$4=0,0,IF(COUNTIFS(実績!$W$6:$W$505,X$3,実績!$AI$6:$AI$505,"&lt;="&amp;$A28,実績!$AJ$6:$AJ$505,"&gt;"&amp;$A28,実績!$AL$6:$AL$505,"○")&gt;0,1,0))</f>
        <v>0</v>
      </c>
      <c r="Y28" s="39" t="n">
        <f aca="false">IF(Y$4=0,0,IF(COUNTIFS(実績!$W$6:$W$505,Y$3,実績!$AI$6:$AI$505,"&lt;="&amp;$A28,実績!$AJ$6:$AJ$505,"&gt;"&amp;$A28,実績!$AL$6:$AL$505,"○")&gt;0,1,0))</f>
        <v>0</v>
      </c>
      <c r="Z28" s="39" t="n">
        <f aca="false">IF(Z$4=0,0,IF(COUNTIFS(実績!$W$6:$W$505,Z$3,実績!$AI$6:$AI$505,"&lt;="&amp;$A28,実績!$AJ$6:$AJ$505,"&gt;"&amp;$A28,実績!$AL$6:$AL$505,"○")&gt;0,1,0))</f>
        <v>0</v>
      </c>
      <c r="AA28" s="39" t="n">
        <f aca="false">IF(AA$4=0,0,IF(COUNTIFS(実績!$W$6:$W$505,AA$3,実績!$AI$6:$AI$505,"&lt;="&amp;$A28,実績!$AJ$6:$AJ$505,"&gt;"&amp;$A28,実績!$AL$6:$AL$505,"○")&gt;0,1,0))</f>
        <v>0</v>
      </c>
      <c r="AB28" s="39" t="n">
        <f aca="false">IF(AB$4=0,0,IF(COUNTIFS(実績!$W$6:$W$505,AB$3,実績!$AI$6:$AI$505,"&lt;="&amp;$A28,実績!$AJ$6:$AJ$505,"&gt;"&amp;$A28,実績!$AL$6:$AL$505,"○")&gt;0,1,0))</f>
        <v>0</v>
      </c>
      <c r="AC28" s="39" t="n">
        <f aca="false">IF(AC$4=0,0,IF(COUNTIFS(実績!$W$6:$W$505,AC$3,実績!$AI$6:$AI$505,"&lt;="&amp;$A28,実績!$AJ$6:$AJ$505,"&gt;"&amp;$A28,実績!$AL$6:$AL$505,"○")&gt;0,1,0))</f>
        <v>0</v>
      </c>
      <c r="AD28" s="39" t="n">
        <f aca="false">IF(AD$4=0,0,IF(COUNTIFS(実績!$W$6:$W$505,AD$3,実績!$AI$6:$AI$505,"&lt;="&amp;$A28,実績!$AJ$6:$AJ$505,"&gt;"&amp;$A28,実績!$AL$6:$AL$505,"○")&gt;0,1,0))</f>
        <v>0</v>
      </c>
      <c r="AE28" s="39" t="n">
        <f aca="false">IF(AE$4=0,0,IF(COUNTIFS(実績!$W$6:$W$505,AE$3,実績!$AI$6:$AI$505,"&lt;="&amp;$A28,実績!$AJ$6:$AJ$505,"&gt;"&amp;$A28,実績!$AL$6:$AL$505,"○")&gt;0,1,0))</f>
        <v>0</v>
      </c>
      <c r="AF28" s="39" t="n">
        <f aca="false">IF(AF$4=0,0,IF(COUNTIFS(実績!$W$6:$W$505,AF$3,実績!$AI$6:$AI$505,"&lt;="&amp;$A28,実績!$AJ$6:$AJ$505,"&gt;"&amp;$A28,実績!$AL$6:$AL$505,"○")&gt;0,1,0))</f>
        <v>0</v>
      </c>
      <c r="AG28" s="39" t="n">
        <f aca="false">IF(AG$4=0,0,IF(COUNTIFS(実績!$W$6:$W$505,AG$3,実績!$AI$6:$AI$505,"&lt;="&amp;$A28,実績!$AJ$6:$AJ$505,"&gt;"&amp;$A28,実績!$AL$6:$AL$505,"○")&gt;0,1,0))</f>
        <v>0</v>
      </c>
      <c r="AH28" s="39" t="n">
        <f aca="false">IF(AH$4=0,0,IF(COUNTIFS(実績!$W$6:$W$505,AH$3,実績!$AI$6:$AI$505,"&lt;="&amp;$A28,実績!$AJ$6:$AJ$505,"&gt;"&amp;$A28,実績!$AL$6:$AL$505,"○")&gt;0,1,0))</f>
        <v>0</v>
      </c>
      <c r="AI28" s="39" t="n">
        <f aca="false">IF(AI$4=0,0,IF(COUNTIFS(実績!$W$6:$W$505,AI$3,実績!$AI$6:$AI$505,"&lt;="&amp;$A28,実績!$AJ$6:$AJ$505,"&gt;"&amp;$A28,実績!$AL$6:$AL$505,"○")&gt;0,1,0))</f>
        <v>0</v>
      </c>
      <c r="AJ28" s="39" t="n">
        <f aca="false">IF(AJ$4=0,0,IF(COUNTIFS(実績!$W$6:$W$505,AJ$3,実績!$AI$6:$AI$505,"&lt;="&amp;$A28,実績!$AJ$6:$AJ$505,"&gt;"&amp;$A28,実績!$AL$6:$AL$505,"○")&gt;0,1,0))</f>
        <v>0</v>
      </c>
      <c r="AK28" s="39" t="n">
        <f aca="false">IF(AK$4=0,0,IF(COUNTIFS(実績!$W$6:$W$505,AK$3,実績!$AI$6:$AI$505,"&lt;="&amp;$A28,実績!$AJ$6:$AJ$505,"&gt;"&amp;$A28,実績!$AL$6:$AL$505,"○")&gt;0,1,0))</f>
        <v>0</v>
      </c>
      <c r="AL28" s="39" t="n">
        <f aca="false">IF(AL$4=0,0,IF(COUNTIFS(実績!$W$6:$W$505,AL$3,実績!$AI$6:$AI$505,"&lt;="&amp;$A28,実績!$AJ$6:$AJ$505,"&gt;"&amp;$A28,実績!$AL$6:$AL$505,"○")&gt;0,1,0))</f>
        <v>0</v>
      </c>
      <c r="AM28" s="39" t="n">
        <f aca="false">IF(AM$4=0,0,IF(COUNTIFS(実績!$W$6:$W$505,AM$3,実績!$AI$6:$AI$505,"&lt;="&amp;$A28,実績!$AJ$6:$AJ$505,"&gt;"&amp;$A28,実績!$AL$6:$AL$505,"○")&gt;0,1,0))</f>
        <v>0</v>
      </c>
      <c r="AN28" s="39" t="n">
        <f aca="false">IF(AN$4=0,0,IF(COUNTIFS(実績!$W$6:$W$505,AN$3,実績!$AI$6:$AI$505,"&lt;="&amp;$A28,実績!$AJ$6:$AJ$505,"&gt;"&amp;$A28,実績!$AL$6:$AL$505,"○")&gt;0,1,0))</f>
        <v>0</v>
      </c>
      <c r="AO28" s="39" t="n">
        <f aca="false">IF(AO$4=0,0,IF(COUNTIFS(実績!$W$6:$W$505,AO$3,実績!$AI$6:$AI$505,"&lt;="&amp;$A28,実績!$AJ$6:$AJ$505,"&gt;"&amp;$A28,実績!$AL$6:$AL$505,"○")&gt;0,1,0))</f>
        <v>0</v>
      </c>
      <c r="AP28" s="39" t="n">
        <f aca="false">IF(AP$4=0,0,IF(COUNTIFS(実績!$W$6:$W$505,AP$3,実績!$AI$6:$AI$505,"&lt;="&amp;$A28,実績!$AJ$6:$AJ$505,"&gt;"&amp;$A28,実績!$AL$6:$AL$505,"○")&gt;0,1,0))</f>
        <v>0</v>
      </c>
      <c r="AQ28" s="39" t="n">
        <f aca="false">IF(AQ$4=0,0,IF(COUNTIFS(実績!$W$6:$W$505,AQ$3,実績!$AI$6:$AI$505,"&lt;="&amp;$A28,実績!$AJ$6:$AJ$505,"&gt;"&amp;$A28,実績!$AL$6:$AL$505,"○")&gt;0,1,0))</f>
        <v>0</v>
      </c>
      <c r="AR28" s="39" t="n">
        <f aca="false">IF(AR$4=0,0,IF(COUNTIFS(実績!$W$6:$W$505,AR$3,実績!$AI$6:$AI$505,"&lt;="&amp;$A28,実績!$AJ$6:$AJ$505,"&gt;"&amp;$A28,実績!$AL$6:$AL$505,"○")&gt;0,1,0))</f>
        <v>0</v>
      </c>
      <c r="AS28" s="39" t="n">
        <f aca="false">IF(AS$4=0,0,IF(COUNTIFS(実績!$W$6:$W$505,AS$3,実績!$AI$6:$AI$505,"&lt;="&amp;$A28,実績!$AJ$6:$AJ$505,"&gt;"&amp;$A28,実績!$AL$6:$AL$505,"○")&gt;0,1,0))</f>
        <v>0</v>
      </c>
      <c r="AT28" s="39" t="n">
        <f aca="false">IF(AT$4=0,0,IF(COUNTIFS(実績!$W$6:$W$505,AT$3,実績!$AI$6:$AI$505,"&lt;="&amp;$A28,実績!$AJ$6:$AJ$505,"&gt;"&amp;$A28,実績!$AL$6:$AL$505,"○")&gt;0,1,0))</f>
        <v>0</v>
      </c>
      <c r="AU28" s="39" t="n">
        <f aca="false">IF(AU$4=0,0,IF(COUNTIFS(実績!$W$6:$W$505,AU$3,実績!$AI$6:$AI$505,"&lt;="&amp;$A28,実績!$AJ$6:$AJ$505,"&gt;"&amp;$A28,実績!$AL$6:$AL$505,"○")&gt;0,1,0))</f>
        <v>0</v>
      </c>
      <c r="AV28" s="39" t="n">
        <f aca="false">IF(AV$4=0,0,IF(COUNTIFS(実績!$W$6:$W$505,AV$3,実績!$AI$6:$AI$505,"&lt;="&amp;$A28,実績!$AJ$6:$AJ$505,"&gt;"&amp;$A28,実績!$AL$6:$AL$505,"○")&gt;0,1,0))</f>
        <v>0</v>
      </c>
      <c r="AW28" s="39" t="n">
        <f aca="false">IF(AW$4=0,0,IF(COUNTIFS(実績!$W$6:$W$505,AW$3,実績!$AI$6:$AI$505,"&lt;="&amp;$A28,実績!$AJ$6:$AJ$505,"&gt;"&amp;$A28,実績!$AL$6:$AL$505,"○")&gt;0,1,0))</f>
        <v>0</v>
      </c>
      <c r="AX28" s="39" t="n">
        <f aca="false">IF(AX$4=0,0,IF(COUNTIFS(実績!$W$6:$W$505,AX$3,実績!$AI$6:$AI$505,"&lt;="&amp;$A28,実績!$AJ$6:$AJ$505,"&gt;"&amp;$A28,実績!$AL$6:$AL$505,"○")&gt;0,1,0))</f>
        <v>0</v>
      </c>
      <c r="AY28" s="39" t="n">
        <f aca="false">IF(AY$4=0,0,IF(COUNTIFS(実績!$W$6:$W$505,AY$3,実績!$AI$6:$AI$505,"&lt;="&amp;$A28,実績!$AJ$6:$AJ$505,"&gt;"&amp;$A28,実績!$AL$6:$AL$505,"○")&gt;0,1,0))</f>
        <v>0</v>
      </c>
      <c r="AZ28" s="39" t="n">
        <f aca="false">IF(AZ$4=0,0,IF(COUNTIFS(実績!$W$6:$W$505,AZ$3,実績!$AI$6:$AI$505,"&lt;="&amp;$A28,実績!$AJ$6:$AJ$505,"&gt;"&amp;$A28,実績!$AL$6:$AL$505,"○")&gt;0,1,0))</f>
        <v>0</v>
      </c>
      <c r="BA28" s="39" t="n">
        <f aca="false">IF(BA$4=0,0,IF(COUNTIFS(実績!$W$6:$W$505,BA$3,実績!$AI$6:$AI$505,"&lt;="&amp;$A28,実績!$AJ$6:$AJ$505,"&gt;"&amp;$A28,実績!$AL$6:$AL$505,"○")&gt;0,1,0))</f>
        <v>0</v>
      </c>
      <c r="BB28" s="39" t="n">
        <f aca="false">IF(BB$4=0,0,IF(COUNTIFS(実績!$W$6:$W$505,BB$3,実績!$AI$6:$AI$505,"&lt;="&amp;$A28,実績!$AJ$6:$AJ$505,"&gt;"&amp;$A28,実績!$AL$6:$AL$505,"○")&gt;0,1,0))</f>
        <v>0</v>
      </c>
      <c r="BC28" s="39" t="n">
        <f aca="false">IF(BC$4=0,0,IF(COUNTIFS(実績!$W$6:$W$505,BC$3,実績!$AI$6:$AI$505,"&lt;="&amp;$A28,実績!$AJ$6:$AJ$505,"&gt;"&amp;$A28,実績!$AL$6:$AL$505,"○")&gt;0,1,0))</f>
        <v>0</v>
      </c>
      <c r="BD28" s="39" t="n">
        <f aca="false">IF(BD$4=0,0,IF(COUNTIFS(実績!$W$6:$W$505,BD$3,実績!$AI$6:$AI$505,"&lt;="&amp;$A28,実績!$AJ$6:$AJ$505,"&gt;"&amp;$A28,実績!$AL$6:$AL$505,"○")&gt;0,1,0))</f>
        <v>0</v>
      </c>
      <c r="BE28" s="39" t="n">
        <f aca="false">IF(BE$4=0,0,IF(COUNTIFS(実績!$W$6:$W$505,BE$3,実績!$AI$6:$AI$505,"&lt;="&amp;$A28,実績!$AJ$6:$AJ$505,"&gt;"&amp;$A28,実績!$AL$6:$AL$505,"○")&gt;0,1,0))</f>
        <v>0</v>
      </c>
      <c r="BF28" s="39" t="n">
        <f aca="false">IF(BF$4=0,0,IF(COUNTIFS(実績!$W$6:$W$505,BF$3,実績!$AI$6:$AI$505,"&lt;="&amp;$A28,実績!$AJ$6:$AJ$505,"&gt;"&amp;$A28,実績!$AL$6:$AL$505,"○")&gt;0,1,0))</f>
        <v>0</v>
      </c>
      <c r="BG28" s="39" t="n">
        <f aca="false">IF(BG$4=0,0,IF(COUNTIFS(実績!$W$6:$W$505,BG$3,実績!$AI$6:$AI$505,"&lt;="&amp;$A28,実績!$AJ$6:$AJ$505,"&gt;"&amp;$A28,実績!$AL$6:$AL$505,"○")&gt;0,1,0))</f>
        <v>0</v>
      </c>
      <c r="BH28" s="39" t="n">
        <f aca="false">IF(BH$4=0,0,IF(COUNTIFS(実績!$W$6:$W$505,BH$3,実績!$AI$6:$AI$505,"&lt;="&amp;$A28,実績!$AJ$6:$AJ$505,"&gt;"&amp;$A28,実績!$AL$6:$AL$505,"○")&gt;0,1,0))</f>
        <v>0</v>
      </c>
      <c r="BI28" s="39" t="n">
        <f aca="false">IF(BI$4=0,0,IF(COUNTIFS(実績!$W$6:$W$505,BI$3,実績!$AI$6:$AI$505,"&lt;="&amp;$A28,実績!$AJ$6:$AJ$505,"&gt;"&amp;$A28,実績!$AL$6:$AL$505,"○")&gt;0,1,0))</f>
        <v>0</v>
      </c>
      <c r="BJ28" s="39" t="n">
        <f aca="false">IF(BJ$4=0,0,IF(COUNTIFS(実績!$W$6:$W$505,BJ$3,実績!$AI$6:$AI$505,"&lt;="&amp;$A28,実績!$AJ$6:$AJ$505,"&gt;"&amp;$A28,実績!$AL$6:$AL$505,"○")&gt;0,1,0))</f>
        <v>0</v>
      </c>
      <c r="BK28" s="39" t="n">
        <f aca="false">IF(BK$4=0,0,IF(COUNTIFS(実績!$W$6:$W$505,BK$3,実績!$AI$6:$AI$505,"&lt;="&amp;$A28,実績!$AJ$6:$AJ$505,"&gt;"&amp;$A28,実績!$AL$6:$AL$505,"○")&gt;0,1,0))</f>
        <v>0</v>
      </c>
      <c r="BL28" s="39" t="n">
        <f aca="false">IF(BL$4=0,0,IF(COUNTIFS(実績!$W$6:$W$505,BL$3,実績!$AI$6:$AI$505,"&lt;="&amp;$A28,実績!$AJ$6:$AJ$505,"&gt;"&amp;$A28,実績!$AL$6:$AL$505,"○")&gt;0,1,0))</f>
        <v>0</v>
      </c>
      <c r="BM28" s="39" t="n">
        <f aca="false">IF(BM$4=0,0,IF(COUNTIFS(実績!$W$6:$W$505,BM$3,実績!$AI$6:$AI$505,"&lt;="&amp;$A28,実績!$AJ$6:$AJ$505,"&gt;"&amp;$A28,実績!$AL$6:$AL$505,"○")&gt;0,1,0))</f>
        <v>0</v>
      </c>
      <c r="BN28" s="39" t="n">
        <f aca="false">IF(BN$4=0,0,IF(COUNTIFS(実績!$W$6:$W$505,BN$3,実績!$AI$6:$AI$505,"&lt;="&amp;$A28,実績!$AJ$6:$AJ$505,"&gt;"&amp;$A28,実績!$AL$6:$AL$505,"○")&gt;0,1,0))</f>
        <v>0</v>
      </c>
      <c r="BO28" s="39" t="n">
        <f aca="false">IF(BO$4=0,0,IF(COUNTIFS(実績!$W$6:$W$505,BO$3,実績!$AI$6:$AI$505,"&lt;="&amp;$A28,実績!$AJ$6:$AJ$505,"&gt;"&amp;$A28,実績!$AL$6:$AL$505,"○")&gt;0,1,0))</f>
        <v>0</v>
      </c>
      <c r="BP28" s="39" t="n">
        <f aca="false">IF(BP$4=0,0,IF(COUNTIFS(実績!$W$6:$W$505,BP$3,実績!$AI$6:$AI$505,"&lt;="&amp;$A28,実績!$AJ$6:$AJ$505,"&gt;"&amp;$A28,実績!$AL$6:$AL$505,"○")&gt;0,1,0))</f>
        <v>0</v>
      </c>
      <c r="BQ28" s="39" t="n">
        <f aca="false">IF(BQ$4=0,0,IF(COUNTIFS(実績!$W$6:$W$505,BQ$3,実績!$AI$6:$AI$505,"&lt;="&amp;$A28,実績!$AJ$6:$AJ$505,"&gt;"&amp;$A28,実績!$AL$6:$AL$505,"○")&gt;0,1,0))</f>
        <v>0</v>
      </c>
      <c r="BR28" s="39" t="n">
        <f aca="false">IF(BR$4=0,0,IF(COUNTIFS(実績!$W$6:$W$505,BR$3,実績!$AI$6:$AI$505,"&lt;="&amp;$A28,実績!$AJ$6:$AJ$505,"&gt;"&amp;$A28,実績!$AL$6:$AL$505,"○")&gt;0,1,0))</f>
        <v>0</v>
      </c>
      <c r="BS28" s="39" t="n">
        <f aca="false">IF(BS$4=0,0,IF(COUNTIFS(実績!$W$6:$W$505,BS$3,実績!$AI$6:$AI$505,"&lt;="&amp;$A28,実績!$AJ$6:$AJ$505,"&gt;"&amp;$A28,実績!$AL$6:$AL$505,"○")&gt;0,1,0))</f>
        <v>0</v>
      </c>
      <c r="BT28" s="39" t="n">
        <f aca="false">IF(BT$4=0,0,IF(COUNTIFS(実績!$W$6:$W$505,BT$3,実績!$AI$6:$AI$505,"&lt;="&amp;$A28,実績!$AJ$6:$AJ$505,"&gt;"&amp;$A28,実績!$AL$6:$AL$505,"○")&gt;0,1,0))</f>
        <v>0</v>
      </c>
      <c r="BU28" s="39" t="n">
        <f aca="false">IF(BU$4=0,0,IF(COUNTIFS(実績!$W$6:$W$505,BU$3,実績!$AI$6:$AI$505,"&lt;="&amp;$A28,実績!$AJ$6:$AJ$505,"&gt;"&amp;$A28,実績!$AL$6:$AL$505,"○")&gt;0,1,0))</f>
        <v>0</v>
      </c>
      <c r="BV28" s="39" t="n">
        <f aca="false">IF(BV$4=0,0,IF(COUNTIFS(実績!$W$6:$W$505,BV$3,実績!$AI$6:$AI$505,"&lt;="&amp;$A28,実績!$AJ$6:$AJ$505,"&gt;"&amp;$A28,実績!$AL$6:$AL$505,"○")&gt;0,1,0))</f>
        <v>0</v>
      </c>
      <c r="BW28" s="39" t="n">
        <f aca="false">IF(BW$4=0,0,IF(COUNTIFS(実績!$W$6:$W$505,BW$3,実績!$AI$6:$AI$505,"&lt;="&amp;$A28,実績!$AJ$6:$AJ$505,"&gt;"&amp;$A28,実績!$AL$6:$AL$505,"○")&gt;0,1,0))</f>
        <v>0</v>
      </c>
      <c r="BX28" s="39" t="n">
        <f aca="false">IF(BX$4=0,0,IF(COUNTIFS(実績!$W$6:$W$505,BX$3,実績!$AI$6:$AI$505,"&lt;="&amp;$A28,実績!$AJ$6:$AJ$505,"&gt;"&amp;$A28,実績!$AL$6:$AL$505,"○")&gt;0,1,0))</f>
        <v>0</v>
      </c>
      <c r="BY28" s="39" t="n">
        <f aca="false">IF(BY$4=0,0,IF(COUNTIFS(実績!$W$6:$W$505,BY$3,実績!$AI$6:$AI$505,"&lt;="&amp;$A28,実績!$AJ$6:$AJ$505,"&gt;"&amp;$A28,実績!$AL$6:$AL$505,"○")&gt;0,1,0))</f>
        <v>0</v>
      </c>
      <c r="BZ28" s="39" t="n">
        <f aca="false">IF(BZ$4=0,0,IF(COUNTIFS(実績!$W$6:$W$505,BZ$3,実績!$AI$6:$AI$505,"&lt;="&amp;$A28,実績!$AJ$6:$AJ$505,"&gt;"&amp;$A28,実績!$AL$6:$AL$505,"○")&gt;0,1,0))</f>
        <v>0</v>
      </c>
      <c r="CA28" s="39" t="n">
        <f aca="false">IF(CA$4=0,0,IF(COUNTIFS(実績!$W$6:$W$505,CA$3,実績!$AI$6:$AI$505,"&lt;="&amp;$A28,実績!$AJ$6:$AJ$505,"&gt;"&amp;$A28,実績!$AL$6:$AL$505,"○")&gt;0,1,0))</f>
        <v>0</v>
      </c>
      <c r="CB28" s="39" t="n">
        <f aca="false">IF(CB$4=0,0,IF(COUNTIFS(実績!$W$6:$W$505,CB$3,実績!$AI$6:$AI$505,"&lt;="&amp;$A28,実績!$AJ$6:$AJ$505,"&gt;"&amp;$A28,実績!$AL$6:$AL$505,"○")&gt;0,1,0))</f>
        <v>0</v>
      </c>
      <c r="CC28" s="39" t="n">
        <f aca="false">IF(CC$4=0,0,IF(COUNTIFS(実績!$W$6:$W$505,CC$3,実績!$AI$6:$AI$505,"&lt;="&amp;$A28,実績!$AJ$6:$AJ$505,"&gt;"&amp;$A28,実績!$AL$6:$AL$505,"○")&gt;0,1,0))</f>
        <v>0</v>
      </c>
      <c r="CD28" s="39" t="n">
        <f aca="false">IF(CD$4=0,0,IF(COUNTIFS(実績!$W$6:$W$505,CD$3,実績!$AI$6:$AI$505,"&lt;="&amp;$A28,実績!$AJ$6:$AJ$505,"&gt;"&amp;$A28,実績!$AL$6:$AL$505,"○")&gt;0,1,0))</f>
        <v>0</v>
      </c>
      <c r="CE28" s="39" t="n">
        <f aca="false">IF(CE$4=0,0,IF(COUNTIFS(実績!$W$6:$W$505,CE$3,実績!$AI$6:$AI$505,"&lt;="&amp;$A28,実績!$AJ$6:$AJ$505,"&gt;"&amp;$A28,実績!$AL$6:$AL$505,"○")&gt;0,1,0))</f>
        <v>0</v>
      </c>
      <c r="CF28" s="39" t="n">
        <f aca="false">IF(CF$4=0,0,IF(COUNTIFS(実績!$W$6:$W$505,CF$3,実績!$AI$6:$AI$505,"&lt;="&amp;$A28,実績!$AJ$6:$AJ$505,"&gt;"&amp;$A28,実績!$AL$6:$AL$505,"○")&gt;0,1,0))</f>
        <v>0</v>
      </c>
      <c r="CG28" s="39" t="n">
        <f aca="false">IF(CG$4=0,0,IF(COUNTIFS(実績!$W$6:$W$505,CG$3,実績!$AI$6:$AI$505,"&lt;="&amp;$A28,実績!$AJ$6:$AJ$505,"&gt;"&amp;$A28,実績!$AL$6:$AL$505,"○")&gt;0,1,0))</f>
        <v>0</v>
      </c>
      <c r="CH28" s="39" t="n">
        <f aca="false">IF(CH$4=0,0,IF(COUNTIFS(実績!$W$6:$W$505,CH$3,実績!$AI$6:$AI$505,"&lt;="&amp;$A28,実績!$AJ$6:$AJ$505,"&gt;"&amp;$A28,実績!$AL$6:$AL$505,"○")&gt;0,1,0))</f>
        <v>0</v>
      </c>
      <c r="CI28" s="39" t="n">
        <f aca="false">IF(CI$4=0,0,IF(COUNTIFS(実績!$W$6:$W$505,CI$3,実績!$AI$6:$AI$505,"&lt;="&amp;$A28,実績!$AJ$6:$AJ$505,"&gt;"&amp;$A28,実績!$AL$6:$AL$505,"○")&gt;0,1,0))</f>
        <v>0</v>
      </c>
      <c r="CJ28" s="39" t="n">
        <f aca="false">IF(CJ$4=0,0,IF(COUNTIFS(実績!$W$6:$W$505,CJ$3,実績!$AI$6:$AI$505,"&lt;="&amp;$A28,実績!$AJ$6:$AJ$505,"&gt;"&amp;$A28,実績!$AL$6:$AL$505,"○")&gt;0,1,0))</f>
        <v>0</v>
      </c>
      <c r="CK28" s="39" t="n">
        <f aca="false">IF(CK$4=0,0,IF(COUNTIFS(実績!$W$6:$W$505,CK$3,実績!$AI$6:$AI$505,"&lt;="&amp;$A28,実績!$AJ$6:$AJ$505,"&gt;"&amp;$A28,実績!$AL$6:$AL$505,"○")&gt;0,1,0))</f>
        <v>0</v>
      </c>
      <c r="CL28" s="39" t="n">
        <f aca="false">IF(CL$4=0,0,IF(COUNTIFS(実績!$W$6:$W$505,CL$3,実績!$AI$6:$AI$505,"&lt;="&amp;$A28,実績!$AJ$6:$AJ$505,"&gt;"&amp;$A28,実績!$AL$6:$AL$505,"○")&gt;0,1,0))</f>
        <v>0</v>
      </c>
      <c r="CM28" s="39" t="n">
        <f aca="false">IF(CM$4=0,0,IF(COUNTIFS(実績!$W$6:$W$505,CM$3,実績!$AI$6:$AI$505,"&lt;="&amp;$A28,実績!$AJ$6:$AJ$505,"&gt;"&amp;$A28,実績!$AL$6:$AL$505,"○")&gt;0,1,0))</f>
        <v>0</v>
      </c>
      <c r="CN28" s="39" t="n">
        <f aca="false">IF(CN$4=0,0,IF(COUNTIFS(実績!$W$6:$W$505,CN$3,実績!$AI$6:$AI$505,"&lt;="&amp;$A28,実績!$AJ$6:$AJ$505,"&gt;"&amp;$A28,実績!$AL$6:$AL$505,"○")&gt;0,1,0))</f>
        <v>0</v>
      </c>
      <c r="CO28" s="39" t="n">
        <f aca="false">IF(CO$4=0,0,IF(COUNTIFS(実績!$W$6:$W$505,CO$3,実績!$AI$6:$AI$505,"&lt;="&amp;$A28,実績!$AJ$6:$AJ$505,"&gt;"&amp;$A28,実績!$AL$6:$AL$505,"○")&gt;0,1,0))</f>
        <v>0</v>
      </c>
      <c r="CP28" s="39" t="n">
        <f aca="false">IF(CP$4=0,0,IF(COUNTIFS(実績!$W$6:$W$505,CP$3,実績!$AI$6:$AI$505,"&lt;="&amp;$A28,実績!$AJ$6:$AJ$505,"&gt;"&amp;$A28,実績!$AL$6:$AL$505,"○")&gt;0,1,0))</f>
        <v>0</v>
      </c>
      <c r="CQ28" s="39" t="n">
        <f aca="false">IF(CQ$4=0,0,IF(COUNTIFS(実績!$W$6:$W$505,CQ$3,実績!$AI$6:$AI$505,"&lt;="&amp;$A28,実績!$AJ$6:$AJ$505,"&gt;"&amp;$A28,実績!$AL$6:$AL$505,"○")&gt;0,1,0))</f>
        <v>0</v>
      </c>
      <c r="CR28" s="39" t="n">
        <f aca="false">IF(CR$4=0,0,IF(COUNTIFS(実績!$W$6:$W$505,CR$3,実績!$AI$6:$AI$505,"&lt;="&amp;$A28,実績!$AJ$6:$AJ$505,"&gt;"&amp;$A28,実績!$AL$6:$AL$505,"○")&gt;0,1,0))</f>
        <v>0</v>
      </c>
      <c r="CS28" s="39" t="n">
        <f aca="false">IF(CS$4=0,0,IF(COUNTIFS(実績!$W$6:$W$505,CS$3,実績!$AI$6:$AI$505,"&lt;="&amp;$A28,実績!$AJ$6:$AJ$505,"&gt;"&amp;$A28,実績!$AL$6:$AL$505,"○")&gt;0,1,0))</f>
        <v>0</v>
      </c>
      <c r="CT28" s="39" t="n">
        <f aca="false">IF(CT$4=0,0,IF(COUNTIFS(実績!$W$6:$W$505,CT$3,実績!$AI$6:$AI$505,"&lt;="&amp;$A28,実績!$AJ$6:$AJ$505,"&gt;"&amp;$A28,実績!$AL$6:$AL$505,"○")&gt;0,1,0))</f>
        <v>0</v>
      </c>
      <c r="CU28" s="39" t="n">
        <f aca="false">IF(CU$4=0,0,IF(COUNTIFS(実績!$W$6:$W$505,CU$3,実績!$AI$6:$AI$505,"&lt;="&amp;$A28,実績!$AJ$6:$AJ$505,"&gt;"&amp;$A28,実績!$AL$6:$AL$505,"○")&gt;0,1,0))</f>
        <v>0</v>
      </c>
      <c r="CV28" s="39" t="n">
        <f aca="false">IF(CV$4=0,0,IF(COUNTIFS(実績!$W$6:$W$505,CV$3,実績!$AI$6:$AI$505,"&lt;="&amp;$A28,実績!$AJ$6:$AJ$505,"&gt;"&amp;$A28,実績!$AL$6:$AL$505,"○")&gt;0,1,0))</f>
        <v>0</v>
      </c>
      <c r="CW28" s="39" t="n">
        <f aca="false">IF(CW$4=0,0,IF(COUNTIFS(実績!$W$6:$W$505,CW$3,実績!$AI$6:$AI$505,"&lt;="&amp;$A28,実績!$AJ$6:$AJ$505,"&gt;"&amp;$A28,実績!$AL$6:$AL$505,"○")&gt;0,1,0))</f>
        <v>0</v>
      </c>
      <c r="CX28" s="39" t="n">
        <f aca="false">IF(CX$4=0,0,IF(COUNTIFS(実績!$W$6:$W$505,CX$3,実績!$AI$6:$AI$505,"&lt;="&amp;$A28,実績!$AJ$6:$AJ$505,"&gt;"&amp;$A28,実績!$AL$6:$AL$505,"○")&gt;0,1,0))</f>
        <v>0</v>
      </c>
      <c r="CY28" s="39" t="n">
        <f aca="false">IF(CY$4=0,0,IF(COUNTIFS(実績!$W$6:$W$505,CY$3,実績!$AI$6:$AI$505,"&lt;="&amp;$A28,実績!$AJ$6:$AJ$505,"&gt;"&amp;$A28,実績!$AL$6:$AL$505,"○")&gt;0,1,0))</f>
        <v>0</v>
      </c>
      <c r="CZ28" s="39" t="n">
        <f aca="false">IF(CZ$4=0,0,IF(COUNTIFS(実績!$W$6:$W$505,CZ$3,実績!$AI$6:$AI$505,"&lt;="&amp;$A28,実績!$AJ$6:$AJ$505,"&gt;"&amp;$A28,実績!$AL$6:$AL$505,"○")&gt;0,1,0))</f>
        <v>0</v>
      </c>
      <c r="DA28" s="39" t="n">
        <f aca="false">IF(DA$4=0,0,IF(COUNTIFS(実績!$W$6:$W$505,DA$3,実績!$AI$6:$AI$505,"&lt;="&amp;$A28,実績!$AJ$6:$AJ$505,"&gt;"&amp;$A28,実績!$AL$6:$AL$505,"○")&gt;0,1,0))</f>
        <v>0</v>
      </c>
      <c r="DB28" s="39" t="n">
        <f aca="false">IF(DB$4=0,0,IF(COUNTIFS(実績!$W$6:$W$505,DB$3,実績!$AI$6:$AI$505,"&lt;="&amp;$A28,実績!$AJ$6:$AJ$505,"&gt;"&amp;$A28,実績!$AL$6:$AL$505,"○")&gt;0,1,0))</f>
        <v>0</v>
      </c>
      <c r="DC28" s="39" t="n">
        <f aca="false">IF(DC$4=0,0,IF(COUNTIFS(実績!$W$6:$W$505,DC$3,実績!$AI$6:$AI$505,"&lt;="&amp;$A28,実績!$AJ$6:$AJ$505,"&gt;"&amp;$A28,実績!$AL$6:$AL$505,"○")&gt;0,1,0))</f>
        <v>0</v>
      </c>
      <c r="DD28" s="39" t="n">
        <f aca="false">IF(DD$4=0,0,IF(COUNTIFS(実績!$W$6:$W$505,DD$3,実績!$AI$6:$AI$505,"&lt;="&amp;$A28,実績!$AJ$6:$AJ$505,"&gt;"&amp;$A28,実績!$AL$6:$AL$505,"○")&gt;0,1,0))</f>
        <v>0</v>
      </c>
      <c r="DE28" s="39" t="n">
        <f aca="false">IF(DE$4=0,0,IF(COUNTIFS(実績!$W$6:$W$505,DE$3,実績!$AI$6:$AI$505,"&lt;="&amp;$A28,実績!$AJ$6:$AJ$505,"&gt;"&amp;$A28,実績!$AL$6:$AL$505,"○")&gt;0,1,0))</f>
        <v>0</v>
      </c>
      <c r="DF28" s="39" t="n">
        <f aca="false">IF(DF$4=0,0,IF(COUNTIFS(実績!$W$6:$W$505,DF$3,実績!$AI$6:$AI$505,"&lt;="&amp;$A28,実績!$AJ$6:$AJ$505,"&gt;"&amp;$A28,実績!$AL$6:$AL$505,"○")&gt;0,1,0))</f>
        <v>0</v>
      </c>
      <c r="DG28" s="39" t="n">
        <f aca="false">IF(DG$4=0,0,IF(COUNTIFS(実績!$W$6:$W$505,DG$3,実績!$AI$6:$AI$505,"&lt;="&amp;$A28,実績!$AJ$6:$AJ$505,"&gt;"&amp;$A28,実績!$AL$6:$AL$505,"○")&gt;0,1,0))</f>
        <v>0</v>
      </c>
      <c r="DH28" s="39" t="n">
        <f aca="false">IF(DH$4=0,0,IF(COUNTIFS(実績!$W$6:$W$505,DH$3,実績!$AI$6:$AI$505,"&lt;="&amp;$A28,実績!$AJ$6:$AJ$505,"&gt;"&amp;$A28,実績!$AL$6:$AL$505,"○")&gt;0,1,0))</f>
        <v>0</v>
      </c>
      <c r="DI28" s="39" t="n">
        <f aca="false">IF(DI$4=0,0,IF(COUNTIFS(実績!$W$6:$W$505,DI$3,実績!$AI$6:$AI$505,"&lt;="&amp;$A28,実績!$AJ$6:$AJ$505,"&gt;"&amp;$A28,実績!$AL$6:$AL$505,"○")&gt;0,1,0))</f>
        <v>0</v>
      </c>
      <c r="DJ28" s="39" t="n">
        <f aca="false">IF(DJ$4=0,0,IF(COUNTIFS(実績!$W$6:$W$505,DJ$3,実績!$AI$6:$AI$505,"&lt;="&amp;$A28,実績!$AJ$6:$AJ$505,"&gt;"&amp;$A28,実績!$AL$6:$AL$505,"○")&gt;0,1,0))</f>
        <v>0</v>
      </c>
      <c r="DK28" s="39" t="n">
        <f aca="false">IF(DK$4=0,0,IF(COUNTIFS(実績!$W$6:$W$505,DK$3,実績!$AI$6:$AI$505,"&lt;="&amp;$A28,実績!$AJ$6:$AJ$505,"&gt;"&amp;$A28,実績!$AL$6:$AL$505,"○")&gt;0,1,0))</f>
        <v>0</v>
      </c>
      <c r="DL28" s="39" t="n">
        <f aca="false">IF(DL$4=0,0,IF(COUNTIFS(実績!$W$6:$W$505,DL$3,実績!$AI$6:$AI$505,"&lt;="&amp;$A28,実績!$AJ$6:$AJ$505,"&gt;"&amp;$A28,実績!$AL$6:$AL$505,"○")&gt;0,1,0))</f>
        <v>0</v>
      </c>
      <c r="DM28" s="39" t="n">
        <f aca="false">IF(DM$4=0,0,IF(COUNTIFS(実績!$W$6:$W$505,DM$3,実績!$AI$6:$AI$505,"&lt;="&amp;$A28,実績!$AJ$6:$AJ$505,"&gt;"&amp;$A28,実績!$AL$6:$AL$505,"○")&gt;0,1,0))</f>
        <v>0</v>
      </c>
      <c r="DN28" s="39" t="n">
        <f aca="false">IF(DN$4=0,0,IF(COUNTIFS(実績!$W$6:$W$505,DN$3,実績!$AI$6:$AI$505,"&lt;="&amp;$A28,実績!$AJ$6:$AJ$505,"&gt;"&amp;$A28,実績!$AL$6:$AL$505,"○")&gt;0,1,0))</f>
        <v>0</v>
      </c>
      <c r="DO28" s="39" t="n">
        <f aca="false">IF(DO$4=0,0,IF(COUNTIFS(実績!$W$6:$W$505,DO$3,実績!$AI$6:$AI$505,"&lt;="&amp;$A28,実績!$AJ$6:$AJ$505,"&gt;"&amp;$A28,実績!$AL$6:$AL$505,"○")&gt;0,1,0))</f>
        <v>0</v>
      </c>
      <c r="DP28" s="39" t="n">
        <f aca="false">IF(DP$4=0,0,IF(COUNTIFS(実績!$W$6:$W$505,DP$3,実績!$AI$6:$AI$505,"&lt;="&amp;$A28,実績!$AJ$6:$AJ$505,"&gt;"&amp;$A28,実績!$AL$6:$AL$505,"○")&gt;0,1,0))</f>
        <v>0</v>
      </c>
      <c r="DQ28" s="39" t="n">
        <f aca="false">IF(DQ$4=0,0,IF(COUNTIFS(実績!$W$6:$W$505,DQ$3,実績!$AI$6:$AI$505,"&lt;="&amp;$A28,実績!$AJ$6:$AJ$505,"&gt;"&amp;$A28,実績!$AL$6:$AL$505,"○")&gt;0,1,0))</f>
        <v>0</v>
      </c>
      <c r="DR28" s="39" t="n">
        <f aca="false">IF(DR$4=0,0,IF(COUNTIFS(実績!$W$6:$W$505,DR$3,実績!$AI$6:$AI$505,"&lt;="&amp;$A28,実績!$AJ$6:$AJ$505,"&gt;"&amp;$A28,実績!$AL$6:$AL$505,"○")&gt;0,1,0))</f>
        <v>0</v>
      </c>
      <c r="DS28" s="39" t="n">
        <f aca="false">SUM(C28:DR28)</f>
        <v>0</v>
      </c>
    </row>
    <row r="29" customFormat="false" ht="15" hidden="false" customHeight="false" outlineLevel="0" collapsed="false">
      <c r="A29" s="0" t="n">
        <v>115</v>
      </c>
      <c r="B29" s="38" t="n">
        <f aca="false">A29/1440</f>
        <v>0.0798611111111111</v>
      </c>
      <c r="C29" s="39" t="n">
        <f aca="false">IF(C$4=0,0,IF(COUNTIFS(実績!$W$6:$W$505,C$3,実績!$AI$6:$AI$505,"&lt;="&amp;$A29,実績!$AJ$6:$AJ$505,"&gt;"&amp;$A29,実績!$AL$6:$AL$505,"○")&gt;0,1,0))</f>
        <v>0</v>
      </c>
      <c r="D29" s="39" t="n">
        <f aca="false">IF(D$4=0,0,IF(COUNTIFS(実績!$W$6:$W$505,D$3,実績!$AI$6:$AI$505,"&lt;="&amp;$A29,実績!$AJ$6:$AJ$505,"&gt;"&amp;$A29,実績!$AL$6:$AL$505,"○")&gt;0,1,0))</f>
        <v>0</v>
      </c>
      <c r="E29" s="39" t="n">
        <f aca="false">IF(E$4=0,0,IF(COUNTIFS(実績!$W$6:$W$505,E$3,実績!$AI$6:$AI$505,"&lt;="&amp;$A29,実績!$AJ$6:$AJ$505,"&gt;"&amp;$A29,実績!$AL$6:$AL$505,"○")&gt;0,1,0))</f>
        <v>0</v>
      </c>
      <c r="F29" s="39" t="n">
        <f aca="false">IF(F$4=0,0,IF(COUNTIFS(実績!$W$6:$W$505,F$3,実績!$AI$6:$AI$505,"&lt;="&amp;$A29,実績!$AJ$6:$AJ$505,"&gt;"&amp;$A29,実績!$AL$6:$AL$505,"○")&gt;0,1,0))</f>
        <v>0</v>
      </c>
      <c r="G29" s="39" t="n">
        <f aca="false">IF(G$4=0,0,IF(COUNTIFS(実績!$W$6:$W$505,G$3,実績!$AI$6:$AI$505,"&lt;="&amp;$A29,実績!$AJ$6:$AJ$505,"&gt;"&amp;$A29,実績!$AL$6:$AL$505,"○")&gt;0,1,0))</f>
        <v>0</v>
      </c>
      <c r="H29" s="39" t="n">
        <f aca="false">IF(H$4=0,0,IF(COUNTIFS(実績!$W$6:$W$505,H$3,実績!$AI$6:$AI$505,"&lt;="&amp;$A29,実績!$AJ$6:$AJ$505,"&gt;"&amp;$A29,実績!$AL$6:$AL$505,"○")&gt;0,1,0))</f>
        <v>0</v>
      </c>
      <c r="I29" s="39" t="n">
        <f aca="false">IF(I$4=0,0,IF(COUNTIFS(実績!$W$6:$W$505,I$3,実績!$AI$6:$AI$505,"&lt;="&amp;$A29,実績!$AJ$6:$AJ$505,"&gt;"&amp;$A29,実績!$AL$6:$AL$505,"○")&gt;0,1,0))</f>
        <v>0</v>
      </c>
      <c r="J29" s="39" t="n">
        <f aca="false">IF(J$4=0,0,IF(COUNTIFS(実績!$W$6:$W$505,J$3,実績!$AI$6:$AI$505,"&lt;="&amp;$A29,実績!$AJ$6:$AJ$505,"&gt;"&amp;$A29,実績!$AL$6:$AL$505,"○")&gt;0,1,0))</f>
        <v>0</v>
      </c>
      <c r="K29" s="39" t="n">
        <f aca="false">IF(K$4=0,0,IF(COUNTIFS(実績!$W$6:$W$505,K$3,実績!$AI$6:$AI$505,"&lt;="&amp;$A29,実績!$AJ$6:$AJ$505,"&gt;"&amp;$A29,実績!$AL$6:$AL$505,"○")&gt;0,1,0))</f>
        <v>0</v>
      </c>
      <c r="L29" s="39" t="n">
        <f aca="false">IF(L$4=0,0,IF(COUNTIFS(実績!$W$6:$W$505,L$3,実績!$AI$6:$AI$505,"&lt;="&amp;$A29,実績!$AJ$6:$AJ$505,"&gt;"&amp;$A29,実績!$AL$6:$AL$505,"○")&gt;0,1,0))</f>
        <v>0</v>
      </c>
      <c r="M29" s="39" t="n">
        <f aca="false">IF(M$4=0,0,IF(COUNTIFS(実績!$W$6:$W$505,M$3,実績!$AI$6:$AI$505,"&lt;="&amp;$A29,実績!$AJ$6:$AJ$505,"&gt;"&amp;$A29,実績!$AL$6:$AL$505,"○")&gt;0,1,0))</f>
        <v>0</v>
      </c>
      <c r="N29" s="39" t="n">
        <f aca="false">IF(N$4=0,0,IF(COUNTIFS(実績!$W$6:$W$505,N$3,実績!$AI$6:$AI$505,"&lt;="&amp;$A29,実績!$AJ$6:$AJ$505,"&gt;"&amp;$A29,実績!$AL$6:$AL$505,"○")&gt;0,1,0))</f>
        <v>0</v>
      </c>
      <c r="O29" s="39" t="n">
        <f aca="false">IF(O$4=0,0,IF(COUNTIFS(実績!$W$6:$W$505,O$3,実績!$AI$6:$AI$505,"&lt;="&amp;$A29,実績!$AJ$6:$AJ$505,"&gt;"&amp;$A29,実績!$AL$6:$AL$505,"○")&gt;0,1,0))</f>
        <v>0</v>
      </c>
      <c r="P29" s="39" t="n">
        <f aca="false">IF(P$4=0,0,IF(COUNTIFS(実績!$W$6:$W$505,P$3,実績!$AI$6:$AI$505,"&lt;="&amp;$A29,実績!$AJ$6:$AJ$505,"&gt;"&amp;$A29,実績!$AL$6:$AL$505,"○")&gt;0,1,0))</f>
        <v>0</v>
      </c>
      <c r="Q29" s="39" t="n">
        <f aca="false">IF(Q$4=0,0,IF(COUNTIFS(実績!$W$6:$W$505,Q$3,実績!$AI$6:$AI$505,"&lt;="&amp;$A29,実績!$AJ$6:$AJ$505,"&gt;"&amp;$A29,実績!$AL$6:$AL$505,"○")&gt;0,1,0))</f>
        <v>0</v>
      </c>
      <c r="R29" s="39" t="n">
        <f aca="false">IF(R$4=0,0,IF(COUNTIFS(実績!$W$6:$W$505,R$3,実績!$AI$6:$AI$505,"&lt;="&amp;$A29,実績!$AJ$6:$AJ$505,"&gt;"&amp;$A29,実績!$AL$6:$AL$505,"○")&gt;0,1,0))</f>
        <v>0</v>
      </c>
      <c r="S29" s="39" t="n">
        <f aca="false">IF(S$4=0,0,IF(COUNTIFS(実績!$W$6:$W$505,S$3,実績!$AI$6:$AI$505,"&lt;="&amp;$A29,実績!$AJ$6:$AJ$505,"&gt;"&amp;$A29,実績!$AL$6:$AL$505,"○")&gt;0,1,0))</f>
        <v>0</v>
      </c>
      <c r="T29" s="39" t="n">
        <f aca="false">IF(T$4=0,0,IF(COUNTIFS(実績!$W$6:$W$505,T$3,実績!$AI$6:$AI$505,"&lt;="&amp;$A29,実績!$AJ$6:$AJ$505,"&gt;"&amp;$A29,実績!$AL$6:$AL$505,"○")&gt;0,1,0))</f>
        <v>0</v>
      </c>
      <c r="U29" s="39" t="n">
        <f aca="false">IF(U$4=0,0,IF(COUNTIFS(実績!$W$6:$W$505,U$3,実績!$AI$6:$AI$505,"&lt;="&amp;$A29,実績!$AJ$6:$AJ$505,"&gt;"&amp;$A29,実績!$AL$6:$AL$505,"○")&gt;0,1,0))</f>
        <v>0</v>
      </c>
      <c r="V29" s="39" t="n">
        <f aca="false">IF(V$4=0,0,IF(COUNTIFS(実績!$W$6:$W$505,V$3,実績!$AI$6:$AI$505,"&lt;="&amp;$A29,実績!$AJ$6:$AJ$505,"&gt;"&amp;$A29,実績!$AL$6:$AL$505,"○")&gt;0,1,0))</f>
        <v>0</v>
      </c>
      <c r="W29" s="39" t="n">
        <f aca="false">IF(W$4=0,0,IF(COUNTIFS(実績!$W$6:$W$505,W$3,実績!$AI$6:$AI$505,"&lt;="&amp;$A29,実績!$AJ$6:$AJ$505,"&gt;"&amp;$A29,実績!$AL$6:$AL$505,"○")&gt;0,1,0))</f>
        <v>0</v>
      </c>
      <c r="X29" s="39" t="n">
        <f aca="false">IF(X$4=0,0,IF(COUNTIFS(実績!$W$6:$W$505,X$3,実績!$AI$6:$AI$505,"&lt;="&amp;$A29,実績!$AJ$6:$AJ$505,"&gt;"&amp;$A29,実績!$AL$6:$AL$505,"○")&gt;0,1,0))</f>
        <v>0</v>
      </c>
      <c r="Y29" s="39" t="n">
        <f aca="false">IF(Y$4=0,0,IF(COUNTIFS(実績!$W$6:$W$505,Y$3,実績!$AI$6:$AI$505,"&lt;="&amp;$A29,実績!$AJ$6:$AJ$505,"&gt;"&amp;$A29,実績!$AL$6:$AL$505,"○")&gt;0,1,0))</f>
        <v>0</v>
      </c>
      <c r="Z29" s="39" t="n">
        <f aca="false">IF(Z$4=0,0,IF(COUNTIFS(実績!$W$6:$W$505,Z$3,実績!$AI$6:$AI$505,"&lt;="&amp;$A29,実績!$AJ$6:$AJ$505,"&gt;"&amp;$A29,実績!$AL$6:$AL$505,"○")&gt;0,1,0))</f>
        <v>0</v>
      </c>
      <c r="AA29" s="39" t="n">
        <f aca="false">IF(AA$4=0,0,IF(COUNTIFS(実績!$W$6:$W$505,AA$3,実績!$AI$6:$AI$505,"&lt;="&amp;$A29,実績!$AJ$6:$AJ$505,"&gt;"&amp;$A29,実績!$AL$6:$AL$505,"○")&gt;0,1,0))</f>
        <v>0</v>
      </c>
      <c r="AB29" s="39" t="n">
        <f aca="false">IF(AB$4=0,0,IF(COUNTIFS(実績!$W$6:$W$505,AB$3,実績!$AI$6:$AI$505,"&lt;="&amp;$A29,実績!$AJ$6:$AJ$505,"&gt;"&amp;$A29,実績!$AL$6:$AL$505,"○")&gt;0,1,0))</f>
        <v>0</v>
      </c>
      <c r="AC29" s="39" t="n">
        <f aca="false">IF(AC$4=0,0,IF(COUNTIFS(実績!$W$6:$W$505,AC$3,実績!$AI$6:$AI$505,"&lt;="&amp;$A29,実績!$AJ$6:$AJ$505,"&gt;"&amp;$A29,実績!$AL$6:$AL$505,"○")&gt;0,1,0))</f>
        <v>0</v>
      </c>
      <c r="AD29" s="39" t="n">
        <f aca="false">IF(AD$4=0,0,IF(COUNTIFS(実績!$W$6:$W$505,AD$3,実績!$AI$6:$AI$505,"&lt;="&amp;$A29,実績!$AJ$6:$AJ$505,"&gt;"&amp;$A29,実績!$AL$6:$AL$505,"○")&gt;0,1,0))</f>
        <v>0</v>
      </c>
      <c r="AE29" s="39" t="n">
        <f aca="false">IF(AE$4=0,0,IF(COUNTIFS(実績!$W$6:$W$505,AE$3,実績!$AI$6:$AI$505,"&lt;="&amp;$A29,実績!$AJ$6:$AJ$505,"&gt;"&amp;$A29,実績!$AL$6:$AL$505,"○")&gt;0,1,0))</f>
        <v>0</v>
      </c>
      <c r="AF29" s="39" t="n">
        <f aca="false">IF(AF$4=0,0,IF(COUNTIFS(実績!$W$6:$W$505,AF$3,実績!$AI$6:$AI$505,"&lt;="&amp;$A29,実績!$AJ$6:$AJ$505,"&gt;"&amp;$A29,実績!$AL$6:$AL$505,"○")&gt;0,1,0))</f>
        <v>0</v>
      </c>
      <c r="AG29" s="39" t="n">
        <f aca="false">IF(AG$4=0,0,IF(COUNTIFS(実績!$W$6:$W$505,AG$3,実績!$AI$6:$AI$505,"&lt;="&amp;$A29,実績!$AJ$6:$AJ$505,"&gt;"&amp;$A29,実績!$AL$6:$AL$505,"○")&gt;0,1,0))</f>
        <v>0</v>
      </c>
      <c r="AH29" s="39" t="n">
        <f aca="false">IF(AH$4=0,0,IF(COUNTIFS(実績!$W$6:$W$505,AH$3,実績!$AI$6:$AI$505,"&lt;="&amp;$A29,実績!$AJ$6:$AJ$505,"&gt;"&amp;$A29,実績!$AL$6:$AL$505,"○")&gt;0,1,0))</f>
        <v>0</v>
      </c>
      <c r="AI29" s="39" t="n">
        <f aca="false">IF(AI$4=0,0,IF(COUNTIFS(実績!$W$6:$W$505,AI$3,実績!$AI$6:$AI$505,"&lt;="&amp;$A29,実績!$AJ$6:$AJ$505,"&gt;"&amp;$A29,実績!$AL$6:$AL$505,"○")&gt;0,1,0))</f>
        <v>0</v>
      </c>
      <c r="AJ29" s="39" t="n">
        <f aca="false">IF(AJ$4=0,0,IF(COUNTIFS(実績!$W$6:$W$505,AJ$3,実績!$AI$6:$AI$505,"&lt;="&amp;$A29,実績!$AJ$6:$AJ$505,"&gt;"&amp;$A29,実績!$AL$6:$AL$505,"○")&gt;0,1,0))</f>
        <v>0</v>
      </c>
      <c r="AK29" s="39" t="n">
        <f aca="false">IF(AK$4=0,0,IF(COUNTIFS(実績!$W$6:$W$505,AK$3,実績!$AI$6:$AI$505,"&lt;="&amp;$A29,実績!$AJ$6:$AJ$505,"&gt;"&amp;$A29,実績!$AL$6:$AL$505,"○")&gt;0,1,0))</f>
        <v>0</v>
      </c>
      <c r="AL29" s="39" t="n">
        <f aca="false">IF(AL$4=0,0,IF(COUNTIFS(実績!$W$6:$W$505,AL$3,実績!$AI$6:$AI$505,"&lt;="&amp;$A29,実績!$AJ$6:$AJ$505,"&gt;"&amp;$A29,実績!$AL$6:$AL$505,"○")&gt;0,1,0))</f>
        <v>0</v>
      </c>
      <c r="AM29" s="39" t="n">
        <f aca="false">IF(AM$4=0,0,IF(COUNTIFS(実績!$W$6:$W$505,AM$3,実績!$AI$6:$AI$505,"&lt;="&amp;$A29,実績!$AJ$6:$AJ$505,"&gt;"&amp;$A29,実績!$AL$6:$AL$505,"○")&gt;0,1,0))</f>
        <v>0</v>
      </c>
      <c r="AN29" s="39" t="n">
        <f aca="false">IF(AN$4=0,0,IF(COUNTIFS(実績!$W$6:$W$505,AN$3,実績!$AI$6:$AI$505,"&lt;="&amp;$A29,実績!$AJ$6:$AJ$505,"&gt;"&amp;$A29,実績!$AL$6:$AL$505,"○")&gt;0,1,0))</f>
        <v>0</v>
      </c>
      <c r="AO29" s="39" t="n">
        <f aca="false">IF(AO$4=0,0,IF(COUNTIFS(実績!$W$6:$W$505,AO$3,実績!$AI$6:$AI$505,"&lt;="&amp;$A29,実績!$AJ$6:$AJ$505,"&gt;"&amp;$A29,実績!$AL$6:$AL$505,"○")&gt;0,1,0))</f>
        <v>0</v>
      </c>
      <c r="AP29" s="39" t="n">
        <f aca="false">IF(AP$4=0,0,IF(COUNTIFS(実績!$W$6:$W$505,AP$3,実績!$AI$6:$AI$505,"&lt;="&amp;$A29,実績!$AJ$6:$AJ$505,"&gt;"&amp;$A29,実績!$AL$6:$AL$505,"○")&gt;0,1,0))</f>
        <v>0</v>
      </c>
      <c r="AQ29" s="39" t="n">
        <f aca="false">IF(AQ$4=0,0,IF(COUNTIFS(実績!$W$6:$W$505,AQ$3,実績!$AI$6:$AI$505,"&lt;="&amp;$A29,実績!$AJ$6:$AJ$505,"&gt;"&amp;$A29,実績!$AL$6:$AL$505,"○")&gt;0,1,0))</f>
        <v>0</v>
      </c>
      <c r="AR29" s="39" t="n">
        <f aca="false">IF(AR$4=0,0,IF(COUNTIFS(実績!$W$6:$W$505,AR$3,実績!$AI$6:$AI$505,"&lt;="&amp;$A29,実績!$AJ$6:$AJ$505,"&gt;"&amp;$A29,実績!$AL$6:$AL$505,"○")&gt;0,1,0))</f>
        <v>0</v>
      </c>
      <c r="AS29" s="39" t="n">
        <f aca="false">IF(AS$4=0,0,IF(COUNTIFS(実績!$W$6:$W$505,AS$3,実績!$AI$6:$AI$505,"&lt;="&amp;$A29,実績!$AJ$6:$AJ$505,"&gt;"&amp;$A29,実績!$AL$6:$AL$505,"○")&gt;0,1,0))</f>
        <v>0</v>
      </c>
      <c r="AT29" s="39" t="n">
        <f aca="false">IF(AT$4=0,0,IF(COUNTIFS(実績!$W$6:$W$505,AT$3,実績!$AI$6:$AI$505,"&lt;="&amp;$A29,実績!$AJ$6:$AJ$505,"&gt;"&amp;$A29,実績!$AL$6:$AL$505,"○")&gt;0,1,0))</f>
        <v>0</v>
      </c>
      <c r="AU29" s="39" t="n">
        <f aca="false">IF(AU$4=0,0,IF(COUNTIFS(実績!$W$6:$W$505,AU$3,実績!$AI$6:$AI$505,"&lt;="&amp;$A29,実績!$AJ$6:$AJ$505,"&gt;"&amp;$A29,実績!$AL$6:$AL$505,"○")&gt;0,1,0))</f>
        <v>0</v>
      </c>
      <c r="AV29" s="39" t="n">
        <f aca="false">IF(AV$4=0,0,IF(COUNTIFS(実績!$W$6:$W$505,AV$3,実績!$AI$6:$AI$505,"&lt;="&amp;$A29,実績!$AJ$6:$AJ$505,"&gt;"&amp;$A29,実績!$AL$6:$AL$505,"○")&gt;0,1,0))</f>
        <v>0</v>
      </c>
      <c r="AW29" s="39" t="n">
        <f aca="false">IF(AW$4=0,0,IF(COUNTIFS(実績!$W$6:$W$505,AW$3,実績!$AI$6:$AI$505,"&lt;="&amp;$A29,実績!$AJ$6:$AJ$505,"&gt;"&amp;$A29,実績!$AL$6:$AL$505,"○")&gt;0,1,0))</f>
        <v>0</v>
      </c>
      <c r="AX29" s="39" t="n">
        <f aca="false">IF(AX$4=0,0,IF(COUNTIFS(実績!$W$6:$W$505,AX$3,実績!$AI$6:$AI$505,"&lt;="&amp;$A29,実績!$AJ$6:$AJ$505,"&gt;"&amp;$A29,実績!$AL$6:$AL$505,"○")&gt;0,1,0))</f>
        <v>0</v>
      </c>
      <c r="AY29" s="39" t="n">
        <f aca="false">IF(AY$4=0,0,IF(COUNTIFS(実績!$W$6:$W$505,AY$3,実績!$AI$6:$AI$505,"&lt;="&amp;$A29,実績!$AJ$6:$AJ$505,"&gt;"&amp;$A29,実績!$AL$6:$AL$505,"○")&gt;0,1,0))</f>
        <v>0</v>
      </c>
      <c r="AZ29" s="39" t="n">
        <f aca="false">IF(AZ$4=0,0,IF(COUNTIFS(実績!$W$6:$W$505,AZ$3,実績!$AI$6:$AI$505,"&lt;="&amp;$A29,実績!$AJ$6:$AJ$505,"&gt;"&amp;$A29,実績!$AL$6:$AL$505,"○")&gt;0,1,0))</f>
        <v>0</v>
      </c>
      <c r="BA29" s="39" t="n">
        <f aca="false">IF(BA$4=0,0,IF(COUNTIFS(実績!$W$6:$W$505,BA$3,実績!$AI$6:$AI$505,"&lt;="&amp;$A29,実績!$AJ$6:$AJ$505,"&gt;"&amp;$A29,実績!$AL$6:$AL$505,"○")&gt;0,1,0))</f>
        <v>0</v>
      </c>
      <c r="BB29" s="39" t="n">
        <f aca="false">IF(BB$4=0,0,IF(COUNTIFS(実績!$W$6:$W$505,BB$3,実績!$AI$6:$AI$505,"&lt;="&amp;$A29,実績!$AJ$6:$AJ$505,"&gt;"&amp;$A29,実績!$AL$6:$AL$505,"○")&gt;0,1,0))</f>
        <v>0</v>
      </c>
      <c r="BC29" s="39" t="n">
        <f aca="false">IF(BC$4=0,0,IF(COUNTIFS(実績!$W$6:$W$505,BC$3,実績!$AI$6:$AI$505,"&lt;="&amp;$A29,実績!$AJ$6:$AJ$505,"&gt;"&amp;$A29,実績!$AL$6:$AL$505,"○")&gt;0,1,0))</f>
        <v>0</v>
      </c>
      <c r="BD29" s="39" t="n">
        <f aca="false">IF(BD$4=0,0,IF(COUNTIFS(実績!$W$6:$W$505,BD$3,実績!$AI$6:$AI$505,"&lt;="&amp;$A29,実績!$AJ$6:$AJ$505,"&gt;"&amp;$A29,実績!$AL$6:$AL$505,"○")&gt;0,1,0))</f>
        <v>0</v>
      </c>
      <c r="BE29" s="39" t="n">
        <f aca="false">IF(BE$4=0,0,IF(COUNTIFS(実績!$W$6:$W$505,BE$3,実績!$AI$6:$AI$505,"&lt;="&amp;$A29,実績!$AJ$6:$AJ$505,"&gt;"&amp;$A29,実績!$AL$6:$AL$505,"○")&gt;0,1,0))</f>
        <v>0</v>
      </c>
      <c r="BF29" s="39" t="n">
        <f aca="false">IF(BF$4=0,0,IF(COUNTIFS(実績!$W$6:$W$505,BF$3,実績!$AI$6:$AI$505,"&lt;="&amp;$A29,実績!$AJ$6:$AJ$505,"&gt;"&amp;$A29,実績!$AL$6:$AL$505,"○")&gt;0,1,0))</f>
        <v>0</v>
      </c>
      <c r="BG29" s="39" t="n">
        <f aca="false">IF(BG$4=0,0,IF(COUNTIFS(実績!$W$6:$W$505,BG$3,実績!$AI$6:$AI$505,"&lt;="&amp;$A29,実績!$AJ$6:$AJ$505,"&gt;"&amp;$A29,実績!$AL$6:$AL$505,"○")&gt;0,1,0))</f>
        <v>0</v>
      </c>
      <c r="BH29" s="39" t="n">
        <f aca="false">IF(BH$4=0,0,IF(COUNTIFS(実績!$W$6:$W$505,BH$3,実績!$AI$6:$AI$505,"&lt;="&amp;$A29,実績!$AJ$6:$AJ$505,"&gt;"&amp;$A29,実績!$AL$6:$AL$505,"○")&gt;0,1,0))</f>
        <v>0</v>
      </c>
      <c r="BI29" s="39" t="n">
        <f aca="false">IF(BI$4=0,0,IF(COUNTIFS(実績!$W$6:$W$505,BI$3,実績!$AI$6:$AI$505,"&lt;="&amp;$A29,実績!$AJ$6:$AJ$505,"&gt;"&amp;$A29,実績!$AL$6:$AL$505,"○")&gt;0,1,0))</f>
        <v>0</v>
      </c>
      <c r="BJ29" s="39" t="n">
        <f aca="false">IF(BJ$4=0,0,IF(COUNTIFS(実績!$W$6:$W$505,BJ$3,実績!$AI$6:$AI$505,"&lt;="&amp;$A29,実績!$AJ$6:$AJ$505,"&gt;"&amp;$A29,実績!$AL$6:$AL$505,"○")&gt;0,1,0))</f>
        <v>0</v>
      </c>
      <c r="BK29" s="39" t="n">
        <f aca="false">IF(BK$4=0,0,IF(COUNTIFS(実績!$W$6:$W$505,BK$3,実績!$AI$6:$AI$505,"&lt;="&amp;$A29,実績!$AJ$6:$AJ$505,"&gt;"&amp;$A29,実績!$AL$6:$AL$505,"○")&gt;0,1,0))</f>
        <v>0</v>
      </c>
      <c r="BL29" s="39" t="n">
        <f aca="false">IF(BL$4=0,0,IF(COUNTIFS(実績!$W$6:$W$505,BL$3,実績!$AI$6:$AI$505,"&lt;="&amp;$A29,実績!$AJ$6:$AJ$505,"&gt;"&amp;$A29,実績!$AL$6:$AL$505,"○")&gt;0,1,0))</f>
        <v>0</v>
      </c>
      <c r="BM29" s="39" t="n">
        <f aca="false">IF(BM$4=0,0,IF(COUNTIFS(実績!$W$6:$W$505,BM$3,実績!$AI$6:$AI$505,"&lt;="&amp;$A29,実績!$AJ$6:$AJ$505,"&gt;"&amp;$A29,実績!$AL$6:$AL$505,"○")&gt;0,1,0))</f>
        <v>0</v>
      </c>
      <c r="BN29" s="39" t="n">
        <f aca="false">IF(BN$4=0,0,IF(COUNTIFS(実績!$W$6:$W$505,BN$3,実績!$AI$6:$AI$505,"&lt;="&amp;$A29,実績!$AJ$6:$AJ$505,"&gt;"&amp;$A29,実績!$AL$6:$AL$505,"○")&gt;0,1,0))</f>
        <v>0</v>
      </c>
      <c r="BO29" s="39" t="n">
        <f aca="false">IF(BO$4=0,0,IF(COUNTIFS(実績!$W$6:$W$505,BO$3,実績!$AI$6:$AI$505,"&lt;="&amp;$A29,実績!$AJ$6:$AJ$505,"&gt;"&amp;$A29,実績!$AL$6:$AL$505,"○")&gt;0,1,0))</f>
        <v>0</v>
      </c>
      <c r="BP29" s="39" t="n">
        <f aca="false">IF(BP$4=0,0,IF(COUNTIFS(実績!$W$6:$W$505,BP$3,実績!$AI$6:$AI$505,"&lt;="&amp;$A29,実績!$AJ$6:$AJ$505,"&gt;"&amp;$A29,実績!$AL$6:$AL$505,"○")&gt;0,1,0))</f>
        <v>0</v>
      </c>
      <c r="BQ29" s="39" t="n">
        <f aca="false">IF(BQ$4=0,0,IF(COUNTIFS(実績!$W$6:$W$505,BQ$3,実績!$AI$6:$AI$505,"&lt;="&amp;$A29,実績!$AJ$6:$AJ$505,"&gt;"&amp;$A29,実績!$AL$6:$AL$505,"○")&gt;0,1,0))</f>
        <v>0</v>
      </c>
      <c r="BR29" s="39" t="n">
        <f aca="false">IF(BR$4=0,0,IF(COUNTIFS(実績!$W$6:$W$505,BR$3,実績!$AI$6:$AI$505,"&lt;="&amp;$A29,実績!$AJ$6:$AJ$505,"&gt;"&amp;$A29,実績!$AL$6:$AL$505,"○")&gt;0,1,0))</f>
        <v>0</v>
      </c>
      <c r="BS29" s="39" t="n">
        <f aca="false">IF(BS$4=0,0,IF(COUNTIFS(実績!$W$6:$W$505,BS$3,実績!$AI$6:$AI$505,"&lt;="&amp;$A29,実績!$AJ$6:$AJ$505,"&gt;"&amp;$A29,実績!$AL$6:$AL$505,"○")&gt;0,1,0))</f>
        <v>0</v>
      </c>
      <c r="BT29" s="39" t="n">
        <f aca="false">IF(BT$4=0,0,IF(COUNTIFS(実績!$W$6:$W$505,BT$3,実績!$AI$6:$AI$505,"&lt;="&amp;$A29,実績!$AJ$6:$AJ$505,"&gt;"&amp;$A29,実績!$AL$6:$AL$505,"○")&gt;0,1,0))</f>
        <v>0</v>
      </c>
      <c r="BU29" s="39" t="n">
        <f aca="false">IF(BU$4=0,0,IF(COUNTIFS(実績!$W$6:$W$505,BU$3,実績!$AI$6:$AI$505,"&lt;="&amp;$A29,実績!$AJ$6:$AJ$505,"&gt;"&amp;$A29,実績!$AL$6:$AL$505,"○")&gt;0,1,0))</f>
        <v>0</v>
      </c>
      <c r="BV29" s="39" t="n">
        <f aca="false">IF(BV$4=0,0,IF(COUNTIFS(実績!$W$6:$W$505,BV$3,実績!$AI$6:$AI$505,"&lt;="&amp;$A29,実績!$AJ$6:$AJ$505,"&gt;"&amp;$A29,実績!$AL$6:$AL$505,"○")&gt;0,1,0))</f>
        <v>0</v>
      </c>
      <c r="BW29" s="39" t="n">
        <f aca="false">IF(BW$4=0,0,IF(COUNTIFS(実績!$W$6:$W$505,BW$3,実績!$AI$6:$AI$505,"&lt;="&amp;$A29,実績!$AJ$6:$AJ$505,"&gt;"&amp;$A29,実績!$AL$6:$AL$505,"○")&gt;0,1,0))</f>
        <v>0</v>
      </c>
      <c r="BX29" s="39" t="n">
        <f aca="false">IF(BX$4=0,0,IF(COUNTIFS(実績!$W$6:$W$505,BX$3,実績!$AI$6:$AI$505,"&lt;="&amp;$A29,実績!$AJ$6:$AJ$505,"&gt;"&amp;$A29,実績!$AL$6:$AL$505,"○")&gt;0,1,0))</f>
        <v>0</v>
      </c>
      <c r="BY29" s="39" t="n">
        <f aca="false">IF(BY$4=0,0,IF(COUNTIFS(実績!$W$6:$W$505,BY$3,実績!$AI$6:$AI$505,"&lt;="&amp;$A29,実績!$AJ$6:$AJ$505,"&gt;"&amp;$A29,実績!$AL$6:$AL$505,"○")&gt;0,1,0))</f>
        <v>0</v>
      </c>
      <c r="BZ29" s="39" t="n">
        <f aca="false">IF(BZ$4=0,0,IF(COUNTIFS(実績!$W$6:$W$505,BZ$3,実績!$AI$6:$AI$505,"&lt;="&amp;$A29,実績!$AJ$6:$AJ$505,"&gt;"&amp;$A29,実績!$AL$6:$AL$505,"○")&gt;0,1,0))</f>
        <v>0</v>
      </c>
      <c r="CA29" s="39" t="n">
        <f aca="false">IF(CA$4=0,0,IF(COUNTIFS(実績!$W$6:$W$505,CA$3,実績!$AI$6:$AI$505,"&lt;="&amp;$A29,実績!$AJ$6:$AJ$505,"&gt;"&amp;$A29,実績!$AL$6:$AL$505,"○")&gt;0,1,0))</f>
        <v>0</v>
      </c>
      <c r="CB29" s="39" t="n">
        <f aca="false">IF(CB$4=0,0,IF(COUNTIFS(実績!$W$6:$W$505,CB$3,実績!$AI$6:$AI$505,"&lt;="&amp;$A29,実績!$AJ$6:$AJ$505,"&gt;"&amp;$A29,実績!$AL$6:$AL$505,"○")&gt;0,1,0))</f>
        <v>0</v>
      </c>
      <c r="CC29" s="39" t="n">
        <f aca="false">IF(CC$4=0,0,IF(COUNTIFS(実績!$W$6:$W$505,CC$3,実績!$AI$6:$AI$505,"&lt;="&amp;$A29,実績!$AJ$6:$AJ$505,"&gt;"&amp;$A29,実績!$AL$6:$AL$505,"○")&gt;0,1,0))</f>
        <v>0</v>
      </c>
      <c r="CD29" s="39" t="n">
        <f aca="false">IF(CD$4=0,0,IF(COUNTIFS(実績!$W$6:$W$505,CD$3,実績!$AI$6:$AI$505,"&lt;="&amp;$A29,実績!$AJ$6:$AJ$505,"&gt;"&amp;$A29,実績!$AL$6:$AL$505,"○")&gt;0,1,0))</f>
        <v>0</v>
      </c>
      <c r="CE29" s="39" t="n">
        <f aca="false">IF(CE$4=0,0,IF(COUNTIFS(実績!$W$6:$W$505,CE$3,実績!$AI$6:$AI$505,"&lt;="&amp;$A29,実績!$AJ$6:$AJ$505,"&gt;"&amp;$A29,実績!$AL$6:$AL$505,"○")&gt;0,1,0))</f>
        <v>0</v>
      </c>
      <c r="CF29" s="39" t="n">
        <f aca="false">IF(CF$4=0,0,IF(COUNTIFS(実績!$W$6:$W$505,CF$3,実績!$AI$6:$AI$505,"&lt;="&amp;$A29,実績!$AJ$6:$AJ$505,"&gt;"&amp;$A29,実績!$AL$6:$AL$505,"○")&gt;0,1,0))</f>
        <v>0</v>
      </c>
      <c r="CG29" s="39" t="n">
        <f aca="false">IF(CG$4=0,0,IF(COUNTIFS(実績!$W$6:$W$505,CG$3,実績!$AI$6:$AI$505,"&lt;="&amp;$A29,実績!$AJ$6:$AJ$505,"&gt;"&amp;$A29,実績!$AL$6:$AL$505,"○")&gt;0,1,0))</f>
        <v>0</v>
      </c>
      <c r="CH29" s="39" t="n">
        <f aca="false">IF(CH$4=0,0,IF(COUNTIFS(実績!$W$6:$W$505,CH$3,実績!$AI$6:$AI$505,"&lt;="&amp;$A29,実績!$AJ$6:$AJ$505,"&gt;"&amp;$A29,実績!$AL$6:$AL$505,"○")&gt;0,1,0))</f>
        <v>0</v>
      </c>
      <c r="CI29" s="39" t="n">
        <f aca="false">IF(CI$4=0,0,IF(COUNTIFS(実績!$W$6:$W$505,CI$3,実績!$AI$6:$AI$505,"&lt;="&amp;$A29,実績!$AJ$6:$AJ$505,"&gt;"&amp;$A29,実績!$AL$6:$AL$505,"○")&gt;0,1,0))</f>
        <v>0</v>
      </c>
      <c r="CJ29" s="39" t="n">
        <f aca="false">IF(CJ$4=0,0,IF(COUNTIFS(実績!$W$6:$W$505,CJ$3,実績!$AI$6:$AI$505,"&lt;="&amp;$A29,実績!$AJ$6:$AJ$505,"&gt;"&amp;$A29,実績!$AL$6:$AL$505,"○")&gt;0,1,0))</f>
        <v>0</v>
      </c>
      <c r="CK29" s="39" t="n">
        <f aca="false">IF(CK$4=0,0,IF(COUNTIFS(実績!$W$6:$W$505,CK$3,実績!$AI$6:$AI$505,"&lt;="&amp;$A29,実績!$AJ$6:$AJ$505,"&gt;"&amp;$A29,実績!$AL$6:$AL$505,"○")&gt;0,1,0))</f>
        <v>0</v>
      </c>
      <c r="CL29" s="39" t="n">
        <f aca="false">IF(CL$4=0,0,IF(COUNTIFS(実績!$W$6:$W$505,CL$3,実績!$AI$6:$AI$505,"&lt;="&amp;$A29,実績!$AJ$6:$AJ$505,"&gt;"&amp;$A29,実績!$AL$6:$AL$505,"○")&gt;0,1,0))</f>
        <v>0</v>
      </c>
      <c r="CM29" s="39" t="n">
        <f aca="false">IF(CM$4=0,0,IF(COUNTIFS(実績!$W$6:$W$505,CM$3,実績!$AI$6:$AI$505,"&lt;="&amp;$A29,実績!$AJ$6:$AJ$505,"&gt;"&amp;$A29,実績!$AL$6:$AL$505,"○")&gt;0,1,0))</f>
        <v>0</v>
      </c>
      <c r="CN29" s="39" t="n">
        <f aca="false">IF(CN$4=0,0,IF(COUNTIFS(実績!$W$6:$W$505,CN$3,実績!$AI$6:$AI$505,"&lt;="&amp;$A29,実績!$AJ$6:$AJ$505,"&gt;"&amp;$A29,実績!$AL$6:$AL$505,"○")&gt;0,1,0))</f>
        <v>0</v>
      </c>
      <c r="CO29" s="39" t="n">
        <f aca="false">IF(CO$4=0,0,IF(COUNTIFS(実績!$W$6:$W$505,CO$3,実績!$AI$6:$AI$505,"&lt;="&amp;$A29,実績!$AJ$6:$AJ$505,"&gt;"&amp;$A29,実績!$AL$6:$AL$505,"○")&gt;0,1,0))</f>
        <v>0</v>
      </c>
      <c r="CP29" s="39" t="n">
        <f aca="false">IF(CP$4=0,0,IF(COUNTIFS(実績!$W$6:$W$505,CP$3,実績!$AI$6:$AI$505,"&lt;="&amp;$A29,実績!$AJ$6:$AJ$505,"&gt;"&amp;$A29,実績!$AL$6:$AL$505,"○")&gt;0,1,0))</f>
        <v>0</v>
      </c>
      <c r="CQ29" s="39" t="n">
        <f aca="false">IF(CQ$4=0,0,IF(COUNTIFS(実績!$W$6:$W$505,CQ$3,実績!$AI$6:$AI$505,"&lt;="&amp;$A29,実績!$AJ$6:$AJ$505,"&gt;"&amp;$A29,実績!$AL$6:$AL$505,"○")&gt;0,1,0))</f>
        <v>0</v>
      </c>
      <c r="CR29" s="39" t="n">
        <f aca="false">IF(CR$4=0,0,IF(COUNTIFS(実績!$W$6:$W$505,CR$3,実績!$AI$6:$AI$505,"&lt;="&amp;$A29,実績!$AJ$6:$AJ$505,"&gt;"&amp;$A29,実績!$AL$6:$AL$505,"○")&gt;0,1,0))</f>
        <v>0</v>
      </c>
      <c r="CS29" s="39" t="n">
        <f aca="false">IF(CS$4=0,0,IF(COUNTIFS(実績!$W$6:$W$505,CS$3,実績!$AI$6:$AI$505,"&lt;="&amp;$A29,実績!$AJ$6:$AJ$505,"&gt;"&amp;$A29,実績!$AL$6:$AL$505,"○")&gt;0,1,0))</f>
        <v>0</v>
      </c>
      <c r="CT29" s="39" t="n">
        <f aca="false">IF(CT$4=0,0,IF(COUNTIFS(実績!$W$6:$W$505,CT$3,実績!$AI$6:$AI$505,"&lt;="&amp;$A29,実績!$AJ$6:$AJ$505,"&gt;"&amp;$A29,実績!$AL$6:$AL$505,"○")&gt;0,1,0))</f>
        <v>0</v>
      </c>
      <c r="CU29" s="39" t="n">
        <f aca="false">IF(CU$4=0,0,IF(COUNTIFS(実績!$W$6:$W$505,CU$3,実績!$AI$6:$AI$505,"&lt;="&amp;$A29,実績!$AJ$6:$AJ$505,"&gt;"&amp;$A29,実績!$AL$6:$AL$505,"○")&gt;0,1,0))</f>
        <v>0</v>
      </c>
      <c r="CV29" s="39" t="n">
        <f aca="false">IF(CV$4=0,0,IF(COUNTIFS(実績!$W$6:$W$505,CV$3,実績!$AI$6:$AI$505,"&lt;="&amp;$A29,実績!$AJ$6:$AJ$505,"&gt;"&amp;$A29,実績!$AL$6:$AL$505,"○")&gt;0,1,0))</f>
        <v>0</v>
      </c>
      <c r="CW29" s="39" t="n">
        <f aca="false">IF(CW$4=0,0,IF(COUNTIFS(実績!$W$6:$W$505,CW$3,実績!$AI$6:$AI$505,"&lt;="&amp;$A29,実績!$AJ$6:$AJ$505,"&gt;"&amp;$A29,実績!$AL$6:$AL$505,"○")&gt;0,1,0))</f>
        <v>0</v>
      </c>
      <c r="CX29" s="39" t="n">
        <f aca="false">IF(CX$4=0,0,IF(COUNTIFS(実績!$W$6:$W$505,CX$3,実績!$AI$6:$AI$505,"&lt;="&amp;$A29,実績!$AJ$6:$AJ$505,"&gt;"&amp;$A29,実績!$AL$6:$AL$505,"○")&gt;0,1,0))</f>
        <v>0</v>
      </c>
      <c r="CY29" s="39" t="n">
        <f aca="false">IF(CY$4=0,0,IF(COUNTIFS(実績!$W$6:$W$505,CY$3,実績!$AI$6:$AI$505,"&lt;="&amp;$A29,実績!$AJ$6:$AJ$505,"&gt;"&amp;$A29,実績!$AL$6:$AL$505,"○")&gt;0,1,0))</f>
        <v>0</v>
      </c>
      <c r="CZ29" s="39" t="n">
        <f aca="false">IF(CZ$4=0,0,IF(COUNTIFS(実績!$W$6:$W$505,CZ$3,実績!$AI$6:$AI$505,"&lt;="&amp;$A29,実績!$AJ$6:$AJ$505,"&gt;"&amp;$A29,実績!$AL$6:$AL$505,"○")&gt;0,1,0))</f>
        <v>0</v>
      </c>
      <c r="DA29" s="39" t="n">
        <f aca="false">IF(DA$4=0,0,IF(COUNTIFS(実績!$W$6:$W$505,DA$3,実績!$AI$6:$AI$505,"&lt;="&amp;$A29,実績!$AJ$6:$AJ$505,"&gt;"&amp;$A29,実績!$AL$6:$AL$505,"○")&gt;0,1,0))</f>
        <v>0</v>
      </c>
      <c r="DB29" s="39" t="n">
        <f aca="false">IF(DB$4=0,0,IF(COUNTIFS(実績!$W$6:$W$505,DB$3,実績!$AI$6:$AI$505,"&lt;="&amp;$A29,実績!$AJ$6:$AJ$505,"&gt;"&amp;$A29,実績!$AL$6:$AL$505,"○")&gt;0,1,0))</f>
        <v>0</v>
      </c>
      <c r="DC29" s="39" t="n">
        <f aca="false">IF(DC$4=0,0,IF(COUNTIFS(実績!$W$6:$W$505,DC$3,実績!$AI$6:$AI$505,"&lt;="&amp;$A29,実績!$AJ$6:$AJ$505,"&gt;"&amp;$A29,実績!$AL$6:$AL$505,"○")&gt;0,1,0))</f>
        <v>0</v>
      </c>
      <c r="DD29" s="39" t="n">
        <f aca="false">IF(DD$4=0,0,IF(COUNTIFS(実績!$W$6:$W$505,DD$3,実績!$AI$6:$AI$505,"&lt;="&amp;$A29,実績!$AJ$6:$AJ$505,"&gt;"&amp;$A29,実績!$AL$6:$AL$505,"○")&gt;0,1,0))</f>
        <v>0</v>
      </c>
      <c r="DE29" s="39" t="n">
        <f aca="false">IF(DE$4=0,0,IF(COUNTIFS(実績!$W$6:$W$505,DE$3,実績!$AI$6:$AI$505,"&lt;="&amp;$A29,実績!$AJ$6:$AJ$505,"&gt;"&amp;$A29,実績!$AL$6:$AL$505,"○")&gt;0,1,0))</f>
        <v>0</v>
      </c>
      <c r="DF29" s="39" t="n">
        <f aca="false">IF(DF$4=0,0,IF(COUNTIFS(実績!$W$6:$W$505,DF$3,実績!$AI$6:$AI$505,"&lt;="&amp;$A29,実績!$AJ$6:$AJ$505,"&gt;"&amp;$A29,実績!$AL$6:$AL$505,"○")&gt;0,1,0))</f>
        <v>0</v>
      </c>
      <c r="DG29" s="39" t="n">
        <f aca="false">IF(DG$4=0,0,IF(COUNTIFS(実績!$W$6:$W$505,DG$3,実績!$AI$6:$AI$505,"&lt;="&amp;$A29,実績!$AJ$6:$AJ$505,"&gt;"&amp;$A29,実績!$AL$6:$AL$505,"○")&gt;0,1,0))</f>
        <v>0</v>
      </c>
      <c r="DH29" s="39" t="n">
        <f aca="false">IF(DH$4=0,0,IF(COUNTIFS(実績!$W$6:$W$505,DH$3,実績!$AI$6:$AI$505,"&lt;="&amp;$A29,実績!$AJ$6:$AJ$505,"&gt;"&amp;$A29,実績!$AL$6:$AL$505,"○")&gt;0,1,0))</f>
        <v>0</v>
      </c>
      <c r="DI29" s="39" t="n">
        <f aca="false">IF(DI$4=0,0,IF(COUNTIFS(実績!$W$6:$W$505,DI$3,実績!$AI$6:$AI$505,"&lt;="&amp;$A29,実績!$AJ$6:$AJ$505,"&gt;"&amp;$A29,実績!$AL$6:$AL$505,"○")&gt;0,1,0))</f>
        <v>0</v>
      </c>
      <c r="DJ29" s="39" t="n">
        <f aca="false">IF(DJ$4=0,0,IF(COUNTIFS(実績!$W$6:$W$505,DJ$3,実績!$AI$6:$AI$505,"&lt;="&amp;$A29,実績!$AJ$6:$AJ$505,"&gt;"&amp;$A29,実績!$AL$6:$AL$505,"○")&gt;0,1,0))</f>
        <v>0</v>
      </c>
      <c r="DK29" s="39" t="n">
        <f aca="false">IF(DK$4=0,0,IF(COUNTIFS(実績!$W$6:$W$505,DK$3,実績!$AI$6:$AI$505,"&lt;="&amp;$A29,実績!$AJ$6:$AJ$505,"&gt;"&amp;$A29,実績!$AL$6:$AL$505,"○")&gt;0,1,0))</f>
        <v>0</v>
      </c>
      <c r="DL29" s="39" t="n">
        <f aca="false">IF(DL$4=0,0,IF(COUNTIFS(実績!$W$6:$W$505,DL$3,実績!$AI$6:$AI$505,"&lt;="&amp;$A29,実績!$AJ$6:$AJ$505,"&gt;"&amp;$A29,実績!$AL$6:$AL$505,"○")&gt;0,1,0))</f>
        <v>0</v>
      </c>
      <c r="DM29" s="39" t="n">
        <f aca="false">IF(DM$4=0,0,IF(COUNTIFS(実績!$W$6:$W$505,DM$3,実績!$AI$6:$AI$505,"&lt;="&amp;$A29,実績!$AJ$6:$AJ$505,"&gt;"&amp;$A29,実績!$AL$6:$AL$505,"○")&gt;0,1,0))</f>
        <v>0</v>
      </c>
      <c r="DN29" s="39" t="n">
        <f aca="false">IF(DN$4=0,0,IF(COUNTIFS(実績!$W$6:$W$505,DN$3,実績!$AI$6:$AI$505,"&lt;="&amp;$A29,実績!$AJ$6:$AJ$505,"&gt;"&amp;$A29,実績!$AL$6:$AL$505,"○")&gt;0,1,0))</f>
        <v>0</v>
      </c>
      <c r="DO29" s="39" t="n">
        <f aca="false">IF(DO$4=0,0,IF(COUNTIFS(実績!$W$6:$W$505,DO$3,実績!$AI$6:$AI$505,"&lt;="&amp;$A29,実績!$AJ$6:$AJ$505,"&gt;"&amp;$A29,実績!$AL$6:$AL$505,"○")&gt;0,1,0))</f>
        <v>0</v>
      </c>
      <c r="DP29" s="39" t="n">
        <f aca="false">IF(DP$4=0,0,IF(COUNTIFS(実績!$W$6:$W$505,DP$3,実績!$AI$6:$AI$505,"&lt;="&amp;$A29,実績!$AJ$6:$AJ$505,"&gt;"&amp;$A29,実績!$AL$6:$AL$505,"○")&gt;0,1,0))</f>
        <v>0</v>
      </c>
      <c r="DQ29" s="39" t="n">
        <f aca="false">IF(DQ$4=0,0,IF(COUNTIFS(実績!$W$6:$W$505,DQ$3,実績!$AI$6:$AI$505,"&lt;="&amp;$A29,実績!$AJ$6:$AJ$505,"&gt;"&amp;$A29,実績!$AL$6:$AL$505,"○")&gt;0,1,0))</f>
        <v>0</v>
      </c>
      <c r="DR29" s="39" t="n">
        <f aca="false">IF(DR$4=0,0,IF(COUNTIFS(実績!$W$6:$W$505,DR$3,実績!$AI$6:$AI$505,"&lt;="&amp;$A29,実績!$AJ$6:$AJ$505,"&gt;"&amp;$A29,実績!$AL$6:$AL$505,"○")&gt;0,1,0))</f>
        <v>0</v>
      </c>
      <c r="DS29" s="39" t="n">
        <f aca="false">SUM(C29:DR29)</f>
        <v>0</v>
      </c>
    </row>
    <row r="30" customFormat="false" ht="15" hidden="false" customHeight="false" outlineLevel="0" collapsed="false">
      <c r="A30" s="0" t="n">
        <v>120</v>
      </c>
      <c r="B30" s="38" t="n">
        <f aca="false">A30/1440</f>
        <v>0.0833333333333333</v>
      </c>
      <c r="C30" s="39" t="n">
        <f aca="false">IF(C$4=0,0,IF(COUNTIFS(実績!$W$6:$W$505,C$3,実績!$AI$6:$AI$505,"&lt;="&amp;$A30,実績!$AJ$6:$AJ$505,"&gt;"&amp;$A30,実績!$AL$6:$AL$505,"○")&gt;0,1,0))</f>
        <v>0</v>
      </c>
      <c r="D30" s="39" t="n">
        <f aca="false">IF(D$4=0,0,IF(COUNTIFS(実績!$W$6:$W$505,D$3,実績!$AI$6:$AI$505,"&lt;="&amp;$A30,実績!$AJ$6:$AJ$505,"&gt;"&amp;$A30,実績!$AL$6:$AL$505,"○")&gt;0,1,0))</f>
        <v>0</v>
      </c>
      <c r="E30" s="39" t="n">
        <f aca="false">IF(E$4=0,0,IF(COUNTIFS(実績!$W$6:$W$505,E$3,実績!$AI$6:$AI$505,"&lt;="&amp;$A30,実績!$AJ$6:$AJ$505,"&gt;"&amp;$A30,実績!$AL$6:$AL$505,"○")&gt;0,1,0))</f>
        <v>0</v>
      </c>
      <c r="F30" s="39" t="n">
        <f aca="false">IF(F$4=0,0,IF(COUNTIFS(実績!$W$6:$W$505,F$3,実績!$AI$6:$AI$505,"&lt;="&amp;$A30,実績!$AJ$6:$AJ$505,"&gt;"&amp;$A30,実績!$AL$6:$AL$505,"○")&gt;0,1,0))</f>
        <v>0</v>
      </c>
      <c r="G30" s="39" t="n">
        <f aca="false">IF(G$4=0,0,IF(COUNTIFS(実績!$W$6:$W$505,G$3,実績!$AI$6:$AI$505,"&lt;="&amp;$A30,実績!$AJ$6:$AJ$505,"&gt;"&amp;$A30,実績!$AL$6:$AL$505,"○")&gt;0,1,0))</f>
        <v>0</v>
      </c>
      <c r="H30" s="39" t="n">
        <f aca="false">IF(H$4=0,0,IF(COUNTIFS(実績!$W$6:$W$505,H$3,実績!$AI$6:$AI$505,"&lt;="&amp;$A30,実績!$AJ$6:$AJ$505,"&gt;"&amp;$A30,実績!$AL$6:$AL$505,"○")&gt;0,1,0))</f>
        <v>0</v>
      </c>
      <c r="I30" s="39" t="n">
        <f aca="false">IF(I$4=0,0,IF(COUNTIFS(実績!$W$6:$W$505,I$3,実績!$AI$6:$AI$505,"&lt;="&amp;$A30,実績!$AJ$6:$AJ$505,"&gt;"&amp;$A30,実績!$AL$6:$AL$505,"○")&gt;0,1,0))</f>
        <v>0</v>
      </c>
      <c r="J30" s="39" t="n">
        <f aca="false">IF(J$4=0,0,IF(COUNTIFS(実績!$W$6:$W$505,J$3,実績!$AI$6:$AI$505,"&lt;="&amp;$A30,実績!$AJ$6:$AJ$505,"&gt;"&amp;$A30,実績!$AL$6:$AL$505,"○")&gt;0,1,0))</f>
        <v>0</v>
      </c>
      <c r="K30" s="39" t="n">
        <f aca="false">IF(K$4=0,0,IF(COUNTIFS(実績!$W$6:$W$505,K$3,実績!$AI$6:$AI$505,"&lt;="&amp;$A30,実績!$AJ$6:$AJ$505,"&gt;"&amp;$A30,実績!$AL$6:$AL$505,"○")&gt;0,1,0))</f>
        <v>0</v>
      </c>
      <c r="L30" s="39" t="n">
        <f aca="false">IF(L$4=0,0,IF(COUNTIFS(実績!$W$6:$W$505,L$3,実績!$AI$6:$AI$505,"&lt;="&amp;$A30,実績!$AJ$6:$AJ$505,"&gt;"&amp;$A30,実績!$AL$6:$AL$505,"○")&gt;0,1,0))</f>
        <v>0</v>
      </c>
      <c r="M30" s="39" t="n">
        <f aca="false">IF(M$4=0,0,IF(COUNTIFS(実績!$W$6:$W$505,M$3,実績!$AI$6:$AI$505,"&lt;="&amp;$A30,実績!$AJ$6:$AJ$505,"&gt;"&amp;$A30,実績!$AL$6:$AL$505,"○")&gt;0,1,0))</f>
        <v>0</v>
      </c>
      <c r="N30" s="39" t="n">
        <f aca="false">IF(N$4=0,0,IF(COUNTIFS(実績!$W$6:$W$505,N$3,実績!$AI$6:$AI$505,"&lt;="&amp;$A30,実績!$AJ$6:$AJ$505,"&gt;"&amp;$A30,実績!$AL$6:$AL$505,"○")&gt;0,1,0))</f>
        <v>0</v>
      </c>
      <c r="O30" s="39" t="n">
        <f aca="false">IF(O$4=0,0,IF(COUNTIFS(実績!$W$6:$W$505,O$3,実績!$AI$6:$AI$505,"&lt;="&amp;$A30,実績!$AJ$6:$AJ$505,"&gt;"&amp;$A30,実績!$AL$6:$AL$505,"○")&gt;0,1,0))</f>
        <v>0</v>
      </c>
      <c r="P30" s="39" t="n">
        <f aca="false">IF(P$4=0,0,IF(COUNTIFS(実績!$W$6:$W$505,P$3,実績!$AI$6:$AI$505,"&lt;="&amp;$A30,実績!$AJ$6:$AJ$505,"&gt;"&amp;$A30,実績!$AL$6:$AL$505,"○")&gt;0,1,0))</f>
        <v>0</v>
      </c>
      <c r="Q30" s="39" t="n">
        <f aca="false">IF(Q$4=0,0,IF(COUNTIFS(実績!$W$6:$W$505,Q$3,実績!$AI$6:$AI$505,"&lt;="&amp;$A30,実績!$AJ$6:$AJ$505,"&gt;"&amp;$A30,実績!$AL$6:$AL$505,"○")&gt;0,1,0))</f>
        <v>0</v>
      </c>
      <c r="R30" s="39" t="n">
        <f aca="false">IF(R$4=0,0,IF(COUNTIFS(実績!$W$6:$W$505,R$3,実績!$AI$6:$AI$505,"&lt;="&amp;$A30,実績!$AJ$6:$AJ$505,"&gt;"&amp;$A30,実績!$AL$6:$AL$505,"○")&gt;0,1,0))</f>
        <v>0</v>
      </c>
      <c r="S30" s="39" t="n">
        <f aca="false">IF(S$4=0,0,IF(COUNTIFS(実績!$W$6:$W$505,S$3,実績!$AI$6:$AI$505,"&lt;="&amp;$A30,実績!$AJ$6:$AJ$505,"&gt;"&amp;$A30,実績!$AL$6:$AL$505,"○")&gt;0,1,0))</f>
        <v>0</v>
      </c>
      <c r="T30" s="39" t="n">
        <f aca="false">IF(T$4=0,0,IF(COUNTIFS(実績!$W$6:$W$505,T$3,実績!$AI$6:$AI$505,"&lt;="&amp;$A30,実績!$AJ$6:$AJ$505,"&gt;"&amp;$A30,実績!$AL$6:$AL$505,"○")&gt;0,1,0))</f>
        <v>0</v>
      </c>
      <c r="U30" s="39" t="n">
        <f aca="false">IF(U$4=0,0,IF(COUNTIFS(実績!$W$6:$W$505,U$3,実績!$AI$6:$AI$505,"&lt;="&amp;$A30,実績!$AJ$6:$AJ$505,"&gt;"&amp;$A30,実績!$AL$6:$AL$505,"○")&gt;0,1,0))</f>
        <v>0</v>
      </c>
      <c r="V30" s="39" t="n">
        <f aca="false">IF(V$4=0,0,IF(COUNTIFS(実績!$W$6:$W$505,V$3,実績!$AI$6:$AI$505,"&lt;="&amp;$A30,実績!$AJ$6:$AJ$505,"&gt;"&amp;$A30,実績!$AL$6:$AL$505,"○")&gt;0,1,0))</f>
        <v>0</v>
      </c>
      <c r="W30" s="39" t="n">
        <f aca="false">IF(W$4=0,0,IF(COUNTIFS(実績!$W$6:$W$505,W$3,実績!$AI$6:$AI$505,"&lt;="&amp;$A30,実績!$AJ$6:$AJ$505,"&gt;"&amp;$A30,実績!$AL$6:$AL$505,"○")&gt;0,1,0))</f>
        <v>0</v>
      </c>
      <c r="X30" s="39" t="n">
        <f aca="false">IF(X$4=0,0,IF(COUNTIFS(実績!$W$6:$W$505,X$3,実績!$AI$6:$AI$505,"&lt;="&amp;$A30,実績!$AJ$6:$AJ$505,"&gt;"&amp;$A30,実績!$AL$6:$AL$505,"○")&gt;0,1,0))</f>
        <v>0</v>
      </c>
      <c r="Y30" s="39" t="n">
        <f aca="false">IF(Y$4=0,0,IF(COUNTIFS(実績!$W$6:$W$505,Y$3,実績!$AI$6:$AI$505,"&lt;="&amp;$A30,実績!$AJ$6:$AJ$505,"&gt;"&amp;$A30,実績!$AL$6:$AL$505,"○")&gt;0,1,0))</f>
        <v>0</v>
      </c>
      <c r="Z30" s="39" t="n">
        <f aca="false">IF(Z$4=0,0,IF(COUNTIFS(実績!$W$6:$W$505,Z$3,実績!$AI$6:$AI$505,"&lt;="&amp;$A30,実績!$AJ$6:$AJ$505,"&gt;"&amp;$A30,実績!$AL$6:$AL$505,"○")&gt;0,1,0))</f>
        <v>0</v>
      </c>
      <c r="AA30" s="39" t="n">
        <f aca="false">IF(AA$4=0,0,IF(COUNTIFS(実績!$W$6:$W$505,AA$3,実績!$AI$6:$AI$505,"&lt;="&amp;$A30,実績!$AJ$6:$AJ$505,"&gt;"&amp;$A30,実績!$AL$6:$AL$505,"○")&gt;0,1,0))</f>
        <v>0</v>
      </c>
      <c r="AB30" s="39" t="n">
        <f aca="false">IF(AB$4=0,0,IF(COUNTIFS(実績!$W$6:$W$505,AB$3,実績!$AI$6:$AI$505,"&lt;="&amp;$A30,実績!$AJ$6:$AJ$505,"&gt;"&amp;$A30,実績!$AL$6:$AL$505,"○")&gt;0,1,0))</f>
        <v>0</v>
      </c>
      <c r="AC30" s="39" t="n">
        <f aca="false">IF(AC$4=0,0,IF(COUNTIFS(実績!$W$6:$W$505,AC$3,実績!$AI$6:$AI$505,"&lt;="&amp;$A30,実績!$AJ$6:$AJ$505,"&gt;"&amp;$A30,実績!$AL$6:$AL$505,"○")&gt;0,1,0))</f>
        <v>0</v>
      </c>
      <c r="AD30" s="39" t="n">
        <f aca="false">IF(AD$4=0,0,IF(COUNTIFS(実績!$W$6:$W$505,AD$3,実績!$AI$6:$AI$505,"&lt;="&amp;$A30,実績!$AJ$6:$AJ$505,"&gt;"&amp;$A30,実績!$AL$6:$AL$505,"○")&gt;0,1,0))</f>
        <v>0</v>
      </c>
      <c r="AE30" s="39" t="n">
        <f aca="false">IF(AE$4=0,0,IF(COUNTIFS(実績!$W$6:$W$505,AE$3,実績!$AI$6:$AI$505,"&lt;="&amp;$A30,実績!$AJ$6:$AJ$505,"&gt;"&amp;$A30,実績!$AL$6:$AL$505,"○")&gt;0,1,0))</f>
        <v>0</v>
      </c>
      <c r="AF30" s="39" t="n">
        <f aca="false">IF(AF$4=0,0,IF(COUNTIFS(実績!$W$6:$W$505,AF$3,実績!$AI$6:$AI$505,"&lt;="&amp;$A30,実績!$AJ$6:$AJ$505,"&gt;"&amp;$A30,実績!$AL$6:$AL$505,"○")&gt;0,1,0))</f>
        <v>0</v>
      </c>
      <c r="AG30" s="39" t="n">
        <f aca="false">IF(AG$4=0,0,IF(COUNTIFS(実績!$W$6:$W$505,AG$3,実績!$AI$6:$AI$505,"&lt;="&amp;$A30,実績!$AJ$6:$AJ$505,"&gt;"&amp;$A30,実績!$AL$6:$AL$505,"○")&gt;0,1,0))</f>
        <v>0</v>
      </c>
      <c r="AH30" s="39" t="n">
        <f aca="false">IF(AH$4=0,0,IF(COUNTIFS(実績!$W$6:$W$505,AH$3,実績!$AI$6:$AI$505,"&lt;="&amp;$A30,実績!$AJ$6:$AJ$505,"&gt;"&amp;$A30,実績!$AL$6:$AL$505,"○")&gt;0,1,0))</f>
        <v>0</v>
      </c>
      <c r="AI30" s="39" t="n">
        <f aca="false">IF(AI$4=0,0,IF(COUNTIFS(実績!$W$6:$W$505,AI$3,実績!$AI$6:$AI$505,"&lt;="&amp;$A30,実績!$AJ$6:$AJ$505,"&gt;"&amp;$A30,実績!$AL$6:$AL$505,"○")&gt;0,1,0))</f>
        <v>0</v>
      </c>
      <c r="AJ30" s="39" t="n">
        <f aca="false">IF(AJ$4=0,0,IF(COUNTIFS(実績!$W$6:$W$505,AJ$3,実績!$AI$6:$AI$505,"&lt;="&amp;$A30,実績!$AJ$6:$AJ$505,"&gt;"&amp;$A30,実績!$AL$6:$AL$505,"○")&gt;0,1,0))</f>
        <v>0</v>
      </c>
      <c r="AK30" s="39" t="n">
        <f aca="false">IF(AK$4=0,0,IF(COUNTIFS(実績!$W$6:$W$505,AK$3,実績!$AI$6:$AI$505,"&lt;="&amp;$A30,実績!$AJ$6:$AJ$505,"&gt;"&amp;$A30,実績!$AL$6:$AL$505,"○")&gt;0,1,0))</f>
        <v>0</v>
      </c>
      <c r="AL30" s="39" t="n">
        <f aca="false">IF(AL$4=0,0,IF(COUNTIFS(実績!$W$6:$W$505,AL$3,実績!$AI$6:$AI$505,"&lt;="&amp;$A30,実績!$AJ$6:$AJ$505,"&gt;"&amp;$A30,実績!$AL$6:$AL$505,"○")&gt;0,1,0))</f>
        <v>0</v>
      </c>
      <c r="AM30" s="39" t="n">
        <f aca="false">IF(AM$4=0,0,IF(COUNTIFS(実績!$W$6:$W$505,AM$3,実績!$AI$6:$AI$505,"&lt;="&amp;$A30,実績!$AJ$6:$AJ$505,"&gt;"&amp;$A30,実績!$AL$6:$AL$505,"○")&gt;0,1,0))</f>
        <v>0</v>
      </c>
      <c r="AN30" s="39" t="n">
        <f aca="false">IF(AN$4=0,0,IF(COUNTIFS(実績!$W$6:$W$505,AN$3,実績!$AI$6:$AI$505,"&lt;="&amp;$A30,実績!$AJ$6:$AJ$505,"&gt;"&amp;$A30,実績!$AL$6:$AL$505,"○")&gt;0,1,0))</f>
        <v>0</v>
      </c>
      <c r="AO30" s="39" t="n">
        <f aca="false">IF(AO$4=0,0,IF(COUNTIFS(実績!$W$6:$W$505,AO$3,実績!$AI$6:$AI$505,"&lt;="&amp;$A30,実績!$AJ$6:$AJ$505,"&gt;"&amp;$A30,実績!$AL$6:$AL$505,"○")&gt;0,1,0))</f>
        <v>0</v>
      </c>
      <c r="AP30" s="39" t="n">
        <f aca="false">IF(AP$4=0,0,IF(COUNTIFS(実績!$W$6:$W$505,AP$3,実績!$AI$6:$AI$505,"&lt;="&amp;$A30,実績!$AJ$6:$AJ$505,"&gt;"&amp;$A30,実績!$AL$6:$AL$505,"○")&gt;0,1,0))</f>
        <v>0</v>
      </c>
      <c r="AQ30" s="39" t="n">
        <f aca="false">IF(AQ$4=0,0,IF(COUNTIFS(実績!$W$6:$W$505,AQ$3,実績!$AI$6:$AI$505,"&lt;="&amp;$A30,実績!$AJ$6:$AJ$505,"&gt;"&amp;$A30,実績!$AL$6:$AL$505,"○")&gt;0,1,0))</f>
        <v>0</v>
      </c>
      <c r="AR30" s="39" t="n">
        <f aca="false">IF(AR$4=0,0,IF(COUNTIFS(実績!$W$6:$W$505,AR$3,実績!$AI$6:$AI$505,"&lt;="&amp;$A30,実績!$AJ$6:$AJ$505,"&gt;"&amp;$A30,実績!$AL$6:$AL$505,"○")&gt;0,1,0))</f>
        <v>0</v>
      </c>
      <c r="AS30" s="39" t="n">
        <f aca="false">IF(AS$4=0,0,IF(COUNTIFS(実績!$W$6:$W$505,AS$3,実績!$AI$6:$AI$505,"&lt;="&amp;$A30,実績!$AJ$6:$AJ$505,"&gt;"&amp;$A30,実績!$AL$6:$AL$505,"○")&gt;0,1,0))</f>
        <v>0</v>
      </c>
      <c r="AT30" s="39" t="n">
        <f aca="false">IF(AT$4=0,0,IF(COUNTIFS(実績!$W$6:$W$505,AT$3,実績!$AI$6:$AI$505,"&lt;="&amp;$A30,実績!$AJ$6:$AJ$505,"&gt;"&amp;$A30,実績!$AL$6:$AL$505,"○")&gt;0,1,0))</f>
        <v>0</v>
      </c>
      <c r="AU30" s="39" t="n">
        <f aca="false">IF(AU$4=0,0,IF(COUNTIFS(実績!$W$6:$W$505,AU$3,実績!$AI$6:$AI$505,"&lt;="&amp;$A30,実績!$AJ$6:$AJ$505,"&gt;"&amp;$A30,実績!$AL$6:$AL$505,"○")&gt;0,1,0))</f>
        <v>0</v>
      </c>
      <c r="AV30" s="39" t="n">
        <f aca="false">IF(AV$4=0,0,IF(COUNTIFS(実績!$W$6:$W$505,AV$3,実績!$AI$6:$AI$505,"&lt;="&amp;$A30,実績!$AJ$6:$AJ$505,"&gt;"&amp;$A30,実績!$AL$6:$AL$505,"○")&gt;0,1,0))</f>
        <v>0</v>
      </c>
      <c r="AW30" s="39" t="n">
        <f aca="false">IF(AW$4=0,0,IF(COUNTIFS(実績!$W$6:$W$505,AW$3,実績!$AI$6:$AI$505,"&lt;="&amp;$A30,実績!$AJ$6:$AJ$505,"&gt;"&amp;$A30,実績!$AL$6:$AL$505,"○")&gt;0,1,0))</f>
        <v>0</v>
      </c>
      <c r="AX30" s="39" t="n">
        <f aca="false">IF(AX$4=0,0,IF(COUNTIFS(実績!$W$6:$W$505,AX$3,実績!$AI$6:$AI$505,"&lt;="&amp;$A30,実績!$AJ$6:$AJ$505,"&gt;"&amp;$A30,実績!$AL$6:$AL$505,"○")&gt;0,1,0))</f>
        <v>0</v>
      </c>
      <c r="AY30" s="39" t="n">
        <f aca="false">IF(AY$4=0,0,IF(COUNTIFS(実績!$W$6:$W$505,AY$3,実績!$AI$6:$AI$505,"&lt;="&amp;$A30,実績!$AJ$6:$AJ$505,"&gt;"&amp;$A30,実績!$AL$6:$AL$505,"○")&gt;0,1,0))</f>
        <v>0</v>
      </c>
      <c r="AZ30" s="39" t="n">
        <f aca="false">IF(AZ$4=0,0,IF(COUNTIFS(実績!$W$6:$W$505,AZ$3,実績!$AI$6:$AI$505,"&lt;="&amp;$A30,実績!$AJ$6:$AJ$505,"&gt;"&amp;$A30,実績!$AL$6:$AL$505,"○")&gt;0,1,0))</f>
        <v>0</v>
      </c>
      <c r="BA30" s="39" t="n">
        <f aca="false">IF(BA$4=0,0,IF(COUNTIFS(実績!$W$6:$W$505,BA$3,実績!$AI$6:$AI$505,"&lt;="&amp;$A30,実績!$AJ$6:$AJ$505,"&gt;"&amp;$A30,実績!$AL$6:$AL$505,"○")&gt;0,1,0))</f>
        <v>0</v>
      </c>
      <c r="BB30" s="39" t="n">
        <f aca="false">IF(BB$4=0,0,IF(COUNTIFS(実績!$W$6:$W$505,BB$3,実績!$AI$6:$AI$505,"&lt;="&amp;$A30,実績!$AJ$6:$AJ$505,"&gt;"&amp;$A30,実績!$AL$6:$AL$505,"○")&gt;0,1,0))</f>
        <v>0</v>
      </c>
      <c r="BC30" s="39" t="n">
        <f aca="false">IF(BC$4=0,0,IF(COUNTIFS(実績!$W$6:$W$505,BC$3,実績!$AI$6:$AI$505,"&lt;="&amp;$A30,実績!$AJ$6:$AJ$505,"&gt;"&amp;$A30,実績!$AL$6:$AL$505,"○")&gt;0,1,0))</f>
        <v>0</v>
      </c>
      <c r="BD30" s="39" t="n">
        <f aca="false">IF(BD$4=0,0,IF(COUNTIFS(実績!$W$6:$W$505,BD$3,実績!$AI$6:$AI$505,"&lt;="&amp;$A30,実績!$AJ$6:$AJ$505,"&gt;"&amp;$A30,実績!$AL$6:$AL$505,"○")&gt;0,1,0))</f>
        <v>0</v>
      </c>
      <c r="BE30" s="39" t="n">
        <f aca="false">IF(BE$4=0,0,IF(COUNTIFS(実績!$W$6:$W$505,BE$3,実績!$AI$6:$AI$505,"&lt;="&amp;$A30,実績!$AJ$6:$AJ$505,"&gt;"&amp;$A30,実績!$AL$6:$AL$505,"○")&gt;0,1,0))</f>
        <v>0</v>
      </c>
      <c r="BF30" s="39" t="n">
        <f aca="false">IF(BF$4=0,0,IF(COUNTIFS(実績!$W$6:$W$505,BF$3,実績!$AI$6:$AI$505,"&lt;="&amp;$A30,実績!$AJ$6:$AJ$505,"&gt;"&amp;$A30,実績!$AL$6:$AL$505,"○")&gt;0,1,0))</f>
        <v>0</v>
      </c>
      <c r="BG30" s="39" t="n">
        <f aca="false">IF(BG$4=0,0,IF(COUNTIFS(実績!$W$6:$W$505,BG$3,実績!$AI$6:$AI$505,"&lt;="&amp;$A30,実績!$AJ$6:$AJ$505,"&gt;"&amp;$A30,実績!$AL$6:$AL$505,"○")&gt;0,1,0))</f>
        <v>0</v>
      </c>
      <c r="BH30" s="39" t="n">
        <f aca="false">IF(BH$4=0,0,IF(COUNTIFS(実績!$W$6:$W$505,BH$3,実績!$AI$6:$AI$505,"&lt;="&amp;$A30,実績!$AJ$6:$AJ$505,"&gt;"&amp;$A30,実績!$AL$6:$AL$505,"○")&gt;0,1,0))</f>
        <v>0</v>
      </c>
      <c r="BI30" s="39" t="n">
        <f aca="false">IF(BI$4=0,0,IF(COUNTIFS(実績!$W$6:$W$505,BI$3,実績!$AI$6:$AI$505,"&lt;="&amp;$A30,実績!$AJ$6:$AJ$505,"&gt;"&amp;$A30,実績!$AL$6:$AL$505,"○")&gt;0,1,0))</f>
        <v>0</v>
      </c>
      <c r="BJ30" s="39" t="n">
        <f aca="false">IF(BJ$4=0,0,IF(COUNTIFS(実績!$W$6:$W$505,BJ$3,実績!$AI$6:$AI$505,"&lt;="&amp;$A30,実績!$AJ$6:$AJ$505,"&gt;"&amp;$A30,実績!$AL$6:$AL$505,"○")&gt;0,1,0))</f>
        <v>0</v>
      </c>
      <c r="BK30" s="39" t="n">
        <f aca="false">IF(BK$4=0,0,IF(COUNTIFS(実績!$W$6:$W$505,BK$3,実績!$AI$6:$AI$505,"&lt;="&amp;$A30,実績!$AJ$6:$AJ$505,"&gt;"&amp;$A30,実績!$AL$6:$AL$505,"○")&gt;0,1,0))</f>
        <v>0</v>
      </c>
      <c r="BL30" s="39" t="n">
        <f aca="false">IF(BL$4=0,0,IF(COUNTIFS(実績!$W$6:$W$505,BL$3,実績!$AI$6:$AI$505,"&lt;="&amp;$A30,実績!$AJ$6:$AJ$505,"&gt;"&amp;$A30,実績!$AL$6:$AL$505,"○")&gt;0,1,0))</f>
        <v>0</v>
      </c>
      <c r="BM30" s="39" t="n">
        <f aca="false">IF(BM$4=0,0,IF(COUNTIFS(実績!$W$6:$W$505,BM$3,実績!$AI$6:$AI$505,"&lt;="&amp;$A30,実績!$AJ$6:$AJ$505,"&gt;"&amp;$A30,実績!$AL$6:$AL$505,"○")&gt;0,1,0))</f>
        <v>0</v>
      </c>
      <c r="BN30" s="39" t="n">
        <f aca="false">IF(BN$4=0,0,IF(COUNTIFS(実績!$W$6:$W$505,BN$3,実績!$AI$6:$AI$505,"&lt;="&amp;$A30,実績!$AJ$6:$AJ$505,"&gt;"&amp;$A30,実績!$AL$6:$AL$505,"○")&gt;0,1,0))</f>
        <v>0</v>
      </c>
      <c r="BO30" s="39" t="n">
        <f aca="false">IF(BO$4=0,0,IF(COUNTIFS(実績!$W$6:$W$505,BO$3,実績!$AI$6:$AI$505,"&lt;="&amp;$A30,実績!$AJ$6:$AJ$505,"&gt;"&amp;$A30,実績!$AL$6:$AL$505,"○")&gt;0,1,0))</f>
        <v>0</v>
      </c>
      <c r="BP30" s="39" t="n">
        <f aca="false">IF(BP$4=0,0,IF(COUNTIFS(実績!$W$6:$W$505,BP$3,実績!$AI$6:$AI$505,"&lt;="&amp;$A30,実績!$AJ$6:$AJ$505,"&gt;"&amp;$A30,実績!$AL$6:$AL$505,"○")&gt;0,1,0))</f>
        <v>0</v>
      </c>
      <c r="BQ30" s="39" t="n">
        <f aca="false">IF(BQ$4=0,0,IF(COUNTIFS(実績!$W$6:$W$505,BQ$3,実績!$AI$6:$AI$505,"&lt;="&amp;$A30,実績!$AJ$6:$AJ$505,"&gt;"&amp;$A30,実績!$AL$6:$AL$505,"○")&gt;0,1,0))</f>
        <v>0</v>
      </c>
      <c r="BR30" s="39" t="n">
        <f aca="false">IF(BR$4=0,0,IF(COUNTIFS(実績!$W$6:$W$505,BR$3,実績!$AI$6:$AI$505,"&lt;="&amp;$A30,実績!$AJ$6:$AJ$505,"&gt;"&amp;$A30,実績!$AL$6:$AL$505,"○")&gt;0,1,0))</f>
        <v>0</v>
      </c>
      <c r="BS30" s="39" t="n">
        <f aca="false">IF(BS$4=0,0,IF(COUNTIFS(実績!$W$6:$W$505,BS$3,実績!$AI$6:$AI$505,"&lt;="&amp;$A30,実績!$AJ$6:$AJ$505,"&gt;"&amp;$A30,実績!$AL$6:$AL$505,"○")&gt;0,1,0))</f>
        <v>0</v>
      </c>
      <c r="BT30" s="39" t="n">
        <f aca="false">IF(BT$4=0,0,IF(COUNTIFS(実績!$W$6:$W$505,BT$3,実績!$AI$6:$AI$505,"&lt;="&amp;$A30,実績!$AJ$6:$AJ$505,"&gt;"&amp;$A30,実績!$AL$6:$AL$505,"○")&gt;0,1,0))</f>
        <v>0</v>
      </c>
      <c r="BU30" s="39" t="n">
        <f aca="false">IF(BU$4=0,0,IF(COUNTIFS(実績!$W$6:$W$505,BU$3,実績!$AI$6:$AI$505,"&lt;="&amp;$A30,実績!$AJ$6:$AJ$505,"&gt;"&amp;$A30,実績!$AL$6:$AL$505,"○")&gt;0,1,0))</f>
        <v>0</v>
      </c>
      <c r="BV30" s="39" t="n">
        <f aca="false">IF(BV$4=0,0,IF(COUNTIFS(実績!$W$6:$W$505,BV$3,実績!$AI$6:$AI$505,"&lt;="&amp;$A30,実績!$AJ$6:$AJ$505,"&gt;"&amp;$A30,実績!$AL$6:$AL$505,"○")&gt;0,1,0))</f>
        <v>0</v>
      </c>
      <c r="BW30" s="39" t="n">
        <f aca="false">IF(BW$4=0,0,IF(COUNTIFS(実績!$W$6:$W$505,BW$3,実績!$AI$6:$AI$505,"&lt;="&amp;$A30,実績!$AJ$6:$AJ$505,"&gt;"&amp;$A30,実績!$AL$6:$AL$505,"○")&gt;0,1,0))</f>
        <v>0</v>
      </c>
      <c r="BX30" s="39" t="n">
        <f aca="false">IF(BX$4=0,0,IF(COUNTIFS(実績!$W$6:$W$505,BX$3,実績!$AI$6:$AI$505,"&lt;="&amp;$A30,実績!$AJ$6:$AJ$505,"&gt;"&amp;$A30,実績!$AL$6:$AL$505,"○")&gt;0,1,0))</f>
        <v>0</v>
      </c>
      <c r="BY30" s="39" t="n">
        <f aca="false">IF(BY$4=0,0,IF(COUNTIFS(実績!$W$6:$W$505,BY$3,実績!$AI$6:$AI$505,"&lt;="&amp;$A30,実績!$AJ$6:$AJ$505,"&gt;"&amp;$A30,実績!$AL$6:$AL$505,"○")&gt;0,1,0))</f>
        <v>0</v>
      </c>
      <c r="BZ30" s="39" t="n">
        <f aca="false">IF(BZ$4=0,0,IF(COUNTIFS(実績!$W$6:$W$505,BZ$3,実績!$AI$6:$AI$505,"&lt;="&amp;$A30,実績!$AJ$6:$AJ$505,"&gt;"&amp;$A30,実績!$AL$6:$AL$505,"○")&gt;0,1,0))</f>
        <v>0</v>
      </c>
      <c r="CA30" s="39" t="n">
        <f aca="false">IF(CA$4=0,0,IF(COUNTIFS(実績!$W$6:$W$505,CA$3,実績!$AI$6:$AI$505,"&lt;="&amp;$A30,実績!$AJ$6:$AJ$505,"&gt;"&amp;$A30,実績!$AL$6:$AL$505,"○")&gt;0,1,0))</f>
        <v>0</v>
      </c>
      <c r="CB30" s="39" t="n">
        <f aca="false">IF(CB$4=0,0,IF(COUNTIFS(実績!$W$6:$W$505,CB$3,実績!$AI$6:$AI$505,"&lt;="&amp;$A30,実績!$AJ$6:$AJ$505,"&gt;"&amp;$A30,実績!$AL$6:$AL$505,"○")&gt;0,1,0))</f>
        <v>0</v>
      </c>
      <c r="CC30" s="39" t="n">
        <f aca="false">IF(CC$4=0,0,IF(COUNTIFS(実績!$W$6:$W$505,CC$3,実績!$AI$6:$AI$505,"&lt;="&amp;$A30,実績!$AJ$6:$AJ$505,"&gt;"&amp;$A30,実績!$AL$6:$AL$505,"○")&gt;0,1,0))</f>
        <v>0</v>
      </c>
      <c r="CD30" s="39" t="n">
        <f aca="false">IF(CD$4=0,0,IF(COUNTIFS(実績!$W$6:$W$505,CD$3,実績!$AI$6:$AI$505,"&lt;="&amp;$A30,実績!$AJ$6:$AJ$505,"&gt;"&amp;$A30,実績!$AL$6:$AL$505,"○")&gt;0,1,0))</f>
        <v>0</v>
      </c>
      <c r="CE30" s="39" t="n">
        <f aca="false">IF(CE$4=0,0,IF(COUNTIFS(実績!$W$6:$W$505,CE$3,実績!$AI$6:$AI$505,"&lt;="&amp;$A30,実績!$AJ$6:$AJ$505,"&gt;"&amp;$A30,実績!$AL$6:$AL$505,"○")&gt;0,1,0))</f>
        <v>0</v>
      </c>
      <c r="CF30" s="39" t="n">
        <f aca="false">IF(CF$4=0,0,IF(COUNTIFS(実績!$W$6:$W$505,CF$3,実績!$AI$6:$AI$505,"&lt;="&amp;$A30,実績!$AJ$6:$AJ$505,"&gt;"&amp;$A30,実績!$AL$6:$AL$505,"○")&gt;0,1,0))</f>
        <v>0</v>
      </c>
      <c r="CG30" s="39" t="n">
        <f aca="false">IF(CG$4=0,0,IF(COUNTIFS(実績!$W$6:$W$505,CG$3,実績!$AI$6:$AI$505,"&lt;="&amp;$A30,実績!$AJ$6:$AJ$505,"&gt;"&amp;$A30,実績!$AL$6:$AL$505,"○")&gt;0,1,0))</f>
        <v>0</v>
      </c>
      <c r="CH30" s="39" t="n">
        <f aca="false">IF(CH$4=0,0,IF(COUNTIFS(実績!$W$6:$W$505,CH$3,実績!$AI$6:$AI$505,"&lt;="&amp;$A30,実績!$AJ$6:$AJ$505,"&gt;"&amp;$A30,実績!$AL$6:$AL$505,"○")&gt;0,1,0))</f>
        <v>0</v>
      </c>
      <c r="CI30" s="39" t="n">
        <f aca="false">IF(CI$4=0,0,IF(COUNTIFS(実績!$W$6:$W$505,CI$3,実績!$AI$6:$AI$505,"&lt;="&amp;$A30,実績!$AJ$6:$AJ$505,"&gt;"&amp;$A30,実績!$AL$6:$AL$505,"○")&gt;0,1,0))</f>
        <v>0</v>
      </c>
      <c r="CJ30" s="39" t="n">
        <f aca="false">IF(CJ$4=0,0,IF(COUNTIFS(実績!$W$6:$W$505,CJ$3,実績!$AI$6:$AI$505,"&lt;="&amp;$A30,実績!$AJ$6:$AJ$505,"&gt;"&amp;$A30,実績!$AL$6:$AL$505,"○")&gt;0,1,0))</f>
        <v>0</v>
      </c>
      <c r="CK30" s="39" t="n">
        <f aca="false">IF(CK$4=0,0,IF(COUNTIFS(実績!$W$6:$W$505,CK$3,実績!$AI$6:$AI$505,"&lt;="&amp;$A30,実績!$AJ$6:$AJ$505,"&gt;"&amp;$A30,実績!$AL$6:$AL$505,"○")&gt;0,1,0))</f>
        <v>0</v>
      </c>
      <c r="CL30" s="39" t="n">
        <f aca="false">IF(CL$4=0,0,IF(COUNTIFS(実績!$W$6:$W$505,CL$3,実績!$AI$6:$AI$505,"&lt;="&amp;$A30,実績!$AJ$6:$AJ$505,"&gt;"&amp;$A30,実績!$AL$6:$AL$505,"○")&gt;0,1,0))</f>
        <v>0</v>
      </c>
      <c r="CM30" s="39" t="n">
        <f aca="false">IF(CM$4=0,0,IF(COUNTIFS(実績!$W$6:$W$505,CM$3,実績!$AI$6:$AI$505,"&lt;="&amp;$A30,実績!$AJ$6:$AJ$505,"&gt;"&amp;$A30,実績!$AL$6:$AL$505,"○")&gt;0,1,0))</f>
        <v>0</v>
      </c>
      <c r="CN30" s="39" t="n">
        <f aca="false">IF(CN$4=0,0,IF(COUNTIFS(実績!$W$6:$W$505,CN$3,実績!$AI$6:$AI$505,"&lt;="&amp;$A30,実績!$AJ$6:$AJ$505,"&gt;"&amp;$A30,実績!$AL$6:$AL$505,"○")&gt;0,1,0))</f>
        <v>0</v>
      </c>
      <c r="CO30" s="39" t="n">
        <f aca="false">IF(CO$4=0,0,IF(COUNTIFS(実績!$W$6:$W$505,CO$3,実績!$AI$6:$AI$505,"&lt;="&amp;$A30,実績!$AJ$6:$AJ$505,"&gt;"&amp;$A30,実績!$AL$6:$AL$505,"○")&gt;0,1,0))</f>
        <v>0</v>
      </c>
      <c r="CP30" s="39" t="n">
        <f aca="false">IF(CP$4=0,0,IF(COUNTIFS(実績!$W$6:$W$505,CP$3,実績!$AI$6:$AI$505,"&lt;="&amp;$A30,実績!$AJ$6:$AJ$505,"&gt;"&amp;$A30,実績!$AL$6:$AL$505,"○")&gt;0,1,0))</f>
        <v>0</v>
      </c>
      <c r="CQ30" s="39" t="n">
        <f aca="false">IF(CQ$4=0,0,IF(COUNTIFS(実績!$W$6:$W$505,CQ$3,実績!$AI$6:$AI$505,"&lt;="&amp;$A30,実績!$AJ$6:$AJ$505,"&gt;"&amp;$A30,実績!$AL$6:$AL$505,"○")&gt;0,1,0))</f>
        <v>0</v>
      </c>
      <c r="CR30" s="39" t="n">
        <f aca="false">IF(CR$4=0,0,IF(COUNTIFS(実績!$W$6:$W$505,CR$3,実績!$AI$6:$AI$505,"&lt;="&amp;$A30,実績!$AJ$6:$AJ$505,"&gt;"&amp;$A30,実績!$AL$6:$AL$505,"○")&gt;0,1,0))</f>
        <v>0</v>
      </c>
      <c r="CS30" s="39" t="n">
        <f aca="false">IF(CS$4=0,0,IF(COUNTIFS(実績!$W$6:$W$505,CS$3,実績!$AI$6:$AI$505,"&lt;="&amp;$A30,実績!$AJ$6:$AJ$505,"&gt;"&amp;$A30,実績!$AL$6:$AL$505,"○")&gt;0,1,0))</f>
        <v>0</v>
      </c>
      <c r="CT30" s="39" t="n">
        <f aca="false">IF(CT$4=0,0,IF(COUNTIFS(実績!$W$6:$W$505,CT$3,実績!$AI$6:$AI$505,"&lt;="&amp;$A30,実績!$AJ$6:$AJ$505,"&gt;"&amp;$A30,実績!$AL$6:$AL$505,"○")&gt;0,1,0))</f>
        <v>0</v>
      </c>
      <c r="CU30" s="39" t="n">
        <f aca="false">IF(CU$4=0,0,IF(COUNTIFS(実績!$W$6:$W$505,CU$3,実績!$AI$6:$AI$505,"&lt;="&amp;$A30,実績!$AJ$6:$AJ$505,"&gt;"&amp;$A30,実績!$AL$6:$AL$505,"○")&gt;0,1,0))</f>
        <v>0</v>
      </c>
      <c r="CV30" s="39" t="n">
        <f aca="false">IF(CV$4=0,0,IF(COUNTIFS(実績!$W$6:$W$505,CV$3,実績!$AI$6:$AI$505,"&lt;="&amp;$A30,実績!$AJ$6:$AJ$505,"&gt;"&amp;$A30,実績!$AL$6:$AL$505,"○")&gt;0,1,0))</f>
        <v>0</v>
      </c>
      <c r="CW30" s="39" t="n">
        <f aca="false">IF(CW$4=0,0,IF(COUNTIFS(実績!$W$6:$W$505,CW$3,実績!$AI$6:$AI$505,"&lt;="&amp;$A30,実績!$AJ$6:$AJ$505,"&gt;"&amp;$A30,実績!$AL$6:$AL$505,"○")&gt;0,1,0))</f>
        <v>0</v>
      </c>
      <c r="CX30" s="39" t="n">
        <f aca="false">IF(CX$4=0,0,IF(COUNTIFS(実績!$W$6:$W$505,CX$3,実績!$AI$6:$AI$505,"&lt;="&amp;$A30,実績!$AJ$6:$AJ$505,"&gt;"&amp;$A30,実績!$AL$6:$AL$505,"○")&gt;0,1,0))</f>
        <v>0</v>
      </c>
      <c r="CY30" s="39" t="n">
        <f aca="false">IF(CY$4=0,0,IF(COUNTIFS(実績!$W$6:$W$505,CY$3,実績!$AI$6:$AI$505,"&lt;="&amp;$A30,実績!$AJ$6:$AJ$505,"&gt;"&amp;$A30,実績!$AL$6:$AL$505,"○")&gt;0,1,0))</f>
        <v>0</v>
      </c>
      <c r="CZ30" s="39" t="n">
        <f aca="false">IF(CZ$4=0,0,IF(COUNTIFS(実績!$W$6:$W$505,CZ$3,実績!$AI$6:$AI$505,"&lt;="&amp;$A30,実績!$AJ$6:$AJ$505,"&gt;"&amp;$A30,実績!$AL$6:$AL$505,"○")&gt;0,1,0))</f>
        <v>0</v>
      </c>
      <c r="DA30" s="39" t="n">
        <f aca="false">IF(DA$4=0,0,IF(COUNTIFS(実績!$W$6:$W$505,DA$3,実績!$AI$6:$AI$505,"&lt;="&amp;$A30,実績!$AJ$6:$AJ$505,"&gt;"&amp;$A30,実績!$AL$6:$AL$505,"○")&gt;0,1,0))</f>
        <v>0</v>
      </c>
      <c r="DB30" s="39" t="n">
        <f aca="false">IF(DB$4=0,0,IF(COUNTIFS(実績!$W$6:$W$505,DB$3,実績!$AI$6:$AI$505,"&lt;="&amp;$A30,実績!$AJ$6:$AJ$505,"&gt;"&amp;$A30,実績!$AL$6:$AL$505,"○")&gt;0,1,0))</f>
        <v>0</v>
      </c>
      <c r="DC30" s="39" t="n">
        <f aca="false">IF(DC$4=0,0,IF(COUNTIFS(実績!$W$6:$W$505,DC$3,実績!$AI$6:$AI$505,"&lt;="&amp;$A30,実績!$AJ$6:$AJ$505,"&gt;"&amp;$A30,実績!$AL$6:$AL$505,"○")&gt;0,1,0))</f>
        <v>0</v>
      </c>
      <c r="DD30" s="39" t="n">
        <f aca="false">IF(DD$4=0,0,IF(COUNTIFS(実績!$W$6:$W$505,DD$3,実績!$AI$6:$AI$505,"&lt;="&amp;$A30,実績!$AJ$6:$AJ$505,"&gt;"&amp;$A30,実績!$AL$6:$AL$505,"○")&gt;0,1,0))</f>
        <v>0</v>
      </c>
      <c r="DE30" s="39" t="n">
        <f aca="false">IF(DE$4=0,0,IF(COUNTIFS(実績!$W$6:$W$505,DE$3,実績!$AI$6:$AI$505,"&lt;="&amp;$A30,実績!$AJ$6:$AJ$505,"&gt;"&amp;$A30,実績!$AL$6:$AL$505,"○")&gt;0,1,0))</f>
        <v>0</v>
      </c>
      <c r="DF30" s="39" t="n">
        <f aca="false">IF(DF$4=0,0,IF(COUNTIFS(実績!$W$6:$W$505,DF$3,実績!$AI$6:$AI$505,"&lt;="&amp;$A30,実績!$AJ$6:$AJ$505,"&gt;"&amp;$A30,実績!$AL$6:$AL$505,"○")&gt;0,1,0))</f>
        <v>0</v>
      </c>
      <c r="DG30" s="39" t="n">
        <f aca="false">IF(DG$4=0,0,IF(COUNTIFS(実績!$W$6:$W$505,DG$3,実績!$AI$6:$AI$505,"&lt;="&amp;$A30,実績!$AJ$6:$AJ$505,"&gt;"&amp;$A30,実績!$AL$6:$AL$505,"○")&gt;0,1,0))</f>
        <v>0</v>
      </c>
      <c r="DH30" s="39" t="n">
        <f aca="false">IF(DH$4=0,0,IF(COUNTIFS(実績!$W$6:$W$505,DH$3,実績!$AI$6:$AI$505,"&lt;="&amp;$A30,実績!$AJ$6:$AJ$505,"&gt;"&amp;$A30,実績!$AL$6:$AL$505,"○")&gt;0,1,0))</f>
        <v>0</v>
      </c>
      <c r="DI30" s="39" t="n">
        <f aca="false">IF(DI$4=0,0,IF(COUNTIFS(実績!$W$6:$W$505,DI$3,実績!$AI$6:$AI$505,"&lt;="&amp;$A30,実績!$AJ$6:$AJ$505,"&gt;"&amp;$A30,実績!$AL$6:$AL$505,"○")&gt;0,1,0))</f>
        <v>0</v>
      </c>
      <c r="DJ30" s="39" t="n">
        <f aca="false">IF(DJ$4=0,0,IF(COUNTIFS(実績!$W$6:$W$505,DJ$3,実績!$AI$6:$AI$505,"&lt;="&amp;$A30,実績!$AJ$6:$AJ$505,"&gt;"&amp;$A30,実績!$AL$6:$AL$505,"○")&gt;0,1,0))</f>
        <v>0</v>
      </c>
      <c r="DK30" s="39" t="n">
        <f aca="false">IF(DK$4=0,0,IF(COUNTIFS(実績!$W$6:$W$505,DK$3,実績!$AI$6:$AI$505,"&lt;="&amp;$A30,実績!$AJ$6:$AJ$505,"&gt;"&amp;$A30,実績!$AL$6:$AL$505,"○")&gt;0,1,0))</f>
        <v>0</v>
      </c>
      <c r="DL30" s="39" t="n">
        <f aca="false">IF(DL$4=0,0,IF(COUNTIFS(実績!$W$6:$W$505,DL$3,実績!$AI$6:$AI$505,"&lt;="&amp;$A30,実績!$AJ$6:$AJ$505,"&gt;"&amp;$A30,実績!$AL$6:$AL$505,"○")&gt;0,1,0))</f>
        <v>0</v>
      </c>
      <c r="DM30" s="39" t="n">
        <f aca="false">IF(DM$4=0,0,IF(COUNTIFS(実績!$W$6:$W$505,DM$3,実績!$AI$6:$AI$505,"&lt;="&amp;$A30,実績!$AJ$6:$AJ$505,"&gt;"&amp;$A30,実績!$AL$6:$AL$505,"○")&gt;0,1,0))</f>
        <v>0</v>
      </c>
      <c r="DN30" s="39" t="n">
        <f aca="false">IF(DN$4=0,0,IF(COUNTIFS(実績!$W$6:$W$505,DN$3,実績!$AI$6:$AI$505,"&lt;="&amp;$A30,実績!$AJ$6:$AJ$505,"&gt;"&amp;$A30,実績!$AL$6:$AL$505,"○")&gt;0,1,0))</f>
        <v>0</v>
      </c>
      <c r="DO30" s="39" t="n">
        <f aca="false">IF(DO$4=0,0,IF(COUNTIFS(実績!$W$6:$W$505,DO$3,実績!$AI$6:$AI$505,"&lt;="&amp;$A30,実績!$AJ$6:$AJ$505,"&gt;"&amp;$A30,実績!$AL$6:$AL$505,"○")&gt;0,1,0))</f>
        <v>0</v>
      </c>
      <c r="DP30" s="39" t="n">
        <f aca="false">IF(DP$4=0,0,IF(COUNTIFS(実績!$W$6:$W$505,DP$3,実績!$AI$6:$AI$505,"&lt;="&amp;$A30,実績!$AJ$6:$AJ$505,"&gt;"&amp;$A30,実績!$AL$6:$AL$505,"○")&gt;0,1,0))</f>
        <v>0</v>
      </c>
      <c r="DQ30" s="39" t="n">
        <f aca="false">IF(DQ$4=0,0,IF(COUNTIFS(実績!$W$6:$W$505,DQ$3,実績!$AI$6:$AI$505,"&lt;="&amp;$A30,実績!$AJ$6:$AJ$505,"&gt;"&amp;$A30,実績!$AL$6:$AL$505,"○")&gt;0,1,0))</f>
        <v>0</v>
      </c>
      <c r="DR30" s="39" t="n">
        <f aca="false">IF(DR$4=0,0,IF(COUNTIFS(実績!$W$6:$W$505,DR$3,実績!$AI$6:$AI$505,"&lt;="&amp;$A30,実績!$AJ$6:$AJ$505,"&gt;"&amp;$A30,実績!$AL$6:$AL$505,"○")&gt;0,1,0))</f>
        <v>0</v>
      </c>
      <c r="DS30" s="39" t="n">
        <f aca="false">SUM(C30:DR30)</f>
        <v>0</v>
      </c>
    </row>
    <row r="31" customFormat="false" ht="15" hidden="false" customHeight="false" outlineLevel="0" collapsed="false">
      <c r="A31" s="0" t="n">
        <v>125</v>
      </c>
      <c r="B31" s="38" t="n">
        <f aca="false">A31/1440</f>
        <v>0.0868055555555556</v>
      </c>
      <c r="C31" s="39" t="n">
        <f aca="false">IF(C$4=0,0,IF(COUNTIFS(実績!$W$6:$W$505,C$3,実績!$AI$6:$AI$505,"&lt;="&amp;$A31,実績!$AJ$6:$AJ$505,"&gt;"&amp;$A31,実績!$AL$6:$AL$505,"○")&gt;0,1,0))</f>
        <v>0</v>
      </c>
      <c r="D31" s="39" t="n">
        <f aca="false">IF(D$4=0,0,IF(COUNTIFS(実績!$W$6:$W$505,D$3,実績!$AI$6:$AI$505,"&lt;="&amp;$A31,実績!$AJ$6:$AJ$505,"&gt;"&amp;$A31,実績!$AL$6:$AL$505,"○")&gt;0,1,0))</f>
        <v>0</v>
      </c>
      <c r="E31" s="39" t="n">
        <f aca="false">IF(E$4=0,0,IF(COUNTIFS(実績!$W$6:$W$505,E$3,実績!$AI$6:$AI$505,"&lt;="&amp;$A31,実績!$AJ$6:$AJ$505,"&gt;"&amp;$A31,実績!$AL$6:$AL$505,"○")&gt;0,1,0))</f>
        <v>0</v>
      </c>
      <c r="F31" s="39" t="n">
        <f aca="false">IF(F$4=0,0,IF(COUNTIFS(実績!$W$6:$W$505,F$3,実績!$AI$6:$AI$505,"&lt;="&amp;$A31,実績!$AJ$6:$AJ$505,"&gt;"&amp;$A31,実績!$AL$6:$AL$505,"○")&gt;0,1,0))</f>
        <v>0</v>
      </c>
      <c r="G31" s="39" t="n">
        <f aca="false">IF(G$4=0,0,IF(COUNTIFS(実績!$W$6:$W$505,G$3,実績!$AI$6:$AI$505,"&lt;="&amp;$A31,実績!$AJ$6:$AJ$505,"&gt;"&amp;$A31,実績!$AL$6:$AL$505,"○")&gt;0,1,0))</f>
        <v>0</v>
      </c>
      <c r="H31" s="39" t="n">
        <f aca="false">IF(H$4=0,0,IF(COUNTIFS(実績!$W$6:$W$505,H$3,実績!$AI$6:$AI$505,"&lt;="&amp;$A31,実績!$AJ$6:$AJ$505,"&gt;"&amp;$A31,実績!$AL$6:$AL$505,"○")&gt;0,1,0))</f>
        <v>0</v>
      </c>
      <c r="I31" s="39" t="n">
        <f aca="false">IF(I$4=0,0,IF(COUNTIFS(実績!$W$6:$W$505,I$3,実績!$AI$6:$AI$505,"&lt;="&amp;$A31,実績!$AJ$6:$AJ$505,"&gt;"&amp;$A31,実績!$AL$6:$AL$505,"○")&gt;0,1,0))</f>
        <v>0</v>
      </c>
      <c r="J31" s="39" t="n">
        <f aca="false">IF(J$4=0,0,IF(COUNTIFS(実績!$W$6:$W$505,J$3,実績!$AI$6:$AI$505,"&lt;="&amp;$A31,実績!$AJ$6:$AJ$505,"&gt;"&amp;$A31,実績!$AL$6:$AL$505,"○")&gt;0,1,0))</f>
        <v>0</v>
      </c>
      <c r="K31" s="39" t="n">
        <f aca="false">IF(K$4=0,0,IF(COUNTIFS(実績!$W$6:$W$505,K$3,実績!$AI$6:$AI$505,"&lt;="&amp;$A31,実績!$AJ$6:$AJ$505,"&gt;"&amp;$A31,実績!$AL$6:$AL$505,"○")&gt;0,1,0))</f>
        <v>0</v>
      </c>
      <c r="L31" s="39" t="n">
        <f aca="false">IF(L$4=0,0,IF(COUNTIFS(実績!$W$6:$W$505,L$3,実績!$AI$6:$AI$505,"&lt;="&amp;$A31,実績!$AJ$6:$AJ$505,"&gt;"&amp;$A31,実績!$AL$6:$AL$505,"○")&gt;0,1,0))</f>
        <v>0</v>
      </c>
      <c r="M31" s="39" t="n">
        <f aca="false">IF(M$4=0,0,IF(COUNTIFS(実績!$W$6:$W$505,M$3,実績!$AI$6:$AI$505,"&lt;="&amp;$A31,実績!$AJ$6:$AJ$505,"&gt;"&amp;$A31,実績!$AL$6:$AL$505,"○")&gt;0,1,0))</f>
        <v>0</v>
      </c>
      <c r="N31" s="39" t="n">
        <f aca="false">IF(N$4=0,0,IF(COUNTIFS(実績!$W$6:$W$505,N$3,実績!$AI$6:$AI$505,"&lt;="&amp;$A31,実績!$AJ$6:$AJ$505,"&gt;"&amp;$A31,実績!$AL$6:$AL$505,"○")&gt;0,1,0))</f>
        <v>0</v>
      </c>
      <c r="O31" s="39" t="n">
        <f aca="false">IF(O$4=0,0,IF(COUNTIFS(実績!$W$6:$W$505,O$3,実績!$AI$6:$AI$505,"&lt;="&amp;$A31,実績!$AJ$6:$AJ$505,"&gt;"&amp;$A31,実績!$AL$6:$AL$505,"○")&gt;0,1,0))</f>
        <v>0</v>
      </c>
      <c r="P31" s="39" t="n">
        <f aca="false">IF(P$4=0,0,IF(COUNTIFS(実績!$W$6:$W$505,P$3,実績!$AI$6:$AI$505,"&lt;="&amp;$A31,実績!$AJ$6:$AJ$505,"&gt;"&amp;$A31,実績!$AL$6:$AL$505,"○")&gt;0,1,0))</f>
        <v>0</v>
      </c>
      <c r="Q31" s="39" t="n">
        <f aca="false">IF(Q$4=0,0,IF(COUNTIFS(実績!$W$6:$W$505,Q$3,実績!$AI$6:$AI$505,"&lt;="&amp;$A31,実績!$AJ$6:$AJ$505,"&gt;"&amp;$A31,実績!$AL$6:$AL$505,"○")&gt;0,1,0))</f>
        <v>0</v>
      </c>
      <c r="R31" s="39" t="n">
        <f aca="false">IF(R$4=0,0,IF(COUNTIFS(実績!$W$6:$W$505,R$3,実績!$AI$6:$AI$505,"&lt;="&amp;$A31,実績!$AJ$6:$AJ$505,"&gt;"&amp;$A31,実績!$AL$6:$AL$505,"○")&gt;0,1,0))</f>
        <v>0</v>
      </c>
      <c r="S31" s="39" t="n">
        <f aca="false">IF(S$4=0,0,IF(COUNTIFS(実績!$W$6:$W$505,S$3,実績!$AI$6:$AI$505,"&lt;="&amp;$A31,実績!$AJ$6:$AJ$505,"&gt;"&amp;$A31,実績!$AL$6:$AL$505,"○")&gt;0,1,0))</f>
        <v>0</v>
      </c>
      <c r="T31" s="39" t="n">
        <f aca="false">IF(T$4=0,0,IF(COUNTIFS(実績!$W$6:$W$505,T$3,実績!$AI$6:$AI$505,"&lt;="&amp;$A31,実績!$AJ$6:$AJ$505,"&gt;"&amp;$A31,実績!$AL$6:$AL$505,"○")&gt;0,1,0))</f>
        <v>0</v>
      </c>
      <c r="U31" s="39" t="n">
        <f aca="false">IF(U$4=0,0,IF(COUNTIFS(実績!$W$6:$W$505,U$3,実績!$AI$6:$AI$505,"&lt;="&amp;$A31,実績!$AJ$6:$AJ$505,"&gt;"&amp;$A31,実績!$AL$6:$AL$505,"○")&gt;0,1,0))</f>
        <v>0</v>
      </c>
      <c r="V31" s="39" t="n">
        <f aca="false">IF(V$4=0,0,IF(COUNTIFS(実績!$W$6:$W$505,V$3,実績!$AI$6:$AI$505,"&lt;="&amp;$A31,実績!$AJ$6:$AJ$505,"&gt;"&amp;$A31,実績!$AL$6:$AL$505,"○")&gt;0,1,0))</f>
        <v>0</v>
      </c>
      <c r="W31" s="39" t="n">
        <f aca="false">IF(W$4=0,0,IF(COUNTIFS(実績!$W$6:$W$505,W$3,実績!$AI$6:$AI$505,"&lt;="&amp;$A31,実績!$AJ$6:$AJ$505,"&gt;"&amp;$A31,実績!$AL$6:$AL$505,"○")&gt;0,1,0))</f>
        <v>0</v>
      </c>
      <c r="X31" s="39" t="n">
        <f aca="false">IF(X$4=0,0,IF(COUNTIFS(実績!$W$6:$W$505,X$3,実績!$AI$6:$AI$505,"&lt;="&amp;$A31,実績!$AJ$6:$AJ$505,"&gt;"&amp;$A31,実績!$AL$6:$AL$505,"○")&gt;0,1,0))</f>
        <v>0</v>
      </c>
      <c r="Y31" s="39" t="n">
        <f aca="false">IF(Y$4=0,0,IF(COUNTIFS(実績!$W$6:$W$505,Y$3,実績!$AI$6:$AI$505,"&lt;="&amp;$A31,実績!$AJ$6:$AJ$505,"&gt;"&amp;$A31,実績!$AL$6:$AL$505,"○")&gt;0,1,0))</f>
        <v>0</v>
      </c>
      <c r="Z31" s="39" t="n">
        <f aca="false">IF(Z$4=0,0,IF(COUNTIFS(実績!$W$6:$W$505,Z$3,実績!$AI$6:$AI$505,"&lt;="&amp;$A31,実績!$AJ$6:$AJ$505,"&gt;"&amp;$A31,実績!$AL$6:$AL$505,"○")&gt;0,1,0))</f>
        <v>0</v>
      </c>
      <c r="AA31" s="39" t="n">
        <f aca="false">IF(AA$4=0,0,IF(COUNTIFS(実績!$W$6:$W$505,AA$3,実績!$AI$6:$AI$505,"&lt;="&amp;$A31,実績!$AJ$6:$AJ$505,"&gt;"&amp;$A31,実績!$AL$6:$AL$505,"○")&gt;0,1,0))</f>
        <v>0</v>
      </c>
      <c r="AB31" s="39" t="n">
        <f aca="false">IF(AB$4=0,0,IF(COUNTIFS(実績!$W$6:$W$505,AB$3,実績!$AI$6:$AI$505,"&lt;="&amp;$A31,実績!$AJ$6:$AJ$505,"&gt;"&amp;$A31,実績!$AL$6:$AL$505,"○")&gt;0,1,0))</f>
        <v>0</v>
      </c>
      <c r="AC31" s="39" t="n">
        <f aca="false">IF(AC$4=0,0,IF(COUNTIFS(実績!$W$6:$W$505,AC$3,実績!$AI$6:$AI$505,"&lt;="&amp;$A31,実績!$AJ$6:$AJ$505,"&gt;"&amp;$A31,実績!$AL$6:$AL$505,"○")&gt;0,1,0))</f>
        <v>0</v>
      </c>
      <c r="AD31" s="39" t="n">
        <f aca="false">IF(AD$4=0,0,IF(COUNTIFS(実績!$W$6:$W$505,AD$3,実績!$AI$6:$AI$505,"&lt;="&amp;$A31,実績!$AJ$6:$AJ$505,"&gt;"&amp;$A31,実績!$AL$6:$AL$505,"○")&gt;0,1,0))</f>
        <v>0</v>
      </c>
      <c r="AE31" s="39" t="n">
        <f aca="false">IF(AE$4=0,0,IF(COUNTIFS(実績!$W$6:$W$505,AE$3,実績!$AI$6:$AI$505,"&lt;="&amp;$A31,実績!$AJ$6:$AJ$505,"&gt;"&amp;$A31,実績!$AL$6:$AL$505,"○")&gt;0,1,0))</f>
        <v>0</v>
      </c>
      <c r="AF31" s="39" t="n">
        <f aca="false">IF(AF$4=0,0,IF(COUNTIFS(実績!$W$6:$W$505,AF$3,実績!$AI$6:$AI$505,"&lt;="&amp;$A31,実績!$AJ$6:$AJ$505,"&gt;"&amp;$A31,実績!$AL$6:$AL$505,"○")&gt;0,1,0))</f>
        <v>0</v>
      </c>
      <c r="AG31" s="39" t="n">
        <f aca="false">IF(AG$4=0,0,IF(COUNTIFS(実績!$W$6:$W$505,AG$3,実績!$AI$6:$AI$505,"&lt;="&amp;$A31,実績!$AJ$6:$AJ$505,"&gt;"&amp;$A31,実績!$AL$6:$AL$505,"○")&gt;0,1,0))</f>
        <v>0</v>
      </c>
      <c r="AH31" s="39" t="n">
        <f aca="false">IF(AH$4=0,0,IF(COUNTIFS(実績!$W$6:$W$505,AH$3,実績!$AI$6:$AI$505,"&lt;="&amp;$A31,実績!$AJ$6:$AJ$505,"&gt;"&amp;$A31,実績!$AL$6:$AL$505,"○")&gt;0,1,0))</f>
        <v>0</v>
      </c>
      <c r="AI31" s="39" t="n">
        <f aca="false">IF(AI$4=0,0,IF(COUNTIFS(実績!$W$6:$W$505,AI$3,実績!$AI$6:$AI$505,"&lt;="&amp;$A31,実績!$AJ$6:$AJ$505,"&gt;"&amp;$A31,実績!$AL$6:$AL$505,"○")&gt;0,1,0))</f>
        <v>0</v>
      </c>
      <c r="AJ31" s="39" t="n">
        <f aca="false">IF(AJ$4=0,0,IF(COUNTIFS(実績!$W$6:$W$505,AJ$3,実績!$AI$6:$AI$505,"&lt;="&amp;$A31,実績!$AJ$6:$AJ$505,"&gt;"&amp;$A31,実績!$AL$6:$AL$505,"○")&gt;0,1,0))</f>
        <v>0</v>
      </c>
      <c r="AK31" s="39" t="n">
        <f aca="false">IF(AK$4=0,0,IF(COUNTIFS(実績!$W$6:$W$505,AK$3,実績!$AI$6:$AI$505,"&lt;="&amp;$A31,実績!$AJ$6:$AJ$505,"&gt;"&amp;$A31,実績!$AL$6:$AL$505,"○")&gt;0,1,0))</f>
        <v>0</v>
      </c>
      <c r="AL31" s="39" t="n">
        <f aca="false">IF(AL$4=0,0,IF(COUNTIFS(実績!$W$6:$W$505,AL$3,実績!$AI$6:$AI$505,"&lt;="&amp;$A31,実績!$AJ$6:$AJ$505,"&gt;"&amp;$A31,実績!$AL$6:$AL$505,"○")&gt;0,1,0))</f>
        <v>0</v>
      </c>
      <c r="AM31" s="39" t="n">
        <f aca="false">IF(AM$4=0,0,IF(COUNTIFS(実績!$W$6:$W$505,AM$3,実績!$AI$6:$AI$505,"&lt;="&amp;$A31,実績!$AJ$6:$AJ$505,"&gt;"&amp;$A31,実績!$AL$6:$AL$505,"○")&gt;0,1,0))</f>
        <v>0</v>
      </c>
      <c r="AN31" s="39" t="n">
        <f aca="false">IF(AN$4=0,0,IF(COUNTIFS(実績!$W$6:$W$505,AN$3,実績!$AI$6:$AI$505,"&lt;="&amp;$A31,実績!$AJ$6:$AJ$505,"&gt;"&amp;$A31,実績!$AL$6:$AL$505,"○")&gt;0,1,0))</f>
        <v>0</v>
      </c>
      <c r="AO31" s="39" t="n">
        <f aca="false">IF(AO$4=0,0,IF(COUNTIFS(実績!$W$6:$W$505,AO$3,実績!$AI$6:$AI$505,"&lt;="&amp;$A31,実績!$AJ$6:$AJ$505,"&gt;"&amp;$A31,実績!$AL$6:$AL$505,"○")&gt;0,1,0))</f>
        <v>0</v>
      </c>
      <c r="AP31" s="39" t="n">
        <f aca="false">IF(AP$4=0,0,IF(COUNTIFS(実績!$W$6:$W$505,AP$3,実績!$AI$6:$AI$505,"&lt;="&amp;$A31,実績!$AJ$6:$AJ$505,"&gt;"&amp;$A31,実績!$AL$6:$AL$505,"○")&gt;0,1,0))</f>
        <v>0</v>
      </c>
      <c r="AQ31" s="39" t="n">
        <f aca="false">IF(AQ$4=0,0,IF(COUNTIFS(実績!$W$6:$W$505,AQ$3,実績!$AI$6:$AI$505,"&lt;="&amp;$A31,実績!$AJ$6:$AJ$505,"&gt;"&amp;$A31,実績!$AL$6:$AL$505,"○")&gt;0,1,0))</f>
        <v>0</v>
      </c>
      <c r="AR31" s="39" t="n">
        <f aca="false">IF(AR$4=0,0,IF(COUNTIFS(実績!$W$6:$W$505,AR$3,実績!$AI$6:$AI$505,"&lt;="&amp;$A31,実績!$AJ$6:$AJ$505,"&gt;"&amp;$A31,実績!$AL$6:$AL$505,"○")&gt;0,1,0))</f>
        <v>0</v>
      </c>
      <c r="AS31" s="39" t="n">
        <f aca="false">IF(AS$4=0,0,IF(COUNTIFS(実績!$W$6:$W$505,AS$3,実績!$AI$6:$AI$505,"&lt;="&amp;$A31,実績!$AJ$6:$AJ$505,"&gt;"&amp;$A31,実績!$AL$6:$AL$505,"○")&gt;0,1,0))</f>
        <v>0</v>
      </c>
      <c r="AT31" s="39" t="n">
        <f aca="false">IF(AT$4=0,0,IF(COUNTIFS(実績!$W$6:$W$505,AT$3,実績!$AI$6:$AI$505,"&lt;="&amp;$A31,実績!$AJ$6:$AJ$505,"&gt;"&amp;$A31,実績!$AL$6:$AL$505,"○")&gt;0,1,0))</f>
        <v>0</v>
      </c>
      <c r="AU31" s="39" t="n">
        <f aca="false">IF(AU$4=0,0,IF(COUNTIFS(実績!$W$6:$W$505,AU$3,実績!$AI$6:$AI$505,"&lt;="&amp;$A31,実績!$AJ$6:$AJ$505,"&gt;"&amp;$A31,実績!$AL$6:$AL$505,"○")&gt;0,1,0))</f>
        <v>0</v>
      </c>
      <c r="AV31" s="39" t="n">
        <f aca="false">IF(AV$4=0,0,IF(COUNTIFS(実績!$W$6:$W$505,AV$3,実績!$AI$6:$AI$505,"&lt;="&amp;$A31,実績!$AJ$6:$AJ$505,"&gt;"&amp;$A31,実績!$AL$6:$AL$505,"○")&gt;0,1,0))</f>
        <v>0</v>
      </c>
      <c r="AW31" s="39" t="n">
        <f aca="false">IF(AW$4=0,0,IF(COUNTIFS(実績!$W$6:$W$505,AW$3,実績!$AI$6:$AI$505,"&lt;="&amp;$A31,実績!$AJ$6:$AJ$505,"&gt;"&amp;$A31,実績!$AL$6:$AL$505,"○")&gt;0,1,0))</f>
        <v>0</v>
      </c>
      <c r="AX31" s="39" t="n">
        <f aca="false">IF(AX$4=0,0,IF(COUNTIFS(実績!$W$6:$W$505,AX$3,実績!$AI$6:$AI$505,"&lt;="&amp;$A31,実績!$AJ$6:$AJ$505,"&gt;"&amp;$A31,実績!$AL$6:$AL$505,"○")&gt;0,1,0))</f>
        <v>0</v>
      </c>
      <c r="AY31" s="39" t="n">
        <f aca="false">IF(AY$4=0,0,IF(COUNTIFS(実績!$W$6:$W$505,AY$3,実績!$AI$6:$AI$505,"&lt;="&amp;$A31,実績!$AJ$6:$AJ$505,"&gt;"&amp;$A31,実績!$AL$6:$AL$505,"○")&gt;0,1,0))</f>
        <v>0</v>
      </c>
      <c r="AZ31" s="39" t="n">
        <f aca="false">IF(AZ$4=0,0,IF(COUNTIFS(実績!$W$6:$W$505,AZ$3,実績!$AI$6:$AI$505,"&lt;="&amp;$A31,実績!$AJ$6:$AJ$505,"&gt;"&amp;$A31,実績!$AL$6:$AL$505,"○")&gt;0,1,0))</f>
        <v>0</v>
      </c>
      <c r="BA31" s="39" t="n">
        <f aca="false">IF(BA$4=0,0,IF(COUNTIFS(実績!$W$6:$W$505,BA$3,実績!$AI$6:$AI$505,"&lt;="&amp;$A31,実績!$AJ$6:$AJ$505,"&gt;"&amp;$A31,実績!$AL$6:$AL$505,"○")&gt;0,1,0))</f>
        <v>0</v>
      </c>
      <c r="BB31" s="39" t="n">
        <f aca="false">IF(BB$4=0,0,IF(COUNTIFS(実績!$W$6:$W$505,BB$3,実績!$AI$6:$AI$505,"&lt;="&amp;$A31,実績!$AJ$6:$AJ$505,"&gt;"&amp;$A31,実績!$AL$6:$AL$505,"○")&gt;0,1,0))</f>
        <v>0</v>
      </c>
      <c r="BC31" s="39" t="n">
        <f aca="false">IF(BC$4=0,0,IF(COUNTIFS(実績!$W$6:$W$505,BC$3,実績!$AI$6:$AI$505,"&lt;="&amp;$A31,実績!$AJ$6:$AJ$505,"&gt;"&amp;$A31,実績!$AL$6:$AL$505,"○")&gt;0,1,0))</f>
        <v>0</v>
      </c>
      <c r="BD31" s="39" t="n">
        <f aca="false">IF(BD$4=0,0,IF(COUNTIFS(実績!$W$6:$W$505,BD$3,実績!$AI$6:$AI$505,"&lt;="&amp;$A31,実績!$AJ$6:$AJ$505,"&gt;"&amp;$A31,実績!$AL$6:$AL$505,"○")&gt;0,1,0))</f>
        <v>0</v>
      </c>
      <c r="BE31" s="39" t="n">
        <f aca="false">IF(BE$4=0,0,IF(COUNTIFS(実績!$W$6:$W$505,BE$3,実績!$AI$6:$AI$505,"&lt;="&amp;$A31,実績!$AJ$6:$AJ$505,"&gt;"&amp;$A31,実績!$AL$6:$AL$505,"○")&gt;0,1,0))</f>
        <v>0</v>
      </c>
      <c r="BF31" s="39" t="n">
        <f aca="false">IF(BF$4=0,0,IF(COUNTIFS(実績!$W$6:$W$505,BF$3,実績!$AI$6:$AI$505,"&lt;="&amp;$A31,実績!$AJ$6:$AJ$505,"&gt;"&amp;$A31,実績!$AL$6:$AL$505,"○")&gt;0,1,0))</f>
        <v>0</v>
      </c>
      <c r="BG31" s="39" t="n">
        <f aca="false">IF(BG$4=0,0,IF(COUNTIFS(実績!$W$6:$W$505,BG$3,実績!$AI$6:$AI$505,"&lt;="&amp;$A31,実績!$AJ$6:$AJ$505,"&gt;"&amp;$A31,実績!$AL$6:$AL$505,"○")&gt;0,1,0))</f>
        <v>0</v>
      </c>
      <c r="BH31" s="39" t="n">
        <f aca="false">IF(BH$4=0,0,IF(COUNTIFS(実績!$W$6:$W$505,BH$3,実績!$AI$6:$AI$505,"&lt;="&amp;$A31,実績!$AJ$6:$AJ$505,"&gt;"&amp;$A31,実績!$AL$6:$AL$505,"○")&gt;0,1,0))</f>
        <v>0</v>
      </c>
      <c r="BI31" s="39" t="n">
        <f aca="false">IF(BI$4=0,0,IF(COUNTIFS(実績!$W$6:$W$505,BI$3,実績!$AI$6:$AI$505,"&lt;="&amp;$A31,実績!$AJ$6:$AJ$505,"&gt;"&amp;$A31,実績!$AL$6:$AL$505,"○")&gt;0,1,0))</f>
        <v>0</v>
      </c>
      <c r="BJ31" s="39" t="n">
        <f aca="false">IF(BJ$4=0,0,IF(COUNTIFS(実績!$W$6:$W$505,BJ$3,実績!$AI$6:$AI$505,"&lt;="&amp;$A31,実績!$AJ$6:$AJ$505,"&gt;"&amp;$A31,実績!$AL$6:$AL$505,"○")&gt;0,1,0))</f>
        <v>0</v>
      </c>
      <c r="BK31" s="39" t="n">
        <f aca="false">IF(BK$4=0,0,IF(COUNTIFS(実績!$W$6:$W$505,BK$3,実績!$AI$6:$AI$505,"&lt;="&amp;$A31,実績!$AJ$6:$AJ$505,"&gt;"&amp;$A31,実績!$AL$6:$AL$505,"○")&gt;0,1,0))</f>
        <v>0</v>
      </c>
      <c r="BL31" s="39" t="n">
        <f aca="false">IF(BL$4=0,0,IF(COUNTIFS(実績!$W$6:$W$505,BL$3,実績!$AI$6:$AI$505,"&lt;="&amp;$A31,実績!$AJ$6:$AJ$505,"&gt;"&amp;$A31,実績!$AL$6:$AL$505,"○")&gt;0,1,0))</f>
        <v>0</v>
      </c>
      <c r="BM31" s="39" t="n">
        <f aca="false">IF(BM$4=0,0,IF(COUNTIFS(実績!$W$6:$W$505,BM$3,実績!$AI$6:$AI$505,"&lt;="&amp;$A31,実績!$AJ$6:$AJ$505,"&gt;"&amp;$A31,実績!$AL$6:$AL$505,"○")&gt;0,1,0))</f>
        <v>0</v>
      </c>
      <c r="BN31" s="39" t="n">
        <f aca="false">IF(BN$4=0,0,IF(COUNTIFS(実績!$W$6:$W$505,BN$3,実績!$AI$6:$AI$505,"&lt;="&amp;$A31,実績!$AJ$6:$AJ$505,"&gt;"&amp;$A31,実績!$AL$6:$AL$505,"○")&gt;0,1,0))</f>
        <v>0</v>
      </c>
      <c r="BO31" s="39" t="n">
        <f aca="false">IF(BO$4=0,0,IF(COUNTIFS(実績!$W$6:$W$505,BO$3,実績!$AI$6:$AI$505,"&lt;="&amp;$A31,実績!$AJ$6:$AJ$505,"&gt;"&amp;$A31,実績!$AL$6:$AL$505,"○")&gt;0,1,0))</f>
        <v>0</v>
      </c>
      <c r="BP31" s="39" t="n">
        <f aca="false">IF(BP$4=0,0,IF(COUNTIFS(実績!$W$6:$W$505,BP$3,実績!$AI$6:$AI$505,"&lt;="&amp;$A31,実績!$AJ$6:$AJ$505,"&gt;"&amp;$A31,実績!$AL$6:$AL$505,"○")&gt;0,1,0))</f>
        <v>0</v>
      </c>
      <c r="BQ31" s="39" t="n">
        <f aca="false">IF(BQ$4=0,0,IF(COUNTIFS(実績!$W$6:$W$505,BQ$3,実績!$AI$6:$AI$505,"&lt;="&amp;$A31,実績!$AJ$6:$AJ$505,"&gt;"&amp;$A31,実績!$AL$6:$AL$505,"○")&gt;0,1,0))</f>
        <v>0</v>
      </c>
      <c r="BR31" s="39" t="n">
        <f aca="false">IF(BR$4=0,0,IF(COUNTIFS(実績!$W$6:$W$505,BR$3,実績!$AI$6:$AI$505,"&lt;="&amp;$A31,実績!$AJ$6:$AJ$505,"&gt;"&amp;$A31,実績!$AL$6:$AL$505,"○")&gt;0,1,0))</f>
        <v>0</v>
      </c>
      <c r="BS31" s="39" t="n">
        <f aca="false">IF(BS$4=0,0,IF(COUNTIFS(実績!$W$6:$W$505,BS$3,実績!$AI$6:$AI$505,"&lt;="&amp;$A31,実績!$AJ$6:$AJ$505,"&gt;"&amp;$A31,実績!$AL$6:$AL$505,"○")&gt;0,1,0))</f>
        <v>0</v>
      </c>
      <c r="BT31" s="39" t="n">
        <f aca="false">IF(BT$4=0,0,IF(COUNTIFS(実績!$W$6:$W$505,BT$3,実績!$AI$6:$AI$505,"&lt;="&amp;$A31,実績!$AJ$6:$AJ$505,"&gt;"&amp;$A31,実績!$AL$6:$AL$505,"○")&gt;0,1,0))</f>
        <v>0</v>
      </c>
      <c r="BU31" s="39" t="n">
        <f aca="false">IF(BU$4=0,0,IF(COUNTIFS(実績!$W$6:$W$505,BU$3,実績!$AI$6:$AI$505,"&lt;="&amp;$A31,実績!$AJ$6:$AJ$505,"&gt;"&amp;$A31,実績!$AL$6:$AL$505,"○")&gt;0,1,0))</f>
        <v>0</v>
      </c>
      <c r="BV31" s="39" t="n">
        <f aca="false">IF(BV$4=0,0,IF(COUNTIFS(実績!$W$6:$W$505,BV$3,実績!$AI$6:$AI$505,"&lt;="&amp;$A31,実績!$AJ$6:$AJ$505,"&gt;"&amp;$A31,実績!$AL$6:$AL$505,"○")&gt;0,1,0))</f>
        <v>0</v>
      </c>
      <c r="BW31" s="39" t="n">
        <f aca="false">IF(BW$4=0,0,IF(COUNTIFS(実績!$W$6:$W$505,BW$3,実績!$AI$6:$AI$505,"&lt;="&amp;$A31,実績!$AJ$6:$AJ$505,"&gt;"&amp;$A31,実績!$AL$6:$AL$505,"○")&gt;0,1,0))</f>
        <v>0</v>
      </c>
      <c r="BX31" s="39" t="n">
        <f aca="false">IF(BX$4=0,0,IF(COUNTIFS(実績!$W$6:$W$505,BX$3,実績!$AI$6:$AI$505,"&lt;="&amp;$A31,実績!$AJ$6:$AJ$505,"&gt;"&amp;$A31,実績!$AL$6:$AL$505,"○")&gt;0,1,0))</f>
        <v>0</v>
      </c>
      <c r="BY31" s="39" t="n">
        <f aca="false">IF(BY$4=0,0,IF(COUNTIFS(実績!$W$6:$W$505,BY$3,実績!$AI$6:$AI$505,"&lt;="&amp;$A31,実績!$AJ$6:$AJ$505,"&gt;"&amp;$A31,実績!$AL$6:$AL$505,"○")&gt;0,1,0))</f>
        <v>0</v>
      </c>
      <c r="BZ31" s="39" t="n">
        <f aca="false">IF(BZ$4=0,0,IF(COUNTIFS(実績!$W$6:$W$505,BZ$3,実績!$AI$6:$AI$505,"&lt;="&amp;$A31,実績!$AJ$6:$AJ$505,"&gt;"&amp;$A31,実績!$AL$6:$AL$505,"○")&gt;0,1,0))</f>
        <v>0</v>
      </c>
      <c r="CA31" s="39" t="n">
        <f aca="false">IF(CA$4=0,0,IF(COUNTIFS(実績!$W$6:$W$505,CA$3,実績!$AI$6:$AI$505,"&lt;="&amp;$A31,実績!$AJ$6:$AJ$505,"&gt;"&amp;$A31,実績!$AL$6:$AL$505,"○")&gt;0,1,0))</f>
        <v>0</v>
      </c>
      <c r="CB31" s="39" t="n">
        <f aca="false">IF(CB$4=0,0,IF(COUNTIFS(実績!$W$6:$W$505,CB$3,実績!$AI$6:$AI$505,"&lt;="&amp;$A31,実績!$AJ$6:$AJ$505,"&gt;"&amp;$A31,実績!$AL$6:$AL$505,"○")&gt;0,1,0))</f>
        <v>0</v>
      </c>
      <c r="CC31" s="39" t="n">
        <f aca="false">IF(CC$4=0,0,IF(COUNTIFS(実績!$W$6:$W$505,CC$3,実績!$AI$6:$AI$505,"&lt;="&amp;$A31,実績!$AJ$6:$AJ$505,"&gt;"&amp;$A31,実績!$AL$6:$AL$505,"○")&gt;0,1,0))</f>
        <v>0</v>
      </c>
      <c r="CD31" s="39" t="n">
        <f aca="false">IF(CD$4=0,0,IF(COUNTIFS(実績!$W$6:$W$505,CD$3,実績!$AI$6:$AI$505,"&lt;="&amp;$A31,実績!$AJ$6:$AJ$505,"&gt;"&amp;$A31,実績!$AL$6:$AL$505,"○")&gt;0,1,0))</f>
        <v>0</v>
      </c>
      <c r="CE31" s="39" t="n">
        <f aca="false">IF(CE$4=0,0,IF(COUNTIFS(実績!$W$6:$W$505,CE$3,実績!$AI$6:$AI$505,"&lt;="&amp;$A31,実績!$AJ$6:$AJ$505,"&gt;"&amp;$A31,実績!$AL$6:$AL$505,"○")&gt;0,1,0))</f>
        <v>0</v>
      </c>
      <c r="CF31" s="39" t="n">
        <f aca="false">IF(CF$4=0,0,IF(COUNTIFS(実績!$W$6:$W$505,CF$3,実績!$AI$6:$AI$505,"&lt;="&amp;$A31,実績!$AJ$6:$AJ$505,"&gt;"&amp;$A31,実績!$AL$6:$AL$505,"○")&gt;0,1,0))</f>
        <v>0</v>
      </c>
      <c r="CG31" s="39" t="n">
        <f aca="false">IF(CG$4=0,0,IF(COUNTIFS(実績!$W$6:$W$505,CG$3,実績!$AI$6:$AI$505,"&lt;="&amp;$A31,実績!$AJ$6:$AJ$505,"&gt;"&amp;$A31,実績!$AL$6:$AL$505,"○")&gt;0,1,0))</f>
        <v>0</v>
      </c>
      <c r="CH31" s="39" t="n">
        <f aca="false">IF(CH$4=0,0,IF(COUNTIFS(実績!$W$6:$W$505,CH$3,実績!$AI$6:$AI$505,"&lt;="&amp;$A31,実績!$AJ$6:$AJ$505,"&gt;"&amp;$A31,実績!$AL$6:$AL$505,"○")&gt;0,1,0))</f>
        <v>0</v>
      </c>
      <c r="CI31" s="39" t="n">
        <f aca="false">IF(CI$4=0,0,IF(COUNTIFS(実績!$W$6:$W$505,CI$3,実績!$AI$6:$AI$505,"&lt;="&amp;$A31,実績!$AJ$6:$AJ$505,"&gt;"&amp;$A31,実績!$AL$6:$AL$505,"○")&gt;0,1,0))</f>
        <v>0</v>
      </c>
      <c r="CJ31" s="39" t="n">
        <f aca="false">IF(CJ$4=0,0,IF(COUNTIFS(実績!$W$6:$W$505,CJ$3,実績!$AI$6:$AI$505,"&lt;="&amp;$A31,実績!$AJ$6:$AJ$505,"&gt;"&amp;$A31,実績!$AL$6:$AL$505,"○")&gt;0,1,0))</f>
        <v>0</v>
      </c>
      <c r="CK31" s="39" t="n">
        <f aca="false">IF(CK$4=0,0,IF(COUNTIFS(実績!$W$6:$W$505,CK$3,実績!$AI$6:$AI$505,"&lt;="&amp;$A31,実績!$AJ$6:$AJ$505,"&gt;"&amp;$A31,実績!$AL$6:$AL$505,"○")&gt;0,1,0))</f>
        <v>0</v>
      </c>
      <c r="CL31" s="39" t="n">
        <f aca="false">IF(CL$4=0,0,IF(COUNTIFS(実績!$W$6:$W$505,CL$3,実績!$AI$6:$AI$505,"&lt;="&amp;$A31,実績!$AJ$6:$AJ$505,"&gt;"&amp;$A31,実績!$AL$6:$AL$505,"○")&gt;0,1,0))</f>
        <v>0</v>
      </c>
      <c r="CM31" s="39" t="n">
        <f aca="false">IF(CM$4=0,0,IF(COUNTIFS(実績!$W$6:$W$505,CM$3,実績!$AI$6:$AI$505,"&lt;="&amp;$A31,実績!$AJ$6:$AJ$505,"&gt;"&amp;$A31,実績!$AL$6:$AL$505,"○")&gt;0,1,0))</f>
        <v>0</v>
      </c>
      <c r="CN31" s="39" t="n">
        <f aca="false">IF(CN$4=0,0,IF(COUNTIFS(実績!$W$6:$W$505,CN$3,実績!$AI$6:$AI$505,"&lt;="&amp;$A31,実績!$AJ$6:$AJ$505,"&gt;"&amp;$A31,実績!$AL$6:$AL$505,"○")&gt;0,1,0))</f>
        <v>0</v>
      </c>
      <c r="CO31" s="39" t="n">
        <f aca="false">IF(CO$4=0,0,IF(COUNTIFS(実績!$W$6:$W$505,CO$3,実績!$AI$6:$AI$505,"&lt;="&amp;$A31,実績!$AJ$6:$AJ$505,"&gt;"&amp;$A31,実績!$AL$6:$AL$505,"○")&gt;0,1,0))</f>
        <v>0</v>
      </c>
      <c r="CP31" s="39" t="n">
        <f aca="false">IF(CP$4=0,0,IF(COUNTIFS(実績!$W$6:$W$505,CP$3,実績!$AI$6:$AI$505,"&lt;="&amp;$A31,実績!$AJ$6:$AJ$505,"&gt;"&amp;$A31,実績!$AL$6:$AL$505,"○")&gt;0,1,0))</f>
        <v>0</v>
      </c>
      <c r="CQ31" s="39" t="n">
        <f aca="false">IF(CQ$4=0,0,IF(COUNTIFS(実績!$W$6:$W$505,CQ$3,実績!$AI$6:$AI$505,"&lt;="&amp;$A31,実績!$AJ$6:$AJ$505,"&gt;"&amp;$A31,実績!$AL$6:$AL$505,"○")&gt;0,1,0))</f>
        <v>0</v>
      </c>
      <c r="CR31" s="39" t="n">
        <f aca="false">IF(CR$4=0,0,IF(COUNTIFS(実績!$W$6:$W$505,CR$3,実績!$AI$6:$AI$505,"&lt;="&amp;$A31,実績!$AJ$6:$AJ$505,"&gt;"&amp;$A31,実績!$AL$6:$AL$505,"○")&gt;0,1,0))</f>
        <v>0</v>
      </c>
      <c r="CS31" s="39" t="n">
        <f aca="false">IF(CS$4=0,0,IF(COUNTIFS(実績!$W$6:$W$505,CS$3,実績!$AI$6:$AI$505,"&lt;="&amp;$A31,実績!$AJ$6:$AJ$505,"&gt;"&amp;$A31,実績!$AL$6:$AL$505,"○")&gt;0,1,0))</f>
        <v>0</v>
      </c>
      <c r="CT31" s="39" t="n">
        <f aca="false">IF(CT$4=0,0,IF(COUNTIFS(実績!$W$6:$W$505,CT$3,実績!$AI$6:$AI$505,"&lt;="&amp;$A31,実績!$AJ$6:$AJ$505,"&gt;"&amp;$A31,実績!$AL$6:$AL$505,"○")&gt;0,1,0))</f>
        <v>0</v>
      </c>
      <c r="CU31" s="39" t="n">
        <f aca="false">IF(CU$4=0,0,IF(COUNTIFS(実績!$W$6:$W$505,CU$3,実績!$AI$6:$AI$505,"&lt;="&amp;$A31,実績!$AJ$6:$AJ$505,"&gt;"&amp;$A31,実績!$AL$6:$AL$505,"○")&gt;0,1,0))</f>
        <v>0</v>
      </c>
      <c r="CV31" s="39" t="n">
        <f aca="false">IF(CV$4=0,0,IF(COUNTIFS(実績!$W$6:$W$505,CV$3,実績!$AI$6:$AI$505,"&lt;="&amp;$A31,実績!$AJ$6:$AJ$505,"&gt;"&amp;$A31,実績!$AL$6:$AL$505,"○")&gt;0,1,0))</f>
        <v>0</v>
      </c>
      <c r="CW31" s="39" t="n">
        <f aca="false">IF(CW$4=0,0,IF(COUNTIFS(実績!$W$6:$W$505,CW$3,実績!$AI$6:$AI$505,"&lt;="&amp;$A31,実績!$AJ$6:$AJ$505,"&gt;"&amp;$A31,実績!$AL$6:$AL$505,"○")&gt;0,1,0))</f>
        <v>0</v>
      </c>
      <c r="CX31" s="39" t="n">
        <f aca="false">IF(CX$4=0,0,IF(COUNTIFS(実績!$W$6:$W$505,CX$3,実績!$AI$6:$AI$505,"&lt;="&amp;$A31,実績!$AJ$6:$AJ$505,"&gt;"&amp;$A31,実績!$AL$6:$AL$505,"○")&gt;0,1,0))</f>
        <v>0</v>
      </c>
      <c r="CY31" s="39" t="n">
        <f aca="false">IF(CY$4=0,0,IF(COUNTIFS(実績!$W$6:$W$505,CY$3,実績!$AI$6:$AI$505,"&lt;="&amp;$A31,実績!$AJ$6:$AJ$505,"&gt;"&amp;$A31,実績!$AL$6:$AL$505,"○")&gt;0,1,0))</f>
        <v>0</v>
      </c>
      <c r="CZ31" s="39" t="n">
        <f aca="false">IF(CZ$4=0,0,IF(COUNTIFS(実績!$W$6:$W$505,CZ$3,実績!$AI$6:$AI$505,"&lt;="&amp;$A31,実績!$AJ$6:$AJ$505,"&gt;"&amp;$A31,実績!$AL$6:$AL$505,"○")&gt;0,1,0))</f>
        <v>0</v>
      </c>
      <c r="DA31" s="39" t="n">
        <f aca="false">IF(DA$4=0,0,IF(COUNTIFS(実績!$W$6:$W$505,DA$3,実績!$AI$6:$AI$505,"&lt;="&amp;$A31,実績!$AJ$6:$AJ$505,"&gt;"&amp;$A31,実績!$AL$6:$AL$505,"○")&gt;0,1,0))</f>
        <v>0</v>
      </c>
      <c r="DB31" s="39" t="n">
        <f aca="false">IF(DB$4=0,0,IF(COUNTIFS(実績!$W$6:$W$505,DB$3,実績!$AI$6:$AI$505,"&lt;="&amp;$A31,実績!$AJ$6:$AJ$505,"&gt;"&amp;$A31,実績!$AL$6:$AL$505,"○")&gt;0,1,0))</f>
        <v>0</v>
      </c>
      <c r="DC31" s="39" t="n">
        <f aca="false">IF(DC$4=0,0,IF(COUNTIFS(実績!$W$6:$W$505,DC$3,実績!$AI$6:$AI$505,"&lt;="&amp;$A31,実績!$AJ$6:$AJ$505,"&gt;"&amp;$A31,実績!$AL$6:$AL$505,"○")&gt;0,1,0))</f>
        <v>0</v>
      </c>
      <c r="DD31" s="39" t="n">
        <f aca="false">IF(DD$4=0,0,IF(COUNTIFS(実績!$W$6:$W$505,DD$3,実績!$AI$6:$AI$505,"&lt;="&amp;$A31,実績!$AJ$6:$AJ$505,"&gt;"&amp;$A31,実績!$AL$6:$AL$505,"○")&gt;0,1,0))</f>
        <v>0</v>
      </c>
      <c r="DE31" s="39" t="n">
        <f aca="false">IF(DE$4=0,0,IF(COUNTIFS(実績!$W$6:$W$505,DE$3,実績!$AI$6:$AI$505,"&lt;="&amp;$A31,実績!$AJ$6:$AJ$505,"&gt;"&amp;$A31,実績!$AL$6:$AL$505,"○")&gt;0,1,0))</f>
        <v>0</v>
      </c>
      <c r="DF31" s="39" t="n">
        <f aca="false">IF(DF$4=0,0,IF(COUNTIFS(実績!$W$6:$W$505,DF$3,実績!$AI$6:$AI$505,"&lt;="&amp;$A31,実績!$AJ$6:$AJ$505,"&gt;"&amp;$A31,実績!$AL$6:$AL$505,"○")&gt;0,1,0))</f>
        <v>0</v>
      </c>
      <c r="DG31" s="39" t="n">
        <f aca="false">IF(DG$4=0,0,IF(COUNTIFS(実績!$W$6:$W$505,DG$3,実績!$AI$6:$AI$505,"&lt;="&amp;$A31,実績!$AJ$6:$AJ$505,"&gt;"&amp;$A31,実績!$AL$6:$AL$505,"○")&gt;0,1,0))</f>
        <v>0</v>
      </c>
      <c r="DH31" s="39" t="n">
        <f aca="false">IF(DH$4=0,0,IF(COUNTIFS(実績!$W$6:$W$505,DH$3,実績!$AI$6:$AI$505,"&lt;="&amp;$A31,実績!$AJ$6:$AJ$505,"&gt;"&amp;$A31,実績!$AL$6:$AL$505,"○")&gt;0,1,0))</f>
        <v>0</v>
      </c>
      <c r="DI31" s="39" t="n">
        <f aca="false">IF(DI$4=0,0,IF(COUNTIFS(実績!$W$6:$W$505,DI$3,実績!$AI$6:$AI$505,"&lt;="&amp;$A31,実績!$AJ$6:$AJ$505,"&gt;"&amp;$A31,実績!$AL$6:$AL$505,"○")&gt;0,1,0))</f>
        <v>0</v>
      </c>
      <c r="DJ31" s="39" t="n">
        <f aca="false">IF(DJ$4=0,0,IF(COUNTIFS(実績!$W$6:$W$505,DJ$3,実績!$AI$6:$AI$505,"&lt;="&amp;$A31,実績!$AJ$6:$AJ$505,"&gt;"&amp;$A31,実績!$AL$6:$AL$505,"○")&gt;0,1,0))</f>
        <v>0</v>
      </c>
      <c r="DK31" s="39" t="n">
        <f aca="false">IF(DK$4=0,0,IF(COUNTIFS(実績!$W$6:$W$505,DK$3,実績!$AI$6:$AI$505,"&lt;="&amp;$A31,実績!$AJ$6:$AJ$505,"&gt;"&amp;$A31,実績!$AL$6:$AL$505,"○")&gt;0,1,0))</f>
        <v>0</v>
      </c>
      <c r="DL31" s="39" t="n">
        <f aca="false">IF(DL$4=0,0,IF(COUNTIFS(実績!$W$6:$W$505,DL$3,実績!$AI$6:$AI$505,"&lt;="&amp;$A31,実績!$AJ$6:$AJ$505,"&gt;"&amp;$A31,実績!$AL$6:$AL$505,"○")&gt;0,1,0))</f>
        <v>0</v>
      </c>
      <c r="DM31" s="39" t="n">
        <f aca="false">IF(DM$4=0,0,IF(COUNTIFS(実績!$W$6:$W$505,DM$3,実績!$AI$6:$AI$505,"&lt;="&amp;$A31,実績!$AJ$6:$AJ$505,"&gt;"&amp;$A31,実績!$AL$6:$AL$505,"○")&gt;0,1,0))</f>
        <v>0</v>
      </c>
      <c r="DN31" s="39" t="n">
        <f aca="false">IF(DN$4=0,0,IF(COUNTIFS(実績!$W$6:$W$505,DN$3,実績!$AI$6:$AI$505,"&lt;="&amp;$A31,実績!$AJ$6:$AJ$505,"&gt;"&amp;$A31,実績!$AL$6:$AL$505,"○")&gt;0,1,0))</f>
        <v>0</v>
      </c>
      <c r="DO31" s="39" t="n">
        <f aca="false">IF(DO$4=0,0,IF(COUNTIFS(実績!$W$6:$W$505,DO$3,実績!$AI$6:$AI$505,"&lt;="&amp;$A31,実績!$AJ$6:$AJ$505,"&gt;"&amp;$A31,実績!$AL$6:$AL$505,"○")&gt;0,1,0))</f>
        <v>0</v>
      </c>
      <c r="DP31" s="39" t="n">
        <f aca="false">IF(DP$4=0,0,IF(COUNTIFS(実績!$W$6:$W$505,DP$3,実績!$AI$6:$AI$505,"&lt;="&amp;$A31,実績!$AJ$6:$AJ$505,"&gt;"&amp;$A31,実績!$AL$6:$AL$505,"○")&gt;0,1,0))</f>
        <v>0</v>
      </c>
      <c r="DQ31" s="39" t="n">
        <f aca="false">IF(DQ$4=0,0,IF(COUNTIFS(実績!$W$6:$W$505,DQ$3,実績!$AI$6:$AI$505,"&lt;="&amp;$A31,実績!$AJ$6:$AJ$505,"&gt;"&amp;$A31,実績!$AL$6:$AL$505,"○")&gt;0,1,0))</f>
        <v>0</v>
      </c>
      <c r="DR31" s="39" t="n">
        <f aca="false">IF(DR$4=0,0,IF(COUNTIFS(実績!$W$6:$W$505,DR$3,実績!$AI$6:$AI$505,"&lt;="&amp;$A31,実績!$AJ$6:$AJ$505,"&gt;"&amp;$A31,実績!$AL$6:$AL$505,"○")&gt;0,1,0))</f>
        <v>0</v>
      </c>
      <c r="DS31" s="39" t="n">
        <f aca="false">SUM(C31:DR31)</f>
        <v>0</v>
      </c>
    </row>
    <row r="32" customFormat="false" ht="15" hidden="false" customHeight="false" outlineLevel="0" collapsed="false">
      <c r="A32" s="0" t="n">
        <v>130</v>
      </c>
      <c r="B32" s="38" t="n">
        <f aca="false">A32/1440</f>
        <v>0.0902777777777778</v>
      </c>
      <c r="C32" s="39" t="n">
        <f aca="false">IF(C$4=0,0,IF(COUNTIFS(実績!$W$6:$W$505,C$3,実績!$AI$6:$AI$505,"&lt;="&amp;$A32,実績!$AJ$6:$AJ$505,"&gt;"&amp;$A32,実績!$AL$6:$AL$505,"○")&gt;0,1,0))</f>
        <v>0</v>
      </c>
      <c r="D32" s="39" t="n">
        <f aca="false">IF(D$4=0,0,IF(COUNTIFS(実績!$W$6:$W$505,D$3,実績!$AI$6:$AI$505,"&lt;="&amp;$A32,実績!$AJ$6:$AJ$505,"&gt;"&amp;$A32,実績!$AL$6:$AL$505,"○")&gt;0,1,0))</f>
        <v>0</v>
      </c>
      <c r="E32" s="39" t="n">
        <f aca="false">IF(E$4=0,0,IF(COUNTIFS(実績!$W$6:$W$505,E$3,実績!$AI$6:$AI$505,"&lt;="&amp;$A32,実績!$AJ$6:$AJ$505,"&gt;"&amp;$A32,実績!$AL$6:$AL$505,"○")&gt;0,1,0))</f>
        <v>0</v>
      </c>
      <c r="F32" s="39" t="n">
        <f aca="false">IF(F$4=0,0,IF(COUNTIFS(実績!$W$6:$W$505,F$3,実績!$AI$6:$AI$505,"&lt;="&amp;$A32,実績!$AJ$6:$AJ$505,"&gt;"&amp;$A32,実績!$AL$6:$AL$505,"○")&gt;0,1,0))</f>
        <v>0</v>
      </c>
      <c r="G32" s="39" t="n">
        <f aca="false">IF(G$4=0,0,IF(COUNTIFS(実績!$W$6:$W$505,G$3,実績!$AI$6:$AI$505,"&lt;="&amp;$A32,実績!$AJ$6:$AJ$505,"&gt;"&amp;$A32,実績!$AL$6:$AL$505,"○")&gt;0,1,0))</f>
        <v>0</v>
      </c>
      <c r="H32" s="39" t="n">
        <f aca="false">IF(H$4=0,0,IF(COUNTIFS(実績!$W$6:$W$505,H$3,実績!$AI$6:$AI$505,"&lt;="&amp;$A32,実績!$AJ$6:$AJ$505,"&gt;"&amp;$A32,実績!$AL$6:$AL$505,"○")&gt;0,1,0))</f>
        <v>0</v>
      </c>
      <c r="I32" s="39" t="n">
        <f aca="false">IF(I$4=0,0,IF(COUNTIFS(実績!$W$6:$W$505,I$3,実績!$AI$6:$AI$505,"&lt;="&amp;$A32,実績!$AJ$6:$AJ$505,"&gt;"&amp;$A32,実績!$AL$6:$AL$505,"○")&gt;0,1,0))</f>
        <v>0</v>
      </c>
      <c r="J32" s="39" t="n">
        <f aca="false">IF(J$4=0,0,IF(COUNTIFS(実績!$W$6:$W$505,J$3,実績!$AI$6:$AI$505,"&lt;="&amp;$A32,実績!$AJ$6:$AJ$505,"&gt;"&amp;$A32,実績!$AL$6:$AL$505,"○")&gt;0,1,0))</f>
        <v>0</v>
      </c>
      <c r="K32" s="39" t="n">
        <f aca="false">IF(K$4=0,0,IF(COUNTIFS(実績!$W$6:$W$505,K$3,実績!$AI$6:$AI$505,"&lt;="&amp;$A32,実績!$AJ$6:$AJ$505,"&gt;"&amp;$A32,実績!$AL$6:$AL$505,"○")&gt;0,1,0))</f>
        <v>0</v>
      </c>
      <c r="L32" s="39" t="n">
        <f aca="false">IF(L$4=0,0,IF(COUNTIFS(実績!$W$6:$W$505,L$3,実績!$AI$6:$AI$505,"&lt;="&amp;$A32,実績!$AJ$6:$AJ$505,"&gt;"&amp;$A32,実績!$AL$6:$AL$505,"○")&gt;0,1,0))</f>
        <v>0</v>
      </c>
      <c r="M32" s="39" t="n">
        <f aca="false">IF(M$4=0,0,IF(COUNTIFS(実績!$W$6:$W$505,M$3,実績!$AI$6:$AI$505,"&lt;="&amp;$A32,実績!$AJ$6:$AJ$505,"&gt;"&amp;$A32,実績!$AL$6:$AL$505,"○")&gt;0,1,0))</f>
        <v>0</v>
      </c>
      <c r="N32" s="39" t="n">
        <f aca="false">IF(N$4=0,0,IF(COUNTIFS(実績!$W$6:$W$505,N$3,実績!$AI$6:$AI$505,"&lt;="&amp;$A32,実績!$AJ$6:$AJ$505,"&gt;"&amp;$A32,実績!$AL$6:$AL$505,"○")&gt;0,1,0))</f>
        <v>0</v>
      </c>
      <c r="O32" s="39" t="n">
        <f aca="false">IF(O$4=0,0,IF(COUNTIFS(実績!$W$6:$W$505,O$3,実績!$AI$6:$AI$505,"&lt;="&amp;$A32,実績!$AJ$6:$AJ$505,"&gt;"&amp;$A32,実績!$AL$6:$AL$505,"○")&gt;0,1,0))</f>
        <v>0</v>
      </c>
      <c r="P32" s="39" t="n">
        <f aca="false">IF(P$4=0,0,IF(COUNTIFS(実績!$W$6:$W$505,P$3,実績!$AI$6:$AI$505,"&lt;="&amp;$A32,実績!$AJ$6:$AJ$505,"&gt;"&amp;$A32,実績!$AL$6:$AL$505,"○")&gt;0,1,0))</f>
        <v>0</v>
      </c>
      <c r="Q32" s="39" t="n">
        <f aca="false">IF(Q$4=0,0,IF(COUNTIFS(実績!$W$6:$W$505,Q$3,実績!$AI$6:$AI$505,"&lt;="&amp;$A32,実績!$AJ$6:$AJ$505,"&gt;"&amp;$A32,実績!$AL$6:$AL$505,"○")&gt;0,1,0))</f>
        <v>0</v>
      </c>
      <c r="R32" s="39" t="n">
        <f aca="false">IF(R$4=0,0,IF(COUNTIFS(実績!$W$6:$W$505,R$3,実績!$AI$6:$AI$505,"&lt;="&amp;$A32,実績!$AJ$6:$AJ$505,"&gt;"&amp;$A32,実績!$AL$6:$AL$505,"○")&gt;0,1,0))</f>
        <v>0</v>
      </c>
      <c r="S32" s="39" t="n">
        <f aca="false">IF(S$4=0,0,IF(COUNTIFS(実績!$W$6:$W$505,S$3,実績!$AI$6:$AI$505,"&lt;="&amp;$A32,実績!$AJ$6:$AJ$505,"&gt;"&amp;$A32,実績!$AL$6:$AL$505,"○")&gt;0,1,0))</f>
        <v>0</v>
      </c>
      <c r="T32" s="39" t="n">
        <f aca="false">IF(T$4=0,0,IF(COUNTIFS(実績!$W$6:$W$505,T$3,実績!$AI$6:$AI$505,"&lt;="&amp;$A32,実績!$AJ$6:$AJ$505,"&gt;"&amp;$A32,実績!$AL$6:$AL$505,"○")&gt;0,1,0))</f>
        <v>0</v>
      </c>
      <c r="U32" s="39" t="n">
        <f aca="false">IF(U$4=0,0,IF(COUNTIFS(実績!$W$6:$W$505,U$3,実績!$AI$6:$AI$505,"&lt;="&amp;$A32,実績!$AJ$6:$AJ$505,"&gt;"&amp;$A32,実績!$AL$6:$AL$505,"○")&gt;0,1,0))</f>
        <v>0</v>
      </c>
      <c r="V32" s="39" t="n">
        <f aca="false">IF(V$4=0,0,IF(COUNTIFS(実績!$W$6:$W$505,V$3,実績!$AI$6:$AI$505,"&lt;="&amp;$A32,実績!$AJ$6:$AJ$505,"&gt;"&amp;$A32,実績!$AL$6:$AL$505,"○")&gt;0,1,0))</f>
        <v>0</v>
      </c>
      <c r="W32" s="39" t="n">
        <f aca="false">IF(W$4=0,0,IF(COUNTIFS(実績!$W$6:$W$505,W$3,実績!$AI$6:$AI$505,"&lt;="&amp;$A32,実績!$AJ$6:$AJ$505,"&gt;"&amp;$A32,実績!$AL$6:$AL$505,"○")&gt;0,1,0))</f>
        <v>0</v>
      </c>
      <c r="X32" s="39" t="n">
        <f aca="false">IF(X$4=0,0,IF(COUNTIFS(実績!$W$6:$W$505,X$3,実績!$AI$6:$AI$505,"&lt;="&amp;$A32,実績!$AJ$6:$AJ$505,"&gt;"&amp;$A32,実績!$AL$6:$AL$505,"○")&gt;0,1,0))</f>
        <v>0</v>
      </c>
      <c r="Y32" s="39" t="n">
        <f aca="false">IF(Y$4=0,0,IF(COUNTIFS(実績!$W$6:$W$505,Y$3,実績!$AI$6:$AI$505,"&lt;="&amp;$A32,実績!$AJ$6:$AJ$505,"&gt;"&amp;$A32,実績!$AL$6:$AL$505,"○")&gt;0,1,0))</f>
        <v>0</v>
      </c>
      <c r="Z32" s="39" t="n">
        <f aca="false">IF(Z$4=0,0,IF(COUNTIFS(実績!$W$6:$W$505,Z$3,実績!$AI$6:$AI$505,"&lt;="&amp;$A32,実績!$AJ$6:$AJ$505,"&gt;"&amp;$A32,実績!$AL$6:$AL$505,"○")&gt;0,1,0))</f>
        <v>0</v>
      </c>
      <c r="AA32" s="39" t="n">
        <f aca="false">IF(AA$4=0,0,IF(COUNTIFS(実績!$W$6:$W$505,AA$3,実績!$AI$6:$AI$505,"&lt;="&amp;$A32,実績!$AJ$6:$AJ$505,"&gt;"&amp;$A32,実績!$AL$6:$AL$505,"○")&gt;0,1,0))</f>
        <v>0</v>
      </c>
      <c r="AB32" s="39" t="n">
        <f aca="false">IF(AB$4=0,0,IF(COUNTIFS(実績!$W$6:$W$505,AB$3,実績!$AI$6:$AI$505,"&lt;="&amp;$A32,実績!$AJ$6:$AJ$505,"&gt;"&amp;$A32,実績!$AL$6:$AL$505,"○")&gt;0,1,0))</f>
        <v>0</v>
      </c>
      <c r="AC32" s="39" t="n">
        <f aca="false">IF(AC$4=0,0,IF(COUNTIFS(実績!$W$6:$W$505,AC$3,実績!$AI$6:$AI$505,"&lt;="&amp;$A32,実績!$AJ$6:$AJ$505,"&gt;"&amp;$A32,実績!$AL$6:$AL$505,"○")&gt;0,1,0))</f>
        <v>0</v>
      </c>
      <c r="AD32" s="39" t="n">
        <f aca="false">IF(AD$4=0,0,IF(COUNTIFS(実績!$W$6:$W$505,AD$3,実績!$AI$6:$AI$505,"&lt;="&amp;$A32,実績!$AJ$6:$AJ$505,"&gt;"&amp;$A32,実績!$AL$6:$AL$505,"○")&gt;0,1,0))</f>
        <v>0</v>
      </c>
      <c r="AE32" s="39" t="n">
        <f aca="false">IF(AE$4=0,0,IF(COUNTIFS(実績!$W$6:$W$505,AE$3,実績!$AI$6:$AI$505,"&lt;="&amp;$A32,実績!$AJ$6:$AJ$505,"&gt;"&amp;$A32,実績!$AL$6:$AL$505,"○")&gt;0,1,0))</f>
        <v>0</v>
      </c>
      <c r="AF32" s="39" t="n">
        <f aca="false">IF(AF$4=0,0,IF(COUNTIFS(実績!$W$6:$W$505,AF$3,実績!$AI$6:$AI$505,"&lt;="&amp;$A32,実績!$AJ$6:$AJ$505,"&gt;"&amp;$A32,実績!$AL$6:$AL$505,"○")&gt;0,1,0))</f>
        <v>0</v>
      </c>
      <c r="AG32" s="39" t="n">
        <f aca="false">IF(AG$4=0,0,IF(COUNTIFS(実績!$W$6:$W$505,AG$3,実績!$AI$6:$AI$505,"&lt;="&amp;$A32,実績!$AJ$6:$AJ$505,"&gt;"&amp;$A32,実績!$AL$6:$AL$505,"○")&gt;0,1,0))</f>
        <v>0</v>
      </c>
      <c r="AH32" s="39" t="n">
        <f aca="false">IF(AH$4=0,0,IF(COUNTIFS(実績!$W$6:$W$505,AH$3,実績!$AI$6:$AI$505,"&lt;="&amp;$A32,実績!$AJ$6:$AJ$505,"&gt;"&amp;$A32,実績!$AL$6:$AL$505,"○")&gt;0,1,0))</f>
        <v>0</v>
      </c>
      <c r="AI32" s="39" t="n">
        <f aca="false">IF(AI$4=0,0,IF(COUNTIFS(実績!$W$6:$W$505,AI$3,実績!$AI$6:$AI$505,"&lt;="&amp;$A32,実績!$AJ$6:$AJ$505,"&gt;"&amp;$A32,実績!$AL$6:$AL$505,"○")&gt;0,1,0))</f>
        <v>0</v>
      </c>
      <c r="AJ32" s="39" t="n">
        <f aca="false">IF(AJ$4=0,0,IF(COUNTIFS(実績!$W$6:$W$505,AJ$3,実績!$AI$6:$AI$505,"&lt;="&amp;$A32,実績!$AJ$6:$AJ$505,"&gt;"&amp;$A32,実績!$AL$6:$AL$505,"○")&gt;0,1,0))</f>
        <v>0</v>
      </c>
      <c r="AK32" s="39" t="n">
        <f aca="false">IF(AK$4=0,0,IF(COUNTIFS(実績!$W$6:$W$505,AK$3,実績!$AI$6:$AI$505,"&lt;="&amp;$A32,実績!$AJ$6:$AJ$505,"&gt;"&amp;$A32,実績!$AL$6:$AL$505,"○")&gt;0,1,0))</f>
        <v>0</v>
      </c>
      <c r="AL32" s="39" t="n">
        <f aca="false">IF(AL$4=0,0,IF(COUNTIFS(実績!$W$6:$W$505,AL$3,実績!$AI$6:$AI$505,"&lt;="&amp;$A32,実績!$AJ$6:$AJ$505,"&gt;"&amp;$A32,実績!$AL$6:$AL$505,"○")&gt;0,1,0))</f>
        <v>0</v>
      </c>
      <c r="AM32" s="39" t="n">
        <f aca="false">IF(AM$4=0,0,IF(COUNTIFS(実績!$W$6:$W$505,AM$3,実績!$AI$6:$AI$505,"&lt;="&amp;$A32,実績!$AJ$6:$AJ$505,"&gt;"&amp;$A32,実績!$AL$6:$AL$505,"○")&gt;0,1,0))</f>
        <v>0</v>
      </c>
      <c r="AN32" s="39" t="n">
        <f aca="false">IF(AN$4=0,0,IF(COUNTIFS(実績!$W$6:$W$505,AN$3,実績!$AI$6:$AI$505,"&lt;="&amp;$A32,実績!$AJ$6:$AJ$505,"&gt;"&amp;$A32,実績!$AL$6:$AL$505,"○")&gt;0,1,0))</f>
        <v>0</v>
      </c>
      <c r="AO32" s="39" t="n">
        <f aca="false">IF(AO$4=0,0,IF(COUNTIFS(実績!$W$6:$W$505,AO$3,実績!$AI$6:$AI$505,"&lt;="&amp;$A32,実績!$AJ$6:$AJ$505,"&gt;"&amp;$A32,実績!$AL$6:$AL$505,"○")&gt;0,1,0))</f>
        <v>0</v>
      </c>
      <c r="AP32" s="39" t="n">
        <f aca="false">IF(AP$4=0,0,IF(COUNTIFS(実績!$W$6:$W$505,AP$3,実績!$AI$6:$AI$505,"&lt;="&amp;$A32,実績!$AJ$6:$AJ$505,"&gt;"&amp;$A32,実績!$AL$6:$AL$505,"○")&gt;0,1,0))</f>
        <v>0</v>
      </c>
      <c r="AQ32" s="39" t="n">
        <f aca="false">IF(AQ$4=0,0,IF(COUNTIFS(実績!$W$6:$W$505,AQ$3,実績!$AI$6:$AI$505,"&lt;="&amp;$A32,実績!$AJ$6:$AJ$505,"&gt;"&amp;$A32,実績!$AL$6:$AL$505,"○")&gt;0,1,0))</f>
        <v>0</v>
      </c>
      <c r="AR32" s="39" t="n">
        <f aca="false">IF(AR$4=0,0,IF(COUNTIFS(実績!$W$6:$W$505,AR$3,実績!$AI$6:$AI$505,"&lt;="&amp;$A32,実績!$AJ$6:$AJ$505,"&gt;"&amp;$A32,実績!$AL$6:$AL$505,"○")&gt;0,1,0))</f>
        <v>0</v>
      </c>
      <c r="AS32" s="39" t="n">
        <f aca="false">IF(AS$4=0,0,IF(COUNTIFS(実績!$W$6:$W$505,AS$3,実績!$AI$6:$AI$505,"&lt;="&amp;$A32,実績!$AJ$6:$AJ$505,"&gt;"&amp;$A32,実績!$AL$6:$AL$505,"○")&gt;0,1,0))</f>
        <v>0</v>
      </c>
      <c r="AT32" s="39" t="n">
        <f aca="false">IF(AT$4=0,0,IF(COUNTIFS(実績!$W$6:$W$505,AT$3,実績!$AI$6:$AI$505,"&lt;="&amp;$A32,実績!$AJ$6:$AJ$505,"&gt;"&amp;$A32,実績!$AL$6:$AL$505,"○")&gt;0,1,0))</f>
        <v>0</v>
      </c>
      <c r="AU32" s="39" t="n">
        <f aca="false">IF(AU$4=0,0,IF(COUNTIFS(実績!$W$6:$W$505,AU$3,実績!$AI$6:$AI$505,"&lt;="&amp;$A32,実績!$AJ$6:$AJ$505,"&gt;"&amp;$A32,実績!$AL$6:$AL$505,"○")&gt;0,1,0))</f>
        <v>0</v>
      </c>
      <c r="AV32" s="39" t="n">
        <f aca="false">IF(AV$4=0,0,IF(COUNTIFS(実績!$W$6:$W$505,AV$3,実績!$AI$6:$AI$505,"&lt;="&amp;$A32,実績!$AJ$6:$AJ$505,"&gt;"&amp;$A32,実績!$AL$6:$AL$505,"○")&gt;0,1,0))</f>
        <v>0</v>
      </c>
      <c r="AW32" s="39" t="n">
        <f aca="false">IF(AW$4=0,0,IF(COUNTIFS(実績!$W$6:$W$505,AW$3,実績!$AI$6:$AI$505,"&lt;="&amp;$A32,実績!$AJ$6:$AJ$505,"&gt;"&amp;$A32,実績!$AL$6:$AL$505,"○")&gt;0,1,0))</f>
        <v>0</v>
      </c>
      <c r="AX32" s="39" t="n">
        <f aca="false">IF(AX$4=0,0,IF(COUNTIFS(実績!$W$6:$W$505,AX$3,実績!$AI$6:$AI$505,"&lt;="&amp;$A32,実績!$AJ$6:$AJ$505,"&gt;"&amp;$A32,実績!$AL$6:$AL$505,"○")&gt;0,1,0))</f>
        <v>0</v>
      </c>
      <c r="AY32" s="39" t="n">
        <f aca="false">IF(AY$4=0,0,IF(COUNTIFS(実績!$W$6:$W$505,AY$3,実績!$AI$6:$AI$505,"&lt;="&amp;$A32,実績!$AJ$6:$AJ$505,"&gt;"&amp;$A32,実績!$AL$6:$AL$505,"○")&gt;0,1,0))</f>
        <v>0</v>
      </c>
      <c r="AZ32" s="39" t="n">
        <f aca="false">IF(AZ$4=0,0,IF(COUNTIFS(実績!$W$6:$W$505,AZ$3,実績!$AI$6:$AI$505,"&lt;="&amp;$A32,実績!$AJ$6:$AJ$505,"&gt;"&amp;$A32,実績!$AL$6:$AL$505,"○")&gt;0,1,0))</f>
        <v>0</v>
      </c>
      <c r="BA32" s="39" t="n">
        <f aca="false">IF(BA$4=0,0,IF(COUNTIFS(実績!$W$6:$W$505,BA$3,実績!$AI$6:$AI$505,"&lt;="&amp;$A32,実績!$AJ$6:$AJ$505,"&gt;"&amp;$A32,実績!$AL$6:$AL$505,"○")&gt;0,1,0))</f>
        <v>0</v>
      </c>
      <c r="BB32" s="39" t="n">
        <f aca="false">IF(BB$4=0,0,IF(COUNTIFS(実績!$W$6:$W$505,BB$3,実績!$AI$6:$AI$505,"&lt;="&amp;$A32,実績!$AJ$6:$AJ$505,"&gt;"&amp;$A32,実績!$AL$6:$AL$505,"○")&gt;0,1,0))</f>
        <v>0</v>
      </c>
      <c r="BC32" s="39" t="n">
        <f aca="false">IF(BC$4=0,0,IF(COUNTIFS(実績!$W$6:$W$505,BC$3,実績!$AI$6:$AI$505,"&lt;="&amp;$A32,実績!$AJ$6:$AJ$505,"&gt;"&amp;$A32,実績!$AL$6:$AL$505,"○")&gt;0,1,0))</f>
        <v>0</v>
      </c>
      <c r="BD32" s="39" t="n">
        <f aca="false">IF(BD$4=0,0,IF(COUNTIFS(実績!$W$6:$W$505,BD$3,実績!$AI$6:$AI$505,"&lt;="&amp;$A32,実績!$AJ$6:$AJ$505,"&gt;"&amp;$A32,実績!$AL$6:$AL$505,"○")&gt;0,1,0))</f>
        <v>0</v>
      </c>
      <c r="BE32" s="39" t="n">
        <f aca="false">IF(BE$4=0,0,IF(COUNTIFS(実績!$W$6:$W$505,BE$3,実績!$AI$6:$AI$505,"&lt;="&amp;$A32,実績!$AJ$6:$AJ$505,"&gt;"&amp;$A32,実績!$AL$6:$AL$505,"○")&gt;0,1,0))</f>
        <v>0</v>
      </c>
      <c r="BF32" s="39" t="n">
        <f aca="false">IF(BF$4=0,0,IF(COUNTIFS(実績!$W$6:$W$505,BF$3,実績!$AI$6:$AI$505,"&lt;="&amp;$A32,実績!$AJ$6:$AJ$505,"&gt;"&amp;$A32,実績!$AL$6:$AL$505,"○")&gt;0,1,0))</f>
        <v>0</v>
      </c>
      <c r="BG32" s="39" t="n">
        <f aca="false">IF(BG$4=0,0,IF(COUNTIFS(実績!$W$6:$W$505,BG$3,実績!$AI$6:$AI$505,"&lt;="&amp;$A32,実績!$AJ$6:$AJ$505,"&gt;"&amp;$A32,実績!$AL$6:$AL$505,"○")&gt;0,1,0))</f>
        <v>0</v>
      </c>
      <c r="BH32" s="39" t="n">
        <f aca="false">IF(BH$4=0,0,IF(COUNTIFS(実績!$W$6:$W$505,BH$3,実績!$AI$6:$AI$505,"&lt;="&amp;$A32,実績!$AJ$6:$AJ$505,"&gt;"&amp;$A32,実績!$AL$6:$AL$505,"○")&gt;0,1,0))</f>
        <v>0</v>
      </c>
      <c r="BI32" s="39" t="n">
        <f aca="false">IF(BI$4=0,0,IF(COUNTIFS(実績!$W$6:$W$505,BI$3,実績!$AI$6:$AI$505,"&lt;="&amp;$A32,実績!$AJ$6:$AJ$505,"&gt;"&amp;$A32,実績!$AL$6:$AL$505,"○")&gt;0,1,0))</f>
        <v>0</v>
      </c>
      <c r="BJ32" s="39" t="n">
        <f aca="false">IF(BJ$4=0,0,IF(COUNTIFS(実績!$W$6:$W$505,BJ$3,実績!$AI$6:$AI$505,"&lt;="&amp;$A32,実績!$AJ$6:$AJ$505,"&gt;"&amp;$A32,実績!$AL$6:$AL$505,"○")&gt;0,1,0))</f>
        <v>0</v>
      </c>
      <c r="BK32" s="39" t="n">
        <f aca="false">IF(BK$4=0,0,IF(COUNTIFS(実績!$W$6:$W$505,BK$3,実績!$AI$6:$AI$505,"&lt;="&amp;$A32,実績!$AJ$6:$AJ$505,"&gt;"&amp;$A32,実績!$AL$6:$AL$505,"○")&gt;0,1,0))</f>
        <v>0</v>
      </c>
      <c r="BL32" s="39" t="n">
        <f aca="false">IF(BL$4=0,0,IF(COUNTIFS(実績!$W$6:$W$505,BL$3,実績!$AI$6:$AI$505,"&lt;="&amp;$A32,実績!$AJ$6:$AJ$505,"&gt;"&amp;$A32,実績!$AL$6:$AL$505,"○")&gt;0,1,0))</f>
        <v>0</v>
      </c>
      <c r="BM32" s="39" t="n">
        <f aca="false">IF(BM$4=0,0,IF(COUNTIFS(実績!$W$6:$W$505,BM$3,実績!$AI$6:$AI$505,"&lt;="&amp;$A32,実績!$AJ$6:$AJ$505,"&gt;"&amp;$A32,実績!$AL$6:$AL$505,"○")&gt;0,1,0))</f>
        <v>0</v>
      </c>
      <c r="BN32" s="39" t="n">
        <f aca="false">IF(BN$4=0,0,IF(COUNTIFS(実績!$W$6:$W$505,BN$3,実績!$AI$6:$AI$505,"&lt;="&amp;$A32,実績!$AJ$6:$AJ$505,"&gt;"&amp;$A32,実績!$AL$6:$AL$505,"○")&gt;0,1,0))</f>
        <v>0</v>
      </c>
      <c r="BO32" s="39" t="n">
        <f aca="false">IF(BO$4=0,0,IF(COUNTIFS(実績!$W$6:$W$505,BO$3,実績!$AI$6:$AI$505,"&lt;="&amp;$A32,実績!$AJ$6:$AJ$505,"&gt;"&amp;$A32,実績!$AL$6:$AL$505,"○")&gt;0,1,0))</f>
        <v>0</v>
      </c>
      <c r="BP32" s="39" t="n">
        <f aca="false">IF(BP$4=0,0,IF(COUNTIFS(実績!$W$6:$W$505,BP$3,実績!$AI$6:$AI$505,"&lt;="&amp;$A32,実績!$AJ$6:$AJ$505,"&gt;"&amp;$A32,実績!$AL$6:$AL$505,"○")&gt;0,1,0))</f>
        <v>0</v>
      </c>
      <c r="BQ32" s="39" t="n">
        <f aca="false">IF(BQ$4=0,0,IF(COUNTIFS(実績!$W$6:$W$505,BQ$3,実績!$AI$6:$AI$505,"&lt;="&amp;$A32,実績!$AJ$6:$AJ$505,"&gt;"&amp;$A32,実績!$AL$6:$AL$505,"○")&gt;0,1,0))</f>
        <v>0</v>
      </c>
      <c r="BR32" s="39" t="n">
        <f aca="false">IF(BR$4=0,0,IF(COUNTIFS(実績!$W$6:$W$505,BR$3,実績!$AI$6:$AI$505,"&lt;="&amp;$A32,実績!$AJ$6:$AJ$505,"&gt;"&amp;$A32,実績!$AL$6:$AL$505,"○")&gt;0,1,0))</f>
        <v>0</v>
      </c>
      <c r="BS32" s="39" t="n">
        <f aca="false">IF(BS$4=0,0,IF(COUNTIFS(実績!$W$6:$W$505,BS$3,実績!$AI$6:$AI$505,"&lt;="&amp;$A32,実績!$AJ$6:$AJ$505,"&gt;"&amp;$A32,実績!$AL$6:$AL$505,"○")&gt;0,1,0))</f>
        <v>0</v>
      </c>
      <c r="BT32" s="39" t="n">
        <f aca="false">IF(BT$4=0,0,IF(COUNTIFS(実績!$W$6:$W$505,BT$3,実績!$AI$6:$AI$505,"&lt;="&amp;$A32,実績!$AJ$6:$AJ$505,"&gt;"&amp;$A32,実績!$AL$6:$AL$505,"○")&gt;0,1,0))</f>
        <v>0</v>
      </c>
      <c r="BU32" s="39" t="n">
        <f aca="false">IF(BU$4=0,0,IF(COUNTIFS(実績!$W$6:$W$505,BU$3,実績!$AI$6:$AI$505,"&lt;="&amp;$A32,実績!$AJ$6:$AJ$505,"&gt;"&amp;$A32,実績!$AL$6:$AL$505,"○")&gt;0,1,0))</f>
        <v>0</v>
      </c>
      <c r="BV32" s="39" t="n">
        <f aca="false">IF(BV$4=0,0,IF(COUNTIFS(実績!$W$6:$W$505,BV$3,実績!$AI$6:$AI$505,"&lt;="&amp;$A32,実績!$AJ$6:$AJ$505,"&gt;"&amp;$A32,実績!$AL$6:$AL$505,"○")&gt;0,1,0))</f>
        <v>0</v>
      </c>
      <c r="BW32" s="39" t="n">
        <f aca="false">IF(BW$4=0,0,IF(COUNTIFS(実績!$W$6:$W$505,BW$3,実績!$AI$6:$AI$505,"&lt;="&amp;$A32,実績!$AJ$6:$AJ$505,"&gt;"&amp;$A32,実績!$AL$6:$AL$505,"○")&gt;0,1,0))</f>
        <v>0</v>
      </c>
      <c r="BX32" s="39" t="n">
        <f aca="false">IF(BX$4=0,0,IF(COUNTIFS(実績!$W$6:$W$505,BX$3,実績!$AI$6:$AI$505,"&lt;="&amp;$A32,実績!$AJ$6:$AJ$505,"&gt;"&amp;$A32,実績!$AL$6:$AL$505,"○")&gt;0,1,0))</f>
        <v>0</v>
      </c>
      <c r="BY32" s="39" t="n">
        <f aca="false">IF(BY$4=0,0,IF(COUNTIFS(実績!$W$6:$W$505,BY$3,実績!$AI$6:$AI$505,"&lt;="&amp;$A32,実績!$AJ$6:$AJ$505,"&gt;"&amp;$A32,実績!$AL$6:$AL$505,"○")&gt;0,1,0))</f>
        <v>0</v>
      </c>
      <c r="BZ32" s="39" t="n">
        <f aca="false">IF(BZ$4=0,0,IF(COUNTIFS(実績!$W$6:$W$505,BZ$3,実績!$AI$6:$AI$505,"&lt;="&amp;$A32,実績!$AJ$6:$AJ$505,"&gt;"&amp;$A32,実績!$AL$6:$AL$505,"○")&gt;0,1,0))</f>
        <v>0</v>
      </c>
      <c r="CA32" s="39" t="n">
        <f aca="false">IF(CA$4=0,0,IF(COUNTIFS(実績!$W$6:$W$505,CA$3,実績!$AI$6:$AI$505,"&lt;="&amp;$A32,実績!$AJ$6:$AJ$505,"&gt;"&amp;$A32,実績!$AL$6:$AL$505,"○")&gt;0,1,0))</f>
        <v>0</v>
      </c>
      <c r="CB32" s="39" t="n">
        <f aca="false">IF(CB$4=0,0,IF(COUNTIFS(実績!$W$6:$W$505,CB$3,実績!$AI$6:$AI$505,"&lt;="&amp;$A32,実績!$AJ$6:$AJ$505,"&gt;"&amp;$A32,実績!$AL$6:$AL$505,"○")&gt;0,1,0))</f>
        <v>0</v>
      </c>
      <c r="CC32" s="39" t="n">
        <f aca="false">IF(CC$4=0,0,IF(COUNTIFS(実績!$W$6:$W$505,CC$3,実績!$AI$6:$AI$505,"&lt;="&amp;$A32,実績!$AJ$6:$AJ$505,"&gt;"&amp;$A32,実績!$AL$6:$AL$505,"○")&gt;0,1,0))</f>
        <v>0</v>
      </c>
      <c r="CD32" s="39" t="n">
        <f aca="false">IF(CD$4=0,0,IF(COUNTIFS(実績!$W$6:$W$505,CD$3,実績!$AI$6:$AI$505,"&lt;="&amp;$A32,実績!$AJ$6:$AJ$505,"&gt;"&amp;$A32,実績!$AL$6:$AL$505,"○")&gt;0,1,0))</f>
        <v>0</v>
      </c>
      <c r="CE32" s="39" t="n">
        <f aca="false">IF(CE$4=0,0,IF(COUNTIFS(実績!$W$6:$W$505,CE$3,実績!$AI$6:$AI$505,"&lt;="&amp;$A32,実績!$AJ$6:$AJ$505,"&gt;"&amp;$A32,実績!$AL$6:$AL$505,"○")&gt;0,1,0))</f>
        <v>0</v>
      </c>
      <c r="CF32" s="39" t="n">
        <f aca="false">IF(CF$4=0,0,IF(COUNTIFS(実績!$W$6:$W$505,CF$3,実績!$AI$6:$AI$505,"&lt;="&amp;$A32,実績!$AJ$6:$AJ$505,"&gt;"&amp;$A32,実績!$AL$6:$AL$505,"○")&gt;0,1,0))</f>
        <v>0</v>
      </c>
      <c r="CG32" s="39" t="n">
        <f aca="false">IF(CG$4=0,0,IF(COUNTIFS(実績!$W$6:$W$505,CG$3,実績!$AI$6:$AI$505,"&lt;="&amp;$A32,実績!$AJ$6:$AJ$505,"&gt;"&amp;$A32,実績!$AL$6:$AL$505,"○")&gt;0,1,0))</f>
        <v>0</v>
      </c>
      <c r="CH32" s="39" t="n">
        <f aca="false">IF(CH$4=0,0,IF(COUNTIFS(実績!$W$6:$W$505,CH$3,実績!$AI$6:$AI$505,"&lt;="&amp;$A32,実績!$AJ$6:$AJ$505,"&gt;"&amp;$A32,実績!$AL$6:$AL$505,"○")&gt;0,1,0))</f>
        <v>0</v>
      </c>
      <c r="CI32" s="39" t="n">
        <f aca="false">IF(CI$4=0,0,IF(COUNTIFS(実績!$W$6:$W$505,CI$3,実績!$AI$6:$AI$505,"&lt;="&amp;$A32,実績!$AJ$6:$AJ$505,"&gt;"&amp;$A32,実績!$AL$6:$AL$505,"○")&gt;0,1,0))</f>
        <v>0</v>
      </c>
      <c r="CJ32" s="39" t="n">
        <f aca="false">IF(CJ$4=0,0,IF(COUNTIFS(実績!$W$6:$W$505,CJ$3,実績!$AI$6:$AI$505,"&lt;="&amp;$A32,実績!$AJ$6:$AJ$505,"&gt;"&amp;$A32,実績!$AL$6:$AL$505,"○")&gt;0,1,0))</f>
        <v>0</v>
      </c>
      <c r="CK32" s="39" t="n">
        <f aca="false">IF(CK$4=0,0,IF(COUNTIFS(実績!$W$6:$W$505,CK$3,実績!$AI$6:$AI$505,"&lt;="&amp;$A32,実績!$AJ$6:$AJ$505,"&gt;"&amp;$A32,実績!$AL$6:$AL$505,"○")&gt;0,1,0))</f>
        <v>0</v>
      </c>
      <c r="CL32" s="39" t="n">
        <f aca="false">IF(CL$4=0,0,IF(COUNTIFS(実績!$W$6:$W$505,CL$3,実績!$AI$6:$AI$505,"&lt;="&amp;$A32,実績!$AJ$6:$AJ$505,"&gt;"&amp;$A32,実績!$AL$6:$AL$505,"○")&gt;0,1,0))</f>
        <v>0</v>
      </c>
      <c r="CM32" s="39" t="n">
        <f aca="false">IF(CM$4=0,0,IF(COUNTIFS(実績!$W$6:$W$505,CM$3,実績!$AI$6:$AI$505,"&lt;="&amp;$A32,実績!$AJ$6:$AJ$505,"&gt;"&amp;$A32,実績!$AL$6:$AL$505,"○")&gt;0,1,0))</f>
        <v>0</v>
      </c>
      <c r="CN32" s="39" t="n">
        <f aca="false">IF(CN$4=0,0,IF(COUNTIFS(実績!$W$6:$W$505,CN$3,実績!$AI$6:$AI$505,"&lt;="&amp;$A32,実績!$AJ$6:$AJ$505,"&gt;"&amp;$A32,実績!$AL$6:$AL$505,"○")&gt;0,1,0))</f>
        <v>0</v>
      </c>
      <c r="CO32" s="39" t="n">
        <f aca="false">IF(CO$4=0,0,IF(COUNTIFS(実績!$W$6:$W$505,CO$3,実績!$AI$6:$AI$505,"&lt;="&amp;$A32,実績!$AJ$6:$AJ$505,"&gt;"&amp;$A32,実績!$AL$6:$AL$505,"○")&gt;0,1,0))</f>
        <v>0</v>
      </c>
      <c r="CP32" s="39" t="n">
        <f aca="false">IF(CP$4=0,0,IF(COUNTIFS(実績!$W$6:$W$505,CP$3,実績!$AI$6:$AI$505,"&lt;="&amp;$A32,実績!$AJ$6:$AJ$505,"&gt;"&amp;$A32,実績!$AL$6:$AL$505,"○")&gt;0,1,0))</f>
        <v>0</v>
      </c>
      <c r="CQ32" s="39" t="n">
        <f aca="false">IF(CQ$4=0,0,IF(COUNTIFS(実績!$W$6:$W$505,CQ$3,実績!$AI$6:$AI$505,"&lt;="&amp;$A32,実績!$AJ$6:$AJ$505,"&gt;"&amp;$A32,実績!$AL$6:$AL$505,"○")&gt;0,1,0))</f>
        <v>0</v>
      </c>
      <c r="CR32" s="39" t="n">
        <f aca="false">IF(CR$4=0,0,IF(COUNTIFS(実績!$W$6:$W$505,CR$3,実績!$AI$6:$AI$505,"&lt;="&amp;$A32,実績!$AJ$6:$AJ$505,"&gt;"&amp;$A32,実績!$AL$6:$AL$505,"○")&gt;0,1,0))</f>
        <v>0</v>
      </c>
      <c r="CS32" s="39" t="n">
        <f aca="false">IF(CS$4=0,0,IF(COUNTIFS(実績!$W$6:$W$505,CS$3,実績!$AI$6:$AI$505,"&lt;="&amp;$A32,実績!$AJ$6:$AJ$505,"&gt;"&amp;$A32,実績!$AL$6:$AL$505,"○")&gt;0,1,0))</f>
        <v>0</v>
      </c>
      <c r="CT32" s="39" t="n">
        <f aca="false">IF(CT$4=0,0,IF(COUNTIFS(実績!$W$6:$W$505,CT$3,実績!$AI$6:$AI$505,"&lt;="&amp;$A32,実績!$AJ$6:$AJ$505,"&gt;"&amp;$A32,実績!$AL$6:$AL$505,"○")&gt;0,1,0))</f>
        <v>0</v>
      </c>
      <c r="CU32" s="39" t="n">
        <f aca="false">IF(CU$4=0,0,IF(COUNTIFS(実績!$W$6:$W$505,CU$3,実績!$AI$6:$AI$505,"&lt;="&amp;$A32,実績!$AJ$6:$AJ$505,"&gt;"&amp;$A32,実績!$AL$6:$AL$505,"○")&gt;0,1,0))</f>
        <v>0</v>
      </c>
      <c r="CV32" s="39" t="n">
        <f aca="false">IF(CV$4=0,0,IF(COUNTIFS(実績!$W$6:$W$505,CV$3,実績!$AI$6:$AI$505,"&lt;="&amp;$A32,実績!$AJ$6:$AJ$505,"&gt;"&amp;$A32,実績!$AL$6:$AL$505,"○")&gt;0,1,0))</f>
        <v>0</v>
      </c>
      <c r="CW32" s="39" t="n">
        <f aca="false">IF(CW$4=0,0,IF(COUNTIFS(実績!$W$6:$W$505,CW$3,実績!$AI$6:$AI$505,"&lt;="&amp;$A32,実績!$AJ$6:$AJ$505,"&gt;"&amp;$A32,実績!$AL$6:$AL$505,"○")&gt;0,1,0))</f>
        <v>0</v>
      </c>
      <c r="CX32" s="39" t="n">
        <f aca="false">IF(CX$4=0,0,IF(COUNTIFS(実績!$W$6:$W$505,CX$3,実績!$AI$6:$AI$505,"&lt;="&amp;$A32,実績!$AJ$6:$AJ$505,"&gt;"&amp;$A32,実績!$AL$6:$AL$505,"○")&gt;0,1,0))</f>
        <v>0</v>
      </c>
      <c r="CY32" s="39" t="n">
        <f aca="false">IF(CY$4=0,0,IF(COUNTIFS(実績!$W$6:$W$505,CY$3,実績!$AI$6:$AI$505,"&lt;="&amp;$A32,実績!$AJ$6:$AJ$505,"&gt;"&amp;$A32,実績!$AL$6:$AL$505,"○")&gt;0,1,0))</f>
        <v>0</v>
      </c>
      <c r="CZ32" s="39" t="n">
        <f aca="false">IF(CZ$4=0,0,IF(COUNTIFS(実績!$W$6:$W$505,CZ$3,実績!$AI$6:$AI$505,"&lt;="&amp;$A32,実績!$AJ$6:$AJ$505,"&gt;"&amp;$A32,実績!$AL$6:$AL$505,"○")&gt;0,1,0))</f>
        <v>0</v>
      </c>
      <c r="DA32" s="39" t="n">
        <f aca="false">IF(DA$4=0,0,IF(COUNTIFS(実績!$W$6:$W$505,DA$3,実績!$AI$6:$AI$505,"&lt;="&amp;$A32,実績!$AJ$6:$AJ$505,"&gt;"&amp;$A32,実績!$AL$6:$AL$505,"○")&gt;0,1,0))</f>
        <v>0</v>
      </c>
      <c r="DB32" s="39" t="n">
        <f aca="false">IF(DB$4=0,0,IF(COUNTIFS(実績!$W$6:$W$505,DB$3,実績!$AI$6:$AI$505,"&lt;="&amp;$A32,実績!$AJ$6:$AJ$505,"&gt;"&amp;$A32,実績!$AL$6:$AL$505,"○")&gt;0,1,0))</f>
        <v>0</v>
      </c>
      <c r="DC32" s="39" t="n">
        <f aca="false">IF(DC$4=0,0,IF(COUNTIFS(実績!$W$6:$W$505,DC$3,実績!$AI$6:$AI$505,"&lt;="&amp;$A32,実績!$AJ$6:$AJ$505,"&gt;"&amp;$A32,実績!$AL$6:$AL$505,"○")&gt;0,1,0))</f>
        <v>0</v>
      </c>
      <c r="DD32" s="39" t="n">
        <f aca="false">IF(DD$4=0,0,IF(COUNTIFS(実績!$W$6:$W$505,DD$3,実績!$AI$6:$AI$505,"&lt;="&amp;$A32,実績!$AJ$6:$AJ$505,"&gt;"&amp;$A32,実績!$AL$6:$AL$505,"○")&gt;0,1,0))</f>
        <v>0</v>
      </c>
      <c r="DE32" s="39" t="n">
        <f aca="false">IF(DE$4=0,0,IF(COUNTIFS(実績!$W$6:$W$505,DE$3,実績!$AI$6:$AI$505,"&lt;="&amp;$A32,実績!$AJ$6:$AJ$505,"&gt;"&amp;$A32,実績!$AL$6:$AL$505,"○")&gt;0,1,0))</f>
        <v>0</v>
      </c>
      <c r="DF32" s="39" t="n">
        <f aca="false">IF(DF$4=0,0,IF(COUNTIFS(実績!$W$6:$W$505,DF$3,実績!$AI$6:$AI$505,"&lt;="&amp;$A32,実績!$AJ$6:$AJ$505,"&gt;"&amp;$A32,実績!$AL$6:$AL$505,"○")&gt;0,1,0))</f>
        <v>0</v>
      </c>
      <c r="DG32" s="39" t="n">
        <f aca="false">IF(DG$4=0,0,IF(COUNTIFS(実績!$W$6:$W$505,DG$3,実績!$AI$6:$AI$505,"&lt;="&amp;$A32,実績!$AJ$6:$AJ$505,"&gt;"&amp;$A32,実績!$AL$6:$AL$505,"○")&gt;0,1,0))</f>
        <v>0</v>
      </c>
      <c r="DH32" s="39" t="n">
        <f aca="false">IF(DH$4=0,0,IF(COUNTIFS(実績!$W$6:$W$505,DH$3,実績!$AI$6:$AI$505,"&lt;="&amp;$A32,実績!$AJ$6:$AJ$505,"&gt;"&amp;$A32,実績!$AL$6:$AL$505,"○")&gt;0,1,0))</f>
        <v>0</v>
      </c>
      <c r="DI32" s="39" t="n">
        <f aca="false">IF(DI$4=0,0,IF(COUNTIFS(実績!$W$6:$W$505,DI$3,実績!$AI$6:$AI$505,"&lt;="&amp;$A32,実績!$AJ$6:$AJ$505,"&gt;"&amp;$A32,実績!$AL$6:$AL$505,"○")&gt;0,1,0))</f>
        <v>0</v>
      </c>
      <c r="DJ32" s="39" t="n">
        <f aca="false">IF(DJ$4=0,0,IF(COUNTIFS(実績!$W$6:$W$505,DJ$3,実績!$AI$6:$AI$505,"&lt;="&amp;$A32,実績!$AJ$6:$AJ$505,"&gt;"&amp;$A32,実績!$AL$6:$AL$505,"○")&gt;0,1,0))</f>
        <v>0</v>
      </c>
      <c r="DK32" s="39" t="n">
        <f aca="false">IF(DK$4=0,0,IF(COUNTIFS(実績!$W$6:$W$505,DK$3,実績!$AI$6:$AI$505,"&lt;="&amp;$A32,実績!$AJ$6:$AJ$505,"&gt;"&amp;$A32,実績!$AL$6:$AL$505,"○")&gt;0,1,0))</f>
        <v>0</v>
      </c>
      <c r="DL32" s="39" t="n">
        <f aca="false">IF(DL$4=0,0,IF(COUNTIFS(実績!$W$6:$W$505,DL$3,実績!$AI$6:$AI$505,"&lt;="&amp;$A32,実績!$AJ$6:$AJ$505,"&gt;"&amp;$A32,実績!$AL$6:$AL$505,"○")&gt;0,1,0))</f>
        <v>0</v>
      </c>
      <c r="DM32" s="39" t="n">
        <f aca="false">IF(DM$4=0,0,IF(COUNTIFS(実績!$W$6:$W$505,DM$3,実績!$AI$6:$AI$505,"&lt;="&amp;$A32,実績!$AJ$6:$AJ$505,"&gt;"&amp;$A32,実績!$AL$6:$AL$505,"○")&gt;0,1,0))</f>
        <v>0</v>
      </c>
      <c r="DN32" s="39" t="n">
        <f aca="false">IF(DN$4=0,0,IF(COUNTIFS(実績!$W$6:$W$505,DN$3,実績!$AI$6:$AI$505,"&lt;="&amp;$A32,実績!$AJ$6:$AJ$505,"&gt;"&amp;$A32,実績!$AL$6:$AL$505,"○")&gt;0,1,0))</f>
        <v>0</v>
      </c>
      <c r="DO32" s="39" t="n">
        <f aca="false">IF(DO$4=0,0,IF(COUNTIFS(実績!$W$6:$W$505,DO$3,実績!$AI$6:$AI$505,"&lt;="&amp;$A32,実績!$AJ$6:$AJ$505,"&gt;"&amp;$A32,実績!$AL$6:$AL$505,"○")&gt;0,1,0))</f>
        <v>0</v>
      </c>
      <c r="DP32" s="39" t="n">
        <f aca="false">IF(DP$4=0,0,IF(COUNTIFS(実績!$W$6:$W$505,DP$3,実績!$AI$6:$AI$505,"&lt;="&amp;$A32,実績!$AJ$6:$AJ$505,"&gt;"&amp;$A32,実績!$AL$6:$AL$505,"○")&gt;0,1,0))</f>
        <v>0</v>
      </c>
      <c r="DQ32" s="39" t="n">
        <f aca="false">IF(DQ$4=0,0,IF(COUNTIFS(実績!$W$6:$W$505,DQ$3,実績!$AI$6:$AI$505,"&lt;="&amp;$A32,実績!$AJ$6:$AJ$505,"&gt;"&amp;$A32,実績!$AL$6:$AL$505,"○")&gt;0,1,0))</f>
        <v>0</v>
      </c>
      <c r="DR32" s="39" t="n">
        <f aca="false">IF(DR$4=0,0,IF(COUNTIFS(実績!$W$6:$W$505,DR$3,実績!$AI$6:$AI$505,"&lt;="&amp;$A32,実績!$AJ$6:$AJ$505,"&gt;"&amp;$A32,実績!$AL$6:$AL$505,"○")&gt;0,1,0))</f>
        <v>0</v>
      </c>
      <c r="DS32" s="39" t="n">
        <f aca="false">SUM(C32:DR32)</f>
        <v>0</v>
      </c>
    </row>
    <row r="33" customFormat="false" ht="15" hidden="false" customHeight="false" outlineLevel="0" collapsed="false">
      <c r="A33" s="0" t="n">
        <v>135</v>
      </c>
      <c r="B33" s="38" t="n">
        <f aca="false">A33/1440</f>
        <v>0.09375</v>
      </c>
      <c r="C33" s="39" t="n">
        <f aca="false">IF(C$4=0,0,IF(COUNTIFS(実績!$W$6:$W$505,C$3,実績!$AI$6:$AI$505,"&lt;="&amp;$A33,実績!$AJ$6:$AJ$505,"&gt;"&amp;$A33,実績!$AL$6:$AL$505,"○")&gt;0,1,0))</f>
        <v>0</v>
      </c>
      <c r="D33" s="39" t="n">
        <f aca="false">IF(D$4=0,0,IF(COUNTIFS(実績!$W$6:$W$505,D$3,実績!$AI$6:$AI$505,"&lt;="&amp;$A33,実績!$AJ$6:$AJ$505,"&gt;"&amp;$A33,実績!$AL$6:$AL$505,"○")&gt;0,1,0))</f>
        <v>0</v>
      </c>
      <c r="E33" s="39" t="n">
        <f aca="false">IF(E$4=0,0,IF(COUNTIFS(実績!$W$6:$W$505,E$3,実績!$AI$6:$AI$505,"&lt;="&amp;$A33,実績!$AJ$6:$AJ$505,"&gt;"&amp;$A33,実績!$AL$6:$AL$505,"○")&gt;0,1,0))</f>
        <v>0</v>
      </c>
      <c r="F33" s="39" t="n">
        <f aca="false">IF(F$4=0,0,IF(COUNTIFS(実績!$W$6:$W$505,F$3,実績!$AI$6:$AI$505,"&lt;="&amp;$A33,実績!$AJ$6:$AJ$505,"&gt;"&amp;$A33,実績!$AL$6:$AL$505,"○")&gt;0,1,0))</f>
        <v>0</v>
      </c>
      <c r="G33" s="39" t="n">
        <f aca="false">IF(G$4=0,0,IF(COUNTIFS(実績!$W$6:$W$505,G$3,実績!$AI$6:$AI$505,"&lt;="&amp;$A33,実績!$AJ$6:$AJ$505,"&gt;"&amp;$A33,実績!$AL$6:$AL$505,"○")&gt;0,1,0))</f>
        <v>0</v>
      </c>
      <c r="H33" s="39" t="n">
        <f aca="false">IF(H$4=0,0,IF(COUNTIFS(実績!$W$6:$W$505,H$3,実績!$AI$6:$AI$505,"&lt;="&amp;$A33,実績!$AJ$6:$AJ$505,"&gt;"&amp;$A33,実績!$AL$6:$AL$505,"○")&gt;0,1,0))</f>
        <v>0</v>
      </c>
      <c r="I33" s="39" t="n">
        <f aca="false">IF(I$4=0,0,IF(COUNTIFS(実績!$W$6:$W$505,I$3,実績!$AI$6:$AI$505,"&lt;="&amp;$A33,実績!$AJ$6:$AJ$505,"&gt;"&amp;$A33,実績!$AL$6:$AL$505,"○")&gt;0,1,0))</f>
        <v>0</v>
      </c>
      <c r="J33" s="39" t="n">
        <f aca="false">IF(J$4=0,0,IF(COUNTIFS(実績!$W$6:$W$505,J$3,実績!$AI$6:$AI$505,"&lt;="&amp;$A33,実績!$AJ$6:$AJ$505,"&gt;"&amp;$A33,実績!$AL$6:$AL$505,"○")&gt;0,1,0))</f>
        <v>0</v>
      </c>
      <c r="K33" s="39" t="n">
        <f aca="false">IF(K$4=0,0,IF(COUNTIFS(実績!$W$6:$W$505,K$3,実績!$AI$6:$AI$505,"&lt;="&amp;$A33,実績!$AJ$6:$AJ$505,"&gt;"&amp;$A33,実績!$AL$6:$AL$505,"○")&gt;0,1,0))</f>
        <v>0</v>
      </c>
      <c r="L33" s="39" t="n">
        <f aca="false">IF(L$4=0,0,IF(COUNTIFS(実績!$W$6:$W$505,L$3,実績!$AI$6:$AI$505,"&lt;="&amp;$A33,実績!$AJ$6:$AJ$505,"&gt;"&amp;$A33,実績!$AL$6:$AL$505,"○")&gt;0,1,0))</f>
        <v>0</v>
      </c>
      <c r="M33" s="39" t="n">
        <f aca="false">IF(M$4=0,0,IF(COUNTIFS(実績!$W$6:$W$505,M$3,実績!$AI$6:$AI$505,"&lt;="&amp;$A33,実績!$AJ$6:$AJ$505,"&gt;"&amp;$A33,実績!$AL$6:$AL$505,"○")&gt;0,1,0))</f>
        <v>0</v>
      </c>
      <c r="N33" s="39" t="n">
        <f aca="false">IF(N$4=0,0,IF(COUNTIFS(実績!$W$6:$W$505,N$3,実績!$AI$6:$AI$505,"&lt;="&amp;$A33,実績!$AJ$6:$AJ$505,"&gt;"&amp;$A33,実績!$AL$6:$AL$505,"○")&gt;0,1,0))</f>
        <v>0</v>
      </c>
      <c r="O33" s="39" t="n">
        <f aca="false">IF(O$4=0,0,IF(COUNTIFS(実績!$W$6:$W$505,O$3,実績!$AI$6:$AI$505,"&lt;="&amp;$A33,実績!$AJ$6:$AJ$505,"&gt;"&amp;$A33,実績!$AL$6:$AL$505,"○")&gt;0,1,0))</f>
        <v>0</v>
      </c>
      <c r="P33" s="39" t="n">
        <f aca="false">IF(P$4=0,0,IF(COUNTIFS(実績!$W$6:$W$505,P$3,実績!$AI$6:$AI$505,"&lt;="&amp;$A33,実績!$AJ$6:$AJ$505,"&gt;"&amp;$A33,実績!$AL$6:$AL$505,"○")&gt;0,1,0))</f>
        <v>0</v>
      </c>
      <c r="Q33" s="39" t="n">
        <f aca="false">IF(Q$4=0,0,IF(COUNTIFS(実績!$W$6:$W$505,Q$3,実績!$AI$6:$AI$505,"&lt;="&amp;$A33,実績!$AJ$6:$AJ$505,"&gt;"&amp;$A33,実績!$AL$6:$AL$505,"○")&gt;0,1,0))</f>
        <v>0</v>
      </c>
      <c r="R33" s="39" t="n">
        <f aca="false">IF(R$4=0,0,IF(COUNTIFS(実績!$W$6:$W$505,R$3,実績!$AI$6:$AI$505,"&lt;="&amp;$A33,実績!$AJ$6:$AJ$505,"&gt;"&amp;$A33,実績!$AL$6:$AL$505,"○")&gt;0,1,0))</f>
        <v>0</v>
      </c>
      <c r="S33" s="39" t="n">
        <f aca="false">IF(S$4=0,0,IF(COUNTIFS(実績!$W$6:$W$505,S$3,実績!$AI$6:$AI$505,"&lt;="&amp;$A33,実績!$AJ$6:$AJ$505,"&gt;"&amp;$A33,実績!$AL$6:$AL$505,"○")&gt;0,1,0))</f>
        <v>0</v>
      </c>
      <c r="T33" s="39" t="n">
        <f aca="false">IF(T$4=0,0,IF(COUNTIFS(実績!$W$6:$W$505,T$3,実績!$AI$6:$AI$505,"&lt;="&amp;$A33,実績!$AJ$6:$AJ$505,"&gt;"&amp;$A33,実績!$AL$6:$AL$505,"○")&gt;0,1,0))</f>
        <v>0</v>
      </c>
      <c r="U33" s="39" t="n">
        <f aca="false">IF(U$4=0,0,IF(COUNTIFS(実績!$W$6:$W$505,U$3,実績!$AI$6:$AI$505,"&lt;="&amp;$A33,実績!$AJ$6:$AJ$505,"&gt;"&amp;$A33,実績!$AL$6:$AL$505,"○")&gt;0,1,0))</f>
        <v>0</v>
      </c>
      <c r="V33" s="39" t="n">
        <f aca="false">IF(V$4=0,0,IF(COUNTIFS(実績!$W$6:$W$505,V$3,実績!$AI$6:$AI$505,"&lt;="&amp;$A33,実績!$AJ$6:$AJ$505,"&gt;"&amp;$A33,実績!$AL$6:$AL$505,"○")&gt;0,1,0))</f>
        <v>0</v>
      </c>
      <c r="W33" s="39" t="n">
        <f aca="false">IF(W$4=0,0,IF(COUNTIFS(実績!$W$6:$W$505,W$3,実績!$AI$6:$AI$505,"&lt;="&amp;$A33,実績!$AJ$6:$AJ$505,"&gt;"&amp;$A33,実績!$AL$6:$AL$505,"○")&gt;0,1,0))</f>
        <v>0</v>
      </c>
      <c r="X33" s="39" t="n">
        <f aca="false">IF(X$4=0,0,IF(COUNTIFS(実績!$W$6:$W$505,X$3,実績!$AI$6:$AI$505,"&lt;="&amp;$A33,実績!$AJ$6:$AJ$505,"&gt;"&amp;$A33,実績!$AL$6:$AL$505,"○")&gt;0,1,0))</f>
        <v>0</v>
      </c>
      <c r="Y33" s="39" t="n">
        <f aca="false">IF(Y$4=0,0,IF(COUNTIFS(実績!$W$6:$W$505,Y$3,実績!$AI$6:$AI$505,"&lt;="&amp;$A33,実績!$AJ$6:$AJ$505,"&gt;"&amp;$A33,実績!$AL$6:$AL$505,"○")&gt;0,1,0))</f>
        <v>0</v>
      </c>
      <c r="Z33" s="39" t="n">
        <f aca="false">IF(Z$4=0,0,IF(COUNTIFS(実績!$W$6:$W$505,Z$3,実績!$AI$6:$AI$505,"&lt;="&amp;$A33,実績!$AJ$6:$AJ$505,"&gt;"&amp;$A33,実績!$AL$6:$AL$505,"○")&gt;0,1,0))</f>
        <v>0</v>
      </c>
      <c r="AA33" s="39" t="n">
        <f aca="false">IF(AA$4=0,0,IF(COUNTIFS(実績!$W$6:$W$505,AA$3,実績!$AI$6:$AI$505,"&lt;="&amp;$A33,実績!$AJ$6:$AJ$505,"&gt;"&amp;$A33,実績!$AL$6:$AL$505,"○")&gt;0,1,0))</f>
        <v>0</v>
      </c>
      <c r="AB33" s="39" t="n">
        <f aca="false">IF(AB$4=0,0,IF(COUNTIFS(実績!$W$6:$W$505,AB$3,実績!$AI$6:$AI$505,"&lt;="&amp;$A33,実績!$AJ$6:$AJ$505,"&gt;"&amp;$A33,実績!$AL$6:$AL$505,"○")&gt;0,1,0))</f>
        <v>0</v>
      </c>
      <c r="AC33" s="39" t="n">
        <f aca="false">IF(AC$4=0,0,IF(COUNTIFS(実績!$W$6:$W$505,AC$3,実績!$AI$6:$AI$505,"&lt;="&amp;$A33,実績!$AJ$6:$AJ$505,"&gt;"&amp;$A33,実績!$AL$6:$AL$505,"○")&gt;0,1,0))</f>
        <v>0</v>
      </c>
      <c r="AD33" s="39" t="n">
        <f aca="false">IF(AD$4=0,0,IF(COUNTIFS(実績!$W$6:$W$505,AD$3,実績!$AI$6:$AI$505,"&lt;="&amp;$A33,実績!$AJ$6:$AJ$505,"&gt;"&amp;$A33,実績!$AL$6:$AL$505,"○")&gt;0,1,0))</f>
        <v>0</v>
      </c>
      <c r="AE33" s="39" t="n">
        <f aca="false">IF(AE$4=0,0,IF(COUNTIFS(実績!$W$6:$W$505,AE$3,実績!$AI$6:$AI$505,"&lt;="&amp;$A33,実績!$AJ$6:$AJ$505,"&gt;"&amp;$A33,実績!$AL$6:$AL$505,"○")&gt;0,1,0))</f>
        <v>0</v>
      </c>
      <c r="AF33" s="39" t="n">
        <f aca="false">IF(AF$4=0,0,IF(COUNTIFS(実績!$W$6:$W$505,AF$3,実績!$AI$6:$AI$505,"&lt;="&amp;$A33,実績!$AJ$6:$AJ$505,"&gt;"&amp;$A33,実績!$AL$6:$AL$505,"○")&gt;0,1,0))</f>
        <v>0</v>
      </c>
      <c r="AG33" s="39" t="n">
        <f aca="false">IF(AG$4=0,0,IF(COUNTIFS(実績!$W$6:$W$505,AG$3,実績!$AI$6:$AI$505,"&lt;="&amp;$A33,実績!$AJ$6:$AJ$505,"&gt;"&amp;$A33,実績!$AL$6:$AL$505,"○")&gt;0,1,0))</f>
        <v>0</v>
      </c>
      <c r="AH33" s="39" t="n">
        <f aca="false">IF(AH$4=0,0,IF(COUNTIFS(実績!$W$6:$W$505,AH$3,実績!$AI$6:$AI$505,"&lt;="&amp;$A33,実績!$AJ$6:$AJ$505,"&gt;"&amp;$A33,実績!$AL$6:$AL$505,"○")&gt;0,1,0))</f>
        <v>0</v>
      </c>
      <c r="AI33" s="39" t="n">
        <f aca="false">IF(AI$4=0,0,IF(COUNTIFS(実績!$W$6:$W$505,AI$3,実績!$AI$6:$AI$505,"&lt;="&amp;$A33,実績!$AJ$6:$AJ$505,"&gt;"&amp;$A33,実績!$AL$6:$AL$505,"○")&gt;0,1,0))</f>
        <v>0</v>
      </c>
      <c r="AJ33" s="39" t="n">
        <f aca="false">IF(AJ$4=0,0,IF(COUNTIFS(実績!$W$6:$W$505,AJ$3,実績!$AI$6:$AI$505,"&lt;="&amp;$A33,実績!$AJ$6:$AJ$505,"&gt;"&amp;$A33,実績!$AL$6:$AL$505,"○")&gt;0,1,0))</f>
        <v>0</v>
      </c>
      <c r="AK33" s="39" t="n">
        <f aca="false">IF(AK$4=0,0,IF(COUNTIFS(実績!$W$6:$W$505,AK$3,実績!$AI$6:$AI$505,"&lt;="&amp;$A33,実績!$AJ$6:$AJ$505,"&gt;"&amp;$A33,実績!$AL$6:$AL$505,"○")&gt;0,1,0))</f>
        <v>0</v>
      </c>
      <c r="AL33" s="39" t="n">
        <f aca="false">IF(AL$4=0,0,IF(COUNTIFS(実績!$W$6:$W$505,AL$3,実績!$AI$6:$AI$505,"&lt;="&amp;$A33,実績!$AJ$6:$AJ$505,"&gt;"&amp;$A33,実績!$AL$6:$AL$505,"○")&gt;0,1,0))</f>
        <v>0</v>
      </c>
      <c r="AM33" s="39" t="n">
        <f aca="false">IF(AM$4=0,0,IF(COUNTIFS(実績!$W$6:$W$505,AM$3,実績!$AI$6:$AI$505,"&lt;="&amp;$A33,実績!$AJ$6:$AJ$505,"&gt;"&amp;$A33,実績!$AL$6:$AL$505,"○")&gt;0,1,0))</f>
        <v>0</v>
      </c>
      <c r="AN33" s="39" t="n">
        <f aca="false">IF(AN$4=0,0,IF(COUNTIFS(実績!$W$6:$W$505,AN$3,実績!$AI$6:$AI$505,"&lt;="&amp;$A33,実績!$AJ$6:$AJ$505,"&gt;"&amp;$A33,実績!$AL$6:$AL$505,"○")&gt;0,1,0))</f>
        <v>0</v>
      </c>
      <c r="AO33" s="39" t="n">
        <f aca="false">IF(AO$4=0,0,IF(COUNTIFS(実績!$W$6:$W$505,AO$3,実績!$AI$6:$AI$505,"&lt;="&amp;$A33,実績!$AJ$6:$AJ$505,"&gt;"&amp;$A33,実績!$AL$6:$AL$505,"○")&gt;0,1,0))</f>
        <v>0</v>
      </c>
      <c r="AP33" s="39" t="n">
        <f aca="false">IF(AP$4=0,0,IF(COUNTIFS(実績!$W$6:$W$505,AP$3,実績!$AI$6:$AI$505,"&lt;="&amp;$A33,実績!$AJ$6:$AJ$505,"&gt;"&amp;$A33,実績!$AL$6:$AL$505,"○")&gt;0,1,0))</f>
        <v>0</v>
      </c>
      <c r="AQ33" s="39" t="n">
        <f aca="false">IF(AQ$4=0,0,IF(COUNTIFS(実績!$W$6:$W$505,AQ$3,実績!$AI$6:$AI$505,"&lt;="&amp;$A33,実績!$AJ$6:$AJ$505,"&gt;"&amp;$A33,実績!$AL$6:$AL$505,"○")&gt;0,1,0))</f>
        <v>0</v>
      </c>
      <c r="AR33" s="39" t="n">
        <f aca="false">IF(AR$4=0,0,IF(COUNTIFS(実績!$W$6:$W$505,AR$3,実績!$AI$6:$AI$505,"&lt;="&amp;$A33,実績!$AJ$6:$AJ$505,"&gt;"&amp;$A33,実績!$AL$6:$AL$505,"○")&gt;0,1,0))</f>
        <v>0</v>
      </c>
      <c r="AS33" s="39" t="n">
        <f aca="false">IF(AS$4=0,0,IF(COUNTIFS(実績!$W$6:$W$505,AS$3,実績!$AI$6:$AI$505,"&lt;="&amp;$A33,実績!$AJ$6:$AJ$505,"&gt;"&amp;$A33,実績!$AL$6:$AL$505,"○")&gt;0,1,0))</f>
        <v>0</v>
      </c>
      <c r="AT33" s="39" t="n">
        <f aca="false">IF(AT$4=0,0,IF(COUNTIFS(実績!$W$6:$W$505,AT$3,実績!$AI$6:$AI$505,"&lt;="&amp;$A33,実績!$AJ$6:$AJ$505,"&gt;"&amp;$A33,実績!$AL$6:$AL$505,"○")&gt;0,1,0))</f>
        <v>0</v>
      </c>
      <c r="AU33" s="39" t="n">
        <f aca="false">IF(AU$4=0,0,IF(COUNTIFS(実績!$W$6:$W$505,AU$3,実績!$AI$6:$AI$505,"&lt;="&amp;$A33,実績!$AJ$6:$AJ$505,"&gt;"&amp;$A33,実績!$AL$6:$AL$505,"○")&gt;0,1,0))</f>
        <v>0</v>
      </c>
      <c r="AV33" s="39" t="n">
        <f aca="false">IF(AV$4=0,0,IF(COUNTIFS(実績!$W$6:$W$505,AV$3,実績!$AI$6:$AI$505,"&lt;="&amp;$A33,実績!$AJ$6:$AJ$505,"&gt;"&amp;$A33,実績!$AL$6:$AL$505,"○")&gt;0,1,0))</f>
        <v>0</v>
      </c>
      <c r="AW33" s="39" t="n">
        <f aca="false">IF(AW$4=0,0,IF(COUNTIFS(実績!$W$6:$W$505,AW$3,実績!$AI$6:$AI$505,"&lt;="&amp;$A33,実績!$AJ$6:$AJ$505,"&gt;"&amp;$A33,実績!$AL$6:$AL$505,"○")&gt;0,1,0))</f>
        <v>0</v>
      </c>
      <c r="AX33" s="39" t="n">
        <f aca="false">IF(AX$4=0,0,IF(COUNTIFS(実績!$W$6:$W$505,AX$3,実績!$AI$6:$AI$505,"&lt;="&amp;$A33,実績!$AJ$6:$AJ$505,"&gt;"&amp;$A33,実績!$AL$6:$AL$505,"○")&gt;0,1,0))</f>
        <v>0</v>
      </c>
      <c r="AY33" s="39" t="n">
        <f aca="false">IF(AY$4=0,0,IF(COUNTIFS(実績!$W$6:$W$505,AY$3,実績!$AI$6:$AI$505,"&lt;="&amp;$A33,実績!$AJ$6:$AJ$505,"&gt;"&amp;$A33,実績!$AL$6:$AL$505,"○")&gt;0,1,0))</f>
        <v>0</v>
      </c>
      <c r="AZ33" s="39" t="n">
        <f aca="false">IF(AZ$4=0,0,IF(COUNTIFS(実績!$W$6:$W$505,AZ$3,実績!$AI$6:$AI$505,"&lt;="&amp;$A33,実績!$AJ$6:$AJ$505,"&gt;"&amp;$A33,実績!$AL$6:$AL$505,"○")&gt;0,1,0))</f>
        <v>0</v>
      </c>
      <c r="BA33" s="39" t="n">
        <f aca="false">IF(BA$4=0,0,IF(COUNTIFS(実績!$W$6:$W$505,BA$3,実績!$AI$6:$AI$505,"&lt;="&amp;$A33,実績!$AJ$6:$AJ$505,"&gt;"&amp;$A33,実績!$AL$6:$AL$505,"○")&gt;0,1,0))</f>
        <v>0</v>
      </c>
      <c r="BB33" s="39" t="n">
        <f aca="false">IF(BB$4=0,0,IF(COUNTIFS(実績!$W$6:$W$505,BB$3,実績!$AI$6:$AI$505,"&lt;="&amp;$A33,実績!$AJ$6:$AJ$505,"&gt;"&amp;$A33,実績!$AL$6:$AL$505,"○")&gt;0,1,0))</f>
        <v>0</v>
      </c>
      <c r="BC33" s="39" t="n">
        <f aca="false">IF(BC$4=0,0,IF(COUNTIFS(実績!$W$6:$W$505,BC$3,実績!$AI$6:$AI$505,"&lt;="&amp;$A33,実績!$AJ$6:$AJ$505,"&gt;"&amp;$A33,実績!$AL$6:$AL$505,"○")&gt;0,1,0))</f>
        <v>0</v>
      </c>
      <c r="BD33" s="39" t="n">
        <f aca="false">IF(BD$4=0,0,IF(COUNTIFS(実績!$W$6:$W$505,BD$3,実績!$AI$6:$AI$505,"&lt;="&amp;$A33,実績!$AJ$6:$AJ$505,"&gt;"&amp;$A33,実績!$AL$6:$AL$505,"○")&gt;0,1,0))</f>
        <v>0</v>
      </c>
      <c r="BE33" s="39" t="n">
        <f aca="false">IF(BE$4=0,0,IF(COUNTIFS(実績!$W$6:$W$505,BE$3,実績!$AI$6:$AI$505,"&lt;="&amp;$A33,実績!$AJ$6:$AJ$505,"&gt;"&amp;$A33,実績!$AL$6:$AL$505,"○")&gt;0,1,0))</f>
        <v>0</v>
      </c>
      <c r="BF33" s="39" t="n">
        <f aca="false">IF(BF$4=0,0,IF(COUNTIFS(実績!$W$6:$W$505,BF$3,実績!$AI$6:$AI$505,"&lt;="&amp;$A33,実績!$AJ$6:$AJ$505,"&gt;"&amp;$A33,実績!$AL$6:$AL$505,"○")&gt;0,1,0))</f>
        <v>0</v>
      </c>
      <c r="BG33" s="39" t="n">
        <f aca="false">IF(BG$4=0,0,IF(COUNTIFS(実績!$W$6:$W$505,BG$3,実績!$AI$6:$AI$505,"&lt;="&amp;$A33,実績!$AJ$6:$AJ$505,"&gt;"&amp;$A33,実績!$AL$6:$AL$505,"○")&gt;0,1,0))</f>
        <v>0</v>
      </c>
      <c r="BH33" s="39" t="n">
        <f aca="false">IF(BH$4=0,0,IF(COUNTIFS(実績!$W$6:$W$505,BH$3,実績!$AI$6:$AI$505,"&lt;="&amp;$A33,実績!$AJ$6:$AJ$505,"&gt;"&amp;$A33,実績!$AL$6:$AL$505,"○")&gt;0,1,0))</f>
        <v>0</v>
      </c>
      <c r="BI33" s="39" t="n">
        <f aca="false">IF(BI$4=0,0,IF(COUNTIFS(実績!$W$6:$W$505,BI$3,実績!$AI$6:$AI$505,"&lt;="&amp;$A33,実績!$AJ$6:$AJ$505,"&gt;"&amp;$A33,実績!$AL$6:$AL$505,"○")&gt;0,1,0))</f>
        <v>0</v>
      </c>
      <c r="BJ33" s="39" t="n">
        <f aca="false">IF(BJ$4=0,0,IF(COUNTIFS(実績!$W$6:$W$505,BJ$3,実績!$AI$6:$AI$505,"&lt;="&amp;$A33,実績!$AJ$6:$AJ$505,"&gt;"&amp;$A33,実績!$AL$6:$AL$505,"○")&gt;0,1,0))</f>
        <v>0</v>
      </c>
      <c r="BK33" s="39" t="n">
        <f aca="false">IF(BK$4=0,0,IF(COUNTIFS(実績!$W$6:$W$505,BK$3,実績!$AI$6:$AI$505,"&lt;="&amp;$A33,実績!$AJ$6:$AJ$505,"&gt;"&amp;$A33,実績!$AL$6:$AL$505,"○")&gt;0,1,0))</f>
        <v>0</v>
      </c>
      <c r="BL33" s="39" t="n">
        <f aca="false">IF(BL$4=0,0,IF(COUNTIFS(実績!$W$6:$W$505,BL$3,実績!$AI$6:$AI$505,"&lt;="&amp;$A33,実績!$AJ$6:$AJ$505,"&gt;"&amp;$A33,実績!$AL$6:$AL$505,"○")&gt;0,1,0))</f>
        <v>0</v>
      </c>
      <c r="BM33" s="39" t="n">
        <f aca="false">IF(BM$4=0,0,IF(COUNTIFS(実績!$W$6:$W$505,BM$3,実績!$AI$6:$AI$505,"&lt;="&amp;$A33,実績!$AJ$6:$AJ$505,"&gt;"&amp;$A33,実績!$AL$6:$AL$505,"○")&gt;0,1,0))</f>
        <v>0</v>
      </c>
      <c r="BN33" s="39" t="n">
        <f aca="false">IF(BN$4=0,0,IF(COUNTIFS(実績!$W$6:$W$505,BN$3,実績!$AI$6:$AI$505,"&lt;="&amp;$A33,実績!$AJ$6:$AJ$505,"&gt;"&amp;$A33,実績!$AL$6:$AL$505,"○")&gt;0,1,0))</f>
        <v>0</v>
      </c>
      <c r="BO33" s="39" t="n">
        <f aca="false">IF(BO$4=0,0,IF(COUNTIFS(実績!$W$6:$W$505,BO$3,実績!$AI$6:$AI$505,"&lt;="&amp;$A33,実績!$AJ$6:$AJ$505,"&gt;"&amp;$A33,実績!$AL$6:$AL$505,"○")&gt;0,1,0))</f>
        <v>0</v>
      </c>
      <c r="BP33" s="39" t="n">
        <f aca="false">IF(BP$4=0,0,IF(COUNTIFS(実績!$W$6:$W$505,BP$3,実績!$AI$6:$AI$505,"&lt;="&amp;$A33,実績!$AJ$6:$AJ$505,"&gt;"&amp;$A33,実績!$AL$6:$AL$505,"○")&gt;0,1,0))</f>
        <v>0</v>
      </c>
      <c r="BQ33" s="39" t="n">
        <f aca="false">IF(BQ$4=0,0,IF(COUNTIFS(実績!$W$6:$W$505,BQ$3,実績!$AI$6:$AI$505,"&lt;="&amp;$A33,実績!$AJ$6:$AJ$505,"&gt;"&amp;$A33,実績!$AL$6:$AL$505,"○")&gt;0,1,0))</f>
        <v>0</v>
      </c>
      <c r="BR33" s="39" t="n">
        <f aca="false">IF(BR$4=0,0,IF(COUNTIFS(実績!$W$6:$W$505,BR$3,実績!$AI$6:$AI$505,"&lt;="&amp;$A33,実績!$AJ$6:$AJ$505,"&gt;"&amp;$A33,実績!$AL$6:$AL$505,"○")&gt;0,1,0))</f>
        <v>0</v>
      </c>
      <c r="BS33" s="39" t="n">
        <f aca="false">IF(BS$4=0,0,IF(COUNTIFS(実績!$W$6:$W$505,BS$3,実績!$AI$6:$AI$505,"&lt;="&amp;$A33,実績!$AJ$6:$AJ$505,"&gt;"&amp;$A33,実績!$AL$6:$AL$505,"○")&gt;0,1,0))</f>
        <v>0</v>
      </c>
      <c r="BT33" s="39" t="n">
        <f aca="false">IF(BT$4=0,0,IF(COUNTIFS(実績!$W$6:$W$505,BT$3,実績!$AI$6:$AI$505,"&lt;="&amp;$A33,実績!$AJ$6:$AJ$505,"&gt;"&amp;$A33,実績!$AL$6:$AL$505,"○")&gt;0,1,0))</f>
        <v>0</v>
      </c>
      <c r="BU33" s="39" t="n">
        <f aca="false">IF(BU$4=0,0,IF(COUNTIFS(実績!$W$6:$W$505,BU$3,実績!$AI$6:$AI$505,"&lt;="&amp;$A33,実績!$AJ$6:$AJ$505,"&gt;"&amp;$A33,実績!$AL$6:$AL$505,"○")&gt;0,1,0))</f>
        <v>0</v>
      </c>
      <c r="BV33" s="39" t="n">
        <f aca="false">IF(BV$4=0,0,IF(COUNTIFS(実績!$W$6:$W$505,BV$3,実績!$AI$6:$AI$505,"&lt;="&amp;$A33,実績!$AJ$6:$AJ$505,"&gt;"&amp;$A33,実績!$AL$6:$AL$505,"○")&gt;0,1,0))</f>
        <v>0</v>
      </c>
      <c r="BW33" s="39" t="n">
        <f aca="false">IF(BW$4=0,0,IF(COUNTIFS(実績!$W$6:$W$505,BW$3,実績!$AI$6:$AI$505,"&lt;="&amp;$A33,実績!$AJ$6:$AJ$505,"&gt;"&amp;$A33,実績!$AL$6:$AL$505,"○")&gt;0,1,0))</f>
        <v>0</v>
      </c>
      <c r="BX33" s="39" t="n">
        <f aca="false">IF(BX$4=0,0,IF(COUNTIFS(実績!$W$6:$W$505,BX$3,実績!$AI$6:$AI$505,"&lt;="&amp;$A33,実績!$AJ$6:$AJ$505,"&gt;"&amp;$A33,実績!$AL$6:$AL$505,"○")&gt;0,1,0))</f>
        <v>0</v>
      </c>
      <c r="BY33" s="39" t="n">
        <f aca="false">IF(BY$4=0,0,IF(COUNTIFS(実績!$W$6:$W$505,BY$3,実績!$AI$6:$AI$505,"&lt;="&amp;$A33,実績!$AJ$6:$AJ$505,"&gt;"&amp;$A33,実績!$AL$6:$AL$505,"○")&gt;0,1,0))</f>
        <v>0</v>
      </c>
      <c r="BZ33" s="39" t="n">
        <f aca="false">IF(BZ$4=0,0,IF(COUNTIFS(実績!$W$6:$W$505,BZ$3,実績!$AI$6:$AI$505,"&lt;="&amp;$A33,実績!$AJ$6:$AJ$505,"&gt;"&amp;$A33,実績!$AL$6:$AL$505,"○")&gt;0,1,0))</f>
        <v>0</v>
      </c>
      <c r="CA33" s="39" t="n">
        <f aca="false">IF(CA$4=0,0,IF(COUNTIFS(実績!$W$6:$W$505,CA$3,実績!$AI$6:$AI$505,"&lt;="&amp;$A33,実績!$AJ$6:$AJ$505,"&gt;"&amp;$A33,実績!$AL$6:$AL$505,"○")&gt;0,1,0))</f>
        <v>0</v>
      </c>
      <c r="CB33" s="39" t="n">
        <f aca="false">IF(CB$4=0,0,IF(COUNTIFS(実績!$W$6:$W$505,CB$3,実績!$AI$6:$AI$505,"&lt;="&amp;$A33,実績!$AJ$6:$AJ$505,"&gt;"&amp;$A33,実績!$AL$6:$AL$505,"○")&gt;0,1,0))</f>
        <v>0</v>
      </c>
      <c r="CC33" s="39" t="n">
        <f aca="false">IF(CC$4=0,0,IF(COUNTIFS(実績!$W$6:$W$505,CC$3,実績!$AI$6:$AI$505,"&lt;="&amp;$A33,実績!$AJ$6:$AJ$505,"&gt;"&amp;$A33,実績!$AL$6:$AL$505,"○")&gt;0,1,0))</f>
        <v>0</v>
      </c>
      <c r="CD33" s="39" t="n">
        <f aca="false">IF(CD$4=0,0,IF(COUNTIFS(実績!$W$6:$W$505,CD$3,実績!$AI$6:$AI$505,"&lt;="&amp;$A33,実績!$AJ$6:$AJ$505,"&gt;"&amp;$A33,実績!$AL$6:$AL$505,"○")&gt;0,1,0))</f>
        <v>0</v>
      </c>
      <c r="CE33" s="39" t="n">
        <f aca="false">IF(CE$4=0,0,IF(COUNTIFS(実績!$W$6:$W$505,CE$3,実績!$AI$6:$AI$505,"&lt;="&amp;$A33,実績!$AJ$6:$AJ$505,"&gt;"&amp;$A33,実績!$AL$6:$AL$505,"○")&gt;0,1,0))</f>
        <v>0</v>
      </c>
      <c r="CF33" s="39" t="n">
        <f aca="false">IF(CF$4=0,0,IF(COUNTIFS(実績!$W$6:$W$505,CF$3,実績!$AI$6:$AI$505,"&lt;="&amp;$A33,実績!$AJ$6:$AJ$505,"&gt;"&amp;$A33,実績!$AL$6:$AL$505,"○")&gt;0,1,0))</f>
        <v>0</v>
      </c>
      <c r="CG33" s="39" t="n">
        <f aca="false">IF(CG$4=0,0,IF(COUNTIFS(実績!$W$6:$W$505,CG$3,実績!$AI$6:$AI$505,"&lt;="&amp;$A33,実績!$AJ$6:$AJ$505,"&gt;"&amp;$A33,実績!$AL$6:$AL$505,"○")&gt;0,1,0))</f>
        <v>0</v>
      </c>
      <c r="CH33" s="39" t="n">
        <f aca="false">IF(CH$4=0,0,IF(COUNTIFS(実績!$W$6:$W$505,CH$3,実績!$AI$6:$AI$505,"&lt;="&amp;$A33,実績!$AJ$6:$AJ$505,"&gt;"&amp;$A33,実績!$AL$6:$AL$505,"○")&gt;0,1,0))</f>
        <v>0</v>
      </c>
      <c r="CI33" s="39" t="n">
        <f aca="false">IF(CI$4=0,0,IF(COUNTIFS(実績!$W$6:$W$505,CI$3,実績!$AI$6:$AI$505,"&lt;="&amp;$A33,実績!$AJ$6:$AJ$505,"&gt;"&amp;$A33,実績!$AL$6:$AL$505,"○")&gt;0,1,0))</f>
        <v>0</v>
      </c>
      <c r="CJ33" s="39" t="n">
        <f aca="false">IF(CJ$4=0,0,IF(COUNTIFS(実績!$W$6:$W$505,CJ$3,実績!$AI$6:$AI$505,"&lt;="&amp;$A33,実績!$AJ$6:$AJ$505,"&gt;"&amp;$A33,実績!$AL$6:$AL$505,"○")&gt;0,1,0))</f>
        <v>0</v>
      </c>
      <c r="CK33" s="39" t="n">
        <f aca="false">IF(CK$4=0,0,IF(COUNTIFS(実績!$W$6:$W$505,CK$3,実績!$AI$6:$AI$505,"&lt;="&amp;$A33,実績!$AJ$6:$AJ$505,"&gt;"&amp;$A33,実績!$AL$6:$AL$505,"○")&gt;0,1,0))</f>
        <v>0</v>
      </c>
      <c r="CL33" s="39" t="n">
        <f aca="false">IF(CL$4=0,0,IF(COUNTIFS(実績!$W$6:$W$505,CL$3,実績!$AI$6:$AI$505,"&lt;="&amp;$A33,実績!$AJ$6:$AJ$505,"&gt;"&amp;$A33,実績!$AL$6:$AL$505,"○")&gt;0,1,0))</f>
        <v>0</v>
      </c>
      <c r="CM33" s="39" t="n">
        <f aca="false">IF(CM$4=0,0,IF(COUNTIFS(実績!$W$6:$W$505,CM$3,実績!$AI$6:$AI$505,"&lt;="&amp;$A33,実績!$AJ$6:$AJ$505,"&gt;"&amp;$A33,実績!$AL$6:$AL$505,"○")&gt;0,1,0))</f>
        <v>0</v>
      </c>
      <c r="CN33" s="39" t="n">
        <f aca="false">IF(CN$4=0,0,IF(COUNTIFS(実績!$W$6:$W$505,CN$3,実績!$AI$6:$AI$505,"&lt;="&amp;$A33,実績!$AJ$6:$AJ$505,"&gt;"&amp;$A33,実績!$AL$6:$AL$505,"○")&gt;0,1,0))</f>
        <v>0</v>
      </c>
      <c r="CO33" s="39" t="n">
        <f aca="false">IF(CO$4=0,0,IF(COUNTIFS(実績!$W$6:$W$505,CO$3,実績!$AI$6:$AI$505,"&lt;="&amp;$A33,実績!$AJ$6:$AJ$505,"&gt;"&amp;$A33,実績!$AL$6:$AL$505,"○")&gt;0,1,0))</f>
        <v>0</v>
      </c>
      <c r="CP33" s="39" t="n">
        <f aca="false">IF(CP$4=0,0,IF(COUNTIFS(実績!$W$6:$W$505,CP$3,実績!$AI$6:$AI$505,"&lt;="&amp;$A33,実績!$AJ$6:$AJ$505,"&gt;"&amp;$A33,実績!$AL$6:$AL$505,"○")&gt;0,1,0))</f>
        <v>0</v>
      </c>
      <c r="CQ33" s="39" t="n">
        <f aca="false">IF(CQ$4=0,0,IF(COUNTIFS(実績!$W$6:$W$505,CQ$3,実績!$AI$6:$AI$505,"&lt;="&amp;$A33,実績!$AJ$6:$AJ$505,"&gt;"&amp;$A33,実績!$AL$6:$AL$505,"○")&gt;0,1,0))</f>
        <v>0</v>
      </c>
      <c r="CR33" s="39" t="n">
        <f aca="false">IF(CR$4=0,0,IF(COUNTIFS(実績!$W$6:$W$505,CR$3,実績!$AI$6:$AI$505,"&lt;="&amp;$A33,実績!$AJ$6:$AJ$505,"&gt;"&amp;$A33,実績!$AL$6:$AL$505,"○")&gt;0,1,0))</f>
        <v>0</v>
      </c>
      <c r="CS33" s="39" t="n">
        <f aca="false">IF(CS$4=0,0,IF(COUNTIFS(実績!$W$6:$W$505,CS$3,実績!$AI$6:$AI$505,"&lt;="&amp;$A33,実績!$AJ$6:$AJ$505,"&gt;"&amp;$A33,実績!$AL$6:$AL$505,"○")&gt;0,1,0))</f>
        <v>0</v>
      </c>
      <c r="CT33" s="39" t="n">
        <f aca="false">IF(CT$4=0,0,IF(COUNTIFS(実績!$W$6:$W$505,CT$3,実績!$AI$6:$AI$505,"&lt;="&amp;$A33,実績!$AJ$6:$AJ$505,"&gt;"&amp;$A33,実績!$AL$6:$AL$505,"○")&gt;0,1,0))</f>
        <v>0</v>
      </c>
      <c r="CU33" s="39" t="n">
        <f aca="false">IF(CU$4=0,0,IF(COUNTIFS(実績!$W$6:$W$505,CU$3,実績!$AI$6:$AI$505,"&lt;="&amp;$A33,実績!$AJ$6:$AJ$505,"&gt;"&amp;$A33,実績!$AL$6:$AL$505,"○")&gt;0,1,0))</f>
        <v>0</v>
      </c>
      <c r="CV33" s="39" t="n">
        <f aca="false">IF(CV$4=0,0,IF(COUNTIFS(実績!$W$6:$W$505,CV$3,実績!$AI$6:$AI$505,"&lt;="&amp;$A33,実績!$AJ$6:$AJ$505,"&gt;"&amp;$A33,実績!$AL$6:$AL$505,"○")&gt;0,1,0))</f>
        <v>0</v>
      </c>
      <c r="CW33" s="39" t="n">
        <f aca="false">IF(CW$4=0,0,IF(COUNTIFS(実績!$W$6:$W$505,CW$3,実績!$AI$6:$AI$505,"&lt;="&amp;$A33,実績!$AJ$6:$AJ$505,"&gt;"&amp;$A33,実績!$AL$6:$AL$505,"○")&gt;0,1,0))</f>
        <v>0</v>
      </c>
      <c r="CX33" s="39" t="n">
        <f aca="false">IF(CX$4=0,0,IF(COUNTIFS(実績!$W$6:$W$505,CX$3,実績!$AI$6:$AI$505,"&lt;="&amp;$A33,実績!$AJ$6:$AJ$505,"&gt;"&amp;$A33,実績!$AL$6:$AL$505,"○")&gt;0,1,0))</f>
        <v>0</v>
      </c>
      <c r="CY33" s="39" t="n">
        <f aca="false">IF(CY$4=0,0,IF(COUNTIFS(実績!$W$6:$W$505,CY$3,実績!$AI$6:$AI$505,"&lt;="&amp;$A33,実績!$AJ$6:$AJ$505,"&gt;"&amp;$A33,実績!$AL$6:$AL$505,"○")&gt;0,1,0))</f>
        <v>0</v>
      </c>
      <c r="CZ33" s="39" t="n">
        <f aca="false">IF(CZ$4=0,0,IF(COUNTIFS(実績!$W$6:$W$505,CZ$3,実績!$AI$6:$AI$505,"&lt;="&amp;$A33,実績!$AJ$6:$AJ$505,"&gt;"&amp;$A33,実績!$AL$6:$AL$505,"○")&gt;0,1,0))</f>
        <v>0</v>
      </c>
      <c r="DA33" s="39" t="n">
        <f aca="false">IF(DA$4=0,0,IF(COUNTIFS(実績!$W$6:$W$505,DA$3,実績!$AI$6:$AI$505,"&lt;="&amp;$A33,実績!$AJ$6:$AJ$505,"&gt;"&amp;$A33,実績!$AL$6:$AL$505,"○")&gt;0,1,0))</f>
        <v>0</v>
      </c>
      <c r="DB33" s="39" t="n">
        <f aca="false">IF(DB$4=0,0,IF(COUNTIFS(実績!$W$6:$W$505,DB$3,実績!$AI$6:$AI$505,"&lt;="&amp;$A33,実績!$AJ$6:$AJ$505,"&gt;"&amp;$A33,実績!$AL$6:$AL$505,"○")&gt;0,1,0))</f>
        <v>0</v>
      </c>
      <c r="DC33" s="39" t="n">
        <f aca="false">IF(DC$4=0,0,IF(COUNTIFS(実績!$W$6:$W$505,DC$3,実績!$AI$6:$AI$505,"&lt;="&amp;$A33,実績!$AJ$6:$AJ$505,"&gt;"&amp;$A33,実績!$AL$6:$AL$505,"○")&gt;0,1,0))</f>
        <v>0</v>
      </c>
      <c r="DD33" s="39" t="n">
        <f aca="false">IF(DD$4=0,0,IF(COUNTIFS(実績!$W$6:$W$505,DD$3,実績!$AI$6:$AI$505,"&lt;="&amp;$A33,実績!$AJ$6:$AJ$505,"&gt;"&amp;$A33,実績!$AL$6:$AL$505,"○")&gt;0,1,0))</f>
        <v>0</v>
      </c>
      <c r="DE33" s="39" t="n">
        <f aca="false">IF(DE$4=0,0,IF(COUNTIFS(実績!$W$6:$W$505,DE$3,実績!$AI$6:$AI$505,"&lt;="&amp;$A33,実績!$AJ$6:$AJ$505,"&gt;"&amp;$A33,実績!$AL$6:$AL$505,"○")&gt;0,1,0))</f>
        <v>0</v>
      </c>
      <c r="DF33" s="39" t="n">
        <f aca="false">IF(DF$4=0,0,IF(COUNTIFS(実績!$W$6:$W$505,DF$3,実績!$AI$6:$AI$505,"&lt;="&amp;$A33,実績!$AJ$6:$AJ$505,"&gt;"&amp;$A33,実績!$AL$6:$AL$505,"○")&gt;0,1,0))</f>
        <v>0</v>
      </c>
      <c r="DG33" s="39" t="n">
        <f aca="false">IF(DG$4=0,0,IF(COUNTIFS(実績!$W$6:$W$505,DG$3,実績!$AI$6:$AI$505,"&lt;="&amp;$A33,実績!$AJ$6:$AJ$505,"&gt;"&amp;$A33,実績!$AL$6:$AL$505,"○")&gt;0,1,0))</f>
        <v>0</v>
      </c>
      <c r="DH33" s="39" t="n">
        <f aca="false">IF(DH$4=0,0,IF(COUNTIFS(実績!$W$6:$W$505,DH$3,実績!$AI$6:$AI$505,"&lt;="&amp;$A33,実績!$AJ$6:$AJ$505,"&gt;"&amp;$A33,実績!$AL$6:$AL$505,"○")&gt;0,1,0))</f>
        <v>0</v>
      </c>
      <c r="DI33" s="39" t="n">
        <f aca="false">IF(DI$4=0,0,IF(COUNTIFS(実績!$W$6:$W$505,DI$3,実績!$AI$6:$AI$505,"&lt;="&amp;$A33,実績!$AJ$6:$AJ$505,"&gt;"&amp;$A33,実績!$AL$6:$AL$505,"○")&gt;0,1,0))</f>
        <v>0</v>
      </c>
      <c r="DJ33" s="39" t="n">
        <f aca="false">IF(DJ$4=0,0,IF(COUNTIFS(実績!$W$6:$W$505,DJ$3,実績!$AI$6:$AI$505,"&lt;="&amp;$A33,実績!$AJ$6:$AJ$505,"&gt;"&amp;$A33,実績!$AL$6:$AL$505,"○")&gt;0,1,0))</f>
        <v>0</v>
      </c>
      <c r="DK33" s="39" t="n">
        <f aca="false">IF(DK$4=0,0,IF(COUNTIFS(実績!$W$6:$W$505,DK$3,実績!$AI$6:$AI$505,"&lt;="&amp;$A33,実績!$AJ$6:$AJ$505,"&gt;"&amp;$A33,実績!$AL$6:$AL$505,"○")&gt;0,1,0))</f>
        <v>0</v>
      </c>
      <c r="DL33" s="39" t="n">
        <f aca="false">IF(DL$4=0,0,IF(COUNTIFS(実績!$W$6:$W$505,DL$3,実績!$AI$6:$AI$505,"&lt;="&amp;$A33,実績!$AJ$6:$AJ$505,"&gt;"&amp;$A33,実績!$AL$6:$AL$505,"○")&gt;0,1,0))</f>
        <v>0</v>
      </c>
      <c r="DM33" s="39" t="n">
        <f aca="false">IF(DM$4=0,0,IF(COUNTIFS(実績!$W$6:$W$505,DM$3,実績!$AI$6:$AI$505,"&lt;="&amp;$A33,実績!$AJ$6:$AJ$505,"&gt;"&amp;$A33,実績!$AL$6:$AL$505,"○")&gt;0,1,0))</f>
        <v>0</v>
      </c>
      <c r="DN33" s="39" t="n">
        <f aca="false">IF(DN$4=0,0,IF(COUNTIFS(実績!$W$6:$W$505,DN$3,実績!$AI$6:$AI$505,"&lt;="&amp;$A33,実績!$AJ$6:$AJ$505,"&gt;"&amp;$A33,実績!$AL$6:$AL$505,"○")&gt;0,1,0))</f>
        <v>0</v>
      </c>
      <c r="DO33" s="39" t="n">
        <f aca="false">IF(DO$4=0,0,IF(COUNTIFS(実績!$W$6:$W$505,DO$3,実績!$AI$6:$AI$505,"&lt;="&amp;$A33,実績!$AJ$6:$AJ$505,"&gt;"&amp;$A33,実績!$AL$6:$AL$505,"○")&gt;0,1,0))</f>
        <v>0</v>
      </c>
      <c r="DP33" s="39" t="n">
        <f aca="false">IF(DP$4=0,0,IF(COUNTIFS(実績!$W$6:$W$505,DP$3,実績!$AI$6:$AI$505,"&lt;="&amp;$A33,実績!$AJ$6:$AJ$505,"&gt;"&amp;$A33,実績!$AL$6:$AL$505,"○")&gt;0,1,0))</f>
        <v>0</v>
      </c>
      <c r="DQ33" s="39" t="n">
        <f aca="false">IF(DQ$4=0,0,IF(COUNTIFS(実績!$W$6:$W$505,DQ$3,実績!$AI$6:$AI$505,"&lt;="&amp;$A33,実績!$AJ$6:$AJ$505,"&gt;"&amp;$A33,実績!$AL$6:$AL$505,"○")&gt;0,1,0))</f>
        <v>0</v>
      </c>
      <c r="DR33" s="39" t="n">
        <f aca="false">IF(DR$4=0,0,IF(COUNTIFS(実績!$W$6:$W$505,DR$3,実績!$AI$6:$AI$505,"&lt;="&amp;$A33,実績!$AJ$6:$AJ$505,"&gt;"&amp;$A33,実績!$AL$6:$AL$505,"○")&gt;0,1,0))</f>
        <v>0</v>
      </c>
      <c r="DS33" s="39" t="n">
        <f aca="false">SUM(C33:DR33)</f>
        <v>0</v>
      </c>
    </row>
    <row r="34" customFormat="false" ht="15" hidden="false" customHeight="false" outlineLevel="0" collapsed="false">
      <c r="A34" s="0" t="n">
        <v>140</v>
      </c>
      <c r="B34" s="38" t="n">
        <f aca="false">A34/1440</f>
        <v>0.0972222222222222</v>
      </c>
      <c r="C34" s="39" t="n">
        <f aca="false">IF(C$4=0,0,IF(COUNTIFS(実績!$W$6:$W$505,C$3,実績!$AI$6:$AI$505,"&lt;="&amp;$A34,実績!$AJ$6:$AJ$505,"&gt;"&amp;$A34,実績!$AL$6:$AL$505,"○")&gt;0,1,0))</f>
        <v>0</v>
      </c>
      <c r="D34" s="39" t="n">
        <f aca="false">IF(D$4=0,0,IF(COUNTIFS(実績!$W$6:$W$505,D$3,実績!$AI$6:$AI$505,"&lt;="&amp;$A34,実績!$AJ$6:$AJ$505,"&gt;"&amp;$A34,実績!$AL$6:$AL$505,"○")&gt;0,1,0))</f>
        <v>0</v>
      </c>
      <c r="E34" s="39" t="n">
        <f aca="false">IF(E$4=0,0,IF(COUNTIFS(実績!$W$6:$W$505,E$3,実績!$AI$6:$AI$505,"&lt;="&amp;$A34,実績!$AJ$6:$AJ$505,"&gt;"&amp;$A34,実績!$AL$6:$AL$505,"○")&gt;0,1,0))</f>
        <v>0</v>
      </c>
      <c r="F34" s="39" t="n">
        <f aca="false">IF(F$4=0,0,IF(COUNTIFS(実績!$W$6:$W$505,F$3,実績!$AI$6:$AI$505,"&lt;="&amp;$A34,実績!$AJ$6:$AJ$505,"&gt;"&amp;$A34,実績!$AL$6:$AL$505,"○")&gt;0,1,0))</f>
        <v>0</v>
      </c>
      <c r="G34" s="39" t="n">
        <f aca="false">IF(G$4=0,0,IF(COUNTIFS(実績!$W$6:$W$505,G$3,実績!$AI$6:$AI$505,"&lt;="&amp;$A34,実績!$AJ$6:$AJ$505,"&gt;"&amp;$A34,実績!$AL$6:$AL$505,"○")&gt;0,1,0))</f>
        <v>0</v>
      </c>
      <c r="H34" s="39" t="n">
        <f aca="false">IF(H$4=0,0,IF(COUNTIFS(実績!$W$6:$W$505,H$3,実績!$AI$6:$AI$505,"&lt;="&amp;$A34,実績!$AJ$6:$AJ$505,"&gt;"&amp;$A34,実績!$AL$6:$AL$505,"○")&gt;0,1,0))</f>
        <v>0</v>
      </c>
      <c r="I34" s="39" t="n">
        <f aca="false">IF(I$4=0,0,IF(COUNTIFS(実績!$W$6:$W$505,I$3,実績!$AI$6:$AI$505,"&lt;="&amp;$A34,実績!$AJ$6:$AJ$505,"&gt;"&amp;$A34,実績!$AL$6:$AL$505,"○")&gt;0,1,0))</f>
        <v>0</v>
      </c>
      <c r="J34" s="39" t="n">
        <f aca="false">IF(J$4=0,0,IF(COUNTIFS(実績!$W$6:$W$505,J$3,実績!$AI$6:$AI$505,"&lt;="&amp;$A34,実績!$AJ$6:$AJ$505,"&gt;"&amp;$A34,実績!$AL$6:$AL$505,"○")&gt;0,1,0))</f>
        <v>0</v>
      </c>
      <c r="K34" s="39" t="n">
        <f aca="false">IF(K$4=0,0,IF(COUNTIFS(実績!$W$6:$W$505,K$3,実績!$AI$6:$AI$505,"&lt;="&amp;$A34,実績!$AJ$6:$AJ$505,"&gt;"&amp;$A34,実績!$AL$6:$AL$505,"○")&gt;0,1,0))</f>
        <v>0</v>
      </c>
      <c r="L34" s="39" t="n">
        <f aca="false">IF(L$4=0,0,IF(COUNTIFS(実績!$W$6:$W$505,L$3,実績!$AI$6:$AI$505,"&lt;="&amp;$A34,実績!$AJ$6:$AJ$505,"&gt;"&amp;$A34,実績!$AL$6:$AL$505,"○")&gt;0,1,0))</f>
        <v>0</v>
      </c>
      <c r="M34" s="39" t="n">
        <f aca="false">IF(M$4=0,0,IF(COUNTIFS(実績!$W$6:$W$505,M$3,実績!$AI$6:$AI$505,"&lt;="&amp;$A34,実績!$AJ$6:$AJ$505,"&gt;"&amp;$A34,実績!$AL$6:$AL$505,"○")&gt;0,1,0))</f>
        <v>0</v>
      </c>
      <c r="N34" s="39" t="n">
        <f aca="false">IF(N$4=0,0,IF(COUNTIFS(実績!$W$6:$W$505,N$3,実績!$AI$6:$AI$505,"&lt;="&amp;$A34,実績!$AJ$6:$AJ$505,"&gt;"&amp;$A34,実績!$AL$6:$AL$505,"○")&gt;0,1,0))</f>
        <v>0</v>
      </c>
      <c r="O34" s="39" t="n">
        <f aca="false">IF(O$4=0,0,IF(COUNTIFS(実績!$W$6:$W$505,O$3,実績!$AI$6:$AI$505,"&lt;="&amp;$A34,実績!$AJ$6:$AJ$505,"&gt;"&amp;$A34,実績!$AL$6:$AL$505,"○")&gt;0,1,0))</f>
        <v>0</v>
      </c>
      <c r="P34" s="39" t="n">
        <f aca="false">IF(P$4=0,0,IF(COUNTIFS(実績!$W$6:$W$505,P$3,実績!$AI$6:$AI$505,"&lt;="&amp;$A34,実績!$AJ$6:$AJ$505,"&gt;"&amp;$A34,実績!$AL$6:$AL$505,"○")&gt;0,1,0))</f>
        <v>0</v>
      </c>
      <c r="Q34" s="39" t="n">
        <f aca="false">IF(Q$4=0,0,IF(COUNTIFS(実績!$W$6:$W$505,Q$3,実績!$AI$6:$AI$505,"&lt;="&amp;$A34,実績!$AJ$6:$AJ$505,"&gt;"&amp;$A34,実績!$AL$6:$AL$505,"○")&gt;0,1,0))</f>
        <v>0</v>
      </c>
      <c r="R34" s="39" t="n">
        <f aca="false">IF(R$4=0,0,IF(COUNTIFS(実績!$W$6:$W$505,R$3,実績!$AI$6:$AI$505,"&lt;="&amp;$A34,実績!$AJ$6:$AJ$505,"&gt;"&amp;$A34,実績!$AL$6:$AL$505,"○")&gt;0,1,0))</f>
        <v>0</v>
      </c>
      <c r="S34" s="39" t="n">
        <f aca="false">IF(S$4=0,0,IF(COUNTIFS(実績!$W$6:$W$505,S$3,実績!$AI$6:$AI$505,"&lt;="&amp;$A34,実績!$AJ$6:$AJ$505,"&gt;"&amp;$A34,実績!$AL$6:$AL$505,"○")&gt;0,1,0))</f>
        <v>0</v>
      </c>
      <c r="T34" s="39" t="n">
        <f aca="false">IF(T$4=0,0,IF(COUNTIFS(実績!$W$6:$W$505,T$3,実績!$AI$6:$AI$505,"&lt;="&amp;$A34,実績!$AJ$6:$AJ$505,"&gt;"&amp;$A34,実績!$AL$6:$AL$505,"○")&gt;0,1,0))</f>
        <v>0</v>
      </c>
      <c r="U34" s="39" t="n">
        <f aca="false">IF(U$4=0,0,IF(COUNTIFS(実績!$W$6:$W$505,U$3,実績!$AI$6:$AI$505,"&lt;="&amp;$A34,実績!$AJ$6:$AJ$505,"&gt;"&amp;$A34,実績!$AL$6:$AL$505,"○")&gt;0,1,0))</f>
        <v>0</v>
      </c>
      <c r="V34" s="39" t="n">
        <f aca="false">IF(V$4=0,0,IF(COUNTIFS(実績!$W$6:$W$505,V$3,実績!$AI$6:$AI$505,"&lt;="&amp;$A34,実績!$AJ$6:$AJ$505,"&gt;"&amp;$A34,実績!$AL$6:$AL$505,"○")&gt;0,1,0))</f>
        <v>0</v>
      </c>
      <c r="W34" s="39" t="n">
        <f aca="false">IF(W$4=0,0,IF(COUNTIFS(実績!$W$6:$W$505,W$3,実績!$AI$6:$AI$505,"&lt;="&amp;$A34,実績!$AJ$6:$AJ$505,"&gt;"&amp;$A34,実績!$AL$6:$AL$505,"○")&gt;0,1,0))</f>
        <v>0</v>
      </c>
      <c r="X34" s="39" t="n">
        <f aca="false">IF(X$4=0,0,IF(COUNTIFS(実績!$W$6:$W$505,X$3,実績!$AI$6:$AI$505,"&lt;="&amp;$A34,実績!$AJ$6:$AJ$505,"&gt;"&amp;$A34,実績!$AL$6:$AL$505,"○")&gt;0,1,0))</f>
        <v>0</v>
      </c>
      <c r="Y34" s="39" t="n">
        <f aca="false">IF(Y$4=0,0,IF(COUNTIFS(実績!$W$6:$W$505,Y$3,実績!$AI$6:$AI$505,"&lt;="&amp;$A34,実績!$AJ$6:$AJ$505,"&gt;"&amp;$A34,実績!$AL$6:$AL$505,"○")&gt;0,1,0))</f>
        <v>0</v>
      </c>
      <c r="Z34" s="39" t="n">
        <f aca="false">IF(Z$4=0,0,IF(COUNTIFS(実績!$W$6:$W$505,Z$3,実績!$AI$6:$AI$505,"&lt;="&amp;$A34,実績!$AJ$6:$AJ$505,"&gt;"&amp;$A34,実績!$AL$6:$AL$505,"○")&gt;0,1,0))</f>
        <v>0</v>
      </c>
      <c r="AA34" s="39" t="n">
        <f aca="false">IF(AA$4=0,0,IF(COUNTIFS(実績!$W$6:$W$505,AA$3,実績!$AI$6:$AI$505,"&lt;="&amp;$A34,実績!$AJ$6:$AJ$505,"&gt;"&amp;$A34,実績!$AL$6:$AL$505,"○")&gt;0,1,0))</f>
        <v>0</v>
      </c>
      <c r="AB34" s="39" t="n">
        <f aca="false">IF(AB$4=0,0,IF(COUNTIFS(実績!$W$6:$W$505,AB$3,実績!$AI$6:$AI$505,"&lt;="&amp;$A34,実績!$AJ$6:$AJ$505,"&gt;"&amp;$A34,実績!$AL$6:$AL$505,"○")&gt;0,1,0))</f>
        <v>0</v>
      </c>
      <c r="AC34" s="39" t="n">
        <f aca="false">IF(AC$4=0,0,IF(COUNTIFS(実績!$W$6:$W$505,AC$3,実績!$AI$6:$AI$505,"&lt;="&amp;$A34,実績!$AJ$6:$AJ$505,"&gt;"&amp;$A34,実績!$AL$6:$AL$505,"○")&gt;0,1,0))</f>
        <v>0</v>
      </c>
      <c r="AD34" s="39" t="n">
        <f aca="false">IF(AD$4=0,0,IF(COUNTIFS(実績!$W$6:$W$505,AD$3,実績!$AI$6:$AI$505,"&lt;="&amp;$A34,実績!$AJ$6:$AJ$505,"&gt;"&amp;$A34,実績!$AL$6:$AL$505,"○")&gt;0,1,0))</f>
        <v>0</v>
      </c>
      <c r="AE34" s="39" t="n">
        <f aca="false">IF(AE$4=0,0,IF(COUNTIFS(実績!$W$6:$W$505,AE$3,実績!$AI$6:$AI$505,"&lt;="&amp;$A34,実績!$AJ$6:$AJ$505,"&gt;"&amp;$A34,実績!$AL$6:$AL$505,"○")&gt;0,1,0))</f>
        <v>0</v>
      </c>
      <c r="AF34" s="39" t="n">
        <f aca="false">IF(AF$4=0,0,IF(COUNTIFS(実績!$W$6:$W$505,AF$3,実績!$AI$6:$AI$505,"&lt;="&amp;$A34,実績!$AJ$6:$AJ$505,"&gt;"&amp;$A34,実績!$AL$6:$AL$505,"○")&gt;0,1,0))</f>
        <v>0</v>
      </c>
      <c r="AG34" s="39" t="n">
        <f aca="false">IF(AG$4=0,0,IF(COUNTIFS(実績!$W$6:$W$505,AG$3,実績!$AI$6:$AI$505,"&lt;="&amp;$A34,実績!$AJ$6:$AJ$505,"&gt;"&amp;$A34,実績!$AL$6:$AL$505,"○")&gt;0,1,0))</f>
        <v>0</v>
      </c>
      <c r="AH34" s="39" t="n">
        <f aca="false">IF(AH$4=0,0,IF(COUNTIFS(実績!$W$6:$W$505,AH$3,実績!$AI$6:$AI$505,"&lt;="&amp;$A34,実績!$AJ$6:$AJ$505,"&gt;"&amp;$A34,実績!$AL$6:$AL$505,"○")&gt;0,1,0))</f>
        <v>0</v>
      </c>
      <c r="AI34" s="39" t="n">
        <f aca="false">IF(AI$4=0,0,IF(COUNTIFS(実績!$W$6:$W$505,AI$3,実績!$AI$6:$AI$505,"&lt;="&amp;$A34,実績!$AJ$6:$AJ$505,"&gt;"&amp;$A34,実績!$AL$6:$AL$505,"○")&gt;0,1,0))</f>
        <v>0</v>
      </c>
      <c r="AJ34" s="39" t="n">
        <f aca="false">IF(AJ$4=0,0,IF(COUNTIFS(実績!$W$6:$W$505,AJ$3,実績!$AI$6:$AI$505,"&lt;="&amp;$A34,実績!$AJ$6:$AJ$505,"&gt;"&amp;$A34,実績!$AL$6:$AL$505,"○")&gt;0,1,0))</f>
        <v>0</v>
      </c>
      <c r="AK34" s="39" t="n">
        <f aca="false">IF(AK$4=0,0,IF(COUNTIFS(実績!$W$6:$W$505,AK$3,実績!$AI$6:$AI$505,"&lt;="&amp;$A34,実績!$AJ$6:$AJ$505,"&gt;"&amp;$A34,実績!$AL$6:$AL$505,"○")&gt;0,1,0))</f>
        <v>0</v>
      </c>
      <c r="AL34" s="39" t="n">
        <f aca="false">IF(AL$4=0,0,IF(COUNTIFS(実績!$W$6:$W$505,AL$3,実績!$AI$6:$AI$505,"&lt;="&amp;$A34,実績!$AJ$6:$AJ$505,"&gt;"&amp;$A34,実績!$AL$6:$AL$505,"○")&gt;0,1,0))</f>
        <v>0</v>
      </c>
      <c r="AM34" s="39" t="n">
        <f aca="false">IF(AM$4=0,0,IF(COUNTIFS(実績!$W$6:$W$505,AM$3,実績!$AI$6:$AI$505,"&lt;="&amp;$A34,実績!$AJ$6:$AJ$505,"&gt;"&amp;$A34,実績!$AL$6:$AL$505,"○")&gt;0,1,0))</f>
        <v>0</v>
      </c>
      <c r="AN34" s="39" t="n">
        <f aca="false">IF(AN$4=0,0,IF(COUNTIFS(実績!$W$6:$W$505,AN$3,実績!$AI$6:$AI$505,"&lt;="&amp;$A34,実績!$AJ$6:$AJ$505,"&gt;"&amp;$A34,実績!$AL$6:$AL$505,"○")&gt;0,1,0))</f>
        <v>0</v>
      </c>
      <c r="AO34" s="39" t="n">
        <f aca="false">IF(AO$4=0,0,IF(COUNTIFS(実績!$W$6:$W$505,AO$3,実績!$AI$6:$AI$505,"&lt;="&amp;$A34,実績!$AJ$6:$AJ$505,"&gt;"&amp;$A34,実績!$AL$6:$AL$505,"○")&gt;0,1,0))</f>
        <v>0</v>
      </c>
      <c r="AP34" s="39" t="n">
        <f aca="false">IF(AP$4=0,0,IF(COUNTIFS(実績!$W$6:$W$505,AP$3,実績!$AI$6:$AI$505,"&lt;="&amp;$A34,実績!$AJ$6:$AJ$505,"&gt;"&amp;$A34,実績!$AL$6:$AL$505,"○")&gt;0,1,0))</f>
        <v>0</v>
      </c>
      <c r="AQ34" s="39" t="n">
        <f aca="false">IF(AQ$4=0,0,IF(COUNTIFS(実績!$W$6:$W$505,AQ$3,実績!$AI$6:$AI$505,"&lt;="&amp;$A34,実績!$AJ$6:$AJ$505,"&gt;"&amp;$A34,実績!$AL$6:$AL$505,"○")&gt;0,1,0))</f>
        <v>0</v>
      </c>
      <c r="AR34" s="39" t="n">
        <f aca="false">IF(AR$4=0,0,IF(COUNTIFS(実績!$W$6:$W$505,AR$3,実績!$AI$6:$AI$505,"&lt;="&amp;$A34,実績!$AJ$6:$AJ$505,"&gt;"&amp;$A34,実績!$AL$6:$AL$505,"○")&gt;0,1,0))</f>
        <v>0</v>
      </c>
      <c r="AS34" s="39" t="n">
        <f aca="false">IF(AS$4=0,0,IF(COUNTIFS(実績!$W$6:$W$505,AS$3,実績!$AI$6:$AI$505,"&lt;="&amp;$A34,実績!$AJ$6:$AJ$505,"&gt;"&amp;$A34,実績!$AL$6:$AL$505,"○")&gt;0,1,0))</f>
        <v>0</v>
      </c>
      <c r="AT34" s="39" t="n">
        <f aca="false">IF(AT$4=0,0,IF(COUNTIFS(実績!$W$6:$W$505,AT$3,実績!$AI$6:$AI$505,"&lt;="&amp;$A34,実績!$AJ$6:$AJ$505,"&gt;"&amp;$A34,実績!$AL$6:$AL$505,"○")&gt;0,1,0))</f>
        <v>0</v>
      </c>
      <c r="AU34" s="39" t="n">
        <f aca="false">IF(AU$4=0,0,IF(COUNTIFS(実績!$W$6:$W$505,AU$3,実績!$AI$6:$AI$505,"&lt;="&amp;$A34,実績!$AJ$6:$AJ$505,"&gt;"&amp;$A34,実績!$AL$6:$AL$505,"○")&gt;0,1,0))</f>
        <v>0</v>
      </c>
      <c r="AV34" s="39" t="n">
        <f aca="false">IF(AV$4=0,0,IF(COUNTIFS(実績!$W$6:$W$505,AV$3,実績!$AI$6:$AI$505,"&lt;="&amp;$A34,実績!$AJ$6:$AJ$505,"&gt;"&amp;$A34,実績!$AL$6:$AL$505,"○")&gt;0,1,0))</f>
        <v>0</v>
      </c>
      <c r="AW34" s="39" t="n">
        <f aca="false">IF(AW$4=0,0,IF(COUNTIFS(実績!$W$6:$W$505,AW$3,実績!$AI$6:$AI$505,"&lt;="&amp;$A34,実績!$AJ$6:$AJ$505,"&gt;"&amp;$A34,実績!$AL$6:$AL$505,"○")&gt;0,1,0))</f>
        <v>0</v>
      </c>
      <c r="AX34" s="39" t="n">
        <f aca="false">IF(AX$4=0,0,IF(COUNTIFS(実績!$W$6:$W$505,AX$3,実績!$AI$6:$AI$505,"&lt;="&amp;$A34,実績!$AJ$6:$AJ$505,"&gt;"&amp;$A34,実績!$AL$6:$AL$505,"○")&gt;0,1,0))</f>
        <v>0</v>
      </c>
      <c r="AY34" s="39" t="n">
        <f aca="false">IF(AY$4=0,0,IF(COUNTIFS(実績!$W$6:$W$505,AY$3,実績!$AI$6:$AI$505,"&lt;="&amp;$A34,実績!$AJ$6:$AJ$505,"&gt;"&amp;$A34,実績!$AL$6:$AL$505,"○")&gt;0,1,0))</f>
        <v>0</v>
      </c>
      <c r="AZ34" s="39" t="n">
        <f aca="false">IF(AZ$4=0,0,IF(COUNTIFS(実績!$W$6:$W$505,AZ$3,実績!$AI$6:$AI$505,"&lt;="&amp;$A34,実績!$AJ$6:$AJ$505,"&gt;"&amp;$A34,実績!$AL$6:$AL$505,"○")&gt;0,1,0))</f>
        <v>0</v>
      </c>
      <c r="BA34" s="39" t="n">
        <f aca="false">IF(BA$4=0,0,IF(COUNTIFS(実績!$W$6:$W$505,BA$3,実績!$AI$6:$AI$505,"&lt;="&amp;$A34,実績!$AJ$6:$AJ$505,"&gt;"&amp;$A34,実績!$AL$6:$AL$505,"○")&gt;0,1,0))</f>
        <v>0</v>
      </c>
      <c r="BB34" s="39" t="n">
        <f aca="false">IF(BB$4=0,0,IF(COUNTIFS(実績!$W$6:$W$505,BB$3,実績!$AI$6:$AI$505,"&lt;="&amp;$A34,実績!$AJ$6:$AJ$505,"&gt;"&amp;$A34,実績!$AL$6:$AL$505,"○")&gt;0,1,0))</f>
        <v>0</v>
      </c>
      <c r="BC34" s="39" t="n">
        <f aca="false">IF(BC$4=0,0,IF(COUNTIFS(実績!$W$6:$W$505,BC$3,実績!$AI$6:$AI$505,"&lt;="&amp;$A34,実績!$AJ$6:$AJ$505,"&gt;"&amp;$A34,実績!$AL$6:$AL$505,"○")&gt;0,1,0))</f>
        <v>0</v>
      </c>
      <c r="BD34" s="39" t="n">
        <f aca="false">IF(BD$4=0,0,IF(COUNTIFS(実績!$W$6:$W$505,BD$3,実績!$AI$6:$AI$505,"&lt;="&amp;$A34,実績!$AJ$6:$AJ$505,"&gt;"&amp;$A34,実績!$AL$6:$AL$505,"○")&gt;0,1,0))</f>
        <v>0</v>
      </c>
      <c r="BE34" s="39" t="n">
        <f aca="false">IF(BE$4=0,0,IF(COUNTIFS(実績!$W$6:$W$505,BE$3,実績!$AI$6:$AI$505,"&lt;="&amp;$A34,実績!$AJ$6:$AJ$505,"&gt;"&amp;$A34,実績!$AL$6:$AL$505,"○")&gt;0,1,0))</f>
        <v>0</v>
      </c>
      <c r="BF34" s="39" t="n">
        <f aca="false">IF(BF$4=0,0,IF(COUNTIFS(実績!$W$6:$W$505,BF$3,実績!$AI$6:$AI$505,"&lt;="&amp;$A34,実績!$AJ$6:$AJ$505,"&gt;"&amp;$A34,実績!$AL$6:$AL$505,"○")&gt;0,1,0))</f>
        <v>0</v>
      </c>
      <c r="BG34" s="39" t="n">
        <f aca="false">IF(BG$4=0,0,IF(COUNTIFS(実績!$W$6:$W$505,BG$3,実績!$AI$6:$AI$505,"&lt;="&amp;$A34,実績!$AJ$6:$AJ$505,"&gt;"&amp;$A34,実績!$AL$6:$AL$505,"○")&gt;0,1,0))</f>
        <v>0</v>
      </c>
      <c r="BH34" s="39" t="n">
        <f aca="false">IF(BH$4=0,0,IF(COUNTIFS(実績!$W$6:$W$505,BH$3,実績!$AI$6:$AI$505,"&lt;="&amp;$A34,実績!$AJ$6:$AJ$505,"&gt;"&amp;$A34,実績!$AL$6:$AL$505,"○")&gt;0,1,0))</f>
        <v>0</v>
      </c>
      <c r="BI34" s="39" t="n">
        <f aca="false">IF(BI$4=0,0,IF(COUNTIFS(実績!$W$6:$W$505,BI$3,実績!$AI$6:$AI$505,"&lt;="&amp;$A34,実績!$AJ$6:$AJ$505,"&gt;"&amp;$A34,実績!$AL$6:$AL$505,"○")&gt;0,1,0))</f>
        <v>0</v>
      </c>
      <c r="BJ34" s="39" t="n">
        <f aca="false">IF(BJ$4=0,0,IF(COUNTIFS(実績!$W$6:$W$505,BJ$3,実績!$AI$6:$AI$505,"&lt;="&amp;$A34,実績!$AJ$6:$AJ$505,"&gt;"&amp;$A34,実績!$AL$6:$AL$505,"○")&gt;0,1,0))</f>
        <v>0</v>
      </c>
      <c r="BK34" s="39" t="n">
        <f aca="false">IF(BK$4=0,0,IF(COUNTIFS(実績!$W$6:$W$505,BK$3,実績!$AI$6:$AI$505,"&lt;="&amp;$A34,実績!$AJ$6:$AJ$505,"&gt;"&amp;$A34,実績!$AL$6:$AL$505,"○")&gt;0,1,0))</f>
        <v>0</v>
      </c>
      <c r="BL34" s="39" t="n">
        <f aca="false">IF(BL$4=0,0,IF(COUNTIFS(実績!$W$6:$W$505,BL$3,実績!$AI$6:$AI$505,"&lt;="&amp;$A34,実績!$AJ$6:$AJ$505,"&gt;"&amp;$A34,実績!$AL$6:$AL$505,"○")&gt;0,1,0))</f>
        <v>0</v>
      </c>
      <c r="BM34" s="39" t="n">
        <f aca="false">IF(BM$4=0,0,IF(COUNTIFS(実績!$W$6:$W$505,BM$3,実績!$AI$6:$AI$505,"&lt;="&amp;$A34,実績!$AJ$6:$AJ$505,"&gt;"&amp;$A34,実績!$AL$6:$AL$505,"○")&gt;0,1,0))</f>
        <v>0</v>
      </c>
      <c r="BN34" s="39" t="n">
        <f aca="false">IF(BN$4=0,0,IF(COUNTIFS(実績!$W$6:$W$505,BN$3,実績!$AI$6:$AI$505,"&lt;="&amp;$A34,実績!$AJ$6:$AJ$505,"&gt;"&amp;$A34,実績!$AL$6:$AL$505,"○")&gt;0,1,0))</f>
        <v>0</v>
      </c>
      <c r="BO34" s="39" t="n">
        <f aca="false">IF(BO$4=0,0,IF(COUNTIFS(実績!$W$6:$W$505,BO$3,実績!$AI$6:$AI$505,"&lt;="&amp;$A34,実績!$AJ$6:$AJ$505,"&gt;"&amp;$A34,実績!$AL$6:$AL$505,"○")&gt;0,1,0))</f>
        <v>0</v>
      </c>
      <c r="BP34" s="39" t="n">
        <f aca="false">IF(BP$4=0,0,IF(COUNTIFS(実績!$W$6:$W$505,BP$3,実績!$AI$6:$AI$505,"&lt;="&amp;$A34,実績!$AJ$6:$AJ$505,"&gt;"&amp;$A34,実績!$AL$6:$AL$505,"○")&gt;0,1,0))</f>
        <v>0</v>
      </c>
      <c r="BQ34" s="39" t="n">
        <f aca="false">IF(BQ$4=0,0,IF(COUNTIFS(実績!$W$6:$W$505,BQ$3,実績!$AI$6:$AI$505,"&lt;="&amp;$A34,実績!$AJ$6:$AJ$505,"&gt;"&amp;$A34,実績!$AL$6:$AL$505,"○")&gt;0,1,0))</f>
        <v>0</v>
      </c>
      <c r="BR34" s="39" t="n">
        <f aca="false">IF(BR$4=0,0,IF(COUNTIFS(実績!$W$6:$W$505,BR$3,実績!$AI$6:$AI$505,"&lt;="&amp;$A34,実績!$AJ$6:$AJ$505,"&gt;"&amp;$A34,実績!$AL$6:$AL$505,"○")&gt;0,1,0))</f>
        <v>0</v>
      </c>
      <c r="BS34" s="39" t="n">
        <f aca="false">IF(BS$4=0,0,IF(COUNTIFS(実績!$W$6:$W$505,BS$3,実績!$AI$6:$AI$505,"&lt;="&amp;$A34,実績!$AJ$6:$AJ$505,"&gt;"&amp;$A34,実績!$AL$6:$AL$505,"○")&gt;0,1,0))</f>
        <v>0</v>
      </c>
      <c r="BT34" s="39" t="n">
        <f aca="false">IF(BT$4=0,0,IF(COUNTIFS(実績!$W$6:$W$505,BT$3,実績!$AI$6:$AI$505,"&lt;="&amp;$A34,実績!$AJ$6:$AJ$505,"&gt;"&amp;$A34,実績!$AL$6:$AL$505,"○")&gt;0,1,0))</f>
        <v>0</v>
      </c>
      <c r="BU34" s="39" t="n">
        <f aca="false">IF(BU$4=0,0,IF(COUNTIFS(実績!$W$6:$W$505,BU$3,実績!$AI$6:$AI$505,"&lt;="&amp;$A34,実績!$AJ$6:$AJ$505,"&gt;"&amp;$A34,実績!$AL$6:$AL$505,"○")&gt;0,1,0))</f>
        <v>0</v>
      </c>
      <c r="BV34" s="39" t="n">
        <f aca="false">IF(BV$4=0,0,IF(COUNTIFS(実績!$W$6:$W$505,BV$3,実績!$AI$6:$AI$505,"&lt;="&amp;$A34,実績!$AJ$6:$AJ$505,"&gt;"&amp;$A34,実績!$AL$6:$AL$505,"○")&gt;0,1,0))</f>
        <v>0</v>
      </c>
      <c r="BW34" s="39" t="n">
        <f aca="false">IF(BW$4=0,0,IF(COUNTIFS(実績!$W$6:$W$505,BW$3,実績!$AI$6:$AI$505,"&lt;="&amp;$A34,実績!$AJ$6:$AJ$505,"&gt;"&amp;$A34,実績!$AL$6:$AL$505,"○")&gt;0,1,0))</f>
        <v>0</v>
      </c>
      <c r="BX34" s="39" t="n">
        <f aca="false">IF(BX$4=0,0,IF(COUNTIFS(実績!$W$6:$W$505,BX$3,実績!$AI$6:$AI$505,"&lt;="&amp;$A34,実績!$AJ$6:$AJ$505,"&gt;"&amp;$A34,実績!$AL$6:$AL$505,"○")&gt;0,1,0))</f>
        <v>0</v>
      </c>
      <c r="BY34" s="39" t="n">
        <f aca="false">IF(BY$4=0,0,IF(COUNTIFS(実績!$W$6:$W$505,BY$3,実績!$AI$6:$AI$505,"&lt;="&amp;$A34,実績!$AJ$6:$AJ$505,"&gt;"&amp;$A34,実績!$AL$6:$AL$505,"○")&gt;0,1,0))</f>
        <v>0</v>
      </c>
      <c r="BZ34" s="39" t="n">
        <f aca="false">IF(BZ$4=0,0,IF(COUNTIFS(実績!$W$6:$W$505,BZ$3,実績!$AI$6:$AI$505,"&lt;="&amp;$A34,実績!$AJ$6:$AJ$505,"&gt;"&amp;$A34,実績!$AL$6:$AL$505,"○")&gt;0,1,0))</f>
        <v>0</v>
      </c>
      <c r="CA34" s="39" t="n">
        <f aca="false">IF(CA$4=0,0,IF(COUNTIFS(実績!$W$6:$W$505,CA$3,実績!$AI$6:$AI$505,"&lt;="&amp;$A34,実績!$AJ$6:$AJ$505,"&gt;"&amp;$A34,実績!$AL$6:$AL$505,"○")&gt;0,1,0))</f>
        <v>0</v>
      </c>
      <c r="CB34" s="39" t="n">
        <f aca="false">IF(CB$4=0,0,IF(COUNTIFS(実績!$W$6:$W$505,CB$3,実績!$AI$6:$AI$505,"&lt;="&amp;$A34,実績!$AJ$6:$AJ$505,"&gt;"&amp;$A34,実績!$AL$6:$AL$505,"○")&gt;0,1,0))</f>
        <v>0</v>
      </c>
      <c r="CC34" s="39" t="n">
        <f aca="false">IF(CC$4=0,0,IF(COUNTIFS(実績!$W$6:$W$505,CC$3,実績!$AI$6:$AI$505,"&lt;="&amp;$A34,実績!$AJ$6:$AJ$505,"&gt;"&amp;$A34,実績!$AL$6:$AL$505,"○")&gt;0,1,0))</f>
        <v>0</v>
      </c>
      <c r="CD34" s="39" t="n">
        <f aca="false">IF(CD$4=0,0,IF(COUNTIFS(実績!$W$6:$W$505,CD$3,実績!$AI$6:$AI$505,"&lt;="&amp;$A34,実績!$AJ$6:$AJ$505,"&gt;"&amp;$A34,実績!$AL$6:$AL$505,"○")&gt;0,1,0))</f>
        <v>0</v>
      </c>
      <c r="CE34" s="39" t="n">
        <f aca="false">IF(CE$4=0,0,IF(COUNTIFS(実績!$W$6:$W$505,CE$3,実績!$AI$6:$AI$505,"&lt;="&amp;$A34,実績!$AJ$6:$AJ$505,"&gt;"&amp;$A34,実績!$AL$6:$AL$505,"○")&gt;0,1,0))</f>
        <v>0</v>
      </c>
      <c r="CF34" s="39" t="n">
        <f aca="false">IF(CF$4=0,0,IF(COUNTIFS(実績!$W$6:$W$505,CF$3,実績!$AI$6:$AI$505,"&lt;="&amp;$A34,実績!$AJ$6:$AJ$505,"&gt;"&amp;$A34,実績!$AL$6:$AL$505,"○")&gt;0,1,0))</f>
        <v>0</v>
      </c>
      <c r="CG34" s="39" t="n">
        <f aca="false">IF(CG$4=0,0,IF(COUNTIFS(実績!$W$6:$W$505,CG$3,実績!$AI$6:$AI$505,"&lt;="&amp;$A34,実績!$AJ$6:$AJ$505,"&gt;"&amp;$A34,実績!$AL$6:$AL$505,"○")&gt;0,1,0))</f>
        <v>0</v>
      </c>
      <c r="CH34" s="39" t="n">
        <f aca="false">IF(CH$4=0,0,IF(COUNTIFS(実績!$W$6:$W$505,CH$3,実績!$AI$6:$AI$505,"&lt;="&amp;$A34,実績!$AJ$6:$AJ$505,"&gt;"&amp;$A34,実績!$AL$6:$AL$505,"○")&gt;0,1,0))</f>
        <v>0</v>
      </c>
      <c r="CI34" s="39" t="n">
        <f aca="false">IF(CI$4=0,0,IF(COUNTIFS(実績!$W$6:$W$505,CI$3,実績!$AI$6:$AI$505,"&lt;="&amp;$A34,実績!$AJ$6:$AJ$505,"&gt;"&amp;$A34,実績!$AL$6:$AL$505,"○")&gt;0,1,0))</f>
        <v>0</v>
      </c>
      <c r="CJ34" s="39" t="n">
        <f aca="false">IF(CJ$4=0,0,IF(COUNTIFS(実績!$W$6:$W$505,CJ$3,実績!$AI$6:$AI$505,"&lt;="&amp;$A34,実績!$AJ$6:$AJ$505,"&gt;"&amp;$A34,実績!$AL$6:$AL$505,"○")&gt;0,1,0))</f>
        <v>0</v>
      </c>
      <c r="CK34" s="39" t="n">
        <f aca="false">IF(CK$4=0,0,IF(COUNTIFS(実績!$W$6:$W$505,CK$3,実績!$AI$6:$AI$505,"&lt;="&amp;$A34,実績!$AJ$6:$AJ$505,"&gt;"&amp;$A34,実績!$AL$6:$AL$505,"○")&gt;0,1,0))</f>
        <v>0</v>
      </c>
      <c r="CL34" s="39" t="n">
        <f aca="false">IF(CL$4=0,0,IF(COUNTIFS(実績!$W$6:$W$505,CL$3,実績!$AI$6:$AI$505,"&lt;="&amp;$A34,実績!$AJ$6:$AJ$505,"&gt;"&amp;$A34,実績!$AL$6:$AL$505,"○")&gt;0,1,0))</f>
        <v>0</v>
      </c>
      <c r="CM34" s="39" t="n">
        <f aca="false">IF(CM$4=0,0,IF(COUNTIFS(実績!$W$6:$W$505,CM$3,実績!$AI$6:$AI$505,"&lt;="&amp;$A34,実績!$AJ$6:$AJ$505,"&gt;"&amp;$A34,実績!$AL$6:$AL$505,"○")&gt;0,1,0))</f>
        <v>0</v>
      </c>
      <c r="CN34" s="39" t="n">
        <f aca="false">IF(CN$4=0,0,IF(COUNTIFS(実績!$W$6:$W$505,CN$3,実績!$AI$6:$AI$505,"&lt;="&amp;$A34,実績!$AJ$6:$AJ$505,"&gt;"&amp;$A34,実績!$AL$6:$AL$505,"○")&gt;0,1,0))</f>
        <v>0</v>
      </c>
      <c r="CO34" s="39" t="n">
        <f aca="false">IF(CO$4=0,0,IF(COUNTIFS(実績!$W$6:$W$505,CO$3,実績!$AI$6:$AI$505,"&lt;="&amp;$A34,実績!$AJ$6:$AJ$505,"&gt;"&amp;$A34,実績!$AL$6:$AL$505,"○")&gt;0,1,0))</f>
        <v>0</v>
      </c>
      <c r="CP34" s="39" t="n">
        <f aca="false">IF(CP$4=0,0,IF(COUNTIFS(実績!$W$6:$W$505,CP$3,実績!$AI$6:$AI$505,"&lt;="&amp;$A34,実績!$AJ$6:$AJ$505,"&gt;"&amp;$A34,実績!$AL$6:$AL$505,"○")&gt;0,1,0))</f>
        <v>0</v>
      </c>
      <c r="CQ34" s="39" t="n">
        <f aca="false">IF(CQ$4=0,0,IF(COUNTIFS(実績!$W$6:$W$505,CQ$3,実績!$AI$6:$AI$505,"&lt;="&amp;$A34,実績!$AJ$6:$AJ$505,"&gt;"&amp;$A34,実績!$AL$6:$AL$505,"○")&gt;0,1,0))</f>
        <v>0</v>
      </c>
      <c r="CR34" s="39" t="n">
        <f aca="false">IF(CR$4=0,0,IF(COUNTIFS(実績!$W$6:$W$505,CR$3,実績!$AI$6:$AI$505,"&lt;="&amp;$A34,実績!$AJ$6:$AJ$505,"&gt;"&amp;$A34,実績!$AL$6:$AL$505,"○")&gt;0,1,0))</f>
        <v>0</v>
      </c>
      <c r="CS34" s="39" t="n">
        <f aca="false">IF(CS$4=0,0,IF(COUNTIFS(実績!$W$6:$W$505,CS$3,実績!$AI$6:$AI$505,"&lt;="&amp;$A34,実績!$AJ$6:$AJ$505,"&gt;"&amp;$A34,実績!$AL$6:$AL$505,"○")&gt;0,1,0))</f>
        <v>0</v>
      </c>
      <c r="CT34" s="39" t="n">
        <f aca="false">IF(CT$4=0,0,IF(COUNTIFS(実績!$W$6:$W$505,CT$3,実績!$AI$6:$AI$505,"&lt;="&amp;$A34,実績!$AJ$6:$AJ$505,"&gt;"&amp;$A34,実績!$AL$6:$AL$505,"○")&gt;0,1,0))</f>
        <v>0</v>
      </c>
      <c r="CU34" s="39" t="n">
        <f aca="false">IF(CU$4=0,0,IF(COUNTIFS(実績!$W$6:$W$505,CU$3,実績!$AI$6:$AI$505,"&lt;="&amp;$A34,実績!$AJ$6:$AJ$505,"&gt;"&amp;$A34,実績!$AL$6:$AL$505,"○")&gt;0,1,0))</f>
        <v>0</v>
      </c>
      <c r="CV34" s="39" t="n">
        <f aca="false">IF(CV$4=0,0,IF(COUNTIFS(実績!$W$6:$W$505,CV$3,実績!$AI$6:$AI$505,"&lt;="&amp;$A34,実績!$AJ$6:$AJ$505,"&gt;"&amp;$A34,実績!$AL$6:$AL$505,"○")&gt;0,1,0))</f>
        <v>0</v>
      </c>
      <c r="CW34" s="39" t="n">
        <f aca="false">IF(CW$4=0,0,IF(COUNTIFS(実績!$W$6:$W$505,CW$3,実績!$AI$6:$AI$505,"&lt;="&amp;$A34,実績!$AJ$6:$AJ$505,"&gt;"&amp;$A34,実績!$AL$6:$AL$505,"○")&gt;0,1,0))</f>
        <v>0</v>
      </c>
      <c r="CX34" s="39" t="n">
        <f aca="false">IF(CX$4=0,0,IF(COUNTIFS(実績!$W$6:$W$505,CX$3,実績!$AI$6:$AI$505,"&lt;="&amp;$A34,実績!$AJ$6:$AJ$505,"&gt;"&amp;$A34,実績!$AL$6:$AL$505,"○")&gt;0,1,0))</f>
        <v>0</v>
      </c>
      <c r="CY34" s="39" t="n">
        <f aca="false">IF(CY$4=0,0,IF(COUNTIFS(実績!$W$6:$W$505,CY$3,実績!$AI$6:$AI$505,"&lt;="&amp;$A34,実績!$AJ$6:$AJ$505,"&gt;"&amp;$A34,実績!$AL$6:$AL$505,"○")&gt;0,1,0))</f>
        <v>0</v>
      </c>
      <c r="CZ34" s="39" t="n">
        <f aca="false">IF(CZ$4=0,0,IF(COUNTIFS(実績!$W$6:$W$505,CZ$3,実績!$AI$6:$AI$505,"&lt;="&amp;$A34,実績!$AJ$6:$AJ$505,"&gt;"&amp;$A34,実績!$AL$6:$AL$505,"○")&gt;0,1,0))</f>
        <v>0</v>
      </c>
      <c r="DA34" s="39" t="n">
        <f aca="false">IF(DA$4=0,0,IF(COUNTIFS(実績!$W$6:$W$505,DA$3,実績!$AI$6:$AI$505,"&lt;="&amp;$A34,実績!$AJ$6:$AJ$505,"&gt;"&amp;$A34,実績!$AL$6:$AL$505,"○")&gt;0,1,0))</f>
        <v>0</v>
      </c>
      <c r="DB34" s="39" t="n">
        <f aca="false">IF(DB$4=0,0,IF(COUNTIFS(実績!$W$6:$W$505,DB$3,実績!$AI$6:$AI$505,"&lt;="&amp;$A34,実績!$AJ$6:$AJ$505,"&gt;"&amp;$A34,実績!$AL$6:$AL$505,"○")&gt;0,1,0))</f>
        <v>0</v>
      </c>
      <c r="DC34" s="39" t="n">
        <f aca="false">IF(DC$4=0,0,IF(COUNTIFS(実績!$W$6:$W$505,DC$3,実績!$AI$6:$AI$505,"&lt;="&amp;$A34,実績!$AJ$6:$AJ$505,"&gt;"&amp;$A34,実績!$AL$6:$AL$505,"○")&gt;0,1,0))</f>
        <v>0</v>
      </c>
      <c r="DD34" s="39" t="n">
        <f aca="false">IF(DD$4=0,0,IF(COUNTIFS(実績!$W$6:$W$505,DD$3,実績!$AI$6:$AI$505,"&lt;="&amp;$A34,実績!$AJ$6:$AJ$505,"&gt;"&amp;$A34,実績!$AL$6:$AL$505,"○")&gt;0,1,0))</f>
        <v>0</v>
      </c>
      <c r="DE34" s="39" t="n">
        <f aca="false">IF(DE$4=0,0,IF(COUNTIFS(実績!$W$6:$W$505,DE$3,実績!$AI$6:$AI$505,"&lt;="&amp;$A34,実績!$AJ$6:$AJ$505,"&gt;"&amp;$A34,実績!$AL$6:$AL$505,"○")&gt;0,1,0))</f>
        <v>0</v>
      </c>
      <c r="DF34" s="39" t="n">
        <f aca="false">IF(DF$4=0,0,IF(COUNTIFS(実績!$W$6:$W$505,DF$3,実績!$AI$6:$AI$505,"&lt;="&amp;$A34,実績!$AJ$6:$AJ$505,"&gt;"&amp;$A34,実績!$AL$6:$AL$505,"○")&gt;0,1,0))</f>
        <v>0</v>
      </c>
      <c r="DG34" s="39" t="n">
        <f aca="false">IF(DG$4=0,0,IF(COUNTIFS(実績!$W$6:$W$505,DG$3,実績!$AI$6:$AI$505,"&lt;="&amp;$A34,実績!$AJ$6:$AJ$505,"&gt;"&amp;$A34,実績!$AL$6:$AL$505,"○")&gt;0,1,0))</f>
        <v>0</v>
      </c>
      <c r="DH34" s="39" t="n">
        <f aca="false">IF(DH$4=0,0,IF(COUNTIFS(実績!$W$6:$W$505,DH$3,実績!$AI$6:$AI$505,"&lt;="&amp;$A34,実績!$AJ$6:$AJ$505,"&gt;"&amp;$A34,実績!$AL$6:$AL$505,"○")&gt;0,1,0))</f>
        <v>0</v>
      </c>
      <c r="DI34" s="39" t="n">
        <f aca="false">IF(DI$4=0,0,IF(COUNTIFS(実績!$W$6:$W$505,DI$3,実績!$AI$6:$AI$505,"&lt;="&amp;$A34,実績!$AJ$6:$AJ$505,"&gt;"&amp;$A34,実績!$AL$6:$AL$505,"○")&gt;0,1,0))</f>
        <v>0</v>
      </c>
      <c r="DJ34" s="39" t="n">
        <f aca="false">IF(DJ$4=0,0,IF(COUNTIFS(実績!$W$6:$W$505,DJ$3,実績!$AI$6:$AI$505,"&lt;="&amp;$A34,実績!$AJ$6:$AJ$505,"&gt;"&amp;$A34,実績!$AL$6:$AL$505,"○")&gt;0,1,0))</f>
        <v>0</v>
      </c>
      <c r="DK34" s="39" t="n">
        <f aca="false">IF(DK$4=0,0,IF(COUNTIFS(実績!$W$6:$W$505,DK$3,実績!$AI$6:$AI$505,"&lt;="&amp;$A34,実績!$AJ$6:$AJ$505,"&gt;"&amp;$A34,実績!$AL$6:$AL$505,"○")&gt;0,1,0))</f>
        <v>0</v>
      </c>
      <c r="DL34" s="39" t="n">
        <f aca="false">IF(DL$4=0,0,IF(COUNTIFS(実績!$W$6:$W$505,DL$3,実績!$AI$6:$AI$505,"&lt;="&amp;$A34,実績!$AJ$6:$AJ$505,"&gt;"&amp;$A34,実績!$AL$6:$AL$505,"○")&gt;0,1,0))</f>
        <v>0</v>
      </c>
      <c r="DM34" s="39" t="n">
        <f aca="false">IF(DM$4=0,0,IF(COUNTIFS(実績!$W$6:$W$505,DM$3,実績!$AI$6:$AI$505,"&lt;="&amp;$A34,実績!$AJ$6:$AJ$505,"&gt;"&amp;$A34,実績!$AL$6:$AL$505,"○")&gt;0,1,0))</f>
        <v>0</v>
      </c>
      <c r="DN34" s="39" t="n">
        <f aca="false">IF(DN$4=0,0,IF(COUNTIFS(実績!$W$6:$W$505,DN$3,実績!$AI$6:$AI$505,"&lt;="&amp;$A34,実績!$AJ$6:$AJ$505,"&gt;"&amp;$A34,実績!$AL$6:$AL$505,"○")&gt;0,1,0))</f>
        <v>0</v>
      </c>
      <c r="DO34" s="39" t="n">
        <f aca="false">IF(DO$4=0,0,IF(COUNTIFS(実績!$W$6:$W$505,DO$3,実績!$AI$6:$AI$505,"&lt;="&amp;$A34,実績!$AJ$6:$AJ$505,"&gt;"&amp;$A34,実績!$AL$6:$AL$505,"○")&gt;0,1,0))</f>
        <v>0</v>
      </c>
      <c r="DP34" s="39" t="n">
        <f aca="false">IF(DP$4=0,0,IF(COUNTIFS(実績!$W$6:$W$505,DP$3,実績!$AI$6:$AI$505,"&lt;="&amp;$A34,実績!$AJ$6:$AJ$505,"&gt;"&amp;$A34,実績!$AL$6:$AL$505,"○")&gt;0,1,0))</f>
        <v>0</v>
      </c>
      <c r="DQ34" s="39" t="n">
        <f aca="false">IF(DQ$4=0,0,IF(COUNTIFS(実績!$W$6:$W$505,DQ$3,実績!$AI$6:$AI$505,"&lt;="&amp;$A34,実績!$AJ$6:$AJ$505,"&gt;"&amp;$A34,実績!$AL$6:$AL$505,"○")&gt;0,1,0))</f>
        <v>0</v>
      </c>
      <c r="DR34" s="39" t="n">
        <f aca="false">IF(DR$4=0,0,IF(COUNTIFS(実績!$W$6:$W$505,DR$3,実績!$AI$6:$AI$505,"&lt;="&amp;$A34,実績!$AJ$6:$AJ$505,"&gt;"&amp;$A34,実績!$AL$6:$AL$505,"○")&gt;0,1,0))</f>
        <v>0</v>
      </c>
      <c r="DS34" s="39" t="n">
        <f aca="false">SUM(C34:DR34)</f>
        <v>0</v>
      </c>
    </row>
    <row r="35" customFormat="false" ht="15" hidden="false" customHeight="false" outlineLevel="0" collapsed="false">
      <c r="A35" s="0" t="n">
        <v>145</v>
      </c>
      <c r="B35" s="38" t="n">
        <f aca="false">A35/1440</f>
        <v>0.100694444444444</v>
      </c>
      <c r="C35" s="39" t="n">
        <f aca="false">IF(C$4=0,0,IF(COUNTIFS(実績!$W$6:$W$505,C$3,実績!$AI$6:$AI$505,"&lt;="&amp;$A35,実績!$AJ$6:$AJ$505,"&gt;"&amp;$A35,実績!$AL$6:$AL$505,"○")&gt;0,1,0))</f>
        <v>0</v>
      </c>
      <c r="D35" s="39" t="n">
        <f aca="false">IF(D$4=0,0,IF(COUNTIFS(実績!$W$6:$W$505,D$3,実績!$AI$6:$AI$505,"&lt;="&amp;$A35,実績!$AJ$6:$AJ$505,"&gt;"&amp;$A35,実績!$AL$6:$AL$505,"○")&gt;0,1,0))</f>
        <v>0</v>
      </c>
      <c r="E35" s="39" t="n">
        <f aca="false">IF(E$4=0,0,IF(COUNTIFS(実績!$W$6:$W$505,E$3,実績!$AI$6:$AI$505,"&lt;="&amp;$A35,実績!$AJ$6:$AJ$505,"&gt;"&amp;$A35,実績!$AL$6:$AL$505,"○")&gt;0,1,0))</f>
        <v>0</v>
      </c>
      <c r="F35" s="39" t="n">
        <f aca="false">IF(F$4=0,0,IF(COUNTIFS(実績!$W$6:$W$505,F$3,実績!$AI$6:$AI$505,"&lt;="&amp;$A35,実績!$AJ$6:$AJ$505,"&gt;"&amp;$A35,実績!$AL$6:$AL$505,"○")&gt;0,1,0))</f>
        <v>0</v>
      </c>
      <c r="G35" s="39" t="n">
        <f aca="false">IF(G$4=0,0,IF(COUNTIFS(実績!$W$6:$W$505,G$3,実績!$AI$6:$AI$505,"&lt;="&amp;$A35,実績!$AJ$6:$AJ$505,"&gt;"&amp;$A35,実績!$AL$6:$AL$505,"○")&gt;0,1,0))</f>
        <v>0</v>
      </c>
      <c r="H35" s="39" t="n">
        <f aca="false">IF(H$4=0,0,IF(COUNTIFS(実績!$W$6:$W$505,H$3,実績!$AI$6:$AI$505,"&lt;="&amp;$A35,実績!$AJ$6:$AJ$505,"&gt;"&amp;$A35,実績!$AL$6:$AL$505,"○")&gt;0,1,0))</f>
        <v>0</v>
      </c>
      <c r="I35" s="39" t="n">
        <f aca="false">IF(I$4=0,0,IF(COUNTIFS(実績!$W$6:$W$505,I$3,実績!$AI$6:$AI$505,"&lt;="&amp;$A35,実績!$AJ$6:$AJ$505,"&gt;"&amp;$A35,実績!$AL$6:$AL$505,"○")&gt;0,1,0))</f>
        <v>0</v>
      </c>
      <c r="J35" s="39" t="n">
        <f aca="false">IF(J$4=0,0,IF(COUNTIFS(実績!$W$6:$W$505,J$3,実績!$AI$6:$AI$505,"&lt;="&amp;$A35,実績!$AJ$6:$AJ$505,"&gt;"&amp;$A35,実績!$AL$6:$AL$505,"○")&gt;0,1,0))</f>
        <v>0</v>
      </c>
      <c r="K35" s="39" t="n">
        <f aca="false">IF(K$4=0,0,IF(COUNTIFS(実績!$W$6:$W$505,K$3,実績!$AI$6:$AI$505,"&lt;="&amp;$A35,実績!$AJ$6:$AJ$505,"&gt;"&amp;$A35,実績!$AL$6:$AL$505,"○")&gt;0,1,0))</f>
        <v>0</v>
      </c>
      <c r="L35" s="39" t="n">
        <f aca="false">IF(L$4=0,0,IF(COUNTIFS(実績!$W$6:$W$505,L$3,実績!$AI$6:$AI$505,"&lt;="&amp;$A35,実績!$AJ$6:$AJ$505,"&gt;"&amp;$A35,実績!$AL$6:$AL$505,"○")&gt;0,1,0))</f>
        <v>0</v>
      </c>
      <c r="M35" s="39" t="n">
        <f aca="false">IF(M$4=0,0,IF(COUNTIFS(実績!$W$6:$W$505,M$3,実績!$AI$6:$AI$505,"&lt;="&amp;$A35,実績!$AJ$6:$AJ$505,"&gt;"&amp;$A35,実績!$AL$6:$AL$505,"○")&gt;0,1,0))</f>
        <v>0</v>
      </c>
      <c r="N35" s="39" t="n">
        <f aca="false">IF(N$4=0,0,IF(COUNTIFS(実績!$W$6:$W$505,N$3,実績!$AI$6:$AI$505,"&lt;="&amp;$A35,実績!$AJ$6:$AJ$505,"&gt;"&amp;$A35,実績!$AL$6:$AL$505,"○")&gt;0,1,0))</f>
        <v>0</v>
      </c>
      <c r="O35" s="39" t="n">
        <f aca="false">IF(O$4=0,0,IF(COUNTIFS(実績!$W$6:$W$505,O$3,実績!$AI$6:$AI$505,"&lt;="&amp;$A35,実績!$AJ$6:$AJ$505,"&gt;"&amp;$A35,実績!$AL$6:$AL$505,"○")&gt;0,1,0))</f>
        <v>0</v>
      </c>
      <c r="P35" s="39" t="n">
        <f aca="false">IF(P$4=0,0,IF(COUNTIFS(実績!$W$6:$W$505,P$3,実績!$AI$6:$AI$505,"&lt;="&amp;$A35,実績!$AJ$6:$AJ$505,"&gt;"&amp;$A35,実績!$AL$6:$AL$505,"○")&gt;0,1,0))</f>
        <v>0</v>
      </c>
      <c r="Q35" s="39" t="n">
        <f aca="false">IF(Q$4=0,0,IF(COUNTIFS(実績!$W$6:$W$505,Q$3,実績!$AI$6:$AI$505,"&lt;="&amp;$A35,実績!$AJ$6:$AJ$505,"&gt;"&amp;$A35,実績!$AL$6:$AL$505,"○")&gt;0,1,0))</f>
        <v>0</v>
      </c>
      <c r="R35" s="39" t="n">
        <f aca="false">IF(R$4=0,0,IF(COUNTIFS(実績!$W$6:$W$505,R$3,実績!$AI$6:$AI$505,"&lt;="&amp;$A35,実績!$AJ$6:$AJ$505,"&gt;"&amp;$A35,実績!$AL$6:$AL$505,"○")&gt;0,1,0))</f>
        <v>0</v>
      </c>
      <c r="S35" s="39" t="n">
        <f aca="false">IF(S$4=0,0,IF(COUNTIFS(実績!$W$6:$W$505,S$3,実績!$AI$6:$AI$505,"&lt;="&amp;$A35,実績!$AJ$6:$AJ$505,"&gt;"&amp;$A35,実績!$AL$6:$AL$505,"○")&gt;0,1,0))</f>
        <v>0</v>
      </c>
      <c r="T35" s="39" t="n">
        <f aca="false">IF(T$4=0,0,IF(COUNTIFS(実績!$W$6:$W$505,T$3,実績!$AI$6:$AI$505,"&lt;="&amp;$A35,実績!$AJ$6:$AJ$505,"&gt;"&amp;$A35,実績!$AL$6:$AL$505,"○")&gt;0,1,0))</f>
        <v>0</v>
      </c>
      <c r="U35" s="39" t="n">
        <f aca="false">IF(U$4=0,0,IF(COUNTIFS(実績!$W$6:$W$505,U$3,実績!$AI$6:$AI$505,"&lt;="&amp;$A35,実績!$AJ$6:$AJ$505,"&gt;"&amp;$A35,実績!$AL$6:$AL$505,"○")&gt;0,1,0))</f>
        <v>0</v>
      </c>
      <c r="V35" s="39" t="n">
        <f aca="false">IF(V$4=0,0,IF(COUNTIFS(実績!$W$6:$W$505,V$3,実績!$AI$6:$AI$505,"&lt;="&amp;$A35,実績!$AJ$6:$AJ$505,"&gt;"&amp;$A35,実績!$AL$6:$AL$505,"○")&gt;0,1,0))</f>
        <v>0</v>
      </c>
      <c r="W35" s="39" t="n">
        <f aca="false">IF(W$4=0,0,IF(COUNTIFS(実績!$W$6:$W$505,W$3,実績!$AI$6:$AI$505,"&lt;="&amp;$A35,実績!$AJ$6:$AJ$505,"&gt;"&amp;$A35,実績!$AL$6:$AL$505,"○")&gt;0,1,0))</f>
        <v>0</v>
      </c>
      <c r="X35" s="39" t="n">
        <f aca="false">IF(X$4=0,0,IF(COUNTIFS(実績!$W$6:$W$505,X$3,実績!$AI$6:$AI$505,"&lt;="&amp;$A35,実績!$AJ$6:$AJ$505,"&gt;"&amp;$A35,実績!$AL$6:$AL$505,"○")&gt;0,1,0))</f>
        <v>0</v>
      </c>
      <c r="Y35" s="39" t="n">
        <f aca="false">IF(Y$4=0,0,IF(COUNTIFS(実績!$W$6:$W$505,Y$3,実績!$AI$6:$AI$505,"&lt;="&amp;$A35,実績!$AJ$6:$AJ$505,"&gt;"&amp;$A35,実績!$AL$6:$AL$505,"○")&gt;0,1,0))</f>
        <v>0</v>
      </c>
      <c r="Z35" s="39" t="n">
        <f aca="false">IF(Z$4=0,0,IF(COUNTIFS(実績!$W$6:$W$505,Z$3,実績!$AI$6:$AI$505,"&lt;="&amp;$A35,実績!$AJ$6:$AJ$505,"&gt;"&amp;$A35,実績!$AL$6:$AL$505,"○")&gt;0,1,0))</f>
        <v>0</v>
      </c>
      <c r="AA35" s="39" t="n">
        <f aca="false">IF(AA$4=0,0,IF(COUNTIFS(実績!$W$6:$W$505,AA$3,実績!$AI$6:$AI$505,"&lt;="&amp;$A35,実績!$AJ$6:$AJ$505,"&gt;"&amp;$A35,実績!$AL$6:$AL$505,"○")&gt;0,1,0))</f>
        <v>0</v>
      </c>
      <c r="AB35" s="39" t="n">
        <f aca="false">IF(AB$4=0,0,IF(COUNTIFS(実績!$W$6:$W$505,AB$3,実績!$AI$6:$AI$505,"&lt;="&amp;$A35,実績!$AJ$6:$AJ$505,"&gt;"&amp;$A35,実績!$AL$6:$AL$505,"○")&gt;0,1,0))</f>
        <v>0</v>
      </c>
      <c r="AC35" s="39" t="n">
        <f aca="false">IF(AC$4=0,0,IF(COUNTIFS(実績!$W$6:$W$505,AC$3,実績!$AI$6:$AI$505,"&lt;="&amp;$A35,実績!$AJ$6:$AJ$505,"&gt;"&amp;$A35,実績!$AL$6:$AL$505,"○")&gt;0,1,0))</f>
        <v>0</v>
      </c>
      <c r="AD35" s="39" t="n">
        <f aca="false">IF(AD$4=0,0,IF(COUNTIFS(実績!$W$6:$W$505,AD$3,実績!$AI$6:$AI$505,"&lt;="&amp;$A35,実績!$AJ$6:$AJ$505,"&gt;"&amp;$A35,実績!$AL$6:$AL$505,"○")&gt;0,1,0))</f>
        <v>0</v>
      </c>
      <c r="AE35" s="39" t="n">
        <f aca="false">IF(AE$4=0,0,IF(COUNTIFS(実績!$W$6:$W$505,AE$3,実績!$AI$6:$AI$505,"&lt;="&amp;$A35,実績!$AJ$6:$AJ$505,"&gt;"&amp;$A35,実績!$AL$6:$AL$505,"○")&gt;0,1,0))</f>
        <v>0</v>
      </c>
      <c r="AF35" s="39" t="n">
        <f aca="false">IF(AF$4=0,0,IF(COUNTIFS(実績!$W$6:$W$505,AF$3,実績!$AI$6:$AI$505,"&lt;="&amp;$A35,実績!$AJ$6:$AJ$505,"&gt;"&amp;$A35,実績!$AL$6:$AL$505,"○")&gt;0,1,0))</f>
        <v>0</v>
      </c>
      <c r="AG35" s="39" t="n">
        <f aca="false">IF(AG$4=0,0,IF(COUNTIFS(実績!$W$6:$W$505,AG$3,実績!$AI$6:$AI$505,"&lt;="&amp;$A35,実績!$AJ$6:$AJ$505,"&gt;"&amp;$A35,実績!$AL$6:$AL$505,"○")&gt;0,1,0))</f>
        <v>0</v>
      </c>
      <c r="AH35" s="39" t="n">
        <f aca="false">IF(AH$4=0,0,IF(COUNTIFS(実績!$W$6:$W$505,AH$3,実績!$AI$6:$AI$505,"&lt;="&amp;$A35,実績!$AJ$6:$AJ$505,"&gt;"&amp;$A35,実績!$AL$6:$AL$505,"○")&gt;0,1,0))</f>
        <v>0</v>
      </c>
      <c r="AI35" s="39" t="n">
        <f aca="false">IF(AI$4=0,0,IF(COUNTIFS(実績!$W$6:$W$505,AI$3,実績!$AI$6:$AI$505,"&lt;="&amp;$A35,実績!$AJ$6:$AJ$505,"&gt;"&amp;$A35,実績!$AL$6:$AL$505,"○")&gt;0,1,0))</f>
        <v>0</v>
      </c>
      <c r="AJ35" s="39" t="n">
        <f aca="false">IF(AJ$4=0,0,IF(COUNTIFS(実績!$W$6:$W$505,AJ$3,実績!$AI$6:$AI$505,"&lt;="&amp;$A35,実績!$AJ$6:$AJ$505,"&gt;"&amp;$A35,実績!$AL$6:$AL$505,"○")&gt;0,1,0))</f>
        <v>0</v>
      </c>
      <c r="AK35" s="39" t="n">
        <f aca="false">IF(AK$4=0,0,IF(COUNTIFS(実績!$W$6:$W$505,AK$3,実績!$AI$6:$AI$505,"&lt;="&amp;$A35,実績!$AJ$6:$AJ$505,"&gt;"&amp;$A35,実績!$AL$6:$AL$505,"○")&gt;0,1,0))</f>
        <v>0</v>
      </c>
      <c r="AL35" s="39" t="n">
        <f aca="false">IF(AL$4=0,0,IF(COUNTIFS(実績!$W$6:$W$505,AL$3,実績!$AI$6:$AI$505,"&lt;="&amp;$A35,実績!$AJ$6:$AJ$505,"&gt;"&amp;$A35,実績!$AL$6:$AL$505,"○")&gt;0,1,0))</f>
        <v>0</v>
      </c>
      <c r="AM35" s="39" t="n">
        <f aca="false">IF(AM$4=0,0,IF(COUNTIFS(実績!$W$6:$W$505,AM$3,実績!$AI$6:$AI$505,"&lt;="&amp;$A35,実績!$AJ$6:$AJ$505,"&gt;"&amp;$A35,実績!$AL$6:$AL$505,"○")&gt;0,1,0))</f>
        <v>0</v>
      </c>
      <c r="AN35" s="39" t="n">
        <f aca="false">IF(AN$4=0,0,IF(COUNTIFS(実績!$W$6:$W$505,AN$3,実績!$AI$6:$AI$505,"&lt;="&amp;$A35,実績!$AJ$6:$AJ$505,"&gt;"&amp;$A35,実績!$AL$6:$AL$505,"○")&gt;0,1,0))</f>
        <v>0</v>
      </c>
      <c r="AO35" s="39" t="n">
        <f aca="false">IF(AO$4=0,0,IF(COUNTIFS(実績!$W$6:$W$505,AO$3,実績!$AI$6:$AI$505,"&lt;="&amp;$A35,実績!$AJ$6:$AJ$505,"&gt;"&amp;$A35,実績!$AL$6:$AL$505,"○")&gt;0,1,0))</f>
        <v>0</v>
      </c>
      <c r="AP35" s="39" t="n">
        <f aca="false">IF(AP$4=0,0,IF(COUNTIFS(実績!$W$6:$W$505,AP$3,実績!$AI$6:$AI$505,"&lt;="&amp;$A35,実績!$AJ$6:$AJ$505,"&gt;"&amp;$A35,実績!$AL$6:$AL$505,"○")&gt;0,1,0))</f>
        <v>0</v>
      </c>
      <c r="AQ35" s="39" t="n">
        <f aca="false">IF(AQ$4=0,0,IF(COUNTIFS(実績!$W$6:$W$505,AQ$3,実績!$AI$6:$AI$505,"&lt;="&amp;$A35,実績!$AJ$6:$AJ$505,"&gt;"&amp;$A35,実績!$AL$6:$AL$505,"○")&gt;0,1,0))</f>
        <v>0</v>
      </c>
      <c r="AR35" s="39" t="n">
        <f aca="false">IF(AR$4=0,0,IF(COUNTIFS(実績!$W$6:$W$505,AR$3,実績!$AI$6:$AI$505,"&lt;="&amp;$A35,実績!$AJ$6:$AJ$505,"&gt;"&amp;$A35,実績!$AL$6:$AL$505,"○")&gt;0,1,0))</f>
        <v>0</v>
      </c>
      <c r="AS35" s="39" t="n">
        <f aca="false">IF(AS$4=0,0,IF(COUNTIFS(実績!$W$6:$W$505,AS$3,実績!$AI$6:$AI$505,"&lt;="&amp;$A35,実績!$AJ$6:$AJ$505,"&gt;"&amp;$A35,実績!$AL$6:$AL$505,"○")&gt;0,1,0))</f>
        <v>0</v>
      </c>
      <c r="AT35" s="39" t="n">
        <f aca="false">IF(AT$4=0,0,IF(COUNTIFS(実績!$W$6:$W$505,AT$3,実績!$AI$6:$AI$505,"&lt;="&amp;$A35,実績!$AJ$6:$AJ$505,"&gt;"&amp;$A35,実績!$AL$6:$AL$505,"○")&gt;0,1,0))</f>
        <v>0</v>
      </c>
      <c r="AU35" s="39" t="n">
        <f aca="false">IF(AU$4=0,0,IF(COUNTIFS(実績!$W$6:$W$505,AU$3,実績!$AI$6:$AI$505,"&lt;="&amp;$A35,実績!$AJ$6:$AJ$505,"&gt;"&amp;$A35,実績!$AL$6:$AL$505,"○")&gt;0,1,0))</f>
        <v>0</v>
      </c>
      <c r="AV35" s="39" t="n">
        <f aca="false">IF(AV$4=0,0,IF(COUNTIFS(実績!$W$6:$W$505,AV$3,実績!$AI$6:$AI$505,"&lt;="&amp;$A35,実績!$AJ$6:$AJ$505,"&gt;"&amp;$A35,実績!$AL$6:$AL$505,"○")&gt;0,1,0))</f>
        <v>0</v>
      </c>
      <c r="AW35" s="39" t="n">
        <f aca="false">IF(AW$4=0,0,IF(COUNTIFS(実績!$W$6:$W$505,AW$3,実績!$AI$6:$AI$505,"&lt;="&amp;$A35,実績!$AJ$6:$AJ$505,"&gt;"&amp;$A35,実績!$AL$6:$AL$505,"○")&gt;0,1,0))</f>
        <v>0</v>
      </c>
      <c r="AX35" s="39" t="n">
        <f aca="false">IF(AX$4=0,0,IF(COUNTIFS(実績!$W$6:$W$505,AX$3,実績!$AI$6:$AI$505,"&lt;="&amp;$A35,実績!$AJ$6:$AJ$505,"&gt;"&amp;$A35,実績!$AL$6:$AL$505,"○")&gt;0,1,0))</f>
        <v>0</v>
      </c>
      <c r="AY35" s="39" t="n">
        <f aca="false">IF(AY$4=0,0,IF(COUNTIFS(実績!$W$6:$W$505,AY$3,実績!$AI$6:$AI$505,"&lt;="&amp;$A35,実績!$AJ$6:$AJ$505,"&gt;"&amp;$A35,実績!$AL$6:$AL$505,"○")&gt;0,1,0))</f>
        <v>0</v>
      </c>
      <c r="AZ35" s="39" t="n">
        <f aca="false">IF(AZ$4=0,0,IF(COUNTIFS(実績!$W$6:$W$505,AZ$3,実績!$AI$6:$AI$505,"&lt;="&amp;$A35,実績!$AJ$6:$AJ$505,"&gt;"&amp;$A35,実績!$AL$6:$AL$505,"○")&gt;0,1,0))</f>
        <v>0</v>
      </c>
      <c r="BA35" s="39" t="n">
        <f aca="false">IF(BA$4=0,0,IF(COUNTIFS(実績!$W$6:$W$505,BA$3,実績!$AI$6:$AI$505,"&lt;="&amp;$A35,実績!$AJ$6:$AJ$505,"&gt;"&amp;$A35,実績!$AL$6:$AL$505,"○")&gt;0,1,0))</f>
        <v>0</v>
      </c>
      <c r="BB35" s="39" t="n">
        <f aca="false">IF(BB$4=0,0,IF(COUNTIFS(実績!$W$6:$W$505,BB$3,実績!$AI$6:$AI$505,"&lt;="&amp;$A35,実績!$AJ$6:$AJ$505,"&gt;"&amp;$A35,実績!$AL$6:$AL$505,"○")&gt;0,1,0))</f>
        <v>0</v>
      </c>
      <c r="BC35" s="39" t="n">
        <f aca="false">IF(BC$4=0,0,IF(COUNTIFS(実績!$W$6:$W$505,BC$3,実績!$AI$6:$AI$505,"&lt;="&amp;$A35,実績!$AJ$6:$AJ$505,"&gt;"&amp;$A35,実績!$AL$6:$AL$505,"○")&gt;0,1,0))</f>
        <v>0</v>
      </c>
      <c r="BD35" s="39" t="n">
        <f aca="false">IF(BD$4=0,0,IF(COUNTIFS(実績!$W$6:$W$505,BD$3,実績!$AI$6:$AI$505,"&lt;="&amp;$A35,実績!$AJ$6:$AJ$505,"&gt;"&amp;$A35,実績!$AL$6:$AL$505,"○")&gt;0,1,0))</f>
        <v>0</v>
      </c>
      <c r="BE35" s="39" t="n">
        <f aca="false">IF(BE$4=0,0,IF(COUNTIFS(実績!$W$6:$W$505,BE$3,実績!$AI$6:$AI$505,"&lt;="&amp;$A35,実績!$AJ$6:$AJ$505,"&gt;"&amp;$A35,実績!$AL$6:$AL$505,"○")&gt;0,1,0))</f>
        <v>0</v>
      </c>
      <c r="BF35" s="39" t="n">
        <f aca="false">IF(BF$4=0,0,IF(COUNTIFS(実績!$W$6:$W$505,BF$3,実績!$AI$6:$AI$505,"&lt;="&amp;$A35,実績!$AJ$6:$AJ$505,"&gt;"&amp;$A35,実績!$AL$6:$AL$505,"○")&gt;0,1,0))</f>
        <v>0</v>
      </c>
      <c r="BG35" s="39" t="n">
        <f aca="false">IF(BG$4=0,0,IF(COUNTIFS(実績!$W$6:$W$505,BG$3,実績!$AI$6:$AI$505,"&lt;="&amp;$A35,実績!$AJ$6:$AJ$505,"&gt;"&amp;$A35,実績!$AL$6:$AL$505,"○")&gt;0,1,0))</f>
        <v>0</v>
      </c>
      <c r="BH35" s="39" t="n">
        <f aca="false">IF(BH$4=0,0,IF(COUNTIFS(実績!$W$6:$W$505,BH$3,実績!$AI$6:$AI$505,"&lt;="&amp;$A35,実績!$AJ$6:$AJ$505,"&gt;"&amp;$A35,実績!$AL$6:$AL$505,"○")&gt;0,1,0))</f>
        <v>0</v>
      </c>
      <c r="BI35" s="39" t="n">
        <f aca="false">IF(BI$4=0,0,IF(COUNTIFS(実績!$W$6:$W$505,BI$3,実績!$AI$6:$AI$505,"&lt;="&amp;$A35,実績!$AJ$6:$AJ$505,"&gt;"&amp;$A35,実績!$AL$6:$AL$505,"○")&gt;0,1,0))</f>
        <v>0</v>
      </c>
      <c r="BJ35" s="39" t="n">
        <f aca="false">IF(BJ$4=0,0,IF(COUNTIFS(実績!$W$6:$W$505,BJ$3,実績!$AI$6:$AI$505,"&lt;="&amp;$A35,実績!$AJ$6:$AJ$505,"&gt;"&amp;$A35,実績!$AL$6:$AL$505,"○")&gt;0,1,0))</f>
        <v>0</v>
      </c>
      <c r="BK35" s="39" t="n">
        <f aca="false">IF(BK$4=0,0,IF(COUNTIFS(実績!$W$6:$W$505,BK$3,実績!$AI$6:$AI$505,"&lt;="&amp;$A35,実績!$AJ$6:$AJ$505,"&gt;"&amp;$A35,実績!$AL$6:$AL$505,"○")&gt;0,1,0))</f>
        <v>0</v>
      </c>
      <c r="BL35" s="39" t="n">
        <f aca="false">IF(BL$4=0,0,IF(COUNTIFS(実績!$W$6:$W$505,BL$3,実績!$AI$6:$AI$505,"&lt;="&amp;$A35,実績!$AJ$6:$AJ$505,"&gt;"&amp;$A35,実績!$AL$6:$AL$505,"○")&gt;0,1,0))</f>
        <v>0</v>
      </c>
      <c r="BM35" s="39" t="n">
        <f aca="false">IF(BM$4=0,0,IF(COUNTIFS(実績!$W$6:$W$505,BM$3,実績!$AI$6:$AI$505,"&lt;="&amp;$A35,実績!$AJ$6:$AJ$505,"&gt;"&amp;$A35,実績!$AL$6:$AL$505,"○")&gt;0,1,0))</f>
        <v>0</v>
      </c>
      <c r="BN35" s="39" t="n">
        <f aca="false">IF(BN$4=0,0,IF(COUNTIFS(実績!$W$6:$W$505,BN$3,実績!$AI$6:$AI$505,"&lt;="&amp;$A35,実績!$AJ$6:$AJ$505,"&gt;"&amp;$A35,実績!$AL$6:$AL$505,"○")&gt;0,1,0))</f>
        <v>0</v>
      </c>
      <c r="BO35" s="39" t="n">
        <f aca="false">IF(BO$4=0,0,IF(COUNTIFS(実績!$W$6:$W$505,BO$3,実績!$AI$6:$AI$505,"&lt;="&amp;$A35,実績!$AJ$6:$AJ$505,"&gt;"&amp;$A35,実績!$AL$6:$AL$505,"○")&gt;0,1,0))</f>
        <v>0</v>
      </c>
      <c r="BP35" s="39" t="n">
        <f aca="false">IF(BP$4=0,0,IF(COUNTIFS(実績!$W$6:$W$505,BP$3,実績!$AI$6:$AI$505,"&lt;="&amp;$A35,実績!$AJ$6:$AJ$505,"&gt;"&amp;$A35,実績!$AL$6:$AL$505,"○")&gt;0,1,0))</f>
        <v>0</v>
      </c>
      <c r="BQ35" s="39" t="n">
        <f aca="false">IF(BQ$4=0,0,IF(COUNTIFS(実績!$W$6:$W$505,BQ$3,実績!$AI$6:$AI$505,"&lt;="&amp;$A35,実績!$AJ$6:$AJ$505,"&gt;"&amp;$A35,実績!$AL$6:$AL$505,"○")&gt;0,1,0))</f>
        <v>0</v>
      </c>
      <c r="BR35" s="39" t="n">
        <f aca="false">IF(BR$4=0,0,IF(COUNTIFS(実績!$W$6:$W$505,BR$3,実績!$AI$6:$AI$505,"&lt;="&amp;$A35,実績!$AJ$6:$AJ$505,"&gt;"&amp;$A35,実績!$AL$6:$AL$505,"○")&gt;0,1,0))</f>
        <v>0</v>
      </c>
      <c r="BS35" s="39" t="n">
        <f aca="false">IF(BS$4=0,0,IF(COUNTIFS(実績!$W$6:$W$505,BS$3,実績!$AI$6:$AI$505,"&lt;="&amp;$A35,実績!$AJ$6:$AJ$505,"&gt;"&amp;$A35,実績!$AL$6:$AL$505,"○")&gt;0,1,0))</f>
        <v>0</v>
      </c>
      <c r="BT35" s="39" t="n">
        <f aca="false">IF(BT$4=0,0,IF(COUNTIFS(実績!$W$6:$W$505,BT$3,実績!$AI$6:$AI$505,"&lt;="&amp;$A35,実績!$AJ$6:$AJ$505,"&gt;"&amp;$A35,実績!$AL$6:$AL$505,"○")&gt;0,1,0))</f>
        <v>0</v>
      </c>
      <c r="BU35" s="39" t="n">
        <f aca="false">IF(BU$4=0,0,IF(COUNTIFS(実績!$W$6:$W$505,BU$3,実績!$AI$6:$AI$505,"&lt;="&amp;$A35,実績!$AJ$6:$AJ$505,"&gt;"&amp;$A35,実績!$AL$6:$AL$505,"○")&gt;0,1,0))</f>
        <v>0</v>
      </c>
      <c r="BV35" s="39" t="n">
        <f aca="false">IF(BV$4=0,0,IF(COUNTIFS(実績!$W$6:$W$505,BV$3,実績!$AI$6:$AI$505,"&lt;="&amp;$A35,実績!$AJ$6:$AJ$505,"&gt;"&amp;$A35,実績!$AL$6:$AL$505,"○")&gt;0,1,0))</f>
        <v>0</v>
      </c>
      <c r="BW35" s="39" t="n">
        <f aca="false">IF(BW$4=0,0,IF(COUNTIFS(実績!$W$6:$W$505,BW$3,実績!$AI$6:$AI$505,"&lt;="&amp;$A35,実績!$AJ$6:$AJ$505,"&gt;"&amp;$A35,実績!$AL$6:$AL$505,"○")&gt;0,1,0))</f>
        <v>0</v>
      </c>
      <c r="BX35" s="39" t="n">
        <f aca="false">IF(BX$4=0,0,IF(COUNTIFS(実績!$W$6:$W$505,BX$3,実績!$AI$6:$AI$505,"&lt;="&amp;$A35,実績!$AJ$6:$AJ$505,"&gt;"&amp;$A35,実績!$AL$6:$AL$505,"○")&gt;0,1,0))</f>
        <v>0</v>
      </c>
      <c r="BY35" s="39" t="n">
        <f aca="false">IF(BY$4=0,0,IF(COUNTIFS(実績!$W$6:$W$505,BY$3,実績!$AI$6:$AI$505,"&lt;="&amp;$A35,実績!$AJ$6:$AJ$505,"&gt;"&amp;$A35,実績!$AL$6:$AL$505,"○")&gt;0,1,0))</f>
        <v>0</v>
      </c>
      <c r="BZ35" s="39" t="n">
        <f aca="false">IF(BZ$4=0,0,IF(COUNTIFS(実績!$W$6:$W$505,BZ$3,実績!$AI$6:$AI$505,"&lt;="&amp;$A35,実績!$AJ$6:$AJ$505,"&gt;"&amp;$A35,実績!$AL$6:$AL$505,"○")&gt;0,1,0))</f>
        <v>0</v>
      </c>
      <c r="CA35" s="39" t="n">
        <f aca="false">IF(CA$4=0,0,IF(COUNTIFS(実績!$W$6:$W$505,CA$3,実績!$AI$6:$AI$505,"&lt;="&amp;$A35,実績!$AJ$6:$AJ$505,"&gt;"&amp;$A35,実績!$AL$6:$AL$505,"○")&gt;0,1,0))</f>
        <v>0</v>
      </c>
      <c r="CB35" s="39" t="n">
        <f aca="false">IF(CB$4=0,0,IF(COUNTIFS(実績!$W$6:$W$505,CB$3,実績!$AI$6:$AI$505,"&lt;="&amp;$A35,実績!$AJ$6:$AJ$505,"&gt;"&amp;$A35,実績!$AL$6:$AL$505,"○")&gt;0,1,0))</f>
        <v>0</v>
      </c>
      <c r="CC35" s="39" t="n">
        <f aca="false">IF(CC$4=0,0,IF(COUNTIFS(実績!$W$6:$W$505,CC$3,実績!$AI$6:$AI$505,"&lt;="&amp;$A35,実績!$AJ$6:$AJ$505,"&gt;"&amp;$A35,実績!$AL$6:$AL$505,"○")&gt;0,1,0))</f>
        <v>0</v>
      </c>
      <c r="CD35" s="39" t="n">
        <f aca="false">IF(CD$4=0,0,IF(COUNTIFS(実績!$W$6:$W$505,CD$3,実績!$AI$6:$AI$505,"&lt;="&amp;$A35,実績!$AJ$6:$AJ$505,"&gt;"&amp;$A35,実績!$AL$6:$AL$505,"○")&gt;0,1,0))</f>
        <v>0</v>
      </c>
      <c r="CE35" s="39" t="n">
        <f aca="false">IF(CE$4=0,0,IF(COUNTIFS(実績!$W$6:$W$505,CE$3,実績!$AI$6:$AI$505,"&lt;="&amp;$A35,実績!$AJ$6:$AJ$505,"&gt;"&amp;$A35,実績!$AL$6:$AL$505,"○")&gt;0,1,0))</f>
        <v>0</v>
      </c>
      <c r="CF35" s="39" t="n">
        <f aca="false">IF(CF$4=0,0,IF(COUNTIFS(実績!$W$6:$W$505,CF$3,実績!$AI$6:$AI$505,"&lt;="&amp;$A35,実績!$AJ$6:$AJ$505,"&gt;"&amp;$A35,実績!$AL$6:$AL$505,"○")&gt;0,1,0))</f>
        <v>0</v>
      </c>
      <c r="CG35" s="39" t="n">
        <f aca="false">IF(CG$4=0,0,IF(COUNTIFS(実績!$W$6:$W$505,CG$3,実績!$AI$6:$AI$505,"&lt;="&amp;$A35,実績!$AJ$6:$AJ$505,"&gt;"&amp;$A35,実績!$AL$6:$AL$505,"○")&gt;0,1,0))</f>
        <v>0</v>
      </c>
      <c r="CH35" s="39" t="n">
        <f aca="false">IF(CH$4=0,0,IF(COUNTIFS(実績!$W$6:$W$505,CH$3,実績!$AI$6:$AI$505,"&lt;="&amp;$A35,実績!$AJ$6:$AJ$505,"&gt;"&amp;$A35,実績!$AL$6:$AL$505,"○")&gt;0,1,0))</f>
        <v>0</v>
      </c>
      <c r="CI35" s="39" t="n">
        <f aca="false">IF(CI$4=0,0,IF(COUNTIFS(実績!$W$6:$W$505,CI$3,実績!$AI$6:$AI$505,"&lt;="&amp;$A35,実績!$AJ$6:$AJ$505,"&gt;"&amp;$A35,実績!$AL$6:$AL$505,"○")&gt;0,1,0))</f>
        <v>0</v>
      </c>
      <c r="CJ35" s="39" t="n">
        <f aca="false">IF(CJ$4=0,0,IF(COUNTIFS(実績!$W$6:$W$505,CJ$3,実績!$AI$6:$AI$505,"&lt;="&amp;$A35,実績!$AJ$6:$AJ$505,"&gt;"&amp;$A35,実績!$AL$6:$AL$505,"○")&gt;0,1,0))</f>
        <v>0</v>
      </c>
      <c r="CK35" s="39" t="n">
        <f aca="false">IF(CK$4=0,0,IF(COUNTIFS(実績!$W$6:$W$505,CK$3,実績!$AI$6:$AI$505,"&lt;="&amp;$A35,実績!$AJ$6:$AJ$505,"&gt;"&amp;$A35,実績!$AL$6:$AL$505,"○")&gt;0,1,0))</f>
        <v>0</v>
      </c>
      <c r="CL35" s="39" t="n">
        <f aca="false">IF(CL$4=0,0,IF(COUNTIFS(実績!$W$6:$W$505,CL$3,実績!$AI$6:$AI$505,"&lt;="&amp;$A35,実績!$AJ$6:$AJ$505,"&gt;"&amp;$A35,実績!$AL$6:$AL$505,"○")&gt;0,1,0))</f>
        <v>0</v>
      </c>
      <c r="CM35" s="39" t="n">
        <f aca="false">IF(CM$4=0,0,IF(COUNTIFS(実績!$W$6:$W$505,CM$3,実績!$AI$6:$AI$505,"&lt;="&amp;$A35,実績!$AJ$6:$AJ$505,"&gt;"&amp;$A35,実績!$AL$6:$AL$505,"○")&gt;0,1,0))</f>
        <v>0</v>
      </c>
      <c r="CN35" s="39" t="n">
        <f aca="false">IF(CN$4=0,0,IF(COUNTIFS(実績!$W$6:$W$505,CN$3,実績!$AI$6:$AI$505,"&lt;="&amp;$A35,実績!$AJ$6:$AJ$505,"&gt;"&amp;$A35,実績!$AL$6:$AL$505,"○")&gt;0,1,0))</f>
        <v>0</v>
      </c>
      <c r="CO35" s="39" t="n">
        <f aca="false">IF(CO$4=0,0,IF(COUNTIFS(実績!$W$6:$W$505,CO$3,実績!$AI$6:$AI$505,"&lt;="&amp;$A35,実績!$AJ$6:$AJ$505,"&gt;"&amp;$A35,実績!$AL$6:$AL$505,"○")&gt;0,1,0))</f>
        <v>0</v>
      </c>
      <c r="CP35" s="39" t="n">
        <f aca="false">IF(CP$4=0,0,IF(COUNTIFS(実績!$W$6:$W$505,CP$3,実績!$AI$6:$AI$505,"&lt;="&amp;$A35,実績!$AJ$6:$AJ$505,"&gt;"&amp;$A35,実績!$AL$6:$AL$505,"○")&gt;0,1,0))</f>
        <v>0</v>
      </c>
      <c r="CQ35" s="39" t="n">
        <f aca="false">IF(CQ$4=0,0,IF(COUNTIFS(実績!$W$6:$W$505,CQ$3,実績!$AI$6:$AI$505,"&lt;="&amp;$A35,実績!$AJ$6:$AJ$505,"&gt;"&amp;$A35,実績!$AL$6:$AL$505,"○")&gt;0,1,0))</f>
        <v>0</v>
      </c>
      <c r="CR35" s="39" t="n">
        <f aca="false">IF(CR$4=0,0,IF(COUNTIFS(実績!$W$6:$W$505,CR$3,実績!$AI$6:$AI$505,"&lt;="&amp;$A35,実績!$AJ$6:$AJ$505,"&gt;"&amp;$A35,実績!$AL$6:$AL$505,"○")&gt;0,1,0))</f>
        <v>0</v>
      </c>
      <c r="CS35" s="39" t="n">
        <f aca="false">IF(CS$4=0,0,IF(COUNTIFS(実績!$W$6:$W$505,CS$3,実績!$AI$6:$AI$505,"&lt;="&amp;$A35,実績!$AJ$6:$AJ$505,"&gt;"&amp;$A35,実績!$AL$6:$AL$505,"○")&gt;0,1,0))</f>
        <v>0</v>
      </c>
      <c r="CT35" s="39" t="n">
        <f aca="false">IF(CT$4=0,0,IF(COUNTIFS(実績!$W$6:$W$505,CT$3,実績!$AI$6:$AI$505,"&lt;="&amp;$A35,実績!$AJ$6:$AJ$505,"&gt;"&amp;$A35,実績!$AL$6:$AL$505,"○")&gt;0,1,0))</f>
        <v>0</v>
      </c>
      <c r="CU35" s="39" t="n">
        <f aca="false">IF(CU$4=0,0,IF(COUNTIFS(実績!$W$6:$W$505,CU$3,実績!$AI$6:$AI$505,"&lt;="&amp;$A35,実績!$AJ$6:$AJ$505,"&gt;"&amp;$A35,実績!$AL$6:$AL$505,"○")&gt;0,1,0))</f>
        <v>0</v>
      </c>
      <c r="CV35" s="39" t="n">
        <f aca="false">IF(CV$4=0,0,IF(COUNTIFS(実績!$W$6:$W$505,CV$3,実績!$AI$6:$AI$505,"&lt;="&amp;$A35,実績!$AJ$6:$AJ$505,"&gt;"&amp;$A35,実績!$AL$6:$AL$505,"○")&gt;0,1,0))</f>
        <v>0</v>
      </c>
      <c r="CW35" s="39" t="n">
        <f aca="false">IF(CW$4=0,0,IF(COUNTIFS(実績!$W$6:$W$505,CW$3,実績!$AI$6:$AI$505,"&lt;="&amp;$A35,実績!$AJ$6:$AJ$505,"&gt;"&amp;$A35,実績!$AL$6:$AL$505,"○")&gt;0,1,0))</f>
        <v>0</v>
      </c>
      <c r="CX35" s="39" t="n">
        <f aca="false">IF(CX$4=0,0,IF(COUNTIFS(実績!$W$6:$W$505,CX$3,実績!$AI$6:$AI$505,"&lt;="&amp;$A35,実績!$AJ$6:$AJ$505,"&gt;"&amp;$A35,実績!$AL$6:$AL$505,"○")&gt;0,1,0))</f>
        <v>0</v>
      </c>
      <c r="CY35" s="39" t="n">
        <f aca="false">IF(CY$4=0,0,IF(COUNTIFS(実績!$W$6:$W$505,CY$3,実績!$AI$6:$AI$505,"&lt;="&amp;$A35,実績!$AJ$6:$AJ$505,"&gt;"&amp;$A35,実績!$AL$6:$AL$505,"○")&gt;0,1,0))</f>
        <v>0</v>
      </c>
      <c r="CZ35" s="39" t="n">
        <f aca="false">IF(CZ$4=0,0,IF(COUNTIFS(実績!$W$6:$W$505,CZ$3,実績!$AI$6:$AI$505,"&lt;="&amp;$A35,実績!$AJ$6:$AJ$505,"&gt;"&amp;$A35,実績!$AL$6:$AL$505,"○")&gt;0,1,0))</f>
        <v>0</v>
      </c>
      <c r="DA35" s="39" t="n">
        <f aca="false">IF(DA$4=0,0,IF(COUNTIFS(実績!$W$6:$W$505,DA$3,実績!$AI$6:$AI$505,"&lt;="&amp;$A35,実績!$AJ$6:$AJ$505,"&gt;"&amp;$A35,実績!$AL$6:$AL$505,"○")&gt;0,1,0))</f>
        <v>0</v>
      </c>
      <c r="DB35" s="39" t="n">
        <f aca="false">IF(DB$4=0,0,IF(COUNTIFS(実績!$W$6:$W$505,DB$3,実績!$AI$6:$AI$505,"&lt;="&amp;$A35,実績!$AJ$6:$AJ$505,"&gt;"&amp;$A35,実績!$AL$6:$AL$505,"○")&gt;0,1,0))</f>
        <v>0</v>
      </c>
      <c r="DC35" s="39" t="n">
        <f aca="false">IF(DC$4=0,0,IF(COUNTIFS(実績!$W$6:$W$505,DC$3,実績!$AI$6:$AI$505,"&lt;="&amp;$A35,実績!$AJ$6:$AJ$505,"&gt;"&amp;$A35,実績!$AL$6:$AL$505,"○")&gt;0,1,0))</f>
        <v>0</v>
      </c>
      <c r="DD35" s="39" t="n">
        <f aca="false">IF(DD$4=0,0,IF(COUNTIFS(実績!$W$6:$W$505,DD$3,実績!$AI$6:$AI$505,"&lt;="&amp;$A35,実績!$AJ$6:$AJ$505,"&gt;"&amp;$A35,実績!$AL$6:$AL$505,"○")&gt;0,1,0))</f>
        <v>0</v>
      </c>
      <c r="DE35" s="39" t="n">
        <f aca="false">IF(DE$4=0,0,IF(COUNTIFS(実績!$W$6:$W$505,DE$3,実績!$AI$6:$AI$505,"&lt;="&amp;$A35,実績!$AJ$6:$AJ$505,"&gt;"&amp;$A35,実績!$AL$6:$AL$505,"○")&gt;0,1,0))</f>
        <v>0</v>
      </c>
      <c r="DF35" s="39" t="n">
        <f aca="false">IF(DF$4=0,0,IF(COUNTIFS(実績!$W$6:$W$505,DF$3,実績!$AI$6:$AI$505,"&lt;="&amp;$A35,実績!$AJ$6:$AJ$505,"&gt;"&amp;$A35,実績!$AL$6:$AL$505,"○")&gt;0,1,0))</f>
        <v>0</v>
      </c>
      <c r="DG35" s="39" t="n">
        <f aca="false">IF(DG$4=0,0,IF(COUNTIFS(実績!$W$6:$W$505,DG$3,実績!$AI$6:$AI$505,"&lt;="&amp;$A35,実績!$AJ$6:$AJ$505,"&gt;"&amp;$A35,実績!$AL$6:$AL$505,"○")&gt;0,1,0))</f>
        <v>0</v>
      </c>
      <c r="DH35" s="39" t="n">
        <f aca="false">IF(DH$4=0,0,IF(COUNTIFS(実績!$W$6:$W$505,DH$3,実績!$AI$6:$AI$505,"&lt;="&amp;$A35,実績!$AJ$6:$AJ$505,"&gt;"&amp;$A35,実績!$AL$6:$AL$505,"○")&gt;0,1,0))</f>
        <v>0</v>
      </c>
      <c r="DI35" s="39" t="n">
        <f aca="false">IF(DI$4=0,0,IF(COUNTIFS(実績!$W$6:$W$505,DI$3,実績!$AI$6:$AI$505,"&lt;="&amp;$A35,実績!$AJ$6:$AJ$505,"&gt;"&amp;$A35,実績!$AL$6:$AL$505,"○")&gt;0,1,0))</f>
        <v>0</v>
      </c>
      <c r="DJ35" s="39" t="n">
        <f aca="false">IF(DJ$4=0,0,IF(COUNTIFS(実績!$W$6:$W$505,DJ$3,実績!$AI$6:$AI$505,"&lt;="&amp;$A35,実績!$AJ$6:$AJ$505,"&gt;"&amp;$A35,実績!$AL$6:$AL$505,"○")&gt;0,1,0))</f>
        <v>0</v>
      </c>
      <c r="DK35" s="39" t="n">
        <f aca="false">IF(DK$4=0,0,IF(COUNTIFS(実績!$W$6:$W$505,DK$3,実績!$AI$6:$AI$505,"&lt;="&amp;$A35,実績!$AJ$6:$AJ$505,"&gt;"&amp;$A35,実績!$AL$6:$AL$505,"○")&gt;0,1,0))</f>
        <v>0</v>
      </c>
      <c r="DL35" s="39" t="n">
        <f aca="false">IF(DL$4=0,0,IF(COUNTIFS(実績!$W$6:$W$505,DL$3,実績!$AI$6:$AI$505,"&lt;="&amp;$A35,実績!$AJ$6:$AJ$505,"&gt;"&amp;$A35,実績!$AL$6:$AL$505,"○")&gt;0,1,0))</f>
        <v>0</v>
      </c>
      <c r="DM35" s="39" t="n">
        <f aca="false">IF(DM$4=0,0,IF(COUNTIFS(実績!$W$6:$W$505,DM$3,実績!$AI$6:$AI$505,"&lt;="&amp;$A35,実績!$AJ$6:$AJ$505,"&gt;"&amp;$A35,実績!$AL$6:$AL$505,"○")&gt;0,1,0))</f>
        <v>0</v>
      </c>
      <c r="DN35" s="39" t="n">
        <f aca="false">IF(DN$4=0,0,IF(COUNTIFS(実績!$W$6:$W$505,DN$3,実績!$AI$6:$AI$505,"&lt;="&amp;$A35,実績!$AJ$6:$AJ$505,"&gt;"&amp;$A35,実績!$AL$6:$AL$505,"○")&gt;0,1,0))</f>
        <v>0</v>
      </c>
      <c r="DO35" s="39" t="n">
        <f aca="false">IF(DO$4=0,0,IF(COUNTIFS(実績!$W$6:$W$505,DO$3,実績!$AI$6:$AI$505,"&lt;="&amp;$A35,実績!$AJ$6:$AJ$505,"&gt;"&amp;$A35,実績!$AL$6:$AL$505,"○")&gt;0,1,0))</f>
        <v>0</v>
      </c>
      <c r="DP35" s="39" t="n">
        <f aca="false">IF(DP$4=0,0,IF(COUNTIFS(実績!$W$6:$W$505,DP$3,実績!$AI$6:$AI$505,"&lt;="&amp;$A35,実績!$AJ$6:$AJ$505,"&gt;"&amp;$A35,実績!$AL$6:$AL$505,"○")&gt;0,1,0))</f>
        <v>0</v>
      </c>
      <c r="DQ35" s="39" t="n">
        <f aca="false">IF(DQ$4=0,0,IF(COUNTIFS(実績!$W$6:$W$505,DQ$3,実績!$AI$6:$AI$505,"&lt;="&amp;$A35,実績!$AJ$6:$AJ$505,"&gt;"&amp;$A35,実績!$AL$6:$AL$505,"○")&gt;0,1,0))</f>
        <v>0</v>
      </c>
      <c r="DR35" s="39" t="n">
        <f aca="false">IF(DR$4=0,0,IF(COUNTIFS(実績!$W$6:$W$505,DR$3,実績!$AI$6:$AI$505,"&lt;="&amp;$A35,実績!$AJ$6:$AJ$505,"&gt;"&amp;$A35,実績!$AL$6:$AL$505,"○")&gt;0,1,0))</f>
        <v>0</v>
      </c>
      <c r="DS35" s="39" t="n">
        <f aca="false">SUM(C35:DR35)</f>
        <v>0</v>
      </c>
    </row>
    <row r="36" customFormat="false" ht="15" hidden="false" customHeight="false" outlineLevel="0" collapsed="false">
      <c r="A36" s="0" t="n">
        <v>150</v>
      </c>
      <c r="B36" s="38" t="n">
        <f aca="false">A36/1440</f>
        <v>0.104166666666667</v>
      </c>
      <c r="C36" s="39" t="n">
        <f aca="false">IF(C$4=0,0,IF(COUNTIFS(実績!$W$6:$W$505,C$3,実績!$AI$6:$AI$505,"&lt;="&amp;$A36,実績!$AJ$6:$AJ$505,"&gt;"&amp;$A36,実績!$AL$6:$AL$505,"○")&gt;0,1,0))</f>
        <v>0</v>
      </c>
      <c r="D36" s="39" t="n">
        <f aca="false">IF(D$4=0,0,IF(COUNTIFS(実績!$W$6:$W$505,D$3,実績!$AI$6:$AI$505,"&lt;="&amp;$A36,実績!$AJ$6:$AJ$505,"&gt;"&amp;$A36,実績!$AL$6:$AL$505,"○")&gt;0,1,0))</f>
        <v>0</v>
      </c>
      <c r="E36" s="39" t="n">
        <f aca="false">IF(E$4=0,0,IF(COUNTIFS(実績!$W$6:$W$505,E$3,実績!$AI$6:$AI$505,"&lt;="&amp;$A36,実績!$AJ$6:$AJ$505,"&gt;"&amp;$A36,実績!$AL$6:$AL$505,"○")&gt;0,1,0))</f>
        <v>0</v>
      </c>
      <c r="F36" s="39" t="n">
        <f aca="false">IF(F$4=0,0,IF(COUNTIFS(実績!$W$6:$W$505,F$3,実績!$AI$6:$AI$505,"&lt;="&amp;$A36,実績!$AJ$6:$AJ$505,"&gt;"&amp;$A36,実績!$AL$6:$AL$505,"○")&gt;0,1,0))</f>
        <v>0</v>
      </c>
      <c r="G36" s="39" t="n">
        <f aca="false">IF(G$4=0,0,IF(COUNTIFS(実績!$W$6:$W$505,G$3,実績!$AI$6:$AI$505,"&lt;="&amp;$A36,実績!$AJ$6:$AJ$505,"&gt;"&amp;$A36,実績!$AL$6:$AL$505,"○")&gt;0,1,0))</f>
        <v>0</v>
      </c>
      <c r="H36" s="39" t="n">
        <f aca="false">IF(H$4=0,0,IF(COUNTIFS(実績!$W$6:$W$505,H$3,実績!$AI$6:$AI$505,"&lt;="&amp;$A36,実績!$AJ$6:$AJ$505,"&gt;"&amp;$A36,実績!$AL$6:$AL$505,"○")&gt;0,1,0))</f>
        <v>0</v>
      </c>
      <c r="I36" s="39" t="n">
        <f aca="false">IF(I$4=0,0,IF(COUNTIFS(実績!$W$6:$W$505,I$3,実績!$AI$6:$AI$505,"&lt;="&amp;$A36,実績!$AJ$6:$AJ$505,"&gt;"&amp;$A36,実績!$AL$6:$AL$505,"○")&gt;0,1,0))</f>
        <v>0</v>
      </c>
      <c r="J36" s="39" t="n">
        <f aca="false">IF(J$4=0,0,IF(COUNTIFS(実績!$W$6:$W$505,J$3,実績!$AI$6:$AI$505,"&lt;="&amp;$A36,実績!$AJ$6:$AJ$505,"&gt;"&amp;$A36,実績!$AL$6:$AL$505,"○")&gt;0,1,0))</f>
        <v>0</v>
      </c>
      <c r="K36" s="39" t="n">
        <f aca="false">IF(K$4=0,0,IF(COUNTIFS(実績!$W$6:$W$505,K$3,実績!$AI$6:$AI$505,"&lt;="&amp;$A36,実績!$AJ$6:$AJ$505,"&gt;"&amp;$A36,実績!$AL$6:$AL$505,"○")&gt;0,1,0))</f>
        <v>0</v>
      </c>
      <c r="L36" s="39" t="n">
        <f aca="false">IF(L$4=0,0,IF(COUNTIFS(実績!$W$6:$W$505,L$3,実績!$AI$6:$AI$505,"&lt;="&amp;$A36,実績!$AJ$6:$AJ$505,"&gt;"&amp;$A36,実績!$AL$6:$AL$505,"○")&gt;0,1,0))</f>
        <v>0</v>
      </c>
      <c r="M36" s="39" t="n">
        <f aca="false">IF(M$4=0,0,IF(COUNTIFS(実績!$W$6:$W$505,M$3,実績!$AI$6:$AI$505,"&lt;="&amp;$A36,実績!$AJ$6:$AJ$505,"&gt;"&amp;$A36,実績!$AL$6:$AL$505,"○")&gt;0,1,0))</f>
        <v>0</v>
      </c>
      <c r="N36" s="39" t="n">
        <f aca="false">IF(N$4=0,0,IF(COUNTIFS(実績!$W$6:$W$505,N$3,実績!$AI$6:$AI$505,"&lt;="&amp;$A36,実績!$AJ$6:$AJ$505,"&gt;"&amp;$A36,実績!$AL$6:$AL$505,"○")&gt;0,1,0))</f>
        <v>0</v>
      </c>
      <c r="O36" s="39" t="n">
        <f aca="false">IF(O$4=0,0,IF(COUNTIFS(実績!$W$6:$W$505,O$3,実績!$AI$6:$AI$505,"&lt;="&amp;$A36,実績!$AJ$6:$AJ$505,"&gt;"&amp;$A36,実績!$AL$6:$AL$505,"○")&gt;0,1,0))</f>
        <v>0</v>
      </c>
      <c r="P36" s="39" t="n">
        <f aca="false">IF(P$4=0,0,IF(COUNTIFS(実績!$W$6:$W$505,P$3,実績!$AI$6:$AI$505,"&lt;="&amp;$A36,実績!$AJ$6:$AJ$505,"&gt;"&amp;$A36,実績!$AL$6:$AL$505,"○")&gt;0,1,0))</f>
        <v>0</v>
      </c>
      <c r="Q36" s="39" t="n">
        <f aca="false">IF(Q$4=0,0,IF(COUNTIFS(実績!$W$6:$W$505,Q$3,実績!$AI$6:$AI$505,"&lt;="&amp;$A36,実績!$AJ$6:$AJ$505,"&gt;"&amp;$A36,実績!$AL$6:$AL$505,"○")&gt;0,1,0))</f>
        <v>0</v>
      </c>
      <c r="R36" s="39" t="n">
        <f aca="false">IF(R$4=0,0,IF(COUNTIFS(実績!$W$6:$W$505,R$3,実績!$AI$6:$AI$505,"&lt;="&amp;$A36,実績!$AJ$6:$AJ$505,"&gt;"&amp;$A36,実績!$AL$6:$AL$505,"○")&gt;0,1,0))</f>
        <v>0</v>
      </c>
      <c r="S36" s="39" t="n">
        <f aca="false">IF(S$4=0,0,IF(COUNTIFS(実績!$W$6:$W$505,S$3,実績!$AI$6:$AI$505,"&lt;="&amp;$A36,実績!$AJ$6:$AJ$505,"&gt;"&amp;$A36,実績!$AL$6:$AL$505,"○")&gt;0,1,0))</f>
        <v>0</v>
      </c>
      <c r="T36" s="39" t="n">
        <f aca="false">IF(T$4=0,0,IF(COUNTIFS(実績!$W$6:$W$505,T$3,実績!$AI$6:$AI$505,"&lt;="&amp;$A36,実績!$AJ$6:$AJ$505,"&gt;"&amp;$A36,実績!$AL$6:$AL$505,"○")&gt;0,1,0))</f>
        <v>0</v>
      </c>
      <c r="U36" s="39" t="n">
        <f aca="false">IF(U$4=0,0,IF(COUNTIFS(実績!$W$6:$W$505,U$3,実績!$AI$6:$AI$505,"&lt;="&amp;$A36,実績!$AJ$6:$AJ$505,"&gt;"&amp;$A36,実績!$AL$6:$AL$505,"○")&gt;0,1,0))</f>
        <v>0</v>
      </c>
      <c r="V36" s="39" t="n">
        <f aca="false">IF(V$4=0,0,IF(COUNTIFS(実績!$W$6:$W$505,V$3,実績!$AI$6:$AI$505,"&lt;="&amp;$A36,実績!$AJ$6:$AJ$505,"&gt;"&amp;$A36,実績!$AL$6:$AL$505,"○")&gt;0,1,0))</f>
        <v>0</v>
      </c>
      <c r="W36" s="39" t="n">
        <f aca="false">IF(W$4=0,0,IF(COUNTIFS(実績!$W$6:$W$505,W$3,実績!$AI$6:$AI$505,"&lt;="&amp;$A36,実績!$AJ$6:$AJ$505,"&gt;"&amp;$A36,実績!$AL$6:$AL$505,"○")&gt;0,1,0))</f>
        <v>0</v>
      </c>
      <c r="X36" s="39" t="n">
        <f aca="false">IF(X$4=0,0,IF(COUNTIFS(実績!$W$6:$W$505,X$3,実績!$AI$6:$AI$505,"&lt;="&amp;$A36,実績!$AJ$6:$AJ$505,"&gt;"&amp;$A36,実績!$AL$6:$AL$505,"○")&gt;0,1,0))</f>
        <v>0</v>
      </c>
      <c r="Y36" s="39" t="n">
        <f aca="false">IF(Y$4=0,0,IF(COUNTIFS(実績!$W$6:$W$505,Y$3,実績!$AI$6:$AI$505,"&lt;="&amp;$A36,実績!$AJ$6:$AJ$505,"&gt;"&amp;$A36,実績!$AL$6:$AL$505,"○")&gt;0,1,0))</f>
        <v>0</v>
      </c>
      <c r="Z36" s="39" t="n">
        <f aca="false">IF(Z$4=0,0,IF(COUNTIFS(実績!$W$6:$W$505,Z$3,実績!$AI$6:$AI$505,"&lt;="&amp;$A36,実績!$AJ$6:$AJ$505,"&gt;"&amp;$A36,実績!$AL$6:$AL$505,"○")&gt;0,1,0))</f>
        <v>0</v>
      </c>
      <c r="AA36" s="39" t="n">
        <f aca="false">IF(AA$4=0,0,IF(COUNTIFS(実績!$W$6:$W$505,AA$3,実績!$AI$6:$AI$505,"&lt;="&amp;$A36,実績!$AJ$6:$AJ$505,"&gt;"&amp;$A36,実績!$AL$6:$AL$505,"○")&gt;0,1,0))</f>
        <v>0</v>
      </c>
      <c r="AB36" s="39" t="n">
        <f aca="false">IF(AB$4=0,0,IF(COUNTIFS(実績!$W$6:$W$505,AB$3,実績!$AI$6:$AI$505,"&lt;="&amp;$A36,実績!$AJ$6:$AJ$505,"&gt;"&amp;$A36,実績!$AL$6:$AL$505,"○")&gt;0,1,0))</f>
        <v>0</v>
      </c>
      <c r="AC36" s="39" t="n">
        <f aca="false">IF(AC$4=0,0,IF(COUNTIFS(実績!$W$6:$W$505,AC$3,実績!$AI$6:$AI$505,"&lt;="&amp;$A36,実績!$AJ$6:$AJ$505,"&gt;"&amp;$A36,実績!$AL$6:$AL$505,"○")&gt;0,1,0))</f>
        <v>0</v>
      </c>
      <c r="AD36" s="39" t="n">
        <f aca="false">IF(AD$4=0,0,IF(COUNTIFS(実績!$W$6:$W$505,AD$3,実績!$AI$6:$AI$505,"&lt;="&amp;$A36,実績!$AJ$6:$AJ$505,"&gt;"&amp;$A36,実績!$AL$6:$AL$505,"○")&gt;0,1,0))</f>
        <v>0</v>
      </c>
      <c r="AE36" s="39" t="n">
        <f aca="false">IF(AE$4=0,0,IF(COUNTIFS(実績!$W$6:$W$505,AE$3,実績!$AI$6:$AI$505,"&lt;="&amp;$A36,実績!$AJ$6:$AJ$505,"&gt;"&amp;$A36,実績!$AL$6:$AL$505,"○")&gt;0,1,0))</f>
        <v>0</v>
      </c>
      <c r="AF36" s="39" t="n">
        <f aca="false">IF(AF$4=0,0,IF(COUNTIFS(実績!$W$6:$W$505,AF$3,実績!$AI$6:$AI$505,"&lt;="&amp;$A36,実績!$AJ$6:$AJ$505,"&gt;"&amp;$A36,実績!$AL$6:$AL$505,"○")&gt;0,1,0))</f>
        <v>0</v>
      </c>
      <c r="AG36" s="39" t="n">
        <f aca="false">IF(AG$4=0,0,IF(COUNTIFS(実績!$W$6:$W$505,AG$3,実績!$AI$6:$AI$505,"&lt;="&amp;$A36,実績!$AJ$6:$AJ$505,"&gt;"&amp;$A36,実績!$AL$6:$AL$505,"○")&gt;0,1,0))</f>
        <v>0</v>
      </c>
      <c r="AH36" s="39" t="n">
        <f aca="false">IF(AH$4=0,0,IF(COUNTIFS(実績!$W$6:$W$505,AH$3,実績!$AI$6:$AI$505,"&lt;="&amp;$A36,実績!$AJ$6:$AJ$505,"&gt;"&amp;$A36,実績!$AL$6:$AL$505,"○")&gt;0,1,0))</f>
        <v>0</v>
      </c>
      <c r="AI36" s="39" t="n">
        <f aca="false">IF(AI$4=0,0,IF(COUNTIFS(実績!$W$6:$W$505,AI$3,実績!$AI$6:$AI$505,"&lt;="&amp;$A36,実績!$AJ$6:$AJ$505,"&gt;"&amp;$A36,実績!$AL$6:$AL$505,"○")&gt;0,1,0))</f>
        <v>0</v>
      </c>
      <c r="AJ36" s="39" t="n">
        <f aca="false">IF(AJ$4=0,0,IF(COUNTIFS(実績!$W$6:$W$505,AJ$3,実績!$AI$6:$AI$505,"&lt;="&amp;$A36,実績!$AJ$6:$AJ$505,"&gt;"&amp;$A36,実績!$AL$6:$AL$505,"○")&gt;0,1,0))</f>
        <v>0</v>
      </c>
      <c r="AK36" s="39" t="n">
        <f aca="false">IF(AK$4=0,0,IF(COUNTIFS(実績!$W$6:$W$505,AK$3,実績!$AI$6:$AI$505,"&lt;="&amp;$A36,実績!$AJ$6:$AJ$505,"&gt;"&amp;$A36,実績!$AL$6:$AL$505,"○")&gt;0,1,0))</f>
        <v>0</v>
      </c>
      <c r="AL36" s="39" t="n">
        <f aca="false">IF(AL$4=0,0,IF(COUNTIFS(実績!$W$6:$W$505,AL$3,実績!$AI$6:$AI$505,"&lt;="&amp;$A36,実績!$AJ$6:$AJ$505,"&gt;"&amp;$A36,実績!$AL$6:$AL$505,"○")&gt;0,1,0))</f>
        <v>0</v>
      </c>
      <c r="AM36" s="39" t="n">
        <f aca="false">IF(AM$4=0,0,IF(COUNTIFS(実績!$W$6:$W$505,AM$3,実績!$AI$6:$AI$505,"&lt;="&amp;$A36,実績!$AJ$6:$AJ$505,"&gt;"&amp;$A36,実績!$AL$6:$AL$505,"○")&gt;0,1,0))</f>
        <v>0</v>
      </c>
      <c r="AN36" s="39" t="n">
        <f aca="false">IF(AN$4=0,0,IF(COUNTIFS(実績!$W$6:$W$505,AN$3,実績!$AI$6:$AI$505,"&lt;="&amp;$A36,実績!$AJ$6:$AJ$505,"&gt;"&amp;$A36,実績!$AL$6:$AL$505,"○")&gt;0,1,0))</f>
        <v>0</v>
      </c>
      <c r="AO36" s="39" t="n">
        <f aca="false">IF(AO$4=0,0,IF(COUNTIFS(実績!$W$6:$W$505,AO$3,実績!$AI$6:$AI$505,"&lt;="&amp;$A36,実績!$AJ$6:$AJ$505,"&gt;"&amp;$A36,実績!$AL$6:$AL$505,"○")&gt;0,1,0))</f>
        <v>0</v>
      </c>
      <c r="AP36" s="39" t="n">
        <f aca="false">IF(AP$4=0,0,IF(COUNTIFS(実績!$W$6:$W$505,AP$3,実績!$AI$6:$AI$505,"&lt;="&amp;$A36,実績!$AJ$6:$AJ$505,"&gt;"&amp;$A36,実績!$AL$6:$AL$505,"○")&gt;0,1,0))</f>
        <v>0</v>
      </c>
      <c r="AQ36" s="39" t="n">
        <f aca="false">IF(AQ$4=0,0,IF(COUNTIFS(実績!$W$6:$W$505,AQ$3,実績!$AI$6:$AI$505,"&lt;="&amp;$A36,実績!$AJ$6:$AJ$505,"&gt;"&amp;$A36,実績!$AL$6:$AL$505,"○")&gt;0,1,0))</f>
        <v>0</v>
      </c>
      <c r="AR36" s="39" t="n">
        <f aca="false">IF(AR$4=0,0,IF(COUNTIFS(実績!$W$6:$W$505,AR$3,実績!$AI$6:$AI$505,"&lt;="&amp;$A36,実績!$AJ$6:$AJ$505,"&gt;"&amp;$A36,実績!$AL$6:$AL$505,"○")&gt;0,1,0))</f>
        <v>0</v>
      </c>
      <c r="AS36" s="39" t="n">
        <f aca="false">IF(AS$4=0,0,IF(COUNTIFS(実績!$W$6:$W$505,AS$3,実績!$AI$6:$AI$505,"&lt;="&amp;$A36,実績!$AJ$6:$AJ$505,"&gt;"&amp;$A36,実績!$AL$6:$AL$505,"○")&gt;0,1,0))</f>
        <v>0</v>
      </c>
      <c r="AT36" s="39" t="n">
        <f aca="false">IF(AT$4=0,0,IF(COUNTIFS(実績!$W$6:$W$505,AT$3,実績!$AI$6:$AI$505,"&lt;="&amp;$A36,実績!$AJ$6:$AJ$505,"&gt;"&amp;$A36,実績!$AL$6:$AL$505,"○")&gt;0,1,0))</f>
        <v>0</v>
      </c>
      <c r="AU36" s="39" t="n">
        <f aca="false">IF(AU$4=0,0,IF(COUNTIFS(実績!$W$6:$W$505,AU$3,実績!$AI$6:$AI$505,"&lt;="&amp;$A36,実績!$AJ$6:$AJ$505,"&gt;"&amp;$A36,実績!$AL$6:$AL$505,"○")&gt;0,1,0))</f>
        <v>0</v>
      </c>
      <c r="AV36" s="39" t="n">
        <f aca="false">IF(AV$4=0,0,IF(COUNTIFS(実績!$W$6:$W$505,AV$3,実績!$AI$6:$AI$505,"&lt;="&amp;$A36,実績!$AJ$6:$AJ$505,"&gt;"&amp;$A36,実績!$AL$6:$AL$505,"○")&gt;0,1,0))</f>
        <v>0</v>
      </c>
      <c r="AW36" s="39" t="n">
        <f aca="false">IF(AW$4=0,0,IF(COUNTIFS(実績!$W$6:$W$505,AW$3,実績!$AI$6:$AI$505,"&lt;="&amp;$A36,実績!$AJ$6:$AJ$505,"&gt;"&amp;$A36,実績!$AL$6:$AL$505,"○")&gt;0,1,0))</f>
        <v>0</v>
      </c>
      <c r="AX36" s="39" t="n">
        <f aca="false">IF(AX$4=0,0,IF(COUNTIFS(実績!$W$6:$W$505,AX$3,実績!$AI$6:$AI$505,"&lt;="&amp;$A36,実績!$AJ$6:$AJ$505,"&gt;"&amp;$A36,実績!$AL$6:$AL$505,"○")&gt;0,1,0))</f>
        <v>0</v>
      </c>
      <c r="AY36" s="39" t="n">
        <f aca="false">IF(AY$4=0,0,IF(COUNTIFS(実績!$W$6:$W$505,AY$3,実績!$AI$6:$AI$505,"&lt;="&amp;$A36,実績!$AJ$6:$AJ$505,"&gt;"&amp;$A36,実績!$AL$6:$AL$505,"○")&gt;0,1,0))</f>
        <v>0</v>
      </c>
      <c r="AZ36" s="39" t="n">
        <f aca="false">IF(AZ$4=0,0,IF(COUNTIFS(実績!$W$6:$W$505,AZ$3,実績!$AI$6:$AI$505,"&lt;="&amp;$A36,実績!$AJ$6:$AJ$505,"&gt;"&amp;$A36,実績!$AL$6:$AL$505,"○")&gt;0,1,0))</f>
        <v>0</v>
      </c>
      <c r="BA36" s="39" t="n">
        <f aca="false">IF(BA$4=0,0,IF(COUNTIFS(実績!$W$6:$W$505,BA$3,実績!$AI$6:$AI$505,"&lt;="&amp;$A36,実績!$AJ$6:$AJ$505,"&gt;"&amp;$A36,実績!$AL$6:$AL$505,"○")&gt;0,1,0))</f>
        <v>0</v>
      </c>
      <c r="BB36" s="39" t="n">
        <f aca="false">IF(BB$4=0,0,IF(COUNTIFS(実績!$W$6:$W$505,BB$3,実績!$AI$6:$AI$505,"&lt;="&amp;$A36,実績!$AJ$6:$AJ$505,"&gt;"&amp;$A36,実績!$AL$6:$AL$505,"○")&gt;0,1,0))</f>
        <v>0</v>
      </c>
      <c r="BC36" s="39" t="n">
        <f aca="false">IF(BC$4=0,0,IF(COUNTIFS(実績!$W$6:$W$505,BC$3,実績!$AI$6:$AI$505,"&lt;="&amp;$A36,実績!$AJ$6:$AJ$505,"&gt;"&amp;$A36,実績!$AL$6:$AL$505,"○")&gt;0,1,0))</f>
        <v>0</v>
      </c>
      <c r="BD36" s="39" t="n">
        <f aca="false">IF(BD$4=0,0,IF(COUNTIFS(実績!$W$6:$W$505,BD$3,実績!$AI$6:$AI$505,"&lt;="&amp;$A36,実績!$AJ$6:$AJ$505,"&gt;"&amp;$A36,実績!$AL$6:$AL$505,"○")&gt;0,1,0))</f>
        <v>0</v>
      </c>
      <c r="BE36" s="39" t="n">
        <f aca="false">IF(BE$4=0,0,IF(COUNTIFS(実績!$W$6:$W$505,BE$3,実績!$AI$6:$AI$505,"&lt;="&amp;$A36,実績!$AJ$6:$AJ$505,"&gt;"&amp;$A36,実績!$AL$6:$AL$505,"○")&gt;0,1,0))</f>
        <v>0</v>
      </c>
      <c r="BF36" s="39" t="n">
        <f aca="false">IF(BF$4=0,0,IF(COUNTIFS(実績!$W$6:$W$505,BF$3,実績!$AI$6:$AI$505,"&lt;="&amp;$A36,実績!$AJ$6:$AJ$505,"&gt;"&amp;$A36,実績!$AL$6:$AL$505,"○")&gt;0,1,0))</f>
        <v>0</v>
      </c>
      <c r="BG36" s="39" t="n">
        <f aca="false">IF(BG$4=0,0,IF(COUNTIFS(実績!$W$6:$W$505,BG$3,実績!$AI$6:$AI$505,"&lt;="&amp;$A36,実績!$AJ$6:$AJ$505,"&gt;"&amp;$A36,実績!$AL$6:$AL$505,"○")&gt;0,1,0))</f>
        <v>0</v>
      </c>
      <c r="BH36" s="39" t="n">
        <f aca="false">IF(BH$4=0,0,IF(COUNTIFS(実績!$W$6:$W$505,BH$3,実績!$AI$6:$AI$505,"&lt;="&amp;$A36,実績!$AJ$6:$AJ$505,"&gt;"&amp;$A36,実績!$AL$6:$AL$505,"○")&gt;0,1,0))</f>
        <v>0</v>
      </c>
      <c r="BI36" s="39" t="n">
        <f aca="false">IF(BI$4=0,0,IF(COUNTIFS(実績!$W$6:$W$505,BI$3,実績!$AI$6:$AI$505,"&lt;="&amp;$A36,実績!$AJ$6:$AJ$505,"&gt;"&amp;$A36,実績!$AL$6:$AL$505,"○")&gt;0,1,0))</f>
        <v>0</v>
      </c>
      <c r="BJ36" s="39" t="n">
        <f aca="false">IF(BJ$4=0,0,IF(COUNTIFS(実績!$W$6:$W$505,BJ$3,実績!$AI$6:$AI$505,"&lt;="&amp;$A36,実績!$AJ$6:$AJ$505,"&gt;"&amp;$A36,実績!$AL$6:$AL$505,"○")&gt;0,1,0))</f>
        <v>0</v>
      </c>
      <c r="BK36" s="39" t="n">
        <f aca="false">IF(BK$4=0,0,IF(COUNTIFS(実績!$W$6:$W$505,BK$3,実績!$AI$6:$AI$505,"&lt;="&amp;$A36,実績!$AJ$6:$AJ$505,"&gt;"&amp;$A36,実績!$AL$6:$AL$505,"○")&gt;0,1,0))</f>
        <v>0</v>
      </c>
      <c r="BL36" s="39" t="n">
        <f aca="false">IF(BL$4=0,0,IF(COUNTIFS(実績!$W$6:$W$505,BL$3,実績!$AI$6:$AI$505,"&lt;="&amp;$A36,実績!$AJ$6:$AJ$505,"&gt;"&amp;$A36,実績!$AL$6:$AL$505,"○")&gt;0,1,0))</f>
        <v>0</v>
      </c>
      <c r="BM36" s="39" t="n">
        <f aca="false">IF(BM$4=0,0,IF(COUNTIFS(実績!$W$6:$W$505,BM$3,実績!$AI$6:$AI$505,"&lt;="&amp;$A36,実績!$AJ$6:$AJ$505,"&gt;"&amp;$A36,実績!$AL$6:$AL$505,"○")&gt;0,1,0))</f>
        <v>0</v>
      </c>
      <c r="BN36" s="39" t="n">
        <f aca="false">IF(BN$4=0,0,IF(COUNTIFS(実績!$W$6:$W$505,BN$3,実績!$AI$6:$AI$505,"&lt;="&amp;$A36,実績!$AJ$6:$AJ$505,"&gt;"&amp;$A36,実績!$AL$6:$AL$505,"○")&gt;0,1,0))</f>
        <v>0</v>
      </c>
      <c r="BO36" s="39" t="n">
        <f aca="false">IF(BO$4=0,0,IF(COUNTIFS(実績!$W$6:$W$505,BO$3,実績!$AI$6:$AI$505,"&lt;="&amp;$A36,実績!$AJ$6:$AJ$505,"&gt;"&amp;$A36,実績!$AL$6:$AL$505,"○")&gt;0,1,0))</f>
        <v>0</v>
      </c>
      <c r="BP36" s="39" t="n">
        <f aca="false">IF(BP$4=0,0,IF(COUNTIFS(実績!$W$6:$W$505,BP$3,実績!$AI$6:$AI$505,"&lt;="&amp;$A36,実績!$AJ$6:$AJ$505,"&gt;"&amp;$A36,実績!$AL$6:$AL$505,"○")&gt;0,1,0))</f>
        <v>0</v>
      </c>
      <c r="BQ36" s="39" t="n">
        <f aca="false">IF(BQ$4=0,0,IF(COUNTIFS(実績!$W$6:$W$505,BQ$3,実績!$AI$6:$AI$505,"&lt;="&amp;$A36,実績!$AJ$6:$AJ$505,"&gt;"&amp;$A36,実績!$AL$6:$AL$505,"○")&gt;0,1,0))</f>
        <v>0</v>
      </c>
      <c r="BR36" s="39" t="n">
        <f aca="false">IF(BR$4=0,0,IF(COUNTIFS(実績!$W$6:$W$505,BR$3,実績!$AI$6:$AI$505,"&lt;="&amp;$A36,実績!$AJ$6:$AJ$505,"&gt;"&amp;$A36,実績!$AL$6:$AL$505,"○")&gt;0,1,0))</f>
        <v>0</v>
      </c>
      <c r="BS36" s="39" t="n">
        <f aca="false">IF(BS$4=0,0,IF(COUNTIFS(実績!$W$6:$W$505,BS$3,実績!$AI$6:$AI$505,"&lt;="&amp;$A36,実績!$AJ$6:$AJ$505,"&gt;"&amp;$A36,実績!$AL$6:$AL$505,"○")&gt;0,1,0))</f>
        <v>0</v>
      </c>
      <c r="BT36" s="39" t="n">
        <f aca="false">IF(BT$4=0,0,IF(COUNTIFS(実績!$W$6:$W$505,BT$3,実績!$AI$6:$AI$505,"&lt;="&amp;$A36,実績!$AJ$6:$AJ$505,"&gt;"&amp;$A36,実績!$AL$6:$AL$505,"○")&gt;0,1,0))</f>
        <v>0</v>
      </c>
      <c r="BU36" s="39" t="n">
        <f aca="false">IF(BU$4=0,0,IF(COUNTIFS(実績!$W$6:$W$505,BU$3,実績!$AI$6:$AI$505,"&lt;="&amp;$A36,実績!$AJ$6:$AJ$505,"&gt;"&amp;$A36,実績!$AL$6:$AL$505,"○")&gt;0,1,0))</f>
        <v>0</v>
      </c>
      <c r="BV36" s="39" t="n">
        <f aca="false">IF(BV$4=0,0,IF(COUNTIFS(実績!$W$6:$W$505,BV$3,実績!$AI$6:$AI$505,"&lt;="&amp;$A36,実績!$AJ$6:$AJ$505,"&gt;"&amp;$A36,実績!$AL$6:$AL$505,"○")&gt;0,1,0))</f>
        <v>0</v>
      </c>
      <c r="BW36" s="39" t="n">
        <f aca="false">IF(BW$4=0,0,IF(COUNTIFS(実績!$W$6:$W$505,BW$3,実績!$AI$6:$AI$505,"&lt;="&amp;$A36,実績!$AJ$6:$AJ$505,"&gt;"&amp;$A36,実績!$AL$6:$AL$505,"○")&gt;0,1,0))</f>
        <v>0</v>
      </c>
      <c r="BX36" s="39" t="n">
        <f aca="false">IF(BX$4=0,0,IF(COUNTIFS(実績!$W$6:$W$505,BX$3,実績!$AI$6:$AI$505,"&lt;="&amp;$A36,実績!$AJ$6:$AJ$505,"&gt;"&amp;$A36,実績!$AL$6:$AL$505,"○")&gt;0,1,0))</f>
        <v>0</v>
      </c>
      <c r="BY36" s="39" t="n">
        <f aca="false">IF(BY$4=0,0,IF(COUNTIFS(実績!$W$6:$W$505,BY$3,実績!$AI$6:$AI$505,"&lt;="&amp;$A36,実績!$AJ$6:$AJ$505,"&gt;"&amp;$A36,実績!$AL$6:$AL$505,"○")&gt;0,1,0))</f>
        <v>0</v>
      </c>
      <c r="BZ36" s="39" t="n">
        <f aca="false">IF(BZ$4=0,0,IF(COUNTIFS(実績!$W$6:$W$505,BZ$3,実績!$AI$6:$AI$505,"&lt;="&amp;$A36,実績!$AJ$6:$AJ$505,"&gt;"&amp;$A36,実績!$AL$6:$AL$505,"○")&gt;0,1,0))</f>
        <v>0</v>
      </c>
      <c r="CA36" s="39" t="n">
        <f aca="false">IF(CA$4=0,0,IF(COUNTIFS(実績!$W$6:$W$505,CA$3,実績!$AI$6:$AI$505,"&lt;="&amp;$A36,実績!$AJ$6:$AJ$505,"&gt;"&amp;$A36,実績!$AL$6:$AL$505,"○")&gt;0,1,0))</f>
        <v>0</v>
      </c>
      <c r="CB36" s="39" t="n">
        <f aca="false">IF(CB$4=0,0,IF(COUNTIFS(実績!$W$6:$W$505,CB$3,実績!$AI$6:$AI$505,"&lt;="&amp;$A36,実績!$AJ$6:$AJ$505,"&gt;"&amp;$A36,実績!$AL$6:$AL$505,"○")&gt;0,1,0))</f>
        <v>0</v>
      </c>
      <c r="CC36" s="39" t="n">
        <f aca="false">IF(CC$4=0,0,IF(COUNTIFS(実績!$W$6:$W$505,CC$3,実績!$AI$6:$AI$505,"&lt;="&amp;$A36,実績!$AJ$6:$AJ$505,"&gt;"&amp;$A36,実績!$AL$6:$AL$505,"○")&gt;0,1,0))</f>
        <v>0</v>
      </c>
      <c r="CD36" s="39" t="n">
        <f aca="false">IF(CD$4=0,0,IF(COUNTIFS(実績!$W$6:$W$505,CD$3,実績!$AI$6:$AI$505,"&lt;="&amp;$A36,実績!$AJ$6:$AJ$505,"&gt;"&amp;$A36,実績!$AL$6:$AL$505,"○")&gt;0,1,0))</f>
        <v>0</v>
      </c>
      <c r="CE36" s="39" t="n">
        <f aca="false">IF(CE$4=0,0,IF(COUNTIFS(実績!$W$6:$W$505,CE$3,実績!$AI$6:$AI$505,"&lt;="&amp;$A36,実績!$AJ$6:$AJ$505,"&gt;"&amp;$A36,実績!$AL$6:$AL$505,"○")&gt;0,1,0))</f>
        <v>0</v>
      </c>
      <c r="CF36" s="39" t="n">
        <f aca="false">IF(CF$4=0,0,IF(COUNTIFS(実績!$W$6:$W$505,CF$3,実績!$AI$6:$AI$505,"&lt;="&amp;$A36,実績!$AJ$6:$AJ$505,"&gt;"&amp;$A36,実績!$AL$6:$AL$505,"○")&gt;0,1,0))</f>
        <v>0</v>
      </c>
      <c r="CG36" s="39" t="n">
        <f aca="false">IF(CG$4=0,0,IF(COUNTIFS(実績!$W$6:$W$505,CG$3,実績!$AI$6:$AI$505,"&lt;="&amp;$A36,実績!$AJ$6:$AJ$505,"&gt;"&amp;$A36,実績!$AL$6:$AL$505,"○")&gt;0,1,0))</f>
        <v>0</v>
      </c>
      <c r="CH36" s="39" t="n">
        <f aca="false">IF(CH$4=0,0,IF(COUNTIFS(実績!$W$6:$W$505,CH$3,実績!$AI$6:$AI$505,"&lt;="&amp;$A36,実績!$AJ$6:$AJ$505,"&gt;"&amp;$A36,実績!$AL$6:$AL$505,"○")&gt;0,1,0))</f>
        <v>0</v>
      </c>
      <c r="CI36" s="39" t="n">
        <f aca="false">IF(CI$4=0,0,IF(COUNTIFS(実績!$W$6:$W$505,CI$3,実績!$AI$6:$AI$505,"&lt;="&amp;$A36,実績!$AJ$6:$AJ$505,"&gt;"&amp;$A36,実績!$AL$6:$AL$505,"○")&gt;0,1,0))</f>
        <v>0</v>
      </c>
      <c r="CJ36" s="39" t="n">
        <f aca="false">IF(CJ$4=0,0,IF(COUNTIFS(実績!$W$6:$W$505,CJ$3,実績!$AI$6:$AI$505,"&lt;="&amp;$A36,実績!$AJ$6:$AJ$505,"&gt;"&amp;$A36,実績!$AL$6:$AL$505,"○")&gt;0,1,0))</f>
        <v>0</v>
      </c>
      <c r="CK36" s="39" t="n">
        <f aca="false">IF(CK$4=0,0,IF(COUNTIFS(実績!$W$6:$W$505,CK$3,実績!$AI$6:$AI$505,"&lt;="&amp;$A36,実績!$AJ$6:$AJ$505,"&gt;"&amp;$A36,実績!$AL$6:$AL$505,"○")&gt;0,1,0))</f>
        <v>0</v>
      </c>
      <c r="CL36" s="39" t="n">
        <f aca="false">IF(CL$4=0,0,IF(COUNTIFS(実績!$W$6:$W$505,CL$3,実績!$AI$6:$AI$505,"&lt;="&amp;$A36,実績!$AJ$6:$AJ$505,"&gt;"&amp;$A36,実績!$AL$6:$AL$505,"○")&gt;0,1,0))</f>
        <v>0</v>
      </c>
      <c r="CM36" s="39" t="n">
        <f aca="false">IF(CM$4=0,0,IF(COUNTIFS(実績!$W$6:$W$505,CM$3,実績!$AI$6:$AI$505,"&lt;="&amp;$A36,実績!$AJ$6:$AJ$505,"&gt;"&amp;$A36,実績!$AL$6:$AL$505,"○")&gt;0,1,0))</f>
        <v>0</v>
      </c>
      <c r="CN36" s="39" t="n">
        <f aca="false">IF(CN$4=0,0,IF(COUNTIFS(実績!$W$6:$W$505,CN$3,実績!$AI$6:$AI$505,"&lt;="&amp;$A36,実績!$AJ$6:$AJ$505,"&gt;"&amp;$A36,実績!$AL$6:$AL$505,"○")&gt;0,1,0))</f>
        <v>0</v>
      </c>
      <c r="CO36" s="39" t="n">
        <f aca="false">IF(CO$4=0,0,IF(COUNTIFS(実績!$W$6:$W$505,CO$3,実績!$AI$6:$AI$505,"&lt;="&amp;$A36,実績!$AJ$6:$AJ$505,"&gt;"&amp;$A36,実績!$AL$6:$AL$505,"○")&gt;0,1,0))</f>
        <v>0</v>
      </c>
      <c r="CP36" s="39" t="n">
        <f aca="false">IF(CP$4=0,0,IF(COUNTIFS(実績!$W$6:$W$505,CP$3,実績!$AI$6:$AI$505,"&lt;="&amp;$A36,実績!$AJ$6:$AJ$505,"&gt;"&amp;$A36,実績!$AL$6:$AL$505,"○")&gt;0,1,0))</f>
        <v>0</v>
      </c>
      <c r="CQ36" s="39" t="n">
        <f aca="false">IF(CQ$4=0,0,IF(COUNTIFS(実績!$W$6:$W$505,CQ$3,実績!$AI$6:$AI$505,"&lt;="&amp;$A36,実績!$AJ$6:$AJ$505,"&gt;"&amp;$A36,実績!$AL$6:$AL$505,"○")&gt;0,1,0))</f>
        <v>0</v>
      </c>
      <c r="CR36" s="39" t="n">
        <f aca="false">IF(CR$4=0,0,IF(COUNTIFS(実績!$W$6:$W$505,CR$3,実績!$AI$6:$AI$505,"&lt;="&amp;$A36,実績!$AJ$6:$AJ$505,"&gt;"&amp;$A36,実績!$AL$6:$AL$505,"○")&gt;0,1,0))</f>
        <v>0</v>
      </c>
      <c r="CS36" s="39" t="n">
        <f aca="false">IF(CS$4=0,0,IF(COUNTIFS(実績!$W$6:$W$505,CS$3,実績!$AI$6:$AI$505,"&lt;="&amp;$A36,実績!$AJ$6:$AJ$505,"&gt;"&amp;$A36,実績!$AL$6:$AL$505,"○")&gt;0,1,0))</f>
        <v>0</v>
      </c>
      <c r="CT36" s="39" t="n">
        <f aca="false">IF(CT$4=0,0,IF(COUNTIFS(実績!$W$6:$W$505,CT$3,実績!$AI$6:$AI$505,"&lt;="&amp;$A36,実績!$AJ$6:$AJ$505,"&gt;"&amp;$A36,実績!$AL$6:$AL$505,"○")&gt;0,1,0))</f>
        <v>0</v>
      </c>
      <c r="CU36" s="39" t="n">
        <f aca="false">IF(CU$4=0,0,IF(COUNTIFS(実績!$W$6:$W$505,CU$3,実績!$AI$6:$AI$505,"&lt;="&amp;$A36,実績!$AJ$6:$AJ$505,"&gt;"&amp;$A36,実績!$AL$6:$AL$505,"○")&gt;0,1,0))</f>
        <v>0</v>
      </c>
      <c r="CV36" s="39" t="n">
        <f aca="false">IF(CV$4=0,0,IF(COUNTIFS(実績!$W$6:$W$505,CV$3,実績!$AI$6:$AI$505,"&lt;="&amp;$A36,実績!$AJ$6:$AJ$505,"&gt;"&amp;$A36,実績!$AL$6:$AL$505,"○")&gt;0,1,0))</f>
        <v>0</v>
      </c>
      <c r="CW36" s="39" t="n">
        <f aca="false">IF(CW$4=0,0,IF(COUNTIFS(実績!$W$6:$W$505,CW$3,実績!$AI$6:$AI$505,"&lt;="&amp;$A36,実績!$AJ$6:$AJ$505,"&gt;"&amp;$A36,実績!$AL$6:$AL$505,"○")&gt;0,1,0))</f>
        <v>0</v>
      </c>
      <c r="CX36" s="39" t="n">
        <f aca="false">IF(CX$4=0,0,IF(COUNTIFS(実績!$W$6:$W$505,CX$3,実績!$AI$6:$AI$505,"&lt;="&amp;$A36,実績!$AJ$6:$AJ$505,"&gt;"&amp;$A36,実績!$AL$6:$AL$505,"○")&gt;0,1,0))</f>
        <v>0</v>
      </c>
      <c r="CY36" s="39" t="n">
        <f aca="false">IF(CY$4=0,0,IF(COUNTIFS(実績!$W$6:$W$505,CY$3,実績!$AI$6:$AI$505,"&lt;="&amp;$A36,実績!$AJ$6:$AJ$505,"&gt;"&amp;$A36,実績!$AL$6:$AL$505,"○")&gt;0,1,0))</f>
        <v>0</v>
      </c>
      <c r="CZ36" s="39" t="n">
        <f aca="false">IF(CZ$4=0,0,IF(COUNTIFS(実績!$W$6:$W$505,CZ$3,実績!$AI$6:$AI$505,"&lt;="&amp;$A36,実績!$AJ$6:$AJ$505,"&gt;"&amp;$A36,実績!$AL$6:$AL$505,"○")&gt;0,1,0))</f>
        <v>0</v>
      </c>
      <c r="DA36" s="39" t="n">
        <f aca="false">IF(DA$4=0,0,IF(COUNTIFS(実績!$W$6:$W$505,DA$3,実績!$AI$6:$AI$505,"&lt;="&amp;$A36,実績!$AJ$6:$AJ$505,"&gt;"&amp;$A36,実績!$AL$6:$AL$505,"○")&gt;0,1,0))</f>
        <v>0</v>
      </c>
      <c r="DB36" s="39" t="n">
        <f aca="false">IF(DB$4=0,0,IF(COUNTIFS(実績!$W$6:$W$505,DB$3,実績!$AI$6:$AI$505,"&lt;="&amp;$A36,実績!$AJ$6:$AJ$505,"&gt;"&amp;$A36,実績!$AL$6:$AL$505,"○")&gt;0,1,0))</f>
        <v>0</v>
      </c>
      <c r="DC36" s="39" t="n">
        <f aca="false">IF(DC$4=0,0,IF(COUNTIFS(実績!$W$6:$W$505,DC$3,実績!$AI$6:$AI$505,"&lt;="&amp;$A36,実績!$AJ$6:$AJ$505,"&gt;"&amp;$A36,実績!$AL$6:$AL$505,"○")&gt;0,1,0))</f>
        <v>0</v>
      </c>
      <c r="DD36" s="39" t="n">
        <f aca="false">IF(DD$4=0,0,IF(COUNTIFS(実績!$W$6:$W$505,DD$3,実績!$AI$6:$AI$505,"&lt;="&amp;$A36,実績!$AJ$6:$AJ$505,"&gt;"&amp;$A36,実績!$AL$6:$AL$505,"○")&gt;0,1,0))</f>
        <v>0</v>
      </c>
      <c r="DE36" s="39" t="n">
        <f aca="false">IF(DE$4=0,0,IF(COUNTIFS(実績!$W$6:$W$505,DE$3,実績!$AI$6:$AI$505,"&lt;="&amp;$A36,実績!$AJ$6:$AJ$505,"&gt;"&amp;$A36,実績!$AL$6:$AL$505,"○")&gt;0,1,0))</f>
        <v>0</v>
      </c>
      <c r="DF36" s="39" t="n">
        <f aca="false">IF(DF$4=0,0,IF(COUNTIFS(実績!$W$6:$W$505,DF$3,実績!$AI$6:$AI$505,"&lt;="&amp;$A36,実績!$AJ$6:$AJ$505,"&gt;"&amp;$A36,実績!$AL$6:$AL$505,"○")&gt;0,1,0))</f>
        <v>0</v>
      </c>
      <c r="DG36" s="39" t="n">
        <f aca="false">IF(DG$4=0,0,IF(COUNTIFS(実績!$W$6:$W$505,DG$3,実績!$AI$6:$AI$505,"&lt;="&amp;$A36,実績!$AJ$6:$AJ$505,"&gt;"&amp;$A36,実績!$AL$6:$AL$505,"○")&gt;0,1,0))</f>
        <v>0</v>
      </c>
      <c r="DH36" s="39" t="n">
        <f aca="false">IF(DH$4=0,0,IF(COUNTIFS(実績!$W$6:$W$505,DH$3,実績!$AI$6:$AI$505,"&lt;="&amp;$A36,実績!$AJ$6:$AJ$505,"&gt;"&amp;$A36,実績!$AL$6:$AL$505,"○")&gt;0,1,0))</f>
        <v>0</v>
      </c>
      <c r="DI36" s="39" t="n">
        <f aca="false">IF(DI$4=0,0,IF(COUNTIFS(実績!$W$6:$W$505,DI$3,実績!$AI$6:$AI$505,"&lt;="&amp;$A36,実績!$AJ$6:$AJ$505,"&gt;"&amp;$A36,実績!$AL$6:$AL$505,"○")&gt;0,1,0))</f>
        <v>0</v>
      </c>
      <c r="DJ36" s="39" t="n">
        <f aca="false">IF(DJ$4=0,0,IF(COUNTIFS(実績!$W$6:$W$505,DJ$3,実績!$AI$6:$AI$505,"&lt;="&amp;$A36,実績!$AJ$6:$AJ$505,"&gt;"&amp;$A36,実績!$AL$6:$AL$505,"○")&gt;0,1,0))</f>
        <v>0</v>
      </c>
      <c r="DK36" s="39" t="n">
        <f aca="false">IF(DK$4=0,0,IF(COUNTIFS(実績!$W$6:$W$505,DK$3,実績!$AI$6:$AI$505,"&lt;="&amp;$A36,実績!$AJ$6:$AJ$505,"&gt;"&amp;$A36,実績!$AL$6:$AL$505,"○")&gt;0,1,0))</f>
        <v>0</v>
      </c>
      <c r="DL36" s="39" t="n">
        <f aca="false">IF(DL$4=0,0,IF(COUNTIFS(実績!$W$6:$W$505,DL$3,実績!$AI$6:$AI$505,"&lt;="&amp;$A36,実績!$AJ$6:$AJ$505,"&gt;"&amp;$A36,実績!$AL$6:$AL$505,"○")&gt;0,1,0))</f>
        <v>0</v>
      </c>
      <c r="DM36" s="39" t="n">
        <f aca="false">IF(DM$4=0,0,IF(COUNTIFS(実績!$W$6:$W$505,DM$3,実績!$AI$6:$AI$505,"&lt;="&amp;$A36,実績!$AJ$6:$AJ$505,"&gt;"&amp;$A36,実績!$AL$6:$AL$505,"○")&gt;0,1,0))</f>
        <v>0</v>
      </c>
      <c r="DN36" s="39" t="n">
        <f aca="false">IF(DN$4=0,0,IF(COUNTIFS(実績!$W$6:$W$505,DN$3,実績!$AI$6:$AI$505,"&lt;="&amp;$A36,実績!$AJ$6:$AJ$505,"&gt;"&amp;$A36,実績!$AL$6:$AL$505,"○")&gt;0,1,0))</f>
        <v>0</v>
      </c>
      <c r="DO36" s="39" t="n">
        <f aca="false">IF(DO$4=0,0,IF(COUNTIFS(実績!$W$6:$W$505,DO$3,実績!$AI$6:$AI$505,"&lt;="&amp;$A36,実績!$AJ$6:$AJ$505,"&gt;"&amp;$A36,実績!$AL$6:$AL$505,"○")&gt;0,1,0))</f>
        <v>0</v>
      </c>
      <c r="DP36" s="39" t="n">
        <f aca="false">IF(DP$4=0,0,IF(COUNTIFS(実績!$W$6:$W$505,DP$3,実績!$AI$6:$AI$505,"&lt;="&amp;$A36,実績!$AJ$6:$AJ$505,"&gt;"&amp;$A36,実績!$AL$6:$AL$505,"○")&gt;0,1,0))</f>
        <v>0</v>
      </c>
      <c r="DQ36" s="39" t="n">
        <f aca="false">IF(DQ$4=0,0,IF(COUNTIFS(実績!$W$6:$W$505,DQ$3,実績!$AI$6:$AI$505,"&lt;="&amp;$A36,実績!$AJ$6:$AJ$505,"&gt;"&amp;$A36,実績!$AL$6:$AL$505,"○")&gt;0,1,0))</f>
        <v>0</v>
      </c>
      <c r="DR36" s="39" t="n">
        <f aca="false">IF(DR$4=0,0,IF(COUNTIFS(実績!$W$6:$W$505,DR$3,実績!$AI$6:$AI$505,"&lt;="&amp;$A36,実績!$AJ$6:$AJ$505,"&gt;"&amp;$A36,実績!$AL$6:$AL$505,"○")&gt;0,1,0))</f>
        <v>0</v>
      </c>
      <c r="DS36" s="39" t="n">
        <f aca="false">SUM(C36:DR36)</f>
        <v>0</v>
      </c>
    </row>
    <row r="37" customFormat="false" ht="15" hidden="false" customHeight="false" outlineLevel="0" collapsed="false">
      <c r="A37" s="0" t="n">
        <v>155</v>
      </c>
      <c r="B37" s="38" t="n">
        <f aca="false">A37/1440</f>
        <v>0.107638888888889</v>
      </c>
      <c r="C37" s="39" t="n">
        <f aca="false">IF(C$4=0,0,IF(COUNTIFS(実績!$W$6:$W$505,C$3,実績!$AI$6:$AI$505,"&lt;="&amp;$A37,実績!$AJ$6:$AJ$505,"&gt;"&amp;$A37,実績!$AL$6:$AL$505,"○")&gt;0,1,0))</f>
        <v>0</v>
      </c>
      <c r="D37" s="39" t="n">
        <f aca="false">IF(D$4=0,0,IF(COUNTIFS(実績!$W$6:$W$505,D$3,実績!$AI$6:$AI$505,"&lt;="&amp;$A37,実績!$AJ$6:$AJ$505,"&gt;"&amp;$A37,実績!$AL$6:$AL$505,"○")&gt;0,1,0))</f>
        <v>0</v>
      </c>
      <c r="E37" s="39" t="n">
        <f aca="false">IF(E$4=0,0,IF(COUNTIFS(実績!$W$6:$W$505,E$3,実績!$AI$6:$AI$505,"&lt;="&amp;$A37,実績!$AJ$6:$AJ$505,"&gt;"&amp;$A37,実績!$AL$6:$AL$505,"○")&gt;0,1,0))</f>
        <v>0</v>
      </c>
      <c r="F37" s="39" t="n">
        <f aca="false">IF(F$4=0,0,IF(COUNTIFS(実績!$W$6:$W$505,F$3,実績!$AI$6:$AI$505,"&lt;="&amp;$A37,実績!$AJ$6:$AJ$505,"&gt;"&amp;$A37,実績!$AL$6:$AL$505,"○")&gt;0,1,0))</f>
        <v>0</v>
      </c>
      <c r="G37" s="39" t="n">
        <f aca="false">IF(G$4=0,0,IF(COUNTIFS(実績!$W$6:$W$505,G$3,実績!$AI$6:$AI$505,"&lt;="&amp;$A37,実績!$AJ$6:$AJ$505,"&gt;"&amp;$A37,実績!$AL$6:$AL$505,"○")&gt;0,1,0))</f>
        <v>0</v>
      </c>
      <c r="H37" s="39" t="n">
        <f aca="false">IF(H$4=0,0,IF(COUNTIFS(実績!$W$6:$W$505,H$3,実績!$AI$6:$AI$505,"&lt;="&amp;$A37,実績!$AJ$6:$AJ$505,"&gt;"&amp;$A37,実績!$AL$6:$AL$505,"○")&gt;0,1,0))</f>
        <v>0</v>
      </c>
      <c r="I37" s="39" t="n">
        <f aca="false">IF(I$4=0,0,IF(COUNTIFS(実績!$W$6:$W$505,I$3,実績!$AI$6:$AI$505,"&lt;="&amp;$A37,実績!$AJ$6:$AJ$505,"&gt;"&amp;$A37,実績!$AL$6:$AL$505,"○")&gt;0,1,0))</f>
        <v>0</v>
      </c>
      <c r="J37" s="39" t="n">
        <f aca="false">IF(J$4=0,0,IF(COUNTIFS(実績!$W$6:$W$505,J$3,実績!$AI$6:$AI$505,"&lt;="&amp;$A37,実績!$AJ$6:$AJ$505,"&gt;"&amp;$A37,実績!$AL$6:$AL$505,"○")&gt;0,1,0))</f>
        <v>0</v>
      </c>
      <c r="K37" s="39" t="n">
        <f aca="false">IF(K$4=0,0,IF(COUNTIFS(実績!$W$6:$W$505,K$3,実績!$AI$6:$AI$505,"&lt;="&amp;$A37,実績!$AJ$6:$AJ$505,"&gt;"&amp;$A37,実績!$AL$6:$AL$505,"○")&gt;0,1,0))</f>
        <v>0</v>
      </c>
      <c r="L37" s="39" t="n">
        <f aca="false">IF(L$4=0,0,IF(COUNTIFS(実績!$W$6:$W$505,L$3,実績!$AI$6:$AI$505,"&lt;="&amp;$A37,実績!$AJ$6:$AJ$505,"&gt;"&amp;$A37,実績!$AL$6:$AL$505,"○")&gt;0,1,0))</f>
        <v>0</v>
      </c>
      <c r="M37" s="39" t="n">
        <f aca="false">IF(M$4=0,0,IF(COUNTIFS(実績!$W$6:$W$505,M$3,実績!$AI$6:$AI$505,"&lt;="&amp;$A37,実績!$AJ$6:$AJ$505,"&gt;"&amp;$A37,実績!$AL$6:$AL$505,"○")&gt;0,1,0))</f>
        <v>0</v>
      </c>
      <c r="N37" s="39" t="n">
        <f aca="false">IF(N$4=0,0,IF(COUNTIFS(実績!$W$6:$W$505,N$3,実績!$AI$6:$AI$505,"&lt;="&amp;$A37,実績!$AJ$6:$AJ$505,"&gt;"&amp;$A37,実績!$AL$6:$AL$505,"○")&gt;0,1,0))</f>
        <v>0</v>
      </c>
      <c r="O37" s="39" t="n">
        <f aca="false">IF(O$4=0,0,IF(COUNTIFS(実績!$W$6:$W$505,O$3,実績!$AI$6:$AI$505,"&lt;="&amp;$A37,実績!$AJ$6:$AJ$505,"&gt;"&amp;$A37,実績!$AL$6:$AL$505,"○")&gt;0,1,0))</f>
        <v>0</v>
      </c>
      <c r="P37" s="39" t="n">
        <f aca="false">IF(P$4=0,0,IF(COUNTIFS(実績!$W$6:$W$505,P$3,実績!$AI$6:$AI$505,"&lt;="&amp;$A37,実績!$AJ$6:$AJ$505,"&gt;"&amp;$A37,実績!$AL$6:$AL$505,"○")&gt;0,1,0))</f>
        <v>0</v>
      </c>
      <c r="Q37" s="39" t="n">
        <f aca="false">IF(Q$4=0,0,IF(COUNTIFS(実績!$W$6:$W$505,Q$3,実績!$AI$6:$AI$505,"&lt;="&amp;$A37,実績!$AJ$6:$AJ$505,"&gt;"&amp;$A37,実績!$AL$6:$AL$505,"○")&gt;0,1,0))</f>
        <v>0</v>
      </c>
      <c r="R37" s="39" t="n">
        <f aca="false">IF(R$4=0,0,IF(COUNTIFS(実績!$W$6:$W$505,R$3,実績!$AI$6:$AI$505,"&lt;="&amp;$A37,実績!$AJ$6:$AJ$505,"&gt;"&amp;$A37,実績!$AL$6:$AL$505,"○")&gt;0,1,0))</f>
        <v>0</v>
      </c>
      <c r="S37" s="39" t="n">
        <f aca="false">IF(S$4=0,0,IF(COUNTIFS(実績!$W$6:$W$505,S$3,実績!$AI$6:$AI$505,"&lt;="&amp;$A37,実績!$AJ$6:$AJ$505,"&gt;"&amp;$A37,実績!$AL$6:$AL$505,"○")&gt;0,1,0))</f>
        <v>0</v>
      </c>
      <c r="T37" s="39" t="n">
        <f aca="false">IF(T$4=0,0,IF(COUNTIFS(実績!$W$6:$W$505,T$3,実績!$AI$6:$AI$505,"&lt;="&amp;$A37,実績!$AJ$6:$AJ$505,"&gt;"&amp;$A37,実績!$AL$6:$AL$505,"○")&gt;0,1,0))</f>
        <v>0</v>
      </c>
      <c r="U37" s="39" t="n">
        <f aca="false">IF(U$4=0,0,IF(COUNTIFS(実績!$W$6:$W$505,U$3,実績!$AI$6:$AI$505,"&lt;="&amp;$A37,実績!$AJ$6:$AJ$505,"&gt;"&amp;$A37,実績!$AL$6:$AL$505,"○")&gt;0,1,0))</f>
        <v>0</v>
      </c>
      <c r="V37" s="39" t="n">
        <f aca="false">IF(V$4=0,0,IF(COUNTIFS(実績!$W$6:$W$505,V$3,実績!$AI$6:$AI$505,"&lt;="&amp;$A37,実績!$AJ$6:$AJ$505,"&gt;"&amp;$A37,実績!$AL$6:$AL$505,"○")&gt;0,1,0))</f>
        <v>0</v>
      </c>
      <c r="W37" s="39" t="n">
        <f aca="false">IF(W$4=0,0,IF(COUNTIFS(実績!$W$6:$W$505,W$3,実績!$AI$6:$AI$505,"&lt;="&amp;$A37,実績!$AJ$6:$AJ$505,"&gt;"&amp;$A37,実績!$AL$6:$AL$505,"○")&gt;0,1,0))</f>
        <v>0</v>
      </c>
      <c r="X37" s="39" t="n">
        <f aca="false">IF(X$4=0,0,IF(COUNTIFS(実績!$W$6:$W$505,X$3,実績!$AI$6:$AI$505,"&lt;="&amp;$A37,実績!$AJ$6:$AJ$505,"&gt;"&amp;$A37,実績!$AL$6:$AL$505,"○")&gt;0,1,0))</f>
        <v>0</v>
      </c>
      <c r="Y37" s="39" t="n">
        <f aca="false">IF(Y$4=0,0,IF(COUNTIFS(実績!$W$6:$W$505,Y$3,実績!$AI$6:$AI$505,"&lt;="&amp;$A37,実績!$AJ$6:$AJ$505,"&gt;"&amp;$A37,実績!$AL$6:$AL$505,"○")&gt;0,1,0))</f>
        <v>0</v>
      </c>
      <c r="Z37" s="39" t="n">
        <f aca="false">IF(Z$4=0,0,IF(COUNTIFS(実績!$W$6:$W$505,Z$3,実績!$AI$6:$AI$505,"&lt;="&amp;$A37,実績!$AJ$6:$AJ$505,"&gt;"&amp;$A37,実績!$AL$6:$AL$505,"○")&gt;0,1,0))</f>
        <v>0</v>
      </c>
      <c r="AA37" s="39" t="n">
        <f aca="false">IF(AA$4=0,0,IF(COUNTIFS(実績!$W$6:$W$505,AA$3,実績!$AI$6:$AI$505,"&lt;="&amp;$A37,実績!$AJ$6:$AJ$505,"&gt;"&amp;$A37,実績!$AL$6:$AL$505,"○")&gt;0,1,0))</f>
        <v>0</v>
      </c>
      <c r="AB37" s="39" t="n">
        <f aca="false">IF(AB$4=0,0,IF(COUNTIFS(実績!$W$6:$W$505,AB$3,実績!$AI$6:$AI$505,"&lt;="&amp;$A37,実績!$AJ$6:$AJ$505,"&gt;"&amp;$A37,実績!$AL$6:$AL$505,"○")&gt;0,1,0))</f>
        <v>0</v>
      </c>
      <c r="AC37" s="39" t="n">
        <f aca="false">IF(AC$4=0,0,IF(COUNTIFS(実績!$W$6:$W$505,AC$3,実績!$AI$6:$AI$505,"&lt;="&amp;$A37,実績!$AJ$6:$AJ$505,"&gt;"&amp;$A37,実績!$AL$6:$AL$505,"○")&gt;0,1,0))</f>
        <v>0</v>
      </c>
      <c r="AD37" s="39" t="n">
        <f aca="false">IF(AD$4=0,0,IF(COUNTIFS(実績!$W$6:$W$505,AD$3,実績!$AI$6:$AI$505,"&lt;="&amp;$A37,実績!$AJ$6:$AJ$505,"&gt;"&amp;$A37,実績!$AL$6:$AL$505,"○")&gt;0,1,0))</f>
        <v>0</v>
      </c>
      <c r="AE37" s="39" t="n">
        <f aca="false">IF(AE$4=0,0,IF(COUNTIFS(実績!$W$6:$W$505,AE$3,実績!$AI$6:$AI$505,"&lt;="&amp;$A37,実績!$AJ$6:$AJ$505,"&gt;"&amp;$A37,実績!$AL$6:$AL$505,"○")&gt;0,1,0))</f>
        <v>0</v>
      </c>
      <c r="AF37" s="39" t="n">
        <f aca="false">IF(AF$4=0,0,IF(COUNTIFS(実績!$W$6:$W$505,AF$3,実績!$AI$6:$AI$505,"&lt;="&amp;$A37,実績!$AJ$6:$AJ$505,"&gt;"&amp;$A37,実績!$AL$6:$AL$505,"○")&gt;0,1,0))</f>
        <v>0</v>
      </c>
      <c r="AG37" s="39" t="n">
        <f aca="false">IF(AG$4=0,0,IF(COUNTIFS(実績!$W$6:$W$505,AG$3,実績!$AI$6:$AI$505,"&lt;="&amp;$A37,実績!$AJ$6:$AJ$505,"&gt;"&amp;$A37,実績!$AL$6:$AL$505,"○")&gt;0,1,0))</f>
        <v>0</v>
      </c>
      <c r="AH37" s="39" t="n">
        <f aca="false">IF(AH$4=0,0,IF(COUNTIFS(実績!$W$6:$W$505,AH$3,実績!$AI$6:$AI$505,"&lt;="&amp;$A37,実績!$AJ$6:$AJ$505,"&gt;"&amp;$A37,実績!$AL$6:$AL$505,"○")&gt;0,1,0))</f>
        <v>0</v>
      </c>
      <c r="AI37" s="39" t="n">
        <f aca="false">IF(AI$4=0,0,IF(COUNTIFS(実績!$W$6:$W$505,AI$3,実績!$AI$6:$AI$505,"&lt;="&amp;$A37,実績!$AJ$6:$AJ$505,"&gt;"&amp;$A37,実績!$AL$6:$AL$505,"○")&gt;0,1,0))</f>
        <v>0</v>
      </c>
      <c r="AJ37" s="39" t="n">
        <f aca="false">IF(AJ$4=0,0,IF(COUNTIFS(実績!$W$6:$W$505,AJ$3,実績!$AI$6:$AI$505,"&lt;="&amp;$A37,実績!$AJ$6:$AJ$505,"&gt;"&amp;$A37,実績!$AL$6:$AL$505,"○")&gt;0,1,0))</f>
        <v>0</v>
      </c>
      <c r="AK37" s="39" t="n">
        <f aca="false">IF(AK$4=0,0,IF(COUNTIFS(実績!$W$6:$W$505,AK$3,実績!$AI$6:$AI$505,"&lt;="&amp;$A37,実績!$AJ$6:$AJ$505,"&gt;"&amp;$A37,実績!$AL$6:$AL$505,"○")&gt;0,1,0))</f>
        <v>0</v>
      </c>
      <c r="AL37" s="39" t="n">
        <f aca="false">IF(AL$4=0,0,IF(COUNTIFS(実績!$W$6:$W$505,AL$3,実績!$AI$6:$AI$505,"&lt;="&amp;$A37,実績!$AJ$6:$AJ$505,"&gt;"&amp;$A37,実績!$AL$6:$AL$505,"○")&gt;0,1,0))</f>
        <v>0</v>
      </c>
      <c r="AM37" s="39" t="n">
        <f aca="false">IF(AM$4=0,0,IF(COUNTIFS(実績!$W$6:$W$505,AM$3,実績!$AI$6:$AI$505,"&lt;="&amp;$A37,実績!$AJ$6:$AJ$505,"&gt;"&amp;$A37,実績!$AL$6:$AL$505,"○")&gt;0,1,0))</f>
        <v>0</v>
      </c>
      <c r="AN37" s="39" t="n">
        <f aca="false">IF(AN$4=0,0,IF(COUNTIFS(実績!$W$6:$W$505,AN$3,実績!$AI$6:$AI$505,"&lt;="&amp;$A37,実績!$AJ$6:$AJ$505,"&gt;"&amp;$A37,実績!$AL$6:$AL$505,"○")&gt;0,1,0))</f>
        <v>0</v>
      </c>
      <c r="AO37" s="39" t="n">
        <f aca="false">IF(AO$4=0,0,IF(COUNTIFS(実績!$W$6:$W$505,AO$3,実績!$AI$6:$AI$505,"&lt;="&amp;$A37,実績!$AJ$6:$AJ$505,"&gt;"&amp;$A37,実績!$AL$6:$AL$505,"○")&gt;0,1,0))</f>
        <v>0</v>
      </c>
      <c r="AP37" s="39" t="n">
        <f aca="false">IF(AP$4=0,0,IF(COUNTIFS(実績!$W$6:$W$505,AP$3,実績!$AI$6:$AI$505,"&lt;="&amp;$A37,実績!$AJ$6:$AJ$505,"&gt;"&amp;$A37,実績!$AL$6:$AL$505,"○")&gt;0,1,0))</f>
        <v>0</v>
      </c>
      <c r="AQ37" s="39" t="n">
        <f aca="false">IF(AQ$4=0,0,IF(COUNTIFS(実績!$W$6:$W$505,AQ$3,実績!$AI$6:$AI$505,"&lt;="&amp;$A37,実績!$AJ$6:$AJ$505,"&gt;"&amp;$A37,実績!$AL$6:$AL$505,"○")&gt;0,1,0))</f>
        <v>0</v>
      </c>
      <c r="AR37" s="39" t="n">
        <f aca="false">IF(AR$4=0,0,IF(COUNTIFS(実績!$W$6:$W$505,AR$3,実績!$AI$6:$AI$505,"&lt;="&amp;$A37,実績!$AJ$6:$AJ$505,"&gt;"&amp;$A37,実績!$AL$6:$AL$505,"○")&gt;0,1,0))</f>
        <v>0</v>
      </c>
      <c r="AS37" s="39" t="n">
        <f aca="false">IF(AS$4=0,0,IF(COUNTIFS(実績!$W$6:$W$505,AS$3,実績!$AI$6:$AI$505,"&lt;="&amp;$A37,実績!$AJ$6:$AJ$505,"&gt;"&amp;$A37,実績!$AL$6:$AL$505,"○")&gt;0,1,0))</f>
        <v>0</v>
      </c>
      <c r="AT37" s="39" t="n">
        <f aca="false">IF(AT$4=0,0,IF(COUNTIFS(実績!$W$6:$W$505,AT$3,実績!$AI$6:$AI$505,"&lt;="&amp;$A37,実績!$AJ$6:$AJ$505,"&gt;"&amp;$A37,実績!$AL$6:$AL$505,"○")&gt;0,1,0))</f>
        <v>0</v>
      </c>
      <c r="AU37" s="39" t="n">
        <f aca="false">IF(AU$4=0,0,IF(COUNTIFS(実績!$W$6:$W$505,AU$3,実績!$AI$6:$AI$505,"&lt;="&amp;$A37,実績!$AJ$6:$AJ$505,"&gt;"&amp;$A37,実績!$AL$6:$AL$505,"○")&gt;0,1,0))</f>
        <v>0</v>
      </c>
      <c r="AV37" s="39" t="n">
        <f aca="false">IF(AV$4=0,0,IF(COUNTIFS(実績!$W$6:$W$505,AV$3,実績!$AI$6:$AI$505,"&lt;="&amp;$A37,実績!$AJ$6:$AJ$505,"&gt;"&amp;$A37,実績!$AL$6:$AL$505,"○")&gt;0,1,0))</f>
        <v>0</v>
      </c>
      <c r="AW37" s="39" t="n">
        <f aca="false">IF(AW$4=0,0,IF(COUNTIFS(実績!$W$6:$W$505,AW$3,実績!$AI$6:$AI$505,"&lt;="&amp;$A37,実績!$AJ$6:$AJ$505,"&gt;"&amp;$A37,実績!$AL$6:$AL$505,"○")&gt;0,1,0))</f>
        <v>0</v>
      </c>
      <c r="AX37" s="39" t="n">
        <f aca="false">IF(AX$4=0,0,IF(COUNTIFS(実績!$W$6:$W$505,AX$3,実績!$AI$6:$AI$505,"&lt;="&amp;$A37,実績!$AJ$6:$AJ$505,"&gt;"&amp;$A37,実績!$AL$6:$AL$505,"○")&gt;0,1,0))</f>
        <v>0</v>
      </c>
      <c r="AY37" s="39" t="n">
        <f aca="false">IF(AY$4=0,0,IF(COUNTIFS(実績!$W$6:$W$505,AY$3,実績!$AI$6:$AI$505,"&lt;="&amp;$A37,実績!$AJ$6:$AJ$505,"&gt;"&amp;$A37,実績!$AL$6:$AL$505,"○")&gt;0,1,0))</f>
        <v>0</v>
      </c>
      <c r="AZ37" s="39" t="n">
        <f aca="false">IF(AZ$4=0,0,IF(COUNTIFS(実績!$W$6:$W$505,AZ$3,実績!$AI$6:$AI$505,"&lt;="&amp;$A37,実績!$AJ$6:$AJ$505,"&gt;"&amp;$A37,実績!$AL$6:$AL$505,"○")&gt;0,1,0))</f>
        <v>0</v>
      </c>
      <c r="BA37" s="39" t="n">
        <f aca="false">IF(BA$4=0,0,IF(COUNTIFS(実績!$W$6:$W$505,BA$3,実績!$AI$6:$AI$505,"&lt;="&amp;$A37,実績!$AJ$6:$AJ$505,"&gt;"&amp;$A37,実績!$AL$6:$AL$505,"○")&gt;0,1,0))</f>
        <v>0</v>
      </c>
      <c r="BB37" s="39" t="n">
        <f aca="false">IF(BB$4=0,0,IF(COUNTIFS(実績!$W$6:$W$505,BB$3,実績!$AI$6:$AI$505,"&lt;="&amp;$A37,実績!$AJ$6:$AJ$505,"&gt;"&amp;$A37,実績!$AL$6:$AL$505,"○")&gt;0,1,0))</f>
        <v>0</v>
      </c>
      <c r="BC37" s="39" t="n">
        <f aca="false">IF(BC$4=0,0,IF(COUNTIFS(実績!$W$6:$W$505,BC$3,実績!$AI$6:$AI$505,"&lt;="&amp;$A37,実績!$AJ$6:$AJ$505,"&gt;"&amp;$A37,実績!$AL$6:$AL$505,"○")&gt;0,1,0))</f>
        <v>0</v>
      </c>
      <c r="BD37" s="39" t="n">
        <f aca="false">IF(BD$4=0,0,IF(COUNTIFS(実績!$W$6:$W$505,BD$3,実績!$AI$6:$AI$505,"&lt;="&amp;$A37,実績!$AJ$6:$AJ$505,"&gt;"&amp;$A37,実績!$AL$6:$AL$505,"○")&gt;0,1,0))</f>
        <v>0</v>
      </c>
      <c r="BE37" s="39" t="n">
        <f aca="false">IF(BE$4=0,0,IF(COUNTIFS(実績!$W$6:$W$505,BE$3,実績!$AI$6:$AI$505,"&lt;="&amp;$A37,実績!$AJ$6:$AJ$505,"&gt;"&amp;$A37,実績!$AL$6:$AL$505,"○")&gt;0,1,0))</f>
        <v>0</v>
      </c>
      <c r="BF37" s="39" t="n">
        <f aca="false">IF(BF$4=0,0,IF(COUNTIFS(実績!$W$6:$W$505,BF$3,実績!$AI$6:$AI$505,"&lt;="&amp;$A37,実績!$AJ$6:$AJ$505,"&gt;"&amp;$A37,実績!$AL$6:$AL$505,"○")&gt;0,1,0))</f>
        <v>0</v>
      </c>
      <c r="BG37" s="39" t="n">
        <f aca="false">IF(BG$4=0,0,IF(COUNTIFS(実績!$W$6:$W$505,BG$3,実績!$AI$6:$AI$505,"&lt;="&amp;$A37,実績!$AJ$6:$AJ$505,"&gt;"&amp;$A37,実績!$AL$6:$AL$505,"○")&gt;0,1,0))</f>
        <v>0</v>
      </c>
      <c r="BH37" s="39" t="n">
        <f aca="false">IF(BH$4=0,0,IF(COUNTIFS(実績!$W$6:$W$505,BH$3,実績!$AI$6:$AI$505,"&lt;="&amp;$A37,実績!$AJ$6:$AJ$505,"&gt;"&amp;$A37,実績!$AL$6:$AL$505,"○")&gt;0,1,0))</f>
        <v>0</v>
      </c>
      <c r="BI37" s="39" t="n">
        <f aca="false">IF(BI$4=0,0,IF(COUNTIFS(実績!$W$6:$W$505,BI$3,実績!$AI$6:$AI$505,"&lt;="&amp;$A37,実績!$AJ$6:$AJ$505,"&gt;"&amp;$A37,実績!$AL$6:$AL$505,"○")&gt;0,1,0))</f>
        <v>0</v>
      </c>
      <c r="BJ37" s="39" t="n">
        <f aca="false">IF(BJ$4=0,0,IF(COUNTIFS(実績!$W$6:$W$505,BJ$3,実績!$AI$6:$AI$505,"&lt;="&amp;$A37,実績!$AJ$6:$AJ$505,"&gt;"&amp;$A37,実績!$AL$6:$AL$505,"○")&gt;0,1,0))</f>
        <v>0</v>
      </c>
      <c r="BK37" s="39" t="n">
        <f aca="false">IF(BK$4=0,0,IF(COUNTIFS(実績!$W$6:$W$505,BK$3,実績!$AI$6:$AI$505,"&lt;="&amp;$A37,実績!$AJ$6:$AJ$505,"&gt;"&amp;$A37,実績!$AL$6:$AL$505,"○")&gt;0,1,0))</f>
        <v>0</v>
      </c>
      <c r="BL37" s="39" t="n">
        <f aca="false">IF(BL$4=0,0,IF(COUNTIFS(実績!$W$6:$W$505,BL$3,実績!$AI$6:$AI$505,"&lt;="&amp;$A37,実績!$AJ$6:$AJ$505,"&gt;"&amp;$A37,実績!$AL$6:$AL$505,"○")&gt;0,1,0))</f>
        <v>0</v>
      </c>
      <c r="BM37" s="39" t="n">
        <f aca="false">IF(BM$4=0,0,IF(COUNTIFS(実績!$W$6:$W$505,BM$3,実績!$AI$6:$AI$505,"&lt;="&amp;$A37,実績!$AJ$6:$AJ$505,"&gt;"&amp;$A37,実績!$AL$6:$AL$505,"○")&gt;0,1,0))</f>
        <v>0</v>
      </c>
      <c r="BN37" s="39" t="n">
        <f aca="false">IF(BN$4=0,0,IF(COUNTIFS(実績!$W$6:$W$505,BN$3,実績!$AI$6:$AI$505,"&lt;="&amp;$A37,実績!$AJ$6:$AJ$505,"&gt;"&amp;$A37,実績!$AL$6:$AL$505,"○")&gt;0,1,0))</f>
        <v>0</v>
      </c>
      <c r="BO37" s="39" t="n">
        <f aca="false">IF(BO$4=0,0,IF(COUNTIFS(実績!$W$6:$W$505,BO$3,実績!$AI$6:$AI$505,"&lt;="&amp;$A37,実績!$AJ$6:$AJ$505,"&gt;"&amp;$A37,実績!$AL$6:$AL$505,"○")&gt;0,1,0))</f>
        <v>0</v>
      </c>
      <c r="BP37" s="39" t="n">
        <f aca="false">IF(BP$4=0,0,IF(COUNTIFS(実績!$W$6:$W$505,BP$3,実績!$AI$6:$AI$505,"&lt;="&amp;$A37,実績!$AJ$6:$AJ$505,"&gt;"&amp;$A37,実績!$AL$6:$AL$505,"○")&gt;0,1,0))</f>
        <v>0</v>
      </c>
      <c r="BQ37" s="39" t="n">
        <f aca="false">IF(BQ$4=0,0,IF(COUNTIFS(実績!$W$6:$W$505,BQ$3,実績!$AI$6:$AI$505,"&lt;="&amp;$A37,実績!$AJ$6:$AJ$505,"&gt;"&amp;$A37,実績!$AL$6:$AL$505,"○")&gt;0,1,0))</f>
        <v>0</v>
      </c>
      <c r="BR37" s="39" t="n">
        <f aca="false">IF(BR$4=0,0,IF(COUNTIFS(実績!$W$6:$W$505,BR$3,実績!$AI$6:$AI$505,"&lt;="&amp;$A37,実績!$AJ$6:$AJ$505,"&gt;"&amp;$A37,実績!$AL$6:$AL$505,"○")&gt;0,1,0))</f>
        <v>0</v>
      </c>
      <c r="BS37" s="39" t="n">
        <f aca="false">IF(BS$4=0,0,IF(COUNTIFS(実績!$W$6:$W$505,BS$3,実績!$AI$6:$AI$505,"&lt;="&amp;$A37,実績!$AJ$6:$AJ$505,"&gt;"&amp;$A37,実績!$AL$6:$AL$505,"○")&gt;0,1,0))</f>
        <v>0</v>
      </c>
      <c r="BT37" s="39" t="n">
        <f aca="false">IF(BT$4=0,0,IF(COUNTIFS(実績!$W$6:$W$505,BT$3,実績!$AI$6:$AI$505,"&lt;="&amp;$A37,実績!$AJ$6:$AJ$505,"&gt;"&amp;$A37,実績!$AL$6:$AL$505,"○")&gt;0,1,0))</f>
        <v>0</v>
      </c>
      <c r="BU37" s="39" t="n">
        <f aca="false">IF(BU$4=0,0,IF(COUNTIFS(実績!$W$6:$W$505,BU$3,実績!$AI$6:$AI$505,"&lt;="&amp;$A37,実績!$AJ$6:$AJ$505,"&gt;"&amp;$A37,実績!$AL$6:$AL$505,"○")&gt;0,1,0))</f>
        <v>0</v>
      </c>
      <c r="BV37" s="39" t="n">
        <f aca="false">IF(BV$4=0,0,IF(COUNTIFS(実績!$W$6:$W$505,BV$3,実績!$AI$6:$AI$505,"&lt;="&amp;$A37,実績!$AJ$6:$AJ$505,"&gt;"&amp;$A37,実績!$AL$6:$AL$505,"○")&gt;0,1,0))</f>
        <v>0</v>
      </c>
      <c r="BW37" s="39" t="n">
        <f aca="false">IF(BW$4=0,0,IF(COUNTIFS(実績!$W$6:$W$505,BW$3,実績!$AI$6:$AI$505,"&lt;="&amp;$A37,実績!$AJ$6:$AJ$505,"&gt;"&amp;$A37,実績!$AL$6:$AL$505,"○")&gt;0,1,0))</f>
        <v>0</v>
      </c>
      <c r="BX37" s="39" t="n">
        <f aca="false">IF(BX$4=0,0,IF(COUNTIFS(実績!$W$6:$W$505,BX$3,実績!$AI$6:$AI$505,"&lt;="&amp;$A37,実績!$AJ$6:$AJ$505,"&gt;"&amp;$A37,実績!$AL$6:$AL$505,"○")&gt;0,1,0))</f>
        <v>0</v>
      </c>
      <c r="BY37" s="39" t="n">
        <f aca="false">IF(BY$4=0,0,IF(COUNTIFS(実績!$W$6:$W$505,BY$3,実績!$AI$6:$AI$505,"&lt;="&amp;$A37,実績!$AJ$6:$AJ$505,"&gt;"&amp;$A37,実績!$AL$6:$AL$505,"○")&gt;0,1,0))</f>
        <v>0</v>
      </c>
      <c r="BZ37" s="39" t="n">
        <f aca="false">IF(BZ$4=0,0,IF(COUNTIFS(実績!$W$6:$W$505,BZ$3,実績!$AI$6:$AI$505,"&lt;="&amp;$A37,実績!$AJ$6:$AJ$505,"&gt;"&amp;$A37,実績!$AL$6:$AL$505,"○")&gt;0,1,0))</f>
        <v>0</v>
      </c>
      <c r="CA37" s="39" t="n">
        <f aca="false">IF(CA$4=0,0,IF(COUNTIFS(実績!$W$6:$W$505,CA$3,実績!$AI$6:$AI$505,"&lt;="&amp;$A37,実績!$AJ$6:$AJ$505,"&gt;"&amp;$A37,実績!$AL$6:$AL$505,"○")&gt;0,1,0))</f>
        <v>0</v>
      </c>
      <c r="CB37" s="39" t="n">
        <f aca="false">IF(CB$4=0,0,IF(COUNTIFS(実績!$W$6:$W$505,CB$3,実績!$AI$6:$AI$505,"&lt;="&amp;$A37,実績!$AJ$6:$AJ$505,"&gt;"&amp;$A37,実績!$AL$6:$AL$505,"○")&gt;0,1,0))</f>
        <v>0</v>
      </c>
      <c r="CC37" s="39" t="n">
        <f aca="false">IF(CC$4=0,0,IF(COUNTIFS(実績!$W$6:$W$505,CC$3,実績!$AI$6:$AI$505,"&lt;="&amp;$A37,実績!$AJ$6:$AJ$505,"&gt;"&amp;$A37,実績!$AL$6:$AL$505,"○")&gt;0,1,0))</f>
        <v>0</v>
      </c>
      <c r="CD37" s="39" t="n">
        <f aca="false">IF(CD$4=0,0,IF(COUNTIFS(実績!$W$6:$W$505,CD$3,実績!$AI$6:$AI$505,"&lt;="&amp;$A37,実績!$AJ$6:$AJ$505,"&gt;"&amp;$A37,実績!$AL$6:$AL$505,"○")&gt;0,1,0))</f>
        <v>0</v>
      </c>
      <c r="CE37" s="39" t="n">
        <f aca="false">IF(CE$4=0,0,IF(COUNTIFS(実績!$W$6:$W$505,CE$3,実績!$AI$6:$AI$505,"&lt;="&amp;$A37,実績!$AJ$6:$AJ$505,"&gt;"&amp;$A37,実績!$AL$6:$AL$505,"○")&gt;0,1,0))</f>
        <v>0</v>
      </c>
      <c r="CF37" s="39" t="n">
        <f aca="false">IF(CF$4=0,0,IF(COUNTIFS(実績!$W$6:$W$505,CF$3,実績!$AI$6:$AI$505,"&lt;="&amp;$A37,実績!$AJ$6:$AJ$505,"&gt;"&amp;$A37,実績!$AL$6:$AL$505,"○")&gt;0,1,0))</f>
        <v>0</v>
      </c>
      <c r="CG37" s="39" t="n">
        <f aca="false">IF(CG$4=0,0,IF(COUNTIFS(実績!$W$6:$W$505,CG$3,実績!$AI$6:$AI$505,"&lt;="&amp;$A37,実績!$AJ$6:$AJ$505,"&gt;"&amp;$A37,実績!$AL$6:$AL$505,"○")&gt;0,1,0))</f>
        <v>0</v>
      </c>
      <c r="CH37" s="39" t="n">
        <f aca="false">IF(CH$4=0,0,IF(COUNTIFS(実績!$W$6:$W$505,CH$3,実績!$AI$6:$AI$505,"&lt;="&amp;$A37,実績!$AJ$6:$AJ$505,"&gt;"&amp;$A37,実績!$AL$6:$AL$505,"○")&gt;0,1,0))</f>
        <v>0</v>
      </c>
      <c r="CI37" s="39" t="n">
        <f aca="false">IF(CI$4=0,0,IF(COUNTIFS(実績!$W$6:$W$505,CI$3,実績!$AI$6:$AI$505,"&lt;="&amp;$A37,実績!$AJ$6:$AJ$505,"&gt;"&amp;$A37,実績!$AL$6:$AL$505,"○")&gt;0,1,0))</f>
        <v>0</v>
      </c>
      <c r="CJ37" s="39" t="n">
        <f aca="false">IF(CJ$4=0,0,IF(COUNTIFS(実績!$W$6:$W$505,CJ$3,実績!$AI$6:$AI$505,"&lt;="&amp;$A37,実績!$AJ$6:$AJ$505,"&gt;"&amp;$A37,実績!$AL$6:$AL$505,"○")&gt;0,1,0))</f>
        <v>0</v>
      </c>
      <c r="CK37" s="39" t="n">
        <f aca="false">IF(CK$4=0,0,IF(COUNTIFS(実績!$W$6:$W$505,CK$3,実績!$AI$6:$AI$505,"&lt;="&amp;$A37,実績!$AJ$6:$AJ$505,"&gt;"&amp;$A37,実績!$AL$6:$AL$505,"○")&gt;0,1,0))</f>
        <v>0</v>
      </c>
      <c r="CL37" s="39" t="n">
        <f aca="false">IF(CL$4=0,0,IF(COUNTIFS(実績!$W$6:$W$505,CL$3,実績!$AI$6:$AI$505,"&lt;="&amp;$A37,実績!$AJ$6:$AJ$505,"&gt;"&amp;$A37,実績!$AL$6:$AL$505,"○")&gt;0,1,0))</f>
        <v>0</v>
      </c>
      <c r="CM37" s="39" t="n">
        <f aca="false">IF(CM$4=0,0,IF(COUNTIFS(実績!$W$6:$W$505,CM$3,実績!$AI$6:$AI$505,"&lt;="&amp;$A37,実績!$AJ$6:$AJ$505,"&gt;"&amp;$A37,実績!$AL$6:$AL$505,"○")&gt;0,1,0))</f>
        <v>0</v>
      </c>
      <c r="CN37" s="39" t="n">
        <f aca="false">IF(CN$4=0,0,IF(COUNTIFS(実績!$W$6:$W$505,CN$3,実績!$AI$6:$AI$505,"&lt;="&amp;$A37,実績!$AJ$6:$AJ$505,"&gt;"&amp;$A37,実績!$AL$6:$AL$505,"○")&gt;0,1,0))</f>
        <v>0</v>
      </c>
      <c r="CO37" s="39" t="n">
        <f aca="false">IF(CO$4=0,0,IF(COUNTIFS(実績!$W$6:$W$505,CO$3,実績!$AI$6:$AI$505,"&lt;="&amp;$A37,実績!$AJ$6:$AJ$505,"&gt;"&amp;$A37,実績!$AL$6:$AL$505,"○")&gt;0,1,0))</f>
        <v>0</v>
      </c>
      <c r="CP37" s="39" t="n">
        <f aca="false">IF(CP$4=0,0,IF(COUNTIFS(実績!$W$6:$W$505,CP$3,実績!$AI$6:$AI$505,"&lt;="&amp;$A37,実績!$AJ$6:$AJ$505,"&gt;"&amp;$A37,実績!$AL$6:$AL$505,"○")&gt;0,1,0))</f>
        <v>0</v>
      </c>
      <c r="CQ37" s="39" t="n">
        <f aca="false">IF(CQ$4=0,0,IF(COUNTIFS(実績!$W$6:$W$505,CQ$3,実績!$AI$6:$AI$505,"&lt;="&amp;$A37,実績!$AJ$6:$AJ$505,"&gt;"&amp;$A37,実績!$AL$6:$AL$505,"○")&gt;0,1,0))</f>
        <v>0</v>
      </c>
      <c r="CR37" s="39" t="n">
        <f aca="false">IF(CR$4=0,0,IF(COUNTIFS(実績!$W$6:$W$505,CR$3,実績!$AI$6:$AI$505,"&lt;="&amp;$A37,実績!$AJ$6:$AJ$505,"&gt;"&amp;$A37,実績!$AL$6:$AL$505,"○")&gt;0,1,0))</f>
        <v>0</v>
      </c>
      <c r="CS37" s="39" t="n">
        <f aca="false">IF(CS$4=0,0,IF(COUNTIFS(実績!$W$6:$W$505,CS$3,実績!$AI$6:$AI$505,"&lt;="&amp;$A37,実績!$AJ$6:$AJ$505,"&gt;"&amp;$A37,実績!$AL$6:$AL$505,"○")&gt;0,1,0))</f>
        <v>0</v>
      </c>
      <c r="CT37" s="39" t="n">
        <f aca="false">IF(CT$4=0,0,IF(COUNTIFS(実績!$W$6:$W$505,CT$3,実績!$AI$6:$AI$505,"&lt;="&amp;$A37,実績!$AJ$6:$AJ$505,"&gt;"&amp;$A37,実績!$AL$6:$AL$505,"○")&gt;0,1,0))</f>
        <v>0</v>
      </c>
      <c r="CU37" s="39" t="n">
        <f aca="false">IF(CU$4=0,0,IF(COUNTIFS(実績!$W$6:$W$505,CU$3,実績!$AI$6:$AI$505,"&lt;="&amp;$A37,実績!$AJ$6:$AJ$505,"&gt;"&amp;$A37,実績!$AL$6:$AL$505,"○")&gt;0,1,0))</f>
        <v>0</v>
      </c>
      <c r="CV37" s="39" t="n">
        <f aca="false">IF(CV$4=0,0,IF(COUNTIFS(実績!$W$6:$W$505,CV$3,実績!$AI$6:$AI$505,"&lt;="&amp;$A37,実績!$AJ$6:$AJ$505,"&gt;"&amp;$A37,実績!$AL$6:$AL$505,"○")&gt;0,1,0))</f>
        <v>0</v>
      </c>
      <c r="CW37" s="39" t="n">
        <f aca="false">IF(CW$4=0,0,IF(COUNTIFS(実績!$W$6:$W$505,CW$3,実績!$AI$6:$AI$505,"&lt;="&amp;$A37,実績!$AJ$6:$AJ$505,"&gt;"&amp;$A37,実績!$AL$6:$AL$505,"○")&gt;0,1,0))</f>
        <v>0</v>
      </c>
      <c r="CX37" s="39" t="n">
        <f aca="false">IF(CX$4=0,0,IF(COUNTIFS(実績!$W$6:$W$505,CX$3,実績!$AI$6:$AI$505,"&lt;="&amp;$A37,実績!$AJ$6:$AJ$505,"&gt;"&amp;$A37,実績!$AL$6:$AL$505,"○")&gt;0,1,0))</f>
        <v>0</v>
      </c>
      <c r="CY37" s="39" t="n">
        <f aca="false">IF(CY$4=0,0,IF(COUNTIFS(実績!$W$6:$W$505,CY$3,実績!$AI$6:$AI$505,"&lt;="&amp;$A37,実績!$AJ$6:$AJ$505,"&gt;"&amp;$A37,実績!$AL$6:$AL$505,"○")&gt;0,1,0))</f>
        <v>0</v>
      </c>
      <c r="CZ37" s="39" t="n">
        <f aca="false">IF(CZ$4=0,0,IF(COUNTIFS(実績!$W$6:$W$505,CZ$3,実績!$AI$6:$AI$505,"&lt;="&amp;$A37,実績!$AJ$6:$AJ$505,"&gt;"&amp;$A37,実績!$AL$6:$AL$505,"○")&gt;0,1,0))</f>
        <v>0</v>
      </c>
      <c r="DA37" s="39" t="n">
        <f aca="false">IF(DA$4=0,0,IF(COUNTIFS(実績!$W$6:$W$505,DA$3,実績!$AI$6:$AI$505,"&lt;="&amp;$A37,実績!$AJ$6:$AJ$505,"&gt;"&amp;$A37,実績!$AL$6:$AL$505,"○")&gt;0,1,0))</f>
        <v>0</v>
      </c>
      <c r="DB37" s="39" t="n">
        <f aca="false">IF(DB$4=0,0,IF(COUNTIFS(実績!$W$6:$W$505,DB$3,実績!$AI$6:$AI$505,"&lt;="&amp;$A37,実績!$AJ$6:$AJ$505,"&gt;"&amp;$A37,実績!$AL$6:$AL$505,"○")&gt;0,1,0))</f>
        <v>0</v>
      </c>
      <c r="DC37" s="39" t="n">
        <f aca="false">IF(DC$4=0,0,IF(COUNTIFS(実績!$W$6:$W$505,DC$3,実績!$AI$6:$AI$505,"&lt;="&amp;$A37,実績!$AJ$6:$AJ$505,"&gt;"&amp;$A37,実績!$AL$6:$AL$505,"○")&gt;0,1,0))</f>
        <v>0</v>
      </c>
      <c r="DD37" s="39" t="n">
        <f aca="false">IF(DD$4=0,0,IF(COUNTIFS(実績!$W$6:$W$505,DD$3,実績!$AI$6:$AI$505,"&lt;="&amp;$A37,実績!$AJ$6:$AJ$505,"&gt;"&amp;$A37,実績!$AL$6:$AL$505,"○")&gt;0,1,0))</f>
        <v>0</v>
      </c>
      <c r="DE37" s="39" t="n">
        <f aca="false">IF(DE$4=0,0,IF(COUNTIFS(実績!$W$6:$W$505,DE$3,実績!$AI$6:$AI$505,"&lt;="&amp;$A37,実績!$AJ$6:$AJ$505,"&gt;"&amp;$A37,実績!$AL$6:$AL$505,"○")&gt;0,1,0))</f>
        <v>0</v>
      </c>
      <c r="DF37" s="39" t="n">
        <f aca="false">IF(DF$4=0,0,IF(COUNTIFS(実績!$W$6:$W$505,DF$3,実績!$AI$6:$AI$505,"&lt;="&amp;$A37,実績!$AJ$6:$AJ$505,"&gt;"&amp;$A37,実績!$AL$6:$AL$505,"○")&gt;0,1,0))</f>
        <v>0</v>
      </c>
      <c r="DG37" s="39" t="n">
        <f aca="false">IF(DG$4=0,0,IF(COUNTIFS(実績!$W$6:$W$505,DG$3,実績!$AI$6:$AI$505,"&lt;="&amp;$A37,実績!$AJ$6:$AJ$505,"&gt;"&amp;$A37,実績!$AL$6:$AL$505,"○")&gt;0,1,0))</f>
        <v>0</v>
      </c>
      <c r="DH37" s="39" t="n">
        <f aca="false">IF(DH$4=0,0,IF(COUNTIFS(実績!$W$6:$W$505,DH$3,実績!$AI$6:$AI$505,"&lt;="&amp;$A37,実績!$AJ$6:$AJ$505,"&gt;"&amp;$A37,実績!$AL$6:$AL$505,"○")&gt;0,1,0))</f>
        <v>0</v>
      </c>
      <c r="DI37" s="39" t="n">
        <f aca="false">IF(DI$4=0,0,IF(COUNTIFS(実績!$W$6:$W$505,DI$3,実績!$AI$6:$AI$505,"&lt;="&amp;$A37,実績!$AJ$6:$AJ$505,"&gt;"&amp;$A37,実績!$AL$6:$AL$505,"○")&gt;0,1,0))</f>
        <v>0</v>
      </c>
      <c r="DJ37" s="39" t="n">
        <f aca="false">IF(DJ$4=0,0,IF(COUNTIFS(実績!$W$6:$W$505,DJ$3,実績!$AI$6:$AI$505,"&lt;="&amp;$A37,実績!$AJ$6:$AJ$505,"&gt;"&amp;$A37,実績!$AL$6:$AL$505,"○")&gt;0,1,0))</f>
        <v>0</v>
      </c>
      <c r="DK37" s="39" t="n">
        <f aca="false">IF(DK$4=0,0,IF(COUNTIFS(実績!$W$6:$W$505,DK$3,実績!$AI$6:$AI$505,"&lt;="&amp;$A37,実績!$AJ$6:$AJ$505,"&gt;"&amp;$A37,実績!$AL$6:$AL$505,"○")&gt;0,1,0))</f>
        <v>0</v>
      </c>
      <c r="DL37" s="39" t="n">
        <f aca="false">IF(DL$4=0,0,IF(COUNTIFS(実績!$W$6:$W$505,DL$3,実績!$AI$6:$AI$505,"&lt;="&amp;$A37,実績!$AJ$6:$AJ$505,"&gt;"&amp;$A37,実績!$AL$6:$AL$505,"○")&gt;0,1,0))</f>
        <v>0</v>
      </c>
      <c r="DM37" s="39" t="n">
        <f aca="false">IF(DM$4=0,0,IF(COUNTIFS(実績!$W$6:$W$505,DM$3,実績!$AI$6:$AI$505,"&lt;="&amp;$A37,実績!$AJ$6:$AJ$505,"&gt;"&amp;$A37,実績!$AL$6:$AL$505,"○")&gt;0,1,0))</f>
        <v>0</v>
      </c>
      <c r="DN37" s="39" t="n">
        <f aca="false">IF(DN$4=0,0,IF(COUNTIFS(実績!$W$6:$W$505,DN$3,実績!$AI$6:$AI$505,"&lt;="&amp;$A37,実績!$AJ$6:$AJ$505,"&gt;"&amp;$A37,実績!$AL$6:$AL$505,"○")&gt;0,1,0))</f>
        <v>0</v>
      </c>
      <c r="DO37" s="39" t="n">
        <f aca="false">IF(DO$4=0,0,IF(COUNTIFS(実績!$W$6:$W$505,DO$3,実績!$AI$6:$AI$505,"&lt;="&amp;$A37,実績!$AJ$6:$AJ$505,"&gt;"&amp;$A37,実績!$AL$6:$AL$505,"○")&gt;0,1,0))</f>
        <v>0</v>
      </c>
      <c r="DP37" s="39" t="n">
        <f aca="false">IF(DP$4=0,0,IF(COUNTIFS(実績!$W$6:$W$505,DP$3,実績!$AI$6:$AI$505,"&lt;="&amp;$A37,実績!$AJ$6:$AJ$505,"&gt;"&amp;$A37,実績!$AL$6:$AL$505,"○")&gt;0,1,0))</f>
        <v>0</v>
      </c>
      <c r="DQ37" s="39" t="n">
        <f aca="false">IF(DQ$4=0,0,IF(COUNTIFS(実績!$W$6:$W$505,DQ$3,実績!$AI$6:$AI$505,"&lt;="&amp;$A37,実績!$AJ$6:$AJ$505,"&gt;"&amp;$A37,実績!$AL$6:$AL$505,"○")&gt;0,1,0))</f>
        <v>0</v>
      </c>
      <c r="DR37" s="39" t="n">
        <f aca="false">IF(DR$4=0,0,IF(COUNTIFS(実績!$W$6:$W$505,DR$3,実績!$AI$6:$AI$505,"&lt;="&amp;$A37,実績!$AJ$6:$AJ$505,"&gt;"&amp;$A37,実績!$AL$6:$AL$505,"○")&gt;0,1,0))</f>
        <v>0</v>
      </c>
      <c r="DS37" s="39" t="n">
        <f aca="false">SUM(C37:DR37)</f>
        <v>0</v>
      </c>
    </row>
    <row r="38" customFormat="false" ht="15" hidden="false" customHeight="false" outlineLevel="0" collapsed="false">
      <c r="A38" s="0" t="n">
        <v>160</v>
      </c>
      <c r="B38" s="38" t="n">
        <f aca="false">A38/1440</f>
        <v>0.111111111111111</v>
      </c>
      <c r="C38" s="39" t="n">
        <f aca="false">IF(C$4=0,0,IF(COUNTIFS(実績!$W$6:$W$505,C$3,実績!$AI$6:$AI$505,"&lt;="&amp;$A38,実績!$AJ$6:$AJ$505,"&gt;"&amp;$A38,実績!$AL$6:$AL$505,"○")&gt;0,1,0))</f>
        <v>0</v>
      </c>
      <c r="D38" s="39" t="n">
        <f aca="false">IF(D$4=0,0,IF(COUNTIFS(実績!$W$6:$W$505,D$3,実績!$AI$6:$AI$505,"&lt;="&amp;$A38,実績!$AJ$6:$AJ$505,"&gt;"&amp;$A38,実績!$AL$6:$AL$505,"○")&gt;0,1,0))</f>
        <v>0</v>
      </c>
      <c r="E38" s="39" t="n">
        <f aca="false">IF(E$4=0,0,IF(COUNTIFS(実績!$W$6:$W$505,E$3,実績!$AI$6:$AI$505,"&lt;="&amp;$A38,実績!$AJ$6:$AJ$505,"&gt;"&amp;$A38,実績!$AL$6:$AL$505,"○")&gt;0,1,0))</f>
        <v>0</v>
      </c>
      <c r="F38" s="39" t="n">
        <f aca="false">IF(F$4=0,0,IF(COUNTIFS(実績!$W$6:$W$505,F$3,実績!$AI$6:$AI$505,"&lt;="&amp;$A38,実績!$AJ$6:$AJ$505,"&gt;"&amp;$A38,実績!$AL$6:$AL$505,"○")&gt;0,1,0))</f>
        <v>0</v>
      </c>
      <c r="G38" s="39" t="n">
        <f aca="false">IF(G$4=0,0,IF(COUNTIFS(実績!$W$6:$W$505,G$3,実績!$AI$6:$AI$505,"&lt;="&amp;$A38,実績!$AJ$6:$AJ$505,"&gt;"&amp;$A38,実績!$AL$6:$AL$505,"○")&gt;0,1,0))</f>
        <v>0</v>
      </c>
      <c r="H38" s="39" t="n">
        <f aca="false">IF(H$4=0,0,IF(COUNTIFS(実績!$W$6:$W$505,H$3,実績!$AI$6:$AI$505,"&lt;="&amp;$A38,実績!$AJ$6:$AJ$505,"&gt;"&amp;$A38,実績!$AL$6:$AL$505,"○")&gt;0,1,0))</f>
        <v>0</v>
      </c>
      <c r="I38" s="39" t="n">
        <f aca="false">IF(I$4=0,0,IF(COUNTIFS(実績!$W$6:$W$505,I$3,実績!$AI$6:$AI$505,"&lt;="&amp;$A38,実績!$AJ$6:$AJ$505,"&gt;"&amp;$A38,実績!$AL$6:$AL$505,"○")&gt;0,1,0))</f>
        <v>0</v>
      </c>
      <c r="J38" s="39" t="n">
        <f aca="false">IF(J$4=0,0,IF(COUNTIFS(実績!$W$6:$W$505,J$3,実績!$AI$6:$AI$505,"&lt;="&amp;$A38,実績!$AJ$6:$AJ$505,"&gt;"&amp;$A38,実績!$AL$6:$AL$505,"○")&gt;0,1,0))</f>
        <v>0</v>
      </c>
      <c r="K38" s="39" t="n">
        <f aca="false">IF(K$4=0,0,IF(COUNTIFS(実績!$W$6:$W$505,K$3,実績!$AI$6:$AI$505,"&lt;="&amp;$A38,実績!$AJ$6:$AJ$505,"&gt;"&amp;$A38,実績!$AL$6:$AL$505,"○")&gt;0,1,0))</f>
        <v>0</v>
      </c>
      <c r="L38" s="39" t="n">
        <f aca="false">IF(L$4=0,0,IF(COUNTIFS(実績!$W$6:$W$505,L$3,実績!$AI$6:$AI$505,"&lt;="&amp;$A38,実績!$AJ$6:$AJ$505,"&gt;"&amp;$A38,実績!$AL$6:$AL$505,"○")&gt;0,1,0))</f>
        <v>0</v>
      </c>
      <c r="M38" s="39" t="n">
        <f aca="false">IF(M$4=0,0,IF(COUNTIFS(実績!$W$6:$W$505,M$3,実績!$AI$6:$AI$505,"&lt;="&amp;$A38,実績!$AJ$6:$AJ$505,"&gt;"&amp;$A38,実績!$AL$6:$AL$505,"○")&gt;0,1,0))</f>
        <v>0</v>
      </c>
      <c r="N38" s="39" t="n">
        <f aca="false">IF(N$4=0,0,IF(COUNTIFS(実績!$W$6:$W$505,N$3,実績!$AI$6:$AI$505,"&lt;="&amp;$A38,実績!$AJ$6:$AJ$505,"&gt;"&amp;$A38,実績!$AL$6:$AL$505,"○")&gt;0,1,0))</f>
        <v>0</v>
      </c>
      <c r="O38" s="39" t="n">
        <f aca="false">IF(O$4=0,0,IF(COUNTIFS(実績!$W$6:$W$505,O$3,実績!$AI$6:$AI$505,"&lt;="&amp;$A38,実績!$AJ$6:$AJ$505,"&gt;"&amp;$A38,実績!$AL$6:$AL$505,"○")&gt;0,1,0))</f>
        <v>0</v>
      </c>
      <c r="P38" s="39" t="n">
        <f aca="false">IF(P$4=0,0,IF(COUNTIFS(実績!$W$6:$W$505,P$3,実績!$AI$6:$AI$505,"&lt;="&amp;$A38,実績!$AJ$6:$AJ$505,"&gt;"&amp;$A38,実績!$AL$6:$AL$505,"○")&gt;0,1,0))</f>
        <v>0</v>
      </c>
      <c r="Q38" s="39" t="n">
        <f aca="false">IF(Q$4=0,0,IF(COUNTIFS(実績!$W$6:$W$505,Q$3,実績!$AI$6:$AI$505,"&lt;="&amp;$A38,実績!$AJ$6:$AJ$505,"&gt;"&amp;$A38,実績!$AL$6:$AL$505,"○")&gt;0,1,0))</f>
        <v>0</v>
      </c>
      <c r="R38" s="39" t="n">
        <f aca="false">IF(R$4=0,0,IF(COUNTIFS(実績!$W$6:$W$505,R$3,実績!$AI$6:$AI$505,"&lt;="&amp;$A38,実績!$AJ$6:$AJ$505,"&gt;"&amp;$A38,実績!$AL$6:$AL$505,"○")&gt;0,1,0))</f>
        <v>0</v>
      </c>
      <c r="S38" s="39" t="n">
        <f aca="false">IF(S$4=0,0,IF(COUNTIFS(実績!$W$6:$W$505,S$3,実績!$AI$6:$AI$505,"&lt;="&amp;$A38,実績!$AJ$6:$AJ$505,"&gt;"&amp;$A38,実績!$AL$6:$AL$505,"○")&gt;0,1,0))</f>
        <v>0</v>
      </c>
      <c r="T38" s="39" t="n">
        <f aca="false">IF(T$4=0,0,IF(COUNTIFS(実績!$W$6:$W$505,T$3,実績!$AI$6:$AI$505,"&lt;="&amp;$A38,実績!$AJ$6:$AJ$505,"&gt;"&amp;$A38,実績!$AL$6:$AL$505,"○")&gt;0,1,0))</f>
        <v>0</v>
      </c>
      <c r="U38" s="39" t="n">
        <f aca="false">IF(U$4=0,0,IF(COUNTIFS(実績!$W$6:$W$505,U$3,実績!$AI$6:$AI$505,"&lt;="&amp;$A38,実績!$AJ$6:$AJ$505,"&gt;"&amp;$A38,実績!$AL$6:$AL$505,"○")&gt;0,1,0))</f>
        <v>0</v>
      </c>
      <c r="V38" s="39" t="n">
        <f aca="false">IF(V$4=0,0,IF(COUNTIFS(実績!$W$6:$W$505,V$3,実績!$AI$6:$AI$505,"&lt;="&amp;$A38,実績!$AJ$6:$AJ$505,"&gt;"&amp;$A38,実績!$AL$6:$AL$505,"○")&gt;0,1,0))</f>
        <v>0</v>
      </c>
      <c r="W38" s="39" t="n">
        <f aca="false">IF(W$4=0,0,IF(COUNTIFS(実績!$W$6:$W$505,W$3,実績!$AI$6:$AI$505,"&lt;="&amp;$A38,実績!$AJ$6:$AJ$505,"&gt;"&amp;$A38,実績!$AL$6:$AL$505,"○")&gt;0,1,0))</f>
        <v>0</v>
      </c>
      <c r="X38" s="39" t="n">
        <f aca="false">IF(X$4=0,0,IF(COUNTIFS(実績!$W$6:$W$505,X$3,実績!$AI$6:$AI$505,"&lt;="&amp;$A38,実績!$AJ$6:$AJ$505,"&gt;"&amp;$A38,実績!$AL$6:$AL$505,"○")&gt;0,1,0))</f>
        <v>0</v>
      </c>
      <c r="Y38" s="39" t="n">
        <f aca="false">IF(Y$4=0,0,IF(COUNTIFS(実績!$W$6:$W$505,Y$3,実績!$AI$6:$AI$505,"&lt;="&amp;$A38,実績!$AJ$6:$AJ$505,"&gt;"&amp;$A38,実績!$AL$6:$AL$505,"○")&gt;0,1,0))</f>
        <v>0</v>
      </c>
      <c r="Z38" s="39" t="n">
        <f aca="false">IF(Z$4=0,0,IF(COUNTIFS(実績!$W$6:$W$505,Z$3,実績!$AI$6:$AI$505,"&lt;="&amp;$A38,実績!$AJ$6:$AJ$505,"&gt;"&amp;$A38,実績!$AL$6:$AL$505,"○")&gt;0,1,0))</f>
        <v>0</v>
      </c>
      <c r="AA38" s="39" t="n">
        <f aca="false">IF(AA$4=0,0,IF(COUNTIFS(実績!$W$6:$W$505,AA$3,実績!$AI$6:$AI$505,"&lt;="&amp;$A38,実績!$AJ$6:$AJ$505,"&gt;"&amp;$A38,実績!$AL$6:$AL$505,"○")&gt;0,1,0))</f>
        <v>0</v>
      </c>
      <c r="AB38" s="39" t="n">
        <f aca="false">IF(AB$4=0,0,IF(COUNTIFS(実績!$W$6:$W$505,AB$3,実績!$AI$6:$AI$505,"&lt;="&amp;$A38,実績!$AJ$6:$AJ$505,"&gt;"&amp;$A38,実績!$AL$6:$AL$505,"○")&gt;0,1,0))</f>
        <v>0</v>
      </c>
      <c r="AC38" s="39" t="n">
        <f aca="false">IF(AC$4=0,0,IF(COUNTIFS(実績!$W$6:$W$505,AC$3,実績!$AI$6:$AI$505,"&lt;="&amp;$A38,実績!$AJ$6:$AJ$505,"&gt;"&amp;$A38,実績!$AL$6:$AL$505,"○")&gt;0,1,0))</f>
        <v>0</v>
      </c>
      <c r="AD38" s="39" t="n">
        <f aca="false">IF(AD$4=0,0,IF(COUNTIFS(実績!$W$6:$W$505,AD$3,実績!$AI$6:$AI$505,"&lt;="&amp;$A38,実績!$AJ$6:$AJ$505,"&gt;"&amp;$A38,実績!$AL$6:$AL$505,"○")&gt;0,1,0))</f>
        <v>0</v>
      </c>
      <c r="AE38" s="39" t="n">
        <f aca="false">IF(AE$4=0,0,IF(COUNTIFS(実績!$W$6:$W$505,AE$3,実績!$AI$6:$AI$505,"&lt;="&amp;$A38,実績!$AJ$6:$AJ$505,"&gt;"&amp;$A38,実績!$AL$6:$AL$505,"○")&gt;0,1,0))</f>
        <v>0</v>
      </c>
      <c r="AF38" s="39" t="n">
        <f aca="false">IF(AF$4=0,0,IF(COUNTIFS(実績!$W$6:$W$505,AF$3,実績!$AI$6:$AI$505,"&lt;="&amp;$A38,実績!$AJ$6:$AJ$505,"&gt;"&amp;$A38,実績!$AL$6:$AL$505,"○")&gt;0,1,0))</f>
        <v>0</v>
      </c>
      <c r="AG38" s="39" t="n">
        <f aca="false">IF(AG$4=0,0,IF(COUNTIFS(実績!$W$6:$W$505,AG$3,実績!$AI$6:$AI$505,"&lt;="&amp;$A38,実績!$AJ$6:$AJ$505,"&gt;"&amp;$A38,実績!$AL$6:$AL$505,"○")&gt;0,1,0))</f>
        <v>0</v>
      </c>
      <c r="AH38" s="39" t="n">
        <f aca="false">IF(AH$4=0,0,IF(COUNTIFS(実績!$W$6:$W$505,AH$3,実績!$AI$6:$AI$505,"&lt;="&amp;$A38,実績!$AJ$6:$AJ$505,"&gt;"&amp;$A38,実績!$AL$6:$AL$505,"○")&gt;0,1,0))</f>
        <v>0</v>
      </c>
      <c r="AI38" s="39" t="n">
        <f aca="false">IF(AI$4=0,0,IF(COUNTIFS(実績!$W$6:$W$505,AI$3,実績!$AI$6:$AI$505,"&lt;="&amp;$A38,実績!$AJ$6:$AJ$505,"&gt;"&amp;$A38,実績!$AL$6:$AL$505,"○")&gt;0,1,0))</f>
        <v>0</v>
      </c>
      <c r="AJ38" s="39" t="n">
        <f aca="false">IF(AJ$4=0,0,IF(COUNTIFS(実績!$W$6:$W$505,AJ$3,実績!$AI$6:$AI$505,"&lt;="&amp;$A38,実績!$AJ$6:$AJ$505,"&gt;"&amp;$A38,実績!$AL$6:$AL$505,"○")&gt;0,1,0))</f>
        <v>0</v>
      </c>
      <c r="AK38" s="39" t="n">
        <f aca="false">IF(AK$4=0,0,IF(COUNTIFS(実績!$W$6:$W$505,AK$3,実績!$AI$6:$AI$505,"&lt;="&amp;$A38,実績!$AJ$6:$AJ$505,"&gt;"&amp;$A38,実績!$AL$6:$AL$505,"○")&gt;0,1,0))</f>
        <v>0</v>
      </c>
      <c r="AL38" s="39" t="n">
        <f aca="false">IF(AL$4=0,0,IF(COUNTIFS(実績!$W$6:$W$505,AL$3,実績!$AI$6:$AI$505,"&lt;="&amp;$A38,実績!$AJ$6:$AJ$505,"&gt;"&amp;$A38,実績!$AL$6:$AL$505,"○")&gt;0,1,0))</f>
        <v>0</v>
      </c>
      <c r="AM38" s="39" t="n">
        <f aca="false">IF(AM$4=0,0,IF(COUNTIFS(実績!$W$6:$W$505,AM$3,実績!$AI$6:$AI$505,"&lt;="&amp;$A38,実績!$AJ$6:$AJ$505,"&gt;"&amp;$A38,実績!$AL$6:$AL$505,"○")&gt;0,1,0))</f>
        <v>0</v>
      </c>
      <c r="AN38" s="39" t="n">
        <f aca="false">IF(AN$4=0,0,IF(COUNTIFS(実績!$W$6:$W$505,AN$3,実績!$AI$6:$AI$505,"&lt;="&amp;$A38,実績!$AJ$6:$AJ$505,"&gt;"&amp;$A38,実績!$AL$6:$AL$505,"○")&gt;0,1,0))</f>
        <v>0</v>
      </c>
      <c r="AO38" s="39" t="n">
        <f aca="false">IF(AO$4=0,0,IF(COUNTIFS(実績!$W$6:$W$505,AO$3,実績!$AI$6:$AI$505,"&lt;="&amp;$A38,実績!$AJ$6:$AJ$505,"&gt;"&amp;$A38,実績!$AL$6:$AL$505,"○")&gt;0,1,0))</f>
        <v>0</v>
      </c>
      <c r="AP38" s="39" t="n">
        <f aca="false">IF(AP$4=0,0,IF(COUNTIFS(実績!$W$6:$W$505,AP$3,実績!$AI$6:$AI$505,"&lt;="&amp;$A38,実績!$AJ$6:$AJ$505,"&gt;"&amp;$A38,実績!$AL$6:$AL$505,"○")&gt;0,1,0))</f>
        <v>0</v>
      </c>
      <c r="AQ38" s="39" t="n">
        <f aca="false">IF(AQ$4=0,0,IF(COUNTIFS(実績!$W$6:$W$505,AQ$3,実績!$AI$6:$AI$505,"&lt;="&amp;$A38,実績!$AJ$6:$AJ$505,"&gt;"&amp;$A38,実績!$AL$6:$AL$505,"○")&gt;0,1,0))</f>
        <v>0</v>
      </c>
      <c r="AR38" s="39" t="n">
        <f aca="false">IF(AR$4=0,0,IF(COUNTIFS(実績!$W$6:$W$505,AR$3,実績!$AI$6:$AI$505,"&lt;="&amp;$A38,実績!$AJ$6:$AJ$505,"&gt;"&amp;$A38,実績!$AL$6:$AL$505,"○")&gt;0,1,0))</f>
        <v>0</v>
      </c>
      <c r="AS38" s="39" t="n">
        <f aca="false">IF(AS$4=0,0,IF(COUNTIFS(実績!$W$6:$W$505,AS$3,実績!$AI$6:$AI$505,"&lt;="&amp;$A38,実績!$AJ$6:$AJ$505,"&gt;"&amp;$A38,実績!$AL$6:$AL$505,"○")&gt;0,1,0))</f>
        <v>0</v>
      </c>
      <c r="AT38" s="39" t="n">
        <f aca="false">IF(AT$4=0,0,IF(COUNTIFS(実績!$W$6:$W$505,AT$3,実績!$AI$6:$AI$505,"&lt;="&amp;$A38,実績!$AJ$6:$AJ$505,"&gt;"&amp;$A38,実績!$AL$6:$AL$505,"○")&gt;0,1,0))</f>
        <v>0</v>
      </c>
      <c r="AU38" s="39" t="n">
        <f aca="false">IF(AU$4=0,0,IF(COUNTIFS(実績!$W$6:$W$505,AU$3,実績!$AI$6:$AI$505,"&lt;="&amp;$A38,実績!$AJ$6:$AJ$505,"&gt;"&amp;$A38,実績!$AL$6:$AL$505,"○")&gt;0,1,0))</f>
        <v>0</v>
      </c>
      <c r="AV38" s="39" t="n">
        <f aca="false">IF(AV$4=0,0,IF(COUNTIFS(実績!$W$6:$W$505,AV$3,実績!$AI$6:$AI$505,"&lt;="&amp;$A38,実績!$AJ$6:$AJ$505,"&gt;"&amp;$A38,実績!$AL$6:$AL$505,"○")&gt;0,1,0))</f>
        <v>0</v>
      </c>
      <c r="AW38" s="39" t="n">
        <f aca="false">IF(AW$4=0,0,IF(COUNTIFS(実績!$W$6:$W$505,AW$3,実績!$AI$6:$AI$505,"&lt;="&amp;$A38,実績!$AJ$6:$AJ$505,"&gt;"&amp;$A38,実績!$AL$6:$AL$505,"○")&gt;0,1,0))</f>
        <v>0</v>
      </c>
      <c r="AX38" s="39" t="n">
        <f aca="false">IF(AX$4=0,0,IF(COUNTIFS(実績!$W$6:$W$505,AX$3,実績!$AI$6:$AI$505,"&lt;="&amp;$A38,実績!$AJ$6:$AJ$505,"&gt;"&amp;$A38,実績!$AL$6:$AL$505,"○")&gt;0,1,0))</f>
        <v>0</v>
      </c>
      <c r="AY38" s="39" t="n">
        <f aca="false">IF(AY$4=0,0,IF(COUNTIFS(実績!$W$6:$W$505,AY$3,実績!$AI$6:$AI$505,"&lt;="&amp;$A38,実績!$AJ$6:$AJ$505,"&gt;"&amp;$A38,実績!$AL$6:$AL$505,"○")&gt;0,1,0))</f>
        <v>0</v>
      </c>
      <c r="AZ38" s="39" t="n">
        <f aca="false">IF(AZ$4=0,0,IF(COUNTIFS(実績!$W$6:$W$505,AZ$3,実績!$AI$6:$AI$505,"&lt;="&amp;$A38,実績!$AJ$6:$AJ$505,"&gt;"&amp;$A38,実績!$AL$6:$AL$505,"○")&gt;0,1,0))</f>
        <v>0</v>
      </c>
      <c r="BA38" s="39" t="n">
        <f aca="false">IF(BA$4=0,0,IF(COUNTIFS(実績!$W$6:$W$505,BA$3,実績!$AI$6:$AI$505,"&lt;="&amp;$A38,実績!$AJ$6:$AJ$505,"&gt;"&amp;$A38,実績!$AL$6:$AL$505,"○")&gt;0,1,0))</f>
        <v>0</v>
      </c>
      <c r="BB38" s="39" t="n">
        <f aca="false">IF(BB$4=0,0,IF(COUNTIFS(実績!$W$6:$W$505,BB$3,実績!$AI$6:$AI$505,"&lt;="&amp;$A38,実績!$AJ$6:$AJ$505,"&gt;"&amp;$A38,実績!$AL$6:$AL$505,"○")&gt;0,1,0))</f>
        <v>0</v>
      </c>
      <c r="BC38" s="39" t="n">
        <f aca="false">IF(BC$4=0,0,IF(COUNTIFS(実績!$W$6:$W$505,BC$3,実績!$AI$6:$AI$505,"&lt;="&amp;$A38,実績!$AJ$6:$AJ$505,"&gt;"&amp;$A38,実績!$AL$6:$AL$505,"○")&gt;0,1,0))</f>
        <v>0</v>
      </c>
      <c r="BD38" s="39" t="n">
        <f aca="false">IF(BD$4=0,0,IF(COUNTIFS(実績!$W$6:$W$505,BD$3,実績!$AI$6:$AI$505,"&lt;="&amp;$A38,実績!$AJ$6:$AJ$505,"&gt;"&amp;$A38,実績!$AL$6:$AL$505,"○")&gt;0,1,0))</f>
        <v>0</v>
      </c>
      <c r="BE38" s="39" t="n">
        <f aca="false">IF(BE$4=0,0,IF(COUNTIFS(実績!$W$6:$W$505,BE$3,実績!$AI$6:$AI$505,"&lt;="&amp;$A38,実績!$AJ$6:$AJ$505,"&gt;"&amp;$A38,実績!$AL$6:$AL$505,"○")&gt;0,1,0))</f>
        <v>0</v>
      </c>
      <c r="BF38" s="39" t="n">
        <f aca="false">IF(BF$4=0,0,IF(COUNTIFS(実績!$W$6:$W$505,BF$3,実績!$AI$6:$AI$505,"&lt;="&amp;$A38,実績!$AJ$6:$AJ$505,"&gt;"&amp;$A38,実績!$AL$6:$AL$505,"○")&gt;0,1,0))</f>
        <v>0</v>
      </c>
      <c r="BG38" s="39" t="n">
        <f aca="false">IF(BG$4=0,0,IF(COUNTIFS(実績!$W$6:$W$505,BG$3,実績!$AI$6:$AI$505,"&lt;="&amp;$A38,実績!$AJ$6:$AJ$505,"&gt;"&amp;$A38,実績!$AL$6:$AL$505,"○")&gt;0,1,0))</f>
        <v>0</v>
      </c>
      <c r="BH38" s="39" t="n">
        <f aca="false">IF(BH$4=0,0,IF(COUNTIFS(実績!$W$6:$W$505,BH$3,実績!$AI$6:$AI$505,"&lt;="&amp;$A38,実績!$AJ$6:$AJ$505,"&gt;"&amp;$A38,実績!$AL$6:$AL$505,"○")&gt;0,1,0))</f>
        <v>0</v>
      </c>
      <c r="BI38" s="39" t="n">
        <f aca="false">IF(BI$4=0,0,IF(COUNTIFS(実績!$W$6:$W$505,BI$3,実績!$AI$6:$AI$505,"&lt;="&amp;$A38,実績!$AJ$6:$AJ$505,"&gt;"&amp;$A38,実績!$AL$6:$AL$505,"○")&gt;0,1,0))</f>
        <v>0</v>
      </c>
      <c r="BJ38" s="39" t="n">
        <f aca="false">IF(BJ$4=0,0,IF(COUNTIFS(実績!$W$6:$W$505,BJ$3,実績!$AI$6:$AI$505,"&lt;="&amp;$A38,実績!$AJ$6:$AJ$505,"&gt;"&amp;$A38,実績!$AL$6:$AL$505,"○")&gt;0,1,0))</f>
        <v>0</v>
      </c>
      <c r="BK38" s="39" t="n">
        <f aca="false">IF(BK$4=0,0,IF(COUNTIFS(実績!$W$6:$W$505,BK$3,実績!$AI$6:$AI$505,"&lt;="&amp;$A38,実績!$AJ$6:$AJ$505,"&gt;"&amp;$A38,実績!$AL$6:$AL$505,"○")&gt;0,1,0))</f>
        <v>0</v>
      </c>
      <c r="BL38" s="39" t="n">
        <f aca="false">IF(BL$4=0,0,IF(COUNTIFS(実績!$W$6:$W$505,BL$3,実績!$AI$6:$AI$505,"&lt;="&amp;$A38,実績!$AJ$6:$AJ$505,"&gt;"&amp;$A38,実績!$AL$6:$AL$505,"○")&gt;0,1,0))</f>
        <v>0</v>
      </c>
      <c r="BM38" s="39" t="n">
        <f aca="false">IF(BM$4=0,0,IF(COUNTIFS(実績!$W$6:$W$505,BM$3,実績!$AI$6:$AI$505,"&lt;="&amp;$A38,実績!$AJ$6:$AJ$505,"&gt;"&amp;$A38,実績!$AL$6:$AL$505,"○")&gt;0,1,0))</f>
        <v>0</v>
      </c>
      <c r="BN38" s="39" t="n">
        <f aca="false">IF(BN$4=0,0,IF(COUNTIFS(実績!$W$6:$W$505,BN$3,実績!$AI$6:$AI$505,"&lt;="&amp;$A38,実績!$AJ$6:$AJ$505,"&gt;"&amp;$A38,実績!$AL$6:$AL$505,"○")&gt;0,1,0))</f>
        <v>0</v>
      </c>
      <c r="BO38" s="39" t="n">
        <f aca="false">IF(BO$4=0,0,IF(COUNTIFS(実績!$W$6:$W$505,BO$3,実績!$AI$6:$AI$505,"&lt;="&amp;$A38,実績!$AJ$6:$AJ$505,"&gt;"&amp;$A38,実績!$AL$6:$AL$505,"○")&gt;0,1,0))</f>
        <v>0</v>
      </c>
      <c r="BP38" s="39" t="n">
        <f aca="false">IF(BP$4=0,0,IF(COUNTIFS(実績!$W$6:$W$505,BP$3,実績!$AI$6:$AI$505,"&lt;="&amp;$A38,実績!$AJ$6:$AJ$505,"&gt;"&amp;$A38,実績!$AL$6:$AL$505,"○")&gt;0,1,0))</f>
        <v>0</v>
      </c>
      <c r="BQ38" s="39" t="n">
        <f aca="false">IF(BQ$4=0,0,IF(COUNTIFS(実績!$W$6:$W$505,BQ$3,実績!$AI$6:$AI$505,"&lt;="&amp;$A38,実績!$AJ$6:$AJ$505,"&gt;"&amp;$A38,実績!$AL$6:$AL$505,"○")&gt;0,1,0))</f>
        <v>0</v>
      </c>
      <c r="BR38" s="39" t="n">
        <f aca="false">IF(BR$4=0,0,IF(COUNTIFS(実績!$W$6:$W$505,BR$3,実績!$AI$6:$AI$505,"&lt;="&amp;$A38,実績!$AJ$6:$AJ$505,"&gt;"&amp;$A38,実績!$AL$6:$AL$505,"○")&gt;0,1,0))</f>
        <v>0</v>
      </c>
      <c r="BS38" s="39" t="n">
        <f aca="false">IF(BS$4=0,0,IF(COUNTIFS(実績!$W$6:$W$505,BS$3,実績!$AI$6:$AI$505,"&lt;="&amp;$A38,実績!$AJ$6:$AJ$505,"&gt;"&amp;$A38,実績!$AL$6:$AL$505,"○")&gt;0,1,0))</f>
        <v>0</v>
      </c>
      <c r="BT38" s="39" t="n">
        <f aca="false">IF(BT$4=0,0,IF(COUNTIFS(実績!$W$6:$W$505,BT$3,実績!$AI$6:$AI$505,"&lt;="&amp;$A38,実績!$AJ$6:$AJ$505,"&gt;"&amp;$A38,実績!$AL$6:$AL$505,"○")&gt;0,1,0))</f>
        <v>0</v>
      </c>
      <c r="BU38" s="39" t="n">
        <f aca="false">IF(BU$4=0,0,IF(COUNTIFS(実績!$W$6:$W$505,BU$3,実績!$AI$6:$AI$505,"&lt;="&amp;$A38,実績!$AJ$6:$AJ$505,"&gt;"&amp;$A38,実績!$AL$6:$AL$505,"○")&gt;0,1,0))</f>
        <v>0</v>
      </c>
      <c r="BV38" s="39" t="n">
        <f aca="false">IF(BV$4=0,0,IF(COUNTIFS(実績!$W$6:$W$505,BV$3,実績!$AI$6:$AI$505,"&lt;="&amp;$A38,実績!$AJ$6:$AJ$505,"&gt;"&amp;$A38,実績!$AL$6:$AL$505,"○")&gt;0,1,0))</f>
        <v>0</v>
      </c>
      <c r="BW38" s="39" t="n">
        <f aca="false">IF(BW$4=0,0,IF(COUNTIFS(実績!$W$6:$W$505,BW$3,実績!$AI$6:$AI$505,"&lt;="&amp;$A38,実績!$AJ$6:$AJ$505,"&gt;"&amp;$A38,実績!$AL$6:$AL$505,"○")&gt;0,1,0))</f>
        <v>0</v>
      </c>
      <c r="BX38" s="39" t="n">
        <f aca="false">IF(BX$4=0,0,IF(COUNTIFS(実績!$W$6:$W$505,BX$3,実績!$AI$6:$AI$505,"&lt;="&amp;$A38,実績!$AJ$6:$AJ$505,"&gt;"&amp;$A38,実績!$AL$6:$AL$505,"○")&gt;0,1,0))</f>
        <v>0</v>
      </c>
      <c r="BY38" s="39" t="n">
        <f aca="false">IF(BY$4=0,0,IF(COUNTIFS(実績!$W$6:$W$505,BY$3,実績!$AI$6:$AI$505,"&lt;="&amp;$A38,実績!$AJ$6:$AJ$505,"&gt;"&amp;$A38,実績!$AL$6:$AL$505,"○")&gt;0,1,0))</f>
        <v>0</v>
      </c>
      <c r="BZ38" s="39" t="n">
        <f aca="false">IF(BZ$4=0,0,IF(COUNTIFS(実績!$W$6:$W$505,BZ$3,実績!$AI$6:$AI$505,"&lt;="&amp;$A38,実績!$AJ$6:$AJ$505,"&gt;"&amp;$A38,実績!$AL$6:$AL$505,"○")&gt;0,1,0))</f>
        <v>0</v>
      </c>
      <c r="CA38" s="39" t="n">
        <f aca="false">IF(CA$4=0,0,IF(COUNTIFS(実績!$W$6:$W$505,CA$3,実績!$AI$6:$AI$505,"&lt;="&amp;$A38,実績!$AJ$6:$AJ$505,"&gt;"&amp;$A38,実績!$AL$6:$AL$505,"○")&gt;0,1,0))</f>
        <v>0</v>
      </c>
      <c r="CB38" s="39" t="n">
        <f aca="false">IF(CB$4=0,0,IF(COUNTIFS(実績!$W$6:$W$505,CB$3,実績!$AI$6:$AI$505,"&lt;="&amp;$A38,実績!$AJ$6:$AJ$505,"&gt;"&amp;$A38,実績!$AL$6:$AL$505,"○")&gt;0,1,0))</f>
        <v>0</v>
      </c>
      <c r="CC38" s="39" t="n">
        <f aca="false">IF(CC$4=0,0,IF(COUNTIFS(実績!$W$6:$W$505,CC$3,実績!$AI$6:$AI$505,"&lt;="&amp;$A38,実績!$AJ$6:$AJ$505,"&gt;"&amp;$A38,実績!$AL$6:$AL$505,"○")&gt;0,1,0))</f>
        <v>0</v>
      </c>
      <c r="CD38" s="39" t="n">
        <f aca="false">IF(CD$4=0,0,IF(COUNTIFS(実績!$W$6:$W$505,CD$3,実績!$AI$6:$AI$505,"&lt;="&amp;$A38,実績!$AJ$6:$AJ$505,"&gt;"&amp;$A38,実績!$AL$6:$AL$505,"○")&gt;0,1,0))</f>
        <v>0</v>
      </c>
      <c r="CE38" s="39" t="n">
        <f aca="false">IF(CE$4=0,0,IF(COUNTIFS(実績!$W$6:$W$505,CE$3,実績!$AI$6:$AI$505,"&lt;="&amp;$A38,実績!$AJ$6:$AJ$505,"&gt;"&amp;$A38,実績!$AL$6:$AL$505,"○")&gt;0,1,0))</f>
        <v>0</v>
      </c>
      <c r="CF38" s="39" t="n">
        <f aca="false">IF(CF$4=0,0,IF(COUNTIFS(実績!$W$6:$W$505,CF$3,実績!$AI$6:$AI$505,"&lt;="&amp;$A38,実績!$AJ$6:$AJ$505,"&gt;"&amp;$A38,実績!$AL$6:$AL$505,"○")&gt;0,1,0))</f>
        <v>0</v>
      </c>
      <c r="CG38" s="39" t="n">
        <f aca="false">IF(CG$4=0,0,IF(COUNTIFS(実績!$W$6:$W$505,CG$3,実績!$AI$6:$AI$505,"&lt;="&amp;$A38,実績!$AJ$6:$AJ$505,"&gt;"&amp;$A38,実績!$AL$6:$AL$505,"○")&gt;0,1,0))</f>
        <v>0</v>
      </c>
      <c r="CH38" s="39" t="n">
        <f aca="false">IF(CH$4=0,0,IF(COUNTIFS(実績!$W$6:$W$505,CH$3,実績!$AI$6:$AI$505,"&lt;="&amp;$A38,実績!$AJ$6:$AJ$505,"&gt;"&amp;$A38,実績!$AL$6:$AL$505,"○")&gt;0,1,0))</f>
        <v>0</v>
      </c>
      <c r="CI38" s="39" t="n">
        <f aca="false">IF(CI$4=0,0,IF(COUNTIFS(実績!$W$6:$W$505,CI$3,実績!$AI$6:$AI$505,"&lt;="&amp;$A38,実績!$AJ$6:$AJ$505,"&gt;"&amp;$A38,実績!$AL$6:$AL$505,"○")&gt;0,1,0))</f>
        <v>0</v>
      </c>
      <c r="CJ38" s="39" t="n">
        <f aca="false">IF(CJ$4=0,0,IF(COUNTIFS(実績!$W$6:$W$505,CJ$3,実績!$AI$6:$AI$505,"&lt;="&amp;$A38,実績!$AJ$6:$AJ$505,"&gt;"&amp;$A38,実績!$AL$6:$AL$505,"○")&gt;0,1,0))</f>
        <v>0</v>
      </c>
      <c r="CK38" s="39" t="n">
        <f aca="false">IF(CK$4=0,0,IF(COUNTIFS(実績!$W$6:$W$505,CK$3,実績!$AI$6:$AI$505,"&lt;="&amp;$A38,実績!$AJ$6:$AJ$505,"&gt;"&amp;$A38,実績!$AL$6:$AL$505,"○")&gt;0,1,0))</f>
        <v>0</v>
      </c>
      <c r="CL38" s="39" t="n">
        <f aca="false">IF(CL$4=0,0,IF(COUNTIFS(実績!$W$6:$W$505,CL$3,実績!$AI$6:$AI$505,"&lt;="&amp;$A38,実績!$AJ$6:$AJ$505,"&gt;"&amp;$A38,実績!$AL$6:$AL$505,"○")&gt;0,1,0))</f>
        <v>0</v>
      </c>
      <c r="CM38" s="39" t="n">
        <f aca="false">IF(CM$4=0,0,IF(COUNTIFS(実績!$W$6:$W$505,CM$3,実績!$AI$6:$AI$505,"&lt;="&amp;$A38,実績!$AJ$6:$AJ$505,"&gt;"&amp;$A38,実績!$AL$6:$AL$505,"○")&gt;0,1,0))</f>
        <v>0</v>
      </c>
      <c r="CN38" s="39" t="n">
        <f aca="false">IF(CN$4=0,0,IF(COUNTIFS(実績!$W$6:$W$505,CN$3,実績!$AI$6:$AI$505,"&lt;="&amp;$A38,実績!$AJ$6:$AJ$505,"&gt;"&amp;$A38,実績!$AL$6:$AL$505,"○")&gt;0,1,0))</f>
        <v>0</v>
      </c>
      <c r="CO38" s="39" t="n">
        <f aca="false">IF(CO$4=0,0,IF(COUNTIFS(実績!$W$6:$W$505,CO$3,実績!$AI$6:$AI$505,"&lt;="&amp;$A38,実績!$AJ$6:$AJ$505,"&gt;"&amp;$A38,実績!$AL$6:$AL$505,"○")&gt;0,1,0))</f>
        <v>0</v>
      </c>
      <c r="CP38" s="39" t="n">
        <f aca="false">IF(CP$4=0,0,IF(COUNTIFS(実績!$W$6:$W$505,CP$3,実績!$AI$6:$AI$505,"&lt;="&amp;$A38,実績!$AJ$6:$AJ$505,"&gt;"&amp;$A38,実績!$AL$6:$AL$505,"○")&gt;0,1,0))</f>
        <v>0</v>
      </c>
      <c r="CQ38" s="39" t="n">
        <f aca="false">IF(CQ$4=0,0,IF(COUNTIFS(実績!$W$6:$W$505,CQ$3,実績!$AI$6:$AI$505,"&lt;="&amp;$A38,実績!$AJ$6:$AJ$505,"&gt;"&amp;$A38,実績!$AL$6:$AL$505,"○")&gt;0,1,0))</f>
        <v>0</v>
      </c>
      <c r="CR38" s="39" t="n">
        <f aca="false">IF(CR$4=0,0,IF(COUNTIFS(実績!$W$6:$W$505,CR$3,実績!$AI$6:$AI$505,"&lt;="&amp;$A38,実績!$AJ$6:$AJ$505,"&gt;"&amp;$A38,実績!$AL$6:$AL$505,"○")&gt;0,1,0))</f>
        <v>0</v>
      </c>
      <c r="CS38" s="39" t="n">
        <f aca="false">IF(CS$4=0,0,IF(COUNTIFS(実績!$W$6:$W$505,CS$3,実績!$AI$6:$AI$505,"&lt;="&amp;$A38,実績!$AJ$6:$AJ$505,"&gt;"&amp;$A38,実績!$AL$6:$AL$505,"○")&gt;0,1,0))</f>
        <v>0</v>
      </c>
      <c r="CT38" s="39" t="n">
        <f aca="false">IF(CT$4=0,0,IF(COUNTIFS(実績!$W$6:$W$505,CT$3,実績!$AI$6:$AI$505,"&lt;="&amp;$A38,実績!$AJ$6:$AJ$505,"&gt;"&amp;$A38,実績!$AL$6:$AL$505,"○")&gt;0,1,0))</f>
        <v>0</v>
      </c>
      <c r="CU38" s="39" t="n">
        <f aca="false">IF(CU$4=0,0,IF(COUNTIFS(実績!$W$6:$W$505,CU$3,実績!$AI$6:$AI$505,"&lt;="&amp;$A38,実績!$AJ$6:$AJ$505,"&gt;"&amp;$A38,実績!$AL$6:$AL$505,"○")&gt;0,1,0))</f>
        <v>0</v>
      </c>
      <c r="CV38" s="39" t="n">
        <f aca="false">IF(CV$4=0,0,IF(COUNTIFS(実績!$W$6:$W$505,CV$3,実績!$AI$6:$AI$505,"&lt;="&amp;$A38,実績!$AJ$6:$AJ$505,"&gt;"&amp;$A38,実績!$AL$6:$AL$505,"○")&gt;0,1,0))</f>
        <v>0</v>
      </c>
      <c r="CW38" s="39" t="n">
        <f aca="false">IF(CW$4=0,0,IF(COUNTIFS(実績!$W$6:$W$505,CW$3,実績!$AI$6:$AI$505,"&lt;="&amp;$A38,実績!$AJ$6:$AJ$505,"&gt;"&amp;$A38,実績!$AL$6:$AL$505,"○")&gt;0,1,0))</f>
        <v>0</v>
      </c>
      <c r="CX38" s="39" t="n">
        <f aca="false">IF(CX$4=0,0,IF(COUNTIFS(実績!$W$6:$W$505,CX$3,実績!$AI$6:$AI$505,"&lt;="&amp;$A38,実績!$AJ$6:$AJ$505,"&gt;"&amp;$A38,実績!$AL$6:$AL$505,"○")&gt;0,1,0))</f>
        <v>0</v>
      </c>
      <c r="CY38" s="39" t="n">
        <f aca="false">IF(CY$4=0,0,IF(COUNTIFS(実績!$W$6:$W$505,CY$3,実績!$AI$6:$AI$505,"&lt;="&amp;$A38,実績!$AJ$6:$AJ$505,"&gt;"&amp;$A38,実績!$AL$6:$AL$505,"○")&gt;0,1,0))</f>
        <v>0</v>
      </c>
      <c r="CZ38" s="39" t="n">
        <f aca="false">IF(CZ$4=0,0,IF(COUNTIFS(実績!$W$6:$W$505,CZ$3,実績!$AI$6:$AI$505,"&lt;="&amp;$A38,実績!$AJ$6:$AJ$505,"&gt;"&amp;$A38,実績!$AL$6:$AL$505,"○")&gt;0,1,0))</f>
        <v>0</v>
      </c>
      <c r="DA38" s="39" t="n">
        <f aca="false">IF(DA$4=0,0,IF(COUNTIFS(実績!$W$6:$W$505,DA$3,実績!$AI$6:$AI$505,"&lt;="&amp;$A38,実績!$AJ$6:$AJ$505,"&gt;"&amp;$A38,実績!$AL$6:$AL$505,"○")&gt;0,1,0))</f>
        <v>0</v>
      </c>
      <c r="DB38" s="39" t="n">
        <f aca="false">IF(DB$4=0,0,IF(COUNTIFS(実績!$W$6:$W$505,DB$3,実績!$AI$6:$AI$505,"&lt;="&amp;$A38,実績!$AJ$6:$AJ$505,"&gt;"&amp;$A38,実績!$AL$6:$AL$505,"○")&gt;0,1,0))</f>
        <v>0</v>
      </c>
      <c r="DC38" s="39" t="n">
        <f aca="false">IF(DC$4=0,0,IF(COUNTIFS(実績!$W$6:$W$505,DC$3,実績!$AI$6:$AI$505,"&lt;="&amp;$A38,実績!$AJ$6:$AJ$505,"&gt;"&amp;$A38,実績!$AL$6:$AL$505,"○")&gt;0,1,0))</f>
        <v>0</v>
      </c>
      <c r="DD38" s="39" t="n">
        <f aca="false">IF(DD$4=0,0,IF(COUNTIFS(実績!$W$6:$W$505,DD$3,実績!$AI$6:$AI$505,"&lt;="&amp;$A38,実績!$AJ$6:$AJ$505,"&gt;"&amp;$A38,実績!$AL$6:$AL$505,"○")&gt;0,1,0))</f>
        <v>0</v>
      </c>
      <c r="DE38" s="39" t="n">
        <f aca="false">IF(DE$4=0,0,IF(COUNTIFS(実績!$W$6:$W$505,DE$3,実績!$AI$6:$AI$505,"&lt;="&amp;$A38,実績!$AJ$6:$AJ$505,"&gt;"&amp;$A38,実績!$AL$6:$AL$505,"○")&gt;0,1,0))</f>
        <v>0</v>
      </c>
      <c r="DF38" s="39" t="n">
        <f aca="false">IF(DF$4=0,0,IF(COUNTIFS(実績!$W$6:$W$505,DF$3,実績!$AI$6:$AI$505,"&lt;="&amp;$A38,実績!$AJ$6:$AJ$505,"&gt;"&amp;$A38,実績!$AL$6:$AL$505,"○")&gt;0,1,0))</f>
        <v>0</v>
      </c>
      <c r="DG38" s="39" t="n">
        <f aca="false">IF(DG$4=0,0,IF(COUNTIFS(実績!$W$6:$W$505,DG$3,実績!$AI$6:$AI$505,"&lt;="&amp;$A38,実績!$AJ$6:$AJ$505,"&gt;"&amp;$A38,実績!$AL$6:$AL$505,"○")&gt;0,1,0))</f>
        <v>0</v>
      </c>
      <c r="DH38" s="39" t="n">
        <f aca="false">IF(DH$4=0,0,IF(COUNTIFS(実績!$W$6:$W$505,DH$3,実績!$AI$6:$AI$505,"&lt;="&amp;$A38,実績!$AJ$6:$AJ$505,"&gt;"&amp;$A38,実績!$AL$6:$AL$505,"○")&gt;0,1,0))</f>
        <v>0</v>
      </c>
      <c r="DI38" s="39" t="n">
        <f aca="false">IF(DI$4=0,0,IF(COUNTIFS(実績!$W$6:$W$505,DI$3,実績!$AI$6:$AI$505,"&lt;="&amp;$A38,実績!$AJ$6:$AJ$505,"&gt;"&amp;$A38,実績!$AL$6:$AL$505,"○")&gt;0,1,0))</f>
        <v>0</v>
      </c>
      <c r="DJ38" s="39" t="n">
        <f aca="false">IF(DJ$4=0,0,IF(COUNTIFS(実績!$W$6:$W$505,DJ$3,実績!$AI$6:$AI$505,"&lt;="&amp;$A38,実績!$AJ$6:$AJ$505,"&gt;"&amp;$A38,実績!$AL$6:$AL$505,"○")&gt;0,1,0))</f>
        <v>0</v>
      </c>
      <c r="DK38" s="39" t="n">
        <f aca="false">IF(DK$4=0,0,IF(COUNTIFS(実績!$W$6:$W$505,DK$3,実績!$AI$6:$AI$505,"&lt;="&amp;$A38,実績!$AJ$6:$AJ$505,"&gt;"&amp;$A38,実績!$AL$6:$AL$505,"○")&gt;0,1,0))</f>
        <v>0</v>
      </c>
      <c r="DL38" s="39" t="n">
        <f aca="false">IF(DL$4=0,0,IF(COUNTIFS(実績!$W$6:$W$505,DL$3,実績!$AI$6:$AI$505,"&lt;="&amp;$A38,実績!$AJ$6:$AJ$505,"&gt;"&amp;$A38,実績!$AL$6:$AL$505,"○")&gt;0,1,0))</f>
        <v>0</v>
      </c>
      <c r="DM38" s="39" t="n">
        <f aca="false">IF(DM$4=0,0,IF(COUNTIFS(実績!$W$6:$W$505,DM$3,実績!$AI$6:$AI$505,"&lt;="&amp;$A38,実績!$AJ$6:$AJ$505,"&gt;"&amp;$A38,実績!$AL$6:$AL$505,"○")&gt;0,1,0))</f>
        <v>0</v>
      </c>
      <c r="DN38" s="39" t="n">
        <f aca="false">IF(DN$4=0,0,IF(COUNTIFS(実績!$W$6:$W$505,DN$3,実績!$AI$6:$AI$505,"&lt;="&amp;$A38,実績!$AJ$6:$AJ$505,"&gt;"&amp;$A38,実績!$AL$6:$AL$505,"○")&gt;0,1,0))</f>
        <v>0</v>
      </c>
      <c r="DO38" s="39" t="n">
        <f aca="false">IF(DO$4=0,0,IF(COUNTIFS(実績!$W$6:$W$505,DO$3,実績!$AI$6:$AI$505,"&lt;="&amp;$A38,実績!$AJ$6:$AJ$505,"&gt;"&amp;$A38,実績!$AL$6:$AL$505,"○")&gt;0,1,0))</f>
        <v>0</v>
      </c>
      <c r="DP38" s="39" t="n">
        <f aca="false">IF(DP$4=0,0,IF(COUNTIFS(実績!$W$6:$W$505,DP$3,実績!$AI$6:$AI$505,"&lt;="&amp;$A38,実績!$AJ$6:$AJ$505,"&gt;"&amp;$A38,実績!$AL$6:$AL$505,"○")&gt;0,1,0))</f>
        <v>0</v>
      </c>
      <c r="DQ38" s="39" t="n">
        <f aca="false">IF(DQ$4=0,0,IF(COUNTIFS(実績!$W$6:$W$505,DQ$3,実績!$AI$6:$AI$505,"&lt;="&amp;$A38,実績!$AJ$6:$AJ$505,"&gt;"&amp;$A38,実績!$AL$6:$AL$505,"○")&gt;0,1,0))</f>
        <v>0</v>
      </c>
      <c r="DR38" s="39" t="n">
        <f aca="false">IF(DR$4=0,0,IF(COUNTIFS(実績!$W$6:$W$505,DR$3,実績!$AI$6:$AI$505,"&lt;="&amp;$A38,実績!$AJ$6:$AJ$505,"&gt;"&amp;$A38,実績!$AL$6:$AL$505,"○")&gt;0,1,0))</f>
        <v>0</v>
      </c>
      <c r="DS38" s="39" t="n">
        <f aca="false">SUM(C38:DR38)</f>
        <v>0</v>
      </c>
    </row>
    <row r="39" customFormat="false" ht="15" hidden="false" customHeight="false" outlineLevel="0" collapsed="false">
      <c r="A39" s="0" t="n">
        <v>165</v>
      </c>
      <c r="B39" s="38" t="n">
        <f aca="false">A39/1440</f>
        <v>0.114583333333333</v>
      </c>
      <c r="C39" s="39" t="n">
        <f aca="false">IF(C$4=0,0,IF(COUNTIFS(実績!$W$6:$W$505,C$3,実績!$AI$6:$AI$505,"&lt;="&amp;$A39,実績!$AJ$6:$AJ$505,"&gt;"&amp;$A39,実績!$AL$6:$AL$505,"○")&gt;0,1,0))</f>
        <v>0</v>
      </c>
      <c r="D39" s="39" t="n">
        <f aca="false">IF(D$4=0,0,IF(COUNTIFS(実績!$W$6:$W$505,D$3,実績!$AI$6:$AI$505,"&lt;="&amp;$A39,実績!$AJ$6:$AJ$505,"&gt;"&amp;$A39,実績!$AL$6:$AL$505,"○")&gt;0,1,0))</f>
        <v>0</v>
      </c>
      <c r="E39" s="39" t="n">
        <f aca="false">IF(E$4=0,0,IF(COUNTIFS(実績!$W$6:$W$505,E$3,実績!$AI$6:$AI$505,"&lt;="&amp;$A39,実績!$AJ$6:$AJ$505,"&gt;"&amp;$A39,実績!$AL$6:$AL$505,"○")&gt;0,1,0))</f>
        <v>0</v>
      </c>
      <c r="F39" s="39" t="n">
        <f aca="false">IF(F$4=0,0,IF(COUNTIFS(実績!$W$6:$W$505,F$3,実績!$AI$6:$AI$505,"&lt;="&amp;$A39,実績!$AJ$6:$AJ$505,"&gt;"&amp;$A39,実績!$AL$6:$AL$505,"○")&gt;0,1,0))</f>
        <v>0</v>
      </c>
      <c r="G39" s="39" t="n">
        <f aca="false">IF(G$4=0,0,IF(COUNTIFS(実績!$W$6:$W$505,G$3,実績!$AI$6:$AI$505,"&lt;="&amp;$A39,実績!$AJ$6:$AJ$505,"&gt;"&amp;$A39,実績!$AL$6:$AL$505,"○")&gt;0,1,0))</f>
        <v>0</v>
      </c>
      <c r="H39" s="39" t="n">
        <f aca="false">IF(H$4=0,0,IF(COUNTIFS(実績!$W$6:$W$505,H$3,実績!$AI$6:$AI$505,"&lt;="&amp;$A39,実績!$AJ$6:$AJ$505,"&gt;"&amp;$A39,実績!$AL$6:$AL$505,"○")&gt;0,1,0))</f>
        <v>0</v>
      </c>
      <c r="I39" s="39" t="n">
        <f aca="false">IF(I$4=0,0,IF(COUNTIFS(実績!$W$6:$W$505,I$3,実績!$AI$6:$AI$505,"&lt;="&amp;$A39,実績!$AJ$6:$AJ$505,"&gt;"&amp;$A39,実績!$AL$6:$AL$505,"○")&gt;0,1,0))</f>
        <v>0</v>
      </c>
      <c r="J39" s="39" t="n">
        <f aca="false">IF(J$4=0,0,IF(COUNTIFS(実績!$W$6:$W$505,J$3,実績!$AI$6:$AI$505,"&lt;="&amp;$A39,実績!$AJ$6:$AJ$505,"&gt;"&amp;$A39,実績!$AL$6:$AL$505,"○")&gt;0,1,0))</f>
        <v>0</v>
      </c>
      <c r="K39" s="39" t="n">
        <f aca="false">IF(K$4=0,0,IF(COUNTIFS(実績!$W$6:$W$505,K$3,実績!$AI$6:$AI$505,"&lt;="&amp;$A39,実績!$AJ$6:$AJ$505,"&gt;"&amp;$A39,実績!$AL$6:$AL$505,"○")&gt;0,1,0))</f>
        <v>0</v>
      </c>
      <c r="L39" s="39" t="n">
        <f aca="false">IF(L$4=0,0,IF(COUNTIFS(実績!$W$6:$W$505,L$3,実績!$AI$6:$AI$505,"&lt;="&amp;$A39,実績!$AJ$6:$AJ$505,"&gt;"&amp;$A39,実績!$AL$6:$AL$505,"○")&gt;0,1,0))</f>
        <v>0</v>
      </c>
      <c r="M39" s="39" t="n">
        <f aca="false">IF(M$4=0,0,IF(COUNTIFS(実績!$W$6:$W$505,M$3,実績!$AI$6:$AI$505,"&lt;="&amp;$A39,実績!$AJ$6:$AJ$505,"&gt;"&amp;$A39,実績!$AL$6:$AL$505,"○")&gt;0,1,0))</f>
        <v>0</v>
      </c>
      <c r="N39" s="39" t="n">
        <f aca="false">IF(N$4=0,0,IF(COUNTIFS(実績!$W$6:$W$505,N$3,実績!$AI$6:$AI$505,"&lt;="&amp;$A39,実績!$AJ$6:$AJ$505,"&gt;"&amp;$A39,実績!$AL$6:$AL$505,"○")&gt;0,1,0))</f>
        <v>0</v>
      </c>
      <c r="O39" s="39" t="n">
        <f aca="false">IF(O$4=0,0,IF(COUNTIFS(実績!$W$6:$W$505,O$3,実績!$AI$6:$AI$505,"&lt;="&amp;$A39,実績!$AJ$6:$AJ$505,"&gt;"&amp;$A39,実績!$AL$6:$AL$505,"○")&gt;0,1,0))</f>
        <v>0</v>
      </c>
      <c r="P39" s="39" t="n">
        <f aca="false">IF(P$4=0,0,IF(COUNTIFS(実績!$W$6:$W$505,P$3,実績!$AI$6:$AI$505,"&lt;="&amp;$A39,実績!$AJ$6:$AJ$505,"&gt;"&amp;$A39,実績!$AL$6:$AL$505,"○")&gt;0,1,0))</f>
        <v>0</v>
      </c>
      <c r="Q39" s="39" t="n">
        <f aca="false">IF(Q$4=0,0,IF(COUNTIFS(実績!$W$6:$W$505,Q$3,実績!$AI$6:$AI$505,"&lt;="&amp;$A39,実績!$AJ$6:$AJ$505,"&gt;"&amp;$A39,実績!$AL$6:$AL$505,"○")&gt;0,1,0))</f>
        <v>0</v>
      </c>
      <c r="R39" s="39" t="n">
        <f aca="false">IF(R$4=0,0,IF(COUNTIFS(実績!$W$6:$W$505,R$3,実績!$AI$6:$AI$505,"&lt;="&amp;$A39,実績!$AJ$6:$AJ$505,"&gt;"&amp;$A39,実績!$AL$6:$AL$505,"○")&gt;0,1,0))</f>
        <v>0</v>
      </c>
      <c r="S39" s="39" t="n">
        <f aca="false">IF(S$4=0,0,IF(COUNTIFS(実績!$W$6:$W$505,S$3,実績!$AI$6:$AI$505,"&lt;="&amp;$A39,実績!$AJ$6:$AJ$505,"&gt;"&amp;$A39,実績!$AL$6:$AL$505,"○")&gt;0,1,0))</f>
        <v>0</v>
      </c>
      <c r="T39" s="39" t="n">
        <f aca="false">IF(T$4=0,0,IF(COUNTIFS(実績!$W$6:$W$505,T$3,実績!$AI$6:$AI$505,"&lt;="&amp;$A39,実績!$AJ$6:$AJ$505,"&gt;"&amp;$A39,実績!$AL$6:$AL$505,"○")&gt;0,1,0))</f>
        <v>0</v>
      </c>
      <c r="U39" s="39" t="n">
        <f aca="false">IF(U$4=0,0,IF(COUNTIFS(実績!$W$6:$W$505,U$3,実績!$AI$6:$AI$505,"&lt;="&amp;$A39,実績!$AJ$6:$AJ$505,"&gt;"&amp;$A39,実績!$AL$6:$AL$505,"○")&gt;0,1,0))</f>
        <v>0</v>
      </c>
      <c r="V39" s="39" t="n">
        <f aca="false">IF(V$4=0,0,IF(COUNTIFS(実績!$W$6:$W$505,V$3,実績!$AI$6:$AI$505,"&lt;="&amp;$A39,実績!$AJ$6:$AJ$505,"&gt;"&amp;$A39,実績!$AL$6:$AL$505,"○")&gt;0,1,0))</f>
        <v>0</v>
      </c>
      <c r="W39" s="39" t="n">
        <f aca="false">IF(W$4=0,0,IF(COUNTIFS(実績!$W$6:$W$505,W$3,実績!$AI$6:$AI$505,"&lt;="&amp;$A39,実績!$AJ$6:$AJ$505,"&gt;"&amp;$A39,実績!$AL$6:$AL$505,"○")&gt;0,1,0))</f>
        <v>0</v>
      </c>
      <c r="X39" s="39" t="n">
        <f aca="false">IF(X$4=0,0,IF(COUNTIFS(実績!$W$6:$W$505,X$3,実績!$AI$6:$AI$505,"&lt;="&amp;$A39,実績!$AJ$6:$AJ$505,"&gt;"&amp;$A39,実績!$AL$6:$AL$505,"○")&gt;0,1,0))</f>
        <v>0</v>
      </c>
      <c r="Y39" s="39" t="n">
        <f aca="false">IF(Y$4=0,0,IF(COUNTIFS(実績!$W$6:$W$505,Y$3,実績!$AI$6:$AI$505,"&lt;="&amp;$A39,実績!$AJ$6:$AJ$505,"&gt;"&amp;$A39,実績!$AL$6:$AL$505,"○")&gt;0,1,0))</f>
        <v>0</v>
      </c>
      <c r="Z39" s="39" t="n">
        <f aca="false">IF(Z$4=0,0,IF(COUNTIFS(実績!$W$6:$W$505,Z$3,実績!$AI$6:$AI$505,"&lt;="&amp;$A39,実績!$AJ$6:$AJ$505,"&gt;"&amp;$A39,実績!$AL$6:$AL$505,"○")&gt;0,1,0))</f>
        <v>0</v>
      </c>
      <c r="AA39" s="39" t="n">
        <f aca="false">IF(AA$4=0,0,IF(COUNTIFS(実績!$W$6:$W$505,AA$3,実績!$AI$6:$AI$505,"&lt;="&amp;$A39,実績!$AJ$6:$AJ$505,"&gt;"&amp;$A39,実績!$AL$6:$AL$505,"○")&gt;0,1,0))</f>
        <v>0</v>
      </c>
      <c r="AB39" s="39" t="n">
        <f aca="false">IF(AB$4=0,0,IF(COUNTIFS(実績!$W$6:$W$505,AB$3,実績!$AI$6:$AI$505,"&lt;="&amp;$A39,実績!$AJ$6:$AJ$505,"&gt;"&amp;$A39,実績!$AL$6:$AL$505,"○")&gt;0,1,0))</f>
        <v>0</v>
      </c>
      <c r="AC39" s="39" t="n">
        <f aca="false">IF(AC$4=0,0,IF(COUNTIFS(実績!$W$6:$W$505,AC$3,実績!$AI$6:$AI$505,"&lt;="&amp;$A39,実績!$AJ$6:$AJ$505,"&gt;"&amp;$A39,実績!$AL$6:$AL$505,"○")&gt;0,1,0))</f>
        <v>0</v>
      </c>
      <c r="AD39" s="39" t="n">
        <f aca="false">IF(AD$4=0,0,IF(COUNTIFS(実績!$W$6:$W$505,AD$3,実績!$AI$6:$AI$505,"&lt;="&amp;$A39,実績!$AJ$6:$AJ$505,"&gt;"&amp;$A39,実績!$AL$6:$AL$505,"○")&gt;0,1,0))</f>
        <v>0</v>
      </c>
      <c r="AE39" s="39" t="n">
        <f aca="false">IF(AE$4=0,0,IF(COUNTIFS(実績!$W$6:$W$505,AE$3,実績!$AI$6:$AI$505,"&lt;="&amp;$A39,実績!$AJ$6:$AJ$505,"&gt;"&amp;$A39,実績!$AL$6:$AL$505,"○")&gt;0,1,0))</f>
        <v>0</v>
      </c>
      <c r="AF39" s="39" t="n">
        <f aca="false">IF(AF$4=0,0,IF(COUNTIFS(実績!$W$6:$W$505,AF$3,実績!$AI$6:$AI$505,"&lt;="&amp;$A39,実績!$AJ$6:$AJ$505,"&gt;"&amp;$A39,実績!$AL$6:$AL$505,"○")&gt;0,1,0))</f>
        <v>0</v>
      </c>
      <c r="AG39" s="39" t="n">
        <f aca="false">IF(AG$4=0,0,IF(COUNTIFS(実績!$W$6:$W$505,AG$3,実績!$AI$6:$AI$505,"&lt;="&amp;$A39,実績!$AJ$6:$AJ$505,"&gt;"&amp;$A39,実績!$AL$6:$AL$505,"○")&gt;0,1,0))</f>
        <v>0</v>
      </c>
      <c r="AH39" s="39" t="n">
        <f aca="false">IF(AH$4=0,0,IF(COUNTIFS(実績!$W$6:$W$505,AH$3,実績!$AI$6:$AI$505,"&lt;="&amp;$A39,実績!$AJ$6:$AJ$505,"&gt;"&amp;$A39,実績!$AL$6:$AL$505,"○")&gt;0,1,0))</f>
        <v>0</v>
      </c>
      <c r="AI39" s="39" t="n">
        <f aca="false">IF(AI$4=0,0,IF(COUNTIFS(実績!$W$6:$W$505,AI$3,実績!$AI$6:$AI$505,"&lt;="&amp;$A39,実績!$AJ$6:$AJ$505,"&gt;"&amp;$A39,実績!$AL$6:$AL$505,"○")&gt;0,1,0))</f>
        <v>0</v>
      </c>
      <c r="AJ39" s="39" t="n">
        <f aca="false">IF(AJ$4=0,0,IF(COUNTIFS(実績!$W$6:$W$505,AJ$3,実績!$AI$6:$AI$505,"&lt;="&amp;$A39,実績!$AJ$6:$AJ$505,"&gt;"&amp;$A39,実績!$AL$6:$AL$505,"○")&gt;0,1,0))</f>
        <v>0</v>
      </c>
      <c r="AK39" s="39" t="n">
        <f aca="false">IF(AK$4=0,0,IF(COUNTIFS(実績!$W$6:$W$505,AK$3,実績!$AI$6:$AI$505,"&lt;="&amp;$A39,実績!$AJ$6:$AJ$505,"&gt;"&amp;$A39,実績!$AL$6:$AL$505,"○")&gt;0,1,0))</f>
        <v>0</v>
      </c>
      <c r="AL39" s="39" t="n">
        <f aca="false">IF(AL$4=0,0,IF(COUNTIFS(実績!$W$6:$W$505,AL$3,実績!$AI$6:$AI$505,"&lt;="&amp;$A39,実績!$AJ$6:$AJ$505,"&gt;"&amp;$A39,実績!$AL$6:$AL$505,"○")&gt;0,1,0))</f>
        <v>0</v>
      </c>
      <c r="AM39" s="39" t="n">
        <f aca="false">IF(AM$4=0,0,IF(COUNTIFS(実績!$W$6:$W$505,AM$3,実績!$AI$6:$AI$505,"&lt;="&amp;$A39,実績!$AJ$6:$AJ$505,"&gt;"&amp;$A39,実績!$AL$6:$AL$505,"○")&gt;0,1,0))</f>
        <v>0</v>
      </c>
      <c r="AN39" s="39" t="n">
        <f aca="false">IF(AN$4=0,0,IF(COUNTIFS(実績!$W$6:$W$505,AN$3,実績!$AI$6:$AI$505,"&lt;="&amp;$A39,実績!$AJ$6:$AJ$505,"&gt;"&amp;$A39,実績!$AL$6:$AL$505,"○")&gt;0,1,0))</f>
        <v>0</v>
      </c>
      <c r="AO39" s="39" t="n">
        <f aca="false">IF(AO$4=0,0,IF(COUNTIFS(実績!$W$6:$W$505,AO$3,実績!$AI$6:$AI$505,"&lt;="&amp;$A39,実績!$AJ$6:$AJ$505,"&gt;"&amp;$A39,実績!$AL$6:$AL$505,"○")&gt;0,1,0))</f>
        <v>0</v>
      </c>
      <c r="AP39" s="39" t="n">
        <f aca="false">IF(AP$4=0,0,IF(COUNTIFS(実績!$W$6:$W$505,AP$3,実績!$AI$6:$AI$505,"&lt;="&amp;$A39,実績!$AJ$6:$AJ$505,"&gt;"&amp;$A39,実績!$AL$6:$AL$505,"○")&gt;0,1,0))</f>
        <v>0</v>
      </c>
      <c r="AQ39" s="39" t="n">
        <f aca="false">IF(AQ$4=0,0,IF(COUNTIFS(実績!$W$6:$W$505,AQ$3,実績!$AI$6:$AI$505,"&lt;="&amp;$A39,実績!$AJ$6:$AJ$505,"&gt;"&amp;$A39,実績!$AL$6:$AL$505,"○")&gt;0,1,0))</f>
        <v>0</v>
      </c>
      <c r="AR39" s="39" t="n">
        <f aca="false">IF(AR$4=0,0,IF(COUNTIFS(実績!$W$6:$W$505,AR$3,実績!$AI$6:$AI$505,"&lt;="&amp;$A39,実績!$AJ$6:$AJ$505,"&gt;"&amp;$A39,実績!$AL$6:$AL$505,"○")&gt;0,1,0))</f>
        <v>0</v>
      </c>
      <c r="AS39" s="39" t="n">
        <f aca="false">IF(AS$4=0,0,IF(COUNTIFS(実績!$W$6:$W$505,AS$3,実績!$AI$6:$AI$505,"&lt;="&amp;$A39,実績!$AJ$6:$AJ$505,"&gt;"&amp;$A39,実績!$AL$6:$AL$505,"○")&gt;0,1,0))</f>
        <v>0</v>
      </c>
      <c r="AT39" s="39" t="n">
        <f aca="false">IF(AT$4=0,0,IF(COUNTIFS(実績!$W$6:$W$505,AT$3,実績!$AI$6:$AI$505,"&lt;="&amp;$A39,実績!$AJ$6:$AJ$505,"&gt;"&amp;$A39,実績!$AL$6:$AL$505,"○")&gt;0,1,0))</f>
        <v>0</v>
      </c>
      <c r="AU39" s="39" t="n">
        <f aca="false">IF(AU$4=0,0,IF(COUNTIFS(実績!$W$6:$W$505,AU$3,実績!$AI$6:$AI$505,"&lt;="&amp;$A39,実績!$AJ$6:$AJ$505,"&gt;"&amp;$A39,実績!$AL$6:$AL$505,"○")&gt;0,1,0))</f>
        <v>0</v>
      </c>
      <c r="AV39" s="39" t="n">
        <f aca="false">IF(AV$4=0,0,IF(COUNTIFS(実績!$W$6:$W$505,AV$3,実績!$AI$6:$AI$505,"&lt;="&amp;$A39,実績!$AJ$6:$AJ$505,"&gt;"&amp;$A39,実績!$AL$6:$AL$505,"○")&gt;0,1,0))</f>
        <v>0</v>
      </c>
      <c r="AW39" s="39" t="n">
        <f aca="false">IF(AW$4=0,0,IF(COUNTIFS(実績!$W$6:$W$505,AW$3,実績!$AI$6:$AI$505,"&lt;="&amp;$A39,実績!$AJ$6:$AJ$505,"&gt;"&amp;$A39,実績!$AL$6:$AL$505,"○")&gt;0,1,0))</f>
        <v>0</v>
      </c>
      <c r="AX39" s="39" t="n">
        <f aca="false">IF(AX$4=0,0,IF(COUNTIFS(実績!$W$6:$W$505,AX$3,実績!$AI$6:$AI$505,"&lt;="&amp;$A39,実績!$AJ$6:$AJ$505,"&gt;"&amp;$A39,実績!$AL$6:$AL$505,"○")&gt;0,1,0))</f>
        <v>0</v>
      </c>
      <c r="AY39" s="39" t="n">
        <f aca="false">IF(AY$4=0,0,IF(COUNTIFS(実績!$W$6:$W$505,AY$3,実績!$AI$6:$AI$505,"&lt;="&amp;$A39,実績!$AJ$6:$AJ$505,"&gt;"&amp;$A39,実績!$AL$6:$AL$505,"○")&gt;0,1,0))</f>
        <v>0</v>
      </c>
      <c r="AZ39" s="39" t="n">
        <f aca="false">IF(AZ$4=0,0,IF(COUNTIFS(実績!$W$6:$W$505,AZ$3,実績!$AI$6:$AI$505,"&lt;="&amp;$A39,実績!$AJ$6:$AJ$505,"&gt;"&amp;$A39,実績!$AL$6:$AL$505,"○")&gt;0,1,0))</f>
        <v>0</v>
      </c>
      <c r="BA39" s="39" t="n">
        <f aca="false">IF(BA$4=0,0,IF(COUNTIFS(実績!$W$6:$W$505,BA$3,実績!$AI$6:$AI$505,"&lt;="&amp;$A39,実績!$AJ$6:$AJ$505,"&gt;"&amp;$A39,実績!$AL$6:$AL$505,"○")&gt;0,1,0))</f>
        <v>0</v>
      </c>
      <c r="BB39" s="39" t="n">
        <f aca="false">IF(BB$4=0,0,IF(COUNTIFS(実績!$W$6:$W$505,BB$3,実績!$AI$6:$AI$505,"&lt;="&amp;$A39,実績!$AJ$6:$AJ$505,"&gt;"&amp;$A39,実績!$AL$6:$AL$505,"○")&gt;0,1,0))</f>
        <v>0</v>
      </c>
      <c r="BC39" s="39" t="n">
        <f aca="false">IF(BC$4=0,0,IF(COUNTIFS(実績!$W$6:$W$505,BC$3,実績!$AI$6:$AI$505,"&lt;="&amp;$A39,実績!$AJ$6:$AJ$505,"&gt;"&amp;$A39,実績!$AL$6:$AL$505,"○")&gt;0,1,0))</f>
        <v>0</v>
      </c>
      <c r="BD39" s="39" t="n">
        <f aca="false">IF(BD$4=0,0,IF(COUNTIFS(実績!$W$6:$W$505,BD$3,実績!$AI$6:$AI$505,"&lt;="&amp;$A39,実績!$AJ$6:$AJ$505,"&gt;"&amp;$A39,実績!$AL$6:$AL$505,"○")&gt;0,1,0))</f>
        <v>0</v>
      </c>
      <c r="BE39" s="39" t="n">
        <f aca="false">IF(BE$4=0,0,IF(COUNTIFS(実績!$W$6:$W$505,BE$3,実績!$AI$6:$AI$505,"&lt;="&amp;$A39,実績!$AJ$6:$AJ$505,"&gt;"&amp;$A39,実績!$AL$6:$AL$505,"○")&gt;0,1,0))</f>
        <v>0</v>
      </c>
      <c r="BF39" s="39" t="n">
        <f aca="false">IF(BF$4=0,0,IF(COUNTIFS(実績!$W$6:$W$505,BF$3,実績!$AI$6:$AI$505,"&lt;="&amp;$A39,実績!$AJ$6:$AJ$505,"&gt;"&amp;$A39,実績!$AL$6:$AL$505,"○")&gt;0,1,0))</f>
        <v>0</v>
      </c>
      <c r="BG39" s="39" t="n">
        <f aca="false">IF(BG$4=0,0,IF(COUNTIFS(実績!$W$6:$W$505,BG$3,実績!$AI$6:$AI$505,"&lt;="&amp;$A39,実績!$AJ$6:$AJ$505,"&gt;"&amp;$A39,実績!$AL$6:$AL$505,"○")&gt;0,1,0))</f>
        <v>0</v>
      </c>
      <c r="BH39" s="39" t="n">
        <f aca="false">IF(BH$4=0,0,IF(COUNTIFS(実績!$W$6:$W$505,BH$3,実績!$AI$6:$AI$505,"&lt;="&amp;$A39,実績!$AJ$6:$AJ$505,"&gt;"&amp;$A39,実績!$AL$6:$AL$505,"○")&gt;0,1,0))</f>
        <v>0</v>
      </c>
      <c r="BI39" s="39" t="n">
        <f aca="false">IF(BI$4=0,0,IF(COUNTIFS(実績!$W$6:$W$505,BI$3,実績!$AI$6:$AI$505,"&lt;="&amp;$A39,実績!$AJ$6:$AJ$505,"&gt;"&amp;$A39,実績!$AL$6:$AL$505,"○")&gt;0,1,0))</f>
        <v>0</v>
      </c>
      <c r="BJ39" s="39" t="n">
        <f aca="false">IF(BJ$4=0,0,IF(COUNTIFS(実績!$W$6:$W$505,BJ$3,実績!$AI$6:$AI$505,"&lt;="&amp;$A39,実績!$AJ$6:$AJ$505,"&gt;"&amp;$A39,実績!$AL$6:$AL$505,"○")&gt;0,1,0))</f>
        <v>0</v>
      </c>
      <c r="BK39" s="39" t="n">
        <f aca="false">IF(BK$4=0,0,IF(COUNTIFS(実績!$W$6:$W$505,BK$3,実績!$AI$6:$AI$505,"&lt;="&amp;$A39,実績!$AJ$6:$AJ$505,"&gt;"&amp;$A39,実績!$AL$6:$AL$505,"○")&gt;0,1,0))</f>
        <v>0</v>
      </c>
      <c r="BL39" s="39" t="n">
        <f aca="false">IF(BL$4=0,0,IF(COUNTIFS(実績!$W$6:$W$505,BL$3,実績!$AI$6:$AI$505,"&lt;="&amp;$A39,実績!$AJ$6:$AJ$505,"&gt;"&amp;$A39,実績!$AL$6:$AL$505,"○")&gt;0,1,0))</f>
        <v>0</v>
      </c>
      <c r="BM39" s="39" t="n">
        <f aca="false">IF(BM$4=0,0,IF(COUNTIFS(実績!$W$6:$W$505,BM$3,実績!$AI$6:$AI$505,"&lt;="&amp;$A39,実績!$AJ$6:$AJ$505,"&gt;"&amp;$A39,実績!$AL$6:$AL$505,"○")&gt;0,1,0))</f>
        <v>0</v>
      </c>
      <c r="BN39" s="39" t="n">
        <f aca="false">IF(BN$4=0,0,IF(COUNTIFS(実績!$W$6:$W$505,BN$3,実績!$AI$6:$AI$505,"&lt;="&amp;$A39,実績!$AJ$6:$AJ$505,"&gt;"&amp;$A39,実績!$AL$6:$AL$505,"○")&gt;0,1,0))</f>
        <v>0</v>
      </c>
      <c r="BO39" s="39" t="n">
        <f aca="false">IF(BO$4=0,0,IF(COUNTIFS(実績!$W$6:$W$505,BO$3,実績!$AI$6:$AI$505,"&lt;="&amp;$A39,実績!$AJ$6:$AJ$505,"&gt;"&amp;$A39,実績!$AL$6:$AL$505,"○")&gt;0,1,0))</f>
        <v>0</v>
      </c>
      <c r="BP39" s="39" t="n">
        <f aca="false">IF(BP$4=0,0,IF(COUNTIFS(実績!$W$6:$W$505,BP$3,実績!$AI$6:$AI$505,"&lt;="&amp;$A39,実績!$AJ$6:$AJ$505,"&gt;"&amp;$A39,実績!$AL$6:$AL$505,"○")&gt;0,1,0))</f>
        <v>0</v>
      </c>
      <c r="BQ39" s="39" t="n">
        <f aca="false">IF(BQ$4=0,0,IF(COUNTIFS(実績!$W$6:$W$505,BQ$3,実績!$AI$6:$AI$505,"&lt;="&amp;$A39,実績!$AJ$6:$AJ$505,"&gt;"&amp;$A39,実績!$AL$6:$AL$505,"○")&gt;0,1,0))</f>
        <v>0</v>
      </c>
      <c r="BR39" s="39" t="n">
        <f aca="false">IF(BR$4=0,0,IF(COUNTIFS(実績!$W$6:$W$505,BR$3,実績!$AI$6:$AI$505,"&lt;="&amp;$A39,実績!$AJ$6:$AJ$505,"&gt;"&amp;$A39,実績!$AL$6:$AL$505,"○")&gt;0,1,0))</f>
        <v>0</v>
      </c>
      <c r="BS39" s="39" t="n">
        <f aca="false">IF(BS$4=0,0,IF(COUNTIFS(実績!$W$6:$W$505,BS$3,実績!$AI$6:$AI$505,"&lt;="&amp;$A39,実績!$AJ$6:$AJ$505,"&gt;"&amp;$A39,実績!$AL$6:$AL$505,"○")&gt;0,1,0))</f>
        <v>0</v>
      </c>
      <c r="BT39" s="39" t="n">
        <f aca="false">IF(BT$4=0,0,IF(COUNTIFS(実績!$W$6:$W$505,BT$3,実績!$AI$6:$AI$505,"&lt;="&amp;$A39,実績!$AJ$6:$AJ$505,"&gt;"&amp;$A39,実績!$AL$6:$AL$505,"○")&gt;0,1,0))</f>
        <v>0</v>
      </c>
      <c r="BU39" s="39" t="n">
        <f aca="false">IF(BU$4=0,0,IF(COUNTIFS(実績!$W$6:$W$505,BU$3,実績!$AI$6:$AI$505,"&lt;="&amp;$A39,実績!$AJ$6:$AJ$505,"&gt;"&amp;$A39,実績!$AL$6:$AL$505,"○")&gt;0,1,0))</f>
        <v>0</v>
      </c>
      <c r="BV39" s="39" t="n">
        <f aca="false">IF(BV$4=0,0,IF(COUNTIFS(実績!$W$6:$W$505,BV$3,実績!$AI$6:$AI$505,"&lt;="&amp;$A39,実績!$AJ$6:$AJ$505,"&gt;"&amp;$A39,実績!$AL$6:$AL$505,"○")&gt;0,1,0))</f>
        <v>0</v>
      </c>
      <c r="BW39" s="39" t="n">
        <f aca="false">IF(BW$4=0,0,IF(COUNTIFS(実績!$W$6:$W$505,BW$3,実績!$AI$6:$AI$505,"&lt;="&amp;$A39,実績!$AJ$6:$AJ$505,"&gt;"&amp;$A39,実績!$AL$6:$AL$505,"○")&gt;0,1,0))</f>
        <v>0</v>
      </c>
      <c r="BX39" s="39" t="n">
        <f aca="false">IF(BX$4=0,0,IF(COUNTIFS(実績!$W$6:$W$505,BX$3,実績!$AI$6:$AI$505,"&lt;="&amp;$A39,実績!$AJ$6:$AJ$505,"&gt;"&amp;$A39,実績!$AL$6:$AL$505,"○")&gt;0,1,0))</f>
        <v>0</v>
      </c>
      <c r="BY39" s="39" t="n">
        <f aca="false">IF(BY$4=0,0,IF(COUNTIFS(実績!$W$6:$W$505,BY$3,実績!$AI$6:$AI$505,"&lt;="&amp;$A39,実績!$AJ$6:$AJ$505,"&gt;"&amp;$A39,実績!$AL$6:$AL$505,"○")&gt;0,1,0))</f>
        <v>0</v>
      </c>
      <c r="BZ39" s="39" t="n">
        <f aca="false">IF(BZ$4=0,0,IF(COUNTIFS(実績!$W$6:$W$505,BZ$3,実績!$AI$6:$AI$505,"&lt;="&amp;$A39,実績!$AJ$6:$AJ$505,"&gt;"&amp;$A39,実績!$AL$6:$AL$505,"○")&gt;0,1,0))</f>
        <v>0</v>
      </c>
      <c r="CA39" s="39" t="n">
        <f aca="false">IF(CA$4=0,0,IF(COUNTIFS(実績!$W$6:$W$505,CA$3,実績!$AI$6:$AI$505,"&lt;="&amp;$A39,実績!$AJ$6:$AJ$505,"&gt;"&amp;$A39,実績!$AL$6:$AL$505,"○")&gt;0,1,0))</f>
        <v>0</v>
      </c>
      <c r="CB39" s="39" t="n">
        <f aca="false">IF(CB$4=0,0,IF(COUNTIFS(実績!$W$6:$W$505,CB$3,実績!$AI$6:$AI$505,"&lt;="&amp;$A39,実績!$AJ$6:$AJ$505,"&gt;"&amp;$A39,実績!$AL$6:$AL$505,"○")&gt;0,1,0))</f>
        <v>0</v>
      </c>
      <c r="CC39" s="39" t="n">
        <f aca="false">IF(CC$4=0,0,IF(COUNTIFS(実績!$W$6:$W$505,CC$3,実績!$AI$6:$AI$505,"&lt;="&amp;$A39,実績!$AJ$6:$AJ$505,"&gt;"&amp;$A39,実績!$AL$6:$AL$505,"○")&gt;0,1,0))</f>
        <v>0</v>
      </c>
      <c r="CD39" s="39" t="n">
        <f aca="false">IF(CD$4=0,0,IF(COUNTIFS(実績!$W$6:$W$505,CD$3,実績!$AI$6:$AI$505,"&lt;="&amp;$A39,実績!$AJ$6:$AJ$505,"&gt;"&amp;$A39,実績!$AL$6:$AL$505,"○")&gt;0,1,0))</f>
        <v>0</v>
      </c>
      <c r="CE39" s="39" t="n">
        <f aca="false">IF(CE$4=0,0,IF(COUNTIFS(実績!$W$6:$W$505,CE$3,実績!$AI$6:$AI$505,"&lt;="&amp;$A39,実績!$AJ$6:$AJ$505,"&gt;"&amp;$A39,実績!$AL$6:$AL$505,"○")&gt;0,1,0))</f>
        <v>0</v>
      </c>
      <c r="CF39" s="39" t="n">
        <f aca="false">IF(CF$4=0,0,IF(COUNTIFS(実績!$W$6:$W$505,CF$3,実績!$AI$6:$AI$505,"&lt;="&amp;$A39,実績!$AJ$6:$AJ$505,"&gt;"&amp;$A39,実績!$AL$6:$AL$505,"○")&gt;0,1,0))</f>
        <v>0</v>
      </c>
      <c r="CG39" s="39" t="n">
        <f aca="false">IF(CG$4=0,0,IF(COUNTIFS(実績!$W$6:$W$505,CG$3,実績!$AI$6:$AI$505,"&lt;="&amp;$A39,実績!$AJ$6:$AJ$505,"&gt;"&amp;$A39,実績!$AL$6:$AL$505,"○")&gt;0,1,0))</f>
        <v>0</v>
      </c>
      <c r="CH39" s="39" t="n">
        <f aca="false">IF(CH$4=0,0,IF(COUNTIFS(実績!$W$6:$W$505,CH$3,実績!$AI$6:$AI$505,"&lt;="&amp;$A39,実績!$AJ$6:$AJ$505,"&gt;"&amp;$A39,実績!$AL$6:$AL$505,"○")&gt;0,1,0))</f>
        <v>0</v>
      </c>
      <c r="CI39" s="39" t="n">
        <f aca="false">IF(CI$4=0,0,IF(COUNTIFS(実績!$W$6:$W$505,CI$3,実績!$AI$6:$AI$505,"&lt;="&amp;$A39,実績!$AJ$6:$AJ$505,"&gt;"&amp;$A39,実績!$AL$6:$AL$505,"○")&gt;0,1,0))</f>
        <v>0</v>
      </c>
      <c r="CJ39" s="39" t="n">
        <f aca="false">IF(CJ$4=0,0,IF(COUNTIFS(実績!$W$6:$W$505,CJ$3,実績!$AI$6:$AI$505,"&lt;="&amp;$A39,実績!$AJ$6:$AJ$505,"&gt;"&amp;$A39,実績!$AL$6:$AL$505,"○")&gt;0,1,0))</f>
        <v>0</v>
      </c>
      <c r="CK39" s="39" t="n">
        <f aca="false">IF(CK$4=0,0,IF(COUNTIFS(実績!$W$6:$W$505,CK$3,実績!$AI$6:$AI$505,"&lt;="&amp;$A39,実績!$AJ$6:$AJ$505,"&gt;"&amp;$A39,実績!$AL$6:$AL$505,"○")&gt;0,1,0))</f>
        <v>0</v>
      </c>
      <c r="CL39" s="39" t="n">
        <f aca="false">IF(CL$4=0,0,IF(COUNTIFS(実績!$W$6:$W$505,CL$3,実績!$AI$6:$AI$505,"&lt;="&amp;$A39,実績!$AJ$6:$AJ$505,"&gt;"&amp;$A39,実績!$AL$6:$AL$505,"○")&gt;0,1,0))</f>
        <v>0</v>
      </c>
      <c r="CM39" s="39" t="n">
        <f aca="false">IF(CM$4=0,0,IF(COUNTIFS(実績!$W$6:$W$505,CM$3,実績!$AI$6:$AI$505,"&lt;="&amp;$A39,実績!$AJ$6:$AJ$505,"&gt;"&amp;$A39,実績!$AL$6:$AL$505,"○")&gt;0,1,0))</f>
        <v>0</v>
      </c>
      <c r="CN39" s="39" t="n">
        <f aca="false">IF(CN$4=0,0,IF(COUNTIFS(実績!$W$6:$W$505,CN$3,実績!$AI$6:$AI$505,"&lt;="&amp;$A39,実績!$AJ$6:$AJ$505,"&gt;"&amp;$A39,実績!$AL$6:$AL$505,"○")&gt;0,1,0))</f>
        <v>0</v>
      </c>
      <c r="CO39" s="39" t="n">
        <f aca="false">IF(CO$4=0,0,IF(COUNTIFS(実績!$W$6:$W$505,CO$3,実績!$AI$6:$AI$505,"&lt;="&amp;$A39,実績!$AJ$6:$AJ$505,"&gt;"&amp;$A39,実績!$AL$6:$AL$505,"○")&gt;0,1,0))</f>
        <v>0</v>
      </c>
      <c r="CP39" s="39" t="n">
        <f aca="false">IF(CP$4=0,0,IF(COUNTIFS(実績!$W$6:$W$505,CP$3,実績!$AI$6:$AI$505,"&lt;="&amp;$A39,実績!$AJ$6:$AJ$505,"&gt;"&amp;$A39,実績!$AL$6:$AL$505,"○")&gt;0,1,0))</f>
        <v>0</v>
      </c>
      <c r="CQ39" s="39" t="n">
        <f aca="false">IF(CQ$4=0,0,IF(COUNTIFS(実績!$W$6:$W$505,CQ$3,実績!$AI$6:$AI$505,"&lt;="&amp;$A39,実績!$AJ$6:$AJ$505,"&gt;"&amp;$A39,実績!$AL$6:$AL$505,"○")&gt;0,1,0))</f>
        <v>0</v>
      </c>
      <c r="CR39" s="39" t="n">
        <f aca="false">IF(CR$4=0,0,IF(COUNTIFS(実績!$W$6:$W$505,CR$3,実績!$AI$6:$AI$505,"&lt;="&amp;$A39,実績!$AJ$6:$AJ$505,"&gt;"&amp;$A39,実績!$AL$6:$AL$505,"○")&gt;0,1,0))</f>
        <v>0</v>
      </c>
      <c r="CS39" s="39" t="n">
        <f aca="false">IF(CS$4=0,0,IF(COUNTIFS(実績!$W$6:$W$505,CS$3,実績!$AI$6:$AI$505,"&lt;="&amp;$A39,実績!$AJ$6:$AJ$505,"&gt;"&amp;$A39,実績!$AL$6:$AL$505,"○")&gt;0,1,0))</f>
        <v>0</v>
      </c>
      <c r="CT39" s="39" t="n">
        <f aca="false">IF(CT$4=0,0,IF(COUNTIFS(実績!$W$6:$W$505,CT$3,実績!$AI$6:$AI$505,"&lt;="&amp;$A39,実績!$AJ$6:$AJ$505,"&gt;"&amp;$A39,実績!$AL$6:$AL$505,"○")&gt;0,1,0))</f>
        <v>0</v>
      </c>
      <c r="CU39" s="39" t="n">
        <f aca="false">IF(CU$4=0,0,IF(COUNTIFS(実績!$W$6:$W$505,CU$3,実績!$AI$6:$AI$505,"&lt;="&amp;$A39,実績!$AJ$6:$AJ$505,"&gt;"&amp;$A39,実績!$AL$6:$AL$505,"○")&gt;0,1,0))</f>
        <v>0</v>
      </c>
      <c r="CV39" s="39" t="n">
        <f aca="false">IF(CV$4=0,0,IF(COUNTIFS(実績!$W$6:$W$505,CV$3,実績!$AI$6:$AI$505,"&lt;="&amp;$A39,実績!$AJ$6:$AJ$505,"&gt;"&amp;$A39,実績!$AL$6:$AL$505,"○")&gt;0,1,0))</f>
        <v>0</v>
      </c>
      <c r="CW39" s="39" t="n">
        <f aca="false">IF(CW$4=0,0,IF(COUNTIFS(実績!$W$6:$W$505,CW$3,実績!$AI$6:$AI$505,"&lt;="&amp;$A39,実績!$AJ$6:$AJ$505,"&gt;"&amp;$A39,実績!$AL$6:$AL$505,"○")&gt;0,1,0))</f>
        <v>0</v>
      </c>
      <c r="CX39" s="39" t="n">
        <f aca="false">IF(CX$4=0,0,IF(COUNTIFS(実績!$W$6:$W$505,CX$3,実績!$AI$6:$AI$505,"&lt;="&amp;$A39,実績!$AJ$6:$AJ$505,"&gt;"&amp;$A39,実績!$AL$6:$AL$505,"○")&gt;0,1,0))</f>
        <v>0</v>
      </c>
      <c r="CY39" s="39" t="n">
        <f aca="false">IF(CY$4=0,0,IF(COUNTIFS(実績!$W$6:$W$505,CY$3,実績!$AI$6:$AI$505,"&lt;="&amp;$A39,実績!$AJ$6:$AJ$505,"&gt;"&amp;$A39,実績!$AL$6:$AL$505,"○")&gt;0,1,0))</f>
        <v>0</v>
      </c>
      <c r="CZ39" s="39" t="n">
        <f aca="false">IF(CZ$4=0,0,IF(COUNTIFS(実績!$W$6:$W$505,CZ$3,実績!$AI$6:$AI$505,"&lt;="&amp;$A39,実績!$AJ$6:$AJ$505,"&gt;"&amp;$A39,実績!$AL$6:$AL$505,"○")&gt;0,1,0))</f>
        <v>0</v>
      </c>
      <c r="DA39" s="39" t="n">
        <f aca="false">IF(DA$4=0,0,IF(COUNTIFS(実績!$W$6:$W$505,DA$3,実績!$AI$6:$AI$505,"&lt;="&amp;$A39,実績!$AJ$6:$AJ$505,"&gt;"&amp;$A39,実績!$AL$6:$AL$505,"○")&gt;0,1,0))</f>
        <v>0</v>
      </c>
      <c r="DB39" s="39" t="n">
        <f aca="false">IF(DB$4=0,0,IF(COUNTIFS(実績!$W$6:$W$505,DB$3,実績!$AI$6:$AI$505,"&lt;="&amp;$A39,実績!$AJ$6:$AJ$505,"&gt;"&amp;$A39,実績!$AL$6:$AL$505,"○")&gt;0,1,0))</f>
        <v>0</v>
      </c>
      <c r="DC39" s="39" t="n">
        <f aca="false">IF(DC$4=0,0,IF(COUNTIFS(実績!$W$6:$W$505,DC$3,実績!$AI$6:$AI$505,"&lt;="&amp;$A39,実績!$AJ$6:$AJ$505,"&gt;"&amp;$A39,実績!$AL$6:$AL$505,"○")&gt;0,1,0))</f>
        <v>0</v>
      </c>
      <c r="DD39" s="39" t="n">
        <f aca="false">IF(DD$4=0,0,IF(COUNTIFS(実績!$W$6:$W$505,DD$3,実績!$AI$6:$AI$505,"&lt;="&amp;$A39,実績!$AJ$6:$AJ$505,"&gt;"&amp;$A39,実績!$AL$6:$AL$505,"○")&gt;0,1,0))</f>
        <v>0</v>
      </c>
      <c r="DE39" s="39" t="n">
        <f aca="false">IF(DE$4=0,0,IF(COUNTIFS(実績!$W$6:$W$505,DE$3,実績!$AI$6:$AI$505,"&lt;="&amp;$A39,実績!$AJ$6:$AJ$505,"&gt;"&amp;$A39,実績!$AL$6:$AL$505,"○")&gt;0,1,0))</f>
        <v>0</v>
      </c>
      <c r="DF39" s="39" t="n">
        <f aca="false">IF(DF$4=0,0,IF(COUNTIFS(実績!$W$6:$W$505,DF$3,実績!$AI$6:$AI$505,"&lt;="&amp;$A39,実績!$AJ$6:$AJ$505,"&gt;"&amp;$A39,実績!$AL$6:$AL$505,"○")&gt;0,1,0))</f>
        <v>0</v>
      </c>
      <c r="DG39" s="39" t="n">
        <f aca="false">IF(DG$4=0,0,IF(COUNTIFS(実績!$W$6:$W$505,DG$3,実績!$AI$6:$AI$505,"&lt;="&amp;$A39,実績!$AJ$6:$AJ$505,"&gt;"&amp;$A39,実績!$AL$6:$AL$505,"○")&gt;0,1,0))</f>
        <v>0</v>
      </c>
      <c r="DH39" s="39" t="n">
        <f aca="false">IF(DH$4=0,0,IF(COUNTIFS(実績!$W$6:$W$505,DH$3,実績!$AI$6:$AI$505,"&lt;="&amp;$A39,実績!$AJ$6:$AJ$505,"&gt;"&amp;$A39,実績!$AL$6:$AL$505,"○")&gt;0,1,0))</f>
        <v>0</v>
      </c>
      <c r="DI39" s="39" t="n">
        <f aca="false">IF(DI$4=0,0,IF(COUNTIFS(実績!$W$6:$W$505,DI$3,実績!$AI$6:$AI$505,"&lt;="&amp;$A39,実績!$AJ$6:$AJ$505,"&gt;"&amp;$A39,実績!$AL$6:$AL$505,"○")&gt;0,1,0))</f>
        <v>0</v>
      </c>
      <c r="DJ39" s="39" t="n">
        <f aca="false">IF(DJ$4=0,0,IF(COUNTIFS(実績!$W$6:$W$505,DJ$3,実績!$AI$6:$AI$505,"&lt;="&amp;$A39,実績!$AJ$6:$AJ$505,"&gt;"&amp;$A39,実績!$AL$6:$AL$505,"○")&gt;0,1,0))</f>
        <v>0</v>
      </c>
      <c r="DK39" s="39" t="n">
        <f aca="false">IF(DK$4=0,0,IF(COUNTIFS(実績!$W$6:$W$505,DK$3,実績!$AI$6:$AI$505,"&lt;="&amp;$A39,実績!$AJ$6:$AJ$505,"&gt;"&amp;$A39,実績!$AL$6:$AL$505,"○")&gt;0,1,0))</f>
        <v>0</v>
      </c>
      <c r="DL39" s="39" t="n">
        <f aca="false">IF(DL$4=0,0,IF(COUNTIFS(実績!$W$6:$W$505,DL$3,実績!$AI$6:$AI$505,"&lt;="&amp;$A39,実績!$AJ$6:$AJ$505,"&gt;"&amp;$A39,実績!$AL$6:$AL$505,"○")&gt;0,1,0))</f>
        <v>0</v>
      </c>
      <c r="DM39" s="39" t="n">
        <f aca="false">IF(DM$4=0,0,IF(COUNTIFS(実績!$W$6:$W$505,DM$3,実績!$AI$6:$AI$505,"&lt;="&amp;$A39,実績!$AJ$6:$AJ$505,"&gt;"&amp;$A39,実績!$AL$6:$AL$505,"○")&gt;0,1,0))</f>
        <v>0</v>
      </c>
      <c r="DN39" s="39" t="n">
        <f aca="false">IF(DN$4=0,0,IF(COUNTIFS(実績!$W$6:$W$505,DN$3,実績!$AI$6:$AI$505,"&lt;="&amp;$A39,実績!$AJ$6:$AJ$505,"&gt;"&amp;$A39,実績!$AL$6:$AL$505,"○")&gt;0,1,0))</f>
        <v>0</v>
      </c>
      <c r="DO39" s="39" t="n">
        <f aca="false">IF(DO$4=0,0,IF(COUNTIFS(実績!$W$6:$W$505,DO$3,実績!$AI$6:$AI$505,"&lt;="&amp;$A39,実績!$AJ$6:$AJ$505,"&gt;"&amp;$A39,実績!$AL$6:$AL$505,"○")&gt;0,1,0))</f>
        <v>0</v>
      </c>
      <c r="DP39" s="39" t="n">
        <f aca="false">IF(DP$4=0,0,IF(COUNTIFS(実績!$W$6:$W$505,DP$3,実績!$AI$6:$AI$505,"&lt;="&amp;$A39,実績!$AJ$6:$AJ$505,"&gt;"&amp;$A39,実績!$AL$6:$AL$505,"○")&gt;0,1,0))</f>
        <v>0</v>
      </c>
      <c r="DQ39" s="39" t="n">
        <f aca="false">IF(DQ$4=0,0,IF(COUNTIFS(実績!$W$6:$W$505,DQ$3,実績!$AI$6:$AI$505,"&lt;="&amp;$A39,実績!$AJ$6:$AJ$505,"&gt;"&amp;$A39,実績!$AL$6:$AL$505,"○")&gt;0,1,0))</f>
        <v>0</v>
      </c>
      <c r="DR39" s="39" t="n">
        <f aca="false">IF(DR$4=0,0,IF(COUNTIFS(実績!$W$6:$W$505,DR$3,実績!$AI$6:$AI$505,"&lt;="&amp;$A39,実績!$AJ$6:$AJ$505,"&gt;"&amp;$A39,実績!$AL$6:$AL$505,"○")&gt;0,1,0))</f>
        <v>0</v>
      </c>
      <c r="DS39" s="39" t="n">
        <f aca="false">SUM(C39:DR39)</f>
        <v>0</v>
      </c>
    </row>
    <row r="40" customFormat="false" ht="15" hidden="false" customHeight="false" outlineLevel="0" collapsed="false">
      <c r="A40" s="0" t="n">
        <v>170</v>
      </c>
      <c r="B40" s="38" t="n">
        <f aca="false">A40/1440</f>
        <v>0.118055555555556</v>
      </c>
      <c r="C40" s="39" t="n">
        <f aca="false">IF(C$4=0,0,IF(COUNTIFS(実績!$W$6:$W$505,C$3,実績!$AI$6:$AI$505,"&lt;="&amp;$A40,実績!$AJ$6:$AJ$505,"&gt;"&amp;$A40,実績!$AL$6:$AL$505,"○")&gt;0,1,0))</f>
        <v>0</v>
      </c>
      <c r="D40" s="39" t="n">
        <f aca="false">IF(D$4=0,0,IF(COUNTIFS(実績!$W$6:$W$505,D$3,実績!$AI$6:$AI$505,"&lt;="&amp;$A40,実績!$AJ$6:$AJ$505,"&gt;"&amp;$A40,実績!$AL$6:$AL$505,"○")&gt;0,1,0))</f>
        <v>0</v>
      </c>
      <c r="E40" s="39" t="n">
        <f aca="false">IF(E$4=0,0,IF(COUNTIFS(実績!$W$6:$W$505,E$3,実績!$AI$6:$AI$505,"&lt;="&amp;$A40,実績!$AJ$6:$AJ$505,"&gt;"&amp;$A40,実績!$AL$6:$AL$505,"○")&gt;0,1,0))</f>
        <v>0</v>
      </c>
      <c r="F40" s="39" t="n">
        <f aca="false">IF(F$4=0,0,IF(COUNTIFS(実績!$W$6:$W$505,F$3,実績!$AI$6:$AI$505,"&lt;="&amp;$A40,実績!$AJ$6:$AJ$505,"&gt;"&amp;$A40,実績!$AL$6:$AL$505,"○")&gt;0,1,0))</f>
        <v>0</v>
      </c>
      <c r="G40" s="39" t="n">
        <f aca="false">IF(G$4=0,0,IF(COUNTIFS(実績!$W$6:$W$505,G$3,実績!$AI$6:$AI$505,"&lt;="&amp;$A40,実績!$AJ$6:$AJ$505,"&gt;"&amp;$A40,実績!$AL$6:$AL$505,"○")&gt;0,1,0))</f>
        <v>0</v>
      </c>
      <c r="H40" s="39" t="n">
        <f aca="false">IF(H$4=0,0,IF(COUNTIFS(実績!$W$6:$W$505,H$3,実績!$AI$6:$AI$505,"&lt;="&amp;$A40,実績!$AJ$6:$AJ$505,"&gt;"&amp;$A40,実績!$AL$6:$AL$505,"○")&gt;0,1,0))</f>
        <v>0</v>
      </c>
      <c r="I40" s="39" t="n">
        <f aca="false">IF(I$4=0,0,IF(COUNTIFS(実績!$W$6:$W$505,I$3,実績!$AI$6:$AI$505,"&lt;="&amp;$A40,実績!$AJ$6:$AJ$505,"&gt;"&amp;$A40,実績!$AL$6:$AL$505,"○")&gt;0,1,0))</f>
        <v>0</v>
      </c>
      <c r="J40" s="39" t="n">
        <f aca="false">IF(J$4=0,0,IF(COUNTIFS(実績!$W$6:$W$505,J$3,実績!$AI$6:$AI$505,"&lt;="&amp;$A40,実績!$AJ$6:$AJ$505,"&gt;"&amp;$A40,実績!$AL$6:$AL$505,"○")&gt;0,1,0))</f>
        <v>0</v>
      </c>
      <c r="K40" s="39" t="n">
        <f aca="false">IF(K$4=0,0,IF(COUNTIFS(実績!$W$6:$W$505,K$3,実績!$AI$6:$AI$505,"&lt;="&amp;$A40,実績!$AJ$6:$AJ$505,"&gt;"&amp;$A40,実績!$AL$6:$AL$505,"○")&gt;0,1,0))</f>
        <v>0</v>
      </c>
      <c r="L40" s="39" t="n">
        <f aca="false">IF(L$4=0,0,IF(COUNTIFS(実績!$W$6:$W$505,L$3,実績!$AI$6:$AI$505,"&lt;="&amp;$A40,実績!$AJ$6:$AJ$505,"&gt;"&amp;$A40,実績!$AL$6:$AL$505,"○")&gt;0,1,0))</f>
        <v>0</v>
      </c>
      <c r="M40" s="39" t="n">
        <f aca="false">IF(M$4=0,0,IF(COUNTIFS(実績!$W$6:$W$505,M$3,実績!$AI$6:$AI$505,"&lt;="&amp;$A40,実績!$AJ$6:$AJ$505,"&gt;"&amp;$A40,実績!$AL$6:$AL$505,"○")&gt;0,1,0))</f>
        <v>0</v>
      </c>
      <c r="N40" s="39" t="n">
        <f aca="false">IF(N$4=0,0,IF(COUNTIFS(実績!$W$6:$W$505,N$3,実績!$AI$6:$AI$505,"&lt;="&amp;$A40,実績!$AJ$6:$AJ$505,"&gt;"&amp;$A40,実績!$AL$6:$AL$505,"○")&gt;0,1,0))</f>
        <v>0</v>
      </c>
      <c r="O40" s="39" t="n">
        <f aca="false">IF(O$4=0,0,IF(COUNTIFS(実績!$W$6:$W$505,O$3,実績!$AI$6:$AI$505,"&lt;="&amp;$A40,実績!$AJ$6:$AJ$505,"&gt;"&amp;$A40,実績!$AL$6:$AL$505,"○")&gt;0,1,0))</f>
        <v>0</v>
      </c>
      <c r="P40" s="39" t="n">
        <f aca="false">IF(P$4=0,0,IF(COUNTIFS(実績!$W$6:$W$505,P$3,実績!$AI$6:$AI$505,"&lt;="&amp;$A40,実績!$AJ$6:$AJ$505,"&gt;"&amp;$A40,実績!$AL$6:$AL$505,"○")&gt;0,1,0))</f>
        <v>0</v>
      </c>
      <c r="Q40" s="39" t="n">
        <f aca="false">IF(Q$4=0,0,IF(COUNTIFS(実績!$W$6:$W$505,Q$3,実績!$AI$6:$AI$505,"&lt;="&amp;$A40,実績!$AJ$6:$AJ$505,"&gt;"&amp;$A40,実績!$AL$6:$AL$505,"○")&gt;0,1,0))</f>
        <v>0</v>
      </c>
      <c r="R40" s="39" t="n">
        <f aca="false">IF(R$4=0,0,IF(COUNTIFS(実績!$W$6:$W$505,R$3,実績!$AI$6:$AI$505,"&lt;="&amp;$A40,実績!$AJ$6:$AJ$505,"&gt;"&amp;$A40,実績!$AL$6:$AL$505,"○")&gt;0,1,0))</f>
        <v>0</v>
      </c>
      <c r="S40" s="39" t="n">
        <f aca="false">IF(S$4=0,0,IF(COUNTIFS(実績!$W$6:$W$505,S$3,実績!$AI$6:$AI$505,"&lt;="&amp;$A40,実績!$AJ$6:$AJ$505,"&gt;"&amp;$A40,実績!$AL$6:$AL$505,"○")&gt;0,1,0))</f>
        <v>0</v>
      </c>
      <c r="T40" s="39" t="n">
        <f aca="false">IF(T$4=0,0,IF(COUNTIFS(実績!$W$6:$W$505,T$3,実績!$AI$6:$AI$505,"&lt;="&amp;$A40,実績!$AJ$6:$AJ$505,"&gt;"&amp;$A40,実績!$AL$6:$AL$505,"○")&gt;0,1,0))</f>
        <v>0</v>
      </c>
      <c r="U40" s="39" t="n">
        <f aca="false">IF(U$4=0,0,IF(COUNTIFS(実績!$W$6:$W$505,U$3,実績!$AI$6:$AI$505,"&lt;="&amp;$A40,実績!$AJ$6:$AJ$505,"&gt;"&amp;$A40,実績!$AL$6:$AL$505,"○")&gt;0,1,0))</f>
        <v>0</v>
      </c>
      <c r="V40" s="39" t="n">
        <f aca="false">IF(V$4=0,0,IF(COUNTIFS(実績!$W$6:$W$505,V$3,実績!$AI$6:$AI$505,"&lt;="&amp;$A40,実績!$AJ$6:$AJ$505,"&gt;"&amp;$A40,実績!$AL$6:$AL$505,"○")&gt;0,1,0))</f>
        <v>0</v>
      </c>
      <c r="W40" s="39" t="n">
        <f aca="false">IF(W$4=0,0,IF(COUNTIFS(実績!$W$6:$W$505,W$3,実績!$AI$6:$AI$505,"&lt;="&amp;$A40,実績!$AJ$6:$AJ$505,"&gt;"&amp;$A40,実績!$AL$6:$AL$505,"○")&gt;0,1,0))</f>
        <v>0</v>
      </c>
      <c r="X40" s="39" t="n">
        <f aca="false">IF(X$4=0,0,IF(COUNTIFS(実績!$W$6:$W$505,X$3,実績!$AI$6:$AI$505,"&lt;="&amp;$A40,実績!$AJ$6:$AJ$505,"&gt;"&amp;$A40,実績!$AL$6:$AL$505,"○")&gt;0,1,0))</f>
        <v>0</v>
      </c>
      <c r="Y40" s="39" t="n">
        <f aca="false">IF(Y$4=0,0,IF(COUNTIFS(実績!$W$6:$W$505,Y$3,実績!$AI$6:$AI$505,"&lt;="&amp;$A40,実績!$AJ$6:$AJ$505,"&gt;"&amp;$A40,実績!$AL$6:$AL$505,"○")&gt;0,1,0))</f>
        <v>0</v>
      </c>
      <c r="Z40" s="39" t="n">
        <f aca="false">IF(Z$4=0,0,IF(COUNTIFS(実績!$W$6:$W$505,Z$3,実績!$AI$6:$AI$505,"&lt;="&amp;$A40,実績!$AJ$6:$AJ$505,"&gt;"&amp;$A40,実績!$AL$6:$AL$505,"○")&gt;0,1,0))</f>
        <v>0</v>
      </c>
      <c r="AA40" s="39" t="n">
        <f aca="false">IF(AA$4=0,0,IF(COUNTIFS(実績!$W$6:$W$505,AA$3,実績!$AI$6:$AI$505,"&lt;="&amp;$A40,実績!$AJ$6:$AJ$505,"&gt;"&amp;$A40,実績!$AL$6:$AL$505,"○")&gt;0,1,0))</f>
        <v>0</v>
      </c>
      <c r="AB40" s="39" t="n">
        <f aca="false">IF(AB$4=0,0,IF(COUNTIFS(実績!$W$6:$W$505,AB$3,実績!$AI$6:$AI$505,"&lt;="&amp;$A40,実績!$AJ$6:$AJ$505,"&gt;"&amp;$A40,実績!$AL$6:$AL$505,"○")&gt;0,1,0))</f>
        <v>0</v>
      </c>
      <c r="AC40" s="39" t="n">
        <f aca="false">IF(AC$4=0,0,IF(COUNTIFS(実績!$W$6:$W$505,AC$3,実績!$AI$6:$AI$505,"&lt;="&amp;$A40,実績!$AJ$6:$AJ$505,"&gt;"&amp;$A40,実績!$AL$6:$AL$505,"○")&gt;0,1,0))</f>
        <v>0</v>
      </c>
      <c r="AD40" s="39" t="n">
        <f aca="false">IF(AD$4=0,0,IF(COUNTIFS(実績!$W$6:$W$505,AD$3,実績!$AI$6:$AI$505,"&lt;="&amp;$A40,実績!$AJ$6:$AJ$505,"&gt;"&amp;$A40,実績!$AL$6:$AL$505,"○")&gt;0,1,0))</f>
        <v>0</v>
      </c>
      <c r="AE40" s="39" t="n">
        <f aca="false">IF(AE$4=0,0,IF(COUNTIFS(実績!$W$6:$W$505,AE$3,実績!$AI$6:$AI$505,"&lt;="&amp;$A40,実績!$AJ$6:$AJ$505,"&gt;"&amp;$A40,実績!$AL$6:$AL$505,"○")&gt;0,1,0))</f>
        <v>0</v>
      </c>
      <c r="AF40" s="39" t="n">
        <f aca="false">IF(AF$4=0,0,IF(COUNTIFS(実績!$W$6:$W$505,AF$3,実績!$AI$6:$AI$505,"&lt;="&amp;$A40,実績!$AJ$6:$AJ$505,"&gt;"&amp;$A40,実績!$AL$6:$AL$505,"○")&gt;0,1,0))</f>
        <v>0</v>
      </c>
      <c r="AG40" s="39" t="n">
        <f aca="false">IF(AG$4=0,0,IF(COUNTIFS(実績!$W$6:$W$505,AG$3,実績!$AI$6:$AI$505,"&lt;="&amp;$A40,実績!$AJ$6:$AJ$505,"&gt;"&amp;$A40,実績!$AL$6:$AL$505,"○")&gt;0,1,0))</f>
        <v>0</v>
      </c>
      <c r="AH40" s="39" t="n">
        <f aca="false">IF(AH$4=0,0,IF(COUNTIFS(実績!$W$6:$W$505,AH$3,実績!$AI$6:$AI$505,"&lt;="&amp;$A40,実績!$AJ$6:$AJ$505,"&gt;"&amp;$A40,実績!$AL$6:$AL$505,"○")&gt;0,1,0))</f>
        <v>0</v>
      </c>
      <c r="AI40" s="39" t="n">
        <f aca="false">IF(AI$4=0,0,IF(COUNTIFS(実績!$W$6:$W$505,AI$3,実績!$AI$6:$AI$505,"&lt;="&amp;$A40,実績!$AJ$6:$AJ$505,"&gt;"&amp;$A40,実績!$AL$6:$AL$505,"○")&gt;0,1,0))</f>
        <v>0</v>
      </c>
      <c r="AJ40" s="39" t="n">
        <f aca="false">IF(AJ$4=0,0,IF(COUNTIFS(実績!$W$6:$W$505,AJ$3,実績!$AI$6:$AI$505,"&lt;="&amp;$A40,実績!$AJ$6:$AJ$505,"&gt;"&amp;$A40,実績!$AL$6:$AL$505,"○")&gt;0,1,0))</f>
        <v>0</v>
      </c>
      <c r="AK40" s="39" t="n">
        <f aca="false">IF(AK$4=0,0,IF(COUNTIFS(実績!$W$6:$W$505,AK$3,実績!$AI$6:$AI$505,"&lt;="&amp;$A40,実績!$AJ$6:$AJ$505,"&gt;"&amp;$A40,実績!$AL$6:$AL$505,"○")&gt;0,1,0))</f>
        <v>0</v>
      </c>
      <c r="AL40" s="39" t="n">
        <f aca="false">IF(AL$4=0,0,IF(COUNTIFS(実績!$W$6:$W$505,AL$3,実績!$AI$6:$AI$505,"&lt;="&amp;$A40,実績!$AJ$6:$AJ$505,"&gt;"&amp;$A40,実績!$AL$6:$AL$505,"○")&gt;0,1,0))</f>
        <v>0</v>
      </c>
      <c r="AM40" s="39" t="n">
        <f aca="false">IF(AM$4=0,0,IF(COUNTIFS(実績!$W$6:$W$505,AM$3,実績!$AI$6:$AI$505,"&lt;="&amp;$A40,実績!$AJ$6:$AJ$505,"&gt;"&amp;$A40,実績!$AL$6:$AL$505,"○")&gt;0,1,0))</f>
        <v>0</v>
      </c>
      <c r="AN40" s="39" t="n">
        <f aca="false">IF(AN$4=0,0,IF(COUNTIFS(実績!$W$6:$W$505,AN$3,実績!$AI$6:$AI$505,"&lt;="&amp;$A40,実績!$AJ$6:$AJ$505,"&gt;"&amp;$A40,実績!$AL$6:$AL$505,"○")&gt;0,1,0))</f>
        <v>0</v>
      </c>
      <c r="AO40" s="39" t="n">
        <f aca="false">IF(AO$4=0,0,IF(COUNTIFS(実績!$W$6:$W$505,AO$3,実績!$AI$6:$AI$505,"&lt;="&amp;$A40,実績!$AJ$6:$AJ$505,"&gt;"&amp;$A40,実績!$AL$6:$AL$505,"○")&gt;0,1,0))</f>
        <v>0</v>
      </c>
      <c r="AP40" s="39" t="n">
        <f aca="false">IF(AP$4=0,0,IF(COUNTIFS(実績!$W$6:$W$505,AP$3,実績!$AI$6:$AI$505,"&lt;="&amp;$A40,実績!$AJ$6:$AJ$505,"&gt;"&amp;$A40,実績!$AL$6:$AL$505,"○")&gt;0,1,0))</f>
        <v>0</v>
      </c>
      <c r="AQ40" s="39" t="n">
        <f aca="false">IF(AQ$4=0,0,IF(COUNTIFS(実績!$W$6:$W$505,AQ$3,実績!$AI$6:$AI$505,"&lt;="&amp;$A40,実績!$AJ$6:$AJ$505,"&gt;"&amp;$A40,実績!$AL$6:$AL$505,"○")&gt;0,1,0))</f>
        <v>0</v>
      </c>
      <c r="AR40" s="39" t="n">
        <f aca="false">IF(AR$4=0,0,IF(COUNTIFS(実績!$W$6:$W$505,AR$3,実績!$AI$6:$AI$505,"&lt;="&amp;$A40,実績!$AJ$6:$AJ$505,"&gt;"&amp;$A40,実績!$AL$6:$AL$505,"○")&gt;0,1,0))</f>
        <v>0</v>
      </c>
      <c r="AS40" s="39" t="n">
        <f aca="false">IF(AS$4=0,0,IF(COUNTIFS(実績!$W$6:$W$505,AS$3,実績!$AI$6:$AI$505,"&lt;="&amp;$A40,実績!$AJ$6:$AJ$505,"&gt;"&amp;$A40,実績!$AL$6:$AL$505,"○")&gt;0,1,0))</f>
        <v>0</v>
      </c>
      <c r="AT40" s="39" t="n">
        <f aca="false">IF(AT$4=0,0,IF(COUNTIFS(実績!$W$6:$W$505,AT$3,実績!$AI$6:$AI$505,"&lt;="&amp;$A40,実績!$AJ$6:$AJ$505,"&gt;"&amp;$A40,実績!$AL$6:$AL$505,"○")&gt;0,1,0))</f>
        <v>0</v>
      </c>
      <c r="AU40" s="39" t="n">
        <f aca="false">IF(AU$4=0,0,IF(COUNTIFS(実績!$W$6:$W$505,AU$3,実績!$AI$6:$AI$505,"&lt;="&amp;$A40,実績!$AJ$6:$AJ$505,"&gt;"&amp;$A40,実績!$AL$6:$AL$505,"○")&gt;0,1,0))</f>
        <v>0</v>
      </c>
      <c r="AV40" s="39" t="n">
        <f aca="false">IF(AV$4=0,0,IF(COUNTIFS(実績!$W$6:$W$505,AV$3,実績!$AI$6:$AI$505,"&lt;="&amp;$A40,実績!$AJ$6:$AJ$505,"&gt;"&amp;$A40,実績!$AL$6:$AL$505,"○")&gt;0,1,0))</f>
        <v>0</v>
      </c>
      <c r="AW40" s="39" t="n">
        <f aca="false">IF(AW$4=0,0,IF(COUNTIFS(実績!$W$6:$W$505,AW$3,実績!$AI$6:$AI$505,"&lt;="&amp;$A40,実績!$AJ$6:$AJ$505,"&gt;"&amp;$A40,実績!$AL$6:$AL$505,"○")&gt;0,1,0))</f>
        <v>0</v>
      </c>
      <c r="AX40" s="39" t="n">
        <f aca="false">IF(AX$4=0,0,IF(COUNTIFS(実績!$W$6:$W$505,AX$3,実績!$AI$6:$AI$505,"&lt;="&amp;$A40,実績!$AJ$6:$AJ$505,"&gt;"&amp;$A40,実績!$AL$6:$AL$505,"○")&gt;0,1,0))</f>
        <v>0</v>
      </c>
      <c r="AY40" s="39" t="n">
        <f aca="false">IF(AY$4=0,0,IF(COUNTIFS(実績!$W$6:$W$505,AY$3,実績!$AI$6:$AI$505,"&lt;="&amp;$A40,実績!$AJ$6:$AJ$505,"&gt;"&amp;$A40,実績!$AL$6:$AL$505,"○")&gt;0,1,0))</f>
        <v>0</v>
      </c>
      <c r="AZ40" s="39" t="n">
        <f aca="false">IF(AZ$4=0,0,IF(COUNTIFS(実績!$W$6:$W$505,AZ$3,実績!$AI$6:$AI$505,"&lt;="&amp;$A40,実績!$AJ$6:$AJ$505,"&gt;"&amp;$A40,実績!$AL$6:$AL$505,"○")&gt;0,1,0))</f>
        <v>0</v>
      </c>
      <c r="BA40" s="39" t="n">
        <f aca="false">IF(BA$4=0,0,IF(COUNTIFS(実績!$W$6:$W$505,BA$3,実績!$AI$6:$AI$505,"&lt;="&amp;$A40,実績!$AJ$6:$AJ$505,"&gt;"&amp;$A40,実績!$AL$6:$AL$505,"○")&gt;0,1,0))</f>
        <v>0</v>
      </c>
      <c r="BB40" s="39" t="n">
        <f aca="false">IF(BB$4=0,0,IF(COUNTIFS(実績!$W$6:$W$505,BB$3,実績!$AI$6:$AI$505,"&lt;="&amp;$A40,実績!$AJ$6:$AJ$505,"&gt;"&amp;$A40,実績!$AL$6:$AL$505,"○")&gt;0,1,0))</f>
        <v>0</v>
      </c>
      <c r="BC40" s="39" t="n">
        <f aca="false">IF(BC$4=0,0,IF(COUNTIFS(実績!$W$6:$W$505,BC$3,実績!$AI$6:$AI$505,"&lt;="&amp;$A40,実績!$AJ$6:$AJ$505,"&gt;"&amp;$A40,実績!$AL$6:$AL$505,"○")&gt;0,1,0))</f>
        <v>0</v>
      </c>
      <c r="BD40" s="39" t="n">
        <f aca="false">IF(BD$4=0,0,IF(COUNTIFS(実績!$W$6:$W$505,BD$3,実績!$AI$6:$AI$505,"&lt;="&amp;$A40,実績!$AJ$6:$AJ$505,"&gt;"&amp;$A40,実績!$AL$6:$AL$505,"○")&gt;0,1,0))</f>
        <v>0</v>
      </c>
      <c r="BE40" s="39" t="n">
        <f aca="false">IF(BE$4=0,0,IF(COUNTIFS(実績!$W$6:$W$505,BE$3,実績!$AI$6:$AI$505,"&lt;="&amp;$A40,実績!$AJ$6:$AJ$505,"&gt;"&amp;$A40,実績!$AL$6:$AL$505,"○")&gt;0,1,0))</f>
        <v>0</v>
      </c>
      <c r="BF40" s="39" t="n">
        <f aca="false">IF(BF$4=0,0,IF(COUNTIFS(実績!$W$6:$W$505,BF$3,実績!$AI$6:$AI$505,"&lt;="&amp;$A40,実績!$AJ$6:$AJ$505,"&gt;"&amp;$A40,実績!$AL$6:$AL$505,"○")&gt;0,1,0))</f>
        <v>0</v>
      </c>
      <c r="BG40" s="39" t="n">
        <f aca="false">IF(BG$4=0,0,IF(COUNTIFS(実績!$W$6:$W$505,BG$3,実績!$AI$6:$AI$505,"&lt;="&amp;$A40,実績!$AJ$6:$AJ$505,"&gt;"&amp;$A40,実績!$AL$6:$AL$505,"○")&gt;0,1,0))</f>
        <v>0</v>
      </c>
      <c r="BH40" s="39" t="n">
        <f aca="false">IF(BH$4=0,0,IF(COUNTIFS(実績!$W$6:$W$505,BH$3,実績!$AI$6:$AI$505,"&lt;="&amp;$A40,実績!$AJ$6:$AJ$505,"&gt;"&amp;$A40,実績!$AL$6:$AL$505,"○")&gt;0,1,0))</f>
        <v>0</v>
      </c>
      <c r="BI40" s="39" t="n">
        <f aca="false">IF(BI$4=0,0,IF(COUNTIFS(実績!$W$6:$W$505,BI$3,実績!$AI$6:$AI$505,"&lt;="&amp;$A40,実績!$AJ$6:$AJ$505,"&gt;"&amp;$A40,実績!$AL$6:$AL$505,"○")&gt;0,1,0))</f>
        <v>0</v>
      </c>
      <c r="BJ40" s="39" t="n">
        <f aca="false">IF(BJ$4=0,0,IF(COUNTIFS(実績!$W$6:$W$505,BJ$3,実績!$AI$6:$AI$505,"&lt;="&amp;$A40,実績!$AJ$6:$AJ$505,"&gt;"&amp;$A40,実績!$AL$6:$AL$505,"○")&gt;0,1,0))</f>
        <v>0</v>
      </c>
      <c r="BK40" s="39" t="n">
        <f aca="false">IF(BK$4=0,0,IF(COUNTIFS(実績!$W$6:$W$505,BK$3,実績!$AI$6:$AI$505,"&lt;="&amp;$A40,実績!$AJ$6:$AJ$505,"&gt;"&amp;$A40,実績!$AL$6:$AL$505,"○")&gt;0,1,0))</f>
        <v>0</v>
      </c>
      <c r="BL40" s="39" t="n">
        <f aca="false">IF(BL$4=0,0,IF(COUNTIFS(実績!$W$6:$W$505,BL$3,実績!$AI$6:$AI$505,"&lt;="&amp;$A40,実績!$AJ$6:$AJ$505,"&gt;"&amp;$A40,実績!$AL$6:$AL$505,"○")&gt;0,1,0))</f>
        <v>0</v>
      </c>
      <c r="BM40" s="39" t="n">
        <f aca="false">IF(BM$4=0,0,IF(COUNTIFS(実績!$W$6:$W$505,BM$3,実績!$AI$6:$AI$505,"&lt;="&amp;$A40,実績!$AJ$6:$AJ$505,"&gt;"&amp;$A40,実績!$AL$6:$AL$505,"○")&gt;0,1,0))</f>
        <v>0</v>
      </c>
      <c r="BN40" s="39" t="n">
        <f aca="false">IF(BN$4=0,0,IF(COUNTIFS(実績!$W$6:$W$505,BN$3,実績!$AI$6:$AI$505,"&lt;="&amp;$A40,実績!$AJ$6:$AJ$505,"&gt;"&amp;$A40,実績!$AL$6:$AL$505,"○")&gt;0,1,0))</f>
        <v>0</v>
      </c>
      <c r="BO40" s="39" t="n">
        <f aca="false">IF(BO$4=0,0,IF(COUNTIFS(実績!$W$6:$W$505,BO$3,実績!$AI$6:$AI$505,"&lt;="&amp;$A40,実績!$AJ$6:$AJ$505,"&gt;"&amp;$A40,実績!$AL$6:$AL$505,"○")&gt;0,1,0))</f>
        <v>0</v>
      </c>
      <c r="BP40" s="39" t="n">
        <f aca="false">IF(BP$4=0,0,IF(COUNTIFS(実績!$W$6:$W$505,BP$3,実績!$AI$6:$AI$505,"&lt;="&amp;$A40,実績!$AJ$6:$AJ$505,"&gt;"&amp;$A40,実績!$AL$6:$AL$505,"○")&gt;0,1,0))</f>
        <v>0</v>
      </c>
      <c r="BQ40" s="39" t="n">
        <f aca="false">IF(BQ$4=0,0,IF(COUNTIFS(実績!$W$6:$W$505,BQ$3,実績!$AI$6:$AI$505,"&lt;="&amp;$A40,実績!$AJ$6:$AJ$505,"&gt;"&amp;$A40,実績!$AL$6:$AL$505,"○")&gt;0,1,0))</f>
        <v>0</v>
      </c>
      <c r="BR40" s="39" t="n">
        <f aca="false">IF(BR$4=0,0,IF(COUNTIFS(実績!$W$6:$W$505,BR$3,実績!$AI$6:$AI$505,"&lt;="&amp;$A40,実績!$AJ$6:$AJ$505,"&gt;"&amp;$A40,実績!$AL$6:$AL$505,"○")&gt;0,1,0))</f>
        <v>0</v>
      </c>
      <c r="BS40" s="39" t="n">
        <f aca="false">IF(BS$4=0,0,IF(COUNTIFS(実績!$W$6:$W$505,BS$3,実績!$AI$6:$AI$505,"&lt;="&amp;$A40,実績!$AJ$6:$AJ$505,"&gt;"&amp;$A40,実績!$AL$6:$AL$505,"○")&gt;0,1,0))</f>
        <v>0</v>
      </c>
      <c r="BT40" s="39" t="n">
        <f aca="false">IF(BT$4=0,0,IF(COUNTIFS(実績!$W$6:$W$505,BT$3,実績!$AI$6:$AI$505,"&lt;="&amp;$A40,実績!$AJ$6:$AJ$505,"&gt;"&amp;$A40,実績!$AL$6:$AL$505,"○")&gt;0,1,0))</f>
        <v>0</v>
      </c>
      <c r="BU40" s="39" t="n">
        <f aca="false">IF(BU$4=0,0,IF(COUNTIFS(実績!$W$6:$W$505,BU$3,実績!$AI$6:$AI$505,"&lt;="&amp;$A40,実績!$AJ$6:$AJ$505,"&gt;"&amp;$A40,実績!$AL$6:$AL$505,"○")&gt;0,1,0))</f>
        <v>0</v>
      </c>
      <c r="BV40" s="39" t="n">
        <f aca="false">IF(BV$4=0,0,IF(COUNTIFS(実績!$W$6:$W$505,BV$3,実績!$AI$6:$AI$505,"&lt;="&amp;$A40,実績!$AJ$6:$AJ$505,"&gt;"&amp;$A40,実績!$AL$6:$AL$505,"○")&gt;0,1,0))</f>
        <v>0</v>
      </c>
      <c r="BW40" s="39" t="n">
        <f aca="false">IF(BW$4=0,0,IF(COUNTIFS(実績!$W$6:$W$505,BW$3,実績!$AI$6:$AI$505,"&lt;="&amp;$A40,実績!$AJ$6:$AJ$505,"&gt;"&amp;$A40,実績!$AL$6:$AL$505,"○")&gt;0,1,0))</f>
        <v>0</v>
      </c>
      <c r="BX40" s="39" t="n">
        <f aca="false">IF(BX$4=0,0,IF(COUNTIFS(実績!$W$6:$W$505,BX$3,実績!$AI$6:$AI$505,"&lt;="&amp;$A40,実績!$AJ$6:$AJ$505,"&gt;"&amp;$A40,実績!$AL$6:$AL$505,"○")&gt;0,1,0))</f>
        <v>0</v>
      </c>
      <c r="BY40" s="39" t="n">
        <f aca="false">IF(BY$4=0,0,IF(COUNTIFS(実績!$W$6:$W$505,BY$3,実績!$AI$6:$AI$505,"&lt;="&amp;$A40,実績!$AJ$6:$AJ$505,"&gt;"&amp;$A40,実績!$AL$6:$AL$505,"○")&gt;0,1,0))</f>
        <v>0</v>
      </c>
      <c r="BZ40" s="39" t="n">
        <f aca="false">IF(BZ$4=0,0,IF(COUNTIFS(実績!$W$6:$W$505,BZ$3,実績!$AI$6:$AI$505,"&lt;="&amp;$A40,実績!$AJ$6:$AJ$505,"&gt;"&amp;$A40,実績!$AL$6:$AL$505,"○")&gt;0,1,0))</f>
        <v>0</v>
      </c>
      <c r="CA40" s="39" t="n">
        <f aca="false">IF(CA$4=0,0,IF(COUNTIFS(実績!$W$6:$W$505,CA$3,実績!$AI$6:$AI$505,"&lt;="&amp;$A40,実績!$AJ$6:$AJ$505,"&gt;"&amp;$A40,実績!$AL$6:$AL$505,"○")&gt;0,1,0))</f>
        <v>0</v>
      </c>
      <c r="CB40" s="39" t="n">
        <f aca="false">IF(CB$4=0,0,IF(COUNTIFS(実績!$W$6:$W$505,CB$3,実績!$AI$6:$AI$505,"&lt;="&amp;$A40,実績!$AJ$6:$AJ$505,"&gt;"&amp;$A40,実績!$AL$6:$AL$505,"○")&gt;0,1,0))</f>
        <v>0</v>
      </c>
      <c r="CC40" s="39" t="n">
        <f aca="false">IF(CC$4=0,0,IF(COUNTIFS(実績!$W$6:$W$505,CC$3,実績!$AI$6:$AI$505,"&lt;="&amp;$A40,実績!$AJ$6:$AJ$505,"&gt;"&amp;$A40,実績!$AL$6:$AL$505,"○")&gt;0,1,0))</f>
        <v>0</v>
      </c>
      <c r="CD40" s="39" t="n">
        <f aca="false">IF(CD$4=0,0,IF(COUNTIFS(実績!$W$6:$W$505,CD$3,実績!$AI$6:$AI$505,"&lt;="&amp;$A40,実績!$AJ$6:$AJ$505,"&gt;"&amp;$A40,実績!$AL$6:$AL$505,"○")&gt;0,1,0))</f>
        <v>0</v>
      </c>
      <c r="CE40" s="39" t="n">
        <f aca="false">IF(CE$4=0,0,IF(COUNTIFS(実績!$W$6:$W$505,CE$3,実績!$AI$6:$AI$505,"&lt;="&amp;$A40,実績!$AJ$6:$AJ$505,"&gt;"&amp;$A40,実績!$AL$6:$AL$505,"○")&gt;0,1,0))</f>
        <v>0</v>
      </c>
      <c r="CF40" s="39" t="n">
        <f aca="false">IF(CF$4=0,0,IF(COUNTIFS(実績!$W$6:$W$505,CF$3,実績!$AI$6:$AI$505,"&lt;="&amp;$A40,実績!$AJ$6:$AJ$505,"&gt;"&amp;$A40,実績!$AL$6:$AL$505,"○")&gt;0,1,0))</f>
        <v>0</v>
      </c>
      <c r="CG40" s="39" t="n">
        <f aca="false">IF(CG$4=0,0,IF(COUNTIFS(実績!$W$6:$W$505,CG$3,実績!$AI$6:$AI$505,"&lt;="&amp;$A40,実績!$AJ$6:$AJ$505,"&gt;"&amp;$A40,実績!$AL$6:$AL$505,"○")&gt;0,1,0))</f>
        <v>0</v>
      </c>
      <c r="CH40" s="39" t="n">
        <f aca="false">IF(CH$4=0,0,IF(COUNTIFS(実績!$W$6:$W$505,CH$3,実績!$AI$6:$AI$505,"&lt;="&amp;$A40,実績!$AJ$6:$AJ$505,"&gt;"&amp;$A40,実績!$AL$6:$AL$505,"○")&gt;0,1,0))</f>
        <v>0</v>
      </c>
      <c r="CI40" s="39" t="n">
        <f aca="false">IF(CI$4=0,0,IF(COUNTIFS(実績!$W$6:$W$505,CI$3,実績!$AI$6:$AI$505,"&lt;="&amp;$A40,実績!$AJ$6:$AJ$505,"&gt;"&amp;$A40,実績!$AL$6:$AL$505,"○")&gt;0,1,0))</f>
        <v>0</v>
      </c>
      <c r="CJ40" s="39" t="n">
        <f aca="false">IF(CJ$4=0,0,IF(COUNTIFS(実績!$W$6:$W$505,CJ$3,実績!$AI$6:$AI$505,"&lt;="&amp;$A40,実績!$AJ$6:$AJ$505,"&gt;"&amp;$A40,実績!$AL$6:$AL$505,"○")&gt;0,1,0))</f>
        <v>0</v>
      </c>
      <c r="CK40" s="39" t="n">
        <f aca="false">IF(CK$4=0,0,IF(COUNTIFS(実績!$W$6:$W$505,CK$3,実績!$AI$6:$AI$505,"&lt;="&amp;$A40,実績!$AJ$6:$AJ$505,"&gt;"&amp;$A40,実績!$AL$6:$AL$505,"○")&gt;0,1,0))</f>
        <v>0</v>
      </c>
      <c r="CL40" s="39" t="n">
        <f aca="false">IF(CL$4=0,0,IF(COUNTIFS(実績!$W$6:$W$505,CL$3,実績!$AI$6:$AI$505,"&lt;="&amp;$A40,実績!$AJ$6:$AJ$505,"&gt;"&amp;$A40,実績!$AL$6:$AL$505,"○")&gt;0,1,0))</f>
        <v>0</v>
      </c>
      <c r="CM40" s="39" t="n">
        <f aca="false">IF(CM$4=0,0,IF(COUNTIFS(実績!$W$6:$W$505,CM$3,実績!$AI$6:$AI$505,"&lt;="&amp;$A40,実績!$AJ$6:$AJ$505,"&gt;"&amp;$A40,実績!$AL$6:$AL$505,"○")&gt;0,1,0))</f>
        <v>0</v>
      </c>
      <c r="CN40" s="39" t="n">
        <f aca="false">IF(CN$4=0,0,IF(COUNTIFS(実績!$W$6:$W$505,CN$3,実績!$AI$6:$AI$505,"&lt;="&amp;$A40,実績!$AJ$6:$AJ$505,"&gt;"&amp;$A40,実績!$AL$6:$AL$505,"○")&gt;0,1,0))</f>
        <v>0</v>
      </c>
      <c r="CO40" s="39" t="n">
        <f aca="false">IF(CO$4=0,0,IF(COUNTIFS(実績!$W$6:$W$505,CO$3,実績!$AI$6:$AI$505,"&lt;="&amp;$A40,実績!$AJ$6:$AJ$505,"&gt;"&amp;$A40,実績!$AL$6:$AL$505,"○")&gt;0,1,0))</f>
        <v>0</v>
      </c>
      <c r="CP40" s="39" t="n">
        <f aca="false">IF(CP$4=0,0,IF(COUNTIFS(実績!$W$6:$W$505,CP$3,実績!$AI$6:$AI$505,"&lt;="&amp;$A40,実績!$AJ$6:$AJ$505,"&gt;"&amp;$A40,実績!$AL$6:$AL$505,"○")&gt;0,1,0))</f>
        <v>0</v>
      </c>
      <c r="CQ40" s="39" t="n">
        <f aca="false">IF(CQ$4=0,0,IF(COUNTIFS(実績!$W$6:$W$505,CQ$3,実績!$AI$6:$AI$505,"&lt;="&amp;$A40,実績!$AJ$6:$AJ$505,"&gt;"&amp;$A40,実績!$AL$6:$AL$505,"○")&gt;0,1,0))</f>
        <v>0</v>
      </c>
      <c r="CR40" s="39" t="n">
        <f aca="false">IF(CR$4=0,0,IF(COUNTIFS(実績!$W$6:$W$505,CR$3,実績!$AI$6:$AI$505,"&lt;="&amp;$A40,実績!$AJ$6:$AJ$505,"&gt;"&amp;$A40,実績!$AL$6:$AL$505,"○")&gt;0,1,0))</f>
        <v>0</v>
      </c>
      <c r="CS40" s="39" t="n">
        <f aca="false">IF(CS$4=0,0,IF(COUNTIFS(実績!$W$6:$W$505,CS$3,実績!$AI$6:$AI$505,"&lt;="&amp;$A40,実績!$AJ$6:$AJ$505,"&gt;"&amp;$A40,実績!$AL$6:$AL$505,"○")&gt;0,1,0))</f>
        <v>0</v>
      </c>
      <c r="CT40" s="39" t="n">
        <f aca="false">IF(CT$4=0,0,IF(COUNTIFS(実績!$W$6:$W$505,CT$3,実績!$AI$6:$AI$505,"&lt;="&amp;$A40,実績!$AJ$6:$AJ$505,"&gt;"&amp;$A40,実績!$AL$6:$AL$505,"○")&gt;0,1,0))</f>
        <v>0</v>
      </c>
      <c r="CU40" s="39" t="n">
        <f aca="false">IF(CU$4=0,0,IF(COUNTIFS(実績!$W$6:$W$505,CU$3,実績!$AI$6:$AI$505,"&lt;="&amp;$A40,実績!$AJ$6:$AJ$505,"&gt;"&amp;$A40,実績!$AL$6:$AL$505,"○")&gt;0,1,0))</f>
        <v>0</v>
      </c>
      <c r="CV40" s="39" t="n">
        <f aca="false">IF(CV$4=0,0,IF(COUNTIFS(実績!$W$6:$W$505,CV$3,実績!$AI$6:$AI$505,"&lt;="&amp;$A40,実績!$AJ$6:$AJ$505,"&gt;"&amp;$A40,実績!$AL$6:$AL$505,"○")&gt;0,1,0))</f>
        <v>0</v>
      </c>
      <c r="CW40" s="39" t="n">
        <f aca="false">IF(CW$4=0,0,IF(COUNTIFS(実績!$W$6:$W$505,CW$3,実績!$AI$6:$AI$505,"&lt;="&amp;$A40,実績!$AJ$6:$AJ$505,"&gt;"&amp;$A40,実績!$AL$6:$AL$505,"○")&gt;0,1,0))</f>
        <v>0</v>
      </c>
      <c r="CX40" s="39" t="n">
        <f aca="false">IF(CX$4=0,0,IF(COUNTIFS(実績!$W$6:$W$505,CX$3,実績!$AI$6:$AI$505,"&lt;="&amp;$A40,実績!$AJ$6:$AJ$505,"&gt;"&amp;$A40,実績!$AL$6:$AL$505,"○")&gt;0,1,0))</f>
        <v>0</v>
      </c>
      <c r="CY40" s="39" t="n">
        <f aca="false">IF(CY$4=0,0,IF(COUNTIFS(実績!$W$6:$W$505,CY$3,実績!$AI$6:$AI$505,"&lt;="&amp;$A40,実績!$AJ$6:$AJ$505,"&gt;"&amp;$A40,実績!$AL$6:$AL$505,"○")&gt;0,1,0))</f>
        <v>0</v>
      </c>
      <c r="CZ40" s="39" t="n">
        <f aca="false">IF(CZ$4=0,0,IF(COUNTIFS(実績!$W$6:$W$505,CZ$3,実績!$AI$6:$AI$505,"&lt;="&amp;$A40,実績!$AJ$6:$AJ$505,"&gt;"&amp;$A40,実績!$AL$6:$AL$505,"○")&gt;0,1,0))</f>
        <v>0</v>
      </c>
      <c r="DA40" s="39" t="n">
        <f aca="false">IF(DA$4=0,0,IF(COUNTIFS(実績!$W$6:$W$505,DA$3,実績!$AI$6:$AI$505,"&lt;="&amp;$A40,実績!$AJ$6:$AJ$505,"&gt;"&amp;$A40,実績!$AL$6:$AL$505,"○")&gt;0,1,0))</f>
        <v>0</v>
      </c>
      <c r="DB40" s="39" t="n">
        <f aca="false">IF(DB$4=0,0,IF(COUNTIFS(実績!$W$6:$W$505,DB$3,実績!$AI$6:$AI$505,"&lt;="&amp;$A40,実績!$AJ$6:$AJ$505,"&gt;"&amp;$A40,実績!$AL$6:$AL$505,"○")&gt;0,1,0))</f>
        <v>0</v>
      </c>
      <c r="DC40" s="39" t="n">
        <f aca="false">IF(DC$4=0,0,IF(COUNTIFS(実績!$W$6:$W$505,DC$3,実績!$AI$6:$AI$505,"&lt;="&amp;$A40,実績!$AJ$6:$AJ$505,"&gt;"&amp;$A40,実績!$AL$6:$AL$505,"○")&gt;0,1,0))</f>
        <v>0</v>
      </c>
      <c r="DD40" s="39" t="n">
        <f aca="false">IF(DD$4=0,0,IF(COUNTIFS(実績!$W$6:$W$505,DD$3,実績!$AI$6:$AI$505,"&lt;="&amp;$A40,実績!$AJ$6:$AJ$505,"&gt;"&amp;$A40,実績!$AL$6:$AL$505,"○")&gt;0,1,0))</f>
        <v>0</v>
      </c>
      <c r="DE40" s="39" t="n">
        <f aca="false">IF(DE$4=0,0,IF(COUNTIFS(実績!$W$6:$W$505,DE$3,実績!$AI$6:$AI$505,"&lt;="&amp;$A40,実績!$AJ$6:$AJ$505,"&gt;"&amp;$A40,実績!$AL$6:$AL$505,"○")&gt;0,1,0))</f>
        <v>0</v>
      </c>
      <c r="DF40" s="39" t="n">
        <f aca="false">IF(DF$4=0,0,IF(COUNTIFS(実績!$W$6:$W$505,DF$3,実績!$AI$6:$AI$505,"&lt;="&amp;$A40,実績!$AJ$6:$AJ$505,"&gt;"&amp;$A40,実績!$AL$6:$AL$505,"○")&gt;0,1,0))</f>
        <v>0</v>
      </c>
      <c r="DG40" s="39" t="n">
        <f aca="false">IF(DG$4=0,0,IF(COUNTIFS(実績!$W$6:$W$505,DG$3,実績!$AI$6:$AI$505,"&lt;="&amp;$A40,実績!$AJ$6:$AJ$505,"&gt;"&amp;$A40,実績!$AL$6:$AL$505,"○")&gt;0,1,0))</f>
        <v>0</v>
      </c>
      <c r="DH40" s="39" t="n">
        <f aca="false">IF(DH$4=0,0,IF(COUNTIFS(実績!$W$6:$W$505,DH$3,実績!$AI$6:$AI$505,"&lt;="&amp;$A40,実績!$AJ$6:$AJ$505,"&gt;"&amp;$A40,実績!$AL$6:$AL$505,"○")&gt;0,1,0))</f>
        <v>0</v>
      </c>
      <c r="DI40" s="39" t="n">
        <f aca="false">IF(DI$4=0,0,IF(COUNTIFS(実績!$W$6:$W$505,DI$3,実績!$AI$6:$AI$505,"&lt;="&amp;$A40,実績!$AJ$6:$AJ$505,"&gt;"&amp;$A40,実績!$AL$6:$AL$505,"○")&gt;0,1,0))</f>
        <v>0</v>
      </c>
      <c r="DJ40" s="39" t="n">
        <f aca="false">IF(DJ$4=0,0,IF(COUNTIFS(実績!$W$6:$W$505,DJ$3,実績!$AI$6:$AI$505,"&lt;="&amp;$A40,実績!$AJ$6:$AJ$505,"&gt;"&amp;$A40,実績!$AL$6:$AL$505,"○")&gt;0,1,0))</f>
        <v>0</v>
      </c>
      <c r="DK40" s="39" t="n">
        <f aca="false">IF(DK$4=0,0,IF(COUNTIFS(実績!$W$6:$W$505,DK$3,実績!$AI$6:$AI$505,"&lt;="&amp;$A40,実績!$AJ$6:$AJ$505,"&gt;"&amp;$A40,実績!$AL$6:$AL$505,"○")&gt;0,1,0))</f>
        <v>0</v>
      </c>
      <c r="DL40" s="39" t="n">
        <f aca="false">IF(DL$4=0,0,IF(COUNTIFS(実績!$W$6:$W$505,DL$3,実績!$AI$6:$AI$505,"&lt;="&amp;$A40,実績!$AJ$6:$AJ$505,"&gt;"&amp;$A40,実績!$AL$6:$AL$505,"○")&gt;0,1,0))</f>
        <v>0</v>
      </c>
      <c r="DM40" s="39" t="n">
        <f aca="false">IF(DM$4=0,0,IF(COUNTIFS(実績!$W$6:$W$505,DM$3,実績!$AI$6:$AI$505,"&lt;="&amp;$A40,実績!$AJ$6:$AJ$505,"&gt;"&amp;$A40,実績!$AL$6:$AL$505,"○")&gt;0,1,0))</f>
        <v>0</v>
      </c>
      <c r="DN40" s="39" t="n">
        <f aca="false">IF(DN$4=0,0,IF(COUNTIFS(実績!$W$6:$W$505,DN$3,実績!$AI$6:$AI$505,"&lt;="&amp;$A40,実績!$AJ$6:$AJ$505,"&gt;"&amp;$A40,実績!$AL$6:$AL$505,"○")&gt;0,1,0))</f>
        <v>0</v>
      </c>
      <c r="DO40" s="39" t="n">
        <f aca="false">IF(DO$4=0,0,IF(COUNTIFS(実績!$W$6:$W$505,DO$3,実績!$AI$6:$AI$505,"&lt;="&amp;$A40,実績!$AJ$6:$AJ$505,"&gt;"&amp;$A40,実績!$AL$6:$AL$505,"○")&gt;0,1,0))</f>
        <v>0</v>
      </c>
      <c r="DP40" s="39" t="n">
        <f aca="false">IF(DP$4=0,0,IF(COUNTIFS(実績!$W$6:$W$505,DP$3,実績!$AI$6:$AI$505,"&lt;="&amp;$A40,実績!$AJ$6:$AJ$505,"&gt;"&amp;$A40,実績!$AL$6:$AL$505,"○")&gt;0,1,0))</f>
        <v>0</v>
      </c>
      <c r="DQ40" s="39" t="n">
        <f aca="false">IF(DQ$4=0,0,IF(COUNTIFS(実績!$W$6:$W$505,DQ$3,実績!$AI$6:$AI$505,"&lt;="&amp;$A40,実績!$AJ$6:$AJ$505,"&gt;"&amp;$A40,実績!$AL$6:$AL$505,"○")&gt;0,1,0))</f>
        <v>0</v>
      </c>
      <c r="DR40" s="39" t="n">
        <f aca="false">IF(DR$4=0,0,IF(COUNTIFS(実績!$W$6:$W$505,DR$3,実績!$AI$6:$AI$505,"&lt;="&amp;$A40,実績!$AJ$6:$AJ$505,"&gt;"&amp;$A40,実績!$AL$6:$AL$505,"○")&gt;0,1,0))</f>
        <v>0</v>
      </c>
      <c r="DS40" s="39" t="n">
        <f aca="false">SUM(C40:DR40)</f>
        <v>0</v>
      </c>
    </row>
    <row r="41" customFormat="false" ht="15" hidden="false" customHeight="false" outlineLevel="0" collapsed="false">
      <c r="A41" s="0" t="n">
        <v>175</v>
      </c>
      <c r="B41" s="38" t="n">
        <f aca="false">A41/1440</f>
        <v>0.121527777777778</v>
      </c>
      <c r="C41" s="39" t="n">
        <f aca="false">IF(C$4=0,0,IF(COUNTIFS(実績!$W$6:$W$505,C$3,実績!$AI$6:$AI$505,"&lt;="&amp;$A41,実績!$AJ$6:$AJ$505,"&gt;"&amp;$A41,実績!$AL$6:$AL$505,"○")&gt;0,1,0))</f>
        <v>0</v>
      </c>
      <c r="D41" s="39" t="n">
        <f aca="false">IF(D$4=0,0,IF(COUNTIFS(実績!$W$6:$W$505,D$3,実績!$AI$6:$AI$505,"&lt;="&amp;$A41,実績!$AJ$6:$AJ$505,"&gt;"&amp;$A41,実績!$AL$6:$AL$505,"○")&gt;0,1,0))</f>
        <v>0</v>
      </c>
      <c r="E41" s="39" t="n">
        <f aca="false">IF(E$4=0,0,IF(COUNTIFS(実績!$W$6:$W$505,E$3,実績!$AI$6:$AI$505,"&lt;="&amp;$A41,実績!$AJ$6:$AJ$505,"&gt;"&amp;$A41,実績!$AL$6:$AL$505,"○")&gt;0,1,0))</f>
        <v>0</v>
      </c>
      <c r="F41" s="39" t="n">
        <f aca="false">IF(F$4=0,0,IF(COUNTIFS(実績!$W$6:$W$505,F$3,実績!$AI$6:$AI$505,"&lt;="&amp;$A41,実績!$AJ$6:$AJ$505,"&gt;"&amp;$A41,実績!$AL$6:$AL$505,"○")&gt;0,1,0))</f>
        <v>0</v>
      </c>
      <c r="G41" s="39" t="n">
        <f aca="false">IF(G$4=0,0,IF(COUNTIFS(実績!$W$6:$W$505,G$3,実績!$AI$6:$AI$505,"&lt;="&amp;$A41,実績!$AJ$6:$AJ$505,"&gt;"&amp;$A41,実績!$AL$6:$AL$505,"○")&gt;0,1,0))</f>
        <v>0</v>
      </c>
      <c r="H41" s="39" t="n">
        <f aca="false">IF(H$4=0,0,IF(COUNTIFS(実績!$W$6:$W$505,H$3,実績!$AI$6:$AI$505,"&lt;="&amp;$A41,実績!$AJ$6:$AJ$505,"&gt;"&amp;$A41,実績!$AL$6:$AL$505,"○")&gt;0,1,0))</f>
        <v>0</v>
      </c>
      <c r="I41" s="39" t="n">
        <f aca="false">IF(I$4=0,0,IF(COUNTIFS(実績!$W$6:$W$505,I$3,実績!$AI$6:$AI$505,"&lt;="&amp;$A41,実績!$AJ$6:$AJ$505,"&gt;"&amp;$A41,実績!$AL$6:$AL$505,"○")&gt;0,1,0))</f>
        <v>0</v>
      </c>
      <c r="J41" s="39" t="n">
        <f aca="false">IF(J$4=0,0,IF(COUNTIFS(実績!$W$6:$W$505,J$3,実績!$AI$6:$AI$505,"&lt;="&amp;$A41,実績!$AJ$6:$AJ$505,"&gt;"&amp;$A41,実績!$AL$6:$AL$505,"○")&gt;0,1,0))</f>
        <v>0</v>
      </c>
      <c r="K41" s="39" t="n">
        <f aca="false">IF(K$4=0,0,IF(COUNTIFS(実績!$W$6:$W$505,K$3,実績!$AI$6:$AI$505,"&lt;="&amp;$A41,実績!$AJ$6:$AJ$505,"&gt;"&amp;$A41,実績!$AL$6:$AL$505,"○")&gt;0,1,0))</f>
        <v>0</v>
      </c>
      <c r="L41" s="39" t="n">
        <f aca="false">IF(L$4=0,0,IF(COUNTIFS(実績!$W$6:$W$505,L$3,実績!$AI$6:$AI$505,"&lt;="&amp;$A41,実績!$AJ$6:$AJ$505,"&gt;"&amp;$A41,実績!$AL$6:$AL$505,"○")&gt;0,1,0))</f>
        <v>0</v>
      </c>
      <c r="M41" s="39" t="n">
        <f aca="false">IF(M$4=0,0,IF(COUNTIFS(実績!$W$6:$W$505,M$3,実績!$AI$6:$AI$505,"&lt;="&amp;$A41,実績!$AJ$6:$AJ$505,"&gt;"&amp;$A41,実績!$AL$6:$AL$505,"○")&gt;0,1,0))</f>
        <v>0</v>
      </c>
      <c r="N41" s="39" t="n">
        <f aca="false">IF(N$4=0,0,IF(COUNTIFS(実績!$W$6:$W$505,N$3,実績!$AI$6:$AI$505,"&lt;="&amp;$A41,実績!$AJ$6:$AJ$505,"&gt;"&amp;$A41,実績!$AL$6:$AL$505,"○")&gt;0,1,0))</f>
        <v>0</v>
      </c>
      <c r="O41" s="39" t="n">
        <f aca="false">IF(O$4=0,0,IF(COUNTIFS(実績!$W$6:$W$505,O$3,実績!$AI$6:$AI$505,"&lt;="&amp;$A41,実績!$AJ$6:$AJ$505,"&gt;"&amp;$A41,実績!$AL$6:$AL$505,"○")&gt;0,1,0))</f>
        <v>0</v>
      </c>
      <c r="P41" s="39" t="n">
        <f aca="false">IF(P$4=0,0,IF(COUNTIFS(実績!$W$6:$W$505,P$3,実績!$AI$6:$AI$505,"&lt;="&amp;$A41,実績!$AJ$6:$AJ$505,"&gt;"&amp;$A41,実績!$AL$6:$AL$505,"○")&gt;0,1,0))</f>
        <v>0</v>
      </c>
      <c r="Q41" s="39" t="n">
        <f aca="false">IF(Q$4=0,0,IF(COUNTIFS(実績!$W$6:$W$505,Q$3,実績!$AI$6:$AI$505,"&lt;="&amp;$A41,実績!$AJ$6:$AJ$505,"&gt;"&amp;$A41,実績!$AL$6:$AL$505,"○")&gt;0,1,0))</f>
        <v>0</v>
      </c>
      <c r="R41" s="39" t="n">
        <f aca="false">IF(R$4=0,0,IF(COUNTIFS(実績!$W$6:$W$505,R$3,実績!$AI$6:$AI$505,"&lt;="&amp;$A41,実績!$AJ$6:$AJ$505,"&gt;"&amp;$A41,実績!$AL$6:$AL$505,"○")&gt;0,1,0))</f>
        <v>0</v>
      </c>
      <c r="S41" s="39" t="n">
        <f aca="false">IF(S$4=0,0,IF(COUNTIFS(実績!$W$6:$W$505,S$3,実績!$AI$6:$AI$505,"&lt;="&amp;$A41,実績!$AJ$6:$AJ$505,"&gt;"&amp;$A41,実績!$AL$6:$AL$505,"○")&gt;0,1,0))</f>
        <v>0</v>
      </c>
      <c r="T41" s="39" t="n">
        <f aca="false">IF(T$4=0,0,IF(COUNTIFS(実績!$W$6:$W$505,T$3,実績!$AI$6:$AI$505,"&lt;="&amp;$A41,実績!$AJ$6:$AJ$505,"&gt;"&amp;$A41,実績!$AL$6:$AL$505,"○")&gt;0,1,0))</f>
        <v>0</v>
      </c>
      <c r="U41" s="39" t="n">
        <f aca="false">IF(U$4=0,0,IF(COUNTIFS(実績!$W$6:$W$505,U$3,実績!$AI$6:$AI$505,"&lt;="&amp;$A41,実績!$AJ$6:$AJ$505,"&gt;"&amp;$A41,実績!$AL$6:$AL$505,"○")&gt;0,1,0))</f>
        <v>0</v>
      </c>
      <c r="V41" s="39" t="n">
        <f aca="false">IF(V$4=0,0,IF(COUNTIFS(実績!$W$6:$W$505,V$3,実績!$AI$6:$AI$505,"&lt;="&amp;$A41,実績!$AJ$6:$AJ$505,"&gt;"&amp;$A41,実績!$AL$6:$AL$505,"○")&gt;0,1,0))</f>
        <v>0</v>
      </c>
      <c r="W41" s="39" t="n">
        <f aca="false">IF(W$4=0,0,IF(COUNTIFS(実績!$W$6:$W$505,W$3,実績!$AI$6:$AI$505,"&lt;="&amp;$A41,実績!$AJ$6:$AJ$505,"&gt;"&amp;$A41,実績!$AL$6:$AL$505,"○")&gt;0,1,0))</f>
        <v>0</v>
      </c>
      <c r="X41" s="39" t="n">
        <f aca="false">IF(X$4=0,0,IF(COUNTIFS(実績!$W$6:$W$505,X$3,実績!$AI$6:$AI$505,"&lt;="&amp;$A41,実績!$AJ$6:$AJ$505,"&gt;"&amp;$A41,実績!$AL$6:$AL$505,"○")&gt;0,1,0))</f>
        <v>0</v>
      </c>
      <c r="Y41" s="39" t="n">
        <f aca="false">IF(Y$4=0,0,IF(COUNTIFS(実績!$W$6:$W$505,Y$3,実績!$AI$6:$AI$505,"&lt;="&amp;$A41,実績!$AJ$6:$AJ$505,"&gt;"&amp;$A41,実績!$AL$6:$AL$505,"○")&gt;0,1,0))</f>
        <v>0</v>
      </c>
      <c r="Z41" s="39" t="n">
        <f aca="false">IF(Z$4=0,0,IF(COUNTIFS(実績!$W$6:$W$505,Z$3,実績!$AI$6:$AI$505,"&lt;="&amp;$A41,実績!$AJ$6:$AJ$505,"&gt;"&amp;$A41,実績!$AL$6:$AL$505,"○")&gt;0,1,0))</f>
        <v>0</v>
      </c>
      <c r="AA41" s="39" t="n">
        <f aca="false">IF(AA$4=0,0,IF(COUNTIFS(実績!$W$6:$W$505,AA$3,実績!$AI$6:$AI$505,"&lt;="&amp;$A41,実績!$AJ$6:$AJ$505,"&gt;"&amp;$A41,実績!$AL$6:$AL$505,"○")&gt;0,1,0))</f>
        <v>0</v>
      </c>
      <c r="AB41" s="39" t="n">
        <f aca="false">IF(AB$4=0,0,IF(COUNTIFS(実績!$W$6:$W$505,AB$3,実績!$AI$6:$AI$505,"&lt;="&amp;$A41,実績!$AJ$6:$AJ$505,"&gt;"&amp;$A41,実績!$AL$6:$AL$505,"○")&gt;0,1,0))</f>
        <v>0</v>
      </c>
      <c r="AC41" s="39" t="n">
        <f aca="false">IF(AC$4=0,0,IF(COUNTIFS(実績!$W$6:$W$505,AC$3,実績!$AI$6:$AI$505,"&lt;="&amp;$A41,実績!$AJ$6:$AJ$505,"&gt;"&amp;$A41,実績!$AL$6:$AL$505,"○")&gt;0,1,0))</f>
        <v>0</v>
      </c>
      <c r="AD41" s="39" t="n">
        <f aca="false">IF(AD$4=0,0,IF(COUNTIFS(実績!$W$6:$W$505,AD$3,実績!$AI$6:$AI$505,"&lt;="&amp;$A41,実績!$AJ$6:$AJ$505,"&gt;"&amp;$A41,実績!$AL$6:$AL$505,"○")&gt;0,1,0))</f>
        <v>0</v>
      </c>
      <c r="AE41" s="39" t="n">
        <f aca="false">IF(AE$4=0,0,IF(COUNTIFS(実績!$W$6:$W$505,AE$3,実績!$AI$6:$AI$505,"&lt;="&amp;$A41,実績!$AJ$6:$AJ$505,"&gt;"&amp;$A41,実績!$AL$6:$AL$505,"○")&gt;0,1,0))</f>
        <v>0</v>
      </c>
      <c r="AF41" s="39" t="n">
        <f aca="false">IF(AF$4=0,0,IF(COUNTIFS(実績!$W$6:$W$505,AF$3,実績!$AI$6:$AI$505,"&lt;="&amp;$A41,実績!$AJ$6:$AJ$505,"&gt;"&amp;$A41,実績!$AL$6:$AL$505,"○")&gt;0,1,0))</f>
        <v>0</v>
      </c>
      <c r="AG41" s="39" t="n">
        <f aca="false">IF(AG$4=0,0,IF(COUNTIFS(実績!$W$6:$W$505,AG$3,実績!$AI$6:$AI$505,"&lt;="&amp;$A41,実績!$AJ$6:$AJ$505,"&gt;"&amp;$A41,実績!$AL$6:$AL$505,"○")&gt;0,1,0))</f>
        <v>0</v>
      </c>
      <c r="AH41" s="39" t="n">
        <f aca="false">IF(AH$4=0,0,IF(COUNTIFS(実績!$W$6:$W$505,AH$3,実績!$AI$6:$AI$505,"&lt;="&amp;$A41,実績!$AJ$6:$AJ$505,"&gt;"&amp;$A41,実績!$AL$6:$AL$505,"○")&gt;0,1,0))</f>
        <v>0</v>
      </c>
      <c r="AI41" s="39" t="n">
        <f aca="false">IF(AI$4=0,0,IF(COUNTIFS(実績!$W$6:$W$505,AI$3,実績!$AI$6:$AI$505,"&lt;="&amp;$A41,実績!$AJ$6:$AJ$505,"&gt;"&amp;$A41,実績!$AL$6:$AL$505,"○")&gt;0,1,0))</f>
        <v>0</v>
      </c>
      <c r="AJ41" s="39" t="n">
        <f aca="false">IF(AJ$4=0,0,IF(COUNTIFS(実績!$W$6:$W$505,AJ$3,実績!$AI$6:$AI$505,"&lt;="&amp;$A41,実績!$AJ$6:$AJ$505,"&gt;"&amp;$A41,実績!$AL$6:$AL$505,"○")&gt;0,1,0))</f>
        <v>0</v>
      </c>
      <c r="AK41" s="39" t="n">
        <f aca="false">IF(AK$4=0,0,IF(COUNTIFS(実績!$W$6:$W$505,AK$3,実績!$AI$6:$AI$505,"&lt;="&amp;$A41,実績!$AJ$6:$AJ$505,"&gt;"&amp;$A41,実績!$AL$6:$AL$505,"○")&gt;0,1,0))</f>
        <v>0</v>
      </c>
      <c r="AL41" s="39" t="n">
        <f aca="false">IF(AL$4=0,0,IF(COUNTIFS(実績!$W$6:$W$505,AL$3,実績!$AI$6:$AI$505,"&lt;="&amp;$A41,実績!$AJ$6:$AJ$505,"&gt;"&amp;$A41,実績!$AL$6:$AL$505,"○")&gt;0,1,0))</f>
        <v>0</v>
      </c>
      <c r="AM41" s="39" t="n">
        <f aca="false">IF(AM$4=0,0,IF(COUNTIFS(実績!$W$6:$W$505,AM$3,実績!$AI$6:$AI$505,"&lt;="&amp;$A41,実績!$AJ$6:$AJ$505,"&gt;"&amp;$A41,実績!$AL$6:$AL$505,"○")&gt;0,1,0))</f>
        <v>0</v>
      </c>
      <c r="AN41" s="39" t="n">
        <f aca="false">IF(AN$4=0,0,IF(COUNTIFS(実績!$W$6:$W$505,AN$3,実績!$AI$6:$AI$505,"&lt;="&amp;$A41,実績!$AJ$6:$AJ$505,"&gt;"&amp;$A41,実績!$AL$6:$AL$505,"○")&gt;0,1,0))</f>
        <v>0</v>
      </c>
      <c r="AO41" s="39" t="n">
        <f aca="false">IF(AO$4=0,0,IF(COUNTIFS(実績!$W$6:$W$505,AO$3,実績!$AI$6:$AI$505,"&lt;="&amp;$A41,実績!$AJ$6:$AJ$505,"&gt;"&amp;$A41,実績!$AL$6:$AL$505,"○")&gt;0,1,0))</f>
        <v>0</v>
      </c>
      <c r="AP41" s="39" t="n">
        <f aca="false">IF(AP$4=0,0,IF(COUNTIFS(実績!$W$6:$W$505,AP$3,実績!$AI$6:$AI$505,"&lt;="&amp;$A41,実績!$AJ$6:$AJ$505,"&gt;"&amp;$A41,実績!$AL$6:$AL$505,"○")&gt;0,1,0))</f>
        <v>0</v>
      </c>
      <c r="AQ41" s="39" t="n">
        <f aca="false">IF(AQ$4=0,0,IF(COUNTIFS(実績!$W$6:$W$505,AQ$3,実績!$AI$6:$AI$505,"&lt;="&amp;$A41,実績!$AJ$6:$AJ$505,"&gt;"&amp;$A41,実績!$AL$6:$AL$505,"○")&gt;0,1,0))</f>
        <v>0</v>
      </c>
      <c r="AR41" s="39" t="n">
        <f aca="false">IF(AR$4=0,0,IF(COUNTIFS(実績!$W$6:$W$505,AR$3,実績!$AI$6:$AI$505,"&lt;="&amp;$A41,実績!$AJ$6:$AJ$505,"&gt;"&amp;$A41,実績!$AL$6:$AL$505,"○")&gt;0,1,0))</f>
        <v>0</v>
      </c>
      <c r="AS41" s="39" t="n">
        <f aca="false">IF(AS$4=0,0,IF(COUNTIFS(実績!$W$6:$W$505,AS$3,実績!$AI$6:$AI$505,"&lt;="&amp;$A41,実績!$AJ$6:$AJ$505,"&gt;"&amp;$A41,実績!$AL$6:$AL$505,"○")&gt;0,1,0))</f>
        <v>0</v>
      </c>
      <c r="AT41" s="39" t="n">
        <f aca="false">IF(AT$4=0,0,IF(COUNTIFS(実績!$W$6:$W$505,AT$3,実績!$AI$6:$AI$505,"&lt;="&amp;$A41,実績!$AJ$6:$AJ$505,"&gt;"&amp;$A41,実績!$AL$6:$AL$505,"○")&gt;0,1,0))</f>
        <v>0</v>
      </c>
      <c r="AU41" s="39" t="n">
        <f aca="false">IF(AU$4=0,0,IF(COUNTIFS(実績!$W$6:$W$505,AU$3,実績!$AI$6:$AI$505,"&lt;="&amp;$A41,実績!$AJ$6:$AJ$505,"&gt;"&amp;$A41,実績!$AL$6:$AL$505,"○")&gt;0,1,0))</f>
        <v>0</v>
      </c>
      <c r="AV41" s="39" t="n">
        <f aca="false">IF(AV$4=0,0,IF(COUNTIFS(実績!$W$6:$W$505,AV$3,実績!$AI$6:$AI$505,"&lt;="&amp;$A41,実績!$AJ$6:$AJ$505,"&gt;"&amp;$A41,実績!$AL$6:$AL$505,"○")&gt;0,1,0))</f>
        <v>0</v>
      </c>
      <c r="AW41" s="39" t="n">
        <f aca="false">IF(AW$4=0,0,IF(COUNTIFS(実績!$W$6:$W$505,AW$3,実績!$AI$6:$AI$505,"&lt;="&amp;$A41,実績!$AJ$6:$AJ$505,"&gt;"&amp;$A41,実績!$AL$6:$AL$505,"○")&gt;0,1,0))</f>
        <v>0</v>
      </c>
      <c r="AX41" s="39" t="n">
        <f aca="false">IF(AX$4=0,0,IF(COUNTIFS(実績!$W$6:$W$505,AX$3,実績!$AI$6:$AI$505,"&lt;="&amp;$A41,実績!$AJ$6:$AJ$505,"&gt;"&amp;$A41,実績!$AL$6:$AL$505,"○")&gt;0,1,0))</f>
        <v>0</v>
      </c>
      <c r="AY41" s="39" t="n">
        <f aca="false">IF(AY$4=0,0,IF(COUNTIFS(実績!$W$6:$W$505,AY$3,実績!$AI$6:$AI$505,"&lt;="&amp;$A41,実績!$AJ$6:$AJ$505,"&gt;"&amp;$A41,実績!$AL$6:$AL$505,"○")&gt;0,1,0))</f>
        <v>0</v>
      </c>
      <c r="AZ41" s="39" t="n">
        <f aca="false">IF(AZ$4=0,0,IF(COUNTIFS(実績!$W$6:$W$505,AZ$3,実績!$AI$6:$AI$505,"&lt;="&amp;$A41,実績!$AJ$6:$AJ$505,"&gt;"&amp;$A41,実績!$AL$6:$AL$505,"○")&gt;0,1,0))</f>
        <v>0</v>
      </c>
      <c r="BA41" s="39" t="n">
        <f aca="false">IF(BA$4=0,0,IF(COUNTIFS(実績!$W$6:$W$505,BA$3,実績!$AI$6:$AI$505,"&lt;="&amp;$A41,実績!$AJ$6:$AJ$505,"&gt;"&amp;$A41,実績!$AL$6:$AL$505,"○")&gt;0,1,0))</f>
        <v>0</v>
      </c>
      <c r="BB41" s="39" t="n">
        <f aca="false">IF(BB$4=0,0,IF(COUNTIFS(実績!$W$6:$W$505,BB$3,実績!$AI$6:$AI$505,"&lt;="&amp;$A41,実績!$AJ$6:$AJ$505,"&gt;"&amp;$A41,実績!$AL$6:$AL$505,"○")&gt;0,1,0))</f>
        <v>0</v>
      </c>
      <c r="BC41" s="39" t="n">
        <f aca="false">IF(BC$4=0,0,IF(COUNTIFS(実績!$W$6:$W$505,BC$3,実績!$AI$6:$AI$505,"&lt;="&amp;$A41,実績!$AJ$6:$AJ$505,"&gt;"&amp;$A41,実績!$AL$6:$AL$505,"○")&gt;0,1,0))</f>
        <v>0</v>
      </c>
      <c r="BD41" s="39" t="n">
        <f aca="false">IF(BD$4=0,0,IF(COUNTIFS(実績!$W$6:$W$505,BD$3,実績!$AI$6:$AI$505,"&lt;="&amp;$A41,実績!$AJ$6:$AJ$505,"&gt;"&amp;$A41,実績!$AL$6:$AL$505,"○")&gt;0,1,0))</f>
        <v>0</v>
      </c>
      <c r="BE41" s="39" t="n">
        <f aca="false">IF(BE$4=0,0,IF(COUNTIFS(実績!$W$6:$W$505,BE$3,実績!$AI$6:$AI$505,"&lt;="&amp;$A41,実績!$AJ$6:$AJ$505,"&gt;"&amp;$A41,実績!$AL$6:$AL$505,"○")&gt;0,1,0))</f>
        <v>0</v>
      </c>
      <c r="BF41" s="39" t="n">
        <f aca="false">IF(BF$4=0,0,IF(COUNTIFS(実績!$W$6:$W$505,BF$3,実績!$AI$6:$AI$505,"&lt;="&amp;$A41,実績!$AJ$6:$AJ$505,"&gt;"&amp;$A41,実績!$AL$6:$AL$505,"○")&gt;0,1,0))</f>
        <v>0</v>
      </c>
      <c r="BG41" s="39" t="n">
        <f aca="false">IF(BG$4=0,0,IF(COUNTIFS(実績!$W$6:$W$505,BG$3,実績!$AI$6:$AI$505,"&lt;="&amp;$A41,実績!$AJ$6:$AJ$505,"&gt;"&amp;$A41,実績!$AL$6:$AL$505,"○")&gt;0,1,0))</f>
        <v>0</v>
      </c>
      <c r="BH41" s="39" t="n">
        <f aca="false">IF(BH$4=0,0,IF(COUNTIFS(実績!$W$6:$W$505,BH$3,実績!$AI$6:$AI$505,"&lt;="&amp;$A41,実績!$AJ$6:$AJ$505,"&gt;"&amp;$A41,実績!$AL$6:$AL$505,"○")&gt;0,1,0))</f>
        <v>0</v>
      </c>
      <c r="BI41" s="39" t="n">
        <f aca="false">IF(BI$4=0,0,IF(COUNTIFS(実績!$W$6:$W$505,BI$3,実績!$AI$6:$AI$505,"&lt;="&amp;$A41,実績!$AJ$6:$AJ$505,"&gt;"&amp;$A41,実績!$AL$6:$AL$505,"○")&gt;0,1,0))</f>
        <v>0</v>
      </c>
      <c r="BJ41" s="39" t="n">
        <f aca="false">IF(BJ$4=0,0,IF(COUNTIFS(実績!$W$6:$W$505,BJ$3,実績!$AI$6:$AI$505,"&lt;="&amp;$A41,実績!$AJ$6:$AJ$505,"&gt;"&amp;$A41,実績!$AL$6:$AL$505,"○")&gt;0,1,0))</f>
        <v>0</v>
      </c>
      <c r="BK41" s="39" t="n">
        <f aca="false">IF(BK$4=0,0,IF(COUNTIFS(実績!$W$6:$W$505,BK$3,実績!$AI$6:$AI$505,"&lt;="&amp;$A41,実績!$AJ$6:$AJ$505,"&gt;"&amp;$A41,実績!$AL$6:$AL$505,"○")&gt;0,1,0))</f>
        <v>0</v>
      </c>
      <c r="BL41" s="39" t="n">
        <f aca="false">IF(BL$4=0,0,IF(COUNTIFS(実績!$W$6:$W$505,BL$3,実績!$AI$6:$AI$505,"&lt;="&amp;$A41,実績!$AJ$6:$AJ$505,"&gt;"&amp;$A41,実績!$AL$6:$AL$505,"○")&gt;0,1,0))</f>
        <v>0</v>
      </c>
      <c r="BM41" s="39" t="n">
        <f aca="false">IF(BM$4=0,0,IF(COUNTIFS(実績!$W$6:$W$505,BM$3,実績!$AI$6:$AI$505,"&lt;="&amp;$A41,実績!$AJ$6:$AJ$505,"&gt;"&amp;$A41,実績!$AL$6:$AL$505,"○")&gt;0,1,0))</f>
        <v>0</v>
      </c>
      <c r="BN41" s="39" t="n">
        <f aca="false">IF(BN$4=0,0,IF(COUNTIFS(実績!$W$6:$W$505,BN$3,実績!$AI$6:$AI$505,"&lt;="&amp;$A41,実績!$AJ$6:$AJ$505,"&gt;"&amp;$A41,実績!$AL$6:$AL$505,"○")&gt;0,1,0))</f>
        <v>0</v>
      </c>
      <c r="BO41" s="39" t="n">
        <f aca="false">IF(BO$4=0,0,IF(COUNTIFS(実績!$W$6:$W$505,BO$3,実績!$AI$6:$AI$505,"&lt;="&amp;$A41,実績!$AJ$6:$AJ$505,"&gt;"&amp;$A41,実績!$AL$6:$AL$505,"○")&gt;0,1,0))</f>
        <v>0</v>
      </c>
      <c r="BP41" s="39" t="n">
        <f aca="false">IF(BP$4=0,0,IF(COUNTIFS(実績!$W$6:$W$505,BP$3,実績!$AI$6:$AI$505,"&lt;="&amp;$A41,実績!$AJ$6:$AJ$505,"&gt;"&amp;$A41,実績!$AL$6:$AL$505,"○")&gt;0,1,0))</f>
        <v>0</v>
      </c>
      <c r="BQ41" s="39" t="n">
        <f aca="false">IF(BQ$4=0,0,IF(COUNTIFS(実績!$W$6:$W$505,BQ$3,実績!$AI$6:$AI$505,"&lt;="&amp;$A41,実績!$AJ$6:$AJ$505,"&gt;"&amp;$A41,実績!$AL$6:$AL$505,"○")&gt;0,1,0))</f>
        <v>0</v>
      </c>
      <c r="BR41" s="39" t="n">
        <f aca="false">IF(BR$4=0,0,IF(COUNTIFS(実績!$W$6:$W$505,BR$3,実績!$AI$6:$AI$505,"&lt;="&amp;$A41,実績!$AJ$6:$AJ$505,"&gt;"&amp;$A41,実績!$AL$6:$AL$505,"○")&gt;0,1,0))</f>
        <v>0</v>
      </c>
      <c r="BS41" s="39" t="n">
        <f aca="false">IF(BS$4=0,0,IF(COUNTIFS(実績!$W$6:$W$505,BS$3,実績!$AI$6:$AI$505,"&lt;="&amp;$A41,実績!$AJ$6:$AJ$505,"&gt;"&amp;$A41,実績!$AL$6:$AL$505,"○")&gt;0,1,0))</f>
        <v>0</v>
      </c>
      <c r="BT41" s="39" t="n">
        <f aca="false">IF(BT$4=0,0,IF(COUNTIFS(実績!$W$6:$W$505,BT$3,実績!$AI$6:$AI$505,"&lt;="&amp;$A41,実績!$AJ$6:$AJ$505,"&gt;"&amp;$A41,実績!$AL$6:$AL$505,"○")&gt;0,1,0))</f>
        <v>0</v>
      </c>
      <c r="BU41" s="39" t="n">
        <f aca="false">IF(BU$4=0,0,IF(COUNTIFS(実績!$W$6:$W$505,BU$3,実績!$AI$6:$AI$505,"&lt;="&amp;$A41,実績!$AJ$6:$AJ$505,"&gt;"&amp;$A41,実績!$AL$6:$AL$505,"○")&gt;0,1,0))</f>
        <v>0</v>
      </c>
      <c r="BV41" s="39" t="n">
        <f aca="false">IF(BV$4=0,0,IF(COUNTIFS(実績!$W$6:$W$505,BV$3,実績!$AI$6:$AI$505,"&lt;="&amp;$A41,実績!$AJ$6:$AJ$505,"&gt;"&amp;$A41,実績!$AL$6:$AL$505,"○")&gt;0,1,0))</f>
        <v>0</v>
      </c>
      <c r="BW41" s="39" t="n">
        <f aca="false">IF(BW$4=0,0,IF(COUNTIFS(実績!$W$6:$W$505,BW$3,実績!$AI$6:$AI$505,"&lt;="&amp;$A41,実績!$AJ$6:$AJ$505,"&gt;"&amp;$A41,実績!$AL$6:$AL$505,"○")&gt;0,1,0))</f>
        <v>0</v>
      </c>
      <c r="BX41" s="39" t="n">
        <f aca="false">IF(BX$4=0,0,IF(COUNTIFS(実績!$W$6:$W$505,BX$3,実績!$AI$6:$AI$505,"&lt;="&amp;$A41,実績!$AJ$6:$AJ$505,"&gt;"&amp;$A41,実績!$AL$6:$AL$505,"○")&gt;0,1,0))</f>
        <v>0</v>
      </c>
      <c r="BY41" s="39" t="n">
        <f aca="false">IF(BY$4=0,0,IF(COUNTIFS(実績!$W$6:$W$505,BY$3,実績!$AI$6:$AI$505,"&lt;="&amp;$A41,実績!$AJ$6:$AJ$505,"&gt;"&amp;$A41,実績!$AL$6:$AL$505,"○")&gt;0,1,0))</f>
        <v>0</v>
      </c>
      <c r="BZ41" s="39" t="n">
        <f aca="false">IF(BZ$4=0,0,IF(COUNTIFS(実績!$W$6:$W$505,BZ$3,実績!$AI$6:$AI$505,"&lt;="&amp;$A41,実績!$AJ$6:$AJ$505,"&gt;"&amp;$A41,実績!$AL$6:$AL$505,"○")&gt;0,1,0))</f>
        <v>0</v>
      </c>
      <c r="CA41" s="39" t="n">
        <f aca="false">IF(CA$4=0,0,IF(COUNTIFS(実績!$W$6:$W$505,CA$3,実績!$AI$6:$AI$505,"&lt;="&amp;$A41,実績!$AJ$6:$AJ$505,"&gt;"&amp;$A41,実績!$AL$6:$AL$505,"○")&gt;0,1,0))</f>
        <v>0</v>
      </c>
      <c r="CB41" s="39" t="n">
        <f aca="false">IF(CB$4=0,0,IF(COUNTIFS(実績!$W$6:$W$505,CB$3,実績!$AI$6:$AI$505,"&lt;="&amp;$A41,実績!$AJ$6:$AJ$505,"&gt;"&amp;$A41,実績!$AL$6:$AL$505,"○")&gt;0,1,0))</f>
        <v>0</v>
      </c>
      <c r="CC41" s="39" t="n">
        <f aca="false">IF(CC$4=0,0,IF(COUNTIFS(実績!$W$6:$W$505,CC$3,実績!$AI$6:$AI$505,"&lt;="&amp;$A41,実績!$AJ$6:$AJ$505,"&gt;"&amp;$A41,実績!$AL$6:$AL$505,"○")&gt;0,1,0))</f>
        <v>0</v>
      </c>
      <c r="CD41" s="39" t="n">
        <f aca="false">IF(CD$4=0,0,IF(COUNTIFS(実績!$W$6:$W$505,CD$3,実績!$AI$6:$AI$505,"&lt;="&amp;$A41,実績!$AJ$6:$AJ$505,"&gt;"&amp;$A41,実績!$AL$6:$AL$505,"○")&gt;0,1,0))</f>
        <v>0</v>
      </c>
      <c r="CE41" s="39" t="n">
        <f aca="false">IF(CE$4=0,0,IF(COUNTIFS(実績!$W$6:$W$505,CE$3,実績!$AI$6:$AI$505,"&lt;="&amp;$A41,実績!$AJ$6:$AJ$505,"&gt;"&amp;$A41,実績!$AL$6:$AL$505,"○")&gt;0,1,0))</f>
        <v>0</v>
      </c>
      <c r="CF41" s="39" t="n">
        <f aca="false">IF(CF$4=0,0,IF(COUNTIFS(実績!$W$6:$W$505,CF$3,実績!$AI$6:$AI$505,"&lt;="&amp;$A41,実績!$AJ$6:$AJ$505,"&gt;"&amp;$A41,実績!$AL$6:$AL$505,"○")&gt;0,1,0))</f>
        <v>0</v>
      </c>
      <c r="CG41" s="39" t="n">
        <f aca="false">IF(CG$4=0,0,IF(COUNTIFS(実績!$W$6:$W$505,CG$3,実績!$AI$6:$AI$505,"&lt;="&amp;$A41,実績!$AJ$6:$AJ$505,"&gt;"&amp;$A41,実績!$AL$6:$AL$505,"○")&gt;0,1,0))</f>
        <v>0</v>
      </c>
      <c r="CH41" s="39" t="n">
        <f aca="false">IF(CH$4=0,0,IF(COUNTIFS(実績!$W$6:$W$505,CH$3,実績!$AI$6:$AI$505,"&lt;="&amp;$A41,実績!$AJ$6:$AJ$505,"&gt;"&amp;$A41,実績!$AL$6:$AL$505,"○")&gt;0,1,0))</f>
        <v>0</v>
      </c>
      <c r="CI41" s="39" t="n">
        <f aca="false">IF(CI$4=0,0,IF(COUNTIFS(実績!$W$6:$W$505,CI$3,実績!$AI$6:$AI$505,"&lt;="&amp;$A41,実績!$AJ$6:$AJ$505,"&gt;"&amp;$A41,実績!$AL$6:$AL$505,"○")&gt;0,1,0))</f>
        <v>0</v>
      </c>
      <c r="CJ41" s="39" t="n">
        <f aca="false">IF(CJ$4=0,0,IF(COUNTIFS(実績!$W$6:$W$505,CJ$3,実績!$AI$6:$AI$505,"&lt;="&amp;$A41,実績!$AJ$6:$AJ$505,"&gt;"&amp;$A41,実績!$AL$6:$AL$505,"○")&gt;0,1,0))</f>
        <v>0</v>
      </c>
      <c r="CK41" s="39" t="n">
        <f aca="false">IF(CK$4=0,0,IF(COUNTIFS(実績!$W$6:$W$505,CK$3,実績!$AI$6:$AI$505,"&lt;="&amp;$A41,実績!$AJ$6:$AJ$505,"&gt;"&amp;$A41,実績!$AL$6:$AL$505,"○")&gt;0,1,0))</f>
        <v>0</v>
      </c>
      <c r="CL41" s="39" t="n">
        <f aca="false">IF(CL$4=0,0,IF(COUNTIFS(実績!$W$6:$W$505,CL$3,実績!$AI$6:$AI$505,"&lt;="&amp;$A41,実績!$AJ$6:$AJ$505,"&gt;"&amp;$A41,実績!$AL$6:$AL$505,"○")&gt;0,1,0))</f>
        <v>0</v>
      </c>
      <c r="CM41" s="39" t="n">
        <f aca="false">IF(CM$4=0,0,IF(COUNTIFS(実績!$W$6:$W$505,CM$3,実績!$AI$6:$AI$505,"&lt;="&amp;$A41,実績!$AJ$6:$AJ$505,"&gt;"&amp;$A41,実績!$AL$6:$AL$505,"○")&gt;0,1,0))</f>
        <v>0</v>
      </c>
      <c r="CN41" s="39" t="n">
        <f aca="false">IF(CN$4=0,0,IF(COUNTIFS(実績!$W$6:$W$505,CN$3,実績!$AI$6:$AI$505,"&lt;="&amp;$A41,実績!$AJ$6:$AJ$505,"&gt;"&amp;$A41,実績!$AL$6:$AL$505,"○")&gt;0,1,0))</f>
        <v>0</v>
      </c>
      <c r="CO41" s="39" t="n">
        <f aca="false">IF(CO$4=0,0,IF(COUNTIFS(実績!$W$6:$W$505,CO$3,実績!$AI$6:$AI$505,"&lt;="&amp;$A41,実績!$AJ$6:$AJ$505,"&gt;"&amp;$A41,実績!$AL$6:$AL$505,"○")&gt;0,1,0))</f>
        <v>0</v>
      </c>
      <c r="CP41" s="39" t="n">
        <f aca="false">IF(CP$4=0,0,IF(COUNTIFS(実績!$W$6:$W$505,CP$3,実績!$AI$6:$AI$505,"&lt;="&amp;$A41,実績!$AJ$6:$AJ$505,"&gt;"&amp;$A41,実績!$AL$6:$AL$505,"○")&gt;0,1,0))</f>
        <v>0</v>
      </c>
      <c r="CQ41" s="39" t="n">
        <f aca="false">IF(CQ$4=0,0,IF(COUNTIFS(実績!$W$6:$W$505,CQ$3,実績!$AI$6:$AI$505,"&lt;="&amp;$A41,実績!$AJ$6:$AJ$505,"&gt;"&amp;$A41,実績!$AL$6:$AL$505,"○")&gt;0,1,0))</f>
        <v>0</v>
      </c>
      <c r="CR41" s="39" t="n">
        <f aca="false">IF(CR$4=0,0,IF(COUNTIFS(実績!$W$6:$W$505,CR$3,実績!$AI$6:$AI$505,"&lt;="&amp;$A41,実績!$AJ$6:$AJ$505,"&gt;"&amp;$A41,実績!$AL$6:$AL$505,"○")&gt;0,1,0))</f>
        <v>0</v>
      </c>
      <c r="CS41" s="39" t="n">
        <f aca="false">IF(CS$4=0,0,IF(COUNTIFS(実績!$W$6:$W$505,CS$3,実績!$AI$6:$AI$505,"&lt;="&amp;$A41,実績!$AJ$6:$AJ$505,"&gt;"&amp;$A41,実績!$AL$6:$AL$505,"○")&gt;0,1,0))</f>
        <v>0</v>
      </c>
      <c r="CT41" s="39" t="n">
        <f aca="false">IF(CT$4=0,0,IF(COUNTIFS(実績!$W$6:$W$505,CT$3,実績!$AI$6:$AI$505,"&lt;="&amp;$A41,実績!$AJ$6:$AJ$505,"&gt;"&amp;$A41,実績!$AL$6:$AL$505,"○")&gt;0,1,0))</f>
        <v>0</v>
      </c>
      <c r="CU41" s="39" t="n">
        <f aca="false">IF(CU$4=0,0,IF(COUNTIFS(実績!$W$6:$W$505,CU$3,実績!$AI$6:$AI$505,"&lt;="&amp;$A41,実績!$AJ$6:$AJ$505,"&gt;"&amp;$A41,実績!$AL$6:$AL$505,"○")&gt;0,1,0))</f>
        <v>0</v>
      </c>
      <c r="CV41" s="39" t="n">
        <f aca="false">IF(CV$4=0,0,IF(COUNTIFS(実績!$W$6:$W$505,CV$3,実績!$AI$6:$AI$505,"&lt;="&amp;$A41,実績!$AJ$6:$AJ$505,"&gt;"&amp;$A41,実績!$AL$6:$AL$505,"○")&gt;0,1,0))</f>
        <v>0</v>
      </c>
      <c r="CW41" s="39" t="n">
        <f aca="false">IF(CW$4=0,0,IF(COUNTIFS(実績!$W$6:$W$505,CW$3,実績!$AI$6:$AI$505,"&lt;="&amp;$A41,実績!$AJ$6:$AJ$505,"&gt;"&amp;$A41,実績!$AL$6:$AL$505,"○")&gt;0,1,0))</f>
        <v>0</v>
      </c>
      <c r="CX41" s="39" t="n">
        <f aca="false">IF(CX$4=0,0,IF(COUNTIFS(実績!$W$6:$W$505,CX$3,実績!$AI$6:$AI$505,"&lt;="&amp;$A41,実績!$AJ$6:$AJ$505,"&gt;"&amp;$A41,実績!$AL$6:$AL$505,"○")&gt;0,1,0))</f>
        <v>0</v>
      </c>
      <c r="CY41" s="39" t="n">
        <f aca="false">IF(CY$4=0,0,IF(COUNTIFS(実績!$W$6:$W$505,CY$3,実績!$AI$6:$AI$505,"&lt;="&amp;$A41,実績!$AJ$6:$AJ$505,"&gt;"&amp;$A41,実績!$AL$6:$AL$505,"○")&gt;0,1,0))</f>
        <v>0</v>
      </c>
      <c r="CZ41" s="39" t="n">
        <f aca="false">IF(CZ$4=0,0,IF(COUNTIFS(実績!$W$6:$W$505,CZ$3,実績!$AI$6:$AI$505,"&lt;="&amp;$A41,実績!$AJ$6:$AJ$505,"&gt;"&amp;$A41,実績!$AL$6:$AL$505,"○")&gt;0,1,0))</f>
        <v>0</v>
      </c>
      <c r="DA41" s="39" t="n">
        <f aca="false">IF(DA$4=0,0,IF(COUNTIFS(実績!$W$6:$W$505,DA$3,実績!$AI$6:$AI$505,"&lt;="&amp;$A41,実績!$AJ$6:$AJ$505,"&gt;"&amp;$A41,実績!$AL$6:$AL$505,"○")&gt;0,1,0))</f>
        <v>0</v>
      </c>
      <c r="DB41" s="39" t="n">
        <f aca="false">IF(DB$4=0,0,IF(COUNTIFS(実績!$W$6:$W$505,DB$3,実績!$AI$6:$AI$505,"&lt;="&amp;$A41,実績!$AJ$6:$AJ$505,"&gt;"&amp;$A41,実績!$AL$6:$AL$505,"○")&gt;0,1,0))</f>
        <v>0</v>
      </c>
      <c r="DC41" s="39" t="n">
        <f aca="false">IF(DC$4=0,0,IF(COUNTIFS(実績!$W$6:$W$505,DC$3,実績!$AI$6:$AI$505,"&lt;="&amp;$A41,実績!$AJ$6:$AJ$505,"&gt;"&amp;$A41,実績!$AL$6:$AL$505,"○")&gt;0,1,0))</f>
        <v>0</v>
      </c>
      <c r="DD41" s="39" t="n">
        <f aca="false">IF(DD$4=0,0,IF(COUNTIFS(実績!$W$6:$W$505,DD$3,実績!$AI$6:$AI$505,"&lt;="&amp;$A41,実績!$AJ$6:$AJ$505,"&gt;"&amp;$A41,実績!$AL$6:$AL$505,"○")&gt;0,1,0))</f>
        <v>0</v>
      </c>
      <c r="DE41" s="39" t="n">
        <f aca="false">IF(DE$4=0,0,IF(COUNTIFS(実績!$W$6:$W$505,DE$3,実績!$AI$6:$AI$505,"&lt;="&amp;$A41,実績!$AJ$6:$AJ$505,"&gt;"&amp;$A41,実績!$AL$6:$AL$505,"○")&gt;0,1,0))</f>
        <v>0</v>
      </c>
      <c r="DF41" s="39" t="n">
        <f aca="false">IF(DF$4=0,0,IF(COUNTIFS(実績!$W$6:$W$505,DF$3,実績!$AI$6:$AI$505,"&lt;="&amp;$A41,実績!$AJ$6:$AJ$505,"&gt;"&amp;$A41,実績!$AL$6:$AL$505,"○")&gt;0,1,0))</f>
        <v>0</v>
      </c>
      <c r="DG41" s="39" t="n">
        <f aca="false">IF(DG$4=0,0,IF(COUNTIFS(実績!$W$6:$W$505,DG$3,実績!$AI$6:$AI$505,"&lt;="&amp;$A41,実績!$AJ$6:$AJ$505,"&gt;"&amp;$A41,実績!$AL$6:$AL$505,"○")&gt;0,1,0))</f>
        <v>0</v>
      </c>
      <c r="DH41" s="39" t="n">
        <f aca="false">IF(DH$4=0,0,IF(COUNTIFS(実績!$W$6:$W$505,DH$3,実績!$AI$6:$AI$505,"&lt;="&amp;$A41,実績!$AJ$6:$AJ$505,"&gt;"&amp;$A41,実績!$AL$6:$AL$505,"○")&gt;0,1,0))</f>
        <v>0</v>
      </c>
      <c r="DI41" s="39" t="n">
        <f aca="false">IF(DI$4=0,0,IF(COUNTIFS(実績!$W$6:$W$505,DI$3,実績!$AI$6:$AI$505,"&lt;="&amp;$A41,実績!$AJ$6:$AJ$505,"&gt;"&amp;$A41,実績!$AL$6:$AL$505,"○")&gt;0,1,0))</f>
        <v>0</v>
      </c>
      <c r="DJ41" s="39" t="n">
        <f aca="false">IF(DJ$4=0,0,IF(COUNTIFS(実績!$W$6:$W$505,DJ$3,実績!$AI$6:$AI$505,"&lt;="&amp;$A41,実績!$AJ$6:$AJ$505,"&gt;"&amp;$A41,実績!$AL$6:$AL$505,"○")&gt;0,1,0))</f>
        <v>0</v>
      </c>
      <c r="DK41" s="39" t="n">
        <f aca="false">IF(DK$4=0,0,IF(COUNTIFS(実績!$W$6:$W$505,DK$3,実績!$AI$6:$AI$505,"&lt;="&amp;$A41,実績!$AJ$6:$AJ$505,"&gt;"&amp;$A41,実績!$AL$6:$AL$505,"○")&gt;0,1,0))</f>
        <v>0</v>
      </c>
      <c r="DL41" s="39" t="n">
        <f aca="false">IF(DL$4=0,0,IF(COUNTIFS(実績!$W$6:$W$505,DL$3,実績!$AI$6:$AI$505,"&lt;="&amp;$A41,実績!$AJ$6:$AJ$505,"&gt;"&amp;$A41,実績!$AL$6:$AL$505,"○")&gt;0,1,0))</f>
        <v>0</v>
      </c>
      <c r="DM41" s="39" t="n">
        <f aca="false">IF(DM$4=0,0,IF(COUNTIFS(実績!$W$6:$W$505,DM$3,実績!$AI$6:$AI$505,"&lt;="&amp;$A41,実績!$AJ$6:$AJ$505,"&gt;"&amp;$A41,実績!$AL$6:$AL$505,"○")&gt;0,1,0))</f>
        <v>0</v>
      </c>
      <c r="DN41" s="39" t="n">
        <f aca="false">IF(DN$4=0,0,IF(COUNTIFS(実績!$W$6:$W$505,DN$3,実績!$AI$6:$AI$505,"&lt;="&amp;$A41,実績!$AJ$6:$AJ$505,"&gt;"&amp;$A41,実績!$AL$6:$AL$505,"○")&gt;0,1,0))</f>
        <v>0</v>
      </c>
      <c r="DO41" s="39" t="n">
        <f aca="false">IF(DO$4=0,0,IF(COUNTIFS(実績!$W$6:$W$505,DO$3,実績!$AI$6:$AI$505,"&lt;="&amp;$A41,実績!$AJ$6:$AJ$505,"&gt;"&amp;$A41,実績!$AL$6:$AL$505,"○")&gt;0,1,0))</f>
        <v>0</v>
      </c>
      <c r="DP41" s="39" t="n">
        <f aca="false">IF(DP$4=0,0,IF(COUNTIFS(実績!$W$6:$W$505,DP$3,実績!$AI$6:$AI$505,"&lt;="&amp;$A41,実績!$AJ$6:$AJ$505,"&gt;"&amp;$A41,実績!$AL$6:$AL$505,"○")&gt;0,1,0))</f>
        <v>0</v>
      </c>
      <c r="DQ41" s="39" t="n">
        <f aca="false">IF(DQ$4=0,0,IF(COUNTIFS(実績!$W$6:$W$505,DQ$3,実績!$AI$6:$AI$505,"&lt;="&amp;$A41,実績!$AJ$6:$AJ$505,"&gt;"&amp;$A41,実績!$AL$6:$AL$505,"○")&gt;0,1,0))</f>
        <v>0</v>
      </c>
      <c r="DR41" s="39" t="n">
        <f aca="false">IF(DR$4=0,0,IF(COUNTIFS(実績!$W$6:$W$505,DR$3,実績!$AI$6:$AI$505,"&lt;="&amp;$A41,実績!$AJ$6:$AJ$505,"&gt;"&amp;$A41,実績!$AL$6:$AL$505,"○")&gt;0,1,0))</f>
        <v>0</v>
      </c>
      <c r="DS41" s="39" t="n">
        <f aca="false">SUM(C41:DR41)</f>
        <v>0</v>
      </c>
    </row>
    <row r="42" customFormat="false" ht="15" hidden="false" customHeight="false" outlineLevel="0" collapsed="false">
      <c r="A42" s="0" t="n">
        <v>180</v>
      </c>
      <c r="B42" s="38" t="n">
        <f aca="false">A42/1440</f>
        <v>0.125</v>
      </c>
      <c r="C42" s="39" t="n">
        <f aca="false">IF(C$4=0,0,IF(COUNTIFS(実績!$W$6:$W$505,C$3,実績!$AI$6:$AI$505,"&lt;="&amp;$A42,実績!$AJ$6:$AJ$505,"&gt;"&amp;$A42,実績!$AL$6:$AL$505,"○")&gt;0,1,0))</f>
        <v>0</v>
      </c>
      <c r="D42" s="39" t="n">
        <f aca="false">IF(D$4=0,0,IF(COUNTIFS(実績!$W$6:$W$505,D$3,実績!$AI$6:$AI$505,"&lt;="&amp;$A42,実績!$AJ$6:$AJ$505,"&gt;"&amp;$A42,実績!$AL$6:$AL$505,"○")&gt;0,1,0))</f>
        <v>0</v>
      </c>
      <c r="E42" s="39" t="n">
        <f aca="false">IF(E$4=0,0,IF(COUNTIFS(実績!$W$6:$W$505,E$3,実績!$AI$6:$AI$505,"&lt;="&amp;$A42,実績!$AJ$6:$AJ$505,"&gt;"&amp;$A42,実績!$AL$6:$AL$505,"○")&gt;0,1,0))</f>
        <v>0</v>
      </c>
      <c r="F42" s="39" t="n">
        <f aca="false">IF(F$4=0,0,IF(COUNTIFS(実績!$W$6:$W$505,F$3,実績!$AI$6:$AI$505,"&lt;="&amp;$A42,実績!$AJ$6:$AJ$505,"&gt;"&amp;$A42,実績!$AL$6:$AL$505,"○")&gt;0,1,0))</f>
        <v>0</v>
      </c>
      <c r="G42" s="39" t="n">
        <f aca="false">IF(G$4=0,0,IF(COUNTIFS(実績!$W$6:$W$505,G$3,実績!$AI$6:$AI$505,"&lt;="&amp;$A42,実績!$AJ$6:$AJ$505,"&gt;"&amp;$A42,実績!$AL$6:$AL$505,"○")&gt;0,1,0))</f>
        <v>0</v>
      </c>
      <c r="H42" s="39" t="n">
        <f aca="false">IF(H$4=0,0,IF(COUNTIFS(実績!$W$6:$W$505,H$3,実績!$AI$6:$AI$505,"&lt;="&amp;$A42,実績!$AJ$6:$AJ$505,"&gt;"&amp;$A42,実績!$AL$6:$AL$505,"○")&gt;0,1,0))</f>
        <v>0</v>
      </c>
      <c r="I42" s="39" t="n">
        <f aca="false">IF(I$4=0,0,IF(COUNTIFS(実績!$W$6:$W$505,I$3,実績!$AI$6:$AI$505,"&lt;="&amp;$A42,実績!$AJ$6:$AJ$505,"&gt;"&amp;$A42,実績!$AL$6:$AL$505,"○")&gt;0,1,0))</f>
        <v>0</v>
      </c>
      <c r="J42" s="39" t="n">
        <f aca="false">IF(J$4=0,0,IF(COUNTIFS(実績!$W$6:$W$505,J$3,実績!$AI$6:$AI$505,"&lt;="&amp;$A42,実績!$AJ$6:$AJ$505,"&gt;"&amp;$A42,実績!$AL$6:$AL$505,"○")&gt;0,1,0))</f>
        <v>0</v>
      </c>
      <c r="K42" s="39" t="n">
        <f aca="false">IF(K$4=0,0,IF(COUNTIFS(実績!$W$6:$W$505,K$3,実績!$AI$6:$AI$505,"&lt;="&amp;$A42,実績!$AJ$6:$AJ$505,"&gt;"&amp;$A42,実績!$AL$6:$AL$505,"○")&gt;0,1,0))</f>
        <v>0</v>
      </c>
      <c r="L42" s="39" t="n">
        <f aca="false">IF(L$4=0,0,IF(COUNTIFS(実績!$W$6:$W$505,L$3,実績!$AI$6:$AI$505,"&lt;="&amp;$A42,実績!$AJ$6:$AJ$505,"&gt;"&amp;$A42,実績!$AL$6:$AL$505,"○")&gt;0,1,0))</f>
        <v>0</v>
      </c>
      <c r="M42" s="39" t="n">
        <f aca="false">IF(M$4=0,0,IF(COUNTIFS(実績!$W$6:$W$505,M$3,実績!$AI$6:$AI$505,"&lt;="&amp;$A42,実績!$AJ$6:$AJ$505,"&gt;"&amp;$A42,実績!$AL$6:$AL$505,"○")&gt;0,1,0))</f>
        <v>0</v>
      </c>
      <c r="N42" s="39" t="n">
        <f aca="false">IF(N$4=0,0,IF(COUNTIFS(実績!$W$6:$W$505,N$3,実績!$AI$6:$AI$505,"&lt;="&amp;$A42,実績!$AJ$6:$AJ$505,"&gt;"&amp;$A42,実績!$AL$6:$AL$505,"○")&gt;0,1,0))</f>
        <v>0</v>
      </c>
      <c r="O42" s="39" t="n">
        <f aca="false">IF(O$4=0,0,IF(COUNTIFS(実績!$W$6:$W$505,O$3,実績!$AI$6:$AI$505,"&lt;="&amp;$A42,実績!$AJ$6:$AJ$505,"&gt;"&amp;$A42,実績!$AL$6:$AL$505,"○")&gt;0,1,0))</f>
        <v>0</v>
      </c>
      <c r="P42" s="39" t="n">
        <f aca="false">IF(P$4=0,0,IF(COUNTIFS(実績!$W$6:$W$505,P$3,実績!$AI$6:$AI$505,"&lt;="&amp;$A42,実績!$AJ$6:$AJ$505,"&gt;"&amp;$A42,実績!$AL$6:$AL$505,"○")&gt;0,1,0))</f>
        <v>0</v>
      </c>
      <c r="Q42" s="39" t="n">
        <f aca="false">IF(Q$4=0,0,IF(COUNTIFS(実績!$W$6:$W$505,Q$3,実績!$AI$6:$AI$505,"&lt;="&amp;$A42,実績!$AJ$6:$AJ$505,"&gt;"&amp;$A42,実績!$AL$6:$AL$505,"○")&gt;0,1,0))</f>
        <v>0</v>
      </c>
      <c r="R42" s="39" t="n">
        <f aca="false">IF(R$4=0,0,IF(COUNTIFS(実績!$W$6:$W$505,R$3,実績!$AI$6:$AI$505,"&lt;="&amp;$A42,実績!$AJ$6:$AJ$505,"&gt;"&amp;$A42,実績!$AL$6:$AL$505,"○")&gt;0,1,0))</f>
        <v>0</v>
      </c>
      <c r="S42" s="39" t="n">
        <f aca="false">IF(S$4=0,0,IF(COUNTIFS(実績!$W$6:$W$505,S$3,実績!$AI$6:$AI$505,"&lt;="&amp;$A42,実績!$AJ$6:$AJ$505,"&gt;"&amp;$A42,実績!$AL$6:$AL$505,"○")&gt;0,1,0))</f>
        <v>0</v>
      </c>
      <c r="T42" s="39" t="n">
        <f aca="false">IF(T$4=0,0,IF(COUNTIFS(実績!$W$6:$W$505,T$3,実績!$AI$6:$AI$505,"&lt;="&amp;$A42,実績!$AJ$6:$AJ$505,"&gt;"&amp;$A42,実績!$AL$6:$AL$505,"○")&gt;0,1,0))</f>
        <v>0</v>
      </c>
      <c r="U42" s="39" t="n">
        <f aca="false">IF(U$4=0,0,IF(COUNTIFS(実績!$W$6:$W$505,U$3,実績!$AI$6:$AI$505,"&lt;="&amp;$A42,実績!$AJ$6:$AJ$505,"&gt;"&amp;$A42,実績!$AL$6:$AL$505,"○")&gt;0,1,0))</f>
        <v>0</v>
      </c>
      <c r="V42" s="39" t="n">
        <f aca="false">IF(V$4=0,0,IF(COUNTIFS(実績!$W$6:$W$505,V$3,実績!$AI$6:$AI$505,"&lt;="&amp;$A42,実績!$AJ$6:$AJ$505,"&gt;"&amp;$A42,実績!$AL$6:$AL$505,"○")&gt;0,1,0))</f>
        <v>0</v>
      </c>
      <c r="W42" s="39" t="n">
        <f aca="false">IF(W$4=0,0,IF(COUNTIFS(実績!$W$6:$W$505,W$3,実績!$AI$6:$AI$505,"&lt;="&amp;$A42,実績!$AJ$6:$AJ$505,"&gt;"&amp;$A42,実績!$AL$6:$AL$505,"○")&gt;0,1,0))</f>
        <v>0</v>
      </c>
      <c r="X42" s="39" t="n">
        <f aca="false">IF(X$4=0,0,IF(COUNTIFS(実績!$W$6:$W$505,X$3,実績!$AI$6:$AI$505,"&lt;="&amp;$A42,実績!$AJ$6:$AJ$505,"&gt;"&amp;$A42,実績!$AL$6:$AL$505,"○")&gt;0,1,0))</f>
        <v>0</v>
      </c>
      <c r="Y42" s="39" t="n">
        <f aca="false">IF(Y$4=0,0,IF(COUNTIFS(実績!$W$6:$W$505,Y$3,実績!$AI$6:$AI$505,"&lt;="&amp;$A42,実績!$AJ$6:$AJ$505,"&gt;"&amp;$A42,実績!$AL$6:$AL$505,"○")&gt;0,1,0))</f>
        <v>0</v>
      </c>
      <c r="Z42" s="39" t="n">
        <f aca="false">IF(Z$4=0,0,IF(COUNTIFS(実績!$W$6:$W$505,Z$3,実績!$AI$6:$AI$505,"&lt;="&amp;$A42,実績!$AJ$6:$AJ$505,"&gt;"&amp;$A42,実績!$AL$6:$AL$505,"○")&gt;0,1,0))</f>
        <v>0</v>
      </c>
      <c r="AA42" s="39" t="n">
        <f aca="false">IF(AA$4=0,0,IF(COUNTIFS(実績!$W$6:$W$505,AA$3,実績!$AI$6:$AI$505,"&lt;="&amp;$A42,実績!$AJ$6:$AJ$505,"&gt;"&amp;$A42,実績!$AL$6:$AL$505,"○")&gt;0,1,0))</f>
        <v>0</v>
      </c>
      <c r="AB42" s="39" t="n">
        <f aca="false">IF(AB$4=0,0,IF(COUNTIFS(実績!$W$6:$W$505,AB$3,実績!$AI$6:$AI$505,"&lt;="&amp;$A42,実績!$AJ$6:$AJ$505,"&gt;"&amp;$A42,実績!$AL$6:$AL$505,"○")&gt;0,1,0))</f>
        <v>0</v>
      </c>
      <c r="AC42" s="39" t="n">
        <f aca="false">IF(AC$4=0,0,IF(COUNTIFS(実績!$W$6:$W$505,AC$3,実績!$AI$6:$AI$505,"&lt;="&amp;$A42,実績!$AJ$6:$AJ$505,"&gt;"&amp;$A42,実績!$AL$6:$AL$505,"○")&gt;0,1,0))</f>
        <v>0</v>
      </c>
      <c r="AD42" s="39" t="n">
        <f aca="false">IF(AD$4=0,0,IF(COUNTIFS(実績!$W$6:$W$505,AD$3,実績!$AI$6:$AI$505,"&lt;="&amp;$A42,実績!$AJ$6:$AJ$505,"&gt;"&amp;$A42,実績!$AL$6:$AL$505,"○")&gt;0,1,0))</f>
        <v>0</v>
      </c>
      <c r="AE42" s="39" t="n">
        <f aca="false">IF(AE$4=0,0,IF(COUNTIFS(実績!$W$6:$W$505,AE$3,実績!$AI$6:$AI$505,"&lt;="&amp;$A42,実績!$AJ$6:$AJ$505,"&gt;"&amp;$A42,実績!$AL$6:$AL$505,"○")&gt;0,1,0))</f>
        <v>0</v>
      </c>
      <c r="AF42" s="39" t="n">
        <f aca="false">IF(AF$4=0,0,IF(COUNTIFS(実績!$W$6:$W$505,AF$3,実績!$AI$6:$AI$505,"&lt;="&amp;$A42,実績!$AJ$6:$AJ$505,"&gt;"&amp;$A42,実績!$AL$6:$AL$505,"○")&gt;0,1,0))</f>
        <v>0</v>
      </c>
      <c r="AG42" s="39" t="n">
        <f aca="false">IF(AG$4=0,0,IF(COUNTIFS(実績!$W$6:$W$505,AG$3,実績!$AI$6:$AI$505,"&lt;="&amp;$A42,実績!$AJ$6:$AJ$505,"&gt;"&amp;$A42,実績!$AL$6:$AL$505,"○")&gt;0,1,0))</f>
        <v>0</v>
      </c>
      <c r="AH42" s="39" t="n">
        <f aca="false">IF(AH$4=0,0,IF(COUNTIFS(実績!$W$6:$W$505,AH$3,実績!$AI$6:$AI$505,"&lt;="&amp;$A42,実績!$AJ$6:$AJ$505,"&gt;"&amp;$A42,実績!$AL$6:$AL$505,"○")&gt;0,1,0))</f>
        <v>0</v>
      </c>
      <c r="AI42" s="39" t="n">
        <f aca="false">IF(AI$4=0,0,IF(COUNTIFS(実績!$W$6:$W$505,AI$3,実績!$AI$6:$AI$505,"&lt;="&amp;$A42,実績!$AJ$6:$AJ$505,"&gt;"&amp;$A42,実績!$AL$6:$AL$505,"○")&gt;0,1,0))</f>
        <v>0</v>
      </c>
      <c r="AJ42" s="39" t="n">
        <f aca="false">IF(AJ$4=0,0,IF(COUNTIFS(実績!$W$6:$W$505,AJ$3,実績!$AI$6:$AI$505,"&lt;="&amp;$A42,実績!$AJ$6:$AJ$505,"&gt;"&amp;$A42,実績!$AL$6:$AL$505,"○")&gt;0,1,0))</f>
        <v>0</v>
      </c>
      <c r="AK42" s="39" t="n">
        <f aca="false">IF(AK$4=0,0,IF(COUNTIFS(実績!$W$6:$W$505,AK$3,実績!$AI$6:$AI$505,"&lt;="&amp;$A42,実績!$AJ$6:$AJ$505,"&gt;"&amp;$A42,実績!$AL$6:$AL$505,"○")&gt;0,1,0))</f>
        <v>0</v>
      </c>
      <c r="AL42" s="39" t="n">
        <f aca="false">IF(AL$4=0,0,IF(COUNTIFS(実績!$W$6:$W$505,AL$3,実績!$AI$6:$AI$505,"&lt;="&amp;$A42,実績!$AJ$6:$AJ$505,"&gt;"&amp;$A42,実績!$AL$6:$AL$505,"○")&gt;0,1,0))</f>
        <v>0</v>
      </c>
      <c r="AM42" s="39" t="n">
        <f aca="false">IF(AM$4=0,0,IF(COUNTIFS(実績!$W$6:$W$505,AM$3,実績!$AI$6:$AI$505,"&lt;="&amp;$A42,実績!$AJ$6:$AJ$505,"&gt;"&amp;$A42,実績!$AL$6:$AL$505,"○")&gt;0,1,0))</f>
        <v>0</v>
      </c>
      <c r="AN42" s="39" t="n">
        <f aca="false">IF(AN$4=0,0,IF(COUNTIFS(実績!$W$6:$W$505,AN$3,実績!$AI$6:$AI$505,"&lt;="&amp;$A42,実績!$AJ$6:$AJ$505,"&gt;"&amp;$A42,実績!$AL$6:$AL$505,"○")&gt;0,1,0))</f>
        <v>0</v>
      </c>
      <c r="AO42" s="39" t="n">
        <f aca="false">IF(AO$4=0,0,IF(COUNTIFS(実績!$W$6:$W$505,AO$3,実績!$AI$6:$AI$505,"&lt;="&amp;$A42,実績!$AJ$6:$AJ$505,"&gt;"&amp;$A42,実績!$AL$6:$AL$505,"○")&gt;0,1,0))</f>
        <v>0</v>
      </c>
      <c r="AP42" s="39" t="n">
        <f aca="false">IF(AP$4=0,0,IF(COUNTIFS(実績!$W$6:$W$505,AP$3,実績!$AI$6:$AI$505,"&lt;="&amp;$A42,実績!$AJ$6:$AJ$505,"&gt;"&amp;$A42,実績!$AL$6:$AL$505,"○")&gt;0,1,0))</f>
        <v>0</v>
      </c>
      <c r="AQ42" s="39" t="n">
        <f aca="false">IF(AQ$4=0,0,IF(COUNTIFS(実績!$W$6:$W$505,AQ$3,実績!$AI$6:$AI$505,"&lt;="&amp;$A42,実績!$AJ$6:$AJ$505,"&gt;"&amp;$A42,実績!$AL$6:$AL$505,"○")&gt;0,1,0))</f>
        <v>0</v>
      </c>
      <c r="AR42" s="39" t="n">
        <f aca="false">IF(AR$4=0,0,IF(COUNTIFS(実績!$W$6:$W$505,AR$3,実績!$AI$6:$AI$505,"&lt;="&amp;$A42,実績!$AJ$6:$AJ$505,"&gt;"&amp;$A42,実績!$AL$6:$AL$505,"○")&gt;0,1,0))</f>
        <v>0</v>
      </c>
      <c r="AS42" s="39" t="n">
        <f aca="false">IF(AS$4=0,0,IF(COUNTIFS(実績!$W$6:$W$505,AS$3,実績!$AI$6:$AI$505,"&lt;="&amp;$A42,実績!$AJ$6:$AJ$505,"&gt;"&amp;$A42,実績!$AL$6:$AL$505,"○")&gt;0,1,0))</f>
        <v>0</v>
      </c>
      <c r="AT42" s="39" t="n">
        <f aca="false">IF(AT$4=0,0,IF(COUNTIFS(実績!$W$6:$W$505,AT$3,実績!$AI$6:$AI$505,"&lt;="&amp;$A42,実績!$AJ$6:$AJ$505,"&gt;"&amp;$A42,実績!$AL$6:$AL$505,"○")&gt;0,1,0))</f>
        <v>0</v>
      </c>
      <c r="AU42" s="39" t="n">
        <f aca="false">IF(AU$4=0,0,IF(COUNTIFS(実績!$W$6:$W$505,AU$3,実績!$AI$6:$AI$505,"&lt;="&amp;$A42,実績!$AJ$6:$AJ$505,"&gt;"&amp;$A42,実績!$AL$6:$AL$505,"○")&gt;0,1,0))</f>
        <v>0</v>
      </c>
      <c r="AV42" s="39" t="n">
        <f aca="false">IF(AV$4=0,0,IF(COUNTIFS(実績!$W$6:$W$505,AV$3,実績!$AI$6:$AI$505,"&lt;="&amp;$A42,実績!$AJ$6:$AJ$505,"&gt;"&amp;$A42,実績!$AL$6:$AL$505,"○")&gt;0,1,0))</f>
        <v>0</v>
      </c>
      <c r="AW42" s="39" t="n">
        <f aca="false">IF(AW$4=0,0,IF(COUNTIFS(実績!$W$6:$W$505,AW$3,実績!$AI$6:$AI$505,"&lt;="&amp;$A42,実績!$AJ$6:$AJ$505,"&gt;"&amp;$A42,実績!$AL$6:$AL$505,"○")&gt;0,1,0))</f>
        <v>0</v>
      </c>
      <c r="AX42" s="39" t="n">
        <f aca="false">IF(AX$4=0,0,IF(COUNTIFS(実績!$W$6:$W$505,AX$3,実績!$AI$6:$AI$505,"&lt;="&amp;$A42,実績!$AJ$6:$AJ$505,"&gt;"&amp;$A42,実績!$AL$6:$AL$505,"○")&gt;0,1,0))</f>
        <v>0</v>
      </c>
      <c r="AY42" s="39" t="n">
        <f aca="false">IF(AY$4=0,0,IF(COUNTIFS(実績!$W$6:$W$505,AY$3,実績!$AI$6:$AI$505,"&lt;="&amp;$A42,実績!$AJ$6:$AJ$505,"&gt;"&amp;$A42,実績!$AL$6:$AL$505,"○")&gt;0,1,0))</f>
        <v>0</v>
      </c>
      <c r="AZ42" s="39" t="n">
        <f aca="false">IF(AZ$4=0,0,IF(COUNTIFS(実績!$W$6:$W$505,AZ$3,実績!$AI$6:$AI$505,"&lt;="&amp;$A42,実績!$AJ$6:$AJ$505,"&gt;"&amp;$A42,実績!$AL$6:$AL$505,"○")&gt;0,1,0))</f>
        <v>0</v>
      </c>
      <c r="BA42" s="39" t="n">
        <f aca="false">IF(BA$4=0,0,IF(COUNTIFS(実績!$W$6:$W$505,BA$3,実績!$AI$6:$AI$505,"&lt;="&amp;$A42,実績!$AJ$6:$AJ$505,"&gt;"&amp;$A42,実績!$AL$6:$AL$505,"○")&gt;0,1,0))</f>
        <v>0</v>
      </c>
      <c r="BB42" s="39" t="n">
        <f aca="false">IF(BB$4=0,0,IF(COUNTIFS(実績!$W$6:$W$505,BB$3,実績!$AI$6:$AI$505,"&lt;="&amp;$A42,実績!$AJ$6:$AJ$505,"&gt;"&amp;$A42,実績!$AL$6:$AL$505,"○")&gt;0,1,0))</f>
        <v>0</v>
      </c>
      <c r="BC42" s="39" t="n">
        <f aca="false">IF(BC$4=0,0,IF(COUNTIFS(実績!$W$6:$W$505,BC$3,実績!$AI$6:$AI$505,"&lt;="&amp;$A42,実績!$AJ$6:$AJ$505,"&gt;"&amp;$A42,実績!$AL$6:$AL$505,"○")&gt;0,1,0))</f>
        <v>0</v>
      </c>
      <c r="BD42" s="39" t="n">
        <f aca="false">IF(BD$4=0,0,IF(COUNTIFS(実績!$W$6:$W$505,BD$3,実績!$AI$6:$AI$505,"&lt;="&amp;$A42,実績!$AJ$6:$AJ$505,"&gt;"&amp;$A42,実績!$AL$6:$AL$505,"○")&gt;0,1,0))</f>
        <v>0</v>
      </c>
      <c r="BE42" s="39" t="n">
        <f aca="false">IF(BE$4=0,0,IF(COUNTIFS(実績!$W$6:$W$505,BE$3,実績!$AI$6:$AI$505,"&lt;="&amp;$A42,実績!$AJ$6:$AJ$505,"&gt;"&amp;$A42,実績!$AL$6:$AL$505,"○")&gt;0,1,0))</f>
        <v>0</v>
      </c>
      <c r="BF42" s="39" t="n">
        <f aca="false">IF(BF$4=0,0,IF(COUNTIFS(実績!$W$6:$W$505,BF$3,実績!$AI$6:$AI$505,"&lt;="&amp;$A42,実績!$AJ$6:$AJ$505,"&gt;"&amp;$A42,実績!$AL$6:$AL$505,"○")&gt;0,1,0))</f>
        <v>0</v>
      </c>
      <c r="BG42" s="39" t="n">
        <f aca="false">IF(BG$4=0,0,IF(COUNTIFS(実績!$W$6:$W$505,BG$3,実績!$AI$6:$AI$505,"&lt;="&amp;$A42,実績!$AJ$6:$AJ$505,"&gt;"&amp;$A42,実績!$AL$6:$AL$505,"○")&gt;0,1,0))</f>
        <v>0</v>
      </c>
      <c r="BH42" s="39" t="n">
        <f aca="false">IF(BH$4=0,0,IF(COUNTIFS(実績!$W$6:$W$505,BH$3,実績!$AI$6:$AI$505,"&lt;="&amp;$A42,実績!$AJ$6:$AJ$505,"&gt;"&amp;$A42,実績!$AL$6:$AL$505,"○")&gt;0,1,0))</f>
        <v>0</v>
      </c>
      <c r="BI42" s="39" t="n">
        <f aca="false">IF(BI$4=0,0,IF(COUNTIFS(実績!$W$6:$W$505,BI$3,実績!$AI$6:$AI$505,"&lt;="&amp;$A42,実績!$AJ$6:$AJ$505,"&gt;"&amp;$A42,実績!$AL$6:$AL$505,"○")&gt;0,1,0))</f>
        <v>0</v>
      </c>
      <c r="BJ42" s="39" t="n">
        <f aca="false">IF(BJ$4=0,0,IF(COUNTIFS(実績!$W$6:$W$505,BJ$3,実績!$AI$6:$AI$505,"&lt;="&amp;$A42,実績!$AJ$6:$AJ$505,"&gt;"&amp;$A42,実績!$AL$6:$AL$505,"○")&gt;0,1,0))</f>
        <v>0</v>
      </c>
      <c r="BK42" s="39" t="n">
        <f aca="false">IF(BK$4=0,0,IF(COUNTIFS(実績!$W$6:$W$505,BK$3,実績!$AI$6:$AI$505,"&lt;="&amp;$A42,実績!$AJ$6:$AJ$505,"&gt;"&amp;$A42,実績!$AL$6:$AL$505,"○")&gt;0,1,0))</f>
        <v>0</v>
      </c>
      <c r="BL42" s="39" t="n">
        <f aca="false">IF(BL$4=0,0,IF(COUNTIFS(実績!$W$6:$W$505,BL$3,実績!$AI$6:$AI$505,"&lt;="&amp;$A42,実績!$AJ$6:$AJ$505,"&gt;"&amp;$A42,実績!$AL$6:$AL$505,"○")&gt;0,1,0))</f>
        <v>0</v>
      </c>
      <c r="BM42" s="39" t="n">
        <f aca="false">IF(BM$4=0,0,IF(COUNTIFS(実績!$W$6:$W$505,BM$3,実績!$AI$6:$AI$505,"&lt;="&amp;$A42,実績!$AJ$6:$AJ$505,"&gt;"&amp;$A42,実績!$AL$6:$AL$505,"○")&gt;0,1,0))</f>
        <v>0</v>
      </c>
      <c r="BN42" s="39" t="n">
        <f aca="false">IF(BN$4=0,0,IF(COUNTIFS(実績!$W$6:$W$505,BN$3,実績!$AI$6:$AI$505,"&lt;="&amp;$A42,実績!$AJ$6:$AJ$505,"&gt;"&amp;$A42,実績!$AL$6:$AL$505,"○")&gt;0,1,0))</f>
        <v>0</v>
      </c>
      <c r="BO42" s="39" t="n">
        <f aca="false">IF(BO$4=0,0,IF(COUNTIFS(実績!$W$6:$W$505,BO$3,実績!$AI$6:$AI$505,"&lt;="&amp;$A42,実績!$AJ$6:$AJ$505,"&gt;"&amp;$A42,実績!$AL$6:$AL$505,"○")&gt;0,1,0))</f>
        <v>0</v>
      </c>
      <c r="BP42" s="39" t="n">
        <f aca="false">IF(BP$4=0,0,IF(COUNTIFS(実績!$W$6:$W$505,BP$3,実績!$AI$6:$AI$505,"&lt;="&amp;$A42,実績!$AJ$6:$AJ$505,"&gt;"&amp;$A42,実績!$AL$6:$AL$505,"○")&gt;0,1,0))</f>
        <v>0</v>
      </c>
      <c r="BQ42" s="39" t="n">
        <f aca="false">IF(BQ$4=0,0,IF(COUNTIFS(実績!$W$6:$W$505,BQ$3,実績!$AI$6:$AI$505,"&lt;="&amp;$A42,実績!$AJ$6:$AJ$505,"&gt;"&amp;$A42,実績!$AL$6:$AL$505,"○")&gt;0,1,0))</f>
        <v>0</v>
      </c>
      <c r="BR42" s="39" t="n">
        <f aca="false">IF(BR$4=0,0,IF(COUNTIFS(実績!$W$6:$W$505,BR$3,実績!$AI$6:$AI$505,"&lt;="&amp;$A42,実績!$AJ$6:$AJ$505,"&gt;"&amp;$A42,実績!$AL$6:$AL$505,"○")&gt;0,1,0))</f>
        <v>0</v>
      </c>
      <c r="BS42" s="39" t="n">
        <f aca="false">IF(BS$4=0,0,IF(COUNTIFS(実績!$W$6:$W$505,BS$3,実績!$AI$6:$AI$505,"&lt;="&amp;$A42,実績!$AJ$6:$AJ$505,"&gt;"&amp;$A42,実績!$AL$6:$AL$505,"○")&gt;0,1,0))</f>
        <v>0</v>
      </c>
      <c r="BT42" s="39" t="n">
        <f aca="false">IF(BT$4=0,0,IF(COUNTIFS(実績!$W$6:$W$505,BT$3,実績!$AI$6:$AI$505,"&lt;="&amp;$A42,実績!$AJ$6:$AJ$505,"&gt;"&amp;$A42,実績!$AL$6:$AL$505,"○")&gt;0,1,0))</f>
        <v>0</v>
      </c>
      <c r="BU42" s="39" t="n">
        <f aca="false">IF(BU$4=0,0,IF(COUNTIFS(実績!$W$6:$W$505,BU$3,実績!$AI$6:$AI$505,"&lt;="&amp;$A42,実績!$AJ$6:$AJ$505,"&gt;"&amp;$A42,実績!$AL$6:$AL$505,"○")&gt;0,1,0))</f>
        <v>0</v>
      </c>
      <c r="BV42" s="39" t="n">
        <f aca="false">IF(BV$4=0,0,IF(COUNTIFS(実績!$W$6:$W$505,BV$3,実績!$AI$6:$AI$505,"&lt;="&amp;$A42,実績!$AJ$6:$AJ$505,"&gt;"&amp;$A42,実績!$AL$6:$AL$505,"○")&gt;0,1,0))</f>
        <v>0</v>
      </c>
      <c r="BW42" s="39" t="n">
        <f aca="false">IF(BW$4=0,0,IF(COUNTIFS(実績!$W$6:$W$505,BW$3,実績!$AI$6:$AI$505,"&lt;="&amp;$A42,実績!$AJ$6:$AJ$505,"&gt;"&amp;$A42,実績!$AL$6:$AL$505,"○")&gt;0,1,0))</f>
        <v>0</v>
      </c>
      <c r="BX42" s="39" t="n">
        <f aca="false">IF(BX$4=0,0,IF(COUNTIFS(実績!$W$6:$W$505,BX$3,実績!$AI$6:$AI$505,"&lt;="&amp;$A42,実績!$AJ$6:$AJ$505,"&gt;"&amp;$A42,実績!$AL$6:$AL$505,"○")&gt;0,1,0))</f>
        <v>0</v>
      </c>
      <c r="BY42" s="39" t="n">
        <f aca="false">IF(BY$4=0,0,IF(COUNTIFS(実績!$W$6:$W$505,BY$3,実績!$AI$6:$AI$505,"&lt;="&amp;$A42,実績!$AJ$6:$AJ$505,"&gt;"&amp;$A42,実績!$AL$6:$AL$505,"○")&gt;0,1,0))</f>
        <v>0</v>
      </c>
      <c r="BZ42" s="39" t="n">
        <f aca="false">IF(BZ$4=0,0,IF(COUNTIFS(実績!$W$6:$W$505,BZ$3,実績!$AI$6:$AI$505,"&lt;="&amp;$A42,実績!$AJ$6:$AJ$505,"&gt;"&amp;$A42,実績!$AL$6:$AL$505,"○")&gt;0,1,0))</f>
        <v>0</v>
      </c>
      <c r="CA42" s="39" t="n">
        <f aca="false">IF(CA$4=0,0,IF(COUNTIFS(実績!$W$6:$W$505,CA$3,実績!$AI$6:$AI$505,"&lt;="&amp;$A42,実績!$AJ$6:$AJ$505,"&gt;"&amp;$A42,実績!$AL$6:$AL$505,"○")&gt;0,1,0))</f>
        <v>0</v>
      </c>
      <c r="CB42" s="39" t="n">
        <f aca="false">IF(CB$4=0,0,IF(COUNTIFS(実績!$W$6:$W$505,CB$3,実績!$AI$6:$AI$505,"&lt;="&amp;$A42,実績!$AJ$6:$AJ$505,"&gt;"&amp;$A42,実績!$AL$6:$AL$505,"○")&gt;0,1,0))</f>
        <v>0</v>
      </c>
      <c r="CC42" s="39" t="n">
        <f aca="false">IF(CC$4=0,0,IF(COUNTIFS(実績!$W$6:$W$505,CC$3,実績!$AI$6:$AI$505,"&lt;="&amp;$A42,実績!$AJ$6:$AJ$505,"&gt;"&amp;$A42,実績!$AL$6:$AL$505,"○")&gt;0,1,0))</f>
        <v>0</v>
      </c>
      <c r="CD42" s="39" t="n">
        <f aca="false">IF(CD$4=0,0,IF(COUNTIFS(実績!$W$6:$W$505,CD$3,実績!$AI$6:$AI$505,"&lt;="&amp;$A42,実績!$AJ$6:$AJ$505,"&gt;"&amp;$A42,実績!$AL$6:$AL$505,"○")&gt;0,1,0))</f>
        <v>0</v>
      </c>
      <c r="CE42" s="39" t="n">
        <f aca="false">IF(CE$4=0,0,IF(COUNTIFS(実績!$W$6:$W$505,CE$3,実績!$AI$6:$AI$505,"&lt;="&amp;$A42,実績!$AJ$6:$AJ$505,"&gt;"&amp;$A42,実績!$AL$6:$AL$505,"○")&gt;0,1,0))</f>
        <v>0</v>
      </c>
      <c r="CF42" s="39" t="n">
        <f aca="false">IF(CF$4=0,0,IF(COUNTIFS(実績!$W$6:$W$505,CF$3,実績!$AI$6:$AI$505,"&lt;="&amp;$A42,実績!$AJ$6:$AJ$505,"&gt;"&amp;$A42,実績!$AL$6:$AL$505,"○")&gt;0,1,0))</f>
        <v>0</v>
      </c>
      <c r="CG42" s="39" t="n">
        <f aca="false">IF(CG$4=0,0,IF(COUNTIFS(実績!$W$6:$W$505,CG$3,実績!$AI$6:$AI$505,"&lt;="&amp;$A42,実績!$AJ$6:$AJ$505,"&gt;"&amp;$A42,実績!$AL$6:$AL$505,"○")&gt;0,1,0))</f>
        <v>0</v>
      </c>
      <c r="CH42" s="39" t="n">
        <f aca="false">IF(CH$4=0,0,IF(COUNTIFS(実績!$W$6:$W$505,CH$3,実績!$AI$6:$AI$505,"&lt;="&amp;$A42,実績!$AJ$6:$AJ$505,"&gt;"&amp;$A42,実績!$AL$6:$AL$505,"○")&gt;0,1,0))</f>
        <v>0</v>
      </c>
      <c r="CI42" s="39" t="n">
        <f aca="false">IF(CI$4=0,0,IF(COUNTIFS(実績!$W$6:$W$505,CI$3,実績!$AI$6:$AI$505,"&lt;="&amp;$A42,実績!$AJ$6:$AJ$505,"&gt;"&amp;$A42,実績!$AL$6:$AL$505,"○")&gt;0,1,0))</f>
        <v>0</v>
      </c>
      <c r="CJ42" s="39" t="n">
        <f aca="false">IF(CJ$4=0,0,IF(COUNTIFS(実績!$W$6:$W$505,CJ$3,実績!$AI$6:$AI$505,"&lt;="&amp;$A42,実績!$AJ$6:$AJ$505,"&gt;"&amp;$A42,実績!$AL$6:$AL$505,"○")&gt;0,1,0))</f>
        <v>0</v>
      </c>
      <c r="CK42" s="39" t="n">
        <f aca="false">IF(CK$4=0,0,IF(COUNTIFS(実績!$W$6:$W$505,CK$3,実績!$AI$6:$AI$505,"&lt;="&amp;$A42,実績!$AJ$6:$AJ$505,"&gt;"&amp;$A42,実績!$AL$6:$AL$505,"○")&gt;0,1,0))</f>
        <v>0</v>
      </c>
      <c r="CL42" s="39" t="n">
        <f aca="false">IF(CL$4=0,0,IF(COUNTIFS(実績!$W$6:$W$505,CL$3,実績!$AI$6:$AI$505,"&lt;="&amp;$A42,実績!$AJ$6:$AJ$505,"&gt;"&amp;$A42,実績!$AL$6:$AL$505,"○")&gt;0,1,0))</f>
        <v>0</v>
      </c>
      <c r="CM42" s="39" t="n">
        <f aca="false">IF(CM$4=0,0,IF(COUNTIFS(実績!$W$6:$W$505,CM$3,実績!$AI$6:$AI$505,"&lt;="&amp;$A42,実績!$AJ$6:$AJ$505,"&gt;"&amp;$A42,実績!$AL$6:$AL$505,"○")&gt;0,1,0))</f>
        <v>0</v>
      </c>
      <c r="CN42" s="39" t="n">
        <f aca="false">IF(CN$4=0,0,IF(COUNTIFS(実績!$W$6:$W$505,CN$3,実績!$AI$6:$AI$505,"&lt;="&amp;$A42,実績!$AJ$6:$AJ$505,"&gt;"&amp;$A42,実績!$AL$6:$AL$505,"○")&gt;0,1,0))</f>
        <v>0</v>
      </c>
      <c r="CO42" s="39" t="n">
        <f aca="false">IF(CO$4=0,0,IF(COUNTIFS(実績!$W$6:$W$505,CO$3,実績!$AI$6:$AI$505,"&lt;="&amp;$A42,実績!$AJ$6:$AJ$505,"&gt;"&amp;$A42,実績!$AL$6:$AL$505,"○")&gt;0,1,0))</f>
        <v>0</v>
      </c>
      <c r="CP42" s="39" t="n">
        <f aca="false">IF(CP$4=0,0,IF(COUNTIFS(実績!$W$6:$W$505,CP$3,実績!$AI$6:$AI$505,"&lt;="&amp;$A42,実績!$AJ$6:$AJ$505,"&gt;"&amp;$A42,実績!$AL$6:$AL$505,"○")&gt;0,1,0))</f>
        <v>0</v>
      </c>
      <c r="CQ42" s="39" t="n">
        <f aca="false">IF(CQ$4=0,0,IF(COUNTIFS(実績!$W$6:$W$505,CQ$3,実績!$AI$6:$AI$505,"&lt;="&amp;$A42,実績!$AJ$6:$AJ$505,"&gt;"&amp;$A42,実績!$AL$6:$AL$505,"○")&gt;0,1,0))</f>
        <v>0</v>
      </c>
      <c r="CR42" s="39" t="n">
        <f aca="false">IF(CR$4=0,0,IF(COUNTIFS(実績!$W$6:$W$505,CR$3,実績!$AI$6:$AI$505,"&lt;="&amp;$A42,実績!$AJ$6:$AJ$505,"&gt;"&amp;$A42,実績!$AL$6:$AL$505,"○")&gt;0,1,0))</f>
        <v>0</v>
      </c>
      <c r="CS42" s="39" t="n">
        <f aca="false">IF(CS$4=0,0,IF(COUNTIFS(実績!$W$6:$W$505,CS$3,実績!$AI$6:$AI$505,"&lt;="&amp;$A42,実績!$AJ$6:$AJ$505,"&gt;"&amp;$A42,実績!$AL$6:$AL$505,"○")&gt;0,1,0))</f>
        <v>0</v>
      </c>
      <c r="CT42" s="39" t="n">
        <f aca="false">IF(CT$4=0,0,IF(COUNTIFS(実績!$W$6:$W$505,CT$3,実績!$AI$6:$AI$505,"&lt;="&amp;$A42,実績!$AJ$6:$AJ$505,"&gt;"&amp;$A42,実績!$AL$6:$AL$505,"○")&gt;0,1,0))</f>
        <v>0</v>
      </c>
      <c r="CU42" s="39" t="n">
        <f aca="false">IF(CU$4=0,0,IF(COUNTIFS(実績!$W$6:$W$505,CU$3,実績!$AI$6:$AI$505,"&lt;="&amp;$A42,実績!$AJ$6:$AJ$505,"&gt;"&amp;$A42,実績!$AL$6:$AL$505,"○")&gt;0,1,0))</f>
        <v>0</v>
      </c>
      <c r="CV42" s="39" t="n">
        <f aca="false">IF(CV$4=0,0,IF(COUNTIFS(実績!$W$6:$W$505,CV$3,実績!$AI$6:$AI$505,"&lt;="&amp;$A42,実績!$AJ$6:$AJ$505,"&gt;"&amp;$A42,実績!$AL$6:$AL$505,"○")&gt;0,1,0))</f>
        <v>0</v>
      </c>
      <c r="CW42" s="39" t="n">
        <f aca="false">IF(CW$4=0,0,IF(COUNTIFS(実績!$W$6:$W$505,CW$3,実績!$AI$6:$AI$505,"&lt;="&amp;$A42,実績!$AJ$6:$AJ$505,"&gt;"&amp;$A42,実績!$AL$6:$AL$505,"○")&gt;0,1,0))</f>
        <v>0</v>
      </c>
      <c r="CX42" s="39" t="n">
        <f aca="false">IF(CX$4=0,0,IF(COUNTIFS(実績!$W$6:$W$505,CX$3,実績!$AI$6:$AI$505,"&lt;="&amp;$A42,実績!$AJ$6:$AJ$505,"&gt;"&amp;$A42,実績!$AL$6:$AL$505,"○")&gt;0,1,0))</f>
        <v>0</v>
      </c>
      <c r="CY42" s="39" t="n">
        <f aca="false">IF(CY$4=0,0,IF(COUNTIFS(実績!$W$6:$W$505,CY$3,実績!$AI$6:$AI$505,"&lt;="&amp;$A42,実績!$AJ$6:$AJ$505,"&gt;"&amp;$A42,実績!$AL$6:$AL$505,"○")&gt;0,1,0))</f>
        <v>0</v>
      </c>
      <c r="CZ42" s="39" t="n">
        <f aca="false">IF(CZ$4=0,0,IF(COUNTIFS(実績!$W$6:$W$505,CZ$3,実績!$AI$6:$AI$505,"&lt;="&amp;$A42,実績!$AJ$6:$AJ$505,"&gt;"&amp;$A42,実績!$AL$6:$AL$505,"○")&gt;0,1,0))</f>
        <v>0</v>
      </c>
      <c r="DA42" s="39" t="n">
        <f aca="false">IF(DA$4=0,0,IF(COUNTIFS(実績!$W$6:$W$505,DA$3,実績!$AI$6:$AI$505,"&lt;="&amp;$A42,実績!$AJ$6:$AJ$505,"&gt;"&amp;$A42,実績!$AL$6:$AL$505,"○")&gt;0,1,0))</f>
        <v>0</v>
      </c>
      <c r="DB42" s="39" t="n">
        <f aca="false">IF(DB$4=0,0,IF(COUNTIFS(実績!$W$6:$W$505,DB$3,実績!$AI$6:$AI$505,"&lt;="&amp;$A42,実績!$AJ$6:$AJ$505,"&gt;"&amp;$A42,実績!$AL$6:$AL$505,"○")&gt;0,1,0))</f>
        <v>0</v>
      </c>
      <c r="DC42" s="39" t="n">
        <f aca="false">IF(DC$4=0,0,IF(COUNTIFS(実績!$W$6:$W$505,DC$3,実績!$AI$6:$AI$505,"&lt;="&amp;$A42,実績!$AJ$6:$AJ$505,"&gt;"&amp;$A42,実績!$AL$6:$AL$505,"○")&gt;0,1,0))</f>
        <v>0</v>
      </c>
      <c r="DD42" s="39" t="n">
        <f aca="false">IF(DD$4=0,0,IF(COUNTIFS(実績!$W$6:$W$505,DD$3,実績!$AI$6:$AI$505,"&lt;="&amp;$A42,実績!$AJ$6:$AJ$505,"&gt;"&amp;$A42,実績!$AL$6:$AL$505,"○")&gt;0,1,0))</f>
        <v>0</v>
      </c>
      <c r="DE42" s="39" t="n">
        <f aca="false">IF(DE$4=0,0,IF(COUNTIFS(実績!$W$6:$W$505,DE$3,実績!$AI$6:$AI$505,"&lt;="&amp;$A42,実績!$AJ$6:$AJ$505,"&gt;"&amp;$A42,実績!$AL$6:$AL$505,"○")&gt;0,1,0))</f>
        <v>0</v>
      </c>
      <c r="DF42" s="39" t="n">
        <f aca="false">IF(DF$4=0,0,IF(COUNTIFS(実績!$W$6:$W$505,DF$3,実績!$AI$6:$AI$505,"&lt;="&amp;$A42,実績!$AJ$6:$AJ$505,"&gt;"&amp;$A42,実績!$AL$6:$AL$505,"○")&gt;0,1,0))</f>
        <v>0</v>
      </c>
      <c r="DG42" s="39" t="n">
        <f aca="false">IF(DG$4=0,0,IF(COUNTIFS(実績!$W$6:$W$505,DG$3,実績!$AI$6:$AI$505,"&lt;="&amp;$A42,実績!$AJ$6:$AJ$505,"&gt;"&amp;$A42,実績!$AL$6:$AL$505,"○")&gt;0,1,0))</f>
        <v>0</v>
      </c>
      <c r="DH42" s="39" t="n">
        <f aca="false">IF(DH$4=0,0,IF(COUNTIFS(実績!$W$6:$W$505,DH$3,実績!$AI$6:$AI$505,"&lt;="&amp;$A42,実績!$AJ$6:$AJ$505,"&gt;"&amp;$A42,実績!$AL$6:$AL$505,"○")&gt;0,1,0))</f>
        <v>0</v>
      </c>
      <c r="DI42" s="39" t="n">
        <f aca="false">IF(DI$4=0,0,IF(COUNTIFS(実績!$W$6:$W$505,DI$3,実績!$AI$6:$AI$505,"&lt;="&amp;$A42,実績!$AJ$6:$AJ$505,"&gt;"&amp;$A42,実績!$AL$6:$AL$505,"○")&gt;0,1,0))</f>
        <v>0</v>
      </c>
      <c r="DJ42" s="39" t="n">
        <f aca="false">IF(DJ$4=0,0,IF(COUNTIFS(実績!$W$6:$W$505,DJ$3,実績!$AI$6:$AI$505,"&lt;="&amp;$A42,実績!$AJ$6:$AJ$505,"&gt;"&amp;$A42,実績!$AL$6:$AL$505,"○")&gt;0,1,0))</f>
        <v>0</v>
      </c>
      <c r="DK42" s="39" t="n">
        <f aca="false">IF(DK$4=0,0,IF(COUNTIFS(実績!$W$6:$W$505,DK$3,実績!$AI$6:$AI$505,"&lt;="&amp;$A42,実績!$AJ$6:$AJ$505,"&gt;"&amp;$A42,実績!$AL$6:$AL$505,"○")&gt;0,1,0))</f>
        <v>0</v>
      </c>
      <c r="DL42" s="39" t="n">
        <f aca="false">IF(DL$4=0,0,IF(COUNTIFS(実績!$W$6:$W$505,DL$3,実績!$AI$6:$AI$505,"&lt;="&amp;$A42,実績!$AJ$6:$AJ$505,"&gt;"&amp;$A42,実績!$AL$6:$AL$505,"○")&gt;0,1,0))</f>
        <v>0</v>
      </c>
      <c r="DM42" s="39" t="n">
        <f aca="false">IF(DM$4=0,0,IF(COUNTIFS(実績!$W$6:$W$505,DM$3,実績!$AI$6:$AI$505,"&lt;="&amp;$A42,実績!$AJ$6:$AJ$505,"&gt;"&amp;$A42,実績!$AL$6:$AL$505,"○")&gt;0,1,0))</f>
        <v>0</v>
      </c>
      <c r="DN42" s="39" t="n">
        <f aca="false">IF(DN$4=0,0,IF(COUNTIFS(実績!$W$6:$W$505,DN$3,実績!$AI$6:$AI$505,"&lt;="&amp;$A42,実績!$AJ$6:$AJ$505,"&gt;"&amp;$A42,実績!$AL$6:$AL$505,"○")&gt;0,1,0))</f>
        <v>0</v>
      </c>
      <c r="DO42" s="39" t="n">
        <f aca="false">IF(DO$4=0,0,IF(COUNTIFS(実績!$W$6:$W$505,DO$3,実績!$AI$6:$AI$505,"&lt;="&amp;$A42,実績!$AJ$6:$AJ$505,"&gt;"&amp;$A42,実績!$AL$6:$AL$505,"○")&gt;0,1,0))</f>
        <v>0</v>
      </c>
      <c r="DP42" s="39" t="n">
        <f aca="false">IF(DP$4=0,0,IF(COUNTIFS(実績!$W$6:$W$505,DP$3,実績!$AI$6:$AI$505,"&lt;="&amp;$A42,実績!$AJ$6:$AJ$505,"&gt;"&amp;$A42,実績!$AL$6:$AL$505,"○")&gt;0,1,0))</f>
        <v>0</v>
      </c>
      <c r="DQ42" s="39" t="n">
        <f aca="false">IF(DQ$4=0,0,IF(COUNTIFS(実績!$W$6:$W$505,DQ$3,実績!$AI$6:$AI$505,"&lt;="&amp;$A42,実績!$AJ$6:$AJ$505,"&gt;"&amp;$A42,実績!$AL$6:$AL$505,"○")&gt;0,1,0))</f>
        <v>0</v>
      </c>
      <c r="DR42" s="39" t="n">
        <f aca="false">IF(DR$4=0,0,IF(COUNTIFS(実績!$W$6:$W$505,DR$3,実績!$AI$6:$AI$505,"&lt;="&amp;$A42,実績!$AJ$6:$AJ$505,"&gt;"&amp;$A42,実績!$AL$6:$AL$505,"○")&gt;0,1,0))</f>
        <v>0</v>
      </c>
      <c r="DS42" s="39" t="n">
        <f aca="false">SUM(C42:DR42)</f>
        <v>0</v>
      </c>
    </row>
    <row r="43" customFormat="false" ht="15" hidden="false" customHeight="false" outlineLevel="0" collapsed="false">
      <c r="A43" s="0" t="n">
        <v>185</v>
      </c>
      <c r="B43" s="38" t="n">
        <f aca="false">A43/1440</f>
        <v>0.128472222222222</v>
      </c>
      <c r="C43" s="39" t="n">
        <f aca="false">IF(C$4=0,0,IF(COUNTIFS(実績!$W$6:$W$505,C$3,実績!$AI$6:$AI$505,"&lt;="&amp;$A43,実績!$AJ$6:$AJ$505,"&gt;"&amp;$A43,実績!$AL$6:$AL$505,"○")&gt;0,1,0))</f>
        <v>0</v>
      </c>
      <c r="D43" s="39" t="n">
        <f aca="false">IF(D$4=0,0,IF(COUNTIFS(実績!$W$6:$W$505,D$3,実績!$AI$6:$AI$505,"&lt;="&amp;$A43,実績!$AJ$6:$AJ$505,"&gt;"&amp;$A43,実績!$AL$6:$AL$505,"○")&gt;0,1,0))</f>
        <v>0</v>
      </c>
      <c r="E43" s="39" t="n">
        <f aca="false">IF(E$4=0,0,IF(COUNTIFS(実績!$W$6:$W$505,E$3,実績!$AI$6:$AI$505,"&lt;="&amp;$A43,実績!$AJ$6:$AJ$505,"&gt;"&amp;$A43,実績!$AL$6:$AL$505,"○")&gt;0,1,0))</f>
        <v>0</v>
      </c>
      <c r="F43" s="39" t="n">
        <f aca="false">IF(F$4=0,0,IF(COUNTIFS(実績!$W$6:$W$505,F$3,実績!$AI$6:$AI$505,"&lt;="&amp;$A43,実績!$AJ$6:$AJ$505,"&gt;"&amp;$A43,実績!$AL$6:$AL$505,"○")&gt;0,1,0))</f>
        <v>0</v>
      </c>
      <c r="G43" s="39" t="n">
        <f aca="false">IF(G$4=0,0,IF(COUNTIFS(実績!$W$6:$W$505,G$3,実績!$AI$6:$AI$505,"&lt;="&amp;$A43,実績!$AJ$6:$AJ$505,"&gt;"&amp;$A43,実績!$AL$6:$AL$505,"○")&gt;0,1,0))</f>
        <v>0</v>
      </c>
      <c r="H43" s="39" t="n">
        <f aca="false">IF(H$4=0,0,IF(COUNTIFS(実績!$W$6:$W$505,H$3,実績!$AI$6:$AI$505,"&lt;="&amp;$A43,実績!$AJ$6:$AJ$505,"&gt;"&amp;$A43,実績!$AL$6:$AL$505,"○")&gt;0,1,0))</f>
        <v>0</v>
      </c>
      <c r="I43" s="39" t="n">
        <f aca="false">IF(I$4=0,0,IF(COUNTIFS(実績!$W$6:$W$505,I$3,実績!$AI$6:$AI$505,"&lt;="&amp;$A43,実績!$AJ$6:$AJ$505,"&gt;"&amp;$A43,実績!$AL$6:$AL$505,"○")&gt;0,1,0))</f>
        <v>0</v>
      </c>
      <c r="J43" s="39" t="n">
        <f aca="false">IF(J$4=0,0,IF(COUNTIFS(実績!$W$6:$W$505,J$3,実績!$AI$6:$AI$505,"&lt;="&amp;$A43,実績!$AJ$6:$AJ$505,"&gt;"&amp;$A43,実績!$AL$6:$AL$505,"○")&gt;0,1,0))</f>
        <v>0</v>
      </c>
      <c r="K43" s="39" t="n">
        <f aca="false">IF(K$4=0,0,IF(COUNTIFS(実績!$W$6:$W$505,K$3,実績!$AI$6:$AI$505,"&lt;="&amp;$A43,実績!$AJ$6:$AJ$505,"&gt;"&amp;$A43,実績!$AL$6:$AL$505,"○")&gt;0,1,0))</f>
        <v>0</v>
      </c>
      <c r="L43" s="39" t="n">
        <f aca="false">IF(L$4=0,0,IF(COUNTIFS(実績!$W$6:$W$505,L$3,実績!$AI$6:$AI$505,"&lt;="&amp;$A43,実績!$AJ$6:$AJ$505,"&gt;"&amp;$A43,実績!$AL$6:$AL$505,"○")&gt;0,1,0))</f>
        <v>0</v>
      </c>
      <c r="M43" s="39" t="n">
        <f aca="false">IF(M$4=0,0,IF(COUNTIFS(実績!$W$6:$W$505,M$3,実績!$AI$6:$AI$505,"&lt;="&amp;$A43,実績!$AJ$6:$AJ$505,"&gt;"&amp;$A43,実績!$AL$6:$AL$505,"○")&gt;0,1,0))</f>
        <v>0</v>
      </c>
      <c r="N43" s="39" t="n">
        <f aca="false">IF(N$4=0,0,IF(COUNTIFS(実績!$W$6:$W$505,N$3,実績!$AI$6:$AI$505,"&lt;="&amp;$A43,実績!$AJ$6:$AJ$505,"&gt;"&amp;$A43,実績!$AL$6:$AL$505,"○")&gt;0,1,0))</f>
        <v>0</v>
      </c>
      <c r="O43" s="39" t="n">
        <f aca="false">IF(O$4=0,0,IF(COUNTIFS(実績!$W$6:$W$505,O$3,実績!$AI$6:$AI$505,"&lt;="&amp;$A43,実績!$AJ$6:$AJ$505,"&gt;"&amp;$A43,実績!$AL$6:$AL$505,"○")&gt;0,1,0))</f>
        <v>0</v>
      </c>
      <c r="P43" s="39" t="n">
        <f aca="false">IF(P$4=0,0,IF(COUNTIFS(実績!$W$6:$W$505,P$3,実績!$AI$6:$AI$505,"&lt;="&amp;$A43,実績!$AJ$6:$AJ$505,"&gt;"&amp;$A43,実績!$AL$6:$AL$505,"○")&gt;0,1,0))</f>
        <v>0</v>
      </c>
      <c r="Q43" s="39" t="n">
        <f aca="false">IF(Q$4=0,0,IF(COUNTIFS(実績!$W$6:$W$505,Q$3,実績!$AI$6:$AI$505,"&lt;="&amp;$A43,実績!$AJ$6:$AJ$505,"&gt;"&amp;$A43,実績!$AL$6:$AL$505,"○")&gt;0,1,0))</f>
        <v>0</v>
      </c>
      <c r="R43" s="39" t="n">
        <f aca="false">IF(R$4=0,0,IF(COUNTIFS(実績!$W$6:$W$505,R$3,実績!$AI$6:$AI$505,"&lt;="&amp;$A43,実績!$AJ$6:$AJ$505,"&gt;"&amp;$A43,実績!$AL$6:$AL$505,"○")&gt;0,1,0))</f>
        <v>0</v>
      </c>
      <c r="S43" s="39" t="n">
        <f aca="false">IF(S$4=0,0,IF(COUNTIFS(実績!$W$6:$W$505,S$3,実績!$AI$6:$AI$505,"&lt;="&amp;$A43,実績!$AJ$6:$AJ$505,"&gt;"&amp;$A43,実績!$AL$6:$AL$505,"○")&gt;0,1,0))</f>
        <v>0</v>
      </c>
      <c r="T43" s="39" t="n">
        <f aca="false">IF(T$4=0,0,IF(COUNTIFS(実績!$W$6:$W$505,T$3,実績!$AI$6:$AI$505,"&lt;="&amp;$A43,実績!$AJ$6:$AJ$505,"&gt;"&amp;$A43,実績!$AL$6:$AL$505,"○")&gt;0,1,0))</f>
        <v>0</v>
      </c>
      <c r="U43" s="39" t="n">
        <f aca="false">IF(U$4=0,0,IF(COUNTIFS(実績!$W$6:$W$505,U$3,実績!$AI$6:$AI$505,"&lt;="&amp;$A43,実績!$AJ$6:$AJ$505,"&gt;"&amp;$A43,実績!$AL$6:$AL$505,"○")&gt;0,1,0))</f>
        <v>0</v>
      </c>
      <c r="V43" s="39" t="n">
        <f aca="false">IF(V$4=0,0,IF(COUNTIFS(実績!$W$6:$W$505,V$3,実績!$AI$6:$AI$505,"&lt;="&amp;$A43,実績!$AJ$6:$AJ$505,"&gt;"&amp;$A43,実績!$AL$6:$AL$505,"○")&gt;0,1,0))</f>
        <v>0</v>
      </c>
      <c r="W43" s="39" t="n">
        <f aca="false">IF(W$4=0,0,IF(COUNTIFS(実績!$W$6:$W$505,W$3,実績!$AI$6:$AI$505,"&lt;="&amp;$A43,実績!$AJ$6:$AJ$505,"&gt;"&amp;$A43,実績!$AL$6:$AL$505,"○")&gt;0,1,0))</f>
        <v>0</v>
      </c>
      <c r="X43" s="39" t="n">
        <f aca="false">IF(X$4=0,0,IF(COUNTIFS(実績!$W$6:$W$505,X$3,実績!$AI$6:$AI$505,"&lt;="&amp;$A43,実績!$AJ$6:$AJ$505,"&gt;"&amp;$A43,実績!$AL$6:$AL$505,"○")&gt;0,1,0))</f>
        <v>0</v>
      </c>
      <c r="Y43" s="39" t="n">
        <f aca="false">IF(Y$4=0,0,IF(COUNTIFS(実績!$W$6:$W$505,Y$3,実績!$AI$6:$AI$505,"&lt;="&amp;$A43,実績!$AJ$6:$AJ$505,"&gt;"&amp;$A43,実績!$AL$6:$AL$505,"○")&gt;0,1,0))</f>
        <v>0</v>
      </c>
      <c r="Z43" s="39" t="n">
        <f aca="false">IF(Z$4=0,0,IF(COUNTIFS(実績!$W$6:$W$505,Z$3,実績!$AI$6:$AI$505,"&lt;="&amp;$A43,実績!$AJ$6:$AJ$505,"&gt;"&amp;$A43,実績!$AL$6:$AL$505,"○")&gt;0,1,0))</f>
        <v>0</v>
      </c>
      <c r="AA43" s="39" t="n">
        <f aca="false">IF(AA$4=0,0,IF(COUNTIFS(実績!$W$6:$W$505,AA$3,実績!$AI$6:$AI$505,"&lt;="&amp;$A43,実績!$AJ$6:$AJ$505,"&gt;"&amp;$A43,実績!$AL$6:$AL$505,"○")&gt;0,1,0))</f>
        <v>0</v>
      </c>
      <c r="AB43" s="39" t="n">
        <f aca="false">IF(AB$4=0,0,IF(COUNTIFS(実績!$W$6:$W$505,AB$3,実績!$AI$6:$AI$505,"&lt;="&amp;$A43,実績!$AJ$6:$AJ$505,"&gt;"&amp;$A43,実績!$AL$6:$AL$505,"○")&gt;0,1,0))</f>
        <v>0</v>
      </c>
      <c r="AC43" s="39" t="n">
        <f aca="false">IF(AC$4=0,0,IF(COUNTIFS(実績!$W$6:$W$505,AC$3,実績!$AI$6:$AI$505,"&lt;="&amp;$A43,実績!$AJ$6:$AJ$505,"&gt;"&amp;$A43,実績!$AL$6:$AL$505,"○")&gt;0,1,0))</f>
        <v>0</v>
      </c>
      <c r="AD43" s="39" t="n">
        <f aca="false">IF(AD$4=0,0,IF(COUNTIFS(実績!$W$6:$W$505,AD$3,実績!$AI$6:$AI$505,"&lt;="&amp;$A43,実績!$AJ$6:$AJ$505,"&gt;"&amp;$A43,実績!$AL$6:$AL$505,"○")&gt;0,1,0))</f>
        <v>0</v>
      </c>
      <c r="AE43" s="39" t="n">
        <f aca="false">IF(AE$4=0,0,IF(COUNTIFS(実績!$W$6:$W$505,AE$3,実績!$AI$6:$AI$505,"&lt;="&amp;$A43,実績!$AJ$6:$AJ$505,"&gt;"&amp;$A43,実績!$AL$6:$AL$505,"○")&gt;0,1,0))</f>
        <v>0</v>
      </c>
      <c r="AF43" s="39" t="n">
        <f aca="false">IF(AF$4=0,0,IF(COUNTIFS(実績!$W$6:$W$505,AF$3,実績!$AI$6:$AI$505,"&lt;="&amp;$A43,実績!$AJ$6:$AJ$505,"&gt;"&amp;$A43,実績!$AL$6:$AL$505,"○")&gt;0,1,0))</f>
        <v>0</v>
      </c>
      <c r="AG43" s="39" t="n">
        <f aca="false">IF(AG$4=0,0,IF(COUNTIFS(実績!$W$6:$W$505,AG$3,実績!$AI$6:$AI$505,"&lt;="&amp;$A43,実績!$AJ$6:$AJ$505,"&gt;"&amp;$A43,実績!$AL$6:$AL$505,"○")&gt;0,1,0))</f>
        <v>0</v>
      </c>
      <c r="AH43" s="39" t="n">
        <f aca="false">IF(AH$4=0,0,IF(COUNTIFS(実績!$W$6:$W$505,AH$3,実績!$AI$6:$AI$505,"&lt;="&amp;$A43,実績!$AJ$6:$AJ$505,"&gt;"&amp;$A43,実績!$AL$6:$AL$505,"○")&gt;0,1,0))</f>
        <v>0</v>
      </c>
      <c r="AI43" s="39" t="n">
        <f aca="false">IF(AI$4=0,0,IF(COUNTIFS(実績!$W$6:$W$505,AI$3,実績!$AI$6:$AI$505,"&lt;="&amp;$A43,実績!$AJ$6:$AJ$505,"&gt;"&amp;$A43,実績!$AL$6:$AL$505,"○")&gt;0,1,0))</f>
        <v>0</v>
      </c>
      <c r="AJ43" s="39" t="n">
        <f aca="false">IF(AJ$4=0,0,IF(COUNTIFS(実績!$W$6:$W$505,AJ$3,実績!$AI$6:$AI$505,"&lt;="&amp;$A43,実績!$AJ$6:$AJ$505,"&gt;"&amp;$A43,実績!$AL$6:$AL$505,"○")&gt;0,1,0))</f>
        <v>0</v>
      </c>
      <c r="AK43" s="39" t="n">
        <f aca="false">IF(AK$4=0,0,IF(COUNTIFS(実績!$W$6:$W$505,AK$3,実績!$AI$6:$AI$505,"&lt;="&amp;$A43,実績!$AJ$6:$AJ$505,"&gt;"&amp;$A43,実績!$AL$6:$AL$505,"○")&gt;0,1,0))</f>
        <v>0</v>
      </c>
      <c r="AL43" s="39" t="n">
        <f aca="false">IF(AL$4=0,0,IF(COUNTIFS(実績!$W$6:$W$505,AL$3,実績!$AI$6:$AI$505,"&lt;="&amp;$A43,実績!$AJ$6:$AJ$505,"&gt;"&amp;$A43,実績!$AL$6:$AL$505,"○")&gt;0,1,0))</f>
        <v>0</v>
      </c>
      <c r="AM43" s="39" t="n">
        <f aca="false">IF(AM$4=0,0,IF(COUNTIFS(実績!$W$6:$W$505,AM$3,実績!$AI$6:$AI$505,"&lt;="&amp;$A43,実績!$AJ$6:$AJ$505,"&gt;"&amp;$A43,実績!$AL$6:$AL$505,"○")&gt;0,1,0))</f>
        <v>0</v>
      </c>
      <c r="AN43" s="39" t="n">
        <f aca="false">IF(AN$4=0,0,IF(COUNTIFS(実績!$W$6:$W$505,AN$3,実績!$AI$6:$AI$505,"&lt;="&amp;$A43,実績!$AJ$6:$AJ$505,"&gt;"&amp;$A43,実績!$AL$6:$AL$505,"○")&gt;0,1,0))</f>
        <v>0</v>
      </c>
      <c r="AO43" s="39" t="n">
        <f aca="false">IF(AO$4=0,0,IF(COUNTIFS(実績!$W$6:$W$505,AO$3,実績!$AI$6:$AI$505,"&lt;="&amp;$A43,実績!$AJ$6:$AJ$505,"&gt;"&amp;$A43,実績!$AL$6:$AL$505,"○")&gt;0,1,0))</f>
        <v>0</v>
      </c>
      <c r="AP43" s="39" t="n">
        <f aca="false">IF(AP$4=0,0,IF(COUNTIFS(実績!$W$6:$W$505,AP$3,実績!$AI$6:$AI$505,"&lt;="&amp;$A43,実績!$AJ$6:$AJ$505,"&gt;"&amp;$A43,実績!$AL$6:$AL$505,"○")&gt;0,1,0))</f>
        <v>0</v>
      </c>
      <c r="AQ43" s="39" t="n">
        <f aca="false">IF(AQ$4=0,0,IF(COUNTIFS(実績!$W$6:$W$505,AQ$3,実績!$AI$6:$AI$505,"&lt;="&amp;$A43,実績!$AJ$6:$AJ$505,"&gt;"&amp;$A43,実績!$AL$6:$AL$505,"○")&gt;0,1,0))</f>
        <v>0</v>
      </c>
      <c r="AR43" s="39" t="n">
        <f aca="false">IF(AR$4=0,0,IF(COUNTIFS(実績!$W$6:$W$505,AR$3,実績!$AI$6:$AI$505,"&lt;="&amp;$A43,実績!$AJ$6:$AJ$505,"&gt;"&amp;$A43,実績!$AL$6:$AL$505,"○")&gt;0,1,0))</f>
        <v>0</v>
      </c>
      <c r="AS43" s="39" t="n">
        <f aca="false">IF(AS$4=0,0,IF(COUNTIFS(実績!$W$6:$W$505,AS$3,実績!$AI$6:$AI$505,"&lt;="&amp;$A43,実績!$AJ$6:$AJ$505,"&gt;"&amp;$A43,実績!$AL$6:$AL$505,"○")&gt;0,1,0))</f>
        <v>0</v>
      </c>
      <c r="AT43" s="39" t="n">
        <f aca="false">IF(AT$4=0,0,IF(COUNTIFS(実績!$W$6:$W$505,AT$3,実績!$AI$6:$AI$505,"&lt;="&amp;$A43,実績!$AJ$6:$AJ$505,"&gt;"&amp;$A43,実績!$AL$6:$AL$505,"○")&gt;0,1,0))</f>
        <v>0</v>
      </c>
      <c r="AU43" s="39" t="n">
        <f aca="false">IF(AU$4=0,0,IF(COUNTIFS(実績!$W$6:$W$505,AU$3,実績!$AI$6:$AI$505,"&lt;="&amp;$A43,実績!$AJ$6:$AJ$505,"&gt;"&amp;$A43,実績!$AL$6:$AL$505,"○")&gt;0,1,0))</f>
        <v>0</v>
      </c>
      <c r="AV43" s="39" t="n">
        <f aca="false">IF(AV$4=0,0,IF(COUNTIFS(実績!$W$6:$W$505,AV$3,実績!$AI$6:$AI$505,"&lt;="&amp;$A43,実績!$AJ$6:$AJ$505,"&gt;"&amp;$A43,実績!$AL$6:$AL$505,"○")&gt;0,1,0))</f>
        <v>0</v>
      </c>
      <c r="AW43" s="39" t="n">
        <f aca="false">IF(AW$4=0,0,IF(COUNTIFS(実績!$W$6:$W$505,AW$3,実績!$AI$6:$AI$505,"&lt;="&amp;$A43,実績!$AJ$6:$AJ$505,"&gt;"&amp;$A43,実績!$AL$6:$AL$505,"○")&gt;0,1,0))</f>
        <v>0</v>
      </c>
      <c r="AX43" s="39" t="n">
        <f aca="false">IF(AX$4=0,0,IF(COUNTIFS(実績!$W$6:$W$505,AX$3,実績!$AI$6:$AI$505,"&lt;="&amp;$A43,実績!$AJ$6:$AJ$505,"&gt;"&amp;$A43,実績!$AL$6:$AL$505,"○")&gt;0,1,0))</f>
        <v>0</v>
      </c>
      <c r="AY43" s="39" t="n">
        <f aca="false">IF(AY$4=0,0,IF(COUNTIFS(実績!$W$6:$W$505,AY$3,実績!$AI$6:$AI$505,"&lt;="&amp;$A43,実績!$AJ$6:$AJ$505,"&gt;"&amp;$A43,実績!$AL$6:$AL$505,"○")&gt;0,1,0))</f>
        <v>0</v>
      </c>
      <c r="AZ43" s="39" t="n">
        <f aca="false">IF(AZ$4=0,0,IF(COUNTIFS(実績!$W$6:$W$505,AZ$3,実績!$AI$6:$AI$505,"&lt;="&amp;$A43,実績!$AJ$6:$AJ$505,"&gt;"&amp;$A43,実績!$AL$6:$AL$505,"○")&gt;0,1,0))</f>
        <v>0</v>
      </c>
      <c r="BA43" s="39" t="n">
        <f aca="false">IF(BA$4=0,0,IF(COUNTIFS(実績!$W$6:$W$505,BA$3,実績!$AI$6:$AI$505,"&lt;="&amp;$A43,実績!$AJ$6:$AJ$505,"&gt;"&amp;$A43,実績!$AL$6:$AL$505,"○")&gt;0,1,0))</f>
        <v>0</v>
      </c>
      <c r="BB43" s="39" t="n">
        <f aca="false">IF(BB$4=0,0,IF(COUNTIFS(実績!$W$6:$W$505,BB$3,実績!$AI$6:$AI$505,"&lt;="&amp;$A43,実績!$AJ$6:$AJ$505,"&gt;"&amp;$A43,実績!$AL$6:$AL$505,"○")&gt;0,1,0))</f>
        <v>0</v>
      </c>
      <c r="BC43" s="39" t="n">
        <f aca="false">IF(BC$4=0,0,IF(COUNTIFS(実績!$W$6:$W$505,BC$3,実績!$AI$6:$AI$505,"&lt;="&amp;$A43,実績!$AJ$6:$AJ$505,"&gt;"&amp;$A43,実績!$AL$6:$AL$505,"○")&gt;0,1,0))</f>
        <v>0</v>
      </c>
      <c r="BD43" s="39" t="n">
        <f aca="false">IF(BD$4=0,0,IF(COUNTIFS(実績!$W$6:$W$505,BD$3,実績!$AI$6:$AI$505,"&lt;="&amp;$A43,実績!$AJ$6:$AJ$505,"&gt;"&amp;$A43,実績!$AL$6:$AL$505,"○")&gt;0,1,0))</f>
        <v>0</v>
      </c>
      <c r="BE43" s="39" t="n">
        <f aca="false">IF(BE$4=0,0,IF(COUNTIFS(実績!$W$6:$W$505,BE$3,実績!$AI$6:$AI$505,"&lt;="&amp;$A43,実績!$AJ$6:$AJ$505,"&gt;"&amp;$A43,実績!$AL$6:$AL$505,"○")&gt;0,1,0))</f>
        <v>0</v>
      </c>
      <c r="BF43" s="39" t="n">
        <f aca="false">IF(BF$4=0,0,IF(COUNTIFS(実績!$W$6:$W$505,BF$3,実績!$AI$6:$AI$505,"&lt;="&amp;$A43,実績!$AJ$6:$AJ$505,"&gt;"&amp;$A43,実績!$AL$6:$AL$505,"○")&gt;0,1,0))</f>
        <v>0</v>
      </c>
      <c r="BG43" s="39" t="n">
        <f aca="false">IF(BG$4=0,0,IF(COUNTIFS(実績!$W$6:$W$505,BG$3,実績!$AI$6:$AI$505,"&lt;="&amp;$A43,実績!$AJ$6:$AJ$505,"&gt;"&amp;$A43,実績!$AL$6:$AL$505,"○")&gt;0,1,0))</f>
        <v>0</v>
      </c>
      <c r="BH43" s="39" t="n">
        <f aca="false">IF(BH$4=0,0,IF(COUNTIFS(実績!$W$6:$W$505,BH$3,実績!$AI$6:$AI$505,"&lt;="&amp;$A43,実績!$AJ$6:$AJ$505,"&gt;"&amp;$A43,実績!$AL$6:$AL$505,"○")&gt;0,1,0))</f>
        <v>0</v>
      </c>
      <c r="BI43" s="39" t="n">
        <f aca="false">IF(BI$4=0,0,IF(COUNTIFS(実績!$W$6:$W$505,BI$3,実績!$AI$6:$AI$505,"&lt;="&amp;$A43,実績!$AJ$6:$AJ$505,"&gt;"&amp;$A43,実績!$AL$6:$AL$505,"○")&gt;0,1,0))</f>
        <v>0</v>
      </c>
      <c r="BJ43" s="39" t="n">
        <f aca="false">IF(BJ$4=0,0,IF(COUNTIFS(実績!$W$6:$W$505,BJ$3,実績!$AI$6:$AI$505,"&lt;="&amp;$A43,実績!$AJ$6:$AJ$505,"&gt;"&amp;$A43,実績!$AL$6:$AL$505,"○")&gt;0,1,0))</f>
        <v>0</v>
      </c>
      <c r="BK43" s="39" t="n">
        <f aca="false">IF(BK$4=0,0,IF(COUNTIFS(実績!$W$6:$W$505,BK$3,実績!$AI$6:$AI$505,"&lt;="&amp;$A43,実績!$AJ$6:$AJ$505,"&gt;"&amp;$A43,実績!$AL$6:$AL$505,"○")&gt;0,1,0))</f>
        <v>0</v>
      </c>
      <c r="BL43" s="39" t="n">
        <f aca="false">IF(BL$4=0,0,IF(COUNTIFS(実績!$W$6:$W$505,BL$3,実績!$AI$6:$AI$505,"&lt;="&amp;$A43,実績!$AJ$6:$AJ$505,"&gt;"&amp;$A43,実績!$AL$6:$AL$505,"○")&gt;0,1,0))</f>
        <v>0</v>
      </c>
      <c r="BM43" s="39" t="n">
        <f aca="false">IF(BM$4=0,0,IF(COUNTIFS(実績!$W$6:$W$505,BM$3,実績!$AI$6:$AI$505,"&lt;="&amp;$A43,実績!$AJ$6:$AJ$505,"&gt;"&amp;$A43,実績!$AL$6:$AL$505,"○")&gt;0,1,0))</f>
        <v>0</v>
      </c>
      <c r="BN43" s="39" t="n">
        <f aca="false">IF(BN$4=0,0,IF(COUNTIFS(実績!$W$6:$W$505,BN$3,実績!$AI$6:$AI$505,"&lt;="&amp;$A43,実績!$AJ$6:$AJ$505,"&gt;"&amp;$A43,実績!$AL$6:$AL$505,"○")&gt;0,1,0))</f>
        <v>0</v>
      </c>
      <c r="BO43" s="39" t="n">
        <f aca="false">IF(BO$4=0,0,IF(COUNTIFS(実績!$W$6:$W$505,BO$3,実績!$AI$6:$AI$505,"&lt;="&amp;$A43,実績!$AJ$6:$AJ$505,"&gt;"&amp;$A43,実績!$AL$6:$AL$505,"○")&gt;0,1,0))</f>
        <v>0</v>
      </c>
      <c r="BP43" s="39" t="n">
        <f aca="false">IF(BP$4=0,0,IF(COUNTIFS(実績!$W$6:$W$505,BP$3,実績!$AI$6:$AI$505,"&lt;="&amp;$A43,実績!$AJ$6:$AJ$505,"&gt;"&amp;$A43,実績!$AL$6:$AL$505,"○")&gt;0,1,0))</f>
        <v>0</v>
      </c>
      <c r="BQ43" s="39" t="n">
        <f aca="false">IF(BQ$4=0,0,IF(COUNTIFS(実績!$W$6:$W$505,BQ$3,実績!$AI$6:$AI$505,"&lt;="&amp;$A43,実績!$AJ$6:$AJ$505,"&gt;"&amp;$A43,実績!$AL$6:$AL$505,"○")&gt;0,1,0))</f>
        <v>0</v>
      </c>
      <c r="BR43" s="39" t="n">
        <f aca="false">IF(BR$4=0,0,IF(COUNTIFS(実績!$W$6:$W$505,BR$3,実績!$AI$6:$AI$505,"&lt;="&amp;$A43,実績!$AJ$6:$AJ$505,"&gt;"&amp;$A43,実績!$AL$6:$AL$505,"○")&gt;0,1,0))</f>
        <v>0</v>
      </c>
      <c r="BS43" s="39" t="n">
        <f aca="false">IF(BS$4=0,0,IF(COUNTIFS(実績!$W$6:$W$505,BS$3,実績!$AI$6:$AI$505,"&lt;="&amp;$A43,実績!$AJ$6:$AJ$505,"&gt;"&amp;$A43,実績!$AL$6:$AL$505,"○")&gt;0,1,0))</f>
        <v>0</v>
      </c>
      <c r="BT43" s="39" t="n">
        <f aca="false">IF(BT$4=0,0,IF(COUNTIFS(実績!$W$6:$W$505,BT$3,実績!$AI$6:$AI$505,"&lt;="&amp;$A43,実績!$AJ$6:$AJ$505,"&gt;"&amp;$A43,実績!$AL$6:$AL$505,"○")&gt;0,1,0))</f>
        <v>0</v>
      </c>
      <c r="BU43" s="39" t="n">
        <f aca="false">IF(BU$4=0,0,IF(COUNTIFS(実績!$W$6:$W$505,BU$3,実績!$AI$6:$AI$505,"&lt;="&amp;$A43,実績!$AJ$6:$AJ$505,"&gt;"&amp;$A43,実績!$AL$6:$AL$505,"○")&gt;0,1,0))</f>
        <v>0</v>
      </c>
      <c r="BV43" s="39" t="n">
        <f aca="false">IF(BV$4=0,0,IF(COUNTIFS(実績!$W$6:$W$505,BV$3,実績!$AI$6:$AI$505,"&lt;="&amp;$A43,実績!$AJ$6:$AJ$505,"&gt;"&amp;$A43,実績!$AL$6:$AL$505,"○")&gt;0,1,0))</f>
        <v>0</v>
      </c>
      <c r="BW43" s="39" t="n">
        <f aca="false">IF(BW$4=0,0,IF(COUNTIFS(実績!$W$6:$W$505,BW$3,実績!$AI$6:$AI$505,"&lt;="&amp;$A43,実績!$AJ$6:$AJ$505,"&gt;"&amp;$A43,実績!$AL$6:$AL$505,"○")&gt;0,1,0))</f>
        <v>0</v>
      </c>
      <c r="BX43" s="39" t="n">
        <f aca="false">IF(BX$4=0,0,IF(COUNTIFS(実績!$W$6:$W$505,BX$3,実績!$AI$6:$AI$505,"&lt;="&amp;$A43,実績!$AJ$6:$AJ$505,"&gt;"&amp;$A43,実績!$AL$6:$AL$505,"○")&gt;0,1,0))</f>
        <v>0</v>
      </c>
      <c r="BY43" s="39" t="n">
        <f aca="false">IF(BY$4=0,0,IF(COUNTIFS(実績!$W$6:$W$505,BY$3,実績!$AI$6:$AI$505,"&lt;="&amp;$A43,実績!$AJ$6:$AJ$505,"&gt;"&amp;$A43,実績!$AL$6:$AL$505,"○")&gt;0,1,0))</f>
        <v>0</v>
      </c>
      <c r="BZ43" s="39" t="n">
        <f aca="false">IF(BZ$4=0,0,IF(COUNTIFS(実績!$W$6:$W$505,BZ$3,実績!$AI$6:$AI$505,"&lt;="&amp;$A43,実績!$AJ$6:$AJ$505,"&gt;"&amp;$A43,実績!$AL$6:$AL$505,"○")&gt;0,1,0))</f>
        <v>0</v>
      </c>
      <c r="CA43" s="39" t="n">
        <f aca="false">IF(CA$4=0,0,IF(COUNTIFS(実績!$W$6:$W$505,CA$3,実績!$AI$6:$AI$505,"&lt;="&amp;$A43,実績!$AJ$6:$AJ$505,"&gt;"&amp;$A43,実績!$AL$6:$AL$505,"○")&gt;0,1,0))</f>
        <v>0</v>
      </c>
      <c r="CB43" s="39" t="n">
        <f aca="false">IF(CB$4=0,0,IF(COUNTIFS(実績!$W$6:$W$505,CB$3,実績!$AI$6:$AI$505,"&lt;="&amp;$A43,実績!$AJ$6:$AJ$505,"&gt;"&amp;$A43,実績!$AL$6:$AL$505,"○")&gt;0,1,0))</f>
        <v>0</v>
      </c>
      <c r="CC43" s="39" t="n">
        <f aca="false">IF(CC$4=0,0,IF(COUNTIFS(実績!$W$6:$W$505,CC$3,実績!$AI$6:$AI$505,"&lt;="&amp;$A43,実績!$AJ$6:$AJ$505,"&gt;"&amp;$A43,実績!$AL$6:$AL$505,"○")&gt;0,1,0))</f>
        <v>0</v>
      </c>
      <c r="CD43" s="39" t="n">
        <f aca="false">IF(CD$4=0,0,IF(COUNTIFS(実績!$W$6:$W$505,CD$3,実績!$AI$6:$AI$505,"&lt;="&amp;$A43,実績!$AJ$6:$AJ$505,"&gt;"&amp;$A43,実績!$AL$6:$AL$505,"○")&gt;0,1,0))</f>
        <v>0</v>
      </c>
      <c r="CE43" s="39" t="n">
        <f aca="false">IF(CE$4=0,0,IF(COUNTIFS(実績!$W$6:$W$505,CE$3,実績!$AI$6:$AI$505,"&lt;="&amp;$A43,実績!$AJ$6:$AJ$505,"&gt;"&amp;$A43,実績!$AL$6:$AL$505,"○")&gt;0,1,0))</f>
        <v>0</v>
      </c>
      <c r="CF43" s="39" t="n">
        <f aca="false">IF(CF$4=0,0,IF(COUNTIFS(実績!$W$6:$W$505,CF$3,実績!$AI$6:$AI$505,"&lt;="&amp;$A43,実績!$AJ$6:$AJ$505,"&gt;"&amp;$A43,実績!$AL$6:$AL$505,"○")&gt;0,1,0))</f>
        <v>0</v>
      </c>
      <c r="CG43" s="39" t="n">
        <f aca="false">IF(CG$4=0,0,IF(COUNTIFS(実績!$W$6:$W$505,CG$3,実績!$AI$6:$AI$505,"&lt;="&amp;$A43,実績!$AJ$6:$AJ$505,"&gt;"&amp;$A43,実績!$AL$6:$AL$505,"○")&gt;0,1,0))</f>
        <v>0</v>
      </c>
      <c r="CH43" s="39" t="n">
        <f aca="false">IF(CH$4=0,0,IF(COUNTIFS(実績!$W$6:$W$505,CH$3,実績!$AI$6:$AI$505,"&lt;="&amp;$A43,実績!$AJ$6:$AJ$505,"&gt;"&amp;$A43,実績!$AL$6:$AL$505,"○")&gt;0,1,0))</f>
        <v>0</v>
      </c>
      <c r="CI43" s="39" t="n">
        <f aca="false">IF(CI$4=0,0,IF(COUNTIFS(実績!$W$6:$W$505,CI$3,実績!$AI$6:$AI$505,"&lt;="&amp;$A43,実績!$AJ$6:$AJ$505,"&gt;"&amp;$A43,実績!$AL$6:$AL$505,"○")&gt;0,1,0))</f>
        <v>0</v>
      </c>
      <c r="CJ43" s="39" t="n">
        <f aca="false">IF(CJ$4=0,0,IF(COUNTIFS(実績!$W$6:$W$505,CJ$3,実績!$AI$6:$AI$505,"&lt;="&amp;$A43,実績!$AJ$6:$AJ$505,"&gt;"&amp;$A43,実績!$AL$6:$AL$505,"○")&gt;0,1,0))</f>
        <v>0</v>
      </c>
      <c r="CK43" s="39" t="n">
        <f aca="false">IF(CK$4=0,0,IF(COUNTIFS(実績!$W$6:$W$505,CK$3,実績!$AI$6:$AI$505,"&lt;="&amp;$A43,実績!$AJ$6:$AJ$505,"&gt;"&amp;$A43,実績!$AL$6:$AL$505,"○")&gt;0,1,0))</f>
        <v>0</v>
      </c>
      <c r="CL43" s="39" t="n">
        <f aca="false">IF(CL$4=0,0,IF(COUNTIFS(実績!$W$6:$W$505,CL$3,実績!$AI$6:$AI$505,"&lt;="&amp;$A43,実績!$AJ$6:$AJ$505,"&gt;"&amp;$A43,実績!$AL$6:$AL$505,"○")&gt;0,1,0))</f>
        <v>0</v>
      </c>
      <c r="CM43" s="39" t="n">
        <f aca="false">IF(CM$4=0,0,IF(COUNTIFS(実績!$W$6:$W$505,CM$3,実績!$AI$6:$AI$505,"&lt;="&amp;$A43,実績!$AJ$6:$AJ$505,"&gt;"&amp;$A43,実績!$AL$6:$AL$505,"○")&gt;0,1,0))</f>
        <v>0</v>
      </c>
      <c r="CN43" s="39" t="n">
        <f aca="false">IF(CN$4=0,0,IF(COUNTIFS(実績!$W$6:$W$505,CN$3,実績!$AI$6:$AI$505,"&lt;="&amp;$A43,実績!$AJ$6:$AJ$505,"&gt;"&amp;$A43,実績!$AL$6:$AL$505,"○")&gt;0,1,0))</f>
        <v>0</v>
      </c>
      <c r="CO43" s="39" t="n">
        <f aca="false">IF(CO$4=0,0,IF(COUNTIFS(実績!$W$6:$W$505,CO$3,実績!$AI$6:$AI$505,"&lt;="&amp;$A43,実績!$AJ$6:$AJ$505,"&gt;"&amp;$A43,実績!$AL$6:$AL$505,"○")&gt;0,1,0))</f>
        <v>0</v>
      </c>
      <c r="CP43" s="39" t="n">
        <f aca="false">IF(CP$4=0,0,IF(COUNTIFS(実績!$W$6:$W$505,CP$3,実績!$AI$6:$AI$505,"&lt;="&amp;$A43,実績!$AJ$6:$AJ$505,"&gt;"&amp;$A43,実績!$AL$6:$AL$505,"○")&gt;0,1,0))</f>
        <v>0</v>
      </c>
      <c r="CQ43" s="39" t="n">
        <f aca="false">IF(CQ$4=0,0,IF(COUNTIFS(実績!$W$6:$W$505,CQ$3,実績!$AI$6:$AI$505,"&lt;="&amp;$A43,実績!$AJ$6:$AJ$505,"&gt;"&amp;$A43,実績!$AL$6:$AL$505,"○")&gt;0,1,0))</f>
        <v>0</v>
      </c>
      <c r="CR43" s="39" t="n">
        <f aca="false">IF(CR$4=0,0,IF(COUNTIFS(実績!$W$6:$W$505,CR$3,実績!$AI$6:$AI$505,"&lt;="&amp;$A43,実績!$AJ$6:$AJ$505,"&gt;"&amp;$A43,実績!$AL$6:$AL$505,"○")&gt;0,1,0))</f>
        <v>0</v>
      </c>
      <c r="CS43" s="39" t="n">
        <f aca="false">IF(CS$4=0,0,IF(COUNTIFS(実績!$W$6:$W$505,CS$3,実績!$AI$6:$AI$505,"&lt;="&amp;$A43,実績!$AJ$6:$AJ$505,"&gt;"&amp;$A43,実績!$AL$6:$AL$505,"○")&gt;0,1,0))</f>
        <v>0</v>
      </c>
      <c r="CT43" s="39" t="n">
        <f aca="false">IF(CT$4=0,0,IF(COUNTIFS(実績!$W$6:$W$505,CT$3,実績!$AI$6:$AI$505,"&lt;="&amp;$A43,実績!$AJ$6:$AJ$505,"&gt;"&amp;$A43,実績!$AL$6:$AL$505,"○")&gt;0,1,0))</f>
        <v>0</v>
      </c>
      <c r="CU43" s="39" t="n">
        <f aca="false">IF(CU$4=0,0,IF(COUNTIFS(実績!$W$6:$W$505,CU$3,実績!$AI$6:$AI$505,"&lt;="&amp;$A43,実績!$AJ$6:$AJ$505,"&gt;"&amp;$A43,実績!$AL$6:$AL$505,"○")&gt;0,1,0))</f>
        <v>0</v>
      </c>
      <c r="CV43" s="39" t="n">
        <f aca="false">IF(CV$4=0,0,IF(COUNTIFS(実績!$W$6:$W$505,CV$3,実績!$AI$6:$AI$505,"&lt;="&amp;$A43,実績!$AJ$6:$AJ$505,"&gt;"&amp;$A43,実績!$AL$6:$AL$505,"○")&gt;0,1,0))</f>
        <v>0</v>
      </c>
      <c r="CW43" s="39" t="n">
        <f aca="false">IF(CW$4=0,0,IF(COUNTIFS(実績!$W$6:$W$505,CW$3,実績!$AI$6:$AI$505,"&lt;="&amp;$A43,実績!$AJ$6:$AJ$505,"&gt;"&amp;$A43,実績!$AL$6:$AL$505,"○")&gt;0,1,0))</f>
        <v>0</v>
      </c>
      <c r="CX43" s="39" t="n">
        <f aca="false">IF(CX$4=0,0,IF(COUNTIFS(実績!$W$6:$W$505,CX$3,実績!$AI$6:$AI$505,"&lt;="&amp;$A43,実績!$AJ$6:$AJ$505,"&gt;"&amp;$A43,実績!$AL$6:$AL$505,"○")&gt;0,1,0))</f>
        <v>0</v>
      </c>
      <c r="CY43" s="39" t="n">
        <f aca="false">IF(CY$4=0,0,IF(COUNTIFS(実績!$W$6:$W$505,CY$3,実績!$AI$6:$AI$505,"&lt;="&amp;$A43,実績!$AJ$6:$AJ$505,"&gt;"&amp;$A43,実績!$AL$6:$AL$505,"○")&gt;0,1,0))</f>
        <v>0</v>
      </c>
      <c r="CZ43" s="39" t="n">
        <f aca="false">IF(CZ$4=0,0,IF(COUNTIFS(実績!$W$6:$W$505,CZ$3,実績!$AI$6:$AI$505,"&lt;="&amp;$A43,実績!$AJ$6:$AJ$505,"&gt;"&amp;$A43,実績!$AL$6:$AL$505,"○")&gt;0,1,0))</f>
        <v>0</v>
      </c>
      <c r="DA43" s="39" t="n">
        <f aca="false">IF(DA$4=0,0,IF(COUNTIFS(実績!$W$6:$W$505,DA$3,実績!$AI$6:$AI$505,"&lt;="&amp;$A43,実績!$AJ$6:$AJ$505,"&gt;"&amp;$A43,実績!$AL$6:$AL$505,"○")&gt;0,1,0))</f>
        <v>0</v>
      </c>
      <c r="DB43" s="39" t="n">
        <f aca="false">IF(DB$4=0,0,IF(COUNTIFS(実績!$W$6:$W$505,DB$3,実績!$AI$6:$AI$505,"&lt;="&amp;$A43,実績!$AJ$6:$AJ$505,"&gt;"&amp;$A43,実績!$AL$6:$AL$505,"○")&gt;0,1,0))</f>
        <v>0</v>
      </c>
      <c r="DC43" s="39" t="n">
        <f aca="false">IF(DC$4=0,0,IF(COUNTIFS(実績!$W$6:$W$505,DC$3,実績!$AI$6:$AI$505,"&lt;="&amp;$A43,実績!$AJ$6:$AJ$505,"&gt;"&amp;$A43,実績!$AL$6:$AL$505,"○")&gt;0,1,0))</f>
        <v>0</v>
      </c>
      <c r="DD43" s="39" t="n">
        <f aca="false">IF(DD$4=0,0,IF(COUNTIFS(実績!$W$6:$W$505,DD$3,実績!$AI$6:$AI$505,"&lt;="&amp;$A43,実績!$AJ$6:$AJ$505,"&gt;"&amp;$A43,実績!$AL$6:$AL$505,"○")&gt;0,1,0))</f>
        <v>0</v>
      </c>
      <c r="DE43" s="39" t="n">
        <f aca="false">IF(DE$4=0,0,IF(COUNTIFS(実績!$W$6:$W$505,DE$3,実績!$AI$6:$AI$505,"&lt;="&amp;$A43,実績!$AJ$6:$AJ$505,"&gt;"&amp;$A43,実績!$AL$6:$AL$505,"○")&gt;0,1,0))</f>
        <v>0</v>
      </c>
      <c r="DF43" s="39" t="n">
        <f aca="false">IF(DF$4=0,0,IF(COUNTIFS(実績!$W$6:$W$505,DF$3,実績!$AI$6:$AI$505,"&lt;="&amp;$A43,実績!$AJ$6:$AJ$505,"&gt;"&amp;$A43,実績!$AL$6:$AL$505,"○")&gt;0,1,0))</f>
        <v>0</v>
      </c>
      <c r="DG43" s="39" t="n">
        <f aca="false">IF(DG$4=0,0,IF(COUNTIFS(実績!$W$6:$W$505,DG$3,実績!$AI$6:$AI$505,"&lt;="&amp;$A43,実績!$AJ$6:$AJ$505,"&gt;"&amp;$A43,実績!$AL$6:$AL$505,"○")&gt;0,1,0))</f>
        <v>0</v>
      </c>
      <c r="DH43" s="39" t="n">
        <f aca="false">IF(DH$4=0,0,IF(COUNTIFS(実績!$W$6:$W$505,DH$3,実績!$AI$6:$AI$505,"&lt;="&amp;$A43,実績!$AJ$6:$AJ$505,"&gt;"&amp;$A43,実績!$AL$6:$AL$505,"○")&gt;0,1,0))</f>
        <v>0</v>
      </c>
      <c r="DI43" s="39" t="n">
        <f aca="false">IF(DI$4=0,0,IF(COUNTIFS(実績!$W$6:$W$505,DI$3,実績!$AI$6:$AI$505,"&lt;="&amp;$A43,実績!$AJ$6:$AJ$505,"&gt;"&amp;$A43,実績!$AL$6:$AL$505,"○")&gt;0,1,0))</f>
        <v>0</v>
      </c>
      <c r="DJ43" s="39" t="n">
        <f aca="false">IF(DJ$4=0,0,IF(COUNTIFS(実績!$W$6:$W$505,DJ$3,実績!$AI$6:$AI$505,"&lt;="&amp;$A43,実績!$AJ$6:$AJ$505,"&gt;"&amp;$A43,実績!$AL$6:$AL$505,"○")&gt;0,1,0))</f>
        <v>0</v>
      </c>
      <c r="DK43" s="39" t="n">
        <f aca="false">IF(DK$4=0,0,IF(COUNTIFS(実績!$W$6:$W$505,DK$3,実績!$AI$6:$AI$505,"&lt;="&amp;$A43,実績!$AJ$6:$AJ$505,"&gt;"&amp;$A43,実績!$AL$6:$AL$505,"○")&gt;0,1,0))</f>
        <v>0</v>
      </c>
      <c r="DL43" s="39" t="n">
        <f aca="false">IF(DL$4=0,0,IF(COUNTIFS(実績!$W$6:$W$505,DL$3,実績!$AI$6:$AI$505,"&lt;="&amp;$A43,実績!$AJ$6:$AJ$505,"&gt;"&amp;$A43,実績!$AL$6:$AL$505,"○")&gt;0,1,0))</f>
        <v>0</v>
      </c>
      <c r="DM43" s="39" t="n">
        <f aca="false">IF(DM$4=0,0,IF(COUNTIFS(実績!$W$6:$W$505,DM$3,実績!$AI$6:$AI$505,"&lt;="&amp;$A43,実績!$AJ$6:$AJ$505,"&gt;"&amp;$A43,実績!$AL$6:$AL$505,"○")&gt;0,1,0))</f>
        <v>0</v>
      </c>
      <c r="DN43" s="39" t="n">
        <f aca="false">IF(DN$4=0,0,IF(COUNTIFS(実績!$W$6:$W$505,DN$3,実績!$AI$6:$AI$505,"&lt;="&amp;$A43,実績!$AJ$6:$AJ$505,"&gt;"&amp;$A43,実績!$AL$6:$AL$505,"○")&gt;0,1,0))</f>
        <v>0</v>
      </c>
      <c r="DO43" s="39" t="n">
        <f aca="false">IF(DO$4=0,0,IF(COUNTIFS(実績!$W$6:$W$505,DO$3,実績!$AI$6:$AI$505,"&lt;="&amp;$A43,実績!$AJ$6:$AJ$505,"&gt;"&amp;$A43,実績!$AL$6:$AL$505,"○")&gt;0,1,0))</f>
        <v>0</v>
      </c>
      <c r="DP43" s="39" t="n">
        <f aca="false">IF(DP$4=0,0,IF(COUNTIFS(実績!$W$6:$W$505,DP$3,実績!$AI$6:$AI$505,"&lt;="&amp;$A43,実績!$AJ$6:$AJ$505,"&gt;"&amp;$A43,実績!$AL$6:$AL$505,"○")&gt;0,1,0))</f>
        <v>0</v>
      </c>
      <c r="DQ43" s="39" t="n">
        <f aca="false">IF(DQ$4=0,0,IF(COUNTIFS(実績!$W$6:$W$505,DQ$3,実績!$AI$6:$AI$505,"&lt;="&amp;$A43,実績!$AJ$6:$AJ$505,"&gt;"&amp;$A43,実績!$AL$6:$AL$505,"○")&gt;0,1,0))</f>
        <v>0</v>
      </c>
      <c r="DR43" s="39" t="n">
        <f aca="false">IF(DR$4=0,0,IF(COUNTIFS(実績!$W$6:$W$505,DR$3,実績!$AI$6:$AI$505,"&lt;="&amp;$A43,実績!$AJ$6:$AJ$505,"&gt;"&amp;$A43,実績!$AL$6:$AL$505,"○")&gt;0,1,0))</f>
        <v>0</v>
      </c>
      <c r="DS43" s="39" t="n">
        <f aca="false">SUM(C43:DR43)</f>
        <v>0</v>
      </c>
    </row>
    <row r="44" customFormat="false" ht="15" hidden="false" customHeight="false" outlineLevel="0" collapsed="false">
      <c r="A44" s="0" t="n">
        <v>190</v>
      </c>
      <c r="B44" s="38" t="n">
        <f aca="false">A44/1440</f>
        <v>0.131944444444444</v>
      </c>
      <c r="C44" s="39" t="n">
        <f aca="false">IF(C$4=0,0,IF(COUNTIFS(実績!$W$6:$W$505,C$3,実績!$AI$6:$AI$505,"&lt;="&amp;$A44,実績!$AJ$6:$AJ$505,"&gt;"&amp;$A44,実績!$AL$6:$AL$505,"○")&gt;0,1,0))</f>
        <v>0</v>
      </c>
      <c r="D44" s="39" t="n">
        <f aca="false">IF(D$4=0,0,IF(COUNTIFS(実績!$W$6:$W$505,D$3,実績!$AI$6:$AI$505,"&lt;="&amp;$A44,実績!$AJ$6:$AJ$505,"&gt;"&amp;$A44,実績!$AL$6:$AL$505,"○")&gt;0,1,0))</f>
        <v>0</v>
      </c>
      <c r="E44" s="39" t="n">
        <f aca="false">IF(E$4=0,0,IF(COUNTIFS(実績!$W$6:$W$505,E$3,実績!$AI$6:$AI$505,"&lt;="&amp;$A44,実績!$AJ$6:$AJ$505,"&gt;"&amp;$A44,実績!$AL$6:$AL$505,"○")&gt;0,1,0))</f>
        <v>0</v>
      </c>
      <c r="F44" s="39" t="n">
        <f aca="false">IF(F$4=0,0,IF(COUNTIFS(実績!$W$6:$W$505,F$3,実績!$AI$6:$AI$505,"&lt;="&amp;$A44,実績!$AJ$6:$AJ$505,"&gt;"&amp;$A44,実績!$AL$6:$AL$505,"○")&gt;0,1,0))</f>
        <v>0</v>
      </c>
      <c r="G44" s="39" t="n">
        <f aca="false">IF(G$4=0,0,IF(COUNTIFS(実績!$W$6:$W$505,G$3,実績!$AI$6:$AI$505,"&lt;="&amp;$A44,実績!$AJ$6:$AJ$505,"&gt;"&amp;$A44,実績!$AL$6:$AL$505,"○")&gt;0,1,0))</f>
        <v>0</v>
      </c>
      <c r="H44" s="39" t="n">
        <f aca="false">IF(H$4=0,0,IF(COUNTIFS(実績!$W$6:$W$505,H$3,実績!$AI$6:$AI$505,"&lt;="&amp;$A44,実績!$AJ$6:$AJ$505,"&gt;"&amp;$A44,実績!$AL$6:$AL$505,"○")&gt;0,1,0))</f>
        <v>0</v>
      </c>
      <c r="I44" s="39" t="n">
        <f aca="false">IF(I$4=0,0,IF(COUNTIFS(実績!$W$6:$W$505,I$3,実績!$AI$6:$AI$505,"&lt;="&amp;$A44,実績!$AJ$6:$AJ$505,"&gt;"&amp;$A44,実績!$AL$6:$AL$505,"○")&gt;0,1,0))</f>
        <v>0</v>
      </c>
      <c r="J44" s="39" t="n">
        <f aca="false">IF(J$4=0,0,IF(COUNTIFS(実績!$W$6:$W$505,J$3,実績!$AI$6:$AI$505,"&lt;="&amp;$A44,実績!$AJ$6:$AJ$505,"&gt;"&amp;$A44,実績!$AL$6:$AL$505,"○")&gt;0,1,0))</f>
        <v>0</v>
      </c>
      <c r="K44" s="39" t="n">
        <f aca="false">IF(K$4=0,0,IF(COUNTIFS(実績!$W$6:$W$505,K$3,実績!$AI$6:$AI$505,"&lt;="&amp;$A44,実績!$AJ$6:$AJ$505,"&gt;"&amp;$A44,実績!$AL$6:$AL$505,"○")&gt;0,1,0))</f>
        <v>0</v>
      </c>
      <c r="L44" s="39" t="n">
        <f aca="false">IF(L$4=0,0,IF(COUNTIFS(実績!$W$6:$W$505,L$3,実績!$AI$6:$AI$505,"&lt;="&amp;$A44,実績!$AJ$6:$AJ$505,"&gt;"&amp;$A44,実績!$AL$6:$AL$505,"○")&gt;0,1,0))</f>
        <v>0</v>
      </c>
      <c r="M44" s="39" t="n">
        <f aca="false">IF(M$4=0,0,IF(COUNTIFS(実績!$W$6:$W$505,M$3,実績!$AI$6:$AI$505,"&lt;="&amp;$A44,実績!$AJ$6:$AJ$505,"&gt;"&amp;$A44,実績!$AL$6:$AL$505,"○")&gt;0,1,0))</f>
        <v>0</v>
      </c>
      <c r="N44" s="39" t="n">
        <f aca="false">IF(N$4=0,0,IF(COUNTIFS(実績!$W$6:$W$505,N$3,実績!$AI$6:$AI$505,"&lt;="&amp;$A44,実績!$AJ$6:$AJ$505,"&gt;"&amp;$A44,実績!$AL$6:$AL$505,"○")&gt;0,1,0))</f>
        <v>0</v>
      </c>
      <c r="O44" s="39" t="n">
        <f aca="false">IF(O$4=0,0,IF(COUNTIFS(実績!$W$6:$W$505,O$3,実績!$AI$6:$AI$505,"&lt;="&amp;$A44,実績!$AJ$6:$AJ$505,"&gt;"&amp;$A44,実績!$AL$6:$AL$505,"○")&gt;0,1,0))</f>
        <v>0</v>
      </c>
      <c r="P44" s="39" t="n">
        <f aca="false">IF(P$4=0,0,IF(COUNTIFS(実績!$W$6:$W$505,P$3,実績!$AI$6:$AI$505,"&lt;="&amp;$A44,実績!$AJ$6:$AJ$505,"&gt;"&amp;$A44,実績!$AL$6:$AL$505,"○")&gt;0,1,0))</f>
        <v>0</v>
      </c>
      <c r="Q44" s="39" t="n">
        <f aca="false">IF(Q$4=0,0,IF(COUNTIFS(実績!$W$6:$W$505,Q$3,実績!$AI$6:$AI$505,"&lt;="&amp;$A44,実績!$AJ$6:$AJ$505,"&gt;"&amp;$A44,実績!$AL$6:$AL$505,"○")&gt;0,1,0))</f>
        <v>0</v>
      </c>
      <c r="R44" s="39" t="n">
        <f aca="false">IF(R$4=0,0,IF(COUNTIFS(実績!$W$6:$W$505,R$3,実績!$AI$6:$AI$505,"&lt;="&amp;$A44,実績!$AJ$6:$AJ$505,"&gt;"&amp;$A44,実績!$AL$6:$AL$505,"○")&gt;0,1,0))</f>
        <v>0</v>
      </c>
      <c r="S44" s="39" t="n">
        <f aca="false">IF(S$4=0,0,IF(COUNTIFS(実績!$W$6:$W$505,S$3,実績!$AI$6:$AI$505,"&lt;="&amp;$A44,実績!$AJ$6:$AJ$505,"&gt;"&amp;$A44,実績!$AL$6:$AL$505,"○")&gt;0,1,0))</f>
        <v>0</v>
      </c>
      <c r="T44" s="39" t="n">
        <f aca="false">IF(T$4=0,0,IF(COUNTIFS(実績!$W$6:$W$505,T$3,実績!$AI$6:$AI$505,"&lt;="&amp;$A44,実績!$AJ$6:$AJ$505,"&gt;"&amp;$A44,実績!$AL$6:$AL$505,"○")&gt;0,1,0))</f>
        <v>0</v>
      </c>
      <c r="U44" s="39" t="n">
        <f aca="false">IF(U$4=0,0,IF(COUNTIFS(実績!$W$6:$W$505,U$3,実績!$AI$6:$AI$505,"&lt;="&amp;$A44,実績!$AJ$6:$AJ$505,"&gt;"&amp;$A44,実績!$AL$6:$AL$505,"○")&gt;0,1,0))</f>
        <v>0</v>
      </c>
      <c r="V44" s="39" t="n">
        <f aca="false">IF(V$4=0,0,IF(COUNTIFS(実績!$W$6:$W$505,V$3,実績!$AI$6:$AI$505,"&lt;="&amp;$A44,実績!$AJ$6:$AJ$505,"&gt;"&amp;$A44,実績!$AL$6:$AL$505,"○")&gt;0,1,0))</f>
        <v>0</v>
      </c>
      <c r="W44" s="39" t="n">
        <f aca="false">IF(W$4=0,0,IF(COUNTIFS(実績!$W$6:$W$505,W$3,実績!$AI$6:$AI$505,"&lt;="&amp;$A44,実績!$AJ$6:$AJ$505,"&gt;"&amp;$A44,実績!$AL$6:$AL$505,"○")&gt;0,1,0))</f>
        <v>0</v>
      </c>
      <c r="X44" s="39" t="n">
        <f aca="false">IF(X$4=0,0,IF(COUNTIFS(実績!$W$6:$W$505,X$3,実績!$AI$6:$AI$505,"&lt;="&amp;$A44,実績!$AJ$6:$AJ$505,"&gt;"&amp;$A44,実績!$AL$6:$AL$505,"○")&gt;0,1,0))</f>
        <v>0</v>
      </c>
      <c r="Y44" s="39" t="n">
        <f aca="false">IF(Y$4=0,0,IF(COUNTIFS(実績!$W$6:$W$505,Y$3,実績!$AI$6:$AI$505,"&lt;="&amp;$A44,実績!$AJ$6:$AJ$505,"&gt;"&amp;$A44,実績!$AL$6:$AL$505,"○")&gt;0,1,0))</f>
        <v>0</v>
      </c>
      <c r="Z44" s="39" t="n">
        <f aca="false">IF(Z$4=0,0,IF(COUNTIFS(実績!$W$6:$W$505,Z$3,実績!$AI$6:$AI$505,"&lt;="&amp;$A44,実績!$AJ$6:$AJ$505,"&gt;"&amp;$A44,実績!$AL$6:$AL$505,"○")&gt;0,1,0))</f>
        <v>0</v>
      </c>
      <c r="AA44" s="39" t="n">
        <f aca="false">IF(AA$4=0,0,IF(COUNTIFS(実績!$W$6:$W$505,AA$3,実績!$AI$6:$AI$505,"&lt;="&amp;$A44,実績!$AJ$6:$AJ$505,"&gt;"&amp;$A44,実績!$AL$6:$AL$505,"○")&gt;0,1,0))</f>
        <v>0</v>
      </c>
      <c r="AB44" s="39" t="n">
        <f aca="false">IF(AB$4=0,0,IF(COUNTIFS(実績!$W$6:$W$505,AB$3,実績!$AI$6:$AI$505,"&lt;="&amp;$A44,実績!$AJ$6:$AJ$505,"&gt;"&amp;$A44,実績!$AL$6:$AL$505,"○")&gt;0,1,0))</f>
        <v>0</v>
      </c>
      <c r="AC44" s="39" t="n">
        <f aca="false">IF(AC$4=0,0,IF(COUNTIFS(実績!$W$6:$W$505,AC$3,実績!$AI$6:$AI$505,"&lt;="&amp;$A44,実績!$AJ$6:$AJ$505,"&gt;"&amp;$A44,実績!$AL$6:$AL$505,"○")&gt;0,1,0))</f>
        <v>0</v>
      </c>
      <c r="AD44" s="39" t="n">
        <f aca="false">IF(AD$4=0,0,IF(COUNTIFS(実績!$W$6:$W$505,AD$3,実績!$AI$6:$AI$505,"&lt;="&amp;$A44,実績!$AJ$6:$AJ$505,"&gt;"&amp;$A44,実績!$AL$6:$AL$505,"○")&gt;0,1,0))</f>
        <v>0</v>
      </c>
      <c r="AE44" s="39" t="n">
        <f aca="false">IF(AE$4=0,0,IF(COUNTIFS(実績!$W$6:$W$505,AE$3,実績!$AI$6:$AI$505,"&lt;="&amp;$A44,実績!$AJ$6:$AJ$505,"&gt;"&amp;$A44,実績!$AL$6:$AL$505,"○")&gt;0,1,0))</f>
        <v>0</v>
      </c>
      <c r="AF44" s="39" t="n">
        <f aca="false">IF(AF$4=0,0,IF(COUNTIFS(実績!$W$6:$W$505,AF$3,実績!$AI$6:$AI$505,"&lt;="&amp;$A44,実績!$AJ$6:$AJ$505,"&gt;"&amp;$A44,実績!$AL$6:$AL$505,"○")&gt;0,1,0))</f>
        <v>0</v>
      </c>
      <c r="AG44" s="39" t="n">
        <f aca="false">IF(AG$4=0,0,IF(COUNTIFS(実績!$W$6:$W$505,AG$3,実績!$AI$6:$AI$505,"&lt;="&amp;$A44,実績!$AJ$6:$AJ$505,"&gt;"&amp;$A44,実績!$AL$6:$AL$505,"○")&gt;0,1,0))</f>
        <v>0</v>
      </c>
      <c r="AH44" s="39" t="n">
        <f aca="false">IF(AH$4=0,0,IF(COUNTIFS(実績!$W$6:$W$505,AH$3,実績!$AI$6:$AI$505,"&lt;="&amp;$A44,実績!$AJ$6:$AJ$505,"&gt;"&amp;$A44,実績!$AL$6:$AL$505,"○")&gt;0,1,0))</f>
        <v>0</v>
      </c>
      <c r="AI44" s="39" t="n">
        <f aca="false">IF(AI$4=0,0,IF(COUNTIFS(実績!$W$6:$W$505,AI$3,実績!$AI$6:$AI$505,"&lt;="&amp;$A44,実績!$AJ$6:$AJ$505,"&gt;"&amp;$A44,実績!$AL$6:$AL$505,"○")&gt;0,1,0))</f>
        <v>0</v>
      </c>
      <c r="AJ44" s="39" t="n">
        <f aca="false">IF(AJ$4=0,0,IF(COUNTIFS(実績!$W$6:$W$505,AJ$3,実績!$AI$6:$AI$505,"&lt;="&amp;$A44,実績!$AJ$6:$AJ$505,"&gt;"&amp;$A44,実績!$AL$6:$AL$505,"○")&gt;0,1,0))</f>
        <v>0</v>
      </c>
      <c r="AK44" s="39" t="n">
        <f aca="false">IF(AK$4=0,0,IF(COUNTIFS(実績!$W$6:$W$505,AK$3,実績!$AI$6:$AI$505,"&lt;="&amp;$A44,実績!$AJ$6:$AJ$505,"&gt;"&amp;$A44,実績!$AL$6:$AL$505,"○")&gt;0,1,0))</f>
        <v>0</v>
      </c>
      <c r="AL44" s="39" t="n">
        <f aca="false">IF(AL$4=0,0,IF(COUNTIFS(実績!$W$6:$W$505,AL$3,実績!$AI$6:$AI$505,"&lt;="&amp;$A44,実績!$AJ$6:$AJ$505,"&gt;"&amp;$A44,実績!$AL$6:$AL$505,"○")&gt;0,1,0))</f>
        <v>0</v>
      </c>
      <c r="AM44" s="39" t="n">
        <f aca="false">IF(AM$4=0,0,IF(COUNTIFS(実績!$W$6:$W$505,AM$3,実績!$AI$6:$AI$505,"&lt;="&amp;$A44,実績!$AJ$6:$AJ$505,"&gt;"&amp;$A44,実績!$AL$6:$AL$505,"○")&gt;0,1,0))</f>
        <v>0</v>
      </c>
      <c r="AN44" s="39" t="n">
        <f aca="false">IF(AN$4=0,0,IF(COUNTIFS(実績!$W$6:$W$505,AN$3,実績!$AI$6:$AI$505,"&lt;="&amp;$A44,実績!$AJ$6:$AJ$505,"&gt;"&amp;$A44,実績!$AL$6:$AL$505,"○")&gt;0,1,0))</f>
        <v>0</v>
      </c>
      <c r="AO44" s="39" t="n">
        <f aca="false">IF(AO$4=0,0,IF(COUNTIFS(実績!$W$6:$W$505,AO$3,実績!$AI$6:$AI$505,"&lt;="&amp;$A44,実績!$AJ$6:$AJ$505,"&gt;"&amp;$A44,実績!$AL$6:$AL$505,"○")&gt;0,1,0))</f>
        <v>0</v>
      </c>
      <c r="AP44" s="39" t="n">
        <f aca="false">IF(AP$4=0,0,IF(COUNTIFS(実績!$W$6:$W$505,AP$3,実績!$AI$6:$AI$505,"&lt;="&amp;$A44,実績!$AJ$6:$AJ$505,"&gt;"&amp;$A44,実績!$AL$6:$AL$505,"○")&gt;0,1,0))</f>
        <v>0</v>
      </c>
      <c r="AQ44" s="39" t="n">
        <f aca="false">IF(AQ$4=0,0,IF(COUNTIFS(実績!$W$6:$W$505,AQ$3,実績!$AI$6:$AI$505,"&lt;="&amp;$A44,実績!$AJ$6:$AJ$505,"&gt;"&amp;$A44,実績!$AL$6:$AL$505,"○")&gt;0,1,0))</f>
        <v>0</v>
      </c>
      <c r="AR44" s="39" t="n">
        <f aca="false">IF(AR$4=0,0,IF(COUNTIFS(実績!$W$6:$W$505,AR$3,実績!$AI$6:$AI$505,"&lt;="&amp;$A44,実績!$AJ$6:$AJ$505,"&gt;"&amp;$A44,実績!$AL$6:$AL$505,"○")&gt;0,1,0))</f>
        <v>0</v>
      </c>
      <c r="AS44" s="39" t="n">
        <f aca="false">IF(AS$4=0,0,IF(COUNTIFS(実績!$W$6:$W$505,AS$3,実績!$AI$6:$AI$505,"&lt;="&amp;$A44,実績!$AJ$6:$AJ$505,"&gt;"&amp;$A44,実績!$AL$6:$AL$505,"○")&gt;0,1,0))</f>
        <v>0</v>
      </c>
      <c r="AT44" s="39" t="n">
        <f aca="false">IF(AT$4=0,0,IF(COUNTIFS(実績!$W$6:$W$505,AT$3,実績!$AI$6:$AI$505,"&lt;="&amp;$A44,実績!$AJ$6:$AJ$505,"&gt;"&amp;$A44,実績!$AL$6:$AL$505,"○")&gt;0,1,0))</f>
        <v>0</v>
      </c>
      <c r="AU44" s="39" t="n">
        <f aca="false">IF(AU$4=0,0,IF(COUNTIFS(実績!$W$6:$W$505,AU$3,実績!$AI$6:$AI$505,"&lt;="&amp;$A44,実績!$AJ$6:$AJ$505,"&gt;"&amp;$A44,実績!$AL$6:$AL$505,"○")&gt;0,1,0))</f>
        <v>0</v>
      </c>
      <c r="AV44" s="39" t="n">
        <f aca="false">IF(AV$4=0,0,IF(COUNTIFS(実績!$W$6:$W$505,AV$3,実績!$AI$6:$AI$505,"&lt;="&amp;$A44,実績!$AJ$6:$AJ$505,"&gt;"&amp;$A44,実績!$AL$6:$AL$505,"○")&gt;0,1,0))</f>
        <v>0</v>
      </c>
      <c r="AW44" s="39" t="n">
        <f aca="false">IF(AW$4=0,0,IF(COUNTIFS(実績!$W$6:$W$505,AW$3,実績!$AI$6:$AI$505,"&lt;="&amp;$A44,実績!$AJ$6:$AJ$505,"&gt;"&amp;$A44,実績!$AL$6:$AL$505,"○")&gt;0,1,0))</f>
        <v>0</v>
      </c>
      <c r="AX44" s="39" t="n">
        <f aca="false">IF(AX$4=0,0,IF(COUNTIFS(実績!$W$6:$W$505,AX$3,実績!$AI$6:$AI$505,"&lt;="&amp;$A44,実績!$AJ$6:$AJ$505,"&gt;"&amp;$A44,実績!$AL$6:$AL$505,"○")&gt;0,1,0))</f>
        <v>0</v>
      </c>
      <c r="AY44" s="39" t="n">
        <f aca="false">IF(AY$4=0,0,IF(COUNTIFS(実績!$W$6:$W$505,AY$3,実績!$AI$6:$AI$505,"&lt;="&amp;$A44,実績!$AJ$6:$AJ$505,"&gt;"&amp;$A44,実績!$AL$6:$AL$505,"○")&gt;0,1,0))</f>
        <v>0</v>
      </c>
      <c r="AZ44" s="39" t="n">
        <f aca="false">IF(AZ$4=0,0,IF(COUNTIFS(実績!$W$6:$W$505,AZ$3,実績!$AI$6:$AI$505,"&lt;="&amp;$A44,実績!$AJ$6:$AJ$505,"&gt;"&amp;$A44,実績!$AL$6:$AL$505,"○")&gt;0,1,0))</f>
        <v>0</v>
      </c>
      <c r="BA44" s="39" t="n">
        <f aca="false">IF(BA$4=0,0,IF(COUNTIFS(実績!$W$6:$W$505,BA$3,実績!$AI$6:$AI$505,"&lt;="&amp;$A44,実績!$AJ$6:$AJ$505,"&gt;"&amp;$A44,実績!$AL$6:$AL$505,"○")&gt;0,1,0))</f>
        <v>0</v>
      </c>
      <c r="BB44" s="39" t="n">
        <f aca="false">IF(BB$4=0,0,IF(COUNTIFS(実績!$W$6:$W$505,BB$3,実績!$AI$6:$AI$505,"&lt;="&amp;$A44,実績!$AJ$6:$AJ$505,"&gt;"&amp;$A44,実績!$AL$6:$AL$505,"○")&gt;0,1,0))</f>
        <v>0</v>
      </c>
      <c r="BC44" s="39" t="n">
        <f aca="false">IF(BC$4=0,0,IF(COUNTIFS(実績!$W$6:$W$505,BC$3,実績!$AI$6:$AI$505,"&lt;="&amp;$A44,実績!$AJ$6:$AJ$505,"&gt;"&amp;$A44,実績!$AL$6:$AL$505,"○")&gt;0,1,0))</f>
        <v>0</v>
      </c>
      <c r="BD44" s="39" t="n">
        <f aca="false">IF(BD$4=0,0,IF(COUNTIFS(実績!$W$6:$W$505,BD$3,実績!$AI$6:$AI$505,"&lt;="&amp;$A44,実績!$AJ$6:$AJ$505,"&gt;"&amp;$A44,実績!$AL$6:$AL$505,"○")&gt;0,1,0))</f>
        <v>0</v>
      </c>
      <c r="BE44" s="39" t="n">
        <f aca="false">IF(BE$4=0,0,IF(COUNTIFS(実績!$W$6:$W$505,BE$3,実績!$AI$6:$AI$505,"&lt;="&amp;$A44,実績!$AJ$6:$AJ$505,"&gt;"&amp;$A44,実績!$AL$6:$AL$505,"○")&gt;0,1,0))</f>
        <v>0</v>
      </c>
      <c r="BF44" s="39" t="n">
        <f aca="false">IF(BF$4=0,0,IF(COUNTIFS(実績!$W$6:$W$505,BF$3,実績!$AI$6:$AI$505,"&lt;="&amp;$A44,実績!$AJ$6:$AJ$505,"&gt;"&amp;$A44,実績!$AL$6:$AL$505,"○")&gt;0,1,0))</f>
        <v>0</v>
      </c>
      <c r="BG44" s="39" t="n">
        <f aca="false">IF(BG$4=0,0,IF(COUNTIFS(実績!$W$6:$W$505,BG$3,実績!$AI$6:$AI$505,"&lt;="&amp;$A44,実績!$AJ$6:$AJ$505,"&gt;"&amp;$A44,実績!$AL$6:$AL$505,"○")&gt;0,1,0))</f>
        <v>0</v>
      </c>
      <c r="BH44" s="39" t="n">
        <f aca="false">IF(BH$4=0,0,IF(COUNTIFS(実績!$W$6:$W$505,BH$3,実績!$AI$6:$AI$505,"&lt;="&amp;$A44,実績!$AJ$6:$AJ$505,"&gt;"&amp;$A44,実績!$AL$6:$AL$505,"○")&gt;0,1,0))</f>
        <v>0</v>
      </c>
      <c r="BI44" s="39" t="n">
        <f aca="false">IF(BI$4=0,0,IF(COUNTIFS(実績!$W$6:$W$505,BI$3,実績!$AI$6:$AI$505,"&lt;="&amp;$A44,実績!$AJ$6:$AJ$505,"&gt;"&amp;$A44,実績!$AL$6:$AL$505,"○")&gt;0,1,0))</f>
        <v>0</v>
      </c>
      <c r="BJ44" s="39" t="n">
        <f aca="false">IF(BJ$4=0,0,IF(COUNTIFS(実績!$W$6:$W$505,BJ$3,実績!$AI$6:$AI$505,"&lt;="&amp;$A44,実績!$AJ$6:$AJ$505,"&gt;"&amp;$A44,実績!$AL$6:$AL$505,"○")&gt;0,1,0))</f>
        <v>0</v>
      </c>
      <c r="BK44" s="39" t="n">
        <f aca="false">IF(BK$4=0,0,IF(COUNTIFS(実績!$W$6:$W$505,BK$3,実績!$AI$6:$AI$505,"&lt;="&amp;$A44,実績!$AJ$6:$AJ$505,"&gt;"&amp;$A44,実績!$AL$6:$AL$505,"○")&gt;0,1,0))</f>
        <v>0</v>
      </c>
      <c r="BL44" s="39" t="n">
        <f aca="false">IF(BL$4=0,0,IF(COUNTIFS(実績!$W$6:$W$505,BL$3,実績!$AI$6:$AI$505,"&lt;="&amp;$A44,実績!$AJ$6:$AJ$505,"&gt;"&amp;$A44,実績!$AL$6:$AL$505,"○")&gt;0,1,0))</f>
        <v>0</v>
      </c>
      <c r="BM44" s="39" t="n">
        <f aca="false">IF(BM$4=0,0,IF(COUNTIFS(実績!$W$6:$W$505,BM$3,実績!$AI$6:$AI$505,"&lt;="&amp;$A44,実績!$AJ$6:$AJ$505,"&gt;"&amp;$A44,実績!$AL$6:$AL$505,"○")&gt;0,1,0))</f>
        <v>0</v>
      </c>
      <c r="BN44" s="39" t="n">
        <f aca="false">IF(BN$4=0,0,IF(COUNTIFS(実績!$W$6:$W$505,BN$3,実績!$AI$6:$AI$505,"&lt;="&amp;$A44,実績!$AJ$6:$AJ$505,"&gt;"&amp;$A44,実績!$AL$6:$AL$505,"○")&gt;0,1,0))</f>
        <v>0</v>
      </c>
      <c r="BO44" s="39" t="n">
        <f aca="false">IF(BO$4=0,0,IF(COUNTIFS(実績!$W$6:$W$505,BO$3,実績!$AI$6:$AI$505,"&lt;="&amp;$A44,実績!$AJ$6:$AJ$505,"&gt;"&amp;$A44,実績!$AL$6:$AL$505,"○")&gt;0,1,0))</f>
        <v>0</v>
      </c>
      <c r="BP44" s="39" t="n">
        <f aca="false">IF(BP$4=0,0,IF(COUNTIFS(実績!$W$6:$W$505,BP$3,実績!$AI$6:$AI$505,"&lt;="&amp;$A44,実績!$AJ$6:$AJ$505,"&gt;"&amp;$A44,実績!$AL$6:$AL$505,"○")&gt;0,1,0))</f>
        <v>0</v>
      </c>
      <c r="BQ44" s="39" t="n">
        <f aca="false">IF(BQ$4=0,0,IF(COUNTIFS(実績!$W$6:$W$505,BQ$3,実績!$AI$6:$AI$505,"&lt;="&amp;$A44,実績!$AJ$6:$AJ$505,"&gt;"&amp;$A44,実績!$AL$6:$AL$505,"○")&gt;0,1,0))</f>
        <v>0</v>
      </c>
      <c r="BR44" s="39" t="n">
        <f aca="false">IF(BR$4=0,0,IF(COUNTIFS(実績!$W$6:$W$505,BR$3,実績!$AI$6:$AI$505,"&lt;="&amp;$A44,実績!$AJ$6:$AJ$505,"&gt;"&amp;$A44,実績!$AL$6:$AL$505,"○")&gt;0,1,0))</f>
        <v>0</v>
      </c>
      <c r="BS44" s="39" t="n">
        <f aca="false">IF(BS$4=0,0,IF(COUNTIFS(実績!$W$6:$W$505,BS$3,実績!$AI$6:$AI$505,"&lt;="&amp;$A44,実績!$AJ$6:$AJ$505,"&gt;"&amp;$A44,実績!$AL$6:$AL$505,"○")&gt;0,1,0))</f>
        <v>0</v>
      </c>
      <c r="BT44" s="39" t="n">
        <f aca="false">IF(BT$4=0,0,IF(COUNTIFS(実績!$W$6:$W$505,BT$3,実績!$AI$6:$AI$505,"&lt;="&amp;$A44,実績!$AJ$6:$AJ$505,"&gt;"&amp;$A44,実績!$AL$6:$AL$505,"○")&gt;0,1,0))</f>
        <v>0</v>
      </c>
      <c r="BU44" s="39" t="n">
        <f aca="false">IF(BU$4=0,0,IF(COUNTIFS(実績!$W$6:$W$505,BU$3,実績!$AI$6:$AI$505,"&lt;="&amp;$A44,実績!$AJ$6:$AJ$505,"&gt;"&amp;$A44,実績!$AL$6:$AL$505,"○")&gt;0,1,0))</f>
        <v>0</v>
      </c>
      <c r="BV44" s="39" t="n">
        <f aca="false">IF(BV$4=0,0,IF(COUNTIFS(実績!$W$6:$W$505,BV$3,実績!$AI$6:$AI$505,"&lt;="&amp;$A44,実績!$AJ$6:$AJ$505,"&gt;"&amp;$A44,実績!$AL$6:$AL$505,"○")&gt;0,1,0))</f>
        <v>0</v>
      </c>
      <c r="BW44" s="39" t="n">
        <f aca="false">IF(BW$4=0,0,IF(COUNTIFS(実績!$W$6:$W$505,BW$3,実績!$AI$6:$AI$505,"&lt;="&amp;$A44,実績!$AJ$6:$AJ$505,"&gt;"&amp;$A44,実績!$AL$6:$AL$505,"○")&gt;0,1,0))</f>
        <v>0</v>
      </c>
      <c r="BX44" s="39" t="n">
        <f aca="false">IF(BX$4=0,0,IF(COUNTIFS(実績!$W$6:$W$505,BX$3,実績!$AI$6:$AI$505,"&lt;="&amp;$A44,実績!$AJ$6:$AJ$505,"&gt;"&amp;$A44,実績!$AL$6:$AL$505,"○")&gt;0,1,0))</f>
        <v>0</v>
      </c>
      <c r="BY44" s="39" t="n">
        <f aca="false">IF(BY$4=0,0,IF(COUNTIFS(実績!$W$6:$W$505,BY$3,実績!$AI$6:$AI$505,"&lt;="&amp;$A44,実績!$AJ$6:$AJ$505,"&gt;"&amp;$A44,実績!$AL$6:$AL$505,"○")&gt;0,1,0))</f>
        <v>0</v>
      </c>
      <c r="BZ44" s="39" t="n">
        <f aca="false">IF(BZ$4=0,0,IF(COUNTIFS(実績!$W$6:$W$505,BZ$3,実績!$AI$6:$AI$505,"&lt;="&amp;$A44,実績!$AJ$6:$AJ$505,"&gt;"&amp;$A44,実績!$AL$6:$AL$505,"○")&gt;0,1,0))</f>
        <v>0</v>
      </c>
      <c r="CA44" s="39" t="n">
        <f aca="false">IF(CA$4=0,0,IF(COUNTIFS(実績!$W$6:$W$505,CA$3,実績!$AI$6:$AI$505,"&lt;="&amp;$A44,実績!$AJ$6:$AJ$505,"&gt;"&amp;$A44,実績!$AL$6:$AL$505,"○")&gt;0,1,0))</f>
        <v>0</v>
      </c>
      <c r="CB44" s="39" t="n">
        <f aca="false">IF(CB$4=0,0,IF(COUNTIFS(実績!$W$6:$W$505,CB$3,実績!$AI$6:$AI$505,"&lt;="&amp;$A44,実績!$AJ$6:$AJ$505,"&gt;"&amp;$A44,実績!$AL$6:$AL$505,"○")&gt;0,1,0))</f>
        <v>0</v>
      </c>
      <c r="CC44" s="39" t="n">
        <f aca="false">IF(CC$4=0,0,IF(COUNTIFS(実績!$W$6:$W$505,CC$3,実績!$AI$6:$AI$505,"&lt;="&amp;$A44,実績!$AJ$6:$AJ$505,"&gt;"&amp;$A44,実績!$AL$6:$AL$505,"○")&gt;0,1,0))</f>
        <v>0</v>
      </c>
      <c r="CD44" s="39" t="n">
        <f aca="false">IF(CD$4=0,0,IF(COUNTIFS(実績!$W$6:$W$505,CD$3,実績!$AI$6:$AI$505,"&lt;="&amp;$A44,実績!$AJ$6:$AJ$505,"&gt;"&amp;$A44,実績!$AL$6:$AL$505,"○")&gt;0,1,0))</f>
        <v>0</v>
      </c>
      <c r="CE44" s="39" t="n">
        <f aca="false">IF(CE$4=0,0,IF(COUNTIFS(実績!$W$6:$W$505,CE$3,実績!$AI$6:$AI$505,"&lt;="&amp;$A44,実績!$AJ$6:$AJ$505,"&gt;"&amp;$A44,実績!$AL$6:$AL$505,"○")&gt;0,1,0))</f>
        <v>0</v>
      </c>
      <c r="CF44" s="39" t="n">
        <f aca="false">IF(CF$4=0,0,IF(COUNTIFS(実績!$W$6:$W$505,CF$3,実績!$AI$6:$AI$505,"&lt;="&amp;$A44,実績!$AJ$6:$AJ$505,"&gt;"&amp;$A44,実績!$AL$6:$AL$505,"○")&gt;0,1,0))</f>
        <v>0</v>
      </c>
      <c r="CG44" s="39" t="n">
        <f aca="false">IF(CG$4=0,0,IF(COUNTIFS(実績!$W$6:$W$505,CG$3,実績!$AI$6:$AI$505,"&lt;="&amp;$A44,実績!$AJ$6:$AJ$505,"&gt;"&amp;$A44,実績!$AL$6:$AL$505,"○")&gt;0,1,0))</f>
        <v>0</v>
      </c>
      <c r="CH44" s="39" t="n">
        <f aca="false">IF(CH$4=0,0,IF(COUNTIFS(実績!$W$6:$W$505,CH$3,実績!$AI$6:$AI$505,"&lt;="&amp;$A44,実績!$AJ$6:$AJ$505,"&gt;"&amp;$A44,実績!$AL$6:$AL$505,"○")&gt;0,1,0))</f>
        <v>0</v>
      </c>
      <c r="CI44" s="39" t="n">
        <f aca="false">IF(CI$4=0,0,IF(COUNTIFS(実績!$W$6:$W$505,CI$3,実績!$AI$6:$AI$505,"&lt;="&amp;$A44,実績!$AJ$6:$AJ$505,"&gt;"&amp;$A44,実績!$AL$6:$AL$505,"○")&gt;0,1,0))</f>
        <v>0</v>
      </c>
      <c r="CJ44" s="39" t="n">
        <f aca="false">IF(CJ$4=0,0,IF(COUNTIFS(実績!$W$6:$W$505,CJ$3,実績!$AI$6:$AI$505,"&lt;="&amp;$A44,実績!$AJ$6:$AJ$505,"&gt;"&amp;$A44,実績!$AL$6:$AL$505,"○")&gt;0,1,0))</f>
        <v>0</v>
      </c>
      <c r="CK44" s="39" t="n">
        <f aca="false">IF(CK$4=0,0,IF(COUNTIFS(実績!$W$6:$W$505,CK$3,実績!$AI$6:$AI$505,"&lt;="&amp;$A44,実績!$AJ$6:$AJ$505,"&gt;"&amp;$A44,実績!$AL$6:$AL$505,"○")&gt;0,1,0))</f>
        <v>0</v>
      </c>
      <c r="CL44" s="39" t="n">
        <f aca="false">IF(CL$4=0,0,IF(COUNTIFS(実績!$W$6:$W$505,CL$3,実績!$AI$6:$AI$505,"&lt;="&amp;$A44,実績!$AJ$6:$AJ$505,"&gt;"&amp;$A44,実績!$AL$6:$AL$505,"○")&gt;0,1,0))</f>
        <v>0</v>
      </c>
      <c r="CM44" s="39" t="n">
        <f aca="false">IF(CM$4=0,0,IF(COUNTIFS(実績!$W$6:$W$505,CM$3,実績!$AI$6:$AI$505,"&lt;="&amp;$A44,実績!$AJ$6:$AJ$505,"&gt;"&amp;$A44,実績!$AL$6:$AL$505,"○")&gt;0,1,0))</f>
        <v>0</v>
      </c>
      <c r="CN44" s="39" t="n">
        <f aca="false">IF(CN$4=0,0,IF(COUNTIFS(実績!$W$6:$W$505,CN$3,実績!$AI$6:$AI$505,"&lt;="&amp;$A44,実績!$AJ$6:$AJ$505,"&gt;"&amp;$A44,実績!$AL$6:$AL$505,"○")&gt;0,1,0))</f>
        <v>0</v>
      </c>
      <c r="CO44" s="39" t="n">
        <f aca="false">IF(CO$4=0,0,IF(COUNTIFS(実績!$W$6:$W$505,CO$3,実績!$AI$6:$AI$505,"&lt;="&amp;$A44,実績!$AJ$6:$AJ$505,"&gt;"&amp;$A44,実績!$AL$6:$AL$505,"○")&gt;0,1,0))</f>
        <v>0</v>
      </c>
      <c r="CP44" s="39" t="n">
        <f aca="false">IF(CP$4=0,0,IF(COUNTIFS(実績!$W$6:$W$505,CP$3,実績!$AI$6:$AI$505,"&lt;="&amp;$A44,実績!$AJ$6:$AJ$505,"&gt;"&amp;$A44,実績!$AL$6:$AL$505,"○")&gt;0,1,0))</f>
        <v>0</v>
      </c>
      <c r="CQ44" s="39" t="n">
        <f aca="false">IF(CQ$4=0,0,IF(COUNTIFS(実績!$W$6:$W$505,CQ$3,実績!$AI$6:$AI$505,"&lt;="&amp;$A44,実績!$AJ$6:$AJ$505,"&gt;"&amp;$A44,実績!$AL$6:$AL$505,"○")&gt;0,1,0))</f>
        <v>0</v>
      </c>
      <c r="CR44" s="39" t="n">
        <f aca="false">IF(CR$4=0,0,IF(COUNTIFS(実績!$W$6:$W$505,CR$3,実績!$AI$6:$AI$505,"&lt;="&amp;$A44,実績!$AJ$6:$AJ$505,"&gt;"&amp;$A44,実績!$AL$6:$AL$505,"○")&gt;0,1,0))</f>
        <v>0</v>
      </c>
      <c r="CS44" s="39" t="n">
        <f aca="false">IF(CS$4=0,0,IF(COUNTIFS(実績!$W$6:$W$505,CS$3,実績!$AI$6:$AI$505,"&lt;="&amp;$A44,実績!$AJ$6:$AJ$505,"&gt;"&amp;$A44,実績!$AL$6:$AL$505,"○")&gt;0,1,0))</f>
        <v>0</v>
      </c>
      <c r="CT44" s="39" t="n">
        <f aca="false">IF(CT$4=0,0,IF(COUNTIFS(実績!$W$6:$W$505,CT$3,実績!$AI$6:$AI$505,"&lt;="&amp;$A44,実績!$AJ$6:$AJ$505,"&gt;"&amp;$A44,実績!$AL$6:$AL$505,"○")&gt;0,1,0))</f>
        <v>0</v>
      </c>
      <c r="CU44" s="39" t="n">
        <f aca="false">IF(CU$4=0,0,IF(COUNTIFS(実績!$W$6:$W$505,CU$3,実績!$AI$6:$AI$505,"&lt;="&amp;$A44,実績!$AJ$6:$AJ$505,"&gt;"&amp;$A44,実績!$AL$6:$AL$505,"○")&gt;0,1,0))</f>
        <v>0</v>
      </c>
      <c r="CV44" s="39" t="n">
        <f aca="false">IF(CV$4=0,0,IF(COUNTIFS(実績!$W$6:$W$505,CV$3,実績!$AI$6:$AI$505,"&lt;="&amp;$A44,実績!$AJ$6:$AJ$505,"&gt;"&amp;$A44,実績!$AL$6:$AL$505,"○")&gt;0,1,0))</f>
        <v>0</v>
      </c>
      <c r="CW44" s="39" t="n">
        <f aca="false">IF(CW$4=0,0,IF(COUNTIFS(実績!$W$6:$W$505,CW$3,実績!$AI$6:$AI$505,"&lt;="&amp;$A44,実績!$AJ$6:$AJ$505,"&gt;"&amp;$A44,実績!$AL$6:$AL$505,"○")&gt;0,1,0))</f>
        <v>0</v>
      </c>
      <c r="CX44" s="39" t="n">
        <f aca="false">IF(CX$4=0,0,IF(COUNTIFS(実績!$W$6:$W$505,CX$3,実績!$AI$6:$AI$505,"&lt;="&amp;$A44,実績!$AJ$6:$AJ$505,"&gt;"&amp;$A44,実績!$AL$6:$AL$505,"○")&gt;0,1,0))</f>
        <v>0</v>
      </c>
      <c r="CY44" s="39" t="n">
        <f aca="false">IF(CY$4=0,0,IF(COUNTIFS(実績!$W$6:$W$505,CY$3,実績!$AI$6:$AI$505,"&lt;="&amp;$A44,実績!$AJ$6:$AJ$505,"&gt;"&amp;$A44,実績!$AL$6:$AL$505,"○")&gt;0,1,0))</f>
        <v>0</v>
      </c>
      <c r="CZ44" s="39" t="n">
        <f aca="false">IF(CZ$4=0,0,IF(COUNTIFS(実績!$W$6:$W$505,CZ$3,実績!$AI$6:$AI$505,"&lt;="&amp;$A44,実績!$AJ$6:$AJ$505,"&gt;"&amp;$A44,実績!$AL$6:$AL$505,"○")&gt;0,1,0))</f>
        <v>0</v>
      </c>
      <c r="DA44" s="39" t="n">
        <f aca="false">IF(DA$4=0,0,IF(COUNTIFS(実績!$W$6:$W$505,DA$3,実績!$AI$6:$AI$505,"&lt;="&amp;$A44,実績!$AJ$6:$AJ$505,"&gt;"&amp;$A44,実績!$AL$6:$AL$505,"○")&gt;0,1,0))</f>
        <v>0</v>
      </c>
      <c r="DB44" s="39" t="n">
        <f aca="false">IF(DB$4=0,0,IF(COUNTIFS(実績!$W$6:$W$505,DB$3,実績!$AI$6:$AI$505,"&lt;="&amp;$A44,実績!$AJ$6:$AJ$505,"&gt;"&amp;$A44,実績!$AL$6:$AL$505,"○")&gt;0,1,0))</f>
        <v>0</v>
      </c>
      <c r="DC44" s="39" t="n">
        <f aca="false">IF(DC$4=0,0,IF(COUNTIFS(実績!$W$6:$W$505,DC$3,実績!$AI$6:$AI$505,"&lt;="&amp;$A44,実績!$AJ$6:$AJ$505,"&gt;"&amp;$A44,実績!$AL$6:$AL$505,"○")&gt;0,1,0))</f>
        <v>0</v>
      </c>
      <c r="DD44" s="39" t="n">
        <f aca="false">IF(DD$4=0,0,IF(COUNTIFS(実績!$W$6:$W$505,DD$3,実績!$AI$6:$AI$505,"&lt;="&amp;$A44,実績!$AJ$6:$AJ$505,"&gt;"&amp;$A44,実績!$AL$6:$AL$505,"○")&gt;0,1,0))</f>
        <v>0</v>
      </c>
      <c r="DE44" s="39" t="n">
        <f aca="false">IF(DE$4=0,0,IF(COUNTIFS(実績!$W$6:$W$505,DE$3,実績!$AI$6:$AI$505,"&lt;="&amp;$A44,実績!$AJ$6:$AJ$505,"&gt;"&amp;$A44,実績!$AL$6:$AL$505,"○")&gt;0,1,0))</f>
        <v>0</v>
      </c>
      <c r="DF44" s="39" t="n">
        <f aca="false">IF(DF$4=0,0,IF(COUNTIFS(実績!$W$6:$W$505,DF$3,実績!$AI$6:$AI$505,"&lt;="&amp;$A44,実績!$AJ$6:$AJ$505,"&gt;"&amp;$A44,実績!$AL$6:$AL$505,"○")&gt;0,1,0))</f>
        <v>0</v>
      </c>
      <c r="DG44" s="39" t="n">
        <f aca="false">IF(DG$4=0,0,IF(COUNTIFS(実績!$W$6:$W$505,DG$3,実績!$AI$6:$AI$505,"&lt;="&amp;$A44,実績!$AJ$6:$AJ$505,"&gt;"&amp;$A44,実績!$AL$6:$AL$505,"○")&gt;0,1,0))</f>
        <v>0</v>
      </c>
      <c r="DH44" s="39" t="n">
        <f aca="false">IF(DH$4=0,0,IF(COUNTIFS(実績!$W$6:$W$505,DH$3,実績!$AI$6:$AI$505,"&lt;="&amp;$A44,実績!$AJ$6:$AJ$505,"&gt;"&amp;$A44,実績!$AL$6:$AL$505,"○")&gt;0,1,0))</f>
        <v>0</v>
      </c>
      <c r="DI44" s="39" t="n">
        <f aca="false">IF(DI$4=0,0,IF(COUNTIFS(実績!$W$6:$W$505,DI$3,実績!$AI$6:$AI$505,"&lt;="&amp;$A44,実績!$AJ$6:$AJ$505,"&gt;"&amp;$A44,実績!$AL$6:$AL$505,"○")&gt;0,1,0))</f>
        <v>0</v>
      </c>
      <c r="DJ44" s="39" t="n">
        <f aca="false">IF(DJ$4=0,0,IF(COUNTIFS(実績!$W$6:$W$505,DJ$3,実績!$AI$6:$AI$505,"&lt;="&amp;$A44,実績!$AJ$6:$AJ$505,"&gt;"&amp;$A44,実績!$AL$6:$AL$505,"○")&gt;0,1,0))</f>
        <v>0</v>
      </c>
      <c r="DK44" s="39" t="n">
        <f aca="false">IF(DK$4=0,0,IF(COUNTIFS(実績!$W$6:$W$505,DK$3,実績!$AI$6:$AI$505,"&lt;="&amp;$A44,実績!$AJ$6:$AJ$505,"&gt;"&amp;$A44,実績!$AL$6:$AL$505,"○")&gt;0,1,0))</f>
        <v>0</v>
      </c>
      <c r="DL44" s="39" t="n">
        <f aca="false">IF(DL$4=0,0,IF(COUNTIFS(実績!$W$6:$W$505,DL$3,実績!$AI$6:$AI$505,"&lt;="&amp;$A44,実績!$AJ$6:$AJ$505,"&gt;"&amp;$A44,実績!$AL$6:$AL$505,"○")&gt;0,1,0))</f>
        <v>0</v>
      </c>
      <c r="DM44" s="39" t="n">
        <f aca="false">IF(DM$4=0,0,IF(COUNTIFS(実績!$W$6:$W$505,DM$3,実績!$AI$6:$AI$505,"&lt;="&amp;$A44,実績!$AJ$6:$AJ$505,"&gt;"&amp;$A44,実績!$AL$6:$AL$505,"○")&gt;0,1,0))</f>
        <v>0</v>
      </c>
      <c r="DN44" s="39" t="n">
        <f aca="false">IF(DN$4=0,0,IF(COUNTIFS(実績!$W$6:$W$505,DN$3,実績!$AI$6:$AI$505,"&lt;="&amp;$A44,実績!$AJ$6:$AJ$505,"&gt;"&amp;$A44,実績!$AL$6:$AL$505,"○")&gt;0,1,0))</f>
        <v>0</v>
      </c>
      <c r="DO44" s="39" t="n">
        <f aca="false">IF(DO$4=0,0,IF(COUNTIFS(実績!$W$6:$W$505,DO$3,実績!$AI$6:$AI$505,"&lt;="&amp;$A44,実績!$AJ$6:$AJ$505,"&gt;"&amp;$A44,実績!$AL$6:$AL$505,"○")&gt;0,1,0))</f>
        <v>0</v>
      </c>
      <c r="DP44" s="39" t="n">
        <f aca="false">IF(DP$4=0,0,IF(COUNTIFS(実績!$W$6:$W$505,DP$3,実績!$AI$6:$AI$505,"&lt;="&amp;$A44,実績!$AJ$6:$AJ$505,"&gt;"&amp;$A44,実績!$AL$6:$AL$505,"○")&gt;0,1,0))</f>
        <v>0</v>
      </c>
      <c r="DQ44" s="39" t="n">
        <f aca="false">IF(DQ$4=0,0,IF(COUNTIFS(実績!$W$6:$W$505,DQ$3,実績!$AI$6:$AI$505,"&lt;="&amp;$A44,実績!$AJ$6:$AJ$505,"&gt;"&amp;$A44,実績!$AL$6:$AL$505,"○")&gt;0,1,0))</f>
        <v>0</v>
      </c>
      <c r="DR44" s="39" t="n">
        <f aca="false">IF(DR$4=0,0,IF(COUNTIFS(実績!$W$6:$W$505,DR$3,実績!$AI$6:$AI$505,"&lt;="&amp;$A44,実績!$AJ$6:$AJ$505,"&gt;"&amp;$A44,実績!$AL$6:$AL$505,"○")&gt;0,1,0))</f>
        <v>0</v>
      </c>
      <c r="DS44" s="39" t="n">
        <f aca="false">SUM(C44:DR44)</f>
        <v>0</v>
      </c>
    </row>
    <row r="45" customFormat="false" ht="15" hidden="false" customHeight="false" outlineLevel="0" collapsed="false">
      <c r="A45" s="0" t="n">
        <v>195</v>
      </c>
      <c r="B45" s="38" t="n">
        <f aca="false">A45/1440</f>
        <v>0.135416666666667</v>
      </c>
      <c r="C45" s="39" t="n">
        <f aca="false">IF(C$4=0,0,IF(COUNTIFS(実績!$W$6:$W$505,C$3,実績!$AI$6:$AI$505,"&lt;="&amp;$A45,実績!$AJ$6:$AJ$505,"&gt;"&amp;$A45,実績!$AL$6:$AL$505,"○")&gt;0,1,0))</f>
        <v>0</v>
      </c>
      <c r="D45" s="39" t="n">
        <f aca="false">IF(D$4=0,0,IF(COUNTIFS(実績!$W$6:$W$505,D$3,実績!$AI$6:$AI$505,"&lt;="&amp;$A45,実績!$AJ$6:$AJ$505,"&gt;"&amp;$A45,実績!$AL$6:$AL$505,"○")&gt;0,1,0))</f>
        <v>0</v>
      </c>
      <c r="E45" s="39" t="n">
        <f aca="false">IF(E$4=0,0,IF(COUNTIFS(実績!$W$6:$W$505,E$3,実績!$AI$6:$AI$505,"&lt;="&amp;$A45,実績!$AJ$6:$AJ$505,"&gt;"&amp;$A45,実績!$AL$6:$AL$505,"○")&gt;0,1,0))</f>
        <v>0</v>
      </c>
      <c r="F45" s="39" t="n">
        <f aca="false">IF(F$4=0,0,IF(COUNTIFS(実績!$W$6:$W$505,F$3,実績!$AI$6:$AI$505,"&lt;="&amp;$A45,実績!$AJ$6:$AJ$505,"&gt;"&amp;$A45,実績!$AL$6:$AL$505,"○")&gt;0,1,0))</f>
        <v>0</v>
      </c>
      <c r="G45" s="39" t="n">
        <f aca="false">IF(G$4=0,0,IF(COUNTIFS(実績!$W$6:$W$505,G$3,実績!$AI$6:$AI$505,"&lt;="&amp;$A45,実績!$AJ$6:$AJ$505,"&gt;"&amp;$A45,実績!$AL$6:$AL$505,"○")&gt;0,1,0))</f>
        <v>0</v>
      </c>
      <c r="H45" s="39" t="n">
        <f aca="false">IF(H$4=0,0,IF(COUNTIFS(実績!$W$6:$W$505,H$3,実績!$AI$6:$AI$505,"&lt;="&amp;$A45,実績!$AJ$6:$AJ$505,"&gt;"&amp;$A45,実績!$AL$6:$AL$505,"○")&gt;0,1,0))</f>
        <v>0</v>
      </c>
      <c r="I45" s="39" t="n">
        <f aca="false">IF(I$4=0,0,IF(COUNTIFS(実績!$W$6:$W$505,I$3,実績!$AI$6:$AI$505,"&lt;="&amp;$A45,実績!$AJ$6:$AJ$505,"&gt;"&amp;$A45,実績!$AL$6:$AL$505,"○")&gt;0,1,0))</f>
        <v>0</v>
      </c>
      <c r="J45" s="39" t="n">
        <f aca="false">IF(J$4=0,0,IF(COUNTIFS(実績!$W$6:$W$505,J$3,実績!$AI$6:$AI$505,"&lt;="&amp;$A45,実績!$AJ$6:$AJ$505,"&gt;"&amp;$A45,実績!$AL$6:$AL$505,"○")&gt;0,1,0))</f>
        <v>0</v>
      </c>
      <c r="K45" s="39" t="n">
        <f aca="false">IF(K$4=0,0,IF(COUNTIFS(実績!$W$6:$W$505,K$3,実績!$AI$6:$AI$505,"&lt;="&amp;$A45,実績!$AJ$6:$AJ$505,"&gt;"&amp;$A45,実績!$AL$6:$AL$505,"○")&gt;0,1,0))</f>
        <v>0</v>
      </c>
      <c r="L45" s="39" t="n">
        <f aca="false">IF(L$4=0,0,IF(COUNTIFS(実績!$W$6:$W$505,L$3,実績!$AI$6:$AI$505,"&lt;="&amp;$A45,実績!$AJ$6:$AJ$505,"&gt;"&amp;$A45,実績!$AL$6:$AL$505,"○")&gt;0,1,0))</f>
        <v>0</v>
      </c>
      <c r="M45" s="39" t="n">
        <f aca="false">IF(M$4=0,0,IF(COUNTIFS(実績!$W$6:$W$505,M$3,実績!$AI$6:$AI$505,"&lt;="&amp;$A45,実績!$AJ$6:$AJ$505,"&gt;"&amp;$A45,実績!$AL$6:$AL$505,"○")&gt;0,1,0))</f>
        <v>0</v>
      </c>
      <c r="N45" s="39" t="n">
        <f aca="false">IF(N$4=0,0,IF(COUNTIFS(実績!$W$6:$W$505,N$3,実績!$AI$6:$AI$505,"&lt;="&amp;$A45,実績!$AJ$6:$AJ$505,"&gt;"&amp;$A45,実績!$AL$6:$AL$505,"○")&gt;0,1,0))</f>
        <v>0</v>
      </c>
      <c r="O45" s="39" t="n">
        <f aca="false">IF(O$4=0,0,IF(COUNTIFS(実績!$W$6:$W$505,O$3,実績!$AI$6:$AI$505,"&lt;="&amp;$A45,実績!$AJ$6:$AJ$505,"&gt;"&amp;$A45,実績!$AL$6:$AL$505,"○")&gt;0,1,0))</f>
        <v>0</v>
      </c>
      <c r="P45" s="39" t="n">
        <f aca="false">IF(P$4=0,0,IF(COUNTIFS(実績!$W$6:$W$505,P$3,実績!$AI$6:$AI$505,"&lt;="&amp;$A45,実績!$AJ$6:$AJ$505,"&gt;"&amp;$A45,実績!$AL$6:$AL$505,"○")&gt;0,1,0))</f>
        <v>0</v>
      </c>
      <c r="Q45" s="39" t="n">
        <f aca="false">IF(Q$4=0,0,IF(COUNTIFS(実績!$W$6:$W$505,Q$3,実績!$AI$6:$AI$505,"&lt;="&amp;$A45,実績!$AJ$6:$AJ$505,"&gt;"&amp;$A45,実績!$AL$6:$AL$505,"○")&gt;0,1,0))</f>
        <v>0</v>
      </c>
      <c r="R45" s="39" t="n">
        <f aca="false">IF(R$4=0,0,IF(COUNTIFS(実績!$W$6:$W$505,R$3,実績!$AI$6:$AI$505,"&lt;="&amp;$A45,実績!$AJ$6:$AJ$505,"&gt;"&amp;$A45,実績!$AL$6:$AL$505,"○")&gt;0,1,0))</f>
        <v>0</v>
      </c>
      <c r="S45" s="39" t="n">
        <f aca="false">IF(S$4=0,0,IF(COUNTIFS(実績!$W$6:$W$505,S$3,実績!$AI$6:$AI$505,"&lt;="&amp;$A45,実績!$AJ$6:$AJ$505,"&gt;"&amp;$A45,実績!$AL$6:$AL$505,"○")&gt;0,1,0))</f>
        <v>0</v>
      </c>
      <c r="T45" s="39" t="n">
        <f aca="false">IF(T$4=0,0,IF(COUNTIFS(実績!$W$6:$W$505,T$3,実績!$AI$6:$AI$505,"&lt;="&amp;$A45,実績!$AJ$6:$AJ$505,"&gt;"&amp;$A45,実績!$AL$6:$AL$505,"○")&gt;0,1,0))</f>
        <v>0</v>
      </c>
      <c r="U45" s="39" t="n">
        <f aca="false">IF(U$4=0,0,IF(COUNTIFS(実績!$W$6:$W$505,U$3,実績!$AI$6:$AI$505,"&lt;="&amp;$A45,実績!$AJ$6:$AJ$505,"&gt;"&amp;$A45,実績!$AL$6:$AL$505,"○")&gt;0,1,0))</f>
        <v>0</v>
      </c>
      <c r="V45" s="39" t="n">
        <f aca="false">IF(V$4=0,0,IF(COUNTIFS(実績!$W$6:$W$505,V$3,実績!$AI$6:$AI$505,"&lt;="&amp;$A45,実績!$AJ$6:$AJ$505,"&gt;"&amp;$A45,実績!$AL$6:$AL$505,"○")&gt;0,1,0))</f>
        <v>0</v>
      </c>
      <c r="W45" s="39" t="n">
        <f aca="false">IF(W$4=0,0,IF(COUNTIFS(実績!$W$6:$W$505,W$3,実績!$AI$6:$AI$505,"&lt;="&amp;$A45,実績!$AJ$6:$AJ$505,"&gt;"&amp;$A45,実績!$AL$6:$AL$505,"○")&gt;0,1,0))</f>
        <v>0</v>
      </c>
      <c r="X45" s="39" t="n">
        <f aca="false">IF(X$4=0,0,IF(COUNTIFS(実績!$W$6:$W$505,X$3,実績!$AI$6:$AI$505,"&lt;="&amp;$A45,実績!$AJ$6:$AJ$505,"&gt;"&amp;$A45,実績!$AL$6:$AL$505,"○")&gt;0,1,0))</f>
        <v>0</v>
      </c>
      <c r="Y45" s="39" t="n">
        <f aca="false">IF(Y$4=0,0,IF(COUNTIFS(実績!$W$6:$W$505,Y$3,実績!$AI$6:$AI$505,"&lt;="&amp;$A45,実績!$AJ$6:$AJ$505,"&gt;"&amp;$A45,実績!$AL$6:$AL$505,"○")&gt;0,1,0))</f>
        <v>0</v>
      </c>
      <c r="Z45" s="39" t="n">
        <f aca="false">IF(Z$4=0,0,IF(COUNTIFS(実績!$W$6:$W$505,Z$3,実績!$AI$6:$AI$505,"&lt;="&amp;$A45,実績!$AJ$6:$AJ$505,"&gt;"&amp;$A45,実績!$AL$6:$AL$505,"○")&gt;0,1,0))</f>
        <v>0</v>
      </c>
      <c r="AA45" s="39" t="n">
        <f aca="false">IF(AA$4=0,0,IF(COUNTIFS(実績!$W$6:$W$505,AA$3,実績!$AI$6:$AI$505,"&lt;="&amp;$A45,実績!$AJ$6:$AJ$505,"&gt;"&amp;$A45,実績!$AL$6:$AL$505,"○")&gt;0,1,0))</f>
        <v>0</v>
      </c>
      <c r="AB45" s="39" t="n">
        <f aca="false">IF(AB$4=0,0,IF(COUNTIFS(実績!$W$6:$W$505,AB$3,実績!$AI$6:$AI$505,"&lt;="&amp;$A45,実績!$AJ$6:$AJ$505,"&gt;"&amp;$A45,実績!$AL$6:$AL$505,"○")&gt;0,1,0))</f>
        <v>0</v>
      </c>
      <c r="AC45" s="39" t="n">
        <f aca="false">IF(AC$4=0,0,IF(COUNTIFS(実績!$W$6:$W$505,AC$3,実績!$AI$6:$AI$505,"&lt;="&amp;$A45,実績!$AJ$6:$AJ$505,"&gt;"&amp;$A45,実績!$AL$6:$AL$505,"○")&gt;0,1,0))</f>
        <v>0</v>
      </c>
      <c r="AD45" s="39" t="n">
        <f aca="false">IF(AD$4=0,0,IF(COUNTIFS(実績!$W$6:$W$505,AD$3,実績!$AI$6:$AI$505,"&lt;="&amp;$A45,実績!$AJ$6:$AJ$505,"&gt;"&amp;$A45,実績!$AL$6:$AL$505,"○")&gt;0,1,0))</f>
        <v>0</v>
      </c>
      <c r="AE45" s="39" t="n">
        <f aca="false">IF(AE$4=0,0,IF(COUNTIFS(実績!$W$6:$W$505,AE$3,実績!$AI$6:$AI$505,"&lt;="&amp;$A45,実績!$AJ$6:$AJ$505,"&gt;"&amp;$A45,実績!$AL$6:$AL$505,"○")&gt;0,1,0))</f>
        <v>0</v>
      </c>
      <c r="AF45" s="39" t="n">
        <f aca="false">IF(AF$4=0,0,IF(COUNTIFS(実績!$W$6:$W$505,AF$3,実績!$AI$6:$AI$505,"&lt;="&amp;$A45,実績!$AJ$6:$AJ$505,"&gt;"&amp;$A45,実績!$AL$6:$AL$505,"○")&gt;0,1,0))</f>
        <v>0</v>
      </c>
      <c r="AG45" s="39" t="n">
        <f aca="false">IF(AG$4=0,0,IF(COUNTIFS(実績!$W$6:$W$505,AG$3,実績!$AI$6:$AI$505,"&lt;="&amp;$A45,実績!$AJ$6:$AJ$505,"&gt;"&amp;$A45,実績!$AL$6:$AL$505,"○")&gt;0,1,0))</f>
        <v>0</v>
      </c>
      <c r="AH45" s="39" t="n">
        <f aca="false">IF(AH$4=0,0,IF(COUNTIFS(実績!$W$6:$W$505,AH$3,実績!$AI$6:$AI$505,"&lt;="&amp;$A45,実績!$AJ$6:$AJ$505,"&gt;"&amp;$A45,実績!$AL$6:$AL$505,"○")&gt;0,1,0))</f>
        <v>0</v>
      </c>
      <c r="AI45" s="39" t="n">
        <f aca="false">IF(AI$4=0,0,IF(COUNTIFS(実績!$W$6:$W$505,AI$3,実績!$AI$6:$AI$505,"&lt;="&amp;$A45,実績!$AJ$6:$AJ$505,"&gt;"&amp;$A45,実績!$AL$6:$AL$505,"○")&gt;0,1,0))</f>
        <v>0</v>
      </c>
      <c r="AJ45" s="39" t="n">
        <f aca="false">IF(AJ$4=0,0,IF(COUNTIFS(実績!$W$6:$W$505,AJ$3,実績!$AI$6:$AI$505,"&lt;="&amp;$A45,実績!$AJ$6:$AJ$505,"&gt;"&amp;$A45,実績!$AL$6:$AL$505,"○")&gt;0,1,0))</f>
        <v>0</v>
      </c>
      <c r="AK45" s="39" t="n">
        <f aca="false">IF(AK$4=0,0,IF(COUNTIFS(実績!$W$6:$W$505,AK$3,実績!$AI$6:$AI$505,"&lt;="&amp;$A45,実績!$AJ$6:$AJ$505,"&gt;"&amp;$A45,実績!$AL$6:$AL$505,"○")&gt;0,1,0))</f>
        <v>0</v>
      </c>
      <c r="AL45" s="39" t="n">
        <f aca="false">IF(AL$4=0,0,IF(COUNTIFS(実績!$W$6:$W$505,AL$3,実績!$AI$6:$AI$505,"&lt;="&amp;$A45,実績!$AJ$6:$AJ$505,"&gt;"&amp;$A45,実績!$AL$6:$AL$505,"○")&gt;0,1,0))</f>
        <v>0</v>
      </c>
      <c r="AM45" s="39" t="n">
        <f aca="false">IF(AM$4=0,0,IF(COUNTIFS(実績!$W$6:$W$505,AM$3,実績!$AI$6:$AI$505,"&lt;="&amp;$A45,実績!$AJ$6:$AJ$505,"&gt;"&amp;$A45,実績!$AL$6:$AL$505,"○")&gt;0,1,0))</f>
        <v>0</v>
      </c>
      <c r="AN45" s="39" t="n">
        <f aca="false">IF(AN$4=0,0,IF(COUNTIFS(実績!$W$6:$W$505,AN$3,実績!$AI$6:$AI$505,"&lt;="&amp;$A45,実績!$AJ$6:$AJ$505,"&gt;"&amp;$A45,実績!$AL$6:$AL$505,"○")&gt;0,1,0))</f>
        <v>0</v>
      </c>
      <c r="AO45" s="39" t="n">
        <f aca="false">IF(AO$4=0,0,IF(COUNTIFS(実績!$W$6:$W$505,AO$3,実績!$AI$6:$AI$505,"&lt;="&amp;$A45,実績!$AJ$6:$AJ$505,"&gt;"&amp;$A45,実績!$AL$6:$AL$505,"○")&gt;0,1,0))</f>
        <v>0</v>
      </c>
      <c r="AP45" s="39" t="n">
        <f aca="false">IF(AP$4=0,0,IF(COUNTIFS(実績!$W$6:$W$505,AP$3,実績!$AI$6:$AI$505,"&lt;="&amp;$A45,実績!$AJ$6:$AJ$505,"&gt;"&amp;$A45,実績!$AL$6:$AL$505,"○")&gt;0,1,0))</f>
        <v>0</v>
      </c>
      <c r="AQ45" s="39" t="n">
        <f aca="false">IF(AQ$4=0,0,IF(COUNTIFS(実績!$W$6:$W$505,AQ$3,実績!$AI$6:$AI$505,"&lt;="&amp;$A45,実績!$AJ$6:$AJ$505,"&gt;"&amp;$A45,実績!$AL$6:$AL$505,"○")&gt;0,1,0))</f>
        <v>0</v>
      </c>
      <c r="AR45" s="39" t="n">
        <f aca="false">IF(AR$4=0,0,IF(COUNTIFS(実績!$W$6:$W$505,AR$3,実績!$AI$6:$AI$505,"&lt;="&amp;$A45,実績!$AJ$6:$AJ$505,"&gt;"&amp;$A45,実績!$AL$6:$AL$505,"○")&gt;0,1,0))</f>
        <v>0</v>
      </c>
      <c r="AS45" s="39" t="n">
        <f aca="false">IF(AS$4=0,0,IF(COUNTIFS(実績!$W$6:$W$505,AS$3,実績!$AI$6:$AI$505,"&lt;="&amp;$A45,実績!$AJ$6:$AJ$505,"&gt;"&amp;$A45,実績!$AL$6:$AL$505,"○")&gt;0,1,0))</f>
        <v>0</v>
      </c>
      <c r="AT45" s="39" t="n">
        <f aca="false">IF(AT$4=0,0,IF(COUNTIFS(実績!$W$6:$W$505,AT$3,実績!$AI$6:$AI$505,"&lt;="&amp;$A45,実績!$AJ$6:$AJ$505,"&gt;"&amp;$A45,実績!$AL$6:$AL$505,"○")&gt;0,1,0))</f>
        <v>0</v>
      </c>
      <c r="AU45" s="39" t="n">
        <f aca="false">IF(AU$4=0,0,IF(COUNTIFS(実績!$W$6:$W$505,AU$3,実績!$AI$6:$AI$505,"&lt;="&amp;$A45,実績!$AJ$6:$AJ$505,"&gt;"&amp;$A45,実績!$AL$6:$AL$505,"○")&gt;0,1,0))</f>
        <v>0</v>
      </c>
      <c r="AV45" s="39" t="n">
        <f aca="false">IF(AV$4=0,0,IF(COUNTIFS(実績!$W$6:$W$505,AV$3,実績!$AI$6:$AI$505,"&lt;="&amp;$A45,実績!$AJ$6:$AJ$505,"&gt;"&amp;$A45,実績!$AL$6:$AL$505,"○")&gt;0,1,0))</f>
        <v>0</v>
      </c>
      <c r="AW45" s="39" t="n">
        <f aca="false">IF(AW$4=0,0,IF(COUNTIFS(実績!$W$6:$W$505,AW$3,実績!$AI$6:$AI$505,"&lt;="&amp;$A45,実績!$AJ$6:$AJ$505,"&gt;"&amp;$A45,実績!$AL$6:$AL$505,"○")&gt;0,1,0))</f>
        <v>0</v>
      </c>
      <c r="AX45" s="39" t="n">
        <f aca="false">IF(AX$4=0,0,IF(COUNTIFS(実績!$W$6:$W$505,AX$3,実績!$AI$6:$AI$505,"&lt;="&amp;$A45,実績!$AJ$6:$AJ$505,"&gt;"&amp;$A45,実績!$AL$6:$AL$505,"○")&gt;0,1,0))</f>
        <v>0</v>
      </c>
      <c r="AY45" s="39" t="n">
        <f aca="false">IF(AY$4=0,0,IF(COUNTIFS(実績!$W$6:$W$505,AY$3,実績!$AI$6:$AI$505,"&lt;="&amp;$A45,実績!$AJ$6:$AJ$505,"&gt;"&amp;$A45,実績!$AL$6:$AL$505,"○")&gt;0,1,0))</f>
        <v>0</v>
      </c>
      <c r="AZ45" s="39" t="n">
        <f aca="false">IF(AZ$4=0,0,IF(COUNTIFS(実績!$W$6:$W$505,AZ$3,実績!$AI$6:$AI$505,"&lt;="&amp;$A45,実績!$AJ$6:$AJ$505,"&gt;"&amp;$A45,実績!$AL$6:$AL$505,"○")&gt;0,1,0))</f>
        <v>0</v>
      </c>
      <c r="BA45" s="39" t="n">
        <f aca="false">IF(BA$4=0,0,IF(COUNTIFS(実績!$W$6:$W$505,BA$3,実績!$AI$6:$AI$505,"&lt;="&amp;$A45,実績!$AJ$6:$AJ$505,"&gt;"&amp;$A45,実績!$AL$6:$AL$505,"○")&gt;0,1,0))</f>
        <v>0</v>
      </c>
      <c r="BB45" s="39" t="n">
        <f aca="false">IF(BB$4=0,0,IF(COUNTIFS(実績!$W$6:$W$505,BB$3,実績!$AI$6:$AI$505,"&lt;="&amp;$A45,実績!$AJ$6:$AJ$505,"&gt;"&amp;$A45,実績!$AL$6:$AL$505,"○")&gt;0,1,0))</f>
        <v>0</v>
      </c>
      <c r="BC45" s="39" t="n">
        <f aca="false">IF(BC$4=0,0,IF(COUNTIFS(実績!$W$6:$W$505,BC$3,実績!$AI$6:$AI$505,"&lt;="&amp;$A45,実績!$AJ$6:$AJ$505,"&gt;"&amp;$A45,実績!$AL$6:$AL$505,"○")&gt;0,1,0))</f>
        <v>0</v>
      </c>
      <c r="BD45" s="39" t="n">
        <f aca="false">IF(BD$4=0,0,IF(COUNTIFS(実績!$W$6:$W$505,BD$3,実績!$AI$6:$AI$505,"&lt;="&amp;$A45,実績!$AJ$6:$AJ$505,"&gt;"&amp;$A45,実績!$AL$6:$AL$505,"○")&gt;0,1,0))</f>
        <v>0</v>
      </c>
      <c r="BE45" s="39" t="n">
        <f aca="false">IF(BE$4=0,0,IF(COUNTIFS(実績!$W$6:$W$505,BE$3,実績!$AI$6:$AI$505,"&lt;="&amp;$A45,実績!$AJ$6:$AJ$505,"&gt;"&amp;$A45,実績!$AL$6:$AL$505,"○")&gt;0,1,0))</f>
        <v>0</v>
      </c>
      <c r="BF45" s="39" t="n">
        <f aca="false">IF(BF$4=0,0,IF(COUNTIFS(実績!$W$6:$W$505,BF$3,実績!$AI$6:$AI$505,"&lt;="&amp;$A45,実績!$AJ$6:$AJ$505,"&gt;"&amp;$A45,実績!$AL$6:$AL$505,"○")&gt;0,1,0))</f>
        <v>0</v>
      </c>
      <c r="BG45" s="39" t="n">
        <f aca="false">IF(BG$4=0,0,IF(COUNTIFS(実績!$W$6:$W$505,BG$3,実績!$AI$6:$AI$505,"&lt;="&amp;$A45,実績!$AJ$6:$AJ$505,"&gt;"&amp;$A45,実績!$AL$6:$AL$505,"○")&gt;0,1,0))</f>
        <v>0</v>
      </c>
      <c r="BH45" s="39" t="n">
        <f aca="false">IF(BH$4=0,0,IF(COUNTIFS(実績!$W$6:$W$505,BH$3,実績!$AI$6:$AI$505,"&lt;="&amp;$A45,実績!$AJ$6:$AJ$505,"&gt;"&amp;$A45,実績!$AL$6:$AL$505,"○")&gt;0,1,0))</f>
        <v>0</v>
      </c>
      <c r="BI45" s="39" t="n">
        <f aca="false">IF(BI$4=0,0,IF(COUNTIFS(実績!$W$6:$W$505,BI$3,実績!$AI$6:$AI$505,"&lt;="&amp;$A45,実績!$AJ$6:$AJ$505,"&gt;"&amp;$A45,実績!$AL$6:$AL$505,"○")&gt;0,1,0))</f>
        <v>0</v>
      </c>
      <c r="BJ45" s="39" t="n">
        <f aca="false">IF(BJ$4=0,0,IF(COUNTIFS(実績!$W$6:$W$505,BJ$3,実績!$AI$6:$AI$505,"&lt;="&amp;$A45,実績!$AJ$6:$AJ$505,"&gt;"&amp;$A45,実績!$AL$6:$AL$505,"○")&gt;0,1,0))</f>
        <v>0</v>
      </c>
      <c r="BK45" s="39" t="n">
        <f aca="false">IF(BK$4=0,0,IF(COUNTIFS(実績!$W$6:$W$505,BK$3,実績!$AI$6:$AI$505,"&lt;="&amp;$A45,実績!$AJ$6:$AJ$505,"&gt;"&amp;$A45,実績!$AL$6:$AL$505,"○")&gt;0,1,0))</f>
        <v>0</v>
      </c>
      <c r="BL45" s="39" t="n">
        <f aca="false">IF(BL$4=0,0,IF(COUNTIFS(実績!$W$6:$W$505,BL$3,実績!$AI$6:$AI$505,"&lt;="&amp;$A45,実績!$AJ$6:$AJ$505,"&gt;"&amp;$A45,実績!$AL$6:$AL$505,"○")&gt;0,1,0))</f>
        <v>0</v>
      </c>
      <c r="BM45" s="39" t="n">
        <f aca="false">IF(BM$4=0,0,IF(COUNTIFS(実績!$W$6:$W$505,BM$3,実績!$AI$6:$AI$505,"&lt;="&amp;$A45,実績!$AJ$6:$AJ$505,"&gt;"&amp;$A45,実績!$AL$6:$AL$505,"○")&gt;0,1,0))</f>
        <v>0</v>
      </c>
      <c r="BN45" s="39" t="n">
        <f aca="false">IF(BN$4=0,0,IF(COUNTIFS(実績!$W$6:$W$505,BN$3,実績!$AI$6:$AI$505,"&lt;="&amp;$A45,実績!$AJ$6:$AJ$505,"&gt;"&amp;$A45,実績!$AL$6:$AL$505,"○")&gt;0,1,0))</f>
        <v>0</v>
      </c>
      <c r="BO45" s="39" t="n">
        <f aca="false">IF(BO$4=0,0,IF(COUNTIFS(実績!$W$6:$W$505,BO$3,実績!$AI$6:$AI$505,"&lt;="&amp;$A45,実績!$AJ$6:$AJ$505,"&gt;"&amp;$A45,実績!$AL$6:$AL$505,"○")&gt;0,1,0))</f>
        <v>0</v>
      </c>
      <c r="BP45" s="39" t="n">
        <f aca="false">IF(BP$4=0,0,IF(COUNTIFS(実績!$W$6:$W$505,BP$3,実績!$AI$6:$AI$505,"&lt;="&amp;$A45,実績!$AJ$6:$AJ$505,"&gt;"&amp;$A45,実績!$AL$6:$AL$505,"○")&gt;0,1,0))</f>
        <v>0</v>
      </c>
      <c r="BQ45" s="39" t="n">
        <f aca="false">IF(BQ$4=0,0,IF(COUNTIFS(実績!$W$6:$W$505,BQ$3,実績!$AI$6:$AI$505,"&lt;="&amp;$A45,実績!$AJ$6:$AJ$505,"&gt;"&amp;$A45,実績!$AL$6:$AL$505,"○")&gt;0,1,0))</f>
        <v>0</v>
      </c>
      <c r="BR45" s="39" t="n">
        <f aca="false">IF(BR$4=0,0,IF(COUNTIFS(実績!$W$6:$W$505,BR$3,実績!$AI$6:$AI$505,"&lt;="&amp;$A45,実績!$AJ$6:$AJ$505,"&gt;"&amp;$A45,実績!$AL$6:$AL$505,"○")&gt;0,1,0))</f>
        <v>0</v>
      </c>
      <c r="BS45" s="39" t="n">
        <f aca="false">IF(BS$4=0,0,IF(COUNTIFS(実績!$W$6:$W$505,BS$3,実績!$AI$6:$AI$505,"&lt;="&amp;$A45,実績!$AJ$6:$AJ$505,"&gt;"&amp;$A45,実績!$AL$6:$AL$505,"○")&gt;0,1,0))</f>
        <v>0</v>
      </c>
      <c r="BT45" s="39" t="n">
        <f aca="false">IF(BT$4=0,0,IF(COUNTIFS(実績!$W$6:$W$505,BT$3,実績!$AI$6:$AI$505,"&lt;="&amp;$A45,実績!$AJ$6:$AJ$505,"&gt;"&amp;$A45,実績!$AL$6:$AL$505,"○")&gt;0,1,0))</f>
        <v>0</v>
      </c>
      <c r="BU45" s="39" t="n">
        <f aca="false">IF(BU$4=0,0,IF(COUNTIFS(実績!$W$6:$W$505,BU$3,実績!$AI$6:$AI$505,"&lt;="&amp;$A45,実績!$AJ$6:$AJ$505,"&gt;"&amp;$A45,実績!$AL$6:$AL$505,"○")&gt;0,1,0))</f>
        <v>0</v>
      </c>
      <c r="BV45" s="39" t="n">
        <f aca="false">IF(BV$4=0,0,IF(COUNTIFS(実績!$W$6:$W$505,BV$3,実績!$AI$6:$AI$505,"&lt;="&amp;$A45,実績!$AJ$6:$AJ$505,"&gt;"&amp;$A45,実績!$AL$6:$AL$505,"○")&gt;0,1,0))</f>
        <v>0</v>
      </c>
      <c r="BW45" s="39" t="n">
        <f aca="false">IF(BW$4=0,0,IF(COUNTIFS(実績!$W$6:$W$505,BW$3,実績!$AI$6:$AI$505,"&lt;="&amp;$A45,実績!$AJ$6:$AJ$505,"&gt;"&amp;$A45,実績!$AL$6:$AL$505,"○")&gt;0,1,0))</f>
        <v>0</v>
      </c>
      <c r="BX45" s="39" t="n">
        <f aca="false">IF(BX$4=0,0,IF(COUNTIFS(実績!$W$6:$W$505,BX$3,実績!$AI$6:$AI$505,"&lt;="&amp;$A45,実績!$AJ$6:$AJ$505,"&gt;"&amp;$A45,実績!$AL$6:$AL$505,"○")&gt;0,1,0))</f>
        <v>0</v>
      </c>
      <c r="BY45" s="39" t="n">
        <f aca="false">IF(BY$4=0,0,IF(COUNTIFS(実績!$W$6:$W$505,BY$3,実績!$AI$6:$AI$505,"&lt;="&amp;$A45,実績!$AJ$6:$AJ$505,"&gt;"&amp;$A45,実績!$AL$6:$AL$505,"○")&gt;0,1,0))</f>
        <v>0</v>
      </c>
      <c r="BZ45" s="39" t="n">
        <f aca="false">IF(BZ$4=0,0,IF(COUNTIFS(実績!$W$6:$W$505,BZ$3,実績!$AI$6:$AI$505,"&lt;="&amp;$A45,実績!$AJ$6:$AJ$505,"&gt;"&amp;$A45,実績!$AL$6:$AL$505,"○")&gt;0,1,0))</f>
        <v>0</v>
      </c>
      <c r="CA45" s="39" t="n">
        <f aca="false">IF(CA$4=0,0,IF(COUNTIFS(実績!$W$6:$W$505,CA$3,実績!$AI$6:$AI$505,"&lt;="&amp;$A45,実績!$AJ$6:$AJ$505,"&gt;"&amp;$A45,実績!$AL$6:$AL$505,"○")&gt;0,1,0))</f>
        <v>0</v>
      </c>
      <c r="CB45" s="39" t="n">
        <f aca="false">IF(CB$4=0,0,IF(COUNTIFS(実績!$W$6:$W$505,CB$3,実績!$AI$6:$AI$505,"&lt;="&amp;$A45,実績!$AJ$6:$AJ$505,"&gt;"&amp;$A45,実績!$AL$6:$AL$505,"○")&gt;0,1,0))</f>
        <v>0</v>
      </c>
      <c r="CC45" s="39" t="n">
        <f aca="false">IF(CC$4=0,0,IF(COUNTIFS(実績!$W$6:$W$505,CC$3,実績!$AI$6:$AI$505,"&lt;="&amp;$A45,実績!$AJ$6:$AJ$505,"&gt;"&amp;$A45,実績!$AL$6:$AL$505,"○")&gt;0,1,0))</f>
        <v>0</v>
      </c>
      <c r="CD45" s="39" t="n">
        <f aca="false">IF(CD$4=0,0,IF(COUNTIFS(実績!$W$6:$W$505,CD$3,実績!$AI$6:$AI$505,"&lt;="&amp;$A45,実績!$AJ$6:$AJ$505,"&gt;"&amp;$A45,実績!$AL$6:$AL$505,"○")&gt;0,1,0))</f>
        <v>0</v>
      </c>
      <c r="CE45" s="39" t="n">
        <f aca="false">IF(CE$4=0,0,IF(COUNTIFS(実績!$W$6:$W$505,CE$3,実績!$AI$6:$AI$505,"&lt;="&amp;$A45,実績!$AJ$6:$AJ$505,"&gt;"&amp;$A45,実績!$AL$6:$AL$505,"○")&gt;0,1,0))</f>
        <v>0</v>
      </c>
      <c r="CF45" s="39" t="n">
        <f aca="false">IF(CF$4=0,0,IF(COUNTIFS(実績!$W$6:$W$505,CF$3,実績!$AI$6:$AI$505,"&lt;="&amp;$A45,実績!$AJ$6:$AJ$505,"&gt;"&amp;$A45,実績!$AL$6:$AL$505,"○")&gt;0,1,0))</f>
        <v>0</v>
      </c>
      <c r="CG45" s="39" t="n">
        <f aca="false">IF(CG$4=0,0,IF(COUNTIFS(実績!$W$6:$W$505,CG$3,実績!$AI$6:$AI$505,"&lt;="&amp;$A45,実績!$AJ$6:$AJ$505,"&gt;"&amp;$A45,実績!$AL$6:$AL$505,"○")&gt;0,1,0))</f>
        <v>0</v>
      </c>
      <c r="CH45" s="39" t="n">
        <f aca="false">IF(CH$4=0,0,IF(COUNTIFS(実績!$W$6:$W$505,CH$3,実績!$AI$6:$AI$505,"&lt;="&amp;$A45,実績!$AJ$6:$AJ$505,"&gt;"&amp;$A45,実績!$AL$6:$AL$505,"○")&gt;0,1,0))</f>
        <v>0</v>
      </c>
      <c r="CI45" s="39" t="n">
        <f aca="false">IF(CI$4=0,0,IF(COUNTIFS(実績!$W$6:$W$505,CI$3,実績!$AI$6:$AI$505,"&lt;="&amp;$A45,実績!$AJ$6:$AJ$505,"&gt;"&amp;$A45,実績!$AL$6:$AL$505,"○")&gt;0,1,0))</f>
        <v>0</v>
      </c>
      <c r="CJ45" s="39" t="n">
        <f aca="false">IF(CJ$4=0,0,IF(COUNTIFS(実績!$W$6:$W$505,CJ$3,実績!$AI$6:$AI$505,"&lt;="&amp;$A45,実績!$AJ$6:$AJ$505,"&gt;"&amp;$A45,実績!$AL$6:$AL$505,"○")&gt;0,1,0))</f>
        <v>0</v>
      </c>
      <c r="CK45" s="39" t="n">
        <f aca="false">IF(CK$4=0,0,IF(COUNTIFS(実績!$W$6:$W$505,CK$3,実績!$AI$6:$AI$505,"&lt;="&amp;$A45,実績!$AJ$6:$AJ$505,"&gt;"&amp;$A45,実績!$AL$6:$AL$505,"○")&gt;0,1,0))</f>
        <v>0</v>
      </c>
      <c r="CL45" s="39" t="n">
        <f aca="false">IF(CL$4=0,0,IF(COUNTIFS(実績!$W$6:$W$505,CL$3,実績!$AI$6:$AI$505,"&lt;="&amp;$A45,実績!$AJ$6:$AJ$505,"&gt;"&amp;$A45,実績!$AL$6:$AL$505,"○")&gt;0,1,0))</f>
        <v>0</v>
      </c>
      <c r="CM45" s="39" t="n">
        <f aca="false">IF(CM$4=0,0,IF(COUNTIFS(実績!$W$6:$W$505,CM$3,実績!$AI$6:$AI$505,"&lt;="&amp;$A45,実績!$AJ$6:$AJ$505,"&gt;"&amp;$A45,実績!$AL$6:$AL$505,"○")&gt;0,1,0))</f>
        <v>0</v>
      </c>
      <c r="CN45" s="39" t="n">
        <f aca="false">IF(CN$4=0,0,IF(COUNTIFS(実績!$W$6:$W$505,CN$3,実績!$AI$6:$AI$505,"&lt;="&amp;$A45,実績!$AJ$6:$AJ$505,"&gt;"&amp;$A45,実績!$AL$6:$AL$505,"○")&gt;0,1,0))</f>
        <v>0</v>
      </c>
      <c r="CO45" s="39" t="n">
        <f aca="false">IF(CO$4=0,0,IF(COUNTIFS(実績!$W$6:$W$505,CO$3,実績!$AI$6:$AI$505,"&lt;="&amp;$A45,実績!$AJ$6:$AJ$505,"&gt;"&amp;$A45,実績!$AL$6:$AL$505,"○")&gt;0,1,0))</f>
        <v>0</v>
      </c>
      <c r="CP45" s="39" t="n">
        <f aca="false">IF(CP$4=0,0,IF(COUNTIFS(実績!$W$6:$W$505,CP$3,実績!$AI$6:$AI$505,"&lt;="&amp;$A45,実績!$AJ$6:$AJ$505,"&gt;"&amp;$A45,実績!$AL$6:$AL$505,"○")&gt;0,1,0))</f>
        <v>0</v>
      </c>
      <c r="CQ45" s="39" t="n">
        <f aca="false">IF(CQ$4=0,0,IF(COUNTIFS(実績!$W$6:$W$505,CQ$3,実績!$AI$6:$AI$505,"&lt;="&amp;$A45,実績!$AJ$6:$AJ$505,"&gt;"&amp;$A45,実績!$AL$6:$AL$505,"○")&gt;0,1,0))</f>
        <v>0</v>
      </c>
      <c r="CR45" s="39" t="n">
        <f aca="false">IF(CR$4=0,0,IF(COUNTIFS(実績!$W$6:$W$505,CR$3,実績!$AI$6:$AI$505,"&lt;="&amp;$A45,実績!$AJ$6:$AJ$505,"&gt;"&amp;$A45,実績!$AL$6:$AL$505,"○")&gt;0,1,0))</f>
        <v>0</v>
      </c>
      <c r="CS45" s="39" t="n">
        <f aca="false">IF(CS$4=0,0,IF(COUNTIFS(実績!$W$6:$W$505,CS$3,実績!$AI$6:$AI$505,"&lt;="&amp;$A45,実績!$AJ$6:$AJ$505,"&gt;"&amp;$A45,実績!$AL$6:$AL$505,"○")&gt;0,1,0))</f>
        <v>0</v>
      </c>
      <c r="CT45" s="39" t="n">
        <f aca="false">IF(CT$4=0,0,IF(COUNTIFS(実績!$W$6:$W$505,CT$3,実績!$AI$6:$AI$505,"&lt;="&amp;$A45,実績!$AJ$6:$AJ$505,"&gt;"&amp;$A45,実績!$AL$6:$AL$505,"○")&gt;0,1,0))</f>
        <v>0</v>
      </c>
      <c r="CU45" s="39" t="n">
        <f aca="false">IF(CU$4=0,0,IF(COUNTIFS(実績!$W$6:$W$505,CU$3,実績!$AI$6:$AI$505,"&lt;="&amp;$A45,実績!$AJ$6:$AJ$505,"&gt;"&amp;$A45,実績!$AL$6:$AL$505,"○")&gt;0,1,0))</f>
        <v>0</v>
      </c>
      <c r="CV45" s="39" t="n">
        <f aca="false">IF(CV$4=0,0,IF(COUNTIFS(実績!$W$6:$W$505,CV$3,実績!$AI$6:$AI$505,"&lt;="&amp;$A45,実績!$AJ$6:$AJ$505,"&gt;"&amp;$A45,実績!$AL$6:$AL$505,"○")&gt;0,1,0))</f>
        <v>0</v>
      </c>
      <c r="CW45" s="39" t="n">
        <f aca="false">IF(CW$4=0,0,IF(COUNTIFS(実績!$W$6:$W$505,CW$3,実績!$AI$6:$AI$505,"&lt;="&amp;$A45,実績!$AJ$6:$AJ$505,"&gt;"&amp;$A45,実績!$AL$6:$AL$505,"○")&gt;0,1,0))</f>
        <v>0</v>
      </c>
      <c r="CX45" s="39" t="n">
        <f aca="false">IF(CX$4=0,0,IF(COUNTIFS(実績!$W$6:$W$505,CX$3,実績!$AI$6:$AI$505,"&lt;="&amp;$A45,実績!$AJ$6:$AJ$505,"&gt;"&amp;$A45,実績!$AL$6:$AL$505,"○")&gt;0,1,0))</f>
        <v>0</v>
      </c>
      <c r="CY45" s="39" t="n">
        <f aca="false">IF(CY$4=0,0,IF(COUNTIFS(実績!$W$6:$W$505,CY$3,実績!$AI$6:$AI$505,"&lt;="&amp;$A45,実績!$AJ$6:$AJ$505,"&gt;"&amp;$A45,実績!$AL$6:$AL$505,"○")&gt;0,1,0))</f>
        <v>0</v>
      </c>
      <c r="CZ45" s="39" t="n">
        <f aca="false">IF(CZ$4=0,0,IF(COUNTIFS(実績!$W$6:$W$505,CZ$3,実績!$AI$6:$AI$505,"&lt;="&amp;$A45,実績!$AJ$6:$AJ$505,"&gt;"&amp;$A45,実績!$AL$6:$AL$505,"○")&gt;0,1,0))</f>
        <v>0</v>
      </c>
      <c r="DA45" s="39" t="n">
        <f aca="false">IF(DA$4=0,0,IF(COUNTIFS(実績!$W$6:$W$505,DA$3,実績!$AI$6:$AI$505,"&lt;="&amp;$A45,実績!$AJ$6:$AJ$505,"&gt;"&amp;$A45,実績!$AL$6:$AL$505,"○")&gt;0,1,0))</f>
        <v>0</v>
      </c>
      <c r="DB45" s="39" t="n">
        <f aca="false">IF(DB$4=0,0,IF(COUNTIFS(実績!$W$6:$W$505,DB$3,実績!$AI$6:$AI$505,"&lt;="&amp;$A45,実績!$AJ$6:$AJ$505,"&gt;"&amp;$A45,実績!$AL$6:$AL$505,"○")&gt;0,1,0))</f>
        <v>0</v>
      </c>
      <c r="DC45" s="39" t="n">
        <f aca="false">IF(DC$4=0,0,IF(COUNTIFS(実績!$W$6:$W$505,DC$3,実績!$AI$6:$AI$505,"&lt;="&amp;$A45,実績!$AJ$6:$AJ$505,"&gt;"&amp;$A45,実績!$AL$6:$AL$505,"○")&gt;0,1,0))</f>
        <v>0</v>
      </c>
      <c r="DD45" s="39" t="n">
        <f aca="false">IF(DD$4=0,0,IF(COUNTIFS(実績!$W$6:$W$505,DD$3,実績!$AI$6:$AI$505,"&lt;="&amp;$A45,実績!$AJ$6:$AJ$505,"&gt;"&amp;$A45,実績!$AL$6:$AL$505,"○")&gt;0,1,0))</f>
        <v>0</v>
      </c>
      <c r="DE45" s="39" t="n">
        <f aca="false">IF(DE$4=0,0,IF(COUNTIFS(実績!$W$6:$W$505,DE$3,実績!$AI$6:$AI$505,"&lt;="&amp;$A45,実績!$AJ$6:$AJ$505,"&gt;"&amp;$A45,実績!$AL$6:$AL$505,"○")&gt;0,1,0))</f>
        <v>0</v>
      </c>
      <c r="DF45" s="39" t="n">
        <f aca="false">IF(DF$4=0,0,IF(COUNTIFS(実績!$W$6:$W$505,DF$3,実績!$AI$6:$AI$505,"&lt;="&amp;$A45,実績!$AJ$6:$AJ$505,"&gt;"&amp;$A45,実績!$AL$6:$AL$505,"○")&gt;0,1,0))</f>
        <v>0</v>
      </c>
      <c r="DG45" s="39" t="n">
        <f aca="false">IF(DG$4=0,0,IF(COUNTIFS(実績!$W$6:$W$505,DG$3,実績!$AI$6:$AI$505,"&lt;="&amp;$A45,実績!$AJ$6:$AJ$505,"&gt;"&amp;$A45,実績!$AL$6:$AL$505,"○")&gt;0,1,0))</f>
        <v>0</v>
      </c>
      <c r="DH45" s="39" t="n">
        <f aca="false">IF(DH$4=0,0,IF(COUNTIFS(実績!$W$6:$W$505,DH$3,実績!$AI$6:$AI$505,"&lt;="&amp;$A45,実績!$AJ$6:$AJ$505,"&gt;"&amp;$A45,実績!$AL$6:$AL$505,"○")&gt;0,1,0))</f>
        <v>0</v>
      </c>
      <c r="DI45" s="39" t="n">
        <f aca="false">IF(DI$4=0,0,IF(COUNTIFS(実績!$W$6:$W$505,DI$3,実績!$AI$6:$AI$505,"&lt;="&amp;$A45,実績!$AJ$6:$AJ$505,"&gt;"&amp;$A45,実績!$AL$6:$AL$505,"○")&gt;0,1,0))</f>
        <v>0</v>
      </c>
      <c r="DJ45" s="39" t="n">
        <f aca="false">IF(DJ$4=0,0,IF(COUNTIFS(実績!$W$6:$W$505,DJ$3,実績!$AI$6:$AI$505,"&lt;="&amp;$A45,実績!$AJ$6:$AJ$505,"&gt;"&amp;$A45,実績!$AL$6:$AL$505,"○")&gt;0,1,0))</f>
        <v>0</v>
      </c>
      <c r="DK45" s="39" t="n">
        <f aca="false">IF(DK$4=0,0,IF(COUNTIFS(実績!$W$6:$W$505,DK$3,実績!$AI$6:$AI$505,"&lt;="&amp;$A45,実績!$AJ$6:$AJ$505,"&gt;"&amp;$A45,実績!$AL$6:$AL$505,"○")&gt;0,1,0))</f>
        <v>0</v>
      </c>
      <c r="DL45" s="39" t="n">
        <f aca="false">IF(DL$4=0,0,IF(COUNTIFS(実績!$W$6:$W$505,DL$3,実績!$AI$6:$AI$505,"&lt;="&amp;$A45,実績!$AJ$6:$AJ$505,"&gt;"&amp;$A45,実績!$AL$6:$AL$505,"○")&gt;0,1,0))</f>
        <v>0</v>
      </c>
      <c r="DM45" s="39" t="n">
        <f aca="false">IF(DM$4=0,0,IF(COUNTIFS(実績!$W$6:$W$505,DM$3,実績!$AI$6:$AI$505,"&lt;="&amp;$A45,実績!$AJ$6:$AJ$505,"&gt;"&amp;$A45,実績!$AL$6:$AL$505,"○")&gt;0,1,0))</f>
        <v>0</v>
      </c>
      <c r="DN45" s="39" t="n">
        <f aca="false">IF(DN$4=0,0,IF(COUNTIFS(実績!$W$6:$W$505,DN$3,実績!$AI$6:$AI$505,"&lt;="&amp;$A45,実績!$AJ$6:$AJ$505,"&gt;"&amp;$A45,実績!$AL$6:$AL$505,"○")&gt;0,1,0))</f>
        <v>0</v>
      </c>
      <c r="DO45" s="39" t="n">
        <f aca="false">IF(DO$4=0,0,IF(COUNTIFS(実績!$W$6:$W$505,DO$3,実績!$AI$6:$AI$505,"&lt;="&amp;$A45,実績!$AJ$6:$AJ$505,"&gt;"&amp;$A45,実績!$AL$6:$AL$505,"○")&gt;0,1,0))</f>
        <v>0</v>
      </c>
      <c r="DP45" s="39" t="n">
        <f aca="false">IF(DP$4=0,0,IF(COUNTIFS(実績!$W$6:$W$505,DP$3,実績!$AI$6:$AI$505,"&lt;="&amp;$A45,実績!$AJ$6:$AJ$505,"&gt;"&amp;$A45,実績!$AL$6:$AL$505,"○")&gt;0,1,0))</f>
        <v>0</v>
      </c>
      <c r="DQ45" s="39" t="n">
        <f aca="false">IF(DQ$4=0,0,IF(COUNTIFS(実績!$W$6:$W$505,DQ$3,実績!$AI$6:$AI$505,"&lt;="&amp;$A45,実績!$AJ$6:$AJ$505,"&gt;"&amp;$A45,実績!$AL$6:$AL$505,"○")&gt;0,1,0))</f>
        <v>0</v>
      </c>
      <c r="DR45" s="39" t="n">
        <f aca="false">IF(DR$4=0,0,IF(COUNTIFS(実績!$W$6:$W$505,DR$3,実績!$AI$6:$AI$505,"&lt;="&amp;$A45,実績!$AJ$6:$AJ$505,"&gt;"&amp;$A45,実績!$AL$6:$AL$505,"○")&gt;0,1,0))</f>
        <v>0</v>
      </c>
      <c r="DS45" s="39" t="n">
        <f aca="false">SUM(C45:DR45)</f>
        <v>0</v>
      </c>
    </row>
    <row r="46" customFormat="false" ht="15" hidden="false" customHeight="false" outlineLevel="0" collapsed="false">
      <c r="A46" s="0" t="n">
        <v>200</v>
      </c>
      <c r="B46" s="38" t="n">
        <f aca="false">A46/1440</f>
        <v>0.138888888888889</v>
      </c>
      <c r="C46" s="39" t="n">
        <f aca="false">IF(C$4=0,0,IF(COUNTIFS(実績!$W$6:$W$505,C$3,実績!$AI$6:$AI$505,"&lt;="&amp;$A46,実績!$AJ$6:$AJ$505,"&gt;"&amp;$A46,実績!$AL$6:$AL$505,"○")&gt;0,1,0))</f>
        <v>0</v>
      </c>
      <c r="D46" s="39" t="n">
        <f aca="false">IF(D$4=0,0,IF(COUNTIFS(実績!$W$6:$W$505,D$3,実績!$AI$6:$AI$505,"&lt;="&amp;$A46,実績!$AJ$6:$AJ$505,"&gt;"&amp;$A46,実績!$AL$6:$AL$505,"○")&gt;0,1,0))</f>
        <v>0</v>
      </c>
      <c r="E46" s="39" t="n">
        <f aca="false">IF(E$4=0,0,IF(COUNTIFS(実績!$W$6:$W$505,E$3,実績!$AI$6:$AI$505,"&lt;="&amp;$A46,実績!$AJ$6:$AJ$505,"&gt;"&amp;$A46,実績!$AL$6:$AL$505,"○")&gt;0,1,0))</f>
        <v>0</v>
      </c>
      <c r="F46" s="39" t="n">
        <f aca="false">IF(F$4=0,0,IF(COUNTIFS(実績!$W$6:$W$505,F$3,実績!$AI$6:$AI$505,"&lt;="&amp;$A46,実績!$AJ$6:$AJ$505,"&gt;"&amp;$A46,実績!$AL$6:$AL$505,"○")&gt;0,1,0))</f>
        <v>0</v>
      </c>
      <c r="G46" s="39" t="n">
        <f aca="false">IF(G$4=0,0,IF(COUNTIFS(実績!$W$6:$W$505,G$3,実績!$AI$6:$AI$505,"&lt;="&amp;$A46,実績!$AJ$6:$AJ$505,"&gt;"&amp;$A46,実績!$AL$6:$AL$505,"○")&gt;0,1,0))</f>
        <v>0</v>
      </c>
      <c r="H46" s="39" t="n">
        <f aca="false">IF(H$4=0,0,IF(COUNTIFS(実績!$W$6:$W$505,H$3,実績!$AI$6:$AI$505,"&lt;="&amp;$A46,実績!$AJ$6:$AJ$505,"&gt;"&amp;$A46,実績!$AL$6:$AL$505,"○")&gt;0,1,0))</f>
        <v>0</v>
      </c>
      <c r="I46" s="39" t="n">
        <f aca="false">IF(I$4=0,0,IF(COUNTIFS(実績!$W$6:$W$505,I$3,実績!$AI$6:$AI$505,"&lt;="&amp;$A46,実績!$AJ$6:$AJ$505,"&gt;"&amp;$A46,実績!$AL$6:$AL$505,"○")&gt;0,1,0))</f>
        <v>0</v>
      </c>
      <c r="J46" s="39" t="n">
        <f aca="false">IF(J$4=0,0,IF(COUNTIFS(実績!$W$6:$W$505,J$3,実績!$AI$6:$AI$505,"&lt;="&amp;$A46,実績!$AJ$6:$AJ$505,"&gt;"&amp;$A46,実績!$AL$6:$AL$505,"○")&gt;0,1,0))</f>
        <v>0</v>
      </c>
      <c r="K46" s="39" t="n">
        <f aca="false">IF(K$4=0,0,IF(COUNTIFS(実績!$W$6:$W$505,K$3,実績!$AI$6:$AI$505,"&lt;="&amp;$A46,実績!$AJ$6:$AJ$505,"&gt;"&amp;$A46,実績!$AL$6:$AL$505,"○")&gt;0,1,0))</f>
        <v>0</v>
      </c>
      <c r="L46" s="39" t="n">
        <f aca="false">IF(L$4=0,0,IF(COUNTIFS(実績!$W$6:$W$505,L$3,実績!$AI$6:$AI$505,"&lt;="&amp;$A46,実績!$AJ$6:$AJ$505,"&gt;"&amp;$A46,実績!$AL$6:$AL$505,"○")&gt;0,1,0))</f>
        <v>0</v>
      </c>
      <c r="M46" s="39" t="n">
        <f aca="false">IF(M$4=0,0,IF(COUNTIFS(実績!$W$6:$W$505,M$3,実績!$AI$6:$AI$505,"&lt;="&amp;$A46,実績!$AJ$6:$AJ$505,"&gt;"&amp;$A46,実績!$AL$6:$AL$505,"○")&gt;0,1,0))</f>
        <v>0</v>
      </c>
      <c r="N46" s="39" t="n">
        <f aca="false">IF(N$4=0,0,IF(COUNTIFS(実績!$W$6:$W$505,N$3,実績!$AI$6:$AI$505,"&lt;="&amp;$A46,実績!$AJ$6:$AJ$505,"&gt;"&amp;$A46,実績!$AL$6:$AL$505,"○")&gt;0,1,0))</f>
        <v>0</v>
      </c>
      <c r="O46" s="39" t="n">
        <f aca="false">IF(O$4=0,0,IF(COUNTIFS(実績!$W$6:$W$505,O$3,実績!$AI$6:$AI$505,"&lt;="&amp;$A46,実績!$AJ$6:$AJ$505,"&gt;"&amp;$A46,実績!$AL$6:$AL$505,"○")&gt;0,1,0))</f>
        <v>0</v>
      </c>
      <c r="P46" s="39" t="n">
        <f aca="false">IF(P$4=0,0,IF(COUNTIFS(実績!$W$6:$W$505,P$3,実績!$AI$6:$AI$505,"&lt;="&amp;$A46,実績!$AJ$6:$AJ$505,"&gt;"&amp;$A46,実績!$AL$6:$AL$505,"○")&gt;0,1,0))</f>
        <v>0</v>
      </c>
      <c r="Q46" s="39" t="n">
        <f aca="false">IF(Q$4=0,0,IF(COUNTIFS(実績!$W$6:$W$505,Q$3,実績!$AI$6:$AI$505,"&lt;="&amp;$A46,実績!$AJ$6:$AJ$505,"&gt;"&amp;$A46,実績!$AL$6:$AL$505,"○")&gt;0,1,0))</f>
        <v>0</v>
      </c>
      <c r="R46" s="39" t="n">
        <f aca="false">IF(R$4=0,0,IF(COUNTIFS(実績!$W$6:$W$505,R$3,実績!$AI$6:$AI$505,"&lt;="&amp;$A46,実績!$AJ$6:$AJ$505,"&gt;"&amp;$A46,実績!$AL$6:$AL$505,"○")&gt;0,1,0))</f>
        <v>0</v>
      </c>
      <c r="S46" s="39" t="n">
        <f aca="false">IF(S$4=0,0,IF(COUNTIFS(実績!$W$6:$W$505,S$3,実績!$AI$6:$AI$505,"&lt;="&amp;$A46,実績!$AJ$6:$AJ$505,"&gt;"&amp;$A46,実績!$AL$6:$AL$505,"○")&gt;0,1,0))</f>
        <v>0</v>
      </c>
      <c r="T46" s="39" t="n">
        <f aca="false">IF(T$4=0,0,IF(COUNTIFS(実績!$W$6:$W$505,T$3,実績!$AI$6:$AI$505,"&lt;="&amp;$A46,実績!$AJ$6:$AJ$505,"&gt;"&amp;$A46,実績!$AL$6:$AL$505,"○")&gt;0,1,0))</f>
        <v>0</v>
      </c>
      <c r="U46" s="39" t="n">
        <f aca="false">IF(U$4=0,0,IF(COUNTIFS(実績!$W$6:$W$505,U$3,実績!$AI$6:$AI$505,"&lt;="&amp;$A46,実績!$AJ$6:$AJ$505,"&gt;"&amp;$A46,実績!$AL$6:$AL$505,"○")&gt;0,1,0))</f>
        <v>0</v>
      </c>
      <c r="V46" s="39" t="n">
        <f aca="false">IF(V$4=0,0,IF(COUNTIFS(実績!$W$6:$W$505,V$3,実績!$AI$6:$AI$505,"&lt;="&amp;$A46,実績!$AJ$6:$AJ$505,"&gt;"&amp;$A46,実績!$AL$6:$AL$505,"○")&gt;0,1,0))</f>
        <v>0</v>
      </c>
      <c r="W46" s="39" t="n">
        <f aca="false">IF(W$4=0,0,IF(COUNTIFS(実績!$W$6:$W$505,W$3,実績!$AI$6:$AI$505,"&lt;="&amp;$A46,実績!$AJ$6:$AJ$505,"&gt;"&amp;$A46,実績!$AL$6:$AL$505,"○")&gt;0,1,0))</f>
        <v>0</v>
      </c>
      <c r="X46" s="39" t="n">
        <f aca="false">IF(X$4=0,0,IF(COUNTIFS(実績!$W$6:$W$505,X$3,実績!$AI$6:$AI$505,"&lt;="&amp;$A46,実績!$AJ$6:$AJ$505,"&gt;"&amp;$A46,実績!$AL$6:$AL$505,"○")&gt;0,1,0))</f>
        <v>0</v>
      </c>
      <c r="Y46" s="39" t="n">
        <f aca="false">IF(Y$4=0,0,IF(COUNTIFS(実績!$W$6:$W$505,Y$3,実績!$AI$6:$AI$505,"&lt;="&amp;$A46,実績!$AJ$6:$AJ$505,"&gt;"&amp;$A46,実績!$AL$6:$AL$505,"○")&gt;0,1,0))</f>
        <v>0</v>
      </c>
      <c r="Z46" s="39" t="n">
        <f aca="false">IF(Z$4=0,0,IF(COUNTIFS(実績!$W$6:$W$505,Z$3,実績!$AI$6:$AI$505,"&lt;="&amp;$A46,実績!$AJ$6:$AJ$505,"&gt;"&amp;$A46,実績!$AL$6:$AL$505,"○")&gt;0,1,0))</f>
        <v>0</v>
      </c>
      <c r="AA46" s="39" t="n">
        <f aca="false">IF(AA$4=0,0,IF(COUNTIFS(実績!$W$6:$W$505,AA$3,実績!$AI$6:$AI$505,"&lt;="&amp;$A46,実績!$AJ$6:$AJ$505,"&gt;"&amp;$A46,実績!$AL$6:$AL$505,"○")&gt;0,1,0))</f>
        <v>0</v>
      </c>
      <c r="AB46" s="39" t="n">
        <f aca="false">IF(AB$4=0,0,IF(COUNTIFS(実績!$W$6:$W$505,AB$3,実績!$AI$6:$AI$505,"&lt;="&amp;$A46,実績!$AJ$6:$AJ$505,"&gt;"&amp;$A46,実績!$AL$6:$AL$505,"○")&gt;0,1,0))</f>
        <v>0</v>
      </c>
      <c r="AC46" s="39" t="n">
        <f aca="false">IF(AC$4=0,0,IF(COUNTIFS(実績!$W$6:$W$505,AC$3,実績!$AI$6:$AI$505,"&lt;="&amp;$A46,実績!$AJ$6:$AJ$505,"&gt;"&amp;$A46,実績!$AL$6:$AL$505,"○")&gt;0,1,0))</f>
        <v>0</v>
      </c>
      <c r="AD46" s="39" t="n">
        <f aca="false">IF(AD$4=0,0,IF(COUNTIFS(実績!$W$6:$W$505,AD$3,実績!$AI$6:$AI$505,"&lt;="&amp;$A46,実績!$AJ$6:$AJ$505,"&gt;"&amp;$A46,実績!$AL$6:$AL$505,"○")&gt;0,1,0))</f>
        <v>0</v>
      </c>
      <c r="AE46" s="39" t="n">
        <f aca="false">IF(AE$4=0,0,IF(COUNTIFS(実績!$W$6:$W$505,AE$3,実績!$AI$6:$AI$505,"&lt;="&amp;$A46,実績!$AJ$6:$AJ$505,"&gt;"&amp;$A46,実績!$AL$6:$AL$505,"○")&gt;0,1,0))</f>
        <v>0</v>
      </c>
      <c r="AF46" s="39" t="n">
        <f aca="false">IF(AF$4=0,0,IF(COUNTIFS(実績!$W$6:$W$505,AF$3,実績!$AI$6:$AI$505,"&lt;="&amp;$A46,実績!$AJ$6:$AJ$505,"&gt;"&amp;$A46,実績!$AL$6:$AL$505,"○")&gt;0,1,0))</f>
        <v>0</v>
      </c>
      <c r="AG46" s="39" t="n">
        <f aca="false">IF(AG$4=0,0,IF(COUNTIFS(実績!$W$6:$W$505,AG$3,実績!$AI$6:$AI$505,"&lt;="&amp;$A46,実績!$AJ$6:$AJ$505,"&gt;"&amp;$A46,実績!$AL$6:$AL$505,"○")&gt;0,1,0))</f>
        <v>0</v>
      </c>
      <c r="AH46" s="39" t="n">
        <f aca="false">IF(AH$4=0,0,IF(COUNTIFS(実績!$W$6:$W$505,AH$3,実績!$AI$6:$AI$505,"&lt;="&amp;$A46,実績!$AJ$6:$AJ$505,"&gt;"&amp;$A46,実績!$AL$6:$AL$505,"○")&gt;0,1,0))</f>
        <v>0</v>
      </c>
      <c r="AI46" s="39" t="n">
        <f aca="false">IF(AI$4=0,0,IF(COUNTIFS(実績!$W$6:$W$505,AI$3,実績!$AI$6:$AI$505,"&lt;="&amp;$A46,実績!$AJ$6:$AJ$505,"&gt;"&amp;$A46,実績!$AL$6:$AL$505,"○")&gt;0,1,0))</f>
        <v>0</v>
      </c>
      <c r="AJ46" s="39" t="n">
        <f aca="false">IF(AJ$4=0,0,IF(COUNTIFS(実績!$W$6:$W$505,AJ$3,実績!$AI$6:$AI$505,"&lt;="&amp;$A46,実績!$AJ$6:$AJ$505,"&gt;"&amp;$A46,実績!$AL$6:$AL$505,"○")&gt;0,1,0))</f>
        <v>0</v>
      </c>
      <c r="AK46" s="39" t="n">
        <f aca="false">IF(AK$4=0,0,IF(COUNTIFS(実績!$W$6:$W$505,AK$3,実績!$AI$6:$AI$505,"&lt;="&amp;$A46,実績!$AJ$6:$AJ$505,"&gt;"&amp;$A46,実績!$AL$6:$AL$505,"○")&gt;0,1,0))</f>
        <v>0</v>
      </c>
      <c r="AL46" s="39" t="n">
        <f aca="false">IF(AL$4=0,0,IF(COUNTIFS(実績!$W$6:$W$505,AL$3,実績!$AI$6:$AI$505,"&lt;="&amp;$A46,実績!$AJ$6:$AJ$505,"&gt;"&amp;$A46,実績!$AL$6:$AL$505,"○")&gt;0,1,0))</f>
        <v>0</v>
      </c>
      <c r="AM46" s="39" t="n">
        <f aca="false">IF(AM$4=0,0,IF(COUNTIFS(実績!$W$6:$W$505,AM$3,実績!$AI$6:$AI$505,"&lt;="&amp;$A46,実績!$AJ$6:$AJ$505,"&gt;"&amp;$A46,実績!$AL$6:$AL$505,"○")&gt;0,1,0))</f>
        <v>0</v>
      </c>
      <c r="AN46" s="39" t="n">
        <f aca="false">IF(AN$4=0,0,IF(COUNTIFS(実績!$W$6:$W$505,AN$3,実績!$AI$6:$AI$505,"&lt;="&amp;$A46,実績!$AJ$6:$AJ$505,"&gt;"&amp;$A46,実績!$AL$6:$AL$505,"○")&gt;0,1,0))</f>
        <v>0</v>
      </c>
      <c r="AO46" s="39" t="n">
        <f aca="false">IF(AO$4=0,0,IF(COUNTIFS(実績!$W$6:$W$505,AO$3,実績!$AI$6:$AI$505,"&lt;="&amp;$A46,実績!$AJ$6:$AJ$505,"&gt;"&amp;$A46,実績!$AL$6:$AL$505,"○")&gt;0,1,0))</f>
        <v>0</v>
      </c>
      <c r="AP46" s="39" t="n">
        <f aca="false">IF(AP$4=0,0,IF(COUNTIFS(実績!$W$6:$W$505,AP$3,実績!$AI$6:$AI$505,"&lt;="&amp;$A46,実績!$AJ$6:$AJ$505,"&gt;"&amp;$A46,実績!$AL$6:$AL$505,"○")&gt;0,1,0))</f>
        <v>0</v>
      </c>
      <c r="AQ46" s="39" t="n">
        <f aca="false">IF(AQ$4=0,0,IF(COUNTIFS(実績!$W$6:$W$505,AQ$3,実績!$AI$6:$AI$505,"&lt;="&amp;$A46,実績!$AJ$6:$AJ$505,"&gt;"&amp;$A46,実績!$AL$6:$AL$505,"○")&gt;0,1,0))</f>
        <v>0</v>
      </c>
      <c r="AR46" s="39" t="n">
        <f aca="false">IF(AR$4=0,0,IF(COUNTIFS(実績!$W$6:$W$505,AR$3,実績!$AI$6:$AI$505,"&lt;="&amp;$A46,実績!$AJ$6:$AJ$505,"&gt;"&amp;$A46,実績!$AL$6:$AL$505,"○")&gt;0,1,0))</f>
        <v>0</v>
      </c>
      <c r="AS46" s="39" t="n">
        <f aca="false">IF(AS$4=0,0,IF(COUNTIFS(実績!$W$6:$W$505,AS$3,実績!$AI$6:$AI$505,"&lt;="&amp;$A46,実績!$AJ$6:$AJ$505,"&gt;"&amp;$A46,実績!$AL$6:$AL$505,"○")&gt;0,1,0))</f>
        <v>0</v>
      </c>
      <c r="AT46" s="39" t="n">
        <f aca="false">IF(AT$4=0,0,IF(COUNTIFS(実績!$W$6:$W$505,AT$3,実績!$AI$6:$AI$505,"&lt;="&amp;$A46,実績!$AJ$6:$AJ$505,"&gt;"&amp;$A46,実績!$AL$6:$AL$505,"○")&gt;0,1,0))</f>
        <v>0</v>
      </c>
      <c r="AU46" s="39" t="n">
        <f aca="false">IF(AU$4=0,0,IF(COUNTIFS(実績!$W$6:$W$505,AU$3,実績!$AI$6:$AI$505,"&lt;="&amp;$A46,実績!$AJ$6:$AJ$505,"&gt;"&amp;$A46,実績!$AL$6:$AL$505,"○")&gt;0,1,0))</f>
        <v>0</v>
      </c>
      <c r="AV46" s="39" t="n">
        <f aca="false">IF(AV$4=0,0,IF(COUNTIFS(実績!$W$6:$W$505,AV$3,実績!$AI$6:$AI$505,"&lt;="&amp;$A46,実績!$AJ$6:$AJ$505,"&gt;"&amp;$A46,実績!$AL$6:$AL$505,"○")&gt;0,1,0))</f>
        <v>0</v>
      </c>
      <c r="AW46" s="39" t="n">
        <f aca="false">IF(AW$4=0,0,IF(COUNTIFS(実績!$W$6:$W$505,AW$3,実績!$AI$6:$AI$505,"&lt;="&amp;$A46,実績!$AJ$6:$AJ$505,"&gt;"&amp;$A46,実績!$AL$6:$AL$505,"○")&gt;0,1,0))</f>
        <v>0</v>
      </c>
      <c r="AX46" s="39" t="n">
        <f aca="false">IF(AX$4=0,0,IF(COUNTIFS(実績!$W$6:$W$505,AX$3,実績!$AI$6:$AI$505,"&lt;="&amp;$A46,実績!$AJ$6:$AJ$505,"&gt;"&amp;$A46,実績!$AL$6:$AL$505,"○")&gt;0,1,0))</f>
        <v>0</v>
      </c>
      <c r="AY46" s="39" t="n">
        <f aca="false">IF(AY$4=0,0,IF(COUNTIFS(実績!$W$6:$W$505,AY$3,実績!$AI$6:$AI$505,"&lt;="&amp;$A46,実績!$AJ$6:$AJ$505,"&gt;"&amp;$A46,実績!$AL$6:$AL$505,"○")&gt;0,1,0))</f>
        <v>0</v>
      </c>
      <c r="AZ46" s="39" t="n">
        <f aca="false">IF(AZ$4=0,0,IF(COUNTIFS(実績!$W$6:$W$505,AZ$3,実績!$AI$6:$AI$505,"&lt;="&amp;$A46,実績!$AJ$6:$AJ$505,"&gt;"&amp;$A46,実績!$AL$6:$AL$505,"○")&gt;0,1,0))</f>
        <v>0</v>
      </c>
      <c r="BA46" s="39" t="n">
        <f aca="false">IF(BA$4=0,0,IF(COUNTIFS(実績!$W$6:$W$505,BA$3,実績!$AI$6:$AI$505,"&lt;="&amp;$A46,実績!$AJ$6:$AJ$505,"&gt;"&amp;$A46,実績!$AL$6:$AL$505,"○")&gt;0,1,0))</f>
        <v>0</v>
      </c>
      <c r="BB46" s="39" t="n">
        <f aca="false">IF(BB$4=0,0,IF(COUNTIFS(実績!$W$6:$W$505,BB$3,実績!$AI$6:$AI$505,"&lt;="&amp;$A46,実績!$AJ$6:$AJ$505,"&gt;"&amp;$A46,実績!$AL$6:$AL$505,"○")&gt;0,1,0))</f>
        <v>0</v>
      </c>
      <c r="BC46" s="39" t="n">
        <f aca="false">IF(BC$4=0,0,IF(COUNTIFS(実績!$W$6:$W$505,BC$3,実績!$AI$6:$AI$505,"&lt;="&amp;$A46,実績!$AJ$6:$AJ$505,"&gt;"&amp;$A46,実績!$AL$6:$AL$505,"○")&gt;0,1,0))</f>
        <v>0</v>
      </c>
      <c r="BD46" s="39" t="n">
        <f aca="false">IF(BD$4=0,0,IF(COUNTIFS(実績!$W$6:$W$505,BD$3,実績!$AI$6:$AI$505,"&lt;="&amp;$A46,実績!$AJ$6:$AJ$505,"&gt;"&amp;$A46,実績!$AL$6:$AL$505,"○")&gt;0,1,0))</f>
        <v>0</v>
      </c>
      <c r="BE46" s="39" t="n">
        <f aca="false">IF(BE$4=0,0,IF(COUNTIFS(実績!$W$6:$W$505,BE$3,実績!$AI$6:$AI$505,"&lt;="&amp;$A46,実績!$AJ$6:$AJ$505,"&gt;"&amp;$A46,実績!$AL$6:$AL$505,"○")&gt;0,1,0))</f>
        <v>0</v>
      </c>
      <c r="BF46" s="39" t="n">
        <f aca="false">IF(BF$4=0,0,IF(COUNTIFS(実績!$W$6:$W$505,BF$3,実績!$AI$6:$AI$505,"&lt;="&amp;$A46,実績!$AJ$6:$AJ$505,"&gt;"&amp;$A46,実績!$AL$6:$AL$505,"○")&gt;0,1,0))</f>
        <v>0</v>
      </c>
      <c r="BG46" s="39" t="n">
        <f aca="false">IF(BG$4=0,0,IF(COUNTIFS(実績!$W$6:$W$505,BG$3,実績!$AI$6:$AI$505,"&lt;="&amp;$A46,実績!$AJ$6:$AJ$505,"&gt;"&amp;$A46,実績!$AL$6:$AL$505,"○")&gt;0,1,0))</f>
        <v>0</v>
      </c>
      <c r="BH46" s="39" t="n">
        <f aca="false">IF(BH$4=0,0,IF(COUNTIFS(実績!$W$6:$W$505,BH$3,実績!$AI$6:$AI$505,"&lt;="&amp;$A46,実績!$AJ$6:$AJ$505,"&gt;"&amp;$A46,実績!$AL$6:$AL$505,"○")&gt;0,1,0))</f>
        <v>0</v>
      </c>
      <c r="BI46" s="39" t="n">
        <f aca="false">IF(BI$4=0,0,IF(COUNTIFS(実績!$W$6:$W$505,BI$3,実績!$AI$6:$AI$505,"&lt;="&amp;$A46,実績!$AJ$6:$AJ$505,"&gt;"&amp;$A46,実績!$AL$6:$AL$505,"○")&gt;0,1,0))</f>
        <v>0</v>
      </c>
      <c r="BJ46" s="39" t="n">
        <f aca="false">IF(BJ$4=0,0,IF(COUNTIFS(実績!$W$6:$W$505,BJ$3,実績!$AI$6:$AI$505,"&lt;="&amp;$A46,実績!$AJ$6:$AJ$505,"&gt;"&amp;$A46,実績!$AL$6:$AL$505,"○")&gt;0,1,0))</f>
        <v>0</v>
      </c>
      <c r="BK46" s="39" t="n">
        <f aca="false">IF(BK$4=0,0,IF(COUNTIFS(実績!$W$6:$W$505,BK$3,実績!$AI$6:$AI$505,"&lt;="&amp;$A46,実績!$AJ$6:$AJ$505,"&gt;"&amp;$A46,実績!$AL$6:$AL$505,"○")&gt;0,1,0))</f>
        <v>0</v>
      </c>
      <c r="BL46" s="39" t="n">
        <f aca="false">IF(BL$4=0,0,IF(COUNTIFS(実績!$W$6:$W$505,BL$3,実績!$AI$6:$AI$505,"&lt;="&amp;$A46,実績!$AJ$6:$AJ$505,"&gt;"&amp;$A46,実績!$AL$6:$AL$505,"○")&gt;0,1,0))</f>
        <v>0</v>
      </c>
      <c r="BM46" s="39" t="n">
        <f aca="false">IF(BM$4=0,0,IF(COUNTIFS(実績!$W$6:$W$505,BM$3,実績!$AI$6:$AI$505,"&lt;="&amp;$A46,実績!$AJ$6:$AJ$505,"&gt;"&amp;$A46,実績!$AL$6:$AL$505,"○")&gt;0,1,0))</f>
        <v>0</v>
      </c>
      <c r="BN46" s="39" t="n">
        <f aca="false">IF(BN$4=0,0,IF(COUNTIFS(実績!$W$6:$W$505,BN$3,実績!$AI$6:$AI$505,"&lt;="&amp;$A46,実績!$AJ$6:$AJ$505,"&gt;"&amp;$A46,実績!$AL$6:$AL$505,"○")&gt;0,1,0))</f>
        <v>0</v>
      </c>
      <c r="BO46" s="39" t="n">
        <f aca="false">IF(BO$4=0,0,IF(COUNTIFS(実績!$W$6:$W$505,BO$3,実績!$AI$6:$AI$505,"&lt;="&amp;$A46,実績!$AJ$6:$AJ$505,"&gt;"&amp;$A46,実績!$AL$6:$AL$505,"○")&gt;0,1,0))</f>
        <v>0</v>
      </c>
      <c r="BP46" s="39" t="n">
        <f aca="false">IF(BP$4=0,0,IF(COUNTIFS(実績!$W$6:$W$505,BP$3,実績!$AI$6:$AI$505,"&lt;="&amp;$A46,実績!$AJ$6:$AJ$505,"&gt;"&amp;$A46,実績!$AL$6:$AL$505,"○")&gt;0,1,0))</f>
        <v>0</v>
      </c>
      <c r="BQ46" s="39" t="n">
        <f aca="false">IF(BQ$4=0,0,IF(COUNTIFS(実績!$W$6:$W$505,BQ$3,実績!$AI$6:$AI$505,"&lt;="&amp;$A46,実績!$AJ$6:$AJ$505,"&gt;"&amp;$A46,実績!$AL$6:$AL$505,"○")&gt;0,1,0))</f>
        <v>0</v>
      </c>
      <c r="BR46" s="39" t="n">
        <f aca="false">IF(BR$4=0,0,IF(COUNTIFS(実績!$W$6:$W$505,BR$3,実績!$AI$6:$AI$505,"&lt;="&amp;$A46,実績!$AJ$6:$AJ$505,"&gt;"&amp;$A46,実績!$AL$6:$AL$505,"○")&gt;0,1,0))</f>
        <v>0</v>
      </c>
      <c r="BS46" s="39" t="n">
        <f aca="false">IF(BS$4=0,0,IF(COUNTIFS(実績!$W$6:$W$505,BS$3,実績!$AI$6:$AI$505,"&lt;="&amp;$A46,実績!$AJ$6:$AJ$505,"&gt;"&amp;$A46,実績!$AL$6:$AL$505,"○")&gt;0,1,0))</f>
        <v>0</v>
      </c>
      <c r="BT46" s="39" t="n">
        <f aca="false">IF(BT$4=0,0,IF(COUNTIFS(実績!$W$6:$W$505,BT$3,実績!$AI$6:$AI$505,"&lt;="&amp;$A46,実績!$AJ$6:$AJ$505,"&gt;"&amp;$A46,実績!$AL$6:$AL$505,"○")&gt;0,1,0))</f>
        <v>0</v>
      </c>
      <c r="BU46" s="39" t="n">
        <f aca="false">IF(BU$4=0,0,IF(COUNTIFS(実績!$W$6:$W$505,BU$3,実績!$AI$6:$AI$505,"&lt;="&amp;$A46,実績!$AJ$6:$AJ$505,"&gt;"&amp;$A46,実績!$AL$6:$AL$505,"○")&gt;0,1,0))</f>
        <v>0</v>
      </c>
      <c r="BV46" s="39" t="n">
        <f aca="false">IF(BV$4=0,0,IF(COUNTIFS(実績!$W$6:$W$505,BV$3,実績!$AI$6:$AI$505,"&lt;="&amp;$A46,実績!$AJ$6:$AJ$505,"&gt;"&amp;$A46,実績!$AL$6:$AL$505,"○")&gt;0,1,0))</f>
        <v>0</v>
      </c>
      <c r="BW46" s="39" t="n">
        <f aca="false">IF(BW$4=0,0,IF(COUNTIFS(実績!$W$6:$W$505,BW$3,実績!$AI$6:$AI$505,"&lt;="&amp;$A46,実績!$AJ$6:$AJ$505,"&gt;"&amp;$A46,実績!$AL$6:$AL$505,"○")&gt;0,1,0))</f>
        <v>0</v>
      </c>
      <c r="BX46" s="39" t="n">
        <f aca="false">IF(BX$4=0,0,IF(COUNTIFS(実績!$W$6:$W$505,BX$3,実績!$AI$6:$AI$505,"&lt;="&amp;$A46,実績!$AJ$6:$AJ$505,"&gt;"&amp;$A46,実績!$AL$6:$AL$505,"○")&gt;0,1,0))</f>
        <v>0</v>
      </c>
      <c r="BY46" s="39" t="n">
        <f aca="false">IF(BY$4=0,0,IF(COUNTIFS(実績!$W$6:$W$505,BY$3,実績!$AI$6:$AI$505,"&lt;="&amp;$A46,実績!$AJ$6:$AJ$505,"&gt;"&amp;$A46,実績!$AL$6:$AL$505,"○")&gt;0,1,0))</f>
        <v>0</v>
      </c>
      <c r="BZ46" s="39" t="n">
        <f aca="false">IF(BZ$4=0,0,IF(COUNTIFS(実績!$W$6:$W$505,BZ$3,実績!$AI$6:$AI$505,"&lt;="&amp;$A46,実績!$AJ$6:$AJ$505,"&gt;"&amp;$A46,実績!$AL$6:$AL$505,"○")&gt;0,1,0))</f>
        <v>0</v>
      </c>
      <c r="CA46" s="39" t="n">
        <f aca="false">IF(CA$4=0,0,IF(COUNTIFS(実績!$W$6:$W$505,CA$3,実績!$AI$6:$AI$505,"&lt;="&amp;$A46,実績!$AJ$6:$AJ$505,"&gt;"&amp;$A46,実績!$AL$6:$AL$505,"○")&gt;0,1,0))</f>
        <v>0</v>
      </c>
      <c r="CB46" s="39" t="n">
        <f aca="false">IF(CB$4=0,0,IF(COUNTIFS(実績!$W$6:$W$505,CB$3,実績!$AI$6:$AI$505,"&lt;="&amp;$A46,実績!$AJ$6:$AJ$505,"&gt;"&amp;$A46,実績!$AL$6:$AL$505,"○")&gt;0,1,0))</f>
        <v>0</v>
      </c>
      <c r="CC46" s="39" t="n">
        <f aca="false">IF(CC$4=0,0,IF(COUNTIFS(実績!$W$6:$W$505,CC$3,実績!$AI$6:$AI$505,"&lt;="&amp;$A46,実績!$AJ$6:$AJ$505,"&gt;"&amp;$A46,実績!$AL$6:$AL$505,"○")&gt;0,1,0))</f>
        <v>0</v>
      </c>
      <c r="CD46" s="39" t="n">
        <f aca="false">IF(CD$4=0,0,IF(COUNTIFS(実績!$W$6:$W$505,CD$3,実績!$AI$6:$AI$505,"&lt;="&amp;$A46,実績!$AJ$6:$AJ$505,"&gt;"&amp;$A46,実績!$AL$6:$AL$505,"○")&gt;0,1,0))</f>
        <v>0</v>
      </c>
      <c r="CE46" s="39" t="n">
        <f aca="false">IF(CE$4=0,0,IF(COUNTIFS(実績!$W$6:$W$505,CE$3,実績!$AI$6:$AI$505,"&lt;="&amp;$A46,実績!$AJ$6:$AJ$505,"&gt;"&amp;$A46,実績!$AL$6:$AL$505,"○")&gt;0,1,0))</f>
        <v>0</v>
      </c>
      <c r="CF46" s="39" t="n">
        <f aca="false">IF(CF$4=0,0,IF(COUNTIFS(実績!$W$6:$W$505,CF$3,実績!$AI$6:$AI$505,"&lt;="&amp;$A46,実績!$AJ$6:$AJ$505,"&gt;"&amp;$A46,実績!$AL$6:$AL$505,"○")&gt;0,1,0))</f>
        <v>0</v>
      </c>
      <c r="CG46" s="39" t="n">
        <f aca="false">IF(CG$4=0,0,IF(COUNTIFS(実績!$W$6:$W$505,CG$3,実績!$AI$6:$AI$505,"&lt;="&amp;$A46,実績!$AJ$6:$AJ$505,"&gt;"&amp;$A46,実績!$AL$6:$AL$505,"○")&gt;0,1,0))</f>
        <v>0</v>
      </c>
      <c r="CH46" s="39" t="n">
        <f aca="false">IF(CH$4=0,0,IF(COUNTIFS(実績!$W$6:$W$505,CH$3,実績!$AI$6:$AI$505,"&lt;="&amp;$A46,実績!$AJ$6:$AJ$505,"&gt;"&amp;$A46,実績!$AL$6:$AL$505,"○")&gt;0,1,0))</f>
        <v>0</v>
      </c>
      <c r="CI46" s="39" t="n">
        <f aca="false">IF(CI$4=0,0,IF(COUNTIFS(実績!$W$6:$W$505,CI$3,実績!$AI$6:$AI$505,"&lt;="&amp;$A46,実績!$AJ$6:$AJ$505,"&gt;"&amp;$A46,実績!$AL$6:$AL$505,"○")&gt;0,1,0))</f>
        <v>0</v>
      </c>
      <c r="CJ46" s="39" t="n">
        <f aca="false">IF(CJ$4=0,0,IF(COUNTIFS(実績!$W$6:$W$505,CJ$3,実績!$AI$6:$AI$505,"&lt;="&amp;$A46,実績!$AJ$6:$AJ$505,"&gt;"&amp;$A46,実績!$AL$6:$AL$505,"○")&gt;0,1,0))</f>
        <v>0</v>
      </c>
      <c r="CK46" s="39" t="n">
        <f aca="false">IF(CK$4=0,0,IF(COUNTIFS(実績!$W$6:$W$505,CK$3,実績!$AI$6:$AI$505,"&lt;="&amp;$A46,実績!$AJ$6:$AJ$505,"&gt;"&amp;$A46,実績!$AL$6:$AL$505,"○")&gt;0,1,0))</f>
        <v>0</v>
      </c>
      <c r="CL46" s="39" t="n">
        <f aca="false">IF(CL$4=0,0,IF(COUNTIFS(実績!$W$6:$W$505,CL$3,実績!$AI$6:$AI$505,"&lt;="&amp;$A46,実績!$AJ$6:$AJ$505,"&gt;"&amp;$A46,実績!$AL$6:$AL$505,"○")&gt;0,1,0))</f>
        <v>0</v>
      </c>
      <c r="CM46" s="39" t="n">
        <f aca="false">IF(CM$4=0,0,IF(COUNTIFS(実績!$W$6:$W$505,CM$3,実績!$AI$6:$AI$505,"&lt;="&amp;$A46,実績!$AJ$6:$AJ$505,"&gt;"&amp;$A46,実績!$AL$6:$AL$505,"○")&gt;0,1,0))</f>
        <v>0</v>
      </c>
      <c r="CN46" s="39" t="n">
        <f aca="false">IF(CN$4=0,0,IF(COUNTIFS(実績!$W$6:$W$505,CN$3,実績!$AI$6:$AI$505,"&lt;="&amp;$A46,実績!$AJ$6:$AJ$505,"&gt;"&amp;$A46,実績!$AL$6:$AL$505,"○")&gt;0,1,0))</f>
        <v>0</v>
      </c>
      <c r="CO46" s="39" t="n">
        <f aca="false">IF(CO$4=0,0,IF(COUNTIFS(実績!$W$6:$W$505,CO$3,実績!$AI$6:$AI$505,"&lt;="&amp;$A46,実績!$AJ$6:$AJ$505,"&gt;"&amp;$A46,実績!$AL$6:$AL$505,"○")&gt;0,1,0))</f>
        <v>0</v>
      </c>
      <c r="CP46" s="39" t="n">
        <f aca="false">IF(CP$4=0,0,IF(COUNTIFS(実績!$W$6:$W$505,CP$3,実績!$AI$6:$AI$505,"&lt;="&amp;$A46,実績!$AJ$6:$AJ$505,"&gt;"&amp;$A46,実績!$AL$6:$AL$505,"○")&gt;0,1,0))</f>
        <v>0</v>
      </c>
      <c r="CQ46" s="39" t="n">
        <f aca="false">IF(CQ$4=0,0,IF(COUNTIFS(実績!$W$6:$W$505,CQ$3,実績!$AI$6:$AI$505,"&lt;="&amp;$A46,実績!$AJ$6:$AJ$505,"&gt;"&amp;$A46,実績!$AL$6:$AL$505,"○")&gt;0,1,0))</f>
        <v>0</v>
      </c>
      <c r="CR46" s="39" t="n">
        <f aca="false">IF(CR$4=0,0,IF(COUNTIFS(実績!$W$6:$W$505,CR$3,実績!$AI$6:$AI$505,"&lt;="&amp;$A46,実績!$AJ$6:$AJ$505,"&gt;"&amp;$A46,実績!$AL$6:$AL$505,"○")&gt;0,1,0))</f>
        <v>0</v>
      </c>
      <c r="CS46" s="39" t="n">
        <f aca="false">IF(CS$4=0,0,IF(COUNTIFS(実績!$W$6:$W$505,CS$3,実績!$AI$6:$AI$505,"&lt;="&amp;$A46,実績!$AJ$6:$AJ$505,"&gt;"&amp;$A46,実績!$AL$6:$AL$505,"○")&gt;0,1,0))</f>
        <v>0</v>
      </c>
      <c r="CT46" s="39" t="n">
        <f aca="false">IF(CT$4=0,0,IF(COUNTIFS(実績!$W$6:$W$505,CT$3,実績!$AI$6:$AI$505,"&lt;="&amp;$A46,実績!$AJ$6:$AJ$505,"&gt;"&amp;$A46,実績!$AL$6:$AL$505,"○")&gt;0,1,0))</f>
        <v>0</v>
      </c>
      <c r="CU46" s="39" t="n">
        <f aca="false">IF(CU$4=0,0,IF(COUNTIFS(実績!$W$6:$W$505,CU$3,実績!$AI$6:$AI$505,"&lt;="&amp;$A46,実績!$AJ$6:$AJ$505,"&gt;"&amp;$A46,実績!$AL$6:$AL$505,"○")&gt;0,1,0))</f>
        <v>0</v>
      </c>
      <c r="CV46" s="39" t="n">
        <f aca="false">IF(CV$4=0,0,IF(COUNTIFS(実績!$W$6:$W$505,CV$3,実績!$AI$6:$AI$505,"&lt;="&amp;$A46,実績!$AJ$6:$AJ$505,"&gt;"&amp;$A46,実績!$AL$6:$AL$505,"○")&gt;0,1,0))</f>
        <v>0</v>
      </c>
      <c r="CW46" s="39" t="n">
        <f aca="false">IF(CW$4=0,0,IF(COUNTIFS(実績!$W$6:$W$505,CW$3,実績!$AI$6:$AI$505,"&lt;="&amp;$A46,実績!$AJ$6:$AJ$505,"&gt;"&amp;$A46,実績!$AL$6:$AL$505,"○")&gt;0,1,0))</f>
        <v>0</v>
      </c>
      <c r="CX46" s="39" t="n">
        <f aca="false">IF(CX$4=0,0,IF(COUNTIFS(実績!$W$6:$W$505,CX$3,実績!$AI$6:$AI$505,"&lt;="&amp;$A46,実績!$AJ$6:$AJ$505,"&gt;"&amp;$A46,実績!$AL$6:$AL$505,"○")&gt;0,1,0))</f>
        <v>0</v>
      </c>
      <c r="CY46" s="39" t="n">
        <f aca="false">IF(CY$4=0,0,IF(COUNTIFS(実績!$W$6:$W$505,CY$3,実績!$AI$6:$AI$505,"&lt;="&amp;$A46,実績!$AJ$6:$AJ$505,"&gt;"&amp;$A46,実績!$AL$6:$AL$505,"○")&gt;0,1,0))</f>
        <v>0</v>
      </c>
      <c r="CZ46" s="39" t="n">
        <f aca="false">IF(CZ$4=0,0,IF(COUNTIFS(実績!$W$6:$W$505,CZ$3,実績!$AI$6:$AI$505,"&lt;="&amp;$A46,実績!$AJ$6:$AJ$505,"&gt;"&amp;$A46,実績!$AL$6:$AL$505,"○")&gt;0,1,0))</f>
        <v>0</v>
      </c>
      <c r="DA46" s="39" t="n">
        <f aca="false">IF(DA$4=0,0,IF(COUNTIFS(実績!$W$6:$W$505,DA$3,実績!$AI$6:$AI$505,"&lt;="&amp;$A46,実績!$AJ$6:$AJ$505,"&gt;"&amp;$A46,実績!$AL$6:$AL$505,"○")&gt;0,1,0))</f>
        <v>0</v>
      </c>
      <c r="DB46" s="39" t="n">
        <f aca="false">IF(DB$4=0,0,IF(COUNTIFS(実績!$W$6:$W$505,DB$3,実績!$AI$6:$AI$505,"&lt;="&amp;$A46,実績!$AJ$6:$AJ$505,"&gt;"&amp;$A46,実績!$AL$6:$AL$505,"○")&gt;0,1,0))</f>
        <v>0</v>
      </c>
      <c r="DC46" s="39" t="n">
        <f aca="false">IF(DC$4=0,0,IF(COUNTIFS(実績!$W$6:$W$505,DC$3,実績!$AI$6:$AI$505,"&lt;="&amp;$A46,実績!$AJ$6:$AJ$505,"&gt;"&amp;$A46,実績!$AL$6:$AL$505,"○")&gt;0,1,0))</f>
        <v>0</v>
      </c>
      <c r="DD46" s="39" t="n">
        <f aca="false">IF(DD$4=0,0,IF(COUNTIFS(実績!$W$6:$W$505,DD$3,実績!$AI$6:$AI$505,"&lt;="&amp;$A46,実績!$AJ$6:$AJ$505,"&gt;"&amp;$A46,実績!$AL$6:$AL$505,"○")&gt;0,1,0))</f>
        <v>0</v>
      </c>
      <c r="DE46" s="39" t="n">
        <f aca="false">IF(DE$4=0,0,IF(COUNTIFS(実績!$W$6:$W$505,DE$3,実績!$AI$6:$AI$505,"&lt;="&amp;$A46,実績!$AJ$6:$AJ$505,"&gt;"&amp;$A46,実績!$AL$6:$AL$505,"○")&gt;0,1,0))</f>
        <v>0</v>
      </c>
      <c r="DF46" s="39" t="n">
        <f aca="false">IF(DF$4=0,0,IF(COUNTIFS(実績!$W$6:$W$505,DF$3,実績!$AI$6:$AI$505,"&lt;="&amp;$A46,実績!$AJ$6:$AJ$505,"&gt;"&amp;$A46,実績!$AL$6:$AL$505,"○")&gt;0,1,0))</f>
        <v>0</v>
      </c>
      <c r="DG46" s="39" t="n">
        <f aca="false">IF(DG$4=0,0,IF(COUNTIFS(実績!$W$6:$W$505,DG$3,実績!$AI$6:$AI$505,"&lt;="&amp;$A46,実績!$AJ$6:$AJ$505,"&gt;"&amp;$A46,実績!$AL$6:$AL$505,"○")&gt;0,1,0))</f>
        <v>0</v>
      </c>
      <c r="DH46" s="39" t="n">
        <f aca="false">IF(DH$4=0,0,IF(COUNTIFS(実績!$W$6:$W$505,DH$3,実績!$AI$6:$AI$505,"&lt;="&amp;$A46,実績!$AJ$6:$AJ$505,"&gt;"&amp;$A46,実績!$AL$6:$AL$505,"○")&gt;0,1,0))</f>
        <v>0</v>
      </c>
      <c r="DI46" s="39" t="n">
        <f aca="false">IF(DI$4=0,0,IF(COUNTIFS(実績!$W$6:$W$505,DI$3,実績!$AI$6:$AI$505,"&lt;="&amp;$A46,実績!$AJ$6:$AJ$505,"&gt;"&amp;$A46,実績!$AL$6:$AL$505,"○")&gt;0,1,0))</f>
        <v>0</v>
      </c>
      <c r="DJ46" s="39" t="n">
        <f aca="false">IF(DJ$4=0,0,IF(COUNTIFS(実績!$W$6:$W$505,DJ$3,実績!$AI$6:$AI$505,"&lt;="&amp;$A46,実績!$AJ$6:$AJ$505,"&gt;"&amp;$A46,実績!$AL$6:$AL$505,"○")&gt;0,1,0))</f>
        <v>0</v>
      </c>
      <c r="DK46" s="39" t="n">
        <f aca="false">IF(DK$4=0,0,IF(COUNTIFS(実績!$W$6:$W$505,DK$3,実績!$AI$6:$AI$505,"&lt;="&amp;$A46,実績!$AJ$6:$AJ$505,"&gt;"&amp;$A46,実績!$AL$6:$AL$505,"○")&gt;0,1,0))</f>
        <v>0</v>
      </c>
      <c r="DL46" s="39" t="n">
        <f aca="false">IF(DL$4=0,0,IF(COUNTIFS(実績!$W$6:$W$505,DL$3,実績!$AI$6:$AI$505,"&lt;="&amp;$A46,実績!$AJ$6:$AJ$505,"&gt;"&amp;$A46,実績!$AL$6:$AL$505,"○")&gt;0,1,0))</f>
        <v>0</v>
      </c>
      <c r="DM46" s="39" t="n">
        <f aca="false">IF(DM$4=0,0,IF(COUNTIFS(実績!$W$6:$W$505,DM$3,実績!$AI$6:$AI$505,"&lt;="&amp;$A46,実績!$AJ$6:$AJ$505,"&gt;"&amp;$A46,実績!$AL$6:$AL$505,"○")&gt;0,1,0))</f>
        <v>0</v>
      </c>
      <c r="DN46" s="39" t="n">
        <f aca="false">IF(DN$4=0,0,IF(COUNTIFS(実績!$W$6:$W$505,DN$3,実績!$AI$6:$AI$505,"&lt;="&amp;$A46,実績!$AJ$6:$AJ$505,"&gt;"&amp;$A46,実績!$AL$6:$AL$505,"○")&gt;0,1,0))</f>
        <v>0</v>
      </c>
      <c r="DO46" s="39" t="n">
        <f aca="false">IF(DO$4=0,0,IF(COUNTIFS(実績!$W$6:$W$505,DO$3,実績!$AI$6:$AI$505,"&lt;="&amp;$A46,実績!$AJ$6:$AJ$505,"&gt;"&amp;$A46,実績!$AL$6:$AL$505,"○")&gt;0,1,0))</f>
        <v>0</v>
      </c>
      <c r="DP46" s="39" t="n">
        <f aca="false">IF(DP$4=0,0,IF(COUNTIFS(実績!$W$6:$W$505,DP$3,実績!$AI$6:$AI$505,"&lt;="&amp;$A46,実績!$AJ$6:$AJ$505,"&gt;"&amp;$A46,実績!$AL$6:$AL$505,"○")&gt;0,1,0))</f>
        <v>0</v>
      </c>
      <c r="DQ46" s="39" t="n">
        <f aca="false">IF(DQ$4=0,0,IF(COUNTIFS(実績!$W$6:$W$505,DQ$3,実績!$AI$6:$AI$505,"&lt;="&amp;$A46,実績!$AJ$6:$AJ$505,"&gt;"&amp;$A46,実績!$AL$6:$AL$505,"○")&gt;0,1,0))</f>
        <v>0</v>
      </c>
      <c r="DR46" s="39" t="n">
        <f aca="false">IF(DR$4=0,0,IF(COUNTIFS(実績!$W$6:$W$505,DR$3,実績!$AI$6:$AI$505,"&lt;="&amp;$A46,実績!$AJ$6:$AJ$505,"&gt;"&amp;$A46,実績!$AL$6:$AL$505,"○")&gt;0,1,0))</f>
        <v>0</v>
      </c>
      <c r="DS46" s="39" t="n">
        <f aca="false">SUM(C46:DR46)</f>
        <v>0</v>
      </c>
    </row>
    <row r="47" customFormat="false" ht="15" hidden="false" customHeight="false" outlineLevel="0" collapsed="false">
      <c r="A47" s="0" t="n">
        <v>205</v>
      </c>
      <c r="B47" s="38" t="n">
        <f aca="false">A47/1440</f>
        <v>0.142361111111111</v>
      </c>
      <c r="C47" s="39" t="n">
        <f aca="false">IF(C$4=0,0,IF(COUNTIFS(実績!$W$6:$W$505,C$3,実績!$AI$6:$AI$505,"&lt;="&amp;$A47,実績!$AJ$6:$AJ$505,"&gt;"&amp;$A47,実績!$AL$6:$AL$505,"○")&gt;0,1,0))</f>
        <v>0</v>
      </c>
      <c r="D47" s="39" t="n">
        <f aca="false">IF(D$4=0,0,IF(COUNTIFS(実績!$W$6:$W$505,D$3,実績!$AI$6:$AI$505,"&lt;="&amp;$A47,実績!$AJ$6:$AJ$505,"&gt;"&amp;$A47,実績!$AL$6:$AL$505,"○")&gt;0,1,0))</f>
        <v>0</v>
      </c>
      <c r="E47" s="39" t="n">
        <f aca="false">IF(E$4=0,0,IF(COUNTIFS(実績!$W$6:$W$505,E$3,実績!$AI$6:$AI$505,"&lt;="&amp;$A47,実績!$AJ$6:$AJ$505,"&gt;"&amp;$A47,実績!$AL$6:$AL$505,"○")&gt;0,1,0))</f>
        <v>0</v>
      </c>
      <c r="F47" s="39" t="n">
        <f aca="false">IF(F$4=0,0,IF(COUNTIFS(実績!$W$6:$W$505,F$3,実績!$AI$6:$AI$505,"&lt;="&amp;$A47,実績!$AJ$6:$AJ$505,"&gt;"&amp;$A47,実績!$AL$6:$AL$505,"○")&gt;0,1,0))</f>
        <v>0</v>
      </c>
      <c r="G47" s="39" t="n">
        <f aca="false">IF(G$4=0,0,IF(COUNTIFS(実績!$W$6:$W$505,G$3,実績!$AI$6:$AI$505,"&lt;="&amp;$A47,実績!$AJ$6:$AJ$505,"&gt;"&amp;$A47,実績!$AL$6:$AL$505,"○")&gt;0,1,0))</f>
        <v>0</v>
      </c>
      <c r="H47" s="39" t="n">
        <f aca="false">IF(H$4=0,0,IF(COUNTIFS(実績!$W$6:$W$505,H$3,実績!$AI$6:$AI$505,"&lt;="&amp;$A47,実績!$AJ$6:$AJ$505,"&gt;"&amp;$A47,実績!$AL$6:$AL$505,"○")&gt;0,1,0))</f>
        <v>0</v>
      </c>
      <c r="I47" s="39" t="n">
        <f aca="false">IF(I$4=0,0,IF(COUNTIFS(実績!$W$6:$W$505,I$3,実績!$AI$6:$AI$505,"&lt;="&amp;$A47,実績!$AJ$6:$AJ$505,"&gt;"&amp;$A47,実績!$AL$6:$AL$505,"○")&gt;0,1,0))</f>
        <v>0</v>
      </c>
      <c r="J47" s="39" t="n">
        <f aca="false">IF(J$4=0,0,IF(COUNTIFS(実績!$W$6:$W$505,J$3,実績!$AI$6:$AI$505,"&lt;="&amp;$A47,実績!$AJ$6:$AJ$505,"&gt;"&amp;$A47,実績!$AL$6:$AL$505,"○")&gt;0,1,0))</f>
        <v>0</v>
      </c>
      <c r="K47" s="39" t="n">
        <f aca="false">IF(K$4=0,0,IF(COUNTIFS(実績!$W$6:$W$505,K$3,実績!$AI$6:$AI$505,"&lt;="&amp;$A47,実績!$AJ$6:$AJ$505,"&gt;"&amp;$A47,実績!$AL$6:$AL$505,"○")&gt;0,1,0))</f>
        <v>0</v>
      </c>
      <c r="L47" s="39" t="n">
        <f aca="false">IF(L$4=0,0,IF(COUNTIFS(実績!$W$6:$W$505,L$3,実績!$AI$6:$AI$505,"&lt;="&amp;$A47,実績!$AJ$6:$AJ$505,"&gt;"&amp;$A47,実績!$AL$6:$AL$505,"○")&gt;0,1,0))</f>
        <v>0</v>
      </c>
      <c r="M47" s="39" t="n">
        <f aca="false">IF(M$4=0,0,IF(COUNTIFS(実績!$W$6:$W$505,M$3,実績!$AI$6:$AI$505,"&lt;="&amp;$A47,実績!$AJ$6:$AJ$505,"&gt;"&amp;$A47,実績!$AL$6:$AL$505,"○")&gt;0,1,0))</f>
        <v>0</v>
      </c>
      <c r="N47" s="39" t="n">
        <f aca="false">IF(N$4=0,0,IF(COUNTIFS(実績!$W$6:$W$505,N$3,実績!$AI$6:$AI$505,"&lt;="&amp;$A47,実績!$AJ$6:$AJ$505,"&gt;"&amp;$A47,実績!$AL$6:$AL$505,"○")&gt;0,1,0))</f>
        <v>0</v>
      </c>
      <c r="O47" s="39" t="n">
        <f aca="false">IF(O$4=0,0,IF(COUNTIFS(実績!$W$6:$W$505,O$3,実績!$AI$6:$AI$505,"&lt;="&amp;$A47,実績!$AJ$6:$AJ$505,"&gt;"&amp;$A47,実績!$AL$6:$AL$505,"○")&gt;0,1,0))</f>
        <v>0</v>
      </c>
      <c r="P47" s="39" t="n">
        <f aca="false">IF(P$4=0,0,IF(COUNTIFS(実績!$W$6:$W$505,P$3,実績!$AI$6:$AI$505,"&lt;="&amp;$A47,実績!$AJ$6:$AJ$505,"&gt;"&amp;$A47,実績!$AL$6:$AL$505,"○")&gt;0,1,0))</f>
        <v>0</v>
      </c>
      <c r="Q47" s="39" t="n">
        <f aca="false">IF(Q$4=0,0,IF(COUNTIFS(実績!$W$6:$W$505,Q$3,実績!$AI$6:$AI$505,"&lt;="&amp;$A47,実績!$AJ$6:$AJ$505,"&gt;"&amp;$A47,実績!$AL$6:$AL$505,"○")&gt;0,1,0))</f>
        <v>0</v>
      </c>
      <c r="R47" s="39" t="n">
        <f aca="false">IF(R$4=0,0,IF(COUNTIFS(実績!$W$6:$W$505,R$3,実績!$AI$6:$AI$505,"&lt;="&amp;$A47,実績!$AJ$6:$AJ$505,"&gt;"&amp;$A47,実績!$AL$6:$AL$505,"○")&gt;0,1,0))</f>
        <v>0</v>
      </c>
      <c r="S47" s="39" t="n">
        <f aca="false">IF(S$4=0,0,IF(COUNTIFS(実績!$W$6:$W$505,S$3,実績!$AI$6:$AI$505,"&lt;="&amp;$A47,実績!$AJ$6:$AJ$505,"&gt;"&amp;$A47,実績!$AL$6:$AL$505,"○")&gt;0,1,0))</f>
        <v>0</v>
      </c>
      <c r="T47" s="39" t="n">
        <f aca="false">IF(T$4=0,0,IF(COUNTIFS(実績!$W$6:$W$505,T$3,実績!$AI$6:$AI$505,"&lt;="&amp;$A47,実績!$AJ$6:$AJ$505,"&gt;"&amp;$A47,実績!$AL$6:$AL$505,"○")&gt;0,1,0))</f>
        <v>0</v>
      </c>
      <c r="U47" s="39" t="n">
        <f aca="false">IF(U$4=0,0,IF(COUNTIFS(実績!$W$6:$W$505,U$3,実績!$AI$6:$AI$505,"&lt;="&amp;$A47,実績!$AJ$6:$AJ$505,"&gt;"&amp;$A47,実績!$AL$6:$AL$505,"○")&gt;0,1,0))</f>
        <v>0</v>
      </c>
      <c r="V47" s="39" t="n">
        <f aca="false">IF(V$4=0,0,IF(COUNTIFS(実績!$W$6:$W$505,V$3,実績!$AI$6:$AI$505,"&lt;="&amp;$A47,実績!$AJ$6:$AJ$505,"&gt;"&amp;$A47,実績!$AL$6:$AL$505,"○")&gt;0,1,0))</f>
        <v>0</v>
      </c>
      <c r="W47" s="39" t="n">
        <f aca="false">IF(W$4=0,0,IF(COUNTIFS(実績!$W$6:$W$505,W$3,実績!$AI$6:$AI$505,"&lt;="&amp;$A47,実績!$AJ$6:$AJ$505,"&gt;"&amp;$A47,実績!$AL$6:$AL$505,"○")&gt;0,1,0))</f>
        <v>0</v>
      </c>
      <c r="X47" s="39" t="n">
        <f aca="false">IF(X$4=0,0,IF(COUNTIFS(実績!$W$6:$W$505,X$3,実績!$AI$6:$AI$505,"&lt;="&amp;$A47,実績!$AJ$6:$AJ$505,"&gt;"&amp;$A47,実績!$AL$6:$AL$505,"○")&gt;0,1,0))</f>
        <v>0</v>
      </c>
      <c r="Y47" s="39" t="n">
        <f aca="false">IF(Y$4=0,0,IF(COUNTIFS(実績!$W$6:$W$505,Y$3,実績!$AI$6:$AI$505,"&lt;="&amp;$A47,実績!$AJ$6:$AJ$505,"&gt;"&amp;$A47,実績!$AL$6:$AL$505,"○")&gt;0,1,0))</f>
        <v>0</v>
      </c>
      <c r="Z47" s="39" t="n">
        <f aca="false">IF(Z$4=0,0,IF(COUNTIFS(実績!$W$6:$W$505,Z$3,実績!$AI$6:$AI$505,"&lt;="&amp;$A47,実績!$AJ$6:$AJ$505,"&gt;"&amp;$A47,実績!$AL$6:$AL$505,"○")&gt;0,1,0))</f>
        <v>0</v>
      </c>
      <c r="AA47" s="39" t="n">
        <f aca="false">IF(AA$4=0,0,IF(COUNTIFS(実績!$W$6:$W$505,AA$3,実績!$AI$6:$AI$505,"&lt;="&amp;$A47,実績!$AJ$6:$AJ$505,"&gt;"&amp;$A47,実績!$AL$6:$AL$505,"○")&gt;0,1,0))</f>
        <v>0</v>
      </c>
      <c r="AB47" s="39" t="n">
        <f aca="false">IF(AB$4=0,0,IF(COUNTIFS(実績!$W$6:$W$505,AB$3,実績!$AI$6:$AI$505,"&lt;="&amp;$A47,実績!$AJ$6:$AJ$505,"&gt;"&amp;$A47,実績!$AL$6:$AL$505,"○")&gt;0,1,0))</f>
        <v>0</v>
      </c>
      <c r="AC47" s="39" t="n">
        <f aca="false">IF(AC$4=0,0,IF(COUNTIFS(実績!$W$6:$W$505,AC$3,実績!$AI$6:$AI$505,"&lt;="&amp;$A47,実績!$AJ$6:$AJ$505,"&gt;"&amp;$A47,実績!$AL$6:$AL$505,"○")&gt;0,1,0))</f>
        <v>0</v>
      </c>
      <c r="AD47" s="39" t="n">
        <f aca="false">IF(AD$4=0,0,IF(COUNTIFS(実績!$W$6:$W$505,AD$3,実績!$AI$6:$AI$505,"&lt;="&amp;$A47,実績!$AJ$6:$AJ$505,"&gt;"&amp;$A47,実績!$AL$6:$AL$505,"○")&gt;0,1,0))</f>
        <v>0</v>
      </c>
      <c r="AE47" s="39" t="n">
        <f aca="false">IF(AE$4=0,0,IF(COUNTIFS(実績!$W$6:$W$505,AE$3,実績!$AI$6:$AI$505,"&lt;="&amp;$A47,実績!$AJ$6:$AJ$505,"&gt;"&amp;$A47,実績!$AL$6:$AL$505,"○")&gt;0,1,0))</f>
        <v>0</v>
      </c>
      <c r="AF47" s="39" t="n">
        <f aca="false">IF(AF$4=0,0,IF(COUNTIFS(実績!$W$6:$W$505,AF$3,実績!$AI$6:$AI$505,"&lt;="&amp;$A47,実績!$AJ$6:$AJ$505,"&gt;"&amp;$A47,実績!$AL$6:$AL$505,"○")&gt;0,1,0))</f>
        <v>0</v>
      </c>
      <c r="AG47" s="39" t="n">
        <f aca="false">IF(AG$4=0,0,IF(COUNTIFS(実績!$W$6:$W$505,AG$3,実績!$AI$6:$AI$505,"&lt;="&amp;$A47,実績!$AJ$6:$AJ$505,"&gt;"&amp;$A47,実績!$AL$6:$AL$505,"○")&gt;0,1,0))</f>
        <v>0</v>
      </c>
      <c r="AH47" s="39" t="n">
        <f aca="false">IF(AH$4=0,0,IF(COUNTIFS(実績!$W$6:$W$505,AH$3,実績!$AI$6:$AI$505,"&lt;="&amp;$A47,実績!$AJ$6:$AJ$505,"&gt;"&amp;$A47,実績!$AL$6:$AL$505,"○")&gt;0,1,0))</f>
        <v>0</v>
      </c>
      <c r="AI47" s="39" t="n">
        <f aca="false">IF(AI$4=0,0,IF(COUNTIFS(実績!$W$6:$W$505,AI$3,実績!$AI$6:$AI$505,"&lt;="&amp;$A47,実績!$AJ$6:$AJ$505,"&gt;"&amp;$A47,実績!$AL$6:$AL$505,"○")&gt;0,1,0))</f>
        <v>0</v>
      </c>
      <c r="AJ47" s="39" t="n">
        <f aca="false">IF(AJ$4=0,0,IF(COUNTIFS(実績!$W$6:$W$505,AJ$3,実績!$AI$6:$AI$505,"&lt;="&amp;$A47,実績!$AJ$6:$AJ$505,"&gt;"&amp;$A47,実績!$AL$6:$AL$505,"○")&gt;0,1,0))</f>
        <v>0</v>
      </c>
      <c r="AK47" s="39" t="n">
        <f aca="false">IF(AK$4=0,0,IF(COUNTIFS(実績!$W$6:$W$505,AK$3,実績!$AI$6:$AI$505,"&lt;="&amp;$A47,実績!$AJ$6:$AJ$505,"&gt;"&amp;$A47,実績!$AL$6:$AL$505,"○")&gt;0,1,0))</f>
        <v>0</v>
      </c>
      <c r="AL47" s="39" t="n">
        <f aca="false">IF(AL$4=0,0,IF(COUNTIFS(実績!$W$6:$W$505,AL$3,実績!$AI$6:$AI$505,"&lt;="&amp;$A47,実績!$AJ$6:$AJ$505,"&gt;"&amp;$A47,実績!$AL$6:$AL$505,"○")&gt;0,1,0))</f>
        <v>0</v>
      </c>
      <c r="AM47" s="39" t="n">
        <f aca="false">IF(AM$4=0,0,IF(COUNTIFS(実績!$W$6:$W$505,AM$3,実績!$AI$6:$AI$505,"&lt;="&amp;$A47,実績!$AJ$6:$AJ$505,"&gt;"&amp;$A47,実績!$AL$6:$AL$505,"○")&gt;0,1,0))</f>
        <v>0</v>
      </c>
      <c r="AN47" s="39" t="n">
        <f aca="false">IF(AN$4=0,0,IF(COUNTIFS(実績!$W$6:$W$505,AN$3,実績!$AI$6:$AI$505,"&lt;="&amp;$A47,実績!$AJ$6:$AJ$505,"&gt;"&amp;$A47,実績!$AL$6:$AL$505,"○")&gt;0,1,0))</f>
        <v>0</v>
      </c>
      <c r="AO47" s="39" t="n">
        <f aca="false">IF(AO$4=0,0,IF(COUNTIFS(実績!$W$6:$W$505,AO$3,実績!$AI$6:$AI$505,"&lt;="&amp;$A47,実績!$AJ$6:$AJ$505,"&gt;"&amp;$A47,実績!$AL$6:$AL$505,"○")&gt;0,1,0))</f>
        <v>0</v>
      </c>
      <c r="AP47" s="39" t="n">
        <f aca="false">IF(AP$4=0,0,IF(COUNTIFS(実績!$W$6:$W$505,AP$3,実績!$AI$6:$AI$505,"&lt;="&amp;$A47,実績!$AJ$6:$AJ$505,"&gt;"&amp;$A47,実績!$AL$6:$AL$505,"○")&gt;0,1,0))</f>
        <v>0</v>
      </c>
      <c r="AQ47" s="39" t="n">
        <f aca="false">IF(AQ$4=0,0,IF(COUNTIFS(実績!$W$6:$W$505,AQ$3,実績!$AI$6:$AI$505,"&lt;="&amp;$A47,実績!$AJ$6:$AJ$505,"&gt;"&amp;$A47,実績!$AL$6:$AL$505,"○")&gt;0,1,0))</f>
        <v>0</v>
      </c>
      <c r="AR47" s="39" t="n">
        <f aca="false">IF(AR$4=0,0,IF(COUNTIFS(実績!$W$6:$W$505,AR$3,実績!$AI$6:$AI$505,"&lt;="&amp;$A47,実績!$AJ$6:$AJ$505,"&gt;"&amp;$A47,実績!$AL$6:$AL$505,"○")&gt;0,1,0))</f>
        <v>0</v>
      </c>
      <c r="AS47" s="39" t="n">
        <f aca="false">IF(AS$4=0,0,IF(COUNTIFS(実績!$W$6:$W$505,AS$3,実績!$AI$6:$AI$505,"&lt;="&amp;$A47,実績!$AJ$6:$AJ$505,"&gt;"&amp;$A47,実績!$AL$6:$AL$505,"○")&gt;0,1,0))</f>
        <v>0</v>
      </c>
      <c r="AT47" s="39" t="n">
        <f aca="false">IF(AT$4=0,0,IF(COUNTIFS(実績!$W$6:$W$505,AT$3,実績!$AI$6:$AI$505,"&lt;="&amp;$A47,実績!$AJ$6:$AJ$505,"&gt;"&amp;$A47,実績!$AL$6:$AL$505,"○")&gt;0,1,0))</f>
        <v>0</v>
      </c>
      <c r="AU47" s="39" t="n">
        <f aca="false">IF(AU$4=0,0,IF(COUNTIFS(実績!$W$6:$W$505,AU$3,実績!$AI$6:$AI$505,"&lt;="&amp;$A47,実績!$AJ$6:$AJ$505,"&gt;"&amp;$A47,実績!$AL$6:$AL$505,"○")&gt;0,1,0))</f>
        <v>0</v>
      </c>
      <c r="AV47" s="39" t="n">
        <f aca="false">IF(AV$4=0,0,IF(COUNTIFS(実績!$W$6:$W$505,AV$3,実績!$AI$6:$AI$505,"&lt;="&amp;$A47,実績!$AJ$6:$AJ$505,"&gt;"&amp;$A47,実績!$AL$6:$AL$505,"○")&gt;0,1,0))</f>
        <v>0</v>
      </c>
      <c r="AW47" s="39" t="n">
        <f aca="false">IF(AW$4=0,0,IF(COUNTIFS(実績!$W$6:$W$505,AW$3,実績!$AI$6:$AI$505,"&lt;="&amp;$A47,実績!$AJ$6:$AJ$505,"&gt;"&amp;$A47,実績!$AL$6:$AL$505,"○")&gt;0,1,0))</f>
        <v>0</v>
      </c>
      <c r="AX47" s="39" t="n">
        <f aca="false">IF(AX$4=0,0,IF(COUNTIFS(実績!$W$6:$W$505,AX$3,実績!$AI$6:$AI$505,"&lt;="&amp;$A47,実績!$AJ$6:$AJ$505,"&gt;"&amp;$A47,実績!$AL$6:$AL$505,"○")&gt;0,1,0))</f>
        <v>0</v>
      </c>
      <c r="AY47" s="39" t="n">
        <f aca="false">IF(AY$4=0,0,IF(COUNTIFS(実績!$W$6:$W$505,AY$3,実績!$AI$6:$AI$505,"&lt;="&amp;$A47,実績!$AJ$6:$AJ$505,"&gt;"&amp;$A47,実績!$AL$6:$AL$505,"○")&gt;0,1,0))</f>
        <v>0</v>
      </c>
      <c r="AZ47" s="39" t="n">
        <f aca="false">IF(AZ$4=0,0,IF(COUNTIFS(実績!$W$6:$W$505,AZ$3,実績!$AI$6:$AI$505,"&lt;="&amp;$A47,実績!$AJ$6:$AJ$505,"&gt;"&amp;$A47,実績!$AL$6:$AL$505,"○")&gt;0,1,0))</f>
        <v>0</v>
      </c>
      <c r="BA47" s="39" t="n">
        <f aca="false">IF(BA$4=0,0,IF(COUNTIFS(実績!$W$6:$W$505,BA$3,実績!$AI$6:$AI$505,"&lt;="&amp;$A47,実績!$AJ$6:$AJ$505,"&gt;"&amp;$A47,実績!$AL$6:$AL$505,"○")&gt;0,1,0))</f>
        <v>0</v>
      </c>
      <c r="BB47" s="39" t="n">
        <f aca="false">IF(BB$4=0,0,IF(COUNTIFS(実績!$W$6:$W$505,BB$3,実績!$AI$6:$AI$505,"&lt;="&amp;$A47,実績!$AJ$6:$AJ$505,"&gt;"&amp;$A47,実績!$AL$6:$AL$505,"○")&gt;0,1,0))</f>
        <v>0</v>
      </c>
      <c r="BC47" s="39" t="n">
        <f aca="false">IF(BC$4=0,0,IF(COUNTIFS(実績!$W$6:$W$505,BC$3,実績!$AI$6:$AI$505,"&lt;="&amp;$A47,実績!$AJ$6:$AJ$505,"&gt;"&amp;$A47,実績!$AL$6:$AL$505,"○")&gt;0,1,0))</f>
        <v>0</v>
      </c>
      <c r="BD47" s="39" t="n">
        <f aca="false">IF(BD$4=0,0,IF(COUNTIFS(実績!$W$6:$W$505,BD$3,実績!$AI$6:$AI$505,"&lt;="&amp;$A47,実績!$AJ$6:$AJ$505,"&gt;"&amp;$A47,実績!$AL$6:$AL$505,"○")&gt;0,1,0))</f>
        <v>0</v>
      </c>
      <c r="BE47" s="39" t="n">
        <f aca="false">IF(BE$4=0,0,IF(COUNTIFS(実績!$W$6:$W$505,BE$3,実績!$AI$6:$AI$505,"&lt;="&amp;$A47,実績!$AJ$6:$AJ$505,"&gt;"&amp;$A47,実績!$AL$6:$AL$505,"○")&gt;0,1,0))</f>
        <v>0</v>
      </c>
      <c r="BF47" s="39" t="n">
        <f aca="false">IF(BF$4=0,0,IF(COUNTIFS(実績!$W$6:$W$505,BF$3,実績!$AI$6:$AI$505,"&lt;="&amp;$A47,実績!$AJ$6:$AJ$505,"&gt;"&amp;$A47,実績!$AL$6:$AL$505,"○")&gt;0,1,0))</f>
        <v>0</v>
      </c>
      <c r="BG47" s="39" t="n">
        <f aca="false">IF(BG$4=0,0,IF(COUNTIFS(実績!$W$6:$W$505,BG$3,実績!$AI$6:$AI$505,"&lt;="&amp;$A47,実績!$AJ$6:$AJ$505,"&gt;"&amp;$A47,実績!$AL$6:$AL$505,"○")&gt;0,1,0))</f>
        <v>0</v>
      </c>
      <c r="BH47" s="39" t="n">
        <f aca="false">IF(BH$4=0,0,IF(COUNTIFS(実績!$W$6:$W$505,BH$3,実績!$AI$6:$AI$505,"&lt;="&amp;$A47,実績!$AJ$6:$AJ$505,"&gt;"&amp;$A47,実績!$AL$6:$AL$505,"○")&gt;0,1,0))</f>
        <v>0</v>
      </c>
      <c r="BI47" s="39" t="n">
        <f aca="false">IF(BI$4=0,0,IF(COUNTIFS(実績!$W$6:$W$505,BI$3,実績!$AI$6:$AI$505,"&lt;="&amp;$A47,実績!$AJ$6:$AJ$505,"&gt;"&amp;$A47,実績!$AL$6:$AL$505,"○")&gt;0,1,0))</f>
        <v>0</v>
      </c>
      <c r="BJ47" s="39" t="n">
        <f aca="false">IF(BJ$4=0,0,IF(COUNTIFS(実績!$W$6:$W$505,BJ$3,実績!$AI$6:$AI$505,"&lt;="&amp;$A47,実績!$AJ$6:$AJ$505,"&gt;"&amp;$A47,実績!$AL$6:$AL$505,"○")&gt;0,1,0))</f>
        <v>0</v>
      </c>
      <c r="BK47" s="39" t="n">
        <f aca="false">IF(BK$4=0,0,IF(COUNTIFS(実績!$W$6:$W$505,BK$3,実績!$AI$6:$AI$505,"&lt;="&amp;$A47,実績!$AJ$6:$AJ$505,"&gt;"&amp;$A47,実績!$AL$6:$AL$505,"○")&gt;0,1,0))</f>
        <v>0</v>
      </c>
      <c r="BL47" s="39" t="n">
        <f aca="false">IF(BL$4=0,0,IF(COUNTIFS(実績!$W$6:$W$505,BL$3,実績!$AI$6:$AI$505,"&lt;="&amp;$A47,実績!$AJ$6:$AJ$505,"&gt;"&amp;$A47,実績!$AL$6:$AL$505,"○")&gt;0,1,0))</f>
        <v>0</v>
      </c>
      <c r="BM47" s="39" t="n">
        <f aca="false">IF(BM$4=0,0,IF(COUNTIFS(実績!$W$6:$W$505,BM$3,実績!$AI$6:$AI$505,"&lt;="&amp;$A47,実績!$AJ$6:$AJ$505,"&gt;"&amp;$A47,実績!$AL$6:$AL$505,"○")&gt;0,1,0))</f>
        <v>0</v>
      </c>
      <c r="BN47" s="39" t="n">
        <f aca="false">IF(BN$4=0,0,IF(COUNTIFS(実績!$W$6:$W$505,BN$3,実績!$AI$6:$AI$505,"&lt;="&amp;$A47,実績!$AJ$6:$AJ$505,"&gt;"&amp;$A47,実績!$AL$6:$AL$505,"○")&gt;0,1,0))</f>
        <v>0</v>
      </c>
      <c r="BO47" s="39" t="n">
        <f aca="false">IF(BO$4=0,0,IF(COUNTIFS(実績!$W$6:$W$505,BO$3,実績!$AI$6:$AI$505,"&lt;="&amp;$A47,実績!$AJ$6:$AJ$505,"&gt;"&amp;$A47,実績!$AL$6:$AL$505,"○")&gt;0,1,0))</f>
        <v>0</v>
      </c>
      <c r="BP47" s="39" t="n">
        <f aca="false">IF(BP$4=0,0,IF(COUNTIFS(実績!$W$6:$W$505,BP$3,実績!$AI$6:$AI$505,"&lt;="&amp;$A47,実績!$AJ$6:$AJ$505,"&gt;"&amp;$A47,実績!$AL$6:$AL$505,"○")&gt;0,1,0))</f>
        <v>0</v>
      </c>
      <c r="BQ47" s="39" t="n">
        <f aca="false">IF(BQ$4=0,0,IF(COUNTIFS(実績!$W$6:$W$505,BQ$3,実績!$AI$6:$AI$505,"&lt;="&amp;$A47,実績!$AJ$6:$AJ$505,"&gt;"&amp;$A47,実績!$AL$6:$AL$505,"○")&gt;0,1,0))</f>
        <v>0</v>
      </c>
      <c r="BR47" s="39" t="n">
        <f aca="false">IF(BR$4=0,0,IF(COUNTIFS(実績!$W$6:$W$505,BR$3,実績!$AI$6:$AI$505,"&lt;="&amp;$A47,実績!$AJ$6:$AJ$505,"&gt;"&amp;$A47,実績!$AL$6:$AL$505,"○")&gt;0,1,0))</f>
        <v>0</v>
      </c>
      <c r="BS47" s="39" t="n">
        <f aca="false">IF(BS$4=0,0,IF(COUNTIFS(実績!$W$6:$W$505,BS$3,実績!$AI$6:$AI$505,"&lt;="&amp;$A47,実績!$AJ$6:$AJ$505,"&gt;"&amp;$A47,実績!$AL$6:$AL$505,"○")&gt;0,1,0))</f>
        <v>0</v>
      </c>
      <c r="BT47" s="39" t="n">
        <f aca="false">IF(BT$4=0,0,IF(COUNTIFS(実績!$W$6:$W$505,BT$3,実績!$AI$6:$AI$505,"&lt;="&amp;$A47,実績!$AJ$6:$AJ$505,"&gt;"&amp;$A47,実績!$AL$6:$AL$505,"○")&gt;0,1,0))</f>
        <v>0</v>
      </c>
      <c r="BU47" s="39" t="n">
        <f aca="false">IF(BU$4=0,0,IF(COUNTIFS(実績!$W$6:$W$505,BU$3,実績!$AI$6:$AI$505,"&lt;="&amp;$A47,実績!$AJ$6:$AJ$505,"&gt;"&amp;$A47,実績!$AL$6:$AL$505,"○")&gt;0,1,0))</f>
        <v>0</v>
      </c>
      <c r="BV47" s="39" t="n">
        <f aca="false">IF(BV$4=0,0,IF(COUNTIFS(実績!$W$6:$W$505,BV$3,実績!$AI$6:$AI$505,"&lt;="&amp;$A47,実績!$AJ$6:$AJ$505,"&gt;"&amp;$A47,実績!$AL$6:$AL$505,"○")&gt;0,1,0))</f>
        <v>0</v>
      </c>
      <c r="BW47" s="39" t="n">
        <f aca="false">IF(BW$4=0,0,IF(COUNTIFS(実績!$W$6:$W$505,BW$3,実績!$AI$6:$AI$505,"&lt;="&amp;$A47,実績!$AJ$6:$AJ$505,"&gt;"&amp;$A47,実績!$AL$6:$AL$505,"○")&gt;0,1,0))</f>
        <v>0</v>
      </c>
      <c r="BX47" s="39" t="n">
        <f aca="false">IF(BX$4=0,0,IF(COUNTIFS(実績!$W$6:$W$505,BX$3,実績!$AI$6:$AI$505,"&lt;="&amp;$A47,実績!$AJ$6:$AJ$505,"&gt;"&amp;$A47,実績!$AL$6:$AL$505,"○")&gt;0,1,0))</f>
        <v>0</v>
      </c>
      <c r="BY47" s="39" t="n">
        <f aca="false">IF(BY$4=0,0,IF(COUNTIFS(実績!$W$6:$W$505,BY$3,実績!$AI$6:$AI$505,"&lt;="&amp;$A47,実績!$AJ$6:$AJ$505,"&gt;"&amp;$A47,実績!$AL$6:$AL$505,"○")&gt;0,1,0))</f>
        <v>0</v>
      </c>
      <c r="BZ47" s="39" t="n">
        <f aca="false">IF(BZ$4=0,0,IF(COUNTIFS(実績!$W$6:$W$505,BZ$3,実績!$AI$6:$AI$505,"&lt;="&amp;$A47,実績!$AJ$6:$AJ$505,"&gt;"&amp;$A47,実績!$AL$6:$AL$505,"○")&gt;0,1,0))</f>
        <v>0</v>
      </c>
      <c r="CA47" s="39" t="n">
        <f aca="false">IF(CA$4=0,0,IF(COUNTIFS(実績!$W$6:$W$505,CA$3,実績!$AI$6:$AI$505,"&lt;="&amp;$A47,実績!$AJ$6:$AJ$505,"&gt;"&amp;$A47,実績!$AL$6:$AL$505,"○")&gt;0,1,0))</f>
        <v>0</v>
      </c>
      <c r="CB47" s="39" t="n">
        <f aca="false">IF(CB$4=0,0,IF(COUNTIFS(実績!$W$6:$W$505,CB$3,実績!$AI$6:$AI$505,"&lt;="&amp;$A47,実績!$AJ$6:$AJ$505,"&gt;"&amp;$A47,実績!$AL$6:$AL$505,"○")&gt;0,1,0))</f>
        <v>0</v>
      </c>
      <c r="CC47" s="39" t="n">
        <f aca="false">IF(CC$4=0,0,IF(COUNTIFS(実績!$W$6:$W$505,CC$3,実績!$AI$6:$AI$505,"&lt;="&amp;$A47,実績!$AJ$6:$AJ$505,"&gt;"&amp;$A47,実績!$AL$6:$AL$505,"○")&gt;0,1,0))</f>
        <v>0</v>
      </c>
      <c r="CD47" s="39" t="n">
        <f aca="false">IF(CD$4=0,0,IF(COUNTIFS(実績!$W$6:$W$505,CD$3,実績!$AI$6:$AI$505,"&lt;="&amp;$A47,実績!$AJ$6:$AJ$505,"&gt;"&amp;$A47,実績!$AL$6:$AL$505,"○")&gt;0,1,0))</f>
        <v>0</v>
      </c>
      <c r="CE47" s="39" t="n">
        <f aca="false">IF(CE$4=0,0,IF(COUNTIFS(実績!$W$6:$W$505,CE$3,実績!$AI$6:$AI$505,"&lt;="&amp;$A47,実績!$AJ$6:$AJ$505,"&gt;"&amp;$A47,実績!$AL$6:$AL$505,"○")&gt;0,1,0))</f>
        <v>0</v>
      </c>
      <c r="CF47" s="39" t="n">
        <f aca="false">IF(CF$4=0,0,IF(COUNTIFS(実績!$W$6:$W$505,CF$3,実績!$AI$6:$AI$505,"&lt;="&amp;$A47,実績!$AJ$6:$AJ$505,"&gt;"&amp;$A47,実績!$AL$6:$AL$505,"○")&gt;0,1,0))</f>
        <v>0</v>
      </c>
      <c r="CG47" s="39" t="n">
        <f aca="false">IF(CG$4=0,0,IF(COUNTIFS(実績!$W$6:$W$505,CG$3,実績!$AI$6:$AI$505,"&lt;="&amp;$A47,実績!$AJ$6:$AJ$505,"&gt;"&amp;$A47,実績!$AL$6:$AL$505,"○")&gt;0,1,0))</f>
        <v>0</v>
      </c>
      <c r="CH47" s="39" t="n">
        <f aca="false">IF(CH$4=0,0,IF(COUNTIFS(実績!$W$6:$W$505,CH$3,実績!$AI$6:$AI$505,"&lt;="&amp;$A47,実績!$AJ$6:$AJ$505,"&gt;"&amp;$A47,実績!$AL$6:$AL$505,"○")&gt;0,1,0))</f>
        <v>0</v>
      </c>
      <c r="CI47" s="39" t="n">
        <f aca="false">IF(CI$4=0,0,IF(COUNTIFS(実績!$W$6:$W$505,CI$3,実績!$AI$6:$AI$505,"&lt;="&amp;$A47,実績!$AJ$6:$AJ$505,"&gt;"&amp;$A47,実績!$AL$6:$AL$505,"○")&gt;0,1,0))</f>
        <v>0</v>
      </c>
      <c r="CJ47" s="39" t="n">
        <f aca="false">IF(CJ$4=0,0,IF(COUNTIFS(実績!$W$6:$W$505,CJ$3,実績!$AI$6:$AI$505,"&lt;="&amp;$A47,実績!$AJ$6:$AJ$505,"&gt;"&amp;$A47,実績!$AL$6:$AL$505,"○")&gt;0,1,0))</f>
        <v>0</v>
      </c>
      <c r="CK47" s="39" t="n">
        <f aca="false">IF(CK$4=0,0,IF(COUNTIFS(実績!$W$6:$W$505,CK$3,実績!$AI$6:$AI$505,"&lt;="&amp;$A47,実績!$AJ$6:$AJ$505,"&gt;"&amp;$A47,実績!$AL$6:$AL$505,"○")&gt;0,1,0))</f>
        <v>0</v>
      </c>
      <c r="CL47" s="39" t="n">
        <f aca="false">IF(CL$4=0,0,IF(COUNTIFS(実績!$W$6:$W$505,CL$3,実績!$AI$6:$AI$505,"&lt;="&amp;$A47,実績!$AJ$6:$AJ$505,"&gt;"&amp;$A47,実績!$AL$6:$AL$505,"○")&gt;0,1,0))</f>
        <v>0</v>
      </c>
      <c r="CM47" s="39" t="n">
        <f aca="false">IF(CM$4=0,0,IF(COUNTIFS(実績!$W$6:$W$505,CM$3,実績!$AI$6:$AI$505,"&lt;="&amp;$A47,実績!$AJ$6:$AJ$505,"&gt;"&amp;$A47,実績!$AL$6:$AL$505,"○")&gt;0,1,0))</f>
        <v>0</v>
      </c>
      <c r="CN47" s="39" t="n">
        <f aca="false">IF(CN$4=0,0,IF(COUNTIFS(実績!$W$6:$W$505,CN$3,実績!$AI$6:$AI$505,"&lt;="&amp;$A47,実績!$AJ$6:$AJ$505,"&gt;"&amp;$A47,実績!$AL$6:$AL$505,"○")&gt;0,1,0))</f>
        <v>0</v>
      </c>
      <c r="CO47" s="39" t="n">
        <f aca="false">IF(CO$4=0,0,IF(COUNTIFS(実績!$W$6:$W$505,CO$3,実績!$AI$6:$AI$505,"&lt;="&amp;$A47,実績!$AJ$6:$AJ$505,"&gt;"&amp;$A47,実績!$AL$6:$AL$505,"○")&gt;0,1,0))</f>
        <v>0</v>
      </c>
      <c r="CP47" s="39" t="n">
        <f aca="false">IF(CP$4=0,0,IF(COUNTIFS(実績!$W$6:$W$505,CP$3,実績!$AI$6:$AI$505,"&lt;="&amp;$A47,実績!$AJ$6:$AJ$505,"&gt;"&amp;$A47,実績!$AL$6:$AL$505,"○")&gt;0,1,0))</f>
        <v>0</v>
      </c>
      <c r="CQ47" s="39" t="n">
        <f aca="false">IF(CQ$4=0,0,IF(COUNTIFS(実績!$W$6:$W$505,CQ$3,実績!$AI$6:$AI$505,"&lt;="&amp;$A47,実績!$AJ$6:$AJ$505,"&gt;"&amp;$A47,実績!$AL$6:$AL$505,"○")&gt;0,1,0))</f>
        <v>0</v>
      </c>
      <c r="CR47" s="39" t="n">
        <f aca="false">IF(CR$4=0,0,IF(COUNTIFS(実績!$W$6:$W$505,CR$3,実績!$AI$6:$AI$505,"&lt;="&amp;$A47,実績!$AJ$6:$AJ$505,"&gt;"&amp;$A47,実績!$AL$6:$AL$505,"○")&gt;0,1,0))</f>
        <v>0</v>
      </c>
      <c r="CS47" s="39" t="n">
        <f aca="false">IF(CS$4=0,0,IF(COUNTIFS(実績!$W$6:$W$505,CS$3,実績!$AI$6:$AI$505,"&lt;="&amp;$A47,実績!$AJ$6:$AJ$505,"&gt;"&amp;$A47,実績!$AL$6:$AL$505,"○")&gt;0,1,0))</f>
        <v>0</v>
      </c>
      <c r="CT47" s="39" t="n">
        <f aca="false">IF(CT$4=0,0,IF(COUNTIFS(実績!$W$6:$W$505,CT$3,実績!$AI$6:$AI$505,"&lt;="&amp;$A47,実績!$AJ$6:$AJ$505,"&gt;"&amp;$A47,実績!$AL$6:$AL$505,"○")&gt;0,1,0))</f>
        <v>0</v>
      </c>
      <c r="CU47" s="39" t="n">
        <f aca="false">IF(CU$4=0,0,IF(COUNTIFS(実績!$W$6:$W$505,CU$3,実績!$AI$6:$AI$505,"&lt;="&amp;$A47,実績!$AJ$6:$AJ$505,"&gt;"&amp;$A47,実績!$AL$6:$AL$505,"○")&gt;0,1,0))</f>
        <v>0</v>
      </c>
      <c r="CV47" s="39" t="n">
        <f aca="false">IF(CV$4=0,0,IF(COUNTIFS(実績!$W$6:$W$505,CV$3,実績!$AI$6:$AI$505,"&lt;="&amp;$A47,実績!$AJ$6:$AJ$505,"&gt;"&amp;$A47,実績!$AL$6:$AL$505,"○")&gt;0,1,0))</f>
        <v>0</v>
      </c>
      <c r="CW47" s="39" t="n">
        <f aca="false">IF(CW$4=0,0,IF(COUNTIFS(実績!$W$6:$W$505,CW$3,実績!$AI$6:$AI$505,"&lt;="&amp;$A47,実績!$AJ$6:$AJ$505,"&gt;"&amp;$A47,実績!$AL$6:$AL$505,"○")&gt;0,1,0))</f>
        <v>0</v>
      </c>
      <c r="CX47" s="39" t="n">
        <f aca="false">IF(CX$4=0,0,IF(COUNTIFS(実績!$W$6:$W$505,CX$3,実績!$AI$6:$AI$505,"&lt;="&amp;$A47,実績!$AJ$6:$AJ$505,"&gt;"&amp;$A47,実績!$AL$6:$AL$505,"○")&gt;0,1,0))</f>
        <v>0</v>
      </c>
      <c r="CY47" s="39" t="n">
        <f aca="false">IF(CY$4=0,0,IF(COUNTIFS(実績!$W$6:$W$505,CY$3,実績!$AI$6:$AI$505,"&lt;="&amp;$A47,実績!$AJ$6:$AJ$505,"&gt;"&amp;$A47,実績!$AL$6:$AL$505,"○")&gt;0,1,0))</f>
        <v>0</v>
      </c>
      <c r="CZ47" s="39" t="n">
        <f aca="false">IF(CZ$4=0,0,IF(COUNTIFS(実績!$W$6:$W$505,CZ$3,実績!$AI$6:$AI$505,"&lt;="&amp;$A47,実績!$AJ$6:$AJ$505,"&gt;"&amp;$A47,実績!$AL$6:$AL$505,"○")&gt;0,1,0))</f>
        <v>0</v>
      </c>
      <c r="DA47" s="39" t="n">
        <f aca="false">IF(DA$4=0,0,IF(COUNTIFS(実績!$W$6:$W$505,DA$3,実績!$AI$6:$AI$505,"&lt;="&amp;$A47,実績!$AJ$6:$AJ$505,"&gt;"&amp;$A47,実績!$AL$6:$AL$505,"○")&gt;0,1,0))</f>
        <v>0</v>
      </c>
      <c r="DB47" s="39" t="n">
        <f aca="false">IF(DB$4=0,0,IF(COUNTIFS(実績!$W$6:$W$505,DB$3,実績!$AI$6:$AI$505,"&lt;="&amp;$A47,実績!$AJ$6:$AJ$505,"&gt;"&amp;$A47,実績!$AL$6:$AL$505,"○")&gt;0,1,0))</f>
        <v>0</v>
      </c>
      <c r="DC47" s="39" t="n">
        <f aca="false">IF(DC$4=0,0,IF(COUNTIFS(実績!$W$6:$W$505,DC$3,実績!$AI$6:$AI$505,"&lt;="&amp;$A47,実績!$AJ$6:$AJ$505,"&gt;"&amp;$A47,実績!$AL$6:$AL$505,"○")&gt;0,1,0))</f>
        <v>0</v>
      </c>
      <c r="DD47" s="39" t="n">
        <f aca="false">IF(DD$4=0,0,IF(COUNTIFS(実績!$W$6:$W$505,DD$3,実績!$AI$6:$AI$505,"&lt;="&amp;$A47,実績!$AJ$6:$AJ$505,"&gt;"&amp;$A47,実績!$AL$6:$AL$505,"○")&gt;0,1,0))</f>
        <v>0</v>
      </c>
      <c r="DE47" s="39" t="n">
        <f aca="false">IF(DE$4=0,0,IF(COUNTIFS(実績!$W$6:$W$505,DE$3,実績!$AI$6:$AI$505,"&lt;="&amp;$A47,実績!$AJ$6:$AJ$505,"&gt;"&amp;$A47,実績!$AL$6:$AL$505,"○")&gt;0,1,0))</f>
        <v>0</v>
      </c>
      <c r="DF47" s="39" t="n">
        <f aca="false">IF(DF$4=0,0,IF(COUNTIFS(実績!$W$6:$W$505,DF$3,実績!$AI$6:$AI$505,"&lt;="&amp;$A47,実績!$AJ$6:$AJ$505,"&gt;"&amp;$A47,実績!$AL$6:$AL$505,"○")&gt;0,1,0))</f>
        <v>0</v>
      </c>
      <c r="DG47" s="39" t="n">
        <f aca="false">IF(DG$4=0,0,IF(COUNTIFS(実績!$W$6:$W$505,DG$3,実績!$AI$6:$AI$505,"&lt;="&amp;$A47,実績!$AJ$6:$AJ$505,"&gt;"&amp;$A47,実績!$AL$6:$AL$505,"○")&gt;0,1,0))</f>
        <v>0</v>
      </c>
      <c r="DH47" s="39" t="n">
        <f aca="false">IF(DH$4=0,0,IF(COUNTIFS(実績!$W$6:$W$505,DH$3,実績!$AI$6:$AI$505,"&lt;="&amp;$A47,実績!$AJ$6:$AJ$505,"&gt;"&amp;$A47,実績!$AL$6:$AL$505,"○")&gt;0,1,0))</f>
        <v>0</v>
      </c>
      <c r="DI47" s="39" t="n">
        <f aca="false">IF(DI$4=0,0,IF(COUNTIFS(実績!$W$6:$W$505,DI$3,実績!$AI$6:$AI$505,"&lt;="&amp;$A47,実績!$AJ$6:$AJ$505,"&gt;"&amp;$A47,実績!$AL$6:$AL$505,"○")&gt;0,1,0))</f>
        <v>0</v>
      </c>
      <c r="DJ47" s="39" t="n">
        <f aca="false">IF(DJ$4=0,0,IF(COUNTIFS(実績!$W$6:$W$505,DJ$3,実績!$AI$6:$AI$505,"&lt;="&amp;$A47,実績!$AJ$6:$AJ$505,"&gt;"&amp;$A47,実績!$AL$6:$AL$505,"○")&gt;0,1,0))</f>
        <v>0</v>
      </c>
      <c r="DK47" s="39" t="n">
        <f aca="false">IF(DK$4=0,0,IF(COUNTIFS(実績!$W$6:$W$505,DK$3,実績!$AI$6:$AI$505,"&lt;="&amp;$A47,実績!$AJ$6:$AJ$505,"&gt;"&amp;$A47,実績!$AL$6:$AL$505,"○")&gt;0,1,0))</f>
        <v>0</v>
      </c>
      <c r="DL47" s="39" t="n">
        <f aca="false">IF(DL$4=0,0,IF(COUNTIFS(実績!$W$6:$W$505,DL$3,実績!$AI$6:$AI$505,"&lt;="&amp;$A47,実績!$AJ$6:$AJ$505,"&gt;"&amp;$A47,実績!$AL$6:$AL$505,"○")&gt;0,1,0))</f>
        <v>0</v>
      </c>
      <c r="DM47" s="39" t="n">
        <f aca="false">IF(DM$4=0,0,IF(COUNTIFS(実績!$W$6:$W$505,DM$3,実績!$AI$6:$AI$505,"&lt;="&amp;$A47,実績!$AJ$6:$AJ$505,"&gt;"&amp;$A47,実績!$AL$6:$AL$505,"○")&gt;0,1,0))</f>
        <v>0</v>
      </c>
      <c r="DN47" s="39" t="n">
        <f aca="false">IF(DN$4=0,0,IF(COUNTIFS(実績!$W$6:$W$505,DN$3,実績!$AI$6:$AI$505,"&lt;="&amp;$A47,実績!$AJ$6:$AJ$505,"&gt;"&amp;$A47,実績!$AL$6:$AL$505,"○")&gt;0,1,0))</f>
        <v>0</v>
      </c>
      <c r="DO47" s="39" t="n">
        <f aca="false">IF(DO$4=0,0,IF(COUNTIFS(実績!$W$6:$W$505,DO$3,実績!$AI$6:$AI$505,"&lt;="&amp;$A47,実績!$AJ$6:$AJ$505,"&gt;"&amp;$A47,実績!$AL$6:$AL$505,"○")&gt;0,1,0))</f>
        <v>0</v>
      </c>
      <c r="DP47" s="39" t="n">
        <f aca="false">IF(DP$4=0,0,IF(COUNTIFS(実績!$W$6:$W$505,DP$3,実績!$AI$6:$AI$505,"&lt;="&amp;$A47,実績!$AJ$6:$AJ$505,"&gt;"&amp;$A47,実績!$AL$6:$AL$505,"○")&gt;0,1,0))</f>
        <v>0</v>
      </c>
      <c r="DQ47" s="39" t="n">
        <f aca="false">IF(DQ$4=0,0,IF(COUNTIFS(実績!$W$6:$W$505,DQ$3,実績!$AI$6:$AI$505,"&lt;="&amp;$A47,実績!$AJ$6:$AJ$505,"&gt;"&amp;$A47,実績!$AL$6:$AL$505,"○")&gt;0,1,0))</f>
        <v>0</v>
      </c>
      <c r="DR47" s="39" t="n">
        <f aca="false">IF(DR$4=0,0,IF(COUNTIFS(実績!$W$6:$W$505,DR$3,実績!$AI$6:$AI$505,"&lt;="&amp;$A47,実績!$AJ$6:$AJ$505,"&gt;"&amp;$A47,実績!$AL$6:$AL$505,"○")&gt;0,1,0))</f>
        <v>0</v>
      </c>
      <c r="DS47" s="39" t="n">
        <f aca="false">SUM(C47:DR47)</f>
        <v>0</v>
      </c>
    </row>
    <row r="48" customFormat="false" ht="15" hidden="false" customHeight="false" outlineLevel="0" collapsed="false">
      <c r="A48" s="0" t="n">
        <v>210</v>
      </c>
      <c r="B48" s="38" t="n">
        <f aca="false">A48/1440</f>
        <v>0.145833333333333</v>
      </c>
      <c r="C48" s="39" t="n">
        <f aca="false">IF(C$4=0,0,IF(COUNTIFS(実績!$W$6:$W$505,C$3,実績!$AI$6:$AI$505,"&lt;="&amp;$A48,実績!$AJ$6:$AJ$505,"&gt;"&amp;$A48,実績!$AL$6:$AL$505,"○")&gt;0,1,0))</f>
        <v>0</v>
      </c>
      <c r="D48" s="39" t="n">
        <f aca="false">IF(D$4=0,0,IF(COUNTIFS(実績!$W$6:$W$505,D$3,実績!$AI$6:$AI$505,"&lt;="&amp;$A48,実績!$AJ$6:$AJ$505,"&gt;"&amp;$A48,実績!$AL$6:$AL$505,"○")&gt;0,1,0))</f>
        <v>0</v>
      </c>
      <c r="E48" s="39" t="n">
        <f aca="false">IF(E$4=0,0,IF(COUNTIFS(実績!$W$6:$W$505,E$3,実績!$AI$6:$AI$505,"&lt;="&amp;$A48,実績!$AJ$6:$AJ$505,"&gt;"&amp;$A48,実績!$AL$6:$AL$505,"○")&gt;0,1,0))</f>
        <v>0</v>
      </c>
      <c r="F48" s="39" t="n">
        <f aca="false">IF(F$4=0,0,IF(COUNTIFS(実績!$W$6:$W$505,F$3,実績!$AI$6:$AI$505,"&lt;="&amp;$A48,実績!$AJ$6:$AJ$505,"&gt;"&amp;$A48,実績!$AL$6:$AL$505,"○")&gt;0,1,0))</f>
        <v>0</v>
      </c>
      <c r="G48" s="39" t="n">
        <f aca="false">IF(G$4=0,0,IF(COUNTIFS(実績!$W$6:$W$505,G$3,実績!$AI$6:$AI$505,"&lt;="&amp;$A48,実績!$AJ$6:$AJ$505,"&gt;"&amp;$A48,実績!$AL$6:$AL$505,"○")&gt;0,1,0))</f>
        <v>0</v>
      </c>
      <c r="H48" s="39" t="n">
        <f aca="false">IF(H$4=0,0,IF(COUNTIFS(実績!$W$6:$W$505,H$3,実績!$AI$6:$AI$505,"&lt;="&amp;$A48,実績!$AJ$6:$AJ$505,"&gt;"&amp;$A48,実績!$AL$6:$AL$505,"○")&gt;0,1,0))</f>
        <v>0</v>
      </c>
      <c r="I48" s="39" t="n">
        <f aca="false">IF(I$4=0,0,IF(COUNTIFS(実績!$W$6:$W$505,I$3,実績!$AI$6:$AI$505,"&lt;="&amp;$A48,実績!$AJ$6:$AJ$505,"&gt;"&amp;$A48,実績!$AL$6:$AL$505,"○")&gt;0,1,0))</f>
        <v>0</v>
      </c>
      <c r="J48" s="39" t="n">
        <f aca="false">IF(J$4=0,0,IF(COUNTIFS(実績!$W$6:$W$505,J$3,実績!$AI$6:$AI$505,"&lt;="&amp;$A48,実績!$AJ$6:$AJ$505,"&gt;"&amp;$A48,実績!$AL$6:$AL$505,"○")&gt;0,1,0))</f>
        <v>0</v>
      </c>
      <c r="K48" s="39" t="n">
        <f aca="false">IF(K$4=0,0,IF(COUNTIFS(実績!$W$6:$W$505,K$3,実績!$AI$6:$AI$505,"&lt;="&amp;$A48,実績!$AJ$6:$AJ$505,"&gt;"&amp;$A48,実績!$AL$6:$AL$505,"○")&gt;0,1,0))</f>
        <v>0</v>
      </c>
      <c r="L48" s="39" t="n">
        <f aca="false">IF(L$4=0,0,IF(COUNTIFS(実績!$W$6:$W$505,L$3,実績!$AI$6:$AI$505,"&lt;="&amp;$A48,実績!$AJ$6:$AJ$505,"&gt;"&amp;$A48,実績!$AL$6:$AL$505,"○")&gt;0,1,0))</f>
        <v>0</v>
      </c>
      <c r="M48" s="39" t="n">
        <f aca="false">IF(M$4=0,0,IF(COUNTIFS(実績!$W$6:$W$505,M$3,実績!$AI$6:$AI$505,"&lt;="&amp;$A48,実績!$AJ$6:$AJ$505,"&gt;"&amp;$A48,実績!$AL$6:$AL$505,"○")&gt;0,1,0))</f>
        <v>0</v>
      </c>
      <c r="N48" s="39" t="n">
        <f aca="false">IF(N$4=0,0,IF(COUNTIFS(実績!$W$6:$W$505,N$3,実績!$AI$6:$AI$505,"&lt;="&amp;$A48,実績!$AJ$6:$AJ$505,"&gt;"&amp;$A48,実績!$AL$6:$AL$505,"○")&gt;0,1,0))</f>
        <v>0</v>
      </c>
      <c r="O48" s="39" t="n">
        <f aca="false">IF(O$4=0,0,IF(COUNTIFS(実績!$W$6:$W$505,O$3,実績!$AI$6:$AI$505,"&lt;="&amp;$A48,実績!$AJ$6:$AJ$505,"&gt;"&amp;$A48,実績!$AL$6:$AL$505,"○")&gt;0,1,0))</f>
        <v>0</v>
      </c>
      <c r="P48" s="39" t="n">
        <f aca="false">IF(P$4=0,0,IF(COUNTIFS(実績!$W$6:$W$505,P$3,実績!$AI$6:$AI$505,"&lt;="&amp;$A48,実績!$AJ$6:$AJ$505,"&gt;"&amp;$A48,実績!$AL$6:$AL$505,"○")&gt;0,1,0))</f>
        <v>0</v>
      </c>
      <c r="Q48" s="39" t="n">
        <f aca="false">IF(Q$4=0,0,IF(COUNTIFS(実績!$W$6:$W$505,Q$3,実績!$AI$6:$AI$505,"&lt;="&amp;$A48,実績!$AJ$6:$AJ$505,"&gt;"&amp;$A48,実績!$AL$6:$AL$505,"○")&gt;0,1,0))</f>
        <v>0</v>
      </c>
      <c r="R48" s="39" t="n">
        <f aca="false">IF(R$4=0,0,IF(COUNTIFS(実績!$W$6:$W$505,R$3,実績!$AI$6:$AI$505,"&lt;="&amp;$A48,実績!$AJ$6:$AJ$505,"&gt;"&amp;$A48,実績!$AL$6:$AL$505,"○")&gt;0,1,0))</f>
        <v>0</v>
      </c>
      <c r="S48" s="39" t="n">
        <f aca="false">IF(S$4=0,0,IF(COUNTIFS(実績!$W$6:$W$505,S$3,実績!$AI$6:$AI$505,"&lt;="&amp;$A48,実績!$AJ$6:$AJ$505,"&gt;"&amp;$A48,実績!$AL$6:$AL$505,"○")&gt;0,1,0))</f>
        <v>0</v>
      </c>
      <c r="T48" s="39" t="n">
        <f aca="false">IF(T$4=0,0,IF(COUNTIFS(実績!$W$6:$W$505,T$3,実績!$AI$6:$AI$505,"&lt;="&amp;$A48,実績!$AJ$6:$AJ$505,"&gt;"&amp;$A48,実績!$AL$6:$AL$505,"○")&gt;0,1,0))</f>
        <v>0</v>
      </c>
      <c r="U48" s="39" t="n">
        <f aca="false">IF(U$4=0,0,IF(COUNTIFS(実績!$W$6:$W$505,U$3,実績!$AI$6:$AI$505,"&lt;="&amp;$A48,実績!$AJ$6:$AJ$505,"&gt;"&amp;$A48,実績!$AL$6:$AL$505,"○")&gt;0,1,0))</f>
        <v>0</v>
      </c>
      <c r="V48" s="39" t="n">
        <f aca="false">IF(V$4=0,0,IF(COUNTIFS(実績!$W$6:$W$505,V$3,実績!$AI$6:$AI$505,"&lt;="&amp;$A48,実績!$AJ$6:$AJ$505,"&gt;"&amp;$A48,実績!$AL$6:$AL$505,"○")&gt;0,1,0))</f>
        <v>0</v>
      </c>
      <c r="W48" s="39" t="n">
        <f aca="false">IF(W$4=0,0,IF(COUNTIFS(実績!$W$6:$W$505,W$3,実績!$AI$6:$AI$505,"&lt;="&amp;$A48,実績!$AJ$6:$AJ$505,"&gt;"&amp;$A48,実績!$AL$6:$AL$505,"○")&gt;0,1,0))</f>
        <v>0</v>
      </c>
      <c r="X48" s="39" t="n">
        <f aca="false">IF(X$4=0,0,IF(COUNTIFS(実績!$W$6:$W$505,X$3,実績!$AI$6:$AI$505,"&lt;="&amp;$A48,実績!$AJ$6:$AJ$505,"&gt;"&amp;$A48,実績!$AL$6:$AL$505,"○")&gt;0,1,0))</f>
        <v>0</v>
      </c>
      <c r="Y48" s="39" t="n">
        <f aca="false">IF(Y$4=0,0,IF(COUNTIFS(実績!$W$6:$W$505,Y$3,実績!$AI$6:$AI$505,"&lt;="&amp;$A48,実績!$AJ$6:$AJ$505,"&gt;"&amp;$A48,実績!$AL$6:$AL$505,"○")&gt;0,1,0))</f>
        <v>0</v>
      </c>
      <c r="Z48" s="39" t="n">
        <f aca="false">IF(Z$4=0,0,IF(COUNTIFS(実績!$W$6:$W$505,Z$3,実績!$AI$6:$AI$505,"&lt;="&amp;$A48,実績!$AJ$6:$AJ$505,"&gt;"&amp;$A48,実績!$AL$6:$AL$505,"○")&gt;0,1,0))</f>
        <v>0</v>
      </c>
      <c r="AA48" s="39" t="n">
        <f aca="false">IF(AA$4=0,0,IF(COUNTIFS(実績!$W$6:$W$505,AA$3,実績!$AI$6:$AI$505,"&lt;="&amp;$A48,実績!$AJ$6:$AJ$505,"&gt;"&amp;$A48,実績!$AL$6:$AL$505,"○")&gt;0,1,0))</f>
        <v>0</v>
      </c>
      <c r="AB48" s="39" t="n">
        <f aca="false">IF(AB$4=0,0,IF(COUNTIFS(実績!$W$6:$W$505,AB$3,実績!$AI$6:$AI$505,"&lt;="&amp;$A48,実績!$AJ$6:$AJ$505,"&gt;"&amp;$A48,実績!$AL$6:$AL$505,"○")&gt;0,1,0))</f>
        <v>0</v>
      </c>
      <c r="AC48" s="39" t="n">
        <f aca="false">IF(AC$4=0,0,IF(COUNTIFS(実績!$W$6:$W$505,AC$3,実績!$AI$6:$AI$505,"&lt;="&amp;$A48,実績!$AJ$6:$AJ$505,"&gt;"&amp;$A48,実績!$AL$6:$AL$505,"○")&gt;0,1,0))</f>
        <v>0</v>
      </c>
      <c r="AD48" s="39" t="n">
        <f aca="false">IF(AD$4=0,0,IF(COUNTIFS(実績!$W$6:$W$505,AD$3,実績!$AI$6:$AI$505,"&lt;="&amp;$A48,実績!$AJ$6:$AJ$505,"&gt;"&amp;$A48,実績!$AL$6:$AL$505,"○")&gt;0,1,0))</f>
        <v>0</v>
      </c>
      <c r="AE48" s="39" t="n">
        <f aca="false">IF(AE$4=0,0,IF(COUNTIFS(実績!$W$6:$W$505,AE$3,実績!$AI$6:$AI$505,"&lt;="&amp;$A48,実績!$AJ$6:$AJ$505,"&gt;"&amp;$A48,実績!$AL$6:$AL$505,"○")&gt;0,1,0))</f>
        <v>0</v>
      </c>
      <c r="AF48" s="39" t="n">
        <f aca="false">IF(AF$4=0,0,IF(COUNTIFS(実績!$W$6:$W$505,AF$3,実績!$AI$6:$AI$505,"&lt;="&amp;$A48,実績!$AJ$6:$AJ$505,"&gt;"&amp;$A48,実績!$AL$6:$AL$505,"○")&gt;0,1,0))</f>
        <v>0</v>
      </c>
      <c r="AG48" s="39" t="n">
        <f aca="false">IF(AG$4=0,0,IF(COUNTIFS(実績!$W$6:$W$505,AG$3,実績!$AI$6:$AI$505,"&lt;="&amp;$A48,実績!$AJ$6:$AJ$505,"&gt;"&amp;$A48,実績!$AL$6:$AL$505,"○")&gt;0,1,0))</f>
        <v>0</v>
      </c>
      <c r="AH48" s="39" t="n">
        <f aca="false">IF(AH$4=0,0,IF(COUNTIFS(実績!$W$6:$W$505,AH$3,実績!$AI$6:$AI$505,"&lt;="&amp;$A48,実績!$AJ$6:$AJ$505,"&gt;"&amp;$A48,実績!$AL$6:$AL$505,"○")&gt;0,1,0))</f>
        <v>0</v>
      </c>
      <c r="AI48" s="39" t="n">
        <f aca="false">IF(AI$4=0,0,IF(COUNTIFS(実績!$W$6:$W$505,AI$3,実績!$AI$6:$AI$505,"&lt;="&amp;$A48,実績!$AJ$6:$AJ$505,"&gt;"&amp;$A48,実績!$AL$6:$AL$505,"○")&gt;0,1,0))</f>
        <v>0</v>
      </c>
      <c r="AJ48" s="39" t="n">
        <f aca="false">IF(AJ$4=0,0,IF(COUNTIFS(実績!$W$6:$W$505,AJ$3,実績!$AI$6:$AI$505,"&lt;="&amp;$A48,実績!$AJ$6:$AJ$505,"&gt;"&amp;$A48,実績!$AL$6:$AL$505,"○")&gt;0,1,0))</f>
        <v>0</v>
      </c>
      <c r="AK48" s="39" t="n">
        <f aca="false">IF(AK$4=0,0,IF(COUNTIFS(実績!$W$6:$W$505,AK$3,実績!$AI$6:$AI$505,"&lt;="&amp;$A48,実績!$AJ$6:$AJ$505,"&gt;"&amp;$A48,実績!$AL$6:$AL$505,"○")&gt;0,1,0))</f>
        <v>0</v>
      </c>
      <c r="AL48" s="39" t="n">
        <f aca="false">IF(AL$4=0,0,IF(COUNTIFS(実績!$W$6:$W$505,AL$3,実績!$AI$6:$AI$505,"&lt;="&amp;$A48,実績!$AJ$6:$AJ$505,"&gt;"&amp;$A48,実績!$AL$6:$AL$505,"○")&gt;0,1,0))</f>
        <v>0</v>
      </c>
      <c r="AM48" s="39" t="n">
        <f aca="false">IF(AM$4=0,0,IF(COUNTIFS(実績!$W$6:$W$505,AM$3,実績!$AI$6:$AI$505,"&lt;="&amp;$A48,実績!$AJ$6:$AJ$505,"&gt;"&amp;$A48,実績!$AL$6:$AL$505,"○")&gt;0,1,0))</f>
        <v>0</v>
      </c>
      <c r="AN48" s="39" t="n">
        <f aca="false">IF(AN$4=0,0,IF(COUNTIFS(実績!$W$6:$W$505,AN$3,実績!$AI$6:$AI$505,"&lt;="&amp;$A48,実績!$AJ$6:$AJ$505,"&gt;"&amp;$A48,実績!$AL$6:$AL$505,"○")&gt;0,1,0))</f>
        <v>0</v>
      </c>
      <c r="AO48" s="39" t="n">
        <f aca="false">IF(AO$4=0,0,IF(COUNTIFS(実績!$W$6:$W$505,AO$3,実績!$AI$6:$AI$505,"&lt;="&amp;$A48,実績!$AJ$6:$AJ$505,"&gt;"&amp;$A48,実績!$AL$6:$AL$505,"○")&gt;0,1,0))</f>
        <v>0</v>
      </c>
      <c r="AP48" s="39" t="n">
        <f aca="false">IF(AP$4=0,0,IF(COUNTIFS(実績!$W$6:$W$505,AP$3,実績!$AI$6:$AI$505,"&lt;="&amp;$A48,実績!$AJ$6:$AJ$505,"&gt;"&amp;$A48,実績!$AL$6:$AL$505,"○")&gt;0,1,0))</f>
        <v>0</v>
      </c>
      <c r="AQ48" s="39" t="n">
        <f aca="false">IF(AQ$4=0,0,IF(COUNTIFS(実績!$W$6:$W$505,AQ$3,実績!$AI$6:$AI$505,"&lt;="&amp;$A48,実績!$AJ$6:$AJ$505,"&gt;"&amp;$A48,実績!$AL$6:$AL$505,"○")&gt;0,1,0))</f>
        <v>0</v>
      </c>
      <c r="AR48" s="39" t="n">
        <f aca="false">IF(AR$4=0,0,IF(COUNTIFS(実績!$W$6:$W$505,AR$3,実績!$AI$6:$AI$505,"&lt;="&amp;$A48,実績!$AJ$6:$AJ$505,"&gt;"&amp;$A48,実績!$AL$6:$AL$505,"○")&gt;0,1,0))</f>
        <v>0</v>
      </c>
      <c r="AS48" s="39" t="n">
        <f aca="false">IF(AS$4=0,0,IF(COUNTIFS(実績!$W$6:$W$505,AS$3,実績!$AI$6:$AI$505,"&lt;="&amp;$A48,実績!$AJ$6:$AJ$505,"&gt;"&amp;$A48,実績!$AL$6:$AL$505,"○")&gt;0,1,0))</f>
        <v>0</v>
      </c>
      <c r="AT48" s="39" t="n">
        <f aca="false">IF(AT$4=0,0,IF(COUNTIFS(実績!$W$6:$W$505,AT$3,実績!$AI$6:$AI$505,"&lt;="&amp;$A48,実績!$AJ$6:$AJ$505,"&gt;"&amp;$A48,実績!$AL$6:$AL$505,"○")&gt;0,1,0))</f>
        <v>0</v>
      </c>
      <c r="AU48" s="39" t="n">
        <f aca="false">IF(AU$4=0,0,IF(COUNTIFS(実績!$W$6:$W$505,AU$3,実績!$AI$6:$AI$505,"&lt;="&amp;$A48,実績!$AJ$6:$AJ$505,"&gt;"&amp;$A48,実績!$AL$6:$AL$505,"○")&gt;0,1,0))</f>
        <v>0</v>
      </c>
      <c r="AV48" s="39" t="n">
        <f aca="false">IF(AV$4=0,0,IF(COUNTIFS(実績!$W$6:$W$505,AV$3,実績!$AI$6:$AI$505,"&lt;="&amp;$A48,実績!$AJ$6:$AJ$505,"&gt;"&amp;$A48,実績!$AL$6:$AL$505,"○")&gt;0,1,0))</f>
        <v>0</v>
      </c>
      <c r="AW48" s="39" t="n">
        <f aca="false">IF(AW$4=0,0,IF(COUNTIFS(実績!$W$6:$W$505,AW$3,実績!$AI$6:$AI$505,"&lt;="&amp;$A48,実績!$AJ$6:$AJ$505,"&gt;"&amp;$A48,実績!$AL$6:$AL$505,"○")&gt;0,1,0))</f>
        <v>0</v>
      </c>
      <c r="AX48" s="39" t="n">
        <f aca="false">IF(AX$4=0,0,IF(COUNTIFS(実績!$W$6:$W$505,AX$3,実績!$AI$6:$AI$505,"&lt;="&amp;$A48,実績!$AJ$6:$AJ$505,"&gt;"&amp;$A48,実績!$AL$6:$AL$505,"○")&gt;0,1,0))</f>
        <v>0</v>
      </c>
      <c r="AY48" s="39" t="n">
        <f aca="false">IF(AY$4=0,0,IF(COUNTIFS(実績!$W$6:$W$505,AY$3,実績!$AI$6:$AI$505,"&lt;="&amp;$A48,実績!$AJ$6:$AJ$505,"&gt;"&amp;$A48,実績!$AL$6:$AL$505,"○")&gt;0,1,0))</f>
        <v>0</v>
      </c>
      <c r="AZ48" s="39" t="n">
        <f aca="false">IF(AZ$4=0,0,IF(COUNTIFS(実績!$W$6:$W$505,AZ$3,実績!$AI$6:$AI$505,"&lt;="&amp;$A48,実績!$AJ$6:$AJ$505,"&gt;"&amp;$A48,実績!$AL$6:$AL$505,"○")&gt;0,1,0))</f>
        <v>0</v>
      </c>
      <c r="BA48" s="39" t="n">
        <f aca="false">IF(BA$4=0,0,IF(COUNTIFS(実績!$W$6:$W$505,BA$3,実績!$AI$6:$AI$505,"&lt;="&amp;$A48,実績!$AJ$6:$AJ$505,"&gt;"&amp;$A48,実績!$AL$6:$AL$505,"○")&gt;0,1,0))</f>
        <v>0</v>
      </c>
      <c r="BB48" s="39" t="n">
        <f aca="false">IF(BB$4=0,0,IF(COUNTIFS(実績!$W$6:$W$505,BB$3,実績!$AI$6:$AI$505,"&lt;="&amp;$A48,実績!$AJ$6:$AJ$505,"&gt;"&amp;$A48,実績!$AL$6:$AL$505,"○")&gt;0,1,0))</f>
        <v>0</v>
      </c>
      <c r="BC48" s="39" t="n">
        <f aca="false">IF(BC$4=0,0,IF(COUNTIFS(実績!$W$6:$W$505,BC$3,実績!$AI$6:$AI$505,"&lt;="&amp;$A48,実績!$AJ$6:$AJ$505,"&gt;"&amp;$A48,実績!$AL$6:$AL$505,"○")&gt;0,1,0))</f>
        <v>0</v>
      </c>
      <c r="BD48" s="39" t="n">
        <f aca="false">IF(BD$4=0,0,IF(COUNTIFS(実績!$W$6:$W$505,BD$3,実績!$AI$6:$AI$505,"&lt;="&amp;$A48,実績!$AJ$6:$AJ$505,"&gt;"&amp;$A48,実績!$AL$6:$AL$505,"○")&gt;0,1,0))</f>
        <v>0</v>
      </c>
      <c r="BE48" s="39" t="n">
        <f aca="false">IF(BE$4=0,0,IF(COUNTIFS(実績!$W$6:$W$505,BE$3,実績!$AI$6:$AI$505,"&lt;="&amp;$A48,実績!$AJ$6:$AJ$505,"&gt;"&amp;$A48,実績!$AL$6:$AL$505,"○")&gt;0,1,0))</f>
        <v>0</v>
      </c>
      <c r="BF48" s="39" t="n">
        <f aca="false">IF(BF$4=0,0,IF(COUNTIFS(実績!$W$6:$W$505,BF$3,実績!$AI$6:$AI$505,"&lt;="&amp;$A48,実績!$AJ$6:$AJ$505,"&gt;"&amp;$A48,実績!$AL$6:$AL$505,"○")&gt;0,1,0))</f>
        <v>0</v>
      </c>
      <c r="BG48" s="39" t="n">
        <f aca="false">IF(BG$4=0,0,IF(COUNTIFS(実績!$W$6:$W$505,BG$3,実績!$AI$6:$AI$505,"&lt;="&amp;$A48,実績!$AJ$6:$AJ$505,"&gt;"&amp;$A48,実績!$AL$6:$AL$505,"○")&gt;0,1,0))</f>
        <v>0</v>
      </c>
      <c r="BH48" s="39" t="n">
        <f aca="false">IF(BH$4=0,0,IF(COUNTIFS(実績!$W$6:$W$505,BH$3,実績!$AI$6:$AI$505,"&lt;="&amp;$A48,実績!$AJ$6:$AJ$505,"&gt;"&amp;$A48,実績!$AL$6:$AL$505,"○")&gt;0,1,0))</f>
        <v>0</v>
      </c>
      <c r="BI48" s="39" t="n">
        <f aca="false">IF(BI$4=0,0,IF(COUNTIFS(実績!$W$6:$W$505,BI$3,実績!$AI$6:$AI$505,"&lt;="&amp;$A48,実績!$AJ$6:$AJ$505,"&gt;"&amp;$A48,実績!$AL$6:$AL$505,"○")&gt;0,1,0))</f>
        <v>0</v>
      </c>
      <c r="BJ48" s="39" t="n">
        <f aca="false">IF(BJ$4=0,0,IF(COUNTIFS(実績!$W$6:$W$505,BJ$3,実績!$AI$6:$AI$505,"&lt;="&amp;$A48,実績!$AJ$6:$AJ$505,"&gt;"&amp;$A48,実績!$AL$6:$AL$505,"○")&gt;0,1,0))</f>
        <v>0</v>
      </c>
      <c r="BK48" s="39" t="n">
        <f aca="false">IF(BK$4=0,0,IF(COUNTIFS(実績!$W$6:$W$505,BK$3,実績!$AI$6:$AI$505,"&lt;="&amp;$A48,実績!$AJ$6:$AJ$505,"&gt;"&amp;$A48,実績!$AL$6:$AL$505,"○")&gt;0,1,0))</f>
        <v>0</v>
      </c>
      <c r="BL48" s="39" t="n">
        <f aca="false">IF(BL$4=0,0,IF(COUNTIFS(実績!$W$6:$W$505,BL$3,実績!$AI$6:$AI$505,"&lt;="&amp;$A48,実績!$AJ$6:$AJ$505,"&gt;"&amp;$A48,実績!$AL$6:$AL$505,"○")&gt;0,1,0))</f>
        <v>0</v>
      </c>
      <c r="BM48" s="39" t="n">
        <f aca="false">IF(BM$4=0,0,IF(COUNTIFS(実績!$W$6:$W$505,BM$3,実績!$AI$6:$AI$505,"&lt;="&amp;$A48,実績!$AJ$6:$AJ$505,"&gt;"&amp;$A48,実績!$AL$6:$AL$505,"○")&gt;0,1,0))</f>
        <v>0</v>
      </c>
      <c r="BN48" s="39" t="n">
        <f aca="false">IF(BN$4=0,0,IF(COUNTIFS(実績!$W$6:$W$505,BN$3,実績!$AI$6:$AI$505,"&lt;="&amp;$A48,実績!$AJ$6:$AJ$505,"&gt;"&amp;$A48,実績!$AL$6:$AL$505,"○")&gt;0,1,0))</f>
        <v>0</v>
      </c>
      <c r="BO48" s="39" t="n">
        <f aca="false">IF(BO$4=0,0,IF(COUNTIFS(実績!$W$6:$W$505,BO$3,実績!$AI$6:$AI$505,"&lt;="&amp;$A48,実績!$AJ$6:$AJ$505,"&gt;"&amp;$A48,実績!$AL$6:$AL$505,"○")&gt;0,1,0))</f>
        <v>0</v>
      </c>
      <c r="BP48" s="39" t="n">
        <f aca="false">IF(BP$4=0,0,IF(COUNTIFS(実績!$W$6:$W$505,BP$3,実績!$AI$6:$AI$505,"&lt;="&amp;$A48,実績!$AJ$6:$AJ$505,"&gt;"&amp;$A48,実績!$AL$6:$AL$505,"○")&gt;0,1,0))</f>
        <v>0</v>
      </c>
      <c r="BQ48" s="39" t="n">
        <f aca="false">IF(BQ$4=0,0,IF(COUNTIFS(実績!$W$6:$W$505,BQ$3,実績!$AI$6:$AI$505,"&lt;="&amp;$A48,実績!$AJ$6:$AJ$505,"&gt;"&amp;$A48,実績!$AL$6:$AL$505,"○")&gt;0,1,0))</f>
        <v>0</v>
      </c>
      <c r="BR48" s="39" t="n">
        <f aca="false">IF(BR$4=0,0,IF(COUNTIFS(実績!$W$6:$W$505,BR$3,実績!$AI$6:$AI$505,"&lt;="&amp;$A48,実績!$AJ$6:$AJ$505,"&gt;"&amp;$A48,実績!$AL$6:$AL$505,"○")&gt;0,1,0))</f>
        <v>0</v>
      </c>
      <c r="BS48" s="39" t="n">
        <f aca="false">IF(BS$4=0,0,IF(COUNTIFS(実績!$W$6:$W$505,BS$3,実績!$AI$6:$AI$505,"&lt;="&amp;$A48,実績!$AJ$6:$AJ$505,"&gt;"&amp;$A48,実績!$AL$6:$AL$505,"○")&gt;0,1,0))</f>
        <v>0</v>
      </c>
      <c r="BT48" s="39" t="n">
        <f aca="false">IF(BT$4=0,0,IF(COUNTIFS(実績!$W$6:$W$505,BT$3,実績!$AI$6:$AI$505,"&lt;="&amp;$A48,実績!$AJ$6:$AJ$505,"&gt;"&amp;$A48,実績!$AL$6:$AL$505,"○")&gt;0,1,0))</f>
        <v>0</v>
      </c>
      <c r="BU48" s="39" t="n">
        <f aca="false">IF(BU$4=0,0,IF(COUNTIFS(実績!$W$6:$W$505,BU$3,実績!$AI$6:$AI$505,"&lt;="&amp;$A48,実績!$AJ$6:$AJ$505,"&gt;"&amp;$A48,実績!$AL$6:$AL$505,"○")&gt;0,1,0))</f>
        <v>0</v>
      </c>
      <c r="BV48" s="39" t="n">
        <f aca="false">IF(BV$4=0,0,IF(COUNTIFS(実績!$W$6:$W$505,BV$3,実績!$AI$6:$AI$505,"&lt;="&amp;$A48,実績!$AJ$6:$AJ$505,"&gt;"&amp;$A48,実績!$AL$6:$AL$505,"○")&gt;0,1,0))</f>
        <v>0</v>
      </c>
      <c r="BW48" s="39" t="n">
        <f aca="false">IF(BW$4=0,0,IF(COUNTIFS(実績!$W$6:$W$505,BW$3,実績!$AI$6:$AI$505,"&lt;="&amp;$A48,実績!$AJ$6:$AJ$505,"&gt;"&amp;$A48,実績!$AL$6:$AL$505,"○")&gt;0,1,0))</f>
        <v>0</v>
      </c>
      <c r="BX48" s="39" t="n">
        <f aca="false">IF(BX$4=0,0,IF(COUNTIFS(実績!$W$6:$W$505,BX$3,実績!$AI$6:$AI$505,"&lt;="&amp;$A48,実績!$AJ$6:$AJ$505,"&gt;"&amp;$A48,実績!$AL$6:$AL$505,"○")&gt;0,1,0))</f>
        <v>0</v>
      </c>
      <c r="BY48" s="39" t="n">
        <f aca="false">IF(BY$4=0,0,IF(COUNTIFS(実績!$W$6:$W$505,BY$3,実績!$AI$6:$AI$505,"&lt;="&amp;$A48,実績!$AJ$6:$AJ$505,"&gt;"&amp;$A48,実績!$AL$6:$AL$505,"○")&gt;0,1,0))</f>
        <v>0</v>
      </c>
      <c r="BZ48" s="39" t="n">
        <f aca="false">IF(BZ$4=0,0,IF(COUNTIFS(実績!$W$6:$W$505,BZ$3,実績!$AI$6:$AI$505,"&lt;="&amp;$A48,実績!$AJ$6:$AJ$505,"&gt;"&amp;$A48,実績!$AL$6:$AL$505,"○")&gt;0,1,0))</f>
        <v>0</v>
      </c>
      <c r="CA48" s="39" t="n">
        <f aca="false">IF(CA$4=0,0,IF(COUNTIFS(実績!$W$6:$W$505,CA$3,実績!$AI$6:$AI$505,"&lt;="&amp;$A48,実績!$AJ$6:$AJ$505,"&gt;"&amp;$A48,実績!$AL$6:$AL$505,"○")&gt;0,1,0))</f>
        <v>0</v>
      </c>
      <c r="CB48" s="39" t="n">
        <f aca="false">IF(CB$4=0,0,IF(COUNTIFS(実績!$W$6:$W$505,CB$3,実績!$AI$6:$AI$505,"&lt;="&amp;$A48,実績!$AJ$6:$AJ$505,"&gt;"&amp;$A48,実績!$AL$6:$AL$505,"○")&gt;0,1,0))</f>
        <v>0</v>
      </c>
      <c r="CC48" s="39" t="n">
        <f aca="false">IF(CC$4=0,0,IF(COUNTIFS(実績!$W$6:$W$505,CC$3,実績!$AI$6:$AI$505,"&lt;="&amp;$A48,実績!$AJ$6:$AJ$505,"&gt;"&amp;$A48,実績!$AL$6:$AL$505,"○")&gt;0,1,0))</f>
        <v>0</v>
      </c>
      <c r="CD48" s="39" t="n">
        <f aca="false">IF(CD$4=0,0,IF(COUNTIFS(実績!$W$6:$W$505,CD$3,実績!$AI$6:$AI$505,"&lt;="&amp;$A48,実績!$AJ$6:$AJ$505,"&gt;"&amp;$A48,実績!$AL$6:$AL$505,"○")&gt;0,1,0))</f>
        <v>0</v>
      </c>
      <c r="CE48" s="39" t="n">
        <f aca="false">IF(CE$4=0,0,IF(COUNTIFS(実績!$W$6:$W$505,CE$3,実績!$AI$6:$AI$505,"&lt;="&amp;$A48,実績!$AJ$6:$AJ$505,"&gt;"&amp;$A48,実績!$AL$6:$AL$505,"○")&gt;0,1,0))</f>
        <v>0</v>
      </c>
      <c r="CF48" s="39" t="n">
        <f aca="false">IF(CF$4=0,0,IF(COUNTIFS(実績!$W$6:$W$505,CF$3,実績!$AI$6:$AI$505,"&lt;="&amp;$A48,実績!$AJ$6:$AJ$505,"&gt;"&amp;$A48,実績!$AL$6:$AL$505,"○")&gt;0,1,0))</f>
        <v>0</v>
      </c>
      <c r="CG48" s="39" t="n">
        <f aca="false">IF(CG$4=0,0,IF(COUNTIFS(実績!$W$6:$W$505,CG$3,実績!$AI$6:$AI$505,"&lt;="&amp;$A48,実績!$AJ$6:$AJ$505,"&gt;"&amp;$A48,実績!$AL$6:$AL$505,"○")&gt;0,1,0))</f>
        <v>0</v>
      </c>
      <c r="CH48" s="39" t="n">
        <f aca="false">IF(CH$4=0,0,IF(COUNTIFS(実績!$W$6:$W$505,CH$3,実績!$AI$6:$AI$505,"&lt;="&amp;$A48,実績!$AJ$6:$AJ$505,"&gt;"&amp;$A48,実績!$AL$6:$AL$505,"○")&gt;0,1,0))</f>
        <v>0</v>
      </c>
      <c r="CI48" s="39" t="n">
        <f aca="false">IF(CI$4=0,0,IF(COUNTIFS(実績!$W$6:$W$505,CI$3,実績!$AI$6:$AI$505,"&lt;="&amp;$A48,実績!$AJ$6:$AJ$505,"&gt;"&amp;$A48,実績!$AL$6:$AL$505,"○")&gt;0,1,0))</f>
        <v>0</v>
      </c>
      <c r="CJ48" s="39" t="n">
        <f aca="false">IF(CJ$4=0,0,IF(COUNTIFS(実績!$W$6:$W$505,CJ$3,実績!$AI$6:$AI$505,"&lt;="&amp;$A48,実績!$AJ$6:$AJ$505,"&gt;"&amp;$A48,実績!$AL$6:$AL$505,"○")&gt;0,1,0))</f>
        <v>0</v>
      </c>
      <c r="CK48" s="39" t="n">
        <f aca="false">IF(CK$4=0,0,IF(COUNTIFS(実績!$W$6:$W$505,CK$3,実績!$AI$6:$AI$505,"&lt;="&amp;$A48,実績!$AJ$6:$AJ$505,"&gt;"&amp;$A48,実績!$AL$6:$AL$505,"○")&gt;0,1,0))</f>
        <v>0</v>
      </c>
      <c r="CL48" s="39" t="n">
        <f aca="false">IF(CL$4=0,0,IF(COUNTIFS(実績!$W$6:$W$505,CL$3,実績!$AI$6:$AI$505,"&lt;="&amp;$A48,実績!$AJ$6:$AJ$505,"&gt;"&amp;$A48,実績!$AL$6:$AL$505,"○")&gt;0,1,0))</f>
        <v>0</v>
      </c>
      <c r="CM48" s="39" t="n">
        <f aca="false">IF(CM$4=0,0,IF(COUNTIFS(実績!$W$6:$W$505,CM$3,実績!$AI$6:$AI$505,"&lt;="&amp;$A48,実績!$AJ$6:$AJ$505,"&gt;"&amp;$A48,実績!$AL$6:$AL$505,"○")&gt;0,1,0))</f>
        <v>0</v>
      </c>
      <c r="CN48" s="39" t="n">
        <f aca="false">IF(CN$4=0,0,IF(COUNTIFS(実績!$W$6:$W$505,CN$3,実績!$AI$6:$AI$505,"&lt;="&amp;$A48,実績!$AJ$6:$AJ$505,"&gt;"&amp;$A48,実績!$AL$6:$AL$505,"○")&gt;0,1,0))</f>
        <v>0</v>
      </c>
      <c r="CO48" s="39" t="n">
        <f aca="false">IF(CO$4=0,0,IF(COUNTIFS(実績!$W$6:$W$505,CO$3,実績!$AI$6:$AI$505,"&lt;="&amp;$A48,実績!$AJ$6:$AJ$505,"&gt;"&amp;$A48,実績!$AL$6:$AL$505,"○")&gt;0,1,0))</f>
        <v>0</v>
      </c>
      <c r="CP48" s="39" t="n">
        <f aca="false">IF(CP$4=0,0,IF(COUNTIFS(実績!$W$6:$W$505,CP$3,実績!$AI$6:$AI$505,"&lt;="&amp;$A48,実績!$AJ$6:$AJ$505,"&gt;"&amp;$A48,実績!$AL$6:$AL$505,"○")&gt;0,1,0))</f>
        <v>0</v>
      </c>
      <c r="CQ48" s="39" t="n">
        <f aca="false">IF(CQ$4=0,0,IF(COUNTIFS(実績!$W$6:$W$505,CQ$3,実績!$AI$6:$AI$505,"&lt;="&amp;$A48,実績!$AJ$6:$AJ$505,"&gt;"&amp;$A48,実績!$AL$6:$AL$505,"○")&gt;0,1,0))</f>
        <v>0</v>
      </c>
      <c r="CR48" s="39" t="n">
        <f aca="false">IF(CR$4=0,0,IF(COUNTIFS(実績!$W$6:$W$505,CR$3,実績!$AI$6:$AI$505,"&lt;="&amp;$A48,実績!$AJ$6:$AJ$505,"&gt;"&amp;$A48,実績!$AL$6:$AL$505,"○")&gt;0,1,0))</f>
        <v>0</v>
      </c>
      <c r="CS48" s="39" t="n">
        <f aca="false">IF(CS$4=0,0,IF(COUNTIFS(実績!$W$6:$W$505,CS$3,実績!$AI$6:$AI$505,"&lt;="&amp;$A48,実績!$AJ$6:$AJ$505,"&gt;"&amp;$A48,実績!$AL$6:$AL$505,"○")&gt;0,1,0))</f>
        <v>0</v>
      </c>
      <c r="CT48" s="39" t="n">
        <f aca="false">IF(CT$4=0,0,IF(COUNTIFS(実績!$W$6:$W$505,CT$3,実績!$AI$6:$AI$505,"&lt;="&amp;$A48,実績!$AJ$6:$AJ$505,"&gt;"&amp;$A48,実績!$AL$6:$AL$505,"○")&gt;0,1,0))</f>
        <v>0</v>
      </c>
      <c r="CU48" s="39" t="n">
        <f aca="false">IF(CU$4=0,0,IF(COUNTIFS(実績!$W$6:$W$505,CU$3,実績!$AI$6:$AI$505,"&lt;="&amp;$A48,実績!$AJ$6:$AJ$505,"&gt;"&amp;$A48,実績!$AL$6:$AL$505,"○")&gt;0,1,0))</f>
        <v>0</v>
      </c>
      <c r="CV48" s="39" t="n">
        <f aca="false">IF(CV$4=0,0,IF(COUNTIFS(実績!$W$6:$W$505,CV$3,実績!$AI$6:$AI$505,"&lt;="&amp;$A48,実績!$AJ$6:$AJ$505,"&gt;"&amp;$A48,実績!$AL$6:$AL$505,"○")&gt;0,1,0))</f>
        <v>0</v>
      </c>
      <c r="CW48" s="39" t="n">
        <f aca="false">IF(CW$4=0,0,IF(COUNTIFS(実績!$W$6:$W$505,CW$3,実績!$AI$6:$AI$505,"&lt;="&amp;$A48,実績!$AJ$6:$AJ$505,"&gt;"&amp;$A48,実績!$AL$6:$AL$505,"○")&gt;0,1,0))</f>
        <v>0</v>
      </c>
      <c r="CX48" s="39" t="n">
        <f aca="false">IF(CX$4=0,0,IF(COUNTIFS(実績!$W$6:$W$505,CX$3,実績!$AI$6:$AI$505,"&lt;="&amp;$A48,実績!$AJ$6:$AJ$505,"&gt;"&amp;$A48,実績!$AL$6:$AL$505,"○")&gt;0,1,0))</f>
        <v>0</v>
      </c>
      <c r="CY48" s="39" t="n">
        <f aca="false">IF(CY$4=0,0,IF(COUNTIFS(実績!$W$6:$W$505,CY$3,実績!$AI$6:$AI$505,"&lt;="&amp;$A48,実績!$AJ$6:$AJ$505,"&gt;"&amp;$A48,実績!$AL$6:$AL$505,"○")&gt;0,1,0))</f>
        <v>0</v>
      </c>
      <c r="CZ48" s="39" t="n">
        <f aca="false">IF(CZ$4=0,0,IF(COUNTIFS(実績!$W$6:$W$505,CZ$3,実績!$AI$6:$AI$505,"&lt;="&amp;$A48,実績!$AJ$6:$AJ$505,"&gt;"&amp;$A48,実績!$AL$6:$AL$505,"○")&gt;0,1,0))</f>
        <v>0</v>
      </c>
      <c r="DA48" s="39" t="n">
        <f aca="false">IF(DA$4=0,0,IF(COUNTIFS(実績!$W$6:$W$505,DA$3,実績!$AI$6:$AI$505,"&lt;="&amp;$A48,実績!$AJ$6:$AJ$505,"&gt;"&amp;$A48,実績!$AL$6:$AL$505,"○")&gt;0,1,0))</f>
        <v>0</v>
      </c>
      <c r="DB48" s="39" t="n">
        <f aca="false">IF(DB$4=0,0,IF(COUNTIFS(実績!$W$6:$W$505,DB$3,実績!$AI$6:$AI$505,"&lt;="&amp;$A48,実績!$AJ$6:$AJ$505,"&gt;"&amp;$A48,実績!$AL$6:$AL$505,"○")&gt;0,1,0))</f>
        <v>0</v>
      </c>
      <c r="DC48" s="39" t="n">
        <f aca="false">IF(DC$4=0,0,IF(COUNTIFS(実績!$W$6:$W$505,DC$3,実績!$AI$6:$AI$505,"&lt;="&amp;$A48,実績!$AJ$6:$AJ$505,"&gt;"&amp;$A48,実績!$AL$6:$AL$505,"○")&gt;0,1,0))</f>
        <v>0</v>
      </c>
      <c r="DD48" s="39" t="n">
        <f aca="false">IF(DD$4=0,0,IF(COUNTIFS(実績!$W$6:$W$505,DD$3,実績!$AI$6:$AI$505,"&lt;="&amp;$A48,実績!$AJ$6:$AJ$505,"&gt;"&amp;$A48,実績!$AL$6:$AL$505,"○")&gt;0,1,0))</f>
        <v>0</v>
      </c>
      <c r="DE48" s="39" t="n">
        <f aca="false">IF(DE$4=0,0,IF(COUNTIFS(実績!$W$6:$W$505,DE$3,実績!$AI$6:$AI$505,"&lt;="&amp;$A48,実績!$AJ$6:$AJ$505,"&gt;"&amp;$A48,実績!$AL$6:$AL$505,"○")&gt;0,1,0))</f>
        <v>0</v>
      </c>
      <c r="DF48" s="39" t="n">
        <f aca="false">IF(DF$4=0,0,IF(COUNTIFS(実績!$W$6:$W$505,DF$3,実績!$AI$6:$AI$505,"&lt;="&amp;$A48,実績!$AJ$6:$AJ$505,"&gt;"&amp;$A48,実績!$AL$6:$AL$505,"○")&gt;0,1,0))</f>
        <v>0</v>
      </c>
      <c r="DG48" s="39" t="n">
        <f aca="false">IF(DG$4=0,0,IF(COUNTIFS(実績!$W$6:$W$505,DG$3,実績!$AI$6:$AI$505,"&lt;="&amp;$A48,実績!$AJ$6:$AJ$505,"&gt;"&amp;$A48,実績!$AL$6:$AL$505,"○")&gt;0,1,0))</f>
        <v>0</v>
      </c>
      <c r="DH48" s="39" t="n">
        <f aca="false">IF(DH$4=0,0,IF(COUNTIFS(実績!$W$6:$W$505,DH$3,実績!$AI$6:$AI$505,"&lt;="&amp;$A48,実績!$AJ$6:$AJ$505,"&gt;"&amp;$A48,実績!$AL$6:$AL$505,"○")&gt;0,1,0))</f>
        <v>0</v>
      </c>
      <c r="DI48" s="39" t="n">
        <f aca="false">IF(DI$4=0,0,IF(COUNTIFS(実績!$W$6:$W$505,DI$3,実績!$AI$6:$AI$505,"&lt;="&amp;$A48,実績!$AJ$6:$AJ$505,"&gt;"&amp;$A48,実績!$AL$6:$AL$505,"○")&gt;0,1,0))</f>
        <v>0</v>
      </c>
      <c r="DJ48" s="39" t="n">
        <f aca="false">IF(DJ$4=0,0,IF(COUNTIFS(実績!$W$6:$W$505,DJ$3,実績!$AI$6:$AI$505,"&lt;="&amp;$A48,実績!$AJ$6:$AJ$505,"&gt;"&amp;$A48,実績!$AL$6:$AL$505,"○")&gt;0,1,0))</f>
        <v>0</v>
      </c>
      <c r="DK48" s="39" t="n">
        <f aca="false">IF(DK$4=0,0,IF(COUNTIFS(実績!$W$6:$W$505,DK$3,実績!$AI$6:$AI$505,"&lt;="&amp;$A48,実績!$AJ$6:$AJ$505,"&gt;"&amp;$A48,実績!$AL$6:$AL$505,"○")&gt;0,1,0))</f>
        <v>0</v>
      </c>
      <c r="DL48" s="39" t="n">
        <f aca="false">IF(DL$4=0,0,IF(COUNTIFS(実績!$W$6:$W$505,DL$3,実績!$AI$6:$AI$505,"&lt;="&amp;$A48,実績!$AJ$6:$AJ$505,"&gt;"&amp;$A48,実績!$AL$6:$AL$505,"○")&gt;0,1,0))</f>
        <v>0</v>
      </c>
      <c r="DM48" s="39" t="n">
        <f aca="false">IF(DM$4=0,0,IF(COUNTIFS(実績!$W$6:$W$505,DM$3,実績!$AI$6:$AI$505,"&lt;="&amp;$A48,実績!$AJ$6:$AJ$505,"&gt;"&amp;$A48,実績!$AL$6:$AL$505,"○")&gt;0,1,0))</f>
        <v>0</v>
      </c>
      <c r="DN48" s="39" t="n">
        <f aca="false">IF(DN$4=0,0,IF(COUNTIFS(実績!$W$6:$W$505,DN$3,実績!$AI$6:$AI$505,"&lt;="&amp;$A48,実績!$AJ$6:$AJ$505,"&gt;"&amp;$A48,実績!$AL$6:$AL$505,"○")&gt;0,1,0))</f>
        <v>0</v>
      </c>
      <c r="DO48" s="39" t="n">
        <f aca="false">IF(DO$4=0,0,IF(COUNTIFS(実績!$W$6:$W$505,DO$3,実績!$AI$6:$AI$505,"&lt;="&amp;$A48,実績!$AJ$6:$AJ$505,"&gt;"&amp;$A48,実績!$AL$6:$AL$505,"○")&gt;0,1,0))</f>
        <v>0</v>
      </c>
      <c r="DP48" s="39" t="n">
        <f aca="false">IF(DP$4=0,0,IF(COUNTIFS(実績!$W$6:$W$505,DP$3,実績!$AI$6:$AI$505,"&lt;="&amp;$A48,実績!$AJ$6:$AJ$505,"&gt;"&amp;$A48,実績!$AL$6:$AL$505,"○")&gt;0,1,0))</f>
        <v>0</v>
      </c>
      <c r="DQ48" s="39" t="n">
        <f aca="false">IF(DQ$4=0,0,IF(COUNTIFS(実績!$W$6:$W$505,DQ$3,実績!$AI$6:$AI$505,"&lt;="&amp;$A48,実績!$AJ$6:$AJ$505,"&gt;"&amp;$A48,実績!$AL$6:$AL$505,"○")&gt;0,1,0))</f>
        <v>0</v>
      </c>
      <c r="DR48" s="39" t="n">
        <f aca="false">IF(DR$4=0,0,IF(COUNTIFS(実績!$W$6:$W$505,DR$3,実績!$AI$6:$AI$505,"&lt;="&amp;$A48,実績!$AJ$6:$AJ$505,"&gt;"&amp;$A48,実績!$AL$6:$AL$505,"○")&gt;0,1,0))</f>
        <v>0</v>
      </c>
      <c r="DS48" s="39" t="n">
        <f aca="false">SUM(C48:DR48)</f>
        <v>0</v>
      </c>
    </row>
    <row r="49" customFormat="false" ht="15" hidden="false" customHeight="false" outlineLevel="0" collapsed="false">
      <c r="A49" s="0" t="n">
        <v>215</v>
      </c>
      <c r="B49" s="38" t="n">
        <f aca="false">A49/1440</f>
        <v>0.149305555555556</v>
      </c>
      <c r="C49" s="39" t="n">
        <f aca="false">IF(C$4=0,0,IF(COUNTIFS(実績!$W$6:$W$505,C$3,実績!$AI$6:$AI$505,"&lt;="&amp;$A49,実績!$AJ$6:$AJ$505,"&gt;"&amp;$A49,実績!$AL$6:$AL$505,"○")&gt;0,1,0))</f>
        <v>0</v>
      </c>
      <c r="D49" s="39" t="n">
        <f aca="false">IF(D$4=0,0,IF(COUNTIFS(実績!$W$6:$W$505,D$3,実績!$AI$6:$AI$505,"&lt;="&amp;$A49,実績!$AJ$6:$AJ$505,"&gt;"&amp;$A49,実績!$AL$6:$AL$505,"○")&gt;0,1,0))</f>
        <v>0</v>
      </c>
      <c r="E49" s="39" t="n">
        <f aca="false">IF(E$4=0,0,IF(COUNTIFS(実績!$W$6:$W$505,E$3,実績!$AI$6:$AI$505,"&lt;="&amp;$A49,実績!$AJ$6:$AJ$505,"&gt;"&amp;$A49,実績!$AL$6:$AL$505,"○")&gt;0,1,0))</f>
        <v>0</v>
      </c>
      <c r="F49" s="39" t="n">
        <f aca="false">IF(F$4=0,0,IF(COUNTIFS(実績!$W$6:$W$505,F$3,実績!$AI$6:$AI$505,"&lt;="&amp;$A49,実績!$AJ$6:$AJ$505,"&gt;"&amp;$A49,実績!$AL$6:$AL$505,"○")&gt;0,1,0))</f>
        <v>0</v>
      </c>
      <c r="G49" s="39" t="n">
        <f aca="false">IF(G$4=0,0,IF(COUNTIFS(実績!$W$6:$W$505,G$3,実績!$AI$6:$AI$505,"&lt;="&amp;$A49,実績!$AJ$6:$AJ$505,"&gt;"&amp;$A49,実績!$AL$6:$AL$505,"○")&gt;0,1,0))</f>
        <v>0</v>
      </c>
      <c r="H49" s="39" t="n">
        <f aca="false">IF(H$4=0,0,IF(COUNTIFS(実績!$W$6:$W$505,H$3,実績!$AI$6:$AI$505,"&lt;="&amp;$A49,実績!$AJ$6:$AJ$505,"&gt;"&amp;$A49,実績!$AL$6:$AL$505,"○")&gt;0,1,0))</f>
        <v>0</v>
      </c>
      <c r="I49" s="39" t="n">
        <f aca="false">IF(I$4=0,0,IF(COUNTIFS(実績!$W$6:$W$505,I$3,実績!$AI$6:$AI$505,"&lt;="&amp;$A49,実績!$AJ$6:$AJ$505,"&gt;"&amp;$A49,実績!$AL$6:$AL$505,"○")&gt;0,1,0))</f>
        <v>0</v>
      </c>
      <c r="J49" s="39" t="n">
        <f aca="false">IF(J$4=0,0,IF(COUNTIFS(実績!$W$6:$W$505,J$3,実績!$AI$6:$AI$505,"&lt;="&amp;$A49,実績!$AJ$6:$AJ$505,"&gt;"&amp;$A49,実績!$AL$6:$AL$505,"○")&gt;0,1,0))</f>
        <v>0</v>
      </c>
      <c r="K49" s="39" t="n">
        <f aca="false">IF(K$4=0,0,IF(COUNTIFS(実績!$W$6:$W$505,K$3,実績!$AI$6:$AI$505,"&lt;="&amp;$A49,実績!$AJ$6:$AJ$505,"&gt;"&amp;$A49,実績!$AL$6:$AL$505,"○")&gt;0,1,0))</f>
        <v>0</v>
      </c>
      <c r="L49" s="39" t="n">
        <f aca="false">IF(L$4=0,0,IF(COUNTIFS(実績!$W$6:$W$505,L$3,実績!$AI$6:$AI$505,"&lt;="&amp;$A49,実績!$AJ$6:$AJ$505,"&gt;"&amp;$A49,実績!$AL$6:$AL$505,"○")&gt;0,1,0))</f>
        <v>0</v>
      </c>
      <c r="M49" s="39" t="n">
        <f aca="false">IF(M$4=0,0,IF(COUNTIFS(実績!$W$6:$W$505,M$3,実績!$AI$6:$AI$505,"&lt;="&amp;$A49,実績!$AJ$6:$AJ$505,"&gt;"&amp;$A49,実績!$AL$6:$AL$505,"○")&gt;0,1,0))</f>
        <v>0</v>
      </c>
      <c r="N49" s="39" t="n">
        <f aca="false">IF(N$4=0,0,IF(COUNTIFS(実績!$W$6:$W$505,N$3,実績!$AI$6:$AI$505,"&lt;="&amp;$A49,実績!$AJ$6:$AJ$505,"&gt;"&amp;$A49,実績!$AL$6:$AL$505,"○")&gt;0,1,0))</f>
        <v>0</v>
      </c>
      <c r="O49" s="39" t="n">
        <f aca="false">IF(O$4=0,0,IF(COUNTIFS(実績!$W$6:$W$505,O$3,実績!$AI$6:$AI$505,"&lt;="&amp;$A49,実績!$AJ$6:$AJ$505,"&gt;"&amp;$A49,実績!$AL$6:$AL$505,"○")&gt;0,1,0))</f>
        <v>0</v>
      </c>
      <c r="P49" s="39" t="n">
        <f aca="false">IF(P$4=0,0,IF(COUNTIFS(実績!$W$6:$W$505,P$3,実績!$AI$6:$AI$505,"&lt;="&amp;$A49,実績!$AJ$6:$AJ$505,"&gt;"&amp;$A49,実績!$AL$6:$AL$505,"○")&gt;0,1,0))</f>
        <v>0</v>
      </c>
      <c r="Q49" s="39" t="n">
        <f aca="false">IF(Q$4=0,0,IF(COUNTIFS(実績!$W$6:$W$505,Q$3,実績!$AI$6:$AI$505,"&lt;="&amp;$A49,実績!$AJ$6:$AJ$505,"&gt;"&amp;$A49,実績!$AL$6:$AL$505,"○")&gt;0,1,0))</f>
        <v>0</v>
      </c>
      <c r="R49" s="39" t="n">
        <f aca="false">IF(R$4=0,0,IF(COUNTIFS(実績!$W$6:$W$505,R$3,実績!$AI$6:$AI$505,"&lt;="&amp;$A49,実績!$AJ$6:$AJ$505,"&gt;"&amp;$A49,実績!$AL$6:$AL$505,"○")&gt;0,1,0))</f>
        <v>0</v>
      </c>
      <c r="S49" s="39" t="n">
        <f aca="false">IF(S$4=0,0,IF(COUNTIFS(実績!$W$6:$W$505,S$3,実績!$AI$6:$AI$505,"&lt;="&amp;$A49,実績!$AJ$6:$AJ$505,"&gt;"&amp;$A49,実績!$AL$6:$AL$505,"○")&gt;0,1,0))</f>
        <v>0</v>
      </c>
      <c r="T49" s="39" t="n">
        <f aca="false">IF(T$4=0,0,IF(COUNTIFS(実績!$W$6:$W$505,T$3,実績!$AI$6:$AI$505,"&lt;="&amp;$A49,実績!$AJ$6:$AJ$505,"&gt;"&amp;$A49,実績!$AL$6:$AL$505,"○")&gt;0,1,0))</f>
        <v>0</v>
      </c>
      <c r="U49" s="39" t="n">
        <f aca="false">IF(U$4=0,0,IF(COUNTIFS(実績!$W$6:$W$505,U$3,実績!$AI$6:$AI$505,"&lt;="&amp;$A49,実績!$AJ$6:$AJ$505,"&gt;"&amp;$A49,実績!$AL$6:$AL$505,"○")&gt;0,1,0))</f>
        <v>0</v>
      </c>
      <c r="V49" s="39" t="n">
        <f aca="false">IF(V$4=0,0,IF(COUNTIFS(実績!$W$6:$W$505,V$3,実績!$AI$6:$AI$505,"&lt;="&amp;$A49,実績!$AJ$6:$AJ$505,"&gt;"&amp;$A49,実績!$AL$6:$AL$505,"○")&gt;0,1,0))</f>
        <v>0</v>
      </c>
      <c r="W49" s="39" t="n">
        <f aca="false">IF(W$4=0,0,IF(COUNTIFS(実績!$W$6:$W$505,W$3,実績!$AI$6:$AI$505,"&lt;="&amp;$A49,実績!$AJ$6:$AJ$505,"&gt;"&amp;$A49,実績!$AL$6:$AL$505,"○")&gt;0,1,0))</f>
        <v>0</v>
      </c>
      <c r="X49" s="39" t="n">
        <f aca="false">IF(X$4=0,0,IF(COUNTIFS(実績!$W$6:$W$505,X$3,実績!$AI$6:$AI$505,"&lt;="&amp;$A49,実績!$AJ$6:$AJ$505,"&gt;"&amp;$A49,実績!$AL$6:$AL$505,"○")&gt;0,1,0))</f>
        <v>0</v>
      </c>
      <c r="Y49" s="39" t="n">
        <f aca="false">IF(Y$4=0,0,IF(COUNTIFS(実績!$W$6:$W$505,Y$3,実績!$AI$6:$AI$505,"&lt;="&amp;$A49,実績!$AJ$6:$AJ$505,"&gt;"&amp;$A49,実績!$AL$6:$AL$505,"○")&gt;0,1,0))</f>
        <v>0</v>
      </c>
      <c r="Z49" s="39" t="n">
        <f aca="false">IF(Z$4=0,0,IF(COUNTIFS(実績!$W$6:$W$505,Z$3,実績!$AI$6:$AI$505,"&lt;="&amp;$A49,実績!$AJ$6:$AJ$505,"&gt;"&amp;$A49,実績!$AL$6:$AL$505,"○")&gt;0,1,0))</f>
        <v>0</v>
      </c>
      <c r="AA49" s="39" t="n">
        <f aca="false">IF(AA$4=0,0,IF(COUNTIFS(実績!$W$6:$W$505,AA$3,実績!$AI$6:$AI$505,"&lt;="&amp;$A49,実績!$AJ$6:$AJ$505,"&gt;"&amp;$A49,実績!$AL$6:$AL$505,"○")&gt;0,1,0))</f>
        <v>0</v>
      </c>
      <c r="AB49" s="39" t="n">
        <f aca="false">IF(AB$4=0,0,IF(COUNTIFS(実績!$W$6:$W$505,AB$3,実績!$AI$6:$AI$505,"&lt;="&amp;$A49,実績!$AJ$6:$AJ$505,"&gt;"&amp;$A49,実績!$AL$6:$AL$505,"○")&gt;0,1,0))</f>
        <v>0</v>
      </c>
      <c r="AC49" s="39" t="n">
        <f aca="false">IF(AC$4=0,0,IF(COUNTIFS(実績!$W$6:$W$505,AC$3,実績!$AI$6:$AI$505,"&lt;="&amp;$A49,実績!$AJ$6:$AJ$505,"&gt;"&amp;$A49,実績!$AL$6:$AL$505,"○")&gt;0,1,0))</f>
        <v>0</v>
      </c>
      <c r="AD49" s="39" t="n">
        <f aca="false">IF(AD$4=0,0,IF(COUNTIFS(実績!$W$6:$W$505,AD$3,実績!$AI$6:$AI$505,"&lt;="&amp;$A49,実績!$AJ$6:$AJ$505,"&gt;"&amp;$A49,実績!$AL$6:$AL$505,"○")&gt;0,1,0))</f>
        <v>0</v>
      </c>
      <c r="AE49" s="39" t="n">
        <f aca="false">IF(AE$4=0,0,IF(COUNTIFS(実績!$W$6:$W$505,AE$3,実績!$AI$6:$AI$505,"&lt;="&amp;$A49,実績!$AJ$6:$AJ$505,"&gt;"&amp;$A49,実績!$AL$6:$AL$505,"○")&gt;0,1,0))</f>
        <v>0</v>
      </c>
      <c r="AF49" s="39" t="n">
        <f aca="false">IF(AF$4=0,0,IF(COUNTIFS(実績!$W$6:$W$505,AF$3,実績!$AI$6:$AI$505,"&lt;="&amp;$A49,実績!$AJ$6:$AJ$505,"&gt;"&amp;$A49,実績!$AL$6:$AL$505,"○")&gt;0,1,0))</f>
        <v>0</v>
      </c>
      <c r="AG49" s="39" t="n">
        <f aca="false">IF(AG$4=0,0,IF(COUNTIFS(実績!$W$6:$W$505,AG$3,実績!$AI$6:$AI$505,"&lt;="&amp;$A49,実績!$AJ$6:$AJ$505,"&gt;"&amp;$A49,実績!$AL$6:$AL$505,"○")&gt;0,1,0))</f>
        <v>0</v>
      </c>
      <c r="AH49" s="39" t="n">
        <f aca="false">IF(AH$4=0,0,IF(COUNTIFS(実績!$W$6:$W$505,AH$3,実績!$AI$6:$AI$505,"&lt;="&amp;$A49,実績!$AJ$6:$AJ$505,"&gt;"&amp;$A49,実績!$AL$6:$AL$505,"○")&gt;0,1,0))</f>
        <v>0</v>
      </c>
      <c r="AI49" s="39" t="n">
        <f aca="false">IF(AI$4=0,0,IF(COUNTIFS(実績!$W$6:$W$505,AI$3,実績!$AI$6:$AI$505,"&lt;="&amp;$A49,実績!$AJ$6:$AJ$505,"&gt;"&amp;$A49,実績!$AL$6:$AL$505,"○")&gt;0,1,0))</f>
        <v>0</v>
      </c>
      <c r="AJ49" s="39" t="n">
        <f aca="false">IF(AJ$4=0,0,IF(COUNTIFS(実績!$W$6:$W$505,AJ$3,実績!$AI$6:$AI$505,"&lt;="&amp;$A49,実績!$AJ$6:$AJ$505,"&gt;"&amp;$A49,実績!$AL$6:$AL$505,"○")&gt;0,1,0))</f>
        <v>0</v>
      </c>
      <c r="AK49" s="39" t="n">
        <f aca="false">IF(AK$4=0,0,IF(COUNTIFS(実績!$W$6:$W$505,AK$3,実績!$AI$6:$AI$505,"&lt;="&amp;$A49,実績!$AJ$6:$AJ$505,"&gt;"&amp;$A49,実績!$AL$6:$AL$505,"○")&gt;0,1,0))</f>
        <v>0</v>
      </c>
      <c r="AL49" s="39" t="n">
        <f aca="false">IF(AL$4=0,0,IF(COUNTIFS(実績!$W$6:$W$505,AL$3,実績!$AI$6:$AI$505,"&lt;="&amp;$A49,実績!$AJ$6:$AJ$505,"&gt;"&amp;$A49,実績!$AL$6:$AL$505,"○")&gt;0,1,0))</f>
        <v>0</v>
      </c>
      <c r="AM49" s="39" t="n">
        <f aca="false">IF(AM$4=0,0,IF(COUNTIFS(実績!$W$6:$W$505,AM$3,実績!$AI$6:$AI$505,"&lt;="&amp;$A49,実績!$AJ$6:$AJ$505,"&gt;"&amp;$A49,実績!$AL$6:$AL$505,"○")&gt;0,1,0))</f>
        <v>0</v>
      </c>
      <c r="AN49" s="39" t="n">
        <f aca="false">IF(AN$4=0,0,IF(COUNTIFS(実績!$W$6:$W$505,AN$3,実績!$AI$6:$AI$505,"&lt;="&amp;$A49,実績!$AJ$6:$AJ$505,"&gt;"&amp;$A49,実績!$AL$6:$AL$505,"○")&gt;0,1,0))</f>
        <v>0</v>
      </c>
      <c r="AO49" s="39" t="n">
        <f aca="false">IF(AO$4=0,0,IF(COUNTIFS(実績!$W$6:$W$505,AO$3,実績!$AI$6:$AI$505,"&lt;="&amp;$A49,実績!$AJ$6:$AJ$505,"&gt;"&amp;$A49,実績!$AL$6:$AL$505,"○")&gt;0,1,0))</f>
        <v>0</v>
      </c>
      <c r="AP49" s="39" t="n">
        <f aca="false">IF(AP$4=0,0,IF(COUNTIFS(実績!$W$6:$W$505,AP$3,実績!$AI$6:$AI$505,"&lt;="&amp;$A49,実績!$AJ$6:$AJ$505,"&gt;"&amp;$A49,実績!$AL$6:$AL$505,"○")&gt;0,1,0))</f>
        <v>0</v>
      </c>
      <c r="AQ49" s="39" t="n">
        <f aca="false">IF(AQ$4=0,0,IF(COUNTIFS(実績!$W$6:$W$505,AQ$3,実績!$AI$6:$AI$505,"&lt;="&amp;$A49,実績!$AJ$6:$AJ$505,"&gt;"&amp;$A49,実績!$AL$6:$AL$505,"○")&gt;0,1,0))</f>
        <v>0</v>
      </c>
      <c r="AR49" s="39" t="n">
        <f aca="false">IF(AR$4=0,0,IF(COUNTIFS(実績!$W$6:$W$505,AR$3,実績!$AI$6:$AI$505,"&lt;="&amp;$A49,実績!$AJ$6:$AJ$505,"&gt;"&amp;$A49,実績!$AL$6:$AL$505,"○")&gt;0,1,0))</f>
        <v>0</v>
      </c>
      <c r="AS49" s="39" t="n">
        <f aca="false">IF(AS$4=0,0,IF(COUNTIFS(実績!$W$6:$W$505,AS$3,実績!$AI$6:$AI$505,"&lt;="&amp;$A49,実績!$AJ$6:$AJ$505,"&gt;"&amp;$A49,実績!$AL$6:$AL$505,"○")&gt;0,1,0))</f>
        <v>0</v>
      </c>
      <c r="AT49" s="39" t="n">
        <f aca="false">IF(AT$4=0,0,IF(COUNTIFS(実績!$W$6:$W$505,AT$3,実績!$AI$6:$AI$505,"&lt;="&amp;$A49,実績!$AJ$6:$AJ$505,"&gt;"&amp;$A49,実績!$AL$6:$AL$505,"○")&gt;0,1,0))</f>
        <v>0</v>
      </c>
      <c r="AU49" s="39" t="n">
        <f aca="false">IF(AU$4=0,0,IF(COUNTIFS(実績!$W$6:$W$505,AU$3,実績!$AI$6:$AI$505,"&lt;="&amp;$A49,実績!$AJ$6:$AJ$505,"&gt;"&amp;$A49,実績!$AL$6:$AL$505,"○")&gt;0,1,0))</f>
        <v>0</v>
      </c>
      <c r="AV49" s="39" t="n">
        <f aca="false">IF(AV$4=0,0,IF(COUNTIFS(実績!$W$6:$W$505,AV$3,実績!$AI$6:$AI$505,"&lt;="&amp;$A49,実績!$AJ$6:$AJ$505,"&gt;"&amp;$A49,実績!$AL$6:$AL$505,"○")&gt;0,1,0))</f>
        <v>0</v>
      </c>
      <c r="AW49" s="39" t="n">
        <f aca="false">IF(AW$4=0,0,IF(COUNTIFS(実績!$W$6:$W$505,AW$3,実績!$AI$6:$AI$505,"&lt;="&amp;$A49,実績!$AJ$6:$AJ$505,"&gt;"&amp;$A49,実績!$AL$6:$AL$505,"○")&gt;0,1,0))</f>
        <v>0</v>
      </c>
      <c r="AX49" s="39" t="n">
        <f aca="false">IF(AX$4=0,0,IF(COUNTIFS(実績!$W$6:$W$505,AX$3,実績!$AI$6:$AI$505,"&lt;="&amp;$A49,実績!$AJ$6:$AJ$505,"&gt;"&amp;$A49,実績!$AL$6:$AL$505,"○")&gt;0,1,0))</f>
        <v>0</v>
      </c>
      <c r="AY49" s="39" t="n">
        <f aca="false">IF(AY$4=0,0,IF(COUNTIFS(実績!$W$6:$W$505,AY$3,実績!$AI$6:$AI$505,"&lt;="&amp;$A49,実績!$AJ$6:$AJ$505,"&gt;"&amp;$A49,実績!$AL$6:$AL$505,"○")&gt;0,1,0))</f>
        <v>0</v>
      </c>
      <c r="AZ49" s="39" t="n">
        <f aca="false">IF(AZ$4=0,0,IF(COUNTIFS(実績!$W$6:$W$505,AZ$3,実績!$AI$6:$AI$505,"&lt;="&amp;$A49,実績!$AJ$6:$AJ$505,"&gt;"&amp;$A49,実績!$AL$6:$AL$505,"○")&gt;0,1,0))</f>
        <v>0</v>
      </c>
      <c r="BA49" s="39" t="n">
        <f aca="false">IF(BA$4=0,0,IF(COUNTIFS(実績!$W$6:$W$505,BA$3,実績!$AI$6:$AI$505,"&lt;="&amp;$A49,実績!$AJ$6:$AJ$505,"&gt;"&amp;$A49,実績!$AL$6:$AL$505,"○")&gt;0,1,0))</f>
        <v>0</v>
      </c>
      <c r="BB49" s="39" t="n">
        <f aca="false">IF(BB$4=0,0,IF(COUNTIFS(実績!$W$6:$W$505,BB$3,実績!$AI$6:$AI$505,"&lt;="&amp;$A49,実績!$AJ$6:$AJ$505,"&gt;"&amp;$A49,実績!$AL$6:$AL$505,"○")&gt;0,1,0))</f>
        <v>0</v>
      </c>
      <c r="BC49" s="39" t="n">
        <f aca="false">IF(BC$4=0,0,IF(COUNTIFS(実績!$W$6:$W$505,BC$3,実績!$AI$6:$AI$505,"&lt;="&amp;$A49,実績!$AJ$6:$AJ$505,"&gt;"&amp;$A49,実績!$AL$6:$AL$505,"○")&gt;0,1,0))</f>
        <v>0</v>
      </c>
      <c r="BD49" s="39" t="n">
        <f aca="false">IF(BD$4=0,0,IF(COUNTIFS(実績!$W$6:$W$505,BD$3,実績!$AI$6:$AI$505,"&lt;="&amp;$A49,実績!$AJ$6:$AJ$505,"&gt;"&amp;$A49,実績!$AL$6:$AL$505,"○")&gt;0,1,0))</f>
        <v>0</v>
      </c>
      <c r="BE49" s="39" t="n">
        <f aca="false">IF(BE$4=0,0,IF(COUNTIFS(実績!$W$6:$W$505,BE$3,実績!$AI$6:$AI$505,"&lt;="&amp;$A49,実績!$AJ$6:$AJ$505,"&gt;"&amp;$A49,実績!$AL$6:$AL$505,"○")&gt;0,1,0))</f>
        <v>0</v>
      </c>
      <c r="BF49" s="39" t="n">
        <f aca="false">IF(BF$4=0,0,IF(COUNTIFS(実績!$W$6:$W$505,BF$3,実績!$AI$6:$AI$505,"&lt;="&amp;$A49,実績!$AJ$6:$AJ$505,"&gt;"&amp;$A49,実績!$AL$6:$AL$505,"○")&gt;0,1,0))</f>
        <v>0</v>
      </c>
      <c r="BG49" s="39" t="n">
        <f aca="false">IF(BG$4=0,0,IF(COUNTIFS(実績!$W$6:$W$505,BG$3,実績!$AI$6:$AI$505,"&lt;="&amp;$A49,実績!$AJ$6:$AJ$505,"&gt;"&amp;$A49,実績!$AL$6:$AL$505,"○")&gt;0,1,0))</f>
        <v>0</v>
      </c>
      <c r="BH49" s="39" t="n">
        <f aca="false">IF(BH$4=0,0,IF(COUNTIFS(実績!$W$6:$W$505,BH$3,実績!$AI$6:$AI$505,"&lt;="&amp;$A49,実績!$AJ$6:$AJ$505,"&gt;"&amp;$A49,実績!$AL$6:$AL$505,"○")&gt;0,1,0))</f>
        <v>0</v>
      </c>
      <c r="BI49" s="39" t="n">
        <f aca="false">IF(BI$4=0,0,IF(COUNTIFS(実績!$W$6:$W$505,BI$3,実績!$AI$6:$AI$505,"&lt;="&amp;$A49,実績!$AJ$6:$AJ$505,"&gt;"&amp;$A49,実績!$AL$6:$AL$505,"○")&gt;0,1,0))</f>
        <v>0</v>
      </c>
      <c r="BJ49" s="39" t="n">
        <f aca="false">IF(BJ$4=0,0,IF(COUNTIFS(実績!$W$6:$W$505,BJ$3,実績!$AI$6:$AI$505,"&lt;="&amp;$A49,実績!$AJ$6:$AJ$505,"&gt;"&amp;$A49,実績!$AL$6:$AL$505,"○")&gt;0,1,0))</f>
        <v>0</v>
      </c>
      <c r="BK49" s="39" t="n">
        <f aca="false">IF(BK$4=0,0,IF(COUNTIFS(実績!$W$6:$W$505,BK$3,実績!$AI$6:$AI$505,"&lt;="&amp;$A49,実績!$AJ$6:$AJ$505,"&gt;"&amp;$A49,実績!$AL$6:$AL$505,"○")&gt;0,1,0))</f>
        <v>0</v>
      </c>
      <c r="BL49" s="39" t="n">
        <f aca="false">IF(BL$4=0,0,IF(COUNTIFS(実績!$W$6:$W$505,BL$3,実績!$AI$6:$AI$505,"&lt;="&amp;$A49,実績!$AJ$6:$AJ$505,"&gt;"&amp;$A49,実績!$AL$6:$AL$505,"○")&gt;0,1,0))</f>
        <v>0</v>
      </c>
      <c r="BM49" s="39" t="n">
        <f aca="false">IF(BM$4=0,0,IF(COUNTIFS(実績!$W$6:$W$505,BM$3,実績!$AI$6:$AI$505,"&lt;="&amp;$A49,実績!$AJ$6:$AJ$505,"&gt;"&amp;$A49,実績!$AL$6:$AL$505,"○")&gt;0,1,0))</f>
        <v>0</v>
      </c>
      <c r="BN49" s="39" t="n">
        <f aca="false">IF(BN$4=0,0,IF(COUNTIFS(実績!$W$6:$W$505,BN$3,実績!$AI$6:$AI$505,"&lt;="&amp;$A49,実績!$AJ$6:$AJ$505,"&gt;"&amp;$A49,実績!$AL$6:$AL$505,"○")&gt;0,1,0))</f>
        <v>0</v>
      </c>
      <c r="BO49" s="39" t="n">
        <f aca="false">IF(BO$4=0,0,IF(COUNTIFS(実績!$W$6:$W$505,BO$3,実績!$AI$6:$AI$505,"&lt;="&amp;$A49,実績!$AJ$6:$AJ$505,"&gt;"&amp;$A49,実績!$AL$6:$AL$505,"○")&gt;0,1,0))</f>
        <v>0</v>
      </c>
      <c r="BP49" s="39" t="n">
        <f aca="false">IF(BP$4=0,0,IF(COUNTIFS(実績!$W$6:$W$505,BP$3,実績!$AI$6:$AI$505,"&lt;="&amp;$A49,実績!$AJ$6:$AJ$505,"&gt;"&amp;$A49,実績!$AL$6:$AL$505,"○")&gt;0,1,0))</f>
        <v>0</v>
      </c>
      <c r="BQ49" s="39" t="n">
        <f aca="false">IF(BQ$4=0,0,IF(COUNTIFS(実績!$W$6:$W$505,BQ$3,実績!$AI$6:$AI$505,"&lt;="&amp;$A49,実績!$AJ$6:$AJ$505,"&gt;"&amp;$A49,実績!$AL$6:$AL$505,"○")&gt;0,1,0))</f>
        <v>0</v>
      </c>
      <c r="BR49" s="39" t="n">
        <f aca="false">IF(BR$4=0,0,IF(COUNTIFS(実績!$W$6:$W$505,BR$3,実績!$AI$6:$AI$505,"&lt;="&amp;$A49,実績!$AJ$6:$AJ$505,"&gt;"&amp;$A49,実績!$AL$6:$AL$505,"○")&gt;0,1,0))</f>
        <v>0</v>
      </c>
      <c r="BS49" s="39" t="n">
        <f aca="false">IF(BS$4=0,0,IF(COUNTIFS(実績!$W$6:$W$505,BS$3,実績!$AI$6:$AI$505,"&lt;="&amp;$A49,実績!$AJ$6:$AJ$505,"&gt;"&amp;$A49,実績!$AL$6:$AL$505,"○")&gt;0,1,0))</f>
        <v>0</v>
      </c>
      <c r="BT49" s="39" t="n">
        <f aca="false">IF(BT$4=0,0,IF(COUNTIFS(実績!$W$6:$W$505,BT$3,実績!$AI$6:$AI$505,"&lt;="&amp;$A49,実績!$AJ$6:$AJ$505,"&gt;"&amp;$A49,実績!$AL$6:$AL$505,"○")&gt;0,1,0))</f>
        <v>0</v>
      </c>
      <c r="BU49" s="39" t="n">
        <f aca="false">IF(BU$4=0,0,IF(COUNTIFS(実績!$W$6:$W$505,BU$3,実績!$AI$6:$AI$505,"&lt;="&amp;$A49,実績!$AJ$6:$AJ$505,"&gt;"&amp;$A49,実績!$AL$6:$AL$505,"○")&gt;0,1,0))</f>
        <v>0</v>
      </c>
      <c r="BV49" s="39" t="n">
        <f aca="false">IF(BV$4=0,0,IF(COUNTIFS(実績!$W$6:$W$505,BV$3,実績!$AI$6:$AI$505,"&lt;="&amp;$A49,実績!$AJ$6:$AJ$505,"&gt;"&amp;$A49,実績!$AL$6:$AL$505,"○")&gt;0,1,0))</f>
        <v>0</v>
      </c>
      <c r="BW49" s="39" t="n">
        <f aca="false">IF(BW$4=0,0,IF(COUNTIFS(実績!$W$6:$W$505,BW$3,実績!$AI$6:$AI$505,"&lt;="&amp;$A49,実績!$AJ$6:$AJ$505,"&gt;"&amp;$A49,実績!$AL$6:$AL$505,"○")&gt;0,1,0))</f>
        <v>0</v>
      </c>
      <c r="BX49" s="39" t="n">
        <f aca="false">IF(BX$4=0,0,IF(COUNTIFS(実績!$W$6:$W$505,BX$3,実績!$AI$6:$AI$505,"&lt;="&amp;$A49,実績!$AJ$6:$AJ$505,"&gt;"&amp;$A49,実績!$AL$6:$AL$505,"○")&gt;0,1,0))</f>
        <v>0</v>
      </c>
      <c r="BY49" s="39" t="n">
        <f aca="false">IF(BY$4=0,0,IF(COUNTIFS(実績!$W$6:$W$505,BY$3,実績!$AI$6:$AI$505,"&lt;="&amp;$A49,実績!$AJ$6:$AJ$505,"&gt;"&amp;$A49,実績!$AL$6:$AL$505,"○")&gt;0,1,0))</f>
        <v>0</v>
      </c>
      <c r="BZ49" s="39" t="n">
        <f aca="false">IF(BZ$4=0,0,IF(COUNTIFS(実績!$W$6:$W$505,BZ$3,実績!$AI$6:$AI$505,"&lt;="&amp;$A49,実績!$AJ$6:$AJ$505,"&gt;"&amp;$A49,実績!$AL$6:$AL$505,"○")&gt;0,1,0))</f>
        <v>0</v>
      </c>
      <c r="CA49" s="39" t="n">
        <f aca="false">IF(CA$4=0,0,IF(COUNTIFS(実績!$W$6:$W$505,CA$3,実績!$AI$6:$AI$505,"&lt;="&amp;$A49,実績!$AJ$6:$AJ$505,"&gt;"&amp;$A49,実績!$AL$6:$AL$505,"○")&gt;0,1,0))</f>
        <v>0</v>
      </c>
      <c r="CB49" s="39" t="n">
        <f aca="false">IF(CB$4=0,0,IF(COUNTIFS(実績!$W$6:$W$505,CB$3,実績!$AI$6:$AI$505,"&lt;="&amp;$A49,実績!$AJ$6:$AJ$505,"&gt;"&amp;$A49,実績!$AL$6:$AL$505,"○")&gt;0,1,0))</f>
        <v>0</v>
      </c>
      <c r="CC49" s="39" t="n">
        <f aca="false">IF(CC$4=0,0,IF(COUNTIFS(実績!$W$6:$W$505,CC$3,実績!$AI$6:$AI$505,"&lt;="&amp;$A49,実績!$AJ$6:$AJ$505,"&gt;"&amp;$A49,実績!$AL$6:$AL$505,"○")&gt;0,1,0))</f>
        <v>0</v>
      </c>
      <c r="CD49" s="39" t="n">
        <f aca="false">IF(CD$4=0,0,IF(COUNTIFS(実績!$W$6:$W$505,CD$3,実績!$AI$6:$AI$505,"&lt;="&amp;$A49,実績!$AJ$6:$AJ$505,"&gt;"&amp;$A49,実績!$AL$6:$AL$505,"○")&gt;0,1,0))</f>
        <v>0</v>
      </c>
      <c r="CE49" s="39" t="n">
        <f aca="false">IF(CE$4=0,0,IF(COUNTIFS(実績!$W$6:$W$505,CE$3,実績!$AI$6:$AI$505,"&lt;="&amp;$A49,実績!$AJ$6:$AJ$505,"&gt;"&amp;$A49,実績!$AL$6:$AL$505,"○")&gt;0,1,0))</f>
        <v>0</v>
      </c>
      <c r="CF49" s="39" t="n">
        <f aca="false">IF(CF$4=0,0,IF(COUNTIFS(実績!$W$6:$W$505,CF$3,実績!$AI$6:$AI$505,"&lt;="&amp;$A49,実績!$AJ$6:$AJ$505,"&gt;"&amp;$A49,実績!$AL$6:$AL$505,"○")&gt;0,1,0))</f>
        <v>0</v>
      </c>
      <c r="CG49" s="39" t="n">
        <f aca="false">IF(CG$4=0,0,IF(COUNTIFS(実績!$W$6:$W$505,CG$3,実績!$AI$6:$AI$505,"&lt;="&amp;$A49,実績!$AJ$6:$AJ$505,"&gt;"&amp;$A49,実績!$AL$6:$AL$505,"○")&gt;0,1,0))</f>
        <v>0</v>
      </c>
      <c r="CH49" s="39" t="n">
        <f aca="false">IF(CH$4=0,0,IF(COUNTIFS(実績!$W$6:$W$505,CH$3,実績!$AI$6:$AI$505,"&lt;="&amp;$A49,実績!$AJ$6:$AJ$505,"&gt;"&amp;$A49,実績!$AL$6:$AL$505,"○")&gt;0,1,0))</f>
        <v>0</v>
      </c>
      <c r="CI49" s="39" t="n">
        <f aca="false">IF(CI$4=0,0,IF(COUNTIFS(実績!$W$6:$W$505,CI$3,実績!$AI$6:$AI$505,"&lt;="&amp;$A49,実績!$AJ$6:$AJ$505,"&gt;"&amp;$A49,実績!$AL$6:$AL$505,"○")&gt;0,1,0))</f>
        <v>0</v>
      </c>
      <c r="CJ49" s="39" t="n">
        <f aca="false">IF(CJ$4=0,0,IF(COUNTIFS(実績!$W$6:$W$505,CJ$3,実績!$AI$6:$AI$505,"&lt;="&amp;$A49,実績!$AJ$6:$AJ$505,"&gt;"&amp;$A49,実績!$AL$6:$AL$505,"○")&gt;0,1,0))</f>
        <v>0</v>
      </c>
      <c r="CK49" s="39" t="n">
        <f aca="false">IF(CK$4=0,0,IF(COUNTIFS(実績!$W$6:$W$505,CK$3,実績!$AI$6:$AI$505,"&lt;="&amp;$A49,実績!$AJ$6:$AJ$505,"&gt;"&amp;$A49,実績!$AL$6:$AL$505,"○")&gt;0,1,0))</f>
        <v>0</v>
      </c>
      <c r="CL49" s="39" t="n">
        <f aca="false">IF(CL$4=0,0,IF(COUNTIFS(実績!$W$6:$W$505,CL$3,実績!$AI$6:$AI$505,"&lt;="&amp;$A49,実績!$AJ$6:$AJ$505,"&gt;"&amp;$A49,実績!$AL$6:$AL$505,"○")&gt;0,1,0))</f>
        <v>0</v>
      </c>
      <c r="CM49" s="39" t="n">
        <f aca="false">IF(CM$4=0,0,IF(COUNTIFS(実績!$W$6:$W$505,CM$3,実績!$AI$6:$AI$505,"&lt;="&amp;$A49,実績!$AJ$6:$AJ$505,"&gt;"&amp;$A49,実績!$AL$6:$AL$505,"○")&gt;0,1,0))</f>
        <v>0</v>
      </c>
      <c r="CN49" s="39" t="n">
        <f aca="false">IF(CN$4=0,0,IF(COUNTIFS(実績!$W$6:$W$505,CN$3,実績!$AI$6:$AI$505,"&lt;="&amp;$A49,実績!$AJ$6:$AJ$505,"&gt;"&amp;$A49,実績!$AL$6:$AL$505,"○")&gt;0,1,0))</f>
        <v>0</v>
      </c>
      <c r="CO49" s="39" t="n">
        <f aca="false">IF(CO$4=0,0,IF(COUNTIFS(実績!$W$6:$W$505,CO$3,実績!$AI$6:$AI$505,"&lt;="&amp;$A49,実績!$AJ$6:$AJ$505,"&gt;"&amp;$A49,実績!$AL$6:$AL$505,"○")&gt;0,1,0))</f>
        <v>0</v>
      </c>
      <c r="CP49" s="39" t="n">
        <f aca="false">IF(CP$4=0,0,IF(COUNTIFS(実績!$W$6:$W$505,CP$3,実績!$AI$6:$AI$505,"&lt;="&amp;$A49,実績!$AJ$6:$AJ$505,"&gt;"&amp;$A49,実績!$AL$6:$AL$505,"○")&gt;0,1,0))</f>
        <v>0</v>
      </c>
      <c r="CQ49" s="39" t="n">
        <f aca="false">IF(CQ$4=0,0,IF(COUNTIFS(実績!$W$6:$W$505,CQ$3,実績!$AI$6:$AI$505,"&lt;="&amp;$A49,実績!$AJ$6:$AJ$505,"&gt;"&amp;$A49,実績!$AL$6:$AL$505,"○")&gt;0,1,0))</f>
        <v>0</v>
      </c>
      <c r="CR49" s="39" t="n">
        <f aca="false">IF(CR$4=0,0,IF(COUNTIFS(実績!$W$6:$W$505,CR$3,実績!$AI$6:$AI$505,"&lt;="&amp;$A49,実績!$AJ$6:$AJ$505,"&gt;"&amp;$A49,実績!$AL$6:$AL$505,"○")&gt;0,1,0))</f>
        <v>0</v>
      </c>
      <c r="CS49" s="39" t="n">
        <f aca="false">IF(CS$4=0,0,IF(COUNTIFS(実績!$W$6:$W$505,CS$3,実績!$AI$6:$AI$505,"&lt;="&amp;$A49,実績!$AJ$6:$AJ$505,"&gt;"&amp;$A49,実績!$AL$6:$AL$505,"○")&gt;0,1,0))</f>
        <v>0</v>
      </c>
      <c r="CT49" s="39" t="n">
        <f aca="false">IF(CT$4=0,0,IF(COUNTIFS(実績!$W$6:$W$505,CT$3,実績!$AI$6:$AI$505,"&lt;="&amp;$A49,実績!$AJ$6:$AJ$505,"&gt;"&amp;$A49,実績!$AL$6:$AL$505,"○")&gt;0,1,0))</f>
        <v>0</v>
      </c>
      <c r="CU49" s="39" t="n">
        <f aca="false">IF(CU$4=0,0,IF(COUNTIFS(実績!$W$6:$W$505,CU$3,実績!$AI$6:$AI$505,"&lt;="&amp;$A49,実績!$AJ$6:$AJ$505,"&gt;"&amp;$A49,実績!$AL$6:$AL$505,"○")&gt;0,1,0))</f>
        <v>0</v>
      </c>
      <c r="CV49" s="39" t="n">
        <f aca="false">IF(CV$4=0,0,IF(COUNTIFS(実績!$W$6:$W$505,CV$3,実績!$AI$6:$AI$505,"&lt;="&amp;$A49,実績!$AJ$6:$AJ$505,"&gt;"&amp;$A49,実績!$AL$6:$AL$505,"○")&gt;0,1,0))</f>
        <v>0</v>
      </c>
      <c r="CW49" s="39" t="n">
        <f aca="false">IF(CW$4=0,0,IF(COUNTIFS(実績!$W$6:$W$505,CW$3,実績!$AI$6:$AI$505,"&lt;="&amp;$A49,実績!$AJ$6:$AJ$505,"&gt;"&amp;$A49,実績!$AL$6:$AL$505,"○")&gt;0,1,0))</f>
        <v>0</v>
      </c>
      <c r="CX49" s="39" t="n">
        <f aca="false">IF(CX$4=0,0,IF(COUNTIFS(実績!$W$6:$W$505,CX$3,実績!$AI$6:$AI$505,"&lt;="&amp;$A49,実績!$AJ$6:$AJ$505,"&gt;"&amp;$A49,実績!$AL$6:$AL$505,"○")&gt;0,1,0))</f>
        <v>0</v>
      </c>
      <c r="CY49" s="39" t="n">
        <f aca="false">IF(CY$4=0,0,IF(COUNTIFS(実績!$W$6:$W$505,CY$3,実績!$AI$6:$AI$505,"&lt;="&amp;$A49,実績!$AJ$6:$AJ$505,"&gt;"&amp;$A49,実績!$AL$6:$AL$505,"○")&gt;0,1,0))</f>
        <v>0</v>
      </c>
      <c r="CZ49" s="39" t="n">
        <f aca="false">IF(CZ$4=0,0,IF(COUNTIFS(実績!$W$6:$W$505,CZ$3,実績!$AI$6:$AI$505,"&lt;="&amp;$A49,実績!$AJ$6:$AJ$505,"&gt;"&amp;$A49,実績!$AL$6:$AL$505,"○")&gt;0,1,0))</f>
        <v>0</v>
      </c>
      <c r="DA49" s="39" t="n">
        <f aca="false">IF(DA$4=0,0,IF(COUNTIFS(実績!$W$6:$W$505,DA$3,実績!$AI$6:$AI$505,"&lt;="&amp;$A49,実績!$AJ$6:$AJ$505,"&gt;"&amp;$A49,実績!$AL$6:$AL$505,"○")&gt;0,1,0))</f>
        <v>0</v>
      </c>
      <c r="DB49" s="39" t="n">
        <f aca="false">IF(DB$4=0,0,IF(COUNTIFS(実績!$W$6:$W$505,DB$3,実績!$AI$6:$AI$505,"&lt;="&amp;$A49,実績!$AJ$6:$AJ$505,"&gt;"&amp;$A49,実績!$AL$6:$AL$505,"○")&gt;0,1,0))</f>
        <v>0</v>
      </c>
      <c r="DC49" s="39" t="n">
        <f aca="false">IF(DC$4=0,0,IF(COUNTIFS(実績!$W$6:$W$505,DC$3,実績!$AI$6:$AI$505,"&lt;="&amp;$A49,実績!$AJ$6:$AJ$505,"&gt;"&amp;$A49,実績!$AL$6:$AL$505,"○")&gt;0,1,0))</f>
        <v>0</v>
      </c>
      <c r="DD49" s="39" t="n">
        <f aca="false">IF(DD$4=0,0,IF(COUNTIFS(実績!$W$6:$W$505,DD$3,実績!$AI$6:$AI$505,"&lt;="&amp;$A49,実績!$AJ$6:$AJ$505,"&gt;"&amp;$A49,実績!$AL$6:$AL$505,"○")&gt;0,1,0))</f>
        <v>0</v>
      </c>
      <c r="DE49" s="39" t="n">
        <f aca="false">IF(DE$4=0,0,IF(COUNTIFS(実績!$W$6:$W$505,DE$3,実績!$AI$6:$AI$505,"&lt;="&amp;$A49,実績!$AJ$6:$AJ$505,"&gt;"&amp;$A49,実績!$AL$6:$AL$505,"○")&gt;0,1,0))</f>
        <v>0</v>
      </c>
      <c r="DF49" s="39" t="n">
        <f aca="false">IF(DF$4=0,0,IF(COUNTIFS(実績!$W$6:$W$505,DF$3,実績!$AI$6:$AI$505,"&lt;="&amp;$A49,実績!$AJ$6:$AJ$505,"&gt;"&amp;$A49,実績!$AL$6:$AL$505,"○")&gt;0,1,0))</f>
        <v>0</v>
      </c>
      <c r="DG49" s="39" t="n">
        <f aca="false">IF(DG$4=0,0,IF(COUNTIFS(実績!$W$6:$W$505,DG$3,実績!$AI$6:$AI$505,"&lt;="&amp;$A49,実績!$AJ$6:$AJ$505,"&gt;"&amp;$A49,実績!$AL$6:$AL$505,"○")&gt;0,1,0))</f>
        <v>0</v>
      </c>
      <c r="DH49" s="39" t="n">
        <f aca="false">IF(DH$4=0,0,IF(COUNTIFS(実績!$W$6:$W$505,DH$3,実績!$AI$6:$AI$505,"&lt;="&amp;$A49,実績!$AJ$6:$AJ$505,"&gt;"&amp;$A49,実績!$AL$6:$AL$505,"○")&gt;0,1,0))</f>
        <v>0</v>
      </c>
      <c r="DI49" s="39" t="n">
        <f aca="false">IF(DI$4=0,0,IF(COUNTIFS(実績!$W$6:$W$505,DI$3,実績!$AI$6:$AI$505,"&lt;="&amp;$A49,実績!$AJ$6:$AJ$505,"&gt;"&amp;$A49,実績!$AL$6:$AL$505,"○")&gt;0,1,0))</f>
        <v>0</v>
      </c>
      <c r="DJ49" s="39" t="n">
        <f aca="false">IF(DJ$4=0,0,IF(COUNTIFS(実績!$W$6:$W$505,DJ$3,実績!$AI$6:$AI$505,"&lt;="&amp;$A49,実績!$AJ$6:$AJ$505,"&gt;"&amp;$A49,実績!$AL$6:$AL$505,"○")&gt;0,1,0))</f>
        <v>0</v>
      </c>
      <c r="DK49" s="39" t="n">
        <f aca="false">IF(DK$4=0,0,IF(COUNTIFS(実績!$W$6:$W$505,DK$3,実績!$AI$6:$AI$505,"&lt;="&amp;$A49,実績!$AJ$6:$AJ$505,"&gt;"&amp;$A49,実績!$AL$6:$AL$505,"○")&gt;0,1,0))</f>
        <v>0</v>
      </c>
      <c r="DL49" s="39" t="n">
        <f aca="false">IF(DL$4=0,0,IF(COUNTIFS(実績!$W$6:$W$505,DL$3,実績!$AI$6:$AI$505,"&lt;="&amp;$A49,実績!$AJ$6:$AJ$505,"&gt;"&amp;$A49,実績!$AL$6:$AL$505,"○")&gt;0,1,0))</f>
        <v>0</v>
      </c>
      <c r="DM49" s="39" t="n">
        <f aca="false">IF(DM$4=0,0,IF(COUNTIFS(実績!$W$6:$W$505,DM$3,実績!$AI$6:$AI$505,"&lt;="&amp;$A49,実績!$AJ$6:$AJ$505,"&gt;"&amp;$A49,実績!$AL$6:$AL$505,"○")&gt;0,1,0))</f>
        <v>0</v>
      </c>
      <c r="DN49" s="39" t="n">
        <f aca="false">IF(DN$4=0,0,IF(COUNTIFS(実績!$W$6:$W$505,DN$3,実績!$AI$6:$AI$505,"&lt;="&amp;$A49,実績!$AJ$6:$AJ$505,"&gt;"&amp;$A49,実績!$AL$6:$AL$505,"○")&gt;0,1,0))</f>
        <v>0</v>
      </c>
      <c r="DO49" s="39" t="n">
        <f aca="false">IF(DO$4=0,0,IF(COUNTIFS(実績!$W$6:$W$505,DO$3,実績!$AI$6:$AI$505,"&lt;="&amp;$A49,実績!$AJ$6:$AJ$505,"&gt;"&amp;$A49,実績!$AL$6:$AL$505,"○")&gt;0,1,0))</f>
        <v>0</v>
      </c>
      <c r="DP49" s="39" t="n">
        <f aca="false">IF(DP$4=0,0,IF(COUNTIFS(実績!$W$6:$W$505,DP$3,実績!$AI$6:$AI$505,"&lt;="&amp;$A49,実績!$AJ$6:$AJ$505,"&gt;"&amp;$A49,実績!$AL$6:$AL$505,"○")&gt;0,1,0))</f>
        <v>0</v>
      </c>
      <c r="DQ49" s="39" t="n">
        <f aca="false">IF(DQ$4=0,0,IF(COUNTIFS(実績!$W$6:$W$505,DQ$3,実績!$AI$6:$AI$505,"&lt;="&amp;$A49,実績!$AJ$6:$AJ$505,"&gt;"&amp;$A49,実績!$AL$6:$AL$505,"○")&gt;0,1,0))</f>
        <v>0</v>
      </c>
      <c r="DR49" s="39" t="n">
        <f aca="false">IF(DR$4=0,0,IF(COUNTIFS(実績!$W$6:$W$505,DR$3,実績!$AI$6:$AI$505,"&lt;="&amp;$A49,実績!$AJ$6:$AJ$505,"&gt;"&amp;$A49,実績!$AL$6:$AL$505,"○")&gt;0,1,0))</f>
        <v>0</v>
      </c>
      <c r="DS49" s="39" t="n">
        <f aca="false">SUM(C49:DR49)</f>
        <v>0</v>
      </c>
    </row>
    <row r="50" customFormat="false" ht="15" hidden="false" customHeight="false" outlineLevel="0" collapsed="false">
      <c r="A50" s="0" t="n">
        <v>220</v>
      </c>
      <c r="B50" s="38" t="n">
        <f aca="false">A50/1440</f>
        <v>0.152777777777778</v>
      </c>
      <c r="C50" s="39" t="n">
        <f aca="false">IF(C$4=0,0,IF(COUNTIFS(実績!$W$6:$W$505,C$3,実績!$AI$6:$AI$505,"&lt;="&amp;$A50,実績!$AJ$6:$AJ$505,"&gt;"&amp;$A50,実績!$AL$6:$AL$505,"○")&gt;0,1,0))</f>
        <v>0</v>
      </c>
      <c r="D50" s="39" t="n">
        <f aca="false">IF(D$4=0,0,IF(COUNTIFS(実績!$W$6:$W$505,D$3,実績!$AI$6:$AI$505,"&lt;="&amp;$A50,実績!$AJ$6:$AJ$505,"&gt;"&amp;$A50,実績!$AL$6:$AL$505,"○")&gt;0,1,0))</f>
        <v>0</v>
      </c>
      <c r="E50" s="39" t="n">
        <f aca="false">IF(E$4=0,0,IF(COUNTIFS(実績!$W$6:$W$505,E$3,実績!$AI$6:$AI$505,"&lt;="&amp;$A50,実績!$AJ$6:$AJ$505,"&gt;"&amp;$A50,実績!$AL$6:$AL$505,"○")&gt;0,1,0))</f>
        <v>0</v>
      </c>
      <c r="F50" s="39" t="n">
        <f aca="false">IF(F$4=0,0,IF(COUNTIFS(実績!$W$6:$W$505,F$3,実績!$AI$6:$AI$505,"&lt;="&amp;$A50,実績!$AJ$6:$AJ$505,"&gt;"&amp;$A50,実績!$AL$6:$AL$505,"○")&gt;0,1,0))</f>
        <v>0</v>
      </c>
      <c r="G50" s="39" t="n">
        <f aca="false">IF(G$4=0,0,IF(COUNTIFS(実績!$W$6:$W$505,G$3,実績!$AI$6:$AI$505,"&lt;="&amp;$A50,実績!$AJ$6:$AJ$505,"&gt;"&amp;$A50,実績!$AL$6:$AL$505,"○")&gt;0,1,0))</f>
        <v>0</v>
      </c>
      <c r="H50" s="39" t="n">
        <f aca="false">IF(H$4=0,0,IF(COUNTIFS(実績!$W$6:$W$505,H$3,実績!$AI$6:$AI$505,"&lt;="&amp;$A50,実績!$AJ$6:$AJ$505,"&gt;"&amp;$A50,実績!$AL$6:$AL$505,"○")&gt;0,1,0))</f>
        <v>0</v>
      </c>
      <c r="I50" s="39" t="n">
        <f aca="false">IF(I$4=0,0,IF(COUNTIFS(実績!$W$6:$W$505,I$3,実績!$AI$6:$AI$505,"&lt;="&amp;$A50,実績!$AJ$6:$AJ$505,"&gt;"&amp;$A50,実績!$AL$6:$AL$505,"○")&gt;0,1,0))</f>
        <v>0</v>
      </c>
      <c r="J50" s="39" t="n">
        <f aca="false">IF(J$4=0,0,IF(COUNTIFS(実績!$W$6:$W$505,J$3,実績!$AI$6:$AI$505,"&lt;="&amp;$A50,実績!$AJ$6:$AJ$505,"&gt;"&amp;$A50,実績!$AL$6:$AL$505,"○")&gt;0,1,0))</f>
        <v>0</v>
      </c>
      <c r="K50" s="39" t="n">
        <f aca="false">IF(K$4=0,0,IF(COUNTIFS(実績!$W$6:$W$505,K$3,実績!$AI$6:$AI$505,"&lt;="&amp;$A50,実績!$AJ$6:$AJ$505,"&gt;"&amp;$A50,実績!$AL$6:$AL$505,"○")&gt;0,1,0))</f>
        <v>0</v>
      </c>
      <c r="L50" s="39" t="n">
        <f aca="false">IF(L$4=0,0,IF(COUNTIFS(実績!$W$6:$W$505,L$3,実績!$AI$6:$AI$505,"&lt;="&amp;$A50,実績!$AJ$6:$AJ$505,"&gt;"&amp;$A50,実績!$AL$6:$AL$505,"○")&gt;0,1,0))</f>
        <v>0</v>
      </c>
      <c r="M50" s="39" t="n">
        <f aca="false">IF(M$4=0,0,IF(COUNTIFS(実績!$W$6:$W$505,M$3,実績!$AI$6:$AI$505,"&lt;="&amp;$A50,実績!$AJ$6:$AJ$505,"&gt;"&amp;$A50,実績!$AL$6:$AL$505,"○")&gt;0,1,0))</f>
        <v>0</v>
      </c>
      <c r="N50" s="39" t="n">
        <f aca="false">IF(N$4=0,0,IF(COUNTIFS(実績!$W$6:$W$505,N$3,実績!$AI$6:$AI$505,"&lt;="&amp;$A50,実績!$AJ$6:$AJ$505,"&gt;"&amp;$A50,実績!$AL$6:$AL$505,"○")&gt;0,1,0))</f>
        <v>0</v>
      </c>
      <c r="O50" s="39" t="n">
        <f aca="false">IF(O$4=0,0,IF(COUNTIFS(実績!$W$6:$W$505,O$3,実績!$AI$6:$AI$505,"&lt;="&amp;$A50,実績!$AJ$6:$AJ$505,"&gt;"&amp;$A50,実績!$AL$6:$AL$505,"○")&gt;0,1,0))</f>
        <v>0</v>
      </c>
      <c r="P50" s="39" t="n">
        <f aca="false">IF(P$4=0,0,IF(COUNTIFS(実績!$W$6:$W$505,P$3,実績!$AI$6:$AI$505,"&lt;="&amp;$A50,実績!$AJ$6:$AJ$505,"&gt;"&amp;$A50,実績!$AL$6:$AL$505,"○")&gt;0,1,0))</f>
        <v>0</v>
      </c>
      <c r="Q50" s="39" t="n">
        <f aca="false">IF(Q$4=0,0,IF(COUNTIFS(実績!$W$6:$W$505,Q$3,実績!$AI$6:$AI$505,"&lt;="&amp;$A50,実績!$AJ$6:$AJ$505,"&gt;"&amp;$A50,実績!$AL$6:$AL$505,"○")&gt;0,1,0))</f>
        <v>0</v>
      </c>
      <c r="R50" s="39" t="n">
        <f aca="false">IF(R$4=0,0,IF(COUNTIFS(実績!$W$6:$W$505,R$3,実績!$AI$6:$AI$505,"&lt;="&amp;$A50,実績!$AJ$6:$AJ$505,"&gt;"&amp;$A50,実績!$AL$6:$AL$505,"○")&gt;0,1,0))</f>
        <v>0</v>
      </c>
      <c r="S50" s="39" t="n">
        <f aca="false">IF(S$4=0,0,IF(COUNTIFS(実績!$W$6:$W$505,S$3,実績!$AI$6:$AI$505,"&lt;="&amp;$A50,実績!$AJ$6:$AJ$505,"&gt;"&amp;$A50,実績!$AL$6:$AL$505,"○")&gt;0,1,0))</f>
        <v>0</v>
      </c>
      <c r="T50" s="39" t="n">
        <f aca="false">IF(T$4=0,0,IF(COUNTIFS(実績!$W$6:$W$505,T$3,実績!$AI$6:$AI$505,"&lt;="&amp;$A50,実績!$AJ$6:$AJ$505,"&gt;"&amp;$A50,実績!$AL$6:$AL$505,"○")&gt;0,1,0))</f>
        <v>0</v>
      </c>
      <c r="U50" s="39" t="n">
        <f aca="false">IF(U$4=0,0,IF(COUNTIFS(実績!$W$6:$W$505,U$3,実績!$AI$6:$AI$505,"&lt;="&amp;$A50,実績!$AJ$6:$AJ$505,"&gt;"&amp;$A50,実績!$AL$6:$AL$505,"○")&gt;0,1,0))</f>
        <v>0</v>
      </c>
      <c r="V50" s="39" t="n">
        <f aca="false">IF(V$4=0,0,IF(COUNTIFS(実績!$W$6:$W$505,V$3,実績!$AI$6:$AI$505,"&lt;="&amp;$A50,実績!$AJ$6:$AJ$505,"&gt;"&amp;$A50,実績!$AL$6:$AL$505,"○")&gt;0,1,0))</f>
        <v>0</v>
      </c>
      <c r="W50" s="39" t="n">
        <f aca="false">IF(W$4=0,0,IF(COUNTIFS(実績!$W$6:$W$505,W$3,実績!$AI$6:$AI$505,"&lt;="&amp;$A50,実績!$AJ$6:$AJ$505,"&gt;"&amp;$A50,実績!$AL$6:$AL$505,"○")&gt;0,1,0))</f>
        <v>0</v>
      </c>
      <c r="X50" s="39" t="n">
        <f aca="false">IF(X$4=0,0,IF(COUNTIFS(実績!$W$6:$W$505,X$3,実績!$AI$6:$AI$505,"&lt;="&amp;$A50,実績!$AJ$6:$AJ$505,"&gt;"&amp;$A50,実績!$AL$6:$AL$505,"○")&gt;0,1,0))</f>
        <v>0</v>
      </c>
      <c r="Y50" s="39" t="n">
        <f aca="false">IF(Y$4=0,0,IF(COUNTIFS(実績!$W$6:$W$505,Y$3,実績!$AI$6:$AI$505,"&lt;="&amp;$A50,実績!$AJ$6:$AJ$505,"&gt;"&amp;$A50,実績!$AL$6:$AL$505,"○")&gt;0,1,0))</f>
        <v>0</v>
      </c>
      <c r="Z50" s="39" t="n">
        <f aca="false">IF(Z$4=0,0,IF(COUNTIFS(実績!$W$6:$W$505,Z$3,実績!$AI$6:$AI$505,"&lt;="&amp;$A50,実績!$AJ$6:$AJ$505,"&gt;"&amp;$A50,実績!$AL$6:$AL$505,"○")&gt;0,1,0))</f>
        <v>0</v>
      </c>
      <c r="AA50" s="39" t="n">
        <f aca="false">IF(AA$4=0,0,IF(COUNTIFS(実績!$W$6:$W$505,AA$3,実績!$AI$6:$AI$505,"&lt;="&amp;$A50,実績!$AJ$6:$AJ$505,"&gt;"&amp;$A50,実績!$AL$6:$AL$505,"○")&gt;0,1,0))</f>
        <v>0</v>
      </c>
      <c r="AB50" s="39" t="n">
        <f aca="false">IF(AB$4=0,0,IF(COUNTIFS(実績!$W$6:$W$505,AB$3,実績!$AI$6:$AI$505,"&lt;="&amp;$A50,実績!$AJ$6:$AJ$505,"&gt;"&amp;$A50,実績!$AL$6:$AL$505,"○")&gt;0,1,0))</f>
        <v>0</v>
      </c>
      <c r="AC50" s="39" t="n">
        <f aca="false">IF(AC$4=0,0,IF(COUNTIFS(実績!$W$6:$W$505,AC$3,実績!$AI$6:$AI$505,"&lt;="&amp;$A50,実績!$AJ$6:$AJ$505,"&gt;"&amp;$A50,実績!$AL$6:$AL$505,"○")&gt;0,1,0))</f>
        <v>0</v>
      </c>
      <c r="AD50" s="39" t="n">
        <f aca="false">IF(AD$4=0,0,IF(COUNTIFS(実績!$W$6:$W$505,AD$3,実績!$AI$6:$AI$505,"&lt;="&amp;$A50,実績!$AJ$6:$AJ$505,"&gt;"&amp;$A50,実績!$AL$6:$AL$505,"○")&gt;0,1,0))</f>
        <v>0</v>
      </c>
      <c r="AE50" s="39" t="n">
        <f aca="false">IF(AE$4=0,0,IF(COUNTIFS(実績!$W$6:$W$505,AE$3,実績!$AI$6:$AI$505,"&lt;="&amp;$A50,実績!$AJ$6:$AJ$505,"&gt;"&amp;$A50,実績!$AL$6:$AL$505,"○")&gt;0,1,0))</f>
        <v>0</v>
      </c>
      <c r="AF50" s="39" t="n">
        <f aca="false">IF(AF$4=0,0,IF(COUNTIFS(実績!$W$6:$W$505,AF$3,実績!$AI$6:$AI$505,"&lt;="&amp;$A50,実績!$AJ$6:$AJ$505,"&gt;"&amp;$A50,実績!$AL$6:$AL$505,"○")&gt;0,1,0))</f>
        <v>0</v>
      </c>
      <c r="AG50" s="39" t="n">
        <f aca="false">IF(AG$4=0,0,IF(COUNTIFS(実績!$W$6:$W$505,AG$3,実績!$AI$6:$AI$505,"&lt;="&amp;$A50,実績!$AJ$6:$AJ$505,"&gt;"&amp;$A50,実績!$AL$6:$AL$505,"○")&gt;0,1,0))</f>
        <v>0</v>
      </c>
      <c r="AH50" s="39" t="n">
        <f aca="false">IF(AH$4=0,0,IF(COUNTIFS(実績!$W$6:$W$505,AH$3,実績!$AI$6:$AI$505,"&lt;="&amp;$A50,実績!$AJ$6:$AJ$505,"&gt;"&amp;$A50,実績!$AL$6:$AL$505,"○")&gt;0,1,0))</f>
        <v>0</v>
      </c>
      <c r="AI50" s="39" t="n">
        <f aca="false">IF(AI$4=0,0,IF(COUNTIFS(実績!$W$6:$W$505,AI$3,実績!$AI$6:$AI$505,"&lt;="&amp;$A50,実績!$AJ$6:$AJ$505,"&gt;"&amp;$A50,実績!$AL$6:$AL$505,"○")&gt;0,1,0))</f>
        <v>0</v>
      </c>
      <c r="AJ50" s="39" t="n">
        <f aca="false">IF(AJ$4=0,0,IF(COUNTIFS(実績!$W$6:$W$505,AJ$3,実績!$AI$6:$AI$505,"&lt;="&amp;$A50,実績!$AJ$6:$AJ$505,"&gt;"&amp;$A50,実績!$AL$6:$AL$505,"○")&gt;0,1,0))</f>
        <v>0</v>
      </c>
      <c r="AK50" s="39" t="n">
        <f aca="false">IF(AK$4=0,0,IF(COUNTIFS(実績!$W$6:$W$505,AK$3,実績!$AI$6:$AI$505,"&lt;="&amp;$A50,実績!$AJ$6:$AJ$505,"&gt;"&amp;$A50,実績!$AL$6:$AL$505,"○")&gt;0,1,0))</f>
        <v>0</v>
      </c>
      <c r="AL50" s="39" t="n">
        <f aca="false">IF(AL$4=0,0,IF(COUNTIFS(実績!$W$6:$W$505,AL$3,実績!$AI$6:$AI$505,"&lt;="&amp;$A50,実績!$AJ$6:$AJ$505,"&gt;"&amp;$A50,実績!$AL$6:$AL$505,"○")&gt;0,1,0))</f>
        <v>0</v>
      </c>
      <c r="AM50" s="39" t="n">
        <f aca="false">IF(AM$4=0,0,IF(COUNTIFS(実績!$W$6:$W$505,AM$3,実績!$AI$6:$AI$505,"&lt;="&amp;$A50,実績!$AJ$6:$AJ$505,"&gt;"&amp;$A50,実績!$AL$6:$AL$505,"○")&gt;0,1,0))</f>
        <v>0</v>
      </c>
      <c r="AN50" s="39" t="n">
        <f aca="false">IF(AN$4=0,0,IF(COUNTIFS(実績!$W$6:$W$505,AN$3,実績!$AI$6:$AI$505,"&lt;="&amp;$A50,実績!$AJ$6:$AJ$505,"&gt;"&amp;$A50,実績!$AL$6:$AL$505,"○")&gt;0,1,0))</f>
        <v>0</v>
      </c>
      <c r="AO50" s="39" t="n">
        <f aca="false">IF(AO$4=0,0,IF(COUNTIFS(実績!$W$6:$W$505,AO$3,実績!$AI$6:$AI$505,"&lt;="&amp;$A50,実績!$AJ$6:$AJ$505,"&gt;"&amp;$A50,実績!$AL$6:$AL$505,"○")&gt;0,1,0))</f>
        <v>0</v>
      </c>
      <c r="AP50" s="39" t="n">
        <f aca="false">IF(AP$4=0,0,IF(COUNTIFS(実績!$W$6:$W$505,AP$3,実績!$AI$6:$AI$505,"&lt;="&amp;$A50,実績!$AJ$6:$AJ$505,"&gt;"&amp;$A50,実績!$AL$6:$AL$505,"○")&gt;0,1,0))</f>
        <v>0</v>
      </c>
      <c r="AQ50" s="39" t="n">
        <f aca="false">IF(AQ$4=0,0,IF(COUNTIFS(実績!$W$6:$W$505,AQ$3,実績!$AI$6:$AI$505,"&lt;="&amp;$A50,実績!$AJ$6:$AJ$505,"&gt;"&amp;$A50,実績!$AL$6:$AL$505,"○")&gt;0,1,0))</f>
        <v>0</v>
      </c>
      <c r="AR50" s="39" t="n">
        <f aca="false">IF(AR$4=0,0,IF(COUNTIFS(実績!$W$6:$W$505,AR$3,実績!$AI$6:$AI$505,"&lt;="&amp;$A50,実績!$AJ$6:$AJ$505,"&gt;"&amp;$A50,実績!$AL$6:$AL$505,"○")&gt;0,1,0))</f>
        <v>0</v>
      </c>
      <c r="AS50" s="39" t="n">
        <f aca="false">IF(AS$4=0,0,IF(COUNTIFS(実績!$W$6:$W$505,AS$3,実績!$AI$6:$AI$505,"&lt;="&amp;$A50,実績!$AJ$6:$AJ$505,"&gt;"&amp;$A50,実績!$AL$6:$AL$505,"○")&gt;0,1,0))</f>
        <v>0</v>
      </c>
      <c r="AT50" s="39" t="n">
        <f aca="false">IF(AT$4=0,0,IF(COUNTIFS(実績!$W$6:$W$505,AT$3,実績!$AI$6:$AI$505,"&lt;="&amp;$A50,実績!$AJ$6:$AJ$505,"&gt;"&amp;$A50,実績!$AL$6:$AL$505,"○")&gt;0,1,0))</f>
        <v>0</v>
      </c>
      <c r="AU50" s="39" t="n">
        <f aca="false">IF(AU$4=0,0,IF(COUNTIFS(実績!$W$6:$W$505,AU$3,実績!$AI$6:$AI$505,"&lt;="&amp;$A50,実績!$AJ$6:$AJ$505,"&gt;"&amp;$A50,実績!$AL$6:$AL$505,"○")&gt;0,1,0))</f>
        <v>0</v>
      </c>
      <c r="AV50" s="39" t="n">
        <f aca="false">IF(AV$4=0,0,IF(COUNTIFS(実績!$W$6:$W$505,AV$3,実績!$AI$6:$AI$505,"&lt;="&amp;$A50,実績!$AJ$6:$AJ$505,"&gt;"&amp;$A50,実績!$AL$6:$AL$505,"○")&gt;0,1,0))</f>
        <v>0</v>
      </c>
      <c r="AW50" s="39" t="n">
        <f aca="false">IF(AW$4=0,0,IF(COUNTIFS(実績!$W$6:$W$505,AW$3,実績!$AI$6:$AI$505,"&lt;="&amp;$A50,実績!$AJ$6:$AJ$505,"&gt;"&amp;$A50,実績!$AL$6:$AL$505,"○")&gt;0,1,0))</f>
        <v>0</v>
      </c>
      <c r="AX50" s="39" t="n">
        <f aca="false">IF(AX$4=0,0,IF(COUNTIFS(実績!$W$6:$W$505,AX$3,実績!$AI$6:$AI$505,"&lt;="&amp;$A50,実績!$AJ$6:$AJ$505,"&gt;"&amp;$A50,実績!$AL$6:$AL$505,"○")&gt;0,1,0))</f>
        <v>0</v>
      </c>
      <c r="AY50" s="39" t="n">
        <f aca="false">IF(AY$4=0,0,IF(COUNTIFS(実績!$W$6:$W$505,AY$3,実績!$AI$6:$AI$505,"&lt;="&amp;$A50,実績!$AJ$6:$AJ$505,"&gt;"&amp;$A50,実績!$AL$6:$AL$505,"○")&gt;0,1,0))</f>
        <v>0</v>
      </c>
      <c r="AZ50" s="39" t="n">
        <f aca="false">IF(AZ$4=0,0,IF(COUNTIFS(実績!$W$6:$W$505,AZ$3,実績!$AI$6:$AI$505,"&lt;="&amp;$A50,実績!$AJ$6:$AJ$505,"&gt;"&amp;$A50,実績!$AL$6:$AL$505,"○")&gt;0,1,0))</f>
        <v>0</v>
      </c>
      <c r="BA50" s="39" t="n">
        <f aca="false">IF(BA$4=0,0,IF(COUNTIFS(実績!$W$6:$W$505,BA$3,実績!$AI$6:$AI$505,"&lt;="&amp;$A50,実績!$AJ$6:$AJ$505,"&gt;"&amp;$A50,実績!$AL$6:$AL$505,"○")&gt;0,1,0))</f>
        <v>0</v>
      </c>
      <c r="BB50" s="39" t="n">
        <f aca="false">IF(BB$4=0,0,IF(COUNTIFS(実績!$W$6:$W$505,BB$3,実績!$AI$6:$AI$505,"&lt;="&amp;$A50,実績!$AJ$6:$AJ$505,"&gt;"&amp;$A50,実績!$AL$6:$AL$505,"○")&gt;0,1,0))</f>
        <v>0</v>
      </c>
      <c r="BC50" s="39" t="n">
        <f aca="false">IF(BC$4=0,0,IF(COUNTIFS(実績!$W$6:$W$505,BC$3,実績!$AI$6:$AI$505,"&lt;="&amp;$A50,実績!$AJ$6:$AJ$505,"&gt;"&amp;$A50,実績!$AL$6:$AL$505,"○")&gt;0,1,0))</f>
        <v>0</v>
      </c>
      <c r="BD50" s="39" t="n">
        <f aca="false">IF(BD$4=0,0,IF(COUNTIFS(実績!$W$6:$W$505,BD$3,実績!$AI$6:$AI$505,"&lt;="&amp;$A50,実績!$AJ$6:$AJ$505,"&gt;"&amp;$A50,実績!$AL$6:$AL$505,"○")&gt;0,1,0))</f>
        <v>0</v>
      </c>
      <c r="BE50" s="39" t="n">
        <f aca="false">IF(BE$4=0,0,IF(COUNTIFS(実績!$W$6:$W$505,BE$3,実績!$AI$6:$AI$505,"&lt;="&amp;$A50,実績!$AJ$6:$AJ$505,"&gt;"&amp;$A50,実績!$AL$6:$AL$505,"○")&gt;0,1,0))</f>
        <v>0</v>
      </c>
      <c r="BF50" s="39" t="n">
        <f aca="false">IF(BF$4=0,0,IF(COUNTIFS(実績!$W$6:$W$505,BF$3,実績!$AI$6:$AI$505,"&lt;="&amp;$A50,実績!$AJ$6:$AJ$505,"&gt;"&amp;$A50,実績!$AL$6:$AL$505,"○")&gt;0,1,0))</f>
        <v>0</v>
      </c>
      <c r="BG50" s="39" t="n">
        <f aca="false">IF(BG$4=0,0,IF(COUNTIFS(実績!$W$6:$W$505,BG$3,実績!$AI$6:$AI$505,"&lt;="&amp;$A50,実績!$AJ$6:$AJ$505,"&gt;"&amp;$A50,実績!$AL$6:$AL$505,"○")&gt;0,1,0))</f>
        <v>0</v>
      </c>
      <c r="BH50" s="39" t="n">
        <f aca="false">IF(BH$4=0,0,IF(COUNTIFS(実績!$W$6:$W$505,BH$3,実績!$AI$6:$AI$505,"&lt;="&amp;$A50,実績!$AJ$6:$AJ$505,"&gt;"&amp;$A50,実績!$AL$6:$AL$505,"○")&gt;0,1,0))</f>
        <v>0</v>
      </c>
      <c r="BI50" s="39" t="n">
        <f aca="false">IF(BI$4=0,0,IF(COUNTIFS(実績!$W$6:$W$505,BI$3,実績!$AI$6:$AI$505,"&lt;="&amp;$A50,実績!$AJ$6:$AJ$505,"&gt;"&amp;$A50,実績!$AL$6:$AL$505,"○")&gt;0,1,0))</f>
        <v>0</v>
      </c>
      <c r="BJ50" s="39" t="n">
        <f aca="false">IF(BJ$4=0,0,IF(COUNTIFS(実績!$W$6:$W$505,BJ$3,実績!$AI$6:$AI$505,"&lt;="&amp;$A50,実績!$AJ$6:$AJ$505,"&gt;"&amp;$A50,実績!$AL$6:$AL$505,"○")&gt;0,1,0))</f>
        <v>0</v>
      </c>
      <c r="BK50" s="39" t="n">
        <f aca="false">IF(BK$4=0,0,IF(COUNTIFS(実績!$W$6:$W$505,BK$3,実績!$AI$6:$AI$505,"&lt;="&amp;$A50,実績!$AJ$6:$AJ$505,"&gt;"&amp;$A50,実績!$AL$6:$AL$505,"○")&gt;0,1,0))</f>
        <v>0</v>
      </c>
      <c r="BL50" s="39" t="n">
        <f aca="false">IF(BL$4=0,0,IF(COUNTIFS(実績!$W$6:$W$505,BL$3,実績!$AI$6:$AI$505,"&lt;="&amp;$A50,実績!$AJ$6:$AJ$505,"&gt;"&amp;$A50,実績!$AL$6:$AL$505,"○")&gt;0,1,0))</f>
        <v>0</v>
      </c>
      <c r="BM50" s="39" t="n">
        <f aca="false">IF(BM$4=0,0,IF(COUNTIFS(実績!$W$6:$W$505,BM$3,実績!$AI$6:$AI$505,"&lt;="&amp;$A50,実績!$AJ$6:$AJ$505,"&gt;"&amp;$A50,実績!$AL$6:$AL$505,"○")&gt;0,1,0))</f>
        <v>0</v>
      </c>
      <c r="BN50" s="39" t="n">
        <f aca="false">IF(BN$4=0,0,IF(COUNTIFS(実績!$W$6:$W$505,BN$3,実績!$AI$6:$AI$505,"&lt;="&amp;$A50,実績!$AJ$6:$AJ$505,"&gt;"&amp;$A50,実績!$AL$6:$AL$505,"○")&gt;0,1,0))</f>
        <v>0</v>
      </c>
      <c r="BO50" s="39" t="n">
        <f aca="false">IF(BO$4=0,0,IF(COUNTIFS(実績!$W$6:$W$505,BO$3,実績!$AI$6:$AI$505,"&lt;="&amp;$A50,実績!$AJ$6:$AJ$505,"&gt;"&amp;$A50,実績!$AL$6:$AL$505,"○")&gt;0,1,0))</f>
        <v>0</v>
      </c>
      <c r="BP50" s="39" t="n">
        <f aca="false">IF(BP$4=0,0,IF(COUNTIFS(実績!$W$6:$W$505,BP$3,実績!$AI$6:$AI$505,"&lt;="&amp;$A50,実績!$AJ$6:$AJ$505,"&gt;"&amp;$A50,実績!$AL$6:$AL$505,"○")&gt;0,1,0))</f>
        <v>0</v>
      </c>
      <c r="BQ50" s="39" t="n">
        <f aca="false">IF(BQ$4=0,0,IF(COUNTIFS(実績!$W$6:$W$505,BQ$3,実績!$AI$6:$AI$505,"&lt;="&amp;$A50,実績!$AJ$6:$AJ$505,"&gt;"&amp;$A50,実績!$AL$6:$AL$505,"○")&gt;0,1,0))</f>
        <v>0</v>
      </c>
      <c r="BR50" s="39" t="n">
        <f aca="false">IF(BR$4=0,0,IF(COUNTIFS(実績!$W$6:$W$505,BR$3,実績!$AI$6:$AI$505,"&lt;="&amp;$A50,実績!$AJ$6:$AJ$505,"&gt;"&amp;$A50,実績!$AL$6:$AL$505,"○")&gt;0,1,0))</f>
        <v>0</v>
      </c>
      <c r="BS50" s="39" t="n">
        <f aca="false">IF(BS$4=0,0,IF(COUNTIFS(実績!$W$6:$W$505,BS$3,実績!$AI$6:$AI$505,"&lt;="&amp;$A50,実績!$AJ$6:$AJ$505,"&gt;"&amp;$A50,実績!$AL$6:$AL$505,"○")&gt;0,1,0))</f>
        <v>0</v>
      </c>
      <c r="BT50" s="39" t="n">
        <f aca="false">IF(BT$4=0,0,IF(COUNTIFS(実績!$W$6:$W$505,BT$3,実績!$AI$6:$AI$505,"&lt;="&amp;$A50,実績!$AJ$6:$AJ$505,"&gt;"&amp;$A50,実績!$AL$6:$AL$505,"○")&gt;0,1,0))</f>
        <v>0</v>
      </c>
      <c r="BU50" s="39" t="n">
        <f aca="false">IF(BU$4=0,0,IF(COUNTIFS(実績!$W$6:$W$505,BU$3,実績!$AI$6:$AI$505,"&lt;="&amp;$A50,実績!$AJ$6:$AJ$505,"&gt;"&amp;$A50,実績!$AL$6:$AL$505,"○")&gt;0,1,0))</f>
        <v>0</v>
      </c>
      <c r="BV50" s="39" t="n">
        <f aca="false">IF(BV$4=0,0,IF(COUNTIFS(実績!$W$6:$W$505,BV$3,実績!$AI$6:$AI$505,"&lt;="&amp;$A50,実績!$AJ$6:$AJ$505,"&gt;"&amp;$A50,実績!$AL$6:$AL$505,"○")&gt;0,1,0))</f>
        <v>0</v>
      </c>
      <c r="BW50" s="39" t="n">
        <f aca="false">IF(BW$4=0,0,IF(COUNTIFS(実績!$W$6:$W$505,BW$3,実績!$AI$6:$AI$505,"&lt;="&amp;$A50,実績!$AJ$6:$AJ$505,"&gt;"&amp;$A50,実績!$AL$6:$AL$505,"○")&gt;0,1,0))</f>
        <v>0</v>
      </c>
      <c r="BX50" s="39" t="n">
        <f aca="false">IF(BX$4=0,0,IF(COUNTIFS(実績!$W$6:$W$505,BX$3,実績!$AI$6:$AI$505,"&lt;="&amp;$A50,実績!$AJ$6:$AJ$505,"&gt;"&amp;$A50,実績!$AL$6:$AL$505,"○")&gt;0,1,0))</f>
        <v>0</v>
      </c>
      <c r="BY50" s="39" t="n">
        <f aca="false">IF(BY$4=0,0,IF(COUNTIFS(実績!$W$6:$W$505,BY$3,実績!$AI$6:$AI$505,"&lt;="&amp;$A50,実績!$AJ$6:$AJ$505,"&gt;"&amp;$A50,実績!$AL$6:$AL$505,"○")&gt;0,1,0))</f>
        <v>0</v>
      </c>
      <c r="BZ50" s="39" t="n">
        <f aca="false">IF(BZ$4=0,0,IF(COUNTIFS(実績!$W$6:$W$505,BZ$3,実績!$AI$6:$AI$505,"&lt;="&amp;$A50,実績!$AJ$6:$AJ$505,"&gt;"&amp;$A50,実績!$AL$6:$AL$505,"○")&gt;0,1,0))</f>
        <v>0</v>
      </c>
      <c r="CA50" s="39" t="n">
        <f aca="false">IF(CA$4=0,0,IF(COUNTIFS(実績!$W$6:$W$505,CA$3,実績!$AI$6:$AI$505,"&lt;="&amp;$A50,実績!$AJ$6:$AJ$505,"&gt;"&amp;$A50,実績!$AL$6:$AL$505,"○")&gt;0,1,0))</f>
        <v>0</v>
      </c>
      <c r="CB50" s="39" t="n">
        <f aca="false">IF(CB$4=0,0,IF(COUNTIFS(実績!$W$6:$W$505,CB$3,実績!$AI$6:$AI$505,"&lt;="&amp;$A50,実績!$AJ$6:$AJ$505,"&gt;"&amp;$A50,実績!$AL$6:$AL$505,"○")&gt;0,1,0))</f>
        <v>0</v>
      </c>
      <c r="CC50" s="39" t="n">
        <f aca="false">IF(CC$4=0,0,IF(COUNTIFS(実績!$W$6:$W$505,CC$3,実績!$AI$6:$AI$505,"&lt;="&amp;$A50,実績!$AJ$6:$AJ$505,"&gt;"&amp;$A50,実績!$AL$6:$AL$505,"○")&gt;0,1,0))</f>
        <v>0</v>
      </c>
      <c r="CD50" s="39" t="n">
        <f aca="false">IF(CD$4=0,0,IF(COUNTIFS(実績!$W$6:$W$505,CD$3,実績!$AI$6:$AI$505,"&lt;="&amp;$A50,実績!$AJ$6:$AJ$505,"&gt;"&amp;$A50,実績!$AL$6:$AL$505,"○")&gt;0,1,0))</f>
        <v>0</v>
      </c>
      <c r="CE50" s="39" t="n">
        <f aca="false">IF(CE$4=0,0,IF(COUNTIFS(実績!$W$6:$W$505,CE$3,実績!$AI$6:$AI$505,"&lt;="&amp;$A50,実績!$AJ$6:$AJ$505,"&gt;"&amp;$A50,実績!$AL$6:$AL$505,"○")&gt;0,1,0))</f>
        <v>0</v>
      </c>
      <c r="CF50" s="39" t="n">
        <f aca="false">IF(CF$4=0,0,IF(COUNTIFS(実績!$W$6:$W$505,CF$3,実績!$AI$6:$AI$505,"&lt;="&amp;$A50,実績!$AJ$6:$AJ$505,"&gt;"&amp;$A50,実績!$AL$6:$AL$505,"○")&gt;0,1,0))</f>
        <v>0</v>
      </c>
      <c r="CG50" s="39" t="n">
        <f aca="false">IF(CG$4=0,0,IF(COUNTIFS(実績!$W$6:$W$505,CG$3,実績!$AI$6:$AI$505,"&lt;="&amp;$A50,実績!$AJ$6:$AJ$505,"&gt;"&amp;$A50,実績!$AL$6:$AL$505,"○")&gt;0,1,0))</f>
        <v>0</v>
      </c>
      <c r="CH50" s="39" t="n">
        <f aca="false">IF(CH$4=0,0,IF(COUNTIFS(実績!$W$6:$W$505,CH$3,実績!$AI$6:$AI$505,"&lt;="&amp;$A50,実績!$AJ$6:$AJ$505,"&gt;"&amp;$A50,実績!$AL$6:$AL$505,"○")&gt;0,1,0))</f>
        <v>0</v>
      </c>
      <c r="CI50" s="39" t="n">
        <f aca="false">IF(CI$4=0,0,IF(COUNTIFS(実績!$W$6:$W$505,CI$3,実績!$AI$6:$AI$505,"&lt;="&amp;$A50,実績!$AJ$6:$AJ$505,"&gt;"&amp;$A50,実績!$AL$6:$AL$505,"○")&gt;0,1,0))</f>
        <v>0</v>
      </c>
      <c r="CJ50" s="39" t="n">
        <f aca="false">IF(CJ$4=0,0,IF(COUNTIFS(実績!$W$6:$W$505,CJ$3,実績!$AI$6:$AI$505,"&lt;="&amp;$A50,実績!$AJ$6:$AJ$505,"&gt;"&amp;$A50,実績!$AL$6:$AL$505,"○")&gt;0,1,0))</f>
        <v>0</v>
      </c>
      <c r="CK50" s="39" t="n">
        <f aca="false">IF(CK$4=0,0,IF(COUNTIFS(実績!$W$6:$W$505,CK$3,実績!$AI$6:$AI$505,"&lt;="&amp;$A50,実績!$AJ$6:$AJ$505,"&gt;"&amp;$A50,実績!$AL$6:$AL$505,"○")&gt;0,1,0))</f>
        <v>0</v>
      </c>
      <c r="CL50" s="39" t="n">
        <f aca="false">IF(CL$4=0,0,IF(COUNTIFS(実績!$W$6:$W$505,CL$3,実績!$AI$6:$AI$505,"&lt;="&amp;$A50,実績!$AJ$6:$AJ$505,"&gt;"&amp;$A50,実績!$AL$6:$AL$505,"○")&gt;0,1,0))</f>
        <v>0</v>
      </c>
      <c r="CM50" s="39" t="n">
        <f aca="false">IF(CM$4=0,0,IF(COUNTIFS(実績!$W$6:$W$505,CM$3,実績!$AI$6:$AI$505,"&lt;="&amp;$A50,実績!$AJ$6:$AJ$505,"&gt;"&amp;$A50,実績!$AL$6:$AL$505,"○")&gt;0,1,0))</f>
        <v>0</v>
      </c>
      <c r="CN50" s="39" t="n">
        <f aca="false">IF(CN$4=0,0,IF(COUNTIFS(実績!$W$6:$W$505,CN$3,実績!$AI$6:$AI$505,"&lt;="&amp;$A50,実績!$AJ$6:$AJ$505,"&gt;"&amp;$A50,実績!$AL$6:$AL$505,"○")&gt;0,1,0))</f>
        <v>0</v>
      </c>
      <c r="CO50" s="39" t="n">
        <f aca="false">IF(CO$4=0,0,IF(COUNTIFS(実績!$W$6:$W$505,CO$3,実績!$AI$6:$AI$505,"&lt;="&amp;$A50,実績!$AJ$6:$AJ$505,"&gt;"&amp;$A50,実績!$AL$6:$AL$505,"○")&gt;0,1,0))</f>
        <v>0</v>
      </c>
      <c r="CP50" s="39" t="n">
        <f aca="false">IF(CP$4=0,0,IF(COUNTIFS(実績!$W$6:$W$505,CP$3,実績!$AI$6:$AI$505,"&lt;="&amp;$A50,実績!$AJ$6:$AJ$505,"&gt;"&amp;$A50,実績!$AL$6:$AL$505,"○")&gt;0,1,0))</f>
        <v>0</v>
      </c>
      <c r="CQ50" s="39" t="n">
        <f aca="false">IF(CQ$4=0,0,IF(COUNTIFS(実績!$W$6:$W$505,CQ$3,実績!$AI$6:$AI$505,"&lt;="&amp;$A50,実績!$AJ$6:$AJ$505,"&gt;"&amp;$A50,実績!$AL$6:$AL$505,"○")&gt;0,1,0))</f>
        <v>0</v>
      </c>
      <c r="CR50" s="39" t="n">
        <f aca="false">IF(CR$4=0,0,IF(COUNTIFS(実績!$W$6:$W$505,CR$3,実績!$AI$6:$AI$505,"&lt;="&amp;$A50,実績!$AJ$6:$AJ$505,"&gt;"&amp;$A50,実績!$AL$6:$AL$505,"○")&gt;0,1,0))</f>
        <v>0</v>
      </c>
      <c r="CS50" s="39" t="n">
        <f aca="false">IF(CS$4=0,0,IF(COUNTIFS(実績!$W$6:$W$505,CS$3,実績!$AI$6:$AI$505,"&lt;="&amp;$A50,実績!$AJ$6:$AJ$505,"&gt;"&amp;$A50,実績!$AL$6:$AL$505,"○")&gt;0,1,0))</f>
        <v>0</v>
      </c>
      <c r="CT50" s="39" t="n">
        <f aca="false">IF(CT$4=0,0,IF(COUNTIFS(実績!$W$6:$W$505,CT$3,実績!$AI$6:$AI$505,"&lt;="&amp;$A50,実績!$AJ$6:$AJ$505,"&gt;"&amp;$A50,実績!$AL$6:$AL$505,"○")&gt;0,1,0))</f>
        <v>0</v>
      </c>
      <c r="CU50" s="39" t="n">
        <f aca="false">IF(CU$4=0,0,IF(COUNTIFS(実績!$W$6:$W$505,CU$3,実績!$AI$6:$AI$505,"&lt;="&amp;$A50,実績!$AJ$6:$AJ$505,"&gt;"&amp;$A50,実績!$AL$6:$AL$505,"○")&gt;0,1,0))</f>
        <v>0</v>
      </c>
      <c r="CV50" s="39" t="n">
        <f aca="false">IF(CV$4=0,0,IF(COUNTIFS(実績!$W$6:$W$505,CV$3,実績!$AI$6:$AI$505,"&lt;="&amp;$A50,実績!$AJ$6:$AJ$505,"&gt;"&amp;$A50,実績!$AL$6:$AL$505,"○")&gt;0,1,0))</f>
        <v>0</v>
      </c>
      <c r="CW50" s="39" t="n">
        <f aca="false">IF(CW$4=0,0,IF(COUNTIFS(実績!$W$6:$W$505,CW$3,実績!$AI$6:$AI$505,"&lt;="&amp;$A50,実績!$AJ$6:$AJ$505,"&gt;"&amp;$A50,実績!$AL$6:$AL$505,"○")&gt;0,1,0))</f>
        <v>0</v>
      </c>
      <c r="CX50" s="39" t="n">
        <f aca="false">IF(CX$4=0,0,IF(COUNTIFS(実績!$W$6:$W$505,CX$3,実績!$AI$6:$AI$505,"&lt;="&amp;$A50,実績!$AJ$6:$AJ$505,"&gt;"&amp;$A50,実績!$AL$6:$AL$505,"○")&gt;0,1,0))</f>
        <v>0</v>
      </c>
      <c r="CY50" s="39" t="n">
        <f aca="false">IF(CY$4=0,0,IF(COUNTIFS(実績!$W$6:$W$505,CY$3,実績!$AI$6:$AI$505,"&lt;="&amp;$A50,実績!$AJ$6:$AJ$505,"&gt;"&amp;$A50,実績!$AL$6:$AL$505,"○")&gt;0,1,0))</f>
        <v>0</v>
      </c>
      <c r="CZ50" s="39" t="n">
        <f aca="false">IF(CZ$4=0,0,IF(COUNTIFS(実績!$W$6:$W$505,CZ$3,実績!$AI$6:$AI$505,"&lt;="&amp;$A50,実績!$AJ$6:$AJ$505,"&gt;"&amp;$A50,実績!$AL$6:$AL$505,"○")&gt;0,1,0))</f>
        <v>0</v>
      </c>
      <c r="DA50" s="39" t="n">
        <f aca="false">IF(DA$4=0,0,IF(COUNTIFS(実績!$W$6:$W$505,DA$3,実績!$AI$6:$AI$505,"&lt;="&amp;$A50,実績!$AJ$6:$AJ$505,"&gt;"&amp;$A50,実績!$AL$6:$AL$505,"○")&gt;0,1,0))</f>
        <v>0</v>
      </c>
      <c r="DB50" s="39" t="n">
        <f aca="false">IF(DB$4=0,0,IF(COUNTIFS(実績!$W$6:$W$505,DB$3,実績!$AI$6:$AI$505,"&lt;="&amp;$A50,実績!$AJ$6:$AJ$505,"&gt;"&amp;$A50,実績!$AL$6:$AL$505,"○")&gt;0,1,0))</f>
        <v>0</v>
      </c>
      <c r="DC50" s="39" t="n">
        <f aca="false">IF(DC$4=0,0,IF(COUNTIFS(実績!$W$6:$W$505,DC$3,実績!$AI$6:$AI$505,"&lt;="&amp;$A50,実績!$AJ$6:$AJ$505,"&gt;"&amp;$A50,実績!$AL$6:$AL$505,"○")&gt;0,1,0))</f>
        <v>0</v>
      </c>
      <c r="DD50" s="39" t="n">
        <f aca="false">IF(DD$4=0,0,IF(COUNTIFS(実績!$W$6:$W$505,DD$3,実績!$AI$6:$AI$505,"&lt;="&amp;$A50,実績!$AJ$6:$AJ$505,"&gt;"&amp;$A50,実績!$AL$6:$AL$505,"○")&gt;0,1,0))</f>
        <v>0</v>
      </c>
      <c r="DE50" s="39" t="n">
        <f aca="false">IF(DE$4=0,0,IF(COUNTIFS(実績!$W$6:$W$505,DE$3,実績!$AI$6:$AI$505,"&lt;="&amp;$A50,実績!$AJ$6:$AJ$505,"&gt;"&amp;$A50,実績!$AL$6:$AL$505,"○")&gt;0,1,0))</f>
        <v>0</v>
      </c>
      <c r="DF50" s="39" t="n">
        <f aca="false">IF(DF$4=0,0,IF(COUNTIFS(実績!$W$6:$W$505,DF$3,実績!$AI$6:$AI$505,"&lt;="&amp;$A50,実績!$AJ$6:$AJ$505,"&gt;"&amp;$A50,実績!$AL$6:$AL$505,"○")&gt;0,1,0))</f>
        <v>0</v>
      </c>
      <c r="DG50" s="39" t="n">
        <f aca="false">IF(DG$4=0,0,IF(COUNTIFS(実績!$W$6:$W$505,DG$3,実績!$AI$6:$AI$505,"&lt;="&amp;$A50,実績!$AJ$6:$AJ$505,"&gt;"&amp;$A50,実績!$AL$6:$AL$505,"○")&gt;0,1,0))</f>
        <v>0</v>
      </c>
      <c r="DH50" s="39" t="n">
        <f aca="false">IF(DH$4=0,0,IF(COUNTIFS(実績!$W$6:$W$505,DH$3,実績!$AI$6:$AI$505,"&lt;="&amp;$A50,実績!$AJ$6:$AJ$505,"&gt;"&amp;$A50,実績!$AL$6:$AL$505,"○")&gt;0,1,0))</f>
        <v>0</v>
      </c>
      <c r="DI50" s="39" t="n">
        <f aca="false">IF(DI$4=0,0,IF(COUNTIFS(実績!$W$6:$W$505,DI$3,実績!$AI$6:$AI$505,"&lt;="&amp;$A50,実績!$AJ$6:$AJ$505,"&gt;"&amp;$A50,実績!$AL$6:$AL$505,"○")&gt;0,1,0))</f>
        <v>0</v>
      </c>
      <c r="DJ50" s="39" t="n">
        <f aca="false">IF(DJ$4=0,0,IF(COUNTIFS(実績!$W$6:$W$505,DJ$3,実績!$AI$6:$AI$505,"&lt;="&amp;$A50,実績!$AJ$6:$AJ$505,"&gt;"&amp;$A50,実績!$AL$6:$AL$505,"○")&gt;0,1,0))</f>
        <v>0</v>
      </c>
      <c r="DK50" s="39" t="n">
        <f aca="false">IF(DK$4=0,0,IF(COUNTIFS(実績!$W$6:$W$505,DK$3,実績!$AI$6:$AI$505,"&lt;="&amp;$A50,実績!$AJ$6:$AJ$505,"&gt;"&amp;$A50,実績!$AL$6:$AL$505,"○")&gt;0,1,0))</f>
        <v>0</v>
      </c>
      <c r="DL50" s="39" t="n">
        <f aca="false">IF(DL$4=0,0,IF(COUNTIFS(実績!$W$6:$W$505,DL$3,実績!$AI$6:$AI$505,"&lt;="&amp;$A50,実績!$AJ$6:$AJ$505,"&gt;"&amp;$A50,実績!$AL$6:$AL$505,"○")&gt;0,1,0))</f>
        <v>0</v>
      </c>
      <c r="DM50" s="39" t="n">
        <f aca="false">IF(DM$4=0,0,IF(COUNTIFS(実績!$W$6:$W$505,DM$3,実績!$AI$6:$AI$505,"&lt;="&amp;$A50,実績!$AJ$6:$AJ$505,"&gt;"&amp;$A50,実績!$AL$6:$AL$505,"○")&gt;0,1,0))</f>
        <v>0</v>
      </c>
      <c r="DN50" s="39" t="n">
        <f aca="false">IF(DN$4=0,0,IF(COUNTIFS(実績!$W$6:$W$505,DN$3,実績!$AI$6:$AI$505,"&lt;="&amp;$A50,実績!$AJ$6:$AJ$505,"&gt;"&amp;$A50,実績!$AL$6:$AL$505,"○")&gt;0,1,0))</f>
        <v>0</v>
      </c>
      <c r="DO50" s="39" t="n">
        <f aca="false">IF(DO$4=0,0,IF(COUNTIFS(実績!$W$6:$W$505,DO$3,実績!$AI$6:$AI$505,"&lt;="&amp;$A50,実績!$AJ$6:$AJ$505,"&gt;"&amp;$A50,実績!$AL$6:$AL$505,"○")&gt;0,1,0))</f>
        <v>0</v>
      </c>
      <c r="DP50" s="39" t="n">
        <f aca="false">IF(DP$4=0,0,IF(COUNTIFS(実績!$W$6:$W$505,DP$3,実績!$AI$6:$AI$505,"&lt;="&amp;$A50,実績!$AJ$6:$AJ$505,"&gt;"&amp;$A50,実績!$AL$6:$AL$505,"○")&gt;0,1,0))</f>
        <v>0</v>
      </c>
      <c r="DQ50" s="39" t="n">
        <f aca="false">IF(DQ$4=0,0,IF(COUNTIFS(実績!$W$6:$W$505,DQ$3,実績!$AI$6:$AI$505,"&lt;="&amp;$A50,実績!$AJ$6:$AJ$505,"&gt;"&amp;$A50,実績!$AL$6:$AL$505,"○")&gt;0,1,0))</f>
        <v>0</v>
      </c>
      <c r="DR50" s="39" t="n">
        <f aca="false">IF(DR$4=0,0,IF(COUNTIFS(実績!$W$6:$W$505,DR$3,実績!$AI$6:$AI$505,"&lt;="&amp;$A50,実績!$AJ$6:$AJ$505,"&gt;"&amp;$A50,実績!$AL$6:$AL$505,"○")&gt;0,1,0))</f>
        <v>0</v>
      </c>
      <c r="DS50" s="39" t="n">
        <f aca="false">SUM(C50:DR50)</f>
        <v>0</v>
      </c>
    </row>
    <row r="51" customFormat="false" ht="15" hidden="false" customHeight="false" outlineLevel="0" collapsed="false">
      <c r="A51" s="0" t="n">
        <v>225</v>
      </c>
      <c r="B51" s="38" t="n">
        <f aca="false">A51/1440</f>
        <v>0.15625</v>
      </c>
      <c r="C51" s="39" t="n">
        <f aca="false">IF(C$4=0,0,IF(COUNTIFS(実績!$W$6:$W$505,C$3,実績!$AI$6:$AI$505,"&lt;="&amp;$A51,実績!$AJ$6:$AJ$505,"&gt;"&amp;$A51,実績!$AL$6:$AL$505,"○")&gt;0,1,0))</f>
        <v>0</v>
      </c>
      <c r="D51" s="39" t="n">
        <f aca="false">IF(D$4=0,0,IF(COUNTIFS(実績!$W$6:$W$505,D$3,実績!$AI$6:$AI$505,"&lt;="&amp;$A51,実績!$AJ$6:$AJ$505,"&gt;"&amp;$A51,実績!$AL$6:$AL$505,"○")&gt;0,1,0))</f>
        <v>0</v>
      </c>
      <c r="E51" s="39" t="n">
        <f aca="false">IF(E$4=0,0,IF(COUNTIFS(実績!$W$6:$W$505,E$3,実績!$AI$6:$AI$505,"&lt;="&amp;$A51,実績!$AJ$6:$AJ$505,"&gt;"&amp;$A51,実績!$AL$6:$AL$505,"○")&gt;0,1,0))</f>
        <v>0</v>
      </c>
      <c r="F51" s="39" t="n">
        <f aca="false">IF(F$4=0,0,IF(COUNTIFS(実績!$W$6:$W$505,F$3,実績!$AI$6:$AI$505,"&lt;="&amp;$A51,実績!$AJ$6:$AJ$505,"&gt;"&amp;$A51,実績!$AL$6:$AL$505,"○")&gt;0,1,0))</f>
        <v>0</v>
      </c>
      <c r="G51" s="39" t="n">
        <f aca="false">IF(G$4=0,0,IF(COUNTIFS(実績!$W$6:$W$505,G$3,実績!$AI$6:$AI$505,"&lt;="&amp;$A51,実績!$AJ$6:$AJ$505,"&gt;"&amp;$A51,実績!$AL$6:$AL$505,"○")&gt;0,1,0))</f>
        <v>0</v>
      </c>
      <c r="H51" s="39" t="n">
        <f aca="false">IF(H$4=0,0,IF(COUNTIFS(実績!$W$6:$W$505,H$3,実績!$AI$6:$AI$505,"&lt;="&amp;$A51,実績!$AJ$6:$AJ$505,"&gt;"&amp;$A51,実績!$AL$6:$AL$505,"○")&gt;0,1,0))</f>
        <v>0</v>
      </c>
      <c r="I51" s="39" t="n">
        <f aca="false">IF(I$4=0,0,IF(COUNTIFS(実績!$W$6:$W$505,I$3,実績!$AI$6:$AI$505,"&lt;="&amp;$A51,実績!$AJ$6:$AJ$505,"&gt;"&amp;$A51,実績!$AL$6:$AL$505,"○")&gt;0,1,0))</f>
        <v>0</v>
      </c>
      <c r="J51" s="39" t="n">
        <f aca="false">IF(J$4=0,0,IF(COUNTIFS(実績!$W$6:$W$505,J$3,実績!$AI$6:$AI$505,"&lt;="&amp;$A51,実績!$AJ$6:$AJ$505,"&gt;"&amp;$A51,実績!$AL$6:$AL$505,"○")&gt;0,1,0))</f>
        <v>0</v>
      </c>
      <c r="K51" s="39" t="n">
        <f aca="false">IF(K$4=0,0,IF(COUNTIFS(実績!$W$6:$W$505,K$3,実績!$AI$6:$AI$505,"&lt;="&amp;$A51,実績!$AJ$6:$AJ$505,"&gt;"&amp;$A51,実績!$AL$6:$AL$505,"○")&gt;0,1,0))</f>
        <v>0</v>
      </c>
      <c r="L51" s="39" t="n">
        <f aca="false">IF(L$4=0,0,IF(COUNTIFS(実績!$W$6:$W$505,L$3,実績!$AI$6:$AI$505,"&lt;="&amp;$A51,実績!$AJ$6:$AJ$505,"&gt;"&amp;$A51,実績!$AL$6:$AL$505,"○")&gt;0,1,0))</f>
        <v>0</v>
      </c>
      <c r="M51" s="39" t="n">
        <f aca="false">IF(M$4=0,0,IF(COUNTIFS(実績!$W$6:$W$505,M$3,実績!$AI$6:$AI$505,"&lt;="&amp;$A51,実績!$AJ$6:$AJ$505,"&gt;"&amp;$A51,実績!$AL$6:$AL$505,"○")&gt;0,1,0))</f>
        <v>0</v>
      </c>
      <c r="N51" s="39" t="n">
        <f aca="false">IF(N$4=0,0,IF(COUNTIFS(実績!$W$6:$W$505,N$3,実績!$AI$6:$AI$505,"&lt;="&amp;$A51,実績!$AJ$6:$AJ$505,"&gt;"&amp;$A51,実績!$AL$6:$AL$505,"○")&gt;0,1,0))</f>
        <v>0</v>
      </c>
      <c r="O51" s="39" t="n">
        <f aca="false">IF(O$4=0,0,IF(COUNTIFS(実績!$W$6:$W$505,O$3,実績!$AI$6:$AI$505,"&lt;="&amp;$A51,実績!$AJ$6:$AJ$505,"&gt;"&amp;$A51,実績!$AL$6:$AL$505,"○")&gt;0,1,0))</f>
        <v>0</v>
      </c>
      <c r="P51" s="39" t="n">
        <f aca="false">IF(P$4=0,0,IF(COUNTIFS(実績!$W$6:$W$505,P$3,実績!$AI$6:$AI$505,"&lt;="&amp;$A51,実績!$AJ$6:$AJ$505,"&gt;"&amp;$A51,実績!$AL$6:$AL$505,"○")&gt;0,1,0))</f>
        <v>0</v>
      </c>
      <c r="Q51" s="39" t="n">
        <f aca="false">IF(Q$4=0,0,IF(COUNTIFS(実績!$W$6:$W$505,Q$3,実績!$AI$6:$AI$505,"&lt;="&amp;$A51,実績!$AJ$6:$AJ$505,"&gt;"&amp;$A51,実績!$AL$6:$AL$505,"○")&gt;0,1,0))</f>
        <v>0</v>
      </c>
      <c r="R51" s="39" t="n">
        <f aca="false">IF(R$4=0,0,IF(COUNTIFS(実績!$W$6:$W$505,R$3,実績!$AI$6:$AI$505,"&lt;="&amp;$A51,実績!$AJ$6:$AJ$505,"&gt;"&amp;$A51,実績!$AL$6:$AL$505,"○")&gt;0,1,0))</f>
        <v>0</v>
      </c>
      <c r="S51" s="39" t="n">
        <f aca="false">IF(S$4=0,0,IF(COUNTIFS(実績!$W$6:$W$505,S$3,実績!$AI$6:$AI$505,"&lt;="&amp;$A51,実績!$AJ$6:$AJ$505,"&gt;"&amp;$A51,実績!$AL$6:$AL$505,"○")&gt;0,1,0))</f>
        <v>0</v>
      </c>
      <c r="T51" s="39" t="n">
        <f aca="false">IF(T$4=0,0,IF(COUNTIFS(実績!$W$6:$W$505,T$3,実績!$AI$6:$AI$505,"&lt;="&amp;$A51,実績!$AJ$6:$AJ$505,"&gt;"&amp;$A51,実績!$AL$6:$AL$505,"○")&gt;0,1,0))</f>
        <v>0</v>
      </c>
      <c r="U51" s="39" t="n">
        <f aca="false">IF(U$4=0,0,IF(COUNTIFS(実績!$W$6:$W$505,U$3,実績!$AI$6:$AI$505,"&lt;="&amp;$A51,実績!$AJ$6:$AJ$505,"&gt;"&amp;$A51,実績!$AL$6:$AL$505,"○")&gt;0,1,0))</f>
        <v>0</v>
      </c>
      <c r="V51" s="39" t="n">
        <f aca="false">IF(V$4=0,0,IF(COUNTIFS(実績!$W$6:$W$505,V$3,実績!$AI$6:$AI$505,"&lt;="&amp;$A51,実績!$AJ$6:$AJ$505,"&gt;"&amp;$A51,実績!$AL$6:$AL$505,"○")&gt;0,1,0))</f>
        <v>0</v>
      </c>
      <c r="W51" s="39" t="n">
        <f aca="false">IF(W$4=0,0,IF(COUNTIFS(実績!$W$6:$W$505,W$3,実績!$AI$6:$AI$505,"&lt;="&amp;$A51,実績!$AJ$6:$AJ$505,"&gt;"&amp;$A51,実績!$AL$6:$AL$505,"○")&gt;0,1,0))</f>
        <v>0</v>
      </c>
      <c r="X51" s="39" t="n">
        <f aca="false">IF(X$4=0,0,IF(COUNTIFS(実績!$W$6:$W$505,X$3,実績!$AI$6:$AI$505,"&lt;="&amp;$A51,実績!$AJ$6:$AJ$505,"&gt;"&amp;$A51,実績!$AL$6:$AL$505,"○")&gt;0,1,0))</f>
        <v>0</v>
      </c>
      <c r="Y51" s="39" t="n">
        <f aca="false">IF(Y$4=0,0,IF(COUNTIFS(実績!$W$6:$W$505,Y$3,実績!$AI$6:$AI$505,"&lt;="&amp;$A51,実績!$AJ$6:$AJ$505,"&gt;"&amp;$A51,実績!$AL$6:$AL$505,"○")&gt;0,1,0))</f>
        <v>0</v>
      </c>
      <c r="Z51" s="39" t="n">
        <f aca="false">IF(Z$4=0,0,IF(COUNTIFS(実績!$W$6:$W$505,Z$3,実績!$AI$6:$AI$505,"&lt;="&amp;$A51,実績!$AJ$6:$AJ$505,"&gt;"&amp;$A51,実績!$AL$6:$AL$505,"○")&gt;0,1,0))</f>
        <v>0</v>
      </c>
      <c r="AA51" s="39" t="n">
        <f aca="false">IF(AA$4=0,0,IF(COUNTIFS(実績!$W$6:$W$505,AA$3,実績!$AI$6:$AI$505,"&lt;="&amp;$A51,実績!$AJ$6:$AJ$505,"&gt;"&amp;$A51,実績!$AL$6:$AL$505,"○")&gt;0,1,0))</f>
        <v>0</v>
      </c>
      <c r="AB51" s="39" t="n">
        <f aca="false">IF(AB$4=0,0,IF(COUNTIFS(実績!$W$6:$W$505,AB$3,実績!$AI$6:$AI$505,"&lt;="&amp;$A51,実績!$AJ$6:$AJ$505,"&gt;"&amp;$A51,実績!$AL$6:$AL$505,"○")&gt;0,1,0))</f>
        <v>0</v>
      </c>
      <c r="AC51" s="39" t="n">
        <f aca="false">IF(AC$4=0,0,IF(COUNTIFS(実績!$W$6:$W$505,AC$3,実績!$AI$6:$AI$505,"&lt;="&amp;$A51,実績!$AJ$6:$AJ$505,"&gt;"&amp;$A51,実績!$AL$6:$AL$505,"○")&gt;0,1,0))</f>
        <v>0</v>
      </c>
      <c r="AD51" s="39" t="n">
        <f aca="false">IF(AD$4=0,0,IF(COUNTIFS(実績!$W$6:$W$505,AD$3,実績!$AI$6:$AI$505,"&lt;="&amp;$A51,実績!$AJ$6:$AJ$505,"&gt;"&amp;$A51,実績!$AL$6:$AL$505,"○")&gt;0,1,0))</f>
        <v>0</v>
      </c>
      <c r="AE51" s="39" t="n">
        <f aca="false">IF(AE$4=0,0,IF(COUNTIFS(実績!$W$6:$W$505,AE$3,実績!$AI$6:$AI$505,"&lt;="&amp;$A51,実績!$AJ$6:$AJ$505,"&gt;"&amp;$A51,実績!$AL$6:$AL$505,"○")&gt;0,1,0))</f>
        <v>0</v>
      </c>
      <c r="AF51" s="39" t="n">
        <f aca="false">IF(AF$4=0,0,IF(COUNTIFS(実績!$W$6:$W$505,AF$3,実績!$AI$6:$AI$505,"&lt;="&amp;$A51,実績!$AJ$6:$AJ$505,"&gt;"&amp;$A51,実績!$AL$6:$AL$505,"○")&gt;0,1,0))</f>
        <v>0</v>
      </c>
      <c r="AG51" s="39" t="n">
        <f aca="false">IF(AG$4=0,0,IF(COUNTIFS(実績!$W$6:$W$505,AG$3,実績!$AI$6:$AI$505,"&lt;="&amp;$A51,実績!$AJ$6:$AJ$505,"&gt;"&amp;$A51,実績!$AL$6:$AL$505,"○")&gt;0,1,0))</f>
        <v>0</v>
      </c>
      <c r="AH51" s="39" t="n">
        <f aca="false">IF(AH$4=0,0,IF(COUNTIFS(実績!$W$6:$W$505,AH$3,実績!$AI$6:$AI$505,"&lt;="&amp;$A51,実績!$AJ$6:$AJ$505,"&gt;"&amp;$A51,実績!$AL$6:$AL$505,"○")&gt;0,1,0))</f>
        <v>0</v>
      </c>
      <c r="AI51" s="39" t="n">
        <f aca="false">IF(AI$4=0,0,IF(COUNTIFS(実績!$W$6:$W$505,AI$3,実績!$AI$6:$AI$505,"&lt;="&amp;$A51,実績!$AJ$6:$AJ$505,"&gt;"&amp;$A51,実績!$AL$6:$AL$505,"○")&gt;0,1,0))</f>
        <v>0</v>
      </c>
      <c r="AJ51" s="39" t="n">
        <f aca="false">IF(AJ$4=0,0,IF(COUNTIFS(実績!$W$6:$W$505,AJ$3,実績!$AI$6:$AI$505,"&lt;="&amp;$A51,実績!$AJ$6:$AJ$505,"&gt;"&amp;$A51,実績!$AL$6:$AL$505,"○")&gt;0,1,0))</f>
        <v>0</v>
      </c>
      <c r="AK51" s="39" t="n">
        <f aca="false">IF(AK$4=0,0,IF(COUNTIFS(実績!$W$6:$W$505,AK$3,実績!$AI$6:$AI$505,"&lt;="&amp;$A51,実績!$AJ$6:$AJ$505,"&gt;"&amp;$A51,実績!$AL$6:$AL$505,"○")&gt;0,1,0))</f>
        <v>0</v>
      </c>
      <c r="AL51" s="39" t="n">
        <f aca="false">IF(AL$4=0,0,IF(COUNTIFS(実績!$W$6:$W$505,AL$3,実績!$AI$6:$AI$505,"&lt;="&amp;$A51,実績!$AJ$6:$AJ$505,"&gt;"&amp;$A51,実績!$AL$6:$AL$505,"○")&gt;0,1,0))</f>
        <v>0</v>
      </c>
      <c r="AM51" s="39" t="n">
        <f aca="false">IF(AM$4=0,0,IF(COUNTIFS(実績!$W$6:$W$505,AM$3,実績!$AI$6:$AI$505,"&lt;="&amp;$A51,実績!$AJ$6:$AJ$505,"&gt;"&amp;$A51,実績!$AL$6:$AL$505,"○")&gt;0,1,0))</f>
        <v>0</v>
      </c>
      <c r="AN51" s="39" t="n">
        <f aca="false">IF(AN$4=0,0,IF(COUNTIFS(実績!$W$6:$W$505,AN$3,実績!$AI$6:$AI$505,"&lt;="&amp;$A51,実績!$AJ$6:$AJ$505,"&gt;"&amp;$A51,実績!$AL$6:$AL$505,"○")&gt;0,1,0))</f>
        <v>0</v>
      </c>
      <c r="AO51" s="39" t="n">
        <f aca="false">IF(AO$4=0,0,IF(COUNTIFS(実績!$W$6:$W$505,AO$3,実績!$AI$6:$AI$505,"&lt;="&amp;$A51,実績!$AJ$6:$AJ$505,"&gt;"&amp;$A51,実績!$AL$6:$AL$505,"○")&gt;0,1,0))</f>
        <v>0</v>
      </c>
      <c r="AP51" s="39" t="n">
        <f aca="false">IF(AP$4=0,0,IF(COUNTIFS(実績!$W$6:$W$505,AP$3,実績!$AI$6:$AI$505,"&lt;="&amp;$A51,実績!$AJ$6:$AJ$505,"&gt;"&amp;$A51,実績!$AL$6:$AL$505,"○")&gt;0,1,0))</f>
        <v>0</v>
      </c>
      <c r="AQ51" s="39" t="n">
        <f aca="false">IF(AQ$4=0,0,IF(COUNTIFS(実績!$W$6:$W$505,AQ$3,実績!$AI$6:$AI$505,"&lt;="&amp;$A51,実績!$AJ$6:$AJ$505,"&gt;"&amp;$A51,実績!$AL$6:$AL$505,"○")&gt;0,1,0))</f>
        <v>0</v>
      </c>
      <c r="AR51" s="39" t="n">
        <f aca="false">IF(AR$4=0,0,IF(COUNTIFS(実績!$W$6:$W$505,AR$3,実績!$AI$6:$AI$505,"&lt;="&amp;$A51,実績!$AJ$6:$AJ$505,"&gt;"&amp;$A51,実績!$AL$6:$AL$505,"○")&gt;0,1,0))</f>
        <v>0</v>
      </c>
      <c r="AS51" s="39" t="n">
        <f aca="false">IF(AS$4=0,0,IF(COUNTIFS(実績!$W$6:$W$505,AS$3,実績!$AI$6:$AI$505,"&lt;="&amp;$A51,実績!$AJ$6:$AJ$505,"&gt;"&amp;$A51,実績!$AL$6:$AL$505,"○")&gt;0,1,0))</f>
        <v>0</v>
      </c>
      <c r="AT51" s="39" t="n">
        <f aca="false">IF(AT$4=0,0,IF(COUNTIFS(実績!$W$6:$W$505,AT$3,実績!$AI$6:$AI$505,"&lt;="&amp;$A51,実績!$AJ$6:$AJ$505,"&gt;"&amp;$A51,実績!$AL$6:$AL$505,"○")&gt;0,1,0))</f>
        <v>0</v>
      </c>
      <c r="AU51" s="39" t="n">
        <f aca="false">IF(AU$4=0,0,IF(COUNTIFS(実績!$W$6:$W$505,AU$3,実績!$AI$6:$AI$505,"&lt;="&amp;$A51,実績!$AJ$6:$AJ$505,"&gt;"&amp;$A51,実績!$AL$6:$AL$505,"○")&gt;0,1,0))</f>
        <v>0</v>
      </c>
      <c r="AV51" s="39" t="n">
        <f aca="false">IF(AV$4=0,0,IF(COUNTIFS(実績!$W$6:$W$505,AV$3,実績!$AI$6:$AI$505,"&lt;="&amp;$A51,実績!$AJ$6:$AJ$505,"&gt;"&amp;$A51,実績!$AL$6:$AL$505,"○")&gt;0,1,0))</f>
        <v>0</v>
      </c>
      <c r="AW51" s="39" t="n">
        <f aca="false">IF(AW$4=0,0,IF(COUNTIFS(実績!$W$6:$W$505,AW$3,実績!$AI$6:$AI$505,"&lt;="&amp;$A51,実績!$AJ$6:$AJ$505,"&gt;"&amp;$A51,実績!$AL$6:$AL$505,"○")&gt;0,1,0))</f>
        <v>0</v>
      </c>
      <c r="AX51" s="39" t="n">
        <f aca="false">IF(AX$4=0,0,IF(COUNTIFS(実績!$W$6:$W$505,AX$3,実績!$AI$6:$AI$505,"&lt;="&amp;$A51,実績!$AJ$6:$AJ$505,"&gt;"&amp;$A51,実績!$AL$6:$AL$505,"○")&gt;0,1,0))</f>
        <v>0</v>
      </c>
      <c r="AY51" s="39" t="n">
        <f aca="false">IF(AY$4=0,0,IF(COUNTIFS(実績!$W$6:$W$505,AY$3,実績!$AI$6:$AI$505,"&lt;="&amp;$A51,実績!$AJ$6:$AJ$505,"&gt;"&amp;$A51,実績!$AL$6:$AL$505,"○")&gt;0,1,0))</f>
        <v>0</v>
      </c>
      <c r="AZ51" s="39" t="n">
        <f aca="false">IF(AZ$4=0,0,IF(COUNTIFS(実績!$W$6:$W$505,AZ$3,実績!$AI$6:$AI$505,"&lt;="&amp;$A51,実績!$AJ$6:$AJ$505,"&gt;"&amp;$A51,実績!$AL$6:$AL$505,"○")&gt;0,1,0))</f>
        <v>0</v>
      </c>
      <c r="BA51" s="39" t="n">
        <f aca="false">IF(BA$4=0,0,IF(COUNTIFS(実績!$W$6:$W$505,BA$3,実績!$AI$6:$AI$505,"&lt;="&amp;$A51,実績!$AJ$6:$AJ$505,"&gt;"&amp;$A51,実績!$AL$6:$AL$505,"○")&gt;0,1,0))</f>
        <v>0</v>
      </c>
      <c r="BB51" s="39" t="n">
        <f aca="false">IF(BB$4=0,0,IF(COUNTIFS(実績!$W$6:$W$505,BB$3,実績!$AI$6:$AI$505,"&lt;="&amp;$A51,実績!$AJ$6:$AJ$505,"&gt;"&amp;$A51,実績!$AL$6:$AL$505,"○")&gt;0,1,0))</f>
        <v>0</v>
      </c>
      <c r="BC51" s="39" t="n">
        <f aca="false">IF(BC$4=0,0,IF(COUNTIFS(実績!$W$6:$W$505,BC$3,実績!$AI$6:$AI$505,"&lt;="&amp;$A51,実績!$AJ$6:$AJ$505,"&gt;"&amp;$A51,実績!$AL$6:$AL$505,"○")&gt;0,1,0))</f>
        <v>0</v>
      </c>
      <c r="BD51" s="39" t="n">
        <f aca="false">IF(BD$4=0,0,IF(COUNTIFS(実績!$W$6:$W$505,BD$3,実績!$AI$6:$AI$505,"&lt;="&amp;$A51,実績!$AJ$6:$AJ$505,"&gt;"&amp;$A51,実績!$AL$6:$AL$505,"○")&gt;0,1,0))</f>
        <v>0</v>
      </c>
      <c r="BE51" s="39" t="n">
        <f aca="false">IF(BE$4=0,0,IF(COUNTIFS(実績!$W$6:$W$505,BE$3,実績!$AI$6:$AI$505,"&lt;="&amp;$A51,実績!$AJ$6:$AJ$505,"&gt;"&amp;$A51,実績!$AL$6:$AL$505,"○")&gt;0,1,0))</f>
        <v>0</v>
      </c>
      <c r="BF51" s="39" t="n">
        <f aca="false">IF(BF$4=0,0,IF(COUNTIFS(実績!$W$6:$W$505,BF$3,実績!$AI$6:$AI$505,"&lt;="&amp;$A51,実績!$AJ$6:$AJ$505,"&gt;"&amp;$A51,実績!$AL$6:$AL$505,"○")&gt;0,1,0))</f>
        <v>0</v>
      </c>
      <c r="BG51" s="39" t="n">
        <f aca="false">IF(BG$4=0,0,IF(COUNTIFS(実績!$W$6:$W$505,BG$3,実績!$AI$6:$AI$505,"&lt;="&amp;$A51,実績!$AJ$6:$AJ$505,"&gt;"&amp;$A51,実績!$AL$6:$AL$505,"○")&gt;0,1,0))</f>
        <v>0</v>
      </c>
      <c r="BH51" s="39" t="n">
        <f aca="false">IF(BH$4=0,0,IF(COUNTIFS(実績!$W$6:$W$505,BH$3,実績!$AI$6:$AI$505,"&lt;="&amp;$A51,実績!$AJ$6:$AJ$505,"&gt;"&amp;$A51,実績!$AL$6:$AL$505,"○")&gt;0,1,0))</f>
        <v>0</v>
      </c>
      <c r="BI51" s="39" t="n">
        <f aca="false">IF(BI$4=0,0,IF(COUNTIFS(実績!$W$6:$W$505,BI$3,実績!$AI$6:$AI$505,"&lt;="&amp;$A51,実績!$AJ$6:$AJ$505,"&gt;"&amp;$A51,実績!$AL$6:$AL$505,"○")&gt;0,1,0))</f>
        <v>0</v>
      </c>
      <c r="BJ51" s="39" t="n">
        <f aca="false">IF(BJ$4=0,0,IF(COUNTIFS(実績!$W$6:$W$505,BJ$3,実績!$AI$6:$AI$505,"&lt;="&amp;$A51,実績!$AJ$6:$AJ$505,"&gt;"&amp;$A51,実績!$AL$6:$AL$505,"○")&gt;0,1,0))</f>
        <v>0</v>
      </c>
      <c r="BK51" s="39" t="n">
        <f aca="false">IF(BK$4=0,0,IF(COUNTIFS(実績!$W$6:$W$505,BK$3,実績!$AI$6:$AI$505,"&lt;="&amp;$A51,実績!$AJ$6:$AJ$505,"&gt;"&amp;$A51,実績!$AL$6:$AL$505,"○")&gt;0,1,0))</f>
        <v>0</v>
      </c>
      <c r="BL51" s="39" t="n">
        <f aca="false">IF(BL$4=0,0,IF(COUNTIFS(実績!$W$6:$W$505,BL$3,実績!$AI$6:$AI$505,"&lt;="&amp;$A51,実績!$AJ$6:$AJ$505,"&gt;"&amp;$A51,実績!$AL$6:$AL$505,"○")&gt;0,1,0))</f>
        <v>0</v>
      </c>
      <c r="BM51" s="39" t="n">
        <f aca="false">IF(BM$4=0,0,IF(COUNTIFS(実績!$W$6:$W$505,BM$3,実績!$AI$6:$AI$505,"&lt;="&amp;$A51,実績!$AJ$6:$AJ$505,"&gt;"&amp;$A51,実績!$AL$6:$AL$505,"○")&gt;0,1,0))</f>
        <v>0</v>
      </c>
      <c r="BN51" s="39" t="n">
        <f aca="false">IF(BN$4=0,0,IF(COUNTIFS(実績!$W$6:$W$505,BN$3,実績!$AI$6:$AI$505,"&lt;="&amp;$A51,実績!$AJ$6:$AJ$505,"&gt;"&amp;$A51,実績!$AL$6:$AL$505,"○")&gt;0,1,0))</f>
        <v>0</v>
      </c>
      <c r="BO51" s="39" t="n">
        <f aca="false">IF(BO$4=0,0,IF(COUNTIFS(実績!$W$6:$W$505,BO$3,実績!$AI$6:$AI$505,"&lt;="&amp;$A51,実績!$AJ$6:$AJ$505,"&gt;"&amp;$A51,実績!$AL$6:$AL$505,"○")&gt;0,1,0))</f>
        <v>0</v>
      </c>
      <c r="BP51" s="39" t="n">
        <f aca="false">IF(BP$4=0,0,IF(COUNTIFS(実績!$W$6:$W$505,BP$3,実績!$AI$6:$AI$505,"&lt;="&amp;$A51,実績!$AJ$6:$AJ$505,"&gt;"&amp;$A51,実績!$AL$6:$AL$505,"○")&gt;0,1,0))</f>
        <v>0</v>
      </c>
      <c r="BQ51" s="39" t="n">
        <f aca="false">IF(BQ$4=0,0,IF(COUNTIFS(実績!$W$6:$W$505,BQ$3,実績!$AI$6:$AI$505,"&lt;="&amp;$A51,実績!$AJ$6:$AJ$505,"&gt;"&amp;$A51,実績!$AL$6:$AL$505,"○")&gt;0,1,0))</f>
        <v>0</v>
      </c>
      <c r="BR51" s="39" t="n">
        <f aca="false">IF(BR$4=0,0,IF(COUNTIFS(実績!$W$6:$W$505,BR$3,実績!$AI$6:$AI$505,"&lt;="&amp;$A51,実績!$AJ$6:$AJ$505,"&gt;"&amp;$A51,実績!$AL$6:$AL$505,"○")&gt;0,1,0))</f>
        <v>0</v>
      </c>
      <c r="BS51" s="39" t="n">
        <f aca="false">IF(BS$4=0,0,IF(COUNTIFS(実績!$W$6:$W$505,BS$3,実績!$AI$6:$AI$505,"&lt;="&amp;$A51,実績!$AJ$6:$AJ$505,"&gt;"&amp;$A51,実績!$AL$6:$AL$505,"○")&gt;0,1,0))</f>
        <v>0</v>
      </c>
      <c r="BT51" s="39" t="n">
        <f aca="false">IF(BT$4=0,0,IF(COUNTIFS(実績!$W$6:$W$505,BT$3,実績!$AI$6:$AI$505,"&lt;="&amp;$A51,実績!$AJ$6:$AJ$505,"&gt;"&amp;$A51,実績!$AL$6:$AL$505,"○")&gt;0,1,0))</f>
        <v>0</v>
      </c>
      <c r="BU51" s="39" t="n">
        <f aca="false">IF(BU$4=0,0,IF(COUNTIFS(実績!$W$6:$W$505,BU$3,実績!$AI$6:$AI$505,"&lt;="&amp;$A51,実績!$AJ$6:$AJ$505,"&gt;"&amp;$A51,実績!$AL$6:$AL$505,"○")&gt;0,1,0))</f>
        <v>0</v>
      </c>
      <c r="BV51" s="39" t="n">
        <f aca="false">IF(BV$4=0,0,IF(COUNTIFS(実績!$W$6:$W$505,BV$3,実績!$AI$6:$AI$505,"&lt;="&amp;$A51,実績!$AJ$6:$AJ$505,"&gt;"&amp;$A51,実績!$AL$6:$AL$505,"○")&gt;0,1,0))</f>
        <v>0</v>
      </c>
      <c r="BW51" s="39" t="n">
        <f aca="false">IF(BW$4=0,0,IF(COUNTIFS(実績!$W$6:$W$505,BW$3,実績!$AI$6:$AI$505,"&lt;="&amp;$A51,実績!$AJ$6:$AJ$505,"&gt;"&amp;$A51,実績!$AL$6:$AL$505,"○")&gt;0,1,0))</f>
        <v>0</v>
      </c>
      <c r="BX51" s="39" t="n">
        <f aca="false">IF(BX$4=0,0,IF(COUNTIFS(実績!$W$6:$W$505,BX$3,実績!$AI$6:$AI$505,"&lt;="&amp;$A51,実績!$AJ$6:$AJ$505,"&gt;"&amp;$A51,実績!$AL$6:$AL$505,"○")&gt;0,1,0))</f>
        <v>0</v>
      </c>
      <c r="BY51" s="39" t="n">
        <f aca="false">IF(BY$4=0,0,IF(COUNTIFS(実績!$W$6:$W$505,BY$3,実績!$AI$6:$AI$505,"&lt;="&amp;$A51,実績!$AJ$6:$AJ$505,"&gt;"&amp;$A51,実績!$AL$6:$AL$505,"○")&gt;0,1,0))</f>
        <v>0</v>
      </c>
      <c r="BZ51" s="39" t="n">
        <f aca="false">IF(BZ$4=0,0,IF(COUNTIFS(実績!$W$6:$W$505,BZ$3,実績!$AI$6:$AI$505,"&lt;="&amp;$A51,実績!$AJ$6:$AJ$505,"&gt;"&amp;$A51,実績!$AL$6:$AL$505,"○")&gt;0,1,0))</f>
        <v>0</v>
      </c>
      <c r="CA51" s="39" t="n">
        <f aca="false">IF(CA$4=0,0,IF(COUNTIFS(実績!$W$6:$W$505,CA$3,実績!$AI$6:$AI$505,"&lt;="&amp;$A51,実績!$AJ$6:$AJ$505,"&gt;"&amp;$A51,実績!$AL$6:$AL$505,"○")&gt;0,1,0))</f>
        <v>0</v>
      </c>
      <c r="CB51" s="39" t="n">
        <f aca="false">IF(CB$4=0,0,IF(COUNTIFS(実績!$W$6:$W$505,CB$3,実績!$AI$6:$AI$505,"&lt;="&amp;$A51,実績!$AJ$6:$AJ$505,"&gt;"&amp;$A51,実績!$AL$6:$AL$505,"○")&gt;0,1,0))</f>
        <v>0</v>
      </c>
      <c r="CC51" s="39" t="n">
        <f aca="false">IF(CC$4=0,0,IF(COUNTIFS(実績!$W$6:$W$505,CC$3,実績!$AI$6:$AI$505,"&lt;="&amp;$A51,実績!$AJ$6:$AJ$505,"&gt;"&amp;$A51,実績!$AL$6:$AL$505,"○")&gt;0,1,0))</f>
        <v>0</v>
      </c>
      <c r="CD51" s="39" t="n">
        <f aca="false">IF(CD$4=0,0,IF(COUNTIFS(実績!$W$6:$W$505,CD$3,実績!$AI$6:$AI$505,"&lt;="&amp;$A51,実績!$AJ$6:$AJ$505,"&gt;"&amp;$A51,実績!$AL$6:$AL$505,"○")&gt;0,1,0))</f>
        <v>0</v>
      </c>
      <c r="CE51" s="39" t="n">
        <f aca="false">IF(CE$4=0,0,IF(COUNTIFS(実績!$W$6:$W$505,CE$3,実績!$AI$6:$AI$505,"&lt;="&amp;$A51,実績!$AJ$6:$AJ$505,"&gt;"&amp;$A51,実績!$AL$6:$AL$505,"○")&gt;0,1,0))</f>
        <v>0</v>
      </c>
      <c r="CF51" s="39" t="n">
        <f aca="false">IF(CF$4=0,0,IF(COUNTIFS(実績!$W$6:$W$505,CF$3,実績!$AI$6:$AI$505,"&lt;="&amp;$A51,実績!$AJ$6:$AJ$505,"&gt;"&amp;$A51,実績!$AL$6:$AL$505,"○")&gt;0,1,0))</f>
        <v>0</v>
      </c>
      <c r="CG51" s="39" t="n">
        <f aca="false">IF(CG$4=0,0,IF(COUNTIFS(実績!$W$6:$W$505,CG$3,実績!$AI$6:$AI$505,"&lt;="&amp;$A51,実績!$AJ$6:$AJ$505,"&gt;"&amp;$A51,実績!$AL$6:$AL$505,"○")&gt;0,1,0))</f>
        <v>0</v>
      </c>
      <c r="CH51" s="39" t="n">
        <f aca="false">IF(CH$4=0,0,IF(COUNTIFS(実績!$W$6:$W$505,CH$3,実績!$AI$6:$AI$505,"&lt;="&amp;$A51,実績!$AJ$6:$AJ$505,"&gt;"&amp;$A51,実績!$AL$6:$AL$505,"○")&gt;0,1,0))</f>
        <v>0</v>
      </c>
      <c r="CI51" s="39" t="n">
        <f aca="false">IF(CI$4=0,0,IF(COUNTIFS(実績!$W$6:$W$505,CI$3,実績!$AI$6:$AI$505,"&lt;="&amp;$A51,実績!$AJ$6:$AJ$505,"&gt;"&amp;$A51,実績!$AL$6:$AL$505,"○")&gt;0,1,0))</f>
        <v>0</v>
      </c>
      <c r="CJ51" s="39" t="n">
        <f aca="false">IF(CJ$4=0,0,IF(COUNTIFS(実績!$W$6:$W$505,CJ$3,実績!$AI$6:$AI$505,"&lt;="&amp;$A51,実績!$AJ$6:$AJ$505,"&gt;"&amp;$A51,実績!$AL$6:$AL$505,"○")&gt;0,1,0))</f>
        <v>0</v>
      </c>
      <c r="CK51" s="39" t="n">
        <f aca="false">IF(CK$4=0,0,IF(COUNTIFS(実績!$W$6:$W$505,CK$3,実績!$AI$6:$AI$505,"&lt;="&amp;$A51,実績!$AJ$6:$AJ$505,"&gt;"&amp;$A51,実績!$AL$6:$AL$505,"○")&gt;0,1,0))</f>
        <v>0</v>
      </c>
      <c r="CL51" s="39" t="n">
        <f aca="false">IF(CL$4=0,0,IF(COUNTIFS(実績!$W$6:$W$505,CL$3,実績!$AI$6:$AI$505,"&lt;="&amp;$A51,実績!$AJ$6:$AJ$505,"&gt;"&amp;$A51,実績!$AL$6:$AL$505,"○")&gt;0,1,0))</f>
        <v>0</v>
      </c>
      <c r="CM51" s="39" t="n">
        <f aca="false">IF(CM$4=0,0,IF(COUNTIFS(実績!$W$6:$W$505,CM$3,実績!$AI$6:$AI$505,"&lt;="&amp;$A51,実績!$AJ$6:$AJ$505,"&gt;"&amp;$A51,実績!$AL$6:$AL$505,"○")&gt;0,1,0))</f>
        <v>0</v>
      </c>
      <c r="CN51" s="39" t="n">
        <f aca="false">IF(CN$4=0,0,IF(COUNTIFS(実績!$W$6:$W$505,CN$3,実績!$AI$6:$AI$505,"&lt;="&amp;$A51,実績!$AJ$6:$AJ$505,"&gt;"&amp;$A51,実績!$AL$6:$AL$505,"○")&gt;0,1,0))</f>
        <v>0</v>
      </c>
      <c r="CO51" s="39" t="n">
        <f aca="false">IF(CO$4=0,0,IF(COUNTIFS(実績!$W$6:$W$505,CO$3,実績!$AI$6:$AI$505,"&lt;="&amp;$A51,実績!$AJ$6:$AJ$505,"&gt;"&amp;$A51,実績!$AL$6:$AL$505,"○")&gt;0,1,0))</f>
        <v>0</v>
      </c>
      <c r="CP51" s="39" t="n">
        <f aca="false">IF(CP$4=0,0,IF(COUNTIFS(実績!$W$6:$W$505,CP$3,実績!$AI$6:$AI$505,"&lt;="&amp;$A51,実績!$AJ$6:$AJ$505,"&gt;"&amp;$A51,実績!$AL$6:$AL$505,"○")&gt;0,1,0))</f>
        <v>0</v>
      </c>
      <c r="CQ51" s="39" t="n">
        <f aca="false">IF(CQ$4=0,0,IF(COUNTIFS(実績!$W$6:$W$505,CQ$3,実績!$AI$6:$AI$505,"&lt;="&amp;$A51,実績!$AJ$6:$AJ$505,"&gt;"&amp;$A51,実績!$AL$6:$AL$505,"○")&gt;0,1,0))</f>
        <v>0</v>
      </c>
      <c r="CR51" s="39" t="n">
        <f aca="false">IF(CR$4=0,0,IF(COUNTIFS(実績!$W$6:$W$505,CR$3,実績!$AI$6:$AI$505,"&lt;="&amp;$A51,実績!$AJ$6:$AJ$505,"&gt;"&amp;$A51,実績!$AL$6:$AL$505,"○")&gt;0,1,0))</f>
        <v>0</v>
      </c>
      <c r="CS51" s="39" t="n">
        <f aca="false">IF(CS$4=0,0,IF(COUNTIFS(実績!$W$6:$W$505,CS$3,実績!$AI$6:$AI$505,"&lt;="&amp;$A51,実績!$AJ$6:$AJ$505,"&gt;"&amp;$A51,実績!$AL$6:$AL$505,"○")&gt;0,1,0))</f>
        <v>0</v>
      </c>
      <c r="CT51" s="39" t="n">
        <f aca="false">IF(CT$4=0,0,IF(COUNTIFS(実績!$W$6:$W$505,CT$3,実績!$AI$6:$AI$505,"&lt;="&amp;$A51,実績!$AJ$6:$AJ$505,"&gt;"&amp;$A51,実績!$AL$6:$AL$505,"○")&gt;0,1,0))</f>
        <v>0</v>
      </c>
      <c r="CU51" s="39" t="n">
        <f aca="false">IF(CU$4=0,0,IF(COUNTIFS(実績!$W$6:$W$505,CU$3,実績!$AI$6:$AI$505,"&lt;="&amp;$A51,実績!$AJ$6:$AJ$505,"&gt;"&amp;$A51,実績!$AL$6:$AL$505,"○")&gt;0,1,0))</f>
        <v>0</v>
      </c>
      <c r="CV51" s="39" t="n">
        <f aca="false">IF(CV$4=0,0,IF(COUNTIFS(実績!$W$6:$W$505,CV$3,実績!$AI$6:$AI$505,"&lt;="&amp;$A51,実績!$AJ$6:$AJ$505,"&gt;"&amp;$A51,実績!$AL$6:$AL$505,"○")&gt;0,1,0))</f>
        <v>0</v>
      </c>
      <c r="CW51" s="39" t="n">
        <f aca="false">IF(CW$4=0,0,IF(COUNTIFS(実績!$W$6:$W$505,CW$3,実績!$AI$6:$AI$505,"&lt;="&amp;$A51,実績!$AJ$6:$AJ$505,"&gt;"&amp;$A51,実績!$AL$6:$AL$505,"○")&gt;0,1,0))</f>
        <v>0</v>
      </c>
      <c r="CX51" s="39" t="n">
        <f aca="false">IF(CX$4=0,0,IF(COUNTIFS(実績!$W$6:$W$505,CX$3,実績!$AI$6:$AI$505,"&lt;="&amp;$A51,実績!$AJ$6:$AJ$505,"&gt;"&amp;$A51,実績!$AL$6:$AL$505,"○")&gt;0,1,0))</f>
        <v>0</v>
      </c>
      <c r="CY51" s="39" t="n">
        <f aca="false">IF(CY$4=0,0,IF(COUNTIFS(実績!$W$6:$W$505,CY$3,実績!$AI$6:$AI$505,"&lt;="&amp;$A51,実績!$AJ$6:$AJ$505,"&gt;"&amp;$A51,実績!$AL$6:$AL$505,"○")&gt;0,1,0))</f>
        <v>0</v>
      </c>
      <c r="CZ51" s="39" t="n">
        <f aca="false">IF(CZ$4=0,0,IF(COUNTIFS(実績!$W$6:$W$505,CZ$3,実績!$AI$6:$AI$505,"&lt;="&amp;$A51,実績!$AJ$6:$AJ$505,"&gt;"&amp;$A51,実績!$AL$6:$AL$505,"○")&gt;0,1,0))</f>
        <v>0</v>
      </c>
      <c r="DA51" s="39" t="n">
        <f aca="false">IF(DA$4=0,0,IF(COUNTIFS(実績!$W$6:$W$505,DA$3,実績!$AI$6:$AI$505,"&lt;="&amp;$A51,実績!$AJ$6:$AJ$505,"&gt;"&amp;$A51,実績!$AL$6:$AL$505,"○")&gt;0,1,0))</f>
        <v>0</v>
      </c>
      <c r="DB51" s="39" t="n">
        <f aca="false">IF(DB$4=0,0,IF(COUNTIFS(実績!$W$6:$W$505,DB$3,実績!$AI$6:$AI$505,"&lt;="&amp;$A51,実績!$AJ$6:$AJ$505,"&gt;"&amp;$A51,実績!$AL$6:$AL$505,"○")&gt;0,1,0))</f>
        <v>0</v>
      </c>
      <c r="DC51" s="39" t="n">
        <f aca="false">IF(DC$4=0,0,IF(COUNTIFS(実績!$W$6:$W$505,DC$3,実績!$AI$6:$AI$505,"&lt;="&amp;$A51,実績!$AJ$6:$AJ$505,"&gt;"&amp;$A51,実績!$AL$6:$AL$505,"○")&gt;0,1,0))</f>
        <v>0</v>
      </c>
      <c r="DD51" s="39" t="n">
        <f aca="false">IF(DD$4=0,0,IF(COUNTIFS(実績!$W$6:$W$505,DD$3,実績!$AI$6:$AI$505,"&lt;="&amp;$A51,実績!$AJ$6:$AJ$505,"&gt;"&amp;$A51,実績!$AL$6:$AL$505,"○")&gt;0,1,0))</f>
        <v>0</v>
      </c>
      <c r="DE51" s="39" t="n">
        <f aca="false">IF(DE$4=0,0,IF(COUNTIFS(実績!$W$6:$W$505,DE$3,実績!$AI$6:$AI$505,"&lt;="&amp;$A51,実績!$AJ$6:$AJ$505,"&gt;"&amp;$A51,実績!$AL$6:$AL$505,"○")&gt;0,1,0))</f>
        <v>0</v>
      </c>
      <c r="DF51" s="39" t="n">
        <f aca="false">IF(DF$4=0,0,IF(COUNTIFS(実績!$W$6:$W$505,DF$3,実績!$AI$6:$AI$505,"&lt;="&amp;$A51,実績!$AJ$6:$AJ$505,"&gt;"&amp;$A51,実績!$AL$6:$AL$505,"○")&gt;0,1,0))</f>
        <v>0</v>
      </c>
      <c r="DG51" s="39" t="n">
        <f aca="false">IF(DG$4=0,0,IF(COUNTIFS(実績!$W$6:$W$505,DG$3,実績!$AI$6:$AI$505,"&lt;="&amp;$A51,実績!$AJ$6:$AJ$505,"&gt;"&amp;$A51,実績!$AL$6:$AL$505,"○")&gt;0,1,0))</f>
        <v>0</v>
      </c>
      <c r="DH51" s="39" t="n">
        <f aca="false">IF(DH$4=0,0,IF(COUNTIFS(実績!$W$6:$W$505,DH$3,実績!$AI$6:$AI$505,"&lt;="&amp;$A51,実績!$AJ$6:$AJ$505,"&gt;"&amp;$A51,実績!$AL$6:$AL$505,"○")&gt;0,1,0))</f>
        <v>0</v>
      </c>
      <c r="DI51" s="39" t="n">
        <f aca="false">IF(DI$4=0,0,IF(COUNTIFS(実績!$W$6:$W$505,DI$3,実績!$AI$6:$AI$505,"&lt;="&amp;$A51,実績!$AJ$6:$AJ$505,"&gt;"&amp;$A51,実績!$AL$6:$AL$505,"○")&gt;0,1,0))</f>
        <v>0</v>
      </c>
      <c r="DJ51" s="39" t="n">
        <f aca="false">IF(DJ$4=0,0,IF(COUNTIFS(実績!$W$6:$W$505,DJ$3,実績!$AI$6:$AI$505,"&lt;="&amp;$A51,実績!$AJ$6:$AJ$505,"&gt;"&amp;$A51,実績!$AL$6:$AL$505,"○")&gt;0,1,0))</f>
        <v>0</v>
      </c>
      <c r="DK51" s="39" t="n">
        <f aca="false">IF(DK$4=0,0,IF(COUNTIFS(実績!$W$6:$W$505,DK$3,実績!$AI$6:$AI$505,"&lt;="&amp;$A51,実績!$AJ$6:$AJ$505,"&gt;"&amp;$A51,実績!$AL$6:$AL$505,"○")&gt;0,1,0))</f>
        <v>0</v>
      </c>
      <c r="DL51" s="39" t="n">
        <f aca="false">IF(DL$4=0,0,IF(COUNTIFS(実績!$W$6:$W$505,DL$3,実績!$AI$6:$AI$505,"&lt;="&amp;$A51,実績!$AJ$6:$AJ$505,"&gt;"&amp;$A51,実績!$AL$6:$AL$505,"○")&gt;0,1,0))</f>
        <v>0</v>
      </c>
      <c r="DM51" s="39" t="n">
        <f aca="false">IF(DM$4=0,0,IF(COUNTIFS(実績!$W$6:$W$505,DM$3,実績!$AI$6:$AI$505,"&lt;="&amp;$A51,実績!$AJ$6:$AJ$505,"&gt;"&amp;$A51,実績!$AL$6:$AL$505,"○")&gt;0,1,0))</f>
        <v>0</v>
      </c>
      <c r="DN51" s="39" t="n">
        <f aca="false">IF(DN$4=0,0,IF(COUNTIFS(実績!$W$6:$W$505,DN$3,実績!$AI$6:$AI$505,"&lt;="&amp;$A51,実績!$AJ$6:$AJ$505,"&gt;"&amp;$A51,実績!$AL$6:$AL$505,"○")&gt;0,1,0))</f>
        <v>0</v>
      </c>
      <c r="DO51" s="39" t="n">
        <f aca="false">IF(DO$4=0,0,IF(COUNTIFS(実績!$W$6:$W$505,DO$3,実績!$AI$6:$AI$505,"&lt;="&amp;$A51,実績!$AJ$6:$AJ$505,"&gt;"&amp;$A51,実績!$AL$6:$AL$505,"○")&gt;0,1,0))</f>
        <v>0</v>
      </c>
      <c r="DP51" s="39" t="n">
        <f aca="false">IF(DP$4=0,0,IF(COUNTIFS(実績!$W$6:$W$505,DP$3,実績!$AI$6:$AI$505,"&lt;="&amp;$A51,実績!$AJ$6:$AJ$505,"&gt;"&amp;$A51,実績!$AL$6:$AL$505,"○")&gt;0,1,0))</f>
        <v>0</v>
      </c>
      <c r="DQ51" s="39" t="n">
        <f aca="false">IF(DQ$4=0,0,IF(COUNTIFS(実績!$W$6:$W$505,DQ$3,実績!$AI$6:$AI$505,"&lt;="&amp;$A51,実績!$AJ$6:$AJ$505,"&gt;"&amp;$A51,実績!$AL$6:$AL$505,"○")&gt;0,1,0))</f>
        <v>0</v>
      </c>
      <c r="DR51" s="39" t="n">
        <f aca="false">IF(DR$4=0,0,IF(COUNTIFS(実績!$W$6:$W$505,DR$3,実績!$AI$6:$AI$505,"&lt;="&amp;$A51,実績!$AJ$6:$AJ$505,"&gt;"&amp;$A51,実績!$AL$6:$AL$505,"○")&gt;0,1,0))</f>
        <v>0</v>
      </c>
      <c r="DS51" s="39" t="n">
        <f aca="false">SUM(C51:DR51)</f>
        <v>0</v>
      </c>
    </row>
    <row r="52" customFormat="false" ht="15" hidden="false" customHeight="false" outlineLevel="0" collapsed="false">
      <c r="A52" s="0" t="n">
        <v>230</v>
      </c>
      <c r="B52" s="38" t="n">
        <f aca="false">A52/1440</f>
        <v>0.159722222222222</v>
      </c>
      <c r="C52" s="39" t="n">
        <f aca="false">IF(C$4=0,0,IF(COUNTIFS(実績!$W$6:$W$505,C$3,実績!$AI$6:$AI$505,"&lt;="&amp;$A52,実績!$AJ$6:$AJ$505,"&gt;"&amp;$A52,実績!$AL$6:$AL$505,"○")&gt;0,1,0))</f>
        <v>0</v>
      </c>
      <c r="D52" s="39" t="n">
        <f aca="false">IF(D$4=0,0,IF(COUNTIFS(実績!$W$6:$W$505,D$3,実績!$AI$6:$AI$505,"&lt;="&amp;$A52,実績!$AJ$6:$AJ$505,"&gt;"&amp;$A52,実績!$AL$6:$AL$505,"○")&gt;0,1,0))</f>
        <v>0</v>
      </c>
      <c r="E52" s="39" t="n">
        <f aca="false">IF(E$4=0,0,IF(COUNTIFS(実績!$W$6:$W$505,E$3,実績!$AI$6:$AI$505,"&lt;="&amp;$A52,実績!$AJ$6:$AJ$505,"&gt;"&amp;$A52,実績!$AL$6:$AL$505,"○")&gt;0,1,0))</f>
        <v>0</v>
      </c>
      <c r="F52" s="39" t="n">
        <f aca="false">IF(F$4=0,0,IF(COUNTIFS(実績!$W$6:$W$505,F$3,実績!$AI$6:$AI$505,"&lt;="&amp;$A52,実績!$AJ$6:$AJ$505,"&gt;"&amp;$A52,実績!$AL$6:$AL$505,"○")&gt;0,1,0))</f>
        <v>0</v>
      </c>
      <c r="G52" s="39" t="n">
        <f aca="false">IF(G$4=0,0,IF(COUNTIFS(実績!$W$6:$W$505,G$3,実績!$AI$6:$AI$505,"&lt;="&amp;$A52,実績!$AJ$6:$AJ$505,"&gt;"&amp;$A52,実績!$AL$6:$AL$505,"○")&gt;0,1,0))</f>
        <v>0</v>
      </c>
      <c r="H52" s="39" t="n">
        <f aca="false">IF(H$4=0,0,IF(COUNTIFS(実績!$W$6:$W$505,H$3,実績!$AI$6:$AI$505,"&lt;="&amp;$A52,実績!$AJ$6:$AJ$505,"&gt;"&amp;$A52,実績!$AL$6:$AL$505,"○")&gt;0,1,0))</f>
        <v>0</v>
      </c>
      <c r="I52" s="39" t="n">
        <f aca="false">IF(I$4=0,0,IF(COUNTIFS(実績!$W$6:$W$505,I$3,実績!$AI$6:$AI$505,"&lt;="&amp;$A52,実績!$AJ$6:$AJ$505,"&gt;"&amp;$A52,実績!$AL$6:$AL$505,"○")&gt;0,1,0))</f>
        <v>0</v>
      </c>
      <c r="J52" s="39" t="n">
        <f aca="false">IF(J$4=0,0,IF(COUNTIFS(実績!$W$6:$W$505,J$3,実績!$AI$6:$AI$505,"&lt;="&amp;$A52,実績!$AJ$6:$AJ$505,"&gt;"&amp;$A52,実績!$AL$6:$AL$505,"○")&gt;0,1,0))</f>
        <v>0</v>
      </c>
      <c r="K52" s="39" t="n">
        <f aca="false">IF(K$4=0,0,IF(COUNTIFS(実績!$W$6:$W$505,K$3,実績!$AI$6:$AI$505,"&lt;="&amp;$A52,実績!$AJ$6:$AJ$505,"&gt;"&amp;$A52,実績!$AL$6:$AL$505,"○")&gt;0,1,0))</f>
        <v>0</v>
      </c>
      <c r="L52" s="39" t="n">
        <f aca="false">IF(L$4=0,0,IF(COUNTIFS(実績!$W$6:$W$505,L$3,実績!$AI$6:$AI$505,"&lt;="&amp;$A52,実績!$AJ$6:$AJ$505,"&gt;"&amp;$A52,実績!$AL$6:$AL$505,"○")&gt;0,1,0))</f>
        <v>0</v>
      </c>
      <c r="M52" s="39" t="n">
        <f aca="false">IF(M$4=0,0,IF(COUNTIFS(実績!$W$6:$W$505,M$3,実績!$AI$6:$AI$505,"&lt;="&amp;$A52,実績!$AJ$6:$AJ$505,"&gt;"&amp;$A52,実績!$AL$6:$AL$505,"○")&gt;0,1,0))</f>
        <v>0</v>
      </c>
      <c r="N52" s="39" t="n">
        <f aca="false">IF(N$4=0,0,IF(COUNTIFS(実績!$W$6:$W$505,N$3,実績!$AI$6:$AI$505,"&lt;="&amp;$A52,実績!$AJ$6:$AJ$505,"&gt;"&amp;$A52,実績!$AL$6:$AL$505,"○")&gt;0,1,0))</f>
        <v>0</v>
      </c>
      <c r="O52" s="39" t="n">
        <f aca="false">IF(O$4=0,0,IF(COUNTIFS(実績!$W$6:$W$505,O$3,実績!$AI$6:$AI$505,"&lt;="&amp;$A52,実績!$AJ$6:$AJ$505,"&gt;"&amp;$A52,実績!$AL$6:$AL$505,"○")&gt;0,1,0))</f>
        <v>0</v>
      </c>
      <c r="P52" s="39" t="n">
        <f aca="false">IF(P$4=0,0,IF(COUNTIFS(実績!$W$6:$W$505,P$3,実績!$AI$6:$AI$505,"&lt;="&amp;$A52,実績!$AJ$6:$AJ$505,"&gt;"&amp;$A52,実績!$AL$6:$AL$505,"○")&gt;0,1,0))</f>
        <v>0</v>
      </c>
      <c r="Q52" s="39" t="n">
        <f aca="false">IF(Q$4=0,0,IF(COUNTIFS(実績!$W$6:$W$505,Q$3,実績!$AI$6:$AI$505,"&lt;="&amp;$A52,実績!$AJ$6:$AJ$505,"&gt;"&amp;$A52,実績!$AL$6:$AL$505,"○")&gt;0,1,0))</f>
        <v>0</v>
      </c>
      <c r="R52" s="39" t="n">
        <f aca="false">IF(R$4=0,0,IF(COUNTIFS(実績!$W$6:$W$505,R$3,実績!$AI$6:$AI$505,"&lt;="&amp;$A52,実績!$AJ$6:$AJ$505,"&gt;"&amp;$A52,実績!$AL$6:$AL$505,"○")&gt;0,1,0))</f>
        <v>0</v>
      </c>
      <c r="S52" s="39" t="n">
        <f aca="false">IF(S$4=0,0,IF(COUNTIFS(実績!$W$6:$W$505,S$3,実績!$AI$6:$AI$505,"&lt;="&amp;$A52,実績!$AJ$6:$AJ$505,"&gt;"&amp;$A52,実績!$AL$6:$AL$505,"○")&gt;0,1,0))</f>
        <v>0</v>
      </c>
      <c r="T52" s="39" t="n">
        <f aca="false">IF(T$4=0,0,IF(COUNTIFS(実績!$W$6:$W$505,T$3,実績!$AI$6:$AI$505,"&lt;="&amp;$A52,実績!$AJ$6:$AJ$505,"&gt;"&amp;$A52,実績!$AL$6:$AL$505,"○")&gt;0,1,0))</f>
        <v>0</v>
      </c>
      <c r="U52" s="39" t="n">
        <f aca="false">IF(U$4=0,0,IF(COUNTIFS(実績!$W$6:$W$505,U$3,実績!$AI$6:$AI$505,"&lt;="&amp;$A52,実績!$AJ$6:$AJ$505,"&gt;"&amp;$A52,実績!$AL$6:$AL$505,"○")&gt;0,1,0))</f>
        <v>0</v>
      </c>
      <c r="V52" s="39" t="n">
        <f aca="false">IF(V$4=0,0,IF(COUNTIFS(実績!$W$6:$W$505,V$3,実績!$AI$6:$AI$505,"&lt;="&amp;$A52,実績!$AJ$6:$AJ$505,"&gt;"&amp;$A52,実績!$AL$6:$AL$505,"○")&gt;0,1,0))</f>
        <v>0</v>
      </c>
      <c r="W52" s="39" t="n">
        <f aca="false">IF(W$4=0,0,IF(COUNTIFS(実績!$W$6:$W$505,W$3,実績!$AI$6:$AI$505,"&lt;="&amp;$A52,実績!$AJ$6:$AJ$505,"&gt;"&amp;$A52,実績!$AL$6:$AL$505,"○")&gt;0,1,0))</f>
        <v>0</v>
      </c>
      <c r="X52" s="39" t="n">
        <f aca="false">IF(X$4=0,0,IF(COUNTIFS(実績!$W$6:$W$505,X$3,実績!$AI$6:$AI$505,"&lt;="&amp;$A52,実績!$AJ$6:$AJ$505,"&gt;"&amp;$A52,実績!$AL$6:$AL$505,"○")&gt;0,1,0))</f>
        <v>0</v>
      </c>
      <c r="Y52" s="39" t="n">
        <f aca="false">IF(Y$4=0,0,IF(COUNTIFS(実績!$W$6:$W$505,Y$3,実績!$AI$6:$AI$505,"&lt;="&amp;$A52,実績!$AJ$6:$AJ$505,"&gt;"&amp;$A52,実績!$AL$6:$AL$505,"○")&gt;0,1,0))</f>
        <v>0</v>
      </c>
      <c r="Z52" s="39" t="n">
        <f aca="false">IF(Z$4=0,0,IF(COUNTIFS(実績!$W$6:$W$505,Z$3,実績!$AI$6:$AI$505,"&lt;="&amp;$A52,実績!$AJ$6:$AJ$505,"&gt;"&amp;$A52,実績!$AL$6:$AL$505,"○")&gt;0,1,0))</f>
        <v>0</v>
      </c>
      <c r="AA52" s="39" t="n">
        <f aca="false">IF(AA$4=0,0,IF(COUNTIFS(実績!$W$6:$W$505,AA$3,実績!$AI$6:$AI$505,"&lt;="&amp;$A52,実績!$AJ$6:$AJ$505,"&gt;"&amp;$A52,実績!$AL$6:$AL$505,"○")&gt;0,1,0))</f>
        <v>0</v>
      </c>
      <c r="AB52" s="39" t="n">
        <f aca="false">IF(AB$4=0,0,IF(COUNTIFS(実績!$W$6:$W$505,AB$3,実績!$AI$6:$AI$505,"&lt;="&amp;$A52,実績!$AJ$6:$AJ$505,"&gt;"&amp;$A52,実績!$AL$6:$AL$505,"○")&gt;0,1,0))</f>
        <v>0</v>
      </c>
      <c r="AC52" s="39" t="n">
        <f aca="false">IF(AC$4=0,0,IF(COUNTIFS(実績!$W$6:$W$505,AC$3,実績!$AI$6:$AI$505,"&lt;="&amp;$A52,実績!$AJ$6:$AJ$505,"&gt;"&amp;$A52,実績!$AL$6:$AL$505,"○")&gt;0,1,0))</f>
        <v>0</v>
      </c>
      <c r="AD52" s="39" t="n">
        <f aca="false">IF(AD$4=0,0,IF(COUNTIFS(実績!$W$6:$W$505,AD$3,実績!$AI$6:$AI$505,"&lt;="&amp;$A52,実績!$AJ$6:$AJ$505,"&gt;"&amp;$A52,実績!$AL$6:$AL$505,"○")&gt;0,1,0))</f>
        <v>0</v>
      </c>
      <c r="AE52" s="39" t="n">
        <f aca="false">IF(AE$4=0,0,IF(COUNTIFS(実績!$W$6:$W$505,AE$3,実績!$AI$6:$AI$505,"&lt;="&amp;$A52,実績!$AJ$6:$AJ$505,"&gt;"&amp;$A52,実績!$AL$6:$AL$505,"○")&gt;0,1,0))</f>
        <v>0</v>
      </c>
      <c r="AF52" s="39" t="n">
        <f aca="false">IF(AF$4=0,0,IF(COUNTIFS(実績!$W$6:$W$505,AF$3,実績!$AI$6:$AI$505,"&lt;="&amp;$A52,実績!$AJ$6:$AJ$505,"&gt;"&amp;$A52,実績!$AL$6:$AL$505,"○")&gt;0,1,0))</f>
        <v>0</v>
      </c>
      <c r="AG52" s="39" t="n">
        <f aca="false">IF(AG$4=0,0,IF(COUNTIFS(実績!$W$6:$W$505,AG$3,実績!$AI$6:$AI$505,"&lt;="&amp;$A52,実績!$AJ$6:$AJ$505,"&gt;"&amp;$A52,実績!$AL$6:$AL$505,"○")&gt;0,1,0))</f>
        <v>0</v>
      </c>
      <c r="AH52" s="39" t="n">
        <f aca="false">IF(AH$4=0,0,IF(COUNTIFS(実績!$W$6:$W$505,AH$3,実績!$AI$6:$AI$505,"&lt;="&amp;$A52,実績!$AJ$6:$AJ$505,"&gt;"&amp;$A52,実績!$AL$6:$AL$505,"○")&gt;0,1,0))</f>
        <v>0</v>
      </c>
      <c r="AI52" s="39" t="n">
        <f aca="false">IF(AI$4=0,0,IF(COUNTIFS(実績!$W$6:$W$505,AI$3,実績!$AI$6:$AI$505,"&lt;="&amp;$A52,実績!$AJ$6:$AJ$505,"&gt;"&amp;$A52,実績!$AL$6:$AL$505,"○")&gt;0,1,0))</f>
        <v>0</v>
      </c>
      <c r="AJ52" s="39" t="n">
        <f aca="false">IF(AJ$4=0,0,IF(COUNTIFS(実績!$W$6:$W$505,AJ$3,実績!$AI$6:$AI$505,"&lt;="&amp;$A52,実績!$AJ$6:$AJ$505,"&gt;"&amp;$A52,実績!$AL$6:$AL$505,"○")&gt;0,1,0))</f>
        <v>0</v>
      </c>
      <c r="AK52" s="39" t="n">
        <f aca="false">IF(AK$4=0,0,IF(COUNTIFS(実績!$W$6:$W$505,AK$3,実績!$AI$6:$AI$505,"&lt;="&amp;$A52,実績!$AJ$6:$AJ$505,"&gt;"&amp;$A52,実績!$AL$6:$AL$505,"○")&gt;0,1,0))</f>
        <v>0</v>
      </c>
      <c r="AL52" s="39" t="n">
        <f aca="false">IF(AL$4=0,0,IF(COUNTIFS(実績!$W$6:$W$505,AL$3,実績!$AI$6:$AI$505,"&lt;="&amp;$A52,実績!$AJ$6:$AJ$505,"&gt;"&amp;$A52,実績!$AL$6:$AL$505,"○")&gt;0,1,0))</f>
        <v>0</v>
      </c>
      <c r="AM52" s="39" t="n">
        <f aca="false">IF(AM$4=0,0,IF(COUNTIFS(実績!$W$6:$W$505,AM$3,実績!$AI$6:$AI$505,"&lt;="&amp;$A52,実績!$AJ$6:$AJ$505,"&gt;"&amp;$A52,実績!$AL$6:$AL$505,"○")&gt;0,1,0))</f>
        <v>0</v>
      </c>
      <c r="AN52" s="39" t="n">
        <f aca="false">IF(AN$4=0,0,IF(COUNTIFS(実績!$W$6:$W$505,AN$3,実績!$AI$6:$AI$505,"&lt;="&amp;$A52,実績!$AJ$6:$AJ$505,"&gt;"&amp;$A52,実績!$AL$6:$AL$505,"○")&gt;0,1,0))</f>
        <v>0</v>
      </c>
      <c r="AO52" s="39" t="n">
        <f aca="false">IF(AO$4=0,0,IF(COUNTIFS(実績!$W$6:$W$505,AO$3,実績!$AI$6:$AI$505,"&lt;="&amp;$A52,実績!$AJ$6:$AJ$505,"&gt;"&amp;$A52,実績!$AL$6:$AL$505,"○")&gt;0,1,0))</f>
        <v>0</v>
      </c>
      <c r="AP52" s="39" t="n">
        <f aca="false">IF(AP$4=0,0,IF(COUNTIFS(実績!$W$6:$W$505,AP$3,実績!$AI$6:$AI$505,"&lt;="&amp;$A52,実績!$AJ$6:$AJ$505,"&gt;"&amp;$A52,実績!$AL$6:$AL$505,"○")&gt;0,1,0))</f>
        <v>0</v>
      </c>
      <c r="AQ52" s="39" t="n">
        <f aca="false">IF(AQ$4=0,0,IF(COUNTIFS(実績!$W$6:$W$505,AQ$3,実績!$AI$6:$AI$505,"&lt;="&amp;$A52,実績!$AJ$6:$AJ$505,"&gt;"&amp;$A52,実績!$AL$6:$AL$505,"○")&gt;0,1,0))</f>
        <v>0</v>
      </c>
      <c r="AR52" s="39" t="n">
        <f aca="false">IF(AR$4=0,0,IF(COUNTIFS(実績!$W$6:$W$505,AR$3,実績!$AI$6:$AI$505,"&lt;="&amp;$A52,実績!$AJ$6:$AJ$505,"&gt;"&amp;$A52,実績!$AL$6:$AL$505,"○")&gt;0,1,0))</f>
        <v>0</v>
      </c>
      <c r="AS52" s="39" t="n">
        <f aca="false">IF(AS$4=0,0,IF(COUNTIFS(実績!$W$6:$W$505,AS$3,実績!$AI$6:$AI$505,"&lt;="&amp;$A52,実績!$AJ$6:$AJ$505,"&gt;"&amp;$A52,実績!$AL$6:$AL$505,"○")&gt;0,1,0))</f>
        <v>0</v>
      </c>
      <c r="AT52" s="39" t="n">
        <f aca="false">IF(AT$4=0,0,IF(COUNTIFS(実績!$W$6:$W$505,AT$3,実績!$AI$6:$AI$505,"&lt;="&amp;$A52,実績!$AJ$6:$AJ$505,"&gt;"&amp;$A52,実績!$AL$6:$AL$505,"○")&gt;0,1,0))</f>
        <v>0</v>
      </c>
      <c r="AU52" s="39" t="n">
        <f aca="false">IF(AU$4=0,0,IF(COUNTIFS(実績!$W$6:$W$505,AU$3,実績!$AI$6:$AI$505,"&lt;="&amp;$A52,実績!$AJ$6:$AJ$505,"&gt;"&amp;$A52,実績!$AL$6:$AL$505,"○")&gt;0,1,0))</f>
        <v>0</v>
      </c>
      <c r="AV52" s="39" t="n">
        <f aca="false">IF(AV$4=0,0,IF(COUNTIFS(実績!$W$6:$W$505,AV$3,実績!$AI$6:$AI$505,"&lt;="&amp;$A52,実績!$AJ$6:$AJ$505,"&gt;"&amp;$A52,実績!$AL$6:$AL$505,"○")&gt;0,1,0))</f>
        <v>0</v>
      </c>
      <c r="AW52" s="39" t="n">
        <f aca="false">IF(AW$4=0,0,IF(COUNTIFS(実績!$W$6:$W$505,AW$3,実績!$AI$6:$AI$505,"&lt;="&amp;$A52,実績!$AJ$6:$AJ$505,"&gt;"&amp;$A52,実績!$AL$6:$AL$505,"○")&gt;0,1,0))</f>
        <v>0</v>
      </c>
      <c r="AX52" s="39" t="n">
        <f aca="false">IF(AX$4=0,0,IF(COUNTIFS(実績!$W$6:$W$505,AX$3,実績!$AI$6:$AI$505,"&lt;="&amp;$A52,実績!$AJ$6:$AJ$505,"&gt;"&amp;$A52,実績!$AL$6:$AL$505,"○")&gt;0,1,0))</f>
        <v>0</v>
      </c>
      <c r="AY52" s="39" t="n">
        <f aca="false">IF(AY$4=0,0,IF(COUNTIFS(実績!$W$6:$W$505,AY$3,実績!$AI$6:$AI$505,"&lt;="&amp;$A52,実績!$AJ$6:$AJ$505,"&gt;"&amp;$A52,実績!$AL$6:$AL$505,"○")&gt;0,1,0))</f>
        <v>0</v>
      </c>
      <c r="AZ52" s="39" t="n">
        <f aca="false">IF(AZ$4=0,0,IF(COUNTIFS(実績!$W$6:$W$505,AZ$3,実績!$AI$6:$AI$505,"&lt;="&amp;$A52,実績!$AJ$6:$AJ$505,"&gt;"&amp;$A52,実績!$AL$6:$AL$505,"○")&gt;0,1,0))</f>
        <v>0</v>
      </c>
      <c r="BA52" s="39" t="n">
        <f aca="false">IF(BA$4=0,0,IF(COUNTIFS(実績!$W$6:$W$505,BA$3,実績!$AI$6:$AI$505,"&lt;="&amp;$A52,実績!$AJ$6:$AJ$505,"&gt;"&amp;$A52,実績!$AL$6:$AL$505,"○")&gt;0,1,0))</f>
        <v>0</v>
      </c>
      <c r="BB52" s="39" t="n">
        <f aca="false">IF(BB$4=0,0,IF(COUNTIFS(実績!$W$6:$W$505,BB$3,実績!$AI$6:$AI$505,"&lt;="&amp;$A52,実績!$AJ$6:$AJ$505,"&gt;"&amp;$A52,実績!$AL$6:$AL$505,"○")&gt;0,1,0))</f>
        <v>0</v>
      </c>
      <c r="BC52" s="39" t="n">
        <f aca="false">IF(BC$4=0,0,IF(COUNTIFS(実績!$W$6:$W$505,BC$3,実績!$AI$6:$AI$505,"&lt;="&amp;$A52,実績!$AJ$6:$AJ$505,"&gt;"&amp;$A52,実績!$AL$6:$AL$505,"○")&gt;0,1,0))</f>
        <v>0</v>
      </c>
      <c r="BD52" s="39" t="n">
        <f aca="false">IF(BD$4=0,0,IF(COUNTIFS(実績!$W$6:$W$505,BD$3,実績!$AI$6:$AI$505,"&lt;="&amp;$A52,実績!$AJ$6:$AJ$505,"&gt;"&amp;$A52,実績!$AL$6:$AL$505,"○")&gt;0,1,0))</f>
        <v>0</v>
      </c>
      <c r="BE52" s="39" t="n">
        <f aca="false">IF(BE$4=0,0,IF(COUNTIFS(実績!$W$6:$W$505,BE$3,実績!$AI$6:$AI$505,"&lt;="&amp;$A52,実績!$AJ$6:$AJ$505,"&gt;"&amp;$A52,実績!$AL$6:$AL$505,"○")&gt;0,1,0))</f>
        <v>0</v>
      </c>
      <c r="BF52" s="39" t="n">
        <f aca="false">IF(BF$4=0,0,IF(COUNTIFS(実績!$W$6:$W$505,BF$3,実績!$AI$6:$AI$505,"&lt;="&amp;$A52,実績!$AJ$6:$AJ$505,"&gt;"&amp;$A52,実績!$AL$6:$AL$505,"○")&gt;0,1,0))</f>
        <v>0</v>
      </c>
      <c r="BG52" s="39" t="n">
        <f aca="false">IF(BG$4=0,0,IF(COUNTIFS(実績!$W$6:$W$505,BG$3,実績!$AI$6:$AI$505,"&lt;="&amp;$A52,実績!$AJ$6:$AJ$505,"&gt;"&amp;$A52,実績!$AL$6:$AL$505,"○")&gt;0,1,0))</f>
        <v>0</v>
      </c>
      <c r="BH52" s="39" t="n">
        <f aca="false">IF(BH$4=0,0,IF(COUNTIFS(実績!$W$6:$W$505,BH$3,実績!$AI$6:$AI$505,"&lt;="&amp;$A52,実績!$AJ$6:$AJ$505,"&gt;"&amp;$A52,実績!$AL$6:$AL$505,"○")&gt;0,1,0))</f>
        <v>0</v>
      </c>
      <c r="BI52" s="39" t="n">
        <f aca="false">IF(BI$4=0,0,IF(COUNTIFS(実績!$W$6:$W$505,BI$3,実績!$AI$6:$AI$505,"&lt;="&amp;$A52,実績!$AJ$6:$AJ$505,"&gt;"&amp;$A52,実績!$AL$6:$AL$505,"○")&gt;0,1,0))</f>
        <v>0</v>
      </c>
      <c r="BJ52" s="39" t="n">
        <f aca="false">IF(BJ$4=0,0,IF(COUNTIFS(実績!$W$6:$W$505,BJ$3,実績!$AI$6:$AI$505,"&lt;="&amp;$A52,実績!$AJ$6:$AJ$505,"&gt;"&amp;$A52,実績!$AL$6:$AL$505,"○")&gt;0,1,0))</f>
        <v>0</v>
      </c>
      <c r="BK52" s="39" t="n">
        <f aca="false">IF(BK$4=0,0,IF(COUNTIFS(実績!$W$6:$W$505,BK$3,実績!$AI$6:$AI$505,"&lt;="&amp;$A52,実績!$AJ$6:$AJ$505,"&gt;"&amp;$A52,実績!$AL$6:$AL$505,"○")&gt;0,1,0))</f>
        <v>0</v>
      </c>
      <c r="BL52" s="39" t="n">
        <f aca="false">IF(BL$4=0,0,IF(COUNTIFS(実績!$W$6:$W$505,BL$3,実績!$AI$6:$AI$505,"&lt;="&amp;$A52,実績!$AJ$6:$AJ$505,"&gt;"&amp;$A52,実績!$AL$6:$AL$505,"○")&gt;0,1,0))</f>
        <v>0</v>
      </c>
      <c r="BM52" s="39" t="n">
        <f aca="false">IF(BM$4=0,0,IF(COUNTIFS(実績!$W$6:$W$505,BM$3,実績!$AI$6:$AI$505,"&lt;="&amp;$A52,実績!$AJ$6:$AJ$505,"&gt;"&amp;$A52,実績!$AL$6:$AL$505,"○")&gt;0,1,0))</f>
        <v>0</v>
      </c>
      <c r="BN52" s="39" t="n">
        <f aca="false">IF(BN$4=0,0,IF(COUNTIFS(実績!$W$6:$W$505,BN$3,実績!$AI$6:$AI$505,"&lt;="&amp;$A52,実績!$AJ$6:$AJ$505,"&gt;"&amp;$A52,実績!$AL$6:$AL$505,"○")&gt;0,1,0))</f>
        <v>0</v>
      </c>
      <c r="BO52" s="39" t="n">
        <f aca="false">IF(BO$4=0,0,IF(COUNTIFS(実績!$W$6:$W$505,BO$3,実績!$AI$6:$AI$505,"&lt;="&amp;$A52,実績!$AJ$6:$AJ$505,"&gt;"&amp;$A52,実績!$AL$6:$AL$505,"○")&gt;0,1,0))</f>
        <v>0</v>
      </c>
      <c r="BP52" s="39" t="n">
        <f aca="false">IF(BP$4=0,0,IF(COUNTIFS(実績!$W$6:$W$505,BP$3,実績!$AI$6:$AI$505,"&lt;="&amp;$A52,実績!$AJ$6:$AJ$505,"&gt;"&amp;$A52,実績!$AL$6:$AL$505,"○")&gt;0,1,0))</f>
        <v>0</v>
      </c>
      <c r="BQ52" s="39" t="n">
        <f aca="false">IF(BQ$4=0,0,IF(COUNTIFS(実績!$W$6:$W$505,BQ$3,実績!$AI$6:$AI$505,"&lt;="&amp;$A52,実績!$AJ$6:$AJ$505,"&gt;"&amp;$A52,実績!$AL$6:$AL$505,"○")&gt;0,1,0))</f>
        <v>0</v>
      </c>
      <c r="BR52" s="39" t="n">
        <f aca="false">IF(BR$4=0,0,IF(COUNTIFS(実績!$W$6:$W$505,BR$3,実績!$AI$6:$AI$505,"&lt;="&amp;$A52,実績!$AJ$6:$AJ$505,"&gt;"&amp;$A52,実績!$AL$6:$AL$505,"○")&gt;0,1,0))</f>
        <v>0</v>
      </c>
      <c r="BS52" s="39" t="n">
        <f aca="false">IF(BS$4=0,0,IF(COUNTIFS(実績!$W$6:$W$505,BS$3,実績!$AI$6:$AI$505,"&lt;="&amp;$A52,実績!$AJ$6:$AJ$505,"&gt;"&amp;$A52,実績!$AL$6:$AL$505,"○")&gt;0,1,0))</f>
        <v>0</v>
      </c>
      <c r="BT52" s="39" t="n">
        <f aca="false">IF(BT$4=0,0,IF(COUNTIFS(実績!$W$6:$W$505,BT$3,実績!$AI$6:$AI$505,"&lt;="&amp;$A52,実績!$AJ$6:$AJ$505,"&gt;"&amp;$A52,実績!$AL$6:$AL$505,"○")&gt;0,1,0))</f>
        <v>0</v>
      </c>
      <c r="BU52" s="39" t="n">
        <f aca="false">IF(BU$4=0,0,IF(COUNTIFS(実績!$W$6:$W$505,BU$3,実績!$AI$6:$AI$505,"&lt;="&amp;$A52,実績!$AJ$6:$AJ$505,"&gt;"&amp;$A52,実績!$AL$6:$AL$505,"○")&gt;0,1,0))</f>
        <v>0</v>
      </c>
      <c r="BV52" s="39" t="n">
        <f aca="false">IF(BV$4=0,0,IF(COUNTIFS(実績!$W$6:$W$505,BV$3,実績!$AI$6:$AI$505,"&lt;="&amp;$A52,実績!$AJ$6:$AJ$505,"&gt;"&amp;$A52,実績!$AL$6:$AL$505,"○")&gt;0,1,0))</f>
        <v>0</v>
      </c>
      <c r="BW52" s="39" t="n">
        <f aca="false">IF(BW$4=0,0,IF(COUNTIFS(実績!$W$6:$W$505,BW$3,実績!$AI$6:$AI$505,"&lt;="&amp;$A52,実績!$AJ$6:$AJ$505,"&gt;"&amp;$A52,実績!$AL$6:$AL$505,"○")&gt;0,1,0))</f>
        <v>0</v>
      </c>
      <c r="BX52" s="39" t="n">
        <f aca="false">IF(BX$4=0,0,IF(COUNTIFS(実績!$W$6:$W$505,BX$3,実績!$AI$6:$AI$505,"&lt;="&amp;$A52,実績!$AJ$6:$AJ$505,"&gt;"&amp;$A52,実績!$AL$6:$AL$505,"○")&gt;0,1,0))</f>
        <v>0</v>
      </c>
      <c r="BY52" s="39" t="n">
        <f aca="false">IF(BY$4=0,0,IF(COUNTIFS(実績!$W$6:$W$505,BY$3,実績!$AI$6:$AI$505,"&lt;="&amp;$A52,実績!$AJ$6:$AJ$505,"&gt;"&amp;$A52,実績!$AL$6:$AL$505,"○")&gt;0,1,0))</f>
        <v>0</v>
      </c>
      <c r="BZ52" s="39" t="n">
        <f aca="false">IF(BZ$4=0,0,IF(COUNTIFS(実績!$W$6:$W$505,BZ$3,実績!$AI$6:$AI$505,"&lt;="&amp;$A52,実績!$AJ$6:$AJ$505,"&gt;"&amp;$A52,実績!$AL$6:$AL$505,"○")&gt;0,1,0))</f>
        <v>0</v>
      </c>
      <c r="CA52" s="39" t="n">
        <f aca="false">IF(CA$4=0,0,IF(COUNTIFS(実績!$W$6:$W$505,CA$3,実績!$AI$6:$AI$505,"&lt;="&amp;$A52,実績!$AJ$6:$AJ$505,"&gt;"&amp;$A52,実績!$AL$6:$AL$505,"○")&gt;0,1,0))</f>
        <v>0</v>
      </c>
      <c r="CB52" s="39" t="n">
        <f aca="false">IF(CB$4=0,0,IF(COUNTIFS(実績!$W$6:$W$505,CB$3,実績!$AI$6:$AI$505,"&lt;="&amp;$A52,実績!$AJ$6:$AJ$505,"&gt;"&amp;$A52,実績!$AL$6:$AL$505,"○")&gt;0,1,0))</f>
        <v>0</v>
      </c>
      <c r="CC52" s="39" t="n">
        <f aca="false">IF(CC$4=0,0,IF(COUNTIFS(実績!$W$6:$W$505,CC$3,実績!$AI$6:$AI$505,"&lt;="&amp;$A52,実績!$AJ$6:$AJ$505,"&gt;"&amp;$A52,実績!$AL$6:$AL$505,"○")&gt;0,1,0))</f>
        <v>0</v>
      </c>
      <c r="CD52" s="39" t="n">
        <f aca="false">IF(CD$4=0,0,IF(COUNTIFS(実績!$W$6:$W$505,CD$3,実績!$AI$6:$AI$505,"&lt;="&amp;$A52,実績!$AJ$6:$AJ$505,"&gt;"&amp;$A52,実績!$AL$6:$AL$505,"○")&gt;0,1,0))</f>
        <v>0</v>
      </c>
      <c r="CE52" s="39" t="n">
        <f aca="false">IF(CE$4=0,0,IF(COUNTIFS(実績!$W$6:$W$505,CE$3,実績!$AI$6:$AI$505,"&lt;="&amp;$A52,実績!$AJ$6:$AJ$505,"&gt;"&amp;$A52,実績!$AL$6:$AL$505,"○")&gt;0,1,0))</f>
        <v>0</v>
      </c>
      <c r="CF52" s="39" t="n">
        <f aca="false">IF(CF$4=0,0,IF(COUNTIFS(実績!$W$6:$W$505,CF$3,実績!$AI$6:$AI$505,"&lt;="&amp;$A52,実績!$AJ$6:$AJ$505,"&gt;"&amp;$A52,実績!$AL$6:$AL$505,"○")&gt;0,1,0))</f>
        <v>0</v>
      </c>
      <c r="CG52" s="39" t="n">
        <f aca="false">IF(CG$4=0,0,IF(COUNTIFS(実績!$W$6:$W$505,CG$3,実績!$AI$6:$AI$505,"&lt;="&amp;$A52,実績!$AJ$6:$AJ$505,"&gt;"&amp;$A52,実績!$AL$6:$AL$505,"○")&gt;0,1,0))</f>
        <v>0</v>
      </c>
      <c r="CH52" s="39" t="n">
        <f aca="false">IF(CH$4=0,0,IF(COUNTIFS(実績!$W$6:$W$505,CH$3,実績!$AI$6:$AI$505,"&lt;="&amp;$A52,実績!$AJ$6:$AJ$505,"&gt;"&amp;$A52,実績!$AL$6:$AL$505,"○")&gt;0,1,0))</f>
        <v>0</v>
      </c>
      <c r="CI52" s="39" t="n">
        <f aca="false">IF(CI$4=0,0,IF(COUNTIFS(実績!$W$6:$W$505,CI$3,実績!$AI$6:$AI$505,"&lt;="&amp;$A52,実績!$AJ$6:$AJ$505,"&gt;"&amp;$A52,実績!$AL$6:$AL$505,"○")&gt;0,1,0))</f>
        <v>0</v>
      </c>
      <c r="CJ52" s="39" t="n">
        <f aca="false">IF(CJ$4=0,0,IF(COUNTIFS(実績!$W$6:$W$505,CJ$3,実績!$AI$6:$AI$505,"&lt;="&amp;$A52,実績!$AJ$6:$AJ$505,"&gt;"&amp;$A52,実績!$AL$6:$AL$505,"○")&gt;0,1,0))</f>
        <v>0</v>
      </c>
      <c r="CK52" s="39" t="n">
        <f aca="false">IF(CK$4=0,0,IF(COUNTIFS(実績!$W$6:$W$505,CK$3,実績!$AI$6:$AI$505,"&lt;="&amp;$A52,実績!$AJ$6:$AJ$505,"&gt;"&amp;$A52,実績!$AL$6:$AL$505,"○")&gt;0,1,0))</f>
        <v>0</v>
      </c>
      <c r="CL52" s="39" t="n">
        <f aca="false">IF(CL$4=0,0,IF(COUNTIFS(実績!$W$6:$W$505,CL$3,実績!$AI$6:$AI$505,"&lt;="&amp;$A52,実績!$AJ$6:$AJ$505,"&gt;"&amp;$A52,実績!$AL$6:$AL$505,"○")&gt;0,1,0))</f>
        <v>0</v>
      </c>
      <c r="CM52" s="39" t="n">
        <f aca="false">IF(CM$4=0,0,IF(COUNTIFS(実績!$W$6:$W$505,CM$3,実績!$AI$6:$AI$505,"&lt;="&amp;$A52,実績!$AJ$6:$AJ$505,"&gt;"&amp;$A52,実績!$AL$6:$AL$505,"○")&gt;0,1,0))</f>
        <v>0</v>
      </c>
      <c r="CN52" s="39" t="n">
        <f aca="false">IF(CN$4=0,0,IF(COUNTIFS(実績!$W$6:$W$505,CN$3,実績!$AI$6:$AI$505,"&lt;="&amp;$A52,実績!$AJ$6:$AJ$505,"&gt;"&amp;$A52,実績!$AL$6:$AL$505,"○")&gt;0,1,0))</f>
        <v>0</v>
      </c>
      <c r="CO52" s="39" t="n">
        <f aca="false">IF(CO$4=0,0,IF(COUNTIFS(実績!$W$6:$W$505,CO$3,実績!$AI$6:$AI$505,"&lt;="&amp;$A52,実績!$AJ$6:$AJ$505,"&gt;"&amp;$A52,実績!$AL$6:$AL$505,"○")&gt;0,1,0))</f>
        <v>0</v>
      </c>
      <c r="CP52" s="39" t="n">
        <f aca="false">IF(CP$4=0,0,IF(COUNTIFS(実績!$W$6:$W$505,CP$3,実績!$AI$6:$AI$505,"&lt;="&amp;$A52,実績!$AJ$6:$AJ$505,"&gt;"&amp;$A52,実績!$AL$6:$AL$505,"○")&gt;0,1,0))</f>
        <v>0</v>
      </c>
      <c r="CQ52" s="39" t="n">
        <f aca="false">IF(CQ$4=0,0,IF(COUNTIFS(実績!$W$6:$W$505,CQ$3,実績!$AI$6:$AI$505,"&lt;="&amp;$A52,実績!$AJ$6:$AJ$505,"&gt;"&amp;$A52,実績!$AL$6:$AL$505,"○")&gt;0,1,0))</f>
        <v>0</v>
      </c>
      <c r="CR52" s="39" t="n">
        <f aca="false">IF(CR$4=0,0,IF(COUNTIFS(実績!$W$6:$W$505,CR$3,実績!$AI$6:$AI$505,"&lt;="&amp;$A52,実績!$AJ$6:$AJ$505,"&gt;"&amp;$A52,実績!$AL$6:$AL$505,"○")&gt;0,1,0))</f>
        <v>0</v>
      </c>
      <c r="CS52" s="39" t="n">
        <f aca="false">IF(CS$4=0,0,IF(COUNTIFS(実績!$W$6:$W$505,CS$3,実績!$AI$6:$AI$505,"&lt;="&amp;$A52,実績!$AJ$6:$AJ$505,"&gt;"&amp;$A52,実績!$AL$6:$AL$505,"○")&gt;0,1,0))</f>
        <v>0</v>
      </c>
      <c r="CT52" s="39" t="n">
        <f aca="false">IF(CT$4=0,0,IF(COUNTIFS(実績!$W$6:$W$505,CT$3,実績!$AI$6:$AI$505,"&lt;="&amp;$A52,実績!$AJ$6:$AJ$505,"&gt;"&amp;$A52,実績!$AL$6:$AL$505,"○")&gt;0,1,0))</f>
        <v>0</v>
      </c>
      <c r="CU52" s="39" t="n">
        <f aca="false">IF(CU$4=0,0,IF(COUNTIFS(実績!$W$6:$W$505,CU$3,実績!$AI$6:$AI$505,"&lt;="&amp;$A52,実績!$AJ$6:$AJ$505,"&gt;"&amp;$A52,実績!$AL$6:$AL$505,"○")&gt;0,1,0))</f>
        <v>0</v>
      </c>
      <c r="CV52" s="39" t="n">
        <f aca="false">IF(CV$4=0,0,IF(COUNTIFS(実績!$W$6:$W$505,CV$3,実績!$AI$6:$AI$505,"&lt;="&amp;$A52,実績!$AJ$6:$AJ$505,"&gt;"&amp;$A52,実績!$AL$6:$AL$505,"○")&gt;0,1,0))</f>
        <v>0</v>
      </c>
      <c r="CW52" s="39" t="n">
        <f aca="false">IF(CW$4=0,0,IF(COUNTIFS(実績!$W$6:$W$505,CW$3,実績!$AI$6:$AI$505,"&lt;="&amp;$A52,実績!$AJ$6:$AJ$505,"&gt;"&amp;$A52,実績!$AL$6:$AL$505,"○")&gt;0,1,0))</f>
        <v>0</v>
      </c>
      <c r="CX52" s="39" t="n">
        <f aca="false">IF(CX$4=0,0,IF(COUNTIFS(実績!$W$6:$W$505,CX$3,実績!$AI$6:$AI$505,"&lt;="&amp;$A52,実績!$AJ$6:$AJ$505,"&gt;"&amp;$A52,実績!$AL$6:$AL$505,"○")&gt;0,1,0))</f>
        <v>0</v>
      </c>
      <c r="CY52" s="39" t="n">
        <f aca="false">IF(CY$4=0,0,IF(COUNTIFS(実績!$W$6:$W$505,CY$3,実績!$AI$6:$AI$505,"&lt;="&amp;$A52,実績!$AJ$6:$AJ$505,"&gt;"&amp;$A52,実績!$AL$6:$AL$505,"○")&gt;0,1,0))</f>
        <v>0</v>
      </c>
      <c r="CZ52" s="39" t="n">
        <f aca="false">IF(CZ$4=0,0,IF(COUNTIFS(実績!$W$6:$W$505,CZ$3,実績!$AI$6:$AI$505,"&lt;="&amp;$A52,実績!$AJ$6:$AJ$505,"&gt;"&amp;$A52,実績!$AL$6:$AL$505,"○")&gt;0,1,0))</f>
        <v>0</v>
      </c>
      <c r="DA52" s="39" t="n">
        <f aca="false">IF(DA$4=0,0,IF(COUNTIFS(実績!$W$6:$W$505,DA$3,実績!$AI$6:$AI$505,"&lt;="&amp;$A52,実績!$AJ$6:$AJ$505,"&gt;"&amp;$A52,実績!$AL$6:$AL$505,"○")&gt;0,1,0))</f>
        <v>0</v>
      </c>
      <c r="DB52" s="39" t="n">
        <f aca="false">IF(DB$4=0,0,IF(COUNTIFS(実績!$W$6:$W$505,DB$3,実績!$AI$6:$AI$505,"&lt;="&amp;$A52,実績!$AJ$6:$AJ$505,"&gt;"&amp;$A52,実績!$AL$6:$AL$505,"○")&gt;0,1,0))</f>
        <v>0</v>
      </c>
      <c r="DC52" s="39" t="n">
        <f aca="false">IF(DC$4=0,0,IF(COUNTIFS(実績!$W$6:$W$505,DC$3,実績!$AI$6:$AI$505,"&lt;="&amp;$A52,実績!$AJ$6:$AJ$505,"&gt;"&amp;$A52,実績!$AL$6:$AL$505,"○")&gt;0,1,0))</f>
        <v>0</v>
      </c>
      <c r="DD52" s="39" t="n">
        <f aca="false">IF(DD$4=0,0,IF(COUNTIFS(実績!$W$6:$W$505,DD$3,実績!$AI$6:$AI$505,"&lt;="&amp;$A52,実績!$AJ$6:$AJ$505,"&gt;"&amp;$A52,実績!$AL$6:$AL$505,"○")&gt;0,1,0))</f>
        <v>0</v>
      </c>
      <c r="DE52" s="39" t="n">
        <f aca="false">IF(DE$4=0,0,IF(COUNTIFS(実績!$W$6:$W$505,DE$3,実績!$AI$6:$AI$505,"&lt;="&amp;$A52,実績!$AJ$6:$AJ$505,"&gt;"&amp;$A52,実績!$AL$6:$AL$505,"○")&gt;0,1,0))</f>
        <v>0</v>
      </c>
      <c r="DF52" s="39" t="n">
        <f aca="false">IF(DF$4=0,0,IF(COUNTIFS(実績!$W$6:$W$505,DF$3,実績!$AI$6:$AI$505,"&lt;="&amp;$A52,実績!$AJ$6:$AJ$505,"&gt;"&amp;$A52,実績!$AL$6:$AL$505,"○")&gt;0,1,0))</f>
        <v>0</v>
      </c>
      <c r="DG52" s="39" t="n">
        <f aca="false">IF(DG$4=0,0,IF(COUNTIFS(実績!$W$6:$W$505,DG$3,実績!$AI$6:$AI$505,"&lt;="&amp;$A52,実績!$AJ$6:$AJ$505,"&gt;"&amp;$A52,実績!$AL$6:$AL$505,"○")&gt;0,1,0))</f>
        <v>0</v>
      </c>
      <c r="DH52" s="39" t="n">
        <f aca="false">IF(DH$4=0,0,IF(COUNTIFS(実績!$W$6:$W$505,DH$3,実績!$AI$6:$AI$505,"&lt;="&amp;$A52,実績!$AJ$6:$AJ$505,"&gt;"&amp;$A52,実績!$AL$6:$AL$505,"○")&gt;0,1,0))</f>
        <v>0</v>
      </c>
      <c r="DI52" s="39" t="n">
        <f aca="false">IF(DI$4=0,0,IF(COUNTIFS(実績!$W$6:$W$505,DI$3,実績!$AI$6:$AI$505,"&lt;="&amp;$A52,実績!$AJ$6:$AJ$505,"&gt;"&amp;$A52,実績!$AL$6:$AL$505,"○")&gt;0,1,0))</f>
        <v>0</v>
      </c>
      <c r="DJ52" s="39" t="n">
        <f aca="false">IF(DJ$4=0,0,IF(COUNTIFS(実績!$W$6:$W$505,DJ$3,実績!$AI$6:$AI$505,"&lt;="&amp;$A52,実績!$AJ$6:$AJ$505,"&gt;"&amp;$A52,実績!$AL$6:$AL$505,"○")&gt;0,1,0))</f>
        <v>0</v>
      </c>
      <c r="DK52" s="39" t="n">
        <f aca="false">IF(DK$4=0,0,IF(COUNTIFS(実績!$W$6:$W$505,DK$3,実績!$AI$6:$AI$505,"&lt;="&amp;$A52,実績!$AJ$6:$AJ$505,"&gt;"&amp;$A52,実績!$AL$6:$AL$505,"○")&gt;0,1,0))</f>
        <v>0</v>
      </c>
      <c r="DL52" s="39" t="n">
        <f aca="false">IF(DL$4=0,0,IF(COUNTIFS(実績!$W$6:$W$505,DL$3,実績!$AI$6:$AI$505,"&lt;="&amp;$A52,実績!$AJ$6:$AJ$505,"&gt;"&amp;$A52,実績!$AL$6:$AL$505,"○")&gt;0,1,0))</f>
        <v>0</v>
      </c>
      <c r="DM52" s="39" t="n">
        <f aca="false">IF(DM$4=0,0,IF(COUNTIFS(実績!$W$6:$W$505,DM$3,実績!$AI$6:$AI$505,"&lt;="&amp;$A52,実績!$AJ$6:$AJ$505,"&gt;"&amp;$A52,実績!$AL$6:$AL$505,"○")&gt;0,1,0))</f>
        <v>0</v>
      </c>
      <c r="DN52" s="39" t="n">
        <f aca="false">IF(DN$4=0,0,IF(COUNTIFS(実績!$W$6:$W$505,DN$3,実績!$AI$6:$AI$505,"&lt;="&amp;$A52,実績!$AJ$6:$AJ$505,"&gt;"&amp;$A52,実績!$AL$6:$AL$505,"○")&gt;0,1,0))</f>
        <v>0</v>
      </c>
      <c r="DO52" s="39" t="n">
        <f aca="false">IF(DO$4=0,0,IF(COUNTIFS(実績!$W$6:$W$505,DO$3,実績!$AI$6:$AI$505,"&lt;="&amp;$A52,実績!$AJ$6:$AJ$505,"&gt;"&amp;$A52,実績!$AL$6:$AL$505,"○")&gt;0,1,0))</f>
        <v>0</v>
      </c>
      <c r="DP52" s="39" t="n">
        <f aca="false">IF(DP$4=0,0,IF(COUNTIFS(実績!$W$6:$W$505,DP$3,実績!$AI$6:$AI$505,"&lt;="&amp;$A52,実績!$AJ$6:$AJ$505,"&gt;"&amp;$A52,実績!$AL$6:$AL$505,"○")&gt;0,1,0))</f>
        <v>0</v>
      </c>
      <c r="DQ52" s="39" t="n">
        <f aca="false">IF(DQ$4=0,0,IF(COUNTIFS(実績!$W$6:$W$505,DQ$3,実績!$AI$6:$AI$505,"&lt;="&amp;$A52,実績!$AJ$6:$AJ$505,"&gt;"&amp;$A52,実績!$AL$6:$AL$505,"○")&gt;0,1,0))</f>
        <v>0</v>
      </c>
      <c r="DR52" s="39" t="n">
        <f aca="false">IF(DR$4=0,0,IF(COUNTIFS(実績!$W$6:$W$505,DR$3,実績!$AI$6:$AI$505,"&lt;="&amp;$A52,実績!$AJ$6:$AJ$505,"&gt;"&amp;$A52,実績!$AL$6:$AL$505,"○")&gt;0,1,0))</f>
        <v>0</v>
      </c>
      <c r="DS52" s="39" t="n">
        <f aca="false">SUM(C52:DR52)</f>
        <v>0</v>
      </c>
    </row>
    <row r="53" customFormat="false" ht="15" hidden="false" customHeight="false" outlineLevel="0" collapsed="false">
      <c r="A53" s="0" t="n">
        <v>235</v>
      </c>
      <c r="B53" s="38" t="n">
        <f aca="false">A53/1440</f>
        <v>0.163194444444444</v>
      </c>
      <c r="C53" s="39" t="n">
        <f aca="false">IF(C$4=0,0,IF(COUNTIFS(実績!$W$6:$W$505,C$3,実績!$AI$6:$AI$505,"&lt;="&amp;$A53,実績!$AJ$6:$AJ$505,"&gt;"&amp;$A53,実績!$AL$6:$AL$505,"○")&gt;0,1,0))</f>
        <v>0</v>
      </c>
      <c r="D53" s="39" t="n">
        <f aca="false">IF(D$4=0,0,IF(COUNTIFS(実績!$W$6:$W$505,D$3,実績!$AI$6:$AI$505,"&lt;="&amp;$A53,実績!$AJ$6:$AJ$505,"&gt;"&amp;$A53,実績!$AL$6:$AL$505,"○")&gt;0,1,0))</f>
        <v>0</v>
      </c>
      <c r="E53" s="39" t="n">
        <f aca="false">IF(E$4=0,0,IF(COUNTIFS(実績!$W$6:$W$505,E$3,実績!$AI$6:$AI$505,"&lt;="&amp;$A53,実績!$AJ$6:$AJ$505,"&gt;"&amp;$A53,実績!$AL$6:$AL$505,"○")&gt;0,1,0))</f>
        <v>0</v>
      </c>
      <c r="F53" s="39" t="n">
        <f aca="false">IF(F$4=0,0,IF(COUNTIFS(実績!$W$6:$W$505,F$3,実績!$AI$6:$AI$505,"&lt;="&amp;$A53,実績!$AJ$6:$AJ$505,"&gt;"&amp;$A53,実績!$AL$6:$AL$505,"○")&gt;0,1,0))</f>
        <v>0</v>
      </c>
      <c r="G53" s="39" t="n">
        <f aca="false">IF(G$4=0,0,IF(COUNTIFS(実績!$W$6:$W$505,G$3,実績!$AI$6:$AI$505,"&lt;="&amp;$A53,実績!$AJ$6:$AJ$505,"&gt;"&amp;$A53,実績!$AL$6:$AL$505,"○")&gt;0,1,0))</f>
        <v>0</v>
      </c>
      <c r="H53" s="39" t="n">
        <f aca="false">IF(H$4=0,0,IF(COUNTIFS(実績!$W$6:$W$505,H$3,実績!$AI$6:$AI$505,"&lt;="&amp;$A53,実績!$AJ$6:$AJ$505,"&gt;"&amp;$A53,実績!$AL$6:$AL$505,"○")&gt;0,1,0))</f>
        <v>0</v>
      </c>
      <c r="I53" s="39" t="n">
        <f aca="false">IF(I$4=0,0,IF(COUNTIFS(実績!$W$6:$W$505,I$3,実績!$AI$6:$AI$505,"&lt;="&amp;$A53,実績!$AJ$6:$AJ$505,"&gt;"&amp;$A53,実績!$AL$6:$AL$505,"○")&gt;0,1,0))</f>
        <v>0</v>
      </c>
      <c r="J53" s="39" t="n">
        <f aca="false">IF(J$4=0,0,IF(COUNTIFS(実績!$W$6:$W$505,J$3,実績!$AI$6:$AI$505,"&lt;="&amp;$A53,実績!$AJ$6:$AJ$505,"&gt;"&amp;$A53,実績!$AL$6:$AL$505,"○")&gt;0,1,0))</f>
        <v>0</v>
      </c>
      <c r="K53" s="39" t="n">
        <f aca="false">IF(K$4=0,0,IF(COUNTIFS(実績!$W$6:$W$505,K$3,実績!$AI$6:$AI$505,"&lt;="&amp;$A53,実績!$AJ$6:$AJ$505,"&gt;"&amp;$A53,実績!$AL$6:$AL$505,"○")&gt;0,1,0))</f>
        <v>0</v>
      </c>
      <c r="L53" s="39" t="n">
        <f aca="false">IF(L$4=0,0,IF(COUNTIFS(実績!$W$6:$W$505,L$3,実績!$AI$6:$AI$505,"&lt;="&amp;$A53,実績!$AJ$6:$AJ$505,"&gt;"&amp;$A53,実績!$AL$6:$AL$505,"○")&gt;0,1,0))</f>
        <v>0</v>
      </c>
      <c r="M53" s="39" t="n">
        <f aca="false">IF(M$4=0,0,IF(COUNTIFS(実績!$W$6:$W$505,M$3,実績!$AI$6:$AI$505,"&lt;="&amp;$A53,実績!$AJ$6:$AJ$505,"&gt;"&amp;$A53,実績!$AL$6:$AL$505,"○")&gt;0,1,0))</f>
        <v>0</v>
      </c>
      <c r="N53" s="39" t="n">
        <f aca="false">IF(N$4=0,0,IF(COUNTIFS(実績!$W$6:$W$505,N$3,実績!$AI$6:$AI$505,"&lt;="&amp;$A53,実績!$AJ$6:$AJ$505,"&gt;"&amp;$A53,実績!$AL$6:$AL$505,"○")&gt;0,1,0))</f>
        <v>0</v>
      </c>
      <c r="O53" s="39" t="n">
        <f aca="false">IF(O$4=0,0,IF(COUNTIFS(実績!$W$6:$W$505,O$3,実績!$AI$6:$AI$505,"&lt;="&amp;$A53,実績!$AJ$6:$AJ$505,"&gt;"&amp;$A53,実績!$AL$6:$AL$505,"○")&gt;0,1,0))</f>
        <v>0</v>
      </c>
      <c r="P53" s="39" t="n">
        <f aca="false">IF(P$4=0,0,IF(COUNTIFS(実績!$W$6:$W$505,P$3,実績!$AI$6:$AI$505,"&lt;="&amp;$A53,実績!$AJ$6:$AJ$505,"&gt;"&amp;$A53,実績!$AL$6:$AL$505,"○")&gt;0,1,0))</f>
        <v>0</v>
      </c>
      <c r="Q53" s="39" t="n">
        <f aca="false">IF(Q$4=0,0,IF(COUNTIFS(実績!$W$6:$W$505,Q$3,実績!$AI$6:$AI$505,"&lt;="&amp;$A53,実績!$AJ$6:$AJ$505,"&gt;"&amp;$A53,実績!$AL$6:$AL$505,"○")&gt;0,1,0))</f>
        <v>0</v>
      </c>
      <c r="R53" s="39" t="n">
        <f aca="false">IF(R$4=0,0,IF(COUNTIFS(実績!$W$6:$W$505,R$3,実績!$AI$6:$AI$505,"&lt;="&amp;$A53,実績!$AJ$6:$AJ$505,"&gt;"&amp;$A53,実績!$AL$6:$AL$505,"○")&gt;0,1,0))</f>
        <v>0</v>
      </c>
      <c r="S53" s="39" t="n">
        <f aca="false">IF(S$4=0,0,IF(COUNTIFS(実績!$W$6:$W$505,S$3,実績!$AI$6:$AI$505,"&lt;="&amp;$A53,実績!$AJ$6:$AJ$505,"&gt;"&amp;$A53,実績!$AL$6:$AL$505,"○")&gt;0,1,0))</f>
        <v>0</v>
      </c>
      <c r="T53" s="39" t="n">
        <f aca="false">IF(T$4=0,0,IF(COUNTIFS(実績!$W$6:$W$505,T$3,実績!$AI$6:$AI$505,"&lt;="&amp;$A53,実績!$AJ$6:$AJ$505,"&gt;"&amp;$A53,実績!$AL$6:$AL$505,"○")&gt;0,1,0))</f>
        <v>0</v>
      </c>
      <c r="U53" s="39" t="n">
        <f aca="false">IF(U$4=0,0,IF(COUNTIFS(実績!$W$6:$W$505,U$3,実績!$AI$6:$AI$505,"&lt;="&amp;$A53,実績!$AJ$6:$AJ$505,"&gt;"&amp;$A53,実績!$AL$6:$AL$505,"○")&gt;0,1,0))</f>
        <v>0</v>
      </c>
      <c r="V53" s="39" t="n">
        <f aca="false">IF(V$4=0,0,IF(COUNTIFS(実績!$W$6:$W$505,V$3,実績!$AI$6:$AI$505,"&lt;="&amp;$A53,実績!$AJ$6:$AJ$505,"&gt;"&amp;$A53,実績!$AL$6:$AL$505,"○")&gt;0,1,0))</f>
        <v>0</v>
      </c>
      <c r="W53" s="39" t="n">
        <f aca="false">IF(W$4=0,0,IF(COUNTIFS(実績!$W$6:$W$505,W$3,実績!$AI$6:$AI$505,"&lt;="&amp;$A53,実績!$AJ$6:$AJ$505,"&gt;"&amp;$A53,実績!$AL$6:$AL$505,"○")&gt;0,1,0))</f>
        <v>0</v>
      </c>
      <c r="X53" s="39" t="n">
        <f aca="false">IF(X$4=0,0,IF(COUNTIFS(実績!$W$6:$W$505,X$3,実績!$AI$6:$AI$505,"&lt;="&amp;$A53,実績!$AJ$6:$AJ$505,"&gt;"&amp;$A53,実績!$AL$6:$AL$505,"○")&gt;0,1,0))</f>
        <v>0</v>
      </c>
      <c r="Y53" s="39" t="n">
        <f aca="false">IF(Y$4=0,0,IF(COUNTIFS(実績!$W$6:$W$505,Y$3,実績!$AI$6:$AI$505,"&lt;="&amp;$A53,実績!$AJ$6:$AJ$505,"&gt;"&amp;$A53,実績!$AL$6:$AL$505,"○")&gt;0,1,0))</f>
        <v>0</v>
      </c>
      <c r="Z53" s="39" t="n">
        <f aca="false">IF(Z$4=0,0,IF(COUNTIFS(実績!$W$6:$W$505,Z$3,実績!$AI$6:$AI$505,"&lt;="&amp;$A53,実績!$AJ$6:$AJ$505,"&gt;"&amp;$A53,実績!$AL$6:$AL$505,"○")&gt;0,1,0))</f>
        <v>0</v>
      </c>
      <c r="AA53" s="39" t="n">
        <f aca="false">IF(AA$4=0,0,IF(COUNTIFS(実績!$W$6:$W$505,AA$3,実績!$AI$6:$AI$505,"&lt;="&amp;$A53,実績!$AJ$6:$AJ$505,"&gt;"&amp;$A53,実績!$AL$6:$AL$505,"○")&gt;0,1,0))</f>
        <v>0</v>
      </c>
      <c r="AB53" s="39" t="n">
        <f aca="false">IF(AB$4=0,0,IF(COUNTIFS(実績!$W$6:$W$505,AB$3,実績!$AI$6:$AI$505,"&lt;="&amp;$A53,実績!$AJ$6:$AJ$505,"&gt;"&amp;$A53,実績!$AL$6:$AL$505,"○")&gt;0,1,0))</f>
        <v>0</v>
      </c>
      <c r="AC53" s="39" t="n">
        <f aca="false">IF(AC$4=0,0,IF(COUNTIFS(実績!$W$6:$W$505,AC$3,実績!$AI$6:$AI$505,"&lt;="&amp;$A53,実績!$AJ$6:$AJ$505,"&gt;"&amp;$A53,実績!$AL$6:$AL$505,"○")&gt;0,1,0))</f>
        <v>0</v>
      </c>
      <c r="AD53" s="39" t="n">
        <f aca="false">IF(AD$4=0,0,IF(COUNTIFS(実績!$W$6:$W$505,AD$3,実績!$AI$6:$AI$505,"&lt;="&amp;$A53,実績!$AJ$6:$AJ$505,"&gt;"&amp;$A53,実績!$AL$6:$AL$505,"○")&gt;0,1,0))</f>
        <v>0</v>
      </c>
      <c r="AE53" s="39" t="n">
        <f aca="false">IF(AE$4=0,0,IF(COUNTIFS(実績!$W$6:$W$505,AE$3,実績!$AI$6:$AI$505,"&lt;="&amp;$A53,実績!$AJ$6:$AJ$505,"&gt;"&amp;$A53,実績!$AL$6:$AL$505,"○")&gt;0,1,0))</f>
        <v>0</v>
      </c>
      <c r="AF53" s="39" t="n">
        <f aca="false">IF(AF$4=0,0,IF(COUNTIFS(実績!$W$6:$W$505,AF$3,実績!$AI$6:$AI$505,"&lt;="&amp;$A53,実績!$AJ$6:$AJ$505,"&gt;"&amp;$A53,実績!$AL$6:$AL$505,"○")&gt;0,1,0))</f>
        <v>0</v>
      </c>
      <c r="AG53" s="39" t="n">
        <f aca="false">IF(AG$4=0,0,IF(COUNTIFS(実績!$W$6:$W$505,AG$3,実績!$AI$6:$AI$505,"&lt;="&amp;$A53,実績!$AJ$6:$AJ$505,"&gt;"&amp;$A53,実績!$AL$6:$AL$505,"○")&gt;0,1,0))</f>
        <v>0</v>
      </c>
      <c r="AH53" s="39" t="n">
        <f aca="false">IF(AH$4=0,0,IF(COUNTIFS(実績!$W$6:$W$505,AH$3,実績!$AI$6:$AI$505,"&lt;="&amp;$A53,実績!$AJ$6:$AJ$505,"&gt;"&amp;$A53,実績!$AL$6:$AL$505,"○")&gt;0,1,0))</f>
        <v>0</v>
      </c>
      <c r="AI53" s="39" t="n">
        <f aca="false">IF(AI$4=0,0,IF(COUNTIFS(実績!$W$6:$W$505,AI$3,実績!$AI$6:$AI$505,"&lt;="&amp;$A53,実績!$AJ$6:$AJ$505,"&gt;"&amp;$A53,実績!$AL$6:$AL$505,"○")&gt;0,1,0))</f>
        <v>0</v>
      </c>
      <c r="AJ53" s="39" t="n">
        <f aca="false">IF(AJ$4=0,0,IF(COUNTIFS(実績!$W$6:$W$505,AJ$3,実績!$AI$6:$AI$505,"&lt;="&amp;$A53,実績!$AJ$6:$AJ$505,"&gt;"&amp;$A53,実績!$AL$6:$AL$505,"○")&gt;0,1,0))</f>
        <v>0</v>
      </c>
      <c r="AK53" s="39" t="n">
        <f aca="false">IF(AK$4=0,0,IF(COUNTIFS(実績!$W$6:$W$505,AK$3,実績!$AI$6:$AI$505,"&lt;="&amp;$A53,実績!$AJ$6:$AJ$505,"&gt;"&amp;$A53,実績!$AL$6:$AL$505,"○")&gt;0,1,0))</f>
        <v>0</v>
      </c>
      <c r="AL53" s="39" t="n">
        <f aca="false">IF(AL$4=0,0,IF(COUNTIFS(実績!$W$6:$W$505,AL$3,実績!$AI$6:$AI$505,"&lt;="&amp;$A53,実績!$AJ$6:$AJ$505,"&gt;"&amp;$A53,実績!$AL$6:$AL$505,"○")&gt;0,1,0))</f>
        <v>0</v>
      </c>
      <c r="AM53" s="39" t="n">
        <f aca="false">IF(AM$4=0,0,IF(COUNTIFS(実績!$W$6:$W$505,AM$3,実績!$AI$6:$AI$505,"&lt;="&amp;$A53,実績!$AJ$6:$AJ$505,"&gt;"&amp;$A53,実績!$AL$6:$AL$505,"○")&gt;0,1,0))</f>
        <v>0</v>
      </c>
      <c r="AN53" s="39" t="n">
        <f aca="false">IF(AN$4=0,0,IF(COUNTIFS(実績!$W$6:$W$505,AN$3,実績!$AI$6:$AI$505,"&lt;="&amp;$A53,実績!$AJ$6:$AJ$505,"&gt;"&amp;$A53,実績!$AL$6:$AL$505,"○")&gt;0,1,0))</f>
        <v>0</v>
      </c>
      <c r="AO53" s="39" t="n">
        <f aca="false">IF(AO$4=0,0,IF(COUNTIFS(実績!$W$6:$W$505,AO$3,実績!$AI$6:$AI$505,"&lt;="&amp;$A53,実績!$AJ$6:$AJ$505,"&gt;"&amp;$A53,実績!$AL$6:$AL$505,"○")&gt;0,1,0))</f>
        <v>0</v>
      </c>
      <c r="AP53" s="39" t="n">
        <f aca="false">IF(AP$4=0,0,IF(COUNTIFS(実績!$W$6:$W$505,AP$3,実績!$AI$6:$AI$505,"&lt;="&amp;$A53,実績!$AJ$6:$AJ$505,"&gt;"&amp;$A53,実績!$AL$6:$AL$505,"○")&gt;0,1,0))</f>
        <v>0</v>
      </c>
      <c r="AQ53" s="39" t="n">
        <f aca="false">IF(AQ$4=0,0,IF(COUNTIFS(実績!$W$6:$W$505,AQ$3,実績!$AI$6:$AI$505,"&lt;="&amp;$A53,実績!$AJ$6:$AJ$505,"&gt;"&amp;$A53,実績!$AL$6:$AL$505,"○")&gt;0,1,0))</f>
        <v>0</v>
      </c>
      <c r="AR53" s="39" t="n">
        <f aca="false">IF(AR$4=0,0,IF(COUNTIFS(実績!$W$6:$W$505,AR$3,実績!$AI$6:$AI$505,"&lt;="&amp;$A53,実績!$AJ$6:$AJ$505,"&gt;"&amp;$A53,実績!$AL$6:$AL$505,"○")&gt;0,1,0))</f>
        <v>0</v>
      </c>
      <c r="AS53" s="39" t="n">
        <f aca="false">IF(AS$4=0,0,IF(COUNTIFS(実績!$W$6:$W$505,AS$3,実績!$AI$6:$AI$505,"&lt;="&amp;$A53,実績!$AJ$6:$AJ$505,"&gt;"&amp;$A53,実績!$AL$6:$AL$505,"○")&gt;0,1,0))</f>
        <v>0</v>
      </c>
      <c r="AT53" s="39" t="n">
        <f aca="false">IF(AT$4=0,0,IF(COUNTIFS(実績!$W$6:$W$505,AT$3,実績!$AI$6:$AI$505,"&lt;="&amp;$A53,実績!$AJ$6:$AJ$505,"&gt;"&amp;$A53,実績!$AL$6:$AL$505,"○")&gt;0,1,0))</f>
        <v>0</v>
      </c>
      <c r="AU53" s="39" t="n">
        <f aca="false">IF(AU$4=0,0,IF(COUNTIFS(実績!$W$6:$W$505,AU$3,実績!$AI$6:$AI$505,"&lt;="&amp;$A53,実績!$AJ$6:$AJ$505,"&gt;"&amp;$A53,実績!$AL$6:$AL$505,"○")&gt;0,1,0))</f>
        <v>0</v>
      </c>
      <c r="AV53" s="39" t="n">
        <f aca="false">IF(AV$4=0,0,IF(COUNTIFS(実績!$W$6:$W$505,AV$3,実績!$AI$6:$AI$505,"&lt;="&amp;$A53,実績!$AJ$6:$AJ$505,"&gt;"&amp;$A53,実績!$AL$6:$AL$505,"○")&gt;0,1,0))</f>
        <v>0</v>
      </c>
      <c r="AW53" s="39" t="n">
        <f aca="false">IF(AW$4=0,0,IF(COUNTIFS(実績!$W$6:$W$505,AW$3,実績!$AI$6:$AI$505,"&lt;="&amp;$A53,実績!$AJ$6:$AJ$505,"&gt;"&amp;$A53,実績!$AL$6:$AL$505,"○")&gt;0,1,0))</f>
        <v>0</v>
      </c>
      <c r="AX53" s="39" t="n">
        <f aca="false">IF(AX$4=0,0,IF(COUNTIFS(実績!$W$6:$W$505,AX$3,実績!$AI$6:$AI$505,"&lt;="&amp;$A53,実績!$AJ$6:$AJ$505,"&gt;"&amp;$A53,実績!$AL$6:$AL$505,"○")&gt;0,1,0))</f>
        <v>0</v>
      </c>
      <c r="AY53" s="39" t="n">
        <f aca="false">IF(AY$4=0,0,IF(COUNTIFS(実績!$W$6:$W$505,AY$3,実績!$AI$6:$AI$505,"&lt;="&amp;$A53,実績!$AJ$6:$AJ$505,"&gt;"&amp;$A53,実績!$AL$6:$AL$505,"○")&gt;0,1,0))</f>
        <v>0</v>
      </c>
      <c r="AZ53" s="39" t="n">
        <f aca="false">IF(AZ$4=0,0,IF(COUNTIFS(実績!$W$6:$W$505,AZ$3,実績!$AI$6:$AI$505,"&lt;="&amp;$A53,実績!$AJ$6:$AJ$505,"&gt;"&amp;$A53,実績!$AL$6:$AL$505,"○")&gt;0,1,0))</f>
        <v>0</v>
      </c>
      <c r="BA53" s="39" t="n">
        <f aca="false">IF(BA$4=0,0,IF(COUNTIFS(実績!$W$6:$W$505,BA$3,実績!$AI$6:$AI$505,"&lt;="&amp;$A53,実績!$AJ$6:$AJ$505,"&gt;"&amp;$A53,実績!$AL$6:$AL$505,"○")&gt;0,1,0))</f>
        <v>0</v>
      </c>
      <c r="BB53" s="39" t="n">
        <f aca="false">IF(BB$4=0,0,IF(COUNTIFS(実績!$W$6:$W$505,BB$3,実績!$AI$6:$AI$505,"&lt;="&amp;$A53,実績!$AJ$6:$AJ$505,"&gt;"&amp;$A53,実績!$AL$6:$AL$505,"○")&gt;0,1,0))</f>
        <v>0</v>
      </c>
      <c r="BC53" s="39" t="n">
        <f aca="false">IF(BC$4=0,0,IF(COUNTIFS(実績!$W$6:$W$505,BC$3,実績!$AI$6:$AI$505,"&lt;="&amp;$A53,実績!$AJ$6:$AJ$505,"&gt;"&amp;$A53,実績!$AL$6:$AL$505,"○")&gt;0,1,0))</f>
        <v>0</v>
      </c>
      <c r="BD53" s="39" t="n">
        <f aca="false">IF(BD$4=0,0,IF(COUNTIFS(実績!$W$6:$W$505,BD$3,実績!$AI$6:$AI$505,"&lt;="&amp;$A53,実績!$AJ$6:$AJ$505,"&gt;"&amp;$A53,実績!$AL$6:$AL$505,"○")&gt;0,1,0))</f>
        <v>0</v>
      </c>
      <c r="BE53" s="39" t="n">
        <f aca="false">IF(BE$4=0,0,IF(COUNTIFS(実績!$W$6:$W$505,BE$3,実績!$AI$6:$AI$505,"&lt;="&amp;$A53,実績!$AJ$6:$AJ$505,"&gt;"&amp;$A53,実績!$AL$6:$AL$505,"○")&gt;0,1,0))</f>
        <v>0</v>
      </c>
      <c r="BF53" s="39" t="n">
        <f aca="false">IF(BF$4=0,0,IF(COUNTIFS(実績!$W$6:$W$505,BF$3,実績!$AI$6:$AI$505,"&lt;="&amp;$A53,実績!$AJ$6:$AJ$505,"&gt;"&amp;$A53,実績!$AL$6:$AL$505,"○")&gt;0,1,0))</f>
        <v>0</v>
      </c>
      <c r="BG53" s="39" t="n">
        <f aca="false">IF(BG$4=0,0,IF(COUNTIFS(実績!$W$6:$W$505,BG$3,実績!$AI$6:$AI$505,"&lt;="&amp;$A53,実績!$AJ$6:$AJ$505,"&gt;"&amp;$A53,実績!$AL$6:$AL$505,"○")&gt;0,1,0))</f>
        <v>0</v>
      </c>
      <c r="BH53" s="39" t="n">
        <f aca="false">IF(BH$4=0,0,IF(COUNTIFS(実績!$W$6:$W$505,BH$3,実績!$AI$6:$AI$505,"&lt;="&amp;$A53,実績!$AJ$6:$AJ$505,"&gt;"&amp;$A53,実績!$AL$6:$AL$505,"○")&gt;0,1,0))</f>
        <v>0</v>
      </c>
      <c r="BI53" s="39" t="n">
        <f aca="false">IF(BI$4=0,0,IF(COUNTIFS(実績!$W$6:$W$505,BI$3,実績!$AI$6:$AI$505,"&lt;="&amp;$A53,実績!$AJ$6:$AJ$505,"&gt;"&amp;$A53,実績!$AL$6:$AL$505,"○")&gt;0,1,0))</f>
        <v>0</v>
      </c>
      <c r="BJ53" s="39" t="n">
        <f aca="false">IF(BJ$4=0,0,IF(COUNTIFS(実績!$W$6:$W$505,BJ$3,実績!$AI$6:$AI$505,"&lt;="&amp;$A53,実績!$AJ$6:$AJ$505,"&gt;"&amp;$A53,実績!$AL$6:$AL$505,"○")&gt;0,1,0))</f>
        <v>0</v>
      </c>
      <c r="BK53" s="39" t="n">
        <f aca="false">IF(BK$4=0,0,IF(COUNTIFS(実績!$W$6:$W$505,BK$3,実績!$AI$6:$AI$505,"&lt;="&amp;$A53,実績!$AJ$6:$AJ$505,"&gt;"&amp;$A53,実績!$AL$6:$AL$505,"○")&gt;0,1,0))</f>
        <v>0</v>
      </c>
      <c r="BL53" s="39" t="n">
        <f aca="false">IF(BL$4=0,0,IF(COUNTIFS(実績!$W$6:$W$505,BL$3,実績!$AI$6:$AI$505,"&lt;="&amp;$A53,実績!$AJ$6:$AJ$505,"&gt;"&amp;$A53,実績!$AL$6:$AL$505,"○")&gt;0,1,0))</f>
        <v>0</v>
      </c>
      <c r="BM53" s="39" t="n">
        <f aca="false">IF(BM$4=0,0,IF(COUNTIFS(実績!$W$6:$W$505,BM$3,実績!$AI$6:$AI$505,"&lt;="&amp;$A53,実績!$AJ$6:$AJ$505,"&gt;"&amp;$A53,実績!$AL$6:$AL$505,"○")&gt;0,1,0))</f>
        <v>0</v>
      </c>
      <c r="BN53" s="39" t="n">
        <f aca="false">IF(BN$4=0,0,IF(COUNTIFS(実績!$W$6:$W$505,BN$3,実績!$AI$6:$AI$505,"&lt;="&amp;$A53,実績!$AJ$6:$AJ$505,"&gt;"&amp;$A53,実績!$AL$6:$AL$505,"○")&gt;0,1,0))</f>
        <v>0</v>
      </c>
      <c r="BO53" s="39" t="n">
        <f aca="false">IF(BO$4=0,0,IF(COUNTIFS(実績!$W$6:$W$505,BO$3,実績!$AI$6:$AI$505,"&lt;="&amp;$A53,実績!$AJ$6:$AJ$505,"&gt;"&amp;$A53,実績!$AL$6:$AL$505,"○")&gt;0,1,0))</f>
        <v>0</v>
      </c>
      <c r="BP53" s="39" t="n">
        <f aca="false">IF(BP$4=0,0,IF(COUNTIFS(実績!$W$6:$W$505,BP$3,実績!$AI$6:$AI$505,"&lt;="&amp;$A53,実績!$AJ$6:$AJ$505,"&gt;"&amp;$A53,実績!$AL$6:$AL$505,"○")&gt;0,1,0))</f>
        <v>0</v>
      </c>
      <c r="BQ53" s="39" t="n">
        <f aca="false">IF(BQ$4=0,0,IF(COUNTIFS(実績!$W$6:$W$505,BQ$3,実績!$AI$6:$AI$505,"&lt;="&amp;$A53,実績!$AJ$6:$AJ$505,"&gt;"&amp;$A53,実績!$AL$6:$AL$505,"○")&gt;0,1,0))</f>
        <v>0</v>
      </c>
      <c r="BR53" s="39" t="n">
        <f aca="false">IF(BR$4=0,0,IF(COUNTIFS(実績!$W$6:$W$505,BR$3,実績!$AI$6:$AI$505,"&lt;="&amp;$A53,実績!$AJ$6:$AJ$505,"&gt;"&amp;$A53,実績!$AL$6:$AL$505,"○")&gt;0,1,0))</f>
        <v>0</v>
      </c>
      <c r="BS53" s="39" t="n">
        <f aca="false">IF(BS$4=0,0,IF(COUNTIFS(実績!$W$6:$W$505,BS$3,実績!$AI$6:$AI$505,"&lt;="&amp;$A53,実績!$AJ$6:$AJ$505,"&gt;"&amp;$A53,実績!$AL$6:$AL$505,"○")&gt;0,1,0))</f>
        <v>0</v>
      </c>
      <c r="BT53" s="39" t="n">
        <f aca="false">IF(BT$4=0,0,IF(COUNTIFS(実績!$W$6:$W$505,BT$3,実績!$AI$6:$AI$505,"&lt;="&amp;$A53,実績!$AJ$6:$AJ$505,"&gt;"&amp;$A53,実績!$AL$6:$AL$505,"○")&gt;0,1,0))</f>
        <v>0</v>
      </c>
      <c r="BU53" s="39" t="n">
        <f aca="false">IF(BU$4=0,0,IF(COUNTIFS(実績!$W$6:$W$505,BU$3,実績!$AI$6:$AI$505,"&lt;="&amp;$A53,実績!$AJ$6:$AJ$505,"&gt;"&amp;$A53,実績!$AL$6:$AL$505,"○")&gt;0,1,0))</f>
        <v>0</v>
      </c>
      <c r="BV53" s="39" t="n">
        <f aca="false">IF(BV$4=0,0,IF(COUNTIFS(実績!$W$6:$W$505,BV$3,実績!$AI$6:$AI$505,"&lt;="&amp;$A53,実績!$AJ$6:$AJ$505,"&gt;"&amp;$A53,実績!$AL$6:$AL$505,"○")&gt;0,1,0))</f>
        <v>0</v>
      </c>
      <c r="BW53" s="39" t="n">
        <f aca="false">IF(BW$4=0,0,IF(COUNTIFS(実績!$W$6:$W$505,BW$3,実績!$AI$6:$AI$505,"&lt;="&amp;$A53,実績!$AJ$6:$AJ$505,"&gt;"&amp;$A53,実績!$AL$6:$AL$505,"○")&gt;0,1,0))</f>
        <v>0</v>
      </c>
      <c r="BX53" s="39" t="n">
        <f aca="false">IF(BX$4=0,0,IF(COUNTIFS(実績!$W$6:$W$505,BX$3,実績!$AI$6:$AI$505,"&lt;="&amp;$A53,実績!$AJ$6:$AJ$505,"&gt;"&amp;$A53,実績!$AL$6:$AL$505,"○")&gt;0,1,0))</f>
        <v>0</v>
      </c>
      <c r="BY53" s="39" t="n">
        <f aca="false">IF(BY$4=0,0,IF(COUNTIFS(実績!$W$6:$W$505,BY$3,実績!$AI$6:$AI$505,"&lt;="&amp;$A53,実績!$AJ$6:$AJ$505,"&gt;"&amp;$A53,実績!$AL$6:$AL$505,"○")&gt;0,1,0))</f>
        <v>0</v>
      </c>
      <c r="BZ53" s="39" t="n">
        <f aca="false">IF(BZ$4=0,0,IF(COUNTIFS(実績!$W$6:$W$505,BZ$3,実績!$AI$6:$AI$505,"&lt;="&amp;$A53,実績!$AJ$6:$AJ$505,"&gt;"&amp;$A53,実績!$AL$6:$AL$505,"○")&gt;0,1,0))</f>
        <v>0</v>
      </c>
      <c r="CA53" s="39" t="n">
        <f aca="false">IF(CA$4=0,0,IF(COUNTIFS(実績!$W$6:$W$505,CA$3,実績!$AI$6:$AI$505,"&lt;="&amp;$A53,実績!$AJ$6:$AJ$505,"&gt;"&amp;$A53,実績!$AL$6:$AL$505,"○")&gt;0,1,0))</f>
        <v>0</v>
      </c>
      <c r="CB53" s="39" t="n">
        <f aca="false">IF(CB$4=0,0,IF(COUNTIFS(実績!$W$6:$W$505,CB$3,実績!$AI$6:$AI$505,"&lt;="&amp;$A53,実績!$AJ$6:$AJ$505,"&gt;"&amp;$A53,実績!$AL$6:$AL$505,"○")&gt;0,1,0))</f>
        <v>0</v>
      </c>
      <c r="CC53" s="39" t="n">
        <f aca="false">IF(CC$4=0,0,IF(COUNTIFS(実績!$W$6:$W$505,CC$3,実績!$AI$6:$AI$505,"&lt;="&amp;$A53,実績!$AJ$6:$AJ$505,"&gt;"&amp;$A53,実績!$AL$6:$AL$505,"○")&gt;0,1,0))</f>
        <v>0</v>
      </c>
      <c r="CD53" s="39" t="n">
        <f aca="false">IF(CD$4=0,0,IF(COUNTIFS(実績!$W$6:$W$505,CD$3,実績!$AI$6:$AI$505,"&lt;="&amp;$A53,実績!$AJ$6:$AJ$505,"&gt;"&amp;$A53,実績!$AL$6:$AL$505,"○")&gt;0,1,0))</f>
        <v>0</v>
      </c>
      <c r="CE53" s="39" t="n">
        <f aca="false">IF(CE$4=0,0,IF(COUNTIFS(実績!$W$6:$W$505,CE$3,実績!$AI$6:$AI$505,"&lt;="&amp;$A53,実績!$AJ$6:$AJ$505,"&gt;"&amp;$A53,実績!$AL$6:$AL$505,"○")&gt;0,1,0))</f>
        <v>0</v>
      </c>
      <c r="CF53" s="39" t="n">
        <f aca="false">IF(CF$4=0,0,IF(COUNTIFS(実績!$W$6:$W$505,CF$3,実績!$AI$6:$AI$505,"&lt;="&amp;$A53,実績!$AJ$6:$AJ$505,"&gt;"&amp;$A53,実績!$AL$6:$AL$505,"○")&gt;0,1,0))</f>
        <v>0</v>
      </c>
      <c r="CG53" s="39" t="n">
        <f aca="false">IF(CG$4=0,0,IF(COUNTIFS(実績!$W$6:$W$505,CG$3,実績!$AI$6:$AI$505,"&lt;="&amp;$A53,実績!$AJ$6:$AJ$505,"&gt;"&amp;$A53,実績!$AL$6:$AL$505,"○")&gt;0,1,0))</f>
        <v>0</v>
      </c>
      <c r="CH53" s="39" t="n">
        <f aca="false">IF(CH$4=0,0,IF(COUNTIFS(実績!$W$6:$W$505,CH$3,実績!$AI$6:$AI$505,"&lt;="&amp;$A53,実績!$AJ$6:$AJ$505,"&gt;"&amp;$A53,実績!$AL$6:$AL$505,"○")&gt;0,1,0))</f>
        <v>0</v>
      </c>
      <c r="CI53" s="39" t="n">
        <f aca="false">IF(CI$4=0,0,IF(COUNTIFS(実績!$W$6:$W$505,CI$3,実績!$AI$6:$AI$505,"&lt;="&amp;$A53,実績!$AJ$6:$AJ$505,"&gt;"&amp;$A53,実績!$AL$6:$AL$505,"○")&gt;0,1,0))</f>
        <v>0</v>
      </c>
      <c r="CJ53" s="39" t="n">
        <f aca="false">IF(CJ$4=0,0,IF(COUNTIFS(実績!$W$6:$W$505,CJ$3,実績!$AI$6:$AI$505,"&lt;="&amp;$A53,実績!$AJ$6:$AJ$505,"&gt;"&amp;$A53,実績!$AL$6:$AL$505,"○")&gt;0,1,0))</f>
        <v>0</v>
      </c>
      <c r="CK53" s="39" t="n">
        <f aca="false">IF(CK$4=0,0,IF(COUNTIFS(実績!$W$6:$W$505,CK$3,実績!$AI$6:$AI$505,"&lt;="&amp;$A53,実績!$AJ$6:$AJ$505,"&gt;"&amp;$A53,実績!$AL$6:$AL$505,"○")&gt;0,1,0))</f>
        <v>0</v>
      </c>
      <c r="CL53" s="39" t="n">
        <f aca="false">IF(CL$4=0,0,IF(COUNTIFS(実績!$W$6:$W$505,CL$3,実績!$AI$6:$AI$505,"&lt;="&amp;$A53,実績!$AJ$6:$AJ$505,"&gt;"&amp;$A53,実績!$AL$6:$AL$505,"○")&gt;0,1,0))</f>
        <v>0</v>
      </c>
      <c r="CM53" s="39" t="n">
        <f aca="false">IF(CM$4=0,0,IF(COUNTIFS(実績!$W$6:$W$505,CM$3,実績!$AI$6:$AI$505,"&lt;="&amp;$A53,実績!$AJ$6:$AJ$505,"&gt;"&amp;$A53,実績!$AL$6:$AL$505,"○")&gt;0,1,0))</f>
        <v>0</v>
      </c>
      <c r="CN53" s="39" t="n">
        <f aca="false">IF(CN$4=0,0,IF(COUNTIFS(実績!$W$6:$W$505,CN$3,実績!$AI$6:$AI$505,"&lt;="&amp;$A53,実績!$AJ$6:$AJ$505,"&gt;"&amp;$A53,実績!$AL$6:$AL$505,"○")&gt;0,1,0))</f>
        <v>0</v>
      </c>
      <c r="CO53" s="39" t="n">
        <f aca="false">IF(CO$4=0,0,IF(COUNTIFS(実績!$W$6:$W$505,CO$3,実績!$AI$6:$AI$505,"&lt;="&amp;$A53,実績!$AJ$6:$AJ$505,"&gt;"&amp;$A53,実績!$AL$6:$AL$505,"○")&gt;0,1,0))</f>
        <v>0</v>
      </c>
      <c r="CP53" s="39" t="n">
        <f aca="false">IF(CP$4=0,0,IF(COUNTIFS(実績!$W$6:$W$505,CP$3,実績!$AI$6:$AI$505,"&lt;="&amp;$A53,実績!$AJ$6:$AJ$505,"&gt;"&amp;$A53,実績!$AL$6:$AL$505,"○")&gt;0,1,0))</f>
        <v>0</v>
      </c>
      <c r="CQ53" s="39" t="n">
        <f aca="false">IF(CQ$4=0,0,IF(COUNTIFS(実績!$W$6:$W$505,CQ$3,実績!$AI$6:$AI$505,"&lt;="&amp;$A53,実績!$AJ$6:$AJ$505,"&gt;"&amp;$A53,実績!$AL$6:$AL$505,"○")&gt;0,1,0))</f>
        <v>0</v>
      </c>
      <c r="CR53" s="39" t="n">
        <f aca="false">IF(CR$4=0,0,IF(COUNTIFS(実績!$W$6:$W$505,CR$3,実績!$AI$6:$AI$505,"&lt;="&amp;$A53,実績!$AJ$6:$AJ$505,"&gt;"&amp;$A53,実績!$AL$6:$AL$505,"○")&gt;0,1,0))</f>
        <v>0</v>
      </c>
      <c r="CS53" s="39" t="n">
        <f aca="false">IF(CS$4=0,0,IF(COUNTIFS(実績!$W$6:$W$505,CS$3,実績!$AI$6:$AI$505,"&lt;="&amp;$A53,実績!$AJ$6:$AJ$505,"&gt;"&amp;$A53,実績!$AL$6:$AL$505,"○")&gt;0,1,0))</f>
        <v>0</v>
      </c>
      <c r="CT53" s="39" t="n">
        <f aca="false">IF(CT$4=0,0,IF(COUNTIFS(実績!$W$6:$W$505,CT$3,実績!$AI$6:$AI$505,"&lt;="&amp;$A53,実績!$AJ$6:$AJ$505,"&gt;"&amp;$A53,実績!$AL$6:$AL$505,"○")&gt;0,1,0))</f>
        <v>0</v>
      </c>
      <c r="CU53" s="39" t="n">
        <f aca="false">IF(CU$4=0,0,IF(COUNTIFS(実績!$W$6:$W$505,CU$3,実績!$AI$6:$AI$505,"&lt;="&amp;$A53,実績!$AJ$6:$AJ$505,"&gt;"&amp;$A53,実績!$AL$6:$AL$505,"○")&gt;0,1,0))</f>
        <v>0</v>
      </c>
      <c r="CV53" s="39" t="n">
        <f aca="false">IF(CV$4=0,0,IF(COUNTIFS(実績!$W$6:$W$505,CV$3,実績!$AI$6:$AI$505,"&lt;="&amp;$A53,実績!$AJ$6:$AJ$505,"&gt;"&amp;$A53,実績!$AL$6:$AL$505,"○")&gt;0,1,0))</f>
        <v>0</v>
      </c>
      <c r="CW53" s="39" t="n">
        <f aca="false">IF(CW$4=0,0,IF(COUNTIFS(実績!$W$6:$W$505,CW$3,実績!$AI$6:$AI$505,"&lt;="&amp;$A53,実績!$AJ$6:$AJ$505,"&gt;"&amp;$A53,実績!$AL$6:$AL$505,"○")&gt;0,1,0))</f>
        <v>0</v>
      </c>
      <c r="CX53" s="39" t="n">
        <f aca="false">IF(CX$4=0,0,IF(COUNTIFS(実績!$W$6:$W$505,CX$3,実績!$AI$6:$AI$505,"&lt;="&amp;$A53,実績!$AJ$6:$AJ$505,"&gt;"&amp;$A53,実績!$AL$6:$AL$505,"○")&gt;0,1,0))</f>
        <v>0</v>
      </c>
      <c r="CY53" s="39" t="n">
        <f aca="false">IF(CY$4=0,0,IF(COUNTIFS(実績!$W$6:$W$505,CY$3,実績!$AI$6:$AI$505,"&lt;="&amp;$A53,実績!$AJ$6:$AJ$505,"&gt;"&amp;$A53,実績!$AL$6:$AL$505,"○")&gt;0,1,0))</f>
        <v>0</v>
      </c>
      <c r="CZ53" s="39" t="n">
        <f aca="false">IF(CZ$4=0,0,IF(COUNTIFS(実績!$W$6:$W$505,CZ$3,実績!$AI$6:$AI$505,"&lt;="&amp;$A53,実績!$AJ$6:$AJ$505,"&gt;"&amp;$A53,実績!$AL$6:$AL$505,"○")&gt;0,1,0))</f>
        <v>0</v>
      </c>
      <c r="DA53" s="39" t="n">
        <f aca="false">IF(DA$4=0,0,IF(COUNTIFS(実績!$W$6:$W$505,DA$3,実績!$AI$6:$AI$505,"&lt;="&amp;$A53,実績!$AJ$6:$AJ$505,"&gt;"&amp;$A53,実績!$AL$6:$AL$505,"○")&gt;0,1,0))</f>
        <v>0</v>
      </c>
      <c r="DB53" s="39" t="n">
        <f aca="false">IF(DB$4=0,0,IF(COUNTIFS(実績!$W$6:$W$505,DB$3,実績!$AI$6:$AI$505,"&lt;="&amp;$A53,実績!$AJ$6:$AJ$505,"&gt;"&amp;$A53,実績!$AL$6:$AL$505,"○")&gt;0,1,0))</f>
        <v>0</v>
      </c>
      <c r="DC53" s="39" t="n">
        <f aca="false">IF(DC$4=0,0,IF(COUNTIFS(実績!$W$6:$W$505,DC$3,実績!$AI$6:$AI$505,"&lt;="&amp;$A53,実績!$AJ$6:$AJ$505,"&gt;"&amp;$A53,実績!$AL$6:$AL$505,"○")&gt;0,1,0))</f>
        <v>0</v>
      </c>
      <c r="DD53" s="39" t="n">
        <f aca="false">IF(DD$4=0,0,IF(COUNTIFS(実績!$W$6:$W$505,DD$3,実績!$AI$6:$AI$505,"&lt;="&amp;$A53,実績!$AJ$6:$AJ$505,"&gt;"&amp;$A53,実績!$AL$6:$AL$505,"○")&gt;0,1,0))</f>
        <v>0</v>
      </c>
      <c r="DE53" s="39" t="n">
        <f aca="false">IF(DE$4=0,0,IF(COUNTIFS(実績!$W$6:$W$505,DE$3,実績!$AI$6:$AI$505,"&lt;="&amp;$A53,実績!$AJ$6:$AJ$505,"&gt;"&amp;$A53,実績!$AL$6:$AL$505,"○")&gt;0,1,0))</f>
        <v>0</v>
      </c>
      <c r="DF53" s="39" t="n">
        <f aca="false">IF(DF$4=0,0,IF(COUNTIFS(実績!$W$6:$W$505,DF$3,実績!$AI$6:$AI$505,"&lt;="&amp;$A53,実績!$AJ$6:$AJ$505,"&gt;"&amp;$A53,実績!$AL$6:$AL$505,"○")&gt;0,1,0))</f>
        <v>0</v>
      </c>
      <c r="DG53" s="39" t="n">
        <f aca="false">IF(DG$4=0,0,IF(COUNTIFS(実績!$W$6:$W$505,DG$3,実績!$AI$6:$AI$505,"&lt;="&amp;$A53,実績!$AJ$6:$AJ$505,"&gt;"&amp;$A53,実績!$AL$6:$AL$505,"○")&gt;0,1,0))</f>
        <v>0</v>
      </c>
      <c r="DH53" s="39" t="n">
        <f aca="false">IF(DH$4=0,0,IF(COUNTIFS(実績!$W$6:$W$505,DH$3,実績!$AI$6:$AI$505,"&lt;="&amp;$A53,実績!$AJ$6:$AJ$505,"&gt;"&amp;$A53,実績!$AL$6:$AL$505,"○")&gt;0,1,0))</f>
        <v>0</v>
      </c>
      <c r="DI53" s="39" t="n">
        <f aca="false">IF(DI$4=0,0,IF(COUNTIFS(実績!$W$6:$W$505,DI$3,実績!$AI$6:$AI$505,"&lt;="&amp;$A53,実績!$AJ$6:$AJ$505,"&gt;"&amp;$A53,実績!$AL$6:$AL$505,"○")&gt;0,1,0))</f>
        <v>0</v>
      </c>
      <c r="DJ53" s="39" t="n">
        <f aca="false">IF(DJ$4=0,0,IF(COUNTIFS(実績!$W$6:$W$505,DJ$3,実績!$AI$6:$AI$505,"&lt;="&amp;$A53,実績!$AJ$6:$AJ$505,"&gt;"&amp;$A53,実績!$AL$6:$AL$505,"○")&gt;0,1,0))</f>
        <v>0</v>
      </c>
      <c r="DK53" s="39" t="n">
        <f aca="false">IF(DK$4=0,0,IF(COUNTIFS(実績!$W$6:$W$505,DK$3,実績!$AI$6:$AI$505,"&lt;="&amp;$A53,実績!$AJ$6:$AJ$505,"&gt;"&amp;$A53,実績!$AL$6:$AL$505,"○")&gt;0,1,0))</f>
        <v>0</v>
      </c>
      <c r="DL53" s="39" t="n">
        <f aca="false">IF(DL$4=0,0,IF(COUNTIFS(実績!$W$6:$W$505,DL$3,実績!$AI$6:$AI$505,"&lt;="&amp;$A53,実績!$AJ$6:$AJ$505,"&gt;"&amp;$A53,実績!$AL$6:$AL$505,"○")&gt;0,1,0))</f>
        <v>0</v>
      </c>
      <c r="DM53" s="39" t="n">
        <f aca="false">IF(DM$4=0,0,IF(COUNTIFS(実績!$W$6:$W$505,DM$3,実績!$AI$6:$AI$505,"&lt;="&amp;$A53,実績!$AJ$6:$AJ$505,"&gt;"&amp;$A53,実績!$AL$6:$AL$505,"○")&gt;0,1,0))</f>
        <v>0</v>
      </c>
      <c r="DN53" s="39" t="n">
        <f aca="false">IF(DN$4=0,0,IF(COUNTIFS(実績!$W$6:$W$505,DN$3,実績!$AI$6:$AI$505,"&lt;="&amp;$A53,実績!$AJ$6:$AJ$505,"&gt;"&amp;$A53,実績!$AL$6:$AL$505,"○")&gt;0,1,0))</f>
        <v>0</v>
      </c>
      <c r="DO53" s="39" t="n">
        <f aca="false">IF(DO$4=0,0,IF(COUNTIFS(実績!$W$6:$W$505,DO$3,実績!$AI$6:$AI$505,"&lt;="&amp;$A53,実績!$AJ$6:$AJ$505,"&gt;"&amp;$A53,実績!$AL$6:$AL$505,"○")&gt;0,1,0))</f>
        <v>0</v>
      </c>
      <c r="DP53" s="39" t="n">
        <f aca="false">IF(DP$4=0,0,IF(COUNTIFS(実績!$W$6:$W$505,DP$3,実績!$AI$6:$AI$505,"&lt;="&amp;$A53,実績!$AJ$6:$AJ$505,"&gt;"&amp;$A53,実績!$AL$6:$AL$505,"○")&gt;0,1,0))</f>
        <v>0</v>
      </c>
      <c r="DQ53" s="39" t="n">
        <f aca="false">IF(DQ$4=0,0,IF(COUNTIFS(実績!$W$6:$W$505,DQ$3,実績!$AI$6:$AI$505,"&lt;="&amp;$A53,実績!$AJ$6:$AJ$505,"&gt;"&amp;$A53,実績!$AL$6:$AL$505,"○")&gt;0,1,0))</f>
        <v>0</v>
      </c>
      <c r="DR53" s="39" t="n">
        <f aca="false">IF(DR$4=0,0,IF(COUNTIFS(実績!$W$6:$W$505,DR$3,実績!$AI$6:$AI$505,"&lt;="&amp;$A53,実績!$AJ$6:$AJ$505,"&gt;"&amp;$A53,実績!$AL$6:$AL$505,"○")&gt;0,1,0))</f>
        <v>0</v>
      </c>
      <c r="DS53" s="39" t="n">
        <f aca="false">SUM(C53:DR53)</f>
        <v>0</v>
      </c>
    </row>
    <row r="54" customFormat="false" ht="15" hidden="false" customHeight="false" outlineLevel="0" collapsed="false">
      <c r="A54" s="0" t="n">
        <v>240</v>
      </c>
      <c r="B54" s="38" t="n">
        <f aca="false">A54/1440</f>
        <v>0.166666666666667</v>
      </c>
      <c r="C54" s="39" t="n">
        <f aca="false">IF(C$4=0,0,IF(COUNTIFS(実績!$W$6:$W$505,C$3,実績!$AI$6:$AI$505,"&lt;="&amp;$A54,実績!$AJ$6:$AJ$505,"&gt;"&amp;$A54,実績!$AL$6:$AL$505,"○")&gt;0,1,0))</f>
        <v>0</v>
      </c>
      <c r="D54" s="39" t="n">
        <f aca="false">IF(D$4=0,0,IF(COUNTIFS(実績!$W$6:$W$505,D$3,実績!$AI$6:$AI$505,"&lt;="&amp;$A54,実績!$AJ$6:$AJ$505,"&gt;"&amp;$A54,実績!$AL$6:$AL$505,"○")&gt;0,1,0))</f>
        <v>0</v>
      </c>
      <c r="E54" s="39" t="n">
        <f aca="false">IF(E$4=0,0,IF(COUNTIFS(実績!$W$6:$W$505,E$3,実績!$AI$6:$AI$505,"&lt;="&amp;$A54,実績!$AJ$6:$AJ$505,"&gt;"&amp;$A54,実績!$AL$6:$AL$505,"○")&gt;0,1,0))</f>
        <v>0</v>
      </c>
      <c r="F54" s="39" t="n">
        <f aca="false">IF(F$4=0,0,IF(COUNTIFS(実績!$W$6:$W$505,F$3,実績!$AI$6:$AI$505,"&lt;="&amp;$A54,実績!$AJ$6:$AJ$505,"&gt;"&amp;$A54,実績!$AL$6:$AL$505,"○")&gt;0,1,0))</f>
        <v>0</v>
      </c>
      <c r="G54" s="39" t="n">
        <f aca="false">IF(G$4=0,0,IF(COUNTIFS(実績!$W$6:$W$505,G$3,実績!$AI$6:$AI$505,"&lt;="&amp;$A54,実績!$AJ$6:$AJ$505,"&gt;"&amp;$A54,実績!$AL$6:$AL$505,"○")&gt;0,1,0))</f>
        <v>0</v>
      </c>
      <c r="H54" s="39" t="n">
        <f aca="false">IF(H$4=0,0,IF(COUNTIFS(実績!$W$6:$W$505,H$3,実績!$AI$6:$AI$505,"&lt;="&amp;$A54,実績!$AJ$6:$AJ$505,"&gt;"&amp;$A54,実績!$AL$6:$AL$505,"○")&gt;0,1,0))</f>
        <v>0</v>
      </c>
      <c r="I54" s="39" t="n">
        <f aca="false">IF(I$4=0,0,IF(COUNTIFS(実績!$W$6:$W$505,I$3,実績!$AI$6:$AI$505,"&lt;="&amp;$A54,実績!$AJ$6:$AJ$505,"&gt;"&amp;$A54,実績!$AL$6:$AL$505,"○")&gt;0,1,0))</f>
        <v>0</v>
      </c>
      <c r="J54" s="39" t="n">
        <f aca="false">IF(J$4=0,0,IF(COUNTIFS(実績!$W$6:$W$505,J$3,実績!$AI$6:$AI$505,"&lt;="&amp;$A54,実績!$AJ$6:$AJ$505,"&gt;"&amp;$A54,実績!$AL$6:$AL$505,"○")&gt;0,1,0))</f>
        <v>0</v>
      </c>
      <c r="K54" s="39" t="n">
        <f aca="false">IF(K$4=0,0,IF(COUNTIFS(実績!$W$6:$W$505,K$3,実績!$AI$6:$AI$505,"&lt;="&amp;$A54,実績!$AJ$6:$AJ$505,"&gt;"&amp;$A54,実績!$AL$6:$AL$505,"○")&gt;0,1,0))</f>
        <v>0</v>
      </c>
      <c r="L54" s="39" t="n">
        <f aca="false">IF(L$4=0,0,IF(COUNTIFS(実績!$W$6:$W$505,L$3,実績!$AI$6:$AI$505,"&lt;="&amp;$A54,実績!$AJ$6:$AJ$505,"&gt;"&amp;$A54,実績!$AL$6:$AL$505,"○")&gt;0,1,0))</f>
        <v>0</v>
      </c>
      <c r="M54" s="39" t="n">
        <f aca="false">IF(M$4=0,0,IF(COUNTIFS(実績!$W$6:$W$505,M$3,実績!$AI$6:$AI$505,"&lt;="&amp;$A54,実績!$AJ$6:$AJ$505,"&gt;"&amp;$A54,実績!$AL$6:$AL$505,"○")&gt;0,1,0))</f>
        <v>0</v>
      </c>
      <c r="N54" s="39" t="n">
        <f aca="false">IF(N$4=0,0,IF(COUNTIFS(実績!$W$6:$W$505,N$3,実績!$AI$6:$AI$505,"&lt;="&amp;$A54,実績!$AJ$6:$AJ$505,"&gt;"&amp;$A54,実績!$AL$6:$AL$505,"○")&gt;0,1,0))</f>
        <v>0</v>
      </c>
      <c r="O54" s="39" t="n">
        <f aca="false">IF(O$4=0,0,IF(COUNTIFS(実績!$W$6:$W$505,O$3,実績!$AI$6:$AI$505,"&lt;="&amp;$A54,実績!$AJ$6:$AJ$505,"&gt;"&amp;$A54,実績!$AL$6:$AL$505,"○")&gt;0,1,0))</f>
        <v>0</v>
      </c>
      <c r="P54" s="39" t="n">
        <f aca="false">IF(P$4=0,0,IF(COUNTIFS(実績!$W$6:$W$505,P$3,実績!$AI$6:$AI$505,"&lt;="&amp;$A54,実績!$AJ$6:$AJ$505,"&gt;"&amp;$A54,実績!$AL$6:$AL$505,"○")&gt;0,1,0))</f>
        <v>0</v>
      </c>
      <c r="Q54" s="39" t="n">
        <f aca="false">IF(Q$4=0,0,IF(COUNTIFS(実績!$W$6:$W$505,Q$3,実績!$AI$6:$AI$505,"&lt;="&amp;$A54,実績!$AJ$6:$AJ$505,"&gt;"&amp;$A54,実績!$AL$6:$AL$505,"○")&gt;0,1,0))</f>
        <v>0</v>
      </c>
      <c r="R54" s="39" t="n">
        <f aca="false">IF(R$4=0,0,IF(COUNTIFS(実績!$W$6:$W$505,R$3,実績!$AI$6:$AI$505,"&lt;="&amp;$A54,実績!$AJ$6:$AJ$505,"&gt;"&amp;$A54,実績!$AL$6:$AL$505,"○")&gt;0,1,0))</f>
        <v>0</v>
      </c>
      <c r="S54" s="39" t="n">
        <f aca="false">IF(S$4=0,0,IF(COUNTIFS(実績!$W$6:$W$505,S$3,実績!$AI$6:$AI$505,"&lt;="&amp;$A54,実績!$AJ$6:$AJ$505,"&gt;"&amp;$A54,実績!$AL$6:$AL$505,"○")&gt;0,1,0))</f>
        <v>0</v>
      </c>
      <c r="T54" s="39" t="n">
        <f aca="false">IF(T$4=0,0,IF(COUNTIFS(実績!$W$6:$W$505,T$3,実績!$AI$6:$AI$505,"&lt;="&amp;$A54,実績!$AJ$6:$AJ$505,"&gt;"&amp;$A54,実績!$AL$6:$AL$505,"○")&gt;0,1,0))</f>
        <v>0</v>
      </c>
      <c r="U54" s="39" t="n">
        <f aca="false">IF(U$4=0,0,IF(COUNTIFS(実績!$W$6:$W$505,U$3,実績!$AI$6:$AI$505,"&lt;="&amp;$A54,実績!$AJ$6:$AJ$505,"&gt;"&amp;$A54,実績!$AL$6:$AL$505,"○")&gt;0,1,0))</f>
        <v>0</v>
      </c>
      <c r="V54" s="39" t="n">
        <f aca="false">IF(V$4=0,0,IF(COUNTIFS(実績!$W$6:$W$505,V$3,実績!$AI$6:$AI$505,"&lt;="&amp;$A54,実績!$AJ$6:$AJ$505,"&gt;"&amp;$A54,実績!$AL$6:$AL$505,"○")&gt;0,1,0))</f>
        <v>0</v>
      </c>
      <c r="W54" s="39" t="n">
        <f aca="false">IF(W$4=0,0,IF(COUNTIFS(実績!$W$6:$W$505,W$3,実績!$AI$6:$AI$505,"&lt;="&amp;$A54,実績!$AJ$6:$AJ$505,"&gt;"&amp;$A54,実績!$AL$6:$AL$505,"○")&gt;0,1,0))</f>
        <v>0</v>
      </c>
      <c r="X54" s="39" t="n">
        <f aca="false">IF(X$4=0,0,IF(COUNTIFS(実績!$W$6:$W$505,X$3,実績!$AI$6:$AI$505,"&lt;="&amp;$A54,実績!$AJ$6:$AJ$505,"&gt;"&amp;$A54,実績!$AL$6:$AL$505,"○")&gt;0,1,0))</f>
        <v>0</v>
      </c>
      <c r="Y54" s="39" t="n">
        <f aca="false">IF(Y$4=0,0,IF(COUNTIFS(実績!$W$6:$W$505,Y$3,実績!$AI$6:$AI$505,"&lt;="&amp;$A54,実績!$AJ$6:$AJ$505,"&gt;"&amp;$A54,実績!$AL$6:$AL$505,"○")&gt;0,1,0))</f>
        <v>0</v>
      </c>
      <c r="Z54" s="39" t="n">
        <f aca="false">IF(Z$4=0,0,IF(COUNTIFS(実績!$W$6:$W$505,Z$3,実績!$AI$6:$AI$505,"&lt;="&amp;$A54,実績!$AJ$6:$AJ$505,"&gt;"&amp;$A54,実績!$AL$6:$AL$505,"○")&gt;0,1,0))</f>
        <v>0</v>
      </c>
      <c r="AA54" s="39" t="n">
        <f aca="false">IF(AA$4=0,0,IF(COUNTIFS(実績!$W$6:$W$505,AA$3,実績!$AI$6:$AI$505,"&lt;="&amp;$A54,実績!$AJ$6:$AJ$505,"&gt;"&amp;$A54,実績!$AL$6:$AL$505,"○")&gt;0,1,0))</f>
        <v>0</v>
      </c>
      <c r="AB54" s="39" t="n">
        <f aca="false">IF(AB$4=0,0,IF(COUNTIFS(実績!$W$6:$W$505,AB$3,実績!$AI$6:$AI$505,"&lt;="&amp;$A54,実績!$AJ$6:$AJ$505,"&gt;"&amp;$A54,実績!$AL$6:$AL$505,"○")&gt;0,1,0))</f>
        <v>0</v>
      </c>
      <c r="AC54" s="39" t="n">
        <f aca="false">IF(AC$4=0,0,IF(COUNTIFS(実績!$W$6:$W$505,AC$3,実績!$AI$6:$AI$505,"&lt;="&amp;$A54,実績!$AJ$6:$AJ$505,"&gt;"&amp;$A54,実績!$AL$6:$AL$505,"○")&gt;0,1,0))</f>
        <v>0</v>
      </c>
      <c r="AD54" s="39" t="n">
        <f aca="false">IF(AD$4=0,0,IF(COUNTIFS(実績!$W$6:$W$505,AD$3,実績!$AI$6:$AI$505,"&lt;="&amp;$A54,実績!$AJ$6:$AJ$505,"&gt;"&amp;$A54,実績!$AL$6:$AL$505,"○")&gt;0,1,0))</f>
        <v>0</v>
      </c>
      <c r="AE54" s="39" t="n">
        <f aca="false">IF(AE$4=0,0,IF(COUNTIFS(実績!$W$6:$W$505,AE$3,実績!$AI$6:$AI$505,"&lt;="&amp;$A54,実績!$AJ$6:$AJ$505,"&gt;"&amp;$A54,実績!$AL$6:$AL$505,"○")&gt;0,1,0))</f>
        <v>0</v>
      </c>
      <c r="AF54" s="39" t="n">
        <f aca="false">IF(AF$4=0,0,IF(COUNTIFS(実績!$W$6:$W$505,AF$3,実績!$AI$6:$AI$505,"&lt;="&amp;$A54,実績!$AJ$6:$AJ$505,"&gt;"&amp;$A54,実績!$AL$6:$AL$505,"○")&gt;0,1,0))</f>
        <v>0</v>
      </c>
      <c r="AG54" s="39" t="n">
        <f aca="false">IF(AG$4=0,0,IF(COUNTIFS(実績!$W$6:$W$505,AG$3,実績!$AI$6:$AI$505,"&lt;="&amp;$A54,実績!$AJ$6:$AJ$505,"&gt;"&amp;$A54,実績!$AL$6:$AL$505,"○")&gt;0,1,0))</f>
        <v>0</v>
      </c>
      <c r="AH54" s="39" t="n">
        <f aca="false">IF(AH$4=0,0,IF(COUNTIFS(実績!$W$6:$W$505,AH$3,実績!$AI$6:$AI$505,"&lt;="&amp;$A54,実績!$AJ$6:$AJ$505,"&gt;"&amp;$A54,実績!$AL$6:$AL$505,"○")&gt;0,1,0))</f>
        <v>0</v>
      </c>
      <c r="AI54" s="39" t="n">
        <f aca="false">IF(AI$4=0,0,IF(COUNTIFS(実績!$W$6:$W$505,AI$3,実績!$AI$6:$AI$505,"&lt;="&amp;$A54,実績!$AJ$6:$AJ$505,"&gt;"&amp;$A54,実績!$AL$6:$AL$505,"○")&gt;0,1,0))</f>
        <v>0</v>
      </c>
      <c r="AJ54" s="39" t="n">
        <f aca="false">IF(AJ$4=0,0,IF(COUNTIFS(実績!$W$6:$W$505,AJ$3,実績!$AI$6:$AI$505,"&lt;="&amp;$A54,実績!$AJ$6:$AJ$505,"&gt;"&amp;$A54,実績!$AL$6:$AL$505,"○")&gt;0,1,0))</f>
        <v>0</v>
      </c>
      <c r="AK54" s="39" t="n">
        <f aca="false">IF(AK$4=0,0,IF(COUNTIFS(実績!$W$6:$W$505,AK$3,実績!$AI$6:$AI$505,"&lt;="&amp;$A54,実績!$AJ$6:$AJ$505,"&gt;"&amp;$A54,実績!$AL$6:$AL$505,"○")&gt;0,1,0))</f>
        <v>0</v>
      </c>
      <c r="AL54" s="39" t="n">
        <f aca="false">IF(AL$4=0,0,IF(COUNTIFS(実績!$W$6:$W$505,AL$3,実績!$AI$6:$AI$505,"&lt;="&amp;$A54,実績!$AJ$6:$AJ$505,"&gt;"&amp;$A54,実績!$AL$6:$AL$505,"○")&gt;0,1,0))</f>
        <v>0</v>
      </c>
      <c r="AM54" s="39" t="n">
        <f aca="false">IF(AM$4=0,0,IF(COUNTIFS(実績!$W$6:$W$505,AM$3,実績!$AI$6:$AI$505,"&lt;="&amp;$A54,実績!$AJ$6:$AJ$505,"&gt;"&amp;$A54,実績!$AL$6:$AL$505,"○")&gt;0,1,0))</f>
        <v>0</v>
      </c>
      <c r="AN54" s="39" t="n">
        <f aca="false">IF(AN$4=0,0,IF(COUNTIFS(実績!$W$6:$W$505,AN$3,実績!$AI$6:$AI$505,"&lt;="&amp;$A54,実績!$AJ$6:$AJ$505,"&gt;"&amp;$A54,実績!$AL$6:$AL$505,"○")&gt;0,1,0))</f>
        <v>0</v>
      </c>
      <c r="AO54" s="39" t="n">
        <f aca="false">IF(AO$4=0,0,IF(COUNTIFS(実績!$W$6:$W$505,AO$3,実績!$AI$6:$AI$505,"&lt;="&amp;$A54,実績!$AJ$6:$AJ$505,"&gt;"&amp;$A54,実績!$AL$6:$AL$505,"○")&gt;0,1,0))</f>
        <v>0</v>
      </c>
      <c r="AP54" s="39" t="n">
        <f aca="false">IF(AP$4=0,0,IF(COUNTIFS(実績!$W$6:$W$505,AP$3,実績!$AI$6:$AI$505,"&lt;="&amp;$A54,実績!$AJ$6:$AJ$505,"&gt;"&amp;$A54,実績!$AL$6:$AL$505,"○")&gt;0,1,0))</f>
        <v>0</v>
      </c>
      <c r="AQ54" s="39" t="n">
        <f aca="false">IF(AQ$4=0,0,IF(COUNTIFS(実績!$W$6:$W$505,AQ$3,実績!$AI$6:$AI$505,"&lt;="&amp;$A54,実績!$AJ$6:$AJ$505,"&gt;"&amp;$A54,実績!$AL$6:$AL$505,"○")&gt;0,1,0))</f>
        <v>0</v>
      </c>
      <c r="AR54" s="39" t="n">
        <f aca="false">IF(AR$4=0,0,IF(COUNTIFS(実績!$W$6:$W$505,AR$3,実績!$AI$6:$AI$505,"&lt;="&amp;$A54,実績!$AJ$6:$AJ$505,"&gt;"&amp;$A54,実績!$AL$6:$AL$505,"○")&gt;0,1,0))</f>
        <v>0</v>
      </c>
      <c r="AS54" s="39" t="n">
        <f aca="false">IF(AS$4=0,0,IF(COUNTIFS(実績!$W$6:$W$505,AS$3,実績!$AI$6:$AI$505,"&lt;="&amp;$A54,実績!$AJ$6:$AJ$505,"&gt;"&amp;$A54,実績!$AL$6:$AL$505,"○")&gt;0,1,0))</f>
        <v>0</v>
      </c>
      <c r="AT54" s="39" t="n">
        <f aca="false">IF(AT$4=0,0,IF(COUNTIFS(実績!$W$6:$W$505,AT$3,実績!$AI$6:$AI$505,"&lt;="&amp;$A54,実績!$AJ$6:$AJ$505,"&gt;"&amp;$A54,実績!$AL$6:$AL$505,"○")&gt;0,1,0))</f>
        <v>0</v>
      </c>
      <c r="AU54" s="39" t="n">
        <f aca="false">IF(AU$4=0,0,IF(COUNTIFS(実績!$W$6:$W$505,AU$3,実績!$AI$6:$AI$505,"&lt;="&amp;$A54,実績!$AJ$6:$AJ$505,"&gt;"&amp;$A54,実績!$AL$6:$AL$505,"○")&gt;0,1,0))</f>
        <v>0</v>
      </c>
      <c r="AV54" s="39" t="n">
        <f aca="false">IF(AV$4=0,0,IF(COUNTIFS(実績!$W$6:$W$505,AV$3,実績!$AI$6:$AI$505,"&lt;="&amp;$A54,実績!$AJ$6:$AJ$505,"&gt;"&amp;$A54,実績!$AL$6:$AL$505,"○")&gt;0,1,0))</f>
        <v>0</v>
      </c>
      <c r="AW54" s="39" t="n">
        <f aca="false">IF(AW$4=0,0,IF(COUNTIFS(実績!$W$6:$W$505,AW$3,実績!$AI$6:$AI$505,"&lt;="&amp;$A54,実績!$AJ$6:$AJ$505,"&gt;"&amp;$A54,実績!$AL$6:$AL$505,"○")&gt;0,1,0))</f>
        <v>0</v>
      </c>
      <c r="AX54" s="39" t="n">
        <f aca="false">IF(AX$4=0,0,IF(COUNTIFS(実績!$W$6:$W$505,AX$3,実績!$AI$6:$AI$505,"&lt;="&amp;$A54,実績!$AJ$6:$AJ$505,"&gt;"&amp;$A54,実績!$AL$6:$AL$505,"○")&gt;0,1,0))</f>
        <v>0</v>
      </c>
      <c r="AY54" s="39" t="n">
        <f aca="false">IF(AY$4=0,0,IF(COUNTIFS(実績!$W$6:$W$505,AY$3,実績!$AI$6:$AI$505,"&lt;="&amp;$A54,実績!$AJ$6:$AJ$505,"&gt;"&amp;$A54,実績!$AL$6:$AL$505,"○")&gt;0,1,0))</f>
        <v>0</v>
      </c>
      <c r="AZ54" s="39" t="n">
        <f aca="false">IF(AZ$4=0,0,IF(COUNTIFS(実績!$W$6:$W$505,AZ$3,実績!$AI$6:$AI$505,"&lt;="&amp;$A54,実績!$AJ$6:$AJ$505,"&gt;"&amp;$A54,実績!$AL$6:$AL$505,"○")&gt;0,1,0))</f>
        <v>0</v>
      </c>
      <c r="BA54" s="39" t="n">
        <f aca="false">IF(BA$4=0,0,IF(COUNTIFS(実績!$W$6:$W$505,BA$3,実績!$AI$6:$AI$505,"&lt;="&amp;$A54,実績!$AJ$6:$AJ$505,"&gt;"&amp;$A54,実績!$AL$6:$AL$505,"○")&gt;0,1,0))</f>
        <v>0</v>
      </c>
      <c r="BB54" s="39" t="n">
        <f aca="false">IF(BB$4=0,0,IF(COUNTIFS(実績!$W$6:$W$505,BB$3,実績!$AI$6:$AI$505,"&lt;="&amp;$A54,実績!$AJ$6:$AJ$505,"&gt;"&amp;$A54,実績!$AL$6:$AL$505,"○")&gt;0,1,0))</f>
        <v>0</v>
      </c>
      <c r="BC54" s="39" t="n">
        <f aca="false">IF(BC$4=0,0,IF(COUNTIFS(実績!$W$6:$W$505,BC$3,実績!$AI$6:$AI$505,"&lt;="&amp;$A54,実績!$AJ$6:$AJ$505,"&gt;"&amp;$A54,実績!$AL$6:$AL$505,"○")&gt;0,1,0))</f>
        <v>0</v>
      </c>
      <c r="BD54" s="39" t="n">
        <f aca="false">IF(BD$4=0,0,IF(COUNTIFS(実績!$W$6:$W$505,BD$3,実績!$AI$6:$AI$505,"&lt;="&amp;$A54,実績!$AJ$6:$AJ$505,"&gt;"&amp;$A54,実績!$AL$6:$AL$505,"○")&gt;0,1,0))</f>
        <v>0</v>
      </c>
      <c r="BE54" s="39" t="n">
        <f aca="false">IF(BE$4=0,0,IF(COUNTIFS(実績!$W$6:$W$505,BE$3,実績!$AI$6:$AI$505,"&lt;="&amp;$A54,実績!$AJ$6:$AJ$505,"&gt;"&amp;$A54,実績!$AL$6:$AL$505,"○")&gt;0,1,0))</f>
        <v>0</v>
      </c>
      <c r="BF54" s="39" t="n">
        <f aca="false">IF(BF$4=0,0,IF(COUNTIFS(実績!$W$6:$W$505,BF$3,実績!$AI$6:$AI$505,"&lt;="&amp;$A54,実績!$AJ$6:$AJ$505,"&gt;"&amp;$A54,実績!$AL$6:$AL$505,"○")&gt;0,1,0))</f>
        <v>0</v>
      </c>
      <c r="BG54" s="39" t="n">
        <f aca="false">IF(BG$4=0,0,IF(COUNTIFS(実績!$W$6:$W$505,BG$3,実績!$AI$6:$AI$505,"&lt;="&amp;$A54,実績!$AJ$6:$AJ$505,"&gt;"&amp;$A54,実績!$AL$6:$AL$505,"○")&gt;0,1,0))</f>
        <v>0</v>
      </c>
      <c r="BH54" s="39" t="n">
        <f aca="false">IF(BH$4=0,0,IF(COUNTIFS(実績!$W$6:$W$505,BH$3,実績!$AI$6:$AI$505,"&lt;="&amp;$A54,実績!$AJ$6:$AJ$505,"&gt;"&amp;$A54,実績!$AL$6:$AL$505,"○")&gt;0,1,0))</f>
        <v>0</v>
      </c>
      <c r="BI54" s="39" t="n">
        <f aca="false">IF(BI$4=0,0,IF(COUNTIFS(実績!$W$6:$W$505,BI$3,実績!$AI$6:$AI$505,"&lt;="&amp;$A54,実績!$AJ$6:$AJ$505,"&gt;"&amp;$A54,実績!$AL$6:$AL$505,"○")&gt;0,1,0))</f>
        <v>0</v>
      </c>
      <c r="BJ54" s="39" t="n">
        <f aca="false">IF(BJ$4=0,0,IF(COUNTIFS(実績!$W$6:$W$505,BJ$3,実績!$AI$6:$AI$505,"&lt;="&amp;$A54,実績!$AJ$6:$AJ$505,"&gt;"&amp;$A54,実績!$AL$6:$AL$505,"○")&gt;0,1,0))</f>
        <v>0</v>
      </c>
      <c r="BK54" s="39" t="n">
        <f aca="false">IF(BK$4=0,0,IF(COUNTIFS(実績!$W$6:$W$505,BK$3,実績!$AI$6:$AI$505,"&lt;="&amp;$A54,実績!$AJ$6:$AJ$505,"&gt;"&amp;$A54,実績!$AL$6:$AL$505,"○")&gt;0,1,0))</f>
        <v>0</v>
      </c>
      <c r="BL54" s="39" t="n">
        <f aca="false">IF(BL$4=0,0,IF(COUNTIFS(実績!$W$6:$W$505,BL$3,実績!$AI$6:$AI$505,"&lt;="&amp;$A54,実績!$AJ$6:$AJ$505,"&gt;"&amp;$A54,実績!$AL$6:$AL$505,"○")&gt;0,1,0))</f>
        <v>0</v>
      </c>
      <c r="BM54" s="39" t="n">
        <f aca="false">IF(BM$4=0,0,IF(COUNTIFS(実績!$W$6:$W$505,BM$3,実績!$AI$6:$AI$505,"&lt;="&amp;$A54,実績!$AJ$6:$AJ$505,"&gt;"&amp;$A54,実績!$AL$6:$AL$505,"○")&gt;0,1,0))</f>
        <v>0</v>
      </c>
      <c r="BN54" s="39" t="n">
        <f aca="false">IF(BN$4=0,0,IF(COUNTIFS(実績!$W$6:$W$505,BN$3,実績!$AI$6:$AI$505,"&lt;="&amp;$A54,実績!$AJ$6:$AJ$505,"&gt;"&amp;$A54,実績!$AL$6:$AL$505,"○")&gt;0,1,0))</f>
        <v>0</v>
      </c>
      <c r="BO54" s="39" t="n">
        <f aca="false">IF(BO$4=0,0,IF(COUNTIFS(実績!$W$6:$W$505,BO$3,実績!$AI$6:$AI$505,"&lt;="&amp;$A54,実績!$AJ$6:$AJ$505,"&gt;"&amp;$A54,実績!$AL$6:$AL$505,"○")&gt;0,1,0))</f>
        <v>0</v>
      </c>
      <c r="BP54" s="39" t="n">
        <f aca="false">IF(BP$4=0,0,IF(COUNTIFS(実績!$W$6:$W$505,BP$3,実績!$AI$6:$AI$505,"&lt;="&amp;$A54,実績!$AJ$6:$AJ$505,"&gt;"&amp;$A54,実績!$AL$6:$AL$505,"○")&gt;0,1,0))</f>
        <v>0</v>
      </c>
      <c r="BQ54" s="39" t="n">
        <f aca="false">IF(BQ$4=0,0,IF(COUNTIFS(実績!$W$6:$W$505,BQ$3,実績!$AI$6:$AI$505,"&lt;="&amp;$A54,実績!$AJ$6:$AJ$505,"&gt;"&amp;$A54,実績!$AL$6:$AL$505,"○")&gt;0,1,0))</f>
        <v>0</v>
      </c>
      <c r="BR54" s="39" t="n">
        <f aca="false">IF(BR$4=0,0,IF(COUNTIFS(実績!$W$6:$W$505,BR$3,実績!$AI$6:$AI$505,"&lt;="&amp;$A54,実績!$AJ$6:$AJ$505,"&gt;"&amp;$A54,実績!$AL$6:$AL$505,"○")&gt;0,1,0))</f>
        <v>0</v>
      </c>
      <c r="BS54" s="39" t="n">
        <f aca="false">IF(BS$4=0,0,IF(COUNTIFS(実績!$W$6:$W$505,BS$3,実績!$AI$6:$AI$505,"&lt;="&amp;$A54,実績!$AJ$6:$AJ$505,"&gt;"&amp;$A54,実績!$AL$6:$AL$505,"○")&gt;0,1,0))</f>
        <v>0</v>
      </c>
      <c r="BT54" s="39" t="n">
        <f aca="false">IF(BT$4=0,0,IF(COUNTIFS(実績!$W$6:$W$505,BT$3,実績!$AI$6:$AI$505,"&lt;="&amp;$A54,実績!$AJ$6:$AJ$505,"&gt;"&amp;$A54,実績!$AL$6:$AL$505,"○")&gt;0,1,0))</f>
        <v>0</v>
      </c>
      <c r="BU54" s="39" t="n">
        <f aca="false">IF(BU$4=0,0,IF(COUNTIFS(実績!$W$6:$W$505,BU$3,実績!$AI$6:$AI$505,"&lt;="&amp;$A54,実績!$AJ$6:$AJ$505,"&gt;"&amp;$A54,実績!$AL$6:$AL$505,"○")&gt;0,1,0))</f>
        <v>0</v>
      </c>
      <c r="BV54" s="39" t="n">
        <f aca="false">IF(BV$4=0,0,IF(COUNTIFS(実績!$W$6:$W$505,BV$3,実績!$AI$6:$AI$505,"&lt;="&amp;$A54,実績!$AJ$6:$AJ$505,"&gt;"&amp;$A54,実績!$AL$6:$AL$505,"○")&gt;0,1,0))</f>
        <v>0</v>
      </c>
      <c r="BW54" s="39" t="n">
        <f aca="false">IF(BW$4=0,0,IF(COUNTIFS(実績!$W$6:$W$505,BW$3,実績!$AI$6:$AI$505,"&lt;="&amp;$A54,実績!$AJ$6:$AJ$505,"&gt;"&amp;$A54,実績!$AL$6:$AL$505,"○")&gt;0,1,0))</f>
        <v>0</v>
      </c>
      <c r="BX54" s="39" t="n">
        <f aca="false">IF(BX$4=0,0,IF(COUNTIFS(実績!$W$6:$W$505,BX$3,実績!$AI$6:$AI$505,"&lt;="&amp;$A54,実績!$AJ$6:$AJ$505,"&gt;"&amp;$A54,実績!$AL$6:$AL$505,"○")&gt;0,1,0))</f>
        <v>0</v>
      </c>
      <c r="BY54" s="39" t="n">
        <f aca="false">IF(BY$4=0,0,IF(COUNTIFS(実績!$W$6:$W$505,BY$3,実績!$AI$6:$AI$505,"&lt;="&amp;$A54,実績!$AJ$6:$AJ$505,"&gt;"&amp;$A54,実績!$AL$6:$AL$505,"○")&gt;0,1,0))</f>
        <v>0</v>
      </c>
      <c r="BZ54" s="39" t="n">
        <f aca="false">IF(BZ$4=0,0,IF(COUNTIFS(実績!$W$6:$W$505,BZ$3,実績!$AI$6:$AI$505,"&lt;="&amp;$A54,実績!$AJ$6:$AJ$505,"&gt;"&amp;$A54,実績!$AL$6:$AL$505,"○")&gt;0,1,0))</f>
        <v>0</v>
      </c>
      <c r="CA54" s="39" t="n">
        <f aca="false">IF(CA$4=0,0,IF(COUNTIFS(実績!$W$6:$W$505,CA$3,実績!$AI$6:$AI$505,"&lt;="&amp;$A54,実績!$AJ$6:$AJ$505,"&gt;"&amp;$A54,実績!$AL$6:$AL$505,"○")&gt;0,1,0))</f>
        <v>0</v>
      </c>
      <c r="CB54" s="39" t="n">
        <f aca="false">IF(CB$4=0,0,IF(COUNTIFS(実績!$W$6:$W$505,CB$3,実績!$AI$6:$AI$505,"&lt;="&amp;$A54,実績!$AJ$6:$AJ$505,"&gt;"&amp;$A54,実績!$AL$6:$AL$505,"○")&gt;0,1,0))</f>
        <v>0</v>
      </c>
      <c r="CC54" s="39" t="n">
        <f aca="false">IF(CC$4=0,0,IF(COUNTIFS(実績!$W$6:$W$505,CC$3,実績!$AI$6:$AI$505,"&lt;="&amp;$A54,実績!$AJ$6:$AJ$505,"&gt;"&amp;$A54,実績!$AL$6:$AL$505,"○")&gt;0,1,0))</f>
        <v>0</v>
      </c>
      <c r="CD54" s="39" t="n">
        <f aca="false">IF(CD$4=0,0,IF(COUNTIFS(実績!$W$6:$W$505,CD$3,実績!$AI$6:$AI$505,"&lt;="&amp;$A54,実績!$AJ$6:$AJ$505,"&gt;"&amp;$A54,実績!$AL$6:$AL$505,"○")&gt;0,1,0))</f>
        <v>0</v>
      </c>
      <c r="CE54" s="39" t="n">
        <f aca="false">IF(CE$4=0,0,IF(COUNTIFS(実績!$W$6:$W$505,CE$3,実績!$AI$6:$AI$505,"&lt;="&amp;$A54,実績!$AJ$6:$AJ$505,"&gt;"&amp;$A54,実績!$AL$6:$AL$505,"○")&gt;0,1,0))</f>
        <v>0</v>
      </c>
      <c r="CF54" s="39" t="n">
        <f aca="false">IF(CF$4=0,0,IF(COUNTIFS(実績!$W$6:$W$505,CF$3,実績!$AI$6:$AI$505,"&lt;="&amp;$A54,実績!$AJ$6:$AJ$505,"&gt;"&amp;$A54,実績!$AL$6:$AL$505,"○")&gt;0,1,0))</f>
        <v>0</v>
      </c>
      <c r="CG54" s="39" t="n">
        <f aca="false">IF(CG$4=0,0,IF(COUNTIFS(実績!$W$6:$W$505,CG$3,実績!$AI$6:$AI$505,"&lt;="&amp;$A54,実績!$AJ$6:$AJ$505,"&gt;"&amp;$A54,実績!$AL$6:$AL$505,"○")&gt;0,1,0))</f>
        <v>0</v>
      </c>
      <c r="CH54" s="39" t="n">
        <f aca="false">IF(CH$4=0,0,IF(COUNTIFS(実績!$W$6:$W$505,CH$3,実績!$AI$6:$AI$505,"&lt;="&amp;$A54,実績!$AJ$6:$AJ$505,"&gt;"&amp;$A54,実績!$AL$6:$AL$505,"○")&gt;0,1,0))</f>
        <v>0</v>
      </c>
      <c r="CI54" s="39" t="n">
        <f aca="false">IF(CI$4=0,0,IF(COUNTIFS(実績!$W$6:$W$505,CI$3,実績!$AI$6:$AI$505,"&lt;="&amp;$A54,実績!$AJ$6:$AJ$505,"&gt;"&amp;$A54,実績!$AL$6:$AL$505,"○")&gt;0,1,0))</f>
        <v>0</v>
      </c>
      <c r="CJ54" s="39" t="n">
        <f aca="false">IF(CJ$4=0,0,IF(COUNTIFS(実績!$W$6:$W$505,CJ$3,実績!$AI$6:$AI$505,"&lt;="&amp;$A54,実績!$AJ$6:$AJ$505,"&gt;"&amp;$A54,実績!$AL$6:$AL$505,"○")&gt;0,1,0))</f>
        <v>0</v>
      </c>
      <c r="CK54" s="39" t="n">
        <f aca="false">IF(CK$4=0,0,IF(COUNTIFS(実績!$W$6:$W$505,CK$3,実績!$AI$6:$AI$505,"&lt;="&amp;$A54,実績!$AJ$6:$AJ$505,"&gt;"&amp;$A54,実績!$AL$6:$AL$505,"○")&gt;0,1,0))</f>
        <v>0</v>
      </c>
      <c r="CL54" s="39" t="n">
        <f aca="false">IF(CL$4=0,0,IF(COUNTIFS(実績!$W$6:$W$505,CL$3,実績!$AI$6:$AI$505,"&lt;="&amp;$A54,実績!$AJ$6:$AJ$505,"&gt;"&amp;$A54,実績!$AL$6:$AL$505,"○")&gt;0,1,0))</f>
        <v>0</v>
      </c>
      <c r="CM54" s="39" t="n">
        <f aca="false">IF(CM$4=0,0,IF(COUNTIFS(実績!$W$6:$W$505,CM$3,実績!$AI$6:$AI$505,"&lt;="&amp;$A54,実績!$AJ$6:$AJ$505,"&gt;"&amp;$A54,実績!$AL$6:$AL$505,"○")&gt;0,1,0))</f>
        <v>0</v>
      </c>
      <c r="CN54" s="39" t="n">
        <f aca="false">IF(CN$4=0,0,IF(COUNTIFS(実績!$W$6:$W$505,CN$3,実績!$AI$6:$AI$505,"&lt;="&amp;$A54,実績!$AJ$6:$AJ$505,"&gt;"&amp;$A54,実績!$AL$6:$AL$505,"○")&gt;0,1,0))</f>
        <v>0</v>
      </c>
      <c r="CO54" s="39" t="n">
        <f aca="false">IF(CO$4=0,0,IF(COUNTIFS(実績!$W$6:$W$505,CO$3,実績!$AI$6:$AI$505,"&lt;="&amp;$A54,実績!$AJ$6:$AJ$505,"&gt;"&amp;$A54,実績!$AL$6:$AL$505,"○")&gt;0,1,0))</f>
        <v>0</v>
      </c>
      <c r="CP54" s="39" t="n">
        <f aca="false">IF(CP$4=0,0,IF(COUNTIFS(実績!$W$6:$W$505,CP$3,実績!$AI$6:$AI$505,"&lt;="&amp;$A54,実績!$AJ$6:$AJ$505,"&gt;"&amp;$A54,実績!$AL$6:$AL$505,"○")&gt;0,1,0))</f>
        <v>0</v>
      </c>
      <c r="CQ54" s="39" t="n">
        <f aca="false">IF(CQ$4=0,0,IF(COUNTIFS(実績!$W$6:$W$505,CQ$3,実績!$AI$6:$AI$505,"&lt;="&amp;$A54,実績!$AJ$6:$AJ$505,"&gt;"&amp;$A54,実績!$AL$6:$AL$505,"○")&gt;0,1,0))</f>
        <v>0</v>
      </c>
      <c r="CR54" s="39" t="n">
        <f aca="false">IF(CR$4=0,0,IF(COUNTIFS(実績!$W$6:$W$505,CR$3,実績!$AI$6:$AI$505,"&lt;="&amp;$A54,実績!$AJ$6:$AJ$505,"&gt;"&amp;$A54,実績!$AL$6:$AL$505,"○")&gt;0,1,0))</f>
        <v>0</v>
      </c>
      <c r="CS54" s="39" t="n">
        <f aca="false">IF(CS$4=0,0,IF(COUNTIFS(実績!$W$6:$W$505,CS$3,実績!$AI$6:$AI$505,"&lt;="&amp;$A54,実績!$AJ$6:$AJ$505,"&gt;"&amp;$A54,実績!$AL$6:$AL$505,"○")&gt;0,1,0))</f>
        <v>0</v>
      </c>
      <c r="CT54" s="39" t="n">
        <f aca="false">IF(CT$4=0,0,IF(COUNTIFS(実績!$W$6:$W$505,CT$3,実績!$AI$6:$AI$505,"&lt;="&amp;$A54,実績!$AJ$6:$AJ$505,"&gt;"&amp;$A54,実績!$AL$6:$AL$505,"○")&gt;0,1,0))</f>
        <v>0</v>
      </c>
      <c r="CU54" s="39" t="n">
        <f aca="false">IF(CU$4=0,0,IF(COUNTIFS(実績!$W$6:$W$505,CU$3,実績!$AI$6:$AI$505,"&lt;="&amp;$A54,実績!$AJ$6:$AJ$505,"&gt;"&amp;$A54,実績!$AL$6:$AL$505,"○")&gt;0,1,0))</f>
        <v>0</v>
      </c>
      <c r="CV54" s="39" t="n">
        <f aca="false">IF(CV$4=0,0,IF(COUNTIFS(実績!$W$6:$W$505,CV$3,実績!$AI$6:$AI$505,"&lt;="&amp;$A54,実績!$AJ$6:$AJ$505,"&gt;"&amp;$A54,実績!$AL$6:$AL$505,"○")&gt;0,1,0))</f>
        <v>0</v>
      </c>
      <c r="CW54" s="39" t="n">
        <f aca="false">IF(CW$4=0,0,IF(COUNTIFS(実績!$W$6:$W$505,CW$3,実績!$AI$6:$AI$505,"&lt;="&amp;$A54,実績!$AJ$6:$AJ$505,"&gt;"&amp;$A54,実績!$AL$6:$AL$505,"○")&gt;0,1,0))</f>
        <v>0</v>
      </c>
      <c r="CX54" s="39" t="n">
        <f aca="false">IF(CX$4=0,0,IF(COUNTIFS(実績!$W$6:$W$505,CX$3,実績!$AI$6:$AI$505,"&lt;="&amp;$A54,実績!$AJ$6:$AJ$505,"&gt;"&amp;$A54,実績!$AL$6:$AL$505,"○")&gt;0,1,0))</f>
        <v>0</v>
      </c>
      <c r="CY54" s="39" t="n">
        <f aca="false">IF(CY$4=0,0,IF(COUNTIFS(実績!$W$6:$W$505,CY$3,実績!$AI$6:$AI$505,"&lt;="&amp;$A54,実績!$AJ$6:$AJ$505,"&gt;"&amp;$A54,実績!$AL$6:$AL$505,"○")&gt;0,1,0))</f>
        <v>0</v>
      </c>
      <c r="CZ54" s="39" t="n">
        <f aca="false">IF(CZ$4=0,0,IF(COUNTIFS(実績!$W$6:$W$505,CZ$3,実績!$AI$6:$AI$505,"&lt;="&amp;$A54,実績!$AJ$6:$AJ$505,"&gt;"&amp;$A54,実績!$AL$6:$AL$505,"○")&gt;0,1,0))</f>
        <v>0</v>
      </c>
      <c r="DA54" s="39" t="n">
        <f aca="false">IF(DA$4=0,0,IF(COUNTIFS(実績!$W$6:$W$505,DA$3,実績!$AI$6:$AI$505,"&lt;="&amp;$A54,実績!$AJ$6:$AJ$505,"&gt;"&amp;$A54,実績!$AL$6:$AL$505,"○")&gt;0,1,0))</f>
        <v>0</v>
      </c>
      <c r="DB54" s="39" t="n">
        <f aca="false">IF(DB$4=0,0,IF(COUNTIFS(実績!$W$6:$W$505,DB$3,実績!$AI$6:$AI$505,"&lt;="&amp;$A54,実績!$AJ$6:$AJ$505,"&gt;"&amp;$A54,実績!$AL$6:$AL$505,"○")&gt;0,1,0))</f>
        <v>0</v>
      </c>
      <c r="DC54" s="39" t="n">
        <f aca="false">IF(DC$4=0,0,IF(COUNTIFS(実績!$W$6:$W$505,DC$3,実績!$AI$6:$AI$505,"&lt;="&amp;$A54,実績!$AJ$6:$AJ$505,"&gt;"&amp;$A54,実績!$AL$6:$AL$505,"○")&gt;0,1,0))</f>
        <v>0</v>
      </c>
      <c r="DD54" s="39" t="n">
        <f aca="false">IF(DD$4=0,0,IF(COUNTIFS(実績!$W$6:$W$505,DD$3,実績!$AI$6:$AI$505,"&lt;="&amp;$A54,実績!$AJ$6:$AJ$505,"&gt;"&amp;$A54,実績!$AL$6:$AL$505,"○")&gt;0,1,0))</f>
        <v>0</v>
      </c>
      <c r="DE54" s="39" t="n">
        <f aca="false">IF(DE$4=0,0,IF(COUNTIFS(実績!$W$6:$W$505,DE$3,実績!$AI$6:$AI$505,"&lt;="&amp;$A54,実績!$AJ$6:$AJ$505,"&gt;"&amp;$A54,実績!$AL$6:$AL$505,"○")&gt;0,1,0))</f>
        <v>0</v>
      </c>
      <c r="DF54" s="39" t="n">
        <f aca="false">IF(DF$4=0,0,IF(COUNTIFS(実績!$W$6:$W$505,DF$3,実績!$AI$6:$AI$505,"&lt;="&amp;$A54,実績!$AJ$6:$AJ$505,"&gt;"&amp;$A54,実績!$AL$6:$AL$505,"○")&gt;0,1,0))</f>
        <v>0</v>
      </c>
      <c r="DG54" s="39" t="n">
        <f aca="false">IF(DG$4=0,0,IF(COUNTIFS(実績!$W$6:$W$505,DG$3,実績!$AI$6:$AI$505,"&lt;="&amp;$A54,実績!$AJ$6:$AJ$505,"&gt;"&amp;$A54,実績!$AL$6:$AL$505,"○")&gt;0,1,0))</f>
        <v>0</v>
      </c>
      <c r="DH54" s="39" t="n">
        <f aca="false">IF(DH$4=0,0,IF(COUNTIFS(実績!$W$6:$W$505,DH$3,実績!$AI$6:$AI$505,"&lt;="&amp;$A54,実績!$AJ$6:$AJ$505,"&gt;"&amp;$A54,実績!$AL$6:$AL$505,"○")&gt;0,1,0))</f>
        <v>0</v>
      </c>
      <c r="DI54" s="39" t="n">
        <f aca="false">IF(DI$4=0,0,IF(COUNTIFS(実績!$W$6:$W$505,DI$3,実績!$AI$6:$AI$505,"&lt;="&amp;$A54,実績!$AJ$6:$AJ$505,"&gt;"&amp;$A54,実績!$AL$6:$AL$505,"○")&gt;0,1,0))</f>
        <v>0</v>
      </c>
      <c r="DJ54" s="39" t="n">
        <f aca="false">IF(DJ$4=0,0,IF(COUNTIFS(実績!$W$6:$W$505,DJ$3,実績!$AI$6:$AI$505,"&lt;="&amp;$A54,実績!$AJ$6:$AJ$505,"&gt;"&amp;$A54,実績!$AL$6:$AL$505,"○")&gt;0,1,0))</f>
        <v>0</v>
      </c>
      <c r="DK54" s="39" t="n">
        <f aca="false">IF(DK$4=0,0,IF(COUNTIFS(実績!$W$6:$W$505,DK$3,実績!$AI$6:$AI$505,"&lt;="&amp;$A54,実績!$AJ$6:$AJ$505,"&gt;"&amp;$A54,実績!$AL$6:$AL$505,"○")&gt;0,1,0))</f>
        <v>0</v>
      </c>
      <c r="DL54" s="39" t="n">
        <f aca="false">IF(DL$4=0,0,IF(COUNTIFS(実績!$W$6:$W$505,DL$3,実績!$AI$6:$AI$505,"&lt;="&amp;$A54,実績!$AJ$6:$AJ$505,"&gt;"&amp;$A54,実績!$AL$6:$AL$505,"○")&gt;0,1,0))</f>
        <v>0</v>
      </c>
      <c r="DM54" s="39" t="n">
        <f aca="false">IF(DM$4=0,0,IF(COUNTIFS(実績!$W$6:$W$505,DM$3,実績!$AI$6:$AI$505,"&lt;="&amp;$A54,実績!$AJ$6:$AJ$505,"&gt;"&amp;$A54,実績!$AL$6:$AL$505,"○")&gt;0,1,0))</f>
        <v>0</v>
      </c>
      <c r="DN54" s="39" t="n">
        <f aca="false">IF(DN$4=0,0,IF(COUNTIFS(実績!$W$6:$W$505,DN$3,実績!$AI$6:$AI$505,"&lt;="&amp;$A54,実績!$AJ$6:$AJ$505,"&gt;"&amp;$A54,実績!$AL$6:$AL$505,"○")&gt;0,1,0))</f>
        <v>0</v>
      </c>
      <c r="DO54" s="39" t="n">
        <f aca="false">IF(DO$4=0,0,IF(COUNTIFS(実績!$W$6:$W$505,DO$3,実績!$AI$6:$AI$505,"&lt;="&amp;$A54,実績!$AJ$6:$AJ$505,"&gt;"&amp;$A54,実績!$AL$6:$AL$505,"○")&gt;0,1,0))</f>
        <v>0</v>
      </c>
      <c r="DP54" s="39" t="n">
        <f aca="false">IF(DP$4=0,0,IF(COUNTIFS(実績!$W$6:$W$505,DP$3,実績!$AI$6:$AI$505,"&lt;="&amp;$A54,実績!$AJ$6:$AJ$505,"&gt;"&amp;$A54,実績!$AL$6:$AL$505,"○")&gt;0,1,0))</f>
        <v>0</v>
      </c>
      <c r="DQ54" s="39" t="n">
        <f aca="false">IF(DQ$4=0,0,IF(COUNTIFS(実績!$W$6:$W$505,DQ$3,実績!$AI$6:$AI$505,"&lt;="&amp;$A54,実績!$AJ$6:$AJ$505,"&gt;"&amp;$A54,実績!$AL$6:$AL$505,"○")&gt;0,1,0))</f>
        <v>0</v>
      </c>
      <c r="DR54" s="39" t="n">
        <f aca="false">IF(DR$4=0,0,IF(COUNTIFS(実績!$W$6:$W$505,DR$3,実績!$AI$6:$AI$505,"&lt;="&amp;$A54,実績!$AJ$6:$AJ$505,"&gt;"&amp;$A54,実績!$AL$6:$AL$505,"○")&gt;0,1,0))</f>
        <v>0</v>
      </c>
      <c r="DS54" s="39" t="n">
        <f aca="false">SUM(C54:DR54)</f>
        <v>0</v>
      </c>
    </row>
    <row r="55" customFormat="false" ht="15" hidden="false" customHeight="false" outlineLevel="0" collapsed="false">
      <c r="A55" s="0" t="n">
        <v>245</v>
      </c>
      <c r="B55" s="38" t="n">
        <f aca="false">A55/1440</f>
        <v>0.170138888888889</v>
      </c>
      <c r="C55" s="39" t="n">
        <f aca="false">IF(C$4=0,0,IF(COUNTIFS(実績!$W$6:$W$505,C$3,実績!$AI$6:$AI$505,"&lt;="&amp;$A55,実績!$AJ$6:$AJ$505,"&gt;"&amp;$A55,実績!$AL$6:$AL$505,"○")&gt;0,1,0))</f>
        <v>0</v>
      </c>
      <c r="D55" s="39" t="n">
        <f aca="false">IF(D$4=0,0,IF(COUNTIFS(実績!$W$6:$W$505,D$3,実績!$AI$6:$AI$505,"&lt;="&amp;$A55,実績!$AJ$6:$AJ$505,"&gt;"&amp;$A55,実績!$AL$6:$AL$505,"○")&gt;0,1,0))</f>
        <v>0</v>
      </c>
      <c r="E55" s="39" t="n">
        <f aca="false">IF(E$4=0,0,IF(COUNTIFS(実績!$W$6:$W$505,E$3,実績!$AI$6:$AI$505,"&lt;="&amp;$A55,実績!$AJ$6:$AJ$505,"&gt;"&amp;$A55,実績!$AL$6:$AL$505,"○")&gt;0,1,0))</f>
        <v>0</v>
      </c>
      <c r="F55" s="39" t="n">
        <f aca="false">IF(F$4=0,0,IF(COUNTIFS(実績!$W$6:$W$505,F$3,実績!$AI$6:$AI$505,"&lt;="&amp;$A55,実績!$AJ$6:$AJ$505,"&gt;"&amp;$A55,実績!$AL$6:$AL$505,"○")&gt;0,1,0))</f>
        <v>0</v>
      </c>
      <c r="G55" s="39" t="n">
        <f aca="false">IF(G$4=0,0,IF(COUNTIFS(実績!$W$6:$W$505,G$3,実績!$AI$6:$AI$505,"&lt;="&amp;$A55,実績!$AJ$6:$AJ$505,"&gt;"&amp;$A55,実績!$AL$6:$AL$505,"○")&gt;0,1,0))</f>
        <v>0</v>
      </c>
      <c r="H55" s="39" t="n">
        <f aca="false">IF(H$4=0,0,IF(COUNTIFS(実績!$W$6:$W$505,H$3,実績!$AI$6:$AI$505,"&lt;="&amp;$A55,実績!$AJ$6:$AJ$505,"&gt;"&amp;$A55,実績!$AL$6:$AL$505,"○")&gt;0,1,0))</f>
        <v>0</v>
      </c>
      <c r="I55" s="39" t="n">
        <f aca="false">IF(I$4=0,0,IF(COUNTIFS(実績!$W$6:$W$505,I$3,実績!$AI$6:$AI$505,"&lt;="&amp;$A55,実績!$AJ$6:$AJ$505,"&gt;"&amp;$A55,実績!$AL$6:$AL$505,"○")&gt;0,1,0))</f>
        <v>0</v>
      </c>
      <c r="J55" s="39" t="n">
        <f aca="false">IF(J$4=0,0,IF(COUNTIFS(実績!$W$6:$W$505,J$3,実績!$AI$6:$AI$505,"&lt;="&amp;$A55,実績!$AJ$6:$AJ$505,"&gt;"&amp;$A55,実績!$AL$6:$AL$505,"○")&gt;0,1,0))</f>
        <v>0</v>
      </c>
      <c r="K55" s="39" t="n">
        <f aca="false">IF(K$4=0,0,IF(COUNTIFS(実績!$W$6:$W$505,K$3,実績!$AI$6:$AI$505,"&lt;="&amp;$A55,実績!$AJ$6:$AJ$505,"&gt;"&amp;$A55,実績!$AL$6:$AL$505,"○")&gt;0,1,0))</f>
        <v>0</v>
      </c>
      <c r="L55" s="39" t="n">
        <f aca="false">IF(L$4=0,0,IF(COUNTIFS(実績!$W$6:$W$505,L$3,実績!$AI$6:$AI$505,"&lt;="&amp;$A55,実績!$AJ$6:$AJ$505,"&gt;"&amp;$A55,実績!$AL$6:$AL$505,"○")&gt;0,1,0))</f>
        <v>0</v>
      </c>
      <c r="M55" s="39" t="n">
        <f aca="false">IF(M$4=0,0,IF(COUNTIFS(実績!$W$6:$W$505,M$3,実績!$AI$6:$AI$505,"&lt;="&amp;$A55,実績!$AJ$6:$AJ$505,"&gt;"&amp;$A55,実績!$AL$6:$AL$505,"○")&gt;0,1,0))</f>
        <v>0</v>
      </c>
      <c r="N55" s="39" t="n">
        <f aca="false">IF(N$4=0,0,IF(COUNTIFS(実績!$W$6:$W$505,N$3,実績!$AI$6:$AI$505,"&lt;="&amp;$A55,実績!$AJ$6:$AJ$505,"&gt;"&amp;$A55,実績!$AL$6:$AL$505,"○")&gt;0,1,0))</f>
        <v>0</v>
      </c>
      <c r="O55" s="39" t="n">
        <f aca="false">IF(O$4=0,0,IF(COUNTIFS(実績!$W$6:$W$505,O$3,実績!$AI$6:$AI$505,"&lt;="&amp;$A55,実績!$AJ$6:$AJ$505,"&gt;"&amp;$A55,実績!$AL$6:$AL$505,"○")&gt;0,1,0))</f>
        <v>0</v>
      </c>
      <c r="P55" s="39" t="n">
        <f aca="false">IF(P$4=0,0,IF(COUNTIFS(実績!$W$6:$W$505,P$3,実績!$AI$6:$AI$505,"&lt;="&amp;$A55,実績!$AJ$6:$AJ$505,"&gt;"&amp;$A55,実績!$AL$6:$AL$505,"○")&gt;0,1,0))</f>
        <v>0</v>
      </c>
      <c r="Q55" s="39" t="n">
        <f aca="false">IF(Q$4=0,0,IF(COUNTIFS(実績!$W$6:$W$505,Q$3,実績!$AI$6:$AI$505,"&lt;="&amp;$A55,実績!$AJ$6:$AJ$505,"&gt;"&amp;$A55,実績!$AL$6:$AL$505,"○")&gt;0,1,0))</f>
        <v>0</v>
      </c>
      <c r="R55" s="39" t="n">
        <f aca="false">IF(R$4=0,0,IF(COUNTIFS(実績!$W$6:$W$505,R$3,実績!$AI$6:$AI$505,"&lt;="&amp;$A55,実績!$AJ$6:$AJ$505,"&gt;"&amp;$A55,実績!$AL$6:$AL$505,"○")&gt;0,1,0))</f>
        <v>0</v>
      </c>
      <c r="S55" s="39" t="n">
        <f aca="false">IF(S$4=0,0,IF(COUNTIFS(実績!$W$6:$W$505,S$3,実績!$AI$6:$AI$505,"&lt;="&amp;$A55,実績!$AJ$6:$AJ$505,"&gt;"&amp;$A55,実績!$AL$6:$AL$505,"○")&gt;0,1,0))</f>
        <v>0</v>
      </c>
      <c r="T55" s="39" t="n">
        <f aca="false">IF(T$4=0,0,IF(COUNTIFS(実績!$W$6:$W$505,T$3,実績!$AI$6:$AI$505,"&lt;="&amp;$A55,実績!$AJ$6:$AJ$505,"&gt;"&amp;$A55,実績!$AL$6:$AL$505,"○")&gt;0,1,0))</f>
        <v>0</v>
      </c>
      <c r="U55" s="39" t="n">
        <f aca="false">IF(U$4=0,0,IF(COUNTIFS(実績!$W$6:$W$505,U$3,実績!$AI$6:$AI$505,"&lt;="&amp;$A55,実績!$AJ$6:$AJ$505,"&gt;"&amp;$A55,実績!$AL$6:$AL$505,"○")&gt;0,1,0))</f>
        <v>0</v>
      </c>
      <c r="V55" s="39" t="n">
        <f aca="false">IF(V$4=0,0,IF(COUNTIFS(実績!$W$6:$W$505,V$3,実績!$AI$6:$AI$505,"&lt;="&amp;$A55,実績!$AJ$6:$AJ$505,"&gt;"&amp;$A55,実績!$AL$6:$AL$505,"○")&gt;0,1,0))</f>
        <v>0</v>
      </c>
      <c r="W55" s="39" t="n">
        <f aca="false">IF(W$4=0,0,IF(COUNTIFS(実績!$W$6:$W$505,W$3,実績!$AI$6:$AI$505,"&lt;="&amp;$A55,実績!$AJ$6:$AJ$505,"&gt;"&amp;$A55,実績!$AL$6:$AL$505,"○")&gt;0,1,0))</f>
        <v>0</v>
      </c>
      <c r="X55" s="39" t="n">
        <f aca="false">IF(X$4=0,0,IF(COUNTIFS(実績!$W$6:$W$505,X$3,実績!$AI$6:$AI$505,"&lt;="&amp;$A55,実績!$AJ$6:$AJ$505,"&gt;"&amp;$A55,実績!$AL$6:$AL$505,"○")&gt;0,1,0))</f>
        <v>0</v>
      </c>
      <c r="Y55" s="39" t="n">
        <f aca="false">IF(Y$4=0,0,IF(COUNTIFS(実績!$W$6:$W$505,Y$3,実績!$AI$6:$AI$505,"&lt;="&amp;$A55,実績!$AJ$6:$AJ$505,"&gt;"&amp;$A55,実績!$AL$6:$AL$505,"○")&gt;0,1,0))</f>
        <v>0</v>
      </c>
      <c r="Z55" s="39" t="n">
        <f aca="false">IF(Z$4=0,0,IF(COUNTIFS(実績!$W$6:$W$505,Z$3,実績!$AI$6:$AI$505,"&lt;="&amp;$A55,実績!$AJ$6:$AJ$505,"&gt;"&amp;$A55,実績!$AL$6:$AL$505,"○")&gt;0,1,0))</f>
        <v>0</v>
      </c>
      <c r="AA55" s="39" t="n">
        <f aca="false">IF(AA$4=0,0,IF(COUNTIFS(実績!$W$6:$W$505,AA$3,実績!$AI$6:$AI$505,"&lt;="&amp;$A55,実績!$AJ$6:$AJ$505,"&gt;"&amp;$A55,実績!$AL$6:$AL$505,"○")&gt;0,1,0))</f>
        <v>0</v>
      </c>
      <c r="AB55" s="39" t="n">
        <f aca="false">IF(AB$4=0,0,IF(COUNTIFS(実績!$W$6:$W$505,AB$3,実績!$AI$6:$AI$505,"&lt;="&amp;$A55,実績!$AJ$6:$AJ$505,"&gt;"&amp;$A55,実績!$AL$6:$AL$505,"○")&gt;0,1,0))</f>
        <v>0</v>
      </c>
      <c r="AC55" s="39" t="n">
        <f aca="false">IF(AC$4=0,0,IF(COUNTIFS(実績!$W$6:$W$505,AC$3,実績!$AI$6:$AI$505,"&lt;="&amp;$A55,実績!$AJ$6:$AJ$505,"&gt;"&amp;$A55,実績!$AL$6:$AL$505,"○")&gt;0,1,0))</f>
        <v>0</v>
      </c>
      <c r="AD55" s="39" t="n">
        <f aca="false">IF(AD$4=0,0,IF(COUNTIFS(実績!$W$6:$W$505,AD$3,実績!$AI$6:$AI$505,"&lt;="&amp;$A55,実績!$AJ$6:$AJ$505,"&gt;"&amp;$A55,実績!$AL$6:$AL$505,"○")&gt;0,1,0))</f>
        <v>0</v>
      </c>
      <c r="AE55" s="39" t="n">
        <f aca="false">IF(AE$4=0,0,IF(COUNTIFS(実績!$W$6:$W$505,AE$3,実績!$AI$6:$AI$505,"&lt;="&amp;$A55,実績!$AJ$6:$AJ$505,"&gt;"&amp;$A55,実績!$AL$6:$AL$505,"○")&gt;0,1,0))</f>
        <v>0</v>
      </c>
      <c r="AF55" s="39" t="n">
        <f aca="false">IF(AF$4=0,0,IF(COUNTIFS(実績!$W$6:$W$505,AF$3,実績!$AI$6:$AI$505,"&lt;="&amp;$A55,実績!$AJ$6:$AJ$505,"&gt;"&amp;$A55,実績!$AL$6:$AL$505,"○")&gt;0,1,0))</f>
        <v>0</v>
      </c>
      <c r="AG55" s="39" t="n">
        <f aca="false">IF(AG$4=0,0,IF(COUNTIFS(実績!$W$6:$W$505,AG$3,実績!$AI$6:$AI$505,"&lt;="&amp;$A55,実績!$AJ$6:$AJ$505,"&gt;"&amp;$A55,実績!$AL$6:$AL$505,"○")&gt;0,1,0))</f>
        <v>0</v>
      </c>
      <c r="AH55" s="39" t="n">
        <f aca="false">IF(AH$4=0,0,IF(COUNTIFS(実績!$W$6:$W$505,AH$3,実績!$AI$6:$AI$505,"&lt;="&amp;$A55,実績!$AJ$6:$AJ$505,"&gt;"&amp;$A55,実績!$AL$6:$AL$505,"○")&gt;0,1,0))</f>
        <v>0</v>
      </c>
      <c r="AI55" s="39" t="n">
        <f aca="false">IF(AI$4=0,0,IF(COUNTIFS(実績!$W$6:$W$505,AI$3,実績!$AI$6:$AI$505,"&lt;="&amp;$A55,実績!$AJ$6:$AJ$505,"&gt;"&amp;$A55,実績!$AL$6:$AL$505,"○")&gt;0,1,0))</f>
        <v>0</v>
      </c>
      <c r="AJ55" s="39" t="n">
        <f aca="false">IF(AJ$4=0,0,IF(COUNTIFS(実績!$W$6:$W$505,AJ$3,実績!$AI$6:$AI$505,"&lt;="&amp;$A55,実績!$AJ$6:$AJ$505,"&gt;"&amp;$A55,実績!$AL$6:$AL$505,"○")&gt;0,1,0))</f>
        <v>0</v>
      </c>
      <c r="AK55" s="39" t="n">
        <f aca="false">IF(AK$4=0,0,IF(COUNTIFS(実績!$W$6:$W$505,AK$3,実績!$AI$6:$AI$505,"&lt;="&amp;$A55,実績!$AJ$6:$AJ$505,"&gt;"&amp;$A55,実績!$AL$6:$AL$505,"○")&gt;0,1,0))</f>
        <v>0</v>
      </c>
      <c r="AL55" s="39" t="n">
        <f aca="false">IF(AL$4=0,0,IF(COUNTIFS(実績!$W$6:$W$505,AL$3,実績!$AI$6:$AI$505,"&lt;="&amp;$A55,実績!$AJ$6:$AJ$505,"&gt;"&amp;$A55,実績!$AL$6:$AL$505,"○")&gt;0,1,0))</f>
        <v>0</v>
      </c>
      <c r="AM55" s="39" t="n">
        <f aca="false">IF(AM$4=0,0,IF(COUNTIFS(実績!$W$6:$W$505,AM$3,実績!$AI$6:$AI$505,"&lt;="&amp;$A55,実績!$AJ$6:$AJ$505,"&gt;"&amp;$A55,実績!$AL$6:$AL$505,"○")&gt;0,1,0))</f>
        <v>0</v>
      </c>
      <c r="AN55" s="39" t="n">
        <f aca="false">IF(AN$4=0,0,IF(COUNTIFS(実績!$W$6:$W$505,AN$3,実績!$AI$6:$AI$505,"&lt;="&amp;$A55,実績!$AJ$6:$AJ$505,"&gt;"&amp;$A55,実績!$AL$6:$AL$505,"○")&gt;0,1,0))</f>
        <v>0</v>
      </c>
      <c r="AO55" s="39" t="n">
        <f aca="false">IF(AO$4=0,0,IF(COUNTIFS(実績!$W$6:$W$505,AO$3,実績!$AI$6:$AI$505,"&lt;="&amp;$A55,実績!$AJ$6:$AJ$505,"&gt;"&amp;$A55,実績!$AL$6:$AL$505,"○")&gt;0,1,0))</f>
        <v>0</v>
      </c>
      <c r="AP55" s="39" t="n">
        <f aca="false">IF(AP$4=0,0,IF(COUNTIFS(実績!$W$6:$W$505,AP$3,実績!$AI$6:$AI$505,"&lt;="&amp;$A55,実績!$AJ$6:$AJ$505,"&gt;"&amp;$A55,実績!$AL$6:$AL$505,"○")&gt;0,1,0))</f>
        <v>0</v>
      </c>
      <c r="AQ55" s="39" t="n">
        <f aca="false">IF(AQ$4=0,0,IF(COUNTIFS(実績!$W$6:$W$505,AQ$3,実績!$AI$6:$AI$505,"&lt;="&amp;$A55,実績!$AJ$6:$AJ$505,"&gt;"&amp;$A55,実績!$AL$6:$AL$505,"○")&gt;0,1,0))</f>
        <v>0</v>
      </c>
      <c r="AR55" s="39" t="n">
        <f aca="false">IF(AR$4=0,0,IF(COUNTIFS(実績!$W$6:$W$505,AR$3,実績!$AI$6:$AI$505,"&lt;="&amp;$A55,実績!$AJ$6:$AJ$505,"&gt;"&amp;$A55,実績!$AL$6:$AL$505,"○")&gt;0,1,0))</f>
        <v>0</v>
      </c>
      <c r="AS55" s="39" t="n">
        <f aca="false">IF(AS$4=0,0,IF(COUNTIFS(実績!$W$6:$W$505,AS$3,実績!$AI$6:$AI$505,"&lt;="&amp;$A55,実績!$AJ$6:$AJ$505,"&gt;"&amp;$A55,実績!$AL$6:$AL$505,"○")&gt;0,1,0))</f>
        <v>0</v>
      </c>
      <c r="AT55" s="39" t="n">
        <f aca="false">IF(AT$4=0,0,IF(COUNTIFS(実績!$W$6:$W$505,AT$3,実績!$AI$6:$AI$505,"&lt;="&amp;$A55,実績!$AJ$6:$AJ$505,"&gt;"&amp;$A55,実績!$AL$6:$AL$505,"○")&gt;0,1,0))</f>
        <v>0</v>
      </c>
      <c r="AU55" s="39" t="n">
        <f aca="false">IF(AU$4=0,0,IF(COUNTIFS(実績!$W$6:$W$505,AU$3,実績!$AI$6:$AI$505,"&lt;="&amp;$A55,実績!$AJ$6:$AJ$505,"&gt;"&amp;$A55,実績!$AL$6:$AL$505,"○")&gt;0,1,0))</f>
        <v>0</v>
      </c>
      <c r="AV55" s="39" t="n">
        <f aca="false">IF(AV$4=0,0,IF(COUNTIFS(実績!$W$6:$W$505,AV$3,実績!$AI$6:$AI$505,"&lt;="&amp;$A55,実績!$AJ$6:$AJ$505,"&gt;"&amp;$A55,実績!$AL$6:$AL$505,"○")&gt;0,1,0))</f>
        <v>0</v>
      </c>
      <c r="AW55" s="39" t="n">
        <f aca="false">IF(AW$4=0,0,IF(COUNTIFS(実績!$W$6:$W$505,AW$3,実績!$AI$6:$AI$505,"&lt;="&amp;$A55,実績!$AJ$6:$AJ$505,"&gt;"&amp;$A55,実績!$AL$6:$AL$505,"○")&gt;0,1,0))</f>
        <v>0</v>
      </c>
      <c r="AX55" s="39" t="n">
        <f aca="false">IF(AX$4=0,0,IF(COUNTIFS(実績!$W$6:$W$505,AX$3,実績!$AI$6:$AI$505,"&lt;="&amp;$A55,実績!$AJ$6:$AJ$505,"&gt;"&amp;$A55,実績!$AL$6:$AL$505,"○")&gt;0,1,0))</f>
        <v>0</v>
      </c>
      <c r="AY55" s="39" t="n">
        <f aca="false">IF(AY$4=0,0,IF(COUNTIFS(実績!$W$6:$W$505,AY$3,実績!$AI$6:$AI$505,"&lt;="&amp;$A55,実績!$AJ$6:$AJ$505,"&gt;"&amp;$A55,実績!$AL$6:$AL$505,"○")&gt;0,1,0))</f>
        <v>0</v>
      </c>
      <c r="AZ55" s="39" t="n">
        <f aca="false">IF(AZ$4=0,0,IF(COUNTIFS(実績!$W$6:$W$505,AZ$3,実績!$AI$6:$AI$505,"&lt;="&amp;$A55,実績!$AJ$6:$AJ$505,"&gt;"&amp;$A55,実績!$AL$6:$AL$505,"○")&gt;0,1,0))</f>
        <v>0</v>
      </c>
      <c r="BA55" s="39" t="n">
        <f aca="false">IF(BA$4=0,0,IF(COUNTIFS(実績!$W$6:$W$505,BA$3,実績!$AI$6:$AI$505,"&lt;="&amp;$A55,実績!$AJ$6:$AJ$505,"&gt;"&amp;$A55,実績!$AL$6:$AL$505,"○")&gt;0,1,0))</f>
        <v>0</v>
      </c>
      <c r="BB55" s="39" t="n">
        <f aca="false">IF(BB$4=0,0,IF(COUNTIFS(実績!$W$6:$W$505,BB$3,実績!$AI$6:$AI$505,"&lt;="&amp;$A55,実績!$AJ$6:$AJ$505,"&gt;"&amp;$A55,実績!$AL$6:$AL$505,"○")&gt;0,1,0))</f>
        <v>0</v>
      </c>
      <c r="BC55" s="39" t="n">
        <f aca="false">IF(BC$4=0,0,IF(COUNTIFS(実績!$W$6:$W$505,BC$3,実績!$AI$6:$AI$505,"&lt;="&amp;$A55,実績!$AJ$6:$AJ$505,"&gt;"&amp;$A55,実績!$AL$6:$AL$505,"○")&gt;0,1,0))</f>
        <v>0</v>
      </c>
      <c r="BD55" s="39" t="n">
        <f aca="false">IF(BD$4=0,0,IF(COUNTIFS(実績!$W$6:$W$505,BD$3,実績!$AI$6:$AI$505,"&lt;="&amp;$A55,実績!$AJ$6:$AJ$505,"&gt;"&amp;$A55,実績!$AL$6:$AL$505,"○")&gt;0,1,0))</f>
        <v>0</v>
      </c>
      <c r="BE55" s="39" t="n">
        <f aca="false">IF(BE$4=0,0,IF(COUNTIFS(実績!$W$6:$W$505,BE$3,実績!$AI$6:$AI$505,"&lt;="&amp;$A55,実績!$AJ$6:$AJ$505,"&gt;"&amp;$A55,実績!$AL$6:$AL$505,"○")&gt;0,1,0))</f>
        <v>0</v>
      </c>
      <c r="BF55" s="39" t="n">
        <f aca="false">IF(BF$4=0,0,IF(COUNTIFS(実績!$W$6:$W$505,BF$3,実績!$AI$6:$AI$505,"&lt;="&amp;$A55,実績!$AJ$6:$AJ$505,"&gt;"&amp;$A55,実績!$AL$6:$AL$505,"○")&gt;0,1,0))</f>
        <v>0</v>
      </c>
      <c r="BG55" s="39" t="n">
        <f aca="false">IF(BG$4=0,0,IF(COUNTIFS(実績!$W$6:$W$505,BG$3,実績!$AI$6:$AI$505,"&lt;="&amp;$A55,実績!$AJ$6:$AJ$505,"&gt;"&amp;$A55,実績!$AL$6:$AL$505,"○")&gt;0,1,0))</f>
        <v>0</v>
      </c>
      <c r="BH55" s="39" t="n">
        <f aca="false">IF(BH$4=0,0,IF(COUNTIFS(実績!$W$6:$W$505,BH$3,実績!$AI$6:$AI$505,"&lt;="&amp;$A55,実績!$AJ$6:$AJ$505,"&gt;"&amp;$A55,実績!$AL$6:$AL$505,"○")&gt;0,1,0))</f>
        <v>0</v>
      </c>
      <c r="BI55" s="39" t="n">
        <f aca="false">IF(BI$4=0,0,IF(COUNTIFS(実績!$W$6:$W$505,BI$3,実績!$AI$6:$AI$505,"&lt;="&amp;$A55,実績!$AJ$6:$AJ$505,"&gt;"&amp;$A55,実績!$AL$6:$AL$505,"○")&gt;0,1,0))</f>
        <v>0</v>
      </c>
      <c r="BJ55" s="39" t="n">
        <f aca="false">IF(BJ$4=0,0,IF(COUNTIFS(実績!$W$6:$W$505,BJ$3,実績!$AI$6:$AI$505,"&lt;="&amp;$A55,実績!$AJ$6:$AJ$505,"&gt;"&amp;$A55,実績!$AL$6:$AL$505,"○")&gt;0,1,0))</f>
        <v>0</v>
      </c>
      <c r="BK55" s="39" t="n">
        <f aca="false">IF(BK$4=0,0,IF(COUNTIFS(実績!$W$6:$W$505,BK$3,実績!$AI$6:$AI$505,"&lt;="&amp;$A55,実績!$AJ$6:$AJ$505,"&gt;"&amp;$A55,実績!$AL$6:$AL$505,"○")&gt;0,1,0))</f>
        <v>0</v>
      </c>
      <c r="BL55" s="39" t="n">
        <f aca="false">IF(BL$4=0,0,IF(COUNTIFS(実績!$W$6:$W$505,BL$3,実績!$AI$6:$AI$505,"&lt;="&amp;$A55,実績!$AJ$6:$AJ$505,"&gt;"&amp;$A55,実績!$AL$6:$AL$505,"○")&gt;0,1,0))</f>
        <v>0</v>
      </c>
      <c r="BM55" s="39" t="n">
        <f aca="false">IF(BM$4=0,0,IF(COUNTIFS(実績!$W$6:$W$505,BM$3,実績!$AI$6:$AI$505,"&lt;="&amp;$A55,実績!$AJ$6:$AJ$505,"&gt;"&amp;$A55,実績!$AL$6:$AL$505,"○")&gt;0,1,0))</f>
        <v>0</v>
      </c>
      <c r="BN55" s="39" t="n">
        <f aca="false">IF(BN$4=0,0,IF(COUNTIFS(実績!$W$6:$W$505,BN$3,実績!$AI$6:$AI$505,"&lt;="&amp;$A55,実績!$AJ$6:$AJ$505,"&gt;"&amp;$A55,実績!$AL$6:$AL$505,"○")&gt;0,1,0))</f>
        <v>0</v>
      </c>
      <c r="BO55" s="39" t="n">
        <f aca="false">IF(BO$4=0,0,IF(COUNTIFS(実績!$W$6:$W$505,BO$3,実績!$AI$6:$AI$505,"&lt;="&amp;$A55,実績!$AJ$6:$AJ$505,"&gt;"&amp;$A55,実績!$AL$6:$AL$505,"○")&gt;0,1,0))</f>
        <v>0</v>
      </c>
      <c r="BP55" s="39" t="n">
        <f aca="false">IF(BP$4=0,0,IF(COUNTIFS(実績!$W$6:$W$505,BP$3,実績!$AI$6:$AI$505,"&lt;="&amp;$A55,実績!$AJ$6:$AJ$505,"&gt;"&amp;$A55,実績!$AL$6:$AL$505,"○")&gt;0,1,0))</f>
        <v>0</v>
      </c>
      <c r="BQ55" s="39" t="n">
        <f aca="false">IF(BQ$4=0,0,IF(COUNTIFS(実績!$W$6:$W$505,BQ$3,実績!$AI$6:$AI$505,"&lt;="&amp;$A55,実績!$AJ$6:$AJ$505,"&gt;"&amp;$A55,実績!$AL$6:$AL$505,"○")&gt;0,1,0))</f>
        <v>0</v>
      </c>
      <c r="BR55" s="39" t="n">
        <f aca="false">IF(BR$4=0,0,IF(COUNTIFS(実績!$W$6:$W$505,BR$3,実績!$AI$6:$AI$505,"&lt;="&amp;$A55,実績!$AJ$6:$AJ$505,"&gt;"&amp;$A55,実績!$AL$6:$AL$505,"○")&gt;0,1,0))</f>
        <v>0</v>
      </c>
      <c r="BS55" s="39" t="n">
        <f aca="false">IF(BS$4=0,0,IF(COUNTIFS(実績!$W$6:$W$505,BS$3,実績!$AI$6:$AI$505,"&lt;="&amp;$A55,実績!$AJ$6:$AJ$505,"&gt;"&amp;$A55,実績!$AL$6:$AL$505,"○")&gt;0,1,0))</f>
        <v>0</v>
      </c>
      <c r="BT55" s="39" t="n">
        <f aca="false">IF(BT$4=0,0,IF(COUNTIFS(実績!$W$6:$W$505,BT$3,実績!$AI$6:$AI$505,"&lt;="&amp;$A55,実績!$AJ$6:$AJ$505,"&gt;"&amp;$A55,実績!$AL$6:$AL$505,"○")&gt;0,1,0))</f>
        <v>0</v>
      </c>
      <c r="BU55" s="39" t="n">
        <f aca="false">IF(BU$4=0,0,IF(COUNTIFS(実績!$W$6:$W$505,BU$3,実績!$AI$6:$AI$505,"&lt;="&amp;$A55,実績!$AJ$6:$AJ$505,"&gt;"&amp;$A55,実績!$AL$6:$AL$505,"○")&gt;0,1,0))</f>
        <v>0</v>
      </c>
      <c r="BV55" s="39" t="n">
        <f aca="false">IF(BV$4=0,0,IF(COUNTIFS(実績!$W$6:$W$505,BV$3,実績!$AI$6:$AI$505,"&lt;="&amp;$A55,実績!$AJ$6:$AJ$505,"&gt;"&amp;$A55,実績!$AL$6:$AL$505,"○")&gt;0,1,0))</f>
        <v>0</v>
      </c>
      <c r="BW55" s="39" t="n">
        <f aca="false">IF(BW$4=0,0,IF(COUNTIFS(実績!$W$6:$W$505,BW$3,実績!$AI$6:$AI$505,"&lt;="&amp;$A55,実績!$AJ$6:$AJ$505,"&gt;"&amp;$A55,実績!$AL$6:$AL$505,"○")&gt;0,1,0))</f>
        <v>0</v>
      </c>
      <c r="BX55" s="39" t="n">
        <f aca="false">IF(BX$4=0,0,IF(COUNTIFS(実績!$W$6:$W$505,BX$3,実績!$AI$6:$AI$505,"&lt;="&amp;$A55,実績!$AJ$6:$AJ$505,"&gt;"&amp;$A55,実績!$AL$6:$AL$505,"○")&gt;0,1,0))</f>
        <v>0</v>
      </c>
      <c r="BY55" s="39" t="n">
        <f aca="false">IF(BY$4=0,0,IF(COUNTIFS(実績!$W$6:$W$505,BY$3,実績!$AI$6:$AI$505,"&lt;="&amp;$A55,実績!$AJ$6:$AJ$505,"&gt;"&amp;$A55,実績!$AL$6:$AL$505,"○")&gt;0,1,0))</f>
        <v>0</v>
      </c>
      <c r="BZ55" s="39" t="n">
        <f aca="false">IF(BZ$4=0,0,IF(COUNTIFS(実績!$W$6:$W$505,BZ$3,実績!$AI$6:$AI$505,"&lt;="&amp;$A55,実績!$AJ$6:$AJ$505,"&gt;"&amp;$A55,実績!$AL$6:$AL$505,"○")&gt;0,1,0))</f>
        <v>0</v>
      </c>
      <c r="CA55" s="39" t="n">
        <f aca="false">IF(CA$4=0,0,IF(COUNTIFS(実績!$W$6:$W$505,CA$3,実績!$AI$6:$AI$505,"&lt;="&amp;$A55,実績!$AJ$6:$AJ$505,"&gt;"&amp;$A55,実績!$AL$6:$AL$505,"○")&gt;0,1,0))</f>
        <v>0</v>
      </c>
      <c r="CB55" s="39" t="n">
        <f aca="false">IF(CB$4=0,0,IF(COUNTIFS(実績!$W$6:$W$505,CB$3,実績!$AI$6:$AI$505,"&lt;="&amp;$A55,実績!$AJ$6:$AJ$505,"&gt;"&amp;$A55,実績!$AL$6:$AL$505,"○")&gt;0,1,0))</f>
        <v>0</v>
      </c>
      <c r="CC55" s="39" t="n">
        <f aca="false">IF(CC$4=0,0,IF(COUNTIFS(実績!$W$6:$W$505,CC$3,実績!$AI$6:$AI$505,"&lt;="&amp;$A55,実績!$AJ$6:$AJ$505,"&gt;"&amp;$A55,実績!$AL$6:$AL$505,"○")&gt;0,1,0))</f>
        <v>0</v>
      </c>
      <c r="CD55" s="39" t="n">
        <f aca="false">IF(CD$4=0,0,IF(COUNTIFS(実績!$W$6:$W$505,CD$3,実績!$AI$6:$AI$505,"&lt;="&amp;$A55,実績!$AJ$6:$AJ$505,"&gt;"&amp;$A55,実績!$AL$6:$AL$505,"○")&gt;0,1,0))</f>
        <v>0</v>
      </c>
      <c r="CE55" s="39" t="n">
        <f aca="false">IF(CE$4=0,0,IF(COUNTIFS(実績!$W$6:$W$505,CE$3,実績!$AI$6:$AI$505,"&lt;="&amp;$A55,実績!$AJ$6:$AJ$505,"&gt;"&amp;$A55,実績!$AL$6:$AL$505,"○")&gt;0,1,0))</f>
        <v>0</v>
      </c>
      <c r="CF55" s="39" t="n">
        <f aca="false">IF(CF$4=0,0,IF(COUNTIFS(実績!$W$6:$W$505,CF$3,実績!$AI$6:$AI$505,"&lt;="&amp;$A55,実績!$AJ$6:$AJ$505,"&gt;"&amp;$A55,実績!$AL$6:$AL$505,"○")&gt;0,1,0))</f>
        <v>0</v>
      </c>
      <c r="CG55" s="39" t="n">
        <f aca="false">IF(CG$4=0,0,IF(COUNTIFS(実績!$W$6:$W$505,CG$3,実績!$AI$6:$AI$505,"&lt;="&amp;$A55,実績!$AJ$6:$AJ$505,"&gt;"&amp;$A55,実績!$AL$6:$AL$505,"○")&gt;0,1,0))</f>
        <v>0</v>
      </c>
      <c r="CH55" s="39" t="n">
        <f aca="false">IF(CH$4=0,0,IF(COUNTIFS(実績!$W$6:$W$505,CH$3,実績!$AI$6:$AI$505,"&lt;="&amp;$A55,実績!$AJ$6:$AJ$505,"&gt;"&amp;$A55,実績!$AL$6:$AL$505,"○")&gt;0,1,0))</f>
        <v>0</v>
      </c>
      <c r="CI55" s="39" t="n">
        <f aca="false">IF(CI$4=0,0,IF(COUNTIFS(実績!$W$6:$W$505,CI$3,実績!$AI$6:$AI$505,"&lt;="&amp;$A55,実績!$AJ$6:$AJ$505,"&gt;"&amp;$A55,実績!$AL$6:$AL$505,"○")&gt;0,1,0))</f>
        <v>0</v>
      </c>
      <c r="CJ55" s="39" t="n">
        <f aca="false">IF(CJ$4=0,0,IF(COUNTIFS(実績!$W$6:$W$505,CJ$3,実績!$AI$6:$AI$505,"&lt;="&amp;$A55,実績!$AJ$6:$AJ$505,"&gt;"&amp;$A55,実績!$AL$6:$AL$505,"○")&gt;0,1,0))</f>
        <v>0</v>
      </c>
      <c r="CK55" s="39" t="n">
        <f aca="false">IF(CK$4=0,0,IF(COUNTIFS(実績!$W$6:$W$505,CK$3,実績!$AI$6:$AI$505,"&lt;="&amp;$A55,実績!$AJ$6:$AJ$505,"&gt;"&amp;$A55,実績!$AL$6:$AL$505,"○")&gt;0,1,0))</f>
        <v>0</v>
      </c>
      <c r="CL55" s="39" t="n">
        <f aca="false">IF(CL$4=0,0,IF(COUNTIFS(実績!$W$6:$W$505,CL$3,実績!$AI$6:$AI$505,"&lt;="&amp;$A55,実績!$AJ$6:$AJ$505,"&gt;"&amp;$A55,実績!$AL$6:$AL$505,"○")&gt;0,1,0))</f>
        <v>0</v>
      </c>
      <c r="CM55" s="39" t="n">
        <f aca="false">IF(CM$4=0,0,IF(COUNTIFS(実績!$W$6:$W$505,CM$3,実績!$AI$6:$AI$505,"&lt;="&amp;$A55,実績!$AJ$6:$AJ$505,"&gt;"&amp;$A55,実績!$AL$6:$AL$505,"○")&gt;0,1,0))</f>
        <v>0</v>
      </c>
      <c r="CN55" s="39" t="n">
        <f aca="false">IF(CN$4=0,0,IF(COUNTIFS(実績!$W$6:$W$505,CN$3,実績!$AI$6:$AI$505,"&lt;="&amp;$A55,実績!$AJ$6:$AJ$505,"&gt;"&amp;$A55,実績!$AL$6:$AL$505,"○")&gt;0,1,0))</f>
        <v>0</v>
      </c>
      <c r="CO55" s="39" t="n">
        <f aca="false">IF(CO$4=0,0,IF(COUNTIFS(実績!$W$6:$W$505,CO$3,実績!$AI$6:$AI$505,"&lt;="&amp;$A55,実績!$AJ$6:$AJ$505,"&gt;"&amp;$A55,実績!$AL$6:$AL$505,"○")&gt;0,1,0))</f>
        <v>0</v>
      </c>
      <c r="CP55" s="39" t="n">
        <f aca="false">IF(CP$4=0,0,IF(COUNTIFS(実績!$W$6:$W$505,CP$3,実績!$AI$6:$AI$505,"&lt;="&amp;$A55,実績!$AJ$6:$AJ$505,"&gt;"&amp;$A55,実績!$AL$6:$AL$505,"○")&gt;0,1,0))</f>
        <v>0</v>
      </c>
      <c r="CQ55" s="39" t="n">
        <f aca="false">IF(CQ$4=0,0,IF(COUNTIFS(実績!$W$6:$W$505,CQ$3,実績!$AI$6:$AI$505,"&lt;="&amp;$A55,実績!$AJ$6:$AJ$505,"&gt;"&amp;$A55,実績!$AL$6:$AL$505,"○")&gt;0,1,0))</f>
        <v>0</v>
      </c>
      <c r="CR55" s="39" t="n">
        <f aca="false">IF(CR$4=0,0,IF(COUNTIFS(実績!$W$6:$W$505,CR$3,実績!$AI$6:$AI$505,"&lt;="&amp;$A55,実績!$AJ$6:$AJ$505,"&gt;"&amp;$A55,実績!$AL$6:$AL$505,"○")&gt;0,1,0))</f>
        <v>0</v>
      </c>
      <c r="CS55" s="39" t="n">
        <f aca="false">IF(CS$4=0,0,IF(COUNTIFS(実績!$W$6:$W$505,CS$3,実績!$AI$6:$AI$505,"&lt;="&amp;$A55,実績!$AJ$6:$AJ$505,"&gt;"&amp;$A55,実績!$AL$6:$AL$505,"○")&gt;0,1,0))</f>
        <v>0</v>
      </c>
      <c r="CT55" s="39" t="n">
        <f aca="false">IF(CT$4=0,0,IF(COUNTIFS(実績!$W$6:$W$505,CT$3,実績!$AI$6:$AI$505,"&lt;="&amp;$A55,実績!$AJ$6:$AJ$505,"&gt;"&amp;$A55,実績!$AL$6:$AL$505,"○")&gt;0,1,0))</f>
        <v>0</v>
      </c>
      <c r="CU55" s="39" t="n">
        <f aca="false">IF(CU$4=0,0,IF(COUNTIFS(実績!$W$6:$W$505,CU$3,実績!$AI$6:$AI$505,"&lt;="&amp;$A55,実績!$AJ$6:$AJ$505,"&gt;"&amp;$A55,実績!$AL$6:$AL$505,"○")&gt;0,1,0))</f>
        <v>0</v>
      </c>
      <c r="CV55" s="39" t="n">
        <f aca="false">IF(CV$4=0,0,IF(COUNTIFS(実績!$W$6:$W$505,CV$3,実績!$AI$6:$AI$505,"&lt;="&amp;$A55,実績!$AJ$6:$AJ$505,"&gt;"&amp;$A55,実績!$AL$6:$AL$505,"○")&gt;0,1,0))</f>
        <v>0</v>
      </c>
      <c r="CW55" s="39" t="n">
        <f aca="false">IF(CW$4=0,0,IF(COUNTIFS(実績!$W$6:$W$505,CW$3,実績!$AI$6:$AI$505,"&lt;="&amp;$A55,実績!$AJ$6:$AJ$505,"&gt;"&amp;$A55,実績!$AL$6:$AL$505,"○")&gt;0,1,0))</f>
        <v>0</v>
      </c>
      <c r="CX55" s="39" t="n">
        <f aca="false">IF(CX$4=0,0,IF(COUNTIFS(実績!$W$6:$W$505,CX$3,実績!$AI$6:$AI$505,"&lt;="&amp;$A55,実績!$AJ$6:$AJ$505,"&gt;"&amp;$A55,実績!$AL$6:$AL$505,"○")&gt;0,1,0))</f>
        <v>0</v>
      </c>
      <c r="CY55" s="39" t="n">
        <f aca="false">IF(CY$4=0,0,IF(COUNTIFS(実績!$W$6:$W$505,CY$3,実績!$AI$6:$AI$505,"&lt;="&amp;$A55,実績!$AJ$6:$AJ$505,"&gt;"&amp;$A55,実績!$AL$6:$AL$505,"○")&gt;0,1,0))</f>
        <v>0</v>
      </c>
      <c r="CZ55" s="39" t="n">
        <f aca="false">IF(CZ$4=0,0,IF(COUNTIFS(実績!$W$6:$W$505,CZ$3,実績!$AI$6:$AI$505,"&lt;="&amp;$A55,実績!$AJ$6:$AJ$505,"&gt;"&amp;$A55,実績!$AL$6:$AL$505,"○")&gt;0,1,0))</f>
        <v>0</v>
      </c>
      <c r="DA55" s="39" t="n">
        <f aca="false">IF(DA$4=0,0,IF(COUNTIFS(実績!$W$6:$W$505,DA$3,実績!$AI$6:$AI$505,"&lt;="&amp;$A55,実績!$AJ$6:$AJ$505,"&gt;"&amp;$A55,実績!$AL$6:$AL$505,"○")&gt;0,1,0))</f>
        <v>0</v>
      </c>
      <c r="DB55" s="39" t="n">
        <f aca="false">IF(DB$4=0,0,IF(COUNTIFS(実績!$W$6:$W$505,DB$3,実績!$AI$6:$AI$505,"&lt;="&amp;$A55,実績!$AJ$6:$AJ$505,"&gt;"&amp;$A55,実績!$AL$6:$AL$505,"○")&gt;0,1,0))</f>
        <v>0</v>
      </c>
      <c r="DC55" s="39" t="n">
        <f aca="false">IF(DC$4=0,0,IF(COUNTIFS(実績!$W$6:$W$505,DC$3,実績!$AI$6:$AI$505,"&lt;="&amp;$A55,実績!$AJ$6:$AJ$505,"&gt;"&amp;$A55,実績!$AL$6:$AL$505,"○")&gt;0,1,0))</f>
        <v>0</v>
      </c>
      <c r="DD55" s="39" t="n">
        <f aca="false">IF(DD$4=0,0,IF(COUNTIFS(実績!$W$6:$W$505,DD$3,実績!$AI$6:$AI$505,"&lt;="&amp;$A55,実績!$AJ$6:$AJ$505,"&gt;"&amp;$A55,実績!$AL$6:$AL$505,"○")&gt;0,1,0))</f>
        <v>0</v>
      </c>
      <c r="DE55" s="39" t="n">
        <f aca="false">IF(DE$4=0,0,IF(COUNTIFS(実績!$W$6:$W$505,DE$3,実績!$AI$6:$AI$505,"&lt;="&amp;$A55,実績!$AJ$6:$AJ$505,"&gt;"&amp;$A55,実績!$AL$6:$AL$505,"○")&gt;0,1,0))</f>
        <v>0</v>
      </c>
      <c r="DF55" s="39" t="n">
        <f aca="false">IF(DF$4=0,0,IF(COUNTIFS(実績!$W$6:$W$505,DF$3,実績!$AI$6:$AI$505,"&lt;="&amp;$A55,実績!$AJ$6:$AJ$505,"&gt;"&amp;$A55,実績!$AL$6:$AL$505,"○")&gt;0,1,0))</f>
        <v>0</v>
      </c>
      <c r="DG55" s="39" t="n">
        <f aca="false">IF(DG$4=0,0,IF(COUNTIFS(実績!$W$6:$W$505,DG$3,実績!$AI$6:$AI$505,"&lt;="&amp;$A55,実績!$AJ$6:$AJ$505,"&gt;"&amp;$A55,実績!$AL$6:$AL$505,"○")&gt;0,1,0))</f>
        <v>0</v>
      </c>
      <c r="DH55" s="39" t="n">
        <f aca="false">IF(DH$4=0,0,IF(COUNTIFS(実績!$W$6:$W$505,DH$3,実績!$AI$6:$AI$505,"&lt;="&amp;$A55,実績!$AJ$6:$AJ$505,"&gt;"&amp;$A55,実績!$AL$6:$AL$505,"○")&gt;0,1,0))</f>
        <v>0</v>
      </c>
      <c r="DI55" s="39" t="n">
        <f aca="false">IF(DI$4=0,0,IF(COUNTIFS(実績!$W$6:$W$505,DI$3,実績!$AI$6:$AI$505,"&lt;="&amp;$A55,実績!$AJ$6:$AJ$505,"&gt;"&amp;$A55,実績!$AL$6:$AL$505,"○")&gt;0,1,0))</f>
        <v>0</v>
      </c>
      <c r="DJ55" s="39" t="n">
        <f aca="false">IF(DJ$4=0,0,IF(COUNTIFS(実績!$W$6:$W$505,DJ$3,実績!$AI$6:$AI$505,"&lt;="&amp;$A55,実績!$AJ$6:$AJ$505,"&gt;"&amp;$A55,実績!$AL$6:$AL$505,"○")&gt;0,1,0))</f>
        <v>0</v>
      </c>
      <c r="DK55" s="39" t="n">
        <f aca="false">IF(DK$4=0,0,IF(COUNTIFS(実績!$W$6:$W$505,DK$3,実績!$AI$6:$AI$505,"&lt;="&amp;$A55,実績!$AJ$6:$AJ$505,"&gt;"&amp;$A55,実績!$AL$6:$AL$505,"○")&gt;0,1,0))</f>
        <v>0</v>
      </c>
      <c r="DL55" s="39" t="n">
        <f aca="false">IF(DL$4=0,0,IF(COUNTIFS(実績!$W$6:$W$505,DL$3,実績!$AI$6:$AI$505,"&lt;="&amp;$A55,実績!$AJ$6:$AJ$505,"&gt;"&amp;$A55,実績!$AL$6:$AL$505,"○")&gt;0,1,0))</f>
        <v>0</v>
      </c>
      <c r="DM55" s="39" t="n">
        <f aca="false">IF(DM$4=0,0,IF(COUNTIFS(実績!$W$6:$W$505,DM$3,実績!$AI$6:$AI$505,"&lt;="&amp;$A55,実績!$AJ$6:$AJ$505,"&gt;"&amp;$A55,実績!$AL$6:$AL$505,"○")&gt;0,1,0))</f>
        <v>0</v>
      </c>
      <c r="DN55" s="39" t="n">
        <f aca="false">IF(DN$4=0,0,IF(COUNTIFS(実績!$W$6:$W$505,DN$3,実績!$AI$6:$AI$505,"&lt;="&amp;$A55,実績!$AJ$6:$AJ$505,"&gt;"&amp;$A55,実績!$AL$6:$AL$505,"○")&gt;0,1,0))</f>
        <v>0</v>
      </c>
      <c r="DO55" s="39" t="n">
        <f aca="false">IF(DO$4=0,0,IF(COUNTIFS(実績!$W$6:$W$505,DO$3,実績!$AI$6:$AI$505,"&lt;="&amp;$A55,実績!$AJ$6:$AJ$505,"&gt;"&amp;$A55,実績!$AL$6:$AL$505,"○")&gt;0,1,0))</f>
        <v>0</v>
      </c>
      <c r="DP55" s="39" t="n">
        <f aca="false">IF(DP$4=0,0,IF(COUNTIFS(実績!$W$6:$W$505,DP$3,実績!$AI$6:$AI$505,"&lt;="&amp;$A55,実績!$AJ$6:$AJ$505,"&gt;"&amp;$A55,実績!$AL$6:$AL$505,"○")&gt;0,1,0))</f>
        <v>0</v>
      </c>
      <c r="DQ55" s="39" t="n">
        <f aca="false">IF(DQ$4=0,0,IF(COUNTIFS(実績!$W$6:$W$505,DQ$3,実績!$AI$6:$AI$505,"&lt;="&amp;$A55,実績!$AJ$6:$AJ$505,"&gt;"&amp;$A55,実績!$AL$6:$AL$505,"○")&gt;0,1,0))</f>
        <v>0</v>
      </c>
      <c r="DR55" s="39" t="n">
        <f aca="false">IF(DR$4=0,0,IF(COUNTIFS(実績!$W$6:$W$505,DR$3,実績!$AI$6:$AI$505,"&lt;="&amp;$A55,実績!$AJ$6:$AJ$505,"&gt;"&amp;$A55,実績!$AL$6:$AL$505,"○")&gt;0,1,0))</f>
        <v>0</v>
      </c>
      <c r="DS55" s="39" t="n">
        <f aca="false">SUM(C55:DR55)</f>
        <v>0</v>
      </c>
    </row>
    <row r="56" customFormat="false" ht="15" hidden="false" customHeight="false" outlineLevel="0" collapsed="false">
      <c r="A56" s="0" t="n">
        <v>250</v>
      </c>
      <c r="B56" s="38" t="n">
        <f aca="false">A56/1440</f>
        <v>0.173611111111111</v>
      </c>
      <c r="C56" s="39" t="n">
        <f aca="false">IF(C$4=0,0,IF(COUNTIFS(実績!$W$6:$W$505,C$3,実績!$AI$6:$AI$505,"&lt;="&amp;$A56,実績!$AJ$6:$AJ$505,"&gt;"&amp;$A56,実績!$AL$6:$AL$505,"○")&gt;0,1,0))</f>
        <v>0</v>
      </c>
      <c r="D56" s="39" t="n">
        <f aca="false">IF(D$4=0,0,IF(COUNTIFS(実績!$W$6:$W$505,D$3,実績!$AI$6:$AI$505,"&lt;="&amp;$A56,実績!$AJ$6:$AJ$505,"&gt;"&amp;$A56,実績!$AL$6:$AL$505,"○")&gt;0,1,0))</f>
        <v>0</v>
      </c>
      <c r="E56" s="39" t="n">
        <f aca="false">IF(E$4=0,0,IF(COUNTIFS(実績!$W$6:$W$505,E$3,実績!$AI$6:$AI$505,"&lt;="&amp;$A56,実績!$AJ$6:$AJ$505,"&gt;"&amp;$A56,実績!$AL$6:$AL$505,"○")&gt;0,1,0))</f>
        <v>0</v>
      </c>
      <c r="F56" s="39" t="n">
        <f aca="false">IF(F$4=0,0,IF(COUNTIFS(実績!$W$6:$W$505,F$3,実績!$AI$6:$AI$505,"&lt;="&amp;$A56,実績!$AJ$6:$AJ$505,"&gt;"&amp;$A56,実績!$AL$6:$AL$505,"○")&gt;0,1,0))</f>
        <v>0</v>
      </c>
      <c r="G56" s="39" t="n">
        <f aca="false">IF(G$4=0,0,IF(COUNTIFS(実績!$W$6:$W$505,G$3,実績!$AI$6:$AI$505,"&lt;="&amp;$A56,実績!$AJ$6:$AJ$505,"&gt;"&amp;$A56,実績!$AL$6:$AL$505,"○")&gt;0,1,0))</f>
        <v>0</v>
      </c>
      <c r="H56" s="39" t="n">
        <f aca="false">IF(H$4=0,0,IF(COUNTIFS(実績!$W$6:$W$505,H$3,実績!$AI$6:$AI$505,"&lt;="&amp;$A56,実績!$AJ$6:$AJ$505,"&gt;"&amp;$A56,実績!$AL$6:$AL$505,"○")&gt;0,1,0))</f>
        <v>0</v>
      </c>
      <c r="I56" s="39" t="n">
        <f aca="false">IF(I$4=0,0,IF(COUNTIFS(実績!$W$6:$W$505,I$3,実績!$AI$6:$AI$505,"&lt;="&amp;$A56,実績!$AJ$6:$AJ$505,"&gt;"&amp;$A56,実績!$AL$6:$AL$505,"○")&gt;0,1,0))</f>
        <v>0</v>
      </c>
      <c r="J56" s="39" t="n">
        <f aca="false">IF(J$4=0,0,IF(COUNTIFS(実績!$W$6:$W$505,J$3,実績!$AI$6:$AI$505,"&lt;="&amp;$A56,実績!$AJ$6:$AJ$505,"&gt;"&amp;$A56,実績!$AL$6:$AL$505,"○")&gt;0,1,0))</f>
        <v>0</v>
      </c>
      <c r="K56" s="39" t="n">
        <f aca="false">IF(K$4=0,0,IF(COUNTIFS(実績!$W$6:$W$505,K$3,実績!$AI$6:$AI$505,"&lt;="&amp;$A56,実績!$AJ$6:$AJ$505,"&gt;"&amp;$A56,実績!$AL$6:$AL$505,"○")&gt;0,1,0))</f>
        <v>0</v>
      </c>
      <c r="L56" s="39" t="n">
        <f aca="false">IF(L$4=0,0,IF(COUNTIFS(実績!$W$6:$W$505,L$3,実績!$AI$6:$AI$505,"&lt;="&amp;$A56,実績!$AJ$6:$AJ$505,"&gt;"&amp;$A56,実績!$AL$6:$AL$505,"○")&gt;0,1,0))</f>
        <v>0</v>
      </c>
      <c r="M56" s="39" t="n">
        <f aca="false">IF(M$4=0,0,IF(COUNTIFS(実績!$W$6:$W$505,M$3,実績!$AI$6:$AI$505,"&lt;="&amp;$A56,実績!$AJ$6:$AJ$505,"&gt;"&amp;$A56,実績!$AL$6:$AL$505,"○")&gt;0,1,0))</f>
        <v>0</v>
      </c>
      <c r="N56" s="39" t="n">
        <f aca="false">IF(N$4=0,0,IF(COUNTIFS(実績!$W$6:$W$505,N$3,実績!$AI$6:$AI$505,"&lt;="&amp;$A56,実績!$AJ$6:$AJ$505,"&gt;"&amp;$A56,実績!$AL$6:$AL$505,"○")&gt;0,1,0))</f>
        <v>0</v>
      </c>
      <c r="O56" s="39" t="n">
        <f aca="false">IF(O$4=0,0,IF(COUNTIFS(実績!$W$6:$W$505,O$3,実績!$AI$6:$AI$505,"&lt;="&amp;$A56,実績!$AJ$6:$AJ$505,"&gt;"&amp;$A56,実績!$AL$6:$AL$505,"○")&gt;0,1,0))</f>
        <v>0</v>
      </c>
      <c r="P56" s="39" t="n">
        <f aca="false">IF(P$4=0,0,IF(COUNTIFS(実績!$W$6:$W$505,P$3,実績!$AI$6:$AI$505,"&lt;="&amp;$A56,実績!$AJ$6:$AJ$505,"&gt;"&amp;$A56,実績!$AL$6:$AL$505,"○")&gt;0,1,0))</f>
        <v>0</v>
      </c>
      <c r="Q56" s="39" t="n">
        <f aca="false">IF(Q$4=0,0,IF(COUNTIFS(実績!$W$6:$W$505,Q$3,実績!$AI$6:$AI$505,"&lt;="&amp;$A56,実績!$AJ$6:$AJ$505,"&gt;"&amp;$A56,実績!$AL$6:$AL$505,"○")&gt;0,1,0))</f>
        <v>0</v>
      </c>
      <c r="R56" s="39" t="n">
        <f aca="false">IF(R$4=0,0,IF(COUNTIFS(実績!$W$6:$W$505,R$3,実績!$AI$6:$AI$505,"&lt;="&amp;$A56,実績!$AJ$6:$AJ$505,"&gt;"&amp;$A56,実績!$AL$6:$AL$505,"○")&gt;0,1,0))</f>
        <v>0</v>
      </c>
      <c r="S56" s="39" t="n">
        <f aca="false">IF(S$4=0,0,IF(COUNTIFS(実績!$W$6:$W$505,S$3,実績!$AI$6:$AI$505,"&lt;="&amp;$A56,実績!$AJ$6:$AJ$505,"&gt;"&amp;$A56,実績!$AL$6:$AL$505,"○")&gt;0,1,0))</f>
        <v>0</v>
      </c>
      <c r="T56" s="39" t="n">
        <f aca="false">IF(T$4=0,0,IF(COUNTIFS(実績!$W$6:$W$505,T$3,実績!$AI$6:$AI$505,"&lt;="&amp;$A56,実績!$AJ$6:$AJ$505,"&gt;"&amp;$A56,実績!$AL$6:$AL$505,"○")&gt;0,1,0))</f>
        <v>0</v>
      </c>
      <c r="U56" s="39" t="n">
        <f aca="false">IF(U$4=0,0,IF(COUNTIFS(実績!$W$6:$W$505,U$3,実績!$AI$6:$AI$505,"&lt;="&amp;$A56,実績!$AJ$6:$AJ$505,"&gt;"&amp;$A56,実績!$AL$6:$AL$505,"○")&gt;0,1,0))</f>
        <v>0</v>
      </c>
      <c r="V56" s="39" t="n">
        <f aca="false">IF(V$4=0,0,IF(COUNTIFS(実績!$W$6:$W$505,V$3,実績!$AI$6:$AI$505,"&lt;="&amp;$A56,実績!$AJ$6:$AJ$505,"&gt;"&amp;$A56,実績!$AL$6:$AL$505,"○")&gt;0,1,0))</f>
        <v>0</v>
      </c>
      <c r="W56" s="39" t="n">
        <f aca="false">IF(W$4=0,0,IF(COUNTIFS(実績!$W$6:$W$505,W$3,実績!$AI$6:$AI$505,"&lt;="&amp;$A56,実績!$AJ$6:$AJ$505,"&gt;"&amp;$A56,実績!$AL$6:$AL$505,"○")&gt;0,1,0))</f>
        <v>0</v>
      </c>
      <c r="X56" s="39" t="n">
        <f aca="false">IF(X$4=0,0,IF(COUNTIFS(実績!$W$6:$W$505,X$3,実績!$AI$6:$AI$505,"&lt;="&amp;$A56,実績!$AJ$6:$AJ$505,"&gt;"&amp;$A56,実績!$AL$6:$AL$505,"○")&gt;0,1,0))</f>
        <v>0</v>
      </c>
      <c r="Y56" s="39" t="n">
        <f aca="false">IF(Y$4=0,0,IF(COUNTIFS(実績!$W$6:$W$505,Y$3,実績!$AI$6:$AI$505,"&lt;="&amp;$A56,実績!$AJ$6:$AJ$505,"&gt;"&amp;$A56,実績!$AL$6:$AL$505,"○")&gt;0,1,0))</f>
        <v>0</v>
      </c>
      <c r="Z56" s="39" t="n">
        <f aca="false">IF(Z$4=0,0,IF(COUNTIFS(実績!$W$6:$W$505,Z$3,実績!$AI$6:$AI$505,"&lt;="&amp;$A56,実績!$AJ$6:$AJ$505,"&gt;"&amp;$A56,実績!$AL$6:$AL$505,"○")&gt;0,1,0))</f>
        <v>0</v>
      </c>
      <c r="AA56" s="39" t="n">
        <f aca="false">IF(AA$4=0,0,IF(COUNTIFS(実績!$W$6:$W$505,AA$3,実績!$AI$6:$AI$505,"&lt;="&amp;$A56,実績!$AJ$6:$AJ$505,"&gt;"&amp;$A56,実績!$AL$6:$AL$505,"○")&gt;0,1,0))</f>
        <v>0</v>
      </c>
      <c r="AB56" s="39" t="n">
        <f aca="false">IF(AB$4=0,0,IF(COUNTIFS(実績!$W$6:$W$505,AB$3,実績!$AI$6:$AI$505,"&lt;="&amp;$A56,実績!$AJ$6:$AJ$505,"&gt;"&amp;$A56,実績!$AL$6:$AL$505,"○")&gt;0,1,0))</f>
        <v>0</v>
      </c>
      <c r="AC56" s="39" t="n">
        <f aca="false">IF(AC$4=0,0,IF(COUNTIFS(実績!$W$6:$W$505,AC$3,実績!$AI$6:$AI$505,"&lt;="&amp;$A56,実績!$AJ$6:$AJ$505,"&gt;"&amp;$A56,実績!$AL$6:$AL$505,"○")&gt;0,1,0))</f>
        <v>0</v>
      </c>
      <c r="AD56" s="39" t="n">
        <f aca="false">IF(AD$4=0,0,IF(COUNTIFS(実績!$W$6:$W$505,AD$3,実績!$AI$6:$AI$505,"&lt;="&amp;$A56,実績!$AJ$6:$AJ$505,"&gt;"&amp;$A56,実績!$AL$6:$AL$505,"○")&gt;0,1,0))</f>
        <v>0</v>
      </c>
      <c r="AE56" s="39" t="n">
        <f aca="false">IF(AE$4=0,0,IF(COUNTIFS(実績!$W$6:$W$505,AE$3,実績!$AI$6:$AI$505,"&lt;="&amp;$A56,実績!$AJ$6:$AJ$505,"&gt;"&amp;$A56,実績!$AL$6:$AL$505,"○")&gt;0,1,0))</f>
        <v>0</v>
      </c>
      <c r="AF56" s="39" t="n">
        <f aca="false">IF(AF$4=0,0,IF(COUNTIFS(実績!$W$6:$W$505,AF$3,実績!$AI$6:$AI$505,"&lt;="&amp;$A56,実績!$AJ$6:$AJ$505,"&gt;"&amp;$A56,実績!$AL$6:$AL$505,"○")&gt;0,1,0))</f>
        <v>0</v>
      </c>
      <c r="AG56" s="39" t="n">
        <f aca="false">IF(AG$4=0,0,IF(COUNTIFS(実績!$W$6:$W$505,AG$3,実績!$AI$6:$AI$505,"&lt;="&amp;$A56,実績!$AJ$6:$AJ$505,"&gt;"&amp;$A56,実績!$AL$6:$AL$505,"○")&gt;0,1,0))</f>
        <v>0</v>
      </c>
      <c r="AH56" s="39" t="n">
        <f aca="false">IF(AH$4=0,0,IF(COUNTIFS(実績!$W$6:$W$505,AH$3,実績!$AI$6:$AI$505,"&lt;="&amp;$A56,実績!$AJ$6:$AJ$505,"&gt;"&amp;$A56,実績!$AL$6:$AL$505,"○")&gt;0,1,0))</f>
        <v>0</v>
      </c>
      <c r="AI56" s="39" t="n">
        <f aca="false">IF(AI$4=0,0,IF(COUNTIFS(実績!$W$6:$W$505,AI$3,実績!$AI$6:$AI$505,"&lt;="&amp;$A56,実績!$AJ$6:$AJ$505,"&gt;"&amp;$A56,実績!$AL$6:$AL$505,"○")&gt;0,1,0))</f>
        <v>0</v>
      </c>
      <c r="AJ56" s="39" t="n">
        <f aca="false">IF(AJ$4=0,0,IF(COUNTIFS(実績!$W$6:$W$505,AJ$3,実績!$AI$6:$AI$505,"&lt;="&amp;$A56,実績!$AJ$6:$AJ$505,"&gt;"&amp;$A56,実績!$AL$6:$AL$505,"○")&gt;0,1,0))</f>
        <v>0</v>
      </c>
      <c r="AK56" s="39" t="n">
        <f aca="false">IF(AK$4=0,0,IF(COUNTIFS(実績!$W$6:$W$505,AK$3,実績!$AI$6:$AI$505,"&lt;="&amp;$A56,実績!$AJ$6:$AJ$505,"&gt;"&amp;$A56,実績!$AL$6:$AL$505,"○")&gt;0,1,0))</f>
        <v>0</v>
      </c>
      <c r="AL56" s="39" t="n">
        <f aca="false">IF(AL$4=0,0,IF(COUNTIFS(実績!$W$6:$W$505,AL$3,実績!$AI$6:$AI$505,"&lt;="&amp;$A56,実績!$AJ$6:$AJ$505,"&gt;"&amp;$A56,実績!$AL$6:$AL$505,"○")&gt;0,1,0))</f>
        <v>0</v>
      </c>
      <c r="AM56" s="39" t="n">
        <f aca="false">IF(AM$4=0,0,IF(COUNTIFS(実績!$W$6:$W$505,AM$3,実績!$AI$6:$AI$505,"&lt;="&amp;$A56,実績!$AJ$6:$AJ$505,"&gt;"&amp;$A56,実績!$AL$6:$AL$505,"○")&gt;0,1,0))</f>
        <v>0</v>
      </c>
      <c r="AN56" s="39" t="n">
        <f aca="false">IF(AN$4=0,0,IF(COUNTIFS(実績!$W$6:$W$505,AN$3,実績!$AI$6:$AI$505,"&lt;="&amp;$A56,実績!$AJ$6:$AJ$505,"&gt;"&amp;$A56,実績!$AL$6:$AL$505,"○")&gt;0,1,0))</f>
        <v>0</v>
      </c>
      <c r="AO56" s="39" t="n">
        <f aca="false">IF(AO$4=0,0,IF(COUNTIFS(実績!$W$6:$W$505,AO$3,実績!$AI$6:$AI$505,"&lt;="&amp;$A56,実績!$AJ$6:$AJ$505,"&gt;"&amp;$A56,実績!$AL$6:$AL$505,"○")&gt;0,1,0))</f>
        <v>0</v>
      </c>
      <c r="AP56" s="39" t="n">
        <f aca="false">IF(AP$4=0,0,IF(COUNTIFS(実績!$W$6:$W$505,AP$3,実績!$AI$6:$AI$505,"&lt;="&amp;$A56,実績!$AJ$6:$AJ$505,"&gt;"&amp;$A56,実績!$AL$6:$AL$505,"○")&gt;0,1,0))</f>
        <v>0</v>
      </c>
      <c r="AQ56" s="39" t="n">
        <f aca="false">IF(AQ$4=0,0,IF(COUNTIFS(実績!$W$6:$W$505,AQ$3,実績!$AI$6:$AI$505,"&lt;="&amp;$A56,実績!$AJ$6:$AJ$505,"&gt;"&amp;$A56,実績!$AL$6:$AL$505,"○")&gt;0,1,0))</f>
        <v>0</v>
      </c>
      <c r="AR56" s="39" t="n">
        <f aca="false">IF(AR$4=0,0,IF(COUNTIFS(実績!$W$6:$W$505,AR$3,実績!$AI$6:$AI$505,"&lt;="&amp;$A56,実績!$AJ$6:$AJ$505,"&gt;"&amp;$A56,実績!$AL$6:$AL$505,"○")&gt;0,1,0))</f>
        <v>0</v>
      </c>
      <c r="AS56" s="39" t="n">
        <f aca="false">IF(AS$4=0,0,IF(COUNTIFS(実績!$W$6:$W$505,AS$3,実績!$AI$6:$AI$505,"&lt;="&amp;$A56,実績!$AJ$6:$AJ$505,"&gt;"&amp;$A56,実績!$AL$6:$AL$505,"○")&gt;0,1,0))</f>
        <v>0</v>
      </c>
      <c r="AT56" s="39" t="n">
        <f aca="false">IF(AT$4=0,0,IF(COUNTIFS(実績!$W$6:$W$505,AT$3,実績!$AI$6:$AI$505,"&lt;="&amp;$A56,実績!$AJ$6:$AJ$505,"&gt;"&amp;$A56,実績!$AL$6:$AL$505,"○")&gt;0,1,0))</f>
        <v>0</v>
      </c>
      <c r="AU56" s="39" t="n">
        <f aca="false">IF(AU$4=0,0,IF(COUNTIFS(実績!$W$6:$W$505,AU$3,実績!$AI$6:$AI$505,"&lt;="&amp;$A56,実績!$AJ$6:$AJ$505,"&gt;"&amp;$A56,実績!$AL$6:$AL$505,"○")&gt;0,1,0))</f>
        <v>0</v>
      </c>
      <c r="AV56" s="39" t="n">
        <f aca="false">IF(AV$4=0,0,IF(COUNTIFS(実績!$W$6:$W$505,AV$3,実績!$AI$6:$AI$505,"&lt;="&amp;$A56,実績!$AJ$6:$AJ$505,"&gt;"&amp;$A56,実績!$AL$6:$AL$505,"○")&gt;0,1,0))</f>
        <v>0</v>
      </c>
      <c r="AW56" s="39" t="n">
        <f aca="false">IF(AW$4=0,0,IF(COUNTIFS(実績!$W$6:$W$505,AW$3,実績!$AI$6:$AI$505,"&lt;="&amp;$A56,実績!$AJ$6:$AJ$505,"&gt;"&amp;$A56,実績!$AL$6:$AL$505,"○")&gt;0,1,0))</f>
        <v>0</v>
      </c>
      <c r="AX56" s="39" t="n">
        <f aca="false">IF(AX$4=0,0,IF(COUNTIFS(実績!$W$6:$W$505,AX$3,実績!$AI$6:$AI$505,"&lt;="&amp;$A56,実績!$AJ$6:$AJ$505,"&gt;"&amp;$A56,実績!$AL$6:$AL$505,"○")&gt;0,1,0))</f>
        <v>0</v>
      </c>
      <c r="AY56" s="39" t="n">
        <f aca="false">IF(AY$4=0,0,IF(COUNTIFS(実績!$W$6:$W$505,AY$3,実績!$AI$6:$AI$505,"&lt;="&amp;$A56,実績!$AJ$6:$AJ$505,"&gt;"&amp;$A56,実績!$AL$6:$AL$505,"○")&gt;0,1,0))</f>
        <v>0</v>
      </c>
      <c r="AZ56" s="39" t="n">
        <f aca="false">IF(AZ$4=0,0,IF(COUNTIFS(実績!$W$6:$W$505,AZ$3,実績!$AI$6:$AI$505,"&lt;="&amp;$A56,実績!$AJ$6:$AJ$505,"&gt;"&amp;$A56,実績!$AL$6:$AL$505,"○")&gt;0,1,0))</f>
        <v>0</v>
      </c>
      <c r="BA56" s="39" t="n">
        <f aca="false">IF(BA$4=0,0,IF(COUNTIFS(実績!$W$6:$W$505,BA$3,実績!$AI$6:$AI$505,"&lt;="&amp;$A56,実績!$AJ$6:$AJ$505,"&gt;"&amp;$A56,実績!$AL$6:$AL$505,"○")&gt;0,1,0))</f>
        <v>0</v>
      </c>
      <c r="BB56" s="39" t="n">
        <f aca="false">IF(BB$4=0,0,IF(COUNTIFS(実績!$W$6:$W$505,BB$3,実績!$AI$6:$AI$505,"&lt;="&amp;$A56,実績!$AJ$6:$AJ$505,"&gt;"&amp;$A56,実績!$AL$6:$AL$505,"○")&gt;0,1,0))</f>
        <v>0</v>
      </c>
      <c r="BC56" s="39" t="n">
        <f aca="false">IF(BC$4=0,0,IF(COUNTIFS(実績!$W$6:$W$505,BC$3,実績!$AI$6:$AI$505,"&lt;="&amp;$A56,実績!$AJ$6:$AJ$505,"&gt;"&amp;$A56,実績!$AL$6:$AL$505,"○")&gt;0,1,0))</f>
        <v>0</v>
      </c>
      <c r="BD56" s="39" t="n">
        <f aca="false">IF(BD$4=0,0,IF(COUNTIFS(実績!$W$6:$W$505,BD$3,実績!$AI$6:$AI$505,"&lt;="&amp;$A56,実績!$AJ$6:$AJ$505,"&gt;"&amp;$A56,実績!$AL$6:$AL$505,"○")&gt;0,1,0))</f>
        <v>0</v>
      </c>
      <c r="BE56" s="39" t="n">
        <f aca="false">IF(BE$4=0,0,IF(COUNTIFS(実績!$W$6:$W$505,BE$3,実績!$AI$6:$AI$505,"&lt;="&amp;$A56,実績!$AJ$6:$AJ$505,"&gt;"&amp;$A56,実績!$AL$6:$AL$505,"○")&gt;0,1,0))</f>
        <v>0</v>
      </c>
      <c r="BF56" s="39" t="n">
        <f aca="false">IF(BF$4=0,0,IF(COUNTIFS(実績!$W$6:$W$505,BF$3,実績!$AI$6:$AI$505,"&lt;="&amp;$A56,実績!$AJ$6:$AJ$505,"&gt;"&amp;$A56,実績!$AL$6:$AL$505,"○")&gt;0,1,0))</f>
        <v>0</v>
      </c>
      <c r="BG56" s="39" t="n">
        <f aca="false">IF(BG$4=0,0,IF(COUNTIFS(実績!$W$6:$W$505,BG$3,実績!$AI$6:$AI$505,"&lt;="&amp;$A56,実績!$AJ$6:$AJ$505,"&gt;"&amp;$A56,実績!$AL$6:$AL$505,"○")&gt;0,1,0))</f>
        <v>0</v>
      </c>
      <c r="BH56" s="39" t="n">
        <f aca="false">IF(BH$4=0,0,IF(COUNTIFS(実績!$W$6:$W$505,BH$3,実績!$AI$6:$AI$505,"&lt;="&amp;$A56,実績!$AJ$6:$AJ$505,"&gt;"&amp;$A56,実績!$AL$6:$AL$505,"○")&gt;0,1,0))</f>
        <v>0</v>
      </c>
      <c r="BI56" s="39" t="n">
        <f aca="false">IF(BI$4=0,0,IF(COUNTIFS(実績!$W$6:$W$505,BI$3,実績!$AI$6:$AI$505,"&lt;="&amp;$A56,実績!$AJ$6:$AJ$505,"&gt;"&amp;$A56,実績!$AL$6:$AL$505,"○")&gt;0,1,0))</f>
        <v>0</v>
      </c>
      <c r="BJ56" s="39" t="n">
        <f aca="false">IF(BJ$4=0,0,IF(COUNTIFS(実績!$W$6:$W$505,BJ$3,実績!$AI$6:$AI$505,"&lt;="&amp;$A56,実績!$AJ$6:$AJ$505,"&gt;"&amp;$A56,実績!$AL$6:$AL$505,"○")&gt;0,1,0))</f>
        <v>0</v>
      </c>
      <c r="BK56" s="39" t="n">
        <f aca="false">IF(BK$4=0,0,IF(COUNTIFS(実績!$W$6:$W$505,BK$3,実績!$AI$6:$AI$505,"&lt;="&amp;$A56,実績!$AJ$6:$AJ$505,"&gt;"&amp;$A56,実績!$AL$6:$AL$505,"○")&gt;0,1,0))</f>
        <v>0</v>
      </c>
      <c r="BL56" s="39" t="n">
        <f aca="false">IF(BL$4=0,0,IF(COUNTIFS(実績!$W$6:$W$505,BL$3,実績!$AI$6:$AI$505,"&lt;="&amp;$A56,実績!$AJ$6:$AJ$505,"&gt;"&amp;$A56,実績!$AL$6:$AL$505,"○")&gt;0,1,0))</f>
        <v>0</v>
      </c>
      <c r="BM56" s="39" t="n">
        <f aca="false">IF(BM$4=0,0,IF(COUNTIFS(実績!$W$6:$W$505,BM$3,実績!$AI$6:$AI$505,"&lt;="&amp;$A56,実績!$AJ$6:$AJ$505,"&gt;"&amp;$A56,実績!$AL$6:$AL$505,"○")&gt;0,1,0))</f>
        <v>0</v>
      </c>
      <c r="BN56" s="39" t="n">
        <f aca="false">IF(BN$4=0,0,IF(COUNTIFS(実績!$W$6:$W$505,BN$3,実績!$AI$6:$AI$505,"&lt;="&amp;$A56,実績!$AJ$6:$AJ$505,"&gt;"&amp;$A56,実績!$AL$6:$AL$505,"○")&gt;0,1,0))</f>
        <v>0</v>
      </c>
      <c r="BO56" s="39" t="n">
        <f aca="false">IF(BO$4=0,0,IF(COUNTIFS(実績!$W$6:$W$505,BO$3,実績!$AI$6:$AI$505,"&lt;="&amp;$A56,実績!$AJ$6:$AJ$505,"&gt;"&amp;$A56,実績!$AL$6:$AL$505,"○")&gt;0,1,0))</f>
        <v>0</v>
      </c>
      <c r="BP56" s="39" t="n">
        <f aca="false">IF(BP$4=0,0,IF(COUNTIFS(実績!$W$6:$W$505,BP$3,実績!$AI$6:$AI$505,"&lt;="&amp;$A56,実績!$AJ$6:$AJ$505,"&gt;"&amp;$A56,実績!$AL$6:$AL$505,"○")&gt;0,1,0))</f>
        <v>0</v>
      </c>
      <c r="BQ56" s="39" t="n">
        <f aca="false">IF(BQ$4=0,0,IF(COUNTIFS(実績!$W$6:$W$505,BQ$3,実績!$AI$6:$AI$505,"&lt;="&amp;$A56,実績!$AJ$6:$AJ$505,"&gt;"&amp;$A56,実績!$AL$6:$AL$505,"○")&gt;0,1,0))</f>
        <v>0</v>
      </c>
      <c r="BR56" s="39" t="n">
        <f aca="false">IF(BR$4=0,0,IF(COUNTIFS(実績!$W$6:$W$505,BR$3,実績!$AI$6:$AI$505,"&lt;="&amp;$A56,実績!$AJ$6:$AJ$505,"&gt;"&amp;$A56,実績!$AL$6:$AL$505,"○")&gt;0,1,0))</f>
        <v>0</v>
      </c>
      <c r="BS56" s="39" t="n">
        <f aca="false">IF(BS$4=0,0,IF(COUNTIFS(実績!$W$6:$W$505,BS$3,実績!$AI$6:$AI$505,"&lt;="&amp;$A56,実績!$AJ$6:$AJ$505,"&gt;"&amp;$A56,実績!$AL$6:$AL$505,"○")&gt;0,1,0))</f>
        <v>0</v>
      </c>
      <c r="BT56" s="39" t="n">
        <f aca="false">IF(BT$4=0,0,IF(COUNTIFS(実績!$W$6:$W$505,BT$3,実績!$AI$6:$AI$505,"&lt;="&amp;$A56,実績!$AJ$6:$AJ$505,"&gt;"&amp;$A56,実績!$AL$6:$AL$505,"○")&gt;0,1,0))</f>
        <v>0</v>
      </c>
      <c r="BU56" s="39" t="n">
        <f aca="false">IF(BU$4=0,0,IF(COUNTIFS(実績!$W$6:$W$505,BU$3,実績!$AI$6:$AI$505,"&lt;="&amp;$A56,実績!$AJ$6:$AJ$505,"&gt;"&amp;$A56,実績!$AL$6:$AL$505,"○")&gt;0,1,0))</f>
        <v>0</v>
      </c>
      <c r="BV56" s="39" t="n">
        <f aca="false">IF(BV$4=0,0,IF(COUNTIFS(実績!$W$6:$W$505,BV$3,実績!$AI$6:$AI$505,"&lt;="&amp;$A56,実績!$AJ$6:$AJ$505,"&gt;"&amp;$A56,実績!$AL$6:$AL$505,"○")&gt;0,1,0))</f>
        <v>0</v>
      </c>
      <c r="BW56" s="39" t="n">
        <f aca="false">IF(BW$4=0,0,IF(COUNTIFS(実績!$W$6:$W$505,BW$3,実績!$AI$6:$AI$505,"&lt;="&amp;$A56,実績!$AJ$6:$AJ$505,"&gt;"&amp;$A56,実績!$AL$6:$AL$505,"○")&gt;0,1,0))</f>
        <v>0</v>
      </c>
      <c r="BX56" s="39" t="n">
        <f aca="false">IF(BX$4=0,0,IF(COUNTIFS(実績!$W$6:$W$505,BX$3,実績!$AI$6:$AI$505,"&lt;="&amp;$A56,実績!$AJ$6:$AJ$505,"&gt;"&amp;$A56,実績!$AL$6:$AL$505,"○")&gt;0,1,0))</f>
        <v>0</v>
      </c>
      <c r="BY56" s="39" t="n">
        <f aca="false">IF(BY$4=0,0,IF(COUNTIFS(実績!$W$6:$W$505,BY$3,実績!$AI$6:$AI$505,"&lt;="&amp;$A56,実績!$AJ$6:$AJ$505,"&gt;"&amp;$A56,実績!$AL$6:$AL$505,"○")&gt;0,1,0))</f>
        <v>0</v>
      </c>
      <c r="BZ56" s="39" t="n">
        <f aca="false">IF(BZ$4=0,0,IF(COUNTIFS(実績!$W$6:$W$505,BZ$3,実績!$AI$6:$AI$505,"&lt;="&amp;$A56,実績!$AJ$6:$AJ$505,"&gt;"&amp;$A56,実績!$AL$6:$AL$505,"○")&gt;0,1,0))</f>
        <v>0</v>
      </c>
      <c r="CA56" s="39" t="n">
        <f aca="false">IF(CA$4=0,0,IF(COUNTIFS(実績!$W$6:$W$505,CA$3,実績!$AI$6:$AI$505,"&lt;="&amp;$A56,実績!$AJ$6:$AJ$505,"&gt;"&amp;$A56,実績!$AL$6:$AL$505,"○")&gt;0,1,0))</f>
        <v>0</v>
      </c>
      <c r="CB56" s="39" t="n">
        <f aca="false">IF(CB$4=0,0,IF(COUNTIFS(実績!$W$6:$W$505,CB$3,実績!$AI$6:$AI$505,"&lt;="&amp;$A56,実績!$AJ$6:$AJ$505,"&gt;"&amp;$A56,実績!$AL$6:$AL$505,"○")&gt;0,1,0))</f>
        <v>0</v>
      </c>
      <c r="CC56" s="39" t="n">
        <f aca="false">IF(CC$4=0,0,IF(COUNTIFS(実績!$W$6:$W$505,CC$3,実績!$AI$6:$AI$505,"&lt;="&amp;$A56,実績!$AJ$6:$AJ$505,"&gt;"&amp;$A56,実績!$AL$6:$AL$505,"○")&gt;0,1,0))</f>
        <v>0</v>
      </c>
      <c r="CD56" s="39" t="n">
        <f aca="false">IF(CD$4=0,0,IF(COUNTIFS(実績!$W$6:$W$505,CD$3,実績!$AI$6:$AI$505,"&lt;="&amp;$A56,実績!$AJ$6:$AJ$505,"&gt;"&amp;$A56,実績!$AL$6:$AL$505,"○")&gt;0,1,0))</f>
        <v>0</v>
      </c>
      <c r="CE56" s="39" t="n">
        <f aca="false">IF(CE$4=0,0,IF(COUNTIFS(実績!$W$6:$W$505,CE$3,実績!$AI$6:$AI$505,"&lt;="&amp;$A56,実績!$AJ$6:$AJ$505,"&gt;"&amp;$A56,実績!$AL$6:$AL$505,"○")&gt;0,1,0))</f>
        <v>0</v>
      </c>
      <c r="CF56" s="39" t="n">
        <f aca="false">IF(CF$4=0,0,IF(COUNTIFS(実績!$W$6:$W$505,CF$3,実績!$AI$6:$AI$505,"&lt;="&amp;$A56,実績!$AJ$6:$AJ$505,"&gt;"&amp;$A56,実績!$AL$6:$AL$505,"○")&gt;0,1,0))</f>
        <v>0</v>
      </c>
      <c r="CG56" s="39" t="n">
        <f aca="false">IF(CG$4=0,0,IF(COUNTIFS(実績!$W$6:$W$505,CG$3,実績!$AI$6:$AI$505,"&lt;="&amp;$A56,実績!$AJ$6:$AJ$505,"&gt;"&amp;$A56,実績!$AL$6:$AL$505,"○")&gt;0,1,0))</f>
        <v>0</v>
      </c>
      <c r="CH56" s="39" t="n">
        <f aca="false">IF(CH$4=0,0,IF(COUNTIFS(実績!$W$6:$W$505,CH$3,実績!$AI$6:$AI$505,"&lt;="&amp;$A56,実績!$AJ$6:$AJ$505,"&gt;"&amp;$A56,実績!$AL$6:$AL$505,"○")&gt;0,1,0))</f>
        <v>0</v>
      </c>
      <c r="CI56" s="39" t="n">
        <f aca="false">IF(CI$4=0,0,IF(COUNTIFS(実績!$W$6:$W$505,CI$3,実績!$AI$6:$AI$505,"&lt;="&amp;$A56,実績!$AJ$6:$AJ$505,"&gt;"&amp;$A56,実績!$AL$6:$AL$505,"○")&gt;0,1,0))</f>
        <v>0</v>
      </c>
      <c r="CJ56" s="39" t="n">
        <f aca="false">IF(CJ$4=0,0,IF(COUNTIFS(実績!$W$6:$W$505,CJ$3,実績!$AI$6:$AI$505,"&lt;="&amp;$A56,実績!$AJ$6:$AJ$505,"&gt;"&amp;$A56,実績!$AL$6:$AL$505,"○")&gt;0,1,0))</f>
        <v>0</v>
      </c>
      <c r="CK56" s="39" t="n">
        <f aca="false">IF(CK$4=0,0,IF(COUNTIFS(実績!$W$6:$W$505,CK$3,実績!$AI$6:$AI$505,"&lt;="&amp;$A56,実績!$AJ$6:$AJ$505,"&gt;"&amp;$A56,実績!$AL$6:$AL$505,"○")&gt;0,1,0))</f>
        <v>0</v>
      </c>
      <c r="CL56" s="39" t="n">
        <f aca="false">IF(CL$4=0,0,IF(COUNTIFS(実績!$W$6:$W$505,CL$3,実績!$AI$6:$AI$505,"&lt;="&amp;$A56,実績!$AJ$6:$AJ$505,"&gt;"&amp;$A56,実績!$AL$6:$AL$505,"○")&gt;0,1,0))</f>
        <v>0</v>
      </c>
      <c r="CM56" s="39" t="n">
        <f aca="false">IF(CM$4=0,0,IF(COUNTIFS(実績!$W$6:$W$505,CM$3,実績!$AI$6:$AI$505,"&lt;="&amp;$A56,実績!$AJ$6:$AJ$505,"&gt;"&amp;$A56,実績!$AL$6:$AL$505,"○")&gt;0,1,0))</f>
        <v>0</v>
      </c>
      <c r="CN56" s="39" t="n">
        <f aca="false">IF(CN$4=0,0,IF(COUNTIFS(実績!$W$6:$W$505,CN$3,実績!$AI$6:$AI$505,"&lt;="&amp;$A56,実績!$AJ$6:$AJ$505,"&gt;"&amp;$A56,実績!$AL$6:$AL$505,"○")&gt;0,1,0))</f>
        <v>0</v>
      </c>
      <c r="CO56" s="39" t="n">
        <f aca="false">IF(CO$4=0,0,IF(COUNTIFS(実績!$W$6:$W$505,CO$3,実績!$AI$6:$AI$505,"&lt;="&amp;$A56,実績!$AJ$6:$AJ$505,"&gt;"&amp;$A56,実績!$AL$6:$AL$505,"○")&gt;0,1,0))</f>
        <v>0</v>
      </c>
      <c r="CP56" s="39" t="n">
        <f aca="false">IF(CP$4=0,0,IF(COUNTIFS(実績!$W$6:$W$505,CP$3,実績!$AI$6:$AI$505,"&lt;="&amp;$A56,実績!$AJ$6:$AJ$505,"&gt;"&amp;$A56,実績!$AL$6:$AL$505,"○")&gt;0,1,0))</f>
        <v>0</v>
      </c>
      <c r="CQ56" s="39" t="n">
        <f aca="false">IF(CQ$4=0,0,IF(COUNTIFS(実績!$W$6:$W$505,CQ$3,実績!$AI$6:$AI$505,"&lt;="&amp;$A56,実績!$AJ$6:$AJ$505,"&gt;"&amp;$A56,実績!$AL$6:$AL$505,"○")&gt;0,1,0))</f>
        <v>0</v>
      </c>
      <c r="CR56" s="39" t="n">
        <f aca="false">IF(CR$4=0,0,IF(COUNTIFS(実績!$W$6:$W$505,CR$3,実績!$AI$6:$AI$505,"&lt;="&amp;$A56,実績!$AJ$6:$AJ$505,"&gt;"&amp;$A56,実績!$AL$6:$AL$505,"○")&gt;0,1,0))</f>
        <v>0</v>
      </c>
      <c r="CS56" s="39" t="n">
        <f aca="false">IF(CS$4=0,0,IF(COUNTIFS(実績!$W$6:$W$505,CS$3,実績!$AI$6:$AI$505,"&lt;="&amp;$A56,実績!$AJ$6:$AJ$505,"&gt;"&amp;$A56,実績!$AL$6:$AL$505,"○")&gt;0,1,0))</f>
        <v>0</v>
      </c>
      <c r="CT56" s="39" t="n">
        <f aca="false">IF(CT$4=0,0,IF(COUNTIFS(実績!$W$6:$W$505,CT$3,実績!$AI$6:$AI$505,"&lt;="&amp;$A56,実績!$AJ$6:$AJ$505,"&gt;"&amp;$A56,実績!$AL$6:$AL$505,"○")&gt;0,1,0))</f>
        <v>0</v>
      </c>
      <c r="CU56" s="39" t="n">
        <f aca="false">IF(CU$4=0,0,IF(COUNTIFS(実績!$W$6:$W$505,CU$3,実績!$AI$6:$AI$505,"&lt;="&amp;$A56,実績!$AJ$6:$AJ$505,"&gt;"&amp;$A56,実績!$AL$6:$AL$505,"○")&gt;0,1,0))</f>
        <v>0</v>
      </c>
      <c r="CV56" s="39" t="n">
        <f aca="false">IF(CV$4=0,0,IF(COUNTIFS(実績!$W$6:$W$505,CV$3,実績!$AI$6:$AI$505,"&lt;="&amp;$A56,実績!$AJ$6:$AJ$505,"&gt;"&amp;$A56,実績!$AL$6:$AL$505,"○")&gt;0,1,0))</f>
        <v>0</v>
      </c>
      <c r="CW56" s="39" t="n">
        <f aca="false">IF(CW$4=0,0,IF(COUNTIFS(実績!$W$6:$W$505,CW$3,実績!$AI$6:$AI$505,"&lt;="&amp;$A56,実績!$AJ$6:$AJ$505,"&gt;"&amp;$A56,実績!$AL$6:$AL$505,"○")&gt;0,1,0))</f>
        <v>0</v>
      </c>
      <c r="CX56" s="39" t="n">
        <f aca="false">IF(CX$4=0,0,IF(COUNTIFS(実績!$W$6:$W$505,CX$3,実績!$AI$6:$AI$505,"&lt;="&amp;$A56,実績!$AJ$6:$AJ$505,"&gt;"&amp;$A56,実績!$AL$6:$AL$505,"○")&gt;0,1,0))</f>
        <v>0</v>
      </c>
      <c r="CY56" s="39" t="n">
        <f aca="false">IF(CY$4=0,0,IF(COUNTIFS(実績!$W$6:$W$505,CY$3,実績!$AI$6:$AI$505,"&lt;="&amp;$A56,実績!$AJ$6:$AJ$505,"&gt;"&amp;$A56,実績!$AL$6:$AL$505,"○")&gt;0,1,0))</f>
        <v>0</v>
      </c>
      <c r="CZ56" s="39" t="n">
        <f aca="false">IF(CZ$4=0,0,IF(COUNTIFS(実績!$W$6:$W$505,CZ$3,実績!$AI$6:$AI$505,"&lt;="&amp;$A56,実績!$AJ$6:$AJ$505,"&gt;"&amp;$A56,実績!$AL$6:$AL$505,"○")&gt;0,1,0))</f>
        <v>0</v>
      </c>
      <c r="DA56" s="39" t="n">
        <f aca="false">IF(DA$4=0,0,IF(COUNTIFS(実績!$W$6:$W$505,DA$3,実績!$AI$6:$AI$505,"&lt;="&amp;$A56,実績!$AJ$6:$AJ$505,"&gt;"&amp;$A56,実績!$AL$6:$AL$505,"○")&gt;0,1,0))</f>
        <v>0</v>
      </c>
      <c r="DB56" s="39" t="n">
        <f aca="false">IF(DB$4=0,0,IF(COUNTIFS(実績!$W$6:$W$505,DB$3,実績!$AI$6:$AI$505,"&lt;="&amp;$A56,実績!$AJ$6:$AJ$505,"&gt;"&amp;$A56,実績!$AL$6:$AL$505,"○")&gt;0,1,0))</f>
        <v>0</v>
      </c>
      <c r="DC56" s="39" t="n">
        <f aca="false">IF(DC$4=0,0,IF(COUNTIFS(実績!$W$6:$W$505,DC$3,実績!$AI$6:$AI$505,"&lt;="&amp;$A56,実績!$AJ$6:$AJ$505,"&gt;"&amp;$A56,実績!$AL$6:$AL$505,"○")&gt;0,1,0))</f>
        <v>0</v>
      </c>
      <c r="DD56" s="39" t="n">
        <f aca="false">IF(DD$4=0,0,IF(COUNTIFS(実績!$W$6:$W$505,DD$3,実績!$AI$6:$AI$505,"&lt;="&amp;$A56,実績!$AJ$6:$AJ$505,"&gt;"&amp;$A56,実績!$AL$6:$AL$505,"○")&gt;0,1,0))</f>
        <v>0</v>
      </c>
      <c r="DE56" s="39" t="n">
        <f aca="false">IF(DE$4=0,0,IF(COUNTIFS(実績!$W$6:$W$505,DE$3,実績!$AI$6:$AI$505,"&lt;="&amp;$A56,実績!$AJ$6:$AJ$505,"&gt;"&amp;$A56,実績!$AL$6:$AL$505,"○")&gt;0,1,0))</f>
        <v>0</v>
      </c>
      <c r="DF56" s="39" t="n">
        <f aca="false">IF(DF$4=0,0,IF(COUNTIFS(実績!$W$6:$W$505,DF$3,実績!$AI$6:$AI$505,"&lt;="&amp;$A56,実績!$AJ$6:$AJ$505,"&gt;"&amp;$A56,実績!$AL$6:$AL$505,"○")&gt;0,1,0))</f>
        <v>0</v>
      </c>
      <c r="DG56" s="39" t="n">
        <f aca="false">IF(DG$4=0,0,IF(COUNTIFS(実績!$W$6:$W$505,DG$3,実績!$AI$6:$AI$505,"&lt;="&amp;$A56,実績!$AJ$6:$AJ$505,"&gt;"&amp;$A56,実績!$AL$6:$AL$505,"○")&gt;0,1,0))</f>
        <v>0</v>
      </c>
      <c r="DH56" s="39" t="n">
        <f aca="false">IF(DH$4=0,0,IF(COUNTIFS(実績!$W$6:$W$505,DH$3,実績!$AI$6:$AI$505,"&lt;="&amp;$A56,実績!$AJ$6:$AJ$505,"&gt;"&amp;$A56,実績!$AL$6:$AL$505,"○")&gt;0,1,0))</f>
        <v>0</v>
      </c>
      <c r="DI56" s="39" t="n">
        <f aca="false">IF(DI$4=0,0,IF(COUNTIFS(実績!$W$6:$W$505,DI$3,実績!$AI$6:$AI$505,"&lt;="&amp;$A56,実績!$AJ$6:$AJ$505,"&gt;"&amp;$A56,実績!$AL$6:$AL$505,"○")&gt;0,1,0))</f>
        <v>0</v>
      </c>
      <c r="DJ56" s="39" t="n">
        <f aca="false">IF(DJ$4=0,0,IF(COUNTIFS(実績!$W$6:$W$505,DJ$3,実績!$AI$6:$AI$505,"&lt;="&amp;$A56,実績!$AJ$6:$AJ$505,"&gt;"&amp;$A56,実績!$AL$6:$AL$505,"○")&gt;0,1,0))</f>
        <v>0</v>
      </c>
      <c r="DK56" s="39" t="n">
        <f aca="false">IF(DK$4=0,0,IF(COUNTIFS(実績!$W$6:$W$505,DK$3,実績!$AI$6:$AI$505,"&lt;="&amp;$A56,実績!$AJ$6:$AJ$505,"&gt;"&amp;$A56,実績!$AL$6:$AL$505,"○")&gt;0,1,0))</f>
        <v>0</v>
      </c>
      <c r="DL56" s="39" t="n">
        <f aca="false">IF(DL$4=0,0,IF(COUNTIFS(実績!$W$6:$W$505,DL$3,実績!$AI$6:$AI$505,"&lt;="&amp;$A56,実績!$AJ$6:$AJ$505,"&gt;"&amp;$A56,実績!$AL$6:$AL$505,"○")&gt;0,1,0))</f>
        <v>0</v>
      </c>
      <c r="DM56" s="39" t="n">
        <f aca="false">IF(DM$4=0,0,IF(COUNTIFS(実績!$W$6:$W$505,DM$3,実績!$AI$6:$AI$505,"&lt;="&amp;$A56,実績!$AJ$6:$AJ$505,"&gt;"&amp;$A56,実績!$AL$6:$AL$505,"○")&gt;0,1,0))</f>
        <v>0</v>
      </c>
      <c r="DN56" s="39" t="n">
        <f aca="false">IF(DN$4=0,0,IF(COUNTIFS(実績!$W$6:$W$505,DN$3,実績!$AI$6:$AI$505,"&lt;="&amp;$A56,実績!$AJ$6:$AJ$505,"&gt;"&amp;$A56,実績!$AL$6:$AL$505,"○")&gt;0,1,0))</f>
        <v>0</v>
      </c>
      <c r="DO56" s="39" t="n">
        <f aca="false">IF(DO$4=0,0,IF(COUNTIFS(実績!$W$6:$W$505,DO$3,実績!$AI$6:$AI$505,"&lt;="&amp;$A56,実績!$AJ$6:$AJ$505,"&gt;"&amp;$A56,実績!$AL$6:$AL$505,"○")&gt;0,1,0))</f>
        <v>0</v>
      </c>
      <c r="DP56" s="39" t="n">
        <f aca="false">IF(DP$4=0,0,IF(COUNTIFS(実績!$W$6:$W$505,DP$3,実績!$AI$6:$AI$505,"&lt;="&amp;$A56,実績!$AJ$6:$AJ$505,"&gt;"&amp;$A56,実績!$AL$6:$AL$505,"○")&gt;0,1,0))</f>
        <v>0</v>
      </c>
      <c r="DQ56" s="39" t="n">
        <f aca="false">IF(DQ$4=0,0,IF(COUNTIFS(実績!$W$6:$W$505,DQ$3,実績!$AI$6:$AI$505,"&lt;="&amp;$A56,実績!$AJ$6:$AJ$505,"&gt;"&amp;$A56,実績!$AL$6:$AL$505,"○")&gt;0,1,0))</f>
        <v>0</v>
      </c>
      <c r="DR56" s="39" t="n">
        <f aca="false">IF(DR$4=0,0,IF(COUNTIFS(実績!$W$6:$W$505,DR$3,実績!$AI$6:$AI$505,"&lt;="&amp;$A56,実績!$AJ$6:$AJ$505,"&gt;"&amp;$A56,実績!$AL$6:$AL$505,"○")&gt;0,1,0))</f>
        <v>0</v>
      </c>
      <c r="DS56" s="39" t="n">
        <f aca="false">SUM(C56:DR56)</f>
        <v>0</v>
      </c>
    </row>
    <row r="57" customFormat="false" ht="15" hidden="false" customHeight="false" outlineLevel="0" collapsed="false">
      <c r="A57" s="0" t="n">
        <v>255</v>
      </c>
      <c r="B57" s="38" t="n">
        <f aca="false">A57/1440</f>
        <v>0.177083333333333</v>
      </c>
      <c r="C57" s="39" t="n">
        <f aca="false">IF(C$4=0,0,IF(COUNTIFS(実績!$W$6:$W$505,C$3,実績!$AI$6:$AI$505,"&lt;="&amp;$A57,実績!$AJ$6:$AJ$505,"&gt;"&amp;$A57,実績!$AL$6:$AL$505,"○")&gt;0,1,0))</f>
        <v>0</v>
      </c>
      <c r="D57" s="39" t="n">
        <f aca="false">IF(D$4=0,0,IF(COUNTIFS(実績!$W$6:$W$505,D$3,実績!$AI$6:$AI$505,"&lt;="&amp;$A57,実績!$AJ$6:$AJ$505,"&gt;"&amp;$A57,実績!$AL$6:$AL$505,"○")&gt;0,1,0))</f>
        <v>0</v>
      </c>
      <c r="E57" s="39" t="n">
        <f aca="false">IF(E$4=0,0,IF(COUNTIFS(実績!$W$6:$W$505,E$3,実績!$AI$6:$AI$505,"&lt;="&amp;$A57,実績!$AJ$6:$AJ$505,"&gt;"&amp;$A57,実績!$AL$6:$AL$505,"○")&gt;0,1,0))</f>
        <v>0</v>
      </c>
      <c r="F57" s="39" t="n">
        <f aca="false">IF(F$4=0,0,IF(COUNTIFS(実績!$W$6:$W$505,F$3,実績!$AI$6:$AI$505,"&lt;="&amp;$A57,実績!$AJ$6:$AJ$505,"&gt;"&amp;$A57,実績!$AL$6:$AL$505,"○")&gt;0,1,0))</f>
        <v>0</v>
      </c>
      <c r="G57" s="39" t="n">
        <f aca="false">IF(G$4=0,0,IF(COUNTIFS(実績!$W$6:$W$505,G$3,実績!$AI$6:$AI$505,"&lt;="&amp;$A57,実績!$AJ$6:$AJ$505,"&gt;"&amp;$A57,実績!$AL$6:$AL$505,"○")&gt;0,1,0))</f>
        <v>0</v>
      </c>
      <c r="H57" s="39" t="n">
        <f aca="false">IF(H$4=0,0,IF(COUNTIFS(実績!$W$6:$W$505,H$3,実績!$AI$6:$AI$505,"&lt;="&amp;$A57,実績!$AJ$6:$AJ$505,"&gt;"&amp;$A57,実績!$AL$6:$AL$505,"○")&gt;0,1,0))</f>
        <v>0</v>
      </c>
      <c r="I57" s="39" t="n">
        <f aca="false">IF(I$4=0,0,IF(COUNTIFS(実績!$W$6:$W$505,I$3,実績!$AI$6:$AI$505,"&lt;="&amp;$A57,実績!$AJ$6:$AJ$505,"&gt;"&amp;$A57,実績!$AL$6:$AL$505,"○")&gt;0,1,0))</f>
        <v>0</v>
      </c>
      <c r="J57" s="39" t="n">
        <f aca="false">IF(J$4=0,0,IF(COUNTIFS(実績!$W$6:$W$505,J$3,実績!$AI$6:$AI$505,"&lt;="&amp;$A57,実績!$AJ$6:$AJ$505,"&gt;"&amp;$A57,実績!$AL$6:$AL$505,"○")&gt;0,1,0))</f>
        <v>0</v>
      </c>
      <c r="K57" s="39" t="n">
        <f aca="false">IF(K$4=0,0,IF(COUNTIFS(実績!$W$6:$W$505,K$3,実績!$AI$6:$AI$505,"&lt;="&amp;$A57,実績!$AJ$6:$AJ$505,"&gt;"&amp;$A57,実績!$AL$6:$AL$505,"○")&gt;0,1,0))</f>
        <v>0</v>
      </c>
      <c r="L57" s="39" t="n">
        <f aca="false">IF(L$4=0,0,IF(COUNTIFS(実績!$W$6:$W$505,L$3,実績!$AI$6:$AI$505,"&lt;="&amp;$A57,実績!$AJ$6:$AJ$505,"&gt;"&amp;$A57,実績!$AL$6:$AL$505,"○")&gt;0,1,0))</f>
        <v>0</v>
      </c>
      <c r="M57" s="39" t="n">
        <f aca="false">IF(M$4=0,0,IF(COUNTIFS(実績!$W$6:$W$505,M$3,実績!$AI$6:$AI$505,"&lt;="&amp;$A57,実績!$AJ$6:$AJ$505,"&gt;"&amp;$A57,実績!$AL$6:$AL$505,"○")&gt;0,1,0))</f>
        <v>0</v>
      </c>
      <c r="N57" s="39" t="n">
        <f aca="false">IF(N$4=0,0,IF(COUNTIFS(実績!$W$6:$W$505,N$3,実績!$AI$6:$AI$505,"&lt;="&amp;$A57,実績!$AJ$6:$AJ$505,"&gt;"&amp;$A57,実績!$AL$6:$AL$505,"○")&gt;0,1,0))</f>
        <v>0</v>
      </c>
      <c r="O57" s="39" t="n">
        <f aca="false">IF(O$4=0,0,IF(COUNTIFS(実績!$W$6:$W$505,O$3,実績!$AI$6:$AI$505,"&lt;="&amp;$A57,実績!$AJ$6:$AJ$505,"&gt;"&amp;$A57,実績!$AL$6:$AL$505,"○")&gt;0,1,0))</f>
        <v>0</v>
      </c>
      <c r="P57" s="39" t="n">
        <f aca="false">IF(P$4=0,0,IF(COUNTIFS(実績!$W$6:$W$505,P$3,実績!$AI$6:$AI$505,"&lt;="&amp;$A57,実績!$AJ$6:$AJ$505,"&gt;"&amp;$A57,実績!$AL$6:$AL$505,"○")&gt;0,1,0))</f>
        <v>0</v>
      </c>
      <c r="Q57" s="39" t="n">
        <f aca="false">IF(Q$4=0,0,IF(COUNTIFS(実績!$W$6:$W$505,Q$3,実績!$AI$6:$AI$505,"&lt;="&amp;$A57,実績!$AJ$6:$AJ$505,"&gt;"&amp;$A57,実績!$AL$6:$AL$505,"○")&gt;0,1,0))</f>
        <v>0</v>
      </c>
      <c r="R57" s="39" t="n">
        <f aca="false">IF(R$4=0,0,IF(COUNTIFS(実績!$W$6:$W$505,R$3,実績!$AI$6:$AI$505,"&lt;="&amp;$A57,実績!$AJ$6:$AJ$505,"&gt;"&amp;$A57,実績!$AL$6:$AL$505,"○")&gt;0,1,0))</f>
        <v>0</v>
      </c>
      <c r="S57" s="39" t="n">
        <f aca="false">IF(S$4=0,0,IF(COUNTIFS(実績!$W$6:$W$505,S$3,実績!$AI$6:$AI$505,"&lt;="&amp;$A57,実績!$AJ$6:$AJ$505,"&gt;"&amp;$A57,実績!$AL$6:$AL$505,"○")&gt;0,1,0))</f>
        <v>0</v>
      </c>
      <c r="T57" s="39" t="n">
        <f aca="false">IF(T$4=0,0,IF(COUNTIFS(実績!$W$6:$W$505,T$3,実績!$AI$6:$AI$505,"&lt;="&amp;$A57,実績!$AJ$6:$AJ$505,"&gt;"&amp;$A57,実績!$AL$6:$AL$505,"○")&gt;0,1,0))</f>
        <v>0</v>
      </c>
      <c r="U57" s="39" t="n">
        <f aca="false">IF(U$4=0,0,IF(COUNTIFS(実績!$W$6:$W$505,U$3,実績!$AI$6:$AI$505,"&lt;="&amp;$A57,実績!$AJ$6:$AJ$505,"&gt;"&amp;$A57,実績!$AL$6:$AL$505,"○")&gt;0,1,0))</f>
        <v>0</v>
      </c>
      <c r="V57" s="39" t="n">
        <f aca="false">IF(V$4=0,0,IF(COUNTIFS(実績!$W$6:$W$505,V$3,実績!$AI$6:$AI$505,"&lt;="&amp;$A57,実績!$AJ$6:$AJ$505,"&gt;"&amp;$A57,実績!$AL$6:$AL$505,"○")&gt;0,1,0))</f>
        <v>0</v>
      </c>
      <c r="W57" s="39" t="n">
        <f aca="false">IF(W$4=0,0,IF(COUNTIFS(実績!$W$6:$W$505,W$3,実績!$AI$6:$AI$505,"&lt;="&amp;$A57,実績!$AJ$6:$AJ$505,"&gt;"&amp;$A57,実績!$AL$6:$AL$505,"○")&gt;0,1,0))</f>
        <v>0</v>
      </c>
      <c r="X57" s="39" t="n">
        <f aca="false">IF(X$4=0,0,IF(COUNTIFS(実績!$W$6:$W$505,X$3,実績!$AI$6:$AI$505,"&lt;="&amp;$A57,実績!$AJ$6:$AJ$505,"&gt;"&amp;$A57,実績!$AL$6:$AL$505,"○")&gt;0,1,0))</f>
        <v>0</v>
      </c>
      <c r="Y57" s="39" t="n">
        <f aca="false">IF(Y$4=0,0,IF(COUNTIFS(実績!$W$6:$W$505,Y$3,実績!$AI$6:$AI$505,"&lt;="&amp;$A57,実績!$AJ$6:$AJ$505,"&gt;"&amp;$A57,実績!$AL$6:$AL$505,"○")&gt;0,1,0))</f>
        <v>0</v>
      </c>
      <c r="Z57" s="39" t="n">
        <f aca="false">IF(Z$4=0,0,IF(COUNTIFS(実績!$W$6:$W$505,Z$3,実績!$AI$6:$AI$505,"&lt;="&amp;$A57,実績!$AJ$6:$AJ$505,"&gt;"&amp;$A57,実績!$AL$6:$AL$505,"○")&gt;0,1,0))</f>
        <v>0</v>
      </c>
      <c r="AA57" s="39" t="n">
        <f aca="false">IF(AA$4=0,0,IF(COUNTIFS(実績!$W$6:$W$505,AA$3,実績!$AI$6:$AI$505,"&lt;="&amp;$A57,実績!$AJ$6:$AJ$505,"&gt;"&amp;$A57,実績!$AL$6:$AL$505,"○")&gt;0,1,0))</f>
        <v>0</v>
      </c>
      <c r="AB57" s="39" t="n">
        <f aca="false">IF(AB$4=0,0,IF(COUNTIFS(実績!$W$6:$W$505,AB$3,実績!$AI$6:$AI$505,"&lt;="&amp;$A57,実績!$AJ$6:$AJ$505,"&gt;"&amp;$A57,実績!$AL$6:$AL$505,"○")&gt;0,1,0))</f>
        <v>0</v>
      </c>
      <c r="AC57" s="39" t="n">
        <f aca="false">IF(AC$4=0,0,IF(COUNTIFS(実績!$W$6:$W$505,AC$3,実績!$AI$6:$AI$505,"&lt;="&amp;$A57,実績!$AJ$6:$AJ$505,"&gt;"&amp;$A57,実績!$AL$6:$AL$505,"○")&gt;0,1,0))</f>
        <v>0</v>
      </c>
      <c r="AD57" s="39" t="n">
        <f aca="false">IF(AD$4=0,0,IF(COUNTIFS(実績!$W$6:$W$505,AD$3,実績!$AI$6:$AI$505,"&lt;="&amp;$A57,実績!$AJ$6:$AJ$505,"&gt;"&amp;$A57,実績!$AL$6:$AL$505,"○")&gt;0,1,0))</f>
        <v>0</v>
      </c>
      <c r="AE57" s="39" t="n">
        <f aca="false">IF(AE$4=0,0,IF(COUNTIFS(実績!$W$6:$W$505,AE$3,実績!$AI$6:$AI$505,"&lt;="&amp;$A57,実績!$AJ$6:$AJ$505,"&gt;"&amp;$A57,実績!$AL$6:$AL$505,"○")&gt;0,1,0))</f>
        <v>0</v>
      </c>
      <c r="AF57" s="39" t="n">
        <f aca="false">IF(AF$4=0,0,IF(COUNTIFS(実績!$W$6:$W$505,AF$3,実績!$AI$6:$AI$505,"&lt;="&amp;$A57,実績!$AJ$6:$AJ$505,"&gt;"&amp;$A57,実績!$AL$6:$AL$505,"○")&gt;0,1,0))</f>
        <v>0</v>
      </c>
      <c r="AG57" s="39" t="n">
        <f aca="false">IF(AG$4=0,0,IF(COUNTIFS(実績!$W$6:$W$505,AG$3,実績!$AI$6:$AI$505,"&lt;="&amp;$A57,実績!$AJ$6:$AJ$505,"&gt;"&amp;$A57,実績!$AL$6:$AL$505,"○")&gt;0,1,0))</f>
        <v>0</v>
      </c>
      <c r="AH57" s="39" t="n">
        <f aca="false">IF(AH$4=0,0,IF(COUNTIFS(実績!$W$6:$W$505,AH$3,実績!$AI$6:$AI$505,"&lt;="&amp;$A57,実績!$AJ$6:$AJ$505,"&gt;"&amp;$A57,実績!$AL$6:$AL$505,"○")&gt;0,1,0))</f>
        <v>0</v>
      </c>
      <c r="AI57" s="39" t="n">
        <f aca="false">IF(AI$4=0,0,IF(COUNTIFS(実績!$W$6:$W$505,AI$3,実績!$AI$6:$AI$505,"&lt;="&amp;$A57,実績!$AJ$6:$AJ$505,"&gt;"&amp;$A57,実績!$AL$6:$AL$505,"○")&gt;0,1,0))</f>
        <v>0</v>
      </c>
      <c r="AJ57" s="39" t="n">
        <f aca="false">IF(AJ$4=0,0,IF(COUNTIFS(実績!$W$6:$W$505,AJ$3,実績!$AI$6:$AI$505,"&lt;="&amp;$A57,実績!$AJ$6:$AJ$505,"&gt;"&amp;$A57,実績!$AL$6:$AL$505,"○")&gt;0,1,0))</f>
        <v>0</v>
      </c>
      <c r="AK57" s="39" t="n">
        <f aca="false">IF(AK$4=0,0,IF(COUNTIFS(実績!$W$6:$W$505,AK$3,実績!$AI$6:$AI$505,"&lt;="&amp;$A57,実績!$AJ$6:$AJ$505,"&gt;"&amp;$A57,実績!$AL$6:$AL$505,"○")&gt;0,1,0))</f>
        <v>0</v>
      </c>
      <c r="AL57" s="39" t="n">
        <f aca="false">IF(AL$4=0,0,IF(COUNTIFS(実績!$W$6:$W$505,AL$3,実績!$AI$6:$AI$505,"&lt;="&amp;$A57,実績!$AJ$6:$AJ$505,"&gt;"&amp;$A57,実績!$AL$6:$AL$505,"○")&gt;0,1,0))</f>
        <v>0</v>
      </c>
      <c r="AM57" s="39" t="n">
        <f aca="false">IF(AM$4=0,0,IF(COUNTIFS(実績!$W$6:$W$505,AM$3,実績!$AI$6:$AI$505,"&lt;="&amp;$A57,実績!$AJ$6:$AJ$505,"&gt;"&amp;$A57,実績!$AL$6:$AL$505,"○")&gt;0,1,0))</f>
        <v>0</v>
      </c>
      <c r="AN57" s="39" t="n">
        <f aca="false">IF(AN$4=0,0,IF(COUNTIFS(実績!$W$6:$W$505,AN$3,実績!$AI$6:$AI$505,"&lt;="&amp;$A57,実績!$AJ$6:$AJ$505,"&gt;"&amp;$A57,実績!$AL$6:$AL$505,"○")&gt;0,1,0))</f>
        <v>0</v>
      </c>
      <c r="AO57" s="39" t="n">
        <f aca="false">IF(AO$4=0,0,IF(COUNTIFS(実績!$W$6:$W$505,AO$3,実績!$AI$6:$AI$505,"&lt;="&amp;$A57,実績!$AJ$6:$AJ$505,"&gt;"&amp;$A57,実績!$AL$6:$AL$505,"○")&gt;0,1,0))</f>
        <v>0</v>
      </c>
      <c r="AP57" s="39" t="n">
        <f aca="false">IF(AP$4=0,0,IF(COUNTIFS(実績!$W$6:$W$505,AP$3,実績!$AI$6:$AI$505,"&lt;="&amp;$A57,実績!$AJ$6:$AJ$505,"&gt;"&amp;$A57,実績!$AL$6:$AL$505,"○")&gt;0,1,0))</f>
        <v>0</v>
      </c>
      <c r="AQ57" s="39" t="n">
        <f aca="false">IF(AQ$4=0,0,IF(COUNTIFS(実績!$W$6:$W$505,AQ$3,実績!$AI$6:$AI$505,"&lt;="&amp;$A57,実績!$AJ$6:$AJ$505,"&gt;"&amp;$A57,実績!$AL$6:$AL$505,"○")&gt;0,1,0))</f>
        <v>0</v>
      </c>
      <c r="AR57" s="39" t="n">
        <f aca="false">IF(AR$4=0,0,IF(COUNTIFS(実績!$W$6:$W$505,AR$3,実績!$AI$6:$AI$505,"&lt;="&amp;$A57,実績!$AJ$6:$AJ$505,"&gt;"&amp;$A57,実績!$AL$6:$AL$505,"○")&gt;0,1,0))</f>
        <v>0</v>
      </c>
      <c r="AS57" s="39" t="n">
        <f aca="false">IF(AS$4=0,0,IF(COUNTIFS(実績!$W$6:$W$505,AS$3,実績!$AI$6:$AI$505,"&lt;="&amp;$A57,実績!$AJ$6:$AJ$505,"&gt;"&amp;$A57,実績!$AL$6:$AL$505,"○")&gt;0,1,0))</f>
        <v>0</v>
      </c>
      <c r="AT57" s="39" t="n">
        <f aca="false">IF(AT$4=0,0,IF(COUNTIFS(実績!$W$6:$W$505,AT$3,実績!$AI$6:$AI$505,"&lt;="&amp;$A57,実績!$AJ$6:$AJ$505,"&gt;"&amp;$A57,実績!$AL$6:$AL$505,"○")&gt;0,1,0))</f>
        <v>0</v>
      </c>
      <c r="AU57" s="39" t="n">
        <f aca="false">IF(AU$4=0,0,IF(COUNTIFS(実績!$W$6:$W$505,AU$3,実績!$AI$6:$AI$505,"&lt;="&amp;$A57,実績!$AJ$6:$AJ$505,"&gt;"&amp;$A57,実績!$AL$6:$AL$505,"○")&gt;0,1,0))</f>
        <v>0</v>
      </c>
      <c r="AV57" s="39" t="n">
        <f aca="false">IF(AV$4=0,0,IF(COUNTIFS(実績!$W$6:$W$505,AV$3,実績!$AI$6:$AI$505,"&lt;="&amp;$A57,実績!$AJ$6:$AJ$505,"&gt;"&amp;$A57,実績!$AL$6:$AL$505,"○")&gt;0,1,0))</f>
        <v>0</v>
      </c>
      <c r="AW57" s="39" t="n">
        <f aca="false">IF(AW$4=0,0,IF(COUNTIFS(実績!$W$6:$W$505,AW$3,実績!$AI$6:$AI$505,"&lt;="&amp;$A57,実績!$AJ$6:$AJ$505,"&gt;"&amp;$A57,実績!$AL$6:$AL$505,"○")&gt;0,1,0))</f>
        <v>0</v>
      </c>
      <c r="AX57" s="39" t="n">
        <f aca="false">IF(AX$4=0,0,IF(COUNTIFS(実績!$W$6:$W$505,AX$3,実績!$AI$6:$AI$505,"&lt;="&amp;$A57,実績!$AJ$6:$AJ$505,"&gt;"&amp;$A57,実績!$AL$6:$AL$505,"○")&gt;0,1,0))</f>
        <v>0</v>
      </c>
      <c r="AY57" s="39" t="n">
        <f aca="false">IF(AY$4=0,0,IF(COUNTIFS(実績!$W$6:$W$505,AY$3,実績!$AI$6:$AI$505,"&lt;="&amp;$A57,実績!$AJ$6:$AJ$505,"&gt;"&amp;$A57,実績!$AL$6:$AL$505,"○")&gt;0,1,0))</f>
        <v>0</v>
      </c>
      <c r="AZ57" s="39" t="n">
        <f aca="false">IF(AZ$4=0,0,IF(COUNTIFS(実績!$W$6:$W$505,AZ$3,実績!$AI$6:$AI$505,"&lt;="&amp;$A57,実績!$AJ$6:$AJ$505,"&gt;"&amp;$A57,実績!$AL$6:$AL$505,"○")&gt;0,1,0))</f>
        <v>0</v>
      </c>
      <c r="BA57" s="39" t="n">
        <f aca="false">IF(BA$4=0,0,IF(COUNTIFS(実績!$W$6:$W$505,BA$3,実績!$AI$6:$AI$505,"&lt;="&amp;$A57,実績!$AJ$6:$AJ$505,"&gt;"&amp;$A57,実績!$AL$6:$AL$505,"○")&gt;0,1,0))</f>
        <v>0</v>
      </c>
      <c r="BB57" s="39" t="n">
        <f aca="false">IF(BB$4=0,0,IF(COUNTIFS(実績!$W$6:$W$505,BB$3,実績!$AI$6:$AI$505,"&lt;="&amp;$A57,実績!$AJ$6:$AJ$505,"&gt;"&amp;$A57,実績!$AL$6:$AL$505,"○")&gt;0,1,0))</f>
        <v>0</v>
      </c>
      <c r="BC57" s="39" t="n">
        <f aca="false">IF(BC$4=0,0,IF(COUNTIFS(実績!$W$6:$W$505,BC$3,実績!$AI$6:$AI$505,"&lt;="&amp;$A57,実績!$AJ$6:$AJ$505,"&gt;"&amp;$A57,実績!$AL$6:$AL$505,"○")&gt;0,1,0))</f>
        <v>0</v>
      </c>
      <c r="BD57" s="39" t="n">
        <f aca="false">IF(BD$4=0,0,IF(COUNTIFS(実績!$W$6:$W$505,BD$3,実績!$AI$6:$AI$505,"&lt;="&amp;$A57,実績!$AJ$6:$AJ$505,"&gt;"&amp;$A57,実績!$AL$6:$AL$505,"○")&gt;0,1,0))</f>
        <v>0</v>
      </c>
      <c r="BE57" s="39" t="n">
        <f aca="false">IF(BE$4=0,0,IF(COUNTIFS(実績!$W$6:$W$505,BE$3,実績!$AI$6:$AI$505,"&lt;="&amp;$A57,実績!$AJ$6:$AJ$505,"&gt;"&amp;$A57,実績!$AL$6:$AL$505,"○")&gt;0,1,0))</f>
        <v>0</v>
      </c>
      <c r="BF57" s="39" t="n">
        <f aca="false">IF(BF$4=0,0,IF(COUNTIFS(実績!$W$6:$W$505,BF$3,実績!$AI$6:$AI$505,"&lt;="&amp;$A57,実績!$AJ$6:$AJ$505,"&gt;"&amp;$A57,実績!$AL$6:$AL$505,"○")&gt;0,1,0))</f>
        <v>0</v>
      </c>
      <c r="BG57" s="39" t="n">
        <f aca="false">IF(BG$4=0,0,IF(COUNTIFS(実績!$W$6:$W$505,BG$3,実績!$AI$6:$AI$505,"&lt;="&amp;$A57,実績!$AJ$6:$AJ$505,"&gt;"&amp;$A57,実績!$AL$6:$AL$505,"○")&gt;0,1,0))</f>
        <v>0</v>
      </c>
      <c r="BH57" s="39" t="n">
        <f aca="false">IF(BH$4=0,0,IF(COUNTIFS(実績!$W$6:$W$505,BH$3,実績!$AI$6:$AI$505,"&lt;="&amp;$A57,実績!$AJ$6:$AJ$505,"&gt;"&amp;$A57,実績!$AL$6:$AL$505,"○")&gt;0,1,0))</f>
        <v>0</v>
      </c>
      <c r="BI57" s="39" t="n">
        <f aca="false">IF(BI$4=0,0,IF(COUNTIFS(実績!$W$6:$W$505,BI$3,実績!$AI$6:$AI$505,"&lt;="&amp;$A57,実績!$AJ$6:$AJ$505,"&gt;"&amp;$A57,実績!$AL$6:$AL$505,"○")&gt;0,1,0))</f>
        <v>0</v>
      </c>
      <c r="BJ57" s="39" t="n">
        <f aca="false">IF(BJ$4=0,0,IF(COUNTIFS(実績!$W$6:$W$505,BJ$3,実績!$AI$6:$AI$505,"&lt;="&amp;$A57,実績!$AJ$6:$AJ$505,"&gt;"&amp;$A57,実績!$AL$6:$AL$505,"○")&gt;0,1,0))</f>
        <v>0</v>
      </c>
      <c r="BK57" s="39" t="n">
        <f aca="false">IF(BK$4=0,0,IF(COUNTIFS(実績!$W$6:$W$505,BK$3,実績!$AI$6:$AI$505,"&lt;="&amp;$A57,実績!$AJ$6:$AJ$505,"&gt;"&amp;$A57,実績!$AL$6:$AL$505,"○")&gt;0,1,0))</f>
        <v>0</v>
      </c>
      <c r="BL57" s="39" t="n">
        <f aca="false">IF(BL$4=0,0,IF(COUNTIFS(実績!$W$6:$W$505,BL$3,実績!$AI$6:$AI$505,"&lt;="&amp;$A57,実績!$AJ$6:$AJ$505,"&gt;"&amp;$A57,実績!$AL$6:$AL$505,"○")&gt;0,1,0))</f>
        <v>0</v>
      </c>
      <c r="BM57" s="39" t="n">
        <f aca="false">IF(BM$4=0,0,IF(COUNTIFS(実績!$W$6:$W$505,BM$3,実績!$AI$6:$AI$505,"&lt;="&amp;$A57,実績!$AJ$6:$AJ$505,"&gt;"&amp;$A57,実績!$AL$6:$AL$505,"○")&gt;0,1,0))</f>
        <v>0</v>
      </c>
      <c r="BN57" s="39" t="n">
        <f aca="false">IF(BN$4=0,0,IF(COUNTIFS(実績!$W$6:$W$505,BN$3,実績!$AI$6:$AI$505,"&lt;="&amp;$A57,実績!$AJ$6:$AJ$505,"&gt;"&amp;$A57,実績!$AL$6:$AL$505,"○")&gt;0,1,0))</f>
        <v>0</v>
      </c>
      <c r="BO57" s="39" t="n">
        <f aca="false">IF(BO$4=0,0,IF(COUNTIFS(実績!$W$6:$W$505,BO$3,実績!$AI$6:$AI$505,"&lt;="&amp;$A57,実績!$AJ$6:$AJ$505,"&gt;"&amp;$A57,実績!$AL$6:$AL$505,"○")&gt;0,1,0))</f>
        <v>0</v>
      </c>
      <c r="BP57" s="39" t="n">
        <f aca="false">IF(BP$4=0,0,IF(COUNTIFS(実績!$W$6:$W$505,BP$3,実績!$AI$6:$AI$505,"&lt;="&amp;$A57,実績!$AJ$6:$AJ$505,"&gt;"&amp;$A57,実績!$AL$6:$AL$505,"○")&gt;0,1,0))</f>
        <v>0</v>
      </c>
      <c r="BQ57" s="39" t="n">
        <f aca="false">IF(BQ$4=0,0,IF(COUNTIFS(実績!$W$6:$W$505,BQ$3,実績!$AI$6:$AI$505,"&lt;="&amp;$A57,実績!$AJ$6:$AJ$505,"&gt;"&amp;$A57,実績!$AL$6:$AL$505,"○")&gt;0,1,0))</f>
        <v>0</v>
      </c>
      <c r="BR57" s="39" t="n">
        <f aca="false">IF(BR$4=0,0,IF(COUNTIFS(実績!$W$6:$W$505,BR$3,実績!$AI$6:$AI$505,"&lt;="&amp;$A57,実績!$AJ$6:$AJ$505,"&gt;"&amp;$A57,実績!$AL$6:$AL$505,"○")&gt;0,1,0))</f>
        <v>0</v>
      </c>
      <c r="BS57" s="39" t="n">
        <f aca="false">IF(BS$4=0,0,IF(COUNTIFS(実績!$W$6:$W$505,BS$3,実績!$AI$6:$AI$505,"&lt;="&amp;$A57,実績!$AJ$6:$AJ$505,"&gt;"&amp;$A57,実績!$AL$6:$AL$505,"○")&gt;0,1,0))</f>
        <v>0</v>
      </c>
      <c r="BT57" s="39" t="n">
        <f aca="false">IF(BT$4=0,0,IF(COUNTIFS(実績!$W$6:$W$505,BT$3,実績!$AI$6:$AI$505,"&lt;="&amp;$A57,実績!$AJ$6:$AJ$505,"&gt;"&amp;$A57,実績!$AL$6:$AL$505,"○")&gt;0,1,0))</f>
        <v>0</v>
      </c>
      <c r="BU57" s="39" t="n">
        <f aca="false">IF(BU$4=0,0,IF(COUNTIFS(実績!$W$6:$W$505,BU$3,実績!$AI$6:$AI$505,"&lt;="&amp;$A57,実績!$AJ$6:$AJ$505,"&gt;"&amp;$A57,実績!$AL$6:$AL$505,"○")&gt;0,1,0))</f>
        <v>0</v>
      </c>
      <c r="BV57" s="39" t="n">
        <f aca="false">IF(BV$4=0,0,IF(COUNTIFS(実績!$W$6:$W$505,BV$3,実績!$AI$6:$AI$505,"&lt;="&amp;$A57,実績!$AJ$6:$AJ$505,"&gt;"&amp;$A57,実績!$AL$6:$AL$505,"○")&gt;0,1,0))</f>
        <v>0</v>
      </c>
      <c r="BW57" s="39" t="n">
        <f aca="false">IF(BW$4=0,0,IF(COUNTIFS(実績!$W$6:$W$505,BW$3,実績!$AI$6:$AI$505,"&lt;="&amp;$A57,実績!$AJ$6:$AJ$505,"&gt;"&amp;$A57,実績!$AL$6:$AL$505,"○")&gt;0,1,0))</f>
        <v>0</v>
      </c>
      <c r="BX57" s="39" t="n">
        <f aca="false">IF(BX$4=0,0,IF(COUNTIFS(実績!$W$6:$W$505,BX$3,実績!$AI$6:$AI$505,"&lt;="&amp;$A57,実績!$AJ$6:$AJ$505,"&gt;"&amp;$A57,実績!$AL$6:$AL$505,"○")&gt;0,1,0))</f>
        <v>0</v>
      </c>
      <c r="BY57" s="39" t="n">
        <f aca="false">IF(BY$4=0,0,IF(COUNTIFS(実績!$W$6:$W$505,BY$3,実績!$AI$6:$AI$505,"&lt;="&amp;$A57,実績!$AJ$6:$AJ$505,"&gt;"&amp;$A57,実績!$AL$6:$AL$505,"○")&gt;0,1,0))</f>
        <v>0</v>
      </c>
      <c r="BZ57" s="39" t="n">
        <f aca="false">IF(BZ$4=0,0,IF(COUNTIFS(実績!$W$6:$W$505,BZ$3,実績!$AI$6:$AI$505,"&lt;="&amp;$A57,実績!$AJ$6:$AJ$505,"&gt;"&amp;$A57,実績!$AL$6:$AL$505,"○")&gt;0,1,0))</f>
        <v>0</v>
      </c>
      <c r="CA57" s="39" t="n">
        <f aca="false">IF(CA$4=0,0,IF(COUNTIFS(実績!$W$6:$W$505,CA$3,実績!$AI$6:$AI$505,"&lt;="&amp;$A57,実績!$AJ$6:$AJ$505,"&gt;"&amp;$A57,実績!$AL$6:$AL$505,"○")&gt;0,1,0))</f>
        <v>0</v>
      </c>
      <c r="CB57" s="39" t="n">
        <f aca="false">IF(CB$4=0,0,IF(COUNTIFS(実績!$W$6:$W$505,CB$3,実績!$AI$6:$AI$505,"&lt;="&amp;$A57,実績!$AJ$6:$AJ$505,"&gt;"&amp;$A57,実績!$AL$6:$AL$505,"○")&gt;0,1,0))</f>
        <v>0</v>
      </c>
      <c r="CC57" s="39" t="n">
        <f aca="false">IF(CC$4=0,0,IF(COUNTIFS(実績!$W$6:$W$505,CC$3,実績!$AI$6:$AI$505,"&lt;="&amp;$A57,実績!$AJ$6:$AJ$505,"&gt;"&amp;$A57,実績!$AL$6:$AL$505,"○")&gt;0,1,0))</f>
        <v>0</v>
      </c>
      <c r="CD57" s="39" t="n">
        <f aca="false">IF(CD$4=0,0,IF(COUNTIFS(実績!$W$6:$W$505,CD$3,実績!$AI$6:$AI$505,"&lt;="&amp;$A57,実績!$AJ$6:$AJ$505,"&gt;"&amp;$A57,実績!$AL$6:$AL$505,"○")&gt;0,1,0))</f>
        <v>0</v>
      </c>
      <c r="CE57" s="39" t="n">
        <f aca="false">IF(CE$4=0,0,IF(COUNTIFS(実績!$W$6:$W$505,CE$3,実績!$AI$6:$AI$505,"&lt;="&amp;$A57,実績!$AJ$6:$AJ$505,"&gt;"&amp;$A57,実績!$AL$6:$AL$505,"○")&gt;0,1,0))</f>
        <v>0</v>
      </c>
      <c r="CF57" s="39" t="n">
        <f aca="false">IF(CF$4=0,0,IF(COUNTIFS(実績!$W$6:$W$505,CF$3,実績!$AI$6:$AI$505,"&lt;="&amp;$A57,実績!$AJ$6:$AJ$505,"&gt;"&amp;$A57,実績!$AL$6:$AL$505,"○")&gt;0,1,0))</f>
        <v>0</v>
      </c>
      <c r="CG57" s="39" t="n">
        <f aca="false">IF(CG$4=0,0,IF(COUNTIFS(実績!$W$6:$W$505,CG$3,実績!$AI$6:$AI$505,"&lt;="&amp;$A57,実績!$AJ$6:$AJ$505,"&gt;"&amp;$A57,実績!$AL$6:$AL$505,"○")&gt;0,1,0))</f>
        <v>0</v>
      </c>
      <c r="CH57" s="39" t="n">
        <f aca="false">IF(CH$4=0,0,IF(COUNTIFS(実績!$W$6:$W$505,CH$3,実績!$AI$6:$AI$505,"&lt;="&amp;$A57,実績!$AJ$6:$AJ$505,"&gt;"&amp;$A57,実績!$AL$6:$AL$505,"○")&gt;0,1,0))</f>
        <v>0</v>
      </c>
      <c r="CI57" s="39" t="n">
        <f aca="false">IF(CI$4=0,0,IF(COUNTIFS(実績!$W$6:$W$505,CI$3,実績!$AI$6:$AI$505,"&lt;="&amp;$A57,実績!$AJ$6:$AJ$505,"&gt;"&amp;$A57,実績!$AL$6:$AL$505,"○")&gt;0,1,0))</f>
        <v>0</v>
      </c>
      <c r="CJ57" s="39" t="n">
        <f aca="false">IF(CJ$4=0,0,IF(COUNTIFS(実績!$W$6:$W$505,CJ$3,実績!$AI$6:$AI$505,"&lt;="&amp;$A57,実績!$AJ$6:$AJ$505,"&gt;"&amp;$A57,実績!$AL$6:$AL$505,"○")&gt;0,1,0))</f>
        <v>0</v>
      </c>
      <c r="CK57" s="39" t="n">
        <f aca="false">IF(CK$4=0,0,IF(COUNTIFS(実績!$W$6:$W$505,CK$3,実績!$AI$6:$AI$505,"&lt;="&amp;$A57,実績!$AJ$6:$AJ$505,"&gt;"&amp;$A57,実績!$AL$6:$AL$505,"○")&gt;0,1,0))</f>
        <v>0</v>
      </c>
      <c r="CL57" s="39" t="n">
        <f aca="false">IF(CL$4=0,0,IF(COUNTIFS(実績!$W$6:$W$505,CL$3,実績!$AI$6:$AI$505,"&lt;="&amp;$A57,実績!$AJ$6:$AJ$505,"&gt;"&amp;$A57,実績!$AL$6:$AL$505,"○")&gt;0,1,0))</f>
        <v>0</v>
      </c>
      <c r="CM57" s="39" t="n">
        <f aca="false">IF(CM$4=0,0,IF(COUNTIFS(実績!$W$6:$W$505,CM$3,実績!$AI$6:$AI$505,"&lt;="&amp;$A57,実績!$AJ$6:$AJ$505,"&gt;"&amp;$A57,実績!$AL$6:$AL$505,"○")&gt;0,1,0))</f>
        <v>0</v>
      </c>
      <c r="CN57" s="39" t="n">
        <f aca="false">IF(CN$4=0,0,IF(COUNTIFS(実績!$W$6:$W$505,CN$3,実績!$AI$6:$AI$505,"&lt;="&amp;$A57,実績!$AJ$6:$AJ$505,"&gt;"&amp;$A57,実績!$AL$6:$AL$505,"○")&gt;0,1,0))</f>
        <v>0</v>
      </c>
      <c r="CO57" s="39" t="n">
        <f aca="false">IF(CO$4=0,0,IF(COUNTIFS(実績!$W$6:$W$505,CO$3,実績!$AI$6:$AI$505,"&lt;="&amp;$A57,実績!$AJ$6:$AJ$505,"&gt;"&amp;$A57,実績!$AL$6:$AL$505,"○")&gt;0,1,0))</f>
        <v>0</v>
      </c>
      <c r="CP57" s="39" t="n">
        <f aca="false">IF(CP$4=0,0,IF(COUNTIFS(実績!$W$6:$W$505,CP$3,実績!$AI$6:$AI$505,"&lt;="&amp;$A57,実績!$AJ$6:$AJ$505,"&gt;"&amp;$A57,実績!$AL$6:$AL$505,"○")&gt;0,1,0))</f>
        <v>0</v>
      </c>
      <c r="CQ57" s="39" t="n">
        <f aca="false">IF(CQ$4=0,0,IF(COUNTIFS(実績!$W$6:$W$505,CQ$3,実績!$AI$6:$AI$505,"&lt;="&amp;$A57,実績!$AJ$6:$AJ$505,"&gt;"&amp;$A57,実績!$AL$6:$AL$505,"○")&gt;0,1,0))</f>
        <v>0</v>
      </c>
      <c r="CR57" s="39" t="n">
        <f aca="false">IF(CR$4=0,0,IF(COUNTIFS(実績!$W$6:$W$505,CR$3,実績!$AI$6:$AI$505,"&lt;="&amp;$A57,実績!$AJ$6:$AJ$505,"&gt;"&amp;$A57,実績!$AL$6:$AL$505,"○")&gt;0,1,0))</f>
        <v>0</v>
      </c>
      <c r="CS57" s="39" t="n">
        <f aca="false">IF(CS$4=0,0,IF(COUNTIFS(実績!$W$6:$W$505,CS$3,実績!$AI$6:$AI$505,"&lt;="&amp;$A57,実績!$AJ$6:$AJ$505,"&gt;"&amp;$A57,実績!$AL$6:$AL$505,"○")&gt;0,1,0))</f>
        <v>0</v>
      </c>
      <c r="CT57" s="39" t="n">
        <f aca="false">IF(CT$4=0,0,IF(COUNTIFS(実績!$W$6:$W$505,CT$3,実績!$AI$6:$AI$505,"&lt;="&amp;$A57,実績!$AJ$6:$AJ$505,"&gt;"&amp;$A57,実績!$AL$6:$AL$505,"○")&gt;0,1,0))</f>
        <v>0</v>
      </c>
      <c r="CU57" s="39" t="n">
        <f aca="false">IF(CU$4=0,0,IF(COUNTIFS(実績!$W$6:$W$505,CU$3,実績!$AI$6:$AI$505,"&lt;="&amp;$A57,実績!$AJ$6:$AJ$505,"&gt;"&amp;$A57,実績!$AL$6:$AL$505,"○")&gt;0,1,0))</f>
        <v>0</v>
      </c>
      <c r="CV57" s="39" t="n">
        <f aca="false">IF(CV$4=0,0,IF(COUNTIFS(実績!$W$6:$W$505,CV$3,実績!$AI$6:$AI$505,"&lt;="&amp;$A57,実績!$AJ$6:$AJ$505,"&gt;"&amp;$A57,実績!$AL$6:$AL$505,"○")&gt;0,1,0))</f>
        <v>0</v>
      </c>
      <c r="CW57" s="39" t="n">
        <f aca="false">IF(CW$4=0,0,IF(COUNTIFS(実績!$W$6:$W$505,CW$3,実績!$AI$6:$AI$505,"&lt;="&amp;$A57,実績!$AJ$6:$AJ$505,"&gt;"&amp;$A57,実績!$AL$6:$AL$505,"○")&gt;0,1,0))</f>
        <v>0</v>
      </c>
      <c r="CX57" s="39" t="n">
        <f aca="false">IF(CX$4=0,0,IF(COUNTIFS(実績!$W$6:$W$505,CX$3,実績!$AI$6:$AI$505,"&lt;="&amp;$A57,実績!$AJ$6:$AJ$505,"&gt;"&amp;$A57,実績!$AL$6:$AL$505,"○")&gt;0,1,0))</f>
        <v>0</v>
      </c>
      <c r="CY57" s="39" t="n">
        <f aca="false">IF(CY$4=0,0,IF(COUNTIFS(実績!$W$6:$W$505,CY$3,実績!$AI$6:$AI$505,"&lt;="&amp;$A57,実績!$AJ$6:$AJ$505,"&gt;"&amp;$A57,実績!$AL$6:$AL$505,"○")&gt;0,1,0))</f>
        <v>0</v>
      </c>
      <c r="CZ57" s="39" t="n">
        <f aca="false">IF(CZ$4=0,0,IF(COUNTIFS(実績!$W$6:$W$505,CZ$3,実績!$AI$6:$AI$505,"&lt;="&amp;$A57,実績!$AJ$6:$AJ$505,"&gt;"&amp;$A57,実績!$AL$6:$AL$505,"○")&gt;0,1,0))</f>
        <v>0</v>
      </c>
      <c r="DA57" s="39" t="n">
        <f aca="false">IF(DA$4=0,0,IF(COUNTIFS(実績!$W$6:$W$505,DA$3,実績!$AI$6:$AI$505,"&lt;="&amp;$A57,実績!$AJ$6:$AJ$505,"&gt;"&amp;$A57,実績!$AL$6:$AL$505,"○")&gt;0,1,0))</f>
        <v>0</v>
      </c>
      <c r="DB57" s="39" t="n">
        <f aca="false">IF(DB$4=0,0,IF(COUNTIFS(実績!$W$6:$W$505,DB$3,実績!$AI$6:$AI$505,"&lt;="&amp;$A57,実績!$AJ$6:$AJ$505,"&gt;"&amp;$A57,実績!$AL$6:$AL$505,"○")&gt;0,1,0))</f>
        <v>0</v>
      </c>
      <c r="DC57" s="39" t="n">
        <f aca="false">IF(DC$4=0,0,IF(COUNTIFS(実績!$W$6:$W$505,DC$3,実績!$AI$6:$AI$505,"&lt;="&amp;$A57,実績!$AJ$6:$AJ$505,"&gt;"&amp;$A57,実績!$AL$6:$AL$505,"○")&gt;0,1,0))</f>
        <v>0</v>
      </c>
      <c r="DD57" s="39" t="n">
        <f aca="false">IF(DD$4=0,0,IF(COUNTIFS(実績!$W$6:$W$505,DD$3,実績!$AI$6:$AI$505,"&lt;="&amp;$A57,実績!$AJ$6:$AJ$505,"&gt;"&amp;$A57,実績!$AL$6:$AL$505,"○")&gt;0,1,0))</f>
        <v>0</v>
      </c>
      <c r="DE57" s="39" t="n">
        <f aca="false">IF(DE$4=0,0,IF(COUNTIFS(実績!$W$6:$W$505,DE$3,実績!$AI$6:$AI$505,"&lt;="&amp;$A57,実績!$AJ$6:$AJ$505,"&gt;"&amp;$A57,実績!$AL$6:$AL$505,"○")&gt;0,1,0))</f>
        <v>0</v>
      </c>
      <c r="DF57" s="39" t="n">
        <f aca="false">IF(DF$4=0,0,IF(COUNTIFS(実績!$W$6:$W$505,DF$3,実績!$AI$6:$AI$505,"&lt;="&amp;$A57,実績!$AJ$6:$AJ$505,"&gt;"&amp;$A57,実績!$AL$6:$AL$505,"○")&gt;0,1,0))</f>
        <v>0</v>
      </c>
      <c r="DG57" s="39" t="n">
        <f aca="false">IF(DG$4=0,0,IF(COUNTIFS(実績!$W$6:$W$505,DG$3,実績!$AI$6:$AI$505,"&lt;="&amp;$A57,実績!$AJ$6:$AJ$505,"&gt;"&amp;$A57,実績!$AL$6:$AL$505,"○")&gt;0,1,0))</f>
        <v>0</v>
      </c>
      <c r="DH57" s="39" t="n">
        <f aca="false">IF(DH$4=0,0,IF(COUNTIFS(実績!$W$6:$W$505,DH$3,実績!$AI$6:$AI$505,"&lt;="&amp;$A57,実績!$AJ$6:$AJ$505,"&gt;"&amp;$A57,実績!$AL$6:$AL$505,"○")&gt;0,1,0))</f>
        <v>0</v>
      </c>
      <c r="DI57" s="39" t="n">
        <f aca="false">IF(DI$4=0,0,IF(COUNTIFS(実績!$W$6:$W$505,DI$3,実績!$AI$6:$AI$505,"&lt;="&amp;$A57,実績!$AJ$6:$AJ$505,"&gt;"&amp;$A57,実績!$AL$6:$AL$505,"○")&gt;0,1,0))</f>
        <v>0</v>
      </c>
      <c r="DJ57" s="39" t="n">
        <f aca="false">IF(DJ$4=0,0,IF(COUNTIFS(実績!$W$6:$W$505,DJ$3,実績!$AI$6:$AI$505,"&lt;="&amp;$A57,実績!$AJ$6:$AJ$505,"&gt;"&amp;$A57,実績!$AL$6:$AL$505,"○")&gt;0,1,0))</f>
        <v>0</v>
      </c>
      <c r="DK57" s="39" t="n">
        <f aca="false">IF(DK$4=0,0,IF(COUNTIFS(実績!$W$6:$W$505,DK$3,実績!$AI$6:$AI$505,"&lt;="&amp;$A57,実績!$AJ$6:$AJ$505,"&gt;"&amp;$A57,実績!$AL$6:$AL$505,"○")&gt;0,1,0))</f>
        <v>0</v>
      </c>
      <c r="DL57" s="39" t="n">
        <f aca="false">IF(DL$4=0,0,IF(COUNTIFS(実績!$W$6:$W$505,DL$3,実績!$AI$6:$AI$505,"&lt;="&amp;$A57,実績!$AJ$6:$AJ$505,"&gt;"&amp;$A57,実績!$AL$6:$AL$505,"○")&gt;0,1,0))</f>
        <v>0</v>
      </c>
      <c r="DM57" s="39" t="n">
        <f aca="false">IF(DM$4=0,0,IF(COUNTIFS(実績!$W$6:$W$505,DM$3,実績!$AI$6:$AI$505,"&lt;="&amp;$A57,実績!$AJ$6:$AJ$505,"&gt;"&amp;$A57,実績!$AL$6:$AL$505,"○")&gt;0,1,0))</f>
        <v>0</v>
      </c>
      <c r="DN57" s="39" t="n">
        <f aca="false">IF(DN$4=0,0,IF(COUNTIFS(実績!$W$6:$W$505,DN$3,実績!$AI$6:$AI$505,"&lt;="&amp;$A57,実績!$AJ$6:$AJ$505,"&gt;"&amp;$A57,実績!$AL$6:$AL$505,"○")&gt;0,1,0))</f>
        <v>0</v>
      </c>
      <c r="DO57" s="39" t="n">
        <f aca="false">IF(DO$4=0,0,IF(COUNTIFS(実績!$W$6:$W$505,DO$3,実績!$AI$6:$AI$505,"&lt;="&amp;$A57,実績!$AJ$6:$AJ$505,"&gt;"&amp;$A57,実績!$AL$6:$AL$505,"○")&gt;0,1,0))</f>
        <v>0</v>
      </c>
      <c r="DP57" s="39" t="n">
        <f aca="false">IF(DP$4=0,0,IF(COUNTIFS(実績!$W$6:$W$505,DP$3,実績!$AI$6:$AI$505,"&lt;="&amp;$A57,実績!$AJ$6:$AJ$505,"&gt;"&amp;$A57,実績!$AL$6:$AL$505,"○")&gt;0,1,0))</f>
        <v>0</v>
      </c>
      <c r="DQ57" s="39" t="n">
        <f aca="false">IF(DQ$4=0,0,IF(COUNTIFS(実績!$W$6:$W$505,DQ$3,実績!$AI$6:$AI$505,"&lt;="&amp;$A57,実績!$AJ$6:$AJ$505,"&gt;"&amp;$A57,実績!$AL$6:$AL$505,"○")&gt;0,1,0))</f>
        <v>0</v>
      </c>
      <c r="DR57" s="39" t="n">
        <f aca="false">IF(DR$4=0,0,IF(COUNTIFS(実績!$W$6:$W$505,DR$3,実績!$AI$6:$AI$505,"&lt;="&amp;$A57,実績!$AJ$6:$AJ$505,"&gt;"&amp;$A57,実績!$AL$6:$AL$505,"○")&gt;0,1,0))</f>
        <v>0</v>
      </c>
      <c r="DS57" s="39" t="n">
        <f aca="false">SUM(C57:DR57)</f>
        <v>0</v>
      </c>
    </row>
    <row r="58" customFormat="false" ht="15" hidden="false" customHeight="false" outlineLevel="0" collapsed="false">
      <c r="A58" s="0" t="n">
        <v>260</v>
      </c>
      <c r="B58" s="38" t="n">
        <f aca="false">A58/1440</f>
        <v>0.180555555555556</v>
      </c>
      <c r="C58" s="39" t="n">
        <f aca="false">IF(C$4=0,0,IF(COUNTIFS(実績!$W$6:$W$505,C$3,実績!$AI$6:$AI$505,"&lt;="&amp;$A58,実績!$AJ$6:$AJ$505,"&gt;"&amp;$A58,実績!$AL$6:$AL$505,"○")&gt;0,1,0))</f>
        <v>0</v>
      </c>
      <c r="D58" s="39" t="n">
        <f aca="false">IF(D$4=0,0,IF(COUNTIFS(実績!$W$6:$W$505,D$3,実績!$AI$6:$AI$505,"&lt;="&amp;$A58,実績!$AJ$6:$AJ$505,"&gt;"&amp;$A58,実績!$AL$6:$AL$505,"○")&gt;0,1,0))</f>
        <v>0</v>
      </c>
      <c r="E58" s="39" t="n">
        <f aca="false">IF(E$4=0,0,IF(COUNTIFS(実績!$W$6:$W$505,E$3,実績!$AI$6:$AI$505,"&lt;="&amp;$A58,実績!$AJ$6:$AJ$505,"&gt;"&amp;$A58,実績!$AL$6:$AL$505,"○")&gt;0,1,0))</f>
        <v>0</v>
      </c>
      <c r="F58" s="39" t="n">
        <f aca="false">IF(F$4=0,0,IF(COUNTIFS(実績!$W$6:$W$505,F$3,実績!$AI$6:$AI$505,"&lt;="&amp;$A58,実績!$AJ$6:$AJ$505,"&gt;"&amp;$A58,実績!$AL$6:$AL$505,"○")&gt;0,1,0))</f>
        <v>0</v>
      </c>
      <c r="G58" s="39" t="n">
        <f aca="false">IF(G$4=0,0,IF(COUNTIFS(実績!$W$6:$W$505,G$3,実績!$AI$6:$AI$505,"&lt;="&amp;$A58,実績!$AJ$6:$AJ$505,"&gt;"&amp;$A58,実績!$AL$6:$AL$505,"○")&gt;0,1,0))</f>
        <v>0</v>
      </c>
      <c r="H58" s="39" t="n">
        <f aca="false">IF(H$4=0,0,IF(COUNTIFS(実績!$W$6:$W$505,H$3,実績!$AI$6:$AI$505,"&lt;="&amp;$A58,実績!$AJ$6:$AJ$505,"&gt;"&amp;$A58,実績!$AL$6:$AL$505,"○")&gt;0,1,0))</f>
        <v>0</v>
      </c>
      <c r="I58" s="39" t="n">
        <f aca="false">IF(I$4=0,0,IF(COUNTIFS(実績!$W$6:$W$505,I$3,実績!$AI$6:$AI$505,"&lt;="&amp;$A58,実績!$AJ$6:$AJ$505,"&gt;"&amp;$A58,実績!$AL$6:$AL$505,"○")&gt;0,1,0))</f>
        <v>0</v>
      </c>
      <c r="J58" s="39" t="n">
        <f aca="false">IF(J$4=0,0,IF(COUNTIFS(実績!$W$6:$W$505,J$3,実績!$AI$6:$AI$505,"&lt;="&amp;$A58,実績!$AJ$6:$AJ$505,"&gt;"&amp;$A58,実績!$AL$6:$AL$505,"○")&gt;0,1,0))</f>
        <v>0</v>
      </c>
      <c r="K58" s="39" t="n">
        <f aca="false">IF(K$4=0,0,IF(COUNTIFS(実績!$W$6:$W$505,K$3,実績!$AI$6:$AI$505,"&lt;="&amp;$A58,実績!$AJ$6:$AJ$505,"&gt;"&amp;$A58,実績!$AL$6:$AL$505,"○")&gt;0,1,0))</f>
        <v>0</v>
      </c>
      <c r="L58" s="39" t="n">
        <f aca="false">IF(L$4=0,0,IF(COUNTIFS(実績!$W$6:$W$505,L$3,実績!$AI$6:$AI$505,"&lt;="&amp;$A58,実績!$AJ$6:$AJ$505,"&gt;"&amp;$A58,実績!$AL$6:$AL$505,"○")&gt;0,1,0))</f>
        <v>0</v>
      </c>
      <c r="M58" s="39" t="n">
        <f aca="false">IF(M$4=0,0,IF(COUNTIFS(実績!$W$6:$W$505,M$3,実績!$AI$6:$AI$505,"&lt;="&amp;$A58,実績!$AJ$6:$AJ$505,"&gt;"&amp;$A58,実績!$AL$6:$AL$505,"○")&gt;0,1,0))</f>
        <v>0</v>
      </c>
      <c r="N58" s="39" t="n">
        <f aca="false">IF(N$4=0,0,IF(COUNTIFS(実績!$W$6:$W$505,N$3,実績!$AI$6:$AI$505,"&lt;="&amp;$A58,実績!$AJ$6:$AJ$505,"&gt;"&amp;$A58,実績!$AL$6:$AL$505,"○")&gt;0,1,0))</f>
        <v>0</v>
      </c>
      <c r="O58" s="39" t="n">
        <f aca="false">IF(O$4=0,0,IF(COUNTIFS(実績!$W$6:$W$505,O$3,実績!$AI$6:$AI$505,"&lt;="&amp;$A58,実績!$AJ$6:$AJ$505,"&gt;"&amp;$A58,実績!$AL$6:$AL$505,"○")&gt;0,1,0))</f>
        <v>0</v>
      </c>
      <c r="P58" s="39" t="n">
        <f aca="false">IF(P$4=0,0,IF(COUNTIFS(実績!$W$6:$W$505,P$3,実績!$AI$6:$AI$505,"&lt;="&amp;$A58,実績!$AJ$6:$AJ$505,"&gt;"&amp;$A58,実績!$AL$6:$AL$505,"○")&gt;0,1,0))</f>
        <v>0</v>
      </c>
      <c r="Q58" s="39" t="n">
        <f aca="false">IF(Q$4=0,0,IF(COUNTIFS(実績!$W$6:$W$505,Q$3,実績!$AI$6:$AI$505,"&lt;="&amp;$A58,実績!$AJ$6:$AJ$505,"&gt;"&amp;$A58,実績!$AL$6:$AL$505,"○")&gt;0,1,0))</f>
        <v>0</v>
      </c>
      <c r="R58" s="39" t="n">
        <f aca="false">IF(R$4=0,0,IF(COUNTIFS(実績!$W$6:$W$505,R$3,実績!$AI$6:$AI$505,"&lt;="&amp;$A58,実績!$AJ$6:$AJ$505,"&gt;"&amp;$A58,実績!$AL$6:$AL$505,"○")&gt;0,1,0))</f>
        <v>0</v>
      </c>
      <c r="S58" s="39" t="n">
        <f aca="false">IF(S$4=0,0,IF(COUNTIFS(実績!$W$6:$W$505,S$3,実績!$AI$6:$AI$505,"&lt;="&amp;$A58,実績!$AJ$6:$AJ$505,"&gt;"&amp;$A58,実績!$AL$6:$AL$505,"○")&gt;0,1,0))</f>
        <v>0</v>
      </c>
      <c r="T58" s="39" t="n">
        <f aca="false">IF(T$4=0,0,IF(COUNTIFS(実績!$W$6:$W$505,T$3,実績!$AI$6:$AI$505,"&lt;="&amp;$A58,実績!$AJ$6:$AJ$505,"&gt;"&amp;$A58,実績!$AL$6:$AL$505,"○")&gt;0,1,0))</f>
        <v>0</v>
      </c>
      <c r="U58" s="39" t="n">
        <f aca="false">IF(U$4=0,0,IF(COUNTIFS(実績!$W$6:$W$505,U$3,実績!$AI$6:$AI$505,"&lt;="&amp;$A58,実績!$AJ$6:$AJ$505,"&gt;"&amp;$A58,実績!$AL$6:$AL$505,"○")&gt;0,1,0))</f>
        <v>0</v>
      </c>
      <c r="V58" s="39" t="n">
        <f aca="false">IF(V$4=0,0,IF(COUNTIFS(実績!$W$6:$W$505,V$3,実績!$AI$6:$AI$505,"&lt;="&amp;$A58,実績!$AJ$6:$AJ$505,"&gt;"&amp;$A58,実績!$AL$6:$AL$505,"○")&gt;0,1,0))</f>
        <v>0</v>
      </c>
      <c r="W58" s="39" t="n">
        <f aca="false">IF(W$4=0,0,IF(COUNTIFS(実績!$W$6:$W$505,W$3,実績!$AI$6:$AI$505,"&lt;="&amp;$A58,実績!$AJ$6:$AJ$505,"&gt;"&amp;$A58,実績!$AL$6:$AL$505,"○")&gt;0,1,0))</f>
        <v>0</v>
      </c>
      <c r="X58" s="39" t="n">
        <f aca="false">IF(X$4=0,0,IF(COUNTIFS(実績!$W$6:$W$505,X$3,実績!$AI$6:$AI$505,"&lt;="&amp;$A58,実績!$AJ$6:$AJ$505,"&gt;"&amp;$A58,実績!$AL$6:$AL$505,"○")&gt;0,1,0))</f>
        <v>0</v>
      </c>
      <c r="Y58" s="39" t="n">
        <f aca="false">IF(Y$4=0,0,IF(COUNTIFS(実績!$W$6:$W$505,Y$3,実績!$AI$6:$AI$505,"&lt;="&amp;$A58,実績!$AJ$6:$AJ$505,"&gt;"&amp;$A58,実績!$AL$6:$AL$505,"○")&gt;0,1,0))</f>
        <v>0</v>
      </c>
      <c r="Z58" s="39" t="n">
        <f aca="false">IF(Z$4=0,0,IF(COUNTIFS(実績!$W$6:$W$505,Z$3,実績!$AI$6:$AI$505,"&lt;="&amp;$A58,実績!$AJ$6:$AJ$505,"&gt;"&amp;$A58,実績!$AL$6:$AL$505,"○")&gt;0,1,0))</f>
        <v>0</v>
      </c>
      <c r="AA58" s="39" t="n">
        <f aca="false">IF(AA$4=0,0,IF(COUNTIFS(実績!$W$6:$W$505,AA$3,実績!$AI$6:$AI$505,"&lt;="&amp;$A58,実績!$AJ$6:$AJ$505,"&gt;"&amp;$A58,実績!$AL$6:$AL$505,"○")&gt;0,1,0))</f>
        <v>0</v>
      </c>
      <c r="AB58" s="39" t="n">
        <f aca="false">IF(AB$4=0,0,IF(COUNTIFS(実績!$W$6:$W$505,AB$3,実績!$AI$6:$AI$505,"&lt;="&amp;$A58,実績!$AJ$6:$AJ$505,"&gt;"&amp;$A58,実績!$AL$6:$AL$505,"○")&gt;0,1,0))</f>
        <v>0</v>
      </c>
      <c r="AC58" s="39" t="n">
        <f aca="false">IF(AC$4=0,0,IF(COUNTIFS(実績!$W$6:$W$505,AC$3,実績!$AI$6:$AI$505,"&lt;="&amp;$A58,実績!$AJ$6:$AJ$505,"&gt;"&amp;$A58,実績!$AL$6:$AL$505,"○")&gt;0,1,0))</f>
        <v>0</v>
      </c>
      <c r="AD58" s="39" t="n">
        <f aca="false">IF(AD$4=0,0,IF(COUNTIFS(実績!$W$6:$W$505,AD$3,実績!$AI$6:$AI$505,"&lt;="&amp;$A58,実績!$AJ$6:$AJ$505,"&gt;"&amp;$A58,実績!$AL$6:$AL$505,"○")&gt;0,1,0))</f>
        <v>0</v>
      </c>
      <c r="AE58" s="39" t="n">
        <f aca="false">IF(AE$4=0,0,IF(COUNTIFS(実績!$W$6:$W$505,AE$3,実績!$AI$6:$AI$505,"&lt;="&amp;$A58,実績!$AJ$6:$AJ$505,"&gt;"&amp;$A58,実績!$AL$6:$AL$505,"○")&gt;0,1,0))</f>
        <v>0</v>
      </c>
      <c r="AF58" s="39" t="n">
        <f aca="false">IF(AF$4=0,0,IF(COUNTIFS(実績!$W$6:$W$505,AF$3,実績!$AI$6:$AI$505,"&lt;="&amp;$A58,実績!$AJ$6:$AJ$505,"&gt;"&amp;$A58,実績!$AL$6:$AL$505,"○")&gt;0,1,0))</f>
        <v>0</v>
      </c>
      <c r="AG58" s="39" t="n">
        <f aca="false">IF(AG$4=0,0,IF(COUNTIFS(実績!$W$6:$W$505,AG$3,実績!$AI$6:$AI$505,"&lt;="&amp;$A58,実績!$AJ$6:$AJ$505,"&gt;"&amp;$A58,実績!$AL$6:$AL$505,"○")&gt;0,1,0))</f>
        <v>0</v>
      </c>
      <c r="AH58" s="39" t="n">
        <f aca="false">IF(AH$4=0,0,IF(COUNTIFS(実績!$W$6:$W$505,AH$3,実績!$AI$6:$AI$505,"&lt;="&amp;$A58,実績!$AJ$6:$AJ$505,"&gt;"&amp;$A58,実績!$AL$6:$AL$505,"○")&gt;0,1,0))</f>
        <v>0</v>
      </c>
      <c r="AI58" s="39" t="n">
        <f aca="false">IF(AI$4=0,0,IF(COUNTIFS(実績!$W$6:$W$505,AI$3,実績!$AI$6:$AI$505,"&lt;="&amp;$A58,実績!$AJ$6:$AJ$505,"&gt;"&amp;$A58,実績!$AL$6:$AL$505,"○")&gt;0,1,0))</f>
        <v>0</v>
      </c>
      <c r="AJ58" s="39" t="n">
        <f aca="false">IF(AJ$4=0,0,IF(COUNTIFS(実績!$W$6:$W$505,AJ$3,実績!$AI$6:$AI$505,"&lt;="&amp;$A58,実績!$AJ$6:$AJ$505,"&gt;"&amp;$A58,実績!$AL$6:$AL$505,"○")&gt;0,1,0))</f>
        <v>0</v>
      </c>
      <c r="AK58" s="39" t="n">
        <f aca="false">IF(AK$4=0,0,IF(COUNTIFS(実績!$W$6:$W$505,AK$3,実績!$AI$6:$AI$505,"&lt;="&amp;$A58,実績!$AJ$6:$AJ$505,"&gt;"&amp;$A58,実績!$AL$6:$AL$505,"○")&gt;0,1,0))</f>
        <v>0</v>
      </c>
      <c r="AL58" s="39" t="n">
        <f aca="false">IF(AL$4=0,0,IF(COUNTIFS(実績!$W$6:$W$505,AL$3,実績!$AI$6:$AI$505,"&lt;="&amp;$A58,実績!$AJ$6:$AJ$505,"&gt;"&amp;$A58,実績!$AL$6:$AL$505,"○")&gt;0,1,0))</f>
        <v>0</v>
      </c>
      <c r="AM58" s="39" t="n">
        <f aca="false">IF(AM$4=0,0,IF(COUNTIFS(実績!$W$6:$W$505,AM$3,実績!$AI$6:$AI$505,"&lt;="&amp;$A58,実績!$AJ$6:$AJ$505,"&gt;"&amp;$A58,実績!$AL$6:$AL$505,"○")&gt;0,1,0))</f>
        <v>0</v>
      </c>
      <c r="AN58" s="39" t="n">
        <f aca="false">IF(AN$4=0,0,IF(COUNTIFS(実績!$W$6:$W$505,AN$3,実績!$AI$6:$AI$505,"&lt;="&amp;$A58,実績!$AJ$6:$AJ$505,"&gt;"&amp;$A58,実績!$AL$6:$AL$505,"○")&gt;0,1,0))</f>
        <v>0</v>
      </c>
      <c r="AO58" s="39" t="n">
        <f aca="false">IF(AO$4=0,0,IF(COUNTIFS(実績!$W$6:$W$505,AO$3,実績!$AI$6:$AI$505,"&lt;="&amp;$A58,実績!$AJ$6:$AJ$505,"&gt;"&amp;$A58,実績!$AL$6:$AL$505,"○")&gt;0,1,0))</f>
        <v>0</v>
      </c>
      <c r="AP58" s="39" t="n">
        <f aca="false">IF(AP$4=0,0,IF(COUNTIFS(実績!$W$6:$W$505,AP$3,実績!$AI$6:$AI$505,"&lt;="&amp;$A58,実績!$AJ$6:$AJ$505,"&gt;"&amp;$A58,実績!$AL$6:$AL$505,"○")&gt;0,1,0))</f>
        <v>0</v>
      </c>
      <c r="AQ58" s="39" t="n">
        <f aca="false">IF(AQ$4=0,0,IF(COUNTIFS(実績!$W$6:$W$505,AQ$3,実績!$AI$6:$AI$505,"&lt;="&amp;$A58,実績!$AJ$6:$AJ$505,"&gt;"&amp;$A58,実績!$AL$6:$AL$505,"○")&gt;0,1,0))</f>
        <v>0</v>
      </c>
      <c r="AR58" s="39" t="n">
        <f aca="false">IF(AR$4=0,0,IF(COUNTIFS(実績!$W$6:$W$505,AR$3,実績!$AI$6:$AI$505,"&lt;="&amp;$A58,実績!$AJ$6:$AJ$505,"&gt;"&amp;$A58,実績!$AL$6:$AL$505,"○")&gt;0,1,0))</f>
        <v>0</v>
      </c>
      <c r="AS58" s="39" t="n">
        <f aca="false">IF(AS$4=0,0,IF(COUNTIFS(実績!$W$6:$W$505,AS$3,実績!$AI$6:$AI$505,"&lt;="&amp;$A58,実績!$AJ$6:$AJ$505,"&gt;"&amp;$A58,実績!$AL$6:$AL$505,"○")&gt;0,1,0))</f>
        <v>0</v>
      </c>
      <c r="AT58" s="39" t="n">
        <f aca="false">IF(AT$4=0,0,IF(COUNTIFS(実績!$W$6:$W$505,AT$3,実績!$AI$6:$AI$505,"&lt;="&amp;$A58,実績!$AJ$6:$AJ$505,"&gt;"&amp;$A58,実績!$AL$6:$AL$505,"○")&gt;0,1,0))</f>
        <v>0</v>
      </c>
      <c r="AU58" s="39" t="n">
        <f aca="false">IF(AU$4=0,0,IF(COUNTIFS(実績!$W$6:$W$505,AU$3,実績!$AI$6:$AI$505,"&lt;="&amp;$A58,実績!$AJ$6:$AJ$505,"&gt;"&amp;$A58,実績!$AL$6:$AL$505,"○")&gt;0,1,0))</f>
        <v>0</v>
      </c>
      <c r="AV58" s="39" t="n">
        <f aca="false">IF(AV$4=0,0,IF(COUNTIFS(実績!$W$6:$W$505,AV$3,実績!$AI$6:$AI$505,"&lt;="&amp;$A58,実績!$AJ$6:$AJ$505,"&gt;"&amp;$A58,実績!$AL$6:$AL$505,"○")&gt;0,1,0))</f>
        <v>0</v>
      </c>
      <c r="AW58" s="39" t="n">
        <f aca="false">IF(AW$4=0,0,IF(COUNTIFS(実績!$W$6:$W$505,AW$3,実績!$AI$6:$AI$505,"&lt;="&amp;$A58,実績!$AJ$6:$AJ$505,"&gt;"&amp;$A58,実績!$AL$6:$AL$505,"○")&gt;0,1,0))</f>
        <v>0</v>
      </c>
      <c r="AX58" s="39" t="n">
        <f aca="false">IF(AX$4=0,0,IF(COUNTIFS(実績!$W$6:$W$505,AX$3,実績!$AI$6:$AI$505,"&lt;="&amp;$A58,実績!$AJ$6:$AJ$505,"&gt;"&amp;$A58,実績!$AL$6:$AL$505,"○")&gt;0,1,0))</f>
        <v>0</v>
      </c>
      <c r="AY58" s="39" t="n">
        <f aca="false">IF(AY$4=0,0,IF(COUNTIFS(実績!$W$6:$W$505,AY$3,実績!$AI$6:$AI$505,"&lt;="&amp;$A58,実績!$AJ$6:$AJ$505,"&gt;"&amp;$A58,実績!$AL$6:$AL$505,"○")&gt;0,1,0))</f>
        <v>0</v>
      </c>
      <c r="AZ58" s="39" t="n">
        <f aca="false">IF(AZ$4=0,0,IF(COUNTIFS(実績!$W$6:$W$505,AZ$3,実績!$AI$6:$AI$505,"&lt;="&amp;$A58,実績!$AJ$6:$AJ$505,"&gt;"&amp;$A58,実績!$AL$6:$AL$505,"○")&gt;0,1,0))</f>
        <v>0</v>
      </c>
      <c r="BA58" s="39" t="n">
        <f aca="false">IF(BA$4=0,0,IF(COUNTIFS(実績!$W$6:$W$505,BA$3,実績!$AI$6:$AI$505,"&lt;="&amp;$A58,実績!$AJ$6:$AJ$505,"&gt;"&amp;$A58,実績!$AL$6:$AL$505,"○")&gt;0,1,0))</f>
        <v>0</v>
      </c>
      <c r="BB58" s="39" t="n">
        <f aca="false">IF(BB$4=0,0,IF(COUNTIFS(実績!$W$6:$W$505,BB$3,実績!$AI$6:$AI$505,"&lt;="&amp;$A58,実績!$AJ$6:$AJ$505,"&gt;"&amp;$A58,実績!$AL$6:$AL$505,"○")&gt;0,1,0))</f>
        <v>0</v>
      </c>
      <c r="BC58" s="39" t="n">
        <f aca="false">IF(BC$4=0,0,IF(COUNTIFS(実績!$W$6:$W$505,BC$3,実績!$AI$6:$AI$505,"&lt;="&amp;$A58,実績!$AJ$6:$AJ$505,"&gt;"&amp;$A58,実績!$AL$6:$AL$505,"○")&gt;0,1,0))</f>
        <v>0</v>
      </c>
      <c r="BD58" s="39" t="n">
        <f aca="false">IF(BD$4=0,0,IF(COUNTIFS(実績!$W$6:$W$505,BD$3,実績!$AI$6:$AI$505,"&lt;="&amp;$A58,実績!$AJ$6:$AJ$505,"&gt;"&amp;$A58,実績!$AL$6:$AL$505,"○")&gt;0,1,0))</f>
        <v>0</v>
      </c>
      <c r="BE58" s="39" t="n">
        <f aca="false">IF(BE$4=0,0,IF(COUNTIFS(実績!$W$6:$W$505,BE$3,実績!$AI$6:$AI$505,"&lt;="&amp;$A58,実績!$AJ$6:$AJ$505,"&gt;"&amp;$A58,実績!$AL$6:$AL$505,"○")&gt;0,1,0))</f>
        <v>0</v>
      </c>
      <c r="BF58" s="39" t="n">
        <f aca="false">IF(BF$4=0,0,IF(COUNTIFS(実績!$W$6:$W$505,BF$3,実績!$AI$6:$AI$505,"&lt;="&amp;$A58,実績!$AJ$6:$AJ$505,"&gt;"&amp;$A58,実績!$AL$6:$AL$505,"○")&gt;0,1,0))</f>
        <v>0</v>
      </c>
      <c r="BG58" s="39" t="n">
        <f aca="false">IF(BG$4=0,0,IF(COUNTIFS(実績!$W$6:$W$505,BG$3,実績!$AI$6:$AI$505,"&lt;="&amp;$A58,実績!$AJ$6:$AJ$505,"&gt;"&amp;$A58,実績!$AL$6:$AL$505,"○")&gt;0,1,0))</f>
        <v>0</v>
      </c>
      <c r="BH58" s="39" t="n">
        <f aca="false">IF(BH$4=0,0,IF(COUNTIFS(実績!$W$6:$W$505,BH$3,実績!$AI$6:$AI$505,"&lt;="&amp;$A58,実績!$AJ$6:$AJ$505,"&gt;"&amp;$A58,実績!$AL$6:$AL$505,"○")&gt;0,1,0))</f>
        <v>0</v>
      </c>
      <c r="BI58" s="39" t="n">
        <f aca="false">IF(BI$4=0,0,IF(COUNTIFS(実績!$W$6:$W$505,BI$3,実績!$AI$6:$AI$505,"&lt;="&amp;$A58,実績!$AJ$6:$AJ$505,"&gt;"&amp;$A58,実績!$AL$6:$AL$505,"○")&gt;0,1,0))</f>
        <v>0</v>
      </c>
      <c r="BJ58" s="39" t="n">
        <f aca="false">IF(BJ$4=0,0,IF(COUNTIFS(実績!$W$6:$W$505,BJ$3,実績!$AI$6:$AI$505,"&lt;="&amp;$A58,実績!$AJ$6:$AJ$505,"&gt;"&amp;$A58,実績!$AL$6:$AL$505,"○")&gt;0,1,0))</f>
        <v>0</v>
      </c>
      <c r="BK58" s="39" t="n">
        <f aca="false">IF(BK$4=0,0,IF(COUNTIFS(実績!$W$6:$W$505,BK$3,実績!$AI$6:$AI$505,"&lt;="&amp;$A58,実績!$AJ$6:$AJ$505,"&gt;"&amp;$A58,実績!$AL$6:$AL$505,"○")&gt;0,1,0))</f>
        <v>0</v>
      </c>
      <c r="BL58" s="39" t="n">
        <f aca="false">IF(BL$4=0,0,IF(COUNTIFS(実績!$W$6:$W$505,BL$3,実績!$AI$6:$AI$505,"&lt;="&amp;$A58,実績!$AJ$6:$AJ$505,"&gt;"&amp;$A58,実績!$AL$6:$AL$505,"○")&gt;0,1,0))</f>
        <v>0</v>
      </c>
      <c r="BM58" s="39" t="n">
        <f aca="false">IF(BM$4=0,0,IF(COUNTIFS(実績!$W$6:$W$505,BM$3,実績!$AI$6:$AI$505,"&lt;="&amp;$A58,実績!$AJ$6:$AJ$505,"&gt;"&amp;$A58,実績!$AL$6:$AL$505,"○")&gt;0,1,0))</f>
        <v>0</v>
      </c>
      <c r="BN58" s="39" t="n">
        <f aca="false">IF(BN$4=0,0,IF(COUNTIFS(実績!$W$6:$W$505,BN$3,実績!$AI$6:$AI$505,"&lt;="&amp;$A58,実績!$AJ$6:$AJ$505,"&gt;"&amp;$A58,実績!$AL$6:$AL$505,"○")&gt;0,1,0))</f>
        <v>0</v>
      </c>
      <c r="BO58" s="39" t="n">
        <f aca="false">IF(BO$4=0,0,IF(COUNTIFS(実績!$W$6:$W$505,BO$3,実績!$AI$6:$AI$505,"&lt;="&amp;$A58,実績!$AJ$6:$AJ$505,"&gt;"&amp;$A58,実績!$AL$6:$AL$505,"○")&gt;0,1,0))</f>
        <v>0</v>
      </c>
      <c r="BP58" s="39" t="n">
        <f aca="false">IF(BP$4=0,0,IF(COUNTIFS(実績!$W$6:$W$505,BP$3,実績!$AI$6:$AI$505,"&lt;="&amp;$A58,実績!$AJ$6:$AJ$505,"&gt;"&amp;$A58,実績!$AL$6:$AL$505,"○")&gt;0,1,0))</f>
        <v>0</v>
      </c>
      <c r="BQ58" s="39" t="n">
        <f aca="false">IF(BQ$4=0,0,IF(COUNTIFS(実績!$W$6:$W$505,BQ$3,実績!$AI$6:$AI$505,"&lt;="&amp;$A58,実績!$AJ$6:$AJ$505,"&gt;"&amp;$A58,実績!$AL$6:$AL$505,"○")&gt;0,1,0))</f>
        <v>0</v>
      </c>
      <c r="BR58" s="39" t="n">
        <f aca="false">IF(BR$4=0,0,IF(COUNTIFS(実績!$W$6:$W$505,BR$3,実績!$AI$6:$AI$505,"&lt;="&amp;$A58,実績!$AJ$6:$AJ$505,"&gt;"&amp;$A58,実績!$AL$6:$AL$505,"○")&gt;0,1,0))</f>
        <v>0</v>
      </c>
      <c r="BS58" s="39" t="n">
        <f aca="false">IF(BS$4=0,0,IF(COUNTIFS(実績!$W$6:$W$505,BS$3,実績!$AI$6:$AI$505,"&lt;="&amp;$A58,実績!$AJ$6:$AJ$505,"&gt;"&amp;$A58,実績!$AL$6:$AL$505,"○")&gt;0,1,0))</f>
        <v>0</v>
      </c>
      <c r="BT58" s="39" t="n">
        <f aca="false">IF(BT$4=0,0,IF(COUNTIFS(実績!$W$6:$W$505,BT$3,実績!$AI$6:$AI$505,"&lt;="&amp;$A58,実績!$AJ$6:$AJ$505,"&gt;"&amp;$A58,実績!$AL$6:$AL$505,"○")&gt;0,1,0))</f>
        <v>0</v>
      </c>
      <c r="BU58" s="39" t="n">
        <f aca="false">IF(BU$4=0,0,IF(COUNTIFS(実績!$W$6:$W$505,BU$3,実績!$AI$6:$AI$505,"&lt;="&amp;$A58,実績!$AJ$6:$AJ$505,"&gt;"&amp;$A58,実績!$AL$6:$AL$505,"○")&gt;0,1,0))</f>
        <v>0</v>
      </c>
      <c r="BV58" s="39" t="n">
        <f aca="false">IF(BV$4=0,0,IF(COUNTIFS(実績!$W$6:$W$505,BV$3,実績!$AI$6:$AI$505,"&lt;="&amp;$A58,実績!$AJ$6:$AJ$505,"&gt;"&amp;$A58,実績!$AL$6:$AL$505,"○")&gt;0,1,0))</f>
        <v>0</v>
      </c>
      <c r="BW58" s="39" t="n">
        <f aca="false">IF(BW$4=0,0,IF(COUNTIFS(実績!$W$6:$W$505,BW$3,実績!$AI$6:$AI$505,"&lt;="&amp;$A58,実績!$AJ$6:$AJ$505,"&gt;"&amp;$A58,実績!$AL$6:$AL$505,"○")&gt;0,1,0))</f>
        <v>0</v>
      </c>
      <c r="BX58" s="39" t="n">
        <f aca="false">IF(BX$4=0,0,IF(COUNTIFS(実績!$W$6:$W$505,BX$3,実績!$AI$6:$AI$505,"&lt;="&amp;$A58,実績!$AJ$6:$AJ$505,"&gt;"&amp;$A58,実績!$AL$6:$AL$505,"○")&gt;0,1,0))</f>
        <v>0</v>
      </c>
      <c r="BY58" s="39" t="n">
        <f aca="false">IF(BY$4=0,0,IF(COUNTIFS(実績!$W$6:$W$505,BY$3,実績!$AI$6:$AI$505,"&lt;="&amp;$A58,実績!$AJ$6:$AJ$505,"&gt;"&amp;$A58,実績!$AL$6:$AL$505,"○")&gt;0,1,0))</f>
        <v>0</v>
      </c>
      <c r="BZ58" s="39" t="n">
        <f aca="false">IF(BZ$4=0,0,IF(COUNTIFS(実績!$W$6:$W$505,BZ$3,実績!$AI$6:$AI$505,"&lt;="&amp;$A58,実績!$AJ$6:$AJ$505,"&gt;"&amp;$A58,実績!$AL$6:$AL$505,"○")&gt;0,1,0))</f>
        <v>0</v>
      </c>
      <c r="CA58" s="39" t="n">
        <f aca="false">IF(CA$4=0,0,IF(COUNTIFS(実績!$W$6:$W$505,CA$3,実績!$AI$6:$AI$505,"&lt;="&amp;$A58,実績!$AJ$6:$AJ$505,"&gt;"&amp;$A58,実績!$AL$6:$AL$505,"○")&gt;0,1,0))</f>
        <v>0</v>
      </c>
      <c r="CB58" s="39" t="n">
        <f aca="false">IF(CB$4=0,0,IF(COUNTIFS(実績!$W$6:$W$505,CB$3,実績!$AI$6:$AI$505,"&lt;="&amp;$A58,実績!$AJ$6:$AJ$505,"&gt;"&amp;$A58,実績!$AL$6:$AL$505,"○")&gt;0,1,0))</f>
        <v>0</v>
      </c>
      <c r="CC58" s="39" t="n">
        <f aca="false">IF(CC$4=0,0,IF(COUNTIFS(実績!$W$6:$W$505,CC$3,実績!$AI$6:$AI$505,"&lt;="&amp;$A58,実績!$AJ$6:$AJ$505,"&gt;"&amp;$A58,実績!$AL$6:$AL$505,"○")&gt;0,1,0))</f>
        <v>0</v>
      </c>
      <c r="CD58" s="39" t="n">
        <f aca="false">IF(CD$4=0,0,IF(COUNTIFS(実績!$W$6:$W$505,CD$3,実績!$AI$6:$AI$505,"&lt;="&amp;$A58,実績!$AJ$6:$AJ$505,"&gt;"&amp;$A58,実績!$AL$6:$AL$505,"○")&gt;0,1,0))</f>
        <v>0</v>
      </c>
      <c r="CE58" s="39" t="n">
        <f aca="false">IF(CE$4=0,0,IF(COUNTIFS(実績!$W$6:$W$505,CE$3,実績!$AI$6:$AI$505,"&lt;="&amp;$A58,実績!$AJ$6:$AJ$505,"&gt;"&amp;$A58,実績!$AL$6:$AL$505,"○")&gt;0,1,0))</f>
        <v>0</v>
      </c>
      <c r="CF58" s="39" t="n">
        <f aca="false">IF(CF$4=0,0,IF(COUNTIFS(実績!$W$6:$W$505,CF$3,実績!$AI$6:$AI$505,"&lt;="&amp;$A58,実績!$AJ$6:$AJ$505,"&gt;"&amp;$A58,実績!$AL$6:$AL$505,"○")&gt;0,1,0))</f>
        <v>0</v>
      </c>
      <c r="CG58" s="39" t="n">
        <f aca="false">IF(CG$4=0,0,IF(COUNTIFS(実績!$W$6:$W$505,CG$3,実績!$AI$6:$AI$505,"&lt;="&amp;$A58,実績!$AJ$6:$AJ$505,"&gt;"&amp;$A58,実績!$AL$6:$AL$505,"○")&gt;0,1,0))</f>
        <v>0</v>
      </c>
      <c r="CH58" s="39" t="n">
        <f aca="false">IF(CH$4=0,0,IF(COUNTIFS(実績!$W$6:$W$505,CH$3,実績!$AI$6:$AI$505,"&lt;="&amp;$A58,実績!$AJ$6:$AJ$505,"&gt;"&amp;$A58,実績!$AL$6:$AL$505,"○")&gt;0,1,0))</f>
        <v>0</v>
      </c>
      <c r="CI58" s="39" t="n">
        <f aca="false">IF(CI$4=0,0,IF(COUNTIFS(実績!$W$6:$W$505,CI$3,実績!$AI$6:$AI$505,"&lt;="&amp;$A58,実績!$AJ$6:$AJ$505,"&gt;"&amp;$A58,実績!$AL$6:$AL$505,"○")&gt;0,1,0))</f>
        <v>0</v>
      </c>
      <c r="CJ58" s="39" t="n">
        <f aca="false">IF(CJ$4=0,0,IF(COUNTIFS(実績!$W$6:$W$505,CJ$3,実績!$AI$6:$AI$505,"&lt;="&amp;$A58,実績!$AJ$6:$AJ$505,"&gt;"&amp;$A58,実績!$AL$6:$AL$505,"○")&gt;0,1,0))</f>
        <v>0</v>
      </c>
      <c r="CK58" s="39" t="n">
        <f aca="false">IF(CK$4=0,0,IF(COUNTIFS(実績!$W$6:$W$505,CK$3,実績!$AI$6:$AI$505,"&lt;="&amp;$A58,実績!$AJ$6:$AJ$505,"&gt;"&amp;$A58,実績!$AL$6:$AL$505,"○")&gt;0,1,0))</f>
        <v>0</v>
      </c>
      <c r="CL58" s="39" t="n">
        <f aca="false">IF(CL$4=0,0,IF(COUNTIFS(実績!$W$6:$W$505,CL$3,実績!$AI$6:$AI$505,"&lt;="&amp;$A58,実績!$AJ$6:$AJ$505,"&gt;"&amp;$A58,実績!$AL$6:$AL$505,"○")&gt;0,1,0))</f>
        <v>0</v>
      </c>
      <c r="CM58" s="39" t="n">
        <f aca="false">IF(CM$4=0,0,IF(COUNTIFS(実績!$W$6:$W$505,CM$3,実績!$AI$6:$AI$505,"&lt;="&amp;$A58,実績!$AJ$6:$AJ$505,"&gt;"&amp;$A58,実績!$AL$6:$AL$505,"○")&gt;0,1,0))</f>
        <v>0</v>
      </c>
      <c r="CN58" s="39" t="n">
        <f aca="false">IF(CN$4=0,0,IF(COUNTIFS(実績!$W$6:$W$505,CN$3,実績!$AI$6:$AI$505,"&lt;="&amp;$A58,実績!$AJ$6:$AJ$505,"&gt;"&amp;$A58,実績!$AL$6:$AL$505,"○")&gt;0,1,0))</f>
        <v>0</v>
      </c>
      <c r="CO58" s="39" t="n">
        <f aca="false">IF(CO$4=0,0,IF(COUNTIFS(実績!$W$6:$W$505,CO$3,実績!$AI$6:$AI$505,"&lt;="&amp;$A58,実績!$AJ$6:$AJ$505,"&gt;"&amp;$A58,実績!$AL$6:$AL$505,"○")&gt;0,1,0))</f>
        <v>0</v>
      </c>
      <c r="CP58" s="39" t="n">
        <f aca="false">IF(CP$4=0,0,IF(COUNTIFS(実績!$W$6:$W$505,CP$3,実績!$AI$6:$AI$505,"&lt;="&amp;$A58,実績!$AJ$6:$AJ$505,"&gt;"&amp;$A58,実績!$AL$6:$AL$505,"○")&gt;0,1,0))</f>
        <v>0</v>
      </c>
      <c r="CQ58" s="39" t="n">
        <f aca="false">IF(CQ$4=0,0,IF(COUNTIFS(実績!$W$6:$W$505,CQ$3,実績!$AI$6:$AI$505,"&lt;="&amp;$A58,実績!$AJ$6:$AJ$505,"&gt;"&amp;$A58,実績!$AL$6:$AL$505,"○")&gt;0,1,0))</f>
        <v>0</v>
      </c>
      <c r="CR58" s="39" t="n">
        <f aca="false">IF(CR$4=0,0,IF(COUNTIFS(実績!$W$6:$W$505,CR$3,実績!$AI$6:$AI$505,"&lt;="&amp;$A58,実績!$AJ$6:$AJ$505,"&gt;"&amp;$A58,実績!$AL$6:$AL$505,"○")&gt;0,1,0))</f>
        <v>0</v>
      </c>
      <c r="CS58" s="39" t="n">
        <f aca="false">IF(CS$4=0,0,IF(COUNTIFS(実績!$W$6:$W$505,CS$3,実績!$AI$6:$AI$505,"&lt;="&amp;$A58,実績!$AJ$6:$AJ$505,"&gt;"&amp;$A58,実績!$AL$6:$AL$505,"○")&gt;0,1,0))</f>
        <v>0</v>
      </c>
      <c r="CT58" s="39" t="n">
        <f aca="false">IF(CT$4=0,0,IF(COUNTIFS(実績!$W$6:$W$505,CT$3,実績!$AI$6:$AI$505,"&lt;="&amp;$A58,実績!$AJ$6:$AJ$505,"&gt;"&amp;$A58,実績!$AL$6:$AL$505,"○")&gt;0,1,0))</f>
        <v>0</v>
      </c>
      <c r="CU58" s="39" t="n">
        <f aca="false">IF(CU$4=0,0,IF(COUNTIFS(実績!$W$6:$W$505,CU$3,実績!$AI$6:$AI$505,"&lt;="&amp;$A58,実績!$AJ$6:$AJ$505,"&gt;"&amp;$A58,実績!$AL$6:$AL$505,"○")&gt;0,1,0))</f>
        <v>0</v>
      </c>
      <c r="CV58" s="39" t="n">
        <f aca="false">IF(CV$4=0,0,IF(COUNTIFS(実績!$W$6:$W$505,CV$3,実績!$AI$6:$AI$505,"&lt;="&amp;$A58,実績!$AJ$6:$AJ$505,"&gt;"&amp;$A58,実績!$AL$6:$AL$505,"○")&gt;0,1,0))</f>
        <v>0</v>
      </c>
      <c r="CW58" s="39" t="n">
        <f aca="false">IF(CW$4=0,0,IF(COUNTIFS(実績!$W$6:$W$505,CW$3,実績!$AI$6:$AI$505,"&lt;="&amp;$A58,実績!$AJ$6:$AJ$505,"&gt;"&amp;$A58,実績!$AL$6:$AL$505,"○")&gt;0,1,0))</f>
        <v>0</v>
      </c>
      <c r="CX58" s="39" t="n">
        <f aca="false">IF(CX$4=0,0,IF(COUNTIFS(実績!$W$6:$W$505,CX$3,実績!$AI$6:$AI$505,"&lt;="&amp;$A58,実績!$AJ$6:$AJ$505,"&gt;"&amp;$A58,実績!$AL$6:$AL$505,"○")&gt;0,1,0))</f>
        <v>0</v>
      </c>
      <c r="CY58" s="39" t="n">
        <f aca="false">IF(CY$4=0,0,IF(COUNTIFS(実績!$W$6:$W$505,CY$3,実績!$AI$6:$AI$505,"&lt;="&amp;$A58,実績!$AJ$6:$AJ$505,"&gt;"&amp;$A58,実績!$AL$6:$AL$505,"○")&gt;0,1,0))</f>
        <v>0</v>
      </c>
      <c r="CZ58" s="39" t="n">
        <f aca="false">IF(CZ$4=0,0,IF(COUNTIFS(実績!$W$6:$W$505,CZ$3,実績!$AI$6:$AI$505,"&lt;="&amp;$A58,実績!$AJ$6:$AJ$505,"&gt;"&amp;$A58,実績!$AL$6:$AL$505,"○")&gt;0,1,0))</f>
        <v>0</v>
      </c>
      <c r="DA58" s="39" t="n">
        <f aca="false">IF(DA$4=0,0,IF(COUNTIFS(実績!$W$6:$W$505,DA$3,実績!$AI$6:$AI$505,"&lt;="&amp;$A58,実績!$AJ$6:$AJ$505,"&gt;"&amp;$A58,実績!$AL$6:$AL$505,"○")&gt;0,1,0))</f>
        <v>0</v>
      </c>
      <c r="DB58" s="39" t="n">
        <f aca="false">IF(DB$4=0,0,IF(COUNTIFS(実績!$W$6:$W$505,DB$3,実績!$AI$6:$AI$505,"&lt;="&amp;$A58,実績!$AJ$6:$AJ$505,"&gt;"&amp;$A58,実績!$AL$6:$AL$505,"○")&gt;0,1,0))</f>
        <v>0</v>
      </c>
      <c r="DC58" s="39" t="n">
        <f aca="false">IF(DC$4=0,0,IF(COUNTIFS(実績!$W$6:$W$505,DC$3,実績!$AI$6:$AI$505,"&lt;="&amp;$A58,実績!$AJ$6:$AJ$505,"&gt;"&amp;$A58,実績!$AL$6:$AL$505,"○")&gt;0,1,0))</f>
        <v>0</v>
      </c>
      <c r="DD58" s="39" t="n">
        <f aca="false">IF(DD$4=0,0,IF(COUNTIFS(実績!$W$6:$W$505,DD$3,実績!$AI$6:$AI$505,"&lt;="&amp;$A58,実績!$AJ$6:$AJ$505,"&gt;"&amp;$A58,実績!$AL$6:$AL$505,"○")&gt;0,1,0))</f>
        <v>0</v>
      </c>
      <c r="DE58" s="39" t="n">
        <f aca="false">IF(DE$4=0,0,IF(COUNTIFS(実績!$W$6:$W$505,DE$3,実績!$AI$6:$AI$505,"&lt;="&amp;$A58,実績!$AJ$6:$AJ$505,"&gt;"&amp;$A58,実績!$AL$6:$AL$505,"○")&gt;0,1,0))</f>
        <v>0</v>
      </c>
      <c r="DF58" s="39" t="n">
        <f aca="false">IF(DF$4=0,0,IF(COUNTIFS(実績!$W$6:$W$505,DF$3,実績!$AI$6:$AI$505,"&lt;="&amp;$A58,実績!$AJ$6:$AJ$505,"&gt;"&amp;$A58,実績!$AL$6:$AL$505,"○")&gt;0,1,0))</f>
        <v>0</v>
      </c>
      <c r="DG58" s="39" t="n">
        <f aca="false">IF(DG$4=0,0,IF(COUNTIFS(実績!$W$6:$W$505,DG$3,実績!$AI$6:$AI$505,"&lt;="&amp;$A58,実績!$AJ$6:$AJ$505,"&gt;"&amp;$A58,実績!$AL$6:$AL$505,"○")&gt;0,1,0))</f>
        <v>0</v>
      </c>
      <c r="DH58" s="39" t="n">
        <f aca="false">IF(DH$4=0,0,IF(COUNTIFS(実績!$W$6:$W$505,DH$3,実績!$AI$6:$AI$505,"&lt;="&amp;$A58,実績!$AJ$6:$AJ$505,"&gt;"&amp;$A58,実績!$AL$6:$AL$505,"○")&gt;0,1,0))</f>
        <v>0</v>
      </c>
      <c r="DI58" s="39" t="n">
        <f aca="false">IF(DI$4=0,0,IF(COUNTIFS(実績!$W$6:$W$505,DI$3,実績!$AI$6:$AI$505,"&lt;="&amp;$A58,実績!$AJ$6:$AJ$505,"&gt;"&amp;$A58,実績!$AL$6:$AL$505,"○")&gt;0,1,0))</f>
        <v>0</v>
      </c>
      <c r="DJ58" s="39" t="n">
        <f aca="false">IF(DJ$4=0,0,IF(COUNTIFS(実績!$W$6:$W$505,DJ$3,実績!$AI$6:$AI$505,"&lt;="&amp;$A58,実績!$AJ$6:$AJ$505,"&gt;"&amp;$A58,実績!$AL$6:$AL$505,"○")&gt;0,1,0))</f>
        <v>0</v>
      </c>
      <c r="DK58" s="39" t="n">
        <f aca="false">IF(DK$4=0,0,IF(COUNTIFS(実績!$W$6:$W$505,DK$3,実績!$AI$6:$AI$505,"&lt;="&amp;$A58,実績!$AJ$6:$AJ$505,"&gt;"&amp;$A58,実績!$AL$6:$AL$505,"○")&gt;0,1,0))</f>
        <v>0</v>
      </c>
      <c r="DL58" s="39" t="n">
        <f aca="false">IF(DL$4=0,0,IF(COUNTIFS(実績!$W$6:$W$505,DL$3,実績!$AI$6:$AI$505,"&lt;="&amp;$A58,実績!$AJ$6:$AJ$505,"&gt;"&amp;$A58,実績!$AL$6:$AL$505,"○")&gt;0,1,0))</f>
        <v>0</v>
      </c>
      <c r="DM58" s="39" t="n">
        <f aca="false">IF(DM$4=0,0,IF(COUNTIFS(実績!$W$6:$W$505,DM$3,実績!$AI$6:$AI$505,"&lt;="&amp;$A58,実績!$AJ$6:$AJ$505,"&gt;"&amp;$A58,実績!$AL$6:$AL$505,"○")&gt;0,1,0))</f>
        <v>0</v>
      </c>
      <c r="DN58" s="39" t="n">
        <f aca="false">IF(DN$4=0,0,IF(COUNTIFS(実績!$W$6:$W$505,DN$3,実績!$AI$6:$AI$505,"&lt;="&amp;$A58,実績!$AJ$6:$AJ$505,"&gt;"&amp;$A58,実績!$AL$6:$AL$505,"○")&gt;0,1,0))</f>
        <v>0</v>
      </c>
      <c r="DO58" s="39" t="n">
        <f aca="false">IF(DO$4=0,0,IF(COUNTIFS(実績!$W$6:$W$505,DO$3,実績!$AI$6:$AI$505,"&lt;="&amp;$A58,実績!$AJ$6:$AJ$505,"&gt;"&amp;$A58,実績!$AL$6:$AL$505,"○")&gt;0,1,0))</f>
        <v>0</v>
      </c>
      <c r="DP58" s="39" t="n">
        <f aca="false">IF(DP$4=0,0,IF(COUNTIFS(実績!$W$6:$W$505,DP$3,実績!$AI$6:$AI$505,"&lt;="&amp;$A58,実績!$AJ$6:$AJ$505,"&gt;"&amp;$A58,実績!$AL$6:$AL$505,"○")&gt;0,1,0))</f>
        <v>0</v>
      </c>
      <c r="DQ58" s="39" t="n">
        <f aca="false">IF(DQ$4=0,0,IF(COUNTIFS(実績!$W$6:$W$505,DQ$3,実績!$AI$6:$AI$505,"&lt;="&amp;$A58,実績!$AJ$6:$AJ$505,"&gt;"&amp;$A58,実績!$AL$6:$AL$505,"○")&gt;0,1,0))</f>
        <v>0</v>
      </c>
      <c r="DR58" s="39" t="n">
        <f aca="false">IF(DR$4=0,0,IF(COUNTIFS(実績!$W$6:$W$505,DR$3,実績!$AI$6:$AI$505,"&lt;="&amp;$A58,実績!$AJ$6:$AJ$505,"&gt;"&amp;$A58,実績!$AL$6:$AL$505,"○")&gt;0,1,0))</f>
        <v>0</v>
      </c>
      <c r="DS58" s="39" t="n">
        <f aca="false">SUM(C58:DR58)</f>
        <v>0</v>
      </c>
    </row>
    <row r="59" customFormat="false" ht="15" hidden="false" customHeight="false" outlineLevel="0" collapsed="false">
      <c r="A59" s="0" t="n">
        <v>265</v>
      </c>
      <c r="B59" s="38" t="n">
        <f aca="false">A59/1440</f>
        <v>0.184027777777778</v>
      </c>
      <c r="C59" s="39" t="n">
        <f aca="false">IF(C$4=0,0,IF(COUNTIFS(実績!$W$6:$W$505,C$3,実績!$AI$6:$AI$505,"&lt;="&amp;$A59,実績!$AJ$6:$AJ$505,"&gt;"&amp;$A59,実績!$AL$6:$AL$505,"○")&gt;0,1,0))</f>
        <v>0</v>
      </c>
      <c r="D59" s="39" t="n">
        <f aca="false">IF(D$4=0,0,IF(COUNTIFS(実績!$W$6:$W$505,D$3,実績!$AI$6:$AI$505,"&lt;="&amp;$A59,実績!$AJ$6:$AJ$505,"&gt;"&amp;$A59,実績!$AL$6:$AL$505,"○")&gt;0,1,0))</f>
        <v>0</v>
      </c>
      <c r="E59" s="39" t="n">
        <f aca="false">IF(E$4=0,0,IF(COUNTIFS(実績!$W$6:$W$505,E$3,実績!$AI$6:$AI$505,"&lt;="&amp;$A59,実績!$AJ$6:$AJ$505,"&gt;"&amp;$A59,実績!$AL$6:$AL$505,"○")&gt;0,1,0))</f>
        <v>0</v>
      </c>
      <c r="F59" s="39" t="n">
        <f aca="false">IF(F$4=0,0,IF(COUNTIFS(実績!$W$6:$W$505,F$3,実績!$AI$6:$AI$505,"&lt;="&amp;$A59,実績!$AJ$6:$AJ$505,"&gt;"&amp;$A59,実績!$AL$6:$AL$505,"○")&gt;0,1,0))</f>
        <v>0</v>
      </c>
      <c r="G59" s="39" t="n">
        <f aca="false">IF(G$4=0,0,IF(COUNTIFS(実績!$W$6:$W$505,G$3,実績!$AI$6:$AI$505,"&lt;="&amp;$A59,実績!$AJ$6:$AJ$505,"&gt;"&amp;$A59,実績!$AL$6:$AL$505,"○")&gt;0,1,0))</f>
        <v>0</v>
      </c>
      <c r="H59" s="39" t="n">
        <f aca="false">IF(H$4=0,0,IF(COUNTIFS(実績!$W$6:$W$505,H$3,実績!$AI$6:$AI$505,"&lt;="&amp;$A59,実績!$AJ$6:$AJ$505,"&gt;"&amp;$A59,実績!$AL$6:$AL$505,"○")&gt;0,1,0))</f>
        <v>0</v>
      </c>
      <c r="I59" s="39" t="n">
        <f aca="false">IF(I$4=0,0,IF(COUNTIFS(実績!$W$6:$W$505,I$3,実績!$AI$6:$AI$505,"&lt;="&amp;$A59,実績!$AJ$6:$AJ$505,"&gt;"&amp;$A59,実績!$AL$6:$AL$505,"○")&gt;0,1,0))</f>
        <v>0</v>
      </c>
      <c r="J59" s="39" t="n">
        <f aca="false">IF(J$4=0,0,IF(COUNTIFS(実績!$W$6:$W$505,J$3,実績!$AI$6:$AI$505,"&lt;="&amp;$A59,実績!$AJ$6:$AJ$505,"&gt;"&amp;$A59,実績!$AL$6:$AL$505,"○")&gt;0,1,0))</f>
        <v>0</v>
      </c>
      <c r="K59" s="39" t="n">
        <f aca="false">IF(K$4=0,0,IF(COUNTIFS(実績!$W$6:$W$505,K$3,実績!$AI$6:$AI$505,"&lt;="&amp;$A59,実績!$AJ$6:$AJ$505,"&gt;"&amp;$A59,実績!$AL$6:$AL$505,"○")&gt;0,1,0))</f>
        <v>0</v>
      </c>
      <c r="L59" s="39" t="n">
        <f aca="false">IF(L$4=0,0,IF(COUNTIFS(実績!$W$6:$W$505,L$3,実績!$AI$6:$AI$505,"&lt;="&amp;$A59,実績!$AJ$6:$AJ$505,"&gt;"&amp;$A59,実績!$AL$6:$AL$505,"○")&gt;0,1,0))</f>
        <v>0</v>
      </c>
      <c r="M59" s="39" t="n">
        <f aca="false">IF(M$4=0,0,IF(COUNTIFS(実績!$W$6:$W$505,M$3,実績!$AI$6:$AI$505,"&lt;="&amp;$A59,実績!$AJ$6:$AJ$505,"&gt;"&amp;$A59,実績!$AL$6:$AL$505,"○")&gt;0,1,0))</f>
        <v>0</v>
      </c>
      <c r="N59" s="39" t="n">
        <f aca="false">IF(N$4=0,0,IF(COUNTIFS(実績!$W$6:$W$505,N$3,実績!$AI$6:$AI$505,"&lt;="&amp;$A59,実績!$AJ$6:$AJ$505,"&gt;"&amp;$A59,実績!$AL$6:$AL$505,"○")&gt;0,1,0))</f>
        <v>0</v>
      </c>
      <c r="O59" s="39" t="n">
        <f aca="false">IF(O$4=0,0,IF(COUNTIFS(実績!$W$6:$W$505,O$3,実績!$AI$6:$AI$505,"&lt;="&amp;$A59,実績!$AJ$6:$AJ$505,"&gt;"&amp;$A59,実績!$AL$6:$AL$505,"○")&gt;0,1,0))</f>
        <v>0</v>
      </c>
      <c r="P59" s="39" t="n">
        <f aca="false">IF(P$4=0,0,IF(COUNTIFS(実績!$W$6:$W$505,P$3,実績!$AI$6:$AI$505,"&lt;="&amp;$A59,実績!$AJ$6:$AJ$505,"&gt;"&amp;$A59,実績!$AL$6:$AL$505,"○")&gt;0,1,0))</f>
        <v>0</v>
      </c>
      <c r="Q59" s="39" t="n">
        <f aca="false">IF(Q$4=0,0,IF(COUNTIFS(実績!$W$6:$W$505,Q$3,実績!$AI$6:$AI$505,"&lt;="&amp;$A59,実績!$AJ$6:$AJ$505,"&gt;"&amp;$A59,実績!$AL$6:$AL$505,"○")&gt;0,1,0))</f>
        <v>0</v>
      </c>
      <c r="R59" s="39" t="n">
        <f aca="false">IF(R$4=0,0,IF(COUNTIFS(実績!$W$6:$W$505,R$3,実績!$AI$6:$AI$505,"&lt;="&amp;$A59,実績!$AJ$6:$AJ$505,"&gt;"&amp;$A59,実績!$AL$6:$AL$505,"○")&gt;0,1,0))</f>
        <v>0</v>
      </c>
      <c r="S59" s="39" t="n">
        <f aca="false">IF(S$4=0,0,IF(COUNTIFS(実績!$W$6:$W$505,S$3,実績!$AI$6:$AI$505,"&lt;="&amp;$A59,実績!$AJ$6:$AJ$505,"&gt;"&amp;$A59,実績!$AL$6:$AL$505,"○")&gt;0,1,0))</f>
        <v>0</v>
      </c>
      <c r="T59" s="39" t="n">
        <f aca="false">IF(T$4=0,0,IF(COUNTIFS(実績!$W$6:$W$505,T$3,実績!$AI$6:$AI$505,"&lt;="&amp;$A59,実績!$AJ$6:$AJ$505,"&gt;"&amp;$A59,実績!$AL$6:$AL$505,"○")&gt;0,1,0))</f>
        <v>0</v>
      </c>
      <c r="U59" s="39" t="n">
        <f aca="false">IF(U$4=0,0,IF(COUNTIFS(実績!$W$6:$W$505,U$3,実績!$AI$6:$AI$505,"&lt;="&amp;$A59,実績!$AJ$6:$AJ$505,"&gt;"&amp;$A59,実績!$AL$6:$AL$505,"○")&gt;0,1,0))</f>
        <v>0</v>
      </c>
      <c r="V59" s="39" t="n">
        <f aca="false">IF(V$4=0,0,IF(COUNTIFS(実績!$W$6:$W$505,V$3,実績!$AI$6:$AI$505,"&lt;="&amp;$A59,実績!$AJ$6:$AJ$505,"&gt;"&amp;$A59,実績!$AL$6:$AL$505,"○")&gt;0,1,0))</f>
        <v>0</v>
      </c>
      <c r="W59" s="39" t="n">
        <f aca="false">IF(W$4=0,0,IF(COUNTIFS(実績!$W$6:$W$505,W$3,実績!$AI$6:$AI$505,"&lt;="&amp;$A59,実績!$AJ$6:$AJ$505,"&gt;"&amp;$A59,実績!$AL$6:$AL$505,"○")&gt;0,1,0))</f>
        <v>0</v>
      </c>
      <c r="X59" s="39" t="n">
        <f aca="false">IF(X$4=0,0,IF(COUNTIFS(実績!$W$6:$W$505,X$3,実績!$AI$6:$AI$505,"&lt;="&amp;$A59,実績!$AJ$6:$AJ$505,"&gt;"&amp;$A59,実績!$AL$6:$AL$505,"○")&gt;0,1,0))</f>
        <v>0</v>
      </c>
      <c r="Y59" s="39" t="n">
        <f aca="false">IF(Y$4=0,0,IF(COUNTIFS(実績!$W$6:$W$505,Y$3,実績!$AI$6:$AI$505,"&lt;="&amp;$A59,実績!$AJ$6:$AJ$505,"&gt;"&amp;$A59,実績!$AL$6:$AL$505,"○")&gt;0,1,0))</f>
        <v>0</v>
      </c>
      <c r="Z59" s="39" t="n">
        <f aca="false">IF(Z$4=0,0,IF(COUNTIFS(実績!$W$6:$W$505,Z$3,実績!$AI$6:$AI$505,"&lt;="&amp;$A59,実績!$AJ$6:$AJ$505,"&gt;"&amp;$A59,実績!$AL$6:$AL$505,"○")&gt;0,1,0))</f>
        <v>0</v>
      </c>
      <c r="AA59" s="39" t="n">
        <f aca="false">IF(AA$4=0,0,IF(COUNTIFS(実績!$W$6:$W$505,AA$3,実績!$AI$6:$AI$505,"&lt;="&amp;$A59,実績!$AJ$6:$AJ$505,"&gt;"&amp;$A59,実績!$AL$6:$AL$505,"○")&gt;0,1,0))</f>
        <v>0</v>
      </c>
      <c r="AB59" s="39" t="n">
        <f aca="false">IF(AB$4=0,0,IF(COUNTIFS(実績!$W$6:$W$505,AB$3,実績!$AI$6:$AI$505,"&lt;="&amp;$A59,実績!$AJ$6:$AJ$505,"&gt;"&amp;$A59,実績!$AL$6:$AL$505,"○")&gt;0,1,0))</f>
        <v>0</v>
      </c>
      <c r="AC59" s="39" t="n">
        <f aca="false">IF(AC$4=0,0,IF(COUNTIFS(実績!$W$6:$W$505,AC$3,実績!$AI$6:$AI$505,"&lt;="&amp;$A59,実績!$AJ$6:$AJ$505,"&gt;"&amp;$A59,実績!$AL$6:$AL$505,"○")&gt;0,1,0))</f>
        <v>0</v>
      </c>
      <c r="AD59" s="39" t="n">
        <f aca="false">IF(AD$4=0,0,IF(COUNTIFS(実績!$W$6:$W$505,AD$3,実績!$AI$6:$AI$505,"&lt;="&amp;$A59,実績!$AJ$6:$AJ$505,"&gt;"&amp;$A59,実績!$AL$6:$AL$505,"○")&gt;0,1,0))</f>
        <v>0</v>
      </c>
      <c r="AE59" s="39" t="n">
        <f aca="false">IF(AE$4=0,0,IF(COUNTIFS(実績!$W$6:$W$505,AE$3,実績!$AI$6:$AI$505,"&lt;="&amp;$A59,実績!$AJ$6:$AJ$505,"&gt;"&amp;$A59,実績!$AL$6:$AL$505,"○")&gt;0,1,0))</f>
        <v>0</v>
      </c>
      <c r="AF59" s="39" t="n">
        <f aca="false">IF(AF$4=0,0,IF(COUNTIFS(実績!$W$6:$W$505,AF$3,実績!$AI$6:$AI$505,"&lt;="&amp;$A59,実績!$AJ$6:$AJ$505,"&gt;"&amp;$A59,実績!$AL$6:$AL$505,"○")&gt;0,1,0))</f>
        <v>0</v>
      </c>
      <c r="AG59" s="39" t="n">
        <f aca="false">IF(AG$4=0,0,IF(COUNTIFS(実績!$W$6:$W$505,AG$3,実績!$AI$6:$AI$505,"&lt;="&amp;$A59,実績!$AJ$6:$AJ$505,"&gt;"&amp;$A59,実績!$AL$6:$AL$505,"○")&gt;0,1,0))</f>
        <v>0</v>
      </c>
      <c r="AH59" s="39" t="n">
        <f aca="false">IF(AH$4=0,0,IF(COUNTIFS(実績!$W$6:$W$505,AH$3,実績!$AI$6:$AI$505,"&lt;="&amp;$A59,実績!$AJ$6:$AJ$505,"&gt;"&amp;$A59,実績!$AL$6:$AL$505,"○")&gt;0,1,0))</f>
        <v>0</v>
      </c>
      <c r="AI59" s="39" t="n">
        <f aca="false">IF(AI$4=0,0,IF(COUNTIFS(実績!$W$6:$W$505,AI$3,実績!$AI$6:$AI$505,"&lt;="&amp;$A59,実績!$AJ$6:$AJ$505,"&gt;"&amp;$A59,実績!$AL$6:$AL$505,"○")&gt;0,1,0))</f>
        <v>0</v>
      </c>
      <c r="AJ59" s="39" t="n">
        <f aca="false">IF(AJ$4=0,0,IF(COUNTIFS(実績!$W$6:$W$505,AJ$3,実績!$AI$6:$AI$505,"&lt;="&amp;$A59,実績!$AJ$6:$AJ$505,"&gt;"&amp;$A59,実績!$AL$6:$AL$505,"○")&gt;0,1,0))</f>
        <v>0</v>
      </c>
      <c r="AK59" s="39" t="n">
        <f aca="false">IF(AK$4=0,0,IF(COUNTIFS(実績!$W$6:$W$505,AK$3,実績!$AI$6:$AI$505,"&lt;="&amp;$A59,実績!$AJ$6:$AJ$505,"&gt;"&amp;$A59,実績!$AL$6:$AL$505,"○")&gt;0,1,0))</f>
        <v>0</v>
      </c>
      <c r="AL59" s="39" t="n">
        <f aca="false">IF(AL$4=0,0,IF(COUNTIFS(実績!$W$6:$W$505,AL$3,実績!$AI$6:$AI$505,"&lt;="&amp;$A59,実績!$AJ$6:$AJ$505,"&gt;"&amp;$A59,実績!$AL$6:$AL$505,"○")&gt;0,1,0))</f>
        <v>0</v>
      </c>
      <c r="AM59" s="39" t="n">
        <f aca="false">IF(AM$4=0,0,IF(COUNTIFS(実績!$W$6:$W$505,AM$3,実績!$AI$6:$AI$505,"&lt;="&amp;$A59,実績!$AJ$6:$AJ$505,"&gt;"&amp;$A59,実績!$AL$6:$AL$505,"○")&gt;0,1,0))</f>
        <v>0</v>
      </c>
      <c r="AN59" s="39" t="n">
        <f aca="false">IF(AN$4=0,0,IF(COUNTIFS(実績!$W$6:$W$505,AN$3,実績!$AI$6:$AI$505,"&lt;="&amp;$A59,実績!$AJ$6:$AJ$505,"&gt;"&amp;$A59,実績!$AL$6:$AL$505,"○")&gt;0,1,0))</f>
        <v>0</v>
      </c>
      <c r="AO59" s="39" t="n">
        <f aca="false">IF(AO$4=0,0,IF(COUNTIFS(実績!$W$6:$W$505,AO$3,実績!$AI$6:$AI$505,"&lt;="&amp;$A59,実績!$AJ$6:$AJ$505,"&gt;"&amp;$A59,実績!$AL$6:$AL$505,"○")&gt;0,1,0))</f>
        <v>0</v>
      </c>
      <c r="AP59" s="39" t="n">
        <f aca="false">IF(AP$4=0,0,IF(COUNTIFS(実績!$W$6:$W$505,AP$3,実績!$AI$6:$AI$505,"&lt;="&amp;$A59,実績!$AJ$6:$AJ$505,"&gt;"&amp;$A59,実績!$AL$6:$AL$505,"○")&gt;0,1,0))</f>
        <v>0</v>
      </c>
      <c r="AQ59" s="39" t="n">
        <f aca="false">IF(AQ$4=0,0,IF(COUNTIFS(実績!$W$6:$W$505,AQ$3,実績!$AI$6:$AI$505,"&lt;="&amp;$A59,実績!$AJ$6:$AJ$505,"&gt;"&amp;$A59,実績!$AL$6:$AL$505,"○")&gt;0,1,0))</f>
        <v>0</v>
      </c>
      <c r="AR59" s="39" t="n">
        <f aca="false">IF(AR$4=0,0,IF(COUNTIFS(実績!$W$6:$W$505,AR$3,実績!$AI$6:$AI$505,"&lt;="&amp;$A59,実績!$AJ$6:$AJ$505,"&gt;"&amp;$A59,実績!$AL$6:$AL$505,"○")&gt;0,1,0))</f>
        <v>0</v>
      </c>
      <c r="AS59" s="39" t="n">
        <f aca="false">IF(AS$4=0,0,IF(COUNTIFS(実績!$W$6:$W$505,AS$3,実績!$AI$6:$AI$505,"&lt;="&amp;$A59,実績!$AJ$6:$AJ$505,"&gt;"&amp;$A59,実績!$AL$6:$AL$505,"○")&gt;0,1,0))</f>
        <v>0</v>
      </c>
      <c r="AT59" s="39" t="n">
        <f aca="false">IF(AT$4=0,0,IF(COUNTIFS(実績!$W$6:$W$505,AT$3,実績!$AI$6:$AI$505,"&lt;="&amp;$A59,実績!$AJ$6:$AJ$505,"&gt;"&amp;$A59,実績!$AL$6:$AL$505,"○")&gt;0,1,0))</f>
        <v>0</v>
      </c>
      <c r="AU59" s="39" t="n">
        <f aca="false">IF(AU$4=0,0,IF(COUNTIFS(実績!$W$6:$W$505,AU$3,実績!$AI$6:$AI$505,"&lt;="&amp;$A59,実績!$AJ$6:$AJ$505,"&gt;"&amp;$A59,実績!$AL$6:$AL$505,"○")&gt;0,1,0))</f>
        <v>0</v>
      </c>
      <c r="AV59" s="39" t="n">
        <f aca="false">IF(AV$4=0,0,IF(COUNTIFS(実績!$W$6:$W$505,AV$3,実績!$AI$6:$AI$505,"&lt;="&amp;$A59,実績!$AJ$6:$AJ$505,"&gt;"&amp;$A59,実績!$AL$6:$AL$505,"○")&gt;0,1,0))</f>
        <v>0</v>
      </c>
      <c r="AW59" s="39" t="n">
        <f aca="false">IF(AW$4=0,0,IF(COUNTIFS(実績!$W$6:$W$505,AW$3,実績!$AI$6:$AI$505,"&lt;="&amp;$A59,実績!$AJ$6:$AJ$505,"&gt;"&amp;$A59,実績!$AL$6:$AL$505,"○")&gt;0,1,0))</f>
        <v>0</v>
      </c>
      <c r="AX59" s="39" t="n">
        <f aca="false">IF(AX$4=0,0,IF(COUNTIFS(実績!$W$6:$W$505,AX$3,実績!$AI$6:$AI$505,"&lt;="&amp;$A59,実績!$AJ$6:$AJ$505,"&gt;"&amp;$A59,実績!$AL$6:$AL$505,"○")&gt;0,1,0))</f>
        <v>0</v>
      </c>
      <c r="AY59" s="39" t="n">
        <f aca="false">IF(AY$4=0,0,IF(COUNTIFS(実績!$W$6:$W$505,AY$3,実績!$AI$6:$AI$505,"&lt;="&amp;$A59,実績!$AJ$6:$AJ$505,"&gt;"&amp;$A59,実績!$AL$6:$AL$505,"○")&gt;0,1,0))</f>
        <v>0</v>
      </c>
      <c r="AZ59" s="39" t="n">
        <f aca="false">IF(AZ$4=0,0,IF(COUNTIFS(実績!$W$6:$W$505,AZ$3,実績!$AI$6:$AI$505,"&lt;="&amp;$A59,実績!$AJ$6:$AJ$505,"&gt;"&amp;$A59,実績!$AL$6:$AL$505,"○")&gt;0,1,0))</f>
        <v>0</v>
      </c>
      <c r="BA59" s="39" t="n">
        <f aca="false">IF(BA$4=0,0,IF(COUNTIFS(実績!$W$6:$W$505,BA$3,実績!$AI$6:$AI$505,"&lt;="&amp;$A59,実績!$AJ$6:$AJ$505,"&gt;"&amp;$A59,実績!$AL$6:$AL$505,"○")&gt;0,1,0))</f>
        <v>0</v>
      </c>
      <c r="BB59" s="39" t="n">
        <f aca="false">IF(BB$4=0,0,IF(COUNTIFS(実績!$W$6:$W$505,BB$3,実績!$AI$6:$AI$505,"&lt;="&amp;$A59,実績!$AJ$6:$AJ$505,"&gt;"&amp;$A59,実績!$AL$6:$AL$505,"○")&gt;0,1,0))</f>
        <v>0</v>
      </c>
      <c r="BC59" s="39" t="n">
        <f aca="false">IF(BC$4=0,0,IF(COUNTIFS(実績!$W$6:$W$505,BC$3,実績!$AI$6:$AI$505,"&lt;="&amp;$A59,実績!$AJ$6:$AJ$505,"&gt;"&amp;$A59,実績!$AL$6:$AL$505,"○")&gt;0,1,0))</f>
        <v>0</v>
      </c>
      <c r="BD59" s="39" t="n">
        <f aca="false">IF(BD$4=0,0,IF(COUNTIFS(実績!$W$6:$W$505,BD$3,実績!$AI$6:$AI$505,"&lt;="&amp;$A59,実績!$AJ$6:$AJ$505,"&gt;"&amp;$A59,実績!$AL$6:$AL$505,"○")&gt;0,1,0))</f>
        <v>0</v>
      </c>
      <c r="BE59" s="39" t="n">
        <f aca="false">IF(BE$4=0,0,IF(COUNTIFS(実績!$W$6:$W$505,BE$3,実績!$AI$6:$AI$505,"&lt;="&amp;$A59,実績!$AJ$6:$AJ$505,"&gt;"&amp;$A59,実績!$AL$6:$AL$505,"○")&gt;0,1,0))</f>
        <v>0</v>
      </c>
      <c r="BF59" s="39" t="n">
        <f aca="false">IF(BF$4=0,0,IF(COUNTIFS(実績!$W$6:$W$505,BF$3,実績!$AI$6:$AI$505,"&lt;="&amp;$A59,実績!$AJ$6:$AJ$505,"&gt;"&amp;$A59,実績!$AL$6:$AL$505,"○")&gt;0,1,0))</f>
        <v>0</v>
      </c>
      <c r="BG59" s="39" t="n">
        <f aca="false">IF(BG$4=0,0,IF(COUNTIFS(実績!$W$6:$W$505,BG$3,実績!$AI$6:$AI$505,"&lt;="&amp;$A59,実績!$AJ$6:$AJ$505,"&gt;"&amp;$A59,実績!$AL$6:$AL$505,"○")&gt;0,1,0))</f>
        <v>0</v>
      </c>
      <c r="BH59" s="39" t="n">
        <f aca="false">IF(BH$4=0,0,IF(COUNTIFS(実績!$W$6:$W$505,BH$3,実績!$AI$6:$AI$505,"&lt;="&amp;$A59,実績!$AJ$6:$AJ$505,"&gt;"&amp;$A59,実績!$AL$6:$AL$505,"○")&gt;0,1,0))</f>
        <v>0</v>
      </c>
      <c r="BI59" s="39" t="n">
        <f aca="false">IF(BI$4=0,0,IF(COUNTIFS(実績!$W$6:$W$505,BI$3,実績!$AI$6:$AI$505,"&lt;="&amp;$A59,実績!$AJ$6:$AJ$505,"&gt;"&amp;$A59,実績!$AL$6:$AL$505,"○")&gt;0,1,0))</f>
        <v>0</v>
      </c>
      <c r="BJ59" s="39" t="n">
        <f aca="false">IF(BJ$4=0,0,IF(COUNTIFS(実績!$W$6:$W$505,BJ$3,実績!$AI$6:$AI$505,"&lt;="&amp;$A59,実績!$AJ$6:$AJ$505,"&gt;"&amp;$A59,実績!$AL$6:$AL$505,"○")&gt;0,1,0))</f>
        <v>0</v>
      </c>
      <c r="BK59" s="39" t="n">
        <f aca="false">IF(BK$4=0,0,IF(COUNTIFS(実績!$W$6:$W$505,BK$3,実績!$AI$6:$AI$505,"&lt;="&amp;$A59,実績!$AJ$6:$AJ$505,"&gt;"&amp;$A59,実績!$AL$6:$AL$505,"○")&gt;0,1,0))</f>
        <v>0</v>
      </c>
      <c r="BL59" s="39" t="n">
        <f aca="false">IF(BL$4=0,0,IF(COUNTIFS(実績!$W$6:$W$505,BL$3,実績!$AI$6:$AI$505,"&lt;="&amp;$A59,実績!$AJ$6:$AJ$505,"&gt;"&amp;$A59,実績!$AL$6:$AL$505,"○")&gt;0,1,0))</f>
        <v>0</v>
      </c>
      <c r="BM59" s="39" t="n">
        <f aca="false">IF(BM$4=0,0,IF(COUNTIFS(実績!$W$6:$W$505,BM$3,実績!$AI$6:$AI$505,"&lt;="&amp;$A59,実績!$AJ$6:$AJ$505,"&gt;"&amp;$A59,実績!$AL$6:$AL$505,"○")&gt;0,1,0))</f>
        <v>0</v>
      </c>
      <c r="BN59" s="39" t="n">
        <f aca="false">IF(BN$4=0,0,IF(COUNTIFS(実績!$W$6:$W$505,BN$3,実績!$AI$6:$AI$505,"&lt;="&amp;$A59,実績!$AJ$6:$AJ$505,"&gt;"&amp;$A59,実績!$AL$6:$AL$505,"○")&gt;0,1,0))</f>
        <v>0</v>
      </c>
      <c r="BO59" s="39" t="n">
        <f aca="false">IF(BO$4=0,0,IF(COUNTIFS(実績!$W$6:$W$505,BO$3,実績!$AI$6:$AI$505,"&lt;="&amp;$A59,実績!$AJ$6:$AJ$505,"&gt;"&amp;$A59,実績!$AL$6:$AL$505,"○")&gt;0,1,0))</f>
        <v>0</v>
      </c>
      <c r="BP59" s="39" t="n">
        <f aca="false">IF(BP$4=0,0,IF(COUNTIFS(実績!$W$6:$W$505,BP$3,実績!$AI$6:$AI$505,"&lt;="&amp;$A59,実績!$AJ$6:$AJ$505,"&gt;"&amp;$A59,実績!$AL$6:$AL$505,"○")&gt;0,1,0))</f>
        <v>0</v>
      </c>
      <c r="BQ59" s="39" t="n">
        <f aca="false">IF(BQ$4=0,0,IF(COUNTIFS(実績!$W$6:$W$505,BQ$3,実績!$AI$6:$AI$505,"&lt;="&amp;$A59,実績!$AJ$6:$AJ$505,"&gt;"&amp;$A59,実績!$AL$6:$AL$505,"○")&gt;0,1,0))</f>
        <v>0</v>
      </c>
      <c r="BR59" s="39" t="n">
        <f aca="false">IF(BR$4=0,0,IF(COUNTIFS(実績!$W$6:$W$505,BR$3,実績!$AI$6:$AI$505,"&lt;="&amp;$A59,実績!$AJ$6:$AJ$505,"&gt;"&amp;$A59,実績!$AL$6:$AL$505,"○")&gt;0,1,0))</f>
        <v>0</v>
      </c>
      <c r="BS59" s="39" t="n">
        <f aca="false">IF(BS$4=0,0,IF(COUNTIFS(実績!$W$6:$W$505,BS$3,実績!$AI$6:$AI$505,"&lt;="&amp;$A59,実績!$AJ$6:$AJ$505,"&gt;"&amp;$A59,実績!$AL$6:$AL$505,"○")&gt;0,1,0))</f>
        <v>0</v>
      </c>
      <c r="BT59" s="39" t="n">
        <f aca="false">IF(BT$4=0,0,IF(COUNTIFS(実績!$W$6:$W$505,BT$3,実績!$AI$6:$AI$505,"&lt;="&amp;$A59,実績!$AJ$6:$AJ$505,"&gt;"&amp;$A59,実績!$AL$6:$AL$505,"○")&gt;0,1,0))</f>
        <v>0</v>
      </c>
      <c r="BU59" s="39" t="n">
        <f aca="false">IF(BU$4=0,0,IF(COUNTIFS(実績!$W$6:$W$505,BU$3,実績!$AI$6:$AI$505,"&lt;="&amp;$A59,実績!$AJ$6:$AJ$505,"&gt;"&amp;$A59,実績!$AL$6:$AL$505,"○")&gt;0,1,0))</f>
        <v>0</v>
      </c>
      <c r="BV59" s="39" t="n">
        <f aca="false">IF(BV$4=0,0,IF(COUNTIFS(実績!$W$6:$W$505,BV$3,実績!$AI$6:$AI$505,"&lt;="&amp;$A59,実績!$AJ$6:$AJ$505,"&gt;"&amp;$A59,実績!$AL$6:$AL$505,"○")&gt;0,1,0))</f>
        <v>0</v>
      </c>
      <c r="BW59" s="39" t="n">
        <f aca="false">IF(BW$4=0,0,IF(COUNTIFS(実績!$W$6:$W$505,BW$3,実績!$AI$6:$AI$505,"&lt;="&amp;$A59,実績!$AJ$6:$AJ$505,"&gt;"&amp;$A59,実績!$AL$6:$AL$505,"○")&gt;0,1,0))</f>
        <v>0</v>
      </c>
      <c r="BX59" s="39" t="n">
        <f aca="false">IF(BX$4=0,0,IF(COUNTIFS(実績!$W$6:$W$505,BX$3,実績!$AI$6:$AI$505,"&lt;="&amp;$A59,実績!$AJ$6:$AJ$505,"&gt;"&amp;$A59,実績!$AL$6:$AL$505,"○")&gt;0,1,0))</f>
        <v>0</v>
      </c>
      <c r="BY59" s="39" t="n">
        <f aca="false">IF(BY$4=0,0,IF(COUNTIFS(実績!$W$6:$W$505,BY$3,実績!$AI$6:$AI$505,"&lt;="&amp;$A59,実績!$AJ$6:$AJ$505,"&gt;"&amp;$A59,実績!$AL$6:$AL$505,"○")&gt;0,1,0))</f>
        <v>0</v>
      </c>
      <c r="BZ59" s="39" t="n">
        <f aca="false">IF(BZ$4=0,0,IF(COUNTIFS(実績!$W$6:$W$505,BZ$3,実績!$AI$6:$AI$505,"&lt;="&amp;$A59,実績!$AJ$6:$AJ$505,"&gt;"&amp;$A59,実績!$AL$6:$AL$505,"○")&gt;0,1,0))</f>
        <v>0</v>
      </c>
      <c r="CA59" s="39" t="n">
        <f aca="false">IF(CA$4=0,0,IF(COUNTIFS(実績!$W$6:$W$505,CA$3,実績!$AI$6:$AI$505,"&lt;="&amp;$A59,実績!$AJ$6:$AJ$505,"&gt;"&amp;$A59,実績!$AL$6:$AL$505,"○")&gt;0,1,0))</f>
        <v>0</v>
      </c>
      <c r="CB59" s="39" t="n">
        <f aca="false">IF(CB$4=0,0,IF(COUNTIFS(実績!$W$6:$W$505,CB$3,実績!$AI$6:$AI$505,"&lt;="&amp;$A59,実績!$AJ$6:$AJ$505,"&gt;"&amp;$A59,実績!$AL$6:$AL$505,"○")&gt;0,1,0))</f>
        <v>0</v>
      </c>
      <c r="CC59" s="39" t="n">
        <f aca="false">IF(CC$4=0,0,IF(COUNTIFS(実績!$W$6:$W$505,CC$3,実績!$AI$6:$AI$505,"&lt;="&amp;$A59,実績!$AJ$6:$AJ$505,"&gt;"&amp;$A59,実績!$AL$6:$AL$505,"○")&gt;0,1,0))</f>
        <v>0</v>
      </c>
      <c r="CD59" s="39" t="n">
        <f aca="false">IF(CD$4=0,0,IF(COUNTIFS(実績!$W$6:$W$505,CD$3,実績!$AI$6:$AI$505,"&lt;="&amp;$A59,実績!$AJ$6:$AJ$505,"&gt;"&amp;$A59,実績!$AL$6:$AL$505,"○")&gt;0,1,0))</f>
        <v>0</v>
      </c>
      <c r="CE59" s="39" t="n">
        <f aca="false">IF(CE$4=0,0,IF(COUNTIFS(実績!$W$6:$W$505,CE$3,実績!$AI$6:$AI$505,"&lt;="&amp;$A59,実績!$AJ$6:$AJ$505,"&gt;"&amp;$A59,実績!$AL$6:$AL$505,"○")&gt;0,1,0))</f>
        <v>0</v>
      </c>
      <c r="CF59" s="39" t="n">
        <f aca="false">IF(CF$4=0,0,IF(COUNTIFS(実績!$W$6:$W$505,CF$3,実績!$AI$6:$AI$505,"&lt;="&amp;$A59,実績!$AJ$6:$AJ$505,"&gt;"&amp;$A59,実績!$AL$6:$AL$505,"○")&gt;0,1,0))</f>
        <v>0</v>
      </c>
      <c r="CG59" s="39" t="n">
        <f aca="false">IF(CG$4=0,0,IF(COUNTIFS(実績!$W$6:$W$505,CG$3,実績!$AI$6:$AI$505,"&lt;="&amp;$A59,実績!$AJ$6:$AJ$505,"&gt;"&amp;$A59,実績!$AL$6:$AL$505,"○")&gt;0,1,0))</f>
        <v>0</v>
      </c>
      <c r="CH59" s="39" t="n">
        <f aca="false">IF(CH$4=0,0,IF(COUNTIFS(実績!$W$6:$W$505,CH$3,実績!$AI$6:$AI$505,"&lt;="&amp;$A59,実績!$AJ$6:$AJ$505,"&gt;"&amp;$A59,実績!$AL$6:$AL$505,"○")&gt;0,1,0))</f>
        <v>0</v>
      </c>
      <c r="CI59" s="39" t="n">
        <f aca="false">IF(CI$4=0,0,IF(COUNTIFS(実績!$W$6:$W$505,CI$3,実績!$AI$6:$AI$505,"&lt;="&amp;$A59,実績!$AJ$6:$AJ$505,"&gt;"&amp;$A59,実績!$AL$6:$AL$505,"○")&gt;0,1,0))</f>
        <v>0</v>
      </c>
      <c r="CJ59" s="39" t="n">
        <f aca="false">IF(CJ$4=0,0,IF(COUNTIFS(実績!$W$6:$W$505,CJ$3,実績!$AI$6:$AI$505,"&lt;="&amp;$A59,実績!$AJ$6:$AJ$505,"&gt;"&amp;$A59,実績!$AL$6:$AL$505,"○")&gt;0,1,0))</f>
        <v>0</v>
      </c>
      <c r="CK59" s="39" t="n">
        <f aca="false">IF(CK$4=0,0,IF(COUNTIFS(実績!$W$6:$W$505,CK$3,実績!$AI$6:$AI$505,"&lt;="&amp;$A59,実績!$AJ$6:$AJ$505,"&gt;"&amp;$A59,実績!$AL$6:$AL$505,"○")&gt;0,1,0))</f>
        <v>0</v>
      </c>
      <c r="CL59" s="39" t="n">
        <f aca="false">IF(CL$4=0,0,IF(COUNTIFS(実績!$W$6:$W$505,CL$3,実績!$AI$6:$AI$505,"&lt;="&amp;$A59,実績!$AJ$6:$AJ$505,"&gt;"&amp;$A59,実績!$AL$6:$AL$505,"○")&gt;0,1,0))</f>
        <v>0</v>
      </c>
      <c r="CM59" s="39" t="n">
        <f aca="false">IF(CM$4=0,0,IF(COUNTIFS(実績!$W$6:$W$505,CM$3,実績!$AI$6:$AI$505,"&lt;="&amp;$A59,実績!$AJ$6:$AJ$505,"&gt;"&amp;$A59,実績!$AL$6:$AL$505,"○")&gt;0,1,0))</f>
        <v>0</v>
      </c>
      <c r="CN59" s="39" t="n">
        <f aca="false">IF(CN$4=0,0,IF(COUNTIFS(実績!$W$6:$W$505,CN$3,実績!$AI$6:$AI$505,"&lt;="&amp;$A59,実績!$AJ$6:$AJ$505,"&gt;"&amp;$A59,実績!$AL$6:$AL$505,"○")&gt;0,1,0))</f>
        <v>0</v>
      </c>
      <c r="CO59" s="39" t="n">
        <f aca="false">IF(CO$4=0,0,IF(COUNTIFS(実績!$W$6:$W$505,CO$3,実績!$AI$6:$AI$505,"&lt;="&amp;$A59,実績!$AJ$6:$AJ$505,"&gt;"&amp;$A59,実績!$AL$6:$AL$505,"○")&gt;0,1,0))</f>
        <v>0</v>
      </c>
      <c r="CP59" s="39" t="n">
        <f aca="false">IF(CP$4=0,0,IF(COUNTIFS(実績!$W$6:$W$505,CP$3,実績!$AI$6:$AI$505,"&lt;="&amp;$A59,実績!$AJ$6:$AJ$505,"&gt;"&amp;$A59,実績!$AL$6:$AL$505,"○")&gt;0,1,0))</f>
        <v>0</v>
      </c>
      <c r="CQ59" s="39" t="n">
        <f aca="false">IF(CQ$4=0,0,IF(COUNTIFS(実績!$W$6:$W$505,CQ$3,実績!$AI$6:$AI$505,"&lt;="&amp;$A59,実績!$AJ$6:$AJ$505,"&gt;"&amp;$A59,実績!$AL$6:$AL$505,"○")&gt;0,1,0))</f>
        <v>0</v>
      </c>
      <c r="CR59" s="39" t="n">
        <f aca="false">IF(CR$4=0,0,IF(COUNTIFS(実績!$W$6:$W$505,CR$3,実績!$AI$6:$AI$505,"&lt;="&amp;$A59,実績!$AJ$6:$AJ$505,"&gt;"&amp;$A59,実績!$AL$6:$AL$505,"○")&gt;0,1,0))</f>
        <v>0</v>
      </c>
      <c r="CS59" s="39" t="n">
        <f aca="false">IF(CS$4=0,0,IF(COUNTIFS(実績!$W$6:$W$505,CS$3,実績!$AI$6:$AI$505,"&lt;="&amp;$A59,実績!$AJ$6:$AJ$505,"&gt;"&amp;$A59,実績!$AL$6:$AL$505,"○")&gt;0,1,0))</f>
        <v>0</v>
      </c>
      <c r="CT59" s="39" t="n">
        <f aca="false">IF(CT$4=0,0,IF(COUNTIFS(実績!$W$6:$W$505,CT$3,実績!$AI$6:$AI$505,"&lt;="&amp;$A59,実績!$AJ$6:$AJ$505,"&gt;"&amp;$A59,実績!$AL$6:$AL$505,"○")&gt;0,1,0))</f>
        <v>0</v>
      </c>
      <c r="CU59" s="39" t="n">
        <f aca="false">IF(CU$4=0,0,IF(COUNTIFS(実績!$W$6:$W$505,CU$3,実績!$AI$6:$AI$505,"&lt;="&amp;$A59,実績!$AJ$6:$AJ$505,"&gt;"&amp;$A59,実績!$AL$6:$AL$505,"○")&gt;0,1,0))</f>
        <v>0</v>
      </c>
      <c r="CV59" s="39" t="n">
        <f aca="false">IF(CV$4=0,0,IF(COUNTIFS(実績!$W$6:$W$505,CV$3,実績!$AI$6:$AI$505,"&lt;="&amp;$A59,実績!$AJ$6:$AJ$505,"&gt;"&amp;$A59,実績!$AL$6:$AL$505,"○")&gt;0,1,0))</f>
        <v>0</v>
      </c>
      <c r="CW59" s="39" t="n">
        <f aca="false">IF(CW$4=0,0,IF(COUNTIFS(実績!$W$6:$W$505,CW$3,実績!$AI$6:$AI$505,"&lt;="&amp;$A59,実績!$AJ$6:$AJ$505,"&gt;"&amp;$A59,実績!$AL$6:$AL$505,"○")&gt;0,1,0))</f>
        <v>0</v>
      </c>
      <c r="CX59" s="39" t="n">
        <f aca="false">IF(CX$4=0,0,IF(COUNTIFS(実績!$W$6:$W$505,CX$3,実績!$AI$6:$AI$505,"&lt;="&amp;$A59,実績!$AJ$6:$AJ$505,"&gt;"&amp;$A59,実績!$AL$6:$AL$505,"○")&gt;0,1,0))</f>
        <v>0</v>
      </c>
      <c r="CY59" s="39" t="n">
        <f aca="false">IF(CY$4=0,0,IF(COUNTIFS(実績!$W$6:$W$505,CY$3,実績!$AI$6:$AI$505,"&lt;="&amp;$A59,実績!$AJ$6:$AJ$505,"&gt;"&amp;$A59,実績!$AL$6:$AL$505,"○")&gt;0,1,0))</f>
        <v>0</v>
      </c>
      <c r="CZ59" s="39" t="n">
        <f aca="false">IF(CZ$4=0,0,IF(COUNTIFS(実績!$W$6:$W$505,CZ$3,実績!$AI$6:$AI$505,"&lt;="&amp;$A59,実績!$AJ$6:$AJ$505,"&gt;"&amp;$A59,実績!$AL$6:$AL$505,"○")&gt;0,1,0))</f>
        <v>0</v>
      </c>
      <c r="DA59" s="39" t="n">
        <f aca="false">IF(DA$4=0,0,IF(COUNTIFS(実績!$W$6:$W$505,DA$3,実績!$AI$6:$AI$505,"&lt;="&amp;$A59,実績!$AJ$6:$AJ$505,"&gt;"&amp;$A59,実績!$AL$6:$AL$505,"○")&gt;0,1,0))</f>
        <v>0</v>
      </c>
      <c r="DB59" s="39" t="n">
        <f aca="false">IF(DB$4=0,0,IF(COUNTIFS(実績!$W$6:$W$505,DB$3,実績!$AI$6:$AI$505,"&lt;="&amp;$A59,実績!$AJ$6:$AJ$505,"&gt;"&amp;$A59,実績!$AL$6:$AL$505,"○")&gt;0,1,0))</f>
        <v>0</v>
      </c>
      <c r="DC59" s="39" t="n">
        <f aca="false">IF(DC$4=0,0,IF(COUNTIFS(実績!$W$6:$W$505,DC$3,実績!$AI$6:$AI$505,"&lt;="&amp;$A59,実績!$AJ$6:$AJ$505,"&gt;"&amp;$A59,実績!$AL$6:$AL$505,"○")&gt;0,1,0))</f>
        <v>0</v>
      </c>
      <c r="DD59" s="39" t="n">
        <f aca="false">IF(DD$4=0,0,IF(COUNTIFS(実績!$W$6:$W$505,DD$3,実績!$AI$6:$AI$505,"&lt;="&amp;$A59,実績!$AJ$6:$AJ$505,"&gt;"&amp;$A59,実績!$AL$6:$AL$505,"○")&gt;0,1,0))</f>
        <v>0</v>
      </c>
      <c r="DE59" s="39" t="n">
        <f aca="false">IF(DE$4=0,0,IF(COUNTIFS(実績!$W$6:$W$505,DE$3,実績!$AI$6:$AI$505,"&lt;="&amp;$A59,実績!$AJ$6:$AJ$505,"&gt;"&amp;$A59,実績!$AL$6:$AL$505,"○")&gt;0,1,0))</f>
        <v>0</v>
      </c>
      <c r="DF59" s="39" t="n">
        <f aca="false">IF(DF$4=0,0,IF(COUNTIFS(実績!$W$6:$W$505,DF$3,実績!$AI$6:$AI$505,"&lt;="&amp;$A59,実績!$AJ$6:$AJ$505,"&gt;"&amp;$A59,実績!$AL$6:$AL$505,"○")&gt;0,1,0))</f>
        <v>0</v>
      </c>
      <c r="DG59" s="39" t="n">
        <f aca="false">IF(DG$4=0,0,IF(COUNTIFS(実績!$W$6:$W$505,DG$3,実績!$AI$6:$AI$505,"&lt;="&amp;$A59,実績!$AJ$6:$AJ$505,"&gt;"&amp;$A59,実績!$AL$6:$AL$505,"○")&gt;0,1,0))</f>
        <v>0</v>
      </c>
      <c r="DH59" s="39" t="n">
        <f aca="false">IF(DH$4=0,0,IF(COUNTIFS(実績!$W$6:$W$505,DH$3,実績!$AI$6:$AI$505,"&lt;="&amp;$A59,実績!$AJ$6:$AJ$505,"&gt;"&amp;$A59,実績!$AL$6:$AL$505,"○")&gt;0,1,0))</f>
        <v>0</v>
      </c>
      <c r="DI59" s="39" t="n">
        <f aca="false">IF(DI$4=0,0,IF(COUNTIFS(実績!$W$6:$W$505,DI$3,実績!$AI$6:$AI$505,"&lt;="&amp;$A59,実績!$AJ$6:$AJ$505,"&gt;"&amp;$A59,実績!$AL$6:$AL$505,"○")&gt;0,1,0))</f>
        <v>0</v>
      </c>
      <c r="DJ59" s="39" t="n">
        <f aca="false">IF(DJ$4=0,0,IF(COUNTIFS(実績!$W$6:$W$505,DJ$3,実績!$AI$6:$AI$505,"&lt;="&amp;$A59,実績!$AJ$6:$AJ$505,"&gt;"&amp;$A59,実績!$AL$6:$AL$505,"○")&gt;0,1,0))</f>
        <v>0</v>
      </c>
      <c r="DK59" s="39" t="n">
        <f aca="false">IF(DK$4=0,0,IF(COUNTIFS(実績!$W$6:$W$505,DK$3,実績!$AI$6:$AI$505,"&lt;="&amp;$A59,実績!$AJ$6:$AJ$505,"&gt;"&amp;$A59,実績!$AL$6:$AL$505,"○")&gt;0,1,0))</f>
        <v>0</v>
      </c>
      <c r="DL59" s="39" t="n">
        <f aca="false">IF(DL$4=0,0,IF(COUNTIFS(実績!$W$6:$W$505,DL$3,実績!$AI$6:$AI$505,"&lt;="&amp;$A59,実績!$AJ$6:$AJ$505,"&gt;"&amp;$A59,実績!$AL$6:$AL$505,"○")&gt;0,1,0))</f>
        <v>0</v>
      </c>
      <c r="DM59" s="39" t="n">
        <f aca="false">IF(DM$4=0,0,IF(COUNTIFS(実績!$W$6:$W$505,DM$3,実績!$AI$6:$AI$505,"&lt;="&amp;$A59,実績!$AJ$6:$AJ$505,"&gt;"&amp;$A59,実績!$AL$6:$AL$505,"○")&gt;0,1,0))</f>
        <v>0</v>
      </c>
      <c r="DN59" s="39" t="n">
        <f aca="false">IF(DN$4=0,0,IF(COUNTIFS(実績!$W$6:$W$505,DN$3,実績!$AI$6:$AI$505,"&lt;="&amp;$A59,実績!$AJ$6:$AJ$505,"&gt;"&amp;$A59,実績!$AL$6:$AL$505,"○")&gt;0,1,0))</f>
        <v>0</v>
      </c>
      <c r="DO59" s="39" t="n">
        <f aca="false">IF(DO$4=0,0,IF(COUNTIFS(実績!$W$6:$W$505,DO$3,実績!$AI$6:$AI$505,"&lt;="&amp;$A59,実績!$AJ$6:$AJ$505,"&gt;"&amp;$A59,実績!$AL$6:$AL$505,"○")&gt;0,1,0))</f>
        <v>0</v>
      </c>
      <c r="DP59" s="39" t="n">
        <f aca="false">IF(DP$4=0,0,IF(COUNTIFS(実績!$W$6:$W$505,DP$3,実績!$AI$6:$AI$505,"&lt;="&amp;$A59,実績!$AJ$6:$AJ$505,"&gt;"&amp;$A59,実績!$AL$6:$AL$505,"○")&gt;0,1,0))</f>
        <v>0</v>
      </c>
      <c r="DQ59" s="39" t="n">
        <f aca="false">IF(DQ$4=0,0,IF(COUNTIFS(実績!$W$6:$W$505,DQ$3,実績!$AI$6:$AI$505,"&lt;="&amp;$A59,実績!$AJ$6:$AJ$505,"&gt;"&amp;$A59,実績!$AL$6:$AL$505,"○")&gt;0,1,0))</f>
        <v>0</v>
      </c>
      <c r="DR59" s="39" t="n">
        <f aca="false">IF(DR$4=0,0,IF(COUNTIFS(実績!$W$6:$W$505,DR$3,実績!$AI$6:$AI$505,"&lt;="&amp;$A59,実績!$AJ$6:$AJ$505,"&gt;"&amp;$A59,実績!$AL$6:$AL$505,"○")&gt;0,1,0))</f>
        <v>0</v>
      </c>
      <c r="DS59" s="39" t="n">
        <f aca="false">SUM(C59:DR59)</f>
        <v>0</v>
      </c>
    </row>
    <row r="60" customFormat="false" ht="15" hidden="false" customHeight="false" outlineLevel="0" collapsed="false">
      <c r="A60" s="0" t="n">
        <v>270</v>
      </c>
      <c r="B60" s="38" t="n">
        <f aca="false">A60/1440</f>
        <v>0.1875</v>
      </c>
      <c r="C60" s="39" t="n">
        <f aca="false">IF(C$4=0,0,IF(COUNTIFS(実績!$W$6:$W$505,C$3,実績!$AI$6:$AI$505,"&lt;="&amp;$A60,実績!$AJ$6:$AJ$505,"&gt;"&amp;$A60,実績!$AL$6:$AL$505,"○")&gt;0,1,0))</f>
        <v>0</v>
      </c>
      <c r="D60" s="39" t="n">
        <f aca="false">IF(D$4=0,0,IF(COUNTIFS(実績!$W$6:$W$505,D$3,実績!$AI$6:$AI$505,"&lt;="&amp;$A60,実績!$AJ$6:$AJ$505,"&gt;"&amp;$A60,実績!$AL$6:$AL$505,"○")&gt;0,1,0))</f>
        <v>0</v>
      </c>
      <c r="E60" s="39" t="n">
        <f aca="false">IF(E$4=0,0,IF(COUNTIFS(実績!$W$6:$W$505,E$3,実績!$AI$6:$AI$505,"&lt;="&amp;$A60,実績!$AJ$6:$AJ$505,"&gt;"&amp;$A60,実績!$AL$6:$AL$505,"○")&gt;0,1,0))</f>
        <v>0</v>
      </c>
      <c r="F60" s="39" t="n">
        <f aca="false">IF(F$4=0,0,IF(COUNTIFS(実績!$W$6:$W$505,F$3,実績!$AI$6:$AI$505,"&lt;="&amp;$A60,実績!$AJ$6:$AJ$505,"&gt;"&amp;$A60,実績!$AL$6:$AL$505,"○")&gt;0,1,0))</f>
        <v>0</v>
      </c>
      <c r="G60" s="39" t="n">
        <f aca="false">IF(G$4=0,0,IF(COUNTIFS(実績!$W$6:$W$505,G$3,実績!$AI$6:$AI$505,"&lt;="&amp;$A60,実績!$AJ$6:$AJ$505,"&gt;"&amp;$A60,実績!$AL$6:$AL$505,"○")&gt;0,1,0))</f>
        <v>0</v>
      </c>
      <c r="H60" s="39" t="n">
        <f aca="false">IF(H$4=0,0,IF(COUNTIFS(実績!$W$6:$W$505,H$3,実績!$AI$6:$AI$505,"&lt;="&amp;$A60,実績!$AJ$6:$AJ$505,"&gt;"&amp;$A60,実績!$AL$6:$AL$505,"○")&gt;0,1,0))</f>
        <v>0</v>
      </c>
      <c r="I60" s="39" t="n">
        <f aca="false">IF(I$4=0,0,IF(COUNTIFS(実績!$W$6:$W$505,I$3,実績!$AI$6:$AI$505,"&lt;="&amp;$A60,実績!$AJ$6:$AJ$505,"&gt;"&amp;$A60,実績!$AL$6:$AL$505,"○")&gt;0,1,0))</f>
        <v>0</v>
      </c>
      <c r="J60" s="39" t="n">
        <f aca="false">IF(J$4=0,0,IF(COUNTIFS(実績!$W$6:$W$505,J$3,実績!$AI$6:$AI$505,"&lt;="&amp;$A60,実績!$AJ$6:$AJ$505,"&gt;"&amp;$A60,実績!$AL$6:$AL$505,"○")&gt;0,1,0))</f>
        <v>0</v>
      </c>
      <c r="K60" s="39" t="n">
        <f aca="false">IF(K$4=0,0,IF(COUNTIFS(実績!$W$6:$W$505,K$3,実績!$AI$6:$AI$505,"&lt;="&amp;$A60,実績!$AJ$6:$AJ$505,"&gt;"&amp;$A60,実績!$AL$6:$AL$505,"○")&gt;0,1,0))</f>
        <v>0</v>
      </c>
      <c r="L60" s="39" t="n">
        <f aca="false">IF(L$4=0,0,IF(COUNTIFS(実績!$W$6:$W$505,L$3,実績!$AI$6:$AI$505,"&lt;="&amp;$A60,実績!$AJ$6:$AJ$505,"&gt;"&amp;$A60,実績!$AL$6:$AL$505,"○")&gt;0,1,0))</f>
        <v>0</v>
      </c>
      <c r="M60" s="39" t="n">
        <f aca="false">IF(M$4=0,0,IF(COUNTIFS(実績!$W$6:$W$505,M$3,実績!$AI$6:$AI$505,"&lt;="&amp;$A60,実績!$AJ$6:$AJ$505,"&gt;"&amp;$A60,実績!$AL$6:$AL$505,"○")&gt;0,1,0))</f>
        <v>0</v>
      </c>
      <c r="N60" s="39" t="n">
        <f aca="false">IF(N$4=0,0,IF(COUNTIFS(実績!$W$6:$W$505,N$3,実績!$AI$6:$AI$505,"&lt;="&amp;$A60,実績!$AJ$6:$AJ$505,"&gt;"&amp;$A60,実績!$AL$6:$AL$505,"○")&gt;0,1,0))</f>
        <v>0</v>
      </c>
      <c r="O60" s="39" t="n">
        <f aca="false">IF(O$4=0,0,IF(COUNTIFS(実績!$W$6:$W$505,O$3,実績!$AI$6:$AI$505,"&lt;="&amp;$A60,実績!$AJ$6:$AJ$505,"&gt;"&amp;$A60,実績!$AL$6:$AL$505,"○")&gt;0,1,0))</f>
        <v>0</v>
      </c>
      <c r="P60" s="39" t="n">
        <f aca="false">IF(P$4=0,0,IF(COUNTIFS(実績!$W$6:$W$505,P$3,実績!$AI$6:$AI$505,"&lt;="&amp;$A60,実績!$AJ$6:$AJ$505,"&gt;"&amp;$A60,実績!$AL$6:$AL$505,"○")&gt;0,1,0))</f>
        <v>0</v>
      </c>
      <c r="Q60" s="39" t="n">
        <f aca="false">IF(Q$4=0,0,IF(COUNTIFS(実績!$W$6:$W$505,Q$3,実績!$AI$6:$AI$505,"&lt;="&amp;$A60,実績!$AJ$6:$AJ$505,"&gt;"&amp;$A60,実績!$AL$6:$AL$505,"○")&gt;0,1,0))</f>
        <v>0</v>
      </c>
      <c r="R60" s="39" t="n">
        <f aca="false">IF(R$4=0,0,IF(COUNTIFS(実績!$W$6:$W$505,R$3,実績!$AI$6:$AI$505,"&lt;="&amp;$A60,実績!$AJ$6:$AJ$505,"&gt;"&amp;$A60,実績!$AL$6:$AL$505,"○")&gt;0,1,0))</f>
        <v>0</v>
      </c>
      <c r="S60" s="39" t="n">
        <f aca="false">IF(S$4=0,0,IF(COUNTIFS(実績!$W$6:$W$505,S$3,実績!$AI$6:$AI$505,"&lt;="&amp;$A60,実績!$AJ$6:$AJ$505,"&gt;"&amp;$A60,実績!$AL$6:$AL$505,"○")&gt;0,1,0))</f>
        <v>0</v>
      </c>
      <c r="T60" s="39" t="n">
        <f aca="false">IF(T$4=0,0,IF(COUNTIFS(実績!$W$6:$W$505,T$3,実績!$AI$6:$AI$505,"&lt;="&amp;$A60,実績!$AJ$6:$AJ$505,"&gt;"&amp;$A60,実績!$AL$6:$AL$505,"○")&gt;0,1,0))</f>
        <v>0</v>
      </c>
      <c r="U60" s="39" t="n">
        <f aca="false">IF(U$4=0,0,IF(COUNTIFS(実績!$W$6:$W$505,U$3,実績!$AI$6:$AI$505,"&lt;="&amp;$A60,実績!$AJ$6:$AJ$505,"&gt;"&amp;$A60,実績!$AL$6:$AL$505,"○")&gt;0,1,0))</f>
        <v>0</v>
      </c>
      <c r="V60" s="39" t="n">
        <f aca="false">IF(V$4=0,0,IF(COUNTIFS(実績!$W$6:$W$505,V$3,実績!$AI$6:$AI$505,"&lt;="&amp;$A60,実績!$AJ$6:$AJ$505,"&gt;"&amp;$A60,実績!$AL$6:$AL$505,"○")&gt;0,1,0))</f>
        <v>0</v>
      </c>
      <c r="W60" s="39" t="n">
        <f aca="false">IF(W$4=0,0,IF(COUNTIFS(実績!$W$6:$W$505,W$3,実績!$AI$6:$AI$505,"&lt;="&amp;$A60,実績!$AJ$6:$AJ$505,"&gt;"&amp;$A60,実績!$AL$6:$AL$505,"○")&gt;0,1,0))</f>
        <v>0</v>
      </c>
      <c r="X60" s="39" t="n">
        <f aca="false">IF(X$4=0,0,IF(COUNTIFS(実績!$W$6:$W$505,X$3,実績!$AI$6:$AI$505,"&lt;="&amp;$A60,実績!$AJ$6:$AJ$505,"&gt;"&amp;$A60,実績!$AL$6:$AL$505,"○")&gt;0,1,0))</f>
        <v>0</v>
      </c>
      <c r="Y60" s="39" t="n">
        <f aca="false">IF(Y$4=0,0,IF(COUNTIFS(実績!$W$6:$W$505,Y$3,実績!$AI$6:$AI$505,"&lt;="&amp;$A60,実績!$AJ$6:$AJ$505,"&gt;"&amp;$A60,実績!$AL$6:$AL$505,"○")&gt;0,1,0))</f>
        <v>0</v>
      </c>
      <c r="Z60" s="39" t="n">
        <f aca="false">IF(Z$4=0,0,IF(COUNTIFS(実績!$W$6:$W$505,Z$3,実績!$AI$6:$AI$505,"&lt;="&amp;$A60,実績!$AJ$6:$AJ$505,"&gt;"&amp;$A60,実績!$AL$6:$AL$505,"○")&gt;0,1,0))</f>
        <v>0</v>
      </c>
      <c r="AA60" s="39" t="n">
        <f aca="false">IF(AA$4=0,0,IF(COUNTIFS(実績!$W$6:$W$505,AA$3,実績!$AI$6:$AI$505,"&lt;="&amp;$A60,実績!$AJ$6:$AJ$505,"&gt;"&amp;$A60,実績!$AL$6:$AL$505,"○")&gt;0,1,0))</f>
        <v>0</v>
      </c>
      <c r="AB60" s="39" t="n">
        <f aca="false">IF(AB$4=0,0,IF(COUNTIFS(実績!$W$6:$W$505,AB$3,実績!$AI$6:$AI$505,"&lt;="&amp;$A60,実績!$AJ$6:$AJ$505,"&gt;"&amp;$A60,実績!$AL$6:$AL$505,"○")&gt;0,1,0))</f>
        <v>0</v>
      </c>
      <c r="AC60" s="39" t="n">
        <f aca="false">IF(AC$4=0,0,IF(COUNTIFS(実績!$W$6:$W$505,AC$3,実績!$AI$6:$AI$505,"&lt;="&amp;$A60,実績!$AJ$6:$AJ$505,"&gt;"&amp;$A60,実績!$AL$6:$AL$505,"○")&gt;0,1,0))</f>
        <v>0</v>
      </c>
      <c r="AD60" s="39" t="n">
        <f aca="false">IF(AD$4=0,0,IF(COUNTIFS(実績!$W$6:$W$505,AD$3,実績!$AI$6:$AI$505,"&lt;="&amp;$A60,実績!$AJ$6:$AJ$505,"&gt;"&amp;$A60,実績!$AL$6:$AL$505,"○")&gt;0,1,0))</f>
        <v>0</v>
      </c>
      <c r="AE60" s="39" t="n">
        <f aca="false">IF(AE$4=0,0,IF(COUNTIFS(実績!$W$6:$W$505,AE$3,実績!$AI$6:$AI$505,"&lt;="&amp;$A60,実績!$AJ$6:$AJ$505,"&gt;"&amp;$A60,実績!$AL$6:$AL$505,"○")&gt;0,1,0))</f>
        <v>0</v>
      </c>
      <c r="AF60" s="39" t="n">
        <f aca="false">IF(AF$4=0,0,IF(COUNTIFS(実績!$W$6:$W$505,AF$3,実績!$AI$6:$AI$505,"&lt;="&amp;$A60,実績!$AJ$6:$AJ$505,"&gt;"&amp;$A60,実績!$AL$6:$AL$505,"○")&gt;0,1,0))</f>
        <v>0</v>
      </c>
      <c r="AG60" s="39" t="n">
        <f aca="false">IF(AG$4=0,0,IF(COUNTIFS(実績!$W$6:$W$505,AG$3,実績!$AI$6:$AI$505,"&lt;="&amp;$A60,実績!$AJ$6:$AJ$505,"&gt;"&amp;$A60,実績!$AL$6:$AL$505,"○")&gt;0,1,0))</f>
        <v>0</v>
      </c>
      <c r="AH60" s="39" t="n">
        <f aca="false">IF(AH$4=0,0,IF(COUNTIFS(実績!$W$6:$W$505,AH$3,実績!$AI$6:$AI$505,"&lt;="&amp;$A60,実績!$AJ$6:$AJ$505,"&gt;"&amp;$A60,実績!$AL$6:$AL$505,"○")&gt;0,1,0))</f>
        <v>0</v>
      </c>
      <c r="AI60" s="39" t="n">
        <f aca="false">IF(AI$4=0,0,IF(COUNTIFS(実績!$W$6:$W$505,AI$3,実績!$AI$6:$AI$505,"&lt;="&amp;$A60,実績!$AJ$6:$AJ$505,"&gt;"&amp;$A60,実績!$AL$6:$AL$505,"○")&gt;0,1,0))</f>
        <v>0</v>
      </c>
      <c r="AJ60" s="39" t="n">
        <f aca="false">IF(AJ$4=0,0,IF(COUNTIFS(実績!$W$6:$W$505,AJ$3,実績!$AI$6:$AI$505,"&lt;="&amp;$A60,実績!$AJ$6:$AJ$505,"&gt;"&amp;$A60,実績!$AL$6:$AL$505,"○")&gt;0,1,0))</f>
        <v>0</v>
      </c>
      <c r="AK60" s="39" t="n">
        <f aca="false">IF(AK$4=0,0,IF(COUNTIFS(実績!$W$6:$W$505,AK$3,実績!$AI$6:$AI$505,"&lt;="&amp;$A60,実績!$AJ$6:$AJ$505,"&gt;"&amp;$A60,実績!$AL$6:$AL$505,"○")&gt;0,1,0))</f>
        <v>0</v>
      </c>
      <c r="AL60" s="39" t="n">
        <f aca="false">IF(AL$4=0,0,IF(COUNTIFS(実績!$W$6:$W$505,AL$3,実績!$AI$6:$AI$505,"&lt;="&amp;$A60,実績!$AJ$6:$AJ$505,"&gt;"&amp;$A60,実績!$AL$6:$AL$505,"○")&gt;0,1,0))</f>
        <v>0</v>
      </c>
      <c r="AM60" s="39" t="n">
        <f aca="false">IF(AM$4=0,0,IF(COUNTIFS(実績!$W$6:$W$505,AM$3,実績!$AI$6:$AI$505,"&lt;="&amp;$A60,実績!$AJ$6:$AJ$505,"&gt;"&amp;$A60,実績!$AL$6:$AL$505,"○")&gt;0,1,0))</f>
        <v>0</v>
      </c>
      <c r="AN60" s="39" t="n">
        <f aca="false">IF(AN$4=0,0,IF(COUNTIFS(実績!$W$6:$W$505,AN$3,実績!$AI$6:$AI$505,"&lt;="&amp;$A60,実績!$AJ$6:$AJ$505,"&gt;"&amp;$A60,実績!$AL$6:$AL$505,"○")&gt;0,1,0))</f>
        <v>0</v>
      </c>
      <c r="AO60" s="39" t="n">
        <f aca="false">IF(AO$4=0,0,IF(COUNTIFS(実績!$W$6:$W$505,AO$3,実績!$AI$6:$AI$505,"&lt;="&amp;$A60,実績!$AJ$6:$AJ$505,"&gt;"&amp;$A60,実績!$AL$6:$AL$505,"○")&gt;0,1,0))</f>
        <v>0</v>
      </c>
      <c r="AP60" s="39" t="n">
        <f aca="false">IF(AP$4=0,0,IF(COUNTIFS(実績!$W$6:$W$505,AP$3,実績!$AI$6:$AI$505,"&lt;="&amp;$A60,実績!$AJ$6:$AJ$505,"&gt;"&amp;$A60,実績!$AL$6:$AL$505,"○")&gt;0,1,0))</f>
        <v>0</v>
      </c>
      <c r="AQ60" s="39" t="n">
        <f aca="false">IF(AQ$4=0,0,IF(COUNTIFS(実績!$W$6:$W$505,AQ$3,実績!$AI$6:$AI$505,"&lt;="&amp;$A60,実績!$AJ$6:$AJ$505,"&gt;"&amp;$A60,実績!$AL$6:$AL$505,"○")&gt;0,1,0))</f>
        <v>0</v>
      </c>
      <c r="AR60" s="39" t="n">
        <f aca="false">IF(AR$4=0,0,IF(COUNTIFS(実績!$W$6:$W$505,AR$3,実績!$AI$6:$AI$505,"&lt;="&amp;$A60,実績!$AJ$6:$AJ$505,"&gt;"&amp;$A60,実績!$AL$6:$AL$505,"○")&gt;0,1,0))</f>
        <v>0</v>
      </c>
      <c r="AS60" s="39" t="n">
        <f aca="false">IF(AS$4=0,0,IF(COUNTIFS(実績!$W$6:$W$505,AS$3,実績!$AI$6:$AI$505,"&lt;="&amp;$A60,実績!$AJ$6:$AJ$505,"&gt;"&amp;$A60,実績!$AL$6:$AL$505,"○")&gt;0,1,0))</f>
        <v>0</v>
      </c>
      <c r="AT60" s="39" t="n">
        <f aca="false">IF(AT$4=0,0,IF(COUNTIFS(実績!$W$6:$W$505,AT$3,実績!$AI$6:$AI$505,"&lt;="&amp;$A60,実績!$AJ$6:$AJ$505,"&gt;"&amp;$A60,実績!$AL$6:$AL$505,"○")&gt;0,1,0))</f>
        <v>0</v>
      </c>
      <c r="AU60" s="39" t="n">
        <f aca="false">IF(AU$4=0,0,IF(COUNTIFS(実績!$W$6:$W$505,AU$3,実績!$AI$6:$AI$505,"&lt;="&amp;$A60,実績!$AJ$6:$AJ$505,"&gt;"&amp;$A60,実績!$AL$6:$AL$505,"○")&gt;0,1,0))</f>
        <v>0</v>
      </c>
      <c r="AV60" s="39" t="n">
        <f aca="false">IF(AV$4=0,0,IF(COUNTIFS(実績!$W$6:$W$505,AV$3,実績!$AI$6:$AI$505,"&lt;="&amp;$A60,実績!$AJ$6:$AJ$505,"&gt;"&amp;$A60,実績!$AL$6:$AL$505,"○")&gt;0,1,0))</f>
        <v>0</v>
      </c>
      <c r="AW60" s="39" t="n">
        <f aca="false">IF(AW$4=0,0,IF(COUNTIFS(実績!$W$6:$W$505,AW$3,実績!$AI$6:$AI$505,"&lt;="&amp;$A60,実績!$AJ$6:$AJ$505,"&gt;"&amp;$A60,実績!$AL$6:$AL$505,"○")&gt;0,1,0))</f>
        <v>0</v>
      </c>
      <c r="AX60" s="39" t="n">
        <f aca="false">IF(AX$4=0,0,IF(COUNTIFS(実績!$W$6:$W$505,AX$3,実績!$AI$6:$AI$505,"&lt;="&amp;$A60,実績!$AJ$6:$AJ$505,"&gt;"&amp;$A60,実績!$AL$6:$AL$505,"○")&gt;0,1,0))</f>
        <v>0</v>
      </c>
      <c r="AY60" s="39" t="n">
        <f aca="false">IF(AY$4=0,0,IF(COUNTIFS(実績!$W$6:$W$505,AY$3,実績!$AI$6:$AI$505,"&lt;="&amp;$A60,実績!$AJ$6:$AJ$505,"&gt;"&amp;$A60,実績!$AL$6:$AL$505,"○")&gt;0,1,0))</f>
        <v>0</v>
      </c>
      <c r="AZ60" s="39" t="n">
        <f aca="false">IF(AZ$4=0,0,IF(COUNTIFS(実績!$W$6:$W$505,AZ$3,実績!$AI$6:$AI$505,"&lt;="&amp;$A60,実績!$AJ$6:$AJ$505,"&gt;"&amp;$A60,実績!$AL$6:$AL$505,"○")&gt;0,1,0))</f>
        <v>0</v>
      </c>
      <c r="BA60" s="39" t="n">
        <f aca="false">IF(BA$4=0,0,IF(COUNTIFS(実績!$W$6:$W$505,BA$3,実績!$AI$6:$AI$505,"&lt;="&amp;$A60,実績!$AJ$6:$AJ$505,"&gt;"&amp;$A60,実績!$AL$6:$AL$505,"○")&gt;0,1,0))</f>
        <v>0</v>
      </c>
      <c r="BB60" s="39" t="n">
        <f aca="false">IF(BB$4=0,0,IF(COUNTIFS(実績!$W$6:$W$505,BB$3,実績!$AI$6:$AI$505,"&lt;="&amp;$A60,実績!$AJ$6:$AJ$505,"&gt;"&amp;$A60,実績!$AL$6:$AL$505,"○")&gt;0,1,0))</f>
        <v>0</v>
      </c>
      <c r="BC60" s="39" t="n">
        <f aca="false">IF(BC$4=0,0,IF(COUNTIFS(実績!$W$6:$W$505,BC$3,実績!$AI$6:$AI$505,"&lt;="&amp;$A60,実績!$AJ$6:$AJ$505,"&gt;"&amp;$A60,実績!$AL$6:$AL$505,"○")&gt;0,1,0))</f>
        <v>0</v>
      </c>
      <c r="BD60" s="39" t="n">
        <f aca="false">IF(BD$4=0,0,IF(COUNTIFS(実績!$W$6:$W$505,BD$3,実績!$AI$6:$AI$505,"&lt;="&amp;$A60,実績!$AJ$6:$AJ$505,"&gt;"&amp;$A60,実績!$AL$6:$AL$505,"○")&gt;0,1,0))</f>
        <v>0</v>
      </c>
      <c r="BE60" s="39" t="n">
        <f aca="false">IF(BE$4=0,0,IF(COUNTIFS(実績!$W$6:$W$505,BE$3,実績!$AI$6:$AI$505,"&lt;="&amp;$A60,実績!$AJ$6:$AJ$505,"&gt;"&amp;$A60,実績!$AL$6:$AL$505,"○")&gt;0,1,0))</f>
        <v>0</v>
      </c>
      <c r="BF60" s="39" t="n">
        <f aca="false">IF(BF$4=0,0,IF(COUNTIFS(実績!$W$6:$W$505,BF$3,実績!$AI$6:$AI$505,"&lt;="&amp;$A60,実績!$AJ$6:$AJ$505,"&gt;"&amp;$A60,実績!$AL$6:$AL$505,"○")&gt;0,1,0))</f>
        <v>0</v>
      </c>
      <c r="BG60" s="39" t="n">
        <f aca="false">IF(BG$4=0,0,IF(COUNTIFS(実績!$W$6:$W$505,BG$3,実績!$AI$6:$AI$505,"&lt;="&amp;$A60,実績!$AJ$6:$AJ$505,"&gt;"&amp;$A60,実績!$AL$6:$AL$505,"○")&gt;0,1,0))</f>
        <v>0</v>
      </c>
      <c r="BH60" s="39" t="n">
        <f aca="false">IF(BH$4=0,0,IF(COUNTIFS(実績!$W$6:$W$505,BH$3,実績!$AI$6:$AI$505,"&lt;="&amp;$A60,実績!$AJ$6:$AJ$505,"&gt;"&amp;$A60,実績!$AL$6:$AL$505,"○")&gt;0,1,0))</f>
        <v>0</v>
      </c>
      <c r="BI60" s="39" t="n">
        <f aca="false">IF(BI$4=0,0,IF(COUNTIFS(実績!$W$6:$W$505,BI$3,実績!$AI$6:$AI$505,"&lt;="&amp;$A60,実績!$AJ$6:$AJ$505,"&gt;"&amp;$A60,実績!$AL$6:$AL$505,"○")&gt;0,1,0))</f>
        <v>0</v>
      </c>
      <c r="BJ60" s="39" t="n">
        <f aca="false">IF(BJ$4=0,0,IF(COUNTIFS(実績!$W$6:$W$505,BJ$3,実績!$AI$6:$AI$505,"&lt;="&amp;$A60,実績!$AJ$6:$AJ$505,"&gt;"&amp;$A60,実績!$AL$6:$AL$505,"○")&gt;0,1,0))</f>
        <v>0</v>
      </c>
      <c r="BK60" s="39" t="n">
        <f aca="false">IF(BK$4=0,0,IF(COUNTIFS(実績!$W$6:$W$505,BK$3,実績!$AI$6:$AI$505,"&lt;="&amp;$A60,実績!$AJ$6:$AJ$505,"&gt;"&amp;$A60,実績!$AL$6:$AL$505,"○")&gt;0,1,0))</f>
        <v>0</v>
      </c>
      <c r="BL60" s="39" t="n">
        <f aca="false">IF(BL$4=0,0,IF(COUNTIFS(実績!$W$6:$W$505,BL$3,実績!$AI$6:$AI$505,"&lt;="&amp;$A60,実績!$AJ$6:$AJ$505,"&gt;"&amp;$A60,実績!$AL$6:$AL$505,"○")&gt;0,1,0))</f>
        <v>0</v>
      </c>
      <c r="BM60" s="39" t="n">
        <f aca="false">IF(BM$4=0,0,IF(COUNTIFS(実績!$W$6:$W$505,BM$3,実績!$AI$6:$AI$505,"&lt;="&amp;$A60,実績!$AJ$6:$AJ$505,"&gt;"&amp;$A60,実績!$AL$6:$AL$505,"○")&gt;0,1,0))</f>
        <v>0</v>
      </c>
      <c r="BN60" s="39" t="n">
        <f aca="false">IF(BN$4=0,0,IF(COUNTIFS(実績!$W$6:$W$505,BN$3,実績!$AI$6:$AI$505,"&lt;="&amp;$A60,実績!$AJ$6:$AJ$505,"&gt;"&amp;$A60,実績!$AL$6:$AL$505,"○")&gt;0,1,0))</f>
        <v>0</v>
      </c>
      <c r="BO60" s="39" t="n">
        <f aca="false">IF(BO$4=0,0,IF(COUNTIFS(実績!$W$6:$W$505,BO$3,実績!$AI$6:$AI$505,"&lt;="&amp;$A60,実績!$AJ$6:$AJ$505,"&gt;"&amp;$A60,実績!$AL$6:$AL$505,"○")&gt;0,1,0))</f>
        <v>0</v>
      </c>
      <c r="BP60" s="39" t="n">
        <f aca="false">IF(BP$4=0,0,IF(COUNTIFS(実績!$W$6:$W$505,BP$3,実績!$AI$6:$AI$505,"&lt;="&amp;$A60,実績!$AJ$6:$AJ$505,"&gt;"&amp;$A60,実績!$AL$6:$AL$505,"○")&gt;0,1,0))</f>
        <v>0</v>
      </c>
      <c r="BQ60" s="39" t="n">
        <f aca="false">IF(BQ$4=0,0,IF(COUNTIFS(実績!$W$6:$W$505,BQ$3,実績!$AI$6:$AI$505,"&lt;="&amp;$A60,実績!$AJ$6:$AJ$505,"&gt;"&amp;$A60,実績!$AL$6:$AL$505,"○")&gt;0,1,0))</f>
        <v>0</v>
      </c>
      <c r="BR60" s="39" t="n">
        <f aca="false">IF(BR$4=0,0,IF(COUNTIFS(実績!$W$6:$W$505,BR$3,実績!$AI$6:$AI$505,"&lt;="&amp;$A60,実績!$AJ$6:$AJ$505,"&gt;"&amp;$A60,実績!$AL$6:$AL$505,"○")&gt;0,1,0))</f>
        <v>0</v>
      </c>
      <c r="BS60" s="39" t="n">
        <f aca="false">IF(BS$4=0,0,IF(COUNTIFS(実績!$W$6:$W$505,BS$3,実績!$AI$6:$AI$505,"&lt;="&amp;$A60,実績!$AJ$6:$AJ$505,"&gt;"&amp;$A60,実績!$AL$6:$AL$505,"○")&gt;0,1,0))</f>
        <v>0</v>
      </c>
      <c r="BT60" s="39" t="n">
        <f aca="false">IF(BT$4=0,0,IF(COUNTIFS(実績!$W$6:$W$505,BT$3,実績!$AI$6:$AI$505,"&lt;="&amp;$A60,実績!$AJ$6:$AJ$505,"&gt;"&amp;$A60,実績!$AL$6:$AL$505,"○")&gt;0,1,0))</f>
        <v>0</v>
      </c>
      <c r="BU60" s="39" t="n">
        <f aca="false">IF(BU$4=0,0,IF(COUNTIFS(実績!$W$6:$W$505,BU$3,実績!$AI$6:$AI$505,"&lt;="&amp;$A60,実績!$AJ$6:$AJ$505,"&gt;"&amp;$A60,実績!$AL$6:$AL$505,"○")&gt;0,1,0))</f>
        <v>0</v>
      </c>
      <c r="BV60" s="39" t="n">
        <f aca="false">IF(BV$4=0,0,IF(COUNTIFS(実績!$W$6:$W$505,BV$3,実績!$AI$6:$AI$505,"&lt;="&amp;$A60,実績!$AJ$6:$AJ$505,"&gt;"&amp;$A60,実績!$AL$6:$AL$505,"○")&gt;0,1,0))</f>
        <v>0</v>
      </c>
      <c r="BW60" s="39" t="n">
        <f aca="false">IF(BW$4=0,0,IF(COUNTIFS(実績!$W$6:$W$505,BW$3,実績!$AI$6:$AI$505,"&lt;="&amp;$A60,実績!$AJ$6:$AJ$505,"&gt;"&amp;$A60,実績!$AL$6:$AL$505,"○")&gt;0,1,0))</f>
        <v>0</v>
      </c>
      <c r="BX60" s="39" t="n">
        <f aca="false">IF(BX$4=0,0,IF(COUNTIFS(実績!$W$6:$W$505,BX$3,実績!$AI$6:$AI$505,"&lt;="&amp;$A60,実績!$AJ$6:$AJ$505,"&gt;"&amp;$A60,実績!$AL$6:$AL$505,"○")&gt;0,1,0))</f>
        <v>0</v>
      </c>
      <c r="BY60" s="39" t="n">
        <f aca="false">IF(BY$4=0,0,IF(COUNTIFS(実績!$W$6:$W$505,BY$3,実績!$AI$6:$AI$505,"&lt;="&amp;$A60,実績!$AJ$6:$AJ$505,"&gt;"&amp;$A60,実績!$AL$6:$AL$505,"○")&gt;0,1,0))</f>
        <v>0</v>
      </c>
      <c r="BZ60" s="39" t="n">
        <f aca="false">IF(BZ$4=0,0,IF(COUNTIFS(実績!$W$6:$W$505,BZ$3,実績!$AI$6:$AI$505,"&lt;="&amp;$A60,実績!$AJ$6:$AJ$505,"&gt;"&amp;$A60,実績!$AL$6:$AL$505,"○")&gt;0,1,0))</f>
        <v>0</v>
      </c>
      <c r="CA60" s="39" t="n">
        <f aca="false">IF(CA$4=0,0,IF(COUNTIFS(実績!$W$6:$W$505,CA$3,実績!$AI$6:$AI$505,"&lt;="&amp;$A60,実績!$AJ$6:$AJ$505,"&gt;"&amp;$A60,実績!$AL$6:$AL$505,"○")&gt;0,1,0))</f>
        <v>0</v>
      </c>
      <c r="CB60" s="39" t="n">
        <f aca="false">IF(CB$4=0,0,IF(COUNTIFS(実績!$W$6:$W$505,CB$3,実績!$AI$6:$AI$505,"&lt;="&amp;$A60,実績!$AJ$6:$AJ$505,"&gt;"&amp;$A60,実績!$AL$6:$AL$505,"○")&gt;0,1,0))</f>
        <v>0</v>
      </c>
      <c r="CC60" s="39" t="n">
        <f aca="false">IF(CC$4=0,0,IF(COUNTIFS(実績!$W$6:$W$505,CC$3,実績!$AI$6:$AI$505,"&lt;="&amp;$A60,実績!$AJ$6:$AJ$505,"&gt;"&amp;$A60,実績!$AL$6:$AL$505,"○")&gt;0,1,0))</f>
        <v>0</v>
      </c>
      <c r="CD60" s="39" t="n">
        <f aca="false">IF(CD$4=0,0,IF(COUNTIFS(実績!$W$6:$W$505,CD$3,実績!$AI$6:$AI$505,"&lt;="&amp;$A60,実績!$AJ$6:$AJ$505,"&gt;"&amp;$A60,実績!$AL$6:$AL$505,"○")&gt;0,1,0))</f>
        <v>0</v>
      </c>
      <c r="CE60" s="39" t="n">
        <f aca="false">IF(CE$4=0,0,IF(COUNTIFS(実績!$W$6:$W$505,CE$3,実績!$AI$6:$AI$505,"&lt;="&amp;$A60,実績!$AJ$6:$AJ$505,"&gt;"&amp;$A60,実績!$AL$6:$AL$505,"○")&gt;0,1,0))</f>
        <v>0</v>
      </c>
      <c r="CF60" s="39" t="n">
        <f aca="false">IF(CF$4=0,0,IF(COUNTIFS(実績!$W$6:$W$505,CF$3,実績!$AI$6:$AI$505,"&lt;="&amp;$A60,実績!$AJ$6:$AJ$505,"&gt;"&amp;$A60,実績!$AL$6:$AL$505,"○")&gt;0,1,0))</f>
        <v>0</v>
      </c>
      <c r="CG60" s="39" t="n">
        <f aca="false">IF(CG$4=0,0,IF(COUNTIFS(実績!$W$6:$W$505,CG$3,実績!$AI$6:$AI$505,"&lt;="&amp;$A60,実績!$AJ$6:$AJ$505,"&gt;"&amp;$A60,実績!$AL$6:$AL$505,"○")&gt;0,1,0))</f>
        <v>0</v>
      </c>
      <c r="CH60" s="39" t="n">
        <f aca="false">IF(CH$4=0,0,IF(COUNTIFS(実績!$W$6:$W$505,CH$3,実績!$AI$6:$AI$505,"&lt;="&amp;$A60,実績!$AJ$6:$AJ$505,"&gt;"&amp;$A60,実績!$AL$6:$AL$505,"○")&gt;0,1,0))</f>
        <v>0</v>
      </c>
      <c r="CI60" s="39" t="n">
        <f aca="false">IF(CI$4=0,0,IF(COUNTIFS(実績!$W$6:$W$505,CI$3,実績!$AI$6:$AI$505,"&lt;="&amp;$A60,実績!$AJ$6:$AJ$505,"&gt;"&amp;$A60,実績!$AL$6:$AL$505,"○")&gt;0,1,0))</f>
        <v>0</v>
      </c>
      <c r="CJ60" s="39" t="n">
        <f aca="false">IF(CJ$4=0,0,IF(COUNTIFS(実績!$W$6:$W$505,CJ$3,実績!$AI$6:$AI$505,"&lt;="&amp;$A60,実績!$AJ$6:$AJ$505,"&gt;"&amp;$A60,実績!$AL$6:$AL$505,"○")&gt;0,1,0))</f>
        <v>0</v>
      </c>
      <c r="CK60" s="39" t="n">
        <f aca="false">IF(CK$4=0,0,IF(COUNTIFS(実績!$W$6:$W$505,CK$3,実績!$AI$6:$AI$505,"&lt;="&amp;$A60,実績!$AJ$6:$AJ$505,"&gt;"&amp;$A60,実績!$AL$6:$AL$505,"○")&gt;0,1,0))</f>
        <v>0</v>
      </c>
      <c r="CL60" s="39" t="n">
        <f aca="false">IF(CL$4=0,0,IF(COUNTIFS(実績!$W$6:$W$505,CL$3,実績!$AI$6:$AI$505,"&lt;="&amp;$A60,実績!$AJ$6:$AJ$505,"&gt;"&amp;$A60,実績!$AL$6:$AL$505,"○")&gt;0,1,0))</f>
        <v>0</v>
      </c>
      <c r="CM60" s="39" t="n">
        <f aca="false">IF(CM$4=0,0,IF(COUNTIFS(実績!$W$6:$W$505,CM$3,実績!$AI$6:$AI$505,"&lt;="&amp;$A60,実績!$AJ$6:$AJ$505,"&gt;"&amp;$A60,実績!$AL$6:$AL$505,"○")&gt;0,1,0))</f>
        <v>0</v>
      </c>
      <c r="CN60" s="39" t="n">
        <f aca="false">IF(CN$4=0,0,IF(COUNTIFS(実績!$W$6:$W$505,CN$3,実績!$AI$6:$AI$505,"&lt;="&amp;$A60,実績!$AJ$6:$AJ$505,"&gt;"&amp;$A60,実績!$AL$6:$AL$505,"○")&gt;0,1,0))</f>
        <v>0</v>
      </c>
      <c r="CO60" s="39" t="n">
        <f aca="false">IF(CO$4=0,0,IF(COUNTIFS(実績!$W$6:$W$505,CO$3,実績!$AI$6:$AI$505,"&lt;="&amp;$A60,実績!$AJ$6:$AJ$505,"&gt;"&amp;$A60,実績!$AL$6:$AL$505,"○")&gt;0,1,0))</f>
        <v>0</v>
      </c>
      <c r="CP60" s="39" t="n">
        <f aca="false">IF(CP$4=0,0,IF(COUNTIFS(実績!$W$6:$W$505,CP$3,実績!$AI$6:$AI$505,"&lt;="&amp;$A60,実績!$AJ$6:$AJ$505,"&gt;"&amp;$A60,実績!$AL$6:$AL$505,"○")&gt;0,1,0))</f>
        <v>0</v>
      </c>
      <c r="CQ60" s="39" t="n">
        <f aca="false">IF(CQ$4=0,0,IF(COUNTIFS(実績!$W$6:$W$505,CQ$3,実績!$AI$6:$AI$505,"&lt;="&amp;$A60,実績!$AJ$6:$AJ$505,"&gt;"&amp;$A60,実績!$AL$6:$AL$505,"○")&gt;0,1,0))</f>
        <v>0</v>
      </c>
      <c r="CR60" s="39" t="n">
        <f aca="false">IF(CR$4=0,0,IF(COUNTIFS(実績!$W$6:$W$505,CR$3,実績!$AI$6:$AI$505,"&lt;="&amp;$A60,実績!$AJ$6:$AJ$505,"&gt;"&amp;$A60,実績!$AL$6:$AL$505,"○")&gt;0,1,0))</f>
        <v>0</v>
      </c>
      <c r="CS60" s="39" t="n">
        <f aca="false">IF(CS$4=0,0,IF(COUNTIFS(実績!$W$6:$W$505,CS$3,実績!$AI$6:$AI$505,"&lt;="&amp;$A60,実績!$AJ$6:$AJ$505,"&gt;"&amp;$A60,実績!$AL$6:$AL$505,"○")&gt;0,1,0))</f>
        <v>0</v>
      </c>
      <c r="CT60" s="39" t="n">
        <f aca="false">IF(CT$4=0,0,IF(COUNTIFS(実績!$W$6:$W$505,CT$3,実績!$AI$6:$AI$505,"&lt;="&amp;$A60,実績!$AJ$6:$AJ$505,"&gt;"&amp;$A60,実績!$AL$6:$AL$505,"○")&gt;0,1,0))</f>
        <v>0</v>
      </c>
      <c r="CU60" s="39" t="n">
        <f aca="false">IF(CU$4=0,0,IF(COUNTIFS(実績!$W$6:$W$505,CU$3,実績!$AI$6:$AI$505,"&lt;="&amp;$A60,実績!$AJ$6:$AJ$505,"&gt;"&amp;$A60,実績!$AL$6:$AL$505,"○")&gt;0,1,0))</f>
        <v>0</v>
      </c>
      <c r="CV60" s="39" t="n">
        <f aca="false">IF(CV$4=0,0,IF(COUNTIFS(実績!$W$6:$W$505,CV$3,実績!$AI$6:$AI$505,"&lt;="&amp;$A60,実績!$AJ$6:$AJ$505,"&gt;"&amp;$A60,実績!$AL$6:$AL$505,"○")&gt;0,1,0))</f>
        <v>0</v>
      </c>
      <c r="CW60" s="39" t="n">
        <f aca="false">IF(CW$4=0,0,IF(COUNTIFS(実績!$W$6:$W$505,CW$3,実績!$AI$6:$AI$505,"&lt;="&amp;$A60,実績!$AJ$6:$AJ$505,"&gt;"&amp;$A60,実績!$AL$6:$AL$505,"○")&gt;0,1,0))</f>
        <v>0</v>
      </c>
      <c r="CX60" s="39" t="n">
        <f aca="false">IF(CX$4=0,0,IF(COUNTIFS(実績!$W$6:$W$505,CX$3,実績!$AI$6:$AI$505,"&lt;="&amp;$A60,実績!$AJ$6:$AJ$505,"&gt;"&amp;$A60,実績!$AL$6:$AL$505,"○")&gt;0,1,0))</f>
        <v>0</v>
      </c>
      <c r="CY60" s="39" t="n">
        <f aca="false">IF(CY$4=0,0,IF(COUNTIFS(実績!$W$6:$W$505,CY$3,実績!$AI$6:$AI$505,"&lt;="&amp;$A60,実績!$AJ$6:$AJ$505,"&gt;"&amp;$A60,実績!$AL$6:$AL$505,"○")&gt;0,1,0))</f>
        <v>0</v>
      </c>
      <c r="CZ60" s="39" t="n">
        <f aca="false">IF(CZ$4=0,0,IF(COUNTIFS(実績!$W$6:$W$505,CZ$3,実績!$AI$6:$AI$505,"&lt;="&amp;$A60,実績!$AJ$6:$AJ$505,"&gt;"&amp;$A60,実績!$AL$6:$AL$505,"○")&gt;0,1,0))</f>
        <v>0</v>
      </c>
      <c r="DA60" s="39" t="n">
        <f aca="false">IF(DA$4=0,0,IF(COUNTIFS(実績!$W$6:$W$505,DA$3,実績!$AI$6:$AI$505,"&lt;="&amp;$A60,実績!$AJ$6:$AJ$505,"&gt;"&amp;$A60,実績!$AL$6:$AL$505,"○")&gt;0,1,0))</f>
        <v>0</v>
      </c>
      <c r="DB60" s="39" t="n">
        <f aca="false">IF(DB$4=0,0,IF(COUNTIFS(実績!$W$6:$W$505,DB$3,実績!$AI$6:$AI$505,"&lt;="&amp;$A60,実績!$AJ$6:$AJ$505,"&gt;"&amp;$A60,実績!$AL$6:$AL$505,"○")&gt;0,1,0))</f>
        <v>0</v>
      </c>
      <c r="DC60" s="39" t="n">
        <f aca="false">IF(DC$4=0,0,IF(COUNTIFS(実績!$W$6:$W$505,DC$3,実績!$AI$6:$AI$505,"&lt;="&amp;$A60,実績!$AJ$6:$AJ$505,"&gt;"&amp;$A60,実績!$AL$6:$AL$505,"○")&gt;0,1,0))</f>
        <v>0</v>
      </c>
      <c r="DD60" s="39" t="n">
        <f aca="false">IF(DD$4=0,0,IF(COUNTIFS(実績!$W$6:$W$505,DD$3,実績!$AI$6:$AI$505,"&lt;="&amp;$A60,実績!$AJ$6:$AJ$505,"&gt;"&amp;$A60,実績!$AL$6:$AL$505,"○")&gt;0,1,0))</f>
        <v>0</v>
      </c>
      <c r="DE60" s="39" t="n">
        <f aca="false">IF(DE$4=0,0,IF(COUNTIFS(実績!$W$6:$W$505,DE$3,実績!$AI$6:$AI$505,"&lt;="&amp;$A60,実績!$AJ$6:$AJ$505,"&gt;"&amp;$A60,実績!$AL$6:$AL$505,"○")&gt;0,1,0))</f>
        <v>0</v>
      </c>
      <c r="DF60" s="39" t="n">
        <f aca="false">IF(DF$4=0,0,IF(COUNTIFS(実績!$W$6:$W$505,DF$3,実績!$AI$6:$AI$505,"&lt;="&amp;$A60,実績!$AJ$6:$AJ$505,"&gt;"&amp;$A60,実績!$AL$6:$AL$505,"○")&gt;0,1,0))</f>
        <v>0</v>
      </c>
      <c r="DG60" s="39" t="n">
        <f aca="false">IF(DG$4=0,0,IF(COUNTIFS(実績!$W$6:$W$505,DG$3,実績!$AI$6:$AI$505,"&lt;="&amp;$A60,実績!$AJ$6:$AJ$505,"&gt;"&amp;$A60,実績!$AL$6:$AL$505,"○")&gt;0,1,0))</f>
        <v>0</v>
      </c>
      <c r="DH60" s="39" t="n">
        <f aca="false">IF(DH$4=0,0,IF(COUNTIFS(実績!$W$6:$W$505,DH$3,実績!$AI$6:$AI$505,"&lt;="&amp;$A60,実績!$AJ$6:$AJ$505,"&gt;"&amp;$A60,実績!$AL$6:$AL$505,"○")&gt;0,1,0))</f>
        <v>0</v>
      </c>
      <c r="DI60" s="39" t="n">
        <f aca="false">IF(DI$4=0,0,IF(COUNTIFS(実績!$W$6:$W$505,DI$3,実績!$AI$6:$AI$505,"&lt;="&amp;$A60,実績!$AJ$6:$AJ$505,"&gt;"&amp;$A60,実績!$AL$6:$AL$505,"○")&gt;0,1,0))</f>
        <v>0</v>
      </c>
      <c r="DJ60" s="39" t="n">
        <f aca="false">IF(DJ$4=0,0,IF(COUNTIFS(実績!$W$6:$W$505,DJ$3,実績!$AI$6:$AI$505,"&lt;="&amp;$A60,実績!$AJ$6:$AJ$505,"&gt;"&amp;$A60,実績!$AL$6:$AL$505,"○")&gt;0,1,0))</f>
        <v>0</v>
      </c>
      <c r="DK60" s="39" t="n">
        <f aca="false">IF(DK$4=0,0,IF(COUNTIFS(実績!$W$6:$W$505,DK$3,実績!$AI$6:$AI$505,"&lt;="&amp;$A60,実績!$AJ$6:$AJ$505,"&gt;"&amp;$A60,実績!$AL$6:$AL$505,"○")&gt;0,1,0))</f>
        <v>0</v>
      </c>
      <c r="DL60" s="39" t="n">
        <f aca="false">IF(DL$4=0,0,IF(COUNTIFS(実績!$W$6:$W$505,DL$3,実績!$AI$6:$AI$505,"&lt;="&amp;$A60,実績!$AJ$6:$AJ$505,"&gt;"&amp;$A60,実績!$AL$6:$AL$505,"○")&gt;0,1,0))</f>
        <v>0</v>
      </c>
      <c r="DM60" s="39" t="n">
        <f aca="false">IF(DM$4=0,0,IF(COUNTIFS(実績!$W$6:$W$505,DM$3,実績!$AI$6:$AI$505,"&lt;="&amp;$A60,実績!$AJ$6:$AJ$505,"&gt;"&amp;$A60,実績!$AL$6:$AL$505,"○")&gt;0,1,0))</f>
        <v>0</v>
      </c>
      <c r="DN60" s="39" t="n">
        <f aca="false">IF(DN$4=0,0,IF(COUNTIFS(実績!$W$6:$W$505,DN$3,実績!$AI$6:$AI$505,"&lt;="&amp;$A60,実績!$AJ$6:$AJ$505,"&gt;"&amp;$A60,実績!$AL$6:$AL$505,"○")&gt;0,1,0))</f>
        <v>0</v>
      </c>
      <c r="DO60" s="39" t="n">
        <f aca="false">IF(DO$4=0,0,IF(COUNTIFS(実績!$W$6:$W$505,DO$3,実績!$AI$6:$AI$505,"&lt;="&amp;$A60,実績!$AJ$6:$AJ$505,"&gt;"&amp;$A60,実績!$AL$6:$AL$505,"○")&gt;0,1,0))</f>
        <v>0</v>
      </c>
      <c r="DP60" s="39" t="n">
        <f aca="false">IF(DP$4=0,0,IF(COUNTIFS(実績!$W$6:$W$505,DP$3,実績!$AI$6:$AI$505,"&lt;="&amp;$A60,実績!$AJ$6:$AJ$505,"&gt;"&amp;$A60,実績!$AL$6:$AL$505,"○")&gt;0,1,0))</f>
        <v>0</v>
      </c>
      <c r="DQ60" s="39" t="n">
        <f aca="false">IF(DQ$4=0,0,IF(COUNTIFS(実績!$W$6:$W$505,DQ$3,実績!$AI$6:$AI$505,"&lt;="&amp;$A60,実績!$AJ$6:$AJ$505,"&gt;"&amp;$A60,実績!$AL$6:$AL$505,"○")&gt;0,1,0))</f>
        <v>0</v>
      </c>
      <c r="DR60" s="39" t="n">
        <f aca="false">IF(DR$4=0,0,IF(COUNTIFS(実績!$W$6:$W$505,DR$3,実績!$AI$6:$AI$505,"&lt;="&amp;$A60,実績!$AJ$6:$AJ$505,"&gt;"&amp;$A60,実績!$AL$6:$AL$505,"○")&gt;0,1,0))</f>
        <v>0</v>
      </c>
      <c r="DS60" s="39" t="n">
        <f aca="false">SUM(C60:DR60)</f>
        <v>0</v>
      </c>
    </row>
    <row r="61" customFormat="false" ht="15" hidden="false" customHeight="false" outlineLevel="0" collapsed="false">
      <c r="A61" s="0" t="n">
        <v>275</v>
      </c>
      <c r="B61" s="38" t="n">
        <f aca="false">A61/1440</f>
        <v>0.190972222222222</v>
      </c>
      <c r="C61" s="39" t="n">
        <f aca="false">IF(C$4=0,0,IF(COUNTIFS(実績!$W$6:$W$505,C$3,実績!$AI$6:$AI$505,"&lt;="&amp;$A61,実績!$AJ$6:$AJ$505,"&gt;"&amp;$A61,実績!$AL$6:$AL$505,"○")&gt;0,1,0))</f>
        <v>0</v>
      </c>
      <c r="D61" s="39" t="n">
        <f aca="false">IF(D$4=0,0,IF(COUNTIFS(実績!$W$6:$W$505,D$3,実績!$AI$6:$AI$505,"&lt;="&amp;$A61,実績!$AJ$6:$AJ$505,"&gt;"&amp;$A61,実績!$AL$6:$AL$505,"○")&gt;0,1,0))</f>
        <v>0</v>
      </c>
      <c r="E61" s="39" t="n">
        <f aca="false">IF(E$4=0,0,IF(COUNTIFS(実績!$W$6:$W$505,E$3,実績!$AI$6:$AI$505,"&lt;="&amp;$A61,実績!$AJ$6:$AJ$505,"&gt;"&amp;$A61,実績!$AL$6:$AL$505,"○")&gt;0,1,0))</f>
        <v>0</v>
      </c>
      <c r="F61" s="39" t="n">
        <f aca="false">IF(F$4=0,0,IF(COUNTIFS(実績!$W$6:$W$505,F$3,実績!$AI$6:$AI$505,"&lt;="&amp;$A61,実績!$AJ$6:$AJ$505,"&gt;"&amp;$A61,実績!$AL$6:$AL$505,"○")&gt;0,1,0))</f>
        <v>0</v>
      </c>
      <c r="G61" s="39" t="n">
        <f aca="false">IF(G$4=0,0,IF(COUNTIFS(実績!$W$6:$W$505,G$3,実績!$AI$6:$AI$505,"&lt;="&amp;$A61,実績!$AJ$6:$AJ$505,"&gt;"&amp;$A61,実績!$AL$6:$AL$505,"○")&gt;0,1,0))</f>
        <v>0</v>
      </c>
      <c r="H61" s="39" t="n">
        <f aca="false">IF(H$4=0,0,IF(COUNTIFS(実績!$W$6:$W$505,H$3,実績!$AI$6:$AI$505,"&lt;="&amp;$A61,実績!$AJ$6:$AJ$505,"&gt;"&amp;$A61,実績!$AL$6:$AL$505,"○")&gt;0,1,0))</f>
        <v>0</v>
      </c>
      <c r="I61" s="39" t="n">
        <f aca="false">IF(I$4=0,0,IF(COUNTIFS(実績!$W$6:$W$505,I$3,実績!$AI$6:$AI$505,"&lt;="&amp;$A61,実績!$AJ$6:$AJ$505,"&gt;"&amp;$A61,実績!$AL$6:$AL$505,"○")&gt;0,1,0))</f>
        <v>0</v>
      </c>
      <c r="J61" s="39" t="n">
        <f aca="false">IF(J$4=0,0,IF(COUNTIFS(実績!$W$6:$W$505,J$3,実績!$AI$6:$AI$505,"&lt;="&amp;$A61,実績!$AJ$6:$AJ$505,"&gt;"&amp;$A61,実績!$AL$6:$AL$505,"○")&gt;0,1,0))</f>
        <v>0</v>
      </c>
      <c r="K61" s="39" t="n">
        <f aca="false">IF(K$4=0,0,IF(COUNTIFS(実績!$W$6:$W$505,K$3,実績!$AI$6:$AI$505,"&lt;="&amp;$A61,実績!$AJ$6:$AJ$505,"&gt;"&amp;$A61,実績!$AL$6:$AL$505,"○")&gt;0,1,0))</f>
        <v>0</v>
      </c>
      <c r="L61" s="39" t="n">
        <f aca="false">IF(L$4=0,0,IF(COUNTIFS(実績!$W$6:$W$505,L$3,実績!$AI$6:$AI$505,"&lt;="&amp;$A61,実績!$AJ$6:$AJ$505,"&gt;"&amp;$A61,実績!$AL$6:$AL$505,"○")&gt;0,1,0))</f>
        <v>0</v>
      </c>
      <c r="M61" s="39" t="n">
        <f aca="false">IF(M$4=0,0,IF(COUNTIFS(実績!$W$6:$W$505,M$3,実績!$AI$6:$AI$505,"&lt;="&amp;$A61,実績!$AJ$6:$AJ$505,"&gt;"&amp;$A61,実績!$AL$6:$AL$505,"○")&gt;0,1,0))</f>
        <v>0</v>
      </c>
      <c r="N61" s="39" t="n">
        <f aca="false">IF(N$4=0,0,IF(COUNTIFS(実績!$W$6:$W$505,N$3,実績!$AI$6:$AI$505,"&lt;="&amp;$A61,実績!$AJ$6:$AJ$505,"&gt;"&amp;$A61,実績!$AL$6:$AL$505,"○")&gt;0,1,0))</f>
        <v>0</v>
      </c>
      <c r="O61" s="39" t="n">
        <f aca="false">IF(O$4=0,0,IF(COUNTIFS(実績!$W$6:$W$505,O$3,実績!$AI$6:$AI$505,"&lt;="&amp;$A61,実績!$AJ$6:$AJ$505,"&gt;"&amp;$A61,実績!$AL$6:$AL$505,"○")&gt;0,1,0))</f>
        <v>0</v>
      </c>
      <c r="P61" s="39" t="n">
        <f aca="false">IF(P$4=0,0,IF(COUNTIFS(実績!$W$6:$W$505,P$3,実績!$AI$6:$AI$505,"&lt;="&amp;$A61,実績!$AJ$6:$AJ$505,"&gt;"&amp;$A61,実績!$AL$6:$AL$505,"○")&gt;0,1,0))</f>
        <v>0</v>
      </c>
      <c r="Q61" s="39" t="n">
        <f aca="false">IF(Q$4=0,0,IF(COUNTIFS(実績!$W$6:$W$505,Q$3,実績!$AI$6:$AI$505,"&lt;="&amp;$A61,実績!$AJ$6:$AJ$505,"&gt;"&amp;$A61,実績!$AL$6:$AL$505,"○")&gt;0,1,0))</f>
        <v>0</v>
      </c>
      <c r="R61" s="39" t="n">
        <f aca="false">IF(R$4=0,0,IF(COUNTIFS(実績!$W$6:$W$505,R$3,実績!$AI$6:$AI$505,"&lt;="&amp;$A61,実績!$AJ$6:$AJ$505,"&gt;"&amp;$A61,実績!$AL$6:$AL$505,"○")&gt;0,1,0))</f>
        <v>0</v>
      </c>
      <c r="S61" s="39" t="n">
        <f aca="false">IF(S$4=0,0,IF(COUNTIFS(実績!$W$6:$W$505,S$3,実績!$AI$6:$AI$505,"&lt;="&amp;$A61,実績!$AJ$6:$AJ$505,"&gt;"&amp;$A61,実績!$AL$6:$AL$505,"○")&gt;0,1,0))</f>
        <v>0</v>
      </c>
      <c r="T61" s="39" t="n">
        <f aca="false">IF(T$4=0,0,IF(COUNTIFS(実績!$W$6:$W$505,T$3,実績!$AI$6:$AI$505,"&lt;="&amp;$A61,実績!$AJ$6:$AJ$505,"&gt;"&amp;$A61,実績!$AL$6:$AL$505,"○")&gt;0,1,0))</f>
        <v>0</v>
      </c>
      <c r="U61" s="39" t="n">
        <f aca="false">IF(U$4=0,0,IF(COUNTIFS(実績!$W$6:$W$505,U$3,実績!$AI$6:$AI$505,"&lt;="&amp;$A61,実績!$AJ$6:$AJ$505,"&gt;"&amp;$A61,実績!$AL$6:$AL$505,"○")&gt;0,1,0))</f>
        <v>0</v>
      </c>
      <c r="V61" s="39" t="n">
        <f aca="false">IF(V$4=0,0,IF(COUNTIFS(実績!$W$6:$W$505,V$3,実績!$AI$6:$AI$505,"&lt;="&amp;$A61,実績!$AJ$6:$AJ$505,"&gt;"&amp;$A61,実績!$AL$6:$AL$505,"○")&gt;0,1,0))</f>
        <v>0</v>
      </c>
      <c r="W61" s="39" t="n">
        <f aca="false">IF(W$4=0,0,IF(COUNTIFS(実績!$W$6:$W$505,W$3,実績!$AI$6:$AI$505,"&lt;="&amp;$A61,実績!$AJ$6:$AJ$505,"&gt;"&amp;$A61,実績!$AL$6:$AL$505,"○")&gt;0,1,0))</f>
        <v>0</v>
      </c>
      <c r="X61" s="39" t="n">
        <f aca="false">IF(X$4=0,0,IF(COUNTIFS(実績!$W$6:$W$505,X$3,実績!$AI$6:$AI$505,"&lt;="&amp;$A61,実績!$AJ$6:$AJ$505,"&gt;"&amp;$A61,実績!$AL$6:$AL$505,"○")&gt;0,1,0))</f>
        <v>0</v>
      </c>
      <c r="Y61" s="39" t="n">
        <f aca="false">IF(Y$4=0,0,IF(COUNTIFS(実績!$W$6:$W$505,Y$3,実績!$AI$6:$AI$505,"&lt;="&amp;$A61,実績!$AJ$6:$AJ$505,"&gt;"&amp;$A61,実績!$AL$6:$AL$505,"○")&gt;0,1,0))</f>
        <v>0</v>
      </c>
      <c r="Z61" s="39" t="n">
        <f aca="false">IF(Z$4=0,0,IF(COUNTIFS(実績!$W$6:$W$505,Z$3,実績!$AI$6:$AI$505,"&lt;="&amp;$A61,実績!$AJ$6:$AJ$505,"&gt;"&amp;$A61,実績!$AL$6:$AL$505,"○")&gt;0,1,0))</f>
        <v>0</v>
      </c>
      <c r="AA61" s="39" t="n">
        <f aca="false">IF(AA$4=0,0,IF(COUNTIFS(実績!$W$6:$W$505,AA$3,実績!$AI$6:$AI$505,"&lt;="&amp;$A61,実績!$AJ$6:$AJ$505,"&gt;"&amp;$A61,実績!$AL$6:$AL$505,"○")&gt;0,1,0))</f>
        <v>0</v>
      </c>
      <c r="AB61" s="39" t="n">
        <f aca="false">IF(AB$4=0,0,IF(COUNTIFS(実績!$W$6:$W$505,AB$3,実績!$AI$6:$AI$505,"&lt;="&amp;$A61,実績!$AJ$6:$AJ$505,"&gt;"&amp;$A61,実績!$AL$6:$AL$505,"○")&gt;0,1,0))</f>
        <v>0</v>
      </c>
      <c r="AC61" s="39" t="n">
        <f aca="false">IF(AC$4=0,0,IF(COUNTIFS(実績!$W$6:$W$505,AC$3,実績!$AI$6:$AI$505,"&lt;="&amp;$A61,実績!$AJ$6:$AJ$505,"&gt;"&amp;$A61,実績!$AL$6:$AL$505,"○")&gt;0,1,0))</f>
        <v>0</v>
      </c>
      <c r="AD61" s="39" t="n">
        <f aca="false">IF(AD$4=0,0,IF(COUNTIFS(実績!$W$6:$W$505,AD$3,実績!$AI$6:$AI$505,"&lt;="&amp;$A61,実績!$AJ$6:$AJ$505,"&gt;"&amp;$A61,実績!$AL$6:$AL$505,"○")&gt;0,1,0))</f>
        <v>0</v>
      </c>
      <c r="AE61" s="39" t="n">
        <f aca="false">IF(AE$4=0,0,IF(COUNTIFS(実績!$W$6:$W$505,AE$3,実績!$AI$6:$AI$505,"&lt;="&amp;$A61,実績!$AJ$6:$AJ$505,"&gt;"&amp;$A61,実績!$AL$6:$AL$505,"○")&gt;0,1,0))</f>
        <v>0</v>
      </c>
      <c r="AF61" s="39" t="n">
        <f aca="false">IF(AF$4=0,0,IF(COUNTIFS(実績!$W$6:$W$505,AF$3,実績!$AI$6:$AI$505,"&lt;="&amp;$A61,実績!$AJ$6:$AJ$505,"&gt;"&amp;$A61,実績!$AL$6:$AL$505,"○")&gt;0,1,0))</f>
        <v>0</v>
      </c>
      <c r="AG61" s="39" t="n">
        <f aca="false">IF(AG$4=0,0,IF(COUNTIFS(実績!$W$6:$W$505,AG$3,実績!$AI$6:$AI$505,"&lt;="&amp;$A61,実績!$AJ$6:$AJ$505,"&gt;"&amp;$A61,実績!$AL$6:$AL$505,"○")&gt;0,1,0))</f>
        <v>0</v>
      </c>
      <c r="AH61" s="39" t="n">
        <f aca="false">IF(AH$4=0,0,IF(COUNTIFS(実績!$W$6:$W$505,AH$3,実績!$AI$6:$AI$505,"&lt;="&amp;$A61,実績!$AJ$6:$AJ$505,"&gt;"&amp;$A61,実績!$AL$6:$AL$505,"○")&gt;0,1,0))</f>
        <v>0</v>
      </c>
      <c r="AI61" s="39" t="n">
        <f aca="false">IF(AI$4=0,0,IF(COUNTIFS(実績!$W$6:$W$505,AI$3,実績!$AI$6:$AI$505,"&lt;="&amp;$A61,実績!$AJ$6:$AJ$505,"&gt;"&amp;$A61,実績!$AL$6:$AL$505,"○")&gt;0,1,0))</f>
        <v>0</v>
      </c>
      <c r="AJ61" s="39" t="n">
        <f aca="false">IF(AJ$4=0,0,IF(COUNTIFS(実績!$W$6:$W$505,AJ$3,実績!$AI$6:$AI$505,"&lt;="&amp;$A61,実績!$AJ$6:$AJ$505,"&gt;"&amp;$A61,実績!$AL$6:$AL$505,"○")&gt;0,1,0))</f>
        <v>0</v>
      </c>
      <c r="AK61" s="39" t="n">
        <f aca="false">IF(AK$4=0,0,IF(COUNTIFS(実績!$W$6:$W$505,AK$3,実績!$AI$6:$AI$505,"&lt;="&amp;$A61,実績!$AJ$6:$AJ$505,"&gt;"&amp;$A61,実績!$AL$6:$AL$505,"○")&gt;0,1,0))</f>
        <v>0</v>
      </c>
      <c r="AL61" s="39" t="n">
        <f aca="false">IF(AL$4=0,0,IF(COUNTIFS(実績!$W$6:$W$505,AL$3,実績!$AI$6:$AI$505,"&lt;="&amp;$A61,実績!$AJ$6:$AJ$505,"&gt;"&amp;$A61,実績!$AL$6:$AL$505,"○")&gt;0,1,0))</f>
        <v>0</v>
      </c>
      <c r="AM61" s="39" t="n">
        <f aca="false">IF(AM$4=0,0,IF(COUNTIFS(実績!$W$6:$W$505,AM$3,実績!$AI$6:$AI$505,"&lt;="&amp;$A61,実績!$AJ$6:$AJ$505,"&gt;"&amp;$A61,実績!$AL$6:$AL$505,"○")&gt;0,1,0))</f>
        <v>0</v>
      </c>
      <c r="AN61" s="39" t="n">
        <f aca="false">IF(AN$4=0,0,IF(COUNTIFS(実績!$W$6:$W$505,AN$3,実績!$AI$6:$AI$505,"&lt;="&amp;$A61,実績!$AJ$6:$AJ$505,"&gt;"&amp;$A61,実績!$AL$6:$AL$505,"○")&gt;0,1,0))</f>
        <v>0</v>
      </c>
      <c r="AO61" s="39" t="n">
        <f aca="false">IF(AO$4=0,0,IF(COUNTIFS(実績!$W$6:$W$505,AO$3,実績!$AI$6:$AI$505,"&lt;="&amp;$A61,実績!$AJ$6:$AJ$505,"&gt;"&amp;$A61,実績!$AL$6:$AL$505,"○")&gt;0,1,0))</f>
        <v>0</v>
      </c>
      <c r="AP61" s="39" t="n">
        <f aca="false">IF(AP$4=0,0,IF(COUNTIFS(実績!$W$6:$W$505,AP$3,実績!$AI$6:$AI$505,"&lt;="&amp;$A61,実績!$AJ$6:$AJ$505,"&gt;"&amp;$A61,実績!$AL$6:$AL$505,"○")&gt;0,1,0))</f>
        <v>0</v>
      </c>
      <c r="AQ61" s="39" t="n">
        <f aca="false">IF(AQ$4=0,0,IF(COUNTIFS(実績!$W$6:$W$505,AQ$3,実績!$AI$6:$AI$505,"&lt;="&amp;$A61,実績!$AJ$6:$AJ$505,"&gt;"&amp;$A61,実績!$AL$6:$AL$505,"○")&gt;0,1,0))</f>
        <v>0</v>
      </c>
      <c r="AR61" s="39" t="n">
        <f aca="false">IF(AR$4=0,0,IF(COUNTIFS(実績!$W$6:$W$505,AR$3,実績!$AI$6:$AI$505,"&lt;="&amp;$A61,実績!$AJ$6:$AJ$505,"&gt;"&amp;$A61,実績!$AL$6:$AL$505,"○")&gt;0,1,0))</f>
        <v>0</v>
      </c>
      <c r="AS61" s="39" t="n">
        <f aca="false">IF(AS$4=0,0,IF(COUNTIFS(実績!$W$6:$W$505,AS$3,実績!$AI$6:$AI$505,"&lt;="&amp;$A61,実績!$AJ$6:$AJ$505,"&gt;"&amp;$A61,実績!$AL$6:$AL$505,"○")&gt;0,1,0))</f>
        <v>0</v>
      </c>
      <c r="AT61" s="39" t="n">
        <f aca="false">IF(AT$4=0,0,IF(COUNTIFS(実績!$W$6:$W$505,AT$3,実績!$AI$6:$AI$505,"&lt;="&amp;$A61,実績!$AJ$6:$AJ$505,"&gt;"&amp;$A61,実績!$AL$6:$AL$505,"○")&gt;0,1,0))</f>
        <v>0</v>
      </c>
      <c r="AU61" s="39" t="n">
        <f aca="false">IF(AU$4=0,0,IF(COUNTIFS(実績!$W$6:$W$505,AU$3,実績!$AI$6:$AI$505,"&lt;="&amp;$A61,実績!$AJ$6:$AJ$505,"&gt;"&amp;$A61,実績!$AL$6:$AL$505,"○")&gt;0,1,0))</f>
        <v>0</v>
      </c>
      <c r="AV61" s="39" t="n">
        <f aca="false">IF(AV$4=0,0,IF(COUNTIFS(実績!$W$6:$W$505,AV$3,実績!$AI$6:$AI$505,"&lt;="&amp;$A61,実績!$AJ$6:$AJ$505,"&gt;"&amp;$A61,実績!$AL$6:$AL$505,"○")&gt;0,1,0))</f>
        <v>0</v>
      </c>
      <c r="AW61" s="39" t="n">
        <f aca="false">IF(AW$4=0,0,IF(COUNTIFS(実績!$W$6:$W$505,AW$3,実績!$AI$6:$AI$505,"&lt;="&amp;$A61,実績!$AJ$6:$AJ$505,"&gt;"&amp;$A61,実績!$AL$6:$AL$505,"○")&gt;0,1,0))</f>
        <v>0</v>
      </c>
      <c r="AX61" s="39" t="n">
        <f aca="false">IF(AX$4=0,0,IF(COUNTIFS(実績!$W$6:$W$505,AX$3,実績!$AI$6:$AI$505,"&lt;="&amp;$A61,実績!$AJ$6:$AJ$505,"&gt;"&amp;$A61,実績!$AL$6:$AL$505,"○")&gt;0,1,0))</f>
        <v>0</v>
      </c>
      <c r="AY61" s="39" t="n">
        <f aca="false">IF(AY$4=0,0,IF(COUNTIFS(実績!$W$6:$W$505,AY$3,実績!$AI$6:$AI$505,"&lt;="&amp;$A61,実績!$AJ$6:$AJ$505,"&gt;"&amp;$A61,実績!$AL$6:$AL$505,"○")&gt;0,1,0))</f>
        <v>0</v>
      </c>
      <c r="AZ61" s="39" t="n">
        <f aca="false">IF(AZ$4=0,0,IF(COUNTIFS(実績!$W$6:$W$505,AZ$3,実績!$AI$6:$AI$505,"&lt;="&amp;$A61,実績!$AJ$6:$AJ$505,"&gt;"&amp;$A61,実績!$AL$6:$AL$505,"○")&gt;0,1,0))</f>
        <v>0</v>
      </c>
      <c r="BA61" s="39" t="n">
        <f aca="false">IF(BA$4=0,0,IF(COUNTIFS(実績!$W$6:$W$505,BA$3,実績!$AI$6:$AI$505,"&lt;="&amp;$A61,実績!$AJ$6:$AJ$505,"&gt;"&amp;$A61,実績!$AL$6:$AL$505,"○")&gt;0,1,0))</f>
        <v>0</v>
      </c>
      <c r="BB61" s="39" t="n">
        <f aca="false">IF(BB$4=0,0,IF(COUNTIFS(実績!$W$6:$W$505,BB$3,実績!$AI$6:$AI$505,"&lt;="&amp;$A61,実績!$AJ$6:$AJ$505,"&gt;"&amp;$A61,実績!$AL$6:$AL$505,"○")&gt;0,1,0))</f>
        <v>0</v>
      </c>
      <c r="BC61" s="39" t="n">
        <f aca="false">IF(BC$4=0,0,IF(COUNTIFS(実績!$W$6:$W$505,BC$3,実績!$AI$6:$AI$505,"&lt;="&amp;$A61,実績!$AJ$6:$AJ$505,"&gt;"&amp;$A61,実績!$AL$6:$AL$505,"○")&gt;0,1,0))</f>
        <v>0</v>
      </c>
      <c r="BD61" s="39" t="n">
        <f aca="false">IF(BD$4=0,0,IF(COUNTIFS(実績!$W$6:$W$505,BD$3,実績!$AI$6:$AI$505,"&lt;="&amp;$A61,実績!$AJ$6:$AJ$505,"&gt;"&amp;$A61,実績!$AL$6:$AL$505,"○")&gt;0,1,0))</f>
        <v>0</v>
      </c>
      <c r="BE61" s="39" t="n">
        <f aca="false">IF(BE$4=0,0,IF(COUNTIFS(実績!$W$6:$W$505,BE$3,実績!$AI$6:$AI$505,"&lt;="&amp;$A61,実績!$AJ$6:$AJ$505,"&gt;"&amp;$A61,実績!$AL$6:$AL$505,"○")&gt;0,1,0))</f>
        <v>0</v>
      </c>
      <c r="BF61" s="39" t="n">
        <f aca="false">IF(BF$4=0,0,IF(COUNTIFS(実績!$W$6:$W$505,BF$3,実績!$AI$6:$AI$505,"&lt;="&amp;$A61,実績!$AJ$6:$AJ$505,"&gt;"&amp;$A61,実績!$AL$6:$AL$505,"○")&gt;0,1,0))</f>
        <v>0</v>
      </c>
      <c r="BG61" s="39" t="n">
        <f aca="false">IF(BG$4=0,0,IF(COUNTIFS(実績!$W$6:$W$505,BG$3,実績!$AI$6:$AI$505,"&lt;="&amp;$A61,実績!$AJ$6:$AJ$505,"&gt;"&amp;$A61,実績!$AL$6:$AL$505,"○")&gt;0,1,0))</f>
        <v>0</v>
      </c>
      <c r="BH61" s="39" t="n">
        <f aca="false">IF(BH$4=0,0,IF(COUNTIFS(実績!$W$6:$W$505,BH$3,実績!$AI$6:$AI$505,"&lt;="&amp;$A61,実績!$AJ$6:$AJ$505,"&gt;"&amp;$A61,実績!$AL$6:$AL$505,"○")&gt;0,1,0))</f>
        <v>0</v>
      </c>
      <c r="BI61" s="39" t="n">
        <f aca="false">IF(BI$4=0,0,IF(COUNTIFS(実績!$W$6:$W$505,BI$3,実績!$AI$6:$AI$505,"&lt;="&amp;$A61,実績!$AJ$6:$AJ$505,"&gt;"&amp;$A61,実績!$AL$6:$AL$505,"○")&gt;0,1,0))</f>
        <v>0</v>
      </c>
      <c r="BJ61" s="39" t="n">
        <f aca="false">IF(BJ$4=0,0,IF(COUNTIFS(実績!$W$6:$W$505,BJ$3,実績!$AI$6:$AI$505,"&lt;="&amp;$A61,実績!$AJ$6:$AJ$505,"&gt;"&amp;$A61,実績!$AL$6:$AL$505,"○")&gt;0,1,0))</f>
        <v>0</v>
      </c>
      <c r="BK61" s="39" t="n">
        <f aca="false">IF(BK$4=0,0,IF(COUNTIFS(実績!$W$6:$W$505,BK$3,実績!$AI$6:$AI$505,"&lt;="&amp;$A61,実績!$AJ$6:$AJ$505,"&gt;"&amp;$A61,実績!$AL$6:$AL$505,"○")&gt;0,1,0))</f>
        <v>0</v>
      </c>
      <c r="BL61" s="39" t="n">
        <f aca="false">IF(BL$4=0,0,IF(COUNTIFS(実績!$W$6:$W$505,BL$3,実績!$AI$6:$AI$505,"&lt;="&amp;$A61,実績!$AJ$6:$AJ$505,"&gt;"&amp;$A61,実績!$AL$6:$AL$505,"○")&gt;0,1,0))</f>
        <v>0</v>
      </c>
      <c r="BM61" s="39" t="n">
        <f aca="false">IF(BM$4=0,0,IF(COUNTIFS(実績!$W$6:$W$505,BM$3,実績!$AI$6:$AI$505,"&lt;="&amp;$A61,実績!$AJ$6:$AJ$505,"&gt;"&amp;$A61,実績!$AL$6:$AL$505,"○")&gt;0,1,0))</f>
        <v>0</v>
      </c>
      <c r="BN61" s="39" t="n">
        <f aca="false">IF(BN$4=0,0,IF(COUNTIFS(実績!$W$6:$W$505,BN$3,実績!$AI$6:$AI$505,"&lt;="&amp;$A61,実績!$AJ$6:$AJ$505,"&gt;"&amp;$A61,実績!$AL$6:$AL$505,"○")&gt;0,1,0))</f>
        <v>0</v>
      </c>
      <c r="BO61" s="39" t="n">
        <f aca="false">IF(BO$4=0,0,IF(COUNTIFS(実績!$W$6:$W$505,BO$3,実績!$AI$6:$AI$505,"&lt;="&amp;$A61,実績!$AJ$6:$AJ$505,"&gt;"&amp;$A61,実績!$AL$6:$AL$505,"○")&gt;0,1,0))</f>
        <v>0</v>
      </c>
      <c r="BP61" s="39" t="n">
        <f aca="false">IF(BP$4=0,0,IF(COUNTIFS(実績!$W$6:$W$505,BP$3,実績!$AI$6:$AI$505,"&lt;="&amp;$A61,実績!$AJ$6:$AJ$505,"&gt;"&amp;$A61,実績!$AL$6:$AL$505,"○")&gt;0,1,0))</f>
        <v>0</v>
      </c>
      <c r="BQ61" s="39" t="n">
        <f aca="false">IF(BQ$4=0,0,IF(COUNTIFS(実績!$W$6:$W$505,BQ$3,実績!$AI$6:$AI$505,"&lt;="&amp;$A61,実績!$AJ$6:$AJ$505,"&gt;"&amp;$A61,実績!$AL$6:$AL$505,"○")&gt;0,1,0))</f>
        <v>0</v>
      </c>
      <c r="BR61" s="39" t="n">
        <f aca="false">IF(BR$4=0,0,IF(COUNTIFS(実績!$W$6:$W$505,BR$3,実績!$AI$6:$AI$505,"&lt;="&amp;$A61,実績!$AJ$6:$AJ$505,"&gt;"&amp;$A61,実績!$AL$6:$AL$505,"○")&gt;0,1,0))</f>
        <v>0</v>
      </c>
      <c r="BS61" s="39" t="n">
        <f aca="false">IF(BS$4=0,0,IF(COUNTIFS(実績!$W$6:$W$505,BS$3,実績!$AI$6:$AI$505,"&lt;="&amp;$A61,実績!$AJ$6:$AJ$505,"&gt;"&amp;$A61,実績!$AL$6:$AL$505,"○")&gt;0,1,0))</f>
        <v>0</v>
      </c>
      <c r="BT61" s="39" t="n">
        <f aca="false">IF(BT$4=0,0,IF(COUNTIFS(実績!$W$6:$W$505,BT$3,実績!$AI$6:$AI$505,"&lt;="&amp;$A61,実績!$AJ$6:$AJ$505,"&gt;"&amp;$A61,実績!$AL$6:$AL$505,"○")&gt;0,1,0))</f>
        <v>0</v>
      </c>
      <c r="BU61" s="39" t="n">
        <f aca="false">IF(BU$4=0,0,IF(COUNTIFS(実績!$W$6:$W$505,BU$3,実績!$AI$6:$AI$505,"&lt;="&amp;$A61,実績!$AJ$6:$AJ$505,"&gt;"&amp;$A61,実績!$AL$6:$AL$505,"○")&gt;0,1,0))</f>
        <v>0</v>
      </c>
      <c r="BV61" s="39" t="n">
        <f aca="false">IF(BV$4=0,0,IF(COUNTIFS(実績!$W$6:$W$505,BV$3,実績!$AI$6:$AI$505,"&lt;="&amp;$A61,実績!$AJ$6:$AJ$505,"&gt;"&amp;$A61,実績!$AL$6:$AL$505,"○")&gt;0,1,0))</f>
        <v>0</v>
      </c>
      <c r="BW61" s="39" t="n">
        <f aca="false">IF(BW$4=0,0,IF(COUNTIFS(実績!$W$6:$W$505,BW$3,実績!$AI$6:$AI$505,"&lt;="&amp;$A61,実績!$AJ$6:$AJ$505,"&gt;"&amp;$A61,実績!$AL$6:$AL$505,"○")&gt;0,1,0))</f>
        <v>0</v>
      </c>
      <c r="BX61" s="39" t="n">
        <f aca="false">IF(BX$4=0,0,IF(COUNTIFS(実績!$W$6:$W$505,BX$3,実績!$AI$6:$AI$505,"&lt;="&amp;$A61,実績!$AJ$6:$AJ$505,"&gt;"&amp;$A61,実績!$AL$6:$AL$505,"○")&gt;0,1,0))</f>
        <v>0</v>
      </c>
      <c r="BY61" s="39" t="n">
        <f aca="false">IF(BY$4=0,0,IF(COUNTIFS(実績!$W$6:$W$505,BY$3,実績!$AI$6:$AI$505,"&lt;="&amp;$A61,実績!$AJ$6:$AJ$505,"&gt;"&amp;$A61,実績!$AL$6:$AL$505,"○")&gt;0,1,0))</f>
        <v>0</v>
      </c>
      <c r="BZ61" s="39" t="n">
        <f aca="false">IF(BZ$4=0,0,IF(COUNTIFS(実績!$W$6:$W$505,BZ$3,実績!$AI$6:$AI$505,"&lt;="&amp;$A61,実績!$AJ$6:$AJ$505,"&gt;"&amp;$A61,実績!$AL$6:$AL$505,"○")&gt;0,1,0))</f>
        <v>0</v>
      </c>
      <c r="CA61" s="39" t="n">
        <f aca="false">IF(CA$4=0,0,IF(COUNTIFS(実績!$W$6:$W$505,CA$3,実績!$AI$6:$AI$505,"&lt;="&amp;$A61,実績!$AJ$6:$AJ$505,"&gt;"&amp;$A61,実績!$AL$6:$AL$505,"○")&gt;0,1,0))</f>
        <v>0</v>
      </c>
      <c r="CB61" s="39" t="n">
        <f aca="false">IF(CB$4=0,0,IF(COUNTIFS(実績!$W$6:$W$505,CB$3,実績!$AI$6:$AI$505,"&lt;="&amp;$A61,実績!$AJ$6:$AJ$505,"&gt;"&amp;$A61,実績!$AL$6:$AL$505,"○")&gt;0,1,0))</f>
        <v>0</v>
      </c>
      <c r="CC61" s="39" t="n">
        <f aca="false">IF(CC$4=0,0,IF(COUNTIFS(実績!$W$6:$W$505,CC$3,実績!$AI$6:$AI$505,"&lt;="&amp;$A61,実績!$AJ$6:$AJ$505,"&gt;"&amp;$A61,実績!$AL$6:$AL$505,"○")&gt;0,1,0))</f>
        <v>0</v>
      </c>
      <c r="CD61" s="39" t="n">
        <f aca="false">IF(CD$4=0,0,IF(COUNTIFS(実績!$W$6:$W$505,CD$3,実績!$AI$6:$AI$505,"&lt;="&amp;$A61,実績!$AJ$6:$AJ$505,"&gt;"&amp;$A61,実績!$AL$6:$AL$505,"○")&gt;0,1,0))</f>
        <v>0</v>
      </c>
      <c r="CE61" s="39" t="n">
        <f aca="false">IF(CE$4=0,0,IF(COUNTIFS(実績!$W$6:$W$505,CE$3,実績!$AI$6:$AI$505,"&lt;="&amp;$A61,実績!$AJ$6:$AJ$505,"&gt;"&amp;$A61,実績!$AL$6:$AL$505,"○")&gt;0,1,0))</f>
        <v>0</v>
      </c>
      <c r="CF61" s="39" t="n">
        <f aca="false">IF(CF$4=0,0,IF(COUNTIFS(実績!$W$6:$W$505,CF$3,実績!$AI$6:$AI$505,"&lt;="&amp;$A61,実績!$AJ$6:$AJ$505,"&gt;"&amp;$A61,実績!$AL$6:$AL$505,"○")&gt;0,1,0))</f>
        <v>0</v>
      </c>
      <c r="CG61" s="39" t="n">
        <f aca="false">IF(CG$4=0,0,IF(COUNTIFS(実績!$W$6:$W$505,CG$3,実績!$AI$6:$AI$505,"&lt;="&amp;$A61,実績!$AJ$6:$AJ$505,"&gt;"&amp;$A61,実績!$AL$6:$AL$505,"○")&gt;0,1,0))</f>
        <v>0</v>
      </c>
      <c r="CH61" s="39" t="n">
        <f aca="false">IF(CH$4=0,0,IF(COUNTIFS(実績!$W$6:$W$505,CH$3,実績!$AI$6:$AI$505,"&lt;="&amp;$A61,実績!$AJ$6:$AJ$505,"&gt;"&amp;$A61,実績!$AL$6:$AL$505,"○")&gt;0,1,0))</f>
        <v>0</v>
      </c>
      <c r="CI61" s="39" t="n">
        <f aca="false">IF(CI$4=0,0,IF(COUNTIFS(実績!$W$6:$W$505,CI$3,実績!$AI$6:$AI$505,"&lt;="&amp;$A61,実績!$AJ$6:$AJ$505,"&gt;"&amp;$A61,実績!$AL$6:$AL$505,"○")&gt;0,1,0))</f>
        <v>0</v>
      </c>
      <c r="CJ61" s="39" t="n">
        <f aca="false">IF(CJ$4=0,0,IF(COUNTIFS(実績!$W$6:$W$505,CJ$3,実績!$AI$6:$AI$505,"&lt;="&amp;$A61,実績!$AJ$6:$AJ$505,"&gt;"&amp;$A61,実績!$AL$6:$AL$505,"○")&gt;0,1,0))</f>
        <v>0</v>
      </c>
      <c r="CK61" s="39" t="n">
        <f aca="false">IF(CK$4=0,0,IF(COUNTIFS(実績!$W$6:$W$505,CK$3,実績!$AI$6:$AI$505,"&lt;="&amp;$A61,実績!$AJ$6:$AJ$505,"&gt;"&amp;$A61,実績!$AL$6:$AL$505,"○")&gt;0,1,0))</f>
        <v>0</v>
      </c>
      <c r="CL61" s="39" t="n">
        <f aca="false">IF(CL$4=0,0,IF(COUNTIFS(実績!$W$6:$W$505,CL$3,実績!$AI$6:$AI$505,"&lt;="&amp;$A61,実績!$AJ$6:$AJ$505,"&gt;"&amp;$A61,実績!$AL$6:$AL$505,"○")&gt;0,1,0))</f>
        <v>0</v>
      </c>
      <c r="CM61" s="39" t="n">
        <f aca="false">IF(CM$4=0,0,IF(COUNTIFS(実績!$W$6:$W$505,CM$3,実績!$AI$6:$AI$505,"&lt;="&amp;$A61,実績!$AJ$6:$AJ$505,"&gt;"&amp;$A61,実績!$AL$6:$AL$505,"○")&gt;0,1,0))</f>
        <v>0</v>
      </c>
      <c r="CN61" s="39" t="n">
        <f aca="false">IF(CN$4=0,0,IF(COUNTIFS(実績!$W$6:$W$505,CN$3,実績!$AI$6:$AI$505,"&lt;="&amp;$A61,実績!$AJ$6:$AJ$505,"&gt;"&amp;$A61,実績!$AL$6:$AL$505,"○")&gt;0,1,0))</f>
        <v>0</v>
      </c>
      <c r="CO61" s="39" t="n">
        <f aca="false">IF(CO$4=0,0,IF(COUNTIFS(実績!$W$6:$W$505,CO$3,実績!$AI$6:$AI$505,"&lt;="&amp;$A61,実績!$AJ$6:$AJ$505,"&gt;"&amp;$A61,実績!$AL$6:$AL$505,"○")&gt;0,1,0))</f>
        <v>0</v>
      </c>
      <c r="CP61" s="39" t="n">
        <f aca="false">IF(CP$4=0,0,IF(COUNTIFS(実績!$W$6:$W$505,CP$3,実績!$AI$6:$AI$505,"&lt;="&amp;$A61,実績!$AJ$6:$AJ$505,"&gt;"&amp;$A61,実績!$AL$6:$AL$505,"○")&gt;0,1,0))</f>
        <v>0</v>
      </c>
      <c r="CQ61" s="39" t="n">
        <f aca="false">IF(CQ$4=0,0,IF(COUNTIFS(実績!$W$6:$W$505,CQ$3,実績!$AI$6:$AI$505,"&lt;="&amp;$A61,実績!$AJ$6:$AJ$505,"&gt;"&amp;$A61,実績!$AL$6:$AL$505,"○")&gt;0,1,0))</f>
        <v>0</v>
      </c>
      <c r="CR61" s="39" t="n">
        <f aca="false">IF(CR$4=0,0,IF(COUNTIFS(実績!$W$6:$W$505,CR$3,実績!$AI$6:$AI$505,"&lt;="&amp;$A61,実績!$AJ$6:$AJ$505,"&gt;"&amp;$A61,実績!$AL$6:$AL$505,"○")&gt;0,1,0))</f>
        <v>0</v>
      </c>
      <c r="CS61" s="39" t="n">
        <f aca="false">IF(CS$4=0,0,IF(COUNTIFS(実績!$W$6:$W$505,CS$3,実績!$AI$6:$AI$505,"&lt;="&amp;$A61,実績!$AJ$6:$AJ$505,"&gt;"&amp;$A61,実績!$AL$6:$AL$505,"○")&gt;0,1,0))</f>
        <v>0</v>
      </c>
      <c r="CT61" s="39" t="n">
        <f aca="false">IF(CT$4=0,0,IF(COUNTIFS(実績!$W$6:$W$505,CT$3,実績!$AI$6:$AI$505,"&lt;="&amp;$A61,実績!$AJ$6:$AJ$505,"&gt;"&amp;$A61,実績!$AL$6:$AL$505,"○")&gt;0,1,0))</f>
        <v>0</v>
      </c>
      <c r="CU61" s="39" t="n">
        <f aca="false">IF(CU$4=0,0,IF(COUNTIFS(実績!$W$6:$W$505,CU$3,実績!$AI$6:$AI$505,"&lt;="&amp;$A61,実績!$AJ$6:$AJ$505,"&gt;"&amp;$A61,実績!$AL$6:$AL$505,"○")&gt;0,1,0))</f>
        <v>0</v>
      </c>
      <c r="CV61" s="39" t="n">
        <f aca="false">IF(CV$4=0,0,IF(COUNTIFS(実績!$W$6:$W$505,CV$3,実績!$AI$6:$AI$505,"&lt;="&amp;$A61,実績!$AJ$6:$AJ$505,"&gt;"&amp;$A61,実績!$AL$6:$AL$505,"○")&gt;0,1,0))</f>
        <v>0</v>
      </c>
      <c r="CW61" s="39" t="n">
        <f aca="false">IF(CW$4=0,0,IF(COUNTIFS(実績!$W$6:$W$505,CW$3,実績!$AI$6:$AI$505,"&lt;="&amp;$A61,実績!$AJ$6:$AJ$505,"&gt;"&amp;$A61,実績!$AL$6:$AL$505,"○")&gt;0,1,0))</f>
        <v>0</v>
      </c>
      <c r="CX61" s="39" t="n">
        <f aca="false">IF(CX$4=0,0,IF(COUNTIFS(実績!$W$6:$W$505,CX$3,実績!$AI$6:$AI$505,"&lt;="&amp;$A61,実績!$AJ$6:$AJ$505,"&gt;"&amp;$A61,実績!$AL$6:$AL$505,"○")&gt;0,1,0))</f>
        <v>0</v>
      </c>
      <c r="CY61" s="39" t="n">
        <f aca="false">IF(CY$4=0,0,IF(COUNTIFS(実績!$W$6:$W$505,CY$3,実績!$AI$6:$AI$505,"&lt;="&amp;$A61,実績!$AJ$6:$AJ$505,"&gt;"&amp;$A61,実績!$AL$6:$AL$505,"○")&gt;0,1,0))</f>
        <v>0</v>
      </c>
      <c r="CZ61" s="39" t="n">
        <f aca="false">IF(CZ$4=0,0,IF(COUNTIFS(実績!$W$6:$W$505,CZ$3,実績!$AI$6:$AI$505,"&lt;="&amp;$A61,実績!$AJ$6:$AJ$505,"&gt;"&amp;$A61,実績!$AL$6:$AL$505,"○")&gt;0,1,0))</f>
        <v>0</v>
      </c>
      <c r="DA61" s="39" t="n">
        <f aca="false">IF(DA$4=0,0,IF(COUNTIFS(実績!$W$6:$W$505,DA$3,実績!$AI$6:$AI$505,"&lt;="&amp;$A61,実績!$AJ$6:$AJ$505,"&gt;"&amp;$A61,実績!$AL$6:$AL$505,"○")&gt;0,1,0))</f>
        <v>0</v>
      </c>
      <c r="DB61" s="39" t="n">
        <f aca="false">IF(DB$4=0,0,IF(COUNTIFS(実績!$W$6:$W$505,DB$3,実績!$AI$6:$AI$505,"&lt;="&amp;$A61,実績!$AJ$6:$AJ$505,"&gt;"&amp;$A61,実績!$AL$6:$AL$505,"○")&gt;0,1,0))</f>
        <v>0</v>
      </c>
      <c r="DC61" s="39" t="n">
        <f aca="false">IF(DC$4=0,0,IF(COUNTIFS(実績!$W$6:$W$505,DC$3,実績!$AI$6:$AI$505,"&lt;="&amp;$A61,実績!$AJ$6:$AJ$505,"&gt;"&amp;$A61,実績!$AL$6:$AL$505,"○")&gt;0,1,0))</f>
        <v>0</v>
      </c>
      <c r="DD61" s="39" t="n">
        <f aca="false">IF(DD$4=0,0,IF(COUNTIFS(実績!$W$6:$W$505,DD$3,実績!$AI$6:$AI$505,"&lt;="&amp;$A61,実績!$AJ$6:$AJ$505,"&gt;"&amp;$A61,実績!$AL$6:$AL$505,"○")&gt;0,1,0))</f>
        <v>0</v>
      </c>
      <c r="DE61" s="39" t="n">
        <f aca="false">IF(DE$4=0,0,IF(COUNTIFS(実績!$W$6:$W$505,DE$3,実績!$AI$6:$AI$505,"&lt;="&amp;$A61,実績!$AJ$6:$AJ$505,"&gt;"&amp;$A61,実績!$AL$6:$AL$505,"○")&gt;0,1,0))</f>
        <v>0</v>
      </c>
      <c r="DF61" s="39" t="n">
        <f aca="false">IF(DF$4=0,0,IF(COUNTIFS(実績!$W$6:$W$505,DF$3,実績!$AI$6:$AI$505,"&lt;="&amp;$A61,実績!$AJ$6:$AJ$505,"&gt;"&amp;$A61,実績!$AL$6:$AL$505,"○")&gt;0,1,0))</f>
        <v>0</v>
      </c>
      <c r="DG61" s="39" t="n">
        <f aca="false">IF(DG$4=0,0,IF(COUNTIFS(実績!$W$6:$W$505,DG$3,実績!$AI$6:$AI$505,"&lt;="&amp;$A61,実績!$AJ$6:$AJ$505,"&gt;"&amp;$A61,実績!$AL$6:$AL$505,"○")&gt;0,1,0))</f>
        <v>0</v>
      </c>
      <c r="DH61" s="39" t="n">
        <f aca="false">IF(DH$4=0,0,IF(COUNTIFS(実績!$W$6:$W$505,DH$3,実績!$AI$6:$AI$505,"&lt;="&amp;$A61,実績!$AJ$6:$AJ$505,"&gt;"&amp;$A61,実績!$AL$6:$AL$505,"○")&gt;0,1,0))</f>
        <v>0</v>
      </c>
      <c r="DI61" s="39" t="n">
        <f aca="false">IF(DI$4=0,0,IF(COUNTIFS(実績!$W$6:$W$505,DI$3,実績!$AI$6:$AI$505,"&lt;="&amp;$A61,実績!$AJ$6:$AJ$505,"&gt;"&amp;$A61,実績!$AL$6:$AL$505,"○")&gt;0,1,0))</f>
        <v>0</v>
      </c>
      <c r="DJ61" s="39" t="n">
        <f aca="false">IF(DJ$4=0,0,IF(COUNTIFS(実績!$W$6:$W$505,DJ$3,実績!$AI$6:$AI$505,"&lt;="&amp;$A61,実績!$AJ$6:$AJ$505,"&gt;"&amp;$A61,実績!$AL$6:$AL$505,"○")&gt;0,1,0))</f>
        <v>0</v>
      </c>
      <c r="DK61" s="39" t="n">
        <f aca="false">IF(DK$4=0,0,IF(COUNTIFS(実績!$W$6:$W$505,DK$3,実績!$AI$6:$AI$505,"&lt;="&amp;$A61,実績!$AJ$6:$AJ$505,"&gt;"&amp;$A61,実績!$AL$6:$AL$505,"○")&gt;0,1,0))</f>
        <v>0</v>
      </c>
      <c r="DL61" s="39" t="n">
        <f aca="false">IF(DL$4=0,0,IF(COUNTIFS(実績!$W$6:$W$505,DL$3,実績!$AI$6:$AI$505,"&lt;="&amp;$A61,実績!$AJ$6:$AJ$505,"&gt;"&amp;$A61,実績!$AL$6:$AL$505,"○")&gt;0,1,0))</f>
        <v>0</v>
      </c>
      <c r="DM61" s="39" t="n">
        <f aca="false">IF(DM$4=0,0,IF(COUNTIFS(実績!$W$6:$W$505,DM$3,実績!$AI$6:$AI$505,"&lt;="&amp;$A61,実績!$AJ$6:$AJ$505,"&gt;"&amp;$A61,実績!$AL$6:$AL$505,"○")&gt;0,1,0))</f>
        <v>0</v>
      </c>
      <c r="DN61" s="39" t="n">
        <f aca="false">IF(DN$4=0,0,IF(COUNTIFS(実績!$W$6:$W$505,DN$3,実績!$AI$6:$AI$505,"&lt;="&amp;$A61,実績!$AJ$6:$AJ$505,"&gt;"&amp;$A61,実績!$AL$6:$AL$505,"○")&gt;0,1,0))</f>
        <v>0</v>
      </c>
      <c r="DO61" s="39" t="n">
        <f aca="false">IF(DO$4=0,0,IF(COUNTIFS(実績!$W$6:$W$505,DO$3,実績!$AI$6:$AI$505,"&lt;="&amp;$A61,実績!$AJ$6:$AJ$505,"&gt;"&amp;$A61,実績!$AL$6:$AL$505,"○")&gt;0,1,0))</f>
        <v>0</v>
      </c>
      <c r="DP61" s="39" t="n">
        <f aca="false">IF(DP$4=0,0,IF(COUNTIFS(実績!$W$6:$W$505,DP$3,実績!$AI$6:$AI$505,"&lt;="&amp;$A61,実績!$AJ$6:$AJ$505,"&gt;"&amp;$A61,実績!$AL$6:$AL$505,"○")&gt;0,1,0))</f>
        <v>0</v>
      </c>
      <c r="DQ61" s="39" t="n">
        <f aca="false">IF(DQ$4=0,0,IF(COUNTIFS(実績!$W$6:$W$505,DQ$3,実績!$AI$6:$AI$505,"&lt;="&amp;$A61,実績!$AJ$6:$AJ$505,"&gt;"&amp;$A61,実績!$AL$6:$AL$505,"○")&gt;0,1,0))</f>
        <v>0</v>
      </c>
      <c r="DR61" s="39" t="n">
        <f aca="false">IF(DR$4=0,0,IF(COUNTIFS(実績!$W$6:$W$505,DR$3,実績!$AI$6:$AI$505,"&lt;="&amp;$A61,実績!$AJ$6:$AJ$505,"&gt;"&amp;$A61,実績!$AL$6:$AL$505,"○")&gt;0,1,0))</f>
        <v>0</v>
      </c>
      <c r="DS61" s="39" t="n">
        <f aca="false">SUM(C61:DR61)</f>
        <v>0</v>
      </c>
    </row>
    <row r="62" customFormat="false" ht="15" hidden="false" customHeight="false" outlineLevel="0" collapsed="false">
      <c r="A62" s="0" t="n">
        <v>280</v>
      </c>
      <c r="B62" s="38" t="n">
        <f aca="false">A62/1440</f>
        <v>0.194444444444444</v>
      </c>
      <c r="C62" s="39" t="n">
        <f aca="false">IF(C$4=0,0,IF(COUNTIFS(実績!$W$6:$W$505,C$3,実績!$AI$6:$AI$505,"&lt;="&amp;$A62,実績!$AJ$6:$AJ$505,"&gt;"&amp;$A62,実績!$AL$6:$AL$505,"○")&gt;0,1,0))</f>
        <v>0</v>
      </c>
      <c r="D62" s="39" t="n">
        <f aca="false">IF(D$4=0,0,IF(COUNTIFS(実績!$W$6:$W$505,D$3,実績!$AI$6:$AI$505,"&lt;="&amp;$A62,実績!$AJ$6:$AJ$505,"&gt;"&amp;$A62,実績!$AL$6:$AL$505,"○")&gt;0,1,0))</f>
        <v>0</v>
      </c>
      <c r="E62" s="39" t="n">
        <f aca="false">IF(E$4=0,0,IF(COUNTIFS(実績!$W$6:$W$505,E$3,実績!$AI$6:$AI$505,"&lt;="&amp;$A62,実績!$AJ$6:$AJ$505,"&gt;"&amp;$A62,実績!$AL$6:$AL$505,"○")&gt;0,1,0))</f>
        <v>0</v>
      </c>
      <c r="F62" s="39" t="n">
        <f aca="false">IF(F$4=0,0,IF(COUNTIFS(実績!$W$6:$W$505,F$3,実績!$AI$6:$AI$505,"&lt;="&amp;$A62,実績!$AJ$6:$AJ$505,"&gt;"&amp;$A62,実績!$AL$6:$AL$505,"○")&gt;0,1,0))</f>
        <v>0</v>
      </c>
      <c r="G62" s="39" t="n">
        <f aca="false">IF(G$4=0,0,IF(COUNTIFS(実績!$W$6:$W$505,G$3,実績!$AI$6:$AI$505,"&lt;="&amp;$A62,実績!$AJ$6:$AJ$505,"&gt;"&amp;$A62,実績!$AL$6:$AL$505,"○")&gt;0,1,0))</f>
        <v>0</v>
      </c>
      <c r="H62" s="39" t="n">
        <f aca="false">IF(H$4=0,0,IF(COUNTIFS(実績!$W$6:$W$505,H$3,実績!$AI$6:$AI$505,"&lt;="&amp;$A62,実績!$AJ$6:$AJ$505,"&gt;"&amp;$A62,実績!$AL$6:$AL$505,"○")&gt;0,1,0))</f>
        <v>0</v>
      </c>
      <c r="I62" s="39" t="n">
        <f aca="false">IF(I$4=0,0,IF(COUNTIFS(実績!$W$6:$W$505,I$3,実績!$AI$6:$AI$505,"&lt;="&amp;$A62,実績!$AJ$6:$AJ$505,"&gt;"&amp;$A62,実績!$AL$6:$AL$505,"○")&gt;0,1,0))</f>
        <v>0</v>
      </c>
      <c r="J62" s="39" t="n">
        <f aca="false">IF(J$4=0,0,IF(COUNTIFS(実績!$W$6:$W$505,J$3,実績!$AI$6:$AI$505,"&lt;="&amp;$A62,実績!$AJ$6:$AJ$505,"&gt;"&amp;$A62,実績!$AL$6:$AL$505,"○")&gt;0,1,0))</f>
        <v>0</v>
      </c>
      <c r="K62" s="39" t="n">
        <f aca="false">IF(K$4=0,0,IF(COUNTIFS(実績!$W$6:$W$505,K$3,実績!$AI$6:$AI$505,"&lt;="&amp;$A62,実績!$AJ$6:$AJ$505,"&gt;"&amp;$A62,実績!$AL$6:$AL$505,"○")&gt;0,1,0))</f>
        <v>0</v>
      </c>
      <c r="L62" s="39" t="n">
        <f aca="false">IF(L$4=0,0,IF(COUNTIFS(実績!$W$6:$W$505,L$3,実績!$AI$6:$AI$505,"&lt;="&amp;$A62,実績!$AJ$6:$AJ$505,"&gt;"&amp;$A62,実績!$AL$6:$AL$505,"○")&gt;0,1,0))</f>
        <v>0</v>
      </c>
      <c r="M62" s="39" t="n">
        <f aca="false">IF(M$4=0,0,IF(COUNTIFS(実績!$W$6:$W$505,M$3,実績!$AI$6:$AI$505,"&lt;="&amp;$A62,実績!$AJ$6:$AJ$505,"&gt;"&amp;$A62,実績!$AL$6:$AL$505,"○")&gt;0,1,0))</f>
        <v>0</v>
      </c>
      <c r="N62" s="39" t="n">
        <f aca="false">IF(N$4=0,0,IF(COUNTIFS(実績!$W$6:$W$505,N$3,実績!$AI$6:$AI$505,"&lt;="&amp;$A62,実績!$AJ$6:$AJ$505,"&gt;"&amp;$A62,実績!$AL$6:$AL$505,"○")&gt;0,1,0))</f>
        <v>0</v>
      </c>
      <c r="O62" s="39" t="n">
        <f aca="false">IF(O$4=0,0,IF(COUNTIFS(実績!$W$6:$W$505,O$3,実績!$AI$6:$AI$505,"&lt;="&amp;$A62,実績!$AJ$6:$AJ$505,"&gt;"&amp;$A62,実績!$AL$6:$AL$505,"○")&gt;0,1,0))</f>
        <v>0</v>
      </c>
      <c r="P62" s="39" t="n">
        <f aca="false">IF(P$4=0,0,IF(COUNTIFS(実績!$W$6:$W$505,P$3,実績!$AI$6:$AI$505,"&lt;="&amp;$A62,実績!$AJ$6:$AJ$505,"&gt;"&amp;$A62,実績!$AL$6:$AL$505,"○")&gt;0,1,0))</f>
        <v>0</v>
      </c>
      <c r="Q62" s="39" t="n">
        <f aca="false">IF(Q$4=0,0,IF(COUNTIFS(実績!$W$6:$W$505,Q$3,実績!$AI$6:$AI$505,"&lt;="&amp;$A62,実績!$AJ$6:$AJ$505,"&gt;"&amp;$A62,実績!$AL$6:$AL$505,"○")&gt;0,1,0))</f>
        <v>0</v>
      </c>
      <c r="R62" s="39" t="n">
        <f aca="false">IF(R$4=0,0,IF(COUNTIFS(実績!$W$6:$W$505,R$3,実績!$AI$6:$AI$505,"&lt;="&amp;$A62,実績!$AJ$6:$AJ$505,"&gt;"&amp;$A62,実績!$AL$6:$AL$505,"○")&gt;0,1,0))</f>
        <v>0</v>
      </c>
      <c r="S62" s="39" t="n">
        <f aca="false">IF(S$4=0,0,IF(COUNTIFS(実績!$W$6:$W$505,S$3,実績!$AI$6:$AI$505,"&lt;="&amp;$A62,実績!$AJ$6:$AJ$505,"&gt;"&amp;$A62,実績!$AL$6:$AL$505,"○")&gt;0,1,0))</f>
        <v>0</v>
      </c>
      <c r="T62" s="39" t="n">
        <f aca="false">IF(T$4=0,0,IF(COUNTIFS(実績!$W$6:$W$505,T$3,実績!$AI$6:$AI$505,"&lt;="&amp;$A62,実績!$AJ$6:$AJ$505,"&gt;"&amp;$A62,実績!$AL$6:$AL$505,"○")&gt;0,1,0))</f>
        <v>0</v>
      </c>
      <c r="U62" s="39" t="n">
        <f aca="false">IF(U$4=0,0,IF(COUNTIFS(実績!$W$6:$W$505,U$3,実績!$AI$6:$AI$505,"&lt;="&amp;$A62,実績!$AJ$6:$AJ$505,"&gt;"&amp;$A62,実績!$AL$6:$AL$505,"○")&gt;0,1,0))</f>
        <v>0</v>
      </c>
      <c r="V62" s="39" t="n">
        <f aca="false">IF(V$4=0,0,IF(COUNTIFS(実績!$W$6:$W$505,V$3,実績!$AI$6:$AI$505,"&lt;="&amp;$A62,実績!$AJ$6:$AJ$505,"&gt;"&amp;$A62,実績!$AL$6:$AL$505,"○")&gt;0,1,0))</f>
        <v>0</v>
      </c>
      <c r="W62" s="39" t="n">
        <f aca="false">IF(W$4=0,0,IF(COUNTIFS(実績!$W$6:$W$505,W$3,実績!$AI$6:$AI$505,"&lt;="&amp;$A62,実績!$AJ$6:$AJ$505,"&gt;"&amp;$A62,実績!$AL$6:$AL$505,"○")&gt;0,1,0))</f>
        <v>0</v>
      </c>
      <c r="X62" s="39" t="n">
        <f aca="false">IF(X$4=0,0,IF(COUNTIFS(実績!$W$6:$W$505,X$3,実績!$AI$6:$AI$505,"&lt;="&amp;$A62,実績!$AJ$6:$AJ$505,"&gt;"&amp;$A62,実績!$AL$6:$AL$505,"○")&gt;0,1,0))</f>
        <v>0</v>
      </c>
      <c r="Y62" s="39" t="n">
        <f aca="false">IF(Y$4=0,0,IF(COUNTIFS(実績!$W$6:$W$505,Y$3,実績!$AI$6:$AI$505,"&lt;="&amp;$A62,実績!$AJ$6:$AJ$505,"&gt;"&amp;$A62,実績!$AL$6:$AL$505,"○")&gt;0,1,0))</f>
        <v>0</v>
      </c>
      <c r="Z62" s="39" t="n">
        <f aca="false">IF(Z$4=0,0,IF(COUNTIFS(実績!$W$6:$W$505,Z$3,実績!$AI$6:$AI$505,"&lt;="&amp;$A62,実績!$AJ$6:$AJ$505,"&gt;"&amp;$A62,実績!$AL$6:$AL$505,"○")&gt;0,1,0))</f>
        <v>0</v>
      </c>
      <c r="AA62" s="39" t="n">
        <f aca="false">IF(AA$4=0,0,IF(COUNTIFS(実績!$W$6:$W$505,AA$3,実績!$AI$6:$AI$505,"&lt;="&amp;$A62,実績!$AJ$6:$AJ$505,"&gt;"&amp;$A62,実績!$AL$6:$AL$505,"○")&gt;0,1,0))</f>
        <v>0</v>
      </c>
      <c r="AB62" s="39" t="n">
        <f aca="false">IF(AB$4=0,0,IF(COUNTIFS(実績!$W$6:$W$505,AB$3,実績!$AI$6:$AI$505,"&lt;="&amp;$A62,実績!$AJ$6:$AJ$505,"&gt;"&amp;$A62,実績!$AL$6:$AL$505,"○")&gt;0,1,0))</f>
        <v>0</v>
      </c>
      <c r="AC62" s="39" t="n">
        <f aca="false">IF(AC$4=0,0,IF(COUNTIFS(実績!$W$6:$W$505,AC$3,実績!$AI$6:$AI$505,"&lt;="&amp;$A62,実績!$AJ$6:$AJ$505,"&gt;"&amp;$A62,実績!$AL$6:$AL$505,"○")&gt;0,1,0))</f>
        <v>0</v>
      </c>
      <c r="AD62" s="39" t="n">
        <f aca="false">IF(AD$4=0,0,IF(COUNTIFS(実績!$W$6:$W$505,AD$3,実績!$AI$6:$AI$505,"&lt;="&amp;$A62,実績!$AJ$6:$AJ$505,"&gt;"&amp;$A62,実績!$AL$6:$AL$505,"○")&gt;0,1,0))</f>
        <v>0</v>
      </c>
      <c r="AE62" s="39" t="n">
        <f aca="false">IF(AE$4=0,0,IF(COUNTIFS(実績!$W$6:$W$505,AE$3,実績!$AI$6:$AI$505,"&lt;="&amp;$A62,実績!$AJ$6:$AJ$505,"&gt;"&amp;$A62,実績!$AL$6:$AL$505,"○")&gt;0,1,0))</f>
        <v>0</v>
      </c>
      <c r="AF62" s="39" t="n">
        <f aca="false">IF(AF$4=0,0,IF(COUNTIFS(実績!$W$6:$W$505,AF$3,実績!$AI$6:$AI$505,"&lt;="&amp;$A62,実績!$AJ$6:$AJ$505,"&gt;"&amp;$A62,実績!$AL$6:$AL$505,"○")&gt;0,1,0))</f>
        <v>0</v>
      </c>
      <c r="AG62" s="39" t="n">
        <f aca="false">IF(AG$4=0,0,IF(COUNTIFS(実績!$W$6:$W$505,AG$3,実績!$AI$6:$AI$505,"&lt;="&amp;$A62,実績!$AJ$6:$AJ$505,"&gt;"&amp;$A62,実績!$AL$6:$AL$505,"○")&gt;0,1,0))</f>
        <v>0</v>
      </c>
      <c r="AH62" s="39" t="n">
        <f aca="false">IF(AH$4=0,0,IF(COUNTIFS(実績!$W$6:$W$505,AH$3,実績!$AI$6:$AI$505,"&lt;="&amp;$A62,実績!$AJ$6:$AJ$505,"&gt;"&amp;$A62,実績!$AL$6:$AL$505,"○")&gt;0,1,0))</f>
        <v>0</v>
      </c>
      <c r="AI62" s="39" t="n">
        <f aca="false">IF(AI$4=0,0,IF(COUNTIFS(実績!$W$6:$W$505,AI$3,実績!$AI$6:$AI$505,"&lt;="&amp;$A62,実績!$AJ$6:$AJ$505,"&gt;"&amp;$A62,実績!$AL$6:$AL$505,"○")&gt;0,1,0))</f>
        <v>0</v>
      </c>
      <c r="AJ62" s="39" t="n">
        <f aca="false">IF(AJ$4=0,0,IF(COUNTIFS(実績!$W$6:$W$505,AJ$3,実績!$AI$6:$AI$505,"&lt;="&amp;$A62,実績!$AJ$6:$AJ$505,"&gt;"&amp;$A62,実績!$AL$6:$AL$505,"○")&gt;0,1,0))</f>
        <v>0</v>
      </c>
      <c r="AK62" s="39" t="n">
        <f aca="false">IF(AK$4=0,0,IF(COUNTIFS(実績!$W$6:$W$505,AK$3,実績!$AI$6:$AI$505,"&lt;="&amp;$A62,実績!$AJ$6:$AJ$505,"&gt;"&amp;$A62,実績!$AL$6:$AL$505,"○")&gt;0,1,0))</f>
        <v>0</v>
      </c>
      <c r="AL62" s="39" t="n">
        <f aca="false">IF(AL$4=0,0,IF(COUNTIFS(実績!$W$6:$W$505,AL$3,実績!$AI$6:$AI$505,"&lt;="&amp;$A62,実績!$AJ$6:$AJ$505,"&gt;"&amp;$A62,実績!$AL$6:$AL$505,"○")&gt;0,1,0))</f>
        <v>0</v>
      </c>
      <c r="AM62" s="39" t="n">
        <f aca="false">IF(AM$4=0,0,IF(COUNTIFS(実績!$W$6:$W$505,AM$3,実績!$AI$6:$AI$505,"&lt;="&amp;$A62,実績!$AJ$6:$AJ$505,"&gt;"&amp;$A62,実績!$AL$6:$AL$505,"○")&gt;0,1,0))</f>
        <v>0</v>
      </c>
      <c r="AN62" s="39" t="n">
        <f aca="false">IF(AN$4=0,0,IF(COUNTIFS(実績!$W$6:$W$505,AN$3,実績!$AI$6:$AI$505,"&lt;="&amp;$A62,実績!$AJ$6:$AJ$505,"&gt;"&amp;$A62,実績!$AL$6:$AL$505,"○")&gt;0,1,0))</f>
        <v>0</v>
      </c>
      <c r="AO62" s="39" t="n">
        <f aca="false">IF(AO$4=0,0,IF(COUNTIFS(実績!$W$6:$W$505,AO$3,実績!$AI$6:$AI$505,"&lt;="&amp;$A62,実績!$AJ$6:$AJ$505,"&gt;"&amp;$A62,実績!$AL$6:$AL$505,"○")&gt;0,1,0))</f>
        <v>0</v>
      </c>
      <c r="AP62" s="39" t="n">
        <f aca="false">IF(AP$4=0,0,IF(COUNTIFS(実績!$W$6:$W$505,AP$3,実績!$AI$6:$AI$505,"&lt;="&amp;$A62,実績!$AJ$6:$AJ$505,"&gt;"&amp;$A62,実績!$AL$6:$AL$505,"○")&gt;0,1,0))</f>
        <v>0</v>
      </c>
      <c r="AQ62" s="39" t="n">
        <f aca="false">IF(AQ$4=0,0,IF(COUNTIFS(実績!$W$6:$W$505,AQ$3,実績!$AI$6:$AI$505,"&lt;="&amp;$A62,実績!$AJ$6:$AJ$505,"&gt;"&amp;$A62,実績!$AL$6:$AL$505,"○")&gt;0,1,0))</f>
        <v>0</v>
      </c>
      <c r="AR62" s="39" t="n">
        <f aca="false">IF(AR$4=0,0,IF(COUNTIFS(実績!$W$6:$W$505,AR$3,実績!$AI$6:$AI$505,"&lt;="&amp;$A62,実績!$AJ$6:$AJ$505,"&gt;"&amp;$A62,実績!$AL$6:$AL$505,"○")&gt;0,1,0))</f>
        <v>0</v>
      </c>
      <c r="AS62" s="39" t="n">
        <f aca="false">IF(AS$4=0,0,IF(COUNTIFS(実績!$W$6:$W$505,AS$3,実績!$AI$6:$AI$505,"&lt;="&amp;$A62,実績!$AJ$6:$AJ$505,"&gt;"&amp;$A62,実績!$AL$6:$AL$505,"○")&gt;0,1,0))</f>
        <v>0</v>
      </c>
      <c r="AT62" s="39" t="n">
        <f aca="false">IF(AT$4=0,0,IF(COUNTIFS(実績!$W$6:$W$505,AT$3,実績!$AI$6:$AI$505,"&lt;="&amp;$A62,実績!$AJ$6:$AJ$505,"&gt;"&amp;$A62,実績!$AL$6:$AL$505,"○")&gt;0,1,0))</f>
        <v>0</v>
      </c>
      <c r="AU62" s="39" t="n">
        <f aca="false">IF(AU$4=0,0,IF(COUNTIFS(実績!$W$6:$W$505,AU$3,実績!$AI$6:$AI$505,"&lt;="&amp;$A62,実績!$AJ$6:$AJ$505,"&gt;"&amp;$A62,実績!$AL$6:$AL$505,"○")&gt;0,1,0))</f>
        <v>0</v>
      </c>
      <c r="AV62" s="39" t="n">
        <f aca="false">IF(AV$4=0,0,IF(COUNTIFS(実績!$W$6:$W$505,AV$3,実績!$AI$6:$AI$505,"&lt;="&amp;$A62,実績!$AJ$6:$AJ$505,"&gt;"&amp;$A62,実績!$AL$6:$AL$505,"○")&gt;0,1,0))</f>
        <v>0</v>
      </c>
      <c r="AW62" s="39" t="n">
        <f aca="false">IF(AW$4=0,0,IF(COUNTIFS(実績!$W$6:$W$505,AW$3,実績!$AI$6:$AI$505,"&lt;="&amp;$A62,実績!$AJ$6:$AJ$505,"&gt;"&amp;$A62,実績!$AL$6:$AL$505,"○")&gt;0,1,0))</f>
        <v>0</v>
      </c>
      <c r="AX62" s="39" t="n">
        <f aca="false">IF(AX$4=0,0,IF(COUNTIFS(実績!$W$6:$W$505,AX$3,実績!$AI$6:$AI$505,"&lt;="&amp;$A62,実績!$AJ$6:$AJ$505,"&gt;"&amp;$A62,実績!$AL$6:$AL$505,"○")&gt;0,1,0))</f>
        <v>0</v>
      </c>
      <c r="AY62" s="39" t="n">
        <f aca="false">IF(AY$4=0,0,IF(COUNTIFS(実績!$W$6:$W$505,AY$3,実績!$AI$6:$AI$505,"&lt;="&amp;$A62,実績!$AJ$6:$AJ$505,"&gt;"&amp;$A62,実績!$AL$6:$AL$505,"○")&gt;0,1,0))</f>
        <v>0</v>
      </c>
      <c r="AZ62" s="39" t="n">
        <f aca="false">IF(AZ$4=0,0,IF(COUNTIFS(実績!$W$6:$W$505,AZ$3,実績!$AI$6:$AI$505,"&lt;="&amp;$A62,実績!$AJ$6:$AJ$505,"&gt;"&amp;$A62,実績!$AL$6:$AL$505,"○")&gt;0,1,0))</f>
        <v>0</v>
      </c>
      <c r="BA62" s="39" t="n">
        <f aca="false">IF(BA$4=0,0,IF(COUNTIFS(実績!$W$6:$W$505,BA$3,実績!$AI$6:$AI$505,"&lt;="&amp;$A62,実績!$AJ$6:$AJ$505,"&gt;"&amp;$A62,実績!$AL$6:$AL$505,"○")&gt;0,1,0))</f>
        <v>0</v>
      </c>
      <c r="BB62" s="39" t="n">
        <f aca="false">IF(BB$4=0,0,IF(COUNTIFS(実績!$W$6:$W$505,BB$3,実績!$AI$6:$AI$505,"&lt;="&amp;$A62,実績!$AJ$6:$AJ$505,"&gt;"&amp;$A62,実績!$AL$6:$AL$505,"○")&gt;0,1,0))</f>
        <v>0</v>
      </c>
      <c r="BC62" s="39" t="n">
        <f aca="false">IF(BC$4=0,0,IF(COUNTIFS(実績!$W$6:$W$505,BC$3,実績!$AI$6:$AI$505,"&lt;="&amp;$A62,実績!$AJ$6:$AJ$505,"&gt;"&amp;$A62,実績!$AL$6:$AL$505,"○")&gt;0,1,0))</f>
        <v>0</v>
      </c>
      <c r="BD62" s="39" t="n">
        <f aca="false">IF(BD$4=0,0,IF(COUNTIFS(実績!$W$6:$W$505,BD$3,実績!$AI$6:$AI$505,"&lt;="&amp;$A62,実績!$AJ$6:$AJ$505,"&gt;"&amp;$A62,実績!$AL$6:$AL$505,"○")&gt;0,1,0))</f>
        <v>0</v>
      </c>
      <c r="BE62" s="39" t="n">
        <f aca="false">IF(BE$4=0,0,IF(COUNTIFS(実績!$W$6:$W$505,BE$3,実績!$AI$6:$AI$505,"&lt;="&amp;$A62,実績!$AJ$6:$AJ$505,"&gt;"&amp;$A62,実績!$AL$6:$AL$505,"○")&gt;0,1,0))</f>
        <v>0</v>
      </c>
      <c r="BF62" s="39" t="n">
        <f aca="false">IF(BF$4=0,0,IF(COUNTIFS(実績!$W$6:$W$505,BF$3,実績!$AI$6:$AI$505,"&lt;="&amp;$A62,実績!$AJ$6:$AJ$505,"&gt;"&amp;$A62,実績!$AL$6:$AL$505,"○")&gt;0,1,0))</f>
        <v>0</v>
      </c>
      <c r="BG62" s="39" t="n">
        <f aca="false">IF(BG$4=0,0,IF(COUNTIFS(実績!$W$6:$W$505,BG$3,実績!$AI$6:$AI$505,"&lt;="&amp;$A62,実績!$AJ$6:$AJ$505,"&gt;"&amp;$A62,実績!$AL$6:$AL$505,"○")&gt;0,1,0))</f>
        <v>0</v>
      </c>
      <c r="BH62" s="39" t="n">
        <f aca="false">IF(BH$4=0,0,IF(COUNTIFS(実績!$W$6:$W$505,BH$3,実績!$AI$6:$AI$505,"&lt;="&amp;$A62,実績!$AJ$6:$AJ$505,"&gt;"&amp;$A62,実績!$AL$6:$AL$505,"○")&gt;0,1,0))</f>
        <v>0</v>
      </c>
      <c r="BI62" s="39" t="n">
        <f aca="false">IF(BI$4=0,0,IF(COUNTIFS(実績!$W$6:$W$505,BI$3,実績!$AI$6:$AI$505,"&lt;="&amp;$A62,実績!$AJ$6:$AJ$505,"&gt;"&amp;$A62,実績!$AL$6:$AL$505,"○")&gt;0,1,0))</f>
        <v>0</v>
      </c>
      <c r="BJ62" s="39" t="n">
        <f aca="false">IF(BJ$4=0,0,IF(COUNTIFS(実績!$W$6:$W$505,BJ$3,実績!$AI$6:$AI$505,"&lt;="&amp;$A62,実績!$AJ$6:$AJ$505,"&gt;"&amp;$A62,実績!$AL$6:$AL$505,"○")&gt;0,1,0))</f>
        <v>0</v>
      </c>
      <c r="BK62" s="39" t="n">
        <f aca="false">IF(BK$4=0,0,IF(COUNTIFS(実績!$W$6:$W$505,BK$3,実績!$AI$6:$AI$505,"&lt;="&amp;$A62,実績!$AJ$6:$AJ$505,"&gt;"&amp;$A62,実績!$AL$6:$AL$505,"○")&gt;0,1,0))</f>
        <v>0</v>
      </c>
      <c r="BL62" s="39" t="n">
        <f aca="false">IF(BL$4=0,0,IF(COUNTIFS(実績!$W$6:$W$505,BL$3,実績!$AI$6:$AI$505,"&lt;="&amp;$A62,実績!$AJ$6:$AJ$505,"&gt;"&amp;$A62,実績!$AL$6:$AL$505,"○")&gt;0,1,0))</f>
        <v>0</v>
      </c>
      <c r="BM62" s="39" t="n">
        <f aca="false">IF(BM$4=0,0,IF(COUNTIFS(実績!$W$6:$W$505,BM$3,実績!$AI$6:$AI$505,"&lt;="&amp;$A62,実績!$AJ$6:$AJ$505,"&gt;"&amp;$A62,実績!$AL$6:$AL$505,"○")&gt;0,1,0))</f>
        <v>0</v>
      </c>
      <c r="BN62" s="39" t="n">
        <f aca="false">IF(BN$4=0,0,IF(COUNTIFS(実績!$W$6:$W$505,BN$3,実績!$AI$6:$AI$505,"&lt;="&amp;$A62,実績!$AJ$6:$AJ$505,"&gt;"&amp;$A62,実績!$AL$6:$AL$505,"○")&gt;0,1,0))</f>
        <v>0</v>
      </c>
      <c r="BO62" s="39" t="n">
        <f aca="false">IF(BO$4=0,0,IF(COUNTIFS(実績!$W$6:$W$505,BO$3,実績!$AI$6:$AI$505,"&lt;="&amp;$A62,実績!$AJ$6:$AJ$505,"&gt;"&amp;$A62,実績!$AL$6:$AL$505,"○")&gt;0,1,0))</f>
        <v>0</v>
      </c>
      <c r="BP62" s="39" t="n">
        <f aca="false">IF(BP$4=0,0,IF(COUNTIFS(実績!$W$6:$W$505,BP$3,実績!$AI$6:$AI$505,"&lt;="&amp;$A62,実績!$AJ$6:$AJ$505,"&gt;"&amp;$A62,実績!$AL$6:$AL$505,"○")&gt;0,1,0))</f>
        <v>0</v>
      </c>
      <c r="BQ62" s="39" t="n">
        <f aca="false">IF(BQ$4=0,0,IF(COUNTIFS(実績!$W$6:$W$505,BQ$3,実績!$AI$6:$AI$505,"&lt;="&amp;$A62,実績!$AJ$6:$AJ$505,"&gt;"&amp;$A62,実績!$AL$6:$AL$505,"○")&gt;0,1,0))</f>
        <v>0</v>
      </c>
      <c r="BR62" s="39" t="n">
        <f aca="false">IF(BR$4=0,0,IF(COUNTIFS(実績!$W$6:$W$505,BR$3,実績!$AI$6:$AI$505,"&lt;="&amp;$A62,実績!$AJ$6:$AJ$505,"&gt;"&amp;$A62,実績!$AL$6:$AL$505,"○")&gt;0,1,0))</f>
        <v>0</v>
      </c>
      <c r="BS62" s="39" t="n">
        <f aca="false">IF(BS$4=0,0,IF(COUNTIFS(実績!$W$6:$W$505,BS$3,実績!$AI$6:$AI$505,"&lt;="&amp;$A62,実績!$AJ$6:$AJ$505,"&gt;"&amp;$A62,実績!$AL$6:$AL$505,"○")&gt;0,1,0))</f>
        <v>0</v>
      </c>
      <c r="BT62" s="39" t="n">
        <f aca="false">IF(BT$4=0,0,IF(COUNTIFS(実績!$W$6:$W$505,BT$3,実績!$AI$6:$AI$505,"&lt;="&amp;$A62,実績!$AJ$6:$AJ$505,"&gt;"&amp;$A62,実績!$AL$6:$AL$505,"○")&gt;0,1,0))</f>
        <v>0</v>
      </c>
      <c r="BU62" s="39" t="n">
        <f aca="false">IF(BU$4=0,0,IF(COUNTIFS(実績!$W$6:$W$505,BU$3,実績!$AI$6:$AI$505,"&lt;="&amp;$A62,実績!$AJ$6:$AJ$505,"&gt;"&amp;$A62,実績!$AL$6:$AL$505,"○")&gt;0,1,0))</f>
        <v>0</v>
      </c>
      <c r="BV62" s="39" t="n">
        <f aca="false">IF(BV$4=0,0,IF(COUNTIFS(実績!$W$6:$W$505,BV$3,実績!$AI$6:$AI$505,"&lt;="&amp;$A62,実績!$AJ$6:$AJ$505,"&gt;"&amp;$A62,実績!$AL$6:$AL$505,"○")&gt;0,1,0))</f>
        <v>0</v>
      </c>
      <c r="BW62" s="39" t="n">
        <f aca="false">IF(BW$4=0,0,IF(COUNTIFS(実績!$W$6:$W$505,BW$3,実績!$AI$6:$AI$505,"&lt;="&amp;$A62,実績!$AJ$6:$AJ$505,"&gt;"&amp;$A62,実績!$AL$6:$AL$505,"○")&gt;0,1,0))</f>
        <v>0</v>
      </c>
      <c r="BX62" s="39" t="n">
        <f aca="false">IF(BX$4=0,0,IF(COUNTIFS(実績!$W$6:$W$505,BX$3,実績!$AI$6:$AI$505,"&lt;="&amp;$A62,実績!$AJ$6:$AJ$505,"&gt;"&amp;$A62,実績!$AL$6:$AL$505,"○")&gt;0,1,0))</f>
        <v>0</v>
      </c>
      <c r="BY62" s="39" t="n">
        <f aca="false">IF(BY$4=0,0,IF(COUNTIFS(実績!$W$6:$W$505,BY$3,実績!$AI$6:$AI$505,"&lt;="&amp;$A62,実績!$AJ$6:$AJ$505,"&gt;"&amp;$A62,実績!$AL$6:$AL$505,"○")&gt;0,1,0))</f>
        <v>0</v>
      </c>
      <c r="BZ62" s="39" t="n">
        <f aca="false">IF(BZ$4=0,0,IF(COUNTIFS(実績!$W$6:$W$505,BZ$3,実績!$AI$6:$AI$505,"&lt;="&amp;$A62,実績!$AJ$6:$AJ$505,"&gt;"&amp;$A62,実績!$AL$6:$AL$505,"○")&gt;0,1,0))</f>
        <v>0</v>
      </c>
      <c r="CA62" s="39" t="n">
        <f aca="false">IF(CA$4=0,0,IF(COUNTIFS(実績!$W$6:$W$505,CA$3,実績!$AI$6:$AI$505,"&lt;="&amp;$A62,実績!$AJ$6:$AJ$505,"&gt;"&amp;$A62,実績!$AL$6:$AL$505,"○")&gt;0,1,0))</f>
        <v>0</v>
      </c>
      <c r="CB62" s="39" t="n">
        <f aca="false">IF(CB$4=0,0,IF(COUNTIFS(実績!$W$6:$W$505,CB$3,実績!$AI$6:$AI$505,"&lt;="&amp;$A62,実績!$AJ$6:$AJ$505,"&gt;"&amp;$A62,実績!$AL$6:$AL$505,"○")&gt;0,1,0))</f>
        <v>0</v>
      </c>
      <c r="CC62" s="39" t="n">
        <f aca="false">IF(CC$4=0,0,IF(COUNTIFS(実績!$W$6:$W$505,CC$3,実績!$AI$6:$AI$505,"&lt;="&amp;$A62,実績!$AJ$6:$AJ$505,"&gt;"&amp;$A62,実績!$AL$6:$AL$505,"○")&gt;0,1,0))</f>
        <v>0</v>
      </c>
      <c r="CD62" s="39" t="n">
        <f aca="false">IF(CD$4=0,0,IF(COUNTIFS(実績!$W$6:$W$505,CD$3,実績!$AI$6:$AI$505,"&lt;="&amp;$A62,実績!$AJ$6:$AJ$505,"&gt;"&amp;$A62,実績!$AL$6:$AL$505,"○")&gt;0,1,0))</f>
        <v>0</v>
      </c>
      <c r="CE62" s="39" t="n">
        <f aca="false">IF(CE$4=0,0,IF(COUNTIFS(実績!$W$6:$W$505,CE$3,実績!$AI$6:$AI$505,"&lt;="&amp;$A62,実績!$AJ$6:$AJ$505,"&gt;"&amp;$A62,実績!$AL$6:$AL$505,"○")&gt;0,1,0))</f>
        <v>0</v>
      </c>
      <c r="CF62" s="39" t="n">
        <f aca="false">IF(CF$4=0,0,IF(COUNTIFS(実績!$W$6:$W$505,CF$3,実績!$AI$6:$AI$505,"&lt;="&amp;$A62,実績!$AJ$6:$AJ$505,"&gt;"&amp;$A62,実績!$AL$6:$AL$505,"○")&gt;0,1,0))</f>
        <v>0</v>
      </c>
      <c r="CG62" s="39" t="n">
        <f aca="false">IF(CG$4=0,0,IF(COUNTIFS(実績!$W$6:$W$505,CG$3,実績!$AI$6:$AI$505,"&lt;="&amp;$A62,実績!$AJ$6:$AJ$505,"&gt;"&amp;$A62,実績!$AL$6:$AL$505,"○")&gt;0,1,0))</f>
        <v>0</v>
      </c>
      <c r="CH62" s="39" t="n">
        <f aca="false">IF(CH$4=0,0,IF(COUNTIFS(実績!$W$6:$W$505,CH$3,実績!$AI$6:$AI$505,"&lt;="&amp;$A62,実績!$AJ$6:$AJ$505,"&gt;"&amp;$A62,実績!$AL$6:$AL$505,"○")&gt;0,1,0))</f>
        <v>0</v>
      </c>
      <c r="CI62" s="39" t="n">
        <f aca="false">IF(CI$4=0,0,IF(COUNTIFS(実績!$W$6:$W$505,CI$3,実績!$AI$6:$AI$505,"&lt;="&amp;$A62,実績!$AJ$6:$AJ$505,"&gt;"&amp;$A62,実績!$AL$6:$AL$505,"○")&gt;0,1,0))</f>
        <v>0</v>
      </c>
      <c r="CJ62" s="39" t="n">
        <f aca="false">IF(CJ$4=0,0,IF(COUNTIFS(実績!$W$6:$W$505,CJ$3,実績!$AI$6:$AI$505,"&lt;="&amp;$A62,実績!$AJ$6:$AJ$505,"&gt;"&amp;$A62,実績!$AL$6:$AL$505,"○")&gt;0,1,0))</f>
        <v>0</v>
      </c>
      <c r="CK62" s="39" t="n">
        <f aca="false">IF(CK$4=0,0,IF(COUNTIFS(実績!$W$6:$W$505,CK$3,実績!$AI$6:$AI$505,"&lt;="&amp;$A62,実績!$AJ$6:$AJ$505,"&gt;"&amp;$A62,実績!$AL$6:$AL$505,"○")&gt;0,1,0))</f>
        <v>0</v>
      </c>
      <c r="CL62" s="39" t="n">
        <f aca="false">IF(CL$4=0,0,IF(COUNTIFS(実績!$W$6:$W$505,CL$3,実績!$AI$6:$AI$505,"&lt;="&amp;$A62,実績!$AJ$6:$AJ$505,"&gt;"&amp;$A62,実績!$AL$6:$AL$505,"○")&gt;0,1,0))</f>
        <v>0</v>
      </c>
      <c r="CM62" s="39" t="n">
        <f aca="false">IF(CM$4=0,0,IF(COUNTIFS(実績!$W$6:$W$505,CM$3,実績!$AI$6:$AI$505,"&lt;="&amp;$A62,実績!$AJ$6:$AJ$505,"&gt;"&amp;$A62,実績!$AL$6:$AL$505,"○")&gt;0,1,0))</f>
        <v>0</v>
      </c>
      <c r="CN62" s="39" t="n">
        <f aca="false">IF(CN$4=0,0,IF(COUNTIFS(実績!$W$6:$W$505,CN$3,実績!$AI$6:$AI$505,"&lt;="&amp;$A62,実績!$AJ$6:$AJ$505,"&gt;"&amp;$A62,実績!$AL$6:$AL$505,"○")&gt;0,1,0))</f>
        <v>0</v>
      </c>
      <c r="CO62" s="39" t="n">
        <f aca="false">IF(CO$4=0,0,IF(COUNTIFS(実績!$W$6:$W$505,CO$3,実績!$AI$6:$AI$505,"&lt;="&amp;$A62,実績!$AJ$6:$AJ$505,"&gt;"&amp;$A62,実績!$AL$6:$AL$505,"○")&gt;0,1,0))</f>
        <v>0</v>
      </c>
      <c r="CP62" s="39" t="n">
        <f aca="false">IF(CP$4=0,0,IF(COUNTIFS(実績!$W$6:$W$505,CP$3,実績!$AI$6:$AI$505,"&lt;="&amp;$A62,実績!$AJ$6:$AJ$505,"&gt;"&amp;$A62,実績!$AL$6:$AL$505,"○")&gt;0,1,0))</f>
        <v>0</v>
      </c>
      <c r="CQ62" s="39" t="n">
        <f aca="false">IF(CQ$4=0,0,IF(COUNTIFS(実績!$W$6:$W$505,CQ$3,実績!$AI$6:$AI$505,"&lt;="&amp;$A62,実績!$AJ$6:$AJ$505,"&gt;"&amp;$A62,実績!$AL$6:$AL$505,"○")&gt;0,1,0))</f>
        <v>0</v>
      </c>
      <c r="CR62" s="39" t="n">
        <f aca="false">IF(CR$4=0,0,IF(COUNTIFS(実績!$W$6:$W$505,CR$3,実績!$AI$6:$AI$505,"&lt;="&amp;$A62,実績!$AJ$6:$AJ$505,"&gt;"&amp;$A62,実績!$AL$6:$AL$505,"○")&gt;0,1,0))</f>
        <v>0</v>
      </c>
      <c r="CS62" s="39" t="n">
        <f aca="false">IF(CS$4=0,0,IF(COUNTIFS(実績!$W$6:$W$505,CS$3,実績!$AI$6:$AI$505,"&lt;="&amp;$A62,実績!$AJ$6:$AJ$505,"&gt;"&amp;$A62,実績!$AL$6:$AL$505,"○")&gt;0,1,0))</f>
        <v>0</v>
      </c>
      <c r="CT62" s="39" t="n">
        <f aca="false">IF(CT$4=0,0,IF(COUNTIFS(実績!$W$6:$W$505,CT$3,実績!$AI$6:$AI$505,"&lt;="&amp;$A62,実績!$AJ$6:$AJ$505,"&gt;"&amp;$A62,実績!$AL$6:$AL$505,"○")&gt;0,1,0))</f>
        <v>0</v>
      </c>
      <c r="CU62" s="39" t="n">
        <f aca="false">IF(CU$4=0,0,IF(COUNTIFS(実績!$W$6:$W$505,CU$3,実績!$AI$6:$AI$505,"&lt;="&amp;$A62,実績!$AJ$6:$AJ$505,"&gt;"&amp;$A62,実績!$AL$6:$AL$505,"○")&gt;0,1,0))</f>
        <v>0</v>
      </c>
      <c r="CV62" s="39" t="n">
        <f aca="false">IF(CV$4=0,0,IF(COUNTIFS(実績!$W$6:$W$505,CV$3,実績!$AI$6:$AI$505,"&lt;="&amp;$A62,実績!$AJ$6:$AJ$505,"&gt;"&amp;$A62,実績!$AL$6:$AL$505,"○")&gt;0,1,0))</f>
        <v>0</v>
      </c>
      <c r="CW62" s="39" t="n">
        <f aca="false">IF(CW$4=0,0,IF(COUNTIFS(実績!$W$6:$W$505,CW$3,実績!$AI$6:$AI$505,"&lt;="&amp;$A62,実績!$AJ$6:$AJ$505,"&gt;"&amp;$A62,実績!$AL$6:$AL$505,"○")&gt;0,1,0))</f>
        <v>0</v>
      </c>
      <c r="CX62" s="39" t="n">
        <f aca="false">IF(CX$4=0,0,IF(COUNTIFS(実績!$W$6:$W$505,CX$3,実績!$AI$6:$AI$505,"&lt;="&amp;$A62,実績!$AJ$6:$AJ$505,"&gt;"&amp;$A62,実績!$AL$6:$AL$505,"○")&gt;0,1,0))</f>
        <v>0</v>
      </c>
      <c r="CY62" s="39" t="n">
        <f aca="false">IF(CY$4=0,0,IF(COUNTIFS(実績!$W$6:$W$505,CY$3,実績!$AI$6:$AI$505,"&lt;="&amp;$A62,実績!$AJ$6:$AJ$505,"&gt;"&amp;$A62,実績!$AL$6:$AL$505,"○")&gt;0,1,0))</f>
        <v>0</v>
      </c>
      <c r="CZ62" s="39" t="n">
        <f aca="false">IF(CZ$4=0,0,IF(COUNTIFS(実績!$W$6:$W$505,CZ$3,実績!$AI$6:$AI$505,"&lt;="&amp;$A62,実績!$AJ$6:$AJ$505,"&gt;"&amp;$A62,実績!$AL$6:$AL$505,"○")&gt;0,1,0))</f>
        <v>0</v>
      </c>
      <c r="DA62" s="39" t="n">
        <f aca="false">IF(DA$4=0,0,IF(COUNTIFS(実績!$W$6:$W$505,DA$3,実績!$AI$6:$AI$505,"&lt;="&amp;$A62,実績!$AJ$6:$AJ$505,"&gt;"&amp;$A62,実績!$AL$6:$AL$505,"○")&gt;0,1,0))</f>
        <v>0</v>
      </c>
      <c r="DB62" s="39" t="n">
        <f aca="false">IF(DB$4=0,0,IF(COUNTIFS(実績!$W$6:$W$505,DB$3,実績!$AI$6:$AI$505,"&lt;="&amp;$A62,実績!$AJ$6:$AJ$505,"&gt;"&amp;$A62,実績!$AL$6:$AL$505,"○")&gt;0,1,0))</f>
        <v>0</v>
      </c>
      <c r="DC62" s="39" t="n">
        <f aca="false">IF(DC$4=0,0,IF(COUNTIFS(実績!$W$6:$W$505,DC$3,実績!$AI$6:$AI$505,"&lt;="&amp;$A62,実績!$AJ$6:$AJ$505,"&gt;"&amp;$A62,実績!$AL$6:$AL$505,"○")&gt;0,1,0))</f>
        <v>0</v>
      </c>
      <c r="DD62" s="39" t="n">
        <f aca="false">IF(DD$4=0,0,IF(COUNTIFS(実績!$W$6:$W$505,DD$3,実績!$AI$6:$AI$505,"&lt;="&amp;$A62,実績!$AJ$6:$AJ$505,"&gt;"&amp;$A62,実績!$AL$6:$AL$505,"○")&gt;0,1,0))</f>
        <v>0</v>
      </c>
      <c r="DE62" s="39" t="n">
        <f aca="false">IF(DE$4=0,0,IF(COUNTIFS(実績!$W$6:$W$505,DE$3,実績!$AI$6:$AI$505,"&lt;="&amp;$A62,実績!$AJ$6:$AJ$505,"&gt;"&amp;$A62,実績!$AL$6:$AL$505,"○")&gt;0,1,0))</f>
        <v>0</v>
      </c>
      <c r="DF62" s="39" t="n">
        <f aca="false">IF(DF$4=0,0,IF(COUNTIFS(実績!$W$6:$W$505,DF$3,実績!$AI$6:$AI$505,"&lt;="&amp;$A62,実績!$AJ$6:$AJ$505,"&gt;"&amp;$A62,実績!$AL$6:$AL$505,"○")&gt;0,1,0))</f>
        <v>0</v>
      </c>
      <c r="DG62" s="39" t="n">
        <f aca="false">IF(DG$4=0,0,IF(COUNTIFS(実績!$W$6:$W$505,DG$3,実績!$AI$6:$AI$505,"&lt;="&amp;$A62,実績!$AJ$6:$AJ$505,"&gt;"&amp;$A62,実績!$AL$6:$AL$505,"○")&gt;0,1,0))</f>
        <v>0</v>
      </c>
      <c r="DH62" s="39" t="n">
        <f aca="false">IF(DH$4=0,0,IF(COUNTIFS(実績!$W$6:$W$505,DH$3,実績!$AI$6:$AI$505,"&lt;="&amp;$A62,実績!$AJ$6:$AJ$505,"&gt;"&amp;$A62,実績!$AL$6:$AL$505,"○")&gt;0,1,0))</f>
        <v>0</v>
      </c>
      <c r="DI62" s="39" t="n">
        <f aca="false">IF(DI$4=0,0,IF(COUNTIFS(実績!$W$6:$W$505,DI$3,実績!$AI$6:$AI$505,"&lt;="&amp;$A62,実績!$AJ$6:$AJ$505,"&gt;"&amp;$A62,実績!$AL$6:$AL$505,"○")&gt;0,1,0))</f>
        <v>0</v>
      </c>
      <c r="DJ62" s="39" t="n">
        <f aca="false">IF(DJ$4=0,0,IF(COUNTIFS(実績!$W$6:$W$505,DJ$3,実績!$AI$6:$AI$505,"&lt;="&amp;$A62,実績!$AJ$6:$AJ$505,"&gt;"&amp;$A62,実績!$AL$6:$AL$505,"○")&gt;0,1,0))</f>
        <v>0</v>
      </c>
      <c r="DK62" s="39" t="n">
        <f aca="false">IF(DK$4=0,0,IF(COUNTIFS(実績!$W$6:$W$505,DK$3,実績!$AI$6:$AI$505,"&lt;="&amp;$A62,実績!$AJ$6:$AJ$505,"&gt;"&amp;$A62,実績!$AL$6:$AL$505,"○")&gt;0,1,0))</f>
        <v>0</v>
      </c>
      <c r="DL62" s="39" t="n">
        <f aca="false">IF(DL$4=0,0,IF(COUNTIFS(実績!$W$6:$W$505,DL$3,実績!$AI$6:$AI$505,"&lt;="&amp;$A62,実績!$AJ$6:$AJ$505,"&gt;"&amp;$A62,実績!$AL$6:$AL$505,"○")&gt;0,1,0))</f>
        <v>0</v>
      </c>
      <c r="DM62" s="39" t="n">
        <f aca="false">IF(DM$4=0,0,IF(COUNTIFS(実績!$W$6:$W$505,DM$3,実績!$AI$6:$AI$505,"&lt;="&amp;$A62,実績!$AJ$6:$AJ$505,"&gt;"&amp;$A62,実績!$AL$6:$AL$505,"○")&gt;0,1,0))</f>
        <v>0</v>
      </c>
      <c r="DN62" s="39" t="n">
        <f aca="false">IF(DN$4=0,0,IF(COUNTIFS(実績!$W$6:$W$505,DN$3,実績!$AI$6:$AI$505,"&lt;="&amp;$A62,実績!$AJ$6:$AJ$505,"&gt;"&amp;$A62,実績!$AL$6:$AL$505,"○")&gt;0,1,0))</f>
        <v>0</v>
      </c>
      <c r="DO62" s="39" t="n">
        <f aca="false">IF(DO$4=0,0,IF(COUNTIFS(実績!$W$6:$W$505,DO$3,実績!$AI$6:$AI$505,"&lt;="&amp;$A62,実績!$AJ$6:$AJ$505,"&gt;"&amp;$A62,実績!$AL$6:$AL$505,"○")&gt;0,1,0))</f>
        <v>0</v>
      </c>
      <c r="DP62" s="39" t="n">
        <f aca="false">IF(DP$4=0,0,IF(COUNTIFS(実績!$W$6:$W$505,DP$3,実績!$AI$6:$AI$505,"&lt;="&amp;$A62,実績!$AJ$6:$AJ$505,"&gt;"&amp;$A62,実績!$AL$6:$AL$505,"○")&gt;0,1,0))</f>
        <v>0</v>
      </c>
      <c r="DQ62" s="39" t="n">
        <f aca="false">IF(DQ$4=0,0,IF(COUNTIFS(実績!$W$6:$W$505,DQ$3,実績!$AI$6:$AI$505,"&lt;="&amp;$A62,実績!$AJ$6:$AJ$505,"&gt;"&amp;$A62,実績!$AL$6:$AL$505,"○")&gt;0,1,0))</f>
        <v>0</v>
      </c>
      <c r="DR62" s="39" t="n">
        <f aca="false">IF(DR$4=0,0,IF(COUNTIFS(実績!$W$6:$W$505,DR$3,実績!$AI$6:$AI$505,"&lt;="&amp;$A62,実績!$AJ$6:$AJ$505,"&gt;"&amp;$A62,実績!$AL$6:$AL$505,"○")&gt;0,1,0))</f>
        <v>0</v>
      </c>
      <c r="DS62" s="39" t="n">
        <f aca="false">SUM(C62:DR62)</f>
        <v>0</v>
      </c>
    </row>
    <row r="63" customFormat="false" ht="15" hidden="false" customHeight="false" outlineLevel="0" collapsed="false">
      <c r="A63" s="0" t="n">
        <v>285</v>
      </c>
      <c r="B63" s="38" t="n">
        <f aca="false">A63/1440</f>
        <v>0.197916666666667</v>
      </c>
      <c r="C63" s="39" t="n">
        <f aca="false">IF(C$4=0,0,IF(COUNTIFS(実績!$W$6:$W$505,C$3,実績!$AI$6:$AI$505,"&lt;="&amp;$A63,実績!$AJ$6:$AJ$505,"&gt;"&amp;$A63,実績!$AL$6:$AL$505,"○")&gt;0,1,0))</f>
        <v>0</v>
      </c>
      <c r="D63" s="39" t="n">
        <f aca="false">IF(D$4=0,0,IF(COUNTIFS(実績!$W$6:$W$505,D$3,実績!$AI$6:$AI$505,"&lt;="&amp;$A63,実績!$AJ$6:$AJ$505,"&gt;"&amp;$A63,実績!$AL$6:$AL$505,"○")&gt;0,1,0))</f>
        <v>0</v>
      </c>
      <c r="E63" s="39" t="n">
        <f aca="false">IF(E$4=0,0,IF(COUNTIFS(実績!$W$6:$W$505,E$3,実績!$AI$6:$AI$505,"&lt;="&amp;$A63,実績!$AJ$6:$AJ$505,"&gt;"&amp;$A63,実績!$AL$6:$AL$505,"○")&gt;0,1,0))</f>
        <v>0</v>
      </c>
      <c r="F63" s="39" t="n">
        <f aca="false">IF(F$4=0,0,IF(COUNTIFS(実績!$W$6:$W$505,F$3,実績!$AI$6:$AI$505,"&lt;="&amp;$A63,実績!$AJ$6:$AJ$505,"&gt;"&amp;$A63,実績!$AL$6:$AL$505,"○")&gt;0,1,0))</f>
        <v>0</v>
      </c>
      <c r="G63" s="39" t="n">
        <f aca="false">IF(G$4=0,0,IF(COUNTIFS(実績!$W$6:$W$505,G$3,実績!$AI$6:$AI$505,"&lt;="&amp;$A63,実績!$AJ$6:$AJ$505,"&gt;"&amp;$A63,実績!$AL$6:$AL$505,"○")&gt;0,1,0))</f>
        <v>0</v>
      </c>
      <c r="H63" s="39" t="n">
        <f aca="false">IF(H$4=0,0,IF(COUNTIFS(実績!$W$6:$W$505,H$3,実績!$AI$6:$AI$505,"&lt;="&amp;$A63,実績!$AJ$6:$AJ$505,"&gt;"&amp;$A63,実績!$AL$6:$AL$505,"○")&gt;0,1,0))</f>
        <v>0</v>
      </c>
      <c r="I63" s="39" t="n">
        <f aca="false">IF(I$4=0,0,IF(COUNTIFS(実績!$W$6:$W$505,I$3,実績!$AI$6:$AI$505,"&lt;="&amp;$A63,実績!$AJ$6:$AJ$505,"&gt;"&amp;$A63,実績!$AL$6:$AL$505,"○")&gt;0,1,0))</f>
        <v>0</v>
      </c>
      <c r="J63" s="39" t="n">
        <f aca="false">IF(J$4=0,0,IF(COUNTIFS(実績!$W$6:$W$505,J$3,実績!$AI$6:$AI$505,"&lt;="&amp;$A63,実績!$AJ$6:$AJ$505,"&gt;"&amp;$A63,実績!$AL$6:$AL$505,"○")&gt;0,1,0))</f>
        <v>0</v>
      </c>
      <c r="K63" s="39" t="n">
        <f aca="false">IF(K$4=0,0,IF(COUNTIFS(実績!$W$6:$W$505,K$3,実績!$AI$6:$AI$505,"&lt;="&amp;$A63,実績!$AJ$6:$AJ$505,"&gt;"&amp;$A63,実績!$AL$6:$AL$505,"○")&gt;0,1,0))</f>
        <v>0</v>
      </c>
      <c r="L63" s="39" t="n">
        <f aca="false">IF(L$4=0,0,IF(COUNTIFS(実績!$W$6:$W$505,L$3,実績!$AI$6:$AI$505,"&lt;="&amp;$A63,実績!$AJ$6:$AJ$505,"&gt;"&amp;$A63,実績!$AL$6:$AL$505,"○")&gt;0,1,0))</f>
        <v>0</v>
      </c>
      <c r="M63" s="39" t="n">
        <f aca="false">IF(M$4=0,0,IF(COUNTIFS(実績!$W$6:$W$505,M$3,実績!$AI$6:$AI$505,"&lt;="&amp;$A63,実績!$AJ$6:$AJ$505,"&gt;"&amp;$A63,実績!$AL$6:$AL$505,"○")&gt;0,1,0))</f>
        <v>0</v>
      </c>
      <c r="N63" s="39" t="n">
        <f aca="false">IF(N$4=0,0,IF(COUNTIFS(実績!$W$6:$W$505,N$3,実績!$AI$6:$AI$505,"&lt;="&amp;$A63,実績!$AJ$6:$AJ$505,"&gt;"&amp;$A63,実績!$AL$6:$AL$505,"○")&gt;0,1,0))</f>
        <v>0</v>
      </c>
      <c r="O63" s="39" t="n">
        <f aca="false">IF(O$4=0,0,IF(COUNTIFS(実績!$W$6:$W$505,O$3,実績!$AI$6:$AI$505,"&lt;="&amp;$A63,実績!$AJ$6:$AJ$505,"&gt;"&amp;$A63,実績!$AL$6:$AL$505,"○")&gt;0,1,0))</f>
        <v>0</v>
      </c>
      <c r="P63" s="39" t="n">
        <f aca="false">IF(P$4=0,0,IF(COUNTIFS(実績!$W$6:$W$505,P$3,実績!$AI$6:$AI$505,"&lt;="&amp;$A63,実績!$AJ$6:$AJ$505,"&gt;"&amp;$A63,実績!$AL$6:$AL$505,"○")&gt;0,1,0))</f>
        <v>0</v>
      </c>
      <c r="Q63" s="39" t="n">
        <f aca="false">IF(Q$4=0,0,IF(COUNTIFS(実績!$W$6:$W$505,Q$3,実績!$AI$6:$AI$505,"&lt;="&amp;$A63,実績!$AJ$6:$AJ$505,"&gt;"&amp;$A63,実績!$AL$6:$AL$505,"○")&gt;0,1,0))</f>
        <v>0</v>
      </c>
      <c r="R63" s="39" t="n">
        <f aca="false">IF(R$4=0,0,IF(COUNTIFS(実績!$W$6:$W$505,R$3,実績!$AI$6:$AI$505,"&lt;="&amp;$A63,実績!$AJ$6:$AJ$505,"&gt;"&amp;$A63,実績!$AL$6:$AL$505,"○")&gt;0,1,0))</f>
        <v>0</v>
      </c>
      <c r="S63" s="39" t="n">
        <f aca="false">IF(S$4=0,0,IF(COUNTIFS(実績!$W$6:$W$505,S$3,実績!$AI$6:$AI$505,"&lt;="&amp;$A63,実績!$AJ$6:$AJ$505,"&gt;"&amp;$A63,実績!$AL$6:$AL$505,"○")&gt;0,1,0))</f>
        <v>0</v>
      </c>
      <c r="T63" s="39" t="n">
        <f aca="false">IF(T$4=0,0,IF(COUNTIFS(実績!$W$6:$W$505,T$3,実績!$AI$6:$AI$505,"&lt;="&amp;$A63,実績!$AJ$6:$AJ$505,"&gt;"&amp;$A63,実績!$AL$6:$AL$505,"○")&gt;0,1,0))</f>
        <v>0</v>
      </c>
      <c r="U63" s="39" t="n">
        <f aca="false">IF(U$4=0,0,IF(COUNTIFS(実績!$W$6:$W$505,U$3,実績!$AI$6:$AI$505,"&lt;="&amp;$A63,実績!$AJ$6:$AJ$505,"&gt;"&amp;$A63,実績!$AL$6:$AL$505,"○")&gt;0,1,0))</f>
        <v>0</v>
      </c>
      <c r="V63" s="39" t="n">
        <f aca="false">IF(V$4=0,0,IF(COUNTIFS(実績!$W$6:$W$505,V$3,実績!$AI$6:$AI$505,"&lt;="&amp;$A63,実績!$AJ$6:$AJ$505,"&gt;"&amp;$A63,実績!$AL$6:$AL$505,"○")&gt;0,1,0))</f>
        <v>0</v>
      </c>
      <c r="W63" s="39" t="n">
        <f aca="false">IF(W$4=0,0,IF(COUNTIFS(実績!$W$6:$W$505,W$3,実績!$AI$6:$AI$505,"&lt;="&amp;$A63,実績!$AJ$6:$AJ$505,"&gt;"&amp;$A63,実績!$AL$6:$AL$505,"○")&gt;0,1,0))</f>
        <v>0</v>
      </c>
      <c r="X63" s="39" t="n">
        <f aca="false">IF(X$4=0,0,IF(COUNTIFS(実績!$W$6:$W$505,X$3,実績!$AI$6:$AI$505,"&lt;="&amp;$A63,実績!$AJ$6:$AJ$505,"&gt;"&amp;$A63,実績!$AL$6:$AL$505,"○")&gt;0,1,0))</f>
        <v>0</v>
      </c>
      <c r="Y63" s="39" t="n">
        <f aca="false">IF(Y$4=0,0,IF(COUNTIFS(実績!$W$6:$W$505,Y$3,実績!$AI$6:$AI$505,"&lt;="&amp;$A63,実績!$AJ$6:$AJ$505,"&gt;"&amp;$A63,実績!$AL$6:$AL$505,"○")&gt;0,1,0))</f>
        <v>0</v>
      </c>
      <c r="Z63" s="39" t="n">
        <f aca="false">IF(Z$4=0,0,IF(COUNTIFS(実績!$W$6:$W$505,Z$3,実績!$AI$6:$AI$505,"&lt;="&amp;$A63,実績!$AJ$6:$AJ$505,"&gt;"&amp;$A63,実績!$AL$6:$AL$505,"○")&gt;0,1,0))</f>
        <v>0</v>
      </c>
      <c r="AA63" s="39" t="n">
        <f aca="false">IF(AA$4=0,0,IF(COUNTIFS(実績!$W$6:$W$505,AA$3,実績!$AI$6:$AI$505,"&lt;="&amp;$A63,実績!$AJ$6:$AJ$505,"&gt;"&amp;$A63,実績!$AL$6:$AL$505,"○")&gt;0,1,0))</f>
        <v>0</v>
      </c>
      <c r="AB63" s="39" t="n">
        <f aca="false">IF(AB$4=0,0,IF(COUNTIFS(実績!$W$6:$W$505,AB$3,実績!$AI$6:$AI$505,"&lt;="&amp;$A63,実績!$AJ$6:$AJ$505,"&gt;"&amp;$A63,実績!$AL$6:$AL$505,"○")&gt;0,1,0))</f>
        <v>0</v>
      </c>
      <c r="AC63" s="39" t="n">
        <f aca="false">IF(AC$4=0,0,IF(COUNTIFS(実績!$W$6:$W$505,AC$3,実績!$AI$6:$AI$505,"&lt;="&amp;$A63,実績!$AJ$6:$AJ$505,"&gt;"&amp;$A63,実績!$AL$6:$AL$505,"○")&gt;0,1,0))</f>
        <v>0</v>
      </c>
      <c r="AD63" s="39" t="n">
        <f aca="false">IF(AD$4=0,0,IF(COUNTIFS(実績!$W$6:$W$505,AD$3,実績!$AI$6:$AI$505,"&lt;="&amp;$A63,実績!$AJ$6:$AJ$505,"&gt;"&amp;$A63,実績!$AL$6:$AL$505,"○")&gt;0,1,0))</f>
        <v>0</v>
      </c>
      <c r="AE63" s="39" t="n">
        <f aca="false">IF(AE$4=0,0,IF(COUNTIFS(実績!$W$6:$W$505,AE$3,実績!$AI$6:$AI$505,"&lt;="&amp;$A63,実績!$AJ$6:$AJ$505,"&gt;"&amp;$A63,実績!$AL$6:$AL$505,"○")&gt;0,1,0))</f>
        <v>0</v>
      </c>
      <c r="AF63" s="39" t="n">
        <f aca="false">IF(AF$4=0,0,IF(COUNTIFS(実績!$W$6:$W$505,AF$3,実績!$AI$6:$AI$505,"&lt;="&amp;$A63,実績!$AJ$6:$AJ$505,"&gt;"&amp;$A63,実績!$AL$6:$AL$505,"○")&gt;0,1,0))</f>
        <v>0</v>
      </c>
      <c r="AG63" s="39" t="n">
        <f aca="false">IF(AG$4=0,0,IF(COUNTIFS(実績!$W$6:$W$505,AG$3,実績!$AI$6:$AI$505,"&lt;="&amp;$A63,実績!$AJ$6:$AJ$505,"&gt;"&amp;$A63,実績!$AL$6:$AL$505,"○")&gt;0,1,0))</f>
        <v>0</v>
      </c>
      <c r="AH63" s="39" t="n">
        <f aca="false">IF(AH$4=0,0,IF(COUNTIFS(実績!$W$6:$W$505,AH$3,実績!$AI$6:$AI$505,"&lt;="&amp;$A63,実績!$AJ$6:$AJ$505,"&gt;"&amp;$A63,実績!$AL$6:$AL$505,"○")&gt;0,1,0))</f>
        <v>0</v>
      </c>
      <c r="AI63" s="39" t="n">
        <f aca="false">IF(AI$4=0,0,IF(COUNTIFS(実績!$W$6:$W$505,AI$3,実績!$AI$6:$AI$505,"&lt;="&amp;$A63,実績!$AJ$6:$AJ$505,"&gt;"&amp;$A63,実績!$AL$6:$AL$505,"○")&gt;0,1,0))</f>
        <v>0</v>
      </c>
      <c r="AJ63" s="39" t="n">
        <f aca="false">IF(AJ$4=0,0,IF(COUNTIFS(実績!$W$6:$W$505,AJ$3,実績!$AI$6:$AI$505,"&lt;="&amp;$A63,実績!$AJ$6:$AJ$505,"&gt;"&amp;$A63,実績!$AL$6:$AL$505,"○")&gt;0,1,0))</f>
        <v>0</v>
      </c>
      <c r="AK63" s="39" t="n">
        <f aca="false">IF(AK$4=0,0,IF(COUNTIFS(実績!$W$6:$W$505,AK$3,実績!$AI$6:$AI$505,"&lt;="&amp;$A63,実績!$AJ$6:$AJ$505,"&gt;"&amp;$A63,実績!$AL$6:$AL$505,"○")&gt;0,1,0))</f>
        <v>0</v>
      </c>
      <c r="AL63" s="39" t="n">
        <f aca="false">IF(AL$4=0,0,IF(COUNTIFS(実績!$W$6:$W$505,AL$3,実績!$AI$6:$AI$505,"&lt;="&amp;$A63,実績!$AJ$6:$AJ$505,"&gt;"&amp;$A63,実績!$AL$6:$AL$505,"○")&gt;0,1,0))</f>
        <v>0</v>
      </c>
      <c r="AM63" s="39" t="n">
        <f aca="false">IF(AM$4=0,0,IF(COUNTIFS(実績!$W$6:$W$505,AM$3,実績!$AI$6:$AI$505,"&lt;="&amp;$A63,実績!$AJ$6:$AJ$505,"&gt;"&amp;$A63,実績!$AL$6:$AL$505,"○")&gt;0,1,0))</f>
        <v>0</v>
      </c>
      <c r="AN63" s="39" t="n">
        <f aca="false">IF(AN$4=0,0,IF(COUNTIFS(実績!$W$6:$W$505,AN$3,実績!$AI$6:$AI$505,"&lt;="&amp;$A63,実績!$AJ$6:$AJ$505,"&gt;"&amp;$A63,実績!$AL$6:$AL$505,"○")&gt;0,1,0))</f>
        <v>0</v>
      </c>
      <c r="AO63" s="39" t="n">
        <f aca="false">IF(AO$4=0,0,IF(COUNTIFS(実績!$W$6:$W$505,AO$3,実績!$AI$6:$AI$505,"&lt;="&amp;$A63,実績!$AJ$6:$AJ$505,"&gt;"&amp;$A63,実績!$AL$6:$AL$505,"○")&gt;0,1,0))</f>
        <v>0</v>
      </c>
      <c r="AP63" s="39" t="n">
        <f aca="false">IF(AP$4=0,0,IF(COUNTIFS(実績!$W$6:$W$505,AP$3,実績!$AI$6:$AI$505,"&lt;="&amp;$A63,実績!$AJ$6:$AJ$505,"&gt;"&amp;$A63,実績!$AL$6:$AL$505,"○")&gt;0,1,0))</f>
        <v>0</v>
      </c>
      <c r="AQ63" s="39" t="n">
        <f aca="false">IF(AQ$4=0,0,IF(COUNTIFS(実績!$W$6:$W$505,AQ$3,実績!$AI$6:$AI$505,"&lt;="&amp;$A63,実績!$AJ$6:$AJ$505,"&gt;"&amp;$A63,実績!$AL$6:$AL$505,"○")&gt;0,1,0))</f>
        <v>0</v>
      </c>
      <c r="AR63" s="39" t="n">
        <f aca="false">IF(AR$4=0,0,IF(COUNTIFS(実績!$W$6:$W$505,AR$3,実績!$AI$6:$AI$505,"&lt;="&amp;$A63,実績!$AJ$6:$AJ$505,"&gt;"&amp;$A63,実績!$AL$6:$AL$505,"○")&gt;0,1,0))</f>
        <v>0</v>
      </c>
      <c r="AS63" s="39" t="n">
        <f aca="false">IF(AS$4=0,0,IF(COUNTIFS(実績!$W$6:$W$505,AS$3,実績!$AI$6:$AI$505,"&lt;="&amp;$A63,実績!$AJ$6:$AJ$505,"&gt;"&amp;$A63,実績!$AL$6:$AL$505,"○")&gt;0,1,0))</f>
        <v>0</v>
      </c>
      <c r="AT63" s="39" t="n">
        <f aca="false">IF(AT$4=0,0,IF(COUNTIFS(実績!$W$6:$W$505,AT$3,実績!$AI$6:$AI$505,"&lt;="&amp;$A63,実績!$AJ$6:$AJ$505,"&gt;"&amp;$A63,実績!$AL$6:$AL$505,"○")&gt;0,1,0))</f>
        <v>0</v>
      </c>
      <c r="AU63" s="39" t="n">
        <f aca="false">IF(AU$4=0,0,IF(COUNTIFS(実績!$W$6:$W$505,AU$3,実績!$AI$6:$AI$505,"&lt;="&amp;$A63,実績!$AJ$6:$AJ$505,"&gt;"&amp;$A63,実績!$AL$6:$AL$505,"○")&gt;0,1,0))</f>
        <v>0</v>
      </c>
      <c r="AV63" s="39" t="n">
        <f aca="false">IF(AV$4=0,0,IF(COUNTIFS(実績!$W$6:$W$505,AV$3,実績!$AI$6:$AI$505,"&lt;="&amp;$A63,実績!$AJ$6:$AJ$505,"&gt;"&amp;$A63,実績!$AL$6:$AL$505,"○")&gt;0,1,0))</f>
        <v>0</v>
      </c>
      <c r="AW63" s="39" t="n">
        <f aca="false">IF(AW$4=0,0,IF(COUNTIFS(実績!$W$6:$W$505,AW$3,実績!$AI$6:$AI$505,"&lt;="&amp;$A63,実績!$AJ$6:$AJ$505,"&gt;"&amp;$A63,実績!$AL$6:$AL$505,"○")&gt;0,1,0))</f>
        <v>0</v>
      </c>
      <c r="AX63" s="39" t="n">
        <f aca="false">IF(AX$4=0,0,IF(COUNTIFS(実績!$W$6:$W$505,AX$3,実績!$AI$6:$AI$505,"&lt;="&amp;$A63,実績!$AJ$6:$AJ$505,"&gt;"&amp;$A63,実績!$AL$6:$AL$505,"○")&gt;0,1,0))</f>
        <v>0</v>
      </c>
      <c r="AY63" s="39" t="n">
        <f aca="false">IF(AY$4=0,0,IF(COUNTIFS(実績!$W$6:$W$505,AY$3,実績!$AI$6:$AI$505,"&lt;="&amp;$A63,実績!$AJ$6:$AJ$505,"&gt;"&amp;$A63,実績!$AL$6:$AL$505,"○")&gt;0,1,0))</f>
        <v>0</v>
      </c>
      <c r="AZ63" s="39" t="n">
        <f aca="false">IF(AZ$4=0,0,IF(COUNTIFS(実績!$W$6:$W$505,AZ$3,実績!$AI$6:$AI$505,"&lt;="&amp;$A63,実績!$AJ$6:$AJ$505,"&gt;"&amp;$A63,実績!$AL$6:$AL$505,"○")&gt;0,1,0))</f>
        <v>0</v>
      </c>
      <c r="BA63" s="39" t="n">
        <f aca="false">IF(BA$4=0,0,IF(COUNTIFS(実績!$W$6:$W$505,BA$3,実績!$AI$6:$AI$505,"&lt;="&amp;$A63,実績!$AJ$6:$AJ$505,"&gt;"&amp;$A63,実績!$AL$6:$AL$505,"○")&gt;0,1,0))</f>
        <v>0</v>
      </c>
      <c r="BB63" s="39" t="n">
        <f aca="false">IF(BB$4=0,0,IF(COUNTIFS(実績!$W$6:$W$505,BB$3,実績!$AI$6:$AI$505,"&lt;="&amp;$A63,実績!$AJ$6:$AJ$505,"&gt;"&amp;$A63,実績!$AL$6:$AL$505,"○")&gt;0,1,0))</f>
        <v>0</v>
      </c>
      <c r="BC63" s="39" t="n">
        <f aca="false">IF(BC$4=0,0,IF(COUNTIFS(実績!$W$6:$W$505,BC$3,実績!$AI$6:$AI$505,"&lt;="&amp;$A63,実績!$AJ$6:$AJ$505,"&gt;"&amp;$A63,実績!$AL$6:$AL$505,"○")&gt;0,1,0))</f>
        <v>0</v>
      </c>
      <c r="BD63" s="39" t="n">
        <f aca="false">IF(BD$4=0,0,IF(COUNTIFS(実績!$W$6:$W$505,BD$3,実績!$AI$6:$AI$505,"&lt;="&amp;$A63,実績!$AJ$6:$AJ$505,"&gt;"&amp;$A63,実績!$AL$6:$AL$505,"○")&gt;0,1,0))</f>
        <v>0</v>
      </c>
      <c r="BE63" s="39" t="n">
        <f aca="false">IF(BE$4=0,0,IF(COUNTIFS(実績!$W$6:$W$505,BE$3,実績!$AI$6:$AI$505,"&lt;="&amp;$A63,実績!$AJ$6:$AJ$505,"&gt;"&amp;$A63,実績!$AL$6:$AL$505,"○")&gt;0,1,0))</f>
        <v>0</v>
      </c>
      <c r="BF63" s="39" t="n">
        <f aca="false">IF(BF$4=0,0,IF(COUNTIFS(実績!$W$6:$W$505,BF$3,実績!$AI$6:$AI$505,"&lt;="&amp;$A63,実績!$AJ$6:$AJ$505,"&gt;"&amp;$A63,実績!$AL$6:$AL$505,"○")&gt;0,1,0))</f>
        <v>0</v>
      </c>
      <c r="BG63" s="39" t="n">
        <f aca="false">IF(BG$4=0,0,IF(COUNTIFS(実績!$W$6:$W$505,BG$3,実績!$AI$6:$AI$505,"&lt;="&amp;$A63,実績!$AJ$6:$AJ$505,"&gt;"&amp;$A63,実績!$AL$6:$AL$505,"○")&gt;0,1,0))</f>
        <v>0</v>
      </c>
      <c r="BH63" s="39" t="n">
        <f aca="false">IF(BH$4=0,0,IF(COUNTIFS(実績!$W$6:$W$505,BH$3,実績!$AI$6:$AI$505,"&lt;="&amp;$A63,実績!$AJ$6:$AJ$505,"&gt;"&amp;$A63,実績!$AL$6:$AL$505,"○")&gt;0,1,0))</f>
        <v>0</v>
      </c>
      <c r="BI63" s="39" t="n">
        <f aca="false">IF(BI$4=0,0,IF(COUNTIFS(実績!$W$6:$W$505,BI$3,実績!$AI$6:$AI$505,"&lt;="&amp;$A63,実績!$AJ$6:$AJ$505,"&gt;"&amp;$A63,実績!$AL$6:$AL$505,"○")&gt;0,1,0))</f>
        <v>0</v>
      </c>
      <c r="BJ63" s="39" t="n">
        <f aca="false">IF(BJ$4=0,0,IF(COUNTIFS(実績!$W$6:$W$505,BJ$3,実績!$AI$6:$AI$505,"&lt;="&amp;$A63,実績!$AJ$6:$AJ$505,"&gt;"&amp;$A63,実績!$AL$6:$AL$505,"○")&gt;0,1,0))</f>
        <v>0</v>
      </c>
      <c r="BK63" s="39" t="n">
        <f aca="false">IF(BK$4=0,0,IF(COUNTIFS(実績!$W$6:$W$505,BK$3,実績!$AI$6:$AI$505,"&lt;="&amp;$A63,実績!$AJ$6:$AJ$505,"&gt;"&amp;$A63,実績!$AL$6:$AL$505,"○")&gt;0,1,0))</f>
        <v>0</v>
      </c>
      <c r="BL63" s="39" t="n">
        <f aca="false">IF(BL$4=0,0,IF(COUNTIFS(実績!$W$6:$W$505,BL$3,実績!$AI$6:$AI$505,"&lt;="&amp;$A63,実績!$AJ$6:$AJ$505,"&gt;"&amp;$A63,実績!$AL$6:$AL$505,"○")&gt;0,1,0))</f>
        <v>0</v>
      </c>
      <c r="BM63" s="39" t="n">
        <f aca="false">IF(BM$4=0,0,IF(COUNTIFS(実績!$W$6:$W$505,BM$3,実績!$AI$6:$AI$505,"&lt;="&amp;$A63,実績!$AJ$6:$AJ$505,"&gt;"&amp;$A63,実績!$AL$6:$AL$505,"○")&gt;0,1,0))</f>
        <v>0</v>
      </c>
      <c r="BN63" s="39" t="n">
        <f aca="false">IF(BN$4=0,0,IF(COUNTIFS(実績!$W$6:$W$505,BN$3,実績!$AI$6:$AI$505,"&lt;="&amp;$A63,実績!$AJ$6:$AJ$505,"&gt;"&amp;$A63,実績!$AL$6:$AL$505,"○")&gt;0,1,0))</f>
        <v>0</v>
      </c>
      <c r="BO63" s="39" t="n">
        <f aca="false">IF(BO$4=0,0,IF(COUNTIFS(実績!$W$6:$W$505,BO$3,実績!$AI$6:$AI$505,"&lt;="&amp;$A63,実績!$AJ$6:$AJ$505,"&gt;"&amp;$A63,実績!$AL$6:$AL$505,"○")&gt;0,1,0))</f>
        <v>0</v>
      </c>
      <c r="BP63" s="39" t="n">
        <f aca="false">IF(BP$4=0,0,IF(COUNTIFS(実績!$W$6:$W$505,BP$3,実績!$AI$6:$AI$505,"&lt;="&amp;$A63,実績!$AJ$6:$AJ$505,"&gt;"&amp;$A63,実績!$AL$6:$AL$505,"○")&gt;0,1,0))</f>
        <v>0</v>
      </c>
      <c r="BQ63" s="39" t="n">
        <f aca="false">IF(BQ$4=0,0,IF(COUNTIFS(実績!$W$6:$W$505,BQ$3,実績!$AI$6:$AI$505,"&lt;="&amp;$A63,実績!$AJ$6:$AJ$505,"&gt;"&amp;$A63,実績!$AL$6:$AL$505,"○")&gt;0,1,0))</f>
        <v>0</v>
      </c>
      <c r="BR63" s="39" t="n">
        <f aca="false">IF(BR$4=0,0,IF(COUNTIFS(実績!$W$6:$W$505,BR$3,実績!$AI$6:$AI$505,"&lt;="&amp;$A63,実績!$AJ$6:$AJ$505,"&gt;"&amp;$A63,実績!$AL$6:$AL$505,"○")&gt;0,1,0))</f>
        <v>0</v>
      </c>
      <c r="BS63" s="39" t="n">
        <f aca="false">IF(BS$4=0,0,IF(COUNTIFS(実績!$W$6:$W$505,BS$3,実績!$AI$6:$AI$505,"&lt;="&amp;$A63,実績!$AJ$6:$AJ$505,"&gt;"&amp;$A63,実績!$AL$6:$AL$505,"○")&gt;0,1,0))</f>
        <v>0</v>
      </c>
      <c r="BT63" s="39" t="n">
        <f aca="false">IF(BT$4=0,0,IF(COUNTIFS(実績!$W$6:$W$505,BT$3,実績!$AI$6:$AI$505,"&lt;="&amp;$A63,実績!$AJ$6:$AJ$505,"&gt;"&amp;$A63,実績!$AL$6:$AL$505,"○")&gt;0,1,0))</f>
        <v>0</v>
      </c>
      <c r="BU63" s="39" t="n">
        <f aca="false">IF(BU$4=0,0,IF(COUNTIFS(実績!$W$6:$W$505,BU$3,実績!$AI$6:$AI$505,"&lt;="&amp;$A63,実績!$AJ$6:$AJ$505,"&gt;"&amp;$A63,実績!$AL$6:$AL$505,"○")&gt;0,1,0))</f>
        <v>0</v>
      </c>
      <c r="BV63" s="39" t="n">
        <f aca="false">IF(BV$4=0,0,IF(COUNTIFS(実績!$W$6:$W$505,BV$3,実績!$AI$6:$AI$505,"&lt;="&amp;$A63,実績!$AJ$6:$AJ$505,"&gt;"&amp;$A63,実績!$AL$6:$AL$505,"○")&gt;0,1,0))</f>
        <v>0</v>
      </c>
      <c r="BW63" s="39" t="n">
        <f aca="false">IF(BW$4=0,0,IF(COUNTIFS(実績!$W$6:$W$505,BW$3,実績!$AI$6:$AI$505,"&lt;="&amp;$A63,実績!$AJ$6:$AJ$505,"&gt;"&amp;$A63,実績!$AL$6:$AL$505,"○")&gt;0,1,0))</f>
        <v>0</v>
      </c>
      <c r="BX63" s="39" t="n">
        <f aca="false">IF(BX$4=0,0,IF(COUNTIFS(実績!$W$6:$W$505,BX$3,実績!$AI$6:$AI$505,"&lt;="&amp;$A63,実績!$AJ$6:$AJ$505,"&gt;"&amp;$A63,実績!$AL$6:$AL$505,"○")&gt;0,1,0))</f>
        <v>0</v>
      </c>
      <c r="BY63" s="39" t="n">
        <f aca="false">IF(BY$4=0,0,IF(COUNTIFS(実績!$W$6:$W$505,BY$3,実績!$AI$6:$AI$505,"&lt;="&amp;$A63,実績!$AJ$6:$AJ$505,"&gt;"&amp;$A63,実績!$AL$6:$AL$505,"○")&gt;0,1,0))</f>
        <v>0</v>
      </c>
      <c r="BZ63" s="39" t="n">
        <f aca="false">IF(BZ$4=0,0,IF(COUNTIFS(実績!$W$6:$W$505,BZ$3,実績!$AI$6:$AI$505,"&lt;="&amp;$A63,実績!$AJ$6:$AJ$505,"&gt;"&amp;$A63,実績!$AL$6:$AL$505,"○")&gt;0,1,0))</f>
        <v>0</v>
      </c>
      <c r="CA63" s="39" t="n">
        <f aca="false">IF(CA$4=0,0,IF(COUNTIFS(実績!$W$6:$W$505,CA$3,実績!$AI$6:$AI$505,"&lt;="&amp;$A63,実績!$AJ$6:$AJ$505,"&gt;"&amp;$A63,実績!$AL$6:$AL$505,"○")&gt;0,1,0))</f>
        <v>0</v>
      </c>
      <c r="CB63" s="39" t="n">
        <f aca="false">IF(CB$4=0,0,IF(COUNTIFS(実績!$W$6:$W$505,CB$3,実績!$AI$6:$AI$505,"&lt;="&amp;$A63,実績!$AJ$6:$AJ$505,"&gt;"&amp;$A63,実績!$AL$6:$AL$505,"○")&gt;0,1,0))</f>
        <v>0</v>
      </c>
      <c r="CC63" s="39" t="n">
        <f aca="false">IF(CC$4=0,0,IF(COUNTIFS(実績!$W$6:$W$505,CC$3,実績!$AI$6:$AI$505,"&lt;="&amp;$A63,実績!$AJ$6:$AJ$505,"&gt;"&amp;$A63,実績!$AL$6:$AL$505,"○")&gt;0,1,0))</f>
        <v>0</v>
      </c>
      <c r="CD63" s="39" t="n">
        <f aca="false">IF(CD$4=0,0,IF(COUNTIFS(実績!$W$6:$W$505,CD$3,実績!$AI$6:$AI$505,"&lt;="&amp;$A63,実績!$AJ$6:$AJ$505,"&gt;"&amp;$A63,実績!$AL$6:$AL$505,"○")&gt;0,1,0))</f>
        <v>0</v>
      </c>
      <c r="CE63" s="39" t="n">
        <f aca="false">IF(CE$4=0,0,IF(COUNTIFS(実績!$W$6:$W$505,CE$3,実績!$AI$6:$AI$505,"&lt;="&amp;$A63,実績!$AJ$6:$AJ$505,"&gt;"&amp;$A63,実績!$AL$6:$AL$505,"○")&gt;0,1,0))</f>
        <v>0</v>
      </c>
      <c r="CF63" s="39" t="n">
        <f aca="false">IF(CF$4=0,0,IF(COUNTIFS(実績!$W$6:$W$505,CF$3,実績!$AI$6:$AI$505,"&lt;="&amp;$A63,実績!$AJ$6:$AJ$505,"&gt;"&amp;$A63,実績!$AL$6:$AL$505,"○")&gt;0,1,0))</f>
        <v>0</v>
      </c>
      <c r="CG63" s="39" t="n">
        <f aca="false">IF(CG$4=0,0,IF(COUNTIFS(実績!$W$6:$W$505,CG$3,実績!$AI$6:$AI$505,"&lt;="&amp;$A63,実績!$AJ$6:$AJ$505,"&gt;"&amp;$A63,実績!$AL$6:$AL$505,"○")&gt;0,1,0))</f>
        <v>0</v>
      </c>
      <c r="CH63" s="39" t="n">
        <f aca="false">IF(CH$4=0,0,IF(COUNTIFS(実績!$W$6:$W$505,CH$3,実績!$AI$6:$AI$505,"&lt;="&amp;$A63,実績!$AJ$6:$AJ$505,"&gt;"&amp;$A63,実績!$AL$6:$AL$505,"○")&gt;0,1,0))</f>
        <v>0</v>
      </c>
      <c r="CI63" s="39" t="n">
        <f aca="false">IF(CI$4=0,0,IF(COUNTIFS(実績!$W$6:$W$505,CI$3,実績!$AI$6:$AI$505,"&lt;="&amp;$A63,実績!$AJ$6:$AJ$505,"&gt;"&amp;$A63,実績!$AL$6:$AL$505,"○")&gt;0,1,0))</f>
        <v>0</v>
      </c>
      <c r="CJ63" s="39" t="n">
        <f aca="false">IF(CJ$4=0,0,IF(COUNTIFS(実績!$W$6:$W$505,CJ$3,実績!$AI$6:$AI$505,"&lt;="&amp;$A63,実績!$AJ$6:$AJ$505,"&gt;"&amp;$A63,実績!$AL$6:$AL$505,"○")&gt;0,1,0))</f>
        <v>0</v>
      </c>
      <c r="CK63" s="39" t="n">
        <f aca="false">IF(CK$4=0,0,IF(COUNTIFS(実績!$W$6:$W$505,CK$3,実績!$AI$6:$AI$505,"&lt;="&amp;$A63,実績!$AJ$6:$AJ$505,"&gt;"&amp;$A63,実績!$AL$6:$AL$505,"○")&gt;0,1,0))</f>
        <v>0</v>
      </c>
      <c r="CL63" s="39" t="n">
        <f aca="false">IF(CL$4=0,0,IF(COUNTIFS(実績!$W$6:$W$505,CL$3,実績!$AI$6:$AI$505,"&lt;="&amp;$A63,実績!$AJ$6:$AJ$505,"&gt;"&amp;$A63,実績!$AL$6:$AL$505,"○")&gt;0,1,0))</f>
        <v>0</v>
      </c>
      <c r="CM63" s="39" t="n">
        <f aca="false">IF(CM$4=0,0,IF(COUNTIFS(実績!$W$6:$W$505,CM$3,実績!$AI$6:$AI$505,"&lt;="&amp;$A63,実績!$AJ$6:$AJ$505,"&gt;"&amp;$A63,実績!$AL$6:$AL$505,"○")&gt;0,1,0))</f>
        <v>0</v>
      </c>
      <c r="CN63" s="39" t="n">
        <f aca="false">IF(CN$4=0,0,IF(COUNTIFS(実績!$W$6:$W$505,CN$3,実績!$AI$6:$AI$505,"&lt;="&amp;$A63,実績!$AJ$6:$AJ$505,"&gt;"&amp;$A63,実績!$AL$6:$AL$505,"○")&gt;0,1,0))</f>
        <v>0</v>
      </c>
      <c r="CO63" s="39" t="n">
        <f aca="false">IF(CO$4=0,0,IF(COUNTIFS(実績!$W$6:$W$505,CO$3,実績!$AI$6:$AI$505,"&lt;="&amp;$A63,実績!$AJ$6:$AJ$505,"&gt;"&amp;$A63,実績!$AL$6:$AL$505,"○")&gt;0,1,0))</f>
        <v>0</v>
      </c>
      <c r="CP63" s="39" t="n">
        <f aca="false">IF(CP$4=0,0,IF(COUNTIFS(実績!$W$6:$W$505,CP$3,実績!$AI$6:$AI$505,"&lt;="&amp;$A63,実績!$AJ$6:$AJ$505,"&gt;"&amp;$A63,実績!$AL$6:$AL$505,"○")&gt;0,1,0))</f>
        <v>0</v>
      </c>
      <c r="CQ63" s="39" t="n">
        <f aca="false">IF(CQ$4=0,0,IF(COUNTIFS(実績!$W$6:$W$505,CQ$3,実績!$AI$6:$AI$505,"&lt;="&amp;$A63,実績!$AJ$6:$AJ$505,"&gt;"&amp;$A63,実績!$AL$6:$AL$505,"○")&gt;0,1,0))</f>
        <v>0</v>
      </c>
      <c r="CR63" s="39" t="n">
        <f aca="false">IF(CR$4=0,0,IF(COUNTIFS(実績!$W$6:$W$505,CR$3,実績!$AI$6:$AI$505,"&lt;="&amp;$A63,実績!$AJ$6:$AJ$505,"&gt;"&amp;$A63,実績!$AL$6:$AL$505,"○")&gt;0,1,0))</f>
        <v>0</v>
      </c>
      <c r="CS63" s="39" t="n">
        <f aca="false">IF(CS$4=0,0,IF(COUNTIFS(実績!$W$6:$W$505,CS$3,実績!$AI$6:$AI$505,"&lt;="&amp;$A63,実績!$AJ$6:$AJ$505,"&gt;"&amp;$A63,実績!$AL$6:$AL$505,"○")&gt;0,1,0))</f>
        <v>0</v>
      </c>
      <c r="CT63" s="39" t="n">
        <f aca="false">IF(CT$4=0,0,IF(COUNTIFS(実績!$W$6:$W$505,CT$3,実績!$AI$6:$AI$505,"&lt;="&amp;$A63,実績!$AJ$6:$AJ$505,"&gt;"&amp;$A63,実績!$AL$6:$AL$505,"○")&gt;0,1,0))</f>
        <v>0</v>
      </c>
      <c r="CU63" s="39" t="n">
        <f aca="false">IF(CU$4=0,0,IF(COUNTIFS(実績!$W$6:$W$505,CU$3,実績!$AI$6:$AI$505,"&lt;="&amp;$A63,実績!$AJ$6:$AJ$505,"&gt;"&amp;$A63,実績!$AL$6:$AL$505,"○")&gt;0,1,0))</f>
        <v>0</v>
      </c>
      <c r="CV63" s="39" t="n">
        <f aca="false">IF(CV$4=0,0,IF(COUNTIFS(実績!$W$6:$W$505,CV$3,実績!$AI$6:$AI$505,"&lt;="&amp;$A63,実績!$AJ$6:$AJ$505,"&gt;"&amp;$A63,実績!$AL$6:$AL$505,"○")&gt;0,1,0))</f>
        <v>0</v>
      </c>
      <c r="CW63" s="39" t="n">
        <f aca="false">IF(CW$4=0,0,IF(COUNTIFS(実績!$W$6:$W$505,CW$3,実績!$AI$6:$AI$505,"&lt;="&amp;$A63,実績!$AJ$6:$AJ$505,"&gt;"&amp;$A63,実績!$AL$6:$AL$505,"○")&gt;0,1,0))</f>
        <v>0</v>
      </c>
      <c r="CX63" s="39" t="n">
        <f aca="false">IF(CX$4=0,0,IF(COUNTIFS(実績!$W$6:$W$505,CX$3,実績!$AI$6:$AI$505,"&lt;="&amp;$A63,実績!$AJ$6:$AJ$505,"&gt;"&amp;$A63,実績!$AL$6:$AL$505,"○")&gt;0,1,0))</f>
        <v>0</v>
      </c>
      <c r="CY63" s="39" t="n">
        <f aca="false">IF(CY$4=0,0,IF(COUNTIFS(実績!$W$6:$W$505,CY$3,実績!$AI$6:$AI$505,"&lt;="&amp;$A63,実績!$AJ$6:$AJ$505,"&gt;"&amp;$A63,実績!$AL$6:$AL$505,"○")&gt;0,1,0))</f>
        <v>0</v>
      </c>
      <c r="CZ63" s="39" t="n">
        <f aca="false">IF(CZ$4=0,0,IF(COUNTIFS(実績!$W$6:$W$505,CZ$3,実績!$AI$6:$AI$505,"&lt;="&amp;$A63,実績!$AJ$6:$AJ$505,"&gt;"&amp;$A63,実績!$AL$6:$AL$505,"○")&gt;0,1,0))</f>
        <v>0</v>
      </c>
      <c r="DA63" s="39" t="n">
        <f aca="false">IF(DA$4=0,0,IF(COUNTIFS(実績!$W$6:$W$505,DA$3,実績!$AI$6:$AI$505,"&lt;="&amp;$A63,実績!$AJ$6:$AJ$505,"&gt;"&amp;$A63,実績!$AL$6:$AL$505,"○")&gt;0,1,0))</f>
        <v>0</v>
      </c>
      <c r="DB63" s="39" t="n">
        <f aca="false">IF(DB$4=0,0,IF(COUNTIFS(実績!$W$6:$W$505,DB$3,実績!$AI$6:$AI$505,"&lt;="&amp;$A63,実績!$AJ$6:$AJ$505,"&gt;"&amp;$A63,実績!$AL$6:$AL$505,"○")&gt;0,1,0))</f>
        <v>0</v>
      </c>
      <c r="DC63" s="39" t="n">
        <f aca="false">IF(DC$4=0,0,IF(COUNTIFS(実績!$W$6:$W$505,DC$3,実績!$AI$6:$AI$505,"&lt;="&amp;$A63,実績!$AJ$6:$AJ$505,"&gt;"&amp;$A63,実績!$AL$6:$AL$505,"○")&gt;0,1,0))</f>
        <v>0</v>
      </c>
      <c r="DD63" s="39" t="n">
        <f aca="false">IF(DD$4=0,0,IF(COUNTIFS(実績!$W$6:$W$505,DD$3,実績!$AI$6:$AI$505,"&lt;="&amp;$A63,実績!$AJ$6:$AJ$505,"&gt;"&amp;$A63,実績!$AL$6:$AL$505,"○")&gt;0,1,0))</f>
        <v>0</v>
      </c>
      <c r="DE63" s="39" t="n">
        <f aca="false">IF(DE$4=0,0,IF(COUNTIFS(実績!$W$6:$W$505,DE$3,実績!$AI$6:$AI$505,"&lt;="&amp;$A63,実績!$AJ$6:$AJ$505,"&gt;"&amp;$A63,実績!$AL$6:$AL$505,"○")&gt;0,1,0))</f>
        <v>0</v>
      </c>
      <c r="DF63" s="39" t="n">
        <f aca="false">IF(DF$4=0,0,IF(COUNTIFS(実績!$W$6:$W$505,DF$3,実績!$AI$6:$AI$505,"&lt;="&amp;$A63,実績!$AJ$6:$AJ$505,"&gt;"&amp;$A63,実績!$AL$6:$AL$505,"○")&gt;0,1,0))</f>
        <v>0</v>
      </c>
      <c r="DG63" s="39" t="n">
        <f aca="false">IF(DG$4=0,0,IF(COUNTIFS(実績!$W$6:$W$505,DG$3,実績!$AI$6:$AI$505,"&lt;="&amp;$A63,実績!$AJ$6:$AJ$505,"&gt;"&amp;$A63,実績!$AL$6:$AL$505,"○")&gt;0,1,0))</f>
        <v>0</v>
      </c>
      <c r="DH63" s="39" t="n">
        <f aca="false">IF(DH$4=0,0,IF(COUNTIFS(実績!$W$6:$W$505,DH$3,実績!$AI$6:$AI$505,"&lt;="&amp;$A63,実績!$AJ$6:$AJ$505,"&gt;"&amp;$A63,実績!$AL$6:$AL$505,"○")&gt;0,1,0))</f>
        <v>0</v>
      </c>
      <c r="DI63" s="39" t="n">
        <f aca="false">IF(DI$4=0,0,IF(COUNTIFS(実績!$W$6:$W$505,DI$3,実績!$AI$6:$AI$505,"&lt;="&amp;$A63,実績!$AJ$6:$AJ$505,"&gt;"&amp;$A63,実績!$AL$6:$AL$505,"○")&gt;0,1,0))</f>
        <v>0</v>
      </c>
      <c r="DJ63" s="39" t="n">
        <f aca="false">IF(DJ$4=0,0,IF(COUNTIFS(実績!$W$6:$W$505,DJ$3,実績!$AI$6:$AI$505,"&lt;="&amp;$A63,実績!$AJ$6:$AJ$505,"&gt;"&amp;$A63,実績!$AL$6:$AL$505,"○")&gt;0,1,0))</f>
        <v>0</v>
      </c>
      <c r="DK63" s="39" t="n">
        <f aca="false">IF(DK$4=0,0,IF(COUNTIFS(実績!$W$6:$W$505,DK$3,実績!$AI$6:$AI$505,"&lt;="&amp;$A63,実績!$AJ$6:$AJ$505,"&gt;"&amp;$A63,実績!$AL$6:$AL$505,"○")&gt;0,1,0))</f>
        <v>0</v>
      </c>
      <c r="DL63" s="39" t="n">
        <f aca="false">IF(DL$4=0,0,IF(COUNTIFS(実績!$W$6:$W$505,DL$3,実績!$AI$6:$AI$505,"&lt;="&amp;$A63,実績!$AJ$6:$AJ$505,"&gt;"&amp;$A63,実績!$AL$6:$AL$505,"○")&gt;0,1,0))</f>
        <v>0</v>
      </c>
      <c r="DM63" s="39" t="n">
        <f aca="false">IF(DM$4=0,0,IF(COUNTIFS(実績!$W$6:$W$505,DM$3,実績!$AI$6:$AI$505,"&lt;="&amp;$A63,実績!$AJ$6:$AJ$505,"&gt;"&amp;$A63,実績!$AL$6:$AL$505,"○")&gt;0,1,0))</f>
        <v>0</v>
      </c>
      <c r="DN63" s="39" t="n">
        <f aca="false">IF(DN$4=0,0,IF(COUNTIFS(実績!$W$6:$W$505,DN$3,実績!$AI$6:$AI$505,"&lt;="&amp;$A63,実績!$AJ$6:$AJ$505,"&gt;"&amp;$A63,実績!$AL$6:$AL$505,"○")&gt;0,1,0))</f>
        <v>0</v>
      </c>
      <c r="DO63" s="39" t="n">
        <f aca="false">IF(DO$4=0,0,IF(COUNTIFS(実績!$W$6:$W$505,DO$3,実績!$AI$6:$AI$505,"&lt;="&amp;$A63,実績!$AJ$6:$AJ$505,"&gt;"&amp;$A63,実績!$AL$6:$AL$505,"○")&gt;0,1,0))</f>
        <v>0</v>
      </c>
      <c r="DP63" s="39" t="n">
        <f aca="false">IF(DP$4=0,0,IF(COUNTIFS(実績!$W$6:$W$505,DP$3,実績!$AI$6:$AI$505,"&lt;="&amp;$A63,実績!$AJ$6:$AJ$505,"&gt;"&amp;$A63,実績!$AL$6:$AL$505,"○")&gt;0,1,0))</f>
        <v>0</v>
      </c>
      <c r="DQ63" s="39" t="n">
        <f aca="false">IF(DQ$4=0,0,IF(COUNTIFS(実績!$W$6:$W$505,DQ$3,実績!$AI$6:$AI$505,"&lt;="&amp;$A63,実績!$AJ$6:$AJ$505,"&gt;"&amp;$A63,実績!$AL$6:$AL$505,"○")&gt;0,1,0))</f>
        <v>0</v>
      </c>
      <c r="DR63" s="39" t="n">
        <f aca="false">IF(DR$4=0,0,IF(COUNTIFS(実績!$W$6:$W$505,DR$3,実績!$AI$6:$AI$505,"&lt;="&amp;$A63,実績!$AJ$6:$AJ$505,"&gt;"&amp;$A63,実績!$AL$6:$AL$505,"○")&gt;0,1,0))</f>
        <v>0</v>
      </c>
      <c r="DS63" s="39" t="n">
        <f aca="false">SUM(C63:DR63)</f>
        <v>0</v>
      </c>
    </row>
    <row r="64" customFormat="false" ht="15" hidden="false" customHeight="false" outlineLevel="0" collapsed="false">
      <c r="A64" s="0" t="n">
        <v>290</v>
      </c>
      <c r="B64" s="38" t="n">
        <f aca="false">A64/1440</f>
        <v>0.201388888888889</v>
      </c>
      <c r="C64" s="39" t="n">
        <f aca="false">IF(C$4=0,0,IF(COUNTIFS(実績!$W$6:$W$505,C$3,実績!$AI$6:$AI$505,"&lt;="&amp;$A64,実績!$AJ$6:$AJ$505,"&gt;"&amp;$A64,実績!$AL$6:$AL$505,"○")&gt;0,1,0))</f>
        <v>0</v>
      </c>
      <c r="D64" s="39" t="n">
        <f aca="false">IF(D$4=0,0,IF(COUNTIFS(実績!$W$6:$W$505,D$3,実績!$AI$6:$AI$505,"&lt;="&amp;$A64,実績!$AJ$6:$AJ$505,"&gt;"&amp;$A64,実績!$AL$6:$AL$505,"○")&gt;0,1,0))</f>
        <v>0</v>
      </c>
      <c r="E64" s="39" t="n">
        <f aca="false">IF(E$4=0,0,IF(COUNTIFS(実績!$W$6:$W$505,E$3,実績!$AI$6:$AI$505,"&lt;="&amp;$A64,実績!$AJ$6:$AJ$505,"&gt;"&amp;$A64,実績!$AL$6:$AL$505,"○")&gt;0,1,0))</f>
        <v>0</v>
      </c>
      <c r="F64" s="39" t="n">
        <f aca="false">IF(F$4=0,0,IF(COUNTIFS(実績!$W$6:$W$505,F$3,実績!$AI$6:$AI$505,"&lt;="&amp;$A64,実績!$AJ$6:$AJ$505,"&gt;"&amp;$A64,実績!$AL$6:$AL$505,"○")&gt;0,1,0))</f>
        <v>0</v>
      </c>
      <c r="G64" s="39" t="n">
        <f aca="false">IF(G$4=0,0,IF(COUNTIFS(実績!$W$6:$W$505,G$3,実績!$AI$6:$AI$505,"&lt;="&amp;$A64,実績!$AJ$6:$AJ$505,"&gt;"&amp;$A64,実績!$AL$6:$AL$505,"○")&gt;0,1,0))</f>
        <v>0</v>
      </c>
      <c r="H64" s="39" t="n">
        <f aca="false">IF(H$4=0,0,IF(COUNTIFS(実績!$W$6:$W$505,H$3,実績!$AI$6:$AI$505,"&lt;="&amp;$A64,実績!$AJ$6:$AJ$505,"&gt;"&amp;$A64,実績!$AL$6:$AL$505,"○")&gt;0,1,0))</f>
        <v>0</v>
      </c>
      <c r="I64" s="39" t="n">
        <f aca="false">IF(I$4=0,0,IF(COUNTIFS(実績!$W$6:$W$505,I$3,実績!$AI$6:$AI$505,"&lt;="&amp;$A64,実績!$AJ$6:$AJ$505,"&gt;"&amp;$A64,実績!$AL$6:$AL$505,"○")&gt;0,1,0))</f>
        <v>0</v>
      </c>
      <c r="J64" s="39" t="n">
        <f aca="false">IF(J$4=0,0,IF(COUNTIFS(実績!$W$6:$W$505,J$3,実績!$AI$6:$AI$505,"&lt;="&amp;$A64,実績!$AJ$6:$AJ$505,"&gt;"&amp;$A64,実績!$AL$6:$AL$505,"○")&gt;0,1,0))</f>
        <v>0</v>
      </c>
      <c r="K64" s="39" t="n">
        <f aca="false">IF(K$4=0,0,IF(COUNTIFS(実績!$W$6:$W$505,K$3,実績!$AI$6:$AI$505,"&lt;="&amp;$A64,実績!$AJ$6:$AJ$505,"&gt;"&amp;$A64,実績!$AL$6:$AL$505,"○")&gt;0,1,0))</f>
        <v>0</v>
      </c>
      <c r="L64" s="39" t="n">
        <f aca="false">IF(L$4=0,0,IF(COUNTIFS(実績!$W$6:$W$505,L$3,実績!$AI$6:$AI$505,"&lt;="&amp;$A64,実績!$AJ$6:$AJ$505,"&gt;"&amp;$A64,実績!$AL$6:$AL$505,"○")&gt;0,1,0))</f>
        <v>0</v>
      </c>
      <c r="M64" s="39" t="n">
        <f aca="false">IF(M$4=0,0,IF(COUNTIFS(実績!$W$6:$W$505,M$3,実績!$AI$6:$AI$505,"&lt;="&amp;$A64,実績!$AJ$6:$AJ$505,"&gt;"&amp;$A64,実績!$AL$6:$AL$505,"○")&gt;0,1,0))</f>
        <v>0</v>
      </c>
      <c r="N64" s="39" t="n">
        <f aca="false">IF(N$4=0,0,IF(COUNTIFS(実績!$W$6:$W$505,N$3,実績!$AI$6:$AI$505,"&lt;="&amp;$A64,実績!$AJ$6:$AJ$505,"&gt;"&amp;$A64,実績!$AL$6:$AL$505,"○")&gt;0,1,0))</f>
        <v>0</v>
      </c>
      <c r="O64" s="39" t="n">
        <f aca="false">IF(O$4=0,0,IF(COUNTIFS(実績!$W$6:$W$505,O$3,実績!$AI$6:$AI$505,"&lt;="&amp;$A64,実績!$AJ$6:$AJ$505,"&gt;"&amp;$A64,実績!$AL$6:$AL$505,"○")&gt;0,1,0))</f>
        <v>0</v>
      </c>
      <c r="P64" s="39" t="n">
        <f aca="false">IF(P$4=0,0,IF(COUNTIFS(実績!$W$6:$W$505,P$3,実績!$AI$6:$AI$505,"&lt;="&amp;$A64,実績!$AJ$6:$AJ$505,"&gt;"&amp;$A64,実績!$AL$6:$AL$505,"○")&gt;0,1,0))</f>
        <v>0</v>
      </c>
      <c r="Q64" s="39" t="n">
        <f aca="false">IF(Q$4=0,0,IF(COUNTIFS(実績!$W$6:$W$505,Q$3,実績!$AI$6:$AI$505,"&lt;="&amp;$A64,実績!$AJ$6:$AJ$505,"&gt;"&amp;$A64,実績!$AL$6:$AL$505,"○")&gt;0,1,0))</f>
        <v>0</v>
      </c>
      <c r="R64" s="39" t="n">
        <f aca="false">IF(R$4=0,0,IF(COUNTIFS(実績!$W$6:$W$505,R$3,実績!$AI$6:$AI$505,"&lt;="&amp;$A64,実績!$AJ$6:$AJ$505,"&gt;"&amp;$A64,実績!$AL$6:$AL$505,"○")&gt;0,1,0))</f>
        <v>0</v>
      </c>
      <c r="S64" s="39" t="n">
        <f aca="false">IF(S$4=0,0,IF(COUNTIFS(実績!$W$6:$W$505,S$3,実績!$AI$6:$AI$505,"&lt;="&amp;$A64,実績!$AJ$6:$AJ$505,"&gt;"&amp;$A64,実績!$AL$6:$AL$505,"○")&gt;0,1,0))</f>
        <v>0</v>
      </c>
      <c r="T64" s="39" t="n">
        <f aca="false">IF(T$4=0,0,IF(COUNTIFS(実績!$W$6:$W$505,T$3,実績!$AI$6:$AI$505,"&lt;="&amp;$A64,実績!$AJ$6:$AJ$505,"&gt;"&amp;$A64,実績!$AL$6:$AL$505,"○")&gt;0,1,0))</f>
        <v>0</v>
      </c>
      <c r="U64" s="39" t="n">
        <f aca="false">IF(U$4=0,0,IF(COUNTIFS(実績!$W$6:$W$505,U$3,実績!$AI$6:$AI$505,"&lt;="&amp;$A64,実績!$AJ$6:$AJ$505,"&gt;"&amp;$A64,実績!$AL$6:$AL$505,"○")&gt;0,1,0))</f>
        <v>0</v>
      </c>
      <c r="V64" s="39" t="n">
        <f aca="false">IF(V$4=0,0,IF(COUNTIFS(実績!$W$6:$W$505,V$3,実績!$AI$6:$AI$505,"&lt;="&amp;$A64,実績!$AJ$6:$AJ$505,"&gt;"&amp;$A64,実績!$AL$6:$AL$505,"○")&gt;0,1,0))</f>
        <v>0</v>
      </c>
      <c r="W64" s="39" t="n">
        <f aca="false">IF(W$4=0,0,IF(COUNTIFS(実績!$W$6:$W$505,W$3,実績!$AI$6:$AI$505,"&lt;="&amp;$A64,実績!$AJ$6:$AJ$505,"&gt;"&amp;$A64,実績!$AL$6:$AL$505,"○")&gt;0,1,0))</f>
        <v>0</v>
      </c>
      <c r="X64" s="39" t="n">
        <f aca="false">IF(X$4=0,0,IF(COUNTIFS(実績!$W$6:$W$505,X$3,実績!$AI$6:$AI$505,"&lt;="&amp;$A64,実績!$AJ$6:$AJ$505,"&gt;"&amp;$A64,実績!$AL$6:$AL$505,"○")&gt;0,1,0))</f>
        <v>0</v>
      </c>
      <c r="Y64" s="39" t="n">
        <f aca="false">IF(Y$4=0,0,IF(COUNTIFS(実績!$W$6:$W$505,Y$3,実績!$AI$6:$AI$505,"&lt;="&amp;$A64,実績!$AJ$6:$AJ$505,"&gt;"&amp;$A64,実績!$AL$6:$AL$505,"○")&gt;0,1,0))</f>
        <v>0</v>
      </c>
      <c r="Z64" s="39" t="n">
        <f aca="false">IF(Z$4=0,0,IF(COUNTIFS(実績!$W$6:$W$505,Z$3,実績!$AI$6:$AI$505,"&lt;="&amp;$A64,実績!$AJ$6:$AJ$505,"&gt;"&amp;$A64,実績!$AL$6:$AL$505,"○")&gt;0,1,0))</f>
        <v>0</v>
      </c>
      <c r="AA64" s="39" t="n">
        <f aca="false">IF(AA$4=0,0,IF(COUNTIFS(実績!$W$6:$W$505,AA$3,実績!$AI$6:$AI$505,"&lt;="&amp;$A64,実績!$AJ$6:$AJ$505,"&gt;"&amp;$A64,実績!$AL$6:$AL$505,"○")&gt;0,1,0))</f>
        <v>0</v>
      </c>
      <c r="AB64" s="39" t="n">
        <f aca="false">IF(AB$4=0,0,IF(COUNTIFS(実績!$W$6:$W$505,AB$3,実績!$AI$6:$AI$505,"&lt;="&amp;$A64,実績!$AJ$6:$AJ$505,"&gt;"&amp;$A64,実績!$AL$6:$AL$505,"○")&gt;0,1,0))</f>
        <v>0</v>
      </c>
      <c r="AC64" s="39" t="n">
        <f aca="false">IF(AC$4=0,0,IF(COUNTIFS(実績!$W$6:$W$505,AC$3,実績!$AI$6:$AI$505,"&lt;="&amp;$A64,実績!$AJ$6:$AJ$505,"&gt;"&amp;$A64,実績!$AL$6:$AL$505,"○")&gt;0,1,0))</f>
        <v>0</v>
      </c>
      <c r="AD64" s="39" t="n">
        <f aca="false">IF(AD$4=0,0,IF(COUNTIFS(実績!$W$6:$W$505,AD$3,実績!$AI$6:$AI$505,"&lt;="&amp;$A64,実績!$AJ$6:$AJ$505,"&gt;"&amp;$A64,実績!$AL$6:$AL$505,"○")&gt;0,1,0))</f>
        <v>0</v>
      </c>
      <c r="AE64" s="39" t="n">
        <f aca="false">IF(AE$4=0,0,IF(COUNTIFS(実績!$W$6:$W$505,AE$3,実績!$AI$6:$AI$505,"&lt;="&amp;$A64,実績!$AJ$6:$AJ$505,"&gt;"&amp;$A64,実績!$AL$6:$AL$505,"○")&gt;0,1,0))</f>
        <v>0</v>
      </c>
      <c r="AF64" s="39" t="n">
        <f aca="false">IF(AF$4=0,0,IF(COUNTIFS(実績!$W$6:$W$505,AF$3,実績!$AI$6:$AI$505,"&lt;="&amp;$A64,実績!$AJ$6:$AJ$505,"&gt;"&amp;$A64,実績!$AL$6:$AL$505,"○")&gt;0,1,0))</f>
        <v>0</v>
      </c>
      <c r="AG64" s="39" t="n">
        <f aca="false">IF(AG$4=0,0,IF(COUNTIFS(実績!$W$6:$W$505,AG$3,実績!$AI$6:$AI$505,"&lt;="&amp;$A64,実績!$AJ$6:$AJ$505,"&gt;"&amp;$A64,実績!$AL$6:$AL$505,"○")&gt;0,1,0))</f>
        <v>0</v>
      </c>
      <c r="AH64" s="39" t="n">
        <f aca="false">IF(AH$4=0,0,IF(COUNTIFS(実績!$W$6:$W$505,AH$3,実績!$AI$6:$AI$505,"&lt;="&amp;$A64,実績!$AJ$6:$AJ$505,"&gt;"&amp;$A64,実績!$AL$6:$AL$505,"○")&gt;0,1,0))</f>
        <v>0</v>
      </c>
      <c r="AI64" s="39" t="n">
        <f aca="false">IF(AI$4=0,0,IF(COUNTIFS(実績!$W$6:$W$505,AI$3,実績!$AI$6:$AI$505,"&lt;="&amp;$A64,実績!$AJ$6:$AJ$505,"&gt;"&amp;$A64,実績!$AL$6:$AL$505,"○")&gt;0,1,0))</f>
        <v>0</v>
      </c>
      <c r="AJ64" s="39" t="n">
        <f aca="false">IF(AJ$4=0,0,IF(COUNTIFS(実績!$W$6:$W$505,AJ$3,実績!$AI$6:$AI$505,"&lt;="&amp;$A64,実績!$AJ$6:$AJ$505,"&gt;"&amp;$A64,実績!$AL$6:$AL$505,"○")&gt;0,1,0))</f>
        <v>0</v>
      </c>
      <c r="AK64" s="39" t="n">
        <f aca="false">IF(AK$4=0,0,IF(COUNTIFS(実績!$W$6:$W$505,AK$3,実績!$AI$6:$AI$505,"&lt;="&amp;$A64,実績!$AJ$6:$AJ$505,"&gt;"&amp;$A64,実績!$AL$6:$AL$505,"○")&gt;0,1,0))</f>
        <v>0</v>
      </c>
      <c r="AL64" s="39" t="n">
        <f aca="false">IF(AL$4=0,0,IF(COUNTIFS(実績!$W$6:$W$505,AL$3,実績!$AI$6:$AI$505,"&lt;="&amp;$A64,実績!$AJ$6:$AJ$505,"&gt;"&amp;$A64,実績!$AL$6:$AL$505,"○")&gt;0,1,0))</f>
        <v>0</v>
      </c>
      <c r="AM64" s="39" t="n">
        <f aca="false">IF(AM$4=0,0,IF(COUNTIFS(実績!$W$6:$W$505,AM$3,実績!$AI$6:$AI$505,"&lt;="&amp;$A64,実績!$AJ$6:$AJ$505,"&gt;"&amp;$A64,実績!$AL$6:$AL$505,"○")&gt;0,1,0))</f>
        <v>0</v>
      </c>
      <c r="AN64" s="39" t="n">
        <f aca="false">IF(AN$4=0,0,IF(COUNTIFS(実績!$W$6:$W$505,AN$3,実績!$AI$6:$AI$505,"&lt;="&amp;$A64,実績!$AJ$6:$AJ$505,"&gt;"&amp;$A64,実績!$AL$6:$AL$505,"○")&gt;0,1,0))</f>
        <v>0</v>
      </c>
      <c r="AO64" s="39" t="n">
        <f aca="false">IF(AO$4=0,0,IF(COUNTIFS(実績!$W$6:$W$505,AO$3,実績!$AI$6:$AI$505,"&lt;="&amp;$A64,実績!$AJ$6:$AJ$505,"&gt;"&amp;$A64,実績!$AL$6:$AL$505,"○")&gt;0,1,0))</f>
        <v>0</v>
      </c>
      <c r="AP64" s="39" t="n">
        <f aca="false">IF(AP$4=0,0,IF(COUNTIFS(実績!$W$6:$W$505,AP$3,実績!$AI$6:$AI$505,"&lt;="&amp;$A64,実績!$AJ$6:$AJ$505,"&gt;"&amp;$A64,実績!$AL$6:$AL$505,"○")&gt;0,1,0))</f>
        <v>0</v>
      </c>
      <c r="AQ64" s="39" t="n">
        <f aca="false">IF(AQ$4=0,0,IF(COUNTIFS(実績!$W$6:$W$505,AQ$3,実績!$AI$6:$AI$505,"&lt;="&amp;$A64,実績!$AJ$6:$AJ$505,"&gt;"&amp;$A64,実績!$AL$6:$AL$505,"○")&gt;0,1,0))</f>
        <v>0</v>
      </c>
      <c r="AR64" s="39" t="n">
        <f aca="false">IF(AR$4=0,0,IF(COUNTIFS(実績!$W$6:$W$505,AR$3,実績!$AI$6:$AI$505,"&lt;="&amp;$A64,実績!$AJ$6:$AJ$505,"&gt;"&amp;$A64,実績!$AL$6:$AL$505,"○")&gt;0,1,0))</f>
        <v>0</v>
      </c>
      <c r="AS64" s="39" t="n">
        <f aca="false">IF(AS$4=0,0,IF(COUNTIFS(実績!$W$6:$W$505,AS$3,実績!$AI$6:$AI$505,"&lt;="&amp;$A64,実績!$AJ$6:$AJ$505,"&gt;"&amp;$A64,実績!$AL$6:$AL$505,"○")&gt;0,1,0))</f>
        <v>0</v>
      </c>
      <c r="AT64" s="39" t="n">
        <f aca="false">IF(AT$4=0,0,IF(COUNTIFS(実績!$W$6:$W$505,AT$3,実績!$AI$6:$AI$505,"&lt;="&amp;$A64,実績!$AJ$6:$AJ$505,"&gt;"&amp;$A64,実績!$AL$6:$AL$505,"○")&gt;0,1,0))</f>
        <v>0</v>
      </c>
      <c r="AU64" s="39" t="n">
        <f aca="false">IF(AU$4=0,0,IF(COUNTIFS(実績!$W$6:$W$505,AU$3,実績!$AI$6:$AI$505,"&lt;="&amp;$A64,実績!$AJ$6:$AJ$505,"&gt;"&amp;$A64,実績!$AL$6:$AL$505,"○")&gt;0,1,0))</f>
        <v>0</v>
      </c>
      <c r="AV64" s="39" t="n">
        <f aca="false">IF(AV$4=0,0,IF(COUNTIFS(実績!$W$6:$W$505,AV$3,実績!$AI$6:$AI$505,"&lt;="&amp;$A64,実績!$AJ$6:$AJ$505,"&gt;"&amp;$A64,実績!$AL$6:$AL$505,"○")&gt;0,1,0))</f>
        <v>0</v>
      </c>
      <c r="AW64" s="39" t="n">
        <f aca="false">IF(AW$4=0,0,IF(COUNTIFS(実績!$W$6:$W$505,AW$3,実績!$AI$6:$AI$505,"&lt;="&amp;$A64,実績!$AJ$6:$AJ$505,"&gt;"&amp;$A64,実績!$AL$6:$AL$505,"○")&gt;0,1,0))</f>
        <v>0</v>
      </c>
      <c r="AX64" s="39" t="n">
        <f aca="false">IF(AX$4=0,0,IF(COUNTIFS(実績!$W$6:$W$505,AX$3,実績!$AI$6:$AI$505,"&lt;="&amp;$A64,実績!$AJ$6:$AJ$505,"&gt;"&amp;$A64,実績!$AL$6:$AL$505,"○")&gt;0,1,0))</f>
        <v>0</v>
      </c>
      <c r="AY64" s="39" t="n">
        <f aca="false">IF(AY$4=0,0,IF(COUNTIFS(実績!$W$6:$W$505,AY$3,実績!$AI$6:$AI$505,"&lt;="&amp;$A64,実績!$AJ$6:$AJ$505,"&gt;"&amp;$A64,実績!$AL$6:$AL$505,"○")&gt;0,1,0))</f>
        <v>0</v>
      </c>
      <c r="AZ64" s="39" t="n">
        <f aca="false">IF(AZ$4=0,0,IF(COUNTIFS(実績!$W$6:$W$505,AZ$3,実績!$AI$6:$AI$505,"&lt;="&amp;$A64,実績!$AJ$6:$AJ$505,"&gt;"&amp;$A64,実績!$AL$6:$AL$505,"○")&gt;0,1,0))</f>
        <v>0</v>
      </c>
      <c r="BA64" s="39" t="n">
        <f aca="false">IF(BA$4=0,0,IF(COUNTIFS(実績!$W$6:$W$505,BA$3,実績!$AI$6:$AI$505,"&lt;="&amp;$A64,実績!$AJ$6:$AJ$505,"&gt;"&amp;$A64,実績!$AL$6:$AL$505,"○")&gt;0,1,0))</f>
        <v>0</v>
      </c>
      <c r="BB64" s="39" t="n">
        <f aca="false">IF(BB$4=0,0,IF(COUNTIFS(実績!$W$6:$W$505,BB$3,実績!$AI$6:$AI$505,"&lt;="&amp;$A64,実績!$AJ$6:$AJ$505,"&gt;"&amp;$A64,実績!$AL$6:$AL$505,"○")&gt;0,1,0))</f>
        <v>0</v>
      </c>
      <c r="BC64" s="39" t="n">
        <f aca="false">IF(BC$4=0,0,IF(COUNTIFS(実績!$W$6:$W$505,BC$3,実績!$AI$6:$AI$505,"&lt;="&amp;$A64,実績!$AJ$6:$AJ$505,"&gt;"&amp;$A64,実績!$AL$6:$AL$505,"○")&gt;0,1,0))</f>
        <v>0</v>
      </c>
      <c r="BD64" s="39" t="n">
        <f aca="false">IF(BD$4=0,0,IF(COUNTIFS(実績!$W$6:$W$505,BD$3,実績!$AI$6:$AI$505,"&lt;="&amp;$A64,実績!$AJ$6:$AJ$505,"&gt;"&amp;$A64,実績!$AL$6:$AL$505,"○")&gt;0,1,0))</f>
        <v>0</v>
      </c>
      <c r="BE64" s="39" t="n">
        <f aca="false">IF(BE$4=0,0,IF(COUNTIFS(実績!$W$6:$W$505,BE$3,実績!$AI$6:$AI$505,"&lt;="&amp;$A64,実績!$AJ$6:$AJ$505,"&gt;"&amp;$A64,実績!$AL$6:$AL$505,"○")&gt;0,1,0))</f>
        <v>0</v>
      </c>
      <c r="BF64" s="39" t="n">
        <f aca="false">IF(BF$4=0,0,IF(COUNTIFS(実績!$W$6:$W$505,BF$3,実績!$AI$6:$AI$505,"&lt;="&amp;$A64,実績!$AJ$6:$AJ$505,"&gt;"&amp;$A64,実績!$AL$6:$AL$505,"○")&gt;0,1,0))</f>
        <v>0</v>
      </c>
      <c r="BG64" s="39" t="n">
        <f aca="false">IF(BG$4=0,0,IF(COUNTIFS(実績!$W$6:$W$505,BG$3,実績!$AI$6:$AI$505,"&lt;="&amp;$A64,実績!$AJ$6:$AJ$505,"&gt;"&amp;$A64,実績!$AL$6:$AL$505,"○")&gt;0,1,0))</f>
        <v>0</v>
      </c>
      <c r="BH64" s="39" t="n">
        <f aca="false">IF(BH$4=0,0,IF(COUNTIFS(実績!$W$6:$W$505,BH$3,実績!$AI$6:$AI$505,"&lt;="&amp;$A64,実績!$AJ$6:$AJ$505,"&gt;"&amp;$A64,実績!$AL$6:$AL$505,"○")&gt;0,1,0))</f>
        <v>0</v>
      </c>
      <c r="BI64" s="39" t="n">
        <f aca="false">IF(BI$4=0,0,IF(COUNTIFS(実績!$W$6:$W$505,BI$3,実績!$AI$6:$AI$505,"&lt;="&amp;$A64,実績!$AJ$6:$AJ$505,"&gt;"&amp;$A64,実績!$AL$6:$AL$505,"○")&gt;0,1,0))</f>
        <v>0</v>
      </c>
      <c r="BJ64" s="39" t="n">
        <f aca="false">IF(BJ$4=0,0,IF(COUNTIFS(実績!$W$6:$W$505,BJ$3,実績!$AI$6:$AI$505,"&lt;="&amp;$A64,実績!$AJ$6:$AJ$505,"&gt;"&amp;$A64,実績!$AL$6:$AL$505,"○")&gt;0,1,0))</f>
        <v>0</v>
      </c>
      <c r="BK64" s="39" t="n">
        <f aca="false">IF(BK$4=0,0,IF(COUNTIFS(実績!$W$6:$W$505,BK$3,実績!$AI$6:$AI$505,"&lt;="&amp;$A64,実績!$AJ$6:$AJ$505,"&gt;"&amp;$A64,実績!$AL$6:$AL$505,"○")&gt;0,1,0))</f>
        <v>0</v>
      </c>
      <c r="BL64" s="39" t="n">
        <f aca="false">IF(BL$4=0,0,IF(COUNTIFS(実績!$W$6:$W$505,BL$3,実績!$AI$6:$AI$505,"&lt;="&amp;$A64,実績!$AJ$6:$AJ$505,"&gt;"&amp;$A64,実績!$AL$6:$AL$505,"○")&gt;0,1,0))</f>
        <v>0</v>
      </c>
      <c r="BM64" s="39" t="n">
        <f aca="false">IF(BM$4=0,0,IF(COUNTIFS(実績!$W$6:$W$505,BM$3,実績!$AI$6:$AI$505,"&lt;="&amp;$A64,実績!$AJ$6:$AJ$505,"&gt;"&amp;$A64,実績!$AL$6:$AL$505,"○")&gt;0,1,0))</f>
        <v>0</v>
      </c>
      <c r="BN64" s="39" t="n">
        <f aca="false">IF(BN$4=0,0,IF(COUNTIFS(実績!$W$6:$W$505,BN$3,実績!$AI$6:$AI$505,"&lt;="&amp;$A64,実績!$AJ$6:$AJ$505,"&gt;"&amp;$A64,実績!$AL$6:$AL$505,"○")&gt;0,1,0))</f>
        <v>0</v>
      </c>
      <c r="BO64" s="39" t="n">
        <f aca="false">IF(BO$4=0,0,IF(COUNTIFS(実績!$W$6:$W$505,BO$3,実績!$AI$6:$AI$505,"&lt;="&amp;$A64,実績!$AJ$6:$AJ$505,"&gt;"&amp;$A64,実績!$AL$6:$AL$505,"○")&gt;0,1,0))</f>
        <v>0</v>
      </c>
      <c r="BP64" s="39" t="n">
        <f aca="false">IF(BP$4=0,0,IF(COUNTIFS(実績!$W$6:$W$505,BP$3,実績!$AI$6:$AI$505,"&lt;="&amp;$A64,実績!$AJ$6:$AJ$505,"&gt;"&amp;$A64,実績!$AL$6:$AL$505,"○")&gt;0,1,0))</f>
        <v>0</v>
      </c>
      <c r="BQ64" s="39" t="n">
        <f aca="false">IF(BQ$4=0,0,IF(COUNTIFS(実績!$W$6:$W$505,BQ$3,実績!$AI$6:$AI$505,"&lt;="&amp;$A64,実績!$AJ$6:$AJ$505,"&gt;"&amp;$A64,実績!$AL$6:$AL$505,"○")&gt;0,1,0))</f>
        <v>0</v>
      </c>
      <c r="BR64" s="39" t="n">
        <f aca="false">IF(BR$4=0,0,IF(COUNTIFS(実績!$W$6:$W$505,BR$3,実績!$AI$6:$AI$505,"&lt;="&amp;$A64,実績!$AJ$6:$AJ$505,"&gt;"&amp;$A64,実績!$AL$6:$AL$505,"○")&gt;0,1,0))</f>
        <v>0</v>
      </c>
      <c r="BS64" s="39" t="n">
        <f aca="false">IF(BS$4=0,0,IF(COUNTIFS(実績!$W$6:$W$505,BS$3,実績!$AI$6:$AI$505,"&lt;="&amp;$A64,実績!$AJ$6:$AJ$505,"&gt;"&amp;$A64,実績!$AL$6:$AL$505,"○")&gt;0,1,0))</f>
        <v>0</v>
      </c>
      <c r="BT64" s="39" t="n">
        <f aca="false">IF(BT$4=0,0,IF(COUNTIFS(実績!$W$6:$W$505,BT$3,実績!$AI$6:$AI$505,"&lt;="&amp;$A64,実績!$AJ$6:$AJ$505,"&gt;"&amp;$A64,実績!$AL$6:$AL$505,"○")&gt;0,1,0))</f>
        <v>0</v>
      </c>
      <c r="BU64" s="39" t="n">
        <f aca="false">IF(BU$4=0,0,IF(COUNTIFS(実績!$W$6:$W$505,BU$3,実績!$AI$6:$AI$505,"&lt;="&amp;$A64,実績!$AJ$6:$AJ$505,"&gt;"&amp;$A64,実績!$AL$6:$AL$505,"○")&gt;0,1,0))</f>
        <v>0</v>
      </c>
      <c r="BV64" s="39" t="n">
        <f aca="false">IF(BV$4=0,0,IF(COUNTIFS(実績!$W$6:$W$505,BV$3,実績!$AI$6:$AI$505,"&lt;="&amp;$A64,実績!$AJ$6:$AJ$505,"&gt;"&amp;$A64,実績!$AL$6:$AL$505,"○")&gt;0,1,0))</f>
        <v>0</v>
      </c>
      <c r="BW64" s="39" t="n">
        <f aca="false">IF(BW$4=0,0,IF(COUNTIFS(実績!$W$6:$W$505,BW$3,実績!$AI$6:$AI$505,"&lt;="&amp;$A64,実績!$AJ$6:$AJ$505,"&gt;"&amp;$A64,実績!$AL$6:$AL$505,"○")&gt;0,1,0))</f>
        <v>0</v>
      </c>
      <c r="BX64" s="39" t="n">
        <f aca="false">IF(BX$4=0,0,IF(COUNTIFS(実績!$W$6:$W$505,BX$3,実績!$AI$6:$AI$505,"&lt;="&amp;$A64,実績!$AJ$6:$AJ$505,"&gt;"&amp;$A64,実績!$AL$6:$AL$505,"○")&gt;0,1,0))</f>
        <v>0</v>
      </c>
      <c r="BY64" s="39" t="n">
        <f aca="false">IF(BY$4=0,0,IF(COUNTIFS(実績!$W$6:$W$505,BY$3,実績!$AI$6:$AI$505,"&lt;="&amp;$A64,実績!$AJ$6:$AJ$505,"&gt;"&amp;$A64,実績!$AL$6:$AL$505,"○")&gt;0,1,0))</f>
        <v>0</v>
      </c>
      <c r="BZ64" s="39" t="n">
        <f aca="false">IF(BZ$4=0,0,IF(COUNTIFS(実績!$W$6:$W$505,BZ$3,実績!$AI$6:$AI$505,"&lt;="&amp;$A64,実績!$AJ$6:$AJ$505,"&gt;"&amp;$A64,実績!$AL$6:$AL$505,"○")&gt;0,1,0))</f>
        <v>0</v>
      </c>
      <c r="CA64" s="39" t="n">
        <f aca="false">IF(CA$4=0,0,IF(COUNTIFS(実績!$W$6:$W$505,CA$3,実績!$AI$6:$AI$505,"&lt;="&amp;$A64,実績!$AJ$6:$AJ$505,"&gt;"&amp;$A64,実績!$AL$6:$AL$505,"○")&gt;0,1,0))</f>
        <v>0</v>
      </c>
      <c r="CB64" s="39" t="n">
        <f aca="false">IF(CB$4=0,0,IF(COUNTIFS(実績!$W$6:$W$505,CB$3,実績!$AI$6:$AI$505,"&lt;="&amp;$A64,実績!$AJ$6:$AJ$505,"&gt;"&amp;$A64,実績!$AL$6:$AL$505,"○")&gt;0,1,0))</f>
        <v>0</v>
      </c>
      <c r="CC64" s="39" t="n">
        <f aca="false">IF(CC$4=0,0,IF(COUNTIFS(実績!$W$6:$W$505,CC$3,実績!$AI$6:$AI$505,"&lt;="&amp;$A64,実績!$AJ$6:$AJ$505,"&gt;"&amp;$A64,実績!$AL$6:$AL$505,"○")&gt;0,1,0))</f>
        <v>0</v>
      </c>
      <c r="CD64" s="39" t="n">
        <f aca="false">IF(CD$4=0,0,IF(COUNTIFS(実績!$W$6:$W$505,CD$3,実績!$AI$6:$AI$505,"&lt;="&amp;$A64,実績!$AJ$6:$AJ$505,"&gt;"&amp;$A64,実績!$AL$6:$AL$505,"○")&gt;0,1,0))</f>
        <v>0</v>
      </c>
      <c r="CE64" s="39" t="n">
        <f aca="false">IF(CE$4=0,0,IF(COUNTIFS(実績!$W$6:$W$505,CE$3,実績!$AI$6:$AI$505,"&lt;="&amp;$A64,実績!$AJ$6:$AJ$505,"&gt;"&amp;$A64,実績!$AL$6:$AL$505,"○")&gt;0,1,0))</f>
        <v>0</v>
      </c>
      <c r="CF64" s="39" t="n">
        <f aca="false">IF(CF$4=0,0,IF(COUNTIFS(実績!$W$6:$W$505,CF$3,実績!$AI$6:$AI$505,"&lt;="&amp;$A64,実績!$AJ$6:$AJ$505,"&gt;"&amp;$A64,実績!$AL$6:$AL$505,"○")&gt;0,1,0))</f>
        <v>0</v>
      </c>
      <c r="CG64" s="39" t="n">
        <f aca="false">IF(CG$4=0,0,IF(COUNTIFS(実績!$W$6:$W$505,CG$3,実績!$AI$6:$AI$505,"&lt;="&amp;$A64,実績!$AJ$6:$AJ$505,"&gt;"&amp;$A64,実績!$AL$6:$AL$505,"○")&gt;0,1,0))</f>
        <v>0</v>
      </c>
      <c r="CH64" s="39" t="n">
        <f aca="false">IF(CH$4=0,0,IF(COUNTIFS(実績!$W$6:$W$505,CH$3,実績!$AI$6:$AI$505,"&lt;="&amp;$A64,実績!$AJ$6:$AJ$505,"&gt;"&amp;$A64,実績!$AL$6:$AL$505,"○")&gt;0,1,0))</f>
        <v>0</v>
      </c>
      <c r="CI64" s="39" t="n">
        <f aca="false">IF(CI$4=0,0,IF(COUNTIFS(実績!$W$6:$W$505,CI$3,実績!$AI$6:$AI$505,"&lt;="&amp;$A64,実績!$AJ$6:$AJ$505,"&gt;"&amp;$A64,実績!$AL$6:$AL$505,"○")&gt;0,1,0))</f>
        <v>0</v>
      </c>
      <c r="CJ64" s="39" t="n">
        <f aca="false">IF(CJ$4=0,0,IF(COUNTIFS(実績!$W$6:$W$505,CJ$3,実績!$AI$6:$AI$505,"&lt;="&amp;$A64,実績!$AJ$6:$AJ$505,"&gt;"&amp;$A64,実績!$AL$6:$AL$505,"○")&gt;0,1,0))</f>
        <v>0</v>
      </c>
      <c r="CK64" s="39" t="n">
        <f aca="false">IF(CK$4=0,0,IF(COUNTIFS(実績!$W$6:$W$505,CK$3,実績!$AI$6:$AI$505,"&lt;="&amp;$A64,実績!$AJ$6:$AJ$505,"&gt;"&amp;$A64,実績!$AL$6:$AL$505,"○")&gt;0,1,0))</f>
        <v>0</v>
      </c>
      <c r="CL64" s="39" t="n">
        <f aca="false">IF(CL$4=0,0,IF(COUNTIFS(実績!$W$6:$W$505,CL$3,実績!$AI$6:$AI$505,"&lt;="&amp;$A64,実績!$AJ$6:$AJ$505,"&gt;"&amp;$A64,実績!$AL$6:$AL$505,"○")&gt;0,1,0))</f>
        <v>0</v>
      </c>
      <c r="CM64" s="39" t="n">
        <f aca="false">IF(CM$4=0,0,IF(COUNTIFS(実績!$W$6:$W$505,CM$3,実績!$AI$6:$AI$505,"&lt;="&amp;$A64,実績!$AJ$6:$AJ$505,"&gt;"&amp;$A64,実績!$AL$6:$AL$505,"○")&gt;0,1,0))</f>
        <v>0</v>
      </c>
      <c r="CN64" s="39" t="n">
        <f aca="false">IF(CN$4=0,0,IF(COUNTIFS(実績!$W$6:$W$505,CN$3,実績!$AI$6:$AI$505,"&lt;="&amp;$A64,実績!$AJ$6:$AJ$505,"&gt;"&amp;$A64,実績!$AL$6:$AL$505,"○")&gt;0,1,0))</f>
        <v>0</v>
      </c>
      <c r="CO64" s="39" t="n">
        <f aca="false">IF(CO$4=0,0,IF(COUNTIFS(実績!$W$6:$W$505,CO$3,実績!$AI$6:$AI$505,"&lt;="&amp;$A64,実績!$AJ$6:$AJ$505,"&gt;"&amp;$A64,実績!$AL$6:$AL$505,"○")&gt;0,1,0))</f>
        <v>0</v>
      </c>
      <c r="CP64" s="39" t="n">
        <f aca="false">IF(CP$4=0,0,IF(COUNTIFS(実績!$W$6:$W$505,CP$3,実績!$AI$6:$AI$505,"&lt;="&amp;$A64,実績!$AJ$6:$AJ$505,"&gt;"&amp;$A64,実績!$AL$6:$AL$505,"○")&gt;0,1,0))</f>
        <v>0</v>
      </c>
      <c r="CQ64" s="39" t="n">
        <f aca="false">IF(CQ$4=0,0,IF(COUNTIFS(実績!$W$6:$W$505,CQ$3,実績!$AI$6:$AI$505,"&lt;="&amp;$A64,実績!$AJ$6:$AJ$505,"&gt;"&amp;$A64,実績!$AL$6:$AL$505,"○")&gt;0,1,0))</f>
        <v>0</v>
      </c>
      <c r="CR64" s="39" t="n">
        <f aca="false">IF(CR$4=0,0,IF(COUNTIFS(実績!$W$6:$W$505,CR$3,実績!$AI$6:$AI$505,"&lt;="&amp;$A64,実績!$AJ$6:$AJ$505,"&gt;"&amp;$A64,実績!$AL$6:$AL$505,"○")&gt;0,1,0))</f>
        <v>0</v>
      </c>
      <c r="CS64" s="39" t="n">
        <f aca="false">IF(CS$4=0,0,IF(COUNTIFS(実績!$W$6:$W$505,CS$3,実績!$AI$6:$AI$505,"&lt;="&amp;$A64,実績!$AJ$6:$AJ$505,"&gt;"&amp;$A64,実績!$AL$6:$AL$505,"○")&gt;0,1,0))</f>
        <v>0</v>
      </c>
      <c r="CT64" s="39" t="n">
        <f aca="false">IF(CT$4=0,0,IF(COUNTIFS(実績!$W$6:$W$505,CT$3,実績!$AI$6:$AI$505,"&lt;="&amp;$A64,実績!$AJ$6:$AJ$505,"&gt;"&amp;$A64,実績!$AL$6:$AL$505,"○")&gt;0,1,0))</f>
        <v>0</v>
      </c>
      <c r="CU64" s="39" t="n">
        <f aca="false">IF(CU$4=0,0,IF(COUNTIFS(実績!$W$6:$W$505,CU$3,実績!$AI$6:$AI$505,"&lt;="&amp;$A64,実績!$AJ$6:$AJ$505,"&gt;"&amp;$A64,実績!$AL$6:$AL$505,"○")&gt;0,1,0))</f>
        <v>0</v>
      </c>
      <c r="CV64" s="39" t="n">
        <f aca="false">IF(CV$4=0,0,IF(COUNTIFS(実績!$W$6:$W$505,CV$3,実績!$AI$6:$AI$505,"&lt;="&amp;$A64,実績!$AJ$6:$AJ$505,"&gt;"&amp;$A64,実績!$AL$6:$AL$505,"○")&gt;0,1,0))</f>
        <v>0</v>
      </c>
      <c r="CW64" s="39" t="n">
        <f aca="false">IF(CW$4=0,0,IF(COUNTIFS(実績!$W$6:$W$505,CW$3,実績!$AI$6:$AI$505,"&lt;="&amp;$A64,実績!$AJ$6:$AJ$505,"&gt;"&amp;$A64,実績!$AL$6:$AL$505,"○")&gt;0,1,0))</f>
        <v>0</v>
      </c>
      <c r="CX64" s="39" t="n">
        <f aca="false">IF(CX$4=0,0,IF(COUNTIFS(実績!$W$6:$W$505,CX$3,実績!$AI$6:$AI$505,"&lt;="&amp;$A64,実績!$AJ$6:$AJ$505,"&gt;"&amp;$A64,実績!$AL$6:$AL$505,"○")&gt;0,1,0))</f>
        <v>0</v>
      </c>
      <c r="CY64" s="39" t="n">
        <f aca="false">IF(CY$4=0,0,IF(COUNTIFS(実績!$W$6:$W$505,CY$3,実績!$AI$6:$AI$505,"&lt;="&amp;$A64,実績!$AJ$6:$AJ$505,"&gt;"&amp;$A64,実績!$AL$6:$AL$505,"○")&gt;0,1,0))</f>
        <v>0</v>
      </c>
      <c r="CZ64" s="39" t="n">
        <f aca="false">IF(CZ$4=0,0,IF(COUNTIFS(実績!$W$6:$W$505,CZ$3,実績!$AI$6:$AI$505,"&lt;="&amp;$A64,実績!$AJ$6:$AJ$505,"&gt;"&amp;$A64,実績!$AL$6:$AL$505,"○")&gt;0,1,0))</f>
        <v>0</v>
      </c>
      <c r="DA64" s="39" t="n">
        <f aca="false">IF(DA$4=0,0,IF(COUNTIFS(実績!$W$6:$W$505,DA$3,実績!$AI$6:$AI$505,"&lt;="&amp;$A64,実績!$AJ$6:$AJ$505,"&gt;"&amp;$A64,実績!$AL$6:$AL$505,"○")&gt;0,1,0))</f>
        <v>0</v>
      </c>
      <c r="DB64" s="39" t="n">
        <f aca="false">IF(DB$4=0,0,IF(COUNTIFS(実績!$W$6:$W$505,DB$3,実績!$AI$6:$AI$505,"&lt;="&amp;$A64,実績!$AJ$6:$AJ$505,"&gt;"&amp;$A64,実績!$AL$6:$AL$505,"○")&gt;0,1,0))</f>
        <v>0</v>
      </c>
      <c r="DC64" s="39" t="n">
        <f aca="false">IF(DC$4=0,0,IF(COUNTIFS(実績!$W$6:$W$505,DC$3,実績!$AI$6:$AI$505,"&lt;="&amp;$A64,実績!$AJ$6:$AJ$505,"&gt;"&amp;$A64,実績!$AL$6:$AL$505,"○")&gt;0,1,0))</f>
        <v>0</v>
      </c>
      <c r="DD64" s="39" t="n">
        <f aca="false">IF(DD$4=0,0,IF(COUNTIFS(実績!$W$6:$W$505,DD$3,実績!$AI$6:$AI$505,"&lt;="&amp;$A64,実績!$AJ$6:$AJ$505,"&gt;"&amp;$A64,実績!$AL$6:$AL$505,"○")&gt;0,1,0))</f>
        <v>0</v>
      </c>
      <c r="DE64" s="39" t="n">
        <f aca="false">IF(DE$4=0,0,IF(COUNTIFS(実績!$W$6:$W$505,DE$3,実績!$AI$6:$AI$505,"&lt;="&amp;$A64,実績!$AJ$6:$AJ$505,"&gt;"&amp;$A64,実績!$AL$6:$AL$505,"○")&gt;0,1,0))</f>
        <v>0</v>
      </c>
      <c r="DF64" s="39" t="n">
        <f aca="false">IF(DF$4=0,0,IF(COUNTIFS(実績!$W$6:$W$505,DF$3,実績!$AI$6:$AI$505,"&lt;="&amp;$A64,実績!$AJ$6:$AJ$505,"&gt;"&amp;$A64,実績!$AL$6:$AL$505,"○")&gt;0,1,0))</f>
        <v>0</v>
      </c>
      <c r="DG64" s="39" t="n">
        <f aca="false">IF(DG$4=0,0,IF(COUNTIFS(実績!$W$6:$W$505,DG$3,実績!$AI$6:$AI$505,"&lt;="&amp;$A64,実績!$AJ$6:$AJ$505,"&gt;"&amp;$A64,実績!$AL$6:$AL$505,"○")&gt;0,1,0))</f>
        <v>0</v>
      </c>
      <c r="DH64" s="39" t="n">
        <f aca="false">IF(DH$4=0,0,IF(COUNTIFS(実績!$W$6:$W$505,DH$3,実績!$AI$6:$AI$505,"&lt;="&amp;$A64,実績!$AJ$6:$AJ$505,"&gt;"&amp;$A64,実績!$AL$6:$AL$505,"○")&gt;0,1,0))</f>
        <v>0</v>
      </c>
      <c r="DI64" s="39" t="n">
        <f aca="false">IF(DI$4=0,0,IF(COUNTIFS(実績!$W$6:$W$505,DI$3,実績!$AI$6:$AI$505,"&lt;="&amp;$A64,実績!$AJ$6:$AJ$505,"&gt;"&amp;$A64,実績!$AL$6:$AL$505,"○")&gt;0,1,0))</f>
        <v>0</v>
      </c>
      <c r="DJ64" s="39" t="n">
        <f aca="false">IF(DJ$4=0,0,IF(COUNTIFS(実績!$W$6:$W$505,DJ$3,実績!$AI$6:$AI$505,"&lt;="&amp;$A64,実績!$AJ$6:$AJ$505,"&gt;"&amp;$A64,実績!$AL$6:$AL$505,"○")&gt;0,1,0))</f>
        <v>0</v>
      </c>
      <c r="DK64" s="39" t="n">
        <f aca="false">IF(DK$4=0,0,IF(COUNTIFS(実績!$W$6:$W$505,DK$3,実績!$AI$6:$AI$505,"&lt;="&amp;$A64,実績!$AJ$6:$AJ$505,"&gt;"&amp;$A64,実績!$AL$6:$AL$505,"○")&gt;0,1,0))</f>
        <v>0</v>
      </c>
      <c r="DL64" s="39" t="n">
        <f aca="false">IF(DL$4=0,0,IF(COUNTIFS(実績!$W$6:$W$505,DL$3,実績!$AI$6:$AI$505,"&lt;="&amp;$A64,実績!$AJ$6:$AJ$505,"&gt;"&amp;$A64,実績!$AL$6:$AL$505,"○")&gt;0,1,0))</f>
        <v>0</v>
      </c>
      <c r="DM64" s="39" t="n">
        <f aca="false">IF(DM$4=0,0,IF(COUNTIFS(実績!$W$6:$W$505,DM$3,実績!$AI$6:$AI$505,"&lt;="&amp;$A64,実績!$AJ$6:$AJ$505,"&gt;"&amp;$A64,実績!$AL$6:$AL$505,"○")&gt;0,1,0))</f>
        <v>0</v>
      </c>
      <c r="DN64" s="39" t="n">
        <f aca="false">IF(DN$4=0,0,IF(COUNTIFS(実績!$W$6:$W$505,DN$3,実績!$AI$6:$AI$505,"&lt;="&amp;$A64,実績!$AJ$6:$AJ$505,"&gt;"&amp;$A64,実績!$AL$6:$AL$505,"○")&gt;0,1,0))</f>
        <v>0</v>
      </c>
      <c r="DO64" s="39" t="n">
        <f aca="false">IF(DO$4=0,0,IF(COUNTIFS(実績!$W$6:$W$505,DO$3,実績!$AI$6:$AI$505,"&lt;="&amp;$A64,実績!$AJ$6:$AJ$505,"&gt;"&amp;$A64,実績!$AL$6:$AL$505,"○")&gt;0,1,0))</f>
        <v>0</v>
      </c>
      <c r="DP64" s="39" t="n">
        <f aca="false">IF(DP$4=0,0,IF(COUNTIFS(実績!$W$6:$W$505,DP$3,実績!$AI$6:$AI$505,"&lt;="&amp;$A64,実績!$AJ$6:$AJ$505,"&gt;"&amp;$A64,実績!$AL$6:$AL$505,"○")&gt;0,1,0))</f>
        <v>0</v>
      </c>
      <c r="DQ64" s="39" t="n">
        <f aca="false">IF(DQ$4=0,0,IF(COUNTIFS(実績!$W$6:$W$505,DQ$3,実績!$AI$6:$AI$505,"&lt;="&amp;$A64,実績!$AJ$6:$AJ$505,"&gt;"&amp;$A64,実績!$AL$6:$AL$505,"○")&gt;0,1,0))</f>
        <v>0</v>
      </c>
      <c r="DR64" s="39" t="n">
        <f aca="false">IF(DR$4=0,0,IF(COUNTIFS(実績!$W$6:$W$505,DR$3,実績!$AI$6:$AI$505,"&lt;="&amp;$A64,実績!$AJ$6:$AJ$505,"&gt;"&amp;$A64,実績!$AL$6:$AL$505,"○")&gt;0,1,0))</f>
        <v>0</v>
      </c>
      <c r="DS64" s="39" t="n">
        <f aca="false">SUM(C64:DR64)</f>
        <v>0</v>
      </c>
    </row>
    <row r="65" customFormat="false" ht="15" hidden="false" customHeight="false" outlineLevel="0" collapsed="false">
      <c r="A65" s="0" t="n">
        <v>295</v>
      </c>
      <c r="B65" s="38" t="n">
        <f aca="false">A65/1440</f>
        <v>0.204861111111111</v>
      </c>
      <c r="C65" s="39" t="n">
        <f aca="false">IF(C$4=0,0,IF(COUNTIFS(実績!$W$6:$W$505,C$3,実績!$AI$6:$AI$505,"&lt;="&amp;$A65,実績!$AJ$6:$AJ$505,"&gt;"&amp;$A65,実績!$AL$6:$AL$505,"○")&gt;0,1,0))</f>
        <v>0</v>
      </c>
      <c r="D65" s="39" t="n">
        <f aca="false">IF(D$4=0,0,IF(COUNTIFS(実績!$W$6:$W$505,D$3,実績!$AI$6:$AI$505,"&lt;="&amp;$A65,実績!$AJ$6:$AJ$505,"&gt;"&amp;$A65,実績!$AL$6:$AL$505,"○")&gt;0,1,0))</f>
        <v>0</v>
      </c>
      <c r="E65" s="39" t="n">
        <f aca="false">IF(E$4=0,0,IF(COUNTIFS(実績!$W$6:$W$505,E$3,実績!$AI$6:$AI$505,"&lt;="&amp;$A65,実績!$AJ$6:$AJ$505,"&gt;"&amp;$A65,実績!$AL$6:$AL$505,"○")&gt;0,1,0))</f>
        <v>0</v>
      </c>
      <c r="F65" s="39" t="n">
        <f aca="false">IF(F$4=0,0,IF(COUNTIFS(実績!$W$6:$W$505,F$3,実績!$AI$6:$AI$505,"&lt;="&amp;$A65,実績!$AJ$6:$AJ$505,"&gt;"&amp;$A65,実績!$AL$6:$AL$505,"○")&gt;0,1,0))</f>
        <v>0</v>
      </c>
      <c r="G65" s="39" t="n">
        <f aca="false">IF(G$4=0,0,IF(COUNTIFS(実績!$W$6:$W$505,G$3,実績!$AI$6:$AI$505,"&lt;="&amp;$A65,実績!$AJ$6:$AJ$505,"&gt;"&amp;$A65,実績!$AL$6:$AL$505,"○")&gt;0,1,0))</f>
        <v>0</v>
      </c>
      <c r="H65" s="39" t="n">
        <f aca="false">IF(H$4=0,0,IF(COUNTIFS(実績!$W$6:$W$505,H$3,実績!$AI$6:$AI$505,"&lt;="&amp;$A65,実績!$AJ$6:$AJ$505,"&gt;"&amp;$A65,実績!$AL$6:$AL$505,"○")&gt;0,1,0))</f>
        <v>0</v>
      </c>
      <c r="I65" s="39" t="n">
        <f aca="false">IF(I$4=0,0,IF(COUNTIFS(実績!$W$6:$W$505,I$3,実績!$AI$6:$AI$505,"&lt;="&amp;$A65,実績!$AJ$6:$AJ$505,"&gt;"&amp;$A65,実績!$AL$6:$AL$505,"○")&gt;0,1,0))</f>
        <v>0</v>
      </c>
      <c r="J65" s="39" t="n">
        <f aca="false">IF(J$4=0,0,IF(COUNTIFS(実績!$W$6:$W$505,J$3,実績!$AI$6:$AI$505,"&lt;="&amp;$A65,実績!$AJ$6:$AJ$505,"&gt;"&amp;$A65,実績!$AL$6:$AL$505,"○")&gt;0,1,0))</f>
        <v>0</v>
      </c>
      <c r="K65" s="39" t="n">
        <f aca="false">IF(K$4=0,0,IF(COUNTIFS(実績!$W$6:$W$505,K$3,実績!$AI$6:$AI$505,"&lt;="&amp;$A65,実績!$AJ$6:$AJ$505,"&gt;"&amp;$A65,実績!$AL$6:$AL$505,"○")&gt;0,1,0))</f>
        <v>0</v>
      </c>
      <c r="L65" s="39" t="n">
        <f aca="false">IF(L$4=0,0,IF(COUNTIFS(実績!$W$6:$W$505,L$3,実績!$AI$6:$AI$505,"&lt;="&amp;$A65,実績!$AJ$6:$AJ$505,"&gt;"&amp;$A65,実績!$AL$6:$AL$505,"○")&gt;0,1,0))</f>
        <v>0</v>
      </c>
      <c r="M65" s="39" t="n">
        <f aca="false">IF(M$4=0,0,IF(COUNTIFS(実績!$W$6:$W$505,M$3,実績!$AI$6:$AI$505,"&lt;="&amp;$A65,実績!$AJ$6:$AJ$505,"&gt;"&amp;$A65,実績!$AL$6:$AL$505,"○")&gt;0,1,0))</f>
        <v>0</v>
      </c>
      <c r="N65" s="39" t="n">
        <f aca="false">IF(N$4=0,0,IF(COUNTIFS(実績!$W$6:$W$505,N$3,実績!$AI$6:$AI$505,"&lt;="&amp;$A65,実績!$AJ$6:$AJ$505,"&gt;"&amp;$A65,実績!$AL$6:$AL$505,"○")&gt;0,1,0))</f>
        <v>0</v>
      </c>
      <c r="O65" s="39" t="n">
        <f aca="false">IF(O$4=0,0,IF(COUNTIFS(実績!$W$6:$W$505,O$3,実績!$AI$6:$AI$505,"&lt;="&amp;$A65,実績!$AJ$6:$AJ$505,"&gt;"&amp;$A65,実績!$AL$6:$AL$505,"○")&gt;0,1,0))</f>
        <v>0</v>
      </c>
      <c r="P65" s="39" t="n">
        <f aca="false">IF(P$4=0,0,IF(COUNTIFS(実績!$W$6:$W$505,P$3,実績!$AI$6:$AI$505,"&lt;="&amp;$A65,実績!$AJ$6:$AJ$505,"&gt;"&amp;$A65,実績!$AL$6:$AL$505,"○")&gt;0,1,0))</f>
        <v>0</v>
      </c>
      <c r="Q65" s="39" t="n">
        <f aca="false">IF(Q$4=0,0,IF(COUNTIFS(実績!$W$6:$W$505,Q$3,実績!$AI$6:$AI$505,"&lt;="&amp;$A65,実績!$AJ$6:$AJ$505,"&gt;"&amp;$A65,実績!$AL$6:$AL$505,"○")&gt;0,1,0))</f>
        <v>0</v>
      </c>
      <c r="R65" s="39" t="n">
        <f aca="false">IF(R$4=0,0,IF(COUNTIFS(実績!$W$6:$W$505,R$3,実績!$AI$6:$AI$505,"&lt;="&amp;$A65,実績!$AJ$6:$AJ$505,"&gt;"&amp;$A65,実績!$AL$6:$AL$505,"○")&gt;0,1,0))</f>
        <v>0</v>
      </c>
      <c r="S65" s="39" t="n">
        <f aca="false">IF(S$4=0,0,IF(COUNTIFS(実績!$W$6:$W$505,S$3,実績!$AI$6:$AI$505,"&lt;="&amp;$A65,実績!$AJ$6:$AJ$505,"&gt;"&amp;$A65,実績!$AL$6:$AL$505,"○")&gt;0,1,0))</f>
        <v>0</v>
      </c>
      <c r="T65" s="39" t="n">
        <f aca="false">IF(T$4=0,0,IF(COUNTIFS(実績!$W$6:$W$505,T$3,実績!$AI$6:$AI$505,"&lt;="&amp;$A65,実績!$AJ$6:$AJ$505,"&gt;"&amp;$A65,実績!$AL$6:$AL$505,"○")&gt;0,1,0))</f>
        <v>0</v>
      </c>
      <c r="U65" s="39" t="n">
        <f aca="false">IF(U$4=0,0,IF(COUNTIFS(実績!$W$6:$W$505,U$3,実績!$AI$6:$AI$505,"&lt;="&amp;$A65,実績!$AJ$6:$AJ$505,"&gt;"&amp;$A65,実績!$AL$6:$AL$505,"○")&gt;0,1,0))</f>
        <v>0</v>
      </c>
      <c r="V65" s="39" t="n">
        <f aca="false">IF(V$4=0,0,IF(COUNTIFS(実績!$W$6:$W$505,V$3,実績!$AI$6:$AI$505,"&lt;="&amp;$A65,実績!$AJ$6:$AJ$505,"&gt;"&amp;$A65,実績!$AL$6:$AL$505,"○")&gt;0,1,0))</f>
        <v>0</v>
      </c>
      <c r="W65" s="39" t="n">
        <f aca="false">IF(W$4=0,0,IF(COUNTIFS(実績!$W$6:$W$505,W$3,実績!$AI$6:$AI$505,"&lt;="&amp;$A65,実績!$AJ$6:$AJ$505,"&gt;"&amp;$A65,実績!$AL$6:$AL$505,"○")&gt;0,1,0))</f>
        <v>0</v>
      </c>
      <c r="X65" s="39" t="n">
        <f aca="false">IF(X$4=0,0,IF(COUNTIFS(実績!$W$6:$W$505,X$3,実績!$AI$6:$AI$505,"&lt;="&amp;$A65,実績!$AJ$6:$AJ$505,"&gt;"&amp;$A65,実績!$AL$6:$AL$505,"○")&gt;0,1,0))</f>
        <v>0</v>
      </c>
      <c r="Y65" s="39" t="n">
        <f aca="false">IF(Y$4=0,0,IF(COUNTIFS(実績!$W$6:$W$505,Y$3,実績!$AI$6:$AI$505,"&lt;="&amp;$A65,実績!$AJ$6:$AJ$505,"&gt;"&amp;$A65,実績!$AL$6:$AL$505,"○")&gt;0,1,0))</f>
        <v>0</v>
      </c>
      <c r="Z65" s="39" t="n">
        <f aca="false">IF(Z$4=0,0,IF(COUNTIFS(実績!$W$6:$W$505,Z$3,実績!$AI$6:$AI$505,"&lt;="&amp;$A65,実績!$AJ$6:$AJ$505,"&gt;"&amp;$A65,実績!$AL$6:$AL$505,"○")&gt;0,1,0))</f>
        <v>0</v>
      </c>
      <c r="AA65" s="39" t="n">
        <f aca="false">IF(AA$4=0,0,IF(COUNTIFS(実績!$W$6:$W$505,AA$3,実績!$AI$6:$AI$505,"&lt;="&amp;$A65,実績!$AJ$6:$AJ$505,"&gt;"&amp;$A65,実績!$AL$6:$AL$505,"○")&gt;0,1,0))</f>
        <v>0</v>
      </c>
      <c r="AB65" s="39" t="n">
        <f aca="false">IF(AB$4=0,0,IF(COUNTIFS(実績!$W$6:$W$505,AB$3,実績!$AI$6:$AI$505,"&lt;="&amp;$A65,実績!$AJ$6:$AJ$505,"&gt;"&amp;$A65,実績!$AL$6:$AL$505,"○")&gt;0,1,0))</f>
        <v>0</v>
      </c>
      <c r="AC65" s="39" t="n">
        <f aca="false">IF(AC$4=0,0,IF(COUNTIFS(実績!$W$6:$W$505,AC$3,実績!$AI$6:$AI$505,"&lt;="&amp;$A65,実績!$AJ$6:$AJ$505,"&gt;"&amp;$A65,実績!$AL$6:$AL$505,"○")&gt;0,1,0))</f>
        <v>0</v>
      </c>
      <c r="AD65" s="39" t="n">
        <f aca="false">IF(AD$4=0,0,IF(COUNTIFS(実績!$W$6:$W$505,AD$3,実績!$AI$6:$AI$505,"&lt;="&amp;$A65,実績!$AJ$6:$AJ$505,"&gt;"&amp;$A65,実績!$AL$6:$AL$505,"○")&gt;0,1,0))</f>
        <v>0</v>
      </c>
      <c r="AE65" s="39" t="n">
        <f aca="false">IF(AE$4=0,0,IF(COUNTIFS(実績!$W$6:$W$505,AE$3,実績!$AI$6:$AI$505,"&lt;="&amp;$A65,実績!$AJ$6:$AJ$505,"&gt;"&amp;$A65,実績!$AL$6:$AL$505,"○")&gt;0,1,0))</f>
        <v>0</v>
      </c>
      <c r="AF65" s="39" t="n">
        <f aca="false">IF(AF$4=0,0,IF(COUNTIFS(実績!$W$6:$W$505,AF$3,実績!$AI$6:$AI$505,"&lt;="&amp;$A65,実績!$AJ$6:$AJ$505,"&gt;"&amp;$A65,実績!$AL$6:$AL$505,"○")&gt;0,1,0))</f>
        <v>0</v>
      </c>
      <c r="AG65" s="39" t="n">
        <f aca="false">IF(AG$4=0,0,IF(COUNTIFS(実績!$W$6:$W$505,AG$3,実績!$AI$6:$AI$505,"&lt;="&amp;$A65,実績!$AJ$6:$AJ$505,"&gt;"&amp;$A65,実績!$AL$6:$AL$505,"○")&gt;0,1,0))</f>
        <v>0</v>
      </c>
      <c r="AH65" s="39" t="n">
        <f aca="false">IF(AH$4=0,0,IF(COUNTIFS(実績!$W$6:$W$505,AH$3,実績!$AI$6:$AI$505,"&lt;="&amp;$A65,実績!$AJ$6:$AJ$505,"&gt;"&amp;$A65,実績!$AL$6:$AL$505,"○")&gt;0,1,0))</f>
        <v>0</v>
      </c>
      <c r="AI65" s="39" t="n">
        <f aca="false">IF(AI$4=0,0,IF(COUNTIFS(実績!$W$6:$W$505,AI$3,実績!$AI$6:$AI$505,"&lt;="&amp;$A65,実績!$AJ$6:$AJ$505,"&gt;"&amp;$A65,実績!$AL$6:$AL$505,"○")&gt;0,1,0))</f>
        <v>0</v>
      </c>
      <c r="AJ65" s="39" t="n">
        <f aca="false">IF(AJ$4=0,0,IF(COUNTIFS(実績!$W$6:$W$505,AJ$3,実績!$AI$6:$AI$505,"&lt;="&amp;$A65,実績!$AJ$6:$AJ$505,"&gt;"&amp;$A65,実績!$AL$6:$AL$505,"○")&gt;0,1,0))</f>
        <v>0</v>
      </c>
      <c r="AK65" s="39" t="n">
        <f aca="false">IF(AK$4=0,0,IF(COUNTIFS(実績!$W$6:$W$505,AK$3,実績!$AI$6:$AI$505,"&lt;="&amp;$A65,実績!$AJ$6:$AJ$505,"&gt;"&amp;$A65,実績!$AL$6:$AL$505,"○")&gt;0,1,0))</f>
        <v>0</v>
      </c>
      <c r="AL65" s="39" t="n">
        <f aca="false">IF(AL$4=0,0,IF(COUNTIFS(実績!$W$6:$W$505,AL$3,実績!$AI$6:$AI$505,"&lt;="&amp;$A65,実績!$AJ$6:$AJ$505,"&gt;"&amp;$A65,実績!$AL$6:$AL$505,"○")&gt;0,1,0))</f>
        <v>0</v>
      </c>
      <c r="AM65" s="39" t="n">
        <f aca="false">IF(AM$4=0,0,IF(COUNTIFS(実績!$W$6:$W$505,AM$3,実績!$AI$6:$AI$505,"&lt;="&amp;$A65,実績!$AJ$6:$AJ$505,"&gt;"&amp;$A65,実績!$AL$6:$AL$505,"○")&gt;0,1,0))</f>
        <v>0</v>
      </c>
      <c r="AN65" s="39" t="n">
        <f aca="false">IF(AN$4=0,0,IF(COUNTIFS(実績!$W$6:$W$505,AN$3,実績!$AI$6:$AI$505,"&lt;="&amp;$A65,実績!$AJ$6:$AJ$505,"&gt;"&amp;$A65,実績!$AL$6:$AL$505,"○")&gt;0,1,0))</f>
        <v>0</v>
      </c>
      <c r="AO65" s="39" t="n">
        <f aca="false">IF(AO$4=0,0,IF(COUNTIFS(実績!$W$6:$W$505,AO$3,実績!$AI$6:$AI$505,"&lt;="&amp;$A65,実績!$AJ$6:$AJ$505,"&gt;"&amp;$A65,実績!$AL$6:$AL$505,"○")&gt;0,1,0))</f>
        <v>0</v>
      </c>
      <c r="AP65" s="39" t="n">
        <f aca="false">IF(AP$4=0,0,IF(COUNTIFS(実績!$W$6:$W$505,AP$3,実績!$AI$6:$AI$505,"&lt;="&amp;$A65,実績!$AJ$6:$AJ$505,"&gt;"&amp;$A65,実績!$AL$6:$AL$505,"○")&gt;0,1,0))</f>
        <v>0</v>
      </c>
      <c r="AQ65" s="39" t="n">
        <f aca="false">IF(AQ$4=0,0,IF(COUNTIFS(実績!$W$6:$W$505,AQ$3,実績!$AI$6:$AI$505,"&lt;="&amp;$A65,実績!$AJ$6:$AJ$505,"&gt;"&amp;$A65,実績!$AL$6:$AL$505,"○")&gt;0,1,0))</f>
        <v>0</v>
      </c>
      <c r="AR65" s="39" t="n">
        <f aca="false">IF(AR$4=0,0,IF(COUNTIFS(実績!$W$6:$W$505,AR$3,実績!$AI$6:$AI$505,"&lt;="&amp;$A65,実績!$AJ$6:$AJ$505,"&gt;"&amp;$A65,実績!$AL$6:$AL$505,"○")&gt;0,1,0))</f>
        <v>0</v>
      </c>
      <c r="AS65" s="39" t="n">
        <f aca="false">IF(AS$4=0,0,IF(COUNTIFS(実績!$W$6:$W$505,AS$3,実績!$AI$6:$AI$505,"&lt;="&amp;$A65,実績!$AJ$6:$AJ$505,"&gt;"&amp;$A65,実績!$AL$6:$AL$505,"○")&gt;0,1,0))</f>
        <v>0</v>
      </c>
      <c r="AT65" s="39" t="n">
        <f aca="false">IF(AT$4=0,0,IF(COUNTIFS(実績!$W$6:$W$505,AT$3,実績!$AI$6:$AI$505,"&lt;="&amp;$A65,実績!$AJ$6:$AJ$505,"&gt;"&amp;$A65,実績!$AL$6:$AL$505,"○")&gt;0,1,0))</f>
        <v>0</v>
      </c>
      <c r="AU65" s="39" t="n">
        <f aca="false">IF(AU$4=0,0,IF(COUNTIFS(実績!$W$6:$W$505,AU$3,実績!$AI$6:$AI$505,"&lt;="&amp;$A65,実績!$AJ$6:$AJ$505,"&gt;"&amp;$A65,実績!$AL$6:$AL$505,"○")&gt;0,1,0))</f>
        <v>0</v>
      </c>
      <c r="AV65" s="39" t="n">
        <f aca="false">IF(AV$4=0,0,IF(COUNTIFS(実績!$W$6:$W$505,AV$3,実績!$AI$6:$AI$505,"&lt;="&amp;$A65,実績!$AJ$6:$AJ$505,"&gt;"&amp;$A65,実績!$AL$6:$AL$505,"○")&gt;0,1,0))</f>
        <v>0</v>
      </c>
      <c r="AW65" s="39" t="n">
        <f aca="false">IF(AW$4=0,0,IF(COUNTIFS(実績!$W$6:$W$505,AW$3,実績!$AI$6:$AI$505,"&lt;="&amp;$A65,実績!$AJ$6:$AJ$505,"&gt;"&amp;$A65,実績!$AL$6:$AL$505,"○")&gt;0,1,0))</f>
        <v>0</v>
      </c>
      <c r="AX65" s="39" t="n">
        <f aca="false">IF(AX$4=0,0,IF(COUNTIFS(実績!$W$6:$W$505,AX$3,実績!$AI$6:$AI$505,"&lt;="&amp;$A65,実績!$AJ$6:$AJ$505,"&gt;"&amp;$A65,実績!$AL$6:$AL$505,"○")&gt;0,1,0))</f>
        <v>0</v>
      </c>
      <c r="AY65" s="39" t="n">
        <f aca="false">IF(AY$4=0,0,IF(COUNTIFS(実績!$W$6:$W$505,AY$3,実績!$AI$6:$AI$505,"&lt;="&amp;$A65,実績!$AJ$6:$AJ$505,"&gt;"&amp;$A65,実績!$AL$6:$AL$505,"○")&gt;0,1,0))</f>
        <v>0</v>
      </c>
      <c r="AZ65" s="39" t="n">
        <f aca="false">IF(AZ$4=0,0,IF(COUNTIFS(実績!$W$6:$W$505,AZ$3,実績!$AI$6:$AI$505,"&lt;="&amp;$A65,実績!$AJ$6:$AJ$505,"&gt;"&amp;$A65,実績!$AL$6:$AL$505,"○")&gt;0,1,0))</f>
        <v>0</v>
      </c>
      <c r="BA65" s="39" t="n">
        <f aca="false">IF(BA$4=0,0,IF(COUNTIFS(実績!$W$6:$W$505,BA$3,実績!$AI$6:$AI$505,"&lt;="&amp;$A65,実績!$AJ$6:$AJ$505,"&gt;"&amp;$A65,実績!$AL$6:$AL$505,"○")&gt;0,1,0))</f>
        <v>0</v>
      </c>
      <c r="BB65" s="39" t="n">
        <f aca="false">IF(BB$4=0,0,IF(COUNTIFS(実績!$W$6:$W$505,BB$3,実績!$AI$6:$AI$505,"&lt;="&amp;$A65,実績!$AJ$6:$AJ$505,"&gt;"&amp;$A65,実績!$AL$6:$AL$505,"○")&gt;0,1,0))</f>
        <v>0</v>
      </c>
      <c r="BC65" s="39" t="n">
        <f aca="false">IF(BC$4=0,0,IF(COUNTIFS(実績!$W$6:$W$505,BC$3,実績!$AI$6:$AI$505,"&lt;="&amp;$A65,実績!$AJ$6:$AJ$505,"&gt;"&amp;$A65,実績!$AL$6:$AL$505,"○")&gt;0,1,0))</f>
        <v>0</v>
      </c>
      <c r="BD65" s="39" t="n">
        <f aca="false">IF(BD$4=0,0,IF(COUNTIFS(実績!$W$6:$W$505,BD$3,実績!$AI$6:$AI$505,"&lt;="&amp;$A65,実績!$AJ$6:$AJ$505,"&gt;"&amp;$A65,実績!$AL$6:$AL$505,"○")&gt;0,1,0))</f>
        <v>0</v>
      </c>
      <c r="BE65" s="39" t="n">
        <f aca="false">IF(BE$4=0,0,IF(COUNTIFS(実績!$W$6:$W$505,BE$3,実績!$AI$6:$AI$505,"&lt;="&amp;$A65,実績!$AJ$6:$AJ$505,"&gt;"&amp;$A65,実績!$AL$6:$AL$505,"○")&gt;0,1,0))</f>
        <v>0</v>
      </c>
      <c r="BF65" s="39" t="n">
        <f aca="false">IF(BF$4=0,0,IF(COUNTIFS(実績!$W$6:$W$505,BF$3,実績!$AI$6:$AI$505,"&lt;="&amp;$A65,実績!$AJ$6:$AJ$505,"&gt;"&amp;$A65,実績!$AL$6:$AL$505,"○")&gt;0,1,0))</f>
        <v>0</v>
      </c>
      <c r="BG65" s="39" t="n">
        <f aca="false">IF(BG$4=0,0,IF(COUNTIFS(実績!$W$6:$W$505,BG$3,実績!$AI$6:$AI$505,"&lt;="&amp;$A65,実績!$AJ$6:$AJ$505,"&gt;"&amp;$A65,実績!$AL$6:$AL$505,"○")&gt;0,1,0))</f>
        <v>0</v>
      </c>
      <c r="BH65" s="39" t="n">
        <f aca="false">IF(BH$4=0,0,IF(COUNTIFS(実績!$W$6:$W$505,BH$3,実績!$AI$6:$AI$505,"&lt;="&amp;$A65,実績!$AJ$6:$AJ$505,"&gt;"&amp;$A65,実績!$AL$6:$AL$505,"○")&gt;0,1,0))</f>
        <v>0</v>
      </c>
      <c r="BI65" s="39" t="n">
        <f aca="false">IF(BI$4=0,0,IF(COUNTIFS(実績!$W$6:$W$505,BI$3,実績!$AI$6:$AI$505,"&lt;="&amp;$A65,実績!$AJ$6:$AJ$505,"&gt;"&amp;$A65,実績!$AL$6:$AL$505,"○")&gt;0,1,0))</f>
        <v>0</v>
      </c>
      <c r="BJ65" s="39" t="n">
        <f aca="false">IF(BJ$4=0,0,IF(COUNTIFS(実績!$W$6:$W$505,BJ$3,実績!$AI$6:$AI$505,"&lt;="&amp;$A65,実績!$AJ$6:$AJ$505,"&gt;"&amp;$A65,実績!$AL$6:$AL$505,"○")&gt;0,1,0))</f>
        <v>0</v>
      </c>
      <c r="BK65" s="39" t="n">
        <f aca="false">IF(BK$4=0,0,IF(COUNTIFS(実績!$W$6:$W$505,BK$3,実績!$AI$6:$AI$505,"&lt;="&amp;$A65,実績!$AJ$6:$AJ$505,"&gt;"&amp;$A65,実績!$AL$6:$AL$505,"○")&gt;0,1,0))</f>
        <v>0</v>
      </c>
      <c r="BL65" s="39" t="n">
        <f aca="false">IF(BL$4=0,0,IF(COUNTIFS(実績!$W$6:$W$505,BL$3,実績!$AI$6:$AI$505,"&lt;="&amp;$A65,実績!$AJ$6:$AJ$505,"&gt;"&amp;$A65,実績!$AL$6:$AL$505,"○")&gt;0,1,0))</f>
        <v>0</v>
      </c>
      <c r="BM65" s="39" t="n">
        <f aca="false">IF(BM$4=0,0,IF(COUNTIFS(実績!$W$6:$W$505,BM$3,実績!$AI$6:$AI$505,"&lt;="&amp;$A65,実績!$AJ$6:$AJ$505,"&gt;"&amp;$A65,実績!$AL$6:$AL$505,"○")&gt;0,1,0))</f>
        <v>0</v>
      </c>
      <c r="BN65" s="39" t="n">
        <f aca="false">IF(BN$4=0,0,IF(COUNTIFS(実績!$W$6:$W$505,BN$3,実績!$AI$6:$AI$505,"&lt;="&amp;$A65,実績!$AJ$6:$AJ$505,"&gt;"&amp;$A65,実績!$AL$6:$AL$505,"○")&gt;0,1,0))</f>
        <v>0</v>
      </c>
      <c r="BO65" s="39" t="n">
        <f aca="false">IF(BO$4=0,0,IF(COUNTIFS(実績!$W$6:$W$505,BO$3,実績!$AI$6:$AI$505,"&lt;="&amp;$A65,実績!$AJ$6:$AJ$505,"&gt;"&amp;$A65,実績!$AL$6:$AL$505,"○")&gt;0,1,0))</f>
        <v>0</v>
      </c>
      <c r="BP65" s="39" t="n">
        <f aca="false">IF(BP$4=0,0,IF(COUNTIFS(実績!$W$6:$W$505,BP$3,実績!$AI$6:$AI$505,"&lt;="&amp;$A65,実績!$AJ$6:$AJ$505,"&gt;"&amp;$A65,実績!$AL$6:$AL$505,"○")&gt;0,1,0))</f>
        <v>0</v>
      </c>
      <c r="BQ65" s="39" t="n">
        <f aca="false">IF(BQ$4=0,0,IF(COUNTIFS(実績!$W$6:$W$505,BQ$3,実績!$AI$6:$AI$505,"&lt;="&amp;$A65,実績!$AJ$6:$AJ$505,"&gt;"&amp;$A65,実績!$AL$6:$AL$505,"○")&gt;0,1,0))</f>
        <v>0</v>
      </c>
      <c r="BR65" s="39" t="n">
        <f aca="false">IF(BR$4=0,0,IF(COUNTIFS(実績!$W$6:$W$505,BR$3,実績!$AI$6:$AI$505,"&lt;="&amp;$A65,実績!$AJ$6:$AJ$505,"&gt;"&amp;$A65,実績!$AL$6:$AL$505,"○")&gt;0,1,0))</f>
        <v>0</v>
      </c>
      <c r="BS65" s="39" t="n">
        <f aca="false">IF(BS$4=0,0,IF(COUNTIFS(実績!$W$6:$W$505,BS$3,実績!$AI$6:$AI$505,"&lt;="&amp;$A65,実績!$AJ$6:$AJ$505,"&gt;"&amp;$A65,実績!$AL$6:$AL$505,"○")&gt;0,1,0))</f>
        <v>0</v>
      </c>
      <c r="BT65" s="39" t="n">
        <f aca="false">IF(BT$4=0,0,IF(COUNTIFS(実績!$W$6:$W$505,BT$3,実績!$AI$6:$AI$505,"&lt;="&amp;$A65,実績!$AJ$6:$AJ$505,"&gt;"&amp;$A65,実績!$AL$6:$AL$505,"○")&gt;0,1,0))</f>
        <v>0</v>
      </c>
      <c r="BU65" s="39" t="n">
        <f aca="false">IF(BU$4=0,0,IF(COUNTIFS(実績!$W$6:$W$505,BU$3,実績!$AI$6:$AI$505,"&lt;="&amp;$A65,実績!$AJ$6:$AJ$505,"&gt;"&amp;$A65,実績!$AL$6:$AL$505,"○")&gt;0,1,0))</f>
        <v>0</v>
      </c>
      <c r="BV65" s="39" t="n">
        <f aca="false">IF(BV$4=0,0,IF(COUNTIFS(実績!$W$6:$W$505,BV$3,実績!$AI$6:$AI$505,"&lt;="&amp;$A65,実績!$AJ$6:$AJ$505,"&gt;"&amp;$A65,実績!$AL$6:$AL$505,"○")&gt;0,1,0))</f>
        <v>0</v>
      </c>
      <c r="BW65" s="39" t="n">
        <f aca="false">IF(BW$4=0,0,IF(COUNTIFS(実績!$W$6:$W$505,BW$3,実績!$AI$6:$AI$505,"&lt;="&amp;$A65,実績!$AJ$6:$AJ$505,"&gt;"&amp;$A65,実績!$AL$6:$AL$505,"○")&gt;0,1,0))</f>
        <v>0</v>
      </c>
      <c r="BX65" s="39" t="n">
        <f aca="false">IF(BX$4=0,0,IF(COUNTIFS(実績!$W$6:$W$505,BX$3,実績!$AI$6:$AI$505,"&lt;="&amp;$A65,実績!$AJ$6:$AJ$505,"&gt;"&amp;$A65,実績!$AL$6:$AL$505,"○")&gt;0,1,0))</f>
        <v>0</v>
      </c>
      <c r="BY65" s="39" t="n">
        <f aca="false">IF(BY$4=0,0,IF(COUNTIFS(実績!$W$6:$W$505,BY$3,実績!$AI$6:$AI$505,"&lt;="&amp;$A65,実績!$AJ$6:$AJ$505,"&gt;"&amp;$A65,実績!$AL$6:$AL$505,"○")&gt;0,1,0))</f>
        <v>0</v>
      </c>
      <c r="BZ65" s="39" t="n">
        <f aca="false">IF(BZ$4=0,0,IF(COUNTIFS(実績!$W$6:$W$505,BZ$3,実績!$AI$6:$AI$505,"&lt;="&amp;$A65,実績!$AJ$6:$AJ$505,"&gt;"&amp;$A65,実績!$AL$6:$AL$505,"○")&gt;0,1,0))</f>
        <v>0</v>
      </c>
      <c r="CA65" s="39" t="n">
        <f aca="false">IF(CA$4=0,0,IF(COUNTIFS(実績!$W$6:$W$505,CA$3,実績!$AI$6:$AI$505,"&lt;="&amp;$A65,実績!$AJ$6:$AJ$505,"&gt;"&amp;$A65,実績!$AL$6:$AL$505,"○")&gt;0,1,0))</f>
        <v>0</v>
      </c>
      <c r="CB65" s="39" t="n">
        <f aca="false">IF(CB$4=0,0,IF(COUNTIFS(実績!$W$6:$W$505,CB$3,実績!$AI$6:$AI$505,"&lt;="&amp;$A65,実績!$AJ$6:$AJ$505,"&gt;"&amp;$A65,実績!$AL$6:$AL$505,"○")&gt;0,1,0))</f>
        <v>0</v>
      </c>
      <c r="CC65" s="39" t="n">
        <f aca="false">IF(CC$4=0,0,IF(COUNTIFS(実績!$W$6:$W$505,CC$3,実績!$AI$6:$AI$505,"&lt;="&amp;$A65,実績!$AJ$6:$AJ$505,"&gt;"&amp;$A65,実績!$AL$6:$AL$505,"○")&gt;0,1,0))</f>
        <v>0</v>
      </c>
      <c r="CD65" s="39" t="n">
        <f aca="false">IF(CD$4=0,0,IF(COUNTIFS(実績!$W$6:$W$505,CD$3,実績!$AI$6:$AI$505,"&lt;="&amp;$A65,実績!$AJ$6:$AJ$505,"&gt;"&amp;$A65,実績!$AL$6:$AL$505,"○")&gt;0,1,0))</f>
        <v>0</v>
      </c>
      <c r="CE65" s="39" t="n">
        <f aca="false">IF(CE$4=0,0,IF(COUNTIFS(実績!$W$6:$W$505,CE$3,実績!$AI$6:$AI$505,"&lt;="&amp;$A65,実績!$AJ$6:$AJ$505,"&gt;"&amp;$A65,実績!$AL$6:$AL$505,"○")&gt;0,1,0))</f>
        <v>0</v>
      </c>
      <c r="CF65" s="39" t="n">
        <f aca="false">IF(CF$4=0,0,IF(COUNTIFS(実績!$W$6:$W$505,CF$3,実績!$AI$6:$AI$505,"&lt;="&amp;$A65,実績!$AJ$6:$AJ$505,"&gt;"&amp;$A65,実績!$AL$6:$AL$505,"○")&gt;0,1,0))</f>
        <v>0</v>
      </c>
      <c r="CG65" s="39" t="n">
        <f aca="false">IF(CG$4=0,0,IF(COUNTIFS(実績!$W$6:$W$505,CG$3,実績!$AI$6:$AI$505,"&lt;="&amp;$A65,実績!$AJ$6:$AJ$505,"&gt;"&amp;$A65,実績!$AL$6:$AL$505,"○")&gt;0,1,0))</f>
        <v>0</v>
      </c>
      <c r="CH65" s="39" t="n">
        <f aca="false">IF(CH$4=0,0,IF(COUNTIFS(実績!$W$6:$W$505,CH$3,実績!$AI$6:$AI$505,"&lt;="&amp;$A65,実績!$AJ$6:$AJ$505,"&gt;"&amp;$A65,実績!$AL$6:$AL$505,"○")&gt;0,1,0))</f>
        <v>0</v>
      </c>
      <c r="CI65" s="39" t="n">
        <f aca="false">IF(CI$4=0,0,IF(COUNTIFS(実績!$W$6:$W$505,CI$3,実績!$AI$6:$AI$505,"&lt;="&amp;$A65,実績!$AJ$6:$AJ$505,"&gt;"&amp;$A65,実績!$AL$6:$AL$505,"○")&gt;0,1,0))</f>
        <v>0</v>
      </c>
      <c r="CJ65" s="39" t="n">
        <f aca="false">IF(CJ$4=0,0,IF(COUNTIFS(実績!$W$6:$W$505,CJ$3,実績!$AI$6:$AI$505,"&lt;="&amp;$A65,実績!$AJ$6:$AJ$505,"&gt;"&amp;$A65,実績!$AL$6:$AL$505,"○")&gt;0,1,0))</f>
        <v>0</v>
      </c>
      <c r="CK65" s="39" t="n">
        <f aca="false">IF(CK$4=0,0,IF(COUNTIFS(実績!$W$6:$W$505,CK$3,実績!$AI$6:$AI$505,"&lt;="&amp;$A65,実績!$AJ$6:$AJ$505,"&gt;"&amp;$A65,実績!$AL$6:$AL$505,"○")&gt;0,1,0))</f>
        <v>0</v>
      </c>
      <c r="CL65" s="39" t="n">
        <f aca="false">IF(CL$4=0,0,IF(COUNTIFS(実績!$W$6:$W$505,CL$3,実績!$AI$6:$AI$505,"&lt;="&amp;$A65,実績!$AJ$6:$AJ$505,"&gt;"&amp;$A65,実績!$AL$6:$AL$505,"○")&gt;0,1,0))</f>
        <v>0</v>
      </c>
      <c r="CM65" s="39" t="n">
        <f aca="false">IF(CM$4=0,0,IF(COUNTIFS(実績!$W$6:$W$505,CM$3,実績!$AI$6:$AI$505,"&lt;="&amp;$A65,実績!$AJ$6:$AJ$505,"&gt;"&amp;$A65,実績!$AL$6:$AL$505,"○")&gt;0,1,0))</f>
        <v>0</v>
      </c>
      <c r="CN65" s="39" t="n">
        <f aca="false">IF(CN$4=0,0,IF(COUNTIFS(実績!$W$6:$W$505,CN$3,実績!$AI$6:$AI$505,"&lt;="&amp;$A65,実績!$AJ$6:$AJ$505,"&gt;"&amp;$A65,実績!$AL$6:$AL$505,"○")&gt;0,1,0))</f>
        <v>0</v>
      </c>
      <c r="CO65" s="39" t="n">
        <f aca="false">IF(CO$4=0,0,IF(COUNTIFS(実績!$W$6:$W$505,CO$3,実績!$AI$6:$AI$505,"&lt;="&amp;$A65,実績!$AJ$6:$AJ$505,"&gt;"&amp;$A65,実績!$AL$6:$AL$505,"○")&gt;0,1,0))</f>
        <v>0</v>
      </c>
      <c r="CP65" s="39" t="n">
        <f aca="false">IF(CP$4=0,0,IF(COUNTIFS(実績!$W$6:$W$505,CP$3,実績!$AI$6:$AI$505,"&lt;="&amp;$A65,実績!$AJ$6:$AJ$505,"&gt;"&amp;$A65,実績!$AL$6:$AL$505,"○")&gt;0,1,0))</f>
        <v>0</v>
      </c>
      <c r="CQ65" s="39" t="n">
        <f aca="false">IF(CQ$4=0,0,IF(COUNTIFS(実績!$W$6:$W$505,CQ$3,実績!$AI$6:$AI$505,"&lt;="&amp;$A65,実績!$AJ$6:$AJ$505,"&gt;"&amp;$A65,実績!$AL$6:$AL$505,"○")&gt;0,1,0))</f>
        <v>0</v>
      </c>
      <c r="CR65" s="39" t="n">
        <f aca="false">IF(CR$4=0,0,IF(COUNTIFS(実績!$W$6:$W$505,CR$3,実績!$AI$6:$AI$505,"&lt;="&amp;$A65,実績!$AJ$6:$AJ$505,"&gt;"&amp;$A65,実績!$AL$6:$AL$505,"○")&gt;0,1,0))</f>
        <v>0</v>
      </c>
      <c r="CS65" s="39" t="n">
        <f aca="false">IF(CS$4=0,0,IF(COUNTIFS(実績!$W$6:$W$505,CS$3,実績!$AI$6:$AI$505,"&lt;="&amp;$A65,実績!$AJ$6:$AJ$505,"&gt;"&amp;$A65,実績!$AL$6:$AL$505,"○")&gt;0,1,0))</f>
        <v>0</v>
      </c>
      <c r="CT65" s="39" t="n">
        <f aca="false">IF(CT$4=0,0,IF(COUNTIFS(実績!$W$6:$W$505,CT$3,実績!$AI$6:$AI$505,"&lt;="&amp;$A65,実績!$AJ$6:$AJ$505,"&gt;"&amp;$A65,実績!$AL$6:$AL$505,"○")&gt;0,1,0))</f>
        <v>0</v>
      </c>
      <c r="CU65" s="39" t="n">
        <f aca="false">IF(CU$4=0,0,IF(COUNTIFS(実績!$W$6:$W$505,CU$3,実績!$AI$6:$AI$505,"&lt;="&amp;$A65,実績!$AJ$6:$AJ$505,"&gt;"&amp;$A65,実績!$AL$6:$AL$505,"○")&gt;0,1,0))</f>
        <v>0</v>
      </c>
      <c r="CV65" s="39" t="n">
        <f aca="false">IF(CV$4=0,0,IF(COUNTIFS(実績!$W$6:$W$505,CV$3,実績!$AI$6:$AI$505,"&lt;="&amp;$A65,実績!$AJ$6:$AJ$505,"&gt;"&amp;$A65,実績!$AL$6:$AL$505,"○")&gt;0,1,0))</f>
        <v>0</v>
      </c>
      <c r="CW65" s="39" t="n">
        <f aca="false">IF(CW$4=0,0,IF(COUNTIFS(実績!$W$6:$W$505,CW$3,実績!$AI$6:$AI$505,"&lt;="&amp;$A65,実績!$AJ$6:$AJ$505,"&gt;"&amp;$A65,実績!$AL$6:$AL$505,"○")&gt;0,1,0))</f>
        <v>0</v>
      </c>
      <c r="CX65" s="39" t="n">
        <f aca="false">IF(CX$4=0,0,IF(COUNTIFS(実績!$W$6:$W$505,CX$3,実績!$AI$6:$AI$505,"&lt;="&amp;$A65,実績!$AJ$6:$AJ$505,"&gt;"&amp;$A65,実績!$AL$6:$AL$505,"○")&gt;0,1,0))</f>
        <v>0</v>
      </c>
      <c r="CY65" s="39" t="n">
        <f aca="false">IF(CY$4=0,0,IF(COUNTIFS(実績!$W$6:$W$505,CY$3,実績!$AI$6:$AI$505,"&lt;="&amp;$A65,実績!$AJ$6:$AJ$505,"&gt;"&amp;$A65,実績!$AL$6:$AL$505,"○")&gt;0,1,0))</f>
        <v>0</v>
      </c>
      <c r="CZ65" s="39" t="n">
        <f aca="false">IF(CZ$4=0,0,IF(COUNTIFS(実績!$W$6:$W$505,CZ$3,実績!$AI$6:$AI$505,"&lt;="&amp;$A65,実績!$AJ$6:$AJ$505,"&gt;"&amp;$A65,実績!$AL$6:$AL$505,"○")&gt;0,1,0))</f>
        <v>0</v>
      </c>
      <c r="DA65" s="39" t="n">
        <f aca="false">IF(DA$4=0,0,IF(COUNTIFS(実績!$W$6:$W$505,DA$3,実績!$AI$6:$AI$505,"&lt;="&amp;$A65,実績!$AJ$6:$AJ$505,"&gt;"&amp;$A65,実績!$AL$6:$AL$505,"○")&gt;0,1,0))</f>
        <v>0</v>
      </c>
      <c r="DB65" s="39" t="n">
        <f aca="false">IF(DB$4=0,0,IF(COUNTIFS(実績!$W$6:$W$505,DB$3,実績!$AI$6:$AI$505,"&lt;="&amp;$A65,実績!$AJ$6:$AJ$505,"&gt;"&amp;$A65,実績!$AL$6:$AL$505,"○")&gt;0,1,0))</f>
        <v>0</v>
      </c>
      <c r="DC65" s="39" t="n">
        <f aca="false">IF(DC$4=0,0,IF(COUNTIFS(実績!$W$6:$W$505,DC$3,実績!$AI$6:$AI$505,"&lt;="&amp;$A65,実績!$AJ$6:$AJ$505,"&gt;"&amp;$A65,実績!$AL$6:$AL$505,"○")&gt;0,1,0))</f>
        <v>0</v>
      </c>
      <c r="DD65" s="39" t="n">
        <f aca="false">IF(DD$4=0,0,IF(COUNTIFS(実績!$W$6:$W$505,DD$3,実績!$AI$6:$AI$505,"&lt;="&amp;$A65,実績!$AJ$6:$AJ$505,"&gt;"&amp;$A65,実績!$AL$6:$AL$505,"○")&gt;0,1,0))</f>
        <v>0</v>
      </c>
      <c r="DE65" s="39" t="n">
        <f aca="false">IF(DE$4=0,0,IF(COUNTIFS(実績!$W$6:$W$505,DE$3,実績!$AI$6:$AI$505,"&lt;="&amp;$A65,実績!$AJ$6:$AJ$505,"&gt;"&amp;$A65,実績!$AL$6:$AL$505,"○")&gt;0,1,0))</f>
        <v>0</v>
      </c>
      <c r="DF65" s="39" t="n">
        <f aca="false">IF(DF$4=0,0,IF(COUNTIFS(実績!$W$6:$W$505,DF$3,実績!$AI$6:$AI$505,"&lt;="&amp;$A65,実績!$AJ$6:$AJ$505,"&gt;"&amp;$A65,実績!$AL$6:$AL$505,"○")&gt;0,1,0))</f>
        <v>0</v>
      </c>
      <c r="DG65" s="39" t="n">
        <f aca="false">IF(DG$4=0,0,IF(COUNTIFS(実績!$W$6:$W$505,DG$3,実績!$AI$6:$AI$505,"&lt;="&amp;$A65,実績!$AJ$6:$AJ$505,"&gt;"&amp;$A65,実績!$AL$6:$AL$505,"○")&gt;0,1,0))</f>
        <v>0</v>
      </c>
      <c r="DH65" s="39" t="n">
        <f aca="false">IF(DH$4=0,0,IF(COUNTIFS(実績!$W$6:$W$505,DH$3,実績!$AI$6:$AI$505,"&lt;="&amp;$A65,実績!$AJ$6:$AJ$505,"&gt;"&amp;$A65,実績!$AL$6:$AL$505,"○")&gt;0,1,0))</f>
        <v>0</v>
      </c>
      <c r="DI65" s="39" t="n">
        <f aca="false">IF(DI$4=0,0,IF(COUNTIFS(実績!$W$6:$W$505,DI$3,実績!$AI$6:$AI$505,"&lt;="&amp;$A65,実績!$AJ$6:$AJ$505,"&gt;"&amp;$A65,実績!$AL$6:$AL$505,"○")&gt;0,1,0))</f>
        <v>0</v>
      </c>
      <c r="DJ65" s="39" t="n">
        <f aca="false">IF(DJ$4=0,0,IF(COUNTIFS(実績!$W$6:$W$505,DJ$3,実績!$AI$6:$AI$505,"&lt;="&amp;$A65,実績!$AJ$6:$AJ$505,"&gt;"&amp;$A65,実績!$AL$6:$AL$505,"○")&gt;0,1,0))</f>
        <v>0</v>
      </c>
      <c r="DK65" s="39" t="n">
        <f aca="false">IF(DK$4=0,0,IF(COUNTIFS(実績!$W$6:$W$505,DK$3,実績!$AI$6:$AI$505,"&lt;="&amp;$A65,実績!$AJ$6:$AJ$505,"&gt;"&amp;$A65,実績!$AL$6:$AL$505,"○")&gt;0,1,0))</f>
        <v>0</v>
      </c>
      <c r="DL65" s="39" t="n">
        <f aca="false">IF(DL$4=0,0,IF(COUNTIFS(実績!$W$6:$W$505,DL$3,実績!$AI$6:$AI$505,"&lt;="&amp;$A65,実績!$AJ$6:$AJ$505,"&gt;"&amp;$A65,実績!$AL$6:$AL$505,"○")&gt;0,1,0))</f>
        <v>0</v>
      </c>
      <c r="DM65" s="39" t="n">
        <f aca="false">IF(DM$4=0,0,IF(COUNTIFS(実績!$W$6:$W$505,DM$3,実績!$AI$6:$AI$505,"&lt;="&amp;$A65,実績!$AJ$6:$AJ$505,"&gt;"&amp;$A65,実績!$AL$6:$AL$505,"○")&gt;0,1,0))</f>
        <v>0</v>
      </c>
      <c r="DN65" s="39" t="n">
        <f aca="false">IF(DN$4=0,0,IF(COUNTIFS(実績!$W$6:$W$505,DN$3,実績!$AI$6:$AI$505,"&lt;="&amp;$A65,実績!$AJ$6:$AJ$505,"&gt;"&amp;$A65,実績!$AL$6:$AL$505,"○")&gt;0,1,0))</f>
        <v>0</v>
      </c>
      <c r="DO65" s="39" t="n">
        <f aca="false">IF(DO$4=0,0,IF(COUNTIFS(実績!$W$6:$W$505,DO$3,実績!$AI$6:$AI$505,"&lt;="&amp;$A65,実績!$AJ$6:$AJ$505,"&gt;"&amp;$A65,実績!$AL$6:$AL$505,"○")&gt;0,1,0))</f>
        <v>0</v>
      </c>
      <c r="DP65" s="39" t="n">
        <f aca="false">IF(DP$4=0,0,IF(COUNTIFS(実績!$W$6:$W$505,DP$3,実績!$AI$6:$AI$505,"&lt;="&amp;$A65,実績!$AJ$6:$AJ$505,"&gt;"&amp;$A65,実績!$AL$6:$AL$505,"○")&gt;0,1,0))</f>
        <v>0</v>
      </c>
      <c r="DQ65" s="39" t="n">
        <f aca="false">IF(DQ$4=0,0,IF(COUNTIFS(実績!$W$6:$W$505,DQ$3,実績!$AI$6:$AI$505,"&lt;="&amp;$A65,実績!$AJ$6:$AJ$505,"&gt;"&amp;$A65,実績!$AL$6:$AL$505,"○")&gt;0,1,0))</f>
        <v>0</v>
      </c>
      <c r="DR65" s="39" t="n">
        <f aca="false">IF(DR$4=0,0,IF(COUNTIFS(実績!$W$6:$W$505,DR$3,実績!$AI$6:$AI$505,"&lt;="&amp;$A65,実績!$AJ$6:$AJ$505,"&gt;"&amp;$A65,実績!$AL$6:$AL$505,"○")&gt;0,1,0))</f>
        <v>0</v>
      </c>
      <c r="DS65" s="39" t="n">
        <f aca="false">SUM(C65:DR65)</f>
        <v>0</v>
      </c>
    </row>
    <row r="66" customFormat="false" ht="15" hidden="false" customHeight="false" outlineLevel="0" collapsed="false">
      <c r="A66" s="0" t="n">
        <v>300</v>
      </c>
      <c r="B66" s="38" t="n">
        <f aca="false">A66/1440</f>
        <v>0.208333333333333</v>
      </c>
      <c r="C66" s="39" t="n">
        <f aca="false">IF(C$4=0,0,IF(COUNTIFS(実績!$W$6:$W$505,C$3,実績!$AI$6:$AI$505,"&lt;="&amp;$A66,実績!$AJ$6:$AJ$505,"&gt;"&amp;$A66,実績!$AL$6:$AL$505,"○")&gt;0,1,0))</f>
        <v>0</v>
      </c>
      <c r="D66" s="39" t="n">
        <f aca="false">IF(D$4=0,0,IF(COUNTIFS(実績!$W$6:$W$505,D$3,実績!$AI$6:$AI$505,"&lt;="&amp;$A66,実績!$AJ$6:$AJ$505,"&gt;"&amp;$A66,実績!$AL$6:$AL$505,"○")&gt;0,1,0))</f>
        <v>0</v>
      </c>
      <c r="E66" s="39" t="n">
        <f aca="false">IF(E$4=0,0,IF(COUNTIFS(実績!$W$6:$W$505,E$3,実績!$AI$6:$AI$505,"&lt;="&amp;$A66,実績!$AJ$6:$AJ$505,"&gt;"&amp;$A66,実績!$AL$6:$AL$505,"○")&gt;0,1,0))</f>
        <v>0</v>
      </c>
      <c r="F66" s="39" t="n">
        <f aca="false">IF(F$4=0,0,IF(COUNTIFS(実績!$W$6:$W$505,F$3,実績!$AI$6:$AI$505,"&lt;="&amp;$A66,実績!$AJ$6:$AJ$505,"&gt;"&amp;$A66,実績!$AL$6:$AL$505,"○")&gt;0,1,0))</f>
        <v>0</v>
      </c>
      <c r="G66" s="39" t="n">
        <f aca="false">IF(G$4=0,0,IF(COUNTIFS(実績!$W$6:$W$505,G$3,実績!$AI$6:$AI$505,"&lt;="&amp;$A66,実績!$AJ$6:$AJ$505,"&gt;"&amp;$A66,実績!$AL$6:$AL$505,"○")&gt;0,1,0))</f>
        <v>0</v>
      </c>
      <c r="H66" s="39" t="n">
        <f aca="false">IF(H$4=0,0,IF(COUNTIFS(実績!$W$6:$W$505,H$3,実績!$AI$6:$AI$505,"&lt;="&amp;$A66,実績!$AJ$6:$AJ$505,"&gt;"&amp;$A66,実績!$AL$6:$AL$505,"○")&gt;0,1,0))</f>
        <v>0</v>
      </c>
      <c r="I66" s="39" t="n">
        <f aca="false">IF(I$4=0,0,IF(COUNTIFS(実績!$W$6:$W$505,I$3,実績!$AI$6:$AI$505,"&lt;="&amp;$A66,実績!$AJ$6:$AJ$505,"&gt;"&amp;$A66,実績!$AL$6:$AL$505,"○")&gt;0,1,0))</f>
        <v>0</v>
      </c>
      <c r="J66" s="39" t="n">
        <f aca="false">IF(J$4=0,0,IF(COUNTIFS(実績!$W$6:$W$505,J$3,実績!$AI$6:$AI$505,"&lt;="&amp;$A66,実績!$AJ$6:$AJ$505,"&gt;"&amp;$A66,実績!$AL$6:$AL$505,"○")&gt;0,1,0))</f>
        <v>0</v>
      </c>
      <c r="K66" s="39" t="n">
        <f aca="false">IF(K$4=0,0,IF(COUNTIFS(実績!$W$6:$W$505,K$3,実績!$AI$6:$AI$505,"&lt;="&amp;$A66,実績!$AJ$6:$AJ$505,"&gt;"&amp;$A66,実績!$AL$6:$AL$505,"○")&gt;0,1,0))</f>
        <v>0</v>
      </c>
      <c r="L66" s="39" t="n">
        <f aca="false">IF(L$4=0,0,IF(COUNTIFS(実績!$W$6:$W$505,L$3,実績!$AI$6:$AI$505,"&lt;="&amp;$A66,実績!$AJ$6:$AJ$505,"&gt;"&amp;$A66,実績!$AL$6:$AL$505,"○")&gt;0,1,0))</f>
        <v>0</v>
      </c>
      <c r="M66" s="39" t="n">
        <f aca="false">IF(M$4=0,0,IF(COUNTIFS(実績!$W$6:$W$505,M$3,実績!$AI$6:$AI$505,"&lt;="&amp;$A66,実績!$AJ$6:$AJ$505,"&gt;"&amp;$A66,実績!$AL$6:$AL$505,"○")&gt;0,1,0))</f>
        <v>0</v>
      </c>
      <c r="N66" s="39" t="n">
        <f aca="false">IF(N$4=0,0,IF(COUNTIFS(実績!$W$6:$W$505,N$3,実績!$AI$6:$AI$505,"&lt;="&amp;$A66,実績!$AJ$6:$AJ$505,"&gt;"&amp;$A66,実績!$AL$6:$AL$505,"○")&gt;0,1,0))</f>
        <v>0</v>
      </c>
      <c r="O66" s="39" t="n">
        <f aca="false">IF(O$4=0,0,IF(COUNTIFS(実績!$W$6:$W$505,O$3,実績!$AI$6:$AI$505,"&lt;="&amp;$A66,実績!$AJ$6:$AJ$505,"&gt;"&amp;$A66,実績!$AL$6:$AL$505,"○")&gt;0,1,0))</f>
        <v>0</v>
      </c>
      <c r="P66" s="39" t="n">
        <f aca="false">IF(P$4=0,0,IF(COUNTIFS(実績!$W$6:$W$505,P$3,実績!$AI$6:$AI$505,"&lt;="&amp;$A66,実績!$AJ$6:$AJ$505,"&gt;"&amp;$A66,実績!$AL$6:$AL$505,"○")&gt;0,1,0))</f>
        <v>0</v>
      </c>
      <c r="Q66" s="39" t="n">
        <f aca="false">IF(Q$4=0,0,IF(COUNTIFS(実績!$W$6:$W$505,Q$3,実績!$AI$6:$AI$505,"&lt;="&amp;$A66,実績!$AJ$6:$AJ$505,"&gt;"&amp;$A66,実績!$AL$6:$AL$505,"○")&gt;0,1,0))</f>
        <v>0</v>
      </c>
      <c r="R66" s="39" t="n">
        <f aca="false">IF(R$4=0,0,IF(COUNTIFS(実績!$W$6:$W$505,R$3,実績!$AI$6:$AI$505,"&lt;="&amp;$A66,実績!$AJ$6:$AJ$505,"&gt;"&amp;$A66,実績!$AL$6:$AL$505,"○")&gt;0,1,0))</f>
        <v>0</v>
      </c>
      <c r="S66" s="39" t="n">
        <f aca="false">IF(S$4=0,0,IF(COUNTIFS(実績!$W$6:$W$505,S$3,実績!$AI$6:$AI$505,"&lt;="&amp;$A66,実績!$AJ$6:$AJ$505,"&gt;"&amp;$A66,実績!$AL$6:$AL$505,"○")&gt;0,1,0))</f>
        <v>0</v>
      </c>
      <c r="T66" s="39" t="n">
        <f aca="false">IF(T$4=0,0,IF(COUNTIFS(実績!$W$6:$W$505,T$3,実績!$AI$6:$AI$505,"&lt;="&amp;$A66,実績!$AJ$6:$AJ$505,"&gt;"&amp;$A66,実績!$AL$6:$AL$505,"○")&gt;0,1,0))</f>
        <v>0</v>
      </c>
      <c r="U66" s="39" t="n">
        <f aca="false">IF(U$4=0,0,IF(COUNTIFS(実績!$W$6:$W$505,U$3,実績!$AI$6:$AI$505,"&lt;="&amp;$A66,実績!$AJ$6:$AJ$505,"&gt;"&amp;$A66,実績!$AL$6:$AL$505,"○")&gt;0,1,0))</f>
        <v>0</v>
      </c>
      <c r="V66" s="39" t="n">
        <f aca="false">IF(V$4=0,0,IF(COUNTIFS(実績!$W$6:$W$505,V$3,実績!$AI$6:$AI$505,"&lt;="&amp;$A66,実績!$AJ$6:$AJ$505,"&gt;"&amp;$A66,実績!$AL$6:$AL$505,"○")&gt;0,1,0))</f>
        <v>0</v>
      </c>
      <c r="W66" s="39" t="n">
        <f aca="false">IF(W$4=0,0,IF(COUNTIFS(実績!$W$6:$W$505,W$3,実績!$AI$6:$AI$505,"&lt;="&amp;$A66,実績!$AJ$6:$AJ$505,"&gt;"&amp;$A66,実績!$AL$6:$AL$505,"○")&gt;0,1,0))</f>
        <v>0</v>
      </c>
      <c r="X66" s="39" t="n">
        <f aca="false">IF(X$4=0,0,IF(COUNTIFS(実績!$W$6:$W$505,X$3,実績!$AI$6:$AI$505,"&lt;="&amp;$A66,実績!$AJ$6:$AJ$505,"&gt;"&amp;$A66,実績!$AL$6:$AL$505,"○")&gt;0,1,0))</f>
        <v>0</v>
      </c>
      <c r="Y66" s="39" t="n">
        <f aca="false">IF(Y$4=0,0,IF(COUNTIFS(実績!$W$6:$W$505,Y$3,実績!$AI$6:$AI$505,"&lt;="&amp;$A66,実績!$AJ$6:$AJ$505,"&gt;"&amp;$A66,実績!$AL$6:$AL$505,"○")&gt;0,1,0))</f>
        <v>0</v>
      </c>
      <c r="Z66" s="39" t="n">
        <f aca="false">IF(Z$4=0,0,IF(COUNTIFS(実績!$W$6:$W$505,Z$3,実績!$AI$6:$AI$505,"&lt;="&amp;$A66,実績!$AJ$6:$AJ$505,"&gt;"&amp;$A66,実績!$AL$6:$AL$505,"○")&gt;0,1,0))</f>
        <v>0</v>
      </c>
      <c r="AA66" s="39" t="n">
        <f aca="false">IF(AA$4=0,0,IF(COUNTIFS(実績!$W$6:$W$505,AA$3,実績!$AI$6:$AI$505,"&lt;="&amp;$A66,実績!$AJ$6:$AJ$505,"&gt;"&amp;$A66,実績!$AL$6:$AL$505,"○")&gt;0,1,0))</f>
        <v>0</v>
      </c>
      <c r="AB66" s="39" t="n">
        <f aca="false">IF(AB$4=0,0,IF(COUNTIFS(実績!$W$6:$W$505,AB$3,実績!$AI$6:$AI$505,"&lt;="&amp;$A66,実績!$AJ$6:$AJ$505,"&gt;"&amp;$A66,実績!$AL$6:$AL$505,"○")&gt;0,1,0))</f>
        <v>0</v>
      </c>
      <c r="AC66" s="39" t="n">
        <f aca="false">IF(AC$4=0,0,IF(COUNTIFS(実績!$W$6:$W$505,AC$3,実績!$AI$6:$AI$505,"&lt;="&amp;$A66,実績!$AJ$6:$AJ$505,"&gt;"&amp;$A66,実績!$AL$6:$AL$505,"○")&gt;0,1,0))</f>
        <v>0</v>
      </c>
      <c r="AD66" s="39" t="n">
        <f aca="false">IF(AD$4=0,0,IF(COUNTIFS(実績!$W$6:$W$505,AD$3,実績!$AI$6:$AI$505,"&lt;="&amp;$A66,実績!$AJ$6:$AJ$505,"&gt;"&amp;$A66,実績!$AL$6:$AL$505,"○")&gt;0,1,0))</f>
        <v>0</v>
      </c>
      <c r="AE66" s="39" t="n">
        <f aca="false">IF(AE$4=0,0,IF(COUNTIFS(実績!$W$6:$W$505,AE$3,実績!$AI$6:$AI$505,"&lt;="&amp;$A66,実績!$AJ$6:$AJ$505,"&gt;"&amp;$A66,実績!$AL$6:$AL$505,"○")&gt;0,1,0))</f>
        <v>0</v>
      </c>
      <c r="AF66" s="39" t="n">
        <f aca="false">IF(AF$4=0,0,IF(COUNTIFS(実績!$W$6:$W$505,AF$3,実績!$AI$6:$AI$505,"&lt;="&amp;$A66,実績!$AJ$6:$AJ$505,"&gt;"&amp;$A66,実績!$AL$6:$AL$505,"○")&gt;0,1,0))</f>
        <v>0</v>
      </c>
      <c r="AG66" s="39" t="n">
        <f aca="false">IF(AG$4=0,0,IF(COUNTIFS(実績!$W$6:$W$505,AG$3,実績!$AI$6:$AI$505,"&lt;="&amp;$A66,実績!$AJ$6:$AJ$505,"&gt;"&amp;$A66,実績!$AL$6:$AL$505,"○")&gt;0,1,0))</f>
        <v>0</v>
      </c>
      <c r="AH66" s="39" t="n">
        <f aca="false">IF(AH$4=0,0,IF(COUNTIFS(実績!$W$6:$W$505,AH$3,実績!$AI$6:$AI$505,"&lt;="&amp;$A66,実績!$AJ$6:$AJ$505,"&gt;"&amp;$A66,実績!$AL$6:$AL$505,"○")&gt;0,1,0))</f>
        <v>0</v>
      </c>
      <c r="AI66" s="39" t="n">
        <f aca="false">IF(AI$4=0,0,IF(COUNTIFS(実績!$W$6:$W$505,AI$3,実績!$AI$6:$AI$505,"&lt;="&amp;$A66,実績!$AJ$6:$AJ$505,"&gt;"&amp;$A66,実績!$AL$6:$AL$505,"○")&gt;0,1,0))</f>
        <v>0</v>
      </c>
      <c r="AJ66" s="39" t="n">
        <f aca="false">IF(AJ$4=0,0,IF(COUNTIFS(実績!$W$6:$W$505,AJ$3,実績!$AI$6:$AI$505,"&lt;="&amp;$A66,実績!$AJ$6:$AJ$505,"&gt;"&amp;$A66,実績!$AL$6:$AL$505,"○")&gt;0,1,0))</f>
        <v>0</v>
      </c>
      <c r="AK66" s="39" t="n">
        <f aca="false">IF(AK$4=0,0,IF(COUNTIFS(実績!$W$6:$W$505,AK$3,実績!$AI$6:$AI$505,"&lt;="&amp;$A66,実績!$AJ$6:$AJ$505,"&gt;"&amp;$A66,実績!$AL$6:$AL$505,"○")&gt;0,1,0))</f>
        <v>0</v>
      </c>
      <c r="AL66" s="39" t="n">
        <f aca="false">IF(AL$4=0,0,IF(COUNTIFS(実績!$W$6:$W$505,AL$3,実績!$AI$6:$AI$505,"&lt;="&amp;$A66,実績!$AJ$6:$AJ$505,"&gt;"&amp;$A66,実績!$AL$6:$AL$505,"○")&gt;0,1,0))</f>
        <v>0</v>
      </c>
      <c r="AM66" s="39" t="n">
        <f aca="false">IF(AM$4=0,0,IF(COUNTIFS(実績!$W$6:$W$505,AM$3,実績!$AI$6:$AI$505,"&lt;="&amp;$A66,実績!$AJ$6:$AJ$505,"&gt;"&amp;$A66,実績!$AL$6:$AL$505,"○")&gt;0,1,0))</f>
        <v>0</v>
      </c>
      <c r="AN66" s="39" t="n">
        <f aca="false">IF(AN$4=0,0,IF(COUNTIFS(実績!$W$6:$W$505,AN$3,実績!$AI$6:$AI$505,"&lt;="&amp;$A66,実績!$AJ$6:$AJ$505,"&gt;"&amp;$A66,実績!$AL$6:$AL$505,"○")&gt;0,1,0))</f>
        <v>0</v>
      </c>
      <c r="AO66" s="39" t="n">
        <f aca="false">IF(AO$4=0,0,IF(COUNTIFS(実績!$W$6:$W$505,AO$3,実績!$AI$6:$AI$505,"&lt;="&amp;$A66,実績!$AJ$6:$AJ$505,"&gt;"&amp;$A66,実績!$AL$6:$AL$505,"○")&gt;0,1,0))</f>
        <v>0</v>
      </c>
      <c r="AP66" s="39" t="n">
        <f aca="false">IF(AP$4=0,0,IF(COUNTIFS(実績!$W$6:$W$505,AP$3,実績!$AI$6:$AI$505,"&lt;="&amp;$A66,実績!$AJ$6:$AJ$505,"&gt;"&amp;$A66,実績!$AL$6:$AL$505,"○")&gt;0,1,0))</f>
        <v>0</v>
      </c>
      <c r="AQ66" s="39" t="n">
        <f aca="false">IF(AQ$4=0,0,IF(COUNTIFS(実績!$W$6:$W$505,AQ$3,実績!$AI$6:$AI$505,"&lt;="&amp;$A66,実績!$AJ$6:$AJ$505,"&gt;"&amp;$A66,実績!$AL$6:$AL$505,"○")&gt;0,1,0))</f>
        <v>0</v>
      </c>
      <c r="AR66" s="39" t="n">
        <f aca="false">IF(AR$4=0,0,IF(COUNTIFS(実績!$W$6:$W$505,AR$3,実績!$AI$6:$AI$505,"&lt;="&amp;$A66,実績!$AJ$6:$AJ$505,"&gt;"&amp;$A66,実績!$AL$6:$AL$505,"○")&gt;0,1,0))</f>
        <v>0</v>
      </c>
      <c r="AS66" s="39" t="n">
        <f aca="false">IF(AS$4=0,0,IF(COUNTIFS(実績!$W$6:$W$505,AS$3,実績!$AI$6:$AI$505,"&lt;="&amp;$A66,実績!$AJ$6:$AJ$505,"&gt;"&amp;$A66,実績!$AL$6:$AL$505,"○")&gt;0,1,0))</f>
        <v>0</v>
      </c>
      <c r="AT66" s="39" t="n">
        <f aca="false">IF(AT$4=0,0,IF(COUNTIFS(実績!$W$6:$W$505,AT$3,実績!$AI$6:$AI$505,"&lt;="&amp;$A66,実績!$AJ$6:$AJ$505,"&gt;"&amp;$A66,実績!$AL$6:$AL$505,"○")&gt;0,1,0))</f>
        <v>0</v>
      </c>
      <c r="AU66" s="39" t="n">
        <f aca="false">IF(AU$4=0,0,IF(COUNTIFS(実績!$W$6:$W$505,AU$3,実績!$AI$6:$AI$505,"&lt;="&amp;$A66,実績!$AJ$6:$AJ$505,"&gt;"&amp;$A66,実績!$AL$6:$AL$505,"○")&gt;0,1,0))</f>
        <v>0</v>
      </c>
      <c r="AV66" s="39" t="n">
        <f aca="false">IF(AV$4=0,0,IF(COUNTIFS(実績!$W$6:$W$505,AV$3,実績!$AI$6:$AI$505,"&lt;="&amp;$A66,実績!$AJ$6:$AJ$505,"&gt;"&amp;$A66,実績!$AL$6:$AL$505,"○")&gt;0,1,0))</f>
        <v>0</v>
      </c>
      <c r="AW66" s="39" t="n">
        <f aca="false">IF(AW$4=0,0,IF(COUNTIFS(実績!$W$6:$W$505,AW$3,実績!$AI$6:$AI$505,"&lt;="&amp;$A66,実績!$AJ$6:$AJ$505,"&gt;"&amp;$A66,実績!$AL$6:$AL$505,"○")&gt;0,1,0))</f>
        <v>0</v>
      </c>
      <c r="AX66" s="39" t="n">
        <f aca="false">IF(AX$4=0,0,IF(COUNTIFS(実績!$W$6:$W$505,AX$3,実績!$AI$6:$AI$505,"&lt;="&amp;$A66,実績!$AJ$6:$AJ$505,"&gt;"&amp;$A66,実績!$AL$6:$AL$505,"○")&gt;0,1,0))</f>
        <v>0</v>
      </c>
      <c r="AY66" s="39" t="n">
        <f aca="false">IF(AY$4=0,0,IF(COUNTIFS(実績!$W$6:$W$505,AY$3,実績!$AI$6:$AI$505,"&lt;="&amp;$A66,実績!$AJ$6:$AJ$505,"&gt;"&amp;$A66,実績!$AL$6:$AL$505,"○")&gt;0,1,0))</f>
        <v>0</v>
      </c>
      <c r="AZ66" s="39" t="n">
        <f aca="false">IF(AZ$4=0,0,IF(COUNTIFS(実績!$W$6:$W$505,AZ$3,実績!$AI$6:$AI$505,"&lt;="&amp;$A66,実績!$AJ$6:$AJ$505,"&gt;"&amp;$A66,実績!$AL$6:$AL$505,"○")&gt;0,1,0))</f>
        <v>0</v>
      </c>
      <c r="BA66" s="39" t="n">
        <f aca="false">IF(BA$4=0,0,IF(COUNTIFS(実績!$W$6:$W$505,BA$3,実績!$AI$6:$AI$505,"&lt;="&amp;$A66,実績!$AJ$6:$AJ$505,"&gt;"&amp;$A66,実績!$AL$6:$AL$505,"○")&gt;0,1,0))</f>
        <v>0</v>
      </c>
      <c r="BB66" s="39" t="n">
        <f aca="false">IF(BB$4=0,0,IF(COUNTIFS(実績!$W$6:$W$505,BB$3,実績!$AI$6:$AI$505,"&lt;="&amp;$A66,実績!$AJ$6:$AJ$505,"&gt;"&amp;$A66,実績!$AL$6:$AL$505,"○")&gt;0,1,0))</f>
        <v>0</v>
      </c>
      <c r="BC66" s="39" t="n">
        <f aca="false">IF(BC$4=0,0,IF(COUNTIFS(実績!$W$6:$W$505,BC$3,実績!$AI$6:$AI$505,"&lt;="&amp;$A66,実績!$AJ$6:$AJ$505,"&gt;"&amp;$A66,実績!$AL$6:$AL$505,"○")&gt;0,1,0))</f>
        <v>0</v>
      </c>
      <c r="BD66" s="39" t="n">
        <f aca="false">IF(BD$4=0,0,IF(COUNTIFS(実績!$W$6:$W$505,BD$3,実績!$AI$6:$AI$505,"&lt;="&amp;$A66,実績!$AJ$6:$AJ$505,"&gt;"&amp;$A66,実績!$AL$6:$AL$505,"○")&gt;0,1,0))</f>
        <v>0</v>
      </c>
      <c r="BE66" s="39" t="n">
        <f aca="false">IF(BE$4=0,0,IF(COUNTIFS(実績!$W$6:$W$505,BE$3,実績!$AI$6:$AI$505,"&lt;="&amp;$A66,実績!$AJ$6:$AJ$505,"&gt;"&amp;$A66,実績!$AL$6:$AL$505,"○")&gt;0,1,0))</f>
        <v>0</v>
      </c>
      <c r="BF66" s="39" t="n">
        <f aca="false">IF(BF$4=0,0,IF(COUNTIFS(実績!$W$6:$W$505,BF$3,実績!$AI$6:$AI$505,"&lt;="&amp;$A66,実績!$AJ$6:$AJ$505,"&gt;"&amp;$A66,実績!$AL$6:$AL$505,"○")&gt;0,1,0))</f>
        <v>0</v>
      </c>
      <c r="BG66" s="39" t="n">
        <f aca="false">IF(BG$4=0,0,IF(COUNTIFS(実績!$W$6:$W$505,BG$3,実績!$AI$6:$AI$505,"&lt;="&amp;$A66,実績!$AJ$6:$AJ$505,"&gt;"&amp;$A66,実績!$AL$6:$AL$505,"○")&gt;0,1,0))</f>
        <v>0</v>
      </c>
      <c r="BH66" s="39" t="n">
        <f aca="false">IF(BH$4=0,0,IF(COUNTIFS(実績!$W$6:$W$505,BH$3,実績!$AI$6:$AI$505,"&lt;="&amp;$A66,実績!$AJ$6:$AJ$505,"&gt;"&amp;$A66,実績!$AL$6:$AL$505,"○")&gt;0,1,0))</f>
        <v>0</v>
      </c>
      <c r="BI66" s="39" t="n">
        <f aca="false">IF(BI$4=0,0,IF(COUNTIFS(実績!$W$6:$W$505,BI$3,実績!$AI$6:$AI$505,"&lt;="&amp;$A66,実績!$AJ$6:$AJ$505,"&gt;"&amp;$A66,実績!$AL$6:$AL$505,"○")&gt;0,1,0))</f>
        <v>0</v>
      </c>
      <c r="BJ66" s="39" t="n">
        <f aca="false">IF(BJ$4=0,0,IF(COUNTIFS(実績!$W$6:$W$505,BJ$3,実績!$AI$6:$AI$505,"&lt;="&amp;$A66,実績!$AJ$6:$AJ$505,"&gt;"&amp;$A66,実績!$AL$6:$AL$505,"○")&gt;0,1,0))</f>
        <v>0</v>
      </c>
      <c r="BK66" s="39" t="n">
        <f aca="false">IF(BK$4=0,0,IF(COUNTIFS(実績!$W$6:$W$505,BK$3,実績!$AI$6:$AI$505,"&lt;="&amp;$A66,実績!$AJ$6:$AJ$505,"&gt;"&amp;$A66,実績!$AL$6:$AL$505,"○")&gt;0,1,0))</f>
        <v>0</v>
      </c>
      <c r="BL66" s="39" t="n">
        <f aca="false">IF(BL$4=0,0,IF(COUNTIFS(実績!$W$6:$W$505,BL$3,実績!$AI$6:$AI$505,"&lt;="&amp;$A66,実績!$AJ$6:$AJ$505,"&gt;"&amp;$A66,実績!$AL$6:$AL$505,"○")&gt;0,1,0))</f>
        <v>0</v>
      </c>
      <c r="BM66" s="39" t="n">
        <f aca="false">IF(BM$4=0,0,IF(COUNTIFS(実績!$W$6:$W$505,BM$3,実績!$AI$6:$AI$505,"&lt;="&amp;$A66,実績!$AJ$6:$AJ$505,"&gt;"&amp;$A66,実績!$AL$6:$AL$505,"○")&gt;0,1,0))</f>
        <v>0</v>
      </c>
      <c r="BN66" s="39" t="n">
        <f aca="false">IF(BN$4=0,0,IF(COUNTIFS(実績!$W$6:$W$505,BN$3,実績!$AI$6:$AI$505,"&lt;="&amp;$A66,実績!$AJ$6:$AJ$505,"&gt;"&amp;$A66,実績!$AL$6:$AL$505,"○")&gt;0,1,0))</f>
        <v>0</v>
      </c>
      <c r="BO66" s="39" t="n">
        <f aca="false">IF(BO$4=0,0,IF(COUNTIFS(実績!$W$6:$W$505,BO$3,実績!$AI$6:$AI$505,"&lt;="&amp;$A66,実績!$AJ$6:$AJ$505,"&gt;"&amp;$A66,実績!$AL$6:$AL$505,"○")&gt;0,1,0))</f>
        <v>0</v>
      </c>
      <c r="BP66" s="39" t="n">
        <f aca="false">IF(BP$4=0,0,IF(COUNTIFS(実績!$W$6:$W$505,BP$3,実績!$AI$6:$AI$505,"&lt;="&amp;$A66,実績!$AJ$6:$AJ$505,"&gt;"&amp;$A66,実績!$AL$6:$AL$505,"○")&gt;0,1,0))</f>
        <v>0</v>
      </c>
      <c r="BQ66" s="39" t="n">
        <f aca="false">IF(BQ$4=0,0,IF(COUNTIFS(実績!$W$6:$W$505,BQ$3,実績!$AI$6:$AI$505,"&lt;="&amp;$A66,実績!$AJ$6:$AJ$505,"&gt;"&amp;$A66,実績!$AL$6:$AL$505,"○")&gt;0,1,0))</f>
        <v>0</v>
      </c>
      <c r="BR66" s="39" t="n">
        <f aca="false">IF(BR$4=0,0,IF(COUNTIFS(実績!$W$6:$W$505,BR$3,実績!$AI$6:$AI$505,"&lt;="&amp;$A66,実績!$AJ$6:$AJ$505,"&gt;"&amp;$A66,実績!$AL$6:$AL$505,"○")&gt;0,1,0))</f>
        <v>0</v>
      </c>
      <c r="BS66" s="39" t="n">
        <f aca="false">IF(BS$4=0,0,IF(COUNTIFS(実績!$W$6:$W$505,BS$3,実績!$AI$6:$AI$505,"&lt;="&amp;$A66,実績!$AJ$6:$AJ$505,"&gt;"&amp;$A66,実績!$AL$6:$AL$505,"○")&gt;0,1,0))</f>
        <v>0</v>
      </c>
      <c r="BT66" s="39" t="n">
        <f aca="false">IF(BT$4=0,0,IF(COUNTIFS(実績!$W$6:$W$505,BT$3,実績!$AI$6:$AI$505,"&lt;="&amp;$A66,実績!$AJ$6:$AJ$505,"&gt;"&amp;$A66,実績!$AL$6:$AL$505,"○")&gt;0,1,0))</f>
        <v>0</v>
      </c>
      <c r="BU66" s="39" t="n">
        <f aca="false">IF(BU$4=0,0,IF(COUNTIFS(実績!$W$6:$W$505,BU$3,実績!$AI$6:$AI$505,"&lt;="&amp;$A66,実績!$AJ$6:$AJ$505,"&gt;"&amp;$A66,実績!$AL$6:$AL$505,"○")&gt;0,1,0))</f>
        <v>0</v>
      </c>
      <c r="BV66" s="39" t="n">
        <f aca="false">IF(BV$4=0,0,IF(COUNTIFS(実績!$W$6:$W$505,BV$3,実績!$AI$6:$AI$505,"&lt;="&amp;$A66,実績!$AJ$6:$AJ$505,"&gt;"&amp;$A66,実績!$AL$6:$AL$505,"○")&gt;0,1,0))</f>
        <v>0</v>
      </c>
      <c r="BW66" s="39" t="n">
        <f aca="false">IF(BW$4=0,0,IF(COUNTIFS(実績!$W$6:$W$505,BW$3,実績!$AI$6:$AI$505,"&lt;="&amp;$A66,実績!$AJ$6:$AJ$505,"&gt;"&amp;$A66,実績!$AL$6:$AL$505,"○")&gt;0,1,0))</f>
        <v>0</v>
      </c>
      <c r="BX66" s="39" t="n">
        <f aca="false">IF(BX$4=0,0,IF(COUNTIFS(実績!$W$6:$W$505,BX$3,実績!$AI$6:$AI$505,"&lt;="&amp;$A66,実績!$AJ$6:$AJ$505,"&gt;"&amp;$A66,実績!$AL$6:$AL$505,"○")&gt;0,1,0))</f>
        <v>0</v>
      </c>
      <c r="BY66" s="39" t="n">
        <f aca="false">IF(BY$4=0,0,IF(COUNTIFS(実績!$W$6:$W$505,BY$3,実績!$AI$6:$AI$505,"&lt;="&amp;$A66,実績!$AJ$6:$AJ$505,"&gt;"&amp;$A66,実績!$AL$6:$AL$505,"○")&gt;0,1,0))</f>
        <v>0</v>
      </c>
      <c r="BZ66" s="39" t="n">
        <f aca="false">IF(BZ$4=0,0,IF(COUNTIFS(実績!$W$6:$W$505,BZ$3,実績!$AI$6:$AI$505,"&lt;="&amp;$A66,実績!$AJ$6:$AJ$505,"&gt;"&amp;$A66,実績!$AL$6:$AL$505,"○")&gt;0,1,0))</f>
        <v>0</v>
      </c>
      <c r="CA66" s="39" t="n">
        <f aca="false">IF(CA$4=0,0,IF(COUNTIFS(実績!$W$6:$W$505,CA$3,実績!$AI$6:$AI$505,"&lt;="&amp;$A66,実績!$AJ$6:$AJ$505,"&gt;"&amp;$A66,実績!$AL$6:$AL$505,"○")&gt;0,1,0))</f>
        <v>0</v>
      </c>
      <c r="CB66" s="39" t="n">
        <f aca="false">IF(CB$4=0,0,IF(COUNTIFS(実績!$W$6:$W$505,CB$3,実績!$AI$6:$AI$505,"&lt;="&amp;$A66,実績!$AJ$6:$AJ$505,"&gt;"&amp;$A66,実績!$AL$6:$AL$505,"○")&gt;0,1,0))</f>
        <v>0</v>
      </c>
      <c r="CC66" s="39" t="n">
        <f aca="false">IF(CC$4=0,0,IF(COUNTIFS(実績!$W$6:$W$505,CC$3,実績!$AI$6:$AI$505,"&lt;="&amp;$A66,実績!$AJ$6:$AJ$505,"&gt;"&amp;$A66,実績!$AL$6:$AL$505,"○")&gt;0,1,0))</f>
        <v>0</v>
      </c>
      <c r="CD66" s="39" t="n">
        <f aca="false">IF(CD$4=0,0,IF(COUNTIFS(実績!$W$6:$W$505,CD$3,実績!$AI$6:$AI$505,"&lt;="&amp;$A66,実績!$AJ$6:$AJ$505,"&gt;"&amp;$A66,実績!$AL$6:$AL$505,"○")&gt;0,1,0))</f>
        <v>0</v>
      </c>
      <c r="CE66" s="39" t="n">
        <f aca="false">IF(CE$4=0,0,IF(COUNTIFS(実績!$W$6:$W$505,CE$3,実績!$AI$6:$AI$505,"&lt;="&amp;$A66,実績!$AJ$6:$AJ$505,"&gt;"&amp;$A66,実績!$AL$6:$AL$505,"○")&gt;0,1,0))</f>
        <v>0</v>
      </c>
      <c r="CF66" s="39" t="n">
        <f aca="false">IF(CF$4=0,0,IF(COUNTIFS(実績!$W$6:$W$505,CF$3,実績!$AI$6:$AI$505,"&lt;="&amp;$A66,実績!$AJ$6:$AJ$505,"&gt;"&amp;$A66,実績!$AL$6:$AL$505,"○")&gt;0,1,0))</f>
        <v>0</v>
      </c>
      <c r="CG66" s="39" t="n">
        <f aca="false">IF(CG$4=0,0,IF(COUNTIFS(実績!$W$6:$W$505,CG$3,実績!$AI$6:$AI$505,"&lt;="&amp;$A66,実績!$AJ$6:$AJ$505,"&gt;"&amp;$A66,実績!$AL$6:$AL$505,"○")&gt;0,1,0))</f>
        <v>0</v>
      </c>
      <c r="CH66" s="39" t="n">
        <f aca="false">IF(CH$4=0,0,IF(COUNTIFS(実績!$W$6:$W$505,CH$3,実績!$AI$6:$AI$505,"&lt;="&amp;$A66,実績!$AJ$6:$AJ$505,"&gt;"&amp;$A66,実績!$AL$6:$AL$505,"○")&gt;0,1,0))</f>
        <v>0</v>
      </c>
      <c r="CI66" s="39" t="n">
        <f aca="false">IF(CI$4=0,0,IF(COUNTIFS(実績!$W$6:$W$505,CI$3,実績!$AI$6:$AI$505,"&lt;="&amp;$A66,実績!$AJ$6:$AJ$505,"&gt;"&amp;$A66,実績!$AL$6:$AL$505,"○")&gt;0,1,0))</f>
        <v>0</v>
      </c>
      <c r="CJ66" s="39" t="n">
        <f aca="false">IF(CJ$4=0,0,IF(COUNTIFS(実績!$W$6:$W$505,CJ$3,実績!$AI$6:$AI$505,"&lt;="&amp;$A66,実績!$AJ$6:$AJ$505,"&gt;"&amp;$A66,実績!$AL$6:$AL$505,"○")&gt;0,1,0))</f>
        <v>0</v>
      </c>
      <c r="CK66" s="39" t="n">
        <f aca="false">IF(CK$4=0,0,IF(COUNTIFS(実績!$W$6:$W$505,CK$3,実績!$AI$6:$AI$505,"&lt;="&amp;$A66,実績!$AJ$6:$AJ$505,"&gt;"&amp;$A66,実績!$AL$6:$AL$505,"○")&gt;0,1,0))</f>
        <v>0</v>
      </c>
      <c r="CL66" s="39" t="n">
        <f aca="false">IF(CL$4=0,0,IF(COUNTIFS(実績!$W$6:$W$505,CL$3,実績!$AI$6:$AI$505,"&lt;="&amp;$A66,実績!$AJ$6:$AJ$505,"&gt;"&amp;$A66,実績!$AL$6:$AL$505,"○")&gt;0,1,0))</f>
        <v>0</v>
      </c>
      <c r="CM66" s="39" t="n">
        <f aca="false">IF(CM$4=0,0,IF(COUNTIFS(実績!$W$6:$W$505,CM$3,実績!$AI$6:$AI$505,"&lt;="&amp;$A66,実績!$AJ$6:$AJ$505,"&gt;"&amp;$A66,実績!$AL$6:$AL$505,"○")&gt;0,1,0))</f>
        <v>0</v>
      </c>
      <c r="CN66" s="39" t="n">
        <f aca="false">IF(CN$4=0,0,IF(COUNTIFS(実績!$W$6:$W$505,CN$3,実績!$AI$6:$AI$505,"&lt;="&amp;$A66,実績!$AJ$6:$AJ$505,"&gt;"&amp;$A66,実績!$AL$6:$AL$505,"○")&gt;0,1,0))</f>
        <v>0</v>
      </c>
      <c r="CO66" s="39" t="n">
        <f aca="false">IF(CO$4=0,0,IF(COUNTIFS(実績!$W$6:$W$505,CO$3,実績!$AI$6:$AI$505,"&lt;="&amp;$A66,実績!$AJ$6:$AJ$505,"&gt;"&amp;$A66,実績!$AL$6:$AL$505,"○")&gt;0,1,0))</f>
        <v>0</v>
      </c>
      <c r="CP66" s="39" t="n">
        <f aca="false">IF(CP$4=0,0,IF(COUNTIFS(実績!$W$6:$W$505,CP$3,実績!$AI$6:$AI$505,"&lt;="&amp;$A66,実績!$AJ$6:$AJ$505,"&gt;"&amp;$A66,実績!$AL$6:$AL$505,"○")&gt;0,1,0))</f>
        <v>0</v>
      </c>
      <c r="CQ66" s="39" t="n">
        <f aca="false">IF(CQ$4=0,0,IF(COUNTIFS(実績!$W$6:$W$505,CQ$3,実績!$AI$6:$AI$505,"&lt;="&amp;$A66,実績!$AJ$6:$AJ$505,"&gt;"&amp;$A66,実績!$AL$6:$AL$505,"○")&gt;0,1,0))</f>
        <v>0</v>
      </c>
      <c r="CR66" s="39" t="n">
        <f aca="false">IF(CR$4=0,0,IF(COUNTIFS(実績!$W$6:$W$505,CR$3,実績!$AI$6:$AI$505,"&lt;="&amp;$A66,実績!$AJ$6:$AJ$505,"&gt;"&amp;$A66,実績!$AL$6:$AL$505,"○")&gt;0,1,0))</f>
        <v>0</v>
      </c>
      <c r="CS66" s="39" t="n">
        <f aca="false">IF(CS$4=0,0,IF(COUNTIFS(実績!$W$6:$W$505,CS$3,実績!$AI$6:$AI$505,"&lt;="&amp;$A66,実績!$AJ$6:$AJ$505,"&gt;"&amp;$A66,実績!$AL$6:$AL$505,"○")&gt;0,1,0))</f>
        <v>0</v>
      </c>
      <c r="CT66" s="39" t="n">
        <f aca="false">IF(CT$4=0,0,IF(COUNTIFS(実績!$W$6:$W$505,CT$3,実績!$AI$6:$AI$505,"&lt;="&amp;$A66,実績!$AJ$6:$AJ$505,"&gt;"&amp;$A66,実績!$AL$6:$AL$505,"○")&gt;0,1,0))</f>
        <v>0</v>
      </c>
      <c r="CU66" s="39" t="n">
        <f aca="false">IF(CU$4=0,0,IF(COUNTIFS(実績!$W$6:$W$505,CU$3,実績!$AI$6:$AI$505,"&lt;="&amp;$A66,実績!$AJ$6:$AJ$505,"&gt;"&amp;$A66,実績!$AL$6:$AL$505,"○")&gt;0,1,0))</f>
        <v>0</v>
      </c>
      <c r="CV66" s="39" t="n">
        <f aca="false">IF(CV$4=0,0,IF(COUNTIFS(実績!$W$6:$W$505,CV$3,実績!$AI$6:$AI$505,"&lt;="&amp;$A66,実績!$AJ$6:$AJ$505,"&gt;"&amp;$A66,実績!$AL$6:$AL$505,"○")&gt;0,1,0))</f>
        <v>0</v>
      </c>
      <c r="CW66" s="39" t="n">
        <f aca="false">IF(CW$4=0,0,IF(COUNTIFS(実績!$W$6:$W$505,CW$3,実績!$AI$6:$AI$505,"&lt;="&amp;$A66,実績!$AJ$6:$AJ$505,"&gt;"&amp;$A66,実績!$AL$6:$AL$505,"○")&gt;0,1,0))</f>
        <v>0</v>
      </c>
      <c r="CX66" s="39" t="n">
        <f aca="false">IF(CX$4=0,0,IF(COUNTIFS(実績!$W$6:$W$505,CX$3,実績!$AI$6:$AI$505,"&lt;="&amp;$A66,実績!$AJ$6:$AJ$505,"&gt;"&amp;$A66,実績!$AL$6:$AL$505,"○")&gt;0,1,0))</f>
        <v>0</v>
      </c>
      <c r="CY66" s="39" t="n">
        <f aca="false">IF(CY$4=0,0,IF(COUNTIFS(実績!$W$6:$W$505,CY$3,実績!$AI$6:$AI$505,"&lt;="&amp;$A66,実績!$AJ$6:$AJ$505,"&gt;"&amp;$A66,実績!$AL$6:$AL$505,"○")&gt;0,1,0))</f>
        <v>0</v>
      </c>
      <c r="CZ66" s="39" t="n">
        <f aca="false">IF(CZ$4=0,0,IF(COUNTIFS(実績!$W$6:$W$505,CZ$3,実績!$AI$6:$AI$505,"&lt;="&amp;$A66,実績!$AJ$6:$AJ$505,"&gt;"&amp;$A66,実績!$AL$6:$AL$505,"○")&gt;0,1,0))</f>
        <v>0</v>
      </c>
      <c r="DA66" s="39" t="n">
        <f aca="false">IF(DA$4=0,0,IF(COUNTIFS(実績!$W$6:$W$505,DA$3,実績!$AI$6:$AI$505,"&lt;="&amp;$A66,実績!$AJ$6:$AJ$505,"&gt;"&amp;$A66,実績!$AL$6:$AL$505,"○")&gt;0,1,0))</f>
        <v>0</v>
      </c>
      <c r="DB66" s="39" t="n">
        <f aca="false">IF(DB$4=0,0,IF(COUNTIFS(実績!$W$6:$W$505,DB$3,実績!$AI$6:$AI$505,"&lt;="&amp;$A66,実績!$AJ$6:$AJ$505,"&gt;"&amp;$A66,実績!$AL$6:$AL$505,"○")&gt;0,1,0))</f>
        <v>0</v>
      </c>
      <c r="DC66" s="39" t="n">
        <f aca="false">IF(DC$4=0,0,IF(COUNTIFS(実績!$W$6:$W$505,DC$3,実績!$AI$6:$AI$505,"&lt;="&amp;$A66,実績!$AJ$6:$AJ$505,"&gt;"&amp;$A66,実績!$AL$6:$AL$505,"○")&gt;0,1,0))</f>
        <v>0</v>
      </c>
      <c r="DD66" s="39" t="n">
        <f aca="false">IF(DD$4=0,0,IF(COUNTIFS(実績!$W$6:$W$505,DD$3,実績!$AI$6:$AI$505,"&lt;="&amp;$A66,実績!$AJ$6:$AJ$505,"&gt;"&amp;$A66,実績!$AL$6:$AL$505,"○")&gt;0,1,0))</f>
        <v>0</v>
      </c>
      <c r="DE66" s="39" t="n">
        <f aca="false">IF(DE$4=0,0,IF(COUNTIFS(実績!$W$6:$W$505,DE$3,実績!$AI$6:$AI$505,"&lt;="&amp;$A66,実績!$AJ$6:$AJ$505,"&gt;"&amp;$A66,実績!$AL$6:$AL$505,"○")&gt;0,1,0))</f>
        <v>0</v>
      </c>
      <c r="DF66" s="39" t="n">
        <f aca="false">IF(DF$4=0,0,IF(COUNTIFS(実績!$W$6:$W$505,DF$3,実績!$AI$6:$AI$505,"&lt;="&amp;$A66,実績!$AJ$6:$AJ$505,"&gt;"&amp;$A66,実績!$AL$6:$AL$505,"○")&gt;0,1,0))</f>
        <v>0</v>
      </c>
      <c r="DG66" s="39" t="n">
        <f aca="false">IF(DG$4=0,0,IF(COUNTIFS(実績!$W$6:$W$505,DG$3,実績!$AI$6:$AI$505,"&lt;="&amp;$A66,実績!$AJ$6:$AJ$505,"&gt;"&amp;$A66,実績!$AL$6:$AL$505,"○")&gt;0,1,0))</f>
        <v>0</v>
      </c>
      <c r="DH66" s="39" t="n">
        <f aca="false">IF(DH$4=0,0,IF(COUNTIFS(実績!$W$6:$W$505,DH$3,実績!$AI$6:$AI$505,"&lt;="&amp;$A66,実績!$AJ$6:$AJ$505,"&gt;"&amp;$A66,実績!$AL$6:$AL$505,"○")&gt;0,1,0))</f>
        <v>0</v>
      </c>
      <c r="DI66" s="39" t="n">
        <f aca="false">IF(DI$4=0,0,IF(COUNTIFS(実績!$W$6:$W$505,DI$3,実績!$AI$6:$AI$505,"&lt;="&amp;$A66,実績!$AJ$6:$AJ$505,"&gt;"&amp;$A66,実績!$AL$6:$AL$505,"○")&gt;0,1,0))</f>
        <v>0</v>
      </c>
      <c r="DJ66" s="39" t="n">
        <f aca="false">IF(DJ$4=0,0,IF(COUNTIFS(実績!$W$6:$W$505,DJ$3,実績!$AI$6:$AI$505,"&lt;="&amp;$A66,実績!$AJ$6:$AJ$505,"&gt;"&amp;$A66,実績!$AL$6:$AL$505,"○")&gt;0,1,0))</f>
        <v>0</v>
      </c>
      <c r="DK66" s="39" t="n">
        <f aca="false">IF(DK$4=0,0,IF(COUNTIFS(実績!$W$6:$W$505,DK$3,実績!$AI$6:$AI$505,"&lt;="&amp;$A66,実績!$AJ$6:$AJ$505,"&gt;"&amp;$A66,実績!$AL$6:$AL$505,"○")&gt;0,1,0))</f>
        <v>0</v>
      </c>
      <c r="DL66" s="39" t="n">
        <f aca="false">IF(DL$4=0,0,IF(COUNTIFS(実績!$W$6:$W$505,DL$3,実績!$AI$6:$AI$505,"&lt;="&amp;$A66,実績!$AJ$6:$AJ$505,"&gt;"&amp;$A66,実績!$AL$6:$AL$505,"○")&gt;0,1,0))</f>
        <v>0</v>
      </c>
      <c r="DM66" s="39" t="n">
        <f aca="false">IF(DM$4=0,0,IF(COUNTIFS(実績!$W$6:$W$505,DM$3,実績!$AI$6:$AI$505,"&lt;="&amp;$A66,実績!$AJ$6:$AJ$505,"&gt;"&amp;$A66,実績!$AL$6:$AL$505,"○")&gt;0,1,0))</f>
        <v>0</v>
      </c>
      <c r="DN66" s="39" t="n">
        <f aca="false">IF(DN$4=0,0,IF(COUNTIFS(実績!$W$6:$W$505,DN$3,実績!$AI$6:$AI$505,"&lt;="&amp;$A66,実績!$AJ$6:$AJ$505,"&gt;"&amp;$A66,実績!$AL$6:$AL$505,"○")&gt;0,1,0))</f>
        <v>0</v>
      </c>
      <c r="DO66" s="39" t="n">
        <f aca="false">IF(DO$4=0,0,IF(COUNTIFS(実績!$W$6:$W$505,DO$3,実績!$AI$6:$AI$505,"&lt;="&amp;$A66,実績!$AJ$6:$AJ$505,"&gt;"&amp;$A66,実績!$AL$6:$AL$505,"○")&gt;0,1,0))</f>
        <v>0</v>
      </c>
      <c r="DP66" s="39" t="n">
        <f aca="false">IF(DP$4=0,0,IF(COUNTIFS(実績!$W$6:$W$505,DP$3,実績!$AI$6:$AI$505,"&lt;="&amp;$A66,実績!$AJ$6:$AJ$505,"&gt;"&amp;$A66,実績!$AL$6:$AL$505,"○")&gt;0,1,0))</f>
        <v>0</v>
      </c>
      <c r="DQ66" s="39" t="n">
        <f aca="false">IF(DQ$4=0,0,IF(COUNTIFS(実績!$W$6:$W$505,DQ$3,実績!$AI$6:$AI$505,"&lt;="&amp;$A66,実績!$AJ$6:$AJ$505,"&gt;"&amp;$A66,実績!$AL$6:$AL$505,"○")&gt;0,1,0))</f>
        <v>0</v>
      </c>
      <c r="DR66" s="39" t="n">
        <f aca="false">IF(DR$4=0,0,IF(COUNTIFS(実績!$W$6:$W$505,DR$3,実績!$AI$6:$AI$505,"&lt;="&amp;$A66,実績!$AJ$6:$AJ$505,"&gt;"&amp;$A66,実績!$AL$6:$AL$505,"○")&gt;0,1,0))</f>
        <v>0</v>
      </c>
      <c r="DS66" s="39" t="n">
        <f aca="false">SUM(C66:DR66)</f>
        <v>0</v>
      </c>
    </row>
    <row r="67" customFormat="false" ht="15" hidden="false" customHeight="false" outlineLevel="0" collapsed="false">
      <c r="A67" s="0" t="n">
        <v>305</v>
      </c>
      <c r="B67" s="38" t="n">
        <f aca="false">A67/1440</f>
        <v>0.211805555555556</v>
      </c>
      <c r="C67" s="39" t="n">
        <f aca="false">IF(C$4=0,0,IF(COUNTIFS(実績!$W$6:$W$505,C$3,実績!$AI$6:$AI$505,"&lt;="&amp;$A67,実績!$AJ$6:$AJ$505,"&gt;"&amp;$A67,実績!$AL$6:$AL$505,"○")&gt;0,1,0))</f>
        <v>0</v>
      </c>
      <c r="D67" s="39" t="n">
        <f aca="false">IF(D$4=0,0,IF(COUNTIFS(実績!$W$6:$W$505,D$3,実績!$AI$6:$AI$505,"&lt;="&amp;$A67,実績!$AJ$6:$AJ$505,"&gt;"&amp;$A67,実績!$AL$6:$AL$505,"○")&gt;0,1,0))</f>
        <v>0</v>
      </c>
      <c r="E67" s="39" t="n">
        <f aca="false">IF(E$4=0,0,IF(COUNTIFS(実績!$W$6:$W$505,E$3,実績!$AI$6:$AI$505,"&lt;="&amp;$A67,実績!$AJ$6:$AJ$505,"&gt;"&amp;$A67,実績!$AL$6:$AL$505,"○")&gt;0,1,0))</f>
        <v>0</v>
      </c>
      <c r="F67" s="39" t="n">
        <f aca="false">IF(F$4=0,0,IF(COUNTIFS(実績!$W$6:$W$505,F$3,実績!$AI$6:$AI$505,"&lt;="&amp;$A67,実績!$AJ$6:$AJ$505,"&gt;"&amp;$A67,実績!$AL$6:$AL$505,"○")&gt;0,1,0))</f>
        <v>0</v>
      </c>
      <c r="G67" s="39" t="n">
        <f aca="false">IF(G$4=0,0,IF(COUNTIFS(実績!$W$6:$W$505,G$3,実績!$AI$6:$AI$505,"&lt;="&amp;$A67,実績!$AJ$6:$AJ$505,"&gt;"&amp;$A67,実績!$AL$6:$AL$505,"○")&gt;0,1,0))</f>
        <v>0</v>
      </c>
      <c r="H67" s="39" t="n">
        <f aca="false">IF(H$4=0,0,IF(COUNTIFS(実績!$W$6:$W$505,H$3,実績!$AI$6:$AI$505,"&lt;="&amp;$A67,実績!$AJ$6:$AJ$505,"&gt;"&amp;$A67,実績!$AL$6:$AL$505,"○")&gt;0,1,0))</f>
        <v>0</v>
      </c>
      <c r="I67" s="39" t="n">
        <f aca="false">IF(I$4=0,0,IF(COUNTIFS(実績!$W$6:$W$505,I$3,実績!$AI$6:$AI$505,"&lt;="&amp;$A67,実績!$AJ$6:$AJ$505,"&gt;"&amp;$A67,実績!$AL$6:$AL$505,"○")&gt;0,1,0))</f>
        <v>0</v>
      </c>
      <c r="J67" s="39" t="n">
        <f aca="false">IF(J$4=0,0,IF(COUNTIFS(実績!$W$6:$W$505,J$3,実績!$AI$6:$AI$505,"&lt;="&amp;$A67,実績!$AJ$6:$AJ$505,"&gt;"&amp;$A67,実績!$AL$6:$AL$505,"○")&gt;0,1,0))</f>
        <v>0</v>
      </c>
      <c r="K67" s="39" t="n">
        <f aca="false">IF(K$4=0,0,IF(COUNTIFS(実績!$W$6:$W$505,K$3,実績!$AI$6:$AI$505,"&lt;="&amp;$A67,実績!$AJ$6:$AJ$505,"&gt;"&amp;$A67,実績!$AL$6:$AL$505,"○")&gt;0,1,0))</f>
        <v>0</v>
      </c>
      <c r="L67" s="39" t="n">
        <f aca="false">IF(L$4=0,0,IF(COUNTIFS(実績!$W$6:$W$505,L$3,実績!$AI$6:$AI$505,"&lt;="&amp;$A67,実績!$AJ$6:$AJ$505,"&gt;"&amp;$A67,実績!$AL$6:$AL$505,"○")&gt;0,1,0))</f>
        <v>0</v>
      </c>
      <c r="M67" s="39" t="n">
        <f aca="false">IF(M$4=0,0,IF(COUNTIFS(実績!$W$6:$W$505,M$3,実績!$AI$6:$AI$505,"&lt;="&amp;$A67,実績!$AJ$6:$AJ$505,"&gt;"&amp;$A67,実績!$AL$6:$AL$505,"○")&gt;0,1,0))</f>
        <v>0</v>
      </c>
      <c r="N67" s="39" t="n">
        <f aca="false">IF(N$4=0,0,IF(COUNTIFS(実績!$W$6:$W$505,N$3,実績!$AI$6:$AI$505,"&lt;="&amp;$A67,実績!$AJ$6:$AJ$505,"&gt;"&amp;$A67,実績!$AL$6:$AL$505,"○")&gt;0,1,0))</f>
        <v>0</v>
      </c>
      <c r="O67" s="39" t="n">
        <f aca="false">IF(O$4=0,0,IF(COUNTIFS(実績!$W$6:$W$505,O$3,実績!$AI$6:$AI$505,"&lt;="&amp;$A67,実績!$AJ$6:$AJ$505,"&gt;"&amp;$A67,実績!$AL$6:$AL$505,"○")&gt;0,1,0))</f>
        <v>0</v>
      </c>
      <c r="P67" s="39" t="n">
        <f aca="false">IF(P$4=0,0,IF(COUNTIFS(実績!$W$6:$W$505,P$3,実績!$AI$6:$AI$505,"&lt;="&amp;$A67,実績!$AJ$6:$AJ$505,"&gt;"&amp;$A67,実績!$AL$6:$AL$505,"○")&gt;0,1,0))</f>
        <v>0</v>
      </c>
      <c r="Q67" s="39" t="n">
        <f aca="false">IF(Q$4=0,0,IF(COUNTIFS(実績!$W$6:$W$505,Q$3,実績!$AI$6:$AI$505,"&lt;="&amp;$A67,実績!$AJ$6:$AJ$505,"&gt;"&amp;$A67,実績!$AL$6:$AL$505,"○")&gt;0,1,0))</f>
        <v>0</v>
      </c>
      <c r="R67" s="39" t="n">
        <f aca="false">IF(R$4=0,0,IF(COUNTIFS(実績!$W$6:$W$505,R$3,実績!$AI$6:$AI$505,"&lt;="&amp;$A67,実績!$AJ$6:$AJ$505,"&gt;"&amp;$A67,実績!$AL$6:$AL$505,"○")&gt;0,1,0))</f>
        <v>0</v>
      </c>
      <c r="S67" s="39" t="n">
        <f aca="false">IF(S$4=0,0,IF(COUNTIFS(実績!$W$6:$W$505,S$3,実績!$AI$6:$AI$505,"&lt;="&amp;$A67,実績!$AJ$6:$AJ$505,"&gt;"&amp;$A67,実績!$AL$6:$AL$505,"○")&gt;0,1,0))</f>
        <v>0</v>
      </c>
      <c r="T67" s="39" t="n">
        <f aca="false">IF(T$4=0,0,IF(COUNTIFS(実績!$W$6:$W$505,T$3,実績!$AI$6:$AI$505,"&lt;="&amp;$A67,実績!$AJ$6:$AJ$505,"&gt;"&amp;$A67,実績!$AL$6:$AL$505,"○")&gt;0,1,0))</f>
        <v>0</v>
      </c>
      <c r="U67" s="39" t="n">
        <f aca="false">IF(U$4=0,0,IF(COUNTIFS(実績!$W$6:$W$505,U$3,実績!$AI$6:$AI$505,"&lt;="&amp;$A67,実績!$AJ$6:$AJ$505,"&gt;"&amp;$A67,実績!$AL$6:$AL$505,"○")&gt;0,1,0))</f>
        <v>0</v>
      </c>
      <c r="V67" s="39" t="n">
        <f aca="false">IF(V$4=0,0,IF(COUNTIFS(実績!$W$6:$W$505,V$3,実績!$AI$6:$AI$505,"&lt;="&amp;$A67,実績!$AJ$6:$AJ$505,"&gt;"&amp;$A67,実績!$AL$6:$AL$505,"○")&gt;0,1,0))</f>
        <v>0</v>
      </c>
      <c r="W67" s="39" t="n">
        <f aca="false">IF(W$4=0,0,IF(COUNTIFS(実績!$W$6:$W$505,W$3,実績!$AI$6:$AI$505,"&lt;="&amp;$A67,実績!$AJ$6:$AJ$505,"&gt;"&amp;$A67,実績!$AL$6:$AL$505,"○")&gt;0,1,0))</f>
        <v>0</v>
      </c>
      <c r="X67" s="39" t="n">
        <f aca="false">IF(X$4=0,0,IF(COUNTIFS(実績!$W$6:$W$505,X$3,実績!$AI$6:$AI$505,"&lt;="&amp;$A67,実績!$AJ$6:$AJ$505,"&gt;"&amp;$A67,実績!$AL$6:$AL$505,"○")&gt;0,1,0))</f>
        <v>0</v>
      </c>
      <c r="Y67" s="39" t="n">
        <f aca="false">IF(Y$4=0,0,IF(COUNTIFS(実績!$W$6:$W$505,Y$3,実績!$AI$6:$AI$505,"&lt;="&amp;$A67,実績!$AJ$6:$AJ$505,"&gt;"&amp;$A67,実績!$AL$6:$AL$505,"○")&gt;0,1,0))</f>
        <v>0</v>
      </c>
      <c r="Z67" s="39" t="n">
        <f aca="false">IF(Z$4=0,0,IF(COUNTIFS(実績!$W$6:$W$505,Z$3,実績!$AI$6:$AI$505,"&lt;="&amp;$A67,実績!$AJ$6:$AJ$505,"&gt;"&amp;$A67,実績!$AL$6:$AL$505,"○")&gt;0,1,0))</f>
        <v>0</v>
      </c>
      <c r="AA67" s="39" t="n">
        <f aca="false">IF(AA$4=0,0,IF(COUNTIFS(実績!$W$6:$W$505,AA$3,実績!$AI$6:$AI$505,"&lt;="&amp;$A67,実績!$AJ$6:$AJ$505,"&gt;"&amp;$A67,実績!$AL$6:$AL$505,"○")&gt;0,1,0))</f>
        <v>0</v>
      </c>
      <c r="AB67" s="39" t="n">
        <f aca="false">IF(AB$4=0,0,IF(COUNTIFS(実績!$W$6:$W$505,AB$3,実績!$AI$6:$AI$505,"&lt;="&amp;$A67,実績!$AJ$6:$AJ$505,"&gt;"&amp;$A67,実績!$AL$6:$AL$505,"○")&gt;0,1,0))</f>
        <v>0</v>
      </c>
      <c r="AC67" s="39" t="n">
        <f aca="false">IF(AC$4=0,0,IF(COUNTIFS(実績!$W$6:$W$505,AC$3,実績!$AI$6:$AI$505,"&lt;="&amp;$A67,実績!$AJ$6:$AJ$505,"&gt;"&amp;$A67,実績!$AL$6:$AL$505,"○")&gt;0,1,0))</f>
        <v>0</v>
      </c>
      <c r="AD67" s="39" t="n">
        <f aca="false">IF(AD$4=0,0,IF(COUNTIFS(実績!$W$6:$W$505,AD$3,実績!$AI$6:$AI$505,"&lt;="&amp;$A67,実績!$AJ$6:$AJ$505,"&gt;"&amp;$A67,実績!$AL$6:$AL$505,"○")&gt;0,1,0))</f>
        <v>0</v>
      </c>
      <c r="AE67" s="39" t="n">
        <f aca="false">IF(AE$4=0,0,IF(COUNTIFS(実績!$W$6:$W$505,AE$3,実績!$AI$6:$AI$505,"&lt;="&amp;$A67,実績!$AJ$6:$AJ$505,"&gt;"&amp;$A67,実績!$AL$6:$AL$505,"○")&gt;0,1,0))</f>
        <v>0</v>
      </c>
      <c r="AF67" s="39" t="n">
        <f aca="false">IF(AF$4=0,0,IF(COUNTIFS(実績!$W$6:$W$505,AF$3,実績!$AI$6:$AI$505,"&lt;="&amp;$A67,実績!$AJ$6:$AJ$505,"&gt;"&amp;$A67,実績!$AL$6:$AL$505,"○")&gt;0,1,0))</f>
        <v>0</v>
      </c>
      <c r="AG67" s="39" t="n">
        <f aca="false">IF(AG$4=0,0,IF(COUNTIFS(実績!$W$6:$W$505,AG$3,実績!$AI$6:$AI$505,"&lt;="&amp;$A67,実績!$AJ$6:$AJ$505,"&gt;"&amp;$A67,実績!$AL$6:$AL$505,"○")&gt;0,1,0))</f>
        <v>0</v>
      </c>
      <c r="AH67" s="39" t="n">
        <f aca="false">IF(AH$4=0,0,IF(COUNTIFS(実績!$W$6:$W$505,AH$3,実績!$AI$6:$AI$505,"&lt;="&amp;$A67,実績!$AJ$6:$AJ$505,"&gt;"&amp;$A67,実績!$AL$6:$AL$505,"○")&gt;0,1,0))</f>
        <v>0</v>
      </c>
      <c r="AI67" s="39" t="n">
        <f aca="false">IF(AI$4=0,0,IF(COUNTIFS(実績!$W$6:$W$505,AI$3,実績!$AI$6:$AI$505,"&lt;="&amp;$A67,実績!$AJ$6:$AJ$505,"&gt;"&amp;$A67,実績!$AL$6:$AL$505,"○")&gt;0,1,0))</f>
        <v>0</v>
      </c>
      <c r="AJ67" s="39" t="n">
        <f aca="false">IF(AJ$4=0,0,IF(COUNTIFS(実績!$W$6:$W$505,AJ$3,実績!$AI$6:$AI$505,"&lt;="&amp;$A67,実績!$AJ$6:$AJ$505,"&gt;"&amp;$A67,実績!$AL$6:$AL$505,"○")&gt;0,1,0))</f>
        <v>0</v>
      </c>
      <c r="AK67" s="39" t="n">
        <f aca="false">IF(AK$4=0,0,IF(COUNTIFS(実績!$W$6:$W$505,AK$3,実績!$AI$6:$AI$505,"&lt;="&amp;$A67,実績!$AJ$6:$AJ$505,"&gt;"&amp;$A67,実績!$AL$6:$AL$505,"○")&gt;0,1,0))</f>
        <v>0</v>
      </c>
      <c r="AL67" s="39" t="n">
        <f aca="false">IF(AL$4=0,0,IF(COUNTIFS(実績!$W$6:$W$505,AL$3,実績!$AI$6:$AI$505,"&lt;="&amp;$A67,実績!$AJ$6:$AJ$505,"&gt;"&amp;$A67,実績!$AL$6:$AL$505,"○")&gt;0,1,0))</f>
        <v>0</v>
      </c>
      <c r="AM67" s="39" t="n">
        <f aca="false">IF(AM$4=0,0,IF(COUNTIFS(実績!$W$6:$W$505,AM$3,実績!$AI$6:$AI$505,"&lt;="&amp;$A67,実績!$AJ$6:$AJ$505,"&gt;"&amp;$A67,実績!$AL$6:$AL$505,"○")&gt;0,1,0))</f>
        <v>0</v>
      </c>
      <c r="AN67" s="39" t="n">
        <f aca="false">IF(AN$4=0,0,IF(COUNTIFS(実績!$W$6:$W$505,AN$3,実績!$AI$6:$AI$505,"&lt;="&amp;$A67,実績!$AJ$6:$AJ$505,"&gt;"&amp;$A67,実績!$AL$6:$AL$505,"○")&gt;0,1,0))</f>
        <v>0</v>
      </c>
      <c r="AO67" s="39" t="n">
        <f aca="false">IF(AO$4=0,0,IF(COUNTIFS(実績!$W$6:$W$505,AO$3,実績!$AI$6:$AI$505,"&lt;="&amp;$A67,実績!$AJ$6:$AJ$505,"&gt;"&amp;$A67,実績!$AL$6:$AL$505,"○")&gt;0,1,0))</f>
        <v>0</v>
      </c>
      <c r="AP67" s="39" t="n">
        <f aca="false">IF(AP$4=0,0,IF(COUNTIFS(実績!$W$6:$W$505,AP$3,実績!$AI$6:$AI$505,"&lt;="&amp;$A67,実績!$AJ$6:$AJ$505,"&gt;"&amp;$A67,実績!$AL$6:$AL$505,"○")&gt;0,1,0))</f>
        <v>0</v>
      </c>
      <c r="AQ67" s="39" t="n">
        <f aca="false">IF(AQ$4=0,0,IF(COUNTIFS(実績!$W$6:$W$505,AQ$3,実績!$AI$6:$AI$505,"&lt;="&amp;$A67,実績!$AJ$6:$AJ$505,"&gt;"&amp;$A67,実績!$AL$6:$AL$505,"○")&gt;0,1,0))</f>
        <v>0</v>
      </c>
      <c r="AR67" s="39" t="n">
        <f aca="false">IF(AR$4=0,0,IF(COUNTIFS(実績!$W$6:$W$505,AR$3,実績!$AI$6:$AI$505,"&lt;="&amp;$A67,実績!$AJ$6:$AJ$505,"&gt;"&amp;$A67,実績!$AL$6:$AL$505,"○")&gt;0,1,0))</f>
        <v>0</v>
      </c>
      <c r="AS67" s="39" t="n">
        <f aca="false">IF(AS$4=0,0,IF(COUNTIFS(実績!$W$6:$W$505,AS$3,実績!$AI$6:$AI$505,"&lt;="&amp;$A67,実績!$AJ$6:$AJ$505,"&gt;"&amp;$A67,実績!$AL$6:$AL$505,"○")&gt;0,1,0))</f>
        <v>0</v>
      </c>
      <c r="AT67" s="39" t="n">
        <f aca="false">IF(AT$4=0,0,IF(COUNTIFS(実績!$W$6:$W$505,AT$3,実績!$AI$6:$AI$505,"&lt;="&amp;$A67,実績!$AJ$6:$AJ$505,"&gt;"&amp;$A67,実績!$AL$6:$AL$505,"○")&gt;0,1,0))</f>
        <v>0</v>
      </c>
      <c r="AU67" s="39" t="n">
        <f aca="false">IF(AU$4=0,0,IF(COUNTIFS(実績!$W$6:$W$505,AU$3,実績!$AI$6:$AI$505,"&lt;="&amp;$A67,実績!$AJ$6:$AJ$505,"&gt;"&amp;$A67,実績!$AL$6:$AL$505,"○")&gt;0,1,0))</f>
        <v>0</v>
      </c>
      <c r="AV67" s="39" t="n">
        <f aca="false">IF(AV$4=0,0,IF(COUNTIFS(実績!$W$6:$W$505,AV$3,実績!$AI$6:$AI$505,"&lt;="&amp;$A67,実績!$AJ$6:$AJ$505,"&gt;"&amp;$A67,実績!$AL$6:$AL$505,"○")&gt;0,1,0))</f>
        <v>0</v>
      </c>
      <c r="AW67" s="39" t="n">
        <f aca="false">IF(AW$4=0,0,IF(COUNTIFS(実績!$W$6:$W$505,AW$3,実績!$AI$6:$AI$505,"&lt;="&amp;$A67,実績!$AJ$6:$AJ$505,"&gt;"&amp;$A67,実績!$AL$6:$AL$505,"○")&gt;0,1,0))</f>
        <v>0</v>
      </c>
      <c r="AX67" s="39" t="n">
        <f aca="false">IF(AX$4=0,0,IF(COUNTIFS(実績!$W$6:$W$505,AX$3,実績!$AI$6:$AI$505,"&lt;="&amp;$A67,実績!$AJ$6:$AJ$505,"&gt;"&amp;$A67,実績!$AL$6:$AL$505,"○")&gt;0,1,0))</f>
        <v>0</v>
      </c>
      <c r="AY67" s="39" t="n">
        <f aca="false">IF(AY$4=0,0,IF(COUNTIFS(実績!$W$6:$W$505,AY$3,実績!$AI$6:$AI$505,"&lt;="&amp;$A67,実績!$AJ$6:$AJ$505,"&gt;"&amp;$A67,実績!$AL$6:$AL$505,"○")&gt;0,1,0))</f>
        <v>0</v>
      </c>
      <c r="AZ67" s="39" t="n">
        <f aca="false">IF(AZ$4=0,0,IF(COUNTIFS(実績!$W$6:$W$505,AZ$3,実績!$AI$6:$AI$505,"&lt;="&amp;$A67,実績!$AJ$6:$AJ$505,"&gt;"&amp;$A67,実績!$AL$6:$AL$505,"○")&gt;0,1,0))</f>
        <v>0</v>
      </c>
      <c r="BA67" s="39" t="n">
        <f aca="false">IF(BA$4=0,0,IF(COUNTIFS(実績!$W$6:$W$505,BA$3,実績!$AI$6:$AI$505,"&lt;="&amp;$A67,実績!$AJ$6:$AJ$505,"&gt;"&amp;$A67,実績!$AL$6:$AL$505,"○")&gt;0,1,0))</f>
        <v>0</v>
      </c>
      <c r="BB67" s="39" t="n">
        <f aca="false">IF(BB$4=0,0,IF(COUNTIFS(実績!$W$6:$W$505,BB$3,実績!$AI$6:$AI$505,"&lt;="&amp;$A67,実績!$AJ$6:$AJ$505,"&gt;"&amp;$A67,実績!$AL$6:$AL$505,"○")&gt;0,1,0))</f>
        <v>0</v>
      </c>
      <c r="BC67" s="39" t="n">
        <f aca="false">IF(BC$4=0,0,IF(COUNTIFS(実績!$W$6:$W$505,BC$3,実績!$AI$6:$AI$505,"&lt;="&amp;$A67,実績!$AJ$6:$AJ$505,"&gt;"&amp;$A67,実績!$AL$6:$AL$505,"○")&gt;0,1,0))</f>
        <v>0</v>
      </c>
      <c r="BD67" s="39" t="n">
        <f aca="false">IF(BD$4=0,0,IF(COUNTIFS(実績!$W$6:$W$505,BD$3,実績!$AI$6:$AI$505,"&lt;="&amp;$A67,実績!$AJ$6:$AJ$505,"&gt;"&amp;$A67,実績!$AL$6:$AL$505,"○")&gt;0,1,0))</f>
        <v>0</v>
      </c>
      <c r="BE67" s="39" t="n">
        <f aca="false">IF(BE$4=0,0,IF(COUNTIFS(実績!$W$6:$W$505,BE$3,実績!$AI$6:$AI$505,"&lt;="&amp;$A67,実績!$AJ$6:$AJ$505,"&gt;"&amp;$A67,実績!$AL$6:$AL$505,"○")&gt;0,1,0))</f>
        <v>0</v>
      </c>
      <c r="BF67" s="39" t="n">
        <f aca="false">IF(BF$4=0,0,IF(COUNTIFS(実績!$W$6:$W$505,BF$3,実績!$AI$6:$AI$505,"&lt;="&amp;$A67,実績!$AJ$6:$AJ$505,"&gt;"&amp;$A67,実績!$AL$6:$AL$505,"○")&gt;0,1,0))</f>
        <v>0</v>
      </c>
      <c r="BG67" s="39" t="n">
        <f aca="false">IF(BG$4=0,0,IF(COUNTIFS(実績!$W$6:$W$505,BG$3,実績!$AI$6:$AI$505,"&lt;="&amp;$A67,実績!$AJ$6:$AJ$505,"&gt;"&amp;$A67,実績!$AL$6:$AL$505,"○")&gt;0,1,0))</f>
        <v>0</v>
      </c>
      <c r="BH67" s="39" t="n">
        <f aca="false">IF(BH$4=0,0,IF(COUNTIFS(実績!$W$6:$W$505,BH$3,実績!$AI$6:$AI$505,"&lt;="&amp;$A67,実績!$AJ$6:$AJ$505,"&gt;"&amp;$A67,実績!$AL$6:$AL$505,"○")&gt;0,1,0))</f>
        <v>0</v>
      </c>
      <c r="BI67" s="39" t="n">
        <f aca="false">IF(BI$4=0,0,IF(COUNTIFS(実績!$W$6:$W$505,BI$3,実績!$AI$6:$AI$505,"&lt;="&amp;$A67,実績!$AJ$6:$AJ$505,"&gt;"&amp;$A67,実績!$AL$6:$AL$505,"○")&gt;0,1,0))</f>
        <v>0</v>
      </c>
      <c r="BJ67" s="39" t="n">
        <f aca="false">IF(BJ$4=0,0,IF(COUNTIFS(実績!$W$6:$W$505,BJ$3,実績!$AI$6:$AI$505,"&lt;="&amp;$A67,実績!$AJ$6:$AJ$505,"&gt;"&amp;$A67,実績!$AL$6:$AL$505,"○")&gt;0,1,0))</f>
        <v>0</v>
      </c>
      <c r="BK67" s="39" t="n">
        <f aca="false">IF(BK$4=0,0,IF(COUNTIFS(実績!$W$6:$W$505,BK$3,実績!$AI$6:$AI$505,"&lt;="&amp;$A67,実績!$AJ$6:$AJ$505,"&gt;"&amp;$A67,実績!$AL$6:$AL$505,"○")&gt;0,1,0))</f>
        <v>0</v>
      </c>
      <c r="BL67" s="39" t="n">
        <f aca="false">IF(BL$4=0,0,IF(COUNTIFS(実績!$W$6:$W$505,BL$3,実績!$AI$6:$AI$505,"&lt;="&amp;$A67,実績!$AJ$6:$AJ$505,"&gt;"&amp;$A67,実績!$AL$6:$AL$505,"○")&gt;0,1,0))</f>
        <v>0</v>
      </c>
      <c r="BM67" s="39" t="n">
        <f aca="false">IF(BM$4=0,0,IF(COUNTIFS(実績!$W$6:$W$505,BM$3,実績!$AI$6:$AI$505,"&lt;="&amp;$A67,実績!$AJ$6:$AJ$505,"&gt;"&amp;$A67,実績!$AL$6:$AL$505,"○")&gt;0,1,0))</f>
        <v>0</v>
      </c>
      <c r="BN67" s="39" t="n">
        <f aca="false">IF(BN$4=0,0,IF(COUNTIFS(実績!$W$6:$W$505,BN$3,実績!$AI$6:$AI$505,"&lt;="&amp;$A67,実績!$AJ$6:$AJ$505,"&gt;"&amp;$A67,実績!$AL$6:$AL$505,"○")&gt;0,1,0))</f>
        <v>0</v>
      </c>
      <c r="BO67" s="39" t="n">
        <f aca="false">IF(BO$4=0,0,IF(COUNTIFS(実績!$W$6:$W$505,BO$3,実績!$AI$6:$AI$505,"&lt;="&amp;$A67,実績!$AJ$6:$AJ$505,"&gt;"&amp;$A67,実績!$AL$6:$AL$505,"○")&gt;0,1,0))</f>
        <v>0</v>
      </c>
      <c r="BP67" s="39" t="n">
        <f aca="false">IF(BP$4=0,0,IF(COUNTIFS(実績!$W$6:$W$505,BP$3,実績!$AI$6:$AI$505,"&lt;="&amp;$A67,実績!$AJ$6:$AJ$505,"&gt;"&amp;$A67,実績!$AL$6:$AL$505,"○")&gt;0,1,0))</f>
        <v>0</v>
      </c>
      <c r="BQ67" s="39" t="n">
        <f aca="false">IF(BQ$4=0,0,IF(COUNTIFS(実績!$W$6:$W$505,BQ$3,実績!$AI$6:$AI$505,"&lt;="&amp;$A67,実績!$AJ$6:$AJ$505,"&gt;"&amp;$A67,実績!$AL$6:$AL$505,"○")&gt;0,1,0))</f>
        <v>0</v>
      </c>
      <c r="BR67" s="39" t="n">
        <f aca="false">IF(BR$4=0,0,IF(COUNTIFS(実績!$W$6:$W$505,BR$3,実績!$AI$6:$AI$505,"&lt;="&amp;$A67,実績!$AJ$6:$AJ$505,"&gt;"&amp;$A67,実績!$AL$6:$AL$505,"○")&gt;0,1,0))</f>
        <v>0</v>
      </c>
      <c r="BS67" s="39" t="n">
        <f aca="false">IF(BS$4=0,0,IF(COUNTIFS(実績!$W$6:$W$505,BS$3,実績!$AI$6:$AI$505,"&lt;="&amp;$A67,実績!$AJ$6:$AJ$505,"&gt;"&amp;$A67,実績!$AL$6:$AL$505,"○")&gt;0,1,0))</f>
        <v>0</v>
      </c>
      <c r="BT67" s="39" t="n">
        <f aca="false">IF(BT$4=0,0,IF(COUNTIFS(実績!$W$6:$W$505,BT$3,実績!$AI$6:$AI$505,"&lt;="&amp;$A67,実績!$AJ$6:$AJ$505,"&gt;"&amp;$A67,実績!$AL$6:$AL$505,"○")&gt;0,1,0))</f>
        <v>0</v>
      </c>
      <c r="BU67" s="39" t="n">
        <f aca="false">IF(BU$4=0,0,IF(COUNTIFS(実績!$W$6:$W$505,BU$3,実績!$AI$6:$AI$505,"&lt;="&amp;$A67,実績!$AJ$6:$AJ$505,"&gt;"&amp;$A67,実績!$AL$6:$AL$505,"○")&gt;0,1,0))</f>
        <v>0</v>
      </c>
      <c r="BV67" s="39" t="n">
        <f aca="false">IF(BV$4=0,0,IF(COUNTIFS(実績!$W$6:$W$505,BV$3,実績!$AI$6:$AI$505,"&lt;="&amp;$A67,実績!$AJ$6:$AJ$505,"&gt;"&amp;$A67,実績!$AL$6:$AL$505,"○")&gt;0,1,0))</f>
        <v>0</v>
      </c>
      <c r="BW67" s="39" t="n">
        <f aca="false">IF(BW$4=0,0,IF(COUNTIFS(実績!$W$6:$W$505,BW$3,実績!$AI$6:$AI$505,"&lt;="&amp;$A67,実績!$AJ$6:$AJ$505,"&gt;"&amp;$A67,実績!$AL$6:$AL$505,"○")&gt;0,1,0))</f>
        <v>0</v>
      </c>
      <c r="BX67" s="39" t="n">
        <f aca="false">IF(BX$4=0,0,IF(COUNTIFS(実績!$W$6:$W$505,BX$3,実績!$AI$6:$AI$505,"&lt;="&amp;$A67,実績!$AJ$6:$AJ$505,"&gt;"&amp;$A67,実績!$AL$6:$AL$505,"○")&gt;0,1,0))</f>
        <v>0</v>
      </c>
      <c r="BY67" s="39" t="n">
        <f aca="false">IF(BY$4=0,0,IF(COUNTIFS(実績!$W$6:$W$505,BY$3,実績!$AI$6:$AI$505,"&lt;="&amp;$A67,実績!$AJ$6:$AJ$505,"&gt;"&amp;$A67,実績!$AL$6:$AL$505,"○")&gt;0,1,0))</f>
        <v>0</v>
      </c>
      <c r="BZ67" s="39" t="n">
        <f aca="false">IF(BZ$4=0,0,IF(COUNTIFS(実績!$W$6:$W$505,BZ$3,実績!$AI$6:$AI$505,"&lt;="&amp;$A67,実績!$AJ$6:$AJ$505,"&gt;"&amp;$A67,実績!$AL$6:$AL$505,"○")&gt;0,1,0))</f>
        <v>0</v>
      </c>
      <c r="CA67" s="39" t="n">
        <f aca="false">IF(CA$4=0,0,IF(COUNTIFS(実績!$W$6:$W$505,CA$3,実績!$AI$6:$AI$505,"&lt;="&amp;$A67,実績!$AJ$6:$AJ$505,"&gt;"&amp;$A67,実績!$AL$6:$AL$505,"○")&gt;0,1,0))</f>
        <v>0</v>
      </c>
      <c r="CB67" s="39" t="n">
        <f aca="false">IF(CB$4=0,0,IF(COUNTIFS(実績!$W$6:$W$505,CB$3,実績!$AI$6:$AI$505,"&lt;="&amp;$A67,実績!$AJ$6:$AJ$505,"&gt;"&amp;$A67,実績!$AL$6:$AL$505,"○")&gt;0,1,0))</f>
        <v>0</v>
      </c>
      <c r="CC67" s="39" t="n">
        <f aca="false">IF(CC$4=0,0,IF(COUNTIFS(実績!$W$6:$W$505,CC$3,実績!$AI$6:$AI$505,"&lt;="&amp;$A67,実績!$AJ$6:$AJ$505,"&gt;"&amp;$A67,実績!$AL$6:$AL$505,"○")&gt;0,1,0))</f>
        <v>0</v>
      </c>
      <c r="CD67" s="39" t="n">
        <f aca="false">IF(CD$4=0,0,IF(COUNTIFS(実績!$W$6:$W$505,CD$3,実績!$AI$6:$AI$505,"&lt;="&amp;$A67,実績!$AJ$6:$AJ$505,"&gt;"&amp;$A67,実績!$AL$6:$AL$505,"○")&gt;0,1,0))</f>
        <v>0</v>
      </c>
      <c r="CE67" s="39" t="n">
        <f aca="false">IF(CE$4=0,0,IF(COUNTIFS(実績!$W$6:$W$505,CE$3,実績!$AI$6:$AI$505,"&lt;="&amp;$A67,実績!$AJ$6:$AJ$505,"&gt;"&amp;$A67,実績!$AL$6:$AL$505,"○")&gt;0,1,0))</f>
        <v>0</v>
      </c>
      <c r="CF67" s="39" t="n">
        <f aca="false">IF(CF$4=0,0,IF(COUNTIFS(実績!$W$6:$W$505,CF$3,実績!$AI$6:$AI$505,"&lt;="&amp;$A67,実績!$AJ$6:$AJ$505,"&gt;"&amp;$A67,実績!$AL$6:$AL$505,"○")&gt;0,1,0))</f>
        <v>0</v>
      </c>
      <c r="CG67" s="39" t="n">
        <f aca="false">IF(CG$4=0,0,IF(COUNTIFS(実績!$W$6:$W$505,CG$3,実績!$AI$6:$AI$505,"&lt;="&amp;$A67,実績!$AJ$6:$AJ$505,"&gt;"&amp;$A67,実績!$AL$6:$AL$505,"○")&gt;0,1,0))</f>
        <v>0</v>
      </c>
      <c r="CH67" s="39" t="n">
        <f aca="false">IF(CH$4=0,0,IF(COUNTIFS(実績!$W$6:$W$505,CH$3,実績!$AI$6:$AI$505,"&lt;="&amp;$A67,実績!$AJ$6:$AJ$505,"&gt;"&amp;$A67,実績!$AL$6:$AL$505,"○")&gt;0,1,0))</f>
        <v>0</v>
      </c>
      <c r="CI67" s="39" t="n">
        <f aca="false">IF(CI$4=0,0,IF(COUNTIFS(実績!$W$6:$W$505,CI$3,実績!$AI$6:$AI$505,"&lt;="&amp;$A67,実績!$AJ$6:$AJ$505,"&gt;"&amp;$A67,実績!$AL$6:$AL$505,"○")&gt;0,1,0))</f>
        <v>0</v>
      </c>
      <c r="CJ67" s="39" t="n">
        <f aca="false">IF(CJ$4=0,0,IF(COUNTIFS(実績!$W$6:$W$505,CJ$3,実績!$AI$6:$AI$505,"&lt;="&amp;$A67,実績!$AJ$6:$AJ$505,"&gt;"&amp;$A67,実績!$AL$6:$AL$505,"○")&gt;0,1,0))</f>
        <v>0</v>
      </c>
      <c r="CK67" s="39" t="n">
        <f aca="false">IF(CK$4=0,0,IF(COUNTIFS(実績!$W$6:$W$505,CK$3,実績!$AI$6:$AI$505,"&lt;="&amp;$A67,実績!$AJ$6:$AJ$505,"&gt;"&amp;$A67,実績!$AL$6:$AL$505,"○")&gt;0,1,0))</f>
        <v>0</v>
      </c>
      <c r="CL67" s="39" t="n">
        <f aca="false">IF(CL$4=0,0,IF(COUNTIFS(実績!$W$6:$W$505,CL$3,実績!$AI$6:$AI$505,"&lt;="&amp;$A67,実績!$AJ$6:$AJ$505,"&gt;"&amp;$A67,実績!$AL$6:$AL$505,"○")&gt;0,1,0))</f>
        <v>0</v>
      </c>
      <c r="CM67" s="39" t="n">
        <f aca="false">IF(CM$4=0,0,IF(COUNTIFS(実績!$W$6:$W$505,CM$3,実績!$AI$6:$AI$505,"&lt;="&amp;$A67,実績!$AJ$6:$AJ$505,"&gt;"&amp;$A67,実績!$AL$6:$AL$505,"○")&gt;0,1,0))</f>
        <v>0</v>
      </c>
      <c r="CN67" s="39" t="n">
        <f aca="false">IF(CN$4=0,0,IF(COUNTIFS(実績!$W$6:$W$505,CN$3,実績!$AI$6:$AI$505,"&lt;="&amp;$A67,実績!$AJ$6:$AJ$505,"&gt;"&amp;$A67,実績!$AL$6:$AL$505,"○")&gt;0,1,0))</f>
        <v>0</v>
      </c>
      <c r="CO67" s="39" t="n">
        <f aca="false">IF(CO$4=0,0,IF(COUNTIFS(実績!$W$6:$W$505,CO$3,実績!$AI$6:$AI$505,"&lt;="&amp;$A67,実績!$AJ$6:$AJ$505,"&gt;"&amp;$A67,実績!$AL$6:$AL$505,"○")&gt;0,1,0))</f>
        <v>0</v>
      </c>
      <c r="CP67" s="39" t="n">
        <f aca="false">IF(CP$4=0,0,IF(COUNTIFS(実績!$W$6:$W$505,CP$3,実績!$AI$6:$AI$505,"&lt;="&amp;$A67,実績!$AJ$6:$AJ$505,"&gt;"&amp;$A67,実績!$AL$6:$AL$505,"○")&gt;0,1,0))</f>
        <v>0</v>
      </c>
      <c r="CQ67" s="39" t="n">
        <f aca="false">IF(CQ$4=0,0,IF(COUNTIFS(実績!$W$6:$W$505,CQ$3,実績!$AI$6:$AI$505,"&lt;="&amp;$A67,実績!$AJ$6:$AJ$505,"&gt;"&amp;$A67,実績!$AL$6:$AL$505,"○")&gt;0,1,0))</f>
        <v>0</v>
      </c>
      <c r="CR67" s="39" t="n">
        <f aca="false">IF(CR$4=0,0,IF(COUNTIFS(実績!$W$6:$W$505,CR$3,実績!$AI$6:$AI$505,"&lt;="&amp;$A67,実績!$AJ$6:$AJ$505,"&gt;"&amp;$A67,実績!$AL$6:$AL$505,"○")&gt;0,1,0))</f>
        <v>0</v>
      </c>
      <c r="CS67" s="39" t="n">
        <f aca="false">IF(CS$4=0,0,IF(COUNTIFS(実績!$W$6:$W$505,CS$3,実績!$AI$6:$AI$505,"&lt;="&amp;$A67,実績!$AJ$6:$AJ$505,"&gt;"&amp;$A67,実績!$AL$6:$AL$505,"○")&gt;0,1,0))</f>
        <v>0</v>
      </c>
      <c r="CT67" s="39" t="n">
        <f aca="false">IF(CT$4=0,0,IF(COUNTIFS(実績!$W$6:$W$505,CT$3,実績!$AI$6:$AI$505,"&lt;="&amp;$A67,実績!$AJ$6:$AJ$505,"&gt;"&amp;$A67,実績!$AL$6:$AL$505,"○")&gt;0,1,0))</f>
        <v>0</v>
      </c>
      <c r="CU67" s="39" t="n">
        <f aca="false">IF(CU$4=0,0,IF(COUNTIFS(実績!$W$6:$W$505,CU$3,実績!$AI$6:$AI$505,"&lt;="&amp;$A67,実績!$AJ$6:$AJ$505,"&gt;"&amp;$A67,実績!$AL$6:$AL$505,"○")&gt;0,1,0))</f>
        <v>0</v>
      </c>
      <c r="CV67" s="39" t="n">
        <f aca="false">IF(CV$4=0,0,IF(COUNTIFS(実績!$W$6:$W$505,CV$3,実績!$AI$6:$AI$505,"&lt;="&amp;$A67,実績!$AJ$6:$AJ$505,"&gt;"&amp;$A67,実績!$AL$6:$AL$505,"○")&gt;0,1,0))</f>
        <v>0</v>
      </c>
      <c r="CW67" s="39" t="n">
        <f aca="false">IF(CW$4=0,0,IF(COUNTIFS(実績!$W$6:$W$505,CW$3,実績!$AI$6:$AI$505,"&lt;="&amp;$A67,実績!$AJ$6:$AJ$505,"&gt;"&amp;$A67,実績!$AL$6:$AL$505,"○")&gt;0,1,0))</f>
        <v>0</v>
      </c>
      <c r="CX67" s="39" t="n">
        <f aca="false">IF(CX$4=0,0,IF(COUNTIFS(実績!$W$6:$W$505,CX$3,実績!$AI$6:$AI$505,"&lt;="&amp;$A67,実績!$AJ$6:$AJ$505,"&gt;"&amp;$A67,実績!$AL$6:$AL$505,"○")&gt;0,1,0))</f>
        <v>0</v>
      </c>
      <c r="CY67" s="39" t="n">
        <f aca="false">IF(CY$4=0,0,IF(COUNTIFS(実績!$W$6:$W$505,CY$3,実績!$AI$6:$AI$505,"&lt;="&amp;$A67,実績!$AJ$6:$AJ$505,"&gt;"&amp;$A67,実績!$AL$6:$AL$505,"○")&gt;0,1,0))</f>
        <v>0</v>
      </c>
      <c r="CZ67" s="39" t="n">
        <f aca="false">IF(CZ$4=0,0,IF(COUNTIFS(実績!$W$6:$W$505,CZ$3,実績!$AI$6:$AI$505,"&lt;="&amp;$A67,実績!$AJ$6:$AJ$505,"&gt;"&amp;$A67,実績!$AL$6:$AL$505,"○")&gt;0,1,0))</f>
        <v>0</v>
      </c>
      <c r="DA67" s="39" t="n">
        <f aca="false">IF(DA$4=0,0,IF(COUNTIFS(実績!$W$6:$W$505,DA$3,実績!$AI$6:$AI$505,"&lt;="&amp;$A67,実績!$AJ$6:$AJ$505,"&gt;"&amp;$A67,実績!$AL$6:$AL$505,"○")&gt;0,1,0))</f>
        <v>0</v>
      </c>
      <c r="DB67" s="39" t="n">
        <f aca="false">IF(DB$4=0,0,IF(COUNTIFS(実績!$W$6:$W$505,DB$3,実績!$AI$6:$AI$505,"&lt;="&amp;$A67,実績!$AJ$6:$AJ$505,"&gt;"&amp;$A67,実績!$AL$6:$AL$505,"○")&gt;0,1,0))</f>
        <v>0</v>
      </c>
      <c r="DC67" s="39" t="n">
        <f aca="false">IF(DC$4=0,0,IF(COUNTIFS(実績!$W$6:$W$505,DC$3,実績!$AI$6:$AI$505,"&lt;="&amp;$A67,実績!$AJ$6:$AJ$505,"&gt;"&amp;$A67,実績!$AL$6:$AL$505,"○")&gt;0,1,0))</f>
        <v>0</v>
      </c>
      <c r="DD67" s="39" t="n">
        <f aca="false">IF(DD$4=0,0,IF(COUNTIFS(実績!$W$6:$W$505,DD$3,実績!$AI$6:$AI$505,"&lt;="&amp;$A67,実績!$AJ$6:$AJ$505,"&gt;"&amp;$A67,実績!$AL$6:$AL$505,"○")&gt;0,1,0))</f>
        <v>0</v>
      </c>
      <c r="DE67" s="39" t="n">
        <f aca="false">IF(DE$4=0,0,IF(COUNTIFS(実績!$W$6:$W$505,DE$3,実績!$AI$6:$AI$505,"&lt;="&amp;$A67,実績!$AJ$6:$AJ$505,"&gt;"&amp;$A67,実績!$AL$6:$AL$505,"○")&gt;0,1,0))</f>
        <v>0</v>
      </c>
      <c r="DF67" s="39" t="n">
        <f aca="false">IF(DF$4=0,0,IF(COUNTIFS(実績!$W$6:$W$505,DF$3,実績!$AI$6:$AI$505,"&lt;="&amp;$A67,実績!$AJ$6:$AJ$505,"&gt;"&amp;$A67,実績!$AL$6:$AL$505,"○")&gt;0,1,0))</f>
        <v>0</v>
      </c>
      <c r="DG67" s="39" t="n">
        <f aca="false">IF(DG$4=0,0,IF(COUNTIFS(実績!$W$6:$W$505,DG$3,実績!$AI$6:$AI$505,"&lt;="&amp;$A67,実績!$AJ$6:$AJ$505,"&gt;"&amp;$A67,実績!$AL$6:$AL$505,"○")&gt;0,1,0))</f>
        <v>0</v>
      </c>
      <c r="DH67" s="39" t="n">
        <f aca="false">IF(DH$4=0,0,IF(COUNTIFS(実績!$W$6:$W$505,DH$3,実績!$AI$6:$AI$505,"&lt;="&amp;$A67,実績!$AJ$6:$AJ$505,"&gt;"&amp;$A67,実績!$AL$6:$AL$505,"○")&gt;0,1,0))</f>
        <v>0</v>
      </c>
      <c r="DI67" s="39" t="n">
        <f aca="false">IF(DI$4=0,0,IF(COUNTIFS(実績!$W$6:$W$505,DI$3,実績!$AI$6:$AI$505,"&lt;="&amp;$A67,実績!$AJ$6:$AJ$505,"&gt;"&amp;$A67,実績!$AL$6:$AL$505,"○")&gt;0,1,0))</f>
        <v>0</v>
      </c>
      <c r="DJ67" s="39" t="n">
        <f aca="false">IF(DJ$4=0,0,IF(COUNTIFS(実績!$W$6:$W$505,DJ$3,実績!$AI$6:$AI$505,"&lt;="&amp;$A67,実績!$AJ$6:$AJ$505,"&gt;"&amp;$A67,実績!$AL$6:$AL$505,"○")&gt;0,1,0))</f>
        <v>0</v>
      </c>
      <c r="DK67" s="39" t="n">
        <f aca="false">IF(DK$4=0,0,IF(COUNTIFS(実績!$W$6:$W$505,DK$3,実績!$AI$6:$AI$505,"&lt;="&amp;$A67,実績!$AJ$6:$AJ$505,"&gt;"&amp;$A67,実績!$AL$6:$AL$505,"○")&gt;0,1,0))</f>
        <v>0</v>
      </c>
      <c r="DL67" s="39" t="n">
        <f aca="false">IF(DL$4=0,0,IF(COUNTIFS(実績!$W$6:$W$505,DL$3,実績!$AI$6:$AI$505,"&lt;="&amp;$A67,実績!$AJ$6:$AJ$505,"&gt;"&amp;$A67,実績!$AL$6:$AL$505,"○")&gt;0,1,0))</f>
        <v>0</v>
      </c>
      <c r="DM67" s="39" t="n">
        <f aca="false">IF(DM$4=0,0,IF(COUNTIFS(実績!$W$6:$W$505,DM$3,実績!$AI$6:$AI$505,"&lt;="&amp;$A67,実績!$AJ$6:$AJ$505,"&gt;"&amp;$A67,実績!$AL$6:$AL$505,"○")&gt;0,1,0))</f>
        <v>0</v>
      </c>
      <c r="DN67" s="39" t="n">
        <f aca="false">IF(DN$4=0,0,IF(COUNTIFS(実績!$W$6:$W$505,DN$3,実績!$AI$6:$AI$505,"&lt;="&amp;$A67,実績!$AJ$6:$AJ$505,"&gt;"&amp;$A67,実績!$AL$6:$AL$505,"○")&gt;0,1,0))</f>
        <v>0</v>
      </c>
      <c r="DO67" s="39" t="n">
        <f aca="false">IF(DO$4=0,0,IF(COUNTIFS(実績!$W$6:$W$505,DO$3,実績!$AI$6:$AI$505,"&lt;="&amp;$A67,実績!$AJ$6:$AJ$505,"&gt;"&amp;$A67,実績!$AL$6:$AL$505,"○")&gt;0,1,0))</f>
        <v>0</v>
      </c>
      <c r="DP67" s="39" t="n">
        <f aca="false">IF(DP$4=0,0,IF(COUNTIFS(実績!$W$6:$W$505,DP$3,実績!$AI$6:$AI$505,"&lt;="&amp;$A67,実績!$AJ$6:$AJ$505,"&gt;"&amp;$A67,実績!$AL$6:$AL$505,"○")&gt;0,1,0))</f>
        <v>0</v>
      </c>
      <c r="DQ67" s="39" t="n">
        <f aca="false">IF(DQ$4=0,0,IF(COUNTIFS(実績!$W$6:$W$505,DQ$3,実績!$AI$6:$AI$505,"&lt;="&amp;$A67,実績!$AJ$6:$AJ$505,"&gt;"&amp;$A67,実績!$AL$6:$AL$505,"○")&gt;0,1,0))</f>
        <v>0</v>
      </c>
      <c r="DR67" s="39" t="n">
        <f aca="false">IF(DR$4=0,0,IF(COUNTIFS(実績!$W$6:$W$505,DR$3,実績!$AI$6:$AI$505,"&lt;="&amp;$A67,実績!$AJ$6:$AJ$505,"&gt;"&amp;$A67,実績!$AL$6:$AL$505,"○")&gt;0,1,0))</f>
        <v>0</v>
      </c>
      <c r="DS67" s="39" t="n">
        <f aca="false">SUM(C67:DR67)</f>
        <v>0</v>
      </c>
    </row>
    <row r="68" customFormat="false" ht="15" hidden="false" customHeight="false" outlineLevel="0" collapsed="false">
      <c r="A68" s="0" t="n">
        <v>310</v>
      </c>
      <c r="B68" s="38" t="n">
        <f aca="false">A68/1440</f>
        <v>0.215277777777778</v>
      </c>
      <c r="C68" s="39" t="n">
        <f aca="false">IF(C$4=0,0,IF(COUNTIFS(実績!$W$6:$W$505,C$3,実績!$AI$6:$AI$505,"&lt;="&amp;$A68,実績!$AJ$6:$AJ$505,"&gt;"&amp;$A68,実績!$AL$6:$AL$505,"○")&gt;0,1,0))</f>
        <v>0</v>
      </c>
      <c r="D68" s="39" t="n">
        <f aca="false">IF(D$4=0,0,IF(COUNTIFS(実績!$W$6:$W$505,D$3,実績!$AI$6:$AI$505,"&lt;="&amp;$A68,実績!$AJ$6:$AJ$505,"&gt;"&amp;$A68,実績!$AL$6:$AL$505,"○")&gt;0,1,0))</f>
        <v>0</v>
      </c>
      <c r="E68" s="39" t="n">
        <f aca="false">IF(E$4=0,0,IF(COUNTIFS(実績!$W$6:$W$505,E$3,実績!$AI$6:$AI$505,"&lt;="&amp;$A68,実績!$AJ$6:$AJ$505,"&gt;"&amp;$A68,実績!$AL$6:$AL$505,"○")&gt;0,1,0))</f>
        <v>0</v>
      </c>
      <c r="F68" s="39" t="n">
        <f aca="false">IF(F$4=0,0,IF(COUNTIFS(実績!$W$6:$W$505,F$3,実績!$AI$6:$AI$505,"&lt;="&amp;$A68,実績!$AJ$6:$AJ$505,"&gt;"&amp;$A68,実績!$AL$6:$AL$505,"○")&gt;0,1,0))</f>
        <v>0</v>
      </c>
      <c r="G68" s="39" t="n">
        <f aca="false">IF(G$4=0,0,IF(COUNTIFS(実績!$W$6:$W$505,G$3,実績!$AI$6:$AI$505,"&lt;="&amp;$A68,実績!$AJ$6:$AJ$505,"&gt;"&amp;$A68,実績!$AL$6:$AL$505,"○")&gt;0,1,0))</f>
        <v>0</v>
      </c>
      <c r="H68" s="39" t="n">
        <f aca="false">IF(H$4=0,0,IF(COUNTIFS(実績!$W$6:$W$505,H$3,実績!$AI$6:$AI$505,"&lt;="&amp;$A68,実績!$AJ$6:$AJ$505,"&gt;"&amp;$A68,実績!$AL$6:$AL$505,"○")&gt;0,1,0))</f>
        <v>0</v>
      </c>
      <c r="I68" s="39" t="n">
        <f aca="false">IF(I$4=0,0,IF(COUNTIFS(実績!$W$6:$W$505,I$3,実績!$AI$6:$AI$505,"&lt;="&amp;$A68,実績!$AJ$6:$AJ$505,"&gt;"&amp;$A68,実績!$AL$6:$AL$505,"○")&gt;0,1,0))</f>
        <v>0</v>
      </c>
      <c r="J68" s="39" t="n">
        <f aca="false">IF(J$4=0,0,IF(COUNTIFS(実績!$W$6:$W$505,J$3,実績!$AI$6:$AI$505,"&lt;="&amp;$A68,実績!$AJ$6:$AJ$505,"&gt;"&amp;$A68,実績!$AL$6:$AL$505,"○")&gt;0,1,0))</f>
        <v>0</v>
      </c>
      <c r="K68" s="39" t="n">
        <f aca="false">IF(K$4=0,0,IF(COUNTIFS(実績!$W$6:$W$505,K$3,実績!$AI$6:$AI$505,"&lt;="&amp;$A68,実績!$AJ$6:$AJ$505,"&gt;"&amp;$A68,実績!$AL$6:$AL$505,"○")&gt;0,1,0))</f>
        <v>0</v>
      </c>
      <c r="L68" s="39" t="n">
        <f aca="false">IF(L$4=0,0,IF(COUNTIFS(実績!$W$6:$W$505,L$3,実績!$AI$6:$AI$505,"&lt;="&amp;$A68,実績!$AJ$6:$AJ$505,"&gt;"&amp;$A68,実績!$AL$6:$AL$505,"○")&gt;0,1,0))</f>
        <v>0</v>
      </c>
      <c r="M68" s="39" t="n">
        <f aca="false">IF(M$4=0,0,IF(COUNTIFS(実績!$W$6:$W$505,M$3,実績!$AI$6:$AI$505,"&lt;="&amp;$A68,実績!$AJ$6:$AJ$505,"&gt;"&amp;$A68,実績!$AL$6:$AL$505,"○")&gt;0,1,0))</f>
        <v>0</v>
      </c>
      <c r="N68" s="39" t="n">
        <f aca="false">IF(N$4=0,0,IF(COUNTIFS(実績!$W$6:$W$505,N$3,実績!$AI$6:$AI$505,"&lt;="&amp;$A68,実績!$AJ$6:$AJ$505,"&gt;"&amp;$A68,実績!$AL$6:$AL$505,"○")&gt;0,1,0))</f>
        <v>0</v>
      </c>
      <c r="O68" s="39" t="n">
        <f aca="false">IF(O$4=0,0,IF(COUNTIFS(実績!$W$6:$W$505,O$3,実績!$AI$6:$AI$505,"&lt;="&amp;$A68,実績!$AJ$6:$AJ$505,"&gt;"&amp;$A68,実績!$AL$6:$AL$505,"○")&gt;0,1,0))</f>
        <v>0</v>
      </c>
      <c r="P68" s="39" t="n">
        <f aca="false">IF(P$4=0,0,IF(COUNTIFS(実績!$W$6:$W$505,P$3,実績!$AI$6:$AI$505,"&lt;="&amp;$A68,実績!$AJ$6:$AJ$505,"&gt;"&amp;$A68,実績!$AL$6:$AL$505,"○")&gt;0,1,0))</f>
        <v>0</v>
      </c>
      <c r="Q68" s="39" t="n">
        <f aca="false">IF(Q$4=0,0,IF(COUNTIFS(実績!$W$6:$W$505,Q$3,実績!$AI$6:$AI$505,"&lt;="&amp;$A68,実績!$AJ$6:$AJ$505,"&gt;"&amp;$A68,実績!$AL$6:$AL$505,"○")&gt;0,1,0))</f>
        <v>0</v>
      </c>
      <c r="R68" s="39" t="n">
        <f aca="false">IF(R$4=0,0,IF(COUNTIFS(実績!$W$6:$W$505,R$3,実績!$AI$6:$AI$505,"&lt;="&amp;$A68,実績!$AJ$6:$AJ$505,"&gt;"&amp;$A68,実績!$AL$6:$AL$505,"○")&gt;0,1,0))</f>
        <v>0</v>
      </c>
      <c r="S68" s="39" t="n">
        <f aca="false">IF(S$4=0,0,IF(COUNTIFS(実績!$W$6:$W$505,S$3,実績!$AI$6:$AI$505,"&lt;="&amp;$A68,実績!$AJ$6:$AJ$505,"&gt;"&amp;$A68,実績!$AL$6:$AL$505,"○")&gt;0,1,0))</f>
        <v>0</v>
      </c>
      <c r="T68" s="39" t="n">
        <f aca="false">IF(T$4=0,0,IF(COUNTIFS(実績!$W$6:$W$505,T$3,実績!$AI$6:$AI$505,"&lt;="&amp;$A68,実績!$AJ$6:$AJ$505,"&gt;"&amp;$A68,実績!$AL$6:$AL$505,"○")&gt;0,1,0))</f>
        <v>0</v>
      </c>
      <c r="U68" s="39" t="n">
        <f aca="false">IF(U$4=0,0,IF(COUNTIFS(実績!$W$6:$W$505,U$3,実績!$AI$6:$AI$505,"&lt;="&amp;$A68,実績!$AJ$6:$AJ$505,"&gt;"&amp;$A68,実績!$AL$6:$AL$505,"○")&gt;0,1,0))</f>
        <v>0</v>
      </c>
      <c r="V68" s="39" t="n">
        <f aca="false">IF(V$4=0,0,IF(COUNTIFS(実績!$W$6:$W$505,V$3,実績!$AI$6:$AI$505,"&lt;="&amp;$A68,実績!$AJ$6:$AJ$505,"&gt;"&amp;$A68,実績!$AL$6:$AL$505,"○")&gt;0,1,0))</f>
        <v>0</v>
      </c>
      <c r="W68" s="39" t="n">
        <f aca="false">IF(W$4=0,0,IF(COUNTIFS(実績!$W$6:$W$505,W$3,実績!$AI$6:$AI$505,"&lt;="&amp;$A68,実績!$AJ$6:$AJ$505,"&gt;"&amp;$A68,実績!$AL$6:$AL$505,"○")&gt;0,1,0))</f>
        <v>0</v>
      </c>
      <c r="X68" s="39" t="n">
        <f aca="false">IF(X$4=0,0,IF(COUNTIFS(実績!$W$6:$W$505,X$3,実績!$AI$6:$AI$505,"&lt;="&amp;$A68,実績!$AJ$6:$AJ$505,"&gt;"&amp;$A68,実績!$AL$6:$AL$505,"○")&gt;0,1,0))</f>
        <v>0</v>
      </c>
      <c r="Y68" s="39" t="n">
        <f aca="false">IF(Y$4=0,0,IF(COUNTIFS(実績!$W$6:$W$505,Y$3,実績!$AI$6:$AI$505,"&lt;="&amp;$A68,実績!$AJ$6:$AJ$505,"&gt;"&amp;$A68,実績!$AL$6:$AL$505,"○")&gt;0,1,0))</f>
        <v>0</v>
      </c>
      <c r="Z68" s="39" t="n">
        <f aca="false">IF(Z$4=0,0,IF(COUNTIFS(実績!$W$6:$W$505,Z$3,実績!$AI$6:$AI$505,"&lt;="&amp;$A68,実績!$AJ$6:$AJ$505,"&gt;"&amp;$A68,実績!$AL$6:$AL$505,"○")&gt;0,1,0))</f>
        <v>0</v>
      </c>
      <c r="AA68" s="39" t="n">
        <f aca="false">IF(AA$4=0,0,IF(COUNTIFS(実績!$W$6:$W$505,AA$3,実績!$AI$6:$AI$505,"&lt;="&amp;$A68,実績!$AJ$6:$AJ$505,"&gt;"&amp;$A68,実績!$AL$6:$AL$505,"○")&gt;0,1,0))</f>
        <v>0</v>
      </c>
      <c r="AB68" s="39" t="n">
        <f aca="false">IF(AB$4=0,0,IF(COUNTIFS(実績!$W$6:$W$505,AB$3,実績!$AI$6:$AI$505,"&lt;="&amp;$A68,実績!$AJ$6:$AJ$505,"&gt;"&amp;$A68,実績!$AL$6:$AL$505,"○")&gt;0,1,0))</f>
        <v>0</v>
      </c>
      <c r="AC68" s="39" t="n">
        <f aca="false">IF(AC$4=0,0,IF(COUNTIFS(実績!$W$6:$W$505,AC$3,実績!$AI$6:$AI$505,"&lt;="&amp;$A68,実績!$AJ$6:$AJ$505,"&gt;"&amp;$A68,実績!$AL$6:$AL$505,"○")&gt;0,1,0))</f>
        <v>0</v>
      </c>
      <c r="AD68" s="39" t="n">
        <f aca="false">IF(AD$4=0,0,IF(COUNTIFS(実績!$W$6:$W$505,AD$3,実績!$AI$6:$AI$505,"&lt;="&amp;$A68,実績!$AJ$6:$AJ$505,"&gt;"&amp;$A68,実績!$AL$6:$AL$505,"○")&gt;0,1,0))</f>
        <v>0</v>
      </c>
      <c r="AE68" s="39" t="n">
        <f aca="false">IF(AE$4=0,0,IF(COUNTIFS(実績!$W$6:$W$505,AE$3,実績!$AI$6:$AI$505,"&lt;="&amp;$A68,実績!$AJ$6:$AJ$505,"&gt;"&amp;$A68,実績!$AL$6:$AL$505,"○")&gt;0,1,0))</f>
        <v>0</v>
      </c>
      <c r="AF68" s="39" t="n">
        <f aca="false">IF(AF$4=0,0,IF(COUNTIFS(実績!$W$6:$W$505,AF$3,実績!$AI$6:$AI$505,"&lt;="&amp;$A68,実績!$AJ$6:$AJ$505,"&gt;"&amp;$A68,実績!$AL$6:$AL$505,"○")&gt;0,1,0))</f>
        <v>0</v>
      </c>
      <c r="AG68" s="39" t="n">
        <f aca="false">IF(AG$4=0,0,IF(COUNTIFS(実績!$W$6:$W$505,AG$3,実績!$AI$6:$AI$505,"&lt;="&amp;$A68,実績!$AJ$6:$AJ$505,"&gt;"&amp;$A68,実績!$AL$6:$AL$505,"○")&gt;0,1,0))</f>
        <v>0</v>
      </c>
      <c r="AH68" s="39" t="n">
        <f aca="false">IF(AH$4=0,0,IF(COUNTIFS(実績!$W$6:$W$505,AH$3,実績!$AI$6:$AI$505,"&lt;="&amp;$A68,実績!$AJ$6:$AJ$505,"&gt;"&amp;$A68,実績!$AL$6:$AL$505,"○")&gt;0,1,0))</f>
        <v>0</v>
      </c>
      <c r="AI68" s="39" t="n">
        <f aca="false">IF(AI$4=0,0,IF(COUNTIFS(実績!$W$6:$W$505,AI$3,実績!$AI$6:$AI$505,"&lt;="&amp;$A68,実績!$AJ$6:$AJ$505,"&gt;"&amp;$A68,実績!$AL$6:$AL$505,"○")&gt;0,1,0))</f>
        <v>0</v>
      </c>
      <c r="AJ68" s="39" t="n">
        <f aca="false">IF(AJ$4=0,0,IF(COUNTIFS(実績!$W$6:$W$505,AJ$3,実績!$AI$6:$AI$505,"&lt;="&amp;$A68,実績!$AJ$6:$AJ$505,"&gt;"&amp;$A68,実績!$AL$6:$AL$505,"○")&gt;0,1,0))</f>
        <v>0</v>
      </c>
      <c r="AK68" s="39" t="n">
        <f aca="false">IF(AK$4=0,0,IF(COUNTIFS(実績!$W$6:$W$505,AK$3,実績!$AI$6:$AI$505,"&lt;="&amp;$A68,実績!$AJ$6:$AJ$505,"&gt;"&amp;$A68,実績!$AL$6:$AL$505,"○")&gt;0,1,0))</f>
        <v>0</v>
      </c>
      <c r="AL68" s="39" t="n">
        <f aca="false">IF(AL$4=0,0,IF(COUNTIFS(実績!$W$6:$W$505,AL$3,実績!$AI$6:$AI$505,"&lt;="&amp;$A68,実績!$AJ$6:$AJ$505,"&gt;"&amp;$A68,実績!$AL$6:$AL$505,"○")&gt;0,1,0))</f>
        <v>0</v>
      </c>
      <c r="AM68" s="39" t="n">
        <f aca="false">IF(AM$4=0,0,IF(COUNTIFS(実績!$W$6:$W$505,AM$3,実績!$AI$6:$AI$505,"&lt;="&amp;$A68,実績!$AJ$6:$AJ$505,"&gt;"&amp;$A68,実績!$AL$6:$AL$505,"○")&gt;0,1,0))</f>
        <v>0</v>
      </c>
      <c r="AN68" s="39" t="n">
        <f aca="false">IF(AN$4=0,0,IF(COUNTIFS(実績!$W$6:$W$505,AN$3,実績!$AI$6:$AI$505,"&lt;="&amp;$A68,実績!$AJ$6:$AJ$505,"&gt;"&amp;$A68,実績!$AL$6:$AL$505,"○")&gt;0,1,0))</f>
        <v>0</v>
      </c>
      <c r="AO68" s="39" t="n">
        <f aca="false">IF(AO$4=0,0,IF(COUNTIFS(実績!$W$6:$W$505,AO$3,実績!$AI$6:$AI$505,"&lt;="&amp;$A68,実績!$AJ$6:$AJ$505,"&gt;"&amp;$A68,実績!$AL$6:$AL$505,"○")&gt;0,1,0))</f>
        <v>0</v>
      </c>
      <c r="AP68" s="39" t="n">
        <f aca="false">IF(AP$4=0,0,IF(COUNTIFS(実績!$W$6:$W$505,AP$3,実績!$AI$6:$AI$505,"&lt;="&amp;$A68,実績!$AJ$6:$AJ$505,"&gt;"&amp;$A68,実績!$AL$6:$AL$505,"○")&gt;0,1,0))</f>
        <v>0</v>
      </c>
      <c r="AQ68" s="39" t="n">
        <f aca="false">IF(AQ$4=0,0,IF(COUNTIFS(実績!$W$6:$W$505,AQ$3,実績!$AI$6:$AI$505,"&lt;="&amp;$A68,実績!$AJ$6:$AJ$505,"&gt;"&amp;$A68,実績!$AL$6:$AL$505,"○")&gt;0,1,0))</f>
        <v>0</v>
      </c>
      <c r="AR68" s="39" t="n">
        <f aca="false">IF(AR$4=0,0,IF(COUNTIFS(実績!$W$6:$W$505,AR$3,実績!$AI$6:$AI$505,"&lt;="&amp;$A68,実績!$AJ$6:$AJ$505,"&gt;"&amp;$A68,実績!$AL$6:$AL$505,"○")&gt;0,1,0))</f>
        <v>0</v>
      </c>
      <c r="AS68" s="39" t="n">
        <f aca="false">IF(AS$4=0,0,IF(COUNTIFS(実績!$W$6:$W$505,AS$3,実績!$AI$6:$AI$505,"&lt;="&amp;$A68,実績!$AJ$6:$AJ$505,"&gt;"&amp;$A68,実績!$AL$6:$AL$505,"○")&gt;0,1,0))</f>
        <v>0</v>
      </c>
      <c r="AT68" s="39" t="n">
        <f aca="false">IF(AT$4=0,0,IF(COUNTIFS(実績!$W$6:$W$505,AT$3,実績!$AI$6:$AI$505,"&lt;="&amp;$A68,実績!$AJ$6:$AJ$505,"&gt;"&amp;$A68,実績!$AL$6:$AL$505,"○")&gt;0,1,0))</f>
        <v>0</v>
      </c>
      <c r="AU68" s="39" t="n">
        <f aca="false">IF(AU$4=0,0,IF(COUNTIFS(実績!$W$6:$W$505,AU$3,実績!$AI$6:$AI$505,"&lt;="&amp;$A68,実績!$AJ$6:$AJ$505,"&gt;"&amp;$A68,実績!$AL$6:$AL$505,"○")&gt;0,1,0))</f>
        <v>0</v>
      </c>
      <c r="AV68" s="39" t="n">
        <f aca="false">IF(AV$4=0,0,IF(COUNTIFS(実績!$W$6:$W$505,AV$3,実績!$AI$6:$AI$505,"&lt;="&amp;$A68,実績!$AJ$6:$AJ$505,"&gt;"&amp;$A68,実績!$AL$6:$AL$505,"○")&gt;0,1,0))</f>
        <v>0</v>
      </c>
      <c r="AW68" s="39" t="n">
        <f aca="false">IF(AW$4=0,0,IF(COUNTIFS(実績!$W$6:$W$505,AW$3,実績!$AI$6:$AI$505,"&lt;="&amp;$A68,実績!$AJ$6:$AJ$505,"&gt;"&amp;$A68,実績!$AL$6:$AL$505,"○")&gt;0,1,0))</f>
        <v>0</v>
      </c>
      <c r="AX68" s="39" t="n">
        <f aca="false">IF(AX$4=0,0,IF(COUNTIFS(実績!$W$6:$W$505,AX$3,実績!$AI$6:$AI$505,"&lt;="&amp;$A68,実績!$AJ$6:$AJ$505,"&gt;"&amp;$A68,実績!$AL$6:$AL$505,"○")&gt;0,1,0))</f>
        <v>0</v>
      </c>
      <c r="AY68" s="39" t="n">
        <f aca="false">IF(AY$4=0,0,IF(COUNTIFS(実績!$W$6:$W$505,AY$3,実績!$AI$6:$AI$505,"&lt;="&amp;$A68,実績!$AJ$6:$AJ$505,"&gt;"&amp;$A68,実績!$AL$6:$AL$505,"○")&gt;0,1,0))</f>
        <v>0</v>
      </c>
      <c r="AZ68" s="39" t="n">
        <f aca="false">IF(AZ$4=0,0,IF(COUNTIFS(実績!$W$6:$W$505,AZ$3,実績!$AI$6:$AI$505,"&lt;="&amp;$A68,実績!$AJ$6:$AJ$505,"&gt;"&amp;$A68,実績!$AL$6:$AL$505,"○")&gt;0,1,0))</f>
        <v>0</v>
      </c>
      <c r="BA68" s="39" t="n">
        <f aca="false">IF(BA$4=0,0,IF(COUNTIFS(実績!$W$6:$W$505,BA$3,実績!$AI$6:$AI$505,"&lt;="&amp;$A68,実績!$AJ$6:$AJ$505,"&gt;"&amp;$A68,実績!$AL$6:$AL$505,"○")&gt;0,1,0))</f>
        <v>0</v>
      </c>
      <c r="BB68" s="39" t="n">
        <f aca="false">IF(BB$4=0,0,IF(COUNTIFS(実績!$W$6:$W$505,BB$3,実績!$AI$6:$AI$505,"&lt;="&amp;$A68,実績!$AJ$6:$AJ$505,"&gt;"&amp;$A68,実績!$AL$6:$AL$505,"○")&gt;0,1,0))</f>
        <v>0</v>
      </c>
      <c r="BC68" s="39" t="n">
        <f aca="false">IF(BC$4=0,0,IF(COUNTIFS(実績!$W$6:$W$505,BC$3,実績!$AI$6:$AI$505,"&lt;="&amp;$A68,実績!$AJ$6:$AJ$505,"&gt;"&amp;$A68,実績!$AL$6:$AL$505,"○")&gt;0,1,0))</f>
        <v>0</v>
      </c>
      <c r="BD68" s="39" t="n">
        <f aca="false">IF(BD$4=0,0,IF(COUNTIFS(実績!$W$6:$W$505,BD$3,実績!$AI$6:$AI$505,"&lt;="&amp;$A68,実績!$AJ$6:$AJ$505,"&gt;"&amp;$A68,実績!$AL$6:$AL$505,"○")&gt;0,1,0))</f>
        <v>0</v>
      </c>
      <c r="BE68" s="39" t="n">
        <f aca="false">IF(BE$4=0,0,IF(COUNTIFS(実績!$W$6:$W$505,BE$3,実績!$AI$6:$AI$505,"&lt;="&amp;$A68,実績!$AJ$6:$AJ$505,"&gt;"&amp;$A68,実績!$AL$6:$AL$505,"○")&gt;0,1,0))</f>
        <v>0</v>
      </c>
      <c r="BF68" s="39" t="n">
        <f aca="false">IF(BF$4=0,0,IF(COUNTIFS(実績!$W$6:$W$505,BF$3,実績!$AI$6:$AI$505,"&lt;="&amp;$A68,実績!$AJ$6:$AJ$505,"&gt;"&amp;$A68,実績!$AL$6:$AL$505,"○")&gt;0,1,0))</f>
        <v>0</v>
      </c>
      <c r="BG68" s="39" t="n">
        <f aca="false">IF(BG$4=0,0,IF(COUNTIFS(実績!$W$6:$W$505,BG$3,実績!$AI$6:$AI$505,"&lt;="&amp;$A68,実績!$AJ$6:$AJ$505,"&gt;"&amp;$A68,実績!$AL$6:$AL$505,"○")&gt;0,1,0))</f>
        <v>0</v>
      </c>
      <c r="BH68" s="39" t="n">
        <f aca="false">IF(BH$4=0,0,IF(COUNTIFS(実績!$W$6:$W$505,BH$3,実績!$AI$6:$AI$505,"&lt;="&amp;$A68,実績!$AJ$6:$AJ$505,"&gt;"&amp;$A68,実績!$AL$6:$AL$505,"○")&gt;0,1,0))</f>
        <v>0</v>
      </c>
      <c r="BI68" s="39" t="n">
        <f aca="false">IF(BI$4=0,0,IF(COUNTIFS(実績!$W$6:$W$505,BI$3,実績!$AI$6:$AI$505,"&lt;="&amp;$A68,実績!$AJ$6:$AJ$505,"&gt;"&amp;$A68,実績!$AL$6:$AL$505,"○")&gt;0,1,0))</f>
        <v>0</v>
      </c>
      <c r="BJ68" s="39" t="n">
        <f aca="false">IF(BJ$4=0,0,IF(COUNTIFS(実績!$W$6:$W$505,BJ$3,実績!$AI$6:$AI$505,"&lt;="&amp;$A68,実績!$AJ$6:$AJ$505,"&gt;"&amp;$A68,実績!$AL$6:$AL$505,"○")&gt;0,1,0))</f>
        <v>0</v>
      </c>
      <c r="BK68" s="39" t="n">
        <f aca="false">IF(BK$4=0,0,IF(COUNTIFS(実績!$W$6:$W$505,BK$3,実績!$AI$6:$AI$505,"&lt;="&amp;$A68,実績!$AJ$6:$AJ$505,"&gt;"&amp;$A68,実績!$AL$6:$AL$505,"○")&gt;0,1,0))</f>
        <v>0</v>
      </c>
      <c r="BL68" s="39" t="n">
        <f aca="false">IF(BL$4=0,0,IF(COUNTIFS(実績!$W$6:$W$505,BL$3,実績!$AI$6:$AI$505,"&lt;="&amp;$A68,実績!$AJ$6:$AJ$505,"&gt;"&amp;$A68,実績!$AL$6:$AL$505,"○")&gt;0,1,0))</f>
        <v>0</v>
      </c>
      <c r="BM68" s="39" t="n">
        <f aca="false">IF(BM$4=0,0,IF(COUNTIFS(実績!$W$6:$W$505,BM$3,実績!$AI$6:$AI$505,"&lt;="&amp;$A68,実績!$AJ$6:$AJ$505,"&gt;"&amp;$A68,実績!$AL$6:$AL$505,"○")&gt;0,1,0))</f>
        <v>0</v>
      </c>
      <c r="BN68" s="39" t="n">
        <f aca="false">IF(BN$4=0,0,IF(COUNTIFS(実績!$W$6:$W$505,BN$3,実績!$AI$6:$AI$505,"&lt;="&amp;$A68,実績!$AJ$6:$AJ$505,"&gt;"&amp;$A68,実績!$AL$6:$AL$505,"○")&gt;0,1,0))</f>
        <v>0</v>
      </c>
      <c r="BO68" s="39" t="n">
        <f aca="false">IF(BO$4=0,0,IF(COUNTIFS(実績!$W$6:$W$505,BO$3,実績!$AI$6:$AI$505,"&lt;="&amp;$A68,実績!$AJ$6:$AJ$505,"&gt;"&amp;$A68,実績!$AL$6:$AL$505,"○")&gt;0,1,0))</f>
        <v>0</v>
      </c>
      <c r="BP68" s="39" t="n">
        <f aca="false">IF(BP$4=0,0,IF(COUNTIFS(実績!$W$6:$W$505,BP$3,実績!$AI$6:$AI$505,"&lt;="&amp;$A68,実績!$AJ$6:$AJ$505,"&gt;"&amp;$A68,実績!$AL$6:$AL$505,"○")&gt;0,1,0))</f>
        <v>0</v>
      </c>
      <c r="BQ68" s="39" t="n">
        <f aca="false">IF(BQ$4=0,0,IF(COUNTIFS(実績!$W$6:$W$505,BQ$3,実績!$AI$6:$AI$505,"&lt;="&amp;$A68,実績!$AJ$6:$AJ$505,"&gt;"&amp;$A68,実績!$AL$6:$AL$505,"○")&gt;0,1,0))</f>
        <v>0</v>
      </c>
      <c r="BR68" s="39" t="n">
        <f aca="false">IF(BR$4=0,0,IF(COUNTIFS(実績!$W$6:$W$505,BR$3,実績!$AI$6:$AI$505,"&lt;="&amp;$A68,実績!$AJ$6:$AJ$505,"&gt;"&amp;$A68,実績!$AL$6:$AL$505,"○")&gt;0,1,0))</f>
        <v>0</v>
      </c>
      <c r="BS68" s="39" t="n">
        <f aca="false">IF(BS$4=0,0,IF(COUNTIFS(実績!$W$6:$W$505,BS$3,実績!$AI$6:$AI$505,"&lt;="&amp;$A68,実績!$AJ$6:$AJ$505,"&gt;"&amp;$A68,実績!$AL$6:$AL$505,"○")&gt;0,1,0))</f>
        <v>0</v>
      </c>
      <c r="BT68" s="39" t="n">
        <f aca="false">IF(BT$4=0,0,IF(COUNTIFS(実績!$W$6:$W$505,BT$3,実績!$AI$6:$AI$505,"&lt;="&amp;$A68,実績!$AJ$6:$AJ$505,"&gt;"&amp;$A68,実績!$AL$6:$AL$505,"○")&gt;0,1,0))</f>
        <v>0</v>
      </c>
      <c r="BU68" s="39" t="n">
        <f aca="false">IF(BU$4=0,0,IF(COUNTIFS(実績!$W$6:$W$505,BU$3,実績!$AI$6:$AI$505,"&lt;="&amp;$A68,実績!$AJ$6:$AJ$505,"&gt;"&amp;$A68,実績!$AL$6:$AL$505,"○")&gt;0,1,0))</f>
        <v>0</v>
      </c>
      <c r="BV68" s="39" t="n">
        <f aca="false">IF(BV$4=0,0,IF(COUNTIFS(実績!$W$6:$W$505,BV$3,実績!$AI$6:$AI$505,"&lt;="&amp;$A68,実績!$AJ$6:$AJ$505,"&gt;"&amp;$A68,実績!$AL$6:$AL$505,"○")&gt;0,1,0))</f>
        <v>0</v>
      </c>
      <c r="BW68" s="39" t="n">
        <f aca="false">IF(BW$4=0,0,IF(COUNTIFS(実績!$W$6:$W$505,BW$3,実績!$AI$6:$AI$505,"&lt;="&amp;$A68,実績!$AJ$6:$AJ$505,"&gt;"&amp;$A68,実績!$AL$6:$AL$505,"○")&gt;0,1,0))</f>
        <v>0</v>
      </c>
      <c r="BX68" s="39" t="n">
        <f aca="false">IF(BX$4=0,0,IF(COUNTIFS(実績!$W$6:$W$505,BX$3,実績!$AI$6:$AI$505,"&lt;="&amp;$A68,実績!$AJ$6:$AJ$505,"&gt;"&amp;$A68,実績!$AL$6:$AL$505,"○")&gt;0,1,0))</f>
        <v>0</v>
      </c>
      <c r="BY68" s="39" t="n">
        <f aca="false">IF(BY$4=0,0,IF(COUNTIFS(実績!$W$6:$W$505,BY$3,実績!$AI$6:$AI$505,"&lt;="&amp;$A68,実績!$AJ$6:$AJ$505,"&gt;"&amp;$A68,実績!$AL$6:$AL$505,"○")&gt;0,1,0))</f>
        <v>0</v>
      </c>
      <c r="BZ68" s="39" t="n">
        <f aca="false">IF(BZ$4=0,0,IF(COUNTIFS(実績!$W$6:$W$505,BZ$3,実績!$AI$6:$AI$505,"&lt;="&amp;$A68,実績!$AJ$6:$AJ$505,"&gt;"&amp;$A68,実績!$AL$6:$AL$505,"○")&gt;0,1,0))</f>
        <v>0</v>
      </c>
      <c r="CA68" s="39" t="n">
        <f aca="false">IF(CA$4=0,0,IF(COUNTIFS(実績!$W$6:$W$505,CA$3,実績!$AI$6:$AI$505,"&lt;="&amp;$A68,実績!$AJ$6:$AJ$505,"&gt;"&amp;$A68,実績!$AL$6:$AL$505,"○")&gt;0,1,0))</f>
        <v>0</v>
      </c>
      <c r="CB68" s="39" t="n">
        <f aca="false">IF(CB$4=0,0,IF(COUNTIFS(実績!$W$6:$W$505,CB$3,実績!$AI$6:$AI$505,"&lt;="&amp;$A68,実績!$AJ$6:$AJ$505,"&gt;"&amp;$A68,実績!$AL$6:$AL$505,"○")&gt;0,1,0))</f>
        <v>0</v>
      </c>
      <c r="CC68" s="39" t="n">
        <f aca="false">IF(CC$4=0,0,IF(COUNTIFS(実績!$W$6:$W$505,CC$3,実績!$AI$6:$AI$505,"&lt;="&amp;$A68,実績!$AJ$6:$AJ$505,"&gt;"&amp;$A68,実績!$AL$6:$AL$505,"○")&gt;0,1,0))</f>
        <v>0</v>
      </c>
      <c r="CD68" s="39" t="n">
        <f aca="false">IF(CD$4=0,0,IF(COUNTIFS(実績!$W$6:$W$505,CD$3,実績!$AI$6:$AI$505,"&lt;="&amp;$A68,実績!$AJ$6:$AJ$505,"&gt;"&amp;$A68,実績!$AL$6:$AL$505,"○")&gt;0,1,0))</f>
        <v>0</v>
      </c>
      <c r="CE68" s="39" t="n">
        <f aca="false">IF(CE$4=0,0,IF(COUNTIFS(実績!$W$6:$W$505,CE$3,実績!$AI$6:$AI$505,"&lt;="&amp;$A68,実績!$AJ$6:$AJ$505,"&gt;"&amp;$A68,実績!$AL$6:$AL$505,"○")&gt;0,1,0))</f>
        <v>0</v>
      </c>
      <c r="CF68" s="39" t="n">
        <f aca="false">IF(CF$4=0,0,IF(COUNTIFS(実績!$W$6:$W$505,CF$3,実績!$AI$6:$AI$505,"&lt;="&amp;$A68,実績!$AJ$6:$AJ$505,"&gt;"&amp;$A68,実績!$AL$6:$AL$505,"○")&gt;0,1,0))</f>
        <v>0</v>
      </c>
      <c r="CG68" s="39" t="n">
        <f aca="false">IF(CG$4=0,0,IF(COUNTIFS(実績!$W$6:$W$505,CG$3,実績!$AI$6:$AI$505,"&lt;="&amp;$A68,実績!$AJ$6:$AJ$505,"&gt;"&amp;$A68,実績!$AL$6:$AL$505,"○")&gt;0,1,0))</f>
        <v>0</v>
      </c>
      <c r="CH68" s="39" t="n">
        <f aca="false">IF(CH$4=0,0,IF(COUNTIFS(実績!$W$6:$W$505,CH$3,実績!$AI$6:$AI$505,"&lt;="&amp;$A68,実績!$AJ$6:$AJ$505,"&gt;"&amp;$A68,実績!$AL$6:$AL$505,"○")&gt;0,1,0))</f>
        <v>0</v>
      </c>
      <c r="CI68" s="39" t="n">
        <f aca="false">IF(CI$4=0,0,IF(COUNTIFS(実績!$W$6:$W$505,CI$3,実績!$AI$6:$AI$505,"&lt;="&amp;$A68,実績!$AJ$6:$AJ$505,"&gt;"&amp;$A68,実績!$AL$6:$AL$505,"○")&gt;0,1,0))</f>
        <v>0</v>
      </c>
      <c r="CJ68" s="39" t="n">
        <f aca="false">IF(CJ$4=0,0,IF(COUNTIFS(実績!$W$6:$W$505,CJ$3,実績!$AI$6:$AI$505,"&lt;="&amp;$A68,実績!$AJ$6:$AJ$505,"&gt;"&amp;$A68,実績!$AL$6:$AL$505,"○")&gt;0,1,0))</f>
        <v>0</v>
      </c>
      <c r="CK68" s="39" t="n">
        <f aca="false">IF(CK$4=0,0,IF(COUNTIFS(実績!$W$6:$W$505,CK$3,実績!$AI$6:$AI$505,"&lt;="&amp;$A68,実績!$AJ$6:$AJ$505,"&gt;"&amp;$A68,実績!$AL$6:$AL$505,"○")&gt;0,1,0))</f>
        <v>0</v>
      </c>
      <c r="CL68" s="39" t="n">
        <f aca="false">IF(CL$4=0,0,IF(COUNTIFS(実績!$W$6:$W$505,CL$3,実績!$AI$6:$AI$505,"&lt;="&amp;$A68,実績!$AJ$6:$AJ$505,"&gt;"&amp;$A68,実績!$AL$6:$AL$505,"○")&gt;0,1,0))</f>
        <v>0</v>
      </c>
      <c r="CM68" s="39" t="n">
        <f aca="false">IF(CM$4=0,0,IF(COUNTIFS(実績!$W$6:$W$505,CM$3,実績!$AI$6:$AI$505,"&lt;="&amp;$A68,実績!$AJ$6:$AJ$505,"&gt;"&amp;$A68,実績!$AL$6:$AL$505,"○")&gt;0,1,0))</f>
        <v>0</v>
      </c>
      <c r="CN68" s="39" t="n">
        <f aca="false">IF(CN$4=0,0,IF(COUNTIFS(実績!$W$6:$W$505,CN$3,実績!$AI$6:$AI$505,"&lt;="&amp;$A68,実績!$AJ$6:$AJ$505,"&gt;"&amp;$A68,実績!$AL$6:$AL$505,"○")&gt;0,1,0))</f>
        <v>0</v>
      </c>
      <c r="CO68" s="39" t="n">
        <f aca="false">IF(CO$4=0,0,IF(COUNTIFS(実績!$W$6:$W$505,CO$3,実績!$AI$6:$AI$505,"&lt;="&amp;$A68,実績!$AJ$6:$AJ$505,"&gt;"&amp;$A68,実績!$AL$6:$AL$505,"○")&gt;0,1,0))</f>
        <v>0</v>
      </c>
      <c r="CP68" s="39" t="n">
        <f aca="false">IF(CP$4=0,0,IF(COUNTIFS(実績!$W$6:$W$505,CP$3,実績!$AI$6:$AI$505,"&lt;="&amp;$A68,実績!$AJ$6:$AJ$505,"&gt;"&amp;$A68,実績!$AL$6:$AL$505,"○")&gt;0,1,0))</f>
        <v>0</v>
      </c>
      <c r="CQ68" s="39" t="n">
        <f aca="false">IF(CQ$4=0,0,IF(COUNTIFS(実績!$W$6:$W$505,CQ$3,実績!$AI$6:$AI$505,"&lt;="&amp;$A68,実績!$AJ$6:$AJ$505,"&gt;"&amp;$A68,実績!$AL$6:$AL$505,"○")&gt;0,1,0))</f>
        <v>0</v>
      </c>
      <c r="CR68" s="39" t="n">
        <f aca="false">IF(CR$4=0,0,IF(COUNTIFS(実績!$W$6:$W$505,CR$3,実績!$AI$6:$AI$505,"&lt;="&amp;$A68,実績!$AJ$6:$AJ$505,"&gt;"&amp;$A68,実績!$AL$6:$AL$505,"○")&gt;0,1,0))</f>
        <v>0</v>
      </c>
      <c r="CS68" s="39" t="n">
        <f aca="false">IF(CS$4=0,0,IF(COUNTIFS(実績!$W$6:$W$505,CS$3,実績!$AI$6:$AI$505,"&lt;="&amp;$A68,実績!$AJ$6:$AJ$505,"&gt;"&amp;$A68,実績!$AL$6:$AL$505,"○")&gt;0,1,0))</f>
        <v>0</v>
      </c>
      <c r="CT68" s="39" t="n">
        <f aca="false">IF(CT$4=0,0,IF(COUNTIFS(実績!$W$6:$W$505,CT$3,実績!$AI$6:$AI$505,"&lt;="&amp;$A68,実績!$AJ$6:$AJ$505,"&gt;"&amp;$A68,実績!$AL$6:$AL$505,"○")&gt;0,1,0))</f>
        <v>0</v>
      </c>
      <c r="CU68" s="39" t="n">
        <f aca="false">IF(CU$4=0,0,IF(COUNTIFS(実績!$W$6:$W$505,CU$3,実績!$AI$6:$AI$505,"&lt;="&amp;$A68,実績!$AJ$6:$AJ$505,"&gt;"&amp;$A68,実績!$AL$6:$AL$505,"○")&gt;0,1,0))</f>
        <v>0</v>
      </c>
      <c r="CV68" s="39" t="n">
        <f aca="false">IF(CV$4=0,0,IF(COUNTIFS(実績!$W$6:$W$505,CV$3,実績!$AI$6:$AI$505,"&lt;="&amp;$A68,実績!$AJ$6:$AJ$505,"&gt;"&amp;$A68,実績!$AL$6:$AL$505,"○")&gt;0,1,0))</f>
        <v>0</v>
      </c>
      <c r="CW68" s="39" t="n">
        <f aca="false">IF(CW$4=0,0,IF(COUNTIFS(実績!$W$6:$W$505,CW$3,実績!$AI$6:$AI$505,"&lt;="&amp;$A68,実績!$AJ$6:$AJ$505,"&gt;"&amp;$A68,実績!$AL$6:$AL$505,"○")&gt;0,1,0))</f>
        <v>0</v>
      </c>
      <c r="CX68" s="39" t="n">
        <f aca="false">IF(CX$4=0,0,IF(COUNTIFS(実績!$W$6:$W$505,CX$3,実績!$AI$6:$AI$505,"&lt;="&amp;$A68,実績!$AJ$6:$AJ$505,"&gt;"&amp;$A68,実績!$AL$6:$AL$505,"○")&gt;0,1,0))</f>
        <v>0</v>
      </c>
      <c r="CY68" s="39" t="n">
        <f aca="false">IF(CY$4=0,0,IF(COUNTIFS(実績!$W$6:$W$505,CY$3,実績!$AI$6:$AI$505,"&lt;="&amp;$A68,実績!$AJ$6:$AJ$505,"&gt;"&amp;$A68,実績!$AL$6:$AL$505,"○")&gt;0,1,0))</f>
        <v>0</v>
      </c>
      <c r="CZ68" s="39" t="n">
        <f aca="false">IF(CZ$4=0,0,IF(COUNTIFS(実績!$W$6:$W$505,CZ$3,実績!$AI$6:$AI$505,"&lt;="&amp;$A68,実績!$AJ$6:$AJ$505,"&gt;"&amp;$A68,実績!$AL$6:$AL$505,"○")&gt;0,1,0))</f>
        <v>0</v>
      </c>
      <c r="DA68" s="39" t="n">
        <f aca="false">IF(DA$4=0,0,IF(COUNTIFS(実績!$W$6:$W$505,DA$3,実績!$AI$6:$AI$505,"&lt;="&amp;$A68,実績!$AJ$6:$AJ$505,"&gt;"&amp;$A68,実績!$AL$6:$AL$505,"○")&gt;0,1,0))</f>
        <v>0</v>
      </c>
      <c r="DB68" s="39" t="n">
        <f aca="false">IF(DB$4=0,0,IF(COUNTIFS(実績!$W$6:$W$505,DB$3,実績!$AI$6:$AI$505,"&lt;="&amp;$A68,実績!$AJ$6:$AJ$505,"&gt;"&amp;$A68,実績!$AL$6:$AL$505,"○")&gt;0,1,0))</f>
        <v>0</v>
      </c>
      <c r="DC68" s="39" t="n">
        <f aca="false">IF(DC$4=0,0,IF(COUNTIFS(実績!$W$6:$W$505,DC$3,実績!$AI$6:$AI$505,"&lt;="&amp;$A68,実績!$AJ$6:$AJ$505,"&gt;"&amp;$A68,実績!$AL$6:$AL$505,"○")&gt;0,1,0))</f>
        <v>0</v>
      </c>
      <c r="DD68" s="39" t="n">
        <f aca="false">IF(DD$4=0,0,IF(COUNTIFS(実績!$W$6:$W$505,DD$3,実績!$AI$6:$AI$505,"&lt;="&amp;$A68,実績!$AJ$6:$AJ$505,"&gt;"&amp;$A68,実績!$AL$6:$AL$505,"○")&gt;0,1,0))</f>
        <v>0</v>
      </c>
      <c r="DE68" s="39" t="n">
        <f aca="false">IF(DE$4=0,0,IF(COUNTIFS(実績!$W$6:$W$505,DE$3,実績!$AI$6:$AI$505,"&lt;="&amp;$A68,実績!$AJ$6:$AJ$505,"&gt;"&amp;$A68,実績!$AL$6:$AL$505,"○")&gt;0,1,0))</f>
        <v>0</v>
      </c>
      <c r="DF68" s="39" t="n">
        <f aca="false">IF(DF$4=0,0,IF(COUNTIFS(実績!$W$6:$W$505,DF$3,実績!$AI$6:$AI$505,"&lt;="&amp;$A68,実績!$AJ$6:$AJ$505,"&gt;"&amp;$A68,実績!$AL$6:$AL$505,"○")&gt;0,1,0))</f>
        <v>0</v>
      </c>
      <c r="DG68" s="39" t="n">
        <f aca="false">IF(DG$4=0,0,IF(COUNTIFS(実績!$W$6:$W$505,DG$3,実績!$AI$6:$AI$505,"&lt;="&amp;$A68,実績!$AJ$6:$AJ$505,"&gt;"&amp;$A68,実績!$AL$6:$AL$505,"○")&gt;0,1,0))</f>
        <v>0</v>
      </c>
      <c r="DH68" s="39" t="n">
        <f aca="false">IF(DH$4=0,0,IF(COUNTIFS(実績!$W$6:$W$505,DH$3,実績!$AI$6:$AI$505,"&lt;="&amp;$A68,実績!$AJ$6:$AJ$505,"&gt;"&amp;$A68,実績!$AL$6:$AL$505,"○")&gt;0,1,0))</f>
        <v>0</v>
      </c>
      <c r="DI68" s="39" t="n">
        <f aca="false">IF(DI$4=0,0,IF(COUNTIFS(実績!$W$6:$W$505,DI$3,実績!$AI$6:$AI$505,"&lt;="&amp;$A68,実績!$AJ$6:$AJ$505,"&gt;"&amp;$A68,実績!$AL$6:$AL$505,"○")&gt;0,1,0))</f>
        <v>0</v>
      </c>
      <c r="DJ68" s="39" t="n">
        <f aca="false">IF(DJ$4=0,0,IF(COUNTIFS(実績!$W$6:$W$505,DJ$3,実績!$AI$6:$AI$505,"&lt;="&amp;$A68,実績!$AJ$6:$AJ$505,"&gt;"&amp;$A68,実績!$AL$6:$AL$505,"○")&gt;0,1,0))</f>
        <v>0</v>
      </c>
      <c r="DK68" s="39" t="n">
        <f aca="false">IF(DK$4=0,0,IF(COUNTIFS(実績!$W$6:$W$505,DK$3,実績!$AI$6:$AI$505,"&lt;="&amp;$A68,実績!$AJ$6:$AJ$505,"&gt;"&amp;$A68,実績!$AL$6:$AL$505,"○")&gt;0,1,0))</f>
        <v>0</v>
      </c>
      <c r="DL68" s="39" t="n">
        <f aca="false">IF(DL$4=0,0,IF(COUNTIFS(実績!$W$6:$W$505,DL$3,実績!$AI$6:$AI$505,"&lt;="&amp;$A68,実績!$AJ$6:$AJ$505,"&gt;"&amp;$A68,実績!$AL$6:$AL$505,"○")&gt;0,1,0))</f>
        <v>0</v>
      </c>
      <c r="DM68" s="39" t="n">
        <f aca="false">IF(DM$4=0,0,IF(COUNTIFS(実績!$W$6:$W$505,DM$3,実績!$AI$6:$AI$505,"&lt;="&amp;$A68,実績!$AJ$6:$AJ$505,"&gt;"&amp;$A68,実績!$AL$6:$AL$505,"○")&gt;0,1,0))</f>
        <v>0</v>
      </c>
      <c r="DN68" s="39" t="n">
        <f aca="false">IF(DN$4=0,0,IF(COUNTIFS(実績!$W$6:$W$505,DN$3,実績!$AI$6:$AI$505,"&lt;="&amp;$A68,実績!$AJ$6:$AJ$505,"&gt;"&amp;$A68,実績!$AL$6:$AL$505,"○")&gt;0,1,0))</f>
        <v>0</v>
      </c>
      <c r="DO68" s="39" t="n">
        <f aca="false">IF(DO$4=0,0,IF(COUNTIFS(実績!$W$6:$W$505,DO$3,実績!$AI$6:$AI$505,"&lt;="&amp;$A68,実績!$AJ$6:$AJ$505,"&gt;"&amp;$A68,実績!$AL$6:$AL$505,"○")&gt;0,1,0))</f>
        <v>0</v>
      </c>
      <c r="DP68" s="39" t="n">
        <f aca="false">IF(DP$4=0,0,IF(COUNTIFS(実績!$W$6:$W$505,DP$3,実績!$AI$6:$AI$505,"&lt;="&amp;$A68,実績!$AJ$6:$AJ$505,"&gt;"&amp;$A68,実績!$AL$6:$AL$505,"○")&gt;0,1,0))</f>
        <v>0</v>
      </c>
      <c r="DQ68" s="39" t="n">
        <f aca="false">IF(DQ$4=0,0,IF(COUNTIFS(実績!$W$6:$W$505,DQ$3,実績!$AI$6:$AI$505,"&lt;="&amp;$A68,実績!$AJ$6:$AJ$505,"&gt;"&amp;$A68,実績!$AL$6:$AL$505,"○")&gt;0,1,0))</f>
        <v>0</v>
      </c>
      <c r="DR68" s="39" t="n">
        <f aca="false">IF(DR$4=0,0,IF(COUNTIFS(実績!$W$6:$W$505,DR$3,実績!$AI$6:$AI$505,"&lt;="&amp;$A68,実績!$AJ$6:$AJ$505,"&gt;"&amp;$A68,実績!$AL$6:$AL$505,"○")&gt;0,1,0))</f>
        <v>0</v>
      </c>
      <c r="DS68" s="39" t="n">
        <f aca="false">SUM(C68:DR68)</f>
        <v>0</v>
      </c>
    </row>
    <row r="69" customFormat="false" ht="15" hidden="false" customHeight="false" outlineLevel="0" collapsed="false">
      <c r="A69" s="0" t="n">
        <v>315</v>
      </c>
      <c r="B69" s="38" t="n">
        <f aca="false">A69/1440</f>
        <v>0.21875</v>
      </c>
      <c r="C69" s="39" t="n">
        <f aca="false">IF(C$4=0,0,IF(COUNTIFS(実績!$W$6:$W$505,C$3,実績!$AI$6:$AI$505,"&lt;="&amp;$A69,実績!$AJ$6:$AJ$505,"&gt;"&amp;$A69,実績!$AL$6:$AL$505,"○")&gt;0,1,0))</f>
        <v>0</v>
      </c>
      <c r="D69" s="39" t="n">
        <f aca="false">IF(D$4=0,0,IF(COUNTIFS(実績!$W$6:$W$505,D$3,実績!$AI$6:$AI$505,"&lt;="&amp;$A69,実績!$AJ$6:$AJ$505,"&gt;"&amp;$A69,実績!$AL$6:$AL$505,"○")&gt;0,1,0))</f>
        <v>0</v>
      </c>
      <c r="E69" s="39" t="n">
        <f aca="false">IF(E$4=0,0,IF(COUNTIFS(実績!$W$6:$W$505,E$3,実績!$AI$6:$AI$505,"&lt;="&amp;$A69,実績!$AJ$6:$AJ$505,"&gt;"&amp;$A69,実績!$AL$6:$AL$505,"○")&gt;0,1,0))</f>
        <v>0</v>
      </c>
      <c r="F69" s="39" t="n">
        <f aca="false">IF(F$4=0,0,IF(COUNTIFS(実績!$W$6:$W$505,F$3,実績!$AI$6:$AI$505,"&lt;="&amp;$A69,実績!$AJ$6:$AJ$505,"&gt;"&amp;$A69,実績!$AL$6:$AL$505,"○")&gt;0,1,0))</f>
        <v>0</v>
      </c>
      <c r="G69" s="39" t="n">
        <f aca="false">IF(G$4=0,0,IF(COUNTIFS(実績!$W$6:$W$505,G$3,実績!$AI$6:$AI$505,"&lt;="&amp;$A69,実績!$AJ$6:$AJ$505,"&gt;"&amp;$A69,実績!$AL$6:$AL$505,"○")&gt;0,1,0))</f>
        <v>0</v>
      </c>
      <c r="H69" s="39" t="n">
        <f aca="false">IF(H$4=0,0,IF(COUNTIFS(実績!$W$6:$W$505,H$3,実績!$AI$6:$AI$505,"&lt;="&amp;$A69,実績!$AJ$6:$AJ$505,"&gt;"&amp;$A69,実績!$AL$6:$AL$505,"○")&gt;0,1,0))</f>
        <v>0</v>
      </c>
      <c r="I69" s="39" t="n">
        <f aca="false">IF(I$4=0,0,IF(COUNTIFS(実績!$W$6:$W$505,I$3,実績!$AI$6:$AI$505,"&lt;="&amp;$A69,実績!$AJ$6:$AJ$505,"&gt;"&amp;$A69,実績!$AL$6:$AL$505,"○")&gt;0,1,0))</f>
        <v>0</v>
      </c>
      <c r="J69" s="39" t="n">
        <f aca="false">IF(J$4=0,0,IF(COUNTIFS(実績!$W$6:$W$505,J$3,実績!$AI$6:$AI$505,"&lt;="&amp;$A69,実績!$AJ$6:$AJ$505,"&gt;"&amp;$A69,実績!$AL$6:$AL$505,"○")&gt;0,1,0))</f>
        <v>0</v>
      </c>
      <c r="K69" s="39" t="n">
        <f aca="false">IF(K$4=0,0,IF(COUNTIFS(実績!$W$6:$W$505,K$3,実績!$AI$6:$AI$505,"&lt;="&amp;$A69,実績!$AJ$6:$AJ$505,"&gt;"&amp;$A69,実績!$AL$6:$AL$505,"○")&gt;0,1,0))</f>
        <v>0</v>
      </c>
      <c r="L69" s="39" t="n">
        <f aca="false">IF(L$4=0,0,IF(COUNTIFS(実績!$W$6:$W$505,L$3,実績!$AI$6:$AI$505,"&lt;="&amp;$A69,実績!$AJ$6:$AJ$505,"&gt;"&amp;$A69,実績!$AL$6:$AL$505,"○")&gt;0,1,0))</f>
        <v>0</v>
      </c>
      <c r="M69" s="39" t="n">
        <f aca="false">IF(M$4=0,0,IF(COUNTIFS(実績!$W$6:$W$505,M$3,実績!$AI$6:$AI$505,"&lt;="&amp;$A69,実績!$AJ$6:$AJ$505,"&gt;"&amp;$A69,実績!$AL$6:$AL$505,"○")&gt;0,1,0))</f>
        <v>0</v>
      </c>
      <c r="N69" s="39" t="n">
        <f aca="false">IF(N$4=0,0,IF(COUNTIFS(実績!$W$6:$W$505,N$3,実績!$AI$6:$AI$505,"&lt;="&amp;$A69,実績!$AJ$6:$AJ$505,"&gt;"&amp;$A69,実績!$AL$6:$AL$505,"○")&gt;0,1,0))</f>
        <v>0</v>
      </c>
      <c r="O69" s="39" t="n">
        <f aca="false">IF(O$4=0,0,IF(COUNTIFS(実績!$W$6:$W$505,O$3,実績!$AI$6:$AI$505,"&lt;="&amp;$A69,実績!$AJ$6:$AJ$505,"&gt;"&amp;$A69,実績!$AL$6:$AL$505,"○")&gt;0,1,0))</f>
        <v>0</v>
      </c>
      <c r="P69" s="39" t="n">
        <f aca="false">IF(P$4=0,0,IF(COUNTIFS(実績!$W$6:$W$505,P$3,実績!$AI$6:$AI$505,"&lt;="&amp;$A69,実績!$AJ$6:$AJ$505,"&gt;"&amp;$A69,実績!$AL$6:$AL$505,"○")&gt;0,1,0))</f>
        <v>0</v>
      </c>
      <c r="Q69" s="39" t="n">
        <f aca="false">IF(Q$4=0,0,IF(COUNTIFS(実績!$W$6:$W$505,Q$3,実績!$AI$6:$AI$505,"&lt;="&amp;$A69,実績!$AJ$6:$AJ$505,"&gt;"&amp;$A69,実績!$AL$6:$AL$505,"○")&gt;0,1,0))</f>
        <v>0</v>
      </c>
      <c r="R69" s="39" t="n">
        <f aca="false">IF(R$4=0,0,IF(COUNTIFS(実績!$W$6:$W$505,R$3,実績!$AI$6:$AI$505,"&lt;="&amp;$A69,実績!$AJ$6:$AJ$505,"&gt;"&amp;$A69,実績!$AL$6:$AL$505,"○")&gt;0,1,0))</f>
        <v>0</v>
      </c>
      <c r="S69" s="39" t="n">
        <f aca="false">IF(S$4=0,0,IF(COUNTIFS(実績!$W$6:$W$505,S$3,実績!$AI$6:$AI$505,"&lt;="&amp;$A69,実績!$AJ$6:$AJ$505,"&gt;"&amp;$A69,実績!$AL$6:$AL$505,"○")&gt;0,1,0))</f>
        <v>0</v>
      </c>
      <c r="T69" s="39" t="n">
        <f aca="false">IF(T$4=0,0,IF(COUNTIFS(実績!$W$6:$W$505,T$3,実績!$AI$6:$AI$505,"&lt;="&amp;$A69,実績!$AJ$6:$AJ$505,"&gt;"&amp;$A69,実績!$AL$6:$AL$505,"○")&gt;0,1,0))</f>
        <v>0</v>
      </c>
      <c r="U69" s="39" t="n">
        <f aca="false">IF(U$4=0,0,IF(COUNTIFS(実績!$W$6:$W$505,U$3,実績!$AI$6:$AI$505,"&lt;="&amp;$A69,実績!$AJ$6:$AJ$505,"&gt;"&amp;$A69,実績!$AL$6:$AL$505,"○")&gt;0,1,0))</f>
        <v>0</v>
      </c>
      <c r="V69" s="39" t="n">
        <f aca="false">IF(V$4=0,0,IF(COUNTIFS(実績!$W$6:$W$505,V$3,実績!$AI$6:$AI$505,"&lt;="&amp;$A69,実績!$AJ$6:$AJ$505,"&gt;"&amp;$A69,実績!$AL$6:$AL$505,"○")&gt;0,1,0))</f>
        <v>0</v>
      </c>
      <c r="W69" s="39" t="n">
        <f aca="false">IF(W$4=0,0,IF(COUNTIFS(実績!$W$6:$W$505,W$3,実績!$AI$6:$AI$505,"&lt;="&amp;$A69,実績!$AJ$6:$AJ$505,"&gt;"&amp;$A69,実績!$AL$6:$AL$505,"○")&gt;0,1,0))</f>
        <v>0</v>
      </c>
      <c r="X69" s="39" t="n">
        <f aca="false">IF(X$4=0,0,IF(COUNTIFS(実績!$W$6:$W$505,X$3,実績!$AI$6:$AI$505,"&lt;="&amp;$A69,実績!$AJ$6:$AJ$505,"&gt;"&amp;$A69,実績!$AL$6:$AL$505,"○")&gt;0,1,0))</f>
        <v>0</v>
      </c>
      <c r="Y69" s="39" t="n">
        <f aca="false">IF(Y$4=0,0,IF(COUNTIFS(実績!$W$6:$W$505,Y$3,実績!$AI$6:$AI$505,"&lt;="&amp;$A69,実績!$AJ$6:$AJ$505,"&gt;"&amp;$A69,実績!$AL$6:$AL$505,"○")&gt;0,1,0))</f>
        <v>0</v>
      </c>
      <c r="Z69" s="39" t="n">
        <f aca="false">IF(Z$4=0,0,IF(COUNTIFS(実績!$W$6:$W$505,Z$3,実績!$AI$6:$AI$505,"&lt;="&amp;$A69,実績!$AJ$6:$AJ$505,"&gt;"&amp;$A69,実績!$AL$6:$AL$505,"○")&gt;0,1,0))</f>
        <v>0</v>
      </c>
      <c r="AA69" s="39" t="n">
        <f aca="false">IF(AA$4=0,0,IF(COUNTIFS(実績!$W$6:$W$505,AA$3,実績!$AI$6:$AI$505,"&lt;="&amp;$A69,実績!$AJ$6:$AJ$505,"&gt;"&amp;$A69,実績!$AL$6:$AL$505,"○")&gt;0,1,0))</f>
        <v>0</v>
      </c>
      <c r="AB69" s="39" t="n">
        <f aca="false">IF(AB$4=0,0,IF(COUNTIFS(実績!$W$6:$W$505,AB$3,実績!$AI$6:$AI$505,"&lt;="&amp;$A69,実績!$AJ$6:$AJ$505,"&gt;"&amp;$A69,実績!$AL$6:$AL$505,"○")&gt;0,1,0))</f>
        <v>0</v>
      </c>
      <c r="AC69" s="39" t="n">
        <f aca="false">IF(AC$4=0,0,IF(COUNTIFS(実績!$W$6:$W$505,AC$3,実績!$AI$6:$AI$505,"&lt;="&amp;$A69,実績!$AJ$6:$AJ$505,"&gt;"&amp;$A69,実績!$AL$6:$AL$505,"○")&gt;0,1,0))</f>
        <v>0</v>
      </c>
      <c r="AD69" s="39" t="n">
        <f aca="false">IF(AD$4=0,0,IF(COUNTIFS(実績!$W$6:$W$505,AD$3,実績!$AI$6:$AI$505,"&lt;="&amp;$A69,実績!$AJ$6:$AJ$505,"&gt;"&amp;$A69,実績!$AL$6:$AL$505,"○")&gt;0,1,0))</f>
        <v>0</v>
      </c>
      <c r="AE69" s="39" t="n">
        <f aca="false">IF(AE$4=0,0,IF(COUNTIFS(実績!$W$6:$W$505,AE$3,実績!$AI$6:$AI$505,"&lt;="&amp;$A69,実績!$AJ$6:$AJ$505,"&gt;"&amp;$A69,実績!$AL$6:$AL$505,"○")&gt;0,1,0))</f>
        <v>0</v>
      </c>
      <c r="AF69" s="39" t="n">
        <f aca="false">IF(AF$4=0,0,IF(COUNTIFS(実績!$W$6:$W$505,AF$3,実績!$AI$6:$AI$505,"&lt;="&amp;$A69,実績!$AJ$6:$AJ$505,"&gt;"&amp;$A69,実績!$AL$6:$AL$505,"○")&gt;0,1,0))</f>
        <v>0</v>
      </c>
      <c r="AG69" s="39" t="n">
        <f aca="false">IF(AG$4=0,0,IF(COUNTIFS(実績!$W$6:$W$505,AG$3,実績!$AI$6:$AI$505,"&lt;="&amp;$A69,実績!$AJ$6:$AJ$505,"&gt;"&amp;$A69,実績!$AL$6:$AL$505,"○")&gt;0,1,0))</f>
        <v>0</v>
      </c>
      <c r="AH69" s="39" t="n">
        <f aca="false">IF(AH$4=0,0,IF(COUNTIFS(実績!$W$6:$W$505,AH$3,実績!$AI$6:$AI$505,"&lt;="&amp;$A69,実績!$AJ$6:$AJ$505,"&gt;"&amp;$A69,実績!$AL$6:$AL$505,"○")&gt;0,1,0))</f>
        <v>0</v>
      </c>
      <c r="AI69" s="39" t="n">
        <f aca="false">IF(AI$4=0,0,IF(COUNTIFS(実績!$W$6:$W$505,AI$3,実績!$AI$6:$AI$505,"&lt;="&amp;$A69,実績!$AJ$6:$AJ$505,"&gt;"&amp;$A69,実績!$AL$6:$AL$505,"○")&gt;0,1,0))</f>
        <v>0</v>
      </c>
      <c r="AJ69" s="39" t="n">
        <f aca="false">IF(AJ$4=0,0,IF(COUNTIFS(実績!$W$6:$W$505,AJ$3,実績!$AI$6:$AI$505,"&lt;="&amp;$A69,実績!$AJ$6:$AJ$505,"&gt;"&amp;$A69,実績!$AL$6:$AL$505,"○")&gt;0,1,0))</f>
        <v>0</v>
      </c>
      <c r="AK69" s="39" t="n">
        <f aca="false">IF(AK$4=0,0,IF(COUNTIFS(実績!$W$6:$W$505,AK$3,実績!$AI$6:$AI$505,"&lt;="&amp;$A69,実績!$AJ$6:$AJ$505,"&gt;"&amp;$A69,実績!$AL$6:$AL$505,"○")&gt;0,1,0))</f>
        <v>0</v>
      </c>
      <c r="AL69" s="39" t="n">
        <f aca="false">IF(AL$4=0,0,IF(COUNTIFS(実績!$W$6:$W$505,AL$3,実績!$AI$6:$AI$505,"&lt;="&amp;$A69,実績!$AJ$6:$AJ$505,"&gt;"&amp;$A69,実績!$AL$6:$AL$505,"○")&gt;0,1,0))</f>
        <v>0</v>
      </c>
      <c r="AM69" s="39" t="n">
        <f aca="false">IF(AM$4=0,0,IF(COUNTIFS(実績!$W$6:$W$505,AM$3,実績!$AI$6:$AI$505,"&lt;="&amp;$A69,実績!$AJ$6:$AJ$505,"&gt;"&amp;$A69,実績!$AL$6:$AL$505,"○")&gt;0,1,0))</f>
        <v>0</v>
      </c>
      <c r="AN69" s="39" t="n">
        <f aca="false">IF(AN$4=0,0,IF(COUNTIFS(実績!$W$6:$W$505,AN$3,実績!$AI$6:$AI$505,"&lt;="&amp;$A69,実績!$AJ$6:$AJ$505,"&gt;"&amp;$A69,実績!$AL$6:$AL$505,"○")&gt;0,1,0))</f>
        <v>0</v>
      </c>
      <c r="AO69" s="39" t="n">
        <f aca="false">IF(AO$4=0,0,IF(COUNTIFS(実績!$W$6:$W$505,AO$3,実績!$AI$6:$AI$505,"&lt;="&amp;$A69,実績!$AJ$6:$AJ$505,"&gt;"&amp;$A69,実績!$AL$6:$AL$505,"○")&gt;0,1,0))</f>
        <v>0</v>
      </c>
      <c r="AP69" s="39" t="n">
        <f aca="false">IF(AP$4=0,0,IF(COUNTIFS(実績!$W$6:$W$505,AP$3,実績!$AI$6:$AI$505,"&lt;="&amp;$A69,実績!$AJ$6:$AJ$505,"&gt;"&amp;$A69,実績!$AL$6:$AL$505,"○")&gt;0,1,0))</f>
        <v>0</v>
      </c>
      <c r="AQ69" s="39" t="n">
        <f aca="false">IF(AQ$4=0,0,IF(COUNTIFS(実績!$W$6:$W$505,AQ$3,実績!$AI$6:$AI$505,"&lt;="&amp;$A69,実績!$AJ$6:$AJ$505,"&gt;"&amp;$A69,実績!$AL$6:$AL$505,"○")&gt;0,1,0))</f>
        <v>0</v>
      </c>
      <c r="AR69" s="39" t="n">
        <f aca="false">IF(AR$4=0,0,IF(COUNTIFS(実績!$W$6:$W$505,AR$3,実績!$AI$6:$AI$505,"&lt;="&amp;$A69,実績!$AJ$6:$AJ$505,"&gt;"&amp;$A69,実績!$AL$6:$AL$505,"○")&gt;0,1,0))</f>
        <v>0</v>
      </c>
      <c r="AS69" s="39" t="n">
        <f aca="false">IF(AS$4=0,0,IF(COUNTIFS(実績!$W$6:$W$505,AS$3,実績!$AI$6:$AI$505,"&lt;="&amp;$A69,実績!$AJ$6:$AJ$505,"&gt;"&amp;$A69,実績!$AL$6:$AL$505,"○")&gt;0,1,0))</f>
        <v>0</v>
      </c>
      <c r="AT69" s="39" t="n">
        <f aca="false">IF(AT$4=0,0,IF(COUNTIFS(実績!$W$6:$W$505,AT$3,実績!$AI$6:$AI$505,"&lt;="&amp;$A69,実績!$AJ$6:$AJ$505,"&gt;"&amp;$A69,実績!$AL$6:$AL$505,"○")&gt;0,1,0))</f>
        <v>0</v>
      </c>
      <c r="AU69" s="39" t="n">
        <f aca="false">IF(AU$4=0,0,IF(COUNTIFS(実績!$W$6:$W$505,AU$3,実績!$AI$6:$AI$505,"&lt;="&amp;$A69,実績!$AJ$6:$AJ$505,"&gt;"&amp;$A69,実績!$AL$6:$AL$505,"○")&gt;0,1,0))</f>
        <v>0</v>
      </c>
      <c r="AV69" s="39" t="n">
        <f aca="false">IF(AV$4=0,0,IF(COUNTIFS(実績!$W$6:$W$505,AV$3,実績!$AI$6:$AI$505,"&lt;="&amp;$A69,実績!$AJ$6:$AJ$505,"&gt;"&amp;$A69,実績!$AL$6:$AL$505,"○")&gt;0,1,0))</f>
        <v>0</v>
      </c>
      <c r="AW69" s="39" t="n">
        <f aca="false">IF(AW$4=0,0,IF(COUNTIFS(実績!$W$6:$W$505,AW$3,実績!$AI$6:$AI$505,"&lt;="&amp;$A69,実績!$AJ$6:$AJ$505,"&gt;"&amp;$A69,実績!$AL$6:$AL$505,"○")&gt;0,1,0))</f>
        <v>0</v>
      </c>
      <c r="AX69" s="39" t="n">
        <f aca="false">IF(AX$4=0,0,IF(COUNTIFS(実績!$W$6:$W$505,AX$3,実績!$AI$6:$AI$505,"&lt;="&amp;$A69,実績!$AJ$6:$AJ$505,"&gt;"&amp;$A69,実績!$AL$6:$AL$505,"○")&gt;0,1,0))</f>
        <v>0</v>
      </c>
      <c r="AY69" s="39" t="n">
        <f aca="false">IF(AY$4=0,0,IF(COUNTIFS(実績!$W$6:$W$505,AY$3,実績!$AI$6:$AI$505,"&lt;="&amp;$A69,実績!$AJ$6:$AJ$505,"&gt;"&amp;$A69,実績!$AL$6:$AL$505,"○")&gt;0,1,0))</f>
        <v>0</v>
      </c>
      <c r="AZ69" s="39" t="n">
        <f aca="false">IF(AZ$4=0,0,IF(COUNTIFS(実績!$W$6:$W$505,AZ$3,実績!$AI$6:$AI$505,"&lt;="&amp;$A69,実績!$AJ$6:$AJ$505,"&gt;"&amp;$A69,実績!$AL$6:$AL$505,"○")&gt;0,1,0))</f>
        <v>0</v>
      </c>
      <c r="BA69" s="39" t="n">
        <f aca="false">IF(BA$4=0,0,IF(COUNTIFS(実績!$W$6:$W$505,BA$3,実績!$AI$6:$AI$505,"&lt;="&amp;$A69,実績!$AJ$6:$AJ$505,"&gt;"&amp;$A69,実績!$AL$6:$AL$505,"○")&gt;0,1,0))</f>
        <v>0</v>
      </c>
      <c r="BB69" s="39" t="n">
        <f aca="false">IF(BB$4=0,0,IF(COUNTIFS(実績!$W$6:$W$505,BB$3,実績!$AI$6:$AI$505,"&lt;="&amp;$A69,実績!$AJ$6:$AJ$505,"&gt;"&amp;$A69,実績!$AL$6:$AL$505,"○")&gt;0,1,0))</f>
        <v>0</v>
      </c>
      <c r="BC69" s="39" t="n">
        <f aca="false">IF(BC$4=0,0,IF(COUNTIFS(実績!$W$6:$W$505,BC$3,実績!$AI$6:$AI$505,"&lt;="&amp;$A69,実績!$AJ$6:$AJ$505,"&gt;"&amp;$A69,実績!$AL$6:$AL$505,"○")&gt;0,1,0))</f>
        <v>0</v>
      </c>
      <c r="BD69" s="39" t="n">
        <f aca="false">IF(BD$4=0,0,IF(COUNTIFS(実績!$W$6:$W$505,BD$3,実績!$AI$6:$AI$505,"&lt;="&amp;$A69,実績!$AJ$6:$AJ$505,"&gt;"&amp;$A69,実績!$AL$6:$AL$505,"○")&gt;0,1,0))</f>
        <v>0</v>
      </c>
      <c r="BE69" s="39" t="n">
        <f aca="false">IF(BE$4=0,0,IF(COUNTIFS(実績!$W$6:$W$505,BE$3,実績!$AI$6:$AI$505,"&lt;="&amp;$A69,実績!$AJ$6:$AJ$505,"&gt;"&amp;$A69,実績!$AL$6:$AL$505,"○")&gt;0,1,0))</f>
        <v>0</v>
      </c>
      <c r="BF69" s="39" t="n">
        <f aca="false">IF(BF$4=0,0,IF(COUNTIFS(実績!$W$6:$W$505,BF$3,実績!$AI$6:$AI$505,"&lt;="&amp;$A69,実績!$AJ$6:$AJ$505,"&gt;"&amp;$A69,実績!$AL$6:$AL$505,"○")&gt;0,1,0))</f>
        <v>0</v>
      </c>
      <c r="BG69" s="39" t="n">
        <f aca="false">IF(BG$4=0,0,IF(COUNTIFS(実績!$W$6:$W$505,BG$3,実績!$AI$6:$AI$505,"&lt;="&amp;$A69,実績!$AJ$6:$AJ$505,"&gt;"&amp;$A69,実績!$AL$6:$AL$505,"○")&gt;0,1,0))</f>
        <v>0</v>
      </c>
      <c r="BH69" s="39" t="n">
        <f aca="false">IF(BH$4=0,0,IF(COUNTIFS(実績!$W$6:$W$505,BH$3,実績!$AI$6:$AI$505,"&lt;="&amp;$A69,実績!$AJ$6:$AJ$505,"&gt;"&amp;$A69,実績!$AL$6:$AL$505,"○")&gt;0,1,0))</f>
        <v>0</v>
      </c>
      <c r="BI69" s="39" t="n">
        <f aca="false">IF(BI$4=0,0,IF(COUNTIFS(実績!$W$6:$W$505,BI$3,実績!$AI$6:$AI$505,"&lt;="&amp;$A69,実績!$AJ$6:$AJ$505,"&gt;"&amp;$A69,実績!$AL$6:$AL$505,"○")&gt;0,1,0))</f>
        <v>0</v>
      </c>
      <c r="BJ69" s="39" t="n">
        <f aca="false">IF(BJ$4=0,0,IF(COUNTIFS(実績!$W$6:$W$505,BJ$3,実績!$AI$6:$AI$505,"&lt;="&amp;$A69,実績!$AJ$6:$AJ$505,"&gt;"&amp;$A69,実績!$AL$6:$AL$505,"○")&gt;0,1,0))</f>
        <v>0</v>
      </c>
      <c r="BK69" s="39" t="n">
        <f aca="false">IF(BK$4=0,0,IF(COUNTIFS(実績!$W$6:$W$505,BK$3,実績!$AI$6:$AI$505,"&lt;="&amp;$A69,実績!$AJ$6:$AJ$505,"&gt;"&amp;$A69,実績!$AL$6:$AL$505,"○")&gt;0,1,0))</f>
        <v>0</v>
      </c>
      <c r="BL69" s="39" t="n">
        <f aca="false">IF(BL$4=0,0,IF(COUNTIFS(実績!$W$6:$W$505,BL$3,実績!$AI$6:$AI$505,"&lt;="&amp;$A69,実績!$AJ$6:$AJ$505,"&gt;"&amp;$A69,実績!$AL$6:$AL$505,"○")&gt;0,1,0))</f>
        <v>0</v>
      </c>
      <c r="BM69" s="39" t="n">
        <f aca="false">IF(BM$4=0,0,IF(COUNTIFS(実績!$W$6:$W$505,BM$3,実績!$AI$6:$AI$505,"&lt;="&amp;$A69,実績!$AJ$6:$AJ$505,"&gt;"&amp;$A69,実績!$AL$6:$AL$505,"○")&gt;0,1,0))</f>
        <v>0</v>
      </c>
      <c r="BN69" s="39" t="n">
        <f aca="false">IF(BN$4=0,0,IF(COUNTIFS(実績!$W$6:$W$505,BN$3,実績!$AI$6:$AI$505,"&lt;="&amp;$A69,実績!$AJ$6:$AJ$505,"&gt;"&amp;$A69,実績!$AL$6:$AL$505,"○")&gt;0,1,0))</f>
        <v>0</v>
      </c>
      <c r="BO69" s="39" t="n">
        <f aca="false">IF(BO$4=0,0,IF(COUNTIFS(実績!$W$6:$W$505,BO$3,実績!$AI$6:$AI$505,"&lt;="&amp;$A69,実績!$AJ$6:$AJ$505,"&gt;"&amp;$A69,実績!$AL$6:$AL$505,"○")&gt;0,1,0))</f>
        <v>0</v>
      </c>
      <c r="BP69" s="39" t="n">
        <f aca="false">IF(BP$4=0,0,IF(COUNTIFS(実績!$W$6:$W$505,BP$3,実績!$AI$6:$AI$505,"&lt;="&amp;$A69,実績!$AJ$6:$AJ$505,"&gt;"&amp;$A69,実績!$AL$6:$AL$505,"○")&gt;0,1,0))</f>
        <v>0</v>
      </c>
      <c r="BQ69" s="39" t="n">
        <f aca="false">IF(BQ$4=0,0,IF(COUNTIFS(実績!$W$6:$W$505,BQ$3,実績!$AI$6:$AI$505,"&lt;="&amp;$A69,実績!$AJ$6:$AJ$505,"&gt;"&amp;$A69,実績!$AL$6:$AL$505,"○")&gt;0,1,0))</f>
        <v>0</v>
      </c>
      <c r="BR69" s="39" t="n">
        <f aca="false">IF(BR$4=0,0,IF(COUNTIFS(実績!$W$6:$W$505,BR$3,実績!$AI$6:$AI$505,"&lt;="&amp;$A69,実績!$AJ$6:$AJ$505,"&gt;"&amp;$A69,実績!$AL$6:$AL$505,"○")&gt;0,1,0))</f>
        <v>0</v>
      </c>
      <c r="BS69" s="39" t="n">
        <f aca="false">IF(BS$4=0,0,IF(COUNTIFS(実績!$W$6:$W$505,BS$3,実績!$AI$6:$AI$505,"&lt;="&amp;$A69,実績!$AJ$6:$AJ$505,"&gt;"&amp;$A69,実績!$AL$6:$AL$505,"○")&gt;0,1,0))</f>
        <v>0</v>
      </c>
      <c r="BT69" s="39" t="n">
        <f aca="false">IF(BT$4=0,0,IF(COUNTIFS(実績!$W$6:$W$505,BT$3,実績!$AI$6:$AI$505,"&lt;="&amp;$A69,実績!$AJ$6:$AJ$505,"&gt;"&amp;$A69,実績!$AL$6:$AL$505,"○")&gt;0,1,0))</f>
        <v>0</v>
      </c>
      <c r="BU69" s="39" t="n">
        <f aca="false">IF(BU$4=0,0,IF(COUNTIFS(実績!$W$6:$W$505,BU$3,実績!$AI$6:$AI$505,"&lt;="&amp;$A69,実績!$AJ$6:$AJ$505,"&gt;"&amp;$A69,実績!$AL$6:$AL$505,"○")&gt;0,1,0))</f>
        <v>0</v>
      </c>
      <c r="BV69" s="39" t="n">
        <f aca="false">IF(BV$4=0,0,IF(COUNTIFS(実績!$W$6:$W$505,BV$3,実績!$AI$6:$AI$505,"&lt;="&amp;$A69,実績!$AJ$6:$AJ$505,"&gt;"&amp;$A69,実績!$AL$6:$AL$505,"○")&gt;0,1,0))</f>
        <v>0</v>
      </c>
      <c r="BW69" s="39" t="n">
        <f aca="false">IF(BW$4=0,0,IF(COUNTIFS(実績!$W$6:$W$505,BW$3,実績!$AI$6:$AI$505,"&lt;="&amp;$A69,実績!$AJ$6:$AJ$505,"&gt;"&amp;$A69,実績!$AL$6:$AL$505,"○")&gt;0,1,0))</f>
        <v>0</v>
      </c>
      <c r="BX69" s="39" t="n">
        <f aca="false">IF(BX$4=0,0,IF(COUNTIFS(実績!$W$6:$W$505,BX$3,実績!$AI$6:$AI$505,"&lt;="&amp;$A69,実績!$AJ$6:$AJ$505,"&gt;"&amp;$A69,実績!$AL$6:$AL$505,"○")&gt;0,1,0))</f>
        <v>0</v>
      </c>
      <c r="BY69" s="39" t="n">
        <f aca="false">IF(BY$4=0,0,IF(COUNTIFS(実績!$W$6:$W$505,BY$3,実績!$AI$6:$AI$505,"&lt;="&amp;$A69,実績!$AJ$6:$AJ$505,"&gt;"&amp;$A69,実績!$AL$6:$AL$505,"○")&gt;0,1,0))</f>
        <v>0</v>
      </c>
      <c r="BZ69" s="39" t="n">
        <f aca="false">IF(BZ$4=0,0,IF(COUNTIFS(実績!$W$6:$W$505,BZ$3,実績!$AI$6:$AI$505,"&lt;="&amp;$A69,実績!$AJ$6:$AJ$505,"&gt;"&amp;$A69,実績!$AL$6:$AL$505,"○")&gt;0,1,0))</f>
        <v>0</v>
      </c>
      <c r="CA69" s="39" t="n">
        <f aca="false">IF(CA$4=0,0,IF(COUNTIFS(実績!$W$6:$W$505,CA$3,実績!$AI$6:$AI$505,"&lt;="&amp;$A69,実績!$AJ$6:$AJ$505,"&gt;"&amp;$A69,実績!$AL$6:$AL$505,"○")&gt;0,1,0))</f>
        <v>0</v>
      </c>
      <c r="CB69" s="39" t="n">
        <f aca="false">IF(CB$4=0,0,IF(COUNTIFS(実績!$W$6:$W$505,CB$3,実績!$AI$6:$AI$505,"&lt;="&amp;$A69,実績!$AJ$6:$AJ$505,"&gt;"&amp;$A69,実績!$AL$6:$AL$505,"○")&gt;0,1,0))</f>
        <v>0</v>
      </c>
      <c r="CC69" s="39" t="n">
        <f aca="false">IF(CC$4=0,0,IF(COUNTIFS(実績!$W$6:$W$505,CC$3,実績!$AI$6:$AI$505,"&lt;="&amp;$A69,実績!$AJ$6:$AJ$505,"&gt;"&amp;$A69,実績!$AL$6:$AL$505,"○")&gt;0,1,0))</f>
        <v>0</v>
      </c>
      <c r="CD69" s="39" t="n">
        <f aca="false">IF(CD$4=0,0,IF(COUNTIFS(実績!$W$6:$W$505,CD$3,実績!$AI$6:$AI$505,"&lt;="&amp;$A69,実績!$AJ$6:$AJ$505,"&gt;"&amp;$A69,実績!$AL$6:$AL$505,"○")&gt;0,1,0))</f>
        <v>0</v>
      </c>
      <c r="CE69" s="39" t="n">
        <f aca="false">IF(CE$4=0,0,IF(COUNTIFS(実績!$W$6:$W$505,CE$3,実績!$AI$6:$AI$505,"&lt;="&amp;$A69,実績!$AJ$6:$AJ$505,"&gt;"&amp;$A69,実績!$AL$6:$AL$505,"○")&gt;0,1,0))</f>
        <v>0</v>
      </c>
      <c r="CF69" s="39" t="n">
        <f aca="false">IF(CF$4=0,0,IF(COUNTIFS(実績!$W$6:$W$505,CF$3,実績!$AI$6:$AI$505,"&lt;="&amp;$A69,実績!$AJ$6:$AJ$505,"&gt;"&amp;$A69,実績!$AL$6:$AL$505,"○")&gt;0,1,0))</f>
        <v>0</v>
      </c>
      <c r="CG69" s="39" t="n">
        <f aca="false">IF(CG$4=0,0,IF(COUNTIFS(実績!$W$6:$W$505,CG$3,実績!$AI$6:$AI$505,"&lt;="&amp;$A69,実績!$AJ$6:$AJ$505,"&gt;"&amp;$A69,実績!$AL$6:$AL$505,"○")&gt;0,1,0))</f>
        <v>0</v>
      </c>
      <c r="CH69" s="39" t="n">
        <f aca="false">IF(CH$4=0,0,IF(COUNTIFS(実績!$W$6:$W$505,CH$3,実績!$AI$6:$AI$505,"&lt;="&amp;$A69,実績!$AJ$6:$AJ$505,"&gt;"&amp;$A69,実績!$AL$6:$AL$505,"○")&gt;0,1,0))</f>
        <v>0</v>
      </c>
      <c r="CI69" s="39" t="n">
        <f aca="false">IF(CI$4=0,0,IF(COUNTIFS(実績!$W$6:$W$505,CI$3,実績!$AI$6:$AI$505,"&lt;="&amp;$A69,実績!$AJ$6:$AJ$505,"&gt;"&amp;$A69,実績!$AL$6:$AL$505,"○")&gt;0,1,0))</f>
        <v>0</v>
      </c>
      <c r="CJ69" s="39" t="n">
        <f aca="false">IF(CJ$4=0,0,IF(COUNTIFS(実績!$W$6:$W$505,CJ$3,実績!$AI$6:$AI$505,"&lt;="&amp;$A69,実績!$AJ$6:$AJ$505,"&gt;"&amp;$A69,実績!$AL$6:$AL$505,"○")&gt;0,1,0))</f>
        <v>0</v>
      </c>
      <c r="CK69" s="39" t="n">
        <f aca="false">IF(CK$4=0,0,IF(COUNTIFS(実績!$W$6:$W$505,CK$3,実績!$AI$6:$AI$505,"&lt;="&amp;$A69,実績!$AJ$6:$AJ$505,"&gt;"&amp;$A69,実績!$AL$6:$AL$505,"○")&gt;0,1,0))</f>
        <v>0</v>
      </c>
      <c r="CL69" s="39" t="n">
        <f aca="false">IF(CL$4=0,0,IF(COUNTIFS(実績!$W$6:$W$505,CL$3,実績!$AI$6:$AI$505,"&lt;="&amp;$A69,実績!$AJ$6:$AJ$505,"&gt;"&amp;$A69,実績!$AL$6:$AL$505,"○")&gt;0,1,0))</f>
        <v>0</v>
      </c>
      <c r="CM69" s="39" t="n">
        <f aca="false">IF(CM$4=0,0,IF(COUNTIFS(実績!$W$6:$W$505,CM$3,実績!$AI$6:$AI$505,"&lt;="&amp;$A69,実績!$AJ$6:$AJ$505,"&gt;"&amp;$A69,実績!$AL$6:$AL$505,"○")&gt;0,1,0))</f>
        <v>0</v>
      </c>
      <c r="CN69" s="39" t="n">
        <f aca="false">IF(CN$4=0,0,IF(COUNTIFS(実績!$W$6:$W$505,CN$3,実績!$AI$6:$AI$505,"&lt;="&amp;$A69,実績!$AJ$6:$AJ$505,"&gt;"&amp;$A69,実績!$AL$6:$AL$505,"○")&gt;0,1,0))</f>
        <v>0</v>
      </c>
      <c r="CO69" s="39" t="n">
        <f aca="false">IF(CO$4=0,0,IF(COUNTIFS(実績!$W$6:$W$505,CO$3,実績!$AI$6:$AI$505,"&lt;="&amp;$A69,実績!$AJ$6:$AJ$505,"&gt;"&amp;$A69,実績!$AL$6:$AL$505,"○")&gt;0,1,0))</f>
        <v>0</v>
      </c>
      <c r="CP69" s="39" t="n">
        <f aca="false">IF(CP$4=0,0,IF(COUNTIFS(実績!$W$6:$W$505,CP$3,実績!$AI$6:$AI$505,"&lt;="&amp;$A69,実績!$AJ$6:$AJ$505,"&gt;"&amp;$A69,実績!$AL$6:$AL$505,"○")&gt;0,1,0))</f>
        <v>0</v>
      </c>
      <c r="CQ69" s="39" t="n">
        <f aca="false">IF(CQ$4=0,0,IF(COUNTIFS(実績!$W$6:$W$505,CQ$3,実績!$AI$6:$AI$505,"&lt;="&amp;$A69,実績!$AJ$6:$AJ$505,"&gt;"&amp;$A69,実績!$AL$6:$AL$505,"○")&gt;0,1,0))</f>
        <v>0</v>
      </c>
      <c r="CR69" s="39" t="n">
        <f aca="false">IF(CR$4=0,0,IF(COUNTIFS(実績!$W$6:$W$505,CR$3,実績!$AI$6:$AI$505,"&lt;="&amp;$A69,実績!$AJ$6:$AJ$505,"&gt;"&amp;$A69,実績!$AL$6:$AL$505,"○")&gt;0,1,0))</f>
        <v>0</v>
      </c>
      <c r="CS69" s="39" t="n">
        <f aca="false">IF(CS$4=0,0,IF(COUNTIFS(実績!$W$6:$W$505,CS$3,実績!$AI$6:$AI$505,"&lt;="&amp;$A69,実績!$AJ$6:$AJ$505,"&gt;"&amp;$A69,実績!$AL$6:$AL$505,"○")&gt;0,1,0))</f>
        <v>0</v>
      </c>
      <c r="CT69" s="39" t="n">
        <f aca="false">IF(CT$4=0,0,IF(COUNTIFS(実績!$W$6:$W$505,CT$3,実績!$AI$6:$AI$505,"&lt;="&amp;$A69,実績!$AJ$6:$AJ$505,"&gt;"&amp;$A69,実績!$AL$6:$AL$505,"○")&gt;0,1,0))</f>
        <v>0</v>
      </c>
      <c r="CU69" s="39" t="n">
        <f aca="false">IF(CU$4=0,0,IF(COUNTIFS(実績!$W$6:$W$505,CU$3,実績!$AI$6:$AI$505,"&lt;="&amp;$A69,実績!$AJ$6:$AJ$505,"&gt;"&amp;$A69,実績!$AL$6:$AL$505,"○")&gt;0,1,0))</f>
        <v>0</v>
      </c>
      <c r="CV69" s="39" t="n">
        <f aca="false">IF(CV$4=0,0,IF(COUNTIFS(実績!$W$6:$W$505,CV$3,実績!$AI$6:$AI$505,"&lt;="&amp;$A69,実績!$AJ$6:$AJ$505,"&gt;"&amp;$A69,実績!$AL$6:$AL$505,"○")&gt;0,1,0))</f>
        <v>0</v>
      </c>
      <c r="CW69" s="39" t="n">
        <f aca="false">IF(CW$4=0,0,IF(COUNTIFS(実績!$W$6:$W$505,CW$3,実績!$AI$6:$AI$505,"&lt;="&amp;$A69,実績!$AJ$6:$AJ$505,"&gt;"&amp;$A69,実績!$AL$6:$AL$505,"○")&gt;0,1,0))</f>
        <v>0</v>
      </c>
      <c r="CX69" s="39" t="n">
        <f aca="false">IF(CX$4=0,0,IF(COUNTIFS(実績!$W$6:$W$505,CX$3,実績!$AI$6:$AI$505,"&lt;="&amp;$A69,実績!$AJ$6:$AJ$505,"&gt;"&amp;$A69,実績!$AL$6:$AL$505,"○")&gt;0,1,0))</f>
        <v>0</v>
      </c>
      <c r="CY69" s="39" t="n">
        <f aca="false">IF(CY$4=0,0,IF(COUNTIFS(実績!$W$6:$W$505,CY$3,実績!$AI$6:$AI$505,"&lt;="&amp;$A69,実績!$AJ$6:$AJ$505,"&gt;"&amp;$A69,実績!$AL$6:$AL$505,"○")&gt;0,1,0))</f>
        <v>0</v>
      </c>
      <c r="CZ69" s="39" t="n">
        <f aca="false">IF(CZ$4=0,0,IF(COUNTIFS(実績!$W$6:$W$505,CZ$3,実績!$AI$6:$AI$505,"&lt;="&amp;$A69,実績!$AJ$6:$AJ$505,"&gt;"&amp;$A69,実績!$AL$6:$AL$505,"○")&gt;0,1,0))</f>
        <v>0</v>
      </c>
      <c r="DA69" s="39" t="n">
        <f aca="false">IF(DA$4=0,0,IF(COUNTIFS(実績!$W$6:$W$505,DA$3,実績!$AI$6:$AI$505,"&lt;="&amp;$A69,実績!$AJ$6:$AJ$505,"&gt;"&amp;$A69,実績!$AL$6:$AL$505,"○")&gt;0,1,0))</f>
        <v>0</v>
      </c>
      <c r="DB69" s="39" t="n">
        <f aca="false">IF(DB$4=0,0,IF(COUNTIFS(実績!$W$6:$W$505,DB$3,実績!$AI$6:$AI$505,"&lt;="&amp;$A69,実績!$AJ$6:$AJ$505,"&gt;"&amp;$A69,実績!$AL$6:$AL$505,"○")&gt;0,1,0))</f>
        <v>0</v>
      </c>
      <c r="DC69" s="39" t="n">
        <f aca="false">IF(DC$4=0,0,IF(COUNTIFS(実績!$W$6:$W$505,DC$3,実績!$AI$6:$AI$505,"&lt;="&amp;$A69,実績!$AJ$6:$AJ$505,"&gt;"&amp;$A69,実績!$AL$6:$AL$505,"○")&gt;0,1,0))</f>
        <v>0</v>
      </c>
      <c r="DD69" s="39" t="n">
        <f aca="false">IF(DD$4=0,0,IF(COUNTIFS(実績!$W$6:$W$505,DD$3,実績!$AI$6:$AI$505,"&lt;="&amp;$A69,実績!$AJ$6:$AJ$505,"&gt;"&amp;$A69,実績!$AL$6:$AL$505,"○")&gt;0,1,0))</f>
        <v>0</v>
      </c>
      <c r="DE69" s="39" t="n">
        <f aca="false">IF(DE$4=0,0,IF(COUNTIFS(実績!$W$6:$W$505,DE$3,実績!$AI$6:$AI$505,"&lt;="&amp;$A69,実績!$AJ$6:$AJ$505,"&gt;"&amp;$A69,実績!$AL$6:$AL$505,"○")&gt;0,1,0))</f>
        <v>0</v>
      </c>
      <c r="DF69" s="39" t="n">
        <f aca="false">IF(DF$4=0,0,IF(COUNTIFS(実績!$W$6:$W$505,DF$3,実績!$AI$6:$AI$505,"&lt;="&amp;$A69,実績!$AJ$6:$AJ$505,"&gt;"&amp;$A69,実績!$AL$6:$AL$505,"○")&gt;0,1,0))</f>
        <v>0</v>
      </c>
      <c r="DG69" s="39" t="n">
        <f aca="false">IF(DG$4=0,0,IF(COUNTIFS(実績!$W$6:$W$505,DG$3,実績!$AI$6:$AI$505,"&lt;="&amp;$A69,実績!$AJ$6:$AJ$505,"&gt;"&amp;$A69,実績!$AL$6:$AL$505,"○")&gt;0,1,0))</f>
        <v>0</v>
      </c>
      <c r="DH69" s="39" t="n">
        <f aca="false">IF(DH$4=0,0,IF(COUNTIFS(実績!$W$6:$W$505,DH$3,実績!$AI$6:$AI$505,"&lt;="&amp;$A69,実績!$AJ$6:$AJ$505,"&gt;"&amp;$A69,実績!$AL$6:$AL$505,"○")&gt;0,1,0))</f>
        <v>0</v>
      </c>
      <c r="DI69" s="39" t="n">
        <f aca="false">IF(DI$4=0,0,IF(COUNTIFS(実績!$W$6:$W$505,DI$3,実績!$AI$6:$AI$505,"&lt;="&amp;$A69,実績!$AJ$6:$AJ$505,"&gt;"&amp;$A69,実績!$AL$6:$AL$505,"○")&gt;0,1,0))</f>
        <v>0</v>
      </c>
      <c r="DJ69" s="39" t="n">
        <f aca="false">IF(DJ$4=0,0,IF(COUNTIFS(実績!$W$6:$W$505,DJ$3,実績!$AI$6:$AI$505,"&lt;="&amp;$A69,実績!$AJ$6:$AJ$505,"&gt;"&amp;$A69,実績!$AL$6:$AL$505,"○")&gt;0,1,0))</f>
        <v>0</v>
      </c>
      <c r="DK69" s="39" t="n">
        <f aca="false">IF(DK$4=0,0,IF(COUNTIFS(実績!$W$6:$W$505,DK$3,実績!$AI$6:$AI$505,"&lt;="&amp;$A69,実績!$AJ$6:$AJ$505,"&gt;"&amp;$A69,実績!$AL$6:$AL$505,"○")&gt;0,1,0))</f>
        <v>0</v>
      </c>
      <c r="DL69" s="39" t="n">
        <f aca="false">IF(DL$4=0,0,IF(COUNTIFS(実績!$W$6:$W$505,DL$3,実績!$AI$6:$AI$505,"&lt;="&amp;$A69,実績!$AJ$6:$AJ$505,"&gt;"&amp;$A69,実績!$AL$6:$AL$505,"○")&gt;0,1,0))</f>
        <v>0</v>
      </c>
      <c r="DM69" s="39" t="n">
        <f aca="false">IF(DM$4=0,0,IF(COUNTIFS(実績!$W$6:$W$505,DM$3,実績!$AI$6:$AI$505,"&lt;="&amp;$A69,実績!$AJ$6:$AJ$505,"&gt;"&amp;$A69,実績!$AL$6:$AL$505,"○")&gt;0,1,0))</f>
        <v>0</v>
      </c>
      <c r="DN69" s="39" t="n">
        <f aca="false">IF(DN$4=0,0,IF(COUNTIFS(実績!$W$6:$W$505,DN$3,実績!$AI$6:$AI$505,"&lt;="&amp;$A69,実績!$AJ$6:$AJ$505,"&gt;"&amp;$A69,実績!$AL$6:$AL$505,"○")&gt;0,1,0))</f>
        <v>0</v>
      </c>
      <c r="DO69" s="39" t="n">
        <f aca="false">IF(DO$4=0,0,IF(COUNTIFS(実績!$W$6:$W$505,DO$3,実績!$AI$6:$AI$505,"&lt;="&amp;$A69,実績!$AJ$6:$AJ$505,"&gt;"&amp;$A69,実績!$AL$6:$AL$505,"○")&gt;0,1,0))</f>
        <v>0</v>
      </c>
      <c r="DP69" s="39" t="n">
        <f aca="false">IF(DP$4=0,0,IF(COUNTIFS(実績!$W$6:$W$505,DP$3,実績!$AI$6:$AI$505,"&lt;="&amp;$A69,実績!$AJ$6:$AJ$505,"&gt;"&amp;$A69,実績!$AL$6:$AL$505,"○")&gt;0,1,0))</f>
        <v>0</v>
      </c>
      <c r="DQ69" s="39" t="n">
        <f aca="false">IF(DQ$4=0,0,IF(COUNTIFS(実績!$W$6:$W$505,DQ$3,実績!$AI$6:$AI$505,"&lt;="&amp;$A69,実績!$AJ$6:$AJ$505,"&gt;"&amp;$A69,実績!$AL$6:$AL$505,"○")&gt;0,1,0))</f>
        <v>0</v>
      </c>
      <c r="DR69" s="39" t="n">
        <f aca="false">IF(DR$4=0,0,IF(COUNTIFS(実績!$W$6:$W$505,DR$3,実績!$AI$6:$AI$505,"&lt;="&amp;$A69,実績!$AJ$6:$AJ$505,"&gt;"&amp;$A69,実績!$AL$6:$AL$505,"○")&gt;0,1,0))</f>
        <v>0</v>
      </c>
      <c r="DS69" s="39" t="n">
        <f aca="false">SUM(C69:DR69)</f>
        <v>0</v>
      </c>
    </row>
    <row r="70" customFormat="false" ht="15" hidden="false" customHeight="false" outlineLevel="0" collapsed="false">
      <c r="A70" s="0" t="n">
        <v>320</v>
      </c>
      <c r="B70" s="38" t="n">
        <f aca="false">A70/1440</f>
        <v>0.222222222222222</v>
      </c>
      <c r="C70" s="39" t="n">
        <f aca="false">IF(C$4=0,0,IF(COUNTIFS(実績!$W$6:$W$505,C$3,実績!$AI$6:$AI$505,"&lt;="&amp;$A70,実績!$AJ$6:$AJ$505,"&gt;"&amp;$A70,実績!$AL$6:$AL$505,"○")&gt;0,1,0))</f>
        <v>0</v>
      </c>
      <c r="D70" s="39" t="n">
        <f aca="false">IF(D$4=0,0,IF(COUNTIFS(実績!$W$6:$W$505,D$3,実績!$AI$6:$AI$505,"&lt;="&amp;$A70,実績!$AJ$6:$AJ$505,"&gt;"&amp;$A70,実績!$AL$6:$AL$505,"○")&gt;0,1,0))</f>
        <v>0</v>
      </c>
      <c r="E70" s="39" t="n">
        <f aca="false">IF(E$4=0,0,IF(COUNTIFS(実績!$W$6:$W$505,E$3,実績!$AI$6:$AI$505,"&lt;="&amp;$A70,実績!$AJ$6:$AJ$505,"&gt;"&amp;$A70,実績!$AL$6:$AL$505,"○")&gt;0,1,0))</f>
        <v>0</v>
      </c>
      <c r="F70" s="39" t="n">
        <f aca="false">IF(F$4=0,0,IF(COUNTIFS(実績!$W$6:$W$505,F$3,実績!$AI$6:$AI$505,"&lt;="&amp;$A70,実績!$AJ$6:$AJ$505,"&gt;"&amp;$A70,実績!$AL$6:$AL$505,"○")&gt;0,1,0))</f>
        <v>0</v>
      </c>
      <c r="G70" s="39" t="n">
        <f aca="false">IF(G$4=0,0,IF(COUNTIFS(実績!$W$6:$W$505,G$3,実績!$AI$6:$AI$505,"&lt;="&amp;$A70,実績!$AJ$6:$AJ$505,"&gt;"&amp;$A70,実績!$AL$6:$AL$505,"○")&gt;0,1,0))</f>
        <v>0</v>
      </c>
      <c r="H70" s="39" t="n">
        <f aca="false">IF(H$4=0,0,IF(COUNTIFS(実績!$W$6:$W$505,H$3,実績!$AI$6:$AI$505,"&lt;="&amp;$A70,実績!$AJ$6:$AJ$505,"&gt;"&amp;$A70,実績!$AL$6:$AL$505,"○")&gt;0,1,0))</f>
        <v>0</v>
      </c>
      <c r="I70" s="39" t="n">
        <f aca="false">IF(I$4=0,0,IF(COUNTIFS(実績!$W$6:$W$505,I$3,実績!$AI$6:$AI$505,"&lt;="&amp;$A70,実績!$AJ$6:$AJ$505,"&gt;"&amp;$A70,実績!$AL$6:$AL$505,"○")&gt;0,1,0))</f>
        <v>0</v>
      </c>
      <c r="J70" s="39" t="n">
        <f aca="false">IF(J$4=0,0,IF(COUNTIFS(実績!$W$6:$W$505,J$3,実績!$AI$6:$AI$505,"&lt;="&amp;$A70,実績!$AJ$6:$AJ$505,"&gt;"&amp;$A70,実績!$AL$6:$AL$505,"○")&gt;0,1,0))</f>
        <v>0</v>
      </c>
      <c r="K70" s="39" t="n">
        <f aca="false">IF(K$4=0,0,IF(COUNTIFS(実績!$W$6:$W$505,K$3,実績!$AI$6:$AI$505,"&lt;="&amp;$A70,実績!$AJ$6:$AJ$505,"&gt;"&amp;$A70,実績!$AL$6:$AL$505,"○")&gt;0,1,0))</f>
        <v>0</v>
      </c>
      <c r="L70" s="39" t="n">
        <f aca="false">IF(L$4=0,0,IF(COUNTIFS(実績!$W$6:$W$505,L$3,実績!$AI$6:$AI$505,"&lt;="&amp;$A70,実績!$AJ$6:$AJ$505,"&gt;"&amp;$A70,実績!$AL$6:$AL$505,"○")&gt;0,1,0))</f>
        <v>0</v>
      </c>
      <c r="M70" s="39" t="n">
        <f aca="false">IF(M$4=0,0,IF(COUNTIFS(実績!$W$6:$W$505,M$3,実績!$AI$6:$AI$505,"&lt;="&amp;$A70,実績!$AJ$6:$AJ$505,"&gt;"&amp;$A70,実績!$AL$6:$AL$505,"○")&gt;0,1,0))</f>
        <v>0</v>
      </c>
      <c r="N70" s="39" t="n">
        <f aca="false">IF(N$4=0,0,IF(COUNTIFS(実績!$W$6:$W$505,N$3,実績!$AI$6:$AI$505,"&lt;="&amp;$A70,実績!$AJ$6:$AJ$505,"&gt;"&amp;$A70,実績!$AL$6:$AL$505,"○")&gt;0,1,0))</f>
        <v>0</v>
      </c>
      <c r="O70" s="39" t="n">
        <f aca="false">IF(O$4=0,0,IF(COUNTIFS(実績!$W$6:$W$505,O$3,実績!$AI$6:$AI$505,"&lt;="&amp;$A70,実績!$AJ$6:$AJ$505,"&gt;"&amp;$A70,実績!$AL$6:$AL$505,"○")&gt;0,1,0))</f>
        <v>0</v>
      </c>
      <c r="P70" s="39" t="n">
        <f aca="false">IF(P$4=0,0,IF(COUNTIFS(実績!$W$6:$W$505,P$3,実績!$AI$6:$AI$505,"&lt;="&amp;$A70,実績!$AJ$6:$AJ$505,"&gt;"&amp;$A70,実績!$AL$6:$AL$505,"○")&gt;0,1,0))</f>
        <v>0</v>
      </c>
      <c r="Q70" s="39" t="n">
        <f aca="false">IF(Q$4=0,0,IF(COUNTIFS(実績!$W$6:$W$505,Q$3,実績!$AI$6:$AI$505,"&lt;="&amp;$A70,実績!$AJ$6:$AJ$505,"&gt;"&amp;$A70,実績!$AL$6:$AL$505,"○")&gt;0,1,0))</f>
        <v>0</v>
      </c>
      <c r="R70" s="39" t="n">
        <f aca="false">IF(R$4=0,0,IF(COUNTIFS(実績!$W$6:$W$505,R$3,実績!$AI$6:$AI$505,"&lt;="&amp;$A70,実績!$AJ$6:$AJ$505,"&gt;"&amp;$A70,実績!$AL$6:$AL$505,"○")&gt;0,1,0))</f>
        <v>0</v>
      </c>
      <c r="S70" s="39" t="n">
        <f aca="false">IF(S$4=0,0,IF(COUNTIFS(実績!$W$6:$W$505,S$3,実績!$AI$6:$AI$505,"&lt;="&amp;$A70,実績!$AJ$6:$AJ$505,"&gt;"&amp;$A70,実績!$AL$6:$AL$505,"○")&gt;0,1,0))</f>
        <v>0</v>
      </c>
      <c r="T70" s="39" t="n">
        <f aca="false">IF(T$4=0,0,IF(COUNTIFS(実績!$W$6:$W$505,T$3,実績!$AI$6:$AI$505,"&lt;="&amp;$A70,実績!$AJ$6:$AJ$505,"&gt;"&amp;$A70,実績!$AL$6:$AL$505,"○")&gt;0,1,0))</f>
        <v>0</v>
      </c>
      <c r="U70" s="39" t="n">
        <f aca="false">IF(U$4=0,0,IF(COUNTIFS(実績!$W$6:$W$505,U$3,実績!$AI$6:$AI$505,"&lt;="&amp;$A70,実績!$AJ$6:$AJ$505,"&gt;"&amp;$A70,実績!$AL$6:$AL$505,"○")&gt;0,1,0))</f>
        <v>0</v>
      </c>
      <c r="V70" s="39" t="n">
        <f aca="false">IF(V$4=0,0,IF(COUNTIFS(実績!$W$6:$W$505,V$3,実績!$AI$6:$AI$505,"&lt;="&amp;$A70,実績!$AJ$6:$AJ$505,"&gt;"&amp;$A70,実績!$AL$6:$AL$505,"○")&gt;0,1,0))</f>
        <v>0</v>
      </c>
      <c r="W70" s="39" t="n">
        <f aca="false">IF(W$4=0,0,IF(COUNTIFS(実績!$W$6:$W$505,W$3,実績!$AI$6:$AI$505,"&lt;="&amp;$A70,実績!$AJ$6:$AJ$505,"&gt;"&amp;$A70,実績!$AL$6:$AL$505,"○")&gt;0,1,0))</f>
        <v>0</v>
      </c>
      <c r="X70" s="39" t="n">
        <f aca="false">IF(X$4=0,0,IF(COUNTIFS(実績!$W$6:$W$505,X$3,実績!$AI$6:$AI$505,"&lt;="&amp;$A70,実績!$AJ$6:$AJ$505,"&gt;"&amp;$A70,実績!$AL$6:$AL$505,"○")&gt;0,1,0))</f>
        <v>0</v>
      </c>
      <c r="Y70" s="39" t="n">
        <f aca="false">IF(Y$4=0,0,IF(COUNTIFS(実績!$W$6:$W$505,Y$3,実績!$AI$6:$AI$505,"&lt;="&amp;$A70,実績!$AJ$6:$AJ$505,"&gt;"&amp;$A70,実績!$AL$6:$AL$505,"○")&gt;0,1,0))</f>
        <v>0</v>
      </c>
      <c r="Z70" s="39" t="n">
        <f aca="false">IF(Z$4=0,0,IF(COUNTIFS(実績!$W$6:$W$505,Z$3,実績!$AI$6:$AI$505,"&lt;="&amp;$A70,実績!$AJ$6:$AJ$505,"&gt;"&amp;$A70,実績!$AL$6:$AL$505,"○")&gt;0,1,0))</f>
        <v>0</v>
      </c>
      <c r="AA70" s="39" t="n">
        <f aca="false">IF(AA$4=0,0,IF(COUNTIFS(実績!$W$6:$W$505,AA$3,実績!$AI$6:$AI$505,"&lt;="&amp;$A70,実績!$AJ$6:$AJ$505,"&gt;"&amp;$A70,実績!$AL$6:$AL$505,"○")&gt;0,1,0))</f>
        <v>0</v>
      </c>
      <c r="AB70" s="39" t="n">
        <f aca="false">IF(AB$4=0,0,IF(COUNTIFS(実績!$W$6:$W$505,AB$3,実績!$AI$6:$AI$505,"&lt;="&amp;$A70,実績!$AJ$6:$AJ$505,"&gt;"&amp;$A70,実績!$AL$6:$AL$505,"○")&gt;0,1,0))</f>
        <v>0</v>
      </c>
      <c r="AC70" s="39" t="n">
        <f aca="false">IF(AC$4=0,0,IF(COUNTIFS(実績!$W$6:$W$505,AC$3,実績!$AI$6:$AI$505,"&lt;="&amp;$A70,実績!$AJ$6:$AJ$505,"&gt;"&amp;$A70,実績!$AL$6:$AL$505,"○")&gt;0,1,0))</f>
        <v>0</v>
      </c>
      <c r="AD70" s="39" t="n">
        <f aca="false">IF(AD$4=0,0,IF(COUNTIFS(実績!$W$6:$W$505,AD$3,実績!$AI$6:$AI$505,"&lt;="&amp;$A70,実績!$AJ$6:$AJ$505,"&gt;"&amp;$A70,実績!$AL$6:$AL$505,"○")&gt;0,1,0))</f>
        <v>0</v>
      </c>
      <c r="AE70" s="39" t="n">
        <f aca="false">IF(AE$4=0,0,IF(COUNTIFS(実績!$W$6:$W$505,AE$3,実績!$AI$6:$AI$505,"&lt;="&amp;$A70,実績!$AJ$6:$AJ$505,"&gt;"&amp;$A70,実績!$AL$6:$AL$505,"○")&gt;0,1,0))</f>
        <v>0</v>
      </c>
      <c r="AF70" s="39" t="n">
        <f aca="false">IF(AF$4=0,0,IF(COUNTIFS(実績!$W$6:$W$505,AF$3,実績!$AI$6:$AI$505,"&lt;="&amp;$A70,実績!$AJ$6:$AJ$505,"&gt;"&amp;$A70,実績!$AL$6:$AL$505,"○")&gt;0,1,0))</f>
        <v>0</v>
      </c>
      <c r="AG70" s="39" t="n">
        <f aca="false">IF(AG$4=0,0,IF(COUNTIFS(実績!$W$6:$W$505,AG$3,実績!$AI$6:$AI$505,"&lt;="&amp;$A70,実績!$AJ$6:$AJ$505,"&gt;"&amp;$A70,実績!$AL$6:$AL$505,"○")&gt;0,1,0))</f>
        <v>0</v>
      </c>
      <c r="AH70" s="39" t="n">
        <f aca="false">IF(AH$4=0,0,IF(COUNTIFS(実績!$W$6:$W$505,AH$3,実績!$AI$6:$AI$505,"&lt;="&amp;$A70,実績!$AJ$6:$AJ$505,"&gt;"&amp;$A70,実績!$AL$6:$AL$505,"○")&gt;0,1,0))</f>
        <v>0</v>
      </c>
      <c r="AI70" s="39" t="n">
        <f aca="false">IF(AI$4=0,0,IF(COUNTIFS(実績!$W$6:$W$505,AI$3,実績!$AI$6:$AI$505,"&lt;="&amp;$A70,実績!$AJ$6:$AJ$505,"&gt;"&amp;$A70,実績!$AL$6:$AL$505,"○")&gt;0,1,0))</f>
        <v>0</v>
      </c>
      <c r="AJ70" s="39" t="n">
        <f aca="false">IF(AJ$4=0,0,IF(COUNTIFS(実績!$W$6:$W$505,AJ$3,実績!$AI$6:$AI$505,"&lt;="&amp;$A70,実績!$AJ$6:$AJ$505,"&gt;"&amp;$A70,実績!$AL$6:$AL$505,"○")&gt;0,1,0))</f>
        <v>0</v>
      </c>
      <c r="AK70" s="39" t="n">
        <f aca="false">IF(AK$4=0,0,IF(COUNTIFS(実績!$W$6:$W$505,AK$3,実績!$AI$6:$AI$505,"&lt;="&amp;$A70,実績!$AJ$6:$AJ$505,"&gt;"&amp;$A70,実績!$AL$6:$AL$505,"○")&gt;0,1,0))</f>
        <v>0</v>
      </c>
      <c r="AL70" s="39" t="n">
        <f aca="false">IF(AL$4=0,0,IF(COUNTIFS(実績!$W$6:$W$505,AL$3,実績!$AI$6:$AI$505,"&lt;="&amp;$A70,実績!$AJ$6:$AJ$505,"&gt;"&amp;$A70,実績!$AL$6:$AL$505,"○")&gt;0,1,0))</f>
        <v>0</v>
      </c>
      <c r="AM70" s="39" t="n">
        <f aca="false">IF(AM$4=0,0,IF(COUNTIFS(実績!$W$6:$W$505,AM$3,実績!$AI$6:$AI$505,"&lt;="&amp;$A70,実績!$AJ$6:$AJ$505,"&gt;"&amp;$A70,実績!$AL$6:$AL$505,"○")&gt;0,1,0))</f>
        <v>0</v>
      </c>
      <c r="AN70" s="39" t="n">
        <f aca="false">IF(AN$4=0,0,IF(COUNTIFS(実績!$W$6:$W$505,AN$3,実績!$AI$6:$AI$505,"&lt;="&amp;$A70,実績!$AJ$6:$AJ$505,"&gt;"&amp;$A70,実績!$AL$6:$AL$505,"○")&gt;0,1,0))</f>
        <v>0</v>
      </c>
      <c r="AO70" s="39" t="n">
        <f aca="false">IF(AO$4=0,0,IF(COUNTIFS(実績!$W$6:$W$505,AO$3,実績!$AI$6:$AI$505,"&lt;="&amp;$A70,実績!$AJ$6:$AJ$505,"&gt;"&amp;$A70,実績!$AL$6:$AL$505,"○")&gt;0,1,0))</f>
        <v>0</v>
      </c>
      <c r="AP70" s="39" t="n">
        <f aca="false">IF(AP$4=0,0,IF(COUNTIFS(実績!$W$6:$W$505,AP$3,実績!$AI$6:$AI$505,"&lt;="&amp;$A70,実績!$AJ$6:$AJ$505,"&gt;"&amp;$A70,実績!$AL$6:$AL$505,"○")&gt;0,1,0))</f>
        <v>0</v>
      </c>
      <c r="AQ70" s="39" t="n">
        <f aca="false">IF(AQ$4=0,0,IF(COUNTIFS(実績!$W$6:$W$505,AQ$3,実績!$AI$6:$AI$505,"&lt;="&amp;$A70,実績!$AJ$6:$AJ$505,"&gt;"&amp;$A70,実績!$AL$6:$AL$505,"○")&gt;0,1,0))</f>
        <v>0</v>
      </c>
      <c r="AR70" s="39" t="n">
        <f aca="false">IF(AR$4=0,0,IF(COUNTIFS(実績!$W$6:$W$505,AR$3,実績!$AI$6:$AI$505,"&lt;="&amp;$A70,実績!$AJ$6:$AJ$505,"&gt;"&amp;$A70,実績!$AL$6:$AL$505,"○")&gt;0,1,0))</f>
        <v>0</v>
      </c>
      <c r="AS70" s="39" t="n">
        <f aca="false">IF(AS$4=0,0,IF(COUNTIFS(実績!$W$6:$W$505,AS$3,実績!$AI$6:$AI$505,"&lt;="&amp;$A70,実績!$AJ$6:$AJ$505,"&gt;"&amp;$A70,実績!$AL$6:$AL$505,"○")&gt;0,1,0))</f>
        <v>0</v>
      </c>
      <c r="AT70" s="39" t="n">
        <f aca="false">IF(AT$4=0,0,IF(COUNTIFS(実績!$W$6:$W$505,AT$3,実績!$AI$6:$AI$505,"&lt;="&amp;$A70,実績!$AJ$6:$AJ$505,"&gt;"&amp;$A70,実績!$AL$6:$AL$505,"○")&gt;0,1,0))</f>
        <v>0</v>
      </c>
      <c r="AU70" s="39" t="n">
        <f aca="false">IF(AU$4=0,0,IF(COUNTIFS(実績!$W$6:$W$505,AU$3,実績!$AI$6:$AI$505,"&lt;="&amp;$A70,実績!$AJ$6:$AJ$505,"&gt;"&amp;$A70,実績!$AL$6:$AL$505,"○")&gt;0,1,0))</f>
        <v>0</v>
      </c>
      <c r="AV70" s="39" t="n">
        <f aca="false">IF(AV$4=0,0,IF(COUNTIFS(実績!$W$6:$W$505,AV$3,実績!$AI$6:$AI$505,"&lt;="&amp;$A70,実績!$AJ$6:$AJ$505,"&gt;"&amp;$A70,実績!$AL$6:$AL$505,"○")&gt;0,1,0))</f>
        <v>0</v>
      </c>
      <c r="AW70" s="39" t="n">
        <f aca="false">IF(AW$4=0,0,IF(COUNTIFS(実績!$W$6:$W$505,AW$3,実績!$AI$6:$AI$505,"&lt;="&amp;$A70,実績!$AJ$6:$AJ$505,"&gt;"&amp;$A70,実績!$AL$6:$AL$505,"○")&gt;0,1,0))</f>
        <v>0</v>
      </c>
      <c r="AX70" s="39" t="n">
        <f aca="false">IF(AX$4=0,0,IF(COUNTIFS(実績!$W$6:$W$505,AX$3,実績!$AI$6:$AI$505,"&lt;="&amp;$A70,実績!$AJ$6:$AJ$505,"&gt;"&amp;$A70,実績!$AL$6:$AL$505,"○")&gt;0,1,0))</f>
        <v>0</v>
      </c>
      <c r="AY70" s="39" t="n">
        <f aca="false">IF(AY$4=0,0,IF(COUNTIFS(実績!$W$6:$W$505,AY$3,実績!$AI$6:$AI$505,"&lt;="&amp;$A70,実績!$AJ$6:$AJ$505,"&gt;"&amp;$A70,実績!$AL$6:$AL$505,"○")&gt;0,1,0))</f>
        <v>0</v>
      </c>
      <c r="AZ70" s="39" t="n">
        <f aca="false">IF(AZ$4=0,0,IF(COUNTIFS(実績!$W$6:$W$505,AZ$3,実績!$AI$6:$AI$505,"&lt;="&amp;$A70,実績!$AJ$6:$AJ$505,"&gt;"&amp;$A70,実績!$AL$6:$AL$505,"○")&gt;0,1,0))</f>
        <v>0</v>
      </c>
      <c r="BA70" s="39" t="n">
        <f aca="false">IF(BA$4=0,0,IF(COUNTIFS(実績!$W$6:$W$505,BA$3,実績!$AI$6:$AI$505,"&lt;="&amp;$A70,実績!$AJ$6:$AJ$505,"&gt;"&amp;$A70,実績!$AL$6:$AL$505,"○")&gt;0,1,0))</f>
        <v>0</v>
      </c>
      <c r="BB70" s="39" t="n">
        <f aca="false">IF(BB$4=0,0,IF(COUNTIFS(実績!$W$6:$W$505,BB$3,実績!$AI$6:$AI$505,"&lt;="&amp;$A70,実績!$AJ$6:$AJ$505,"&gt;"&amp;$A70,実績!$AL$6:$AL$505,"○")&gt;0,1,0))</f>
        <v>0</v>
      </c>
      <c r="BC70" s="39" t="n">
        <f aca="false">IF(BC$4=0,0,IF(COUNTIFS(実績!$W$6:$W$505,BC$3,実績!$AI$6:$AI$505,"&lt;="&amp;$A70,実績!$AJ$6:$AJ$505,"&gt;"&amp;$A70,実績!$AL$6:$AL$505,"○")&gt;0,1,0))</f>
        <v>0</v>
      </c>
      <c r="BD70" s="39" t="n">
        <f aca="false">IF(BD$4=0,0,IF(COUNTIFS(実績!$W$6:$W$505,BD$3,実績!$AI$6:$AI$505,"&lt;="&amp;$A70,実績!$AJ$6:$AJ$505,"&gt;"&amp;$A70,実績!$AL$6:$AL$505,"○")&gt;0,1,0))</f>
        <v>0</v>
      </c>
      <c r="BE70" s="39" t="n">
        <f aca="false">IF(BE$4=0,0,IF(COUNTIFS(実績!$W$6:$W$505,BE$3,実績!$AI$6:$AI$505,"&lt;="&amp;$A70,実績!$AJ$6:$AJ$505,"&gt;"&amp;$A70,実績!$AL$6:$AL$505,"○")&gt;0,1,0))</f>
        <v>0</v>
      </c>
      <c r="BF70" s="39" t="n">
        <f aca="false">IF(BF$4=0,0,IF(COUNTIFS(実績!$W$6:$W$505,BF$3,実績!$AI$6:$AI$505,"&lt;="&amp;$A70,実績!$AJ$6:$AJ$505,"&gt;"&amp;$A70,実績!$AL$6:$AL$505,"○")&gt;0,1,0))</f>
        <v>0</v>
      </c>
      <c r="BG70" s="39" t="n">
        <f aca="false">IF(BG$4=0,0,IF(COUNTIFS(実績!$W$6:$W$505,BG$3,実績!$AI$6:$AI$505,"&lt;="&amp;$A70,実績!$AJ$6:$AJ$505,"&gt;"&amp;$A70,実績!$AL$6:$AL$505,"○")&gt;0,1,0))</f>
        <v>0</v>
      </c>
      <c r="BH70" s="39" t="n">
        <f aca="false">IF(BH$4=0,0,IF(COUNTIFS(実績!$W$6:$W$505,BH$3,実績!$AI$6:$AI$505,"&lt;="&amp;$A70,実績!$AJ$6:$AJ$505,"&gt;"&amp;$A70,実績!$AL$6:$AL$505,"○")&gt;0,1,0))</f>
        <v>0</v>
      </c>
      <c r="BI70" s="39" t="n">
        <f aca="false">IF(BI$4=0,0,IF(COUNTIFS(実績!$W$6:$W$505,BI$3,実績!$AI$6:$AI$505,"&lt;="&amp;$A70,実績!$AJ$6:$AJ$505,"&gt;"&amp;$A70,実績!$AL$6:$AL$505,"○")&gt;0,1,0))</f>
        <v>0</v>
      </c>
      <c r="BJ70" s="39" t="n">
        <f aca="false">IF(BJ$4=0,0,IF(COUNTIFS(実績!$W$6:$W$505,BJ$3,実績!$AI$6:$AI$505,"&lt;="&amp;$A70,実績!$AJ$6:$AJ$505,"&gt;"&amp;$A70,実績!$AL$6:$AL$505,"○")&gt;0,1,0))</f>
        <v>0</v>
      </c>
      <c r="BK70" s="39" t="n">
        <f aca="false">IF(BK$4=0,0,IF(COUNTIFS(実績!$W$6:$W$505,BK$3,実績!$AI$6:$AI$505,"&lt;="&amp;$A70,実績!$AJ$6:$AJ$505,"&gt;"&amp;$A70,実績!$AL$6:$AL$505,"○")&gt;0,1,0))</f>
        <v>0</v>
      </c>
      <c r="BL70" s="39" t="n">
        <f aca="false">IF(BL$4=0,0,IF(COUNTIFS(実績!$W$6:$W$505,BL$3,実績!$AI$6:$AI$505,"&lt;="&amp;$A70,実績!$AJ$6:$AJ$505,"&gt;"&amp;$A70,実績!$AL$6:$AL$505,"○")&gt;0,1,0))</f>
        <v>0</v>
      </c>
      <c r="BM70" s="39" t="n">
        <f aca="false">IF(BM$4=0,0,IF(COUNTIFS(実績!$W$6:$W$505,BM$3,実績!$AI$6:$AI$505,"&lt;="&amp;$A70,実績!$AJ$6:$AJ$505,"&gt;"&amp;$A70,実績!$AL$6:$AL$505,"○")&gt;0,1,0))</f>
        <v>0</v>
      </c>
      <c r="BN70" s="39" t="n">
        <f aca="false">IF(BN$4=0,0,IF(COUNTIFS(実績!$W$6:$W$505,BN$3,実績!$AI$6:$AI$505,"&lt;="&amp;$A70,実績!$AJ$6:$AJ$505,"&gt;"&amp;$A70,実績!$AL$6:$AL$505,"○")&gt;0,1,0))</f>
        <v>0</v>
      </c>
      <c r="BO70" s="39" t="n">
        <f aca="false">IF(BO$4=0,0,IF(COUNTIFS(実績!$W$6:$W$505,BO$3,実績!$AI$6:$AI$505,"&lt;="&amp;$A70,実績!$AJ$6:$AJ$505,"&gt;"&amp;$A70,実績!$AL$6:$AL$505,"○")&gt;0,1,0))</f>
        <v>0</v>
      </c>
      <c r="BP70" s="39" t="n">
        <f aca="false">IF(BP$4=0,0,IF(COUNTIFS(実績!$W$6:$W$505,BP$3,実績!$AI$6:$AI$505,"&lt;="&amp;$A70,実績!$AJ$6:$AJ$505,"&gt;"&amp;$A70,実績!$AL$6:$AL$505,"○")&gt;0,1,0))</f>
        <v>0</v>
      </c>
      <c r="BQ70" s="39" t="n">
        <f aca="false">IF(BQ$4=0,0,IF(COUNTIFS(実績!$W$6:$W$505,BQ$3,実績!$AI$6:$AI$505,"&lt;="&amp;$A70,実績!$AJ$6:$AJ$505,"&gt;"&amp;$A70,実績!$AL$6:$AL$505,"○")&gt;0,1,0))</f>
        <v>0</v>
      </c>
      <c r="BR70" s="39" t="n">
        <f aca="false">IF(BR$4=0,0,IF(COUNTIFS(実績!$W$6:$W$505,BR$3,実績!$AI$6:$AI$505,"&lt;="&amp;$A70,実績!$AJ$6:$AJ$505,"&gt;"&amp;$A70,実績!$AL$6:$AL$505,"○")&gt;0,1,0))</f>
        <v>0</v>
      </c>
      <c r="BS70" s="39" t="n">
        <f aca="false">IF(BS$4=0,0,IF(COUNTIFS(実績!$W$6:$W$505,BS$3,実績!$AI$6:$AI$505,"&lt;="&amp;$A70,実績!$AJ$6:$AJ$505,"&gt;"&amp;$A70,実績!$AL$6:$AL$505,"○")&gt;0,1,0))</f>
        <v>0</v>
      </c>
      <c r="BT70" s="39" t="n">
        <f aca="false">IF(BT$4=0,0,IF(COUNTIFS(実績!$W$6:$W$505,BT$3,実績!$AI$6:$AI$505,"&lt;="&amp;$A70,実績!$AJ$6:$AJ$505,"&gt;"&amp;$A70,実績!$AL$6:$AL$505,"○")&gt;0,1,0))</f>
        <v>0</v>
      </c>
      <c r="BU70" s="39" t="n">
        <f aca="false">IF(BU$4=0,0,IF(COUNTIFS(実績!$W$6:$W$505,BU$3,実績!$AI$6:$AI$505,"&lt;="&amp;$A70,実績!$AJ$6:$AJ$505,"&gt;"&amp;$A70,実績!$AL$6:$AL$505,"○")&gt;0,1,0))</f>
        <v>0</v>
      </c>
      <c r="BV70" s="39" t="n">
        <f aca="false">IF(BV$4=0,0,IF(COUNTIFS(実績!$W$6:$W$505,BV$3,実績!$AI$6:$AI$505,"&lt;="&amp;$A70,実績!$AJ$6:$AJ$505,"&gt;"&amp;$A70,実績!$AL$6:$AL$505,"○")&gt;0,1,0))</f>
        <v>0</v>
      </c>
      <c r="BW70" s="39" t="n">
        <f aca="false">IF(BW$4=0,0,IF(COUNTIFS(実績!$W$6:$W$505,BW$3,実績!$AI$6:$AI$505,"&lt;="&amp;$A70,実績!$AJ$6:$AJ$505,"&gt;"&amp;$A70,実績!$AL$6:$AL$505,"○")&gt;0,1,0))</f>
        <v>0</v>
      </c>
      <c r="BX70" s="39" t="n">
        <f aca="false">IF(BX$4=0,0,IF(COUNTIFS(実績!$W$6:$W$505,BX$3,実績!$AI$6:$AI$505,"&lt;="&amp;$A70,実績!$AJ$6:$AJ$505,"&gt;"&amp;$A70,実績!$AL$6:$AL$505,"○")&gt;0,1,0))</f>
        <v>0</v>
      </c>
      <c r="BY70" s="39" t="n">
        <f aca="false">IF(BY$4=0,0,IF(COUNTIFS(実績!$W$6:$W$505,BY$3,実績!$AI$6:$AI$505,"&lt;="&amp;$A70,実績!$AJ$6:$AJ$505,"&gt;"&amp;$A70,実績!$AL$6:$AL$505,"○")&gt;0,1,0))</f>
        <v>0</v>
      </c>
      <c r="BZ70" s="39" t="n">
        <f aca="false">IF(BZ$4=0,0,IF(COUNTIFS(実績!$W$6:$W$505,BZ$3,実績!$AI$6:$AI$505,"&lt;="&amp;$A70,実績!$AJ$6:$AJ$505,"&gt;"&amp;$A70,実績!$AL$6:$AL$505,"○")&gt;0,1,0))</f>
        <v>0</v>
      </c>
      <c r="CA70" s="39" t="n">
        <f aca="false">IF(CA$4=0,0,IF(COUNTIFS(実績!$W$6:$W$505,CA$3,実績!$AI$6:$AI$505,"&lt;="&amp;$A70,実績!$AJ$6:$AJ$505,"&gt;"&amp;$A70,実績!$AL$6:$AL$505,"○")&gt;0,1,0))</f>
        <v>0</v>
      </c>
      <c r="CB70" s="39" t="n">
        <f aca="false">IF(CB$4=0,0,IF(COUNTIFS(実績!$W$6:$W$505,CB$3,実績!$AI$6:$AI$505,"&lt;="&amp;$A70,実績!$AJ$6:$AJ$505,"&gt;"&amp;$A70,実績!$AL$6:$AL$505,"○")&gt;0,1,0))</f>
        <v>0</v>
      </c>
      <c r="CC70" s="39" t="n">
        <f aca="false">IF(CC$4=0,0,IF(COUNTIFS(実績!$W$6:$W$505,CC$3,実績!$AI$6:$AI$505,"&lt;="&amp;$A70,実績!$AJ$6:$AJ$505,"&gt;"&amp;$A70,実績!$AL$6:$AL$505,"○")&gt;0,1,0))</f>
        <v>0</v>
      </c>
      <c r="CD70" s="39" t="n">
        <f aca="false">IF(CD$4=0,0,IF(COUNTIFS(実績!$W$6:$W$505,CD$3,実績!$AI$6:$AI$505,"&lt;="&amp;$A70,実績!$AJ$6:$AJ$505,"&gt;"&amp;$A70,実績!$AL$6:$AL$505,"○")&gt;0,1,0))</f>
        <v>0</v>
      </c>
      <c r="CE70" s="39" t="n">
        <f aca="false">IF(CE$4=0,0,IF(COUNTIFS(実績!$W$6:$W$505,CE$3,実績!$AI$6:$AI$505,"&lt;="&amp;$A70,実績!$AJ$6:$AJ$505,"&gt;"&amp;$A70,実績!$AL$6:$AL$505,"○")&gt;0,1,0))</f>
        <v>0</v>
      </c>
      <c r="CF70" s="39" t="n">
        <f aca="false">IF(CF$4=0,0,IF(COUNTIFS(実績!$W$6:$W$505,CF$3,実績!$AI$6:$AI$505,"&lt;="&amp;$A70,実績!$AJ$6:$AJ$505,"&gt;"&amp;$A70,実績!$AL$6:$AL$505,"○")&gt;0,1,0))</f>
        <v>0</v>
      </c>
      <c r="CG70" s="39" t="n">
        <f aca="false">IF(CG$4=0,0,IF(COUNTIFS(実績!$W$6:$W$505,CG$3,実績!$AI$6:$AI$505,"&lt;="&amp;$A70,実績!$AJ$6:$AJ$505,"&gt;"&amp;$A70,実績!$AL$6:$AL$505,"○")&gt;0,1,0))</f>
        <v>0</v>
      </c>
      <c r="CH70" s="39" t="n">
        <f aca="false">IF(CH$4=0,0,IF(COUNTIFS(実績!$W$6:$W$505,CH$3,実績!$AI$6:$AI$505,"&lt;="&amp;$A70,実績!$AJ$6:$AJ$505,"&gt;"&amp;$A70,実績!$AL$6:$AL$505,"○")&gt;0,1,0))</f>
        <v>0</v>
      </c>
      <c r="CI70" s="39" t="n">
        <f aca="false">IF(CI$4=0,0,IF(COUNTIFS(実績!$W$6:$W$505,CI$3,実績!$AI$6:$AI$505,"&lt;="&amp;$A70,実績!$AJ$6:$AJ$505,"&gt;"&amp;$A70,実績!$AL$6:$AL$505,"○")&gt;0,1,0))</f>
        <v>0</v>
      </c>
      <c r="CJ70" s="39" t="n">
        <f aca="false">IF(CJ$4=0,0,IF(COUNTIFS(実績!$W$6:$W$505,CJ$3,実績!$AI$6:$AI$505,"&lt;="&amp;$A70,実績!$AJ$6:$AJ$505,"&gt;"&amp;$A70,実績!$AL$6:$AL$505,"○")&gt;0,1,0))</f>
        <v>0</v>
      </c>
      <c r="CK70" s="39" t="n">
        <f aca="false">IF(CK$4=0,0,IF(COUNTIFS(実績!$W$6:$W$505,CK$3,実績!$AI$6:$AI$505,"&lt;="&amp;$A70,実績!$AJ$6:$AJ$505,"&gt;"&amp;$A70,実績!$AL$6:$AL$505,"○")&gt;0,1,0))</f>
        <v>0</v>
      </c>
      <c r="CL70" s="39" t="n">
        <f aca="false">IF(CL$4=0,0,IF(COUNTIFS(実績!$W$6:$W$505,CL$3,実績!$AI$6:$AI$505,"&lt;="&amp;$A70,実績!$AJ$6:$AJ$505,"&gt;"&amp;$A70,実績!$AL$6:$AL$505,"○")&gt;0,1,0))</f>
        <v>0</v>
      </c>
      <c r="CM70" s="39" t="n">
        <f aca="false">IF(CM$4=0,0,IF(COUNTIFS(実績!$W$6:$W$505,CM$3,実績!$AI$6:$AI$505,"&lt;="&amp;$A70,実績!$AJ$6:$AJ$505,"&gt;"&amp;$A70,実績!$AL$6:$AL$505,"○")&gt;0,1,0))</f>
        <v>0</v>
      </c>
      <c r="CN70" s="39" t="n">
        <f aca="false">IF(CN$4=0,0,IF(COUNTIFS(実績!$W$6:$W$505,CN$3,実績!$AI$6:$AI$505,"&lt;="&amp;$A70,実績!$AJ$6:$AJ$505,"&gt;"&amp;$A70,実績!$AL$6:$AL$505,"○")&gt;0,1,0))</f>
        <v>0</v>
      </c>
      <c r="CO70" s="39" t="n">
        <f aca="false">IF(CO$4=0,0,IF(COUNTIFS(実績!$W$6:$W$505,CO$3,実績!$AI$6:$AI$505,"&lt;="&amp;$A70,実績!$AJ$6:$AJ$505,"&gt;"&amp;$A70,実績!$AL$6:$AL$505,"○")&gt;0,1,0))</f>
        <v>0</v>
      </c>
      <c r="CP70" s="39" t="n">
        <f aca="false">IF(CP$4=0,0,IF(COUNTIFS(実績!$W$6:$W$505,CP$3,実績!$AI$6:$AI$505,"&lt;="&amp;$A70,実績!$AJ$6:$AJ$505,"&gt;"&amp;$A70,実績!$AL$6:$AL$505,"○")&gt;0,1,0))</f>
        <v>0</v>
      </c>
      <c r="CQ70" s="39" t="n">
        <f aca="false">IF(CQ$4=0,0,IF(COUNTIFS(実績!$W$6:$W$505,CQ$3,実績!$AI$6:$AI$505,"&lt;="&amp;$A70,実績!$AJ$6:$AJ$505,"&gt;"&amp;$A70,実績!$AL$6:$AL$505,"○")&gt;0,1,0))</f>
        <v>0</v>
      </c>
      <c r="CR70" s="39" t="n">
        <f aca="false">IF(CR$4=0,0,IF(COUNTIFS(実績!$W$6:$W$505,CR$3,実績!$AI$6:$AI$505,"&lt;="&amp;$A70,実績!$AJ$6:$AJ$505,"&gt;"&amp;$A70,実績!$AL$6:$AL$505,"○")&gt;0,1,0))</f>
        <v>0</v>
      </c>
      <c r="CS70" s="39" t="n">
        <f aca="false">IF(CS$4=0,0,IF(COUNTIFS(実績!$W$6:$W$505,CS$3,実績!$AI$6:$AI$505,"&lt;="&amp;$A70,実績!$AJ$6:$AJ$505,"&gt;"&amp;$A70,実績!$AL$6:$AL$505,"○")&gt;0,1,0))</f>
        <v>0</v>
      </c>
      <c r="CT70" s="39" t="n">
        <f aca="false">IF(CT$4=0,0,IF(COUNTIFS(実績!$W$6:$W$505,CT$3,実績!$AI$6:$AI$505,"&lt;="&amp;$A70,実績!$AJ$6:$AJ$505,"&gt;"&amp;$A70,実績!$AL$6:$AL$505,"○")&gt;0,1,0))</f>
        <v>0</v>
      </c>
      <c r="CU70" s="39" t="n">
        <f aca="false">IF(CU$4=0,0,IF(COUNTIFS(実績!$W$6:$W$505,CU$3,実績!$AI$6:$AI$505,"&lt;="&amp;$A70,実績!$AJ$6:$AJ$505,"&gt;"&amp;$A70,実績!$AL$6:$AL$505,"○")&gt;0,1,0))</f>
        <v>0</v>
      </c>
      <c r="CV70" s="39" t="n">
        <f aca="false">IF(CV$4=0,0,IF(COUNTIFS(実績!$W$6:$W$505,CV$3,実績!$AI$6:$AI$505,"&lt;="&amp;$A70,実績!$AJ$6:$AJ$505,"&gt;"&amp;$A70,実績!$AL$6:$AL$505,"○")&gt;0,1,0))</f>
        <v>0</v>
      </c>
      <c r="CW70" s="39" t="n">
        <f aca="false">IF(CW$4=0,0,IF(COUNTIFS(実績!$W$6:$W$505,CW$3,実績!$AI$6:$AI$505,"&lt;="&amp;$A70,実績!$AJ$6:$AJ$505,"&gt;"&amp;$A70,実績!$AL$6:$AL$505,"○")&gt;0,1,0))</f>
        <v>0</v>
      </c>
      <c r="CX70" s="39" t="n">
        <f aca="false">IF(CX$4=0,0,IF(COUNTIFS(実績!$W$6:$W$505,CX$3,実績!$AI$6:$AI$505,"&lt;="&amp;$A70,実績!$AJ$6:$AJ$505,"&gt;"&amp;$A70,実績!$AL$6:$AL$505,"○")&gt;0,1,0))</f>
        <v>0</v>
      </c>
      <c r="CY70" s="39" t="n">
        <f aca="false">IF(CY$4=0,0,IF(COUNTIFS(実績!$W$6:$W$505,CY$3,実績!$AI$6:$AI$505,"&lt;="&amp;$A70,実績!$AJ$6:$AJ$505,"&gt;"&amp;$A70,実績!$AL$6:$AL$505,"○")&gt;0,1,0))</f>
        <v>0</v>
      </c>
      <c r="CZ70" s="39" t="n">
        <f aca="false">IF(CZ$4=0,0,IF(COUNTIFS(実績!$W$6:$W$505,CZ$3,実績!$AI$6:$AI$505,"&lt;="&amp;$A70,実績!$AJ$6:$AJ$505,"&gt;"&amp;$A70,実績!$AL$6:$AL$505,"○")&gt;0,1,0))</f>
        <v>0</v>
      </c>
      <c r="DA70" s="39" t="n">
        <f aca="false">IF(DA$4=0,0,IF(COUNTIFS(実績!$W$6:$W$505,DA$3,実績!$AI$6:$AI$505,"&lt;="&amp;$A70,実績!$AJ$6:$AJ$505,"&gt;"&amp;$A70,実績!$AL$6:$AL$505,"○")&gt;0,1,0))</f>
        <v>0</v>
      </c>
      <c r="DB70" s="39" t="n">
        <f aca="false">IF(DB$4=0,0,IF(COUNTIFS(実績!$W$6:$W$505,DB$3,実績!$AI$6:$AI$505,"&lt;="&amp;$A70,実績!$AJ$6:$AJ$505,"&gt;"&amp;$A70,実績!$AL$6:$AL$505,"○")&gt;0,1,0))</f>
        <v>0</v>
      </c>
      <c r="DC70" s="39" t="n">
        <f aca="false">IF(DC$4=0,0,IF(COUNTIFS(実績!$W$6:$W$505,DC$3,実績!$AI$6:$AI$505,"&lt;="&amp;$A70,実績!$AJ$6:$AJ$505,"&gt;"&amp;$A70,実績!$AL$6:$AL$505,"○")&gt;0,1,0))</f>
        <v>0</v>
      </c>
      <c r="DD70" s="39" t="n">
        <f aca="false">IF(DD$4=0,0,IF(COUNTIFS(実績!$W$6:$W$505,DD$3,実績!$AI$6:$AI$505,"&lt;="&amp;$A70,実績!$AJ$6:$AJ$505,"&gt;"&amp;$A70,実績!$AL$6:$AL$505,"○")&gt;0,1,0))</f>
        <v>0</v>
      </c>
      <c r="DE70" s="39" t="n">
        <f aca="false">IF(DE$4=0,0,IF(COUNTIFS(実績!$W$6:$W$505,DE$3,実績!$AI$6:$AI$505,"&lt;="&amp;$A70,実績!$AJ$6:$AJ$505,"&gt;"&amp;$A70,実績!$AL$6:$AL$505,"○")&gt;0,1,0))</f>
        <v>0</v>
      </c>
      <c r="DF70" s="39" t="n">
        <f aca="false">IF(DF$4=0,0,IF(COUNTIFS(実績!$W$6:$W$505,DF$3,実績!$AI$6:$AI$505,"&lt;="&amp;$A70,実績!$AJ$6:$AJ$505,"&gt;"&amp;$A70,実績!$AL$6:$AL$505,"○")&gt;0,1,0))</f>
        <v>0</v>
      </c>
      <c r="DG70" s="39" t="n">
        <f aca="false">IF(DG$4=0,0,IF(COUNTIFS(実績!$W$6:$W$505,DG$3,実績!$AI$6:$AI$505,"&lt;="&amp;$A70,実績!$AJ$6:$AJ$505,"&gt;"&amp;$A70,実績!$AL$6:$AL$505,"○")&gt;0,1,0))</f>
        <v>0</v>
      </c>
      <c r="DH70" s="39" t="n">
        <f aca="false">IF(DH$4=0,0,IF(COUNTIFS(実績!$W$6:$W$505,DH$3,実績!$AI$6:$AI$505,"&lt;="&amp;$A70,実績!$AJ$6:$AJ$505,"&gt;"&amp;$A70,実績!$AL$6:$AL$505,"○")&gt;0,1,0))</f>
        <v>0</v>
      </c>
      <c r="DI70" s="39" t="n">
        <f aca="false">IF(DI$4=0,0,IF(COUNTIFS(実績!$W$6:$W$505,DI$3,実績!$AI$6:$AI$505,"&lt;="&amp;$A70,実績!$AJ$6:$AJ$505,"&gt;"&amp;$A70,実績!$AL$6:$AL$505,"○")&gt;0,1,0))</f>
        <v>0</v>
      </c>
      <c r="DJ70" s="39" t="n">
        <f aca="false">IF(DJ$4=0,0,IF(COUNTIFS(実績!$W$6:$W$505,DJ$3,実績!$AI$6:$AI$505,"&lt;="&amp;$A70,実績!$AJ$6:$AJ$505,"&gt;"&amp;$A70,実績!$AL$6:$AL$505,"○")&gt;0,1,0))</f>
        <v>0</v>
      </c>
      <c r="DK70" s="39" t="n">
        <f aca="false">IF(DK$4=0,0,IF(COUNTIFS(実績!$W$6:$W$505,DK$3,実績!$AI$6:$AI$505,"&lt;="&amp;$A70,実績!$AJ$6:$AJ$505,"&gt;"&amp;$A70,実績!$AL$6:$AL$505,"○")&gt;0,1,0))</f>
        <v>0</v>
      </c>
      <c r="DL70" s="39" t="n">
        <f aca="false">IF(DL$4=0,0,IF(COUNTIFS(実績!$W$6:$W$505,DL$3,実績!$AI$6:$AI$505,"&lt;="&amp;$A70,実績!$AJ$6:$AJ$505,"&gt;"&amp;$A70,実績!$AL$6:$AL$505,"○")&gt;0,1,0))</f>
        <v>0</v>
      </c>
      <c r="DM70" s="39" t="n">
        <f aca="false">IF(DM$4=0,0,IF(COUNTIFS(実績!$W$6:$W$505,DM$3,実績!$AI$6:$AI$505,"&lt;="&amp;$A70,実績!$AJ$6:$AJ$505,"&gt;"&amp;$A70,実績!$AL$6:$AL$505,"○")&gt;0,1,0))</f>
        <v>0</v>
      </c>
      <c r="DN70" s="39" t="n">
        <f aca="false">IF(DN$4=0,0,IF(COUNTIFS(実績!$W$6:$W$505,DN$3,実績!$AI$6:$AI$505,"&lt;="&amp;$A70,実績!$AJ$6:$AJ$505,"&gt;"&amp;$A70,実績!$AL$6:$AL$505,"○")&gt;0,1,0))</f>
        <v>0</v>
      </c>
      <c r="DO70" s="39" t="n">
        <f aca="false">IF(DO$4=0,0,IF(COUNTIFS(実績!$W$6:$W$505,DO$3,実績!$AI$6:$AI$505,"&lt;="&amp;$A70,実績!$AJ$6:$AJ$505,"&gt;"&amp;$A70,実績!$AL$6:$AL$505,"○")&gt;0,1,0))</f>
        <v>0</v>
      </c>
      <c r="DP70" s="39" t="n">
        <f aca="false">IF(DP$4=0,0,IF(COUNTIFS(実績!$W$6:$W$505,DP$3,実績!$AI$6:$AI$505,"&lt;="&amp;$A70,実績!$AJ$6:$AJ$505,"&gt;"&amp;$A70,実績!$AL$6:$AL$505,"○")&gt;0,1,0))</f>
        <v>0</v>
      </c>
      <c r="DQ70" s="39" t="n">
        <f aca="false">IF(DQ$4=0,0,IF(COUNTIFS(実績!$W$6:$W$505,DQ$3,実績!$AI$6:$AI$505,"&lt;="&amp;$A70,実績!$AJ$6:$AJ$505,"&gt;"&amp;$A70,実績!$AL$6:$AL$505,"○")&gt;0,1,0))</f>
        <v>0</v>
      </c>
      <c r="DR70" s="39" t="n">
        <f aca="false">IF(DR$4=0,0,IF(COUNTIFS(実績!$W$6:$W$505,DR$3,実績!$AI$6:$AI$505,"&lt;="&amp;$A70,実績!$AJ$6:$AJ$505,"&gt;"&amp;$A70,実績!$AL$6:$AL$505,"○")&gt;0,1,0))</f>
        <v>0</v>
      </c>
      <c r="DS70" s="39" t="n">
        <f aca="false">SUM(C70:DR70)</f>
        <v>0</v>
      </c>
    </row>
    <row r="71" customFormat="false" ht="15" hidden="false" customHeight="false" outlineLevel="0" collapsed="false">
      <c r="A71" s="0" t="n">
        <v>325</v>
      </c>
      <c r="B71" s="38" t="n">
        <f aca="false">A71/1440</f>
        <v>0.225694444444444</v>
      </c>
      <c r="C71" s="39" t="n">
        <f aca="false">IF(C$4=0,0,IF(COUNTIFS(実績!$W$6:$W$505,C$3,実績!$AI$6:$AI$505,"&lt;="&amp;$A71,実績!$AJ$6:$AJ$505,"&gt;"&amp;$A71,実績!$AL$6:$AL$505,"○")&gt;0,1,0))</f>
        <v>0</v>
      </c>
      <c r="D71" s="39" t="n">
        <f aca="false">IF(D$4=0,0,IF(COUNTIFS(実績!$W$6:$W$505,D$3,実績!$AI$6:$AI$505,"&lt;="&amp;$A71,実績!$AJ$6:$AJ$505,"&gt;"&amp;$A71,実績!$AL$6:$AL$505,"○")&gt;0,1,0))</f>
        <v>0</v>
      </c>
      <c r="E71" s="39" t="n">
        <f aca="false">IF(E$4=0,0,IF(COUNTIFS(実績!$W$6:$W$505,E$3,実績!$AI$6:$AI$505,"&lt;="&amp;$A71,実績!$AJ$6:$AJ$505,"&gt;"&amp;$A71,実績!$AL$6:$AL$505,"○")&gt;0,1,0))</f>
        <v>0</v>
      </c>
      <c r="F71" s="39" t="n">
        <f aca="false">IF(F$4=0,0,IF(COUNTIFS(実績!$W$6:$W$505,F$3,実績!$AI$6:$AI$505,"&lt;="&amp;$A71,実績!$AJ$6:$AJ$505,"&gt;"&amp;$A71,実績!$AL$6:$AL$505,"○")&gt;0,1,0))</f>
        <v>0</v>
      </c>
      <c r="G71" s="39" t="n">
        <f aca="false">IF(G$4=0,0,IF(COUNTIFS(実績!$W$6:$W$505,G$3,実績!$AI$6:$AI$505,"&lt;="&amp;$A71,実績!$AJ$6:$AJ$505,"&gt;"&amp;$A71,実績!$AL$6:$AL$505,"○")&gt;0,1,0))</f>
        <v>0</v>
      </c>
      <c r="H71" s="39" t="n">
        <f aca="false">IF(H$4=0,0,IF(COUNTIFS(実績!$W$6:$W$505,H$3,実績!$AI$6:$AI$505,"&lt;="&amp;$A71,実績!$AJ$6:$AJ$505,"&gt;"&amp;$A71,実績!$AL$6:$AL$505,"○")&gt;0,1,0))</f>
        <v>0</v>
      </c>
      <c r="I71" s="39" t="n">
        <f aca="false">IF(I$4=0,0,IF(COUNTIFS(実績!$W$6:$W$505,I$3,実績!$AI$6:$AI$505,"&lt;="&amp;$A71,実績!$AJ$6:$AJ$505,"&gt;"&amp;$A71,実績!$AL$6:$AL$505,"○")&gt;0,1,0))</f>
        <v>0</v>
      </c>
      <c r="J71" s="39" t="n">
        <f aca="false">IF(J$4=0,0,IF(COUNTIFS(実績!$W$6:$W$505,J$3,実績!$AI$6:$AI$505,"&lt;="&amp;$A71,実績!$AJ$6:$AJ$505,"&gt;"&amp;$A71,実績!$AL$6:$AL$505,"○")&gt;0,1,0))</f>
        <v>0</v>
      </c>
      <c r="K71" s="39" t="n">
        <f aca="false">IF(K$4=0,0,IF(COUNTIFS(実績!$W$6:$W$505,K$3,実績!$AI$6:$AI$505,"&lt;="&amp;$A71,実績!$AJ$6:$AJ$505,"&gt;"&amp;$A71,実績!$AL$6:$AL$505,"○")&gt;0,1,0))</f>
        <v>0</v>
      </c>
      <c r="L71" s="39" t="n">
        <f aca="false">IF(L$4=0,0,IF(COUNTIFS(実績!$W$6:$W$505,L$3,実績!$AI$6:$AI$505,"&lt;="&amp;$A71,実績!$AJ$6:$AJ$505,"&gt;"&amp;$A71,実績!$AL$6:$AL$505,"○")&gt;0,1,0))</f>
        <v>0</v>
      </c>
      <c r="M71" s="39" t="n">
        <f aca="false">IF(M$4=0,0,IF(COUNTIFS(実績!$W$6:$W$505,M$3,実績!$AI$6:$AI$505,"&lt;="&amp;$A71,実績!$AJ$6:$AJ$505,"&gt;"&amp;$A71,実績!$AL$6:$AL$505,"○")&gt;0,1,0))</f>
        <v>0</v>
      </c>
      <c r="N71" s="39" t="n">
        <f aca="false">IF(N$4=0,0,IF(COUNTIFS(実績!$W$6:$W$505,N$3,実績!$AI$6:$AI$505,"&lt;="&amp;$A71,実績!$AJ$6:$AJ$505,"&gt;"&amp;$A71,実績!$AL$6:$AL$505,"○")&gt;0,1,0))</f>
        <v>0</v>
      </c>
      <c r="O71" s="39" t="n">
        <f aca="false">IF(O$4=0,0,IF(COUNTIFS(実績!$W$6:$W$505,O$3,実績!$AI$6:$AI$505,"&lt;="&amp;$A71,実績!$AJ$6:$AJ$505,"&gt;"&amp;$A71,実績!$AL$6:$AL$505,"○")&gt;0,1,0))</f>
        <v>0</v>
      </c>
      <c r="P71" s="39" t="n">
        <f aca="false">IF(P$4=0,0,IF(COUNTIFS(実績!$W$6:$W$505,P$3,実績!$AI$6:$AI$505,"&lt;="&amp;$A71,実績!$AJ$6:$AJ$505,"&gt;"&amp;$A71,実績!$AL$6:$AL$505,"○")&gt;0,1,0))</f>
        <v>0</v>
      </c>
      <c r="Q71" s="39" t="n">
        <f aca="false">IF(Q$4=0,0,IF(COUNTIFS(実績!$W$6:$W$505,Q$3,実績!$AI$6:$AI$505,"&lt;="&amp;$A71,実績!$AJ$6:$AJ$505,"&gt;"&amp;$A71,実績!$AL$6:$AL$505,"○")&gt;0,1,0))</f>
        <v>0</v>
      </c>
      <c r="R71" s="39" t="n">
        <f aca="false">IF(R$4=0,0,IF(COUNTIFS(実績!$W$6:$W$505,R$3,実績!$AI$6:$AI$505,"&lt;="&amp;$A71,実績!$AJ$6:$AJ$505,"&gt;"&amp;$A71,実績!$AL$6:$AL$505,"○")&gt;0,1,0))</f>
        <v>0</v>
      </c>
      <c r="S71" s="39" t="n">
        <f aca="false">IF(S$4=0,0,IF(COUNTIFS(実績!$W$6:$W$505,S$3,実績!$AI$6:$AI$505,"&lt;="&amp;$A71,実績!$AJ$6:$AJ$505,"&gt;"&amp;$A71,実績!$AL$6:$AL$505,"○")&gt;0,1,0))</f>
        <v>0</v>
      </c>
      <c r="T71" s="39" t="n">
        <f aca="false">IF(T$4=0,0,IF(COUNTIFS(実績!$W$6:$W$505,T$3,実績!$AI$6:$AI$505,"&lt;="&amp;$A71,実績!$AJ$6:$AJ$505,"&gt;"&amp;$A71,実績!$AL$6:$AL$505,"○")&gt;0,1,0))</f>
        <v>0</v>
      </c>
      <c r="U71" s="39" t="n">
        <f aca="false">IF(U$4=0,0,IF(COUNTIFS(実績!$W$6:$W$505,U$3,実績!$AI$6:$AI$505,"&lt;="&amp;$A71,実績!$AJ$6:$AJ$505,"&gt;"&amp;$A71,実績!$AL$6:$AL$505,"○")&gt;0,1,0))</f>
        <v>0</v>
      </c>
      <c r="V71" s="39" t="n">
        <f aca="false">IF(V$4=0,0,IF(COUNTIFS(実績!$W$6:$W$505,V$3,実績!$AI$6:$AI$505,"&lt;="&amp;$A71,実績!$AJ$6:$AJ$505,"&gt;"&amp;$A71,実績!$AL$6:$AL$505,"○")&gt;0,1,0))</f>
        <v>0</v>
      </c>
      <c r="W71" s="39" t="n">
        <f aca="false">IF(W$4=0,0,IF(COUNTIFS(実績!$W$6:$W$505,W$3,実績!$AI$6:$AI$505,"&lt;="&amp;$A71,実績!$AJ$6:$AJ$505,"&gt;"&amp;$A71,実績!$AL$6:$AL$505,"○")&gt;0,1,0))</f>
        <v>0</v>
      </c>
      <c r="X71" s="39" t="n">
        <f aca="false">IF(X$4=0,0,IF(COUNTIFS(実績!$W$6:$W$505,X$3,実績!$AI$6:$AI$505,"&lt;="&amp;$A71,実績!$AJ$6:$AJ$505,"&gt;"&amp;$A71,実績!$AL$6:$AL$505,"○")&gt;0,1,0))</f>
        <v>0</v>
      </c>
      <c r="Y71" s="39" t="n">
        <f aca="false">IF(Y$4=0,0,IF(COUNTIFS(実績!$W$6:$W$505,Y$3,実績!$AI$6:$AI$505,"&lt;="&amp;$A71,実績!$AJ$6:$AJ$505,"&gt;"&amp;$A71,実績!$AL$6:$AL$505,"○")&gt;0,1,0))</f>
        <v>0</v>
      </c>
      <c r="Z71" s="39" t="n">
        <f aca="false">IF(Z$4=0,0,IF(COUNTIFS(実績!$W$6:$W$505,Z$3,実績!$AI$6:$AI$505,"&lt;="&amp;$A71,実績!$AJ$6:$AJ$505,"&gt;"&amp;$A71,実績!$AL$6:$AL$505,"○")&gt;0,1,0))</f>
        <v>0</v>
      </c>
      <c r="AA71" s="39" t="n">
        <f aca="false">IF(AA$4=0,0,IF(COUNTIFS(実績!$W$6:$W$505,AA$3,実績!$AI$6:$AI$505,"&lt;="&amp;$A71,実績!$AJ$6:$AJ$505,"&gt;"&amp;$A71,実績!$AL$6:$AL$505,"○")&gt;0,1,0))</f>
        <v>0</v>
      </c>
      <c r="AB71" s="39" t="n">
        <f aca="false">IF(AB$4=0,0,IF(COUNTIFS(実績!$W$6:$W$505,AB$3,実績!$AI$6:$AI$505,"&lt;="&amp;$A71,実績!$AJ$6:$AJ$505,"&gt;"&amp;$A71,実績!$AL$6:$AL$505,"○")&gt;0,1,0))</f>
        <v>0</v>
      </c>
      <c r="AC71" s="39" t="n">
        <f aca="false">IF(AC$4=0,0,IF(COUNTIFS(実績!$W$6:$W$505,AC$3,実績!$AI$6:$AI$505,"&lt;="&amp;$A71,実績!$AJ$6:$AJ$505,"&gt;"&amp;$A71,実績!$AL$6:$AL$505,"○")&gt;0,1,0))</f>
        <v>0</v>
      </c>
      <c r="AD71" s="39" t="n">
        <f aca="false">IF(AD$4=0,0,IF(COUNTIFS(実績!$W$6:$W$505,AD$3,実績!$AI$6:$AI$505,"&lt;="&amp;$A71,実績!$AJ$6:$AJ$505,"&gt;"&amp;$A71,実績!$AL$6:$AL$505,"○")&gt;0,1,0))</f>
        <v>0</v>
      </c>
      <c r="AE71" s="39" t="n">
        <f aca="false">IF(AE$4=0,0,IF(COUNTIFS(実績!$W$6:$W$505,AE$3,実績!$AI$6:$AI$505,"&lt;="&amp;$A71,実績!$AJ$6:$AJ$505,"&gt;"&amp;$A71,実績!$AL$6:$AL$505,"○")&gt;0,1,0))</f>
        <v>0</v>
      </c>
      <c r="AF71" s="39" t="n">
        <f aca="false">IF(AF$4=0,0,IF(COUNTIFS(実績!$W$6:$W$505,AF$3,実績!$AI$6:$AI$505,"&lt;="&amp;$A71,実績!$AJ$6:$AJ$505,"&gt;"&amp;$A71,実績!$AL$6:$AL$505,"○")&gt;0,1,0))</f>
        <v>0</v>
      </c>
      <c r="AG71" s="39" t="n">
        <f aca="false">IF(AG$4=0,0,IF(COUNTIFS(実績!$W$6:$W$505,AG$3,実績!$AI$6:$AI$505,"&lt;="&amp;$A71,実績!$AJ$6:$AJ$505,"&gt;"&amp;$A71,実績!$AL$6:$AL$505,"○")&gt;0,1,0))</f>
        <v>0</v>
      </c>
      <c r="AH71" s="39" t="n">
        <f aca="false">IF(AH$4=0,0,IF(COUNTIFS(実績!$W$6:$W$505,AH$3,実績!$AI$6:$AI$505,"&lt;="&amp;$A71,実績!$AJ$6:$AJ$505,"&gt;"&amp;$A71,実績!$AL$6:$AL$505,"○")&gt;0,1,0))</f>
        <v>0</v>
      </c>
      <c r="AI71" s="39" t="n">
        <f aca="false">IF(AI$4=0,0,IF(COUNTIFS(実績!$W$6:$W$505,AI$3,実績!$AI$6:$AI$505,"&lt;="&amp;$A71,実績!$AJ$6:$AJ$505,"&gt;"&amp;$A71,実績!$AL$6:$AL$505,"○")&gt;0,1,0))</f>
        <v>0</v>
      </c>
      <c r="AJ71" s="39" t="n">
        <f aca="false">IF(AJ$4=0,0,IF(COUNTIFS(実績!$W$6:$W$505,AJ$3,実績!$AI$6:$AI$505,"&lt;="&amp;$A71,実績!$AJ$6:$AJ$505,"&gt;"&amp;$A71,実績!$AL$6:$AL$505,"○")&gt;0,1,0))</f>
        <v>0</v>
      </c>
      <c r="AK71" s="39" t="n">
        <f aca="false">IF(AK$4=0,0,IF(COUNTIFS(実績!$W$6:$W$505,AK$3,実績!$AI$6:$AI$505,"&lt;="&amp;$A71,実績!$AJ$6:$AJ$505,"&gt;"&amp;$A71,実績!$AL$6:$AL$505,"○")&gt;0,1,0))</f>
        <v>0</v>
      </c>
      <c r="AL71" s="39" t="n">
        <f aca="false">IF(AL$4=0,0,IF(COUNTIFS(実績!$W$6:$W$505,AL$3,実績!$AI$6:$AI$505,"&lt;="&amp;$A71,実績!$AJ$6:$AJ$505,"&gt;"&amp;$A71,実績!$AL$6:$AL$505,"○")&gt;0,1,0))</f>
        <v>0</v>
      </c>
      <c r="AM71" s="39" t="n">
        <f aca="false">IF(AM$4=0,0,IF(COUNTIFS(実績!$W$6:$W$505,AM$3,実績!$AI$6:$AI$505,"&lt;="&amp;$A71,実績!$AJ$6:$AJ$505,"&gt;"&amp;$A71,実績!$AL$6:$AL$505,"○")&gt;0,1,0))</f>
        <v>0</v>
      </c>
      <c r="AN71" s="39" t="n">
        <f aca="false">IF(AN$4=0,0,IF(COUNTIFS(実績!$W$6:$W$505,AN$3,実績!$AI$6:$AI$505,"&lt;="&amp;$A71,実績!$AJ$6:$AJ$505,"&gt;"&amp;$A71,実績!$AL$6:$AL$505,"○")&gt;0,1,0))</f>
        <v>0</v>
      </c>
      <c r="AO71" s="39" t="n">
        <f aca="false">IF(AO$4=0,0,IF(COUNTIFS(実績!$W$6:$W$505,AO$3,実績!$AI$6:$AI$505,"&lt;="&amp;$A71,実績!$AJ$6:$AJ$505,"&gt;"&amp;$A71,実績!$AL$6:$AL$505,"○")&gt;0,1,0))</f>
        <v>0</v>
      </c>
      <c r="AP71" s="39" t="n">
        <f aca="false">IF(AP$4=0,0,IF(COUNTIFS(実績!$W$6:$W$505,AP$3,実績!$AI$6:$AI$505,"&lt;="&amp;$A71,実績!$AJ$6:$AJ$505,"&gt;"&amp;$A71,実績!$AL$6:$AL$505,"○")&gt;0,1,0))</f>
        <v>0</v>
      </c>
      <c r="AQ71" s="39" t="n">
        <f aca="false">IF(AQ$4=0,0,IF(COUNTIFS(実績!$W$6:$W$505,AQ$3,実績!$AI$6:$AI$505,"&lt;="&amp;$A71,実績!$AJ$6:$AJ$505,"&gt;"&amp;$A71,実績!$AL$6:$AL$505,"○")&gt;0,1,0))</f>
        <v>0</v>
      </c>
      <c r="AR71" s="39" t="n">
        <f aca="false">IF(AR$4=0,0,IF(COUNTIFS(実績!$W$6:$W$505,AR$3,実績!$AI$6:$AI$505,"&lt;="&amp;$A71,実績!$AJ$6:$AJ$505,"&gt;"&amp;$A71,実績!$AL$6:$AL$505,"○")&gt;0,1,0))</f>
        <v>0</v>
      </c>
      <c r="AS71" s="39" t="n">
        <f aca="false">IF(AS$4=0,0,IF(COUNTIFS(実績!$W$6:$W$505,AS$3,実績!$AI$6:$AI$505,"&lt;="&amp;$A71,実績!$AJ$6:$AJ$505,"&gt;"&amp;$A71,実績!$AL$6:$AL$505,"○")&gt;0,1,0))</f>
        <v>0</v>
      </c>
      <c r="AT71" s="39" t="n">
        <f aca="false">IF(AT$4=0,0,IF(COUNTIFS(実績!$W$6:$W$505,AT$3,実績!$AI$6:$AI$505,"&lt;="&amp;$A71,実績!$AJ$6:$AJ$505,"&gt;"&amp;$A71,実績!$AL$6:$AL$505,"○")&gt;0,1,0))</f>
        <v>0</v>
      </c>
      <c r="AU71" s="39" t="n">
        <f aca="false">IF(AU$4=0,0,IF(COUNTIFS(実績!$W$6:$W$505,AU$3,実績!$AI$6:$AI$505,"&lt;="&amp;$A71,実績!$AJ$6:$AJ$505,"&gt;"&amp;$A71,実績!$AL$6:$AL$505,"○")&gt;0,1,0))</f>
        <v>0</v>
      </c>
      <c r="AV71" s="39" t="n">
        <f aca="false">IF(AV$4=0,0,IF(COUNTIFS(実績!$W$6:$W$505,AV$3,実績!$AI$6:$AI$505,"&lt;="&amp;$A71,実績!$AJ$6:$AJ$505,"&gt;"&amp;$A71,実績!$AL$6:$AL$505,"○")&gt;0,1,0))</f>
        <v>0</v>
      </c>
      <c r="AW71" s="39" t="n">
        <f aca="false">IF(AW$4=0,0,IF(COUNTIFS(実績!$W$6:$W$505,AW$3,実績!$AI$6:$AI$505,"&lt;="&amp;$A71,実績!$AJ$6:$AJ$505,"&gt;"&amp;$A71,実績!$AL$6:$AL$505,"○")&gt;0,1,0))</f>
        <v>0</v>
      </c>
      <c r="AX71" s="39" t="n">
        <f aca="false">IF(AX$4=0,0,IF(COUNTIFS(実績!$W$6:$W$505,AX$3,実績!$AI$6:$AI$505,"&lt;="&amp;$A71,実績!$AJ$6:$AJ$505,"&gt;"&amp;$A71,実績!$AL$6:$AL$505,"○")&gt;0,1,0))</f>
        <v>0</v>
      </c>
      <c r="AY71" s="39" t="n">
        <f aca="false">IF(AY$4=0,0,IF(COUNTIFS(実績!$W$6:$W$505,AY$3,実績!$AI$6:$AI$505,"&lt;="&amp;$A71,実績!$AJ$6:$AJ$505,"&gt;"&amp;$A71,実績!$AL$6:$AL$505,"○")&gt;0,1,0))</f>
        <v>0</v>
      </c>
      <c r="AZ71" s="39" t="n">
        <f aca="false">IF(AZ$4=0,0,IF(COUNTIFS(実績!$W$6:$W$505,AZ$3,実績!$AI$6:$AI$505,"&lt;="&amp;$A71,実績!$AJ$6:$AJ$505,"&gt;"&amp;$A71,実績!$AL$6:$AL$505,"○")&gt;0,1,0))</f>
        <v>0</v>
      </c>
      <c r="BA71" s="39" t="n">
        <f aca="false">IF(BA$4=0,0,IF(COUNTIFS(実績!$W$6:$W$505,BA$3,実績!$AI$6:$AI$505,"&lt;="&amp;$A71,実績!$AJ$6:$AJ$505,"&gt;"&amp;$A71,実績!$AL$6:$AL$505,"○")&gt;0,1,0))</f>
        <v>0</v>
      </c>
      <c r="BB71" s="39" t="n">
        <f aca="false">IF(BB$4=0,0,IF(COUNTIFS(実績!$W$6:$W$505,BB$3,実績!$AI$6:$AI$505,"&lt;="&amp;$A71,実績!$AJ$6:$AJ$505,"&gt;"&amp;$A71,実績!$AL$6:$AL$505,"○")&gt;0,1,0))</f>
        <v>0</v>
      </c>
      <c r="BC71" s="39" t="n">
        <f aca="false">IF(BC$4=0,0,IF(COUNTIFS(実績!$W$6:$W$505,BC$3,実績!$AI$6:$AI$505,"&lt;="&amp;$A71,実績!$AJ$6:$AJ$505,"&gt;"&amp;$A71,実績!$AL$6:$AL$505,"○")&gt;0,1,0))</f>
        <v>0</v>
      </c>
      <c r="BD71" s="39" t="n">
        <f aca="false">IF(BD$4=0,0,IF(COUNTIFS(実績!$W$6:$W$505,BD$3,実績!$AI$6:$AI$505,"&lt;="&amp;$A71,実績!$AJ$6:$AJ$505,"&gt;"&amp;$A71,実績!$AL$6:$AL$505,"○")&gt;0,1,0))</f>
        <v>0</v>
      </c>
      <c r="BE71" s="39" t="n">
        <f aca="false">IF(BE$4=0,0,IF(COUNTIFS(実績!$W$6:$W$505,BE$3,実績!$AI$6:$AI$505,"&lt;="&amp;$A71,実績!$AJ$6:$AJ$505,"&gt;"&amp;$A71,実績!$AL$6:$AL$505,"○")&gt;0,1,0))</f>
        <v>0</v>
      </c>
      <c r="BF71" s="39" t="n">
        <f aca="false">IF(BF$4=0,0,IF(COUNTIFS(実績!$W$6:$W$505,BF$3,実績!$AI$6:$AI$505,"&lt;="&amp;$A71,実績!$AJ$6:$AJ$505,"&gt;"&amp;$A71,実績!$AL$6:$AL$505,"○")&gt;0,1,0))</f>
        <v>0</v>
      </c>
      <c r="BG71" s="39" t="n">
        <f aca="false">IF(BG$4=0,0,IF(COUNTIFS(実績!$W$6:$W$505,BG$3,実績!$AI$6:$AI$505,"&lt;="&amp;$A71,実績!$AJ$6:$AJ$505,"&gt;"&amp;$A71,実績!$AL$6:$AL$505,"○")&gt;0,1,0))</f>
        <v>0</v>
      </c>
      <c r="BH71" s="39" t="n">
        <f aca="false">IF(BH$4=0,0,IF(COUNTIFS(実績!$W$6:$W$505,BH$3,実績!$AI$6:$AI$505,"&lt;="&amp;$A71,実績!$AJ$6:$AJ$505,"&gt;"&amp;$A71,実績!$AL$6:$AL$505,"○")&gt;0,1,0))</f>
        <v>0</v>
      </c>
      <c r="BI71" s="39" t="n">
        <f aca="false">IF(BI$4=0,0,IF(COUNTIFS(実績!$W$6:$W$505,BI$3,実績!$AI$6:$AI$505,"&lt;="&amp;$A71,実績!$AJ$6:$AJ$505,"&gt;"&amp;$A71,実績!$AL$6:$AL$505,"○")&gt;0,1,0))</f>
        <v>0</v>
      </c>
      <c r="BJ71" s="39" t="n">
        <f aca="false">IF(BJ$4=0,0,IF(COUNTIFS(実績!$W$6:$W$505,BJ$3,実績!$AI$6:$AI$505,"&lt;="&amp;$A71,実績!$AJ$6:$AJ$505,"&gt;"&amp;$A71,実績!$AL$6:$AL$505,"○")&gt;0,1,0))</f>
        <v>0</v>
      </c>
      <c r="BK71" s="39" t="n">
        <f aca="false">IF(BK$4=0,0,IF(COUNTIFS(実績!$W$6:$W$505,BK$3,実績!$AI$6:$AI$505,"&lt;="&amp;$A71,実績!$AJ$6:$AJ$505,"&gt;"&amp;$A71,実績!$AL$6:$AL$505,"○")&gt;0,1,0))</f>
        <v>0</v>
      </c>
      <c r="BL71" s="39" t="n">
        <f aca="false">IF(BL$4=0,0,IF(COUNTIFS(実績!$W$6:$W$505,BL$3,実績!$AI$6:$AI$505,"&lt;="&amp;$A71,実績!$AJ$6:$AJ$505,"&gt;"&amp;$A71,実績!$AL$6:$AL$505,"○")&gt;0,1,0))</f>
        <v>0</v>
      </c>
      <c r="BM71" s="39" t="n">
        <f aca="false">IF(BM$4=0,0,IF(COUNTIFS(実績!$W$6:$W$505,BM$3,実績!$AI$6:$AI$505,"&lt;="&amp;$A71,実績!$AJ$6:$AJ$505,"&gt;"&amp;$A71,実績!$AL$6:$AL$505,"○")&gt;0,1,0))</f>
        <v>0</v>
      </c>
      <c r="BN71" s="39" t="n">
        <f aca="false">IF(BN$4=0,0,IF(COUNTIFS(実績!$W$6:$W$505,BN$3,実績!$AI$6:$AI$505,"&lt;="&amp;$A71,実績!$AJ$6:$AJ$505,"&gt;"&amp;$A71,実績!$AL$6:$AL$505,"○")&gt;0,1,0))</f>
        <v>0</v>
      </c>
      <c r="BO71" s="39" t="n">
        <f aca="false">IF(BO$4=0,0,IF(COUNTIFS(実績!$W$6:$W$505,BO$3,実績!$AI$6:$AI$505,"&lt;="&amp;$A71,実績!$AJ$6:$AJ$505,"&gt;"&amp;$A71,実績!$AL$6:$AL$505,"○")&gt;0,1,0))</f>
        <v>0</v>
      </c>
      <c r="BP71" s="39" t="n">
        <f aca="false">IF(BP$4=0,0,IF(COUNTIFS(実績!$W$6:$W$505,BP$3,実績!$AI$6:$AI$505,"&lt;="&amp;$A71,実績!$AJ$6:$AJ$505,"&gt;"&amp;$A71,実績!$AL$6:$AL$505,"○")&gt;0,1,0))</f>
        <v>0</v>
      </c>
      <c r="BQ71" s="39" t="n">
        <f aca="false">IF(BQ$4=0,0,IF(COUNTIFS(実績!$W$6:$W$505,BQ$3,実績!$AI$6:$AI$505,"&lt;="&amp;$A71,実績!$AJ$6:$AJ$505,"&gt;"&amp;$A71,実績!$AL$6:$AL$505,"○")&gt;0,1,0))</f>
        <v>0</v>
      </c>
      <c r="BR71" s="39" t="n">
        <f aca="false">IF(BR$4=0,0,IF(COUNTIFS(実績!$W$6:$W$505,BR$3,実績!$AI$6:$AI$505,"&lt;="&amp;$A71,実績!$AJ$6:$AJ$505,"&gt;"&amp;$A71,実績!$AL$6:$AL$505,"○")&gt;0,1,0))</f>
        <v>0</v>
      </c>
      <c r="BS71" s="39" t="n">
        <f aca="false">IF(BS$4=0,0,IF(COUNTIFS(実績!$W$6:$W$505,BS$3,実績!$AI$6:$AI$505,"&lt;="&amp;$A71,実績!$AJ$6:$AJ$505,"&gt;"&amp;$A71,実績!$AL$6:$AL$505,"○")&gt;0,1,0))</f>
        <v>0</v>
      </c>
      <c r="BT71" s="39" t="n">
        <f aca="false">IF(BT$4=0,0,IF(COUNTIFS(実績!$W$6:$W$505,BT$3,実績!$AI$6:$AI$505,"&lt;="&amp;$A71,実績!$AJ$6:$AJ$505,"&gt;"&amp;$A71,実績!$AL$6:$AL$505,"○")&gt;0,1,0))</f>
        <v>0</v>
      </c>
      <c r="BU71" s="39" t="n">
        <f aca="false">IF(BU$4=0,0,IF(COUNTIFS(実績!$W$6:$W$505,BU$3,実績!$AI$6:$AI$505,"&lt;="&amp;$A71,実績!$AJ$6:$AJ$505,"&gt;"&amp;$A71,実績!$AL$6:$AL$505,"○")&gt;0,1,0))</f>
        <v>0</v>
      </c>
      <c r="BV71" s="39" t="n">
        <f aca="false">IF(BV$4=0,0,IF(COUNTIFS(実績!$W$6:$W$505,BV$3,実績!$AI$6:$AI$505,"&lt;="&amp;$A71,実績!$AJ$6:$AJ$505,"&gt;"&amp;$A71,実績!$AL$6:$AL$505,"○")&gt;0,1,0))</f>
        <v>0</v>
      </c>
      <c r="BW71" s="39" t="n">
        <f aca="false">IF(BW$4=0,0,IF(COUNTIFS(実績!$W$6:$W$505,BW$3,実績!$AI$6:$AI$505,"&lt;="&amp;$A71,実績!$AJ$6:$AJ$505,"&gt;"&amp;$A71,実績!$AL$6:$AL$505,"○")&gt;0,1,0))</f>
        <v>0</v>
      </c>
      <c r="BX71" s="39" t="n">
        <f aca="false">IF(BX$4=0,0,IF(COUNTIFS(実績!$W$6:$W$505,BX$3,実績!$AI$6:$AI$505,"&lt;="&amp;$A71,実績!$AJ$6:$AJ$505,"&gt;"&amp;$A71,実績!$AL$6:$AL$505,"○")&gt;0,1,0))</f>
        <v>0</v>
      </c>
      <c r="BY71" s="39" t="n">
        <f aca="false">IF(BY$4=0,0,IF(COUNTIFS(実績!$W$6:$W$505,BY$3,実績!$AI$6:$AI$505,"&lt;="&amp;$A71,実績!$AJ$6:$AJ$505,"&gt;"&amp;$A71,実績!$AL$6:$AL$505,"○")&gt;0,1,0))</f>
        <v>0</v>
      </c>
      <c r="BZ71" s="39" t="n">
        <f aca="false">IF(BZ$4=0,0,IF(COUNTIFS(実績!$W$6:$W$505,BZ$3,実績!$AI$6:$AI$505,"&lt;="&amp;$A71,実績!$AJ$6:$AJ$505,"&gt;"&amp;$A71,実績!$AL$6:$AL$505,"○")&gt;0,1,0))</f>
        <v>0</v>
      </c>
      <c r="CA71" s="39" t="n">
        <f aca="false">IF(CA$4=0,0,IF(COUNTIFS(実績!$W$6:$W$505,CA$3,実績!$AI$6:$AI$505,"&lt;="&amp;$A71,実績!$AJ$6:$AJ$505,"&gt;"&amp;$A71,実績!$AL$6:$AL$505,"○")&gt;0,1,0))</f>
        <v>0</v>
      </c>
      <c r="CB71" s="39" t="n">
        <f aca="false">IF(CB$4=0,0,IF(COUNTIFS(実績!$W$6:$W$505,CB$3,実績!$AI$6:$AI$505,"&lt;="&amp;$A71,実績!$AJ$6:$AJ$505,"&gt;"&amp;$A71,実績!$AL$6:$AL$505,"○")&gt;0,1,0))</f>
        <v>0</v>
      </c>
      <c r="CC71" s="39" t="n">
        <f aca="false">IF(CC$4=0,0,IF(COUNTIFS(実績!$W$6:$W$505,CC$3,実績!$AI$6:$AI$505,"&lt;="&amp;$A71,実績!$AJ$6:$AJ$505,"&gt;"&amp;$A71,実績!$AL$6:$AL$505,"○")&gt;0,1,0))</f>
        <v>0</v>
      </c>
      <c r="CD71" s="39" t="n">
        <f aca="false">IF(CD$4=0,0,IF(COUNTIFS(実績!$W$6:$W$505,CD$3,実績!$AI$6:$AI$505,"&lt;="&amp;$A71,実績!$AJ$6:$AJ$505,"&gt;"&amp;$A71,実績!$AL$6:$AL$505,"○")&gt;0,1,0))</f>
        <v>0</v>
      </c>
      <c r="CE71" s="39" t="n">
        <f aca="false">IF(CE$4=0,0,IF(COUNTIFS(実績!$W$6:$W$505,CE$3,実績!$AI$6:$AI$505,"&lt;="&amp;$A71,実績!$AJ$6:$AJ$505,"&gt;"&amp;$A71,実績!$AL$6:$AL$505,"○")&gt;0,1,0))</f>
        <v>0</v>
      </c>
      <c r="CF71" s="39" t="n">
        <f aca="false">IF(CF$4=0,0,IF(COUNTIFS(実績!$W$6:$W$505,CF$3,実績!$AI$6:$AI$505,"&lt;="&amp;$A71,実績!$AJ$6:$AJ$505,"&gt;"&amp;$A71,実績!$AL$6:$AL$505,"○")&gt;0,1,0))</f>
        <v>0</v>
      </c>
      <c r="CG71" s="39" t="n">
        <f aca="false">IF(CG$4=0,0,IF(COUNTIFS(実績!$W$6:$W$505,CG$3,実績!$AI$6:$AI$505,"&lt;="&amp;$A71,実績!$AJ$6:$AJ$505,"&gt;"&amp;$A71,実績!$AL$6:$AL$505,"○")&gt;0,1,0))</f>
        <v>0</v>
      </c>
      <c r="CH71" s="39" t="n">
        <f aca="false">IF(CH$4=0,0,IF(COUNTIFS(実績!$W$6:$W$505,CH$3,実績!$AI$6:$AI$505,"&lt;="&amp;$A71,実績!$AJ$6:$AJ$505,"&gt;"&amp;$A71,実績!$AL$6:$AL$505,"○")&gt;0,1,0))</f>
        <v>0</v>
      </c>
      <c r="CI71" s="39" t="n">
        <f aca="false">IF(CI$4=0,0,IF(COUNTIFS(実績!$W$6:$W$505,CI$3,実績!$AI$6:$AI$505,"&lt;="&amp;$A71,実績!$AJ$6:$AJ$505,"&gt;"&amp;$A71,実績!$AL$6:$AL$505,"○")&gt;0,1,0))</f>
        <v>0</v>
      </c>
      <c r="CJ71" s="39" t="n">
        <f aca="false">IF(CJ$4=0,0,IF(COUNTIFS(実績!$W$6:$W$505,CJ$3,実績!$AI$6:$AI$505,"&lt;="&amp;$A71,実績!$AJ$6:$AJ$505,"&gt;"&amp;$A71,実績!$AL$6:$AL$505,"○")&gt;0,1,0))</f>
        <v>0</v>
      </c>
      <c r="CK71" s="39" t="n">
        <f aca="false">IF(CK$4=0,0,IF(COUNTIFS(実績!$W$6:$W$505,CK$3,実績!$AI$6:$AI$505,"&lt;="&amp;$A71,実績!$AJ$6:$AJ$505,"&gt;"&amp;$A71,実績!$AL$6:$AL$505,"○")&gt;0,1,0))</f>
        <v>0</v>
      </c>
      <c r="CL71" s="39" t="n">
        <f aca="false">IF(CL$4=0,0,IF(COUNTIFS(実績!$W$6:$W$505,CL$3,実績!$AI$6:$AI$505,"&lt;="&amp;$A71,実績!$AJ$6:$AJ$505,"&gt;"&amp;$A71,実績!$AL$6:$AL$505,"○")&gt;0,1,0))</f>
        <v>0</v>
      </c>
      <c r="CM71" s="39" t="n">
        <f aca="false">IF(CM$4=0,0,IF(COUNTIFS(実績!$W$6:$W$505,CM$3,実績!$AI$6:$AI$505,"&lt;="&amp;$A71,実績!$AJ$6:$AJ$505,"&gt;"&amp;$A71,実績!$AL$6:$AL$505,"○")&gt;0,1,0))</f>
        <v>0</v>
      </c>
      <c r="CN71" s="39" t="n">
        <f aca="false">IF(CN$4=0,0,IF(COUNTIFS(実績!$W$6:$W$505,CN$3,実績!$AI$6:$AI$505,"&lt;="&amp;$A71,実績!$AJ$6:$AJ$505,"&gt;"&amp;$A71,実績!$AL$6:$AL$505,"○")&gt;0,1,0))</f>
        <v>0</v>
      </c>
      <c r="CO71" s="39" t="n">
        <f aca="false">IF(CO$4=0,0,IF(COUNTIFS(実績!$W$6:$W$505,CO$3,実績!$AI$6:$AI$505,"&lt;="&amp;$A71,実績!$AJ$6:$AJ$505,"&gt;"&amp;$A71,実績!$AL$6:$AL$505,"○")&gt;0,1,0))</f>
        <v>0</v>
      </c>
      <c r="CP71" s="39" t="n">
        <f aca="false">IF(CP$4=0,0,IF(COUNTIFS(実績!$W$6:$W$505,CP$3,実績!$AI$6:$AI$505,"&lt;="&amp;$A71,実績!$AJ$6:$AJ$505,"&gt;"&amp;$A71,実績!$AL$6:$AL$505,"○")&gt;0,1,0))</f>
        <v>0</v>
      </c>
      <c r="CQ71" s="39" t="n">
        <f aca="false">IF(CQ$4=0,0,IF(COUNTIFS(実績!$W$6:$W$505,CQ$3,実績!$AI$6:$AI$505,"&lt;="&amp;$A71,実績!$AJ$6:$AJ$505,"&gt;"&amp;$A71,実績!$AL$6:$AL$505,"○")&gt;0,1,0))</f>
        <v>0</v>
      </c>
      <c r="CR71" s="39" t="n">
        <f aca="false">IF(CR$4=0,0,IF(COUNTIFS(実績!$W$6:$W$505,CR$3,実績!$AI$6:$AI$505,"&lt;="&amp;$A71,実績!$AJ$6:$AJ$505,"&gt;"&amp;$A71,実績!$AL$6:$AL$505,"○")&gt;0,1,0))</f>
        <v>0</v>
      </c>
      <c r="CS71" s="39" t="n">
        <f aca="false">IF(CS$4=0,0,IF(COUNTIFS(実績!$W$6:$W$505,CS$3,実績!$AI$6:$AI$505,"&lt;="&amp;$A71,実績!$AJ$6:$AJ$505,"&gt;"&amp;$A71,実績!$AL$6:$AL$505,"○")&gt;0,1,0))</f>
        <v>0</v>
      </c>
      <c r="CT71" s="39" t="n">
        <f aca="false">IF(CT$4=0,0,IF(COUNTIFS(実績!$W$6:$W$505,CT$3,実績!$AI$6:$AI$505,"&lt;="&amp;$A71,実績!$AJ$6:$AJ$505,"&gt;"&amp;$A71,実績!$AL$6:$AL$505,"○")&gt;0,1,0))</f>
        <v>0</v>
      </c>
      <c r="CU71" s="39" t="n">
        <f aca="false">IF(CU$4=0,0,IF(COUNTIFS(実績!$W$6:$W$505,CU$3,実績!$AI$6:$AI$505,"&lt;="&amp;$A71,実績!$AJ$6:$AJ$505,"&gt;"&amp;$A71,実績!$AL$6:$AL$505,"○")&gt;0,1,0))</f>
        <v>0</v>
      </c>
      <c r="CV71" s="39" t="n">
        <f aca="false">IF(CV$4=0,0,IF(COUNTIFS(実績!$W$6:$W$505,CV$3,実績!$AI$6:$AI$505,"&lt;="&amp;$A71,実績!$AJ$6:$AJ$505,"&gt;"&amp;$A71,実績!$AL$6:$AL$505,"○")&gt;0,1,0))</f>
        <v>0</v>
      </c>
      <c r="CW71" s="39" t="n">
        <f aca="false">IF(CW$4=0,0,IF(COUNTIFS(実績!$W$6:$W$505,CW$3,実績!$AI$6:$AI$505,"&lt;="&amp;$A71,実績!$AJ$6:$AJ$505,"&gt;"&amp;$A71,実績!$AL$6:$AL$505,"○")&gt;0,1,0))</f>
        <v>0</v>
      </c>
      <c r="CX71" s="39" t="n">
        <f aca="false">IF(CX$4=0,0,IF(COUNTIFS(実績!$W$6:$W$505,CX$3,実績!$AI$6:$AI$505,"&lt;="&amp;$A71,実績!$AJ$6:$AJ$505,"&gt;"&amp;$A71,実績!$AL$6:$AL$505,"○")&gt;0,1,0))</f>
        <v>0</v>
      </c>
      <c r="CY71" s="39" t="n">
        <f aca="false">IF(CY$4=0,0,IF(COUNTIFS(実績!$W$6:$W$505,CY$3,実績!$AI$6:$AI$505,"&lt;="&amp;$A71,実績!$AJ$6:$AJ$505,"&gt;"&amp;$A71,実績!$AL$6:$AL$505,"○")&gt;0,1,0))</f>
        <v>0</v>
      </c>
      <c r="CZ71" s="39" t="n">
        <f aca="false">IF(CZ$4=0,0,IF(COUNTIFS(実績!$W$6:$W$505,CZ$3,実績!$AI$6:$AI$505,"&lt;="&amp;$A71,実績!$AJ$6:$AJ$505,"&gt;"&amp;$A71,実績!$AL$6:$AL$505,"○")&gt;0,1,0))</f>
        <v>0</v>
      </c>
      <c r="DA71" s="39" t="n">
        <f aca="false">IF(DA$4=0,0,IF(COUNTIFS(実績!$W$6:$W$505,DA$3,実績!$AI$6:$AI$505,"&lt;="&amp;$A71,実績!$AJ$6:$AJ$505,"&gt;"&amp;$A71,実績!$AL$6:$AL$505,"○")&gt;0,1,0))</f>
        <v>0</v>
      </c>
      <c r="DB71" s="39" t="n">
        <f aca="false">IF(DB$4=0,0,IF(COUNTIFS(実績!$W$6:$W$505,DB$3,実績!$AI$6:$AI$505,"&lt;="&amp;$A71,実績!$AJ$6:$AJ$505,"&gt;"&amp;$A71,実績!$AL$6:$AL$505,"○")&gt;0,1,0))</f>
        <v>0</v>
      </c>
      <c r="DC71" s="39" t="n">
        <f aca="false">IF(DC$4=0,0,IF(COUNTIFS(実績!$W$6:$W$505,DC$3,実績!$AI$6:$AI$505,"&lt;="&amp;$A71,実績!$AJ$6:$AJ$505,"&gt;"&amp;$A71,実績!$AL$6:$AL$505,"○")&gt;0,1,0))</f>
        <v>0</v>
      </c>
      <c r="DD71" s="39" t="n">
        <f aca="false">IF(DD$4=0,0,IF(COUNTIFS(実績!$W$6:$W$505,DD$3,実績!$AI$6:$AI$505,"&lt;="&amp;$A71,実績!$AJ$6:$AJ$505,"&gt;"&amp;$A71,実績!$AL$6:$AL$505,"○")&gt;0,1,0))</f>
        <v>0</v>
      </c>
      <c r="DE71" s="39" t="n">
        <f aca="false">IF(DE$4=0,0,IF(COUNTIFS(実績!$W$6:$W$505,DE$3,実績!$AI$6:$AI$505,"&lt;="&amp;$A71,実績!$AJ$6:$AJ$505,"&gt;"&amp;$A71,実績!$AL$6:$AL$505,"○")&gt;0,1,0))</f>
        <v>0</v>
      </c>
      <c r="DF71" s="39" t="n">
        <f aca="false">IF(DF$4=0,0,IF(COUNTIFS(実績!$W$6:$W$505,DF$3,実績!$AI$6:$AI$505,"&lt;="&amp;$A71,実績!$AJ$6:$AJ$505,"&gt;"&amp;$A71,実績!$AL$6:$AL$505,"○")&gt;0,1,0))</f>
        <v>0</v>
      </c>
      <c r="DG71" s="39" t="n">
        <f aca="false">IF(DG$4=0,0,IF(COUNTIFS(実績!$W$6:$W$505,DG$3,実績!$AI$6:$AI$505,"&lt;="&amp;$A71,実績!$AJ$6:$AJ$505,"&gt;"&amp;$A71,実績!$AL$6:$AL$505,"○")&gt;0,1,0))</f>
        <v>0</v>
      </c>
      <c r="DH71" s="39" t="n">
        <f aca="false">IF(DH$4=0,0,IF(COUNTIFS(実績!$W$6:$W$505,DH$3,実績!$AI$6:$AI$505,"&lt;="&amp;$A71,実績!$AJ$6:$AJ$505,"&gt;"&amp;$A71,実績!$AL$6:$AL$505,"○")&gt;0,1,0))</f>
        <v>0</v>
      </c>
      <c r="DI71" s="39" t="n">
        <f aca="false">IF(DI$4=0,0,IF(COUNTIFS(実績!$W$6:$W$505,DI$3,実績!$AI$6:$AI$505,"&lt;="&amp;$A71,実績!$AJ$6:$AJ$505,"&gt;"&amp;$A71,実績!$AL$6:$AL$505,"○")&gt;0,1,0))</f>
        <v>0</v>
      </c>
      <c r="DJ71" s="39" t="n">
        <f aca="false">IF(DJ$4=0,0,IF(COUNTIFS(実績!$W$6:$W$505,DJ$3,実績!$AI$6:$AI$505,"&lt;="&amp;$A71,実績!$AJ$6:$AJ$505,"&gt;"&amp;$A71,実績!$AL$6:$AL$505,"○")&gt;0,1,0))</f>
        <v>0</v>
      </c>
      <c r="DK71" s="39" t="n">
        <f aca="false">IF(DK$4=0,0,IF(COUNTIFS(実績!$W$6:$W$505,DK$3,実績!$AI$6:$AI$505,"&lt;="&amp;$A71,実績!$AJ$6:$AJ$505,"&gt;"&amp;$A71,実績!$AL$6:$AL$505,"○")&gt;0,1,0))</f>
        <v>0</v>
      </c>
      <c r="DL71" s="39" t="n">
        <f aca="false">IF(DL$4=0,0,IF(COUNTIFS(実績!$W$6:$W$505,DL$3,実績!$AI$6:$AI$505,"&lt;="&amp;$A71,実績!$AJ$6:$AJ$505,"&gt;"&amp;$A71,実績!$AL$6:$AL$505,"○")&gt;0,1,0))</f>
        <v>0</v>
      </c>
      <c r="DM71" s="39" t="n">
        <f aca="false">IF(DM$4=0,0,IF(COUNTIFS(実績!$W$6:$W$505,DM$3,実績!$AI$6:$AI$505,"&lt;="&amp;$A71,実績!$AJ$6:$AJ$505,"&gt;"&amp;$A71,実績!$AL$6:$AL$505,"○")&gt;0,1,0))</f>
        <v>0</v>
      </c>
      <c r="DN71" s="39" t="n">
        <f aca="false">IF(DN$4=0,0,IF(COUNTIFS(実績!$W$6:$W$505,DN$3,実績!$AI$6:$AI$505,"&lt;="&amp;$A71,実績!$AJ$6:$AJ$505,"&gt;"&amp;$A71,実績!$AL$6:$AL$505,"○")&gt;0,1,0))</f>
        <v>0</v>
      </c>
      <c r="DO71" s="39" t="n">
        <f aca="false">IF(DO$4=0,0,IF(COUNTIFS(実績!$W$6:$W$505,DO$3,実績!$AI$6:$AI$505,"&lt;="&amp;$A71,実績!$AJ$6:$AJ$505,"&gt;"&amp;$A71,実績!$AL$6:$AL$505,"○")&gt;0,1,0))</f>
        <v>0</v>
      </c>
      <c r="DP71" s="39" t="n">
        <f aca="false">IF(DP$4=0,0,IF(COUNTIFS(実績!$W$6:$W$505,DP$3,実績!$AI$6:$AI$505,"&lt;="&amp;$A71,実績!$AJ$6:$AJ$505,"&gt;"&amp;$A71,実績!$AL$6:$AL$505,"○")&gt;0,1,0))</f>
        <v>0</v>
      </c>
      <c r="DQ71" s="39" t="n">
        <f aca="false">IF(DQ$4=0,0,IF(COUNTIFS(実績!$W$6:$W$505,DQ$3,実績!$AI$6:$AI$505,"&lt;="&amp;$A71,実績!$AJ$6:$AJ$505,"&gt;"&amp;$A71,実績!$AL$6:$AL$505,"○")&gt;0,1,0))</f>
        <v>0</v>
      </c>
      <c r="DR71" s="39" t="n">
        <f aca="false">IF(DR$4=0,0,IF(COUNTIFS(実績!$W$6:$W$505,DR$3,実績!$AI$6:$AI$505,"&lt;="&amp;$A71,実績!$AJ$6:$AJ$505,"&gt;"&amp;$A71,実績!$AL$6:$AL$505,"○")&gt;0,1,0))</f>
        <v>0</v>
      </c>
      <c r="DS71" s="39" t="n">
        <f aca="false">SUM(C71:DR71)</f>
        <v>0</v>
      </c>
    </row>
    <row r="72" customFormat="false" ht="15" hidden="false" customHeight="false" outlineLevel="0" collapsed="false">
      <c r="A72" s="0" t="n">
        <v>330</v>
      </c>
      <c r="B72" s="38" t="n">
        <f aca="false">A72/1440</f>
        <v>0.229166666666667</v>
      </c>
      <c r="C72" s="39" t="n">
        <f aca="false">IF(C$4=0,0,IF(COUNTIFS(実績!$W$6:$W$505,C$3,実績!$AI$6:$AI$505,"&lt;="&amp;$A72,実績!$AJ$6:$AJ$505,"&gt;"&amp;$A72,実績!$AL$6:$AL$505,"○")&gt;0,1,0))</f>
        <v>0</v>
      </c>
      <c r="D72" s="39" t="n">
        <f aca="false">IF(D$4=0,0,IF(COUNTIFS(実績!$W$6:$W$505,D$3,実績!$AI$6:$AI$505,"&lt;="&amp;$A72,実績!$AJ$6:$AJ$505,"&gt;"&amp;$A72,実績!$AL$6:$AL$505,"○")&gt;0,1,0))</f>
        <v>0</v>
      </c>
      <c r="E72" s="39" t="n">
        <f aca="false">IF(E$4=0,0,IF(COUNTIFS(実績!$W$6:$W$505,E$3,実績!$AI$6:$AI$505,"&lt;="&amp;$A72,実績!$AJ$6:$AJ$505,"&gt;"&amp;$A72,実績!$AL$6:$AL$505,"○")&gt;0,1,0))</f>
        <v>0</v>
      </c>
      <c r="F72" s="39" t="n">
        <f aca="false">IF(F$4=0,0,IF(COUNTIFS(実績!$W$6:$W$505,F$3,実績!$AI$6:$AI$505,"&lt;="&amp;$A72,実績!$AJ$6:$AJ$505,"&gt;"&amp;$A72,実績!$AL$6:$AL$505,"○")&gt;0,1,0))</f>
        <v>0</v>
      </c>
      <c r="G72" s="39" t="n">
        <f aca="false">IF(G$4=0,0,IF(COUNTIFS(実績!$W$6:$W$505,G$3,実績!$AI$6:$AI$505,"&lt;="&amp;$A72,実績!$AJ$6:$AJ$505,"&gt;"&amp;$A72,実績!$AL$6:$AL$505,"○")&gt;0,1,0))</f>
        <v>0</v>
      </c>
      <c r="H72" s="39" t="n">
        <f aca="false">IF(H$4=0,0,IF(COUNTIFS(実績!$W$6:$W$505,H$3,実績!$AI$6:$AI$505,"&lt;="&amp;$A72,実績!$AJ$6:$AJ$505,"&gt;"&amp;$A72,実績!$AL$6:$AL$505,"○")&gt;0,1,0))</f>
        <v>0</v>
      </c>
      <c r="I72" s="39" t="n">
        <f aca="false">IF(I$4=0,0,IF(COUNTIFS(実績!$W$6:$W$505,I$3,実績!$AI$6:$AI$505,"&lt;="&amp;$A72,実績!$AJ$6:$AJ$505,"&gt;"&amp;$A72,実績!$AL$6:$AL$505,"○")&gt;0,1,0))</f>
        <v>0</v>
      </c>
      <c r="J72" s="39" t="n">
        <f aca="false">IF(J$4=0,0,IF(COUNTIFS(実績!$W$6:$W$505,J$3,実績!$AI$6:$AI$505,"&lt;="&amp;$A72,実績!$AJ$6:$AJ$505,"&gt;"&amp;$A72,実績!$AL$6:$AL$505,"○")&gt;0,1,0))</f>
        <v>0</v>
      </c>
      <c r="K72" s="39" t="n">
        <f aca="false">IF(K$4=0,0,IF(COUNTIFS(実績!$W$6:$W$505,K$3,実績!$AI$6:$AI$505,"&lt;="&amp;$A72,実績!$AJ$6:$AJ$505,"&gt;"&amp;$A72,実績!$AL$6:$AL$505,"○")&gt;0,1,0))</f>
        <v>0</v>
      </c>
      <c r="L72" s="39" t="n">
        <f aca="false">IF(L$4=0,0,IF(COUNTIFS(実績!$W$6:$W$505,L$3,実績!$AI$6:$AI$505,"&lt;="&amp;$A72,実績!$AJ$6:$AJ$505,"&gt;"&amp;$A72,実績!$AL$6:$AL$505,"○")&gt;0,1,0))</f>
        <v>0</v>
      </c>
      <c r="M72" s="39" t="n">
        <f aca="false">IF(M$4=0,0,IF(COUNTIFS(実績!$W$6:$W$505,M$3,実績!$AI$6:$AI$505,"&lt;="&amp;$A72,実績!$AJ$6:$AJ$505,"&gt;"&amp;$A72,実績!$AL$6:$AL$505,"○")&gt;0,1,0))</f>
        <v>0</v>
      </c>
      <c r="N72" s="39" t="n">
        <f aca="false">IF(N$4=0,0,IF(COUNTIFS(実績!$W$6:$W$505,N$3,実績!$AI$6:$AI$505,"&lt;="&amp;$A72,実績!$AJ$6:$AJ$505,"&gt;"&amp;$A72,実績!$AL$6:$AL$505,"○")&gt;0,1,0))</f>
        <v>0</v>
      </c>
      <c r="O72" s="39" t="n">
        <f aca="false">IF(O$4=0,0,IF(COUNTIFS(実績!$W$6:$W$505,O$3,実績!$AI$6:$AI$505,"&lt;="&amp;$A72,実績!$AJ$6:$AJ$505,"&gt;"&amp;$A72,実績!$AL$6:$AL$505,"○")&gt;0,1,0))</f>
        <v>0</v>
      </c>
      <c r="P72" s="39" t="n">
        <f aca="false">IF(P$4=0,0,IF(COUNTIFS(実績!$W$6:$W$505,P$3,実績!$AI$6:$AI$505,"&lt;="&amp;$A72,実績!$AJ$6:$AJ$505,"&gt;"&amp;$A72,実績!$AL$6:$AL$505,"○")&gt;0,1,0))</f>
        <v>0</v>
      </c>
      <c r="Q72" s="39" t="n">
        <f aca="false">IF(Q$4=0,0,IF(COUNTIFS(実績!$W$6:$W$505,Q$3,実績!$AI$6:$AI$505,"&lt;="&amp;$A72,実績!$AJ$6:$AJ$505,"&gt;"&amp;$A72,実績!$AL$6:$AL$505,"○")&gt;0,1,0))</f>
        <v>0</v>
      </c>
      <c r="R72" s="39" t="n">
        <f aca="false">IF(R$4=0,0,IF(COUNTIFS(実績!$W$6:$W$505,R$3,実績!$AI$6:$AI$505,"&lt;="&amp;$A72,実績!$AJ$6:$AJ$505,"&gt;"&amp;$A72,実績!$AL$6:$AL$505,"○")&gt;0,1,0))</f>
        <v>0</v>
      </c>
      <c r="S72" s="39" t="n">
        <f aca="false">IF(S$4=0,0,IF(COUNTIFS(実績!$W$6:$W$505,S$3,実績!$AI$6:$AI$505,"&lt;="&amp;$A72,実績!$AJ$6:$AJ$505,"&gt;"&amp;$A72,実績!$AL$6:$AL$505,"○")&gt;0,1,0))</f>
        <v>0</v>
      </c>
      <c r="T72" s="39" t="n">
        <f aca="false">IF(T$4=0,0,IF(COUNTIFS(実績!$W$6:$W$505,T$3,実績!$AI$6:$AI$505,"&lt;="&amp;$A72,実績!$AJ$6:$AJ$505,"&gt;"&amp;$A72,実績!$AL$6:$AL$505,"○")&gt;0,1,0))</f>
        <v>0</v>
      </c>
      <c r="U72" s="39" t="n">
        <f aca="false">IF(U$4=0,0,IF(COUNTIFS(実績!$W$6:$W$505,U$3,実績!$AI$6:$AI$505,"&lt;="&amp;$A72,実績!$AJ$6:$AJ$505,"&gt;"&amp;$A72,実績!$AL$6:$AL$505,"○")&gt;0,1,0))</f>
        <v>0</v>
      </c>
      <c r="V72" s="39" t="n">
        <f aca="false">IF(V$4=0,0,IF(COUNTIFS(実績!$W$6:$W$505,V$3,実績!$AI$6:$AI$505,"&lt;="&amp;$A72,実績!$AJ$6:$AJ$505,"&gt;"&amp;$A72,実績!$AL$6:$AL$505,"○")&gt;0,1,0))</f>
        <v>0</v>
      </c>
      <c r="W72" s="39" t="n">
        <f aca="false">IF(W$4=0,0,IF(COUNTIFS(実績!$W$6:$W$505,W$3,実績!$AI$6:$AI$505,"&lt;="&amp;$A72,実績!$AJ$6:$AJ$505,"&gt;"&amp;$A72,実績!$AL$6:$AL$505,"○")&gt;0,1,0))</f>
        <v>0</v>
      </c>
      <c r="X72" s="39" t="n">
        <f aca="false">IF(X$4=0,0,IF(COUNTIFS(実績!$W$6:$W$505,X$3,実績!$AI$6:$AI$505,"&lt;="&amp;$A72,実績!$AJ$6:$AJ$505,"&gt;"&amp;$A72,実績!$AL$6:$AL$505,"○")&gt;0,1,0))</f>
        <v>0</v>
      </c>
      <c r="Y72" s="39" t="n">
        <f aca="false">IF(Y$4=0,0,IF(COUNTIFS(実績!$W$6:$W$505,Y$3,実績!$AI$6:$AI$505,"&lt;="&amp;$A72,実績!$AJ$6:$AJ$505,"&gt;"&amp;$A72,実績!$AL$6:$AL$505,"○")&gt;0,1,0))</f>
        <v>0</v>
      </c>
      <c r="Z72" s="39" t="n">
        <f aca="false">IF(Z$4=0,0,IF(COUNTIFS(実績!$W$6:$W$505,Z$3,実績!$AI$6:$AI$505,"&lt;="&amp;$A72,実績!$AJ$6:$AJ$505,"&gt;"&amp;$A72,実績!$AL$6:$AL$505,"○")&gt;0,1,0))</f>
        <v>0</v>
      </c>
      <c r="AA72" s="39" t="n">
        <f aca="false">IF(AA$4=0,0,IF(COUNTIFS(実績!$W$6:$W$505,AA$3,実績!$AI$6:$AI$505,"&lt;="&amp;$A72,実績!$AJ$6:$AJ$505,"&gt;"&amp;$A72,実績!$AL$6:$AL$505,"○")&gt;0,1,0))</f>
        <v>0</v>
      </c>
      <c r="AB72" s="39" t="n">
        <f aca="false">IF(AB$4=0,0,IF(COUNTIFS(実績!$W$6:$W$505,AB$3,実績!$AI$6:$AI$505,"&lt;="&amp;$A72,実績!$AJ$6:$AJ$505,"&gt;"&amp;$A72,実績!$AL$6:$AL$505,"○")&gt;0,1,0))</f>
        <v>0</v>
      </c>
      <c r="AC72" s="39" t="n">
        <f aca="false">IF(AC$4=0,0,IF(COUNTIFS(実績!$W$6:$W$505,AC$3,実績!$AI$6:$AI$505,"&lt;="&amp;$A72,実績!$AJ$6:$AJ$505,"&gt;"&amp;$A72,実績!$AL$6:$AL$505,"○")&gt;0,1,0))</f>
        <v>0</v>
      </c>
      <c r="AD72" s="39" t="n">
        <f aca="false">IF(AD$4=0,0,IF(COUNTIFS(実績!$W$6:$W$505,AD$3,実績!$AI$6:$AI$505,"&lt;="&amp;$A72,実績!$AJ$6:$AJ$505,"&gt;"&amp;$A72,実績!$AL$6:$AL$505,"○")&gt;0,1,0))</f>
        <v>0</v>
      </c>
      <c r="AE72" s="39" t="n">
        <f aca="false">IF(AE$4=0,0,IF(COUNTIFS(実績!$W$6:$W$505,AE$3,実績!$AI$6:$AI$505,"&lt;="&amp;$A72,実績!$AJ$6:$AJ$505,"&gt;"&amp;$A72,実績!$AL$6:$AL$505,"○")&gt;0,1,0))</f>
        <v>0</v>
      </c>
      <c r="AF72" s="39" t="n">
        <f aca="false">IF(AF$4=0,0,IF(COUNTIFS(実績!$W$6:$W$505,AF$3,実績!$AI$6:$AI$505,"&lt;="&amp;$A72,実績!$AJ$6:$AJ$505,"&gt;"&amp;$A72,実績!$AL$6:$AL$505,"○")&gt;0,1,0))</f>
        <v>0</v>
      </c>
      <c r="AG72" s="39" t="n">
        <f aca="false">IF(AG$4=0,0,IF(COUNTIFS(実績!$W$6:$W$505,AG$3,実績!$AI$6:$AI$505,"&lt;="&amp;$A72,実績!$AJ$6:$AJ$505,"&gt;"&amp;$A72,実績!$AL$6:$AL$505,"○")&gt;0,1,0))</f>
        <v>0</v>
      </c>
      <c r="AH72" s="39" t="n">
        <f aca="false">IF(AH$4=0,0,IF(COUNTIFS(実績!$W$6:$W$505,AH$3,実績!$AI$6:$AI$505,"&lt;="&amp;$A72,実績!$AJ$6:$AJ$505,"&gt;"&amp;$A72,実績!$AL$6:$AL$505,"○")&gt;0,1,0))</f>
        <v>0</v>
      </c>
      <c r="AI72" s="39" t="n">
        <f aca="false">IF(AI$4=0,0,IF(COUNTIFS(実績!$W$6:$W$505,AI$3,実績!$AI$6:$AI$505,"&lt;="&amp;$A72,実績!$AJ$6:$AJ$505,"&gt;"&amp;$A72,実績!$AL$6:$AL$505,"○")&gt;0,1,0))</f>
        <v>0</v>
      </c>
      <c r="AJ72" s="39" t="n">
        <f aca="false">IF(AJ$4=0,0,IF(COUNTIFS(実績!$W$6:$W$505,AJ$3,実績!$AI$6:$AI$505,"&lt;="&amp;$A72,実績!$AJ$6:$AJ$505,"&gt;"&amp;$A72,実績!$AL$6:$AL$505,"○")&gt;0,1,0))</f>
        <v>0</v>
      </c>
      <c r="AK72" s="39" t="n">
        <f aca="false">IF(AK$4=0,0,IF(COUNTIFS(実績!$W$6:$W$505,AK$3,実績!$AI$6:$AI$505,"&lt;="&amp;$A72,実績!$AJ$6:$AJ$505,"&gt;"&amp;$A72,実績!$AL$6:$AL$505,"○")&gt;0,1,0))</f>
        <v>0</v>
      </c>
      <c r="AL72" s="39" t="n">
        <f aca="false">IF(AL$4=0,0,IF(COUNTIFS(実績!$W$6:$W$505,AL$3,実績!$AI$6:$AI$505,"&lt;="&amp;$A72,実績!$AJ$6:$AJ$505,"&gt;"&amp;$A72,実績!$AL$6:$AL$505,"○")&gt;0,1,0))</f>
        <v>0</v>
      </c>
      <c r="AM72" s="39" t="n">
        <f aca="false">IF(AM$4=0,0,IF(COUNTIFS(実績!$W$6:$W$505,AM$3,実績!$AI$6:$AI$505,"&lt;="&amp;$A72,実績!$AJ$6:$AJ$505,"&gt;"&amp;$A72,実績!$AL$6:$AL$505,"○")&gt;0,1,0))</f>
        <v>0</v>
      </c>
      <c r="AN72" s="39" t="n">
        <f aca="false">IF(AN$4=0,0,IF(COUNTIFS(実績!$W$6:$W$505,AN$3,実績!$AI$6:$AI$505,"&lt;="&amp;$A72,実績!$AJ$6:$AJ$505,"&gt;"&amp;$A72,実績!$AL$6:$AL$505,"○")&gt;0,1,0))</f>
        <v>0</v>
      </c>
      <c r="AO72" s="39" t="n">
        <f aca="false">IF(AO$4=0,0,IF(COUNTIFS(実績!$W$6:$W$505,AO$3,実績!$AI$6:$AI$505,"&lt;="&amp;$A72,実績!$AJ$6:$AJ$505,"&gt;"&amp;$A72,実績!$AL$6:$AL$505,"○")&gt;0,1,0))</f>
        <v>0</v>
      </c>
      <c r="AP72" s="39" t="n">
        <f aca="false">IF(AP$4=0,0,IF(COUNTIFS(実績!$W$6:$W$505,AP$3,実績!$AI$6:$AI$505,"&lt;="&amp;$A72,実績!$AJ$6:$AJ$505,"&gt;"&amp;$A72,実績!$AL$6:$AL$505,"○")&gt;0,1,0))</f>
        <v>0</v>
      </c>
      <c r="AQ72" s="39" t="n">
        <f aca="false">IF(AQ$4=0,0,IF(COUNTIFS(実績!$W$6:$W$505,AQ$3,実績!$AI$6:$AI$505,"&lt;="&amp;$A72,実績!$AJ$6:$AJ$505,"&gt;"&amp;$A72,実績!$AL$6:$AL$505,"○")&gt;0,1,0))</f>
        <v>0</v>
      </c>
      <c r="AR72" s="39" t="n">
        <f aca="false">IF(AR$4=0,0,IF(COUNTIFS(実績!$W$6:$W$505,AR$3,実績!$AI$6:$AI$505,"&lt;="&amp;$A72,実績!$AJ$6:$AJ$505,"&gt;"&amp;$A72,実績!$AL$6:$AL$505,"○")&gt;0,1,0))</f>
        <v>0</v>
      </c>
      <c r="AS72" s="39" t="n">
        <f aca="false">IF(AS$4=0,0,IF(COUNTIFS(実績!$W$6:$W$505,AS$3,実績!$AI$6:$AI$505,"&lt;="&amp;$A72,実績!$AJ$6:$AJ$505,"&gt;"&amp;$A72,実績!$AL$6:$AL$505,"○")&gt;0,1,0))</f>
        <v>0</v>
      </c>
      <c r="AT72" s="39" t="n">
        <f aca="false">IF(AT$4=0,0,IF(COUNTIFS(実績!$W$6:$W$505,AT$3,実績!$AI$6:$AI$505,"&lt;="&amp;$A72,実績!$AJ$6:$AJ$505,"&gt;"&amp;$A72,実績!$AL$6:$AL$505,"○")&gt;0,1,0))</f>
        <v>0</v>
      </c>
      <c r="AU72" s="39" t="n">
        <f aca="false">IF(AU$4=0,0,IF(COUNTIFS(実績!$W$6:$W$505,AU$3,実績!$AI$6:$AI$505,"&lt;="&amp;$A72,実績!$AJ$6:$AJ$505,"&gt;"&amp;$A72,実績!$AL$6:$AL$505,"○")&gt;0,1,0))</f>
        <v>0</v>
      </c>
      <c r="AV72" s="39" t="n">
        <f aca="false">IF(AV$4=0,0,IF(COUNTIFS(実績!$W$6:$W$505,AV$3,実績!$AI$6:$AI$505,"&lt;="&amp;$A72,実績!$AJ$6:$AJ$505,"&gt;"&amp;$A72,実績!$AL$6:$AL$505,"○")&gt;0,1,0))</f>
        <v>0</v>
      </c>
      <c r="AW72" s="39" t="n">
        <f aca="false">IF(AW$4=0,0,IF(COUNTIFS(実績!$W$6:$W$505,AW$3,実績!$AI$6:$AI$505,"&lt;="&amp;$A72,実績!$AJ$6:$AJ$505,"&gt;"&amp;$A72,実績!$AL$6:$AL$505,"○")&gt;0,1,0))</f>
        <v>0</v>
      </c>
      <c r="AX72" s="39" t="n">
        <f aca="false">IF(AX$4=0,0,IF(COUNTIFS(実績!$W$6:$W$505,AX$3,実績!$AI$6:$AI$505,"&lt;="&amp;$A72,実績!$AJ$6:$AJ$505,"&gt;"&amp;$A72,実績!$AL$6:$AL$505,"○")&gt;0,1,0))</f>
        <v>0</v>
      </c>
      <c r="AY72" s="39" t="n">
        <f aca="false">IF(AY$4=0,0,IF(COUNTIFS(実績!$W$6:$W$505,AY$3,実績!$AI$6:$AI$505,"&lt;="&amp;$A72,実績!$AJ$6:$AJ$505,"&gt;"&amp;$A72,実績!$AL$6:$AL$505,"○")&gt;0,1,0))</f>
        <v>0</v>
      </c>
      <c r="AZ72" s="39" t="n">
        <f aca="false">IF(AZ$4=0,0,IF(COUNTIFS(実績!$W$6:$W$505,AZ$3,実績!$AI$6:$AI$505,"&lt;="&amp;$A72,実績!$AJ$6:$AJ$505,"&gt;"&amp;$A72,実績!$AL$6:$AL$505,"○")&gt;0,1,0))</f>
        <v>0</v>
      </c>
      <c r="BA72" s="39" t="n">
        <f aca="false">IF(BA$4=0,0,IF(COUNTIFS(実績!$W$6:$W$505,BA$3,実績!$AI$6:$AI$505,"&lt;="&amp;$A72,実績!$AJ$6:$AJ$505,"&gt;"&amp;$A72,実績!$AL$6:$AL$505,"○")&gt;0,1,0))</f>
        <v>0</v>
      </c>
      <c r="BB72" s="39" t="n">
        <f aca="false">IF(BB$4=0,0,IF(COUNTIFS(実績!$W$6:$W$505,BB$3,実績!$AI$6:$AI$505,"&lt;="&amp;$A72,実績!$AJ$6:$AJ$505,"&gt;"&amp;$A72,実績!$AL$6:$AL$505,"○")&gt;0,1,0))</f>
        <v>0</v>
      </c>
      <c r="BC72" s="39" t="n">
        <f aca="false">IF(BC$4=0,0,IF(COUNTIFS(実績!$W$6:$W$505,BC$3,実績!$AI$6:$AI$505,"&lt;="&amp;$A72,実績!$AJ$6:$AJ$505,"&gt;"&amp;$A72,実績!$AL$6:$AL$505,"○")&gt;0,1,0))</f>
        <v>0</v>
      </c>
      <c r="BD72" s="39" t="n">
        <f aca="false">IF(BD$4=0,0,IF(COUNTIFS(実績!$W$6:$W$505,BD$3,実績!$AI$6:$AI$505,"&lt;="&amp;$A72,実績!$AJ$6:$AJ$505,"&gt;"&amp;$A72,実績!$AL$6:$AL$505,"○")&gt;0,1,0))</f>
        <v>0</v>
      </c>
      <c r="BE72" s="39" t="n">
        <f aca="false">IF(BE$4=0,0,IF(COUNTIFS(実績!$W$6:$W$505,BE$3,実績!$AI$6:$AI$505,"&lt;="&amp;$A72,実績!$AJ$6:$AJ$505,"&gt;"&amp;$A72,実績!$AL$6:$AL$505,"○")&gt;0,1,0))</f>
        <v>0</v>
      </c>
      <c r="BF72" s="39" t="n">
        <f aca="false">IF(BF$4=0,0,IF(COUNTIFS(実績!$W$6:$W$505,BF$3,実績!$AI$6:$AI$505,"&lt;="&amp;$A72,実績!$AJ$6:$AJ$505,"&gt;"&amp;$A72,実績!$AL$6:$AL$505,"○")&gt;0,1,0))</f>
        <v>0</v>
      </c>
      <c r="BG72" s="39" t="n">
        <f aca="false">IF(BG$4=0,0,IF(COUNTIFS(実績!$W$6:$W$505,BG$3,実績!$AI$6:$AI$505,"&lt;="&amp;$A72,実績!$AJ$6:$AJ$505,"&gt;"&amp;$A72,実績!$AL$6:$AL$505,"○")&gt;0,1,0))</f>
        <v>0</v>
      </c>
      <c r="BH72" s="39" t="n">
        <f aca="false">IF(BH$4=0,0,IF(COUNTIFS(実績!$W$6:$W$505,BH$3,実績!$AI$6:$AI$505,"&lt;="&amp;$A72,実績!$AJ$6:$AJ$505,"&gt;"&amp;$A72,実績!$AL$6:$AL$505,"○")&gt;0,1,0))</f>
        <v>0</v>
      </c>
      <c r="BI72" s="39" t="n">
        <f aca="false">IF(BI$4=0,0,IF(COUNTIFS(実績!$W$6:$W$505,BI$3,実績!$AI$6:$AI$505,"&lt;="&amp;$A72,実績!$AJ$6:$AJ$505,"&gt;"&amp;$A72,実績!$AL$6:$AL$505,"○")&gt;0,1,0))</f>
        <v>0</v>
      </c>
      <c r="BJ72" s="39" t="n">
        <f aca="false">IF(BJ$4=0,0,IF(COUNTIFS(実績!$W$6:$W$505,BJ$3,実績!$AI$6:$AI$505,"&lt;="&amp;$A72,実績!$AJ$6:$AJ$505,"&gt;"&amp;$A72,実績!$AL$6:$AL$505,"○")&gt;0,1,0))</f>
        <v>0</v>
      </c>
      <c r="BK72" s="39" t="n">
        <f aca="false">IF(BK$4=0,0,IF(COUNTIFS(実績!$W$6:$W$505,BK$3,実績!$AI$6:$AI$505,"&lt;="&amp;$A72,実績!$AJ$6:$AJ$505,"&gt;"&amp;$A72,実績!$AL$6:$AL$505,"○")&gt;0,1,0))</f>
        <v>0</v>
      </c>
      <c r="BL72" s="39" t="n">
        <f aca="false">IF(BL$4=0,0,IF(COUNTIFS(実績!$W$6:$W$505,BL$3,実績!$AI$6:$AI$505,"&lt;="&amp;$A72,実績!$AJ$6:$AJ$505,"&gt;"&amp;$A72,実績!$AL$6:$AL$505,"○")&gt;0,1,0))</f>
        <v>0</v>
      </c>
      <c r="BM72" s="39" t="n">
        <f aca="false">IF(BM$4=0,0,IF(COUNTIFS(実績!$W$6:$W$505,BM$3,実績!$AI$6:$AI$505,"&lt;="&amp;$A72,実績!$AJ$6:$AJ$505,"&gt;"&amp;$A72,実績!$AL$6:$AL$505,"○")&gt;0,1,0))</f>
        <v>0</v>
      </c>
      <c r="BN72" s="39" t="n">
        <f aca="false">IF(BN$4=0,0,IF(COUNTIFS(実績!$W$6:$W$505,BN$3,実績!$AI$6:$AI$505,"&lt;="&amp;$A72,実績!$AJ$6:$AJ$505,"&gt;"&amp;$A72,実績!$AL$6:$AL$505,"○")&gt;0,1,0))</f>
        <v>0</v>
      </c>
      <c r="BO72" s="39" t="n">
        <f aca="false">IF(BO$4=0,0,IF(COUNTIFS(実績!$W$6:$W$505,BO$3,実績!$AI$6:$AI$505,"&lt;="&amp;$A72,実績!$AJ$6:$AJ$505,"&gt;"&amp;$A72,実績!$AL$6:$AL$505,"○")&gt;0,1,0))</f>
        <v>0</v>
      </c>
      <c r="BP72" s="39" t="n">
        <f aca="false">IF(BP$4=0,0,IF(COUNTIFS(実績!$W$6:$W$505,BP$3,実績!$AI$6:$AI$505,"&lt;="&amp;$A72,実績!$AJ$6:$AJ$505,"&gt;"&amp;$A72,実績!$AL$6:$AL$505,"○")&gt;0,1,0))</f>
        <v>0</v>
      </c>
      <c r="BQ72" s="39" t="n">
        <f aca="false">IF(BQ$4=0,0,IF(COUNTIFS(実績!$W$6:$W$505,BQ$3,実績!$AI$6:$AI$505,"&lt;="&amp;$A72,実績!$AJ$6:$AJ$505,"&gt;"&amp;$A72,実績!$AL$6:$AL$505,"○")&gt;0,1,0))</f>
        <v>0</v>
      </c>
      <c r="BR72" s="39" t="n">
        <f aca="false">IF(BR$4=0,0,IF(COUNTIFS(実績!$W$6:$W$505,BR$3,実績!$AI$6:$AI$505,"&lt;="&amp;$A72,実績!$AJ$6:$AJ$505,"&gt;"&amp;$A72,実績!$AL$6:$AL$505,"○")&gt;0,1,0))</f>
        <v>0</v>
      </c>
      <c r="BS72" s="39" t="n">
        <f aca="false">IF(BS$4=0,0,IF(COUNTIFS(実績!$W$6:$W$505,BS$3,実績!$AI$6:$AI$505,"&lt;="&amp;$A72,実績!$AJ$6:$AJ$505,"&gt;"&amp;$A72,実績!$AL$6:$AL$505,"○")&gt;0,1,0))</f>
        <v>0</v>
      </c>
      <c r="BT72" s="39" t="n">
        <f aca="false">IF(BT$4=0,0,IF(COUNTIFS(実績!$W$6:$W$505,BT$3,実績!$AI$6:$AI$505,"&lt;="&amp;$A72,実績!$AJ$6:$AJ$505,"&gt;"&amp;$A72,実績!$AL$6:$AL$505,"○")&gt;0,1,0))</f>
        <v>0</v>
      </c>
      <c r="BU72" s="39" t="n">
        <f aca="false">IF(BU$4=0,0,IF(COUNTIFS(実績!$W$6:$W$505,BU$3,実績!$AI$6:$AI$505,"&lt;="&amp;$A72,実績!$AJ$6:$AJ$505,"&gt;"&amp;$A72,実績!$AL$6:$AL$505,"○")&gt;0,1,0))</f>
        <v>0</v>
      </c>
      <c r="BV72" s="39" t="n">
        <f aca="false">IF(BV$4=0,0,IF(COUNTIFS(実績!$W$6:$W$505,BV$3,実績!$AI$6:$AI$505,"&lt;="&amp;$A72,実績!$AJ$6:$AJ$505,"&gt;"&amp;$A72,実績!$AL$6:$AL$505,"○")&gt;0,1,0))</f>
        <v>0</v>
      </c>
      <c r="BW72" s="39" t="n">
        <f aca="false">IF(BW$4=0,0,IF(COUNTIFS(実績!$W$6:$W$505,BW$3,実績!$AI$6:$AI$505,"&lt;="&amp;$A72,実績!$AJ$6:$AJ$505,"&gt;"&amp;$A72,実績!$AL$6:$AL$505,"○")&gt;0,1,0))</f>
        <v>0</v>
      </c>
      <c r="BX72" s="39" t="n">
        <f aca="false">IF(BX$4=0,0,IF(COUNTIFS(実績!$W$6:$W$505,BX$3,実績!$AI$6:$AI$505,"&lt;="&amp;$A72,実績!$AJ$6:$AJ$505,"&gt;"&amp;$A72,実績!$AL$6:$AL$505,"○")&gt;0,1,0))</f>
        <v>0</v>
      </c>
      <c r="BY72" s="39" t="n">
        <f aca="false">IF(BY$4=0,0,IF(COUNTIFS(実績!$W$6:$W$505,BY$3,実績!$AI$6:$AI$505,"&lt;="&amp;$A72,実績!$AJ$6:$AJ$505,"&gt;"&amp;$A72,実績!$AL$6:$AL$505,"○")&gt;0,1,0))</f>
        <v>0</v>
      </c>
      <c r="BZ72" s="39" t="n">
        <f aca="false">IF(BZ$4=0,0,IF(COUNTIFS(実績!$W$6:$W$505,BZ$3,実績!$AI$6:$AI$505,"&lt;="&amp;$A72,実績!$AJ$6:$AJ$505,"&gt;"&amp;$A72,実績!$AL$6:$AL$505,"○")&gt;0,1,0))</f>
        <v>0</v>
      </c>
      <c r="CA72" s="39" t="n">
        <f aca="false">IF(CA$4=0,0,IF(COUNTIFS(実績!$W$6:$W$505,CA$3,実績!$AI$6:$AI$505,"&lt;="&amp;$A72,実績!$AJ$6:$AJ$505,"&gt;"&amp;$A72,実績!$AL$6:$AL$505,"○")&gt;0,1,0))</f>
        <v>0</v>
      </c>
      <c r="CB72" s="39" t="n">
        <f aca="false">IF(CB$4=0,0,IF(COUNTIFS(実績!$W$6:$W$505,CB$3,実績!$AI$6:$AI$505,"&lt;="&amp;$A72,実績!$AJ$6:$AJ$505,"&gt;"&amp;$A72,実績!$AL$6:$AL$505,"○")&gt;0,1,0))</f>
        <v>0</v>
      </c>
      <c r="CC72" s="39" t="n">
        <f aca="false">IF(CC$4=0,0,IF(COUNTIFS(実績!$W$6:$W$505,CC$3,実績!$AI$6:$AI$505,"&lt;="&amp;$A72,実績!$AJ$6:$AJ$505,"&gt;"&amp;$A72,実績!$AL$6:$AL$505,"○")&gt;0,1,0))</f>
        <v>0</v>
      </c>
      <c r="CD72" s="39" t="n">
        <f aca="false">IF(CD$4=0,0,IF(COUNTIFS(実績!$W$6:$W$505,CD$3,実績!$AI$6:$AI$505,"&lt;="&amp;$A72,実績!$AJ$6:$AJ$505,"&gt;"&amp;$A72,実績!$AL$6:$AL$505,"○")&gt;0,1,0))</f>
        <v>0</v>
      </c>
      <c r="CE72" s="39" t="n">
        <f aca="false">IF(CE$4=0,0,IF(COUNTIFS(実績!$W$6:$W$505,CE$3,実績!$AI$6:$AI$505,"&lt;="&amp;$A72,実績!$AJ$6:$AJ$505,"&gt;"&amp;$A72,実績!$AL$6:$AL$505,"○")&gt;0,1,0))</f>
        <v>0</v>
      </c>
      <c r="CF72" s="39" t="n">
        <f aca="false">IF(CF$4=0,0,IF(COUNTIFS(実績!$W$6:$W$505,CF$3,実績!$AI$6:$AI$505,"&lt;="&amp;$A72,実績!$AJ$6:$AJ$505,"&gt;"&amp;$A72,実績!$AL$6:$AL$505,"○")&gt;0,1,0))</f>
        <v>0</v>
      </c>
      <c r="CG72" s="39" t="n">
        <f aca="false">IF(CG$4=0,0,IF(COUNTIFS(実績!$W$6:$W$505,CG$3,実績!$AI$6:$AI$505,"&lt;="&amp;$A72,実績!$AJ$6:$AJ$505,"&gt;"&amp;$A72,実績!$AL$6:$AL$505,"○")&gt;0,1,0))</f>
        <v>0</v>
      </c>
      <c r="CH72" s="39" t="n">
        <f aca="false">IF(CH$4=0,0,IF(COUNTIFS(実績!$W$6:$W$505,CH$3,実績!$AI$6:$AI$505,"&lt;="&amp;$A72,実績!$AJ$6:$AJ$505,"&gt;"&amp;$A72,実績!$AL$6:$AL$505,"○")&gt;0,1,0))</f>
        <v>0</v>
      </c>
      <c r="CI72" s="39" t="n">
        <f aca="false">IF(CI$4=0,0,IF(COUNTIFS(実績!$W$6:$W$505,CI$3,実績!$AI$6:$AI$505,"&lt;="&amp;$A72,実績!$AJ$6:$AJ$505,"&gt;"&amp;$A72,実績!$AL$6:$AL$505,"○")&gt;0,1,0))</f>
        <v>0</v>
      </c>
      <c r="CJ72" s="39" t="n">
        <f aca="false">IF(CJ$4=0,0,IF(COUNTIFS(実績!$W$6:$W$505,CJ$3,実績!$AI$6:$AI$505,"&lt;="&amp;$A72,実績!$AJ$6:$AJ$505,"&gt;"&amp;$A72,実績!$AL$6:$AL$505,"○")&gt;0,1,0))</f>
        <v>0</v>
      </c>
      <c r="CK72" s="39" t="n">
        <f aca="false">IF(CK$4=0,0,IF(COUNTIFS(実績!$W$6:$W$505,CK$3,実績!$AI$6:$AI$505,"&lt;="&amp;$A72,実績!$AJ$6:$AJ$505,"&gt;"&amp;$A72,実績!$AL$6:$AL$505,"○")&gt;0,1,0))</f>
        <v>0</v>
      </c>
      <c r="CL72" s="39" t="n">
        <f aca="false">IF(CL$4=0,0,IF(COUNTIFS(実績!$W$6:$W$505,CL$3,実績!$AI$6:$AI$505,"&lt;="&amp;$A72,実績!$AJ$6:$AJ$505,"&gt;"&amp;$A72,実績!$AL$6:$AL$505,"○")&gt;0,1,0))</f>
        <v>0</v>
      </c>
      <c r="CM72" s="39" t="n">
        <f aca="false">IF(CM$4=0,0,IF(COUNTIFS(実績!$W$6:$W$505,CM$3,実績!$AI$6:$AI$505,"&lt;="&amp;$A72,実績!$AJ$6:$AJ$505,"&gt;"&amp;$A72,実績!$AL$6:$AL$505,"○")&gt;0,1,0))</f>
        <v>0</v>
      </c>
      <c r="CN72" s="39" t="n">
        <f aca="false">IF(CN$4=0,0,IF(COUNTIFS(実績!$W$6:$W$505,CN$3,実績!$AI$6:$AI$505,"&lt;="&amp;$A72,実績!$AJ$6:$AJ$505,"&gt;"&amp;$A72,実績!$AL$6:$AL$505,"○")&gt;0,1,0))</f>
        <v>0</v>
      </c>
      <c r="CO72" s="39" t="n">
        <f aca="false">IF(CO$4=0,0,IF(COUNTIFS(実績!$W$6:$W$505,CO$3,実績!$AI$6:$AI$505,"&lt;="&amp;$A72,実績!$AJ$6:$AJ$505,"&gt;"&amp;$A72,実績!$AL$6:$AL$505,"○")&gt;0,1,0))</f>
        <v>0</v>
      </c>
      <c r="CP72" s="39" t="n">
        <f aca="false">IF(CP$4=0,0,IF(COUNTIFS(実績!$W$6:$W$505,CP$3,実績!$AI$6:$AI$505,"&lt;="&amp;$A72,実績!$AJ$6:$AJ$505,"&gt;"&amp;$A72,実績!$AL$6:$AL$505,"○")&gt;0,1,0))</f>
        <v>0</v>
      </c>
      <c r="CQ72" s="39" t="n">
        <f aca="false">IF(CQ$4=0,0,IF(COUNTIFS(実績!$W$6:$W$505,CQ$3,実績!$AI$6:$AI$505,"&lt;="&amp;$A72,実績!$AJ$6:$AJ$505,"&gt;"&amp;$A72,実績!$AL$6:$AL$505,"○")&gt;0,1,0))</f>
        <v>0</v>
      </c>
      <c r="CR72" s="39" t="n">
        <f aca="false">IF(CR$4=0,0,IF(COUNTIFS(実績!$W$6:$W$505,CR$3,実績!$AI$6:$AI$505,"&lt;="&amp;$A72,実績!$AJ$6:$AJ$505,"&gt;"&amp;$A72,実績!$AL$6:$AL$505,"○")&gt;0,1,0))</f>
        <v>0</v>
      </c>
      <c r="CS72" s="39" t="n">
        <f aca="false">IF(CS$4=0,0,IF(COUNTIFS(実績!$W$6:$W$505,CS$3,実績!$AI$6:$AI$505,"&lt;="&amp;$A72,実績!$AJ$6:$AJ$505,"&gt;"&amp;$A72,実績!$AL$6:$AL$505,"○")&gt;0,1,0))</f>
        <v>0</v>
      </c>
      <c r="CT72" s="39" t="n">
        <f aca="false">IF(CT$4=0,0,IF(COUNTIFS(実績!$W$6:$W$505,CT$3,実績!$AI$6:$AI$505,"&lt;="&amp;$A72,実績!$AJ$6:$AJ$505,"&gt;"&amp;$A72,実績!$AL$6:$AL$505,"○")&gt;0,1,0))</f>
        <v>0</v>
      </c>
      <c r="CU72" s="39" t="n">
        <f aca="false">IF(CU$4=0,0,IF(COUNTIFS(実績!$W$6:$W$505,CU$3,実績!$AI$6:$AI$505,"&lt;="&amp;$A72,実績!$AJ$6:$AJ$505,"&gt;"&amp;$A72,実績!$AL$6:$AL$505,"○")&gt;0,1,0))</f>
        <v>0</v>
      </c>
      <c r="CV72" s="39" t="n">
        <f aca="false">IF(CV$4=0,0,IF(COUNTIFS(実績!$W$6:$W$505,CV$3,実績!$AI$6:$AI$505,"&lt;="&amp;$A72,実績!$AJ$6:$AJ$505,"&gt;"&amp;$A72,実績!$AL$6:$AL$505,"○")&gt;0,1,0))</f>
        <v>0</v>
      </c>
      <c r="CW72" s="39" t="n">
        <f aca="false">IF(CW$4=0,0,IF(COUNTIFS(実績!$W$6:$W$505,CW$3,実績!$AI$6:$AI$505,"&lt;="&amp;$A72,実績!$AJ$6:$AJ$505,"&gt;"&amp;$A72,実績!$AL$6:$AL$505,"○")&gt;0,1,0))</f>
        <v>0</v>
      </c>
      <c r="CX72" s="39" t="n">
        <f aca="false">IF(CX$4=0,0,IF(COUNTIFS(実績!$W$6:$W$505,CX$3,実績!$AI$6:$AI$505,"&lt;="&amp;$A72,実績!$AJ$6:$AJ$505,"&gt;"&amp;$A72,実績!$AL$6:$AL$505,"○")&gt;0,1,0))</f>
        <v>0</v>
      </c>
      <c r="CY72" s="39" t="n">
        <f aca="false">IF(CY$4=0,0,IF(COUNTIFS(実績!$W$6:$W$505,CY$3,実績!$AI$6:$AI$505,"&lt;="&amp;$A72,実績!$AJ$6:$AJ$505,"&gt;"&amp;$A72,実績!$AL$6:$AL$505,"○")&gt;0,1,0))</f>
        <v>0</v>
      </c>
      <c r="CZ72" s="39" t="n">
        <f aca="false">IF(CZ$4=0,0,IF(COUNTIFS(実績!$W$6:$W$505,CZ$3,実績!$AI$6:$AI$505,"&lt;="&amp;$A72,実績!$AJ$6:$AJ$505,"&gt;"&amp;$A72,実績!$AL$6:$AL$505,"○")&gt;0,1,0))</f>
        <v>0</v>
      </c>
      <c r="DA72" s="39" t="n">
        <f aca="false">IF(DA$4=0,0,IF(COUNTIFS(実績!$W$6:$W$505,DA$3,実績!$AI$6:$AI$505,"&lt;="&amp;$A72,実績!$AJ$6:$AJ$505,"&gt;"&amp;$A72,実績!$AL$6:$AL$505,"○")&gt;0,1,0))</f>
        <v>0</v>
      </c>
      <c r="DB72" s="39" t="n">
        <f aca="false">IF(DB$4=0,0,IF(COUNTIFS(実績!$W$6:$W$505,DB$3,実績!$AI$6:$AI$505,"&lt;="&amp;$A72,実績!$AJ$6:$AJ$505,"&gt;"&amp;$A72,実績!$AL$6:$AL$505,"○")&gt;0,1,0))</f>
        <v>0</v>
      </c>
      <c r="DC72" s="39" t="n">
        <f aca="false">IF(DC$4=0,0,IF(COUNTIFS(実績!$W$6:$W$505,DC$3,実績!$AI$6:$AI$505,"&lt;="&amp;$A72,実績!$AJ$6:$AJ$505,"&gt;"&amp;$A72,実績!$AL$6:$AL$505,"○")&gt;0,1,0))</f>
        <v>0</v>
      </c>
      <c r="DD72" s="39" t="n">
        <f aca="false">IF(DD$4=0,0,IF(COUNTIFS(実績!$W$6:$W$505,DD$3,実績!$AI$6:$AI$505,"&lt;="&amp;$A72,実績!$AJ$6:$AJ$505,"&gt;"&amp;$A72,実績!$AL$6:$AL$505,"○")&gt;0,1,0))</f>
        <v>0</v>
      </c>
      <c r="DE72" s="39" t="n">
        <f aca="false">IF(DE$4=0,0,IF(COUNTIFS(実績!$W$6:$W$505,DE$3,実績!$AI$6:$AI$505,"&lt;="&amp;$A72,実績!$AJ$6:$AJ$505,"&gt;"&amp;$A72,実績!$AL$6:$AL$505,"○")&gt;0,1,0))</f>
        <v>0</v>
      </c>
      <c r="DF72" s="39" t="n">
        <f aca="false">IF(DF$4=0,0,IF(COUNTIFS(実績!$W$6:$W$505,DF$3,実績!$AI$6:$AI$505,"&lt;="&amp;$A72,実績!$AJ$6:$AJ$505,"&gt;"&amp;$A72,実績!$AL$6:$AL$505,"○")&gt;0,1,0))</f>
        <v>0</v>
      </c>
      <c r="DG72" s="39" t="n">
        <f aca="false">IF(DG$4=0,0,IF(COUNTIFS(実績!$W$6:$W$505,DG$3,実績!$AI$6:$AI$505,"&lt;="&amp;$A72,実績!$AJ$6:$AJ$505,"&gt;"&amp;$A72,実績!$AL$6:$AL$505,"○")&gt;0,1,0))</f>
        <v>0</v>
      </c>
      <c r="DH72" s="39" t="n">
        <f aca="false">IF(DH$4=0,0,IF(COUNTIFS(実績!$W$6:$W$505,DH$3,実績!$AI$6:$AI$505,"&lt;="&amp;$A72,実績!$AJ$6:$AJ$505,"&gt;"&amp;$A72,実績!$AL$6:$AL$505,"○")&gt;0,1,0))</f>
        <v>0</v>
      </c>
      <c r="DI72" s="39" t="n">
        <f aca="false">IF(DI$4=0,0,IF(COUNTIFS(実績!$W$6:$W$505,DI$3,実績!$AI$6:$AI$505,"&lt;="&amp;$A72,実績!$AJ$6:$AJ$505,"&gt;"&amp;$A72,実績!$AL$6:$AL$505,"○")&gt;0,1,0))</f>
        <v>0</v>
      </c>
      <c r="DJ72" s="39" t="n">
        <f aca="false">IF(DJ$4=0,0,IF(COUNTIFS(実績!$W$6:$W$505,DJ$3,実績!$AI$6:$AI$505,"&lt;="&amp;$A72,実績!$AJ$6:$AJ$505,"&gt;"&amp;$A72,実績!$AL$6:$AL$505,"○")&gt;0,1,0))</f>
        <v>0</v>
      </c>
      <c r="DK72" s="39" t="n">
        <f aca="false">IF(DK$4=0,0,IF(COUNTIFS(実績!$W$6:$W$505,DK$3,実績!$AI$6:$AI$505,"&lt;="&amp;$A72,実績!$AJ$6:$AJ$505,"&gt;"&amp;$A72,実績!$AL$6:$AL$505,"○")&gt;0,1,0))</f>
        <v>0</v>
      </c>
      <c r="DL72" s="39" t="n">
        <f aca="false">IF(DL$4=0,0,IF(COUNTIFS(実績!$W$6:$W$505,DL$3,実績!$AI$6:$AI$505,"&lt;="&amp;$A72,実績!$AJ$6:$AJ$505,"&gt;"&amp;$A72,実績!$AL$6:$AL$505,"○")&gt;0,1,0))</f>
        <v>0</v>
      </c>
      <c r="DM72" s="39" t="n">
        <f aca="false">IF(DM$4=0,0,IF(COUNTIFS(実績!$W$6:$W$505,DM$3,実績!$AI$6:$AI$505,"&lt;="&amp;$A72,実績!$AJ$6:$AJ$505,"&gt;"&amp;$A72,実績!$AL$6:$AL$505,"○")&gt;0,1,0))</f>
        <v>0</v>
      </c>
      <c r="DN72" s="39" t="n">
        <f aca="false">IF(DN$4=0,0,IF(COUNTIFS(実績!$W$6:$W$505,DN$3,実績!$AI$6:$AI$505,"&lt;="&amp;$A72,実績!$AJ$6:$AJ$505,"&gt;"&amp;$A72,実績!$AL$6:$AL$505,"○")&gt;0,1,0))</f>
        <v>0</v>
      </c>
      <c r="DO72" s="39" t="n">
        <f aca="false">IF(DO$4=0,0,IF(COUNTIFS(実績!$W$6:$W$505,DO$3,実績!$AI$6:$AI$505,"&lt;="&amp;$A72,実績!$AJ$6:$AJ$505,"&gt;"&amp;$A72,実績!$AL$6:$AL$505,"○")&gt;0,1,0))</f>
        <v>0</v>
      </c>
      <c r="DP72" s="39" t="n">
        <f aca="false">IF(DP$4=0,0,IF(COUNTIFS(実績!$W$6:$W$505,DP$3,実績!$AI$6:$AI$505,"&lt;="&amp;$A72,実績!$AJ$6:$AJ$505,"&gt;"&amp;$A72,実績!$AL$6:$AL$505,"○")&gt;0,1,0))</f>
        <v>0</v>
      </c>
      <c r="DQ72" s="39" t="n">
        <f aca="false">IF(DQ$4=0,0,IF(COUNTIFS(実績!$W$6:$W$505,DQ$3,実績!$AI$6:$AI$505,"&lt;="&amp;$A72,実績!$AJ$6:$AJ$505,"&gt;"&amp;$A72,実績!$AL$6:$AL$505,"○")&gt;0,1,0))</f>
        <v>0</v>
      </c>
      <c r="DR72" s="39" t="n">
        <f aca="false">IF(DR$4=0,0,IF(COUNTIFS(実績!$W$6:$W$505,DR$3,実績!$AI$6:$AI$505,"&lt;="&amp;$A72,実績!$AJ$6:$AJ$505,"&gt;"&amp;$A72,実績!$AL$6:$AL$505,"○")&gt;0,1,0))</f>
        <v>0</v>
      </c>
      <c r="DS72" s="39" t="n">
        <f aca="false">SUM(C72:DR72)</f>
        <v>0</v>
      </c>
    </row>
    <row r="73" customFormat="false" ht="15" hidden="false" customHeight="false" outlineLevel="0" collapsed="false">
      <c r="A73" s="0" t="n">
        <v>335</v>
      </c>
      <c r="B73" s="38" t="n">
        <f aca="false">A73/1440</f>
        <v>0.232638888888889</v>
      </c>
      <c r="C73" s="39" t="n">
        <f aca="false">IF(C$4=0,0,IF(COUNTIFS(実績!$W$6:$W$505,C$3,実績!$AI$6:$AI$505,"&lt;="&amp;$A73,実績!$AJ$6:$AJ$505,"&gt;"&amp;$A73,実績!$AL$6:$AL$505,"○")&gt;0,1,0))</f>
        <v>0</v>
      </c>
      <c r="D73" s="39" t="n">
        <f aca="false">IF(D$4=0,0,IF(COUNTIFS(実績!$W$6:$W$505,D$3,実績!$AI$6:$AI$505,"&lt;="&amp;$A73,実績!$AJ$6:$AJ$505,"&gt;"&amp;$A73,実績!$AL$6:$AL$505,"○")&gt;0,1,0))</f>
        <v>0</v>
      </c>
      <c r="E73" s="39" t="n">
        <f aca="false">IF(E$4=0,0,IF(COUNTIFS(実績!$W$6:$W$505,E$3,実績!$AI$6:$AI$505,"&lt;="&amp;$A73,実績!$AJ$6:$AJ$505,"&gt;"&amp;$A73,実績!$AL$6:$AL$505,"○")&gt;0,1,0))</f>
        <v>0</v>
      </c>
      <c r="F73" s="39" t="n">
        <f aca="false">IF(F$4=0,0,IF(COUNTIFS(実績!$W$6:$W$505,F$3,実績!$AI$6:$AI$505,"&lt;="&amp;$A73,実績!$AJ$6:$AJ$505,"&gt;"&amp;$A73,実績!$AL$6:$AL$505,"○")&gt;0,1,0))</f>
        <v>0</v>
      </c>
      <c r="G73" s="39" t="n">
        <f aca="false">IF(G$4=0,0,IF(COUNTIFS(実績!$W$6:$W$505,G$3,実績!$AI$6:$AI$505,"&lt;="&amp;$A73,実績!$AJ$6:$AJ$505,"&gt;"&amp;$A73,実績!$AL$6:$AL$505,"○")&gt;0,1,0))</f>
        <v>0</v>
      </c>
      <c r="H73" s="39" t="n">
        <f aca="false">IF(H$4=0,0,IF(COUNTIFS(実績!$W$6:$W$505,H$3,実績!$AI$6:$AI$505,"&lt;="&amp;$A73,実績!$AJ$6:$AJ$505,"&gt;"&amp;$A73,実績!$AL$6:$AL$505,"○")&gt;0,1,0))</f>
        <v>0</v>
      </c>
      <c r="I73" s="39" t="n">
        <f aca="false">IF(I$4=0,0,IF(COUNTIFS(実績!$W$6:$W$505,I$3,実績!$AI$6:$AI$505,"&lt;="&amp;$A73,実績!$AJ$6:$AJ$505,"&gt;"&amp;$A73,実績!$AL$6:$AL$505,"○")&gt;0,1,0))</f>
        <v>0</v>
      </c>
      <c r="J73" s="39" t="n">
        <f aca="false">IF(J$4=0,0,IF(COUNTIFS(実績!$W$6:$W$505,J$3,実績!$AI$6:$AI$505,"&lt;="&amp;$A73,実績!$AJ$6:$AJ$505,"&gt;"&amp;$A73,実績!$AL$6:$AL$505,"○")&gt;0,1,0))</f>
        <v>0</v>
      </c>
      <c r="K73" s="39" t="n">
        <f aca="false">IF(K$4=0,0,IF(COUNTIFS(実績!$W$6:$W$505,K$3,実績!$AI$6:$AI$505,"&lt;="&amp;$A73,実績!$AJ$6:$AJ$505,"&gt;"&amp;$A73,実績!$AL$6:$AL$505,"○")&gt;0,1,0))</f>
        <v>0</v>
      </c>
      <c r="L73" s="39" t="n">
        <f aca="false">IF(L$4=0,0,IF(COUNTIFS(実績!$W$6:$W$505,L$3,実績!$AI$6:$AI$505,"&lt;="&amp;$A73,実績!$AJ$6:$AJ$505,"&gt;"&amp;$A73,実績!$AL$6:$AL$505,"○")&gt;0,1,0))</f>
        <v>0</v>
      </c>
      <c r="M73" s="39" t="n">
        <f aca="false">IF(M$4=0,0,IF(COUNTIFS(実績!$W$6:$W$505,M$3,実績!$AI$6:$AI$505,"&lt;="&amp;$A73,実績!$AJ$6:$AJ$505,"&gt;"&amp;$A73,実績!$AL$6:$AL$505,"○")&gt;0,1,0))</f>
        <v>0</v>
      </c>
      <c r="N73" s="39" t="n">
        <f aca="false">IF(N$4=0,0,IF(COUNTIFS(実績!$W$6:$W$505,N$3,実績!$AI$6:$AI$505,"&lt;="&amp;$A73,実績!$AJ$6:$AJ$505,"&gt;"&amp;$A73,実績!$AL$6:$AL$505,"○")&gt;0,1,0))</f>
        <v>0</v>
      </c>
      <c r="O73" s="39" t="n">
        <f aca="false">IF(O$4=0,0,IF(COUNTIFS(実績!$W$6:$W$505,O$3,実績!$AI$6:$AI$505,"&lt;="&amp;$A73,実績!$AJ$6:$AJ$505,"&gt;"&amp;$A73,実績!$AL$6:$AL$505,"○")&gt;0,1,0))</f>
        <v>0</v>
      </c>
      <c r="P73" s="39" t="n">
        <f aca="false">IF(P$4=0,0,IF(COUNTIFS(実績!$W$6:$W$505,P$3,実績!$AI$6:$AI$505,"&lt;="&amp;$A73,実績!$AJ$6:$AJ$505,"&gt;"&amp;$A73,実績!$AL$6:$AL$505,"○")&gt;0,1,0))</f>
        <v>0</v>
      </c>
      <c r="Q73" s="39" t="n">
        <f aca="false">IF(Q$4=0,0,IF(COUNTIFS(実績!$W$6:$W$505,Q$3,実績!$AI$6:$AI$505,"&lt;="&amp;$A73,実績!$AJ$6:$AJ$505,"&gt;"&amp;$A73,実績!$AL$6:$AL$505,"○")&gt;0,1,0))</f>
        <v>0</v>
      </c>
      <c r="R73" s="39" t="n">
        <f aca="false">IF(R$4=0,0,IF(COUNTIFS(実績!$W$6:$W$505,R$3,実績!$AI$6:$AI$505,"&lt;="&amp;$A73,実績!$AJ$6:$AJ$505,"&gt;"&amp;$A73,実績!$AL$6:$AL$505,"○")&gt;0,1,0))</f>
        <v>0</v>
      </c>
      <c r="S73" s="39" t="n">
        <f aca="false">IF(S$4=0,0,IF(COUNTIFS(実績!$W$6:$W$505,S$3,実績!$AI$6:$AI$505,"&lt;="&amp;$A73,実績!$AJ$6:$AJ$505,"&gt;"&amp;$A73,実績!$AL$6:$AL$505,"○")&gt;0,1,0))</f>
        <v>0</v>
      </c>
      <c r="T73" s="39" t="n">
        <f aca="false">IF(T$4=0,0,IF(COUNTIFS(実績!$W$6:$W$505,T$3,実績!$AI$6:$AI$505,"&lt;="&amp;$A73,実績!$AJ$6:$AJ$505,"&gt;"&amp;$A73,実績!$AL$6:$AL$505,"○")&gt;0,1,0))</f>
        <v>0</v>
      </c>
      <c r="U73" s="39" t="n">
        <f aca="false">IF(U$4=0,0,IF(COUNTIFS(実績!$W$6:$W$505,U$3,実績!$AI$6:$AI$505,"&lt;="&amp;$A73,実績!$AJ$6:$AJ$505,"&gt;"&amp;$A73,実績!$AL$6:$AL$505,"○")&gt;0,1,0))</f>
        <v>0</v>
      </c>
      <c r="V73" s="39" t="n">
        <f aca="false">IF(V$4=0,0,IF(COUNTIFS(実績!$W$6:$W$505,V$3,実績!$AI$6:$AI$505,"&lt;="&amp;$A73,実績!$AJ$6:$AJ$505,"&gt;"&amp;$A73,実績!$AL$6:$AL$505,"○")&gt;0,1,0))</f>
        <v>0</v>
      </c>
      <c r="W73" s="39" t="n">
        <f aca="false">IF(W$4=0,0,IF(COUNTIFS(実績!$W$6:$W$505,W$3,実績!$AI$6:$AI$505,"&lt;="&amp;$A73,実績!$AJ$6:$AJ$505,"&gt;"&amp;$A73,実績!$AL$6:$AL$505,"○")&gt;0,1,0))</f>
        <v>0</v>
      </c>
      <c r="X73" s="39" t="n">
        <f aca="false">IF(X$4=0,0,IF(COUNTIFS(実績!$W$6:$W$505,X$3,実績!$AI$6:$AI$505,"&lt;="&amp;$A73,実績!$AJ$6:$AJ$505,"&gt;"&amp;$A73,実績!$AL$6:$AL$505,"○")&gt;0,1,0))</f>
        <v>0</v>
      </c>
      <c r="Y73" s="39" t="n">
        <f aca="false">IF(Y$4=0,0,IF(COUNTIFS(実績!$W$6:$W$505,Y$3,実績!$AI$6:$AI$505,"&lt;="&amp;$A73,実績!$AJ$6:$AJ$505,"&gt;"&amp;$A73,実績!$AL$6:$AL$505,"○")&gt;0,1,0))</f>
        <v>0</v>
      </c>
      <c r="Z73" s="39" t="n">
        <f aca="false">IF(Z$4=0,0,IF(COUNTIFS(実績!$W$6:$W$505,Z$3,実績!$AI$6:$AI$505,"&lt;="&amp;$A73,実績!$AJ$6:$AJ$505,"&gt;"&amp;$A73,実績!$AL$6:$AL$505,"○")&gt;0,1,0))</f>
        <v>0</v>
      </c>
      <c r="AA73" s="39" t="n">
        <f aca="false">IF(AA$4=0,0,IF(COUNTIFS(実績!$W$6:$W$505,AA$3,実績!$AI$6:$AI$505,"&lt;="&amp;$A73,実績!$AJ$6:$AJ$505,"&gt;"&amp;$A73,実績!$AL$6:$AL$505,"○")&gt;0,1,0))</f>
        <v>0</v>
      </c>
      <c r="AB73" s="39" t="n">
        <f aca="false">IF(AB$4=0,0,IF(COUNTIFS(実績!$W$6:$W$505,AB$3,実績!$AI$6:$AI$505,"&lt;="&amp;$A73,実績!$AJ$6:$AJ$505,"&gt;"&amp;$A73,実績!$AL$6:$AL$505,"○")&gt;0,1,0))</f>
        <v>0</v>
      </c>
      <c r="AC73" s="39" t="n">
        <f aca="false">IF(AC$4=0,0,IF(COUNTIFS(実績!$W$6:$W$505,AC$3,実績!$AI$6:$AI$505,"&lt;="&amp;$A73,実績!$AJ$6:$AJ$505,"&gt;"&amp;$A73,実績!$AL$6:$AL$505,"○")&gt;0,1,0))</f>
        <v>0</v>
      </c>
      <c r="AD73" s="39" t="n">
        <f aca="false">IF(AD$4=0,0,IF(COUNTIFS(実績!$W$6:$W$505,AD$3,実績!$AI$6:$AI$505,"&lt;="&amp;$A73,実績!$AJ$6:$AJ$505,"&gt;"&amp;$A73,実績!$AL$6:$AL$505,"○")&gt;0,1,0))</f>
        <v>0</v>
      </c>
      <c r="AE73" s="39" t="n">
        <f aca="false">IF(AE$4=0,0,IF(COUNTIFS(実績!$W$6:$W$505,AE$3,実績!$AI$6:$AI$505,"&lt;="&amp;$A73,実績!$AJ$6:$AJ$505,"&gt;"&amp;$A73,実績!$AL$6:$AL$505,"○")&gt;0,1,0))</f>
        <v>0</v>
      </c>
      <c r="AF73" s="39" t="n">
        <f aca="false">IF(AF$4=0,0,IF(COUNTIFS(実績!$W$6:$W$505,AF$3,実績!$AI$6:$AI$505,"&lt;="&amp;$A73,実績!$AJ$6:$AJ$505,"&gt;"&amp;$A73,実績!$AL$6:$AL$505,"○")&gt;0,1,0))</f>
        <v>0</v>
      </c>
      <c r="AG73" s="39" t="n">
        <f aca="false">IF(AG$4=0,0,IF(COUNTIFS(実績!$W$6:$W$505,AG$3,実績!$AI$6:$AI$505,"&lt;="&amp;$A73,実績!$AJ$6:$AJ$505,"&gt;"&amp;$A73,実績!$AL$6:$AL$505,"○")&gt;0,1,0))</f>
        <v>0</v>
      </c>
      <c r="AH73" s="39" t="n">
        <f aca="false">IF(AH$4=0,0,IF(COUNTIFS(実績!$W$6:$W$505,AH$3,実績!$AI$6:$AI$505,"&lt;="&amp;$A73,実績!$AJ$6:$AJ$505,"&gt;"&amp;$A73,実績!$AL$6:$AL$505,"○")&gt;0,1,0))</f>
        <v>0</v>
      </c>
      <c r="AI73" s="39" t="n">
        <f aca="false">IF(AI$4=0,0,IF(COUNTIFS(実績!$W$6:$W$505,AI$3,実績!$AI$6:$AI$505,"&lt;="&amp;$A73,実績!$AJ$6:$AJ$505,"&gt;"&amp;$A73,実績!$AL$6:$AL$505,"○")&gt;0,1,0))</f>
        <v>0</v>
      </c>
      <c r="AJ73" s="39" t="n">
        <f aca="false">IF(AJ$4=0,0,IF(COUNTIFS(実績!$W$6:$W$505,AJ$3,実績!$AI$6:$AI$505,"&lt;="&amp;$A73,実績!$AJ$6:$AJ$505,"&gt;"&amp;$A73,実績!$AL$6:$AL$505,"○")&gt;0,1,0))</f>
        <v>0</v>
      </c>
      <c r="AK73" s="39" t="n">
        <f aca="false">IF(AK$4=0,0,IF(COUNTIFS(実績!$W$6:$W$505,AK$3,実績!$AI$6:$AI$505,"&lt;="&amp;$A73,実績!$AJ$6:$AJ$505,"&gt;"&amp;$A73,実績!$AL$6:$AL$505,"○")&gt;0,1,0))</f>
        <v>0</v>
      </c>
      <c r="AL73" s="39" t="n">
        <f aca="false">IF(AL$4=0,0,IF(COUNTIFS(実績!$W$6:$W$505,AL$3,実績!$AI$6:$AI$505,"&lt;="&amp;$A73,実績!$AJ$6:$AJ$505,"&gt;"&amp;$A73,実績!$AL$6:$AL$505,"○")&gt;0,1,0))</f>
        <v>0</v>
      </c>
      <c r="AM73" s="39" t="n">
        <f aca="false">IF(AM$4=0,0,IF(COUNTIFS(実績!$W$6:$W$505,AM$3,実績!$AI$6:$AI$505,"&lt;="&amp;$A73,実績!$AJ$6:$AJ$505,"&gt;"&amp;$A73,実績!$AL$6:$AL$505,"○")&gt;0,1,0))</f>
        <v>0</v>
      </c>
      <c r="AN73" s="39" t="n">
        <f aca="false">IF(AN$4=0,0,IF(COUNTIFS(実績!$W$6:$W$505,AN$3,実績!$AI$6:$AI$505,"&lt;="&amp;$A73,実績!$AJ$6:$AJ$505,"&gt;"&amp;$A73,実績!$AL$6:$AL$505,"○")&gt;0,1,0))</f>
        <v>0</v>
      </c>
      <c r="AO73" s="39" t="n">
        <f aca="false">IF(AO$4=0,0,IF(COUNTIFS(実績!$W$6:$W$505,AO$3,実績!$AI$6:$AI$505,"&lt;="&amp;$A73,実績!$AJ$6:$AJ$505,"&gt;"&amp;$A73,実績!$AL$6:$AL$505,"○")&gt;0,1,0))</f>
        <v>0</v>
      </c>
      <c r="AP73" s="39" t="n">
        <f aca="false">IF(AP$4=0,0,IF(COUNTIFS(実績!$W$6:$W$505,AP$3,実績!$AI$6:$AI$505,"&lt;="&amp;$A73,実績!$AJ$6:$AJ$505,"&gt;"&amp;$A73,実績!$AL$6:$AL$505,"○")&gt;0,1,0))</f>
        <v>0</v>
      </c>
      <c r="AQ73" s="39" t="n">
        <f aca="false">IF(AQ$4=0,0,IF(COUNTIFS(実績!$W$6:$W$505,AQ$3,実績!$AI$6:$AI$505,"&lt;="&amp;$A73,実績!$AJ$6:$AJ$505,"&gt;"&amp;$A73,実績!$AL$6:$AL$505,"○")&gt;0,1,0))</f>
        <v>0</v>
      </c>
      <c r="AR73" s="39" t="n">
        <f aca="false">IF(AR$4=0,0,IF(COUNTIFS(実績!$W$6:$W$505,AR$3,実績!$AI$6:$AI$505,"&lt;="&amp;$A73,実績!$AJ$6:$AJ$505,"&gt;"&amp;$A73,実績!$AL$6:$AL$505,"○")&gt;0,1,0))</f>
        <v>0</v>
      </c>
      <c r="AS73" s="39" t="n">
        <f aca="false">IF(AS$4=0,0,IF(COUNTIFS(実績!$W$6:$W$505,AS$3,実績!$AI$6:$AI$505,"&lt;="&amp;$A73,実績!$AJ$6:$AJ$505,"&gt;"&amp;$A73,実績!$AL$6:$AL$505,"○")&gt;0,1,0))</f>
        <v>0</v>
      </c>
      <c r="AT73" s="39" t="n">
        <f aca="false">IF(AT$4=0,0,IF(COUNTIFS(実績!$W$6:$W$505,AT$3,実績!$AI$6:$AI$505,"&lt;="&amp;$A73,実績!$AJ$6:$AJ$505,"&gt;"&amp;$A73,実績!$AL$6:$AL$505,"○")&gt;0,1,0))</f>
        <v>0</v>
      </c>
      <c r="AU73" s="39" t="n">
        <f aca="false">IF(AU$4=0,0,IF(COUNTIFS(実績!$W$6:$W$505,AU$3,実績!$AI$6:$AI$505,"&lt;="&amp;$A73,実績!$AJ$6:$AJ$505,"&gt;"&amp;$A73,実績!$AL$6:$AL$505,"○")&gt;0,1,0))</f>
        <v>0</v>
      </c>
      <c r="AV73" s="39" t="n">
        <f aca="false">IF(AV$4=0,0,IF(COUNTIFS(実績!$W$6:$W$505,AV$3,実績!$AI$6:$AI$505,"&lt;="&amp;$A73,実績!$AJ$6:$AJ$505,"&gt;"&amp;$A73,実績!$AL$6:$AL$505,"○")&gt;0,1,0))</f>
        <v>0</v>
      </c>
      <c r="AW73" s="39" t="n">
        <f aca="false">IF(AW$4=0,0,IF(COUNTIFS(実績!$W$6:$W$505,AW$3,実績!$AI$6:$AI$505,"&lt;="&amp;$A73,実績!$AJ$6:$AJ$505,"&gt;"&amp;$A73,実績!$AL$6:$AL$505,"○")&gt;0,1,0))</f>
        <v>0</v>
      </c>
      <c r="AX73" s="39" t="n">
        <f aca="false">IF(AX$4=0,0,IF(COUNTIFS(実績!$W$6:$W$505,AX$3,実績!$AI$6:$AI$505,"&lt;="&amp;$A73,実績!$AJ$6:$AJ$505,"&gt;"&amp;$A73,実績!$AL$6:$AL$505,"○")&gt;0,1,0))</f>
        <v>0</v>
      </c>
      <c r="AY73" s="39" t="n">
        <f aca="false">IF(AY$4=0,0,IF(COUNTIFS(実績!$W$6:$W$505,AY$3,実績!$AI$6:$AI$505,"&lt;="&amp;$A73,実績!$AJ$6:$AJ$505,"&gt;"&amp;$A73,実績!$AL$6:$AL$505,"○")&gt;0,1,0))</f>
        <v>0</v>
      </c>
      <c r="AZ73" s="39" t="n">
        <f aca="false">IF(AZ$4=0,0,IF(COUNTIFS(実績!$W$6:$W$505,AZ$3,実績!$AI$6:$AI$505,"&lt;="&amp;$A73,実績!$AJ$6:$AJ$505,"&gt;"&amp;$A73,実績!$AL$6:$AL$505,"○")&gt;0,1,0))</f>
        <v>0</v>
      </c>
      <c r="BA73" s="39" t="n">
        <f aca="false">IF(BA$4=0,0,IF(COUNTIFS(実績!$W$6:$W$505,BA$3,実績!$AI$6:$AI$505,"&lt;="&amp;$A73,実績!$AJ$6:$AJ$505,"&gt;"&amp;$A73,実績!$AL$6:$AL$505,"○")&gt;0,1,0))</f>
        <v>0</v>
      </c>
      <c r="BB73" s="39" t="n">
        <f aca="false">IF(BB$4=0,0,IF(COUNTIFS(実績!$W$6:$W$505,BB$3,実績!$AI$6:$AI$505,"&lt;="&amp;$A73,実績!$AJ$6:$AJ$505,"&gt;"&amp;$A73,実績!$AL$6:$AL$505,"○")&gt;0,1,0))</f>
        <v>0</v>
      </c>
      <c r="BC73" s="39" t="n">
        <f aca="false">IF(BC$4=0,0,IF(COUNTIFS(実績!$W$6:$W$505,BC$3,実績!$AI$6:$AI$505,"&lt;="&amp;$A73,実績!$AJ$6:$AJ$505,"&gt;"&amp;$A73,実績!$AL$6:$AL$505,"○")&gt;0,1,0))</f>
        <v>0</v>
      </c>
      <c r="BD73" s="39" t="n">
        <f aca="false">IF(BD$4=0,0,IF(COUNTIFS(実績!$W$6:$W$505,BD$3,実績!$AI$6:$AI$505,"&lt;="&amp;$A73,実績!$AJ$6:$AJ$505,"&gt;"&amp;$A73,実績!$AL$6:$AL$505,"○")&gt;0,1,0))</f>
        <v>0</v>
      </c>
      <c r="BE73" s="39" t="n">
        <f aca="false">IF(BE$4=0,0,IF(COUNTIFS(実績!$W$6:$W$505,BE$3,実績!$AI$6:$AI$505,"&lt;="&amp;$A73,実績!$AJ$6:$AJ$505,"&gt;"&amp;$A73,実績!$AL$6:$AL$505,"○")&gt;0,1,0))</f>
        <v>0</v>
      </c>
      <c r="BF73" s="39" t="n">
        <f aca="false">IF(BF$4=0,0,IF(COUNTIFS(実績!$W$6:$W$505,BF$3,実績!$AI$6:$AI$505,"&lt;="&amp;$A73,実績!$AJ$6:$AJ$505,"&gt;"&amp;$A73,実績!$AL$6:$AL$505,"○")&gt;0,1,0))</f>
        <v>0</v>
      </c>
      <c r="BG73" s="39" t="n">
        <f aca="false">IF(BG$4=0,0,IF(COUNTIFS(実績!$W$6:$W$505,BG$3,実績!$AI$6:$AI$505,"&lt;="&amp;$A73,実績!$AJ$6:$AJ$505,"&gt;"&amp;$A73,実績!$AL$6:$AL$505,"○")&gt;0,1,0))</f>
        <v>0</v>
      </c>
      <c r="BH73" s="39" t="n">
        <f aca="false">IF(BH$4=0,0,IF(COUNTIFS(実績!$W$6:$W$505,BH$3,実績!$AI$6:$AI$505,"&lt;="&amp;$A73,実績!$AJ$6:$AJ$505,"&gt;"&amp;$A73,実績!$AL$6:$AL$505,"○")&gt;0,1,0))</f>
        <v>0</v>
      </c>
      <c r="BI73" s="39" t="n">
        <f aca="false">IF(BI$4=0,0,IF(COUNTIFS(実績!$W$6:$W$505,BI$3,実績!$AI$6:$AI$505,"&lt;="&amp;$A73,実績!$AJ$6:$AJ$505,"&gt;"&amp;$A73,実績!$AL$6:$AL$505,"○")&gt;0,1,0))</f>
        <v>0</v>
      </c>
      <c r="BJ73" s="39" t="n">
        <f aca="false">IF(BJ$4=0,0,IF(COUNTIFS(実績!$W$6:$W$505,BJ$3,実績!$AI$6:$AI$505,"&lt;="&amp;$A73,実績!$AJ$6:$AJ$505,"&gt;"&amp;$A73,実績!$AL$6:$AL$505,"○")&gt;0,1,0))</f>
        <v>0</v>
      </c>
      <c r="BK73" s="39" t="n">
        <f aca="false">IF(BK$4=0,0,IF(COUNTIFS(実績!$W$6:$W$505,BK$3,実績!$AI$6:$AI$505,"&lt;="&amp;$A73,実績!$AJ$6:$AJ$505,"&gt;"&amp;$A73,実績!$AL$6:$AL$505,"○")&gt;0,1,0))</f>
        <v>0</v>
      </c>
      <c r="BL73" s="39" t="n">
        <f aca="false">IF(BL$4=0,0,IF(COUNTIFS(実績!$W$6:$W$505,BL$3,実績!$AI$6:$AI$505,"&lt;="&amp;$A73,実績!$AJ$6:$AJ$505,"&gt;"&amp;$A73,実績!$AL$6:$AL$505,"○")&gt;0,1,0))</f>
        <v>0</v>
      </c>
      <c r="BM73" s="39" t="n">
        <f aca="false">IF(BM$4=0,0,IF(COUNTIFS(実績!$W$6:$W$505,BM$3,実績!$AI$6:$AI$505,"&lt;="&amp;$A73,実績!$AJ$6:$AJ$505,"&gt;"&amp;$A73,実績!$AL$6:$AL$505,"○")&gt;0,1,0))</f>
        <v>0</v>
      </c>
      <c r="BN73" s="39" t="n">
        <f aca="false">IF(BN$4=0,0,IF(COUNTIFS(実績!$W$6:$W$505,BN$3,実績!$AI$6:$AI$505,"&lt;="&amp;$A73,実績!$AJ$6:$AJ$505,"&gt;"&amp;$A73,実績!$AL$6:$AL$505,"○")&gt;0,1,0))</f>
        <v>0</v>
      </c>
      <c r="BO73" s="39" t="n">
        <f aca="false">IF(BO$4=0,0,IF(COUNTIFS(実績!$W$6:$W$505,BO$3,実績!$AI$6:$AI$505,"&lt;="&amp;$A73,実績!$AJ$6:$AJ$505,"&gt;"&amp;$A73,実績!$AL$6:$AL$505,"○")&gt;0,1,0))</f>
        <v>0</v>
      </c>
      <c r="BP73" s="39" t="n">
        <f aca="false">IF(BP$4=0,0,IF(COUNTIFS(実績!$W$6:$W$505,BP$3,実績!$AI$6:$AI$505,"&lt;="&amp;$A73,実績!$AJ$6:$AJ$505,"&gt;"&amp;$A73,実績!$AL$6:$AL$505,"○")&gt;0,1,0))</f>
        <v>0</v>
      </c>
      <c r="BQ73" s="39" t="n">
        <f aca="false">IF(BQ$4=0,0,IF(COUNTIFS(実績!$W$6:$W$505,BQ$3,実績!$AI$6:$AI$505,"&lt;="&amp;$A73,実績!$AJ$6:$AJ$505,"&gt;"&amp;$A73,実績!$AL$6:$AL$505,"○")&gt;0,1,0))</f>
        <v>0</v>
      </c>
      <c r="BR73" s="39" t="n">
        <f aca="false">IF(BR$4=0,0,IF(COUNTIFS(実績!$W$6:$W$505,BR$3,実績!$AI$6:$AI$505,"&lt;="&amp;$A73,実績!$AJ$6:$AJ$505,"&gt;"&amp;$A73,実績!$AL$6:$AL$505,"○")&gt;0,1,0))</f>
        <v>0</v>
      </c>
      <c r="BS73" s="39" t="n">
        <f aca="false">IF(BS$4=0,0,IF(COUNTIFS(実績!$W$6:$W$505,BS$3,実績!$AI$6:$AI$505,"&lt;="&amp;$A73,実績!$AJ$6:$AJ$505,"&gt;"&amp;$A73,実績!$AL$6:$AL$505,"○")&gt;0,1,0))</f>
        <v>0</v>
      </c>
      <c r="BT73" s="39" t="n">
        <f aca="false">IF(BT$4=0,0,IF(COUNTIFS(実績!$W$6:$W$505,BT$3,実績!$AI$6:$AI$505,"&lt;="&amp;$A73,実績!$AJ$6:$AJ$505,"&gt;"&amp;$A73,実績!$AL$6:$AL$505,"○")&gt;0,1,0))</f>
        <v>0</v>
      </c>
      <c r="BU73" s="39" t="n">
        <f aca="false">IF(BU$4=0,0,IF(COUNTIFS(実績!$W$6:$W$505,BU$3,実績!$AI$6:$AI$505,"&lt;="&amp;$A73,実績!$AJ$6:$AJ$505,"&gt;"&amp;$A73,実績!$AL$6:$AL$505,"○")&gt;0,1,0))</f>
        <v>0</v>
      </c>
      <c r="BV73" s="39" t="n">
        <f aca="false">IF(BV$4=0,0,IF(COUNTIFS(実績!$W$6:$W$505,BV$3,実績!$AI$6:$AI$505,"&lt;="&amp;$A73,実績!$AJ$6:$AJ$505,"&gt;"&amp;$A73,実績!$AL$6:$AL$505,"○")&gt;0,1,0))</f>
        <v>0</v>
      </c>
      <c r="BW73" s="39" t="n">
        <f aca="false">IF(BW$4=0,0,IF(COUNTIFS(実績!$W$6:$W$505,BW$3,実績!$AI$6:$AI$505,"&lt;="&amp;$A73,実績!$AJ$6:$AJ$505,"&gt;"&amp;$A73,実績!$AL$6:$AL$505,"○")&gt;0,1,0))</f>
        <v>0</v>
      </c>
      <c r="BX73" s="39" t="n">
        <f aca="false">IF(BX$4=0,0,IF(COUNTIFS(実績!$W$6:$W$505,BX$3,実績!$AI$6:$AI$505,"&lt;="&amp;$A73,実績!$AJ$6:$AJ$505,"&gt;"&amp;$A73,実績!$AL$6:$AL$505,"○")&gt;0,1,0))</f>
        <v>0</v>
      </c>
      <c r="BY73" s="39" t="n">
        <f aca="false">IF(BY$4=0,0,IF(COUNTIFS(実績!$W$6:$W$505,BY$3,実績!$AI$6:$AI$505,"&lt;="&amp;$A73,実績!$AJ$6:$AJ$505,"&gt;"&amp;$A73,実績!$AL$6:$AL$505,"○")&gt;0,1,0))</f>
        <v>0</v>
      </c>
      <c r="BZ73" s="39" t="n">
        <f aca="false">IF(BZ$4=0,0,IF(COUNTIFS(実績!$W$6:$W$505,BZ$3,実績!$AI$6:$AI$505,"&lt;="&amp;$A73,実績!$AJ$6:$AJ$505,"&gt;"&amp;$A73,実績!$AL$6:$AL$505,"○")&gt;0,1,0))</f>
        <v>0</v>
      </c>
      <c r="CA73" s="39" t="n">
        <f aca="false">IF(CA$4=0,0,IF(COUNTIFS(実績!$W$6:$W$505,CA$3,実績!$AI$6:$AI$505,"&lt;="&amp;$A73,実績!$AJ$6:$AJ$505,"&gt;"&amp;$A73,実績!$AL$6:$AL$505,"○")&gt;0,1,0))</f>
        <v>0</v>
      </c>
      <c r="CB73" s="39" t="n">
        <f aca="false">IF(CB$4=0,0,IF(COUNTIFS(実績!$W$6:$W$505,CB$3,実績!$AI$6:$AI$505,"&lt;="&amp;$A73,実績!$AJ$6:$AJ$505,"&gt;"&amp;$A73,実績!$AL$6:$AL$505,"○")&gt;0,1,0))</f>
        <v>0</v>
      </c>
      <c r="CC73" s="39" t="n">
        <f aca="false">IF(CC$4=0,0,IF(COUNTIFS(実績!$W$6:$W$505,CC$3,実績!$AI$6:$AI$505,"&lt;="&amp;$A73,実績!$AJ$6:$AJ$505,"&gt;"&amp;$A73,実績!$AL$6:$AL$505,"○")&gt;0,1,0))</f>
        <v>0</v>
      </c>
      <c r="CD73" s="39" t="n">
        <f aca="false">IF(CD$4=0,0,IF(COUNTIFS(実績!$W$6:$W$505,CD$3,実績!$AI$6:$AI$505,"&lt;="&amp;$A73,実績!$AJ$6:$AJ$505,"&gt;"&amp;$A73,実績!$AL$6:$AL$505,"○")&gt;0,1,0))</f>
        <v>0</v>
      </c>
      <c r="CE73" s="39" t="n">
        <f aca="false">IF(CE$4=0,0,IF(COUNTIFS(実績!$W$6:$W$505,CE$3,実績!$AI$6:$AI$505,"&lt;="&amp;$A73,実績!$AJ$6:$AJ$505,"&gt;"&amp;$A73,実績!$AL$6:$AL$505,"○")&gt;0,1,0))</f>
        <v>0</v>
      </c>
      <c r="CF73" s="39" t="n">
        <f aca="false">IF(CF$4=0,0,IF(COUNTIFS(実績!$W$6:$W$505,CF$3,実績!$AI$6:$AI$505,"&lt;="&amp;$A73,実績!$AJ$6:$AJ$505,"&gt;"&amp;$A73,実績!$AL$6:$AL$505,"○")&gt;0,1,0))</f>
        <v>0</v>
      </c>
      <c r="CG73" s="39" t="n">
        <f aca="false">IF(CG$4=0,0,IF(COUNTIFS(実績!$W$6:$W$505,CG$3,実績!$AI$6:$AI$505,"&lt;="&amp;$A73,実績!$AJ$6:$AJ$505,"&gt;"&amp;$A73,実績!$AL$6:$AL$505,"○")&gt;0,1,0))</f>
        <v>0</v>
      </c>
      <c r="CH73" s="39" t="n">
        <f aca="false">IF(CH$4=0,0,IF(COUNTIFS(実績!$W$6:$W$505,CH$3,実績!$AI$6:$AI$505,"&lt;="&amp;$A73,実績!$AJ$6:$AJ$505,"&gt;"&amp;$A73,実績!$AL$6:$AL$505,"○")&gt;0,1,0))</f>
        <v>0</v>
      </c>
      <c r="CI73" s="39" t="n">
        <f aca="false">IF(CI$4=0,0,IF(COUNTIFS(実績!$W$6:$W$505,CI$3,実績!$AI$6:$AI$505,"&lt;="&amp;$A73,実績!$AJ$6:$AJ$505,"&gt;"&amp;$A73,実績!$AL$6:$AL$505,"○")&gt;0,1,0))</f>
        <v>0</v>
      </c>
      <c r="CJ73" s="39" t="n">
        <f aca="false">IF(CJ$4=0,0,IF(COUNTIFS(実績!$W$6:$W$505,CJ$3,実績!$AI$6:$AI$505,"&lt;="&amp;$A73,実績!$AJ$6:$AJ$505,"&gt;"&amp;$A73,実績!$AL$6:$AL$505,"○")&gt;0,1,0))</f>
        <v>0</v>
      </c>
      <c r="CK73" s="39" t="n">
        <f aca="false">IF(CK$4=0,0,IF(COUNTIFS(実績!$W$6:$W$505,CK$3,実績!$AI$6:$AI$505,"&lt;="&amp;$A73,実績!$AJ$6:$AJ$505,"&gt;"&amp;$A73,実績!$AL$6:$AL$505,"○")&gt;0,1,0))</f>
        <v>0</v>
      </c>
      <c r="CL73" s="39" t="n">
        <f aca="false">IF(CL$4=0,0,IF(COUNTIFS(実績!$W$6:$W$505,CL$3,実績!$AI$6:$AI$505,"&lt;="&amp;$A73,実績!$AJ$6:$AJ$505,"&gt;"&amp;$A73,実績!$AL$6:$AL$505,"○")&gt;0,1,0))</f>
        <v>0</v>
      </c>
      <c r="CM73" s="39" t="n">
        <f aca="false">IF(CM$4=0,0,IF(COUNTIFS(実績!$W$6:$W$505,CM$3,実績!$AI$6:$AI$505,"&lt;="&amp;$A73,実績!$AJ$6:$AJ$505,"&gt;"&amp;$A73,実績!$AL$6:$AL$505,"○")&gt;0,1,0))</f>
        <v>0</v>
      </c>
      <c r="CN73" s="39" t="n">
        <f aca="false">IF(CN$4=0,0,IF(COUNTIFS(実績!$W$6:$W$505,CN$3,実績!$AI$6:$AI$505,"&lt;="&amp;$A73,実績!$AJ$6:$AJ$505,"&gt;"&amp;$A73,実績!$AL$6:$AL$505,"○")&gt;0,1,0))</f>
        <v>0</v>
      </c>
      <c r="CO73" s="39" t="n">
        <f aca="false">IF(CO$4=0,0,IF(COUNTIFS(実績!$W$6:$W$505,CO$3,実績!$AI$6:$AI$505,"&lt;="&amp;$A73,実績!$AJ$6:$AJ$505,"&gt;"&amp;$A73,実績!$AL$6:$AL$505,"○")&gt;0,1,0))</f>
        <v>0</v>
      </c>
      <c r="CP73" s="39" t="n">
        <f aca="false">IF(CP$4=0,0,IF(COUNTIFS(実績!$W$6:$W$505,CP$3,実績!$AI$6:$AI$505,"&lt;="&amp;$A73,実績!$AJ$6:$AJ$505,"&gt;"&amp;$A73,実績!$AL$6:$AL$505,"○")&gt;0,1,0))</f>
        <v>0</v>
      </c>
      <c r="CQ73" s="39" t="n">
        <f aca="false">IF(CQ$4=0,0,IF(COUNTIFS(実績!$W$6:$W$505,CQ$3,実績!$AI$6:$AI$505,"&lt;="&amp;$A73,実績!$AJ$6:$AJ$505,"&gt;"&amp;$A73,実績!$AL$6:$AL$505,"○")&gt;0,1,0))</f>
        <v>0</v>
      </c>
      <c r="CR73" s="39" t="n">
        <f aca="false">IF(CR$4=0,0,IF(COUNTIFS(実績!$W$6:$W$505,CR$3,実績!$AI$6:$AI$505,"&lt;="&amp;$A73,実績!$AJ$6:$AJ$505,"&gt;"&amp;$A73,実績!$AL$6:$AL$505,"○")&gt;0,1,0))</f>
        <v>0</v>
      </c>
      <c r="CS73" s="39" t="n">
        <f aca="false">IF(CS$4=0,0,IF(COUNTIFS(実績!$W$6:$W$505,CS$3,実績!$AI$6:$AI$505,"&lt;="&amp;$A73,実績!$AJ$6:$AJ$505,"&gt;"&amp;$A73,実績!$AL$6:$AL$505,"○")&gt;0,1,0))</f>
        <v>0</v>
      </c>
      <c r="CT73" s="39" t="n">
        <f aca="false">IF(CT$4=0,0,IF(COUNTIFS(実績!$W$6:$W$505,CT$3,実績!$AI$6:$AI$505,"&lt;="&amp;$A73,実績!$AJ$6:$AJ$505,"&gt;"&amp;$A73,実績!$AL$6:$AL$505,"○")&gt;0,1,0))</f>
        <v>0</v>
      </c>
      <c r="CU73" s="39" t="n">
        <f aca="false">IF(CU$4=0,0,IF(COUNTIFS(実績!$W$6:$W$505,CU$3,実績!$AI$6:$AI$505,"&lt;="&amp;$A73,実績!$AJ$6:$AJ$505,"&gt;"&amp;$A73,実績!$AL$6:$AL$505,"○")&gt;0,1,0))</f>
        <v>0</v>
      </c>
      <c r="CV73" s="39" t="n">
        <f aca="false">IF(CV$4=0,0,IF(COUNTIFS(実績!$W$6:$W$505,CV$3,実績!$AI$6:$AI$505,"&lt;="&amp;$A73,実績!$AJ$6:$AJ$505,"&gt;"&amp;$A73,実績!$AL$6:$AL$505,"○")&gt;0,1,0))</f>
        <v>0</v>
      </c>
      <c r="CW73" s="39" t="n">
        <f aca="false">IF(CW$4=0,0,IF(COUNTIFS(実績!$W$6:$W$505,CW$3,実績!$AI$6:$AI$505,"&lt;="&amp;$A73,実績!$AJ$6:$AJ$505,"&gt;"&amp;$A73,実績!$AL$6:$AL$505,"○")&gt;0,1,0))</f>
        <v>0</v>
      </c>
      <c r="CX73" s="39" t="n">
        <f aca="false">IF(CX$4=0,0,IF(COUNTIFS(実績!$W$6:$W$505,CX$3,実績!$AI$6:$AI$505,"&lt;="&amp;$A73,実績!$AJ$6:$AJ$505,"&gt;"&amp;$A73,実績!$AL$6:$AL$505,"○")&gt;0,1,0))</f>
        <v>0</v>
      </c>
      <c r="CY73" s="39" t="n">
        <f aca="false">IF(CY$4=0,0,IF(COUNTIFS(実績!$W$6:$W$505,CY$3,実績!$AI$6:$AI$505,"&lt;="&amp;$A73,実績!$AJ$6:$AJ$505,"&gt;"&amp;$A73,実績!$AL$6:$AL$505,"○")&gt;0,1,0))</f>
        <v>0</v>
      </c>
      <c r="CZ73" s="39" t="n">
        <f aca="false">IF(CZ$4=0,0,IF(COUNTIFS(実績!$W$6:$W$505,CZ$3,実績!$AI$6:$AI$505,"&lt;="&amp;$A73,実績!$AJ$6:$AJ$505,"&gt;"&amp;$A73,実績!$AL$6:$AL$505,"○")&gt;0,1,0))</f>
        <v>0</v>
      </c>
      <c r="DA73" s="39" t="n">
        <f aca="false">IF(DA$4=0,0,IF(COUNTIFS(実績!$W$6:$W$505,DA$3,実績!$AI$6:$AI$505,"&lt;="&amp;$A73,実績!$AJ$6:$AJ$505,"&gt;"&amp;$A73,実績!$AL$6:$AL$505,"○")&gt;0,1,0))</f>
        <v>0</v>
      </c>
      <c r="DB73" s="39" t="n">
        <f aca="false">IF(DB$4=0,0,IF(COUNTIFS(実績!$W$6:$W$505,DB$3,実績!$AI$6:$AI$505,"&lt;="&amp;$A73,実績!$AJ$6:$AJ$505,"&gt;"&amp;$A73,実績!$AL$6:$AL$505,"○")&gt;0,1,0))</f>
        <v>0</v>
      </c>
      <c r="DC73" s="39" t="n">
        <f aca="false">IF(DC$4=0,0,IF(COUNTIFS(実績!$W$6:$W$505,DC$3,実績!$AI$6:$AI$505,"&lt;="&amp;$A73,実績!$AJ$6:$AJ$505,"&gt;"&amp;$A73,実績!$AL$6:$AL$505,"○")&gt;0,1,0))</f>
        <v>0</v>
      </c>
      <c r="DD73" s="39" t="n">
        <f aca="false">IF(DD$4=0,0,IF(COUNTIFS(実績!$W$6:$W$505,DD$3,実績!$AI$6:$AI$505,"&lt;="&amp;$A73,実績!$AJ$6:$AJ$505,"&gt;"&amp;$A73,実績!$AL$6:$AL$505,"○")&gt;0,1,0))</f>
        <v>0</v>
      </c>
      <c r="DE73" s="39" t="n">
        <f aca="false">IF(DE$4=0,0,IF(COUNTIFS(実績!$W$6:$W$505,DE$3,実績!$AI$6:$AI$505,"&lt;="&amp;$A73,実績!$AJ$6:$AJ$505,"&gt;"&amp;$A73,実績!$AL$6:$AL$505,"○")&gt;0,1,0))</f>
        <v>0</v>
      </c>
      <c r="DF73" s="39" t="n">
        <f aca="false">IF(DF$4=0,0,IF(COUNTIFS(実績!$W$6:$W$505,DF$3,実績!$AI$6:$AI$505,"&lt;="&amp;$A73,実績!$AJ$6:$AJ$505,"&gt;"&amp;$A73,実績!$AL$6:$AL$505,"○")&gt;0,1,0))</f>
        <v>0</v>
      </c>
      <c r="DG73" s="39" t="n">
        <f aca="false">IF(DG$4=0,0,IF(COUNTIFS(実績!$W$6:$W$505,DG$3,実績!$AI$6:$AI$505,"&lt;="&amp;$A73,実績!$AJ$6:$AJ$505,"&gt;"&amp;$A73,実績!$AL$6:$AL$505,"○")&gt;0,1,0))</f>
        <v>0</v>
      </c>
      <c r="DH73" s="39" t="n">
        <f aca="false">IF(DH$4=0,0,IF(COUNTIFS(実績!$W$6:$W$505,DH$3,実績!$AI$6:$AI$505,"&lt;="&amp;$A73,実績!$AJ$6:$AJ$505,"&gt;"&amp;$A73,実績!$AL$6:$AL$505,"○")&gt;0,1,0))</f>
        <v>0</v>
      </c>
      <c r="DI73" s="39" t="n">
        <f aca="false">IF(DI$4=0,0,IF(COUNTIFS(実績!$W$6:$W$505,DI$3,実績!$AI$6:$AI$505,"&lt;="&amp;$A73,実績!$AJ$6:$AJ$505,"&gt;"&amp;$A73,実績!$AL$6:$AL$505,"○")&gt;0,1,0))</f>
        <v>0</v>
      </c>
      <c r="DJ73" s="39" t="n">
        <f aca="false">IF(DJ$4=0,0,IF(COUNTIFS(実績!$W$6:$W$505,DJ$3,実績!$AI$6:$AI$505,"&lt;="&amp;$A73,実績!$AJ$6:$AJ$505,"&gt;"&amp;$A73,実績!$AL$6:$AL$505,"○")&gt;0,1,0))</f>
        <v>0</v>
      </c>
      <c r="DK73" s="39" t="n">
        <f aca="false">IF(DK$4=0,0,IF(COUNTIFS(実績!$W$6:$W$505,DK$3,実績!$AI$6:$AI$505,"&lt;="&amp;$A73,実績!$AJ$6:$AJ$505,"&gt;"&amp;$A73,実績!$AL$6:$AL$505,"○")&gt;0,1,0))</f>
        <v>0</v>
      </c>
      <c r="DL73" s="39" t="n">
        <f aca="false">IF(DL$4=0,0,IF(COUNTIFS(実績!$W$6:$W$505,DL$3,実績!$AI$6:$AI$505,"&lt;="&amp;$A73,実績!$AJ$6:$AJ$505,"&gt;"&amp;$A73,実績!$AL$6:$AL$505,"○")&gt;0,1,0))</f>
        <v>0</v>
      </c>
      <c r="DM73" s="39" t="n">
        <f aca="false">IF(DM$4=0,0,IF(COUNTIFS(実績!$W$6:$W$505,DM$3,実績!$AI$6:$AI$505,"&lt;="&amp;$A73,実績!$AJ$6:$AJ$505,"&gt;"&amp;$A73,実績!$AL$6:$AL$505,"○")&gt;0,1,0))</f>
        <v>0</v>
      </c>
      <c r="DN73" s="39" t="n">
        <f aca="false">IF(DN$4=0,0,IF(COUNTIFS(実績!$W$6:$W$505,DN$3,実績!$AI$6:$AI$505,"&lt;="&amp;$A73,実績!$AJ$6:$AJ$505,"&gt;"&amp;$A73,実績!$AL$6:$AL$505,"○")&gt;0,1,0))</f>
        <v>0</v>
      </c>
      <c r="DO73" s="39" t="n">
        <f aca="false">IF(DO$4=0,0,IF(COUNTIFS(実績!$W$6:$W$505,DO$3,実績!$AI$6:$AI$505,"&lt;="&amp;$A73,実績!$AJ$6:$AJ$505,"&gt;"&amp;$A73,実績!$AL$6:$AL$505,"○")&gt;0,1,0))</f>
        <v>0</v>
      </c>
      <c r="DP73" s="39" t="n">
        <f aca="false">IF(DP$4=0,0,IF(COUNTIFS(実績!$W$6:$W$505,DP$3,実績!$AI$6:$AI$505,"&lt;="&amp;$A73,実績!$AJ$6:$AJ$505,"&gt;"&amp;$A73,実績!$AL$6:$AL$505,"○")&gt;0,1,0))</f>
        <v>0</v>
      </c>
      <c r="DQ73" s="39" t="n">
        <f aca="false">IF(DQ$4=0,0,IF(COUNTIFS(実績!$W$6:$W$505,DQ$3,実績!$AI$6:$AI$505,"&lt;="&amp;$A73,実績!$AJ$6:$AJ$505,"&gt;"&amp;$A73,実績!$AL$6:$AL$505,"○")&gt;0,1,0))</f>
        <v>0</v>
      </c>
      <c r="DR73" s="39" t="n">
        <f aca="false">IF(DR$4=0,0,IF(COUNTIFS(実績!$W$6:$W$505,DR$3,実績!$AI$6:$AI$505,"&lt;="&amp;$A73,実績!$AJ$6:$AJ$505,"&gt;"&amp;$A73,実績!$AL$6:$AL$505,"○")&gt;0,1,0))</f>
        <v>0</v>
      </c>
      <c r="DS73" s="39" t="n">
        <f aca="false">SUM(C73:DR73)</f>
        <v>0</v>
      </c>
    </row>
    <row r="74" customFormat="false" ht="15" hidden="false" customHeight="false" outlineLevel="0" collapsed="false">
      <c r="A74" s="0" t="n">
        <v>340</v>
      </c>
      <c r="B74" s="38" t="n">
        <f aca="false">A74/1440</f>
        <v>0.236111111111111</v>
      </c>
      <c r="C74" s="39" t="n">
        <f aca="false">IF(C$4=0,0,IF(COUNTIFS(実績!$W$6:$W$505,C$3,実績!$AI$6:$AI$505,"&lt;="&amp;$A74,実績!$AJ$6:$AJ$505,"&gt;"&amp;$A74,実績!$AL$6:$AL$505,"○")&gt;0,1,0))</f>
        <v>0</v>
      </c>
      <c r="D74" s="39" t="n">
        <f aca="false">IF(D$4=0,0,IF(COUNTIFS(実績!$W$6:$W$505,D$3,実績!$AI$6:$AI$505,"&lt;="&amp;$A74,実績!$AJ$6:$AJ$505,"&gt;"&amp;$A74,実績!$AL$6:$AL$505,"○")&gt;0,1,0))</f>
        <v>0</v>
      </c>
      <c r="E74" s="39" t="n">
        <f aca="false">IF(E$4=0,0,IF(COUNTIFS(実績!$W$6:$W$505,E$3,実績!$AI$6:$AI$505,"&lt;="&amp;$A74,実績!$AJ$6:$AJ$505,"&gt;"&amp;$A74,実績!$AL$6:$AL$505,"○")&gt;0,1,0))</f>
        <v>0</v>
      </c>
      <c r="F74" s="39" t="n">
        <f aca="false">IF(F$4=0,0,IF(COUNTIFS(実績!$W$6:$W$505,F$3,実績!$AI$6:$AI$505,"&lt;="&amp;$A74,実績!$AJ$6:$AJ$505,"&gt;"&amp;$A74,実績!$AL$6:$AL$505,"○")&gt;0,1,0))</f>
        <v>0</v>
      </c>
      <c r="G74" s="39" t="n">
        <f aca="false">IF(G$4=0,0,IF(COUNTIFS(実績!$W$6:$W$505,G$3,実績!$AI$6:$AI$505,"&lt;="&amp;$A74,実績!$AJ$6:$AJ$505,"&gt;"&amp;$A74,実績!$AL$6:$AL$505,"○")&gt;0,1,0))</f>
        <v>0</v>
      </c>
      <c r="H74" s="39" t="n">
        <f aca="false">IF(H$4=0,0,IF(COUNTIFS(実績!$W$6:$W$505,H$3,実績!$AI$6:$AI$505,"&lt;="&amp;$A74,実績!$AJ$6:$AJ$505,"&gt;"&amp;$A74,実績!$AL$6:$AL$505,"○")&gt;0,1,0))</f>
        <v>0</v>
      </c>
      <c r="I74" s="39" t="n">
        <f aca="false">IF(I$4=0,0,IF(COUNTIFS(実績!$W$6:$W$505,I$3,実績!$AI$6:$AI$505,"&lt;="&amp;$A74,実績!$AJ$6:$AJ$505,"&gt;"&amp;$A74,実績!$AL$6:$AL$505,"○")&gt;0,1,0))</f>
        <v>0</v>
      </c>
      <c r="J74" s="39" t="n">
        <f aca="false">IF(J$4=0,0,IF(COUNTIFS(実績!$W$6:$W$505,J$3,実績!$AI$6:$AI$505,"&lt;="&amp;$A74,実績!$AJ$6:$AJ$505,"&gt;"&amp;$A74,実績!$AL$6:$AL$505,"○")&gt;0,1,0))</f>
        <v>0</v>
      </c>
      <c r="K74" s="39" t="n">
        <f aca="false">IF(K$4=0,0,IF(COUNTIFS(実績!$W$6:$W$505,K$3,実績!$AI$6:$AI$505,"&lt;="&amp;$A74,実績!$AJ$6:$AJ$505,"&gt;"&amp;$A74,実績!$AL$6:$AL$505,"○")&gt;0,1,0))</f>
        <v>0</v>
      </c>
      <c r="L74" s="39" t="n">
        <f aca="false">IF(L$4=0,0,IF(COUNTIFS(実績!$W$6:$W$505,L$3,実績!$AI$6:$AI$505,"&lt;="&amp;$A74,実績!$AJ$6:$AJ$505,"&gt;"&amp;$A74,実績!$AL$6:$AL$505,"○")&gt;0,1,0))</f>
        <v>0</v>
      </c>
      <c r="M74" s="39" t="n">
        <f aca="false">IF(M$4=0,0,IF(COUNTIFS(実績!$W$6:$W$505,M$3,実績!$AI$6:$AI$505,"&lt;="&amp;$A74,実績!$AJ$6:$AJ$505,"&gt;"&amp;$A74,実績!$AL$6:$AL$505,"○")&gt;0,1,0))</f>
        <v>0</v>
      </c>
      <c r="N74" s="39" t="n">
        <f aca="false">IF(N$4=0,0,IF(COUNTIFS(実績!$W$6:$W$505,N$3,実績!$AI$6:$AI$505,"&lt;="&amp;$A74,実績!$AJ$6:$AJ$505,"&gt;"&amp;$A74,実績!$AL$6:$AL$505,"○")&gt;0,1,0))</f>
        <v>0</v>
      </c>
      <c r="O74" s="39" t="n">
        <f aca="false">IF(O$4=0,0,IF(COUNTIFS(実績!$W$6:$W$505,O$3,実績!$AI$6:$AI$505,"&lt;="&amp;$A74,実績!$AJ$6:$AJ$505,"&gt;"&amp;$A74,実績!$AL$6:$AL$505,"○")&gt;0,1,0))</f>
        <v>0</v>
      </c>
      <c r="P74" s="39" t="n">
        <f aca="false">IF(P$4=0,0,IF(COUNTIFS(実績!$W$6:$W$505,P$3,実績!$AI$6:$AI$505,"&lt;="&amp;$A74,実績!$AJ$6:$AJ$505,"&gt;"&amp;$A74,実績!$AL$6:$AL$505,"○")&gt;0,1,0))</f>
        <v>0</v>
      </c>
      <c r="Q74" s="39" t="n">
        <f aca="false">IF(Q$4=0,0,IF(COUNTIFS(実績!$W$6:$W$505,Q$3,実績!$AI$6:$AI$505,"&lt;="&amp;$A74,実績!$AJ$6:$AJ$505,"&gt;"&amp;$A74,実績!$AL$6:$AL$505,"○")&gt;0,1,0))</f>
        <v>0</v>
      </c>
      <c r="R74" s="39" t="n">
        <f aca="false">IF(R$4=0,0,IF(COUNTIFS(実績!$W$6:$W$505,R$3,実績!$AI$6:$AI$505,"&lt;="&amp;$A74,実績!$AJ$6:$AJ$505,"&gt;"&amp;$A74,実績!$AL$6:$AL$505,"○")&gt;0,1,0))</f>
        <v>0</v>
      </c>
      <c r="S74" s="39" t="n">
        <f aca="false">IF(S$4=0,0,IF(COUNTIFS(実績!$W$6:$W$505,S$3,実績!$AI$6:$AI$505,"&lt;="&amp;$A74,実績!$AJ$6:$AJ$505,"&gt;"&amp;$A74,実績!$AL$6:$AL$505,"○")&gt;0,1,0))</f>
        <v>0</v>
      </c>
      <c r="T74" s="39" t="n">
        <f aca="false">IF(T$4=0,0,IF(COUNTIFS(実績!$W$6:$W$505,T$3,実績!$AI$6:$AI$505,"&lt;="&amp;$A74,実績!$AJ$6:$AJ$505,"&gt;"&amp;$A74,実績!$AL$6:$AL$505,"○")&gt;0,1,0))</f>
        <v>0</v>
      </c>
      <c r="U74" s="39" t="n">
        <f aca="false">IF(U$4=0,0,IF(COUNTIFS(実績!$W$6:$W$505,U$3,実績!$AI$6:$AI$505,"&lt;="&amp;$A74,実績!$AJ$6:$AJ$505,"&gt;"&amp;$A74,実績!$AL$6:$AL$505,"○")&gt;0,1,0))</f>
        <v>0</v>
      </c>
      <c r="V74" s="39" t="n">
        <f aca="false">IF(V$4=0,0,IF(COUNTIFS(実績!$W$6:$W$505,V$3,実績!$AI$6:$AI$505,"&lt;="&amp;$A74,実績!$AJ$6:$AJ$505,"&gt;"&amp;$A74,実績!$AL$6:$AL$505,"○")&gt;0,1,0))</f>
        <v>0</v>
      </c>
      <c r="W74" s="39" t="n">
        <f aca="false">IF(W$4=0,0,IF(COUNTIFS(実績!$W$6:$W$505,W$3,実績!$AI$6:$AI$505,"&lt;="&amp;$A74,実績!$AJ$6:$AJ$505,"&gt;"&amp;$A74,実績!$AL$6:$AL$505,"○")&gt;0,1,0))</f>
        <v>0</v>
      </c>
      <c r="X74" s="39" t="n">
        <f aca="false">IF(X$4=0,0,IF(COUNTIFS(実績!$W$6:$W$505,X$3,実績!$AI$6:$AI$505,"&lt;="&amp;$A74,実績!$AJ$6:$AJ$505,"&gt;"&amp;$A74,実績!$AL$6:$AL$505,"○")&gt;0,1,0))</f>
        <v>0</v>
      </c>
      <c r="Y74" s="39" t="n">
        <f aca="false">IF(Y$4=0,0,IF(COUNTIFS(実績!$W$6:$W$505,Y$3,実績!$AI$6:$AI$505,"&lt;="&amp;$A74,実績!$AJ$6:$AJ$505,"&gt;"&amp;$A74,実績!$AL$6:$AL$505,"○")&gt;0,1,0))</f>
        <v>0</v>
      </c>
      <c r="Z74" s="39" t="n">
        <f aca="false">IF(Z$4=0,0,IF(COUNTIFS(実績!$W$6:$W$505,Z$3,実績!$AI$6:$AI$505,"&lt;="&amp;$A74,実績!$AJ$6:$AJ$505,"&gt;"&amp;$A74,実績!$AL$6:$AL$505,"○")&gt;0,1,0))</f>
        <v>0</v>
      </c>
      <c r="AA74" s="39" t="n">
        <f aca="false">IF(AA$4=0,0,IF(COUNTIFS(実績!$W$6:$W$505,AA$3,実績!$AI$6:$AI$505,"&lt;="&amp;$A74,実績!$AJ$6:$AJ$505,"&gt;"&amp;$A74,実績!$AL$6:$AL$505,"○")&gt;0,1,0))</f>
        <v>0</v>
      </c>
      <c r="AB74" s="39" t="n">
        <f aca="false">IF(AB$4=0,0,IF(COUNTIFS(実績!$W$6:$W$505,AB$3,実績!$AI$6:$AI$505,"&lt;="&amp;$A74,実績!$AJ$6:$AJ$505,"&gt;"&amp;$A74,実績!$AL$6:$AL$505,"○")&gt;0,1,0))</f>
        <v>0</v>
      </c>
      <c r="AC74" s="39" t="n">
        <f aca="false">IF(AC$4=0,0,IF(COUNTIFS(実績!$W$6:$W$505,AC$3,実績!$AI$6:$AI$505,"&lt;="&amp;$A74,実績!$AJ$6:$AJ$505,"&gt;"&amp;$A74,実績!$AL$6:$AL$505,"○")&gt;0,1,0))</f>
        <v>0</v>
      </c>
      <c r="AD74" s="39" t="n">
        <f aca="false">IF(AD$4=0,0,IF(COUNTIFS(実績!$W$6:$W$505,AD$3,実績!$AI$6:$AI$505,"&lt;="&amp;$A74,実績!$AJ$6:$AJ$505,"&gt;"&amp;$A74,実績!$AL$6:$AL$505,"○")&gt;0,1,0))</f>
        <v>0</v>
      </c>
      <c r="AE74" s="39" t="n">
        <f aca="false">IF(AE$4=0,0,IF(COUNTIFS(実績!$W$6:$W$505,AE$3,実績!$AI$6:$AI$505,"&lt;="&amp;$A74,実績!$AJ$6:$AJ$505,"&gt;"&amp;$A74,実績!$AL$6:$AL$505,"○")&gt;0,1,0))</f>
        <v>0</v>
      </c>
      <c r="AF74" s="39" t="n">
        <f aca="false">IF(AF$4=0,0,IF(COUNTIFS(実績!$W$6:$W$505,AF$3,実績!$AI$6:$AI$505,"&lt;="&amp;$A74,実績!$AJ$6:$AJ$505,"&gt;"&amp;$A74,実績!$AL$6:$AL$505,"○")&gt;0,1,0))</f>
        <v>0</v>
      </c>
      <c r="AG74" s="39" t="n">
        <f aca="false">IF(AG$4=0,0,IF(COUNTIFS(実績!$W$6:$W$505,AG$3,実績!$AI$6:$AI$505,"&lt;="&amp;$A74,実績!$AJ$6:$AJ$505,"&gt;"&amp;$A74,実績!$AL$6:$AL$505,"○")&gt;0,1,0))</f>
        <v>0</v>
      </c>
      <c r="AH74" s="39" t="n">
        <f aca="false">IF(AH$4=0,0,IF(COUNTIFS(実績!$W$6:$W$505,AH$3,実績!$AI$6:$AI$505,"&lt;="&amp;$A74,実績!$AJ$6:$AJ$505,"&gt;"&amp;$A74,実績!$AL$6:$AL$505,"○")&gt;0,1,0))</f>
        <v>0</v>
      </c>
      <c r="AI74" s="39" t="n">
        <f aca="false">IF(AI$4=0,0,IF(COUNTIFS(実績!$W$6:$W$505,AI$3,実績!$AI$6:$AI$505,"&lt;="&amp;$A74,実績!$AJ$6:$AJ$505,"&gt;"&amp;$A74,実績!$AL$6:$AL$505,"○")&gt;0,1,0))</f>
        <v>0</v>
      </c>
      <c r="AJ74" s="39" t="n">
        <f aca="false">IF(AJ$4=0,0,IF(COUNTIFS(実績!$W$6:$W$505,AJ$3,実績!$AI$6:$AI$505,"&lt;="&amp;$A74,実績!$AJ$6:$AJ$505,"&gt;"&amp;$A74,実績!$AL$6:$AL$505,"○")&gt;0,1,0))</f>
        <v>0</v>
      </c>
      <c r="AK74" s="39" t="n">
        <f aca="false">IF(AK$4=0,0,IF(COUNTIFS(実績!$W$6:$W$505,AK$3,実績!$AI$6:$AI$505,"&lt;="&amp;$A74,実績!$AJ$6:$AJ$505,"&gt;"&amp;$A74,実績!$AL$6:$AL$505,"○")&gt;0,1,0))</f>
        <v>0</v>
      </c>
      <c r="AL74" s="39" t="n">
        <f aca="false">IF(AL$4=0,0,IF(COUNTIFS(実績!$W$6:$W$505,AL$3,実績!$AI$6:$AI$505,"&lt;="&amp;$A74,実績!$AJ$6:$AJ$505,"&gt;"&amp;$A74,実績!$AL$6:$AL$505,"○")&gt;0,1,0))</f>
        <v>0</v>
      </c>
      <c r="AM74" s="39" t="n">
        <f aca="false">IF(AM$4=0,0,IF(COUNTIFS(実績!$W$6:$W$505,AM$3,実績!$AI$6:$AI$505,"&lt;="&amp;$A74,実績!$AJ$6:$AJ$505,"&gt;"&amp;$A74,実績!$AL$6:$AL$505,"○")&gt;0,1,0))</f>
        <v>0</v>
      </c>
      <c r="AN74" s="39" t="n">
        <f aca="false">IF(AN$4=0,0,IF(COUNTIFS(実績!$W$6:$W$505,AN$3,実績!$AI$6:$AI$505,"&lt;="&amp;$A74,実績!$AJ$6:$AJ$505,"&gt;"&amp;$A74,実績!$AL$6:$AL$505,"○")&gt;0,1,0))</f>
        <v>0</v>
      </c>
      <c r="AO74" s="39" t="n">
        <f aca="false">IF(AO$4=0,0,IF(COUNTIFS(実績!$W$6:$W$505,AO$3,実績!$AI$6:$AI$505,"&lt;="&amp;$A74,実績!$AJ$6:$AJ$505,"&gt;"&amp;$A74,実績!$AL$6:$AL$505,"○")&gt;0,1,0))</f>
        <v>0</v>
      </c>
      <c r="AP74" s="39" t="n">
        <f aca="false">IF(AP$4=0,0,IF(COUNTIFS(実績!$W$6:$W$505,AP$3,実績!$AI$6:$AI$505,"&lt;="&amp;$A74,実績!$AJ$6:$AJ$505,"&gt;"&amp;$A74,実績!$AL$6:$AL$505,"○")&gt;0,1,0))</f>
        <v>0</v>
      </c>
      <c r="AQ74" s="39" t="n">
        <f aca="false">IF(AQ$4=0,0,IF(COUNTIFS(実績!$W$6:$W$505,AQ$3,実績!$AI$6:$AI$505,"&lt;="&amp;$A74,実績!$AJ$6:$AJ$505,"&gt;"&amp;$A74,実績!$AL$6:$AL$505,"○")&gt;0,1,0))</f>
        <v>0</v>
      </c>
      <c r="AR74" s="39" t="n">
        <f aca="false">IF(AR$4=0,0,IF(COUNTIFS(実績!$W$6:$W$505,AR$3,実績!$AI$6:$AI$505,"&lt;="&amp;$A74,実績!$AJ$6:$AJ$505,"&gt;"&amp;$A74,実績!$AL$6:$AL$505,"○")&gt;0,1,0))</f>
        <v>0</v>
      </c>
      <c r="AS74" s="39" t="n">
        <f aca="false">IF(AS$4=0,0,IF(COUNTIFS(実績!$W$6:$W$505,AS$3,実績!$AI$6:$AI$505,"&lt;="&amp;$A74,実績!$AJ$6:$AJ$505,"&gt;"&amp;$A74,実績!$AL$6:$AL$505,"○")&gt;0,1,0))</f>
        <v>0</v>
      </c>
      <c r="AT74" s="39" t="n">
        <f aca="false">IF(AT$4=0,0,IF(COUNTIFS(実績!$W$6:$W$505,AT$3,実績!$AI$6:$AI$505,"&lt;="&amp;$A74,実績!$AJ$6:$AJ$505,"&gt;"&amp;$A74,実績!$AL$6:$AL$505,"○")&gt;0,1,0))</f>
        <v>0</v>
      </c>
      <c r="AU74" s="39" t="n">
        <f aca="false">IF(AU$4=0,0,IF(COUNTIFS(実績!$W$6:$W$505,AU$3,実績!$AI$6:$AI$505,"&lt;="&amp;$A74,実績!$AJ$6:$AJ$505,"&gt;"&amp;$A74,実績!$AL$6:$AL$505,"○")&gt;0,1,0))</f>
        <v>0</v>
      </c>
      <c r="AV74" s="39" t="n">
        <f aca="false">IF(AV$4=0,0,IF(COUNTIFS(実績!$W$6:$W$505,AV$3,実績!$AI$6:$AI$505,"&lt;="&amp;$A74,実績!$AJ$6:$AJ$505,"&gt;"&amp;$A74,実績!$AL$6:$AL$505,"○")&gt;0,1,0))</f>
        <v>0</v>
      </c>
      <c r="AW74" s="39" t="n">
        <f aca="false">IF(AW$4=0,0,IF(COUNTIFS(実績!$W$6:$W$505,AW$3,実績!$AI$6:$AI$505,"&lt;="&amp;$A74,実績!$AJ$6:$AJ$505,"&gt;"&amp;$A74,実績!$AL$6:$AL$505,"○")&gt;0,1,0))</f>
        <v>0</v>
      </c>
      <c r="AX74" s="39" t="n">
        <f aca="false">IF(AX$4=0,0,IF(COUNTIFS(実績!$W$6:$W$505,AX$3,実績!$AI$6:$AI$505,"&lt;="&amp;$A74,実績!$AJ$6:$AJ$505,"&gt;"&amp;$A74,実績!$AL$6:$AL$505,"○")&gt;0,1,0))</f>
        <v>0</v>
      </c>
      <c r="AY74" s="39" t="n">
        <f aca="false">IF(AY$4=0,0,IF(COUNTIFS(実績!$W$6:$W$505,AY$3,実績!$AI$6:$AI$505,"&lt;="&amp;$A74,実績!$AJ$6:$AJ$505,"&gt;"&amp;$A74,実績!$AL$6:$AL$505,"○")&gt;0,1,0))</f>
        <v>0</v>
      </c>
      <c r="AZ74" s="39" t="n">
        <f aca="false">IF(AZ$4=0,0,IF(COUNTIFS(実績!$W$6:$W$505,AZ$3,実績!$AI$6:$AI$505,"&lt;="&amp;$A74,実績!$AJ$6:$AJ$505,"&gt;"&amp;$A74,実績!$AL$6:$AL$505,"○")&gt;0,1,0))</f>
        <v>0</v>
      </c>
      <c r="BA74" s="39" t="n">
        <f aca="false">IF(BA$4=0,0,IF(COUNTIFS(実績!$W$6:$W$505,BA$3,実績!$AI$6:$AI$505,"&lt;="&amp;$A74,実績!$AJ$6:$AJ$505,"&gt;"&amp;$A74,実績!$AL$6:$AL$505,"○")&gt;0,1,0))</f>
        <v>0</v>
      </c>
      <c r="BB74" s="39" t="n">
        <f aca="false">IF(BB$4=0,0,IF(COUNTIFS(実績!$W$6:$W$505,BB$3,実績!$AI$6:$AI$505,"&lt;="&amp;$A74,実績!$AJ$6:$AJ$505,"&gt;"&amp;$A74,実績!$AL$6:$AL$505,"○")&gt;0,1,0))</f>
        <v>0</v>
      </c>
      <c r="BC74" s="39" t="n">
        <f aca="false">IF(BC$4=0,0,IF(COUNTIFS(実績!$W$6:$W$505,BC$3,実績!$AI$6:$AI$505,"&lt;="&amp;$A74,実績!$AJ$6:$AJ$505,"&gt;"&amp;$A74,実績!$AL$6:$AL$505,"○")&gt;0,1,0))</f>
        <v>0</v>
      </c>
      <c r="BD74" s="39" t="n">
        <f aca="false">IF(BD$4=0,0,IF(COUNTIFS(実績!$W$6:$W$505,BD$3,実績!$AI$6:$AI$505,"&lt;="&amp;$A74,実績!$AJ$6:$AJ$505,"&gt;"&amp;$A74,実績!$AL$6:$AL$505,"○")&gt;0,1,0))</f>
        <v>0</v>
      </c>
      <c r="BE74" s="39" t="n">
        <f aca="false">IF(BE$4=0,0,IF(COUNTIFS(実績!$W$6:$W$505,BE$3,実績!$AI$6:$AI$505,"&lt;="&amp;$A74,実績!$AJ$6:$AJ$505,"&gt;"&amp;$A74,実績!$AL$6:$AL$505,"○")&gt;0,1,0))</f>
        <v>0</v>
      </c>
      <c r="BF74" s="39" t="n">
        <f aca="false">IF(BF$4=0,0,IF(COUNTIFS(実績!$W$6:$W$505,BF$3,実績!$AI$6:$AI$505,"&lt;="&amp;$A74,実績!$AJ$6:$AJ$505,"&gt;"&amp;$A74,実績!$AL$6:$AL$505,"○")&gt;0,1,0))</f>
        <v>0</v>
      </c>
      <c r="BG74" s="39" t="n">
        <f aca="false">IF(BG$4=0,0,IF(COUNTIFS(実績!$W$6:$W$505,BG$3,実績!$AI$6:$AI$505,"&lt;="&amp;$A74,実績!$AJ$6:$AJ$505,"&gt;"&amp;$A74,実績!$AL$6:$AL$505,"○")&gt;0,1,0))</f>
        <v>0</v>
      </c>
      <c r="BH74" s="39" t="n">
        <f aca="false">IF(BH$4=0,0,IF(COUNTIFS(実績!$W$6:$W$505,BH$3,実績!$AI$6:$AI$505,"&lt;="&amp;$A74,実績!$AJ$6:$AJ$505,"&gt;"&amp;$A74,実績!$AL$6:$AL$505,"○")&gt;0,1,0))</f>
        <v>0</v>
      </c>
      <c r="BI74" s="39" t="n">
        <f aca="false">IF(BI$4=0,0,IF(COUNTIFS(実績!$W$6:$W$505,BI$3,実績!$AI$6:$AI$505,"&lt;="&amp;$A74,実績!$AJ$6:$AJ$505,"&gt;"&amp;$A74,実績!$AL$6:$AL$505,"○")&gt;0,1,0))</f>
        <v>0</v>
      </c>
      <c r="BJ74" s="39" t="n">
        <f aca="false">IF(BJ$4=0,0,IF(COUNTIFS(実績!$W$6:$W$505,BJ$3,実績!$AI$6:$AI$505,"&lt;="&amp;$A74,実績!$AJ$6:$AJ$505,"&gt;"&amp;$A74,実績!$AL$6:$AL$505,"○")&gt;0,1,0))</f>
        <v>0</v>
      </c>
      <c r="BK74" s="39" t="n">
        <f aca="false">IF(BK$4=0,0,IF(COUNTIFS(実績!$W$6:$W$505,BK$3,実績!$AI$6:$AI$505,"&lt;="&amp;$A74,実績!$AJ$6:$AJ$505,"&gt;"&amp;$A74,実績!$AL$6:$AL$505,"○")&gt;0,1,0))</f>
        <v>0</v>
      </c>
      <c r="BL74" s="39" t="n">
        <f aca="false">IF(BL$4=0,0,IF(COUNTIFS(実績!$W$6:$W$505,BL$3,実績!$AI$6:$AI$505,"&lt;="&amp;$A74,実績!$AJ$6:$AJ$505,"&gt;"&amp;$A74,実績!$AL$6:$AL$505,"○")&gt;0,1,0))</f>
        <v>0</v>
      </c>
      <c r="BM74" s="39" t="n">
        <f aca="false">IF(BM$4=0,0,IF(COUNTIFS(実績!$W$6:$W$505,BM$3,実績!$AI$6:$AI$505,"&lt;="&amp;$A74,実績!$AJ$6:$AJ$505,"&gt;"&amp;$A74,実績!$AL$6:$AL$505,"○")&gt;0,1,0))</f>
        <v>0</v>
      </c>
      <c r="BN74" s="39" t="n">
        <f aca="false">IF(BN$4=0,0,IF(COUNTIFS(実績!$W$6:$W$505,BN$3,実績!$AI$6:$AI$505,"&lt;="&amp;$A74,実績!$AJ$6:$AJ$505,"&gt;"&amp;$A74,実績!$AL$6:$AL$505,"○")&gt;0,1,0))</f>
        <v>0</v>
      </c>
      <c r="BO74" s="39" t="n">
        <f aca="false">IF(BO$4=0,0,IF(COUNTIFS(実績!$W$6:$W$505,BO$3,実績!$AI$6:$AI$505,"&lt;="&amp;$A74,実績!$AJ$6:$AJ$505,"&gt;"&amp;$A74,実績!$AL$6:$AL$505,"○")&gt;0,1,0))</f>
        <v>0</v>
      </c>
      <c r="BP74" s="39" t="n">
        <f aca="false">IF(BP$4=0,0,IF(COUNTIFS(実績!$W$6:$W$505,BP$3,実績!$AI$6:$AI$505,"&lt;="&amp;$A74,実績!$AJ$6:$AJ$505,"&gt;"&amp;$A74,実績!$AL$6:$AL$505,"○")&gt;0,1,0))</f>
        <v>0</v>
      </c>
      <c r="BQ74" s="39" t="n">
        <f aca="false">IF(BQ$4=0,0,IF(COUNTIFS(実績!$W$6:$W$505,BQ$3,実績!$AI$6:$AI$505,"&lt;="&amp;$A74,実績!$AJ$6:$AJ$505,"&gt;"&amp;$A74,実績!$AL$6:$AL$505,"○")&gt;0,1,0))</f>
        <v>0</v>
      </c>
      <c r="BR74" s="39" t="n">
        <f aca="false">IF(BR$4=0,0,IF(COUNTIFS(実績!$W$6:$W$505,BR$3,実績!$AI$6:$AI$505,"&lt;="&amp;$A74,実績!$AJ$6:$AJ$505,"&gt;"&amp;$A74,実績!$AL$6:$AL$505,"○")&gt;0,1,0))</f>
        <v>0</v>
      </c>
      <c r="BS74" s="39" t="n">
        <f aca="false">IF(BS$4=0,0,IF(COUNTIFS(実績!$W$6:$W$505,BS$3,実績!$AI$6:$AI$505,"&lt;="&amp;$A74,実績!$AJ$6:$AJ$505,"&gt;"&amp;$A74,実績!$AL$6:$AL$505,"○")&gt;0,1,0))</f>
        <v>0</v>
      </c>
      <c r="BT74" s="39" t="n">
        <f aca="false">IF(BT$4=0,0,IF(COUNTIFS(実績!$W$6:$W$505,BT$3,実績!$AI$6:$AI$505,"&lt;="&amp;$A74,実績!$AJ$6:$AJ$505,"&gt;"&amp;$A74,実績!$AL$6:$AL$505,"○")&gt;0,1,0))</f>
        <v>0</v>
      </c>
      <c r="BU74" s="39" t="n">
        <f aca="false">IF(BU$4=0,0,IF(COUNTIFS(実績!$W$6:$W$505,BU$3,実績!$AI$6:$AI$505,"&lt;="&amp;$A74,実績!$AJ$6:$AJ$505,"&gt;"&amp;$A74,実績!$AL$6:$AL$505,"○")&gt;0,1,0))</f>
        <v>0</v>
      </c>
      <c r="BV74" s="39" t="n">
        <f aca="false">IF(BV$4=0,0,IF(COUNTIFS(実績!$W$6:$W$505,BV$3,実績!$AI$6:$AI$505,"&lt;="&amp;$A74,実績!$AJ$6:$AJ$505,"&gt;"&amp;$A74,実績!$AL$6:$AL$505,"○")&gt;0,1,0))</f>
        <v>0</v>
      </c>
      <c r="BW74" s="39" t="n">
        <f aca="false">IF(BW$4=0,0,IF(COUNTIFS(実績!$W$6:$W$505,BW$3,実績!$AI$6:$AI$505,"&lt;="&amp;$A74,実績!$AJ$6:$AJ$505,"&gt;"&amp;$A74,実績!$AL$6:$AL$505,"○")&gt;0,1,0))</f>
        <v>0</v>
      </c>
      <c r="BX74" s="39" t="n">
        <f aca="false">IF(BX$4=0,0,IF(COUNTIFS(実績!$W$6:$W$505,BX$3,実績!$AI$6:$AI$505,"&lt;="&amp;$A74,実績!$AJ$6:$AJ$505,"&gt;"&amp;$A74,実績!$AL$6:$AL$505,"○")&gt;0,1,0))</f>
        <v>0</v>
      </c>
      <c r="BY74" s="39" t="n">
        <f aca="false">IF(BY$4=0,0,IF(COUNTIFS(実績!$W$6:$W$505,BY$3,実績!$AI$6:$AI$505,"&lt;="&amp;$A74,実績!$AJ$6:$AJ$505,"&gt;"&amp;$A74,実績!$AL$6:$AL$505,"○")&gt;0,1,0))</f>
        <v>0</v>
      </c>
      <c r="BZ74" s="39" t="n">
        <f aca="false">IF(BZ$4=0,0,IF(COUNTIFS(実績!$W$6:$W$505,BZ$3,実績!$AI$6:$AI$505,"&lt;="&amp;$A74,実績!$AJ$6:$AJ$505,"&gt;"&amp;$A74,実績!$AL$6:$AL$505,"○")&gt;0,1,0))</f>
        <v>0</v>
      </c>
      <c r="CA74" s="39" t="n">
        <f aca="false">IF(CA$4=0,0,IF(COUNTIFS(実績!$W$6:$W$505,CA$3,実績!$AI$6:$AI$505,"&lt;="&amp;$A74,実績!$AJ$6:$AJ$505,"&gt;"&amp;$A74,実績!$AL$6:$AL$505,"○")&gt;0,1,0))</f>
        <v>0</v>
      </c>
      <c r="CB74" s="39" t="n">
        <f aca="false">IF(CB$4=0,0,IF(COUNTIFS(実績!$W$6:$W$505,CB$3,実績!$AI$6:$AI$505,"&lt;="&amp;$A74,実績!$AJ$6:$AJ$505,"&gt;"&amp;$A74,実績!$AL$6:$AL$505,"○")&gt;0,1,0))</f>
        <v>0</v>
      </c>
      <c r="CC74" s="39" t="n">
        <f aca="false">IF(CC$4=0,0,IF(COUNTIFS(実績!$W$6:$W$505,CC$3,実績!$AI$6:$AI$505,"&lt;="&amp;$A74,実績!$AJ$6:$AJ$505,"&gt;"&amp;$A74,実績!$AL$6:$AL$505,"○")&gt;0,1,0))</f>
        <v>0</v>
      </c>
      <c r="CD74" s="39" t="n">
        <f aca="false">IF(CD$4=0,0,IF(COUNTIFS(実績!$W$6:$W$505,CD$3,実績!$AI$6:$AI$505,"&lt;="&amp;$A74,実績!$AJ$6:$AJ$505,"&gt;"&amp;$A74,実績!$AL$6:$AL$505,"○")&gt;0,1,0))</f>
        <v>0</v>
      </c>
      <c r="CE74" s="39" t="n">
        <f aca="false">IF(CE$4=0,0,IF(COUNTIFS(実績!$W$6:$W$505,CE$3,実績!$AI$6:$AI$505,"&lt;="&amp;$A74,実績!$AJ$6:$AJ$505,"&gt;"&amp;$A74,実績!$AL$6:$AL$505,"○")&gt;0,1,0))</f>
        <v>0</v>
      </c>
      <c r="CF74" s="39" t="n">
        <f aca="false">IF(CF$4=0,0,IF(COUNTIFS(実績!$W$6:$W$505,CF$3,実績!$AI$6:$AI$505,"&lt;="&amp;$A74,実績!$AJ$6:$AJ$505,"&gt;"&amp;$A74,実績!$AL$6:$AL$505,"○")&gt;0,1,0))</f>
        <v>0</v>
      </c>
      <c r="CG74" s="39" t="n">
        <f aca="false">IF(CG$4=0,0,IF(COUNTIFS(実績!$W$6:$W$505,CG$3,実績!$AI$6:$AI$505,"&lt;="&amp;$A74,実績!$AJ$6:$AJ$505,"&gt;"&amp;$A74,実績!$AL$6:$AL$505,"○")&gt;0,1,0))</f>
        <v>0</v>
      </c>
      <c r="CH74" s="39" t="n">
        <f aca="false">IF(CH$4=0,0,IF(COUNTIFS(実績!$W$6:$W$505,CH$3,実績!$AI$6:$AI$505,"&lt;="&amp;$A74,実績!$AJ$6:$AJ$505,"&gt;"&amp;$A74,実績!$AL$6:$AL$505,"○")&gt;0,1,0))</f>
        <v>0</v>
      </c>
      <c r="CI74" s="39" t="n">
        <f aca="false">IF(CI$4=0,0,IF(COUNTIFS(実績!$W$6:$W$505,CI$3,実績!$AI$6:$AI$505,"&lt;="&amp;$A74,実績!$AJ$6:$AJ$505,"&gt;"&amp;$A74,実績!$AL$6:$AL$505,"○")&gt;0,1,0))</f>
        <v>0</v>
      </c>
      <c r="CJ74" s="39" t="n">
        <f aca="false">IF(CJ$4=0,0,IF(COUNTIFS(実績!$W$6:$W$505,CJ$3,実績!$AI$6:$AI$505,"&lt;="&amp;$A74,実績!$AJ$6:$AJ$505,"&gt;"&amp;$A74,実績!$AL$6:$AL$505,"○")&gt;0,1,0))</f>
        <v>0</v>
      </c>
      <c r="CK74" s="39" t="n">
        <f aca="false">IF(CK$4=0,0,IF(COUNTIFS(実績!$W$6:$W$505,CK$3,実績!$AI$6:$AI$505,"&lt;="&amp;$A74,実績!$AJ$6:$AJ$505,"&gt;"&amp;$A74,実績!$AL$6:$AL$505,"○")&gt;0,1,0))</f>
        <v>0</v>
      </c>
      <c r="CL74" s="39" t="n">
        <f aca="false">IF(CL$4=0,0,IF(COUNTIFS(実績!$W$6:$W$505,CL$3,実績!$AI$6:$AI$505,"&lt;="&amp;$A74,実績!$AJ$6:$AJ$505,"&gt;"&amp;$A74,実績!$AL$6:$AL$505,"○")&gt;0,1,0))</f>
        <v>0</v>
      </c>
      <c r="CM74" s="39" t="n">
        <f aca="false">IF(CM$4=0,0,IF(COUNTIFS(実績!$W$6:$W$505,CM$3,実績!$AI$6:$AI$505,"&lt;="&amp;$A74,実績!$AJ$6:$AJ$505,"&gt;"&amp;$A74,実績!$AL$6:$AL$505,"○")&gt;0,1,0))</f>
        <v>0</v>
      </c>
      <c r="CN74" s="39" t="n">
        <f aca="false">IF(CN$4=0,0,IF(COUNTIFS(実績!$W$6:$W$505,CN$3,実績!$AI$6:$AI$505,"&lt;="&amp;$A74,実績!$AJ$6:$AJ$505,"&gt;"&amp;$A74,実績!$AL$6:$AL$505,"○")&gt;0,1,0))</f>
        <v>0</v>
      </c>
      <c r="CO74" s="39" t="n">
        <f aca="false">IF(CO$4=0,0,IF(COUNTIFS(実績!$W$6:$W$505,CO$3,実績!$AI$6:$AI$505,"&lt;="&amp;$A74,実績!$AJ$6:$AJ$505,"&gt;"&amp;$A74,実績!$AL$6:$AL$505,"○")&gt;0,1,0))</f>
        <v>0</v>
      </c>
      <c r="CP74" s="39" t="n">
        <f aca="false">IF(CP$4=0,0,IF(COUNTIFS(実績!$W$6:$W$505,CP$3,実績!$AI$6:$AI$505,"&lt;="&amp;$A74,実績!$AJ$6:$AJ$505,"&gt;"&amp;$A74,実績!$AL$6:$AL$505,"○")&gt;0,1,0))</f>
        <v>0</v>
      </c>
      <c r="CQ74" s="39" t="n">
        <f aca="false">IF(CQ$4=0,0,IF(COUNTIFS(実績!$W$6:$W$505,CQ$3,実績!$AI$6:$AI$505,"&lt;="&amp;$A74,実績!$AJ$6:$AJ$505,"&gt;"&amp;$A74,実績!$AL$6:$AL$505,"○")&gt;0,1,0))</f>
        <v>0</v>
      </c>
      <c r="CR74" s="39" t="n">
        <f aca="false">IF(CR$4=0,0,IF(COUNTIFS(実績!$W$6:$W$505,CR$3,実績!$AI$6:$AI$505,"&lt;="&amp;$A74,実績!$AJ$6:$AJ$505,"&gt;"&amp;$A74,実績!$AL$6:$AL$505,"○")&gt;0,1,0))</f>
        <v>0</v>
      </c>
      <c r="CS74" s="39" t="n">
        <f aca="false">IF(CS$4=0,0,IF(COUNTIFS(実績!$W$6:$W$505,CS$3,実績!$AI$6:$AI$505,"&lt;="&amp;$A74,実績!$AJ$6:$AJ$505,"&gt;"&amp;$A74,実績!$AL$6:$AL$505,"○")&gt;0,1,0))</f>
        <v>0</v>
      </c>
      <c r="CT74" s="39" t="n">
        <f aca="false">IF(CT$4=0,0,IF(COUNTIFS(実績!$W$6:$W$505,CT$3,実績!$AI$6:$AI$505,"&lt;="&amp;$A74,実績!$AJ$6:$AJ$505,"&gt;"&amp;$A74,実績!$AL$6:$AL$505,"○")&gt;0,1,0))</f>
        <v>0</v>
      </c>
      <c r="CU74" s="39" t="n">
        <f aca="false">IF(CU$4=0,0,IF(COUNTIFS(実績!$W$6:$W$505,CU$3,実績!$AI$6:$AI$505,"&lt;="&amp;$A74,実績!$AJ$6:$AJ$505,"&gt;"&amp;$A74,実績!$AL$6:$AL$505,"○")&gt;0,1,0))</f>
        <v>0</v>
      </c>
      <c r="CV74" s="39" t="n">
        <f aca="false">IF(CV$4=0,0,IF(COUNTIFS(実績!$W$6:$W$505,CV$3,実績!$AI$6:$AI$505,"&lt;="&amp;$A74,実績!$AJ$6:$AJ$505,"&gt;"&amp;$A74,実績!$AL$6:$AL$505,"○")&gt;0,1,0))</f>
        <v>0</v>
      </c>
      <c r="CW74" s="39" t="n">
        <f aca="false">IF(CW$4=0,0,IF(COUNTIFS(実績!$W$6:$W$505,CW$3,実績!$AI$6:$AI$505,"&lt;="&amp;$A74,実績!$AJ$6:$AJ$505,"&gt;"&amp;$A74,実績!$AL$6:$AL$505,"○")&gt;0,1,0))</f>
        <v>0</v>
      </c>
      <c r="CX74" s="39" t="n">
        <f aca="false">IF(CX$4=0,0,IF(COUNTIFS(実績!$W$6:$W$505,CX$3,実績!$AI$6:$AI$505,"&lt;="&amp;$A74,実績!$AJ$6:$AJ$505,"&gt;"&amp;$A74,実績!$AL$6:$AL$505,"○")&gt;0,1,0))</f>
        <v>0</v>
      </c>
      <c r="CY74" s="39" t="n">
        <f aca="false">IF(CY$4=0,0,IF(COUNTIFS(実績!$W$6:$W$505,CY$3,実績!$AI$6:$AI$505,"&lt;="&amp;$A74,実績!$AJ$6:$AJ$505,"&gt;"&amp;$A74,実績!$AL$6:$AL$505,"○")&gt;0,1,0))</f>
        <v>0</v>
      </c>
      <c r="CZ74" s="39" t="n">
        <f aca="false">IF(CZ$4=0,0,IF(COUNTIFS(実績!$W$6:$W$505,CZ$3,実績!$AI$6:$AI$505,"&lt;="&amp;$A74,実績!$AJ$6:$AJ$505,"&gt;"&amp;$A74,実績!$AL$6:$AL$505,"○")&gt;0,1,0))</f>
        <v>0</v>
      </c>
      <c r="DA74" s="39" t="n">
        <f aca="false">IF(DA$4=0,0,IF(COUNTIFS(実績!$W$6:$W$505,DA$3,実績!$AI$6:$AI$505,"&lt;="&amp;$A74,実績!$AJ$6:$AJ$505,"&gt;"&amp;$A74,実績!$AL$6:$AL$505,"○")&gt;0,1,0))</f>
        <v>0</v>
      </c>
      <c r="DB74" s="39" t="n">
        <f aca="false">IF(DB$4=0,0,IF(COUNTIFS(実績!$W$6:$W$505,DB$3,実績!$AI$6:$AI$505,"&lt;="&amp;$A74,実績!$AJ$6:$AJ$505,"&gt;"&amp;$A74,実績!$AL$6:$AL$505,"○")&gt;0,1,0))</f>
        <v>0</v>
      </c>
      <c r="DC74" s="39" t="n">
        <f aca="false">IF(DC$4=0,0,IF(COUNTIFS(実績!$W$6:$W$505,DC$3,実績!$AI$6:$AI$505,"&lt;="&amp;$A74,実績!$AJ$6:$AJ$505,"&gt;"&amp;$A74,実績!$AL$6:$AL$505,"○")&gt;0,1,0))</f>
        <v>0</v>
      </c>
      <c r="DD74" s="39" t="n">
        <f aca="false">IF(DD$4=0,0,IF(COUNTIFS(実績!$W$6:$W$505,DD$3,実績!$AI$6:$AI$505,"&lt;="&amp;$A74,実績!$AJ$6:$AJ$505,"&gt;"&amp;$A74,実績!$AL$6:$AL$505,"○")&gt;0,1,0))</f>
        <v>0</v>
      </c>
      <c r="DE74" s="39" t="n">
        <f aca="false">IF(DE$4=0,0,IF(COUNTIFS(実績!$W$6:$W$505,DE$3,実績!$AI$6:$AI$505,"&lt;="&amp;$A74,実績!$AJ$6:$AJ$505,"&gt;"&amp;$A74,実績!$AL$6:$AL$505,"○")&gt;0,1,0))</f>
        <v>0</v>
      </c>
      <c r="DF74" s="39" t="n">
        <f aca="false">IF(DF$4=0,0,IF(COUNTIFS(実績!$W$6:$W$505,DF$3,実績!$AI$6:$AI$505,"&lt;="&amp;$A74,実績!$AJ$6:$AJ$505,"&gt;"&amp;$A74,実績!$AL$6:$AL$505,"○")&gt;0,1,0))</f>
        <v>0</v>
      </c>
      <c r="DG74" s="39" t="n">
        <f aca="false">IF(DG$4=0,0,IF(COUNTIFS(実績!$W$6:$W$505,DG$3,実績!$AI$6:$AI$505,"&lt;="&amp;$A74,実績!$AJ$6:$AJ$505,"&gt;"&amp;$A74,実績!$AL$6:$AL$505,"○")&gt;0,1,0))</f>
        <v>0</v>
      </c>
      <c r="DH74" s="39" t="n">
        <f aca="false">IF(DH$4=0,0,IF(COUNTIFS(実績!$W$6:$W$505,DH$3,実績!$AI$6:$AI$505,"&lt;="&amp;$A74,実績!$AJ$6:$AJ$505,"&gt;"&amp;$A74,実績!$AL$6:$AL$505,"○")&gt;0,1,0))</f>
        <v>0</v>
      </c>
      <c r="DI74" s="39" t="n">
        <f aca="false">IF(DI$4=0,0,IF(COUNTIFS(実績!$W$6:$W$505,DI$3,実績!$AI$6:$AI$505,"&lt;="&amp;$A74,実績!$AJ$6:$AJ$505,"&gt;"&amp;$A74,実績!$AL$6:$AL$505,"○")&gt;0,1,0))</f>
        <v>0</v>
      </c>
      <c r="DJ74" s="39" t="n">
        <f aca="false">IF(DJ$4=0,0,IF(COUNTIFS(実績!$W$6:$W$505,DJ$3,実績!$AI$6:$AI$505,"&lt;="&amp;$A74,実績!$AJ$6:$AJ$505,"&gt;"&amp;$A74,実績!$AL$6:$AL$505,"○")&gt;0,1,0))</f>
        <v>0</v>
      </c>
      <c r="DK74" s="39" t="n">
        <f aca="false">IF(DK$4=0,0,IF(COUNTIFS(実績!$W$6:$W$505,DK$3,実績!$AI$6:$AI$505,"&lt;="&amp;$A74,実績!$AJ$6:$AJ$505,"&gt;"&amp;$A74,実績!$AL$6:$AL$505,"○")&gt;0,1,0))</f>
        <v>0</v>
      </c>
      <c r="DL74" s="39" t="n">
        <f aca="false">IF(DL$4=0,0,IF(COUNTIFS(実績!$W$6:$W$505,DL$3,実績!$AI$6:$AI$505,"&lt;="&amp;$A74,実績!$AJ$6:$AJ$505,"&gt;"&amp;$A74,実績!$AL$6:$AL$505,"○")&gt;0,1,0))</f>
        <v>0</v>
      </c>
      <c r="DM74" s="39" t="n">
        <f aca="false">IF(DM$4=0,0,IF(COUNTIFS(実績!$W$6:$W$505,DM$3,実績!$AI$6:$AI$505,"&lt;="&amp;$A74,実績!$AJ$6:$AJ$505,"&gt;"&amp;$A74,実績!$AL$6:$AL$505,"○")&gt;0,1,0))</f>
        <v>0</v>
      </c>
      <c r="DN74" s="39" t="n">
        <f aca="false">IF(DN$4=0,0,IF(COUNTIFS(実績!$W$6:$W$505,DN$3,実績!$AI$6:$AI$505,"&lt;="&amp;$A74,実績!$AJ$6:$AJ$505,"&gt;"&amp;$A74,実績!$AL$6:$AL$505,"○")&gt;0,1,0))</f>
        <v>0</v>
      </c>
      <c r="DO74" s="39" t="n">
        <f aca="false">IF(DO$4=0,0,IF(COUNTIFS(実績!$W$6:$W$505,DO$3,実績!$AI$6:$AI$505,"&lt;="&amp;$A74,実績!$AJ$6:$AJ$505,"&gt;"&amp;$A74,実績!$AL$6:$AL$505,"○")&gt;0,1,0))</f>
        <v>0</v>
      </c>
      <c r="DP74" s="39" t="n">
        <f aca="false">IF(DP$4=0,0,IF(COUNTIFS(実績!$W$6:$W$505,DP$3,実績!$AI$6:$AI$505,"&lt;="&amp;$A74,実績!$AJ$6:$AJ$505,"&gt;"&amp;$A74,実績!$AL$6:$AL$505,"○")&gt;0,1,0))</f>
        <v>0</v>
      </c>
      <c r="DQ74" s="39" t="n">
        <f aca="false">IF(DQ$4=0,0,IF(COUNTIFS(実績!$W$6:$W$505,DQ$3,実績!$AI$6:$AI$505,"&lt;="&amp;$A74,実績!$AJ$6:$AJ$505,"&gt;"&amp;$A74,実績!$AL$6:$AL$505,"○")&gt;0,1,0))</f>
        <v>0</v>
      </c>
      <c r="DR74" s="39" t="n">
        <f aca="false">IF(DR$4=0,0,IF(COUNTIFS(実績!$W$6:$W$505,DR$3,実績!$AI$6:$AI$505,"&lt;="&amp;$A74,実績!$AJ$6:$AJ$505,"&gt;"&amp;$A74,実績!$AL$6:$AL$505,"○")&gt;0,1,0))</f>
        <v>0</v>
      </c>
      <c r="DS74" s="39" t="n">
        <f aca="false">SUM(C74:DR74)</f>
        <v>0</v>
      </c>
    </row>
    <row r="75" customFormat="false" ht="15" hidden="false" customHeight="false" outlineLevel="0" collapsed="false">
      <c r="A75" s="0" t="n">
        <v>345</v>
      </c>
      <c r="B75" s="38" t="n">
        <f aca="false">A75/1440</f>
        <v>0.239583333333333</v>
      </c>
      <c r="C75" s="39" t="n">
        <f aca="false">IF(C$4=0,0,IF(COUNTIFS(実績!$W$6:$W$505,C$3,実績!$AI$6:$AI$505,"&lt;="&amp;$A75,実績!$AJ$6:$AJ$505,"&gt;"&amp;$A75,実績!$AL$6:$AL$505,"○")&gt;0,1,0))</f>
        <v>0</v>
      </c>
      <c r="D75" s="39" t="n">
        <f aca="false">IF(D$4=0,0,IF(COUNTIFS(実績!$W$6:$W$505,D$3,実績!$AI$6:$AI$505,"&lt;="&amp;$A75,実績!$AJ$6:$AJ$505,"&gt;"&amp;$A75,実績!$AL$6:$AL$505,"○")&gt;0,1,0))</f>
        <v>0</v>
      </c>
      <c r="E75" s="39" t="n">
        <f aca="false">IF(E$4=0,0,IF(COUNTIFS(実績!$W$6:$W$505,E$3,実績!$AI$6:$AI$505,"&lt;="&amp;$A75,実績!$AJ$6:$AJ$505,"&gt;"&amp;$A75,実績!$AL$6:$AL$505,"○")&gt;0,1,0))</f>
        <v>0</v>
      </c>
      <c r="F75" s="39" t="n">
        <f aca="false">IF(F$4=0,0,IF(COUNTIFS(実績!$W$6:$W$505,F$3,実績!$AI$6:$AI$505,"&lt;="&amp;$A75,実績!$AJ$6:$AJ$505,"&gt;"&amp;$A75,実績!$AL$6:$AL$505,"○")&gt;0,1,0))</f>
        <v>0</v>
      </c>
      <c r="G75" s="39" t="n">
        <f aca="false">IF(G$4=0,0,IF(COUNTIFS(実績!$W$6:$W$505,G$3,実績!$AI$6:$AI$505,"&lt;="&amp;$A75,実績!$AJ$6:$AJ$505,"&gt;"&amp;$A75,実績!$AL$6:$AL$505,"○")&gt;0,1,0))</f>
        <v>0</v>
      </c>
      <c r="H75" s="39" t="n">
        <f aca="false">IF(H$4=0,0,IF(COUNTIFS(実績!$W$6:$W$505,H$3,実績!$AI$6:$AI$505,"&lt;="&amp;$A75,実績!$AJ$6:$AJ$505,"&gt;"&amp;$A75,実績!$AL$6:$AL$505,"○")&gt;0,1,0))</f>
        <v>0</v>
      </c>
      <c r="I75" s="39" t="n">
        <f aca="false">IF(I$4=0,0,IF(COUNTIFS(実績!$W$6:$W$505,I$3,実績!$AI$6:$AI$505,"&lt;="&amp;$A75,実績!$AJ$6:$AJ$505,"&gt;"&amp;$A75,実績!$AL$6:$AL$505,"○")&gt;0,1,0))</f>
        <v>0</v>
      </c>
      <c r="J75" s="39" t="n">
        <f aca="false">IF(J$4=0,0,IF(COUNTIFS(実績!$W$6:$W$505,J$3,実績!$AI$6:$AI$505,"&lt;="&amp;$A75,実績!$AJ$6:$AJ$505,"&gt;"&amp;$A75,実績!$AL$6:$AL$505,"○")&gt;0,1,0))</f>
        <v>0</v>
      </c>
      <c r="K75" s="39" t="n">
        <f aca="false">IF(K$4=0,0,IF(COUNTIFS(実績!$W$6:$W$505,K$3,実績!$AI$6:$AI$505,"&lt;="&amp;$A75,実績!$AJ$6:$AJ$505,"&gt;"&amp;$A75,実績!$AL$6:$AL$505,"○")&gt;0,1,0))</f>
        <v>0</v>
      </c>
      <c r="L75" s="39" t="n">
        <f aca="false">IF(L$4=0,0,IF(COUNTIFS(実績!$W$6:$W$505,L$3,実績!$AI$6:$AI$505,"&lt;="&amp;$A75,実績!$AJ$6:$AJ$505,"&gt;"&amp;$A75,実績!$AL$6:$AL$505,"○")&gt;0,1,0))</f>
        <v>0</v>
      </c>
      <c r="M75" s="39" t="n">
        <f aca="false">IF(M$4=0,0,IF(COUNTIFS(実績!$W$6:$W$505,M$3,実績!$AI$6:$AI$505,"&lt;="&amp;$A75,実績!$AJ$6:$AJ$505,"&gt;"&amp;$A75,実績!$AL$6:$AL$505,"○")&gt;0,1,0))</f>
        <v>0</v>
      </c>
      <c r="N75" s="39" t="n">
        <f aca="false">IF(N$4=0,0,IF(COUNTIFS(実績!$W$6:$W$505,N$3,実績!$AI$6:$AI$505,"&lt;="&amp;$A75,実績!$AJ$6:$AJ$505,"&gt;"&amp;$A75,実績!$AL$6:$AL$505,"○")&gt;0,1,0))</f>
        <v>0</v>
      </c>
      <c r="O75" s="39" t="n">
        <f aca="false">IF(O$4=0,0,IF(COUNTIFS(実績!$W$6:$W$505,O$3,実績!$AI$6:$AI$505,"&lt;="&amp;$A75,実績!$AJ$6:$AJ$505,"&gt;"&amp;$A75,実績!$AL$6:$AL$505,"○")&gt;0,1,0))</f>
        <v>0</v>
      </c>
      <c r="P75" s="39" t="n">
        <f aca="false">IF(P$4=0,0,IF(COUNTIFS(実績!$W$6:$W$505,P$3,実績!$AI$6:$AI$505,"&lt;="&amp;$A75,実績!$AJ$6:$AJ$505,"&gt;"&amp;$A75,実績!$AL$6:$AL$505,"○")&gt;0,1,0))</f>
        <v>0</v>
      </c>
      <c r="Q75" s="39" t="n">
        <f aca="false">IF(Q$4=0,0,IF(COUNTIFS(実績!$W$6:$W$505,Q$3,実績!$AI$6:$AI$505,"&lt;="&amp;$A75,実績!$AJ$6:$AJ$505,"&gt;"&amp;$A75,実績!$AL$6:$AL$505,"○")&gt;0,1,0))</f>
        <v>0</v>
      </c>
      <c r="R75" s="39" t="n">
        <f aca="false">IF(R$4=0,0,IF(COUNTIFS(実績!$W$6:$W$505,R$3,実績!$AI$6:$AI$505,"&lt;="&amp;$A75,実績!$AJ$6:$AJ$505,"&gt;"&amp;$A75,実績!$AL$6:$AL$505,"○")&gt;0,1,0))</f>
        <v>0</v>
      </c>
      <c r="S75" s="39" t="n">
        <f aca="false">IF(S$4=0,0,IF(COUNTIFS(実績!$W$6:$W$505,S$3,実績!$AI$6:$AI$505,"&lt;="&amp;$A75,実績!$AJ$6:$AJ$505,"&gt;"&amp;$A75,実績!$AL$6:$AL$505,"○")&gt;0,1,0))</f>
        <v>0</v>
      </c>
      <c r="T75" s="39" t="n">
        <f aca="false">IF(T$4=0,0,IF(COUNTIFS(実績!$W$6:$W$505,T$3,実績!$AI$6:$AI$505,"&lt;="&amp;$A75,実績!$AJ$6:$AJ$505,"&gt;"&amp;$A75,実績!$AL$6:$AL$505,"○")&gt;0,1,0))</f>
        <v>0</v>
      </c>
      <c r="U75" s="39" t="n">
        <f aca="false">IF(U$4=0,0,IF(COUNTIFS(実績!$W$6:$W$505,U$3,実績!$AI$6:$AI$505,"&lt;="&amp;$A75,実績!$AJ$6:$AJ$505,"&gt;"&amp;$A75,実績!$AL$6:$AL$505,"○")&gt;0,1,0))</f>
        <v>0</v>
      </c>
      <c r="V75" s="39" t="n">
        <f aca="false">IF(V$4=0,0,IF(COUNTIFS(実績!$W$6:$W$505,V$3,実績!$AI$6:$AI$505,"&lt;="&amp;$A75,実績!$AJ$6:$AJ$505,"&gt;"&amp;$A75,実績!$AL$6:$AL$505,"○")&gt;0,1,0))</f>
        <v>0</v>
      </c>
      <c r="W75" s="39" t="n">
        <f aca="false">IF(W$4=0,0,IF(COUNTIFS(実績!$W$6:$W$505,W$3,実績!$AI$6:$AI$505,"&lt;="&amp;$A75,実績!$AJ$6:$AJ$505,"&gt;"&amp;$A75,実績!$AL$6:$AL$505,"○")&gt;0,1,0))</f>
        <v>0</v>
      </c>
      <c r="X75" s="39" t="n">
        <f aca="false">IF(X$4=0,0,IF(COUNTIFS(実績!$W$6:$W$505,X$3,実績!$AI$6:$AI$505,"&lt;="&amp;$A75,実績!$AJ$6:$AJ$505,"&gt;"&amp;$A75,実績!$AL$6:$AL$505,"○")&gt;0,1,0))</f>
        <v>0</v>
      </c>
      <c r="Y75" s="39" t="n">
        <f aca="false">IF(Y$4=0,0,IF(COUNTIFS(実績!$W$6:$W$505,Y$3,実績!$AI$6:$AI$505,"&lt;="&amp;$A75,実績!$AJ$6:$AJ$505,"&gt;"&amp;$A75,実績!$AL$6:$AL$505,"○")&gt;0,1,0))</f>
        <v>0</v>
      </c>
      <c r="Z75" s="39" t="n">
        <f aca="false">IF(Z$4=0,0,IF(COUNTIFS(実績!$W$6:$W$505,Z$3,実績!$AI$6:$AI$505,"&lt;="&amp;$A75,実績!$AJ$6:$AJ$505,"&gt;"&amp;$A75,実績!$AL$6:$AL$505,"○")&gt;0,1,0))</f>
        <v>0</v>
      </c>
      <c r="AA75" s="39" t="n">
        <f aca="false">IF(AA$4=0,0,IF(COUNTIFS(実績!$W$6:$W$505,AA$3,実績!$AI$6:$AI$505,"&lt;="&amp;$A75,実績!$AJ$6:$AJ$505,"&gt;"&amp;$A75,実績!$AL$6:$AL$505,"○")&gt;0,1,0))</f>
        <v>0</v>
      </c>
      <c r="AB75" s="39" t="n">
        <f aca="false">IF(AB$4=0,0,IF(COUNTIFS(実績!$W$6:$W$505,AB$3,実績!$AI$6:$AI$505,"&lt;="&amp;$A75,実績!$AJ$6:$AJ$505,"&gt;"&amp;$A75,実績!$AL$6:$AL$505,"○")&gt;0,1,0))</f>
        <v>0</v>
      </c>
      <c r="AC75" s="39" t="n">
        <f aca="false">IF(AC$4=0,0,IF(COUNTIFS(実績!$W$6:$W$505,AC$3,実績!$AI$6:$AI$505,"&lt;="&amp;$A75,実績!$AJ$6:$AJ$505,"&gt;"&amp;$A75,実績!$AL$6:$AL$505,"○")&gt;0,1,0))</f>
        <v>0</v>
      </c>
      <c r="AD75" s="39" t="n">
        <f aca="false">IF(AD$4=0,0,IF(COUNTIFS(実績!$W$6:$W$505,AD$3,実績!$AI$6:$AI$505,"&lt;="&amp;$A75,実績!$AJ$6:$AJ$505,"&gt;"&amp;$A75,実績!$AL$6:$AL$505,"○")&gt;0,1,0))</f>
        <v>0</v>
      </c>
      <c r="AE75" s="39" t="n">
        <f aca="false">IF(AE$4=0,0,IF(COUNTIFS(実績!$W$6:$W$505,AE$3,実績!$AI$6:$AI$505,"&lt;="&amp;$A75,実績!$AJ$6:$AJ$505,"&gt;"&amp;$A75,実績!$AL$6:$AL$505,"○")&gt;0,1,0))</f>
        <v>0</v>
      </c>
      <c r="AF75" s="39" t="n">
        <f aca="false">IF(AF$4=0,0,IF(COUNTIFS(実績!$W$6:$W$505,AF$3,実績!$AI$6:$AI$505,"&lt;="&amp;$A75,実績!$AJ$6:$AJ$505,"&gt;"&amp;$A75,実績!$AL$6:$AL$505,"○")&gt;0,1,0))</f>
        <v>0</v>
      </c>
      <c r="AG75" s="39" t="n">
        <f aca="false">IF(AG$4=0,0,IF(COUNTIFS(実績!$W$6:$W$505,AG$3,実績!$AI$6:$AI$505,"&lt;="&amp;$A75,実績!$AJ$6:$AJ$505,"&gt;"&amp;$A75,実績!$AL$6:$AL$505,"○")&gt;0,1,0))</f>
        <v>0</v>
      </c>
      <c r="AH75" s="39" t="n">
        <f aca="false">IF(AH$4=0,0,IF(COUNTIFS(実績!$W$6:$W$505,AH$3,実績!$AI$6:$AI$505,"&lt;="&amp;$A75,実績!$AJ$6:$AJ$505,"&gt;"&amp;$A75,実績!$AL$6:$AL$505,"○")&gt;0,1,0))</f>
        <v>0</v>
      </c>
      <c r="AI75" s="39" t="n">
        <f aca="false">IF(AI$4=0,0,IF(COUNTIFS(実績!$W$6:$W$505,AI$3,実績!$AI$6:$AI$505,"&lt;="&amp;$A75,実績!$AJ$6:$AJ$505,"&gt;"&amp;$A75,実績!$AL$6:$AL$505,"○")&gt;0,1,0))</f>
        <v>0</v>
      </c>
      <c r="AJ75" s="39" t="n">
        <f aca="false">IF(AJ$4=0,0,IF(COUNTIFS(実績!$W$6:$W$505,AJ$3,実績!$AI$6:$AI$505,"&lt;="&amp;$A75,実績!$AJ$6:$AJ$505,"&gt;"&amp;$A75,実績!$AL$6:$AL$505,"○")&gt;0,1,0))</f>
        <v>0</v>
      </c>
      <c r="AK75" s="39" t="n">
        <f aca="false">IF(AK$4=0,0,IF(COUNTIFS(実績!$W$6:$W$505,AK$3,実績!$AI$6:$AI$505,"&lt;="&amp;$A75,実績!$AJ$6:$AJ$505,"&gt;"&amp;$A75,実績!$AL$6:$AL$505,"○")&gt;0,1,0))</f>
        <v>0</v>
      </c>
      <c r="AL75" s="39" t="n">
        <f aca="false">IF(AL$4=0,0,IF(COUNTIFS(実績!$W$6:$W$505,AL$3,実績!$AI$6:$AI$505,"&lt;="&amp;$A75,実績!$AJ$6:$AJ$505,"&gt;"&amp;$A75,実績!$AL$6:$AL$505,"○")&gt;0,1,0))</f>
        <v>0</v>
      </c>
      <c r="AM75" s="39" t="n">
        <f aca="false">IF(AM$4=0,0,IF(COUNTIFS(実績!$W$6:$W$505,AM$3,実績!$AI$6:$AI$505,"&lt;="&amp;$A75,実績!$AJ$6:$AJ$505,"&gt;"&amp;$A75,実績!$AL$6:$AL$505,"○")&gt;0,1,0))</f>
        <v>0</v>
      </c>
      <c r="AN75" s="39" t="n">
        <f aca="false">IF(AN$4=0,0,IF(COUNTIFS(実績!$W$6:$W$505,AN$3,実績!$AI$6:$AI$505,"&lt;="&amp;$A75,実績!$AJ$6:$AJ$505,"&gt;"&amp;$A75,実績!$AL$6:$AL$505,"○")&gt;0,1,0))</f>
        <v>0</v>
      </c>
      <c r="AO75" s="39" t="n">
        <f aca="false">IF(AO$4=0,0,IF(COUNTIFS(実績!$W$6:$W$505,AO$3,実績!$AI$6:$AI$505,"&lt;="&amp;$A75,実績!$AJ$6:$AJ$505,"&gt;"&amp;$A75,実績!$AL$6:$AL$505,"○")&gt;0,1,0))</f>
        <v>0</v>
      </c>
      <c r="AP75" s="39" t="n">
        <f aca="false">IF(AP$4=0,0,IF(COUNTIFS(実績!$W$6:$W$505,AP$3,実績!$AI$6:$AI$505,"&lt;="&amp;$A75,実績!$AJ$6:$AJ$505,"&gt;"&amp;$A75,実績!$AL$6:$AL$505,"○")&gt;0,1,0))</f>
        <v>0</v>
      </c>
      <c r="AQ75" s="39" t="n">
        <f aca="false">IF(AQ$4=0,0,IF(COUNTIFS(実績!$W$6:$W$505,AQ$3,実績!$AI$6:$AI$505,"&lt;="&amp;$A75,実績!$AJ$6:$AJ$505,"&gt;"&amp;$A75,実績!$AL$6:$AL$505,"○")&gt;0,1,0))</f>
        <v>0</v>
      </c>
      <c r="AR75" s="39" t="n">
        <f aca="false">IF(AR$4=0,0,IF(COUNTIFS(実績!$W$6:$W$505,AR$3,実績!$AI$6:$AI$505,"&lt;="&amp;$A75,実績!$AJ$6:$AJ$505,"&gt;"&amp;$A75,実績!$AL$6:$AL$505,"○")&gt;0,1,0))</f>
        <v>0</v>
      </c>
      <c r="AS75" s="39" t="n">
        <f aca="false">IF(AS$4=0,0,IF(COUNTIFS(実績!$W$6:$W$505,AS$3,実績!$AI$6:$AI$505,"&lt;="&amp;$A75,実績!$AJ$6:$AJ$505,"&gt;"&amp;$A75,実績!$AL$6:$AL$505,"○")&gt;0,1,0))</f>
        <v>0</v>
      </c>
      <c r="AT75" s="39" t="n">
        <f aca="false">IF(AT$4=0,0,IF(COUNTIFS(実績!$W$6:$W$505,AT$3,実績!$AI$6:$AI$505,"&lt;="&amp;$A75,実績!$AJ$6:$AJ$505,"&gt;"&amp;$A75,実績!$AL$6:$AL$505,"○")&gt;0,1,0))</f>
        <v>0</v>
      </c>
      <c r="AU75" s="39" t="n">
        <f aca="false">IF(AU$4=0,0,IF(COUNTIFS(実績!$W$6:$W$505,AU$3,実績!$AI$6:$AI$505,"&lt;="&amp;$A75,実績!$AJ$6:$AJ$505,"&gt;"&amp;$A75,実績!$AL$6:$AL$505,"○")&gt;0,1,0))</f>
        <v>0</v>
      </c>
      <c r="AV75" s="39" t="n">
        <f aca="false">IF(AV$4=0,0,IF(COUNTIFS(実績!$W$6:$W$505,AV$3,実績!$AI$6:$AI$505,"&lt;="&amp;$A75,実績!$AJ$6:$AJ$505,"&gt;"&amp;$A75,実績!$AL$6:$AL$505,"○")&gt;0,1,0))</f>
        <v>0</v>
      </c>
      <c r="AW75" s="39" t="n">
        <f aca="false">IF(AW$4=0,0,IF(COUNTIFS(実績!$W$6:$W$505,AW$3,実績!$AI$6:$AI$505,"&lt;="&amp;$A75,実績!$AJ$6:$AJ$505,"&gt;"&amp;$A75,実績!$AL$6:$AL$505,"○")&gt;0,1,0))</f>
        <v>0</v>
      </c>
      <c r="AX75" s="39" t="n">
        <f aca="false">IF(AX$4=0,0,IF(COUNTIFS(実績!$W$6:$W$505,AX$3,実績!$AI$6:$AI$505,"&lt;="&amp;$A75,実績!$AJ$6:$AJ$505,"&gt;"&amp;$A75,実績!$AL$6:$AL$505,"○")&gt;0,1,0))</f>
        <v>0</v>
      </c>
      <c r="AY75" s="39" t="n">
        <f aca="false">IF(AY$4=0,0,IF(COUNTIFS(実績!$W$6:$W$505,AY$3,実績!$AI$6:$AI$505,"&lt;="&amp;$A75,実績!$AJ$6:$AJ$505,"&gt;"&amp;$A75,実績!$AL$6:$AL$505,"○")&gt;0,1,0))</f>
        <v>0</v>
      </c>
      <c r="AZ75" s="39" t="n">
        <f aca="false">IF(AZ$4=0,0,IF(COUNTIFS(実績!$W$6:$W$505,AZ$3,実績!$AI$6:$AI$505,"&lt;="&amp;$A75,実績!$AJ$6:$AJ$505,"&gt;"&amp;$A75,実績!$AL$6:$AL$505,"○")&gt;0,1,0))</f>
        <v>0</v>
      </c>
      <c r="BA75" s="39" t="n">
        <f aca="false">IF(BA$4=0,0,IF(COUNTIFS(実績!$W$6:$W$505,BA$3,実績!$AI$6:$AI$505,"&lt;="&amp;$A75,実績!$AJ$6:$AJ$505,"&gt;"&amp;$A75,実績!$AL$6:$AL$505,"○")&gt;0,1,0))</f>
        <v>0</v>
      </c>
      <c r="BB75" s="39" t="n">
        <f aca="false">IF(BB$4=0,0,IF(COUNTIFS(実績!$W$6:$W$505,BB$3,実績!$AI$6:$AI$505,"&lt;="&amp;$A75,実績!$AJ$6:$AJ$505,"&gt;"&amp;$A75,実績!$AL$6:$AL$505,"○")&gt;0,1,0))</f>
        <v>0</v>
      </c>
      <c r="BC75" s="39" t="n">
        <f aca="false">IF(BC$4=0,0,IF(COUNTIFS(実績!$W$6:$W$505,BC$3,実績!$AI$6:$AI$505,"&lt;="&amp;$A75,実績!$AJ$6:$AJ$505,"&gt;"&amp;$A75,実績!$AL$6:$AL$505,"○")&gt;0,1,0))</f>
        <v>0</v>
      </c>
      <c r="BD75" s="39" t="n">
        <f aca="false">IF(BD$4=0,0,IF(COUNTIFS(実績!$W$6:$W$505,BD$3,実績!$AI$6:$AI$505,"&lt;="&amp;$A75,実績!$AJ$6:$AJ$505,"&gt;"&amp;$A75,実績!$AL$6:$AL$505,"○")&gt;0,1,0))</f>
        <v>0</v>
      </c>
      <c r="BE75" s="39" t="n">
        <f aca="false">IF(BE$4=0,0,IF(COUNTIFS(実績!$W$6:$W$505,BE$3,実績!$AI$6:$AI$505,"&lt;="&amp;$A75,実績!$AJ$6:$AJ$505,"&gt;"&amp;$A75,実績!$AL$6:$AL$505,"○")&gt;0,1,0))</f>
        <v>0</v>
      </c>
      <c r="BF75" s="39" t="n">
        <f aca="false">IF(BF$4=0,0,IF(COUNTIFS(実績!$W$6:$W$505,BF$3,実績!$AI$6:$AI$505,"&lt;="&amp;$A75,実績!$AJ$6:$AJ$505,"&gt;"&amp;$A75,実績!$AL$6:$AL$505,"○")&gt;0,1,0))</f>
        <v>0</v>
      </c>
      <c r="BG75" s="39" t="n">
        <f aca="false">IF(BG$4=0,0,IF(COUNTIFS(実績!$W$6:$W$505,BG$3,実績!$AI$6:$AI$505,"&lt;="&amp;$A75,実績!$AJ$6:$AJ$505,"&gt;"&amp;$A75,実績!$AL$6:$AL$505,"○")&gt;0,1,0))</f>
        <v>0</v>
      </c>
      <c r="BH75" s="39" t="n">
        <f aca="false">IF(BH$4=0,0,IF(COUNTIFS(実績!$W$6:$W$505,BH$3,実績!$AI$6:$AI$505,"&lt;="&amp;$A75,実績!$AJ$6:$AJ$505,"&gt;"&amp;$A75,実績!$AL$6:$AL$505,"○")&gt;0,1,0))</f>
        <v>0</v>
      </c>
      <c r="BI75" s="39" t="n">
        <f aca="false">IF(BI$4=0,0,IF(COUNTIFS(実績!$W$6:$W$505,BI$3,実績!$AI$6:$AI$505,"&lt;="&amp;$A75,実績!$AJ$6:$AJ$505,"&gt;"&amp;$A75,実績!$AL$6:$AL$505,"○")&gt;0,1,0))</f>
        <v>0</v>
      </c>
      <c r="BJ75" s="39" t="n">
        <f aca="false">IF(BJ$4=0,0,IF(COUNTIFS(実績!$W$6:$W$505,BJ$3,実績!$AI$6:$AI$505,"&lt;="&amp;$A75,実績!$AJ$6:$AJ$505,"&gt;"&amp;$A75,実績!$AL$6:$AL$505,"○")&gt;0,1,0))</f>
        <v>0</v>
      </c>
      <c r="BK75" s="39" t="n">
        <f aca="false">IF(BK$4=0,0,IF(COUNTIFS(実績!$W$6:$W$505,BK$3,実績!$AI$6:$AI$505,"&lt;="&amp;$A75,実績!$AJ$6:$AJ$505,"&gt;"&amp;$A75,実績!$AL$6:$AL$505,"○")&gt;0,1,0))</f>
        <v>0</v>
      </c>
      <c r="BL75" s="39" t="n">
        <f aca="false">IF(BL$4=0,0,IF(COUNTIFS(実績!$W$6:$W$505,BL$3,実績!$AI$6:$AI$505,"&lt;="&amp;$A75,実績!$AJ$6:$AJ$505,"&gt;"&amp;$A75,実績!$AL$6:$AL$505,"○")&gt;0,1,0))</f>
        <v>0</v>
      </c>
      <c r="BM75" s="39" t="n">
        <f aca="false">IF(BM$4=0,0,IF(COUNTIFS(実績!$W$6:$W$505,BM$3,実績!$AI$6:$AI$505,"&lt;="&amp;$A75,実績!$AJ$6:$AJ$505,"&gt;"&amp;$A75,実績!$AL$6:$AL$505,"○")&gt;0,1,0))</f>
        <v>0</v>
      </c>
      <c r="BN75" s="39" t="n">
        <f aca="false">IF(BN$4=0,0,IF(COUNTIFS(実績!$W$6:$W$505,BN$3,実績!$AI$6:$AI$505,"&lt;="&amp;$A75,実績!$AJ$6:$AJ$505,"&gt;"&amp;$A75,実績!$AL$6:$AL$505,"○")&gt;0,1,0))</f>
        <v>0</v>
      </c>
      <c r="BO75" s="39" t="n">
        <f aca="false">IF(BO$4=0,0,IF(COUNTIFS(実績!$W$6:$W$505,BO$3,実績!$AI$6:$AI$505,"&lt;="&amp;$A75,実績!$AJ$6:$AJ$505,"&gt;"&amp;$A75,実績!$AL$6:$AL$505,"○")&gt;0,1,0))</f>
        <v>0</v>
      </c>
      <c r="BP75" s="39" t="n">
        <f aca="false">IF(BP$4=0,0,IF(COUNTIFS(実績!$W$6:$W$505,BP$3,実績!$AI$6:$AI$505,"&lt;="&amp;$A75,実績!$AJ$6:$AJ$505,"&gt;"&amp;$A75,実績!$AL$6:$AL$505,"○")&gt;0,1,0))</f>
        <v>0</v>
      </c>
      <c r="BQ75" s="39" t="n">
        <f aca="false">IF(BQ$4=0,0,IF(COUNTIFS(実績!$W$6:$W$505,BQ$3,実績!$AI$6:$AI$505,"&lt;="&amp;$A75,実績!$AJ$6:$AJ$505,"&gt;"&amp;$A75,実績!$AL$6:$AL$505,"○")&gt;0,1,0))</f>
        <v>0</v>
      </c>
      <c r="BR75" s="39" t="n">
        <f aca="false">IF(BR$4=0,0,IF(COUNTIFS(実績!$W$6:$W$505,BR$3,実績!$AI$6:$AI$505,"&lt;="&amp;$A75,実績!$AJ$6:$AJ$505,"&gt;"&amp;$A75,実績!$AL$6:$AL$505,"○")&gt;0,1,0))</f>
        <v>0</v>
      </c>
      <c r="BS75" s="39" t="n">
        <f aca="false">IF(BS$4=0,0,IF(COUNTIFS(実績!$W$6:$W$505,BS$3,実績!$AI$6:$AI$505,"&lt;="&amp;$A75,実績!$AJ$6:$AJ$505,"&gt;"&amp;$A75,実績!$AL$6:$AL$505,"○")&gt;0,1,0))</f>
        <v>0</v>
      </c>
      <c r="BT75" s="39" t="n">
        <f aca="false">IF(BT$4=0,0,IF(COUNTIFS(実績!$W$6:$W$505,BT$3,実績!$AI$6:$AI$505,"&lt;="&amp;$A75,実績!$AJ$6:$AJ$505,"&gt;"&amp;$A75,実績!$AL$6:$AL$505,"○")&gt;0,1,0))</f>
        <v>0</v>
      </c>
      <c r="BU75" s="39" t="n">
        <f aca="false">IF(BU$4=0,0,IF(COUNTIFS(実績!$W$6:$W$505,BU$3,実績!$AI$6:$AI$505,"&lt;="&amp;$A75,実績!$AJ$6:$AJ$505,"&gt;"&amp;$A75,実績!$AL$6:$AL$505,"○")&gt;0,1,0))</f>
        <v>0</v>
      </c>
      <c r="BV75" s="39" t="n">
        <f aca="false">IF(BV$4=0,0,IF(COUNTIFS(実績!$W$6:$W$505,BV$3,実績!$AI$6:$AI$505,"&lt;="&amp;$A75,実績!$AJ$6:$AJ$505,"&gt;"&amp;$A75,実績!$AL$6:$AL$505,"○")&gt;0,1,0))</f>
        <v>0</v>
      </c>
      <c r="BW75" s="39" t="n">
        <f aca="false">IF(BW$4=0,0,IF(COUNTIFS(実績!$W$6:$W$505,BW$3,実績!$AI$6:$AI$505,"&lt;="&amp;$A75,実績!$AJ$6:$AJ$505,"&gt;"&amp;$A75,実績!$AL$6:$AL$505,"○")&gt;0,1,0))</f>
        <v>0</v>
      </c>
      <c r="BX75" s="39" t="n">
        <f aca="false">IF(BX$4=0,0,IF(COUNTIFS(実績!$W$6:$W$505,BX$3,実績!$AI$6:$AI$505,"&lt;="&amp;$A75,実績!$AJ$6:$AJ$505,"&gt;"&amp;$A75,実績!$AL$6:$AL$505,"○")&gt;0,1,0))</f>
        <v>0</v>
      </c>
      <c r="BY75" s="39" t="n">
        <f aca="false">IF(BY$4=0,0,IF(COUNTIFS(実績!$W$6:$W$505,BY$3,実績!$AI$6:$AI$505,"&lt;="&amp;$A75,実績!$AJ$6:$AJ$505,"&gt;"&amp;$A75,実績!$AL$6:$AL$505,"○")&gt;0,1,0))</f>
        <v>0</v>
      </c>
      <c r="BZ75" s="39" t="n">
        <f aca="false">IF(BZ$4=0,0,IF(COUNTIFS(実績!$W$6:$W$505,BZ$3,実績!$AI$6:$AI$505,"&lt;="&amp;$A75,実績!$AJ$6:$AJ$505,"&gt;"&amp;$A75,実績!$AL$6:$AL$505,"○")&gt;0,1,0))</f>
        <v>0</v>
      </c>
      <c r="CA75" s="39" t="n">
        <f aca="false">IF(CA$4=0,0,IF(COUNTIFS(実績!$W$6:$W$505,CA$3,実績!$AI$6:$AI$505,"&lt;="&amp;$A75,実績!$AJ$6:$AJ$505,"&gt;"&amp;$A75,実績!$AL$6:$AL$505,"○")&gt;0,1,0))</f>
        <v>0</v>
      </c>
      <c r="CB75" s="39" t="n">
        <f aca="false">IF(CB$4=0,0,IF(COUNTIFS(実績!$W$6:$W$505,CB$3,実績!$AI$6:$AI$505,"&lt;="&amp;$A75,実績!$AJ$6:$AJ$505,"&gt;"&amp;$A75,実績!$AL$6:$AL$505,"○")&gt;0,1,0))</f>
        <v>0</v>
      </c>
      <c r="CC75" s="39" t="n">
        <f aca="false">IF(CC$4=0,0,IF(COUNTIFS(実績!$W$6:$W$505,CC$3,実績!$AI$6:$AI$505,"&lt;="&amp;$A75,実績!$AJ$6:$AJ$505,"&gt;"&amp;$A75,実績!$AL$6:$AL$505,"○")&gt;0,1,0))</f>
        <v>0</v>
      </c>
      <c r="CD75" s="39" t="n">
        <f aca="false">IF(CD$4=0,0,IF(COUNTIFS(実績!$W$6:$W$505,CD$3,実績!$AI$6:$AI$505,"&lt;="&amp;$A75,実績!$AJ$6:$AJ$505,"&gt;"&amp;$A75,実績!$AL$6:$AL$505,"○")&gt;0,1,0))</f>
        <v>0</v>
      </c>
      <c r="CE75" s="39" t="n">
        <f aca="false">IF(CE$4=0,0,IF(COUNTIFS(実績!$W$6:$W$505,CE$3,実績!$AI$6:$AI$505,"&lt;="&amp;$A75,実績!$AJ$6:$AJ$505,"&gt;"&amp;$A75,実績!$AL$6:$AL$505,"○")&gt;0,1,0))</f>
        <v>0</v>
      </c>
      <c r="CF75" s="39" t="n">
        <f aca="false">IF(CF$4=0,0,IF(COUNTIFS(実績!$W$6:$W$505,CF$3,実績!$AI$6:$AI$505,"&lt;="&amp;$A75,実績!$AJ$6:$AJ$505,"&gt;"&amp;$A75,実績!$AL$6:$AL$505,"○")&gt;0,1,0))</f>
        <v>0</v>
      </c>
      <c r="CG75" s="39" t="n">
        <f aca="false">IF(CG$4=0,0,IF(COUNTIFS(実績!$W$6:$W$505,CG$3,実績!$AI$6:$AI$505,"&lt;="&amp;$A75,実績!$AJ$6:$AJ$505,"&gt;"&amp;$A75,実績!$AL$6:$AL$505,"○")&gt;0,1,0))</f>
        <v>0</v>
      </c>
      <c r="CH75" s="39" t="n">
        <f aca="false">IF(CH$4=0,0,IF(COUNTIFS(実績!$W$6:$W$505,CH$3,実績!$AI$6:$AI$505,"&lt;="&amp;$A75,実績!$AJ$6:$AJ$505,"&gt;"&amp;$A75,実績!$AL$6:$AL$505,"○")&gt;0,1,0))</f>
        <v>0</v>
      </c>
      <c r="CI75" s="39" t="n">
        <f aca="false">IF(CI$4=0,0,IF(COUNTIFS(実績!$W$6:$W$505,CI$3,実績!$AI$6:$AI$505,"&lt;="&amp;$A75,実績!$AJ$6:$AJ$505,"&gt;"&amp;$A75,実績!$AL$6:$AL$505,"○")&gt;0,1,0))</f>
        <v>0</v>
      </c>
      <c r="CJ75" s="39" t="n">
        <f aca="false">IF(CJ$4=0,0,IF(COUNTIFS(実績!$W$6:$W$505,CJ$3,実績!$AI$6:$AI$505,"&lt;="&amp;$A75,実績!$AJ$6:$AJ$505,"&gt;"&amp;$A75,実績!$AL$6:$AL$505,"○")&gt;0,1,0))</f>
        <v>0</v>
      </c>
      <c r="CK75" s="39" t="n">
        <f aca="false">IF(CK$4=0,0,IF(COUNTIFS(実績!$W$6:$W$505,CK$3,実績!$AI$6:$AI$505,"&lt;="&amp;$A75,実績!$AJ$6:$AJ$505,"&gt;"&amp;$A75,実績!$AL$6:$AL$505,"○")&gt;0,1,0))</f>
        <v>0</v>
      </c>
      <c r="CL75" s="39" t="n">
        <f aca="false">IF(CL$4=0,0,IF(COUNTIFS(実績!$W$6:$W$505,CL$3,実績!$AI$6:$AI$505,"&lt;="&amp;$A75,実績!$AJ$6:$AJ$505,"&gt;"&amp;$A75,実績!$AL$6:$AL$505,"○")&gt;0,1,0))</f>
        <v>0</v>
      </c>
      <c r="CM75" s="39" t="n">
        <f aca="false">IF(CM$4=0,0,IF(COUNTIFS(実績!$W$6:$W$505,CM$3,実績!$AI$6:$AI$505,"&lt;="&amp;$A75,実績!$AJ$6:$AJ$505,"&gt;"&amp;$A75,実績!$AL$6:$AL$505,"○")&gt;0,1,0))</f>
        <v>0</v>
      </c>
      <c r="CN75" s="39" t="n">
        <f aca="false">IF(CN$4=0,0,IF(COUNTIFS(実績!$W$6:$W$505,CN$3,実績!$AI$6:$AI$505,"&lt;="&amp;$A75,実績!$AJ$6:$AJ$505,"&gt;"&amp;$A75,実績!$AL$6:$AL$505,"○")&gt;0,1,0))</f>
        <v>0</v>
      </c>
      <c r="CO75" s="39" t="n">
        <f aca="false">IF(CO$4=0,0,IF(COUNTIFS(実績!$W$6:$W$505,CO$3,実績!$AI$6:$AI$505,"&lt;="&amp;$A75,実績!$AJ$6:$AJ$505,"&gt;"&amp;$A75,実績!$AL$6:$AL$505,"○")&gt;0,1,0))</f>
        <v>0</v>
      </c>
      <c r="CP75" s="39" t="n">
        <f aca="false">IF(CP$4=0,0,IF(COUNTIFS(実績!$W$6:$W$505,CP$3,実績!$AI$6:$AI$505,"&lt;="&amp;$A75,実績!$AJ$6:$AJ$505,"&gt;"&amp;$A75,実績!$AL$6:$AL$505,"○")&gt;0,1,0))</f>
        <v>0</v>
      </c>
      <c r="CQ75" s="39" t="n">
        <f aca="false">IF(CQ$4=0,0,IF(COUNTIFS(実績!$W$6:$W$505,CQ$3,実績!$AI$6:$AI$505,"&lt;="&amp;$A75,実績!$AJ$6:$AJ$505,"&gt;"&amp;$A75,実績!$AL$6:$AL$505,"○")&gt;0,1,0))</f>
        <v>0</v>
      </c>
      <c r="CR75" s="39" t="n">
        <f aca="false">IF(CR$4=0,0,IF(COUNTIFS(実績!$W$6:$W$505,CR$3,実績!$AI$6:$AI$505,"&lt;="&amp;$A75,実績!$AJ$6:$AJ$505,"&gt;"&amp;$A75,実績!$AL$6:$AL$505,"○")&gt;0,1,0))</f>
        <v>0</v>
      </c>
      <c r="CS75" s="39" t="n">
        <f aca="false">IF(CS$4=0,0,IF(COUNTIFS(実績!$W$6:$W$505,CS$3,実績!$AI$6:$AI$505,"&lt;="&amp;$A75,実績!$AJ$6:$AJ$505,"&gt;"&amp;$A75,実績!$AL$6:$AL$505,"○")&gt;0,1,0))</f>
        <v>0</v>
      </c>
      <c r="CT75" s="39" t="n">
        <f aca="false">IF(CT$4=0,0,IF(COUNTIFS(実績!$W$6:$W$505,CT$3,実績!$AI$6:$AI$505,"&lt;="&amp;$A75,実績!$AJ$6:$AJ$505,"&gt;"&amp;$A75,実績!$AL$6:$AL$505,"○")&gt;0,1,0))</f>
        <v>0</v>
      </c>
      <c r="CU75" s="39" t="n">
        <f aca="false">IF(CU$4=0,0,IF(COUNTIFS(実績!$W$6:$W$505,CU$3,実績!$AI$6:$AI$505,"&lt;="&amp;$A75,実績!$AJ$6:$AJ$505,"&gt;"&amp;$A75,実績!$AL$6:$AL$505,"○")&gt;0,1,0))</f>
        <v>0</v>
      </c>
      <c r="CV75" s="39" t="n">
        <f aca="false">IF(CV$4=0,0,IF(COUNTIFS(実績!$W$6:$W$505,CV$3,実績!$AI$6:$AI$505,"&lt;="&amp;$A75,実績!$AJ$6:$AJ$505,"&gt;"&amp;$A75,実績!$AL$6:$AL$505,"○")&gt;0,1,0))</f>
        <v>0</v>
      </c>
      <c r="CW75" s="39" t="n">
        <f aca="false">IF(CW$4=0,0,IF(COUNTIFS(実績!$W$6:$W$505,CW$3,実績!$AI$6:$AI$505,"&lt;="&amp;$A75,実績!$AJ$6:$AJ$505,"&gt;"&amp;$A75,実績!$AL$6:$AL$505,"○")&gt;0,1,0))</f>
        <v>0</v>
      </c>
      <c r="CX75" s="39" t="n">
        <f aca="false">IF(CX$4=0,0,IF(COUNTIFS(実績!$W$6:$W$505,CX$3,実績!$AI$6:$AI$505,"&lt;="&amp;$A75,実績!$AJ$6:$AJ$505,"&gt;"&amp;$A75,実績!$AL$6:$AL$505,"○")&gt;0,1,0))</f>
        <v>0</v>
      </c>
      <c r="CY75" s="39" t="n">
        <f aca="false">IF(CY$4=0,0,IF(COUNTIFS(実績!$W$6:$W$505,CY$3,実績!$AI$6:$AI$505,"&lt;="&amp;$A75,実績!$AJ$6:$AJ$505,"&gt;"&amp;$A75,実績!$AL$6:$AL$505,"○")&gt;0,1,0))</f>
        <v>0</v>
      </c>
      <c r="CZ75" s="39" t="n">
        <f aca="false">IF(CZ$4=0,0,IF(COUNTIFS(実績!$W$6:$W$505,CZ$3,実績!$AI$6:$AI$505,"&lt;="&amp;$A75,実績!$AJ$6:$AJ$505,"&gt;"&amp;$A75,実績!$AL$6:$AL$505,"○")&gt;0,1,0))</f>
        <v>0</v>
      </c>
      <c r="DA75" s="39" t="n">
        <f aca="false">IF(DA$4=0,0,IF(COUNTIFS(実績!$W$6:$W$505,DA$3,実績!$AI$6:$AI$505,"&lt;="&amp;$A75,実績!$AJ$6:$AJ$505,"&gt;"&amp;$A75,実績!$AL$6:$AL$505,"○")&gt;0,1,0))</f>
        <v>0</v>
      </c>
      <c r="DB75" s="39" t="n">
        <f aca="false">IF(DB$4=0,0,IF(COUNTIFS(実績!$W$6:$W$505,DB$3,実績!$AI$6:$AI$505,"&lt;="&amp;$A75,実績!$AJ$6:$AJ$505,"&gt;"&amp;$A75,実績!$AL$6:$AL$505,"○")&gt;0,1,0))</f>
        <v>0</v>
      </c>
      <c r="DC75" s="39" t="n">
        <f aca="false">IF(DC$4=0,0,IF(COUNTIFS(実績!$W$6:$W$505,DC$3,実績!$AI$6:$AI$505,"&lt;="&amp;$A75,実績!$AJ$6:$AJ$505,"&gt;"&amp;$A75,実績!$AL$6:$AL$505,"○")&gt;0,1,0))</f>
        <v>0</v>
      </c>
      <c r="DD75" s="39" t="n">
        <f aca="false">IF(DD$4=0,0,IF(COUNTIFS(実績!$W$6:$W$505,DD$3,実績!$AI$6:$AI$505,"&lt;="&amp;$A75,実績!$AJ$6:$AJ$505,"&gt;"&amp;$A75,実績!$AL$6:$AL$505,"○")&gt;0,1,0))</f>
        <v>0</v>
      </c>
      <c r="DE75" s="39" t="n">
        <f aca="false">IF(DE$4=0,0,IF(COUNTIFS(実績!$W$6:$W$505,DE$3,実績!$AI$6:$AI$505,"&lt;="&amp;$A75,実績!$AJ$6:$AJ$505,"&gt;"&amp;$A75,実績!$AL$6:$AL$505,"○")&gt;0,1,0))</f>
        <v>0</v>
      </c>
      <c r="DF75" s="39" t="n">
        <f aca="false">IF(DF$4=0,0,IF(COUNTIFS(実績!$W$6:$W$505,DF$3,実績!$AI$6:$AI$505,"&lt;="&amp;$A75,実績!$AJ$6:$AJ$505,"&gt;"&amp;$A75,実績!$AL$6:$AL$505,"○")&gt;0,1,0))</f>
        <v>0</v>
      </c>
      <c r="DG75" s="39" t="n">
        <f aca="false">IF(DG$4=0,0,IF(COUNTIFS(実績!$W$6:$W$505,DG$3,実績!$AI$6:$AI$505,"&lt;="&amp;$A75,実績!$AJ$6:$AJ$505,"&gt;"&amp;$A75,実績!$AL$6:$AL$505,"○")&gt;0,1,0))</f>
        <v>0</v>
      </c>
      <c r="DH75" s="39" t="n">
        <f aca="false">IF(DH$4=0,0,IF(COUNTIFS(実績!$W$6:$W$505,DH$3,実績!$AI$6:$AI$505,"&lt;="&amp;$A75,実績!$AJ$6:$AJ$505,"&gt;"&amp;$A75,実績!$AL$6:$AL$505,"○")&gt;0,1,0))</f>
        <v>0</v>
      </c>
      <c r="DI75" s="39" t="n">
        <f aca="false">IF(DI$4=0,0,IF(COUNTIFS(実績!$W$6:$W$505,DI$3,実績!$AI$6:$AI$505,"&lt;="&amp;$A75,実績!$AJ$6:$AJ$505,"&gt;"&amp;$A75,実績!$AL$6:$AL$505,"○")&gt;0,1,0))</f>
        <v>0</v>
      </c>
      <c r="DJ75" s="39" t="n">
        <f aca="false">IF(DJ$4=0,0,IF(COUNTIFS(実績!$W$6:$W$505,DJ$3,実績!$AI$6:$AI$505,"&lt;="&amp;$A75,実績!$AJ$6:$AJ$505,"&gt;"&amp;$A75,実績!$AL$6:$AL$505,"○")&gt;0,1,0))</f>
        <v>0</v>
      </c>
      <c r="DK75" s="39" t="n">
        <f aca="false">IF(DK$4=0,0,IF(COUNTIFS(実績!$W$6:$W$505,DK$3,実績!$AI$6:$AI$505,"&lt;="&amp;$A75,実績!$AJ$6:$AJ$505,"&gt;"&amp;$A75,実績!$AL$6:$AL$505,"○")&gt;0,1,0))</f>
        <v>0</v>
      </c>
      <c r="DL75" s="39" t="n">
        <f aca="false">IF(DL$4=0,0,IF(COUNTIFS(実績!$W$6:$W$505,DL$3,実績!$AI$6:$AI$505,"&lt;="&amp;$A75,実績!$AJ$6:$AJ$505,"&gt;"&amp;$A75,実績!$AL$6:$AL$505,"○")&gt;0,1,0))</f>
        <v>0</v>
      </c>
      <c r="DM75" s="39" t="n">
        <f aca="false">IF(DM$4=0,0,IF(COUNTIFS(実績!$W$6:$W$505,DM$3,実績!$AI$6:$AI$505,"&lt;="&amp;$A75,実績!$AJ$6:$AJ$505,"&gt;"&amp;$A75,実績!$AL$6:$AL$505,"○")&gt;0,1,0))</f>
        <v>0</v>
      </c>
      <c r="DN75" s="39" t="n">
        <f aca="false">IF(DN$4=0,0,IF(COUNTIFS(実績!$W$6:$W$505,DN$3,実績!$AI$6:$AI$505,"&lt;="&amp;$A75,実績!$AJ$6:$AJ$505,"&gt;"&amp;$A75,実績!$AL$6:$AL$505,"○")&gt;0,1,0))</f>
        <v>0</v>
      </c>
      <c r="DO75" s="39" t="n">
        <f aca="false">IF(DO$4=0,0,IF(COUNTIFS(実績!$W$6:$W$505,DO$3,実績!$AI$6:$AI$505,"&lt;="&amp;$A75,実績!$AJ$6:$AJ$505,"&gt;"&amp;$A75,実績!$AL$6:$AL$505,"○")&gt;0,1,0))</f>
        <v>0</v>
      </c>
      <c r="DP75" s="39" t="n">
        <f aca="false">IF(DP$4=0,0,IF(COUNTIFS(実績!$W$6:$W$505,DP$3,実績!$AI$6:$AI$505,"&lt;="&amp;$A75,実績!$AJ$6:$AJ$505,"&gt;"&amp;$A75,実績!$AL$6:$AL$505,"○")&gt;0,1,0))</f>
        <v>0</v>
      </c>
      <c r="DQ75" s="39" t="n">
        <f aca="false">IF(DQ$4=0,0,IF(COUNTIFS(実績!$W$6:$W$505,DQ$3,実績!$AI$6:$AI$505,"&lt;="&amp;$A75,実績!$AJ$6:$AJ$505,"&gt;"&amp;$A75,実績!$AL$6:$AL$505,"○")&gt;0,1,0))</f>
        <v>0</v>
      </c>
      <c r="DR75" s="39" t="n">
        <f aca="false">IF(DR$4=0,0,IF(COUNTIFS(実績!$W$6:$W$505,DR$3,実績!$AI$6:$AI$505,"&lt;="&amp;$A75,実績!$AJ$6:$AJ$505,"&gt;"&amp;$A75,実績!$AL$6:$AL$505,"○")&gt;0,1,0))</f>
        <v>0</v>
      </c>
      <c r="DS75" s="39" t="n">
        <f aca="false">SUM(C75:DR75)</f>
        <v>0</v>
      </c>
    </row>
    <row r="76" customFormat="false" ht="15" hidden="false" customHeight="false" outlineLevel="0" collapsed="false">
      <c r="A76" s="0" t="n">
        <v>350</v>
      </c>
      <c r="B76" s="38" t="n">
        <f aca="false">A76/1440</f>
        <v>0.243055555555556</v>
      </c>
      <c r="C76" s="39" t="n">
        <f aca="false">IF(C$4=0,0,IF(COUNTIFS(実績!$W$6:$W$505,C$3,実績!$AI$6:$AI$505,"&lt;="&amp;$A76,実績!$AJ$6:$AJ$505,"&gt;"&amp;$A76,実績!$AL$6:$AL$505,"○")&gt;0,1,0))</f>
        <v>0</v>
      </c>
      <c r="D76" s="39" t="n">
        <f aca="false">IF(D$4=0,0,IF(COUNTIFS(実績!$W$6:$W$505,D$3,実績!$AI$6:$AI$505,"&lt;="&amp;$A76,実績!$AJ$6:$AJ$505,"&gt;"&amp;$A76,実績!$AL$6:$AL$505,"○")&gt;0,1,0))</f>
        <v>0</v>
      </c>
      <c r="E76" s="39" t="n">
        <f aca="false">IF(E$4=0,0,IF(COUNTIFS(実績!$W$6:$W$505,E$3,実績!$AI$6:$AI$505,"&lt;="&amp;$A76,実績!$AJ$6:$AJ$505,"&gt;"&amp;$A76,実績!$AL$6:$AL$505,"○")&gt;0,1,0))</f>
        <v>0</v>
      </c>
      <c r="F76" s="39" t="n">
        <f aca="false">IF(F$4=0,0,IF(COUNTIFS(実績!$W$6:$W$505,F$3,実績!$AI$6:$AI$505,"&lt;="&amp;$A76,実績!$AJ$6:$AJ$505,"&gt;"&amp;$A76,実績!$AL$6:$AL$505,"○")&gt;0,1,0))</f>
        <v>0</v>
      </c>
      <c r="G76" s="39" t="n">
        <f aca="false">IF(G$4=0,0,IF(COUNTIFS(実績!$W$6:$W$505,G$3,実績!$AI$6:$AI$505,"&lt;="&amp;$A76,実績!$AJ$6:$AJ$505,"&gt;"&amp;$A76,実績!$AL$6:$AL$505,"○")&gt;0,1,0))</f>
        <v>0</v>
      </c>
      <c r="H76" s="39" t="n">
        <f aca="false">IF(H$4=0,0,IF(COUNTIFS(実績!$W$6:$W$505,H$3,実績!$AI$6:$AI$505,"&lt;="&amp;$A76,実績!$AJ$6:$AJ$505,"&gt;"&amp;$A76,実績!$AL$6:$AL$505,"○")&gt;0,1,0))</f>
        <v>0</v>
      </c>
      <c r="I76" s="39" t="n">
        <f aca="false">IF(I$4=0,0,IF(COUNTIFS(実績!$W$6:$W$505,I$3,実績!$AI$6:$AI$505,"&lt;="&amp;$A76,実績!$AJ$6:$AJ$505,"&gt;"&amp;$A76,実績!$AL$6:$AL$505,"○")&gt;0,1,0))</f>
        <v>0</v>
      </c>
      <c r="J76" s="39" t="n">
        <f aca="false">IF(J$4=0,0,IF(COUNTIFS(実績!$W$6:$W$505,J$3,実績!$AI$6:$AI$505,"&lt;="&amp;$A76,実績!$AJ$6:$AJ$505,"&gt;"&amp;$A76,実績!$AL$6:$AL$505,"○")&gt;0,1,0))</f>
        <v>0</v>
      </c>
      <c r="K76" s="39" t="n">
        <f aca="false">IF(K$4=0,0,IF(COUNTIFS(実績!$W$6:$W$505,K$3,実績!$AI$6:$AI$505,"&lt;="&amp;$A76,実績!$AJ$6:$AJ$505,"&gt;"&amp;$A76,実績!$AL$6:$AL$505,"○")&gt;0,1,0))</f>
        <v>0</v>
      </c>
      <c r="L76" s="39" t="n">
        <f aca="false">IF(L$4=0,0,IF(COUNTIFS(実績!$W$6:$W$505,L$3,実績!$AI$6:$AI$505,"&lt;="&amp;$A76,実績!$AJ$6:$AJ$505,"&gt;"&amp;$A76,実績!$AL$6:$AL$505,"○")&gt;0,1,0))</f>
        <v>0</v>
      </c>
      <c r="M76" s="39" t="n">
        <f aca="false">IF(M$4=0,0,IF(COUNTIFS(実績!$W$6:$W$505,M$3,実績!$AI$6:$AI$505,"&lt;="&amp;$A76,実績!$AJ$6:$AJ$505,"&gt;"&amp;$A76,実績!$AL$6:$AL$505,"○")&gt;0,1,0))</f>
        <v>0</v>
      </c>
      <c r="N76" s="39" t="n">
        <f aca="false">IF(N$4=0,0,IF(COUNTIFS(実績!$W$6:$W$505,N$3,実績!$AI$6:$AI$505,"&lt;="&amp;$A76,実績!$AJ$6:$AJ$505,"&gt;"&amp;$A76,実績!$AL$6:$AL$505,"○")&gt;0,1,0))</f>
        <v>0</v>
      </c>
      <c r="O76" s="39" t="n">
        <f aca="false">IF(O$4=0,0,IF(COUNTIFS(実績!$W$6:$W$505,O$3,実績!$AI$6:$AI$505,"&lt;="&amp;$A76,実績!$AJ$6:$AJ$505,"&gt;"&amp;$A76,実績!$AL$6:$AL$505,"○")&gt;0,1,0))</f>
        <v>0</v>
      </c>
      <c r="P76" s="39" t="n">
        <f aca="false">IF(P$4=0,0,IF(COUNTIFS(実績!$W$6:$W$505,P$3,実績!$AI$6:$AI$505,"&lt;="&amp;$A76,実績!$AJ$6:$AJ$505,"&gt;"&amp;$A76,実績!$AL$6:$AL$505,"○")&gt;0,1,0))</f>
        <v>0</v>
      </c>
      <c r="Q76" s="39" t="n">
        <f aca="false">IF(Q$4=0,0,IF(COUNTIFS(実績!$W$6:$W$505,Q$3,実績!$AI$6:$AI$505,"&lt;="&amp;$A76,実績!$AJ$6:$AJ$505,"&gt;"&amp;$A76,実績!$AL$6:$AL$505,"○")&gt;0,1,0))</f>
        <v>0</v>
      </c>
      <c r="R76" s="39" t="n">
        <f aca="false">IF(R$4=0,0,IF(COUNTIFS(実績!$W$6:$W$505,R$3,実績!$AI$6:$AI$505,"&lt;="&amp;$A76,実績!$AJ$6:$AJ$505,"&gt;"&amp;$A76,実績!$AL$6:$AL$505,"○")&gt;0,1,0))</f>
        <v>0</v>
      </c>
      <c r="S76" s="39" t="n">
        <f aca="false">IF(S$4=0,0,IF(COUNTIFS(実績!$W$6:$W$505,S$3,実績!$AI$6:$AI$505,"&lt;="&amp;$A76,実績!$AJ$6:$AJ$505,"&gt;"&amp;$A76,実績!$AL$6:$AL$505,"○")&gt;0,1,0))</f>
        <v>0</v>
      </c>
      <c r="T76" s="39" t="n">
        <f aca="false">IF(T$4=0,0,IF(COUNTIFS(実績!$W$6:$W$505,T$3,実績!$AI$6:$AI$505,"&lt;="&amp;$A76,実績!$AJ$6:$AJ$505,"&gt;"&amp;$A76,実績!$AL$6:$AL$505,"○")&gt;0,1,0))</f>
        <v>0</v>
      </c>
      <c r="U76" s="39" t="n">
        <f aca="false">IF(U$4=0,0,IF(COUNTIFS(実績!$W$6:$W$505,U$3,実績!$AI$6:$AI$505,"&lt;="&amp;$A76,実績!$AJ$6:$AJ$505,"&gt;"&amp;$A76,実績!$AL$6:$AL$505,"○")&gt;0,1,0))</f>
        <v>0</v>
      </c>
      <c r="V76" s="39" t="n">
        <f aca="false">IF(V$4=0,0,IF(COUNTIFS(実績!$W$6:$W$505,V$3,実績!$AI$6:$AI$505,"&lt;="&amp;$A76,実績!$AJ$6:$AJ$505,"&gt;"&amp;$A76,実績!$AL$6:$AL$505,"○")&gt;0,1,0))</f>
        <v>0</v>
      </c>
      <c r="W76" s="39" t="n">
        <f aca="false">IF(W$4=0,0,IF(COUNTIFS(実績!$W$6:$W$505,W$3,実績!$AI$6:$AI$505,"&lt;="&amp;$A76,実績!$AJ$6:$AJ$505,"&gt;"&amp;$A76,実績!$AL$6:$AL$505,"○")&gt;0,1,0))</f>
        <v>0</v>
      </c>
      <c r="X76" s="39" t="n">
        <f aca="false">IF(X$4=0,0,IF(COUNTIFS(実績!$W$6:$W$505,X$3,実績!$AI$6:$AI$505,"&lt;="&amp;$A76,実績!$AJ$6:$AJ$505,"&gt;"&amp;$A76,実績!$AL$6:$AL$505,"○")&gt;0,1,0))</f>
        <v>0</v>
      </c>
      <c r="Y76" s="39" t="n">
        <f aca="false">IF(Y$4=0,0,IF(COUNTIFS(実績!$W$6:$W$505,Y$3,実績!$AI$6:$AI$505,"&lt;="&amp;$A76,実績!$AJ$6:$AJ$505,"&gt;"&amp;$A76,実績!$AL$6:$AL$505,"○")&gt;0,1,0))</f>
        <v>0</v>
      </c>
      <c r="Z76" s="39" t="n">
        <f aca="false">IF(Z$4=0,0,IF(COUNTIFS(実績!$W$6:$W$505,Z$3,実績!$AI$6:$AI$505,"&lt;="&amp;$A76,実績!$AJ$6:$AJ$505,"&gt;"&amp;$A76,実績!$AL$6:$AL$505,"○")&gt;0,1,0))</f>
        <v>0</v>
      </c>
      <c r="AA76" s="39" t="n">
        <f aca="false">IF(AA$4=0,0,IF(COUNTIFS(実績!$W$6:$W$505,AA$3,実績!$AI$6:$AI$505,"&lt;="&amp;$A76,実績!$AJ$6:$AJ$505,"&gt;"&amp;$A76,実績!$AL$6:$AL$505,"○")&gt;0,1,0))</f>
        <v>0</v>
      </c>
      <c r="AB76" s="39" t="n">
        <f aca="false">IF(AB$4=0,0,IF(COUNTIFS(実績!$W$6:$W$505,AB$3,実績!$AI$6:$AI$505,"&lt;="&amp;$A76,実績!$AJ$6:$AJ$505,"&gt;"&amp;$A76,実績!$AL$6:$AL$505,"○")&gt;0,1,0))</f>
        <v>0</v>
      </c>
      <c r="AC76" s="39" t="n">
        <f aca="false">IF(AC$4=0,0,IF(COUNTIFS(実績!$W$6:$W$505,AC$3,実績!$AI$6:$AI$505,"&lt;="&amp;$A76,実績!$AJ$6:$AJ$505,"&gt;"&amp;$A76,実績!$AL$6:$AL$505,"○")&gt;0,1,0))</f>
        <v>0</v>
      </c>
      <c r="AD76" s="39" t="n">
        <f aca="false">IF(AD$4=0,0,IF(COUNTIFS(実績!$W$6:$W$505,AD$3,実績!$AI$6:$AI$505,"&lt;="&amp;$A76,実績!$AJ$6:$AJ$505,"&gt;"&amp;$A76,実績!$AL$6:$AL$505,"○")&gt;0,1,0))</f>
        <v>0</v>
      </c>
      <c r="AE76" s="39" t="n">
        <f aca="false">IF(AE$4=0,0,IF(COUNTIFS(実績!$W$6:$W$505,AE$3,実績!$AI$6:$AI$505,"&lt;="&amp;$A76,実績!$AJ$6:$AJ$505,"&gt;"&amp;$A76,実績!$AL$6:$AL$505,"○")&gt;0,1,0))</f>
        <v>0</v>
      </c>
      <c r="AF76" s="39" t="n">
        <f aca="false">IF(AF$4=0,0,IF(COUNTIFS(実績!$W$6:$W$505,AF$3,実績!$AI$6:$AI$505,"&lt;="&amp;$A76,実績!$AJ$6:$AJ$505,"&gt;"&amp;$A76,実績!$AL$6:$AL$505,"○")&gt;0,1,0))</f>
        <v>0</v>
      </c>
      <c r="AG76" s="39" t="n">
        <f aca="false">IF(AG$4=0,0,IF(COUNTIFS(実績!$W$6:$W$505,AG$3,実績!$AI$6:$AI$505,"&lt;="&amp;$A76,実績!$AJ$6:$AJ$505,"&gt;"&amp;$A76,実績!$AL$6:$AL$505,"○")&gt;0,1,0))</f>
        <v>0</v>
      </c>
      <c r="AH76" s="39" t="n">
        <f aca="false">IF(AH$4=0,0,IF(COUNTIFS(実績!$W$6:$W$505,AH$3,実績!$AI$6:$AI$505,"&lt;="&amp;$A76,実績!$AJ$6:$AJ$505,"&gt;"&amp;$A76,実績!$AL$6:$AL$505,"○")&gt;0,1,0))</f>
        <v>0</v>
      </c>
      <c r="AI76" s="39" t="n">
        <f aca="false">IF(AI$4=0,0,IF(COUNTIFS(実績!$W$6:$W$505,AI$3,実績!$AI$6:$AI$505,"&lt;="&amp;$A76,実績!$AJ$6:$AJ$505,"&gt;"&amp;$A76,実績!$AL$6:$AL$505,"○")&gt;0,1,0))</f>
        <v>0</v>
      </c>
      <c r="AJ76" s="39" t="n">
        <f aca="false">IF(AJ$4=0,0,IF(COUNTIFS(実績!$W$6:$W$505,AJ$3,実績!$AI$6:$AI$505,"&lt;="&amp;$A76,実績!$AJ$6:$AJ$505,"&gt;"&amp;$A76,実績!$AL$6:$AL$505,"○")&gt;0,1,0))</f>
        <v>0</v>
      </c>
      <c r="AK76" s="39" t="n">
        <f aca="false">IF(AK$4=0,0,IF(COUNTIFS(実績!$W$6:$W$505,AK$3,実績!$AI$6:$AI$505,"&lt;="&amp;$A76,実績!$AJ$6:$AJ$505,"&gt;"&amp;$A76,実績!$AL$6:$AL$505,"○")&gt;0,1,0))</f>
        <v>0</v>
      </c>
      <c r="AL76" s="39" t="n">
        <f aca="false">IF(AL$4=0,0,IF(COUNTIFS(実績!$W$6:$W$505,AL$3,実績!$AI$6:$AI$505,"&lt;="&amp;$A76,実績!$AJ$6:$AJ$505,"&gt;"&amp;$A76,実績!$AL$6:$AL$505,"○")&gt;0,1,0))</f>
        <v>0</v>
      </c>
      <c r="AM76" s="39" t="n">
        <f aca="false">IF(AM$4=0,0,IF(COUNTIFS(実績!$W$6:$W$505,AM$3,実績!$AI$6:$AI$505,"&lt;="&amp;$A76,実績!$AJ$6:$AJ$505,"&gt;"&amp;$A76,実績!$AL$6:$AL$505,"○")&gt;0,1,0))</f>
        <v>0</v>
      </c>
      <c r="AN76" s="39" t="n">
        <f aca="false">IF(AN$4=0,0,IF(COUNTIFS(実績!$W$6:$W$505,AN$3,実績!$AI$6:$AI$505,"&lt;="&amp;$A76,実績!$AJ$6:$AJ$505,"&gt;"&amp;$A76,実績!$AL$6:$AL$505,"○")&gt;0,1,0))</f>
        <v>0</v>
      </c>
      <c r="AO76" s="39" t="n">
        <f aca="false">IF(AO$4=0,0,IF(COUNTIFS(実績!$W$6:$W$505,AO$3,実績!$AI$6:$AI$505,"&lt;="&amp;$A76,実績!$AJ$6:$AJ$505,"&gt;"&amp;$A76,実績!$AL$6:$AL$505,"○")&gt;0,1,0))</f>
        <v>0</v>
      </c>
      <c r="AP76" s="39" t="n">
        <f aca="false">IF(AP$4=0,0,IF(COUNTIFS(実績!$W$6:$W$505,AP$3,実績!$AI$6:$AI$505,"&lt;="&amp;$A76,実績!$AJ$6:$AJ$505,"&gt;"&amp;$A76,実績!$AL$6:$AL$505,"○")&gt;0,1,0))</f>
        <v>0</v>
      </c>
      <c r="AQ76" s="39" t="n">
        <f aca="false">IF(AQ$4=0,0,IF(COUNTIFS(実績!$W$6:$W$505,AQ$3,実績!$AI$6:$AI$505,"&lt;="&amp;$A76,実績!$AJ$6:$AJ$505,"&gt;"&amp;$A76,実績!$AL$6:$AL$505,"○")&gt;0,1,0))</f>
        <v>0</v>
      </c>
      <c r="AR76" s="39" t="n">
        <f aca="false">IF(AR$4=0,0,IF(COUNTIFS(実績!$W$6:$W$505,AR$3,実績!$AI$6:$AI$505,"&lt;="&amp;$A76,実績!$AJ$6:$AJ$505,"&gt;"&amp;$A76,実績!$AL$6:$AL$505,"○")&gt;0,1,0))</f>
        <v>0</v>
      </c>
      <c r="AS76" s="39" t="n">
        <f aca="false">IF(AS$4=0,0,IF(COUNTIFS(実績!$W$6:$W$505,AS$3,実績!$AI$6:$AI$505,"&lt;="&amp;$A76,実績!$AJ$6:$AJ$505,"&gt;"&amp;$A76,実績!$AL$6:$AL$505,"○")&gt;0,1,0))</f>
        <v>0</v>
      </c>
      <c r="AT76" s="39" t="n">
        <f aca="false">IF(AT$4=0,0,IF(COUNTIFS(実績!$W$6:$W$505,AT$3,実績!$AI$6:$AI$505,"&lt;="&amp;$A76,実績!$AJ$6:$AJ$505,"&gt;"&amp;$A76,実績!$AL$6:$AL$505,"○")&gt;0,1,0))</f>
        <v>0</v>
      </c>
      <c r="AU76" s="39" t="n">
        <f aca="false">IF(AU$4=0,0,IF(COUNTIFS(実績!$W$6:$W$505,AU$3,実績!$AI$6:$AI$505,"&lt;="&amp;$A76,実績!$AJ$6:$AJ$505,"&gt;"&amp;$A76,実績!$AL$6:$AL$505,"○")&gt;0,1,0))</f>
        <v>0</v>
      </c>
      <c r="AV76" s="39" t="n">
        <f aca="false">IF(AV$4=0,0,IF(COUNTIFS(実績!$W$6:$W$505,AV$3,実績!$AI$6:$AI$505,"&lt;="&amp;$A76,実績!$AJ$6:$AJ$505,"&gt;"&amp;$A76,実績!$AL$6:$AL$505,"○")&gt;0,1,0))</f>
        <v>0</v>
      </c>
      <c r="AW76" s="39" t="n">
        <f aca="false">IF(AW$4=0,0,IF(COUNTIFS(実績!$W$6:$W$505,AW$3,実績!$AI$6:$AI$505,"&lt;="&amp;$A76,実績!$AJ$6:$AJ$505,"&gt;"&amp;$A76,実績!$AL$6:$AL$505,"○")&gt;0,1,0))</f>
        <v>0</v>
      </c>
      <c r="AX76" s="39" t="n">
        <f aca="false">IF(AX$4=0,0,IF(COUNTIFS(実績!$W$6:$W$505,AX$3,実績!$AI$6:$AI$505,"&lt;="&amp;$A76,実績!$AJ$6:$AJ$505,"&gt;"&amp;$A76,実績!$AL$6:$AL$505,"○")&gt;0,1,0))</f>
        <v>0</v>
      </c>
      <c r="AY76" s="39" t="n">
        <f aca="false">IF(AY$4=0,0,IF(COUNTIFS(実績!$W$6:$W$505,AY$3,実績!$AI$6:$AI$505,"&lt;="&amp;$A76,実績!$AJ$6:$AJ$505,"&gt;"&amp;$A76,実績!$AL$6:$AL$505,"○")&gt;0,1,0))</f>
        <v>0</v>
      </c>
      <c r="AZ76" s="39" t="n">
        <f aca="false">IF(AZ$4=0,0,IF(COUNTIFS(実績!$W$6:$W$505,AZ$3,実績!$AI$6:$AI$505,"&lt;="&amp;$A76,実績!$AJ$6:$AJ$505,"&gt;"&amp;$A76,実績!$AL$6:$AL$505,"○")&gt;0,1,0))</f>
        <v>0</v>
      </c>
      <c r="BA76" s="39" t="n">
        <f aca="false">IF(BA$4=0,0,IF(COUNTIFS(実績!$W$6:$W$505,BA$3,実績!$AI$6:$AI$505,"&lt;="&amp;$A76,実績!$AJ$6:$AJ$505,"&gt;"&amp;$A76,実績!$AL$6:$AL$505,"○")&gt;0,1,0))</f>
        <v>0</v>
      </c>
      <c r="BB76" s="39" t="n">
        <f aca="false">IF(BB$4=0,0,IF(COUNTIFS(実績!$W$6:$W$505,BB$3,実績!$AI$6:$AI$505,"&lt;="&amp;$A76,実績!$AJ$6:$AJ$505,"&gt;"&amp;$A76,実績!$AL$6:$AL$505,"○")&gt;0,1,0))</f>
        <v>0</v>
      </c>
      <c r="BC76" s="39" t="n">
        <f aca="false">IF(BC$4=0,0,IF(COUNTIFS(実績!$W$6:$W$505,BC$3,実績!$AI$6:$AI$505,"&lt;="&amp;$A76,実績!$AJ$6:$AJ$505,"&gt;"&amp;$A76,実績!$AL$6:$AL$505,"○")&gt;0,1,0))</f>
        <v>0</v>
      </c>
      <c r="BD76" s="39" t="n">
        <f aca="false">IF(BD$4=0,0,IF(COUNTIFS(実績!$W$6:$W$505,BD$3,実績!$AI$6:$AI$505,"&lt;="&amp;$A76,実績!$AJ$6:$AJ$505,"&gt;"&amp;$A76,実績!$AL$6:$AL$505,"○")&gt;0,1,0))</f>
        <v>0</v>
      </c>
      <c r="BE76" s="39" t="n">
        <f aca="false">IF(BE$4=0,0,IF(COUNTIFS(実績!$W$6:$W$505,BE$3,実績!$AI$6:$AI$505,"&lt;="&amp;$A76,実績!$AJ$6:$AJ$505,"&gt;"&amp;$A76,実績!$AL$6:$AL$505,"○")&gt;0,1,0))</f>
        <v>0</v>
      </c>
      <c r="BF76" s="39" t="n">
        <f aca="false">IF(BF$4=0,0,IF(COUNTIFS(実績!$W$6:$W$505,BF$3,実績!$AI$6:$AI$505,"&lt;="&amp;$A76,実績!$AJ$6:$AJ$505,"&gt;"&amp;$A76,実績!$AL$6:$AL$505,"○")&gt;0,1,0))</f>
        <v>0</v>
      </c>
      <c r="BG76" s="39" t="n">
        <f aca="false">IF(BG$4=0,0,IF(COUNTIFS(実績!$W$6:$W$505,BG$3,実績!$AI$6:$AI$505,"&lt;="&amp;$A76,実績!$AJ$6:$AJ$505,"&gt;"&amp;$A76,実績!$AL$6:$AL$505,"○")&gt;0,1,0))</f>
        <v>0</v>
      </c>
      <c r="BH76" s="39" t="n">
        <f aca="false">IF(BH$4=0,0,IF(COUNTIFS(実績!$W$6:$W$505,BH$3,実績!$AI$6:$AI$505,"&lt;="&amp;$A76,実績!$AJ$6:$AJ$505,"&gt;"&amp;$A76,実績!$AL$6:$AL$505,"○")&gt;0,1,0))</f>
        <v>0</v>
      </c>
      <c r="BI76" s="39" t="n">
        <f aca="false">IF(BI$4=0,0,IF(COUNTIFS(実績!$W$6:$W$505,BI$3,実績!$AI$6:$AI$505,"&lt;="&amp;$A76,実績!$AJ$6:$AJ$505,"&gt;"&amp;$A76,実績!$AL$6:$AL$505,"○")&gt;0,1,0))</f>
        <v>0</v>
      </c>
      <c r="BJ76" s="39" t="n">
        <f aca="false">IF(BJ$4=0,0,IF(COUNTIFS(実績!$W$6:$W$505,BJ$3,実績!$AI$6:$AI$505,"&lt;="&amp;$A76,実績!$AJ$6:$AJ$505,"&gt;"&amp;$A76,実績!$AL$6:$AL$505,"○")&gt;0,1,0))</f>
        <v>0</v>
      </c>
      <c r="BK76" s="39" t="n">
        <f aca="false">IF(BK$4=0,0,IF(COUNTIFS(実績!$W$6:$W$505,BK$3,実績!$AI$6:$AI$505,"&lt;="&amp;$A76,実績!$AJ$6:$AJ$505,"&gt;"&amp;$A76,実績!$AL$6:$AL$505,"○")&gt;0,1,0))</f>
        <v>0</v>
      </c>
      <c r="BL76" s="39" t="n">
        <f aca="false">IF(BL$4=0,0,IF(COUNTIFS(実績!$W$6:$W$505,BL$3,実績!$AI$6:$AI$505,"&lt;="&amp;$A76,実績!$AJ$6:$AJ$505,"&gt;"&amp;$A76,実績!$AL$6:$AL$505,"○")&gt;0,1,0))</f>
        <v>0</v>
      </c>
      <c r="BM76" s="39" t="n">
        <f aca="false">IF(BM$4=0,0,IF(COUNTIFS(実績!$W$6:$W$505,BM$3,実績!$AI$6:$AI$505,"&lt;="&amp;$A76,実績!$AJ$6:$AJ$505,"&gt;"&amp;$A76,実績!$AL$6:$AL$505,"○")&gt;0,1,0))</f>
        <v>0</v>
      </c>
      <c r="BN76" s="39" t="n">
        <f aca="false">IF(BN$4=0,0,IF(COUNTIFS(実績!$W$6:$W$505,BN$3,実績!$AI$6:$AI$505,"&lt;="&amp;$A76,実績!$AJ$6:$AJ$505,"&gt;"&amp;$A76,実績!$AL$6:$AL$505,"○")&gt;0,1,0))</f>
        <v>0</v>
      </c>
      <c r="BO76" s="39" t="n">
        <f aca="false">IF(BO$4=0,0,IF(COUNTIFS(実績!$W$6:$W$505,BO$3,実績!$AI$6:$AI$505,"&lt;="&amp;$A76,実績!$AJ$6:$AJ$505,"&gt;"&amp;$A76,実績!$AL$6:$AL$505,"○")&gt;0,1,0))</f>
        <v>0</v>
      </c>
      <c r="BP76" s="39" t="n">
        <f aca="false">IF(BP$4=0,0,IF(COUNTIFS(実績!$W$6:$W$505,BP$3,実績!$AI$6:$AI$505,"&lt;="&amp;$A76,実績!$AJ$6:$AJ$505,"&gt;"&amp;$A76,実績!$AL$6:$AL$505,"○")&gt;0,1,0))</f>
        <v>0</v>
      </c>
      <c r="BQ76" s="39" t="n">
        <f aca="false">IF(BQ$4=0,0,IF(COUNTIFS(実績!$W$6:$W$505,BQ$3,実績!$AI$6:$AI$505,"&lt;="&amp;$A76,実績!$AJ$6:$AJ$505,"&gt;"&amp;$A76,実績!$AL$6:$AL$505,"○")&gt;0,1,0))</f>
        <v>0</v>
      </c>
      <c r="BR76" s="39" t="n">
        <f aca="false">IF(BR$4=0,0,IF(COUNTIFS(実績!$W$6:$W$505,BR$3,実績!$AI$6:$AI$505,"&lt;="&amp;$A76,実績!$AJ$6:$AJ$505,"&gt;"&amp;$A76,実績!$AL$6:$AL$505,"○")&gt;0,1,0))</f>
        <v>0</v>
      </c>
      <c r="BS76" s="39" t="n">
        <f aca="false">IF(BS$4=0,0,IF(COUNTIFS(実績!$W$6:$W$505,BS$3,実績!$AI$6:$AI$505,"&lt;="&amp;$A76,実績!$AJ$6:$AJ$505,"&gt;"&amp;$A76,実績!$AL$6:$AL$505,"○")&gt;0,1,0))</f>
        <v>0</v>
      </c>
      <c r="BT76" s="39" t="n">
        <f aca="false">IF(BT$4=0,0,IF(COUNTIFS(実績!$W$6:$W$505,BT$3,実績!$AI$6:$AI$505,"&lt;="&amp;$A76,実績!$AJ$6:$AJ$505,"&gt;"&amp;$A76,実績!$AL$6:$AL$505,"○")&gt;0,1,0))</f>
        <v>0</v>
      </c>
      <c r="BU76" s="39" t="n">
        <f aca="false">IF(BU$4=0,0,IF(COUNTIFS(実績!$W$6:$W$505,BU$3,実績!$AI$6:$AI$505,"&lt;="&amp;$A76,実績!$AJ$6:$AJ$505,"&gt;"&amp;$A76,実績!$AL$6:$AL$505,"○")&gt;0,1,0))</f>
        <v>0</v>
      </c>
      <c r="BV76" s="39" t="n">
        <f aca="false">IF(BV$4=0,0,IF(COUNTIFS(実績!$W$6:$W$505,BV$3,実績!$AI$6:$AI$505,"&lt;="&amp;$A76,実績!$AJ$6:$AJ$505,"&gt;"&amp;$A76,実績!$AL$6:$AL$505,"○")&gt;0,1,0))</f>
        <v>0</v>
      </c>
      <c r="BW76" s="39" t="n">
        <f aca="false">IF(BW$4=0,0,IF(COUNTIFS(実績!$W$6:$W$505,BW$3,実績!$AI$6:$AI$505,"&lt;="&amp;$A76,実績!$AJ$6:$AJ$505,"&gt;"&amp;$A76,実績!$AL$6:$AL$505,"○")&gt;0,1,0))</f>
        <v>0</v>
      </c>
      <c r="BX76" s="39" t="n">
        <f aca="false">IF(BX$4=0,0,IF(COUNTIFS(実績!$W$6:$W$505,BX$3,実績!$AI$6:$AI$505,"&lt;="&amp;$A76,実績!$AJ$6:$AJ$505,"&gt;"&amp;$A76,実績!$AL$6:$AL$505,"○")&gt;0,1,0))</f>
        <v>0</v>
      </c>
      <c r="BY76" s="39" t="n">
        <f aca="false">IF(BY$4=0,0,IF(COUNTIFS(実績!$W$6:$W$505,BY$3,実績!$AI$6:$AI$505,"&lt;="&amp;$A76,実績!$AJ$6:$AJ$505,"&gt;"&amp;$A76,実績!$AL$6:$AL$505,"○")&gt;0,1,0))</f>
        <v>0</v>
      </c>
      <c r="BZ76" s="39" t="n">
        <f aca="false">IF(BZ$4=0,0,IF(COUNTIFS(実績!$W$6:$W$505,BZ$3,実績!$AI$6:$AI$505,"&lt;="&amp;$A76,実績!$AJ$6:$AJ$505,"&gt;"&amp;$A76,実績!$AL$6:$AL$505,"○")&gt;0,1,0))</f>
        <v>0</v>
      </c>
      <c r="CA76" s="39" t="n">
        <f aca="false">IF(CA$4=0,0,IF(COUNTIFS(実績!$W$6:$W$505,CA$3,実績!$AI$6:$AI$505,"&lt;="&amp;$A76,実績!$AJ$6:$AJ$505,"&gt;"&amp;$A76,実績!$AL$6:$AL$505,"○")&gt;0,1,0))</f>
        <v>0</v>
      </c>
      <c r="CB76" s="39" t="n">
        <f aca="false">IF(CB$4=0,0,IF(COUNTIFS(実績!$W$6:$W$505,CB$3,実績!$AI$6:$AI$505,"&lt;="&amp;$A76,実績!$AJ$6:$AJ$505,"&gt;"&amp;$A76,実績!$AL$6:$AL$505,"○")&gt;0,1,0))</f>
        <v>0</v>
      </c>
      <c r="CC76" s="39" t="n">
        <f aca="false">IF(CC$4=0,0,IF(COUNTIFS(実績!$W$6:$W$505,CC$3,実績!$AI$6:$AI$505,"&lt;="&amp;$A76,実績!$AJ$6:$AJ$505,"&gt;"&amp;$A76,実績!$AL$6:$AL$505,"○")&gt;0,1,0))</f>
        <v>0</v>
      </c>
      <c r="CD76" s="39" t="n">
        <f aca="false">IF(CD$4=0,0,IF(COUNTIFS(実績!$W$6:$W$505,CD$3,実績!$AI$6:$AI$505,"&lt;="&amp;$A76,実績!$AJ$6:$AJ$505,"&gt;"&amp;$A76,実績!$AL$6:$AL$505,"○")&gt;0,1,0))</f>
        <v>0</v>
      </c>
      <c r="CE76" s="39" t="n">
        <f aca="false">IF(CE$4=0,0,IF(COUNTIFS(実績!$W$6:$W$505,CE$3,実績!$AI$6:$AI$505,"&lt;="&amp;$A76,実績!$AJ$6:$AJ$505,"&gt;"&amp;$A76,実績!$AL$6:$AL$505,"○")&gt;0,1,0))</f>
        <v>0</v>
      </c>
      <c r="CF76" s="39" t="n">
        <f aca="false">IF(CF$4=0,0,IF(COUNTIFS(実績!$W$6:$W$505,CF$3,実績!$AI$6:$AI$505,"&lt;="&amp;$A76,実績!$AJ$6:$AJ$505,"&gt;"&amp;$A76,実績!$AL$6:$AL$505,"○")&gt;0,1,0))</f>
        <v>0</v>
      </c>
      <c r="CG76" s="39" t="n">
        <f aca="false">IF(CG$4=0,0,IF(COUNTIFS(実績!$W$6:$W$505,CG$3,実績!$AI$6:$AI$505,"&lt;="&amp;$A76,実績!$AJ$6:$AJ$505,"&gt;"&amp;$A76,実績!$AL$6:$AL$505,"○")&gt;0,1,0))</f>
        <v>0</v>
      </c>
      <c r="CH76" s="39" t="n">
        <f aca="false">IF(CH$4=0,0,IF(COUNTIFS(実績!$W$6:$W$505,CH$3,実績!$AI$6:$AI$505,"&lt;="&amp;$A76,実績!$AJ$6:$AJ$505,"&gt;"&amp;$A76,実績!$AL$6:$AL$505,"○")&gt;0,1,0))</f>
        <v>0</v>
      </c>
      <c r="CI76" s="39" t="n">
        <f aca="false">IF(CI$4=0,0,IF(COUNTIFS(実績!$W$6:$W$505,CI$3,実績!$AI$6:$AI$505,"&lt;="&amp;$A76,実績!$AJ$6:$AJ$505,"&gt;"&amp;$A76,実績!$AL$6:$AL$505,"○")&gt;0,1,0))</f>
        <v>0</v>
      </c>
      <c r="CJ76" s="39" t="n">
        <f aca="false">IF(CJ$4=0,0,IF(COUNTIFS(実績!$W$6:$W$505,CJ$3,実績!$AI$6:$AI$505,"&lt;="&amp;$A76,実績!$AJ$6:$AJ$505,"&gt;"&amp;$A76,実績!$AL$6:$AL$505,"○")&gt;0,1,0))</f>
        <v>0</v>
      </c>
      <c r="CK76" s="39" t="n">
        <f aca="false">IF(CK$4=0,0,IF(COUNTIFS(実績!$W$6:$W$505,CK$3,実績!$AI$6:$AI$505,"&lt;="&amp;$A76,実績!$AJ$6:$AJ$505,"&gt;"&amp;$A76,実績!$AL$6:$AL$505,"○")&gt;0,1,0))</f>
        <v>0</v>
      </c>
      <c r="CL76" s="39" t="n">
        <f aca="false">IF(CL$4=0,0,IF(COUNTIFS(実績!$W$6:$W$505,CL$3,実績!$AI$6:$AI$505,"&lt;="&amp;$A76,実績!$AJ$6:$AJ$505,"&gt;"&amp;$A76,実績!$AL$6:$AL$505,"○")&gt;0,1,0))</f>
        <v>0</v>
      </c>
      <c r="CM76" s="39" t="n">
        <f aca="false">IF(CM$4=0,0,IF(COUNTIFS(実績!$W$6:$W$505,CM$3,実績!$AI$6:$AI$505,"&lt;="&amp;$A76,実績!$AJ$6:$AJ$505,"&gt;"&amp;$A76,実績!$AL$6:$AL$505,"○")&gt;0,1,0))</f>
        <v>0</v>
      </c>
      <c r="CN76" s="39" t="n">
        <f aca="false">IF(CN$4=0,0,IF(COUNTIFS(実績!$W$6:$W$505,CN$3,実績!$AI$6:$AI$505,"&lt;="&amp;$A76,実績!$AJ$6:$AJ$505,"&gt;"&amp;$A76,実績!$AL$6:$AL$505,"○")&gt;0,1,0))</f>
        <v>0</v>
      </c>
      <c r="CO76" s="39" t="n">
        <f aca="false">IF(CO$4=0,0,IF(COUNTIFS(実績!$W$6:$W$505,CO$3,実績!$AI$6:$AI$505,"&lt;="&amp;$A76,実績!$AJ$6:$AJ$505,"&gt;"&amp;$A76,実績!$AL$6:$AL$505,"○")&gt;0,1,0))</f>
        <v>0</v>
      </c>
      <c r="CP76" s="39" t="n">
        <f aca="false">IF(CP$4=0,0,IF(COUNTIFS(実績!$W$6:$W$505,CP$3,実績!$AI$6:$AI$505,"&lt;="&amp;$A76,実績!$AJ$6:$AJ$505,"&gt;"&amp;$A76,実績!$AL$6:$AL$505,"○")&gt;0,1,0))</f>
        <v>0</v>
      </c>
      <c r="CQ76" s="39" t="n">
        <f aca="false">IF(CQ$4=0,0,IF(COUNTIFS(実績!$W$6:$W$505,CQ$3,実績!$AI$6:$AI$505,"&lt;="&amp;$A76,実績!$AJ$6:$AJ$505,"&gt;"&amp;$A76,実績!$AL$6:$AL$505,"○")&gt;0,1,0))</f>
        <v>0</v>
      </c>
      <c r="CR76" s="39" t="n">
        <f aca="false">IF(CR$4=0,0,IF(COUNTIFS(実績!$W$6:$W$505,CR$3,実績!$AI$6:$AI$505,"&lt;="&amp;$A76,実績!$AJ$6:$AJ$505,"&gt;"&amp;$A76,実績!$AL$6:$AL$505,"○")&gt;0,1,0))</f>
        <v>0</v>
      </c>
      <c r="CS76" s="39" t="n">
        <f aca="false">IF(CS$4=0,0,IF(COUNTIFS(実績!$W$6:$W$505,CS$3,実績!$AI$6:$AI$505,"&lt;="&amp;$A76,実績!$AJ$6:$AJ$505,"&gt;"&amp;$A76,実績!$AL$6:$AL$505,"○")&gt;0,1,0))</f>
        <v>0</v>
      </c>
      <c r="CT76" s="39" t="n">
        <f aca="false">IF(CT$4=0,0,IF(COUNTIFS(実績!$W$6:$W$505,CT$3,実績!$AI$6:$AI$505,"&lt;="&amp;$A76,実績!$AJ$6:$AJ$505,"&gt;"&amp;$A76,実績!$AL$6:$AL$505,"○")&gt;0,1,0))</f>
        <v>0</v>
      </c>
      <c r="CU76" s="39" t="n">
        <f aca="false">IF(CU$4=0,0,IF(COUNTIFS(実績!$W$6:$W$505,CU$3,実績!$AI$6:$AI$505,"&lt;="&amp;$A76,実績!$AJ$6:$AJ$505,"&gt;"&amp;$A76,実績!$AL$6:$AL$505,"○")&gt;0,1,0))</f>
        <v>0</v>
      </c>
      <c r="CV76" s="39" t="n">
        <f aca="false">IF(CV$4=0,0,IF(COUNTIFS(実績!$W$6:$W$505,CV$3,実績!$AI$6:$AI$505,"&lt;="&amp;$A76,実績!$AJ$6:$AJ$505,"&gt;"&amp;$A76,実績!$AL$6:$AL$505,"○")&gt;0,1,0))</f>
        <v>0</v>
      </c>
      <c r="CW76" s="39" t="n">
        <f aca="false">IF(CW$4=0,0,IF(COUNTIFS(実績!$W$6:$W$505,CW$3,実績!$AI$6:$AI$505,"&lt;="&amp;$A76,実績!$AJ$6:$AJ$505,"&gt;"&amp;$A76,実績!$AL$6:$AL$505,"○")&gt;0,1,0))</f>
        <v>0</v>
      </c>
      <c r="CX76" s="39" t="n">
        <f aca="false">IF(CX$4=0,0,IF(COUNTIFS(実績!$W$6:$W$505,CX$3,実績!$AI$6:$AI$505,"&lt;="&amp;$A76,実績!$AJ$6:$AJ$505,"&gt;"&amp;$A76,実績!$AL$6:$AL$505,"○")&gt;0,1,0))</f>
        <v>0</v>
      </c>
      <c r="CY76" s="39" t="n">
        <f aca="false">IF(CY$4=0,0,IF(COUNTIFS(実績!$W$6:$W$505,CY$3,実績!$AI$6:$AI$505,"&lt;="&amp;$A76,実績!$AJ$6:$AJ$505,"&gt;"&amp;$A76,実績!$AL$6:$AL$505,"○")&gt;0,1,0))</f>
        <v>0</v>
      </c>
      <c r="CZ76" s="39" t="n">
        <f aca="false">IF(CZ$4=0,0,IF(COUNTIFS(実績!$W$6:$W$505,CZ$3,実績!$AI$6:$AI$505,"&lt;="&amp;$A76,実績!$AJ$6:$AJ$505,"&gt;"&amp;$A76,実績!$AL$6:$AL$505,"○")&gt;0,1,0))</f>
        <v>0</v>
      </c>
      <c r="DA76" s="39" t="n">
        <f aca="false">IF(DA$4=0,0,IF(COUNTIFS(実績!$W$6:$W$505,DA$3,実績!$AI$6:$AI$505,"&lt;="&amp;$A76,実績!$AJ$6:$AJ$505,"&gt;"&amp;$A76,実績!$AL$6:$AL$505,"○")&gt;0,1,0))</f>
        <v>0</v>
      </c>
      <c r="DB76" s="39" t="n">
        <f aca="false">IF(DB$4=0,0,IF(COUNTIFS(実績!$W$6:$W$505,DB$3,実績!$AI$6:$AI$505,"&lt;="&amp;$A76,実績!$AJ$6:$AJ$505,"&gt;"&amp;$A76,実績!$AL$6:$AL$505,"○")&gt;0,1,0))</f>
        <v>0</v>
      </c>
      <c r="DC76" s="39" t="n">
        <f aca="false">IF(DC$4=0,0,IF(COUNTIFS(実績!$W$6:$W$505,DC$3,実績!$AI$6:$AI$505,"&lt;="&amp;$A76,実績!$AJ$6:$AJ$505,"&gt;"&amp;$A76,実績!$AL$6:$AL$505,"○")&gt;0,1,0))</f>
        <v>0</v>
      </c>
      <c r="DD76" s="39" t="n">
        <f aca="false">IF(DD$4=0,0,IF(COUNTIFS(実績!$W$6:$W$505,DD$3,実績!$AI$6:$AI$505,"&lt;="&amp;$A76,実績!$AJ$6:$AJ$505,"&gt;"&amp;$A76,実績!$AL$6:$AL$505,"○")&gt;0,1,0))</f>
        <v>0</v>
      </c>
      <c r="DE76" s="39" t="n">
        <f aca="false">IF(DE$4=0,0,IF(COUNTIFS(実績!$W$6:$W$505,DE$3,実績!$AI$6:$AI$505,"&lt;="&amp;$A76,実績!$AJ$6:$AJ$505,"&gt;"&amp;$A76,実績!$AL$6:$AL$505,"○")&gt;0,1,0))</f>
        <v>0</v>
      </c>
      <c r="DF76" s="39" t="n">
        <f aca="false">IF(DF$4=0,0,IF(COUNTIFS(実績!$W$6:$W$505,DF$3,実績!$AI$6:$AI$505,"&lt;="&amp;$A76,実績!$AJ$6:$AJ$505,"&gt;"&amp;$A76,実績!$AL$6:$AL$505,"○")&gt;0,1,0))</f>
        <v>0</v>
      </c>
      <c r="DG76" s="39" t="n">
        <f aca="false">IF(DG$4=0,0,IF(COUNTIFS(実績!$W$6:$W$505,DG$3,実績!$AI$6:$AI$505,"&lt;="&amp;$A76,実績!$AJ$6:$AJ$505,"&gt;"&amp;$A76,実績!$AL$6:$AL$505,"○")&gt;0,1,0))</f>
        <v>0</v>
      </c>
      <c r="DH76" s="39" t="n">
        <f aca="false">IF(DH$4=0,0,IF(COUNTIFS(実績!$W$6:$W$505,DH$3,実績!$AI$6:$AI$505,"&lt;="&amp;$A76,実績!$AJ$6:$AJ$505,"&gt;"&amp;$A76,実績!$AL$6:$AL$505,"○")&gt;0,1,0))</f>
        <v>0</v>
      </c>
      <c r="DI76" s="39" t="n">
        <f aca="false">IF(DI$4=0,0,IF(COUNTIFS(実績!$W$6:$W$505,DI$3,実績!$AI$6:$AI$505,"&lt;="&amp;$A76,実績!$AJ$6:$AJ$505,"&gt;"&amp;$A76,実績!$AL$6:$AL$505,"○")&gt;0,1,0))</f>
        <v>0</v>
      </c>
      <c r="DJ76" s="39" t="n">
        <f aca="false">IF(DJ$4=0,0,IF(COUNTIFS(実績!$W$6:$W$505,DJ$3,実績!$AI$6:$AI$505,"&lt;="&amp;$A76,実績!$AJ$6:$AJ$505,"&gt;"&amp;$A76,実績!$AL$6:$AL$505,"○")&gt;0,1,0))</f>
        <v>0</v>
      </c>
      <c r="DK76" s="39" t="n">
        <f aca="false">IF(DK$4=0,0,IF(COUNTIFS(実績!$W$6:$W$505,DK$3,実績!$AI$6:$AI$505,"&lt;="&amp;$A76,実績!$AJ$6:$AJ$505,"&gt;"&amp;$A76,実績!$AL$6:$AL$505,"○")&gt;0,1,0))</f>
        <v>0</v>
      </c>
      <c r="DL76" s="39" t="n">
        <f aca="false">IF(DL$4=0,0,IF(COUNTIFS(実績!$W$6:$W$505,DL$3,実績!$AI$6:$AI$505,"&lt;="&amp;$A76,実績!$AJ$6:$AJ$505,"&gt;"&amp;$A76,実績!$AL$6:$AL$505,"○")&gt;0,1,0))</f>
        <v>0</v>
      </c>
      <c r="DM76" s="39" t="n">
        <f aca="false">IF(DM$4=0,0,IF(COUNTIFS(実績!$W$6:$W$505,DM$3,実績!$AI$6:$AI$505,"&lt;="&amp;$A76,実績!$AJ$6:$AJ$505,"&gt;"&amp;$A76,実績!$AL$6:$AL$505,"○")&gt;0,1,0))</f>
        <v>0</v>
      </c>
      <c r="DN76" s="39" t="n">
        <f aca="false">IF(DN$4=0,0,IF(COUNTIFS(実績!$W$6:$W$505,DN$3,実績!$AI$6:$AI$505,"&lt;="&amp;$A76,実績!$AJ$6:$AJ$505,"&gt;"&amp;$A76,実績!$AL$6:$AL$505,"○")&gt;0,1,0))</f>
        <v>0</v>
      </c>
      <c r="DO76" s="39" t="n">
        <f aca="false">IF(DO$4=0,0,IF(COUNTIFS(実績!$W$6:$W$505,DO$3,実績!$AI$6:$AI$505,"&lt;="&amp;$A76,実績!$AJ$6:$AJ$505,"&gt;"&amp;$A76,実績!$AL$6:$AL$505,"○")&gt;0,1,0))</f>
        <v>0</v>
      </c>
      <c r="DP76" s="39" t="n">
        <f aca="false">IF(DP$4=0,0,IF(COUNTIFS(実績!$W$6:$W$505,DP$3,実績!$AI$6:$AI$505,"&lt;="&amp;$A76,実績!$AJ$6:$AJ$505,"&gt;"&amp;$A76,実績!$AL$6:$AL$505,"○")&gt;0,1,0))</f>
        <v>0</v>
      </c>
      <c r="DQ76" s="39" t="n">
        <f aca="false">IF(DQ$4=0,0,IF(COUNTIFS(実績!$W$6:$W$505,DQ$3,実績!$AI$6:$AI$505,"&lt;="&amp;$A76,実績!$AJ$6:$AJ$505,"&gt;"&amp;$A76,実績!$AL$6:$AL$505,"○")&gt;0,1,0))</f>
        <v>0</v>
      </c>
      <c r="DR76" s="39" t="n">
        <f aca="false">IF(DR$4=0,0,IF(COUNTIFS(実績!$W$6:$W$505,DR$3,実績!$AI$6:$AI$505,"&lt;="&amp;$A76,実績!$AJ$6:$AJ$505,"&gt;"&amp;$A76,実績!$AL$6:$AL$505,"○")&gt;0,1,0))</f>
        <v>0</v>
      </c>
      <c r="DS76" s="39" t="n">
        <f aca="false">SUM(C76:DR76)</f>
        <v>0</v>
      </c>
    </row>
    <row r="77" customFormat="false" ht="15" hidden="false" customHeight="false" outlineLevel="0" collapsed="false">
      <c r="A77" s="0" t="n">
        <v>355</v>
      </c>
      <c r="B77" s="38" t="n">
        <f aca="false">A77/1440</f>
        <v>0.246527777777778</v>
      </c>
      <c r="C77" s="39" t="n">
        <f aca="false">IF(C$4=0,0,IF(COUNTIFS(実績!$W$6:$W$505,C$3,実績!$AI$6:$AI$505,"&lt;="&amp;$A77,実績!$AJ$6:$AJ$505,"&gt;"&amp;$A77,実績!$AL$6:$AL$505,"○")&gt;0,1,0))</f>
        <v>0</v>
      </c>
      <c r="D77" s="39" t="n">
        <f aca="false">IF(D$4=0,0,IF(COUNTIFS(実績!$W$6:$W$505,D$3,実績!$AI$6:$AI$505,"&lt;="&amp;$A77,実績!$AJ$6:$AJ$505,"&gt;"&amp;$A77,実績!$AL$6:$AL$505,"○")&gt;0,1,0))</f>
        <v>0</v>
      </c>
      <c r="E77" s="39" t="n">
        <f aca="false">IF(E$4=0,0,IF(COUNTIFS(実績!$W$6:$W$505,E$3,実績!$AI$6:$AI$505,"&lt;="&amp;$A77,実績!$AJ$6:$AJ$505,"&gt;"&amp;$A77,実績!$AL$6:$AL$505,"○")&gt;0,1,0))</f>
        <v>0</v>
      </c>
      <c r="F77" s="39" t="n">
        <f aca="false">IF(F$4=0,0,IF(COUNTIFS(実績!$W$6:$W$505,F$3,実績!$AI$6:$AI$505,"&lt;="&amp;$A77,実績!$AJ$6:$AJ$505,"&gt;"&amp;$A77,実績!$AL$6:$AL$505,"○")&gt;0,1,0))</f>
        <v>0</v>
      </c>
      <c r="G77" s="39" t="n">
        <f aca="false">IF(G$4=0,0,IF(COUNTIFS(実績!$W$6:$W$505,G$3,実績!$AI$6:$AI$505,"&lt;="&amp;$A77,実績!$AJ$6:$AJ$505,"&gt;"&amp;$A77,実績!$AL$6:$AL$505,"○")&gt;0,1,0))</f>
        <v>0</v>
      </c>
      <c r="H77" s="39" t="n">
        <f aca="false">IF(H$4=0,0,IF(COUNTIFS(実績!$W$6:$W$505,H$3,実績!$AI$6:$AI$505,"&lt;="&amp;$A77,実績!$AJ$6:$AJ$505,"&gt;"&amp;$A77,実績!$AL$6:$AL$505,"○")&gt;0,1,0))</f>
        <v>0</v>
      </c>
      <c r="I77" s="39" t="n">
        <f aca="false">IF(I$4=0,0,IF(COUNTIFS(実績!$W$6:$W$505,I$3,実績!$AI$6:$AI$505,"&lt;="&amp;$A77,実績!$AJ$6:$AJ$505,"&gt;"&amp;$A77,実績!$AL$6:$AL$505,"○")&gt;0,1,0))</f>
        <v>0</v>
      </c>
      <c r="J77" s="39" t="n">
        <f aca="false">IF(J$4=0,0,IF(COUNTIFS(実績!$W$6:$W$505,J$3,実績!$AI$6:$AI$505,"&lt;="&amp;$A77,実績!$AJ$6:$AJ$505,"&gt;"&amp;$A77,実績!$AL$6:$AL$505,"○")&gt;0,1,0))</f>
        <v>0</v>
      </c>
      <c r="K77" s="39" t="n">
        <f aca="false">IF(K$4=0,0,IF(COUNTIFS(実績!$W$6:$W$505,K$3,実績!$AI$6:$AI$505,"&lt;="&amp;$A77,実績!$AJ$6:$AJ$505,"&gt;"&amp;$A77,実績!$AL$6:$AL$505,"○")&gt;0,1,0))</f>
        <v>0</v>
      </c>
      <c r="L77" s="39" t="n">
        <f aca="false">IF(L$4=0,0,IF(COUNTIFS(実績!$W$6:$W$505,L$3,実績!$AI$6:$AI$505,"&lt;="&amp;$A77,実績!$AJ$6:$AJ$505,"&gt;"&amp;$A77,実績!$AL$6:$AL$505,"○")&gt;0,1,0))</f>
        <v>0</v>
      </c>
      <c r="M77" s="39" t="n">
        <f aca="false">IF(M$4=0,0,IF(COUNTIFS(実績!$W$6:$W$505,M$3,実績!$AI$6:$AI$505,"&lt;="&amp;$A77,実績!$AJ$6:$AJ$505,"&gt;"&amp;$A77,実績!$AL$6:$AL$505,"○")&gt;0,1,0))</f>
        <v>0</v>
      </c>
      <c r="N77" s="39" t="n">
        <f aca="false">IF(N$4=0,0,IF(COUNTIFS(実績!$W$6:$W$505,N$3,実績!$AI$6:$AI$505,"&lt;="&amp;$A77,実績!$AJ$6:$AJ$505,"&gt;"&amp;$A77,実績!$AL$6:$AL$505,"○")&gt;0,1,0))</f>
        <v>0</v>
      </c>
      <c r="O77" s="39" t="n">
        <f aca="false">IF(O$4=0,0,IF(COUNTIFS(実績!$W$6:$W$505,O$3,実績!$AI$6:$AI$505,"&lt;="&amp;$A77,実績!$AJ$6:$AJ$505,"&gt;"&amp;$A77,実績!$AL$6:$AL$505,"○")&gt;0,1,0))</f>
        <v>0</v>
      </c>
      <c r="P77" s="39" t="n">
        <f aca="false">IF(P$4=0,0,IF(COUNTIFS(実績!$W$6:$W$505,P$3,実績!$AI$6:$AI$505,"&lt;="&amp;$A77,実績!$AJ$6:$AJ$505,"&gt;"&amp;$A77,実績!$AL$6:$AL$505,"○")&gt;0,1,0))</f>
        <v>0</v>
      </c>
      <c r="Q77" s="39" t="n">
        <f aca="false">IF(Q$4=0,0,IF(COUNTIFS(実績!$W$6:$W$505,Q$3,実績!$AI$6:$AI$505,"&lt;="&amp;$A77,実績!$AJ$6:$AJ$505,"&gt;"&amp;$A77,実績!$AL$6:$AL$505,"○")&gt;0,1,0))</f>
        <v>0</v>
      </c>
      <c r="R77" s="39" t="n">
        <f aca="false">IF(R$4=0,0,IF(COUNTIFS(実績!$W$6:$W$505,R$3,実績!$AI$6:$AI$505,"&lt;="&amp;$A77,実績!$AJ$6:$AJ$505,"&gt;"&amp;$A77,実績!$AL$6:$AL$505,"○")&gt;0,1,0))</f>
        <v>0</v>
      </c>
      <c r="S77" s="39" t="n">
        <f aca="false">IF(S$4=0,0,IF(COUNTIFS(実績!$W$6:$W$505,S$3,実績!$AI$6:$AI$505,"&lt;="&amp;$A77,実績!$AJ$6:$AJ$505,"&gt;"&amp;$A77,実績!$AL$6:$AL$505,"○")&gt;0,1,0))</f>
        <v>0</v>
      </c>
      <c r="T77" s="39" t="n">
        <f aca="false">IF(T$4=0,0,IF(COUNTIFS(実績!$W$6:$W$505,T$3,実績!$AI$6:$AI$505,"&lt;="&amp;$A77,実績!$AJ$6:$AJ$505,"&gt;"&amp;$A77,実績!$AL$6:$AL$505,"○")&gt;0,1,0))</f>
        <v>0</v>
      </c>
      <c r="U77" s="39" t="n">
        <f aca="false">IF(U$4=0,0,IF(COUNTIFS(実績!$W$6:$W$505,U$3,実績!$AI$6:$AI$505,"&lt;="&amp;$A77,実績!$AJ$6:$AJ$505,"&gt;"&amp;$A77,実績!$AL$6:$AL$505,"○")&gt;0,1,0))</f>
        <v>0</v>
      </c>
      <c r="V77" s="39" t="n">
        <f aca="false">IF(V$4=0,0,IF(COUNTIFS(実績!$W$6:$W$505,V$3,実績!$AI$6:$AI$505,"&lt;="&amp;$A77,実績!$AJ$6:$AJ$505,"&gt;"&amp;$A77,実績!$AL$6:$AL$505,"○")&gt;0,1,0))</f>
        <v>0</v>
      </c>
      <c r="W77" s="39" t="n">
        <f aca="false">IF(W$4=0,0,IF(COUNTIFS(実績!$W$6:$W$505,W$3,実績!$AI$6:$AI$505,"&lt;="&amp;$A77,実績!$AJ$6:$AJ$505,"&gt;"&amp;$A77,実績!$AL$6:$AL$505,"○")&gt;0,1,0))</f>
        <v>0</v>
      </c>
      <c r="X77" s="39" t="n">
        <f aca="false">IF(X$4=0,0,IF(COUNTIFS(実績!$W$6:$W$505,X$3,実績!$AI$6:$AI$505,"&lt;="&amp;$A77,実績!$AJ$6:$AJ$505,"&gt;"&amp;$A77,実績!$AL$6:$AL$505,"○")&gt;0,1,0))</f>
        <v>0</v>
      </c>
      <c r="Y77" s="39" t="n">
        <f aca="false">IF(Y$4=0,0,IF(COUNTIFS(実績!$W$6:$W$505,Y$3,実績!$AI$6:$AI$505,"&lt;="&amp;$A77,実績!$AJ$6:$AJ$505,"&gt;"&amp;$A77,実績!$AL$6:$AL$505,"○")&gt;0,1,0))</f>
        <v>0</v>
      </c>
      <c r="Z77" s="39" t="n">
        <f aca="false">IF(Z$4=0,0,IF(COUNTIFS(実績!$W$6:$W$505,Z$3,実績!$AI$6:$AI$505,"&lt;="&amp;$A77,実績!$AJ$6:$AJ$505,"&gt;"&amp;$A77,実績!$AL$6:$AL$505,"○")&gt;0,1,0))</f>
        <v>0</v>
      </c>
      <c r="AA77" s="39" t="n">
        <f aca="false">IF(AA$4=0,0,IF(COUNTIFS(実績!$W$6:$W$505,AA$3,実績!$AI$6:$AI$505,"&lt;="&amp;$A77,実績!$AJ$6:$AJ$505,"&gt;"&amp;$A77,実績!$AL$6:$AL$505,"○")&gt;0,1,0))</f>
        <v>0</v>
      </c>
      <c r="AB77" s="39" t="n">
        <f aca="false">IF(AB$4=0,0,IF(COUNTIFS(実績!$W$6:$W$505,AB$3,実績!$AI$6:$AI$505,"&lt;="&amp;$A77,実績!$AJ$6:$AJ$505,"&gt;"&amp;$A77,実績!$AL$6:$AL$505,"○")&gt;0,1,0))</f>
        <v>0</v>
      </c>
      <c r="AC77" s="39" t="n">
        <f aca="false">IF(AC$4=0,0,IF(COUNTIFS(実績!$W$6:$W$505,AC$3,実績!$AI$6:$AI$505,"&lt;="&amp;$A77,実績!$AJ$6:$AJ$505,"&gt;"&amp;$A77,実績!$AL$6:$AL$505,"○")&gt;0,1,0))</f>
        <v>0</v>
      </c>
      <c r="AD77" s="39" t="n">
        <f aca="false">IF(AD$4=0,0,IF(COUNTIFS(実績!$W$6:$W$505,AD$3,実績!$AI$6:$AI$505,"&lt;="&amp;$A77,実績!$AJ$6:$AJ$505,"&gt;"&amp;$A77,実績!$AL$6:$AL$505,"○")&gt;0,1,0))</f>
        <v>0</v>
      </c>
      <c r="AE77" s="39" t="n">
        <f aca="false">IF(AE$4=0,0,IF(COUNTIFS(実績!$W$6:$W$505,AE$3,実績!$AI$6:$AI$505,"&lt;="&amp;$A77,実績!$AJ$6:$AJ$505,"&gt;"&amp;$A77,実績!$AL$6:$AL$505,"○")&gt;0,1,0))</f>
        <v>0</v>
      </c>
      <c r="AF77" s="39" t="n">
        <f aca="false">IF(AF$4=0,0,IF(COUNTIFS(実績!$W$6:$W$505,AF$3,実績!$AI$6:$AI$505,"&lt;="&amp;$A77,実績!$AJ$6:$AJ$505,"&gt;"&amp;$A77,実績!$AL$6:$AL$505,"○")&gt;0,1,0))</f>
        <v>0</v>
      </c>
      <c r="AG77" s="39" t="n">
        <f aca="false">IF(AG$4=0,0,IF(COUNTIFS(実績!$W$6:$W$505,AG$3,実績!$AI$6:$AI$505,"&lt;="&amp;$A77,実績!$AJ$6:$AJ$505,"&gt;"&amp;$A77,実績!$AL$6:$AL$505,"○")&gt;0,1,0))</f>
        <v>0</v>
      </c>
      <c r="AH77" s="39" t="n">
        <f aca="false">IF(AH$4=0,0,IF(COUNTIFS(実績!$W$6:$W$505,AH$3,実績!$AI$6:$AI$505,"&lt;="&amp;$A77,実績!$AJ$6:$AJ$505,"&gt;"&amp;$A77,実績!$AL$6:$AL$505,"○")&gt;0,1,0))</f>
        <v>0</v>
      </c>
      <c r="AI77" s="39" t="n">
        <f aca="false">IF(AI$4=0,0,IF(COUNTIFS(実績!$W$6:$W$505,AI$3,実績!$AI$6:$AI$505,"&lt;="&amp;$A77,実績!$AJ$6:$AJ$505,"&gt;"&amp;$A77,実績!$AL$6:$AL$505,"○")&gt;0,1,0))</f>
        <v>0</v>
      </c>
      <c r="AJ77" s="39" t="n">
        <f aca="false">IF(AJ$4=0,0,IF(COUNTIFS(実績!$W$6:$W$505,AJ$3,実績!$AI$6:$AI$505,"&lt;="&amp;$A77,実績!$AJ$6:$AJ$505,"&gt;"&amp;$A77,実績!$AL$6:$AL$505,"○")&gt;0,1,0))</f>
        <v>0</v>
      </c>
      <c r="AK77" s="39" t="n">
        <f aca="false">IF(AK$4=0,0,IF(COUNTIFS(実績!$W$6:$W$505,AK$3,実績!$AI$6:$AI$505,"&lt;="&amp;$A77,実績!$AJ$6:$AJ$505,"&gt;"&amp;$A77,実績!$AL$6:$AL$505,"○")&gt;0,1,0))</f>
        <v>0</v>
      </c>
      <c r="AL77" s="39" t="n">
        <f aca="false">IF(AL$4=0,0,IF(COUNTIFS(実績!$W$6:$W$505,AL$3,実績!$AI$6:$AI$505,"&lt;="&amp;$A77,実績!$AJ$6:$AJ$505,"&gt;"&amp;$A77,実績!$AL$6:$AL$505,"○")&gt;0,1,0))</f>
        <v>0</v>
      </c>
      <c r="AM77" s="39" t="n">
        <f aca="false">IF(AM$4=0,0,IF(COUNTIFS(実績!$W$6:$W$505,AM$3,実績!$AI$6:$AI$505,"&lt;="&amp;$A77,実績!$AJ$6:$AJ$505,"&gt;"&amp;$A77,実績!$AL$6:$AL$505,"○")&gt;0,1,0))</f>
        <v>0</v>
      </c>
      <c r="AN77" s="39" t="n">
        <f aca="false">IF(AN$4=0,0,IF(COUNTIFS(実績!$W$6:$W$505,AN$3,実績!$AI$6:$AI$505,"&lt;="&amp;$A77,実績!$AJ$6:$AJ$505,"&gt;"&amp;$A77,実績!$AL$6:$AL$505,"○")&gt;0,1,0))</f>
        <v>0</v>
      </c>
      <c r="AO77" s="39" t="n">
        <f aca="false">IF(AO$4=0,0,IF(COUNTIFS(実績!$W$6:$W$505,AO$3,実績!$AI$6:$AI$505,"&lt;="&amp;$A77,実績!$AJ$6:$AJ$505,"&gt;"&amp;$A77,実績!$AL$6:$AL$505,"○")&gt;0,1,0))</f>
        <v>0</v>
      </c>
      <c r="AP77" s="39" t="n">
        <f aca="false">IF(AP$4=0,0,IF(COUNTIFS(実績!$W$6:$W$505,AP$3,実績!$AI$6:$AI$505,"&lt;="&amp;$A77,実績!$AJ$6:$AJ$505,"&gt;"&amp;$A77,実績!$AL$6:$AL$505,"○")&gt;0,1,0))</f>
        <v>0</v>
      </c>
      <c r="AQ77" s="39" t="n">
        <f aca="false">IF(AQ$4=0,0,IF(COUNTIFS(実績!$W$6:$W$505,AQ$3,実績!$AI$6:$AI$505,"&lt;="&amp;$A77,実績!$AJ$6:$AJ$505,"&gt;"&amp;$A77,実績!$AL$6:$AL$505,"○")&gt;0,1,0))</f>
        <v>0</v>
      </c>
      <c r="AR77" s="39" t="n">
        <f aca="false">IF(AR$4=0,0,IF(COUNTIFS(実績!$W$6:$W$505,AR$3,実績!$AI$6:$AI$505,"&lt;="&amp;$A77,実績!$AJ$6:$AJ$505,"&gt;"&amp;$A77,実績!$AL$6:$AL$505,"○")&gt;0,1,0))</f>
        <v>0</v>
      </c>
      <c r="AS77" s="39" t="n">
        <f aca="false">IF(AS$4=0,0,IF(COUNTIFS(実績!$W$6:$W$505,AS$3,実績!$AI$6:$AI$505,"&lt;="&amp;$A77,実績!$AJ$6:$AJ$505,"&gt;"&amp;$A77,実績!$AL$6:$AL$505,"○")&gt;0,1,0))</f>
        <v>0</v>
      </c>
      <c r="AT77" s="39" t="n">
        <f aca="false">IF(AT$4=0,0,IF(COUNTIFS(実績!$W$6:$W$505,AT$3,実績!$AI$6:$AI$505,"&lt;="&amp;$A77,実績!$AJ$6:$AJ$505,"&gt;"&amp;$A77,実績!$AL$6:$AL$505,"○")&gt;0,1,0))</f>
        <v>0</v>
      </c>
      <c r="AU77" s="39" t="n">
        <f aca="false">IF(AU$4=0,0,IF(COUNTIFS(実績!$W$6:$W$505,AU$3,実績!$AI$6:$AI$505,"&lt;="&amp;$A77,実績!$AJ$6:$AJ$505,"&gt;"&amp;$A77,実績!$AL$6:$AL$505,"○")&gt;0,1,0))</f>
        <v>0</v>
      </c>
      <c r="AV77" s="39" t="n">
        <f aca="false">IF(AV$4=0,0,IF(COUNTIFS(実績!$W$6:$W$505,AV$3,実績!$AI$6:$AI$505,"&lt;="&amp;$A77,実績!$AJ$6:$AJ$505,"&gt;"&amp;$A77,実績!$AL$6:$AL$505,"○")&gt;0,1,0))</f>
        <v>0</v>
      </c>
      <c r="AW77" s="39" t="n">
        <f aca="false">IF(AW$4=0,0,IF(COUNTIFS(実績!$W$6:$W$505,AW$3,実績!$AI$6:$AI$505,"&lt;="&amp;$A77,実績!$AJ$6:$AJ$505,"&gt;"&amp;$A77,実績!$AL$6:$AL$505,"○")&gt;0,1,0))</f>
        <v>0</v>
      </c>
      <c r="AX77" s="39" t="n">
        <f aca="false">IF(AX$4=0,0,IF(COUNTIFS(実績!$W$6:$W$505,AX$3,実績!$AI$6:$AI$505,"&lt;="&amp;$A77,実績!$AJ$6:$AJ$505,"&gt;"&amp;$A77,実績!$AL$6:$AL$505,"○")&gt;0,1,0))</f>
        <v>0</v>
      </c>
      <c r="AY77" s="39" t="n">
        <f aca="false">IF(AY$4=0,0,IF(COUNTIFS(実績!$W$6:$W$505,AY$3,実績!$AI$6:$AI$505,"&lt;="&amp;$A77,実績!$AJ$6:$AJ$505,"&gt;"&amp;$A77,実績!$AL$6:$AL$505,"○")&gt;0,1,0))</f>
        <v>0</v>
      </c>
      <c r="AZ77" s="39" t="n">
        <f aca="false">IF(AZ$4=0,0,IF(COUNTIFS(実績!$W$6:$W$505,AZ$3,実績!$AI$6:$AI$505,"&lt;="&amp;$A77,実績!$AJ$6:$AJ$505,"&gt;"&amp;$A77,実績!$AL$6:$AL$505,"○")&gt;0,1,0))</f>
        <v>0</v>
      </c>
      <c r="BA77" s="39" t="n">
        <f aca="false">IF(BA$4=0,0,IF(COUNTIFS(実績!$W$6:$W$505,BA$3,実績!$AI$6:$AI$505,"&lt;="&amp;$A77,実績!$AJ$6:$AJ$505,"&gt;"&amp;$A77,実績!$AL$6:$AL$505,"○")&gt;0,1,0))</f>
        <v>0</v>
      </c>
      <c r="BB77" s="39" t="n">
        <f aca="false">IF(BB$4=0,0,IF(COUNTIFS(実績!$W$6:$W$505,BB$3,実績!$AI$6:$AI$505,"&lt;="&amp;$A77,実績!$AJ$6:$AJ$505,"&gt;"&amp;$A77,実績!$AL$6:$AL$505,"○")&gt;0,1,0))</f>
        <v>0</v>
      </c>
      <c r="BC77" s="39" t="n">
        <f aca="false">IF(BC$4=0,0,IF(COUNTIFS(実績!$W$6:$W$505,BC$3,実績!$AI$6:$AI$505,"&lt;="&amp;$A77,実績!$AJ$6:$AJ$505,"&gt;"&amp;$A77,実績!$AL$6:$AL$505,"○")&gt;0,1,0))</f>
        <v>0</v>
      </c>
      <c r="BD77" s="39" t="n">
        <f aca="false">IF(BD$4=0,0,IF(COUNTIFS(実績!$W$6:$W$505,BD$3,実績!$AI$6:$AI$505,"&lt;="&amp;$A77,実績!$AJ$6:$AJ$505,"&gt;"&amp;$A77,実績!$AL$6:$AL$505,"○")&gt;0,1,0))</f>
        <v>0</v>
      </c>
      <c r="BE77" s="39" t="n">
        <f aca="false">IF(BE$4=0,0,IF(COUNTIFS(実績!$W$6:$W$505,BE$3,実績!$AI$6:$AI$505,"&lt;="&amp;$A77,実績!$AJ$6:$AJ$505,"&gt;"&amp;$A77,実績!$AL$6:$AL$505,"○")&gt;0,1,0))</f>
        <v>0</v>
      </c>
      <c r="BF77" s="39" t="n">
        <f aca="false">IF(BF$4=0,0,IF(COUNTIFS(実績!$W$6:$W$505,BF$3,実績!$AI$6:$AI$505,"&lt;="&amp;$A77,実績!$AJ$6:$AJ$505,"&gt;"&amp;$A77,実績!$AL$6:$AL$505,"○")&gt;0,1,0))</f>
        <v>0</v>
      </c>
      <c r="BG77" s="39" t="n">
        <f aca="false">IF(BG$4=0,0,IF(COUNTIFS(実績!$W$6:$W$505,BG$3,実績!$AI$6:$AI$505,"&lt;="&amp;$A77,実績!$AJ$6:$AJ$505,"&gt;"&amp;$A77,実績!$AL$6:$AL$505,"○")&gt;0,1,0))</f>
        <v>0</v>
      </c>
      <c r="BH77" s="39" t="n">
        <f aca="false">IF(BH$4=0,0,IF(COUNTIFS(実績!$W$6:$W$505,BH$3,実績!$AI$6:$AI$505,"&lt;="&amp;$A77,実績!$AJ$6:$AJ$505,"&gt;"&amp;$A77,実績!$AL$6:$AL$505,"○")&gt;0,1,0))</f>
        <v>0</v>
      </c>
      <c r="BI77" s="39" t="n">
        <f aca="false">IF(BI$4=0,0,IF(COUNTIFS(実績!$W$6:$W$505,BI$3,実績!$AI$6:$AI$505,"&lt;="&amp;$A77,実績!$AJ$6:$AJ$505,"&gt;"&amp;$A77,実績!$AL$6:$AL$505,"○")&gt;0,1,0))</f>
        <v>0</v>
      </c>
      <c r="BJ77" s="39" t="n">
        <f aca="false">IF(BJ$4=0,0,IF(COUNTIFS(実績!$W$6:$W$505,BJ$3,実績!$AI$6:$AI$505,"&lt;="&amp;$A77,実績!$AJ$6:$AJ$505,"&gt;"&amp;$A77,実績!$AL$6:$AL$505,"○")&gt;0,1,0))</f>
        <v>0</v>
      </c>
      <c r="BK77" s="39" t="n">
        <f aca="false">IF(BK$4=0,0,IF(COUNTIFS(実績!$W$6:$W$505,BK$3,実績!$AI$6:$AI$505,"&lt;="&amp;$A77,実績!$AJ$6:$AJ$505,"&gt;"&amp;$A77,実績!$AL$6:$AL$505,"○")&gt;0,1,0))</f>
        <v>0</v>
      </c>
      <c r="BL77" s="39" t="n">
        <f aca="false">IF(BL$4=0,0,IF(COUNTIFS(実績!$W$6:$W$505,BL$3,実績!$AI$6:$AI$505,"&lt;="&amp;$A77,実績!$AJ$6:$AJ$505,"&gt;"&amp;$A77,実績!$AL$6:$AL$505,"○")&gt;0,1,0))</f>
        <v>0</v>
      </c>
      <c r="BM77" s="39" t="n">
        <f aca="false">IF(BM$4=0,0,IF(COUNTIFS(実績!$W$6:$W$505,BM$3,実績!$AI$6:$AI$505,"&lt;="&amp;$A77,実績!$AJ$6:$AJ$505,"&gt;"&amp;$A77,実績!$AL$6:$AL$505,"○")&gt;0,1,0))</f>
        <v>0</v>
      </c>
      <c r="BN77" s="39" t="n">
        <f aca="false">IF(BN$4=0,0,IF(COUNTIFS(実績!$W$6:$W$505,BN$3,実績!$AI$6:$AI$505,"&lt;="&amp;$A77,実績!$AJ$6:$AJ$505,"&gt;"&amp;$A77,実績!$AL$6:$AL$505,"○")&gt;0,1,0))</f>
        <v>0</v>
      </c>
      <c r="BO77" s="39" t="n">
        <f aca="false">IF(BO$4=0,0,IF(COUNTIFS(実績!$W$6:$W$505,BO$3,実績!$AI$6:$AI$505,"&lt;="&amp;$A77,実績!$AJ$6:$AJ$505,"&gt;"&amp;$A77,実績!$AL$6:$AL$505,"○")&gt;0,1,0))</f>
        <v>0</v>
      </c>
      <c r="BP77" s="39" t="n">
        <f aca="false">IF(BP$4=0,0,IF(COUNTIFS(実績!$W$6:$W$505,BP$3,実績!$AI$6:$AI$505,"&lt;="&amp;$A77,実績!$AJ$6:$AJ$505,"&gt;"&amp;$A77,実績!$AL$6:$AL$505,"○")&gt;0,1,0))</f>
        <v>0</v>
      </c>
      <c r="BQ77" s="39" t="n">
        <f aca="false">IF(BQ$4=0,0,IF(COUNTIFS(実績!$W$6:$W$505,BQ$3,実績!$AI$6:$AI$505,"&lt;="&amp;$A77,実績!$AJ$6:$AJ$505,"&gt;"&amp;$A77,実績!$AL$6:$AL$505,"○")&gt;0,1,0))</f>
        <v>0</v>
      </c>
      <c r="BR77" s="39" t="n">
        <f aca="false">IF(BR$4=0,0,IF(COUNTIFS(実績!$W$6:$W$505,BR$3,実績!$AI$6:$AI$505,"&lt;="&amp;$A77,実績!$AJ$6:$AJ$505,"&gt;"&amp;$A77,実績!$AL$6:$AL$505,"○")&gt;0,1,0))</f>
        <v>0</v>
      </c>
      <c r="BS77" s="39" t="n">
        <f aca="false">IF(BS$4=0,0,IF(COUNTIFS(実績!$W$6:$W$505,BS$3,実績!$AI$6:$AI$505,"&lt;="&amp;$A77,実績!$AJ$6:$AJ$505,"&gt;"&amp;$A77,実績!$AL$6:$AL$505,"○")&gt;0,1,0))</f>
        <v>0</v>
      </c>
      <c r="BT77" s="39" t="n">
        <f aca="false">IF(BT$4=0,0,IF(COUNTIFS(実績!$W$6:$W$505,BT$3,実績!$AI$6:$AI$505,"&lt;="&amp;$A77,実績!$AJ$6:$AJ$505,"&gt;"&amp;$A77,実績!$AL$6:$AL$505,"○")&gt;0,1,0))</f>
        <v>0</v>
      </c>
      <c r="BU77" s="39" t="n">
        <f aca="false">IF(BU$4=0,0,IF(COUNTIFS(実績!$W$6:$W$505,BU$3,実績!$AI$6:$AI$505,"&lt;="&amp;$A77,実績!$AJ$6:$AJ$505,"&gt;"&amp;$A77,実績!$AL$6:$AL$505,"○")&gt;0,1,0))</f>
        <v>0</v>
      </c>
      <c r="BV77" s="39" t="n">
        <f aca="false">IF(BV$4=0,0,IF(COUNTIFS(実績!$W$6:$W$505,BV$3,実績!$AI$6:$AI$505,"&lt;="&amp;$A77,実績!$AJ$6:$AJ$505,"&gt;"&amp;$A77,実績!$AL$6:$AL$505,"○")&gt;0,1,0))</f>
        <v>0</v>
      </c>
      <c r="BW77" s="39" t="n">
        <f aca="false">IF(BW$4=0,0,IF(COUNTIFS(実績!$W$6:$W$505,BW$3,実績!$AI$6:$AI$505,"&lt;="&amp;$A77,実績!$AJ$6:$AJ$505,"&gt;"&amp;$A77,実績!$AL$6:$AL$505,"○")&gt;0,1,0))</f>
        <v>0</v>
      </c>
      <c r="BX77" s="39" t="n">
        <f aca="false">IF(BX$4=0,0,IF(COUNTIFS(実績!$W$6:$W$505,BX$3,実績!$AI$6:$AI$505,"&lt;="&amp;$A77,実績!$AJ$6:$AJ$505,"&gt;"&amp;$A77,実績!$AL$6:$AL$505,"○")&gt;0,1,0))</f>
        <v>0</v>
      </c>
      <c r="BY77" s="39" t="n">
        <f aca="false">IF(BY$4=0,0,IF(COUNTIFS(実績!$W$6:$W$505,BY$3,実績!$AI$6:$AI$505,"&lt;="&amp;$A77,実績!$AJ$6:$AJ$505,"&gt;"&amp;$A77,実績!$AL$6:$AL$505,"○")&gt;0,1,0))</f>
        <v>0</v>
      </c>
      <c r="BZ77" s="39" t="n">
        <f aca="false">IF(BZ$4=0,0,IF(COUNTIFS(実績!$W$6:$W$505,BZ$3,実績!$AI$6:$AI$505,"&lt;="&amp;$A77,実績!$AJ$6:$AJ$505,"&gt;"&amp;$A77,実績!$AL$6:$AL$505,"○")&gt;0,1,0))</f>
        <v>0</v>
      </c>
      <c r="CA77" s="39" t="n">
        <f aca="false">IF(CA$4=0,0,IF(COUNTIFS(実績!$W$6:$W$505,CA$3,実績!$AI$6:$AI$505,"&lt;="&amp;$A77,実績!$AJ$6:$AJ$505,"&gt;"&amp;$A77,実績!$AL$6:$AL$505,"○")&gt;0,1,0))</f>
        <v>0</v>
      </c>
      <c r="CB77" s="39" t="n">
        <f aca="false">IF(CB$4=0,0,IF(COUNTIFS(実績!$W$6:$W$505,CB$3,実績!$AI$6:$AI$505,"&lt;="&amp;$A77,実績!$AJ$6:$AJ$505,"&gt;"&amp;$A77,実績!$AL$6:$AL$505,"○")&gt;0,1,0))</f>
        <v>0</v>
      </c>
      <c r="CC77" s="39" t="n">
        <f aca="false">IF(CC$4=0,0,IF(COUNTIFS(実績!$W$6:$W$505,CC$3,実績!$AI$6:$AI$505,"&lt;="&amp;$A77,実績!$AJ$6:$AJ$505,"&gt;"&amp;$A77,実績!$AL$6:$AL$505,"○")&gt;0,1,0))</f>
        <v>0</v>
      </c>
      <c r="CD77" s="39" t="n">
        <f aca="false">IF(CD$4=0,0,IF(COUNTIFS(実績!$W$6:$W$505,CD$3,実績!$AI$6:$AI$505,"&lt;="&amp;$A77,実績!$AJ$6:$AJ$505,"&gt;"&amp;$A77,実績!$AL$6:$AL$505,"○")&gt;0,1,0))</f>
        <v>0</v>
      </c>
      <c r="CE77" s="39" t="n">
        <f aca="false">IF(CE$4=0,0,IF(COUNTIFS(実績!$W$6:$W$505,CE$3,実績!$AI$6:$AI$505,"&lt;="&amp;$A77,実績!$AJ$6:$AJ$505,"&gt;"&amp;$A77,実績!$AL$6:$AL$505,"○")&gt;0,1,0))</f>
        <v>0</v>
      </c>
      <c r="CF77" s="39" t="n">
        <f aca="false">IF(CF$4=0,0,IF(COUNTIFS(実績!$W$6:$W$505,CF$3,実績!$AI$6:$AI$505,"&lt;="&amp;$A77,実績!$AJ$6:$AJ$505,"&gt;"&amp;$A77,実績!$AL$6:$AL$505,"○")&gt;0,1,0))</f>
        <v>0</v>
      </c>
      <c r="CG77" s="39" t="n">
        <f aca="false">IF(CG$4=0,0,IF(COUNTIFS(実績!$W$6:$W$505,CG$3,実績!$AI$6:$AI$505,"&lt;="&amp;$A77,実績!$AJ$6:$AJ$505,"&gt;"&amp;$A77,実績!$AL$6:$AL$505,"○")&gt;0,1,0))</f>
        <v>0</v>
      </c>
      <c r="CH77" s="39" t="n">
        <f aca="false">IF(CH$4=0,0,IF(COUNTIFS(実績!$W$6:$W$505,CH$3,実績!$AI$6:$AI$505,"&lt;="&amp;$A77,実績!$AJ$6:$AJ$505,"&gt;"&amp;$A77,実績!$AL$6:$AL$505,"○")&gt;0,1,0))</f>
        <v>0</v>
      </c>
      <c r="CI77" s="39" t="n">
        <f aca="false">IF(CI$4=0,0,IF(COUNTIFS(実績!$W$6:$W$505,CI$3,実績!$AI$6:$AI$505,"&lt;="&amp;$A77,実績!$AJ$6:$AJ$505,"&gt;"&amp;$A77,実績!$AL$6:$AL$505,"○")&gt;0,1,0))</f>
        <v>0</v>
      </c>
      <c r="CJ77" s="39" t="n">
        <f aca="false">IF(CJ$4=0,0,IF(COUNTIFS(実績!$W$6:$W$505,CJ$3,実績!$AI$6:$AI$505,"&lt;="&amp;$A77,実績!$AJ$6:$AJ$505,"&gt;"&amp;$A77,実績!$AL$6:$AL$505,"○")&gt;0,1,0))</f>
        <v>0</v>
      </c>
      <c r="CK77" s="39" t="n">
        <f aca="false">IF(CK$4=0,0,IF(COUNTIFS(実績!$W$6:$W$505,CK$3,実績!$AI$6:$AI$505,"&lt;="&amp;$A77,実績!$AJ$6:$AJ$505,"&gt;"&amp;$A77,実績!$AL$6:$AL$505,"○")&gt;0,1,0))</f>
        <v>0</v>
      </c>
      <c r="CL77" s="39" t="n">
        <f aca="false">IF(CL$4=0,0,IF(COUNTIFS(実績!$W$6:$W$505,CL$3,実績!$AI$6:$AI$505,"&lt;="&amp;$A77,実績!$AJ$6:$AJ$505,"&gt;"&amp;$A77,実績!$AL$6:$AL$505,"○")&gt;0,1,0))</f>
        <v>0</v>
      </c>
      <c r="CM77" s="39" t="n">
        <f aca="false">IF(CM$4=0,0,IF(COUNTIFS(実績!$W$6:$W$505,CM$3,実績!$AI$6:$AI$505,"&lt;="&amp;$A77,実績!$AJ$6:$AJ$505,"&gt;"&amp;$A77,実績!$AL$6:$AL$505,"○")&gt;0,1,0))</f>
        <v>0</v>
      </c>
      <c r="CN77" s="39" t="n">
        <f aca="false">IF(CN$4=0,0,IF(COUNTIFS(実績!$W$6:$W$505,CN$3,実績!$AI$6:$AI$505,"&lt;="&amp;$A77,実績!$AJ$6:$AJ$505,"&gt;"&amp;$A77,実績!$AL$6:$AL$505,"○")&gt;0,1,0))</f>
        <v>0</v>
      </c>
      <c r="CO77" s="39" t="n">
        <f aca="false">IF(CO$4=0,0,IF(COUNTIFS(実績!$W$6:$W$505,CO$3,実績!$AI$6:$AI$505,"&lt;="&amp;$A77,実績!$AJ$6:$AJ$505,"&gt;"&amp;$A77,実績!$AL$6:$AL$505,"○")&gt;0,1,0))</f>
        <v>0</v>
      </c>
      <c r="CP77" s="39" t="n">
        <f aca="false">IF(CP$4=0,0,IF(COUNTIFS(実績!$W$6:$W$505,CP$3,実績!$AI$6:$AI$505,"&lt;="&amp;$A77,実績!$AJ$6:$AJ$505,"&gt;"&amp;$A77,実績!$AL$6:$AL$505,"○")&gt;0,1,0))</f>
        <v>0</v>
      </c>
      <c r="CQ77" s="39" t="n">
        <f aca="false">IF(CQ$4=0,0,IF(COUNTIFS(実績!$W$6:$W$505,CQ$3,実績!$AI$6:$AI$505,"&lt;="&amp;$A77,実績!$AJ$6:$AJ$505,"&gt;"&amp;$A77,実績!$AL$6:$AL$505,"○")&gt;0,1,0))</f>
        <v>0</v>
      </c>
      <c r="CR77" s="39" t="n">
        <f aca="false">IF(CR$4=0,0,IF(COUNTIFS(実績!$W$6:$W$505,CR$3,実績!$AI$6:$AI$505,"&lt;="&amp;$A77,実績!$AJ$6:$AJ$505,"&gt;"&amp;$A77,実績!$AL$6:$AL$505,"○")&gt;0,1,0))</f>
        <v>0</v>
      </c>
      <c r="CS77" s="39" t="n">
        <f aca="false">IF(CS$4=0,0,IF(COUNTIFS(実績!$W$6:$W$505,CS$3,実績!$AI$6:$AI$505,"&lt;="&amp;$A77,実績!$AJ$6:$AJ$505,"&gt;"&amp;$A77,実績!$AL$6:$AL$505,"○")&gt;0,1,0))</f>
        <v>0</v>
      </c>
      <c r="CT77" s="39" t="n">
        <f aca="false">IF(CT$4=0,0,IF(COUNTIFS(実績!$W$6:$W$505,CT$3,実績!$AI$6:$AI$505,"&lt;="&amp;$A77,実績!$AJ$6:$AJ$505,"&gt;"&amp;$A77,実績!$AL$6:$AL$505,"○")&gt;0,1,0))</f>
        <v>0</v>
      </c>
      <c r="CU77" s="39" t="n">
        <f aca="false">IF(CU$4=0,0,IF(COUNTIFS(実績!$W$6:$W$505,CU$3,実績!$AI$6:$AI$505,"&lt;="&amp;$A77,実績!$AJ$6:$AJ$505,"&gt;"&amp;$A77,実績!$AL$6:$AL$505,"○")&gt;0,1,0))</f>
        <v>0</v>
      </c>
      <c r="CV77" s="39" t="n">
        <f aca="false">IF(CV$4=0,0,IF(COUNTIFS(実績!$W$6:$W$505,CV$3,実績!$AI$6:$AI$505,"&lt;="&amp;$A77,実績!$AJ$6:$AJ$505,"&gt;"&amp;$A77,実績!$AL$6:$AL$505,"○")&gt;0,1,0))</f>
        <v>0</v>
      </c>
      <c r="CW77" s="39" t="n">
        <f aca="false">IF(CW$4=0,0,IF(COUNTIFS(実績!$W$6:$W$505,CW$3,実績!$AI$6:$AI$505,"&lt;="&amp;$A77,実績!$AJ$6:$AJ$505,"&gt;"&amp;$A77,実績!$AL$6:$AL$505,"○")&gt;0,1,0))</f>
        <v>0</v>
      </c>
      <c r="CX77" s="39" t="n">
        <f aca="false">IF(CX$4=0,0,IF(COUNTIFS(実績!$W$6:$W$505,CX$3,実績!$AI$6:$AI$505,"&lt;="&amp;$A77,実績!$AJ$6:$AJ$505,"&gt;"&amp;$A77,実績!$AL$6:$AL$505,"○")&gt;0,1,0))</f>
        <v>0</v>
      </c>
      <c r="CY77" s="39" t="n">
        <f aca="false">IF(CY$4=0,0,IF(COUNTIFS(実績!$W$6:$W$505,CY$3,実績!$AI$6:$AI$505,"&lt;="&amp;$A77,実績!$AJ$6:$AJ$505,"&gt;"&amp;$A77,実績!$AL$6:$AL$505,"○")&gt;0,1,0))</f>
        <v>0</v>
      </c>
      <c r="CZ77" s="39" t="n">
        <f aca="false">IF(CZ$4=0,0,IF(COUNTIFS(実績!$W$6:$W$505,CZ$3,実績!$AI$6:$AI$505,"&lt;="&amp;$A77,実績!$AJ$6:$AJ$505,"&gt;"&amp;$A77,実績!$AL$6:$AL$505,"○")&gt;0,1,0))</f>
        <v>0</v>
      </c>
      <c r="DA77" s="39" t="n">
        <f aca="false">IF(DA$4=0,0,IF(COUNTIFS(実績!$W$6:$W$505,DA$3,実績!$AI$6:$AI$505,"&lt;="&amp;$A77,実績!$AJ$6:$AJ$505,"&gt;"&amp;$A77,実績!$AL$6:$AL$505,"○")&gt;0,1,0))</f>
        <v>0</v>
      </c>
      <c r="DB77" s="39" t="n">
        <f aca="false">IF(DB$4=0,0,IF(COUNTIFS(実績!$W$6:$W$505,DB$3,実績!$AI$6:$AI$505,"&lt;="&amp;$A77,実績!$AJ$6:$AJ$505,"&gt;"&amp;$A77,実績!$AL$6:$AL$505,"○")&gt;0,1,0))</f>
        <v>0</v>
      </c>
      <c r="DC77" s="39" t="n">
        <f aca="false">IF(DC$4=0,0,IF(COUNTIFS(実績!$W$6:$W$505,DC$3,実績!$AI$6:$AI$505,"&lt;="&amp;$A77,実績!$AJ$6:$AJ$505,"&gt;"&amp;$A77,実績!$AL$6:$AL$505,"○")&gt;0,1,0))</f>
        <v>0</v>
      </c>
      <c r="DD77" s="39" t="n">
        <f aca="false">IF(DD$4=0,0,IF(COUNTIFS(実績!$W$6:$W$505,DD$3,実績!$AI$6:$AI$505,"&lt;="&amp;$A77,実績!$AJ$6:$AJ$505,"&gt;"&amp;$A77,実績!$AL$6:$AL$505,"○")&gt;0,1,0))</f>
        <v>0</v>
      </c>
      <c r="DE77" s="39" t="n">
        <f aca="false">IF(DE$4=0,0,IF(COUNTIFS(実績!$W$6:$W$505,DE$3,実績!$AI$6:$AI$505,"&lt;="&amp;$A77,実績!$AJ$6:$AJ$505,"&gt;"&amp;$A77,実績!$AL$6:$AL$505,"○")&gt;0,1,0))</f>
        <v>0</v>
      </c>
      <c r="DF77" s="39" t="n">
        <f aca="false">IF(DF$4=0,0,IF(COUNTIFS(実績!$W$6:$W$505,DF$3,実績!$AI$6:$AI$505,"&lt;="&amp;$A77,実績!$AJ$6:$AJ$505,"&gt;"&amp;$A77,実績!$AL$6:$AL$505,"○")&gt;0,1,0))</f>
        <v>0</v>
      </c>
      <c r="DG77" s="39" t="n">
        <f aca="false">IF(DG$4=0,0,IF(COUNTIFS(実績!$W$6:$W$505,DG$3,実績!$AI$6:$AI$505,"&lt;="&amp;$A77,実績!$AJ$6:$AJ$505,"&gt;"&amp;$A77,実績!$AL$6:$AL$505,"○")&gt;0,1,0))</f>
        <v>0</v>
      </c>
      <c r="DH77" s="39" t="n">
        <f aca="false">IF(DH$4=0,0,IF(COUNTIFS(実績!$W$6:$W$505,DH$3,実績!$AI$6:$AI$505,"&lt;="&amp;$A77,実績!$AJ$6:$AJ$505,"&gt;"&amp;$A77,実績!$AL$6:$AL$505,"○")&gt;0,1,0))</f>
        <v>0</v>
      </c>
      <c r="DI77" s="39" t="n">
        <f aca="false">IF(DI$4=0,0,IF(COUNTIFS(実績!$W$6:$W$505,DI$3,実績!$AI$6:$AI$505,"&lt;="&amp;$A77,実績!$AJ$6:$AJ$505,"&gt;"&amp;$A77,実績!$AL$6:$AL$505,"○")&gt;0,1,0))</f>
        <v>0</v>
      </c>
      <c r="DJ77" s="39" t="n">
        <f aca="false">IF(DJ$4=0,0,IF(COUNTIFS(実績!$W$6:$W$505,DJ$3,実績!$AI$6:$AI$505,"&lt;="&amp;$A77,実績!$AJ$6:$AJ$505,"&gt;"&amp;$A77,実績!$AL$6:$AL$505,"○")&gt;0,1,0))</f>
        <v>0</v>
      </c>
      <c r="DK77" s="39" t="n">
        <f aca="false">IF(DK$4=0,0,IF(COUNTIFS(実績!$W$6:$W$505,DK$3,実績!$AI$6:$AI$505,"&lt;="&amp;$A77,実績!$AJ$6:$AJ$505,"&gt;"&amp;$A77,実績!$AL$6:$AL$505,"○")&gt;0,1,0))</f>
        <v>0</v>
      </c>
      <c r="DL77" s="39" t="n">
        <f aca="false">IF(DL$4=0,0,IF(COUNTIFS(実績!$W$6:$W$505,DL$3,実績!$AI$6:$AI$505,"&lt;="&amp;$A77,実績!$AJ$6:$AJ$505,"&gt;"&amp;$A77,実績!$AL$6:$AL$505,"○")&gt;0,1,0))</f>
        <v>0</v>
      </c>
      <c r="DM77" s="39" t="n">
        <f aca="false">IF(DM$4=0,0,IF(COUNTIFS(実績!$W$6:$W$505,DM$3,実績!$AI$6:$AI$505,"&lt;="&amp;$A77,実績!$AJ$6:$AJ$505,"&gt;"&amp;$A77,実績!$AL$6:$AL$505,"○")&gt;0,1,0))</f>
        <v>0</v>
      </c>
      <c r="DN77" s="39" t="n">
        <f aca="false">IF(DN$4=0,0,IF(COUNTIFS(実績!$W$6:$W$505,DN$3,実績!$AI$6:$AI$505,"&lt;="&amp;$A77,実績!$AJ$6:$AJ$505,"&gt;"&amp;$A77,実績!$AL$6:$AL$505,"○")&gt;0,1,0))</f>
        <v>0</v>
      </c>
      <c r="DO77" s="39" t="n">
        <f aca="false">IF(DO$4=0,0,IF(COUNTIFS(実績!$W$6:$W$505,DO$3,実績!$AI$6:$AI$505,"&lt;="&amp;$A77,実績!$AJ$6:$AJ$505,"&gt;"&amp;$A77,実績!$AL$6:$AL$505,"○")&gt;0,1,0))</f>
        <v>0</v>
      </c>
      <c r="DP77" s="39" t="n">
        <f aca="false">IF(DP$4=0,0,IF(COUNTIFS(実績!$W$6:$W$505,DP$3,実績!$AI$6:$AI$505,"&lt;="&amp;$A77,実績!$AJ$6:$AJ$505,"&gt;"&amp;$A77,実績!$AL$6:$AL$505,"○")&gt;0,1,0))</f>
        <v>0</v>
      </c>
      <c r="DQ77" s="39" t="n">
        <f aca="false">IF(DQ$4=0,0,IF(COUNTIFS(実績!$W$6:$W$505,DQ$3,実績!$AI$6:$AI$505,"&lt;="&amp;$A77,実績!$AJ$6:$AJ$505,"&gt;"&amp;$A77,実績!$AL$6:$AL$505,"○")&gt;0,1,0))</f>
        <v>0</v>
      </c>
      <c r="DR77" s="39" t="n">
        <f aca="false">IF(DR$4=0,0,IF(COUNTIFS(実績!$W$6:$W$505,DR$3,実績!$AI$6:$AI$505,"&lt;="&amp;$A77,実績!$AJ$6:$AJ$505,"&gt;"&amp;$A77,実績!$AL$6:$AL$505,"○")&gt;0,1,0))</f>
        <v>0</v>
      </c>
      <c r="DS77" s="39" t="n">
        <f aca="false">SUM(C77:DR77)</f>
        <v>0</v>
      </c>
    </row>
    <row r="78" customFormat="false" ht="15" hidden="false" customHeight="false" outlineLevel="0" collapsed="false">
      <c r="A78" s="0" t="n">
        <v>360</v>
      </c>
      <c r="B78" s="38" t="n">
        <f aca="false">A78/1440</f>
        <v>0.25</v>
      </c>
      <c r="C78" s="39" t="n">
        <f aca="false">IF(C$4=0,0,IF(COUNTIFS(実績!$W$6:$W$505,C$3,実績!$AI$6:$AI$505,"&lt;="&amp;$A78,実績!$AJ$6:$AJ$505,"&gt;"&amp;$A78,実績!$AL$6:$AL$505,"○")&gt;0,1,0))</f>
        <v>0</v>
      </c>
      <c r="D78" s="39" t="n">
        <f aca="false">IF(D$4=0,0,IF(COUNTIFS(実績!$W$6:$W$505,D$3,実績!$AI$6:$AI$505,"&lt;="&amp;$A78,実績!$AJ$6:$AJ$505,"&gt;"&amp;$A78,実績!$AL$6:$AL$505,"○")&gt;0,1,0))</f>
        <v>0</v>
      </c>
      <c r="E78" s="39" t="n">
        <f aca="false">IF(E$4=0,0,IF(COUNTIFS(実績!$W$6:$W$505,E$3,実績!$AI$6:$AI$505,"&lt;="&amp;$A78,実績!$AJ$6:$AJ$505,"&gt;"&amp;$A78,実績!$AL$6:$AL$505,"○")&gt;0,1,0))</f>
        <v>0</v>
      </c>
      <c r="F78" s="39" t="n">
        <f aca="false">IF(F$4=0,0,IF(COUNTIFS(実績!$W$6:$W$505,F$3,実績!$AI$6:$AI$505,"&lt;="&amp;$A78,実績!$AJ$6:$AJ$505,"&gt;"&amp;$A78,実績!$AL$6:$AL$505,"○")&gt;0,1,0))</f>
        <v>0</v>
      </c>
      <c r="G78" s="39" t="n">
        <f aca="false">IF(G$4=0,0,IF(COUNTIFS(実績!$W$6:$W$505,G$3,実績!$AI$6:$AI$505,"&lt;="&amp;$A78,実績!$AJ$6:$AJ$505,"&gt;"&amp;$A78,実績!$AL$6:$AL$505,"○")&gt;0,1,0))</f>
        <v>0</v>
      </c>
      <c r="H78" s="39" t="n">
        <f aca="false">IF(H$4=0,0,IF(COUNTIFS(実績!$W$6:$W$505,H$3,実績!$AI$6:$AI$505,"&lt;="&amp;$A78,実績!$AJ$6:$AJ$505,"&gt;"&amp;$A78,実績!$AL$6:$AL$505,"○")&gt;0,1,0))</f>
        <v>0</v>
      </c>
      <c r="I78" s="39" t="n">
        <f aca="false">IF(I$4=0,0,IF(COUNTIFS(実績!$W$6:$W$505,I$3,実績!$AI$6:$AI$505,"&lt;="&amp;$A78,実績!$AJ$6:$AJ$505,"&gt;"&amp;$A78,実績!$AL$6:$AL$505,"○")&gt;0,1,0))</f>
        <v>0</v>
      </c>
      <c r="J78" s="39" t="n">
        <f aca="false">IF(J$4=0,0,IF(COUNTIFS(実績!$W$6:$W$505,J$3,実績!$AI$6:$AI$505,"&lt;="&amp;$A78,実績!$AJ$6:$AJ$505,"&gt;"&amp;$A78,実績!$AL$6:$AL$505,"○")&gt;0,1,0))</f>
        <v>0</v>
      </c>
      <c r="K78" s="39" t="n">
        <f aca="false">IF(K$4=0,0,IF(COUNTIFS(実績!$W$6:$W$505,K$3,実績!$AI$6:$AI$505,"&lt;="&amp;$A78,実績!$AJ$6:$AJ$505,"&gt;"&amp;$A78,実績!$AL$6:$AL$505,"○")&gt;0,1,0))</f>
        <v>0</v>
      </c>
      <c r="L78" s="39" t="n">
        <f aca="false">IF(L$4=0,0,IF(COUNTIFS(実績!$W$6:$W$505,L$3,実績!$AI$6:$AI$505,"&lt;="&amp;$A78,実績!$AJ$6:$AJ$505,"&gt;"&amp;$A78,実績!$AL$6:$AL$505,"○")&gt;0,1,0))</f>
        <v>0</v>
      </c>
      <c r="M78" s="39" t="n">
        <f aca="false">IF(M$4=0,0,IF(COUNTIFS(実績!$W$6:$W$505,M$3,実績!$AI$6:$AI$505,"&lt;="&amp;$A78,実績!$AJ$6:$AJ$505,"&gt;"&amp;$A78,実績!$AL$6:$AL$505,"○")&gt;0,1,0))</f>
        <v>0</v>
      </c>
      <c r="N78" s="39" t="n">
        <f aca="false">IF(N$4=0,0,IF(COUNTIFS(実績!$W$6:$W$505,N$3,実績!$AI$6:$AI$505,"&lt;="&amp;$A78,実績!$AJ$6:$AJ$505,"&gt;"&amp;$A78,実績!$AL$6:$AL$505,"○")&gt;0,1,0))</f>
        <v>0</v>
      </c>
      <c r="O78" s="39" t="n">
        <f aca="false">IF(O$4=0,0,IF(COUNTIFS(実績!$W$6:$W$505,O$3,実績!$AI$6:$AI$505,"&lt;="&amp;$A78,実績!$AJ$6:$AJ$505,"&gt;"&amp;$A78,実績!$AL$6:$AL$505,"○")&gt;0,1,0))</f>
        <v>0</v>
      </c>
      <c r="P78" s="39" t="n">
        <f aca="false">IF(P$4=0,0,IF(COUNTIFS(実績!$W$6:$W$505,P$3,実績!$AI$6:$AI$505,"&lt;="&amp;$A78,実績!$AJ$6:$AJ$505,"&gt;"&amp;$A78,実績!$AL$6:$AL$505,"○")&gt;0,1,0))</f>
        <v>0</v>
      </c>
      <c r="Q78" s="39" t="n">
        <f aca="false">IF(Q$4=0,0,IF(COUNTIFS(実績!$W$6:$W$505,Q$3,実績!$AI$6:$AI$505,"&lt;="&amp;$A78,実績!$AJ$6:$AJ$505,"&gt;"&amp;$A78,実績!$AL$6:$AL$505,"○")&gt;0,1,0))</f>
        <v>0</v>
      </c>
      <c r="R78" s="39" t="n">
        <f aca="false">IF(R$4=0,0,IF(COUNTIFS(実績!$W$6:$W$505,R$3,実績!$AI$6:$AI$505,"&lt;="&amp;$A78,実績!$AJ$6:$AJ$505,"&gt;"&amp;$A78,実績!$AL$6:$AL$505,"○")&gt;0,1,0))</f>
        <v>0</v>
      </c>
      <c r="S78" s="39" t="n">
        <f aca="false">IF(S$4=0,0,IF(COUNTIFS(実績!$W$6:$W$505,S$3,実績!$AI$6:$AI$505,"&lt;="&amp;$A78,実績!$AJ$6:$AJ$505,"&gt;"&amp;$A78,実績!$AL$6:$AL$505,"○")&gt;0,1,0))</f>
        <v>0</v>
      </c>
      <c r="T78" s="39" t="n">
        <f aca="false">IF(T$4=0,0,IF(COUNTIFS(実績!$W$6:$W$505,T$3,実績!$AI$6:$AI$505,"&lt;="&amp;$A78,実績!$AJ$6:$AJ$505,"&gt;"&amp;$A78,実績!$AL$6:$AL$505,"○")&gt;0,1,0))</f>
        <v>0</v>
      </c>
      <c r="U78" s="39" t="n">
        <f aca="false">IF(U$4=0,0,IF(COUNTIFS(実績!$W$6:$W$505,U$3,実績!$AI$6:$AI$505,"&lt;="&amp;$A78,実績!$AJ$6:$AJ$505,"&gt;"&amp;$A78,実績!$AL$6:$AL$505,"○")&gt;0,1,0))</f>
        <v>0</v>
      </c>
      <c r="V78" s="39" t="n">
        <f aca="false">IF(V$4=0,0,IF(COUNTIFS(実績!$W$6:$W$505,V$3,実績!$AI$6:$AI$505,"&lt;="&amp;$A78,実績!$AJ$6:$AJ$505,"&gt;"&amp;$A78,実績!$AL$6:$AL$505,"○")&gt;0,1,0))</f>
        <v>0</v>
      </c>
      <c r="W78" s="39" t="n">
        <f aca="false">IF(W$4=0,0,IF(COUNTIFS(実績!$W$6:$W$505,W$3,実績!$AI$6:$AI$505,"&lt;="&amp;$A78,実績!$AJ$6:$AJ$505,"&gt;"&amp;$A78,実績!$AL$6:$AL$505,"○")&gt;0,1,0))</f>
        <v>0</v>
      </c>
      <c r="X78" s="39" t="n">
        <f aca="false">IF(X$4=0,0,IF(COUNTIFS(実績!$W$6:$W$505,X$3,実績!$AI$6:$AI$505,"&lt;="&amp;$A78,実績!$AJ$6:$AJ$505,"&gt;"&amp;$A78,実績!$AL$6:$AL$505,"○")&gt;0,1,0))</f>
        <v>0</v>
      </c>
      <c r="Y78" s="39" t="n">
        <f aca="false">IF(Y$4=0,0,IF(COUNTIFS(実績!$W$6:$W$505,Y$3,実績!$AI$6:$AI$505,"&lt;="&amp;$A78,実績!$AJ$6:$AJ$505,"&gt;"&amp;$A78,実績!$AL$6:$AL$505,"○")&gt;0,1,0))</f>
        <v>0</v>
      </c>
      <c r="Z78" s="39" t="n">
        <f aca="false">IF(Z$4=0,0,IF(COUNTIFS(実績!$W$6:$W$505,Z$3,実績!$AI$6:$AI$505,"&lt;="&amp;$A78,実績!$AJ$6:$AJ$505,"&gt;"&amp;$A78,実績!$AL$6:$AL$505,"○")&gt;0,1,0))</f>
        <v>0</v>
      </c>
      <c r="AA78" s="39" t="n">
        <f aca="false">IF(AA$4=0,0,IF(COUNTIFS(実績!$W$6:$W$505,AA$3,実績!$AI$6:$AI$505,"&lt;="&amp;$A78,実績!$AJ$6:$AJ$505,"&gt;"&amp;$A78,実績!$AL$6:$AL$505,"○")&gt;0,1,0))</f>
        <v>0</v>
      </c>
      <c r="AB78" s="39" t="n">
        <f aca="false">IF(AB$4=0,0,IF(COUNTIFS(実績!$W$6:$W$505,AB$3,実績!$AI$6:$AI$505,"&lt;="&amp;$A78,実績!$AJ$6:$AJ$505,"&gt;"&amp;$A78,実績!$AL$6:$AL$505,"○")&gt;0,1,0))</f>
        <v>0</v>
      </c>
      <c r="AC78" s="39" t="n">
        <f aca="false">IF(AC$4=0,0,IF(COUNTIFS(実績!$W$6:$W$505,AC$3,実績!$AI$6:$AI$505,"&lt;="&amp;$A78,実績!$AJ$6:$AJ$505,"&gt;"&amp;$A78,実績!$AL$6:$AL$505,"○")&gt;0,1,0))</f>
        <v>0</v>
      </c>
      <c r="AD78" s="39" t="n">
        <f aca="false">IF(AD$4=0,0,IF(COUNTIFS(実績!$W$6:$W$505,AD$3,実績!$AI$6:$AI$505,"&lt;="&amp;$A78,実績!$AJ$6:$AJ$505,"&gt;"&amp;$A78,実績!$AL$6:$AL$505,"○")&gt;0,1,0))</f>
        <v>0</v>
      </c>
      <c r="AE78" s="39" t="n">
        <f aca="false">IF(AE$4=0,0,IF(COUNTIFS(実績!$W$6:$W$505,AE$3,実績!$AI$6:$AI$505,"&lt;="&amp;$A78,実績!$AJ$6:$AJ$505,"&gt;"&amp;$A78,実績!$AL$6:$AL$505,"○")&gt;0,1,0))</f>
        <v>0</v>
      </c>
      <c r="AF78" s="39" t="n">
        <f aca="false">IF(AF$4=0,0,IF(COUNTIFS(実績!$W$6:$W$505,AF$3,実績!$AI$6:$AI$505,"&lt;="&amp;$A78,実績!$AJ$6:$AJ$505,"&gt;"&amp;$A78,実績!$AL$6:$AL$505,"○")&gt;0,1,0))</f>
        <v>0</v>
      </c>
      <c r="AG78" s="39" t="n">
        <f aca="false">IF(AG$4=0,0,IF(COUNTIFS(実績!$W$6:$W$505,AG$3,実績!$AI$6:$AI$505,"&lt;="&amp;$A78,実績!$AJ$6:$AJ$505,"&gt;"&amp;$A78,実績!$AL$6:$AL$505,"○")&gt;0,1,0))</f>
        <v>0</v>
      </c>
      <c r="AH78" s="39" t="n">
        <f aca="false">IF(AH$4=0,0,IF(COUNTIFS(実績!$W$6:$W$505,AH$3,実績!$AI$6:$AI$505,"&lt;="&amp;$A78,実績!$AJ$6:$AJ$505,"&gt;"&amp;$A78,実績!$AL$6:$AL$505,"○")&gt;0,1,0))</f>
        <v>0</v>
      </c>
      <c r="AI78" s="39" t="n">
        <f aca="false">IF(AI$4=0,0,IF(COUNTIFS(実績!$W$6:$W$505,AI$3,実績!$AI$6:$AI$505,"&lt;="&amp;$A78,実績!$AJ$6:$AJ$505,"&gt;"&amp;$A78,実績!$AL$6:$AL$505,"○")&gt;0,1,0))</f>
        <v>0</v>
      </c>
      <c r="AJ78" s="39" t="n">
        <f aca="false">IF(AJ$4=0,0,IF(COUNTIFS(実績!$W$6:$W$505,AJ$3,実績!$AI$6:$AI$505,"&lt;="&amp;$A78,実績!$AJ$6:$AJ$505,"&gt;"&amp;$A78,実績!$AL$6:$AL$505,"○")&gt;0,1,0))</f>
        <v>0</v>
      </c>
      <c r="AK78" s="39" t="n">
        <f aca="false">IF(AK$4=0,0,IF(COUNTIFS(実績!$W$6:$W$505,AK$3,実績!$AI$6:$AI$505,"&lt;="&amp;$A78,実績!$AJ$6:$AJ$505,"&gt;"&amp;$A78,実績!$AL$6:$AL$505,"○")&gt;0,1,0))</f>
        <v>0</v>
      </c>
      <c r="AL78" s="39" t="n">
        <f aca="false">IF(AL$4=0,0,IF(COUNTIFS(実績!$W$6:$W$505,AL$3,実績!$AI$6:$AI$505,"&lt;="&amp;$A78,実績!$AJ$6:$AJ$505,"&gt;"&amp;$A78,実績!$AL$6:$AL$505,"○")&gt;0,1,0))</f>
        <v>0</v>
      </c>
      <c r="AM78" s="39" t="n">
        <f aca="false">IF(AM$4=0,0,IF(COUNTIFS(実績!$W$6:$W$505,AM$3,実績!$AI$6:$AI$505,"&lt;="&amp;$A78,実績!$AJ$6:$AJ$505,"&gt;"&amp;$A78,実績!$AL$6:$AL$505,"○")&gt;0,1,0))</f>
        <v>0</v>
      </c>
      <c r="AN78" s="39" t="n">
        <f aca="false">IF(AN$4=0,0,IF(COUNTIFS(実績!$W$6:$W$505,AN$3,実績!$AI$6:$AI$505,"&lt;="&amp;$A78,実績!$AJ$6:$AJ$505,"&gt;"&amp;$A78,実績!$AL$6:$AL$505,"○")&gt;0,1,0))</f>
        <v>0</v>
      </c>
      <c r="AO78" s="39" t="n">
        <f aca="false">IF(AO$4=0,0,IF(COUNTIFS(実績!$W$6:$W$505,AO$3,実績!$AI$6:$AI$505,"&lt;="&amp;$A78,実績!$AJ$6:$AJ$505,"&gt;"&amp;$A78,実績!$AL$6:$AL$505,"○")&gt;0,1,0))</f>
        <v>0</v>
      </c>
      <c r="AP78" s="39" t="n">
        <f aca="false">IF(AP$4=0,0,IF(COUNTIFS(実績!$W$6:$W$505,AP$3,実績!$AI$6:$AI$505,"&lt;="&amp;$A78,実績!$AJ$6:$AJ$505,"&gt;"&amp;$A78,実績!$AL$6:$AL$505,"○")&gt;0,1,0))</f>
        <v>0</v>
      </c>
      <c r="AQ78" s="39" t="n">
        <f aca="false">IF(AQ$4=0,0,IF(COUNTIFS(実績!$W$6:$W$505,AQ$3,実績!$AI$6:$AI$505,"&lt;="&amp;$A78,実績!$AJ$6:$AJ$505,"&gt;"&amp;$A78,実績!$AL$6:$AL$505,"○")&gt;0,1,0))</f>
        <v>0</v>
      </c>
      <c r="AR78" s="39" t="n">
        <f aca="false">IF(AR$4=0,0,IF(COUNTIFS(実績!$W$6:$W$505,AR$3,実績!$AI$6:$AI$505,"&lt;="&amp;$A78,実績!$AJ$6:$AJ$505,"&gt;"&amp;$A78,実績!$AL$6:$AL$505,"○")&gt;0,1,0))</f>
        <v>0</v>
      </c>
      <c r="AS78" s="39" t="n">
        <f aca="false">IF(AS$4=0,0,IF(COUNTIFS(実績!$W$6:$W$505,AS$3,実績!$AI$6:$AI$505,"&lt;="&amp;$A78,実績!$AJ$6:$AJ$505,"&gt;"&amp;$A78,実績!$AL$6:$AL$505,"○")&gt;0,1,0))</f>
        <v>0</v>
      </c>
      <c r="AT78" s="39" t="n">
        <f aca="false">IF(AT$4=0,0,IF(COUNTIFS(実績!$W$6:$W$505,AT$3,実績!$AI$6:$AI$505,"&lt;="&amp;$A78,実績!$AJ$6:$AJ$505,"&gt;"&amp;$A78,実績!$AL$6:$AL$505,"○")&gt;0,1,0))</f>
        <v>0</v>
      </c>
      <c r="AU78" s="39" t="n">
        <f aca="false">IF(AU$4=0,0,IF(COUNTIFS(実績!$W$6:$W$505,AU$3,実績!$AI$6:$AI$505,"&lt;="&amp;$A78,実績!$AJ$6:$AJ$505,"&gt;"&amp;$A78,実績!$AL$6:$AL$505,"○")&gt;0,1,0))</f>
        <v>0</v>
      </c>
      <c r="AV78" s="39" t="n">
        <f aca="false">IF(AV$4=0,0,IF(COUNTIFS(実績!$W$6:$W$505,AV$3,実績!$AI$6:$AI$505,"&lt;="&amp;$A78,実績!$AJ$6:$AJ$505,"&gt;"&amp;$A78,実績!$AL$6:$AL$505,"○")&gt;0,1,0))</f>
        <v>0</v>
      </c>
      <c r="AW78" s="39" t="n">
        <f aca="false">IF(AW$4=0,0,IF(COUNTIFS(実績!$W$6:$W$505,AW$3,実績!$AI$6:$AI$505,"&lt;="&amp;$A78,実績!$AJ$6:$AJ$505,"&gt;"&amp;$A78,実績!$AL$6:$AL$505,"○")&gt;0,1,0))</f>
        <v>0</v>
      </c>
      <c r="AX78" s="39" t="n">
        <f aca="false">IF(AX$4=0,0,IF(COUNTIFS(実績!$W$6:$W$505,AX$3,実績!$AI$6:$AI$505,"&lt;="&amp;$A78,実績!$AJ$6:$AJ$505,"&gt;"&amp;$A78,実績!$AL$6:$AL$505,"○")&gt;0,1,0))</f>
        <v>0</v>
      </c>
      <c r="AY78" s="39" t="n">
        <f aca="false">IF(AY$4=0,0,IF(COUNTIFS(実績!$W$6:$W$505,AY$3,実績!$AI$6:$AI$505,"&lt;="&amp;$A78,実績!$AJ$6:$AJ$505,"&gt;"&amp;$A78,実績!$AL$6:$AL$505,"○")&gt;0,1,0))</f>
        <v>0</v>
      </c>
      <c r="AZ78" s="39" t="n">
        <f aca="false">IF(AZ$4=0,0,IF(COUNTIFS(実績!$W$6:$W$505,AZ$3,実績!$AI$6:$AI$505,"&lt;="&amp;$A78,実績!$AJ$6:$AJ$505,"&gt;"&amp;$A78,実績!$AL$6:$AL$505,"○")&gt;0,1,0))</f>
        <v>0</v>
      </c>
      <c r="BA78" s="39" t="n">
        <f aca="false">IF(BA$4=0,0,IF(COUNTIFS(実績!$W$6:$W$505,BA$3,実績!$AI$6:$AI$505,"&lt;="&amp;$A78,実績!$AJ$6:$AJ$505,"&gt;"&amp;$A78,実績!$AL$6:$AL$505,"○")&gt;0,1,0))</f>
        <v>0</v>
      </c>
      <c r="BB78" s="39" t="n">
        <f aca="false">IF(BB$4=0,0,IF(COUNTIFS(実績!$W$6:$W$505,BB$3,実績!$AI$6:$AI$505,"&lt;="&amp;$A78,実績!$AJ$6:$AJ$505,"&gt;"&amp;$A78,実績!$AL$6:$AL$505,"○")&gt;0,1,0))</f>
        <v>0</v>
      </c>
      <c r="BC78" s="39" t="n">
        <f aca="false">IF(BC$4=0,0,IF(COUNTIFS(実績!$W$6:$W$505,BC$3,実績!$AI$6:$AI$505,"&lt;="&amp;$A78,実績!$AJ$6:$AJ$505,"&gt;"&amp;$A78,実績!$AL$6:$AL$505,"○")&gt;0,1,0))</f>
        <v>0</v>
      </c>
      <c r="BD78" s="39" t="n">
        <f aca="false">IF(BD$4=0,0,IF(COUNTIFS(実績!$W$6:$W$505,BD$3,実績!$AI$6:$AI$505,"&lt;="&amp;$A78,実績!$AJ$6:$AJ$505,"&gt;"&amp;$A78,実績!$AL$6:$AL$505,"○")&gt;0,1,0))</f>
        <v>0</v>
      </c>
      <c r="BE78" s="39" t="n">
        <f aca="false">IF(BE$4=0,0,IF(COUNTIFS(実績!$W$6:$W$505,BE$3,実績!$AI$6:$AI$505,"&lt;="&amp;$A78,実績!$AJ$6:$AJ$505,"&gt;"&amp;$A78,実績!$AL$6:$AL$505,"○")&gt;0,1,0))</f>
        <v>0</v>
      </c>
      <c r="BF78" s="39" t="n">
        <f aca="false">IF(BF$4=0,0,IF(COUNTIFS(実績!$W$6:$W$505,BF$3,実績!$AI$6:$AI$505,"&lt;="&amp;$A78,実績!$AJ$6:$AJ$505,"&gt;"&amp;$A78,実績!$AL$6:$AL$505,"○")&gt;0,1,0))</f>
        <v>0</v>
      </c>
      <c r="BG78" s="39" t="n">
        <f aca="false">IF(BG$4=0,0,IF(COUNTIFS(実績!$W$6:$W$505,BG$3,実績!$AI$6:$AI$505,"&lt;="&amp;$A78,実績!$AJ$6:$AJ$505,"&gt;"&amp;$A78,実績!$AL$6:$AL$505,"○")&gt;0,1,0))</f>
        <v>0</v>
      </c>
      <c r="BH78" s="39" t="n">
        <f aca="false">IF(BH$4=0,0,IF(COUNTIFS(実績!$W$6:$W$505,BH$3,実績!$AI$6:$AI$505,"&lt;="&amp;$A78,実績!$AJ$6:$AJ$505,"&gt;"&amp;$A78,実績!$AL$6:$AL$505,"○")&gt;0,1,0))</f>
        <v>0</v>
      </c>
      <c r="BI78" s="39" t="n">
        <f aca="false">IF(BI$4=0,0,IF(COUNTIFS(実績!$W$6:$W$505,BI$3,実績!$AI$6:$AI$505,"&lt;="&amp;$A78,実績!$AJ$6:$AJ$505,"&gt;"&amp;$A78,実績!$AL$6:$AL$505,"○")&gt;0,1,0))</f>
        <v>0</v>
      </c>
      <c r="BJ78" s="39" t="n">
        <f aca="false">IF(BJ$4=0,0,IF(COUNTIFS(実績!$W$6:$W$505,BJ$3,実績!$AI$6:$AI$505,"&lt;="&amp;$A78,実績!$AJ$6:$AJ$505,"&gt;"&amp;$A78,実績!$AL$6:$AL$505,"○")&gt;0,1,0))</f>
        <v>0</v>
      </c>
      <c r="BK78" s="39" t="n">
        <f aca="false">IF(BK$4=0,0,IF(COUNTIFS(実績!$W$6:$W$505,BK$3,実績!$AI$6:$AI$505,"&lt;="&amp;$A78,実績!$AJ$6:$AJ$505,"&gt;"&amp;$A78,実績!$AL$6:$AL$505,"○")&gt;0,1,0))</f>
        <v>0</v>
      </c>
      <c r="BL78" s="39" t="n">
        <f aca="false">IF(BL$4=0,0,IF(COUNTIFS(実績!$W$6:$W$505,BL$3,実績!$AI$6:$AI$505,"&lt;="&amp;$A78,実績!$AJ$6:$AJ$505,"&gt;"&amp;$A78,実績!$AL$6:$AL$505,"○")&gt;0,1,0))</f>
        <v>0</v>
      </c>
      <c r="BM78" s="39" t="n">
        <f aca="false">IF(BM$4=0,0,IF(COUNTIFS(実績!$W$6:$W$505,BM$3,実績!$AI$6:$AI$505,"&lt;="&amp;$A78,実績!$AJ$6:$AJ$505,"&gt;"&amp;$A78,実績!$AL$6:$AL$505,"○")&gt;0,1,0))</f>
        <v>0</v>
      </c>
      <c r="BN78" s="39" t="n">
        <f aca="false">IF(BN$4=0,0,IF(COUNTIFS(実績!$W$6:$W$505,BN$3,実績!$AI$6:$AI$505,"&lt;="&amp;$A78,実績!$AJ$6:$AJ$505,"&gt;"&amp;$A78,実績!$AL$6:$AL$505,"○")&gt;0,1,0))</f>
        <v>0</v>
      </c>
      <c r="BO78" s="39" t="n">
        <f aca="false">IF(BO$4=0,0,IF(COUNTIFS(実績!$W$6:$W$505,BO$3,実績!$AI$6:$AI$505,"&lt;="&amp;$A78,実績!$AJ$6:$AJ$505,"&gt;"&amp;$A78,実績!$AL$6:$AL$505,"○")&gt;0,1,0))</f>
        <v>0</v>
      </c>
      <c r="BP78" s="39" t="n">
        <f aca="false">IF(BP$4=0,0,IF(COUNTIFS(実績!$W$6:$W$505,BP$3,実績!$AI$6:$AI$505,"&lt;="&amp;$A78,実績!$AJ$6:$AJ$505,"&gt;"&amp;$A78,実績!$AL$6:$AL$505,"○")&gt;0,1,0))</f>
        <v>0</v>
      </c>
      <c r="BQ78" s="39" t="n">
        <f aca="false">IF(BQ$4=0,0,IF(COUNTIFS(実績!$W$6:$W$505,BQ$3,実績!$AI$6:$AI$505,"&lt;="&amp;$A78,実績!$AJ$6:$AJ$505,"&gt;"&amp;$A78,実績!$AL$6:$AL$505,"○")&gt;0,1,0))</f>
        <v>0</v>
      </c>
      <c r="BR78" s="39" t="n">
        <f aca="false">IF(BR$4=0,0,IF(COUNTIFS(実績!$W$6:$W$505,BR$3,実績!$AI$6:$AI$505,"&lt;="&amp;$A78,実績!$AJ$6:$AJ$505,"&gt;"&amp;$A78,実績!$AL$6:$AL$505,"○")&gt;0,1,0))</f>
        <v>0</v>
      </c>
      <c r="BS78" s="39" t="n">
        <f aca="false">IF(BS$4=0,0,IF(COUNTIFS(実績!$W$6:$W$505,BS$3,実績!$AI$6:$AI$505,"&lt;="&amp;$A78,実績!$AJ$6:$AJ$505,"&gt;"&amp;$A78,実績!$AL$6:$AL$505,"○")&gt;0,1,0))</f>
        <v>0</v>
      </c>
      <c r="BT78" s="39" t="n">
        <f aca="false">IF(BT$4=0,0,IF(COUNTIFS(実績!$W$6:$W$505,BT$3,実績!$AI$6:$AI$505,"&lt;="&amp;$A78,実績!$AJ$6:$AJ$505,"&gt;"&amp;$A78,実績!$AL$6:$AL$505,"○")&gt;0,1,0))</f>
        <v>0</v>
      </c>
      <c r="BU78" s="39" t="n">
        <f aca="false">IF(BU$4=0,0,IF(COUNTIFS(実績!$W$6:$W$505,BU$3,実績!$AI$6:$AI$505,"&lt;="&amp;$A78,実績!$AJ$6:$AJ$505,"&gt;"&amp;$A78,実績!$AL$6:$AL$505,"○")&gt;0,1,0))</f>
        <v>0</v>
      </c>
      <c r="BV78" s="39" t="n">
        <f aca="false">IF(BV$4=0,0,IF(COUNTIFS(実績!$W$6:$W$505,BV$3,実績!$AI$6:$AI$505,"&lt;="&amp;$A78,実績!$AJ$6:$AJ$505,"&gt;"&amp;$A78,実績!$AL$6:$AL$505,"○")&gt;0,1,0))</f>
        <v>0</v>
      </c>
      <c r="BW78" s="39" t="n">
        <f aca="false">IF(BW$4=0,0,IF(COUNTIFS(実績!$W$6:$W$505,BW$3,実績!$AI$6:$AI$505,"&lt;="&amp;$A78,実績!$AJ$6:$AJ$505,"&gt;"&amp;$A78,実績!$AL$6:$AL$505,"○")&gt;0,1,0))</f>
        <v>0</v>
      </c>
      <c r="BX78" s="39" t="n">
        <f aca="false">IF(BX$4=0,0,IF(COUNTIFS(実績!$W$6:$W$505,BX$3,実績!$AI$6:$AI$505,"&lt;="&amp;$A78,実績!$AJ$6:$AJ$505,"&gt;"&amp;$A78,実績!$AL$6:$AL$505,"○")&gt;0,1,0))</f>
        <v>0</v>
      </c>
      <c r="BY78" s="39" t="n">
        <f aca="false">IF(BY$4=0,0,IF(COUNTIFS(実績!$W$6:$W$505,BY$3,実績!$AI$6:$AI$505,"&lt;="&amp;$A78,実績!$AJ$6:$AJ$505,"&gt;"&amp;$A78,実績!$AL$6:$AL$505,"○")&gt;0,1,0))</f>
        <v>0</v>
      </c>
      <c r="BZ78" s="39" t="n">
        <f aca="false">IF(BZ$4=0,0,IF(COUNTIFS(実績!$W$6:$W$505,BZ$3,実績!$AI$6:$AI$505,"&lt;="&amp;$A78,実績!$AJ$6:$AJ$505,"&gt;"&amp;$A78,実績!$AL$6:$AL$505,"○")&gt;0,1,0))</f>
        <v>0</v>
      </c>
      <c r="CA78" s="39" t="n">
        <f aca="false">IF(CA$4=0,0,IF(COUNTIFS(実績!$W$6:$W$505,CA$3,実績!$AI$6:$AI$505,"&lt;="&amp;$A78,実績!$AJ$6:$AJ$505,"&gt;"&amp;$A78,実績!$AL$6:$AL$505,"○")&gt;0,1,0))</f>
        <v>0</v>
      </c>
      <c r="CB78" s="39" t="n">
        <f aca="false">IF(CB$4=0,0,IF(COUNTIFS(実績!$W$6:$W$505,CB$3,実績!$AI$6:$AI$505,"&lt;="&amp;$A78,実績!$AJ$6:$AJ$505,"&gt;"&amp;$A78,実績!$AL$6:$AL$505,"○")&gt;0,1,0))</f>
        <v>0</v>
      </c>
      <c r="CC78" s="39" t="n">
        <f aca="false">IF(CC$4=0,0,IF(COUNTIFS(実績!$W$6:$W$505,CC$3,実績!$AI$6:$AI$505,"&lt;="&amp;$A78,実績!$AJ$6:$AJ$505,"&gt;"&amp;$A78,実績!$AL$6:$AL$505,"○")&gt;0,1,0))</f>
        <v>0</v>
      </c>
      <c r="CD78" s="39" t="n">
        <f aca="false">IF(CD$4=0,0,IF(COUNTIFS(実績!$W$6:$W$505,CD$3,実績!$AI$6:$AI$505,"&lt;="&amp;$A78,実績!$AJ$6:$AJ$505,"&gt;"&amp;$A78,実績!$AL$6:$AL$505,"○")&gt;0,1,0))</f>
        <v>0</v>
      </c>
      <c r="CE78" s="39" t="n">
        <f aca="false">IF(CE$4=0,0,IF(COUNTIFS(実績!$W$6:$W$505,CE$3,実績!$AI$6:$AI$505,"&lt;="&amp;$A78,実績!$AJ$6:$AJ$505,"&gt;"&amp;$A78,実績!$AL$6:$AL$505,"○")&gt;0,1,0))</f>
        <v>0</v>
      </c>
      <c r="CF78" s="39" t="n">
        <f aca="false">IF(CF$4=0,0,IF(COUNTIFS(実績!$W$6:$W$505,CF$3,実績!$AI$6:$AI$505,"&lt;="&amp;$A78,実績!$AJ$6:$AJ$505,"&gt;"&amp;$A78,実績!$AL$6:$AL$505,"○")&gt;0,1,0))</f>
        <v>0</v>
      </c>
      <c r="CG78" s="39" t="n">
        <f aca="false">IF(CG$4=0,0,IF(COUNTIFS(実績!$W$6:$W$505,CG$3,実績!$AI$6:$AI$505,"&lt;="&amp;$A78,実績!$AJ$6:$AJ$505,"&gt;"&amp;$A78,実績!$AL$6:$AL$505,"○")&gt;0,1,0))</f>
        <v>0</v>
      </c>
      <c r="CH78" s="39" t="n">
        <f aca="false">IF(CH$4=0,0,IF(COUNTIFS(実績!$W$6:$W$505,CH$3,実績!$AI$6:$AI$505,"&lt;="&amp;$A78,実績!$AJ$6:$AJ$505,"&gt;"&amp;$A78,実績!$AL$6:$AL$505,"○")&gt;0,1,0))</f>
        <v>0</v>
      </c>
      <c r="CI78" s="39" t="n">
        <f aca="false">IF(CI$4=0,0,IF(COUNTIFS(実績!$W$6:$W$505,CI$3,実績!$AI$6:$AI$505,"&lt;="&amp;$A78,実績!$AJ$6:$AJ$505,"&gt;"&amp;$A78,実績!$AL$6:$AL$505,"○")&gt;0,1,0))</f>
        <v>0</v>
      </c>
      <c r="CJ78" s="39" t="n">
        <f aca="false">IF(CJ$4=0,0,IF(COUNTIFS(実績!$W$6:$W$505,CJ$3,実績!$AI$6:$AI$505,"&lt;="&amp;$A78,実績!$AJ$6:$AJ$505,"&gt;"&amp;$A78,実績!$AL$6:$AL$505,"○")&gt;0,1,0))</f>
        <v>0</v>
      </c>
      <c r="CK78" s="39" t="n">
        <f aca="false">IF(CK$4=0,0,IF(COUNTIFS(実績!$W$6:$W$505,CK$3,実績!$AI$6:$AI$505,"&lt;="&amp;$A78,実績!$AJ$6:$AJ$505,"&gt;"&amp;$A78,実績!$AL$6:$AL$505,"○")&gt;0,1,0))</f>
        <v>0</v>
      </c>
      <c r="CL78" s="39" t="n">
        <f aca="false">IF(CL$4=0,0,IF(COUNTIFS(実績!$W$6:$W$505,CL$3,実績!$AI$6:$AI$505,"&lt;="&amp;$A78,実績!$AJ$6:$AJ$505,"&gt;"&amp;$A78,実績!$AL$6:$AL$505,"○")&gt;0,1,0))</f>
        <v>0</v>
      </c>
      <c r="CM78" s="39" t="n">
        <f aca="false">IF(CM$4=0,0,IF(COUNTIFS(実績!$W$6:$W$505,CM$3,実績!$AI$6:$AI$505,"&lt;="&amp;$A78,実績!$AJ$6:$AJ$505,"&gt;"&amp;$A78,実績!$AL$6:$AL$505,"○")&gt;0,1,0))</f>
        <v>0</v>
      </c>
      <c r="CN78" s="39" t="n">
        <f aca="false">IF(CN$4=0,0,IF(COUNTIFS(実績!$W$6:$W$505,CN$3,実績!$AI$6:$AI$505,"&lt;="&amp;$A78,実績!$AJ$6:$AJ$505,"&gt;"&amp;$A78,実績!$AL$6:$AL$505,"○")&gt;0,1,0))</f>
        <v>0</v>
      </c>
      <c r="CO78" s="39" t="n">
        <f aca="false">IF(CO$4=0,0,IF(COUNTIFS(実績!$W$6:$W$505,CO$3,実績!$AI$6:$AI$505,"&lt;="&amp;$A78,実績!$AJ$6:$AJ$505,"&gt;"&amp;$A78,実績!$AL$6:$AL$505,"○")&gt;0,1,0))</f>
        <v>0</v>
      </c>
      <c r="CP78" s="39" t="n">
        <f aca="false">IF(CP$4=0,0,IF(COUNTIFS(実績!$W$6:$W$505,CP$3,実績!$AI$6:$AI$505,"&lt;="&amp;$A78,実績!$AJ$6:$AJ$505,"&gt;"&amp;$A78,実績!$AL$6:$AL$505,"○")&gt;0,1,0))</f>
        <v>0</v>
      </c>
      <c r="CQ78" s="39" t="n">
        <f aca="false">IF(CQ$4=0,0,IF(COUNTIFS(実績!$W$6:$W$505,CQ$3,実績!$AI$6:$AI$505,"&lt;="&amp;$A78,実績!$AJ$6:$AJ$505,"&gt;"&amp;$A78,実績!$AL$6:$AL$505,"○")&gt;0,1,0))</f>
        <v>0</v>
      </c>
      <c r="CR78" s="39" t="n">
        <f aca="false">IF(CR$4=0,0,IF(COUNTIFS(実績!$W$6:$W$505,CR$3,実績!$AI$6:$AI$505,"&lt;="&amp;$A78,実績!$AJ$6:$AJ$505,"&gt;"&amp;$A78,実績!$AL$6:$AL$505,"○")&gt;0,1,0))</f>
        <v>0</v>
      </c>
      <c r="CS78" s="39" t="n">
        <f aca="false">IF(CS$4=0,0,IF(COUNTIFS(実績!$W$6:$W$505,CS$3,実績!$AI$6:$AI$505,"&lt;="&amp;$A78,実績!$AJ$6:$AJ$505,"&gt;"&amp;$A78,実績!$AL$6:$AL$505,"○")&gt;0,1,0))</f>
        <v>0</v>
      </c>
      <c r="CT78" s="39" t="n">
        <f aca="false">IF(CT$4=0,0,IF(COUNTIFS(実績!$W$6:$W$505,CT$3,実績!$AI$6:$AI$505,"&lt;="&amp;$A78,実績!$AJ$6:$AJ$505,"&gt;"&amp;$A78,実績!$AL$6:$AL$505,"○")&gt;0,1,0))</f>
        <v>0</v>
      </c>
      <c r="CU78" s="39" t="n">
        <f aca="false">IF(CU$4=0,0,IF(COUNTIFS(実績!$W$6:$W$505,CU$3,実績!$AI$6:$AI$505,"&lt;="&amp;$A78,実績!$AJ$6:$AJ$505,"&gt;"&amp;$A78,実績!$AL$6:$AL$505,"○")&gt;0,1,0))</f>
        <v>0</v>
      </c>
      <c r="CV78" s="39" t="n">
        <f aca="false">IF(CV$4=0,0,IF(COUNTIFS(実績!$W$6:$W$505,CV$3,実績!$AI$6:$AI$505,"&lt;="&amp;$A78,実績!$AJ$6:$AJ$505,"&gt;"&amp;$A78,実績!$AL$6:$AL$505,"○")&gt;0,1,0))</f>
        <v>0</v>
      </c>
      <c r="CW78" s="39" t="n">
        <f aca="false">IF(CW$4=0,0,IF(COUNTIFS(実績!$W$6:$W$505,CW$3,実績!$AI$6:$AI$505,"&lt;="&amp;$A78,実績!$AJ$6:$AJ$505,"&gt;"&amp;$A78,実績!$AL$6:$AL$505,"○")&gt;0,1,0))</f>
        <v>0</v>
      </c>
      <c r="CX78" s="39" t="n">
        <f aca="false">IF(CX$4=0,0,IF(COUNTIFS(実績!$W$6:$W$505,CX$3,実績!$AI$6:$AI$505,"&lt;="&amp;$A78,実績!$AJ$6:$AJ$505,"&gt;"&amp;$A78,実績!$AL$6:$AL$505,"○")&gt;0,1,0))</f>
        <v>0</v>
      </c>
      <c r="CY78" s="39" t="n">
        <f aca="false">IF(CY$4=0,0,IF(COUNTIFS(実績!$W$6:$W$505,CY$3,実績!$AI$6:$AI$505,"&lt;="&amp;$A78,実績!$AJ$6:$AJ$505,"&gt;"&amp;$A78,実績!$AL$6:$AL$505,"○")&gt;0,1,0))</f>
        <v>0</v>
      </c>
      <c r="CZ78" s="39" t="n">
        <f aca="false">IF(CZ$4=0,0,IF(COUNTIFS(実績!$W$6:$W$505,CZ$3,実績!$AI$6:$AI$505,"&lt;="&amp;$A78,実績!$AJ$6:$AJ$505,"&gt;"&amp;$A78,実績!$AL$6:$AL$505,"○")&gt;0,1,0))</f>
        <v>0</v>
      </c>
      <c r="DA78" s="39" t="n">
        <f aca="false">IF(DA$4=0,0,IF(COUNTIFS(実績!$W$6:$W$505,DA$3,実績!$AI$6:$AI$505,"&lt;="&amp;$A78,実績!$AJ$6:$AJ$505,"&gt;"&amp;$A78,実績!$AL$6:$AL$505,"○")&gt;0,1,0))</f>
        <v>0</v>
      </c>
      <c r="DB78" s="39" t="n">
        <f aca="false">IF(DB$4=0,0,IF(COUNTIFS(実績!$W$6:$W$505,DB$3,実績!$AI$6:$AI$505,"&lt;="&amp;$A78,実績!$AJ$6:$AJ$505,"&gt;"&amp;$A78,実績!$AL$6:$AL$505,"○")&gt;0,1,0))</f>
        <v>0</v>
      </c>
      <c r="DC78" s="39" t="n">
        <f aca="false">IF(DC$4=0,0,IF(COUNTIFS(実績!$W$6:$W$505,DC$3,実績!$AI$6:$AI$505,"&lt;="&amp;$A78,実績!$AJ$6:$AJ$505,"&gt;"&amp;$A78,実績!$AL$6:$AL$505,"○")&gt;0,1,0))</f>
        <v>0</v>
      </c>
      <c r="DD78" s="39" t="n">
        <f aca="false">IF(DD$4=0,0,IF(COUNTIFS(実績!$W$6:$W$505,DD$3,実績!$AI$6:$AI$505,"&lt;="&amp;$A78,実績!$AJ$6:$AJ$505,"&gt;"&amp;$A78,実績!$AL$6:$AL$505,"○")&gt;0,1,0))</f>
        <v>0</v>
      </c>
      <c r="DE78" s="39" t="n">
        <f aca="false">IF(DE$4=0,0,IF(COUNTIFS(実績!$W$6:$W$505,DE$3,実績!$AI$6:$AI$505,"&lt;="&amp;$A78,実績!$AJ$6:$AJ$505,"&gt;"&amp;$A78,実績!$AL$6:$AL$505,"○")&gt;0,1,0))</f>
        <v>0</v>
      </c>
      <c r="DF78" s="39" t="n">
        <f aca="false">IF(DF$4=0,0,IF(COUNTIFS(実績!$W$6:$W$505,DF$3,実績!$AI$6:$AI$505,"&lt;="&amp;$A78,実績!$AJ$6:$AJ$505,"&gt;"&amp;$A78,実績!$AL$6:$AL$505,"○")&gt;0,1,0))</f>
        <v>0</v>
      </c>
      <c r="DG78" s="39" t="n">
        <f aca="false">IF(DG$4=0,0,IF(COUNTIFS(実績!$W$6:$W$505,DG$3,実績!$AI$6:$AI$505,"&lt;="&amp;$A78,実績!$AJ$6:$AJ$505,"&gt;"&amp;$A78,実績!$AL$6:$AL$505,"○")&gt;0,1,0))</f>
        <v>0</v>
      </c>
      <c r="DH78" s="39" t="n">
        <f aca="false">IF(DH$4=0,0,IF(COUNTIFS(実績!$W$6:$W$505,DH$3,実績!$AI$6:$AI$505,"&lt;="&amp;$A78,実績!$AJ$6:$AJ$505,"&gt;"&amp;$A78,実績!$AL$6:$AL$505,"○")&gt;0,1,0))</f>
        <v>0</v>
      </c>
      <c r="DI78" s="39" t="n">
        <f aca="false">IF(DI$4=0,0,IF(COUNTIFS(実績!$W$6:$W$505,DI$3,実績!$AI$6:$AI$505,"&lt;="&amp;$A78,実績!$AJ$6:$AJ$505,"&gt;"&amp;$A78,実績!$AL$6:$AL$505,"○")&gt;0,1,0))</f>
        <v>0</v>
      </c>
      <c r="DJ78" s="39" t="n">
        <f aca="false">IF(DJ$4=0,0,IF(COUNTIFS(実績!$W$6:$W$505,DJ$3,実績!$AI$6:$AI$505,"&lt;="&amp;$A78,実績!$AJ$6:$AJ$505,"&gt;"&amp;$A78,実績!$AL$6:$AL$505,"○")&gt;0,1,0))</f>
        <v>0</v>
      </c>
      <c r="DK78" s="39" t="n">
        <f aca="false">IF(DK$4=0,0,IF(COUNTIFS(実績!$W$6:$W$505,DK$3,実績!$AI$6:$AI$505,"&lt;="&amp;$A78,実績!$AJ$6:$AJ$505,"&gt;"&amp;$A78,実績!$AL$6:$AL$505,"○")&gt;0,1,0))</f>
        <v>0</v>
      </c>
      <c r="DL78" s="39" t="n">
        <f aca="false">IF(DL$4=0,0,IF(COUNTIFS(実績!$W$6:$W$505,DL$3,実績!$AI$6:$AI$505,"&lt;="&amp;$A78,実績!$AJ$6:$AJ$505,"&gt;"&amp;$A78,実績!$AL$6:$AL$505,"○")&gt;0,1,0))</f>
        <v>0</v>
      </c>
      <c r="DM78" s="39" t="n">
        <f aca="false">IF(DM$4=0,0,IF(COUNTIFS(実績!$W$6:$W$505,DM$3,実績!$AI$6:$AI$505,"&lt;="&amp;$A78,実績!$AJ$6:$AJ$505,"&gt;"&amp;$A78,実績!$AL$6:$AL$505,"○")&gt;0,1,0))</f>
        <v>0</v>
      </c>
      <c r="DN78" s="39" t="n">
        <f aca="false">IF(DN$4=0,0,IF(COUNTIFS(実績!$W$6:$W$505,DN$3,実績!$AI$6:$AI$505,"&lt;="&amp;$A78,実績!$AJ$6:$AJ$505,"&gt;"&amp;$A78,実績!$AL$6:$AL$505,"○")&gt;0,1,0))</f>
        <v>0</v>
      </c>
      <c r="DO78" s="39" t="n">
        <f aca="false">IF(DO$4=0,0,IF(COUNTIFS(実績!$W$6:$W$505,DO$3,実績!$AI$6:$AI$505,"&lt;="&amp;$A78,実績!$AJ$6:$AJ$505,"&gt;"&amp;$A78,実績!$AL$6:$AL$505,"○")&gt;0,1,0))</f>
        <v>0</v>
      </c>
      <c r="DP78" s="39" t="n">
        <f aca="false">IF(DP$4=0,0,IF(COUNTIFS(実績!$W$6:$W$505,DP$3,実績!$AI$6:$AI$505,"&lt;="&amp;$A78,実績!$AJ$6:$AJ$505,"&gt;"&amp;$A78,実績!$AL$6:$AL$505,"○")&gt;0,1,0))</f>
        <v>0</v>
      </c>
      <c r="DQ78" s="39" t="n">
        <f aca="false">IF(DQ$4=0,0,IF(COUNTIFS(実績!$W$6:$W$505,DQ$3,実績!$AI$6:$AI$505,"&lt;="&amp;$A78,実績!$AJ$6:$AJ$505,"&gt;"&amp;$A78,実績!$AL$6:$AL$505,"○")&gt;0,1,0))</f>
        <v>0</v>
      </c>
      <c r="DR78" s="39" t="n">
        <f aca="false">IF(DR$4=0,0,IF(COUNTIFS(実績!$W$6:$W$505,DR$3,実績!$AI$6:$AI$505,"&lt;="&amp;$A78,実績!$AJ$6:$AJ$505,"&gt;"&amp;$A78,実績!$AL$6:$AL$505,"○")&gt;0,1,0))</f>
        <v>0</v>
      </c>
      <c r="DS78" s="39" t="n">
        <f aca="false">SUM(C78:DR78)</f>
        <v>0</v>
      </c>
    </row>
    <row r="79" customFormat="false" ht="15" hidden="false" customHeight="false" outlineLevel="0" collapsed="false">
      <c r="A79" s="0" t="n">
        <v>365</v>
      </c>
      <c r="B79" s="38" t="n">
        <f aca="false">A79/1440</f>
        <v>0.253472222222222</v>
      </c>
      <c r="C79" s="39" t="n">
        <f aca="false">IF(C$4=0,0,IF(COUNTIFS(実績!$W$6:$W$505,C$3,実績!$AI$6:$AI$505,"&lt;="&amp;$A79,実績!$AJ$6:$AJ$505,"&gt;"&amp;$A79,実績!$AL$6:$AL$505,"○")&gt;0,1,0))</f>
        <v>0</v>
      </c>
      <c r="D79" s="39" t="n">
        <f aca="false">IF(D$4=0,0,IF(COUNTIFS(実績!$W$6:$W$505,D$3,実績!$AI$6:$AI$505,"&lt;="&amp;$A79,実績!$AJ$6:$AJ$505,"&gt;"&amp;$A79,実績!$AL$6:$AL$505,"○")&gt;0,1,0))</f>
        <v>0</v>
      </c>
      <c r="E79" s="39" t="n">
        <f aca="false">IF(E$4=0,0,IF(COUNTIFS(実績!$W$6:$W$505,E$3,実績!$AI$6:$AI$505,"&lt;="&amp;$A79,実績!$AJ$6:$AJ$505,"&gt;"&amp;$A79,実績!$AL$6:$AL$505,"○")&gt;0,1,0))</f>
        <v>0</v>
      </c>
      <c r="F79" s="39" t="n">
        <f aca="false">IF(F$4=0,0,IF(COUNTIFS(実績!$W$6:$W$505,F$3,実績!$AI$6:$AI$505,"&lt;="&amp;$A79,実績!$AJ$6:$AJ$505,"&gt;"&amp;$A79,実績!$AL$6:$AL$505,"○")&gt;0,1,0))</f>
        <v>0</v>
      </c>
      <c r="G79" s="39" t="n">
        <f aca="false">IF(G$4=0,0,IF(COUNTIFS(実績!$W$6:$W$505,G$3,実績!$AI$6:$AI$505,"&lt;="&amp;$A79,実績!$AJ$6:$AJ$505,"&gt;"&amp;$A79,実績!$AL$6:$AL$505,"○")&gt;0,1,0))</f>
        <v>0</v>
      </c>
      <c r="H79" s="39" t="n">
        <f aca="false">IF(H$4=0,0,IF(COUNTIFS(実績!$W$6:$W$505,H$3,実績!$AI$6:$AI$505,"&lt;="&amp;$A79,実績!$AJ$6:$AJ$505,"&gt;"&amp;$A79,実績!$AL$6:$AL$505,"○")&gt;0,1,0))</f>
        <v>0</v>
      </c>
      <c r="I79" s="39" t="n">
        <f aca="false">IF(I$4=0,0,IF(COUNTIFS(実績!$W$6:$W$505,I$3,実績!$AI$6:$AI$505,"&lt;="&amp;$A79,実績!$AJ$6:$AJ$505,"&gt;"&amp;$A79,実績!$AL$6:$AL$505,"○")&gt;0,1,0))</f>
        <v>0</v>
      </c>
      <c r="J79" s="39" t="n">
        <f aca="false">IF(J$4=0,0,IF(COUNTIFS(実績!$W$6:$W$505,J$3,実績!$AI$6:$AI$505,"&lt;="&amp;$A79,実績!$AJ$6:$AJ$505,"&gt;"&amp;$A79,実績!$AL$6:$AL$505,"○")&gt;0,1,0))</f>
        <v>0</v>
      </c>
      <c r="K79" s="39" t="n">
        <f aca="false">IF(K$4=0,0,IF(COUNTIFS(実績!$W$6:$W$505,K$3,実績!$AI$6:$AI$505,"&lt;="&amp;$A79,実績!$AJ$6:$AJ$505,"&gt;"&amp;$A79,実績!$AL$6:$AL$505,"○")&gt;0,1,0))</f>
        <v>0</v>
      </c>
      <c r="L79" s="39" t="n">
        <f aca="false">IF(L$4=0,0,IF(COUNTIFS(実績!$W$6:$W$505,L$3,実績!$AI$6:$AI$505,"&lt;="&amp;$A79,実績!$AJ$6:$AJ$505,"&gt;"&amp;$A79,実績!$AL$6:$AL$505,"○")&gt;0,1,0))</f>
        <v>0</v>
      </c>
      <c r="M79" s="39" t="n">
        <f aca="false">IF(M$4=0,0,IF(COUNTIFS(実績!$W$6:$W$505,M$3,実績!$AI$6:$AI$505,"&lt;="&amp;$A79,実績!$AJ$6:$AJ$505,"&gt;"&amp;$A79,実績!$AL$6:$AL$505,"○")&gt;0,1,0))</f>
        <v>0</v>
      </c>
      <c r="N79" s="39" t="n">
        <f aca="false">IF(N$4=0,0,IF(COUNTIFS(実績!$W$6:$W$505,N$3,実績!$AI$6:$AI$505,"&lt;="&amp;$A79,実績!$AJ$6:$AJ$505,"&gt;"&amp;$A79,実績!$AL$6:$AL$505,"○")&gt;0,1,0))</f>
        <v>0</v>
      </c>
      <c r="O79" s="39" t="n">
        <f aca="false">IF(O$4=0,0,IF(COUNTIFS(実績!$W$6:$W$505,O$3,実績!$AI$6:$AI$505,"&lt;="&amp;$A79,実績!$AJ$6:$AJ$505,"&gt;"&amp;$A79,実績!$AL$6:$AL$505,"○")&gt;0,1,0))</f>
        <v>0</v>
      </c>
      <c r="P79" s="39" t="n">
        <f aca="false">IF(P$4=0,0,IF(COUNTIFS(実績!$W$6:$W$505,P$3,実績!$AI$6:$AI$505,"&lt;="&amp;$A79,実績!$AJ$6:$AJ$505,"&gt;"&amp;$A79,実績!$AL$6:$AL$505,"○")&gt;0,1,0))</f>
        <v>0</v>
      </c>
      <c r="Q79" s="39" t="n">
        <f aca="false">IF(Q$4=0,0,IF(COUNTIFS(実績!$W$6:$W$505,Q$3,実績!$AI$6:$AI$505,"&lt;="&amp;$A79,実績!$AJ$6:$AJ$505,"&gt;"&amp;$A79,実績!$AL$6:$AL$505,"○")&gt;0,1,0))</f>
        <v>0</v>
      </c>
      <c r="R79" s="39" t="n">
        <f aca="false">IF(R$4=0,0,IF(COUNTIFS(実績!$W$6:$W$505,R$3,実績!$AI$6:$AI$505,"&lt;="&amp;$A79,実績!$AJ$6:$AJ$505,"&gt;"&amp;$A79,実績!$AL$6:$AL$505,"○")&gt;0,1,0))</f>
        <v>0</v>
      </c>
      <c r="S79" s="39" t="n">
        <f aca="false">IF(S$4=0,0,IF(COUNTIFS(実績!$W$6:$W$505,S$3,実績!$AI$6:$AI$505,"&lt;="&amp;$A79,実績!$AJ$6:$AJ$505,"&gt;"&amp;$A79,実績!$AL$6:$AL$505,"○")&gt;0,1,0))</f>
        <v>0</v>
      </c>
      <c r="T79" s="39" t="n">
        <f aca="false">IF(T$4=0,0,IF(COUNTIFS(実績!$W$6:$W$505,T$3,実績!$AI$6:$AI$505,"&lt;="&amp;$A79,実績!$AJ$6:$AJ$505,"&gt;"&amp;$A79,実績!$AL$6:$AL$505,"○")&gt;0,1,0))</f>
        <v>0</v>
      </c>
      <c r="U79" s="39" t="n">
        <f aca="false">IF(U$4=0,0,IF(COUNTIFS(実績!$W$6:$W$505,U$3,実績!$AI$6:$AI$505,"&lt;="&amp;$A79,実績!$AJ$6:$AJ$505,"&gt;"&amp;$A79,実績!$AL$6:$AL$505,"○")&gt;0,1,0))</f>
        <v>0</v>
      </c>
      <c r="V79" s="39" t="n">
        <f aca="false">IF(V$4=0,0,IF(COUNTIFS(実績!$W$6:$W$505,V$3,実績!$AI$6:$AI$505,"&lt;="&amp;$A79,実績!$AJ$6:$AJ$505,"&gt;"&amp;$A79,実績!$AL$6:$AL$505,"○")&gt;0,1,0))</f>
        <v>0</v>
      </c>
      <c r="W79" s="39" t="n">
        <f aca="false">IF(W$4=0,0,IF(COUNTIFS(実績!$W$6:$W$505,W$3,実績!$AI$6:$AI$505,"&lt;="&amp;$A79,実績!$AJ$6:$AJ$505,"&gt;"&amp;$A79,実績!$AL$6:$AL$505,"○")&gt;0,1,0))</f>
        <v>0</v>
      </c>
      <c r="X79" s="39" t="n">
        <f aca="false">IF(X$4=0,0,IF(COUNTIFS(実績!$W$6:$W$505,X$3,実績!$AI$6:$AI$505,"&lt;="&amp;$A79,実績!$AJ$6:$AJ$505,"&gt;"&amp;$A79,実績!$AL$6:$AL$505,"○")&gt;0,1,0))</f>
        <v>0</v>
      </c>
      <c r="Y79" s="39" t="n">
        <f aca="false">IF(Y$4=0,0,IF(COUNTIFS(実績!$W$6:$W$505,Y$3,実績!$AI$6:$AI$505,"&lt;="&amp;$A79,実績!$AJ$6:$AJ$505,"&gt;"&amp;$A79,実績!$AL$6:$AL$505,"○")&gt;0,1,0))</f>
        <v>0</v>
      </c>
      <c r="Z79" s="39" t="n">
        <f aca="false">IF(Z$4=0,0,IF(COUNTIFS(実績!$W$6:$W$505,Z$3,実績!$AI$6:$AI$505,"&lt;="&amp;$A79,実績!$AJ$6:$AJ$505,"&gt;"&amp;$A79,実績!$AL$6:$AL$505,"○")&gt;0,1,0))</f>
        <v>0</v>
      </c>
      <c r="AA79" s="39" t="n">
        <f aca="false">IF(AA$4=0,0,IF(COUNTIFS(実績!$W$6:$W$505,AA$3,実績!$AI$6:$AI$505,"&lt;="&amp;$A79,実績!$AJ$6:$AJ$505,"&gt;"&amp;$A79,実績!$AL$6:$AL$505,"○")&gt;0,1,0))</f>
        <v>0</v>
      </c>
      <c r="AB79" s="39" t="n">
        <f aca="false">IF(AB$4=0,0,IF(COUNTIFS(実績!$W$6:$W$505,AB$3,実績!$AI$6:$AI$505,"&lt;="&amp;$A79,実績!$AJ$6:$AJ$505,"&gt;"&amp;$A79,実績!$AL$6:$AL$505,"○")&gt;0,1,0))</f>
        <v>0</v>
      </c>
      <c r="AC79" s="39" t="n">
        <f aca="false">IF(AC$4=0,0,IF(COUNTIFS(実績!$W$6:$W$505,AC$3,実績!$AI$6:$AI$505,"&lt;="&amp;$A79,実績!$AJ$6:$AJ$505,"&gt;"&amp;$A79,実績!$AL$6:$AL$505,"○")&gt;0,1,0))</f>
        <v>0</v>
      </c>
      <c r="AD79" s="39" t="n">
        <f aca="false">IF(AD$4=0,0,IF(COUNTIFS(実績!$W$6:$W$505,AD$3,実績!$AI$6:$AI$505,"&lt;="&amp;$A79,実績!$AJ$6:$AJ$505,"&gt;"&amp;$A79,実績!$AL$6:$AL$505,"○")&gt;0,1,0))</f>
        <v>0</v>
      </c>
      <c r="AE79" s="39" t="n">
        <f aca="false">IF(AE$4=0,0,IF(COUNTIFS(実績!$W$6:$W$505,AE$3,実績!$AI$6:$AI$505,"&lt;="&amp;$A79,実績!$AJ$6:$AJ$505,"&gt;"&amp;$A79,実績!$AL$6:$AL$505,"○")&gt;0,1,0))</f>
        <v>0</v>
      </c>
      <c r="AF79" s="39" t="n">
        <f aca="false">IF(AF$4=0,0,IF(COUNTIFS(実績!$W$6:$W$505,AF$3,実績!$AI$6:$AI$505,"&lt;="&amp;$A79,実績!$AJ$6:$AJ$505,"&gt;"&amp;$A79,実績!$AL$6:$AL$505,"○")&gt;0,1,0))</f>
        <v>0</v>
      </c>
      <c r="AG79" s="39" t="n">
        <f aca="false">IF(AG$4=0,0,IF(COUNTIFS(実績!$W$6:$W$505,AG$3,実績!$AI$6:$AI$505,"&lt;="&amp;$A79,実績!$AJ$6:$AJ$505,"&gt;"&amp;$A79,実績!$AL$6:$AL$505,"○")&gt;0,1,0))</f>
        <v>0</v>
      </c>
      <c r="AH79" s="39" t="n">
        <f aca="false">IF(AH$4=0,0,IF(COUNTIFS(実績!$W$6:$W$505,AH$3,実績!$AI$6:$AI$505,"&lt;="&amp;$A79,実績!$AJ$6:$AJ$505,"&gt;"&amp;$A79,実績!$AL$6:$AL$505,"○")&gt;0,1,0))</f>
        <v>0</v>
      </c>
      <c r="AI79" s="39" t="n">
        <f aca="false">IF(AI$4=0,0,IF(COUNTIFS(実績!$W$6:$W$505,AI$3,実績!$AI$6:$AI$505,"&lt;="&amp;$A79,実績!$AJ$6:$AJ$505,"&gt;"&amp;$A79,実績!$AL$6:$AL$505,"○")&gt;0,1,0))</f>
        <v>0</v>
      </c>
      <c r="AJ79" s="39" t="n">
        <f aca="false">IF(AJ$4=0,0,IF(COUNTIFS(実績!$W$6:$W$505,AJ$3,実績!$AI$6:$AI$505,"&lt;="&amp;$A79,実績!$AJ$6:$AJ$505,"&gt;"&amp;$A79,実績!$AL$6:$AL$505,"○")&gt;0,1,0))</f>
        <v>0</v>
      </c>
      <c r="AK79" s="39" t="n">
        <f aca="false">IF(AK$4=0,0,IF(COUNTIFS(実績!$W$6:$W$505,AK$3,実績!$AI$6:$AI$505,"&lt;="&amp;$A79,実績!$AJ$6:$AJ$505,"&gt;"&amp;$A79,実績!$AL$6:$AL$505,"○")&gt;0,1,0))</f>
        <v>0</v>
      </c>
      <c r="AL79" s="39" t="n">
        <f aca="false">IF(AL$4=0,0,IF(COUNTIFS(実績!$W$6:$W$505,AL$3,実績!$AI$6:$AI$505,"&lt;="&amp;$A79,実績!$AJ$6:$AJ$505,"&gt;"&amp;$A79,実績!$AL$6:$AL$505,"○")&gt;0,1,0))</f>
        <v>0</v>
      </c>
      <c r="AM79" s="39" t="n">
        <f aca="false">IF(AM$4=0,0,IF(COUNTIFS(実績!$W$6:$W$505,AM$3,実績!$AI$6:$AI$505,"&lt;="&amp;$A79,実績!$AJ$6:$AJ$505,"&gt;"&amp;$A79,実績!$AL$6:$AL$505,"○")&gt;0,1,0))</f>
        <v>0</v>
      </c>
      <c r="AN79" s="39" t="n">
        <f aca="false">IF(AN$4=0,0,IF(COUNTIFS(実績!$W$6:$W$505,AN$3,実績!$AI$6:$AI$505,"&lt;="&amp;$A79,実績!$AJ$6:$AJ$505,"&gt;"&amp;$A79,実績!$AL$6:$AL$505,"○")&gt;0,1,0))</f>
        <v>0</v>
      </c>
      <c r="AO79" s="39" t="n">
        <f aca="false">IF(AO$4=0,0,IF(COUNTIFS(実績!$W$6:$W$505,AO$3,実績!$AI$6:$AI$505,"&lt;="&amp;$A79,実績!$AJ$6:$AJ$505,"&gt;"&amp;$A79,実績!$AL$6:$AL$505,"○")&gt;0,1,0))</f>
        <v>0</v>
      </c>
      <c r="AP79" s="39" t="n">
        <f aca="false">IF(AP$4=0,0,IF(COUNTIFS(実績!$W$6:$W$505,AP$3,実績!$AI$6:$AI$505,"&lt;="&amp;$A79,実績!$AJ$6:$AJ$505,"&gt;"&amp;$A79,実績!$AL$6:$AL$505,"○")&gt;0,1,0))</f>
        <v>0</v>
      </c>
      <c r="AQ79" s="39" t="n">
        <f aca="false">IF(AQ$4=0,0,IF(COUNTIFS(実績!$W$6:$W$505,AQ$3,実績!$AI$6:$AI$505,"&lt;="&amp;$A79,実績!$AJ$6:$AJ$505,"&gt;"&amp;$A79,実績!$AL$6:$AL$505,"○")&gt;0,1,0))</f>
        <v>0</v>
      </c>
      <c r="AR79" s="39" t="n">
        <f aca="false">IF(AR$4=0,0,IF(COUNTIFS(実績!$W$6:$W$505,AR$3,実績!$AI$6:$AI$505,"&lt;="&amp;$A79,実績!$AJ$6:$AJ$505,"&gt;"&amp;$A79,実績!$AL$6:$AL$505,"○")&gt;0,1,0))</f>
        <v>0</v>
      </c>
      <c r="AS79" s="39" t="n">
        <f aca="false">IF(AS$4=0,0,IF(COUNTIFS(実績!$W$6:$W$505,AS$3,実績!$AI$6:$AI$505,"&lt;="&amp;$A79,実績!$AJ$6:$AJ$505,"&gt;"&amp;$A79,実績!$AL$6:$AL$505,"○")&gt;0,1,0))</f>
        <v>0</v>
      </c>
      <c r="AT79" s="39" t="n">
        <f aca="false">IF(AT$4=0,0,IF(COUNTIFS(実績!$W$6:$W$505,AT$3,実績!$AI$6:$AI$505,"&lt;="&amp;$A79,実績!$AJ$6:$AJ$505,"&gt;"&amp;$A79,実績!$AL$6:$AL$505,"○")&gt;0,1,0))</f>
        <v>0</v>
      </c>
      <c r="AU79" s="39" t="n">
        <f aca="false">IF(AU$4=0,0,IF(COUNTIFS(実績!$W$6:$W$505,AU$3,実績!$AI$6:$AI$505,"&lt;="&amp;$A79,実績!$AJ$6:$AJ$505,"&gt;"&amp;$A79,実績!$AL$6:$AL$505,"○")&gt;0,1,0))</f>
        <v>0</v>
      </c>
      <c r="AV79" s="39" t="n">
        <f aca="false">IF(AV$4=0,0,IF(COUNTIFS(実績!$W$6:$W$505,AV$3,実績!$AI$6:$AI$505,"&lt;="&amp;$A79,実績!$AJ$6:$AJ$505,"&gt;"&amp;$A79,実績!$AL$6:$AL$505,"○")&gt;0,1,0))</f>
        <v>0</v>
      </c>
      <c r="AW79" s="39" t="n">
        <f aca="false">IF(AW$4=0,0,IF(COUNTIFS(実績!$W$6:$W$505,AW$3,実績!$AI$6:$AI$505,"&lt;="&amp;$A79,実績!$AJ$6:$AJ$505,"&gt;"&amp;$A79,実績!$AL$6:$AL$505,"○")&gt;0,1,0))</f>
        <v>0</v>
      </c>
      <c r="AX79" s="39" t="n">
        <f aca="false">IF(AX$4=0,0,IF(COUNTIFS(実績!$W$6:$W$505,AX$3,実績!$AI$6:$AI$505,"&lt;="&amp;$A79,実績!$AJ$6:$AJ$505,"&gt;"&amp;$A79,実績!$AL$6:$AL$505,"○")&gt;0,1,0))</f>
        <v>0</v>
      </c>
      <c r="AY79" s="39" t="n">
        <f aca="false">IF(AY$4=0,0,IF(COUNTIFS(実績!$W$6:$W$505,AY$3,実績!$AI$6:$AI$505,"&lt;="&amp;$A79,実績!$AJ$6:$AJ$505,"&gt;"&amp;$A79,実績!$AL$6:$AL$505,"○")&gt;0,1,0))</f>
        <v>0</v>
      </c>
      <c r="AZ79" s="39" t="n">
        <f aca="false">IF(AZ$4=0,0,IF(COUNTIFS(実績!$W$6:$W$505,AZ$3,実績!$AI$6:$AI$505,"&lt;="&amp;$A79,実績!$AJ$6:$AJ$505,"&gt;"&amp;$A79,実績!$AL$6:$AL$505,"○")&gt;0,1,0))</f>
        <v>0</v>
      </c>
      <c r="BA79" s="39" t="n">
        <f aca="false">IF(BA$4=0,0,IF(COUNTIFS(実績!$W$6:$W$505,BA$3,実績!$AI$6:$AI$505,"&lt;="&amp;$A79,実績!$AJ$6:$AJ$505,"&gt;"&amp;$A79,実績!$AL$6:$AL$505,"○")&gt;0,1,0))</f>
        <v>0</v>
      </c>
      <c r="BB79" s="39" t="n">
        <f aca="false">IF(BB$4=0,0,IF(COUNTIFS(実績!$W$6:$W$505,BB$3,実績!$AI$6:$AI$505,"&lt;="&amp;$A79,実績!$AJ$6:$AJ$505,"&gt;"&amp;$A79,実績!$AL$6:$AL$505,"○")&gt;0,1,0))</f>
        <v>0</v>
      </c>
      <c r="BC79" s="39" t="n">
        <f aca="false">IF(BC$4=0,0,IF(COUNTIFS(実績!$W$6:$W$505,BC$3,実績!$AI$6:$AI$505,"&lt;="&amp;$A79,実績!$AJ$6:$AJ$505,"&gt;"&amp;$A79,実績!$AL$6:$AL$505,"○")&gt;0,1,0))</f>
        <v>0</v>
      </c>
      <c r="BD79" s="39" t="n">
        <f aca="false">IF(BD$4=0,0,IF(COUNTIFS(実績!$W$6:$W$505,BD$3,実績!$AI$6:$AI$505,"&lt;="&amp;$A79,実績!$AJ$6:$AJ$505,"&gt;"&amp;$A79,実績!$AL$6:$AL$505,"○")&gt;0,1,0))</f>
        <v>0</v>
      </c>
      <c r="BE79" s="39" t="n">
        <f aca="false">IF(BE$4=0,0,IF(COUNTIFS(実績!$W$6:$W$505,BE$3,実績!$AI$6:$AI$505,"&lt;="&amp;$A79,実績!$AJ$6:$AJ$505,"&gt;"&amp;$A79,実績!$AL$6:$AL$505,"○")&gt;0,1,0))</f>
        <v>0</v>
      </c>
      <c r="BF79" s="39" t="n">
        <f aca="false">IF(BF$4=0,0,IF(COUNTIFS(実績!$W$6:$W$505,BF$3,実績!$AI$6:$AI$505,"&lt;="&amp;$A79,実績!$AJ$6:$AJ$505,"&gt;"&amp;$A79,実績!$AL$6:$AL$505,"○")&gt;0,1,0))</f>
        <v>0</v>
      </c>
      <c r="BG79" s="39" t="n">
        <f aca="false">IF(BG$4=0,0,IF(COUNTIFS(実績!$W$6:$W$505,BG$3,実績!$AI$6:$AI$505,"&lt;="&amp;$A79,実績!$AJ$6:$AJ$505,"&gt;"&amp;$A79,実績!$AL$6:$AL$505,"○")&gt;0,1,0))</f>
        <v>0</v>
      </c>
      <c r="BH79" s="39" t="n">
        <f aca="false">IF(BH$4=0,0,IF(COUNTIFS(実績!$W$6:$W$505,BH$3,実績!$AI$6:$AI$505,"&lt;="&amp;$A79,実績!$AJ$6:$AJ$505,"&gt;"&amp;$A79,実績!$AL$6:$AL$505,"○")&gt;0,1,0))</f>
        <v>0</v>
      </c>
      <c r="BI79" s="39" t="n">
        <f aca="false">IF(BI$4=0,0,IF(COUNTIFS(実績!$W$6:$W$505,BI$3,実績!$AI$6:$AI$505,"&lt;="&amp;$A79,実績!$AJ$6:$AJ$505,"&gt;"&amp;$A79,実績!$AL$6:$AL$505,"○")&gt;0,1,0))</f>
        <v>0</v>
      </c>
      <c r="BJ79" s="39" t="n">
        <f aca="false">IF(BJ$4=0,0,IF(COUNTIFS(実績!$W$6:$W$505,BJ$3,実績!$AI$6:$AI$505,"&lt;="&amp;$A79,実績!$AJ$6:$AJ$505,"&gt;"&amp;$A79,実績!$AL$6:$AL$505,"○")&gt;0,1,0))</f>
        <v>0</v>
      </c>
      <c r="BK79" s="39" t="n">
        <f aca="false">IF(BK$4=0,0,IF(COUNTIFS(実績!$W$6:$W$505,BK$3,実績!$AI$6:$AI$505,"&lt;="&amp;$A79,実績!$AJ$6:$AJ$505,"&gt;"&amp;$A79,実績!$AL$6:$AL$505,"○")&gt;0,1,0))</f>
        <v>0</v>
      </c>
      <c r="BL79" s="39" t="n">
        <f aca="false">IF(BL$4=0,0,IF(COUNTIFS(実績!$W$6:$W$505,BL$3,実績!$AI$6:$AI$505,"&lt;="&amp;$A79,実績!$AJ$6:$AJ$505,"&gt;"&amp;$A79,実績!$AL$6:$AL$505,"○")&gt;0,1,0))</f>
        <v>0</v>
      </c>
      <c r="BM79" s="39" t="n">
        <f aca="false">IF(BM$4=0,0,IF(COUNTIFS(実績!$W$6:$W$505,BM$3,実績!$AI$6:$AI$505,"&lt;="&amp;$A79,実績!$AJ$6:$AJ$505,"&gt;"&amp;$A79,実績!$AL$6:$AL$505,"○")&gt;0,1,0))</f>
        <v>0</v>
      </c>
      <c r="BN79" s="39" t="n">
        <f aca="false">IF(BN$4=0,0,IF(COUNTIFS(実績!$W$6:$W$505,BN$3,実績!$AI$6:$AI$505,"&lt;="&amp;$A79,実績!$AJ$6:$AJ$505,"&gt;"&amp;$A79,実績!$AL$6:$AL$505,"○")&gt;0,1,0))</f>
        <v>0</v>
      </c>
      <c r="BO79" s="39" t="n">
        <f aca="false">IF(BO$4=0,0,IF(COUNTIFS(実績!$W$6:$W$505,BO$3,実績!$AI$6:$AI$505,"&lt;="&amp;$A79,実績!$AJ$6:$AJ$505,"&gt;"&amp;$A79,実績!$AL$6:$AL$505,"○")&gt;0,1,0))</f>
        <v>0</v>
      </c>
      <c r="BP79" s="39" t="n">
        <f aca="false">IF(BP$4=0,0,IF(COUNTIFS(実績!$W$6:$W$505,BP$3,実績!$AI$6:$AI$505,"&lt;="&amp;$A79,実績!$AJ$6:$AJ$505,"&gt;"&amp;$A79,実績!$AL$6:$AL$505,"○")&gt;0,1,0))</f>
        <v>0</v>
      </c>
      <c r="BQ79" s="39" t="n">
        <f aca="false">IF(BQ$4=0,0,IF(COUNTIFS(実績!$W$6:$W$505,BQ$3,実績!$AI$6:$AI$505,"&lt;="&amp;$A79,実績!$AJ$6:$AJ$505,"&gt;"&amp;$A79,実績!$AL$6:$AL$505,"○")&gt;0,1,0))</f>
        <v>0</v>
      </c>
      <c r="BR79" s="39" t="n">
        <f aca="false">IF(BR$4=0,0,IF(COUNTIFS(実績!$W$6:$W$505,BR$3,実績!$AI$6:$AI$505,"&lt;="&amp;$A79,実績!$AJ$6:$AJ$505,"&gt;"&amp;$A79,実績!$AL$6:$AL$505,"○")&gt;0,1,0))</f>
        <v>0</v>
      </c>
      <c r="BS79" s="39" t="n">
        <f aca="false">IF(BS$4=0,0,IF(COUNTIFS(実績!$W$6:$W$505,BS$3,実績!$AI$6:$AI$505,"&lt;="&amp;$A79,実績!$AJ$6:$AJ$505,"&gt;"&amp;$A79,実績!$AL$6:$AL$505,"○")&gt;0,1,0))</f>
        <v>0</v>
      </c>
      <c r="BT79" s="39" t="n">
        <f aca="false">IF(BT$4=0,0,IF(COUNTIFS(実績!$W$6:$W$505,BT$3,実績!$AI$6:$AI$505,"&lt;="&amp;$A79,実績!$AJ$6:$AJ$505,"&gt;"&amp;$A79,実績!$AL$6:$AL$505,"○")&gt;0,1,0))</f>
        <v>0</v>
      </c>
      <c r="BU79" s="39" t="n">
        <f aca="false">IF(BU$4=0,0,IF(COUNTIFS(実績!$W$6:$W$505,BU$3,実績!$AI$6:$AI$505,"&lt;="&amp;$A79,実績!$AJ$6:$AJ$505,"&gt;"&amp;$A79,実績!$AL$6:$AL$505,"○")&gt;0,1,0))</f>
        <v>0</v>
      </c>
      <c r="BV79" s="39" t="n">
        <f aca="false">IF(BV$4=0,0,IF(COUNTIFS(実績!$W$6:$W$505,BV$3,実績!$AI$6:$AI$505,"&lt;="&amp;$A79,実績!$AJ$6:$AJ$505,"&gt;"&amp;$A79,実績!$AL$6:$AL$505,"○")&gt;0,1,0))</f>
        <v>0</v>
      </c>
      <c r="BW79" s="39" t="n">
        <f aca="false">IF(BW$4=0,0,IF(COUNTIFS(実績!$W$6:$W$505,BW$3,実績!$AI$6:$AI$505,"&lt;="&amp;$A79,実績!$AJ$6:$AJ$505,"&gt;"&amp;$A79,実績!$AL$6:$AL$505,"○")&gt;0,1,0))</f>
        <v>0</v>
      </c>
      <c r="BX79" s="39" t="n">
        <f aca="false">IF(BX$4=0,0,IF(COUNTIFS(実績!$W$6:$W$505,BX$3,実績!$AI$6:$AI$505,"&lt;="&amp;$A79,実績!$AJ$6:$AJ$505,"&gt;"&amp;$A79,実績!$AL$6:$AL$505,"○")&gt;0,1,0))</f>
        <v>0</v>
      </c>
      <c r="BY79" s="39" t="n">
        <f aca="false">IF(BY$4=0,0,IF(COUNTIFS(実績!$W$6:$W$505,BY$3,実績!$AI$6:$AI$505,"&lt;="&amp;$A79,実績!$AJ$6:$AJ$505,"&gt;"&amp;$A79,実績!$AL$6:$AL$505,"○")&gt;0,1,0))</f>
        <v>0</v>
      </c>
      <c r="BZ79" s="39" t="n">
        <f aca="false">IF(BZ$4=0,0,IF(COUNTIFS(実績!$W$6:$W$505,BZ$3,実績!$AI$6:$AI$505,"&lt;="&amp;$A79,実績!$AJ$6:$AJ$505,"&gt;"&amp;$A79,実績!$AL$6:$AL$505,"○")&gt;0,1,0))</f>
        <v>0</v>
      </c>
      <c r="CA79" s="39" t="n">
        <f aca="false">IF(CA$4=0,0,IF(COUNTIFS(実績!$W$6:$W$505,CA$3,実績!$AI$6:$AI$505,"&lt;="&amp;$A79,実績!$AJ$6:$AJ$505,"&gt;"&amp;$A79,実績!$AL$6:$AL$505,"○")&gt;0,1,0))</f>
        <v>0</v>
      </c>
      <c r="CB79" s="39" t="n">
        <f aca="false">IF(CB$4=0,0,IF(COUNTIFS(実績!$W$6:$W$505,CB$3,実績!$AI$6:$AI$505,"&lt;="&amp;$A79,実績!$AJ$6:$AJ$505,"&gt;"&amp;$A79,実績!$AL$6:$AL$505,"○")&gt;0,1,0))</f>
        <v>0</v>
      </c>
      <c r="CC79" s="39" t="n">
        <f aca="false">IF(CC$4=0,0,IF(COUNTIFS(実績!$W$6:$W$505,CC$3,実績!$AI$6:$AI$505,"&lt;="&amp;$A79,実績!$AJ$6:$AJ$505,"&gt;"&amp;$A79,実績!$AL$6:$AL$505,"○")&gt;0,1,0))</f>
        <v>0</v>
      </c>
      <c r="CD79" s="39" t="n">
        <f aca="false">IF(CD$4=0,0,IF(COUNTIFS(実績!$W$6:$W$505,CD$3,実績!$AI$6:$AI$505,"&lt;="&amp;$A79,実績!$AJ$6:$AJ$505,"&gt;"&amp;$A79,実績!$AL$6:$AL$505,"○")&gt;0,1,0))</f>
        <v>0</v>
      </c>
      <c r="CE79" s="39" t="n">
        <f aca="false">IF(CE$4=0,0,IF(COUNTIFS(実績!$W$6:$W$505,CE$3,実績!$AI$6:$AI$505,"&lt;="&amp;$A79,実績!$AJ$6:$AJ$505,"&gt;"&amp;$A79,実績!$AL$6:$AL$505,"○")&gt;0,1,0))</f>
        <v>0</v>
      </c>
      <c r="CF79" s="39" t="n">
        <f aca="false">IF(CF$4=0,0,IF(COUNTIFS(実績!$W$6:$W$505,CF$3,実績!$AI$6:$AI$505,"&lt;="&amp;$A79,実績!$AJ$6:$AJ$505,"&gt;"&amp;$A79,実績!$AL$6:$AL$505,"○")&gt;0,1,0))</f>
        <v>0</v>
      </c>
      <c r="CG79" s="39" t="n">
        <f aca="false">IF(CG$4=0,0,IF(COUNTIFS(実績!$W$6:$W$505,CG$3,実績!$AI$6:$AI$505,"&lt;="&amp;$A79,実績!$AJ$6:$AJ$505,"&gt;"&amp;$A79,実績!$AL$6:$AL$505,"○")&gt;0,1,0))</f>
        <v>0</v>
      </c>
      <c r="CH79" s="39" t="n">
        <f aca="false">IF(CH$4=0,0,IF(COUNTIFS(実績!$W$6:$W$505,CH$3,実績!$AI$6:$AI$505,"&lt;="&amp;$A79,実績!$AJ$6:$AJ$505,"&gt;"&amp;$A79,実績!$AL$6:$AL$505,"○")&gt;0,1,0))</f>
        <v>0</v>
      </c>
      <c r="CI79" s="39" t="n">
        <f aca="false">IF(CI$4=0,0,IF(COUNTIFS(実績!$W$6:$W$505,CI$3,実績!$AI$6:$AI$505,"&lt;="&amp;$A79,実績!$AJ$6:$AJ$505,"&gt;"&amp;$A79,実績!$AL$6:$AL$505,"○")&gt;0,1,0))</f>
        <v>0</v>
      </c>
      <c r="CJ79" s="39" t="n">
        <f aca="false">IF(CJ$4=0,0,IF(COUNTIFS(実績!$W$6:$W$505,CJ$3,実績!$AI$6:$AI$505,"&lt;="&amp;$A79,実績!$AJ$6:$AJ$505,"&gt;"&amp;$A79,実績!$AL$6:$AL$505,"○")&gt;0,1,0))</f>
        <v>0</v>
      </c>
      <c r="CK79" s="39" t="n">
        <f aca="false">IF(CK$4=0,0,IF(COUNTIFS(実績!$W$6:$W$505,CK$3,実績!$AI$6:$AI$505,"&lt;="&amp;$A79,実績!$AJ$6:$AJ$505,"&gt;"&amp;$A79,実績!$AL$6:$AL$505,"○")&gt;0,1,0))</f>
        <v>0</v>
      </c>
      <c r="CL79" s="39" t="n">
        <f aca="false">IF(CL$4=0,0,IF(COUNTIFS(実績!$W$6:$W$505,CL$3,実績!$AI$6:$AI$505,"&lt;="&amp;$A79,実績!$AJ$6:$AJ$505,"&gt;"&amp;$A79,実績!$AL$6:$AL$505,"○")&gt;0,1,0))</f>
        <v>0</v>
      </c>
      <c r="CM79" s="39" t="n">
        <f aca="false">IF(CM$4=0,0,IF(COUNTIFS(実績!$W$6:$W$505,CM$3,実績!$AI$6:$AI$505,"&lt;="&amp;$A79,実績!$AJ$6:$AJ$505,"&gt;"&amp;$A79,実績!$AL$6:$AL$505,"○")&gt;0,1,0))</f>
        <v>0</v>
      </c>
      <c r="CN79" s="39" t="n">
        <f aca="false">IF(CN$4=0,0,IF(COUNTIFS(実績!$W$6:$W$505,CN$3,実績!$AI$6:$AI$505,"&lt;="&amp;$A79,実績!$AJ$6:$AJ$505,"&gt;"&amp;$A79,実績!$AL$6:$AL$505,"○")&gt;0,1,0))</f>
        <v>0</v>
      </c>
      <c r="CO79" s="39" t="n">
        <f aca="false">IF(CO$4=0,0,IF(COUNTIFS(実績!$W$6:$W$505,CO$3,実績!$AI$6:$AI$505,"&lt;="&amp;$A79,実績!$AJ$6:$AJ$505,"&gt;"&amp;$A79,実績!$AL$6:$AL$505,"○")&gt;0,1,0))</f>
        <v>0</v>
      </c>
      <c r="CP79" s="39" t="n">
        <f aca="false">IF(CP$4=0,0,IF(COUNTIFS(実績!$W$6:$W$505,CP$3,実績!$AI$6:$AI$505,"&lt;="&amp;$A79,実績!$AJ$6:$AJ$505,"&gt;"&amp;$A79,実績!$AL$6:$AL$505,"○")&gt;0,1,0))</f>
        <v>0</v>
      </c>
      <c r="CQ79" s="39" t="n">
        <f aca="false">IF(CQ$4=0,0,IF(COUNTIFS(実績!$W$6:$W$505,CQ$3,実績!$AI$6:$AI$505,"&lt;="&amp;$A79,実績!$AJ$6:$AJ$505,"&gt;"&amp;$A79,実績!$AL$6:$AL$505,"○")&gt;0,1,0))</f>
        <v>0</v>
      </c>
      <c r="CR79" s="39" t="n">
        <f aca="false">IF(CR$4=0,0,IF(COUNTIFS(実績!$W$6:$W$505,CR$3,実績!$AI$6:$AI$505,"&lt;="&amp;$A79,実績!$AJ$6:$AJ$505,"&gt;"&amp;$A79,実績!$AL$6:$AL$505,"○")&gt;0,1,0))</f>
        <v>0</v>
      </c>
      <c r="CS79" s="39" t="n">
        <f aca="false">IF(CS$4=0,0,IF(COUNTIFS(実績!$W$6:$W$505,CS$3,実績!$AI$6:$AI$505,"&lt;="&amp;$A79,実績!$AJ$6:$AJ$505,"&gt;"&amp;$A79,実績!$AL$6:$AL$505,"○")&gt;0,1,0))</f>
        <v>0</v>
      </c>
      <c r="CT79" s="39" t="n">
        <f aca="false">IF(CT$4=0,0,IF(COUNTIFS(実績!$W$6:$W$505,CT$3,実績!$AI$6:$AI$505,"&lt;="&amp;$A79,実績!$AJ$6:$AJ$505,"&gt;"&amp;$A79,実績!$AL$6:$AL$505,"○")&gt;0,1,0))</f>
        <v>0</v>
      </c>
      <c r="CU79" s="39" t="n">
        <f aca="false">IF(CU$4=0,0,IF(COUNTIFS(実績!$W$6:$W$505,CU$3,実績!$AI$6:$AI$505,"&lt;="&amp;$A79,実績!$AJ$6:$AJ$505,"&gt;"&amp;$A79,実績!$AL$6:$AL$505,"○")&gt;0,1,0))</f>
        <v>0</v>
      </c>
      <c r="CV79" s="39" t="n">
        <f aca="false">IF(CV$4=0,0,IF(COUNTIFS(実績!$W$6:$W$505,CV$3,実績!$AI$6:$AI$505,"&lt;="&amp;$A79,実績!$AJ$6:$AJ$505,"&gt;"&amp;$A79,実績!$AL$6:$AL$505,"○")&gt;0,1,0))</f>
        <v>0</v>
      </c>
      <c r="CW79" s="39" t="n">
        <f aca="false">IF(CW$4=0,0,IF(COUNTIFS(実績!$W$6:$W$505,CW$3,実績!$AI$6:$AI$505,"&lt;="&amp;$A79,実績!$AJ$6:$AJ$505,"&gt;"&amp;$A79,実績!$AL$6:$AL$505,"○")&gt;0,1,0))</f>
        <v>0</v>
      </c>
      <c r="CX79" s="39" t="n">
        <f aca="false">IF(CX$4=0,0,IF(COUNTIFS(実績!$W$6:$W$505,CX$3,実績!$AI$6:$AI$505,"&lt;="&amp;$A79,実績!$AJ$6:$AJ$505,"&gt;"&amp;$A79,実績!$AL$6:$AL$505,"○")&gt;0,1,0))</f>
        <v>0</v>
      </c>
      <c r="CY79" s="39" t="n">
        <f aca="false">IF(CY$4=0,0,IF(COUNTIFS(実績!$W$6:$W$505,CY$3,実績!$AI$6:$AI$505,"&lt;="&amp;$A79,実績!$AJ$6:$AJ$505,"&gt;"&amp;$A79,実績!$AL$6:$AL$505,"○")&gt;0,1,0))</f>
        <v>0</v>
      </c>
      <c r="CZ79" s="39" t="n">
        <f aca="false">IF(CZ$4=0,0,IF(COUNTIFS(実績!$W$6:$W$505,CZ$3,実績!$AI$6:$AI$505,"&lt;="&amp;$A79,実績!$AJ$6:$AJ$505,"&gt;"&amp;$A79,実績!$AL$6:$AL$505,"○")&gt;0,1,0))</f>
        <v>0</v>
      </c>
      <c r="DA79" s="39" t="n">
        <f aca="false">IF(DA$4=0,0,IF(COUNTIFS(実績!$W$6:$W$505,DA$3,実績!$AI$6:$AI$505,"&lt;="&amp;$A79,実績!$AJ$6:$AJ$505,"&gt;"&amp;$A79,実績!$AL$6:$AL$505,"○")&gt;0,1,0))</f>
        <v>0</v>
      </c>
      <c r="DB79" s="39" t="n">
        <f aca="false">IF(DB$4=0,0,IF(COUNTIFS(実績!$W$6:$W$505,DB$3,実績!$AI$6:$AI$505,"&lt;="&amp;$A79,実績!$AJ$6:$AJ$505,"&gt;"&amp;$A79,実績!$AL$6:$AL$505,"○")&gt;0,1,0))</f>
        <v>0</v>
      </c>
      <c r="DC79" s="39" t="n">
        <f aca="false">IF(DC$4=0,0,IF(COUNTIFS(実績!$W$6:$W$505,DC$3,実績!$AI$6:$AI$505,"&lt;="&amp;$A79,実績!$AJ$6:$AJ$505,"&gt;"&amp;$A79,実績!$AL$6:$AL$505,"○")&gt;0,1,0))</f>
        <v>0</v>
      </c>
      <c r="DD79" s="39" t="n">
        <f aca="false">IF(DD$4=0,0,IF(COUNTIFS(実績!$W$6:$W$505,DD$3,実績!$AI$6:$AI$505,"&lt;="&amp;$A79,実績!$AJ$6:$AJ$505,"&gt;"&amp;$A79,実績!$AL$6:$AL$505,"○")&gt;0,1,0))</f>
        <v>0</v>
      </c>
      <c r="DE79" s="39" t="n">
        <f aca="false">IF(DE$4=0,0,IF(COUNTIFS(実績!$W$6:$W$505,DE$3,実績!$AI$6:$AI$505,"&lt;="&amp;$A79,実績!$AJ$6:$AJ$505,"&gt;"&amp;$A79,実績!$AL$6:$AL$505,"○")&gt;0,1,0))</f>
        <v>0</v>
      </c>
      <c r="DF79" s="39" t="n">
        <f aca="false">IF(DF$4=0,0,IF(COUNTIFS(実績!$W$6:$W$505,DF$3,実績!$AI$6:$AI$505,"&lt;="&amp;$A79,実績!$AJ$6:$AJ$505,"&gt;"&amp;$A79,実績!$AL$6:$AL$505,"○")&gt;0,1,0))</f>
        <v>0</v>
      </c>
      <c r="DG79" s="39" t="n">
        <f aca="false">IF(DG$4=0,0,IF(COUNTIFS(実績!$W$6:$W$505,DG$3,実績!$AI$6:$AI$505,"&lt;="&amp;$A79,実績!$AJ$6:$AJ$505,"&gt;"&amp;$A79,実績!$AL$6:$AL$505,"○")&gt;0,1,0))</f>
        <v>0</v>
      </c>
      <c r="DH79" s="39" t="n">
        <f aca="false">IF(DH$4=0,0,IF(COUNTIFS(実績!$W$6:$W$505,DH$3,実績!$AI$6:$AI$505,"&lt;="&amp;$A79,実績!$AJ$6:$AJ$505,"&gt;"&amp;$A79,実績!$AL$6:$AL$505,"○")&gt;0,1,0))</f>
        <v>0</v>
      </c>
      <c r="DI79" s="39" t="n">
        <f aca="false">IF(DI$4=0,0,IF(COUNTIFS(実績!$W$6:$W$505,DI$3,実績!$AI$6:$AI$505,"&lt;="&amp;$A79,実績!$AJ$6:$AJ$505,"&gt;"&amp;$A79,実績!$AL$6:$AL$505,"○")&gt;0,1,0))</f>
        <v>0</v>
      </c>
      <c r="DJ79" s="39" t="n">
        <f aca="false">IF(DJ$4=0,0,IF(COUNTIFS(実績!$W$6:$W$505,DJ$3,実績!$AI$6:$AI$505,"&lt;="&amp;$A79,実績!$AJ$6:$AJ$505,"&gt;"&amp;$A79,実績!$AL$6:$AL$505,"○")&gt;0,1,0))</f>
        <v>0</v>
      </c>
      <c r="DK79" s="39" t="n">
        <f aca="false">IF(DK$4=0,0,IF(COUNTIFS(実績!$W$6:$W$505,DK$3,実績!$AI$6:$AI$505,"&lt;="&amp;$A79,実績!$AJ$6:$AJ$505,"&gt;"&amp;$A79,実績!$AL$6:$AL$505,"○")&gt;0,1,0))</f>
        <v>0</v>
      </c>
      <c r="DL79" s="39" t="n">
        <f aca="false">IF(DL$4=0,0,IF(COUNTIFS(実績!$W$6:$W$505,DL$3,実績!$AI$6:$AI$505,"&lt;="&amp;$A79,実績!$AJ$6:$AJ$505,"&gt;"&amp;$A79,実績!$AL$6:$AL$505,"○")&gt;0,1,0))</f>
        <v>0</v>
      </c>
      <c r="DM79" s="39" t="n">
        <f aca="false">IF(DM$4=0,0,IF(COUNTIFS(実績!$W$6:$W$505,DM$3,実績!$AI$6:$AI$505,"&lt;="&amp;$A79,実績!$AJ$6:$AJ$505,"&gt;"&amp;$A79,実績!$AL$6:$AL$505,"○")&gt;0,1,0))</f>
        <v>0</v>
      </c>
      <c r="DN79" s="39" t="n">
        <f aca="false">IF(DN$4=0,0,IF(COUNTIFS(実績!$W$6:$W$505,DN$3,実績!$AI$6:$AI$505,"&lt;="&amp;$A79,実績!$AJ$6:$AJ$505,"&gt;"&amp;$A79,実績!$AL$6:$AL$505,"○")&gt;0,1,0))</f>
        <v>0</v>
      </c>
      <c r="DO79" s="39" t="n">
        <f aca="false">IF(DO$4=0,0,IF(COUNTIFS(実績!$W$6:$W$505,DO$3,実績!$AI$6:$AI$505,"&lt;="&amp;$A79,実績!$AJ$6:$AJ$505,"&gt;"&amp;$A79,実績!$AL$6:$AL$505,"○")&gt;0,1,0))</f>
        <v>0</v>
      </c>
      <c r="DP79" s="39" t="n">
        <f aca="false">IF(DP$4=0,0,IF(COUNTIFS(実績!$W$6:$W$505,DP$3,実績!$AI$6:$AI$505,"&lt;="&amp;$A79,実績!$AJ$6:$AJ$505,"&gt;"&amp;$A79,実績!$AL$6:$AL$505,"○")&gt;0,1,0))</f>
        <v>0</v>
      </c>
      <c r="DQ79" s="39" t="n">
        <f aca="false">IF(DQ$4=0,0,IF(COUNTIFS(実績!$W$6:$W$505,DQ$3,実績!$AI$6:$AI$505,"&lt;="&amp;$A79,実績!$AJ$6:$AJ$505,"&gt;"&amp;$A79,実績!$AL$6:$AL$505,"○")&gt;0,1,0))</f>
        <v>0</v>
      </c>
      <c r="DR79" s="39" t="n">
        <f aca="false">IF(DR$4=0,0,IF(COUNTIFS(実績!$W$6:$W$505,DR$3,実績!$AI$6:$AI$505,"&lt;="&amp;$A79,実績!$AJ$6:$AJ$505,"&gt;"&amp;$A79,実績!$AL$6:$AL$505,"○")&gt;0,1,0))</f>
        <v>0</v>
      </c>
      <c r="DS79" s="39" t="n">
        <f aca="false">SUM(C79:DR79)</f>
        <v>0</v>
      </c>
    </row>
    <row r="80" customFormat="false" ht="15" hidden="false" customHeight="false" outlineLevel="0" collapsed="false">
      <c r="A80" s="0" t="n">
        <v>370</v>
      </c>
      <c r="B80" s="38" t="n">
        <f aca="false">A80/1440</f>
        <v>0.256944444444444</v>
      </c>
      <c r="C80" s="39" t="n">
        <f aca="false">IF(C$4=0,0,IF(COUNTIFS(実績!$W$6:$W$505,C$3,実績!$AI$6:$AI$505,"&lt;="&amp;$A80,実績!$AJ$6:$AJ$505,"&gt;"&amp;$A80,実績!$AL$6:$AL$505,"○")&gt;0,1,0))</f>
        <v>0</v>
      </c>
      <c r="D80" s="39" t="n">
        <f aca="false">IF(D$4=0,0,IF(COUNTIFS(実績!$W$6:$W$505,D$3,実績!$AI$6:$AI$505,"&lt;="&amp;$A80,実績!$AJ$6:$AJ$505,"&gt;"&amp;$A80,実績!$AL$6:$AL$505,"○")&gt;0,1,0))</f>
        <v>0</v>
      </c>
      <c r="E80" s="39" t="n">
        <f aca="false">IF(E$4=0,0,IF(COUNTIFS(実績!$W$6:$W$505,E$3,実績!$AI$6:$AI$505,"&lt;="&amp;$A80,実績!$AJ$6:$AJ$505,"&gt;"&amp;$A80,実績!$AL$6:$AL$505,"○")&gt;0,1,0))</f>
        <v>0</v>
      </c>
      <c r="F80" s="39" t="n">
        <f aca="false">IF(F$4=0,0,IF(COUNTIFS(実績!$W$6:$W$505,F$3,実績!$AI$6:$AI$505,"&lt;="&amp;$A80,実績!$AJ$6:$AJ$505,"&gt;"&amp;$A80,実績!$AL$6:$AL$505,"○")&gt;0,1,0))</f>
        <v>0</v>
      </c>
      <c r="G80" s="39" t="n">
        <f aca="false">IF(G$4=0,0,IF(COUNTIFS(実績!$W$6:$W$505,G$3,実績!$AI$6:$AI$505,"&lt;="&amp;$A80,実績!$AJ$6:$AJ$505,"&gt;"&amp;$A80,実績!$AL$6:$AL$505,"○")&gt;0,1,0))</f>
        <v>0</v>
      </c>
      <c r="H80" s="39" t="n">
        <f aca="false">IF(H$4=0,0,IF(COUNTIFS(実績!$W$6:$W$505,H$3,実績!$AI$6:$AI$505,"&lt;="&amp;$A80,実績!$AJ$6:$AJ$505,"&gt;"&amp;$A80,実績!$AL$6:$AL$505,"○")&gt;0,1,0))</f>
        <v>0</v>
      </c>
      <c r="I80" s="39" t="n">
        <f aca="false">IF(I$4=0,0,IF(COUNTIFS(実績!$W$6:$W$505,I$3,実績!$AI$6:$AI$505,"&lt;="&amp;$A80,実績!$AJ$6:$AJ$505,"&gt;"&amp;$A80,実績!$AL$6:$AL$505,"○")&gt;0,1,0))</f>
        <v>0</v>
      </c>
      <c r="J80" s="39" t="n">
        <f aca="false">IF(J$4=0,0,IF(COUNTIFS(実績!$W$6:$W$505,J$3,実績!$AI$6:$AI$505,"&lt;="&amp;$A80,実績!$AJ$6:$AJ$505,"&gt;"&amp;$A80,実績!$AL$6:$AL$505,"○")&gt;0,1,0))</f>
        <v>0</v>
      </c>
      <c r="K80" s="39" t="n">
        <f aca="false">IF(K$4=0,0,IF(COUNTIFS(実績!$W$6:$W$505,K$3,実績!$AI$6:$AI$505,"&lt;="&amp;$A80,実績!$AJ$6:$AJ$505,"&gt;"&amp;$A80,実績!$AL$6:$AL$505,"○")&gt;0,1,0))</f>
        <v>0</v>
      </c>
      <c r="L80" s="39" t="n">
        <f aca="false">IF(L$4=0,0,IF(COUNTIFS(実績!$W$6:$W$505,L$3,実績!$AI$6:$AI$505,"&lt;="&amp;$A80,実績!$AJ$6:$AJ$505,"&gt;"&amp;$A80,実績!$AL$6:$AL$505,"○")&gt;0,1,0))</f>
        <v>0</v>
      </c>
      <c r="M80" s="39" t="n">
        <f aca="false">IF(M$4=0,0,IF(COUNTIFS(実績!$W$6:$W$505,M$3,実績!$AI$6:$AI$505,"&lt;="&amp;$A80,実績!$AJ$6:$AJ$505,"&gt;"&amp;$A80,実績!$AL$6:$AL$505,"○")&gt;0,1,0))</f>
        <v>0</v>
      </c>
      <c r="N80" s="39" t="n">
        <f aca="false">IF(N$4=0,0,IF(COUNTIFS(実績!$W$6:$W$505,N$3,実績!$AI$6:$AI$505,"&lt;="&amp;$A80,実績!$AJ$6:$AJ$505,"&gt;"&amp;$A80,実績!$AL$6:$AL$505,"○")&gt;0,1,0))</f>
        <v>0</v>
      </c>
      <c r="O80" s="39" t="n">
        <f aca="false">IF(O$4=0,0,IF(COUNTIFS(実績!$W$6:$W$505,O$3,実績!$AI$6:$AI$505,"&lt;="&amp;$A80,実績!$AJ$6:$AJ$505,"&gt;"&amp;$A80,実績!$AL$6:$AL$505,"○")&gt;0,1,0))</f>
        <v>0</v>
      </c>
      <c r="P80" s="39" t="n">
        <f aca="false">IF(P$4=0,0,IF(COUNTIFS(実績!$W$6:$W$505,P$3,実績!$AI$6:$AI$505,"&lt;="&amp;$A80,実績!$AJ$6:$AJ$505,"&gt;"&amp;$A80,実績!$AL$6:$AL$505,"○")&gt;0,1,0))</f>
        <v>0</v>
      </c>
      <c r="Q80" s="39" t="n">
        <f aca="false">IF(Q$4=0,0,IF(COUNTIFS(実績!$W$6:$W$505,Q$3,実績!$AI$6:$AI$505,"&lt;="&amp;$A80,実績!$AJ$6:$AJ$505,"&gt;"&amp;$A80,実績!$AL$6:$AL$505,"○")&gt;0,1,0))</f>
        <v>0</v>
      </c>
      <c r="R80" s="39" t="n">
        <f aca="false">IF(R$4=0,0,IF(COUNTIFS(実績!$W$6:$W$505,R$3,実績!$AI$6:$AI$505,"&lt;="&amp;$A80,実績!$AJ$6:$AJ$505,"&gt;"&amp;$A80,実績!$AL$6:$AL$505,"○")&gt;0,1,0))</f>
        <v>0</v>
      </c>
      <c r="S80" s="39" t="n">
        <f aca="false">IF(S$4=0,0,IF(COUNTIFS(実績!$W$6:$W$505,S$3,実績!$AI$6:$AI$505,"&lt;="&amp;$A80,実績!$AJ$6:$AJ$505,"&gt;"&amp;$A80,実績!$AL$6:$AL$505,"○")&gt;0,1,0))</f>
        <v>0</v>
      </c>
      <c r="T80" s="39" t="n">
        <f aca="false">IF(T$4=0,0,IF(COUNTIFS(実績!$W$6:$W$505,T$3,実績!$AI$6:$AI$505,"&lt;="&amp;$A80,実績!$AJ$6:$AJ$505,"&gt;"&amp;$A80,実績!$AL$6:$AL$505,"○")&gt;0,1,0))</f>
        <v>0</v>
      </c>
      <c r="U80" s="39" t="n">
        <f aca="false">IF(U$4=0,0,IF(COUNTIFS(実績!$W$6:$W$505,U$3,実績!$AI$6:$AI$505,"&lt;="&amp;$A80,実績!$AJ$6:$AJ$505,"&gt;"&amp;$A80,実績!$AL$6:$AL$505,"○")&gt;0,1,0))</f>
        <v>0</v>
      </c>
      <c r="V80" s="39" t="n">
        <f aca="false">IF(V$4=0,0,IF(COUNTIFS(実績!$W$6:$W$505,V$3,実績!$AI$6:$AI$505,"&lt;="&amp;$A80,実績!$AJ$6:$AJ$505,"&gt;"&amp;$A80,実績!$AL$6:$AL$505,"○")&gt;0,1,0))</f>
        <v>0</v>
      </c>
      <c r="W80" s="39" t="n">
        <f aca="false">IF(W$4=0,0,IF(COUNTIFS(実績!$W$6:$W$505,W$3,実績!$AI$6:$AI$505,"&lt;="&amp;$A80,実績!$AJ$6:$AJ$505,"&gt;"&amp;$A80,実績!$AL$6:$AL$505,"○")&gt;0,1,0))</f>
        <v>0</v>
      </c>
      <c r="X80" s="39" t="n">
        <f aca="false">IF(X$4=0,0,IF(COUNTIFS(実績!$W$6:$W$505,X$3,実績!$AI$6:$AI$505,"&lt;="&amp;$A80,実績!$AJ$6:$AJ$505,"&gt;"&amp;$A80,実績!$AL$6:$AL$505,"○")&gt;0,1,0))</f>
        <v>0</v>
      </c>
      <c r="Y80" s="39" t="n">
        <f aca="false">IF(Y$4=0,0,IF(COUNTIFS(実績!$W$6:$W$505,Y$3,実績!$AI$6:$AI$505,"&lt;="&amp;$A80,実績!$AJ$6:$AJ$505,"&gt;"&amp;$A80,実績!$AL$6:$AL$505,"○")&gt;0,1,0))</f>
        <v>0</v>
      </c>
      <c r="Z80" s="39" t="n">
        <f aca="false">IF(Z$4=0,0,IF(COUNTIFS(実績!$W$6:$W$505,Z$3,実績!$AI$6:$AI$505,"&lt;="&amp;$A80,実績!$AJ$6:$AJ$505,"&gt;"&amp;$A80,実績!$AL$6:$AL$505,"○")&gt;0,1,0))</f>
        <v>0</v>
      </c>
      <c r="AA80" s="39" t="n">
        <f aca="false">IF(AA$4=0,0,IF(COUNTIFS(実績!$W$6:$W$505,AA$3,実績!$AI$6:$AI$505,"&lt;="&amp;$A80,実績!$AJ$6:$AJ$505,"&gt;"&amp;$A80,実績!$AL$6:$AL$505,"○")&gt;0,1,0))</f>
        <v>0</v>
      </c>
      <c r="AB80" s="39" t="n">
        <f aca="false">IF(AB$4=0,0,IF(COUNTIFS(実績!$W$6:$W$505,AB$3,実績!$AI$6:$AI$505,"&lt;="&amp;$A80,実績!$AJ$6:$AJ$505,"&gt;"&amp;$A80,実績!$AL$6:$AL$505,"○")&gt;0,1,0))</f>
        <v>0</v>
      </c>
      <c r="AC80" s="39" t="n">
        <f aca="false">IF(AC$4=0,0,IF(COUNTIFS(実績!$W$6:$W$505,AC$3,実績!$AI$6:$AI$505,"&lt;="&amp;$A80,実績!$AJ$6:$AJ$505,"&gt;"&amp;$A80,実績!$AL$6:$AL$505,"○")&gt;0,1,0))</f>
        <v>0</v>
      </c>
      <c r="AD80" s="39" t="n">
        <f aca="false">IF(AD$4=0,0,IF(COUNTIFS(実績!$W$6:$W$505,AD$3,実績!$AI$6:$AI$505,"&lt;="&amp;$A80,実績!$AJ$6:$AJ$505,"&gt;"&amp;$A80,実績!$AL$6:$AL$505,"○")&gt;0,1,0))</f>
        <v>0</v>
      </c>
      <c r="AE80" s="39" t="n">
        <f aca="false">IF(AE$4=0,0,IF(COUNTIFS(実績!$W$6:$W$505,AE$3,実績!$AI$6:$AI$505,"&lt;="&amp;$A80,実績!$AJ$6:$AJ$505,"&gt;"&amp;$A80,実績!$AL$6:$AL$505,"○")&gt;0,1,0))</f>
        <v>0</v>
      </c>
      <c r="AF80" s="39" t="n">
        <f aca="false">IF(AF$4=0,0,IF(COUNTIFS(実績!$W$6:$W$505,AF$3,実績!$AI$6:$AI$505,"&lt;="&amp;$A80,実績!$AJ$6:$AJ$505,"&gt;"&amp;$A80,実績!$AL$6:$AL$505,"○")&gt;0,1,0))</f>
        <v>0</v>
      </c>
      <c r="AG80" s="39" t="n">
        <f aca="false">IF(AG$4=0,0,IF(COUNTIFS(実績!$W$6:$W$505,AG$3,実績!$AI$6:$AI$505,"&lt;="&amp;$A80,実績!$AJ$6:$AJ$505,"&gt;"&amp;$A80,実績!$AL$6:$AL$505,"○")&gt;0,1,0))</f>
        <v>0</v>
      </c>
      <c r="AH80" s="39" t="n">
        <f aca="false">IF(AH$4=0,0,IF(COUNTIFS(実績!$W$6:$W$505,AH$3,実績!$AI$6:$AI$505,"&lt;="&amp;$A80,実績!$AJ$6:$AJ$505,"&gt;"&amp;$A80,実績!$AL$6:$AL$505,"○")&gt;0,1,0))</f>
        <v>0</v>
      </c>
      <c r="AI80" s="39" t="n">
        <f aca="false">IF(AI$4=0,0,IF(COUNTIFS(実績!$W$6:$W$505,AI$3,実績!$AI$6:$AI$505,"&lt;="&amp;$A80,実績!$AJ$6:$AJ$505,"&gt;"&amp;$A80,実績!$AL$6:$AL$505,"○")&gt;0,1,0))</f>
        <v>0</v>
      </c>
      <c r="AJ80" s="39" t="n">
        <f aca="false">IF(AJ$4=0,0,IF(COUNTIFS(実績!$W$6:$W$505,AJ$3,実績!$AI$6:$AI$505,"&lt;="&amp;$A80,実績!$AJ$6:$AJ$505,"&gt;"&amp;$A80,実績!$AL$6:$AL$505,"○")&gt;0,1,0))</f>
        <v>0</v>
      </c>
      <c r="AK80" s="39" t="n">
        <f aca="false">IF(AK$4=0,0,IF(COUNTIFS(実績!$W$6:$W$505,AK$3,実績!$AI$6:$AI$505,"&lt;="&amp;$A80,実績!$AJ$6:$AJ$505,"&gt;"&amp;$A80,実績!$AL$6:$AL$505,"○")&gt;0,1,0))</f>
        <v>0</v>
      </c>
      <c r="AL80" s="39" t="n">
        <f aca="false">IF(AL$4=0,0,IF(COUNTIFS(実績!$W$6:$W$505,AL$3,実績!$AI$6:$AI$505,"&lt;="&amp;$A80,実績!$AJ$6:$AJ$505,"&gt;"&amp;$A80,実績!$AL$6:$AL$505,"○")&gt;0,1,0))</f>
        <v>0</v>
      </c>
      <c r="AM80" s="39" t="n">
        <f aca="false">IF(AM$4=0,0,IF(COUNTIFS(実績!$W$6:$W$505,AM$3,実績!$AI$6:$AI$505,"&lt;="&amp;$A80,実績!$AJ$6:$AJ$505,"&gt;"&amp;$A80,実績!$AL$6:$AL$505,"○")&gt;0,1,0))</f>
        <v>0</v>
      </c>
      <c r="AN80" s="39" t="n">
        <f aca="false">IF(AN$4=0,0,IF(COUNTIFS(実績!$W$6:$W$505,AN$3,実績!$AI$6:$AI$505,"&lt;="&amp;$A80,実績!$AJ$6:$AJ$505,"&gt;"&amp;$A80,実績!$AL$6:$AL$505,"○")&gt;0,1,0))</f>
        <v>0</v>
      </c>
      <c r="AO80" s="39" t="n">
        <f aca="false">IF(AO$4=0,0,IF(COUNTIFS(実績!$W$6:$W$505,AO$3,実績!$AI$6:$AI$505,"&lt;="&amp;$A80,実績!$AJ$6:$AJ$505,"&gt;"&amp;$A80,実績!$AL$6:$AL$505,"○")&gt;0,1,0))</f>
        <v>0</v>
      </c>
      <c r="AP80" s="39" t="n">
        <f aca="false">IF(AP$4=0,0,IF(COUNTIFS(実績!$W$6:$W$505,AP$3,実績!$AI$6:$AI$505,"&lt;="&amp;$A80,実績!$AJ$6:$AJ$505,"&gt;"&amp;$A80,実績!$AL$6:$AL$505,"○")&gt;0,1,0))</f>
        <v>0</v>
      </c>
      <c r="AQ80" s="39" t="n">
        <f aca="false">IF(AQ$4=0,0,IF(COUNTIFS(実績!$W$6:$W$505,AQ$3,実績!$AI$6:$AI$505,"&lt;="&amp;$A80,実績!$AJ$6:$AJ$505,"&gt;"&amp;$A80,実績!$AL$6:$AL$505,"○")&gt;0,1,0))</f>
        <v>0</v>
      </c>
      <c r="AR80" s="39" t="n">
        <f aca="false">IF(AR$4=0,0,IF(COUNTIFS(実績!$W$6:$W$505,AR$3,実績!$AI$6:$AI$505,"&lt;="&amp;$A80,実績!$AJ$6:$AJ$505,"&gt;"&amp;$A80,実績!$AL$6:$AL$505,"○")&gt;0,1,0))</f>
        <v>0</v>
      </c>
      <c r="AS80" s="39" t="n">
        <f aca="false">IF(AS$4=0,0,IF(COUNTIFS(実績!$W$6:$W$505,AS$3,実績!$AI$6:$AI$505,"&lt;="&amp;$A80,実績!$AJ$6:$AJ$505,"&gt;"&amp;$A80,実績!$AL$6:$AL$505,"○")&gt;0,1,0))</f>
        <v>0</v>
      </c>
      <c r="AT80" s="39" t="n">
        <f aca="false">IF(AT$4=0,0,IF(COUNTIFS(実績!$W$6:$W$505,AT$3,実績!$AI$6:$AI$505,"&lt;="&amp;$A80,実績!$AJ$6:$AJ$505,"&gt;"&amp;$A80,実績!$AL$6:$AL$505,"○")&gt;0,1,0))</f>
        <v>0</v>
      </c>
      <c r="AU80" s="39" t="n">
        <f aca="false">IF(AU$4=0,0,IF(COUNTIFS(実績!$W$6:$W$505,AU$3,実績!$AI$6:$AI$505,"&lt;="&amp;$A80,実績!$AJ$6:$AJ$505,"&gt;"&amp;$A80,実績!$AL$6:$AL$505,"○")&gt;0,1,0))</f>
        <v>0</v>
      </c>
      <c r="AV80" s="39" t="n">
        <f aca="false">IF(AV$4=0,0,IF(COUNTIFS(実績!$W$6:$W$505,AV$3,実績!$AI$6:$AI$505,"&lt;="&amp;$A80,実績!$AJ$6:$AJ$505,"&gt;"&amp;$A80,実績!$AL$6:$AL$505,"○")&gt;0,1,0))</f>
        <v>0</v>
      </c>
      <c r="AW80" s="39" t="n">
        <f aca="false">IF(AW$4=0,0,IF(COUNTIFS(実績!$W$6:$W$505,AW$3,実績!$AI$6:$AI$505,"&lt;="&amp;$A80,実績!$AJ$6:$AJ$505,"&gt;"&amp;$A80,実績!$AL$6:$AL$505,"○")&gt;0,1,0))</f>
        <v>0</v>
      </c>
      <c r="AX80" s="39" t="n">
        <f aca="false">IF(AX$4=0,0,IF(COUNTIFS(実績!$W$6:$W$505,AX$3,実績!$AI$6:$AI$505,"&lt;="&amp;$A80,実績!$AJ$6:$AJ$505,"&gt;"&amp;$A80,実績!$AL$6:$AL$505,"○")&gt;0,1,0))</f>
        <v>0</v>
      </c>
      <c r="AY80" s="39" t="n">
        <f aca="false">IF(AY$4=0,0,IF(COUNTIFS(実績!$W$6:$W$505,AY$3,実績!$AI$6:$AI$505,"&lt;="&amp;$A80,実績!$AJ$6:$AJ$505,"&gt;"&amp;$A80,実績!$AL$6:$AL$505,"○")&gt;0,1,0))</f>
        <v>0</v>
      </c>
      <c r="AZ80" s="39" t="n">
        <f aca="false">IF(AZ$4=0,0,IF(COUNTIFS(実績!$W$6:$W$505,AZ$3,実績!$AI$6:$AI$505,"&lt;="&amp;$A80,実績!$AJ$6:$AJ$505,"&gt;"&amp;$A80,実績!$AL$6:$AL$505,"○")&gt;0,1,0))</f>
        <v>0</v>
      </c>
      <c r="BA80" s="39" t="n">
        <f aca="false">IF(BA$4=0,0,IF(COUNTIFS(実績!$W$6:$W$505,BA$3,実績!$AI$6:$AI$505,"&lt;="&amp;$A80,実績!$AJ$6:$AJ$505,"&gt;"&amp;$A80,実績!$AL$6:$AL$505,"○")&gt;0,1,0))</f>
        <v>0</v>
      </c>
      <c r="BB80" s="39" t="n">
        <f aca="false">IF(BB$4=0,0,IF(COUNTIFS(実績!$W$6:$W$505,BB$3,実績!$AI$6:$AI$505,"&lt;="&amp;$A80,実績!$AJ$6:$AJ$505,"&gt;"&amp;$A80,実績!$AL$6:$AL$505,"○")&gt;0,1,0))</f>
        <v>0</v>
      </c>
      <c r="BC80" s="39" t="n">
        <f aca="false">IF(BC$4=0,0,IF(COUNTIFS(実績!$W$6:$W$505,BC$3,実績!$AI$6:$AI$505,"&lt;="&amp;$A80,実績!$AJ$6:$AJ$505,"&gt;"&amp;$A80,実績!$AL$6:$AL$505,"○")&gt;0,1,0))</f>
        <v>0</v>
      </c>
      <c r="BD80" s="39" t="n">
        <f aca="false">IF(BD$4=0,0,IF(COUNTIFS(実績!$W$6:$W$505,BD$3,実績!$AI$6:$AI$505,"&lt;="&amp;$A80,実績!$AJ$6:$AJ$505,"&gt;"&amp;$A80,実績!$AL$6:$AL$505,"○")&gt;0,1,0))</f>
        <v>0</v>
      </c>
      <c r="BE80" s="39" t="n">
        <f aca="false">IF(BE$4=0,0,IF(COUNTIFS(実績!$W$6:$W$505,BE$3,実績!$AI$6:$AI$505,"&lt;="&amp;$A80,実績!$AJ$6:$AJ$505,"&gt;"&amp;$A80,実績!$AL$6:$AL$505,"○")&gt;0,1,0))</f>
        <v>0</v>
      </c>
      <c r="BF80" s="39" t="n">
        <f aca="false">IF(BF$4=0,0,IF(COUNTIFS(実績!$W$6:$W$505,BF$3,実績!$AI$6:$AI$505,"&lt;="&amp;$A80,実績!$AJ$6:$AJ$505,"&gt;"&amp;$A80,実績!$AL$6:$AL$505,"○")&gt;0,1,0))</f>
        <v>0</v>
      </c>
      <c r="BG80" s="39" t="n">
        <f aca="false">IF(BG$4=0,0,IF(COUNTIFS(実績!$W$6:$W$505,BG$3,実績!$AI$6:$AI$505,"&lt;="&amp;$A80,実績!$AJ$6:$AJ$505,"&gt;"&amp;$A80,実績!$AL$6:$AL$505,"○")&gt;0,1,0))</f>
        <v>0</v>
      </c>
      <c r="BH80" s="39" t="n">
        <f aca="false">IF(BH$4=0,0,IF(COUNTIFS(実績!$W$6:$W$505,BH$3,実績!$AI$6:$AI$505,"&lt;="&amp;$A80,実績!$AJ$6:$AJ$505,"&gt;"&amp;$A80,実績!$AL$6:$AL$505,"○")&gt;0,1,0))</f>
        <v>0</v>
      </c>
      <c r="BI80" s="39" t="n">
        <f aca="false">IF(BI$4=0,0,IF(COUNTIFS(実績!$W$6:$W$505,BI$3,実績!$AI$6:$AI$505,"&lt;="&amp;$A80,実績!$AJ$6:$AJ$505,"&gt;"&amp;$A80,実績!$AL$6:$AL$505,"○")&gt;0,1,0))</f>
        <v>0</v>
      </c>
      <c r="BJ80" s="39" t="n">
        <f aca="false">IF(BJ$4=0,0,IF(COUNTIFS(実績!$W$6:$W$505,BJ$3,実績!$AI$6:$AI$505,"&lt;="&amp;$A80,実績!$AJ$6:$AJ$505,"&gt;"&amp;$A80,実績!$AL$6:$AL$505,"○")&gt;0,1,0))</f>
        <v>0</v>
      </c>
      <c r="BK80" s="39" t="n">
        <f aca="false">IF(BK$4=0,0,IF(COUNTIFS(実績!$W$6:$W$505,BK$3,実績!$AI$6:$AI$505,"&lt;="&amp;$A80,実績!$AJ$6:$AJ$505,"&gt;"&amp;$A80,実績!$AL$6:$AL$505,"○")&gt;0,1,0))</f>
        <v>0</v>
      </c>
      <c r="BL80" s="39" t="n">
        <f aca="false">IF(BL$4=0,0,IF(COUNTIFS(実績!$W$6:$W$505,BL$3,実績!$AI$6:$AI$505,"&lt;="&amp;$A80,実績!$AJ$6:$AJ$505,"&gt;"&amp;$A80,実績!$AL$6:$AL$505,"○")&gt;0,1,0))</f>
        <v>0</v>
      </c>
      <c r="BM80" s="39" t="n">
        <f aca="false">IF(BM$4=0,0,IF(COUNTIFS(実績!$W$6:$W$505,BM$3,実績!$AI$6:$AI$505,"&lt;="&amp;$A80,実績!$AJ$6:$AJ$505,"&gt;"&amp;$A80,実績!$AL$6:$AL$505,"○")&gt;0,1,0))</f>
        <v>0</v>
      </c>
      <c r="BN80" s="39" t="n">
        <f aca="false">IF(BN$4=0,0,IF(COUNTIFS(実績!$W$6:$W$505,BN$3,実績!$AI$6:$AI$505,"&lt;="&amp;$A80,実績!$AJ$6:$AJ$505,"&gt;"&amp;$A80,実績!$AL$6:$AL$505,"○")&gt;0,1,0))</f>
        <v>0</v>
      </c>
      <c r="BO80" s="39" t="n">
        <f aca="false">IF(BO$4=0,0,IF(COUNTIFS(実績!$W$6:$W$505,BO$3,実績!$AI$6:$AI$505,"&lt;="&amp;$A80,実績!$AJ$6:$AJ$505,"&gt;"&amp;$A80,実績!$AL$6:$AL$505,"○")&gt;0,1,0))</f>
        <v>0</v>
      </c>
      <c r="BP80" s="39" t="n">
        <f aca="false">IF(BP$4=0,0,IF(COUNTIFS(実績!$W$6:$W$505,BP$3,実績!$AI$6:$AI$505,"&lt;="&amp;$A80,実績!$AJ$6:$AJ$505,"&gt;"&amp;$A80,実績!$AL$6:$AL$505,"○")&gt;0,1,0))</f>
        <v>0</v>
      </c>
      <c r="BQ80" s="39" t="n">
        <f aca="false">IF(BQ$4=0,0,IF(COUNTIFS(実績!$W$6:$W$505,BQ$3,実績!$AI$6:$AI$505,"&lt;="&amp;$A80,実績!$AJ$6:$AJ$505,"&gt;"&amp;$A80,実績!$AL$6:$AL$505,"○")&gt;0,1,0))</f>
        <v>0</v>
      </c>
      <c r="BR80" s="39" t="n">
        <f aca="false">IF(BR$4=0,0,IF(COUNTIFS(実績!$W$6:$W$505,BR$3,実績!$AI$6:$AI$505,"&lt;="&amp;$A80,実績!$AJ$6:$AJ$505,"&gt;"&amp;$A80,実績!$AL$6:$AL$505,"○")&gt;0,1,0))</f>
        <v>0</v>
      </c>
      <c r="BS80" s="39" t="n">
        <f aca="false">IF(BS$4=0,0,IF(COUNTIFS(実績!$W$6:$W$505,BS$3,実績!$AI$6:$AI$505,"&lt;="&amp;$A80,実績!$AJ$6:$AJ$505,"&gt;"&amp;$A80,実績!$AL$6:$AL$505,"○")&gt;0,1,0))</f>
        <v>0</v>
      </c>
      <c r="BT80" s="39" t="n">
        <f aca="false">IF(BT$4=0,0,IF(COUNTIFS(実績!$W$6:$W$505,BT$3,実績!$AI$6:$AI$505,"&lt;="&amp;$A80,実績!$AJ$6:$AJ$505,"&gt;"&amp;$A80,実績!$AL$6:$AL$505,"○")&gt;0,1,0))</f>
        <v>0</v>
      </c>
      <c r="BU80" s="39" t="n">
        <f aca="false">IF(BU$4=0,0,IF(COUNTIFS(実績!$W$6:$W$505,BU$3,実績!$AI$6:$AI$505,"&lt;="&amp;$A80,実績!$AJ$6:$AJ$505,"&gt;"&amp;$A80,実績!$AL$6:$AL$505,"○")&gt;0,1,0))</f>
        <v>0</v>
      </c>
      <c r="BV80" s="39" t="n">
        <f aca="false">IF(BV$4=0,0,IF(COUNTIFS(実績!$W$6:$W$505,BV$3,実績!$AI$6:$AI$505,"&lt;="&amp;$A80,実績!$AJ$6:$AJ$505,"&gt;"&amp;$A80,実績!$AL$6:$AL$505,"○")&gt;0,1,0))</f>
        <v>0</v>
      </c>
      <c r="BW80" s="39" t="n">
        <f aca="false">IF(BW$4=0,0,IF(COUNTIFS(実績!$W$6:$W$505,BW$3,実績!$AI$6:$AI$505,"&lt;="&amp;$A80,実績!$AJ$6:$AJ$505,"&gt;"&amp;$A80,実績!$AL$6:$AL$505,"○")&gt;0,1,0))</f>
        <v>0</v>
      </c>
      <c r="BX80" s="39" t="n">
        <f aca="false">IF(BX$4=0,0,IF(COUNTIFS(実績!$W$6:$W$505,BX$3,実績!$AI$6:$AI$505,"&lt;="&amp;$A80,実績!$AJ$6:$AJ$505,"&gt;"&amp;$A80,実績!$AL$6:$AL$505,"○")&gt;0,1,0))</f>
        <v>0</v>
      </c>
      <c r="BY80" s="39" t="n">
        <f aca="false">IF(BY$4=0,0,IF(COUNTIFS(実績!$W$6:$W$505,BY$3,実績!$AI$6:$AI$505,"&lt;="&amp;$A80,実績!$AJ$6:$AJ$505,"&gt;"&amp;$A80,実績!$AL$6:$AL$505,"○")&gt;0,1,0))</f>
        <v>0</v>
      </c>
      <c r="BZ80" s="39" t="n">
        <f aca="false">IF(BZ$4=0,0,IF(COUNTIFS(実績!$W$6:$W$505,BZ$3,実績!$AI$6:$AI$505,"&lt;="&amp;$A80,実績!$AJ$6:$AJ$505,"&gt;"&amp;$A80,実績!$AL$6:$AL$505,"○")&gt;0,1,0))</f>
        <v>0</v>
      </c>
      <c r="CA80" s="39" t="n">
        <f aca="false">IF(CA$4=0,0,IF(COUNTIFS(実績!$W$6:$W$505,CA$3,実績!$AI$6:$AI$505,"&lt;="&amp;$A80,実績!$AJ$6:$AJ$505,"&gt;"&amp;$A80,実績!$AL$6:$AL$505,"○")&gt;0,1,0))</f>
        <v>0</v>
      </c>
      <c r="CB80" s="39" t="n">
        <f aca="false">IF(CB$4=0,0,IF(COUNTIFS(実績!$W$6:$W$505,CB$3,実績!$AI$6:$AI$505,"&lt;="&amp;$A80,実績!$AJ$6:$AJ$505,"&gt;"&amp;$A80,実績!$AL$6:$AL$505,"○")&gt;0,1,0))</f>
        <v>0</v>
      </c>
      <c r="CC80" s="39" t="n">
        <f aca="false">IF(CC$4=0,0,IF(COUNTIFS(実績!$W$6:$W$505,CC$3,実績!$AI$6:$AI$505,"&lt;="&amp;$A80,実績!$AJ$6:$AJ$505,"&gt;"&amp;$A80,実績!$AL$6:$AL$505,"○")&gt;0,1,0))</f>
        <v>0</v>
      </c>
      <c r="CD80" s="39" t="n">
        <f aca="false">IF(CD$4=0,0,IF(COUNTIFS(実績!$W$6:$W$505,CD$3,実績!$AI$6:$AI$505,"&lt;="&amp;$A80,実績!$AJ$6:$AJ$505,"&gt;"&amp;$A80,実績!$AL$6:$AL$505,"○")&gt;0,1,0))</f>
        <v>0</v>
      </c>
      <c r="CE80" s="39" t="n">
        <f aca="false">IF(CE$4=0,0,IF(COUNTIFS(実績!$W$6:$W$505,CE$3,実績!$AI$6:$AI$505,"&lt;="&amp;$A80,実績!$AJ$6:$AJ$505,"&gt;"&amp;$A80,実績!$AL$6:$AL$505,"○")&gt;0,1,0))</f>
        <v>0</v>
      </c>
      <c r="CF80" s="39" t="n">
        <f aca="false">IF(CF$4=0,0,IF(COUNTIFS(実績!$W$6:$W$505,CF$3,実績!$AI$6:$AI$505,"&lt;="&amp;$A80,実績!$AJ$6:$AJ$505,"&gt;"&amp;$A80,実績!$AL$6:$AL$505,"○")&gt;0,1,0))</f>
        <v>0</v>
      </c>
      <c r="CG80" s="39" t="n">
        <f aca="false">IF(CG$4=0,0,IF(COUNTIFS(実績!$W$6:$W$505,CG$3,実績!$AI$6:$AI$505,"&lt;="&amp;$A80,実績!$AJ$6:$AJ$505,"&gt;"&amp;$A80,実績!$AL$6:$AL$505,"○")&gt;0,1,0))</f>
        <v>0</v>
      </c>
      <c r="CH80" s="39" t="n">
        <f aca="false">IF(CH$4=0,0,IF(COUNTIFS(実績!$W$6:$W$505,CH$3,実績!$AI$6:$AI$505,"&lt;="&amp;$A80,実績!$AJ$6:$AJ$505,"&gt;"&amp;$A80,実績!$AL$6:$AL$505,"○")&gt;0,1,0))</f>
        <v>0</v>
      </c>
      <c r="CI80" s="39" t="n">
        <f aca="false">IF(CI$4=0,0,IF(COUNTIFS(実績!$W$6:$W$505,CI$3,実績!$AI$6:$AI$505,"&lt;="&amp;$A80,実績!$AJ$6:$AJ$505,"&gt;"&amp;$A80,実績!$AL$6:$AL$505,"○")&gt;0,1,0))</f>
        <v>0</v>
      </c>
      <c r="CJ80" s="39" t="n">
        <f aca="false">IF(CJ$4=0,0,IF(COUNTIFS(実績!$W$6:$W$505,CJ$3,実績!$AI$6:$AI$505,"&lt;="&amp;$A80,実績!$AJ$6:$AJ$505,"&gt;"&amp;$A80,実績!$AL$6:$AL$505,"○")&gt;0,1,0))</f>
        <v>0</v>
      </c>
      <c r="CK80" s="39" t="n">
        <f aca="false">IF(CK$4=0,0,IF(COUNTIFS(実績!$W$6:$W$505,CK$3,実績!$AI$6:$AI$505,"&lt;="&amp;$A80,実績!$AJ$6:$AJ$505,"&gt;"&amp;$A80,実績!$AL$6:$AL$505,"○")&gt;0,1,0))</f>
        <v>0</v>
      </c>
      <c r="CL80" s="39" t="n">
        <f aca="false">IF(CL$4=0,0,IF(COUNTIFS(実績!$W$6:$W$505,CL$3,実績!$AI$6:$AI$505,"&lt;="&amp;$A80,実績!$AJ$6:$AJ$505,"&gt;"&amp;$A80,実績!$AL$6:$AL$505,"○")&gt;0,1,0))</f>
        <v>0</v>
      </c>
      <c r="CM80" s="39" t="n">
        <f aca="false">IF(CM$4=0,0,IF(COUNTIFS(実績!$W$6:$W$505,CM$3,実績!$AI$6:$AI$505,"&lt;="&amp;$A80,実績!$AJ$6:$AJ$505,"&gt;"&amp;$A80,実績!$AL$6:$AL$505,"○")&gt;0,1,0))</f>
        <v>0</v>
      </c>
      <c r="CN80" s="39" t="n">
        <f aca="false">IF(CN$4=0,0,IF(COUNTIFS(実績!$W$6:$W$505,CN$3,実績!$AI$6:$AI$505,"&lt;="&amp;$A80,実績!$AJ$6:$AJ$505,"&gt;"&amp;$A80,実績!$AL$6:$AL$505,"○")&gt;0,1,0))</f>
        <v>0</v>
      </c>
      <c r="CO80" s="39" t="n">
        <f aca="false">IF(CO$4=0,0,IF(COUNTIFS(実績!$W$6:$W$505,CO$3,実績!$AI$6:$AI$505,"&lt;="&amp;$A80,実績!$AJ$6:$AJ$505,"&gt;"&amp;$A80,実績!$AL$6:$AL$505,"○")&gt;0,1,0))</f>
        <v>0</v>
      </c>
      <c r="CP80" s="39" t="n">
        <f aca="false">IF(CP$4=0,0,IF(COUNTIFS(実績!$W$6:$W$505,CP$3,実績!$AI$6:$AI$505,"&lt;="&amp;$A80,実績!$AJ$6:$AJ$505,"&gt;"&amp;$A80,実績!$AL$6:$AL$505,"○")&gt;0,1,0))</f>
        <v>0</v>
      </c>
      <c r="CQ80" s="39" t="n">
        <f aca="false">IF(CQ$4=0,0,IF(COUNTIFS(実績!$W$6:$W$505,CQ$3,実績!$AI$6:$AI$505,"&lt;="&amp;$A80,実績!$AJ$6:$AJ$505,"&gt;"&amp;$A80,実績!$AL$6:$AL$505,"○")&gt;0,1,0))</f>
        <v>0</v>
      </c>
      <c r="CR80" s="39" t="n">
        <f aca="false">IF(CR$4=0,0,IF(COUNTIFS(実績!$W$6:$W$505,CR$3,実績!$AI$6:$AI$505,"&lt;="&amp;$A80,実績!$AJ$6:$AJ$505,"&gt;"&amp;$A80,実績!$AL$6:$AL$505,"○")&gt;0,1,0))</f>
        <v>0</v>
      </c>
      <c r="CS80" s="39" t="n">
        <f aca="false">IF(CS$4=0,0,IF(COUNTIFS(実績!$W$6:$W$505,CS$3,実績!$AI$6:$AI$505,"&lt;="&amp;$A80,実績!$AJ$6:$AJ$505,"&gt;"&amp;$A80,実績!$AL$6:$AL$505,"○")&gt;0,1,0))</f>
        <v>0</v>
      </c>
      <c r="CT80" s="39" t="n">
        <f aca="false">IF(CT$4=0,0,IF(COUNTIFS(実績!$W$6:$W$505,CT$3,実績!$AI$6:$AI$505,"&lt;="&amp;$A80,実績!$AJ$6:$AJ$505,"&gt;"&amp;$A80,実績!$AL$6:$AL$505,"○")&gt;0,1,0))</f>
        <v>0</v>
      </c>
      <c r="CU80" s="39" t="n">
        <f aca="false">IF(CU$4=0,0,IF(COUNTIFS(実績!$W$6:$W$505,CU$3,実績!$AI$6:$AI$505,"&lt;="&amp;$A80,実績!$AJ$6:$AJ$505,"&gt;"&amp;$A80,実績!$AL$6:$AL$505,"○")&gt;0,1,0))</f>
        <v>0</v>
      </c>
      <c r="CV80" s="39" t="n">
        <f aca="false">IF(CV$4=0,0,IF(COUNTIFS(実績!$W$6:$W$505,CV$3,実績!$AI$6:$AI$505,"&lt;="&amp;$A80,実績!$AJ$6:$AJ$505,"&gt;"&amp;$A80,実績!$AL$6:$AL$505,"○")&gt;0,1,0))</f>
        <v>0</v>
      </c>
      <c r="CW80" s="39" t="n">
        <f aca="false">IF(CW$4=0,0,IF(COUNTIFS(実績!$W$6:$W$505,CW$3,実績!$AI$6:$AI$505,"&lt;="&amp;$A80,実績!$AJ$6:$AJ$505,"&gt;"&amp;$A80,実績!$AL$6:$AL$505,"○")&gt;0,1,0))</f>
        <v>0</v>
      </c>
      <c r="CX80" s="39" t="n">
        <f aca="false">IF(CX$4=0,0,IF(COUNTIFS(実績!$W$6:$W$505,CX$3,実績!$AI$6:$AI$505,"&lt;="&amp;$A80,実績!$AJ$6:$AJ$505,"&gt;"&amp;$A80,実績!$AL$6:$AL$505,"○")&gt;0,1,0))</f>
        <v>0</v>
      </c>
      <c r="CY80" s="39" t="n">
        <f aca="false">IF(CY$4=0,0,IF(COUNTIFS(実績!$W$6:$W$505,CY$3,実績!$AI$6:$AI$505,"&lt;="&amp;$A80,実績!$AJ$6:$AJ$505,"&gt;"&amp;$A80,実績!$AL$6:$AL$505,"○")&gt;0,1,0))</f>
        <v>0</v>
      </c>
      <c r="CZ80" s="39" t="n">
        <f aca="false">IF(CZ$4=0,0,IF(COUNTIFS(実績!$W$6:$W$505,CZ$3,実績!$AI$6:$AI$505,"&lt;="&amp;$A80,実績!$AJ$6:$AJ$505,"&gt;"&amp;$A80,実績!$AL$6:$AL$505,"○")&gt;0,1,0))</f>
        <v>0</v>
      </c>
      <c r="DA80" s="39" t="n">
        <f aca="false">IF(DA$4=0,0,IF(COUNTIFS(実績!$W$6:$W$505,DA$3,実績!$AI$6:$AI$505,"&lt;="&amp;$A80,実績!$AJ$6:$AJ$505,"&gt;"&amp;$A80,実績!$AL$6:$AL$505,"○")&gt;0,1,0))</f>
        <v>0</v>
      </c>
      <c r="DB80" s="39" t="n">
        <f aca="false">IF(DB$4=0,0,IF(COUNTIFS(実績!$W$6:$W$505,DB$3,実績!$AI$6:$AI$505,"&lt;="&amp;$A80,実績!$AJ$6:$AJ$505,"&gt;"&amp;$A80,実績!$AL$6:$AL$505,"○")&gt;0,1,0))</f>
        <v>0</v>
      </c>
      <c r="DC80" s="39" t="n">
        <f aca="false">IF(DC$4=0,0,IF(COUNTIFS(実績!$W$6:$W$505,DC$3,実績!$AI$6:$AI$505,"&lt;="&amp;$A80,実績!$AJ$6:$AJ$505,"&gt;"&amp;$A80,実績!$AL$6:$AL$505,"○")&gt;0,1,0))</f>
        <v>0</v>
      </c>
      <c r="DD80" s="39" t="n">
        <f aca="false">IF(DD$4=0,0,IF(COUNTIFS(実績!$W$6:$W$505,DD$3,実績!$AI$6:$AI$505,"&lt;="&amp;$A80,実績!$AJ$6:$AJ$505,"&gt;"&amp;$A80,実績!$AL$6:$AL$505,"○")&gt;0,1,0))</f>
        <v>0</v>
      </c>
      <c r="DE80" s="39" t="n">
        <f aca="false">IF(DE$4=0,0,IF(COUNTIFS(実績!$W$6:$W$505,DE$3,実績!$AI$6:$AI$505,"&lt;="&amp;$A80,実績!$AJ$6:$AJ$505,"&gt;"&amp;$A80,実績!$AL$6:$AL$505,"○")&gt;0,1,0))</f>
        <v>0</v>
      </c>
      <c r="DF80" s="39" t="n">
        <f aca="false">IF(DF$4=0,0,IF(COUNTIFS(実績!$W$6:$W$505,DF$3,実績!$AI$6:$AI$505,"&lt;="&amp;$A80,実績!$AJ$6:$AJ$505,"&gt;"&amp;$A80,実績!$AL$6:$AL$505,"○")&gt;0,1,0))</f>
        <v>0</v>
      </c>
      <c r="DG80" s="39" t="n">
        <f aca="false">IF(DG$4=0,0,IF(COUNTIFS(実績!$W$6:$W$505,DG$3,実績!$AI$6:$AI$505,"&lt;="&amp;$A80,実績!$AJ$6:$AJ$505,"&gt;"&amp;$A80,実績!$AL$6:$AL$505,"○")&gt;0,1,0))</f>
        <v>0</v>
      </c>
      <c r="DH80" s="39" t="n">
        <f aca="false">IF(DH$4=0,0,IF(COUNTIFS(実績!$W$6:$W$505,DH$3,実績!$AI$6:$AI$505,"&lt;="&amp;$A80,実績!$AJ$6:$AJ$505,"&gt;"&amp;$A80,実績!$AL$6:$AL$505,"○")&gt;0,1,0))</f>
        <v>0</v>
      </c>
      <c r="DI80" s="39" t="n">
        <f aca="false">IF(DI$4=0,0,IF(COUNTIFS(実績!$W$6:$W$505,DI$3,実績!$AI$6:$AI$505,"&lt;="&amp;$A80,実績!$AJ$6:$AJ$505,"&gt;"&amp;$A80,実績!$AL$6:$AL$505,"○")&gt;0,1,0))</f>
        <v>0</v>
      </c>
      <c r="DJ80" s="39" t="n">
        <f aca="false">IF(DJ$4=0,0,IF(COUNTIFS(実績!$W$6:$W$505,DJ$3,実績!$AI$6:$AI$505,"&lt;="&amp;$A80,実績!$AJ$6:$AJ$505,"&gt;"&amp;$A80,実績!$AL$6:$AL$505,"○")&gt;0,1,0))</f>
        <v>0</v>
      </c>
      <c r="DK80" s="39" t="n">
        <f aca="false">IF(DK$4=0,0,IF(COUNTIFS(実績!$W$6:$W$505,DK$3,実績!$AI$6:$AI$505,"&lt;="&amp;$A80,実績!$AJ$6:$AJ$505,"&gt;"&amp;$A80,実績!$AL$6:$AL$505,"○")&gt;0,1,0))</f>
        <v>0</v>
      </c>
      <c r="DL80" s="39" t="n">
        <f aca="false">IF(DL$4=0,0,IF(COUNTIFS(実績!$W$6:$W$505,DL$3,実績!$AI$6:$AI$505,"&lt;="&amp;$A80,実績!$AJ$6:$AJ$505,"&gt;"&amp;$A80,実績!$AL$6:$AL$505,"○")&gt;0,1,0))</f>
        <v>0</v>
      </c>
      <c r="DM80" s="39" t="n">
        <f aca="false">IF(DM$4=0,0,IF(COUNTIFS(実績!$W$6:$W$505,DM$3,実績!$AI$6:$AI$505,"&lt;="&amp;$A80,実績!$AJ$6:$AJ$505,"&gt;"&amp;$A80,実績!$AL$6:$AL$505,"○")&gt;0,1,0))</f>
        <v>0</v>
      </c>
      <c r="DN80" s="39" t="n">
        <f aca="false">IF(DN$4=0,0,IF(COUNTIFS(実績!$W$6:$W$505,DN$3,実績!$AI$6:$AI$505,"&lt;="&amp;$A80,実績!$AJ$6:$AJ$505,"&gt;"&amp;$A80,実績!$AL$6:$AL$505,"○")&gt;0,1,0))</f>
        <v>0</v>
      </c>
      <c r="DO80" s="39" t="n">
        <f aca="false">IF(DO$4=0,0,IF(COUNTIFS(実績!$W$6:$W$505,DO$3,実績!$AI$6:$AI$505,"&lt;="&amp;$A80,実績!$AJ$6:$AJ$505,"&gt;"&amp;$A80,実績!$AL$6:$AL$505,"○")&gt;0,1,0))</f>
        <v>0</v>
      </c>
      <c r="DP80" s="39" t="n">
        <f aca="false">IF(DP$4=0,0,IF(COUNTIFS(実績!$W$6:$W$505,DP$3,実績!$AI$6:$AI$505,"&lt;="&amp;$A80,実績!$AJ$6:$AJ$505,"&gt;"&amp;$A80,実績!$AL$6:$AL$505,"○")&gt;0,1,0))</f>
        <v>0</v>
      </c>
      <c r="DQ80" s="39" t="n">
        <f aca="false">IF(DQ$4=0,0,IF(COUNTIFS(実績!$W$6:$W$505,DQ$3,実績!$AI$6:$AI$505,"&lt;="&amp;$A80,実績!$AJ$6:$AJ$505,"&gt;"&amp;$A80,実績!$AL$6:$AL$505,"○")&gt;0,1,0))</f>
        <v>0</v>
      </c>
      <c r="DR80" s="39" t="n">
        <f aca="false">IF(DR$4=0,0,IF(COUNTIFS(実績!$W$6:$W$505,DR$3,実績!$AI$6:$AI$505,"&lt;="&amp;$A80,実績!$AJ$6:$AJ$505,"&gt;"&amp;$A80,実績!$AL$6:$AL$505,"○")&gt;0,1,0))</f>
        <v>0</v>
      </c>
      <c r="DS80" s="39" t="n">
        <f aca="false">SUM(C80:DR80)</f>
        <v>0</v>
      </c>
    </row>
    <row r="81" customFormat="false" ht="15" hidden="false" customHeight="false" outlineLevel="0" collapsed="false">
      <c r="A81" s="0" t="n">
        <v>375</v>
      </c>
      <c r="B81" s="38" t="n">
        <f aca="false">A81/1440</f>
        <v>0.260416666666667</v>
      </c>
      <c r="C81" s="39" t="n">
        <f aca="false">IF(C$4=0,0,IF(COUNTIFS(実績!$W$6:$W$505,C$3,実績!$AI$6:$AI$505,"&lt;="&amp;$A81,実績!$AJ$6:$AJ$505,"&gt;"&amp;$A81,実績!$AL$6:$AL$505,"○")&gt;0,1,0))</f>
        <v>0</v>
      </c>
      <c r="D81" s="39" t="n">
        <f aca="false">IF(D$4=0,0,IF(COUNTIFS(実績!$W$6:$W$505,D$3,実績!$AI$6:$AI$505,"&lt;="&amp;$A81,実績!$AJ$6:$AJ$505,"&gt;"&amp;$A81,実績!$AL$6:$AL$505,"○")&gt;0,1,0))</f>
        <v>0</v>
      </c>
      <c r="E81" s="39" t="n">
        <f aca="false">IF(E$4=0,0,IF(COUNTIFS(実績!$W$6:$W$505,E$3,実績!$AI$6:$AI$505,"&lt;="&amp;$A81,実績!$AJ$6:$AJ$505,"&gt;"&amp;$A81,実績!$AL$6:$AL$505,"○")&gt;0,1,0))</f>
        <v>0</v>
      </c>
      <c r="F81" s="39" t="n">
        <f aca="false">IF(F$4=0,0,IF(COUNTIFS(実績!$W$6:$W$505,F$3,実績!$AI$6:$AI$505,"&lt;="&amp;$A81,実績!$AJ$6:$AJ$505,"&gt;"&amp;$A81,実績!$AL$6:$AL$505,"○")&gt;0,1,0))</f>
        <v>0</v>
      </c>
      <c r="G81" s="39" t="n">
        <f aca="false">IF(G$4=0,0,IF(COUNTIFS(実績!$W$6:$W$505,G$3,実績!$AI$6:$AI$505,"&lt;="&amp;$A81,実績!$AJ$6:$AJ$505,"&gt;"&amp;$A81,実績!$AL$6:$AL$505,"○")&gt;0,1,0))</f>
        <v>0</v>
      </c>
      <c r="H81" s="39" t="n">
        <f aca="false">IF(H$4=0,0,IF(COUNTIFS(実績!$W$6:$W$505,H$3,実績!$AI$6:$AI$505,"&lt;="&amp;$A81,実績!$AJ$6:$AJ$505,"&gt;"&amp;$A81,実績!$AL$6:$AL$505,"○")&gt;0,1,0))</f>
        <v>0</v>
      </c>
      <c r="I81" s="39" t="n">
        <f aca="false">IF(I$4=0,0,IF(COUNTIFS(実績!$W$6:$W$505,I$3,実績!$AI$6:$AI$505,"&lt;="&amp;$A81,実績!$AJ$6:$AJ$505,"&gt;"&amp;$A81,実績!$AL$6:$AL$505,"○")&gt;0,1,0))</f>
        <v>0</v>
      </c>
      <c r="J81" s="39" t="n">
        <f aca="false">IF(J$4=0,0,IF(COUNTIFS(実績!$W$6:$W$505,J$3,実績!$AI$6:$AI$505,"&lt;="&amp;$A81,実績!$AJ$6:$AJ$505,"&gt;"&amp;$A81,実績!$AL$6:$AL$505,"○")&gt;0,1,0))</f>
        <v>0</v>
      </c>
      <c r="K81" s="39" t="n">
        <f aca="false">IF(K$4=0,0,IF(COUNTIFS(実績!$W$6:$W$505,K$3,実績!$AI$6:$AI$505,"&lt;="&amp;$A81,実績!$AJ$6:$AJ$505,"&gt;"&amp;$A81,実績!$AL$6:$AL$505,"○")&gt;0,1,0))</f>
        <v>0</v>
      </c>
      <c r="L81" s="39" t="n">
        <f aca="false">IF(L$4=0,0,IF(COUNTIFS(実績!$W$6:$W$505,L$3,実績!$AI$6:$AI$505,"&lt;="&amp;$A81,実績!$AJ$6:$AJ$505,"&gt;"&amp;$A81,実績!$AL$6:$AL$505,"○")&gt;0,1,0))</f>
        <v>0</v>
      </c>
      <c r="M81" s="39" t="n">
        <f aca="false">IF(M$4=0,0,IF(COUNTIFS(実績!$W$6:$W$505,M$3,実績!$AI$6:$AI$505,"&lt;="&amp;$A81,実績!$AJ$6:$AJ$505,"&gt;"&amp;$A81,実績!$AL$6:$AL$505,"○")&gt;0,1,0))</f>
        <v>0</v>
      </c>
      <c r="N81" s="39" t="n">
        <f aca="false">IF(N$4=0,0,IF(COUNTIFS(実績!$W$6:$W$505,N$3,実績!$AI$6:$AI$505,"&lt;="&amp;$A81,実績!$AJ$6:$AJ$505,"&gt;"&amp;$A81,実績!$AL$6:$AL$505,"○")&gt;0,1,0))</f>
        <v>0</v>
      </c>
      <c r="O81" s="39" t="n">
        <f aca="false">IF(O$4=0,0,IF(COUNTIFS(実績!$W$6:$W$505,O$3,実績!$AI$6:$AI$505,"&lt;="&amp;$A81,実績!$AJ$6:$AJ$505,"&gt;"&amp;$A81,実績!$AL$6:$AL$505,"○")&gt;0,1,0))</f>
        <v>0</v>
      </c>
      <c r="P81" s="39" t="n">
        <f aca="false">IF(P$4=0,0,IF(COUNTIFS(実績!$W$6:$W$505,P$3,実績!$AI$6:$AI$505,"&lt;="&amp;$A81,実績!$AJ$6:$AJ$505,"&gt;"&amp;$A81,実績!$AL$6:$AL$505,"○")&gt;0,1,0))</f>
        <v>0</v>
      </c>
      <c r="Q81" s="39" t="n">
        <f aca="false">IF(Q$4=0,0,IF(COUNTIFS(実績!$W$6:$W$505,Q$3,実績!$AI$6:$AI$505,"&lt;="&amp;$A81,実績!$AJ$6:$AJ$505,"&gt;"&amp;$A81,実績!$AL$6:$AL$505,"○")&gt;0,1,0))</f>
        <v>0</v>
      </c>
      <c r="R81" s="39" t="n">
        <f aca="false">IF(R$4=0,0,IF(COUNTIFS(実績!$W$6:$W$505,R$3,実績!$AI$6:$AI$505,"&lt;="&amp;$A81,実績!$AJ$6:$AJ$505,"&gt;"&amp;$A81,実績!$AL$6:$AL$505,"○")&gt;0,1,0))</f>
        <v>0</v>
      </c>
      <c r="S81" s="39" t="n">
        <f aca="false">IF(S$4=0,0,IF(COUNTIFS(実績!$W$6:$W$505,S$3,実績!$AI$6:$AI$505,"&lt;="&amp;$A81,実績!$AJ$6:$AJ$505,"&gt;"&amp;$A81,実績!$AL$6:$AL$505,"○")&gt;0,1,0))</f>
        <v>0</v>
      </c>
      <c r="T81" s="39" t="n">
        <f aca="false">IF(T$4=0,0,IF(COUNTIFS(実績!$W$6:$W$505,T$3,実績!$AI$6:$AI$505,"&lt;="&amp;$A81,実績!$AJ$6:$AJ$505,"&gt;"&amp;$A81,実績!$AL$6:$AL$505,"○")&gt;0,1,0))</f>
        <v>0</v>
      </c>
      <c r="U81" s="39" t="n">
        <f aca="false">IF(U$4=0,0,IF(COUNTIFS(実績!$W$6:$W$505,U$3,実績!$AI$6:$AI$505,"&lt;="&amp;$A81,実績!$AJ$6:$AJ$505,"&gt;"&amp;$A81,実績!$AL$6:$AL$505,"○")&gt;0,1,0))</f>
        <v>0</v>
      </c>
      <c r="V81" s="39" t="n">
        <f aca="false">IF(V$4=0,0,IF(COUNTIFS(実績!$W$6:$W$505,V$3,実績!$AI$6:$AI$505,"&lt;="&amp;$A81,実績!$AJ$6:$AJ$505,"&gt;"&amp;$A81,実績!$AL$6:$AL$505,"○")&gt;0,1,0))</f>
        <v>0</v>
      </c>
      <c r="W81" s="39" t="n">
        <f aca="false">IF(W$4=0,0,IF(COUNTIFS(実績!$W$6:$W$505,W$3,実績!$AI$6:$AI$505,"&lt;="&amp;$A81,実績!$AJ$6:$AJ$505,"&gt;"&amp;$A81,実績!$AL$6:$AL$505,"○")&gt;0,1,0))</f>
        <v>0</v>
      </c>
      <c r="X81" s="39" t="n">
        <f aca="false">IF(X$4=0,0,IF(COUNTIFS(実績!$W$6:$W$505,X$3,実績!$AI$6:$AI$505,"&lt;="&amp;$A81,実績!$AJ$6:$AJ$505,"&gt;"&amp;$A81,実績!$AL$6:$AL$505,"○")&gt;0,1,0))</f>
        <v>0</v>
      </c>
      <c r="Y81" s="39" t="n">
        <f aca="false">IF(Y$4=0,0,IF(COUNTIFS(実績!$W$6:$W$505,Y$3,実績!$AI$6:$AI$505,"&lt;="&amp;$A81,実績!$AJ$6:$AJ$505,"&gt;"&amp;$A81,実績!$AL$6:$AL$505,"○")&gt;0,1,0))</f>
        <v>0</v>
      </c>
      <c r="Z81" s="39" t="n">
        <f aca="false">IF(Z$4=0,0,IF(COUNTIFS(実績!$W$6:$W$505,Z$3,実績!$AI$6:$AI$505,"&lt;="&amp;$A81,実績!$AJ$6:$AJ$505,"&gt;"&amp;$A81,実績!$AL$6:$AL$505,"○")&gt;0,1,0))</f>
        <v>0</v>
      </c>
      <c r="AA81" s="39" t="n">
        <f aca="false">IF(AA$4=0,0,IF(COUNTIFS(実績!$W$6:$W$505,AA$3,実績!$AI$6:$AI$505,"&lt;="&amp;$A81,実績!$AJ$6:$AJ$505,"&gt;"&amp;$A81,実績!$AL$6:$AL$505,"○")&gt;0,1,0))</f>
        <v>0</v>
      </c>
      <c r="AB81" s="39" t="n">
        <f aca="false">IF(AB$4=0,0,IF(COUNTIFS(実績!$W$6:$W$505,AB$3,実績!$AI$6:$AI$505,"&lt;="&amp;$A81,実績!$AJ$6:$AJ$505,"&gt;"&amp;$A81,実績!$AL$6:$AL$505,"○")&gt;0,1,0))</f>
        <v>0</v>
      </c>
      <c r="AC81" s="39" t="n">
        <f aca="false">IF(AC$4=0,0,IF(COUNTIFS(実績!$W$6:$W$505,AC$3,実績!$AI$6:$AI$505,"&lt;="&amp;$A81,実績!$AJ$6:$AJ$505,"&gt;"&amp;$A81,実績!$AL$6:$AL$505,"○")&gt;0,1,0))</f>
        <v>0</v>
      </c>
      <c r="AD81" s="39" t="n">
        <f aca="false">IF(AD$4=0,0,IF(COUNTIFS(実績!$W$6:$W$505,AD$3,実績!$AI$6:$AI$505,"&lt;="&amp;$A81,実績!$AJ$6:$AJ$505,"&gt;"&amp;$A81,実績!$AL$6:$AL$505,"○")&gt;0,1,0))</f>
        <v>0</v>
      </c>
      <c r="AE81" s="39" t="n">
        <f aca="false">IF(AE$4=0,0,IF(COUNTIFS(実績!$W$6:$W$505,AE$3,実績!$AI$6:$AI$505,"&lt;="&amp;$A81,実績!$AJ$6:$AJ$505,"&gt;"&amp;$A81,実績!$AL$6:$AL$505,"○")&gt;0,1,0))</f>
        <v>0</v>
      </c>
      <c r="AF81" s="39" t="n">
        <f aca="false">IF(AF$4=0,0,IF(COUNTIFS(実績!$W$6:$W$505,AF$3,実績!$AI$6:$AI$505,"&lt;="&amp;$A81,実績!$AJ$6:$AJ$505,"&gt;"&amp;$A81,実績!$AL$6:$AL$505,"○")&gt;0,1,0))</f>
        <v>0</v>
      </c>
      <c r="AG81" s="39" t="n">
        <f aca="false">IF(AG$4=0,0,IF(COUNTIFS(実績!$W$6:$W$505,AG$3,実績!$AI$6:$AI$505,"&lt;="&amp;$A81,実績!$AJ$6:$AJ$505,"&gt;"&amp;$A81,実績!$AL$6:$AL$505,"○")&gt;0,1,0))</f>
        <v>0</v>
      </c>
      <c r="AH81" s="39" t="n">
        <f aca="false">IF(AH$4=0,0,IF(COUNTIFS(実績!$W$6:$W$505,AH$3,実績!$AI$6:$AI$505,"&lt;="&amp;$A81,実績!$AJ$6:$AJ$505,"&gt;"&amp;$A81,実績!$AL$6:$AL$505,"○")&gt;0,1,0))</f>
        <v>0</v>
      </c>
      <c r="AI81" s="39" t="n">
        <f aca="false">IF(AI$4=0,0,IF(COUNTIFS(実績!$W$6:$W$505,AI$3,実績!$AI$6:$AI$505,"&lt;="&amp;$A81,実績!$AJ$6:$AJ$505,"&gt;"&amp;$A81,実績!$AL$6:$AL$505,"○")&gt;0,1,0))</f>
        <v>0</v>
      </c>
      <c r="AJ81" s="39" t="n">
        <f aca="false">IF(AJ$4=0,0,IF(COUNTIFS(実績!$W$6:$W$505,AJ$3,実績!$AI$6:$AI$505,"&lt;="&amp;$A81,実績!$AJ$6:$AJ$505,"&gt;"&amp;$A81,実績!$AL$6:$AL$505,"○")&gt;0,1,0))</f>
        <v>0</v>
      </c>
      <c r="AK81" s="39" t="n">
        <f aca="false">IF(AK$4=0,0,IF(COUNTIFS(実績!$W$6:$W$505,AK$3,実績!$AI$6:$AI$505,"&lt;="&amp;$A81,実績!$AJ$6:$AJ$505,"&gt;"&amp;$A81,実績!$AL$6:$AL$505,"○")&gt;0,1,0))</f>
        <v>0</v>
      </c>
      <c r="AL81" s="39" t="n">
        <f aca="false">IF(AL$4=0,0,IF(COUNTIFS(実績!$W$6:$W$505,AL$3,実績!$AI$6:$AI$505,"&lt;="&amp;$A81,実績!$AJ$6:$AJ$505,"&gt;"&amp;$A81,実績!$AL$6:$AL$505,"○")&gt;0,1,0))</f>
        <v>0</v>
      </c>
      <c r="AM81" s="39" t="n">
        <f aca="false">IF(AM$4=0,0,IF(COUNTIFS(実績!$W$6:$W$505,AM$3,実績!$AI$6:$AI$505,"&lt;="&amp;$A81,実績!$AJ$6:$AJ$505,"&gt;"&amp;$A81,実績!$AL$6:$AL$505,"○")&gt;0,1,0))</f>
        <v>0</v>
      </c>
      <c r="AN81" s="39" t="n">
        <f aca="false">IF(AN$4=0,0,IF(COUNTIFS(実績!$W$6:$W$505,AN$3,実績!$AI$6:$AI$505,"&lt;="&amp;$A81,実績!$AJ$6:$AJ$505,"&gt;"&amp;$A81,実績!$AL$6:$AL$505,"○")&gt;0,1,0))</f>
        <v>0</v>
      </c>
      <c r="AO81" s="39" t="n">
        <f aca="false">IF(AO$4=0,0,IF(COUNTIFS(実績!$W$6:$W$505,AO$3,実績!$AI$6:$AI$505,"&lt;="&amp;$A81,実績!$AJ$6:$AJ$505,"&gt;"&amp;$A81,実績!$AL$6:$AL$505,"○")&gt;0,1,0))</f>
        <v>0</v>
      </c>
      <c r="AP81" s="39" t="n">
        <f aca="false">IF(AP$4=0,0,IF(COUNTIFS(実績!$W$6:$W$505,AP$3,実績!$AI$6:$AI$505,"&lt;="&amp;$A81,実績!$AJ$6:$AJ$505,"&gt;"&amp;$A81,実績!$AL$6:$AL$505,"○")&gt;0,1,0))</f>
        <v>0</v>
      </c>
      <c r="AQ81" s="39" t="n">
        <f aca="false">IF(AQ$4=0,0,IF(COUNTIFS(実績!$W$6:$W$505,AQ$3,実績!$AI$6:$AI$505,"&lt;="&amp;$A81,実績!$AJ$6:$AJ$505,"&gt;"&amp;$A81,実績!$AL$6:$AL$505,"○")&gt;0,1,0))</f>
        <v>0</v>
      </c>
      <c r="AR81" s="39" t="n">
        <f aca="false">IF(AR$4=0,0,IF(COUNTIFS(実績!$W$6:$W$505,AR$3,実績!$AI$6:$AI$505,"&lt;="&amp;$A81,実績!$AJ$6:$AJ$505,"&gt;"&amp;$A81,実績!$AL$6:$AL$505,"○")&gt;0,1,0))</f>
        <v>0</v>
      </c>
      <c r="AS81" s="39" t="n">
        <f aca="false">IF(AS$4=0,0,IF(COUNTIFS(実績!$W$6:$W$505,AS$3,実績!$AI$6:$AI$505,"&lt;="&amp;$A81,実績!$AJ$6:$AJ$505,"&gt;"&amp;$A81,実績!$AL$6:$AL$505,"○")&gt;0,1,0))</f>
        <v>0</v>
      </c>
      <c r="AT81" s="39" t="n">
        <f aca="false">IF(AT$4=0,0,IF(COUNTIFS(実績!$W$6:$W$505,AT$3,実績!$AI$6:$AI$505,"&lt;="&amp;$A81,実績!$AJ$6:$AJ$505,"&gt;"&amp;$A81,実績!$AL$6:$AL$505,"○")&gt;0,1,0))</f>
        <v>0</v>
      </c>
      <c r="AU81" s="39" t="n">
        <f aca="false">IF(AU$4=0,0,IF(COUNTIFS(実績!$W$6:$W$505,AU$3,実績!$AI$6:$AI$505,"&lt;="&amp;$A81,実績!$AJ$6:$AJ$505,"&gt;"&amp;$A81,実績!$AL$6:$AL$505,"○")&gt;0,1,0))</f>
        <v>0</v>
      </c>
      <c r="AV81" s="39" t="n">
        <f aca="false">IF(AV$4=0,0,IF(COUNTIFS(実績!$W$6:$W$505,AV$3,実績!$AI$6:$AI$505,"&lt;="&amp;$A81,実績!$AJ$6:$AJ$505,"&gt;"&amp;$A81,実績!$AL$6:$AL$505,"○")&gt;0,1,0))</f>
        <v>0</v>
      </c>
      <c r="AW81" s="39" t="n">
        <f aca="false">IF(AW$4=0,0,IF(COUNTIFS(実績!$W$6:$W$505,AW$3,実績!$AI$6:$AI$505,"&lt;="&amp;$A81,実績!$AJ$6:$AJ$505,"&gt;"&amp;$A81,実績!$AL$6:$AL$505,"○")&gt;0,1,0))</f>
        <v>0</v>
      </c>
      <c r="AX81" s="39" t="n">
        <f aca="false">IF(AX$4=0,0,IF(COUNTIFS(実績!$W$6:$W$505,AX$3,実績!$AI$6:$AI$505,"&lt;="&amp;$A81,実績!$AJ$6:$AJ$505,"&gt;"&amp;$A81,実績!$AL$6:$AL$505,"○")&gt;0,1,0))</f>
        <v>0</v>
      </c>
      <c r="AY81" s="39" t="n">
        <f aca="false">IF(AY$4=0,0,IF(COUNTIFS(実績!$W$6:$W$505,AY$3,実績!$AI$6:$AI$505,"&lt;="&amp;$A81,実績!$AJ$6:$AJ$505,"&gt;"&amp;$A81,実績!$AL$6:$AL$505,"○")&gt;0,1,0))</f>
        <v>0</v>
      </c>
      <c r="AZ81" s="39" t="n">
        <f aca="false">IF(AZ$4=0,0,IF(COUNTIFS(実績!$W$6:$W$505,AZ$3,実績!$AI$6:$AI$505,"&lt;="&amp;$A81,実績!$AJ$6:$AJ$505,"&gt;"&amp;$A81,実績!$AL$6:$AL$505,"○")&gt;0,1,0))</f>
        <v>0</v>
      </c>
      <c r="BA81" s="39" t="n">
        <f aca="false">IF(BA$4=0,0,IF(COUNTIFS(実績!$W$6:$W$505,BA$3,実績!$AI$6:$AI$505,"&lt;="&amp;$A81,実績!$AJ$6:$AJ$505,"&gt;"&amp;$A81,実績!$AL$6:$AL$505,"○")&gt;0,1,0))</f>
        <v>0</v>
      </c>
      <c r="BB81" s="39" t="n">
        <f aca="false">IF(BB$4=0,0,IF(COUNTIFS(実績!$W$6:$W$505,BB$3,実績!$AI$6:$AI$505,"&lt;="&amp;$A81,実績!$AJ$6:$AJ$505,"&gt;"&amp;$A81,実績!$AL$6:$AL$505,"○")&gt;0,1,0))</f>
        <v>0</v>
      </c>
      <c r="BC81" s="39" t="n">
        <f aca="false">IF(BC$4=0,0,IF(COUNTIFS(実績!$W$6:$W$505,BC$3,実績!$AI$6:$AI$505,"&lt;="&amp;$A81,実績!$AJ$6:$AJ$505,"&gt;"&amp;$A81,実績!$AL$6:$AL$505,"○")&gt;0,1,0))</f>
        <v>0</v>
      </c>
      <c r="BD81" s="39" t="n">
        <f aca="false">IF(BD$4=0,0,IF(COUNTIFS(実績!$W$6:$W$505,BD$3,実績!$AI$6:$AI$505,"&lt;="&amp;$A81,実績!$AJ$6:$AJ$505,"&gt;"&amp;$A81,実績!$AL$6:$AL$505,"○")&gt;0,1,0))</f>
        <v>0</v>
      </c>
      <c r="BE81" s="39" t="n">
        <f aca="false">IF(BE$4=0,0,IF(COUNTIFS(実績!$W$6:$W$505,BE$3,実績!$AI$6:$AI$505,"&lt;="&amp;$A81,実績!$AJ$6:$AJ$505,"&gt;"&amp;$A81,実績!$AL$6:$AL$505,"○")&gt;0,1,0))</f>
        <v>0</v>
      </c>
      <c r="BF81" s="39" t="n">
        <f aca="false">IF(BF$4=0,0,IF(COUNTIFS(実績!$W$6:$W$505,BF$3,実績!$AI$6:$AI$505,"&lt;="&amp;$A81,実績!$AJ$6:$AJ$505,"&gt;"&amp;$A81,実績!$AL$6:$AL$505,"○")&gt;0,1,0))</f>
        <v>0</v>
      </c>
      <c r="BG81" s="39" t="n">
        <f aca="false">IF(BG$4=0,0,IF(COUNTIFS(実績!$W$6:$W$505,BG$3,実績!$AI$6:$AI$505,"&lt;="&amp;$A81,実績!$AJ$6:$AJ$505,"&gt;"&amp;$A81,実績!$AL$6:$AL$505,"○")&gt;0,1,0))</f>
        <v>0</v>
      </c>
      <c r="BH81" s="39" t="n">
        <f aca="false">IF(BH$4=0,0,IF(COUNTIFS(実績!$W$6:$W$505,BH$3,実績!$AI$6:$AI$505,"&lt;="&amp;$A81,実績!$AJ$6:$AJ$505,"&gt;"&amp;$A81,実績!$AL$6:$AL$505,"○")&gt;0,1,0))</f>
        <v>0</v>
      </c>
      <c r="BI81" s="39" t="n">
        <f aca="false">IF(BI$4=0,0,IF(COUNTIFS(実績!$W$6:$W$505,BI$3,実績!$AI$6:$AI$505,"&lt;="&amp;$A81,実績!$AJ$6:$AJ$505,"&gt;"&amp;$A81,実績!$AL$6:$AL$505,"○")&gt;0,1,0))</f>
        <v>0</v>
      </c>
      <c r="BJ81" s="39" t="n">
        <f aca="false">IF(BJ$4=0,0,IF(COUNTIFS(実績!$W$6:$W$505,BJ$3,実績!$AI$6:$AI$505,"&lt;="&amp;$A81,実績!$AJ$6:$AJ$505,"&gt;"&amp;$A81,実績!$AL$6:$AL$505,"○")&gt;0,1,0))</f>
        <v>0</v>
      </c>
      <c r="BK81" s="39" t="n">
        <f aca="false">IF(BK$4=0,0,IF(COUNTIFS(実績!$W$6:$W$505,BK$3,実績!$AI$6:$AI$505,"&lt;="&amp;$A81,実績!$AJ$6:$AJ$505,"&gt;"&amp;$A81,実績!$AL$6:$AL$505,"○")&gt;0,1,0))</f>
        <v>0</v>
      </c>
      <c r="BL81" s="39" t="n">
        <f aca="false">IF(BL$4=0,0,IF(COUNTIFS(実績!$W$6:$W$505,BL$3,実績!$AI$6:$AI$505,"&lt;="&amp;$A81,実績!$AJ$6:$AJ$505,"&gt;"&amp;$A81,実績!$AL$6:$AL$505,"○")&gt;0,1,0))</f>
        <v>0</v>
      </c>
      <c r="BM81" s="39" t="n">
        <f aca="false">IF(BM$4=0,0,IF(COUNTIFS(実績!$W$6:$W$505,BM$3,実績!$AI$6:$AI$505,"&lt;="&amp;$A81,実績!$AJ$6:$AJ$505,"&gt;"&amp;$A81,実績!$AL$6:$AL$505,"○")&gt;0,1,0))</f>
        <v>0</v>
      </c>
      <c r="BN81" s="39" t="n">
        <f aca="false">IF(BN$4=0,0,IF(COUNTIFS(実績!$W$6:$W$505,BN$3,実績!$AI$6:$AI$505,"&lt;="&amp;$A81,実績!$AJ$6:$AJ$505,"&gt;"&amp;$A81,実績!$AL$6:$AL$505,"○")&gt;0,1,0))</f>
        <v>0</v>
      </c>
      <c r="BO81" s="39" t="n">
        <f aca="false">IF(BO$4=0,0,IF(COUNTIFS(実績!$W$6:$W$505,BO$3,実績!$AI$6:$AI$505,"&lt;="&amp;$A81,実績!$AJ$6:$AJ$505,"&gt;"&amp;$A81,実績!$AL$6:$AL$505,"○")&gt;0,1,0))</f>
        <v>0</v>
      </c>
      <c r="BP81" s="39" t="n">
        <f aca="false">IF(BP$4=0,0,IF(COUNTIFS(実績!$W$6:$W$505,BP$3,実績!$AI$6:$AI$505,"&lt;="&amp;$A81,実績!$AJ$6:$AJ$505,"&gt;"&amp;$A81,実績!$AL$6:$AL$505,"○")&gt;0,1,0))</f>
        <v>0</v>
      </c>
      <c r="BQ81" s="39" t="n">
        <f aca="false">IF(BQ$4=0,0,IF(COUNTIFS(実績!$W$6:$W$505,BQ$3,実績!$AI$6:$AI$505,"&lt;="&amp;$A81,実績!$AJ$6:$AJ$505,"&gt;"&amp;$A81,実績!$AL$6:$AL$505,"○")&gt;0,1,0))</f>
        <v>0</v>
      </c>
      <c r="BR81" s="39" t="n">
        <f aca="false">IF(BR$4=0,0,IF(COUNTIFS(実績!$W$6:$W$505,BR$3,実績!$AI$6:$AI$505,"&lt;="&amp;$A81,実績!$AJ$6:$AJ$505,"&gt;"&amp;$A81,実績!$AL$6:$AL$505,"○")&gt;0,1,0))</f>
        <v>0</v>
      </c>
      <c r="BS81" s="39" t="n">
        <f aca="false">IF(BS$4=0,0,IF(COUNTIFS(実績!$W$6:$W$505,BS$3,実績!$AI$6:$AI$505,"&lt;="&amp;$A81,実績!$AJ$6:$AJ$505,"&gt;"&amp;$A81,実績!$AL$6:$AL$505,"○")&gt;0,1,0))</f>
        <v>0</v>
      </c>
      <c r="BT81" s="39" t="n">
        <f aca="false">IF(BT$4=0,0,IF(COUNTIFS(実績!$W$6:$W$505,BT$3,実績!$AI$6:$AI$505,"&lt;="&amp;$A81,実績!$AJ$6:$AJ$505,"&gt;"&amp;$A81,実績!$AL$6:$AL$505,"○")&gt;0,1,0))</f>
        <v>0</v>
      </c>
      <c r="BU81" s="39" t="n">
        <f aca="false">IF(BU$4=0,0,IF(COUNTIFS(実績!$W$6:$W$505,BU$3,実績!$AI$6:$AI$505,"&lt;="&amp;$A81,実績!$AJ$6:$AJ$505,"&gt;"&amp;$A81,実績!$AL$6:$AL$505,"○")&gt;0,1,0))</f>
        <v>0</v>
      </c>
      <c r="BV81" s="39" t="n">
        <f aca="false">IF(BV$4=0,0,IF(COUNTIFS(実績!$W$6:$W$505,BV$3,実績!$AI$6:$AI$505,"&lt;="&amp;$A81,実績!$AJ$6:$AJ$505,"&gt;"&amp;$A81,実績!$AL$6:$AL$505,"○")&gt;0,1,0))</f>
        <v>0</v>
      </c>
      <c r="BW81" s="39" t="n">
        <f aca="false">IF(BW$4=0,0,IF(COUNTIFS(実績!$W$6:$W$505,BW$3,実績!$AI$6:$AI$505,"&lt;="&amp;$A81,実績!$AJ$6:$AJ$505,"&gt;"&amp;$A81,実績!$AL$6:$AL$505,"○")&gt;0,1,0))</f>
        <v>0</v>
      </c>
      <c r="BX81" s="39" t="n">
        <f aca="false">IF(BX$4=0,0,IF(COUNTIFS(実績!$W$6:$W$505,BX$3,実績!$AI$6:$AI$505,"&lt;="&amp;$A81,実績!$AJ$6:$AJ$505,"&gt;"&amp;$A81,実績!$AL$6:$AL$505,"○")&gt;0,1,0))</f>
        <v>0</v>
      </c>
      <c r="BY81" s="39" t="n">
        <f aca="false">IF(BY$4=0,0,IF(COUNTIFS(実績!$W$6:$W$505,BY$3,実績!$AI$6:$AI$505,"&lt;="&amp;$A81,実績!$AJ$6:$AJ$505,"&gt;"&amp;$A81,実績!$AL$6:$AL$505,"○")&gt;0,1,0))</f>
        <v>0</v>
      </c>
      <c r="BZ81" s="39" t="n">
        <f aca="false">IF(BZ$4=0,0,IF(COUNTIFS(実績!$W$6:$W$505,BZ$3,実績!$AI$6:$AI$505,"&lt;="&amp;$A81,実績!$AJ$6:$AJ$505,"&gt;"&amp;$A81,実績!$AL$6:$AL$505,"○")&gt;0,1,0))</f>
        <v>0</v>
      </c>
      <c r="CA81" s="39" t="n">
        <f aca="false">IF(CA$4=0,0,IF(COUNTIFS(実績!$W$6:$W$505,CA$3,実績!$AI$6:$AI$505,"&lt;="&amp;$A81,実績!$AJ$6:$AJ$505,"&gt;"&amp;$A81,実績!$AL$6:$AL$505,"○")&gt;0,1,0))</f>
        <v>0</v>
      </c>
      <c r="CB81" s="39" t="n">
        <f aca="false">IF(CB$4=0,0,IF(COUNTIFS(実績!$W$6:$W$505,CB$3,実績!$AI$6:$AI$505,"&lt;="&amp;$A81,実績!$AJ$6:$AJ$505,"&gt;"&amp;$A81,実績!$AL$6:$AL$505,"○")&gt;0,1,0))</f>
        <v>0</v>
      </c>
      <c r="CC81" s="39" t="n">
        <f aca="false">IF(CC$4=0,0,IF(COUNTIFS(実績!$W$6:$W$505,CC$3,実績!$AI$6:$AI$505,"&lt;="&amp;$A81,実績!$AJ$6:$AJ$505,"&gt;"&amp;$A81,実績!$AL$6:$AL$505,"○")&gt;0,1,0))</f>
        <v>0</v>
      </c>
      <c r="CD81" s="39" t="n">
        <f aca="false">IF(CD$4=0,0,IF(COUNTIFS(実績!$W$6:$W$505,CD$3,実績!$AI$6:$AI$505,"&lt;="&amp;$A81,実績!$AJ$6:$AJ$505,"&gt;"&amp;$A81,実績!$AL$6:$AL$505,"○")&gt;0,1,0))</f>
        <v>0</v>
      </c>
      <c r="CE81" s="39" t="n">
        <f aca="false">IF(CE$4=0,0,IF(COUNTIFS(実績!$W$6:$W$505,CE$3,実績!$AI$6:$AI$505,"&lt;="&amp;$A81,実績!$AJ$6:$AJ$505,"&gt;"&amp;$A81,実績!$AL$6:$AL$505,"○")&gt;0,1,0))</f>
        <v>0</v>
      </c>
      <c r="CF81" s="39" t="n">
        <f aca="false">IF(CF$4=0,0,IF(COUNTIFS(実績!$W$6:$W$505,CF$3,実績!$AI$6:$AI$505,"&lt;="&amp;$A81,実績!$AJ$6:$AJ$505,"&gt;"&amp;$A81,実績!$AL$6:$AL$505,"○")&gt;0,1,0))</f>
        <v>0</v>
      </c>
      <c r="CG81" s="39" t="n">
        <f aca="false">IF(CG$4=0,0,IF(COUNTIFS(実績!$W$6:$W$505,CG$3,実績!$AI$6:$AI$505,"&lt;="&amp;$A81,実績!$AJ$6:$AJ$505,"&gt;"&amp;$A81,実績!$AL$6:$AL$505,"○")&gt;0,1,0))</f>
        <v>0</v>
      </c>
      <c r="CH81" s="39" t="n">
        <f aca="false">IF(CH$4=0,0,IF(COUNTIFS(実績!$W$6:$W$505,CH$3,実績!$AI$6:$AI$505,"&lt;="&amp;$A81,実績!$AJ$6:$AJ$505,"&gt;"&amp;$A81,実績!$AL$6:$AL$505,"○")&gt;0,1,0))</f>
        <v>0</v>
      </c>
      <c r="CI81" s="39" t="n">
        <f aca="false">IF(CI$4=0,0,IF(COUNTIFS(実績!$W$6:$W$505,CI$3,実績!$AI$6:$AI$505,"&lt;="&amp;$A81,実績!$AJ$6:$AJ$505,"&gt;"&amp;$A81,実績!$AL$6:$AL$505,"○")&gt;0,1,0))</f>
        <v>0</v>
      </c>
      <c r="CJ81" s="39" t="n">
        <f aca="false">IF(CJ$4=0,0,IF(COUNTIFS(実績!$W$6:$W$505,CJ$3,実績!$AI$6:$AI$505,"&lt;="&amp;$A81,実績!$AJ$6:$AJ$505,"&gt;"&amp;$A81,実績!$AL$6:$AL$505,"○")&gt;0,1,0))</f>
        <v>0</v>
      </c>
      <c r="CK81" s="39" t="n">
        <f aca="false">IF(CK$4=0,0,IF(COUNTIFS(実績!$W$6:$W$505,CK$3,実績!$AI$6:$AI$505,"&lt;="&amp;$A81,実績!$AJ$6:$AJ$505,"&gt;"&amp;$A81,実績!$AL$6:$AL$505,"○")&gt;0,1,0))</f>
        <v>0</v>
      </c>
      <c r="CL81" s="39" t="n">
        <f aca="false">IF(CL$4=0,0,IF(COUNTIFS(実績!$W$6:$W$505,CL$3,実績!$AI$6:$AI$505,"&lt;="&amp;$A81,実績!$AJ$6:$AJ$505,"&gt;"&amp;$A81,実績!$AL$6:$AL$505,"○")&gt;0,1,0))</f>
        <v>0</v>
      </c>
      <c r="CM81" s="39" t="n">
        <f aca="false">IF(CM$4=0,0,IF(COUNTIFS(実績!$W$6:$W$505,CM$3,実績!$AI$6:$AI$505,"&lt;="&amp;$A81,実績!$AJ$6:$AJ$505,"&gt;"&amp;$A81,実績!$AL$6:$AL$505,"○")&gt;0,1,0))</f>
        <v>0</v>
      </c>
      <c r="CN81" s="39" t="n">
        <f aca="false">IF(CN$4=0,0,IF(COUNTIFS(実績!$W$6:$W$505,CN$3,実績!$AI$6:$AI$505,"&lt;="&amp;$A81,実績!$AJ$6:$AJ$505,"&gt;"&amp;$A81,実績!$AL$6:$AL$505,"○")&gt;0,1,0))</f>
        <v>0</v>
      </c>
      <c r="CO81" s="39" t="n">
        <f aca="false">IF(CO$4=0,0,IF(COUNTIFS(実績!$W$6:$W$505,CO$3,実績!$AI$6:$AI$505,"&lt;="&amp;$A81,実績!$AJ$6:$AJ$505,"&gt;"&amp;$A81,実績!$AL$6:$AL$505,"○")&gt;0,1,0))</f>
        <v>0</v>
      </c>
      <c r="CP81" s="39" t="n">
        <f aca="false">IF(CP$4=0,0,IF(COUNTIFS(実績!$W$6:$W$505,CP$3,実績!$AI$6:$AI$505,"&lt;="&amp;$A81,実績!$AJ$6:$AJ$505,"&gt;"&amp;$A81,実績!$AL$6:$AL$505,"○")&gt;0,1,0))</f>
        <v>0</v>
      </c>
      <c r="CQ81" s="39" t="n">
        <f aca="false">IF(CQ$4=0,0,IF(COUNTIFS(実績!$W$6:$W$505,CQ$3,実績!$AI$6:$AI$505,"&lt;="&amp;$A81,実績!$AJ$6:$AJ$505,"&gt;"&amp;$A81,実績!$AL$6:$AL$505,"○")&gt;0,1,0))</f>
        <v>0</v>
      </c>
      <c r="CR81" s="39" t="n">
        <f aca="false">IF(CR$4=0,0,IF(COUNTIFS(実績!$W$6:$W$505,CR$3,実績!$AI$6:$AI$505,"&lt;="&amp;$A81,実績!$AJ$6:$AJ$505,"&gt;"&amp;$A81,実績!$AL$6:$AL$505,"○")&gt;0,1,0))</f>
        <v>0</v>
      </c>
      <c r="CS81" s="39" t="n">
        <f aca="false">IF(CS$4=0,0,IF(COUNTIFS(実績!$W$6:$W$505,CS$3,実績!$AI$6:$AI$505,"&lt;="&amp;$A81,実績!$AJ$6:$AJ$505,"&gt;"&amp;$A81,実績!$AL$6:$AL$505,"○")&gt;0,1,0))</f>
        <v>0</v>
      </c>
      <c r="CT81" s="39" t="n">
        <f aca="false">IF(CT$4=0,0,IF(COUNTIFS(実績!$W$6:$W$505,CT$3,実績!$AI$6:$AI$505,"&lt;="&amp;$A81,実績!$AJ$6:$AJ$505,"&gt;"&amp;$A81,実績!$AL$6:$AL$505,"○")&gt;0,1,0))</f>
        <v>0</v>
      </c>
      <c r="CU81" s="39" t="n">
        <f aca="false">IF(CU$4=0,0,IF(COUNTIFS(実績!$W$6:$W$505,CU$3,実績!$AI$6:$AI$505,"&lt;="&amp;$A81,実績!$AJ$6:$AJ$505,"&gt;"&amp;$A81,実績!$AL$6:$AL$505,"○")&gt;0,1,0))</f>
        <v>0</v>
      </c>
      <c r="CV81" s="39" t="n">
        <f aca="false">IF(CV$4=0,0,IF(COUNTIFS(実績!$W$6:$W$505,CV$3,実績!$AI$6:$AI$505,"&lt;="&amp;$A81,実績!$AJ$6:$AJ$505,"&gt;"&amp;$A81,実績!$AL$6:$AL$505,"○")&gt;0,1,0))</f>
        <v>0</v>
      </c>
      <c r="CW81" s="39" t="n">
        <f aca="false">IF(CW$4=0,0,IF(COUNTIFS(実績!$W$6:$W$505,CW$3,実績!$AI$6:$AI$505,"&lt;="&amp;$A81,実績!$AJ$6:$AJ$505,"&gt;"&amp;$A81,実績!$AL$6:$AL$505,"○")&gt;0,1,0))</f>
        <v>0</v>
      </c>
      <c r="CX81" s="39" t="n">
        <f aca="false">IF(CX$4=0,0,IF(COUNTIFS(実績!$W$6:$W$505,CX$3,実績!$AI$6:$AI$505,"&lt;="&amp;$A81,実績!$AJ$6:$AJ$505,"&gt;"&amp;$A81,実績!$AL$6:$AL$505,"○")&gt;0,1,0))</f>
        <v>0</v>
      </c>
      <c r="CY81" s="39" t="n">
        <f aca="false">IF(CY$4=0,0,IF(COUNTIFS(実績!$W$6:$W$505,CY$3,実績!$AI$6:$AI$505,"&lt;="&amp;$A81,実績!$AJ$6:$AJ$505,"&gt;"&amp;$A81,実績!$AL$6:$AL$505,"○")&gt;0,1,0))</f>
        <v>0</v>
      </c>
      <c r="CZ81" s="39" t="n">
        <f aca="false">IF(CZ$4=0,0,IF(COUNTIFS(実績!$W$6:$W$505,CZ$3,実績!$AI$6:$AI$505,"&lt;="&amp;$A81,実績!$AJ$6:$AJ$505,"&gt;"&amp;$A81,実績!$AL$6:$AL$505,"○")&gt;0,1,0))</f>
        <v>0</v>
      </c>
      <c r="DA81" s="39" t="n">
        <f aca="false">IF(DA$4=0,0,IF(COUNTIFS(実績!$W$6:$W$505,DA$3,実績!$AI$6:$AI$505,"&lt;="&amp;$A81,実績!$AJ$6:$AJ$505,"&gt;"&amp;$A81,実績!$AL$6:$AL$505,"○")&gt;0,1,0))</f>
        <v>0</v>
      </c>
      <c r="DB81" s="39" t="n">
        <f aca="false">IF(DB$4=0,0,IF(COUNTIFS(実績!$W$6:$W$505,DB$3,実績!$AI$6:$AI$505,"&lt;="&amp;$A81,実績!$AJ$6:$AJ$505,"&gt;"&amp;$A81,実績!$AL$6:$AL$505,"○")&gt;0,1,0))</f>
        <v>0</v>
      </c>
      <c r="DC81" s="39" t="n">
        <f aca="false">IF(DC$4=0,0,IF(COUNTIFS(実績!$W$6:$W$505,DC$3,実績!$AI$6:$AI$505,"&lt;="&amp;$A81,実績!$AJ$6:$AJ$505,"&gt;"&amp;$A81,実績!$AL$6:$AL$505,"○")&gt;0,1,0))</f>
        <v>0</v>
      </c>
      <c r="DD81" s="39" t="n">
        <f aca="false">IF(DD$4=0,0,IF(COUNTIFS(実績!$W$6:$W$505,DD$3,実績!$AI$6:$AI$505,"&lt;="&amp;$A81,実績!$AJ$6:$AJ$505,"&gt;"&amp;$A81,実績!$AL$6:$AL$505,"○")&gt;0,1,0))</f>
        <v>0</v>
      </c>
      <c r="DE81" s="39" t="n">
        <f aca="false">IF(DE$4=0,0,IF(COUNTIFS(実績!$W$6:$W$505,DE$3,実績!$AI$6:$AI$505,"&lt;="&amp;$A81,実績!$AJ$6:$AJ$505,"&gt;"&amp;$A81,実績!$AL$6:$AL$505,"○")&gt;0,1,0))</f>
        <v>0</v>
      </c>
      <c r="DF81" s="39" t="n">
        <f aca="false">IF(DF$4=0,0,IF(COUNTIFS(実績!$W$6:$W$505,DF$3,実績!$AI$6:$AI$505,"&lt;="&amp;$A81,実績!$AJ$6:$AJ$505,"&gt;"&amp;$A81,実績!$AL$6:$AL$505,"○")&gt;0,1,0))</f>
        <v>0</v>
      </c>
      <c r="DG81" s="39" t="n">
        <f aca="false">IF(DG$4=0,0,IF(COUNTIFS(実績!$W$6:$W$505,DG$3,実績!$AI$6:$AI$505,"&lt;="&amp;$A81,実績!$AJ$6:$AJ$505,"&gt;"&amp;$A81,実績!$AL$6:$AL$505,"○")&gt;0,1,0))</f>
        <v>0</v>
      </c>
      <c r="DH81" s="39" t="n">
        <f aca="false">IF(DH$4=0,0,IF(COUNTIFS(実績!$W$6:$W$505,DH$3,実績!$AI$6:$AI$505,"&lt;="&amp;$A81,実績!$AJ$6:$AJ$505,"&gt;"&amp;$A81,実績!$AL$6:$AL$505,"○")&gt;0,1,0))</f>
        <v>0</v>
      </c>
      <c r="DI81" s="39" t="n">
        <f aca="false">IF(DI$4=0,0,IF(COUNTIFS(実績!$W$6:$W$505,DI$3,実績!$AI$6:$AI$505,"&lt;="&amp;$A81,実績!$AJ$6:$AJ$505,"&gt;"&amp;$A81,実績!$AL$6:$AL$505,"○")&gt;0,1,0))</f>
        <v>0</v>
      </c>
      <c r="DJ81" s="39" t="n">
        <f aca="false">IF(DJ$4=0,0,IF(COUNTIFS(実績!$W$6:$W$505,DJ$3,実績!$AI$6:$AI$505,"&lt;="&amp;$A81,実績!$AJ$6:$AJ$505,"&gt;"&amp;$A81,実績!$AL$6:$AL$505,"○")&gt;0,1,0))</f>
        <v>0</v>
      </c>
      <c r="DK81" s="39" t="n">
        <f aca="false">IF(DK$4=0,0,IF(COUNTIFS(実績!$W$6:$W$505,DK$3,実績!$AI$6:$AI$505,"&lt;="&amp;$A81,実績!$AJ$6:$AJ$505,"&gt;"&amp;$A81,実績!$AL$6:$AL$505,"○")&gt;0,1,0))</f>
        <v>0</v>
      </c>
      <c r="DL81" s="39" t="n">
        <f aca="false">IF(DL$4=0,0,IF(COUNTIFS(実績!$W$6:$W$505,DL$3,実績!$AI$6:$AI$505,"&lt;="&amp;$A81,実績!$AJ$6:$AJ$505,"&gt;"&amp;$A81,実績!$AL$6:$AL$505,"○")&gt;0,1,0))</f>
        <v>0</v>
      </c>
      <c r="DM81" s="39" t="n">
        <f aca="false">IF(DM$4=0,0,IF(COUNTIFS(実績!$W$6:$W$505,DM$3,実績!$AI$6:$AI$505,"&lt;="&amp;$A81,実績!$AJ$6:$AJ$505,"&gt;"&amp;$A81,実績!$AL$6:$AL$505,"○")&gt;0,1,0))</f>
        <v>0</v>
      </c>
      <c r="DN81" s="39" t="n">
        <f aca="false">IF(DN$4=0,0,IF(COUNTIFS(実績!$W$6:$W$505,DN$3,実績!$AI$6:$AI$505,"&lt;="&amp;$A81,実績!$AJ$6:$AJ$505,"&gt;"&amp;$A81,実績!$AL$6:$AL$505,"○")&gt;0,1,0))</f>
        <v>0</v>
      </c>
      <c r="DO81" s="39" t="n">
        <f aca="false">IF(DO$4=0,0,IF(COUNTIFS(実績!$W$6:$W$505,DO$3,実績!$AI$6:$AI$505,"&lt;="&amp;$A81,実績!$AJ$6:$AJ$505,"&gt;"&amp;$A81,実績!$AL$6:$AL$505,"○")&gt;0,1,0))</f>
        <v>0</v>
      </c>
      <c r="DP81" s="39" t="n">
        <f aca="false">IF(DP$4=0,0,IF(COUNTIFS(実績!$W$6:$W$505,DP$3,実績!$AI$6:$AI$505,"&lt;="&amp;$A81,実績!$AJ$6:$AJ$505,"&gt;"&amp;$A81,実績!$AL$6:$AL$505,"○")&gt;0,1,0))</f>
        <v>0</v>
      </c>
      <c r="DQ81" s="39" t="n">
        <f aca="false">IF(DQ$4=0,0,IF(COUNTIFS(実績!$W$6:$W$505,DQ$3,実績!$AI$6:$AI$505,"&lt;="&amp;$A81,実績!$AJ$6:$AJ$505,"&gt;"&amp;$A81,実績!$AL$6:$AL$505,"○")&gt;0,1,0))</f>
        <v>0</v>
      </c>
      <c r="DR81" s="39" t="n">
        <f aca="false">IF(DR$4=0,0,IF(COUNTIFS(実績!$W$6:$W$505,DR$3,実績!$AI$6:$AI$505,"&lt;="&amp;$A81,実績!$AJ$6:$AJ$505,"&gt;"&amp;$A81,実績!$AL$6:$AL$505,"○")&gt;0,1,0))</f>
        <v>0</v>
      </c>
      <c r="DS81" s="39" t="n">
        <f aca="false">SUM(C81:DR81)</f>
        <v>0</v>
      </c>
    </row>
    <row r="82" customFormat="false" ht="15" hidden="false" customHeight="false" outlineLevel="0" collapsed="false">
      <c r="A82" s="0" t="n">
        <v>380</v>
      </c>
      <c r="B82" s="38" t="n">
        <f aca="false">A82/1440</f>
        <v>0.263888888888889</v>
      </c>
      <c r="C82" s="39" t="n">
        <f aca="false">IF(C$4=0,0,IF(COUNTIFS(実績!$W$6:$W$505,C$3,実績!$AI$6:$AI$505,"&lt;="&amp;$A82,実績!$AJ$6:$AJ$505,"&gt;"&amp;$A82,実績!$AL$6:$AL$505,"○")&gt;0,1,0))</f>
        <v>0</v>
      </c>
      <c r="D82" s="39" t="n">
        <f aca="false">IF(D$4=0,0,IF(COUNTIFS(実績!$W$6:$W$505,D$3,実績!$AI$6:$AI$505,"&lt;="&amp;$A82,実績!$AJ$6:$AJ$505,"&gt;"&amp;$A82,実績!$AL$6:$AL$505,"○")&gt;0,1,0))</f>
        <v>0</v>
      </c>
      <c r="E82" s="39" t="n">
        <f aca="false">IF(E$4=0,0,IF(COUNTIFS(実績!$W$6:$W$505,E$3,実績!$AI$6:$AI$505,"&lt;="&amp;$A82,実績!$AJ$6:$AJ$505,"&gt;"&amp;$A82,実績!$AL$6:$AL$505,"○")&gt;0,1,0))</f>
        <v>0</v>
      </c>
      <c r="F82" s="39" t="n">
        <f aca="false">IF(F$4=0,0,IF(COUNTIFS(実績!$W$6:$W$505,F$3,実績!$AI$6:$AI$505,"&lt;="&amp;$A82,実績!$AJ$6:$AJ$505,"&gt;"&amp;$A82,実績!$AL$6:$AL$505,"○")&gt;0,1,0))</f>
        <v>0</v>
      </c>
      <c r="G82" s="39" t="n">
        <f aca="false">IF(G$4=0,0,IF(COUNTIFS(実績!$W$6:$W$505,G$3,実績!$AI$6:$AI$505,"&lt;="&amp;$A82,実績!$AJ$6:$AJ$505,"&gt;"&amp;$A82,実績!$AL$6:$AL$505,"○")&gt;0,1,0))</f>
        <v>0</v>
      </c>
      <c r="H82" s="39" t="n">
        <f aca="false">IF(H$4=0,0,IF(COUNTIFS(実績!$W$6:$W$505,H$3,実績!$AI$6:$AI$505,"&lt;="&amp;$A82,実績!$AJ$6:$AJ$505,"&gt;"&amp;$A82,実績!$AL$6:$AL$505,"○")&gt;0,1,0))</f>
        <v>0</v>
      </c>
      <c r="I82" s="39" t="n">
        <f aca="false">IF(I$4=0,0,IF(COUNTIFS(実績!$W$6:$W$505,I$3,実績!$AI$6:$AI$505,"&lt;="&amp;$A82,実績!$AJ$6:$AJ$505,"&gt;"&amp;$A82,実績!$AL$6:$AL$505,"○")&gt;0,1,0))</f>
        <v>0</v>
      </c>
      <c r="J82" s="39" t="n">
        <f aca="false">IF(J$4=0,0,IF(COUNTIFS(実績!$W$6:$W$505,J$3,実績!$AI$6:$AI$505,"&lt;="&amp;$A82,実績!$AJ$6:$AJ$505,"&gt;"&amp;$A82,実績!$AL$6:$AL$505,"○")&gt;0,1,0))</f>
        <v>0</v>
      </c>
      <c r="K82" s="39" t="n">
        <f aca="false">IF(K$4=0,0,IF(COUNTIFS(実績!$W$6:$W$505,K$3,実績!$AI$6:$AI$505,"&lt;="&amp;$A82,実績!$AJ$6:$AJ$505,"&gt;"&amp;$A82,実績!$AL$6:$AL$505,"○")&gt;0,1,0))</f>
        <v>0</v>
      </c>
      <c r="L82" s="39" t="n">
        <f aca="false">IF(L$4=0,0,IF(COUNTIFS(実績!$W$6:$W$505,L$3,実績!$AI$6:$AI$505,"&lt;="&amp;$A82,実績!$AJ$6:$AJ$505,"&gt;"&amp;$A82,実績!$AL$6:$AL$505,"○")&gt;0,1,0))</f>
        <v>0</v>
      </c>
      <c r="M82" s="39" t="n">
        <f aca="false">IF(M$4=0,0,IF(COUNTIFS(実績!$W$6:$W$505,M$3,実績!$AI$6:$AI$505,"&lt;="&amp;$A82,実績!$AJ$6:$AJ$505,"&gt;"&amp;$A82,実績!$AL$6:$AL$505,"○")&gt;0,1,0))</f>
        <v>0</v>
      </c>
      <c r="N82" s="39" t="n">
        <f aca="false">IF(N$4=0,0,IF(COUNTIFS(実績!$W$6:$W$505,N$3,実績!$AI$6:$AI$505,"&lt;="&amp;$A82,実績!$AJ$6:$AJ$505,"&gt;"&amp;$A82,実績!$AL$6:$AL$505,"○")&gt;0,1,0))</f>
        <v>0</v>
      </c>
      <c r="O82" s="39" t="n">
        <f aca="false">IF(O$4=0,0,IF(COUNTIFS(実績!$W$6:$W$505,O$3,実績!$AI$6:$AI$505,"&lt;="&amp;$A82,実績!$AJ$6:$AJ$505,"&gt;"&amp;$A82,実績!$AL$6:$AL$505,"○")&gt;0,1,0))</f>
        <v>0</v>
      </c>
      <c r="P82" s="39" t="n">
        <f aca="false">IF(P$4=0,0,IF(COUNTIFS(実績!$W$6:$W$505,P$3,実績!$AI$6:$AI$505,"&lt;="&amp;$A82,実績!$AJ$6:$AJ$505,"&gt;"&amp;$A82,実績!$AL$6:$AL$505,"○")&gt;0,1,0))</f>
        <v>0</v>
      </c>
      <c r="Q82" s="39" t="n">
        <f aca="false">IF(Q$4=0,0,IF(COUNTIFS(実績!$W$6:$W$505,Q$3,実績!$AI$6:$AI$505,"&lt;="&amp;$A82,実績!$AJ$6:$AJ$505,"&gt;"&amp;$A82,実績!$AL$6:$AL$505,"○")&gt;0,1,0))</f>
        <v>0</v>
      </c>
      <c r="R82" s="39" t="n">
        <f aca="false">IF(R$4=0,0,IF(COUNTIFS(実績!$W$6:$W$505,R$3,実績!$AI$6:$AI$505,"&lt;="&amp;$A82,実績!$AJ$6:$AJ$505,"&gt;"&amp;$A82,実績!$AL$6:$AL$505,"○")&gt;0,1,0))</f>
        <v>0</v>
      </c>
      <c r="S82" s="39" t="n">
        <f aca="false">IF(S$4=0,0,IF(COUNTIFS(実績!$W$6:$W$505,S$3,実績!$AI$6:$AI$505,"&lt;="&amp;$A82,実績!$AJ$6:$AJ$505,"&gt;"&amp;$A82,実績!$AL$6:$AL$505,"○")&gt;0,1,0))</f>
        <v>0</v>
      </c>
      <c r="T82" s="39" t="n">
        <f aca="false">IF(T$4=0,0,IF(COUNTIFS(実績!$W$6:$W$505,T$3,実績!$AI$6:$AI$505,"&lt;="&amp;$A82,実績!$AJ$6:$AJ$505,"&gt;"&amp;$A82,実績!$AL$6:$AL$505,"○")&gt;0,1,0))</f>
        <v>0</v>
      </c>
      <c r="U82" s="39" t="n">
        <f aca="false">IF(U$4=0,0,IF(COUNTIFS(実績!$W$6:$W$505,U$3,実績!$AI$6:$AI$505,"&lt;="&amp;$A82,実績!$AJ$6:$AJ$505,"&gt;"&amp;$A82,実績!$AL$6:$AL$505,"○")&gt;0,1,0))</f>
        <v>0</v>
      </c>
      <c r="V82" s="39" t="n">
        <f aca="false">IF(V$4=0,0,IF(COUNTIFS(実績!$W$6:$W$505,V$3,実績!$AI$6:$AI$505,"&lt;="&amp;$A82,実績!$AJ$6:$AJ$505,"&gt;"&amp;$A82,実績!$AL$6:$AL$505,"○")&gt;0,1,0))</f>
        <v>0</v>
      </c>
      <c r="W82" s="39" t="n">
        <f aca="false">IF(W$4=0,0,IF(COUNTIFS(実績!$W$6:$W$505,W$3,実績!$AI$6:$AI$505,"&lt;="&amp;$A82,実績!$AJ$6:$AJ$505,"&gt;"&amp;$A82,実績!$AL$6:$AL$505,"○")&gt;0,1,0))</f>
        <v>0</v>
      </c>
      <c r="X82" s="39" t="n">
        <f aca="false">IF(X$4=0,0,IF(COUNTIFS(実績!$W$6:$W$505,X$3,実績!$AI$6:$AI$505,"&lt;="&amp;$A82,実績!$AJ$6:$AJ$505,"&gt;"&amp;$A82,実績!$AL$6:$AL$505,"○")&gt;0,1,0))</f>
        <v>0</v>
      </c>
      <c r="Y82" s="39" t="n">
        <f aca="false">IF(Y$4=0,0,IF(COUNTIFS(実績!$W$6:$W$505,Y$3,実績!$AI$6:$AI$505,"&lt;="&amp;$A82,実績!$AJ$6:$AJ$505,"&gt;"&amp;$A82,実績!$AL$6:$AL$505,"○")&gt;0,1,0))</f>
        <v>0</v>
      </c>
      <c r="Z82" s="39" t="n">
        <f aca="false">IF(Z$4=0,0,IF(COUNTIFS(実績!$W$6:$W$505,Z$3,実績!$AI$6:$AI$505,"&lt;="&amp;$A82,実績!$AJ$6:$AJ$505,"&gt;"&amp;$A82,実績!$AL$6:$AL$505,"○")&gt;0,1,0))</f>
        <v>0</v>
      </c>
      <c r="AA82" s="39" t="n">
        <f aca="false">IF(AA$4=0,0,IF(COUNTIFS(実績!$W$6:$W$505,AA$3,実績!$AI$6:$AI$505,"&lt;="&amp;$A82,実績!$AJ$6:$AJ$505,"&gt;"&amp;$A82,実績!$AL$6:$AL$505,"○")&gt;0,1,0))</f>
        <v>0</v>
      </c>
      <c r="AB82" s="39" t="n">
        <f aca="false">IF(AB$4=0,0,IF(COUNTIFS(実績!$W$6:$W$505,AB$3,実績!$AI$6:$AI$505,"&lt;="&amp;$A82,実績!$AJ$6:$AJ$505,"&gt;"&amp;$A82,実績!$AL$6:$AL$505,"○")&gt;0,1,0))</f>
        <v>0</v>
      </c>
      <c r="AC82" s="39" t="n">
        <f aca="false">IF(AC$4=0,0,IF(COUNTIFS(実績!$W$6:$W$505,AC$3,実績!$AI$6:$AI$505,"&lt;="&amp;$A82,実績!$AJ$6:$AJ$505,"&gt;"&amp;$A82,実績!$AL$6:$AL$505,"○")&gt;0,1,0))</f>
        <v>0</v>
      </c>
      <c r="AD82" s="39" t="n">
        <f aca="false">IF(AD$4=0,0,IF(COUNTIFS(実績!$W$6:$W$505,AD$3,実績!$AI$6:$AI$505,"&lt;="&amp;$A82,実績!$AJ$6:$AJ$505,"&gt;"&amp;$A82,実績!$AL$6:$AL$505,"○")&gt;0,1,0))</f>
        <v>0</v>
      </c>
      <c r="AE82" s="39" t="n">
        <f aca="false">IF(AE$4=0,0,IF(COUNTIFS(実績!$W$6:$W$505,AE$3,実績!$AI$6:$AI$505,"&lt;="&amp;$A82,実績!$AJ$6:$AJ$505,"&gt;"&amp;$A82,実績!$AL$6:$AL$505,"○")&gt;0,1,0))</f>
        <v>0</v>
      </c>
      <c r="AF82" s="39" t="n">
        <f aca="false">IF(AF$4=0,0,IF(COUNTIFS(実績!$W$6:$W$505,AF$3,実績!$AI$6:$AI$505,"&lt;="&amp;$A82,実績!$AJ$6:$AJ$505,"&gt;"&amp;$A82,実績!$AL$6:$AL$505,"○")&gt;0,1,0))</f>
        <v>0</v>
      </c>
      <c r="AG82" s="39" t="n">
        <f aca="false">IF(AG$4=0,0,IF(COUNTIFS(実績!$W$6:$W$505,AG$3,実績!$AI$6:$AI$505,"&lt;="&amp;$A82,実績!$AJ$6:$AJ$505,"&gt;"&amp;$A82,実績!$AL$6:$AL$505,"○")&gt;0,1,0))</f>
        <v>0</v>
      </c>
      <c r="AH82" s="39" t="n">
        <f aca="false">IF(AH$4=0,0,IF(COUNTIFS(実績!$W$6:$W$505,AH$3,実績!$AI$6:$AI$505,"&lt;="&amp;$A82,実績!$AJ$6:$AJ$505,"&gt;"&amp;$A82,実績!$AL$6:$AL$505,"○")&gt;0,1,0))</f>
        <v>0</v>
      </c>
      <c r="AI82" s="39" t="n">
        <f aca="false">IF(AI$4=0,0,IF(COUNTIFS(実績!$W$6:$W$505,AI$3,実績!$AI$6:$AI$505,"&lt;="&amp;$A82,実績!$AJ$6:$AJ$505,"&gt;"&amp;$A82,実績!$AL$6:$AL$505,"○")&gt;0,1,0))</f>
        <v>0</v>
      </c>
      <c r="AJ82" s="39" t="n">
        <f aca="false">IF(AJ$4=0,0,IF(COUNTIFS(実績!$W$6:$W$505,AJ$3,実績!$AI$6:$AI$505,"&lt;="&amp;$A82,実績!$AJ$6:$AJ$505,"&gt;"&amp;$A82,実績!$AL$6:$AL$505,"○")&gt;0,1,0))</f>
        <v>0</v>
      </c>
      <c r="AK82" s="39" t="n">
        <f aca="false">IF(AK$4=0,0,IF(COUNTIFS(実績!$W$6:$W$505,AK$3,実績!$AI$6:$AI$505,"&lt;="&amp;$A82,実績!$AJ$6:$AJ$505,"&gt;"&amp;$A82,実績!$AL$6:$AL$505,"○")&gt;0,1,0))</f>
        <v>0</v>
      </c>
      <c r="AL82" s="39" t="n">
        <f aca="false">IF(AL$4=0,0,IF(COUNTIFS(実績!$W$6:$W$505,AL$3,実績!$AI$6:$AI$505,"&lt;="&amp;$A82,実績!$AJ$6:$AJ$505,"&gt;"&amp;$A82,実績!$AL$6:$AL$505,"○")&gt;0,1,0))</f>
        <v>0</v>
      </c>
      <c r="AM82" s="39" t="n">
        <f aca="false">IF(AM$4=0,0,IF(COUNTIFS(実績!$W$6:$W$505,AM$3,実績!$AI$6:$AI$505,"&lt;="&amp;$A82,実績!$AJ$6:$AJ$505,"&gt;"&amp;$A82,実績!$AL$6:$AL$505,"○")&gt;0,1,0))</f>
        <v>0</v>
      </c>
      <c r="AN82" s="39" t="n">
        <f aca="false">IF(AN$4=0,0,IF(COUNTIFS(実績!$W$6:$W$505,AN$3,実績!$AI$6:$AI$505,"&lt;="&amp;$A82,実績!$AJ$6:$AJ$505,"&gt;"&amp;$A82,実績!$AL$6:$AL$505,"○")&gt;0,1,0))</f>
        <v>0</v>
      </c>
      <c r="AO82" s="39" t="n">
        <f aca="false">IF(AO$4=0,0,IF(COUNTIFS(実績!$W$6:$W$505,AO$3,実績!$AI$6:$AI$505,"&lt;="&amp;$A82,実績!$AJ$6:$AJ$505,"&gt;"&amp;$A82,実績!$AL$6:$AL$505,"○")&gt;0,1,0))</f>
        <v>0</v>
      </c>
      <c r="AP82" s="39" t="n">
        <f aca="false">IF(AP$4=0,0,IF(COUNTIFS(実績!$W$6:$W$505,AP$3,実績!$AI$6:$AI$505,"&lt;="&amp;$A82,実績!$AJ$6:$AJ$505,"&gt;"&amp;$A82,実績!$AL$6:$AL$505,"○")&gt;0,1,0))</f>
        <v>0</v>
      </c>
      <c r="AQ82" s="39" t="n">
        <f aca="false">IF(AQ$4=0,0,IF(COUNTIFS(実績!$W$6:$W$505,AQ$3,実績!$AI$6:$AI$505,"&lt;="&amp;$A82,実績!$AJ$6:$AJ$505,"&gt;"&amp;$A82,実績!$AL$6:$AL$505,"○")&gt;0,1,0))</f>
        <v>0</v>
      </c>
      <c r="AR82" s="39" t="n">
        <f aca="false">IF(AR$4=0,0,IF(COUNTIFS(実績!$W$6:$W$505,AR$3,実績!$AI$6:$AI$505,"&lt;="&amp;$A82,実績!$AJ$6:$AJ$505,"&gt;"&amp;$A82,実績!$AL$6:$AL$505,"○")&gt;0,1,0))</f>
        <v>0</v>
      </c>
      <c r="AS82" s="39" t="n">
        <f aca="false">IF(AS$4=0,0,IF(COUNTIFS(実績!$W$6:$W$505,AS$3,実績!$AI$6:$AI$505,"&lt;="&amp;$A82,実績!$AJ$6:$AJ$505,"&gt;"&amp;$A82,実績!$AL$6:$AL$505,"○")&gt;0,1,0))</f>
        <v>0</v>
      </c>
      <c r="AT82" s="39" t="n">
        <f aca="false">IF(AT$4=0,0,IF(COUNTIFS(実績!$W$6:$W$505,AT$3,実績!$AI$6:$AI$505,"&lt;="&amp;$A82,実績!$AJ$6:$AJ$505,"&gt;"&amp;$A82,実績!$AL$6:$AL$505,"○")&gt;0,1,0))</f>
        <v>0</v>
      </c>
      <c r="AU82" s="39" t="n">
        <f aca="false">IF(AU$4=0,0,IF(COUNTIFS(実績!$W$6:$W$505,AU$3,実績!$AI$6:$AI$505,"&lt;="&amp;$A82,実績!$AJ$6:$AJ$505,"&gt;"&amp;$A82,実績!$AL$6:$AL$505,"○")&gt;0,1,0))</f>
        <v>0</v>
      </c>
      <c r="AV82" s="39" t="n">
        <f aca="false">IF(AV$4=0,0,IF(COUNTIFS(実績!$W$6:$W$505,AV$3,実績!$AI$6:$AI$505,"&lt;="&amp;$A82,実績!$AJ$6:$AJ$505,"&gt;"&amp;$A82,実績!$AL$6:$AL$505,"○")&gt;0,1,0))</f>
        <v>0</v>
      </c>
      <c r="AW82" s="39" t="n">
        <f aca="false">IF(AW$4=0,0,IF(COUNTIFS(実績!$W$6:$W$505,AW$3,実績!$AI$6:$AI$505,"&lt;="&amp;$A82,実績!$AJ$6:$AJ$505,"&gt;"&amp;$A82,実績!$AL$6:$AL$505,"○")&gt;0,1,0))</f>
        <v>0</v>
      </c>
      <c r="AX82" s="39" t="n">
        <f aca="false">IF(AX$4=0,0,IF(COUNTIFS(実績!$W$6:$W$505,AX$3,実績!$AI$6:$AI$505,"&lt;="&amp;$A82,実績!$AJ$6:$AJ$505,"&gt;"&amp;$A82,実績!$AL$6:$AL$505,"○")&gt;0,1,0))</f>
        <v>0</v>
      </c>
      <c r="AY82" s="39" t="n">
        <f aca="false">IF(AY$4=0,0,IF(COUNTIFS(実績!$W$6:$W$505,AY$3,実績!$AI$6:$AI$505,"&lt;="&amp;$A82,実績!$AJ$6:$AJ$505,"&gt;"&amp;$A82,実績!$AL$6:$AL$505,"○")&gt;0,1,0))</f>
        <v>0</v>
      </c>
      <c r="AZ82" s="39" t="n">
        <f aca="false">IF(AZ$4=0,0,IF(COUNTIFS(実績!$W$6:$W$505,AZ$3,実績!$AI$6:$AI$505,"&lt;="&amp;$A82,実績!$AJ$6:$AJ$505,"&gt;"&amp;$A82,実績!$AL$6:$AL$505,"○")&gt;0,1,0))</f>
        <v>0</v>
      </c>
      <c r="BA82" s="39" t="n">
        <f aca="false">IF(BA$4=0,0,IF(COUNTIFS(実績!$W$6:$W$505,BA$3,実績!$AI$6:$AI$505,"&lt;="&amp;$A82,実績!$AJ$6:$AJ$505,"&gt;"&amp;$A82,実績!$AL$6:$AL$505,"○")&gt;0,1,0))</f>
        <v>0</v>
      </c>
      <c r="BB82" s="39" t="n">
        <f aca="false">IF(BB$4=0,0,IF(COUNTIFS(実績!$W$6:$W$505,BB$3,実績!$AI$6:$AI$505,"&lt;="&amp;$A82,実績!$AJ$6:$AJ$505,"&gt;"&amp;$A82,実績!$AL$6:$AL$505,"○")&gt;0,1,0))</f>
        <v>0</v>
      </c>
      <c r="BC82" s="39" t="n">
        <f aca="false">IF(BC$4=0,0,IF(COUNTIFS(実績!$W$6:$W$505,BC$3,実績!$AI$6:$AI$505,"&lt;="&amp;$A82,実績!$AJ$6:$AJ$505,"&gt;"&amp;$A82,実績!$AL$6:$AL$505,"○")&gt;0,1,0))</f>
        <v>0</v>
      </c>
      <c r="BD82" s="39" t="n">
        <f aca="false">IF(BD$4=0,0,IF(COUNTIFS(実績!$W$6:$W$505,BD$3,実績!$AI$6:$AI$505,"&lt;="&amp;$A82,実績!$AJ$6:$AJ$505,"&gt;"&amp;$A82,実績!$AL$6:$AL$505,"○")&gt;0,1,0))</f>
        <v>0</v>
      </c>
      <c r="BE82" s="39" t="n">
        <f aca="false">IF(BE$4=0,0,IF(COUNTIFS(実績!$W$6:$W$505,BE$3,実績!$AI$6:$AI$505,"&lt;="&amp;$A82,実績!$AJ$6:$AJ$505,"&gt;"&amp;$A82,実績!$AL$6:$AL$505,"○")&gt;0,1,0))</f>
        <v>0</v>
      </c>
      <c r="BF82" s="39" t="n">
        <f aca="false">IF(BF$4=0,0,IF(COUNTIFS(実績!$W$6:$W$505,BF$3,実績!$AI$6:$AI$505,"&lt;="&amp;$A82,実績!$AJ$6:$AJ$505,"&gt;"&amp;$A82,実績!$AL$6:$AL$505,"○")&gt;0,1,0))</f>
        <v>0</v>
      </c>
      <c r="BG82" s="39" t="n">
        <f aca="false">IF(BG$4=0,0,IF(COUNTIFS(実績!$W$6:$W$505,BG$3,実績!$AI$6:$AI$505,"&lt;="&amp;$A82,実績!$AJ$6:$AJ$505,"&gt;"&amp;$A82,実績!$AL$6:$AL$505,"○")&gt;0,1,0))</f>
        <v>0</v>
      </c>
      <c r="BH82" s="39" t="n">
        <f aca="false">IF(BH$4=0,0,IF(COUNTIFS(実績!$W$6:$W$505,BH$3,実績!$AI$6:$AI$505,"&lt;="&amp;$A82,実績!$AJ$6:$AJ$505,"&gt;"&amp;$A82,実績!$AL$6:$AL$505,"○")&gt;0,1,0))</f>
        <v>0</v>
      </c>
      <c r="BI82" s="39" t="n">
        <f aca="false">IF(BI$4=0,0,IF(COUNTIFS(実績!$W$6:$W$505,BI$3,実績!$AI$6:$AI$505,"&lt;="&amp;$A82,実績!$AJ$6:$AJ$505,"&gt;"&amp;$A82,実績!$AL$6:$AL$505,"○")&gt;0,1,0))</f>
        <v>0</v>
      </c>
      <c r="BJ82" s="39" t="n">
        <f aca="false">IF(BJ$4=0,0,IF(COUNTIFS(実績!$W$6:$W$505,BJ$3,実績!$AI$6:$AI$505,"&lt;="&amp;$A82,実績!$AJ$6:$AJ$505,"&gt;"&amp;$A82,実績!$AL$6:$AL$505,"○")&gt;0,1,0))</f>
        <v>0</v>
      </c>
      <c r="BK82" s="39" t="n">
        <f aca="false">IF(BK$4=0,0,IF(COUNTIFS(実績!$W$6:$W$505,BK$3,実績!$AI$6:$AI$505,"&lt;="&amp;$A82,実績!$AJ$6:$AJ$505,"&gt;"&amp;$A82,実績!$AL$6:$AL$505,"○")&gt;0,1,0))</f>
        <v>0</v>
      </c>
      <c r="BL82" s="39" t="n">
        <f aca="false">IF(BL$4=0,0,IF(COUNTIFS(実績!$W$6:$W$505,BL$3,実績!$AI$6:$AI$505,"&lt;="&amp;$A82,実績!$AJ$6:$AJ$505,"&gt;"&amp;$A82,実績!$AL$6:$AL$505,"○")&gt;0,1,0))</f>
        <v>0</v>
      </c>
      <c r="BM82" s="39" t="n">
        <f aca="false">IF(BM$4=0,0,IF(COUNTIFS(実績!$W$6:$W$505,BM$3,実績!$AI$6:$AI$505,"&lt;="&amp;$A82,実績!$AJ$6:$AJ$505,"&gt;"&amp;$A82,実績!$AL$6:$AL$505,"○")&gt;0,1,0))</f>
        <v>0</v>
      </c>
      <c r="BN82" s="39" t="n">
        <f aca="false">IF(BN$4=0,0,IF(COUNTIFS(実績!$W$6:$W$505,BN$3,実績!$AI$6:$AI$505,"&lt;="&amp;$A82,実績!$AJ$6:$AJ$505,"&gt;"&amp;$A82,実績!$AL$6:$AL$505,"○")&gt;0,1,0))</f>
        <v>0</v>
      </c>
      <c r="BO82" s="39" t="n">
        <f aca="false">IF(BO$4=0,0,IF(COUNTIFS(実績!$W$6:$W$505,BO$3,実績!$AI$6:$AI$505,"&lt;="&amp;$A82,実績!$AJ$6:$AJ$505,"&gt;"&amp;$A82,実績!$AL$6:$AL$505,"○")&gt;0,1,0))</f>
        <v>0</v>
      </c>
      <c r="BP82" s="39" t="n">
        <f aca="false">IF(BP$4=0,0,IF(COUNTIFS(実績!$W$6:$W$505,BP$3,実績!$AI$6:$AI$505,"&lt;="&amp;$A82,実績!$AJ$6:$AJ$505,"&gt;"&amp;$A82,実績!$AL$6:$AL$505,"○")&gt;0,1,0))</f>
        <v>0</v>
      </c>
      <c r="BQ82" s="39" t="n">
        <f aca="false">IF(BQ$4=0,0,IF(COUNTIFS(実績!$W$6:$W$505,BQ$3,実績!$AI$6:$AI$505,"&lt;="&amp;$A82,実績!$AJ$6:$AJ$505,"&gt;"&amp;$A82,実績!$AL$6:$AL$505,"○")&gt;0,1,0))</f>
        <v>0</v>
      </c>
      <c r="BR82" s="39" t="n">
        <f aca="false">IF(BR$4=0,0,IF(COUNTIFS(実績!$W$6:$W$505,BR$3,実績!$AI$6:$AI$505,"&lt;="&amp;$A82,実績!$AJ$6:$AJ$505,"&gt;"&amp;$A82,実績!$AL$6:$AL$505,"○")&gt;0,1,0))</f>
        <v>0</v>
      </c>
      <c r="BS82" s="39" t="n">
        <f aca="false">IF(BS$4=0,0,IF(COUNTIFS(実績!$W$6:$W$505,BS$3,実績!$AI$6:$AI$505,"&lt;="&amp;$A82,実績!$AJ$6:$AJ$505,"&gt;"&amp;$A82,実績!$AL$6:$AL$505,"○")&gt;0,1,0))</f>
        <v>0</v>
      </c>
      <c r="BT82" s="39" t="n">
        <f aca="false">IF(BT$4=0,0,IF(COUNTIFS(実績!$W$6:$W$505,BT$3,実績!$AI$6:$AI$505,"&lt;="&amp;$A82,実績!$AJ$6:$AJ$505,"&gt;"&amp;$A82,実績!$AL$6:$AL$505,"○")&gt;0,1,0))</f>
        <v>0</v>
      </c>
      <c r="BU82" s="39" t="n">
        <f aca="false">IF(BU$4=0,0,IF(COUNTIFS(実績!$W$6:$W$505,BU$3,実績!$AI$6:$AI$505,"&lt;="&amp;$A82,実績!$AJ$6:$AJ$505,"&gt;"&amp;$A82,実績!$AL$6:$AL$505,"○")&gt;0,1,0))</f>
        <v>0</v>
      </c>
      <c r="BV82" s="39" t="n">
        <f aca="false">IF(BV$4=0,0,IF(COUNTIFS(実績!$W$6:$W$505,BV$3,実績!$AI$6:$AI$505,"&lt;="&amp;$A82,実績!$AJ$6:$AJ$505,"&gt;"&amp;$A82,実績!$AL$6:$AL$505,"○")&gt;0,1,0))</f>
        <v>0</v>
      </c>
      <c r="BW82" s="39" t="n">
        <f aca="false">IF(BW$4=0,0,IF(COUNTIFS(実績!$W$6:$W$505,BW$3,実績!$AI$6:$AI$505,"&lt;="&amp;$A82,実績!$AJ$6:$AJ$505,"&gt;"&amp;$A82,実績!$AL$6:$AL$505,"○")&gt;0,1,0))</f>
        <v>0</v>
      </c>
      <c r="BX82" s="39" t="n">
        <f aca="false">IF(BX$4=0,0,IF(COUNTIFS(実績!$W$6:$W$505,BX$3,実績!$AI$6:$AI$505,"&lt;="&amp;$A82,実績!$AJ$6:$AJ$505,"&gt;"&amp;$A82,実績!$AL$6:$AL$505,"○")&gt;0,1,0))</f>
        <v>0</v>
      </c>
      <c r="BY82" s="39" t="n">
        <f aca="false">IF(BY$4=0,0,IF(COUNTIFS(実績!$W$6:$W$505,BY$3,実績!$AI$6:$AI$505,"&lt;="&amp;$A82,実績!$AJ$6:$AJ$505,"&gt;"&amp;$A82,実績!$AL$6:$AL$505,"○")&gt;0,1,0))</f>
        <v>0</v>
      </c>
      <c r="BZ82" s="39" t="n">
        <f aca="false">IF(BZ$4=0,0,IF(COUNTIFS(実績!$W$6:$W$505,BZ$3,実績!$AI$6:$AI$505,"&lt;="&amp;$A82,実績!$AJ$6:$AJ$505,"&gt;"&amp;$A82,実績!$AL$6:$AL$505,"○")&gt;0,1,0))</f>
        <v>0</v>
      </c>
      <c r="CA82" s="39" t="n">
        <f aca="false">IF(CA$4=0,0,IF(COUNTIFS(実績!$W$6:$W$505,CA$3,実績!$AI$6:$AI$505,"&lt;="&amp;$A82,実績!$AJ$6:$AJ$505,"&gt;"&amp;$A82,実績!$AL$6:$AL$505,"○")&gt;0,1,0))</f>
        <v>0</v>
      </c>
      <c r="CB82" s="39" t="n">
        <f aca="false">IF(CB$4=0,0,IF(COUNTIFS(実績!$W$6:$W$505,CB$3,実績!$AI$6:$AI$505,"&lt;="&amp;$A82,実績!$AJ$6:$AJ$505,"&gt;"&amp;$A82,実績!$AL$6:$AL$505,"○")&gt;0,1,0))</f>
        <v>0</v>
      </c>
      <c r="CC82" s="39" t="n">
        <f aca="false">IF(CC$4=0,0,IF(COUNTIFS(実績!$W$6:$W$505,CC$3,実績!$AI$6:$AI$505,"&lt;="&amp;$A82,実績!$AJ$6:$AJ$505,"&gt;"&amp;$A82,実績!$AL$6:$AL$505,"○")&gt;0,1,0))</f>
        <v>0</v>
      </c>
      <c r="CD82" s="39" t="n">
        <f aca="false">IF(CD$4=0,0,IF(COUNTIFS(実績!$W$6:$W$505,CD$3,実績!$AI$6:$AI$505,"&lt;="&amp;$A82,実績!$AJ$6:$AJ$505,"&gt;"&amp;$A82,実績!$AL$6:$AL$505,"○")&gt;0,1,0))</f>
        <v>0</v>
      </c>
      <c r="CE82" s="39" t="n">
        <f aca="false">IF(CE$4=0,0,IF(COUNTIFS(実績!$W$6:$W$505,CE$3,実績!$AI$6:$AI$505,"&lt;="&amp;$A82,実績!$AJ$6:$AJ$505,"&gt;"&amp;$A82,実績!$AL$6:$AL$505,"○")&gt;0,1,0))</f>
        <v>0</v>
      </c>
      <c r="CF82" s="39" t="n">
        <f aca="false">IF(CF$4=0,0,IF(COUNTIFS(実績!$W$6:$W$505,CF$3,実績!$AI$6:$AI$505,"&lt;="&amp;$A82,実績!$AJ$6:$AJ$505,"&gt;"&amp;$A82,実績!$AL$6:$AL$505,"○")&gt;0,1,0))</f>
        <v>0</v>
      </c>
      <c r="CG82" s="39" t="n">
        <f aca="false">IF(CG$4=0,0,IF(COUNTIFS(実績!$W$6:$W$505,CG$3,実績!$AI$6:$AI$505,"&lt;="&amp;$A82,実績!$AJ$6:$AJ$505,"&gt;"&amp;$A82,実績!$AL$6:$AL$505,"○")&gt;0,1,0))</f>
        <v>0</v>
      </c>
      <c r="CH82" s="39" t="n">
        <f aca="false">IF(CH$4=0,0,IF(COUNTIFS(実績!$W$6:$W$505,CH$3,実績!$AI$6:$AI$505,"&lt;="&amp;$A82,実績!$AJ$6:$AJ$505,"&gt;"&amp;$A82,実績!$AL$6:$AL$505,"○")&gt;0,1,0))</f>
        <v>0</v>
      </c>
      <c r="CI82" s="39" t="n">
        <f aca="false">IF(CI$4=0,0,IF(COUNTIFS(実績!$W$6:$W$505,CI$3,実績!$AI$6:$AI$505,"&lt;="&amp;$A82,実績!$AJ$6:$AJ$505,"&gt;"&amp;$A82,実績!$AL$6:$AL$505,"○")&gt;0,1,0))</f>
        <v>0</v>
      </c>
      <c r="CJ82" s="39" t="n">
        <f aca="false">IF(CJ$4=0,0,IF(COUNTIFS(実績!$W$6:$W$505,CJ$3,実績!$AI$6:$AI$505,"&lt;="&amp;$A82,実績!$AJ$6:$AJ$505,"&gt;"&amp;$A82,実績!$AL$6:$AL$505,"○")&gt;0,1,0))</f>
        <v>0</v>
      </c>
      <c r="CK82" s="39" t="n">
        <f aca="false">IF(CK$4=0,0,IF(COUNTIFS(実績!$W$6:$W$505,CK$3,実績!$AI$6:$AI$505,"&lt;="&amp;$A82,実績!$AJ$6:$AJ$505,"&gt;"&amp;$A82,実績!$AL$6:$AL$505,"○")&gt;0,1,0))</f>
        <v>0</v>
      </c>
      <c r="CL82" s="39" t="n">
        <f aca="false">IF(CL$4=0,0,IF(COUNTIFS(実績!$W$6:$W$505,CL$3,実績!$AI$6:$AI$505,"&lt;="&amp;$A82,実績!$AJ$6:$AJ$505,"&gt;"&amp;$A82,実績!$AL$6:$AL$505,"○")&gt;0,1,0))</f>
        <v>0</v>
      </c>
      <c r="CM82" s="39" t="n">
        <f aca="false">IF(CM$4=0,0,IF(COUNTIFS(実績!$W$6:$W$505,CM$3,実績!$AI$6:$AI$505,"&lt;="&amp;$A82,実績!$AJ$6:$AJ$505,"&gt;"&amp;$A82,実績!$AL$6:$AL$505,"○")&gt;0,1,0))</f>
        <v>0</v>
      </c>
      <c r="CN82" s="39" t="n">
        <f aca="false">IF(CN$4=0,0,IF(COUNTIFS(実績!$W$6:$W$505,CN$3,実績!$AI$6:$AI$505,"&lt;="&amp;$A82,実績!$AJ$6:$AJ$505,"&gt;"&amp;$A82,実績!$AL$6:$AL$505,"○")&gt;0,1,0))</f>
        <v>0</v>
      </c>
      <c r="CO82" s="39" t="n">
        <f aca="false">IF(CO$4=0,0,IF(COUNTIFS(実績!$W$6:$W$505,CO$3,実績!$AI$6:$AI$505,"&lt;="&amp;$A82,実績!$AJ$6:$AJ$505,"&gt;"&amp;$A82,実績!$AL$6:$AL$505,"○")&gt;0,1,0))</f>
        <v>0</v>
      </c>
      <c r="CP82" s="39" t="n">
        <f aca="false">IF(CP$4=0,0,IF(COUNTIFS(実績!$W$6:$W$505,CP$3,実績!$AI$6:$AI$505,"&lt;="&amp;$A82,実績!$AJ$6:$AJ$505,"&gt;"&amp;$A82,実績!$AL$6:$AL$505,"○")&gt;0,1,0))</f>
        <v>0</v>
      </c>
      <c r="CQ82" s="39" t="n">
        <f aca="false">IF(CQ$4=0,0,IF(COUNTIFS(実績!$W$6:$W$505,CQ$3,実績!$AI$6:$AI$505,"&lt;="&amp;$A82,実績!$AJ$6:$AJ$505,"&gt;"&amp;$A82,実績!$AL$6:$AL$505,"○")&gt;0,1,0))</f>
        <v>0</v>
      </c>
      <c r="CR82" s="39" t="n">
        <f aca="false">IF(CR$4=0,0,IF(COUNTIFS(実績!$W$6:$W$505,CR$3,実績!$AI$6:$AI$505,"&lt;="&amp;$A82,実績!$AJ$6:$AJ$505,"&gt;"&amp;$A82,実績!$AL$6:$AL$505,"○")&gt;0,1,0))</f>
        <v>0</v>
      </c>
      <c r="CS82" s="39" t="n">
        <f aca="false">IF(CS$4=0,0,IF(COUNTIFS(実績!$W$6:$W$505,CS$3,実績!$AI$6:$AI$505,"&lt;="&amp;$A82,実績!$AJ$6:$AJ$505,"&gt;"&amp;$A82,実績!$AL$6:$AL$505,"○")&gt;0,1,0))</f>
        <v>0</v>
      </c>
      <c r="CT82" s="39" t="n">
        <f aca="false">IF(CT$4=0,0,IF(COUNTIFS(実績!$W$6:$W$505,CT$3,実績!$AI$6:$AI$505,"&lt;="&amp;$A82,実績!$AJ$6:$AJ$505,"&gt;"&amp;$A82,実績!$AL$6:$AL$505,"○")&gt;0,1,0))</f>
        <v>0</v>
      </c>
      <c r="CU82" s="39" t="n">
        <f aca="false">IF(CU$4=0,0,IF(COUNTIFS(実績!$W$6:$W$505,CU$3,実績!$AI$6:$AI$505,"&lt;="&amp;$A82,実績!$AJ$6:$AJ$505,"&gt;"&amp;$A82,実績!$AL$6:$AL$505,"○")&gt;0,1,0))</f>
        <v>0</v>
      </c>
      <c r="CV82" s="39" t="n">
        <f aca="false">IF(CV$4=0,0,IF(COUNTIFS(実績!$W$6:$W$505,CV$3,実績!$AI$6:$AI$505,"&lt;="&amp;$A82,実績!$AJ$6:$AJ$505,"&gt;"&amp;$A82,実績!$AL$6:$AL$505,"○")&gt;0,1,0))</f>
        <v>0</v>
      </c>
      <c r="CW82" s="39" t="n">
        <f aca="false">IF(CW$4=0,0,IF(COUNTIFS(実績!$W$6:$W$505,CW$3,実績!$AI$6:$AI$505,"&lt;="&amp;$A82,実績!$AJ$6:$AJ$505,"&gt;"&amp;$A82,実績!$AL$6:$AL$505,"○")&gt;0,1,0))</f>
        <v>0</v>
      </c>
      <c r="CX82" s="39" t="n">
        <f aca="false">IF(CX$4=0,0,IF(COUNTIFS(実績!$W$6:$W$505,CX$3,実績!$AI$6:$AI$505,"&lt;="&amp;$A82,実績!$AJ$6:$AJ$505,"&gt;"&amp;$A82,実績!$AL$6:$AL$505,"○")&gt;0,1,0))</f>
        <v>0</v>
      </c>
      <c r="CY82" s="39" t="n">
        <f aca="false">IF(CY$4=0,0,IF(COUNTIFS(実績!$W$6:$W$505,CY$3,実績!$AI$6:$AI$505,"&lt;="&amp;$A82,実績!$AJ$6:$AJ$505,"&gt;"&amp;$A82,実績!$AL$6:$AL$505,"○")&gt;0,1,0))</f>
        <v>0</v>
      </c>
      <c r="CZ82" s="39" t="n">
        <f aca="false">IF(CZ$4=0,0,IF(COUNTIFS(実績!$W$6:$W$505,CZ$3,実績!$AI$6:$AI$505,"&lt;="&amp;$A82,実績!$AJ$6:$AJ$505,"&gt;"&amp;$A82,実績!$AL$6:$AL$505,"○")&gt;0,1,0))</f>
        <v>0</v>
      </c>
      <c r="DA82" s="39" t="n">
        <f aca="false">IF(DA$4=0,0,IF(COUNTIFS(実績!$W$6:$W$505,DA$3,実績!$AI$6:$AI$505,"&lt;="&amp;$A82,実績!$AJ$6:$AJ$505,"&gt;"&amp;$A82,実績!$AL$6:$AL$505,"○")&gt;0,1,0))</f>
        <v>0</v>
      </c>
      <c r="DB82" s="39" t="n">
        <f aca="false">IF(DB$4=0,0,IF(COUNTIFS(実績!$W$6:$W$505,DB$3,実績!$AI$6:$AI$505,"&lt;="&amp;$A82,実績!$AJ$6:$AJ$505,"&gt;"&amp;$A82,実績!$AL$6:$AL$505,"○")&gt;0,1,0))</f>
        <v>0</v>
      </c>
      <c r="DC82" s="39" t="n">
        <f aca="false">IF(DC$4=0,0,IF(COUNTIFS(実績!$W$6:$W$505,DC$3,実績!$AI$6:$AI$505,"&lt;="&amp;$A82,実績!$AJ$6:$AJ$505,"&gt;"&amp;$A82,実績!$AL$6:$AL$505,"○")&gt;0,1,0))</f>
        <v>0</v>
      </c>
      <c r="DD82" s="39" t="n">
        <f aca="false">IF(DD$4=0,0,IF(COUNTIFS(実績!$W$6:$W$505,DD$3,実績!$AI$6:$AI$505,"&lt;="&amp;$A82,実績!$AJ$6:$AJ$505,"&gt;"&amp;$A82,実績!$AL$6:$AL$505,"○")&gt;0,1,0))</f>
        <v>0</v>
      </c>
      <c r="DE82" s="39" t="n">
        <f aca="false">IF(DE$4=0,0,IF(COUNTIFS(実績!$W$6:$W$505,DE$3,実績!$AI$6:$AI$505,"&lt;="&amp;$A82,実績!$AJ$6:$AJ$505,"&gt;"&amp;$A82,実績!$AL$6:$AL$505,"○")&gt;0,1,0))</f>
        <v>0</v>
      </c>
      <c r="DF82" s="39" t="n">
        <f aca="false">IF(DF$4=0,0,IF(COUNTIFS(実績!$W$6:$W$505,DF$3,実績!$AI$6:$AI$505,"&lt;="&amp;$A82,実績!$AJ$6:$AJ$505,"&gt;"&amp;$A82,実績!$AL$6:$AL$505,"○")&gt;0,1,0))</f>
        <v>0</v>
      </c>
      <c r="DG82" s="39" t="n">
        <f aca="false">IF(DG$4=0,0,IF(COUNTIFS(実績!$W$6:$W$505,DG$3,実績!$AI$6:$AI$505,"&lt;="&amp;$A82,実績!$AJ$6:$AJ$505,"&gt;"&amp;$A82,実績!$AL$6:$AL$505,"○")&gt;0,1,0))</f>
        <v>0</v>
      </c>
      <c r="DH82" s="39" t="n">
        <f aca="false">IF(DH$4=0,0,IF(COUNTIFS(実績!$W$6:$W$505,DH$3,実績!$AI$6:$AI$505,"&lt;="&amp;$A82,実績!$AJ$6:$AJ$505,"&gt;"&amp;$A82,実績!$AL$6:$AL$505,"○")&gt;0,1,0))</f>
        <v>0</v>
      </c>
      <c r="DI82" s="39" t="n">
        <f aca="false">IF(DI$4=0,0,IF(COUNTIFS(実績!$W$6:$W$505,DI$3,実績!$AI$6:$AI$505,"&lt;="&amp;$A82,実績!$AJ$6:$AJ$505,"&gt;"&amp;$A82,実績!$AL$6:$AL$505,"○")&gt;0,1,0))</f>
        <v>0</v>
      </c>
      <c r="DJ82" s="39" t="n">
        <f aca="false">IF(DJ$4=0,0,IF(COUNTIFS(実績!$W$6:$W$505,DJ$3,実績!$AI$6:$AI$505,"&lt;="&amp;$A82,実績!$AJ$6:$AJ$505,"&gt;"&amp;$A82,実績!$AL$6:$AL$505,"○")&gt;0,1,0))</f>
        <v>0</v>
      </c>
      <c r="DK82" s="39" t="n">
        <f aca="false">IF(DK$4=0,0,IF(COUNTIFS(実績!$W$6:$W$505,DK$3,実績!$AI$6:$AI$505,"&lt;="&amp;$A82,実績!$AJ$6:$AJ$505,"&gt;"&amp;$A82,実績!$AL$6:$AL$505,"○")&gt;0,1,0))</f>
        <v>0</v>
      </c>
      <c r="DL82" s="39" t="n">
        <f aca="false">IF(DL$4=0,0,IF(COUNTIFS(実績!$W$6:$W$505,DL$3,実績!$AI$6:$AI$505,"&lt;="&amp;$A82,実績!$AJ$6:$AJ$505,"&gt;"&amp;$A82,実績!$AL$6:$AL$505,"○")&gt;0,1,0))</f>
        <v>0</v>
      </c>
      <c r="DM82" s="39" t="n">
        <f aca="false">IF(DM$4=0,0,IF(COUNTIFS(実績!$W$6:$W$505,DM$3,実績!$AI$6:$AI$505,"&lt;="&amp;$A82,実績!$AJ$6:$AJ$505,"&gt;"&amp;$A82,実績!$AL$6:$AL$505,"○")&gt;0,1,0))</f>
        <v>0</v>
      </c>
      <c r="DN82" s="39" t="n">
        <f aca="false">IF(DN$4=0,0,IF(COUNTIFS(実績!$W$6:$W$505,DN$3,実績!$AI$6:$AI$505,"&lt;="&amp;$A82,実績!$AJ$6:$AJ$505,"&gt;"&amp;$A82,実績!$AL$6:$AL$505,"○")&gt;0,1,0))</f>
        <v>0</v>
      </c>
      <c r="DO82" s="39" t="n">
        <f aca="false">IF(DO$4=0,0,IF(COUNTIFS(実績!$W$6:$W$505,DO$3,実績!$AI$6:$AI$505,"&lt;="&amp;$A82,実績!$AJ$6:$AJ$505,"&gt;"&amp;$A82,実績!$AL$6:$AL$505,"○")&gt;0,1,0))</f>
        <v>0</v>
      </c>
      <c r="DP82" s="39" t="n">
        <f aca="false">IF(DP$4=0,0,IF(COUNTIFS(実績!$W$6:$W$505,DP$3,実績!$AI$6:$AI$505,"&lt;="&amp;$A82,実績!$AJ$6:$AJ$505,"&gt;"&amp;$A82,実績!$AL$6:$AL$505,"○")&gt;0,1,0))</f>
        <v>0</v>
      </c>
      <c r="DQ82" s="39" t="n">
        <f aca="false">IF(DQ$4=0,0,IF(COUNTIFS(実績!$W$6:$W$505,DQ$3,実績!$AI$6:$AI$505,"&lt;="&amp;$A82,実績!$AJ$6:$AJ$505,"&gt;"&amp;$A82,実績!$AL$6:$AL$505,"○")&gt;0,1,0))</f>
        <v>0</v>
      </c>
      <c r="DR82" s="39" t="n">
        <f aca="false">IF(DR$4=0,0,IF(COUNTIFS(実績!$W$6:$W$505,DR$3,実績!$AI$6:$AI$505,"&lt;="&amp;$A82,実績!$AJ$6:$AJ$505,"&gt;"&amp;$A82,実績!$AL$6:$AL$505,"○")&gt;0,1,0))</f>
        <v>0</v>
      </c>
      <c r="DS82" s="39" t="n">
        <f aca="false">SUM(C82:DR82)</f>
        <v>0</v>
      </c>
    </row>
    <row r="83" customFormat="false" ht="15" hidden="false" customHeight="false" outlineLevel="0" collapsed="false">
      <c r="A83" s="0" t="n">
        <v>385</v>
      </c>
      <c r="B83" s="38" t="n">
        <f aca="false">A83/1440</f>
        <v>0.267361111111111</v>
      </c>
      <c r="C83" s="39" t="n">
        <f aca="false">IF(C$4=0,0,IF(COUNTIFS(実績!$W$6:$W$505,C$3,実績!$AI$6:$AI$505,"&lt;="&amp;$A83,実績!$AJ$6:$AJ$505,"&gt;"&amp;$A83,実績!$AL$6:$AL$505,"○")&gt;0,1,0))</f>
        <v>0</v>
      </c>
      <c r="D83" s="39" t="n">
        <f aca="false">IF(D$4=0,0,IF(COUNTIFS(実績!$W$6:$W$505,D$3,実績!$AI$6:$AI$505,"&lt;="&amp;$A83,実績!$AJ$6:$AJ$505,"&gt;"&amp;$A83,実績!$AL$6:$AL$505,"○")&gt;0,1,0))</f>
        <v>0</v>
      </c>
      <c r="E83" s="39" t="n">
        <f aca="false">IF(E$4=0,0,IF(COUNTIFS(実績!$W$6:$W$505,E$3,実績!$AI$6:$AI$505,"&lt;="&amp;$A83,実績!$AJ$6:$AJ$505,"&gt;"&amp;$A83,実績!$AL$6:$AL$505,"○")&gt;0,1,0))</f>
        <v>0</v>
      </c>
      <c r="F83" s="39" t="n">
        <f aca="false">IF(F$4=0,0,IF(COUNTIFS(実績!$W$6:$W$505,F$3,実績!$AI$6:$AI$505,"&lt;="&amp;$A83,実績!$AJ$6:$AJ$505,"&gt;"&amp;$A83,実績!$AL$6:$AL$505,"○")&gt;0,1,0))</f>
        <v>0</v>
      </c>
      <c r="G83" s="39" t="n">
        <f aca="false">IF(G$4=0,0,IF(COUNTIFS(実績!$W$6:$W$505,G$3,実績!$AI$6:$AI$505,"&lt;="&amp;$A83,実績!$AJ$6:$AJ$505,"&gt;"&amp;$A83,実績!$AL$6:$AL$505,"○")&gt;0,1,0))</f>
        <v>0</v>
      </c>
      <c r="H83" s="39" t="n">
        <f aca="false">IF(H$4=0,0,IF(COUNTIFS(実績!$W$6:$W$505,H$3,実績!$AI$6:$AI$505,"&lt;="&amp;$A83,実績!$AJ$6:$AJ$505,"&gt;"&amp;$A83,実績!$AL$6:$AL$505,"○")&gt;0,1,0))</f>
        <v>0</v>
      </c>
      <c r="I83" s="39" t="n">
        <f aca="false">IF(I$4=0,0,IF(COUNTIFS(実績!$W$6:$W$505,I$3,実績!$AI$6:$AI$505,"&lt;="&amp;$A83,実績!$AJ$6:$AJ$505,"&gt;"&amp;$A83,実績!$AL$6:$AL$505,"○")&gt;0,1,0))</f>
        <v>0</v>
      </c>
      <c r="J83" s="39" t="n">
        <f aca="false">IF(J$4=0,0,IF(COUNTIFS(実績!$W$6:$W$505,J$3,実績!$AI$6:$AI$505,"&lt;="&amp;$A83,実績!$AJ$6:$AJ$505,"&gt;"&amp;$A83,実績!$AL$6:$AL$505,"○")&gt;0,1,0))</f>
        <v>0</v>
      </c>
      <c r="K83" s="39" t="n">
        <f aca="false">IF(K$4=0,0,IF(COUNTIFS(実績!$W$6:$W$505,K$3,実績!$AI$6:$AI$505,"&lt;="&amp;$A83,実績!$AJ$6:$AJ$505,"&gt;"&amp;$A83,実績!$AL$6:$AL$505,"○")&gt;0,1,0))</f>
        <v>0</v>
      </c>
      <c r="L83" s="39" t="n">
        <f aca="false">IF(L$4=0,0,IF(COUNTIFS(実績!$W$6:$W$505,L$3,実績!$AI$6:$AI$505,"&lt;="&amp;$A83,実績!$AJ$6:$AJ$505,"&gt;"&amp;$A83,実績!$AL$6:$AL$505,"○")&gt;0,1,0))</f>
        <v>0</v>
      </c>
      <c r="M83" s="39" t="n">
        <f aca="false">IF(M$4=0,0,IF(COUNTIFS(実績!$W$6:$W$505,M$3,実績!$AI$6:$AI$505,"&lt;="&amp;$A83,実績!$AJ$6:$AJ$505,"&gt;"&amp;$A83,実績!$AL$6:$AL$505,"○")&gt;0,1,0))</f>
        <v>0</v>
      </c>
      <c r="N83" s="39" t="n">
        <f aca="false">IF(N$4=0,0,IF(COUNTIFS(実績!$W$6:$W$505,N$3,実績!$AI$6:$AI$505,"&lt;="&amp;$A83,実績!$AJ$6:$AJ$505,"&gt;"&amp;$A83,実績!$AL$6:$AL$505,"○")&gt;0,1,0))</f>
        <v>0</v>
      </c>
      <c r="O83" s="39" t="n">
        <f aca="false">IF(O$4=0,0,IF(COUNTIFS(実績!$W$6:$W$505,O$3,実績!$AI$6:$AI$505,"&lt;="&amp;$A83,実績!$AJ$6:$AJ$505,"&gt;"&amp;$A83,実績!$AL$6:$AL$505,"○")&gt;0,1,0))</f>
        <v>0</v>
      </c>
      <c r="P83" s="39" t="n">
        <f aca="false">IF(P$4=0,0,IF(COUNTIFS(実績!$W$6:$W$505,P$3,実績!$AI$6:$AI$505,"&lt;="&amp;$A83,実績!$AJ$6:$AJ$505,"&gt;"&amp;$A83,実績!$AL$6:$AL$505,"○")&gt;0,1,0))</f>
        <v>0</v>
      </c>
      <c r="Q83" s="39" t="n">
        <f aca="false">IF(Q$4=0,0,IF(COUNTIFS(実績!$W$6:$W$505,Q$3,実績!$AI$6:$AI$505,"&lt;="&amp;$A83,実績!$AJ$6:$AJ$505,"&gt;"&amp;$A83,実績!$AL$6:$AL$505,"○")&gt;0,1,0))</f>
        <v>0</v>
      </c>
      <c r="R83" s="39" t="n">
        <f aca="false">IF(R$4=0,0,IF(COUNTIFS(実績!$W$6:$W$505,R$3,実績!$AI$6:$AI$505,"&lt;="&amp;$A83,実績!$AJ$6:$AJ$505,"&gt;"&amp;$A83,実績!$AL$6:$AL$505,"○")&gt;0,1,0))</f>
        <v>0</v>
      </c>
      <c r="S83" s="39" t="n">
        <f aca="false">IF(S$4=0,0,IF(COUNTIFS(実績!$W$6:$W$505,S$3,実績!$AI$6:$AI$505,"&lt;="&amp;$A83,実績!$AJ$6:$AJ$505,"&gt;"&amp;$A83,実績!$AL$6:$AL$505,"○")&gt;0,1,0))</f>
        <v>0</v>
      </c>
      <c r="T83" s="39" t="n">
        <f aca="false">IF(T$4=0,0,IF(COUNTIFS(実績!$W$6:$W$505,T$3,実績!$AI$6:$AI$505,"&lt;="&amp;$A83,実績!$AJ$6:$AJ$505,"&gt;"&amp;$A83,実績!$AL$6:$AL$505,"○")&gt;0,1,0))</f>
        <v>0</v>
      </c>
      <c r="U83" s="39" t="n">
        <f aca="false">IF(U$4=0,0,IF(COUNTIFS(実績!$W$6:$W$505,U$3,実績!$AI$6:$AI$505,"&lt;="&amp;$A83,実績!$AJ$6:$AJ$505,"&gt;"&amp;$A83,実績!$AL$6:$AL$505,"○")&gt;0,1,0))</f>
        <v>0</v>
      </c>
      <c r="V83" s="39" t="n">
        <f aca="false">IF(V$4=0,0,IF(COUNTIFS(実績!$W$6:$W$505,V$3,実績!$AI$6:$AI$505,"&lt;="&amp;$A83,実績!$AJ$6:$AJ$505,"&gt;"&amp;$A83,実績!$AL$6:$AL$505,"○")&gt;0,1,0))</f>
        <v>0</v>
      </c>
      <c r="W83" s="39" t="n">
        <f aca="false">IF(W$4=0,0,IF(COUNTIFS(実績!$W$6:$W$505,W$3,実績!$AI$6:$AI$505,"&lt;="&amp;$A83,実績!$AJ$6:$AJ$505,"&gt;"&amp;$A83,実績!$AL$6:$AL$505,"○")&gt;0,1,0))</f>
        <v>0</v>
      </c>
      <c r="X83" s="39" t="n">
        <f aca="false">IF(X$4=0,0,IF(COUNTIFS(実績!$W$6:$W$505,X$3,実績!$AI$6:$AI$505,"&lt;="&amp;$A83,実績!$AJ$6:$AJ$505,"&gt;"&amp;$A83,実績!$AL$6:$AL$505,"○")&gt;0,1,0))</f>
        <v>0</v>
      </c>
      <c r="Y83" s="39" t="n">
        <f aca="false">IF(Y$4=0,0,IF(COUNTIFS(実績!$W$6:$W$505,Y$3,実績!$AI$6:$AI$505,"&lt;="&amp;$A83,実績!$AJ$6:$AJ$505,"&gt;"&amp;$A83,実績!$AL$6:$AL$505,"○")&gt;0,1,0))</f>
        <v>0</v>
      </c>
      <c r="Z83" s="39" t="n">
        <f aca="false">IF(Z$4=0,0,IF(COUNTIFS(実績!$W$6:$W$505,Z$3,実績!$AI$6:$AI$505,"&lt;="&amp;$A83,実績!$AJ$6:$AJ$505,"&gt;"&amp;$A83,実績!$AL$6:$AL$505,"○")&gt;0,1,0))</f>
        <v>0</v>
      </c>
      <c r="AA83" s="39" t="n">
        <f aca="false">IF(AA$4=0,0,IF(COUNTIFS(実績!$W$6:$W$505,AA$3,実績!$AI$6:$AI$505,"&lt;="&amp;$A83,実績!$AJ$6:$AJ$505,"&gt;"&amp;$A83,実績!$AL$6:$AL$505,"○")&gt;0,1,0))</f>
        <v>0</v>
      </c>
      <c r="AB83" s="39" t="n">
        <f aca="false">IF(AB$4=0,0,IF(COUNTIFS(実績!$W$6:$W$505,AB$3,実績!$AI$6:$AI$505,"&lt;="&amp;$A83,実績!$AJ$6:$AJ$505,"&gt;"&amp;$A83,実績!$AL$6:$AL$505,"○")&gt;0,1,0))</f>
        <v>0</v>
      </c>
      <c r="AC83" s="39" t="n">
        <f aca="false">IF(AC$4=0,0,IF(COUNTIFS(実績!$W$6:$W$505,AC$3,実績!$AI$6:$AI$505,"&lt;="&amp;$A83,実績!$AJ$6:$AJ$505,"&gt;"&amp;$A83,実績!$AL$6:$AL$505,"○")&gt;0,1,0))</f>
        <v>0</v>
      </c>
      <c r="AD83" s="39" t="n">
        <f aca="false">IF(AD$4=0,0,IF(COUNTIFS(実績!$W$6:$W$505,AD$3,実績!$AI$6:$AI$505,"&lt;="&amp;$A83,実績!$AJ$6:$AJ$505,"&gt;"&amp;$A83,実績!$AL$6:$AL$505,"○")&gt;0,1,0))</f>
        <v>0</v>
      </c>
      <c r="AE83" s="39" t="n">
        <f aca="false">IF(AE$4=0,0,IF(COUNTIFS(実績!$W$6:$W$505,AE$3,実績!$AI$6:$AI$505,"&lt;="&amp;$A83,実績!$AJ$6:$AJ$505,"&gt;"&amp;$A83,実績!$AL$6:$AL$505,"○")&gt;0,1,0))</f>
        <v>0</v>
      </c>
      <c r="AF83" s="39" t="n">
        <f aca="false">IF(AF$4=0,0,IF(COUNTIFS(実績!$W$6:$W$505,AF$3,実績!$AI$6:$AI$505,"&lt;="&amp;$A83,実績!$AJ$6:$AJ$505,"&gt;"&amp;$A83,実績!$AL$6:$AL$505,"○")&gt;0,1,0))</f>
        <v>0</v>
      </c>
      <c r="AG83" s="39" t="n">
        <f aca="false">IF(AG$4=0,0,IF(COUNTIFS(実績!$W$6:$W$505,AG$3,実績!$AI$6:$AI$505,"&lt;="&amp;$A83,実績!$AJ$6:$AJ$505,"&gt;"&amp;$A83,実績!$AL$6:$AL$505,"○")&gt;0,1,0))</f>
        <v>0</v>
      </c>
      <c r="AH83" s="39" t="n">
        <f aca="false">IF(AH$4=0,0,IF(COUNTIFS(実績!$W$6:$W$505,AH$3,実績!$AI$6:$AI$505,"&lt;="&amp;$A83,実績!$AJ$6:$AJ$505,"&gt;"&amp;$A83,実績!$AL$6:$AL$505,"○")&gt;0,1,0))</f>
        <v>0</v>
      </c>
      <c r="AI83" s="39" t="n">
        <f aca="false">IF(AI$4=0,0,IF(COUNTIFS(実績!$W$6:$W$505,AI$3,実績!$AI$6:$AI$505,"&lt;="&amp;$A83,実績!$AJ$6:$AJ$505,"&gt;"&amp;$A83,実績!$AL$6:$AL$505,"○")&gt;0,1,0))</f>
        <v>0</v>
      </c>
      <c r="AJ83" s="39" t="n">
        <f aca="false">IF(AJ$4=0,0,IF(COUNTIFS(実績!$W$6:$W$505,AJ$3,実績!$AI$6:$AI$505,"&lt;="&amp;$A83,実績!$AJ$6:$AJ$505,"&gt;"&amp;$A83,実績!$AL$6:$AL$505,"○")&gt;0,1,0))</f>
        <v>0</v>
      </c>
      <c r="AK83" s="39" t="n">
        <f aca="false">IF(AK$4=0,0,IF(COUNTIFS(実績!$W$6:$W$505,AK$3,実績!$AI$6:$AI$505,"&lt;="&amp;$A83,実績!$AJ$6:$AJ$505,"&gt;"&amp;$A83,実績!$AL$6:$AL$505,"○")&gt;0,1,0))</f>
        <v>0</v>
      </c>
      <c r="AL83" s="39" t="n">
        <f aca="false">IF(AL$4=0,0,IF(COUNTIFS(実績!$W$6:$W$505,AL$3,実績!$AI$6:$AI$505,"&lt;="&amp;$A83,実績!$AJ$6:$AJ$505,"&gt;"&amp;$A83,実績!$AL$6:$AL$505,"○")&gt;0,1,0))</f>
        <v>0</v>
      </c>
      <c r="AM83" s="39" t="n">
        <f aca="false">IF(AM$4=0,0,IF(COUNTIFS(実績!$W$6:$W$505,AM$3,実績!$AI$6:$AI$505,"&lt;="&amp;$A83,実績!$AJ$6:$AJ$505,"&gt;"&amp;$A83,実績!$AL$6:$AL$505,"○")&gt;0,1,0))</f>
        <v>0</v>
      </c>
      <c r="AN83" s="39" t="n">
        <f aca="false">IF(AN$4=0,0,IF(COUNTIFS(実績!$W$6:$W$505,AN$3,実績!$AI$6:$AI$505,"&lt;="&amp;$A83,実績!$AJ$6:$AJ$505,"&gt;"&amp;$A83,実績!$AL$6:$AL$505,"○")&gt;0,1,0))</f>
        <v>0</v>
      </c>
      <c r="AO83" s="39" t="n">
        <f aca="false">IF(AO$4=0,0,IF(COUNTIFS(実績!$W$6:$W$505,AO$3,実績!$AI$6:$AI$505,"&lt;="&amp;$A83,実績!$AJ$6:$AJ$505,"&gt;"&amp;$A83,実績!$AL$6:$AL$505,"○")&gt;0,1,0))</f>
        <v>0</v>
      </c>
      <c r="AP83" s="39" t="n">
        <f aca="false">IF(AP$4=0,0,IF(COUNTIFS(実績!$W$6:$W$505,AP$3,実績!$AI$6:$AI$505,"&lt;="&amp;$A83,実績!$AJ$6:$AJ$505,"&gt;"&amp;$A83,実績!$AL$6:$AL$505,"○")&gt;0,1,0))</f>
        <v>0</v>
      </c>
      <c r="AQ83" s="39" t="n">
        <f aca="false">IF(AQ$4=0,0,IF(COUNTIFS(実績!$W$6:$W$505,AQ$3,実績!$AI$6:$AI$505,"&lt;="&amp;$A83,実績!$AJ$6:$AJ$505,"&gt;"&amp;$A83,実績!$AL$6:$AL$505,"○")&gt;0,1,0))</f>
        <v>0</v>
      </c>
      <c r="AR83" s="39" t="n">
        <f aca="false">IF(AR$4=0,0,IF(COUNTIFS(実績!$W$6:$W$505,AR$3,実績!$AI$6:$AI$505,"&lt;="&amp;$A83,実績!$AJ$6:$AJ$505,"&gt;"&amp;$A83,実績!$AL$6:$AL$505,"○")&gt;0,1,0))</f>
        <v>0</v>
      </c>
      <c r="AS83" s="39" t="n">
        <f aca="false">IF(AS$4=0,0,IF(COUNTIFS(実績!$W$6:$W$505,AS$3,実績!$AI$6:$AI$505,"&lt;="&amp;$A83,実績!$AJ$6:$AJ$505,"&gt;"&amp;$A83,実績!$AL$6:$AL$505,"○")&gt;0,1,0))</f>
        <v>0</v>
      </c>
      <c r="AT83" s="39" t="n">
        <f aca="false">IF(AT$4=0,0,IF(COUNTIFS(実績!$W$6:$W$505,AT$3,実績!$AI$6:$AI$505,"&lt;="&amp;$A83,実績!$AJ$6:$AJ$505,"&gt;"&amp;$A83,実績!$AL$6:$AL$505,"○")&gt;0,1,0))</f>
        <v>0</v>
      </c>
      <c r="AU83" s="39" t="n">
        <f aca="false">IF(AU$4=0,0,IF(COUNTIFS(実績!$W$6:$W$505,AU$3,実績!$AI$6:$AI$505,"&lt;="&amp;$A83,実績!$AJ$6:$AJ$505,"&gt;"&amp;$A83,実績!$AL$6:$AL$505,"○")&gt;0,1,0))</f>
        <v>0</v>
      </c>
      <c r="AV83" s="39" t="n">
        <f aca="false">IF(AV$4=0,0,IF(COUNTIFS(実績!$W$6:$W$505,AV$3,実績!$AI$6:$AI$505,"&lt;="&amp;$A83,実績!$AJ$6:$AJ$505,"&gt;"&amp;$A83,実績!$AL$6:$AL$505,"○")&gt;0,1,0))</f>
        <v>0</v>
      </c>
      <c r="AW83" s="39" t="n">
        <f aca="false">IF(AW$4=0,0,IF(COUNTIFS(実績!$W$6:$W$505,AW$3,実績!$AI$6:$AI$505,"&lt;="&amp;$A83,実績!$AJ$6:$AJ$505,"&gt;"&amp;$A83,実績!$AL$6:$AL$505,"○")&gt;0,1,0))</f>
        <v>0</v>
      </c>
      <c r="AX83" s="39" t="n">
        <f aca="false">IF(AX$4=0,0,IF(COUNTIFS(実績!$W$6:$W$505,AX$3,実績!$AI$6:$AI$505,"&lt;="&amp;$A83,実績!$AJ$6:$AJ$505,"&gt;"&amp;$A83,実績!$AL$6:$AL$505,"○")&gt;0,1,0))</f>
        <v>0</v>
      </c>
      <c r="AY83" s="39" t="n">
        <f aca="false">IF(AY$4=0,0,IF(COUNTIFS(実績!$W$6:$W$505,AY$3,実績!$AI$6:$AI$505,"&lt;="&amp;$A83,実績!$AJ$6:$AJ$505,"&gt;"&amp;$A83,実績!$AL$6:$AL$505,"○")&gt;0,1,0))</f>
        <v>0</v>
      </c>
      <c r="AZ83" s="39" t="n">
        <f aca="false">IF(AZ$4=0,0,IF(COUNTIFS(実績!$W$6:$W$505,AZ$3,実績!$AI$6:$AI$505,"&lt;="&amp;$A83,実績!$AJ$6:$AJ$505,"&gt;"&amp;$A83,実績!$AL$6:$AL$505,"○")&gt;0,1,0))</f>
        <v>0</v>
      </c>
      <c r="BA83" s="39" t="n">
        <f aca="false">IF(BA$4=0,0,IF(COUNTIFS(実績!$W$6:$W$505,BA$3,実績!$AI$6:$AI$505,"&lt;="&amp;$A83,実績!$AJ$6:$AJ$505,"&gt;"&amp;$A83,実績!$AL$6:$AL$505,"○")&gt;0,1,0))</f>
        <v>0</v>
      </c>
      <c r="BB83" s="39" t="n">
        <f aca="false">IF(BB$4=0,0,IF(COUNTIFS(実績!$W$6:$W$505,BB$3,実績!$AI$6:$AI$505,"&lt;="&amp;$A83,実績!$AJ$6:$AJ$505,"&gt;"&amp;$A83,実績!$AL$6:$AL$505,"○")&gt;0,1,0))</f>
        <v>0</v>
      </c>
      <c r="BC83" s="39" t="n">
        <f aca="false">IF(BC$4=0,0,IF(COUNTIFS(実績!$W$6:$W$505,BC$3,実績!$AI$6:$AI$505,"&lt;="&amp;$A83,実績!$AJ$6:$AJ$505,"&gt;"&amp;$A83,実績!$AL$6:$AL$505,"○")&gt;0,1,0))</f>
        <v>0</v>
      </c>
      <c r="BD83" s="39" t="n">
        <f aca="false">IF(BD$4=0,0,IF(COUNTIFS(実績!$W$6:$W$505,BD$3,実績!$AI$6:$AI$505,"&lt;="&amp;$A83,実績!$AJ$6:$AJ$505,"&gt;"&amp;$A83,実績!$AL$6:$AL$505,"○")&gt;0,1,0))</f>
        <v>0</v>
      </c>
      <c r="BE83" s="39" t="n">
        <f aca="false">IF(BE$4=0,0,IF(COUNTIFS(実績!$W$6:$W$505,BE$3,実績!$AI$6:$AI$505,"&lt;="&amp;$A83,実績!$AJ$6:$AJ$505,"&gt;"&amp;$A83,実績!$AL$6:$AL$505,"○")&gt;0,1,0))</f>
        <v>0</v>
      </c>
      <c r="BF83" s="39" t="n">
        <f aca="false">IF(BF$4=0,0,IF(COUNTIFS(実績!$W$6:$W$505,BF$3,実績!$AI$6:$AI$505,"&lt;="&amp;$A83,実績!$AJ$6:$AJ$505,"&gt;"&amp;$A83,実績!$AL$6:$AL$505,"○")&gt;0,1,0))</f>
        <v>0</v>
      </c>
      <c r="BG83" s="39" t="n">
        <f aca="false">IF(BG$4=0,0,IF(COUNTIFS(実績!$W$6:$W$505,BG$3,実績!$AI$6:$AI$505,"&lt;="&amp;$A83,実績!$AJ$6:$AJ$505,"&gt;"&amp;$A83,実績!$AL$6:$AL$505,"○")&gt;0,1,0))</f>
        <v>0</v>
      </c>
      <c r="BH83" s="39" t="n">
        <f aca="false">IF(BH$4=0,0,IF(COUNTIFS(実績!$W$6:$W$505,BH$3,実績!$AI$6:$AI$505,"&lt;="&amp;$A83,実績!$AJ$6:$AJ$505,"&gt;"&amp;$A83,実績!$AL$6:$AL$505,"○")&gt;0,1,0))</f>
        <v>0</v>
      </c>
      <c r="BI83" s="39" t="n">
        <f aca="false">IF(BI$4=0,0,IF(COUNTIFS(実績!$W$6:$W$505,BI$3,実績!$AI$6:$AI$505,"&lt;="&amp;$A83,実績!$AJ$6:$AJ$505,"&gt;"&amp;$A83,実績!$AL$6:$AL$505,"○")&gt;0,1,0))</f>
        <v>0</v>
      </c>
      <c r="BJ83" s="39" t="n">
        <f aca="false">IF(BJ$4=0,0,IF(COUNTIFS(実績!$W$6:$W$505,BJ$3,実績!$AI$6:$AI$505,"&lt;="&amp;$A83,実績!$AJ$6:$AJ$505,"&gt;"&amp;$A83,実績!$AL$6:$AL$505,"○")&gt;0,1,0))</f>
        <v>0</v>
      </c>
      <c r="BK83" s="39" t="n">
        <f aca="false">IF(BK$4=0,0,IF(COUNTIFS(実績!$W$6:$W$505,BK$3,実績!$AI$6:$AI$505,"&lt;="&amp;$A83,実績!$AJ$6:$AJ$505,"&gt;"&amp;$A83,実績!$AL$6:$AL$505,"○")&gt;0,1,0))</f>
        <v>0</v>
      </c>
      <c r="BL83" s="39" t="n">
        <f aca="false">IF(BL$4=0,0,IF(COUNTIFS(実績!$W$6:$W$505,BL$3,実績!$AI$6:$AI$505,"&lt;="&amp;$A83,実績!$AJ$6:$AJ$505,"&gt;"&amp;$A83,実績!$AL$6:$AL$505,"○")&gt;0,1,0))</f>
        <v>0</v>
      </c>
      <c r="BM83" s="39" t="n">
        <f aca="false">IF(BM$4=0,0,IF(COUNTIFS(実績!$W$6:$W$505,BM$3,実績!$AI$6:$AI$505,"&lt;="&amp;$A83,実績!$AJ$6:$AJ$505,"&gt;"&amp;$A83,実績!$AL$6:$AL$505,"○")&gt;0,1,0))</f>
        <v>0</v>
      </c>
      <c r="BN83" s="39" t="n">
        <f aca="false">IF(BN$4=0,0,IF(COUNTIFS(実績!$W$6:$W$505,BN$3,実績!$AI$6:$AI$505,"&lt;="&amp;$A83,実績!$AJ$6:$AJ$505,"&gt;"&amp;$A83,実績!$AL$6:$AL$505,"○")&gt;0,1,0))</f>
        <v>0</v>
      </c>
      <c r="BO83" s="39" t="n">
        <f aca="false">IF(BO$4=0,0,IF(COUNTIFS(実績!$W$6:$W$505,BO$3,実績!$AI$6:$AI$505,"&lt;="&amp;$A83,実績!$AJ$6:$AJ$505,"&gt;"&amp;$A83,実績!$AL$6:$AL$505,"○")&gt;0,1,0))</f>
        <v>0</v>
      </c>
      <c r="BP83" s="39" t="n">
        <f aca="false">IF(BP$4=0,0,IF(COUNTIFS(実績!$W$6:$W$505,BP$3,実績!$AI$6:$AI$505,"&lt;="&amp;$A83,実績!$AJ$6:$AJ$505,"&gt;"&amp;$A83,実績!$AL$6:$AL$505,"○")&gt;0,1,0))</f>
        <v>0</v>
      </c>
      <c r="BQ83" s="39" t="n">
        <f aca="false">IF(BQ$4=0,0,IF(COUNTIFS(実績!$W$6:$W$505,BQ$3,実績!$AI$6:$AI$505,"&lt;="&amp;$A83,実績!$AJ$6:$AJ$505,"&gt;"&amp;$A83,実績!$AL$6:$AL$505,"○")&gt;0,1,0))</f>
        <v>0</v>
      </c>
      <c r="BR83" s="39" t="n">
        <f aca="false">IF(BR$4=0,0,IF(COUNTIFS(実績!$W$6:$W$505,BR$3,実績!$AI$6:$AI$505,"&lt;="&amp;$A83,実績!$AJ$6:$AJ$505,"&gt;"&amp;$A83,実績!$AL$6:$AL$505,"○")&gt;0,1,0))</f>
        <v>0</v>
      </c>
      <c r="BS83" s="39" t="n">
        <f aca="false">IF(BS$4=0,0,IF(COUNTIFS(実績!$W$6:$W$505,BS$3,実績!$AI$6:$AI$505,"&lt;="&amp;$A83,実績!$AJ$6:$AJ$505,"&gt;"&amp;$A83,実績!$AL$6:$AL$505,"○")&gt;0,1,0))</f>
        <v>0</v>
      </c>
      <c r="BT83" s="39" t="n">
        <f aca="false">IF(BT$4=0,0,IF(COUNTIFS(実績!$W$6:$W$505,BT$3,実績!$AI$6:$AI$505,"&lt;="&amp;$A83,実績!$AJ$6:$AJ$505,"&gt;"&amp;$A83,実績!$AL$6:$AL$505,"○")&gt;0,1,0))</f>
        <v>0</v>
      </c>
      <c r="BU83" s="39" t="n">
        <f aca="false">IF(BU$4=0,0,IF(COUNTIFS(実績!$W$6:$W$505,BU$3,実績!$AI$6:$AI$505,"&lt;="&amp;$A83,実績!$AJ$6:$AJ$505,"&gt;"&amp;$A83,実績!$AL$6:$AL$505,"○")&gt;0,1,0))</f>
        <v>0</v>
      </c>
      <c r="BV83" s="39" t="n">
        <f aca="false">IF(BV$4=0,0,IF(COUNTIFS(実績!$W$6:$W$505,BV$3,実績!$AI$6:$AI$505,"&lt;="&amp;$A83,実績!$AJ$6:$AJ$505,"&gt;"&amp;$A83,実績!$AL$6:$AL$505,"○")&gt;0,1,0))</f>
        <v>0</v>
      </c>
      <c r="BW83" s="39" t="n">
        <f aca="false">IF(BW$4=0,0,IF(COUNTIFS(実績!$W$6:$W$505,BW$3,実績!$AI$6:$AI$505,"&lt;="&amp;$A83,実績!$AJ$6:$AJ$505,"&gt;"&amp;$A83,実績!$AL$6:$AL$505,"○")&gt;0,1,0))</f>
        <v>0</v>
      </c>
      <c r="BX83" s="39" t="n">
        <f aca="false">IF(BX$4=0,0,IF(COUNTIFS(実績!$W$6:$W$505,BX$3,実績!$AI$6:$AI$505,"&lt;="&amp;$A83,実績!$AJ$6:$AJ$505,"&gt;"&amp;$A83,実績!$AL$6:$AL$505,"○")&gt;0,1,0))</f>
        <v>0</v>
      </c>
      <c r="BY83" s="39" t="n">
        <f aca="false">IF(BY$4=0,0,IF(COUNTIFS(実績!$W$6:$W$505,BY$3,実績!$AI$6:$AI$505,"&lt;="&amp;$A83,実績!$AJ$6:$AJ$505,"&gt;"&amp;$A83,実績!$AL$6:$AL$505,"○")&gt;0,1,0))</f>
        <v>0</v>
      </c>
      <c r="BZ83" s="39" t="n">
        <f aca="false">IF(BZ$4=0,0,IF(COUNTIFS(実績!$W$6:$W$505,BZ$3,実績!$AI$6:$AI$505,"&lt;="&amp;$A83,実績!$AJ$6:$AJ$505,"&gt;"&amp;$A83,実績!$AL$6:$AL$505,"○")&gt;0,1,0))</f>
        <v>0</v>
      </c>
      <c r="CA83" s="39" t="n">
        <f aca="false">IF(CA$4=0,0,IF(COUNTIFS(実績!$W$6:$W$505,CA$3,実績!$AI$6:$AI$505,"&lt;="&amp;$A83,実績!$AJ$6:$AJ$505,"&gt;"&amp;$A83,実績!$AL$6:$AL$505,"○")&gt;0,1,0))</f>
        <v>0</v>
      </c>
      <c r="CB83" s="39" t="n">
        <f aca="false">IF(CB$4=0,0,IF(COUNTIFS(実績!$W$6:$W$505,CB$3,実績!$AI$6:$AI$505,"&lt;="&amp;$A83,実績!$AJ$6:$AJ$505,"&gt;"&amp;$A83,実績!$AL$6:$AL$505,"○")&gt;0,1,0))</f>
        <v>0</v>
      </c>
      <c r="CC83" s="39" t="n">
        <f aca="false">IF(CC$4=0,0,IF(COUNTIFS(実績!$W$6:$W$505,CC$3,実績!$AI$6:$AI$505,"&lt;="&amp;$A83,実績!$AJ$6:$AJ$505,"&gt;"&amp;$A83,実績!$AL$6:$AL$505,"○")&gt;0,1,0))</f>
        <v>0</v>
      </c>
      <c r="CD83" s="39" t="n">
        <f aca="false">IF(CD$4=0,0,IF(COUNTIFS(実績!$W$6:$W$505,CD$3,実績!$AI$6:$AI$505,"&lt;="&amp;$A83,実績!$AJ$6:$AJ$505,"&gt;"&amp;$A83,実績!$AL$6:$AL$505,"○")&gt;0,1,0))</f>
        <v>0</v>
      </c>
      <c r="CE83" s="39" t="n">
        <f aca="false">IF(CE$4=0,0,IF(COUNTIFS(実績!$W$6:$W$505,CE$3,実績!$AI$6:$AI$505,"&lt;="&amp;$A83,実績!$AJ$6:$AJ$505,"&gt;"&amp;$A83,実績!$AL$6:$AL$505,"○")&gt;0,1,0))</f>
        <v>0</v>
      </c>
      <c r="CF83" s="39" t="n">
        <f aca="false">IF(CF$4=0,0,IF(COUNTIFS(実績!$W$6:$W$505,CF$3,実績!$AI$6:$AI$505,"&lt;="&amp;$A83,実績!$AJ$6:$AJ$505,"&gt;"&amp;$A83,実績!$AL$6:$AL$505,"○")&gt;0,1,0))</f>
        <v>0</v>
      </c>
      <c r="CG83" s="39" t="n">
        <f aca="false">IF(CG$4=0,0,IF(COUNTIFS(実績!$W$6:$W$505,CG$3,実績!$AI$6:$AI$505,"&lt;="&amp;$A83,実績!$AJ$6:$AJ$505,"&gt;"&amp;$A83,実績!$AL$6:$AL$505,"○")&gt;0,1,0))</f>
        <v>0</v>
      </c>
      <c r="CH83" s="39" t="n">
        <f aca="false">IF(CH$4=0,0,IF(COUNTIFS(実績!$W$6:$W$505,CH$3,実績!$AI$6:$AI$505,"&lt;="&amp;$A83,実績!$AJ$6:$AJ$505,"&gt;"&amp;$A83,実績!$AL$6:$AL$505,"○")&gt;0,1,0))</f>
        <v>0</v>
      </c>
      <c r="CI83" s="39" t="n">
        <f aca="false">IF(CI$4=0,0,IF(COUNTIFS(実績!$W$6:$W$505,CI$3,実績!$AI$6:$AI$505,"&lt;="&amp;$A83,実績!$AJ$6:$AJ$505,"&gt;"&amp;$A83,実績!$AL$6:$AL$505,"○")&gt;0,1,0))</f>
        <v>0</v>
      </c>
      <c r="CJ83" s="39" t="n">
        <f aca="false">IF(CJ$4=0,0,IF(COUNTIFS(実績!$W$6:$W$505,CJ$3,実績!$AI$6:$AI$505,"&lt;="&amp;$A83,実績!$AJ$6:$AJ$505,"&gt;"&amp;$A83,実績!$AL$6:$AL$505,"○")&gt;0,1,0))</f>
        <v>0</v>
      </c>
      <c r="CK83" s="39" t="n">
        <f aca="false">IF(CK$4=0,0,IF(COUNTIFS(実績!$W$6:$W$505,CK$3,実績!$AI$6:$AI$505,"&lt;="&amp;$A83,実績!$AJ$6:$AJ$505,"&gt;"&amp;$A83,実績!$AL$6:$AL$505,"○")&gt;0,1,0))</f>
        <v>0</v>
      </c>
      <c r="CL83" s="39" t="n">
        <f aca="false">IF(CL$4=0,0,IF(COUNTIFS(実績!$W$6:$W$505,CL$3,実績!$AI$6:$AI$505,"&lt;="&amp;$A83,実績!$AJ$6:$AJ$505,"&gt;"&amp;$A83,実績!$AL$6:$AL$505,"○")&gt;0,1,0))</f>
        <v>0</v>
      </c>
      <c r="CM83" s="39" t="n">
        <f aca="false">IF(CM$4=0,0,IF(COUNTIFS(実績!$W$6:$W$505,CM$3,実績!$AI$6:$AI$505,"&lt;="&amp;$A83,実績!$AJ$6:$AJ$505,"&gt;"&amp;$A83,実績!$AL$6:$AL$505,"○")&gt;0,1,0))</f>
        <v>0</v>
      </c>
      <c r="CN83" s="39" t="n">
        <f aca="false">IF(CN$4=0,0,IF(COUNTIFS(実績!$W$6:$W$505,CN$3,実績!$AI$6:$AI$505,"&lt;="&amp;$A83,実績!$AJ$6:$AJ$505,"&gt;"&amp;$A83,実績!$AL$6:$AL$505,"○")&gt;0,1,0))</f>
        <v>0</v>
      </c>
      <c r="CO83" s="39" t="n">
        <f aca="false">IF(CO$4=0,0,IF(COUNTIFS(実績!$W$6:$W$505,CO$3,実績!$AI$6:$AI$505,"&lt;="&amp;$A83,実績!$AJ$6:$AJ$505,"&gt;"&amp;$A83,実績!$AL$6:$AL$505,"○")&gt;0,1,0))</f>
        <v>0</v>
      </c>
      <c r="CP83" s="39" t="n">
        <f aca="false">IF(CP$4=0,0,IF(COUNTIFS(実績!$W$6:$W$505,CP$3,実績!$AI$6:$AI$505,"&lt;="&amp;$A83,実績!$AJ$6:$AJ$505,"&gt;"&amp;$A83,実績!$AL$6:$AL$505,"○")&gt;0,1,0))</f>
        <v>0</v>
      </c>
      <c r="CQ83" s="39" t="n">
        <f aca="false">IF(CQ$4=0,0,IF(COUNTIFS(実績!$W$6:$W$505,CQ$3,実績!$AI$6:$AI$505,"&lt;="&amp;$A83,実績!$AJ$6:$AJ$505,"&gt;"&amp;$A83,実績!$AL$6:$AL$505,"○")&gt;0,1,0))</f>
        <v>0</v>
      </c>
      <c r="CR83" s="39" t="n">
        <f aca="false">IF(CR$4=0,0,IF(COUNTIFS(実績!$W$6:$W$505,CR$3,実績!$AI$6:$AI$505,"&lt;="&amp;$A83,実績!$AJ$6:$AJ$505,"&gt;"&amp;$A83,実績!$AL$6:$AL$505,"○")&gt;0,1,0))</f>
        <v>0</v>
      </c>
      <c r="CS83" s="39" t="n">
        <f aca="false">IF(CS$4=0,0,IF(COUNTIFS(実績!$W$6:$W$505,CS$3,実績!$AI$6:$AI$505,"&lt;="&amp;$A83,実績!$AJ$6:$AJ$505,"&gt;"&amp;$A83,実績!$AL$6:$AL$505,"○")&gt;0,1,0))</f>
        <v>0</v>
      </c>
      <c r="CT83" s="39" t="n">
        <f aca="false">IF(CT$4=0,0,IF(COUNTIFS(実績!$W$6:$W$505,CT$3,実績!$AI$6:$AI$505,"&lt;="&amp;$A83,実績!$AJ$6:$AJ$505,"&gt;"&amp;$A83,実績!$AL$6:$AL$505,"○")&gt;0,1,0))</f>
        <v>0</v>
      </c>
      <c r="CU83" s="39" t="n">
        <f aca="false">IF(CU$4=0,0,IF(COUNTIFS(実績!$W$6:$W$505,CU$3,実績!$AI$6:$AI$505,"&lt;="&amp;$A83,実績!$AJ$6:$AJ$505,"&gt;"&amp;$A83,実績!$AL$6:$AL$505,"○")&gt;0,1,0))</f>
        <v>0</v>
      </c>
      <c r="CV83" s="39" t="n">
        <f aca="false">IF(CV$4=0,0,IF(COUNTIFS(実績!$W$6:$W$505,CV$3,実績!$AI$6:$AI$505,"&lt;="&amp;$A83,実績!$AJ$6:$AJ$505,"&gt;"&amp;$A83,実績!$AL$6:$AL$505,"○")&gt;0,1,0))</f>
        <v>0</v>
      </c>
      <c r="CW83" s="39" t="n">
        <f aca="false">IF(CW$4=0,0,IF(COUNTIFS(実績!$W$6:$W$505,CW$3,実績!$AI$6:$AI$505,"&lt;="&amp;$A83,実績!$AJ$6:$AJ$505,"&gt;"&amp;$A83,実績!$AL$6:$AL$505,"○")&gt;0,1,0))</f>
        <v>0</v>
      </c>
      <c r="CX83" s="39" t="n">
        <f aca="false">IF(CX$4=0,0,IF(COUNTIFS(実績!$W$6:$W$505,CX$3,実績!$AI$6:$AI$505,"&lt;="&amp;$A83,実績!$AJ$6:$AJ$505,"&gt;"&amp;$A83,実績!$AL$6:$AL$505,"○")&gt;0,1,0))</f>
        <v>0</v>
      </c>
      <c r="CY83" s="39" t="n">
        <f aca="false">IF(CY$4=0,0,IF(COUNTIFS(実績!$W$6:$W$505,CY$3,実績!$AI$6:$AI$505,"&lt;="&amp;$A83,実績!$AJ$6:$AJ$505,"&gt;"&amp;$A83,実績!$AL$6:$AL$505,"○")&gt;0,1,0))</f>
        <v>0</v>
      </c>
      <c r="CZ83" s="39" t="n">
        <f aca="false">IF(CZ$4=0,0,IF(COUNTIFS(実績!$W$6:$W$505,CZ$3,実績!$AI$6:$AI$505,"&lt;="&amp;$A83,実績!$AJ$6:$AJ$505,"&gt;"&amp;$A83,実績!$AL$6:$AL$505,"○")&gt;0,1,0))</f>
        <v>0</v>
      </c>
      <c r="DA83" s="39" t="n">
        <f aca="false">IF(DA$4=0,0,IF(COUNTIFS(実績!$W$6:$W$505,DA$3,実績!$AI$6:$AI$505,"&lt;="&amp;$A83,実績!$AJ$6:$AJ$505,"&gt;"&amp;$A83,実績!$AL$6:$AL$505,"○")&gt;0,1,0))</f>
        <v>0</v>
      </c>
      <c r="DB83" s="39" t="n">
        <f aca="false">IF(DB$4=0,0,IF(COUNTIFS(実績!$W$6:$W$505,DB$3,実績!$AI$6:$AI$505,"&lt;="&amp;$A83,実績!$AJ$6:$AJ$505,"&gt;"&amp;$A83,実績!$AL$6:$AL$505,"○")&gt;0,1,0))</f>
        <v>0</v>
      </c>
      <c r="DC83" s="39" t="n">
        <f aca="false">IF(DC$4=0,0,IF(COUNTIFS(実績!$W$6:$W$505,DC$3,実績!$AI$6:$AI$505,"&lt;="&amp;$A83,実績!$AJ$6:$AJ$505,"&gt;"&amp;$A83,実績!$AL$6:$AL$505,"○")&gt;0,1,0))</f>
        <v>0</v>
      </c>
      <c r="DD83" s="39" t="n">
        <f aca="false">IF(DD$4=0,0,IF(COUNTIFS(実績!$W$6:$W$505,DD$3,実績!$AI$6:$AI$505,"&lt;="&amp;$A83,実績!$AJ$6:$AJ$505,"&gt;"&amp;$A83,実績!$AL$6:$AL$505,"○")&gt;0,1,0))</f>
        <v>0</v>
      </c>
      <c r="DE83" s="39" t="n">
        <f aca="false">IF(DE$4=0,0,IF(COUNTIFS(実績!$W$6:$W$505,DE$3,実績!$AI$6:$AI$505,"&lt;="&amp;$A83,実績!$AJ$6:$AJ$505,"&gt;"&amp;$A83,実績!$AL$6:$AL$505,"○")&gt;0,1,0))</f>
        <v>0</v>
      </c>
      <c r="DF83" s="39" t="n">
        <f aca="false">IF(DF$4=0,0,IF(COUNTIFS(実績!$W$6:$W$505,DF$3,実績!$AI$6:$AI$505,"&lt;="&amp;$A83,実績!$AJ$6:$AJ$505,"&gt;"&amp;$A83,実績!$AL$6:$AL$505,"○")&gt;0,1,0))</f>
        <v>0</v>
      </c>
      <c r="DG83" s="39" t="n">
        <f aca="false">IF(DG$4=0,0,IF(COUNTIFS(実績!$W$6:$W$505,DG$3,実績!$AI$6:$AI$505,"&lt;="&amp;$A83,実績!$AJ$6:$AJ$505,"&gt;"&amp;$A83,実績!$AL$6:$AL$505,"○")&gt;0,1,0))</f>
        <v>0</v>
      </c>
      <c r="DH83" s="39" t="n">
        <f aca="false">IF(DH$4=0,0,IF(COUNTIFS(実績!$W$6:$W$505,DH$3,実績!$AI$6:$AI$505,"&lt;="&amp;$A83,実績!$AJ$6:$AJ$505,"&gt;"&amp;$A83,実績!$AL$6:$AL$505,"○")&gt;0,1,0))</f>
        <v>0</v>
      </c>
      <c r="DI83" s="39" t="n">
        <f aca="false">IF(DI$4=0,0,IF(COUNTIFS(実績!$W$6:$W$505,DI$3,実績!$AI$6:$AI$505,"&lt;="&amp;$A83,実績!$AJ$6:$AJ$505,"&gt;"&amp;$A83,実績!$AL$6:$AL$505,"○")&gt;0,1,0))</f>
        <v>0</v>
      </c>
      <c r="DJ83" s="39" t="n">
        <f aca="false">IF(DJ$4=0,0,IF(COUNTIFS(実績!$W$6:$W$505,DJ$3,実績!$AI$6:$AI$505,"&lt;="&amp;$A83,実績!$AJ$6:$AJ$505,"&gt;"&amp;$A83,実績!$AL$6:$AL$505,"○")&gt;0,1,0))</f>
        <v>0</v>
      </c>
      <c r="DK83" s="39" t="n">
        <f aca="false">IF(DK$4=0,0,IF(COUNTIFS(実績!$W$6:$W$505,DK$3,実績!$AI$6:$AI$505,"&lt;="&amp;$A83,実績!$AJ$6:$AJ$505,"&gt;"&amp;$A83,実績!$AL$6:$AL$505,"○")&gt;0,1,0))</f>
        <v>0</v>
      </c>
      <c r="DL83" s="39" t="n">
        <f aca="false">IF(DL$4=0,0,IF(COUNTIFS(実績!$W$6:$W$505,DL$3,実績!$AI$6:$AI$505,"&lt;="&amp;$A83,実績!$AJ$6:$AJ$505,"&gt;"&amp;$A83,実績!$AL$6:$AL$505,"○")&gt;0,1,0))</f>
        <v>0</v>
      </c>
      <c r="DM83" s="39" t="n">
        <f aca="false">IF(DM$4=0,0,IF(COUNTIFS(実績!$W$6:$W$505,DM$3,実績!$AI$6:$AI$505,"&lt;="&amp;$A83,実績!$AJ$6:$AJ$505,"&gt;"&amp;$A83,実績!$AL$6:$AL$505,"○")&gt;0,1,0))</f>
        <v>0</v>
      </c>
      <c r="DN83" s="39" t="n">
        <f aca="false">IF(DN$4=0,0,IF(COUNTIFS(実績!$W$6:$W$505,DN$3,実績!$AI$6:$AI$505,"&lt;="&amp;$A83,実績!$AJ$6:$AJ$505,"&gt;"&amp;$A83,実績!$AL$6:$AL$505,"○")&gt;0,1,0))</f>
        <v>0</v>
      </c>
      <c r="DO83" s="39" t="n">
        <f aca="false">IF(DO$4=0,0,IF(COUNTIFS(実績!$W$6:$W$505,DO$3,実績!$AI$6:$AI$505,"&lt;="&amp;$A83,実績!$AJ$6:$AJ$505,"&gt;"&amp;$A83,実績!$AL$6:$AL$505,"○")&gt;0,1,0))</f>
        <v>0</v>
      </c>
      <c r="DP83" s="39" t="n">
        <f aca="false">IF(DP$4=0,0,IF(COUNTIFS(実績!$W$6:$W$505,DP$3,実績!$AI$6:$AI$505,"&lt;="&amp;$A83,実績!$AJ$6:$AJ$505,"&gt;"&amp;$A83,実績!$AL$6:$AL$505,"○")&gt;0,1,0))</f>
        <v>0</v>
      </c>
      <c r="DQ83" s="39" t="n">
        <f aca="false">IF(DQ$4=0,0,IF(COUNTIFS(実績!$W$6:$W$505,DQ$3,実績!$AI$6:$AI$505,"&lt;="&amp;$A83,実績!$AJ$6:$AJ$505,"&gt;"&amp;$A83,実績!$AL$6:$AL$505,"○")&gt;0,1,0))</f>
        <v>0</v>
      </c>
      <c r="DR83" s="39" t="n">
        <f aca="false">IF(DR$4=0,0,IF(COUNTIFS(実績!$W$6:$W$505,DR$3,実績!$AI$6:$AI$505,"&lt;="&amp;$A83,実績!$AJ$6:$AJ$505,"&gt;"&amp;$A83,実績!$AL$6:$AL$505,"○")&gt;0,1,0))</f>
        <v>0</v>
      </c>
      <c r="DS83" s="39" t="n">
        <f aca="false">SUM(C83:DR83)</f>
        <v>0</v>
      </c>
    </row>
    <row r="84" customFormat="false" ht="15" hidden="false" customHeight="false" outlineLevel="0" collapsed="false">
      <c r="A84" s="0" t="n">
        <v>390</v>
      </c>
      <c r="B84" s="38" t="n">
        <f aca="false">A84/1440</f>
        <v>0.270833333333333</v>
      </c>
      <c r="C84" s="39" t="n">
        <f aca="false">IF(C$4=0,0,IF(COUNTIFS(実績!$W$6:$W$505,C$3,実績!$AI$6:$AI$505,"&lt;="&amp;$A84,実績!$AJ$6:$AJ$505,"&gt;"&amp;$A84,実績!$AL$6:$AL$505,"○")&gt;0,1,0))</f>
        <v>0</v>
      </c>
      <c r="D84" s="39" t="n">
        <f aca="false">IF(D$4=0,0,IF(COUNTIFS(実績!$W$6:$W$505,D$3,実績!$AI$6:$AI$505,"&lt;="&amp;$A84,実績!$AJ$6:$AJ$505,"&gt;"&amp;$A84,実績!$AL$6:$AL$505,"○")&gt;0,1,0))</f>
        <v>0</v>
      </c>
      <c r="E84" s="39" t="n">
        <f aca="false">IF(E$4=0,0,IF(COUNTIFS(実績!$W$6:$W$505,E$3,実績!$AI$6:$AI$505,"&lt;="&amp;$A84,実績!$AJ$6:$AJ$505,"&gt;"&amp;$A84,実績!$AL$6:$AL$505,"○")&gt;0,1,0))</f>
        <v>0</v>
      </c>
      <c r="F84" s="39" t="n">
        <f aca="false">IF(F$4=0,0,IF(COUNTIFS(実績!$W$6:$W$505,F$3,実績!$AI$6:$AI$505,"&lt;="&amp;$A84,実績!$AJ$6:$AJ$505,"&gt;"&amp;$A84,実績!$AL$6:$AL$505,"○")&gt;0,1,0))</f>
        <v>0</v>
      </c>
      <c r="G84" s="39" t="n">
        <f aca="false">IF(G$4=0,0,IF(COUNTIFS(実績!$W$6:$W$505,G$3,実績!$AI$6:$AI$505,"&lt;="&amp;$A84,実績!$AJ$6:$AJ$505,"&gt;"&amp;$A84,実績!$AL$6:$AL$505,"○")&gt;0,1,0))</f>
        <v>0</v>
      </c>
      <c r="H84" s="39" t="n">
        <f aca="false">IF(H$4=0,0,IF(COUNTIFS(実績!$W$6:$W$505,H$3,実績!$AI$6:$AI$505,"&lt;="&amp;$A84,実績!$AJ$6:$AJ$505,"&gt;"&amp;$A84,実績!$AL$6:$AL$505,"○")&gt;0,1,0))</f>
        <v>0</v>
      </c>
      <c r="I84" s="39" t="n">
        <f aca="false">IF(I$4=0,0,IF(COUNTIFS(実績!$W$6:$W$505,I$3,実績!$AI$6:$AI$505,"&lt;="&amp;$A84,実績!$AJ$6:$AJ$505,"&gt;"&amp;$A84,実績!$AL$6:$AL$505,"○")&gt;0,1,0))</f>
        <v>0</v>
      </c>
      <c r="J84" s="39" t="n">
        <f aca="false">IF(J$4=0,0,IF(COUNTIFS(実績!$W$6:$W$505,J$3,実績!$AI$6:$AI$505,"&lt;="&amp;$A84,実績!$AJ$6:$AJ$505,"&gt;"&amp;$A84,実績!$AL$6:$AL$505,"○")&gt;0,1,0))</f>
        <v>0</v>
      </c>
      <c r="K84" s="39" t="n">
        <f aca="false">IF(K$4=0,0,IF(COUNTIFS(実績!$W$6:$W$505,K$3,実績!$AI$6:$AI$505,"&lt;="&amp;$A84,実績!$AJ$6:$AJ$505,"&gt;"&amp;$A84,実績!$AL$6:$AL$505,"○")&gt;0,1,0))</f>
        <v>0</v>
      </c>
      <c r="L84" s="39" t="n">
        <f aca="false">IF(L$4=0,0,IF(COUNTIFS(実績!$W$6:$W$505,L$3,実績!$AI$6:$AI$505,"&lt;="&amp;$A84,実績!$AJ$6:$AJ$505,"&gt;"&amp;$A84,実績!$AL$6:$AL$505,"○")&gt;0,1,0))</f>
        <v>0</v>
      </c>
      <c r="M84" s="39" t="n">
        <f aca="false">IF(M$4=0,0,IF(COUNTIFS(実績!$W$6:$W$505,M$3,実績!$AI$6:$AI$505,"&lt;="&amp;$A84,実績!$AJ$6:$AJ$505,"&gt;"&amp;$A84,実績!$AL$6:$AL$505,"○")&gt;0,1,0))</f>
        <v>0</v>
      </c>
      <c r="N84" s="39" t="n">
        <f aca="false">IF(N$4=0,0,IF(COUNTIFS(実績!$W$6:$W$505,N$3,実績!$AI$6:$AI$505,"&lt;="&amp;$A84,実績!$AJ$6:$AJ$505,"&gt;"&amp;$A84,実績!$AL$6:$AL$505,"○")&gt;0,1,0))</f>
        <v>0</v>
      </c>
      <c r="O84" s="39" t="n">
        <f aca="false">IF(O$4=0,0,IF(COUNTIFS(実績!$W$6:$W$505,O$3,実績!$AI$6:$AI$505,"&lt;="&amp;$A84,実績!$AJ$6:$AJ$505,"&gt;"&amp;$A84,実績!$AL$6:$AL$505,"○")&gt;0,1,0))</f>
        <v>0</v>
      </c>
      <c r="P84" s="39" t="n">
        <f aca="false">IF(P$4=0,0,IF(COUNTIFS(実績!$W$6:$W$505,P$3,実績!$AI$6:$AI$505,"&lt;="&amp;$A84,実績!$AJ$6:$AJ$505,"&gt;"&amp;$A84,実績!$AL$6:$AL$505,"○")&gt;0,1,0))</f>
        <v>0</v>
      </c>
      <c r="Q84" s="39" t="n">
        <f aca="false">IF(Q$4=0,0,IF(COUNTIFS(実績!$W$6:$W$505,Q$3,実績!$AI$6:$AI$505,"&lt;="&amp;$A84,実績!$AJ$6:$AJ$505,"&gt;"&amp;$A84,実績!$AL$6:$AL$505,"○")&gt;0,1,0))</f>
        <v>0</v>
      </c>
      <c r="R84" s="39" t="n">
        <f aca="false">IF(R$4=0,0,IF(COUNTIFS(実績!$W$6:$W$505,R$3,実績!$AI$6:$AI$505,"&lt;="&amp;$A84,実績!$AJ$6:$AJ$505,"&gt;"&amp;$A84,実績!$AL$6:$AL$505,"○")&gt;0,1,0))</f>
        <v>0</v>
      </c>
      <c r="S84" s="39" t="n">
        <f aca="false">IF(S$4=0,0,IF(COUNTIFS(実績!$W$6:$W$505,S$3,実績!$AI$6:$AI$505,"&lt;="&amp;$A84,実績!$AJ$6:$AJ$505,"&gt;"&amp;$A84,実績!$AL$6:$AL$505,"○")&gt;0,1,0))</f>
        <v>0</v>
      </c>
      <c r="T84" s="39" t="n">
        <f aca="false">IF(T$4=0,0,IF(COUNTIFS(実績!$W$6:$W$505,T$3,実績!$AI$6:$AI$505,"&lt;="&amp;$A84,実績!$AJ$6:$AJ$505,"&gt;"&amp;$A84,実績!$AL$6:$AL$505,"○")&gt;0,1,0))</f>
        <v>0</v>
      </c>
      <c r="U84" s="39" t="n">
        <f aca="false">IF(U$4=0,0,IF(COUNTIFS(実績!$W$6:$W$505,U$3,実績!$AI$6:$AI$505,"&lt;="&amp;$A84,実績!$AJ$6:$AJ$505,"&gt;"&amp;$A84,実績!$AL$6:$AL$505,"○")&gt;0,1,0))</f>
        <v>0</v>
      </c>
      <c r="V84" s="39" t="n">
        <f aca="false">IF(V$4=0,0,IF(COUNTIFS(実績!$W$6:$W$505,V$3,実績!$AI$6:$AI$505,"&lt;="&amp;$A84,実績!$AJ$6:$AJ$505,"&gt;"&amp;$A84,実績!$AL$6:$AL$505,"○")&gt;0,1,0))</f>
        <v>0</v>
      </c>
      <c r="W84" s="39" t="n">
        <f aca="false">IF(W$4=0,0,IF(COUNTIFS(実績!$W$6:$W$505,W$3,実績!$AI$6:$AI$505,"&lt;="&amp;$A84,実績!$AJ$6:$AJ$505,"&gt;"&amp;$A84,実績!$AL$6:$AL$505,"○")&gt;0,1,0))</f>
        <v>0</v>
      </c>
      <c r="X84" s="39" t="n">
        <f aca="false">IF(X$4=0,0,IF(COUNTIFS(実績!$W$6:$W$505,X$3,実績!$AI$6:$AI$505,"&lt;="&amp;$A84,実績!$AJ$6:$AJ$505,"&gt;"&amp;$A84,実績!$AL$6:$AL$505,"○")&gt;0,1,0))</f>
        <v>0</v>
      </c>
      <c r="Y84" s="39" t="n">
        <f aca="false">IF(Y$4=0,0,IF(COUNTIFS(実績!$W$6:$W$505,Y$3,実績!$AI$6:$AI$505,"&lt;="&amp;$A84,実績!$AJ$6:$AJ$505,"&gt;"&amp;$A84,実績!$AL$6:$AL$505,"○")&gt;0,1,0))</f>
        <v>0</v>
      </c>
      <c r="Z84" s="39" t="n">
        <f aca="false">IF(Z$4=0,0,IF(COUNTIFS(実績!$W$6:$W$505,Z$3,実績!$AI$6:$AI$505,"&lt;="&amp;$A84,実績!$AJ$6:$AJ$505,"&gt;"&amp;$A84,実績!$AL$6:$AL$505,"○")&gt;0,1,0))</f>
        <v>0</v>
      </c>
      <c r="AA84" s="39" t="n">
        <f aca="false">IF(AA$4=0,0,IF(COUNTIFS(実績!$W$6:$W$505,AA$3,実績!$AI$6:$AI$505,"&lt;="&amp;$A84,実績!$AJ$6:$AJ$505,"&gt;"&amp;$A84,実績!$AL$6:$AL$505,"○")&gt;0,1,0))</f>
        <v>0</v>
      </c>
      <c r="AB84" s="39" t="n">
        <f aca="false">IF(AB$4=0,0,IF(COUNTIFS(実績!$W$6:$W$505,AB$3,実績!$AI$6:$AI$505,"&lt;="&amp;$A84,実績!$AJ$6:$AJ$505,"&gt;"&amp;$A84,実績!$AL$6:$AL$505,"○")&gt;0,1,0))</f>
        <v>0</v>
      </c>
      <c r="AC84" s="39" t="n">
        <f aca="false">IF(AC$4=0,0,IF(COUNTIFS(実績!$W$6:$W$505,AC$3,実績!$AI$6:$AI$505,"&lt;="&amp;$A84,実績!$AJ$6:$AJ$505,"&gt;"&amp;$A84,実績!$AL$6:$AL$505,"○")&gt;0,1,0))</f>
        <v>0</v>
      </c>
      <c r="AD84" s="39" t="n">
        <f aca="false">IF(AD$4=0,0,IF(COUNTIFS(実績!$W$6:$W$505,AD$3,実績!$AI$6:$AI$505,"&lt;="&amp;$A84,実績!$AJ$6:$AJ$505,"&gt;"&amp;$A84,実績!$AL$6:$AL$505,"○")&gt;0,1,0))</f>
        <v>0</v>
      </c>
      <c r="AE84" s="39" t="n">
        <f aca="false">IF(AE$4=0,0,IF(COUNTIFS(実績!$W$6:$W$505,AE$3,実績!$AI$6:$AI$505,"&lt;="&amp;$A84,実績!$AJ$6:$AJ$505,"&gt;"&amp;$A84,実績!$AL$6:$AL$505,"○")&gt;0,1,0))</f>
        <v>0</v>
      </c>
      <c r="AF84" s="39" t="n">
        <f aca="false">IF(AF$4=0,0,IF(COUNTIFS(実績!$W$6:$W$505,AF$3,実績!$AI$6:$AI$505,"&lt;="&amp;$A84,実績!$AJ$6:$AJ$505,"&gt;"&amp;$A84,実績!$AL$6:$AL$505,"○")&gt;0,1,0))</f>
        <v>0</v>
      </c>
      <c r="AG84" s="39" t="n">
        <f aca="false">IF(AG$4=0,0,IF(COUNTIFS(実績!$W$6:$W$505,AG$3,実績!$AI$6:$AI$505,"&lt;="&amp;$A84,実績!$AJ$6:$AJ$505,"&gt;"&amp;$A84,実績!$AL$6:$AL$505,"○")&gt;0,1,0))</f>
        <v>0</v>
      </c>
      <c r="AH84" s="39" t="n">
        <f aca="false">IF(AH$4=0,0,IF(COUNTIFS(実績!$W$6:$W$505,AH$3,実績!$AI$6:$AI$505,"&lt;="&amp;$A84,実績!$AJ$6:$AJ$505,"&gt;"&amp;$A84,実績!$AL$6:$AL$505,"○")&gt;0,1,0))</f>
        <v>0</v>
      </c>
      <c r="AI84" s="39" t="n">
        <f aca="false">IF(AI$4=0,0,IF(COUNTIFS(実績!$W$6:$W$505,AI$3,実績!$AI$6:$AI$505,"&lt;="&amp;$A84,実績!$AJ$6:$AJ$505,"&gt;"&amp;$A84,実績!$AL$6:$AL$505,"○")&gt;0,1,0))</f>
        <v>0</v>
      </c>
      <c r="AJ84" s="39" t="n">
        <f aca="false">IF(AJ$4=0,0,IF(COUNTIFS(実績!$W$6:$W$505,AJ$3,実績!$AI$6:$AI$505,"&lt;="&amp;$A84,実績!$AJ$6:$AJ$505,"&gt;"&amp;$A84,実績!$AL$6:$AL$505,"○")&gt;0,1,0))</f>
        <v>0</v>
      </c>
      <c r="AK84" s="39" t="n">
        <f aca="false">IF(AK$4=0,0,IF(COUNTIFS(実績!$W$6:$W$505,AK$3,実績!$AI$6:$AI$505,"&lt;="&amp;$A84,実績!$AJ$6:$AJ$505,"&gt;"&amp;$A84,実績!$AL$6:$AL$505,"○")&gt;0,1,0))</f>
        <v>0</v>
      </c>
      <c r="AL84" s="39" t="n">
        <f aca="false">IF(AL$4=0,0,IF(COUNTIFS(実績!$W$6:$W$505,AL$3,実績!$AI$6:$AI$505,"&lt;="&amp;$A84,実績!$AJ$6:$AJ$505,"&gt;"&amp;$A84,実績!$AL$6:$AL$505,"○")&gt;0,1,0))</f>
        <v>0</v>
      </c>
      <c r="AM84" s="39" t="n">
        <f aca="false">IF(AM$4=0,0,IF(COUNTIFS(実績!$W$6:$W$505,AM$3,実績!$AI$6:$AI$505,"&lt;="&amp;$A84,実績!$AJ$6:$AJ$505,"&gt;"&amp;$A84,実績!$AL$6:$AL$505,"○")&gt;0,1,0))</f>
        <v>0</v>
      </c>
      <c r="AN84" s="39" t="n">
        <f aca="false">IF(AN$4=0,0,IF(COUNTIFS(実績!$W$6:$W$505,AN$3,実績!$AI$6:$AI$505,"&lt;="&amp;$A84,実績!$AJ$6:$AJ$505,"&gt;"&amp;$A84,実績!$AL$6:$AL$505,"○")&gt;0,1,0))</f>
        <v>0</v>
      </c>
      <c r="AO84" s="39" t="n">
        <f aca="false">IF(AO$4=0,0,IF(COUNTIFS(実績!$W$6:$W$505,AO$3,実績!$AI$6:$AI$505,"&lt;="&amp;$A84,実績!$AJ$6:$AJ$505,"&gt;"&amp;$A84,実績!$AL$6:$AL$505,"○")&gt;0,1,0))</f>
        <v>0</v>
      </c>
      <c r="AP84" s="39" t="n">
        <f aca="false">IF(AP$4=0,0,IF(COUNTIFS(実績!$W$6:$W$505,AP$3,実績!$AI$6:$AI$505,"&lt;="&amp;$A84,実績!$AJ$6:$AJ$505,"&gt;"&amp;$A84,実績!$AL$6:$AL$505,"○")&gt;0,1,0))</f>
        <v>0</v>
      </c>
      <c r="AQ84" s="39" t="n">
        <f aca="false">IF(AQ$4=0,0,IF(COUNTIFS(実績!$W$6:$W$505,AQ$3,実績!$AI$6:$AI$505,"&lt;="&amp;$A84,実績!$AJ$6:$AJ$505,"&gt;"&amp;$A84,実績!$AL$6:$AL$505,"○")&gt;0,1,0))</f>
        <v>0</v>
      </c>
      <c r="AR84" s="39" t="n">
        <f aca="false">IF(AR$4=0,0,IF(COUNTIFS(実績!$W$6:$W$505,AR$3,実績!$AI$6:$AI$505,"&lt;="&amp;$A84,実績!$AJ$6:$AJ$505,"&gt;"&amp;$A84,実績!$AL$6:$AL$505,"○")&gt;0,1,0))</f>
        <v>0</v>
      </c>
      <c r="AS84" s="39" t="n">
        <f aca="false">IF(AS$4=0,0,IF(COUNTIFS(実績!$W$6:$W$505,AS$3,実績!$AI$6:$AI$505,"&lt;="&amp;$A84,実績!$AJ$6:$AJ$505,"&gt;"&amp;$A84,実績!$AL$6:$AL$505,"○")&gt;0,1,0))</f>
        <v>0</v>
      </c>
      <c r="AT84" s="39" t="n">
        <f aca="false">IF(AT$4=0,0,IF(COUNTIFS(実績!$W$6:$W$505,AT$3,実績!$AI$6:$AI$505,"&lt;="&amp;$A84,実績!$AJ$6:$AJ$505,"&gt;"&amp;$A84,実績!$AL$6:$AL$505,"○")&gt;0,1,0))</f>
        <v>0</v>
      </c>
      <c r="AU84" s="39" t="n">
        <f aca="false">IF(AU$4=0,0,IF(COUNTIFS(実績!$W$6:$W$505,AU$3,実績!$AI$6:$AI$505,"&lt;="&amp;$A84,実績!$AJ$6:$AJ$505,"&gt;"&amp;$A84,実績!$AL$6:$AL$505,"○")&gt;0,1,0))</f>
        <v>0</v>
      </c>
      <c r="AV84" s="39" t="n">
        <f aca="false">IF(AV$4=0,0,IF(COUNTIFS(実績!$W$6:$W$505,AV$3,実績!$AI$6:$AI$505,"&lt;="&amp;$A84,実績!$AJ$6:$AJ$505,"&gt;"&amp;$A84,実績!$AL$6:$AL$505,"○")&gt;0,1,0))</f>
        <v>0</v>
      </c>
      <c r="AW84" s="39" t="n">
        <f aca="false">IF(AW$4=0,0,IF(COUNTIFS(実績!$W$6:$W$505,AW$3,実績!$AI$6:$AI$505,"&lt;="&amp;$A84,実績!$AJ$6:$AJ$505,"&gt;"&amp;$A84,実績!$AL$6:$AL$505,"○")&gt;0,1,0))</f>
        <v>0</v>
      </c>
      <c r="AX84" s="39" t="n">
        <f aca="false">IF(AX$4=0,0,IF(COUNTIFS(実績!$W$6:$W$505,AX$3,実績!$AI$6:$AI$505,"&lt;="&amp;$A84,実績!$AJ$6:$AJ$505,"&gt;"&amp;$A84,実績!$AL$6:$AL$505,"○")&gt;0,1,0))</f>
        <v>0</v>
      </c>
      <c r="AY84" s="39" t="n">
        <f aca="false">IF(AY$4=0,0,IF(COUNTIFS(実績!$W$6:$W$505,AY$3,実績!$AI$6:$AI$505,"&lt;="&amp;$A84,実績!$AJ$6:$AJ$505,"&gt;"&amp;$A84,実績!$AL$6:$AL$505,"○")&gt;0,1,0))</f>
        <v>0</v>
      </c>
      <c r="AZ84" s="39" t="n">
        <f aca="false">IF(AZ$4=0,0,IF(COUNTIFS(実績!$W$6:$W$505,AZ$3,実績!$AI$6:$AI$505,"&lt;="&amp;$A84,実績!$AJ$6:$AJ$505,"&gt;"&amp;$A84,実績!$AL$6:$AL$505,"○")&gt;0,1,0))</f>
        <v>0</v>
      </c>
      <c r="BA84" s="39" t="n">
        <f aca="false">IF(BA$4=0,0,IF(COUNTIFS(実績!$W$6:$W$505,BA$3,実績!$AI$6:$AI$505,"&lt;="&amp;$A84,実績!$AJ$6:$AJ$505,"&gt;"&amp;$A84,実績!$AL$6:$AL$505,"○")&gt;0,1,0))</f>
        <v>0</v>
      </c>
      <c r="BB84" s="39" t="n">
        <f aca="false">IF(BB$4=0,0,IF(COUNTIFS(実績!$W$6:$W$505,BB$3,実績!$AI$6:$AI$505,"&lt;="&amp;$A84,実績!$AJ$6:$AJ$505,"&gt;"&amp;$A84,実績!$AL$6:$AL$505,"○")&gt;0,1,0))</f>
        <v>0</v>
      </c>
      <c r="BC84" s="39" t="n">
        <f aca="false">IF(BC$4=0,0,IF(COUNTIFS(実績!$W$6:$W$505,BC$3,実績!$AI$6:$AI$505,"&lt;="&amp;$A84,実績!$AJ$6:$AJ$505,"&gt;"&amp;$A84,実績!$AL$6:$AL$505,"○")&gt;0,1,0))</f>
        <v>0</v>
      </c>
      <c r="BD84" s="39" t="n">
        <f aca="false">IF(BD$4=0,0,IF(COUNTIFS(実績!$W$6:$W$505,BD$3,実績!$AI$6:$AI$505,"&lt;="&amp;$A84,実績!$AJ$6:$AJ$505,"&gt;"&amp;$A84,実績!$AL$6:$AL$505,"○")&gt;0,1,0))</f>
        <v>0</v>
      </c>
      <c r="BE84" s="39" t="n">
        <f aca="false">IF(BE$4=0,0,IF(COUNTIFS(実績!$W$6:$W$505,BE$3,実績!$AI$6:$AI$505,"&lt;="&amp;$A84,実績!$AJ$6:$AJ$505,"&gt;"&amp;$A84,実績!$AL$6:$AL$505,"○")&gt;0,1,0))</f>
        <v>0</v>
      </c>
      <c r="BF84" s="39" t="n">
        <f aca="false">IF(BF$4=0,0,IF(COUNTIFS(実績!$W$6:$W$505,BF$3,実績!$AI$6:$AI$505,"&lt;="&amp;$A84,実績!$AJ$6:$AJ$505,"&gt;"&amp;$A84,実績!$AL$6:$AL$505,"○")&gt;0,1,0))</f>
        <v>0</v>
      </c>
      <c r="BG84" s="39" t="n">
        <f aca="false">IF(BG$4=0,0,IF(COUNTIFS(実績!$W$6:$W$505,BG$3,実績!$AI$6:$AI$505,"&lt;="&amp;$A84,実績!$AJ$6:$AJ$505,"&gt;"&amp;$A84,実績!$AL$6:$AL$505,"○")&gt;0,1,0))</f>
        <v>0</v>
      </c>
      <c r="BH84" s="39" t="n">
        <f aca="false">IF(BH$4=0,0,IF(COUNTIFS(実績!$W$6:$W$505,BH$3,実績!$AI$6:$AI$505,"&lt;="&amp;$A84,実績!$AJ$6:$AJ$505,"&gt;"&amp;$A84,実績!$AL$6:$AL$505,"○")&gt;0,1,0))</f>
        <v>0</v>
      </c>
      <c r="BI84" s="39" t="n">
        <f aca="false">IF(BI$4=0,0,IF(COUNTIFS(実績!$W$6:$W$505,BI$3,実績!$AI$6:$AI$505,"&lt;="&amp;$A84,実績!$AJ$6:$AJ$505,"&gt;"&amp;$A84,実績!$AL$6:$AL$505,"○")&gt;0,1,0))</f>
        <v>0</v>
      </c>
      <c r="BJ84" s="39" t="n">
        <f aca="false">IF(BJ$4=0,0,IF(COUNTIFS(実績!$W$6:$W$505,BJ$3,実績!$AI$6:$AI$505,"&lt;="&amp;$A84,実績!$AJ$6:$AJ$505,"&gt;"&amp;$A84,実績!$AL$6:$AL$505,"○")&gt;0,1,0))</f>
        <v>0</v>
      </c>
      <c r="BK84" s="39" t="n">
        <f aca="false">IF(BK$4=0,0,IF(COUNTIFS(実績!$W$6:$W$505,BK$3,実績!$AI$6:$AI$505,"&lt;="&amp;$A84,実績!$AJ$6:$AJ$505,"&gt;"&amp;$A84,実績!$AL$6:$AL$505,"○")&gt;0,1,0))</f>
        <v>0</v>
      </c>
      <c r="BL84" s="39" t="n">
        <f aca="false">IF(BL$4=0,0,IF(COUNTIFS(実績!$W$6:$W$505,BL$3,実績!$AI$6:$AI$505,"&lt;="&amp;$A84,実績!$AJ$6:$AJ$505,"&gt;"&amp;$A84,実績!$AL$6:$AL$505,"○")&gt;0,1,0))</f>
        <v>0</v>
      </c>
      <c r="BM84" s="39" t="n">
        <f aca="false">IF(BM$4=0,0,IF(COUNTIFS(実績!$W$6:$W$505,BM$3,実績!$AI$6:$AI$505,"&lt;="&amp;$A84,実績!$AJ$6:$AJ$505,"&gt;"&amp;$A84,実績!$AL$6:$AL$505,"○")&gt;0,1,0))</f>
        <v>0</v>
      </c>
      <c r="BN84" s="39" t="n">
        <f aca="false">IF(BN$4=0,0,IF(COUNTIFS(実績!$W$6:$W$505,BN$3,実績!$AI$6:$AI$505,"&lt;="&amp;$A84,実績!$AJ$6:$AJ$505,"&gt;"&amp;$A84,実績!$AL$6:$AL$505,"○")&gt;0,1,0))</f>
        <v>0</v>
      </c>
      <c r="BO84" s="39" t="n">
        <f aca="false">IF(BO$4=0,0,IF(COUNTIFS(実績!$W$6:$W$505,BO$3,実績!$AI$6:$AI$505,"&lt;="&amp;$A84,実績!$AJ$6:$AJ$505,"&gt;"&amp;$A84,実績!$AL$6:$AL$505,"○")&gt;0,1,0))</f>
        <v>0</v>
      </c>
      <c r="BP84" s="39" t="n">
        <f aca="false">IF(BP$4=0,0,IF(COUNTIFS(実績!$W$6:$W$505,BP$3,実績!$AI$6:$AI$505,"&lt;="&amp;$A84,実績!$AJ$6:$AJ$505,"&gt;"&amp;$A84,実績!$AL$6:$AL$505,"○")&gt;0,1,0))</f>
        <v>0</v>
      </c>
      <c r="BQ84" s="39" t="n">
        <f aca="false">IF(BQ$4=0,0,IF(COUNTIFS(実績!$W$6:$W$505,BQ$3,実績!$AI$6:$AI$505,"&lt;="&amp;$A84,実績!$AJ$6:$AJ$505,"&gt;"&amp;$A84,実績!$AL$6:$AL$505,"○")&gt;0,1,0))</f>
        <v>0</v>
      </c>
      <c r="BR84" s="39" t="n">
        <f aca="false">IF(BR$4=0,0,IF(COUNTIFS(実績!$W$6:$W$505,BR$3,実績!$AI$6:$AI$505,"&lt;="&amp;$A84,実績!$AJ$6:$AJ$505,"&gt;"&amp;$A84,実績!$AL$6:$AL$505,"○")&gt;0,1,0))</f>
        <v>0</v>
      </c>
      <c r="BS84" s="39" t="n">
        <f aca="false">IF(BS$4=0,0,IF(COUNTIFS(実績!$W$6:$W$505,BS$3,実績!$AI$6:$AI$505,"&lt;="&amp;$A84,実績!$AJ$6:$AJ$505,"&gt;"&amp;$A84,実績!$AL$6:$AL$505,"○")&gt;0,1,0))</f>
        <v>0</v>
      </c>
      <c r="BT84" s="39" t="n">
        <f aca="false">IF(BT$4=0,0,IF(COUNTIFS(実績!$W$6:$W$505,BT$3,実績!$AI$6:$AI$505,"&lt;="&amp;$A84,実績!$AJ$6:$AJ$505,"&gt;"&amp;$A84,実績!$AL$6:$AL$505,"○")&gt;0,1,0))</f>
        <v>0</v>
      </c>
      <c r="BU84" s="39" t="n">
        <f aca="false">IF(BU$4=0,0,IF(COUNTIFS(実績!$W$6:$W$505,BU$3,実績!$AI$6:$AI$505,"&lt;="&amp;$A84,実績!$AJ$6:$AJ$505,"&gt;"&amp;$A84,実績!$AL$6:$AL$505,"○")&gt;0,1,0))</f>
        <v>0</v>
      </c>
      <c r="BV84" s="39" t="n">
        <f aca="false">IF(BV$4=0,0,IF(COUNTIFS(実績!$W$6:$W$505,BV$3,実績!$AI$6:$AI$505,"&lt;="&amp;$A84,実績!$AJ$6:$AJ$505,"&gt;"&amp;$A84,実績!$AL$6:$AL$505,"○")&gt;0,1,0))</f>
        <v>0</v>
      </c>
      <c r="BW84" s="39" t="n">
        <f aca="false">IF(BW$4=0,0,IF(COUNTIFS(実績!$W$6:$W$505,BW$3,実績!$AI$6:$AI$505,"&lt;="&amp;$A84,実績!$AJ$6:$AJ$505,"&gt;"&amp;$A84,実績!$AL$6:$AL$505,"○")&gt;0,1,0))</f>
        <v>0</v>
      </c>
      <c r="BX84" s="39" t="n">
        <f aca="false">IF(BX$4=0,0,IF(COUNTIFS(実績!$W$6:$W$505,BX$3,実績!$AI$6:$AI$505,"&lt;="&amp;$A84,実績!$AJ$6:$AJ$505,"&gt;"&amp;$A84,実績!$AL$6:$AL$505,"○")&gt;0,1,0))</f>
        <v>0</v>
      </c>
      <c r="BY84" s="39" t="n">
        <f aca="false">IF(BY$4=0,0,IF(COUNTIFS(実績!$W$6:$W$505,BY$3,実績!$AI$6:$AI$505,"&lt;="&amp;$A84,実績!$AJ$6:$AJ$505,"&gt;"&amp;$A84,実績!$AL$6:$AL$505,"○")&gt;0,1,0))</f>
        <v>0</v>
      </c>
      <c r="BZ84" s="39" t="n">
        <f aca="false">IF(BZ$4=0,0,IF(COUNTIFS(実績!$W$6:$W$505,BZ$3,実績!$AI$6:$AI$505,"&lt;="&amp;$A84,実績!$AJ$6:$AJ$505,"&gt;"&amp;$A84,実績!$AL$6:$AL$505,"○")&gt;0,1,0))</f>
        <v>0</v>
      </c>
      <c r="CA84" s="39" t="n">
        <f aca="false">IF(CA$4=0,0,IF(COUNTIFS(実績!$W$6:$W$505,CA$3,実績!$AI$6:$AI$505,"&lt;="&amp;$A84,実績!$AJ$6:$AJ$505,"&gt;"&amp;$A84,実績!$AL$6:$AL$505,"○")&gt;0,1,0))</f>
        <v>0</v>
      </c>
      <c r="CB84" s="39" t="n">
        <f aca="false">IF(CB$4=0,0,IF(COUNTIFS(実績!$W$6:$W$505,CB$3,実績!$AI$6:$AI$505,"&lt;="&amp;$A84,実績!$AJ$6:$AJ$505,"&gt;"&amp;$A84,実績!$AL$6:$AL$505,"○")&gt;0,1,0))</f>
        <v>0</v>
      </c>
      <c r="CC84" s="39" t="n">
        <f aca="false">IF(CC$4=0,0,IF(COUNTIFS(実績!$W$6:$W$505,CC$3,実績!$AI$6:$AI$505,"&lt;="&amp;$A84,実績!$AJ$6:$AJ$505,"&gt;"&amp;$A84,実績!$AL$6:$AL$505,"○")&gt;0,1,0))</f>
        <v>0</v>
      </c>
      <c r="CD84" s="39" t="n">
        <f aca="false">IF(CD$4=0,0,IF(COUNTIFS(実績!$W$6:$W$505,CD$3,実績!$AI$6:$AI$505,"&lt;="&amp;$A84,実績!$AJ$6:$AJ$505,"&gt;"&amp;$A84,実績!$AL$6:$AL$505,"○")&gt;0,1,0))</f>
        <v>0</v>
      </c>
      <c r="CE84" s="39" t="n">
        <f aca="false">IF(CE$4=0,0,IF(COUNTIFS(実績!$W$6:$W$505,CE$3,実績!$AI$6:$AI$505,"&lt;="&amp;$A84,実績!$AJ$6:$AJ$505,"&gt;"&amp;$A84,実績!$AL$6:$AL$505,"○")&gt;0,1,0))</f>
        <v>0</v>
      </c>
      <c r="CF84" s="39" t="n">
        <f aca="false">IF(CF$4=0,0,IF(COUNTIFS(実績!$W$6:$W$505,CF$3,実績!$AI$6:$AI$505,"&lt;="&amp;$A84,実績!$AJ$6:$AJ$505,"&gt;"&amp;$A84,実績!$AL$6:$AL$505,"○")&gt;0,1,0))</f>
        <v>0</v>
      </c>
      <c r="CG84" s="39" t="n">
        <f aca="false">IF(CG$4=0,0,IF(COUNTIFS(実績!$W$6:$W$505,CG$3,実績!$AI$6:$AI$505,"&lt;="&amp;$A84,実績!$AJ$6:$AJ$505,"&gt;"&amp;$A84,実績!$AL$6:$AL$505,"○")&gt;0,1,0))</f>
        <v>0</v>
      </c>
      <c r="CH84" s="39" t="n">
        <f aca="false">IF(CH$4=0,0,IF(COUNTIFS(実績!$W$6:$W$505,CH$3,実績!$AI$6:$AI$505,"&lt;="&amp;$A84,実績!$AJ$6:$AJ$505,"&gt;"&amp;$A84,実績!$AL$6:$AL$505,"○")&gt;0,1,0))</f>
        <v>0</v>
      </c>
      <c r="CI84" s="39" t="n">
        <f aca="false">IF(CI$4=0,0,IF(COUNTIFS(実績!$W$6:$W$505,CI$3,実績!$AI$6:$AI$505,"&lt;="&amp;$A84,実績!$AJ$6:$AJ$505,"&gt;"&amp;$A84,実績!$AL$6:$AL$505,"○")&gt;0,1,0))</f>
        <v>0</v>
      </c>
      <c r="CJ84" s="39" t="n">
        <f aca="false">IF(CJ$4=0,0,IF(COUNTIFS(実績!$W$6:$W$505,CJ$3,実績!$AI$6:$AI$505,"&lt;="&amp;$A84,実績!$AJ$6:$AJ$505,"&gt;"&amp;$A84,実績!$AL$6:$AL$505,"○")&gt;0,1,0))</f>
        <v>0</v>
      </c>
      <c r="CK84" s="39" t="n">
        <f aca="false">IF(CK$4=0,0,IF(COUNTIFS(実績!$W$6:$W$505,CK$3,実績!$AI$6:$AI$505,"&lt;="&amp;$A84,実績!$AJ$6:$AJ$505,"&gt;"&amp;$A84,実績!$AL$6:$AL$505,"○")&gt;0,1,0))</f>
        <v>0</v>
      </c>
      <c r="CL84" s="39" t="n">
        <f aca="false">IF(CL$4=0,0,IF(COUNTIFS(実績!$W$6:$W$505,CL$3,実績!$AI$6:$AI$505,"&lt;="&amp;$A84,実績!$AJ$6:$AJ$505,"&gt;"&amp;$A84,実績!$AL$6:$AL$505,"○")&gt;0,1,0))</f>
        <v>0</v>
      </c>
      <c r="CM84" s="39" t="n">
        <f aca="false">IF(CM$4=0,0,IF(COUNTIFS(実績!$W$6:$W$505,CM$3,実績!$AI$6:$AI$505,"&lt;="&amp;$A84,実績!$AJ$6:$AJ$505,"&gt;"&amp;$A84,実績!$AL$6:$AL$505,"○")&gt;0,1,0))</f>
        <v>0</v>
      </c>
      <c r="CN84" s="39" t="n">
        <f aca="false">IF(CN$4=0,0,IF(COUNTIFS(実績!$W$6:$W$505,CN$3,実績!$AI$6:$AI$505,"&lt;="&amp;$A84,実績!$AJ$6:$AJ$505,"&gt;"&amp;$A84,実績!$AL$6:$AL$505,"○")&gt;0,1,0))</f>
        <v>0</v>
      </c>
      <c r="CO84" s="39" t="n">
        <f aca="false">IF(CO$4=0,0,IF(COUNTIFS(実績!$W$6:$W$505,CO$3,実績!$AI$6:$AI$505,"&lt;="&amp;$A84,実績!$AJ$6:$AJ$505,"&gt;"&amp;$A84,実績!$AL$6:$AL$505,"○")&gt;0,1,0))</f>
        <v>0</v>
      </c>
      <c r="CP84" s="39" t="n">
        <f aca="false">IF(CP$4=0,0,IF(COUNTIFS(実績!$W$6:$W$505,CP$3,実績!$AI$6:$AI$505,"&lt;="&amp;$A84,実績!$AJ$6:$AJ$505,"&gt;"&amp;$A84,実績!$AL$6:$AL$505,"○")&gt;0,1,0))</f>
        <v>0</v>
      </c>
      <c r="CQ84" s="39" t="n">
        <f aca="false">IF(CQ$4=0,0,IF(COUNTIFS(実績!$W$6:$W$505,CQ$3,実績!$AI$6:$AI$505,"&lt;="&amp;$A84,実績!$AJ$6:$AJ$505,"&gt;"&amp;$A84,実績!$AL$6:$AL$505,"○")&gt;0,1,0))</f>
        <v>0</v>
      </c>
      <c r="CR84" s="39" t="n">
        <f aca="false">IF(CR$4=0,0,IF(COUNTIFS(実績!$W$6:$W$505,CR$3,実績!$AI$6:$AI$505,"&lt;="&amp;$A84,実績!$AJ$6:$AJ$505,"&gt;"&amp;$A84,実績!$AL$6:$AL$505,"○")&gt;0,1,0))</f>
        <v>0</v>
      </c>
      <c r="CS84" s="39" t="n">
        <f aca="false">IF(CS$4=0,0,IF(COUNTIFS(実績!$W$6:$W$505,CS$3,実績!$AI$6:$AI$505,"&lt;="&amp;$A84,実績!$AJ$6:$AJ$505,"&gt;"&amp;$A84,実績!$AL$6:$AL$505,"○")&gt;0,1,0))</f>
        <v>0</v>
      </c>
      <c r="CT84" s="39" t="n">
        <f aca="false">IF(CT$4=0,0,IF(COUNTIFS(実績!$W$6:$W$505,CT$3,実績!$AI$6:$AI$505,"&lt;="&amp;$A84,実績!$AJ$6:$AJ$505,"&gt;"&amp;$A84,実績!$AL$6:$AL$505,"○")&gt;0,1,0))</f>
        <v>0</v>
      </c>
      <c r="CU84" s="39" t="n">
        <f aca="false">IF(CU$4=0,0,IF(COUNTIFS(実績!$W$6:$W$505,CU$3,実績!$AI$6:$AI$505,"&lt;="&amp;$A84,実績!$AJ$6:$AJ$505,"&gt;"&amp;$A84,実績!$AL$6:$AL$505,"○")&gt;0,1,0))</f>
        <v>0</v>
      </c>
      <c r="CV84" s="39" t="n">
        <f aca="false">IF(CV$4=0,0,IF(COUNTIFS(実績!$W$6:$W$505,CV$3,実績!$AI$6:$AI$505,"&lt;="&amp;$A84,実績!$AJ$6:$AJ$505,"&gt;"&amp;$A84,実績!$AL$6:$AL$505,"○")&gt;0,1,0))</f>
        <v>0</v>
      </c>
      <c r="CW84" s="39" t="n">
        <f aca="false">IF(CW$4=0,0,IF(COUNTIFS(実績!$W$6:$W$505,CW$3,実績!$AI$6:$AI$505,"&lt;="&amp;$A84,実績!$AJ$6:$AJ$505,"&gt;"&amp;$A84,実績!$AL$6:$AL$505,"○")&gt;0,1,0))</f>
        <v>0</v>
      </c>
      <c r="CX84" s="39" t="n">
        <f aca="false">IF(CX$4=0,0,IF(COUNTIFS(実績!$W$6:$W$505,CX$3,実績!$AI$6:$AI$505,"&lt;="&amp;$A84,実績!$AJ$6:$AJ$505,"&gt;"&amp;$A84,実績!$AL$6:$AL$505,"○")&gt;0,1,0))</f>
        <v>0</v>
      </c>
      <c r="CY84" s="39" t="n">
        <f aca="false">IF(CY$4=0,0,IF(COUNTIFS(実績!$W$6:$W$505,CY$3,実績!$AI$6:$AI$505,"&lt;="&amp;$A84,実績!$AJ$6:$AJ$505,"&gt;"&amp;$A84,実績!$AL$6:$AL$505,"○")&gt;0,1,0))</f>
        <v>0</v>
      </c>
      <c r="CZ84" s="39" t="n">
        <f aca="false">IF(CZ$4=0,0,IF(COUNTIFS(実績!$W$6:$W$505,CZ$3,実績!$AI$6:$AI$505,"&lt;="&amp;$A84,実績!$AJ$6:$AJ$505,"&gt;"&amp;$A84,実績!$AL$6:$AL$505,"○")&gt;0,1,0))</f>
        <v>0</v>
      </c>
      <c r="DA84" s="39" t="n">
        <f aca="false">IF(DA$4=0,0,IF(COUNTIFS(実績!$W$6:$W$505,DA$3,実績!$AI$6:$AI$505,"&lt;="&amp;$A84,実績!$AJ$6:$AJ$505,"&gt;"&amp;$A84,実績!$AL$6:$AL$505,"○")&gt;0,1,0))</f>
        <v>0</v>
      </c>
      <c r="DB84" s="39" t="n">
        <f aca="false">IF(DB$4=0,0,IF(COUNTIFS(実績!$W$6:$W$505,DB$3,実績!$AI$6:$AI$505,"&lt;="&amp;$A84,実績!$AJ$6:$AJ$505,"&gt;"&amp;$A84,実績!$AL$6:$AL$505,"○")&gt;0,1,0))</f>
        <v>0</v>
      </c>
      <c r="DC84" s="39" t="n">
        <f aca="false">IF(DC$4=0,0,IF(COUNTIFS(実績!$W$6:$W$505,DC$3,実績!$AI$6:$AI$505,"&lt;="&amp;$A84,実績!$AJ$6:$AJ$505,"&gt;"&amp;$A84,実績!$AL$6:$AL$505,"○")&gt;0,1,0))</f>
        <v>0</v>
      </c>
      <c r="DD84" s="39" t="n">
        <f aca="false">IF(DD$4=0,0,IF(COUNTIFS(実績!$W$6:$W$505,DD$3,実績!$AI$6:$AI$505,"&lt;="&amp;$A84,実績!$AJ$6:$AJ$505,"&gt;"&amp;$A84,実績!$AL$6:$AL$505,"○")&gt;0,1,0))</f>
        <v>0</v>
      </c>
      <c r="DE84" s="39" t="n">
        <f aca="false">IF(DE$4=0,0,IF(COUNTIFS(実績!$W$6:$W$505,DE$3,実績!$AI$6:$AI$505,"&lt;="&amp;$A84,実績!$AJ$6:$AJ$505,"&gt;"&amp;$A84,実績!$AL$6:$AL$505,"○")&gt;0,1,0))</f>
        <v>0</v>
      </c>
      <c r="DF84" s="39" t="n">
        <f aca="false">IF(DF$4=0,0,IF(COUNTIFS(実績!$W$6:$W$505,DF$3,実績!$AI$6:$AI$505,"&lt;="&amp;$A84,実績!$AJ$6:$AJ$505,"&gt;"&amp;$A84,実績!$AL$6:$AL$505,"○")&gt;0,1,0))</f>
        <v>0</v>
      </c>
      <c r="DG84" s="39" t="n">
        <f aca="false">IF(DG$4=0,0,IF(COUNTIFS(実績!$W$6:$W$505,DG$3,実績!$AI$6:$AI$505,"&lt;="&amp;$A84,実績!$AJ$6:$AJ$505,"&gt;"&amp;$A84,実績!$AL$6:$AL$505,"○")&gt;0,1,0))</f>
        <v>0</v>
      </c>
      <c r="DH84" s="39" t="n">
        <f aca="false">IF(DH$4=0,0,IF(COUNTIFS(実績!$W$6:$W$505,DH$3,実績!$AI$6:$AI$505,"&lt;="&amp;$A84,実績!$AJ$6:$AJ$505,"&gt;"&amp;$A84,実績!$AL$6:$AL$505,"○")&gt;0,1,0))</f>
        <v>0</v>
      </c>
      <c r="DI84" s="39" t="n">
        <f aca="false">IF(DI$4=0,0,IF(COUNTIFS(実績!$W$6:$W$505,DI$3,実績!$AI$6:$AI$505,"&lt;="&amp;$A84,実績!$AJ$6:$AJ$505,"&gt;"&amp;$A84,実績!$AL$6:$AL$505,"○")&gt;0,1,0))</f>
        <v>0</v>
      </c>
      <c r="DJ84" s="39" t="n">
        <f aca="false">IF(DJ$4=0,0,IF(COUNTIFS(実績!$W$6:$W$505,DJ$3,実績!$AI$6:$AI$505,"&lt;="&amp;$A84,実績!$AJ$6:$AJ$505,"&gt;"&amp;$A84,実績!$AL$6:$AL$505,"○")&gt;0,1,0))</f>
        <v>0</v>
      </c>
      <c r="DK84" s="39" t="n">
        <f aca="false">IF(DK$4=0,0,IF(COUNTIFS(実績!$W$6:$W$505,DK$3,実績!$AI$6:$AI$505,"&lt;="&amp;$A84,実績!$AJ$6:$AJ$505,"&gt;"&amp;$A84,実績!$AL$6:$AL$505,"○")&gt;0,1,0))</f>
        <v>0</v>
      </c>
      <c r="DL84" s="39" t="n">
        <f aca="false">IF(DL$4=0,0,IF(COUNTIFS(実績!$W$6:$W$505,DL$3,実績!$AI$6:$AI$505,"&lt;="&amp;$A84,実績!$AJ$6:$AJ$505,"&gt;"&amp;$A84,実績!$AL$6:$AL$505,"○")&gt;0,1,0))</f>
        <v>0</v>
      </c>
      <c r="DM84" s="39" t="n">
        <f aca="false">IF(DM$4=0,0,IF(COUNTIFS(実績!$W$6:$W$505,DM$3,実績!$AI$6:$AI$505,"&lt;="&amp;$A84,実績!$AJ$6:$AJ$505,"&gt;"&amp;$A84,実績!$AL$6:$AL$505,"○")&gt;0,1,0))</f>
        <v>0</v>
      </c>
      <c r="DN84" s="39" t="n">
        <f aca="false">IF(DN$4=0,0,IF(COUNTIFS(実績!$W$6:$W$505,DN$3,実績!$AI$6:$AI$505,"&lt;="&amp;$A84,実績!$AJ$6:$AJ$505,"&gt;"&amp;$A84,実績!$AL$6:$AL$505,"○")&gt;0,1,0))</f>
        <v>0</v>
      </c>
      <c r="DO84" s="39" t="n">
        <f aca="false">IF(DO$4=0,0,IF(COUNTIFS(実績!$W$6:$W$505,DO$3,実績!$AI$6:$AI$505,"&lt;="&amp;$A84,実績!$AJ$6:$AJ$505,"&gt;"&amp;$A84,実績!$AL$6:$AL$505,"○")&gt;0,1,0))</f>
        <v>0</v>
      </c>
      <c r="DP84" s="39" t="n">
        <f aca="false">IF(DP$4=0,0,IF(COUNTIFS(実績!$W$6:$W$505,DP$3,実績!$AI$6:$AI$505,"&lt;="&amp;$A84,実績!$AJ$6:$AJ$505,"&gt;"&amp;$A84,実績!$AL$6:$AL$505,"○")&gt;0,1,0))</f>
        <v>0</v>
      </c>
      <c r="DQ84" s="39" t="n">
        <f aca="false">IF(DQ$4=0,0,IF(COUNTIFS(実績!$W$6:$W$505,DQ$3,実績!$AI$6:$AI$505,"&lt;="&amp;$A84,実績!$AJ$6:$AJ$505,"&gt;"&amp;$A84,実績!$AL$6:$AL$505,"○")&gt;0,1,0))</f>
        <v>0</v>
      </c>
      <c r="DR84" s="39" t="n">
        <f aca="false">IF(DR$4=0,0,IF(COUNTIFS(実績!$W$6:$W$505,DR$3,実績!$AI$6:$AI$505,"&lt;="&amp;$A84,実績!$AJ$6:$AJ$505,"&gt;"&amp;$A84,実績!$AL$6:$AL$505,"○")&gt;0,1,0))</f>
        <v>0</v>
      </c>
      <c r="DS84" s="39" t="n">
        <f aca="false">SUM(C84:DR84)</f>
        <v>0</v>
      </c>
    </row>
    <row r="85" customFormat="false" ht="15" hidden="false" customHeight="false" outlineLevel="0" collapsed="false">
      <c r="A85" s="0" t="n">
        <v>395</v>
      </c>
      <c r="B85" s="38" t="n">
        <f aca="false">A85/1440</f>
        <v>0.274305555555556</v>
      </c>
      <c r="C85" s="39" t="n">
        <f aca="false">IF(C$4=0,0,IF(COUNTIFS(実績!$W$6:$W$505,C$3,実績!$AI$6:$AI$505,"&lt;="&amp;$A85,実績!$AJ$6:$AJ$505,"&gt;"&amp;$A85,実績!$AL$6:$AL$505,"○")&gt;0,1,0))</f>
        <v>0</v>
      </c>
      <c r="D85" s="39" t="n">
        <f aca="false">IF(D$4=0,0,IF(COUNTIFS(実績!$W$6:$W$505,D$3,実績!$AI$6:$AI$505,"&lt;="&amp;$A85,実績!$AJ$6:$AJ$505,"&gt;"&amp;$A85,実績!$AL$6:$AL$505,"○")&gt;0,1,0))</f>
        <v>0</v>
      </c>
      <c r="E85" s="39" t="n">
        <f aca="false">IF(E$4=0,0,IF(COUNTIFS(実績!$W$6:$W$505,E$3,実績!$AI$6:$AI$505,"&lt;="&amp;$A85,実績!$AJ$6:$AJ$505,"&gt;"&amp;$A85,実績!$AL$6:$AL$505,"○")&gt;0,1,0))</f>
        <v>0</v>
      </c>
      <c r="F85" s="39" t="n">
        <f aca="false">IF(F$4=0,0,IF(COUNTIFS(実績!$W$6:$W$505,F$3,実績!$AI$6:$AI$505,"&lt;="&amp;$A85,実績!$AJ$6:$AJ$505,"&gt;"&amp;$A85,実績!$AL$6:$AL$505,"○")&gt;0,1,0))</f>
        <v>0</v>
      </c>
      <c r="G85" s="39" t="n">
        <f aca="false">IF(G$4=0,0,IF(COUNTIFS(実績!$W$6:$W$505,G$3,実績!$AI$6:$AI$505,"&lt;="&amp;$A85,実績!$AJ$6:$AJ$505,"&gt;"&amp;$A85,実績!$AL$6:$AL$505,"○")&gt;0,1,0))</f>
        <v>0</v>
      </c>
      <c r="H85" s="39" t="n">
        <f aca="false">IF(H$4=0,0,IF(COUNTIFS(実績!$W$6:$W$505,H$3,実績!$AI$6:$AI$505,"&lt;="&amp;$A85,実績!$AJ$6:$AJ$505,"&gt;"&amp;$A85,実績!$AL$6:$AL$505,"○")&gt;0,1,0))</f>
        <v>0</v>
      </c>
      <c r="I85" s="39" t="n">
        <f aca="false">IF(I$4=0,0,IF(COUNTIFS(実績!$W$6:$W$505,I$3,実績!$AI$6:$AI$505,"&lt;="&amp;$A85,実績!$AJ$6:$AJ$505,"&gt;"&amp;$A85,実績!$AL$6:$AL$505,"○")&gt;0,1,0))</f>
        <v>0</v>
      </c>
      <c r="J85" s="39" t="n">
        <f aca="false">IF(J$4=0,0,IF(COUNTIFS(実績!$W$6:$W$505,J$3,実績!$AI$6:$AI$505,"&lt;="&amp;$A85,実績!$AJ$6:$AJ$505,"&gt;"&amp;$A85,実績!$AL$6:$AL$505,"○")&gt;0,1,0))</f>
        <v>0</v>
      </c>
      <c r="K85" s="39" t="n">
        <f aca="false">IF(K$4=0,0,IF(COUNTIFS(実績!$W$6:$W$505,K$3,実績!$AI$6:$AI$505,"&lt;="&amp;$A85,実績!$AJ$6:$AJ$505,"&gt;"&amp;$A85,実績!$AL$6:$AL$505,"○")&gt;0,1,0))</f>
        <v>0</v>
      </c>
      <c r="L85" s="39" t="n">
        <f aca="false">IF(L$4=0,0,IF(COUNTIFS(実績!$W$6:$W$505,L$3,実績!$AI$6:$AI$505,"&lt;="&amp;$A85,実績!$AJ$6:$AJ$505,"&gt;"&amp;$A85,実績!$AL$6:$AL$505,"○")&gt;0,1,0))</f>
        <v>0</v>
      </c>
      <c r="M85" s="39" t="n">
        <f aca="false">IF(M$4=0,0,IF(COUNTIFS(実績!$W$6:$W$505,M$3,実績!$AI$6:$AI$505,"&lt;="&amp;$A85,実績!$AJ$6:$AJ$505,"&gt;"&amp;$A85,実績!$AL$6:$AL$505,"○")&gt;0,1,0))</f>
        <v>0</v>
      </c>
      <c r="N85" s="39" t="n">
        <f aca="false">IF(N$4=0,0,IF(COUNTIFS(実績!$W$6:$W$505,N$3,実績!$AI$6:$AI$505,"&lt;="&amp;$A85,実績!$AJ$6:$AJ$505,"&gt;"&amp;$A85,実績!$AL$6:$AL$505,"○")&gt;0,1,0))</f>
        <v>0</v>
      </c>
      <c r="O85" s="39" t="n">
        <f aca="false">IF(O$4=0,0,IF(COUNTIFS(実績!$W$6:$W$505,O$3,実績!$AI$6:$AI$505,"&lt;="&amp;$A85,実績!$AJ$6:$AJ$505,"&gt;"&amp;$A85,実績!$AL$6:$AL$505,"○")&gt;0,1,0))</f>
        <v>0</v>
      </c>
      <c r="P85" s="39" t="n">
        <f aca="false">IF(P$4=0,0,IF(COUNTIFS(実績!$W$6:$W$505,P$3,実績!$AI$6:$AI$505,"&lt;="&amp;$A85,実績!$AJ$6:$AJ$505,"&gt;"&amp;$A85,実績!$AL$6:$AL$505,"○")&gt;0,1,0))</f>
        <v>0</v>
      </c>
      <c r="Q85" s="39" t="n">
        <f aca="false">IF(Q$4=0,0,IF(COUNTIFS(実績!$W$6:$W$505,Q$3,実績!$AI$6:$AI$505,"&lt;="&amp;$A85,実績!$AJ$6:$AJ$505,"&gt;"&amp;$A85,実績!$AL$6:$AL$505,"○")&gt;0,1,0))</f>
        <v>0</v>
      </c>
      <c r="R85" s="39" t="n">
        <f aca="false">IF(R$4=0,0,IF(COUNTIFS(実績!$W$6:$W$505,R$3,実績!$AI$6:$AI$505,"&lt;="&amp;$A85,実績!$AJ$6:$AJ$505,"&gt;"&amp;$A85,実績!$AL$6:$AL$505,"○")&gt;0,1,0))</f>
        <v>0</v>
      </c>
      <c r="S85" s="39" t="n">
        <f aca="false">IF(S$4=0,0,IF(COUNTIFS(実績!$W$6:$W$505,S$3,実績!$AI$6:$AI$505,"&lt;="&amp;$A85,実績!$AJ$6:$AJ$505,"&gt;"&amp;$A85,実績!$AL$6:$AL$505,"○")&gt;0,1,0))</f>
        <v>0</v>
      </c>
      <c r="T85" s="39" t="n">
        <f aca="false">IF(T$4=0,0,IF(COUNTIFS(実績!$W$6:$W$505,T$3,実績!$AI$6:$AI$505,"&lt;="&amp;$A85,実績!$AJ$6:$AJ$505,"&gt;"&amp;$A85,実績!$AL$6:$AL$505,"○")&gt;0,1,0))</f>
        <v>0</v>
      </c>
      <c r="U85" s="39" t="n">
        <f aca="false">IF(U$4=0,0,IF(COUNTIFS(実績!$W$6:$W$505,U$3,実績!$AI$6:$AI$505,"&lt;="&amp;$A85,実績!$AJ$6:$AJ$505,"&gt;"&amp;$A85,実績!$AL$6:$AL$505,"○")&gt;0,1,0))</f>
        <v>0</v>
      </c>
      <c r="V85" s="39" t="n">
        <f aca="false">IF(V$4=0,0,IF(COUNTIFS(実績!$W$6:$W$505,V$3,実績!$AI$6:$AI$505,"&lt;="&amp;$A85,実績!$AJ$6:$AJ$505,"&gt;"&amp;$A85,実績!$AL$6:$AL$505,"○")&gt;0,1,0))</f>
        <v>0</v>
      </c>
      <c r="W85" s="39" t="n">
        <f aca="false">IF(W$4=0,0,IF(COUNTIFS(実績!$W$6:$W$505,W$3,実績!$AI$6:$AI$505,"&lt;="&amp;$A85,実績!$AJ$6:$AJ$505,"&gt;"&amp;$A85,実績!$AL$6:$AL$505,"○")&gt;0,1,0))</f>
        <v>0</v>
      </c>
      <c r="X85" s="39" t="n">
        <f aca="false">IF(X$4=0,0,IF(COUNTIFS(実績!$W$6:$W$505,X$3,実績!$AI$6:$AI$505,"&lt;="&amp;$A85,実績!$AJ$6:$AJ$505,"&gt;"&amp;$A85,実績!$AL$6:$AL$505,"○")&gt;0,1,0))</f>
        <v>0</v>
      </c>
      <c r="Y85" s="39" t="n">
        <f aca="false">IF(Y$4=0,0,IF(COUNTIFS(実績!$W$6:$W$505,Y$3,実績!$AI$6:$AI$505,"&lt;="&amp;$A85,実績!$AJ$6:$AJ$505,"&gt;"&amp;$A85,実績!$AL$6:$AL$505,"○")&gt;0,1,0))</f>
        <v>0</v>
      </c>
      <c r="Z85" s="39" t="n">
        <f aca="false">IF(Z$4=0,0,IF(COUNTIFS(実績!$W$6:$W$505,Z$3,実績!$AI$6:$AI$505,"&lt;="&amp;$A85,実績!$AJ$6:$AJ$505,"&gt;"&amp;$A85,実績!$AL$6:$AL$505,"○")&gt;0,1,0))</f>
        <v>0</v>
      </c>
      <c r="AA85" s="39" t="n">
        <f aca="false">IF(AA$4=0,0,IF(COUNTIFS(実績!$W$6:$W$505,AA$3,実績!$AI$6:$AI$505,"&lt;="&amp;$A85,実績!$AJ$6:$AJ$505,"&gt;"&amp;$A85,実績!$AL$6:$AL$505,"○")&gt;0,1,0))</f>
        <v>0</v>
      </c>
      <c r="AB85" s="39" t="n">
        <f aca="false">IF(AB$4=0,0,IF(COUNTIFS(実績!$W$6:$W$505,AB$3,実績!$AI$6:$AI$505,"&lt;="&amp;$A85,実績!$AJ$6:$AJ$505,"&gt;"&amp;$A85,実績!$AL$6:$AL$505,"○")&gt;0,1,0))</f>
        <v>0</v>
      </c>
      <c r="AC85" s="39" t="n">
        <f aca="false">IF(AC$4=0,0,IF(COUNTIFS(実績!$W$6:$W$505,AC$3,実績!$AI$6:$AI$505,"&lt;="&amp;$A85,実績!$AJ$6:$AJ$505,"&gt;"&amp;$A85,実績!$AL$6:$AL$505,"○")&gt;0,1,0))</f>
        <v>0</v>
      </c>
      <c r="AD85" s="39" t="n">
        <f aca="false">IF(AD$4=0,0,IF(COUNTIFS(実績!$W$6:$W$505,AD$3,実績!$AI$6:$AI$505,"&lt;="&amp;$A85,実績!$AJ$6:$AJ$505,"&gt;"&amp;$A85,実績!$AL$6:$AL$505,"○")&gt;0,1,0))</f>
        <v>0</v>
      </c>
      <c r="AE85" s="39" t="n">
        <f aca="false">IF(AE$4=0,0,IF(COUNTIFS(実績!$W$6:$W$505,AE$3,実績!$AI$6:$AI$505,"&lt;="&amp;$A85,実績!$AJ$6:$AJ$505,"&gt;"&amp;$A85,実績!$AL$6:$AL$505,"○")&gt;0,1,0))</f>
        <v>0</v>
      </c>
      <c r="AF85" s="39" t="n">
        <f aca="false">IF(AF$4=0,0,IF(COUNTIFS(実績!$W$6:$W$505,AF$3,実績!$AI$6:$AI$505,"&lt;="&amp;$A85,実績!$AJ$6:$AJ$505,"&gt;"&amp;$A85,実績!$AL$6:$AL$505,"○")&gt;0,1,0))</f>
        <v>0</v>
      </c>
      <c r="AG85" s="39" t="n">
        <f aca="false">IF(AG$4=0,0,IF(COUNTIFS(実績!$W$6:$W$505,AG$3,実績!$AI$6:$AI$505,"&lt;="&amp;$A85,実績!$AJ$6:$AJ$505,"&gt;"&amp;$A85,実績!$AL$6:$AL$505,"○")&gt;0,1,0))</f>
        <v>0</v>
      </c>
      <c r="AH85" s="39" t="n">
        <f aca="false">IF(AH$4=0,0,IF(COUNTIFS(実績!$W$6:$W$505,AH$3,実績!$AI$6:$AI$505,"&lt;="&amp;$A85,実績!$AJ$6:$AJ$505,"&gt;"&amp;$A85,実績!$AL$6:$AL$505,"○")&gt;0,1,0))</f>
        <v>0</v>
      </c>
      <c r="AI85" s="39" t="n">
        <f aca="false">IF(AI$4=0,0,IF(COUNTIFS(実績!$W$6:$W$505,AI$3,実績!$AI$6:$AI$505,"&lt;="&amp;$A85,実績!$AJ$6:$AJ$505,"&gt;"&amp;$A85,実績!$AL$6:$AL$505,"○")&gt;0,1,0))</f>
        <v>0</v>
      </c>
      <c r="AJ85" s="39" t="n">
        <f aca="false">IF(AJ$4=0,0,IF(COUNTIFS(実績!$W$6:$W$505,AJ$3,実績!$AI$6:$AI$505,"&lt;="&amp;$A85,実績!$AJ$6:$AJ$505,"&gt;"&amp;$A85,実績!$AL$6:$AL$505,"○")&gt;0,1,0))</f>
        <v>0</v>
      </c>
      <c r="AK85" s="39" t="n">
        <f aca="false">IF(AK$4=0,0,IF(COUNTIFS(実績!$W$6:$W$505,AK$3,実績!$AI$6:$AI$505,"&lt;="&amp;$A85,実績!$AJ$6:$AJ$505,"&gt;"&amp;$A85,実績!$AL$6:$AL$505,"○")&gt;0,1,0))</f>
        <v>0</v>
      </c>
      <c r="AL85" s="39" t="n">
        <f aca="false">IF(AL$4=0,0,IF(COUNTIFS(実績!$W$6:$W$505,AL$3,実績!$AI$6:$AI$505,"&lt;="&amp;$A85,実績!$AJ$6:$AJ$505,"&gt;"&amp;$A85,実績!$AL$6:$AL$505,"○")&gt;0,1,0))</f>
        <v>0</v>
      </c>
      <c r="AM85" s="39" t="n">
        <f aca="false">IF(AM$4=0,0,IF(COUNTIFS(実績!$W$6:$W$505,AM$3,実績!$AI$6:$AI$505,"&lt;="&amp;$A85,実績!$AJ$6:$AJ$505,"&gt;"&amp;$A85,実績!$AL$6:$AL$505,"○")&gt;0,1,0))</f>
        <v>0</v>
      </c>
      <c r="AN85" s="39" t="n">
        <f aca="false">IF(AN$4=0,0,IF(COUNTIFS(実績!$W$6:$W$505,AN$3,実績!$AI$6:$AI$505,"&lt;="&amp;$A85,実績!$AJ$6:$AJ$505,"&gt;"&amp;$A85,実績!$AL$6:$AL$505,"○")&gt;0,1,0))</f>
        <v>0</v>
      </c>
      <c r="AO85" s="39" t="n">
        <f aca="false">IF(AO$4=0,0,IF(COUNTIFS(実績!$W$6:$W$505,AO$3,実績!$AI$6:$AI$505,"&lt;="&amp;$A85,実績!$AJ$6:$AJ$505,"&gt;"&amp;$A85,実績!$AL$6:$AL$505,"○")&gt;0,1,0))</f>
        <v>0</v>
      </c>
      <c r="AP85" s="39" t="n">
        <f aca="false">IF(AP$4=0,0,IF(COUNTIFS(実績!$W$6:$W$505,AP$3,実績!$AI$6:$AI$505,"&lt;="&amp;$A85,実績!$AJ$6:$AJ$505,"&gt;"&amp;$A85,実績!$AL$6:$AL$505,"○")&gt;0,1,0))</f>
        <v>0</v>
      </c>
      <c r="AQ85" s="39" t="n">
        <f aca="false">IF(AQ$4=0,0,IF(COUNTIFS(実績!$W$6:$W$505,AQ$3,実績!$AI$6:$AI$505,"&lt;="&amp;$A85,実績!$AJ$6:$AJ$505,"&gt;"&amp;$A85,実績!$AL$6:$AL$505,"○")&gt;0,1,0))</f>
        <v>0</v>
      </c>
      <c r="AR85" s="39" t="n">
        <f aca="false">IF(AR$4=0,0,IF(COUNTIFS(実績!$W$6:$W$505,AR$3,実績!$AI$6:$AI$505,"&lt;="&amp;$A85,実績!$AJ$6:$AJ$505,"&gt;"&amp;$A85,実績!$AL$6:$AL$505,"○")&gt;0,1,0))</f>
        <v>0</v>
      </c>
      <c r="AS85" s="39" t="n">
        <f aca="false">IF(AS$4=0,0,IF(COUNTIFS(実績!$W$6:$W$505,AS$3,実績!$AI$6:$AI$505,"&lt;="&amp;$A85,実績!$AJ$6:$AJ$505,"&gt;"&amp;$A85,実績!$AL$6:$AL$505,"○")&gt;0,1,0))</f>
        <v>0</v>
      </c>
      <c r="AT85" s="39" t="n">
        <f aca="false">IF(AT$4=0,0,IF(COUNTIFS(実績!$W$6:$W$505,AT$3,実績!$AI$6:$AI$505,"&lt;="&amp;$A85,実績!$AJ$6:$AJ$505,"&gt;"&amp;$A85,実績!$AL$6:$AL$505,"○")&gt;0,1,0))</f>
        <v>0</v>
      </c>
      <c r="AU85" s="39" t="n">
        <f aca="false">IF(AU$4=0,0,IF(COUNTIFS(実績!$W$6:$W$505,AU$3,実績!$AI$6:$AI$505,"&lt;="&amp;$A85,実績!$AJ$6:$AJ$505,"&gt;"&amp;$A85,実績!$AL$6:$AL$505,"○")&gt;0,1,0))</f>
        <v>0</v>
      </c>
      <c r="AV85" s="39" t="n">
        <f aca="false">IF(AV$4=0,0,IF(COUNTIFS(実績!$W$6:$W$505,AV$3,実績!$AI$6:$AI$505,"&lt;="&amp;$A85,実績!$AJ$6:$AJ$505,"&gt;"&amp;$A85,実績!$AL$6:$AL$505,"○")&gt;0,1,0))</f>
        <v>0</v>
      </c>
      <c r="AW85" s="39" t="n">
        <f aca="false">IF(AW$4=0,0,IF(COUNTIFS(実績!$W$6:$W$505,AW$3,実績!$AI$6:$AI$505,"&lt;="&amp;$A85,実績!$AJ$6:$AJ$505,"&gt;"&amp;$A85,実績!$AL$6:$AL$505,"○")&gt;0,1,0))</f>
        <v>0</v>
      </c>
      <c r="AX85" s="39" t="n">
        <f aca="false">IF(AX$4=0,0,IF(COUNTIFS(実績!$W$6:$W$505,AX$3,実績!$AI$6:$AI$505,"&lt;="&amp;$A85,実績!$AJ$6:$AJ$505,"&gt;"&amp;$A85,実績!$AL$6:$AL$505,"○")&gt;0,1,0))</f>
        <v>0</v>
      </c>
      <c r="AY85" s="39" t="n">
        <f aca="false">IF(AY$4=0,0,IF(COUNTIFS(実績!$W$6:$W$505,AY$3,実績!$AI$6:$AI$505,"&lt;="&amp;$A85,実績!$AJ$6:$AJ$505,"&gt;"&amp;$A85,実績!$AL$6:$AL$505,"○")&gt;0,1,0))</f>
        <v>0</v>
      </c>
      <c r="AZ85" s="39" t="n">
        <f aca="false">IF(AZ$4=0,0,IF(COUNTIFS(実績!$W$6:$W$505,AZ$3,実績!$AI$6:$AI$505,"&lt;="&amp;$A85,実績!$AJ$6:$AJ$505,"&gt;"&amp;$A85,実績!$AL$6:$AL$505,"○")&gt;0,1,0))</f>
        <v>0</v>
      </c>
      <c r="BA85" s="39" t="n">
        <f aca="false">IF(BA$4=0,0,IF(COUNTIFS(実績!$W$6:$W$505,BA$3,実績!$AI$6:$AI$505,"&lt;="&amp;$A85,実績!$AJ$6:$AJ$505,"&gt;"&amp;$A85,実績!$AL$6:$AL$505,"○")&gt;0,1,0))</f>
        <v>0</v>
      </c>
      <c r="BB85" s="39" t="n">
        <f aca="false">IF(BB$4=0,0,IF(COUNTIFS(実績!$W$6:$W$505,BB$3,実績!$AI$6:$AI$505,"&lt;="&amp;$A85,実績!$AJ$6:$AJ$505,"&gt;"&amp;$A85,実績!$AL$6:$AL$505,"○")&gt;0,1,0))</f>
        <v>0</v>
      </c>
      <c r="BC85" s="39" t="n">
        <f aca="false">IF(BC$4=0,0,IF(COUNTIFS(実績!$W$6:$W$505,BC$3,実績!$AI$6:$AI$505,"&lt;="&amp;$A85,実績!$AJ$6:$AJ$505,"&gt;"&amp;$A85,実績!$AL$6:$AL$505,"○")&gt;0,1,0))</f>
        <v>0</v>
      </c>
      <c r="BD85" s="39" t="n">
        <f aca="false">IF(BD$4=0,0,IF(COUNTIFS(実績!$W$6:$W$505,BD$3,実績!$AI$6:$AI$505,"&lt;="&amp;$A85,実績!$AJ$6:$AJ$505,"&gt;"&amp;$A85,実績!$AL$6:$AL$505,"○")&gt;0,1,0))</f>
        <v>0</v>
      </c>
      <c r="BE85" s="39" t="n">
        <f aca="false">IF(BE$4=0,0,IF(COUNTIFS(実績!$W$6:$W$505,BE$3,実績!$AI$6:$AI$505,"&lt;="&amp;$A85,実績!$AJ$6:$AJ$505,"&gt;"&amp;$A85,実績!$AL$6:$AL$505,"○")&gt;0,1,0))</f>
        <v>0</v>
      </c>
      <c r="BF85" s="39" t="n">
        <f aca="false">IF(BF$4=0,0,IF(COUNTIFS(実績!$W$6:$W$505,BF$3,実績!$AI$6:$AI$505,"&lt;="&amp;$A85,実績!$AJ$6:$AJ$505,"&gt;"&amp;$A85,実績!$AL$6:$AL$505,"○")&gt;0,1,0))</f>
        <v>0</v>
      </c>
      <c r="BG85" s="39" t="n">
        <f aca="false">IF(BG$4=0,0,IF(COUNTIFS(実績!$W$6:$W$505,BG$3,実績!$AI$6:$AI$505,"&lt;="&amp;$A85,実績!$AJ$6:$AJ$505,"&gt;"&amp;$A85,実績!$AL$6:$AL$505,"○")&gt;0,1,0))</f>
        <v>0</v>
      </c>
      <c r="BH85" s="39" t="n">
        <f aca="false">IF(BH$4=0,0,IF(COUNTIFS(実績!$W$6:$W$505,BH$3,実績!$AI$6:$AI$505,"&lt;="&amp;$A85,実績!$AJ$6:$AJ$505,"&gt;"&amp;$A85,実績!$AL$6:$AL$505,"○")&gt;0,1,0))</f>
        <v>0</v>
      </c>
      <c r="BI85" s="39" t="n">
        <f aca="false">IF(BI$4=0,0,IF(COUNTIFS(実績!$W$6:$W$505,BI$3,実績!$AI$6:$AI$505,"&lt;="&amp;$A85,実績!$AJ$6:$AJ$505,"&gt;"&amp;$A85,実績!$AL$6:$AL$505,"○")&gt;0,1,0))</f>
        <v>0</v>
      </c>
      <c r="BJ85" s="39" t="n">
        <f aca="false">IF(BJ$4=0,0,IF(COUNTIFS(実績!$W$6:$W$505,BJ$3,実績!$AI$6:$AI$505,"&lt;="&amp;$A85,実績!$AJ$6:$AJ$505,"&gt;"&amp;$A85,実績!$AL$6:$AL$505,"○")&gt;0,1,0))</f>
        <v>0</v>
      </c>
      <c r="BK85" s="39" t="n">
        <f aca="false">IF(BK$4=0,0,IF(COUNTIFS(実績!$W$6:$W$505,BK$3,実績!$AI$6:$AI$505,"&lt;="&amp;$A85,実績!$AJ$6:$AJ$505,"&gt;"&amp;$A85,実績!$AL$6:$AL$505,"○")&gt;0,1,0))</f>
        <v>0</v>
      </c>
      <c r="BL85" s="39" t="n">
        <f aca="false">IF(BL$4=0,0,IF(COUNTIFS(実績!$W$6:$W$505,BL$3,実績!$AI$6:$AI$505,"&lt;="&amp;$A85,実績!$AJ$6:$AJ$505,"&gt;"&amp;$A85,実績!$AL$6:$AL$505,"○")&gt;0,1,0))</f>
        <v>0</v>
      </c>
      <c r="BM85" s="39" t="n">
        <f aca="false">IF(BM$4=0,0,IF(COUNTIFS(実績!$W$6:$W$505,BM$3,実績!$AI$6:$AI$505,"&lt;="&amp;$A85,実績!$AJ$6:$AJ$505,"&gt;"&amp;$A85,実績!$AL$6:$AL$505,"○")&gt;0,1,0))</f>
        <v>0</v>
      </c>
      <c r="BN85" s="39" t="n">
        <f aca="false">IF(BN$4=0,0,IF(COUNTIFS(実績!$W$6:$W$505,BN$3,実績!$AI$6:$AI$505,"&lt;="&amp;$A85,実績!$AJ$6:$AJ$505,"&gt;"&amp;$A85,実績!$AL$6:$AL$505,"○")&gt;0,1,0))</f>
        <v>0</v>
      </c>
      <c r="BO85" s="39" t="n">
        <f aca="false">IF(BO$4=0,0,IF(COUNTIFS(実績!$W$6:$W$505,BO$3,実績!$AI$6:$AI$505,"&lt;="&amp;$A85,実績!$AJ$6:$AJ$505,"&gt;"&amp;$A85,実績!$AL$6:$AL$505,"○")&gt;0,1,0))</f>
        <v>0</v>
      </c>
      <c r="BP85" s="39" t="n">
        <f aca="false">IF(BP$4=0,0,IF(COUNTIFS(実績!$W$6:$W$505,BP$3,実績!$AI$6:$AI$505,"&lt;="&amp;$A85,実績!$AJ$6:$AJ$505,"&gt;"&amp;$A85,実績!$AL$6:$AL$505,"○")&gt;0,1,0))</f>
        <v>0</v>
      </c>
      <c r="BQ85" s="39" t="n">
        <f aca="false">IF(BQ$4=0,0,IF(COUNTIFS(実績!$W$6:$W$505,BQ$3,実績!$AI$6:$AI$505,"&lt;="&amp;$A85,実績!$AJ$6:$AJ$505,"&gt;"&amp;$A85,実績!$AL$6:$AL$505,"○")&gt;0,1,0))</f>
        <v>0</v>
      </c>
      <c r="BR85" s="39" t="n">
        <f aca="false">IF(BR$4=0,0,IF(COUNTIFS(実績!$W$6:$W$505,BR$3,実績!$AI$6:$AI$505,"&lt;="&amp;$A85,実績!$AJ$6:$AJ$505,"&gt;"&amp;$A85,実績!$AL$6:$AL$505,"○")&gt;0,1,0))</f>
        <v>0</v>
      </c>
      <c r="BS85" s="39" t="n">
        <f aca="false">IF(BS$4=0,0,IF(COUNTIFS(実績!$W$6:$W$505,BS$3,実績!$AI$6:$AI$505,"&lt;="&amp;$A85,実績!$AJ$6:$AJ$505,"&gt;"&amp;$A85,実績!$AL$6:$AL$505,"○")&gt;0,1,0))</f>
        <v>0</v>
      </c>
      <c r="BT85" s="39" t="n">
        <f aca="false">IF(BT$4=0,0,IF(COUNTIFS(実績!$W$6:$W$505,BT$3,実績!$AI$6:$AI$505,"&lt;="&amp;$A85,実績!$AJ$6:$AJ$505,"&gt;"&amp;$A85,実績!$AL$6:$AL$505,"○")&gt;0,1,0))</f>
        <v>0</v>
      </c>
      <c r="BU85" s="39" t="n">
        <f aca="false">IF(BU$4=0,0,IF(COUNTIFS(実績!$W$6:$W$505,BU$3,実績!$AI$6:$AI$505,"&lt;="&amp;$A85,実績!$AJ$6:$AJ$505,"&gt;"&amp;$A85,実績!$AL$6:$AL$505,"○")&gt;0,1,0))</f>
        <v>0</v>
      </c>
      <c r="BV85" s="39" t="n">
        <f aca="false">IF(BV$4=0,0,IF(COUNTIFS(実績!$W$6:$W$505,BV$3,実績!$AI$6:$AI$505,"&lt;="&amp;$A85,実績!$AJ$6:$AJ$505,"&gt;"&amp;$A85,実績!$AL$6:$AL$505,"○")&gt;0,1,0))</f>
        <v>0</v>
      </c>
      <c r="BW85" s="39" t="n">
        <f aca="false">IF(BW$4=0,0,IF(COUNTIFS(実績!$W$6:$W$505,BW$3,実績!$AI$6:$AI$505,"&lt;="&amp;$A85,実績!$AJ$6:$AJ$505,"&gt;"&amp;$A85,実績!$AL$6:$AL$505,"○")&gt;0,1,0))</f>
        <v>0</v>
      </c>
      <c r="BX85" s="39" t="n">
        <f aca="false">IF(BX$4=0,0,IF(COUNTIFS(実績!$W$6:$W$505,BX$3,実績!$AI$6:$AI$505,"&lt;="&amp;$A85,実績!$AJ$6:$AJ$505,"&gt;"&amp;$A85,実績!$AL$6:$AL$505,"○")&gt;0,1,0))</f>
        <v>0</v>
      </c>
      <c r="BY85" s="39" t="n">
        <f aca="false">IF(BY$4=0,0,IF(COUNTIFS(実績!$W$6:$W$505,BY$3,実績!$AI$6:$AI$505,"&lt;="&amp;$A85,実績!$AJ$6:$AJ$505,"&gt;"&amp;$A85,実績!$AL$6:$AL$505,"○")&gt;0,1,0))</f>
        <v>0</v>
      </c>
      <c r="BZ85" s="39" t="n">
        <f aca="false">IF(BZ$4=0,0,IF(COUNTIFS(実績!$W$6:$W$505,BZ$3,実績!$AI$6:$AI$505,"&lt;="&amp;$A85,実績!$AJ$6:$AJ$505,"&gt;"&amp;$A85,実績!$AL$6:$AL$505,"○")&gt;0,1,0))</f>
        <v>0</v>
      </c>
      <c r="CA85" s="39" t="n">
        <f aca="false">IF(CA$4=0,0,IF(COUNTIFS(実績!$W$6:$W$505,CA$3,実績!$AI$6:$AI$505,"&lt;="&amp;$A85,実績!$AJ$6:$AJ$505,"&gt;"&amp;$A85,実績!$AL$6:$AL$505,"○")&gt;0,1,0))</f>
        <v>0</v>
      </c>
      <c r="CB85" s="39" t="n">
        <f aca="false">IF(CB$4=0,0,IF(COUNTIFS(実績!$W$6:$W$505,CB$3,実績!$AI$6:$AI$505,"&lt;="&amp;$A85,実績!$AJ$6:$AJ$505,"&gt;"&amp;$A85,実績!$AL$6:$AL$505,"○")&gt;0,1,0))</f>
        <v>0</v>
      </c>
      <c r="CC85" s="39" t="n">
        <f aca="false">IF(CC$4=0,0,IF(COUNTIFS(実績!$W$6:$W$505,CC$3,実績!$AI$6:$AI$505,"&lt;="&amp;$A85,実績!$AJ$6:$AJ$505,"&gt;"&amp;$A85,実績!$AL$6:$AL$505,"○")&gt;0,1,0))</f>
        <v>0</v>
      </c>
      <c r="CD85" s="39" t="n">
        <f aca="false">IF(CD$4=0,0,IF(COUNTIFS(実績!$W$6:$W$505,CD$3,実績!$AI$6:$AI$505,"&lt;="&amp;$A85,実績!$AJ$6:$AJ$505,"&gt;"&amp;$A85,実績!$AL$6:$AL$505,"○")&gt;0,1,0))</f>
        <v>0</v>
      </c>
      <c r="CE85" s="39" t="n">
        <f aca="false">IF(CE$4=0,0,IF(COUNTIFS(実績!$W$6:$W$505,CE$3,実績!$AI$6:$AI$505,"&lt;="&amp;$A85,実績!$AJ$6:$AJ$505,"&gt;"&amp;$A85,実績!$AL$6:$AL$505,"○")&gt;0,1,0))</f>
        <v>0</v>
      </c>
      <c r="CF85" s="39" t="n">
        <f aca="false">IF(CF$4=0,0,IF(COUNTIFS(実績!$W$6:$W$505,CF$3,実績!$AI$6:$AI$505,"&lt;="&amp;$A85,実績!$AJ$6:$AJ$505,"&gt;"&amp;$A85,実績!$AL$6:$AL$505,"○")&gt;0,1,0))</f>
        <v>0</v>
      </c>
      <c r="CG85" s="39" t="n">
        <f aca="false">IF(CG$4=0,0,IF(COUNTIFS(実績!$W$6:$W$505,CG$3,実績!$AI$6:$AI$505,"&lt;="&amp;$A85,実績!$AJ$6:$AJ$505,"&gt;"&amp;$A85,実績!$AL$6:$AL$505,"○")&gt;0,1,0))</f>
        <v>0</v>
      </c>
      <c r="CH85" s="39" t="n">
        <f aca="false">IF(CH$4=0,0,IF(COUNTIFS(実績!$W$6:$W$505,CH$3,実績!$AI$6:$AI$505,"&lt;="&amp;$A85,実績!$AJ$6:$AJ$505,"&gt;"&amp;$A85,実績!$AL$6:$AL$505,"○")&gt;0,1,0))</f>
        <v>0</v>
      </c>
      <c r="CI85" s="39" t="n">
        <f aca="false">IF(CI$4=0,0,IF(COUNTIFS(実績!$W$6:$W$505,CI$3,実績!$AI$6:$AI$505,"&lt;="&amp;$A85,実績!$AJ$6:$AJ$505,"&gt;"&amp;$A85,実績!$AL$6:$AL$505,"○")&gt;0,1,0))</f>
        <v>0</v>
      </c>
      <c r="CJ85" s="39" t="n">
        <f aca="false">IF(CJ$4=0,0,IF(COUNTIFS(実績!$W$6:$W$505,CJ$3,実績!$AI$6:$AI$505,"&lt;="&amp;$A85,実績!$AJ$6:$AJ$505,"&gt;"&amp;$A85,実績!$AL$6:$AL$505,"○")&gt;0,1,0))</f>
        <v>0</v>
      </c>
      <c r="CK85" s="39" t="n">
        <f aca="false">IF(CK$4=0,0,IF(COUNTIFS(実績!$W$6:$W$505,CK$3,実績!$AI$6:$AI$505,"&lt;="&amp;$A85,実績!$AJ$6:$AJ$505,"&gt;"&amp;$A85,実績!$AL$6:$AL$505,"○")&gt;0,1,0))</f>
        <v>0</v>
      </c>
      <c r="CL85" s="39" t="n">
        <f aca="false">IF(CL$4=0,0,IF(COUNTIFS(実績!$W$6:$W$505,CL$3,実績!$AI$6:$AI$505,"&lt;="&amp;$A85,実績!$AJ$6:$AJ$505,"&gt;"&amp;$A85,実績!$AL$6:$AL$505,"○")&gt;0,1,0))</f>
        <v>0</v>
      </c>
      <c r="CM85" s="39" t="n">
        <f aca="false">IF(CM$4=0,0,IF(COUNTIFS(実績!$W$6:$W$505,CM$3,実績!$AI$6:$AI$505,"&lt;="&amp;$A85,実績!$AJ$6:$AJ$505,"&gt;"&amp;$A85,実績!$AL$6:$AL$505,"○")&gt;0,1,0))</f>
        <v>0</v>
      </c>
      <c r="CN85" s="39" t="n">
        <f aca="false">IF(CN$4=0,0,IF(COUNTIFS(実績!$W$6:$W$505,CN$3,実績!$AI$6:$AI$505,"&lt;="&amp;$A85,実績!$AJ$6:$AJ$505,"&gt;"&amp;$A85,実績!$AL$6:$AL$505,"○")&gt;0,1,0))</f>
        <v>0</v>
      </c>
      <c r="CO85" s="39" t="n">
        <f aca="false">IF(CO$4=0,0,IF(COUNTIFS(実績!$W$6:$W$505,CO$3,実績!$AI$6:$AI$505,"&lt;="&amp;$A85,実績!$AJ$6:$AJ$505,"&gt;"&amp;$A85,実績!$AL$6:$AL$505,"○")&gt;0,1,0))</f>
        <v>0</v>
      </c>
      <c r="CP85" s="39" t="n">
        <f aca="false">IF(CP$4=0,0,IF(COUNTIFS(実績!$W$6:$W$505,CP$3,実績!$AI$6:$AI$505,"&lt;="&amp;$A85,実績!$AJ$6:$AJ$505,"&gt;"&amp;$A85,実績!$AL$6:$AL$505,"○")&gt;0,1,0))</f>
        <v>0</v>
      </c>
      <c r="CQ85" s="39" t="n">
        <f aca="false">IF(CQ$4=0,0,IF(COUNTIFS(実績!$W$6:$W$505,CQ$3,実績!$AI$6:$AI$505,"&lt;="&amp;$A85,実績!$AJ$6:$AJ$505,"&gt;"&amp;$A85,実績!$AL$6:$AL$505,"○")&gt;0,1,0))</f>
        <v>0</v>
      </c>
      <c r="CR85" s="39" t="n">
        <f aca="false">IF(CR$4=0,0,IF(COUNTIFS(実績!$W$6:$W$505,CR$3,実績!$AI$6:$AI$505,"&lt;="&amp;$A85,実績!$AJ$6:$AJ$505,"&gt;"&amp;$A85,実績!$AL$6:$AL$505,"○")&gt;0,1,0))</f>
        <v>0</v>
      </c>
      <c r="CS85" s="39" t="n">
        <f aca="false">IF(CS$4=0,0,IF(COUNTIFS(実績!$W$6:$W$505,CS$3,実績!$AI$6:$AI$505,"&lt;="&amp;$A85,実績!$AJ$6:$AJ$505,"&gt;"&amp;$A85,実績!$AL$6:$AL$505,"○")&gt;0,1,0))</f>
        <v>0</v>
      </c>
      <c r="CT85" s="39" t="n">
        <f aca="false">IF(CT$4=0,0,IF(COUNTIFS(実績!$W$6:$W$505,CT$3,実績!$AI$6:$AI$505,"&lt;="&amp;$A85,実績!$AJ$6:$AJ$505,"&gt;"&amp;$A85,実績!$AL$6:$AL$505,"○")&gt;0,1,0))</f>
        <v>0</v>
      </c>
      <c r="CU85" s="39" t="n">
        <f aca="false">IF(CU$4=0,0,IF(COUNTIFS(実績!$W$6:$W$505,CU$3,実績!$AI$6:$AI$505,"&lt;="&amp;$A85,実績!$AJ$6:$AJ$505,"&gt;"&amp;$A85,実績!$AL$6:$AL$505,"○")&gt;0,1,0))</f>
        <v>0</v>
      </c>
      <c r="CV85" s="39" t="n">
        <f aca="false">IF(CV$4=0,0,IF(COUNTIFS(実績!$W$6:$W$505,CV$3,実績!$AI$6:$AI$505,"&lt;="&amp;$A85,実績!$AJ$6:$AJ$505,"&gt;"&amp;$A85,実績!$AL$6:$AL$505,"○")&gt;0,1,0))</f>
        <v>0</v>
      </c>
      <c r="CW85" s="39" t="n">
        <f aca="false">IF(CW$4=0,0,IF(COUNTIFS(実績!$W$6:$W$505,CW$3,実績!$AI$6:$AI$505,"&lt;="&amp;$A85,実績!$AJ$6:$AJ$505,"&gt;"&amp;$A85,実績!$AL$6:$AL$505,"○")&gt;0,1,0))</f>
        <v>0</v>
      </c>
      <c r="CX85" s="39" t="n">
        <f aca="false">IF(CX$4=0,0,IF(COUNTIFS(実績!$W$6:$W$505,CX$3,実績!$AI$6:$AI$505,"&lt;="&amp;$A85,実績!$AJ$6:$AJ$505,"&gt;"&amp;$A85,実績!$AL$6:$AL$505,"○")&gt;0,1,0))</f>
        <v>0</v>
      </c>
      <c r="CY85" s="39" t="n">
        <f aca="false">IF(CY$4=0,0,IF(COUNTIFS(実績!$W$6:$W$505,CY$3,実績!$AI$6:$AI$505,"&lt;="&amp;$A85,実績!$AJ$6:$AJ$505,"&gt;"&amp;$A85,実績!$AL$6:$AL$505,"○")&gt;0,1,0))</f>
        <v>0</v>
      </c>
      <c r="CZ85" s="39" t="n">
        <f aca="false">IF(CZ$4=0,0,IF(COUNTIFS(実績!$W$6:$W$505,CZ$3,実績!$AI$6:$AI$505,"&lt;="&amp;$A85,実績!$AJ$6:$AJ$505,"&gt;"&amp;$A85,実績!$AL$6:$AL$505,"○")&gt;0,1,0))</f>
        <v>0</v>
      </c>
      <c r="DA85" s="39" t="n">
        <f aca="false">IF(DA$4=0,0,IF(COUNTIFS(実績!$W$6:$W$505,DA$3,実績!$AI$6:$AI$505,"&lt;="&amp;$A85,実績!$AJ$6:$AJ$505,"&gt;"&amp;$A85,実績!$AL$6:$AL$505,"○")&gt;0,1,0))</f>
        <v>0</v>
      </c>
      <c r="DB85" s="39" t="n">
        <f aca="false">IF(DB$4=0,0,IF(COUNTIFS(実績!$W$6:$W$505,DB$3,実績!$AI$6:$AI$505,"&lt;="&amp;$A85,実績!$AJ$6:$AJ$505,"&gt;"&amp;$A85,実績!$AL$6:$AL$505,"○")&gt;0,1,0))</f>
        <v>0</v>
      </c>
      <c r="DC85" s="39" t="n">
        <f aca="false">IF(DC$4=0,0,IF(COUNTIFS(実績!$W$6:$W$505,DC$3,実績!$AI$6:$AI$505,"&lt;="&amp;$A85,実績!$AJ$6:$AJ$505,"&gt;"&amp;$A85,実績!$AL$6:$AL$505,"○")&gt;0,1,0))</f>
        <v>0</v>
      </c>
      <c r="DD85" s="39" t="n">
        <f aca="false">IF(DD$4=0,0,IF(COUNTIFS(実績!$W$6:$W$505,DD$3,実績!$AI$6:$AI$505,"&lt;="&amp;$A85,実績!$AJ$6:$AJ$505,"&gt;"&amp;$A85,実績!$AL$6:$AL$505,"○")&gt;0,1,0))</f>
        <v>0</v>
      </c>
      <c r="DE85" s="39" t="n">
        <f aca="false">IF(DE$4=0,0,IF(COUNTIFS(実績!$W$6:$W$505,DE$3,実績!$AI$6:$AI$505,"&lt;="&amp;$A85,実績!$AJ$6:$AJ$505,"&gt;"&amp;$A85,実績!$AL$6:$AL$505,"○")&gt;0,1,0))</f>
        <v>0</v>
      </c>
      <c r="DF85" s="39" t="n">
        <f aca="false">IF(DF$4=0,0,IF(COUNTIFS(実績!$W$6:$W$505,DF$3,実績!$AI$6:$AI$505,"&lt;="&amp;$A85,実績!$AJ$6:$AJ$505,"&gt;"&amp;$A85,実績!$AL$6:$AL$505,"○")&gt;0,1,0))</f>
        <v>0</v>
      </c>
      <c r="DG85" s="39" t="n">
        <f aca="false">IF(DG$4=0,0,IF(COUNTIFS(実績!$W$6:$W$505,DG$3,実績!$AI$6:$AI$505,"&lt;="&amp;$A85,実績!$AJ$6:$AJ$505,"&gt;"&amp;$A85,実績!$AL$6:$AL$505,"○")&gt;0,1,0))</f>
        <v>0</v>
      </c>
      <c r="DH85" s="39" t="n">
        <f aca="false">IF(DH$4=0,0,IF(COUNTIFS(実績!$W$6:$W$505,DH$3,実績!$AI$6:$AI$505,"&lt;="&amp;$A85,実績!$AJ$6:$AJ$505,"&gt;"&amp;$A85,実績!$AL$6:$AL$505,"○")&gt;0,1,0))</f>
        <v>0</v>
      </c>
      <c r="DI85" s="39" t="n">
        <f aca="false">IF(DI$4=0,0,IF(COUNTIFS(実績!$W$6:$W$505,DI$3,実績!$AI$6:$AI$505,"&lt;="&amp;$A85,実績!$AJ$6:$AJ$505,"&gt;"&amp;$A85,実績!$AL$6:$AL$505,"○")&gt;0,1,0))</f>
        <v>0</v>
      </c>
      <c r="DJ85" s="39" t="n">
        <f aca="false">IF(DJ$4=0,0,IF(COUNTIFS(実績!$W$6:$W$505,DJ$3,実績!$AI$6:$AI$505,"&lt;="&amp;$A85,実績!$AJ$6:$AJ$505,"&gt;"&amp;$A85,実績!$AL$6:$AL$505,"○")&gt;0,1,0))</f>
        <v>0</v>
      </c>
      <c r="DK85" s="39" t="n">
        <f aca="false">IF(DK$4=0,0,IF(COUNTIFS(実績!$W$6:$W$505,DK$3,実績!$AI$6:$AI$505,"&lt;="&amp;$A85,実績!$AJ$6:$AJ$505,"&gt;"&amp;$A85,実績!$AL$6:$AL$505,"○")&gt;0,1,0))</f>
        <v>0</v>
      </c>
      <c r="DL85" s="39" t="n">
        <f aca="false">IF(DL$4=0,0,IF(COUNTIFS(実績!$W$6:$W$505,DL$3,実績!$AI$6:$AI$505,"&lt;="&amp;$A85,実績!$AJ$6:$AJ$505,"&gt;"&amp;$A85,実績!$AL$6:$AL$505,"○")&gt;0,1,0))</f>
        <v>0</v>
      </c>
      <c r="DM85" s="39" t="n">
        <f aca="false">IF(DM$4=0,0,IF(COUNTIFS(実績!$W$6:$W$505,DM$3,実績!$AI$6:$AI$505,"&lt;="&amp;$A85,実績!$AJ$6:$AJ$505,"&gt;"&amp;$A85,実績!$AL$6:$AL$505,"○")&gt;0,1,0))</f>
        <v>0</v>
      </c>
      <c r="DN85" s="39" t="n">
        <f aca="false">IF(DN$4=0,0,IF(COUNTIFS(実績!$W$6:$W$505,DN$3,実績!$AI$6:$AI$505,"&lt;="&amp;$A85,実績!$AJ$6:$AJ$505,"&gt;"&amp;$A85,実績!$AL$6:$AL$505,"○")&gt;0,1,0))</f>
        <v>0</v>
      </c>
      <c r="DO85" s="39" t="n">
        <f aca="false">IF(DO$4=0,0,IF(COUNTIFS(実績!$W$6:$W$505,DO$3,実績!$AI$6:$AI$505,"&lt;="&amp;$A85,実績!$AJ$6:$AJ$505,"&gt;"&amp;$A85,実績!$AL$6:$AL$505,"○")&gt;0,1,0))</f>
        <v>0</v>
      </c>
      <c r="DP85" s="39" t="n">
        <f aca="false">IF(DP$4=0,0,IF(COUNTIFS(実績!$W$6:$W$505,DP$3,実績!$AI$6:$AI$505,"&lt;="&amp;$A85,実績!$AJ$6:$AJ$505,"&gt;"&amp;$A85,実績!$AL$6:$AL$505,"○")&gt;0,1,0))</f>
        <v>0</v>
      </c>
      <c r="DQ85" s="39" t="n">
        <f aca="false">IF(DQ$4=0,0,IF(COUNTIFS(実績!$W$6:$W$505,DQ$3,実績!$AI$6:$AI$505,"&lt;="&amp;$A85,実績!$AJ$6:$AJ$505,"&gt;"&amp;$A85,実績!$AL$6:$AL$505,"○")&gt;0,1,0))</f>
        <v>0</v>
      </c>
      <c r="DR85" s="39" t="n">
        <f aca="false">IF(DR$4=0,0,IF(COUNTIFS(実績!$W$6:$W$505,DR$3,実績!$AI$6:$AI$505,"&lt;="&amp;$A85,実績!$AJ$6:$AJ$505,"&gt;"&amp;$A85,実績!$AL$6:$AL$505,"○")&gt;0,1,0))</f>
        <v>0</v>
      </c>
      <c r="DS85" s="39" t="n">
        <f aca="false">SUM(C85:DR85)</f>
        <v>0</v>
      </c>
    </row>
    <row r="86" customFormat="false" ht="15" hidden="false" customHeight="false" outlineLevel="0" collapsed="false">
      <c r="A86" s="0" t="n">
        <v>400</v>
      </c>
      <c r="B86" s="38" t="n">
        <f aca="false">A86/1440</f>
        <v>0.277777777777778</v>
      </c>
      <c r="C86" s="39" t="n">
        <f aca="false">IF(C$4=0,0,IF(COUNTIFS(実績!$W$6:$W$505,C$3,実績!$AI$6:$AI$505,"&lt;="&amp;$A86,実績!$AJ$6:$AJ$505,"&gt;"&amp;$A86,実績!$AL$6:$AL$505,"○")&gt;0,1,0))</f>
        <v>0</v>
      </c>
      <c r="D86" s="39" t="n">
        <f aca="false">IF(D$4=0,0,IF(COUNTIFS(実績!$W$6:$W$505,D$3,実績!$AI$6:$AI$505,"&lt;="&amp;$A86,実績!$AJ$6:$AJ$505,"&gt;"&amp;$A86,実績!$AL$6:$AL$505,"○")&gt;0,1,0))</f>
        <v>0</v>
      </c>
      <c r="E86" s="39" t="n">
        <f aca="false">IF(E$4=0,0,IF(COUNTIFS(実績!$W$6:$W$505,E$3,実績!$AI$6:$AI$505,"&lt;="&amp;$A86,実績!$AJ$6:$AJ$505,"&gt;"&amp;$A86,実績!$AL$6:$AL$505,"○")&gt;0,1,0))</f>
        <v>0</v>
      </c>
      <c r="F86" s="39" t="n">
        <f aca="false">IF(F$4=0,0,IF(COUNTIFS(実績!$W$6:$W$505,F$3,実績!$AI$6:$AI$505,"&lt;="&amp;$A86,実績!$AJ$6:$AJ$505,"&gt;"&amp;$A86,実績!$AL$6:$AL$505,"○")&gt;0,1,0))</f>
        <v>0</v>
      </c>
      <c r="G86" s="39" t="n">
        <f aca="false">IF(G$4=0,0,IF(COUNTIFS(実績!$W$6:$W$505,G$3,実績!$AI$6:$AI$505,"&lt;="&amp;$A86,実績!$AJ$6:$AJ$505,"&gt;"&amp;$A86,実績!$AL$6:$AL$505,"○")&gt;0,1,0))</f>
        <v>0</v>
      </c>
      <c r="H86" s="39" t="n">
        <f aca="false">IF(H$4=0,0,IF(COUNTIFS(実績!$W$6:$W$505,H$3,実績!$AI$6:$AI$505,"&lt;="&amp;$A86,実績!$AJ$6:$AJ$505,"&gt;"&amp;$A86,実績!$AL$6:$AL$505,"○")&gt;0,1,0))</f>
        <v>0</v>
      </c>
      <c r="I86" s="39" t="n">
        <f aca="false">IF(I$4=0,0,IF(COUNTIFS(実績!$W$6:$W$505,I$3,実績!$AI$6:$AI$505,"&lt;="&amp;$A86,実績!$AJ$6:$AJ$505,"&gt;"&amp;$A86,実績!$AL$6:$AL$505,"○")&gt;0,1,0))</f>
        <v>0</v>
      </c>
      <c r="J86" s="39" t="n">
        <f aca="false">IF(J$4=0,0,IF(COUNTIFS(実績!$W$6:$W$505,J$3,実績!$AI$6:$AI$505,"&lt;="&amp;$A86,実績!$AJ$6:$AJ$505,"&gt;"&amp;$A86,実績!$AL$6:$AL$505,"○")&gt;0,1,0))</f>
        <v>0</v>
      </c>
      <c r="K86" s="39" t="n">
        <f aca="false">IF(K$4=0,0,IF(COUNTIFS(実績!$W$6:$W$505,K$3,実績!$AI$6:$AI$505,"&lt;="&amp;$A86,実績!$AJ$6:$AJ$505,"&gt;"&amp;$A86,実績!$AL$6:$AL$505,"○")&gt;0,1,0))</f>
        <v>0</v>
      </c>
      <c r="L86" s="39" t="n">
        <f aca="false">IF(L$4=0,0,IF(COUNTIFS(実績!$W$6:$W$505,L$3,実績!$AI$6:$AI$505,"&lt;="&amp;$A86,実績!$AJ$6:$AJ$505,"&gt;"&amp;$A86,実績!$AL$6:$AL$505,"○")&gt;0,1,0))</f>
        <v>0</v>
      </c>
      <c r="M86" s="39" t="n">
        <f aca="false">IF(M$4=0,0,IF(COUNTIFS(実績!$W$6:$W$505,M$3,実績!$AI$6:$AI$505,"&lt;="&amp;$A86,実績!$AJ$6:$AJ$505,"&gt;"&amp;$A86,実績!$AL$6:$AL$505,"○")&gt;0,1,0))</f>
        <v>0</v>
      </c>
      <c r="N86" s="39" t="n">
        <f aca="false">IF(N$4=0,0,IF(COUNTIFS(実績!$W$6:$W$505,N$3,実績!$AI$6:$AI$505,"&lt;="&amp;$A86,実績!$AJ$6:$AJ$505,"&gt;"&amp;$A86,実績!$AL$6:$AL$505,"○")&gt;0,1,0))</f>
        <v>0</v>
      </c>
      <c r="O86" s="39" t="n">
        <f aca="false">IF(O$4=0,0,IF(COUNTIFS(実績!$W$6:$W$505,O$3,実績!$AI$6:$AI$505,"&lt;="&amp;$A86,実績!$AJ$6:$AJ$505,"&gt;"&amp;$A86,実績!$AL$6:$AL$505,"○")&gt;0,1,0))</f>
        <v>0</v>
      </c>
      <c r="P86" s="39" t="n">
        <f aca="false">IF(P$4=0,0,IF(COUNTIFS(実績!$W$6:$W$505,P$3,実績!$AI$6:$AI$505,"&lt;="&amp;$A86,実績!$AJ$6:$AJ$505,"&gt;"&amp;$A86,実績!$AL$6:$AL$505,"○")&gt;0,1,0))</f>
        <v>0</v>
      </c>
      <c r="Q86" s="39" t="n">
        <f aca="false">IF(Q$4=0,0,IF(COUNTIFS(実績!$W$6:$W$505,Q$3,実績!$AI$6:$AI$505,"&lt;="&amp;$A86,実績!$AJ$6:$AJ$505,"&gt;"&amp;$A86,実績!$AL$6:$AL$505,"○")&gt;0,1,0))</f>
        <v>0</v>
      </c>
      <c r="R86" s="39" t="n">
        <f aca="false">IF(R$4=0,0,IF(COUNTIFS(実績!$W$6:$W$505,R$3,実績!$AI$6:$AI$505,"&lt;="&amp;$A86,実績!$AJ$6:$AJ$505,"&gt;"&amp;$A86,実績!$AL$6:$AL$505,"○")&gt;0,1,0))</f>
        <v>0</v>
      </c>
      <c r="S86" s="39" t="n">
        <f aca="false">IF(S$4=0,0,IF(COUNTIFS(実績!$W$6:$W$505,S$3,実績!$AI$6:$AI$505,"&lt;="&amp;$A86,実績!$AJ$6:$AJ$505,"&gt;"&amp;$A86,実績!$AL$6:$AL$505,"○")&gt;0,1,0))</f>
        <v>0</v>
      </c>
      <c r="T86" s="39" t="n">
        <f aca="false">IF(T$4=0,0,IF(COUNTIFS(実績!$W$6:$W$505,T$3,実績!$AI$6:$AI$505,"&lt;="&amp;$A86,実績!$AJ$6:$AJ$505,"&gt;"&amp;$A86,実績!$AL$6:$AL$505,"○")&gt;0,1,0))</f>
        <v>0</v>
      </c>
      <c r="U86" s="39" t="n">
        <f aca="false">IF(U$4=0,0,IF(COUNTIFS(実績!$W$6:$W$505,U$3,実績!$AI$6:$AI$505,"&lt;="&amp;$A86,実績!$AJ$6:$AJ$505,"&gt;"&amp;$A86,実績!$AL$6:$AL$505,"○")&gt;0,1,0))</f>
        <v>0</v>
      </c>
      <c r="V86" s="39" t="n">
        <f aca="false">IF(V$4=0,0,IF(COUNTIFS(実績!$W$6:$W$505,V$3,実績!$AI$6:$AI$505,"&lt;="&amp;$A86,実績!$AJ$6:$AJ$505,"&gt;"&amp;$A86,実績!$AL$6:$AL$505,"○")&gt;0,1,0))</f>
        <v>0</v>
      </c>
      <c r="W86" s="39" t="n">
        <f aca="false">IF(W$4=0,0,IF(COUNTIFS(実績!$W$6:$W$505,W$3,実績!$AI$6:$AI$505,"&lt;="&amp;$A86,実績!$AJ$6:$AJ$505,"&gt;"&amp;$A86,実績!$AL$6:$AL$505,"○")&gt;0,1,0))</f>
        <v>0</v>
      </c>
      <c r="X86" s="39" t="n">
        <f aca="false">IF(X$4=0,0,IF(COUNTIFS(実績!$W$6:$W$505,X$3,実績!$AI$6:$AI$505,"&lt;="&amp;$A86,実績!$AJ$6:$AJ$505,"&gt;"&amp;$A86,実績!$AL$6:$AL$505,"○")&gt;0,1,0))</f>
        <v>0</v>
      </c>
      <c r="Y86" s="39" t="n">
        <f aca="false">IF(Y$4=0,0,IF(COUNTIFS(実績!$W$6:$W$505,Y$3,実績!$AI$6:$AI$505,"&lt;="&amp;$A86,実績!$AJ$6:$AJ$505,"&gt;"&amp;$A86,実績!$AL$6:$AL$505,"○")&gt;0,1,0))</f>
        <v>0</v>
      </c>
      <c r="Z86" s="39" t="n">
        <f aca="false">IF(Z$4=0,0,IF(COUNTIFS(実績!$W$6:$W$505,Z$3,実績!$AI$6:$AI$505,"&lt;="&amp;$A86,実績!$AJ$6:$AJ$505,"&gt;"&amp;$A86,実績!$AL$6:$AL$505,"○")&gt;0,1,0))</f>
        <v>0</v>
      </c>
      <c r="AA86" s="39" t="n">
        <f aca="false">IF(AA$4=0,0,IF(COUNTIFS(実績!$W$6:$W$505,AA$3,実績!$AI$6:$AI$505,"&lt;="&amp;$A86,実績!$AJ$6:$AJ$505,"&gt;"&amp;$A86,実績!$AL$6:$AL$505,"○")&gt;0,1,0))</f>
        <v>0</v>
      </c>
      <c r="AB86" s="39" t="n">
        <f aca="false">IF(AB$4=0,0,IF(COUNTIFS(実績!$W$6:$W$505,AB$3,実績!$AI$6:$AI$505,"&lt;="&amp;$A86,実績!$AJ$6:$AJ$505,"&gt;"&amp;$A86,実績!$AL$6:$AL$505,"○")&gt;0,1,0))</f>
        <v>0</v>
      </c>
      <c r="AC86" s="39" t="n">
        <f aca="false">IF(AC$4=0,0,IF(COUNTIFS(実績!$W$6:$W$505,AC$3,実績!$AI$6:$AI$505,"&lt;="&amp;$A86,実績!$AJ$6:$AJ$505,"&gt;"&amp;$A86,実績!$AL$6:$AL$505,"○")&gt;0,1,0))</f>
        <v>0</v>
      </c>
      <c r="AD86" s="39" t="n">
        <f aca="false">IF(AD$4=0,0,IF(COUNTIFS(実績!$W$6:$W$505,AD$3,実績!$AI$6:$AI$505,"&lt;="&amp;$A86,実績!$AJ$6:$AJ$505,"&gt;"&amp;$A86,実績!$AL$6:$AL$505,"○")&gt;0,1,0))</f>
        <v>0</v>
      </c>
      <c r="AE86" s="39" t="n">
        <f aca="false">IF(AE$4=0,0,IF(COUNTIFS(実績!$W$6:$W$505,AE$3,実績!$AI$6:$AI$505,"&lt;="&amp;$A86,実績!$AJ$6:$AJ$505,"&gt;"&amp;$A86,実績!$AL$6:$AL$505,"○")&gt;0,1,0))</f>
        <v>0</v>
      </c>
      <c r="AF86" s="39" t="n">
        <f aca="false">IF(AF$4=0,0,IF(COUNTIFS(実績!$W$6:$W$505,AF$3,実績!$AI$6:$AI$505,"&lt;="&amp;$A86,実績!$AJ$6:$AJ$505,"&gt;"&amp;$A86,実績!$AL$6:$AL$505,"○")&gt;0,1,0))</f>
        <v>0</v>
      </c>
      <c r="AG86" s="39" t="n">
        <f aca="false">IF(AG$4=0,0,IF(COUNTIFS(実績!$W$6:$W$505,AG$3,実績!$AI$6:$AI$505,"&lt;="&amp;$A86,実績!$AJ$6:$AJ$505,"&gt;"&amp;$A86,実績!$AL$6:$AL$505,"○")&gt;0,1,0))</f>
        <v>0</v>
      </c>
      <c r="AH86" s="39" t="n">
        <f aca="false">IF(AH$4=0,0,IF(COUNTIFS(実績!$W$6:$W$505,AH$3,実績!$AI$6:$AI$505,"&lt;="&amp;$A86,実績!$AJ$6:$AJ$505,"&gt;"&amp;$A86,実績!$AL$6:$AL$505,"○")&gt;0,1,0))</f>
        <v>0</v>
      </c>
      <c r="AI86" s="39" t="n">
        <f aca="false">IF(AI$4=0,0,IF(COUNTIFS(実績!$W$6:$W$505,AI$3,実績!$AI$6:$AI$505,"&lt;="&amp;$A86,実績!$AJ$6:$AJ$505,"&gt;"&amp;$A86,実績!$AL$6:$AL$505,"○")&gt;0,1,0))</f>
        <v>0</v>
      </c>
      <c r="AJ86" s="39" t="n">
        <f aca="false">IF(AJ$4=0,0,IF(COUNTIFS(実績!$W$6:$W$505,AJ$3,実績!$AI$6:$AI$505,"&lt;="&amp;$A86,実績!$AJ$6:$AJ$505,"&gt;"&amp;$A86,実績!$AL$6:$AL$505,"○")&gt;0,1,0))</f>
        <v>0</v>
      </c>
      <c r="AK86" s="39" t="n">
        <f aca="false">IF(AK$4=0,0,IF(COUNTIFS(実績!$W$6:$W$505,AK$3,実績!$AI$6:$AI$505,"&lt;="&amp;$A86,実績!$AJ$6:$AJ$505,"&gt;"&amp;$A86,実績!$AL$6:$AL$505,"○")&gt;0,1,0))</f>
        <v>0</v>
      </c>
      <c r="AL86" s="39" t="n">
        <f aca="false">IF(AL$4=0,0,IF(COUNTIFS(実績!$W$6:$W$505,AL$3,実績!$AI$6:$AI$505,"&lt;="&amp;$A86,実績!$AJ$6:$AJ$505,"&gt;"&amp;$A86,実績!$AL$6:$AL$505,"○")&gt;0,1,0))</f>
        <v>0</v>
      </c>
      <c r="AM86" s="39" t="n">
        <f aca="false">IF(AM$4=0,0,IF(COUNTIFS(実績!$W$6:$W$505,AM$3,実績!$AI$6:$AI$505,"&lt;="&amp;$A86,実績!$AJ$6:$AJ$505,"&gt;"&amp;$A86,実績!$AL$6:$AL$505,"○")&gt;0,1,0))</f>
        <v>0</v>
      </c>
      <c r="AN86" s="39" t="n">
        <f aca="false">IF(AN$4=0,0,IF(COUNTIFS(実績!$W$6:$W$505,AN$3,実績!$AI$6:$AI$505,"&lt;="&amp;$A86,実績!$AJ$6:$AJ$505,"&gt;"&amp;$A86,実績!$AL$6:$AL$505,"○")&gt;0,1,0))</f>
        <v>0</v>
      </c>
      <c r="AO86" s="39" t="n">
        <f aca="false">IF(AO$4=0,0,IF(COUNTIFS(実績!$W$6:$W$505,AO$3,実績!$AI$6:$AI$505,"&lt;="&amp;$A86,実績!$AJ$6:$AJ$505,"&gt;"&amp;$A86,実績!$AL$6:$AL$505,"○")&gt;0,1,0))</f>
        <v>0</v>
      </c>
      <c r="AP86" s="39" t="n">
        <f aca="false">IF(AP$4=0,0,IF(COUNTIFS(実績!$W$6:$W$505,AP$3,実績!$AI$6:$AI$505,"&lt;="&amp;$A86,実績!$AJ$6:$AJ$505,"&gt;"&amp;$A86,実績!$AL$6:$AL$505,"○")&gt;0,1,0))</f>
        <v>0</v>
      </c>
      <c r="AQ86" s="39" t="n">
        <f aca="false">IF(AQ$4=0,0,IF(COUNTIFS(実績!$W$6:$W$505,AQ$3,実績!$AI$6:$AI$505,"&lt;="&amp;$A86,実績!$AJ$6:$AJ$505,"&gt;"&amp;$A86,実績!$AL$6:$AL$505,"○")&gt;0,1,0))</f>
        <v>0</v>
      </c>
      <c r="AR86" s="39" t="n">
        <f aca="false">IF(AR$4=0,0,IF(COUNTIFS(実績!$W$6:$W$505,AR$3,実績!$AI$6:$AI$505,"&lt;="&amp;$A86,実績!$AJ$6:$AJ$505,"&gt;"&amp;$A86,実績!$AL$6:$AL$505,"○")&gt;0,1,0))</f>
        <v>0</v>
      </c>
      <c r="AS86" s="39" t="n">
        <f aca="false">IF(AS$4=0,0,IF(COUNTIFS(実績!$W$6:$W$505,AS$3,実績!$AI$6:$AI$505,"&lt;="&amp;$A86,実績!$AJ$6:$AJ$505,"&gt;"&amp;$A86,実績!$AL$6:$AL$505,"○")&gt;0,1,0))</f>
        <v>0</v>
      </c>
      <c r="AT86" s="39" t="n">
        <f aca="false">IF(AT$4=0,0,IF(COUNTIFS(実績!$W$6:$W$505,AT$3,実績!$AI$6:$AI$505,"&lt;="&amp;$A86,実績!$AJ$6:$AJ$505,"&gt;"&amp;$A86,実績!$AL$6:$AL$505,"○")&gt;0,1,0))</f>
        <v>0</v>
      </c>
      <c r="AU86" s="39" t="n">
        <f aca="false">IF(AU$4=0,0,IF(COUNTIFS(実績!$W$6:$W$505,AU$3,実績!$AI$6:$AI$505,"&lt;="&amp;$A86,実績!$AJ$6:$AJ$505,"&gt;"&amp;$A86,実績!$AL$6:$AL$505,"○")&gt;0,1,0))</f>
        <v>0</v>
      </c>
      <c r="AV86" s="39" t="n">
        <f aca="false">IF(AV$4=0,0,IF(COUNTIFS(実績!$W$6:$W$505,AV$3,実績!$AI$6:$AI$505,"&lt;="&amp;$A86,実績!$AJ$6:$AJ$505,"&gt;"&amp;$A86,実績!$AL$6:$AL$505,"○")&gt;0,1,0))</f>
        <v>0</v>
      </c>
      <c r="AW86" s="39" t="n">
        <f aca="false">IF(AW$4=0,0,IF(COUNTIFS(実績!$W$6:$W$505,AW$3,実績!$AI$6:$AI$505,"&lt;="&amp;$A86,実績!$AJ$6:$AJ$505,"&gt;"&amp;$A86,実績!$AL$6:$AL$505,"○")&gt;0,1,0))</f>
        <v>0</v>
      </c>
      <c r="AX86" s="39" t="n">
        <f aca="false">IF(AX$4=0,0,IF(COUNTIFS(実績!$W$6:$W$505,AX$3,実績!$AI$6:$AI$505,"&lt;="&amp;$A86,実績!$AJ$6:$AJ$505,"&gt;"&amp;$A86,実績!$AL$6:$AL$505,"○")&gt;0,1,0))</f>
        <v>0</v>
      </c>
      <c r="AY86" s="39" t="n">
        <f aca="false">IF(AY$4=0,0,IF(COUNTIFS(実績!$W$6:$W$505,AY$3,実績!$AI$6:$AI$505,"&lt;="&amp;$A86,実績!$AJ$6:$AJ$505,"&gt;"&amp;$A86,実績!$AL$6:$AL$505,"○")&gt;0,1,0))</f>
        <v>0</v>
      </c>
      <c r="AZ86" s="39" t="n">
        <f aca="false">IF(AZ$4=0,0,IF(COUNTIFS(実績!$W$6:$W$505,AZ$3,実績!$AI$6:$AI$505,"&lt;="&amp;$A86,実績!$AJ$6:$AJ$505,"&gt;"&amp;$A86,実績!$AL$6:$AL$505,"○")&gt;0,1,0))</f>
        <v>0</v>
      </c>
      <c r="BA86" s="39" t="n">
        <f aca="false">IF(BA$4=0,0,IF(COUNTIFS(実績!$W$6:$W$505,BA$3,実績!$AI$6:$AI$505,"&lt;="&amp;$A86,実績!$AJ$6:$AJ$505,"&gt;"&amp;$A86,実績!$AL$6:$AL$505,"○")&gt;0,1,0))</f>
        <v>0</v>
      </c>
      <c r="BB86" s="39" t="n">
        <f aca="false">IF(BB$4=0,0,IF(COUNTIFS(実績!$W$6:$W$505,BB$3,実績!$AI$6:$AI$505,"&lt;="&amp;$A86,実績!$AJ$6:$AJ$505,"&gt;"&amp;$A86,実績!$AL$6:$AL$505,"○")&gt;0,1,0))</f>
        <v>0</v>
      </c>
      <c r="BC86" s="39" t="n">
        <f aca="false">IF(BC$4=0,0,IF(COUNTIFS(実績!$W$6:$W$505,BC$3,実績!$AI$6:$AI$505,"&lt;="&amp;$A86,実績!$AJ$6:$AJ$505,"&gt;"&amp;$A86,実績!$AL$6:$AL$505,"○")&gt;0,1,0))</f>
        <v>0</v>
      </c>
      <c r="BD86" s="39" t="n">
        <f aca="false">IF(BD$4=0,0,IF(COUNTIFS(実績!$W$6:$W$505,BD$3,実績!$AI$6:$AI$505,"&lt;="&amp;$A86,実績!$AJ$6:$AJ$505,"&gt;"&amp;$A86,実績!$AL$6:$AL$505,"○")&gt;0,1,0))</f>
        <v>0</v>
      </c>
      <c r="BE86" s="39" t="n">
        <f aca="false">IF(BE$4=0,0,IF(COUNTIFS(実績!$W$6:$W$505,BE$3,実績!$AI$6:$AI$505,"&lt;="&amp;$A86,実績!$AJ$6:$AJ$505,"&gt;"&amp;$A86,実績!$AL$6:$AL$505,"○")&gt;0,1,0))</f>
        <v>0</v>
      </c>
      <c r="BF86" s="39" t="n">
        <f aca="false">IF(BF$4=0,0,IF(COUNTIFS(実績!$W$6:$W$505,BF$3,実績!$AI$6:$AI$505,"&lt;="&amp;$A86,実績!$AJ$6:$AJ$505,"&gt;"&amp;$A86,実績!$AL$6:$AL$505,"○")&gt;0,1,0))</f>
        <v>0</v>
      </c>
      <c r="BG86" s="39" t="n">
        <f aca="false">IF(BG$4=0,0,IF(COUNTIFS(実績!$W$6:$W$505,BG$3,実績!$AI$6:$AI$505,"&lt;="&amp;$A86,実績!$AJ$6:$AJ$505,"&gt;"&amp;$A86,実績!$AL$6:$AL$505,"○")&gt;0,1,0))</f>
        <v>0</v>
      </c>
      <c r="BH86" s="39" t="n">
        <f aca="false">IF(BH$4=0,0,IF(COUNTIFS(実績!$W$6:$W$505,BH$3,実績!$AI$6:$AI$505,"&lt;="&amp;$A86,実績!$AJ$6:$AJ$505,"&gt;"&amp;$A86,実績!$AL$6:$AL$505,"○")&gt;0,1,0))</f>
        <v>0</v>
      </c>
      <c r="BI86" s="39" t="n">
        <f aca="false">IF(BI$4=0,0,IF(COUNTIFS(実績!$W$6:$W$505,BI$3,実績!$AI$6:$AI$505,"&lt;="&amp;$A86,実績!$AJ$6:$AJ$505,"&gt;"&amp;$A86,実績!$AL$6:$AL$505,"○")&gt;0,1,0))</f>
        <v>0</v>
      </c>
      <c r="BJ86" s="39" t="n">
        <f aca="false">IF(BJ$4=0,0,IF(COUNTIFS(実績!$W$6:$W$505,BJ$3,実績!$AI$6:$AI$505,"&lt;="&amp;$A86,実績!$AJ$6:$AJ$505,"&gt;"&amp;$A86,実績!$AL$6:$AL$505,"○")&gt;0,1,0))</f>
        <v>0</v>
      </c>
      <c r="BK86" s="39" t="n">
        <f aca="false">IF(BK$4=0,0,IF(COUNTIFS(実績!$W$6:$W$505,BK$3,実績!$AI$6:$AI$505,"&lt;="&amp;$A86,実績!$AJ$6:$AJ$505,"&gt;"&amp;$A86,実績!$AL$6:$AL$505,"○")&gt;0,1,0))</f>
        <v>0</v>
      </c>
      <c r="BL86" s="39" t="n">
        <f aca="false">IF(BL$4=0,0,IF(COUNTIFS(実績!$W$6:$W$505,BL$3,実績!$AI$6:$AI$505,"&lt;="&amp;$A86,実績!$AJ$6:$AJ$505,"&gt;"&amp;$A86,実績!$AL$6:$AL$505,"○")&gt;0,1,0))</f>
        <v>0</v>
      </c>
      <c r="BM86" s="39" t="n">
        <f aca="false">IF(BM$4=0,0,IF(COUNTIFS(実績!$W$6:$W$505,BM$3,実績!$AI$6:$AI$505,"&lt;="&amp;$A86,実績!$AJ$6:$AJ$505,"&gt;"&amp;$A86,実績!$AL$6:$AL$505,"○")&gt;0,1,0))</f>
        <v>0</v>
      </c>
      <c r="BN86" s="39" t="n">
        <f aca="false">IF(BN$4=0,0,IF(COUNTIFS(実績!$W$6:$W$505,BN$3,実績!$AI$6:$AI$505,"&lt;="&amp;$A86,実績!$AJ$6:$AJ$505,"&gt;"&amp;$A86,実績!$AL$6:$AL$505,"○")&gt;0,1,0))</f>
        <v>0</v>
      </c>
      <c r="BO86" s="39" t="n">
        <f aca="false">IF(BO$4=0,0,IF(COUNTIFS(実績!$W$6:$W$505,BO$3,実績!$AI$6:$AI$505,"&lt;="&amp;$A86,実績!$AJ$6:$AJ$505,"&gt;"&amp;$A86,実績!$AL$6:$AL$505,"○")&gt;0,1,0))</f>
        <v>0</v>
      </c>
      <c r="BP86" s="39" t="n">
        <f aca="false">IF(BP$4=0,0,IF(COUNTIFS(実績!$W$6:$W$505,BP$3,実績!$AI$6:$AI$505,"&lt;="&amp;$A86,実績!$AJ$6:$AJ$505,"&gt;"&amp;$A86,実績!$AL$6:$AL$505,"○")&gt;0,1,0))</f>
        <v>0</v>
      </c>
      <c r="BQ86" s="39" t="n">
        <f aca="false">IF(BQ$4=0,0,IF(COUNTIFS(実績!$W$6:$W$505,BQ$3,実績!$AI$6:$AI$505,"&lt;="&amp;$A86,実績!$AJ$6:$AJ$505,"&gt;"&amp;$A86,実績!$AL$6:$AL$505,"○")&gt;0,1,0))</f>
        <v>0</v>
      </c>
      <c r="BR86" s="39" t="n">
        <f aca="false">IF(BR$4=0,0,IF(COUNTIFS(実績!$W$6:$W$505,BR$3,実績!$AI$6:$AI$505,"&lt;="&amp;$A86,実績!$AJ$6:$AJ$505,"&gt;"&amp;$A86,実績!$AL$6:$AL$505,"○")&gt;0,1,0))</f>
        <v>0</v>
      </c>
      <c r="BS86" s="39" t="n">
        <f aca="false">IF(BS$4=0,0,IF(COUNTIFS(実績!$W$6:$W$505,BS$3,実績!$AI$6:$AI$505,"&lt;="&amp;$A86,実績!$AJ$6:$AJ$505,"&gt;"&amp;$A86,実績!$AL$6:$AL$505,"○")&gt;0,1,0))</f>
        <v>0</v>
      </c>
      <c r="BT86" s="39" t="n">
        <f aca="false">IF(BT$4=0,0,IF(COUNTIFS(実績!$W$6:$W$505,BT$3,実績!$AI$6:$AI$505,"&lt;="&amp;$A86,実績!$AJ$6:$AJ$505,"&gt;"&amp;$A86,実績!$AL$6:$AL$505,"○")&gt;0,1,0))</f>
        <v>0</v>
      </c>
      <c r="BU86" s="39" t="n">
        <f aca="false">IF(BU$4=0,0,IF(COUNTIFS(実績!$W$6:$W$505,BU$3,実績!$AI$6:$AI$505,"&lt;="&amp;$A86,実績!$AJ$6:$AJ$505,"&gt;"&amp;$A86,実績!$AL$6:$AL$505,"○")&gt;0,1,0))</f>
        <v>0</v>
      </c>
      <c r="BV86" s="39" t="n">
        <f aca="false">IF(BV$4=0,0,IF(COUNTIFS(実績!$W$6:$W$505,BV$3,実績!$AI$6:$AI$505,"&lt;="&amp;$A86,実績!$AJ$6:$AJ$505,"&gt;"&amp;$A86,実績!$AL$6:$AL$505,"○")&gt;0,1,0))</f>
        <v>0</v>
      </c>
      <c r="BW86" s="39" t="n">
        <f aca="false">IF(BW$4=0,0,IF(COUNTIFS(実績!$W$6:$W$505,BW$3,実績!$AI$6:$AI$505,"&lt;="&amp;$A86,実績!$AJ$6:$AJ$505,"&gt;"&amp;$A86,実績!$AL$6:$AL$505,"○")&gt;0,1,0))</f>
        <v>0</v>
      </c>
      <c r="BX86" s="39" t="n">
        <f aca="false">IF(BX$4=0,0,IF(COUNTIFS(実績!$W$6:$W$505,BX$3,実績!$AI$6:$AI$505,"&lt;="&amp;$A86,実績!$AJ$6:$AJ$505,"&gt;"&amp;$A86,実績!$AL$6:$AL$505,"○")&gt;0,1,0))</f>
        <v>0</v>
      </c>
      <c r="BY86" s="39" t="n">
        <f aca="false">IF(BY$4=0,0,IF(COUNTIFS(実績!$W$6:$W$505,BY$3,実績!$AI$6:$AI$505,"&lt;="&amp;$A86,実績!$AJ$6:$AJ$505,"&gt;"&amp;$A86,実績!$AL$6:$AL$505,"○")&gt;0,1,0))</f>
        <v>0</v>
      </c>
      <c r="BZ86" s="39" t="n">
        <f aca="false">IF(BZ$4=0,0,IF(COUNTIFS(実績!$W$6:$W$505,BZ$3,実績!$AI$6:$AI$505,"&lt;="&amp;$A86,実績!$AJ$6:$AJ$505,"&gt;"&amp;$A86,実績!$AL$6:$AL$505,"○")&gt;0,1,0))</f>
        <v>0</v>
      </c>
      <c r="CA86" s="39" t="n">
        <f aca="false">IF(CA$4=0,0,IF(COUNTIFS(実績!$W$6:$W$505,CA$3,実績!$AI$6:$AI$505,"&lt;="&amp;$A86,実績!$AJ$6:$AJ$505,"&gt;"&amp;$A86,実績!$AL$6:$AL$505,"○")&gt;0,1,0))</f>
        <v>0</v>
      </c>
      <c r="CB86" s="39" t="n">
        <f aca="false">IF(CB$4=0,0,IF(COUNTIFS(実績!$W$6:$W$505,CB$3,実績!$AI$6:$AI$505,"&lt;="&amp;$A86,実績!$AJ$6:$AJ$505,"&gt;"&amp;$A86,実績!$AL$6:$AL$505,"○")&gt;0,1,0))</f>
        <v>0</v>
      </c>
      <c r="CC86" s="39" t="n">
        <f aca="false">IF(CC$4=0,0,IF(COUNTIFS(実績!$W$6:$W$505,CC$3,実績!$AI$6:$AI$505,"&lt;="&amp;$A86,実績!$AJ$6:$AJ$505,"&gt;"&amp;$A86,実績!$AL$6:$AL$505,"○")&gt;0,1,0))</f>
        <v>0</v>
      </c>
      <c r="CD86" s="39" t="n">
        <f aca="false">IF(CD$4=0,0,IF(COUNTIFS(実績!$W$6:$W$505,CD$3,実績!$AI$6:$AI$505,"&lt;="&amp;$A86,実績!$AJ$6:$AJ$505,"&gt;"&amp;$A86,実績!$AL$6:$AL$505,"○")&gt;0,1,0))</f>
        <v>0</v>
      </c>
      <c r="CE86" s="39" t="n">
        <f aca="false">IF(CE$4=0,0,IF(COUNTIFS(実績!$W$6:$W$505,CE$3,実績!$AI$6:$AI$505,"&lt;="&amp;$A86,実績!$AJ$6:$AJ$505,"&gt;"&amp;$A86,実績!$AL$6:$AL$505,"○")&gt;0,1,0))</f>
        <v>0</v>
      </c>
      <c r="CF86" s="39" t="n">
        <f aca="false">IF(CF$4=0,0,IF(COUNTIFS(実績!$W$6:$W$505,CF$3,実績!$AI$6:$AI$505,"&lt;="&amp;$A86,実績!$AJ$6:$AJ$505,"&gt;"&amp;$A86,実績!$AL$6:$AL$505,"○")&gt;0,1,0))</f>
        <v>0</v>
      </c>
      <c r="CG86" s="39" t="n">
        <f aca="false">IF(CG$4=0,0,IF(COUNTIFS(実績!$W$6:$W$505,CG$3,実績!$AI$6:$AI$505,"&lt;="&amp;$A86,実績!$AJ$6:$AJ$505,"&gt;"&amp;$A86,実績!$AL$6:$AL$505,"○")&gt;0,1,0))</f>
        <v>0</v>
      </c>
      <c r="CH86" s="39" t="n">
        <f aca="false">IF(CH$4=0,0,IF(COUNTIFS(実績!$W$6:$W$505,CH$3,実績!$AI$6:$AI$505,"&lt;="&amp;$A86,実績!$AJ$6:$AJ$505,"&gt;"&amp;$A86,実績!$AL$6:$AL$505,"○")&gt;0,1,0))</f>
        <v>0</v>
      </c>
      <c r="CI86" s="39" t="n">
        <f aca="false">IF(CI$4=0,0,IF(COUNTIFS(実績!$W$6:$W$505,CI$3,実績!$AI$6:$AI$505,"&lt;="&amp;$A86,実績!$AJ$6:$AJ$505,"&gt;"&amp;$A86,実績!$AL$6:$AL$505,"○")&gt;0,1,0))</f>
        <v>0</v>
      </c>
      <c r="CJ86" s="39" t="n">
        <f aca="false">IF(CJ$4=0,0,IF(COUNTIFS(実績!$W$6:$W$505,CJ$3,実績!$AI$6:$AI$505,"&lt;="&amp;$A86,実績!$AJ$6:$AJ$505,"&gt;"&amp;$A86,実績!$AL$6:$AL$505,"○")&gt;0,1,0))</f>
        <v>0</v>
      </c>
      <c r="CK86" s="39" t="n">
        <f aca="false">IF(CK$4=0,0,IF(COUNTIFS(実績!$W$6:$W$505,CK$3,実績!$AI$6:$AI$505,"&lt;="&amp;$A86,実績!$AJ$6:$AJ$505,"&gt;"&amp;$A86,実績!$AL$6:$AL$505,"○")&gt;0,1,0))</f>
        <v>0</v>
      </c>
      <c r="CL86" s="39" t="n">
        <f aca="false">IF(CL$4=0,0,IF(COUNTIFS(実績!$W$6:$W$505,CL$3,実績!$AI$6:$AI$505,"&lt;="&amp;$A86,実績!$AJ$6:$AJ$505,"&gt;"&amp;$A86,実績!$AL$6:$AL$505,"○")&gt;0,1,0))</f>
        <v>0</v>
      </c>
      <c r="CM86" s="39" t="n">
        <f aca="false">IF(CM$4=0,0,IF(COUNTIFS(実績!$W$6:$W$505,CM$3,実績!$AI$6:$AI$505,"&lt;="&amp;$A86,実績!$AJ$6:$AJ$505,"&gt;"&amp;$A86,実績!$AL$6:$AL$505,"○")&gt;0,1,0))</f>
        <v>0</v>
      </c>
      <c r="CN86" s="39" t="n">
        <f aca="false">IF(CN$4=0,0,IF(COUNTIFS(実績!$W$6:$W$505,CN$3,実績!$AI$6:$AI$505,"&lt;="&amp;$A86,実績!$AJ$6:$AJ$505,"&gt;"&amp;$A86,実績!$AL$6:$AL$505,"○")&gt;0,1,0))</f>
        <v>0</v>
      </c>
      <c r="CO86" s="39" t="n">
        <f aca="false">IF(CO$4=0,0,IF(COUNTIFS(実績!$W$6:$W$505,CO$3,実績!$AI$6:$AI$505,"&lt;="&amp;$A86,実績!$AJ$6:$AJ$505,"&gt;"&amp;$A86,実績!$AL$6:$AL$505,"○")&gt;0,1,0))</f>
        <v>0</v>
      </c>
      <c r="CP86" s="39" t="n">
        <f aca="false">IF(CP$4=0,0,IF(COUNTIFS(実績!$W$6:$W$505,CP$3,実績!$AI$6:$AI$505,"&lt;="&amp;$A86,実績!$AJ$6:$AJ$505,"&gt;"&amp;$A86,実績!$AL$6:$AL$505,"○")&gt;0,1,0))</f>
        <v>0</v>
      </c>
      <c r="CQ86" s="39" t="n">
        <f aca="false">IF(CQ$4=0,0,IF(COUNTIFS(実績!$W$6:$W$505,CQ$3,実績!$AI$6:$AI$505,"&lt;="&amp;$A86,実績!$AJ$6:$AJ$505,"&gt;"&amp;$A86,実績!$AL$6:$AL$505,"○")&gt;0,1,0))</f>
        <v>0</v>
      </c>
      <c r="CR86" s="39" t="n">
        <f aca="false">IF(CR$4=0,0,IF(COUNTIFS(実績!$W$6:$W$505,CR$3,実績!$AI$6:$AI$505,"&lt;="&amp;$A86,実績!$AJ$6:$AJ$505,"&gt;"&amp;$A86,実績!$AL$6:$AL$505,"○")&gt;0,1,0))</f>
        <v>0</v>
      </c>
      <c r="CS86" s="39" t="n">
        <f aca="false">IF(CS$4=0,0,IF(COUNTIFS(実績!$W$6:$W$505,CS$3,実績!$AI$6:$AI$505,"&lt;="&amp;$A86,実績!$AJ$6:$AJ$505,"&gt;"&amp;$A86,実績!$AL$6:$AL$505,"○")&gt;0,1,0))</f>
        <v>0</v>
      </c>
      <c r="CT86" s="39" t="n">
        <f aca="false">IF(CT$4=0,0,IF(COUNTIFS(実績!$W$6:$W$505,CT$3,実績!$AI$6:$AI$505,"&lt;="&amp;$A86,実績!$AJ$6:$AJ$505,"&gt;"&amp;$A86,実績!$AL$6:$AL$505,"○")&gt;0,1,0))</f>
        <v>0</v>
      </c>
      <c r="CU86" s="39" t="n">
        <f aca="false">IF(CU$4=0,0,IF(COUNTIFS(実績!$W$6:$W$505,CU$3,実績!$AI$6:$AI$505,"&lt;="&amp;$A86,実績!$AJ$6:$AJ$505,"&gt;"&amp;$A86,実績!$AL$6:$AL$505,"○")&gt;0,1,0))</f>
        <v>0</v>
      </c>
      <c r="CV86" s="39" t="n">
        <f aca="false">IF(CV$4=0,0,IF(COUNTIFS(実績!$W$6:$W$505,CV$3,実績!$AI$6:$AI$505,"&lt;="&amp;$A86,実績!$AJ$6:$AJ$505,"&gt;"&amp;$A86,実績!$AL$6:$AL$505,"○")&gt;0,1,0))</f>
        <v>0</v>
      </c>
      <c r="CW86" s="39" t="n">
        <f aca="false">IF(CW$4=0,0,IF(COUNTIFS(実績!$W$6:$W$505,CW$3,実績!$AI$6:$AI$505,"&lt;="&amp;$A86,実績!$AJ$6:$AJ$505,"&gt;"&amp;$A86,実績!$AL$6:$AL$505,"○")&gt;0,1,0))</f>
        <v>0</v>
      </c>
      <c r="CX86" s="39" t="n">
        <f aca="false">IF(CX$4=0,0,IF(COUNTIFS(実績!$W$6:$W$505,CX$3,実績!$AI$6:$AI$505,"&lt;="&amp;$A86,実績!$AJ$6:$AJ$505,"&gt;"&amp;$A86,実績!$AL$6:$AL$505,"○")&gt;0,1,0))</f>
        <v>0</v>
      </c>
      <c r="CY86" s="39" t="n">
        <f aca="false">IF(CY$4=0,0,IF(COUNTIFS(実績!$W$6:$W$505,CY$3,実績!$AI$6:$AI$505,"&lt;="&amp;$A86,実績!$AJ$6:$AJ$505,"&gt;"&amp;$A86,実績!$AL$6:$AL$505,"○")&gt;0,1,0))</f>
        <v>0</v>
      </c>
      <c r="CZ86" s="39" t="n">
        <f aca="false">IF(CZ$4=0,0,IF(COUNTIFS(実績!$W$6:$W$505,CZ$3,実績!$AI$6:$AI$505,"&lt;="&amp;$A86,実績!$AJ$6:$AJ$505,"&gt;"&amp;$A86,実績!$AL$6:$AL$505,"○")&gt;0,1,0))</f>
        <v>0</v>
      </c>
      <c r="DA86" s="39" t="n">
        <f aca="false">IF(DA$4=0,0,IF(COUNTIFS(実績!$W$6:$W$505,DA$3,実績!$AI$6:$AI$505,"&lt;="&amp;$A86,実績!$AJ$6:$AJ$505,"&gt;"&amp;$A86,実績!$AL$6:$AL$505,"○")&gt;0,1,0))</f>
        <v>0</v>
      </c>
      <c r="DB86" s="39" t="n">
        <f aca="false">IF(DB$4=0,0,IF(COUNTIFS(実績!$W$6:$W$505,DB$3,実績!$AI$6:$AI$505,"&lt;="&amp;$A86,実績!$AJ$6:$AJ$505,"&gt;"&amp;$A86,実績!$AL$6:$AL$505,"○")&gt;0,1,0))</f>
        <v>0</v>
      </c>
      <c r="DC86" s="39" t="n">
        <f aca="false">IF(DC$4=0,0,IF(COUNTIFS(実績!$W$6:$W$505,DC$3,実績!$AI$6:$AI$505,"&lt;="&amp;$A86,実績!$AJ$6:$AJ$505,"&gt;"&amp;$A86,実績!$AL$6:$AL$505,"○")&gt;0,1,0))</f>
        <v>0</v>
      </c>
      <c r="DD86" s="39" t="n">
        <f aca="false">IF(DD$4=0,0,IF(COUNTIFS(実績!$W$6:$W$505,DD$3,実績!$AI$6:$AI$505,"&lt;="&amp;$A86,実績!$AJ$6:$AJ$505,"&gt;"&amp;$A86,実績!$AL$6:$AL$505,"○")&gt;0,1,0))</f>
        <v>0</v>
      </c>
      <c r="DE86" s="39" t="n">
        <f aca="false">IF(DE$4=0,0,IF(COUNTIFS(実績!$W$6:$W$505,DE$3,実績!$AI$6:$AI$505,"&lt;="&amp;$A86,実績!$AJ$6:$AJ$505,"&gt;"&amp;$A86,実績!$AL$6:$AL$505,"○")&gt;0,1,0))</f>
        <v>0</v>
      </c>
      <c r="DF86" s="39" t="n">
        <f aca="false">IF(DF$4=0,0,IF(COUNTIFS(実績!$W$6:$W$505,DF$3,実績!$AI$6:$AI$505,"&lt;="&amp;$A86,実績!$AJ$6:$AJ$505,"&gt;"&amp;$A86,実績!$AL$6:$AL$505,"○")&gt;0,1,0))</f>
        <v>0</v>
      </c>
      <c r="DG86" s="39" t="n">
        <f aca="false">IF(DG$4=0,0,IF(COUNTIFS(実績!$W$6:$W$505,DG$3,実績!$AI$6:$AI$505,"&lt;="&amp;$A86,実績!$AJ$6:$AJ$505,"&gt;"&amp;$A86,実績!$AL$6:$AL$505,"○")&gt;0,1,0))</f>
        <v>0</v>
      </c>
      <c r="DH86" s="39" t="n">
        <f aca="false">IF(DH$4=0,0,IF(COUNTIFS(実績!$W$6:$W$505,DH$3,実績!$AI$6:$AI$505,"&lt;="&amp;$A86,実績!$AJ$6:$AJ$505,"&gt;"&amp;$A86,実績!$AL$6:$AL$505,"○")&gt;0,1,0))</f>
        <v>0</v>
      </c>
      <c r="DI86" s="39" t="n">
        <f aca="false">IF(DI$4=0,0,IF(COUNTIFS(実績!$W$6:$W$505,DI$3,実績!$AI$6:$AI$505,"&lt;="&amp;$A86,実績!$AJ$6:$AJ$505,"&gt;"&amp;$A86,実績!$AL$6:$AL$505,"○")&gt;0,1,0))</f>
        <v>0</v>
      </c>
      <c r="DJ86" s="39" t="n">
        <f aca="false">IF(DJ$4=0,0,IF(COUNTIFS(実績!$W$6:$W$505,DJ$3,実績!$AI$6:$AI$505,"&lt;="&amp;$A86,実績!$AJ$6:$AJ$505,"&gt;"&amp;$A86,実績!$AL$6:$AL$505,"○")&gt;0,1,0))</f>
        <v>0</v>
      </c>
      <c r="DK86" s="39" t="n">
        <f aca="false">IF(DK$4=0,0,IF(COUNTIFS(実績!$W$6:$W$505,DK$3,実績!$AI$6:$AI$505,"&lt;="&amp;$A86,実績!$AJ$6:$AJ$505,"&gt;"&amp;$A86,実績!$AL$6:$AL$505,"○")&gt;0,1,0))</f>
        <v>0</v>
      </c>
      <c r="DL86" s="39" t="n">
        <f aca="false">IF(DL$4=0,0,IF(COUNTIFS(実績!$W$6:$W$505,DL$3,実績!$AI$6:$AI$505,"&lt;="&amp;$A86,実績!$AJ$6:$AJ$505,"&gt;"&amp;$A86,実績!$AL$6:$AL$505,"○")&gt;0,1,0))</f>
        <v>0</v>
      </c>
      <c r="DM86" s="39" t="n">
        <f aca="false">IF(DM$4=0,0,IF(COUNTIFS(実績!$W$6:$W$505,DM$3,実績!$AI$6:$AI$505,"&lt;="&amp;$A86,実績!$AJ$6:$AJ$505,"&gt;"&amp;$A86,実績!$AL$6:$AL$505,"○")&gt;0,1,0))</f>
        <v>0</v>
      </c>
      <c r="DN86" s="39" t="n">
        <f aca="false">IF(DN$4=0,0,IF(COUNTIFS(実績!$W$6:$W$505,DN$3,実績!$AI$6:$AI$505,"&lt;="&amp;$A86,実績!$AJ$6:$AJ$505,"&gt;"&amp;$A86,実績!$AL$6:$AL$505,"○")&gt;0,1,0))</f>
        <v>0</v>
      </c>
      <c r="DO86" s="39" t="n">
        <f aca="false">IF(DO$4=0,0,IF(COUNTIFS(実績!$W$6:$W$505,DO$3,実績!$AI$6:$AI$505,"&lt;="&amp;$A86,実績!$AJ$6:$AJ$505,"&gt;"&amp;$A86,実績!$AL$6:$AL$505,"○")&gt;0,1,0))</f>
        <v>0</v>
      </c>
      <c r="DP86" s="39" t="n">
        <f aca="false">IF(DP$4=0,0,IF(COUNTIFS(実績!$W$6:$W$505,DP$3,実績!$AI$6:$AI$505,"&lt;="&amp;$A86,実績!$AJ$6:$AJ$505,"&gt;"&amp;$A86,実績!$AL$6:$AL$505,"○")&gt;0,1,0))</f>
        <v>0</v>
      </c>
      <c r="DQ86" s="39" t="n">
        <f aca="false">IF(DQ$4=0,0,IF(COUNTIFS(実績!$W$6:$W$505,DQ$3,実績!$AI$6:$AI$505,"&lt;="&amp;$A86,実績!$AJ$6:$AJ$505,"&gt;"&amp;$A86,実績!$AL$6:$AL$505,"○")&gt;0,1,0))</f>
        <v>0</v>
      </c>
      <c r="DR86" s="39" t="n">
        <f aca="false">IF(DR$4=0,0,IF(COUNTIFS(実績!$W$6:$W$505,DR$3,実績!$AI$6:$AI$505,"&lt;="&amp;$A86,実績!$AJ$6:$AJ$505,"&gt;"&amp;$A86,実績!$AL$6:$AL$505,"○")&gt;0,1,0))</f>
        <v>0</v>
      </c>
      <c r="DS86" s="39" t="n">
        <f aca="false">SUM(C86:DR86)</f>
        <v>0</v>
      </c>
    </row>
    <row r="87" customFormat="false" ht="15" hidden="false" customHeight="false" outlineLevel="0" collapsed="false">
      <c r="A87" s="0" t="n">
        <v>405</v>
      </c>
      <c r="B87" s="38" t="n">
        <f aca="false">A87/1440</f>
        <v>0.28125</v>
      </c>
      <c r="C87" s="39" t="n">
        <f aca="false">IF(C$4=0,0,IF(COUNTIFS(実績!$W$6:$W$505,C$3,実績!$AI$6:$AI$505,"&lt;="&amp;$A87,実績!$AJ$6:$AJ$505,"&gt;"&amp;$A87,実績!$AL$6:$AL$505,"○")&gt;0,1,0))</f>
        <v>0</v>
      </c>
      <c r="D87" s="39" t="n">
        <f aca="false">IF(D$4=0,0,IF(COUNTIFS(実績!$W$6:$W$505,D$3,実績!$AI$6:$AI$505,"&lt;="&amp;$A87,実績!$AJ$6:$AJ$505,"&gt;"&amp;$A87,実績!$AL$6:$AL$505,"○")&gt;0,1,0))</f>
        <v>0</v>
      </c>
      <c r="E87" s="39" t="n">
        <f aca="false">IF(E$4=0,0,IF(COUNTIFS(実績!$W$6:$W$505,E$3,実績!$AI$6:$AI$505,"&lt;="&amp;$A87,実績!$AJ$6:$AJ$505,"&gt;"&amp;$A87,実績!$AL$6:$AL$505,"○")&gt;0,1,0))</f>
        <v>0</v>
      </c>
      <c r="F87" s="39" t="n">
        <f aca="false">IF(F$4=0,0,IF(COUNTIFS(実績!$W$6:$W$505,F$3,実績!$AI$6:$AI$505,"&lt;="&amp;$A87,実績!$AJ$6:$AJ$505,"&gt;"&amp;$A87,実績!$AL$6:$AL$505,"○")&gt;0,1,0))</f>
        <v>0</v>
      </c>
      <c r="G87" s="39" t="n">
        <f aca="false">IF(G$4=0,0,IF(COUNTIFS(実績!$W$6:$W$505,G$3,実績!$AI$6:$AI$505,"&lt;="&amp;$A87,実績!$AJ$6:$AJ$505,"&gt;"&amp;$A87,実績!$AL$6:$AL$505,"○")&gt;0,1,0))</f>
        <v>0</v>
      </c>
      <c r="H87" s="39" t="n">
        <f aca="false">IF(H$4=0,0,IF(COUNTIFS(実績!$W$6:$W$505,H$3,実績!$AI$6:$AI$505,"&lt;="&amp;$A87,実績!$AJ$6:$AJ$505,"&gt;"&amp;$A87,実績!$AL$6:$AL$505,"○")&gt;0,1,0))</f>
        <v>0</v>
      </c>
      <c r="I87" s="39" t="n">
        <f aca="false">IF(I$4=0,0,IF(COUNTIFS(実績!$W$6:$W$505,I$3,実績!$AI$6:$AI$505,"&lt;="&amp;$A87,実績!$AJ$6:$AJ$505,"&gt;"&amp;$A87,実績!$AL$6:$AL$505,"○")&gt;0,1,0))</f>
        <v>0</v>
      </c>
      <c r="J87" s="39" t="n">
        <f aca="false">IF(J$4=0,0,IF(COUNTIFS(実績!$W$6:$W$505,J$3,実績!$AI$6:$AI$505,"&lt;="&amp;$A87,実績!$AJ$6:$AJ$505,"&gt;"&amp;$A87,実績!$AL$6:$AL$505,"○")&gt;0,1,0))</f>
        <v>0</v>
      </c>
      <c r="K87" s="39" t="n">
        <f aca="false">IF(K$4=0,0,IF(COUNTIFS(実績!$W$6:$W$505,K$3,実績!$AI$6:$AI$505,"&lt;="&amp;$A87,実績!$AJ$6:$AJ$505,"&gt;"&amp;$A87,実績!$AL$6:$AL$505,"○")&gt;0,1,0))</f>
        <v>0</v>
      </c>
      <c r="L87" s="39" t="n">
        <f aca="false">IF(L$4=0,0,IF(COUNTIFS(実績!$W$6:$W$505,L$3,実績!$AI$6:$AI$505,"&lt;="&amp;$A87,実績!$AJ$6:$AJ$505,"&gt;"&amp;$A87,実績!$AL$6:$AL$505,"○")&gt;0,1,0))</f>
        <v>0</v>
      </c>
      <c r="M87" s="39" t="n">
        <f aca="false">IF(M$4=0,0,IF(COUNTIFS(実績!$W$6:$W$505,M$3,実績!$AI$6:$AI$505,"&lt;="&amp;$A87,実績!$AJ$6:$AJ$505,"&gt;"&amp;$A87,実績!$AL$6:$AL$505,"○")&gt;0,1,0))</f>
        <v>0</v>
      </c>
      <c r="N87" s="39" t="n">
        <f aca="false">IF(N$4=0,0,IF(COUNTIFS(実績!$W$6:$W$505,N$3,実績!$AI$6:$AI$505,"&lt;="&amp;$A87,実績!$AJ$6:$AJ$505,"&gt;"&amp;$A87,実績!$AL$6:$AL$505,"○")&gt;0,1,0))</f>
        <v>0</v>
      </c>
      <c r="O87" s="39" t="n">
        <f aca="false">IF(O$4=0,0,IF(COUNTIFS(実績!$W$6:$W$505,O$3,実績!$AI$6:$AI$505,"&lt;="&amp;$A87,実績!$AJ$6:$AJ$505,"&gt;"&amp;$A87,実績!$AL$6:$AL$505,"○")&gt;0,1,0))</f>
        <v>0</v>
      </c>
      <c r="P87" s="39" t="n">
        <f aca="false">IF(P$4=0,0,IF(COUNTIFS(実績!$W$6:$W$505,P$3,実績!$AI$6:$AI$505,"&lt;="&amp;$A87,実績!$AJ$6:$AJ$505,"&gt;"&amp;$A87,実績!$AL$6:$AL$505,"○")&gt;0,1,0))</f>
        <v>0</v>
      </c>
      <c r="Q87" s="39" t="n">
        <f aca="false">IF(Q$4=0,0,IF(COUNTIFS(実績!$W$6:$W$505,Q$3,実績!$AI$6:$AI$505,"&lt;="&amp;$A87,実績!$AJ$6:$AJ$505,"&gt;"&amp;$A87,実績!$AL$6:$AL$505,"○")&gt;0,1,0))</f>
        <v>0</v>
      </c>
      <c r="R87" s="39" t="n">
        <f aca="false">IF(R$4=0,0,IF(COUNTIFS(実績!$W$6:$W$505,R$3,実績!$AI$6:$AI$505,"&lt;="&amp;$A87,実績!$AJ$6:$AJ$505,"&gt;"&amp;$A87,実績!$AL$6:$AL$505,"○")&gt;0,1,0))</f>
        <v>0</v>
      </c>
      <c r="S87" s="39" t="n">
        <f aca="false">IF(S$4=0,0,IF(COUNTIFS(実績!$W$6:$W$505,S$3,実績!$AI$6:$AI$505,"&lt;="&amp;$A87,実績!$AJ$6:$AJ$505,"&gt;"&amp;$A87,実績!$AL$6:$AL$505,"○")&gt;0,1,0))</f>
        <v>0</v>
      </c>
      <c r="T87" s="39" t="n">
        <f aca="false">IF(T$4=0,0,IF(COUNTIFS(実績!$W$6:$W$505,T$3,実績!$AI$6:$AI$505,"&lt;="&amp;$A87,実績!$AJ$6:$AJ$505,"&gt;"&amp;$A87,実績!$AL$6:$AL$505,"○")&gt;0,1,0))</f>
        <v>0</v>
      </c>
      <c r="U87" s="39" t="n">
        <f aca="false">IF(U$4=0,0,IF(COUNTIFS(実績!$W$6:$W$505,U$3,実績!$AI$6:$AI$505,"&lt;="&amp;$A87,実績!$AJ$6:$AJ$505,"&gt;"&amp;$A87,実績!$AL$6:$AL$505,"○")&gt;0,1,0))</f>
        <v>0</v>
      </c>
      <c r="V87" s="39" t="n">
        <f aca="false">IF(V$4=0,0,IF(COUNTIFS(実績!$W$6:$W$505,V$3,実績!$AI$6:$AI$505,"&lt;="&amp;$A87,実績!$AJ$6:$AJ$505,"&gt;"&amp;$A87,実績!$AL$6:$AL$505,"○")&gt;0,1,0))</f>
        <v>0</v>
      </c>
      <c r="W87" s="39" t="n">
        <f aca="false">IF(W$4=0,0,IF(COUNTIFS(実績!$W$6:$W$505,W$3,実績!$AI$6:$AI$505,"&lt;="&amp;$A87,実績!$AJ$6:$AJ$505,"&gt;"&amp;$A87,実績!$AL$6:$AL$505,"○")&gt;0,1,0))</f>
        <v>0</v>
      </c>
      <c r="X87" s="39" t="n">
        <f aca="false">IF(X$4=0,0,IF(COUNTIFS(実績!$W$6:$W$505,X$3,実績!$AI$6:$AI$505,"&lt;="&amp;$A87,実績!$AJ$6:$AJ$505,"&gt;"&amp;$A87,実績!$AL$6:$AL$505,"○")&gt;0,1,0))</f>
        <v>0</v>
      </c>
      <c r="Y87" s="39" t="n">
        <f aca="false">IF(Y$4=0,0,IF(COUNTIFS(実績!$W$6:$W$505,Y$3,実績!$AI$6:$AI$505,"&lt;="&amp;$A87,実績!$AJ$6:$AJ$505,"&gt;"&amp;$A87,実績!$AL$6:$AL$505,"○")&gt;0,1,0))</f>
        <v>0</v>
      </c>
      <c r="Z87" s="39" t="n">
        <f aca="false">IF(Z$4=0,0,IF(COUNTIFS(実績!$W$6:$W$505,Z$3,実績!$AI$6:$AI$505,"&lt;="&amp;$A87,実績!$AJ$6:$AJ$505,"&gt;"&amp;$A87,実績!$AL$6:$AL$505,"○")&gt;0,1,0))</f>
        <v>0</v>
      </c>
      <c r="AA87" s="39" t="n">
        <f aca="false">IF(AA$4=0,0,IF(COUNTIFS(実績!$W$6:$W$505,AA$3,実績!$AI$6:$AI$505,"&lt;="&amp;$A87,実績!$AJ$6:$AJ$505,"&gt;"&amp;$A87,実績!$AL$6:$AL$505,"○")&gt;0,1,0))</f>
        <v>0</v>
      </c>
      <c r="AB87" s="39" t="n">
        <f aca="false">IF(AB$4=0,0,IF(COUNTIFS(実績!$W$6:$W$505,AB$3,実績!$AI$6:$AI$505,"&lt;="&amp;$A87,実績!$AJ$6:$AJ$505,"&gt;"&amp;$A87,実績!$AL$6:$AL$505,"○")&gt;0,1,0))</f>
        <v>0</v>
      </c>
      <c r="AC87" s="39" t="n">
        <f aca="false">IF(AC$4=0,0,IF(COUNTIFS(実績!$W$6:$W$505,AC$3,実績!$AI$6:$AI$505,"&lt;="&amp;$A87,実績!$AJ$6:$AJ$505,"&gt;"&amp;$A87,実績!$AL$6:$AL$505,"○")&gt;0,1,0))</f>
        <v>0</v>
      </c>
      <c r="AD87" s="39" t="n">
        <f aca="false">IF(AD$4=0,0,IF(COUNTIFS(実績!$W$6:$W$505,AD$3,実績!$AI$6:$AI$505,"&lt;="&amp;$A87,実績!$AJ$6:$AJ$505,"&gt;"&amp;$A87,実績!$AL$6:$AL$505,"○")&gt;0,1,0))</f>
        <v>0</v>
      </c>
      <c r="AE87" s="39" t="n">
        <f aca="false">IF(AE$4=0,0,IF(COUNTIFS(実績!$W$6:$W$505,AE$3,実績!$AI$6:$AI$505,"&lt;="&amp;$A87,実績!$AJ$6:$AJ$505,"&gt;"&amp;$A87,実績!$AL$6:$AL$505,"○")&gt;0,1,0))</f>
        <v>0</v>
      </c>
      <c r="AF87" s="39" t="n">
        <f aca="false">IF(AF$4=0,0,IF(COUNTIFS(実績!$W$6:$W$505,AF$3,実績!$AI$6:$AI$505,"&lt;="&amp;$A87,実績!$AJ$6:$AJ$505,"&gt;"&amp;$A87,実績!$AL$6:$AL$505,"○")&gt;0,1,0))</f>
        <v>0</v>
      </c>
      <c r="AG87" s="39" t="n">
        <f aca="false">IF(AG$4=0,0,IF(COUNTIFS(実績!$W$6:$W$505,AG$3,実績!$AI$6:$AI$505,"&lt;="&amp;$A87,実績!$AJ$6:$AJ$505,"&gt;"&amp;$A87,実績!$AL$6:$AL$505,"○")&gt;0,1,0))</f>
        <v>0</v>
      </c>
      <c r="AH87" s="39" t="n">
        <f aca="false">IF(AH$4=0,0,IF(COUNTIFS(実績!$W$6:$W$505,AH$3,実績!$AI$6:$AI$505,"&lt;="&amp;$A87,実績!$AJ$6:$AJ$505,"&gt;"&amp;$A87,実績!$AL$6:$AL$505,"○")&gt;0,1,0))</f>
        <v>0</v>
      </c>
      <c r="AI87" s="39" t="n">
        <f aca="false">IF(AI$4=0,0,IF(COUNTIFS(実績!$W$6:$W$505,AI$3,実績!$AI$6:$AI$505,"&lt;="&amp;$A87,実績!$AJ$6:$AJ$505,"&gt;"&amp;$A87,実績!$AL$6:$AL$505,"○")&gt;0,1,0))</f>
        <v>0</v>
      </c>
      <c r="AJ87" s="39" t="n">
        <f aca="false">IF(AJ$4=0,0,IF(COUNTIFS(実績!$W$6:$W$505,AJ$3,実績!$AI$6:$AI$505,"&lt;="&amp;$A87,実績!$AJ$6:$AJ$505,"&gt;"&amp;$A87,実績!$AL$6:$AL$505,"○")&gt;0,1,0))</f>
        <v>0</v>
      </c>
      <c r="AK87" s="39" t="n">
        <f aca="false">IF(AK$4=0,0,IF(COUNTIFS(実績!$W$6:$W$505,AK$3,実績!$AI$6:$AI$505,"&lt;="&amp;$A87,実績!$AJ$6:$AJ$505,"&gt;"&amp;$A87,実績!$AL$6:$AL$505,"○")&gt;0,1,0))</f>
        <v>0</v>
      </c>
      <c r="AL87" s="39" t="n">
        <f aca="false">IF(AL$4=0,0,IF(COUNTIFS(実績!$W$6:$W$505,AL$3,実績!$AI$6:$AI$505,"&lt;="&amp;$A87,実績!$AJ$6:$AJ$505,"&gt;"&amp;$A87,実績!$AL$6:$AL$505,"○")&gt;0,1,0))</f>
        <v>0</v>
      </c>
      <c r="AM87" s="39" t="n">
        <f aca="false">IF(AM$4=0,0,IF(COUNTIFS(実績!$W$6:$W$505,AM$3,実績!$AI$6:$AI$505,"&lt;="&amp;$A87,実績!$AJ$6:$AJ$505,"&gt;"&amp;$A87,実績!$AL$6:$AL$505,"○")&gt;0,1,0))</f>
        <v>0</v>
      </c>
      <c r="AN87" s="39" t="n">
        <f aca="false">IF(AN$4=0,0,IF(COUNTIFS(実績!$W$6:$W$505,AN$3,実績!$AI$6:$AI$505,"&lt;="&amp;$A87,実績!$AJ$6:$AJ$505,"&gt;"&amp;$A87,実績!$AL$6:$AL$505,"○")&gt;0,1,0))</f>
        <v>0</v>
      </c>
      <c r="AO87" s="39" t="n">
        <f aca="false">IF(AO$4=0,0,IF(COUNTIFS(実績!$W$6:$W$505,AO$3,実績!$AI$6:$AI$505,"&lt;="&amp;$A87,実績!$AJ$6:$AJ$505,"&gt;"&amp;$A87,実績!$AL$6:$AL$505,"○")&gt;0,1,0))</f>
        <v>0</v>
      </c>
      <c r="AP87" s="39" t="n">
        <f aca="false">IF(AP$4=0,0,IF(COUNTIFS(実績!$W$6:$W$505,AP$3,実績!$AI$6:$AI$505,"&lt;="&amp;$A87,実績!$AJ$6:$AJ$505,"&gt;"&amp;$A87,実績!$AL$6:$AL$505,"○")&gt;0,1,0))</f>
        <v>0</v>
      </c>
      <c r="AQ87" s="39" t="n">
        <f aca="false">IF(AQ$4=0,0,IF(COUNTIFS(実績!$W$6:$W$505,AQ$3,実績!$AI$6:$AI$505,"&lt;="&amp;$A87,実績!$AJ$6:$AJ$505,"&gt;"&amp;$A87,実績!$AL$6:$AL$505,"○")&gt;0,1,0))</f>
        <v>0</v>
      </c>
      <c r="AR87" s="39" t="n">
        <f aca="false">IF(AR$4=0,0,IF(COUNTIFS(実績!$W$6:$W$505,AR$3,実績!$AI$6:$AI$505,"&lt;="&amp;$A87,実績!$AJ$6:$AJ$505,"&gt;"&amp;$A87,実績!$AL$6:$AL$505,"○")&gt;0,1,0))</f>
        <v>0</v>
      </c>
      <c r="AS87" s="39" t="n">
        <f aca="false">IF(AS$4=0,0,IF(COUNTIFS(実績!$W$6:$W$505,AS$3,実績!$AI$6:$AI$505,"&lt;="&amp;$A87,実績!$AJ$6:$AJ$505,"&gt;"&amp;$A87,実績!$AL$6:$AL$505,"○")&gt;0,1,0))</f>
        <v>0</v>
      </c>
      <c r="AT87" s="39" t="n">
        <f aca="false">IF(AT$4=0,0,IF(COUNTIFS(実績!$W$6:$W$505,AT$3,実績!$AI$6:$AI$505,"&lt;="&amp;$A87,実績!$AJ$6:$AJ$505,"&gt;"&amp;$A87,実績!$AL$6:$AL$505,"○")&gt;0,1,0))</f>
        <v>0</v>
      </c>
      <c r="AU87" s="39" t="n">
        <f aca="false">IF(AU$4=0,0,IF(COUNTIFS(実績!$W$6:$W$505,AU$3,実績!$AI$6:$AI$505,"&lt;="&amp;$A87,実績!$AJ$6:$AJ$505,"&gt;"&amp;$A87,実績!$AL$6:$AL$505,"○")&gt;0,1,0))</f>
        <v>0</v>
      </c>
      <c r="AV87" s="39" t="n">
        <f aca="false">IF(AV$4=0,0,IF(COUNTIFS(実績!$W$6:$W$505,AV$3,実績!$AI$6:$AI$505,"&lt;="&amp;$A87,実績!$AJ$6:$AJ$505,"&gt;"&amp;$A87,実績!$AL$6:$AL$505,"○")&gt;0,1,0))</f>
        <v>0</v>
      </c>
      <c r="AW87" s="39" t="n">
        <f aca="false">IF(AW$4=0,0,IF(COUNTIFS(実績!$W$6:$W$505,AW$3,実績!$AI$6:$AI$505,"&lt;="&amp;$A87,実績!$AJ$6:$AJ$505,"&gt;"&amp;$A87,実績!$AL$6:$AL$505,"○")&gt;0,1,0))</f>
        <v>0</v>
      </c>
      <c r="AX87" s="39" t="n">
        <f aca="false">IF(AX$4=0,0,IF(COUNTIFS(実績!$W$6:$W$505,AX$3,実績!$AI$6:$AI$505,"&lt;="&amp;$A87,実績!$AJ$6:$AJ$505,"&gt;"&amp;$A87,実績!$AL$6:$AL$505,"○")&gt;0,1,0))</f>
        <v>0</v>
      </c>
      <c r="AY87" s="39" t="n">
        <f aca="false">IF(AY$4=0,0,IF(COUNTIFS(実績!$W$6:$W$505,AY$3,実績!$AI$6:$AI$505,"&lt;="&amp;$A87,実績!$AJ$6:$AJ$505,"&gt;"&amp;$A87,実績!$AL$6:$AL$505,"○")&gt;0,1,0))</f>
        <v>0</v>
      </c>
      <c r="AZ87" s="39" t="n">
        <f aca="false">IF(AZ$4=0,0,IF(COUNTIFS(実績!$W$6:$W$505,AZ$3,実績!$AI$6:$AI$505,"&lt;="&amp;$A87,実績!$AJ$6:$AJ$505,"&gt;"&amp;$A87,実績!$AL$6:$AL$505,"○")&gt;0,1,0))</f>
        <v>0</v>
      </c>
      <c r="BA87" s="39" t="n">
        <f aca="false">IF(BA$4=0,0,IF(COUNTIFS(実績!$W$6:$W$505,BA$3,実績!$AI$6:$AI$505,"&lt;="&amp;$A87,実績!$AJ$6:$AJ$505,"&gt;"&amp;$A87,実績!$AL$6:$AL$505,"○")&gt;0,1,0))</f>
        <v>0</v>
      </c>
      <c r="BB87" s="39" t="n">
        <f aca="false">IF(BB$4=0,0,IF(COUNTIFS(実績!$W$6:$W$505,BB$3,実績!$AI$6:$AI$505,"&lt;="&amp;$A87,実績!$AJ$6:$AJ$505,"&gt;"&amp;$A87,実績!$AL$6:$AL$505,"○")&gt;0,1,0))</f>
        <v>0</v>
      </c>
      <c r="BC87" s="39" t="n">
        <f aca="false">IF(BC$4=0,0,IF(COUNTIFS(実績!$W$6:$W$505,BC$3,実績!$AI$6:$AI$505,"&lt;="&amp;$A87,実績!$AJ$6:$AJ$505,"&gt;"&amp;$A87,実績!$AL$6:$AL$505,"○")&gt;0,1,0))</f>
        <v>0</v>
      </c>
      <c r="BD87" s="39" t="n">
        <f aca="false">IF(BD$4=0,0,IF(COUNTIFS(実績!$W$6:$W$505,BD$3,実績!$AI$6:$AI$505,"&lt;="&amp;$A87,実績!$AJ$6:$AJ$505,"&gt;"&amp;$A87,実績!$AL$6:$AL$505,"○")&gt;0,1,0))</f>
        <v>0</v>
      </c>
      <c r="BE87" s="39" t="n">
        <f aca="false">IF(BE$4=0,0,IF(COUNTIFS(実績!$W$6:$W$505,BE$3,実績!$AI$6:$AI$505,"&lt;="&amp;$A87,実績!$AJ$6:$AJ$505,"&gt;"&amp;$A87,実績!$AL$6:$AL$505,"○")&gt;0,1,0))</f>
        <v>0</v>
      </c>
      <c r="BF87" s="39" t="n">
        <f aca="false">IF(BF$4=0,0,IF(COUNTIFS(実績!$W$6:$W$505,BF$3,実績!$AI$6:$AI$505,"&lt;="&amp;$A87,実績!$AJ$6:$AJ$505,"&gt;"&amp;$A87,実績!$AL$6:$AL$505,"○")&gt;0,1,0))</f>
        <v>0</v>
      </c>
      <c r="BG87" s="39" t="n">
        <f aca="false">IF(BG$4=0,0,IF(COUNTIFS(実績!$W$6:$W$505,BG$3,実績!$AI$6:$AI$505,"&lt;="&amp;$A87,実績!$AJ$6:$AJ$505,"&gt;"&amp;$A87,実績!$AL$6:$AL$505,"○")&gt;0,1,0))</f>
        <v>0</v>
      </c>
      <c r="BH87" s="39" t="n">
        <f aca="false">IF(BH$4=0,0,IF(COUNTIFS(実績!$W$6:$W$505,BH$3,実績!$AI$6:$AI$505,"&lt;="&amp;$A87,実績!$AJ$6:$AJ$505,"&gt;"&amp;$A87,実績!$AL$6:$AL$505,"○")&gt;0,1,0))</f>
        <v>0</v>
      </c>
      <c r="BI87" s="39" t="n">
        <f aca="false">IF(BI$4=0,0,IF(COUNTIFS(実績!$W$6:$W$505,BI$3,実績!$AI$6:$AI$505,"&lt;="&amp;$A87,実績!$AJ$6:$AJ$505,"&gt;"&amp;$A87,実績!$AL$6:$AL$505,"○")&gt;0,1,0))</f>
        <v>0</v>
      </c>
      <c r="BJ87" s="39" t="n">
        <f aca="false">IF(BJ$4=0,0,IF(COUNTIFS(実績!$W$6:$W$505,BJ$3,実績!$AI$6:$AI$505,"&lt;="&amp;$A87,実績!$AJ$6:$AJ$505,"&gt;"&amp;$A87,実績!$AL$6:$AL$505,"○")&gt;0,1,0))</f>
        <v>0</v>
      </c>
      <c r="BK87" s="39" t="n">
        <f aca="false">IF(BK$4=0,0,IF(COUNTIFS(実績!$W$6:$W$505,BK$3,実績!$AI$6:$AI$505,"&lt;="&amp;$A87,実績!$AJ$6:$AJ$505,"&gt;"&amp;$A87,実績!$AL$6:$AL$505,"○")&gt;0,1,0))</f>
        <v>0</v>
      </c>
      <c r="BL87" s="39" t="n">
        <f aca="false">IF(BL$4=0,0,IF(COUNTIFS(実績!$W$6:$W$505,BL$3,実績!$AI$6:$AI$505,"&lt;="&amp;$A87,実績!$AJ$6:$AJ$505,"&gt;"&amp;$A87,実績!$AL$6:$AL$505,"○")&gt;0,1,0))</f>
        <v>0</v>
      </c>
      <c r="BM87" s="39" t="n">
        <f aca="false">IF(BM$4=0,0,IF(COUNTIFS(実績!$W$6:$W$505,BM$3,実績!$AI$6:$AI$505,"&lt;="&amp;$A87,実績!$AJ$6:$AJ$505,"&gt;"&amp;$A87,実績!$AL$6:$AL$505,"○")&gt;0,1,0))</f>
        <v>0</v>
      </c>
      <c r="BN87" s="39" t="n">
        <f aca="false">IF(BN$4=0,0,IF(COUNTIFS(実績!$W$6:$W$505,BN$3,実績!$AI$6:$AI$505,"&lt;="&amp;$A87,実績!$AJ$6:$AJ$505,"&gt;"&amp;$A87,実績!$AL$6:$AL$505,"○")&gt;0,1,0))</f>
        <v>0</v>
      </c>
      <c r="BO87" s="39" t="n">
        <f aca="false">IF(BO$4=0,0,IF(COUNTIFS(実績!$W$6:$W$505,BO$3,実績!$AI$6:$AI$505,"&lt;="&amp;$A87,実績!$AJ$6:$AJ$505,"&gt;"&amp;$A87,実績!$AL$6:$AL$505,"○")&gt;0,1,0))</f>
        <v>0</v>
      </c>
      <c r="BP87" s="39" t="n">
        <f aca="false">IF(BP$4=0,0,IF(COUNTIFS(実績!$W$6:$W$505,BP$3,実績!$AI$6:$AI$505,"&lt;="&amp;$A87,実績!$AJ$6:$AJ$505,"&gt;"&amp;$A87,実績!$AL$6:$AL$505,"○")&gt;0,1,0))</f>
        <v>0</v>
      </c>
      <c r="BQ87" s="39" t="n">
        <f aca="false">IF(BQ$4=0,0,IF(COUNTIFS(実績!$W$6:$W$505,BQ$3,実績!$AI$6:$AI$505,"&lt;="&amp;$A87,実績!$AJ$6:$AJ$505,"&gt;"&amp;$A87,実績!$AL$6:$AL$505,"○")&gt;0,1,0))</f>
        <v>0</v>
      </c>
      <c r="BR87" s="39" t="n">
        <f aca="false">IF(BR$4=0,0,IF(COUNTIFS(実績!$W$6:$W$505,BR$3,実績!$AI$6:$AI$505,"&lt;="&amp;$A87,実績!$AJ$6:$AJ$505,"&gt;"&amp;$A87,実績!$AL$6:$AL$505,"○")&gt;0,1,0))</f>
        <v>0</v>
      </c>
      <c r="BS87" s="39" t="n">
        <f aca="false">IF(BS$4=0,0,IF(COUNTIFS(実績!$W$6:$W$505,BS$3,実績!$AI$6:$AI$505,"&lt;="&amp;$A87,実績!$AJ$6:$AJ$505,"&gt;"&amp;$A87,実績!$AL$6:$AL$505,"○")&gt;0,1,0))</f>
        <v>0</v>
      </c>
      <c r="BT87" s="39" t="n">
        <f aca="false">IF(BT$4=0,0,IF(COUNTIFS(実績!$W$6:$W$505,BT$3,実績!$AI$6:$AI$505,"&lt;="&amp;$A87,実績!$AJ$6:$AJ$505,"&gt;"&amp;$A87,実績!$AL$6:$AL$505,"○")&gt;0,1,0))</f>
        <v>0</v>
      </c>
      <c r="BU87" s="39" t="n">
        <f aca="false">IF(BU$4=0,0,IF(COUNTIFS(実績!$W$6:$W$505,BU$3,実績!$AI$6:$AI$505,"&lt;="&amp;$A87,実績!$AJ$6:$AJ$505,"&gt;"&amp;$A87,実績!$AL$6:$AL$505,"○")&gt;0,1,0))</f>
        <v>0</v>
      </c>
      <c r="BV87" s="39" t="n">
        <f aca="false">IF(BV$4=0,0,IF(COUNTIFS(実績!$W$6:$W$505,BV$3,実績!$AI$6:$AI$505,"&lt;="&amp;$A87,実績!$AJ$6:$AJ$505,"&gt;"&amp;$A87,実績!$AL$6:$AL$505,"○")&gt;0,1,0))</f>
        <v>0</v>
      </c>
      <c r="BW87" s="39" t="n">
        <f aca="false">IF(BW$4=0,0,IF(COUNTIFS(実績!$W$6:$W$505,BW$3,実績!$AI$6:$AI$505,"&lt;="&amp;$A87,実績!$AJ$6:$AJ$505,"&gt;"&amp;$A87,実績!$AL$6:$AL$505,"○")&gt;0,1,0))</f>
        <v>0</v>
      </c>
      <c r="BX87" s="39" t="n">
        <f aca="false">IF(BX$4=0,0,IF(COUNTIFS(実績!$W$6:$W$505,BX$3,実績!$AI$6:$AI$505,"&lt;="&amp;$A87,実績!$AJ$6:$AJ$505,"&gt;"&amp;$A87,実績!$AL$6:$AL$505,"○")&gt;0,1,0))</f>
        <v>0</v>
      </c>
      <c r="BY87" s="39" t="n">
        <f aca="false">IF(BY$4=0,0,IF(COUNTIFS(実績!$W$6:$W$505,BY$3,実績!$AI$6:$AI$505,"&lt;="&amp;$A87,実績!$AJ$6:$AJ$505,"&gt;"&amp;$A87,実績!$AL$6:$AL$505,"○")&gt;0,1,0))</f>
        <v>0</v>
      </c>
      <c r="BZ87" s="39" t="n">
        <f aca="false">IF(BZ$4=0,0,IF(COUNTIFS(実績!$W$6:$W$505,BZ$3,実績!$AI$6:$AI$505,"&lt;="&amp;$A87,実績!$AJ$6:$AJ$505,"&gt;"&amp;$A87,実績!$AL$6:$AL$505,"○")&gt;0,1,0))</f>
        <v>0</v>
      </c>
      <c r="CA87" s="39" t="n">
        <f aca="false">IF(CA$4=0,0,IF(COUNTIFS(実績!$W$6:$W$505,CA$3,実績!$AI$6:$AI$505,"&lt;="&amp;$A87,実績!$AJ$6:$AJ$505,"&gt;"&amp;$A87,実績!$AL$6:$AL$505,"○")&gt;0,1,0))</f>
        <v>0</v>
      </c>
      <c r="CB87" s="39" t="n">
        <f aca="false">IF(CB$4=0,0,IF(COUNTIFS(実績!$W$6:$W$505,CB$3,実績!$AI$6:$AI$505,"&lt;="&amp;$A87,実績!$AJ$6:$AJ$505,"&gt;"&amp;$A87,実績!$AL$6:$AL$505,"○")&gt;0,1,0))</f>
        <v>0</v>
      </c>
      <c r="CC87" s="39" t="n">
        <f aca="false">IF(CC$4=0,0,IF(COUNTIFS(実績!$W$6:$W$505,CC$3,実績!$AI$6:$AI$505,"&lt;="&amp;$A87,実績!$AJ$6:$AJ$505,"&gt;"&amp;$A87,実績!$AL$6:$AL$505,"○")&gt;0,1,0))</f>
        <v>0</v>
      </c>
      <c r="CD87" s="39" t="n">
        <f aca="false">IF(CD$4=0,0,IF(COUNTIFS(実績!$W$6:$W$505,CD$3,実績!$AI$6:$AI$505,"&lt;="&amp;$A87,実績!$AJ$6:$AJ$505,"&gt;"&amp;$A87,実績!$AL$6:$AL$505,"○")&gt;0,1,0))</f>
        <v>0</v>
      </c>
      <c r="CE87" s="39" t="n">
        <f aca="false">IF(CE$4=0,0,IF(COUNTIFS(実績!$W$6:$W$505,CE$3,実績!$AI$6:$AI$505,"&lt;="&amp;$A87,実績!$AJ$6:$AJ$505,"&gt;"&amp;$A87,実績!$AL$6:$AL$505,"○")&gt;0,1,0))</f>
        <v>0</v>
      </c>
      <c r="CF87" s="39" t="n">
        <f aca="false">IF(CF$4=0,0,IF(COUNTIFS(実績!$W$6:$W$505,CF$3,実績!$AI$6:$AI$505,"&lt;="&amp;$A87,実績!$AJ$6:$AJ$505,"&gt;"&amp;$A87,実績!$AL$6:$AL$505,"○")&gt;0,1,0))</f>
        <v>0</v>
      </c>
      <c r="CG87" s="39" t="n">
        <f aca="false">IF(CG$4=0,0,IF(COUNTIFS(実績!$W$6:$W$505,CG$3,実績!$AI$6:$AI$505,"&lt;="&amp;$A87,実績!$AJ$6:$AJ$505,"&gt;"&amp;$A87,実績!$AL$6:$AL$505,"○")&gt;0,1,0))</f>
        <v>0</v>
      </c>
      <c r="CH87" s="39" t="n">
        <f aca="false">IF(CH$4=0,0,IF(COUNTIFS(実績!$W$6:$W$505,CH$3,実績!$AI$6:$AI$505,"&lt;="&amp;$A87,実績!$AJ$6:$AJ$505,"&gt;"&amp;$A87,実績!$AL$6:$AL$505,"○")&gt;0,1,0))</f>
        <v>0</v>
      </c>
      <c r="CI87" s="39" t="n">
        <f aca="false">IF(CI$4=0,0,IF(COUNTIFS(実績!$W$6:$W$505,CI$3,実績!$AI$6:$AI$505,"&lt;="&amp;$A87,実績!$AJ$6:$AJ$505,"&gt;"&amp;$A87,実績!$AL$6:$AL$505,"○")&gt;0,1,0))</f>
        <v>0</v>
      </c>
      <c r="CJ87" s="39" t="n">
        <f aca="false">IF(CJ$4=0,0,IF(COUNTIFS(実績!$W$6:$W$505,CJ$3,実績!$AI$6:$AI$505,"&lt;="&amp;$A87,実績!$AJ$6:$AJ$505,"&gt;"&amp;$A87,実績!$AL$6:$AL$505,"○")&gt;0,1,0))</f>
        <v>0</v>
      </c>
      <c r="CK87" s="39" t="n">
        <f aca="false">IF(CK$4=0,0,IF(COUNTIFS(実績!$W$6:$W$505,CK$3,実績!$AI$6:$AI$505,"&lt;="&amp;$A87,実績!$AJ$6:$AJ$505,"&gt;"&amp;$A87,実績!$AL$6:$AL$505,"○")&gt;0,1,0))</f>
        <v>0</v>
      </c>
      <c r="CL87" s="39" t="n">
        <f aca="false">IF(CL$4=0,0,IF(COUNTIFS(実績!$W$6:$W$505,CL$3,実績!$AI$6:$AI$505,"&lt;="&amp;$A87,実績!$AJ$6:$AJ$505,"&gt;"&amp;$A87,実績!$AL$6:$AL$505,"○")&gt;0,1,0))</f>
        <v>0</v>
      </c>
      <c r="CM87" s="39" t="n">
        <f aca="false">IF(CM$4=0,0,IF(COUNTIFS(実績!$W$6:$W$505,CM$3,実績!$AI$6:$AI$505,"&lt;="&amp;$A87,実績!$AJ$6:$AJ$505,"&gt;"&amp;$A87,実績!$AL$6:$AL$505,"○")&gt;0,1,0))</f>
        <v>0</v>
      </c>
      <c r="CN87" s="39" t="n">
        <f aca="false">IF(CN$4=0,0,IF(COUNTIFS(実績!$W$6:$W$505,CN$3,実績!$AI$6:$AI$505,"&lt;="&amp;$A87,実績!$AJ$6:$AJ$505,"&gt;"&amp;$A87,実績!$AL$6:$AL$505,"○")&gt;0,1,0))</f>
        <v>0</v>
      </c>
      <c r="CO87" s="39" t="n">
        <f aca="false">IF(CO$4=0,0,IF(COUNTIFS(実績!$W$6:$W$505,CO$3,実績!$AI$6:$AI$505,"&lt;="&amp;$A87,実績!$AJ$6:$AJ$505,"&gt;"&amp;$A87,実績!$AL$6:$AL$505,"○")&gt;0,1,0))</f>
        <v>0</v>
      </c>
      <c r="CP87" s="39" t="n">
        <f aca="false">IF(CP$4=0,0,IF(COUNTIFS(実績!$W$6:$W$505,CP$3,実績!$AI$6:$AI$505,"&lt;="&amp;$A87,実績!$AJ$6:$AJ$505,"&gt;"&amp;$A87,実績!$AL$6:$AL$505,"○")&gt;0,1,0))</f>
        <v>0</v>
      </c>
      <c r="CQ87" s="39" t="n">
        <f aca="false">IF(CQ$4=0,0,IF(COUNTIFS(実績!$W$6:$W$505,CQ$3,実績!$AI$6:$AI$505,"&lt;="&amp;$A87,実績!$AJ$6:$AJ$505,"&gt;"&amp;$A87,実績!$AL$6:$AL$505,"○")&gt;0,1,0))</f>
        <v>0</v>
      </c>
      <c r="CR87" s="39" t="n">
        <f aca="false">IF(CR$4=0,0,IF(COUNTIFS(実績!$W$6:$W$505,CR$3,実績!$AI$6:$AI$505,"&lt;="&amp;$A87,実績!$AJ$6:$AJ$505,"&gt;"&amp;$A87,実績!$AL$6:$AL$505,"○")&gt;0,1,0))</f>
        <v>0</v>
      </c>
      <c r="CS87" s="39" t="n">
        <f aca="false">IF(CS$4=0,0,IF(COUNTIFS(実績!$W$6:$W$505,CS$3,実績!$AI$6:$AI$505,"&lt;="&amp;$A87,実績!$AJ$6:$AJ$505,"&gt;"&amp;$A87,実績!$AL$6:$AL$505,"○")&gt;0,1,0))</f>
        <v>0</v>
      </c>
      <c r="CT87" s="39" t="n">
        <f aca="false">IF(CT$4=0,0,IF(COUNTIFS(実績!$W$6:$W$505,CT$3,実績!$AI$6:$AI$505,"&lt;="&amp;$A87,実績!$AJ$6:$AJ$505,"&gt;"&amp;$A87,実績!$AL$6:$AL$505,"○")&gt;0,1,0))</f>
        <v>0</v>
      </c>
      <c r="CU87" s="39" t="n">
        <f aca="false">IF(CU$4=0,0,IF(COUNTIFS(実績!$W$6:$W$505,CU$3,実績!$AI$6:$AI$505,"&lt;="&amp;$A87,実績!$AJ$6:$AJ$505,"&gt;"&amp;$A87,実績!$AL$6:$AL$505,"○")&gt;0,1,0))</f>
        <v>0</v>
      </c>
      <c r="CV87" s="39" t="n">
        <f aca="false">IF(CV$4=0,0,IF(COUNTIFS(実績!$W$6:$W$505,CV$3,実績!$AI$6:$AI$505,"&lt;="&amp;$A87,実績!$AJ$6:$AJ$505,"&gt;"&amp;$A87,実績!$AL$6:$AL$505,"○")&gt;0,1,0))</f>
        <v>0</v>
      </c>
      <c r="CW87" s="39" t="n">
        <f aca="false">IF(CW$4=0,0,IF(COUNTIFS(実績!$W$6:$W$505,CW$3,実績!$AI$6:$AI$505,"&lt;="&amp;$A87,実績!$AJ$6:$AJ$505,"&gt;"&amp;$A87,実績!$AL$6:$AL$505,"○")&gt;0,1,0))</f>
        <v>0</v>
      </c>
      <c r="CX87" s="39" t="n">
        <f aca="false">IF(CX$4=0,0,IF(COUNTIFS(実績!$W$6:$W$505,CX$3,実績!$AI$6:$AI$505,"&lt;="&amp;$A87,実績!$AJ$6:$AJ$505,"&gt;"&amp;$A87,実績!$AL$6:$AL$505,"○")&gt;0,1,0))</f>
        <v>0</v>
      </c>
      <c r="CY87" s="39" t="n">
        <f aca="false">IF(CY$4=0,0,IF(COUNTIFS(実績!$W$6:$W$505,CY$3,実績!$AI$6:$AI$505,"&lt;="&amp;$A87,実績!$AJ$6:$AJ$505,"&gt;"&amp;$A87,実績!$AL$6:$AL$505,"○")&gt;0,1,0))</f>
        <v>0</v>
      </c>
      <c r="CZ87" s="39" t="n">
        <f aca="false">IF(CZ$4=0,0,IF(COUNTIFS(実績!$W$6:$W$505,CZ$3,実績!$AI$6:$AI$505,"&lt;="&amp;$A87,実績!$AJ$6:$AJ$505,"&gt;"&amp;$A87,実績!$AL$6:$AL$505,"○")&gt;0,1,0))</f>
        <v>0</v>
      </c>
      <c r="DA87" s="39" t="n">
        <f aca="false">IF(DA$4=0,0,IF(COUNTIFS(実績!$W$6:$W$505,DA$3,実績!$AI$6:$AI$505,"&lt;="&amp;$A87,実績!$AJ$6:$AJ$505,"&gt;"&amp;$A87,実績!$AL$6:$AL$505,"○")&gt;0,1,0))</f>
        <v>0</v>
      </c>
      <c r="DB87" s="39" t="n">
        <f aca="false">IF(DB$4=0,0,IF(COUNTIFS(実績!$W$6:$W$505,DB$3,実績!$AI$6:$AI$505,"&lt;="&amp;$A87,実績!$AJ$6:$AJ$505,"&gt;"&amp;$A87,実績!$AL$6:$AL$505,"○")&gt;0,1,0))</f>
        <v>0</v>
      </c>
      <c r="DC87" s="39" t="n">
        <f aca="false">IF(DC$4=0,0,IF(COUNTIFS(実績!$W$6:$W$505,DC$3,実績!$AI$6:$AI$505,"&lt;="&amp;$A87,実績!$AJ$6:$AJ$505,"&gt;"&amp;$A87,実績!$AL$6:$AL$505,"○")&gt;0,1,0))</f>
        <v>0</v>
      </c>
      <c r="DD87" s="39" t="n">
        <f aca="false">IF(DD$4=0,0,IF(COUNTIFS(実績!$W$6:$W$505,DD$3,実績!$AI$6:$AI$505,"&lt;="&amp;$A87,実績!$AJ$6:$AJ$505,"&gt;"&amp;$A87,実績!$AL$6:$AL$505,"○")&gt;0,1,0))</f>
        <v>0</v>
      </c>
      <c r="DE87" s="39" t="n">
        <f aca="false">IF(DE$4=0,0,IF(COUNTIFS(実績!$W$6:$W$505,DE$3,実績!$AI$6:$AI$505,"&lt;="&amp;$A87,実績!$AJ$6:$AJ$505,"&gt;"&amp;$A87,実績!$AL$6:$AL$505,"○")&gt;0,1,0))</f>
        <v>0</v>
      </c>
      <c r="DF87" s="39" t="n">
        <f aca="false">IF(DF$4=0,0,IF(COUNTIFS(実績!$W$6:$W$505,DF$3,実績!$AI$6:$AI$505,"&lt;="&amp;$A87,実績!$AJ$6:$AJ$505,"&gt;"&amp;$A87,実績!$AL$6:$AL$505,"○")&gt;0,1,0))</f>
        <v>0</v>
      </c>
      <c r="DG87" s="39" t="n">
        <f aca="false">IF(DG$4=0,0,IF(COUNTIFS(実績!$W$6:$W$505,DG$3,実績!$AI$6:$AI$505,"&lt;="&amp;$A87,実績!$AJ$6:$AJ$505,"&gt;"&amp;$A87,実績!$AL$6:$AL$505,"○")&gt;0,1,0))</f>
        <v>0</v>
      </c>
      <c r="DH87" s="39" t="n">
        <f aca="false">IF(DH$4=0,0,IF(COUNTIFS(実績!$W$6:$W$505,DH$3,実績!$AI$6:$AI$505,"&lt;="&amp;$A87,実績!$AJ$6:$AJ$505,"&gt;"&amp;$A87,実績!$AL$6:$AL$505,"○")&gt;0,1,0))</f>
        <v>0</v>
      </c>
      <c r="DI87" s="39" t="n">
        <f aca="false">IF(DI$4=0,0,IF(COUNTIFS(実績!$W$6:$W$505,DI$3,実績!$AI$6:$AI$505,"&lt;="&amp;$A87,実績!$AJ$6:$AJ$505,"&gt;"&amp;$A87,実績!$AL$6:$AL$505,"○")&gt;0,1,0))</f>
        <v>0</v>
      </c>
      <c r="DJ87" s="39" t="n">
        <f aca="false">IF(DJ$4=0,0,IF(COUNTIFS(実績!$W$6:$W$505,DJ$3,実績!$AI$6:$AI$505,"&lt;="&amp;$A87,実績!$AJ$6:$AJ$505,"&gt;"&amp;$A87,実績!$AL$6:$AL$505,"○")&gt;0,1,0))</f>
        <v>0</v>
      </c>
      <c r="DK87" s="39" t="n">
        <f aca="false">IF(DK$4=0,0,IF(COUNTIFS(実績!$W$6:$W$505,DK$3,実績!$AI$6:$AI$505,"&lt;="&amp;$A87,実績!$AJ$6:$AJ$505,"&gt;"&amp;$A87,実績!$AL$6:$AL$505,"○")&gt;0,1,0))</f>
        <v>0</v>
      </c>
      <c r="DL87" s="39" t="n">
        <f aca="false">IF(DL$4=0,0,IF(COUNTIFS(実績!$W$6:$W$505,DL$3,実績!$AI$6:$AI$505,"&lt;="&amp;$A87,実績!$AJ$6:$AJ$505,"&gt;"&amp;$A87,実績!$AL$6:$AL$505,"○")&gt;0,1,0))</f>
        <v>0</v>
      </c>
      <c r="DM87" s="39" t="n">
        <f aca="false">IF(DM$4=0,0,IF(COUNTIFS(実績!$W$6:$W$505,DM$3,実績!$AI$6:$AI$505,"&lt;="&amp;$A87,実績!$AJ$6:$AJ$505,"&gt;"&amp;$A87,実績!$AL$6:$AL$505,"○")&gt;0,1,0))</f>
        <v>0</v>
      </c>
      <c r="DN87" s="39" t="n">
        <f aca="false">IF(DN$4=0,0,IF(COUNTIFS(実績!$W$6:$W$505,DN$3,実績!$AI$6:$AI$505,"&lt;="&amp;$A87,実績!$AJ$6:$AJ$505,"&gt;"&amp;$A87,実績!$AL$6:$AL$505,"○")&gt;0,1,0))</f>
        <v>0</v>
      </c>
      <c r="DO87" s="39" t="n">
        <f aca="false">IF(DO$4=0,0,IF(COUNTIFS(実績!$W$6:$W$505,DO$3,実績!$AI$6:$AI$505,"&lt;="&amp;$A87,実績!$AJ$6:$AJ$505,"&gt;"&amp;$A87,実績!$AL$6:$AL$505,"○")&gt;0,1,0))</f>
        <v>0</v>
      </c>
      <c r="DP87" s="39" t="n">
        <f aca="false">IF(DP$4=0,0,IF(COUNTIFS(実績!$W$6:$W$505,DP$3,実績!$AI$6:$AI$505,"&lt;="&amp;$A87,実績!$AJ$6:$AJ$505,"&gt;"&amp;$A87,実績!$AL$6:$AL$505,"○")&gt;0,1,0))</f>
        <v>0</v>
      </c>
      <c r="DQ87" s="39" t="n">
        <f aca="false">IF(DQ$4=0,0,IF(COUNTIFS(実績!$W$6:$W$505,DQ$3,実績!$AI$6:$AI$505,"&lt;="&amp;$A87,実績!$AJ$6:$AJ$505,"&gt;"&amp;$A87,実績!$AL$6:$AL$505,"○")&gt;0,1,0))</f>
        <v>0</v>
      </c>
      <c r="DR87" s="39" t="n">
        <f aca="false">IF(DR$4=0,0,IF(COUNTIFS(実績!$W$6:$W$505,DR$3,実績!$AI$6:$AI$505,"&lt;="&amp;$A87,実績!$AJ$6:$AJ$505,"&gt;"&amp;$A87,実績!$AL$6:$AL$505,"○")&gt;0,1,0))</f>
        <v>0</v>
      </c>
      <c r="DS87" s="39" t="n">
        <f aca="false">SUM(C87:DR87)</f>
        <v>0</v>
      </c>
    </row>
    <row r="88" customFormat="false" ht="15" hidden="false" customHeight="false" outlineLevel="0" collapsed="false">
      <c r="A88" s="0" t="n">
        <v>410</v>
      </c>
      <c r="B88" s="38" t="n">
        <f aca="false">A88/1440</f>
        <v>0.284722222222222</v>
      </c>
      <c r="C88" s="39" t="n">
        <f aca="false">IF(C$4=0,0,IF(COUNTIFS(実績!$W$6:$W$505,C$3,実績!$AI$6:$AI$505,"&lt;="&amp;$A88,実績!$AJ$6:$AJ$505,"&gt;"&amp;$A88,実績!$AL$6:$AL$505,"○")&gt;0,1,0))</f>
        <v>0</v>
      </c>
      <c r="D88" s="39" t="n">
        <f aca="false">IF(D$4=0,0,IF(COUNTIFS(実績!$W$6:$W$505,D$3,実績!$AI$6:$AI$505,"&lt;="&amp;$A88,実績!$AJ$6:$AJ$505,"&gt;"&amp;$A88,実績!$AL$6:$AL$505,"○")&gt;0,1,0))</f>
        <v>0</v>
      </c>
      <c r="E88" s="39" t="n">
        <f aca="false">IF(E$4=0,0,IF(COUNTIFS(実績!$W$6:$W$505,E$3,実績!$AI$6:$AI$505,"&lt;="&amp;$A88,実績!$AJ$6:$AJ$505,"&gt;"&amp;$A88,実績!$AL$6:$AL$505,"○")&gt;0,1,0))</f>
        <v>0</v>
      </c>
      <c r="F88" s="39" t="n">
        <f aca="false">IF(F$4=0,0,IF(COUNTIFS(実績!$W$6:$W$505,F$3,実績!$AI$6:$AI$505,"&lt;="&amp;$A88,実績!$AJ$6:$AJ$505,"&gt;"&amp;$A88,実績!$AL$6:$AL$505,"○")&gt;0,1,0))</f>
        <v>0</v>
      </c>
      <c r="G88" s="39" t="n">
        <f aca="false">IF(G$4=0,0,IF(COUNTIFS(実績!$W$6:$W$505,G$3,実績!$AI$6:$AI$505,"&lt;="&amp;$A88,実績!$AJ$6:$AJ$505,"&gt;"&amp;$A88,実績!$AL$6:$AL$505,"○")&gt;0,1,0))</f>
        <v>0</v>
      </c>
      <c r="H88" s="39" t="n">
        <f aca="false">IF(H$4=0,0,IF(COUNTIFS(実績!$W$6:$W$505,H$3,実績!$AI$6:$AI$505,"&lt;="&amp;$A88,実績!$AJ$6:$AJ$505,"&gt;"&amp;$A88,実績!$AL$6:$AL$505,"○")&gt;0,1,0))</f>
        <v>0</v>
      </c>
      <c r="I88" s="39" t="n">
        <f aca="false">IF(I$4=0,0,IF(COUNTIFS(実績!$W$6:$W$505,I$3,実績!$AI$6:$AI$505,"&lt;="&amp;$A88,実績!$AJ$6:$AJ$505,"&gt;"&amp;$A88,実績!$AL$6:$AL$505,"○")&gt;0,1,0))</f>
        <v>0</v>
      </c>
      <c r="J88" s="39" t="n">
        <f aca="false">IF(J$4=0,0,IF(COUNTIFS(実績!$W$6:$W$505,J$3,実績!$AI$6:$AI$505,"&lt;="&amp;$A88,実績!$AJ$6:$AJ$505,"&gt;"&amp;$A88,実績!$AL$6:$AL$505,"○")&gt;0,1,0))</f>
        <v>0</v>
      </c>
      <c r="K88" s="39" t="n">
        <f aca="false">IF(K$4=0,0,IF(COUNTIFS(実績!$W$6:$W$505,K$3,実績!$AI$6:$AI$505,"&lt;="&amp;$A88,実績!$AJ$6:$AJ$505,"&gt;"&amp;$A88,実績!$AL$6:$AL$505,"○")&gt;0,1,0))</f>
        <v>0</v>
      </c>
      <c r="L88" s="39" t="n">
        <f aca="false">IF(L$4=0,0,IF(COUNTIFS(実績!$W$6:$W$505,L$3,実績!$AI$6:$AI$505,"&lt;="&amp;$A88,実績!$AJ$6:$AJ$505,"&gt;"&amp;$A88,実績!$AL$6:$AL$505,"○")&gt;0,1,0))</f>
        <v>0</v>
      </c>
      <c r="M88" s="39" t="n">
        <f aca="false">IF(M$4=0,0,IF(COUNTIFS(実績!$W$6:$W$505,M$3,実績!$AI$6:$AI$505,"&lt;="&amp;$A88,実績!$AJ$6:$AJ$505,"&gt;"&amp;$A88,実績!$AL$6:$AL$505,"○")&gt;0,1,0))</f>
        <v>0</v>
      </c>
      <c r="N88" s="39" t="n">
        <f aca="false">IF(N$4=0,0,IF(COUNTIFS(実績!$W$6:$W$505,N$3,実績!$AI$6:$AI$505,"&lt;="&amp;$A88,実績!$AJ$6:$AJ$505,"&gt;"&amp;$A88,実績!$AL$6:$AL$505,"○")&gt;0,1,0))</f>
        <v>0</v>
      </c>
      <c r="O88" s="39" t="n">
        <f aca="false">IF(O$4=0,0,IF(COUNTIFS(実績!$W$6:$W$505,O$3,実績!$AI$6:$AI$505,"&lt;="&amp;$A88,実績!$AJ$6:$AJ$505,"&gt;"&amp;$A88,実績!$AL$6:$AL$505,"○")&gt;0,1,0))</f>
        <v>0</v>
      </c>
      <c r="P88" s="39" t="n">
        <f aca="false">IF(P$4=0,0,IF(COUNTIFS(実績!$W$6:$W$505,P$3,実績!$AI$6:$AI$505,"&lt;="&amp;$A88,実績!$AJ$6:$AJ$505,"&gt;"&amp;$A88,実績!$AL$6:$AL$505,"○")&gt;0,1,0))</f>
        <v>0</v>
      </c>
      <c r="Q88" s="39" t="n">
        <f aca="false">IF(Q$4=0,0,IF(COUNTIFS(実績!$W$6:$W$505,Q$3,実績!$AI$6:$AI$505,"&lt;="&amp;$A88,実績!$AJ$6:$AJ$505,"&gt;"&amp;$A88,実績!$AL$6:$AL$505,"○")&gt;0,1,0))</f>
        <v>0</v>
      </c>
      <c r="R88" s="39" t="n">
        <f aca="false">IF(R$4=0,0,IF(COUNTIFS(実績!$W$6:$W$505,R$3,実績!$AI$6:$AI$505,"&lt;="&amp;$A88,実績!$AJ$6:$AJ$505,"&gt;"&amp;$A88,実績!$AL$6:$AL$505,"○")&gt;0,1,0))</f>
        <v>0</v>
      </c>
      <c r="S88" s="39" t="n">
        <f aca="false">IF(S$4=0,0,IF(COUNTIFS(実績!$W$6:$W$505,S$3,実績!$AI$6:$AI$505,"&lt;="&amp;$A88,実績!$AJ$6:$AJ$505,"&gt;"&amp;$A88,実績!$AL$6:$AL$505,"○")&gt;0,1,0))</f>
        <v>0</v>
      </c>
      <c r="T88" s="39" t="n">
        <f aca="false">IF(T$4=0,0,IF(COUNTIFS(実績!$W$6:$W$505,T$3,実績!$AI$6:$AI$505,"&lt;="&amp;$A88,実績!$AJ$6:$AJ$505,"&gt;"&amp;$A88,実績!$AL$6:$AL$505,"○")&gt;0,1,0))</f>
        <v>0</v>
      </c>
      <c r="U88" s="39" t="n">
        <f aca="false">IF(U$4=0,0,IF(COUNTIFS(実績!$W$6:$W$505,U$3,実績!$AI$6:$AI$505,"&lt;="&amp;$A88,実績!$AJ$6:$AJ$505,"&gt;"&amp;$A88,実績!$AL$6:$AL$505,"○")&gt;0,1,0))</f>
        <v>0</v>
      </c>
      <c r="V88" s="39" t="n">
        <f aca="false">IF(V$4=0,0,IF(COUNTIFS(実績!$W$6:$W$505,V$3,実績!$AI$6:$AI$505,"&lt;="&amp;$A88,実績!$AJ$6:$AJ$505,"&gt;"&amp;$A88,実績!$AL$6:$AL$505,"○")&gt;0,1,0))</f>
        <v>0</v>
      </c>
      <c r="W88" s="39" t="n">
        <f aca="false">IF(W$4=0,0,IF(COUNTIFS(実績!$W$6:$W$505,W$3,実績!$AI$6:$AI$505,"&lt;="&amp;$A88,実績!$AJ$6:$AJ$505,"&gt;"&amp;$A88,実績!$AL$6:$AL$505,"○")&gt;0,1,0))</f>
        <v>0</v>
      </c>
      <c r="X88" s="39" t="n">
        <f aca="false">IF(X$4=0,0,IF(COUNTIFS(実績!$W$6:$W$505,X$3,実績!$AI$6:$AI$505,"&lt;="&amp;$A88,実績!$AJ$6:$AJ$505,"&gt;"&amp;$A88,実績!$AL$6:$AL$505,"○")&gt;0,1,0))</f>
        <v>0</v>
      </c>
      <c r="Y88" s="39" t="n">
        <f aca="false">IF(Y$4=0,0,IF(COUNTIFS(実績!$W$6:$W$505,Y$3,実績!$AI$6:$AI$505,"&lt;="&amp;$A88,実績!$AJ$6:$AJ$505,"&gt;"&amp;$A88,実績!$AL$6:$AL$505,"○")&gt;0,1,0))</f>
        <v>0</v>
      </c>
      <c r="Z88" s="39" t="n">
        <f aca="false">IF(Z$4=0,0,IF(COUNTIFS(実績!$W$6:$W$505,Z$3,実績!$AI$6:$AI$505,"&lt;="&amp;$A88,実績!$AJ$6:$AJ$505,"&gt;"&amp;$A88,実績!$AL$6:$AL$505,"○")&gt;0,1,0))</f>
        <v>0</v>
      </c>
      <c r="AA88" s="39" t="n">
        <f aca="false">IF(AA$4=0,0,IF(COUNTIFS(実績!$W$6:$W$505,AA$3,実績!$AI$6:$AI$505,"&lt;="&amp;$A88,実績!$AJ$6:$AJ$505,"&gt;"&amp;$A88,実績!$AL$6:$AL$505,"○")&gt;0,1,0))</f>
        <v>0</v>
      </c>
      <c r="AB88" s="39" t="n">
        <f aca="false">IF(AB$4=0,0,IF(COUNTIFS(実績!$W$6:$W$505,AB$3,実績!$AI$6:$AI$505,"&lt;="&amp;$A88,実績!$AJ$6:$AJ$505,"&gt;"&amp;$A88,実績!$AL$6:$AL$505,"○")&gt;0,1,0))</f>
        <v>0</v>
      </c>
      <c r="AC88" s="39" t="n">
        <f aca="false">IF(AC$4=0,0,IF(COUNTIFS(実績!$W$6:$W$505,AC$3,実績!$AI$6:$AI$505,"&lt;="&amp;$A88,実績!$AJ$6:$AJ$505,"&gt;"&amp;$A88,実績!$AL$6:$AL$505,"○")&gt;0,1,0))</f>
        <v>0</v>
      </c>
      <c r="AD88" s="39" t="n">
        <f aca="false">IF(AD$4=0,0,IF(COUNTIFS(実績!$W$6:$W$505,AD$3,実績!$AI$6:$AI$505,"&lt;="&amp;$A88,実績!$AJ$6:$AJ$505,"&gt;"&amp;$A88,実績!$AL$6:$AL$505,"○")&gt;0,1,0))</f>
        <v>0</v>
      </c>
      <c r="AE88" s="39" t="n">
        <f aca="false">IF(AE$4=0,0,IF(COUNTIFS(実績!$W$6:$W$505,AE$3,実績!$AI$6:$AI$505,"&lt;="&amp;$A88,実績!$AJ$6:$AJ$505,"&gt;"&amp;$A88,実績!$AL$6:$AL$505,"○")&gt;0,1,0))</f>
        <v>0</v>
      </c>
      <c r="AF88" s="39" t="n">
        <f aca="false">IF(AF$4=0,0,IF(COUNTIFS(実績!$W$6:$W$505,AF$3,実績!$AI$6:$AI$505,"&lt;="&amp;$A88,実績!$AJ$6:$AJ$505,"&gt;"&amp;$A88,実績!$AL$6:$AL$505,"○")&gt;0,1,0))</f>
        <v>0</v>
      </c>
      <c r="AG88" s="39" t="n">
        <f aca="false">IF(AG$4=0,0,IF(COUNTIFS(実績!$W$6:$W$505,AG$3,実績!$AI$6:$AI$505,"&lt;="&amp;$A88,実績!$AJ$6:$AJ$505,"&gt;"&amp;$A88,実績!$AL$6:$AL$505,"○")&gt;0,1,0))</f>
        <v>0</v>
      </c>
      <c r="AH88" s="39" t="n">
        <f aca="false">IF(AH$4=0,0,IF(COUNTIFS(実績!$W$6:$W$505,AH$3,実績!$AI$6:$AI$505,"&lt;="&amp;$A88,実績!$AJ$6:$AJ$505,"&gt;"&amp;$A88,実績!$AL$6:$AL$505,"○")&gt;0,1,0))</f>
        <v>0</v>
      </c>
      <c r="AI88" s="39" t="n">
        <f aca="false">IF(AI$4=0,0,IF(COUNTIFS(実績!$W$6:$W$505,AI$3,実績!$AI$6:$AI$505,"&lt;="&amp;$A88,実績!$AJ$6:$AJ$505,"&gt;"&amp;$A88,実績!$AL$6:$AL$505,"○")&gt;0,1,0))</f>
        <v>0</v>
      </c>
      <c r="AJ88" s="39" t="n">
        <f aca="false">IF(AJ$4=0,0,IF(COUNTIFS(実績!$W$6:$W$505,AJ$3,実績!$AI$6:$AI$505,"&lt;="&amp;$A88,実績!$AJ$6:$AJ$505,"&gt;"&amp;$A88,実績!$AL$6:$AL$505,"○")&gt;0,1,0))</f>
        <v>0</v>
      </c>
      <c r="AK88" s="39" t="n">
        <f aca="false">IF(AK$4=0,0,IF(COUNTIFS(実績!$W$6:$W$505,AK$3,実績!$AI$6:$AI$505,"&lt;="&amp;$A88,実績!$AJ$6:$AJ$505,"&gt;"&amp;$A88,実績!$AL$6:$AL$505,"○")&gt;0,1,0))</f>
        <v>0</v>
      </c>
      <c r="AL88" s="39" t="n">
        <f aca="false">IF(AL$4=0,0,IF(COUNTIFS(実績!$W$6:$W$505,AL$3,実績!$AI$6:$AI$505,"&lt;="&amp;$A88,実績!$AJ$6:$AJ$505,"&gt;"&amp;$A88,実績!$AL$6:$AL$505,"○")&gt;0,1,0))</f>
        <v>0</v>
      </c>
      <c r="AM88" s="39" t="n">
        <f aca="false">IF(AM$4=0,0,IF(COUNTIFS(実績!$W$6:$W$505,AM$3,実績!$AI$6:$AI$505,"&lt;="&amp;$A88,実績!$AJ$6:$AJ$505,"&gt;"&amp;$A88,実績!$AL$6:$AL$505,"○")&gt;0,1,0))</f>
        <v>0</v>
      </c>
      <c r="AN88" s="39" t="n">
        <f aca="false">IF(AN$4=0,0,IF(COUNTIFS(実績!$W$6:$W$505,AN$3,実績!$AI$6:$AI$505,"&lt;="&amp;$A88,実績!$AJ$6:$AJ$505,"&gt;"&amp;$A88,実績!$AL$6:$AL$505,"○")&gt;0,1,0))</f>
        <v>0</v>
      </c>
      <c r="AO88" s="39" t="n">
        <f aca="false">IF(AO$4=0,0,IF(COUNTIFS(実績!$W$6:$W$505,AO$3,実績!$AI$6:$AI$505,"&lt;="&amp;$A88,実績!$AJ$6:$AJ$505,"&gt;"&amp;$A88,実績!$AL$6:$AL$505,"○")&gt;0,1,0))</f>
        <v>0</v>
      </c>
      <c r="AP88" s="39" t="n">
        <f aca="false">IF(AP$4=0,0,IF(COUNTIFS(実績!$W$6:$W$505,AP$3,実績!$AI$6:$AI$505,"&lt;="&amp;$A88,実績!$AJ$6:$AJ$505,"&gt;"&amp;$A88,実績!$AL$6:$AL$505,"○")&gt;0,1,0))</f>
        <v>0</v>
      </c>
      <c r="AQ88" s="39" t="n">
        <f aca="false">IF(AQ$4=0,0,IF(COUNTIFS(実績!$W$6:$W$505,AQ$3,実績!$AI$6:$AI$505,"&lt;="&amp;$A88,実績!$AJ$6:$AJ$505,"&gt;"&amp;$A88,実績!$AL$6:$AL$505,"○")&gt;0,1,0))</f>
        <v>0</v>
      </c>
      <c r="AR88" s="39" t="n">
        <f aca="false">IF(AR$4=0,0,IF(COUNTIFS(実績!$W$6:$W$505,AR$3,実績!$AI$6:$AI$505,"&lt;="&amp;$A88,実績!$AJ$6:$AJ$505,"&gt;"&amp;$A88,実績!$AL$6:$AL$505,"○")&gt;0,1,0))</f>
        <v>0</v>
      </c>
      <c r="AS88" s="39" t="n">
        <f aca="false">IF(AS$4=0,0,IF(COUNTIFS(実績!$W$6:$W$505,AS$3,実績!$AI$6:$AI$505,"&lt;="&amp;$A88,実績!$AJ$6:$AJ$505,"&gt;"&amp;$A88,実績!$AL$6:$AL$505,"○")&gt;0,1,0))</f>
        <v>0</v>
      </c>
      <c r="AT88" s="39" t="n">
        <f aca="false">IF(AT$4=0,0,IF(COUNTIFS(実績!$W$6:$W$505,AT$3,実績!$AI$6:$AI$505,"&lt;="&amp;$A88,実績!$AJ$6:$AJ$505,"&gt;"&amp;$A88,実績!$AL$6:$AL$505,"○")&gt;0,1,0))</f>
        <v>0</v>
      </c>
      <c r="AU88" s="39" t="n">
        <f aca="false">IF(AU$4=0,0,IF(COUNTIFS(実績!$W$6:$W$505,AU$3,実績!$AI$6:$AI$505,"&lt;="&amp;$A88,実績!$AJ$6:$AJ$505,"&gt;"&amp;$A88,実績!$AL$6:$AL$505,"○")&gt;0,1,0))</f>
        <v>0</v>
      </c>
      <c r="AV88" s="39" t="n">
        <f aca="false">IF(AV$4=0,0,IF(COUNTIFS(実績!$W$6:$W$505,AV$3,実績!$AI$6:$AI$505,"&lt;="&amp;$A88,実績!$AJ$6:$AJ$505,"&gt;"&amp;$A88,実績!$AL$6:$AL$505,"○")&gt;0,1,0))</f>
        <v>0</v>
      </c>
      <c r="AW88" s="39" t="n">
        <f aca="false">IF(AW$4=0,0,IF(COUNTIFS(実績!$W$6:$W$505,AW$3,実績!$AI$6:$AI$505,"&lt;="&amp;$A88,実績!$AJ$6:$AJ$505,"&gt;"&amp;$A88,実績!$AL$6:$AL$505,"○")&gt;0,1,0))</f>
        <v>0</v>
      </c>
      <c r="AX88" s="39" t="n">
        <f aca="false">IF(AX$4=0,0,IF(COUNTIFS(実績!$W$6:$W$505,AX$3,実績!$AI$6:$AI$505,"&lt;="&amp;$A88,実績!$AJ$6:$AJ$505,"&gt;"&amp;$A88,実績!$AL$6:$AL$505,"○")&gt;0,1,0))</f>
        <v>0</v>
      </c>
      <c r="AY88" s="39" t="n">
        <f aca="false">IF(AY$4=0,0,IF(COUNTIFS(実績!$W$6:$W$505,AY$3,実績!$AI$6:$AI$505,"&lt;="&amp;$A88,実績!$AJ$6:$AJ$505,"&gt;"&amp;$A88,実績!$AL$6:$AL$505,"○")&gt;0,1,0))</f>
        <v>0</v>
      </c>
      <c r="AZ88" s="39" t="n">
        <f aca="false">IF(AZ$4=0,0,IF(COUNTIFS(実績!$W$6:$W$505,AZ$3,実績!$AI$6:$AI$505,"&lt;="&amp;$A88,実績!$AJ$6:$AJ$505,"&gt;"&amp;$A88,実績!$AL$6:$AL$505,"○")&gt;0,1,0))</f>
        <v>0</v>
      </c>
      <c r="BA88" s="39" t="n">
        <f aca="false">IF(BA$4=0,0,IF(COUNTIFS(実績!$W$6:$W$505,BA$3,実績!$AI$6:$AI$505,"&lt;="&amp;$A88,実績!$AJ$6:$AJ$505,"&gt;"&amp;$A88,実績!$AL$6:$AL$505,"○")&gt;0,1,0))</f>
        <v>0</v>
      </c>
      <c r="BB88" s="39" t="n">
        <f aca="false">IF(BB$4=0,0,IF(COUNTIFS(実績!$W$6:$W$505,BB$3,実績!$AI$6:$AI$505,"&lt;="&amp;$A88,実績!$AJ$6:$AJ$505,"&gt;"&amp;$A88,実績!$AL$6:$AL$505,"○")&gt;0,1,0))</f>
        <v>0</v>
      </c>
      <c r="BC88" s="39" t="n">
        <f aca="false">IF(BC$4=0,0,IF(COUNTIFS(実績!$W$6:$W$505,BC$3,実績!$AI$6:$AI$505,"&lt;="&amp;$A88,実績!$AJ$6:$AJ$505,"&gt;"&amp;$A88,実績!$AL$6:$AL$505,"○")&gt;0,1,0))</f>
        <v>0</v>
      </c>
      <c r="BD88" s="39" t="n">
        <f aca="false">IF(BD$4=0,0,IF(COUNTIFS(実績!$W$6:$W$505,BD$3,実績!$AI$6:$AI$505,"&lt;="&amp;$A88,実績!$AJ$6:$AJ$505,"&gt;"&amp;$A88,実績!$AL$6:$AL$505,"○")&gt;0,1,0))</f>
        <v>0</v>
      </c>
      <c r="BE88" s="39" t="n">
        <f aca="false">IF(BE$4=0,0,IF(COUNTIFS(実績!$W$6:$W$505,BE$3,実績!$AI$6:$AI$505,"&lt;="&amp;$A88,実績!$AJ$6:$AJ$505,"&gt;"&amp;$A88,実績!$AL$6:$AL$505,"○")&gt;0,1,0))</f>
        <v>0</v>
      </c>
      <c r="BF88" s="39" t="n">
        <f aca="false">IF(BF$4=0,0,IF(COUNTIFS(実績!$W$6:$W$505,BF$3,実績!$AI$6:$AI$505,"&lt;="&amp;$A88,実績!$AJ$6:$AJ$505,"&gt;"&amp;$A88,実績!$AL$6:$AL$505,"○")&gt;0,1,0))</f>
        <v>0</v>
      </c>
      <c r="BG88" s="39" t="n">
        <f aca="false">IF(BG$4=0,0,IF(COUNTIFS(実績!$W$6:$W$505,BG$3,実績!$AI$6:$AI$505,"&lt;="&amp;$A88,実績!$AJ$6:$AJ$505,"&gt;"&amp;$A88,実績!$AL$6:$AL$505,"○")&gt;0,1,0))</f>
        <v>0</v>
      </c>
      <c r="BH88" s="39" t="n">
        <f aca="false">IF(BH$4=0,0,IF(COUNTIFS(実績!$W$6:$W$505,BH$3,実績!$AI$6:$AI$505,"&lt;="&amp;$A88,実績!$AJ$6:$AJ$505,"&gt;"&amp;$A88,実績!$AL$6:$AL$505,"○")&gt;0,1,0))</f>
        <v>0</v>
      </c>
      <c r="BI88" s="39" t="n">
        <f aca="false">IF(BI$4=0,0,IF(COUNTIFS(実績!$W$6:$W$505,BI$3,実績!$AI$6:$AI$505,"&lt;="&amp;$A88,実績!$AJ$6:$AJ$505,"&gt;"&amp;$A88,実績!$AL$6:$AL$505,"○")&gt;0,1,0))</f>
        <v>0</v>
      </c>
      <c r="BJ88" s="39" t="n">
        <f aca="false">IF(BJ$4=0,0,IF(COUNTIFS(実績!$W$6:$W$505,BJ$3,実績!$AI$6:$AI$505,"&lt;="&amp;$A88,実績!$AJ$6:$AJ$505,"&gt;"&amp;$A88,実績!$AL$6:$AL$505,"○")&gt;0,1,0))</f>
        <v>0</v>
      </c>
      <c r="BK88" s="39" t="n">
        <f aca="false">IF(BK$4=0,0,IF(COUNTIFS(実績!$W$6:$W$505,BK$3,実績!$AI$6:$AI$505,"&lt;="&amp;$A88,実績!$AJ$6:$AJ$505,"&gt;"&amp;$A88,実績!$AL$6:$AL$505,"○")&gt;0,1,0))</f>
        <v>0</v>
      </c>
      <c r="BL88" s="39" t="n">
        <f aca="false">IF(BL$4=0,0,IF(COUNTIFS(実績!$W$6:$W$505,BL$3,実績!$AI$6:$AI$505,"&lt;="&amp;$A88,実績!$AJ$6:$AJ$505,"&gt;"&amp;$A88,実績!$AL$6:$AL$505,"○")&gt;0,1,0))</f>
        <v>0</v>
      </c>
      <c r="BM88" s="39" t="n">
        <f aca="false">IF(BM$4=0,0,IF(COUNTIFS(実績!$W$6:$W$505,BM$3,実績!$AI$6:$AI$505,"&lt;="&amp;$A88,実績!$AJ$6:$AJ$505,"&gt;"&amp;$A88,実績!$AL$6:$AL$505,"○")&gt;0,1,0))</f>
        <v>0</v>
      </c>
      <c r="BN88" s="39" t="n">
        <f aca="false">IF(BN$4=0,0,IF(COUNTIFS(実績!$W$6:$W$505,BN$3,実績!$AI$6:$AI$505,"&lt;="&amp;$A88,実績!$AJ$6:$AJ$505,"&gt;"&amp;$A88,実績!$AL$6:$AL$505,"○")&gt;0,1,0))</f>
        <v>0</v>
      </c>
      <c r="BO88" s="39" t="n">
        <f aca="false">IF(BO$4=0,0,IF(COUNTIFS(実績!$W$6:$W$505,BO$3,実績!$AI$6:$AI$505,"&lt;="&amp;$A88,実績!$AJ$6:$AJ$505,"&gt;"&amp;$A88,実績!$AL$6:$AL$505,"○")&gt;0,1,0))</f>
        <v>0</v>
      </c>
      <c r="BP88" s="39" t="n">
        <f aca="false">IF(BP$4=0,0,IF(COUNTIFS(実績!$W$6:$W$505,BP$3,実績!$AI$6:$AI$505,"&lt;="&amp;$A88,実績!$AJ$6:$AJ$505,"&gt;"&amp;$A88,実績!$AL$6:$AL$505,"○")&gt;0,1,0))</f>
        <v>0</v>
      </c>
      <c r="BQ88" s="39" t="n">
        <f aca="false">IF(BQ$4=0,0,IF(COUNTIFS(実績!$W$6:$W$505,BQ$3,実績!$AI$6:$AI$505,"&lt;="&amp;$A88,実績!$AJ$6:$AJ$505,"&gt;"&amp;$A88,実績!$AL$6:$AL$505,"○")&gt;0,1,0))</f>
        <v>0</v>
      </c>
      <c r="BR88" s="39" t="n">
        <f aca="false">IF(BR$4=0,0,IF(COUNTIFS(実績!$W$6:$W$505,BR$3,実績!$AI$6:$AI$505,"&lt;="&amp;$A88,実績!$AJ$6:$AJ$505,"&gt;"&amp;$A88,実績!$AL$6:$AL$505,"○")&gt;0,1,0))</f>
        <v>0</v>
      </c>
      <c r="BS88" s="39" t="n">
        <f aca="false">IF(BS$4=0,0,IF(COUNTIFS(実績!$W$6:$W$505,BS$3,実績!$AI$6:$AI$505,"&lt;="&amp;$A88,実績!$AJ$6:$AJ$505,"&gt;"&amp;$A88,実績!$AL$6:$AL$505,"○")&gt;0,1,0))</f>
        <v>0</v>
      </c>
      <c r="BT88" s="39" t="n">
        <f aca="false">IF(BT$4=0,0,IF(COUNTIFS(実績!$W$6:$W$505,BT$3,実績!$AI$6:$AI$505,"&lt;="&amp;$A88,実績!$AJ$6:$AJ$505,"&gt;"&amp;$A88,実績!$AL$6:$AL$505,"○")&gt;0,1,0))</f>
        <v>0</v>
      </c>
      <c r="BU88" s="39" t="n">
        <f aca="false">IF(BU$4=0,0,IF(COUNTIFS(実績!$W$6:$W$505,BU$3,実績!$AI$6:$AI$505,"&lt;="&amp;$A88,実績!$AJ$6:$AJ$505,"&gt;"&amp;$A88,実績!$AL$6:$AL$505,"○")&gt;0,1,0))</f>
        <v>0</v>
      </c>
      <c r="BV88" s="39" t="n">
        <f aca="false">IF(BV$4=0,0,IF(COUNTIFS(実績!$W$6:$W$505,BV$3,実績!$AI$6:$AI$505,"&lt;="&amp;$A88,実績!$AJ$6:$AJ$505,"&gt;"&amp;$A88,実績!$AL$6:$AL$505,"○")&gt;0,1,0))</f>
        <v>0</v>
      </c>
      <c r="BW88" s="39" t="n">
        <f aca="false">IF(BW$4=0,0,IF(COUNTIFS(実績!$W$6:$W$505,BW$3,実績!$AI$6:$AI$505,"&lt;="&amp;$A88,実績!$AJ$6:$AJ$505,"&gt;"&amp;$A88,実績!$AL$6:$AL$505,"○")&gt;0,1,0))</f>
        <v>0</v>
      </c>
      <c r="BX88" s="39" t="n">
        <f aca="false">IF(BX$4=0,0,IF(COUNTIFS(実績!$W$6:$W$505,BX$3,実績!$AI$6:$AI$505,"&lt;="&amp;$A88,実績!$AJ$6:$AJ$505,"&gt;"&amp;$A88,実績!$AL$6:$AL$505,"○")&gt;0,1,0))</f>
        <v>0</v>
      </c>
      <c r="BY88" s="39" t="n">
        <f aca="false">IF(BY$4=0,0,IF(COUNTIFS(実績!$W$6:$W$505,BY$3,実績!$AI$6:$AI$505,"&lt;="&amp;$A88,実績!$AJ$6:$AJ$505,"&gt;"&amp;$A88,実績!$AL$6:$AL$505,"○")&gt;0,1,0))</f>
        <v>0</v>
      </c>
      <c r="BZ88" s="39" t="n">
        <f aca="false">IF(BZ$4=0,0,IF(COUNTIFS(実績!$W$6:$W$505,BZ$3,実績!$AI$6:$AI$505,"&lt;="&amp;$A88,実績!$AJ$6:$AJ$505,"&gt;"&amp;$A88,実績!$AL$6:$AL$505,"○")&gt;0,1,0))</f>
        <v>0</v>
      </c>
      <c r="CA88" s="39" t="n">
        <f aca="false">IF(CA$4=0,0,IF(COUNTIFS(実績!$W$6:$W$505,CA$3,実績!$AI$6:$AI$505,"&lt;="&amp;$A88,実績!$AJ$6:$AJ$505,"&gt;"&amp;$A88,実績!$AL$6:$AL$505,"○")&gt;0,1,0))</f>
        <v>0</v>
      </c>
      <c r="CB88" s="39" t="n">
        <f aca="false">IF(CB$4=0,0,IF(COUNTIFS(実績!$W$6:$W$505,CB$3,実績!$AI$6:$AI$505,"&lt;="&amp;$A88,実績!$AJ$6:$AJ$505,"&gt;"&amp;$A88,実績!$AL$6:$AL$505,"○")&gt;0,1,0))</f>
        <v>0</v>
      </c>
      <c r="CC88" s="39" t="n">
        <f aca="false">IF(CC$4=0,0,IF(COUNTIFS(実績!$W$6:$W$505,CC$3,実績!$AI$6:$AI$505,"&lt;="&amp;$A88,実績!$AJ$6:$AJ$505,"&gt;"&amp;$A88,実績!$AL$6:$AL$505,"○")&gt;0,1,0))</f>
        <v>0</v>
      </c>
      <c r="CD88" s="39" t="n">
        <f aca="false">IF(CD$4=0,0,IF(COUNTIFS(実績!$W$6:$W$505,CD$3,実績!$AI$6:$AI$505,"&lt;="&amp;$A88,実績!$AJ$6:$AJ$505,"&gt;"&amp;$A88,実績!$AL$6:$AL$505,"○")&gt;0,1,0))</f>
        <v>0</v>
      </c>
      <c r="CE88" s="39" t="n">
        <f aca="false">IF(CE$4=0,0,IF(COUNTIFS(実績!$W$6:$W$505,CE$3,実績!$AI$6:$AI$505,"&lt;="&amp;$A88,実績!$AJ$6:$AJ$505,"&gt;"&amp;$A88,実績!$AL$6:$AL$505,"○")&gt;0,1,0))</f>
        <v>0</v>
      </c>
      <c r="CF88" s="39" t="n">
        <f aca="false">IF(CF$4=0,0,IF(COUNTIFS(実績!$W$6:$W$505,CF$3,実績!$AI$6:$AI$505,"&lt;="&amp;$A88,実績!$AJ$6:$AJ$505,"&gt;"&amp;$A88,実績!$AL$6:$AL$505,"○")&gt;0,1,0))</f>
        <v>0</v>
      </c>
      <c r="CG88" s="39" t="n">
        <f aca="false">IF(CG$4=0,0,IF(COUNTIFS(実績!$W$6:$W$505,CG$3,実績!$AI$6:$AI$505,"&lt;="&amp;$A88,実績!$AJ$6:$AJ$505,"&gt;"&amp;$A88,実績!$AL$6:$AL$505,"○")&gt;0,1,0))</f>
        <v>0</v>
      </c>
      <c r="CH88" s="39" t="n">
        <f aca="false">IF(CH$4=0,0,IF(COUNTIFS(実績!$W$6:$W$505,CH$3,実績!$AI$6:$AI$505,"&lt;="&amp;$A88,実績!$AJ$6:$AJ$505,"&gt;"&amp;$A88,実績!$AL$6:$AL$505,"○")&gt;0,1,0))</f>
        <v>0</v>
      </c>
      <c r="CI88" s="39" t="n">
        <f aca="false">IF(CI$4=0,0,IF(COUNTIFS(実績!$W$6:$W$505,CI$3,実績!$AI$6:$AI$505,"&lt;="&amp;$A88,実績!$AJ$6:$AJ$505,"&gt;"&amp;$A88,実績!$AL$6:$AL$505,"○")&gt;0,1,0))</f>
        <v>0</v>
      </c>
      <c r="CJ88" s="39" t="n">
        <f aca="false">IF(CJ$4=0,0,IF(COUNTIFS(実績!$W$6:$W$505,CJ$3,実績!$AI$6:$AI$505,"&lt;="&amp;$A88,実績!$AJ$6:$AJ$505,"&gt;"&amp;$A88,実績!$AL$6:$AL$505,"○")&gt;0,1,0))</f>
        <v>0</v>
      </c>
      <c r="CK88" s="39" t="n">
        <f aca="false">IF(CK$4=0,0,IF(COUNTIFS(実績!$W$6:$W$505,CK$3,実績!$AI$6:$AI$505,"&lt;="&amp;$A88,実績!$AJ$6:$AJ$505,"&gt;"&amp;$A88,実績!$AL$6:$AL$505,"○")&gt;0,1,0))</f>
        <v>0</v>
      </c>
      <c r="CL88" s="39" t="n">
        <f aca="false">IF(CL$4=0,0,IF(COUNTIFS(実績!$W$6:$W$505,CL$3,実績!$AI$6:$AI$505,"&lt;="&amp;$A88,実績!$AJ$6:$AJ$505,"&gt;"&amp;$A88,実績!$AL$6:$AL$505,"○")&gt;0,1,0))</f>
        <v>0</v>
      </c>
      <c r="CM88" s="39" t="n">
        <f aca="false">IF(CM$4=0,0,IF(COUNTIFS(実績!$W$6:$W$505,CM$3,実績!$AI$6:$AI$505,"&lt;="&amp;$A88,実績!$AJ$6:$AJ$505,"&gt;"&amp;$A88,実績!$AL$6:$AL$505,"○")&gt;0,1,0))</f>
        <v>0</v>
      </c>
      <c r="CN88" s="39" t="n">
        <f aca="false">IF(CN$4=0,0,IF(COUNTIFS(実績!$W$6:$W$505,CN$3,実績!$AI$6:$AI$505,"&lt;="&amp;$A88,実績!$AJ$6:$AJ$505,"&gt;"&amp;$A88,実績!$AL$6:$AL$505,"○")&gt;0,1,0))</f>
        <v>0</v>
      </c>
      <c r="CO88" s="39" t="n">
        <f aca="false">IF(CO$4=0,0,IF(COUNTIFS(実績!$W$6:$W$505,CO$3,実績!$AI$6:$AI$505,"&lt;="&amp;$A88,実績!$AJ$6:$AJ$505,"&gt;"&amp;$A88,実績!$AL$6:$AL$505,"○")&gt;0,1,0))</f>
        <v>0</v>
      </c>
      <c r="CP88" s="39" t="n">
        <f aca="false">IF(CP$4=0,0,IF(COUNTIFS(実績!$W$6:$W$505,CP$3,実績!$AI$6:$AI$505,"&lt;="&amp;$A88,実績!$AJ$6:$AJ$505,"&gt;"&amp;$A88,実績!$AL$6:$AL$505,"○")&gt;0,1,0))</f>
        <v>0</v>
      </c>
      <c r="CQ88" s="39" t="n">
        <f aca="false">IF(CQ$4=0,0,IF(COUNTIFS(実績!$W$6:$W$505,CQ$3,実績!$AI$6:$AI$505,"&lt;="&amp;$A88,実績!$AJ$6:$AJ$505,"&gt;"&amp;$A88,実績!$AL$6:$AL$505,"○")&gt;0,1,0))</f>
        <v>0</v>
      </c>
      <c r="CR88" s="39" t="n">
        <f aca="false">IF(CR$4=0,0,IF(COUNTIFS(実績!$W$6:$W$505,CR$3,実績!$AI$6:$AI$505,"&lt;="&amp;$A88,実績!$AJ$6:$AJ$505,"&gt;"&amp;$A88,実績!$AL$6:$AL$505,"○")&gt;0,1,0))</f>
        <v>0</v>
      </c>
      <c r="CS88" s="39" t="n">
        <f aca="false">IF(CS$4=0,0,IF(COUNTIFS(実績!$W$6:$W$505,CS$3,実績!$AI$6:$AI$505,"&lt;="&amp;$A88,実績!$AJ$6:$AJ$505,"&gt;"&amp;$A88,実績!$AL$6:$AL$505,"○")&gt;0,1,0))</f>
        <v>0</v>
      </c>
      <c r="CT88" s="39" t="n">
        <f aca="false">IF(CT$4=0,0,IF(COUNTIFS(実績!$W$6:$W$505,CT$3,実績!$AI$6:$AI$505,"&lt;="&amp;$A88,実績!$AJ$6:$AJ$505,"&gt;"&amp;$A88,実績!$AL$6:$AL$505,"○")&gt;0,1,0))</f>
        <v>0</v>
      </c>
      <c r="CU88" s="39" t="n">
        <f aca="false">IF(CU$4=0,0,IF(COUNTIFS(実績!$W$6:$W$505,CU$3,実績!$AI$6:$AI$505,"&lt;="&amp;$A88,実績!$AJ$6:$AJ$505,"&gt;"&amp;$A88,実績!$AL$6:$AL$505,"○")&gt;0,1,0))</f>
        <v>0</v>
      </c>
      <c r="CV88" s="39" t="n">
        <f aca="false">IF(CV$4=0,0,IF(COUNTIFS(実績!$W$6:$W$505,CV$3,実績!$AI$6:$AI$505,"&lt;="&amp;$A88,実績!$AJ$6:$AJ$505,"&gt;"&amp;$A88,実績!$AL$6:$AL$505,"○")&gt;0,1,0))</f>
        <v>0</v>
      </c>
      <c r="CW88" s="39" t="n">
        <f aca="false">IF(CW$4=0,0,IF(COUNTIFS(実績!$W$6:$W$505,CW$3,実績!$AI$6:$AI$505,"&lt;="&amp;$A88,実績!$AJ$6:$AJ$505,"&gt;"&amp;$A88,実績!$AL$6:$AL$505,"○")&gt;0,1,0))</f>
        <v>0</v>
      </c>
      <c r="CX88" s="39" t="n">
        <f aca="false">IF(CX$4=0,0,IF(COUNTIFS(実績!$W$6:$W$505,CX$3,実績!$AI$6:$AI$505,"&lt;="&amp;$A88,実績!$AJ$6:$AJ$505,"&gt;"&amp;$A88,実績!$AL$6:$AL$505,"○")&gt;0,1,0))</f>
        <v>0</v>
      </c>
      <c r="CY88" s="39" t="n">
        <f aca="false">IF(CY$4=0,0,IF(COUNTIFS(実績!$W$6:$W$505,CY$3,実績!$AI$6:$AI$505,"&lt;="&amp;$A88,実績!$AJ$6:$AJ$505,"&gt;"&amp;$A88,実績!$AL$6:$AL$505,"○")&gt;0,1,0))</f>
        <v>0</v>
      </c>
      <c r="CZ88" s="39" t="n">
        <f aca="false">IF(CZ$4=0,0,IF(COUNTIFS(実績!$W$6:$W$505,CZ$3,実績!$AI$6:$AI$505,"&lt;="&amp;$A88,実績!$AJ$6:$AJ$505,"&gt;"&amp;$A88,実績!$AL$6:$AL$505,"○")&gt;0,1,0))</f>
        <v>0</v>
      </c>
      <c r="DA88" s="39" t="n">
        <f aca="false">IF(DA$4=0,0,IF(COUNTIFS(実績!$W$6:$W$505,DA$3,実績!$AI$6:$AI$505,"&lt;="&amp;$A88,実績!$AJ$6:$AJ$505,"&gt;"&amp;$A88,実績!$AL$6:$AL$505,"○")&gt;0,1,0))</f>
        <v>0</v>
      </c>
      <c r="DB88" s="39" t="n">
        <f aca="false">IF(DB$4=0,0,IF(COUNTIFS(実績!$W$6:$W$505,DB$3,実績!$AI$6:$AI$505,"&lt;="&amp;$A88,実績!$AJ$6:$AJ$505,"&gt;"&amp;$A88,実績!$AL$6:$AL$505,"○")&gt;0,1,0))</f>
        <v>0</v>
      </c>
      <c r="DC88" s="39" t="n">
        <f aca="false">IF(DC$4=0,0,IF(COUNTIFS(実績!$W$6:$W$505,DC$3,実績!$AI$6:$AI$505,"&lt;="&amp;$A88,実績!$AJ$6:$AJ$505,"&gt;"&amp;$A88,実績!$AL$6:$AL$505,"○")&gt;0,1,0))</f>
        <v>0</v>
      </c>
      <c r="DD88" s="39" t="n">
        <f aca="false">IF(DD$4=0,0,IF(COUNTIFS(実績!$W$6:$W$505,DD$3,実績!$AI$6:$AI$505,"&lt;="&amp;$A88,実績!$AJ$6:$AJ$505,"&gt;"&amp;$A88,実績!$AL$6:$AL$505,"○")&gt;0,1,0))</f>
        <v>0</v>
      </c>
      <c r="DE88" s="39" t="n">
        <f aca="false">IF(DE$4=0,0,IF(COUNTIFS(実績!$W$6:$W$505,DE$3,実績!$AI$6:$AI$505,"&lt;="&amp;$A88,実績!$AJ$6:$AJ$505,"&gt;"&amp;$A88,実績!$AL$6:$AL$505,"○")&gt;0,1,0))</f>
        <v>0</v>
      </c>
      <c r="DF88" s="39" t="n">
        <f aca="false">IF(DF$4=0,0,IF(COUNTIFS(実績!$W$6:$W$505,DF$3,実績!$AI$6:$AI$505,"&lt;="&amp;$A88,実績!$AJ$6:$AJ$505,"&gt;"&amp;$A88,実績!$AL$6:$AL$505,"○")&gt;0,1,0))</f>
        <v>0</v>
      </c>
      <c r="DG88" s="39" t="n">
        <f aca="false">IF(DG$4=0,0,IF(COUNTIFS(実績!$W$6:$W$505,DG$3,実績!$AI$6:$AI$505,"&lt;="&amp;$A88,実績!$AJ$6:$AJ$505,"&gt;"&amp;$A88,実績!$AL$6:$AL$505,"○")&gt;0,1,0))</f>
        <v>0</v>
      </c>
      <c r="DH88" s="39" t="n">
        <f aca="false">IF(DH$4=0,0,IF(COUNTIFS(実績!$W$6:$W$505,DH$3,実績!$AI$6:$AI$505,"&lt;="&amp;$A88,実績!$AJ$6:$AJ$505,"&gt;"&amp;$A88,実績!$AL$6:$AL$505,"○")&gt;0,1,0))</f>
        <v>0</v>
      </c>
      <c r="DI88" s="39" t="n">
        <f aca="false">IF(DI$4=0,0,IF(COUNTIFS(実績!$W$6:$W$505,DI$3,実績!$AI$6:$AI$505,"&lt;="&amp;$A88,実績!$AJ$6:$AJ$505,"&gt;"&amp;$A88,実績!$AL$6:$AL$505,"○")&gt;0,1,0))</f>
        <v>0</v>
      </c>
      <c r="DJ88" s="39" t="n">
        <f aca="false">IF(DJ$4=0,0,IF(COUNTIFS(実績!$W$6:$W$505,DJ$3,実績!$AI$6:$AI$505,"&lt;="&amp;$A88,実績!$AJ$6:$AJ$505,"&gt;"&amp;$A88,実績!$AL$6:$AL$505,"○")&gt;0,1,0))</f>
        <v>0</v>
      </c>
      <c r="DK88" s="39" t="n">
        <f aca="false">IF(DK$4=0,0,IF(COUNTIFS(実績!$W$6:$W$505,DK$3,実績!$AI$6:$AI$505,"&lt;="&amp;$A88,実績!$AJ$6:$AJ$505,"&gt;"&amp;$A88,実績!$AL$6:$AL$505,"○")&gt;0,1,0))</f>
        <v>0</v>
      </c>
      <c r="DL88" s="39" t="n">
        <f aca="false">IF(DL$4=0,0,IF(COUNTIFS(実績!$W$6:$W$505,DL$3,実績!$AI$6:$AI$505,"&lt;="&amp;$A88,実績!$AJ$6:$AJ$505,"&gt;"&amp;$A88,実績!$AL$6:$AL$505,"○")&gt;0,1,0))</f>
        <v>0</v>
      </c>
      <c r="DM88" s="39" t="n">
        <f aca="false">IF(DM$4=0,0,IF(COUNTIFS(実績!$W$6:$W$505,DM$3,実績!$AI$6:$AI$505,"&lt;="&amp;$A88,実績!$AJ$6:$AJ$505,"&gt;"&amp;$A88,実績!$AL$6:$AL$505,"○")&gt;0,1,0))</f>
        <v>0</v>
      </c>
      <c r="DN88" s="39" t="n">
        <f aca="false">IF(DN$4=0,0,IF(COUNTIFS(実績!$W$6:$W$505,DN$3,実績!$AI$6:$AI$505,"&lt;="&amp;$A88,実績!$AJ$6:$AJ$505,"&gt;"&amp;$A88,実績!$AL$6:$AL$505,"○")&gt;0,1,0))</f>
        <v>0</v>
      </c>
      <c r="DO88" s="39" t="n">
        <f aca="false">IF(DO$4=0,0,IF(COUNTIFS(実績!$W$6:$W$505,DO$3,実績!$AI$6:$AI$505,"&lt;="&amp;$A88,実績!$AJ$6:$AJ$505,"&gt;"&amp;$A88,実績!$AL$6:$AL$505,"○")&gt;0,1,0))</f>
        <v>0</v>
      </c>
      <c r="DP88" s="39" t="n">
        <f aca="false">IF(DP$4=0,0,IF(COUNTIFS(実績!$W$6:$W$505,DP$3,実績!$AI$6:$AI$505,"&lt;="&amp;$A88,実績!$AJ$6:$AJ$505,"&gt;"&amp;$A88,実績!$AL$6:$AL$505,"○")&gt;0,1,0))</f>
        <v>0</v>
      </c>
      <c r="DQ88" s="39" t="n">
        <f aca="false">IF(DQ$4=0,0,IF(COUNTIFS(実績!$W$6:$W$505,DQ$3,実績!$AI$6:$AI$505,"&lt;="&amp;$A88,実績!$AJ$6:$AJ$505,"&gt;"&amp;$A88,実績!$AL$6:$AL$505,"○")&gt;0,1,0))</f>
        <v>0</v>
      </c>
      <c r="DR88" s="39" t="n">
        <f aca="false">IF(DR$4=0,0,IF(COUNTIFS(実績!$W$6:$W$505,DR$3,実績!$AI$6:$AI$505,"&lt;="&amp;$A88,実績!$AJ$6:$AJ$505,"&gt;"&amp;$A88,実績!$AL$6:$AL$505,"○")&gt;0,1,0))</f>
        <v>0</v>
      </c>
      <c r="DS88" s="39" t="n">
        <f aca="false">SUM(C88:DR88)</f>
        <v>0</v>
      </c>
    </row>
    <row r="89" customFormat="false" ht="15" hidden="false" customHeight="false" outlineLevel="0" collapsed="false">
      <c r="A89" s="0" t="n">
        <v>415</v>
      </c>
      <c r="B89" s="38" t="n">
        <f aca="false">A89/1440</f>
        <v>0.288194444444444</v>
      </c>
      <c r="C89" s="39" t="n">
        <f aca="false">IF(C$4=0,0,IF(COUNTIFS(実績!$W$6:$W$505,C$3,実績!$AI$6:$AI$505,"&lt;="&amp;$A89,実績!$AJ$6:$AJ$505,"&gt;"&amp;$A89,実績!$AL$6:$AL$505,"○")&gt;0,1,0))</f>
        <v>0</v>
      </c>
      <c r="D89" s="39" t="n">
        <f aca="false">IF(D$4=0,0,IF(COUNTIFS(実績!$W$6:$W$505,D$3,実績!$AI$6:$AI$505,"&lt;="&amp;$A89,実績!$AJ$6:$AJ$505,"&gt;"&amp;$A89,実績!$AL$6:$AL$505,"○")&gt;0,1,0))</f>
        <v>0</v>
      </c>
      <c r="E89" s="39" t="n">
        <f aca="false">IF(E$4=0,0,IF(COUNTIFS(実績!$W$6:$W$505,E$3,実績!$AI$6:$AI$505,"&lt;="&amp;$A89,実績!$AJ$6:$AJ$505,"&gt;"&amp;$A89,実績!$AL$6:$AL$505,"○")&gt;0,1,0))</f>
        <v>0</v>
      </c>
      <c r="F89" s="39" t="n">
        <f aca="false">IF(F$4=0,0,IF(COUNTIFS(実績!$W$6:$W$505,F$3,実績!$AI$6:$AI$505,"&lt;="&amp;$A89,実績!$AJ$6:$AJ$505,"&gt;"&amp;$A89,実績!$AL$6:$AL$505,"○")&gt;0,1,0))</f>
        <v>0</v>
      </c>
      <c r="G89" s="39" t="n">
        <f aca="false">IF(G$4=0,0,IF(COUNTIFS(実績!$W$6:$W$505,G$3,実績!$AI$6:$AI$505,"&lt;="&amp;$A89,実績!$AJ$6:$AJ$505,"&gt;"&amp;$A89,実績!$AL$6:$AL$505,"○")&gt;0,1,0))</f>
        <v>0</v>
      </c>
      <c r="H89" s="39" t="n">
        <f aca="false">IF(H$4=0,0,IF(COUNTIFS(実績!$W$6:$W$505,H$3,実績!$AI$6:$AI$505,"&lt;="&amp;$A89,実績!$AJ$6:$AJ$505,"&gt;"&amp;$A89,実績!$AL$6:$AL$505,"○")&gt;0,1,0))</f>
        <v>0</v>
      </c>
      <c r="I89" s="39" t="n">
        <f aca="false">IF(I$4=0,0,IF(COUNTIFS(実績!$W$6:$W$505,I$3,実績!$AI$6:$AI$505,"&lt;="&amp;$A89,実績!$AJ$6:$AJ$505,"&gt;"&amp;$A89,実績!$AL$6:$AL$505,"○")&gt;0,1,0))</f>
        <v>0</v>
      </c>
      <c r="J89" s="39" t="n">
        <f aca="false">IF(J$4=0,0,IF(COUNTIFS(実績!$W$6:$W$505,J$3,実績!$AI$6:$AI$505,"&lt;="&amp;$A89,実績!$AJ$6:$AJ$505,"&gt;"&amp;$A89,実績!$AL$6:$AL$505,"○")&gt;0,1,0))</f>
        <v>0</v>
      </c>
      <c r="K89" s="39" t="n">
        <f aca="false">IF(K$4=0,0,IF(COUNTIFS(実績!$W$6:$W$505,K$3,実績!$AI$6:$AI$505,"&lt;="&amp;$A89,実績!$AJ$6:$AJ$505,"&gt;"&amp;$A89,実績!$AL$6:$AL$505,"○")&gt;0,1,0))</f>
        <v>0</v>
      </c>
      <c r="L89" s="39" t="n">
        <f aca="false">IF(L$4=0,0,IF(COUNTIFS(実績!$W$6:$W$505,L$3,実績!$AI$6:$AI$505,"&lt;="&amp;$A89,実績!$AJ$6:$AJ$505,"&gt;"&amp;$A89,実績!$AL$6:$AL$505,"○")&gt;0,1,0))</f>
        <v>0</v>
      </c>
      <c r="M89" s="39" t="n">
        <f aca="false">IF(M$4=0,0,IF(COUNTIFS(実績!$W$6:$W$505,M$3,実績!$AI$6:$AI$505,"&lt;="&amp;$A89,実績!$AJ$6:$AJ$505,"&gt;"&amp;$A89,実績!$AL$6:$AL$505,"○")&gt;0,1,0))</f>
        <v>0</v>
      </c>
      <c r="N89" s="39" t="n">
        <f aca="false">IF(N$4=0,0,IF(COUNTIFS(実績!$W$6:$W$505,N$3,実績!$AI$6:$AI$505,"&lt;="&amp;$A89,実績!$AJ$6:$AJ$505,"&gt;"&amp;$A89,実績!$AL$6:$AL$505,"○")&gt;0,1,0))</f>
        <v>0</v>
      </c>
      <c r="O89" s="39" t="n">
        <f aca="false">IF(O$4=0,0,IF(COUNTIFS(実績!$W$6:$W$505,O$3,実績!$AI$6:$AI$505,"&lt;="&amp;$A89,実績!$AJ$6:$AJ$505,"&gt;"&amp;$A89,実績!$AL$6:$AL$505,"○")&gt;0,1,0))</f>
        <v>0</v>
      </c>
      <c r="P89" s="39" t="n">
        <f aca="false">IF(P$4=0,0,IF(COUNTIFS(実績!$W$6:$W$505,P$3,実績!$AI$6:$AI$505,"&lt;="&amp;$A89,実績!$AJ$6:$AJ$505,"&gt;"&amp;$A89,実績!$AL$6:$AL$505,"○")&gt;0,1,0))</f>
        <v>0</v>
      </c>
      <c r="Q89" s="39" t="n">
        <f aca="false">IF(Q$4=0,0,IF(COUNTIFS(実績!$W$6:$W$505,Q$3,実績!$AI$6:$AI$505,"&lt;="&amp;$A89,実績!$AJ$6:$AJ$505,"&gt;"&amp;$A89,実績!$AL$6:$AL$505,"○")&gt;0,1,0))</f>
        <v>0</v>
      </c>
      <c r="R89" s="39" t="n">
        <f aca="false">IF(R$4=0,0,IF(COUNTIFS(実績!$W$6:$W$505,R$3,実績!$AI$6:$AI$505,"&lt;="&amp;$A89,実績!$AJ$6:$AJ$505,"&gt;"&amp;$A89,実績!$AL$6:$AL$505,"○")&gt;0,1,0))</f>
        <v>0</v>
      </c>
      <c r="S89" s="39" t="n">
        <f aca="false">IF(S$4=0,0,IF(COUNTIFS(実績!$W$6:$W$505,S$3,実績!$AI$6:$AI$505,"&lt;="&amp;$A89,実績!$AJ$6:$AJ$505,"&gt;"&amp;$A89,実績!$AL$6:$AL$505,"○")&gt;0,1,0))</f>
        <v>0</v>
      </c>
      <c r="T89" s="39" t="n">
        <f aca="false">IF(T$4=0,0,IF(COUNTIFS(実績!$W$6:$W$505,T$3,実績!$AI$6:$AI$505,"&lt;="&amp;$A89,実績!$AJ$6:$AJ$505,"&gt;"&amp;$A89,実績!$AL$6:$AL$505,"○")&gt;0,1,0))</f>
        <v>0</v>
      </c>
      <c r="U89" s="39" t="n">
        <f aca="false">IF(U$4=0,0,IF(COUNTIFS(実績!$W$6:$W$505,U$3,実績!$AI$6:$AI$505,"&lt;="&amp;$A89,実績!$AJ$6:$AJ$505,"&gt;"&amp;$A89,実績!$AL$6:$AL$505,"○")&gt;0,1,0))</f>
        <v>0</v>
      </c>
      <c r="V89" s="39" t="n">
        <f aca="false">IF(V$4=0,0,IF(COUNTIFS(実績!$W$6:$W$505,V$3,実績!$AI$6:$AI$505,"&lt;="&amp;$A89,実績!$AJ$6:$AJ$505,"&gt;"&amp;$A89,実績!$AL$6:$AL$505,"○")&gt;0,1,0))</f>
        <v>0</v>
      </c>
      <c r="W89" s="39" t="n">
        <f aca="false">IF(W$4=0,0,IF(COUNTIFS(実績!$W$6:$W$505,W$3,実績!$AI$6:$AI$505,"&lt;="&amp;$A89,実績!$AJ$6:$AJ$505,"&gt;"&amp;$A89,実績!$AL$6:$AL$505,"○")&gt;0,1,0))</f>
        <v>0</v>
      </c>
      <c r="X89" s="39" t="n">
        <f aca="false">IF(X$4=0,0,IF(COUNTIFS(実績!$W$6:$W$505,X$3,実績!$AI$6:$AI$505,"&lt;="&amp;$A89,実績!$AJ$6:$AJ$505,"&gt;"&amp;$A89,実績!$AL$6:$AL$505,"○")&gt;0,1,0))</f>
        <v>0</v>
      </c>
      <c r="Y89" s="39" t="n">
        <f aca="false">IF(Y$4=0,0,IF(COUNTIFS(実績!$W$6:$W$505,Y$3,実績!$AI$6:$AI$505,"&lt;="&amp;$A89,実績!$AJ$6:$AJ$505,"&gt;"&amp;$A89,実績!$AL$6:$AL$505,"○")&gt;0,1,0))</f>
        <v>0</v>
      </c>
      <c r="Z89" s="39" t="n">
        <f aca="false">IF(Z$4=0,0,IF(COUNTIFS(実績!$W$6:$W$505,Z$3,実績!$AI$6:$AI$505,"&lt;="&amp;$A89,実績!$AJ$6:$AJ$505,"&gt;"&amp;$A89,実績!$AL$6:$AL$505,"○")&gt;0,1,0))</f>
        <v>0</v>
      </c>
      <c r="AA89" s="39" t="n">
        <f aca="false">IF(AA$4=0,0,IF(COUNTIFS(実績!$W$6:$W$505,AA$3,実績!$AI$6:$AI$505,"&lt;="&amp;$A89,実績!$AJ$6:$AJ$505,"&gt;"&amp;$A89,実績!$AL$6:$AL$505,"○")&gt;0,1,0))</f>
        <v>0</v>
      </c>
      <c r="AB89" s="39" t="n">
        <f aca="false">IF(AB$4=0,0,IF(COUNTIFS(実績!$W$6:$W$505,AB$3,実績!$AI$6:$AI$505,"&lt;="&amp;$A89,実績!$AJ$6:$AJ$505,"&gt;"&amp;$A89,実績!$AL$6:$AL$505,"○")&gt;0,1,0))</f>
        <v>0</v>
      </c>
      <c r="AC89" s="39" t="n">
        <f aca="false">IF(AC$4=0,0,IF(COUNTIFS(実績!$W$6:$W$505,AC$3,実績!$AI$6:$AI$505,"&lt;="&amp;$A89,実績!$AJ$6:$AJ$505,"&gt;"&amp;$A89,実績!$AL$6:$AL$505,"○")&gt;0,1,0))</f>
        <v>0</v>
      </c>
      <c r="AD89" s="39" t="n">
        <f aca="false">IF(AD$4=0,0,IF(COUNTIFS(実績!$W$6:$W$505,AD$3,実績!$AI$6:$AI$505,"&lt;="&amp;$A89,実績!$AJ$6:$AJ$505,"&gt;"&amp;$A89,実績!$AL$6:$AL$505,"○")&gt;0,1,0))</f>
        <v>0</v>
      </c>
      <c r="AE89" s="39" t="n">
        <f aca="false">IF(AE$4=0,0,IF(COUNTIFS(実績!$W$6:$W$505,AE$3,実績!$AI$6:$AI$505,"&lt;="&amp;$A89,実績!$AJ$6:$AJ$505,"&gt;"&amp;$A89,実績!$AL$6:$AL$505,"○")&gt;0,1,0))</f>
        <v>0</v>
      </c>
      <c r="AF89" s="39" t="n">
        <f aca="false">IF(AF$4=0,0,IF(COUNTIFS(実績!$W$6:$W$505,AF$3,実績!$AI$6:$AI$505,"&lt;="&amp;$A89,実績!$AJ$6:$AJ$505,"&gt;"&amp;$A89,実績!$AL$6:$AL$505,"○")&gt;0,1,0))</f>
        <v>0</v>
      </c>
      <c r="AG89" s="39" t="n">
        <f aca="false">IF(AG$4=0,0,IF(COUNTIFS(実績!$W$6:$W$505,AG$3,実績!$AI$6:$AI$505,"&lt;="&amp;$A89,実績!$AJ$6:$AJ$505,"&gt;"&amp;$A89,実績!$AL$6:$AL$505,"○")&gt;0,1,0))</f>
        <v>0</v>
      </c>
      <c r="AH89" s="39" t="n">
        <f aca="false">IF(AH$4=0,0,IF(COUNTIFS(実績!$W$6:$W$505,AH$3,実績!$AI$6:$AI$505,"&lt;="&amp;$A89,実績!$AJ$6:$AJ$505,"&gt;"&amp;$A89,実績!$AL$6:$AL$505,"○")&gt;0,1,0))</f>
        <v>0</v>
      </c>
      <c r="AI89" s="39" t="n">
        <f aca="false">IF(AI$4=0,0,IF(COUNTIFS(実績!$W$6:$W$505,AI$3,実績!$AI$6:$AI$505,"&lt;="&amp;$A89,実績!$AJ$6:$AJ$505,"&gt;"&amp;$A89,実績!$AL$6:$AL$505,"○")&gt;0,1,0))</f>
        <v>0</v>
      </c>
      <c r="AJ89" s="39" t="n">
        <f aca="false">IF(AJ$4=0,0,IF(COUNTIFS(実績!$W$6:$W$505,AJ$3,実績!$AI$6:$AI$505,"&lt;="&amp;$A89,実績!$AJ$6:$AJ$505,"&gt;"&amp;$A89,実績!$AL$6:$AL$505,"○")&gt;0,1,0))</f>
        <v>0</v>
      </c>
      <c r="AK89" s="39" t="n">
        <f aca="false">IF(AK$4=0,0,IF(COUNTIFS(実績!$W$6:$W$505,AK$3,実績!$AI$6:$AI$505,"&lt;="&amp;$A89,実績!$AJ$6:$AJ$505,"&gt;"&amp;$A89,実績!$AL$6:$AL$505,"○")&gt;0,1,0))</f>
        <v>0</v>
      </c>
      <c r="AL89" s="39" t="n">
        <f aca="false">IF(AL$4=0,0,IF(COUNTIFS(実績!$W$6:$W$505,AL$3,実績!$AI$6:$AI$505,"&lt;="&amp;$A89,実績!$AJ$6:$AJ$505,"&gt;"&amp;$A89,実績!$AL$6:$AL$505,"○")&gt;0,1,0))</f>
        <v>0</v>
      </c>
      <c r="AM89" s="39" t="n">
        <f aca="false">IF(AM$4=0,0,IF(COUNTIFS(実績!$W$6:$W$505,AM$3,実績!$AI$6:$AI$505,"&lt;="&amp;$A89,実績!$AJ$6:$AJ$505,"&gt;"&amp;$A89,実績!$AL$6:$AL$505,"○")&gt;0,1,0))</f>
        <v>0</v>
      </c>
      <c r="AN89" s="39" t="n">
        <f aca="false">IF(AN$4=0,0,IF(COUNTIFS(実績!$W$6:$W$505,AN$3,実績!$AI$6:$AI$505,"&lt;="&amp;$A89,実績!$AJ$6:$AJ$505,"&gt;"&amp;$A89,実績!$AL$6:$AL$505,"○")&gt;0,1,0))</f>
        <v>0</v>
      </c>
      <c r="AO89" s="39" t="n">
        <f aca="false">IF(AO$4=0,0,IF(COUNTIFS(実績!$W$6:$W$505,AO$3,実績!$AI$6:$AI$505,"&lt;="&amp;$A89,実績!$AJ$6:$AJ$505,"&gt;"&amp;$A89,実績!$AL$6:$AL$505,"○")&gt;0,1,0))</f>
        <v>0</v>
      </c>
      <c r="AP89" s="39" t="n">
        <f aca="false">IF(AP$4=0,0,IF(COUNTIFS(実績!$W$6:$W$505,AP$3,実績!$AI$6:$AI$505,"&lt;="&amp;$A89,実績!$AJ$6:$AJ$505,"&gt;"&amp;$A89,実績!$AL$6:$AL$505,"○")&gt;0,1,0))</f>
        <v>0</v>
      </c>
      <c r="AQ89" s="39" t="n">
        <f aca="false">IF(AQ$4=0,0,IF(COUNTIFS(実績!$W$6:$W$505,AQ$3,実績!$AI$6:$AI$505,"&lt;="&amp;$A89,実績!$AJ$6:$AJ$505,"&gt;"&amp;$A89,実績!$AL$6:$AL$505,"○")&gt;0,1,0))</f>
        <v>0</v>
      </c>
      <c r="AR89" s="39" t="n">
        <f aca="false">IF(AR$4=0,0,IF(COUNTIFS(実績!$W$6:$W$505,AR$3,実績!$AI$6:$AI$505,"&lt;="&amp;$A89,実績!$AJ$6:$AJ$505,"&gt;"&amp;$A89,実績!$AL$6:$AL$505,"○")&gt;0,1,0))</f>
        <v>0</v>
      </c>
      <c r="AS89" s="39" t="n">
        <f aca="false">IF(AS$4=0,0,IF(COUNTIFS(実績!$W$6:$W$505,AS$3,実績!$AI$6:$AI$505,"&lt;="&amp;$A89,実績!$AJ$6:$AJ$505,"&gt;"&amp;$A89,実績!$AL$6:$AL$505,"○")&gt;0,1,0))</f>
        <v>0</v>
      </c>
      <c r="AT89" s="39" t="n">
        <f aca="false">IF(AT$4=0,0,IF(COUNTIFS(実績!$W$6:$W$505,AT$3,実績!$AI$6:$AI$505,"&lt;="&amp;$A89,実績!$AJ$6:$AJ$505,"&gt;"&amp;$A89,実績!$AL$6:$AL$505,"○")&gt;0,1,0))</f>
        <v>0</v>
      </c>
      <c r="AU89" s="39" t="n">
        <f aca="false">IF(AU$4=0,0,IF(COUNTIFS(実績!$W$6:$W$505,AU$3,実績!$AI$6:$AI$505,"&lt;="&amp;$A89,実績!$AJ$6:$AJ$505,"&gt;"&amp;$A89,実績!$AL$6:$AL$505,"○")&gt;0,1,0))</f>
        <v>0</v>
      </c>
      <c r="AV89" s="39" t="n">
        <f aca="false">IF(AV$4=0,0,IF(COUNTIFS(実績!$W$6:$W$505,AV$3,実績!$AI$6:$AI$505,"&lt;="&amp;$A89,実績!$AJ$6:$AJ$505,"&gt;"&amp;$A89,実績!$AL$6:$AL$505,"○")&gt;0,1,0))</f>
        <v>0</v>
      </c>
      <c r="AW89" s="39" t="n">
        <f aca="false">IF(AW$4=0,0,IF(COUNTIFS(実績!$W$6:$W$505,AW$3,実績!$AI$6:$AI$505,"&lt;="&amp;$A89,実績!$AJ$6:$AJ$505,"&gt;"&amp;$A89,実績!$AL$6:$AL$505,"○")&gt;0,1,0))</f>
        <v>0</v>
      </c>
      <c r="AX89" s="39" t="n">
        <f aca="false">IF(AX$4=0,0,IF(COUNTIFS(実績!$W$6:$W$505,AX$3,実績!$AI$6:$AI$505,"&lt;="&amp;$A89,実績!$AJ$6:$AJ$505,"&gt;"&amp;$A89,実績!$AL$6:$AL$505,"○")&gt;0,1,0))</f>
        <v>0</v>
      </c>
      <c r="AY89" s="39" t="n">
        <f aca="false">IF(AY$4=0,0,IF(COUNTIFS(実績!$W$6:$W$505,AY$3,実績!$AI$6:$AI$505,"&lt;="&amp;$A89,実績!$AJ$6:$AJ$505,"&gt;"&amp;$A89,実績!$AL$6:$AL$505,"○")&gt;0,1,0))</f>
        <v>0</v>
      </c>
      <c r="AZ89" s="39" t="n">
        <f aca="false">IF(AZ$4=0,0,IF(COUNTIFS(実績!$W$6:$W$505,AZ$3,実績!$AI$6:$AI$505,"&lt;="&amp;$A89,実績!$AJ$6:$AJ$505,"&gt;"&amp;$A89,実績!$AL$6:$AL$505,"○")&gt;0,1,0))</f>
        <v>0</v>
      </c>
      <c r="BA89" s="39" t="n">
        <f aca="false">IF(BA$4=0,0,IF(COUNTIFS(実績!$W$6:$W$505,BA$3,実績!$AI$6:$AI$505,"&lt;="&amp;$A89,実績!$AJ$6:$AJ$505,"&gt;"&amp;$A89,実績!$AL$6:$AL$505,"○")&gt;0,1,0))</f>
        <v>0</v>
      </c>
      <c r="BB89" s="39" t="n">
        <f aca="false">IF(BB$4=0,0,IF(COUNTIFS(実績!$W$6:$W$505,BB$3,実績!$AI$6:$AI$505,"&lt;="&amp;$A89,実績!$AJ$6:$AJ$505,"&gt;"&amp;$A89,実績!$AL$6:$AL$505,"○")&gt;0,1,0))</f>
        <v>0</v>
      </c>
      <c r="BC89" s="39" t="n">
        <f aca="false">IF(BC$4=0,0,IF(COUNTIFS(実績!$W$6:$W$505,BC$3,実績!$AI$6:$AI$505,"&lt;="&amp;$A89,実績!$AJ$6:$AJ$505,"&gt;"&amp;$A89,実績!$AL$6:$AL$505,"○")&gt;0,1,0))</f>
        <v>0</v>
      </c>
      <c r="BD89" s="39" t="n">
        <f aca="false">IF(BD$4=0,0,IF(COUNTIFS(実績!$W$6:$W$505,BD$3,実績!$AI$6:$AI$505,"&lt;="&amp;$A89,実績!$AJ$6:$AJ$505,"&gt;"&amp;$A89,実績!$AL$6:$AL$505,"○")&gt;0,1,0))</f>
        <v>0</v>
      </c>
      <c r="BE89" s="39" t="n">
        <f aca="false">IF(BE$4=0,0,IF(COUNTIFS(実績!$W$6:$W$505,BE$3,実績!$AI$6:$AI$505,"&lt;="&amp;$A89,実績!$AJ$6:$AJ$505,"&gt;"&amp;$A89,実績!$AL$6:$AL$505,"○")&gt;0,1,0))</f>
        <v>0</v>
      </c>
      <c r="BF89" s="39" t="n">
        <f aca="false">IF(BF$4=0,0,IF(COUNTIFS(実績!$W$6:$W$505,BF$3,実績!$AI$6:$AI$505,"&lt;="&amp;$A89,実績!$AJ$6:$AJ$505,"&gt;"&amp;$A89,実績!$AL$6:$AL$505,"○")&gt;0,1,0))</f>
        <v>0</v>
      </c>
      <c r="BG89" s="39" t="n">
        <f aca="false">IF(BG$4=0,0,IF(COUNTIFS(実績!$W$6:$W$505,BG$3,実績!$AI$6:$AI$505,"&lt;="&amp;$A89,実績!$AJ$6:$AJ$505,"&gt;"&amp;$A89,実績!$AL$6:$AL$505,"○")&gt;0,1,0))</f>
        <v>0</v>
      </c>
      <c r="BH89" s="39" t="n">
        <f aca="false">IF(BH$4=0,0,IF(COUNTIFS(実績!$W$6:$W$505,BH$3,実績!$AI$6:$AI$505,"&lt;="&amp;$A89,実績!$AJ$6:$AJ$505,"&gt;"&amp;$A89,実績!$AL$6:$AL$505,"○")&gt;0,1,0))</f>
        <v>0</v>
      </c>
      <c r="BI89" s="39" t="n">
        <f aca="false">IF(BI$4=0,0,IF(COUNTIFS(実績!$W$6:$W$505,BI$3,実績!$AI$6:$AI$505,"&lt;="&amp;$A89,実績!$AJ$6:$AJ$505,"&gt;"&amp;$A89,実績!$AL$6:$AL$505,"○")&gt;0,1,0))</f>
        <v>0</v>
      </c>
      <c r="BJ89" s="39" t="n">
        <f aca="false">IF(BJ$4=0,0,IF(COUNTIFS(実績!$W$6:$W$505,BJ$3,実績!$AI$6:$AI$505,"&lt;="&amp;$A89,実績!$AJ$6:$AJ$505,"&gt;"&amp;$A89,実績!$AL$6:$AL$505,"○")&gt;0,1,0))</f>
        <v>0</v>
      </c>
      <c r="BK89" s="39" t="n">
        <f aca="false">IF(BK$4=0,0,IF(COUNTIFS(実績!$W$6:$W$505,BK$3,実績!$AI$6:$AI$505,"&lt;="&amp;$A89,実績!$AJ$6:$AJ$505,"&gt;"&amp;$A89,実績!$AL$6:$AL$505,"○")&gt;0,1,0))</f>
        <v>0</v>
      </c>
      <c r="BL89" s="39" t="n">
        <f aca="false">IF(BL$4=0,0,IF(COUNTIFS(実績!$W$6:$W$505,BL$3,実績!$AI$6:$AI$505,"&lt;="&amp;$A89,実績!$AJ$6:$AJ$505,"&gt;"&amp;$A89,実績!$AL$6:$AL$505,"○")&gt;0,1,0))</f>
        <v>0</v>
      </c>
      <c r="BM89" s="39" t="n">
        <f aca="false">IF(BM$4=0,0,IF(COUNTIFS(実績!$W$6:$W$505,BM$3,実績!$AI$6:$AI$505,"&lt;="&amp;$A89,実績!$AJ$6:$AJ$505,"&gt;"&amp;$A89,実績!$AL$6:$AL$505,"○")&gt;0,1,0))</f>
        <v>0</v>
      </c>
      <c r="BN89" s="39" t="n">
        <f aca="false">IF(BN$4=0,0,IF(COUNTIFS(実績!$W$6:$W$505,BN$3,実績!$AI$6:$AI$505,"&lt;="&amp;$A89,実績!$AJ$6:$AJ$505,"&gt;"&amp;$A89,実績!$AL$6:$AL$505,"○")&gt;0,1,0))</f>
        <v>0</v>
      </c>
      <c r="BO89" s="39" t="n">
        <f aca="false">IF(BO$4=0,0,IF(COUNTIFS(実績!$W$6:$W$505,BO$3,実績!$AI$6:$AI$505,"&lt;="&amp;$A89,実績!$AJ$6:$AJ$505,"&gt;"&amp;$A89,実績!$AL$6:$AL$505,"○")&gt;0,1,0))</f>
        <v>0</v>
      </c>
      <c r="BP89" s="39" t="n">
        <f aca="false">IF(BP$4=0,0,IF(COUNTIFS(実績!$W$6:$W$505,BP$3,実績!$AI$6:$AI$505,"&lt;="&amp;$A89,実績!$AJ$6:$AJ$505,"&gt;"&amp;$A89,実績!$AL$6:$AL$505,"○")&gt;0,1,0))</f>
        <v>0</v>
      </c>
      <c r="BQ89" s="39" t="n">
        <f aca="false">IF(BQ$4=0,0,IF(COUNTIFS(実績!$W$6:$W$505,BQ$3,実績!$AI$6:$AI$505,"&lt;="&amp;$A89,実績!$AJ$6:$AJ$505,"&gt;"&amp;$A89,実績!$AL$6:$AL$505,"○")&gt;0,1,0))</f>
        <v>0</v>
      </c>
      <c r="BR89" s="39" t="n">
        <f aca="false">IF(BR$4=0,0,IF(COUNTIFS(実績!$W$6:$W$505,BR$3,実績!$AI$6:$AI$505,"&lt;="&amp;$A89,実績!$AJ$6:$AJ$505,"&gt;"&amp;$A89,実績!$AL$6:$AL$505,"○")&gt;0,1,0))</f>
        <v>0</v>
      </c>
      <c r="BS89" s="39" t="n">
        <f aca="false">IF(BS$4=0,0,IF(COUNTIFS(実績!$W$6:$W$505,BS$3,実績!$AI$6:$AI$505,"&lt;="&amp;$A89,実績!$AJ$6:$AJ$505,"&gt;"&amp;$A89,実績!$AL$6:$AL$505,"○")&gt;0,1,0))</f>
        <v>0</v>
      </c>
      <c r="BT89" s="39" t="n">
        <f aca="false">IF(BT$4=0,0,IF(COUNTIFS(実績!$W$6:$W$505,BT$3,実績!$AI$6:$AI$505,"&lt;="&amp;$A89,実績!$AJ$6:$AJ$505,"&gt;"&amp;$A89,実績!$AL$6:$AL$505,"○")&gt;0,1,0))</f>
        <v>0</v>
      </c>
      <c r="BU89" s="39" t="n">
        <f aca="false">IF(BU$4=0,0,IF(COUNTIFS(実績!$W$6:$W$505,BU$3,実績!$AI$6:$AI$505,"&lt;="&amp;$A89,実績!$AJ$6:$AJ$505,"&gt;"&amp;$A89,実績!$AL$6:$AL$505,"○")&gt;0,1,0))</f>
        <v>0</v>
      </c>
      <c r="BV89" s="39" t="n">
        <f aca="false">IF(BV$4=0,0,IF(COUNTIFS(実績!$W$6:$W$505,BV$3,実績!$AI$6:$AI$505,"&lt;="&amp;$A89,実績!$AJ$6:$AJ$505,"&gt;"&amp;$A89,実績!$AL$6:$AL$505,"○")&gt;0,1,0))</f>
        <v>0</v>
      </c>
      <c r="BW89" s="39" t="n">
        <f aca="false">IF(BW$4=0,0,IF(COUNTIFS(実績!$W$6:$W$505,BW$3,実績!$AI$6:$AI$505,"&lt;="&amp;$A89,実績!$AJ$6:$AJ$505,"&gt;"&amp;$A89,実績!$AL$6:$AL$505,"○")&gt;0,1,0))</f>
        <v>0</v>
      </c>
      <c r="BX89" s="39" t="n">
        <f aca="false">IF(BX$4=0,0,IF(COUNTIFS(実績!$W$6:$W$505,BX$3,実績!$AI$6:$AI$505,"&lt;="&amp;$A89,実績!$AJ$6:$AJ$505,"&gt;"&amp;$A89,実績!$AL$6:$AL$505,"○")&gt;0,1,0))</f>
        <v>0</v>
      </c>
      <c r="BY89" s="39" t="n">
        <f aca="false">IF(BY$4=0,0,IF(COUNTIFS(実績!$W$6:$W$505,BY$3,実績!$AI$6:$AI$505,"&lt;="&amp;$A89,実績!$AJ$6:$AJ$505,"&gt;"&amp;$A89,実績!$AL$6:$AL$505,"○")&gt;0,1,0))</f>
        <v>0</v>
      </c>
      <c r="BZ89" s="39" t="n">
        <f aca="false">IF(BZ$4=0,0,IF(COUNTIFS(実績!$W$6:$W$505,BZ$3,実績!$AI$6:$AI$505,"&lt;="&amp;$A89,実績!$AJ$6:$AJ$505,"&gt;"&amp;$A89,実績!$AL$6:$AL$505,"○")&gt;0,1,0))</f>
        <v>0</v>
      </c>
      <c r="CA89" s="39" t="n">
        <f aca="false">IF(CA$4=0,0,IF(COUNTIFS(実績!$W$6:$W$505,CA$3,実績!$AI$6:$AI$505,"&lt;="&amp;$A89,実績!$AJ$6:$AJ$505,"&gt;"&amp;$A89,実績!$AL$6:$AL$505,"○")&gt;0,1,0))</f>
        <v>0</v>
      </c>
      <c r="CB89" s="39" t="n">
        <f aca="false">IF(CB$4=0,0,IF(COUNTIFS(実績!$W$6:$W$505,CB$3,実績!$AI$6:$AI$505,"&lt;="&amp;$A89,実績!$AJ$6:$AJ$505,"&gt;"&amp;$A89,実績!$AL$6:$AL$505,"○")&gt;0,1,0))</f>
        <v>0</v>
      </c>
      <c r="CC89" s="39" t="n">
        <f aca="false">IF(CC$4=0,0,IF(COUNTIFS(実績!$W$6:$W$505,CC$3,実績!$AI$6:$AI$505,"&lt;="&amp;$A89,実績!$AJ$6:$AJ$505,"&gt;"&amp;$A89,実績!$AL$6:$AL$505,"○")&gt;0,1,0))</f>
        <v>0</v>
      </c>
      <c r="CD89" s="39" t="n">
        <f aca="false">IF(CD$4=0,0,IF(COUNTIFS(実績!$W$6:$W$505,CD$3,実績!$AI$6:$AI$505,"&lt;="&amp;$A89,実績!$AJ$6:$AJ$505,"&gt;"&amp;$A89,実績!$AL$6:$AL$505,"○")&gt;0,1,0))</f>
        <v>0</v>
      </c>
      <c r="CE89" s="39" t="n">
        <f aca="false">IF(CE$4=0,0,IF(COUNTIFS(実績!$W$6:$W$505,CE$3,実績!$AI$6:$AI$505,"&lt;="&amp;$A89,実績!$AJ$6:$AJ$505,"&gt;"&amp;$A89,実績!$AL$6:$AL$505,"○")&gt;0,1,0))</f>
        <v>0</v>
      </c>
      <c r="CF89" s="39" t="n">
        <f aca="false">IF(CF$4=0,0,IF(COUNTIFS(実績!$W$6:$W$505,CF$3,実績!$AI$6:$AI$505,"&lt;="&amp;$A89,実績!$AJ$6:$AJ$505,"&gt;"&amp;$A89,実績!$AL$6:$AL$505,"○")&gt;0,1,0))</f>
        <v>0</v>
      </c>
      <c r="CG89" s="39" t="n">
        <f aca="false">IF(CG$4=0,0,IF(COUNTIFS(実績!$W$6:$W$505,CG$3,実績!$AI$6:$AI$505,"&lt;="&amp;$A89,実績!$AJ$6:$AJ$505,"&gt;"&amp;$A89,実績!$AL$6:$AL$505,"○")&gt;0,1,0))</f>
        <v>0</v>
      </c>
      <c r="CH89" s="39" t="n">
        <f aca="false">IF(CH$4=0,0,IF(COUNTIFS(実績!$W$6:$W$505,CH$3,実績!$AI$6:$AI$505,"&lt;="&amp;$A89,実績!$AJ$6:$AJ$505,"&gt;"&amp;$A89,実績!$AL$6:$AL$505,"○")&gt;0,1,0))</f>
        <v>0</v>
      </c>
      <c r="CI89" s="39" t="n">
        <f aca="false">IF(CI$4=0,0,IF(COUNTIFS(実績!$W$6:$W$505,CI$3,実績!$AI$6:$AI$505,"&lt;="&amp;$A89,実績!$AJ$6:$AJ$505,"&gt;"&amp;$A89,実績!$AL$6:$AL$505,"○")&gt;0,1,0))</f>
        <v>0</v>
      </c>
      <c r="CJ89" s="39" t="n">
        <f aca="false">IF(CJ$4=0,0,IF(COUNTIFS(実績!$W$6:$W$505,CJ$3,実績!$AI$6:$AI$505,"&lt;="&amp;$A89,実績!$AJ$6:$AJ$505,"&gt;"&amp;$A89,実績!$AL$6:$AL$505,"○")&gt;0,1,0))</f>
        <v>0</v>
      </c>
      <c r="CK89" s="39" t="n">
        <f aca="false">IF(CK$4=0,0,IF(COUNTIFS(実績!$W$6:$W$505,CK$3,実績!$AI$6:$AI$505,"&lt;="&amp;$A89,実績!$AJ$6:$AJ$505,"&gt;"&amp;$A89,実績!$AL$6:$AL$505,"○")&gt;0,1,0))</f>
        <v>0</v>
      </c>
      <c r="CL89" s="39" t="n">
        <f aca="false">IF(CL$4=0,0,IF(COUNTIFS(実績!$W$6:$W$505,CL$3,実績!$AI$6:$AI$505,"&lt;="&amp;$A89,実績!$AJ$6:$AJ$505,"&gt;"&amp;$A89,実績!$AL$6:$AL$505,"○")&gt;0,1,0))</f>
        <v>0</v>
      </c>
      <c r="CM89" s="39" t="n">
        <f aca="false">IF(CM$4=0,0,IF(COUNTIFS(実績!$W$6:$W$505,CM$3,実績!$AI$6:$AI$505,"&lt;="&amp;$A89,実績!$AJ$6:$AJ$505,"&gt;"&amp;$A89,実績!$AL$6:$AL$505,"○")&gt;0,1,0))</f>
        <v>0</v>
      </c>
      <c r="CN89" s="39" t="n">
        <f aca="false">IF(CN$4=0,0,IF(COUNTIFS(実績!$W$6:$W$505,CN$3,実績!$AI$6:$AI$505,"&lt;="&amp;$A89,実績!$AJ$6:$AJ$505,"&gt;"&amp;$A89,実績!$AL$6:$AL$505,"○")&gt;0,1,0))</f>
        <v>0</v>
      </c>
      <c r="CO89" s="39" t="n">
        <f aca="false">IF(CO$4=0,0,IF(COUNTIFS(実績!$W$6:$W$505,CO$3,実績!$AI$6:$AI$505,"&lt;="&amp;$A89,実績!$AJ$6:$AJ$505,"&gt;"&amp;$A89,実績!$AL$6:$AL$505,"○")&gt;0,1,0))</f>
        <v>0</v>
      </c>
      <c r="CP89" s="39" t="n">
        <f aca="false">IF(CP$4=0,0,IF(COUNTIFS(実績!$W$6:$W$505,CP$3,実績!$AI$6:$AI$505,"&lt;="&amp;$A89,実績!$AJ$6:$AJ$505,"&gt;"&amp;$A89,実績!$AL$6:$AL$505,"○")&gt;0,1,0))</f>
        <v>0</v>
      </c>
      <c r="CQ89" s="39" t="n">
        <f aca="false">IF(CQ$4=0,0,IF(COUNTIFS(実績!$W$6:$W$505,CQ$3,実績!$AI$6:$AI$505,"&lt;="&amp;$A89,実績!$AJ$6:$AJ$505,"&gt;"&amp;$A89,実績!$AL$6:$AL$505,"○")&gt;0,1,0))</f>
        <v>0</v>
      </c>
      <c r="CR89" s="39" t="n">
        <f aca="false">IF(CR$4=0,0,IF(COUNTIFS(実績!$W$6:$W$505,CR$3,実績!$AI$6:$AI$505,"&lt;="&amp;$A89,実績!$AJ$6:$AJ$505,"&gt;"&amp;$A89,実績!$AL$6:$AL$505,"○")&gt;0,1,0))</f>
        <v>0</v>
      </c>
      <c r="CS89" s="39" t="n">
        <f aca="false">IF(CS$4=0,0,IF(COUNTIFS(実績!$W$6:$W$505,CS$3,実績!$AI$6:$AI$505,"&lt;="&amp;$A89,実績!$AJ$6:$AJ$505,"&gt;"&amp;$A89,実績!$AL$6:$AL$505,"○")&gt;0,1,0))</f>
        <v>0</v>
      </c>
      <c r="CT89" s="39" t="n">
        <f aca="false">IF(CT$4=0,0,IF(COUNTIFS(実績!$W$6:$W$505,CT$3,実績!$AI$6:$AI$505,"&lt;="&amp;$A89,実績!$AJ$6:$AJ$505,"&gt;"&amp;$A89,実績!$AL$6:$AL$505,"○")&gt;0,1,0))</f>
        <v>0</v>
      </c>
      <c r="CU89" s="39" t="n">
        <f aca="false">IF(CU$4=0,0,IF(COUNTIFS(実績!$W$6:$W$505,CU$3,実績!$AI$6:$AI$505,"&lt;="&amp;$A89,実績!$AJ$6:$AJ$505,"&gt;"&amp;$A89,実績!$AL$6:$AL$505,"○")&gt;0,1,0))</f>
        <v>0</v>
      </c>
      <c r="CV89" s="39" t="n">
        <f aca="false">IF(CV$4=0,0,IF(COUNTIFS(実績!$W$6:$W$505,CV$3,実績!$AI$6:$AI$505,"&lt;="&amp;$A89,実績!$AJ$6:$AJ$505,"&gt;"&amp;$A89,実績!$AL$6:$AL$505,"○")&gt;0,1,0))</f>
        <v>0</v>
      </c>
      <c r="CW89" s="39" t="n">
        <f aca="false">IF(CW$4=0,0,IF(COUNTIFS(実績!$W$6:$W$505,CW$3,実績!$AI$6:$AI$505,"&lt;="&amp;$A89,実績!$AJ$6:$AJ$505,"&gt;"&amp;$A89,実績!$AL$6:$AL$505,"○")&gt;0,1,0))</f>
        <v>0</v>
      </c>
      <c r="CX89" s="39" t="n">
        <f aca="false">IF(CX$4=0,0,IF(COUNTIFS(実績!$W$6:$W$505,CX$3,実績!$AI$6:$AI$505,"&lt;="&amp;$A89,実績!$AJ$6:$AJ$505,"&gt;"&amp;$A89,実績!$AL$6:$AL$505,"○")&gt;0,1,0))</f>
        <v>0</v>
      </c>
      <c r="CY89" s="39" t="n">
        <f aca="false">IF(CY$4=0,0,IF(COUNTIFS(実績!$W$6:$W$505,CY$3,実績!$AI$6:$AI$505,"&lt;="&amp;$A89,実績!$AJ$6:$AJ$505,"&gt;"&amp;$A89,実績!$AL$6:$AL$505,"○")&gt;0,1,0))</f>
        <v>0</v>
      </c>
      <c r="CZ89" s="39" t="n">
        <f aca="false">IF(CZ$4=0,0,IF(COUNTIFS(実績!$W$6:$W$505,CZ$3,実績!$AI$6:$AI$505,"&lt;="&amp;$A89,実績!$AJ$6:$AJ$505,"&gt;"&amp;$A89,実績!$AL$6:$AL$505,"○")&gt;0,1,0))</f>
        <v>0</v>
      </c>
      <c r="DA89" s="39" t="n">
        <f aca="false">IF(DA$4=0,0,IF(COUNTIFS(実績!$W$6:$W$505,DA$3,実績!$AI$6:$AI$505,"&lt;="&amp;$A89,実績!$AJ$6:$AJ$505,"&gt;"&amp;$A89,実績!$AL$6:$AL$505,"○")&gt;0,1,0))</f>
        <v>0</v>
      </c>
      <c r="DB89" s="39" t="n">
        <f aca="false">IF(DB$4=0,0,IF(COUNTIFS(実績!$W$6:$W$505,DB$3,実績!$AI$6:$AI$505,"&lt;="&amp;$A89,実績!$AJ$6:$AJ$505,"&gt;"&amp;$A89,実績!$AL$6:$AL$505,"○")&gt;0,1,0))</f>
        <v>0</v>
      </c>
      <c r="DC89" s="39" t="n">
        <f aca="false">IF(DC$4=0,0,IF(COUNTIFS(実績!$W$6:$W$505,DC$3,実績!$AI$6:$AI$505,"&lt;="&amp;$A89,実績!$AJ$6:$AJ$505,"&gt;"&amp;$A89,実績!$AL$6:$AL$505,"○")&gt;0,1,0))</f>
        <v>0</v>
      </c>
      <c r="DD89" s="39" t="n">
        <f aca="false">IF(DD$4=0,0,IF(COUNTIFS(実績!$W$6:$W$505,DD$3,実績!$AI$6:$AI$505,"&lt;="&amp;$A89,実績!$AJ$6:$AJ$505,"&gt;"&amp;$A89,実績!$AL$6:$AL$505,"○")&gt;0,1,0))</f>
        <v>0</v>
      </c>
      <c r="DE89" s="39" t="n">
        <f aca="false">IF(DE$4=0,0,IF(COUNTIFS(実績!$W$6:$W$505,DE$3,実績!$AI$6:$AI$505,"&lt;="&amp;$A89,実績!$AJ$6:$AJ$505,"&gt;"&amp;$A89,実績!$AL$6:$AL$505,"○")&gt;0,1,0))</f>
        <v>0</v>
      </c>
      <c r="DF89" s="39" t="n">
        <f aca="false">IF(DF$4=0,0,IF(COUNTIFS(実績!$W$6:$W$505,DF$3,実績!$AI$6:$AI$505,"&lt;="&amp;$A89,実績!$AJ$6:$AJ$505,"&gt;"&amp;$A89,実績!$AL$6:$AL$505,"○")&gt;0,1,0))</f>
        <v>0</v>
      </c>
      <c r="DG89" s="39" t="n">
        <f aca="false">IF(DG$4=0,0,IF(COUNTIFS(実績!$W$6:$W$505,DG$3,実績!$AI$6:$AI$505,"&lt;="&amp;$A89,実績!$AJ$6:$AJ$505,"&gt;"&amp;$A89,実績!$AL$6:$AL$505,"○")&gt;0,1,0))</f>
        <v>0</v>
      </c>
      <c r="DH89" s="39" t="n">
        <f aca="false">IF(DH$4=0,0,IF(COUNTIFS(実績!$W$6:$W$505,DH$3,実績!$AI$6:$AI$505,"&lt;="&amp;$A89,実績!$AJ$6:$AJ$505,"&gt;"&amp;$A89,実績!$AL$6:$AL$505,"○")&gt;0,1,0))</f>
        <v>0</v>
      </c>
      <c r="DI89" s="39" t="n">
        <f aca="false">IF(DI$4=0,0,IF(COUNTIFS(実績!$W$6:$W$505,DI$3,実績!$AI$6:$AI$505,"&lt;="&amp;$A89,実績!$AJ$6:$AJ$505,"&gt;"&amp;$A89,実績!$AL$6:$AL$505,"○")&gt;0,1,0))</f>
        <v>0</v>
      </c>
      <c r="DJ89" s="39" t="n">
        <f aca="false">IF(DJ$4=0,0,IF(COUNTIFS(実績!$W$6:$W$505,DJ$3,実績!$AI$6:$AI$505,"&lt;="&amp;$A89,実績!$AJ$6:$AJ$505,"&gt;"&amp;$A89,実績!$AL$6:$AL$505,"○")&gt;0,1,0))</f>
        <v>0</v>
      </c>
      <c r="DK89" s="39" t="n">
        <f aca="false">IF(DK$4=0,0,IF(COUNTIFS(実績!$W$6:$W$505,DK$3,実績!$AI$6:$AI$505,"&lt;="&amp;$A89,実績!$AJ$6:$AJ$505,"&gt;"&amp;$A89,実績!$AL$6:$AL$505,"○")&gt;0,1,0))</f>
        <v>0</v>
      </c>
      <c r="DL89" s="39" t="n">
        <f aca="false">IF(DL$4=0,0,IF(COUNTIFS(実績!$W$6:$W$505,DL$3,実績!$AI$6:$AI$505,"&lt;="&amp;$A89,実績!$AJ$6:$AJ$505,"&gt;"&amp;$A89,実績!$AL$6:$AL$505,"○")&gt;0,1,0))</f>
        <v>0</v>
      </c>
      <c r="DM89" s="39" t="n">
        <f aca="false">IF(DM$4=0,0,IF(COUNTIFS(実績!$W$6:$W$505,DM$3,実績!$AI$6:$AI$505,"&lt;="&amp;$A89,実績!$AJ$6:$AJ$505,"&gt;"&amp;$A89,実績!$AL$6:$AL$505,"○")&gt;0,1,0))</f>
        <v>0</v>
      </c>
      <c r="DN89" s="39" t="n">
        <f aca="false">IF(DN$4=0,0,IF(COUNTIFS(実績!$W$6:$W$505,DN$3,実績!$AI$6:$AI$505,"&lt;="&amp;$A89,実績!$AJ$6:$AJ$505,"&gt;"&amp;$A89,実績!$AL$6:$AL$505,"○")&gt;0,1,0))</f>
        <v>0</v>
      </c>
      <c r="DO89" s="39" t="n">
        <f aca="false">IF(DO$4=0,0,IF(COUNTIFS(実績!$W$6:$W$505,DO$3,実績!$AI$6:$AI$505,"&lt;="&amp;$A89,実績!$AJ$6:$AJ$505,"&gt;"&amp;$A89,実績!$AL$6:$AL$505,"○")&gt;0,1,0))</f>
        <v>0</v>
      </c>
      <c r="DP89" s="39" t="n">
        <f aca="false">IF(DP$4=0,0,IF(COUNTIFS(実績!$W$6:$W$505,DP$3,実績!$AI$6:$AI$505,"&lt;="&amp;$A89,実績!$AJ$6:$AJ$505,"&gt;"&amp;$A89,実績!$AL$6:$AL$505,"○")&gt;0,1,0))</f>
        <v>0</v>
      </c>
      <c r="DQ89" s="39" t="n">
        <f aca="false">IF(DQ$4=0,0,IF(COUNTIFS(実績!$W$6:$W$505,DQ$3,実績!$AI$6:$AI$505,"&lt;="&amp;$A89,実績!$AJ$6:$AJ$505,"&gt;"&amp;$A89,実績!$AL$6:$AL$505,"○")&gt;0,1,0))</f>
        <v>0</v>
      </c>
      <c r="DR89" s="39" t="n">
        <f aca="false">IF(DR$4=0,0,IF(COUNTIFS(実績!$W$6:$W$505,DR$3,実績!$AI$6:$AI$505,"&lt;="&amp;$A89,実績!$AJ$6:$AJ$505,"&gt;"&amp;$A89,実績!$AL$6:$AL$505,"○")&gt;0,1,0))</f>
        <v>0</v>
      </c>
      <c r="DS89" s="39" t="n">
        <f aca="false">SUM(C89:DR89)</f>
        <v>0</v>
      </c>
    </row>
    <row r="90" customFormat="false" ht="15" hidden="false" customHeight="false" outlineLevel="0" collapsed="false">
      <c r="A90" s="0" t="n">
        <v>420</v>
      </c>
      <c r="B90" s="38" t="n">
        <f aca="false">A90/1440</f>
        <v>0.291666666666667</v>
      </c>
      <c r="C90" s="39" t="n">
        <f aca="false">IF(C$4=0,0,IF(COUNTIFS(実績!$W$6:$W$505,C$3,実績!$AI$6:$AI$505,"&lt;="&amp;$A90,実績!$AJ$6:$AJ$505,"&gt;"&amp;$A90,実績!$AL$6:$AL$505,"○")&gt;0,1,0))</f>
        <v>0</v>
      </c>
      <c r="D90" s="39" t="n">
        <f aca="false">IF(D$4=0,0,IF(COUNTIFS(実績!$W$6:$W$505,D$3,実績!$AI$6:$AI$505,"&lt;="&amp;$A90,実績!$AJ$6:$AJ$505,"&gt;"&amp;$A90,実績!$AL$6:$AL$505,"○")&gt;0,1,0))</f>
        <v>0</v>
      </c>
      <c r="E90" s="39" t="n">
        <f aca="false">IF(E$4=0,0,IF(COUNTIFS(実績!$W$6:$W$505,E$3,実績!$AI$6:$AI$505,"&lt;="&amp;$A90,実績!$AJ$6:$AJ$505,"&gt;"&amp;$A90,実績!$AL$6:$AL$505,"○")&gt;0,1,0))</f>
        <v>0</v>
      </c>
      <c r="F90" s="39" t="n">
        <f aca="false">IF(F$4=0,0,IF(COUNTIFS(実績!$W$6:$W$505,F$3,実績!$AI$6:$AI$505,"&lt;="&amp;$A90,実績!$AJ$6:$AJ$505,"&gt;"&amp;$A90,実績!$AL$6:$AL$505,"○")&gt;0,1,0))</f>
        <v>0</v>
      </c>
      <c r="G90" s="39" t="n">
        <f aca="false">IF(G$4=0,0,IF(COUNTIFS(実績!$W$6:$W$505,G$3,実績!$AI$6:$AI$505,"&lt;="&amp;$A90,実績!$AJ$6:$AJ$505,"&gt;"&amp;$A90,実績!$AL$6:$AL$505,"○")&gt;0,1,0))</f>
        <v>0</v>
      </c>
      <c r="H90" s="39" t="n">
        <f aca="false">IF(H$4=0,0,IF(COUNTIFS(実績!$W$6:$W$505,H$3,実績!$AI$6:$AI$505,"&lt;="&amp;$A90,実績!$AJ$6:$AJ$505,"&gt;"&amp;$A90,実績!$AL$6:$AL$505,"○")&gt;0,1,0))</f>
        <v>0</v>
      </c>
      <c r="I90" s="39" t="n">
        <f aca="false">IF(I$4=0,0,IF(COUNTIFS(実績!$W$6:$W$505,I$3,実績!$AI$6:$AI$505,"&lt;="&amp;$A90,実績!$AJ$6:$AJ$505,"&gt;"&amp;$A90,実績!$AL$6:$AL$505,"○")&gt;0,1,0))</f>
        <v>0</v>
      </c>
      <c r="J90" s="39" t="n">
        <f aca="false">IF(J$4=0,0,IF(COUNTIFS(実績!$W$6:$W$505,J$3,実績!$AI$6:$AI$505,"&lt;="&amp;$A90,実績!$AJ$6:$AJ$505,"&gt;"&amp;$A90,実績!$AL$6:$AL$505,"○")&gt;0,1,0))</f>
        <v>0</v>
      </c>
      <c r="K90" s="39" t="n">
        <f aca="false">IF(K$4=0,0,IF(COUNTIFS(実績!$W$6:$W$505,K$3,実績!$AI$6:$AI$505,"&lt;="&amp;$A90,実績!$AJ$6:$AJ$505,"&gt;"&amp;$A90,実績!$AL$6:$AL$505,"○")&gt;0,1,0))</f>
        <v>0</v>
      </c>
      <c r="L90" s="39" t="n">
        <f aca="false">IF(L$4=0,0,IF(COUNTIFS(実績!$W$6:$W$505,L$3,実績!$AI$6:$AI$505,"&lt;="&amp;$A90,実績!$AJ$6:$AJ$505,"&gt;"&amp;$A90,実績!$AL$6:$AL$505,"○")&gt;0,1,0))</f>
        <v>0</v>
      </c>
      <c r="M90" s="39" t="n">
        <f aca="false">IF(M$4=0,0,IF(COUNTIFS(実績!$W$6:$W$505,M$3,実績!$AI$6:$AI$505,"&lt;="&amp;$A90,実績!$AJ$6:$AJ$505,"&gt;"&amp;$A90,実績!$AL$6:$AL$505,"○")&gt;0,1,0))</f>
        <v>0</v>
      </c>
      <c r="N90" s="39" t="n">
        <f aca="false">IF(N$4=0,0,IF(COUNTIFS(実績!$W$6:$W$505,N$3,実績!$AI$6:$AI$505,"&lt;="&amp;$A90,実績!$AJ$6:$AJ$505,"&gt;"&amp;$A90,実績!$AL$6:$AL$505,"○")&gt;0,1,0))</f>
        <v>0</v>
      </c>
      <c r="O90" s="39" t="n">
        <f aca="false">IF(O$4=0,0,IF(COUNTIFS(実績!$W$6:$W$505,O$3,実績!$AI$6:$AI$505,"&lt;="&amp;$A90,実績!$AJ$6:$AJ$505,"&gt;"&amp;$A90,実績!$AL$6:$AL$505,"○")&gt;0,1,0))</f>
        <v>0</v>
      </c>
      <c r="P90" s="39" t="n">
        <f aca="false">IF(P$4=0,0,IF(COUNTIFS(実績!$W$6:$W$505,P$3,実績!$AI$6:$AI$505,"&lt;="&amp;$A90,実績!$AJ$6:$AJ$505,"&gt;"&amp;$A90,実績!$AL$6:$AL$505,"○")&gt;0,1,0))</f>
        <v>0</v>
      </c>
      <c r="Q90" s="39" t="n">
        <f aca="false">IF(Q$4=0,0,IF(COUNTIFS(実績!$W$6:$W$505,Q$3,実績!$AI$6:$AI$505,"&lt;="&amp;$A90,実績!$AJ$6:$AJ$505,"&gt;"&amp;$A90,実績!$AL$6:$AL$505,"○")&gt;0,1,0))</f>
        <v>0</v>
      </c>
      <c r="R90" s="39" t="n">
        <f aca="false">IF(R$4=0,0,IF(COUNTIFS(実績!$W$6:$W$505,R$3,実績!$AI$6:$AI$505,"&lt;="&amp;$A90,実績!$AJ$6:$AJ$505,"&gt;"&amp;$A90,実績!$AL$6:$AL$505,"○")&gt;0,1,0))</f>
        <v>0</v>
      </c>
      <c r="S90" s="39" t="n">
        <f aca="false">IF(S$4=0,0,IF(COUNTIFS(実績!$W$6:$W$505,S$3,実績!$AI$6:$AI$505,"&lt;="&amp;$A90,実績!$AJ$6:$AJ$505,"&gt;"&amp;$A90,実績!$AL$6:$AL$505,"○")&gt;0,1,0))</f>
        <v>0</v>
      </c>
      <c r="T90" s="39" t="n">
        <f aca="false">IF(T$4=0,0,IF(COUNTIFS(実績!$W$6:$W$505,T$3,実績!$AI$6:$AI$505,"&lt;="&amp;$A90,実績!$AJ$6:$AJ$505,"&gt;"&amp;$A90,実績!$AL$6:$AL$505,"○")&gt;0,1,0))</f>
        <v>0</v>
      </c>
      <c r="U90" s="39" t="n">
        <f aca="false">IF(U$4=0,0,IF(COUNTIFS(実績!$W$6:$W$505,U$3,実績!$AI$6:$AI$505,"&lt;="&amp;$A90,実績!$AJ$6:$AJ$505,"&gt;"&amp;$A90,実績!$AL$6:$AL$505,"○")&gt;0,1,0))</f>
        <v>0</v>
      </c>
      <c r="V90" s="39" t="n">
        <f aca="false">IF(V$4=0,0,IF(COUNTIFS(実績!$W$6:$W$505,V$3,実績!$AI$6:$AI$505,"&lt;="&amp;$A90,実績!$AJ$6:$AJ$505,"&gt;"&amp;$A90,実績!$AL$6:$AL$505,"○")&gt;0,1,0))</f>
        <v>0</v>
      </c>
      <c r="W90" s="39" t="n">
        <f aca="false">IF(W$4=0,0,IF(COUNTIFS(実績!$W$6:$W$505,W$3,実績!$AI$6:$AI$505,"&lt;="&amp;$A90,実績!$AJ$6:$AJ$505,"&gt;"&amp;$A90,実績!$AL$6:$AL$505,"○")&gt;0,1,0))</f>
        <v>0</v>
      </c>
      <c r="X90" s="39" t="n">
        <f aca="false">IF(X$4=0,0,IF(COUNTIFS(実績!$W$6:$W$505,X$3,実績!$AI$6:$AI$505,"&lt;="&amp;$A90,実績!$AJ$6:$AJ$505,"&gt;"&amp;$A90,実績!$AL$6:$AL$505,"○")&gt;0,1,0))</f>
        <v>0</v>
      </c>
      <c r="Y90" s="39" t="n">
        <f aca="false">IF(Y$4=0,0,IF(COUNTIFS(実績!$W$6:$W$505,Y$3,実績!$AI$6:$AI$505,"&lt;="&amp;$A90,実績!$AJ$6:$AJ$505,"&gt;"&amp;$A90,実績!$AL$6:$AL$505,"○")&gt;0,1,0))</f>
        <v>0</v>
      </c>
      <c r="Z90" s="39" t="n">
        <f aca="false">IF(Z$4=0,0,IF(COUNTIFS(実績!$W$6:$W$505,Z$3,実績!$AI$6:$AI$505,"&lt;="&amp;$A90,実績!$AJ$6:$AJ$505,"&gt;"&amp;$A90,実績!$AL$6:$AL$505,"○")&gt;0,1,0))</f>
        <v>0</v>
      </c>
      <c r="AA90" s="39" t="n">
        <f aca="false">IF(AA$4=0,0,IF(COUNTIFS(実績!$W$6:$W$505,AA$3,実績!$AI$6:$AI$505,"&lt;="&amp;$A90,実績!$AJ$6:$AJ$505,"&gt;"&amp;$A90,実績!$AL$6:$AL$505,"○")&gt;0,1,0))</f>
        <v>0</v>
      </c>
      <c r="AB90" s="39" t="n">
        <f aca="false">IF(AB$4=0,0,IF(COUNTIFS(実績!$W$6:$W$505,AB$3,実績!$AI$6:$AI$505,"&lt;="&amp;$A90,実績!$AJ$6:$AJ$505,"&gt;"&amp;$A90,実績!$AL$6:$AL$505,"○")&gt;0,1,0))</f>
        <v>0</v>
      </c>
      <c r="AC90" s="39" t="n">
        <f aca="false">IF(AC$4=0,0,IF(COUNTIFS(実績!$W$6:$W$505,AC$3,実績!$AI$6:$AI$505,"&lt;="&amp;$A90,実績!$AJ$6:$AJ$505,"&gt;"&amp;$A90,実績!$AL$6:$AL$505,"○")&gt;0,1,0))</f>
        <v>0</v>
      </c>
      <c r="AD90" s="39" t="n">
        <f aca="false">IF(AD$4=0,0,IF(COUNTIFS(実績!$W$6:$W$505,AD$3,実績!$AI$6:$AI$505,"&lt;="&amp;$A90,実績!$AJ$6:$AJ$505,"&gt;"&amp;$A90,実績!$AL$6:$AL$505,"○")&gt;0,1,0))</f>
        <v>0</v>
      </c>
      <c r="AE90" s="39" t="n">
        <f aca="false">IF(AE$4=0,0,IF(COUNTIFS(実績!$W$6:$W$505,AE$3,実績!$AI$6:$AI$505,"&lt;="&amp;$A90,実績!$AJ$6:$AJ$505,"&gt;"&amp;$A90,実績!$AL$6:$AL$505,"○")&gt;0,1,0))</f>
        <v>0</v>
      </c>
      <c r="AF90" s="39" t="n">
        <f aca="false">IF(AF$4=0,0,IF(COUNTIFS(実績!$W$6:$W$505,AF$3,実績!$AI$6:$AI$505,"&lt;="&amp;$A90,実績!$AJ$6:$AJ$505,"&gt;"&amp;$A90,実績!$AL$6:$AL$505,"○")&gt;0,1,0))</f>
        <v>0</v>
      </c>
      <c r="AG90" s="39" t="n">
        <f aca="false">IF(AG$4=0,0,IF(COUNTIFS(実績!$W$6:$W$505,AG$3,実績!$AI$6:$AI$505,"&lt;="&amp;$A90,実績!$AJ$6:$AJ$505,"&gt;"&amp;$A90,実績!$AL$6:$AL$505,"○")&gt;0,1,0))</f>
        <v>0</v>
      </c>
      <c r="AH90" s="39" t="n">
        <f aca="false">IF(AH$4=0,0,IF(COUNTIFS(実績!$W$6:$W$505,AH$3,実績!$AI$6:$AI$505,"&lt;="&amp;$A90,実績!$AJ$6:$AJ$505,"&gt;"&amp;$A90,実績!$AL$6:$AL$505,"○")&gt;0,1,0))</f>
        <v>0</v>
      </c>
      <c r="AI90" s="39" t="n">
        <f aca="false">IF(AI$4=0,0,IF(COUNTIFS(実績!$W$6:$W$505,AI$3,実績!$AI$6:$AI$505,"&lt;="&amp;$A90,実績!$AJ$6:$AJ$505,"&gt;"&amp;$A90,実績!$AL$6:$AL$505,"○")&gt;0,1,0))</f>
        <v>0</v>
      </c>
      <c r="AJ90" s="39" t="n">
        <f aca="false">IF(AJ$4=0,0,IF(COUNTIFS(実績!$W$6:$W$505,AJ$3,実績!$AI$6:$AI$505,"&lt;="&amp;$A90,実績!$AJ$6:$AJ$505,"&gt;"&amp;$A90,実績!$AL$6:$AL$505,"○")&gt;0,1,0))</f>
        <v>0</v>
      </c>
      <c r="AK90" s="39" t="n">
        <f aca="false">IF(AK$4=0,0,IF(COUNTIFS(実績!$W$6:$W$505,AK$3,実績!$AI$6:$AI$505,"&lt;="&amp;$A90,実績!$AJ$6:$AJ$505,"&gt;"&amp;$A90,実績!$AL$6:$AL$505,"○")&gt;0,1,0))</f>
        <v>0</v>
      </c>
      <c r="AL90" s="39" t="n">
        <f aca="false">IF(AL$4=0,0,IF(COUNTIFS(実績!$W$6:$W$505,AL$3,実績!$AI$6:$AI$505,"&lt;="&amp;$A90,実績!$AJ$6:$AJ$505,"&gt;"&amp;$A90,実績!$AL$6:$AL$505,"○")&gt;0,1,0))</f>
        <v>0</v>
      </c>
      <c r="AM90" s="39" t="n">
        <f aca="false">IF(AM$4=0,0,IF(COUNTIFS(実績!$W$6:$W$505,AM$3,実績!$AI$6:$AI$505,"&lt;="&amp;$A90,実績!$AJ$6:$AJ$505,"&gt;"&amp;$A90,実績!$AL$6:$AL$505,"○")&gt;0,1,0))</f>
        <v>0</v>
      </c>
      <c r="AN90" s="39" t="n">
        <f aca="false">IF(AN$4=0,0,IF(COUNTIFS(実績!$W$6:$W$505,AN$3,実績!$AI$6:$AI$505,"&lt;="&amp;$A90,実績!$AJ$6:$AJ$505,"&gt;"&amp;$A90,実績!$AL$6:$AL$505,"○")&gt;0,1,0))</f>
        <v>0</v>
      </c>
      <c r="AO90" s="39" t="n">
        <f aca="false">IF(AO$4=0,0,IF(COUNTIFS(実績!$W$6:$W$505,AO$3,実績!$AI$6:$AI$505,"&lt;="&amp;$A90,実績!$AJ$6:$AJ$505,"&gt;"&amp;$A90,実績!$AL$6:$AL$505,"○")&gt;0,1,0))</f>
        <v>0</v>
      </c>
      <c r="AP90" s="39" t="n">
        <f aca="false">IF(AP$4=0,0,IF(COUNTIFS(実績!$W$6:$W$505,AP$3,実績!$AI$6:$AI$505,"&lt;="&amp;$A90,実績!$AJ$6:$AJ$505,"&gt;"&amp;$A90,実績!$AL$6:$AL$505,"○")&gt;0,1,0))</f>
        <v>0</v>
      </c>
      <c r="AQ90" s="39" t="n">
        <f aca="false">IF(AQ$4=0,0,IF(COUNTIFS(実績!$W$6:$W$505,AQ$3,実績!$AI$6:$AI$505,"&lt;="&amp;$A90,実績!$AJ$6:$AJ$505,"&gt;"&amp;$A90,実績!$AL$6:$AL$505,"○")&gt;0,1,0))</f>
        <v>0</v>
      </c>
      <c r="AR90" s="39" t="n">
        <f aca="false">IF(AR$4=0,0,IF(COUNTIFS(実績!$W$6:$W$505,AR$3,実績!$AI$6:$AI$505,"&lt;="&amp;$A90,実績!$AJ$6:$AJ$505,"&gt;"&amp;$A90,実績!$AL$6:$AL$505,"○")&gt;0,1,0))</f>
        <v>0</v>
      </c>
      <c r="AS90" s="39" t="n">
        <f aca="false">IF(AS$4=0,0,IF(COUNTIFS(実績!$W$6:$W$505,AS$3,実績!$AI$6:$AI$505,"&lt;="&amp;$A90,実績!$AJ$6:$AJ$505,"&gt;"&amp;$A90,実績!$AL$6:$AL$505,"○")&gt;0,1,0))</f>
        <v>0</v>
      </c>
      <c r="AT90" s="39" t="n">
        <f aca="false">IF(AT$4=0,0,IF(COUNTIFS(実績!$W$6:$W$505,AT$3,実績!$AI$6:$AI$505,"&lt;="&amp;$A90,実績!$AJ$6:$AJ$505,"&gt;"&amp;$A90,実績!$AL$6:$AL$505,"○")&gt;0,1,0))</f>
        <v>0</v>
      </c>
      <c r="AU90" s="39" t="n">
        <f aca="false">IF(AU$4=0,0,IF(COUNTIFS(実績!$W$6:$W$505,AU$3,実績!$AI$6:$AI$505,"&lt;="&amp;$A90,実績!$AJ$6:$AJ$505,"&gt;"&amp;$A90,実績!$AL$6:$AL$505,"○")&gt;0,1,0))</f>
        <v>0</v>
      </c>
      <c r="AV90" s="39" t="n">
        <f aca="false">IF(AV$4=0,0,IF(COUNTIFS(実績!$W$6:$W$505,AV$3,実績!$AI$6:$AI$505,"&lt;="&amp;$A90,実績!$AJ$6:$AJ$505,"&gt;"&amp;$A90,実績!$AL$6:$AL$505,"○")&gt;0,1,0))</f>
        <v>0</v>
      </c>
      <c r="AW90" s="39" t="n">
        <f aca="false">IF(AW$4=0,0,IF(COUNTIFS(実績!$W$6:$W$505,AW$3,実績!$AI$6:$AI$505,"&lt;="&amp;$A90,実績!$AJ$6:$AJ$505,"&gt;"&amp;$A90,実績!$AL$6:$AL$505,"○")&gt;0,1,0))</f>
        <v>0</v>
      </c>
      <c r="AX90" s="39" t="n">
        <f aca="false">IF(AX$4=0,0,IF(COUNTIFS(実績!$W$6:$W$505,AX$3,実績!$AI$6:$AI$505,"&lt;="&amp;$A90,実績!$AJ$6:$AJ$505,"&gt;"&amp;$A90,実績!$AL$6:$AL$505,"○")&gt;0,1,0))</f>
        <v>0</v>
      </c>
      <c r="AY90" s="39" t="n">
        <f aca="false">IF(AY$4=0,0,IF(COUNTIFS(実績!$W$6:$W$505,AY$3,実績!$AI$6:$AI$505,"&lt;="&amp;$A90,実績!$AJ$6:$AJ$505,"&gt;"&amp;$A90,実績!$AL$6:$AL$505,"○")&gt;0,1,0))</f>
        <v>0</v>
      </c>
      <c r="AZ90" s="39" t="n">
        <f aca="false">IF(AZ$4=0,0,IF(COUNTIFS(実績!$W$6:$W$505,AZ$3,実績!$AI$6:$AI$505,"&lt;="&amp;$A90,実績!$AJ$6:$AJ$505,"&gt;"&amp;$A90,実績!$AL$6:$AL$505,"○")&gt;0,1,0))</f>
        <v>0</v>
      </c>
      <c r="BA90" s="39" t="n">
        <f aca="false">IF(BA$4=0,0,IF(COUNTIFS(実績!$W$6:$W$505,BA$3,実績!$AI$6:$AI$505,"&lt;="&amp;$A90,実績!$AJ$6:$AJ$505,"&gt;"&amp;$A90,実績!$AL$6:$AL$505,"○")&gt;0,1,0))</f>
        <v>0</v>
      </c>
      <c r="BB90" s="39" t="n">
        <f aca="false">IF(BB$4=0,0,IF(COUNTIFS(実績!$W$6:$W$505,BB$3,実績!$AI$6:$AI$505,"&lt;="&amp;$A90,実績!$AJ$6:$AJ$505,"&gt;"&amp;$A90,実績!$AL$6:$AL$505,"○")&gt;0,1,0))</f>
        <v>0</v>
      </c>
      <c r="BC90" s="39" t="n">
        <f aca="false">IF(BC$4=0,0,IF(COUNTIFS(実績!$W$6:$W$505,BC$3,実績!$AI$6:$AI$505,"&lt;="&amp;$A90,実績!$AJ$6:$AJ$505,"&gt;"&amp;$A90,実績!$AL$6:$AL$505,"○")&gt;0,1,0))</f>
        <v>0</v>
      </c>
      <c r="BD90" s="39" t="n">
        <f aca="false">IF(BD$4=0,0,IF(COUNTIFS(実績!$W$6:$W$505,BD$3,実績!$AI$6:$AI$505,"&lt;="&amp;$A90,実績!$AJ$6:$AJ$505,"&gt;"&amp;$A90,実績!$AL$6:$AL$505,"○")&gt;0,1,0))</f>
        <v>0</v>
      </c>
      <c r="BE90" s="39" t="n">
        <f aca="false">IF(BE$4=0,0,IF(COUNTIFS(実績!$W$6:$W$505,BE$3,実績!$AI$6:$AI$505,"&lt;="&amp;$A90,実績!$AJ$6:$AJ$505,"&gt;"&amp;$A90,実績!$AL$6:$AL$505,"○")&gt;0,1,0))</f>
        <v>0</v>
      </c>
      <c r="BF90" s="39" t="n">
        <f aca="false">IF(BF$4=0,0,IF(COUNTIFS(実績!$W$6:$W$505,BF$3,実績!$AI$6:$AI$505,"&lt;="&amp;$A90,実績!$AJ$6:$AJ$505,"&gt;"&amp;$A90,実績!$AL$6:$AL$505,"○")&gt;0,1,0))</f>
        <v>0</v>
      </c>
      <c r="BG90" s="39" t="n">
        <f aca="false">IF(BG$4=0,0,IF(COUNTIFS(実績!$W$6:$W$505,BG$3,実績!$AI$6:$AI$505,"&lt;="&amp;$A90,実績!$AJ$6:$AJ$505,"&gt;"&amp;$A90,実績!$AL$6:$AL$505,"○")&gt;0,1,0))</f>
        <v>0</v>
      </c>
      <c r="BH90" s="39" t="n">
        <f aca="false">IF(BH$4=0,0,IF(COUNTIFS(実績!$W$6:$W$505,BH$3,実績!$AI$6:$AI$505,"&lt;="&amp;$A90,実績!$AJ$6:$AJ$505,"&gt;"&amp;$A90,実績!$AL$6:$AL$505,"○")&gt;0,1,0))</f>
        <v>0</v>
      </c>
      <c r="BI90" s="39" t="n">
        <f aca="false">IF(BI$4=0,0,IF(COUNTIFS(実績!$W$6:$W$505,BI$3,実績!$AI$6:$AI$505,"&lt;="&amp;$A90,実績!$AJ$6:$AJ$505,"&gt;"&amp;$A90,実績!$AL$6:$AL$505,"○")&gt;0,1,0))</f>
        <v>0</v>
      </c>
      <c r="BJ90" s="39" t="n">
        <f aca="false">IF(BJ$4=0,0,IF(COUNTIFS(実績!$W$6:$W$505,BJ$3,実績!$AI$6:$AI$505,"&lt;="&amp;$A90,実績!$AJ$6:$AJ$505,"&gt;"&amp;$A90,実績!$AL$6:$AL$505,"○")&gt;0,1,0))</f>
        <v>0</v>
      </c>
      <c r="BK90" s="39" t="n">
        <f aca="false">IF(BK$4=0,0,IF(COUNTIFS(実績!$W$6:$W$505,BK$3,実績!$AI$6:$AI$505,"&lt;="&amp;$A90,実績!$AJ$6:$AJ$505,"&gt;"&amp;$A90,実績!$AL$6:$AL$505,"○")&gt;0,1,0))</f>
        <v>0</v>
      </c>
      <c r="BL90" s="39" t="n">
        <f aca="false">IF(BL$4=0,0,IF(COUNTIFS(実績!$W$6:$W$505,BL$3,実績!$AI$6:$AI$505,"&lt;="&amp;$A90,実績!$AJ$6:$AJ$505,"&gt;"&amp;$A90,実績!$AL$6:$AL$505,"○")&gt;0,1,0))</f>
        <v>0</v>
      </c>
      <c r="BM90" s="39" t="n">
        <f aca="false">IF(BM$4=0,0,IF(COUNTIFS(実績!$W$6:$W$505,BM$3,実績!$AI$6:$AI$505,"&lt;="&amp;$A90,実績!$AJ$6:$AJ$505,"&gt;"&amp;$A90,実績!$AL$6:$AL$505,"○")&gt;0,1,0))</f>
        <v>0</v>
      </c>
      <c r="BN90" s="39" t="n">
        <f aca="false">IF(BN$4=0,0,IF(COUNTIFS(実績!$W$6:$W$505,BN$3,実績!$AI$6:$AI$505,"&lt;="&amp;$A90,実績!$AJ$6:$AJ$505,"&gt;"&amp;$A90,実績!$AL$6:$AL$505,"○")&gt;0,1,0))</f>
        <v>0</v>
      </c>
      <c r="BO90" s="39" t="n">
        <f aca="false">IF(BO$4=0,0,IF(COUNTIFS(実績!$W$6:$W$505,BO$3,実績!$AI$6:$AI$505,"&lt;="&amp;$A90,実績!$AJ$6:$AJ$505,"&gt;"&amp;$A90,実績!$AL$6:$AL$505,"○")&gt;0,1,0))</f>
        <v>0</v>
      </c>
      <c r="BP90" s="39" t="n">
        <f aca="false">IF(BP$4=0,0,IF(COUNTIFS(実績!$W$6:$W$505,BP$3,実績!$AI$6:$AI$505,"&lt;="&amp;$A90,実績!$AJ$6:$AJ$505,"&gt;"&amp;$A90,実績!$AL$6:$AL$505,"○")&gt;0,1,0))</f>
        <v>0</v>
      </c>
      <c r="BQ90" s="39" t="n">
        <f aca="false">IF(BQ$4=0,0,IF(COUNTIFS(実績!$W$6:$W$505,BQ$3,実績!$AI$6:$AI$505,"&lt;="&amp;$A90,実績!$AJ$6:$AJ$505,"&gt;"&amp;$A90,実績!$AL$6:$AL$505,"○")&gt;0,1,0))</f>
        <v>0</v>
      </c>
      <c r="BR90" s="39" t="n">
        <f aca="false">IF(BR$4=0,0,IF(COUNTIFS(実績!$W$6:$W$505,BR$3,実績!$AI$6:$AI$505,"&lt;="&amp;$A90,実績!$AJ$6:$AJ$505,"&gt;"&amp;$A90,実績!$AL$6:$AL$505,"○")&gt;0,1,0))</f>
        <v>0</v>
      </c>
      <c r="BS90" s="39" t="n">
        <f aca="false">IF(BS$4=0,0,IF(COUNTIFS(実績!$W$6:$W$505,BS$3,実績!$AI$6:$AI$505,"&lt;="&amp;$A90,実績!$AJ$6:$AJ$505,"&gt;"&amp;$A90,実績!$AL$6:$AL$505,"○")&gt;0,1,0))</f>
        <v>0</v>
      </c>
      <c r="BT90" s="39" t="n">
        <f aca="false">IF(BT$4=0,0,IF(COUNTIFS(実績!$W$6:$W$505,BT$3,実績!$AI$6:$AI$505,"&lt;="&amp;$A90,実績!$AJ$6:$AJ$505,"&gt;"&amp;$A90,実績!$AL$6:$AL$505,"○")&gt;0,1,0))</f>
        <v>0</v>
      </c>
      <c r="BU90" s="39" t="n">
        <f aca="false">IF(BU$4=0,0,IF(COUNTIFS(実績!$W$6:$W$505,BU$3,実績!$AI$6:$AI$505,"&lt;="&amp;$A90,実績!$AJ$6:$AJ$505,"&gt;"&amp;$A90,実績!$AL$6:$AL$505,"○")&gt;0,1,0))</f>
        <v>0</v>
      </c>
      <c r="BV90" s="39" t="n">
        <f aca="false">IF(BV$4=0,0,IF(COUNTIFS(実績!$W$6:$W$505,BV$3,実績!$AI$6:$AI$505,"&lt;="&amp;$A90,実績!$AJ$6:$AJ$505,"&gt;"&amp;$A90,実績!$AL$6:$AL$505,"○")&gt;0,1,0))</f>
        <v>0</v>
      </c>
      <c r="BW90" s="39" t="n">
        <f aca="false">IF(BW$4=0,0,IF(COUNTIFS(実績!$W$6:$W$505,BW$3,実績!$AI$6:$AI$505,"&lt;="&amp;$A90,実績!$AJ$6:$AJ$505,"&gt;"&amp;$A90,実績!$AL$6:$AL$505,"○")&gt;0,1,0))</f>
        <v>0</v>
      </c>
      <c r="BX90" s="39" t="n">
        <f aca="false">IF(BX$4=0,0,IF(COUNTIFS(実績!$W$6:$W$505,BX$3,実績!$AI$6:$AI$505,"&lt;="&amp;$A90,実績!$AJ$6:$AJ$505,"&gt;"&amp;$A90,実績!$AL$6:$AL$505,"○")&gt;0,1,0))</f>
        <v>0</v>
      </c>
      <c r="BY90" s="39" t="n">
        <f aca="false">IF(BY$4=0,0,IF(COUNTIFS(実績!$W$6:$W$505,BY$3,実績!$AI$6:$AI$505,"&lt;="&amp;$A90,実績!$AJ$6:$AJ$505,"&gt;"&amp;$A90,実績!$AL$6:$AL$505,"○")&gt;0,1,0))</f>
        <v>0</v>
      </c>
      <c r="BZ90" s="39" t="n">
        <f aca="false">IF(BZ$4=0,0,IF(COUNTIFS(実績!$W$6:$W$505,BZ$3,実績!$AI$6:$AI$505,"&lt;="&amp;$A90,実績!$AJ$6:$AJ$505,"&gt;"&amp;$A90,実績!$AL$6:$AL$505,"○")&gt;0,1,0))</f>
        <v>0</v>
      </c>
      <c r="CA90" s="39" t="n">
        <f aca="false">IF(CA$4=0,0,IF(COUNTIFS(実績!$W$6:$W$505,CA$3,実績!$AI$6:$AI$505,"&lt;="&amp;$A90,実績!$AJ$6:$AJ$505,"&gt;"&amp;$A90,実績!$AL$6:$AL$505,"○")&gt;0,1,0))</f>
        <v>0</v>
      </c>
      <c r="CB90" s="39" t="n">
        <f aca="false">IF(CB$4=0,0,IF(COUNTIFS(実績!$W$6:$W$505,CB$3,実績!$AI$6:$AI$505,"&lt;="&amp;$A90,実績!$AJ$6:$AJ$505,"&gt;"&amp;$A90,実績!$AL$6:$AL$505,"○")&gt;0,1,0))</f>
        <v>0</v>
      </c>
      <c r="CC90" s="39" t="n">
        <f aca="false">IF(CC$4=0,0,IF(COUNTIFS(実績!$W$6:$W$505,CC$3,実績!$AI$6:$AI$505,"&lt;="&amp;$A90,実績!$AJ$6:$AJ$505,"&gt;"&amp;$A90,実績!$AL$6:$AL$505,"○")&gt;0,1,0))</f>
        <v>0</v>
      </c>
      <c r="CD90" s="39" t="n">
        <f aca="false">IF(CD$4=0,0,IF(COUNTIFS(実績!$W$6:$W$505,CD$3,実績!$AI$6:$AI$505,"&lt;="&amp;$A90,実績!$AJ$6:$AJ$505,"&gt;"&amp;$A90,実績!$AL$6:$AL$505,"○")&gt;0,1,0))</f>
        <v>0</v>
      </c>
      <c r="CE90" s="39" t="n">
        <f aca="false">IF(CE$4=0,0,IF(COUNTIFS(実績!$W$6:$W$505,CE$3,実績!$AI$6:$AI$505,"&lt;="&amp;$A90,実績!$AJ$6:$AJ$505,"&gt;"&amp;$A90,実績!$AL$6:$AL$505,"○")&gt;0,1,0))</f>
        <v>0</v>
      </c>
      <c r="CF90" s="39" t="n">
        <f aca="false">IF(CF$4=0,0,IF(COUNTIFS(実績!$W$6:$W$505,CF$3,実績!$AI$6:$AI$505,"&lt;="&amp;$A90,実績!$AJ$6:$AJ$505,"&gt;"&amp;$A90,実績!$AL$6:$AL$505,"○")&gt;0,1,0))</f>
        <v>0</v>
      </c>
      <c r="CG90" s="39" t="n">
        <f aca="false">IF(CG$4=0,0,IF(COUNTIFS(実績!$W$6:$W$505,CG$3,実績!$AI$6:$AI$505,"&lt;="&amp;$A90,実績!$AJ$6:$AJ$505,"&gt;"&amp;$A90,実績!$AL$6:$AL$505,"○")&gt;0,1,0))</f>
        <v>0</v>
      </c>
      <c r="CH90" s="39" t="n">
        <f aca="false">IF(CH$4=0,0,IF(COUNTIFS(実績!$W$6:$W$505,CH$3,実績!$AI$6:$AI$505,"&lt;="&amp;$A90,実績!$AJ$6:$AJ$505,"&gt;"&amp;$A90,実績!$AL$6:$AL$505,"○")&gt;0,1,0))</f>
        <v>0</v>
      </c>
      <c r="CI90" s="39" t="n">
        <f aca="false">IF(CI$4=0,0,IF(COUNTIFS(実績!$W$6:$W$505,CI$3,実績!$AI$6:$AI$505,"&lt;="&amp;$A90,実績!$AJ$6:$AJ$505,"&gt;"&amp;$A90,実績!$AL$6:$AL$505,"○")&gt;0,1,0))</f>
        <v>0</v>
      </c>
      <c r="CJ90" s="39" t="n">
        <f aca="false">IF(CJ$4=0,0,IF(COUNTIFS(実績!$W$6:$W$505,CJ$3,実績!$AI$6:$AI$505,"&lt;="&amp;$A90,実績!$AJ$6:$AJ$505,"&gt;"&amp;$A90,実績!$AL$6:$AL$505,"○")&gt;0,1,0))</f>
        <v>0</v>
      </c>
      <c r="CK90" s="39" t="n">
        <f aca="false">IF(CK$4=0,0,IF(COUNTIFS(実績!$W$6:$W$505,CK$3,実績!$AI$6:$AI$505,"&lt;="&amp;$A90,実績!$AJ$6:$AJ$505,"&gt;"&amp;$A90,実績!$AL$6:$AL$505,"○")&gt;0,1,0))</f>
        <v>0</v>
      </c>
      <c r="CL90" s="39" t="n">
        <f aca="false">IF(CL$4=0,0,IF(COUNTIFS(実績!$W$6:$W$505,CL$3,実績!$AI$6:$AI$505,"&lt;="&amp;$A90,実績!$AJ$6:$AJ$505,"&gt;"&amp;$A90,実績!$AL$6:$AL$505,"○")&gt;0,1,0))</f>
        <v>0</v>
      </c>
      <c r="CM90" s="39" t="n">
        <f aca="false">IF(CM$4=0,0,IF(COUNTIFS(実績!$W$6:$W$505,CM$3,実績!$AI$6:$AI$505,"&lt;="&amp;$A90,実績!$AJ$6:$AJ$505,"&gt;"&amp;$A90,実績!$AL$6:$AL$505,"○")&gt;0,1,0))</f>
        <v>0</v>
      </c>
      <c r="CN90" s="39" t="n">
        <f aca="false">IF(CN$4=0,0,IF(COUNTIFS(実績!$W$6:$W$505,CN$3,実績!$AI$6:$AI$505,"&lt;="&amp;$A90,実績!$AJ$6:$AJ$505,"&gt;"&amp;$A90,実績!$AL$6:$AL$505,"○")&gt;0,1,0))</f>
        <v>0</v>
      </c>
      <c r="CO90" s="39" t="n">
        <f aca="false">IF(CO$4=0,0,IF(COUNTIFS(実績!$W$6:$W$505,CO$3,実績!$AI$6:$AI$505,"&lt;="&amp;$A90,実績!$AJ$6:$AJ$505,"&gt;"&amp;$A90,実績!$AL$6:$AL$505,"○")&gt;0,1,0))</f>
        <v>0</v>
      </c>
      <c r="CP90" s="39" t="n">
        <f aca="false">IF(CP$4=0,0,IF(COUNTIFS(実績!$W$6:$W$505,CP$3,実績!$AI$6:$AI$505,"&lt;="&amp;$A90,実績!$AJ$6:$AJ$505,"&gt;"&amp;$A90,実績!$AL$6:$AL$505,"○")&gt;0,1,0))</f>
        <v>0</v>
      </c>
      <c r="CQ90" s="39" t="n">
        <f aca="false">IF(CQ$4=0,0,IF(COUNTIFS(実績!$W$6:$W$505,CQ$3,実績!$AI$6:$AI$505,"&lt;="&amp;$A90,実績!$AJ$6:$AJ$505,"&gt;"&amp;$A90,実績!$AL$6:$AL$505,"○")&gt;0,1,0))</f>
        <v>0</v>
      </c>
      <c r="CR90" s="39" t="n">
        <f aca="false">IF(CR$4=0,0,IF(COUNTIFS(実績!$W$6:$W$505,CR$3,実績!$AI$6:$AI$505,"&lt;="&amp;$A90,実績!$AJ$6:$AJ$505,"&gt;"&amp;$A90,実績!$AL$6:$AL$505,"○")&gt;0,1,0))</f>
        <v>0</v>
      </c>
      <c r="CS90" s="39" t="n">
        <f aca="false">IF(CS$4=0,0,IF(COUNTIFS(実績!$W$6:$W$505,CS$3,実績!$AI$6:$AI$505,"&lt;="&amp;$A90,実績!$AJ$6:$AJ$505,"&gt;"&amp;$A90,実績!$AL$6:$AL$505,"○")&gt;0,1,0))</f>
        <v>0</v>
      </c>
      <c r="CT90" s="39" t="n">
        <f aca="false">IF(CT$4=0,0,IF(COUNTIFS(実績!$W$6:$W$505,CT$3,実績!$AI$6:$AI$505,"&lt;="&amp;$A90,実績!$AJ$6:$AJ$505,"&gt;"&amp;$A90,実績!$AL$6:$AL$505,"○")&gt;0,1,0))</f>
        <v>0</v>
      </c>
      <c r="CU90" s="39" t="n">
        <f aca="false">IF(CU$4=0,0,IF(COUNTIFS(実績!$W$6:$W$505,CU$3,実績!$AI$6:$AI$505,"&lt;="&amp;$A90,実績!$AJ$6:$AJ$505,"&gt;"&amp;$A90,実績!$AL$6:$AL$505,"○")&gt;0,1,0))</f>
        <v>0</v>
      </c>
      <c r="CV90" s="39" t="n">
        <f aca="false">IF(CV$4=0,0,IF(COUNTIFS(実績!$W$6:$W$505,CV$3,実績!$AI$6:$AI$505,"&lt;="&amp;$A90,実績!$AJ$6:$AJ$505,"&gt;"&amp;$A90,実績!$AL$6:$AL$505,"○")&gt;0,1,0))</f>
        <v>0</v>
      </c>
      <c r="CW90" s="39" t="n">
        <f aca="false">IF(CW$4=0,0,IF(COUNTIFS(実績!$W$6:$W$505,CW$3,実績!$AI$6:$AI$505,"&lt;="&amp;$A90,実績!$AJ$6:$AJ$505,"&gt;"&amp;$A90,実績!$AL$6:$AL$505,"○")&gt;0,1,0))</f>
        <v>0</v>
      </c>
      <c r="CX90" s="39" t="n">
        <f aca="false">IF(CX$4=0,0,IF(COUNTIFS(実績!$W$6:$W$505,CX$3,実績!$AI$6:$AI$505,"&lt;="&amp;$A90,実績!$AJ$6:$AJ$505,"&gt;"&amp;$A90,実績!$AL$6:$AL$505,"○")&gt;0,1,0))</f>
        <v>0</v>
      </c>
      <c r="CY90" s="39" t="n">
        <f aca="false">IF(CY$4=0,0,IF(COUNTIFS(実績!$W$6:$W$505,CY$3,実績!$AI$6:$AI$505,"&lt;="&amp;$A90,実績!$AJ$6:$AJ$505,"&gt;"&amp;$A90,実績!$AL$6:$AL$505,"○")&gt;0,1,0))</f>
        <v>0</v>
      </c>
      <c r="CZ90" s="39" t="n">
        <f aca="false">IF(CZ$4=0,0,IF(COUNTIFS(実績!$W$6:$W$505,CZ$3,実績!$AI$6:$AI$505,"&lt;="&amp;$A90,実績!$AJ$6:$AJ$505,"&gt;"&amp;$A90,実績!$AL$6:$AL$505,"○")&gt;0,1,0))</f>
        <v>0</v>
      </c>
      <c r="DA90" s="39" t="n">
        <f aca="false">IF(DA$4=0,0,IF(COUNTIFS(実績!$W$6:$W$505,DA$3,実績!$AI$6:$AI$505,"&lt;="&amp;$A90,実績!$AJ$6:$AJ$505,"&gt;"&amp;$A90,実績!$AL$6:$AL$505,"○")&gt;0,1,0))</f>
        <v>0</v>
      </c>
      <c r="DB90" s="39" t="n">
        <f aca="false">IF(DB$4=0,0,IF(COUNTIFS(実績!$W$6:$W$505,DB$3,実績!$AI$6:$AI$505,"&lt;="&amp;$A90,実績!$AJ$6:$AJ$505,"&gt;"&amp;$A90,実績!$AL$6:$AL$505,"○")&gt;0,1,0))</f>
        <v>0</v>
      </c>
      <c r="DC90" s="39" t="n">
        <f aca="false">IF(DC$4=0,0,IF(COUNTIFS(実績!$W$6:$W$505,DC$3,実績!$AI$6:$AI$505,"&lt;="&amp;$A90,実績!$AJ$6:$AJ$505,"&gt;"&amp;$A90,実績!$AL$6:$AL$505,"○")&gt;0,1,0))</f>
        <v>0</v>
      </c>
      <c r="DD90" s="39" t="n">
        <f aca="false">IF(DD$4=0,0,IF(COUNTIFS(実績!$W$6:$W$505,DD$3,実績!$AI$6:$AI$505,"&lt;="&amp;$A90,実績!$AJ$6:$AJ$505,"&gt;"&amp;$A90,実績!$AL$6:$AL$505,"○")&gt;0,1,0))</f>
        <v>0</v>
      </c>
      <c r="DE90" s="39" t="n">
        <f aca="false">IF(DE$4=0,0,IF(COUNTIFS(実績!$W$6:$W$505,DE$3,実績!$AI$6:$AI$505,"&lt;="&amp;$A90,実績!$AJ$6:$AJ$505,"&gt;"&amp;$A90,実績!$AL$6:$AL$505,"○")&gt;0,1,0))</f>
        <v>0</v>
      </c>
      <c r="DF90" s="39" t="n">
        <f aca="false">IF(DF$4=0,0,IF(COUNTIFS(実績!$W$6:$W$505,DF$3,実績!$AI$6:$AI$505,"&lt;="&amp;$A90,実績!$AJ$6:$AJ$505,"&gt;"&amp;$A90,実績!$AL$6:$AL$505,"○")&gt;0,1,0))</f>
        <v>0</v>
      </c>
      <c r="DG90" s="39" t="n">
        <f aca="false">IF(DG$4=0,0,IF(COUNTIFS(実績!$W$6:$W$505,DG$3,実績!$AI$6:$AI$505,"&lt;="&amp;$A90,実績!$AJ$6:$AJ$505,"&gt;"&amp;$A90,実績!$AL$6:$AL$505,"○")&gt;0,1,0))</f>
        <v>0</v>
      </c>
      <c r="DH90" s="39" t="n">
        <f aca="false">IF(DH$4=0,0,IF(COUNTIFS(実績!$W$6:$W$505,DH$3,実績!$AI$6:$AI$505,"&lt;="&amp;$A90,実績!$AJ$6:$AJ$505,"&gt;"&amp;$A90,実績!$AL$6:$AL$505,"○")&gt;0,1,0))</f>
        <v>0</v>
      </c>
      <c r="DI90" s="39" t="n">
        <f aca="false">IF(DI$4=0,0,IF(COUNTIFS(実績!$W$6:$W$505,DI$3,実績!$AI$6:$AI$505,"&lt;="&amp;$A90,実績!$AJ$6:$AJ$505,"&gt;"&amp;$A90,実績!$AL$6:$AL$505,"○")&gt;0,1,0))</f>
        <v>0</v>
      </c>
      <c r="DJ90" s="39" t="n">
        <f aca="false">IF(DJ$4=0,0,IF(COUNTIFS(実績!$W$6:$W$505,DJ$3,実績!$AI$6:$AI$505,"&lt;="&amp;$A90,実績!$AJ$6:$AJ$505,"&gt;"&amp;$A90,実績!$AL$6:$AL$505,"○")&gt;0,1,0))</f>
        <v>0</v>
      </c>
      <c r="DK90" s="39" t="n">
        <f aca="false">IF(DK$4=0,0,IF(COUNTIFS(実績!$W$6:$W$505,DK$3,実績!$AI$6:$AI$505,"&lt;="&amp;$A90,実績!$AJ$6:$AJ$505,"&gt;"&amp;$A90,実績!$AL$6:$AL$505,"○")&gt;0,1,0))</f>
        <v>0</v>
      </c>
      <c r="DL90" s="39" t="n">
        <f aca="false">IF(DL$4=0,0,IF(COUNTIFS(実績!$W$6:$W$505,DL$3,実績!$AI$6:$AI$505,"&lt;="&amp;$A90,実績!$AJ$6:$AJ$505,"&gt;"&amp;$A90,実績!$AL$6:$AL$505,"○")&gt;0,1,0))</f>
        <v>0</v>
      </c>
      <c r="DM90" s="39" t="n">
        <f aca="false">IF(DM$4=0,0,IF(COUNTIFS(実績!$W$6:$W$505,DM$3,実績!$AI$6:$AI$505,"&lt;="&amp;$A90,実績!$AJ$6:$AJ$505,"&gt;"&amp;$A90,実績!$AL$6:$AL$505,"○")&gt;0,1,0))</f>
        <v>0</v>
      </c>
      <c r="DN90" s="39" t="n">
        <f aca="false">IF(DN$4=0,0,IF(COUNTIFS(実績!$W$6:$W$505,DN$3,実績!$AI$6:$AI$505,"&lt;="&amp;$A90,実績!$AJ$6:$AJ$505,"&gt;"&amp;$A90,実績!$AL$6:$AL$505,"○")&gt;0,1,0))</f>
        <v>0</v>
      </c>
      <c r="DO90" s="39" t="n">
        <f aca="false">IF(DO$4=0,0,IF(COUNTIFS(実績!$W$6:$W$505,DO$3,実績!$AI$6:$AI$505,"&lt;="&amp;$A90,実績!$AJ$6:$AJ$505,"&gt;"&amp;$A90,実績!$AL$6:$AL$505,"○")&gt;0,1,0))</f>
        <v>0</v>
      </c>
      <c r="DP90" s="39" t="n">
        <f aca="false">IF(DP$4=0,0,IF(COUNTIFS(実績!$W$6:$W$505,DP$3,実績!$AI$6:$AI$505,"&lt;="&amp;$A90,実績!$AJ$6:$AJ$505,"&gt;"&amp;$A90,実績!$AL$6:$AL$505,"○")&gt;0,1,0))</f>
        <v>0</v>
      </c>
      <c r="DQ90" s="39" t="n">
        <f aca="false">IF(DQ$4=0,0,IF(COUNTIFS(実績!$W$6:$W$505,DQ$3,実績!$AI$6:$AI$505,"&lt;="&amp;$A90,実績!$AJ$6:$AJ$505,"&gt;"&amp;$A90,実績!$AL$6:$AL$505,"○")&gt;0,1,0))</f>
        <v>0</v>
      </c>
      <c r="DR90" s="39" t="n">
        <f aca="false">IF(DR$4=0,0,IF(COUNTIFS(実績!$W$6:$W$505,DR$3,実績!$AI$6:$AI$505,"&lt;="&amp;$A90,実績!$AJ$6:$AJ$505,"&gt;"&amp;$A90,実績!$AL$6:$AL$505,"○")&gt;0,1,0))</f>
        <v>0</v>
      </c>
      <c r="DS90" s="39" t="n">
        <f aca="false">SUM(C90:DR90)</f>
        <v>0</v>
      </c>
    </row>
    <row r="91" customFormat="false" ht="15" hidden="false" customHeight="false" outlineLevel="0" collapsed="false">
      <c r="A91" s="0" t="n">
        <v>425</v>
      </c>
      <c r="B91" s="38" t="n">
        <f aca="false">A91/1440</f>
        <v>0.295138888888889</v>
      </c>
      <c r="C91" s="39" t="n">
        <f aca="false">IF(C$4=0,0,IF(COUNTIFS(実績!$W$6:$W$505,C$3,実績!$AI$6:$AI$505,"&lt;="&amp;$A91,実績!$AJ$6:$AJ$505,"&gt;"&amp;$A91,実績!$AL$6:$AL$505,"○")&gt;0,1,0))</f>
        <v>0</v>
      </c>
      <c r="D91" s="39" t="n">
        <f aca="false">IF(D$4=0,0,IF(COUNTIFS(実績!$W$6:$W$505,D$3,実績!$AI$6:$AI$505,"&lt;="&amp;$A91,実績!$AJ$6:$AJ$505,"&gt;"&amp;$A91,実績!$AL$6:$AL$505,"○")&gt;0,1,0))</f>
        <v>0</v>
      </c>
      <c r="E91" s="39" t="n">
        <f aca="false">IF(E$4=0,0,IF(COUNTIFS(実績!$W$6:$W$505,E$3,実績!$AI$6:$AI$505,"&lt;="&amp;$A91,実績!$AJ$6:$AJ$505,"&gt;"&amp;$A91,実績!$AL$6:$AL$505,"○")&gt;0,1,0))</f>
        <v>0</v>
      </c>
      <c r="F91" s="39" t="n">
        <f aca="false">IF(F$4=0,0,IF(COUNTIFS(実績!$W$6:$W$505,F$3,実績!$AI$6:$AI$505,"&lt;="&amp;$A91,実績!$AJ$6:$AJ$505,"&gt;"&amp;$A91,実績!$AL$6:$AL$505,"○")&gt;0,1,0))</f>
        <v>0</v>
      </c>
      <c r="G91" s="39" t="n">
        <f aca="false">IF(G$4=0,0,IF(COUNTIFS(実績!$W$6:$W$505,G$3,実績!$AI$6:$AI$505,"&lt;="&amp;$A91,実績!$AJ$6:$AJ$505,"&gt;"&amp;$A91,実績!$AL$6:$AL$505,"○")&gt;0,1,0))</f>
        <v>0</v>
      </c>
      <c r="H91" s="39" t="n">
        <f aca="false">IF(H$4=0,0,IF(COUNTIFS(実績!$W$6:$W$505,H$3,実績!$AI$6:$AI$505,"&lt;="&amp;$A91,実績!$AJ$6:$AJ$505,"&gt;"&amp;$A91,実績!$AL$6:$AL$505,"○")&gt;0,1,0))</f>
        <v>0</v>
      </c>
      <c r="I91" s="39" t="n">
        <f aca="false">IF(I$4=0,0,IF(COUNTIFS(実績!$W$6:$W$505,I$3,実績!$AI$6:$AI$505,"&lt;="&amp;$A91,実績!$AJ$6:$AJ$505,"&gt;"&amp;$A91,実績!$AL$6:$AL$505,"○")&gt;0,1,0))</f>
        <v>0</v>
      </c>
      <c r="J91" s="39" t="n">
        <f aca="false">IF(J$4=0,0,IF(COUNTIFS(実績!$W$6:$W$505,J$3,実績!$AI$6:$AI$505,"&lt;="&amp;$A91,実績!$AJ$6:$AJ$505,"&gt;"&amp;$A91,実績!$AL$6:$AL$505,"○")&gt;0,1,0))</f>
        <v>0</v>
      </c>
      <c r="K91" s="39" t="n">
        <f aca="false">IF(K$4=0,0,IF(COUNTIFS(実績!$W$6:$W$505,K$3,実績!$AI$6:$AI$505,"&lt;="&amp;$A91,実績!$AJ$6:$AJ$505,"&gt;"&amp;$A91,実績!$AL$6:$AL$505,"○")&gt;0,1,0))</f>
        <v>0</v>
      </c>
      <c r="L91" s="39" t="n">
        <f aca="false">IF(L$4=0,0,IF(COUNTIFS(実績!$W$6:$W$505,L$3,実績!$AI$6:$AI$505,"&lt;="&amp;$A91,実績!$AJ$6:$AJ$505,"&gt;"&amp;$A91,実績!$AL$6:$AL$505,"○")&gt;0,1,0))</f>
        <v>0</v>
      </c>
      <c r="M91" s="39" t="n">
        <f aca="false">IF(M$4=0,0,IF(COUNTIFS(実績!$W$6:$W$505,M$3,実績!$AI$6:$AI$505,"&lt;="&amp;$A91,実績!$AJ$6:$AJ$505,"&gt;"&amp;$A91,実績!$AL$6:$AL$505,"○")&gt;0,1,0))</f>
        <v>0</v>
      </c>
      <c r="N91" s="39" t="n">
        <f aca="false">IF(N$4=0,0,IF(COUNTIFS(実績!$W$6:$W$505,N$3,実績!$AI$6:$AI$505,"&lt;="&amp;$A91,実績!$AJ$6:$AJ$505,"&gt;"&amp;$A91,実績!$AL$6:$AL$505,"○")&gt;0,1,0))</f>
        <v>0</v>
      </c>
      <c r="O91" s="39" t="n">
        <f aca="false">IF(O$4=0,0,IF(COUNTIFS(実績!$W$6:$W$505,O$3,実績!$AI$6:$AI$505,"&lt;="&amp;$A91,実績!$AJ$6:$AJ$505,"&gt;"&amp;$A91,実績!$AL$6:$AL$505,"○")&gt;0,1,0))</f>
        <v>0</v>
      </c>
      <c r="P91" s="39" t="n">
        <f aca="false">IF(P$4=0,0,IF(COUNTIFS(実績!$W$6:$W$505,P$3,実績!$AI$6:$AI$505,"&lt;="&amp;$A91,実績!$AJ$6:$AJ$505,"&gt;"&amp;$A91,実績!$AL$6:$AL$505,"○")&gt;0,1,0))</f>
        <v>0</v>
      </c>
      <c r="Q91" s="39" t="n">
        <f aca="false">IF(Q$4=0,0,IF(COUNTIFS(実績!$W$6:$W$505,Q$3,実績!$AI$6:$AI$505,"&lt;="&amp;$A91,実績!$AJ$6:$AJ$505,"&gt;"&amp;$A91,実績!$AL$6:$AL$505,"○")&gt;0,1,0))</f>
        <v>0</v>
      </c>
      <c r="R91" s="39" t="n">
        <f aca="false">IF(R$4=0,0,IF(COUNTIFS(実績!$W$6:$W$505,R$3,実績!$AI$6:$AI$505,"&lt;="&amp;$A91,実績!$AJ$6:$AJ$505,"&gt;"&amp;$A91,実績!$AL$6:$AL$505,"○")&gt;0,1,0))</f>
        <v>0</v>
      </c>
      <c r="S91" s="39" t="n">
        <f aca="false">IF(S$4=0,0,IF(COUNTIFS(実績!$W$6:$W$505,S$3,実績!$AI$6:$AI$505,"&lt;="&amp;$A91,実績!$AJ$6:$AJ$505,"&gt;"&amp;$A91,実績!$AL$6:$AL$505,"○")&gt;0,1,0))</f>
        <v>0</v>
      </c>
      <c r="T91" s="39" t="n">
        <f aca="false">IF(T$4=0,0,IF(COUNTIFS(実績!$W$6:$W$505,T$3,実績!$AI$6:$AI$505,"&lt;="&amp;$A91,実績!$AJ$6:$AJ$505,"&gt;"&amp;$A91,実績!$AL$6:$AL$505,"○")&gt;0,1,0))</f>
        <v>0</v>
      </c>
      <c r="U91" s="39" t="n">
        <f aca="false">IF(U$4=0,0,IF(COUNTIFS(実績!$W$6:$W$505,U$3,実績!$AI$6:$AI$505,"&lt;="&amp;$A91,実績!$AJ$6:$AJ$505,"&gt;"&amp;$A91,実績!$AL$6:$AL$505,"○")&gt;0,1,0))</f>
        <v>0</v>
      </c>
      <c r="V91" s="39" t="n">
        <f aca="false">IF(V$4=0,0,IF(COUNTIFS(実績!$W$6:$W$505,V$3,実績!$AI$6:$AI$505,"&lt;="&amp;$A91,実績!$AJ$6:$AJ$505,"&gt;"&amp;$A91,実績!$AL$6:$AL$505,"○")&gt;0,1,0))</f>
        <v>0</v>
      </c>
      <c r="W91" s="39" t="n">
        <f aca="false">IF(W$4=0,0,IF(COUNTIFS(実績!$W$6:$W$505,W$3,実績!$AI$6:$AI$505,"&lt;="&amp;$A91,実績!$AJ$6:$AJ$505,"&gt;"&amp;$A91,実績!$AL$6:$AL$505,"○")&gt;0,1,0))</f>
        <v>0</v>
      </c>
      <c r="X91" s="39" t="n">
        <f aca="false">IF(X$4=0,0,IF(COUNTIFS(実績!$W$6:$W$505,X$3,実績!$AI$6:$AI$505,"&lt;="&amp;$A91,実績!$AJ$6:$AJ$505,"&gt;"&amp;$A91,実績!$AL$6:$AL$505,"○")&gt;0,1,0))</f>
        <v>0</v>
      </c>
      <c r="Y91" s="39" t="n">
        <f aca="false">IF(Y$4=0,0,IF(COUNTIFS(実績!$W$6:$W$505,Y$3,実績!$AI$6:$AI$505,"&lt;="&amp;$A91,実績!$AJ$6:$AJ$505,"&gt;"&amp;$A91,実績!$AL$6:$AL$505,"○")&gt;0,1,0))</f>
        <v>0</v>
      </c>
      <c r="Z91" s="39" t="n">
        <f aca="false">IF(Z$4=0,0,IF(COUNTIFS(実績!$W$6:$W$505,Z$3,実績!$AI$6:$AI$505,"&lt;="&amp;$A91,実績!$AJ$6:$AJ$505,"&gt;"&amp;$A91,実績!$AL$6:$AL$505,"○")&gt;0,1,0))</f>
        <v>0</v>
      </c>
      <c r="AA91" s="39" t="n">
        <f aca="false">IF(AA$4=0,0,IF(COUNTIFS(実績!$W$6:$W$505,AA$3,実績!$AI$6:$AI$505,"&lt;="&amp;$A91,実績!$AJ$6:$AJ$505,"&gt;"&amp;$A91,実績!$AL$6:$AL$505,"○")&gt;0,1,0))</f>
        <v>0</v>
      </c>
      <c r="AB91" s="39" t="n">
        <f aca="false">IF(AB$4=0,0,IF(COUNTIFS(実績!$W$6:$W$505,AB$3,実績!$AI$6:$AI$505,"&lt;="&amp;$A91,実績!$AJ$6:$AJ$505,"&gt;"&amp;$A91,実績!$AL$6:$AL$505,"○")&gt;0,1,0))</f>
        <v>0</v>
      </c>
      <c r="AC91" s="39" t="n">
        <f aca="false">IF(AC$4=0,0,IF(COUNTIFS(実績!$W$6:$W$505,AC$3,実績!$AI$6:$AI$505,"&lt;="&amp;$A91,実績!$AJ$6:$AJ$505,"&gt;"&amp;$A91,実績!$AL$6:$AL$505,"○")&gt;0,1,0))</f>
        <v>0</v>
      </c>
      <c r="AD91" s="39" t="n">
        <f aca="false">IF(AD$4=0,0,IF(COUNTIFS(実績!$W$6:$W$505,AD$3,実績!$AI$6:$AI$505,"&lt;="&amp;$A91,実績!$AJ$6:$AJ$505,"&gt;"&amp;$A91,実績!$AL$6:$AL$505,"○")&gt;0,1,0))</f>
        <v>0</v>
      </c>
      <c r="AE91" s="39" t="n">
        <f aca="false">IF(AE$4=0,0,IF(COUNTIFS(実績!$W$6:$W$505,AE$3,実績!$AI$6:$AI$505,"&lt;="&amp;$A91,実績!$AJ$6:$AJ$505,"&gt;"&amp;$A91,実績!$AL$6:$AL$505,"○")&gt;0,1,0))</f>
        <v>0</v>
      </c>
      <c r="AF91" s="39" t="n">
        <f aca="false">IF(AF$4=0,0,IF(COUNTIFS(実績!$W$6:$W$505,AF$3,実績!$AI$6:$AI$505,"&lt;="&amp;$A91,実績!$AJ$6:$AJ$505,"&gt;"&amp;$A91,実績!$AL$6:$AL$505,"○")&gt;0,1,0))</f>
        <v>0</v>
      </c>
      <c r="AG91" s="39" t="n">
        <f aca="false">IF(AG$4=0,0,IF(COUNTIFS(実績!$W$6:$W$505,AG$3,実績!$AI$6:$AI$505,"&lt;="&amp;$A91,実績!$AJ$6:$AJ$505,"&gt;"&amp;$A91,実績!$AL$6:$AL$505,"○")&gt;0,1,0))</f>
        <v>0</v>
      </c>
      <c r="AH91" s="39" t="n">
        <f aca="false">IF(AH$4=0,0,IF(COUNTIFS(実績!$W$6:$W$505,AH$3,実績!$AI$6:$AI$505,"&lt;="&amp;$A91,実績!$AJ$6:$AJ$505,"&gt;"&amp;$A91,実績!$AL$6:$AL$505,"○")&gt;0,1,0))</f>
        <v>0</v>
      </c>
      <c r="AI91" s="39" t="n">
        <f aca="false">IF(AI$4=0,0,IF(COUNTIFS(実績!$W$6:$W$505,AI$3,実績!$AI$6:$AI$505,"&lt;="&amp;$A91,実績!$AJ$6:$AJ$505,"&gt;"&amp;$A91,実績!$AL$6:$AL$505,"○")&gt;0,1,0))</f>
        <v>0</v>
      </c>
      <c r="AJ91" s="39" t="n">
        <f aca="false">IF(AJ$4=0,0,IF(COUNTIFS(実績!$W$6:$W$505,AJ$3,実績!$AI$6:$AI$505,"&lt;="&amp;$A91,実績!$AJ$6:$AJ$505,"&gt;"&amp;$A91,実績!$AL$6:$AL$505,"○")&gt;0,1,0))</f>
        <v>0</v>
      </c>
      <c r="AK91" s="39" t="n">
        <f aca="false">IF(AK$4=0,0,IF(COUNTIFS(実績!$W$6:$W$505,AK$3,実績!$AI$6:$AI$505,"&lt;="&amp;$A91,実績!$AJ$6:$AJ$505,"&gt;"&amp;$A91,実績!$AL$6:$AL$505,"○")&gt;0,1,0))</f>
        <v>0</v>
      </c>
      <c r="AL91" s="39" t="n">
        <f aca="false">IF(AL$4=0,0,IF(COUNTIFS(実績!$W$6:$W$505,AL$3,実績!$AI$6:$AI$505,"&lt;="&amp;$A91,実績!$AJ$6:$AJ$505,"&gt;"&amp;$A91,実績!$AL$6:$AL$505,"○")&gt;0,1,0))</f>
        <v>0</v>
      </c>
      <c r="AM91" s="39" t="n">
        <f aca="false">IF(AM$4=0,0,IF(COUNTIFS(実績!$W$6:$W$505,AM$3,実績!$AI$6:$AI$505,"&lt;="&amp;$A91,実績!$AJ$6:$AJ$505,"&gt;"&amp;$A91,実績!$AL$6:$AL$505,"○")&gt;0,1,0))</f>
        <v>0</v>
      </c>
      <c r="AN91" s="39" t="n">
        <f aca="false">IF(AN$4=0,0,IF(COUNTIFS(実績!$W$6:$W$505,AN$3,実績!$AI$6:$AI$505,"&lt;="&amp;$A91,実績!$AJ$6:$AJ$505,"&gt;"&amp;$A91,実績!$AL$6:$AL$505,"○")&gt;0,1,0))</f>
        <v>0</v>
      </c>
      <c r="AO91" s="39" t="n">
        <f aca="false">IF(AO$4=0,0,IF(COUNTIFS(実績!$W$6:$W$505,AO$3,実績!$AI$6:$AI$505,"&lt;="&amp;$A91,実績!$AJ$6:$AJ$505,"&gt;"&amp;$A91,実績!$AL$6:$AL$505,"○")&gt;0,1,0))</f>
        <v>0</v>
      </c>
      <c r="AP91" s="39" t="n">
        <f aca="false">IF(AP$4=0,0,IF(COUNTIFS(実績!$W$6:$W$505,AP$3,実績!$AI$6:$AI$505,"&lt;="&amp;$A91,実績!$AJ$6:$AJ$505,"&gt;"&amp;$A91,実績!$AL$6:$AL$505,"○")&gt;0,1,0))</f>
        <v>0</v>
      </c>
      <c r="AQ91" s="39" t="n">
        <f aca="false">IF(AQ$4=0,0,IF(COUNTIFS(実績!$W$6:$W$505,AQ$3,実績!$AI$6:$AI$505,"&lt;="&amp;$A91,実績!$AJ$6:$AJ$505,"&gt;"&amp;$A91,実績!$AL$6:$AL$505,"○")&gt;0,1,0))</f>
        <v>0</v>
      </c>
      <c r="AR91" s="39" t="n">
        <f aca="false">IF(AR$4=0,0,IF(COUNTIFS(実績!$W$6:$W$505,AR$3,実績!$AI$6:$AI$505,"&lt;="&amp;$A91,実績!$AJ$6:$AJ$505,"&gt;"&amp;$A91,実績!$AL$6:$AL$505,"○")&gt;0,1,0))</f>
        <v>0</v>
      </c>
      <c r="AS91" s="39" t="n">
        <f aca="false">IF(AS$4=0,0,IF(COUNTIFS(実績!$W$6:$W$505,AS$3,実績!$AI$6:$AI$505,"&lt;="&amp;$A91,実績!$AJ$6:$AJ$505,"&gt;"&amp;$A91,実績!$AL$6:$AL$505,"○")&gt;0,1,0))</f>
        <v>0</v>
      </c>
      <c r="AT91" s="39" t="n">
        <f aca="false">IF(AT$4=0,0,IF(COUNTIFS(実績!$W$6:$W$505,AT$3,実績!$AI$6:$AI$505,"&lt;="&amp;$A91,実績!$AJ$6:$AJ$505,"&gt;"&amp;$A91,実績!$AL$6:$AL$505,"○")&gt;0,1,0))</f>
        <v>0</v>
      </c>
      <c r="AU91" s="39" t="n">
        <f aca="false">IF(AU$4=0,0,IF(COUNTIFS(実績!$W$6:$W$505,AU$3,実績!$AI$6:$AI$505,"&lt;="&amp;$A91,実績!$AJ$6:$AJ$505,"&gt;"&amp;$A91,実績!$AL$6:$AL$505,"○")&gt;0,1,0))</f>
        <v>0</v>
      </c>
      <c r="AV91" s="39" t="n">
        <f aca="false">IF(AV$4=0,0,IF(COUNTIFS(実績!$W$6:$W$505,AV$3,実績!$AI$6:$AI$505,"&lt;="&amp;$A91,実績!$AJ$6:$AJ$505,"&gt;"&amp;$A91,実績!$AL$6:$AL$505,"○")&gt;0,1,0))</f>
        <v>0</v>
      </c>
      <c r="AW91" s="39" t="n">
        <f aca="false">IF(AW$4=0,0,IF(COUNTIFS(実績!$W$6:$W$505,AW$3,実績!$AI$6:$AI$505,"&lt;="&amp;$A91,実績!$AJ$6:$AJ$505,"&gt;"&amp;$A91,実績!$AL$6:$AL$505,"○")&gt;0,1,0))</f>
        <v>0</v>
      </c>
      <c r="AX91" s="39" t="n">
        <f aca="false">IF(AX$4=0,0,IF(COUNTIFS(実績!$W$6:$W$505,AX$3,実績!$AI$6:$AI$505,"&lt;="&amp;$A91,実績!$AJ$6:$AJ$505,"&gt;"&amp;$A91,実績!$AL$6:$AL$505,"○")&gt;0,1,0))</f>
        <v>0</v>
      </c>
      <c r="AY91" s="39" t="n">
        <f aca="false">IF(AY$4=0,0,IF(COUNTIFS(実績!$W$6:$W$505,AY$3,実績!$AI$6:$AI$505,"&lt;="&amp;$A91,実績!$AJ$6:$AJ$505,"&gt;"&amp;$A91,実績!$AL$6:$AL$505,"○")&gt;0,1,0))</f>
        <v>0</v>
      </c>
      <c r="AZ91" s="39" t="n">
        <f aca="false">IF(AZ$4=0,0,IF(COUNTIFS(実績!$W$6:$W$505,AZ$3,実績!$AI$6:$AI$505,"&lt;="&amp;$A91,実績!$AJ$6:$AJ$505,"&gt;"&amp;$A91,実績!$AL$6:$AL$505,"○")&gt;0,1,0))</f>
        <v>0</v>
      </c>
      <c r="BA91" s="39" t="n">
        <f aca="false">IF(BA$4=0,0,IF(COUNTIFS(実績!$W$6:$W$505,BA$3,実績!$AI$6:$AI$505,"&lt;="&amp;$A91,実績!$AJ$6:$AJ$505,"&gt;"&amp;$A91,実績!$AL$6:$AL$505,"○")&gt;0,1,0))</f>
        <v>0</v>
      </c>
      <c r="BB91" s="39" t="n">
        <f aca="false">IF(BB$4=0,0,IF(COUNTIFS(実績!$W$6:$W$505,BB$3,実績!$AI$6:$AI$505,"&lt;="&amp;$A91,実績!$AJ$6:$AJ$505,"&gt;"&amp;$A91,実績!$AL$6:$AL$505,"○")&gt;0,1,0))</f>
        <v>0</v>
      </c>
      <c r="BC91" s="39" t="n">
        <f aca="false">IF(BC$4=0,0,IF(COUNTIFS(実績!$W$6:$W$505,BC$3,実績!$AI$6:$AI$505,"&lt;="&amp;$A91,実績!$AJ$6:$AJ$505,"&gt;"&amp;$A91,実績!$AL$6:$AL$505,"○")&gt;0,1,0))</f>
        <v>0</v>
      </c>
      <c r="BD91" s="39" t="n">
        <f aca="false">IF(BD$4=0,0,IF(COUNTIFS(実績!$W$6:$W$505,BD$3,実績!$AI$6:$AI$505,"&lt;="&amp;$A91,実績!$AJ$6:$AJ$505,"&gt;"&amp;$A91,実績!$AL$6:$AL$505,"○")&gt;0,1,0))</f>
        <v>0</v>
      </c>
      <c r="BE91" s="39" t="n">
        <f aca="false">IF(BE$4=0,0,IF(COUNTIFS(実績!$W$6:$W$505,BE$3,実績!$AI$6:$AI$505,"&lt;="&amp;$A91,実績!$AJ$6:$AJ$505,"&gt;"&amp;$A91,実績!$AL$6:$AL$505,"○")&gt;0,1,0))</f>
        <v>0</v>
      </c>
      <c r="BF91" s="39" t="n">
        <f aca="false">IF(BF$4=0,0,IF(COUNTIFS(実績!$W$6:$W$505,BF$3,実績!$AI$6:$AI$505,"&lt;="&amp;$A91,実績!$AJ$6:$AJ$505,"&gt;"&amp;$A91,実績!$AL$6:$AL$505,"○")&gt;0,1,0))</f>
        <v>0</v>
      </c>
      <c r="BG91" s="39" t="n">
        <f aca="false">IF(BG$4=0,0,IF(COUNTIFS(実績!$W$6:$W$505,BG$3,実績!$AI$6:$AI$505,"&lt;="&amp;$A91,実績!$AJ$6:$AJ$505,"&gt;"&amp;$A91,実績!$AL$6:$AL$505,"○")&gt;0,1,0))</f>
        <v>0</v>
      </c>
      <c r="BH91" s="39" t="n">
        <f aca="false">IF(BH$4=0,0,IF(COUNTIFS(実績!$W$6:$W$505,BH$3,実績!$AI$6:$AI$505,"&lt;="&amp;$A91,実績!$AJ$6:$AJ$505,"&gt;"&amp;$A91,実績!$AL$6:$AL$505,"○")&gt;0,1,0))</f>
        <v>0</v>
      </c>
      <c r="BI91" s="39" t="n">
        <f aca="false">IF(BI$4=0,0,IF(COUNTIFS(実績!$W$6:$W$505,BI$3,実績!$AI$6:$AI$505,"&lt;="&amp;$A91,実績!$AJ$6:$AJ$505,"&gt;"&amp;$A91,実績!$AL$6:$AL$505,"○")&gt;0,1,0))</f>
        <v>0</v>
      </c>
      <c r="BJ91" s="39" t="n">
        <f aca="false">IF(BJ$4=0,0,IF(COUNTIFS(実績!$W$6:$W$505,BJ$3,実績!$AI$6:$AI$505,"&lt;="&amp;$A91,実績!$AJ$6:$AJ$505,"&gt;"&amp;$A91,実績!$AL$6:$AL$505,"○")&gt;0,1,0))</f>
        <v>0</v>
      </c>
      <c r="BK91" s="39" t="n">
        <f aca="false">IF(BK$4=0,0,IF(COUNTIFS(実績!$W$6:$W$505,BK$3,実績!$AI$6:$AI$505,"&lt;="&amp;$A91,実績!$AJ$6:$AJ$505,"&gt;"&amp;$A91,実績!$AL$6:$AL$505,"○")&gt;0,1,0))</f>
        <v>0</v>
      </c>
      <c r="BL91" s="39" t="n">
        <f aca="false">IF(BL$4=0,0,IF(COUNTIFS(実績!$W$6:$W$505,BL$3,実績!$AI$6:$AI$505,"&lt;="&amp;$A91,実績!$AJ$6:$AJ$505,"&gt;"&amp;$A91,実績!$AL$6:$AL$505,"○")&gt;0,1,0))</f>
        <v>0</v>
      </c>
      <c r="BM91" s="39" t="n">
        <f aca="false">IF(BM$4=0,0,IF(COUNTIFS(実績!$W$6:$W$505,BM$3,実績!$AI$6:$AI$505,"&lt;="&amp;$A91,実績!$AJ$6:$AJ$505,"&gt;"&amp;$A91,実績!$AL$6:$AL$505,"○")&gt;0,1,0))</f>
        <v>0</v>
      </c>
      <c r="BN91" s="39" t="n">
        <f aca="false">IF(BN$4=0,0,IF(COUNTIFS(実績!$W$6:$W$505,BN$3,実績!$AI$6:$AI$505,"&lt;="&amp;$A91,実績!$AJ$6:$AJ$505,"&gt;"&amp;$A91,実績!$AL$6:$AL$505,"○")&gt;0,1,0))</f>
        <v>0</v>
      </c>
      <c r="BO91" s="39" t="n">
        <f aca="false">IF(BO$4=0,0,IF(COUNTIFS(実績!$W$6:$W$505,BO$3,実績!$AI$6:$AI$505,"&lt;="&amp;$A91,実績!$AJ$6:$AJ$505,"&gt;"&amp;$A91,実績!$AL$6:$AL$505,"○")&gt;0,1,0))</f>
        <v>0</v>
      </c>
      <c r="BP91" s="39" t="n">
        <f aca="false">IF(BP$4=0,0,IF(COUNTIFS(実績!$W$6:$W$505,BP$3,実績!$AI$6:$AI$505,"&lt;="&amp;$A91,実績!$AJ$6:$AJ$505,"&gt;"&amp;$A91,実績!$AL$6:$AL$505,"○")&gt;0,1,0))</f>
        <v>0</v>
      </c>
      <c r="BQ91" s="39" t="n">
        <f aca="false">IF(BQ$4=0,0,IF(COUNTIFS(実績!$W$6:$W$505,BQ$3,実績!$AI$6:$AI$505,"&lt;="&amp;$A91,実績!$AJ$6:$AJ$505,"&gt;"&amp;$A91,実績!$AL$6:$AL$505,"○")&gt;0,1,0))</f>
        <v>0</v>
      </c>
      <c r="BR91" s="39" t="n">
        <f aca="false">IF(BR$4=0,0,IF(COUNTIFS(実績!$W$6:$W$505,BR$3,実績!$AI$6:$AI$505,"&lt;="&amp;$A91,実績!$AJ$6:$AJ$505,"&gt;"&amp;$A91,実績!$AL$6:$AL$505,"○")&gt;0,1,0))</f>
        <v>0</v>
      </c>
      <c r="BS91" s="39" t="n">
        <f aca="false">IF(BS$4=0,0,IF(COUNTIFS(実績!$W$6:$W$505,BS$3,実績!$AI$6:$AI$505,"&lt;="&amp;$A91,実績!$AJ$6:$AJ$505,"&gt;"&amp;$A91,実績!$AL$6:$AL$505,"○")&gt;0,1,0))</f>
        <v>0</v>
      </c>
      <c r="BT91" s="39" t="n">
        <f aca="false">IF(BT$4=0,0,IF(COUNTIFS(実績!$W$6:$W$505,BT$3,実績!$AI$6:$AI$505,"&lt;="&amp;$A91,実績!$AJ$6:$AJ$505,"&gt;"&amp;$A91,実績!$AL$6:$AL$505,"○")&gt;0,1,0))</f>
        <v>0</v>
      </c>
      <c r="BU91" s="39" t="n">
        <f aca="false">IF(BU$4=0,0,IF(COUNTIFS(実績!$W$6:$W$505,BU$3,実績!$AI$6:$AI$505,"&lt;="&amp;$A91,実績!$AJ$6:$AJ$505,"&gt;"&amp;$A91,実績!$AL$6:$AL$505,"○")&gt;0,1,0))</f>
        <v>0</v>
      </c>
      <c r="BV91" s="39" t="n">
        <f aca="false">IF(BV$4=0,0,IF(COUNTIFS(実績!$W$6:$W$505,BV$3,実績!$AI$6:$AI$505,"&lt;="&amp;$A91,実績!$AJ$6:$AJ$505,"&gt;"&amp;$A91,実績!$AL$6:$AL$505,"○")&gt;0,1,0))</f>
        <v>0</v>
      </c>
      <c r="BW91" s="39" t="n">
        <f aca="false">IF(BW$4=0,0,IF(COUNTIFS(実績!$W$6:$W$505,BW$3,実績!$AI$6:$AI$505,"&lt;="&amp;$A91,実績!$AJ$6:$AJ$505,"&gt;"&amp;$A91,実績!$AL$6:$AL$505,"○")&gt;0,1,0))</f>
        <v>0</v>
      </c>
      <c r="BX91" s="39" t="n">
        <f aca="false">IF(BX$4=0,0,IF(COUNTIFS(実績!$W$6:$W$505,BX$3,実績!$AI$6:$AI$505,"&lt;="&amp;$A91,実績!$AJ$6:$AJ$505,"&gt;"&amp;$A91,実績!$AL$6:$AL$505,"○")&gt;0,1,0))</f>
        <v>0</v>
      </c>
      <c r="BY91" s="39" t="n">
        <f aca="false">IF(BY$4=0,0,IF(COUNTIFS(実績!$W$6:$W$505,BY$3,実績!$AI$6:$AI$505,"&lt;="&amp;$A91,実績!$AJ$6:$AJ$505,"&gt;"&amp;$A91,実績!$AL$6:$AL$505,"○")&gt;0,1,0))</f>
        <v>0</v>
      </c>
      <c r="BZ91" s="39" t="n">
        <f aca="false">IF(BZ$4=0,0,IF(COUNTIFS(実績!$W$6:$W$505,BZ$3,実績!$AI$6:$AI$505,"&lt;="&amp;$A91,実績!$AJ$6:$AJ$505,"&gt;"&amp;$A91,実績!$AL$6:$AL$505,"○")&gt;0,1,0))</f>
        <v>0</v>
      </c>
      <c r="CA91" s="39" t="n">
        <f aca="false">IF(CA$4=0,0,IF(COUNTIFS(実績!$W$6:$W$505,CA$3,実績!$AI$6:$AI$505,"&lt;="&amp;$A91,実績!$AJ$6:$AJ$505,"&gt;"&amp;$A91,実績!$AL$6:$AL$505,"○")&gt;0,1,0))</f>
        <v>0</v>
      </c>
      <c r="CB91" s="39" t="n">
        <f aca="false">IF(CB$4=0,0,IF(COUNTIFS(実績!$W$6:$W$505,CB$3,実績!$AI$6:$AI$505,"&lt;="&amp;$A91,実績!$AJ$6:$AJ$505,"&gt;"&amp;$A91,実績!$AL$6:$AL$505,"○")&gt;0,1,0))</f>
        <v>0</v>
      </c>
      <c r="CC91" s="39" t="n">
        <f aca="false">IF(CC$4=0,0,IF(COUNTIFS(実績!$W$6:$W$505,CC$3,実績!$AI$6:$AI$505,"&lt;="&amp;$A91,実績!$AJ$6:$AJ$505,"&gt;"&amp;$A91,実績!$AL$6:$AL$505,"○")&gt;0,1,0))</f>
        <v>0</v>
      </c>
      <c r="CD91" s="39" t="n">
        <f aca="false">IF(CD$4=0,0,IF(COUNTIFS(実績!$W$6:$W$505,CD$3,実績!$AI$6:$AI$505,"&lt;="&amp;$A91,実績!$AJ$6:$AJ$505,"&gt;"&amp;$A91,実績!$AL$6:$AL$505,"○")&gt;0,1,0))</f>
        <v>0</v>
      </c>
      <c r="CE91" s="39" t="n">
        <f aca="false">IF(CE$4=0,0,IF(COUNTIFS(実績!$W$6:$W$505,CE$3,実績!$AI$6:$AI$505,"&lt;="&amp;$A91,実績!$AJ$6:$AJ$505,"&gt;"&amp;$A91,実績!$AL$6:$AL$505,"○")&gt;0,1,0))</f>
        <v>0</v>
      </c>
      <c r="CF91" s="39" t="n">
        <f aca="false">IF(CF$4=0,0,IF(COUNTIFS(実績!$W$6:$W$505,CF$3,実績!$AI$6:$AI$505,"&lt;="&amp;$A91,実績!$AJ$6:$AJ$505,"&gt;"&amp;$A91,実績!$AL$6:$AL$505,"○")&gt;0,1,0))</f>
        <v>0</v>
      </c>
      <c r="CG91" s="39" t="n">
        <f aca="false">IF(CG$4=0,0,IF(COUNTIFS(実績!$W$6:$W$505,CG$3,実績!$AI$6:$AI$505,"&lt;="&amp;$A91,実績!$AJ$6:$AJ$505,"&gt;"&amp;$A91,実績!$AL$6:$AL$505,"○")&gt;0,1,0))</f>
        <v>0</v>
      </c>
      <c r="CH91" s="39" t="n">
        <f aca="false">IF(CH$4=0,0,IF(COUNTIFS(実績!$W$6:$W$505,CH$3,実績!$AI$6:$AI$505,"&lt;="&amp;$A91,実績!$AJ$6:$AJ$505,"&gt;"&amp;$A91,実績!$AL$6:$AL$505,"○")&gt;0,1,0))</f>
        <v>0</v>
      </c>
      <c r="CI91" s="39" t="n">
        <f aca="false">IF(CI$4=0,0,IF(COUNTIFS(実績!$W$6:$W$505,CI$3,実績!$AI$6:$AI$505,"&lt;="&amp;$A91,実績!$AJ$6:$AJ$505,"&gt;"&amp;$A91,実績!$AL$6:$AL$505,"○")&gt;0,1,0))</f>
        <v>0</v>
      </c>
      <c r="CJ91" s="39" t="n">
        <f aca="false">IF(CJ$4=0,0,IF(COUNTIFS(実績!$W$6:$W$505,CJ$3,実績!$AI$6:$AI$505,"&lt;="&amp;$A91,実績!$AJ$6:$AJ$505,"&gt;"&amp;$A91,実績!$AL$6:$AL$505,"○")&gt;0,1,0))</f>
        <v>0</v>
      </c>
      <c r="CK91" s="39" t="n">
        <f aca="false">IF(CK$4=0,0,IF(COUNTIFS(実績!$W$6:$W$505,CK$3,実績!$AI$6:$AI$505,"&lt;="&amp;$A91,実績!$AJ$6:$AJ$505,"&gt;"&amp;$A91,実績!$AL$6:$AL$505,"○")&gt;0,1,0))</f>
        <v>0</v>
      </c>
      <c r="CL91" s="39" t="n">
        <f aca="false">IF(CL$4=0,0,IF(COUNTIFS(実績!$W$6:$W$505,CL$3,実績!$AI$6:$AI$505,"&lt;="&amp;$A91,実績!$AJ$6:$AJ$505,"&gt;"&amp;$A91,実績!$AL$6:$AL$505,"○")&gt;0,1,0))</f>
        <v>0</v>
      </c>
      <c r="CM91" s="39" t="n">
        <f aca="false">IF(CM$4=0,0,IF(COUNTIFS(実績!$W$6:$W$505,CM$3,実績!$AI$6:$AI$505,"&lt;="&amp;$A91,実績!$AJ$6:$AJ$505,"&gt;"&amp;$A91,実績!$AL$6:$AL$505,"○")&gt;0,1,0))</f>
        <v>0</v>
      </c>
      <c r="CN91" s="39" t="n">
        <f aca="false">IF(CN$4=0,0,IF(COUNTIFS(実績!$W$6:$W$505,CN$3,実績!$AI$6:$AI$505,"&lt;="&amp;$A91,実績!$AJ$6:$AJ$505,"&gt;"&amp;$A91,実績!$AL$6:$AL$505,"○")&gt;0,1,0))</f>
        <v>0</v>
      </c>
      <c r="CO91" s="39" t="n">
        <f aca="false">IF(CO$4=0,0,IF(COUNTIFS(実績!$W$6:$W$505,CO$3,実績!$AI$6:$AI$505,"&lt;="&amp;$A91,実績!$AJ$6:$AJ$505,"&gt;"&amp;$A91,実績!$AL$6:$AL$505,"○")&gt;0,1,0))</f>
        <v>0</v>
      </c>
      <c r="CP91" s="39" t="n">
        <f aca="false">IF(CP$4=0,0,IF(COUNTIFS(実績!$W$6:$W$505,CP$3,実績!$AI$6:$AI$505,"&lt;="&amp;$A91,実績!$AJ$6:$AJ$505,"&gt;"&amp;$A91,実績!$AL$6:$AL$505,"○")&gt;0,1,0))</f>
        <v>0</v>
      </c>
      <c r="CQ91" s="39" t="n">
        <f aca="false">IF(CQ$4=0,0,IF(COUNTIFS(実績!$W$6:$W$505,CQ$3,実績!$AI$6:$AI$505,"&lt;="&amp;$A91,実績!$AJ$6:$AJ$505,"&gt;"&amp;$A91,実績!$AL$6:$AL$505,"○")&gt;0,1,0))</f>
        <v>0</v>
      </c>
      <c r="CR91" s="39" t="n">
        <f aca="false">IF(CR$4=0,0,IF(COUNTIFS(実績!$W$6:$W$505,CR$3,実績!$AI$6:$AI$505,"&lt;="&amp;$A91,実績!$AJ$6:$AJ$505,"&gt;"&amp;$A91,実績!$AL$6:$AL$505,"○")&gt;0,1,0))</f>
        <v>0</v>
      </c>
      <c r="CS91" s="39" t="n">
        <f aca="false">IF(CS$4=0,0,IF(COUNTIFS(実績!$W$6:$W$505,CS$3,実績!$AI$6:$AI$505,"&lt;="&amp;$A91,実績!$AJ$6:$AJ$505,"&gt;"&amp;$A91,実績!$AL$6:$AL$505,"○")&gt;0,1,0))</f>
        <v>0</v>
      </c>
      <c r="CT91" s="39" t="n">
        <f aca="false">IF(CT$4=0,0,IF(COUNTIFS(実績!$W$6:$W$505,CT$3,実績!$AI$6:$AI$505,"&lt;="&amp;$A91,実績!$AJ$6:$AJ$505,"&gt;"&amp;$A91,実績!$AL$6:$AL$505,"○")&gt;0,1,0))</f>
        <v>0</v>
      </c>
      <c r="CU91" s="39" t="n">
        <f aca="false">IF(CU$4=0,0,IF(COUNTIFS(実績!$W$6:$W$505,CU$3,実績!$AI$6:$AI$505,"&lt;="&amp;$A91,実績!$AJ$6:$AJ$505,"&gt;"&amp;$A91,実績!$AL$6:$AL$505,"○")&gt;0,1,0))</f>
        <v>0</v>
      </c>
      <c r="CV91" s="39" t="n">
        <f aca="false">IF(CV$4=0,0,IF(COUNTIFS(実績!$W$6:$W$505,CV$3,実績!$AI$6:$AI$505,"&lt;="&amp;$A91,実績!$AJ$6:$AJ$505,"&gt;"&amp;$A91,実績!$AL$6:$AL$505,"○")&gt;0,1,0))</f>
        <v>0</v>
      </c>
      <c r="CW91" s="39" t="n">
        <f aca="false">IF(CW$4=0,0,IF(COUNTIFS(実績!$W$6:$W$505,CW$3,実績!$AI$6:$AI$505,"&lt;="&amp;$A91,実績!$AJ$6:$AJ$505,"&gt;"&amp;$A91,実績!$AL$6:$AL$505,"○")&gt;0,1,0))</f>
        <v>0</v>
      </c>
      <c r="CX91" s="39" t="n">
        <f aca="false">IF(CX$4=0,0,IF(COUNTIFS(実績!$W$6:$W$505,CX$3,実績!$AI$6:$AI$505,"&lt;="&amp;$A91,実績!$AJ$6:$AJ$505,"&gt;"&amp;$A91,実績!$AL$6:$AL$505,"○")&gt;0,1,0))</f>
        <v>0</v>
      </c>
      <c r="CY91" s="39" t="n">
        <f aca="false">IF(CY$4=0,0,IF(COUNTIFS(実績!$W$6:$W$505,CY$3,実績!$AI$6:$AI$505,"&lt;="&amp;$A91,実績!$AJ$6:$AJ$505,"&gt;"&amp;$A91,実績!$AL$6:$AL$505,"○")&gt;0,1,0))</f>
        <v>0</v>
      </c>
      <c r="CZ91" s="39" t="n">
        <f aca="false">IF(CZ$4=0,0,IF(COUNTIFS(実績!$W$6:$W$505,CZ$3,実績!$AI$6:$AI$505,"&lt;="&amp;$A91,実績!$AJ$6:$AJ$505,"&gt;"&amp;$A91,実績!$AL$6:$AL$505,"○")&gt;0,1,0))</f>
        <v>0</v>
      </c>
      <c r="DA91" s="39" t="n">
        <f aca="false">IF(DA$4=0,0,IF(COUNTIFS(実績!$W$6:$W$505,DA$3,実績!$AI$6:$AI$505,"&lt;="&amp;$A91,実績!$AJ$6:$AJ$505,"&gt;"&amp;$A91,実績!$AL$6:$AL$505,"○")&gt;0,1,0))</f>
        <v>0</v>
      </c>
      <c r="DB91" s="39" t="n">
        <f aca="false">IF(DB$4=0,0,IF(COUNTIFS(実績!$W$6:$W$505,DB$3,実績!$AI$6:$AI$505,"&lt;="&amp;$A91,実績!$AJ$6:$AJ$505,"&gt;"&amp;$A91,実績!$AL$6:$AL$505,"○")&gt;0,1,0))</f>
        <v>0</v>
      </c>
      <c r="DC91" s="39" t="n">
        <f aca="false">IF(DC$4=0,0,IF(COUNTIFS(実績!$W$6:$W$505,DC$3,実績!$AI$6:$AI$505,"&lt;="&amp;$A91,実績!$AJ$6:$AJ$505,"&gt;"&amp;$A91,実績!$AL$6:$AL$505,"○")&gt;0,1,0))</f>
        <v>0</v>
      </c>
      <c r="DD91" s="39" t="n">
        <f aca="false">IF(DD$4=0,0,IF(COUNTIFS(実績!$W$6:$W$505,DD$3,実績!$AI$6:$AI$505,"&lt;="&amp;$A91,実績!$AJ$6:$AJ$505,"&gt;"&amp;$A91,実績!$AL$6:$AL$505,"○")&gt;0,1,0))</f>
        <v>0</v>
      </c>
      <c r="DE91" s="39" t="n">
        <f aca="false">IF(DE$4=0,0,IF(COUNTIFS(実績!$W$6:$W$505,DE$3,実績!$AI$6:$AI$505,"&lt;="&amp;$A91,実績!$AJ$6:$AJ$505,"&gt;"&amp;$A91,実績!$AL$6:$AL$505,"○")&gt;0,1,0))</f>
        <v>0</v>
      </c>
      <c r="DF91" s="39" t="n">
        <f aca="false">IF(DF$4=0,0,IF(COUNTIFS(実績!$W$6:$W$505,DF$3,実績!$AI$6:$AI$505,"&lt;="&amp;$A91,実績!$AJ$6:$AJ$505,"&gt;"&amp;$A91,実績!$AL$6:$AL$505,"○")&gt;0,1,0))</f>
        <v>0</v>
      </c>
      <c r="DG91" s="39" t="n">
        <f aca="false">IF(DG$4=0,0,IF(COUNTIFS(実績!$W$6:$W$505,DG$3,実績!$AI$6:$AI$505,"&lt;="&amp;$A91,実績!$AJ$6:$AJ$505,"&gt;"&amp;$A91,実績!$AL$6:$AL$505,"○")&gt;0,1,0))</f>
        <v>0</v>
      </c>
      <c r="DH91" s="39" t="n">
        <f aca="false">IF(DH$4=0,0,IF(COUNTIFS(実績!$W$6:$W$505,DH$3,実績!$AI$6:$AI$505,"&lt;="&amp;$A91,実績!$AJ$6:$AJ$505,"&gt;"&amp;$A91,実績!$AL$6:$AL$505,"○")&gt;0,1,0))</f>
        <v>0</v>
      </c>
      <c r="DI91" s="39" t="n">
        <f aca="false">IF(DI$4=0,0,IF(COUNTIFS(実績!$W$6:$W$505,DI$3,実績!$AI$6:$AI$505,"&lt;="&amp;$A91,実績!$AJ$6:$AJ$505,"&gt;"&amp;$A91,実績!$AL$6:$AL$505,"○")&gt;0,1,0))</f>
        <v>0</v>
      </c>
      <c r="DJ91" s="39" t="n">
        <f aca="false">IF(DJ$4=0,0,IF(COUNTIFS(実績!$W$6:$W$505,DJ$3,実績!$AI$6:$AI$505,"&lt;="&amp;$A91,実績!$AJ$6:$AJ$505,"&gt;"&amp;$A91,実績!$AL$6:$AL$505,"○")&gt;0,1,0))</f>
        <v>0</v>
      </c>
      <c r="DK91" s="39" t="n">
        <f aca="false">IF(DK$4=0,0,IF(COUNTIFS(実績!$W$6:$W$505,DK$3,実績!$AI$6:$AI$505,"&lt;="&amp;$A91,実績!$AJ$6:$AJ$505,"&gt;"&amp;$A91,実績!$AL$6:$AL$505,"○")&gt;0,1,0))</f>
        <v>0</v>
      </c>
      <c r="DL91" s="39" t="n">
        <f aca="false">IF(DL$4=0,0,IF(COUNTIFS(実績!$W$6:$W$505,DL$3,実績!$AI$6:$AI$505,"&lt;="&amp;$A91,実績!$AJ$6:$AJ$505,"&gt;"&amp;$A91,実績!$AL$6:$AL$505,"○")&gt;0,1,0))</f>
        <v>0</v>
      </c>
      <c r="DM91" s="39" t="n">
        <f aca="false">IF(DM$4=0,0,IF(COUNTIFS(実績!$W$6:$W$505,DM$3,実績!$AI$6:$AI$505,"&lt;="&amp;$A91,実績!$AJ$6:$AJ$505,"&gt;"&amp;$A91,実績!$AL$6:$AL$505,"○")&gt;0,1,0))</f>
        <v>0</v>
      </c>
      <c r="DN91" s="39" t="n">
        <f aca="false">IF(DN$4=0,0,IF(COUNTIFS(実績!$W$6:$W$505,DN$3,実績!$AI$6:$AI$505,"&lt;="&amp;$A91,実績!$AJ$6:$AJ$505,"&gt;"&amp;$A91,実績!$AL$6:$AL$505,"○")&gt;0,1,0))</f>
        <v>0</v>
      </c>
      <c r="DO91" s="39" t="n">
        <f aca="false">IF(DO$4=0,0,IF(COUNTIFS(実績!$W$6:$W$505,DO$3,実績!$AI$6:$AI$505,"&lt;="&amp;$A91,実績!$AJ$6:$AJ$505,"&gt;"&amp;$A91,実績!$AL$6:$AL$505,"○")&gt;0,1,0))</f>
        <v>0</v>
      </c>
      <c r="DP91" s="39" t="n">
        <f aca="false">IF(DP$4=0,0,IF(COUNTIFS(実績!$W$6:$W$505,DP$3,実績!$AI$6:$AI$505,"&lt;="&amp;$A91,実績!$AJ$6:$AJ$505,"&gt;"&amp;$A91,実績!$AL$6:$AL$505,"○")&gt;0,1,0))</f>
        <v>0</v>
      </c>
      <c r="DQ91" s="39" t="n">
        <f aca="false">IF(DQ$4=0,0,IF(COUNTIFS(実績!$W$6:$W$505,DQ$3,実績!$AI$6:$AI$505,"&lt;="&amp;$A91,実績!$AJ$6:$AJ$505,"&gt;"&amp;$A91,実績!$AL$6:$AL$505,"○")&gt;0,1,0))</f>
        <v>0</v>
      </c>
      <c r="DR91" s="39" t="n">
        <f aca="false">IF(DR$4=0,0,IF(COUNTIFS(実績!$W$6:$W$505,DR$3,実績!$AI$6:$AI$505,"&lt;="&amp;$A91,実績!$AJ$6:$AJ$505,"&gt;"&amp;$A91,実績!$AL$6:$AL$505,"○")&gt;0,1,0))</f>
        <v>0</v>
      </c>
      <c r="DS91" s="39" t="n">
        <f aca="false">SUM(C91:DR91)</f>
        <v>0</v>
      </c>
    </row>
    <row r="92" customFormat="false" ht="15" hidden="false" customHeight="false" outlineLevel="0" collapsed="false">
      <c r="A92" s="0" t="n">
        <v>430</v>
      </c>
      <c r="B92" s="38" t="n">
        <f aca="false">A92/1440</f>
        <v>0.298611111111111</v>
      </c>
      <c r="C92" s="39" t="n">
        <f aca="false">IF(C$4=0,0,IF(COUNTIFS(実績!$W$6:$W$505,C$3,実績!$AI$6:$AI$505,"&lt;="&amp;$A92,実績!$AJ$6:$AJ$505,"&gt;"&amp;$A92,実績!$AL$6:$AL$505,"○")&gt;0,1,0))</f>
        <v>0</v>
      </c>
      <c r="D92" s="39" t="n">
        <f aca="false">IF(D$4=0,0,IF(COUNTIFS(実績!$W$6:$W$505,D$3,実績!$AI$6:$AI$505,"&lt;="&amp;$A92,実績!$AJ$6:$AJ$505,"&gt;"&amp;$A92,実績!$AL$6:$AL$505,"○")&gt;0,1,0))</f>
        <v>0</v>
      </c>
      <c r="E92" s="39" t="n">
        <f aca="false">IF(E$4=0,0,IF(COUNTIFS(実績!$W$6:$W$505,E$3,実績!$AI$6:$AI$505,"&lt;="&amp;$A92,実績!$AJ$6:$AJ$505,"&gt;"&amp;$A92,実績!$AL$6:$AL$505,"○")&gt;0,1,0))</f>
        <v>0</v>
      </c>
      <c r="F92" s="39" t="n">
        <f aca="false">IF(F$4=0,0,IF(COUNTIFS(実績!$W$6:$W$505,F$3,実績!$AI$6:$AI$505,"&lt;="&amp;$A92,実績!$AJ$6:$AJ$505,"&gt;"&amp;$A92,実績!$AL$6:$AL$505,"○")&gt;0,1,0))</f>
        <v>0</v>
      </c>
      <c r="G92" s="39" t="n">
        <f aca="false">IF(G$4=0,0,IF(COUNTIFS(実績!$W$6:$W$505,G$3,実績!$AI$6:$AI$505,"&lt;="&amp;$A92,実績!$AJ$6:$AJ$505,"&gt;"&amp;$A92,実績!$AL$6:$AL$505,"○")&gt;0,1,0))</f>
        <v>0</v>
      </c>
      <c r="H92" s="39" t="n">
        <f aca="false">IF(H$4=0,0,IF(COUNTIFS(実績!$W$6:$W$505,H$3,実績!$AI$6:$AI$505,"&lt;="&amp;$A92,実績!$AJ$6:$AJ$505,"&gt;"&amp;$A92,実績!$AL$6:$AL$505,"○")&gt;0,1,0))</f>
        <v>0</v>
      </c>
      <c r="I92" s="39" t="n">
        <f aca="false">IF(I$4=0,0,IF(COUNTIFS(実績!$W$6:$W$505,I$3,実績!$AI$6:$AI$505,"&lt;="&amp;$A92,実績!$AJ$6:$AJ$505,"&gt;"&amp;$A92,実績!$AL$6:$AL$505,"○")&gt;0,1,0))</f>
        <v>0</v>
      </c>
      <c r="J92" s="39" t="n">
        <f aca="false">IF(J$4=0,0,IF(COUNTIFS(実績!$W$6:$W$505,J$3,実績!$AI$6:$AI$505,"&lt;="&amp;$A92,実績!$AJ$6:$AJ$505,"&gt;"&amp;$A92,実績!$AL$6:$AL$505,"○")&gt;0,1,0))</f>
        <v>0</v>
      </c>
      <c r="K92" s="39" t="n">
        <f aca="false">IF(K$4=0,0,IF(COUNTIFS(実績!$W$6:$W$505,K$3,実績!$AI$6:$AI$505,"&lt;="&amp;$A92,実績!$AJ$6:$AJ$505,"&gt;"&amp;$A92,実績!$AL$6:$AL$505,"○")&gt;0,1,0))</f>
        <v>0</v>
      </c>
      <c r="L92" s="39" t="n">
        <f aca="false">IF(L$4=0,0,IF(COUNTIFS(実績!$W$6:$W$505,L$3,実績!$AI$6:$AI$505,"&lt;="&amp;$A92,実績!$AJ$6:$AJ$505,"&gt;"&amp;$A92,実績!$AL$6:$AL$505,"○")&gt;0,1,0))</f>
        <v>0</v>
      </c>
      <c r="M92" s="39" t="n">
        <f aca="false">IF(M$4=0,0,IF(COUNTIFS(実績!$W$6:$W$505,M$3,実績!$AI$6:$AI$505,"&lt;="&amp;$A92,実績!$AJ$6:$AJ$505,"&gt;"&amp;$A92,実績!$AL$6:$AL$505,"○")&gt;0,1,0))</f>
        <v>0</v>
      </c>
      <c r="N92" s="39" t="n">
        <f aca="false">IF(N$4=0,0,IF(COUNTIFS(実績!$W$6:$W$505,N$3,実績!$AI$6:$AI$505,"&lt;="&amp;$A92,実績!$AJ$6:$AJ$505,"&gt;"&amp;$A92,実績!$AL$6:$AL$505,"○")&gt;0,1,0))</f>
        <v>0</v>
      </c>
      <c r="O92" s="39" t="n">
        <f aca="false">IF(O$4=0,0,IF(COUNTIFS(実績!$W$6:$W$505,O$3,実績!$AI$6:$AI$505,"&lt;="&amp;$A92,実績!$AJ$6:$AJ$505,"&gt;"&amp;$A92,実績!$AL$6:$AL$505,"○")&gt;0,1,0))</f>
        <v>0</v>
      </c>
      <c r="P92" s="39" t="n">
        <f aca="false">IF(P$4=0,0,IF(COUNTIFS(実績!$W$6:$W$505,P$3,実績!$AI$6:$AI$505,"&lt;="&amp;$A92,実績!$AJ$6:$AJ$505,"&gt;"&amp;$A92,実績!$AL$6:$AL$505,"○")&gt;0,1,0))</f>
        <v>0</v>
      </c>
      <c r="Q92" s="39" t="n">
        <f aca="false">IF(Q$4=0,0,IF(COUNTIFS(実績!$W$6:$W$505,Q$3,実績!$AI$6:$AI$505,"&lt;="&amp;$A92,実績!$AJ$6:$AJ$505,"&gt;"&amp;$A92,実績!$AL$6:$AL$505,"○")&gt;0,1,0))</f>
        <v>0</v>
      </c>
      <c r="R92" s="39" t="n">
        <f aca="false">IF(R$4=0,0,IF(COUNTIFS(実績!$W$6:$W$505,R$3,実績!$AI$6:$AI$505,"&lt;="&amp;$A92,実績!$AJ$6:$AJ$505,"&gt;"&amp;$A92,実績!$AL$6:$AL$505,"○")&gt;0,1,0))</f>
        <v>0</v>
      </c>
      <c r="S92" s="39" t="n">
        <f aca="false">IF(S$4=0,0,IF(COUNTIFS(実績!$W$6:$W$505,S$3,実績!$AI$6:$AI$505,"&lt;="&amp;$A92,実績!$AJ$6:$AJ$505,"&gt;"&amp;$A92,実績!$AL$6:$AL$505,"○")&gt;0,1,0))</f>
        <v>0</v>
      </c>
      <c r="T92" s="39" t="n">
        <f aca="false">IF(T$4=0,0,IF(COUNTIFS(実績!$W$6:$W$505,T$3,実績!$AI$6:$AI$505,"&lt;="&amp;$A92,実績!$AJ$6:$AJ$505,"&gt;"&amp;$A92,実績!$AL$6:$AL$505,"○")&gt;0,1,0))</f>
        <v>0</v>
      </c>
      <c r="U92" s="39" t="n">
        <f aca="false">IF(U$4=0,0,IF(COUNTIFS(実績!$W$6:$W$505,U$3,実績!$AI$6:$AI$505,"&lt;="&amp;$A92,実績!$AJ$6:$AJ$505,"&gt;"&amp;$A92,実績!$AL$6:$AL$505,"○")&gt;0,1,0))</f>
        <v>0</v>
      </c>
      <c r="V92" s="39" t="n">
        <f aca="false">IF(V$4=0,0,IF(COUNTIFS(実績!$W$6:$W$505,V$3,実績!$AI$6:$AI$505,"&lt;="&amp;$A92,実績!$AJ$6:$AJ$505,"&gt;"&amp;$A92,実績!$AL$6:$AL$505,"○")&gt;0,1,0))</f>
        <v>0</v>
      </c>
      <c r="W92" s="39" t="n">
        <f aca="false">IF(W$4=0,0,IF(COUNTIFS(実績!$W$6:$W$505,W$3,実績!$AI$6:$AI$505,"&lt;="&amp;$A92,実績!$AJ$6:$AJ$505,"&gt;"&amp;$A92,実績!$AL$6:$AL$505,"○")&gt;0,1,0))</f>
        <v>0</v>
      </c>
      <c r="X92" s="39" t="n">
        <f aca="false">IF(X$4=0,0,IF(COUNTIFS(実績!$W$6:$W$505,X$3,実績!$AI$6:$AI$505,"&lt;="&amp;$A92,実績!$AJ$6:$AJ$505,"&gt;"&amp;$A92,実績!$AL$6:$AL$505,"○")&gt;0,1,0))</f>
        <v>0</v>
      </c>
      <c r="Y92" s="39" t="n">
        <f aca="false">IF(Y$4=0,0,IF(COUNTIFS(実績!$W$6:$W$505,Y$3,実績!$AI$6:$AI$505,"&lt;="&amp;$A92,実績!$AJ$6:$AJ$505,"&gt;"&amp;$A92,実績!$AL$6:$AL$505,"○")&gt;0,1,0))</f>
        <v>0</v>
      </c>
      <c r="Z92" s="39" t="n">
        <f aca="false">IF(Z$4=0,0,IF(COUNTIFS(実績!$W$6:$W$505,Z$3,実績!$AI$6:$AI$505,"&lt;="&amp;$A92,実績!$AJ$6:$AJ$505,"&gt;"&amp;$A92,実績!$AL$6:$AL$505,"○")&gt;0,1,0))</f>
        <v>0</v>
      </c>
      <c r="AA92" s="39" t="n">
        <f aca="false">IF(AA$4=0,0,IF(COUNTIFS(実績!$W$6:$W$505,AA$3,実績!$AI$6:$AI$505,"&lt;="&amp;$A92,実績!$AJ$6:$AJ$505,"&gt;"&amp;$A92,実績!$AL$6:$AL$505,"○")&gt;0,1,0))</f>
        <v>0</v>
      </c>
      <c r="AB92" s="39" t="n">
        <f aca="false">IF(AB$4=0,0,IF(COUNTIFS(実績!$W$6:$W$505,AB$3,実績!$AI$6:$AI$505,"&lt;="&amp;$A92,実績!$AJ$6:$AJ$505,"&gt;"&amp;$A92,実績!$AL$6:$AL$505,"○")&gt;0,1,0))</f>
        <v>0</v>
      </c>
      <c r="AC92" s="39" t="n">
        <f aca="false">IF(AC$4=0,0,IF(COUNTIFS(実績!$W$6:$W$505,AC$3,実績!$AI$6:$AI$505,"&lt;="&amp;$A92,実績!$AJ$6:$AJ$505,"&gt;"&amp;$A92,実績!$AL$6:$AL$505,"○")&gt;0,1,0))</f>
        <v>0</v>
      </c>
      <c r="AD92" s="39" t="n">
        <f aca="false">IF(AD$4=0,0,IF(COUNTIFS(実績!$W$6:$W$505,AD$3,実績!$AI$6:$AI$505,"&lt;="&amp;$A92,実績!$AJ$6:$AJ$505,"&gt;"&amp;$A92,実績!$AL$6:$AL$505,"○")&gt;0,1,0))</f>
        <v>0</v>
      </c>
      <c r="AE92" s="39" t="n">
        <f aca="false">IF(AE$4=0,0,IF(COUNTIFS(実績!$W$6:$W$505,AE$3,実績!$AI$6:$AI$505,"&lt;="&amp;$A92,実績!$AJ$6:$AJ$505,"&gt;"&amp;$A92,実績!$AL$6:$AL$505,"○")&gt;0,1,0))</f>
        <v>0</v>
      </c>
      <c r="AF92" s="39" t="n">
        <f aca="false">IF(AF$4=0,0,IF(COUNTIFS(実績!$W$6:$W$505,AF$3,実績!$AI$6:$AI$505,"&lt;="&amp;$A92,実績!$AJ$6:$AJ$505,"&gt;"&amp;$A92,実績!$AL$6:$AL$505,"○")&gt;0,1,0))</f>
        <v>0</v>
      </c>
      <c r="AG92" s="39" t="n">
        <f aca="false">IF(AG$4=0,0,IF(COUNTIFS(実績!$W$6:$W$505,AG$3,実績!$AI$6:$AI$505,"&lt;="&amp;$A92,実績!$AJ$6:$AJ$505,"&gt;"&amp;$A92,実績!$AL$6:$AL$505,"○")&gt;0,1,0))</f>
        <v>0</v>
      </c>
      <c r="AH92" s="39" t="n">
        <f aca="false">IF(AH$4=0,0,IF(COUNTIFS(実績!$W$6:$W$505,AH$3,実績!$AI$6:$AI$505,"&lt;="&amp;$A92,実績!$AJ$6:$AJ$505,"&gt;"&amp;$A92,実績!$AL$6:$AL$505,"○")&gt;0,1,0))</f>
        <v>0</v>
      </c>
      <c r="AI92" s="39" t="n">
        <f aca="false">IF(AI$4=0,0,IF(COUNTIFS(実績!$W$6:$W$505,AI$3,実績!$AI$6:$AI$505,"&lt;="&amp;$A92,実績!$AJ$6:$AJ$505,"&gt;"&amp;$A92,実績!$AL$6:$AL$505,"○")&gt;0,1,0))</f>
        <v>0</v>
      </c>
      <c r="AJ92" s="39" t="n">
        <f aca="false">IF(AJ$4=0,0,IF(COUNTIFS(実績!$W$6:$W$505,AJ$3,実績!$AI$6:$AI$505,"&lt;="&amp;$A92,実績!$AJ$6:$AJ$505,"&gt;"&amp;$A92,実績!$AL$6:$AL$505,"○")&gt;0,1,0))</f>
        <v>0</v>
      </c>
      <c r="AK92" s="39" t="n">
        <f aca="false">IF(AK$4=0,0,IF(COUNTIFS(実績!$W$6:$W$505,AK$3,実績!$AI$6:$AI$505,"&lt;="&amp;$A92,実績!$AJ$6:$AJ$505,"&gt;"&amp;$A92,実績!$AL$6:$AL$505,"○")&gt;0,1,0))</f>
        <v>0</v>
      </c>
      <c r="AL92" s="39" t="n">
        <f aca="false">IF(AL$4=0,0,IF(COUNTIFS(実績!$W$6:$W$505,AL$3,実績!$AI$6:$AI$505,"&lt;="&amp;$A92,実績!$AJ$6:$AJ$505,"&gt;"&amp;$A92,実績!$AL$6:$AL$505,"○")&gt;0,1,0))</f>
        <v>0</v>
      </c>
      <c r="AM92" s="39" t="n">
        <f aca="false">IF(AM$4=0,0,IF(COUNTIFS(実績!$W$6:$W$505,AM$3,実績!$AI$6:$AI$505,"&lt;="&amp;$A92,実績!$AJ$6:$AJ$505,"&gt;"&amp;$A92,実績!$AL$6:$AL$505,"○")&gt;0,1,0))</f>
        <v>0</v>
      </c>
      <c r="AN92" s="39" t="n">
        <f aca="false">IF(AN$4=0,0,IF(COUNTIFS(実績!$W$6:$W$505,AN$3,実績!$AI$6:$AI$505,"&lt;="&amp;$A92,実績!$AJ$6:$AJ$505,"&gt;"&amp;$A92,実績!$AL$6:$AL$505,"○")&gt;0,1,0))</f>
        <v>0</v>
      </c>
      <c r="AO92" s="39" t="n">
        <f aca="false">IF(AO$4=0,0,IF(COUNTIFS(実績!$W$6:$W$505,AO$3,実績!$AI$6:$AI$505,"&lt;="&amp;$A92,実績!$AJ$6:$AJ$505,"&gt;"&amp;$A92,実績!$AL$6:$AL$505,"○")&gt;0,1,0))</f>
        <v>0</v>
      </c>
      <c r="AP92" s="39" t="n">
        <f aca="false">IF(AP$4=0,0,IF(COUNTIFS(実績!$W$6:$W$505,AP$3,実績!$AI$6:$AI$505,"&lt;="&amp;$A92,実績!$AJ$6:$AJ$505,"&gt;"&amp;$A92,実績!$AL$6:$AL$505,"○")&gt;0,1,0))</f>
        <v>0</v>
      </c>
      <c r="AQ92" s="39" t="n">
        <f aca="false">IF(AQ$4=0,0,IF(COUNTIFS(実績!$W$6:$W$505,AQ$3,実績!$AI$6:$AI$505,"&lt;="&amp;$A92,実績!$AJ$6:$AJ$505,"&gt;"&amp;$A92,実績!$AL$6:$AL$505,"○")&gt;0,1,0))</f>
        <v>0</v>
      </c>
      <c r="AR92" s="39" t="n">
        <f aca="false">IF(AR$4=0,0,IF(COUNTIFS(実績!$W$6:$W$505,AR$3,実績!$AI$6:$AI$505,"&lt;="&amp;$A92,実績!$AJ$6:$AJ$505,"&gt;"&amp;$A92,実績!$AL$6:$AL$505,"○")&gt;0,1,0))</f>
        <v>0</v>
      </c>
      <c r="AS92" s="39" t="n">
        <f aca="false">IF(AS$4=0,0,IF(COUNTIFS(実績!$W$6:$W$505,AS$3,実績!$AI$6:$AI$505,"&lt;="&amp;$A92,実績!$AJ$6:$AJ$505,"&gt;"&amp;$A92,実績!$AL$6:$AL$505,"○")&gt;0,1,0))</f>
        <v>0</v>
      </c>
      <c r="AT92" s="39" t="n">
        <f aca="false">IF(AT$4=0,0,IF(COUNTIFS(実績!$W$6:$W$505,AT$3,実績!$AI$6:$AI$505,"&lt;="&amp;$A92,実績!$AJ$6:$AJ$505,"&gt;"&amp;$A92,実績!$AL$6:$AL$505,"○")&gt;0,1,0))</f>
        <v>0</v>
      </c>
      <c r="AU92" s="39" t="n">
        <f aca="false">IF(AU$4=0,0,IF(COUNTIFS(実績!$W$6:$W$505,AU$3,実績!$AI$6:$AI$505,"&lt;="&amp;$A92,実績!$AJ$6:$AJ$505,"&gt;"&amp;$A92,実績!$AL$6:$AL$505,"○")&gt;0,1,0))</f>
        <v>0</v>
      </c>
      <c r="AV92" s="39" t="n">
        <f aca="false">IF(AV$4=0,0,IF(COUNTIFS(実績!$W$6:$W$505,AV$3,実績!$AI$6:$AI$505,"&lt;="&amp;$A92,実績!$AJ$6:$AJ$505,"&gt;"&amp;$A92,実績!$AL$6:$AL$505,"○")&gt;0,1,0))</f>
        <v>0</v>
      </c>
      <c r="AW92" s="39" t="n">
        <f aca="false">IF(AW$4=0,0,IF(COUNTIFS(実績!$W$6:$W$505,AW$3,実績!$AI$6:$AI$505,"&lt;="&amp;$A92,実績!$AJ$6:$AJ$505,"&gt;"&amp;$A92,実績!$AL$6:$AL$505,"○")&gt;0,1,0))</f>
        <v>0</v>
      </c>
      <c r="AX92" s="39" t="n">
        <f aca="false">IF(AX$4=0,0,IF(COUNTIFS(実績!$W$6:$W$505,AX$3,実績!$AI$6:$AI$505,"&lt;="&amp;$A92,実績!$AJ$6:$AJ$505,"&gt;"&amp;$A92,実績!$AL$6:$AL$505,"○")&gt;0,1,0))</f>
        <v>0</v>
      </c>
      <c r="AY92" s="39" t="n">
        <f aca="false">IF(AY$4=0,0,IF(COUNTIFS(実績!$W$6:$W$505,AY$3,実績!$AI$6:$AI$505,"&lt;="&amp;$A92,実績!$AJ$6:$AJ$505,"&gt;"&amp;$A92,実績!$AL$6:$AL$505,"○")&gt;0,1,0))</f>
        <v>0</v>
      </c>
      <c r="AZ92" s="39" t="n">
        <f aca="false">IF(AZ$4=0,0,IF(COUNTIFS(実績!$W$6:$W$505,AZ$3,実績!$AI$6:$AI$505,"&lt;="&amp;$A92,実績!$AJ$6:$AJ$505,"&gt;"&amp;$A92,実績!$AL$6:$AL$505,"○")&gt;0,1,0))</f>
        <v>0</v>
      </c>
      <c r="BA92" s="39" t="n">
        <f aca="false">IF(BA$4=0,0,IF(COUNTIFS(実績!$W$6:$W$505,BA$3,実績!$AI$6:$AI$505,"&lt;="&amp;$A92,実績!$AJ$6:$AJ$505,"&gt;"&amp;$A92,実績!$AL$6:$AL$505,"○")&gt;0,1,0))</f>
        <v>0</v>
      </c>
      <c r="BB92" s="39" t="n">
        <f aca="false">IF(BB$4=0,0,IF(COUNTIFS(実績!$W$6:$W$505,BB$3,実績!$AI$6:$AI$505,"&lt;="&amp;$A92,実績!$AJ$6:$AJ$505,"&gt;"&amp;$A92,実績!$AL$6:$AL$505,"○")&gt;0,1,0))</f>
        <v>0</v>
      </c>
      <c r="BC92" s="39" t="n">
        <f aca="false">IF(BC$4=0,0,IF(COUNTIFS(実績!$W$6:$W$505,BC$3,実績!$AI$6:$AI$505,"&lt;="&amp;$A92,実績!$AJ$6:$AJ$505,"&gt;"&amp;$A92,実績!$AL$6:$AL$505,"○")&gt;0,1,0))</f>
        <v>0</v>
      </c>
      <c r="BD92" s="39" t="n">
        <f aca="false">IF(BD$4=0,0,IF(COUNTIFS(実績!$W$6:$W$505,BD$3,実績!$AI$6:$AI$505,"&lt;="&amp;$A92,実績!$AJ$6:$AJ$505,"&gt;"&amp;$A92,実績!$AL$6:$AL$505,"○")&gt;0,1,0))</f>
        <v>0</v>
      </c>
      <c r="BE92" s="39" t="n">
        <f aca="false">IF(BE$4=0,0,IF(COUNTIFS(実績!$W$6:$W$505,BE$3,実績!$AI$6:$AI$505,"&lt;="&amp;$A92,実績!$AJ$6:$AJ$505,"&gt;"&amp;$A92,実績!$AL$6:$AL$505,"○")&gt;0,1,0))</f>
        <v>0</v>
      </c>
      <c r="BF92" s="39" t="n">
        <f aca="false">IF(BF$4=0,0,IF(COUNTIFS(実績!$W$6:$W$505,BF$3,実績!$AI$6:$AI$505,"&lt;="&amp;$A92,実績!$AJ$6:$AJ$505,"&gt;"&amp;$A92,実績!$AL$6:$AL$505,"○")&gt;0,1,0))</f>
        <v>0</v>
      </c>
      <c r="BG92" s="39" t="n">
        <f aca="false">IF(BG$4=0,0,IF(COUNTIFS(実績!$W$6:$W$505,BG$3,実績!$AI$6:$AI$505,"&lt;="&amp;$A92,実績!$AJ$6:$AJ$505,"&gt;"&amp;$A92,実績!$AL$6:$AL$505,"○")&gt;0,1,0))</f>
        <v>0</v>
      </c>
      <c r="BH92" s="39" t="n">
        <f aca="false">IF(BH$4=0,0,IF(COUNTIFS(実績!$W$6:$W$505,BH$3,実績!$AI$6:$AI$505,"&lt;="&amp;$A92,実績!$AJ$6:$AJ$505,"&gt;"&amp;$A92,実績!$AL$6:$AL$505,"○")&gt;0,1,0))</f>
        <v>0</v>
      </c>
      <c r="BI92" s="39" t="n">
        <f aca="false">IF(BI$4=0,0,IF(COUNTIFS(実績!$W$6:$W$505,BI$3,実績!$AI$6:$AI$505,"&lt;="&amp;$A92,実績!$AJ$6:$AJ$505,"&gt;"&amp;$A92,実績!$AL$6:$AL$505,"○")&gt;0,1,0))</f>
        <v>0</v>
      </c>
      <c r="BJ92" s="39" t="n">
        <f aca="false">IF(BJ$4=0,0,IF(COUNTIFS(実績!$W$6:$W$505,BJ$3,実績!$AI$6:$AI$505,"&lt;="&amp;$A92,実績!$AJ$6:$AJ$505,"&gt;"&amp;$A92,実績!$AL$6:$AL$505,"○")&gt;0,1,0))</f>
        <v>0</v>
      </c>
      <c r="BK92" s="39" t="n">
        <f aca="false">IF(BK$4=0,0,IF(COUNTIFS(実績!$W$6:$W$505,BK$3,実績!$AI$6:$AI$505,"&lt;="&amp;$A92,実績!$AJ$6:$AJ$505,"&gt;"&amp;$A92,実績!$AL$6:$AL$505,"○")&gt;0,1,0))</f>
        <v>0</v>
      </c>
      <c r="BL92" s="39" t="n">
        <f aca="false">IF(BL$4=0,0,IF(COUNTIFS(実績!$W$6:$W$505,BL$3,実績!$AI$6:$AI$505,"&lt;="&amp;$A92,実績!$AJ$6:$AJ$505,"&gt;"&amp;$A92,実績!$AL$6:$AL$505,"○")&gt;0,1,0))</f>
        <v>0</v>
      </c>
      <c r="BM92" s="39" t="n">
        <f aca="false">IF(BM$4=0,0,IF(COUNTIFS(実績!$W$6:$W$505,BM$3,実績!$AI$6:$AI$505,"&lt;="&amp;$A92,実績!$AJ$6:$AJ$505,"&gt;"&amp;$A92,実績!$AL$6:$AL$505,"○")&gt;0,1,0))</f>
        <v>0</v>
      </c>
      <c r="BN92" s="39" t="n">
        <f aca="false">IF(BN$4=0,0,IF(COUNTIFS(実績!$W$6:$W$505,BN$3,実績!$AI$6:$AI$505,"&lt;="&amp;$A92,実績!$AJ$6:$AJ$505,"&gt;"&amp;$A92,実績!$AL$6:$AL$505,"○")&gt;0,1,0))</f>
        <v>0</v>
      </c>
      <c r="BO92" s="39" t="n">
        <f aca="false">IF(BO$4=0,0,IF(COUNTIFS(実績!$W$6:$W$505,BO$3,実績!$AI$6:$AI$505,"&lt;="&amp;$A92,実績!$AJ$6:$AJ$505,"&gt;"&amp;$A92,実績!$AL$6:$AL$505,"○")&gt;0,1,0))</f>
        <v>0</v>
      </c>
      <c r="BP92" s="39" t="n">
        <f aca="false">IF(BP$4=0,0,IF(COUNTIFS(実績!$W$6:$W$505,BP$3,実績!$AI$6:$AI$505,"&lt;="&amp;$A92,実績!$AJ$6:$AJ$505,"&gt;"&amp;$A92,実績!$AL$6:$AL$505,"○")&gt;0,1,0))</f>
        <v>0</v>
      </c>
      <c r="BQ92" s="39" t="n">
        <f aca="false">IF(BQ$4=0,0,IF(COUNTIFS(実績!$W$6:$W$505,BQ$3,実績!$AI$6:$AI$505,"&lt;="&amp;$A92,実績!$AJ$6:$AJ$505,"&gt;"&amp;$A92,実績!$AL$6:$AL$505,"○")&gt;0,1,0))</f>
        <v>0</v>
      </c>
      <c r="BR92" s="39" t="n">
        <f aca="false">IF(BR$4=0,0,IF(COUNTIFS(実績!$W$6:$W$505,BR$3,実績!$AI$6:$AI$505,"&lt;="&amp;$A92,実績!$AJ$6:$AJ$505,"&gt;"&amp;$A92,実績!$AL$6:$AL$505,"○")&gt;0,1,0))</f>
        <v>0</v>
      </c>
      <c r="BS92" s="39" t="n">
        <f aca="false">IF(BS$4=0,0,IF(COUNTIFS(実績!$W$6:$W$505,BS$3,実績!$AI$6:$AI$505,"&lt;="&amp;$A92,実績!$AJ$6:$AJ$505,"&gt;"&amp;$A92,実績!$AL$6:$AL$505,"○")&gt;0,1,0))</f>
        <v>0</v>
      </c>
      <c r="BT92" s="39" t="n">
        <f aca="false">IF(BT$4=0,0,IF(COUNTIFS(実績!$W$6:$W$505,BT$3,実績!$AI$6:$AI$505,"&lt;="&amp;$A92,実績!$AJ$6:$AJ$505,"&gt;"&amp;$A92,実績!$AL$6:$AL$505,"○")&gt;0,1,0))</f>
        <v>0</v>
      </c>
      <c r="BU92" s="39" t="n">
        <f aca="false">IF(BU$4=0,0,IF(COUNTIFS(実績!$W$6:$W$505,BU$3,実績!$AI$6:$AI$505,"&lt;="&amp;$A92,実績!$AJ$6:$AJ$505,"&gt;"&amp;$A92,実績!$AL$6:$AL$505,"○")&gt;0,1,0))</f>
        <v>0</v>
      </c>
      <c r="BV92" s="39" t="n">
        <f aca="false">IF(BV$4=0,0,IF(COUNTIFS(実績!$W$6:$W$505,BV$3,実績!$AI$6:$AI$505,"&lt;="&amp;$A92,実績!$AJ$6:$AJ$505,"&gt;"&amp;$A92,実績!$AL$6:$AL$505,"○")&gt;0,1,0))</f>
        <v>0</v>
      </c>
      <c r="BW92" s="39" t="n">
        <f aca="false">IF(BW$4=0,0,IF(COUNTIFS(実績!$W$6:$W$505,BW$3,実績!$AI$6:$AI$505,"&lt;="&amp;$A92,実績!$AJ$6:$AJ$505,"&gt;"&amp;$A92,実績!$AL$6:$AL$505,"○")&gt;0,1,0))</f>
        <v>0</v>
      </c>
      <c r="BX92" s="39" t="n">
        <f aca="false">IF(BX$4=0,0,IF(COUNTIFS(実績!$W$6:$W$505,BX$3,実績!$AI$6:$AI$505,"&lt;="&amp;$A92,実績!$AJ$6:$AJ$505,"&gt;"&amp;$A92,実績!$AL$6:$AL$505,"○")&gt;0,1,0))</f>
        <v>0</v>
      </c>
      <c r="BY92" s="39" t="n">
        <f aca="false">IF(BY$4=0,0,IF(COUNTIFS(実績!$W$6:$W$505,BY$3,実績!$AI$6:$AI$505,"&lt;="&amp;$A92,実績!$AJ$6:$AJ$505,"&gt;"&amp;$A92,実績!$AL$6:$AL$505,"○")&gt;0,1,0))</f>
        <v>0</v>
      </c>
      <c r="BZ92" s="39" t="n">
        <f aca="false">IF(BZ$4=0,0,IF(COUNTIFS(実績!$W$6:$W$505,BZ$3,実績!$AI$6:$AI$505,"&lt;="&amp;$A92,実績!$AJ$6:$AJ$505,"&gt;"&amp;$A92,実績!$AL$6:$AL$505,"○")&gt;0,1,0))</f>
        <v>0</v>
      </c>
      <c r="CA92" s="39" t="n">
        <f aca="false">IF(CA$4=0,0,IF(COUNTIFS(実績!$W$6:$W$505,CA$3,実績!$AI$6:$AI$505,"&lt;="&amp;$A92,実績!$AJ$6:$AJ$505,"&gt;"&amp;$A92,実績!$AL$6:$AL$505,"○")&gt;0,1,0))</f>
        <v>0</v>
      </c>
      <c r="CB92" s="39" t="n">
        <f aca="false">IF(CB$4=0,0,IF(COUNTIFS(実績!$W$6:$W$505,CB$3,実績!$AI$6:$AI$505,"&lt;="&amp;$A92,実績!$AJ$6:$AJ$505,"&gt;"&amp;$A92,実績!$AL$6:$AL$505,"○")&gt;0,1,0))</f>
        <v>0</v>
      </c>
      <c r="CC92" s="39" t="n">
        <f aca="false">IF(CC$4=0,0,IF(COUNTIFS(実績!$W$6:$W$505,CC$3,実績!$AI$6:$AI$505,"&lt;="&amp;$A92,実績!$AJ$6:$AJ$505,"&gt;"&amp;$A92,実績!$AL$6:$AL$505,"○")&gt;0,1,0))</f>
        <v>0</v>
      </c>
      <c r="CD92" s="39" t="n">
        <f aca="false">IF(CD$4=0,0,IF(COUNTIFS(実績!$W$6:$W$505,CD$3,実績!$AI$6:$AI$505,"&lt;="&amp;$A92,実績!$AJ$6:$AJ$505,"&gt;"&amp;$A92,実績!$AL$6:$AL$505,"○")&gt;0,1,0))</f>
        <v>0</v>
      </c>
      <c r="CE92" s="39" t="n">
        <f aca="false">IF(CE$4=0,0,IF(COUNTIFS(実績!$W$6:$W$505,CE$3,実績!$AI$6:$AI$505,"&lt;="&amp;$A92,実績!$AJ$6:$AJ$505,"&gt;"&amp;$A92,実績!$AL$6:$AL$505,"○")&gt;0,1,0))</f>
        <v>0</v>
      </c>
      <c r="CF92" s="39" t="n">
        <f aca="false">IF(CF$4=0,0,IF(COUNTIFS(実績!$W$6:$W$505,CF$3,実績!$AI$6:$AI$505,"&lt;="&amp;$A92,実績!$AJ$6:$AJ$505,"&gt;"&amp;$A92,実績!$AL$6:$AL$505,"○")&gt;0,1,0))</f>
        <v>0</v>
      </c>
      <c r="CG92" s="39" t="n">
        <f aca="false">IF(CG$4=0,0,IF(COUNTIFS(実績!$W$6:$W$505,CG$3,実績!$AI$6:$AI$505,"&lt;="&amp;$A92,実績!$AJ$6:$AJ$505,"&gt;"&amp;$A92,実績!$AL$6:$AL$505,"○")&gt;0,1,0))</f>
        <v>0</v>
      </c>
      <c r="CH92" s="39" t="n">
        <f aca="false">IF(CH$4=0,0,IF(COUNTIFS(実績!$W$6:$W$505,CH$3,実績!$AI$6:$AI$505,"&lt;="&amp;$A92,実績!$AJ$6:$AJ$505,"&gt;"&amp;$A92,実績!$AL$6:$AL$505,"○")&gt;0,1,0))</f>
        <v>0</v>
      </c>
      <c r="CI92" s="39" t="n">
        <f aca="false">IF(CI$4=0,0,IF(COUNTIFS(実績!$W$6:$W$505,CI$3,実績!$AI$6:$AI$505,"&lt;="&amp;$A92,実績!$AJ$6:$AJ$505,"&gt;"&amp;$A92,実績!$AL$6:$AL$505,"○")&gt;0,1,0))</f>
        <v>0</v>
      </c>
      <c r="CJ92" s="39" t="n">
        <f aca="false">IF(CJ$4=0,0,IF(COUNTIFS(実績!$W$6:$W$505,CJ$3,実績!$AI$6:$AI$505,"&lt;="&amp;$A92,実績!$AJ$6:$AJ$505,"&gt;"&amp;$A92,実績!$AL$6:$AL$505,"○")&gt;0,1,0))</f>
        <v>0</v>
      </c>
      <c r="CK92" s="39" t="n">
        <f aca="false">IF(CK$4=0,0,IF(COUNTIFS(実績!$W$6:$W$505,CK$3,実績!$AI$6:$AI$505,"&lt;="&amp;$A92,実績!$AJ$6:$AJ$505,"&gt;"&amp;$A92,実績!$AL$6:$AL$505,"○")&gt;0,1,0))</f>
        <v>0</v>
      </c>
      <c r="CL92" s="39" t="n">
        <f aca="false">IF(CL$4=0,0,IF(COUNTIFS(実績!$W$6:$W$505,CL$3,実績!$AI$6:$AI$505,"&lt;="&amp;$A92,実績!$AJ$6:$AJ$505,"&gt;"&amp;$A92,実績!$AL$6:$AL$505,"○")&gt;0,1,0))</f>
        <v>0</v>
      </c>
      <c r="CM92" s="39" t="n">
        <f aca="false">IF(CM$4=0,0,IF(COUNTIFS(実績!$W$6:$W$505,CM$3,実績!$AI$6:$AI$505,"&lt;="&amp;$A92,実績!$AJ$6:$AJ$505,"&gt;"&amp;$A92,実績!$AL$6:$AL$505,"○")&gt;0,1,0))</f>
        <v>0</v>
      </c>
      <c r="CN92" s="39" t="n">
        <f aca="false">IF(CN$4=0,0,IF(COUNTIFS(実績!$W$6:$W$505,CN$3,実績!$AI$6:$AI$505,"&lt;="&amp;$A92,実績!$AJ$6:$AJ$505,"&gt;"&amp;$A92,実績!$AL$6:$AL$505,"○")&gt;0,1,0))</f>
        <v>0</v>
      </c>
      <c r="CO92" s="39" t="n">
        <f aca="false">IF(CO$4=0,0,IF(COUNTIFS(実績!$W$6:$W$505,CO$3,実績!$AI$6:$AI$505,"&lt;="&amp;$A92,実績!$AJ$6:$AJ$505,"&gt;"&amp;$A92,実績!$AL$6:$AL$505,"○")&gt;0,1,0))</f>
        <v>0</v>
      </c>
      <c r="CP92" s="39" t="n">
        <f aca="false">IF(CP$4=0,0,IF(COUNTIFS(実績!$W$6:$W$505,CP$3,実績!$AI$6:$AI$505,"&lt;="&amp;$A92,実績!$AJ$6:$AJ$505,"&gt;"&amp;$A92,実績!$AL$6:$AL$505,"○")&gt;0,1,0))</f>
        <v>0</v>
      </c>
      <c r="CQ92" s="39" t="n">
        <f aca="false">IF(CQ$4=0,0,IF(COUNTIFS(実績!$W$6:$W$505,CQ$3,実績!$AI$6:$AI$505,"&lt;="&amp;$A92,実績!$AJ$6:$AJ$505,"&gt;"&amp;$A92,実績!$AL$6:$AL$505,"○")&gt;0,1,0))</f>
        <v>0</v>
      </c>
      <c r="CR92" s="39" t="n">
        <f aca="false">IF(CR$4=0,0,IF(COUNTIFS(実績!$W$6:$W$505,CR$3,実績!$AI$6:$AI$505,"&lt;="&amp;$A92,実績!$AJ$6:$AJ$505,"&gt;"&amp;$A92,実績!$AL$6:$AL$505,"○")&gt;0,1,0))</f>
        <v>0</v>
      </c>
      <c r="CS92" s="39" t="n">
        <f aca="false">IF(CS$4=0,0,IF(COUNTIFS(実績!$W$6:$W$505,CS$3,実績!$AI$6:$AI$505,"&lt;="&amp;$A92,実績!$AJ$6:$AJ$505,"&gt;"&amp;$A92,実績!$AL$6:$AL$505,"○")&gt;0,1,0))</f>
        <v>0</v>
      </c>
      <c r="CT92" s="39" t="n">
        <f aca="false">IF(CT$4=0,0,IF(COUNTIFS(実績!$W$6:$W$505,CT$3,実績!$AI$6:$AI$505,"&lt;="&amp;$A92,実績!$AJ$6:$AJ$505,"&gt;"&amp;$A92,実績!$AL$6:$AL$505,"○")&gt;0,1,0))</f>
        <v>0</v>
      </c>
      <c r="CU92" s="39" t="n">
        <f aca="false">IF(CU$4=0,0,IF(COUNTIFS(実績!$W$6:$W$505,CU$3,実績!$AI$6:$AI$505,"&lt;="&amp;$A92,実績!$AJ$6:$AJ$505,"&gt;"&amp;$A92,実績!$AL$6:$AL$505,"○")&gt;0,1,0))</f>
        <v>0</v>
      </c>
      <c r="CV92" s="39" t="n">
        <f aca="false">IF(CV$4=0,0,IF(COUNTIFS(実績!$W$6:$W$505,CV$3,実績!$AI$6:$AI$505,"&lt;="&amp;$A92,実績!$AJ$6:$AJ$505,"&gt;"&amp;$A92,実績!$AL$6:$AL$505,"○")&gt;0,1,0))</f>
        <v>0</v>
      </c>
      <c r="CW92" s="39" t="n">
        <f aca="false">IF(CW$4=0,0,IF(COUNTIFS(実績!$W$6:$W$505,CW$3,実績!$AI$6:$AI$505,"&lt;="&amp;$A92,実績!$AJ$6:$AJ$505,"&gt;"&amp;$A92,実績!$AL$6:$AL$505,"○")&gt;0,1,0))</f>
        <v>0</v>
      </c>
      <c r="CX92" s="39" t="n">
        <f aca="false">IF(CX$4=0,0,IF(COUNTIFS(実績!$W$6:$W$505,CX$3,実績!$AI$6:$AI$505,"&lt;="&amp;$A92,実績!$AJ$6:$AJ$505,"&gt;"&amp;$A92,実績!$AL$6:$AL$505,"○")&gt;0,1,0))</f>
        <v>0</v>
      </c>
      <c r="CY92" s="39" t="n">
        <f aca="false">IF(CY$4=0,0,IF(COUNTIFS(実績!$W$6:$W$505,CY$3,実績!$AI$6:$AI$505,"&lt;="&amp;$A92,実績!$AJ$6:$AJ$505,"&gt;"&amp;$A92,実績!$AL$6:$AL$505,"○")&gt;0,1,0))</f>
        <v>0</v>
      </c>
      <c r="CZ92" s="39" t="n">
        <f aca="false">IF(CZ$4=0,0,IF(COUNTIFS(実績!$W$6:$W$505,CZ$3,実績!$AI$6:$AI$505,"&lt;="&amp;$A92,実績!$AJ$6:$AJ$505,"&gt;"&amp;$A92,実績!$AL$6:$AL$505,"○")&gt;0,1,0))</f>
        <v>0</v>
      </c>
      <c r="DA92" s="39" t="n">
        <f aca="false">IF(DA$4=0,0,IF(COUNTIFS(実績!$W$6:$W$505,DA$3,実績!$AI$6:$AI$505,"&lt;="&amp;$A92,実績!$AJ$6:$AJ$505,"&gt;"&amp;$A92,実績!$AL$6:$AL$505,"○")&gt;0,1,0))</f>
        <v>0</v>
      </c>
      <c r="DB92" s="39" t="n">
        <f aca="false">IF(DB$4=0,0,IF(COUNTIFS(実績!$W$6:$W$505,DB$3,実績!$AI$6:$AI$505,"&lt;="&amp;$A92,実績!$AJ$6:$AJ$505,"&gt;"&amp;$A92,実績!$AL$6:$AL$505,"○")&gt;0,1,0))</f>
        <v>0</v>
      </c>
      <c r="DC92" s="39" t="n">
        <f aca="false">IF(DC$4=0,0,IF(COUNTIFS(実績!$W$6:$W$505,DC$3,実績!$AI$6:$AI$505,"&lt;="&amp;$A92,実績!$AJ$6:$AJ$505,"&gt;"&amp;$A92,実績!$AL$6:$AL$505,"○")&gt;0,1,0))</f>
        <v>0</v>
      </c>
      <c r="DD92" s="39" t="n">
        <f aca="false">IF(DD$4=0,0,IF(COUNTIFS(実績!$W$6:$W$505,DD$3,実績!$AI$6:$AI$505,"&lt;="&amp;$A92,実績!$AJ$6:$AJ$505,"&gt;"&amp;$A92,実績!$AL$6:$AL$505,"○")&gt;0,1,0))</f>
        <v>0</v>
      </c>
      <c r="DE92" s="39" t="n">
        <f aca="false">IF(DE$4=0,0,IF(COUNTIFS(実績!$W$6:$W$505,DE$3,実績!$AI$6:$AI$505,"&lt;="&amp;$A92,実績!$AJ$6:$AJ$505,"&gt;"&amp;$A92,実績!$AL$6:$AL$505,"○")&gt;0,1,0))</f>
        <v>0</v>
      </c>
      <c r="DF92" s="39" t="n">
        <f aca="false">IF(DF$4=0,0,IF(COUNTIFS(実績!$W$6:$W$505,DF$3,実績!$AI$6:$AI$505,"&lt;="&amp;$A92,実績!$AJ$6:$AJ$505,"&gt;"&amp;$A92,実績!$AL$6:$AL$505,"○")&gt;0,1,0))</f>
        <v>0</v>
      </c>
      <c r="DG92" s="39" t="n">
        <f aca="false">IF(DG$4=0,0,IF(COUNTIFS(実績!$W$6:$W$505,DG$3,実績!$AI$6:$AI$505,"&lt;="&amp;$A92,実績!$AJ$6:$AJ$505,"&gt;"&amp;$A92,実績!$AL$6:$AL$505,"○")&gt;0,1,0))</f>
        <v>0</v>
      </c>
      <c r="DH92" s="39" t="n">
        <f aca="false">IF(DH$4=0,0,IF(COUNTIFS(実績!$W$6:$W$505,DH$3,実績!$AI$6:$AI$505,"&lt;="&amp;$A92,実績!$AJ$6:$AJ$505,"&gt;"&amp;$A92,実績!$AL$6:$AL$505,"○")&gt;0,1,0))</f>
        <v>0</v>
      </c>
      <c r="DI92" s="39" t="n">
        <f aca="false">IF(DI$4=0,0,IF(COUNTIFS(実績!$W$6:$W$505,DI$3,実績!$AI$6:$AI$505,"&lt;="&amp;$A92,実績!$AJ$6:$AJ$505,"&gt;"&amp;$A92,実績!$AL$6:$AL$505,"○")&gt;0,1,0))</f>
        <v>0</v>
      </c>
      <c r="DJ92" s="39" t="n">
        <f aca="false">IF(DJ$4=0,0,IF(COUNTIFS(実績!$W$6:$W$505,DJ$3,実績!$AI$6:$AI$505,"&lt;="&amp;$A92,実績!$AJ$6:$AJ$505,"&gt;"&amp;$A92,実績!$AL$6:$AL$505,"○")&gt;0,1,0))</f>
        <v>0</v>
      </c>
      <c r="DK92" s="39" t="n">
        <f aca="false">IF(DK$4=0,0,IF(COUNTIFS(実績!$W$6:$W$505,DK$3,実績!$AI$6:$AI$505,"&lt;="&amp;$A92,実績!$AJ$6:$AJ$505,"&gt;"&amp;$A92,実績!$AL$6:$AL$505,"○")&gt;0,1,0))</f>
        <v>0</v>
      </c>
      <c r="DL92" s="39" t="n">
        <f aca="false">IF(DL$4=0,0,IF(COUNTIFS(実績!$W$6:$W$505,DL$3,実績!$AI$6:$AI$505,"&lt;="&amp;$A92,実績!$AJ$6:$AJ$505,"&gt;"&amp;$A92,実績!$AL$6:$AL$505,"○")&gt;0,1,0))</f>
        <v>0</v>
      </c>
      <c r="DM92" s="39" t="n">
        <f aca="false">IF(DM$4=0,0,IF(COUNTIFS(実績!$W$6:$W$505,DM$3,実績!$AI$6:$AI$505,"&lt;="&amp;$A92,実績!$AJ$6:$AJ$505,"&gt;"&amp;$A92,実績!$AL$6:$AL$505,"○")&gt;0,1,0))</f>
        <v>0</v>
      </c>
      <c r="DN92" s="39" t="n">
        <f aca="false">IF(DN$4=0,0,IF(COUNTIFS(実績!$W$6:$W$505,DN$3,実績!$AI$6:$AI$505,"&lt;="&amp;$A92,実績!$AJ$6:$AJ$505,"&gt;"&amp;$A92,実績!$AL$6:$AL$505,"○")&gt;0,1,0))</f>
        <v>0</v>
      </c>
      <c r="DO92" s="39" t="n">
        <f aca="false">IF(DO$4=0,0,IF(COUNTIFS(実績!$W$6:$W$505,DO$3,実績!$AI$6:$AI$505,"&lt;="&amp;$A92,実績!$AJ$6:$AJ$505,"&gt;"&amp;$A92,実績!$AL$6:$AL$505,"○")&gt;0,1,0))</f>
        <v>0</v>
      </c>
      <c r="DP92" s="39" t="n">
        <f aca="false">IF(DP$4=0,0,IF(COUNTIFS(実績!$W$6:$W$505,DP$3,実績!$AI$6:$AI$505,"&lt;="&amp;$A92,実績!$AJ$6:$AJ$505,"&gt;"&amp;$A92,実績!$AL$6:$AL$505,"○")&gt;0,1,0))</f>
        <v>0</v>
      </c>
      <c r="DQ92" s="39" t="n">
        <f aca="false">IF(DQ$4=0,0,IF(COUNTIFS(実績!$W$6:$W$505,DQ$3,実績!$AI$6:$AI$505,"&lt;="&amp;$A92,実績!$AJ$6:$AJ$505,"&gt;"&amp;$A92,実績!$AL$6:$AL$505,"○")&gt;0,1,0))</f>
        <v>0</v>
      </c>
      <c r="DR92" s="39" t="n">
        <f aca="false">IF(DR$4=0,0,IF(COUNTIFS(実績!$W$6:$W$505,DR$3,実績!$AI$6:$AI$505,"&lt;="&amp;$A92,実績!$AJ$6:$AJ$505,"&gt;"&amp;$A92,実績!$AL$6:$AL$505,"○")&gt;0,1,0))</f>
        <v>0</v>
      </c>
      <c r="DS92" s="39" t="n">
        <f aca="false">SUM(C92:DR92)</f>
        <v>0</v>
      </c>
    </row>
    <row r="93" customFormat="false" ht="15" hidden="false" customHeight="false" outlineLevel="0" collapsed="false">
      <c r="A93" s="0" t="n">
        <v>435</v>
      </c>
      <c r="B93" s="38" t="n">
        <f aca="false">A93/1440</f>
        <v>0.302083333333333</v>
      </c>
      <c r="C93" s="39" t="n">
        <f aca="false">IF(C$4=0,0,IF(COUNTIFS(実績!$W$6:$W$505,C$3,実績!$AI$6:$AI$505,"&lt;="&amp;$A93,実績!$AJ$6:$AJ$505,"&gt;"&amp;$A93,実績!$AL$6:$AL$505,"○")&gt;0,1,0))</f>
        <v>0</v>
      </c>
      <c r="D93" s="39" t="n">
        <f aca="false">IF(D$4=0,0,IF(COUNTIFS(実績!$W$6:$W$505,D$3,実績!$AI$6:$AI$505,"&lt;="&amp;$A93,実績!$AJ$6:$AJ$505,"&gt;"&amp;$A93,実績!$AL$6:$AL$505,"○")&gt;0,1,0))</f>
        <v>0</v>
      </c>
      <c r="E93" s="39" t="n">
        <f aca="false">IF(E$4=0,0,IF(COUNTIFS(実績!$W$6:$W$505,E$3,実績!$AI$6:$AI$505,"&lt;="&amp;$A93,実績!$AJ$6:$AJ$505,"&gt;"&amp;$A93,実績!$AL$6:$AL$505,"○")&gt;0,1,0))</f>
        <v>0</v>
      </c>
      <c r="F93" s="39" t="n">
        <f aca="false">IF(F$4=0,0,IF(COUNTIFS(実績!$W$6:$W$505,F$3,実績!$AI$6:$AI$505,"&lt;="&amp;$A93,実績!$AJ$6:$AJ$505,"&gt;"&amp;$A93,実績!$AL$6:$AL$505,"○")&gt;0,1,0))</f>
        <v>0</v>
      </c>
      <c r="G93" s="39" t="n">
        <f aca="false">IF(G$4=0,0,IF(COUNTIFS(実績!$W$6:$W$505,G$3,実績!$AI$6:$AI$505,"&lt;="&amp;$A93,実績!$AJ$6:$AJ$505,"&gt;"&amp;$A93,実績!$AL$6:$AL$505,"○")&gt;0,1,0))</f>
        <v>0</v>
      </c>
      <c r="H93" s="39" t="n">
        <f aca="false">IF(H$4=0,0,IF(COUNTIFS(実績!$W$6:$W$505,H$3,実績!$AI$6:$AI$505,"&lt;="&amp;$A93,実績!$AJ$6:$AJ$505,"&gt;"&amp;$A93,実績!$AL$6:$AL$505,"○")&gt;0,1,0))</f>
        <v>0</v>
      </c>
      <c r="I93" s="39" t="n">
        <f aca="false">IF(I$4=0,0,IF(COUNTIFS(実績!$W$6:$W$505,I$3,実績!$AI$6:$AI$505,"&lt;="&amp;$A93,実績!$AJ$6:$AJ$505,"&gt;"&amp;$A93,実績!$AL$6:$AL$505,"○")&gt;0,1,0))</f>
        <v>0</v>
      </c>
      <c r="J93" s="39" t="n">
        <f aca="false">IF(J$4=0,0,IF(COUNTIFS(実績!$W$6:$W$505,J$3,実績!$AI$6:$AI$505,"&lt;="&amp;$A93,実績!$AJ$6:$AJ$505,"&gt;"&amp;$A93,実績!$AL$6:$AL$505,"○")&gt;0,1,0))</f>
        <v>0</v>
      </c>
      <c r="K93" s="39" t="n">
        <f aca="false">IF(K$4=0,0,IF(COUNTIFS(実績!$W$6:$W$505,K$3,実績!$AI$6:$AI$505,"&lt;="&amp;$A93,実績!$AJ$6:$AJ$505,"&gt;"&amp;$A93,実績!$AL$6:$AL$505,"○")&gt;0,1,0))</f>
        <v>0</v>
      </c>
      <c r="L93" s="39" t="n">
        <f aca="false">IF(L$4=0,0,IF(COUNTIFS(実績!$W$6:$W$505,L$3,実績!$AI$6:$AI$505,"&lt;="&amp;$A93,実績!$AJ$6:$AJ$505,"&gt;"&amp;$A93,実績!$AL$6:$AL$505,"○")&gt;0,1,0))</f>
        <v>0</v>
      </c>
      <c r="M93" s="39" t="n">
        <f aca="false">IF(M$4=0,0,IF(COUNTIFS(実績!$W$6:$W$505,M$3,実績!$AI$6:$AI$505,"&lt;="&amp;$A93,実績!$AJ$6:$AJ$505,"&gt;"&amp;$A93,実績!$AL$6:$AL$505,"○")&gt;0,1,0))</f>
        <v>0</v>
      </c>
      <c r="N93" s="39" t="n">
        <f aca="false">IF(N$4=0,0,IF(COUNTIFS(実績!$W$6:$W$505,N$3,実績!$AI$6:$AI$505,"&lt;="&amp;$A93,実績!$AJ$6:$AJ$505,"&gt;"&amp;$A93,実績!$AL$6:$AL$505,"○")&gt;0,1,0))</f>
        <v>0</v>
      </c>
      <c r="O93" s="39" t="n">
        <f aca="false">IF(O$4=0,0,IF(COUNTIFS(実績!$W$6:$W$505,O$3,実績!$AI$6:$AI$505,"&lt;="&amp;$A93,実績!$AJ$6:$AJ$505,"&gt;"&amp;$A93,実績!$AL$6:$AL$505,"○")&gt;0,1,0))</f>
        <v>0</v>
      </c>
      <c r="P93" s="39" t="n">
        <f aca="false">IF(P$4=0,0,IF(COUNTIFS(実績!$W$6:$W$505,P$3,実績!$AI$6:$AI$505,"&lt;="&amp;$A93,実績!$AJ$6:$AJ$505,"&gt;"&amp;$A93,実績!$AL$6:$AL$505,"○")&gt;0,1,0))</f>
        <v>0</v>
      </c>
      <c r="Q93" s="39" t="n">
        <f aca="false">IF(Q$4=0,0,IF(COUNTIFS(実績!$W$6:$W$505,Q$3,実績!$AI$6:$AI$505,"&lt;="&amp;$A93,実績!$AJ$6:$AJ$505,"&gt;"&amp;$A93,実績!$AL$6:$AL$505,"○")&gt;0,1,0))</f>
        <v>0</v>
      </c>
      <c r="R93" s="39" t="n">
        <f aca="false">IF(R$4=0,0,IF(COUNTIFS(実績!$W$6:$W$505,R$3,実績!$AI$6:$AI$505,"&lt;="&amp;$A93,実績!$AJ$6:$AJ$505,"&gt;"&amp;$A93,実績!$AL$6:$AL$505,"○")&gt;0,1,0))</f>
        <v>0</v>
      </c>
      <c r="S93" s="39" t="n">
        <f aca="false">IF(S$4=0,0,IF(COUNTIFS(実績!$W$6:$W$505,S$3,実績!$AI$6:$AI$505,"&lt;="&amp;$A93,実績!$AJ$6:$AJ$505,"&gt;"&amp;$A93,実績!$AL$6:$AL$505,"○")&gt;0,1,0))</f>
        <v>0</v>
      </c>
      <c r="T93" s="39" t="n">
        <f aca="false">IF(T$4=0,0,IF(COUNTIFS(実績!$W$6:$W$505,T$3,実績!$AI$6:$AI$505,"&lt;="&amp;$A93,実績!$AJ$6:$AJ$505,"&gt;"&amp;$A93,実績!$AL$6:$AL$505,"○")&gt;0,1,0))</f>
        <v>0</v>
      </c>
      <c r="U93" s="39" t="n">
        <f aca="false">IF(U$4=0,0,IF(COUNTIFS(実績!$W$6:$W$505,U$3,実績!$AI$6:$AI$505,"&lt;="&amp;$A93,実績!$AJ$6:$AJ$505,"&gt;"&amp;$A93,実績!$AL$6:$AL$505,"○")&gt;0,1,0))</f>
        <v>0</v>
      </c>
      <c r="V93" s="39" t="n">
        <f aca="false">IF(V$4=0,0,IF(COUNTIFS(実績!$W$6:$W$505,V$3,実績!$AI$6:$AI$505,"&lt;="&amp;$A93,実績!$AJ$6:$AJ$505,"&gt;"&amp;$A93,実績!$AL$6:$AL$505,"○")&gt;0,1,0))</f>
        <v>0</v>
      </c>
      <c r="W93" s="39" t="n">
        <f aca="false">IF(W$4=0,0,IF(COUNTIFS(実績!$W$6:$W$505,W$3,実績!$AI$6:$AI$505,"&lt;="&amp;$A93,実績!$AJ$6:$AJ$505,"&gt;"&amp;$A93,実績!$AL$6:$AL$505,"○")&gt;0,1,0))</f>
        <v>0</v>
      </c>
      <c r="X93" s="39" t="n">
        <f aca="false">IF(X$4=0,0,IF(COUNTIFS(実績!$W$6:$W$505,X$3,実績!$AI$6:$AI$505,"&lt;="&amp;$A93,実績!$AJ$6:$AJ$505,"&gt;"&amp;$A93,実績!$AL$6:$AL$505,"○")&gt;0,1,0))</f>
        <v>0</v>
      </c>
      <c r="Y93" s="39" t="n">
        <f aca="false">IF(Y$4=0,0,IF(COUNTIFS(実績!$W$6:$W$505,Y$3,実績!$AI$6:$AI$505,"&lt;="&amp;$A93,実績!$AJ$6:$AJ$505,"&gt;"&amp;$A93,実績!$AL$6:$AL$505,"○")&gt;0,1,0))</f>
        <v>0</v>
      </c>
      <c r="Z93" s="39" t="n">
        <f aca="false">IF(Z$4=0,0,IF(COUNTIFS(実績!$W$6:$W$505,Z$3,実績!$AI$6:$AI$505,"&lt;="&amp;$A93,実績!$AJ$6:$AJ$505,"&gt;"&amp;$A93,実績!$AL$6:$AL$505,"○")&gt;0,1,0))</f>
        <v>0</v>
      </c>
      <c r="AA93" s="39" t="n">
        <f aca="false">IF(AA$4=0,0,IF(COUNTIFS(実績!$W$6:$W$505,AA$3,実績!$AI$6:$AI$505,"&lt;="&amp;$A93,実績!$AJ$6:$AJ$505,"&gt;"&amp;$A93,実績!$AL$6:$AL$505,"○")&gt;0,1,0))</f>
        <v>0</v>
      </c>
      <c r="AB93" s="39" t="n">
        <f aca="false">IF(AB$4=0,0,IF(COUNTIFS(実績!$W$6:$W$505,AB$3,実績!$AI$6:$AI$505,"&lt;="&amp;$A93,実績!$AJ$6:$AJ$505,"&gt;"&amp;$A93,実績!$AL$6:$AL$505,"○")&gt;0,1,0))</f>
        <v>0</v>
      </c>
      <c r="AC93" s="39" t="n">
        <f aca="false">IF(AC$4=0,0,IF(COUNTIFS(実績!$W$6:$W$505,AC$3,実績!$AI$6:$AI$505,"&lt;="&amp;$A93,実績!$AJ$6:$AJ$505,"&gt;"&amp;$A93,実績!$AL$6:$AL$505,"○")&gt;0,1,0))</f>
        <v>0</v>
      </c>
      <c r="AD93" s="39" t="n">
        <f aca="false">IF(AD$4=0,0,IF(COUNTIFS(実績!$W$6:$W$505,AD$3,実績!$AI$6:$AI$505,"&lt;="&amp;$A93,実績!$AJ$6:$AJ$505,"&gt;"&amp;$A93,実績!$AL$6:$AL$505,"○")&gt;0,1,0))</f>
        <v>0</v>
      </c>
      <c r="AE93" s="39" t="n">
        <f aca="false">IF(AE$4=0,0,IF(COUNTIFS(実績!$W$6:$W$505,AE$3,実績!$AI$6:$AI$505,"&lt;="&amp;$A93,実績!$AJ$6:$AJ$505,"&gt;"&amp;$A93,実績!$AL$6:$AL$505,"○")&gt;0,1,0))</f>
        <v>0</v>
      </c>
      <c r="AF93" s="39" t="n">
        <f aca="false">IF(AF$4=0,0,IF(COUNTIFS(実績!$W$6:$W$505,AF$3,実績!$AI$6:$AI$505,"&lt;="&amp;$A93,実績!$AJ$6:$AJ$505,"&gt;"&amp;$A93,実績!$AL$6:$AL$505,"○")&gt;0,1,0))</f>
        <v>0</v>
      </c>
      <c r="AG93" s="39" t="n">
        <f aca="false">IF(AG$4=0,0,IF(COUNTIFS(実績!$W$6:$W$505,AG$3,実績!$AI$6:$AI$505,"&lt;="&amp;$A93,実績!$AJ$6:$AJ$505,"&gt;"&amp;$A93,実績!$AL$6:$AL$505,"○")&gt;0,1,0))</f>
        <v>0</v>
      </c>
      <c r="AH93" s="39" t="n">
        <f aca="false">IF(AH$4=0,0,IF(COUNTIFS(実績!$W$6:$W$505,AH$3,実績!$AI$6:$AI$505,"&lt;="&amp;$A93,実績!$AJ$6:$AJ$505,"&gt;"&amp;$A93,実績!$AL$6:$AL$505,"○")&gt;0,1,0))</f>
        <v>0</v>
      </c>
      <c r="AI93" s="39" t="n">
        <f aca="false">IF(AI$4=0,0,IF(COUNTIFS(実績!$W$6:$W$505,AI$3,実績!$AI$6:$AI$505,"&lt;="&amp;$A93,実績!$AJ$6:$AJ$505,"&gt;"&amp;$A93,実績!$AL$6:$AL$505,"○")&gt;0,1,0))</f>
        <v>0</v>
      </c>
      <c r="AJ93" s="39" t="n">
        <f aca="false">IF(AJ$4=0,0,IF(COUNTIFS(実績!$W$6:$W$505,AJ$3,実績!$AI$6:$AI$505,"&lt;="&amp;$A93,実績!$AJ$6:$AJ$505,"&gt;"&amp;$A93,実績!$AL$6:$AL$505,"○")&gt;0,1,0))</f>
        <v>0</v>
      </c>
      <c r="AK93" s="39" t="n">
        <f aca="false">IF(AK$4=0,0,IF(COUNTIFS(実績!$W$6:$W$505,AK$3,実績!$AI$6:$AI$505,"&lt;="&amp;$A93,実績!$AJ$6:$AJ$505,"&gt;"&amp;$A93,実績!$AL$6:$AL$505,"○")&gt;0,1,0))</f>
        <v>0</v>
      </c>
      <c r="AL93" s="39" t="n">
        <f aca="false">IF(AL$4=0,0,IF(COUNTIFS(実績!$W$6:$W$505,AL$3,実績!$AI$6:$AI$505,"&lt;="&amp;$A93,実績!$AJ$6:$AJ$505,"&gt;"&amp;$A93,実績!$AL$6:$AL$505,"○")&gt;0,1,0))</f>
        <v>0</v>
      </c>
      <c r="AM93" s="39" t="n">
        <f aca="false">IF(AM$4=0,0,IF(COUNTIFS(実績!$W$6:$W$505,AM$3,実績!$AI$6:$AI$505,"&lt;="&amp;$A93,実績!$AJ$6:$AJ$505,"&gt;"&amp;$A93,実績!$AL$6:$AL$505,"○")&gt;0,1,0))</f>
        <v>0</v>
      </c>
      <c r="AN93" s="39" t="n">
        <f aca="false">IF(AN$4=0,0,IF(COUNTIFS(実績!$W$6:$W$505,AN$3,実績!$AI$6:$AI$505,"&lt;="&amp;$A93,実績!$AJ$6:$AJ$505,"&gt;"&amp;$A93,実績!$AL$6:$AL$505,"○")&gt;0,1,0))</f>
        <v>0</v>
      </c>
      <c r="AO93" s="39" t="n">
        <f aca="false">IF(AO$4=0,0,IF(COUNTIFS(実績!$W$6:$W$505,AO$3,実績!$AI$6:$AI$505,"&lt;="&amp;$A93,実績!$AJ$6:$AJ$505,"&gt;"&amp;$A93,実績!$AL$6:$AL$505,"○")&gt;0,1,0))</f>
        <v>0</v>
      </c>
      <c r="AP93" s="39" t="n">
        <f aca="false">IF(AP$4=0,0,IF(COUNTIFS(実績!$W$6:$W$505,AP$3,実績!$AI$6:$AI$505,"&lt;="&amp;$A93,実績!$AJ$6:$AJ$505,"&gt;"&amp;$A93,実績!$AL$6:$AL$505,"○")&gt;0,1,0))</f>
        <v>0</v>
      </c>
      <c r="AQ93" s="39" t="n">
        <f aca="false">IF(AQ$4=0,0,IF(COUNTIFS(実績!$W$6:$W$505,AQ$3,実績!$AI$6:$AI$505,"&lt;="&amp;$A93,実績!$AJ$6:$AJ$505,"&gt;"&amp;$A93,実績!$AL$6:$AL$505,"○")&gt;0,1,0))</f>
        <v>0</v>
      </c>
      <c r="AR93" s="39" t="n">
        <f aca="false">IF(AR$4=0,0,IF(COUNTIFS(実績!$W$6:$W$505,AR$3,実績!$AI$6:$AI$505,"&lt;="&amp;$A93,実績!$AJ$6:$AJ$505,"&gt;"&amp;$A93,実績!$AL$6:$AL$505,"○")&gt;0,1,0))</f>
        <v>0</v>
      </c>
      <c r="AS93" s="39" t="n">
        <f aca="false">IF(AS$4=0,0,IF(COUNTIFS(実績!$W$6:$W$505,AS$3,実績!$AI$6:$AI$505,"&lt;="&amp;$A93,実績!$AJ$6:$AJ$505,"&gt;"&amp;$A93,実績!$AL$6:$AL$505,"○")&gt;0,1,0))</f>
        <v>0</v>
      </c>
      <c r="AT93" s="39" t="n">
        <f aca="false">IF(AT$4=0,0,IF(COUNTIFS(実績!$W$6:$W$505,AT$3,実績!$AI$6:$AI$505,"&lt;="&amp;$A93,実績!$AJ$6:$AJ$505,"&gt;"&amp;$A93,実績!$AL$6:$AL$505,"○")&gt;0,1,0))</f>
        <v>0</v>
      </c>
      <c r="AU93" s="39" t="n">
        <f aca="false">IF(AU$4=0,0,IF(COUNTIFS(実績!$W$6:$W$505,AU$3,実績!$AI$6:$AI$505,"&lt;="&amp;$A93,実績!$AJ$6:$AJ$505,"&gt;"&amp;$A93,実績!$AL$6:$AL$505,"○")&gt;0,1,0))</f>
        <v>0</v>
      </c>
      <c r="AV93" s="39" t="n">
        <f aca="false">IF(AV$4=0,0,IF(COUNTIFS(実績!$W$6:$W$505,AV$3,実績!$AI$6:$AI$505,"&lt;="&amp;$A93,実績!$AJ$6:$AJ$505,"&gt;"&amp;$A93,実績!$AL$6:$AL$505,"○")&gt;0,1,0))</f>
        <v>0</v>
      </c>
      <c r="AW93" s="39" t="n">
        <f aca="false">IF(AW$4=0,0,IF(COUNTIFS(実績!$W$6:$W$505,AW$3,実績!$AI$6:$AI$505,"&lt;="&amp;$A93,実績!$AJ$6:$AJ$505,"&gt;"&amp;$A93,実績!$AL$6:$AL$505,"○")&gt;0,1,0))</f>
        <v>0</v>
      </c>
      <c r="AX93" s="39" t="n">
        <f aca="false">IF(AX$4=0,0,IF(COUNTIFS(実績!$W$6:$W$505,AX$3,実績!$AI$6:$AI$505,"&lt;="&amp;$A93,実績!$AJ$6:$AJ$505,"&gt;"&amp;$A93,実績!$AL$6:$AL$505,"○")&gt;0,1,0))</f>
        <v>0</v>
      </c>
      <c r="AY93" s="39" t="n">
        <f aca="false">IF(AY$4=0,0,IF(COUNTIFS(実績!$W$6:$W$505,AY$3,実績!$AI$6:$AI$505,"&lt;="&amp;$A93,実績!$AJ$6:$AJ$505,"&gt;"&amp;$A93,実績!$AL$6:$AL$505,"○")&gt;0,1,0))</f>
        <v>0</v>
      </c>
      <c r="AZ93" s="39" t="n">
        <f aca="false">IF(AZ$4=0,0,IF(COUNTIFS(実績!$W$6:$W$505,AZ$3,実績!$AI$6:$AI$505,"&lt;="&amp;$A93,実績!$AJ$6:$AJ$505,"&gt;"&amp;$A93,実績!$AL$6:$AL$505,"○")&gt;0,1,0))</f>
        <v>0</v>
      </c>
      <c r="BA93" s="39" t="n">
        <f aca="false">IF(BA$4=0,0,IF(COUNTIFS(実績!$W$6:$W$505,BA$3,実績!$AI$6:$AI$505,"&lt;="&amp;$A93,実績!$AJ$6:$AJ$505,"&gt;"&amp;$A93,実績!$AL$6:$AL$505,"○")&gt;0,1,0))</f>
        <v>0</v>
      </c>
      <c r="BB93" s="39" t="n">
        <f aca="false">IF(BB$4=0,0,IF(COUNTIFS(実績!$W$6:$W$505,BB$3,実績!$AI$6:$AI$505,"&lt;="&amp;$A93,実績!$AJ$6:$AJ$505,"&gt;"&amp;$A93,実績!$AL$6:$AL$505,"○")&gt;0,1,0))</f>
        <v>0</v>
      </c>
      <c r="BC93" s="39" t="n">
        <f aca="false">IF(BC$4=0,0,IF(COUNTIFS(実績!$W$6:$W$505,BC$3,実績!$AI$6:$AI$505,"&lt;="&amp;$A93,実績!$AJ$6:$AJ$505,"&gt;"&amp;$A93,実績!$AL$6:$AL$505,"○")&gt;0,1,0))</f>
        <v>0</v>
      </c>
      <c r="BD93" s="39" t="n">
        <f aca="false">IF(BD$4=0,0,IF(COUNTIFS(実績!$W$6:$W$505,BD$3,実績!$AI$6:$AI$505,"&lt;="&amp;$A93,実績!$AJ$6:$AJ$505,"&gt;"&amp;$A93,実績!$AL$6:$AL$505,"○")&gt;0,1,0))</f>
        <v>0</v>
      </c>
      <c r="BE93" s="39" t="n">
        <f aca="false">IF(BE$4=0,0,IF(COUNTIFS(実績!$W$6:$W$505,BE$3,実績!$AI$6:$AI$505,"&lt;="&amp;$A93,実績!$AJ$6:$AJ$505,"&gt;"&amp;$A93,実績!$AL$6:$AL$505,"○")&gt;0,1,0))</f>
        <v>0</v>
      </c>
      <c r="BF93" s="39" t="n">
        <f aca="false">IF(BF$4=0,0,IF(COUNTIFS(実績!$W$6:$W$505,BF$3,実績!$AI$6:$AI$505,"&lt;="&amp;$A93,実績!$AJ$6:$AJ$505,"&gt;"&amp;$A93,実績!$AL$6:$AL$505,"○")&gt;0,1,0))</f>
        <v>0</v>
      </c>
      <c r="BG93" s="39" t="n">
        <f aca="false">IF(BG$4=0,0,IF(COUNTIFS(実績!$W$6:$W$505,BG$3,実績!$AI$6:$AI$505,"&lt;="&amp;$A93,実績!$AJ$6:$AJ$505,"&gt;"&amp;$A93,実績!$AL$6:$AL$505,"○")&gt;0,1,0))</f>
        <v>0</v>
      </c>
      <c r="BH93" s="39" t="n">
        <f aca="false">IF(BH$4=0,0,IF(COUNTIFS(実績!$W$6:$W$505,BH$3,実績!$AI$6:$AI$505,"&lt;="&amp;$A93,実績!$AJ$6:$AJ$505,"&gt;"&amp;$A93,実績!$AL$6:$AL$505,"○")&gt;0,1,0))</f>
        <v>0</v>
      </c>
      <c r="BI93" s="39" t="n">
        <f aca="false">IF(BI$4=0,0,IF(COUNTIFS(実績!$W$6:$W$505,BI$3,実績!$AI$6:$AI$505,"&lt;="&amp;$A93,実績!$AJ$6:$AJ$505,"&gt;"&amp;$A93,実績!$AL$6:$AL$505,"○")&gt;0,1,0))</f>
        <v>0</v>
      </c>
      <c r="BJ93" s="39" t="n">
        <f aca="false">IF(BJ$4=0,0,IF(COUNTIFS(実績!$W$6:$W$505,BJ$3,実績!$AI$6:$AI$505,"&lt;="&amp;$A93,実績!$AJ$6:$AJ$505,"&gt;"&amp;$A93,実績!$AL$6:$AL$505,"○")&gt;0,1,0))</f>
        <v>0</v>
      </c>
      <c r="BK93" s="39" t="n">
        <f aca="false">IF(BK$4=0,0,IF(COUNTIFS(実績!$W$6:$W$505,BK$3,実績!$AI$6:$AI$505,"&lt;="&amp;$A93,実績!$AJ$6:$AJ$505,"&gt;"&amp;$A93,実績!$AL$6:$AL$505,"○")&gt;0,1,0))</f>
        <v>0</v>
      </c>
      <c r="BL93" s="39" t="n">
        <f aca="false">IF(BL$4=0,0,IF(COUNTIFS(実績!$W$6:$W$505,BL$3,実績!$AI$6:$AI$505,"&lt;="&amp;$A93,実績!$AJ$6:$AJ$505,"&gt;"&amp;$A93,実績!$AL$6:$AL$505,"○")&gt;0,1,0))</f>
        <v>0</v>
      </c>
      <c r="BM93" s="39" t="n">
        <f aca="false">IF(BM$4=0,0,IF(COUNTIFS(実績!$W$6:$W$505,BM$3,実績!$AI$6:$AI$505,"&lt;="&amp;$A93,実績!$AJ$6:$AJ$505,"&gt;"&amp;$A93,実績!$AL$6:$AL$505,"○")&gt;0,1,0))</f>
        <v>0</v>
      </c>
      <c r="BN93" s="39" t="n">
        <f aca="false">IF(BN$4=0,0,IF(COUNTIFS(実績!$W$6:$W$505,BN$3,実績!$AI$6:$AI$505,"&lt;="&amp;$A93,実績!$AJ$6:$AJ$505,"&gt;"&amp;$A93,実績!$AL$6:$AL$505,"○")&gt;0,1,0))</f>
        <v>0</v>
      </c>
      <c r="BO93" s="39" t="n">
        <f aca="false">IF(BO$4=0,0,IF(COUNTIFS(実績!$W$6:$W$505,BO$3,実績!$AI$6:$AI$505,"&lt;="&amp;$A93,実績!$AJ$6:$AJ$505,"&gt;"&amp;$A93,実績!$AL$6:$AL$505,"○")&gt;0,1,0))</f>
        <v>0</v>
      </c>
      <c r="BP93" s="39" t="n">
        <f aca="false">IF(BP$4=0,0,IF(COUNTIFS(実績!$W$6:$W$505,BP$3,実績!$AI$6:$AI$505,"&lt;="&amp;$A93,実績!$AJ$6:$AJ$505,"&gt;"&amp;$A93,実績!$AL$6:$AL$505,"○")&gt;0,1,0))</f>
        <v>0</v>
      </c>
      <c r="BQ93" s="39" t="n">
        <f aca="false">IF(BQ$4=0,0,IF(COUNTIFS(実績!$W$6:$W$505,BQ$3,実績!$AI$6:$AI$505,"&lt;="&amp;$A93,実績!$AJ$6:$AJ$505,"&gt;"&amp;$A93,実績!$AL$6:$AL$505,"○")&gt;0,1,0))</f>
        <v>0</v>
      </c>
      <c r="BR93" s="39" t="n">
        <f aca="false">IF(BR$4=0,0,IF(COUNTIFS(実績!$W$6:$W$505,BR$3,実績!$AI$6:$AI$505,"&lt;="&amp;$A93,実績!$AJ$6:$AJ$505,"&gt;"&amp;$A93,実績!$AL$6:$AL$505,"○")&gt;0,1,0))</f>
        <v>0</v>
      </c>
      <c r="BS93" s="39" t="n">
        <f aca="false">IF(BS$4=0,0,IF(COUNTIFS(実績!$W$6:$W$505,BS$3,実績!$AI$6:$AI$505,"&lt;="&amp;$A93,実績!$AJ$6:$AJ$505,"&gt;"&amp;$A93,実績!$AL$6:$AL$505,"○")&gt;0,1,0))</f>
        <v>0</v>
      </c>
      <c r="BT93" s="39" t="n">
        <f aca="false">IF(BT$4=0,0,IF(COUNTIFS(実績!$W$6:$W$505,BT$3,実績!$AI$6:$AI$505,"&lt;="&amp;$A93,実績!$AJ$6:$AJ$505,"&gt;"&amp;$A93,実績!$AL$6:$AL$505,"○")&gt;0,1,0))</f>
        <v>0</v>
      </c>
      <c r="BU93" s="39" t="n">
        <f aca="false">IF(BU$4=0,0,IF(COUNTIFS(実績!$W$6:$W$505,BU$3,実績!$AI$6:$AI$505,"&lt;="&amp;$A93,実績!$AJ$6:$AJ$505,"&gt;"&amp;$A93,実績!$AL$6:$AL$505,"○")&gt;0,1,0))</f>
        <v>0</v>
      </c>
      <c r="BV93" s="39" t="n">
        <f aca="false">IF(BV$4=0,0,IF(COUNTIFS(実績!$W$6:$W$505,BV$3,実績!$AI$6:$AI$505,"&lt;="&amp;$A93,実績!$AJ$6:$AJ$505,"&gt;"&amp;$A93,実績!$AL$6:$AL$505,"○")&gt;0,1,0))</f>
        <v>0</v>
      </c>
      <c r="BW93" s="39" t="n">
        <f aca="false">IF(BW$4=0,0,IF(COUNTIFS(実績!$W$6:$W$505,BW$3,実績!$AI$6:$AI$505,"&lt;="&amp;$A93,実績!$AJ$6:$AJ$505,"&gt;"&amp;$A93,実績!$AL$6:$AL$505,"○")&gt;0,1,0))</f>
        <v>0</v>
      </c>
      <c r="BX93" s="39" t="n">
        <f aca="false">IF(BX$4=0,0,IF(COUNTIFS(実績!$W$6:$W$505,BX$3,実績!$AI$6:$AI$505,"&lt;="&amp;$A93,実績!$AJ$6:$AJ$505,"&gt;"&amp;$A93,実績!$AL$6:$AL$505,"○")&gt;0,1,0))</f>
        <v>0</v>
      </c>
      <c r="BY93" s="39" t="n">
        <f aca="false">IF(BY$4=0,0,IF(COUNTIFS(実績!$W$6:$W$505,BY$3,実績!$AI$6:$AI$505,"&lt;="&amp;$A93,実績!$AJ$6:$AJ$505,"&gt;"&amp;$A93,実績!$AL$6:$AL$505,"○")&gt;0,1,0))</f>
        <v>0</v>
      </c>
      <c r="BZ93" s="39" t="n">
        <f aca="false">IF(BZ$4=0,0,IF(COUNTIFS(実績!$W$6:$W$505,BZ$3,実績!$AI$6:$AI$505,"&lt;="&amp;$A93,実績!$AJ$6:$AJ$505,"&gt;"&amp;$A93,実績!$AL$6:$AL$505,"○")&gt;0,1,0))</f>
        <v>0</v>
      </c>
      <c r="CA93" s="39" t="n">
        <f aca="false">IF(CA$4=0,0,IF(COUNTIFS(実績!$W$6:$W$505,CA$3,実績!$AI$6:$AI$505,"&lt;="&amp;$A93,実績!$AJ$6:$AJ$505,"&gt;"&amp;$A93,実績!$AL$6:$AL$505,"○")&gt;0,1,0))</f>
        <v>0</v>
      </c>
      <c r="CB93" s="39" t="n">
        <f aca="false">IF(CB$4=0,0,IF(COUNTIFS(実績!$W$6:$W$505,CB$3,実績!$AI$6:$AI$505,"&lt;="&amp;$A93,実績!$AJ$6:$AJ$505,"&gt;"&amp;$A93,実績!$AL$6:$AL$505,"○")&gt;0,1,0))</f>
        <v>0</v>
      </c>
      <c r="CC93" s="39" t="n">
        <f aca="false">IF(CC$4=0,0,IF(COUNTIFS(実績!$W$6:$W$505,CC$3,実績!$AI$6:$AI$505,"&lt;="&amp;$A93,実績!$AJ$6:$AJ$505,"&gt;"&amp;$A93,実績!$AL$6:$AL$505,"○")&gt;0,1,0))</f>
        <v>0</v>
      </c>
      <c r="CD93" s="39" t="n">
        <f aca="false">IF(CD$4=0,0,IF(COUNTIFS(実績!$W$6:$W$505,CD$3,実績!$AI$6:$AI$505,"&lt;="&amp;$A93,実績!$AJ$6:$AJ$505,"&gt;"&amp;$A93,実績!$AL$6:$AL$505,"○")&gt;0,1,0))</f>
        <v>0</v>
      </c>
      <c r="CE93" s="39" t="n">
        <f aca="false">IF(CE$4=0,0,IF(COUNTIFS(実績!$W$6:$W$505,CE$3,実績!$AI$6:$AI$505,"&lt;="&amp;$A93,実績!$AJ$6:$AJ$505,"&gt;"&amp;$A93,実績!$AL$6:$AL$505,"○")&gt;0,1,0))</f>
        <v>0</v>
      </c>
      <c r="CF93" s="39" t="n">
        <f aca="false">IF(CF$4=0,0,IF(COUNTIFS(実績!$W$6:$W$505,CF$3,実績!$AI$6:$AI$505,"&lt;="&amp;$A93,実績!$AJ$6:$AJ$505,"&gt;"&amp;$A93,実績!$AL$6:$AL$505,"○")&gt;0,1,0))</f>
        <v>0</v>
      </c>
      <c r="CG93" s="39" t="n">
        <f aca="false">IF(CG$4=0,0,IF(COUNTIFS(実績!$W$6:$W$505,CG$3,実績!$AI$6:$AI$505,"&lt;="&amp;$A93,実績!$AJ$6:$AJ$505,"&gt;"&amp;$A93,実績!$AL$6:$AL$505,"○")&gt;0,1,0))</f>
        <v>0</v>
      </c>
      <c r="CH93" s="39" t="n">
        <f aca="false">IF(CH$4=0,0,IF(COUNTIFS(実績!$W$6:$W$505,CH$3,実績!$AI$6:$AI$505,"&lt;="&amp;$A93,実績!$AJ$6:$AJ$505,"&gt;"&amp;$A93,実績!$AL$6:$AL$505,"○")&gt;0,1,0))</f>
        <v>0</v>
      </c>
      <c r="CI93" s="39" t="n">
        <f aca="false">IF(CI$4=0,0,IF(COUNTIFS(実績!$W$6:$W$505,CI$3,実績!$AI$6:$AI$505,"&lt;="&amp;$A93,実績!$AJ$6:$AJ$505,"&gt;"&amp;$A93,実績!$AL$6:$AL$505,"○")&gt;0,1,0))</f>
        <v>0</v>
      </c>
      <c r="CJ93" s="39" t="n">
        <f aca="false">IF(CJ$4=0,0,IF(COUNTIFS(実績!$W$6:$W$505,CJ$3,実績!$AI$6:$AI$505,"&lt;="&amp;$A93,実績!$AJ$6:$AJ$505,"&gt;"&amp;$A93,実績!$AL$6:$AL$505,"○")&gt;0,1,0))</f>
        <v>0</v>
      </c>
      <c r="CK93" s="39" t="n">
        <f aca="false">IF(CK$4=0,0,IF(COUNTIFS(実績!$W$6:$W$505,CK$3,実績!$AI$6:$AI$505,"&lt;="&amp;$A93,実績!$AJ$6:$AJ$505,"&gt;"&amp;$A93,実績!$AL$6:$AL$505,"○")&gt;0,1,0))</f>
        <v>0</v>
      </c>
      <c r="CL93" s="39" t="n">
        <f aca="false">IF(CL$4=0,0,IF(COUNTIFS(実績!$W$6:$W$505,CL$3,実績!$AI$6:$AI$505,"&lt;="&amp;$A93,実績!$AJ$6:$AJ$505,"&gt;"&amp;$A93,実績!$AL$6:$AL$505,"○")&gt;0,1,0))</f>
        <v>0</v>
      </c>
      <c r="CM93" s="39" t="n">
        <f aca="false">IF(CM$4=0,0,IF(COUNTIFS(実績!$W$6:$W$505,CM$3,実績!$AI$6:$AI$505,"&lt;="&amp;$A93,実績!$AJ$6:$AJ$505,"&gt;"&amp;$A93,実績!$AL$6:$AL$505,"○")&gt;0,1,0))</f>
        <v>0</v>
      </c>
      <c r="CN93" s="39" t="n">
        <f aca="false">IF(CN$4=0,0,IF(COUNTIFS(実績!$W$6:$W$505,CN$3,実績!$AI$6:$AI$505,"&lt;="&amp;$A93,実績!$AJ$6:$AJ$505,"&gt;"&amp;$A93,実績!$AL$6:$AL$505,"○")&gt;0,1,0))</f>
        <v>0</v>
      </c>
      <c r="CO93" s="39" t="n">
        <f aca="false">IF(CO$4=0,0,IF(COUNTIFS(実績!$W$6:$W$505,CO$3,実績!$AI$6:$AI$505,"&lt;="&amp;$A93,実績!$AJ$6:$AJ$505,"&gt;"&amp;$A93,実績!$AL$6:$AL$505,"○")&gt;0,1,0))</f>
        <v>0</v>
      </c>
      <c r="CP93" s="39" t="n">
        <f aca="false">IF(CP$4=0,0,IF(COUNTIFS(実績!$W$6:$W$505,CP$3,実績!$AI$6:$AI$505,"&lt;="&amp;$A93,実績!$AJ$6:$AJ$505,"&gt;"&amp;$A93,実績!$AL$6:$AL$505,"○")&gt;0,1,0))</f>
        <v>0</v>
      </c>
      <c r="CQ93" s="39" t="n">
        <f aca="false">IF(CQ$4=0,0,IF(COUNTIFS(実績!$W$6:$W$505,CQ$3,実績!$AI$6:$AI$505,"&lt;="&amp;$A93,実績!$AJ$6:$AJ$505,"&gt;"&amp;$A93,実績!$AL$6:$AL$505,"○")&gt;0,1,0))</f>
        <v>0</v>
      </c>
      <c r="CR93" s="39" t="n">
        <f aca="false">IF(CR$4=0,0,IF(COUNTIFS(実績!$W$6:$W$505,CR$3,実績!$AI$6:$AI$505,"&lt;="&amp;$A93,実績!$AJ$6:$AJ$505,"&gt;"&amp;$A93,実績!$AL$6:$AL$505,"○")&gt;0,1,0))</f>
        <v>0</v>
      </c>
      <c r="CS93" s="39" t="n">
        <f aca="false">IF(CS$4=0,0,IF(COUNTIFS(実績!$W$6:$W$505,CS$3,実績!$AI$6:$AI$505,"&lt;="&amp;$A93,実績!$AJ$6:$AJ$505,"&gt;"&amp;$A93,実績!$AL$6:$AL$505,"○")&gt;0,1,0))</f>
        <v>0</v>
      </c>
      <c r="CT93" s="39" t="n">
        <f aca="false">IF(CT$4=0,0,IF(COUNTIFS(実績!$W$6:$W$505,CT$3,実績!$AI$6:$AI$505,"&lt;="&amp;$A93,実績!$AJ$6:$AJ$505,"&gt;"&amp;$A93,実績!$AL$6:$AL$505,"○")&gt;0,1,0))</f>
        <v>0</v>
      </c>
      <c r="CU93" s="39" t="n">
        <f aca="false">IF(CU$4=0,0,IF(COUNTIFS(実績!$W$6:$W$505,CU$3,実績!$AI$6:$AI$505,"&lt;="&amp;$A93,実績!$AJ$6:$AJ$505,"&gt;"&amp;$A93,実績!$AL$6:$AL$505,"○")&gt;0,1,0))</f>
        <v>0</v>
      </c>
      <c r="CV93" s="39" t="n">
        <f aca="false">IF(CV$4=0,0,IF(COUNTIFS(実績!$W$6:$W$505,CV$3,実績!$AI$6:$AI$505,"&lt;="&amp;$A93,実績!$AJ$6:$AJ$505,"&gt;"&amp;$A93,実績!$AL$6:$AL$505,"○")&gt;0,1,0))</f>
        <v>0</v>
      </c>
      <c r="CW93" s="39" t="n">
        <f aca="false">IF(CW$4=0,0,IF(COUNTIFS(実績!$W$6:$W$505,CW$3,実績!$AI$6:$AI$505,"&lt;="&amp;$A93,実績!$AJ$6:$AJ$505,"&gt;"&amp;$A93,実績!$AL$6:$AL$505,"○")&gt;0,1,0))</f>
        <v>0</v>
      </c>
      <c r="CX93" s="39" t="n">
        <f aca="false">IF(CX$4=0,0,IF(COUNTIFS(実績!$W$6:$W$505,CX$3,実績!$AI$6:$AI$505,"&lt;="&amp;$A93,実績!$AJ$6:$AJ$505,"&gt;"&amp;$A93,実績!$AL$6:$AL$505,"○")&gt;0,1,0))</f>
        <v>0</v>
      </c>
      <c r="CY93" s="39" t="n">
        <f aca="false">IF(CY$4=0,0,IF(COUNTIFS(実績!$W$6:$W$505,CY$3,実績!$AI$6:$AI$505,"&lt;="&amp;$A93,実績!$AJ$6:$AJ$505,"&gt;"&amp;$A93,実績!$AL$6:$AL$505,"○")&gt;0,1,0))</f>
        <v>0</v>
      </c>
      <c r="CZ93" s="39" t="n">
        <f aca="false">IF(CZ$4=0,0,IF(COUNTIFS(実績!$W$6:$W$505,CZ$3,実績!$AI$6:$AI$505,"&lt;="&amp;$A93,実績!$AJ$6:$AJ$505,"&gt;"&amp;$A93,実績!$AL$6:$AL$505,"○")&gt;0,1,0))</f>
        <v>0</v>
      </c>
      <c r="DA93" s="39" t="n">
        <f aca="false">IF(DA$4=0,0,IF(COUNTIFS(実績!$W$6:$W$505,DA$3,実績!$AI$6:$AI$505,"&lt;="&amp;$A93,実績!$AJ$6:$AJ$505,"&gt;"&amp;$A93,実績!$AL$6:$AL$505,"○")&gt;0,1,0))</f>
        <v>0</v>
      </c>
      <c r="DB93" s="39" t="n">
        <f aca="false">IF(DB$4=0,0,IF(COUNTIFS(実績!$W$6:$W$505,DB$3,実績!$AI$6:$AI$505,"&lt;="&amp;$A93,実績!$AJ$6:$AJ$505,"&gt;"&amp;$A93,実績!$AL$6:$AL$505,"○")&gt;0,1,0))</f>
        <v>0</v>
      </c>
      <c r="DC93" s="39" t="n">
        <f aca="false">IF(DC$4=0,0,IF(COUNTIFS(実績!$W$6:$W$505,DC$3,実績!$AI$6:$AI$505,"&lt;="&amp;$A93,実績!$AJ$6:$AJ$505,"&gt;"&amp;$A93,実績!$AL$6:$AL$505,"○")&gt;0,1,0))</f>
        <v>0</v>
      </c>
      <c r="DD93" s="39" t="n">
        <f aca="false">IF(DD$4=0,0,IF(COUNTIFS(実績!$W$6:$W$505,DD$3,実績!$AI$6:$AI$505,"&lt;="&amp;$A93,実績!$AJ$6:$AJ$505,"&gt;"&amp;$A93,実績!$AL$6:$AL$505,"○")&gt;0,1,0))</f>
        <v>0</v>
      </c>
      <c r="DE93" s="39" t="n">
        <f aca="false">IF(DE$4=0,0,IF(COUNTIFS(実績!$W$6:$W$505,DE$3,実績!$AI$6:$AI$505,"&lt;="&amp;$A93,実績!$AJ$6:$AJ$505,"&gt;"&amp;$A93,実績!$AL$6:$AL$505,"○")&gt;0,1,0))</f>
        <v>0</v>
      </c>
      <c r="DF93" s="39" t="n">
        <f aca="false">IF(DF$4=0,0,IF(COUNTIFS(実績!$W$6:$W$505,DF$3,実績!$AI$6:$AI$505,"&lt;="&amp;$A93,実績!$AJ$6:$AJ$505,"&gt;"&amp;$A93,実績!$AL$6:$AL$505,"○")&gt;0,1,0))</f>
        <v>0</v>
      </c>
      <c r="DG93" s="39" t="n">
        <f aca="false">IF(DG$4=0,0,IF(COUNTIFS(実績!$W$6:$W$505,DG$3,実績!$AI$6:$AI$505,"&lt;="&amp;$A93,実績!$AJ$6:$AJ$505,"&gt;"&amp;$A93,実績!$AL$6:$AL$505,"○")&gt;0,1,0))</f>
        <v>0</v>
      </c>
      <c r="DH93" s="39" t="n">
        <f aca="false">IF(DH$4=0,0,IF(COUNTIFS(実績!$W$6:$W$505,DH$3,実績!$AI$6:$AI$505,"&lt;="&amp;$A93,実績!$AJ$6:$AJ$505,"&gt;"&amp;$A93,実績!$AL$6:$AL$505,"○")&gt;0,1,0))</f>
        <v>0</v>
      </c>
      <c r="DI93" s="39" t="n">
        <f aca="false">IF(DI$4=0,0,IF(COUNTIFS(実績!$W$6:$W$505,DI$3,実績!$AI$6:$AI$505,"&lt;="&amp;$A93,実績!$AJ$6:$AJ$505,"&gt;"&amp;$A93,実績!$AL$6:$AL$505,"○")&gt;0,1,0))</f>
        <v>0</v>
      </c>
      <c r="DJ93" s="39" t="n">
        <f aca="false">IF(DJ$4=0,0,IF(COUNTIFS(実績!$W$6:$W$505,DJ$3,実績!$AI$6:$AI$505,"&lt;="&amp;$A93,実績!$AJ$6:$AJ$505,"&gt;"&amp;$A93,実績!$AL$6:$AL$505,"○")&gt;0,1,0))</f>
        <v>0</v>
      </c>
      <c r="DK93" s="39" t="n">
        <f aca="false">IF(DK$4=0,0,IF(COUNTIFS(実績!$W$6:$W$505,DK$3,実績!$AI$6:$AI$505,"&lt;="&amp;$A93,実績!$AJ$6:$AJ$505,"&gt;"&amp;$A93,実績!$AL$6:$AL$505,"○")&gt;0,1,0))</f>
        <v>0</v>
      </c>
      <c r="DL93" s="39" t="n">
        <f aca="false">IF(DL$4=0,0,IF(COUNTIFS(実績!$W$6:$W$505,DL$3,実績!$AI$6:$AI$505,"&lt;="&amp;$A93,実績!$AJ$6:$AJ$505,"&gt;"&amp;$A93,実績!$AL$6:$AL$505,"○")&gt;0,1,0))</f>
        <v>0</v>
      </c>
      <c r="DM93" s="39" t="n">
        <f aca="false">IF(DM$4=0,0,IF(COUNTIFS(実績!$W$6:$W$505,DM$3,実績!$AI$6:$AI$505,"&lt;="&amp;$A93,実績!$AJ$6:$AJ$505,"&gt;"&amp;$A93,実績!$AL$6:$AL$505,"○")&gt;0,1,0))</f>
        <v>0</v>
      </c>
      <c r="DN93" s="39" t="n">
        <f aca="false">IF(DN$4=0,0,IF(COUNTIFS(実績!$W$6:$W$505,DN$3,実績!$AI$6:$AI$505,"&lt;="&amp;$A93,実績!$AJ$6:$AJ$505,"&gt;"&amp;$A93,実績!$AL$6:$AL$505,"○")&gt;0,1,0))</f>
        <v>0</v>
      </c>
      <c r="DO93" s="39" t="n">
        <f aca="false">IF(DO$4=0,0,IF(COUNTIFS(実績!$W$6:$W$505,DO$3,実績!$AI$6:$AI$505,"&lt;="&amp;$A93,実績!$AJ$6:$AJ$505,"&gt;"&amp;$A93,実績!$AL$6:$AL$505,"○")&gt;0,1,0))</f>
        <v>0</v>
      </c>
      <c r="DP93" s="39" t="n">
        <f aca="false">IF(DP$4=0,0,IF(COUNTIFS(実績!$W$6:$W$505,DP$3,実績!$AI$6:$AI$505,"&lt;="&amp;$A93,実績!$AJ$6:$AJ$505,"&gt;"&amp;$A93,実績!$AL$6:$AL$505,"○")&gt;0,1,0))</f>
        <v>0</v>
      </c>
      <c r="DQ93" s="39" t="n">
        <f aca="false">IF(DQ$4=0,0,IF(COUNTIFS(実績!$W$6:$W$505,DQ$3,実績!$AI$6:$AI$505,"&lt;="&amp;$A93,実績!$AJ$6:$AJ$505,"&gt;"&amp;$A93,実績!$AL$6:$AL$505,"○")&gt;0,1,0))</f>
        <v>0</v>
      </c>
      <c r="DR93" s="39" t="n">
        <f aca="false">IF(DR$4=0,0,IF(COUNTIFS(実績!$W$6:$W$505,DR$3,実績!$AI$6:$AI$505,"&lt;="&amp;$A93,実績!$AJ$6:$AJ$505,"&gt;"&amp;$A93,実績!$AL$6:$AL$505,"○")&gt;0,1,0))</f>
        <v>0</v>
      </c>
      <c r="DS93" s="39" t="n">
        <f aca="false">SUM(C93:DR93)</f>
        <v>0</v>
      </c>
    </row>
    <row r="94" customFormat="false" ht="15" hidden="false" customHeight="false" outlineLevel="0" collapsed="false">
      <c r="A94" s="0" t="n">
        <v>440</v>
      </c>
      <c r="B94" s="38" t="n">
        <f aca="false">A94/1440</f>
        <v>0.305555555555556</v>
      </c>
      <c r="C94" s="39" t="n">
        <f aca="false">IF(C$4=0,0,IF(COUNTIFS(実績!$W$6:$W$505,C$3,実績!$AI$6:$AI$505,"&lt;="&amp;$A94,実績!$AJ$6:$AJ$505,"&gt;"&amp;$A94,実績!$AL$6:$AL$505,"○")&gt;0,1,0))</f>
        <v>0</v>
      </c>
      <c r="D94" s="39" t="n">
        <f aca="false">IF(D$4=0,0,IF(COUNTIFS(実績!$W$6:$W$505,D$3,実績!$AI$6:$AI$505,"&lt;="&amp;$A94,実績!$AJ$6:$AJ$505,"&gt;"&amp;$A94,実績!$AL$6:$AL$505,"○")&gt;0,1,0))</f>
        <v>0</v>
      </c>
      <c r="E94" s="39" t="n">
        <f aca="false">IF(E$4=0,0,IF(COUNTIFS(実績!$W$6:$W$505,E$3,実績!$AI$6:$AI$505,"&lt;="&amp;$A94,実績!$AJ$6:$AJ$505,"&gt;"&amp;$A94,実績!$AL$6:$AL$505,"○")&gt;0,1,0))</f>
        <v>0</v>
      </c>
      <c r="F94" s="39" t="n">
        <f aca="false">IF(F$4=0,0,IF(COUNTIFS(実績!$W$6:$W$505,F$3,実績!$AI$6:$AI$505,"&lt;="&amp;$A94,実績!$AJ$6:$AJ$505,"&gt;"&amp;$A94,実績!$AL$6:$AL$505,"○")&gt;0,1,0))</f>
        <v>0</v>
      </c>
      <c r="G94" s="39" t="n">
        <f aca="false">IF(G$4=0,0,IF(COUNTIFS(実績!$W$6:$W$505,G$3,実績!$AI$6:$AI$505,"&lt;="&amp;$A94,実績!$AJ$6:$AJ$505,"&gt;"&amp;$A94,実績!$AL$6:$AL$505,"○")&gt;0,1,0))</f>
        <v>0</v>
      </c>
      <c r="H94" s="39" t="n">
        <f aca="false">IF(H$4=0,0,IF(COUNTIFS(実績!$W$6:$W$505,H$3,実績!$AI$6:$AI$505,"&lt;="&amp;$A94,実績!$AJ$6:$AJ$505,"&gt;"&amp;$A94,実績!$AL$6:$AL$505,"○")&gt;0,1,0))</f>
        <v>0</v>
      </c>
      <c r="I94" s="39" t="n">
        <f aca="false">IF(I$4=0,0,IF(COUNTIFS(実績!$W$6:$W$505,I$3,実績!$AI$6:$AI$505,"&lt;="&amp;$A94,実績!$AJ$6:$AJ$505,"&gt;"&amp;$A94,実績!$AL$6:$AL$505,"○")&gt;0,1,0))</f>
        <v>0</v>
      </c>
      <c r="J94" s="39" t="n">
        <f aca="false">IF(J$4=0,0,IF(COUNTIFS(実績!$W$6:$W$505,J$3,実績!$AI$6:$AI$505,"&lt;="&amp;$A94,実績!$AJ$6:$AJ$505,"&gt;"&amp;$A94,実績!$AL$6:$AL$505,"○")&gt;0,1,0))</f>
        <v>0</v>
      </c>
      <c r="K94" s="39" t="n">
        <f aca="false">IF(K$4=0,0,IF(COUNTIFS(実績!$W$6:$W$505,K$3,実績!$AI$6:$AI$505,"&lt;="&amp;$A94,実績!$AJ$6:$AJ$505,"&gt;"&amp;$A94,実績!$AL$6:$AL$505,"○")&gt;0,1,0))</f>
        <v>0</v>
      </c>
      <c r="L94" s="39" t="n">
        <f aca="false">IF(L$4=0,0,IF(COUNTIFS(実績!$W$6:$W$505,L$3,実績!$AI$6:$AI$505,"&lt;="&amp;$A94,実績!$AJ$6:$AJ$505,"&gt;"&amp;$A94,実績!$AL$6:$AL$505,"○")&gt;0,1,0))</f>
        <v>0</v>
      </c>
      <c r="M94" s="39" t="n">
        <f aca="false">IF(M$4=0,0,IF(COUNTIFS(実績!$W$6:$W$505,M$3,実績!$AI$6:$AI$505,"&lt;="&amp;$A94,実績!$AJ$6:$AJ$505,"&gt;"&amp;$A94,実績!$AL$6:$AL$505,"○")&gt;0,1,0))</f>
        <v>0</v>
      </c>
      <c r="N94" s="39" t="n">
        <f aca="false">IF(N$4=0,0,IF(COUNTIFS(実績!$W$6:$W$505,N$3,実績!$AI$6:$AI$505,"&lt;="&amp;$A94,実績!$AJ$6:$AJ$505,"&gt;"&amp;$A94,実績!$AL$6:$AL$505,"○")&gt;0,1,0))</f>
        <v>0</v>
      </c>
      <c r="O94" s="39" t="n">
        <f aca="false">IF(O$4=0,0,IF(COUNTIFS(実績!$W$6:$W$505,O$3,実績!$AI$6:$AI$505,"&lt;="&amp;$A94,実績!$AJ$6:$AJ$505,"&gt;"&amp;$A94,実績!$AL$6:$AL$505,"○")&gt;0,1,0))</f>
        <v>0</v>
      </c>
      <c r="P94" s="39" t="n">
        <f aca="false">IF(P$4=0,0,IF(COUNTIFS(実績!$W$6:$W$505,P$3,実績!$AI$6:$AI$505,"&lt;="&amp;$A94,実績!$AJ$6:$AJ$505,"&gt;"&amp;$A94,実績!$AL$6:$AL$505,"○")&gt;0,1,0))</f>
        <v>0</v>
      </c>
      <c r="Q94" s="39" t="n">
        <f aca="false">IF(Q$4=0,0,IF(COUNTIFS(実績!$W$6:$W$505,Q$3,実績!$AI$6:$AI$505,"&lt;="&amp;$A94,実績!$AJ$6:$AJ$505,"&gt;"&amp;$A94,実績!$AL$6:$AL$505,"○")&gt;0,1,0))</f>
        <v>0</v>
      </c>
      <c r="R94" s="39" t="n">
        <f aca="false">IF(R$4=0,0,IF(COUNTIFS(実績!$W$6:$W$505,R$3,実績!$AI$6:$AI$505,"&lt;="&amp;$A94,実績!$AJ$6:$AJ$505,"&gt;"&amp;$A94,実績!$AL$6:$AL$505,"○")&gt;0,1,0))</f>
        <v>0</v>
      </c>
      <c r="S94" s="39" t="n">
        <f aca="false">IF(S$4=0,0,IF(COUNTIFS(実績!$W$6:$W$505,S$3,実績!$AI$6:$AI$505,"&lt;="&amp;$A94,実績!$AJ$6:$AJ$505,"&gt;"&amp;$A94,実績!$AL$6:$AL$505,"○")&gt;0,1,0))</f>
        <v>0</v>
      </c>
      <c r="T94" s="39" t="n">
        <f aca="false">IF(T$4=0,0,IF(COUNTIFS(実績!$W$6:$W$505,T$3,実績!$AI$6:$AI$505,"&lt;="&amp;$A94,実績!$AJ$6:$AJ$505,"&gt;"&amp;$A94,実績!$AL$6:$AL$505,"○")&gt;0,1,0))</f>
        <v>0</v>
      </c>
      <c r="U94" s="39" t="n">
        <f aca="false">IF(U$4=0,0,IF(COUNTIFS(実績!$W$6:$W$505,U$3,実績!$AI$6:$AI$505,"&lt;="&amp;$A94,実績!$AJ$6:$AJ$505,"&gt;"&amp;$A94,実績!$AL$6:$AL$505,"○")&gt;0,1,0))</f>
        <v>0</v>
      </c>
      <c r="V94" s="39" t="n">
        <f aca="false">IF(V$4=0,0,IF(COUNTIFS(実績!$W$6:$W$505,V$3,実績!$AI$6:$AI$505,"&lt;="&amp;$A94,実績!$AJ$6:$AJ$505,"&gt;"&amp;$A94,実績!$AL$6:$AL$505,"○")&gt;0,1,0))</f>
        <v>0</v>
      </c>
      <c r="W94" s="39" t="n">
        <f aca="false">IF(W$4=0,0,IF(COUNTIFS(実績!$W$6:$W$505,W$3,実績!$AI$6:$AI$505,"&lt;="&amp;$A94,実績!$AJ$6:$AJ$505,"&gt;"&amp;$A94,実績!$AL$6:$AL$505,"○")&gt;0,1,0))</f>
        <v>0</v>
      </c>
      <c r="X94" s="39" t="n">
        <f aca="false">IF(X$4=0,0,IF(COUNTIFS(実績!$W$6:$W$505,X$3,実績!$AI$6:$AI$505,"&lt;="&amp;$A94,実績!$AJ$6:$AJ$505,"&gt;"&amp;$A94,実績!$AL$6:$AL$505,"○")&gt;0,1,0))</f>
        <v>0</v>
      </c>
      <c r="Y94" s="39" t="n">
        <f aca="false">IF(Y$4=0,0,IF(COUNTIFS(実績!$W$6:$W$505,Y$3,実績!$AI$6:$AI$505,"&lt;="&amp;$A94,実績!$AJ$6:$AJ$505,"&gt;"&amp;$A94,実績!$AL$6:$AL$505,"○")&gt;0,1,0))</f>
        <v>0</v>
      </c>
      <c r="Z94" s="39" t="n">
        <f aca="false">IF(Z$4=0,0,IF(COUNTIFS(実績!$W$6:$W$505,Z$3,実績!$AI$6:$AI$505,"&lt;="&amp;$A94,実績!$AJ$6:$AJ$505,"&gt;"&amp;$A94,実績!$AL$6:$AL$505,"○")&gt;0,1,0))</f>
        <v>0</v>
      </c>
      <c r="AA94" s="39" t="n">
        <f aca="false">IF(AA$4=0,0,IF(COUNTIFS(実績!$W$6:$W$505,AA$3,実績!$AI$6:$AI$505,"&lt;="&amp;$A94,実績!$AJ$6:$AJ$505,"&gt;"&amp;$A94,実績!$AL$6:$AL$505,"○")&gt;0,1,0))</f>
        <v>0</v>
      </c>
      <c r="AB94" s="39" t="n">
        <f aca="false">IF(AB$4=0,0,IF(COUNTIFS(実績!$W$6:$W$505,AB$3,実績!$AI$6:$AI$505,"&lt;="&amp;$A94,実績!$AJ$6:$AJ$505,"&gt;"&amp;$A94,実績!$AL$6:$AL$505,"○")&gt;0,1,0))</f>
        <v>0</v>
      </c>
      <c r="AC94" s="39" t="n">
        <f aca="false">IF(AC$4=0,0,IF(COUNTIFS(実績!$W$6:$W$505,AC$3,実績!$AI$6:$AI$505,"&lt;="&amp;$A94,実績!$AJ$6:$AJ$505,"&gt;"&amp;$A94,実績!$AL$6:$AL$505,"○")&gt;0,1,0))</f>
        <v>0</v>
      </c>
      <c r="AD94" s="39" t="n">
        <f aca="false">IF(AD$4=0,0,IF(COUNTIFS(実績!$W$6:$W$505,AD$3,実績!$AI$6:$AI$505,"&lt;="&amp;$A94,実績!$AJ$6:$AJ$505,"&gt;"&amp;$A94,実績!$AL$6:$AL$505,"○")&gt;0,1,0))</f>
        <v>0</v>
      </c>
      <c r="AE94" s="39" t="n">
        <f aca="false">IF(AE$4=0,0,IF(COUNTIFS(実績!$W$6:$W$505,AE$3,実績!$AI$6:$AI$505,"&lt;="&amp;$A94,実績!$AJ$6:$AJ$505,"&gt;"&amp;$A94,実績!$AL$6:$AL$505,"○")&gt;0,1,0))</f>
        <v>0</v>
      </c>
      <c r="AF94" s="39" t="n">
        <f aca="false">IF(AF$4=0,0,IF(COUNTIFS(実績!$W$6:$W$505,AF$3,実績!$AI$6:$AI$505,"&lt;="&amp;$A94,実績!$AJ$6:$AJ$505,"&gt;"&amp;$A94,実績!$AL$6:$AL$505,"○")&gt;0,1,0))</f>
        <v>0</v>
      </c>
      <c r="AG94" s="39" t="n">
        <f aca="false">IF(AG$4=0,0,IF(COUNTIFS(実績!$W$6:$W$505,AG$3,実績!$AI$6:$AI$505,"&lt;="&amp;$A94,実績!$AJ$6:$AJ$505,"&gt;"&amp;$A94,実績!$AL$6:$AL$505,"○")&gt;0,1,0))</f>
        <v>0</v>
      </c>
      <c r="AH94" s="39" t="n">
        <f aca="false">IF(AH$4=0,0,IF(COUNTIFS(実績!$W$6:$W$505,AH$3,実績!$AI$6:$AI$505,"&lt;="&amp;$A94,実績!$AJ$6:$AJ$505,"&gt;"&amp;$A94,実績!$AL$6:$AL$505,"○")&gt;0,1,0))</f>
        <v>0</v>
      </c>
      <c r="AI94" s="39" t="n">
        <f aca="false">IF(AI$4=0,0,IF(COUNTIFS(実績!$W$6:$W$505,AI$3,実績!$AI$6:$AI$505,"&lt;="&amp;$A94,実績!$AJ$6:$AJ$505,"&gt;"&amp;$A94,実績!$AL$6:$AL$505,"○")&gt;0,1,0))</f>
        <v>0</v>
      </c>
      <c r="AJ94" s="39" t="n">
        <f aca="false">IF(AJ$4=0,0,IF(COUNTIFS(実績!$W$6:$W$505,AJ$3,実績!$AI$6:$AI$505,"&lt;="&amp;$A94,実績!$AJ$6:$AJ$505,"&gt;"&amp;$A94,実績!$AL$6:$AL$505,"○")&gt;0,1,0))</f>
        <v>0</v>
      </c>
      <c r="AK94" s="39" t="n">
        <f aca="false">IF(AK$4=0,0,IF(COUNTIFS(実績!$W$6:$W$505,AK$3,実績!$AI$6:$AI$505,"&lt;="&amp;$A94,実績!$AJ$6:$AJ$505,"&gt;"&amp;$A94,実績!$AL$6:$AL$505,"○")&gt;0,1,0))</f>
        <v>0</v>
      </c>
      <c r="AL94" s="39" t="n">
        <f aca="false">IF(AL$4=0,0,IF(COUNTIFS(実績!$W$6:$W$505,AL$3,実績!$AI$6:$AI$505,"&lt;="&amp;$A94,実績!$AJ$6:$AJ$505,"&gt;"&amp;$A94,実績!$AL$6:$AL$505,"○")&gt;0,1,0))</f>
        <v>0</v>
      </c>
      <c r="AM94" s="39" t="n">
        <f aca="false">IF(AM$4=0,0,IF(COUNTIFS(実績!$W$6:$W$505,AM$3,実績!$AI$6:$AI$505,"&lt;="&amp;$A94,実績!$AJ$6:$AJ$505,"&gt;"&amp;$A94,実績!$AL$6:$AL$505,"○")&gt;0,1,0))</f>
        <v>0</v>
      </c>
      <c r="AN94" s="39" t="n">
        <f aca="false">IF(AN$4=0,0,IF(COUNTIFS(実績!$W$6:$W$505,AN$3,実績!$AI$6:$AI$505,"&lt;="&amp;$A94,実績!$AJ$6:$AJ$505,"&gt;"&amp;$A94,実績!$AL$6:$AL$505,"○")&gt;0,1,0))</f>
        <v>0</v>
      </c>
      <c r="AO94" s="39" t="n">
        <f aca="false">IF(AO$4=0,0,IF(COUNTIFS(実績!$W$6:$W$505,AO$3,実績!$AI$6:$AI$505,"&lt;="&amp;$A94,実績!$AJ$6:$AJ$505,"&gt;"&amp;$A94,実績!$AL$6:$AL$505,"○")&gt;0,1,0))</f>
        <v>0</v>
      </c>
      <c r="AP94" s="39" t="n">
        <f aca="false">IF(AP$4=0,0,IF(COUNTIFS(実績!$W$6:$W$505,AP$3,実績!$AI$6:$AI$505,"&lt;="&amp;$A94,実績!$AJ$6:$AJ$505,"&gt;"&amp;$A94,実績!$AL$6:$AL$505,"○")&gt;0,1,0))</f>
        <v>0</v>
      </c>
      <c r="AQ94" s="39" t="n">
        <f aca="false">IF(AQ$4=0,0,IF(COUNTIFS(実績!$W$6:$W$505,AQ$3,実績!$AI$6:$AI$505,"&lt;="&amp;$A94,実績!$AJ$6:$AJ$505,"&gt;"&amp;$A94,実績!$AL$6:$AL$505,"○")&gt;0,1,0))</f>
        <v>0</v>
      </c>
      <c r="AR94" s="39" t="n">
        <f aca="false">IF(AR$4=0,0,IF(COUNTIFS(実績!$W$6:$W$505,AR$3,実績!$AI$6:$AI$505,"&lt;="&amp;$A94,実績!$AJ$6:$AJ$505,"&gt;"&amp;$A94,実績!$AL$6:$AL$505,"○")&gt;0,1,0))</f>
        <v>0</v>
      </c>
      <c r="AS94" s="39" t="n">
        <f aca="false">IF(AS$4=0,0,IF(COUNTIFS(実績!$W$6:$W$505,AS$3,実績!$AI$6:$AI$505,"&lt;="&amp;$A94,実績!$AJ$6:$AJ$505,"&gt;"&amp;$A94,実績!$AL$6:$AL$505,"○")&gt;0,1,0))</f>
        <v>0</v>
      </c>
      <c r="AT94" s="39" t="n">
        <f aca="false">IF(AT$4=0,0,IF(COUNTIFS(実績!$W$6:$W$505,AT$3,実績!$AI$6:$AI$505,"&lt;="&amp;$A94,実績!$AJ$6:$AJ$505,"&gt;"&amp;$A94,実績!$AL$6:$AL$505,"○")&gt;0,1,0))</f>
        <v>0</v>
      </c>
      <c r="AU94" s="39" t="n">
        <f aca="false">IF(AU$4=0,0,IF(COUNTIFS(実績!$W$6:$W$505,AU$3,実績!$AI$6:$AI$505,"&lt;="&amp;$A94,実績!$AJ$6:$AJ$505,"&gt;"&amp;$A94,実績!$AL$6:$AL$505,"○")&gt;0,1,0))</f>
        <v>0</v>
      </c>
      <c r="AV94" s="39" t="n">
        <f aca="false">IF(AV$4=0,0,IF(COUNTIFS(実績!$W$6:$W$505,AV$3,実績!$AI$6:$AI$505,"&lt;="&amp;$A94,実績!$AJ$6:$AJ$505,"&gt;"&amp;$A94,実績!$AL$6:$AL$505,"○")&gt;0,1,0))</f>
        <v>0</v>
      </c>
      <c r="AW94" s="39" t="n">
        <f aca="false">IF(AW$4=0,0,IF(COUNTIFS(実績!$W$6:$W$505,AW$3,実績!$AI$6:$AI$505,"&lt;="&amp;$A94,実績!$AJ$6:$AJ$505,"&gt;"&amp;$A94,実績!$AL$6:$AL$505,"○")&gt;0,1,0))</f>
        <v>0</v>
      </c>
      <c r="AX94" s="39" t="n">
        <f aca="false">IF(AX$4=0,0,IF(COUNTIFS(実績!$W$6:$W$505,AX$3,実績!$AI$6:$AI$505,"&lt;="&amp;$A94,実績!$AJ$6:$AJ$505,"&gt;"&amp;$A94,実績!$AL$6:$AL$505,"○")&gt;0,1,0))</f>
        <v>0</v>
      </c>
      <c r="AY94" s="39" t="n">
        <f aca="false">IF(AY$4=0,0,IF(COUNTIFS(実績!$W$6:$W$505,AY$3,実績!$AI$6:$AI$505,"&lt;="&amp;$A94,実績!$AJ$6:$AJ$505,"&gt;"&amp;$A94,実績!$AL$6:$AL$505,"○")&gt;0,1,0))</f>
        <v>0</v>
      </c>
      <c r="AZ94" s="39" t="n">
        <f aca="false">IF(AZ$4=0,0,IF(COUNTIFS(実績!$W$6:$W$505,AZ$3,実績!$AI$6:$AI$505,"&lt;="&amp;$A94,実績!$AJ$6:$AJ$505,"&gt;"&amp;$A94,実績!$AL$6:$AL$505,"○")&gt;0,1,0))</f>
        <v>0</v>
      </c>
      <c r="BA94" s="39" t="n">
        <f aca="false">IF(BA$4=0,0,IF(COUNTIFS(実績!$W$6:$W$505,BA$3,実績!$AI$6:$AI$505,"&lt;="&amp;$A94,実績!$AJ$6:$AJ$505,"&gt;"&amp;$A94,実績!$AL$6:$AL$505,"○")&gt;0,1,0))</f>
        <v>0</v>
      </c>
      <c r="BB94" s="39" t="n">
        <f aca="false">IF(BB$4=0,0,IF(COUNTIFS(実績!$W$6:$W$505,BB$3,実績!$AI$6:$AI$505,"&lt;="&amp;$A94,実績!$AJ$6:$AJ$505,"&gt;"&amp;$A94,実績!$AL$6:$AL$505,"○")&gt;0,1,0))</f>
        <v>0</v>
      </c>
      <c r="BC94" s="39" t="n">
        <f aca="false">IF(BC$4=0,0,IF(COUNTIFS(実績!$W$6:$W$505,BC$3,実績!$AI$6:$AI$505,"&lt;="&amp;$A94,実績!$AJ$6:$AJ$505,"&gt;"&amp;$A94,実績!$AL$6:$AL$505,"○")&gt;0,1,0))</f>
        <v>0</v>
      </c>
      <c r="BD94" s="39" t="n">
        <f aca="false">IF(BD$4=0,0,IF(COUNTIFS(実績!$W$6:$W$505,BD$3,実績!$AI$6:$AI$505,"&lt;="&amp;$A94,実績!$AJ$6:$AJ$505,"&gt;"&amp;$A94,実績!$AL$6:$AL$505,"○")&gt;0,1,0))</f>
        <v>0</v>
      </c>
      <c r="BE94" s="39" t="n">
        <f aca="false">IF(BE$4=0,0,IF(COUNTIFS(実績!$W$6:$W$505,BE$3,実績!$AI$6:$AI$505,"&lt;="&amp;$A94,実績!$AJ$6:$AJ$505,"&gt;"&amp;$A94,実績!$AL$6:$AL$505,"○")&gt;0,1,0))</f>
        <v>0</v>
      </c>
      <c r="BF94" s="39" t="n">
        <f aca="false">IF(BF$4=0,0,IF(COUNTIFS(実績!$W$6:$W$505,BF$3,実績!$AI$6:$AI$505,"&lt;="&amp;$A94,実績!$AJ$6:$AJ$505,"&gt;"&amp;$A94,実績!$AL$6:$AL$505,"○")&gt;0,1,0))</f>
        <v>0</v>
      </c>
      <c r="BG94" s="39" t="n">
        <f aca="false">IF(BG$4=0,0,IF(COUNTIFS(実績!$W$6:$W$505,BG$3,実績!$AI$6:$AI$505,"&lt;="&amp;$A94,実績!$AJ$6:$AJ$505,"&gt;"&amp;$A94,実績!$AL$6:$AL$505,"○")&gt;0,1,0))</f>
        <v>0</v>
      </c>
      <c r="BH94" s="39" t="n">
        <f aca="false">IF(BH$4=0,0,IF(COUNTIFS(実績!$W$6:$W$505,BH$3,実績!$AI$6:$AI$505,"&lt;="&amp;$A94,実績!$AJ$6:$AJ$505,"&gt;"&amp;$A94,実績!$AL$6:$AL$505,"○")&gt;0,1,0))</f>
        <v>0</v>
      </c>
      <c r="BI94" s="39" t="n">
        <f aca="false">IF(BI$4=0,0,IF(COUNTIFS(実績!$W$6:$W$505,BI$3,実績!$AI$6:$AI$505,"&lt;="&amp;$A94,実績!$AJ$6:$AJ$505,"&gt;"&amp;$A94,実績!$AL$6:$AL$505,"○")&gt;0,1,0))</f>
        <v>0</v>
      </c>
      <c r="BJ94" s="39" t="n">
        <f aca="false">IF(BJ$4=0,0,IF(COUNTIFS(実績!$W$6:$W$505,BJ$3,実績!$AI$6:$AI$505,"&lt;="&amp;$A94,実績!$AJ$6:$AJ$505,"&gt;"&amp;$A94,実績!$AL$6:$AL$505,"○")&gt;0,1,0))</f>
        <v>0</v>
      </c>
      <c r="BK94" s="39" t="n">
        <f aca="false">IF(BK$4=0,0,IF(COUNTIFS(実績!$W$6:$W$505,BK$3,実績!$AI$6:$AI$505,"&lt;="&amp;$A94,実績!$AJ$6:$AJ$505,"&gt;"&amp;$A94,実績!$AL$6:$AL$505,"○")&gt;0,1,0))</f>
        <v>0</v>
      </c>
      <c r="BL94" s="39" t="n">
        <f aca="false">IF(BL$4=0,0,IF(COUNTIFS(実績!$W$6:$W$505,BL$3,実績!$AI$6:$AI$505,"&lt;="&amp;$A94,実績!$AJ$6:$AJ$505,"&gt;"&amp;$A94,実績!$AL$6:$AL$505,"○")&gt;0,1,0))</f>
        <v>0</v>
      </c>
      <c r="BM94" s="39" t="n">
        <f aca="false">IF(BM$4=0,0,IF(COUNTIFS(実績!$W$6:$W$505,BM$3,実績!$AI$6:$AI$505,"&lt;="&amp;$A94,実績!$AJ$6:$AJ$505,"&gt;"&amp;$A94,実績!$AL$6:$AL$505,"○")&gt;0,1,0))</f>
        <v>0</v>
      </c>
      <c r="BN94" s="39" t="n">
        <f aca="false">IF(BN$4=0,0,IF(COUNTIFS(実績!$W$6:$W$505,BN$3,実績!$AI$6:$AI$505,"&lt;="&amp;$A94,実績!$AJ$6:$AJ$505,"&gt;"&amp;$A94,実績!$AL$6:$AL$505,"○")&gt;0,1,0))</f>
        <v>0</v>
      </c>
      <c r="BO94" s="39" t="n">
        <f aca="false">IF(BO$4=0,0,IF(COUNTIFS(実績!$W$6:$W$505,BO$3,実績!$AI$6:$AI$505,"&lt;="&amp;$A94,実績!$AJ$6:$AJ$505,"&gt;"&amp;$A94,実績!$AL$6:$AL$505,"○")&gt;0,1,0))</f>
        <v>0</v>
      </c>
      <c r="BP94" s="39" t="n">
        <f aca="false">IF(BP$4=0,0,IF(COUNTIFS(実績!$W$6:$W$505,BP$3,実績!$AI$6:$AI$505,"&lt;="&amp;$A94,実績!$AJ$6:$AJ$505,"&gt;"&amp;$A94,実績!$AL$6:$AL$505,"○")&gt;0,1,0))</f>
        <v>0</v>
      </c>
      <c r="BQ94" s="39" t="n">
        <f aca="false">IF(BQ$4=0,0,IF(COUNTIFS(実績!$W$6:$W$505,BQ$3,実績!$AI$6:$AI$505,"&lt;="&amp;$A94,実績!$AJ$6:$AJ$505,"&gt;"&amp;$A94,実績!$AL$6:$AL$505,"○")&gt;0,1,0))</f>
        <v>0</v>
      </c>
      <c r="BR94" s="39" t="n">
        <f aca="false">IF(BR$4=0,0,IF(COUNTIFS(実績!$W$6:$W$505,BR$3,実績!$AI$6:$AI$505,"&lt;="&amp;$A94,実績!$AJ$6:$AJ$505,"&gt;"&amp;$A94,実績!$AL$6:$AL$505,"○")&gt;0,1,0))</f>
        <v>0</v>
      </c>
      <c r="BS94" s="39" t="n">
        <f aca="false">IF(BS$4=0,0,IF(COUNTIFS(実績!$W$6:$W$505,BS$3,実績!$AI$6:$AI$505,"&lt;="&amp;$A94,実績!$AJ$6:$AJ$505,"&gt;"&amp;$A94,実績!$AL$6:$AL$505,"○")&gt;0,1,0))</f>
        <v>0</v>
      </c>
      <c r="BT94" s="39" t="n">
        <f aca="false">IF(BT$4=0,0,IF(COUNTIFS(実績!$W$6:$W$505,BT$3,実績!$AI$6:$AI$505,"&lt;="&amp;$A94,実績!$AJ$6:$AJ$505,"&gt;"&amp;$A94,実績!$AL$6:$AL$505,"○")&gt;0,1,0))</f>
        <v>0</v>
      </c>
      <c r="BU94" s="39" t="n">
        <f aca="false">IF(BU$4=0,0,IF(COUNTIFS(実績!$W$6:$W$505,BU$3,実績!$AI$6:$AI$505,"&lt;="&amp;$A94,実績!$AJ$6:$AJ$505,"&gt;"&amp;$A94,実績!$AL$6:$AL$505,"○")&gt;0,1,0))</f>
        <v>0</v>
      </c>
      <c r="BV94" s="39" t="n">
        <f aca="false">IF(BV$4=0,0,IF(COUNTIFS(実績!$W$6:$W$505,BV$3,実績!$AI$6:$AI$505,"&lt;="&amp;$A94,実績!$AJ$6:$AJ$505,"&gt;"&amp;$A94,実績!$AL$6:$AL$505,"○")&gt;0,1,0))</f>
        <v>0</v>
      </c>
      <c r="BW94" s="39" t="n">
        <f aca="false">IF(BW$4=0,0,IF(COUNTIFS(実績!$W$6:$W$505,BW$3,実績!$AI$6:$AI$505,"&lt;="&amp;$A94,実績!$AJ$6:$AJ$505,"&gt;"&amp;$A94,実績!$AL$6:$AL$505,"○")&gt;0,1,0))</f>
        <v>0</v>
      </c>
      <c r="BX94" s="39" t="n">
        <f aca="false">IF(BX$4=0,0,IF(COUNTIFS(実績!$W$6:$W$505,BX$3,実績!$AI$6:$AI$505,"&lt;="&amp;$A94,実績!$AJ$6:$AJ$505,"&gt;"&amp;$A94,実績!$AL$6:$AL$505,"○")&gt;0,1,0))</f>
        <v>0</v>
      </c>
      <c r="BY94" s="39" t="n">
        <f aca="false">IF(BY$4=0,0,IF(COUNTIFS(実績!$W$6:$W$505,BY$3,実績!$AI$6:$AI$505,"&lt;="&amp;$A94,実績!$AJ$6:$AJ$505,"&gt;"&amp;$A94,実績!$AL$6:$AL$505,"○")&gt;0,1,0))</f>
        <v>0</v>
      </c>
      <c r="BZ94" s="39" t="n">
        <f aca="false">IF(BZ$4=0,0,IF(COUNTIFS(実績!$W$6:$W$505,BZ$3,実績!$AI$6:$AI$505,"&lt;="&amp;$A94,実績!$AJ$6:$AJ$505,"&gt;"&amp;$A94,実績!$AL$6:$AL$505,"○")&gt;0,1,0))</f>
        <v>0</v>
      </c>
      <c r="CA94" s="39" t="n">
        <f aca="false">IF(CA$4=0,0,IF(COUNTIFS(実績!$W$6:$W$505,CA$3,実績!$AI$6:$AI$505,"&lt;="&amp;$A94,実績!$AJ$6:$AJ$505,"&gt;"&amp;$A94,実績!$AL$6:$AL$505,"○")&gt;0,1,0))</f>
        <v>0</v>
      </c>
      <c r="CB94" s="39" t="n">
        <f aca="false">IF(CB$4=0,0,IF(COUNTIFS(実績!$W$6:$W$505,CB$3,実績!$AI$6:$AI$505,"&lt;="&amp;$A94,実績!$AJ$6:$AJ$505,"&gt;"&amp;$A94,実績!$AL$6:$AL$505,"○")&gt;0,1,0))</f>
        <v>0</v>
      </c>
      <c r="CC94" s="39" t="n">
        <f aca="false">IF(CC$4=0,0,IF(COUNTIFS(実績!$W$6:$W$505,CC$3,実績!$AI$6:$AI$505,"&lt;="&amp;$A94,実績!$AJ$6:$AJ$505,"&gt;"&amp;$A94,実績!$AL$6:$AL$505,"○")&gt;0,1,0))</f>
        <v>0</v>
      </c>
      <c r="CD94" s="39" t="n">
        <f aca="false">IF(CD$4=0,0,IF(COUNTIFS(実績!$W$6:$W$505,CD$3,実績!$AI$6:$AI$505,"&lt;="&amp;$A94,実績!$AJ$6:$AJ$505,"&gt;"&amp;$A94,実績!$AL$6:$AL$505,"○")&gt;0,1,0))</f>
        <v>0</v>
      </c>
      <c r="CE94" s="39" t="n">
        <f aca="false">IF(CE$4=0,0,IF(COUNTIFS(実績!$W$6:$W$505,CE$3,実績!$AI$6:$AI$505,"&lt;="&amp;$A94,実績!$AJ$6:$AJ$505,"&gt;"&amp;$A94,実績!$AL$6:$AL$505,"○")&gt;0,1,0))</f>
        <v>0</v>
      </c>
      <c r="CF94" s="39" t="n">
        <f aca="false">IF(CF$4=0,0,IF(COUNTIFS(実績!$W$6:$W$505,CF$3,実績!$AI$6:$AI$505,"&lt;="&amp;$A94,実績!$AJ$6:$AJ$505,"&gt;"&amp;$A94,実績!$AL$6:$AL$505,"○")&gt;0,1,0))</f>
        <v>0</v>
      </c>
      <c r="CG94" s="39" t="n">
        <f aca="false">IF(CG$4=0,0,IF(COUNTIFS(実績!$W$6:$W$505,CG$3,実績!$AI$6:$AI$505,"&lt;="&amp;$A94,実績!$AJ$6:$AJ$505,"&gt;"&amp;$A94,実績!$AL$6:$AL$505,"○")&gt;0,1,0))</f>
        <v>0</v>
      </c>
      <c r="CH94" s="39" t="n">
        <f aca="false">IF(CH$4=0,0,IF(COUNTIFS(実績!$W$6:$W$505,CH$3,実績!$AI$6:$AI$505,"&lt;="&amp;$A94,実績!$AJ$6:$AJ$505,"&gt;"&amp;$A94,実績!$AL$6:$AL$505,"○")&gt;0,1,0))</f>
        <v>0</v>
      </c>
      <c r="CI94" s="39" t="n">
        <f aca="false">IF(CI$4=0,0,IF(COUNTIFS(実績!$W$6:$W$505,CI$3,実績!$AI$6:$AI$505,"&lt;="&amp;$A94,実績!$AJ$6:$AJ$505,"&gt;"&amp;$A94,実績!$AL$6:$AL$505,"○")&gt;0,1,0))</f>
        <v>0</v>
      </c>
      <c r="CJ94" s="39" t="n">
        <f aca="false">IF(CJ$4=0,0,IF(COUNTIFS(実績!$W$6:$W$505,CJ$3,実績!$AI$6:$AI$505,"&lt;="&amp;$A94,実績!$AJ$6:$AJ$505,"&gt;"&amp;$A94,実績!$AL$6:$AL$505,"○")&gt;0,1,0))</f>
        <v>0</v>
      </c>
      <c r="CK94" s="39" t="n">
        <f aca="false">IF(CK$4=0,0,IF(COUNTIFS(実績!$W$6:$W$505,CK$3,実績!$AI$6:$AI$505,"&lt;="&amp;$A94,実績!$AJ$6:$AJ$505,"&gt;"&amp;$A94,実績!$AL$6:$AL$505,"○")&gt;0,1,0))</f>
        <v>0</v>
      </c>
      <c r="CL94" s="39" t="n">
        <f aca="false">IF(CL$4=0,0,IF(COUNTIFS(実績!$W$6:$W$505,CL$3,実績!$AI$6:$AI$505,"&lt;="&amp;$A94,実績!$AJ$6:$AJ$505,"&gt;"&amp;$A94,実績!$AL$6:$AL$505,"○")&gt;0,1,0))</f>
        <v>0</v>
      </c>
      <c r="CM94" s="39" t="n">
        <f aca="false">IF(CM$4=0,0,IF(COUNTIFS(実績!$W$6:$W$505,CM$3,実績!$AI$6:$AI$505,"&lt;="&amp;$A94,実績!$AJ$6:$AJ$505,"&gt;"&amp;$A94,実績!$AL$6:$AL$505,"○")&gt;0,1,0))</f>
        <v>0</v>
      </c>
      <c r="CN94" s="39" t="n">
        <f aca="false">IF(CN$4=0,0,IF(COUNTIFS(実績!$W$6:$W$505,CN$3,実績!$AI$6:$AI$505,"&lt;="&amp;$A94,実績!$AJ$6:$AJ$505,"&gt;"&amp;$A94,実績!$AL$6:$AL$505,"○")&gt;0,1,0))</f>
        <v>0</v>
      </c>
      <c r="CO94" s="39" t="n">
        <f aca="false">IF(CO$4=0,0,IF(COUNTIFS(実績!$W$6:$W$505,CO$3,実績!$AI$6:$AI$505,"&lt;="&amp;$A94,実績!$AJ$6:$AJ$505,"&gt;"&amp;$A94,実績!$AL$6:$AL$505,"○")&gt;0,1,0))</f>
        <v>0</v>
      </c>
      <c r="CP94" s="39" t="n">
        <f aca="false">IF(CP$4=0,0,IF(COUNTIFS(実績!$W$6:$W$505,CP$3,実績!$AI$6:$AI$505,"&lt;="&amp;$A94,実績!$AJ$6:$AJ$505,"&gt;"&amp;$A94,実績!$AL$6:$AL$505,"○")&gt;0,1,0))</f>
        <v>0</v>
      </c>
      <c r="CQ94" s="39" t="n">
        <f aca="false">IF(CQ$4=0,0,IF(COUNTIFS(実績!$W$6:$W$505,CQ$3,実績!$AI$6:$AI$505,"&lt;="&amp;$A94,実績!$AJ$6:$AJ$505,"&gt;"&amp;$A94,実績!$AL$6:$AL$505,"○")&gt;0,1,0))</f>
        <v>0</v>
      </c>
      <c r="CR94" s="39" t="n">
        <f aca="false">IF(CR$4=0,0,IF(COUNTIFS(実績!$W$6:$W$505,CR$3,実績!$AI$6:$AI$505,"&lt;="&amp;$A94,実績!$AJ$6:$AJ$505,"&gt;"&amp;$A94,実績!$AL$6:$AL$505,"○")&gt;0,1,0))</f>
        <v>0</v>
      </c>
      <c r="CS94" s="39" t="n">
        <f aca="false">IF(CS$4=0,0,IF(COUNTIFS(実績!$W$6:$W$505,CS$3,実績!$AI$6:$AI$505,"&lt;="&amp;$A94,実績!$AJ$6:$AJ$505,"&gt;"&amp;$A94,実績!$AL$6:$AL$505,"○")&gt;0,1,0))</f>
        <v>0</v>
      </c>
      <c r="CT94" s="39" t="n">
        <f aca="false">IF(CT$4=0,0,IF(COUNTIFS(実績!$W$6:$W$505,CT$3,実績!$AI$6:$AI$505,"&lt;="&amp;$A94,実績!$AJ$6:$AJ$505,"&gt;"&amp;$A94,実績!$AL$6:$AL$505,"○")&gt;0,1,0))</f>
        <v>0</v>
      </c>
      <c r="CU94" s="39" t="n">
        <f aca="false">IF(CU$4=0,0,IF(COUNTIFS(実績!$W$6:$W$505,CU$3,実績!$AI$6:$AI$505,"&lt;="&amp;$A94,実績!$AJ$6:$AJ$505,"&gt;"&amp;$A94,実績!$AL$6:$AL$505,"○")&gt;0,1,0))</f>
        <v>0</v>
      </c>
      <c r="CV94" s="39" t="n">
        <f aca="false">IF(CV$4=0,0,IF(COUNTIFS(実績!$W$6:$W$505,CV$3,実績!$AI$6:$AI$505,"&lt;="&amp;$A94,実績!$AJ$6:$AJ$505,"&gt;"&amp;$A94,実績!$AL$6:$AL$505,"○")&gt;0,1,0))</f>
        <v>0</v>
      </c>
      <c r="CW94" s="39" t="n">
        <f aca="false">IF(CW$4=0,0,IF(COUNTIFS(実績!$W$6:$W$505,CW$3,実績!$AI$6:$AI$505,"&lt;="&amp;$A94,実績!$AJ$6:$AJ$505,"&gt;"&amp;$A94,実績!$AL$6:$AL$505,"○")&gt;0,1,0))</f>
        <v>0</v>
      </c>
      <c r="CX94" s="39" t="n">
        <f aca="false">IF(CX$4=0,0,IF(COUNTIFS(実績!$W$6:$W$505,CX$3,実績!$AI$6:$AI$505,"&lt;="&amp;$A94,実績!$AJ$6:$AJ$505,"&gt;"&amp;$A94,実績!$AL$6:$AL$505,"○")&gt;0,1,0))</f>
        <v>0</v>
      </c>
      <c r="CY94" s="39" t="n">
        <f aca="false">IF(CY$4=0,0,IF(COUNTIFS(実績!$W$6:$W$505,CY$3,実績!$AI$6:$AI$505,"&lt;="&amp;$A94,実績!$AJ$6:$AJ$505,"&gt;"&amp;$A94,実績!$AL$6:$AL$505,"○")&gt;0,1,0))</f>
        <v>0</v>
      </c>
      <c r="CZ94" s="39" t="n">
        <f aca="false">IF(CZ$4=0,0,IF(COUNTIFS(実績!$W$6:$W$505,CZ$3,実績!$AI$6:$AI$505,"&lt;="&amp;$A94,実績!$AJ$6:$AJ$505,"&gt;"&amp;$A94,実績!$AL$6:$AL$505,"○")&gt;0,1,0))</f>
        <v>0</v>
      </c>
      <c r="DA94" s="39" t="n">
        <f aca="false">IF(DA$4=0,0,IF(COUNTIFS(実績!$W$6:$W$505,DA$3,実績!$AI$6:$AI$505,"&lt;="&amp;$A94,実績!$AJ$6:$AJ$505,"&gt;"&amp;$A94,実績!$AL$6:$AL$505,"○")&gt;0,1,0))</f>
        <v>0</v>
      </c>
      <c r="DB94" s="39" t="n">
        <f aca="false">IF(DB$4=0,0,IF(COUNTIFS(実績!$W$6:$W$505,DB$3,実績!$AI$6:$AI$505,"&lt;="&amp;$A94,実績!$AJ$6:$AJ$505,"&gt;"&amp;$A94,実績!$AL$6:$AL$505,"○")&gt;0,1,0))</f>
        <v>0</v>
      </c>
      <c r="DC94" s="39" t="n">
        <f aca="false">IF(DC$4=0,0,IF(COUNTIFS(実績!$W$6:$W$505,DC$3,実績!$AI$6:$AI$505,"&lt;="&amp;$A94,実績!$AJ$6:$AJ$505,"&gt;"&amp;$A94,実績!$AL$6:$AL$505,"○")&gt;0,1,0))</f>
        <v>0</v>
      </c>
      <c r="DD94" s="39" t="n">
        <f aca="false">IF(DD$4=0,0,IF(COUNTIFS(実績!$W$6:$W$505,DD$3,実績!$AI$6:$AI$505,"&lt;="&amp;$A94,実績!$AJ$6:$AJ$505,"&gt;"&amp;$A94,実績!$AL$6:$AL$505,"○")&gt;0,1,0))</f>
        <v>0</v>
      </c>
      <c r="DE94" s="39" t="n">
        <f aca="false">IF(DE$4=0,0,IF(COUNTIFS(実績!$W$6:$W$505,DE$3,実績!$AI$6:$AI$505,"&lt;="&amp;$A94,実績!$AJ$6:$AJ$505,"&gt;"&amp;$A94,実績!$AL$6:$AL$505,"○")&gt;0,1,0))</f>
        <v>0</v>
      </c>
      <c r="DF94" s="39" t="n">
        <f aca="false">IF(DF$4=0,0,IF(COUNTIFS(実績!$W$6:$W$505,DF$3,実績!$AI$6:$AI$505,"&lt;="&amp;$A94,実績!$AJ$6:$AJ$505,"&gt;"&amp;$A94,実績!$AL$6:$AL$505,"○")&gt;0,1,0))</f>
        <v>0</v>
      </c>
      <c r="DG94" s="39" t="n">
        <f aca="false">IF(DG$4=0,0,IF(COUNTIFS(実績!$W$6:$W$505,DG$3,実績!$AI$6:$AI$505,"&lt;="&amp;$A94,実績!$AJ$6:$AJ$505,"&gt;"&amp;$A94,実績!$AL$6:$AL$505,"○")&gt;0,1,0))</f>
        <v>0</v>
      </c>
      <c r="DH94" s="39" t="n">
        <f aca="false">IF(DH$4=0,0,IF(COUNTIFS(実績!$W$6:$W$505,DH$3,実績!$AI$6:$AI$505,"&lt;="&amp;$A94,実績!$AJ$6:$AJ$505,"&gt;"&amp;$A94,実績!$AL$6:$AL$505,"○")&gt;0,1,0))</f>
        <v>0</v>
      </c>
      <c r="DI94" s="39" t="n">
        <f aca="false">IF(DI$4=0,0,IF(COUNTIFS(実績!$W$6:$W$505,DI$3,実績!$AI$6:$AI$505,"&lt;="&amp;$A94,実績!$AJ$6:$AJ$505,"&gt;"&amp;$A94,実績!$AL$6:$AL$505,"○")&gt;0,1,0))</f>
        <v>0</v>
      </c>
      <c r="DJ94" s="39" t="n">
        <f aca="false">IF(DJ$4=0,0,IF(COUNTIFS(実績!$W$6:$W$505,DJ$3,実績!$AI$6:$AI$505,"&lt;="&amp;$A94,実績!$AJ$6:$AJ$505,"&gt;"&amp;$A94,実績!$AL$6:$AL$505,"○")&gt;0,1,0))</f>
        <v>0</v>
      </c>
      <c r="DK94" s="39" t="n">
        <f aca="false">IF(DK$4=0,0,IF(COUNTIFS(実績!$W$6:$W$505,DK$3,実績!$AI$6:$AI$505,"&lt;="&amp;$A94,実績!$AJ$6:$AJ$505,"&gt;"&amp;$A94,実績!$AL$6:$AL$505,"○")&gt;0,1,0))</f>
        <v>0</v>
      </c>
      <c r="DL94" s="39" t="n">
        <f aca="false">IF(DL$4=0,0,IF(COUNTIFS(実績!$W$6:$W$505,DL$3,実績!$AI$6:$AI$505,"&lt;="&amp;$A94,実績!$AJ$6:$AJ$505,"&gt;"&amp;$A94,実績!$AL$6:$AL$505,"○")&gt;0,1,0))</f>
        <v>0</v>
      </c>
      <c r="DM94" s="39" t="n">
        <f aca="false">IF(DM$4=0,0,IF(COUNTIFS(実績!$W$6:$W$505,DM$3,実績!$AI$6:$AI$505,"&lt;="&amp;$A94,実績!$AJ$6:$AJ$505,"&gt;"&amp;$A94,実績!$AL$6:$AL$505,"○")&gt;0,1,0))</f>
        <v>0</v>
      </c>
      <c r="DN94" s="39" t="n">
        <f aca="false">IF(DN$4=0,0,IF(COUNTIFS(実績!$W$6:$W$505,DN$3,実績!$AI$6:$AI$505,"&lt;="&amp;$A94,実績!$AJ$6:$AJ$505,"&gt;"&amp;$A94,実績!$AL$6:$AL$505,"○")&gt;0,1,0))</f>
        <v>0</v>
      </c>
      <c r="DO94" s="39" t="n">
        <f aca="false">IF(DO$4=0,0,IF(COUNTIFS(実績!$W$6:$W$505,DO$3,実績!$AI$6:$AI$505,"&lt;="&amp;$A94,実績!$AJ$6:$AJ$505,"&gt;"&amp;$A94,実績!$AL$6:$AL$505,"○")&gt;0,1,0))</f>
        <v>0</v>
      </c>
      <c r="DP94" s="39" t="n">
        <f aca="false">IF(DP$4=0,0,IF(COUNTIFS(実績!$W$6:$W$505,DP$3,実績!$AI$6:$AI$505,"&lt;="&amp;$A94,実績!$AJ$6:$AJ$505,"&gt;"&amp;$A94,実績!$AL$6:$AL$505,"○")&gt;0,1,0))</f>
        <v>0</v>
      </c>
      <c r="DQ94" s="39" t="n">
        <f aca="false">IF(DQ$4=0,0,IF(COUNTIFS(実績!$W$6:$W$505,DQ$3,実績!$AI$6:$AI$505,"&lt;="&amp;$A94,実績!$AJ$6:$AJ$505,"&gt;"&amp;$A94,実績!$AL$6:$AL$505,"○")&gt;0,1,0))</f>
        <v>0</v>
      </c>
      <c r="DR94" s="39" t="n">
        <f aca="false">IF(DR$4=0,0,IF(COUNTIFS(実績!$W$6:$W$505,DR$3,実績!$AI$6:$AI$505,"&lt;="&amp;$A94,実績!$AJ$6:$AJ$505,"&gt;"&amp;$A94,実績!$AL$6:$AL$505,"○")&gt;0,1,0))</f>
        <v>0</v>
      </c>
      <c r="DS94" s="39" t="n">
        <f aca="false">SUM(C94:DR94)</f>
        <v>0</v>
      </c>
    </row>
    <row r="95" customFormat="false" ht="15" hidden="false" customHeight="false" outlineLevel="0" collapsed="false">
      <c r="A95" s="0" t="n">
        <v>445</v>
      </c>
      <c r="B95" s="38" t="n">
        <f aca="false">A95/1440</f>
        <v>0.309027777777778</v>
      </c>
      <c r="C95" s="39" t="n">
        <f aca="false">IF(C$4=0,0,IF(COUNTIFS(実績!$W$6:$W$505,C$3,実績!$AI$6:$AI$505,"&lt;="&amp;$A95,実績!$AJ$6:$AJ$505,"&gt;"&amp;$A95,実績!$AL$6:$AL$505,"○")&gt;0,1,0))</f>
        <v>0</v>
      </c>
      <c r="D95" s="39" t="n">
        <f aca="false">IF(D$4=0,0,IF(COUNTIFS(実績!$W$6:$W$505,D$3,実績!$AI$6:$AI$505,"&lt;="&amp;$A95,実績!$AJ$6:$AJ$505,"&gt;"&amp;$A95,実績!$AL$6:$AL$505,"○")&gt;0,1,0))</f>
        <v>0</v>
      </c>
      <c r="E95" s="39" t="n">
        <f aca="false">IF(E$4=0,0,IF(COUNTIFS(実績!$W$6:$W$505,E$3,実績!$AI$6:$AI$505,"&lt;="&amp;$A95,実績!$AJ$6:$AJ$505,"&gt;"&amp;$A95,実績!$AL$6:$AL$505,"○")&gt;0,1,0))</f>
        <v>0</v>
      </c>
      <c r="F95" s="39" t="n">
        <f aca="false">IF(F$4=0,0,IF(COUNTIFS(実績!$W$6:$W$505,F$3,実績!$AI$6:$AI$505,"&lt;="&amp;$A95,実績!$AJ$6:$AJ$505,"&gt;"&amp;$A95,実績!$AL$6:$AL$505,"○")&gt;0,1,0))</f>
        <v>0</v>
      </c>
      <c r="G95" s="39" t="n">
        <f aca="false">IF(G$4=0,0,IF(COUNTIFS(実績!$W$6:$W$505,G$3,実績!$AI$6:$AI$505,"&lt;="&amp;$A95,実績!$AJ$6:$AJ$505,"&gt;"&amp;$A95,実績!$AL$6:$AL$505,"○")&gt;0,1,0))</f>
        <v>0</v>
      </c>
      <c r="H95" s="39" t="n">
        <f aca="false">IF(H$4=0,0,IF(COUNTIFS(実績!$W$6:$W$505,H$3,実績!$AI$6:$AI$505,"&lt;="&amp;$A95,実績!$AJ$6:$AJ$505,"&gt;"&amp;$A95,実績!$AL$6:$AL$505,"○")&gt;0,1,0))</f>
        <v>0</v>
      </c>
      <c r="I95" s="39" t="n">
        <f aca="false">IF(I$4=0,0,IF(COUNTIFS(実績!$W$6:$W$505,I$3,実績!$AI$6:$AI$505,"&lt;="&amp;$A95,実績!$AJ$6:$AJ$505,"&gt;"&amp;$A95,実績!$AL$6:$AL$505,"○")&gt;0,1,0))</f>
        <v>0</v>
      </c>
      <c r="J95" s="39" t="n">
        <f aca="false">IF(J$4=0,0,IF(COUNTIFS(実績!$W$6:$W$505,J$3,実績!$AI$6:$AI$505,"&lt;="&amp;$A95,実績!$AJ$6:$AJ$505,"&gt;"&amp;$A95,実績!$AL$6:$AL$505,"○")&gt;0,1,0))</f>
        <v>0</v>
      </c>
      <c r="K95" s="39" t="n">
        <f aca="false">IF(K$4=0,0,IF(COUNTIFS(実績!$W$6:$W$505,K$3,実績!$AI$6:$AI$505,"&lt;="&amp;$A95,実績!$AJ$6:$AJ$505,"&gt;"&amp;$A95,実績!$AL$6:$AL$505,"○")&gt;0,1,0))</f>
        <v>0</v>
      </c>
      <c r="L95" s="39" t="n">
        <f aca="false">IF(L$4=0,0,IF(COUNTIFS(実績!$W$6:$W$505,L$3,実績!$AI$6:$AI$505,"&lt;="&amp;$A95,実績!$AJ$6:$AJ$505,"&gt;"&amp;$A95,実績!$AL$6:$AL$505,"○")&gt;0,1,0))</f>
        <v>0</v>
      </c>
      <c r="M95" s="39" t="n">
        <f aca="false">IF(M$4=0,0,IF(COUNTIFS(実績!$W$6:$W$505,M$3,実績!$AI$6:$AI$505,"&lt;="&amp;$A95,実績!$AJ$6:$AJ$505,"&gt;"&amp;$A95,実績!$AL$6:$AL$505,"○")&gt;0,1,0))</f>
        <v>0</v>
      </c>
      <c r="N95" s="39" t="n">
        <f aca="false">IF(N$4=0,0,IF(COUNTIFS(実績!$W$6:$W$505,N$3,実績!$AI$6:$AI$505,"&lt;="&amp;$A95,実績!$AJ$6:$AJ$505,"&gt;"&amp;$A95,実績!$AL$6:$AL$505,"○")&gt;0,1,0))</f>
        <v>0</v>
      </c>
      <c r="O95" s="39" t="n">
        <f aca="false">IF(O$4=0,0,IF(COUNTIFS(実績!$W$6:$W$505,O$3,実績!$AI$6:$AI$505,"&lt;="&amp;$A95,実績!$AJ$6:$AJ$505,"&gt;"&amp;$A95,実績!$AL$6:$AL$505,"○")&gt;0,1,0))</f>
        <v>0</v>
      </c>
      <c r="P95" s="39" t="n">
        <f aca="false">IF(P$4=0,0,IF(COUNTIFS(実績!$W$6:$W$505,P$3,実績!$AI$6:$AI$505,"&lt;="&amp;$A95,実績!$AJ$6:$AJ$505,"&gt;"&amp;$A95,実績!$AL$6:$AL$505,"○")&gt;0,1,0))</f>
        <v>0</v>
      </c>
      <c r="Q95" s="39" t="n">
        <f aca="false">IF(Q$4=0,0,IF(COUNTIFS(実績!$W$6:$W$505,Q$3,実績!$AI$6:$AI$505,"&lt;="&amp;$A95,実績!$AJ$6:$AJ$505,"&gt;"&amp;$A95,実績!$AL$6:$AL$505,"○")&gt;0,1,0))</f>
        <v>0</v>
      </c>
      <c r="R95" s="39" t="n">
        <f aca="false">IF(R$4=0,0,IF(COUNTIFS(実績!$W$6:$W$505,R$3,実績!$AI$6:$AI$505,"&lt;="&amp;$A95,実績!$AJ$6:$AJ$505,"&gt;"&amp;$A95,実績!$AL$6:$AL$505,"○")&gt;0,1,0))</f>
        <v>0</v>
      </c>
      <c r="S95" s="39" t="n">
        <f aca="false">IF(S$4=0,0,IF(COUNTIFS(実績!$W$6:$W$505,S$3,実績!$AI$6:$AI$505,"&lt;="&amp;$A95,実績!$AJ$6:$AJ$505,"&gt;"&amp;$A95,実績!$AL$6:$AL$505,"○")&gt;0,1,0))</f>
        <v>0</v>
      </c>
      <c r="T95" s="39" t="n">
        <f aca="false">IF(T$4=0,0,IF(COUNTIFS(実績!$W$6:$W$505,T$3,実績!$AI$6:$AI$505,"&lt;="&amp;$A95,実績!$AJ$6:$AJ$505,"&gt;"&amp;$A95,実績!$AL$6:$AL$505,"○")&gt;0,1,0))</f>
        <v>0</v>
      </c>
      <c r="U95" s="39" t="n">
        <f aca="false">IF(U$4=0,0,IF(COUNTIFS(実績!$W$6:$W$505,U$3,実績!$AI$6:$AI$505,"&lt;="&amp;$A95,実績!$AJ$6:$AJ$505,"&gt;"&amp;$A95,実績!$AL$6:$AL$505,"○")&gt;0,1,0))</f>
        <v>0</v>
      </c>
      <c r="V95" s="39" t="n">
        <f aca="false">IF(V$4=0,0,IF(COUNTIFS(実績!$W$6:$W$505,V$3,実績!$AI$6:$AI$505,"&lt;="&amp;$A95,実績!$AJ$6:$AJ$505,"&gt;"&amp;$A95,実績!$AL$6:$AL$505,"○")&gt;0,1,0))</f>
        <v>0</v>
      </c>
      <c r="W95" s="39" t="n">
        <f aca="false">IF(W$4=0,0,IF(COUNTIFS(実績!$W$6:$W$505,W$3,実績!$AI$6:$AI$505,"&lt;="&amp;$A95,実績!$AJ$6:$AJ$505,"&gt;"&amp;$A95,実績!$AL$6:$AL$505,"○")&gt;0,1,0))</f>
        <v>0</v>
      </c>
      <c r="X95" s="39" t="n">
        <f aca="false">IF(X$4=0,0,IF(COUNTIFS(実績!$W$6:$W$505,X$3,実績!$AI$6:$AI$505,"&lt;="&amp;$A95,実績!$AJ$6:$AJ$505,"&gt;"&amp;$A95,実績!$AL$6:$AL$505,"○")&gt;0,1,0))</f>
        <v>0</v>
      </c>
      <c r="Y95" s="39" t="n">
        <f aca="false">IF(Y$4=0,0,IF(COUNTIFS(実績!$W$6:$W$505,Y$3,実績!$AI$6:$AI$505,"&lt;="&amp;$A95,実績!$AJ$6:$AJ$505,"&gt;"&amp;$A95,実績!$AL$6:$AL$505,"○")&gt;0,1,0))</f>
        <v>0</v>
      </c>
      <c r="Z95" s="39" t="n">
        <f aca="false">IF(Z$4=0,0,IF(COUNTIFS(実績!$W$6:$W$505,Z$3,実績!$AI$6:$AI$505,"&lt;="&amp;$A95,実績!$AJ$6:$AJ$505,"&gt;"&amp;$A95,実績!$AL$6:$AL$505,"○")&gt;0,1,0))</f>
        <v>0</v>
      </c>
      <c r="AA95" s="39" t="n">
        <f aca="false">IF(AA$4=0,0,IF(COUNTIFS(実績!$W$6:$W$505,AA$3,実績!$AI$6:$AI$505,"&lt;="&amp;$A95,実績!$AJ$6:$AJ$505,"&gt;"&amp;$A95,実績!$AL$6:$AL$505,"○")&gt;0,1,0))</f>
        <v>0</v>
      </c>
      <c r="AB95" s="39" t="n">
        <f aca="false">IF(AB$4=0,0,IF(COUNTIFS(実績!$W$6:$W$505,AB$3,実績!$AI$6:$AI$505,"&lt;="&amp;$A95,実績!$AJ$6:$AJ$505,"&gt;"&amp;$A95,実績!$AL$6:$AL$505,"○")&gt;0,1,0))</f>
        <v>0</v>
      </c>
      <c r="AC95" s="39" t="n">
        <f aca="false">IF(AC$4=0,0,IF(COUNTIFS(実績!$W$6:$W$505,AC$3,実績!$AI$6:$AI$505,"&lt;="&amp;$A95,実績!$AJ$6:$AJ$505,"&gt;"&amp;$A95,実績!$AL$6:$AL$505,"○")&gt;0,1,0))</f>
        <v>0</v>
      </c>
      <c r="AD95" s="39" t="n">
        <f aca="false">IF(AD$4=0,0,IF(COUNTIFS(実績!$W$6:$W$505,AD$3,実績!$AI$6:$AI$505,"&lt;="&amp;$A95,実績!$AJ$6:$AJ$505,"&gt;"&amp;$A95,実績!$AL$6:$AL$505,"○")&gt;0,1,0))</f>
        <v>0</v>
      </c>
      <c r="AE95" s="39" t="n">
        <f aca="false">IF(AE$4=0,0,IF(COUNTIFS(実績!$W$6:$W$505,AE$3,実績!$AI$6:$AI$505,"&lt;="&amp;$A95,実績!$AJ$6:$AJ$505,"&gt;"&amp;$A95,実績!$AL$6:$AL$505,"○")&gt;0,1,0))</f>
        <v>0</v>
      </c>
      <c r="AF95" s="39" t="n">
        <f aca="false">IF(AF$4=0,0,IF(COUNTIFS(実績!$W$6:$W$505,AF$3,実績!$AI$6:$AI$505,"&lt;="&amp;$A95,実績!$AJ$6:$AJ$505,"&gt;"&amp;$A95,実績!$AL$6:$AL$505,"○")&gt;0,1,0))</f>
        <v>0</v>
      </c>
      <c r="AG95" s="39" t="n">
        <f aca="false">IF(AG$4=0,0,IF(COUNTIFS(実績!$W$6:$W$505,AG$3,実績!$AI$6:$AI$505,"&lt;="&amp;$A95,実績!$AJ$6:$AJ$505,"&gt;"&amp;$A95,実績!$AL$6:$AL$505,"○")&gt;0,1,0))</f>
        <v>0</v>
      </c>
      <c r="AH95" s="39" t="n">
        <f aca="false">IF(AH$4=0,0,IF(COUNTIFS(実績!$W$6:$W$505,AH$3,実績!$AI$6:$AI$505,"&lt;="&amp;$A95,実績!$AJ$6:$AJ$505,"&gt;"&amp;$A95,実績!$AL$6:$AL$505,"○")&gt;0,1,0))</f>
        <v>0</v>
      </c>
      <c r="AI95" s="39" t="n">
        <f aca="false">IF(AI$4=0,0,IF(COUNTIFS(実績!$W$6:$W$505,AI$3,実績!$AI$6:$AI$505,"&lt;="&amp;$A95,実績!$AJ$6:$AJ$505,"&gt;"&amp;$A95,実績!$AL$6:$AL$505,"○")&gt;0,1,0))</f>
        <v>0</v>
      </c>
      <c r="AJ95" s="39" t="n">
        <f aca="false">IF(AJ$4=0,0,IF(COUNTIFS(実績!$W$6:$W$505,AJ$3,実績!$AI$6:$AI$505,"&lt;="&amp;$A95,実績!$AJ$6:$AJ$505,"&gt;"&amp;$A95,実績!$AL$6:$AL$505,"○")&gt;0,1,0))</f>
        <v>0</v>
      </c>
      <c r="AK95" s="39" t="n">
        <f aca="false">IF(AK$4=0,0,IF(COUNTIFS(実績!$W$6:$W$505,AK$3,実績!$AI$6:$AI$505,"&lt;="&amp;$A95,実績!$AJ$6:$AJ$505,"&gt;"&amp;$A95,実績!$AL$6:$AL$505,"○")&gt;0,1,0))</f>
        <v>0</v>
      </c>
      <c r="AL95" s="39" t="n">
        <f aca="false">IF(AL$4=0,0,IF(COUNTIFS(実績!$W$6:$W$505,AL$3,実績!$AI$6:$AI$505,"&lt;="&amp;$A95,実績!$AJ$6:$AJ$505,"&gt;"&amp;$A95,実績!$AL$6:$AL$505,"○")&gt;0,1,0))</f>
        <v>0</v>
      </c>
      <c r="AM95" s="39" t="n">
        <f aca="false">IF(AM$4=0,0,IF(COUNTIFS(実績!$W$6:$W$505,AM$3,実績!$AI$6:$AI$505,"&lt;="&amp;$A95,実績!$AJ$6:$AJ$505,"&gt;"&amp;$A95,実績!$AL$6:$AL$505,"○")&gt;0,1,0))</f>
        <v>0</v>
      </c>
      <c r="AN95" s="39" t="n">
        <f aca="false">IF(AN$4=0,0,IF(COUNTIFS(実績!$W$6:$W$505,AN$3,実績!$AI$6:$AI$505,"&lt;="&amp;$A95,実績!$AJ$6:$AJ$505,"&gt;"&amp;$A95,実績!$AL$6:$AL$505,"○")&gt;0,1,0))</f>
        <v>0</v>
      </c>
      <c r="AO95" s="39" t="n">
        <f aca="false">IF(AO$4=0,0,IF(COUNTIFS(実績!$W$6:$W$505,AO$3,実績!$AI$6:$AI$505,"&lt;="&amp;$A95,実績!$AJ$6:$AJ$505,"&gt;"&amp;$A95,実績!$AL$6:$AL$505,"○")&gt;0,1,0))</f>
        <v>0</v>
      </c>
      <c r="AP95" s="39" t="n">
        <f aca="false">IF(AP$4=0,0,IF(COUNTIFS(実績!$W$6:$W$505,AP$3,実績!$AI$6:$AI$505,"&lt;="&amp;$A95,実績!$AJ$6:$AJ$505,"&gt;"&amp;$A95,実績!$AL$6:$AL$505,"○")&gt;0,1,0))</f>
        <v>0</v>
      </c>
      <c r="AQ95" s="39" t="n">
        <f aca="false">IF(AQ$4=0,0,IF(COUNTIFS(実績!$W$6:$W$505,AQ$3,実績!$AI$6:$AI$505,"&lt;="&amp;$A95,実績!$AJ$6:$AJ$505,"&gt;"&amp;$A95,実績!$AL$6:$AL$505,"○")&gt;0,1,0))</f>
        <v>0</v>
      </c>
      <c r="AR95" s="39" t="n">
        <f aca="false">IF(AR$4=0,0,IF(COUNTIFS(実績!$W$6:$W$505,AR$3,実績!$AI$6:$AI$505,"&lt;="&amp;$A95,実績!$AJ$6:$AJ$505,"&gt;"&amp;$A95,実績!$AL$6:$AL$505,"○")&gt;0,1,0))</f>
        <v>0</v>
      </c>
      <c r="AS95" s="39" t="n">
        <f aca="false">IF(AS$4=0,0,IF(COUNTIFS(実績!$W$6:$W$505,AS$3,実績!$AI$6:$AI$505,"&lt;="&amp;$A95,実績!$AJ$6:$AJ$505,"&gt;"&amp;$A95,実績!$AL$6:$AL$505,"○")&gt;0,1,0))</f>
        <v>0</v>
      </c>
      <c r="AT95" s="39" t="n">
        <f aca="false">IF(AT$4=0,0,IF(COUNTIFS(実績!$W$6:$W$505,AT$3,実績!$AI$6:$AI$505,"&lt;="&amp;$A95,実績!$AJ$6:$AJ$505,"&gt;"&amp;$A95,実績!$AL$6:$AL$505,"○")&gt;0,1,0))</f>
        <v>0</v>
      </c>
      <c r="AU95" s="39" t="n">
        <f aca="false">IF(AU$4=0,0,IF(COUNTIFS(実績!$W$6:$W$505,AU$3,実績!$AI$6:$AI$505,"&lt;="&amp;$A95,実績!$AJ$6:$AJ$505,"&gt;"&amp;$A95,実績!$AL$6:$AL$505,"○")&gt;0,1,0))</f>
        <v>0</v>
      </c>
      <c r="AV95" s="39" t="n">
        <f aca="false">IF(AV$4=0,0,IF(COUNTIFS(実績!$W$6:$W$505,AV$3,実績!$AI$6:$AI$505,"&lt;="&amp;$A95,実績!$AJ$6:$AJ$505,"&gt;"&amp;$A95,実績!$AL$6:$AL$505,"○")&gt;0,1,0))</f>
        <v>0</v>
      </c>
      <c r="AW95" s="39" t="n">
        <f aca="false">IF(AW$4=0,0,IF(COUNTIFS(実績!$W$6:$W$505,AW$3,実績!$AI$6:$AI$505,"&lt;="&amp;$A95,実績!$AJ$6:$AJ$505,"&gt;"&amp;$A95,実績!$AL$6:$AL$505,"○")&gt;0,1,0))</f>
        <v>0</v>
      </c>
      <c r="AX95" s="39" t="n">
        <f aca="false">IF(AX$4=0,0,IF(COUNTIFS(実績!$W$6:$W$505,AX$3,実績!$AI$6:$AI$505,"&lt;="&amp;$A95,実績!$AJ$6:$AJ$505,"&gt;"&amp;$A95,実績!$AL$6:$AL$505,"○")&gt;0,1,0))</f>
        <v>0</v>
      </c>
      <c r="AY95" s="39" t="n">
        <f aca="false">IF(AY$4=0,0,IF(COUNTIFS(実績!$W$6:$W$505,AY$3,実績!$AI$6:$AI$505,"&lt;="&amp;$A95,実績!$AJ$6:$AJ$505,"&gt;"&amp;$A95,実績!$AL$6:$AL$505,"○")&gt;0,1,0))</f>
        <v>0</v>
      </c>
      <c r="AZ95" s="39" t="n">
        <f aca="false">IF(AZ$4=0,0,IF(COUNTIFS(実績!$W$6:$W$505,AZ$3,実績!$AI$6:$AI$505,"&lt;="&amp;$A95,実績!$AJ$6:$AJ$505,"&gt;"&amp;$A95,実績!$AL$6:$AL$505,"○")&gt;0,1,0))</f>
        <v>0</v>
      </c>
      <c r="BA95" s="39" t="n">
        <f aca="false">IF(BA$4=0,0,IF(COUNTIFS(実績!$W$6:$W$505,BA$3,実績!$AI$6:$AI$505,"&lt;="&amp;$A95,実績!$AJ$6:$AJ$505,"&gt;"&amp;$A95,実績!$AL$6:$AL$505,"○")&gt;0,1,0))</f>
        <v>0</v>
      </c>
      <c r="BB95" s="39" t="n">
        <f aca="false">IF(BB$4=0,0,IF(COUNTIFS(実績!$W$6:$W$505,BB$3,実績!$AI$6:$AI$505,"&lt;="&amp;$A95,実績!$AJ$6:$AJ$505,"&gt;"&amp;$A95,実績!$AL$6:$AL$505,"○")&gt;0,1,0))</f>
        <v>0</v>
      </c>
      <c r="BC95" s="39" t="n">
        <f aca="false">IF(BC$4=0,0,IF(COUNTIFS(実績!$W$6:$W$505,BC$3,実績!$AI$6:$AI$505,"&lt;="&amp;$A95,実績!$AJ$6:$AJ$505,"&gt;"&amp;$A95,実績!$AL$6:$AL$505,"○")&gt;0,1,0))</f>
        <v>0</v>
      </c>
      <c r="BD95" s="39" t="n">
        <f aca="false">IF(BD$4=0,0,IF(COUNTIFS(実績!$W$6:$W$505,BD$3,実績!$AI$6:$AI$505,"&lt;="&amp;$A95,実績!$AJ$6:$AJ$505,"&gt;"&amp;$A95,実績!$AL$6:$AL$505,"○")&gt;0,1,0))</f>
        <v>0</v>
      </c>
      <c r="BE95" s="39" t="n">
        <f aca="false">IF(BE$4=0,0,IF(COUNTIFS(実績!$W$6:$W$505,BE$3,実績!$AI$6:$AI$505,"&lt;="&amp;$A95,実績!$AJ$6:$AJ$505,"&gt;"&amp;$A95,実績!$AL$6:$AL$505,"○")&gt;0,1,0))</f>
        <v>0</v>
      </c>
      <c r="BF95" s="39" t="n">
        <f aca="false">IF(BF$4=0,0,IF(COUNTIFS(実績!$W$6:$W$505,BF$3,実績!$AI$6:$AI$505,"&lt;="&amp;$A95,実績!$AJ$6:$AJ$505,"&gt;"&amp;$A95,実績!$AL$6:$AL$505,"○")&gt;0,1,0))</f>
        <v>0</v>
      </c>
      <c r="BG95" s="39" t="n">
        <f aca="false">IF(BG$4=0,0,IF(COUNTIFS(実績!$W$6:$W$505,BG$3,実績!$AI$6:$AI$505,"&lt;="&amp;$A95,実績!$AJ$6:$AJ$505,"&gt;"&amp;$A95,実績!$AL$6:$AL$505,"○")&gt;0,1,0))</f>
        <v>0</v>
      </c>
      <c r="BH95" s="39" t="n">
        <f aca="false">IF(BH$4=0,0,IF(COUNTIFS(実績!$W$6:$W$505,BH$3,実績!$AI$6:$AI$505,"&lt;="&amp;$A95,実績!$AJ$6:$AJ$505,"&gt;"&amp;$A95,実績!$AL$6:$AL$505,"○")&gt;0,1,0))</f>
        <v>0</v>
      </c>
      <c r="BI95" s="39" t="n">
        <f aca="false">IF(BI$4=0,0,IF(COUNTIFS(実績!$W$6:$W$505,BI$3,実績!$AI$6:$AI$505,"&lt;="&amp;$A95,実績!$AJ$6:$AJ$505,"&gt;"&amp;$A95,実績!$AL$6:$AL$505,"○")&gt;0,1,0))</f>
        <v>0</v>
      </c>
      <c r="BJ95" s="39" t="n">
        <f aca="false">IF(BJ$4=0,0,IF(COUNTIFS(実績!$W$6:$W$505,BJ$3,実績!$AI$6:$AI$505,"&lt;="&amp;$A95,実績!$AJ$6:$AJ$505,"&gt;"&amp;$A95,実績!$AL$6:$AL$505,"○")&gt;0,1,0))</f>
        <v>0</v>
      </c>
      <c r="BK95" s="39" t="n">
        <f aca="false">IF(BK$4=0,0,IF(COUNTIFS(実績!$W$6:$W$505,BK$3,実績!$AI$6:$AI$505,"&lt;="&amp;$A95,実績!$AJ$6:$AJ$505,"&gt;"&amp;$A95,実績!$AL$6:$AL$505,"○")&gt;0,1,0))</f>
        <v>0</v>
      </c>
      <c r="BL95" s="39" t="n">
        <f aca="false">IF(BL$4=0,0,IF(COUNTIFS(実績!$W$6:$W$505,BL$3,実績!$AI$6:$AI$505,"&lt;="&amp;$A95,実績!$AJ$6:$AJ$505,"&gt;"&amp;$A95,実績!$AL$6:$AL$505,"○")&gt;0,1,0))</f>
        <v>0</v>
      </c>
      <c r="BM95" s="39" t="n">
        <f aca="false">IF(BM$4=0,0,IF(COUNTIFS(実績!$W$6:$W$505,BM$3,実績!$AI$6:$AI$505,"&lt;="&amp;$A95,実績!$AJ$6:$AJ$505,"&gt;"&amp;$A95,実績!$AL$6:$AL$505,"○")&gt;0,1,0))</f>
        <v>0</v>
      </c>
      <c r="BN95" s="39" t="n">
        <f aca="false">IF(BN$4=0,0,IF(COUNTIFS(実績!$W$6:$W$505,BN$3,実績!$AI$6:$AI$505,"&lt;="&amp;$A95,実績!$AJ$6:$AJ$505,"&gt;"&amp;$A95,実績!$AL$6:$AL$505,"○")&gt;0,1,0))</f>
        <v>0</v>
      </c>
      <c r="BO95" s="39" t="n">
        <f aca="false">IF(BO$4=0,0,IF(COUNTIFS(実績!$W$6:$W$505,BO$3,実績!$AI$6:$AI$505,"&lt;="&amp;$A95,実績!$AJ$6:$AJ$505,"&gt;"&amp;$A95,実績!$AL$6:$AL$505,"○")&gt;0,1,0))</f>
        <v>0</v>
      </c>
      <c r="BP95" s="39" t="n">
        <f aca="false">IF(BP$4=0,0,IF(COUNTIFS(実績!$W$6:$W$505,BP$3,実績!$AI$6:$AI$505,"&lt;="&amp;$A95,実績!$AJ$6:$AJ$505,"&gt;"&amp;$A95,実績!$AL$6:$AL$505,"○")&gt;0,1,0))</f>
        <v>0</v>
      </c>
      <c r="BQ95" s="39" t="n">
        <f aca="false">IF(BQ$4=0,0,IF(COUNTIFS(実績!$W$6:$W$505,BQ$3,実績!$AI$6:$AI$505,"&lt;="&amp;$A95,実績!$AJ$6:$AJ$505,"&gt;"&amp;$A95,実績!$AL$6:$AL$505,"○")&gt;0,1,0))</f>
        <v>0</v>
      </c>
      <c r="BR95" s="39" t="n">
        <f aca="false">IF(BR$4=0,0,IF(COUNTIFS(実績!$W$6:$W$505,BR$3,実績!$AI$6:$AI$505,"&lt;="&amp;$A95,実績!$AJ$6:$AJ$505,"&gt;"&amp;$A95,実績!$AL$6:$AL$505,"○")&gt;0,1,0))</f>
        <v>0</v>
      </c>
      <c r="BS95" s="39" t="n">
        <f aca="false">IF(BS$4=0,0,IF(COUNTIFS(実績!$W$6:$W$505,BS$3,実績!$AI$6:$AI$505,"&lt;="&amp;$A95,実績!$AJ$6:$AJ$505,"&gt;"&amp;$A95,実績!$AL$6:$AL$505,"○")&gt;0,1,0))</f>
        <v>0</v>
      </c>
      <c r="BT95" s="39" t="n">
        <f aca="false">IF(BT$4=0,0,IF(COUNTIFS(実績!$W$6:$W$505,BT$3,実績!$AI$6:$AI$505,"&lt;="&amp;$A95,実績!$AJ$6:$AJ$505,"&gt;"&amp;$A95,実績!$AL$6:$AL$505,"○")&gt;0,1,0))</f>
        <v>0</v>
      </c>
      <c r="BU95" s="39" t="n">
        <f aca="false">IF(BU$4=0,0,IF(COUNTIFS(実績!$W$6:$W$505,BU$3,実績!$AI$6:$AI$505,"&lt;="&amp;$A95,実績!$AJ$6:$AJ$505,"&gt;"&amp;$A95,実績!$AL$6:$AL$505,"○")&gt;0,1,0))</f>
        <v>0</v>
      </c>
      <c r="BV95" s="39" t="n">
        <f aca="false">IF(BV$4=0,0,IF(COUNTIFS(実績!$W$6:$W$505,BV$3,実績!$AI$6:$AI$505,"&lt;="&amp;$A95,実績!$AJ$6:$AJ$505,"&gt;"&amp;$A95,実績!$AL$6:$AL$505,"○")&gt;0,1,0))</f>
        <v>0</v>
      </c>
      <c r="BW95" s="39" t="n">
        <f aca="false">IF(BW$4=0,0,IF(COUNTIFS(実績!$W$6:$W$505,BW$3,実績!$AI$6:$AI$505,"&lt;="&amp;$A95,実績!$AJ$6:$AJ$505,"&gt;"&amp;$A95,実績!$AL$6:$AL$505,"○")&gt;0,1,0))</f>
        <v>0</v>
      </c>
      <c r="BX95" s="39" t="n">
        <f aca="false">IF(BX$4=0,0,IF(COUNTIFS(実績!$W$6:$W$505,BX$3,実績!$AI$6:$AI$505,"&lt;="&amp;$A95,実績!$AJ$6:$AJ$505,"&gt;"&amp;$A95,実績!$AL$6:$AL$505,"○")&gt;0,1,0))</f>
        <v>0</v>
      </c>
      <c r="BY95" s="39" t="n">
        <f aca="false">IF(BY$4=0,0,IF(COUNTIFS(実績!$W$6:$W$505,BY$3,実績!$AI$6:$AI$505,"&lt;="&amp;$A95,実績!$AJ$6:$AJ$505,"&gt;"&amp;$A95,実績!$AL$6:$AL$505,"○")&gt;0,1,0))</f>
        <v>0</v>
      </c>
      <c r="BZ95" s="39" t="n">
        <f aca="false">IF(BZ$4=0,0,IF(COUNTIFS(実績!$W$6:$W$505,BZ$3,実績!$AI$6:$AI$505,"&lt;="&amp;$A95,実績!$AJ$6:$AJ$505,"&gt;"&amp;$A95,実績!$AL$6:$AL$505,"○")&gt;0,1,0))</f>
        <v>0</v>
      </c>
      <c r="CA95" s="39" t="n">
        <f aca="false">IF(CA$4=0,0,IF(COUNTIFS(実績!$W$6:$W$505,CA$3,実績!$AI$6:$AI$505,"&lt;="&amp;$A95,実績!$AJ$6:$AJ$505,"&gt;"&amp;$A95,実績!$AL$6:$AL$505,"○")&gt;0,1,0))</f>
        <v>0</v>
      </c>
      <c r="CB95" s="39" t="n">
        <f aca="false">IF(CB$4=0,0,IF(COUNTIFS(実績!$W$6:$W$505,CB$3,実績!$AI$6:$AI$505,"&lt;="&amp;$A95,実績!$AJ$6:$AJ$505,"&gt;"&amp;$A95,実績!$AL$6:$AL$505,"○")&gt;0,1,0))</f>
        <v>0</v>
      </c>
      <c r="CC95" s="39" t="n">
        <f aca="false">IF(CC$4=0,0,IF(COUNTIFS(実績!$W$6:$W$505,CC$3,実績!$AI$6:$AI$505,"&lt;="&amp;$A95,実績!$AJ$6:$AJ$505,"&gt;"&amp;$A95,実績!$AL$6:$AL$505,"○")&gt;0,1,0))</f>
        <v>0</v>
      </c>
      <c r="CD95" s="39" t="n">
        <f aca="false">IF(CD$4=0,0,IF(COUNTIFS(実績!$W$6:$W$505,CD$3,実績!$AI$6:$AI$505,"&lt;="&amp;$A95,実績!$AJ$6:$AJ$505,"&gt;"&amp;$A95,実績!$AL$6:$AL$505,"○")&gt;0,1,0))</f>
        <v>0</v>
      </c>
      <c r="CE95" s="39" t="n">
        <f aca="false">IF(CE$4=0,0,IF(COUNTIFS(実績!$W$6:$W$505,CE$3,実績!$AI$6:$AI$505,"&lt;="&amp;$A95,実績!$AJ$6:$AJ$505,"&gt;"&amp;$A95,実績!$AL$6:$AL$505,"○")&gt;0,1,0))</f>
        <v>0</v>
      </c>
      <c r="CF95" s="39" t="n">
        <f aca="false">IF(CF$4=0,0,IF(COUNTIFS(実績!$W$6:$W$505,CF$3,実績!$AI$6:$AI$505,"&lt;="&amp;$A95,実績!$AJ$6:$AJ$505,"&gt;"&amp;$A95,実績!$AL$6:$AL$505,"○")&gt;0,1,0))</f>
        <v>0</v>
      </c>
      <c r="CG95" s="39" t="n">
        <f aca="false">IF(CG$4=0,0,IF(COUNTIFS(実績!$W$6:$W$505,CG$3,実績!$AI$6:$AI$505,"&lt;="&amp;$A95,実績!$AJ$6:$AJ$505,"&gt;"&amp;$A95,実績!$AL$6:$AL$505,"○")&gt;0,1,0))</f>
        <v>0</v>
      </c>
      <c r="CH95" s="39" t="n">
        <f aca="false">IF(CH$4=0,0,IF(COUNTIFS(実績!$W$6:$W$505,CH$3,実績!$AI$6:$AI$505,"&lt;="&amp;$A95,実績!$AJ$6:$AJ$505,"&gt;"&amp;$A95,実績!$AL$6:$AL$505,"○")&gt;0,1,0))</f>
        <v>0</v>
      </c>
      <c r="CI95" s="39" t="n">
        <f aca="false">IF(CI$4=0,0,IF(COUNTIFS(実績!$W$6:$W$505,CI$3,実績!$AI$6:$AI$505,"&lt;="&amp;$A95,実績!$AJ$6:$AJ$505,"&gt;"&amp;$A95,実績!$AL$6:$AL$505,"○")&gt;0,1,0))</f>
        <v>0</v>
      </c>
      <c r="CJ95" s="39" t="n">
        <f aca="false">IF(CJ$4=0,0,IF(COUNTIFS(実績!$W$6:$W$505,CJ$3,実績!$AI$6:$AI$505,"&lt;="&amp;$A95,実績!$AJ$6:$AJ$505,"&gt;"&amp;$A95,実績!$AL$6:$AL$505,"○")&gt;0,1,0))</f>
        <v>0</v>
      </c>
      <c r="CK95" s="39" t="n">
        <f aca="false">IF(CK$4=0,0,IF(COUNTIFS(実績!$W$6:$W$505,CK$3,実績!$AI$6:$AI$505,"&lt;="&amp;$A95,実績!$AJ$6:$AJ$505,"&gt;"&amp;$A95,実績!$AL$6:$AL$505,"○")&gt;0,1,0))</f>
        <v>0</v>
      </c>
      <c r="CL95" s="39" t="n">
        <f aca="false">IF(CL$4=0,0,IF(COUNTIFS(実績!$W$6:$W$505,CL$3,実績!$AI$6:$AI$505,"&lt;="&amp;$A95,実績!$AJ$6:$AJ$505,"&gt;"&amp;$A95,実績!$AL$6:$AL$505,"○")&gt;0,1,0))</f>
        <v>0</v>
      </c>
      <c r="CM95" s="39" t="n">
        <f aca="false">IF(CM$4=0,0,IF(COUNTIFS(実績!$W$6:$W$505,CM$3,実績!$AI$6:$AI$505,"&lt;="&amp;$A95,実績!$AJ$6:$AJ$505,"&gt;"&amp;$A95,実績!$AL$6:$AL$505,"○")&gt;0,1,0))</f>
        <v>0</v>
      </c>
      <c r="CN95" s="39" t="n">
        <f aca="false">IF(CN$4=0,0,IF(COUNTIFS(実績!$W$6:$W$505,CN$3,実績!$AI$6:$AI$505,"&lt;="&amp;$A95,実績!$AJ$6:$AJ$505,"&gt;"&amp;$A95,実績!$AL$6:$AL$505,"○")&gt;0,1,0))</f>
        <v>0</v>
      </c>
      <c r="CO95" s="39" t="n">
        <f aca="false">IF(CO$4=0,0,IF(COUNTIFS(実績!$W$6:$W$505,CO$3,実績!$AI$6:$AI$505,"&lt;="&amp;$A95,実績!$AJ$6:$AJ$505,"&gt;"&amp;$A95,実績!$AL$6:$AL$505,"○")&gt;0,1,0))</f>
        <v>0</v>
      </c>
      <c r="CP95" s="39" t="n">
        <f aca="false">IF(CP$4=0,0,IF(COUNTIFS(実績!$W$6:$W$505,CP$3,実績!$AI$6:$AI$505,"&lt;="&amp;$A95,実績!$AJ$6:$AJ$505,"&gt;"&amp;$A95,実績!$AL$6:$AL$505,"○")&gt;0,1,0))</f>
        <v>0</v>
      </c>
      <c r="CQ95" s="39" t="n">
        <f aca="false">IF(CQ$4=0,0,IF(COUNTIFS(実績!$W$6:$W$505,CQ$3,実績!$AI$6:$AI$505,"&lt;="&amp;$A95,実績!$AJ$6:$AJ$505,"&gt;"&amp;$A95,実績!$AL$6:$AL$505,"○")&gt;0,1,0))</f>
        <v>0</v>
      </c>
      <c r="CR95" s="39" t="n">
        <f aca="false">IF(CR$4=0,0,IF(COUNTIFS(実績!$W$6:$W$505,CR$3,実績!$AI$6:$AI$505,"&lt;="&amp;$A95,実績!$AJ$6:$AJ$505,"&gt;"&amp;$A95,実績!$AL$6:$AL$505,"○")&gt;0,1,0))</f>
        <v>0</v>
      </c>
      <c r="CS95" s="39" t="n">
        <f aca="false">IF(CS$4=0,0,IF(COUNTIFS(実績!$W$6:$W$505,CS$3,実績!$AI$6:$AI$505,"&lt;="&amp;$A95,実績!$AJ$6:$AJ$505,"&gt;"&amp;$A95,実績!$AL$6:$AL$505,"○")&gt;0,1,0))</f>
        <v>0</v>
      </c>
      <c r="CT95" s="39" t="n">
        <f aca="false">IF(CT$4=0,0,IF(COUNTIFS(実績!$W$6:$W$505,CT$3,実績!$AI$6:$AI$505,"&lt;="&amp;$A95,実績!$AJ$6:$AJ$505,"&gt;"&amp;$A95,実績!$AL$6:$AL$505,"○")&gt;0,1,0))</f>
        <v>0</v>
      </c>
      <c r="CU95" s="39" t="n">
        <f aca="false">IF(CU$4=0,0,IF(COUNTIFS(実績!$W$6:$W$505,CU$3,実績!$AI$6:$AI$505,"&lt;="&amp;$A95,実績!$AJ$6:$AJ$505,"&gt;"&amp;$A95,実績!$AL$6:$AL$505,"○")&gt;0,1,0))</f>
        <v>0</v>
      </c>
      <c r="CV95" s="39" t="n">
        <f aca="false">IF(CV$4=0,0,IF(COUNTIFS(実績!$W$6:$W$505,CV$3,実績!$AI$6:$AI$505,"&lt;="&amp;$A95,実績!$AJ$6:$AJ$505,"&gt;"&amp;$A95,実績!$AL$6:$AL$505,"○")&gt;0,1,0))</f>
        <v>0</v>
      </c>
      <c r="CW95" s="39" t="n">
        <f aca="false">IF(CW$4=0,0,IF(COUNTIFS(実績!$W$6:$W$505,CW$3,実績!$AI$6:$AI$505,"&lt;="&amp;$A95,実績!$AJ$6:$AJ$505,"&gt;"&amp;$A95,実績!$AL$6:$AL$505,"○")&gt;0,1,0))</f>
        <v>0</v>
      </c>
      <c r="CX95" s="39" t="n">
        <f aca="false">IF(CX$4=0,0,IF(COUNTIFS(実績!$W$6:$W$505,CX$3,実績!$AI$6:$AI$505,"&lt;="&amp;$A95,実績!$AJ$6:$AJ$505,"&gt;"&amp;$A95,実績!$AL$6:$AL$505,"○")&gt;0,1,0))</f>
        <v>0</v>
      </c>
      <c r="CY95" s="39" t="n">
        <f aca="false">IF(CY$4=0,0,IF(COUNTIFS(実績!$W$6:$W$505,CY$3,実績!$AI$6:$AI$505,"&lt;="&amp;$A95,実績!$AJ$6:$AJ$505,"&gt;"&amp;$A95,実績!$AL$6:$AL$505,"○")&gt;0,1,0))</f>
        <v>0</v>
      </c>
      <c r="CZ95" s="39" t="n">
        <f aca="false">IF(CZ$4=0,0,IF(COUNTIFS(実績!$W$6:$W$505,CZ$3,実績!$AI$6:$AI$505,"&lt;="&amp;$A95,実績!$AJ$6:$AJ$505,"&gt;"&amp;$A95,実績!$AL$6:$AL$505,"○")&gt;0,1,0))</f>
        <v>0</v>
      </c>
      <c r="DA95" s="39" t="n">
        <f aca="false">IF(DA$4=0,0,IF(COUNTIFS(実績!$W$6:$W$505,DA$3,実績!$AI$6:$AI$505,"&lt;="&amp;$A95,実績!$AJ$6:$AJ$505,"&gt;"&amp;$A95,実績!$AL$6:$AL$505,"○")&gt;0,1,0))</f>
        <v>0</v>
      </c>
      <c r="DB95" s="39" t="n">
        <f aca="false">IF(DB$4=0,0,IF(COUNTIFS(実績!$W$6:$W$505,DB$3,実績!$AI$6:$AI$505,"&lt;="&amp;$A95,実績!$AJ$6:$AJ$505,"&gt;"&amp;$A95,実績!$AL$6:$AL$505,"○")&gt;0,1,0))</f>
        <v>0</v>
      </c>
      <c r="DC95" s="39" t="n">
        <f aca="false">IF(DC$4=0,0,IF(COUNTIFS(実績!$W$6:$W$505,DC$3,実績!$AI$6:$AI$505,"&lt;="&amp;$A95,実績!$AJ$6:$AJ$505,"&gt;"&amp;$A95,実績!$AL$6:$AL$505,"○")&gt;0,1,0))</f>
        <v>0</v>
      </c>
      <c r="DD95" s="39" t="n">
        <f aca="false">IF(DD$4=0,0,IF(COUNTIFS(実績!$W$6:$W$505,DD$3,実績!$AI$6:$AI$505,"&lt;="&amp;$A95,実績!$AJ$6:$AJ$505,"&gt;"&amp;$A95,実績!$AL$6:$AL$505,"○")&gt;0,1,0))</f>
        <v>0</v>
      </c>
      <c r="DE95" s="39" t="n">
        <f aca="false">IF(DE$4=0,0,IF(COUNTIFS(実績!$W$6:$W$505,DE$3,実績!$AI$6:$AI$505,"&lt;="&amp;$A95,実績!$AJ$6:$AJ$505,"&gt;"&amp;$A95,実績!$AL$6:$AL$505,"○")&gt;0,1,0))</f>
        <v>0</v>
      </c>
      <c r="DF95" s="39" t="n">
        <f aca="false">IF(DF$4=0,0,IF(COUNTIFS(実績!$W$6:$W$505,DF$3,実績!$AI$6:$AI$505,"&lt;="&amp;$A95,実績!$AJ$6:$AJ$505,"&gt;"&amp;$A95,実績!$AL$6:$AL$505,"○")&gt;0,1,0))</f>
        <v>0</v>
      </c>
      <c r="DG95" s="39" t="n">
        <f aca="false">IF(DG$4=0,0,IF(COUNTIFS(実績!$W$6:$W$505,DG$3,実績!$AI$6:$AI$505,"&lt;="&amp;$A95,実績!$AJ$6:$AJ$505,"&gt;"&amp;$A95,実績!$AL$6:$AL$505,"○")&gt;0,1,0))</f>
        <v>0</v>
      </c>
      <c r="DH95" s="39" t="n">
        <f aca="false">IF(DH$4=0,0,IF(COUNTIFS(実績!$W$6:$W$505,DH$3,実績!$AI$6:$AI$505,"&lt;="&amp;$A95,実績!$AJ$6:$AJ$505,"&gt;"&amp;$A95,実績!$AL$6:$AL$505,"○")&gt;0,1,0))</f>
        <v>0</v>
      </c>
      <c r="DI95" s="39" t="n">
        <f aca="false">IF(DI$4=0,0,IF(COUNTIFS(実績!$W$6:$W$505,DI$3,実績!$AI$6:$AI$505,"&lt;="&amp;$A95,実績!$AJ$6:$AJ$505,"&gt;"&amp;$A95,実績!$AL$6:$AL$505,"○")&gt;0,1,0))</f>
        <v>0</v>
      </c>
      <c r="DJ95" s="39" t="n">
        <f aca="false">IF(DJ$4=0,0,IF(COUNTIFS(実績!$W$6:$W$505,DJ$3,実績!$AI$6:$AI$505,"&lt;="&amp;$A95,実績!$AJ$6:$AJ$505,"&gt;"&amp;$A95,実績!$AL$6:$AL$505,"○")&gt;0,1,0))</f>
        <v>0</v>
      </c>
      <c r="DK95" s="39" t="n">
        <f aca="false">IF(DK$4=0,0,IF(COUNTIFS(実績!$W$6:$W$505,DK$3,実績!$AI$6:$AI$505,"&lt;="&amp;$A95,実績!$AJ$6:$AJ$505,"&gt;"&amp;$A95,実績!$AL$6:$AL$505,"○")&gt;0,1,0))</f>
        <v>0</v>
      </c>
      <c r="DL95" s="39" t="n">
        <f aca="false">IF(DL$4=0,0,IF(COUNTIFS(実績!$W$6:$W$505,DL$3,実績!$AI$6:$AI$505,"&lt;="&amp;$A95,実績!$AJ$6:$AJ$505,"&gt;"&amp;$A95,実績!$AL$6:$AL$505,"○")&gt;0,1,0))</f>
        <v>0</v>
      </c>
      <c r="DM95" s="39" t="n">
        <f aca="false">IF(DM$4=0,0,IF(COUNTIFS(実績!$W$6:$W$505,DM$3,実績!$AI$6:$AI$505,"&lt;="&amp;$A95,実績!$AJ$6:$AJ$505,"&gt;"&amp;$A95,実績!$AL$6:$AL$505,"○")&gt;0,1,0))</f>
        <v>0</v>
      </c>
      <c r="DN95" s="39" t="n">
        <f aca="false">IF(DN$4=0,0,IF(COUNTIFS(実績!$W$6:$W$505,DN$3,実績!$AI$6:$AI$505,"&lt;="&amp;$A95,実績!$AJ$6:$AJ$505,"&gt;"&amp;$A95,実績!$AL$6:$AL$505,"○")&gt;0,1,0))</f>
        <v>0</v>
      </c>
      <c r="DO95" s="39" t="n">
        <f aca="false">IF(DO$4=0,0,IF(COUNTIFS(実績!$W$6:$W$505,DO$3,実績!$AI$6:$AI$505,"&lt;="&amp;$A95,実績!$AJ$6:$AJ$505,"&gt;"&amp;$A95,実績!$AL$6:$AL$505,"○")&gt;0,1,0))</f>
        <v>0</v>
      </c>
      <c r="DP95" s="39" t="n">
        <f aca="false">IF(DP$4=0,0,IF(COUNTIFS(実績!$W$6:$W$505,DP$3,実績!$AI$6:$AI$505,"&lt;="&amp;$A95,実績!$AJ$6:$AJ$505,"&gt;"&amp;$A95,実績!$AL$6:$AL$505,"○")&gt;0,1,0))</f>
        <v>0</v>
      </c>
      <c r="DQ95" s="39" t="n">
        <f aca="false">IF(DQ$4=0,0,IF(COUNTIFS(実績!$W$6:$W$505,DQ$3,実績!$AI$6:$AI$505,"&lt;="&amp;$A95,実績!$AJ$6:$AJ$505,"&gt;"&amp;$A95,実績!$AL$6:$AL$505,"○")&gt;0,1,0))</f>
        <v>0</v>
      </c>
      <c r="DR95" s="39" t="n">
        <f aca="false">IF(DR$4=0,0,IF(COUNTIFS(実績!$W$6:$W$505,DR$3,実績!$AI$6:$AI$505,"&lt;="&amp;$A95,実績!$AJ$6:$AJ$505,"&gt;"&amp;$A95,実績!$AL$6:$AL$505,"○")&gt;0,1,0))</f>
        <v>0</v>
      </c>
      <c r="DS95" s="39" t="n">
        <f aca="false">SUM(C95:DR95)</f>
        <v>0</v>
      </c>
    </row>
    <row r="96" customFormat="false" ht="15" hidden="false" customHeight="false" outlineLevel="0" collapsed="false">
      <c r="A96" s="0" t="n">
        <v>450</v>
      </c>
      <c r="B96" s="38" t="n">
        <f aca="false">A96/1440</f>
        <v>0.3125</v>
      </c>
      <c r="C96" s="39" t="n">
        <f aca="false">IF(C$4=0,0,IF(COUNTIFS(実績!$W$6:$W$505,C$3,実績!$AI$6:$AI$505,"&lt;="&amp;$A96,実績!$AJ$6:$AJ$505,"&gt;"&amp;$A96,実績!$AL$6:$AL$505,"○")&gt;0,1,0))</f>
        <v>0</v>
      </c>
      <c r="D96" s="39" t="n">
        <f aca="false">IF(D$4=0,0,IF(COUNTIFS(実績!$W$6:$W$505,D$3,実績!$AI$6:$AI$505,"&lt;="&amp;$A96,実績!$AJ$6:$AJ$505,"&gt;"&amp;$A96,実績!$AL$6:$AL$505,"○")&gt;0,1,0))</f>
        <v>0</v>
      </c>
      <c r="E96" s="39" t="n">
        <f aca="false">IF(E$4=0,0,IF(COUNTIFS(実績!$W$6:$W$505,E$3,実績!$AI$6:$AI$505,"&lt;="&amp;$A96,実績!$AJ$6:$AJ$505,"&gt;"&amp;$A96,実績!$AL$6:$AL$505,"○")&gt;0,1,0))</f>
        <v>0</v>
      </c>
      <c r="F96" s="39" t="n">
        <f aca="false">IF(F$4=0,0,IF(COUNTIFS(実績!$W$6:$W$505,F$3,実績!$AI$6:$AI$505,"&lt;="&amp;$A96,実績!$AJ$6:$AJ$505,"&gt;"&amp;$A96,実績!$AL$6:$AL$505,"○")&gt;0,1,0))</f>
        <v>0</v>
      </c>
      <c r="G96" s="39" t="n">
        <f aca="false">IF(G$4=0,0,IF(COUNTIFS(実績!$W$6:$W$505,G$3,実績!$AI$6:$AI$505,"&lt;="&amp;$A96,実績!$AJ$6:$AJ$505,"&gt;"&amp;$A96,実績!$AL$6:$AL$505,"○")&gt;0,1,0))</f>
        <v>0</v>
      </c>
      <c r="H96" s="39" t="n">
        <f aca="false">IF(H$4=0,0,IF(COUNTIFS(実績!$W$6:$W$505,H$3,実績!$AI$6:$AI$505,"&lt;="&amp;$A96,実績!$AJ$6:$AJ$505,"&gt;"&amp;$A96,実績!$AL$6:$AL$505,"○")&gt;0,1,0))</f>
        <v>0</v>
      </c>
      <c r="I96" s="39" t="n">
        <f aca="false">IF(I$4=0,0,IF(COUNTIFS(実績!$W$6:$W$505,I$3,実績!$AI$6:$AI$505,"&lt;="&amp;$A96,実績!$AJ$6:$AJ$505,"&gt;"&amp;$A96,実績!$AL$6:$AL$505,"○")&gt;0,1,0))</f>
        <v>0</v>
      </c>
      <c r="J96" s="39" t="n">
        <f aca="false">IF(J$4=0,0,IF(COUNTIFS(実績!$W$6:$W$505,J$3,実績!$AI$6:$AI$505,"&lt;="&amp;$A96,実績!$AJ$6:$AJ$505,"&gt;"&amp;$A96,実績!$AL$6:$AL$505,"○")&gt;0,1,0))</f>
        <v>0</v>
      </c>
      <c r="K96" s="39" t="n">
        <f aca="false">IF(K$4=0,0,IF(COUNTIFS(実績!$W$6:$W$505,K$3,実績!$AI$6:$AI$505,"&lt;="&amp;$A96,実績!$AJ$6:$AJ$505,"&gt;"&amp;$A96,実績!$AL$6:$AL$505,"○")&gt;0,1,0))</f>
        <v>0</v>
      </c>
      <c r="L96" s="39" t="n">
        <f aca="false">IF(L$4=0,0,IF(COUNTIFS(実績!$W$6:$W$505,L$3,実績!$AI$6:$AI$505,"&lt;="&amp;$A96,実績!$AJ$6:$AJ$505,"&gt;"&amp;$A96,実績!$AL$6:$AL$505,"○")&gt;0,1,0))</f>
        <v>0</v>
      </c>
      <c r="M96" s="39" t="n">
        <f aca="false">IF(M$4=0,0,IF(COUNTIFS(実績!$W$6:$W$505,M$3,実績!$AI$6:$AI$505,"&lt;="&amp;$A96,実績!$AJ$6:$AJ$505,"&gt;"&amp;$A96,実績!$AL$6:$AL$505,"○")&gt;0,1,0))</f>
        <v>0</v>
      </c>
      <c r="N96" s="39" t="n">
        <f aca="false">IF(N$4=0,0,IF(COUNTIFS(実績!$W$6:$W$505,N$3,実績!$AI$6:$AI$505,"&lt;="&amp;$A96,実績!$AJ$6:$AJ$505,"&gt;"&amp;$A96,実績!$AL$6:$AL$505,"○")&gt;0,1,0))</f>
        <v>0</v>
      </c>
      <c r="O96" s="39" t="n">
        <f aca="false">IF(O$4=0,0,IF(COUNTIFS(実績!$W$6:$W$505,O$3,実績!$AI$6:$AI$505,"&lt;="&amp;$A96,実績!$AJ$6:$AJ$505,"&gt;"&amp;$A96,実績!$AL$6:$AL$505,"○")&gt;0,1,0))</f>
        <v>0</v>
      </c>
      <c r="P96" s="39" t="n">
        <f aca="false">IF(P$4=0,0,IF(COUNTIFS(実績!$W$6:$W$505,P$3,実績!$AI$6:$AI$505,"&lt;="&amp;$A96,実績!$AJ$6:$AJ$505,"&gt;"&amp;$A96,実績!$AL$6:$AL$505,"○")&gt;0,1,0))</f>
        <v>0</v>
      </c>
      <c r="Q96" s="39" t="n">
        <f aca="false">IF(Q$4=0,0,IF(COUNTIFS(実績!$W$6:$W$505,Q$3,実績!$AI$6:$AI$505,"&lt;="&amp;$A96,実績!$AJ$6:$AJ$505,"&gt;"&amp;$A96,実績!$AL$6:$AL$505,"○")&gt;0,1,0))</f>
        <v>0</v>
      </c>
      <c r="R96" s="39" t="n">
        <f aca="false">IF(R$4=0,0,IF(COUNTIFS(実績!$W$6:$W$505,R$3,実績!$AI$6:$AI$505,"&lt;="&amp;$A96,実績!$AJ$6:$AJ$505,"&gt;"&amp;$A96,実績!$AL$6:$AL$505,"○")&gt;0,1,0))</f>
        <v>0</v>
      </c>
      <c r="S96" s="39" t="n">
        <f aca="false">IF(S$4=0,0,IF(COUNTIFS(実績!$W$6:$W$505,S$3,実績!$AI$6:$AI$505,"&lt;="&amp;$A96,実績!$AJ$6:$AJ$505,"&gt;"&amp;$A96,実績!$AL$6:$AL$505,"○")&gt;0,1,0))</f>
        <v>0</v>
      </c>
      <c r="T96" s="39" t="n">
        <f aca="false">IF(T$4=0,0,IF(COUNTIFS(実績!$W$6:$W$505,T$3,実績!$AI$6:$AI$505,"&lt;="&amp;$A96,実績!$AJ$6:$AJ$505,"&gt;"&amp;$A96,実績!$AL$6:$AL$505,"○")&gt;0,1,0))</f>
        <v>0</v>
      </c>
      <c r="U96" s="39" t="n">
        <f aca="false">IF(U$4=0,0,IF(COUNTIFS(実績!$W$6:$W$505,U$3,実績!$AI$6:$AI$505,"&lt;="&amp;$A96,実績!$AJ$6:$AJ$505,"&gt;"&amp;$A96,実績!$AL$6:$AL$505,"○")&gt;0,1,0))</f>
        <v>0</v>
      </c>
      <c r="V96" s="39" t="n">
        <f aca="false">IF(V$4=0,0,IF(COUNTIFS(実績!$W$6:$W$505,V$3,実績!$AI$6:$AI$505,"&lt;="&amp;$A96,実績!$AJ$6:$AJ$505,"&gt;"&amp;$A96,実績!$AL$6:$AL$505,"○")&gt;0,1,0))</f>
        <v>0</v>
      </c>
      <c r="W96" s="39" t="n">
        <f aca="false">IF(W$4=0,0,IF(COUNTIFS(実績!$W$6:$W$505,W$3,実績!$AI$6:$AI$505,"&lt;="&amp;$A96,実績!$AJ$6:$AJ$505,"&gt;"&amp;$A96,実績!$AL$6:$AL$505,"○")&gt;0,1,0))</f>
        <v>0</v>
      </c>
      <c r="X96" s="39" t="n">
        <f aca="false">IF(X$4=0,0,IF(COUNTIFS(実績!$W$6:$W$505,X$3,実績!$AI$6:$AI$505,"&lt;="&amp;$A96,実績!$AJ$6:$AJ$505,"&gt;"&amp;$A96,実績!$AL$6:$AL$505,"○")&gt;0,1,0))</f>
        <v>0</v>
      </c>
      <c r="Y96" s="39" t="n">
        <f aca="false">IF(Y$4=0,0,IF(COUNTIFS(実績!$W$6:$W$505,Y$3,実績!$AI$6:$AI$505,"&lt;="&amp;$A96,実績!$AJ$6:$AJ$505,"&gt;"&amp;$A96,実績!$AL$6:$AL$505,"○")&gt;0,1,0))</f>
        <v>0</v>
      </c>
      <c r="Z96" s="39" t="n">
        <f aca="false">IF(Z$4=0,0,IF(COUNTIFS(実績!$W$6:$W$505,Z$3,実績!$AI$6:$AI$505,"&lt;="&amp;$A96,実績!$AJ$6:$AJ$505,"&gt;"&amp;$A96,実績!$AL$6:$AL$505,"○")&gt;0,1,0))</f>
        <v>0</v>
      </c>
      <c r="AA96" s="39" t="n">
        <f aca="false">IF(AA$4=0,0,IF(COUNTIFS(実績!$W$6:$W$505,AA$3,実績!$AI$6:$AI$505,"&lt;="&amp;$A96,実績!$AJ$6:$AJ$505,"&gt;"&amp;$A96,実績!$AL$6:$AL$505,"○")&gt;0,1,0))</f>
        <v>0</v>
      </c>
      <c r="AB96" s="39" t="n">
        <f aca="false">IF(AB$4=0,0,IF(COUNTIFS(実績!$W$6:$W$505,AB$3,実績!$AI$6:$AI$505,"&lt;="&amp;$A96,実績!$AJ$6:$AJ$505,"&gt;"&amp;$A96,実績!$AL$6:$AL$505,"○")&gt;0,1,0))</f>
        <v>0</v>
      </c>
      <c r="AC96" s="39" t="n">
        <f aca="false">IF(AC$4=0,0,IF(COUNTIFS(実績!$W$6:$W$505,AC$3,実績!$AI$6:$AI$505,"&lt;="&amp;$A96,実績!$AJ$6:$AJ$505,"&gt;"&amp;$A96,実績!$AL$6:$AL$505,"○")&gt;0,1,0))</f>
        <v>0</v>
      </c>
      <c r="AD96" s="39" t="n">
        <f aca="false">IF(AD$4=0,0,IF(COUNTIFS(実績!$W$6:$W$505,AD$3,実績!$AI$6:$AI$505,"&lt;="&amp;$A96,実績!$AJ$6:$AJ$505,"&gt;"&amp;$A96,実績!$AL$6:$AL$505,"○")&gt;0,1,0))</f>
        <v>0</v>
      </c>
      <c r="AE96" s="39" t="n">
        <f aca="false">IF(AE$4=0,0,IF(COUNTIFS(実績!$W$6:$W$505,AE$3,実績!$AI$6:$AI$505,"&lt;="&amp;$A96,実績!$AJ$6:$AJ$505,"&gt;"&amp;$A96,実績!$AL$6:$AL$505,"○")&gt;0,1,0))</f>
        <v>0</v>
      </c>
      <c r="AF96" s="39" t="n">
        <f aca="false">IF(AF$4=0,0,IF(COUNTIFS(実績!$W$6:$W$505,AF$3,実績!$AI$6:$AI$505,"&lt;="&amp;$A96,実績!$AJ$6:$AJ$505,"&gt;"&amp;$A96,実績!$AL$6:$AL$505,"○")&gt;0,1,0))</f>
        <v>0</v>
      </c>
      <c r="AG96" s="39" t="n">
        <f aca="false">IF(AG$4=0,0,IF(COUNTIFS(実績!$W$6:$W$505,AG$3,実績!$AI$6:$AI$505,"&lt;="&amp;$A96,実績!$AJ$6:$AJ$505,"&gt;"&amp;$A96,実績!$AL$6:$AL$505,"○")&gt;0,1,0))</f>
        <v>0</v>
      </c>
      <c r="AH96" s="39" t="n">
        <f aca="false">IF(AH$4=0,0,IF(COUNTIFS(実績!$W$6:$W$505,AH$3,実績!$AI$6:$AI$505,"&lt;="&amp;$A96,実績!$AJ$6:$AJ$505,"&gt;"&amp;$A96,実績!$AL$6:$AL$505,"○")&gt;0,1,0))</f>
        <v>0</v>
      </c>
      <c r="AI96" s="39" t="n">
        <f aca="false">IF(AI$4=0,0,IF(COUNTIFS(実績!$W$6:$W$505,AI$3,実績!$AI$6:$AI$505,"&lt;="&amp;$A96,実績!$AJ$6:$AJ$505,"&gt;"&amp;$A96,実績!$AL$6:$AL$505,"○")&gt;0,1,0))</f>
        <v>0</v>
      </c>
      <c r="AJ96" s="39" t="n">
        <f aca="false">IF(AJ$4=0,0,IF(COUNTIFS(実績!$W$6:$W$505,AJ$3,実績!$AI$6:$AI$505,"&lt;="&amp;$A96,実績!$AJ$6:$AJ$505,"&gt;"&amp;$A96,実績!$AL$6:$AL$505,"○")&gt;0,1,0))</f>
        <v>0</v>
      </c>
      <c r="AK96" s="39" t="n">
        <f aca="false">IF(AK$4=0,0,IF(COUNTIFS(実績!$W$6:$W$505,AK$3,実績!$AI$6:$AI$505,"&lt;="&amp;$A96,実績!$AJ$6:$AJ$505,"&gt;"&amp;$A96,実績!$AL$6:$AL$505,"○")&gt;0,1,0))</f>
        <v>0</v>
      </c>
      <c r="AL96" s="39" t="n">
        <f aca="false">IF(AL$4=0,0,IF(COUNTIFS(実績!$W$6:$W$505,AL$3,実績!$AI$6:$AI$505,"&lt;="&amp;$A96,実績!$AJ$6:$AJ$505,"&gt;"&amp;$A96,実績!$AL$6:$AL$505,"○")&gt;0,1,0))</f>
        <v>0</v>
      </c>
      <c r="AM96" s="39" t="n">
        <f aca="false">IF(AM$4=0,0,IF(COUNTIFS(実績!$W$6:$W$505,AM$3,実績!$AI$6:$AI$505,"&lt;="&amp;$A96,実績!$AJ$6:$AJ$505,"&gt;"&amp;$A96,実績!$AL$6:$AL$505,"○")&gt;0,1,0))</f>
        <v>0</v>
      </c>
      <c r="AN96" s="39" t="n">
        <f aca="false">IF(AN$4=0,0,IF(COUNTIFS(実績!$W$6:$W$505,AN$3,実績!$AI$6:$AI$505,"&lt;="&amp;$A96,実績!$AJ$6:$AJ$505,"&gt;"&amp;$A96,実績!$AL$6:$AL$505,"○")&gt;0,1,0))</f>
        <v>0</v>
      </c>
      <c r="AO96" s="39" t="n">
        <f aca="false">IF(AO$4=0,0,IF(COUNTIFS(実績!$W$6:$W$505,AO$3,実績!$AI$6:$AI$505,"&lt;="&amp;$A96,実績!$AJ$6:$AJ$505,"&gt;"&amp;$A96,実績!$AL$6:$AL$505,"○")&gt;0,1,0))</f>
        <v>0</v>
      </c>
      <c r="AP96" s="39" t="n">
        <f aca="false">IF(AP$4=0,0,IF(COUNTIFS(実績!$W$6:$W$505,AP$3,実績!$AI$6:$AI$505,"&lt;="&amp;$A96,実績!$AJ$6:$AJ$505,"&gt;"&amp;$A96,実績!$AL$6:$AL$505,"○")&gt;0,1,0))</f>
        <v>0</v>
      </c>
      <c r="AQ96" s="39" t="n">
        <f aca="false">IF(AQ$4=0,0,IF(COUNTIFS(実績!$W$6:$W$505,AQ$3,実績!$AI$6:$AI$505,"&lt;="&amp;$A96,実績!$AJ$6:$AJ$505,"&gt;"&amp;$A96,実績!$AL$6:$AL$505,"○")&gt;0,1,0))</f>
        <v>0</v>
      </c>
      <c r="AR96" s="39" t="n">
        <f aca="false">IF(AR$4=0,0,IF(COUNTIFS(実績!$W$6:$W$505,AR$3,実績!$AI$6:$AI$505,"&lt;="&amp;$A96,実績!$AJ$6:$AJ$505,"&gt;"&amp;$A96,実績!$AL$6:$AL$505,"○")&gt;0,1,0))</f>
        <v>0</v>
      </c>
      <c r="AS96" s="39" t="n">
        <f aca="false">IF(AS$4=0,0,IF(COUNTIFS(実績!$W$6:$W$505,AS$3,実績!$AI$6:$AI$505,"&lt;="&amp;$A96,実績!$AJ$6:$AJ$505,"&gt;"&amp;$A96,実績!$AL$6:$AL$505,"○")&gt;0,1,0))</f>
        <v>0</v>
      </c>
      <c r="AT96" s="39" t="n">
        <f aca="false">IF(AT$4=0,0,IF(COUNTIFS(実績!$W$6:$W$505,AT$3,実績!$AI$6:$AI$505,"&lt;="&amp;$A96,実績!$AJ$6:$AJ$505,"&gt;"&amp;$A96,実績!$AL$6:$AL$505,"○")&gt;0,1,0))</f>
        <v>0</v>
      </c>
      <c r="AU96" s="39" t="n">
        <f aca="false">IF(AU$4=0,0,IF(COUNTIFS(実績!$W$6:$W$505,AU$3,実績!$AI$6:$AI$505,"&lt;="&amp;$A96,実績!$AJ$6:$AJ$505,"&gt;"&amp;$A96,実績!$AL$6:$AL$505,"○")&gt;0,1,0))</f>
        <v>0</v>
      </c>
      <c r="AV96" s="39" t="n">
        <f aca="false">IF(AV$4=0,0,IF(COUNTIFS(実績!$W$6:$W$505,AV$3,実績!$AI$6:$AI$505,"&lt;="&amp;$A96,実績!$AJ$6:$AJ$505,"&gt;"&amp;$A96,実績!$AL$6:$AL$505,"○")&gt;0,1,0))</f>
        <v>0</v>
      </c>
      <c r="AW96" s="39" t="n">
        <f aca="false">IF(AW$4=0,0,IF(COUNTIFS(実績!$W$6:$W$505,AW$3,実績!$AI$6:$AI$505,"&lt;="&amp;$A96,実績!$AJ$6:$AJ$505,"&gt;"&amp;$A96,実績!$AL$6:$AL$505,"○")&gt;0,1,0))</f>
        <v>0</v>
      </c>
      <c r="AX96" s="39" t="n">
        <f aca="false">IF(AX$4=0,0,IF(COUNTIFS(実績!$W$6:$W$505,AX$3,実績!$AI$6:$AI$505,"&lt;="&amp;$A96,実績!$AJ$6:$AJ$505,"&gt;"&amp;$A96,実績!$AL$6:$AL$505,"○")&gt;0,1,0))</f>
        <v>0</v>
      </c>
      <c r="AY96" s="39" t="n">
        <f aca="false">IF(AY$4=0,0,IF(COUNTIFS(実績!$W$6:$W$505,AY$3,実績!$AI$6:$AI$505,"&lt;="&amp;$A96,実績!$AJ$6:$AJ$505,"&gt;"&amp;$A96,実績!$AL$6:$AL$505,"○")&gt;0,1,0))</f>
        <v>0</v>
      </c>
      <c r="AZ96" s="39" t="n">
        <f aca="false">IF(AZ$4=0,0,IF(COUNTIFS(実績!$W$6:$W$505,AZ$3,実績!$AI$6:$AI$505,"&lt;="&amp;$A96,実績!$AJ$6:$AJ$505,"&gt;"&amp;$A96,実績!$AL$6:$AL$505,"○")&gt;0,1,0))</f>
        <v>0</v>
      </c>
      <c r="BA96" s="39" t="n">
        <f aca="false">IF(BA$4=0,0,IF(COUNTIFS(実績!$W$6:$W$505,BA$3,実績!$AI$6:$AI$505,"&lt;="&amp;$A96,実績!$AJ$6:$AJ$505,"&gt;"&amp;$A96,実績!$AL$6:$AL$505,"○")&gt;0,1,0))</f>
        <v>0</v>
      </c>
      <c r="BB96" s="39" t="n">
        <f aca="false">IF(BB$4=0,0,IF(COUNTIFS(実績!$W$6:$W$505,BB$3,実績!$AI$6:$AI$505,"&lt;="&amp;$A96,実績!$AJ$6:$AJ$505,"&gt;"&amp;$A96,実績!$AL$6:$AL$505,"○")&gt;0,1,0))</f>
        <v>0</v>
      </c>
      <c r="BC96" s="39" t="n">
        <f aca="false">IF(BC$4=0,0,IF(COUNTIFS(実績!$W$6:$W$505,BC$3,実績!$AI$6:$AI$505,"&lt;="&amp;$A96,実績!$AJ$6:$AJ$505,"&gt;"&amp;$A96,実績!$AL$6:$AL$505,"○")&gt;0,1,0))</f>
        <v>0</v>
      </c>
      <c r="BD96" s="39" t="n">
        <f aca="false">IF(BD$4=0,0,IF(COUNTIFS(実績!$W$6:$W$505,BD$3,実績!$AI$6:$AI$505,"&lt;="&amp;$A96,実績!$AJ$6:$AJ$505,"&gt;"&amp;$A96,実績!$AL$6:$AL$505,"○")&gt;0,1,0))</f>
        <v>0</v>
      </c>
      <c r="BE96" s="39" t="n">
        <f aca="false">IF(BE$4=0,0,IF(COUNTIFS(実績!$W$6:$W$505,BE$3,実績!$AI$6:$AI$505,"&lt;="&amp;$A96,実績!$AJ$6:$AJ$505,"&gt;"&amp;$A96,実績!$AL$6:$AL$505,"○")&gt;0,1,0))</f>
        <v>0</v>
      </c>
      <c r="BF96" s="39" t="n">
        <f aca="false">IF(BF$4=0,0,IF(COUNTIFS(実績!$W$6:$W$505,BF$3,実績!$AI$6:$AI$505,"&lt;="&amp;$A96,実績!$AJ$6:$AJ$505,"&gt;"&amp;$A96,実績!$AL$6:$AL$505,"○")&gt;0,1,0))</f>
        <v>0</v>
      </c>
      <c r="BG96" s="39" t="n">
        <f aca="false">IF(BG$4=0,0,IF(COUNTIFS(実績!$W$6:$W$505,BG$3,実績!$AI$6:$AI$505,"&lt;="&amp;$A96,実績!$AJ$6:$AJ$505,"&gt;"&amp;$A96,実績!$AL$6:$AL$505,"○")&gt;0,1,0))</f>
        <v>0</v>
      </c>
      <c r="BH96" s="39" t="n">
        <f aca="false">IF(BH$4=0,0,IF(COUNTIFS(実績!$W$6:$W$505,BH$3,実績!$AI$6:$AI$505,"&lt;="&amp;$A96,実績!$AJ$6:$AJ$505,"&gt;"&amp;$A96,実績!$AL$6:$AL$505,"○")&gt;0,1,0))</f>
        <v>0</v>
      </c>
      <c r="BI96" s="39" t="n">
        <f aca="false">IF(BI$4=0,0,IF(COUNTIFS(実績!$W$6:$W$505,BI$3,実績!$AI$6:$AI$505,"&lt;="&amp;$A96,実績!$AJ$6:$AJ$505,"&gt;"&amp;$A96,実績!$AL$6:$AL$505,"○")&gt;0,1,0))</f>
        <v>0</v>
      </c>
      <c r="BJ96" s="39" t="n">
        <f aca="false">IF(BJ$4=0,0,IF(COUNTIFS(実績!$W$6:$W$505,BJ$3,実績!$AI$6:$AI$505,"&lt;="&amp;$A96,実績!$AJ$6:$AJ$505,"&gt;"&amp;$A96,実績!$AL$6:$AL$505,"○")&gt;0,1,0))</f>
        <v>0</v>
      </c>
      <c r="BK96" s="39" t="n">
        <f aca="false">IF(BK$4=0,0,IF(COUNTIFS(実績!$W$6:$W$505,BK$3,実績!$AI$6:$AI$505,"&lt;="&amp;$A96,実績!$AJ$6:$AJ$505,"&gt;"&amp;$A96,実績!$AL$6:$AL$505,"○")&gt;0,1,0))</f>
        <v>0</v>
      </c>
      <c r="BL96" s="39" t="n">
        <f aca="false">IF(BL$4=0,0,IF(COUNTIFS(実績!$W$6:$W$505,BL$3,実績!$AI$6:$AI$505,"&lt;="&amp;$A96,実績!$AJ$6:$AJ$505,"&gt;"&amp;$A96,実績!$AL$6:$AL$505,"○")&gt;0,1,0))</f>
        <v>0</v>
      </c>
      <c r="BM96" s="39" t="n">
        <f aca="false">IF(BM$4=0,0,IF(COUNTIFS(実績!$W$6:$W$505,BM$3,実績!$AI$6:$AI$505,"&lt;="&amp;$A96,実績!$AJ$6:$AJ$505,"&gt;"&amp;$A96,実績!$AL$6:$AL$505,"○")&gt;0,1,0))</f>
        <v>0</v>
      </c>
      <c r="BN96" s="39" t="n">
        <f aca="false">IF(BN$4=0,0,IF(COUNTIFS(実績!$W$6:$W$505,BN$3,実績!$AI$6:$AI$505,"&lt;="&amp;$A96,実績!$AJ$6:$AJ$505,"&gt;"&amp;$A96,実績!$AL$6:$AL$505,"○")&gt;0,1,0))</f>
        <v>0</v>
      </c>
      <c r="BO96" s="39" t="n">
        <f aca="false">IF(BO$4=0,0,IF(COUNTIFS(実績!$W$6:$W$505,BO$3,実績!$AI$6:$AI$505,"&lt;="&amp;$A96,実績!$AJ$6:$AJ$505,"&gt;"&amp;$A96,実績!$AL$6:$AL$505,"○")&gt;0,1,0))</f>
        <v>0</v>
      </c>
      <c r="BP96" s="39" t="n">
        <f aca="false">IF(BP$4=0,0,IF(COUNTIFS(実績!$W$6:$W$505,BP$3,実績!$AI$6:$AI$505,"&lt;="&amp;$A96,実績!$AJ$6:$AJ$505,"&gt;"&amp;$A96,実績!$AL$6:$AL$505,"○")&gt;0,1,0))</f>
        <v>0</v>
      </c>
      <c r="BQ96" s="39" t="n">
        <f aca="false">IF(BQ$4=0,0,IF(COUNTIFS(実績!$W$6:$W$505,BQ$3,実績!$AI$6:$AI$505,"&lt;="&amp;$A96,実績!$AJ$6:$AJ$505,"&gt;"&amp;$A96,実績!$AL$6:$AL$505,"○")&gt;0,1,0))</f>
        <v>0</v>
      </c>
      <c r="BR96" s="39" t="n">
        <f aca="false">IF(BR$4=0,0,IF(COUNTIFS(実績!$W$6:$W$505,BR$3,実績!$AI$6:$AI$505,"&lt;="&amp;$A96,実績!$AJ$6:$AJ$505,"&gt;"&amp;$A96,実績!$AL$6:$AL$505,"○")&gt;0,1,0))</f>
        <v>0</v>
      </c>
      <c r="BS96" s="39" t="n">
        <f aca="false">IF(BS$4=0,0,IF(COUNTIFS(実績!$W$6:$W$505,BS$3,実績!$AI$6:$AI$505,"&lt;="&amp;$A96,実績!$AJ$6:$AJ$505,"&gt;"&amp;$A96,実績!$AL$6:$AL$505,"○")&gt;0,1,0))</f>
        <v>0</v>
      </c>
      <c r="BT96" s="39" t="n">
        <f aca="false">IF(BT$4=0,0,IF(COUNTIFS(実績!$W$6:$W$505,BT$3,実績!$AI$6:$AI$505,"&lt;="&amp;$A96,実績!$AJ$6:$AJ$505,"&gt;"&amp;$A96,実績!$AL$6:$AL$505,"○")&gt;0,1,0))</f>
        <v>0</v>
      </c>
      <c r="BU96" s="39" t="n">
        <f aca="false">IF(BU$4=0,0,IF(COUNTIFS(実績!$W$6:$W$505,BU$3,実績!$AI$6:$AI$505,"&lt;="&amp;$A96,実績!$AJ$6:$AJ$505,"&gt;"&amp;$A96,実績!$AL$6:$AL$505,"○")&gt;0,1,0))</f>
        <v>0</v>
      </c>
      <c r="BV96" s="39" t="n">
        <f aca="false">IF(BV$4=0,0,IF(COUNTIFS(実績!$W$6:$W$505,BV$3,実績!$AI$6:$AI$505,"&lt;="&amp;$A96,実績!$AJ$6:$AJ$505,"&gt;"&amp;$A96,実績!$AL$6:$AL$505,"○")&gt;0,1,0))</f>
        <v>0</v>
      </c>
      <c r="BW96" s="39" t="n">
        <f aca="false">IF(BW$4=0,0,IF(COUNTIFS(実績!$W$6:$W$505,BW$3,実績!$AI$6:$AI$505,"&lt;="&amp;$A96,実績!$AJ$6:$AJ$505,"&gt;"&amp;$A96,実績!$AL$6:$AL$505,"○")&gt;0,1,0))</f>
        <v>0</v>
      </c>
      <c r="BX96" s="39" t="n">
        <f aca="false">IF(BX$4=0,0,IF(COUNTIFS(実績!$W$6:$W$505,BX$3,実績!$AI$6:$AI$505,"&lt;="&amp;$A96,実績!$AJ$6:$AJ$505,"&gt;"&amp;$A96,実績!$AL$6:$AL$505,"○")&gt;0,1,0))</f>
        <v>0</v>
      </c>
      <c r="BY96" s="39" t="n">
        <f aca="false">IF(BY$4=0,0,IF(COUNTIFS(実績!$W$6:$W$505,BY$3,実績!$AI$6:$AI$505,"&lt;="&amp;$A96,実績!$AJ$6:$AJ$505,"&gt;"&amp;$A96,実績!$AL$6:$AL$505,"○")&gt;0,1,0))</f>
        <v>0</v>
      </c>
      <c r="BZ96" s="39" t="n">
        <f aca="false">IF(BZ$4=0,0,IF(COUNTIFS(実績!$W$6:$W$505,BZ$3,実績!$AI$6:$AI$505,"&lt;="&amp;$A96,実績!$AJ$6:$AJ$505,"&gt;"&amp;$A96,実績!$AL$6:$AL$505,"○")&gt;0,1,0))</f>
        <v>0</v>
      </c>
      <c r="CA96" s="39" t="n">
        <f aca="false">IF(CA$4=0,0,IF(COUNTIFS(実績!$W$6:$W$505,CA$3,実績!$AI$6:$AI$505,"&lt;="&amp;$A96,実績!$AJ$6:$AJ$505,"&gt;"&amp;$A96,実績!$AL$6:$AL$505,"○")&gt;0,1,0))</f>
        <v>0</v>
      </c>
      <c r="CB96" s="39" t="n">
        <f aca="false">IF(CB$4=0,0,IF(COUNTIFS(実績!$W$6:$W$505,CB$3,実績!$AI$6:$AI$505,"&lt;="&amp;$A96,実績!$AJ$6:$AJ$505,"&gt;"&amp;$A96,実績!$AL$6:$AL$505,"○")&gt;0,1,0))</f>
        <v>0</v>
      </c>
      <c r="CC96" s="39" t="n">
        <f aca="false">IF(CC$4=0,0,IF(COUNTIFS(実績!$W$6:$W$505,CC$3,実績!$AI$6:$AI$505,"&lt;="&amp;$A96,実績!$AJ$6:$AJ$505,"&gt;"&amp;$A96,実績!$AL$6:$AL$505,"○")&gt;0,1,0))</f>
        <v>0</v>
      </c>
      <c r="CD96" s="39" t="n">
        <f aca="false">IF(CD$4=0,0,IF(COUNTIFS(実績!$W$6:$W$505,CD$3,実績!$AI$6:$AI$505,"&lt;="&amp;$A96,実績!$AJ$6:$AJ$505,"&gt;"&amp;$A96,実績!$AL$6:$AL$505,"○")&gt;0,1,0))</f>
        <v>0</v>
      </c>
      <c r="CE96" s="39" t="n">
        <f aca="false">IF(CE$4=0,0,IF(COUNTIFS(実績!$W$6:$W$505,CE$3,実績!$AI$6:$AI$505,"&lt;="&amp;$A96,実績!$AJ$6:$AJ$505,"&gt;"&amp;$A96,実績!$AL$6:$AL$505,"○")&gt;0,1,0))</f>
        <v>0</v>
      </c>
      <c r="CF96" s="39" t="n">
        <f aca="false">IF(CF$4=0,0,IF(COUNTIFS(実績!$W$6:$W$505,CF$3,実績!$AI$6:$AI$505,"&lt;="&amp;$A96,実績!$AJ$6:$AJ$505,"&gt;"&amp;$A96,実績!$AL$6:$AL$505,"○")&gt;0,1,0))</f>
        <v>0</v>
      </c>
      <c r="CG96" s="39" t="n">
        <f aca="false">IF(CG$4=0,0,IF(COUNTIFS(実績!$W$6:$W$505,CG$3,実績!$AI$6:$AI$505,"&lt;="&amp;$A96,実績!$AJ$6:$AJ$505,"&gt;"&amp;$A96,実績!$AL$6:$AL$505,"○")&gt;0,1,0))</f>
        <v>0</v>
      </c>
      <c r="CH96" s="39" t="n">
        <f aca="false">IF(CH$4=0,0,IF(COUNTIFS(実績!$W$6:$W$505,CH$3,実績!$AI$6:$AI$505,"&lt;="&amp;$A96,実績!$AJ$6:$AJ$505,"&gt;"&amp;$A96,実績!$AL$6:$AL$505,"○")&gt;0,1,0))</f>
        <v>0</v>
      </c>
      <c r="CI96" s="39" t="n">
        <f aca="false">IF(CI$4=0,0,IF(COUNTIFS(実績!$W$6:$W$505,CI$3,実績!$AI$6:$AI$505,"&lt;="&amp;$A96,実績!$AJ$6:$AJ$505,"&gt;"&amp;$A96,実績!$AL$6:$AL$505,"○")&gt;0,1,0))</f>
        <v>0</v>
      </c>
      <c r="CJ96" s="39" t="n">
        <f aca="false">IF(CJ$4=0,0,IF(COUNTIFS(実績!$W$6:$W$505,CJ$3,実績!$AI$6:$AI$505,"&lt;="&amp;$A96,実績!$AJ$6:$AJ$505,"&gt;"&amp;$A96,実績!$AL$6:$AL$505,"○")&gt;0,1,0))</f>
        <v>0</v>
      </c>
      <c r="CK96" s="39" t="n">
        <f aca="false">IF(CK$4=0,0,IF(COUNTIFS(実績!$W$6:$W$505,CK$3,実績!$AI$6:$AI$505,"&lt;="&amp;$A96,実績!$AJ$6:$AJ$505,"&gt;"&amp;$A96,実績!$AL$6:$AL$505,"○")&gt;0,1,0))</f>
        <v>0</v>
      </c>
      <c r="CL96" s="39" t="n">
        <f aca="false">IF(CL$4=0,0,IF(COUNTIFS(実績!$W$6:$W$505,CL$3,実績!$AI$6:$AI$505,"&lt;="&amp;$A96,実績!$AJ$6:$AJ$505,"&gt;"&amp;$A96,実績!$AL$6:$AL$505,"○")&gt;0,1,0))</f>
        <v>0</v>
      </c>
      <c r="CM96" s="39" t="n">
        <f aca="false">IF(CM$4=0,0,IF(COUNTIFS(実績!$W$6:$W$505,CM$3,実績!$AI$6:$AI$505,"&lt;="&amp;$A96,実績!$AJ$6:$AJ$505,"&gt;"&amp;$A96,実績!$AL$6:$AL$505,"○")&gt;0,1,0))</f>
        <v>0</v>
      </c>
      <c r="CN96" s="39" t="n">
        <f aca="false">IF(CN$4=0,0,IF(COUNTIFS(実績!$W$6:$W$505,CN$3,実績!$AI$6:$AI$505,"&lt;="&amp;$A96,実績!$AJ$6:$AJ$505,"&gt;"&amp;$A96,実績!$AL$6:$AL$505,"○")&gt;0,1,0))</f>
        <v>0</v>
      </c>
      <c r="CO96" s="39" t="n">
        <f aca="false">IF(CO$4=0,0,IF(COUNTIFS(実績!$W$6:$W$505,CO$3,実績!$AI$6:$AI$505,"&lt;="&amp;$A96,実績!$AJ$6:$AJ$505,"&gt;"&amp;$A96,実績!$AL$6:$AL$505,"○")&gt;0,1,0))</f>
        <v>0</v>
      </c>
      <c r="CP96" s="39" t="n">
        <f aca="false">IF(CP$4=0,0,IF(COUNTIFS(実績!$W$6:$W$505,CP$3,実績!$AI$6:$AI$505,"&lt;="&amp;$A96,実績!$AJ$6:$AJ$505,"&gt;"&amp;$A96,実績!$AL$6:$AL$505,"○")&gt;0,1,0))</f>
        <v>0</v>
      </c>
      <c r="CQ96" s="39" t="n">
        <f aca="false">IF(CQ$4=0,0,IF(COUNTIFS(実績!$W$6:$W$505,CQ$3,実績!$AI$6:$AI$505,"&lt;="&amp;$A96,実績!$AJ$6:$AJ$505,"&gt;"&amp;$A96,実績!$AL$6:$AL$505,"○")&gt;0,1,0))</f>
        <v>0</v>
      </c>
      <c r="CR96" s="39" t="n">
        <f aca="false">IF(CR$4=0,0,IF(COUNTIFS(実績!$W$6:$W$505,CR$3,実績!$AI$6:$AI$505,"&lt;="&amp;$A96,実績!$AJ$6:$AJ$505,"&gt;"&amp;$A96,実績!$AL$6:$AL$505,"○")&gt;0,1,0))</f>
        <v>0</v>
      </c>
      <c r="CS96" s="39" t="n">
        <f aca="false">IF(CS$4=0,0,IF(COUNTIFS(実績!$W$6:$W$505,CS$3,実績!$AI$6:$AI$505,"&lt;="&amp;$A96,実績!$AJ$6:$AJ$505,"&gt;"&amp;$A96,実績!$AL$6:$AL$505,"○")&gt;0,1,0))</f>
        <v>0</v>
      </c>
      <c r="CT96" s="39" t="n">
        <f aca="false">IF(CT$4=0,0,IF(COUNTIFS(実績!$W$6:$W$505,CT$3,実績!$AI$6:$AI$505,"&lt;="&amp;$A96,実績!$AJ$6:$AJ$505,"&gt;"&amp;$A96,実績!$AL$6:$AL$505,"○")&gt;0,1,0))</f>
        <v>0</v>
      </c>
      <c r="CU96" s="39" t="n">
        <f aca="false">IF(CU$4=0,0,IF(COUNTIFS(実績!$W$6:$W$505,CU$3,実績!$AI$6:$AI$505,"&lt;="&amp;$A96,実績!$AJ$6:$AJ$505,"&gt;"&amp;$A96,実績!$AL$6:$AL$505,"○")&gt;0,1,0))</f>
        <v>0</v>
      </c>
      <c r="CV96" s="39" t="n">
        <f aca="false">IF(CV$4=0,0,IF(COUNTIFS(実績!$W$6:$W$505,CV$3,実績!$AI$6:$AI$505,"&lt;="&amp;$A96,実績!$AJ$6:$AJ$505,"&gt;"&amp;$A96,実績!$AL$6:$AL$505,"○")&gt;0,1,0))</f>
        <v>0</v>
      </c>
      <c r="CW96" s="39" t="n">
        <f aca="false">IF(CW$4=0,0,IF(COUNTIFS(実績!$W$6:$W$505,CW$3,実績!$AI$6:$AI$505,"&lt;="&amp;$A96,実績!$AJ$6:$AJ$505,"&gt;"&amp;$A96,実績!$AL$6:$AL$505,"○")&gt;0,1,0))</f>
        <v>0</v>
      </c>
      <c r="CX96" s="39" t="n">
        <f aca="false">IF(CX$4=0,0,IF(COUNTIFS(実績!$W$6:$W$505,CX$3,実績!$AI$6:$AI$505,"&lt;="&amp;$A96,実績!$AJ$6:$AJ$505,"&gt;"&amp;$A96,実績!$AL$6:$AL$505,"○")&gt;0,1,0))</f>
        <v>0</v>
      </c>
      <c r="CY96" s="39" t="n">
        <f aca="false">IF(CY$4=0,0,IF(COUNTIFS(実績!$W$6:$W$505,CY$3,実績!$AI$6:$AI$505,"&lt;="&amp;$A96,実績!$AJ$6:$AJ$505,"&gt;"&amp;$A96,実績!$AL$6:$AL$505,"○")&gt;0,1,0))</f>
        <v>0</v>
      </c>
      <c r="CZ96" s="39" t="n">
        <f aca="false">IF(CZ$4=0,0,IF(COUNTIFS(実績!$W$6:$W$505,CZ$3,実績!$AI$6:$AI$505,"&lt;="&amp;$A96,実績!$AJ$6:$AJ$505,"&gt;"&amp;$A96,実績!$AL$6:$AL$505,"○")&gt;0,1,0))</f>
        <v>0</v>
      </c>
      <c r="DA96" s="39" t="n">
        <f aca="false">IF(DA$4=0,0,IF(COUNTIFS(実績!$W$6:$W$505,DA$3,実績!$AI$6:$AI$505,"&lt;="&amp;$A96,実績!$AJ$6:$AJ$505,"&gt;"&amp;$A96,実績!$AL$6:$AL$505,"○")&gt;0,1,0))</f>
        <v>0</v>
      </c>
      <c r="DB96" s="39" t="n">
        <f aca="false">IF(DB$4=0,0,IF(COUNTIFS(実績!$W$6:$W$505,DB$3,実績!$AI$6:$AI$505,"&lt;="&amp;$A96,実績!$AJ$6:$AJ$505,"&gt;"&amp;$A96,実績!$AL$6:$AL$505,"○")&gt;0,1,0))</f>
        <v>0</v>
      </c>
      <c r="DC96" s="39" t="n">
        <f aca="false">IF(DC$4=0,0,IF(COUNTIFS(実績!$W$6:$W$505,DC$3,実績!$AI$6:$AI$505,"&lt;="&amp;$A96,実績!$AJ$6:$AJ$505,"&gt;"&amp;$A96,実績!$AL$6:$AL$505,"○")&gt;0,1,0))</f>
        <v>0</v>
      </c>
      <c r="DD96" s="39" t="n">
        <f aca="false">IF(DD$4=0,0,IF(COUNTIFS(実績!$W$6:$W$505,DD$3,実績!$AI$6:$AI$505,"&lt;="&amp;$A96,実績!$AJ$6:$AJ$505,"&gt;"&amp;$A96,実績!$AL$6:$AL$505,"○")&gt;0,1,0))</f>
        <v>0</v>
      </c>
      <c r="DE96" s="39" t="n">
        <f aca="false">IF(DE$4=0,0,IF(COUNTIFS(実績!$W$6:$W$505,DE$3,実績!$AI$6:$AI$505,"&lt;="&amp;$A96,実績!$AJ$6:$AJ$505,"&gt;"&amp;$A96,実績!$AL$6:$AL$505,"○")&gt;0,1,0))</f>
        <v>0</v>
      </c>
      <c r="DF96" s="39" t="n">
        <f aca="false">IF(DF$4=0,0,IF(COUNTIFS(実績!$W$6:$W$505,DF$3,実績!$AI$6:$AI$505,"&lt;="&amp;$A96,実績!$AJ$6:$AJ$505,"&gt;"&amp;$A96,実績!$AL$6:$AL$505,"○")&gt;0,1,0))</f>
        <v>0</v>
      </c>
      <c r="DG96" s="39" t="n">
        <f aca="false">IF(DG$4=0,0,IF(COUNTIFS(実績!$W$6:$W$505,DG$3,実績!$AI$6:$AI$505,"&lt;="&amp;$A96,実績!$AJ$6:$AJ$505,"&gt;"&amp;$A96,実績!$AL$6:$AL$505,"○")&gt;0,1,0))</f>
        <v>0</v>
      </c>
      <c r="DH96" s="39" t="n">
        <f aca="false">IF(DH$4=0,0,IF(COUNTIFS(実績!$W$6:$W$505,DH$3,実績!$AI$6:$AI$505,"&lt;="&amp;$A96,実績!$AJ$6:$AJ$505,"&gt;"&amp;$A96,実績!$AL$6:$AL$505,"○")&gt;0,1,0))</f>
        <v>0</v>
      </c>
      <c r="DI96" s="39" t="n">
        <f aca="false">IF(DI$4=0,0,IF(COUNTIFS(実績!$W$6:$W$505,DI$3,実績!$AI$6:$AI$505,"&lt;="&amp;$A96,実績!$AJ$6:$AJ$505,"&gt;"&amp;$A96,実績!$AL$6:$AL$505,"○")&gt;0,1,0))</f>
        <v>0</v>
      </c>
      <c r="DJ96" s="39" t="n">
        <f aca="false">IF(DJ$4=0,0,IF(COUNTIFS(実績!$W$6:$W$505,DJ$3,実績!$AI$6:$AI$505,"&lt;="&amp;$A96,実績!$AJ$6:$AJ$505,"&gt;"&amp;$A96,実績!$AL$6:$AL$505,"○")&gt;0,1,0))</f>
        <v>0</v>
      </c>
      <c r="DK96" s="39" t="n">
        <f aca="false">IF(DK$4=0,0,IF(COUNTIFS(実績!$W$6:$W$505,DK$3,実績!$AI$6:$AI$505,"&lt;="&amp;$A96,実績!$AJ$6:$AJ$505,"&gt;"&amp;$A96,実績!$AL$6:$AL$505,"○")&gt;0,1,0))</f>
        <v>0</v>
      </c>
      <c r="DL96" s="39" t="n">
        <f aca="false">IF(DL$4=0,0,IF(COUNTIFS(実績!$W$6:$W$505,DL$3,実績!$AI$6:$AI$505,"&lt;="&amp;$A96,実績!$AJ$6:$AJ$505,"&gt;"&amp;$A96,実績!$AL$6:$AL$505,"○")&gt;0,1,0))</f>
        <v>0</v>
      </c>
      <c r="DM96" s="39" t="n">
        <f aca="false">IF(DM$4=0,0,IF(COUNTIFS(実績!$W$6:$W$505,DM$3,実績!$AI$6:$AI$505,"&lt;="&amp;$A96,実績!$AJ$6:$AJ$505,"&gt;"&amp;$A96,実績!$AL$6:$AL$505,"○")&gt;0,1,0))</f>
        <v>0</v>
      </c>
      <c r="DN96" s="39" t="n">
        <f aca="false">IF(DN$4=0,0,IF(COUNTIFS(実績!$W$6:$W$505,DN$3,実績!$AI$6:$AI$505,"&lt;="&amp;$A96,実績!$AJ$6:$AJ$505,"&gt;"&amp;$A96,実績!$AL$6:$AL$505,"○")&gt;0,1,0))</f>
        <v>0</v>
      </c>
      <c r="DO96" s="39" t="n">
        <f aca="false">IF(DO$4=0,0,IF(COUNTIFS(実績!$W$6:$W$505,DO$3,実績!$AI$6:$AI$505,"&lt;="&amp;$A96,実績!$AJ$6:$AJ$505,"&gt;"&amp;$A96,実績!$AL$6:$AL$505,"○")&gt;0,1,0))</f>
        <v>0</v>
      </c>
      <c r="DP96" s="39" t="n">
        <f aca="false">IF(DP$4=0,0,IF(COUNTIFS(実績!$W$6:$W$505,DP$3,実績!$AI$6:$AI$505,"&lt;="&amp;$A96,実績!$AJ$6:$AJ$505,"&gt;"&amp;$A96,実績!$AL$6:$AL$505,"○")&gt;0,1,0))</f>
        <v>0</v>
      </c>
      <c r="DQ96" s="39" t="n">
        <f aca="false">IF(DQ$4=0,0,IF(COUNTIFS(実績!$W$6:$W$505,DQ$3,実績!$AI$6:$AI$505,"&lt;="&amp;$A96,実績!$AJ$6:$AJ$505,"&gt;"&amp;$A96,実績!$AL$6:$AL$505,"○")&gt;0,1,0))</f>
        <v>0</v>
      </c>
      <c r="DR96" s="39" t="n">
        <f aca="false">IF(DR$4=0,0,IF(COUNTIFS(実績!$W$6:$W$505,DR$3,実績!$AI$6:$AI$505,"&lt;="&amp;$A96,実績!$AJ$6:$AJ$505,"&gt;"&amp;$A96,実績!$AL$6:$AL$505,"○")&gt;0,1,0))</f>
        <v>0</v>
      </c>
      <c r="DS96" s="39" t="n">
        <f aca="false">SUM(C96:DR96)</f>
        <v>0</v>
      </c>
    </row>
    <row r="97" customFormat="false" ht="15" hidden="false" customHeight="false" outlineLevel="0" collapsed="false">
      <c r="A97" s="0" t="n">
        <v>455</v>
      </c>
      <c r="B97" s="38" t="n">
        <f aca="false">A97/1440</f>
        <v>0.315972222222222</v>
      </c>
      <c r="C97" s="39" t="n">
        <f aca="false">IF(C$4=0,0,IF(COUNTIFS(実績!$W$6:$W$505,C$3,実績!$AI$6:$AI$505,"&lt;="&amp;$A97,実績!$AJ$6:$AJ$505,"&gt;"&amp;$A97,実績!$AL$6:$AL$505,"○")&gt;0,1,0))</f>
        <v>0</v>
      </c>
      <c r="D97" s="39" t="n">
        <f aca="false">IF(D$4=0,0,IF(COUNTIFS(実績!$W$6:$W$505,D$3,実績!$AI$6:$AI$505,"&lt;="&amp;$A97,実績!$AJ$6:$AJ$505,"&gt;"&amp;$A97,実績!$AL$6:$AL$505,"○")&gt;0,1,0))</f>
        <v>0</v>
      </c>
      <c r="E97" s="39" t="n">
        <f aca="false">IF(E$4=0,0,IF(COUNTIFS(実績!$W$6:$W$505,E$3,実績!$AI$6:$AI$505,"&lt;="&amp;$A97,実績!$AJ$6:$AJ$505,"&gt;"&amp;$A97,実績!$AL$6:$AL$505,"○")&gt;0,1,0))</f>
        <v>0</v>
      </c>
      <c r="F97" s="39" t="n">
        <f aca="false">IF(F$4=0,0,IF(COUNTIFS(実績!$W$6:$W$505,F$3,実績!$AI$6:$AI$505,"&lt;="&amp;$A97,実績!$AJ$6:$AJ$505,"&gt;"&amp;$A97,実績!$AL$6:$AL$505,"○")&gt;0,1,0))</f>
        <v>0</v>
      </c>
      <c r="G97" s="39" t="n">
        <f aca="false">IF(G$4=0,0,IF(COUNTIFS(実績!$W$6:$W$505,G$3,実績!$AI$6:$AI$505,"&lt;="&amp;$A97,実績!$AJ$6:$AJ$505,"&gt;"&amp;$A97,実績!$AL$6:$AL$505,"○")&gt;0,1,0))</f>
        <v>0</v>
      </c>
      <c r="H97" s="39" t="n">
        <f aca="false">IF(H$4=0,0,IF(COUNTIFS(実績!$W$6:$W$505,H$3,実績!$AI$6:$AI$505,"&lt;="&amp;$A97,実績!$AJ$6:$AJ$505,"&gt;"&amp;$A97,実績!$AL$6:$AL$505,"○")&gt;0,1,0))</f>
        <v>0</v>
      </c>
      <c r="I97" s="39" t="n">
        <f aca="false">IF(I$4=0,0,IF(COUNTIFS(実績!$W$6:$W$505,I$3,実績!$AI$6:$AI$505,"&lt;="&amp;$A97,実績!$AJ$6:$AJ$505,"&gt;"&amp;$A97,実績!$AL$6:$AL$505,"○")&gt;0,1,0))</f>
        <v>0</v>
      </c>
      <c r="J97" s="39" t="n">
        <f aca="false">IF(J$4=0,0,IF(COUNTIFS(実績!$W$6:$W$505,J$3,実績!$AI$6:$AI$505,"&lt;="&amp;$A97,実績!$AJ$6:$AJ$505,"&gt;"&amp;$A97,実績!$AL$6:$AL$505,"○")&gt;0,1,0))</f>
        <v>0</v>
      </c>
      <c r="K97" s="39" t="n">
        <f aca="false">IF(K$4=0,0,IF(COUNTIFS(実績!$W$6:$W$505,K$3,実績!$AI$6:$AI$505,"&lt;="&amp;$A97,実績!$AJ$6:$AJ$505,"&gt;"&amp;$A97,実績!$AL$6:$AL$505,"○")&gt;0,1,0))</f>
        <v>0</v>
      </c>
      <c r="L97" s="39" t="n">
        <f aca="false">IF(L$4=0,0,IF(COUNTIFS(実績!$W$6:$W$505,L$3,実績!$AI$6:$AI$505,"&lt;="&amp;$A97,実績!$AJ$6:$AJ$505,"&gt;"&amp;$A97,実績!$AL$6:$AL$505,"○")&gt;0,1,0))</f>
        <v>0</v>
      </c>
      <c r="M97" s="39" t="n">
        <f aca="false">IF(M$4=0,0,IF(COUNTIFS(実績!$W$6:$W$505,M$3,実績!$AI$6:$AI$505,"&lt;="&amp;$A97,実績!$AJ$6:$AJ$505,"&gt;"&amp;$A97,実績!$AL$6:$AL$505,"○")&gt;0,1,0))</f>
        <v>0</v>
      </c>
      <c r="N97" s="39" t="n">
        <f aca="false">IF(N$4=0,0,IF(COUNTIFS(実績!$W$6:$W$505,N$3,実績!$AI$6:$AI$505,"&lt;="&amp;$A97,実績!$AJ$6:$AJ$505,"&gt;"&amp;$A97,実績!$AL$6:$AL$505,"○")&gt;0,1,0))</f>
        <v>0</v>
      </c>
      <c r="O97" s="39" t="n">
        <f aca="false">IF(O$4=0,0,IF(COUNTIFS(実績!$W$6:$W$505,O$3,実績!$AI$6:$AI$505,"&lt;="&amp;$A97,実績!$AJ$6:$AJ$505,"&gt;"&amp;$A97,実績!$AL$6:$AL$505,"○")&gt;0,1,0))</f>
        <v>0</v>
      </c>
      <c r="P97" s="39" t="n">
        <f aca="false">IF(P$4=0,0,IF(COUNTIFS(実績!$W$6:$W$505,P$3,実績!$AI$6:$AI$505,"&lt;="&amp;$A97,実績!$AJ$6:$AJ$505,"&gt;"&amp;$A97,実績!$AL$6:$AL$505,"○")&gt;0,1,0))</f>
        <v>0</v>
      </c>
      <c r="Q97" s="39" t="n">
        <f aca="false">IF(Q$4=0,0,IF(COUNTIFS(実績!$W$6:$W$505,Q$3,実績!$AI$6:$AI$505,"&lt;="&amp;$A97,実績!$AJ$6:$AJ$505,"&gt;"&amp;$A97,実績!$AL$6:$AL$505,"○")&gt;0,1,0))</f>
        <v>0</v>
      </c>
      <c r="R97" s="39" t="n">
        <f aca="false">IF(R$4=0,0,IF(COUNTIFS(実績!$W$6:$W$505,R$3,実績!$AI$6:$AI$505,"&lt;="&amp;$A97,実績!$AJ$6:$AJ$505,"&gt;"&amp;$A97,実績!$AL$6:$AL$505,"○")&gt;0,1,0))</f>
        <v>0</v>
      </c>
      <c r="S97" s="39" t="n">
        <f aca="false">IF(S$4=0,0,IF(COUNTIFS(実績!$W$6:$W$505,S$3,実績!$AI$6:$AI$505,"&lt;="&amp;$A97,実績!$AJ$6:$AJ$505,"&gt;"&amp;$A97,実績!$AL$6:$AL$505,"○")&gt;0,1,0))</f>
        <v>0</v>
      </c>
      <c r="T97" s="39" t="n">
        <f aca="false">IF(T$4=0,0,IF(COUNTIFS(実績!$W$6:$W$505,T$3,実績!$AI$6:$AI$505,"&lt;="&amp;$A97,実績!$AJ$6:$AJ$505,"&gt;"&amp;$A97,実績!$AL$6:$AL$505,"○")&gt;0,1,0))</f>
        <v>0</v>
      </c>
      <c r="U97" s="39" t="n">
        <f aca="false">IF(U$4=0,0,IF(COUNTIFS(実績!$W$6:$W$505,U$3,実績!$AI$6:$AI$505,"&lt;="&amp;$A97,実績!$AJ$6:$AJ$505,"&gt;"&amp;$A97,実績!$AL$6:$AL$505,"○")&gt;0,1,0))</f>
        <v>0</v>
      </c>
      <c r="V97" s="39" t="n">
        <f aca="false">IF(V$4=0,0,IF(COUNTIFS(実績!$W$6:$W$505,V$3,実績!$AI$6:$AI$505,"&lt;="&amp;$A97,実績!$AJ$6:$AJ$505,"&gt;"&amp;$A97,実績!$AL$6:$AL$505,"○")&gt;0,1,0))</f>
        <v>0</v>
      </c>
      <c r="W97" s="39" t="n">
        <f aca="false">IF(W$4=0,0,IF(COUNTIFS(実績!$W$6:$W$505,W$3,実績!$AI$6:$AI$505,"&lt;="&amp;$A97,実績!$AJ$6:$AJ$505,"&gt;"&amp;$A97,実績!$AL$6:$AL$505,"○")&gt;0,1,0))</f>
        <v>0</v>
      </c>
      <c r="X97" s="39" t="n">
        <f aca="false">IF(X$4=0,0,IF(COUNTIFS(実績!$W$6:$W$505,X$3,実績!$AI$6:$AI$505,"&lt;="&amp;$A97,実績!$AJ$6:$AJ$505,"&gt;"&amp;$A97,実績!$AL$6:$AL$505,"○")&gt;0,1,0))</f>
        <v>0</v>
      </c>
      <c r="Y97" s="39" t="n">
        <f aca="false">IF(Y$4=0,0,IF(COUNTIFS(実績!$W$6:$W$505,Y$3,実績!$AI$6:$AI$505,"&lt;="&amp;$A97,実績!$AJ$6:$AJ$505,"&gt;"&amp;$A97,実績!$AL$6:$AL$505,"○")&gt;0,1,0))</f>
        <v>0</v>
      </c>
      <c r="Z97" s="39" t="n">
        <f aca="false">IF(Z$4=0,0,IF(COUNTIFS(実績!$W$6:$W$505,Z$3,実績!$AI$6:$AI$505,"&lt;="&amp;$A97,実績!$AJ$6:$AJ$505,"&gt;"&amp;$A97,実績!$AL$6:$AL$505,"○")&gt;0,1,0))</f>
        <v>0</v>
      </c>
      <c r="AA97" s="39" t="n">
        <f aca="false">IF(AA$4=0,0,IF(COUNTIFS(実績!$W$6:$W$505,AA$3,実績!$AI$6:$AI$505,"&lt;="&amp;$A97,実績!$AJ$6:$AJ$505,"&gt;"&amp;$A97,実績!$AL$6:$AL$505,"○")&gt;0,1,0))</f>
        <v>0</v>
      </c>
      <c r="AB97" s="39" t="n">
        <f aca="false">IF(AB$4=0,0,IF(COUNTIFS(実績!$W$6:$W$505,AB$3,実績!$AI$6:$AI$505,"&lt;="&amp;$A97,実績!$AJ$6:$AJ$505,"&gt;"&amp;$A97,実績!$AL$6:$AL$505,"○")&gt;0,1,0))</f>
        <v>0</v>
      </c>
      <c r="AC97" s="39" t="n">
        <f aca="false">IF(AC$4=0,0,IF(COUNTIFS(実績!$W$6:$W$505,AC$3,実績!$AI$6:$AI$505,"&lt;="&amp;$A97,実績!$AJ$6:$AJ$505,"&gt;"&amp;$A97,実績!$AL$6:$AL$505,"○")&gt;0,1,0))</f>
        <v>0</v>
      </c>
      <c r="AD97" s="39" t="n">
        <f aca="false">IF(AD$4=0,0,IF(COUNTIFS(実績!$W$6:$W$505,AD$3,実績!$AI$6:$AI$505,"&lt;="&amp;$A97,実績!$AJ$6:$AJ$505,"&gt;"&amp;$A97,実績!$AL$6:$AL$505,"○")&gt;0,1,0))</f>
        <v>0</v>
      </c>
      <c r="AE97" s="39" t="n">
        <f aca="false">IF(AE$4=0,0,IF(COUNTIFS(実績!$W$6:$W$505,AE$3,実績!$AI$6:$AI$505,"&lt;="&amp;$A97,実績!$AJ$6:$AJ$505,"&gt;"&amp;$A97,実績!$AL$6:$AL$505,"○")&gt;0,1,0))</f>
        <v>0</v>
      </c>
      <c r="AF97" s="39" t="n">
        <f aca="false">IF(AF$4=0,0,IF(COUNTIFS(実績!$W$6:$W$505,AF$3,実績!$AI$6:$AI$505,"&lt;="&amp;$A97,実績!$AJ$6:$AJ$505,"&gt;"&amp;$A97,実績!$AL$6:$AL$505,"○")&gt;0,1,0))</f>
        <v>0</v>
      </c>
      <c r="AG97" s="39" t="n">
        <f aca="false">IF(AG$4=0,0,IF(COUNTIFS(実績!$W$6:$W$505,AG$3,実績!$AI$6:$AI$505,"&lt;="&amp;$A97,実績!$AJ$6:$AJ$505,"&gt;"&amp;$A97,実績!$AL$6:$AL$505,"○")&gt;0,1,0))</f>
        <v>0</v>
      </c>
      <c r="AH97" s="39" t="n">
        <f aca="false">IF(AH$4=0,0,IF(COUNTIFS(実績!$W$6:$W$505,AH$3,実績!$AI$6:$AI$505,"&lt;="&amp;$A97,実績!$AJ$6:$AJ$505,"&gt;"&amp;$A97,実績!$AL$6:$AL$505,"○")&gt;0,1,0))</f>
        <v>0</v>
      </c>
      <c r="AI97" s="39" t="n">
        <f aca="false">IF(AI$4=0,0,IF(COUNTIFS(実績!$W$6:$W$505,AI$3,実績!$AI$6:$AI$505,"&lt;="&amp;$A97,実績!$AJ$6:$AJ$505,"&gt;"&amp;$A97,実績!$AL$6:$AL$505,"○")&gt;0,1,0))</f>
        <v>0</v>
      </c>
      <c r="AJ97" s="39" t="n">
        <f aca="false">IF(AJ$4=0,0,IF(COUNTIFS(実績!$W$6:$W$505,AJ$3,実績!$AI$6:$AI$505,"&lt;="&amp;$A97,実績!$AJ$6:$AJ$505,"&gt;"&amp;$A97,実績!$AL$6:$AL$505,"○")&gt;0,1,0))</f>
        <v>0</v>
      </c>
      <c r="AK97" s="39" t="n">
        <f aca="false">IF(AK$4=0,0,IF(COUNTIFS(実績!$W$6:$W$505,AK$3,実績!$AI$6:$AI$505,"&lt;="&amp;$A97,実績!$AJ$6:$AJ$505,"&gt;"&amp;$A97,実績!$AL$6:$AL$505,"○")&gt;0,1,0))</f>
        <v>0</v>
      </c>
      <c r="AL97" s="39" t="n">
        <f aca="false">IF(AL$4=0,0,IF(COUNTIFS(実績!$W$6:$W$505,AL$3,実績!$AI$6:$AI$505,"&lt;="&amp;$A97,実績!$AJ$6:$AJ$505,"&gt;"&amp;$A97,実績!$AL$6:$AL$505,"○")&gt;0,1,0))</f>
        <v>0</v>
      </c>
      <c r="AM97" s="39" t="n">
        <f aca="false">IF(AM$4=0,0,IF(COUNTIFS(実績!$W$6:$W$505,AM$3,実績!$AI$6:$AI$505,"&lt;="&amp;$A97,実績!$AJ$6:$AJ$505,"&gt;"&amp;$A97,実績!$AL$6:$AL$505,"○")&gt;0,1,0))</f>
        <v>0</v>
      </c>
      <c r="AN97" s="39" t="n">
        <f aca="false">IF(AN$4=0,0,IF(COUNTIFS(実績!$W$6:$W$505,AN$3,実績!$AI$6:$AI$505,"&lt;="&amp;$A97,実績!$AJ$6:$AJ$505,"&gt;"&amp;$A97,実績!$AL$6:$AL$505,"○")&gt;0,1,0))</f>
        <v>0</v>
      </c>
      <c r="AO97" s="39" t="n">
        <f aca="false">IF(AO$4=0,0,IF(COUNTIFS(実績!$W$6:$W$505,AO$3,実績!$AI$6:$AI$505,"&lt;="&amp;$A97,実績!$AJ$6:$AJ$505,"&gt;"&amp;$A97,実績!$AL$6:$AL$505,"○")&gt;0,1,0))</f>
        <v>0</v>
      </c>
      <c r="AP97" s="39" t="n">
        <f aca="false">IF(AP$4=0,0,IF(COUNTIFS(実績!$W$6:$W$505,AP$3,実績!$AI$6:$AI$505,"&lt;="&amp;$A97,実績!$AJ$6:$AJ$505,"&gt;"&amp;$A97,実績!$AL$6:$AL$505,"○")&gt;0,1,0))</f>
        <v>0</v>
      </c>
      <c r="AQ97" s="39" t="n">
        <f aca="false">IF(AQ$4=0,0,IF(COUNTIFS(実績!$W$6:$W$505,AQ$3,実績!$AI$6:$AI$505,"&lt;="&amp;$A97,実績!$AJ$6:$AJ$505,"&gt;"&amp;$A97,実績!$AL$6:$AL$505,"○")&gt;0,1,0))</f>
        <v>0</v>
      </c>
      <c r="AR97" s="39" t="n">
        <f aca="false">IF(AR$4=0,0,IF(COUNTIFS(実績!$W$6:$W$505,AR$3,実績!$AI$6:$AI$505,"&lt;="&amp;$A97,実績!$AJ$6:$AJ$505,"&gt;"&amp;$A97,実績!$AL$6:$AL$505,"○")&gt;0,1,0))</f>
        <v>0</v>
      </c>
      <c r="AS97" s="39" t="n">
        <f aca="false">IF(AS$4=0,0,IF(COUNTIFS(実績!$W$6:$W$505,AS$3,実績!$AI$6:$AI$505,"&lt;="&amp;$A97,実績!$AJ$6:$AJ$505,"&gt;"&amp;$A97,実績!$AL$6:$AL$505,"○")&gt;0,1,0))</f>
        <v>0</v>
      </c>
      <c r="AT97" s="39" t="n">
        <f aca="false">IF(AT$4=0,0,IF(COUNTIFS(実績!$W$6:$W$505,AT$3,実績!$AI$6:$AI$505,"&lt;="&amp;$A97,実績!$AJ$6:$AJ$505,"&gt;"&amp;$A97,実績!$AL$6:$AL$505,"○")&gt;0,1,0))</f>
        <v>0</v>
      </c>
      <c r="AU97" s="39" t="n">
        <f aca="false">IF(AU$4=0,0,IF(COUNTIFS(実績!$W$6:$W$505,AU$3,実績!$AI$6:$AI$505,"&lt;="&amp;$A97,実績!$AJ$6:$AJ$505,"&gt;"&amp;$A97,実績!$AL$6:$AL$505,"○")&gt;0,1,0))</f>
        <v>0</v>
      </c>
      <c r="AV97" s="39" t="n">
        <f aca="false">IF(AV$4=0,0,IF(COUNTIFS(実績!$W$6:$W$505,AV$3,実績!$AI$6:$AI$505,"&lt;="&amp;$A97,実績!$AJ$6:$AJ$505,"&gt;"&amp;$A97,実績!$AL$6:$AL$505,"○")&gt;0,1,0))</f>
        <v>0</v>
      </c>
      <c r="AW97" s="39" t="n">
        <f aca="false">IF(AW$4=0,0,IF(COUNTIFS(実績!$W$6:$W$505,AW$3,実績!$AI$6:$AI$505,"&lt;="&amp;$A97,実績!$AJ$6:$AJ$505,"&gt;"&amp;$A97,実績!$AL$6:$AL$505,"○")&gt;0,1,0))</f>
        <v>0</v>
      </c>
      <c r="AX97" s="39" t="n">
        <f aca="false">IF(AX$4=0,0,IF(COUNTIFS(実績!$W$6:$W$505,AX$3,実績!$AI$6:$AI$505,"&lt;="&amp;$A97,実績!$AJ$6:$AJ$505,"&gt;"&amp;$A97,実績!$AL$6:$AL$505,"○")&gt;0,1,0))</f>
        <v>0</v>
      </c>
      <c r="AY97" s="39" t="n">
        <f aca="false">IF(AY$4=0,0,IF(COUNTIFS(実績!$W$6:$W$505,AY$3,実績!$AI$6:$AI$505,"&lt;="&amp;$A97,実績!$AJ$6:$AJ$505,"&gt;"&amp;$A97,実績!$AL$6:$AL$505,"○")&gt;0,1,0))</f>
        <v>0</v>
      </c>
      <c r="AZ97" s="39" t="n">
        <f aca="false">IF(AZ$4=0,0,IF(COUNTIFS(実績!$W$6:$W$505,AZ$3,実績!$AI$6:$AI$505,"&lt;="&amp;$A97,実績!$AJ$6:$AJ$505,"&gt;"&amp;$A97,実績!$AL$6:$AL$505,"○")&gt;0,1,0))</f>
        <v>0</v>
      </c>
      <c r="BA97" s="39" t="n">
        <f aca="false">IF(BA$4=0,0,IF(COUNTIFS(実績!$W$6:$W$505,BA$3,実績!$AI$6:$AI$505,"&lt;="&amp;$A97,実績!$AJ$6:$AJ$505,"&gt;"&amp;$A97,実績!$AL$6:$AL$505,"○")&gt;0,1,0))</f>
        <v>0</v>
      </c>
      <c r="BB97" s="39" t="n">
        <f aca="false">IF(BB$4=0,0,IF(COUNTIFS(実績!$W$6:$W$505,BB$3,実績!$AI$6:$AI$505,"&lt;="&amp;$A97,実績!$AJ$6:$AJ$505,"&gt;"&amp;$A97,実績!$AL$6:$AL$505,"○")&gt;0,1,0))</f>
        <v>0</v>
      </c>
      <c r="BC97" s="39" t="n">
        <f aca="false">IF(BC$4=0,0,IF(COUNTIFS(実績!$W$6:$W$505,BC$3,実績!$AI$6:$AI$505,"&lt;="&amp;$A97,実績!$AJ$6:$AJ$505,"&gt;"&amp;$A97,実績!$AL$6:$AL$505,"○")&gt;0,1,0))</f>
        <v>0</v>
      </c>
      <c r="BD97" s="39" t="n">
        <f aca="false">IF(BD$4=0,0,IF(COUNTIFS(実績!$W$6:$W$505,BD$3,実績!$AI$6:$AI$505,"&lt;="&amp;$A97,実績!$AJ$6:$AJ$505,"&gt;"&amp;$A97,実績!$AL$6:$AL$505,"○")&gt;0,1,0))</f>
        <v>0</v>
      </c>
      <c r="BE97" s="39" t="n">
        <f aca="false">IF(BE$4=0,0,IF(COUNTIFS(実績!$W$6:$W$505,BE$3,実績!$AI$6:$AI$505,"&lt;="&amp;$A97,実績!$AJ$6:$AJ$505,"&gt;"&amp;$A97,実績!$AL$6:$AL$505,"○")&gt;0,1,0))</f>
        <v>0</v>
      </c>
      <c r="BF97" s="39" t="n">
        <f aca="false">IF(BF$4=0,0,IF(COUNTIFS(実績!$W$6:$W$505,BF$3,実績!$AI$6:$AI$505,"&lt;="&amp;$A97,実績!$AJ$6:$AJ$505,"&gt;"&amp;$A97,実績!$AL$6:$AL$505,"○")&gt;0,1,0))</f>
        <v>0</v>
      </c>
      <c r="BG97" s="39" t="n">
        <f aca="false">IF(BG$4=0,0,IF(COUNTIFS(実績!$W$6:$W$505,BG$3,実績!$AI$6:$AI$505,"&lt;="&amp;$A97,実績!$AJ$6:$AJ$505,"&gt;"&amp;$A97,実績!$AL$6:$AL$505,"○")&gt;0,1,0))</f>
        <v>0</v>
      </c>
      <c r="BH97" s="39" t="n">
        <f aca="false">IF(BH$4=0,0,IF(COUNTIFS(実績!$W$6:$W$505,BH$3,実績!$AI$6:$AI$505,"&lt;="&amp;$A97,実績!$AJ$6:$AJ$505,"&gt;"&amp;$A97,実績!$AL$6:$AL$505,"○")&gt;0,1,0))</f>
        <v>0</v>
      </c>
      <c r="BI97" s="39" t="n">
        <f aca="false">IF(BI$4=0,0,IF(COUNTIFS(実績!$W$6:$W$505,BI$3,実績!$AI$6:$AI$505,"&lt;="&amp;$A97,実績!$AJ$6:$AJ$505,"&gt;"&amp;$A97,実績!$AL$6:$AL$505,"○")&gt;0,1,0))</f>
        <v>0</v>
      </c>
      <c r="BJ97" s="39" t="n">
        <f aca="false">IF(BJ$4=0,0,IF(COUNTIFS(実績!$W$6:$W$505,BJ$3,実績!$AI$6:$AI$505,"&lt;="&amp;$A97,実績!$AJ$6:$AJ$505,"&gt;"&amp;$A97,実績!$AL$6:$AL$505,"○")&gt;0,1,0))</f>
        <v>0</v>
      </c>
      <c r="BK97" s="39" t="n">
        <f aca="false">IF(BK$4=0,0,IF(COUNTIFS(実績!$W$6:$W$505,BK$3,実績!$AI$6:$AI$505,"&lt;="&amp;$A97,実績!$AJ$6:$AJ$505,"&gt;"&amp;$A97,実績!$AL$6:$AL$505,"○")&gt;0,1,0))</f>
        <v>0</v>
      </c>
      <c r="BL97" s="39" t="n">
        <f aca="false">IF(BL$4=0,0,IF(COUNTIFS(実績!$W$6:$W$505,BL$3,実績!$AI$6:$AI$505,"&lt;="&amp;$A97,実績!$AJ$6:$AJ$505,"&gt;"&amp;$A97,実績!$AL$6:$AL$505,"○")&gt;0,1,0))</f>
        <v>0</v>
      </c>
      <c r="BM97" s="39" t="n">
        <f aca="false">IF(BM$4=0,0,IF(COUNTIFS(実績!$W$6:$W$505,BM$3,実績!$AI$6:$AI$505,"&lt;="&amp;$A97,実績!$AJ$6:$AJ$505,"&gt;"&amp;$A97,実績!$AL$6:$AL$505,"○")&gt;0,1,0))</f>
        <v>0</v>
      </c>
      <c r="BN97" s="39" t="n">
        <f aca="false">IF(BN$4=0,0,IF(COUNTIFS(実績!$W$6:$W$505,BN$3,実績!$AI$6:$AI$505,"&lt;="&amp;$A97,実績!$AJ$6:$AJ$505,"&gt;"&amp;$A97,実績!$AL$6:$AL$505,"○")&gt;0,1,0))</f>
        <v>0</v>
      </c>
      <c r="BO97" s="39" t="n">
        <f aca="false">IF(BO$4=0,0,IF(COUNTIFS(実績!$W$6:$W$505,BO$3,実績!$AI$6:$AI$505,"&lt;="&amp;$A97,実績!$AJ$6:$AJ$505,"&gt;"&amp;$A97,実績!$AL$6:$AL$505,"○")&gt;0,1,0))</f>
        <v>0</v>
      </c>
      <c r="BP97" s="39" t="n">
        <f aca="false">IF(BP$4=0,0,IF(COUNTIFS(実績!$W$6:$W$505,BP$3,実績!$AI$6:$AI$505,"&lt;="&amp;$A97,実績!$AJ$6:$AJ$505,"&gt;"&amp;$A97,実績!$AL$6:$AL$505,"○")&gt;0,1,0))</f>
        <v>0</v>
      </c>
      <c r="BQ97" s="39" t="n">
        <f aca="false">IF(BQ$4=0,0,IF(COUNTIFS(実績!$W$6:$W$505,BQ$3,実績!$AI$6:$AI$505,"&lt;="&amp;$A97,実績!$AJ$6:$AJ$505,"&gt;"&amp;$A97,実績!$AL$6:$AL$505,"○")&gt;0,1,0))</f>
        <v>0</v>
      </c>
      <c r="BR97" s="39" t="n">
        <f aca="false">IF(BR$4=0,0,IF(COUNTIFS(実績!$W$6:$W$505,BR$3,実績!$AI$6:$AI$505,"&lt;="&amp;$A97,実績!$AJ$6:$AJ$505,"&gt;"&amp;$A97,実績!$AL$6:$AL$505,"○")&gt;0,1,0))</f>
        <v>0</v>
      </c>
      <c r="BS97" s="39" t="n">
        <f aca="false">IF(BS$4=0,0,IF(COUNTIFS(実績!$W$6:$W$505,BS$3,実績!$AI$6:$AI$505,"&lt;="&amp;$A97,実績!$AJ$6:$AJ$505,"&gt;"&amp;$A97,実績!$AL$6:$AL$505,"○")&gt;0,1,0))</f>
        <v>0</v>
      </c>
      <c r="BT97" s="39" t="n">
        <f aca="false">IF(BT$4=0,0,IF(COUNTIFS(実績!$W$6:$W$505,BT$3,実績!$AI$6:$AI$505,"&lt;="&amp;$A97,実績!$AJ$6:$AJ$505,"&gt;"&amp;$A97,実績!$AL$6:$AL$505,"○")&gt;0,1,0))</f>
        <v>0</v>
      </c>
      <c r="BU97" s="39" t="n">
        <f aca="false">IF(BU$4=0,0,IF(COUNTIFS(実績!$W$6:$W$505,BU$3,実績!$AI$6:$AI$505,"&lt;="&amp;$A97,実績!$AJ$6:$AJ$505,"&gt;"&amp;$A97,実績!$AL$6:$AL$505,"○")&gt;0,1,0))</f>
        <v>0</v>
      </c>
      <c r="BV97" s="39" t="n">
        <f aca="false">IF(BV$4=0,0,IF(COUNTIFS(実績!$W$6:$W$505,BV$3,実績!$AI$6:$AI$505,"&lt;="&amp;$A97,実績!$AJ$6:$AJ$505,"&gt;"&amp;$A97,実績!$AL$6:$AL$505,"○")&gt;0,1,0))</f>
        <v>0</v>
      </c>
      <c r="BW97" s="39" t="n">
        <f aca="false">IF(BW$4=0,0,IF(COUNTIFS(実績!$W$6:$W$505,BW$3,実績!$AI$6:$AI$505,"&lt;="&amp;$A97,実績!$AJ$6:$AJ$505,"&gt;"&amp;$A97,実績!$AL$6:$AL$505,"○")&gt;0,1,0))</f>
        <v>0</v>
      </c>
      <c r="BX97" s="39" t="n">
        <f aca="false">IF(BX$4=0,0,IF(COUNTIFS(実績!$W$6:$W$505,BX$3,実績!$AI$6:$AI$505,"&lt;="&amp;$A97,実績!$AJ$6:$AJ$505,"&gt;"&amp;$A97,実績!$AL$6:$AL$505,"○")&gt;0,1,0))</f>
        <v>0</v>
      </c>
      <c r="BY97" s="39" t="n">
        <f aca="false">IF(BY$4=0,0,IF(COUNTIFS(実績!$W$6:$W$505,BY$3,実績!$AI$6:$AI$505,"&lt;="&amp;$A97,実績!$AJ$6:$AJ$505,"&gt;"&amp;$A97,実績!$AL$6:$AL$505,"○")&gt;0,1,0))</f>
        <v>0</v>
      </c>
      <c r="BZ97" s="39" t="n">
        <f aca="false">IF(BZ$4=0,0,IF(COUNTIFS(実績!$W$6:$W$505,BZ$3,実績!$AI$6:$AI$505,"&lt;="&amp;$A97,実績!$AJ$6:$AJ$505,"&gt;"&amp;$A97,実績!$AL$6:$AL$505,"○")&gt;0,1,0))</f>
        <v>0</v>
      </c>
      <c r="CA97" s="39" t="n">
        <f aca="false">IF(CA$4=0,0,IF(COUNTIFS(実績!$W$6:$W$505,CA$3,実績!$AI$6:$AI$505,"&lt;="&amp;$A97,実績!$AJ$6:$AJ$505,"&gt;"&amp;$A97,実績!$AL$6:$AL$505,"○")&gt;0,1,0))</f>
        <v>0</v>
      </c>
      <c r="CB97" s="39" t="n">
        <f aca="false">IF(CB$4=0,0,IF(COUNTIFS(実績!$W$6:$W$505,CB$3,実績!$AI$6:$AI$505,"&lt;="&amp;$A97,実績!$AJ$6:$AJ$505,"&gt;"&amp;$A97,実績!$AL$6:$AL$505,"○")&gt;0,1,0))</f>
        <v>0</v>
      </c>
      <c r="CC97" s="39" t="n">
        <f aca="false">IF(CC$4=0,0,IF(COUNTIFS(実績!$W$6:$W$505,CC$3,実績!$AI$6:$AI$505,"&lt;="&amp;$A97,実績!$AJ$6:$AJ$505,"&gt;"&amp;$A97,実績!$AL$6:$AL$505,"○")&gt;0,1,0))</f>
        <v>0</v>
      </c>
      <c r="CD97" s="39" t="n">
        <f aca="false">IF(CD$4=0,0,IF(COUNTIFS(実績!$W$6:$W$505,CD$3,実績!$AI$6:$AI$505,"&lt;="&amp;$A97,実績!$AJ$6:$AJ$505,"&gt;"&amp;$A97,実績!$AL$6:$AL$505,"○")&gt;0,1,0))</f>
        <v>0</v>
      </c>
      <c r="CE97" s="39" t="n">
        <f aca="false">IF(CE$4=0,0,IF(COUNTIFS(実績!$W$6:$W$505,CE$3,実績!$AI$6:$AI$505,"&lt;="&amp;$A97,実績!$AJ$6:$AJ$505,"&gt;"&amp;$A97,実績!$AL$6:$AL$505,"○")&gt;0,1,0))</f>
        <v>0</v>
      </c>
      <c r="CF97" s="39" t="n">
        <f aca="false">IF(CF$4=0,0,IF(COUNTIFS(実績!$W$6:$W$505,CF$3,実績!$AI$6:$AI$505,"&lt;="&amp;$A97,実績!$AJ$6:$AJ$505,"&gt;"&amp;$A97,実績!$AL$6:$AL$505,"○")&gt;0,1,0))</f>
        <v>0</v>
      </c>
      <c r="CG97" s="39" t="n">
        <f aca="false">IF(CG$4=0,0,IF(COUNTIFS(実績!$W$6:$W$505,CG$3,実績!$AI$6:$AI$505,"&lt;="&amp;$A97,実績!$AJ$6:$AJ$505,"&gt;"&amp;$A97,実績!$AL$6:$AL$505,"○")&gt;0,1,0))</f>
        <v>0</v>
      </c>
      <c r="CH97" s="39" t="n">
        <f aca="false">IF(CH$4=0,0,IF(COUNTIFS(実績!$W$6:$W$505,CH$3,実績!$AI$6:$AI$505,"&lt;="&amp;$A97,実績!$AJ$6:$AJ$505,"&gt;"&amp;$A97,実績!$AL$6:$AL$505,"○")&gt;0,1,0))</f>
        <v>0</v>
      </c>
      <c r="CI97" s="39" t="n">
        <f aca="false">IF(CI$4=0,0,IF(COUNTIFS(実績!$W$6:$W$505,CI$3,実績!$AI$6:$AI$505,"&lt;="&amp;$A97,実績!$AJ$6:$AJ$505,"&gt;"&amp;$A97,実績!$AL$6:$AL$505,"○")&gt;0,1,0))</f>
        <v>0</v>
      </c>
      <c r="CJ97" s="39" t="n">
        <f aca="false">IF(CJ$4=0,0,IF(COUNTIFS(実績!$W$6:$W$505,CJ$3,実績!$AI$6:$AI$505,"&lt;="&amp;$A97,実績!$AJ$6:$AJ$505,"&gt;"&amp;$A97,実績!$AL$6:$AL$505,"○")&gt;0,1,0))</f>
        <v>0</v>
      </c>
      <c r="CK97" s="39" t="n">
        <f aca="false">IF(CK$4=0,0,IF(COUNTIFS(実績!$W$6:$W$505,CK$3,実績!$AI$6:$AI$505,"&lt;="&amp;$A97,実績!$AJ$6:$AJ$505,"&gt;"&amp;$A97,実績!$AL$6:$AL$505,"○")&gt;0,1,0))</f>
        <v>0</v>
      </c>
      <c r="CL97" s="39" t="n">
        <f aca="false">IF(CL$4=0,0,IF(COUNTIFS(実績!$W$6:$W$505,CL$3,実績!$AI$6:$AI$505,"&lt;="&amp;$A97,実績!$AJ$6:$AJ$505,"&gt;"&amp;$A97,実績!$AL$6:$AL$505,"○")&gt;0,1,0))</f>
        <v>0</v>
      </c>
      <c r="CM97" s="39" t="n">
        <f aca="false">IF(CM$4=0,0,IF(COUNTIFS(実績!$W$6:$W$505,CM$3,実績!$AI$6:$AI$505,"&lt;="&amp;$A97,実績!$AJ$6:$AJ$505,"&gt;"&amp;$A97,実績!$AL$6:$AL$505,"○")&gt;0,1,0))</f>
        <v>0</v>
      </c>
      <c r="CN97" s="39" t="n">
        <f aca="false">IF(CN$4=0,0,IF(COUNTIFS(実績!$W$6:$W$505,CN$3,実績!$AI$6:$AI$505,"&lt;="&amp;$A97,実績!$AJ$6:$AJ$505,"&gt;"&amp;$A97,実績!$AL$6:$AL$505,"○")&gt;0,1,0))</f>
        <v>0</v>
      </c>
      <c r="CO97" s="39" t="n">
        <f aca="false">IF(CO$4=0,0,IF(COUNTIFS(実績!$W$6:$W$505,CO$3,実績!$AI$6:$AI$505,"&lt;="&amp;$A97,実績!$AJ$6:$AJ$505,"&gt;"&amp;$A97,実績!$AL$6:$AL$505,"○")&gt;0,1,0))</f>
        <v>0</v>
      </c>
      <c r="CP97" s="39" t="n">
        <f aca="false">IF(CP$4=0,0,IF(COUNTIFS(実績!$W$6:$W$505,CP$3,実績!$AI$6:$AI$505,"&lt;="&amp;$A97,実績!$AJ$6:$AJ$505,"&gt;"&amp;$A97,実績!$AL$6:$AL$505,"○")&gt;0,1,0))</f>
        <v>0</v>
      </c>
      <c r="CQ97" s="39" t="n">
        <f aca="false">IF(CQ$4=0,0,IF(COUNTIFS(実績!$W$6:$W$505,CQ$3,実績!$AI$6:$AI$505,"&lt;="&amp;$A97,実績!$AJ$6:$AJ$505,"&gt;"&amp;$A97,実績!$AL$6:$AL$505,"○")&gt;0,1,0))</f>
        <v>0</v>
      </c>
      <c r="CR97" s="39" t="n">
        <f aca="false">IF(CR$4=0,0,IF(COUNTIFS(実績!$W$6:$W$505,CR$3,実績!$AI$6:$AI$505,"&lt;="&amp;$A97,実績!$AJ$6:$AJ$505,"&gt;"&amp;$A97,実績!$AL$6:$AL$505,"○")&gt;0,1,0))</f>
        <v>0</v>
      </c>
      <c r="CS97" s="39" t="n">
        <f aca="false">IF(CS$4=0,0,IF(COUNTIFS(実績!$W$6:$W$505,CS$3,実績!$AI$6:$AI$505,"&lt;="&amp;$A97,実績!$AJ$6:$AJ$505,"&gt;"&amp;$A97,実績!$AL$6:$AL$505,"○")&gt;0,1,0))</f>
        <v>0</v>
      </c>
      <c r="CT97" s="39" t="n">
        <f aca="false">IF(CT$4=0,0,IF(COUNTIFS(実績!$W$6:$W$505,CT$3,実績!$AI$6:$AI$505,"&lt;="&amp;$A97,実績!$AJ$6:$AJ$505,"&gt;"&amp;$A97,実績!$AL$6:$AL$505,"○")&gt;0,1,0))</f>
        <v>0</v>
      </c>
      <c r="CU97" s="39" t="n">
        <f aca="false">IF(CU$4=0,0,IF(COUNTIFS(実績!$W$6:$W$505,CU$3,実績!$AI$6:$AI$505,"&lt;="&amp;$A97,実績!$AJ$6:$AJ$505,"&gt;"&amp;$A97,実績!$AL$6:$AL$505,"○")&gt;0,1,0))</f>
        <v>0</v>
      </c>
      <c r="CV97" s="39" t="n">
        <f aca="false">IF(CV$4=0,0,IF(COUNTIFS(実績!$W$6:$W$505,CV$3,実績!$AI$6:$AI$505,"&lt;="&amp;$A97,実績!$AJ$6:$AJ$505,"&gt;"&amp;$A97,実績!$AL$6:$AL$505,"○")&gt;0,1,0))</f>
        <v>0</v>
      </c>
      <c r="CW97" s="39" t="n">
        <f aca="false">IF(CW$4=0,0,IF(COUNTIFS(実績!$W$6:$W$505,CW$3,実績!$AI$6:$AI$505,"&lt;="&amp;$A97,実績!$AJ$6:$AJ$505,"&gt;"&amp;$A97,実績!$AL$6:$AL$505,"○")&gt;0,1,0))</f>
        <v>0</v>
      </c>
      <c r="CX97" s="39" t="n">
        <f aca="false">IF(CX$4=0,0,IF(COUNTIFS(実績!$W$6:$W$505,CX$3,実績!$AI$6:$AI$505,"&lt;="&amp;$A97,実績!$AJ$6:$AJ$505,"&gt;"&amp;$A97,実績!$AL$6:$AL$505,"○")&gt;0,1,0))</f>
        <v>0</v>
      </c>
      <c r="CY97" s="39" t="n">
        <f aca="false">IF(CY$4=0,0,IF(COUNTIFS(実績!$W$6:$W$505,CY$3,実績!$AI$6:$AI$505,"&lt;="&amp;$A97,実績!$AJ$6:$AJ$505,"&gt;"&amp;$A97,実績!$AL$6:$AL$505,"○")&gt;0,1,0))</f>
        <v>0</v>
      </c>
      <c r="CZ97" s="39" t="n">
        <f aca="false">IF(CZ$4=0,0,IF(COUNTIFS(実績!$W$6:$W$505,CZ$3,実績!$AI$6:$AI$505,"&lt;="&amp;$A97,実績!$AJ$6:$AJ$505,"&gt;"&amp;$A97,実績!$AL$6:$AL$505,"○")&gt;0,1,0))</f>
        <v>0</v>
      </c>
      <c r="DA97" s="39" t="n">
        <f aca="false">IF(DA$4=0,0,IF(COUNTIFS(実績!$W$6:$W$505,DA$3,実績!$AI$6:$AI$505,"&lt;="&amp;$A97,実績!$AJ$6:$AJ$505,"&gt;"&amp;$A97,実績!$AL$6:$AL$505,"○")&gt;0,1,0))</f>
        <v>0</v>
      </c>
      <c r="DB97" s="39" t="n">
        <f aca="false">IF(DB$4=0,0,IF(COUNTIFS(実績!$W$6:$W$505,DB$3,実績!$AI$6:$AI$505,"&lt;="&amp;$A97,実績!$AJ$6:$AJ$505,"&gt;"&amp;$A97,実績!$AL$6:$AL$505,"○")&gt;0,1,0))</f>
        <v>0</v>
      </c>
      <c r="DC97" s="39" t="n">
        <f aca="false">IF(DC$4=0,0,IF(COUNTIFS(実績!$W$6:$W$505,DC$3,実績!$AI$6:$AI$505,"&lt;="&amp;$A97,実績!$AJ$6:$AJ$505,"&gt;"&amp;$A97,実績!$AL$6:$AL$505,"○")&gt;0,1,0))</f>
        <v>0</v>
      </c>
      <c r="DD97" s="39" t="n">
        <f aca="false">IF(DD$4=0,0,IF(COUNTIFS(実績!$W$6:$W$505,DD$3,実績!$AI$6:$AI$505,"&lt;="&amp;$A97,実績!$AJ$6:$AJ$505,"&gt;"&amp;$A97,実績!$AL$6:$AL$505,"○")&gt;0,1,0))</f>
        <v>0</v>
      </c>
      <c r="DE97" s="39" t="n">
        <f aca="false">IF(DE$4=0,0,IF(COUNTIFS(実績!$W$6:$W$505,DE$3,実績!$AI$6:$AI$505,"&lt;="&amp;$A97,実績!$AJ$6:$AJ$505,"&gt;"&amp;$A97,実績!$AL$6:$AL$505,"○")&gt;0,1,0))</f>
        <v>0</v>
      </c>
      <c r="DF97" s="39" t="n">
        <f aca="false">IF(DF$4=0,0,IF(COUNTIFS(実績!$W$6:$W$505,DF$3,実績!$AI$6:$AI$505,"&lt;="&amp;$A97,実績!$AJ$6:$AJ$505,"&gt;"&amp;$A97,実績!$AL$6:$AL$505,"○")&gt;0,1,0))</f>
        <v>0</v>
      </c>
      <c r="DG97" s="39" t="n">
        <f aca="false">IF(DG$4=0,0,IF(COUNTIFS(実績!$W$6:$W$505,DG$3,実績!$AI$6:$AI$505,"&lt;="&amp;$A97,実績!$AJ$6:$AJ$505,"&gt;"&amp;$A97,実績!$AL$6:$AL$505,"○")&gt;0,1,0))</f>
        <v>0</v>
      </c>
      <c r="DH97" s="39" t="n">
        <f aca="false">IF(DH$4=0,0,IF(COUNTIFS(実績!$W$6:$W$505,DH$3,実績!$AI$6:$AI$505,"&lt;="&amp;$A97,実績!$AJ$6:$AJ$505,"&gt;"&amp;$A97,実績!$AL$6:$AL$505,"○")&gt;0,1,0))</f>
        <v>0</v>
      </c>
      <c r="DI97" s="39" t="n">
        <f aca="false">IF(DI$4=0,0,IF(COUNTIFS(実績!$W$6:$W$505,DI$3,実績!$AI$6:$AI$505,"&lt;="&amp;$A97,実績!$AJ$6:$AJ$505,"&gt;"&amp;$A97,実績!$AL$6:$AL$505,"○")&gt;0,1,0))</f>
        <v>0</v>
      </c>
      <c r="DJ97" s="39" t="n">
        <f aca="false">IF(DJ$4=0,0,IF(COUNTIFS(実績!$W$6:$W$505,DJ$3,実績!$AI$6:$AI$505,"&lt;="&amp;$A97,実績!$AJ$6:$AJ$505,"&gt;"&amp;$A97,実績!$AL$6:$AL$505,"○")&gt;0,1,0))</f>
        <v>0</v>
      </c>
      <c r="DK97" s="39" t="n">
        <f aca="false">IF(DK$4=0,0,IF(COUNTIFS(実績!$W$6:$W$505,DK$3,実績!$AI$6:$AI$505,"&lt;="&amp;$A97,実績!$AJ$6:$AJ$505,"&gt;"&amp;$A97,実績!$AL$6:$AL$505,"○")&gt;0,1,0))</f>
        <v>0</v>
      </c>
      <c r="DL97" s="39" t="n">
        <f aca="false">IF(DL$4=0,0,IF(COUNTIFS(実績!$W$6:$W$505,DL$3,実績!$AI$6:$AI$505,"&lt;="&amp;$A97,実績!$AJ$6:$AJ$505,"&gt;"&amp;$A97,実績!$AL$6:$AL$505,"○")&gt;0,1,0))</f>
        <v>0</v>
      </c>
      <c r="DM97" s="39" t="n">
        <f aca="false">IF(DM$4=0,0,IF(COUNTIFS(実績!$W$6:$W$505,DM$3,実績!$AI$6:$AI$505,"&lt;="&amp;$A97,実績!$AJ$6:$AJ$505,"&gt;"&amp;$A97,実績!$AL$6:$AL$505,"○")&gt;0,1,0))</f>
        <v>0</v>
      </c>
      <c r="DN97" s="39" t="n">
        <f aca="false">IF(DN$4=0,0,IF(COUNTIFS(実績!$W$6:$W$505,DN$3,実績!$AI$6:$AI$505,"&lt;="&amp;$A97,実績!$AJ$6:$AJ$505,"&gt;"&amp;$A97,実績!$AL$6:$AL$505,"○")&gt;0,1,0))</f>
        <v>0</v>
      </c>
      <c r="DO97" s="39" t="n">
        <f aca="false">IF(DO$4=0,0,IF(COUNTIFS(実績!$W$6:$W$505,DO$3,実績!$AI$6:$AI$505,"&lt;="&amp;$A97,実績!$AJ$6:$AJ$505,"&gt;"&amp;$A97,実績!$AL$6:$AL$505,"○")&gt;0,1,0))</f>
        <v>0</v>
      </c>
      <c r="DP97" s="39" t="n">
        <f aca="false">IF(DP$4=0,0,IF(COUNTIFS(実績!$W$6:$W$505,DP$3,実績!$AI$6:$AI$505,"&lt;="&amp;$A97,実績!$AJ$6:$AJ$505,"&gt;"&amp;$A97,実績!$AL$6:$AL$505,"○")&gt;0,1,0))</f>
        <v>0</v>
      </c>
      <c r="DQ97" s="39" t="n">
        <f aca="false">IF(DQ$4=0,0,IF(COUNTIFS(実績!$W$6:$W$505,DQ$3,実績!$AI$6:$AI$505,"&lt;="&amp;$A97,実績!$AJ$6:$AJ$505,"&gt;"&amp;$A97,実績!$AL$6:$AL$505,"○")&gt;0,1,0))</f>
        <v>0</v>
      </c>
      <c r="DR97" s="39" t="n">
        <f aca="false">IF(DR$4=0,0,IF(COUNTIFS(実績!$W$6:$W$505,DR$3,実績!$AI$6:$AI$505,"&lt;="&amp;$A97,実績!$AJ$6:$AJ$505,"&gt;"&amp;$A97,実績!$AL$6:$AL$505,"○")&gt;0,1,0))</f>
        <v>0</v>
      </c>
      <c r="DS97" s="39" t="n">
        <f aca="false">SUM(C97:DR97)</f>
        <v>0</v>
      </c>
    </row>
    <row r="98" customFormat="false" ht="15" hidden="false" customHeight="false" outlineLevel="0" collapsed="false">
      <c r="A98" s="0" t="n">
        <v>460</v>
      </c>
      <c r="B98" s="38" t="n">
        <f aca="false">A98/1440</f>
        <v>0.319444444444444</v>
      </c>
      <c r="C98" s="39" t="n">
        <f aca="false">IF(C$4=0,0,IF(COUNTIFS(実績!$W$6:$W$505,C$3,実績!$AI$6:$AI$505,"&lt;="&amp;$A98,実績!$AJ$6:$AJ$505,"&gt;"&amp;$A98,実績!$AL$6:$AL$505,"○")&gt;0,1,0))</f>
        <v>0</v>
      </c>
      <c r="D98" s="39" t="n">
        <f aca="false">IF(D$4=0,0,IF(COUNTIFS(実績!$W$6:$W$505,D$3,実績!$AI$6:$AI$505,"&lt;="&amp;$A98,実績!$AJ$6:$AJ$505,"&gt;"&amp;$A98,実績!$AL$6:$AL$505,"○")&gt;0,1,0))</f>
        <v>0</v>
      </c>
      <c r="E98" s="39" t="n">
        <f aca="false">IF(E$4=0,0,IF(COUNTIFS(実績!$W$6:$W$505,E$3,実績!$AI$6:$AI$505,"&lt;="&amp;$A98,実績!$AJ$6:$AJ$505,"&gt;"&amp;$A98,実績!$AL$6:$AL$505,"○")&gt;0,1,0))</f>
        <v>0</v>
      </c>
      <c r="F98" s="39" t="n">
        <f aca="false">IF(F$4=0,0,IF(COUNTIFS(実績!$W$6:$W$505,F$3,実績!$AI$6:$AI$505,"&lt;="&amp;$A98,実績!$AJ$6:$AJ$505,"&gt;"&amp;$A98,実績!$AL$6:$AL$505,"○")&gt;0,1,0))</f>
        <v>0</v>
      </c>
      <c r="G98" s="39" t="n">
        <f aca="false">IF(G$4=0,0,IF(COUNTIFS(実績!$W$6:$W$505,G$3,実績!$AI$6:$AI$505,"&lt;="&amp;$A98,実績!$AJ$6:$AJ$505,"&gt;"&amp;$A98,実績!$AL$6:$AL$505,"○")&gt;0,1,0))</f>
        <v>0</v>
      </c>
      <c r="H98" s="39" t="n">
        <f aca="false">IF(H$4=0,0,IF(COUNTIFS(実績!$W$6:$W$505,H$3,実績!$AI$6:$AI$505,"&lt;="&amp;$A98,実績!$AJ$6:$AJ$505,"&gt;"&amp;$A98,実績!$AL$6:$AL$505,"○")&gt;0,1,0))</f>
        <v>0</v>
      </c>
      <c r="I98" s="39" t="n">
        <f aca="false">IF(I$4=0,0,IF(COUNTIFS(実績!$W$6:$W$505,I$3,実績!$AI$6:$AI$505,"&lt;="&amp;$A98,実績!$AJ$6:$AJ$505,"&gt;"&amp;$A98,実績!$AL$6:$AL$505,"○")&gt;0,1,0))</f>
        <v>0</v>
      </c>
      <c r="J98" s="39" t="n">
        <f aca="false">IF(J$4=0,0,IF(COUNTIFS(実績!$W$6:$W$505,J$3,実績!$AI$6:$AI$505,"&lt;="&amp;$A98,実績!$AJ$6:$AJ$505,"&gt;"&amp;$A98,実績!$AL$6:$AL$505,"○")&gt;0,1,0))</f>
        <v>0</v>
      </c>
      <c r="K98" s="39" t="n">
        <f aca="false">IF(K$4=0,0,IF(COUNTIFS(実績!$W$6:$W$505,K$3,実績!$AI$6:$AI$505,"&lt;="&amp;$A98,実績!$AJ$6:$AJ$505,"&gt;"&amp;$A98,実績!$AL$6:$AL$505,"○")&gt;0,1,0))</f>
        <v>0</v>
      </c>
      <c r="L98" s="39" t="n">
        <f aca="false">IF(L$4=0,0,IF(COUNTIFS(実績!$W$6:$W$505,L$3,実績!$AI$6:$AI$505,"&lt;="&amp;$A98,実績!$AJ$6:$AJ$505,"&gt;"&amp;$A98,実績!$AL$6:$AL$505,"○")&gt;0,1,0))</f>
        <v>0</v>
      </c>
      <c r="M98" s="39" t="n">
        <f aca="false">IF(M$4=0,0,IF(COUNTIFS(実績!$W$6:$W$505,M$3,実績!$AI$6:$AI$505,"&lt;="&amp;$A98,実績!$AJ$6:$AJ$505,"&gt;"&amp;$A98,実績!$AL$6:$AL$505,"○")&gt;0,1,0))</f>
        <v>0</v>
      </c>
      <c r="N98" s="39" t="n">
        <f aca="false">IF(N$4=0,0,IF(COUNTIFS(実績!$W$6:$W$505,N$3,実績!$AI$6:$AI$505,"&lt;="&amp;$A98,実績!$AJ$6:$AJ$505,"&gt;"&amp;$A98,実績!$AL$6:$AL$505,"○")&gt;0,1,0))</f>
        <v>0</v>
      </c>
      <c r="O98" s="39" t="n">
        <f aca="false">IF(O$4=0,0,IF(COUNTIFS(実績!$W$6:$W$505,O$3,実績!$AI$6:$AI$505,"&lt;="&amp;$A98,実績!$AJ$6:$AJ$505,"&gt;"&amp;$A98,実績!$AL$6:$AL$505,"○")&gt;0,1,0))</f>
        <v>0</v>
      </c>
      <c r="P98" s="39" t="n">
        <f aca="false">IF(P$4=0,0,IF(COUNTIFS(実績!$W$6:$W$505,P$3,実績!$AI$6:$AI$505,"&lt;="&amp;$A98,実績!$AJ$6:$AJ$505,"&gt;"&amp;$A98,実績!$AL$6:$AL$505,"○")&gt;0,1,0))</f>
        <v>0</v>
      </c>
      <c r="Q98" s="39" t="n">
        <f aca="false">IF(Q$4=0,0,IF(COUNTIFS(実績!$W$6:$W$505,Q$3,実績!$AI$6:$AI$505,"&lt;="&amp;$A98,実績!$AJ$6:$AJ$505,"&gt;"&amp;$A98,実績!$AL$6:$AL$505,"○")&gt;0,1,0))</f>
        <v>0</v>
      </c>
      <c r="R98" s="39" t="n">
        <f aca="false">IF(R$4=0,0,IF(COUNTIFS(実績!$W$6:$W$505,R$3,実績!$AI$6:$AI$505,"&lt;="&amp;$A98,実績!$AJ$6:$AJ$505,"&gt;"&amp;$A98,実績!$AL$6:$AL$505,"○")&gt;0,1,0))</f>
        <v>0</v>
      </c>
      <c r="S98" s="39" t="n">
        <f aca="false">IF(S$4=0,0,IF(COUNTIFS(実績!$W$6:$W$505,S$3,実績!$AI$6:$AI$505,"&lt;="&amp;$A98,実績!$AJ$6:$AJ$505,"&gt;"&amp;$A98,実績!$AL$6:$AL$505,"○")&gt;0,1,0))</f>
        <v>0</v>
      </c>
      <c r="T98" s="39" t="n">
        <f aca="false">IF(T$4=0,0,IF(COUNTIFS(実績!$W$6:$W$505,T$3,実績!$AI$6:$AI$505,"&lt;="&amp;$A98,実績!$AJ$6:$AJ$505,"&gt;"&amp;$A98,実績!$AL$6:$AL$505,"○")&gt;0,1,0))</f>
        <v>0</v>
      </c>
      <c r="U98" s="39" t="n">
        <f aca="false">IF(U$4=0,0,IF(COUNTIFS(実績!$W$6:$W$505,U$3,実績!$AI$6:$AI$505,"&lt;="&amp;$A98,実績!$AJ$6:$AJ$505,"&gt;"&amp;$A98,実績!$AL$6:$AL$505,"○")&gt;0,1,0))</f>
        <v>0</v>
      </c>
      <c r="V98" s="39" t="n">
        <f aca="false">IF(V$4=0,0,IF(COUNTIFS(実績!$W$6:$W$505,V$3,実績!$AI$6:$AI$505,"&lt;="&amp;$A98,実績!$AJ$6:$AJ$505,"&gt;"&amp;$A98,実績!$AL$6:$AL$505,"○")&gt;0,1,0))</f>
        <v>0</v>
      </c>
      <c r="W98" s="39" t="n">
        <f aca="false">IF(W$4=0,0,IF(COUNTIFS(実績!$W$6:$W$505,W$3,実績!$AI$6:$AI$505,"&lt;="&amp;$A98,実績!$AJ$6:$AJ$505,"&gt;"&amp;$A98,実績!$AL$6:$AL$505,"○")&gt;0,1,0))</f>
        <v>0</v>
      </c>
      <c r="X98" s="39" t="n">
        <f aca="false">IF(X$4=0,0,IF(COUNTIFS(実績!$W$6:$W$505,X$3,実績!$AI$6:$AI$505,"&lt;="&amp;$A98,実績!$AJ$6:$AJ$505,"&gt;"&amp;$A98,実績!$AL$6:$AL$505,"○")&gt;0,1,0))</f>
        <v>0</v>
      </c>
      <c r="Y98" s="39" t="n">
        <f aca="false">IF(Y$4=0,0,IF(COUNTIFS(実績!$W$6:$W$505,Y$3,実績!$AI$6:$AI$505,"&lt;="&amp;$A98,実績!$AJ$6:$AJ$505,"&gt;"&amp;$A98,実績!$AL$6:$AL$505,"○")&gt;0,1,0))</f>
        <v>0</v>
      </c>
      <c r="Z98" s="39" t="n">
        <f aca="false">IF(Z$4=0,0,IF(COUNTIFS(実績!$W$6:$W$505,Z$3,実績!$AI$6:$AI$505,"&lt;="&amp;$A98,実績!$AJ$6:$AJ$505,"&gt;"&amp;$A98,実績!$AL$6:$AL$505,"○")&gt;0,1,0))</f>
        <v>0</v>
      </c>
      <c r="AA98" s="39" t="n">
        <f aca="false">IF(AA$4=0,0,IF(COUNTIFS(実績!$W$6:$W$505,AA$3,実績!$AI$6:$AI$505,"&lt;="&amp;$A98,実績!$AJ$6:$AJ$505,"&gt;"&amp;$A98,実績!$AL$6:$AL$505,"○")&gt;0,1,0))</f>
        <v>0</v>
      </c>
      <c r="AB98" s="39" t="n">
        <f aca="false">IF(AB$4=0,0,IF(COUNTIFS(実績!$W$6:$W$505,AB$3,実績!$AI$6:$AI$505,"&lt;="&amp;$A98,実績!$AJ$6:$AJ$505,"&gt;"&amp;$A98,実績!$AL$6:$AL$505,"○")&gt;0,1,0))</f>
        <v>0</v>
      </c>
      <c r="AC98" s="39" t="n">
        <f aca="false">IF(AC$4=0,0,IF(COUNTIFS(実績!$W$6:$W$505,AC$3,実績!$AI$6:$AI$505,"&lt;="&amp;$A98,実績!$AJ$6:$AJ$505,"&gt;"&amp;$A98,実績!$AL$6:$AL$505,"○")&gt;0,1,0))</f>
        <v>0</v>
      </c>
      <c r="AD98" s="39" t="n">
        <f aca="false">IF(AD$4=0,0,IF(COUNTIFS(実績!$W$6:$W$505,AD$3,実績!$AI$6:$AI$505,"&lt;="&amp;$A98,実績!$AJ$6:$AJ$505,"&gt;"&amp;$A98,実績!$AL$6:$AL$505,"○")&gt;0,1,0))</f>
        <v>0</v>
      </c>
      <c r="AE98" s="39" t="n">
        <f aca="false">IF(AE$4=0,0,IF(COUNTIFS(実績!$W$6:$W$505,AE$3,実績!$AI$6:$AI$505,"&lt;="&amp;$A98,実績!$AJ$6:$AJ$505,"&gt;"&amp;$A98,実績!$AL$6:$AL$505,"○")&gt;0,1,0))</f>
        <v>0</v>
      </c>
      <c r="AF98" s="39" t="n">
        <f aca="false">IF(AF$4=0,0,IF(COUNTIFS(実績!$W$6:$W$505,AF$3,実績!$AI$6:$AI$505,"&lt;="&amp;$A98,実績!$AJ$6:$AJ$505,"&gt;"&amp;$A98,実績!$AL$6:$AL$505,"○")&gt;0,1,0))</f>
        <v>0</v>
      </c>
      <c r="AG98" s="39" t="n">
        <f aca="false">IF(AG$4=0,0,IF(COUNTIFS(実績!$W$6:$W$505,AG$3,実績!$AI$6:$AI$505,"&lt;="&amp;$A98,実績!$AJ$6:$AJ$505,"&gt;"&amp;$A98,実績!$AL$6:$AL$505,"○")&gt;0,1,0))</f>
        <v>0</v>
      </c>
      <c r="AH98" s="39" t="n">
        <f aca="false">IF(AH$4=0,0,IF(COUNTIFS(実績!$W$6:$W$505,AH$3,実績!$AI$6:$AI$505,"&lt;="&amp;$A98,実績!$AJ$6:$AJ$505,"&gt;"&amp;$A98,実績!$AL$6:$AL$505,"○")&gt;0,1,0))</f>
        <v>0</v>
      </c>
      <c r="AI98" s="39" t="n">
        <f aca="false">IF(AI$4=0,0,IF(COUNTIFS(実績!$W$6:$W$505,AI$3,実績!$AI$6:$AI$505,"&lt;="&amp;$A98,実績!$AJ$6:$AJ$505,"&gt;"&amp;$A98,実績!$AL$6:$AL$505,"○")&gt;0,1,0))</f>
        <v>0</v>
      </c>
      <c r="AJ98" s="39" t="n">
        <f aca="false">IF(AJ$4=0,0,IF(COUNTIFS(実績!$W$6:$W$505,AJ$3,実績!$AI$6:$AI$505,"&lt;="&amp;$A98,実績!$AJ$6:$AJ$505,"&gt;"&amp;$A98,実績!$AL$6:$AL$505,"○")&gt;0,1,0))</f>
        <v>0</v>
      </c>
      <c r="AK98" s="39" t="n">
        <f aca="false">IF(AK$4=0,0,IF(COUNTIFS(実績!$W$6:$W$505,AK$3,実績!$AI$6:$AI$505,"&lt;="&amp;$A98,実績!$AJ$6:$AJ$505,"&gt;"&amp;$A98,実績!$AL$6:$AL$505,"○")&gt;0,1,0))</f>
        <v>0</v>
      </c>
      <c r="AL98" s="39" t="n">
        <f aca="false">IF(AL$4=0,0,IF(COUNTIFS(実績!$W$6:$W$505,AL$3,実績!$AI$6:$AI$505,"&lt;="&amp;$A98,実績!$AJ$6:$AJ$505,"&gt;"&amp;$A98,実績!$AL$6:$AL$505,"○")&gt;0,1,0))</f>
        <v>0</v>
      </c>
      <c r="AM98" s="39" t="n">
        <f aca="false">IF(AM$4=0,0,IF(COUNTIFS(実績!$W$6:$W$505,AM$3,実績!$AI$6:$AI$505,"&lt;="&amp;$A98,実績!$AJ$6:$AJ$505,"&gt;"&amp;$A98,実績!$AL$6:$AL$505,"○")&gt;0,1,0))</f>
        <v>0</v>
      </c>
      <c r="AN98" s="39" t="n">
        <f aca="false">IF(AN$4=0,0,IF(COUNTIFS(実績!$W$6:$W$505,AN$3,実績!$AI$6:$AI$505,"&lt;="&amp;$A98,実績!$AJ$6:$AJ$505,"&gt;"&amp;$A98,実績!$AL$6:$AL$505,"○")&gt;0,1,0))</f>
        <v>0</v>
      </c>
      <c r="AO98" s="39" t="n">
        <f aca="false">IF(AO$4=0,0,IF(COUNTIFS(実績!$W$6:$W$505,AO$3,実績!$AI$6:$AI$505,"&lt;="&amp;$A98,実績!$AJ$6:$AJ$505,"&gt;"&amp;$A98,実績!$AL$6:$AL$505,"○")&gt;0,1,0))</f>
        <v>0</v>
      </c>
      <c r="AP98" s="39" t="n">
        <f aca="false">IF(AP$4=0,0,IF(COUNTIFS(実績!$W$6:$W$505,AP$3,実績!$AI$6:$AI$505,"&lt;="&amp;$A98,実績!$AJ$6:$AJ$505,"&gt;"&amp;$A98,実績!$AL$6:$AL$505,"○")&gt;0,1,0))</f>
        <v>0</v>
      </c>
      <c r="AQ98" s="39" t="n">
        <f aca="false">IF(AQ$4=0,0,IF(COUNTIFS(実績!$W$6:$W$505,AQ$3,実績!$AI$6:$AI$505,"&lt;="&amp;$A98,実績!$AJ$6:$AJ$505,"&gt;"&amp;$A98,実績!$AL$6:$AL$505,"○")&gt;0,1,0))</f>
        <v>0</v>
      </c>
      <c r="AR98" s="39" t="n">
        <f aca="false">IF(AR$4=0,0,IF(COUNTIFS(実績!$W$6:$W$505,AR$3,実績!$AI$6:$AI$505,"&lt;="&amp;$A98,実績!$AJ$6:$AJ$505,"&gt;"&amp;$A98,実績!$AL$6:$AL$505,"○")&gt;0,1,0))</f>
        <v>0</v>
      </c>
      <c r="AS98" s="39" t="n">
        <f aca="false">IF(AS$4=0,0,IF(COUNTIFS(実績!$W$6:$W$505,AS$3,実績!$AI$6:$AI$505,"&lt;="&amp;$A98,実績!$AJ$6:$AJ$505,"&gt;"&amp;$A98,実績!$AL$6:$AL$505,"○")&gt;0,1,0))</f>
        <v>0</v>
      </c>
      <c r="AT98" s="39" t="n">
        <f aca="false">IF(AT$4=0,0,IF(COUNTIFS(実績!$W$6:$W$505,AT$3,実績!$AI$6:$AI$505,"&lt;="&amp;$A98,実績!$AJ$6:$AJ$505,"&gt;"&amp;$A98,実績!$AL$6:$AL$505,"○")&gt;0,1,0))</f>
        <v>0</v>
      </c>
      <c r="AU98" s="39" t="n">
        <f aca="false">IF(AU$4=0,0,IF(COUNTIFS(実績!$W$6:$W$505,AU$3,実績!$AI$6:$AI$505,"&lt;="&amp;$A98,実績!$AJ$6:$AJ$505,"&gt;"&amp;$A98,実績!$AL$6:$AL$505,"○")&gt;0,1,0))</f>
        <v>0</v>
      </c>
      <c r="AV98" s="39" t="n">
        <f aca="false">IF(AV$4=0,0,IF(COUNTIFS(実績!$W$6:$W$505,AV$3,実績!$AI$6:$AI$505,"&lt;="&amp;$A98,実績!$AJ$6:$AJ$505,"&gt;"&amp;$A98,実績!$AL$6:$AL$505,"○")&gt;0,1,0))</f>
        <v>0</v>
      </c>
      <c r="AW98" s="39" t="n">
        <f aca="false">IF(AW$4=0,0,IF(COUNTIFS(実績!$W$6:$W$505,AW$3,実績!$AI$6:$AI$505,"&lt;="&amp;$A98,実績!$AJ$6:$AJ$505,"&gt;"&amp;$A98,実績!$AL$6:$AL$505,"○")&gt;0,1,0))</f>
        <v>0</v>
      </c>
      <c r="AX98" s="39" t="n">
        <f aca="false">IF(AX$4=0,0,IF(COUNTIFS(実績!$W$6:$W$505,AX$3,実績!$AI$6:$AI$505,"&lt;="&amp;$A98,実績!$AJ$6:$AJ$505,"&gt;"&amp;$A98,実績!$AL$6:$AL$505,"○")&gt;0,1,0))</f>
        <v>0</v>
      </c>
      <c r="AY98" s="39" t="n">
        <f aca="false">IF(AY$4=0,0,IF(COUNTIFS(実績!$W$6:$W$505,AY$3,実績!$AI$6:$AI$505,"&lt;="&amp;$A98,実績!$AJ$6:$AJ$505,"&gt;"&amp;$A98,実績!$AL$6:$AL$505,"○")&gt;0,1,0))</f>
        <v>0</v>
      </c>
      <c r="AZ98" s="39" t="n">
        <f aca="false">IF(AZ$4=0,0,IF(COUNTIFS(実績!$W$6:$W$505,AZ$3,実績!$AI$6:$AI$505,"&lt;="&amp;$A98,実績!$AJ$6:$AJ$505,"&gt;"&amp;$A98,実績!$AL$6:$AL$505,"○")&gt;0,1,0))</f>
        <v>0</v>
      </c>
      <c r="BA98" s="39" t="n">
        <f aca="false">IF(BA$4=0,0,IF(COUNTIFS(実績!$W$6:$W$505,BA$3,実績!$AI$6:$AI$505,"&lt;="&amp;$A98,実績!$AJ$6:$AJ$505,"&gt;"&amp;$A98,実績!$AL$6:$AL$505,"○")&gt;0,1,0))</f>
        <v>0</v>
      </c>
      <c r="BB98" s="39" t="n">
        <f aca="false">IF(BB$4=0,0,IF(COUNTIFS(実績!$W$6:$W$505,BB$3,実績!$AI$6:$AI$505,"&lt;="&amp;$A98,実績!$AJ$6:$AJ$505,"&gt;"&amp;$A98,実績!$AL$6:$AL$505,"○")&gt;0,1,0))</f>
        <v>0</v>
      </c>
      <c r="BC98" s="39" t="n">
        <f aca="false">IF(BC$4=0,0,IF(COUNTIFS(実績!$W$6:$W$505,BC$3,実績!$AI$6:$AI$505,"&lt;="&amp;$A98,実績!$AJ$6:$AJ$505,"&gt;"&amp;$A98,実績!$AL$6:$AL$505,"○")&gt;0,1,0))</f>
        <v>0</v>
      </c>
      <c r="BD98" s="39" t="n">
        <f aca="false">IF(BD$4=0,0,IF(COUNTIFS(実績!$W$6:$W$505,BD$3,実績!$AI$6:$AI$505,"&lt;="&amp;$A98,実績!$AJ$6:$AJ$505,"&gt;"&amp;$A98,実績!$AL$6:$AL$505,"○")&gt;0,1,0))</f>
        <v>0</v>
      </c>
      <c r="BE98" s="39" t="n">
        <f aca="false">IF(BE$4=0,0,IF(COUNTIFS(実績!$W$6:$W$505,BE$3,実績!$AI$6:$AI$505,"&lt;="&amp;$A98,実績!$AJ$6:$AJ$505,"&gt;"&amp;$A98,実績!$AL$6:$AL$505,"○")&gt;0,1,0))</f>
        <v>0</v>
      </c>
      <c r="BF98" s="39" t="n">
        <f aca="false">IF(BF$4=0,0,IF(COUNTIFS(実績!$W$6:$W$505,BF$3,実績!$AI$6:$AI$505,"&lt;="&amp;$A98,実績!$AJ$6:$AJ$505,"&gt;"&amp;$A98,実績!$AL$6:$AL$505,"○")&gt;0,1,0))</f>
        <v>0</v>
      </c>
      <c r="BG98" s="39" t="n">
        <f aca="false">IF(BG$4=0,0,IF(COUNTIFS(実績!$W$6:$W$505,BG$3,実績!$AI$6:$AI$505,"&lt;="&amp;$A98,実績!$AJ$6:$AJ$505,"&gt;"&amp;$A98,実績!$AL$6:$AL$505,"○")&gt;0,1,0))</f>
        <v>0</v>
      </c>
      <c r="BH98" s="39" t="n">
        <f aca="false">IF(BH$4=0,0,IF(COUNTIFS(実績!$W$6:$W$505,BH$3,実績!$AI$6:$AI$505,"&lt;="&amp;$A98,実績!$AJ$6:$AJ$505,"&gt;"&amp;$A98,実績!$AL$6:$AL$505,"○")&gt;0,1,0))</f>
        <v>0</v>
      </c>
      <c r="BI98" s="39" t="n">
        <f aca="false">IF(BI$4=0,0,IF(COUNTIFS(実績!$W$6:$W$505,BI$3,実績!$AI$6:$AI$505,"&lt;="&amp;$A98,実績!$AJ$6:$AJ$505,"&gt;"&amp;$A98,実績!$AL$6:$AL$505,"○")&gt;0,1,0))</f>
        <v>0</v>
      </c>
      <c r="BJ98" s="39" t="n">
        <f aca="false">IF(BJ$4=0,0,IF(COUNTIFS(実績!$W$6:$W$505,BJ$3,実績!$AI$6:$AI$505,"&lt;="&amp;$A98,実績!$AJ$6:$AJ$505,"&gt;"&amp;$A98,実績!$AL$6:$AL$505,"○")&gt;0,1,0))</f>
        <v>0</v>
      </c>
      <c r="BK98" s="39" t="n">
        <f aca="false">IF(BK$4=0,0,IF(COUNTIFS(実績!$W$6:$W$505,BK$3,実績!$AI$6:$AI$505,"&lt;="&amp;$A98,実績!$AJ$6:$AJ$505,"&gt;"&amp;$A98,実績!$AL$6:$AL$505,"○")&gt;0,1,0))</f>
        <v>0</v>
      </c>
      <c r="BL98" s="39" t="n">
        <f aca="false">IF(BL$4=0,0,IF(COUNTIFS(実績!$W$6:$W$505,BL$3,実績!$AI$6:$AI$505,"&lt;="&amp;$A98,実績!$AJ$6:$AJ$505,"&gt;"&amp;$A98,実績!$AL$6:$AL$505,"○")&gt;0,1,0))</f>
        <v>0</v>
      </c>
      <c r="BM98" s="39" t="n">
        <f aca="false">IF(BM$4=0,0,IF(COUNTIFS(実績!$W$6:$W$505,BM$3,実績!$AI$6:$AI$505,"&lt;="&amp;$A98,実績!$AJ$6:$AJ$505,"&gt;"&amp;$A98,実績!$AL$6:$AL$505,"○")&gt;0,1,0))</f>
        <v>0</v>
      </c>
      <c r="BN98" s="39" t="n">
        <f aca="false">IF(BN$4=0,0,IF(COUNTIFS(実績!$W$6:$W$505,BN$3,実績!$AI$6:$AI$505,"&lt;="&amp;$A98,実績!$AJ$6:$AJ$505,"&gt;"&amp;$A98,実績!$AL$6:$AL$505,"○")&gt;0,1,0))</f>
        <v>0</v>
      </c>
      <c r="BO98" s="39" t="n">
        <f aca="false">IF(BO$4=0,0,IF(COUNTIFS(実績!$W$6:$W$505,BO$3,実績!$AI$6:$AI$505,"&lt;="&amp;$A98,実績!$AJ$6:$AJ$505,"&gt;"&amp;$A98,実績!$AL$6:$AL$505,"○")&gt;0,1,0))</f>
        <v>0</v>
      </c>
      <c r="BP98" s="39" t="n">
        <f aca="false">IF(BP$4=0,0,IF(COUNTIFS(実績!$W$6:$W$505,BP$3,実績!$AI$6:$AI$505,"&lt;="&amp;$A98,実績!$AJ$6:$AJ$505,"&gt;"&amp;$A98,実績!$AL$6:$AL$505,"○")&gt;0,1,0))</f>
        <v>0</v>
      </c>
      <c r="BQ98" s="39" t="n">
        <f aca="false">IF(BQ$4=0,0,IF(COUNTIFS(実績!$W$6:$W$505,BQ$3,実績!$AI$6:$AI$505,"&lt;="&amp;$A98,実績!$AJ$6:$AJ$505,"&gt;"&amp;$A98,実績!$AL$6:$AL$505,"○")&gt;0,1,0))</f>
        <v>0</v>
      </c>
      <c r="BR98" s="39" t="n">
        <f aca="false">IF(BR$4=0,0,IF(COUNTIFS(実績!$W$6:$W$505,BR$3,実績!$AI$6:$AI$505,"&lt;="&amp;$A98,実績!$AJ$6:$AJ$505,"&gt;"&amp;$A98,実績!$AL$6:$AL$505,"○")&gt;0,1,0))</f>
        <v>0</v>
      </c>
      <c r="BS98" s="39" t="n">
        <f aca="false">IF(BS$4=0,0,IF(COUNTIFS(実績!$W$6:$W$505,BS$3,実績!$AI$6:$AI$505,"&lt;="&amp;$A98,実績!$AJ$6:$AJ$505,"&gt;"&amp;$A98,実績!$AL$6:$AL$505,"○")&gt;0,1,0))</f>
        <v>0</v>
      </c>
      <c r="BT98" s="39" t="n">
        <f aca="false">IF(BT$4=0,0,IF(COUNTIFS(実績!$W$6:$W$505,BT$3,実績!$AI$6:$AI$505,"&lt;="&amp;$A98,実績!$AJ$6:$AJ$505,"&gt;"&amp;$A98,実績!$AL$6:$AL$505,"○")&gt;0,1,0))</f>
        <v>0</v>
      </c>
      <c r="BU98" s="39" t="n">
        <f aca="false">IF(BU$4=0,0,IF(COUNTIFS(実績!$W$6:$W$505,BU$3,実績!$AI$6:$AI$505,"&lt;="&amp;$A98,実績!$AJ$6:$AJ$505,"&gt;"&amp;$A98,実績!$AL$6:$AL$505,"○")&gt;0,1,0))</f>
        <v>0</v>
      </c>
      <c r="BV98" s="39" t="n">
        <f aca="false">IF(BV$4=0,0,IF(COUNTIFS(実績!$W$6:$W$505,BV$3,実績!$AI$6:$AI$505,"&lt;="&amp;$A98,実績!$AJ$6:$AJ$505,"&gt;"&amp;$A98,実績!$AL$6:$AL$505,"○")&gt;0,1,0))</f>
        <v>0</v>
      </c>
      <c r="BW98" s="39" t="n">
        <f aca="false">IF(BW$4=0,0,IF(COUNTIFS(実績!$W$6:$W$505,BW$3,実績!$AI$6:$AI$505,"&lt;="&amp;$A98,実績!$AJ$6:$AJ$505,"&gt;"&amp;$A98,実績!$AL$6:$AL$505,"○")&gt;0,1,0))</f>
        <v>0</v>
      </c>
      <c r="BX98" s="39" t="n">
        <f aca="false">IF(BX$4=0,0,IF(COUNTIFS(実績!$W$6:$W$505,BX$3,実績!$AI$6:$AI$505,"&lt;="&amp;$A98,実績!$AJ$6:$AJ$505,"&gt;"&amp;$A98,実績!$AL$6:$AL$505,"○")&gt;0,1,0))</f>
        <v>0</v>
      </c>
      <c r="BY98" s="39" t="n">
        <f aca="false">IF(BY$4=0,0,IF(COUNTIFS(実績!$W$6:$W$505,BY$3,実績!$AI$6:$AI$505,"&lt;="&amp;$A98,実績!$AJ$6:$AJ$505,"&gt;"&amp;$A98,実績!$AL$6:$AL$505,"○")&gt;0,1,0))</f>
        <v>0</v>
      </c>
      <c r="BZ98" s="39" t="n">
        <f aca="false">IF(BZ$4=0,0,IF(COUNTIFS(実績!$W$6:$W$505,BZ$3,実績!$AI$6:$AI$505,"&lt;="&amp;$A98,実績!$AJ$6:$AJ$505,"&gt;"&amp;$A98,実績!$AL$6:$AL$505,"○")&gt;0,1,0))</f>
        <v>0</v>
      </c>
      <c r="CA98" s="39" t="n">
        <f aca="false">IF(CA$4=0,0,IF(COUNTIFS(実績!$W$6:$W$505,CA$3,実績!$AI$6:$AI$505,"&lt;="&amp;$A98,実績!$AJ$6:$AJ$505,"&gt;"&amp;$A98,実績!$AL$6:$AL$505,"○")&gt;0,1,0))</f>
        <v>0</v>
      </c>
      <c r="CB98" s="39" t="n">
        <f aca="false">IF(CB$4=0,0,IF(COUNTIFS(実績!$W$6:$W$505,CB$3,実績!$AI$6:$AI$505,"&lt;="&amp;$A98,実績!$AJ$6:$AJ$505,"&gt;"&amp;$A98,実績!$AL$6:$AL$505,"○")&gt;0,1,0))</f>
        <v>0</v>
      </c>
      <c r="CC98" s="39" t="n">
        <f aca="false">IF(CC$4=0,0,IF(COUNTIFS(実績!$W$6:$W$505,CC$3,実績!$AI$6:$AI$505,"&lt;="&amp;$A98,実績!$AJ$6:$AJ$505,"&gt;"&amp;$A98,実績!$AL$6:$AL$505,"○")&gt;0,1,0))</f>
        <v>0</v>
      </c>
      <c r="CD98" s="39" t="n">
        <f aca="false">IF(CD$4=0,0,IF(COUNTIFS(実績!$W$6:$W$505,CD$3,実績!$AI$6:$AI$505,"&lt;="&amp;$A98,実績!$AJ$6:$AJ$505,"&gt;"&amp;$A98,実績!$AL$6:$AL$505,"○")&gt;0,1,0))</f>
        <v>0</v>
      </c>
      <c r="CE98" s="39" t="n">
        <f aca="false">IF(CE$4=0,0,IF(COUNTIFS(実績!$W$6:$W$505,CE$3,実績!$AI$6:$AI$505,"&lt;="&amp;$A98,実績!$AJ$6:$AJ$505,"&gt;"&amp;$A98,実績!$AL$6:$AL$505,"○")&gt;0,1,0))</f>
        <v>0</v>
      </c>
      <c r="CF98" s="39" t="n">
        <f aca="false">IF(CF$4=0,0,IF(COUNTIFS(実績!$W$6:$W$505,CF$3,実績!$AI$6:$AI$505,"&lt;="&amp;$A98,実績!$AJ$6:$AJ$505,"&gt;"&amp;$A98,実績!$AL$6:$AL$505,"○")&gt;0,1,0))</f>
        <v>0</v>
      </c>
      <c r="CG98" s="39" t="n">
        <f aca="false">IF(CG$4=0,0,IF(COUNTIFS(実績!$W$6:$W$505,CG$3,実績!$AI$6:$AI$505,"&lt;="&amp;$A98,実績!$AJ$6:$AJ$505,"&gt;"&amp;$A98,実績!$AL$6:$AL$505,"○")&gt;0,1,0))</f>
        <v>0</v>
      </c>
      <c r="CH98" s="39" t="n">
        <f aca="false">IF(CH$4=0,0,IF(COUNTIFS(実績!$W$6:$W$505,CH$3,実績!$AI$6:$AI$505,"&lt;="&amp;$A98,実績!$AJ$6:$AJ$505,"&gt;"&amp;$A98,実績!$AL$6:$AL$505,"○")&gt;0,1,0))</f>
        <v>0</v>
      </c>
      <c r="CI98" s="39" t="n">
        <f aca="false">IF(CI$4=0,0,IF(COUNTIFS(実績!$W$6:$W$505,CI$3,実績!$AI$6:$AI$505,"&lt;="&amp;$A98,実績!$AJ$6:$AJ$505,"&gt;"&amp;$A98,実績!$AL$6:$AL$505,"○")&gt;0,1,0))</f>
        <v>0</v>
      </c>
      <c r="CJ98" s="39" t="n">
        <f aca="false">IF(CJ$4=0,0,IF(COUNTIFS(実績!$W$6:$W$505,CJ$3,実績!$AI$6:$AI$505,"&lt;="&amp;$A98,実績!$AJ$6:$AJ$505,"&gt;"&amp;$A98,実績!$AL$6:$AL$505,"○")&gt;0,1,0))</f>
        <v>0</v>
      </c>
      <c r="CK98" s="39" t="n">
        <f aca="false">IF(CK$4=0,0,IF(COUNTIFS(実績!$W$6:$W$505,CK$3,実績!$AI$6:$AI$505,"&lt;="&amp;$A98,実績!$AJ$6:$AJ$505,"&gt;"&amp;$A98,実績!$AL$6:$AL$505,"○")&gt;0,1,0))</f>
        <v>0</v>
      </c>
      <c r="CL98" s="39" t="n">
        <f aca="false">IF(CL$4=0,0,IF(COUNTIFS(実績!$W$6:$W$505,CL$3,実績!$AI$6:$AI$505,"&lt;="&amp;$A98,実績!$AJ$6:$AJ$505,"&gt;"&amp;$A98,実績!$AL$6:$AL$505,"○")&gt;0,1,0))</f>
        <v>0</v>
      </c>
      <c r="CM98" s="39" t="n">
        <f aca="false">IF(CM$4=0,0,IF(COUNTIFS(実績!$W$6:$W$505,CM$3,実績!$AI$6:$AI$505,"&lt;="&amp;$A98,実績!$AJ$6:$AJ$505,"&gt;"&amp;$A98,実績!$AL$6:$AL$505,"○")&gt;0,1,0))</f>
        <v>0</v>
      </c>
      <c r="CN98" s="39" t="n">
        <f aca="false">IF(CN$4=0,0,IF(COUNTIFS(実績!$W$6:$W$505,CN$3,実績!$AI$6:$AI$505,"&lt;="&amp;$A98,実績!$AJ$6:$AJ$505,"&gt;"&amp;$A98,実績!$AL$6:$AL$505,"○")&gt;0,1,0))</f>
        <v>0</v>
      </c>
      <c r="CO98" s="39" t="n">
        <f aca="false">IF(CO$4=0,0,IF(COUNTIFS(実績!$W$6:$W$505,CO$3,実績!$AI$6:$AI$505,"&lt;="&amp;$A98,実績!$AJ$6:$AJ$505,"&gt;"&amp;$A98,実績!$AL$6:$AL$505,"○")&gt;0,1,0))</f>
        <v>0</v>
      </c>
      <c r="CP98" s="39" t="n">
        <f aca="false">IF(CP$4=0,0,IF(COUNTIFS(実績!$W$6:$W$505,CP$3,実績!$AI$6:$AI$505,"&lt;="&amp;$A98,実績!$AJ$6:$AJ$505,"&gt;"&amp;$A98,実績!$AL$6:$AL$505,"○")&gt;0,1,0))</f>
        <v>0</v>
      </c>
      <c r="CQ98" s="39" t="n">
        <f aca="false">IF(CQ$4=0,0,IF(COUNTIFS(実績!$W$6:$W$505,CQ$3,実績!$AI$6:$AI$505,"&lt;="&amp;$A98,実績!$AJ$6:$AJ$505,"&gt;"&amp;$A98,実績!$AL$6:$AL$505,"○")&gt;0,1,0))</f>
        <v>0</v>
      </c>
      <c r="CR98" s="39" t="n">
        <f aca="false">IF(CR$4=0,0,IF(COUNTIFS(実績!$W$6:$W$505,CR$3,実績!$AI$6:$AI$505,"&lt;="&amp;$A98,実績!$AJ$6:$AJ$505,"&gt;"&amp;$A98,実績!$AL$6:$AL$505,"○")&gt;0,1,0))</f>
        <v>0</v>
      </c>
      <c r="CS98" s="39" t="n">
        <f aca="false">IF(CS$4=0,0,IF(COUNTIFS(実績!$W$6:$W$505,CS$3,実績!$AI$6:$AI$505,"&lt;="&amp;$A98,実績!$AJ$6:$AJ$505,"&gt;"&amp;$A98,実績!$AL$6:$AL$505,"○")&gt;0,1,0))</f>
        <v>0</v>
      </c>
      <c r="CT98" s="39" t="n">
        <f aca="false">IF(CT$4=0,0,IF(COUNTIFS(実績!$W$6:$W$505,CT$3,実績!$AI$6:$AI$505,"&lt;="&amp;$A98,実績!$AJ$6:$AJ$505,"&gt;"&amp;$A98,実績!$AL$6:$AL$505,"○")&gt;0,1,0))</f>
        <v>0</v>
      </c>
      <c r="CU98" s="39" t="n">
        <f aca="false">IF(CU$4=0,0,IF(COUNTIFS(実績!$W$6:$W$505,CU$3,実績!$AI$6:$AI$505,"&lt;="&amp;$A98,実績!$AJ$6:$AJ$505,"&gt;"&amp;$A98,実績!$AL$6:$AL$505,"○")&gt;0,1,0))</f>
        <v>0</v>
      </c>
      <c r="CV98" s="39" t="n">
        <f aca="false">IF(CV$4=0,0,IF(COUNTIFS(実績!$W$6:$W$505,CV$3,実績!$AI$6:$AI$505,"&lt;="&amp;$A98,実績!$AJ$6:$AJ$505,"&gt;"&amp;$A98,実績!$AL$6:$AL$505,"○")&gt;0,1,0))</f>
        <v>0</v>
      </c>
      <c r="CW98" s="39" t="n">
        <f aca="false">IF(CW$4=0,0,IF(COUNTIFS(実績!$W$6:$W$505,CW$3,実績!$AI$6:$AI$505,"&lt;="&amp;$A98,実績!$AJ$6:$AJ$505,"&gt;"&amp;$A98,実績!$AL$6:$AL$505,"○")&gt;0,1,0))</f>
        <v>0</v>
      </c>
      <c r="CX98" s="39" t="n">
        <f aca="false">IF(CX$4=0,0,IF(COUNTIFS(実績!$W$6:$W$505,CX$3,実績!$AI$6:$AI$505,"&lt;="&amp;$A98,実績!$AJ$6:$AJ$505,"&gt;"&amp;$A98,実績!$AL$6:$AL$505,"○")&gt;0,1,0))</f>
        <v>0</v>
      </c>
      <c r="CY98" s="39" t="n">
        <f aca="false">IF(CY$4=0,0,IF(COUNTIFS(実績!$W$6:$W$505,CY$3,実績!$AI$6:$AI$505,"&lt;="&amp;$A98,実績!$AJ$6:$AJ$505,"&gt;"&amp;$A98,実績!$AL$6:$AL$505,"○")&gt;0,1,0))</f>
        <v>0</v>
      </c>
      <c r="CZ98" s="39" t="n">
        <f aca="false">IF(CZ$4=0,0,IF(COUNTIFS(実績!$W$6:$W$505,CZ$3,実績!$AI$6:$AI$505,"&lt;="&amp;$A98,実績!$AJ$6:$AJ$505,"&gt;"&amp;$A98,実績!$AL$6:$AL$505,"○")&gt;0,1,0))</f>
        <v>0</v>
      </c>
      <c r="DA98" s="39" t="n">
        <f aca="false">IF(DA$4=0,0,IF(COUNTIFS(実績!$W$6:$W$505,DA$3,実績!$AI$6:$AI$505,"&lt;="&amp;$A98,実績!$AJ$6:$AJ$505,"&gt;"&amp;$A98,実績!$AL$6:$AL$505,"○")&gt;0,1,0))</f>
        <v>0</v>
      </c>
      <c r="DB98" s="39" t="n">
        <f aca="false">IF(DB$4=0,0,IF(COUNTIFS(実績!$W$6:$W$505,DB$3,実績!$AI$6:$AI$505,"&lt;="&amp;$A98,実績!$AJ$6:$AJ$505,"&gt;"&amp;$A98,実績!$AL$6:$AL$505,"○")&gt;0,1,0))</f>
        <v>0</v>
      </c>
      <c r="DC98" s="39" t="n">
        <f aca="false">IF(DC$4=0,0,IF(COUNTIFS(実績!$W$6:$W$505,DC$3,実績!$AI$6:$AI$505,"&lt;="&amp;$A98,実績!$AJ$6:$AJ$505,"&gt;"&amp;$A98,実績!$AL$6:$AL$505,"○")&gt;0,1,0))</f>
        <v>0</v>
      </c>
      <c r="DD98" s="39" t="n">
        <f aca="false">IF(DD$4=0,0,IF(COUNTIFS(実績!$W$6:$W$505,DD$3,実績!$AI$6:$AI$505,"&lt;="&amp;$A98,実績!$AJ$6:$AJ$505,"&gt;"&amp;$A98,実績!$AL$6:$AL$505,"○")&gt;0,1,0))</f>
        <v>0</v>
      </c>
      <c r="DE98" s="39" t="n">
        <f aca="false">IF(DE$4=0,0,IF(COUNTIFS(実績!$W$6:$W$505,DE$3,実績!$AI$6:$AI$505,"&lt;="&amp;$A98,実績!$AJ$6:$AJ$505,"&gt;"&amp;$A98,実績!$AL$6:$AL$505,"○")&gt;0,1,0))</f>
        <v>0</v>
      </c>
      <c r="DF98" s="39" t="n">
        <f aca="false">IF(DF$4=0,0,IF(COUNTIFS(実績!$W$6:$W$505,DF$3,実績!$AI$6:$AI$505,"&lt;="&amp;$A98,実績!$AJ$6:$AJ$505,"&gt;"&amp;$A98,実績!$AL$6:$AL$505,"○")&gt;0,1,0))</f>
        <v>0</v>
      </c>
      <c r="DG98" s="39" t="n">
        <f aca="false">IF(DG$4=0,0,IF(COUNTIFS(実績!$W$6:$W$505,DG$3,実績!$AI$6:$AI$505,"&lt;="&amp;$A98,実績!$AJ$6:$AJ$505,"&gt;"&amp;$A98,実績!$AL$6:$AL$505,"○")&gt;0,1,0))</f>
        <v>0</v>
      </c>
      <c r="DH98" s="39" t="n">
        <f aca="false">IF(DH$4=0,0,IF(COUNTIFS(実績!$W$6:$W$505,DH$3,実績!$AI$6:$AI$505,"&lt;="&amp;$A98,実績!$AJ$6:$AJ$505,"&gt;"&amp;$A98,実績!$AL$6:$AL$505,"○")&gt;0,1,0))</f>
        <v>0</v>
      </c>
      <c r="DI98" s="39" t="n">
        <f aca="false">IF(DI$4=0,0,IF(COUNTIFS(実績!$W$6:$W$505,DI$3,実績!$AI$6:$AI$505,"&lt;="&amp;$A98,実績!$AJ$6:$AJ$505,"&gt;"&amp;$A98,実績!$AL$6:$AL$505,"○")&gt;0,1,0))</f>
        <v>0</v>
      </c>
      <c r="DJ98" s="39" t="n">
        <f aca="false">IF(DJ$4=0,0,IF(COUNTIFS(実績!$W$6:$W$505,DJ$3,実績!$AI$6:$AI$505,"&lt;="&amp;$A98,実績!$AJ$6:$AJ$505,"&gt;"&amp;$A98,実績!$AL$6:$AL$505,"○")&gt;0,1,0))</f>
        <v>0</v>
      </c>
      <c r="DK98" s="39" t="n">
        <f aca="false">IF(DK$4=0,0,IF(COUNTIFS(実績!$W$6:$W$505,DK$3,実績!$AI$6:$AI$505,"&lt;="&amp;$A98,実績!$AJ$6:$AJ$505,"&gt;"&amp;$A98,実績!$AL$6:$AL$505,"○")&gt;0,1,0))</f>
        <v>0</v>
      </c>
      <c r="DL98" s="39" t="n">
        <f aca="false">IF(DL$4=0,0,IF(COUNTIFS(実績!$W$6:$W$505,DL$3,実績!$AI$6:$AI$505,"&lt;="&amp;$A98,実績!$AJ$6:$AJ$505,"&gt;"&amp;$A98,実績!$AL$6:$AL$505,"○")&gt;0,1,0))</f>
        <v>0</v>
      </c>
      <c r="DM98" s="39" t="n">
        <f aca="false">IF(DM$4=0,0,IF(COUNTIFS(実績!$W$6:$W$505,DM$3,実績!$AI$6:$AI$505,"&lt;="&amp;$A98,実績!$AJ$6:$AJ$505,"&gt;"&amp;$A98,実績!$AL$6:$AL$505,"○")&gt;0,1,0))</f>
        <v>0</v>
      </c>
      <c r="DN98" s="39" t="n">
        <f aca="false">IF(DN$4=0,0,IF(COUNTIFS(実績!$W$6:$W$505,DN$3,実績!$AI$6:$AI$505,"&lt;="&amp;$A98,実績!$AJ$6:$AJ$505,"&gt;"&amp;$A98,実績!$AL$6:$AL$505,"○")&gt;0,1,0))</f>
        <v>0</v>
      </c>
      <c r="DO98" s="39" t="n">
        <f aca="false">IF(DO$4=0,0,IF(COUNTIFS(実績!$W$6:$W$505,DO$3,実績!$AI$6:$AI$505,"&lt;="&amp;$A98,実績!$AJ$6:$AJ$505,"&gt;"&amp;$A98,実績!$AL$6:$AL$505,"○")&gt;0,1,0))</f>
        <v>0</v>
      </c>
      <c r="DP98" s="39" t="n">
        <f aca="false">IF(DP$4=0,0,IF(COUNTIFS(実績!$W$6:$W$505,DP$3,実績!$AI$6:$AI$505,"&lt;="&amp;$A98,実績!$AJ$6:$AJ$505,"&gt;"&amp;$A98,実績!$AL$6:$AL$505,"○")&gt;0,1,0))</f>
        <v>0</v>
      </c>
      <c r="DQ98" s="39" t="n">
        <f aca="false">IF(DQ$4=0,0,IF(COUNTIFS(実績!$W$6:$W$505,DQ$3,実績!$AI$6:$AI$505,"&lt;="&amp;$A98,実績!$AJ$6:$AJ$505,"&gt;"&amp;$A98,実績!$AL$6:$AL$505,"○")&gt;0,1,0))</f>
        <v>0</v>
      </c>
      <c r="DR98" s="39" t="n">
        <f aca="false">IF(DR$4=0,0,IF(COUNTIFS(実績!$W$6:$W$505,DR$3,実績!$AI$6:$AI$505,"&lt;="&amp;$A98,実績!$AJ$6:$AJ$505,"&gt;"&amp;$A98,実績!$AL$6:$AL$505,"○")&gt;0,1,0))</f>
        <v>0</v>
      </c>
      <c r="DS98" s="39" t="n">
        <f aca="false">SUM(C98:DR98)</f>
        <v>0</v>
      </c>
    </row>
    <row r="99" customFormat="false" ht="15" hidden="false" customHeight="false" outlineLevel="0" collapsed="false">
      <c r="A99" s="0" t="n">
        <v>465</v>
      </c>
      <c r="B99" s="38" t="n">
        <f aca="false">A99/1440</f>
        <v>0.322916666666667</v>
      </c>
      <c r="C99" s="39" t="n">
        <f aca="false">IF(C$4=0,0,IF(COUNTIFS(実績!$W$6:$W$505,C$3,実績!$AI$6:$AI$505,"&lt;="&amp;$A99,実績!$AJ$6:$AJ$505,"&gt;"&amp;$A99,実績!$AL$6:$AL$505,"○")&gt;0,1,0))</f>
        <v>0</v>
      </c>
      <c r="D99" s="39" t="n">
        <f aca="false">IF(D$4=0,0,IF(COUNTIFS(実績!$W$6:$W$505,D$3,実績!$AI$6:$AI$505,"&lt;="&amp;$A99,実績!$AJ$6:$AJ$505,"&gt;"&amp;$A99,実績!$AL$6:$AL$505,"○")&gt;0,1,0))</f>
        <v>0</v>
      </c>
      <c r="E99" s="39" t="n">
        <f aca="false">IF(E$4=0,0,IF(COUNTIFS(実績!$W$6:$W$505,E$3,実績!$AI$6:$AI$505,"&lt;="&amp;$A99,実績!$AJ$6:$AJ$505,"&gt;"&amp;$A99,実績!$AL$6:$AL$505,"○")&gt;0,1,0))</f>
        <v>0</v>
      </c>
      <c r="F99" s="39" t="n">
        <f aca="false">IF(F$4=0,0,IF(COUNTIFS(実績!$W$6:$W$505,F$3,実績!$AI$6:$AI$505,"&lt;="&amp;$A99,実績!$AJ$6:$AJ$505,"&gt;"&amp;$A99,実績!$AL$6:$AL$505,"○")&gt;0,1,0))</f>
        <v>0</v>
      </c>
      <c r="G99" s="39" t="n">
        <f aca="false">IF(G$4=0,0,IF(COUNTIFS(実績!$W$6:$W$505,G$3,実績!$AI$6:$AI$505,"&lt;="&amp;$A99,実績!$AJ$6:$AJ$505,"&gt;"&amp;$A99,実績!$AL$6:$AL$505,"○")&gt;0,1,0))</f>
        <v>0</v>
      </c>
      <c r="H99" s="39" t="n">
        <f aca="false">IF(H$4=0,0,IF(COUNTIFS(実績!$W$6:$W$505,H$3,実績!$AI$6:$AI$505,"&lt;="&amp;$A99,実績!$AJ$6:$AJ$505,"&gt;"&amp;$A99,実績!$AL$6:$AL$505,"○")&gt;0,1,0))</f>
        <v>0</v>
      </c>
      <c r="I99" s="39" t="n">
        <f aca="false">IF(I$4=0,0,IF(COUNTIFS(実績!$W$6:$W$505,I$3,実績!$AI$6:$AI$505,"&lt;="&amp;$A99,実績!$AJ$6:$AJ$505,"&gt;"&amp;$A99,実績!$AL$6:$AL$505,"○")&gt;0,1,0))</f>
        <v>0</v>
      </c>
      <c r="J99" s="39" t="n">
        <f aca="false">IF(J$4=0,0,IF(COUNTIFS(実績!$W$6:$W$505,J$3,実績!$AI$6:$AI$505,"&lt;="&amp;$A99,実績!$AJ$6:$AJ$505,"&gt;"&amp;$A99,実績!$AL$6:$AL$505,"○")&gt;0,1,0))</f>
        <v>0</v>
      </c>
      <c r="K99" s="39" t="n">
        <f aca="false">IF(K$4=0,0,IF(COUNTIFS(実績!$W$6:$W$505,K$3,実績!$AI$6:$AI$505,"&lt;="&amp;$A99,実績!$AJ$6:$AJ$505,"&gt;"&amp;$A99,実績!$AL$6:$AL$505,"○")&gt;0,1,0))</f>
        <v>0</v>
      </c>
      <c r="L99" s="39" t="n">
        <f aca="false">IF(L$4=0,0,IF(COUNTIFS(実績!$W$6:$W$505,L$3,実績!$AI$6:$AI$505,"&lt;="&amp;$A99,実績!$AJ$6:$AJ$505,"&gt;"&amp;$A99,実績!$AL$6:$AL$505,"○")&gt;0,1,0))</f>
        <v>0</v>
      </c>
      <c r="M99" s="39" t="n">
        <f aca="false">IF(M$4=0,0,IF(COUNTIFS(実績!$W$6:$W$505,M$3,実績!$AI$6:$AI$505,"&lt;="&amp;$A99,実績!$AJ$6:$AJ$505,"&gt;"&amp;$A99,実績!$AL$6:$AL$505,"○")&gt;0,1,0))</f>
        <v>0</v>
      </c>
      <c r="N99" s="39" t="n">
        <f aca="false">IF(N$4=0,0,IF(COUNTIFS(実績!$W$6:$W$505,N$3,実績!$AI$6:$AI$505,"&lt;="&amp;$A99,実績!$AJ$6:$AJ$505,"&gt;"&amp;$A99,実績!$AL$6:$AL$505,"○")&gt;0,1,0))</f>
        <v>0</v>
      </c>
      <c r="O99" s="39" t="n">
        <f aca="false">IF(O$4=0,0,IF(COUNTIFS(実績!$W$6:$W$505,O$3,実績!$AI$6:$AI$505,"&lt;="&amp;$A99,実績!$AJ$6:$AJ$505,"&gt;"&amp;$A99,実績!$AL$6:$AL$505,"○")&gt;0,1,0))</f>
        <v>0</v>
      </c>
      <c r="P99" s="39" t="n">
        <f aca="false">IF(P$4=0,0,IF(COUNTIFS(実績!$W$6:$W$505,P$3,実績!$AI$6:$AI$505,"&lt;="&amp;$A99,実績!$AJ$6:$AJ$505,"&gt;"&amp;$A99,実績!$AL$6:$AL$505,"○")&gt;0,1,0))</f>
        <v>0</v>
      </c>
      <c r="Q99" s="39" t="n">
        <f aca="false">IF(Q$4=0,0,IF(COUNTIFS(実績!$W$6:$W$505,Q$3,実績!$AI$6:$AI$505,"&lt;="&amp;$A99,実績!$AJ$6:$AJ$505,"&gt;"&amp;$A99,実績!$AL$6:$AL$505,"○")&gt;0,1,0))</f>
        <v>0</v>
      </c>
      <c r="R99" s="39" t="n">
        <f aca="false">IF(R$4=0,0,IF(COUNTIFS(実績!$W$6:$W$505,R$3,実績!$AI$6:$AI$505,"&lt;="&amp;$A99,実績!$AJ$6:$AJ$505,"&gt;"&amp;$A99,実績!$AL$6:$AL$505,"○")&gt;0,1,0))</f>
        <v>0</v>
      </c>
      <c r="S99" s="39" t="n">
        <f aca="false">IF(S$4=0,0,IF(COUNTIFS(実績!$W$6:$W$505,S$3,実績!$AI$6:$AI$505,"&lt;="&amp;$A99,実績!$AJ$6:$AJ$505,"&gt;"&amp;$A99,実績!$AL$6:$AL$505,"○")&gt;0,1,0))</f>
        <v>0</v>
      </c>
      <c r="T99" s="39" t="n">
        <f aca="false">IF(T$4=0,0,IF(COUNTIFS(実績!$W$6:$W$505,T$3,実績!$AI$6:$AI$505,"&lt;="&amp;$A99,実績!$AJ$6:$AJ$505,"&gt;"&amp;$A99,実績!$AL$6:$AL$505,"○")&gt;0,1,0))</f>
        <v>0</v>
      </c>
      <c r="U99" s="39" t="n">
        <f aca="false">IF(U$4=0,0,IF(COUNTIFS(実績!$W$6:$W$505,U$3,実績!$AI$6:$AI$505,"&lt;="&amp;$A99,実績!$AJ$6:$AJ$505,"&gt;"&amp;$A99,実績!$AL$6:$AL$505,"○")&gt;0,1,0))</f>
        <v>0</v>
      </c>
      <c r="V99" s="39" t="n">
        <f aca="false">IF(V$4=0,0,IF(COUNTIFS(実績!$W$6:$W$505,V$3,実績!$AI$6:$AI$505,"&lt;="&amp;$A99,実績!$AJ$6:$AJ$505,"&gt;"&amp;$A99,実績!$AL$6:$AL$505,"○")&gt;0,1,0))</f>
        <v>0</v>
      </c>
      <c r="W99" s="39" t="n">
        <f aca="false">IF(W$4=0,0,IF(COUNTIFS(実績!$W$6:$W$505,W$3,実績!$AI$6:$AI$505,"&lt;="&amp;$A99,実績!$AJ$6:$AJ$505,"&gt;"&amp;$A99,実績!$AL$6:$AL$505,"○")&gt;0,1,0))</f>
        <v>0</v>
      </c>
      <c r="X99" s="39" t="n">
        <f aca="false">IF(X$4=0,0,IF(COUNTIFS(実績!$W$6:$W$505,X$3,実績!$AI$6:$AI$505,"&lt;="&amp;$A99,実績!$AJ$6:$AJ$505,"&gt;"&amp;$A99,実績!$AL$6:$AL$505,"○")&gt;0,1,0))</f>
        <v>0</v>
      </c>
      <c r="Y99" s="39" t="n">
        <f aca="false">IF(Y$4=0,0,IF(COUNTIFS(実績!$W$6:$W$505,Y$3,実績!$AI$6:$AI$505,"&lt;="&amp;$A99,実績!$AJ$6:$AJ$505,"&gt;"&amp;$A99,実績!$AL$6:$AL$505,"○")&gt;0,1,0))</f>
        <v>0</v>
      </c>
      <c r="Z99" s="39" t="n">
        <f aca="false">IF(Z$4=0,0,IF(COUNTIFS(実績!$W$6:$W$505,Z$3,実績!$AI$6:$AI$505,"&lt;="&amp;$A99,実績!$AJ$6:$AJ$505,"&gt;"&amp;$A99,実績!$AL$6:$AL$505,"○")&gt;0,1,0))</f>
        <v>0</v>
      </c>
      <c r="AA99" s="39" t="n">
        <f aca="false">IF(AA$4=0,0,IF(COUNTIFS(実績!$W$6:$W$505,AA$3,実績!$AI$6:$AI$505,"&lt;="&amp;$A99,実績!$AJ$6:$AJ$505,"&gt;"&amp;$A99,実績!$AL$6:$AL$505,"○")&gt;0,1,0))</f>
        <v>0</v>
      </c>
      <c r="AB99" s="39" t="n">
        <f aca="false">IF(AB$4=0,0,IF(COUNTIFS(実績!$W$6:$W$505,AB$3,実績!$AI$6:$AI$505,"&lt;="&amp;$A99,実績!$AJ$6:$AJ$505,"&gt;"&amp;$A99,実績!$AL$6:$AL$505,"○")&gt;0,1,0))</f>
        <v>0</v>
      </c>
      <c r="AC99" s="39" t="n">
        <f aca="false">IF(AC$4=0,0,IF(COUNTIFS(実績!$W$6:$W$505,AC$3,実績!$AI$6:$AI$505,"&lt;="&amp;$A99,実績!$AJ$6:$AJ$505,"&gt;"&amp;$A99,実績!$AL$6:$AL$505,"○")&gt;0,1,0))</f>
        <v>0</v>
      </c>
      <c r="AD99" s="39" t="n">
        <f aca="false">IF(AD$4=0,0,IF(COUNTIFS(実績!$W$6:$W$505,AD$3,実績!$AI$6:$AI$505,"&lt;="&amp;$A99,実績!$AJ$6:$AJ$505,"&gt;"&amp;$A99,実績!$AL$6:$AL$505,"○")&gt;0,1,0))</f>
        <v>0</v>
      </c>
      <c r="AE99" s="39" t="n">
        <f aca="false">IF(AE$4=0,0,IF(COUNTIFS(実績!$W$6:$W$505,AE$3,実績!$AI$6:$AI$505,"&lt;="&amp;$A99,実績!$AJ$6:$AJ$505,"&gt;"&amp;$A99,実績!$AL$6:$AL$505,"○")&gt;0,1,0))</f>
        <v>0</v>
      </c>
      <c r="AF99" s="39" t="n">
        <f aca="false">IF(AF$4=0,0,IF(COUNTIFS(実績!$W$6:$W$505,AF$3,実績!$AI$6:$AI$505,"&lt;="&amp;$A99,実績!$AJ$6:$AJ$505,"&gt;"&amp;$A99,実績!$AL$6:$AL$505,"○")&gt;0,1,0))</f>
        <v>0</v>
      </c>
      <c r="AG99" s="39" t="n">
        <f aca="false">IF(AG$4=0,0,IF(COUNTIFS(実績!$W$6:$W$505,AG$3,実績!$AI$6:$AI$505,"&lt;="&amp;$A99,実績!$AJ$6:$AJ$505,"&gt;"&amp;$A99,実績!$AL$6:$AL$505,"○")&gt;0,1,0))</f>
        <v>0</v>
      </c>
      <c r="AH99" s="39" t="n">
        <f aca="false">IF(AH$4=0,0,IF(COUNTIFS(実績!$W$6:$W$505,AH$3,実績!$AI$6:$AI$505,"&lt;="&amp;$A99,実績!$AJ$6:$AJ$505,"&gt;"&amp;$A99,実績!$AL$6:$AL$505,"○")&gt;0,1,0))</f>
        <v>0</v>
      </c>
      <c r="AI99" s="39" t="n">
        <f aca="false">IF(AI$4=0,0,IF(COUNTIFS(実績!$W$6:$W$505,AI$3,実績!$AI$6:$AI$505,"&lt;="&amp;$A99,実績!$AJ$6:$AJ$505,"&gt;"&amp;$A99,実績!$AL$6:$AL$505,"○")&gt;0,1,0))</f>
        <v>0</v>
      </c>
      <c r="AJ99" s="39" t="n">
        <f aca="false">IF(AJ$4=0,0,IF(COUNTIFS(実績!$W$6:$W$505,AJ$3,実績!$AI$6:$AI$505,"&lt;="&amp;$A99,実績!$AJ$6:$AJ$505,"&gt;"&amp;$A99,実績!$AL$6:$AL$505,"○")&gt;0,1,0))</f>
        <v>0</v>
      </c>
      <c r="AK99" s="39" t="n">
        <f aca="false">IF(AK$4=0,0,IF(COUNTIFS(実績!$W$6:$W$505,AK$3,実績!$AI$6:$AI$505,"&lt;="&amp;$A99,実績!$AJ$6:$AJ$505,"&gt;"&amp;$A99,実績!$AL$6:$AL$505,"○")&gt;0,1,0))</f>
        <v>0</v>
      </c>
      <c r="AL99" s="39" t="n">
        <f aca="false">IF(AL$4=0,0,IF(COUNTIFS(実績!$W$6:$W$505,AL$3,実績!$AI$6:$AI$505,"&lt;="&amp;$A99,実績!$AJ$6:$AJ$505,"&gt;"&amp;$A99,実績!$AL$6:$AL$505,"○")&gt;0,1,0))</f>
        <v>0</v>
      </c>
      <c r="AM99" s="39" t="n">
        <f aca="false">IF(AM$4=0,0,IF(COUNTIFS(実績!$W$6:$W$505,AM$3,実績!$AI$6:$AI$505,"&lt;="&amp;$A99,実績!$AJ$6:$AJ$505,"&gt;"&amp;$A99,実績!$AL$6:$AL$505,"○")&gt;0,1,0))</f>
        <v>0</v>
      </c>
      <c r="AN99" s="39" t="n">
        <f aca="false">IF(AN$4=0,0,IF(COUNTIFS(実績!$W$6:$W$505,AN$3,実績!$AI$6:$AI$505,"&lt;="&amp;$A99,実績!$AJ$6:$AJ$505,"&gt;"&amp;$A99,実績!$AL$6:$AL$505,"○")&gt;0,1,0))</f>
        <v>0</v>
      </c>
      <c r="AO99" s="39" t="n">
        <f aca="false">IF(AO$4=0,0,IF(COUNTIFS(実績!$W$6:$W$505,AO$3,実績!$AI$6:$AI$505,"&lt;="&amp;$A99,実績!$AJ$6:$AJ$505,"&gt;"&amp;$A99,実績!$AL$6:$AL$505,"○")&gt;0,1,0))</f>
        <v>0</v>
      </c>
      <c r="AP99" s="39" t="n">
        <f aca="false">IF(AP$4=0,0,IF(COUNTIFS(実績!$W$6:$W$505,AP$3,実績!$AI$6:$AI$505,"&lt;="&amp;$A99,実績!$AJ$6:$AJ$505,"&gt;"&amp;$A99,実績!$AL$6:$AL$505,"○")&gt;0,1,0))</f>
        <v>0</v>
      </c>
      <c r="AQ99" s="39" t="n">
        <f aca="false">IF(AQ$4=0,0,IF(COUNTIFS(実績!$W$6:$W$505,AQ$3,実績!$AI$6:$AI$505,"&lt;="&amp;$A99,実績!$AJ$6:$AJ$505,"&gt;"&amp;$A99,実績!$AL$6:$AL$505,"○")&gt;0,1,0))</f>
        <v>0</v>
      </c>
      <c r="AR99" s="39" t="n">
        <f aca="false">IF(AR$4=0,0,IF(COUNTIFS(実績!$W$6:$W$505,AR$3,実績!$AI$6:$AI$505,"&lt;="&amp;$A99,実績!$AJ$6:$AJ$505,"&gt;"&amp;$A99,実績!$AL$6:$AL$505,"○")&gt;0,1,0))</f>
        <v>0</v>
      </c>
      <c r="AS99" s="39" t="n">
        <f aca="false">IF(AS$4=0,0,IF(COUNTIFS(実績!$W$6:$W$505,AS$3,実績!$AI$6:$AI$505,"&lt;="&amp;$A99,実績!$AJ$6:$AJ$505,"&gt;"&amp;$A99,実績!$AL$6:$AL$505,"○")&gt;0,1,0))</f>
        <v>0</v>
      </c>
      <c r="AT99" s="39" t="n">
        <f aca="false">IF(AT$4=0,0,IF(COUNTIFS(実績!$W$6:$W$505,AT$3,実績!$AI$6:$AI$505,"&lt;="&amp;$A99,実績!$AJ$6:$AJ$505,"&gt;"&amp;$A99,実績!$AL$6:$AL$505,"○")&gt;0,1,0))</f>
        <v>0</v>
      </c>
      <c r="AU99" s="39" t="n">
        <f aca="false">IF(AU$4=0,0,IF(COUNTIFS(実績!$W$6:$W$505,AU$3,実績!$AI$6:$AI$505,"&lt;="&amp;$A99,実績!$AJ$6:$AJ$505,"&gt;"&amp;$A99,実績!$AL$6:$AL$505,"○")&gt;0,1,0))</f>
        <v>0</v>
      </c>
      <c r="AV99" s="39" t="n">
        <f aca="false">IF(AV$4=0,0,IF(COUNTIFS(実績!$W$6:$W$505,AV$3,実績!$AI$6:$AI$505,"&lt;="&amp;$A99,実績!$AJ$6:$AJ$505,"&gt;"&amp;$A99,実績!$AL$6:$AL$505,"○")&gt;0,1,0))</f>
        <v>0</v>
      </c>
      <c r="AW99" s="39" t="n">
        <f aca="false">IF(AW$4=0,0,IF(COUNTIFS(実績!$W$6:$W$505,AW$3,実績!$AI$6:$AI$505,"&lt;="&amp;$A99,実績!$AJ$6:$AJ$505,"&gt;"&amp;$A99,実績!$AL$6:$AL$505,"○")&gt;0,1,0))</f>
        <v>0</v>
      </c>
      <c r="AX99" s="39" t="n">
        <f aca="false">IF(AX$4=0,0,IF(COUNTIFS(実績!$W$6:$W$505,AX$3,実績!$AI$6:$AI$505,"&lt;="&amp;$A99,実績!$AJ$6:$AJ$505,"&gt;"&amp;$A99,実績!$AL$6:$AL$505,"○")&gt;0,1,0))</f>
        <v>0</v>
      </c>
      <c r="AY99" s="39" t="n">
        <f aca="false">IF(AY$4=0,0,IF(COUNTIFS(実績!$W$6:$W$505,AY$3,実績!$AI$6:$AI$505,"&lt;="&amp;$A99,実績!$AJ$6:$AJ$505,"&gt;"&amp;$A99,実績!$AL$6:$AL$505,"○")&gt;0,1,0))</f>
        <v>0</v>
      </c>
      <c r="AZ99" s="39" t="n">
        <f aca="false">IF(AZ$4=0,0,IF(COUNTIFS(実績!$W$6:$W$505,AZ$3,実績!$AI$6:$AI$505,"&lt;="&amp;$A99,実績!$AJ$6:$AJ$505,"&gt;"&amp;$A99,実績!$AL$6:$AL$505,"○")&gt;0,1,0))</f>
        <v>0</v>
      </c>
      <c r="BA99" s="39" t="n">
        <f aca="false">IF(BA$4=0,0,IF(COUNTIFS(実績!$W$6:$W$505,BA$3,実績!$AI$6:$AI$505,"&lt;="&amp;$A99,実績!$AJ$6:$AJ$505,"&gt;"&amp;$A99,実績!$AL$6:$AL$505,"○")&gt;0,1,0))</f>
        <v>0</v>
      </c>
      <c r="BB99" s="39" t="n">
        <f aca="false">IF(BB$4=0,0,IF(COUNTIFS(実績!$W$6:$W$505,BB$3,実績!$AI$6:$AI$505,"&lt;="&amp;$A99,実績!$AJ$6:$AJ$505,"&gt;"&amp;$A99,実績!$AL$6:$AL$505,"○")&gt;0,1,0))</f>
        <v>0</v>
      </c>
      <c r="BC99" s="39" t="n">
        <f aca="false">IF(BC$4=0,0,IF(COUNTIFS(実績!$W$6:$W$505,BC$3,実績!$AI$6:$AI$505,"&lt;="&amp;$A99,実績!$AJ$6:$AJ$505,"&gt;"&amp;$A99,実績!$AL$6:$AL$505,"○")&gt;0,1,0))</f>
        <v>0</v>
      </c>
      <c r="BD99" s="39" t="n">
        <f aca="false">IF(BD$4=0,0,IF(COUNTIFS(実績!$W$6:$W$505,BD$3,実績!$AI$6:$AI$505,"&lt;="&amp;$A99,実績!$AJ$6:$AJ$505,"&gt;"&amp;$A99,実績!$AL$6:$AL$505,"○")&gt;0,1,0))</f>
        <v>0</v>
      </c>
      <c r="BE99" s="39" t="n">
        <f aca="false">IF(BE$4=0,0,IF(COUNTIFS(実績!$W$6:$W$505,BE$3,実績!$AI$6:$AI$505,"&lt;="&amp;$A99,実績!$AJ$6:$AJ$505,"&gt;"&amp;$A99,実績!$AL$6:$AL$505,"○")&gt;0,1,0))</f>
        <v>0</v>
      </c>
      <c r="BF99" s="39" t="n">
        <f aca="false">IF(BF$4=0,0,IF(COUNTIFS(実績!$W$6:$W$505,BF$3,実績!$AI$6:$AI$505,"&lt;="&amp;$A99,実績!$AJ$6:$AJ$505,"&gt;"&amp;$A99,実績!$AL$6:$AL$505,"○")&gt;0,1,0))</f>
        <v>0</v>
      </c>
      <c r="BG99" s="39" t="n">
        <f aca="false">IF(BG$4=0,0,IF(COUNTIFS(実績!$W$6:$W$505,BG$3,実績!$AI$6:$AI$505,"&lt;="&amp;$A99,実績!$AJ$6:$AJ$505,"&gt;"&amp;$A99,実績!$AL$6:$AL$505,"○")&gt;0,1,0))</f>
        <v>0</v>
      </c>
      <c r="BH99" s="39" t="n">
        <f aca="false">IF(BH$4=0,0,IF(COUNTIFS(実績!$W$6:$W$505,BH$3,実績!$AI$6:$AI$505,"&lt;="&amp;$A99,実績!$AJ$6:$AJ$505,"&gt;"&amp;$A99,実績!$AL$6:$AL$505,"○")&gt;0,1,0))</f>
        <v>0</v>
      </c>
      <c r="BI99" s="39" t="n">
        <f aca="false">IF(BI$4=0,0,IF(COUNTIFS(実績!$W$6:$W$505,BI$3,実績!$AI$6:$AI$505,"&lt;="&amp;$A99,実績!$AJ$6:$AJ$505,"&gt;"&amp;$A99,実績!$AL$6:$AL$505,"○")&gt;0,1,0))</f>
        <v>0</v>
      </c>
      <c r="BJ99" s="39" t="n">
        <f aca="false">IF(BJ$4=0,0,IF(COUNTIFS(実績!$W$6:$W$505,BJ$3,実績!$AI$6:$AI$505,"&lt;="&amp;$A99,実績!$AJ$6:$AJ$505,"&gt;"&amp;$A99,実績!$AL$6:$AL$505,"○")&gt;0,1,0))</f>
        <v>0</v>
      </c>
      <c r="BK99" s="39" t="n">
        <f aca="false">IF(BK$4=0,0,IF(COUNTIFS(実績!$W$6:$W$505,BK$3,実績!$AI$6:$AI$505,"&lt;="&amp;$A99,実績!$AJ$6:$AJ$505,"&gt;"&amp;$A99,実績!$AL$6:$AL$505,"○")&gt;0,1,0))</f>
        <v>0</v>
      </c>
      <c r="BL99" s="39" t="n">
        <f aca="false">IF(BL$4=0,0,IF(COUNTIFS(実績!$W$6:$W$505,BL$3,実績!$AI$6:$AI$505,"&lt;="&amp;$A99,実績!$AJ$6:$AJ$505,"&gt;"&amp;$A99,実績!$AL$6:$AL$505,"○")&gt;0,1,0))</f>
        <v>0</v>
      </c>
      <c r="BM99" s="39" t="n">
        <f aca="false">IF(BM$4=0,0,IF(COUNTIFS(実績!$W$6:$W$505,BM$3,実績!$AI$6:$AI$505,"&lt;="&amp;$A99,実績!$AJ$6:$AJ$505,"&gt;"&amp;$A99,実績!$AL$6:$AL$505,"○")&gt;0,1,0))</f>
        <v>0</v>
      </c>
      <c r="BN99" s="39" t="n">
        <f aca="false">IF(BN$4=0,0,IF(COUNTIFS(実績!$W$6:$W$505,BN$3,実績!$AI$6:$AI$505,"&lt;="&amp;$A99,実績!$AJ$6:$AJ$505,"&gt;"&amp;$A99,実績!$AL$6:$AL$505,"○")&gt;0,1,0))</f>
        <v>0</v>
      </c>
      <c r="BO99" s="39" t="n">
        <f aca="false">IF(BO$4=0,0,IF(COUNTIFS(実績!$W$6:$W$505,BO$3,実績!$AI$6:$AI$505,"&lt;="&amp;$A99,実績!$AJ$6:$AJ$505,"&gt;"&amp;$A99,実績!$AL$6:$AL$505,"○")&gt;0,1,0))</f>
        <v>0</v>
      </c>
      <c r="BP99" s="39" t="n">
        <f aca="false">IF(BP$4=0,0,IF(COUNTIFS(実績!$W$6:$W$505,BP$3,実績!$AI$6:$AI$505,"&lt;="&amp;$A99,実績!$AJ$6:$AJ$505,"&gt;"&amp;$A99,実績!$AL$6:$AL$505,"○")&gt;0,1,0))</f>
        <v>0</v>
      </c>
      <c r="BQ99" s="39" t="n">
        <f aca="false">IF(BQ$4=0,0,IF(COUNTIFS(実績!$W$6:$W$505,BQ$3,実績!$AI$6:$AI$505,"&lt;="&amp;$A99,実績!$AJ$6:$AJ$505,"&gt;"&amp;$A99,実績!$AL$6:$AL$505,"○")&gt;0,1,0))</f>
        <v>0</v>
      </c>
      <c r="BR99" s="39" t="n">
        <f aca="false">IF(BR$4=0,0,IF(COUNTIFS(実績!$W$6:$W$505,BR$3,実績!$AI$6:$AI$505,"&lt;="&amp;$A99,実績!$AJ$6:$AJ$505,"&gt;"&amp;$A99,実績!$AL$6:$AL$505,"○")&gt;0,1,0))</f>
        <v>0</v>
      </c>
      <c r="BS99" s="39" t="n">
        <f aca="false">IF(BS$4=0,0,IF(COUNTIFS(実績!$W$6:$W$505,BS$3,実績!$AI$6:$AI$505,"&lt;="&amp;$A99,実績!$AJ$6:$AJ$505,"&gt;"&amp;$A99,実績!$AL$6:$AL$505,"○")&gt;0,1,0))</f>
        <v>0</v>
      </c>
      <c r="BT99" s="39" t="n">
        <f aca="false">IF(BT$4=0,0,IF(COUNTIFS(実績!$W$6:$W$505,BT$3,実績!$AI$6:$AI$505,"&lt;="&amp;$A99,実績!$AJ$6:$AJ$505,"&gt;"&amp;$A99,実績!$AL$6:$AL$505,"○")&gt;0,1,0))</f>
        <v>0</v>
      </c>
      <c r="BU99" s="39" t="n">
        <f aca="false">IF(BU$4=0,0,IF(COUNTIFS(実績!$W$6:$W$505,BU$3,実績!$AI$6:$AI$505,"&lt;="&amp;$A99,実績!$AJ$6:$AJ$505,"&gt;"&amp;$A99,実績!$AL$6:$AL$505,"○")&gt;0,1,0))</f>
        <v>0</v>
      </c>
      <c r="BV99" s="39" t="n">
        <f aca="false">IF(BV$4=0,0,IF(COUNTIFS(実績!$W$6:$W$505,BV$3,実績!$AI$6:$AI$505,"&lt;="&amp;$A99,実績!$AJ$6:$AJ$505,"&gt;"&amp;$A99,実績!$AL$6:$AL$505,"○")&gt;0,1,0))</f>
        <v>0</v>
      </c>
      <c r="BW99" s="39" t="n">
        <f aca="false">IF(BW$4=0,0,IF(COUNTIFS(実績!$W$6:$W$505,BW$3,実績!$AI$6:$AI$505,"&lt;="&amp;$A99,実績!$AJ$6:$AJ$505,"&gt;"&amp;$A99,実績!$AL$6:$AL$505,"○")&gt;0,1,0))</f>
        <v>0</v>
      </c>
      <c r="BX99" s="39" t="n">
        <f aca="false">IF(BX$4=0,0,IF(COUNTIFS(実績!$W$6:$W$505,BX$3,実績!$AI$6:$AI$505,"&lt;="&amp;$A99,実績!$AJ$6:$AJ$505,"&gt;"&amp;$A99,実績!$AL$6:$AL$505,"○")&gt;0,1,0))</f>
        <v>0</v>
      </c>
      <c r="BY99" s="39" t="n">
        <f aca="false">IF(BY$4=0,0,IF(COUNTIFS(実績!$W$6:$W$505,BY$3,実績!$AI$6:$AI$505,"&lt;="&amp;$A99,実績!$AJ$6:$AJ$505,"&gt;"&amp;$A99,実績!$AL$6:$AL$505,"○")&gt;0,1,0))</f>
        <v>0</v>
      </c>
      <c r="BZ99" s="39" t="n">
        <f aca="false">IF(BZ$4=0,0,IF(COUNTIFS(実績!$W$6:$W$505,BZ$3,実績!$AI$6:$AI$505,"&lt;="&amp;$A99,実績!$AJ$6:$AJ$505,"&gt;"&amp;$A99,実績!$AL$6:$AL$505,"○")&gt;0,1,0))</f>
        <v>0</v>
      </c>
      <c r="CA99" s="39" t="n">
        <f aca="false">IF(CA$4=0,0,IF(COUNTIFS(実績!$W$6:$W$505,CA$3,実績!$AI$6:$AI$505,"&lt;="&amp;$A99,実績!$AJ$6:$AJ$505,"&gt;"&amp;$A99,実績!$AL$6:$AL$505,"○")&gt;0,1,0))</f>
        <v>0</v>
      </c>
      <c r="CB99" s="39" t="n">
        <f aca="false">IF(CB$4=0,0,IF(COUNTIFS(実績!$W$6:$W$505,CB$3,実績!$AI$6:$AI$505,"&lt;="&amp;$A99,実績!$AJ$6:$AJ$505,"&gt;"&amp;$A99,実績!$AL$6:$AL$505,"○")&gt;0,1,0))</f>
        <v>0</v>
      </c>
      <c r="CC99" s="39" t="n">
        <f aca="false">IF(CC$4=0,0,IF(COUNTIFS(実績!$W$6:$W$505,CC$3,実績!$AI$6:$AI$505,"&lt;="&amp;$A99,実績!$AJ$6:$AJ$505,"&gt;"&amp;$A99,実績!$AL$6:$AL$505,"○")&gt;0,1,0))</f>
        <v>0</v>
      </c>
      <c r="CD99" s="39" t="n">
        <f aca="false">IF(CD$4=0,0,IF(COUNTIFS(実績!$W$6:$W$505,CD$3,実績!$AI$6:$AI$505,"&lt;="&amp;$A99,実績!$AJ$6:$AJ$505,"&gt;"&amp;$A99,実績!$AL$6:$AL$505,"○")&gt;0,1,0))</f>
        <v>0</v>
      </c>
      <c r="CE99" s="39" t="n">
        <f aca="false">IF(CE$4=0,0,IF(COUNTIFS(実績!$W$6:$W$505,CE$3,実績!$AI$6:$AI$505,"&lt;="&amp;$A99,実績!$AJ$6:$AJ$505,"&gt;"&amp;$A99,実績!$AL$6:$AL$505,"○")&gt;0,1,0))</f>
        <v>0</v>
      </c>
      <c r="CF99" s="39" t="n">
        <f aca="false">IF(CF$4=0,0,IF(COUNTIFS(実績!$W$6:$W$505,CF$3,実績!$AI$6:$AI$505,"&lt;="&amp;$A99,実績!$AJ$6:$AJ$505,"&gt;"&amp;$A99,実績!$AL$6:$AL$505,"○")&gt;0,1,0))</f>
        <v>0</v>
      </c>
      <c r="CG99" s="39" t="n">
        <f aca="false">IF(CG$4=0,0,IF(COUNTIFS(実績!$W$6:$W$505,CG$3,実績!$AI$6:$AI$505,"&lt;="&amp;$A99,実績!$AJ$6:$AJ$505,"&gt;"&amp;$A99,実績!$AL$6:$AL$505,"○")&gt;0,1,0))</f>
        <v>0</v>
      </c>
      <c r="CH99" s="39" t="n">
        <f aca="false">IF(CH$4=0,0,IF(COUNTIFS(実績!$W$6:$W$505,CH$3,実績!$AI$6:$AI$505,"&lt;="&amp;$A99,実績!$AJ$6:$AJ$505,"&gt;"&amp;$A99,実績!$AL$6:$AL$505,"○")&gt;0,1,0))</f>
        <v>0</v>
      </c>
      <c r="CI99" s="39" t="n">
        <f aca="false">IF(CI$4=0,0,IF(COUNTIFS(実績!$W$6:$W$505,CI$3,実績!$AI$6:$AI$505,"&lt;="&amp;$A99,実績!$AJ$6:$AJ$505,"&gt;"&amp;$A99,実績!$AL$6:$AL$505,"○")&gt;0,1,0))</f>
        <v>0</v>
      </c>
      <c r="CJ99" s="39" t="n">
        <f aca="false">IF(CJ$4=0,0,IF(COUNTIFS(実績!$W$6:$W$505,CJ$3,実績!$AI$6:$AI$505,"&lt;="&amp;$A99,実績!$AJ$6:$AJ$505,"&gt;"&amp;$A99,実績!$AL$6:$AL$505,"○")&gt;0,1,0))</f>
        <v>0</v>
      </c>
      <c r="CK99" s="39" t="n">
        <f aca="false">IF(CK$4=0,0,IF(COUNTIFS(実績!$W$6:$W$505,CK$3,実績!$AI$6:$AI$505,"&lt;="&amp;$A99,実績!$AJ$6:$AJ$505,"&gt;"&amp;$A99,実績!$AL$6:$AL$505,"○")&gt;0,1,0))</f>
        <v>0</v>
      </c>
      <c r="CL99" s="39" t="n">
        <f aca="false">IF(CL$4=0,0,IF(COUNTIFS(実績!$W$6:$W$505,CL$3,実績!$AI$6:$AI$505,"&lt;="&amp;$A99,実績!$AJ$6:$AJ$505,"&gt;"&amp;$A99,実績!$AL$6:$AL$505,"○")&gt;0,1,0))</f>
        <v>0</v>
      </c>
      <c r="CM99" s="39" t="n">
        <f aca="false">IF(CM$4=0,0,IF(COUNTIFS(実績!$W$6:$W$505,CM$3,実績!$AI$6:$AI$505,"&lt;="&amp;$A99,実績!$AJ$6:$AJ$505,"&gt;"&amp;$A99,実績!$AL$6:$AL$505,"○")&gt;0,1,0))</f>
        <v>0</v>
      </c>
      <c r="CN99" s="39" t="n">
        <f aca="false">IF(CN$4=0,0,IF(COUNTIFS(実績!$W$6:$W$505,CN$3,実績!$AI$6:$AI$505,"&lt;="&amp;$A99,実績!$AJ$6:$AJ$505,"&gt;"&amp;$A99,実績!$AL$6:$AL$505,"○")&gt;0,1,0))</f>
        <v>0</v>
      </c>
      <c r="CO99" s="39" t="n">
        <f aca="false">IF(CO$4=0,0,IF(COUNTIFS(実績!$W$6:$W$505,CO$3,実績!$AI$6:$AI$505,"&lt;="&amp;$A99,実績!$AJ$6:$AJ$505,"&gt;"&amp;$A99,実績!$AL$6:$AL$505,"○")&gt;0,1,0))</f>
        <v>0</v>
      </c>
      <c r="CP99" s="39" t="n">
        <f aca="false">IF(CP$4=0,0,IF(COUNTIFS(実績!$W$6:$W$505,CP$3,実績!$AI$6:$AI$505,"&lt;="&amp;$A99,実績!$AJ$6:$AJ$505,"&gt;"&amp;$A99,実績!$AL$6:$AL$505,"○")&gt;0,1,0))</f>
        <v>0</v>
      </c>
      <c r="CQ99" s="39" t="n">
        <f aca="false">IF(CQ$4=0,0,IF(COUNTIFS(実績!$W$6:$W$505,CQ$3,実績!$AI$6:$AI$505,"&lt;="&amp;$A99,実績!$AJ$6:$AJ$505,"&gt;"&amp;$A99,実績!$AL$6:$AL$505,"○")&gt;0,1,0))</f>
        <v>0</v>
      </c>
      <c r="CR99" s="39" t="n">
        <f aca="false">IF(CR$4=0,0,IF(COUNTIFS(実績!$W$6:$W$505,CR$3,実績!$AI$6:$AI$505,"&lt;="&amp;$A99,実績!$AJ$6:$AJ$505,"&gt;"&amp;$A99,実績!$AL$6:$AL$505,"○")&gt;0,1,0))</f>
        <v>0</v>
      </c>
      <c r="CS99" s="39" t="n">
        <f aca="false">IF(CS$4=0,0,IF(COUNTIFS(実績!$W$6:$W$505,CS$3,実績!$AI$6:$AI$505,"&lt;="&amp;$A99,実績!$AJ$6:$AJ$505,"&gt;"&amp;$A99,実績!$AL$6:$AL$505,"○")&gt;0,1,0))</f>
        <v>0</v>
      </c>
      <c r="CT99" s="39" t="n">
        <f aca="false">IF(CT$4=0,0,IF(COUNTIFS(実績!$W$6:$W$505,CT$3,実績!$AI$6:$AI$505,"&lt;="&amp;$A99,実績!$AJ$6:$AJ$505,"&gt;"&amp;$A99,実績!$AL$6:$AL$505,"○")&gt;0,1,0))</f>
        <v>0</v>
      </c>
      <c r="CU99" s="39" t="n">
        <f aca="false">IF(CU$4=0,0,IF(COUNTIFS(実績!$W$6:$W$505,CU$3,実績!$AI$6:$AI$505,"&lt;="&amp;$A99,実績!$AJ$6:$AJ$505,"&gt;"&amp;$A99,実績!$AL$6:$AL$505,"○")&gt;0,1,0))</f>
        <v>0</v>
      </c>
      <c r="CV99" s="39" t="n">
        <f aca="false">IF(CV$4=0,0,IF(COUNTIFS(実績!$W$6:$W$505,CV$3,実績!$AI$6:$AI$505,"&lt;="&amp;$A99,実績!$AJ$6:$AJ$505,"&gt;"&amp;$A99,実績!$AL$6:$AL$505,"○")&gt;0,1,0))</f>
        <v>0</v>
      </c>
      <c r="CW99" s="39" t="n">
        <f aca="false">IF(CW$4=0,0,IF(COUNTIFS(実績!$W$6:$W$505,CW$3,実績!$AI$6:$AI$505,"&lt;="&amp;$A99,実績!$AJ$6:$AJ$505,"&gt;"&amp;$A99,実績!$AL$6:$AL$505,"○")&gt;0,1,0))</f>
        <v>0</v>
      </c>
      <c r="CX99" s="39" t="n">
        <f aca="false">IF(CX$4=0,0,IF(COUNTIFS(実績!$W$6:$W$505,CX$3,実績!$AI$6:$AI$505,"&lt;="&amp;$A99,実績!$AJ$6:$AJ$505,"&gt;"&amp;$A99,実績!$AL$6:$AL$505,"○")&gt;0,1,0))</f>
        <v>0</v>
      </c>
      <c r="CY99" s="39" t="n">
        <f aca="false">IF(CY$4=0,0,IF(COUNTIFS(実績!$W$6:$W$505,CY$3,実績!$AI$6:$AI$505,"&lt;="&amp;$A99,実績!$AJ$6:$AJ$505,"&gt;"&amp;$A99,実績!$AL$6:$AL$505,"○")&gt;0,1,0))</f>
        <v>0</v>
      </c>
      <c r="CZ99" s="39" t="n">
        <f aca="false">IF(CZ$4=0,0,IF(COUNTIFS(実績!$W$6:$W$505,CZ$3,実績!$AI$6:$AI$505,"&lt;="&amp;$A99,実績!$AJ$6:$AJ$505,"&gt;"&amp;$A99,実績!$AL$6:$AL$505,"○")&gt;0,1,0))</f>
        <v>0</v>
      </c>
      <c r="DA99" s="39" t="n">
        <f aca="false">IF(DA$4=0,0,IF(COUNTIFS(実績!$W$6:$W$505,DA$3,実績!$AI$6:$AI$505,"&lt;="&amp;$A99,実績!$AJ$6:$AJ$505,"&gt;"&amp;$A99,実績!$AL$6:$AL$505,"○")&gt;0,1,0))</f>
        <v>0</v>
      </c>
      <c r="DB99" s="39" t="n">
        <f aca="false">IF(DB$4=0,0,IF(COUNTIFS(実績!$W$6:$W$505,DB$3,実績!$AI$6:$AI$505,"&lt;="&amp;$A99,実績!$AJ$6:$AJ$505,"&gt;"&amp;$A99,実績!$AL$6:$AL$505,"○")&gt;0,1,0))</f>
        <v>0</v>
      </c>
      <c r="DC99" s="39" t="n">
        <f aca="false">IF(DC$4=0,0,IF(COUNTIFS(実績!$W$6:$W$505,DC$3,実績!$AI$6:$AI$505,"&lt;="&amp;$A99,実績!$AJ$6:$AJ$505,"&gt;"&amp;$A99,実績!$AL$6:$AL$505,"○")&gt;0,1,0))</f>
        <v>0</v>
      </c>
      <c r="DD99" s="39" t="n">
        <f aca="false">IF(DD$4=0,0,IF(COUNTIFS(実績!$W$6:$W$505,DD$3,実績!$AI$6:$AI$505,"&lt;="&amp;$A99,実績!$AJ$6:$AJ$505,"&gt;"&amp;$A99,実績!$AL$6:$AL$505,"○")&gt;0,1,0))</f>
        <v>0</v>
      </c>
      <c r="DE99" s="39" t="n">
        <f aca="false">IF(DE$4=0,0,IF(COUNTIFS(実績!$W$6:$W$505,DE$3,実績!$AI$6:$AI$505,"&lt;="&amp;$A99,実績!$AJ$6:$AJ$505,"&gt;"&amp;$A99,実績!$AL$6:$AL$505,"○")&gt;0,1,0))</f>
        <v>0</v>
      </c>
      <c r="DF99" s="39" t="n">
        <f aca="false">IF(DF$4=0,0,IF(COUNTIFS(実績!$W$6:$W$505,DF$3,実績!$AI$6:$AI$505,"&lt;="&amp;$A99,実績!$AJ$6:$AJ$505,"&gt;"&amp;$A99,実績!$AL$6:$AL$505,"○")&gt;0,1,0))</f>
        <v>0</v>
      </c>
      <c r="DG99" s="39" t="n">
        <f aca="false">IF(DG$4=0,0,IF(COUNTIFS(実績!$W$6:$W$505,DG$3,実績!$AI$6:$AI$505,"&lt;="&amp;$A99,実績!$AJ$6:$AJ$505,"&gt;"&amp;$A99,実績!$AL$6:$AL$505,"○")&gt;0,1,0))</f>
        <v>0</v>
      </c>
      <c r="DH99" s="39" t="n">
        <f aca="false">IF(DH$4=0,0,IF(COUNTIFS(実績!$W$6:$W$505,DH$3,実績!$AI$6:$AI$505,"&lt;="&amp;$A99,実績!$AJ$6:$AJ$505,"&gt;"&amp;$A99,実績!$AL$6:$AL$505,"○")&gt;0,1,0))</f>
        <v>0</v>
      </c>
      <c r="DI99" s="39" t="n">
        <f aca="false">IF(DI$4=0,0,IF(COUNTIFS(実績!$W$6:$W$505,DI$3,実績!$AI$6:$AI$505,"&lt;="&amp;$A99,実績!$AJ$6:$AJ$505,"&gt;"&amp;$A99,実績!$AL$6:$AL$505,"○")&gt;0,1,0))</f>
        <v>0</v>
      </c>
      <c r="DJ99" s="39" t="n">
        <f aca="false">IF(DJ$4=0,0,IF(COUNTIFS(実績!$W$6:$W$505,DJ$3,実績!$AI$6:$AI$505,"&lt;="&amp;$A99,実績!$AJ$6:$AJ$505,"&gt;"&amp;$A99,実績!$AL$6:$AL$505,"○")&gt;0,1,0))</f>
        <v>0</v>
      </c>
      <c r="DK99" s="39" t="n">
        <f aca="false">IF(DK$4=0,0,IF(COUNTIFS(実績!$W$6:$W$505,DK$3,実績!$AI$6:$AI$505,"&lt;="&amp;$A99,実績!$AJ$6:$AJ$505,"&gt;"&amp;$A99,実績!$AL$6:$AL$505,"○")&gt;0,1,0))</f>
        <v>0</v>
      </c>
      <c r="DL99" s="39" t="n">
        <f aca="false">IF(DL$4=0,0,IF(COUNTIFS(実績!$W$6:$W$505,DL$3,実績!$AI$6:$AI$505,"&lt;="&amp;$A99,実績!$AJ$6:$AJ$505,"&gt;"&amp;$A99,実績!$AL$6:$AL$505,"○")&gt;0,1,0))</f>
        <v>0</v>
      </c>
      <c r="DM99" s="39" t="n">
        <f aca="false">IF(DM$4=0,0,IF(COUNTIFS(実績!$W$6:$W$505,DM$3,実績!$AI$6:$AI$505,"&lt;="&amp;$A99,実績!$AJ$6:$AJ$505,"&gt;"&amp;$A99,実績!$AL$6:$AL$505,"○")&gt;0,1,0))</f>
        <v>0</v>
      </c>
      <c r="DN99" s="39" t="n">
        <f aca="false">IF(DN$4=0,0,IF(COUNTIFS(実績!$W$6:$W$505,DN$3,実績!$AI$6:$AI$505,"&lt;="&amp;$A99,実績!$AJ$6:$AJ$505,"&gt;"&amp;$A99,実績!$AL$6:$AL$505,"○")&gt;0,1,0))</f>
        <v>0</v>
      </c>
      <c r="DO99" s="39" t="n">
        <f aca="false">IF(DO$4=0,0,IF(COUNTIFS(実績!$W$6:$W$505,DO$3,実績!$AI$6:$AI$505,"&lt;="&amp;$A99,実績!$AJ$6:$AJ$505,"&gt;"&amp;$A99,実績!$AL$6:$AL$505,"○")&gt;0,1,0))</f>
        <v>0</v>
      </c>
      <c r="DP99" s="39" t="n">
        <f aca="false">IF(DP$4=0,0,IF(COUNTIFS(実績!$W$6:$W$505,DP$3,実績!$AI$6:$AI$505,"&lt;="&amp;$A99,実績!$AJ$6:$AJ$505,"&gt;"&amp;$A99,実績!$AL$6:$AL$505,"○")&gt;0,1,0))</f>
        <v>0</v>
      </c>
      <c r="DQ99" s="39" t="n">
        <f aca="false">IF(DQ$4=0,0,IF(COUNTIFS(実績!$W$6:$W$505,DQ$3,実績!$AI$6:$AI$505,"&lt;="&amp;$A99,実績!$AJ$6:$AJ$505,"&gt;"&amp;$A99,実績!$AL$6:$AL$505,"○")&gt;0,1,0))</f>
        <v>0</v>
      </c>
      <c r="DR99" s="39" t="n">
        <f aca="false">IF(DR$4=0,0,IF(COUNTIFS(実績!$W$6:$W$505,DR$3,実績!$AI$6:$AI$505,"&lt;="&amp;$A99,実績!$AJ$6:$AJ$505,"&gt;"&amp;$A99,実績!$AL$6:$AL$505,"○")&gt;0,1,0))</f>
        <v>0</v>
      </c>
      <c r="DS99" s="39" t="n">
        <f aca="false">SUM(C99:DR99)</f>
        <v>0</v>
      </c>
    </row>
    <row r="100" customFormat="false" ht="15" hidden="false" customHeight="false" outlineLevel="0" collapsed="false">
      <c r="A100" s="0" t="n">
        <v>470</v>
      </c>
      <c r="B100" s="38" t="n">
        <f aca="false">A100/1440</f>
        <v>0.326388888888889</v>
      </c>
      <c r="C100" s="39" t="n">
        <f aca="false">IF(C$4=0,0,IF(COUNTIFS(実績!$W$6:$W$505,C$3,実績!$AI$6:$AI$505,"&lt;="&amp;$A100,実績!$AJ$6:$AJ$505,"&gt;"&amp;$A100,実績!$AL$6:$AL$505,"○")&gt;0,1,0))</f>
        <v>0</v>
      </c>
      <c r="D100" s="39" t="n">
        <f aca="false">IF(D$4=0,0,IF(COUNTIFS(実績!$W$6:$W$505,D$3,実績!$AI$6:$AI$505,"&lt;="&amp;$A100,実績!$AJ$6:$AJ$505,"&gt;"&amp;$A100,実績!$AL$6:$AL$505,"○")&gt;0,1,0))</f>
        <v>0</v>
      </c>
      <c r="E100" s="39" t="n">
        <f aca="false">IF(E$4=0,0,IF(COUNTIFS(実績!$W$6:$W$505,E$3,実績!$AI$6:$AI$505,"&lt;="&amp;$A100,実績!$AJ$6:$AJ$505,"&gt;"&amp;$A100,実績!$AL$6:$AL$505,"○")&gt;0,1,0))</f>
        <v>0</v>
      </c>
      <c r="F100" s="39" t="n">
        <f aca="false">IF(F$4=0,0,IF(COUNTIFS(実績!$W$6:$W$505,F$3,実績!$AI$6:$AI$505,"&lt;="&amp;$A100,実績!$AJ$6:$AJ$505,"&gt;"&amp;$A100,実績!$AL$6:$AL$505,"○")&gt;0,1,0))</f>
        <v>0</v>
      </c>
      <c r="G100" s="39" t="n">
        <f aca="false">IF(G$4=0,0,IF(COUNTIFS(実績!$W$6:$W$505,G$3,実績!$AI$6:$AI$505,"&lt;="&amp;$A100,実績!$AJ$6:$AJ$505,"&gt;"&amp;$A100,実績!$AL$6:$AL$505,"○")&gt;0,1,0))</f>
        <v>0</v>
      </c>
      <c r="H100" s="39" t="n">
        <f aca="false">IF(H$4=0,0,IF(COUNTIFS(実績!$W$6:$W$505,H$3,実績!$AI$6:$AI$505,"&lt;="&amp;$A100,実績!$AJ$6:$AJ$505,"&gt;"&amp;$A100,実績!$AL$6:$AL$505,"○")&gt;0,1,0))</f>
        <v>0</v>
      </c>
      <c r="I100" s="39" t="n">
        <f aca="false">IF(I$4=0,0,IF(COUNTIFS(実績!$W$6:$W$505,I$3,実績!$AI$6:$AI$505,"&lt;="&amp;$A100,実績!$AJ$6:$AJ$505,"&gt;"&amp;$A100,実績!$AL$6:$AL$505,"○")&gt;0,1,0))</f>
        <v>0</v>
      </c>
      <c r="J100" s="39" t="n">
        <f aca="false">IF(J$4=0,0,IF(COUNTIFS(実績!$W$6:$W$505,J$3,実績!$AI$6:$AI$505,"&lt;="&amp;$A100,実績!$AJ$6:$AJ$505,"&gt;"&amp;$A100,実績!$AL$6:$AL$505,"○")&gt;0,1,0))</f>
        <v>0</v>
      </c>
      <c r="K100" s="39" t="n">
        <f aca="false">IF(K$4=0,0,IF(COUNTIFS(実績!$W$6:$W$505,K$3,実績!$AI$6:$AI$505,"&lt;="&amp;$A100,実績!$AJ$6:$AJ$505,"&gt;"&amp;$A100,実績!$AL$6:$AL$505,"○")&gt;0,1,0))</f>
        <v>0</v>
      </c>
      <c r="L100" s="39" t="n">
        <f aca="false">IF(L$4=0,0,IF(COUNTIFS(実績!$W$6:$W$505,L$3,実績!$AI$6:$AI$505,"&lt;="&amp;$A100,実績!$AJ$6:$AJ$505,"&gt;"&amp;$A100,実績!$AL$6:$AL$505,"○")&gt;0,1,0))</f>
        <v>0</v>
      </c>
      <c r="M100" s="39" t="n">
        <f aca="false">IF(M$4=0,0,IF(COUNTIFS(実績!$W$6:$W$505,M$3,実績!$AI$6:$AI$505,"&lt;="&amp;$A100,実績!$AJ$6:$AJ$505,"&gt;"&amp;$A100,実績!$AL$6:$AL$505,"○")&gt;0,1,0))</f>
        <v>0</v>
      </c>
      <c r="N100" s="39" t="n">
        <f aca="false">IF(N$4=0,0,IF(COUNTIFS(実績!$W$6:$W$505,N$3,実績!$AI$6:$AI$505,"&lt;="&amp;$A100,実績!$AJ$6:$AJ$505,"&gt;"&amp;$A100,実績!$AL$6:$AL$505,"○")&gt;0,1,0))</f>
        <v>0</v>
      </c>
      <c r="O100" s="39" t="n">
        <f aca="false">IF(O$4=0,0,IF(COUNTIFS(実績!$W$6:$W$505,O$3,実績!$AI$6:$AI$505,"&lt;="&amp;$A100,実績!$AJ$6:$AJ$505,"&gt;"&amp;$A100,実績!$AL$6:$AL$505,"○")&gt;0,1,0))</f>
        <v>0</v>
      </c>
      <c r="P100" s="39" t="n">
        <f aca="false">IF(P$4=0,0,IF(COUNTIFS(実績!$W$6:$W$505,P$3,実績!$AI$6:$AI$505,"&lt;="&amp;$A100,実績!$AJ$6:$AJ$505,"&gt;"&amp;$A100,実績!$AL$6:$AL$505,"○")&gt;0,1,0))</f>
        <v>0</v>
      </c>
      <c r="Q100" s="39" t="n">
        <f aca="false">IF(Q$4=0,0,IF(COUNTIFS(実績!$W$6:$W$505,Q$3,実績!$AI$6:$AI$505,"&lt;="&amp;$A100,実績!$AJ$6:$AJ$505,"&gt;"&amp;$A100,実績!$AL$6:$AL$505,"○")&gt;0,1,0))</f>
        <v>0</v>
      </c>
      <c r="R100" s="39" t="n">
        <f aca="false">IF(R$4=0,0,IF(COUNTIFS(実績!$W$6:$W$505,R$3,実績!$AI$6:$AI$505,"&lt;="&amp;$A100,実績!$AJ$6:$AJ$505,"&gt;"&amp;$A100,実績!$AL$6:$AL$505,"○")&gt;0,1,0))</f>
        <v>0</v>
      </c>
      <c r="S100" s="39" t="n">
        <f aca="false">IF(S$4=0,0,IF(COUNTIFS(実績!$W$6:$W$505,S$3,実績!$AI$6:$AI$505,"&lt;="&amp;$A100,実績!$AJ$6:$AJ$505,"&gt;"&amp;$A100,実績!$AL$6:$AL$505,"○")&gt;0,1,0))</f>
        <v>0</v>
      </c>
      <c r="T100" s="39" t="n">
        <f aca="false">IF(T$4=0,0,IF(COUNTIFS(実績!$W$6:$W$505,T$3,実績!$AI$6:$AI$505,"&lt;="&amp;$A100,実績!$AJ$6:$AJ$505,"&gt;"&amp;$A100,実績!$AL$6:$AL$505,"○")&gt;0,1,0))</f>
        <v>0</v>
      </c>
      <c r="U100" s="39" t="n">
        <f aca="false">IF(U$4=0,0,IF(COUNTIFS(実績!$W$6:$W$505,U$3,実績!$AI$6:$AI$505,"&lt;="&amp;$A100,実績!$AJ$6:$AJ$505,"&gt;"&amp;$A100,実績!$AL$6:$AL$505,"○")&gt;0,1,0))</f>
        <v>0</v>
      </c>
      <c r="V100" s="39" t="n">
        <f aca="false">IF(V$4=0,0,IF(COUNTIFS(実績!$W$6:$W$505,V$3,実績!$AI$6:$AI$505,"&lt;="&amp;$A100,実績!$AJ$6:$AJ$505,"&gt;"&amp;$A100,実績!$AL$6:$AL$505,"○")&gt;0,1,0))</f>
        <v>0</v>
      </c>
      <c r="W100" s="39" t="n">
        <f aca="false">IF(W$4=0,0,IF(COUNTIFS(実績!$W$6:$W$505,W$3,実績!$AI$6:$AI$505,"&lt;="&amp;$A100,実績!$AJ$6:$AJ$505,"&gt;"&amp;$A100,実績!$AL$6:$AL$505,"○")&gt;0,1,0))</f>
        <v>0</v>
      </c>
      <c r="X100" s="39" t="n">
        <f aca="false">IF(X$4=0,0,IF(COUNTIFS(実績!$W$6:$W$505,X$3,実績!$AI$6:$AI$505,"&lt;="&amp;$A100,実績!$AJ$6:$AJ$505,"&gt;"&amp;$A100,実績!$AL$6:$AL$505,"○")&gt;0,1,0))</f>
        <v>0</v>
      </c>
      <c r="Y100" s="39" t="n">
        <f aca="false">IF(Y$4=0,0,IF(COUNTIFS(実績!$W$6:$W$505,Y$3,実績!$AI$6:$AI$505,"&lt;="&amp;$A100,実績!$AJ$6:$AJ$505,"&gt;"&amp;$A100,実績!$AL$6:$AL$505,"○")&gt;0,1,0))</f>
        <v>0</v>
      </c>
      <c r="Z100" s="39" t="n">
        <f aca="false">IF(Z$4=0,0,IF(COUNTIFS(実績!$W$6:$W$505,Z$3,実績!$AI$6:$AI$505,"&lt;="&amp;$A100,実績!$AJ$6:$AJ$505,"&gt;"&amp;$A100,実績!$AL$6:$AL$505,"○")&gt;0,1,0))</f>
        <v>0</v>
      </c>
      <c r="AA100" s="39" t="n">
        <f aca="false">IF(AA$4=0,0,IF(COUNTIFS(実績!$W$6:$W$505,AA$3,実績!$AI$6:$AI$505,"&lt;="&amp;$A100,実績!$AJ$6:$AJ$505,"&gt;"&amp;$A100,実績!$AL$6:$AL$505,"○")&gt;0,1,0))</f>
        <v>0</v>
      </c>
      <c r="AB100" s="39" t="n">
        <f aca="false">IF(AB$4=0,0,IF(COUNTIFS(実績!$W$6:$W$505,AB$3,実績!$AI$6:$AI$505,"&lt;="&amp;$A100,実績!$AJ$6:$AJ$505,"&gt;"&amp;$A100,実績!$AL$6:$AL$505,"○")&gt;0,1,0))</f>
        <v>0</v>
      </c>
      <c r="AC100" s="39" t="n">
        <f aca="false">IF(AC$4=0,0,IF(COUNTIFS(実績!$W$6:$W$505,AC$3,実績!$AI$6:$AI$505,"&lt;="&amp;$A100,実績!$AJ$6:$AJ$505,"&gt;"&amp;$A100,実績!$AL$6:$AL$505,"○")&gt;0,1,0))</f>
        <v>0</v>
      </c>
      <c r="AD100" s="39" t="n">
        <f aca="false">IF(AD$4=0,0,IF(COUNTIFS(実績!$W$6:$W$505,AD$3,実績!$AI$6:$AI$505,"&lt;="&amp;$A100,実績!$AJ$6:$AJ$505,"&gt;"&amp;$A100,実績!$AL$6:$AL$505,"○")&gt;0,1,0))</f>
        <v>0</v>
      </c>
      <c r="AE100" s="39" t="n">
        <f aca="false">IF(AE$4=0,0,IF(COUNTIFS(実績!$W$6:$W$505,AE$3,実績!$AI$6:$AI$505,"&lt;="&amp;$A100,実績!$AJ$6:$AJ$505,"&gt;"&amp;$A100,実績!$AL$6:$AL$505,"○")&gt;0,1,0))</f>
        <v>0</v>
      </c>
      <c r="AF100" s="39" t="n">
        <f aca="false">IF(AF$4=0,0,IF(COUNTIFS(実績!$W$6:$W$505,AF$3,実績!$AI$6:$AI$505,"&lt;="&amp;$A100,実績!$AJ$6:$AJ$505,"&gt;"&amp;$A100,実績!$AL$6:$AL$505,"○")&gt;0,1,0))</f>
        <v>0</v>
      </c>
      <c r="AG100" s="39" t="n">
        <f aca="false">IF(AG$4=0,0,IF(COUNTIFS(実績!$W$6:$W$505,AG$3,実績!$AI$6:$AI$505,"&lt;="&amp;$A100,実績!$AJ$6:$AJ$505,"&gt;"&amp;$A100,実績!$AL$6:$AL$505,"○")&gt;0,1,0))</f>
        <v>0</v>
      </c>
      <c r="AH100" s="39" t="n">
        <f aca="false">IF(AH$4=0,0,IF(COUNTIFS(実績!$W$6:$W$505,AH$3,実績!$AI$6:$AI$505,"&lt;="&amp;$A100,実績!$AJ$6:$AJ$505,"&gt;"&amp;$A100,実績!$AL$6:$AL$505,"○")&gt;0,1,0))</f>
        <v>0</v>
      </c>
      <c r="AI100" s="39" t="n">
        <f aca="false">IF(AI$4=0,0,IF(COUNTIFS(実績!$W$6:$W$505,AI$3,実績!$AI$6:$AI$505,"&lt;="&amp;$A100,実績!$AJ$6:$AJ$505,"&gt;"&amp;$A100,実績!$AL$6:$AL$505,"○")&gt;0,1,0))</f>
        <v>0</v>
      </c>
      <c r="AJ100" s="39" t="n">
        <f aca="false">IF(AJ$4=0,0,IF(COUNTIFS(実績!$W$6:$W$505,AJ$3,実績!$AI$6:$AI$505,"&lt;="&amp;$A100,実績!$AJ$6:$AJ$505,"&gt;"&amp;$A100,実績!$AL$6:$AL$505,"○")&gt;0,1,0))</f>
        <v>0</v>
      </c>
      <c r="AK100" s="39" t="n">
        <f aca="false">IF(AK$4=0,0,IF(COUNTIFS(実績!$W$6:$W$505,AK$3,実績!$AI$6:$AI$505,"&lt;="&amp;$A100,実績!$AJ$6:$AJ$505,"&gt;"&amp;$A100,実績!$AL$6:$AL$505,"○")&gt;0,1,0))</f>
        <v>0</v>
      </c>
      <c r="AL100" s="39" t="n">
        <f aca="false">IF(AL$4=0,0,IF(COUNTIFS(実績!$W$6:$W$505,AL$3,実績!$AI$6:$AI$505,"&lt;="&amp;$A100,実績!$AJ$6:$AJ$505,"&gt;"&amp;$A100,実績!$AL$6:$AL$505,"○")&gt;0,1,0))</f>
        <v>0</v>
      </c>
      <c r="AM100" s="39" t="n">
        <f aca="false">IF(AM$4=0,0,IF(COUNTIFS(実績!$W$6:$W$505,AM$3,実績!$AI$6:$AI$505,"&lt;="&amp;$A100,実績!$AJ$6:$AJ$505,"&gt;"&amp;$A100,実績!$AL$6:$AL$505,"○")&gt;0,1,0))</f>
        <v>0</v>
      </c>
      <c r="AN100" s="39" t="n">
        <f aca="false">IF(AN$4=0,0,IF(COUNTIFS(実績!$W$6:$W$505,AN$3,実績!$AI$6:$AI$505,"&lt;="&amp;$A100,実績!$AJ$6:$AJ$505,"&gt;"&amp;$A100,実績!$AL$6:$AL$505,"○")&gt;0,1,0))</f>
        <v>0</v>
      </c>
      <c r="AO100" s="39" t="n">
        <f aca="false">IF(AO$4=0,0,IF(COUNTIFS(実績!$W$6:$W$505,AO$3,実績!$AI$6:$AI$505,"&lt;="&amp;$A100,実績!$AJ$6:$AJ$505,"&gt;"&amp;$A100,実績!$AL$6:$AL$505,"○")&gt;0,1,0))</f>
        <v>0</v>
      </c>
      <c r="AP100" s="39" t="n">
        <f aca="false">IF(AP$4=0,0,IF(COUNTIFS(実績!$W$6:$W$505,AP$3,実績!$AI$6:$AI$505,"&lt;="&amp;$A100,実績!$AJ$6:$AJ$505,"&gt;"&amp;$A100,実績!$AL$6:$AL$505,"○")&gt;0,1,0))</f>
        <v>0</v>
      </c>
      <c r="AQ100" s="39" t="n">
        <f aca="false">IF(AQ$4=0,0,IF(COUNTIFS(実績!$W$6:$W$505,AQ$3,実績!$AI$6:$AI$505,"&lt;="&amp;$A100,実績!$AJ$6:$AJ$505,"&gt;"&amp;$A100,実績!$AL$6:$AL$505,"○")&gt;0,1,0))</f>
        <v>0</v>
      </c>
      <c r="AR100" s="39" t="n">
        <f aca="false">IF(AR$4=0,0,IF(COUNTIFS(実績!$W$6:$W$505,AR$3,実績!$AI$6:$AI$505,"&lt;="&amp;$A100,実績!$AJ$6:$AJ$505,"&gt;"&amp;$A100,実績!$AL$6:$AL$505,"○")&gt;0,1,0))</f>
        <v>0</v>
      </c>
      <c r="AS100" s="39" t="n">
        <f aca="false">IF(AS$4=0,0,IF(COUNTIFS(実績!$W$6:$W$505,AS$3,実績!$AI$6:$AI$505,"&lt;="&amp;$A100,実績!$AJ$6:$AJ$505,"&gt;"&amp;$A100,実績!$AL$6:$AL$505,"○")&gt;0,1,0))</f>
        <v>0</v>
      </c>
      <c r="AT100" s="39" t="n">
        <f aca="false">IF(AT$4=0,0,IF(COUNTIFS(実績!$W$6:$W$505,AT$3,実績!$AI$6:$AI$505,"&lt;="&amp;$A100,実績!$AJ$6:$AJ$505,"&gt;"&amp;$A100,実績!$AL$6:$AL$505,"○")&gt;0,1,0))</f>
        <v>0</v>
      </c>
      <c r="AU100" s="39" t="n">
        <f aca="false">IF(AU$4=0,0,IF(COUNTIFS(実績!$W$6:$W$505,AU$3,実績!$AI$6:$AI$505,"&lt;="&amp;$A100,実績!$AJ$6:$AJ$505,"&gt;"&amp;$A100,実績!$AL$6:$AL$505,"○")&gt;0,1,0))</f>
        <v>0</v>
      </c>
      <c r="AV100" s="39" t="n">
        <f aca="false">IF(AV$4=0,0,IF(COUNTIFS(実績!$W$6:$W$505,AV$3,実績!$AI$6:$AI$505,"&lt;="&amp;$A100,実績!$AJ$6:$AJ$505,"&gt;"&amp;$A100,実績!$AL$6:$AL$505,"○")&gt;0,1,0))</f>
        <v>0</v>
      </c>
      <c r="AW100" s="39" t="n">
        <f aca="false">IF(AW$4=0,0,IF(COUNTIFS(実績!$W$6:$W$505,AW$3,実績!$AI$6:$AI$505,"&lt;="&amp;$A100,実績!$AJ$6:$AJ$505,"&gt;"&amp;$A100,実績!$AL$6:$AL$505,"○")&gt;0,1,0))</f>
        <v>0</v>
      </c>
      <c r="AX100" s="39" t="n">
        <f aca="false">IF(AX$4=0,0,IF(COUNTIFS(実績!$W$6:$W$505,AX$3,実績!$AI$6:$AI$505,"&lt;="&amp;$A100,実績!$AJ$6:$AJ$505,"&gt;"&amp;$A100,実績!$AL$6:$AL$505,"○")&gt;0,1,0))</f>
        <v>0</v>
      </c>
      <c r="AY100" s="39" t="n">
        <f aca="false">IF(AY$4=0,0,IF(COUNTIFS(実績!$W$6:$W$505,AY$3,実績!$AI$6:$AI$505,"&lt;="&amp;$A100,実績!$AJ$6:$AJ$505,"&gt;"&amp;$A100,実績!$AL$6:$AL$505,"○")&gt;0,1,0))</f>
        <v>0</v>
      </c>
      <c r="AZ100" s="39" t="n">
        <f aca="false">IF(AZ$4=0,0,IF(COUNTIFS(実績!$W$6:$W$505,AZ$3,実績!$AI$6:$AI$505,"&lt;="&amp;$A100,実績!$AJ$6:$AJ$505,"&gt;"&amp;$A100,実績!$AL$6:$AL$505,"○")&gt;0,1,0))</f>
        <v>0</v>
      </c>
      <c r="BA100" s="39" t="n">
        <f aca="false">IF(BA$4=0,0,IF(COUNTIFS(実績!$W$6:$W$505,BA$3,実績!$AI$6:$AI$505,"&lt;="&amp;$A100,実績!$AJ$6:$AJ$505,"&gt;"&amp;$A100,実績!$AL$6:$AL$505,"○")&gt;0,1,0))</f>
        <v>0</v>
      </c>
      <c r="BB100" s="39" t="n">
        <f aca="false">IF(BB$4=0,0,IF(COUNTIFS(実績!$W$6:$W$505,BB$3,実績!$AI$6:$AI$505,"&lt;="&amp;$A100,実績!$AJ$6:$AJ$505,"&gt;"&amp;$A100,実績!$AL$6:$AL$505,"○")&gt;0,1,0))</f>
        <v>0</v>
      </c>
      <c r="BC100" s="39" t="n">
        <f aca="false">IF(BC$4=0,0,IF(COUNTIFS(実績!$W$6:$W$505,BC$3,実績!$AI$6:$AI$505,"&lt;="&amp;$A100,実績!$AJ$6:$AJ$505,"&gt;"&amp;$A100,実績!$AL$6:$AL$505,"○")&gt;0,1,0))</f>
        <v>0</v>
      </c>
      <c r="BD100" s="39" t="n">
        <f aca="false">IF(BD$4=0,0,IF(COUNTIFS(実績!$W$6:$W$505,BD$3,実績!$AI$6:$AI$505,"&lt;="&amp;$A100,実績!$AJ$6:$AJ$505,"&gt;"&amp;$A100,実績!$AL$6:$AL$505,"○")&gt;0,1,0))</f>
        <v>0</v>
      </c>
      <c r="BE100" s="39" t="n">
        <f aca="false">IF(BE$4=0,0,IF(COUNTIFS(実績!$W$6:$W$505,BE$3,実績!$AI$6:$AI$505,"&lt;="&amp;$A100,実績!$AJ$6:$AJ$505,"&gt;"&amp;$A100,実績!$AL$6:$AL$505,"○")&gt;0,1,0))</f>
        <v>0</v>
      </c>
      <c r="BF100" s="39" t="n">
        <f aca="false">IF(BF$4=0,0,IF(COUNTIFS(実績!$W$6:$W$505,BF$3,実績!$AI$6:$AI$505,"&lt;="&amp;$A100,実績!$AJ$6:$AJ$505,"&gt;"&amp;$A100,実績!$AL$6:$AL$505,"○")&gt;0,1,0))</f>
        <v>0</v>
      </c>
      <c r="BG100" s="39" t="n">
        <f aca="false">IF(BG$4=0,0,IF(COUNTIFS(実績!$W$6:$W$505,BG$3,実績!$AI$6:$AI$505,"&lt;="&amp;$A100,実績!$AJ$6:$AJ$505,"&gt;"&amp;$A100,実績!$AL$6:$AL$505,"○")&gt;0,1,0))</f>
        <v>0</v>
      </c>
      <c r="BH100" s="39" t="n">
        <f aca="false">IF(BH$4=0,0,IF(COUNTIFS(実績!$W$6:$W$505,BH$3,実績!$AI$6:$AI$505,"&lt;="&amp;$A100,実績!$AJ$6:$AJ$505,"&gt;"&amp;$A100,実績!$AL$6:$AL$505,"○")&gt;0,1,0))</f>
        <v>0</v>
      </c>
      <c r="BI100" s="39" t="n">
        <f aca="false">IF(BI$4=0,0,IF(COUNTIFS(実績!$W$6:$W$505,BI$3,実績!$AI$6:$AI$505,"&lt;="&amp;$A100,実績!$AJ$6:$AJ$505,"&gt;"&amp;$A100,実績!$AL$6:$AL$505,"○")&gt;0,1,0))</f>
        <v>0</v>
      </c>
      <c r="BJ100" s="39" t="n">
        <f aca="false">IF(BJ$4=0,0,IF(COUNTIFS(実績!$W$6:$W$505,BJ$3,実績!$AI$6:$AI$505,"&lt;="&amp;$A100,実績!$AJ$6:$AJ$505,"&gt;"&amp;$A100,実績!$AL$6:$AL$505,"○")&gt;0,1,0))</f>
        <v>0</v>
      </c>
      <c r="BK100" s="39" t="n">
        <f aca="false">IF(BK$4=0,0,IF(COUNTIFS(実績!$W$6:$W$505,BK$3,実績!$AI$6:$AI$505,"&lt;="&amp;$A100,実績!$AJ$6:$AJ$505,"&gt;"&amp;$A100,実績!$AL$6:$AL$505,"○")&gt;0,1,0))</f>
        <v>0</v>
      </c>
      <c r="BL100" s="39" t="n">
        <f aca="false">IF(BL$4=0,0,IF(COUNTIFS(実績!$W$6:$W$505,BL$3,実績!$AI$6:$AI$505,"&lt;="&amp;$A100,実績!$AJ$6:$AJ$505,"&gt;"&amp;$A100,実績!$AL$6:$AL$505,"○")&gt;0,1,0))</f>
        <v>0</v>
      </c>
      <c r="BM100" s="39" t="n">
        <f aca="false">IF(BM$4=0,0,IF(COUNTIFS(実績!$W$6:$W$505,BM$3,実績!$AI$6:$AI$505,"&lt;="&amp;$A100,実績!$AJ$6:$AJ$505,"&gt;"&amp;$A100,実績!$AL$6:$AL$505,"○")&gt;0,1,0))</f>
        <v>0</v>
      </c>
      <c r="BN100" s="39" t="n">
        <f aca="false">IF(BN$4=0,0,IF(COUNTIFS(実績!$W$6:$W$505,BN$3,実績!$AI$6:$AI$505,"&lt;="&amp;$A100,実績!$AJ$6:$AJ$505,"&gt;"&amp;$A100,実績!$AL$6:$AL$505,"○")&gt;0,1,0))</f>
        <v>0</v>
      </c>
      <c r="BO100" s="39" t="n">
        <f aca="false">IF(BO$4=0,0,IF(COUNTIFS(実績!$W$6:$W$505,BO$3,実績!$AI$6:$AI$505,"&lt;="&amp;$A100,実績!$AJ$6:$AJ$505,"&gt;"&amp;$A100,実績!$AL$6:$AL$505,"○")&gt;0,1,0))</f>
        <v>0</v>
      </c>
      <c r="BP100" s="39" t="n">
        <f aca="false">IF(BP$4=0,0,IF(COUNTIFS(実績!$W$6:$W$505,BP$3,実績!$AI$6:$AI$505,"&lt;="&amp;$A100,実績!$AJ$6:$AJ$505,"&gt;"&amp;$A100,実績!$AL$6:$AL$505,"○")&gt;0,1,0))</f>
        <v>0</v>
      </c>
      <c r="BQ100" s="39" t="n">
        <f aca="false">IF(BQ$4=0,0,IF(COUNTIFS(実績!$W$6:$W$505,BQ$3,実績!$AI$6:$AI$505,"&lt;="&amp;$A100,実績!$AJ$6:$AJ$505,"&gt;"&amp;$A100,実績!$AL$6:$AL$505,"○")&gt;0,1,0))</f>
        <v>0</v>
      </c>
      <c r="BR100" s="39" t="n">
        <f aca="false">IF(BR$4=0,0,IF(COUNTIFS(実績!$W$6:$W$505,BR$3,実績!$AI$6:$AI$505,"&lt;="&amp;$A100,実績!$AJ$6:$AJ$505,"&gt;"&amp;$A100,実績!$AL$6:$AL$505,"○")&gt;0,1,0))</f>
        <v>0</v>
      </c>
      <c r="BS100" s="39" t="n">
        <f aca="false">IF(BS$4=0,0,IF(COUNTIFS(実績!$W$6:$W$505,BS$3,実績!$AI$6:$AI$505,"&lt;="&amp;$A100,実績!$AJ$6:$AJ$505,"&gt;"&amp;$A100,実績!$AL$6:$AL$505,"○")&gt;0,1,0))</f>
        <v>0</v>
      </c>
      <c r="BT100" s="39" t="n">
        <f aca="false">IF(BT$4=0,0,IF(COUNTIFS(実績!$W$6:$W$505,BT$3,実績!$AI$6:$AI$505,"&lt;="&amp;$A100,実績!$AJ$6:$AJ$505,"&gt;"&amp;$A100,実績!$AL$6:$AL$505,"○")&gt;0,1,0))</f>
        <v>0</v>
      </c>
      <c r="BU100" s="39" t="n">
        <f aca="false">IF(BU$4=0,0,IF(COUNTIFS(実績!$W$6:$W$505,BU$3,実績!$AI$6:$AI$505,"&lt;="&amp;$A100,実績!$AJ$6:$AJ$505,"&gt;"&amp;$A100,実績!$AL$6:$AL$505,"○")&gt;0,1,0))</f>
        <v>0</v>
      </c>
      <c r="BV100" s="39" t="n">
        <f aca="false">IF(BV$4=0,0,IF(COUNTIFS(実績!$W$6:$W$505,BV$3,実績!$AI$6:$AI$505,"&lt;="&amp;$A100,実績!$AJ$6:$AJ$505,"&gt;"&amp;$A100,実績!$AL$6:$AL$505,"○")&gt;0,1,0))</f>
        <v>0</v>
      </c>
      <c r="BW100" s="39" t="n">
        <f aca="false">IF(BW$4=0,0,IF(COUNTIFS(実績!$W$6:$W$505,BW$3,実績!$AI$6:$AI$505,"&lt;="&amp;$A100,実績!$AJ$6:$AJ$505,"&gt;"&amp;$A100,実績!$AL$6:$AL$505,"○")&gt;0,1,0))</f>
        <v>0</v>
      </c>
      <c r="BX100" s="39" t="n">
        <f aca="false">IF(BX$4=0,0,IF(COUNTIFS(実績!$W$6:$W$505,BX$3,実績!$AI$6:$AI$505,"&lt;="&amp;$A100,実績!$AJ$6:$AJ$505,"&gt;"&amp;$A100,実績!$AL$6:$AL$505,"○")&gt;0,1,0))</f>
        <v>0</v>
      </c>
      <c r="BY100" s="39" t="n">
        <f aca="false">IF(BY$4=0,0,IF(COUNTIFS(実績!$W$6:$W$505,BY$3,実績!$AI$6:$AI$505,"&lt;="&amp;$A100,実績!$AJ$6:$AJ$505,"&gt;"&amp;$A100,実績!$AL$6:$AL$505,"○")&gt;0,1,0))</f>
        <v>0</v>
      </c>
      <c r="BZ100" s="39" t="n">
        <f aca="false">IF(BZ$4=0,0,IF(COUNTIFS(実績!$W$6:$W$505,BZ$3,実績!$AI$6:$AI$505,"&lt;="&amp;$A100,実績!$AJ$6:$AJ$505,"&gt;"&amp;$A100,実績!$AL$6:$AL$505,"○")&gt;0,1,0))</f>
        <v>0</v>
      </c>
      <c r="CA100" s="39" t="n">
        <f aca="false">IF(CA$4=0,0,IF(COUNTIFS(実績!$W$6:$W$505,CA$3,実績!$AI$6:$AI$505,"&lt;="&amp;$A100,実績!$AJ$6:$AJ$505,"&gt;"&amp;$A100,実績!$AL$6:$AL$505,"○")&gt;0,1,0))</f>
        <v>0</v>
      </c>
      <c r="CB100" s="39" t="n">
        <f aca="false">IF(CB$4=0,0,IF(COUNTIFS(実績!$W$6:$W$505,CB$3,実績!$AI$6:$AI$505,"&lt;="&amp;$A100,実績!$AJ$6:$AJ$505,"&gt;"&amp;$A100,実績!$AL$6:$AL$505,"○")&gt;0,1,0))</f>
        <v>0</v>
      </c>
      <c r="CC100" s="39" t="n">
        <f aca="false">IF(CC$4=0,0,IF(COUNTIFS(実績!$W$6:$W$505,CC$3,実績!$AI$6:$AI$505,"&lt;="&amp;$A100,実績!$AJ$6:$AJ$505,"&gt;"&amp;$A100,実績!$AL$6:$AL$505,"○")&gt;0,1,0))</f>
        <v>0</v>
      </c>
      <c r="CD100" s="39" t="n">
        <f aca="false">IF(CD$4=0,0,IF(COUNTIFS(実績!$W$6:$W$505,CD$3,実績!$AI$6:$AI$505,"&lt;="&amp;$A100,実績!$AJ$6:$AJ$505,"&gt;"&amp;$A100,実績!$AL$6:$AL$505,"○")&gt;0,1,0))</f>
        <v>0</v>
      </c>
      <c r="CE100" s="39" t="n">
        <f aca="false">IF(CE$4=0,0,IF(COUNTIFS(実績!$W$6:$W$505,CE$3,実績!$AI$6:$AI$505,"&lt;="&amp;$A100,実績!$AJ$6:$AJ$505,"&gt;"&amp;$A100,実績!$AL$6:$AL$505,"○")&gt;0,1,0))</f>
        <v>0</v>
      </c>
      <c r="CF100" s="39" t="n">
        <f aca="false">IF(CF$4=0,0,IF(COUNTIFS(実績!$W$6:$W$505,CF$3,実績!$AI$6:$AI$505,"&lt;="&amp;$A100,実績!$AJ$6:$AJ$505,"&gt;"&amp;$A100,実績!$AL$6:$AL$505,"○")&gt;0,1,0))</f>
        <v>0</v>
      </c>
      <c r="CG100" s="39" t="n">
        <f aca="false">IF(CG$4=0,0,IF(COUNTIFS(実績!$W$6:$W$505,CG$3,実績!$AI$6:$AI$505,"&lt;="&amp;$A100,実績!$AJ$6:$AJ$505,"&gt;"&amp;$A100,実績!$AL$6:$AL$505,"○")&gt;0,1,0))</f>
        <v>0</v>
      </c>
      <c r="CH100" s="39" t="n">
        <f aca="false">IF(CH$4=0,0,IF(COUNTIFS(実績!$W$6:$W$505,CH$3,実績!$AI$6:$AI$505,"&lt;="&amp;$A100,実績!$AJ$6:$AJ$505,"&gt;"&amp;$A100,実績!$AL$6:$AL$505,"○")&gt;0,1,0))</f>
        <v>0</v>
      </c>
      <c r="CI100" s="39" t="n">
        <f aca="false">IF(CI$4=0,0,IF(COUNTIFS(実績!$W$6:$W$505,CI$3,実績!$AI$6:$AI$505,"&lt;="&amp;$A100,実績!$AJ$6:$AJ$505,"&gt;"&amp;$A100,実績!$AL$6:$AL$505,"○")&gt;0,1,0))</f>
        <v>0</v>
      </c>
      <c r="CJ100" s="39" t="n">
        <f aca="false">IF(CJ$4=0,0,IF(COUNTIFS(実績!$W$6:$W$505,CJ$3,実績!$AI$6:$AI$505,"&lt;="&amp;$A100,実績!$AJ$6:$AJ$505,"&gt;"&amp;$A100,実績!$AL$6:$AL$505,"○")&gt;0,1,0))</f>
        <v>0</v>
      </c>
      <c r="CK100" s="39" t="n">
        <f aca="false">IF(CK$4=0,0,IF(COUNTIFS(実績!$W$6:$W$505,CK$3,実績!$AI$6:$AI$505,"&lt;="&amp;$A100,実績!$AJ$6:$AJ$505,"&gt;"&amp;$A100,実績!$AL$6:$AL$505,"○")&gt;0,1,0))</f>
        <v>0</v>
      </c>
      <c r="CL100" s="39" t="n">
        <f aca="false">IF(CL$4=0,0,IF(COUNTIFS(実績!$W$6:$W$505,CL$3,実績!$AI$6:$AI$505,"&lt;="&amp;$A100,実績!$AJ$6:$AJ$505,"&gt;"&amp;$A100,実績!$AL$6:$AL$505,"○")&gt;0,1,0))</f>
        <v>0</v>
      </c>
      <c r="CM100" s="39" t="n">
        <f aca="false">IF(CM$4=0,0,IF(COUNTIFS(実績!$W$6:$W$505,CM$3,実績!$AI$6:$AI$505,"&lt;="&amp;$A100,実績!$AJ$6:$AJ$505,"&gt;"&amp;$A100,実績!$AL$6:$AL$505,"○")&gt;0,1,0))</f>
        <v>0</v>
      </c>
      <c r="CN100" s="39" t="n">
        <f aca="false">IF(CN$4=0,0,IF(COUNTIFS(実績!$W$6:$W$505,CN$3,実績!$AI$6:$AI$505,"&lt;="&amp;$A100,実績!$AJ$6:$AJ$505,"&gt;"&amp;$A100,実績!$AL$6:$AL$505,"○")&gt;0,1,0))</f>
        <v>0</v>
      </c>
      <c r="CO100" s="39" t="n">
        <f aca="false">IF(CO$4=0,0,IF(COUNTIFS(実績!$W$6:$W$505,CO$3,実績!$AI$6:$AI$505,"&lt;="&amp;$A100,実績!$AJ$6:$AJ$505,"&gt;"&amp;$A100,実績!$AL$6:$AL$505,"○")&gt;0,1,0))</f>
        <v>0</v>
      </c>
      <c r="CP100" s="39" t="n">
        <f aca="false">IF(CP$4=0,0,IF(COUNTIFS(実績!$W$6:$W$505,CP$3,実績!$AI$6:$AI$505,"&lt;="&amp;$A100,実績!$AJ$6:$AJ$505,"&gt;"&amp;$A100,実績!$AL$6:$AL$505,"○")&gt;0,1,0))</f>
        <v>0</v>
      </c>
      <c r="CQ100" s="39" t="n">
        <f aca="false">IF(CQ$4=0,0,IF(COUNTIFS(実績!$W$6:$W$505,CQ$3,実績!$AI$6:$AI$505,"&lt;="&amp;$A100,実績!$AJ$6:$AJ$505,"&gt;"&amp;$A100,実績!$AL$6:$AL$505,"○")&gt;0,1,0))</f>
        <v>0</v>
      </c>
      <c r="CR100" s="39" t="n">
        <f aca="false">IF(CR$4=0,0,IF(COUNTIFS(実績!$W$6:$W$505,CR$3,実績!$AI$6:$AI$505,"&lt;="&amp;$A100,実績!$AJ$6:$AJ$505,"&gt;"&amp;$A100,実績!$AL$6:$AL$505,"○")&gt;0,1,0))</f>
        <v>0</v>
      </c>
      <c r="CS100" s="39" t="n">
        <f aca="false">IF(CS$4=0,0,IF(COUNTIFS(実績!$W$6:$W$505,CS$3,実績!$AI$6:$AI$505,"&lt;="&amp;$A100,実績!$AJ$6:$AJ$505,"&gt;"&amp;$A100,実績!$AL$6:$AL$505,"○")&gt;0,1,0))</f>
        <v>0</v>
      </c>
      <c r="CT100" s="39" t="n">
        <f aca="false">IF(CT$4=0,0,IF(COUNTIFS(実績!$W$6:$W$505,CT$3,実績!$AI$6:$AI$505,"&lt;="&amp;$A100,実績!$AJ$6:$AJ$505,"&gt;"&amp;$A100,実績!$AL$6:$AL$505,"○")&gt;0,1,0))</f>
        <v>0</v>
      </c>
      <c r="CU100" s="39" t="n">
        <f aca="false">IF(CU$4=0,0,IF(COUNTIFS(実績!$W$6:$W$505,CU$3,実績!$AI$6:$AI$505,"&lt;="&amp;$A100,実績!$AJ$6:$AJ$505,"&gt;"&amp;$A100,実績!$AL$6:$AL$505,"○")&gt;0,1,0))</f>
        <v>0</v>
      </c>
      <c r="CV100" s="39" t="n">
        <f aca="false">IF(CV$4=0,0,IF(COUNTIFS(実績!$W$6:$W$505,CV$3,実績!$AI$6:$AI$505,"&lt;="&amp;$A100,実績!$AJ$6:$AJ$505,"&gt;"&amp;$A100,実績!$AL$6:$AL$505,"○")&gt;0,1,0))</f>
        <v>0</v>
      </c>
      <c r="CW100" s="39" t="n">
        <f aca="false">IF(CW$4=0,0,IF(COUNTIFS(実績!$W$6:$W$505,CW$3,実績!$AI$6:$AI$505,"&lt;="&amp;$A100,実績!$AJ$6:$AJ$505,"&gt;"&amp;$A100,実績!$AL$6:$AL$505,"○")&gt;0,1,0))</f>
        <v>0</v>
      </c>
      <c r="CX100" s="39" t="n">
        <f aca="false">IF(CX$4=0,0,IF(COUNTIFS(実績!$W$6:$W$505,CX$3,実績!$AI$6:$AI$505,"&lt;="&amp;$A100,実績!$AJ$6:$AJ$505,"&gt;"&amp;$A100,実績!$AL$6:$AL$505,"○")&gt;0,1,0))</f>
        <v>0</v>
      </c>
      <c r="CY100" s="39" t="n">
        <f aca="false">IF(CY$4=0,0,IF(COUNTIFS(実績!$W$6:$W$505,CY$3,実績!$AI$6:$AI$505,"&lt;="&amp;$A100,実績!$AJ$6:$AJ$505,"&gt;"&amp;$A100,実績!$AL$6:$AL$505,"○")&gt;0,1,0))</f>
        <v>0</v>
      </c>
      <c r="CZ100" s="39" t="n">
        <f aca="false">IF(CZ$4=0,0,IF(COUNTIFS(実績!$W$6:$W$505,CZ$3,実績!$AI$6:$AI$505,"&lt;="&amp;$A100,実績!$AJ$6:$AJ$505,"&gt;"&amp;$A100,実績!$AL$6:$AL$505,"○")&gt;0,1,0))</f>
        <v>0</v>
      </c>
      <c r="DA100" s="39" t="n">
        <f aca="false">IF(DA$4=0,0,IF(COUNTIFS(実績!$W$6:$W$505,DA$3,実績!$AI$6:$AI$505,"&lt;="&amp;$A100,実績!$AJ$6:$AJ$505,"&gt;"&amp;$A100,実績!$AL$6:$AL$505,"○")&gt;0,1,0))</f>
        <v>0</v>
      </c>
      <c r="DB100" s="39" t="n">
        <f aca="false">IF(DB$4=0,0,IF(COUNTIFS(実績!$W$6:$W$505,DB$3,実績!$AI$6:$AI$505,"&lt;="&amp;$A100,実績!$AJ$6:$AJ$505,"&gt;"&amp;$A100,実績!$AL$6:$AL$505,"○")&gt;0,1,0))</f>
        <v>0</v>
      </c>
      <c r="DC100" s="39" t="n">
        <f aca="false">IF(DC$4=0,0,IF(COUNTIFS(実績!$W$6:$W$505,DC$3,実績!$AI$6:$AI$505,"&lt;="&amp;$A100,実績!$AJ$6:$AJ$505,"&gt;"&amp;$A100,実績!$AL$6:$AL$505,"○")&gt;0,1,0))</f>
        <v>0</v>
      </c>
      <c r="DD100" s="39" t="n">
        <f aca="false">IF(DD$4=0,0,IF(COUNTIFS(実績!$W$6:$W$505,DD$3,実績!$AI$6:$AI$505,"&lt;="&amp;$A100,実績!$AJ$6:$AJ$505,"&gt;"&amp;$A100,実績!$AL$6:$AL$505,"○")&gt;0,1,0))</f>
        <v>0</v>
      </c>
      <c r="DE100" s="39" t="n">
        <f aca="false">IF(DE$4=0,0,IF(COUNTIFS(実績!$W$6:$W$505,DE$3,実績!$AI$6:$AI$505,"&lt;="&amp;$A100,実績!$AJ$6:$AJ$505,"&gt;"&amp;$A100,実績!$AL$6:$AL$505,"○")&gt;0,1,0))</f>
        <v>0</v>
      </c>
      <c r="DF100" s="39" t="n">
        <f aca="false">IF(DF$4=0,0,IF(COUNTIFS(実績!$W$6:$W$505,DF$3,実績!$AI$6:$AI$505,"&lt;="&amp;$A100,実績!$AJ$6:$AJ$505,"&gt;"&amp;$A100,実績!$AL$6:$AL$505,"○")&gt;0,1,0))</f>
        <v>0</v>
      </c>
      <c r="DG100" s="39" t="n">
        <f aca="false">IF(DG$4=0,0,IF(COUNTIFS(実績!$W$6:$W$505,DG$3,実績!$AI$6:$AI$505,"&lt;="&amp;$A100,実績!$AJ$6:$AJ$505,"&gt;"&amp;$A100,実績!$AL$6:$AL$505,"○")&gt;0,1,0))</f>
        <v>0</v>
      </c>
      <c r="DH100" s="39" t="n">
        <f aca="false">IF(DH$4=0,0,IF(COUNTIFS(実績!$W$6:$W$505,DH$3,実績!$AI$6:$AI$505,"&lt;="&amp;$A100,実績!$AJ$6:$AJ$505,"&gt;"&amp;$A100,実績!$AL$6:$AL$505,"○")&gt;0,1,0))</f>
        <v>0</v>
      </c>
      <c r="DI100" s="39" t="n">
        <f aca="false">IF(DI$4=0,0,IF(COUNTIFS(実績!$W$6:$W$505,DI$3,実績!$AI$6:$AI$505,"&lt;="&amp;$A100,実績!$AJ$6:$AJ$505,"&gt;"&amp;$A100,実績!$AL$6:$AL$505,"○")&gt;0,1,0))</f>
        <v>0</v>
      </c>
      <c r="DJ100" s="39" t="n">
        <f aca="false">IF(DJ$4=0,0,IF(COUNTIFS(実績!$W$6:$W$505,DJ$3,実績!$AI$6:$AI$505,"&lt;="&amp;$A100,実績!$AJ$6:$AJ$505,"&gt;"&amp;$A100,実績!$AL$6:$AL$505,"○")&gt;0,1,0))</f>
        <v>0</v>
      </c>
      <c r="DK100" s="39" t="n">
        <f aca="false">IF(DK$4=0,0,IF(COUNTIFS(実績!$W$6:$W$505,DK$3,実績!$AI$6:$AI$505,"&lt;="&amp;$A100,実績!$AJ$6:$AJ$505,"&gt;"&amp;$A100,実績!$AL$6:$AL$505,"○")&gt;0,1,0))</f>
        <v>0</v>
      </c>
      <c r="DL100" s="39" t="n">
        <f aca="false">IF(DL$4=0,0,IF(COUNTIFS(実績!$W$6:$W$505,DL$3,実績!$AI$6:$AI$505,"&lt;="&amp;$A100,実績!$AJ$6:$AJ$505,"&gt;"&amp;$A100,実績!$AL$6:$AL$505,"○")&gt;0,1,0))</f>
        <v>0</v>
      </c>
      <c r="DM100" s="39" t="n">
        <f aca="false">IF(DM$4=0,0,IF(COUNTIFS(実績!$W$6:$W$505,DM$3,実績!$AI$6:$AI$505,"&lt;="&amp;$A100,実績!$AJ$6:$AJ$505,"&gt;"&amp;$A100,実績!$AL$6:$AL$505,"○")&gt;0,1,0))</f>
        <v>0</v>
      </c>
      <c r="DN100" s="39" t="n">
        <f aca="false">IF(DN$4=0,0,IF(COUNTIFS(実績!$W$6:$W$505,DN$3,実績!$AI$6:$AI$505,"&lt;="&amp;$A100,実績!$AJ$6:$AJ$505,"&gt;"&amp;$A100,実績!$AL$6:$AL$505,"○")&gt;0,1,0))</f>
        <v>0</v>
      </c>
      <c r="DO100" s="39" t="n">
        <f aca="false">IF(DO$4=0,0,IF(COUNTIFS(実績!$W$6:$W$505,DO$3,実績!$AI$6:$AI$505,"&lt;="&amp;$A100,実績!$AJ$6:$AJ$505,"&gt;"&amp;$A100,実績!$AL$6:$AL$505,"○")&gt;0,1,0))</f>
        <v>0</v>
      </c>
      <c r="DP100" s="39" t="n">
        <f aca="false">IF(DP$4=0,0,IF(COUNTIFS(実績!$W$6:$W$505,DP$3,実績!$AI$6:$AI$505,"&lt;="&amp;$A100,実績!$AJ$6:$AJ$505,"&gt;"&amp;$A100,実績!$AL$6:$AL$505,"○")&gt;0,1,0))</f>
        <v>0</v>
      </c>
      <c r="DQ100" s="39" t="n">
        <f aca="false">IF(DQ$4=0,0,IF(COUNTIFS(実績!$W$6:$W$505,DQ$3,実績!$AI$6:$AI$505,"&lt;="&amp;$A100,実績!$AJ$6:$AJ$505,"&gt;"&amp;$A100,実績!$AL$6:$AL$505,"○")&gt;0,1,0))</f>
        <v>0</v>
      </c>
      <c r="DR100" s="39" t="n">
        <f aca="false">IF(DR$4=0,0,IF(COUNTIFS(実績!$W$6:$W$505,DR$3,実績!$AI$6:$AI$505,"&lt;="&amp;$A100,実績!$AJ$6:$AJ$505,"&gt;"&amp;$A100,実績!$AL$6:$AL$505,"○")&gt;0,1,0))</f>
        <v>0</v>
      </c>
      <c r="DS100" s="39" t="n">
        <f aca="false">SUM(C100:DR100)</f>
        <v>0</v>
      </c>
    </row>
    <row r="101" customFormat="false" ht="15" hidden="false" customHeight="false" outlineLevel="0" collapsed="false">
      <c r="A101" s="0" t="n">
        <v>475</v>
      </c>
      <c r="B101" s="38" t="n">
        <f aca="false">A101/1440</f>
        <v>0.329861111111111</v>
      </c>
      <c r="C101" s="39" t="n">
        <f aca="false">IF(C$4=0,0,IF(COUNTIFS(実績!$W$6:$W$505,C$3,実績!$AI$6:$AI$505,"&lt;="&amp;$A101,実績!$AJ$6:$AJ$505,"&gt;"&amp;$A101,実績!$AL$6:$AL$505,"○")&gt;0,1,0))</f>
        <v>0</v>
      </c>
      <c r="D101" s="39" t="n">
        <f aca="false">IF(D$4=0,0,IF(COUNTIFS(実績!$W$6:$W$505,D$3,実績!$AI$6:$AI$505,"&lt;="&amp;$A101,実績!$AJ$6:$AJ$505,"&gt;"&amp;$A101,実績!$AL$6:$AL$505,"○")&gt;0,1,0))</f>
        <v>0</v>
      </c>
      <c r="E101" s="39" t="n">
        <f aca="false">IF(E$4=0,0,IF(COUNTIFS(実績!$W$6:$W$505,E$3,実績!$AI$6:$AI$505,"&lt;="&amp;$A101,実績!$AJ$6:$AJ$505,"&gt;"&amp;$A101,実績!$AL$6:$AL$505,"○")&gt;0,1,0))</f>
        <v>0</v>
      </c>
      <c r="F101" s="39" t="n">
        <f aca="false">IF(F$4=0,0,IF(COUNTIFS(実績!$W$6:$W$505,F$3,実績!$AI$6:$AI$505,"&lt;="&amp;$A101,実績!$AJ$6:$AJ$505,"&gt;"&amp;$A101,実績!$AL$6:$AL$505,"○")&gt;0,1,0))</f>
        <v>0</v>
      </c>
      <c r="G101" s="39" t="n">
        <f aca="false">IF(G$4=0,0,IF(COUNTIFS(実績!$W$6:$W$505,G$3,実績!$AI$6:$AI$505,"&lt;="&amp;$A101,実績!$AJ$6:$AJ$505,"&gt;"&amp;$A101,実績!$AL$6:$AL$505,"○")&gt;0,1,0))</f>
        <v>0</v>
      </c>
      <c r="H101" s="39" t="n">
        <f aca="false">IF(H$4=0,0,IF(COUNTIFS(実績!$W$6:$W$505,H$3,実績!$AI$6:$AI$505,"&lt;="&amp;$A101,実績!$AJ$6:$AJ$505,"&gt;"&amp;$A101,実績!$AL$6:$AL$505,"○")&gt;0,1,0))</f>
        <v>0</v>
      </c>
      <c r="I101" s="39" t="n">
        <f aca="false">IF(I$4=0,0,IF(COUNTIFS(実績!$W$6:$W$505,I$3,実績!$AI$6:$AI$505,"&lt;="&amp;$A101,実績!$AJ$6:$AJ$505,"&gt;"&amp;$A101,実績!$AL$6:$AL$505,"○")&gt;0,1,0))</f>
        <v>0</v>
      </c>
      <c r="J101" s="39" t="n">
        <f aca="false">IF(J$4=0,0,IF(COUNTIFS(実績!$W$6:$W$505,J$3,実績!$AI$6:$AI$505,"&lt;="&amp;$A101,実績!$AJ$6:$AJ$505,"&gt;"&amp;$A101,実績!$AL$6:$AL$505,"○")&gt;0,1,0))</f>
        <v>0</v>
      </c>
      <c r="K101" s="39" t="n">
        <f aca="false">IF(K$4=0,0,IF(COUNTIFS(実績!$W$6:$W$505,K$3,実績!$AI$6:$AI$505,"&lt;="&amp;$A101,実績!$AJ$6:$AJ$505,"&gt;"&amp;$A101,実績!$AL$6:$AL$505,"○")&gt;0,1,0))</f>
        <v>0</v>
      </c>
      <c r="L101" s="39" t="n">
        <f aca="false">IF(L$4=0,0,IF(COUNTIFS(実績!$W$6:$W$505,L$3,実績!$AI$6:$AI$505,"&lt;="&amp;$A101,実績!$AJ$6:$AJ$505,"&gt;"&amp;$A101,実績!$AL$6:$AL$505,"○")&gt;0,1,0))</f>
        <v>0</v>
      </c>
      <c r="M101" s="39" t="n">
        <f aca="false">IF(M$4=0,0,IF(COUNTIFS(実績!$W$6:$W$505,M$3,実績!$AI$6:$AI$505,"&lt;="&amp;$A101,実績!$AJ$6:$AJ$505,"&gt;"&amp;$A101,実績!$AL$6:$AL$505,"○")&gt;0,1,0))</f>
        <v>0</v>
      </c>
      <c r="N101" s="39" t="n">
        <f aca="false">IF(N$4=0,0,IF(COUNTIFS(実績!$W$6:$W$505,N$3,実績!$AI$6:$AI$505,"&lt;="&amp;$A101,実績!$AJ$6:$AJ$505,"&gt;"&amp;$A101,実績!$AL$6:$AL$505,"○")&gt;0,1,0))</f>
        <v>0</v>
      </c>
      <c r="O101" s="39" t="n">
        <f aca="false">IF(O$4=0,0,IF(COUNTIFS(実績!$W$6:$W$505,O$3,実績!$AI$6:$AI$505,"&lt;="&amp;$A101,実績!$AJ$6:$AJ$505,"&gt;"&amp;$A101,実績!$AL$6:$AL$505,"○")&gt;0,1,0))</f>
        <v>0</v>
      </c>
      <c r="P101" s="39" t="n">
        <f aca="false">IF(P$4=0,0,IF(COUNTIFS(実績!$W$6:$W$505,P$3,実績!$AI$6:$AI$505,"&lt;="&amp;$A101,実績!$AJ$6:$AJ$505,"&gt;"&amp;$A101,実績!$AL$6:$AL$505,"○")&gt;0,1,0))</f>
        <v>0</v>
      </c>
      <c r="Q101" s="39" t="n">
        <f aca="false">IF(Q$4=0,0,IF(COUNTIFS(実績!$W$6:$W$505,Q$3,実績!$AI$6:$AI$505,"&lt;="&amp;$A101,実績!$AJ$6:$AJ$505,"&gt;"&amp;$A101,実績!$AL$6:$AL$505,"○")&gt;0,1,0))</f>
        <v>0</v>
      </c>
      <c r="R101" s="39" t="n">
        <f aca="false">IF(R$4=0,0,IF(COUNTIFS(実績!$W$6:$W$505,R$3,実績!$AI$6:$AI$505,"&lt;="&amp;$A101,実績!$AJ$6:$AJ$505,"&gt;"&amp;$A101,実績!$AL$6:$AL$505,"○")&gt;0,1,0))</f>
        <v>0</v>
      </c>
      <c r="S101" s="39" t="n">
        <f aca="false">IF(S$4=0,0,IF(COUNTIFS(実績!$W$6:$W$505,S$3,実績!$AI$6:$AI$505,"&lt;="&amp;$A101,実績!$AJ$6:$AJ$505,"&gt;"&amp;$A101,実績!$AL$6:$AL$505,"○")&gt;0,1,0))</f>
        <v>0</v>
      </c>
      <c r="T101" s="39" t="n">
        <f aca="false">IF(T$4=0,0,IF(COUNTIFS(実績!$W$6:$W$505,T$3,実績!$AI$6:$AI$505,"&lt;="&amp;$A101,実績!$AJ$6:$AJ$505,"&gt;"&amp;$A101,実績!$AL$6:$AL$505,"○")&gt;0,1,0))</f>
        <v>0</v>
      </c>
      <c r="U101" s="39" t="n">
        <f aca="false">IF(U$4=0,0,IF(COUNTIFS(実績!$W$6:$W$505,U$3,実績!$AI$6:$AI$505,"&lt;="&amp;$A101,実績!$AJ$6:$AJ$505,"&gt;"&amp;$A101,実績!$AL$6:$AL$505,"○")&gt;0,1,0))</f>
        <v>0</v>
      </c>
      <c r="V101" s="39" t="n">
        <f aca="false">IF(V$4=0,0,IF(COUNTIFS(実績!$W$6:$W$505,V$3,実績!$AI$6:$AI$505,"&lt;="&amp;$A101,実績!$AJ$6:$AJ$505,"&gt;"&amp;$A101,実績!$AL$6:$AL$505,"○")&gt;0,1,0))</f>
        <v>0</v>
      </c>
      <c r="W101" s="39" t="n">
        <f aca="false">IF(W$4=0,0,IF(COUNTIFS(実績!$W$6:$W$505,W$3,実績!$AI$6:$AI$505,"&lt;="&amp;$A101,実績!$AJ$6:$AJ$505,"&gt;"&amp;$A101,実績!$AL$6:$AL$505,"○")&gt;0,1,0))</f>
        <v>0</v>
      </c>
      <c r="X101" s="39" t="n">
        <f aca="false">IF(X$4=0,0,IF(COUNTIFS(実績!$W$6:$W$505,X$3,実績!$AI$6:$AI$505,"&lt;="&amp;$A101,実績!$AJ$6:$AJ$505,"&gt;"&amp;$A101,実績!$AL$6:$AL$505,"○")&gt;0,1,0))</f>
        <v>0</v>
      </c>
      <c r="Y101" s="39" t="n">
        <f aca="false">IF(Y$4=0,0,IF(COUNTIFS(実績!$W$6:$W$505,Y$3,実績!$AI$6:$AI$505,"&lt;="&amp;$A101,実績!$AJ$6:$AJ$505,"&gt;"&amp;$A101,実績!$AL$6:$AL$505,"○")&gt;0,1,0))</f>
        <v>0</v>
      </c>
      <c r="Z101" s="39" t="n">
        <f aca="false">IF(Z$4=0,0,IF(COUNTIFS(実績!$W$6:$W$505,Z$3,実績!$AI$6:$AI$505,"&lt;="&amp;$A101,実績!$AJ$6:$AJ$505,"&gt;"&amp;$A101,実績!$AL$6:$AL$505,"○")&gt;0,1,0))</f>
        <v>0</v>
      </c>
      <c r="AA101" s="39" t="n">
        <f aca="false">IF(AA$4=0,0,IF(COUNTIFS(実績!$W$6:$W$505,AA$3,実績!$AI$6:$AI$505,"&lt;="&amp;$A101,実績!$AJ$6:$AJ$505,"&gt;"&amp;$A101,実績!$AL$6:$AL$505,"○")&gt;0,1,0))</f>
        <v>0</v>
      </c>
      <c r="AB101" s="39" t="n">
        <f aca="false">IF(AB$4=0,0,IF(COUNTIFS(実績!$W$6:$W$505,AB$3,実績!$AI$6:$AI$505,"&lt;="&amp;$A101,実績!$AJ$6:$AJ$505,"&gt;"&amp;$A101,実績!$AL$6:$AL$505,"○")&gt;0,1,0))</f>
        <v>0</v>
      </c>
      <c r="AC101" s="39" t="n">
        <f aca="false">IF(AC$4=0,0,IF(COUNTIFS(実績!$W$6:$W$505,AC$3,実績!$AI$6:$AI$505,"&lt;="&amp;$A101,実績!$AJ$6:$AJ$505,"&gt;"&amp;$A101,実績!$AL$6:$AL$505,"○")&gt;0,1,0))</f>
        <v>0</v>
      </c>
      <c r="AD101" s="39" t="n">
        <f aca="false">IF(AD$4=0,0,IF(COUNTIFS(実績!$W$6:$W$505,AD$3,実績!$AI$6:$AI$505,"&lt;="&amp;$A101,実績!$AJ$6:$AJ$505,"&gt;"&amp;$A101,実績!$AL$6:$AL$505,"○")&gt;0,1,0))</f>
        <v>0</v>
      </c>
      <c r="AE101" s="39" t="n">
        <f aca="false">IF(AE$4=0,0,IF(COUNTIFS(実績!$W$6:$W$505,AE$3,実績!$AI$6:$AI$505,"&lt;="&amp;$A101,実績!$AJ$6:$AJ$505,"&gt;"&amp;$A101,実績!$AL$6:$AL$505,"○")&gt;0,1,0))</f>
        <v>0</v>
      </c>
      <c r="AF101" s="39" t="n">
        <f aca="false">IF(AF$4=0,0,IF(COUNTIFS(実績!$W$6:$W$505,AF$3,実績!$AI$6:$AI$505,"&lt;="&amp;$A101,実績!$AJ$6:$AJ$505,"&gt;"&amp;$A101,実績!$AL$6:$AL$505,"○")&gt;0,1,0))</f>
        <v>0</v>
      </c>
      <c r="AG101" s="39" t="n">
        <f aca="false">IF(AG$4=0,0,IF(COUNTIFS(実績!$W$6:$W$505,AG$3,実績!$AI$6:$AI$505,"&lt;="&amp;$A101,実績!$AJ$6:$AJ$505,"&gt;"&amp;$A101,実績!$AL$6:$AL$505,"○")&gt;0,1,0))</f>
        <v>0</v>
      </c>
      <c r="AH101" s="39" t="n">
        <f aca="false">IF(AH$4=0,0,IF(COUNTIFS(実績!$W$6:$W$505,AH$3,実績!$AI$6:$AI$505,"&lt;="&amp;$A101,実績!$AJ$6:$AJ$505,"&gt;"&amp;$A101,実績!$AL$6:$AL$505,"○")&gt;0,1,0))</f>
        <v>0</v>
      </c>
      <c r="AI101" s="39" t="n">
        <f aca="false">IF(AI$4=0,0,IF(COUNTIFS(実績!$W$6:$W$505,AI$3,実績!$AI$6:$AI$505,"&lt;="&amp;$A101,実績!$AJ$6:$AJ$505,"&gt;"&amp;$A101,実績!$AL$6:$AL$505,"○")&gt;0,1,0))</f>
        <v>0</v>
      </c>
      <c r="AJ101" s="39" t="n">
        <f aca="false">IF(AJ$4=0,0,IF(COUNTIFS(実績!$W$6:$W$505,AJ$3,実績!$AI$6:$AI$505,"&lt;="&amp;$A101,実績!$AJ$6:$AJ$505,"&gt;"&amp;$A101,実績!$AL$6:$AL$505,"○")&gt;0,1,0))</f>
        <v>0</v>
      </c>
      <c r="AK101" s="39" t="n">
        <f aca="false">IF(AK$4=0,0,IF(COUNTIFS(実績!$W$6:$W$505,AK$3,実績!$AI$6:$AI$505,"&lt;="&amp;$A101,実績!$AJ$6:$AJ$505,"&gt;"&amp;$A101,実績!$AL$6:$AL$505,"○")&gt;0,1,0))</f>
        <v>0</v>
      </c>
      <c r="AL101" s="39" t="n">
        <f aca="false">IF(AL$4=0,0,IF(COUNTIFS(実績!$W$6:$W$505,AL$3,実績!$AI$6:$AI$505,"&lt;="&amp;$A101,実績!$AJ$6:$AJ$505,"&gt;"&amp;$A101,実績!$AL$6:$AL$505,"○")&gt;0,1,0))</f>
        <v>0</v>
      </c>
      <c r="AM101" s="39" t="n">
        <f aca="false">IF(AM$4=0,0,IF(COUNTIFS(実績!$W$6:$W$505,AM$3,実績!$AI$6:$AI$505,"&lt;="&amp;$A101,実績!$AJ$6:$AJ$505,"&gt;"&amp;$A101,実績!$AL$6:$AL$505,"○")&gt;0,1,0))</f>
        <v>0</v>
      </c>
      <c r="AN101" s="39" t="n">
        <f aca="false">IF(AN$4=0,0,IF(COUNTIFS(実績!$W$6:$W$505,AN$3,実績!$AI$6:$AI$505,"&lt;="&amp;$A101,実績!$AJ$6:$AJ$505,"&gt;"&amp;$A101,実績!$AL$6:$AL$505,"○")&gt;0,1,0))</f>
        <v>0</v>
      </c>
      <c r="AO101" s="39" t="n">
        <f aca="false">IF(AO$4=0,0,IF(COUNTIFS(実績!$W$6:$W$505,AO$3,実績!$AI$6:$AI$505,"&lt;="&amp;$A101,実績!$AJ$6:$AJ$505,"&gt;"&amp;$A101,実績!$AL$6:$AL$505,"○")&gt;0,1,0))</f>
        <v>0</v>
      </c>
      <c r="AP101" s="39" t="n">
        <f aca="false">IF(AP$4=0,0,IF(COUNTIFS(実績!$W$6:$W$505,AP$3,実績!$AI$6:$AI$505,"&lt;="&amp;$A101,実績!$AJ$6:$AJ$505,"&gt;"&amp;$A101,実績!$AL$6:$AL$505,"○")&gt;0,1,0))</f>
        <v>0</v>
      </c>
      <c r="AQ101" s="39" t="n">
        <f aca="false">IF(AQ$4=0,0,IF(COUNTIFS(実績!$W$6:$W$505,AQ$3,実績!$AI$6:$AI$505,"&lt;="&amp;$A101,実績!$AJ$6:$AJ$505,"&gt;"&amp;$A101,実績!$AL$6:$AL$505,"○")&gt;0,1,0))</f>
        <v>0</v>
      </c>
      <c r="AR101" s="39" t="n">
        <f aca="false">IF(AR$4=0,0,IF(COUNTIFS(実績!$W$6:$W$505,AR$3,実績!$AI$6:$AI$505,"&lt;="&amp;$A101,実績!$AJ$6:$AJ$505,"&gt;"&amp;$A101,実績!$AL$6:$AL$505,"○")&gt;0,1,0))</f>
        <v>0</v>
      </c>
      <c r="AS101" s="39" t="n">
        <f aca="false">IF(AS$4=0,0,IF(COUNTIFS(実績!$W$6:$W$505,AS$3,実績!$AI$6:$AI$505,"&lt;="&amp;$A101,実績!$AJ$6:$AJ$505,"&gt;"&amp;$A101,実績!$AL$6:$AL$505,"○")&gt;0,1,0))</f>
        <v>0</v>
      </c>
      <c r="AT101" s="39" t="n">
        <f aca="false">IF(AT$4=0,0,IF(COUNTIFS(実績!$W$6:$W$505,AT$3,実績!$AI$6:$AI$505,"&lt;="&amp;$A101,実績!$AJ$6:$AJ$505,"&gt;"&amp;$A101,実績!$AL$6:$AL$505,"○")&gt;0,1,0))</f>
        <v>0</v>
      </c>
      <c r="AU101" s="39" t="n">
        <f aca="false">IF(AU$4=0,0,IF(COUNTIFS(実績!$W$6:$W$505,AU$3,実績!$AI$6:$AI$505,"&lt;="&amp;$A101,実績!$AJ$6:$AJ$505,"&gt;"&amp;$A101,実績!$AL$6:$AL$505,"○")&gt;0,1,0))</f>
        <v>0</v>
      </c>
      <c r="AV101" s="39" t="n">
        <f aca="false">IF(AV$4=0,0,IF(COUNTIFS(実績!$W$6:$W$505,AV$3,実績!$AI$6:$AI$505,"&lt;="&amp;$A101,実績!$AJ$6:$AJ$505,"&gt;"&amp;$A101,実績!$AL$6:$AL$505,"○")&gt;0,1,0))</f>
        <v>0</v>
      </c>
      <c r="AW101" s="39" t="n">
        <f aca="false">IF(AW$4=0,0,IF(COUNTIFS(実績!$W$6:$W$505,AW$3,実績!$AI$6:$AI$505,"&lt;="&amp;$A101,実績!$AJ$6:$AJ$505,"&gt;"&amp;$A101,実績!$AL$6:$AL$505,"○")&gt;0,1,0))</f>
        <v>0</v>
      </c>
      <c r="AX101" s="39" t="n">
        <f aca="false">IF(AX$4=0,0,IF(COUNTIFS(実績!$W$6:$W$505,AX$3,実績!$AI$6:$AI$505,"&lt;="&amp;$A101,実績!$AJ$6:$AJ$505,"&gt;"&amp;$A101,実績!$AL$6:$AL$505,"○")&gt;0,1,0))</f>
        <v>0</v>
      </c>
      <c r="AY101" s="39" t="n">
        <f aca="false">IF(AY$4=0,0,IF(COUNTIFS(実績!$W$6:$W$505,AY$3,実績!$AI$6:$AI$505,"&lt;="&amp;$A101,実績!$AJ$6:$AJ$505,"&gt;"&amp;$A101,実績!$AL$6:$AL$505,"○")&gt;0,1,0))</f>
        <v>0</v>
      </c>
      <c r="AZ101" s="39" t="n">
        <f aca="false">IF(AZ$4=0,0,IF(COUNTIFS(実績!$W$6:$W$505,AZ$3,実績!$AI$6:$AI$505,"&lt;="&amp;$A101,実績!$AJ$6:$AJ$505,"&gt;"&amp;$A101,実績!$AL$6:$AL$505,"○")&gt;0,1,0))</f>
        <v>0</v>
      </c>
      <c r="BA101" s="39" t="n">
        <f aca="false">IF(BA$4=0,0,IF(COUNTIFS(実績!$W$6:$W$505,BA$3,実績!$AI$6:$AI$505,"&lt;="&amp;$A101,実績!$AJ$6:$AJ$505,"&gt;"&amp;$A101,実績!$AL$6:$AL$505,"○")&gt;0,1,0))</f>
        <v>0</v>
      </c>
      <c r="BB101" s="39" t="n">
        <f aca="false">IF(BB$4=0,0,IF(COUNTIFS(実績!$W$6:$W$505,BB$3,実績!$AI$6:$AI$505,"&lt;="&amp;$A101,実績!$AJ$6:$AJ$505,"&gt;"&amp;$A101,実績!$AL$6:$AL$505,"○")&gt;0,1,0))</f>
        <v>0</v>
      </c>
      <c r="BC101" s="39" t="n">
        <f aca="false">IF(BC$4=0,0,IF(COUNTIFS(実績!$W$6:$W$505,BC$3,実績!$AI$6:$AI$505,"&lt;="&amp;$A101,実績!$AJ$6:$AJ$505,"&gt;"&amp;$A101,実績!$AL$6:$AL$505,"○")&gt;0,1,0))</f>
        <v>0</v>
      </c>
      <c r="BD101" s="39" t="n">
        <f aca="false">IF(BD$4=0,0,IF(COUNTIFS(実績!$W$6:$W$505,BD$3,実績!$AI$6:$AI$505,"&lt;="&amp;$A101,実績!$AJ$6:$AJ$505,"&gt;"&amp;$A101,実績!$AL$6:$AL$505,"○")&gt;0,1,0))</f>
        <v>0</v>
      </c>
      <c r="BE101" s="39" t="n">
        <f aca="false">IF(BE$4=0,0,IF(COUNTIFS(実績!$W$6:$W$505,BE$3,実績!$AI$6:$AI$505,"&lt;="&amp;$A101,実績!$AJ$6:$AJ$505,"&gt;"&amp;$A101,実績!$AL$6:$AL$505,"○")&gt;0,1,0))</f>
        <v>0</v>
      </c>
      <c r="BF101" s="39" t="n">
        <f aca="false">IF(BF$4=0,0,IF(COUNTIFS(実績!$W$6:$W$505,BF$3,実績!$AI$6:$AI$505,"&lt;="&amp;$A101,実績!$AJ$6:$AJ$505,"&gt;"&amp;$A101,実績!$AL$6:$AL$505,"○")&gt;0,1,0))</f>
        <v>0</v>
      </c>
      <c r="BG101" s="39" t="n">
        <f aca="false">IF(BG$4=0,0,IF(COUNTIFS(実績!$W$6:$W$505,BG$3,実績!$AI$6:$AI$505,"&lt;="&amp;$A101,実績!$AJ$6:$AJ$505,"&gt;"&amp;$A101,実績!$AL$6:$AL$505,"○")&gt;0,1,0))</f>
        <v>0</v>
      </c>
      <c r="BH101" s="39" t="n">
        <f aca="false">IF(BH$4=0,0,IF(COUNTIFS(実績!$W$6:$W$505,BH$3,実績!$AI$6:$AI$505,"&lt;="&amp;$A101,実績!$AJ$6:$AJ$505,"&gt;"&amp;$A101,実績!$AL$6:$AL$505,"○")&gt;0,1,0))</f>
        <v>0</v>
      </c>
      <c r="BI101" s="39" t="n">
        <f aca="false">IF(BI$4=0,0,IF(COUNTIFS(実績!$W$6:$W$505,BI$3,実績!$AI$6:$AI$505,"&lt;="&amp;$A101,実績!$AJ$6:$AJ$505,"&gt;"&amp;$A101,実績!$AL$6:$AL$505,"○")&gt;0,1,0))</f>
        <v>0</v>
      </c>
      <c r="BJ101" s="39" t="n">
        <f aca="false">IF(BJ$4=0,0,IF(COUNTIFS(実績!$W$6:$W$505,BJ$3,実績!$AI$6:$AI$505,"&lt;="&amp;$A101,実績!$AJ$6:$AJ$505,"&gt;"&amp;$A101,実績!$AL$6:$AL$505,"○")&gt;0,1,0))</f>
        <v>0</v>
      </c>
      <c r="BK101" s="39" t="n">
        <f aca="false">IF(BK$4=0,0,IF(COUNTIFS(実績!$W$6:$W$505,BK$3,実績!$AI$6:$AI$505,"&lt;="&amp;$A101,実績!$AJ$6:$AJ$505,"&gt;"&amp;$A101,実績!$AL$6:$AL$505,"○")&gt;0,1,0))</f>
        <v>0</v>
      </c>
      <c r="BL101" s="39" t="n">
        <f aca="false">IF(BL$4=0,0,IF(COUNTIFS(実績!$W$6:$W$505,BL$3,実績!$AI$6:$AI$505,"&lt;="&amp;$A101,実績!$AJ$6:$AJ$505,"&gt;"&amp;$A101,実績!$AL$6:$AL$505,"○")&gt;0,1,0))</f>
        <v>0</v>
      </c>
      <c r="BM101" s="39" t="n">
        <f aca="false">IF(BM$4=0,0,IF(COUNTIFS(実績!$W$6:$W$505,BM$3,実績!$AI$6:$AI$505,"&lt;="&amp;$A101,実績!$AJ$6:$AJ$505,"&gt;"&amp;$A101,実績!$AL$6:$AL$505,"○")&gt;0,1,0))</f>
        <v>0</v>
      </c>
      <c r="BN101" s="39" t="n">
        <f aca="false">IF(BN$4=0,0,IF(COUNTIFS(実績!$W$6:$W$505,BN$3,実績!$AI$6:$AI$505,"&lt;="&amp;$A101,実績!$AJ$6:$AJ$505,"&gt;"&amp;$A101,実績!$AL$6:$AL$505,"○")&gt;0,1,0))</f>
        <v>0</v>
      </c>
      <c r="BO101" s="39" t="n">
        <f aca="false">IF(BO$4=0,0,IF(COUNTIFS(実績!$W$6:$W$505,BO$3,実績!$AI$6:$AI$505,"&lt;="&amp;$A101,実績!$AJ$6:$AJ$505,"&gt;"&amp;$A101,実績!$AL$6:$AL$505,"○")&gt;0,1,0))</f>
        <v>0</v>
      </c>
      <c r="BP101" s="39" t="n">
        <f aca="false">IF(BP$4=0,0,IF(COUNTIFS(実績!$W$6:$W$505,BP$3,実績!$AI$6:$AI$505,"&lt;="&amp;$A101,実績!$AJ$6:$AJ$505,"&gt;"&amp;$A101,実績!$AL$6:$AL$505,"○")&gt;0,1,0))</f>
        <v>0</v>
      </c>
      <c r="BQ101" s="39" t="n">
        <f aca="false">IF(BQ$4=0,0,IF(COUNTIFS(実績!$W$6:$W$505,BQ$3,実績!$AI$6:$AI$505,"&lt;="&amp;$A101,実績!$AJ$6:$AJ$505,"&gt;"&amp;$A101,実績!$AL$6:$AL$505,"○")&gt;0,1,0))</f>
        <v>0</v>
      </c>
      <c r="BR101" s="39" t="n">
        <f aca="false">IF(BR$4=0,0,IF(COUNTIFS(実績!$W$6:$W$505,BR$3,実績!$AI$6:$AI$505,"&lt;="&amp;$A101,実績!$AJ$6:$AJ$505,"&gt;"&amp;$A101,実績!$AL$6:$AL$505,"○")&gt;0,1,0))</f>
        <v>0</v>
      </c>
      <c r="BS101" s="39" t="n">
        <f aca="false">IF(BS$4=0,0,IF(COUNTIFS(実績!$W$6:$W$505,BS$3,実績!$AI$6:$AI$505,"&lt;="&amp;$A101,実績!$AJ$6:$AJ$505,"&gt;"&amp;$A101,実績!$AL$6:$AL$505,"○")&gt;0,1,0))</f>
        <v>0</v>
      </c>
      <c r="BT101" s="39" t="n">
        <f aca="false">IF(BT$4=0,0,IF(COUNTIFS(実績!$W$6:$W$505,BT$3,実績!$AI$6:$AI$505,"&lt;="&amp;$A101,実績!$AJ$6:$AJ$505,"&gt;"&amp;$A101,実績!$AL$6:$AL$505,"○")&gt;0,1,0))</f>
        <v>0</v>
      </c>
      <c r="BU101" s="39" t="n">
        <f aca="false">IF(BU$4=0,0,IF(COUNTIFS(実績!$W$6:$W$505,BU$3,実績!$AI$6:$AI$505,"&lt;="&amp;$A101,実績!$AJ$6:$AJ$505,"&gt;"&amp;$A101,実績!$AL$6:$AL$505,"○")&gt;0,1,0))</f>
        <v>0</v>
      </c>
      <c r="BV101" s="39" t="n">
        <f aca="false">IF(BV$4=0,0,IF(COUNTIFS(実績!$W$6:$W$505,BV$3,実績!$AI$6:$AI$505,"&lt;="&amp;$A101,実績!$AJ$6:$AJ$505,"&gt;"&amp;$A101,実績!$AL$6:$AL$505,"○")&gt;0,1,0))</f>
        <v>0</v>
      </c>
      <c r="BW101" s="39" t="n">
        <f aca="false">IF(BW$4=0,0,IF(COUNTIFS(実績!$W$6:$W$505,BW$3,実績!$AI$6:$AI$505,"&lt;="&amp;$A101,実績!$AJ$6:$AJ$505,"&gt;"&amp;$A101,実績!$AL$6:$AL$505,"○")&gt;0,1,0))</f>
        <v>0</v>
      </c>
      <c r="BX101" s="39" t="n">
        <f aca="false">IF(BX$4=0,0,IF(COUNTIFS(実績!$W$6:$W$505,BX$3,実績!$AI$6:$AI$505,"&lt;="&amp;$A101,実績!$AJ$6:$AJ$505,"&gt;"&amp;$A101,実績!$AL$6:$AL$505,"○")&gt;0,1,0))</f>
        <v>0</v>
      </c>
      <c r="BY101" s="39" t="n">
        <f aca="false">IF(BY$4=0,0,IF(COUNTIFS(実績!$W$6:$W$505,BY$3,実績!$AI$6:$AI$505,"&lt;="&amp;$A101,実績!$AJ$6:$AJ$505,"&gt;"&amp;$A101,実績!$AL$6:$AL$505,"○")&gt;0,1,0))</f>
        <v>0</v>
      </c>
      <c r="BZ101" s="39" t="n">
        <f aca="false">IF(BZ$4=0,0,IF(COUNTIFS(実績!$W$6:$W$505,BZ$3,実績!$AI$6:$AI$505,"&lt;="&amp;$A101,実績!$AJ$6:$AJ$505,"&gt;"&amp;$A101,実績!$AL$6:$AL$505,"○")&gt;0,1,0))</f>
        <v>0</v>
      </c>
      <c r="CA101" s="39" t="n">
        <f aca="false">IF(CA$4=0,0,IF(COUNTIFS(実績!$W$6:$W$505,CA$3,実績!$AI$6:$AI$505,"&lt;="&amp;$A101,実績!$AJ$6:$AJ$505,"&gt;"&amp;$A101,実績!$AL$6:$AL$505,"○")&gt;0,1,0))</f>
        <v>0</v>
      </c>
      <c r="CB101" s="39" t="n">
        <f aca="false">IF(CB$4=0,0,IF(COUNTIFS(実績!$W$6:$W$505,CB$3,実績!$AI$6:$AI$505,"&lt;="&amp;$A101,実績!$AJ$6:$AJ$505,"&gt;"&amp;$A101,実績!$AL$6:$AL$505,"○")&gt;0,1,0))</f>
        <v>0</v>
      </c>
      <c r="CC101" s="39" t="n">
        <f aca="false">IF(CC$4=0,0,IF(COUNTIFS(実績!$W$6:$W$505,CC$3,実績!$AI$6:$AI$505,"&lt;="&amp;$A101,実績!$AJ$6:$AJ$505,"&gt;"&amp;$A101,実績!$AL$6:$AL$505,"○")&gt;0,1,0))</f>
        <v>0</v>
      </c>
      <c r="CD101" s="39" t="n">
        <f aca="false">IF(CD$4=0,0,IF(COUNTIFS(実績!$W$6:$W$505,CD$3,実績!$AI$6:$AI$505,"&lt;="&amp;$A101,実績!$AJ$6:$AJ$505,"&gt;"&amp;$A101,実績!$AL$6:$AL$505,"○")&gt;0,1,0))</f>
        <v>0</v>
      </c>
      <c r="CE101" s="39" t="n">
        <f aca="false">IF(CE$4=0,0,IF(COUNTIFS(実績!$W$6:$W$505,CE$3,実績!$AI$6:$AI$505,"&lt;="&amp;$A101,実績!$AJ$6:$AJ$505,"&gt;"&amp;$A101,実績!$AL$6:$AL$505,"○")&gt;0,1,0))</f>
        <v>0</v>
      </c>
      <c r="CF101" s="39" t="n">
        <f aca="false">IF(CF$4=0,0,IF(COUNTIFS(実績!$W$6:$W$505,CF$3,実績!$AI$6:$AI$505,"&lt;="&amp;$A101,実績!$AJ$6:$AJ$505,"&gt;"&amp;$A101,実績!$AL$6:$AL$505,"○")&gt;0,1,0))</f>
        <v>0</v>
      </c>
      <c r="CG101" s="39" t="n">
        <f aca="false">IF(CG$4=0,0,IF(COUNTIFS(実績!$W$6:$W$505,CG$3,実績!$AI$6:$AI$505,"&lt;="&amp;$A101,実績!$AJ$6:$AJ$505,"&gt;"&amp;$A101,実績!$AL$6:$AL$505,"○")&gt;0,1,0))</f>
        <v>0</v>
      </c>
      <c r="CH101" s="39" t="n">
        <f aca="false">IF(CH$4=0,0,IF(COUNTIFS(実績!$W$6:$W$505,CH$3,実績!$AI$6:$AI$505,"&lt;="&amp;$A101,実績!$AJ$6:$AJ$505,"&gt;"&amp;$A101,実績!$AL$6:$AL$505,"○")&gt;0,1,0))</f>
        <v>0</v>
      </c>
      <c r="CI101" s="39" t="n">
        <f aca="false">IF(CI$4=0,0,IF(COUNTIFS(実績!$W$6:$W$505,CI$3,実績!$AI$6:$AI$505,"&lt;="&amp;$A101,実績!$AJ$6:$AJ$505,"&gt;"&amp;$A101,実績!$AL$6:$AL$505,"○")&gt;0,1,0))</f>
        <v>0</v>
      </c>
      <c r="CJ101" s="39" t="n">
        <f aca="false">IF(CJ$4=0,0,IF(COUNTIFS(実績!$W$6:$W$505,CJ$3,実績!$AI$6:$AI$505,"&lt;="&amp;$A101,実績!$AJ$6:$AJ$505,"&gt;"&amp;$A101,実績!$AL$6:$AL$505,"○")&gt;0,1,0))</f>
        <v>0</v>
      </c>
      <c r="CK101" s="39" t="n">
        <f aca="false">IF(CK$4=0,0,IF(COUNTIFS(実績!$W$6:$W$505,CK$3,実績!$AI$6:$AI$505,"&lt;="&amp;$A101,実績!$AJ$6:$AJ$505,"&gt;"&amp;$A101,実績!$AL$6:$AL$505,"○")&gt;0,1,0))</f>
        <v>0</v>
      </c>
      <c r="CL101" s="39" t="n">
        <f aca="false">IF(CL$4=0,0,IF(COUNTIFS(実績!$W$6:$W$505,CL$3,実績!$AI$6:$AI$505,"&lt;="&amp;$A101,実績!$AJ$6:$AJ$505,"&gt;"&amp;$A101,実績!$AL$6:$AL$505,"○")&gt;0,1,0))</f>
        <v>0</v>
      </c>
      <c r="CM101" s="39" t="n">
        <f aca="false">IF(CM$4=0,0,IF(COUNTIFS(実績!$W$6:$W$505,CM$3,実績!$AI$6:$AI$505,"&lt;="&amp;$A101,実績!$AJ$6:$AJ$505,"&gt;"&amp;$A101,実績!$AL$6:$AL$505,"○")&gt;0,1,0))</f>
        <v>0</v>
      </c>
      <c r="CN101" s="39" t="n">
        <f aca="false">IF(CN$4=0,0,IF(COUNTIFS(実績!$W$6:$W$505,CN$3,実績!$AI$6:$AI$505,"&lt;="&amp;$A101,実績!$AJ$6:$AJ$505,"&gt;"&amp;$A101,実績!$AL$6:$AL$505,"○")&gt;0,1,0))</f>
        <v>0</v>
      </c>
      <c r="CO101" s="39" t="n">
        <f aca="false">IF(CO$4=0,0,IF(COUNTIFS(実績!$W$6:$W$505,CO$3,実績!$AI$6:$AI$505,"&lt;="&amp;$A101,実績!$AJ$6:$AJ$505,"&gt;"&amp;$A101,実績!$AL$6:$AL$505,"○")&gt;0,1,0))</f>
        <v>0</v>
      </c>
      <c r="CP101" s="39" t="n">
        <f aca="false">IF(CP$4=0,0,IF(COUNTIFS(実績!$W$6:$W$505,CP$3,実績!$AI$6:$AI$505,"&lt;="&amp;$A101,実績!$AJ$6:$AJ$505,"&gt;"&amp;$A101,実績!$AL$6:$AL$505,"○")&gt;0,1,0))</f>
        <v>0</v>
      </c>
      <c r="CQ101" s="39" t="n">
        <f aca="false">IF(CQ$4=0,0,IF(COUNTIFS(実績!$W$6:$W$505,CQ$3,実績!$AI$6:$AI$505,"&lt;="&amp;$A101,実績!$AJ$6:$AJ$505,"&gt;"&amp;$A101,実績!$AL$6:$AL$505,"○")&gt;0,1,0))</f>
        <v>0</v>
      </c>
      <c r="CR101" s="39" t="n">
        <f aca="false">IF(CR$4=0,0,IF(COUNTIFS(実績!$W$6:$W$505,CR$3,実績!$AI$6:$AI$505,"&lt;="&amp;$A101,実績!$AJ$6:$AJ$505,"&gt;"&amp;$A101,実績!$AL$6:$AL$505,"○")&gt;0,1,0))</f>
        <v>0</v>
      </c>
      <c r="CS101" s="39" t="n">
        <f aca="false">IF(CS$4=0,0,IF(COUNTIFS(実績!$W$6:$W$505,CS$3,実績!$AI$6:$AI$505,"&lt;="&amp;$A101,実績!$AJ$6:$AJ$505,"&gt;"&amp;$A101,実績!$AL$6:$AL$505,"○")&gt;0,1,0))</f>
        <v>0</v>
      </c>
      <c r="CT101" s="39" t="n">
        <f aca="false">IF(CT$4=0,0,IF(COUNTIFS(実績!$W$6:$W$505,CT$3,実績!$AI$6:$AI$505,"&lt;="&amp;$A101,実績!$AJ$6:$AJ$505,"&gt;"&amp;$A101,実績!$AL$6:$AL$505,"○")&gt;0,1,0))</f>
        <v>0</v>
      </c>
      <c r="CU101" s="39" t="n">
        <f aca="false">IF(CU$4=0,0,IF(COUNTIFS(実績!$W$6:$W$505,CU$3,実績!$AI$6:$AI$505,"&lt;="&amp;$A101,実績!$AJ$6:$AJ$505,"&gt;"&amp;$A101,実績!$AL$6:$AL$505,"○")&gt;0,1,0))</f>
        <v>0</v>
      </c>
      <c r="CV101" s="39" t="n">
        <f aca="false">IF(CV$4=0,0,IF(COUNTIFS(実績!$W$6:$W$505,CV$3,実績!$AI$6:$AI$505,"&lt;="&amp;$A101,実績!$AJ$6:$AJ$505,"&gt;"&amp;$A101,実績!$AL$6:$AL$505,"○")&gt;0,1,0))</f>
        <v>0</v>
      </c>
      <c r="CW101" s="39" t="n">
        <f aca="false">IF(CW$4=0,0,IF(COUNTIFS(実績!$W$6:$W$505,CW$3,実績!$AI$6:$AI$505,"&lt;="&amp;$A101,実績!$AJ$6:$AJ$505,"&gt;"&amp;$A101,実績!$AL$6:$AL$505,"○")&gt;0,1,0))</f>
        <v>0</v>
      </c>
      <c r="CX101" s="39" t="n">
        <f aca="false">IF(CX$4=0,0,IF(COUNTIFS(実績!$W$6:$W$505,CX$3,実績!$AI$6:$AI$505,"&lt;="&amp;$A101,実績!$AJ$6:$AJ$505,"&gt;"&amp;$A101,実績!$AL$6:$AL$505,"○")&gt;0,1,0))</f>
        <v>0</v>
      </c>
      <c r="CY101" s="39" t="n">
        <f aca="false">IF(CY$4=0,0,IF(COUNTIFS(実績!$W$6:$W$505,CY$3,実績!$AI$6:$AI$505,"&lt;="&amp;$A101,実績!$AJ$6:$AJ$505,"&gt;"&amp;$A101,実績!$AL$6:$AL$505,"○")&gt;0,1,0))</f>
        <v>0</v>
      </c>
      <c r="CZ101" s="39" t="n">
        <f aca="false">IF(CZ$4=0,0,IF(COUNTIFS(実績!$W$6:$W$505,CZ$3,実績!$AI$6:$AI$505,"&lt;="&amp;$A101,実績!$AJ$6:$AJ$505,"&gt;"&amp;$A101,実績!$AL$6:$AL$505,"○")&gt;0,1,0))</f>
        <v>0</v>
      </c>
      <c r="DA101" s="39" t="n">
        <f aca="false">IF(DA$4=0,0,IF(COUNTIFS(実績!$W$6:$W$505,DA$3,実績!$AI$6:$AI$505,"&lt;="&amp;$A101,実績!$AJ$6:$AJ$505,"&gt;"&amp;$A101,実績!$AL$6:$AL$505,"○")&gt;0,1,0))</f>
        <v>0</v>
      </c>
      <c r="DB101" s="39" t="n">
        <f aca="false">IF(DB$4=0,0,IF(COUNTIFS(実績!$W$6:$W$505,DB$3,実績!$AI$6:$AI$505,"&lt;="&amp;$A101,実績!$AJ$6:$AJ$505,"&gt;"&amp;$A101,実績!$AL$6:$AL$505,"○")&gt;0,1,0))</f>
        <v>0</v>
      </c>
      <c r="DC101" s="39" t="n">
        <f aca="false">IF(DC$4=0,0,IF(COUNTIFS(実績!$W$6:$W$505,DC$3,実績!$AI$6:$AI$505,"&lt;="&amp;$A101,実績!$AJ$6:$AJ$505,"&gt;"&amp;$A101,実績!$AL$6:$AL$505,"○")&gt;0,1,0))</f>
        <v>0</v>
      </c>
      <c r="DD101" s="39" t="n">
        <f aca="false">IF(DD$4=0,0,IF(COUNTIFS(実績!$W$6:$W$505,DD$3,実績!$AI$6:$AI$505,"&lt;="&amp;$A101,実績!$AJ$6:$AJ$505,"&gt;"&amp;$A101,実績!$AL$6:$AL$505,"○")&gt;0,1,0))</f>
        <v>0</v>
      </c>
      <c r="DE101" s="39" t="n">
        <f aca="false">IF(DE$4=0,0,IF(COUNTIFS(実績!$W$6:$W$505,DE$3,実績!$AI$6:$AI$505,"&lt;="&amp;$A101,実績!$AJ$6:$AJ$505,"&gt;"&amp;$A101,実績!$AL$6:$AL$505,"○")&gt;0,1,0))</f>
        <v>0</v>
      </c>
      <c r="DF101" s="39" t="n">
        <f aca="false">IF(DF$4=0,0,IF(COUNTIFS(実績!$W$6:$W$505,DF$3,実績!$AI$6:$AI$505,"&lt;="&amp;$A101,実績!$AJ$6:$AJ$505,"&gt;"&amp;$A101,実績!$AL$6:$AL$505,"○")&gt;0,1,0))</f>
        <v>0</v>
      </c>
      <c r="DG101" s="39" t="n">
        <f aca="false">IF(DG$4=0,0,IF(COUNTIFS(実績!$W$6:$W$505,DG$3,実績!$AI$6:$AI$505,"&lt;="&amp;$A101,実績!$AJ$6:$AJ$505,"&gt;"&amp;$A101,実績!$AL$6:$AL$505,"○")&gt;0,1,0))</f>
        <v>0</v>
      </c>
      <c r="DH101" s="39" t="n">
        <f aca="false">IF(DH$4=0,0,IF(COUNTIFS(実績!$W$6:$W$505,DH$3,実績!$AI$6:$AI$505,"&lt;="&amp;$A101,実績!$AJ$6:$AJ$505,"&gt;"&amp;$A101,実績!$AL$6:$AL$505,"○")&gt;0,1,0))</f>
        <v>0</v>
      </c>
      <c r="DI101" s="39" t="n">
        <f aca="false">IF(DI$4=0,0,IF(COUNTIFS(実績!$W$6:$W$505,DI$3,実績!$AI$6:$AI$505,"&lt;="&amp;$A101,実績!$AJ$6:$AJ$505,"&gt;"&amp;$A101,実績!$AL$6:$AL$505,"○")&gt;0,1,0))</f>
        <v>0</v>
      </c>
      <c r="DJ101" s="39" t="n">
        <f aca="false">IF(DJ$4=0,0,IF(COUNTIFS(実績!$W$6:$W$505,DJ$3,実績!$AI$6:$AI$505,"&lt;="&amp;$A101,実績!$AJ$6:$AJ$505,"&gt;"&amp;$A101,実績!$AL$6:$AL$505,"○")&gt;0,1,0))</f>
        <v>0</v>
      </c>
      <c r="DK101" s="39" t="n">
        <f aca="false">IF(DK$4=0,0,IF(COUNTIFS(実績!$W$6:$W$505,DK$3,実績!$AI$6:$AI$505,"&lt;="&amp;$A101,実績!$AJ$6:$AJ$505,"&gt;"&amp;$A101,実績!$AL$6:$AL$505,"○")&gt;0,1,0))</f>
        <v>0</v>
      </c>
      <c r="DL101" s="39" t="n">
        <f aca="false">IF(DL$4=0,0,IF(COUNTIFS(実績!$W$6:$W$505,DL$3,実績!$AI$6:$AI$505,"&lt;="&amp;$A101,実績!$AJ$6:$AJ$505,"&gt;"&amp;$A101,実績!$AL$6:$AL$505,"○")&gt;0,1,0))</f>
        <v>0</v>
      </c>
      <c r="DM101" s="39" t="n">
        <f aca="false">IF(DM$4=0,0,IF(COUNTIFS(実績!$W$6:$W$505,DM$3,実績!$AI$6:$AI$505,"&lt;="&amp;$A101,実績!$AJ$6:$AJ$505,"&gt;"&amp;$A101,実績!$AL$6:$AL$505,"○")&gt;0,1,0))</f>
        <v>0</v>
      </c>
      <c r="DN101" s="39" t="n">
        <f aca="false">IF(DN$4=0,0,IF(COUNTIFS(実績!$W$6:$W$505,DN$3,実績!$AI$6:$AI$505,"&lt;="&amp;$A101,実績!$AJ$6:$AJ$505,"&gt;"&amp;$A101,実績!$AL$6:$AL$505,"○")&gt;0,1,0))</f>
        <v>0</v>
      </c>
      <c r="DO101" s="39" t="n">
        <f aca="false">IF(DO$4=0,0,IF(COUNTIFS(実績!$W$6:$W$505,DO$3,実績!$AI$6:$AI$505,"&lt;="&amp;$A101,実績!$AJ$6:$AJ$505,"&gt;"&amp;$A101,実績!$AL$6:$AL$505,"○")&gt;0,1,0))</f>
        <v>0</v>
      </c>
      <c r="DP101" s="39" t="n">
        <f aca="false">IF(DP$4=0,0,IF(COUNTIFS(実績!$W$6:$W$505,DP$3,実績!$AI$6:$AI$505,"&lt;="&amp;$A101,実績!$AJ$6:$AJ$505,"&gt;"&amp;$A101,実績!$AL$6:$AL$505,"○")&gt;0,1,0))</f>
        <v>0</v>
      </c>
      <c r="DQ101" s="39" t="n">
        <f aca="false">IF(DQ$4=0,0,IF(COUNTIFS(実績!$W$6:$W$505,DQ$3,実績!$AI$6:$AI$505,"&lt;="&amp;$A101,実績!$AJ$6:$AJ$505,"&gt;"&amp;$A101,実績!$AL$6:$AL$505,"○")&gt;0,1,0))</f>
        <v>0</v>
      </c>
      <c r="DR101" s="39" t="n">
        <f aca="false">IF(DR$4=0,0,IF(COUNTIFS(実績!$W$6:$W$505,DR$3,実績!$AI$6:$AI$505,"&lt;="&amp;$A101,実績!$AJ$6:$AJ$505,"&gt;"&amp;$A101,実績!$AL$6:$AL$505,"○")&gt;0,1,0))</f>
        <v>0</v>
      </c>
      <c r="DS101" s="39" t="n">
        <f aca="false">SUM(C101:DR101)</f>
        <v>0</v>
      </c>
    </row>
    <row r="102" customFormat="false" ht="15" hidden="false" customHeight="false" outlineLevel="0" collapsed="false">
      <c r="A102" s="0" t="n">
        <v>480</v>
      </c>
      <c r="B102" s="38" t="n">
        <f aca="false">A102/1440</f>
        <v>0.333333333333333</v>
      </c>
      <c r="C102" s="39" t="n">
        <f aca="false">IF(C$4=0,0,IF(COUNTIFS(実績!$W$6:$W$505,C$3,実績!$AI$6:$AI$505,"&lt;="&amp;$A102,実績!$AJ$6:$AJ$505,"&gt;"&amp;$A102,実績!$AL$6:$AL$505,"○")&gt;0,1,0))</f>
        <v>0</v>
      </c>
      <c r="D102" s="39" t="n">
        <f aca="false">IF(D$4=0,0,IF(COUNTIFS(実績!$W$6:$W$505,D$3,実績!$AI$6:$AI$505,"&lt;="&amp;$A102,実績!$AJ$6:$AJ$505,"&gt;"&amp;$A102,実績!$AL$6:$AL$505,"○")&gt;0,1,0))</f>
        <v>0</v>
      </c>
      <c r="E102" s="39" t="n">
        <f aca="false">IF(E$4=0,0,IF(COUNTIFS(実績!$W$6:$W$505,E$3,実績!$AI$6:$AI$505,"&lt;="&amp;$A102,実績!$AJ$6:$AJ$505,"&gt;"&amp;$A102,実績!$AL$6:$AL$505,"○")&gt;0,1,0))</f>
        <v>0</v>
      </c>
      <c r="F102" s="39" t="n">
        <f aca="false">IF(F$4=0,0,IF(COUNTIFS(実績!$W$6:$W$505,F$3,実績!$AI$6:$AI$505,"&lt;="&amp;$A102,実績!$AJ$6:$AJ$505,"&gt;"&amp;$A102,実績!$AL$6:$AL$505,"○")&gt;0,1,0))</f>
        <v>0</v>
      </c>
      <c r="G102" s="39" t="n">
        <f aca="false">IF(G$4=0,0,IF(COUNTIFS(実績!$W$6:$W$505,G$3,実績!$AI$6:$AI$505,"&lt;="&amp;$A102,実績!$AJ$6:$AJ$505,"&gt;"&amp;$A102,実績!$AL$6:$AL$505,"○")&gt;0,1,0))</f>
        <v>0</v>
      </c>
      <c r="H102" s="39" t="n">
        <f aca="false">IF(H$4=0,0,IF(COUNTIFS(実績!$W$6:$W$505,H$3,実績!$AI$6:$AI$505,"&lt;="&amp;$A102,実績!$AJ$6:$AJ$505,"&gt;"&amp;$A102,実績!$AL$6:$AL$505,"○")&gt;0,1,0))</f>
        <v>0</v>
      </c>
      <c r="I102" s="39" t="n">
        <f aca="false">IF(I$4=0,0,IF(COUNTIFS(実績!$W$6:$W$505,I$3,実績!$AI$6:$AI$505,"&lt;="&amp;$A102,実績!$AJ$6:$AJ$505,"&gt;"&amp;$A102,実績!$AL$6:$AL$505,"○")&gt;0,1,0))</f>
        <v>0</v>
      </c>
      <c r="J102" s="39" t="n">
        <f aca="false">IF(J$4=0,0,IF(COUNTIFS(実績!$W$6:$W$505,J$3,実績!$AI$6:$AI$505,"&lt;="&amp;$A102,実績!$AJ$6:$AJ$505,"&gt;"&amp;$A102,実績!$AL$6:$AL$505,"○")&gt;0,1,0))</f>
        <v>0</v>
      </c>
      <c r="K102" s="39" t="n">
        <f aca="false">IF(K$4=0,0,IF(COUNTIFS(実績!$W$6:$W$505,K$3,実績!$AI$6:$AI$505,"&lt;="&amp;$A102,実績!$AJ$6:$AJ$505,"&gt;"&amp;$A102,実績!$AL$6:$AL$505,"○")&gt;0,1,0))</f>
        <v>0</v>
      </c>
      <c r="L102" s="39" t="n">
        <f aca="false">IF(L$4=0,0,IF(COUNTIFS(実績!$W$6:$W$505,L$3,実績!$AI$6:$AI$505,"&lt;="&amp;$A102,実績!$AJ$6:$AJ$505,"&gt;"&amp;$A102,実績!$AL$6:$AL$505,"○")&gt;0,1,0))</f>
        <v>0</v>
      </c>
      <c r="M102" s="39" t="n">
        <f aca="false">IF(M$4=0,0,IF(COUNTIFS(実績!$W$6:$W$505,M$3,実績!$AI$6:$AI$505,"&lt;="&amp;$A102,実績!$AJ$6:$AJ$505,"&gt;"&amp;$A102,実績!$AL$6:$AL$505,"○")&gt;0,1,0))</f>
        <v>0</v>
      </c>
      <c r="N102" s="39" t="n">
        <f aca="false">IF(N$4=0,0,IF(COUNTIFS(実績!$W$6:$W$505,N$3,実績!$AI$6:$AI$505,"&lt;="&amp;$A102,実績!$AJ$6:$AJ$505,"&gt;"&amp;$A102,実績!$AL$6:$AL$505,"○")&gt;0,1,0))</f>
        <v>0</v>
      </c>
      <c r="O102" s="39" t="n">
        <f aca="false">IF(O$4=0,0,IF(COUNTIFS(実績!$W$6:$W$505,O$3,実績!$AI$6:$AI$505,"&lt;="&amp;$A102,実績!$AJ$6:$AJ$505,"&gt;"&amp;$A102,実績!$AL$6:$AL$505,"○")&gt;0,1,0))</f>
        <v>0</v>
      </c>
      <c r="P102" s="39" t="n">
        <f aca="false">IF(P$4=0,0,IF(COUNTIFS(実績!$W$6:$W$505,P$3,実績!$AI$6:$AI$505,"&lt;="&amp;$A102,実績!$AJ$6:$AJ$505,"&gt;"&amp;$A102,実績!$AL$6:$AL$505,"○")&gt;0,1,0))</f>
        <v>0</v>
      </c>
      <c r="Q102" s="39" t="n">
        <f aca="false">IF(Q$4=0,0,IF(COUNTIFS(実績!$W$6:$W$505,Q$3,実績!$AI$6:$AI$505,"&lt;="&amp;$A102,実績!$AJ$6:$AJ$505,"&gt;"&amp;$A102,実績!$AL$6:$AL$505,"○")&gt;0,1,0))</f>
        <v>0</v>
      </c>
      <c r="R102" s="39" t="n">
        <f aca="false">IF(R$4=0,0,IF(COUNTIFS(実績!$W$6:$W$505,R$3,実績!$AI$6:$AI$505,"&lt;="&amp;$A102,実績!$AJ$6:$AJ$505,"&gt;"&amp;$A102,実績!$AL$6:$AL$505,"○")&gt;0,1,0))</f>
        <v>0</v>
      </c>
      <c r="S102" s="39" t="n">
        <f aca="false">IF(S$4=0,0,IF(COUNTIFS(実績!$W$6:$W$505,S$3,実績!$AI$6:$AI$505,"&lt;="&amp;$A102,実績!$AJ$6:$AJ$505,"&gt;"&amp;$A102,実績!$AL$6:$AL$505,"○")&gt;0,1,0))</f>
        <v>0</v>
      </c>
      <c r="T102" s="39" t="n">
        <f aca="false">IF(T$4=0,0,IF(COUNTIFS(実績!$W$6:$W$505,T$3,実績!$AI$6:$AI$505,"&lt;="&amp;$A102,実績!$AJ$6:$AJ$505,"&gt;"&amp;$A102,実績!$AL$6:$AL$505,"○")&gt;0,1,0))</f>
        <v>0</v>
      </c>
      <c r="U102" s="39" t="n">
        <f aca="false">IF(U$4=0,0,IF(COUNTIFS(実績!$W$6:$W$505,U$3,実績!$AI$6:$AI$505,"&lt;="&amp;$A102,実績!$AJ$6:$AJ$505,"&gt;"&amp;$A102,実績!$AL$6:$AL$505,"○")&gt;0,1,0))</f>
        <v>0</v>
      </c>
      <c r="V102" s="39" t="n">
        <f aca="false">IF(V$4=0,0,IF(COUNTIFS(実績!$W$6:$W$505,V$3,実績!$AI$6:$AI$505,"&lt;="&amp;$A102,実績!$AJ$6:$AJ$505,"&gt;"&amp;$A102,実績!$AL$6:$AL$505,"○")&gt;0,1,0))</f>
        <v>0</v>
      </c>
      <c r="W102" s="39" t="n">
        <f aca="false">IF(W$4=0,0,IF(COUNTIFS(実績!$W$6:$W$505,W$3,実績!$AI$6:$AI$505,"&lt;="&amp;$A102,実績!$AJ$6:$AJ$505,"&gt;"&amp;$A102,実績!$AL$6:$AL$505,"○")&gt;0,1,0))</f>
        <v>0</v>
      </c>
      <c r="X102" s="39" t="n">
        <f aca="false">IF(X$4=0,0,IF(COUNTIFS(実績!$W$6:$W$505,X$3,実績!$AI$6:$AI$505,"&lt;="&amp;$A102,実績!$AJ$6:$AJ$505,"&gt;"&amp;$A102,実績!$AL$6:$AL$505,"○")&gt;0,1,0))</f>
        <v>0</v>
      </c>
      <c r="Y102" s="39" t="n">
        <f aca="false">IF(Y$4=0,0,IF(COUNTIFS(実績!$W$6:$W$505,Y$3,実績!$AI$6:$AI$505,"&lt;="&amp;$A102,実績!$AJ$6:$AJ$505,"&gt;"&amp;$A102,実績!$AL$6:$AL$505,"○")&gt;0,1,0))</f>
        <v>0</v>
      </c>
      <c r="Z102" s="39" t="n">
        <f aca="false">IF(Z$4=0,0,IF(COUNTIFS(実績!$W$6:$W$505,Z$3,実績!$AI$6:$AI$505,"&lt;="&amp;$A102,実績!$AJ$6:$AJ$505,"&gt;"&amp;$A102,実績!$AL$6:$AL$505,"○")&gt;0,1,0))</f>
        <v>0</v>
      </c>
      <c r="AA102" s="39" t="n">
        <f aca="false">IF(AA$4=0,0,IF(COUNTIFS(実績!$W$6:$W$505,AA$3,実績!$AI$6:$AI$505,"&lt;="&amp;$A102,実績!$AJ$6:$AJ$505,"&gt;"&amp;$A102,実績!$AL$6:$AL$505,"○")&gt;0,1,0))</f>
        <v>0</v>
      </c>
      <c r="AB102" s="39" t="n">
        <f aca="false">IF(AB$4=0,0,IF(COUNTIFS(実績!$W$6:$W$505,AB$3,実績!$AI$6:$AI$505,"&lt;="&amp;$A102,実績!$AJ$6:$AJ$505,"&gt;"&amp;$A102,実績!$AL$6:$AL$505,"○")&gt;0,1,0))</f>
        <v>0</v>
      </c>
      <c r="AC102" s="39" t="n">
        <f aca="false">IF(AC$4=0,0,IF(COUNTIFS(実績!$W$6:$W$505,AC$3,実績!$AI$6:$AI$505,"&lt;="&amp;$A102,実績!$AJ$6:$AJ$505,"&gt;"&amp;$A102,実績!$AL$6:$AL$505,"○")&gt;0,1,0))</f>
        <v>0</v>
      </c>
      <c r="AD102" s="39" t="n">
        <f aca="false">IF(AD$4=0,0,IF(COUNTIFS(実績!$W$6:$W$505,AD$3,実績!$AI$6:$AI$505,"&lt;="&amp;$A102,実績!$AJ$6:$AJ$505,"&gt;"&amp;$A102,実績!$AL$6:$AL$505,"○")&gt;0,1,0))</f>
        <v>0</v>
      </c>
      <c r="AE102" s="39" t="n">
        <f aca="false">IF(AE$4=0,0,IF(COUNTIFS(実績!$W$6:$W$505,AE$3,実績!$AI$6:$AI$505,"&lt;="&amp;$A102,実績!$AJ$6:$AJ$505,"&gt;"&amp;$A102,実績!$AL$6:$AL$505,"○")&gt;0,1,0))</f>
        <v>0</v>
      </c>
      <c r="AF102" s="39" t="n">
        <f aca="false">IF(AF$4=0,0,IF(COUNTIFS(実績!$W$6:$W$505,AF$3,実績!$AI$6:$AI$505,"&lt;="&amp;$A102,実績!$AJ$6:$AJ$505,"&gt;"&amp;$A102,実績!$AL$6:$AL$505,"○")&gt;0,1,0))</f>
        <v>0</v>
      </c>
      <c r="AG102" s="39" t="n">
        <f aca="false">IF(AG$4=0,0,IF(COUNTIFS(実績!$W$6:$W$505,AG$3,実績!$AI$6:$AI$505,"&lt;="&amp;$A102,実績!$AJ$6:$AJ$505,"&gt;"&amp;$A102,実績!$AL$6:$AL$505,"○")&gt;0,1,0))</f>
        <v>0</v>
      </c>
      <c r="AH102" s="39" t="n">
        <f aca="false">IF(AH$4=0,0,IF(COUNTIFS(実績!$W$6:$W$505,AH$3,実績!$AI$6:$AI$505,"&lt;="&amp;$A102,実績!$AJ$6:$AJ$505,"&gt;"&amp;$A102,実績!$AL$6:$AL$505,"○")&gt;0,1,0))</f>
        <v>0</v>
      </c>
      <c r="AI102" s="39" t="n">
        <f aca="false">IF(AI$4=0,0,IF(COUNTIFS(実績!$W$6:$W$505,AI$3,実績!$AI$6:$AI$505,"&lt;="&amp;$A102,実績!$AJ$6:$AJ$505,"&gt;"&amp;$A102,実績!$AL$6:$AL$505,"○")&gt;0,1,0))</f>
        <v>0</v>
      </c>
      <c r="AJ102" s="39" t="n">
        <f aca="false">IF(AJ$4=0,0,IF(COUNTIFS(実績!$W$6:$W$505,AJ$3,実績!$AI$6:$AI$505,"&lt;="&amp;$A102,実績!$AJ$6:$AJ$505,"&gt;"&amp;$A102,実績!$AL$6:$AL$505,"○")&gt;0,1,0))</f>
        <v>0</v>
      </c>
      <c r="AK102" s="39" t="n">
        <f aca="false">IF(AK$4=0,0,IF(COUNTIFS(実績!$W$6:$W$505,AK$3,実績!$AI$6:$AI$505,"&lt;="&amp;$A102,実績!$AJ$6:$AJ$505,"&gt;"&amp;$A102,実績!$AL$6:$AL$505,"○")&gt;0,1,0))</f>
        <v>0</v>
      </c>
      <c r="AL102" s="39" t="n">
        <f aca="false">IF(AL$4=0,0,IF(COUNTIFS(実績!$W$6:$W$505,AL$3,実績!$AI$6:$AI$505,"&lt;="&amp;$A102,実績!$AJ$6:$AJ$505,"&gt;"&amp;$A102,実績!$AL$6:$AL$505,"○")&gt;0,1,0))</f>
        <v>0</v>
      </c>
      <c r="AM102" s="39" t="n">
        <f aca="false">IF(AM$4=0,0,IF(COUNTIFS(実績!$W$6:$W$505,AM$3,実績!$AI$6:$AI$505,"&lt;="&amp;$A102,実績!$AJ$6:$AJ$505,"&gt;"&amp;$A102,実績!$AL$6:$AL$505,"○")&gt;0,1,0))</f>
        <v>0</v>
      </c>
      <c r="AN102" s="39" t="n">
        <f aca="false">IF(AN$4=0,0,IF(COUNTIFS(実績!$W$6:$W$505,AN$3,実績!$AI$6:$AI$505,"&lt;="&amp;$A102,実績!$AJ$6:$AJ$505,"&gt;"&amp;$A102,実績!$AL$6:$AL$505,"○")&gt;0,1,0))</f>
        <v>0</v>
      </c>
      <c r="AO102" s="39" t="n">
        <f aca="false">IF(AO$4=0,0,IF(COUNTIFS(実績!$W$6:$W$505,AO$3,実績!$AI$6:$AI$505,"&lt;="&amp;$A102,実績!$AJ$6:$AJ$505,"&gt;"&amp;$A102,実績!$AL$6:$AL$505,"○")&gt;0,1,0))</f>
        <v>0</v>
      </c>
      <c r="AP102" s="39" t="n">
        <f aca="false">IF(AP$4=0,0,IF(COUNTIFS(実績!$W$6:$W$505,AP$3,実績!$AI$6:$AI$505,"&lt;="&amp;$A102,実績!$AJ$6:$AJ$505,"&gt;"&amp;$A102,実績!$AL$6:$AL$505,"○")&gt;0,1,0))</f>
        <v>0</v>
      </c>
      <c r="AQ102" s="39" t="n">
        <f aca="false">IF(AQ$4=0,0,IF(COUNTIFS(実績!$W$6:$W$505,AQ$3,実績!$AI$6:$AI$505,"&lt;="&amp;$A102,実績!$AJ$6:$AJ$505,"&gt;"&amp;$A102,実績!$AL$6:$AL$505,"○")&gt;0,1,0))</f>
        <v>0</v>
      </c>
      <c r="AR102" s="39" t="n">
        <f aca="false">IF(AR$4=0,0,IF(COUNTIFS(実績!$W$6:$W$505,AR$3,実績!$AI$6:$AI$505,"&lt;="&amp;$A102,実績!$AJ$6:$AJ$505,"&gt;"&amp;$A102,実績!$AL$6:$AL$505,"○")&gt;0,1,0))</f>
        <v>0</v>
      </c>
      <c r="AS102" s="39" t="n">
        <f aca="false">IF(AS$4=0,0,IF(COUNTIFS(実績!$W$6:$W$505,AS$3,実績!$AI$6:$AI$505,"&lt;="&amp;$A102,実績!$AJ$6:$AJ$505,"&gt;"&amp;$A102,実績!$AL$6:$AL$505,"○")&gt;0,1,0))</f>
        <v>0</v>
      </c>
      <c r="AT102" s="39" t="n">
        <f aca="false">IF(AT$4=0,0,IF(COUNTIFS(実績!$W$6:$W$505,AT$3,実績!$AI$6:$AI$505,"&lt;="&amp;$A102,実績!$AJ$6:$AJ$505,"&gt;"&amp;$A102,実績!$AL$6:$AL$505,"○")&gt;0,1,0))</f>
        <v>0</v>
      </c>
      <c r="AU102" s="39" t="n">
        <f aca="false">IF(AU$4=0,0,IF(COUNTIFS(実績!$W$6:$W$505,AU$3,実績!$AI$6:$AI$505,"&lt;="&amp;$A102,実績!$AJ$6:$AJ$505,"&gt;"&amp;$A102,実績!$AL$6:$AL$505,"○")&gt;0,1,0))</f>
        <v>0</v>
      </c>
      <c r="AV102" s="39" t="n">
        <f aca="false">IF(AV$4=0,0,IF(COUNTIFS(実績!$W$6:$W$505,AV$3,実績!$AI$6:$AI$505,"&lt;="&amp;$A102,実績!$AJ$6:$AJ$505,"&gt;"&amp;$A102,実績!$AL$6:$AL$505,"○")&gt;0,1,0))</f>
        <v>0</v>
      </c>
      <c r="AW102" s="39" t="n">
        <f aca="false">IF(AW$4=0,0,IF(COUNTIFS(実績!$W$6:$W$505,AW$3,実績!$AI$6:$AI$505,"&lt;="&amp;$A102,実績!$AJ$6:$AJ$505,"&gt;"&amp;$A102,実績!$AL$6:$AL$505,"○")&gt;0,1,0))</f>
        <v>0</v>
      </c>
      <c r="AX102" s="39" t="n">
        <f aca="false">IF(AX$4=0,0,IF(COUNTIFS(実績!$W$6:$W$505,AX$3,実績!$AI$6:$AI$505,"&lt;="&amp;$A102,実績!$AJ$6:$AJ$505,"&gt;"&amp;$A102,実績!$AL$6:$AL$505,"○")&gt;0,1,0))</f>
        <v>0</v>
      </c>
      <c r="AY102" s="39" t="n">
        <f aca="false">IF(AY$4=0,0,IF(COUNTIFS(実績!$W$6:$W$505,AY$3,実績!$AI$6:$AI$505,"&lt;="&amp;$A102,実績!$AJ$6:$AJ$505,"&gt;"&amp;$A102,実績!$AL$6:$AL$505,"○")&gt;0,1,0))</f>
        <v>0</v>
      </c>
      <c r="AZ102" s="39" t="n">
        <f aca="false">IF(AZ$4=0,0,IF(COUNTIFS(実績!$W$6:$W$505,AZ$3,実績!$AI$6:$AI$505,"&lt;="&amp;$A102,実績!$AJ$6:$AJ$505,"&gt;"&amp;$A102,実績!$AL$6:$AL$505,"○")&gt;0,1,0))</f>
        <v>0</v>
      </c>
      <c r="BA102" s="39" t="n">
        <f aca="false">IF(BA$4=0,0,IF(COUNTIFS(実績!$W$6:$W$505,BA$3,実績!$AI$6:$AI$505,"&lt;="&amp;$A102,実績!$AJ$6:$AJ$505,"&gt;"&amp;$A102,実績!$AL$6:$AL$505,"○")&gt;0,1,0))</f>
        <v>0</v>
      </c>
      <c r="BB102" s="39" t="n">
        <f aca="false">IF(BB$4=0,0,IF(COUNTIFS(実績!$W$6:$W$505,BB$3,実績!$AI$6:$AI$505,"&lt;="&amp;$A102,実績!$AJ$6:$AJ$505,"&gt;"&amp;$A102,実績!$AL$6:$AL$505,"○")&gt;0,1,0))</f>
        <v>0</v>
      </c>
      <c r="BC102" s="39" t="n">
        <f aca="false">IF(BC$4=0,0,IF(COUNTIFS(実績!$W$6:$W$505,BC$3,実績!$AI$6:$AI$505,"&lt;="&amp;$A102,実績!$AJ$6:$AJ$505,"&gt;"&amp;$A102,実績!$AL$6:$AL$505,"○")&gt;0,1,0))</f>
        <v>0</v>
      </c>
      <c r="BD102" s="39" t="n">
        <f aca="false">IF(BD$4=0,0,IF(COUNTIFS(実績!$W$6:$W$505,BD$3,実績!$AI$6:$AI$505,"&lt;="&amp;$A102,実績!$AJ$6:$AJ$505,"&gt;"&amp;$A102,実績!$AL$6:$AL$505,"○")&gt;0,1,0))</f>
        <v>0</v>
      </c>
      <c r="BE102" s="39" t="n">
        <f aca="false">IF(BE$4=0,0,IF(COUNTIFS(実績!$W$6:$W$505,BE$3,実績!$AI$6:$AI$505,"&lt;="&amp;$A102,実績!$AJ$6:$AJ$505,"&gt;"&amp;$A102,実績!$AL$6:$AL$505,"○")&gt;0,1,0))</f>
        <v>0</v>
      </c>
      <c r="BF102" s="39" t="n">
        <f aca="false">IF(BF$4=0,0,IF(COUNTIFS(実績!$W$6:$W$505,BF$3,実績!$AI$6:$AI$505,"&lt;="&amp;$A102,実績!$AJ$6:$AJ$505,"&gt;"&amp;$A102,実績!$AL$6:$AL$505,"○")&gt;0,1,0))</f>
        <v>0</v>
      </c>
      <c r="BG102" s="39" t="n">
        <f aca="false">IF(BG$4=0,0,IF(COUNTIFS(実績!$W$6:$W$505,BG$3,実績!$AI$6:$AI$505,"&lt;="&amp;$A102,実績!$AJ$6:$AJ$505,"&gt;"&amp;$A102,実績!$AL$6:$AL$505,"○")&gt;0,1,0))</f>
        <v>0</v>
      </c>
      <c r="BH102" s="39" t="n">
        <f aca="false">IF(BH$4=0,0,IF(COUNTIFS(実績!$W$6:$W$505,BH$3,実績!$AI$6:$AI$505,"&lt;="&amp;$A102,実績!$AJ$6:$AJ$505,"&gt;"&amp;$A102,実績!$AL$6:$AL$505,"○")&gt;0,1,0))</f>
        <v>0</v>
      </c>
      <c r="BI102" s="39" t="n">
        <f aca="false">IF(BI$4=0,0,IF(COUNTIFS(実績!$W$6:$W$505,BI$3,実績!$AI$6:$AI$505,"&lt;="&amp;$A102,実績!$AJ$6:$AJ$505,"&gt;"&amp;$A102,実績!$AL$6:$AL$505,"○")&gt;0,1,0))</f>
        <v>0</v>
      </c>
      <c r="BJ102" s="39" t="n">
        <f aca="false">IF(BJ$4=0,0,IF(COUNTIFS(実績!$W$6:$W$505,BJ$3,実績!$AI$6:$AI$505,"&lt;="&amp;$A102,実績!$AJ$6:$AJ$505,"&gt;"&amp;$A102,実績!$AL$6:$AL$505,"○")&gt;0,1,0))</f>
        <v>0</v>
      </c>
      <c r="BK102" s="39" t="n">
        <f aca="false">IF(BK$4=0,0,IF(COUNTIFS(実績!$W$6:$W$505,BK$3,実績!$AI$6:$AI$505,"&lt;="&amp;$A102,実績!$AJ$6:$AJ$505,"&gt;"&amp;$A102,実績!$AL$6:$AL$505,"○")&gt;0,1,0))</f>
        <v>0</v>
      </c>
      <c r="BL102" s="39" t="n">
        <f aca="false">IF(BL$4=0,0,IF(COUNTIFS(実績!$W$6:$W$505,BL$3,実績!$AI$6:$AI$505,"&lt;="&amp;$A102,実績!$AJ$6:$AJ$505,"&gt;"&amp;$A102,実績!$AL$6:$AL$505,"○")&gt;0,1,0))</f>
        <v>0</v>
      </c>
      <c r="BM102" s="39" t="n">
        <f aca="false">IF(BM$4=0,0,IF(COUNTIFS(実績!$W$6:$W$505,BM$3,実績!$AI$6:$AI$505,"&lt;="&amp;$A102,実績!$AJ$6:$AJ$505,"&gt;"&amp;$A102,実績!$AL$6:$AL$505,"○")&gt;0,1,0))</f>
        <v>0</v>
      </c>
      <c r="BN102" s="39" t="n">
        <f aca="false">IF(BN$4=0,0,IF(COUNTIFS(実績!$W$6:$W$505,BN$3,実績!$AI$6:$AI$505,"&lt;="&amp;$A102,実績!$AJ$6:$AJ$505,"&gt;"&amp;$A102,実績!$AL$6:$AL$505,"○")&gt;0,1,0))</f>
        <v>0</v>
      </c>
      <c r="BO102" s="39" t="n">
        <f aca="false">IF(BO$4=0,0,IF(COUNTIFS(実績!$W$6:$W$505,BO$3,実績!$AI$6:$AI$505,"&lt;="&amp;$A102,実績!$AJ$6:$AJ$505,"&gt;"&amp;$A102,実績!$AL$6:$AL$505,"○")&gt;0,1,0))</f>
        <v>0</v>
      </c>
      <c r="BP102" s="39" t="n">
        <f aca="false">IF(BP$4=0,0,IF(COUNTIFS(実績!$W$6:$W$505,BP$3,実績!$AI$6:$AI$505,"&lt;="&amp;$A102,実績!$AJ$6:$AJ$505,"&gt;"&amp;$A102,実績!$AL$6:$AL$505,"○")&gt;0,1,0))</f>
        <v>0</v>
      </c>
      <c r="BQ102" s="39" t="n">
        <f aca="false">IF(BQ$4=0,0,IF(COUNTIFS(実績!$W$6:$W$505,BQ$3,実績!$AI$6:$AI$505,"&lt;="&amp;$A102,実績!$AJ$6:$AJ$505,"&gt;"&amp;$A102,実績!$AL$6:$AL$505,"○")&gt;0,1,0))</f>
        <v>0</v>
      </c>
      <c r="BR102" s="39" t="n">
        <f aca="false">IF(BR$4=0,0,IF(COUNTIFS(実績!$W$6:$W$505,BR$3,実績!$AI$6:$AI$505,"&lt;="&amp;$A102,実績!$AJ$6:$AJ$505,"&gt;"&amp;$A102,実績!$AL$6:$AL$505,"○")&gt;0,1,0))</f>
        <v>0</v>
      </c>
      <c r="BS102" s="39" t="n">
        <f aca="false">IF(BS$4=0,0,IF(COUNTIFS(実績!$W$6:$W$505,BS$3,実績!$AI$6:$AI$505,"&lt;="&amp;$A102,実績!$AJ$6:$AJ$505,"&gt;"&amp;$A102,実績!$AL$6:$AL$505,"○")&gt;0,1,0))</f>
        <v>0</v>
      </c>
      <c r="BT102" s="39" t="n">
        <f aca="false">IF(BT$4=0,0,IF(COUNTIFS(実績!$W$6:$W$505,BT$3,実績!$AI$6:$AI$505,"&lt;="&amp;$A102,実績!$AJ$6:$AJ$505,"&gt;"&amp;$A102,実績!$AL$6:$AL$505,"○")&gt;0,1,0))</f>
        <v>0</v>
      </c>
      <c r="BU102" s="39" t="n">
        <f aca="false">IF(BU$4=0,0,IF(COUNTIFS(実績!$W$6:$W$505,BU$3,実績!$AI$6:$AI$505,"&lt;="&amp;$A102,実績!$AJ$6:$AJ$505,"&gt;"&amp;$A102,実績!$AL$6:$AL$505,"○")&gt;0,1,0))</f>
        <v>0</v>
      </c>
      <c r="BV102" s="39" t="n">
        <f aca="false">IF(BV$4=0,0,IF(COUNTIFS(実績!$W$6:$W$505,BV$3,実績!$AI$6:$AI$505,"&lt;="&amp;$A102,実績!$AJ$6:$AJ$505,"&gt;"&amp;$A102,実績!$AL$6:$AL$505,"○")&gt;0,1,0))</f>
        <v>0</v>
      </c>
      <c r="BW102" s="39" t="n">
        <f aca="false">IF(BW$4=0,0,IF(COUNTIFS(実績!$W$6:$W$505,BW$3,実績!$AI$6:$AI$505,"&lt;="&amp;$A102,実績!$AJ$6:$AJ$505,"&gt;"&amp;$A102,実績!$AL$6:$AL$505,"○")&gt;0,1,0))</f>
        <v>0</v>
      </c>
      <c r="BX102" s="39" t="n">
        <f aca="false">IF(BX$4=0,0,IF(COUNTIFS(実績!$W$6:$W$505,BX$3,実績!$AI$6:$AI$505,"&lt;="&amp;$A102,実績!$AJ$6:$AJ$505,"&gt;"&amp;$A102,実績!$AL$6:$AL$505,"○")&gt;0,1,0))</f>
        <v>0</v>
      </c>
      <c r="BY102" s="39" t="n">
        <f aca="false">IF(BY$4=0,0,IF(COUNTIFS(実績!$W$6:$W$505,BY$3,実績!$AI$6:$AI$505,"&lt;="&amp;$A102,実績!$AJ$6:$AJ$505,"&gt;"&amp;$A102,実績!$AL$6:$AL$505,"○")&gt;0,1,0))</f>
        <v>0</v>
      </c>
      <c r="BZ102" s="39" t="n">
        <f aca="false">IF(BZ$4=0,0,IF(COUNTIFS(実績!$W$6:$W$505,BZ$3,実績!$AI$6:$AI$505,"&lt;="&amp;$A102,実績!$AJ$6:$AJ$505,"&gt;"&amp;$A102,実績!$AL$6:$AL$505,"○")&gt;0,1,0))</f>
        <v>0</v>
      </c>
      <c r="CA102" s="39" t="n">
        <f aca="false">IF(CA$4=0,0,IF(COUNTIFS(実績!$W$6:$W$505,CA$3,実績!$AI$6:$AI$505,"&lt;="&amp;$A102,実績!$AJ$6:$AJ$505,"&gt;"&amp;$A102,実績!$AL$6:$AL$505,"○")&gt;0,1,0))</f>
        <v>0</v>
      </c>
      <c r="CB102" s="39" t="n">
        <f aca="false">IF(CB$4=0,0,IF(COUNTIFS(実績!$W$6:$W$505,CB$3,実績!$AI$6:$AI$505,"&lt;="&amp;$A102,実績!$AJ$6:$AJ$505,"&gt;"&amp;$A102,実績!$AL$6:$AL$505,"○")&gt;0,1,0))</f>
        <v>0</v>
      </c>
      <c r="CC102" s="39" t="n">
        <f aca="false">IF(CC$4=0,0,IF(COUNTIFS(実績!$W$6:$W$505,CC$3,実績!$AI$6:$AI$505,"&lt;="&amp;$A102,実績!$AJ$6:$AJ$505,"&gt;"&amp;$A102,実績!$AL$6:$AL$505,"○")&gt;0,1,0))</f>
        <v>0</v>
      </c>
      <c r="CD102" s="39" t="n">
        <f aca="false">IF(CD$4=0,0,IF(COUNTIFS(実績!$W$6:$W$505,CD$3,実績!$AI$6:$AI$505,"&lt;="&amp;$A102,実績!$AJ$6:$AJ$505,"&gt;"&amp;$A102,実績!$AL$6:$AL$505,"○")&gt;0,1,0))</f>
        <v>0</v>
      </c>
      <c r="CE102" s="39" t="n">
        <f aca="false">IF(CE$4=0,0,IF(COUNTIFS(実績!$W$6:$W$505,CE$3,実績!$AI$6:$AI$505,"&lt;="&amp;$A102,実績!$AJ$6:$AJ$505,"&gt;"&amp;$A102,実績!$AL$6:$AL$505,"○")&gt;0,1,0))</f>
        <v>0</v>
      </c>
      <c r="CF102" s="39" t="n">
        <f aca="false">IF(CF$4=0,0,IF(COUNTIFS(実績!$W$6:$W$505,CF$3,実績!$AI$6:$AI$505,"&lt;="&amp;$A102,実績!$AJ$6:$AJ$505,"&gt;"&amp;$A102,実績!$AL$6:$AL$505,"○")&gt;0,1,0))</f>
        <v>0</v>
      </c>
      <c r="CG102" s="39" t="n">
        <f aca="false">IF(CG$4=0,0,IF(COUNTIFS(実績!$W$6:$W$505,CG$3,実績!$AI$6:$AI$505,"&lt;="&amp;$A102,実績!$AJ$6:$AJ$505,"&gt;"&amp;$A102,実績!$AL$6:$AL$505,"○")&gt;0,1,0))</f>
        <v>0</v>
      </c>
      <c r="CH102" s="39" t="n">
        <f aca="false">IF(CH$4=0,0,IF(COUNTIFS(実績!$W$6:$W$505,CH$3,実績!$AI$6:$AI$505,"&lt;="&amp;$A102,実績!$AJ$6:$AJ$505,"&gt;"&amp;$A102,実績!$AL$6:$AL$505,"○")&gt;0,1,0))</f>
        <v>0</v>
      </c>
      <c r="CI102" s="39" t="n">
        <f aca="false">IF(CI$4=0,0,IF(COUNTIFS(実績!$W$6:$W$505,CI$3,実績!$AI$6:$AI$505,"&lt;="&amp;$A102,実績!$AJ$6:$AJ$505,"&gt;"&amp;$A102,実績!$AL$6:$AL$505,"○")&gt;0,1,0))</f>
        <v>0</v>
      </c>
      <c r="CJ102" s="39" t="n">
        <f aca="false">IF(CJ$4=0,0,IF(COUNTIFS(実績!$W$6:$W$505,CJ$3,実績!$AI$6:$AI$505,"&lt;="&amp;$A102,実績!$AJ$6:$AJ$505,"&gt;"&amp;$A102,実績!$AL$6:$AL$505,"○")&gt;0,1,0))</f>
        <v>0</v>
      </c>
      <c r="CK102" s="39" t="n">
        <f aca="false">IF(CK$4=0,0,IF(COUNTIFS(実績!$W$6:$W$505,CK$3,実績!$AI$6:$AI$505,"&lt;="&amp;$A102,実績!$AJ$6:$AJ$505,"&gt;"&amp;$A102,実績!$AL$6:$AL$505,"○")&gt;0,1,0))</f>
        <v>0</v>
      </c>
      <c r="CL102" s="39" t="n">
        <f aca="false">IF(CL$4=0,0,IF(COUNTIFS(実績!$W$6:$W$505,CL$3,実績!$AI$6:$AI$505,"&lt;="&amp;$A102,実績!$AJ$6:$AJ$505,"&gt;"&amp;$A102,実績!$AL$6:$AL$505,"○")&gt;0,1,0))</f>
        <v>0</v>
      </c>
      <c r="CM102" s="39" t="n">
        <f aca="false">IF(CM$4=0,0,IF(COUNTIFS(実績!$W$6:$W$505,CM$3,実績!$AI$6:$AI$505,"&lt;="&amp;$A102,実績!$AJ$6:$AJ$505,"&gt;"&amp;$A102,実績!$AL$6:$AL$505,"○")&gt;0,1,0))</f>
        <v>0</v>
      </c>
      <c r="CN102" s="39" t="n">
        <f aca="false">IF(CN$4=0,0,IF(COUNTIFS(実績!$W$6:$W$505,CN$3,実績!$AI$6:$AI$505,"&lt;="&amp;$A102,実績!$AJ$6:$AJ$505,"&gt;"&amp;$A102,実績!$AL$6:$AL$505,"○")&gt;0,1,0))</f>
        <v>0</v>
      </c>
      <c r="CO102" s="39" t="n">
        <f aca="false">IF(CO$4=0,0,IF(COUNTIFS(実績!$W$6:$W$505,CO$3,実績!$AI$6:$AI$505,"&lt;="&amp;$A102,実績!$AJ$6:$AJ$505,"&gt;"&amp;$A102,実績!$AL$6:$AL$505,"○")&gt;0,1,0))</f>
        <v>0</v>
      </c>
      <c r="CP102" s="39" t="n">
        <f aca="false">IF(CP$4=0,0,IF(COUNTIFS(実績!$W$6:$W$505,CP$3,実績!$AI$6:$AI$505,"&lt;="&amp;$A102,実績!$AJ$6:$AJ$505,"&gt;"&amp;$A102,実績!$AL$6:$AL$505,"○")&gt;0,1,0))</f>
        <v>0</v>
      </c>
      <c r="CQ102" s="39" t="n">
        <f aca="false">IF(CQ$4=0,0,IF(COUNTIFS(実績!$W$6:$W$505,CQ$3,実績!$AI$6:$AI$505,"&lt;="&amp;$A102,実績!$AJ$6:$AJ$505,"&gt;"&amp;$A102,実績!$AL$6:$AL$505,"○")&gt;0,1,0))</f>
        <v>0</v>
      </c>
      <c r="CR102" s="39" t="n">
        <f aca="false">IF(CR$4=0,0,IF(COUNTIFS(実績!$W$6:$W$505,CR$3,実績!$AI$6:$AI$505,"&lt;="&amp;$A102,実績!$AJ$6:$AJ$505,"&gt;"&amp;$A102,実績!$AL$6:$AL$505,"○")&gt;0,1,0))</f>
        <v>0</v>
      </c>
      <c r="CS102" s="39" t="n">
        <f aca="false">IF(CS$4=0,0,IF(COUNTIFS(実績!$W$6:$W$505,CS$3,実績!$AI$6:$AI$505,"&lt;="&amp;$A102,実績!$AJ$6:$AJ$505,"&gt;"&amp;$A102,実績!$AL$6:$AL$505,"○")&gt;0,1,0))</f>
        <v>0</v>
      </c>
      <c r="CT102" s="39" t="n">
        <f aca="false">IF(CT$4=0,0,IF(COUNTIFS(実績!$W$6:$W$505,CT$3,実績!$AI$6:$AI$505,"&lt;="&amp;$A102,実績!$AJ$6:$AJ$505,"&gt;"&amp;$A102,実績!$AL$6:$AL$505,"○")&gt;0,1,0))</f>
        <v>0</v>
      </c>
      <c r="CU102" s="39" t="n">
        <f aca="false">IF(CU$4=0,0,IF(COUNTIFS(実績!$W$6:$W$505,CU$3,実績!$AI$6:$AI$505,"&lt;="&amp;$A102,実績!$AJ$6:$AJ$505,"&gt;"&amp;$A102,実績!$AL$6:$AL$505,"○")&gt;0,1,0))</f>
        <v>0</v>
      </c>
      <c r="CV102" s="39" t="n">
        <f aca="false">IF(CV$4=0,0,IF(COUNTIFS(実績!$W$6:$W$505,CV$3,実績!$AI$6:$AI$505,"&lt;="&amp;$A102,実績!$AJ$6:$AJ$505,"&gt;"&amp;$A102,実績!$AL$6:$AL$505,"○")&gt;0,1,0))</f>
        <v>0</v>
      </c>
      <c r="CW102" s="39" t="n">
        <f aca="false">IF(CW$4=0,0,IF(COUNTIFS(実績!$W$6:$W$505,CW$3,実績!$AI$6:$AI$505,"&lt;="&amp;$A102,実績!$AJ$6:$AJ$505,"&gt;"&amp;$A102,実績!$AL$6:$AL$505,"○")&gt;0,1,0))</f>
        <v>0</v>
      </c>
      <c r="CX102" s="39" t="n">
        <f aca="false">IF(CX$4=0,0,IF(COUNTIFS(実績!$W$6:$W$505,CX$3,実績!$AI$6:$AI$505,"&lt;="&amp;$A102,実績!$AJ$6:$AJ$505,"&gt;"&amp;$A102,実績!$AL$6:$AL$505,"○")&gt;0,1,0))</f>
        <v>0</v>
      </c>
      <c r="CY102" s="39" t="n">
        <f aca="false">IF(CY$4=0,0,IF(COUNTIFS(実績!$W$6:$W$505,CY$3,実績!$AI$6:$AI$505,"&lt;="&amp;$A102,実績!$AJ$6:$AJ$505,"&gt;"&amp;$A102,実績!$AL$6:$AL$505,"○")&gt;0,1,0))</f>
        <v>0</v>
      </c>
      <c r="CZ102" s="39" t="n">
        <f aca="false">IF(CZ$4=0,0,IF(COUNTIFS(実績!$W$6:$W$505,CZ$3,実績!$AI$6:$AI$505,"&lt;="&amp;$A102,実績!$AJ$6:$AJ$505,"&gt;"&amp;$A102,実績!$AL$6:$AL$505,"○")&gt;0,1,0))</f>
        <v>0</v>
      </c>
      <c r="DA102" s="39" t="n">
        <f aca="false">IF(DA$4=0,0,IF(COUNTIFS(実績!$W$6:$W$505,DA$3,実績!$AI$6:$AI$505,"&lt;="&amp;$A102,実績!$AJ$6:$AJ$505,"&gt;"&amp;$A102,実績!$AL$6:$AL$505,"○")&gt;0,1,0))</f>
        <v>0</v>
      </c>
      <c r="DB102" s="39" t="n">
        <f aca="false">IF(DB$4=0,0,IF(COUNTIFS(実績!$W$6:$W$505,DB$3,実績!$AI$6:$AI$505,"&lt;="&amp;$A102,実績!$AJ$6:$AJ$505,"&gt;"&amp;$A102,実績!$AL$6:$AL$505,"○")&gt;0,1,0))</f>
        <v>0</v>
      </c>
      <c r="DC102" s="39" t="n">
        <f aca="false">IF(DC$4=0,0,IF(COUNTIFS(実績!$W$6:$W$505,DC$3,実績!$AI$6:$AI$505,"&lt;="&amp;$A102,実績!$AJ$6:$AJ$505,"&gt;"&amp;$A102,実績!$AL$6:$AL$505,"○")&gt;0,1,0))</f>
        <v>0</v>
      </c>
      <c r="DD102" s="39" t="n">
        <f aca="false">IF(DD$4=0,0,IF(COUNTIFS(実績!$W$6:$W$505,DD$3,実績!$AI$6:$AI$505,"&lt;="&amp;$A102,実績!$AJ$6:$AJ$505,"&gt;"&amp;$A102,実績!$AL$6:$AL$505,"○")&gt;0,1,0))</f>
        <v>0</v>
      </c>
      <c r="DE102" s="39" t="n">
        <f aca="false">IF(DE$4=0,0,IF(COUNTIFS(実績!$W$6:$W$505,DE$3,実績!$AI$6:$AI$505,"&lt;="&amp;$A102,実績!$AJ$6:$AJ$505,"&gt;"&amp;$A102,実績!$AL$6:$AL$505,"○")&gt;0,1,0))</f>
        <v>0</v>
      </c>
      <c r="DF102" s="39" t="n">
        <f aca="false">IF(DF$4=0,0,IF(COUNTIFS(実績!$W$6:$W$505,DF$3,実績!$AI$6:$AI$505,"&lt;="&amp;$A102,実績!$AJ$6:$AJ$505,"&gt;"&amp;$A102,実績!$AL$6:$AL$505,"○")&gt;0,1,0))</f>
        <v>0</v>
      </c>
      <c r="DG102" s="39" t="n">
        <f aca="false">IF(DG$4=0,0,IF(COUNTIFS(実績!$W$6:$W$505,DG$3,実績!$AI$6:$AI$505,"&lt;="&amp;$A102,実績!$AJ$6:$AJ$505,"&gt;"&amp;$A102,実績!$AL$6:$AL$505,"○")&gt;0,1,0))</f>
        <v>0</v>
      </c>
      <c r="DH102" s="39" t="n">
        <f aca="false">IF(DH$4=0,0,IF(COUNTIFS(実績!$W$6:$W$505,DH$3,実績!$AI$6:$AI$505,"&lt;="&amp;$A102,実績!$AJ$6:$AJ$505,"&gt;"&amp;$A102,実績!$AL$6:$AL$505,"○")&gt;0,1,0))</f>
        <v>0</v>
      </c>
      <c r="DI102" s="39" t="n">
        <f aca="false">IF(DI$4=0,0,IF(COUNTIFS(実績!$W$6:$W$505,DI$3,実績!$AI$6:$AI$505,"&lt;="&amp;$A102,実績!$AJ$6:$AJ$505,"&gt;"&amp;$A102,実績!$AL$6:$AL$505,"○")&gt;0,1,0))</f>
        <v>0</v>
      </c>
      <c r="DJ102" s="39" t="n">
        <f aca="false">IF(DJ$4=0,0,IF(COUNTIFS(実績!$W$6:$W$505,DJ$3,実績!$AI$6:$AI$505,"&lt;="&amp;$A102,実績!$AJ$6:$AJ$505,"&gt;"&amp;$A102,実績!$AL$6:$AL$505,"○")&gt;0,1,0))</f>
        <v>0</v>
      </c>
      <c r="DK102" s="39" t="n">
        <f aca="false">IF(DK$4=0,0,IF(COUNTIFS(実績!$W$6:$W$505,DK$3,実績!$AI$6:$AI$505,"&lt;="&amp;$A102,実績!$AJ$6:$AJ$505,"&gt;"&amp;$A102,実績!$AL$6:$AL$505,"○")&gt;0,1,0))</f>
        <v>0</v>
      </c>
      <c r="DL102" s="39" t="n">
        <f aca="false">IF(DL$4=0,0,IF(COUNTIFS(実績!$W$6:$W$505,DL$3,実績!$AI$6:$AI$505,"&lt;="&amp;$A102,実績!$AJ$6:$AJ$505,"&gt;"&amp;$A102,実績!$AL$6:$AL$505,"○")&gt;0,1,0))</f>
        <v>0</v>
      </c>
      <c r="DM102" s="39" t="n">
        <f aca="false">IF(DM$4=0,0,IF(COUNTIFS(実績!$W$6:$W$505,DM$3,実績!$AI$6:$AI$505,"&lt;="&amp;$A102,実績!$AJ$6:$AJ$505,"&gt;"&amp;$A102,実績!$AL$6:$AL$505,"○")&gt;0,1,0))</f>
        <v>0</v>
      </c>
      <c r="DN102" s="39" t="n">
        <f aca="false">IF(DN$4=0,0,IF(COUNTIFS(実績!$W$6:$W$505,DN$3,実績!$AI$6:$AI$505,"&lt;="&amp;$A102,実績!$AJ$6:$AJ$505,"&gt;"&amp;$A102,実績!$AL$6:$AL$505,"○")&gt;0,1,0))</f>
        <v>0</v>
      </c>
      <c r="DO102" s="39" t="n">
        <f aca="false">IF(DO$4=0,0,IF(COUNTIFS(実績!$W$6:$W$505,DO$3,実績!$AI$6:$AI$505,"&lt;="&amp;$A102,実績!$AJ$6:$AJ$505,"&gt;"&amp;$A102,実績!$AL$6:$AL$505,"○")&gt;0,1,0))</f>
        <v>0</v>
      </c>
      <c r="DP102" s="39" t="n">
        <f aca="false">IF(DP$4=0,0,IF(COUNTIFS(実績!$W$6:$W$505,DP$3,実績!$AI$6:$AI$505,"&lt;="&amp;$A102,実績!$AJ$6:$AJ$505,"&gt;"&amp;$A102,実績!$AL$6:$AL$505,"○")&gt;0,1,0))</f>
        <v>0</v>
      </c>
      <c r="DQ102" s="39" t="n">
        <f aca="false">IF(DQ$4=0,0,IF(COUNTIFS(実績!$W$6:$W$505,DQ$3,実績!$AI$6:$AI$505,"&lt;="&amp;$A102,実績!$AJ$6:$AJ$505,"&gt;"&amp;$A102,実績!$AL$6:$AL$505,"○")&gt;0,1,0))</f>
        <v>0</v>
      </c>
      <c r="DR102" s="39" t="n">
        <f aca="false">IF(DR$4=0,0,IF(COUNTIFS(実績!$W$6:$W$505,DR$3,実績!$AI$6:$AI$505,"&lt;="&amp;$A102,実績!$AJ$6:$AJ$505,"&gt;"&amp;$A102,実績!$AL$6:$AL$505,"○")&gt;0,1,0))</f>
        <v>0</v>
      </c>
      <c r="DS102" s="39" t="n">
        <f aca="false">SUM(C102:DR102)</f>
        <v>0</v>
      </c>
    </row>
    <row r="103" customFormat="false" ht="15" hidden="false" customHeight="false" outlineLevel="0" collapsed="false">
      <c r="A103" s="0" t="n">
        <v>485</v>
      </c>
      <c r="B103" s="38" t="n">
        <f aca="false">A103/1440</f>
        <v>0.336805555555556</v>
      </c>
      <c r="C103" s="39" t="n">
        <f aca="false">IF(C$4=0,0,IF(COUNTIFS(実績!$W$6:$W$505,C$3,実績!$AI$6:$AI$505,"&lt;="&amp;$A103,実績!$AJ$6:$AJ$505,"&gt;"&amp;$A103,実績!$AL$6:$AL$505,"○")&gt;0,1,0))</f>
        <v>0</v>
      </c>
      <c r="D103" s="39" t="n">
        <f aca="false">IF(D$4=0,0,IF(COUNTIFS(実績!$W$6:$W$505,D$3,実績!$AI$6:$AI$505,"&lt;="&amp;$A103,実績!$AJ$6:$AJ$505,"&gt;"&amp;$A103,実績!$AL$6:$AL$505,"○")&gt;0,1,0))</f>
        <v>0</v>
      </c>
      <c r="E103" s="39" t="n">
        <f aca="false">IF(E$4=0,0,IF(COUNTIFS(実績!$W$6:$W$505,E$3,実績!$AI$6:$AI$505,"&lt;="&amp;$A103,実績!$AJ$6:$AJ$505,"&gt;"&amp;$A103,実績!$AL$6:$AL$505,"○")&gt;0,1,0))</f>
        <v>0</v>
      </c>
      <c r="F103" s="39" t="n">
        <f aca="false">IF(F$4=0,0,IF(COUNTIFS(実績!$W$6:$W$505,F$3,実績!$AI$6:$AI$505,"&lt;="&amp;$A103,実績!$AJ$6:$AJ$505,"&gt;"&amp;$A103,実績!$AL$6:$AL$505,"○")&gt;0,1,0))</f>
        <v>0</v>
      </c>
      <c r="G103" s="39" t="n">
        <f aca="false">IF(G$4=0,0,IF(COUNTIFS(実績!$W$6:$W$505,G$3,実績!$AI$6:$AI$505,"&lt;="&amp;$A103,実績!$AJ$6:$AJ$505,"&gt;"&amp;$A103,実績!$AL$6:$AL$505,"○")&gt;0,1,0))</f>
        <v>0</v>
      </c>
      <c r="H103" s="39" t="n">
        <f aca="false">IF(H$4=0,0,IF(COUNTIFS(実績!$W$6:$W$505,H$3,実績!$AI$6:$AI$505,"&lt;="&amp;$A103,実績!$AJ$6:$AJ$505,"&gt;"&amp;$A103,実績!$AL$6:$AL$505,"○")&gt;0,1,0))</f>
        <v>0</v>
      </c>
      <c r="I103" s="39" t="n">
        <f aca="false">IF(I$4=0,0,IF(COUNTIFS(実績!$W$6:$W$505,I$3,実績!$AI$6:$AI$505,"&lt;="&amp;$A103,実績!$AJ$6:$AJ$505,"&gt;"&amp;$A103,実績!$AL$6:$AL$505,"○")&gt;0,1,0))</f>
        <v>0</v>
      </c>
      <c r="J103" s="39" t="n">
        <f aca="false">IF(J$4=0,0,IF(COUNTIFS(実績!$W$6:$W$505,J$3,実績!$AI$6:$AI$505,"&lt;="&amp;$A103,実績!$AJ$6:$AJ$505,"&gt;"&amp;$A103,実績!$AL$6:$AL$505,"○")&gt;0,1,0))</f>
        <v>0</v>
      </c>
      <c r="K103" s="39" t="n">
        <f aca="false">IF(K$4=0,0,IF(COUNTIFS(実績!$W$6:$W$505,K$3,実績!$AI$6:$AI$505,"&lt;="&amp;$A103,実績!$AJ$6:$AJ$505,"&gt;"&amp;$A103,実績!$AL$6:$AL$505,"○")&gt;0,1,0))</f>
        <v>0</v>
      </c>
      <c r="L103" s="39" t="n">
        <f aca="false">IF(L$4=0,0,IF(COUNTIFS(実績!$W$6:$W$505,L$3,実績!$AI$6:$AI$505,"&lt;="&amp;$A103,実績!$AJ$6:$AJ$505,"&gt;"&amp;$A103,実績!$AL$6:$AL$505,"○")&gt;0,1,0))</f>
        <v>0</v>
      </c>
      <c r="M103" s="39" t="n">
        <f aca="false">IF(M$4=0,0,IF(COUNTIFS(実績!$W$6:$W$505,M$3,実績!$AI$6:$AI$505,"&lt;="&amp;$A103,実績!$AJ$6:$AJ$505,"&gt;"&amp;$A103,実績!$AL$6:$AL$505,"○")&gt;0,1,0))</f>
        <v>0</v>
      </c>
      <c r="N103" s="39" t="n">
        <f aca="false">IF(N$4=0,0,IF(COUNTIFS(実績!$W$6:$W$505,N$3,実績!$AI$6:$AI$505,"&lt;="&amp;$A103,実績!$AJ$6:$AJ$505,"&gt;"&amp;$A103,実績!$AL$6:$AL$505,"○")&gt;0,1,0))</f>
        <v>0</v>
      </c>
      <c r="O103" s="39" t="n">
        <f aca="false">IF(O$4=0,0,IF(COUNTIFS(実績!$W$6:$W$505,O$3,実績!$AI$6:$AI$505,"&lt;="&amp;$A103,実績!$AJ$6:$AJ$505,"&gt;"&amp;$A103,実績!$AL$6:$AL$505,"○")&gt;0,1,0))</f>
        <v>0</v>
      </c>
      <c r="P103" s="39" t="n">
        <f aca="false">IF(P$4=0,0,IF(COUNTIFS(実績!$W$6:$W$505,P$3,実績!$AI$6:$AI$505,"&lt;="&amp;$A103,実績!$AJ$6:$AJ$505,"&gt;"&amp;$A103,実績!$AL$6:$AL$505,"○")&gt;0,1,0))</f>
        <v>0</v>
      </c>
      <c r="Q103" s="39" t="n">
        <f aca="false">IF(Q$4=0,0,IF(COUNTIFS(実績!$W$6:$W$505,Q$3,実績!$AI$6:$AI$505,"&lt;="&amp;$A103,実績!$AJ$6:$AJ$505,"&gt;"&amp;$A103,実績!$AL$6:$AL$505,"○")&gt;0,1,0))</f>
        <v>0</v>
      </c>
      <c r="R103" s="39" t="n">
        <f aca="false">IF(R$4=0,0,IF(COUNTIFS(実績!$W$6:$W$505,R$3,実績!$AI$6:$AI$505,"&lt;="&amp;$A103,実績!$AJ$6:$AJ$505,"&gt;"&amp;$A103,実績!$AL$6:$AL$505,"○")&gt;0,1,0))</f>
        <v>0</v>
      </c>
      <c r="S103" s="39" t="n">
        <f aca="false">IF(S$4=0,0,IF(COUNTIFS(実績!$W$6:$W$505,S$3,実績!$AI$6:$AI$505,"&lt;="&amp;$A103,実績!$AJ$6:$AJ$505,"&gt;"&amp;$A103,実績!$AL$6:$AL$505,"○")&gt;0,1,0))</f>
        <v>0</v>
      </c>
      <c r="T103" s="39" t="n">
        <f aca="false">IF(T$4=0,0,IF(COUNTIFS(実績!$W$6:$W$505,T$3,実績!$AI$6:$AI$505,"&lt;="&amp;$A103,実績!$AJ$6:$AJ$505,"&gt;"&amp;$A103,実績!$AL$6:$AL$505,"○")&gt;0,1,0))</f>
        <v>0</v>
      </c>
      <c r="U103" s="39" t="n">
        <f aca="false">IF(U$4=0,0,IF(COUNTIFS(実績!$W$6:$W$505,U$3,実績!$AI$6:$AI$505,"&lt;="&amp;$A103,実績!$AJ$6:$AJ$505,"&gt;"&amp;$A103,実績!$AL$6:$AL$505,"○")&gt;0,1,0))</f>
        <v>0</v>
      </c>
      <c r="V103" s="39" t="n">
        <f aca="false">IF(V$4=0,0,IF(COUNTIFS(実績!$W$6:$W$505,V$3,実績!$AI$6:$AI$505,"&lt;="&amp;$A103,実績!$AJ$6:$AJ$505,"&gt;"&amp;$A103,実績!$AL$6:$AL$505,"○")&gt;0,1,0))</f>
        <v>0</v>
      </c>
      <c r="W103" s="39" t="n">
        <f aca="false">IF(W$4=0,0,IF(COUNTIFS(実績!$W$6:$W$505,W$3,実績!$AI$6:$AI$505,"&lt;="&amp;$A103,実績!$AJ$6:$AJ$505,"&gt;"&amp;$A103,実績!$AL$6:$AL$505,"○")&gt;0,1,0))</f>
        <v>0</v>
      </c>
      <c r="X103" s="39" t="n">
        <f aca="false">IF(X$4=0,0,IF(COUNTIFS(実績!$W$6:$W$505,X$3,実績!$AI$6:$AI$505,"&lt;="&amp;$A103,実績!$AJ$6:$AJ$505,"&gt;"&amp;$A103,実績!$AL$6:$AL$505,"○")&gt;0,1,0))</f>
        <v>0</v>
      </c>
      <c r="Y103" s="39" t="n">
        <f aca="false">IF(Y$4=0,0,IF(COUNTIFS(実績!$W$6:$W$505,Y$3,実績!$AI$6:$AI$505,"&lt;="&amp;$A103,実績!$AJ$6:$AJ$505,"&gt;"&amp;$A103,実績!$AL$6:$AL$505,"○")&gt;0,1,0))</f>
        <v>0</v>
      </c>
      <c r="Z103" s="39" t="n">
        <f aca="false">IF(Z$4=0,0,IF(COUNTIFS(実績!$W$6:$W$505,Z$3,実績!$AI$6:$AI$505,"&lt;="&amp;$A103,実績!$AJ$6:$AJ$505,"&gt;"&amp;$A103,実績!$AL$6:$AL$505,"○")&gt;0,1,0))</f>
        <v>0</v>
      </c>
      <c r="AA103" s="39" t="n">
        <f aca="false">IF(AA$4=0,0,IF(COUNTIFS(実績!$W$6:$W$505,AA$3,実績!$AI$6:$AI$505,"&lt;="&amp;$A103,実績!$AJ$6:$AJ$505,"&gt;"&amp;$A103,実績!$AL$6:$AL$505,"○")&gt;0,1,0))</f>
        <v>0</v>
      </c>
      <c r="AB103" s="39" t="n">
        <f aca="false">IF(AB$4=0,0,IF(COUNTIFS(実績!$W$6:$W$505,AB$3,実績!$AI$6:$AI$505,"&lt;="&amp;$A103,実績!$AJ$6:$AJ$505,"&gt;"&amp;$A103,実績!$AL$6:$AL$505,"○")&gt;0,1,0))</f>
        <v>0</v>
      </c>
      <c r="AC103" s="39" t="n">
        <f aca="false">IF(AC$4=0,0,IF(COUNTIFS(実績!$W$6:$W$505,AC$3,実績!$AI$6:$AI$505,"&lt;="&amp;$A103,実績!$AJ$6:$AJ$505,"&gt;"&amp;$A103,実績!$AL$6:$AL$505,"○")&gt;0,1,0))</f>
        <v>0</v>
      </c>
      <c r="AD103" s="39" t="n">
        <f aca="false">IF(AD$4=0,0,IF(COUNTIFS(実績!$W$6:$W$505,AD$3,実績!$AI$6:$AI$505,"&lt;="&amp;$A103,実績!$AJ$6:$AJ$505,"&gt;"&amp;$A103,実績!$AL$6:$AL$505,"○")&gt;0,1,0))</f>
        <v>0</v>
      </c>
      <c r="AE103" s="39" t="n">
        <f aca="false">IF(AE$4=0,0,IF(COUNTIFS(実績!$W$6:$W$505,AE$3,実績!$AI$6:$AI$505,"&lt;="&amp;$A103,実績!$AJ$6:$AJ$505,"&gt;"&amp;$A103,実績!$AL$6:$AL$505,"○")&gt;0,1,0))</f>
        <v>0</v>
      </c>
      <c r="AF103" s="39" t="n">
        <f aca="false">IF(AF$4=0,0,IF(COUNTIFS(実績!$W$6:$W$505,AF$3,実績!$AI$6:$AI$505,"&lt;="&amp;$A103,実績!$AJ$6:$AJ$505,"&gt;"&amp;$A103,実績!$AL$6:$AL$505,"○")&gt;0,1,0))</f>
        <v>0</v>
      </c>
      <c r="AG103" s="39" t="n">
        <f aca="false">IF(AG$4=0,0,IF(COUNTIFS(実績!$W$6:$W$505,AG$3,実績!$AI$6:$AI$505,"&lt;="&amp;$A103,実績!$AJ$6:$AJ$505,"&gt;"&amp;$A103,実績!$AL$6:$AL$505,"○")&gt;0,1,0))</f>
        <v>0</v>
      </c>
      <c r="AH103" s="39" t="n">
        <f aca="false">IF(AH$4=0,0,IF(COUNTIFS(実績!$W$6:$W$505,AH$3,実績!$AI$6:$AI$505,"&lt;="&amp;$A103,実績!$AJ$6:$AJ$505,"&gt;"&amp;$A103,実績!$AL$6:$AL$505,"○")&gt;0,1,0))</f>
        <v>0</v>
      </c>
      <c r="AI103" s="39" t="n">
        <f aca="false">IF(AI$4=0,0,IF(COUNTIFS(実績!$W$6:$W$505,AI$3,実績!$AI$6:$AI$505,"&lt;="&amp;$A103,実績!$AJ$6:$AJ$505,"&gt;"&amp;$A103,実績!$AL$6:$AL$505,"○")&gt;0,1,0))</f>
        <v>0</v>
      </c>
      <c r="AJ103" s="39" t="n">
        <f aca="false">IF(AJ$4=0,0,IF(COUNTIFS(実績!$W$6:$W$505,AJ$3,実績!$AI$6:$AI$505,"&lt;="&amp;$A103,実績!$AJ$6:$AJ$505,"&gt;"&amp;$A103,実績!$AL$6:$AL$505,"○")&gt;0,1,0))</f>
        <v>0</v>
      </c>
      <c r="AK103" s="39" t="n">
        <f aca="false">IF(AK$4=0,0,IF(COUNTIFS(実績!$W$6:$W$505,AK$3,実績!$AI$6:$AI$505,"&lt;="&amp;$A103,実績!$AJ$6:$AJ$505,"&gt;"&amp;$A103,実績!$AL$6:$AL$505,"○")&gt;0,1,0))</f>
        <v>0</v>
      </c>
      <c r="AL103" s="39" t="n">
        <f aca="false">IF(AL$4=0,0,IF(COUNTIFS(実績!$W$6:$W$505,AL$3,実績!$AI$6:$AI$505,"&lt;="&amp;$A103,実績!$AJ$6:$AJ$505,"&gt;"&amp;$A103,実績!$AL$6:$AL$505,"○")&gt;0,1,0))</f>
        <v>0</v>
      </c>
      <c r="AM103" s="39" t="n">
        <f aca="false">IF(AM$4=0,0,IF(COUNTIFS(実績!$W$6:$W$505,AM$3,実績!$AI$6:$AI$505,"&lt;="&amp;$A103,実績!$AJ$6:$AJ$505,"&gt;"&amp;$A103,実績!$AL$6:$AL$505,"○")&gt;0,1,0))</f>
        <v>0</v>
      </c>
      <c r="AN103" s="39" t="n">
        <f aca="false">IF(AN$4=0,0,IF(COUNTIFS(実績!$W$6:$W$505,AN$3,実績!$AI$6:$AI$505,"&lt;="&amp;$A103,実績!$AJ$6:$AJ$505,"&gt;"&amp;$A103,実績!$AL$6:$AL$505,"○")&gt;0,1,0))</f>
        <v>0</v>
      </c>
      <c r="AO103" s="39" t="n">
        <f aca="false">IF(AO$4=0,0,IF(COUNTIFS(実績!$W$6:$W$505,AO$3,実績!$AI$6:$AI$505,"&lt;="&amp;$A103,実績!$AJ$6:$AJ$505,"&gt;"&amp;$A103,実績!$AL$6:$AL$505,"○")&gt;0,1,0))</f>
        <v>0</v>
      </c>
      <c r="AP103" s="39" t="n">
        <f aca="false">IF(AP$4=0,0,IF(COUNTIFS(実績!$W$6:$W$505,AP$3,実績!$AI$6:$AI$505,"&lt;="&amp;$A103,実績!$AJ$6:$AJ$505,"&gt;"&amp;$A103,実績!$AL$6:$AL$505,"○")&gt;0,1,0))</f>
        <v>0</v>
      </c>
      <c r="AQ103" s="39" t="n">
        <f aca="false">IF(AQ$4=0,0,IF(COUNTIFS(実績!$W$6:$W$505,AQ$3,実績!$AI$6:$AI$505,"&lt;="&amp;$A103,実績!$AJ$6:$AJ$505,"&gt;"&amp;$A103,実績!$AL$6:$AL$505,"○")&gt;0,1,0))</f>
        <v>0</v>
      </c>
      <c r="AR103" s="39" t="n">
        <f aca="false">IF(AR$4=0,0,IF(COUNTIFS(実績!$W$6:$W$505,AR$3,実績!$AI$6:$AI$505,"&lt;="&amp;$A103,実績!$AJ$6:$AJ$505,"&gt;"&amp;$A103,実績!$AL$6:$AL$505,"○")&gt;0,1,0))</f>
        <v>0</v>
      </c>
      <c r="AS103" s="39" t="n">
        <f aca="false">IF(AS$4=0,0,IF(COUNTIFS(実績!$W$6:$W$505,AS$3,実績!$AI$6:$AI$505,"&lt;="&amp;$A103,実績!$AJ$6:$AJ$505,"&gt;"&amp;$A103,実績!$AL$6:$AL$505,"○")&gt;0,1,0))</f>
        <v>0</v>
      </c>
      <c r="AT103" s="39" t="n">
        <f aca="false">IF(AT$4=0,0,IF(COUNTIFS(実績!$W$6:$W$505,AT$3,実績!$AI$6:$AI$505,"&lt;="&amp;$A103,実績!$AJ$6:$AJ$505,"&gt;"&amp;$A103,実績!$AL$6:$AL$505,"○")&gt;0,1,0))</f>
        <v>0</v>
      </c>
      <c r="AU103" s="39" t="n">
        <f aca="false">IF(AU$4=0,0,IF(COUNTIFS(実績!$W$6:$W$505,AU$3,実績!$AI$6:$AI$505,"&lt;="&amp;$A103,実績!$AJ$6:$AJ$505,"&gt;"&amp;$A103,実績!$AL$6:$AL$505,"○")&gt;0,1,0))</f>
        <v>0</v>
      </c>
      <c r="AV103" s="39" t="n">
        <f aca="false">IF(AV$4=0,0,IF(COUNTIFS(実績!$W$6:$W$505,AV$3,実績!$AI$6:$AI$505,"&lt;="&amp;$A103,実績!$AJ$6:$AJ$505,"&gt;"&amp;$A103,実績!$AL$6:$AL$505,"○")&gt;0,1,0))</f>
        <v>0</v>
      </c>
      <c r="AW103" s="39" t="n">
        <f aca="false">IF(AW$4=0,0,IF(COUNTIFS(実績!$W$6:$W$505,AW$3,実績!$AI$6:$AI$505,"&lt;="&amp;$A103,実績!$AJ$6:$AJ$505,"&gt;"&amp;$A103,実績!$AL$6:$AL$505,"○")&gt;0,1,0))</f>
        <v>0</v>
      </c>
      <c r="AX103" s="39" t="n">
        <f aca="false">IF(AX$4=0,0,IF(COUNTIFS(実績!$W$6:$W$505,AX$3,実績!$AI$6:$AI$505,"&lt;="&amp;$A103,実績!$AJ$6:$AJ$505,"&gt;"&amp;$A103,実績!$AL$6:$AL$505,"○")&gt;0,1,0))</f>
        <v>0</v>
      </c>
      <c r="AY103" s="39" t="n">
        <f aca="false">IF(AY$4=0,0,IF(COUNTIFS(実績!$W$6:$W$505,AY$3,実績!$AI$6:$AI$505,"&lt;="&amp;$A103,実績!$AJ$6:$AJ$505,"&gt;"&amp;$A103,実績!$AL$6:$AL$505,"○")&gt;0,1,0))</f>
        <v>0</v>
      </c>
      <c r="AZ103" s="39" t="n">
        <f aca="false">IF(AZ$4=0,0,IF(COUNTIFS(実績!$W$6:$W$505,AZ$3,実績!$AI$6:$AI$505,"&lt;="&amp;$A103,実績!$AJ$6:$AJ$505,"&gt;"&amp;$A103,実績!$AL$6:$AL$505,"○")&gt;0,1,0))</f>
        <v>0</v>
      </c>
      <c r="BA103" s="39" t="n">
        <f aca="false">IF(BA$4=0,0,IF(COUNTIFS(実績!$W$6:$W$505,BA$3,実績!$AI$6:$AI$505,"&lt;="&amp;$A103,実績!$AJ$6:$AJ$505,"&gt;"&amp;$A103,実績!$AL$6:$AL$505,"○")&gt;0,1,0))</f>
        <v>0</v>
      </c>
      <c r="BB103" s="39" t="n">
        <f aca="false">IF(BB$4=0,0,IF(COUNTIFS(実績!$W$6:$W$505,BB$3,実績!$AI$6:$AI$505,"&lt;="&amp;$A103,実績!$AJ$6:$AJ$505,"&gt;"&amp;$A103,実績!$AL$6:$AL$505,"○")&gt;0,1,0))</f>
        <v>0</v>
      </c>
      <c r="BC103" s="39" t="n">
        <f aca="false">IF(BC$4=0,0,IF(COUNTIFS(実績!$W$6:$W$505,BC$3,実績!$AI$6:$AI$505,"&lt;="&amp;$A103,実績!$AJ$6:$AJ$505,"&gt;"&amp;$A103,実績!$AL$6:$AL$505,"○")&gt;0,1,0))</f>
        <v>0</v>
      </c>
      <c r="BD103" s="39" t="n">
        <f aca="false">IF(BD$4=0,0,IF(COUNTIFS(実績!$W$6:$W$505,BD$3,実績!$AI$6:$AI$505,"&lt;="&amp;$A103,実績!$AJ$6:$AJ$505,"&gt;"&amp;$A103,実績!$AL$6:$AL$505,"○")&gt;0,1,0))</f>
        <v>0</v>
      </c>
      <c r="BE103" s="39" t="n">
        <f aca="false">IF(BE$4=0,0,IF(COUNTIFS(実績!$W$6:$W$505,BE$3,実績!$AI$6:$AI$505,"&lt;="&amp;$A103,実績!$AJ$6:$AJ$505,"&gt;"&amp;$A103,実績!$AL$6:$AL$505,"○")&gt;0,1,0))</f>
        <v>0</v>
      </c>
      <c r="BF103" s="39" t="n">
        <f aca="false">IF(BF$4=0,0,IF(COUNTIFS(実績!$W$6:$W$505,BF$3,実績!$AI$6:$AI$505,"&lt;="&amp;$A103,実績!$AJ$6:$AJ$505,"&gt;"&amp;$A103,実績!$AL$6:$AL$505,"○")&gt;0,1,0))</f>
        <v>0</v>
      </c>
      <c r="BG103" s="39" t="n">
        <f aca="false">IF(BG$4=0,0,IF(COUNTIFS(実績!$W$6:$W$505,BG$3,実績!$AI$6:$AI$505,"&lt;="&amp;$A103,実績!$AJ$6:$AJ$505,"&gt;"&amp;$A103,実績!$AL$6:$AL$505,"○")&gt;0,1,0))</f>
        <v>0</v>
      </c>
      <c r="BH103" s="39" t="n">
        <f aca="false">IF(BH$4=0,0,IF(COUNTIFS(実績!$W$6:$W$505,BH$3,実績!$AI$6:$AI$505,"&lt;="&amp;$A103,実績!$AJ$6:$AJ$505,"&gt;"&amp;$A103,実績!$AL$6:$AL$505,"○")&gt;0,1,0))</f>
        <v>0</v>
      </c>
      <c r="BI103" s="39" t="n">
        <f aca="false">IF(BI$4=0,0,IF(COUNTIFS(実績!$W$6:$W$505,BI$3,実績!$AI$6:$AI$505,"&lt;="&amp;$A103,実績!$AJ$6:$AJ$505,"&gt;"&amp;$A103,実績!$AL$6:$AL$505,"○")&gt;0,1,0))</f>
        <v>0</v>
      </c>
      <c r="BJ103" s="39" t="n">
        <f aca="false">IF(BJ$4=0,0,IF(COUNTIFS(実績!$W$6:$W$505,BJ$3,実績!$AI$6:$AI$505,"&lt;="&amp;$A103,実績!$AJ$6:$AJ$505,"&gt;"&amp;$A103,実績!$AL$6:$AL$505,"○")&gt;0,1,0))</f>
        <v>0</v>
      </c>
      <c r="BK103" s="39" t="n">
        <f aca="false">IF(BK$4=0,0,IF(COUNTIFS(実績!$W$6:$W$505,BK$3,実績!$AI$6:$AI$505,"&lt;="&amp;$A103,実績!$AJ$6:$AJ$505,"&gt;"&amp;$A103,実績!$AL$6:$AL$505,"○")&gt;0,1,0))</f>
        <v>0</v>
      </c>
      <c r="BL103" s="39" t="n">
        <f aca="false">IF(BL$4=0,0,IF(COUNTIFS(実績!$W$6:$W$505,BL$3,実績!$AI$6:$AI$505,"&lt;="&amp;$A103,実績!$AJ$6:$AJ$505,"&gt;"&amp;$A103,実績!$AL$6:$AL$505,"○")&gt;0,1,0))</f>
        <v>0</v>
      </c>
      <c r="BM103" s="39" t="n">
        <f aca="false">IF(BM$4=0,0,IF(COUNTIFS(実績!$W$6:$W$505,BM$3,実績!$AI$6:$AI$505,"&lt;="&amp;$A103,実績!$AJ$6:$AJ$505,"&gt;"&amp;$A103,実績!$AL$6:$AL$505,"○")&gt;0,1,0))</f>
        <v>0</v>
      </c>
      <c r="BN103" s="39" t="n">
        <f aca="false">IF(BN$4=0,0,IF(COUNTIFS(実績!$W$6:$W$505,BN$3,実績!$AI$6:$AI$505,"&lt;="&amp;$A103,実績!$AJ$6:$AJ$505,"&gt;"&amp;$A103,実績!$AL$6:$AL$505,"○")&gt;0,1,0))</f>
        <v>0</v>
      </c>
      <c r="BO103" s="39" t="n">
        <f aca="false">IF(BO$4=0,0,IF(COUNTIFS(実績!$W$6:$W$505,BO$3,実績!$AI$6:$AI$505,"&lt;="&amp;$A103,実績!$AJ$6:$AJ$505,"&gt;"&amp;$A103,実績!$AL$6:$AL$505,"○")&gt;0,1,0))</f>
        <v>0</v>
      </c>
      <c r="BP103" s="39" t="n">
        <f aca="false">IF(BP$4=0,0,IF(COUNTIFS(実績!$W$6:$W$505,BP$3,実績!$AI$6:$AI$505,"&lt;="&amp;$A103,実績!$AJ$6:$AJ$505,"&gt;"&amp;$A103,実績!$AL$6:$AL$505,"○")&gt;0,1,0))</f>
        <v>0</v>
      </c>
      <c r="BQ103" s="39" t="n">
        <f aca="false">IF(BQ$4=0,0,IF(COUNTIFS(実績!$W$6:$W$505,BQ$3,実績!$AI$6:$AI$505,"&lt;="&amp;$A103,実績!$AJ$6:$AJ$505,"&gt;"&amp;$A103,実績!$AL$6:$AL$505,"○")&gt;0,1,0))</f>
        <v>0</v>
      </c>
      <c r="BR103" s="39" t="n">
        <f aca="false">IF(BR$4=0,0,IF(COUNTIFS(実績!$W$6:$W$505,BR$3,実績!$AI$6:$AI$505,"&lt;="&amp;$A103,実績!$AJ$6:$AJ$505,"&gt;"&amp;$A103,実績!$AL$6:$AL$505,"○")&gt;0,1,0))</f>
        <v>0</v>
      </c>
      <c r="BS103" s="39" t="n">
        <f aca="false">IF(BS$4=0,0,IF(COUNTIFS(実績!$W$6:$W$505,BS$3,実績!$AI$6:$AI$505,"&lt;="&amp;$A103,実績!$AJ$6:$AJ$505,"&gt;"&amp;$A103,実績!$AL$6:$AL$505,"○")&gt;0,1,0))</f>
        <v>0</v>
      </c>
      <c r="BT103" s="39" t="n">
        <f aca="false">IF(BT$4=0,0,IF(COUNTIFS(実績!$W$6:$W$505,BT$3,実績!$AI$6:$AI$505,"&lt;="&amp;$A103,実績!$AJ$6:$AJ$505,"&gt;"&amp;$A103,実績!$AL$6:$AL$505,"○")&gt;0,1,0))</f>
        <v>0</v>
      </c>
      <c r="BU103" s="39" t="n">
        <f aca="false">IF(BU$4=0,0,IF(COUNTIFS(実績!$W$6:$W$505,BU$3,実績!$AI$6:$AI$505,"&lt;="&amp;$A103,実績!$AJ$6:$AJ$505,"&gt;"&amp;$A103,実績!$AL$6:$AL$505,"○")&gt;0,1,0))</f>
        <v>0</v>
      </c>
      <c r="BV103" s="39" t="n">
        <f aca="false">IF(BV$4=0,0,IF(COUNTIFS(実績!$W$6:$W$505,BV$3,実績!$AI$6:$AI$505,"&lt;="&amp;$A103,実績!$AJ$6:$AJ$505,"&gt;"&amp;$A103,実績!$AL$6:$AL$505,"○")&gt;0,1,0))</f>
        <v>0</v>
      </c>
      <c r="BW103" s="39" t="n">
        <f aca="false">IF(BW$4=0,0,IF(COUNTIFS(実績!$W$6:$W$505,BW$3,実績!$AI$6:$AI$505,"&lt;="&amp;$A103,実績!$AJ$6:$AJ$505,"&gt;"&amp;$A103,実績!$AL$6:$AL$505,"○")&gt;0,1,0))</f>
        <v>0</v>
      </c>
      <c r="BX103" s="39" t="n">
        <f aca="false">IF(BX$4=0,0,IF(COUNTIFS(実績!$W$6:$W$505,BX$3,実績!$AI$6:$AI$505,"&lt;="&amp;$A103,実績!$AJ$6:$AJ$505,"&gt;"&amp;$A103,実績!$AL$6:$AL$505,"○")&gt;0,1,0))</f>
        <v>0</v>
      </c>
      <c r="BY103" s="39" t="n">
        <f aca="false">IF(BY$4=0,0,IF(COUNTIFS(実績!$W$6:$W$505,BY$3,実績!$AI$6:$AI$505,"&lt;="&amp;$A103,実績!$AJ$6:$AJ$505,"&gt;"&amp;$A103,実績!$AL$6:$AL$505,"○")&gt;0,1,0))</f>
        <v>0</v>
      </c>
      <c r="BZ103" s="39" t="n">
        <f aca="false">IF(BZ$4=0,0,IF(COUNTIFS(実績!$W$6:$W$505,BZ$3,実績!$AI$6:$AI$505,"&lt;="&amp;$A103,実績!$AJ$6:$AJ$505,"&gt;"&amp;$A103,実績!$AL$6:$AL$505,"○")&gt;0,1,0))</f>
        <v>0</v>
      </c>
      <c r="CA103" s="39" t="n">
        <f aca="false">IF(CA$4=0,0,IF(COUNTIFS(実績!$W$6:$W$505,CA$3,実績!$AI$6:$AI$505,"&lt;="&amp;$A103,実績!$AJ$6:$AJ$505,"&gt;"&amp;$A103,実績!$AL$6:$AL$505,"○")&gt;0,1,0))</f>
        <v>0</v>
      </c>
      <c r="CB103" s="39" t="n">
        <f aca="false">IF(CB$4=0,0,IF(COUNTIFS(実績!$W$6:$W$505,CB$3,実績!$AI$6:$AI$505,"&lt;="&amp;$A103,実績!$AJ$6:$AJ$505,"&gt;"&amp;$A103,実績!$AL$6:$AL$505,"○")&gt;0,1,0))</f>
        <v>0</v>
      </c>
      <c r="CC103" s="39" t="n">
        <f aca="false">IF(CC$4=0,0,IF(COUNTIFS(実績!$W$6:$W$505,CC$3,実績!$AI$6:$AI$505,"&lt;="&amp;$A103,実績!$AJ$6:$AJ$505,"&gt;"&amp;$A103,実績!$AL$6:$AL$505,"○")&gt;0,1,0))</f>
        <v>0</v>
      </c>
      <c r="CD103" s="39" t="n">
        <f aca="false">IF(CD$4=0,0,IF(COUNTIFS(実績!$W$6:$W$505,CD$3,実績!$AI$6:$AI$505,"&lt;="&amp;$A103,実績!$AJ$6:$AJ$505,"&gt;"&amp;$A103,実績!$AL$6:$AL$505,"○")&gt;0,1,0))</f>
        <v>0</v>
      </c>
      <c r="CE103" s="39" t="n">
        <f aca="false">IF(CE$4=0,0,IF(COUNTIFS(実績!$W$6:$W$505,CE$3,実績!$AI$6:$AI$505,"&lt;="&amp;$A103,実績!$AJ$6:$AJ$505,"&gt;"&amp;$A103,実績!$AL$6:$AL$505,"○")&gt;0,1,0))</f>
        <v>0</v>
      </c>
      <c r="CF103" s="39" t="n">
        <f aca="false">IF(CF$4=0,0,IF(COUNTIFS(実績!$W$6:$W$505,CF$3,実績!$AI$6:$AI$505,"&lt;="&amp;$A103,実績!$AJ$6:$AJ$505,"&gt;"&amp;$A103,実績!$AL$6:$AL$505,"○")&gt;0,1,0))</f>
        <v>0</v>
      </c>
      <c r="CG103" s="39" t="n">
        <f aca="false">IF(CG$4=0,0,IF(COUNTIFS(実績!$W$6:$W$505,CG$3,実績!$AI$6:$AI$505,"&lt;="&amp;$A103,実績!$AJ$6:$AJ$505,"&gt;"&amp;$A103,実績!$AL$6:$AL$505,"○")&gt;0,1,0))</f>
        <v>0</v>
      </c>
      <c r="CH103" s="39" t="n">
        <f aca="false">IF(CH$4=0,0,IF(COUNTIFS(実績!$W$6:$W$505,CH$3,実績!$AI$6:$AI$505,"&lt;="&amp;$A103,実績!$AJ$6:$AJ$505,"&gt;"&amp;$A103,実績!$AL$6:$AL$505,"○")&gt;0,1,0))</f>
        <v>0</v>
      </c>
      <c r="CI103" s="39" t="n">
        <f aca="false">IF(CI$4=0,0,IF(COUNTIFS(実績!$W$6:$W$505,CI$3,実績!$AI$6:$AI$505,"&lt;="&amp;$A103,実績!$AJ$6:$AJ$505,"&gt;"&amp;$A103,実績!$AL$6:$AL$505,"○")&gt;0,1,0))</f>
        <v>0</v>
      </c>
      <c r="CJ103" s="39" t="n">
        <f aca="false">IF(CJ$4=0,0,IF(COUNTIFS(実績!$W$6:$W$505,CJ$3,実績!$AI$6:$AI$505,"&lt;="&amp;$A103,実績!$AJ$6:$AJ$505,"&gt;"&amp;$A103,実績!$AL$6:$AL$505,"○")&gt;0,1,0))</f>
        <v>0</v>
      </c>
      <c r="CK103" s="39" t="n">
        <f aca="false">IF(CK$4=0,0,IF(COUNTIFS(実績!$W$6:$W$505,CK$3,実績!$AI$6:$AI$505,"&lt;="&amp;$A103,実績!$AJ$6:$AJ$505,"&gt;"&amp;$A103,実績!$AL$6:$AL$505,"○")&gt;0,1,0))</f>
        <v>0</v>
      </c>
      <c r="CL103" s="39" t="n">
        <f aca="false">IF(CL$4=0,0,IF(COUNTIFS(実績!$W$6:$W$505,CL$3,実績!$AI$6:$AI$505,"&lt;="&amp;$A103,実績!$AJ$6:$AJ$505,"&gt;"&amp;$A103,実績!$AL$6:$AL$505,"○")&gt;0,1,0))</f>
        <v>0</v>
      </c>
      <c r="CM103" s="39" t="n">
        <f aca="false">IF(CM$4=0,0,IF(COUNTIFS(実績!$W$6:$W$505,CM$3,実績!$AI$6:$AI$505,"&lt;="&amp;$A103,実績!$AJ$6:$AJ$505,"&gt;"&amp;$A103,実績!$AL$6:$AL$505,"○")&gt;0,1,0))</f>
        <v>0</v>
      </c>
      <c r="CN103" s="39" t="n">
        <f aca="false">IF(CN$4=0,0,IF(COUNTIFS(実績!$W$6:$W$505,CN$3,実績!$AI$6:$AI$505,"&lt;="&amp;$A103,実績!$AJ$6:$AJ$505,"&gt;"&amp;$A103,実績!$AL$6:$AL$505,"○")&gt;0,1,0))</f>
        <v>0</v>
      </c>
      <c r="CO103" s="39" t="n">
        <f aca="false">IF(CO$4=0,0,IF(COUNTIFS(実績!$W$6:$W$505,CO$3,実績!$AI$6:$AI$505,"&lt;="&amp;$A103,実績!$AJ$6:$AJ$505,"&gt;"&amp;$A103,実績!$AL$6:$AL$505,"○")&gt;0,1,0))</f>
        <v>0</v>
      </c>
      <c r="CP103" s="39" t="n">
        <f aca="false">IF(CP$4=0,0,IF(COUNTIFS(実績!$W$6:$W$505,CP$3,実績!$AI$6:$AI$505,"&lt;="&amp;$A103,実績!$AJ$6:$AJ$505,"&gt;"&amp;$A103,実績!$AL$6:$AL$505,"○")&gt;0,1,0))</f>
        <v>0</v>
      </c>
      <c r="CQ103" s="39" t="n">
        <f aca="false">IF(CQ$4=0,0,IF(COUNTIFS(実績!$W$6:$W$505,CQ$3,実績!$AI$6:$AI$505,"&lt;="&amp;$A103,実績!$AJ$6:$AJ$505,"&gt;"&amp;$A103,実績!$AL$6:$AL$505,"○")&gt;0,1,0))</f>
        <v>0</v>
      </c>
      <c r="CR103" s="39" t="n">
        <f aca="false">IF(CR$4=0,0,IF(COUNTIFS(実績!$W$6:$W$505,CR$3,実績!$AI$6:$AI$505,"&lt;="&amp;$A103,実績!$AJ$6:$AJ$505,"&gt;"&amp;$A103,実績!$AL$6:$AL$505,"○")&gt;0,1,0))</f>
        <v>0</v>
      </c>
      <c r="CS103" s="39" t="n">
        <f aca="false">IF(CS$4=0,0,IF(COUNTIFS(実績!$W$6:$W$505,CS$3,実績!$AI$6:$AI$505,"&lt;="&amp;$A103,実績!$AJ$6:$AJ$505,"&gt;"&amp;$A103,実績!$AL$6:$AL$505,"○")&gt;0,1,0))</f>
        <v>0</v>
      </c>
      <c r="CT103" s="39" t="n">
        <f aca="false">IF(CT$4=0,0,IF(COUNTIFS(実績!$W$6:$W$505,CT$3,実績!$AI$6:$AI$505,"&lt;="&amp;$A103,実績!$AJ$6:$AJ$505,"&gt;"&amp;$A103,実績!$AL$6:$AL$505,"○")&gt;0,1,0))</f>
        <v>0</v>
      </c>
      <c r="CU103" s="39" t="n">
        <f aca="false">IF(CU$4=0,0,IF(COUNTIFS(実績!$W$6:$W$505,CU$3,実績!$AI$6:$AI$505,"&lt;="&amp;$A103,実績!$AJ$6:$AJ$505,"&gt;"&amp;$A103,実績!$AL$6:$AL$505,"○")&gt;0,1,0))</f>
        <v>0</v>
      </c>
      <c r="CV103" s="39" t="n">
        <f aca="false">IF(CV$4=0,0,IF(COUNTIFS(実績!$W$6:$W$505,CV$3,実績!$AI$6:$AI$505,"&lt;="&amp;$A103,実績!$AJ$6:$AJ$505,"&gt;"&amp;$A103,実績!$AL$6:$AL$505,"○")&gt;0,1,0))</f>
        <v>0</v>
      </c>
      <c r="CW103" s="39" t="n">
        <f aca="false">IF(CW$4=0,0,IF(COUNTIFS(実績!$W$6:$W$505,CW$3,実績!$AI$6:$AI$505,"&lt;="&amp;$A103,実績!$AJ$6:$AJ$505,"&gt;"&amp;$A103,実績!$AL$6:$AL$505,"○")&gt;0,1,0))</f>
        <v>0</v>
      </c>
      <c r="CX103" s="39" t="n">
        <f aca="false">IF(CX$4=0,0,IF(COUNTIFS(実績!$W$6:$W$505,CX$3,実績!$AI$6:$AI$505,"&lt;="&amp;$A103,実績!$AJ$6:$AJ$505,"&gt;"&amp;$A103,実績!$AL$6:$AL$505,"○")&gt;0,1,0))</f>
        <v>0</v>
      </c>
      <c r="CY103" s="39" t="n">
        <f aca="false">IF(CY$4=0,0,IF(COUNTIFS(実績!$W$6:$W$505,CY$3,実績!$AI$6:$AI$505,"&lt;="&amp;$A103,実績!$AJ$6:$AJ$505,"&gt;"&amp;$A103,実績!$AL$6:$AL$505,"○")&gt;0,1,0))</f>
        <v>0</v>
      </c>
      <c r="CZ103" s="39" t="n">
        <f aca="false">IF(CZ$4=0,0,IF(COUNTIFS(実績!$W$6:$W$505,CZ$3,実績!$AI$6:$AI$505,"&lt;="&amp;$A103,実績!$AJ$6:$AJ$505,"&gt;"&amp;$A103,実績!$AL$6:$AL$505,"○")&gt;0,1,0))</f>
        <v>0</v>
      </c>
      <c r="DA103" s="39" t="n">
        <f aca="false">IF(DA$4=0,0,IF(COUNTIFS(実績!$W$6:$W$505,DA$3,実績!$AI$6:$AI$505,"&lt;="&amp;$A103,実績!$AJ$6:$AJ$505,"&gt;"&amp;$A103,実績!$AL$6:$AL$505,"○")&gt;0,1,0))</f>
        <v>0</v>
      </c>
      <c r="DB103" s="39" t="n">
        <f aca="false">IF(DB$4=0,0,IF(COUNTIFS(実績!$W$6:$W$505,DB$3,実績!$AI$6:$AI$505,"&lt;="&amp;$A103,実績!$AJ$6:$AJ$505,"&gt;"&amp;$A103,実績!$AL$6:$AL$505,"○")&gt;0,1,0))</f>
        <v>0</v>
      </c>
      <c r="DC103" s="39" t="n">
        <f aca="false">IF(DC$4=0,0,IF(COUNTIFS(実績!$W$6:$W$505,DC$3,実績!$AI$6:$AI$505,"&lt;="&amp;$A103,実績!$AJ$6:$AJ$505,"&gt;"&amp;$A103,実績!$AL$6:$AL$505,"○")&gt;0,1,0))</f>
        <v>0</v>
      </c>
      <c r="DD103" s="39" t="n">
        <f aca="false">IF(DD$4=0,0,IF(COUNTIFS(実績!$W$6:$W$505,DD$3,実績!$AI$6:$AI$505,"&lt;="&amp;$A103,実績!$AJ$6:$AJ$505,"&gt;"&amp;$A103,実績!$AL$6:$AL$505,"○")&gt;0,1,0))</f>
        <v>0</v>
      </c>
      <c r="DE103" s="39" t="n">
        <f aca="false">IF(DE$4=0,0,IF(COUNTIFS(実績!$W$6:$W$505,DE$3,実績!$AI$6:$AI$505,"&lt;="&amp;$A103,実績!$AJ$6:$AJ$505,"&gt;"&amp;$A103,実績!$AL$6:$AL$505,"○")&gt;0,1,0))</f>
        <v>0</v>
      </c>
      <c r="DF103" s="39" t="n">
        <f aca="false">IF(DF$4=0,0,IF(COUNTIFS(実績!$W$6:$W$505,DF$3,実績!$AI$6:$AI$505,"&lt;="&amp;$A103,実績!$AJ$6:$AJ$505,"&gt;"&amp;$A103,実績!$AL$6:$AL$505,"○")&gt;0,1,0))</f>
        <v>0</v>
      </c>
      <c r="DG103" s="39" t="n">
        <f aca="false">IF(DG$4=0,0,IF(COUNTIFS(実績!$W$6:$W$505,DG$3,実績!$AI$6:$AI$505,"&lt;="&amp;$A103,実績!$AJ$6:$AJ$505,"&gt;"&amp;$A103,実績!$AL$6:$AL$505,"○")&gt;0,1,0))</f>
        <v>0</v>
      </c>
      <c r="DH103" s="39" t="n">
        <f aca="false">IF(DH$4=0,0,IF(COUNTIFS(実績!$W$6:$W$505,DH$3,実績!$AI$6:$AI$505,"&lt;="&amp;$A103,実績!$AJ$6:$AJ$505,"&gt;"&amp;$A103,実績!$AL$6:$AL$505,"○")&gt;0,1,0))</f>
        <v>0</v>
      </c>
      <c r="DI103" s="39" t="n">
        <f aca="false">IF(DI$4=0,0,IF(COUNTIFS(実績!$W$6:$W$505,DI$3,実績!$AI$6:$AI$505,"&lt;="&amp;$A103,実績!$AJ$6:$AJ$505,"&gt;"&amp;$A103,実績!$AL$6:$AL$505,"○")&gt;0,1,0))</f>
        <v>0</v>
      </c>
      <c r="DJ103" s="39" t="n">
        <f aca="false">IF(DJ$4=0,0,IF(COUNTIFS(実績!$W$6:$W$505,DJ$3,実績!$AI$6:$AI$505,"&lt;="&amp;$A103,実績!$AJ$6:$AJ$505,"&gt;"&amp;$A103,実績!$AL$6:$AL$505,"○")&gt;0,1,0))</f>
        <v>0</v>
      </c>
      <c r="DK103" s="39" t="n">
        <f aca="false">IF(DK$4=0,0,IF(COUNTIFS(実績!$W$6:$W$505,DK$3,実績!$AI$6:$AI$505,"&lt;="&amp;$A103,実績!$AJ$6:$AJ$505,"&gt;"&amp;$A103,実績!$AL$6:$AL$505,"○")&gt;0,1,0))</f>
        <v>0</v>
      </c>
      <c r="DL103" s="39" t="n">
        <f aca="false">IF(DL$4=0,0,IF(COUNTIFS(実績!$W$6:$W$505,DL$3,実績!$AI$6:$AI$505,"&lt;="&amp;$A103,実績!$AJ$6:$AJ$505,"&gt;"&amp;$A103,実績!$AL$6:$AL$505,"○")&gt;0,1,0))</f>
        <v>0</v>
      </c>
      <c r="DM103" s="39" t="n">
        <f aca="false">IF(DM$4=0,0,IF(COUNTIFS(実績!$W$6:$W$505,DM$3,実績!$AI$6:$AI$505,"&lt;="&amp;$A103,実績!$AJ$6:$AJ$505,"&gt;"&amp;$A103,実績!$AL$6:$AL$505,"○")&gt;0,1,0))</f>
        <v>0</v>
      </c>
      <c r="DN103" s="39" t="n">
        <f aca="false">IF(DN$4=0,0,IF(COUNTIFS(実績!$W$6:$W$505,DN$3,実績!$AI$6:$AI$505,"&lt;="&amp;$A103,実績!$AJ$6:$AJ$505,"&gt;"&amp;$A103,実績!$AL$6:$AL$505,"○")&gt;0,1,0))</f>
        <v>0</v>
      </c>
      <c r="DO103" s="39" t="n">
        <f aca="false">IF(DO$4=0,0,IF(COUNTIFS(実績!$W$6:$W$505,DO$3,実績!$AI$6:$AI$505,"&lt;="&amp;$A103,実績!$AJ$6:$AJ$505,"&gt;"&amp;$A103,実績!$AL$6:$AL$505,"○")&gt;0,1,0))</f>
        <v>0</v>
      </c>
      <c r="DP103" s="39" t="n">
        <f aca="false">IF(DP$4=0,0,IF(COUNTIFS(実績!$W$6:$W$505,DP$3,実績!$AI$6:$AI$505,"&lt;="&amp;$A103,実績!$AJ$6:$AJ$505,"&gt;"&amp;$A103,実績!$AL$6:$AL$505,"○")&gt;0,1,0))</f>
        <v>0</v>
      </c>
      <c r="DQ103" s="39" t="n">
        <f aca="false">IF(DQ$4=0,0,IF(COUNTIFS(実績!$W$6:$W$505,DQ$3,実績!$AI$6:$AI$505,"&lt;="&amp;$A103,実績!$AJ$6:$AJ$505,"&gt;"&amp;$A103,実績!$AL$6:$AL$505,"○")&gt;0,1,0))</f>
        <v>0</v>
      </c>
      <c r="DR103" s="39" t="n">
        <f aca="false">IF(DR$4=0,0,IF(COUNTIFS(実績!$W$6:$W$505,DR$3,実績!$AI$6:$AI$505,"&lt;="&amp;$A103,実績!$AJ$6:$AJ$505,"&gt;"&amp;$A103,実績!$AL$6:$AL$505,"○")&gt;0,1,0))</f>
        <v>0</v>
      </c>
      <c r="DS103" s="39" t="n">
        <f aca="false">SUM(C103:DR103)</f>
        <v>0</v>
      </c>
    </row>
    <row r="104" customFormat="false" ht="15" hidden="false" customHeight="false" outlineLevel="0" collapsed="false">
      <c r="A104" s="0" t="n">
        <v>490</v>
      </c>
      <c r="B104" s="38" t="n">
        <f aca="false">A104/1440</f>
        <v>0.340277777777778</v>
      </c>
      <c r="C104" s="39" t="n">
        <f aca="false">IF(C$4=0,0,IF(COUNTIFS(実績!$W$6:$W$505,C$3,実績!$AI$6:$AI$505,"&lt;="&amp;$A104,実績!$AJ$6:$AJ$505,"&gt;"&amp;$A104,実績!$AL$6:$AL$505,"○")&gt;0,1,0))</f>
        <v>0</v>
      </c>
      <c r="D104" s="39" t="n">
        <f aca="false">IF(D$4=0,0,IF(COUNTIFS(実績!$W$6:$W$505,D$3,実績!$AI$6:$AI$505,"&lt;="&amp;$A104,実績!$AJ$6:$AJ$505,"&gt;"&amp;$A104,実績!$AL$6:$AL$505,"○")&gt;0,1,0))</f>
        <v>0</v>
      </c>
      <c r="E104" s="39" t="n">
        <f aca="false">IF(E$4=0,0,IF(COUNTIFS(実績!$W$6:$W$505,E$3,実績!$AI$6:$AI$505,"&lt;="&amp;$A104,実績!$AJ$6:$AJ$505,"&gt;"&amp;$A104,実績!$AL$6:$AL$505,"○")&gt;0,1,0))</f>
        <v>0</v>
      </c>
      <c r="F104" s="39" t="n">
        <f aca="false">IF(F$4=0,0,IF(COUNTIFS(実績!$W$6:$W$505,F$3,実績!$AI$6:$AI$505,"&lt;="&amp;$A104,実績!$AJ$6:$AJ$505,"&gt;"&amp;$A104,実績!$AL$6:$AL$505,"○")&gt;0,1,0))</f>
        <v>0</v>
      </c>
      <c r="G104" s="39" t="n">
        <f aca="false">IF(G$4=0,0,IF(COUNTIFS(実績!$W$6:$W$505,G$3,実績!$AI$6:$AI$505,"&lt;="&amp;$A104,実績!$AJ$6:$AJ$505,"&gt;"&amp;$A104,実績!$AL$6:$AL$505,"○")&gt;0,1,0))</f>
        <v>0</v>
      </c>
      <c r="H104" s="39" t="n">
        <f aca="false">IF(H$4=0,0,IF(COUNTIFS(実績!$W$6:$W$505,H$3,実績!$AI$6:$AI$505,"&lt;="&amp;$A104,実績!$AJ$6:$AJ$505,"&gt;"&amp;$A104,実績!$AL$6:$AL$505,"○")&gt;0,1,0))</f>
        <v>0</v>
      </c>
      <c r="I104" s="39" t="n">
        <f aca="false">IF(I$4=0,0,IF(COUNTIFS(実績!$W$6:$W$505,I$3,実績!$AI$6:$AI$505,"&lt;="&amp;$A104,実績!$AJ$6:$AJ$505,"&gt;"&amp;$A104,実績!$AL$6:$AL$505,"○")&gt;0,1,0))</f>
        <v>0</v>
      </c>
      <c r="J104" s="39" t="n">
        <f aca="false">IF(J$4=0,0,IF(COUNTIFS(実績!$W$6:$W$505,J$3,実績!$AI$6:$AI$505,"&lt;="&amp;$A104,実績!$AJ$6:$AJ$505,"&gt;"&amp;$A104,実績!$AL$6:$AL$505,"○")&gt;0,1,0))</f>
        <v>0</v>
      </c>
      <c r="K104" s="39" t="n">
        <f aca="false">IF(K$4=0,0,IF(COUNTIFS(実績!$W$6:$W$505,K$3,実績!$AI$6:$AI$505,"&lt;="&amp;$A104,実績!$AJ$6:$AJ$505,"&gt;"&amp;$A104,実績!$AL$6:$AL$505,"○")&gt;0,1,0))</f>
        <v>0</v>
      </c>
      <c r="L104" s="39" t="n">
        <f aca="false">IF(L$4=0,0,IF(COUNTIFS(実績!$W$6:$W$505,L$3,実績!$AI$6:$AI$505,"&lt;="&amp;$A104,実績!$AJ$6:$AJ$505,"&gt;"&amp;$A104,実績!$AL$6:$AL$505,"○")&gt;0,1,0))</f>
        <v>0</v>
      </c>
      <c r="M104" s="39" t="n">
        <f aca="false">IF(M$4=0,0,IF(COUNTIFS(実績!$W$6:$W$505,M$3,実績!$AI$6:$AI$505,"&lt;="&amp;$A104,実績!$AJ$6:$AJ$505,"&gt;"&amp;$A104,実績!$AL$6:$AL$505,"○")&gt;0,1,0))</f>
        <v>0</v>
      </c>
      <c r="N104" s="39" t="n">
        <f aca="false">IF(N$4=0,0,IF(COUNTIFS(実績!$W$6:$W$505,N$3,実績!$AI$6:$AI$505,"&lt;="&amp;$A104,実績!$AJ$6:$AJ$505,"&gt;"&amp;$A104,実績!$AL$6:$AL$505,"○")&gt;0,1,0))</f>
        <v>0</v>
      </c>
      <c r="O104" s="39" t="n">
        <f aca="false">IF(O$4=0,0,IF(COUNTIFS(実績!$W$6:$W$505,O$3,実績!$AI$6:$AI$505,"&lt;="&amp;$A104,実績!$AJ$6:$AJ$505,"&gt;"&amp;$A104,実績!$AL$6:$AL$505,"○")&gt;0,1,0))</f>
        <v>0</v>
      </c>
      <c r="P104" s="39" t="n">
        <f aca="false">IF(P$4=0,0,IF(COUNTIFS(実績!$W$6:$W$505,P$3,実績!$AI$6:$AI$505,"&lt;="&amp;$A104,実績!$AJ$6:$AJ$505,"&gt;"&amp;$A104,実績!$AL$6:$AL$505,"○")&gt;0,1,0))</f>
        <v>0</v>
      </c>
      <c r="Q104" s="39" t="n">
        <f aca="false">IF(Q$4=0,0,IF(COUNTIFS(実績!$W$6:$W$505,Q$3,実績!$AI$6:$AI$505,"&lt;="&amp;$A104,実績!$AJ$6:$AJ$505,"&gt;"&amp;$A104,実績!$AL$6:$AL$505,"○")&gt;0,1,0))</f>
        <v>0</v>
      </c>
      <c r="R104" s="39" t="n">
        <f aca="false">IF(R$4=0,0,IF(COUNTIFS(実績!$W$6:$W$505,R$3,実績!$AI$6:$AI$505,"&lt;="&amp;$A104,実績!$AJ$6:$AJ$505,"&gt;"&amp;$A104,実績!$AL$6:$AL$505,"○")&gt;0,1,0))</f>
        <v>0</v>
      </c>
      <c r="S104" s="39" t="n">
        <f aca="false">IF(S$4=0,0,IF(COUNTIFS(実績!$W$6:$W$505,S$3,実績!$AI$6:$AI$505,"&lt;="&amp;$A104,実績!$AJ$6:$AJ$505,"&gt;"&amp;$A104,実績!$AL$6:$AL$505,"○")&gt;0,1,0))</f>
        <v>0</v>
      </c>
      <c r="T104" s="39" t="n">
        <f aca="false">IF(T$4=0,0,IF(COUNTIFS(実績!$W$6:$W$505,T$3,実績!$AI$6:$AI$505,"&lt;="&amp;$A104,実績!$AJ$6:$AJ$505,"&gt;"&amp;$A104,実績!$AL$6:$AL$505,"○")&gt;0,1,0))</f>
        <v>0</v>
      </c>
      <c r="U104" s="39" t="n">
        <f aca="false">IF(U$4=0,0,IF(COUNTIFS(実績!$W$6:$W$505,U$3,実績!$AI$6:$AI$505,"&lt;="&amp;$A104,実績!$AJ$6:$AJ$505,"&gt;"&amp;$A104,実績!$AL$6:$AL$505,"○")&gt;0,1,0))</f>
        <v>0</v>
      </c>
      <c r="V104" s="39" t="n">
        <f aca="false">IF(V$4=0,0,IF(COUNTIFS(実績!$W$6:$W$505,V$3,実績!$AI$6:$AI$505,"&lt;="&amp;$A104,実績!$AJ$6:$AJ$505,"&gt;"&amp;$A104,実績!$AL$6:$AL$505,"○")&gt;0,1,0))</f>
        <v>0</v>
      </c>
      <c r="W104" s="39" t="n">
        <f aca="false">IF(W$4=0,0,IF(COUNTIFS(実績!$W$6:$W$505,W$3,実績!$AI$6:$AI$505,"&lt;="&amp;$A104,実績!$AJ$6:$AJ$505,"&gt;"&amp;$A104,実績!$AL$6:$AL$505,"○")&gt;0,1,0))</f>
        <v>0</v>
      </c>
      <c r="X104" s="39" t="n">
        <f aca="false">IF(X$4=0,0,IF(COUNTIFS(実績!$W$6:$W$505,X$3,実績!$AI$6:$AI$505,"&lt;="&amp;$A104,実績!$AJ$6:$AJ$505,"&gt;"&amp;$A104,実績!$AL$6:$AL$505,"○")&gt;0,1,0))</f>
        <v>0</v>
      </c>
      <c r="Y104" s="39" t="n">
        <f aca="false">IF(Y$4=0,0,IF(COUNTIFS(実績!$W$6:$W$505,Y$3,実績!$AI$6:$AI$505,"&lt;="&amp;$A104,実績!$AJ$6:$AJ$505,"&gt;"&amp;$A104,実績!$AL$6:$AL$505,"○")&gt;0,1,0))</f>
        <v>0</v>
      </c>
      <c r="Z104" s="39" t="n">
        <f aca="false">IF(Z$4=0,0,IF(COUNTIFS(実績!$W$6:$W$505,Z$3,実績!$AI$6:$AI$505,"&lt;="&amp;$A104,実績!$AJ$6:$AJ$505,"&gt;"&amp;$A104,実績!$AL$6:$AL$505,"○")&gt;0,1,0))</f>
        <v>0</v>
      </c>
      <c r="AA104" s="39" t="n">
        <f aca="false">IF(AA$4=0,0,IF(COUNTIFS(実績!$W$6:$W$505,AA$3,実績!$AI$6:$AI$505,"&lt;="&amp;$A104,実績!$AJ$6:$AJ$505,"&gt;"&amp;$A104,実績!$AL$6:$AL$505,"○")&gt;0,1,0))</f>
        <v>0</v>
      </c>
      <c r="AB104" s="39" t="n">
        <f aca="false">IF(AB$4=0,0,IF(COUNTIFS(実績!$W$6:$W$505,AB$3,実績!$AI$6:$AI$505,"&lt;="&amp;$A104,実績!$AJ$6:$AJ$505,"&gt;"&amp;$A104,実績!$AL$6:$AL$505,"○")&gt;0,1,0))</f>
        <v>0</v>
      </c>
      <c r="AC104" s="39" t="n">
        <f aca="false">IF(AC$4=0,0,IF(COUNTIFS(実績!$W$6:$W$505,AC$3,実績!$AI$6:$AI$505,"&lt;="&amp;$A104,実績!$AJ$6:$AJ$505,"&gt;"&amp;$A104,実績!$AL$6:$AL$505,"○")&gt;0,1,0))</f>
        <v>0</v>
      </c>
      <c r="AD104" s="39" t="n">
        <f aca="false">IF(AD$4=0,0,IF(COUNTIFS(実績!$W$6:$W$505,AD$3,実績!$AI$6:$AI$505,"&lt;="&amp;$A104,実績!$AJ$6:$AJ$505,"&gt;"&amp;$A104,実績!$AL$6:$AL$505,"○")&gt;0,1,0))</f>
        <v>0</v>
      </c>
      <c r="AE104" s="39" t="n">
        <f aca="false">IF(AE$4=0,0,IF(COUNTIFS(実績!$W$6:$W$505,AE$3,実績!$AI$6:$AI$505,"&lt;="&amp;$A104,実績!$AJ$6:$AJ$505,"&gt;"&amp;$A104,実績!$AL$6:$AL$505,"○")&gt;0,1,0))</f>
        <v>0</v>
      </c>
      <c r="AF104" s="39" t="n">
        <f aca="false">IF(AF$4=0,0,IF(COUNTIFS(実績!$W$6:$W$505,AF$3,実績!$AI$6:$AI$505,"&lt;="&amp;$A104,実績!$AJ$6:$AJ$505,"&gt;"&amp;$A104,実績!$AL$6:$AL$505,"○")&gt;0,1,0))</f>
        <v>0</v>
      </c>
      <c r="AG104" s="39" t="n">
        <f aca="false">IF(AG$4=0,0,IF(COUNTIFS(実績!$W$6:$W$505,AG$3,実績!$AI$6:$AI$505,"&lt;="&amp;$A104,実績!$AJ$6:$AJ$505,"&gt;"&amp;$A104,実績!$AL$6:$AL$505,"○")&gt;0,1,0))</f>
        <v>0</v>
      </c>
      <c r="AH104" s="39" t="n">
        <f aca="false">IF(AH$4=0,0,IF(COUNTIFS(実績!$W$6:$W$505,AH$3,実績!$AI$6:$AI$505,"&lt;="&amp;$A104,実績!$AJ$6:$AJ$505,"&gt;"&amp;$A104,実績!$AL$6:$AL$505,"○")&gt;0,1,0))</f>
        <v>0</v>
      </c>
      <c r="AI104" s="39" t="n">
        <f aca="false">IF(AI$4=0,0,IF(COUNTIFS(実績!$W$6:$W$505,AI$3,実績!$AI$6:$AI$505,"&lt;="&amp;$A104,実績!$AJ$6:$AJ$505,"&gt;"&amp;$A104,実績!$AL$6:$AL$505,"○")&gt;0,1,0))</f>
        <v>0</v>
      </c>
      <c r="AJ104" s="39" t="n">
        <f aca="false">IF(AJ$4=0,0,IF(COUNTIFS(実績!$W$6:$W$505,AJ$3,実績!$AI$6:$AI$505,"&lt;="&amp;$A104,実績!$AJ$6:$AJ$505,"&gt;"&amp;$A104,実績!$AL$6:$AL$505,"○")&gt;0,1,0))</f>
        <v>0</v>
      </c>
      <c r="AK104" s="39" t="n">
        <f aca="false">IF(AK$4=0,0,IF(COUNTIFS(実績!$W$6:$W$505,AK$3,実績!$AI$6:$AI$505,"&lt;="&amp;$A104,実績!$AJ$6:$AJ$505,"&gt;"&amp;$A104,実績!$AL$6:$AL$505,"○")&gt;0,1,0))</f>
        <v>0</v>
      </c>
      <c r="AL104" s="39" t="n">
        <f aca="false">IF(AL$4=0,0,IF(COUNTIFS(実績!$W$6:$W$505,AL$3,実績!$AI$6:$AI$505,"&lt;="&amp;$A104,実績!$AJ$6:$AJ$505,"&gt;"&amp;$A104,実績!$AL$6:$AL$505,"○")&gt;0,1,0))</f>
        <v>0</v>
      </c>
      <c r="AM104" s="39" t="n">
        <f aca="false">IF(AM$4=0,0,IF(COUNTIFS(実績!$W$6:$W$505,AM$3,実績!$AI$6:$AI$505,"&lt;="&amp;$A104,実績!$AJ$6:$AJ$505,"&gt;"&amp;$A104,実績!$AL$6:$AL$505,"○")&gt;0,1,0))</f>
        <v>0</v>
      </c>
      <c r="AN104" s="39" t="n">
        <f aca="false">IF(AN$4=0,0,IF(COUNTIFS(実績!$W$6:$W$505,AN$3,実績!$AI$6:$AI$505,"&lt;="&amp;$A104,実績!$AJ$6:$AJ$505,"&gt;"&amp;$A104,実績!$AL$6:$AL$505,"○")&gt;0,1,0))</f>
        <v>0</v>
      </c>
      <c r="AO104" s="39" t="n">
        <f aca="false">IF(AO$4=0,0,IF(COUNTIFS(実績!$W$6:$W$505,AO$3,実績!$AI$6:$AI$505,"&lt;="&amp;$A104,実績!$AJ$6:$AJ$505,"&gt;"&amp;$A104,実績!$AL$6:$AL$505,"○")&gt;0,1,0))</f>
        <v>0</v>
      </c>
      <c r="AP104" s="39" t="n">
        <f aca="false">IF(AP$4=0,0,IF(COUNTIFS(実績!$W$6:$W$505,AP$3,実績!$AI$6:$AI$505,"&lt;="&amp;$A104,実績!$AJ$6:$AJ$505,"&gt;"&amp;$A104,実績!$AL$6:$AL$505,"○")&gt;0,1,0))</f>
        <v>0</v>
      </c>
      <c r="AQ104" s="39" t="n">
        <f aca="false">IF(AQ$4=0,0,IF(COUNTIFS(実績!$W$6:$W$505,AQ$3,実績!$AI$6:$AI$505,"&lt;="&amp;$A104,実績!$AJ$6:$AJ$505,"&gt;"&amp;$A104,実績!$AL$6:$AL$505,"○")&gt;0,1,0))</f>
        <v>0</v>
      </c>
      <c r="AR104" s="39" t="n">
        <f aca="false">IF(AR$4=0,0,IF(COUNTIFS(実績!$W$6:$W$505,AR$3,実績!$AI$6:$AI$505,"&lt;="&amp;$A104,実績!$AJ$6:$AJ$505,"&gt;"&amp;$A104,実績!$AL$6:$AL$505,"○")&gt;0,1,0))</f>
        <v>0</v>
      </c>
      <c r="AS104" s="39" t="n">
        <f aca="false">IF(AS$4=0,0,IF(COUNTIFS(実績!$W$6:$W$505,AS$3,実績!$AI$6:$AI$505,"&lt;="&amp;$A104,実績!$AJ$6:$AJ$505,"&gt;"&amp;$A104,実績!$AL$6:$AL$505,"○")&gt;0,1,0))</f>
        <v>0</v>
      </c>
      <c r="AT104" s="39" t="n">
        <f aca="false">IF(AT$4=0,0,IF(COUNTIFS(実績!$W$6:$W$505,AT$3,実績!$AI$6:$AI$505,"&lt;="&amp;$A104,実績!$AJ$6:$AJ$505,"&gt;"&amp;$A104,実績!$AL$6:$AL$505,"○")&gt;0,1,0))</f>
        <v>0</v>
      </c>
      <c r="AU104" s="39" t="n">
        <f aca="false">IF(AU$4=0,0,IF(COUNTIFS(実績!$W$6:$W$505,AU$3,実績!$AI$6:$AI$505,"&lt;="&amp;$A104,実績!$AJ$6:$AJ$505,"&gt;"&amp;$A104,実績!$AL$6:$AL$505,"○")&gt;0,1,0))</f>
        <v>0</v>
      </c>
      <c r="AV104" s="39" t="n">
        <f aca="false">IF(AV$4=0,0,IF(COUNTIFS(実績!$W$6:$W$505,AV$3,実績!$AI$6:$AI$505,"&lt;="&amp;$A104,実績!$AJ$6:$AJ$505,"&gt;"&amp;$A104,実績!$AL$6:$AL$505,"○")&gt;0,1,0))</f>
        <v>0</v>
      </c>
      <c r="AW104" s="39" t="n">
        <f aca="false">IF(AW$4=0,0,IF(COUNTIFS(実績!$W$6:$W$505,AW$3,実績!$AI$6:$AI$505,"&lt;="&amp;$A104,実績!$AJ$6:$AJ$505,"&gt;"&amp;$A104,実績!$AL$6:$AL$505,"○")&gt;0,1,0))</f>
        <v>0</v>
      </c>
      <c r="AX104" s="39" t="n">
        <f aca="false">IF(AX$4=0,0,IF(COUNTIFS(実績!$W$6:$W$505,AX$3,実績!$AI$6:$AI$505,"&lt;="&amp;$A104,実績!$AJ$6:$AJ$505,"&gt;"&amp;$A104,実績!$AL$6:$AL$505,"○")&gt;0,1,0))</f>
        <v>0</v>
      </c>
      <c r="AY104" s="39" t="n">
        <f aca="false">IF(AY$4=0,0,IF(COUNTIFS(実績!$W$6:$W$505,AY$3,実績!$AI$6:$AI$505,"&lt;="&amp;$A104,実績!$AJ$6:$AJ$505,"&gt;"&amp;$A104,実績!$AL$6:$AL$505,"○")&gt;0,1,0))</f>
        <v>0</v>
      </c>
      <c r="AZ104" s="39" t="n">
        <f aca="false">IF(AZ$4=0,0,IF(COUNTIFS(実績!$W$6:$W$505,AZ$3,実績!$AI$6:$AI$505,"&lt;="&amp;$A104,実績!$AJ$6:$AJ$505,"&gt;"&amp;$A104,実績!$AL$6:$AL$505,"○")&gt;0,1,0))</f>
        <v>0</v>
      </c>
      <c r="BA104" s="39" t="n">
        <f aca="false">IF(BA$4=0,0,IF(COUNTIFS(実績!$W$6:$W$505,BA$3,実績!$AI$6:$AI$505,"&lt;="&amp;$A104,実績!$AJ$6:$AJ$505,"&gt;"&amp;$A104,実績!$AL$6:$AL$505,"○")&gt;0,1,0))</f>
        <v>0</v>
      </c>
      <c r="BB104" s="39" t="n">
        <f aca="false">IF(BB$4=0,0,IF(COUNTIFS(実績!$W$6:$W$505,BB$3,実績!$AI$6:$AI$505,"&lt;="&amp;$A104,実績!$AJ$6:$AJ$505,"&gt;"&amp;$A104,実績!$AL$6:$AL$505,"○")&gt;0,1,0))</f>
        <v>0</v>
      </c>
      <c r="BC104" s="39" t="n">
        <f aca="false">IF(BC$4=0,0,IF(COUNTIFS(実績!$W$6:$W$505,BC$3,実績!$AI$6:$AI$505,"&lt;="&amp;$A104,実績!$AJ$6:$AJ$505,"&gt;"&amp;$A104,実績!$AL$6:$AL$505,"○")&gt;0,1,0))</f>
        <v>0</v>
      </c>
      <c r="BD104" s="39" t="n">
        <f aca="false">IF(BD$4=0,0,IF(COUNTIFS(実績!$W$6:$W$505,BD$3,実績!$AI$6:$AI$505,"&lt;="&amp;$A104,実績!$AJ$6:$AJ$505,"&gt;"&amp;$A104,実績!$AL$6:$AL$505,"○")&gt;0,1,0))</f>
        <v>0</v>
      </c>
      <c r="BE104" s="39" t="n">
        <f aca="false">IF(BE$4=0,0,IF(COUNTIFS(実績!$W$6:$W$505,BE$3,実績!$AI$6:$AI$505,"&lt;="&amp;$A104,実績!$AJ$6:$AJ$505,"&gt;"&amp;$A104,実績!$AL$6:$AL$505,"○")&gt;0,1,0))</f>
        <v>0</v>
      </c>
      <c r="BF104" s="39" t="n">
        <f aca="false">IF(BF$4=0,0,IF(COUNTIFS(実績!$W$6:$W$505,BF$3,実績!$AI$6:$AI$505,"&lt;="&amp;$A104,実績!$AJ$6:$AJ$505,"&gt;"&amp;$A104,実績!$AL$6:$AL$505,"○")&gt;0,1,0))</f>
        <v>0</v>
      </c>
      <c r="BG104" s="39" t="n">
        <f aca="false">IF(BG$4=0,0,IF(COUNTIFS(実績!$W$6:$W$505,BG$3,実績!$AI$6:$AI$505,"&lt;="&amp;$A104,実績!$AJ$6:$AJ$505,"&gt;"&amp;$A104,実績!$AL$6:$AL$505,"○")&gt;0,1,0))</f>
        <v>0</v>
      </c>
      <c r="BH104" s="39" t="n">
        <f aca="false">IF(BH$4=0,0,IF(COUNTIFS(実績!$W$6:$W$505,BH$3,実績!$AI$6:$AI$505,"&lt;="&amp;$A104,実績!$AJ$6:$AJ$505,"&gt;"&amp;$A104,実績!$AL$6:$AL$505,"○")&gt;0,1,0))</f>
        <v>0</v>
      </c>
      <c r="BI104" s="39" t="n">
        <f aca="false">IF(BI$4=0,0,IF(COUNTIFS(実績!$W$6:$W$505,BI$3,実績!$AI$6:$AI$505,"&lt;="&amp;$A104,実績!$AJ$6:$AJ$505,"&gt;"&amp;$A104,実績!$AL$6:$AL$505,"○")&gt;0,1,0))</f>
        <v>0</v>
      </c>
      <c r="BJ104" s="39" t="n">
        <f aca="false">IF(BJ$4=0,0,IF(COUNTIFS(実績!$W$6:$W$505,BJ$3,実績!$AI$6:$AI$505,"&lt;="&amp;$A104,実績!$AJ$6:$AJ$505,"&gt;"&amp;$A104,実績!$AL$6:$AL$505,"○")&gt;0,1,0))</f>
        <v>0</v>
      </c>
      <c r="BK104" s="39" t="n">
        <f aca="false">IF(BK$4=0,0,IF(COUNTIFS(実績!$W$6:$W$505,BK$3,実績!$AI$6:$AI$505,"&lt;="&amp;$A104,実績!$AJ$6:$AJ$505,"&gt;"&amp;$A104,実績!$AL$6:$AL$505,"○")&gt;0,1,0))</f>
        <v>0</v>
      </c>
      <c r="BL104" s="39" t="n">
        <f aca="false">IF(BL$4=0,0,IF(COUNTIFS(実績!$W$6:$W$505,BL$3,実績!$AI$6:$AI$505,"&lt;="&amp;$A104,実績!$AJ$6:$AJ$505,"&gt;"&amp;$A104,実績!$AL$6:$AL$505,"○")&gt;0,1,0))</f>
        <v>0</v>
      </c>
      <c r="BM104" s="39" t="n">
        <f aca="false">IF(BM$4=0,0,IF(COUNTIFS(実績!$W$6:$W$505,BM$3,実績!$AI$6:$AI$505,"&lt;="&amp;$A104,実績!$AJ$6:$AJ$505,"&gt;"&amp;$A104,実績!$AL$6:$AL$505,"○")&gt;0,1,0))</f>
        <v>0</v>
      </c>
      <c r="BN104" s="39" t="n">
        <f aca="false">IF(BN$4=0,0,IF(COUNTIFS(実績!$W$6:$W$505,BN$3,実績!$AI$6:$AI$505,"&lt;="&amp;$A104,実績!$AJ$6:$AJ$505,"&gt;"&amp;$A104,実績!$AL$6:$AL$505,"○")&gt;0,1,0))</f>
        <v>0</v>
      </c>
      <c r="BO104" s="39" t="n">
        <f aca="false">IF(BO$4=0,0,IF(COUNTIFS(実績!$W$6:$W$505,BO$3,実績!$AI$6:$AI$505,"&lt;="&amp;$A104,実績!$AJ$6:$AJ$505,"&gt;"&amp;$A104,実績!$AL$6:$AL$505,"○")&gt;0,1,0))</f>
        <v>0</v>
      </c>
      <c r="BP104" s="39" t="n">
        <f aca="false">IF(BP$4=0,0,IF(COUNTIFS(実績!$W$6:$W$505,BP$3,実績!$AI$6:$AI$505,"&lt;="&amp;$A104,実績!$AJ$6:$AJ$505,"&gt;"&amp;$A104,実績!$AL$6:$AL$505,"○")&gt;0,1,0))</f>
        <v>0</v>
      </c>
      <c r="BQ104" s="39" t="n">
        <f aca="false">IF(BQ$4=0,0,IF(COUNTIFS(実績!$W$6:$W$505,BQ$3,実績!$AI$6:$AI$505,"&lt;="&amp;$A104,実績!$AJ$6:$AJ$505,"&gt;"&amp;$A104,実績!$AL$6:$AL$505,"○")&gt;0,1,0))</f>
        <v>0</v>
      </c>
      <c r="BR104" s="39" t="n">
        <f aca="false">IF(BR$4=0,0,IF(COUNTIFS(実績!$W$6:$W$505,BR$3,実績!$AI$6:$AI$505,"&lt;="&amp;$A104,実績!$AJ$6:$AJ$505,"&gt;"&amp;$A104,実績!$AL$6:$AL$505,"○")&gt;0,1,0))</f>
        <v>0</v>
      </c>
      <c r="BS104" s="39" t="n">
        <f aca="false">IF(BS$4=0,0,IF(COUNTIFS(実績!$W$6:$W$505,BS$3,実績!$AI$6:$AI$505,"&lt;="&amp;$A104,実績!$AJ$6:$AJ$505,"&gt;"&amp;$A104,実績!$AL$6:$AL$505,"○")&gt;0,1,0))</f>
        <v>0</v>
      </c>
      <c r="BT104" s="39" t="n">
        <f aca="false">IF(BT$4=0,0,IF(COUNTIFS(実績!$W$6:$W$505,BT$3,実績!$AI$6:$AI$505,"&lt;="&amp;$A104,実績!$AJ$6:$AJ$505,"&gt;"&amp;$A104,実績!$AL$6:$AL$505,"○")&gt;0,1,0))</f>
        <v>0</v>
      </c>
      <c r="BU104" s="39" t="n">
        <f aca="false">IF(BU$4=0,0,IF(COUNTIFS(実績!$W$6:$W$505,BU$3,実績!$AI$6:$AI$505,"&lt;="&amp;$A104,実績!$AJ$6:$AJ$505,"&gt;"&amp;$A104,実績!$AL$6:$AL$505,"○")&gt;0,1,0))</f>
        <v>0</v>
      </c>
      <c r="BV104" s="39" t="n">
        <f aca="false">IF(BV$4=0,0,IF(COUNTIFS(実績!$W$6:$W$505,BV$3,実績!$AI$6:$AI$505,"&lt;="&amp;$A104,実績!$AJ$6:$AJ$505,"&gt;"&amp;$A104,実績!$AL$6:$AL$505,"○")&gt;0,1,0))</f>
        <v>0</v>
      </c>
      <c r="BW104" s="39" t="n">
        <f aca="false">IF(BW$4=0,0,IF(COUNTIFS(実績!$W$6:$W$505,BW$3,実績!$AI$6:$AI$505,"&lt;="&amp;$A104,実績!$AJ$6:$AJ$505,"&gt;"&amp;$A104,実績!$AL$6:$AL$505,"○")&gt;0,1,0))</f>
        <v>0</v>
      </c>
      <c r="BX104" s="39" t="n">
        <f aca="false">IF(BX$4=0,0,IF(COUNTIFS(実績!$W$6:$W$505,BX$3,実績!$AI$6:$AI$505,"&lt;="&amp;$A104,実績!$AJ$6:$AJ$505,"&gt;"&amp;$A104,実績!$AL$6:$AL$505,"○")&gt;0,1,0))</f>
        <v>0</v>
      </c>
      <c r="BY104" s="39" t="n">
        <f aca="false">IF(BY$4=0,0,IF(COUNTIFS(実績!$W$6:$W$505,BY$3,実績!$AI$6:$AI$505,"&lt;="&amp;$A104,実績!$AJ$6:$AJ$505,"&gt;"&amp;$A104,実績!$AL$6:$AL$505,"○")&gt;0,1,0))</f>
        <v>0</v>
      </c>
      <c r="BZ104" s="39" t="n">
        <f aca="false">IF(BZ$4=0,0,IF(COUNTIFS(実績!$W$6:$W$505,BZ$3,実績!$AI$6:$AI$505,"&lt;="&amp;$A104,実績!$AJ$6:$AJ$505,"&gt;"&amp;$A104,実績!$AL$6:$AL$505,"○")&gt;0,1,0))</f>
        <v>0</v>
      </c>
      <c r="CA104" s="39" t="n">
        <f aca="false">IF(CA$4=0,0,IF(COUNTIFS(実績!$W$6:$W$505,CA$3,実績!$AI$6:$AI$505,"&lt;="&amp;$A104,実績!$AJ$6:$AJ$505,"&gt;"&amp;$A104,実績!$AL$6:$AL$505,"○")&gt;0,1,0))</f>
        <v>0</v>
      </c>
      <c r="CB104" s="39" t="n">
        <f aca="false">IF(CB$4=0,0,IF(COUNTIFS(実績!$W$6:$W$505,CB$3,実績!$AI$6:$AI$505,"&lt;="&amp;$A104,実績!$AJ$6:$AJ$505,"&gt;"&amp;$A104,実績!$AL$6:$AL$505,"○")&gt;0,1,0))</f>
        <v>0</v>
      </c>
      <c r="CC104" s="39" t="n">
        <f aca="false">IF(CC$4=0,0,IF(COUNTIFS(実績!$W$6:$W$505,CC$3,実績!$AI$6:$AI$505,"&lt;="&amp;$A104,実績!$AJ$6:$AJ$505,"&gt;"&amp;$A104,実績!$AL$6:$AL$505,"○")&gt;0,1,0))</f>
        <v>0</v>
      </c>
      <c r="CD104" s="39" t="n">
        <f aca="false">IF(CD$4=0,0,IF(COUNTIFS(実績!$W$6:$W$505,CD$3,実績!$AI$6:$AI$505,"&lt;="&amp;$A104,実績!$AJ$6:$AJ$505,"&gt;"&amp;$A104,実績!$AL$6:$AL$505,"○")&gt;0,1,0))</f>
        <v>0</v>
      </c>
      <c r="CE104" s="39" t="n">
        <f aca="false">IF(CE$4=0,0,IF(COUNTIFS(実績!$W$6:$W$505,CE$3,実績!$AI$6:$AI$505,"&lt;="&amp;$A104,実績!$AJ$6:$AJ$505,"&gt;"&amp;$A104,実績!$AL$6:$AL$505,"○")&gt;0,1,0))</f>
        <v>0</v>
      </c>
      <c r="CF104" s="39" t="n">
        <f aca="false">IF(CF$4=0,0,IF(COUNTIFS(実績!$W$6:$W$505,CF$3,実績!$AI$6:$AI$505,"&lt;="&amp;$A104,実績!$AJ$6:$AJ$505,"&gt;"&amp;$A104,実績!$AL$6:$AL$505,"○")&gt;0,1,0))</f>
        <v>0</v>
      </c>
      <c r="CG104" s="39" t="n">
        <f aca="false">IF(CG$4=0,0,IF(COUNTIFS(実績!$W$6:$W$505,CG$3,実績!$AI$6:$AI$505,"&lt;="&amp;$A104,実績!$AJ$6:$AJ$505,"&gt;"&amp;$A104,実績!$AL$6:$AL$505,"○")&gt;0,1,0))</f>
        <v>0</v>
      </c>
      <c r="CH104" s="39" t="n">
        <f aca="false">IF(CH$4=0,0,IF(COUNTIFS(実績!$W$6:$W$505,CH$3,実績!$AI$6:$AI$505,"&lt;="&amp;$A104,実績!$AJ$6:$AJ$505,"&gt;"&amp;$A104,実績!$AL$6:$AL$505,"○")&gt;0,1,0))</f>
        <v>0</v>
      </c>
      <c r="CI104" s="39" t="n">
        <f aca="false">IF(CI$4=0,0,IF(COUNTIFS(実績!$W$6:$W$505,CI$3,実績!$AI$6:$AI$505,"&lt;="&amp;$A104,実績!$AJ$6:$AJ$505,"&gt;"&amp;$A104,実績!$AL$6:$AL$505,"○")&gt;0,1,0))</f>
        <v>0</v>
      </c>
      <c r="CJ104" s="39" t="n">
        <f aca="false">IF(CJ$4=0,0,IF(COUNTIFS(実績!$W$6:$W$505,CJ$3,実績!$AI$6:$AI$505,"&lt;="&amp;$A104,実績!$AJ$6:$AJ$505,"&gt;"&amp;$A104,実績!$AL$6:$AL$505,"○")&gt;0,1,0))</f>
        <v>0</v>
      </c>
      <c r="CK104" s="39" t="n">
        <f aca="false">IF(CK$4=0,0,IF(COUNTIFS(実績!$W$6:$W$505,CK$3,実績!$AI$6:$AI$505,"&lt;="&amp;$A104,実績!$AJ$6:$AJ$505,"&gt;"&amp;$A104,実績!$AL$6:$AL$505,"○")&gt;0,1,0))</f>
        <v>0</v>
      </c>
      <c r="CL104" s="39" t="n">
        <f aca="false">IF(CL$4=0,0,IF(COUNTIFS(実績!$W$6:$W$505,CL$3,実績!$AI$6:$AI$505,"&lt;="&amp;$A104,実績!$AJ$6:$AJ$505,"&gt;"&amp;$A104,実績!$AL$6:$AL$505,"○")&gt;0,1,0))</f>
        <v>0</v>
      </c>
      <c r="CM104" s="39" t="n">
        <f aca="false">IF(CM$4=0,0,IF(COUNTIFS(実績!$W$6:$W$505,CM$3,実績!$AI$6:$AI$505,"&lt;="&amp;$A104,実績!$AJ$6:$AJ$505,"&gt;"&amp;$A104,実績!$AL$6:$AL$505,"○")&gt;0,1,0))</f>
        <v>0</v>
      </c>
      <c r="CN104" s="39" t="n">
        <f aca="false">IF(CN$4=0,0,IF(COUNTIFS(実績!$W$6:$W$505,CN$3,実績!$AI$6:$AI$505,"&lt;="&amp;$A104,実績!$AJ$6:$AJ$505,"&gt;"&amp;$A104,実績!$AL$6:$AL$505,"○")&gt;0,1,0))</f>
        <v>0</v>
      </c>
      <c r="CO104" s="39" t="n">
        <f aca="false">IF(CO$4=0,0,IF(COUNTIFS(実績!$W$6:$W$505,CO$3,実績!$AI$6:$AI$505,"&lt;="&amp;$A104,実績!$AJ$6:$AJ$505,"&gt;"&amp;$A104,実績!$AL$6:$AL$505,"○")&gt;0,1,0))</f>
        <v>0</v>
      </c>
      <c r="CP104" s="39" t="n">
        <f aca="false">IF(CP$4=0,0,IF(COUNTIFS(実績!$W$6:$W$505,CP$3,実績!$AI$6:$AI$505,"&lt;="&amp;$A104,実績!$AJ$6:$AJ$505,"&gt;"&amp;$A104,実績!$AL$6:$AL$505,"○")&gt;0,1,0))</f>
        <v>0</v>
      </c>
      <c r="CQ104" s="39" t="n">
        <f aca="false">IF(CQ$4=0,0,IF(COUNTIFS(実績!$W$6:$W$505,CQ$3,実績!$AI$6:$AI$505,"&lt;="&amp;$A104,実績!$AJ$6:$AJ$505,"&gt;"&amp;$A104,実績!$AL$6:$AL$505,"○")&gt;0,1,0))</f>
        <v>0</v>
      </c>
      <c r="CR104" s="39" t="n">
        <f aca="false">IF(CR$4=0,0,IF(COUNTIFS(実績!$W$6:$W$505,CR$3,実績!$AI$6:$AI$505,"&lt;="&amp;$A104,実績!$AJ$6:$AJ$505,"&gt;"&amp;$A104,実績!$AL$6:$AL$505,"○")&gt;0,1,0))</f>
        <v>0</v>
      </c>
      <c r="CS104" s="39" t="n">
        <f aca="false">IF(CS$4=0,0,IF(COUNTIFS(実績!$W$6:$W$505,CS$3,実績!$AI$6:$AI$505,"&lt;="&amp;$A104,実績!$AJ$6:$AJ$505,"&gt;"&amp;$A104,実績!$AL$6:$AL$505,"○")&gt;0,1,0))</f>
        <v>0</v>
      </c>
      <c r="CT104" s="39" t="n">
        <f aca="false">IF(CT$4=0,0,IF(COUNTIFS(実績!$W$6:$W$505,CT$3,実績!$AI$6:$AI$505,"&lt;="&amp;$A104,実績!$AJ$6:$AJ$505,"&gt;"&amp;$A104,実績!$AL$6:$AL$505,"○")&gt;0,1,0))</f>
        <v>0</v>
      </c>
      <c r="CU104" s="39" t="n">
        <f aca="false">IF(CU$4=0,0,IF(COUNTIFS(実績!$W$6:$W$505,CU$3,実績!$AI$6:$AI$505,"&lt;="&amp;$A104,実績!$AJ$6:$AJ$505,"&gt;"&amp;$A104,実績!$AL$6:$AL$505,"○")&gt;0,1,0))</f>
        <v>0</v>
      </c>
      <c r="CV104" s="39" t="n">
        <f aca="false">IF(CV$4=0,0,IF(COUNTIFS(実績!$W$6:$W$505,CV$3,実績!$AI$6:$AI$505,"&lt;="&amp;$A104,実績!$AJ$6:$AJ$505,"&gt;"&amp;$A104,実績!$AL$6:$AL$505,"○")&gt;0,1,0))</f>
        <v>0</v>
      </c>
      <c r="CW104" s="39" t="n">
        <f aca="false">IF(CW$4=0,0,IF(COUNTIFS(実績!$W$6:$W$505,CW$3,実績!$AI$6:$AI$505,"&lt;="&amp;$A104,実績!$AJ$6:$AJ$505,"&gt;"&amp;$A104,実績!$AL$6:$AL$505,"○")&gt;0,1,0))</f>
        <v>0</v>
      </c>
      <c r="CX104" s="39" t="n">
        <f aca="false">IF(CX$4=0,0,IF(COUNTIFS(実績!$W$6:$W$505,CX$3,実績!$AI$6:$AI$505,"&lt;="&amp;$A104,実績!$AJ$6:$AJ$505,"&gt;"&amp;$A104,実績!$AL$6:$AL$505,"○")&gt;0,1,0))</f>
        <v>0</v>
      </c>
      <c r="CY104" s="39" t="n">
        <f aca="false">IF(CY$4=0,0,IF(COUNTIFS(実績!$W$6:$W$505,CY$3,実績!$AI$6:$AI$505,"&lt;="&amp;$A104,実績!$AJ$6:$AJ$505,"&gt;"&amp;$A104,実績!$AL$6:$AL$505,"○")&gt;0,1,0))</f>
        <v>0</v>
      </c>
      <c r="CZ104" s="39" t="n">
        <f aca="false">IF(CZ$4=0,0,IF(COUNTIFS(実績!$W$6:$W$505,CZ$3,実績!$AI$6:$AI$505,"&lt;="&amp;$A104,実績!$AJ$6:$AJ$505,"&gt;"&amp;$A104,実績!$AL$6:$AL$505,"○")&gt;0,1,0))</f>
        <v>0</v>
      </c>
      <c r="DA104" s="39" t="n">
        <f aca="false">IF(DA$4=0,0,IF(COUNTIFS(実績!$W$6:$W$505,DA$3,実績!$AI$6:$AI$505,"&lt;="&amp;$A104,実績!$AJ$6:$AJ$505,"&gt;"&amp;$A104,実績!$AL$6:$AL$505,"○")&gt;0,1,0))</f>
        <v>0</v>
      </c>
      <c r="DB104" s="39" t="n">
        <f aca="false">IF(DB$4=0,0,IF(COUNTIFS(実績!$W$6:$W$505,DB$3,実績!$AI$6:$AI$505,"&lt;="&amp;$A104,実績!$AJ$6:$AJ$505,"&gt;"&amp;$A104,実績!$AL$6:$AL$505,"○")&gt;0,1,0))</f>
        <v>0</v>
      </c>
      <c r="DC104" s="39" t="n">
        <f aca="false">IF(DC$4=0,0,IF(COUNTIFS(実績!$W$6:$W$505,DC$3,実績!$AI$6:$AI$505,"&lt;="&amp;$A104,実績!$AJ$6:$AJ$505,"&gt;"&amp;$A104,実績!$AL$6:$AL$505,"○")&gt;0,1,0))</f>
        <v>0</v>
      </c>
      <c r="DD104" s="39" t="n">
        <f aca="false">IF(DD$4=0,0,IF(COUNTIFS(実績!$W$6:$W$505,DD$3,実績!$AI$6:$AI$505,"&lt;="&amp;$A104,実績!$AJ$6:$AJ$505,"&gt;"&amp;$A104,実績!$AL$6:$AL$505,"○")&gt;0,1,0))</f>
        <v>0</v>
      </c>
      <c r="DE104" s="39" t="n">
        <f aca="false">IF(DE$4=0,0,IF(COUNTIFS(実績!$W$6:$W$505,DE$3,実績!$AI$6:$AI$505,"&lt;="&amp;$A104,実績!$AJ$6:$AJ$505,"&gt;"&amp;$A104,実績!$AL$6:$AL$505,"○")&gt;0,1,0))</f>
        <v>0</v>
      </c>
      <c r="DF104" s="39" t="n">
        <f aca="false">IF(DF$4=0,0,IF(COUNTIFS(実績!$W$6:$W$505,DF$3,実績!$AI$6:$AI$505,"&lt;="&amp;$A104,実績!$AJ$6:$AJ$505,"&gt;"&amp;$A104,実績!$AL$6:$AL$505,"○")&gt;0,1,0))</f>
        <v>0</v>
      </c>
      <c r="DG104" s="39" t="n">
        <f aca="false">IF(DG$4=0,0,IF(COUNTIFS(実績!$W$6:$W$505,DG$3,実績!$AI$6:$AI$505,"&lt;="&amp;$A104,実績!$AJ$6:$AJ$505,"&gt;"&amp;$A104,実績!$AL$6:$AL$505,"○")&gt;0,1,0))</f>
        <v>0</v>
      </c>
      <c r="DH104" s="39" t="n">
        <f aca="false">IF(DH$4=0,0,IF(COUNTIFS(実績!$W$6:$W$505,DH$3,実績!$AI$6:$AI$505,"&lt;="&amp;$A104,実績!$AJ$6:$AJ$505,"&gt;"&amp;$A104,実績!$AL$6:$AL$505,"○")&gt;0,1,0))</f>
        <v>0</v>
      </c>
      <c r="DI104" s="39" t="n">
        <f aca="false">IF(DI$4=0,0,IF(COUNTIFS(実績!$W$6:$W$505,DI$3,実績!$AI$6:$AI$505,"&lt;="&amp;$A104,実績!$AJ$6:$AJ$505,"&gt;"&amp;$A104,実績!$AL$6:$AL$505,"○")&gt;0,1,0))</f>
        <v>0</v>
      </c>
      <c r="DJ104" s="39" t="n">
        <f aca="false">IF(DJ$4=0,0,IF(COUNTIFS(実績!$W$6:$W$505,DJ$3,実績!$AI$6:$AI$505,"&lt;="&amp;$A104,実績!$AJ$6:$AJ$505,"&gt;"&amp;$A104,実績!$AL$6:$AL$505,"○")&gt;0,1,0))</f>
        <v>0</v>
      </c>
      <c r="DK104" s="39" t="n">
        <f aca="false">IF(DK$4=0,0,IF(COUNTIFS(実績!$W$6:$W$505,DK$3,実績!$AI$6:$AI$505,"&lt;="&amp;$A104,実績!$AJ$6:$AJ$505,"&gt;"&amp;$A104,実績!$AL$6:$AL$505,"○")&gt;0,1,0))</f>
        <v>0</v>
      </c>
      <c r="DL104" s="39" t="n">
        <f aca="false">IF(DL$4=0,0,IF(COUNTIFS(実績!$W$6:$W$505,DL$3,実績!$AI$6:$AI$505,"&lt;="&amp;$A104,実績!$AJ$6:$AJ$505,"&gt;"&amp;$A104,実績!$AL$6:$AL$505,"○")&gt;0,1,0))</f>
        <v>0</v>
      </c>
      <c r="DM104" s="39" t="n">
        <f aca="false">IF(DM$4=0,0,IF(COUNTIFS(実績!$W$6:$W$505,DM$3,実績!$AI$6:$AI$505,"&lt;="&amp;$A104,実績!$AJ$6:$AJ$505,"&gt;"&amp;$A104,実績!$AL$6:$AL$505,"○")&gt;0,1,0))</f>
        <v>0</v>
      </c>
      <c r="DN104" s="39" t="n">
        <f aca="false">IF(DN$4=0,0,IF(COUNTIFS(実績!$W$6:$W$505,DN$3,実績!$AI$6:$AI$505,"&lt;="&amp;$A104,実績!$AJ$6:$AJ$505,"&gt;"&amp;$A104,実績!$AL$6:$AL$505,"○")&gt;0,1,0))</f>
        <v>0</v>
      </c>
      <c r="DO104" s="39" t="n">
        <f aca="false">IF(DO$4=0,0,IF(COUNTIFS(実績!$W$6:$W$505,DO$3,実績!$AI$6:$AI$505,"&lt;="&amp;$A104,実績!$AJ$6:$AJ$505,"&gt;"&amp;$A104,実績!$AL$6:$AL$505,"○")&gt;0,1,0))</f>
        <v>0</v>
      </c>
      <c r="DP104" s="39" t="n">
        <f aca="false">IF(DP$4=0,0,IF(COUNTIFS(実績!$W$6:$W$505,DP$3,実績!$AI$6:$AI$505,"&lt;="&amp;$A104,実績!$AJ$6:$AJ$505,"&gt;"&amp;$A104,実績!$AL$6:$AL$505,"○")&gt;0,1,0))</f>
        <v>0</v>
      </c>
      <c r="DQ104" s="39" t="n">
        <f aca="false">IF(DQ$4=0,0,IF(COUNTIFS(実績!$W$6:$W$505,DQ$3,実績!$AI$6:$AI$505,"&lt;="&amp;$A104,実績!$AJ$6:$AJ$505,"&gt;"&amp;$A104,実績!$AL$6:$AL$505,"○")&gt;0,1,0))</f>
        <v>0</v>
      </c>
      <c r="DR104" s="39" t="n">
        <f aca="false">IF(DR$4=0,0,IF(COUNTIFS(実績!$W$6:$W$505,DR$3,実績!$AI$6:$AI$505,"&lt;="&amp;$A104,実績!$AJ$6:$AJ$505,"&gt;"&amp;$A104,実績!$AL$6:$AL$505,"○")&gt;0,1,0))</f>
        <v>0</v>
      </c>
      <c r="DS104" s="39" t="n">
        <f aca="false">SUM(C104:DR104)</f>
        <v>0</v>
      </c>
    </row>
    <row r="105" customFormat="false" ht="15" hidden="false" customHeight="false" outlineLevel="0" collapsed="false">
      <c r="A105" s="0" t="n">
        <v>495</v>
      </c>
      <c r="B105" s="38" t="n">
        <f aca="false">A105/1440</f>
        <v>0.34375</v>
      </c>
      <c r="C105" s="39" t="n">
        <f aca="false">IF(C$4=0,0,IF(COUNTIFS(実績!$W$6:$W$505,C$3,実績!$AI$6:$AI$505,"&lt;="&amp;$A105,実績!$AJ$6:$AJ$505,"&gt;"&amp;$A105,実績!$AL$6:$AL$505,"○")&gt;0,1,0))</f>
        <v>0</v>
      </c>
      <c r="D105" s="39" t="n">
        <f aca="false">IF(D$4=0,0,IF(COUNTIFS(実績!$W$6:$W$505,D$3,実績!$AI$6:$AI$505,"&lt;="&amp;$A105,実績!$AJ$6:$AJ$505,"&gt;"&amp;$A105,実績!$AL$6:$AL$505,"○")&gt;0,1,0))</f>
        <v>0</v>
      </c>
      <c r="E105" s="39" t="n">
        <f aca="false">IF(E$4=0,0,IF(COUNTIFS(実績!$W$6:$W$505,E$3,実績!$AI$6:$AI$505,"&lt;="&amp;$A105,実績!$AJ$6:$AJ$505,"&gt;"&amp;$A105,実績!$AL$6:$AL$505,"○")&gt;0,1,0))</f>
        <v>0</v>
      </c>
      <c r="F105" s="39" t="n">
        <f aca="false">IF(F$4=0,0,IF(COUNTIFS(実績!$W$6:$W$505,F$3,実績!$AI$6:$AI$505,"&lt;="&amp;$A105,実績!$AJ$6:$AJ$505,"&gt;"&amp;$A105,実績!$AL$6:$AL$505,"○")&gt;0,1,0))</f>
        <v>0</v>
      </c>
      <c r="G105" s="39" t="n">
        <f aca="false">IF(G$4=0,0,IF(COUNTIFS(実績!$W$6:$W$505,G$3,実績!$AI$6:$AI$505,"&lt;="&amp;$A105,実績!$AJ$6:$AJ$505,"&gt;"&amp;$A105,実績!$AL$6:$AL$505,"○")&gt;0,1,0))</f>
        <v>0</v>
      </c>
      <c r="H105" s="39" t="n">
        <f aca="false">IF(H$4=0,0,IF(COUNTIFS(実績!$W$6:$W$505,H$3,実績!$AI$6:$AI$505,"&lt;="&amp;$A105,実績!$AJ$6:$AJ$505,"&gt;"&amp;$A105,実績!$AL$6:$AL$505,"○")&gt;0,1,0))</f>
        <v>0</v>
      </c>
      <c r="I105" s="39" t="n">
        <f aca="false">IF(I$4=0,0,IF(COUNTIFS(実績!$W$6:$W$505,I$3,実績!$AI$6:$AI$505,"&lt;="&amp;$A105,実績!$AJ$6:$AJ$505,"&gt;"&amp;$A105,実績!$AL$6:$AL$505,"○")&gt;0,1,0))</f>
        <v>0</v>
      </c>
      <c r="J105" s="39" t="n">
        <f aca="false">IF(J$4=0,0,IF(COUNTIFS(実績!$W$6:$W$505,J$3,実績!$AI$6:$AI$505,"&lt;="&amp;$A105,実績!$AJ$6:$AJ$505,"&gt;"&amp;$A105,実績!$AL$6:$AL$505,"○")&gt;0,1,0))</f>
        <v>0</v>
      </c>
      <c r="K105" s="39" t="n">
        <f aca="false">IF(K$4=0,0,IF(COUNTIFS(実績!$W$6:$W$505,K$3,実績!$AI$6:$AI$505,"&lt;="&amp;$A105,実績!$AJ$6:$AJ$505,"&gt;"&amp;$A105,実績!$AL$6:$AL$505,"○")&gt;0,1,0))</f>
        <v>0</v>
      </c>
      <c r="L105" s="39" t="n">
        <f aca="false">IF(L$4=0,0,IF(COUNTIFS(実績!$W$6:$W$505,L$3,実績!$AI$6:$AI$505,"&lt;="&amp;$A105,実績!$AJ$6:$AJ$505,"&gt;"&amp;$A105,実績!$AL$6:$AL$505,"○")&gt;0,1,0))</f>
        <v>0</v>
      </c>
      <c r="M105" s="39" t="n">
        <f aca="false">IF(M$4=0,0,IF(COUNTIFS(実績!$W$6:$W$505,M$3,実績!$AI$6:$AI$505,"&lt;="&amp;$A105,実績!$AJ$6:$AJ$505,"&gt;"&amp;$A105,実績!$AL$6:$AL$505,"○")&gt;0,1,0))</f>
        <v>0</v>
      </c>
      <c r="N105" s="39" t="n">
        <f aca="false">IF(N$4=0,0,IF(COUNTIFS(実績!$W$6:$W$505,N$3,実績!$AI$6:$AI$505,"&lt;="&amp;$A105,実績!$AJ$6:$AJ$505,"&gt;"&amp;$A105,実績!$AL$6:$AL$505,"○")&gt;0,1,0))</f>
        <v>0</v>
      </c>
      <c r="O105" s="39" t="n">
        <f aca="false">IF(O$4=0,0,IF(COUNTIFS(実績!$W$6:$W$505,O$3,実績!$AI$6:$AI$505,"&lt;="&amp;$A105,実績!$AJ$6:$AJ$505,"&gt;"&amp;$A105,実績!$AL$6:$AL$505,"○")&gt;0,1,0))</f>
        <v>0</v>
      </c>
      <c r="P105" s="39" t="n">
        <f aca="false">IF(P$4=0,0,IF(COUNTIFS(実績!$W$6:$W$505,P$3,実績!$AI$6:$AI$505,"&lt;="&amp;$A105,実績!$AJ$6:$AJ$505,"&gt;"&amp;$A105,実績!$AL$6:$AL$505,"○")&gt;0,1,0))</f>
        <v>0</v>
      </c>
      <c r="Q105" s="39" t="n">
        <f aca="false">IF(Q$4=0,0,IF(COUNTIFS(実績!$W$6:$W$505,Q$3,実績!$AI$6:$AI$505,"&lt;="&amp;$A105,実績!$AJ$6:$AJ$505,"&gt;"&amp;$A105,実績!$AL$6:$AL$505,"○")&gt;0,1,0))</f>
        <v>0</v>
      </c>
      <c r="R105" s="39" t="n">
        <f aca="false">IF(R$4=0,0,IF(COUNTIFS(実績!$W$6:$W$505,R$3,実績!$AI$6:$AI$505,"&lt;="&amp;$A105,実績!$AJ$6:$AJ$505,"&gt;"&amp;$A105,実績!$AL$6:$AL$505,"○")&gt;0,1,0))</f>
        <v>0</v>
      </c>
      <c r="S105" s="39" t="n">
        <f aca="false">IF(S$4=0,0,IF(COUNTIFS(実績!$W$6:$W$505,S$3,実績!$AI$6:$AI$505,"&lt;="&amp;$A105,実績!$AJ$6:$AJ$505,"&gt;"&amp;$A105,実績!$AL$6:$AL$505,"○")&gt;0,1,0))</f>
        <v>0</v>
      </c>
      <c r="T105" s="39" t="n">
        <f aca="false">IF(T$4=0,0,IF(COUNTIFS(実績!$W$6:$W$505,T$3,実績!$AI$6:$AI$505,"&lt;="&amp;$A105,実績!$AJ$6:$AJ$505,"&gt;"&amp;$A105,実績!$AL$6:$AL$505,"○")&gt;0,1,0))</f>
        <v>0</v>
      </c>
      <c r="U105" s="39" t="n">
        <f aca="false">IF(U$4=0,0,IF(COUNTIFS(実績!$W$6:$W$505,U$3,実績!$AI$6:$AI$505,"&lt;="&amp;$A105,実績!$AJ$6:$AJ$505,"&gt;"&amp;$A105,実績!$AL$6:$AL$505,"○")&gt;0,1,0))</f>
        <v>0</v>
      </c>
      <c r="V105" s="39" t="n">
        <f aca="false">IF(V$4=0,0,IF(COUNTIFS(実績!$W$6:$W$505,V$3,実績!$AI$6:$AI$505,"&lt;="&amp;$A105,実績!$AJ$6:$AJ$505,"&gt;"&amp;$A105,実績!$AL$6:$AL$505,"○")&gt;0,1,0))</f>
        <v>0</v>
      </c>
      <c r="W105" s="39" t="n">
        <f aca="false">IF(W$4=0,0,IF(COUNTIFS(実績!$W$6:$W$505,W$3,実績!$AI$6:$AI$505,"&lt;="&amp;$A105,実績!$AJ$6:$AJ$505,"&gt;"&amp;$A105,実績!$AL$6:$AL$505,"○")&gt;0,1,0))</f>
        <v>0</v>
      </c>
      <c r="X105" s="39" t="n">
        <f aca="false">IF(X$4=0,0,IF(COUNTIFS(実績!$W$6:$W$505,X$3,実績!$AI$6:$AI$505,"&lt;="&amp;$A105,実績!$AJ$6:$AJ$505,"&gt;"&amp;$A105,実績!$AL$6:$AL$505,"○")&gt;0,1,0))</f>
        <v>0</v>
      </c>
      <c r="Y105" s="39" t="n">
        <f aca="false">IF(Y$4=0,0,IF(COUNTIFS(実績!$W$6:$W$505,Y$3,実績!$AI$6:$AI$505,"&lt;="&amp;$A105,実績!$AJ$6:$AJ$505,"&gt;"&amp;$A105,実績!$AL$6:$AL$505,"○")&gt;0,1,0))</f>
        <v>0</v>
      </c>
      <c r="Z105" s="39" t="n">
        <f aca="false">IF(Z$4=0,0,IF(COUNTIFS(実績!$W$6:$W$505,Z$3,実績!$AI$6:$AI$505,"&lt;="&amp;$A105,実績!$AJ$6:$AJ$505,"&gt;"&amp;$A105,実績!$AL$6:$AL$505,"○")&gt;0,1,0))</f>
        <v>0</v>
      </c>
      <c r="AA105" s="39" t="n">
        <f aca="false">IF(AA$4=0,0,IF(COUNTIFS(実績!$W$6:$W$505,AA$3,実績!$AI$6:$AI$505,"&lt;="&amp;$A105,実績!$AJ$6:$AJ$505,"&gt;"&amp;$A105,実績!$AL$6:$AL$505,"○")&gt;0,1,0))</f>
        <v>0</v>
      </c>
      <c r="AB105" s="39" t="n">
        <f aca="false">IF(AB$4=0,0,IF(COUNTIFS(実績!$W$6:$W$505,AB$3,実績!$AI$6:$AI$505,"&lt;="&amp;$A105,実績!$AJ$6:$AJ$505,"&gt;"&amp;$A105,実績!$AL$6:$AL$505,"○")&gt;0,1,0))</f>
        <v>0</v>
      </c>
      <c r="AC105" s="39" t="n">
        <f aca="false">IF(AC$4=0,0,IF(COUNTIFS(実績!$W$6:$W$505,AC$3,実績!$AI$6:$AI$505,"&lt;="&amp;$A105,実績!$AJ$6:$AJ$505,"&gt;"&amp;$A105,実績!$AL$6:$AL$505,"○")&gt;0,1,0))</f>
        <v>0</v>
      </c>
      <c r="AD105" s="39" t="n">
        <f aca="false">IF(AD$4=0,0,IF(COUNTIFS(実績!$W$6:$W$505,AD$3,実績!$AI$6:$AI$505,"&lt;="&amp;$A105,実績!$AJ$6:$AJ$505,"&gt;"&amp;$A105,実績!$AL$6:$AL$505,"○")&gt;0,1,0))</f>
        <v>0</v>
      </c>
      <c r="AE105" s="39" t="n">
        <f aca="false">IF(AE$4=0,0,IF(COUNTIFS(実績!$W$6:$W$505,AE$3,実績!$AI$6:$AI$505,"&lt;="&amp;$A105,実績!$AJ$6:$AJ$505,"&gt;"&amp;$A105,実績!$AL$6:$AL$505,"○")&gt;0,1,0))</f>
        <v>0</v>
      </c>
      <c r="AF105" s="39" t="n">
        <f aca="false">IF(AF$4=0,0,IF(COUNTIFS(実績!$W$6:$W$505,AF$3,実績!$AI$6:$AI$505,"&lt;="&amp;$A105,実績!$AJ$6:$AJ$505,"&gt;"&amp;$A105,実績!$AL$6:$AL$505,"○")&gt;0,1,0))</f>
        <v>0</v>
      </c>
      <c r="AG105" s="39" t="n">
        <f aca="false">IF(AG$4=0,0,IF(COUNTIFS(実績!$W$6:$W$505,AG$3,実績!$AI$6:$AI$505,"&lt;="&amp;$A105,実績!$AJ$6:$AJ$505,"&gt;"&amp;$A105,実績!$AL$6:$AL$505,"○")&gt;0,1,0))</f>
        <v>0</v>
      </c>
      <c r="AH105" s="39" t="n">
        <f aca="false">IF(AH$4=0,0,IF(COUNTIFS(実績!$W$6:$W$505,AH$3,実績!$AI$6:$AI$505,"&lt;="&amp;$A105,実績!$AJ$6:$AJ$505,"&gt;"&amp;$A105,実績!$AL$6:$AL$505,"○")&gt;0,1,0))</f>
        <v>0</v>
      </c>
      <c r="AI105" s="39" t="n">
        <f aca="false">IF(AI$4=0,0,IF(COUNTIFS(実績!$W$6:$W$505,AI$3,実績!$AI$6:$AI$505,"&lt;="&amp;$A105,実績!$AJ$6:$AJ$505,"&gt;"&amp;$A105,実績!$AL$6:$AL$505,"○")&gt;0,1,0))</f>
        <v>0</v>
      </c>
      <c r="AJ105" s="39" t="n">
        <f aca="false">IF(AJ$4=0,0,IF(COUNTIFS(実績!$W$6:$W$505,AJ$3,実績!$AI$6:$AI$505,"&lt;="&amp;$A105,実績!$AJ$6:$AJ$505,"&gt;"&amp;$A105,実績!$AL$6:$AL$505,"○")&gt;0,1,0))</f>
        <v>0</v>
      </c>
      <c r="AK105" s="39" t="n">
        <f aca="false">IF(AK$4=0,0,IF(COUNTIFS(実績!$W$6:$W$505,AK$3,実績!$AI$6:$AI$505,"&lt;="&amp;$A105,実績!$AJ$6:$AJ$505,"&gt;"&amp;$A105,実績!$AL$6:$AL$505,"○")&gt;0,1,0))</f>
        <v>0</v>
      </c>
      <c r="AL105" s="39" t="n">
        <f aca="false">IF(AL$4=0,0,IF(COUNTIFS(実績!$W$6:$W$505,AL$3,実績!$AI$6:$AI$505,"&lt;="&amp;$A105,実績!$AJ$6:$AJ$505,"&gt;"&amp;$A105,実績!$AL$6:$AL$505,"○")&gt;0,1,0))</f>
        <v>0</v>
      </c>
      <c r="AM105" s="39" t="n">
        <f aca="false">IF(AM$4=0,0,IF(COUNTIFS(実績!$W$6:$W$505,AM$3,実績!$AI$6:$AI$505,"&lt;="&amp;$A105,実績!$AJ$6:$AJ$505,"&gt;"&amp;$A105,実績!$AL$6:$AL$505,"○")&gt;0,1,0))</f>
        <v>0</v>
      </c>
      <c r="AN105" s="39" t="n">
        <f aca="false">IF(AN$4=0,0,IF(COUNTIFS(実績!$W$6:$W$505,AN$3,実績!$AI$6:$AI$505,"&lt;="&amp;$A105,実績!$AJ$6:$AJ$505,"&gt;"&amp;$A105,実績!$AL$6:$AL$505,"○")&gt;0,1,0))</f>
        <v>0</v>
      </c>
      <c r="AO105" s="39" t="n">
        <f aca="false">IF(AO$4=0,0,IF(COUNTIFS(実績!$W$6:$W$505,AO$3,実績!$AI$6:$AI$505,"&lt;="&amp;$A105,実績!$AJ$6:$AJ$505,"&gt;"&amp;$A105,実績!$AL$6:$AL$505,"○")&gt;0,1,0))</f>
        <v>0</v>
      </c>
      <c r="AP105" s="39" t="n">
        <f aca="false">IF(AP$4=0,0,IF(COUNTIFS(実績!$W$6:$W$505,AP$3,実績!$AI$6:$AI$505,"&lt;="&amp;$A105,実績!$AJ$6:$AJ$505,"&gt;"&amp;$A105,実績!$AL$6:$AL$505,"○")&gt;0,1,0))</f>
        <v>0</v>
      </c>
      <c r="AQ105" s="39" t="n">
        <f aca="false">IF(AQ$4=0,0,IF(COUNTIFS(実績!$W$6:$W$505,AQ$3,実績!$AI$6:$AI$505,"&lt;="&amp;$A105,実績!$AJ$6:$AJ$505,"&gt;"&amp;$A105,実績!$AL$6:$AL$505,"○")&gt;0,1,0))</f>
        <v>0</v>
      </c>
      <c r="AR105" s="39" t="n">
        <f aca="false">IF(AR$4=0,0,IF(COUNTIFS(実績!$W$6:$W$505,AR$3,実績!$AI$6:$AI$505,"&lt;="&amp;$A105,実績!$AJ$6:$AJ$505,"&gt;"&amp;$A105,実績!$AL$6:$AL$505,"○")&gt;0,1,0))</f>
        <v>0</v>
      </c>
      <c r="AS105" s="39" t="n">
        <f aca="false">IF(AS$4=0,0,IF(COUNTIFS(実績!$W$6:$W$505,AS$3,実績!$AI$6:$AI$505,"&lt;="&amp;$A105,実績!$AJ$6:$AJ$505,"&gt;"&amp;$A105,実績!$AL$6:$AL$505,"○")&gt;0,1,0))</f>
        <v>0</v>
      </c>
      <c r="AT105" s="39" t="n">
        <f aca="false">IF(AT$4=0,0,IF(COUNTIFS(実績!$W$6:$W$505,AT$3,実績!$AI$6:$AI$505,"&lt;="&amp;$A105,実績!$AJ$6:$AJ$505,"&gt;"&amp;$A105,実績!$AL$6:$AL$505,"○")&gt;0,1,0))</f>
        <v>0</v>
      </c>
      <c r="AU105" s="39" t="n">
        <f aca="false">IF(AU$4=0,0,IF(COUNTIFS(実績!$W$6:$W$505,AU$3,実績!$AI$6:$AI$505,"&lt;="&amp;$A105,実績!$AJ$6:$AJ$505,"&gt;"&amp;$A105,実績!$AL$6:$AL$505,"○")&gt;0,1,0))</f>
        <v>0</v>
      </c>
      <c r="AV105" s="39" t="n">
        <f aca="false">IF(AV$4=0,0,IF(COUNTIFS(実績!$W$6:$W$505,AV$3,実績!$AI$6:$AI$505,"&lt;="&amp;$A105,実績!$AJ$6:$AJ$505,"&gt;"&amp;$A105,実績!$AL$6:$AL$505,"○")&gt;0,1,0))</f>
        <v>0</v>
      </c>
      <c r="AW105" s="39" t="n">
        <f aca="false">IF(AW$4=0,0,IF(COUNTIFS(実績!$W$6:$W$505,AW$3,実績!$AI$6:$AI$505,"&lt;="&amp;$A105,実績!$AJ$6:$AJ$505,"&gt;"&amp;$A105,実績!$AL$6:$AL$505,"○")&gt;0,1,0))</f>
        <v>0</v>
      </c>
      <c r="AX105" s="39" t="n">
        <f aca="false">IF(AX$4=0,0,IF(COUNTIFS(実績!$W$6:$W$505,AX$3,実績!$AI$6:$AI$505,"&lt;="&amp;$A105,実績!$AJ$6:$AJ$505,"&gt;"&amp;$A105,実績!$AL$6:$AL$505,"○")&gt;0,1,0))</f>
        <v>0</v>
      </c>
      <c r="AY105" s="39" t="n">
        <f aca="false">IF(AY$4=0,0,IF(COUNTIFS(実績!$W$6:$W$505,AY$3,実績!$AI$6:$AI$505,"&lt;="&amp;$A105,実績!$AJ$6:$AJ$505,"&gt;"&amp;$A105,実績!$AL$6:$AL$505,"○")&gt;0,1,0))</f>
        <v>0</v>
      </c>
      <c r="AZ105" s="39" t="n">
        <f aca="false">IF(AZ$4=0,0,IF(COUNTIFS(実績!$W$6:$W$505,AZ$3,実績!$AI$6:$AI$505,"&lt;="&amp;$A105,実績!$AJ$6:$AJ$505,"&gt;"&amp;$A105,実績!$AL$6:$AL$505,"○")&gt;0,1,0))</f>
        <v>0</v>
      </c>
      <c r="BA105" s="39" t="n">
        <f aca="false">IF(BA$4=0,0,IF(COUNTIFS(実績!$W$6:$W$505,BA$3,実績!$AI$6:$AI$505,"&lt;="&amp;$A105,実績!$AJ$6:$AJ$505,"&gt;"&amp;$A105,実績!$AL$6:$AL$505,"○")&gt;0,1,0))</f>
        <v>0</v>
      </c>
      <c r="BB105" s="39" t="n">
        <f aca="false">IF(BB$4=0,0,IF(COUNTIFS(実績!$W$6:$W$505,BB$3,実績!$AI$6:$AI$505,"&lt;="&amp;$A105,実績!$AJ$6:$AJ$505,"&gt;"&amp;$A105,実績!$AL$6:$AL$505,"○")&gt;0,1,0))</f>
        <v>0</v>
      </c>
      <c r="BC105" s="39" t="n">
        <f aca="false">IF(BC$4=0,0,IF(COUNTIFS(実績!$W$6:$W$505,BC$3,実績!$AI$6:$AI$505,"&lt;="&amp;$A105,実績!$AJ$6:$AJ$505,"&gt;"&amp;$A105,実績!$AL$6:$AL$505,"○")&gt;0,1,0))</f>
        <v>0</v>
      </c>
      <c r="BD105" s="39" t="n">
        <f aca="false">IF(BD$4=0,0,IF(COUNTIFS(実績!$W$6:$W$505,BD$3,実績!$AI$6:$AI$505,"&lt;="&amp;$A105,実績!$AJ$6:$AJ$505,"&gt;"&amp;$A105,実績!$AL$6:$AL$505,"○")&gt;0,1,0))</f>
        <v>0</v>
      </c>
      <c r="BE105" s="39" t="n">
        <f aca="false">IF(BE$4=0,0,IF(COUNTIFS(実績!$W$6:$W$505,BE$3,実績!$AI$6:$AI$505,"&lt;="&amp;$A105,実績!$AJ$6:$AJ$505,"&gt;"&amp;$A105,実績!$AL$6:$AL$505,"○")&gt;0,1,0))</f>
        <v>0</v>
      </c>
      <c r="BF105" s="39" t="n">
        <f aca="false">IF(BF$4=0,0,IF(COUNTIFS(実績!$W$6:$W$505,BF$3,実績!$AI$6:$AI$505,"&lt;="&amp;$A105,実績!$AJ$6:$AJ$505,"&gt;"&amp;$A105,実績!$AL$6:$AL$505,"○")&gt;0,1,0))</f>
        <v>0</v>
      </c>
      <c r="BG105" s="39" t="n">
        <f aca="false">IF(BG$4=0,0,IF(COUNTIFS(実績!$W$6:$W$505,BG$3,実績!$AI$6:$AI$505,"&lt;="&amp;$A105,実績!$AJ$6:$AJ$505,"&gt;"&amp;$A105,実績!$AL$6:$AL$505,"○")&gt;0,1,0))</f>
        <v>0</v>
      </c>
      <c r="BH105" s="39" t="n">
        <f aca="false">IF(BH$4=0,0,IF(COUNTIFS(実績!$W$6:$W$505,BH$3,実績!$AI$6:$AI$505,"&lt;="&amp;$A105,実績!$AJ$6:$AJ$505,"&gt;"&amp;$A105,実績!$AL$6:$AL$505,"○")&gt;0,1,0))</f>
        <v>0</v>
      </c>
      <c r="BI105" s="39" t="n">
        <f aca="false">IF(BI$4=0,0,IF(COUNTIFS(実績!$W$6:$W$505,BI$3,実績!$AI$6:$AI$505,"&lt;="&amp;$A105,実績!$AJ$6:$AJ$505,"&gt;"&amp;$A105,実績!$AL$6:$AL$505,"○")&gt;0,1,0))</f>
        <v>0</v>
      </c>
      <c r="BJ105" s="39" t="n">
        <f aca="false">IF(BJ$4=0,0,IF(COUNTIFS(実績!$W$6:$W$505,BJ$3,実績!$AI$6:$AI$505,"&lt;="&amp;$A105,実績!$AJ$6:$AJ$505,"&gt;"&amp;$A105,実績!$AL$6:$AL$505,"○")&gt;0,1,0))</f>
        <v>0</v>
      </c>
      <c r="BK105" s="39" t="n">
        <f aca="false">IF(BK$4=0,0,IF(COUNTIFS(実績!$W$6:$W$505,BK$3,実績!$AI$6:$AI$505,"&lt;="&amp;$A105,実績!$AJ$6:$AJ$505,"&gt;"&amp;$A105,実績!$AL$6:$AL$505,"○")&gt;0,1,0))</f>
        <v>0</v>
      </c>
      <c r="BL105" s="39" t="n">
        <f aca="false">IF(BL$4=0,0,IF(COUNTIFS(実績!$W$6:$W$505,BL$3,実績!$AI$6:$AI$505,"&lt;="&amp;$A105,実績!$AJ$6:$AJ$505,"&gt;"&amp;$A105,実績!$AL$6:$AL$505,"○")&gt;0,1,0))</f>
        <v>0</v>
      </c>
      <c r="BM105" s="39" t="n">
        <f aca="false">IF(BM$4=0,0,IF(COUNTIFS(実績!$W$6:$W$505,BM$3,実績!$AI$6:$AI$505,"&lt;="&amp;$A105,実績!$AJ$6:$AJ$505,"&gt;"&amp;$A105,実績!$AL$6:$AL$505,"○")&gt;0,1,0))</f>
        <v>0</v>
      </c>
      <c r="BN105" s="39" t="n">
        <f aca="false">IF(BN$4=0,0,IF(COUNTIFS(実績!$W$6:$W$505,BN$3,実績!$AI$6:$AI$505,"&lt;="&amp;$A105,実績!$AJ$6:$AJ$505,"&gt;"&amp;$A105,実績!$AL$6:$AL$505,"○")&gt;0,1,0))</f>
        <v>0</v>
      </c>
      <c r="BO105" s="39" t="n">
        <f aca="false">IF(BO$4=0,0,IF(COUNTIFS(実績!$W$6:$W$505,BO$3,実績!$AI$6:$AI$505,"&lt;="&amp;$A105,実績!$AJ$6:$AJ$505,"&gt;"&amp;$A105,実績!$AL$6:$AL$505,"○")&gt;0,1,0))</f>
        <v>0</v>
      </c>
      <c r="BP105" s="39" t="n">
        <f aca="false">IF(BP$4=0,0,IF(COUNTIFS(実績!$W$6:$W$505,BP$3,実績!$AI$6:$AI$505,"&lt;="&amp;$A105,実績!$AJ$6:$AJ$505,"&gt;"&amp;$A105,実績!$AL$6:$AL$505,"○")&gt;0,1,0))</f>
        <v>0</v>
      </c>
      <c r="BQ105" s="39" t="n">
        <f aca="false">IF(BQ$4=0,0,IF(COUNTIFS(実績!$W$6:$W$505,BQ$3,実績!$AI$6:$AI$505,"&lt;="&amp;$A105,実績!$AJ$6:$AJ$505,"&gt;"&amp;$A105,実績!$AL$6:$AL$505,"○")&gt;0,1,0))</f>
        <v>0</v>
      </c>
      <c r="BR105" s="39" t="n">
        <f aca="false">IF(BR$4=0,0,IF(COUNTIFS(実績!$W$6:$W$505,BR$3,実績!$AI$6:$AI$505,"&lt;="&amp;$A105,実績!$AJ$6:$AJ$505,"&gt;"&amp;$A105,実績!$AL$6:$AL$505,"○")&gt;0,1,0))</f>
        <v>0</v>
      </c>
      <c r="BS105" s="39" t="n">
        <f aca="false">IF(BS$4=0,0,IF(COUNTIFS(実績!$W$6:$W$505,BS$3,実績!$AI$6:$AI$505,"&lt;="&amp;$A105,実績!$AJ$6:$AJ$505,"&gt;"&amp;$A105,実績!$AL$6:$AL$505,"○")&gt;0,1,0))</f>
        <v>0</v>
      </c>
      <c r="BT105" s="39" t="n">
        <f aca="false">IF(BT$4=0,0,IF(COUNTIFS(実績!$W$6:$W$505,BT$3,実績!$AI$6:$AI$505,"&lt;="&amp;$A105,実績!$AJ$6:$AJ$505,"&gt;"&amp;$A105,実績!$AL$6:$AL$505,"○")&gt;0,1,0))</f>
        <v>0</v>
      </c>
      <c r="BU105" s="39" t="n">
        <f aca="false">IF(BU$4=0,0,IF(COUNTIFS(実績!$W$6:$W$505,BU$3,実績!$AI$6:$AI$505,"&lt;="&amp;$A105,実績!$AJ$6:$AJ$505,"&gt;"&amp;$A105,実績!$AL$6:$AL$505,"○")&gt;0,1,0))</f>
        <v>0</v>
      </c>
      <c r="BV105" s="39" t="n">
        <f aca="false">IF(BV$4=0,0,IF(COUNTIFS(実績!$W$6:$W$505,BV$3,実績!$AI$6:$AI$505,"&lt;="&amp;$A105,実績!$AJ$6:$AJ$505,"&gt;"&amp;$A105,実績!$AL$6:$AL$505,"○")&gt;0,1,0))</f>
        <v>0</v>
      </c>
      <c r="BW105" s="39" t="n">
        <f aca="false">IF(BW$4=0,0,IF(COUNTIFS(実績!$W$6:$W$505,BW$3,実績!$AI$6:$AI$505,"&lt;="&amp;$A105,実績!$AJ$6:$AJ$505,"&gt;"&amp;$A105,実績!$AL$6:$AL$505,"○")&gt;0,1,0))</f>
        <v>0</v>
      </c>
      <c r="BX105" s="39" t="n">
        <f aca="false">IF(BX$4=0,0,IF(COUNTIFS(実績!$W$6:$W$505,BX$3,実績!$AI$6:$AI$505,"&lt;="&amp;$A105,実績!$AJ$6:$AJ$505,"&gt;"&amp;$A105,実績!$AL$6:$AL$505,"○")&gt;0,1,0))</f>
        <v>0</v>
      </c>
      <c r="BY105" s="39" t="n">
        <f aca="false">IF(BY$4=0,0,IF(COUNTIFS(実績!$W$6:$W$505,BY$3,実績!$AI$6:$AI$505,"&lt;="&amp;$A105,実績!$AJ$6:$AJ$505,"&gt;"&amp;$A105,実績!$AL$6:$AL$505,"○")&gt;0,1,0))</f>
        <v>0</v>
      </c>
      <c r="BZ105" s="39" t="n">
        <f aca="false">IF(BZ$4=0,0,IF(COUNTIFS(実績!$W$6:$W$505,BZ$3,実績!$AI$6:$AI$505,"&lt;="&amp;$A105,実績!$AJ$6:$AJ$505,"&gt;"&amp;$A105,実績!$AL$6:$AL$505,"○")&gt;0,1,0))</f>
        <v>0</v>
      </c>
      <c r="CA105" s="39" t="n">
        <f aca="false">IF(CA$4=0,0,IF(COUNTIFS(実績!$W$6:$W$505,CA$3,実績!$AI$6:$AI$505,"&lt;="&amp;$A105,実績!$AJ$6:$AJ$505,"&gt;"&amp;$A105,実績!$AL$6:$AL$505,"○")&gt;0,1,0))</f>
        <v>0</v>
      </c>
      <c r="CB105" s="39" t="n">
        <f aca="false">IF(CB$4=0,0,IF(COUNTIFS(実績!$W$6:$W$505,CB$3,実績!$AI$6:$AI$505,"&lt;="&amp;$A105,実績!$AJ$6:$AJ$505,"&gt;"&amp;$A105,実績!$AL$6:$AL$505,"○")&gt;0,1,0))</f>
        <v>0</v>
      </c>
      <c r="CC105" s="39" t="n">
        <f aca="false">IF(CC$4=0,0,IF(COUNTIFS(実績!$W$6:$W$505,CC$3,実績!$AI$6:$AI$505,"&lt;="&amp;$A105,実績!$AJ$6:$AJ$505,"&gt;"&amp;$A105,実績!$AL$6:$AL$505,"○")&gt;0,1,0))</f>
        <v>0</v>
      </c>
      <c r="CD105" s="39" t="n">
        <f aca="false">IF(CD$4=0,0,IF(COUNTIFS(実績!$W$6:$W$505,CD$3,実績!$AI$6:$AI$505,"&lt;="&amp;$A105,実績!$AJ$6:$AJ$505,"&gt;"&amp;$A105,実績!$AL$6:$AL$505,"○")&gt;0,1,0))</f>
        <v>0</v>
      </c>
      <c r="CE105" s="39" t="n">
        <f aca="false">IF(CE$4=0,0,IF(COUNTIFS(実績!$W$6:$W$505,CE$3,実績!$AI$6:$AI$505,"&lt;="&amp;$A105,実績!$AJ$6:$AJ$505,"&gt;"&amp;$A105,実績!$AL$6:$AL$505,"○")&gt;0,1,0))</f>
        <v>0</v>
      </c>
      <c r="CF105" s="39" t="n">
        <f aca="false">IF(CF$4=0,0,IF(COUNTIFS(実績!$W$6:$W$505,CF$3,実績!$AI$6:$AI$505,"&lt;="&amp;$A105,実績!$AJ$6:$AJ$505,"&gt;"&amp;$A105,実績!$AL$6:$AL$505,"○")&gt;0,1,0))</f>
        <v>0</v>
      </c>
      <c r="CG105" s="39" t="n">
        <f aca="false">IF(CG$4=0,0,IF(COUNTIFS(実績!$W$6:$W$505,CG$3,実績!$AI$6:$AI$505,"&lt;="&amp;$A105,実績!$AJ$6:$AJ$505,"&gt;"&amp;$A105,実績!$AL$6:$AL$505,"○")&gt;0,1,0))</f>
        <v>0</v>
      </c>
      <c r="CH105" s="39" t="n">
        <f aca="false">IF(CH$4=0,0,IF(COUNTIFS(実績!$W$6:$W$505,CH$3,実績!$AI$6:$AI$505,"&lt;="&amp;$A105,実績!$AJ$6:$AJ$505,"&gt;"&amp;$A105,実績!$AL$6:$AL$505,"○")&gt;0,1,0))</f>
        <v>0</v>
      </c>
      <c r="CI105" s="39" t="n">
        <f aca="false">IF(CI$4=0,0,IF(COUNTIFS(実績!$W$6:$W$505,CI$3,実績!$AI$6:$AI$505,"&lt;="&amp;$A105,実績!$AJ$6:$AJ$505,"&gt;"&amp;$A105,実績!$AL$6:$AL$505,"○")&gt;0,1,0))</f>
        <v>0</v>
      </c>
      <c r="CJ105" s="39" t="n">
        <f aca="false">IF(CJ$4=0,0,IF(COUNTIFS(実績!$W$6:$W$505,CJ$3,実績!$AI$6:$AI$505,"&lt;="&amp;$A105,実績!$AJ$6:$AJ$505,"&gt;"&amp;$A105,実績!$AL$6:$AL$505,"○")&gt;0,1,0))</f>
        <v>0</v>
      </c>
      <c r="CK105" s="39" t="n">
        <f aca="false">IF(CK$4=0,0,IF(COUNTIFS(実績!$W$6:$W$505,CK$3,実績!$AI$6:$AI$505,"&lt;="&amp;$A105,実績!$AJ$6:$AJ$505,"&gt;"&amp;$A105,実績!$AL$6:$AL$505,"○")&gt;0,1,0))</f>
        <v>0</v>
      </c>
      <c r="CL105" s="39" t="n">
        <f aca="false">IF(CL$4=0,0,IF(COUNTIFS(実績!$W$6:$W$505,CL$3,実績!$AI$6:$AI$505,"&lt;="&amp;$A105,実績!$AJ$6:$AJ$505,"&gt;"&amp;$A105,実績!$AL$6:$AL$505,"○")&gt;0,1,0))</f>
        <v>0</v>
      </c>
      <c r="CM105" s="39" t="n">
        <f aca="false">IF(CM$4=0,0,IF(COUNTIFS(実績!$W$6:$W$505,CM$3,実績!$AI$6:$AI$505,"&lt;="&amp;$A105,実績!$AJ$6:$AJ$505,"&gt;"&amp;$A105,実績!$AL$6:$AL$505,"○")&gt;0,1,0))</f>
        <v>0</v>
      </c>
      <c r="CN105" s="39" t="n">
        <f aca="false">IF(CN$4=0,0,IF(COUNTIFS(実績!$W$6:$W$505,CN$3,実績!$AI$6:$AI$505,"&lt;="&amp;$A105,実績!$AJ$6:$AJ$505,"&gt;"&amp;$A105,実績!$AL$6:$AL$505,"○")&gt;0,1,0))</f>
        <v>0</v>
      </c>
      <c r="CO105" s="39" t="n">
        <f aca="false">IF(CO$4=0,0,IF(COUNTIFS(実績!$W$6:$W$505,CO$3,実績!$AI$6:$AI$505,"&lt;="&amp;$A105,実績!$AJ$6:$AJ$505,"&gt;"&amp;$A105,実績!$AL$6:$AL$505,"○")&gt;0,1,0))</f>
        <v>0</v>
      </c>
      <c r="CP105" s="39" t="n">
        <f aca="false">IF(CP$4=0,0,IF(COUNTIFS(実績!$W$6:$W$505,CP$3,実績!$AI$6:$AI$505,"&lt;="&amp;$A105,実績!$AJ$6:$AJ$505,"&gt;"&amp;$A105,実績!$AL$6:$AL$505,"○")&gt;0,1,0))</f>
        <v>0</v>
      </c>
      <c r="CQ105" s="39" t="n">
        <f aca="false">IF(CQ$4=0,0,IF(COUNTIFS(実績!$W$6:$W$505,CQ$3,実績!$AI$6:$AI$505,"&lt;="&amp;$A105,実績!$AJ$6:$AJ$505,"&gt;"&amp;$A105,実績!$AL$6:$AL$505,"○")&gt;0,1,0))</f>
        <v>0</v>
      </c>
      <c r="CR105" s="39" t="n">
        <f aca="false">IF(CR$4=0,0,IF(COUNTIFS(実績!$W$6:$W$505,CR$3,実績!$AI$6:$AI$505,"&lt;="&amp;$A105,実績!$AJ$6:$AJ$505,"&gt;"&amp;$A105,実績!$AL$6:$AL$505,"○")&gt;0,1,0))</f>
        <v>0</v>
      </c>
      <c r="CS105" s="39" t="n">
        <f aca="false">IF(CS$4=0,0,IF(COUNTIFS(実績!$W$6:$W$505,CS$3,実績!$AI$6:$AI$505,"&lt;="&amp;$A105,実績!$AJ$6:$AJ$505,"&gt;"&amp;$A105,実績!$AL$6:$AL$505,"○")&gt;0,1,0))</f>
        <v>0</v>
      </c>
      <c r="CT105" s="39" t="n">
        <f aca="false">IF(CT$4=0,0,IF(COUNTIFS(実績!$W$6:$W$505,CT$3,実績!$AI$6:$AI$505,"&lt;="&amp;$A105,実績!$AJ$6:$AJ$505,"&gt;"&amp;$A105,実績!$AL$6:$AL$505,"○")&gt;0,1,0))</f>
        <v>0</v>
      </c>
      <c r="CU105" s="39" t="n">
        <f aca="false">IF(CU$4=0,0,IF(COUNTIFS(実績!$W$6:$W$505,CU$3,実績!$AI$6:$AI$505,"&lt;="&amp;$A105,実績!$AJ$6:$AJ$505,"&gt;"&amp;$A105,実績!$AL$6:$AL$505,"○")&gt;0,1,0))</f>
        <v>0</v>
      </c>
      <c r="CV105" s="39" t="n">
        <f aca="false">IF(CV$4=0,0,IF(COUNTIFS(実績!$W$6:$W$505,CV$3,実績!$AI$6:$AI$505,"&lt;="&amp;$A105,実績!$AJ$6:$AJ$505,"&gt;"&amp;$A105,実績!$AL$6:$AL$505,"○")&gt;0,1,0))</f>
        <v>0</v>
      </c>
      <c r="CW105" s="39" t="n">
        <f aca="false">IF(CW$4=0,0,IF(COUNTIFS(実績!$W$6:$W$505,CW$3,実績!$AI$6:$AI$505,"&lt;="&amp;$A105,実績!$AJ$6:$AJ$505,"&gt;"&amp;$A105,実績!$AL$6:$AL$505,"○")&gt;0,1,0))</f>
        <v>0</v>
      </c>
      <c r="CX105" s="39" t="n">
        <f aca="false">IF(CX$4=0,0,IF(COUNTIFS(実績!$W$6:$W$505,CX$3,実績!$AI$6:$AI$505,"&lt;="&amp;$A105,実績!$AJ$6:$AJ$505,"&gt;"&amp;$A105,実績!$AL$6:$AL$505,"○")&gt;0,1,0))</f>
        <v>0</v>
      </c>
      <c r="CY105" s="39" t="n">
        <f aca="false">IF(CY$4=0,0,IF(COUNTIFS(実績!$W$6:$W$505,CY$3,実績!$AI$6:$AI$505,"&lt;="&amp;$A105,実績!$AJ$6:$AJ$505,"&gt;"&amp;$A105,実績!$AL$6:$AL$505,"○")&gt;0,1,0))</f>
        <v>0</v>
      </c>
      <c r="CZ105" s="39" t="n">
        <f aca="false">IF(CZ$4=0,0,IF(COUNTIFS(実績!$W$6:$W$505,CZ$3,実績!$AI$6:$AI$505,"&lt;="&amp;$A105,実績!$AJ$6:$AJ$505,"&gt;"&amp;$A105,実績!$AL$6:$AL$505,"○")&gt;0,1,0))</f>
        <v>0</v>
      </c>
      <c r="DA105" s="39" t="n">
        <f aca="false">IF(DA$4=0,0,IF(COUNTIFS(実績!$W$6:$W$505,DA$3,実績!$AI$6:$AI$505,"&lt;="&amp;$A105,実績!$AJ$6:$AJ$505,"&gt;"&amp;$A105,実績!$AL$6:$AL$505,"○")&gt;0,1,0))</f>
        <v>0</v>
      </c>
      <c r="DB105" s="39" t="n">
        <f aca="false">IF(DB$4=0,0,IF(COUNTIFS(実績!$W$6:$W$505,DB$3,実績!$AI$6:$AI$505,"&lt;="&amp;$A105,実績!$AJ$6:$AJ$505,"&gt;"&amp;$A105,実績!$AL$6:$AL$505,"○")&gt;0,1,0))</f>
        <v>0</v>
      </c>
      <c r="DC105" s="39" t="n">
        <f aca="false">IF(DC$4=0,0,IF(COUNTIFS(実績!$W$6:$W$505,DC$3,実績!$AI$6:$AI$505,"&lt;="&amp;$A105,実績!$AJ$6:$AJ$505,"&gt;"&amp;$A105,実績!$AL$6:$AL$505,"○")&gt;0,1,0))</f>
        <v>0</v>
      </c>
      <c r="DD105" s="39" t="n">
        <f aca="false">IF(DD$4=0,0,IF(COUNTIFS(実績!$W$6:$W$505,DD$3,実績!$AI$6:$AI$505,"&lt;="&amp;$A105,実績!$AJ$6:$AJ$505,"&gt;"&amp;$A105,実績!$AL$6:$AL$505,"○")&gt;0,1,0))</f>
        <v>0</v>
      </c>
      <c r="DE105" s="39" t="n">
        <f aca="false">IF(DE$4=0,0,IF(COUNTIFS(実績!$W$6:$W$505,DE$3,実績!$AI$6:$AI$505,"&lt;="&amp;$A105,実績!$AJ$6:$AJ$505,"&gt;"&amp;$A105,実績!$AL$6:$AL$505,"○")&gt;0,1,0))</f>
        <v>0</v>
      </c>
      <c r="DF105" s="39" t="n">
        <f aca="false">IF(DF$4=0,0,IF(COUNTIFS(実績!$W$6:$W$505,DF$3,実績!$AI$6:$AI$505,"&lt;="&amp;$A105,実績!$AJ$6:$AJ$505,"&gt;"&amp;$A105,実績!$AL$6:$AL$505,"○")&gt;0,1,0))</f>
        <v>0</v>
      </c>
      <c r="DG105" s="39" t="n">
        <f aca="false">IF(DG$4=0,0,IF(COUNTIFS(実績!$W$6:$W$505,DG$3,実績!$AI$6:$AI$505,"&lt;="&amp;$A105,実績!$AJ$6:$AJ$505,"&gt;"&amp;$A105,実績!$AL$6:$AL$505,"○")&gt;0,1,0))</f>
        <v>0</v>
      </c>
      <c r="DH105" s="39" t="n">
        <f aca="false">IF(DH$4=0,0,IF(COUNTIFS(実績!$W$6:$W$505,DH$3,実績!$AI$6:$AI$505,"&lt;="&amp;$A105,実績!$AJ$6:$AJ$505,"&gt;"&amp;$A105,実績!$AL$6:$AL$505,"○")&gt;0,1,0))</f>
        <v>0</v>
      </c>
      <c r="DI105" s="39" t="n">
        <f aca="false">IF(DI$4=0,0,IF(COUNTIFS(実績!$W$6:$W$505,DI$3,実績!$AI$6:$AI$505,"&lt;="&amp;$A105,実績!$AJ$6:$AJ$505,"&gt;"&amp;$A105,実績!$AL$6:$AL$505,"○")&gt;0,1,0))</f>
        <v>0</v>
      </c>
      <c r="DJ105" s="39" t="n">
        <f aca="false">IF(DJ$4=0,0,IF(COUNTIFS(実績!$W$6:$W$505,DJ$3,実績!$AI$6:$AI$505,"&lt;="&amp;$A105,実績!$AJ$6:$AJ$505,"&gt;"&amp;$A105,実績!$AL$6:$AL$505,"○")&gt;0,1,0))</f>
        <v>0</v>
      </c>
      <c r="DK105" s="39" t="n">
        <f aca="false">IF(DK$4=0,0,IF(COUNTIFS(実績!$W$6:$W$505,DK$3,実績!$AI$6:$AI$505,"&lt;="&amp;$A105,実績!$AJ$6:$AJ$505,"&gt;"&amp;$A105,実績!$AL$6:$AL$505,"○")&gt;0,1,0))</f>
        <v>0</v>
      </c>
      <c r="DL105" s="39" t="n">
        <f aca="false">IF(DL$4=0,0,IF(COUNTIFS(実績!$W$6:$W$505,DL$3,実績!$AI$6:$AI$505,"&lt;="&amp;$A105,実績!$AJ$6:$AJ$505,"&gt;"&amp;$A105,実績!$AL$6:$AL$505,"○")&gt;0,1,0))</f>
        <v>0</v>
      </c>
      <c r="DM105" s="39" t="n">
        <f aca="false">IF(DM$4=0,0,IF(COUNTIFS(実績!$W$6:$W$505,DM$3,実績!$AI$6:$AI$505,"&lt;="&amp;$A105,実績!$AJ$6:$AJ$505,"&gt;"&amp;$A105,実績!$AL$6:$AL$505,"○")&gt;0,1,0))</f>
        <v>0</v>
      </c>
      <c r="DN105" s="39" t="n">
        <f aca="false">IF(DN$4=0,0,IF(COUNTIFS(実績!$W$6:$W$505,DN$3,実績!$AI$6:$AI$505,"&lt;="&amp;$A105,実績!$AJ$6:$AJ$505,"&gt;"&amp;$A105,実績!$AL$6:$AL$505,"○")&gt;0,1,0))</f>
        <v>0</v>
      </c>
      <c r="DO105" s="39" t="n">
        <f aca="false">IF(DO$4=0,0,IF(COUNTIFS(実績!$W$6:$W$505,DO$3,実績!$AI$6:$AI$505,"&lt;="&amp;$A105,実績!$AJ$6:$AJ$505,"&gt;"&amp;$A105,実績!$AL$6:$AL$505,"○")&gt;0,1,0))</f>
        <v>0</v>
      </c>
      <c r="DP105" s="39" t="n">
        <f aca="false">IF(DP$4=0,0,IF(COUNTIFS(実績!$W$6:$W$505,DP$3,実績!$AI$6:$AI$505,"&lt;="&amp;$A105,実績!$AJ$6:$AJ$505,"&gt;"&amp;$A105,実績!$AL$6:$AL$505,"○")&gt;0,1,0))</f>
        <v>0</v>
      </c>
      <c r="DQ105" s="39" t="n">
        <f aca="false">IF(DQ$4=0,0,IF(COUNTIFS(実績!$W$6:$W$505,DQ$3,実績!$AI$6:$AI$505,"&lt;="&amp;$A105,実績!$AJ$6:$AJ$505,"&gt;"&amp;$A105,実績!$AL$6:$AL$505,"○")&gt;0,1,0))</f>
        <v>0</v>
      </c>
      <c r="DR105" s="39" t="n">
        <f aca="false">IF(DR$4=0,0,IF(COUNTIFS(実績!$W$6:$W$505,DR$3,実績!$AI$6:$AI$505,"&lt;="&amp;$A105,実績!$AJ$6:$AJ$505,"&gt;"&amp;$A105,実績!$AL$6:$AL$505,"○")&gt;0,1,0))</f>
        <v>0</v>
      </c>
      <c r="DS105" s="39" t="n">
        <f aca="false">SUM(C105:DR105)</f>
        <v>0</v>
      </c>
    </row>
    <row r="106" customFormat="false" ht="15" hidden="false" customHeight="false" outlineLevel="0" collapsed="false">
      <c r="A106" s="0" t="n">
        <v>500</v>
      </c>
      <c r="B106" s="38" t="n">
        <f aca="false">A106/1440</f>
        <v>0.347222222222222</v>
      </c>
      <c r="C106" s="39" t="n">
        <f aca="false">IF(C$4=0,0,IF(COUNTIFS(実績!$W$6:$W$505,C$3,実績!$AI$6:$AI$505,"&lt;="&amp;$A106,実績!$AJ$6:$AJ$505,"&gt;"&amp;$A106,実績!$AL$6:$AL$505,"○")&gt;0,1,0))</f>
        <v>0</v>
      </c>
      <c r="D106" s="39" t="n">
        <f aca="false">IF(D$4=0,0,IF(COUNTIFS(実績!$W$6:$W$505,D$3,実績!$AI$6:$AI$505,"&lt;="&amp;$A106,実績!$AJ$6:$AJ$505,"&gt;"&amp;$A106,実績!$AL$6:$AL$505,"○")&gt;0,1,0))</f>
        <v>0</v>
      </c>
      <c r="E106" s="39" t="n">
        <f aca="false">IF(E$4=0,0,IF(COUNTIFS(実績!$W$6:$W$505,E$3,実績!$AI$6:$AI$505,"&lt;="&amp;$A106,実績!$AJ$6:$AJ$505,"&gt;"&amp;$A106,実績!$AL$6:$AL$505,"○")&gt;0,1,0))</f>
        <v>0</v>
      </c>
      <c r="F106" s="39" t="n">
        <f aca="false">IF(F$4=0,0,IF(COUNTIFS(実績!$W$6:$W$505,F$3,実績!$AI$6:$AI$505,"&lt;="&amp;$A106,実績!$AJ$6:$AJ$505,"&gt;"&amp;$A106,実績!$AL$6:$AL$505,"○")&gt;0,1,0))</f>
        <v>0</v>
      </c>
      <c r="G106" s="39" t="n">
        <f aca="false">IF(G$4=0,0,IF(COUNTIFS(実績!$W$6:$W$505,G$3,実績!$AI$6:$AI$505,"&lt;="&amp;$A106,実績!$AJ$6:$AJ$505,"&gt;"&amp;$A106,実績!$AL$6:$AL$505,"○")&gt;0,1,0))</f>
        <v>0</v>
      </c>
      <c r="H106" s="39" t="n">
        <f aca="false">IF(H$4=0,0,IF(COUNTIFS(実績!$W$6:$W$505,H$3,実績!$AI$6:$AI$505,"&lt;="&amp;$A106,実績!$AJ$6:$AJ$505,"&gt;"&amp;$A106,実績!$AL$6:$AL$505,"○")&gt;0,1,0))</f>
        <v>0</v>
      </c>
      <c r="I106" s="39" t="n">
        <f aca="false">IF(I$4=0,0,IF(COUNTIFS(実績!$W$6:$W$505,I$3,実績!$AI$6:$AI$505,"&lt;="&amp;$A106,実績!$AJ$6:$AJ$505,"&gt;"&amp;$A106,実績!$AL$6:$AL$505,"○")&gt;0,1,0))</f>
        <v>0</v>
      </c>
      <c r="J106" s="39" t="n">
        <f aca="false">IF(J$4=0,0,IF(COUNTIFS(実績!$W$6:$W$505,J$3,実績!$AI$6:$AI$505,"&lt;="&amp;$A106,実績!$AJ$6:$AJ$505,"&gt;"&amp;$A106,実績!$AL$6:$AL$505,"○")&gt;0,1,0))</f>
        <v>0</v>
      </c>
      <c r="K106" s="39" t="n">
        <f aca="false">IF(K$4=0,0,IF(COUNTIFS(実績!$W$6:$W$505,K$3,実績!$AI$6:$AI$505,"&lt;="&amp;$A106,実績!$AJ$6:$AJ$505,"&gt;"&amp;$A106,実績!$AL$6:$AL$505,"○")&gt;0,1,0))</f>
        <v>0</v>
      </c>
      <c r="L106" s="39" t="n">
        <f aca="false">IF(L$4=0,0,IF(COUNTIFS(実績!$W$6:$W$505,L$3,実績!$AI$6:$AI$505,"&lt;="&amp;$A106,実績!$AJ$6:$AJ$505,"&gt;"&amp;$A106,実績!$AL$6:$AL$505,"○")&gt;0,1,0))</f>
        <v>0</v>
      </c>
      <c r="M106" s="39" t="n">
        <f aca="false">IF(M$4=0,0,IF(COUNTIFS(実績!$W$6:$W$505,M$3,実績!$AI$6:$AI$505,"&lt;="&amp;$A106,実績!$AJ$6:$AJ$505,"&gt;"&amp;$A106,実績!$AL$6:$AL$505,"○")&gt;0,1,0))</f>
        <v>0</v>
      </c>
      <c r="N106" s="39" t="n">
        <f aca="false">IF(N$4=0,0,IF(COUNTIFS(実績!$W$6:$W$505,N$3,実績!$AI$6:$AI$505,"&lt;="&amp;$A106,実績!$AJ$6:$AJ$505,"&gt;"&amp;$A106,実績!$AL$6:$AL$505,"○")&gt;0,1,0))</f>
        <v>0</v>
      </c>
      <c r="O106" s="39" t="n">
        <f aca="false">IF(O$4=0,0,IF(COUNTIFS(実績!$W$6:$W$505,O$3,実績!$AI$6:$AI$505,"&lt;="&amp;$A106,実績!$AJ$6:$AJ$505,"&gt;"&amp;$A106,実績!$AL$6:$AL$505,"○")&gt;0,1,0))</f>
        <v>0</v>
      </c>
      <c r="P106" s="39" t="n">
        <f aca="false">IF(P$4=0,0,IF(COUNTIFS(実績!$W$6:$W$505,P$3,実績!$AI$6:$AI$505,"&lt;="&amp;$A106,実績!$AJ$6:$AJ$505,"&gt;"&amp;$A106,実績!$AL$6:$AL$505,"○")&gt;0,1,0))</f>
        <v>0</v>
      </c>
      <c r="Q106" s="39" t="n">
        <f aca="false">IF(Q$4=0,0,IF(COUNTIFS(実績!$W$6:$W$505,Q$3,実績!$AI$6:$AI$505,"&lt;="&amp;$A106,実績!$AJ$6:$AJ$505,"&gt;"&amp;$A106,実績!$AL$6:$AL$505,"○")&gt;0,1,0))</f>
        <v>0</v>
      </c>
      <c r="R106" s="39" t="n">
        <f aca="false">IF(R$4=0,0,IF(COUNTIFS(実績!$W$6:$W$505,R$3,実績!$AI$6:$AI$505,"&lt;="&amp;$A106,実績!$AJ$6:$AJ$505,"&gt;"&amp;$A106,実績!$AL$6:$AL$505,"○")&gt;0,1,0))</f>
        <v>0</v>
      </c>
      <c r="S106" s="39" t="n">
        <f aca="false">IF(S$4=0,0,IF(COUNTIFS(実績!$W$6:$W$505,S$3,実績!$AI$6:$AI$505,"&lt;="&amp;$A106,実績!$AJ$6:$AJ$505,"&gt;"&amp;$A106,実績!$AL$6:$AL$505,"○")&gt;0,1,0))</f>
        <v>0</v>
      </c>
      <c r="T106" s="39" t="n">
        <f aca="false">IF(T$4=0,0,IF(COUNTIFS(実績!$W$6:$W$505,T$3,実績!$AI$6:$AI$505,"&lt;="&amp;$A106,実績!$AJ$6:$AJ$505,"&gt;"&amp;$A106,実績!$AL$6:$AL$505,"○")&gt;0,1,0))</f>
        <v>0</v>
      </c>
      <c r="U106" s="39" t="n">
        <f aca="false">IF(U$4=0,0,IF(COUNTIFS(実績!$W$6:$W$505,U$3,実績!$AI$6:$AI$505,"&lt;="&amp;$A106,実績!$AJ$6:$AJ$505,"&gt;"&amp;$A106,実績!$AL$6:$AL$505,"○")&gt;0,1,0))</f>
        <v>0</v>
      </c>
      <c r="V106" s="39" t="n">
        <f aca="false">IF(V$4=0,0,IF(COUNTIFS(実績!$W$6:$W$505,V$3,実績!$AI$6:$AI$505,"&lt;="&amp;$A106,実績!$AJ$6:$AJ$505,"&gt;"&amp;$A106,実績!$AL$6:$AL$505,"○")&gt;0,1,0))</f>
        <v>0</v>
      </c>
      <c r="W106" s="39" t="n">
        <f aca="false">IF(W$4=0,0,IF(COUNTIFS(実績!$W$6:$W$505,W$3,実績!$AI$6:$AI$505,"&lt;="&amp;$A106,実績!$AJ$6:$AJ$505,"&gt;"&amp;$A106,実績!$AL$6:$AL$505,"○")&gt;0,1,0))</f>
        <v>0</v>
      </c>
      <c r="X106" s="39" t="n">
        <f aca="false">IF(X$4=0,0,IF(COUNTIFS(実績!$W$6:$W$505,X$3,実績!$AI$6:$AI$505,"&lt;="&amp;$A106,実績!$AJ$6:$AJ$505,"&gt;"&amp;$A106,実績!$AL$6:$AL$505,"○")&gt;0,1,0))</f>
        <v>0</v>
      </c>
      <c r="Y106" s="39" t="n">
        <f aca="false">IF(Y$4=0,0,IF(COUNTIFS(実績!$W$6:$W$505,Y$3,実績!$AI$6:$AI$505,"&lt;="&amp;$A106,実績!$AJ$6:$AJ$505,"&gt;"&amp;$A106,実績!$AL$6:$AL$505,"○")&gt;0,1,0))</f>
        <v>0</v>
      </c>
      <c r="Z106" s="39" t="n">
        <f aca="false">IF(Z$4=0,0,IF(COUNTIFS(実績!$W$6:$W$505,Z$3,実績!$AI$6:$AI$505,"&lt;="&amp;$A106,実績!$AJ$6:$AJ$505,"&gt;"&amp;$A106,実績!$AL$6:$AL$505,"○")&gt;0,1,0))</f>
        <v>0</v>
      </c>
      <c r="AA106" s="39" t="n">
        <f aca="false">IF(AA$4=0,0,IF(COUNTIFS(実績!$W$6:$W$505,AA$3,実績!$AI$6:$AI$505,"&lt;="&amp;$A106,実績!$AJ$6:$AJ$505,"&gt;"&amp;$A106,実績!$AL$6:$AL$505,"○")&gt;0,1,0))</f>
        <v>0</v>
      </c>
      <c r="AB106" s="39" t="n">
        <f aca="false">IF(AB$4=0,0,IF(COUNTIFS(実績!$W$6:$W$505,AB$3,実績!$AI$6:$AI$505,"&lt;="&amp;$A106,実績!$AJ$6:$AJ$505,"&gt;"&amp;$A106,実績!$AL$6:$AL$505,"○")&gt;0,1,0))</f>
        <v>0</v>
      </c>
      <c r="AC106" s="39" t="n">
        <f aca="false">IF(AC$4=0,0,IF(COUNTIFS(実績!$W$6:$W$505,AC$3,実績!$AI$6:$AI$505,"&lt;="&amp;$A106,実績!$AJ$6:$AJ$505,"&gt;"&amp;$A106,実績!$AL$6:$AL$505,"○")&gt;0,1,0))</f>
        <v>0</v>
      </c>
      <c r="AD106" s="39" t="n">
        <f aca="false">IF(AD$4=0,0,IF(COUNTIFS(実績!$W$6:$W$505,AD$3,実績!$AI$6:$AI$505,"&lt;="&amp;$A106,実績!$AJ$6:$AJ$505,"&gt;"&amp;$A106,実績!$AL$6:$AL$505,"○")&gt;0,1,0))</f>
        <v>0</v>
      </c>
      <c r="AE106" s="39" t="n">
        <f aca="false">IF(AE$4=0,0,IF(COUNTIFS(実績!$W$6:$W$505,AE$3,実績!$AI$6:$AI$505,"&lt;="&amp;$A106,実績!$AJ$6:$AJ$505,"&gt;"&amp;$A106,実績!$AL$6:$AL$505,"○")&gt;0,1,0))</f>
        <v>0</v>
      </c>
      <c r="AF106" s="39" t="n">
        <f aca="false">IF(AF$4=0,0,IF(COUNTIFS(実績!$W$6:$W$505,AF$3,実績!$AI$6:$AI$505,"&lt;="&amp;$A106,実績!$AJ$6:$AJ$505,"&gt;"&amp;$A106,実績!$AL$6:$AL$505,"○")&gt;0,1,0))</f>
        <v>0</v>
      </c>
      <c r="AG106" s="39" t="n">
        <f aca="false">IF(AG$4=0,0,IF(COUNTIFS(実績!$W$6:$W$505,AG$3,実績!$AI$6:$AI$505,"&lt;="&amp;$A106,実績!$AJ$6:$AJ$505,"&gt;"&amp;$A106,実績!$AL$6:$AL$505,"○")&gt;0,1,0))</f>
        <v>0</v>
      </c>
      <c r="AH106" s="39" t="n">
        <f aca="false">IF(AH$4=0,0,IF(COUNTIFS(実績!$W$6:$W$505,AH$3,実績!$AI$6:$AI$505,"&lt;="&amp;$A106,実績!$AJ$6:$AJ$505,"&gt;"&amp;$A106,実績!$AL$6:$AL$505,"○")&gt;0,1,0))</f>
        <v>0</v>
      </c>
      <c r="AI106" s="39" t="n">
        <f aca="false">IF(AI$4=0,0,IF(COUNTIFS(実績!$W$6:$W$505,AI$3,実績!$AI$6:$AI$505,"&lt;="&amp;$A106,実績!$AJ$6:$AJ$505,"&gt;"&amp;$A106,実績!$AL$6:$AL$505,"○")&gt;0,1,0))</f>
        <v>0</v>
      </c>
      <c r="AJ106" s="39" t="n">
        <f aca="false">IF(AJ$4=0,0,IF(COUNTIFS(実績!$W$6:$W$505,AJ$3,実績!$AI$6:$AI$505,"&lt;="&amp;$A106,実績!$AJ$6:$AJ$505,"&gt;"&amp;$A106,実績!$AL$6:$AL$505,"○")&gt;0,1,0))</f>
        <v>0</v>
      </c>
      <c r="AK106" s="39" t="n">
        <f aca="false">IF(AK$4=0,0,IF(COUNTIFS(実績!$W$6:$W$505,AK$3,実績!$AI$6:$AI$505,"&lt;="&amp;$A106,実績!$AJ$6:$AJ$505,"&gt;"&amp;$A106,実績!$AL$6:$AL$505,"○")&gt;0,1,0))</f>
        <v>0</v>
      </c>
      <c r="AL106" s="39" t="n">
        <f aca="false">IF(AL$4=0,0,IF(COUNTIFS(実績!$W$6:$W$505,AL$3,実績!$AI$6:$AI$505,"&lt;="&amp;$A106,実績!$AJ$6:$AJ$505,"&gt;"&amp;$A106,実績!$AL$6:$AL$505,"○")&gt;0,1,0))</f>
        <v>0</v>
      </c>
      <c r="AM106" s="39" t="n">
        <f aca="false">IF(AM$4=0,0,IF(COUNTIFS(実績!$W$6:$W$505,AM$3,実績!$AI$6:$AI$505,"&lt;="&amp;$A106,実績!$AJ$6:$AJ$505,"&gt;"&amp;$A106,実績!$AL$6:$AL$505,"○")&gt;0,1,0))</f>
        <v>0</v>
      </c>
      <c r="AN106" s="39" t="n">
        <f aca="false">IF(AN$4=0,0,IF(COUNTIFS(実績!$W$6:$W$505,AN$3,実績!$AI$6:$AI$505,"&lt;="&amp;$A106,実績!$AJ$6:$AJ$505,"&gt;"&amp;$A106,実績!$AL$6:$AL$505,"○")&gt;0,1,0))</f>
        <v>0</v>
      </c>
      <c r="AO106" s="39" t="n">
        <f aca="false">IF(AO$4=0,0,IF(COUNTIFS(実績!$W$6:$W$505,AO$3,実績!$AI$6:$AI$505,"&lt;="&amp;$A106,実績!$AJ$6:$AJ$505,"&gt;"&amp;$A106,実績!$AL$6:$AL$505,"○")&gt;0,1,0))</f>
        <v>0</v>
      </c>
      <c r="AP106" s="39" t="n">
        <f aca="false">IF(AP$4=0,0,IF(COUNTIFS(実績!$W$6:$W$505,AP$3,実績!$AI$6:$AI$505,"&lt;="&amp;$A106,実績!$AJ$6:$AJ$505,"&gt;"&amp;$A106,実績!$AL$6:$AL$505,"○")&gt;0,1,0))</f>
        <v>0</v>
      </c>
      <c r="AQ106" s="39" t="n">
        <f aca="false">IF(AQ$4=0,0,IF(COUNTIFS(実績!$W$6:$W$505,AQ$3,実績!$AI$6:$AI$505,"&lt;="&amp;$A106,実績!$AJ$6:$AJ$505,"&gt;"&amp;$A106,実績!$AL$6:$AL$505,"○")&gt;0,1,0))</f>
        <v>0</v>
      </c>
      <c r="AR106" s="39" t="n">
        <f aca="false">IF(AR$4=0,0,IF(COUNTIFS(実績!$W$6:$W$505,AR$3,実績!$AI$6:$AI$505,"&lt;="&amp;$A106,実績!$AJ$6:$AJ$505,"&gt;"&amp;$A106,実績!$AL$6:$AL$505,"○")&gt;0,1,0))</f>
        <v>0</v>
      </c>
      <c r="AS106" s="39" t="n">
        <f aca="false">IF(AS$4=0,0,IF(COUNTIFS(実績!$W$6:$W$505,AS$3,実績!$AI$6:$AI$505,"&lt;="&amp;$A106,実績!$AJ$6:$AJ$505,"&gt;"&amp;$A106,実績!$AL$6:$AL$505,"○")&gt;0,1,0))</f>
        <v>0</v>
      </c>
      <c r="AT106" s="39" t="n">
        <f aca="false">IF(AT$4=0,0,IF(COUNTIFS(実績!$W$6:$W$505,AT$3,実績!$AI$6:$AI$505,"&lt;="&amp;$A106,実績!$AJ$6:$AJ$505,"&gt;"&amp;$A106,実績!$AL$6:$AL$505,"○")&gt;0,1,0))</f>
        <v>0</v>
      </c>
      <c r="AU106" s="39" t="n">
        <f aca="false">IF(AU$4=0,0,IF(COUNTIFS(実績!$W$6:$W$505,AU$3,実績!$AI$6:$AI$505,"&lt;="&amp;$A106,実績!$AJ$6:$AJ$505,"&gt;"&amp;$A106,実績!$AL$6:$AL$505,"○")&gt;0,1,0))</f>
        <v>0</v>
      </c>
      <c r="AV106" s="39" t="n">
        <f aca="false">IF(AV$4=0,0,IF(COUNTIFS(実績!$W$6:$W$505,AV$3,実績!$AI$6:$AI$505,"&lt;="&amp;$A106,実績!$AJ$6:$AJ$505,"&gt;"&amp;$A106,実績!$AL$6:$AL$505,"○")&gt;0,1,0))</f>
        <v>0</v>
      </c>
      <c r="AW106" s="39" t="n">
        <f aca="false">IF(AW$4=0,0,IF(COUNTIFS(実績!$W$6:$W$505,AW$3,実績!$AI$6:$AI$505,"&lt;="&amp;$A106,実績!$AJ$6:$AJ$505,"&gt;"&amp;$A106,実績!$AL$6:$AL$505,"○")&gt;0,1,0))</f>
        <v>0</v>
      </c>
      <c r="AX106" s="39" t="n">
        <f aca="false">IF(AX$4=0,0,IF(COUNTIFS(実績!$W$6:$W$505,AX$3,実績!$AI$6:$AI$505,"&lt;="&amp;$A106,実績!$AJ$6:$AJ$505,"&gt;"&amp;$A106,実績!$AL$6:$AL$505,"○")&gt;0,1,0))</f>
        <v>0</v>
      </c>
      <c r="AY106" s="39" t="n">
        <f aca="false">IF(AY$4=0,0,IF(COUNTIFS(実績!$W$6:$W$505,AY$3,実績!$AI$6:$AI$505,"&lt;="&amp;$A106,実績!$AJ$6:$AJ$505,"&gt;"&amp;$A106,実績!$AL$6:$AL$505,"○")&gt;0,1,0))</f>
        <v>0</v>
      </c>
      <c r="AZ106" s="39" t="n">
        <f aca="false">IF(AZ$4=0,0,IF(COUNTIFS(実績!$W$6:$W$505,AZ$3,実績!$AI$6:$AI$505,"&lt;="&amp;$A106,実績!$AJ$6:$AJ$505,"&gt;"&amp;$A106,実績!$AL$6:$AL$505,"○")&gt;0,1,0))</f>
        <v>0</v>
      </c>
      <c r="BA106" s="39" t="n">
        <f aca="false">IF(BA$4=0,0,IF(COUNTIFS(実績!$W$6:$W$505,BA$3,実績!$AI$6:$AI$505,"&lt;="&amp;$A106,実績!$AJ$6:$AJ$505,"&gt;"&amp;$A106,実績!$AL$6:$AL$505,"○")&gt;0,1,0))</f>
        <v>0</v>
      </c>
      <c r="BB106" s="39" t="n">
        <f aca="false">IF(BB$4=0,0,IF(COUNTIFS(実績!$W$6:$W$505,BB$3,実績!$AI$6:$AI$505,"&lt;="&amp;$A106,実績!$AJ$6:$AJ$505,"&gt;"&amp;$A106,実績!$AL$6:$AL$505,"○")&gt;0,1,0))</f>
        <v>0</v>
      </c>
      <c r="BC106" s="39" t="n">
        <f aca="false">IF(BC$4=0,0,IF(COUNTIFS(実績!$W$6:$W$505,BC$3,実績!$AI$6:$AI$505,"&lt;="&amp;$A106,実績!$AJ$6:$AJ$505,"&gt;"&amp;$A106,実績!$AL$6:$AL$505,"○")&gt;0,1,0))</f>
        <v>0</v>
      </c>
      <c r="BD106" s="39" t="n">
        <f aca="false">IF(BD$4=0,0,IF(COUNTIFS(実績!$W$6:$W$505,BD$3,実績!$AI$6:$AI$505,"&lt;="&amp;$A106,実績!$AJ$6:$AJ$505,"&gt;"&amp;$A106,実績!$AL$6:$AL$505,"○")&gt;0,1,0))</f>
        <v>0</v>
      </c>
      <c r="BE106" s="39" t="n">
        <f aca="false">IF(BE$4=0,0,IF(COUNTIFS(実績!$W$6:$W$505,BE$3,実績!$AI$6:$AI$505,"&lt;="&amp;$A106,実績!$AJ$6:$AJ$505,"&gt;"&amp;$A106,実績!$AL$6:$AL$505,"○")&gt;0,1,0))</f>
        <v>0</v>
      </c>
      <c r="BF106" s="39" t="n">
        <f aca="false">IF(BF$4=0,0,IF(COUNTIFS(実績!$W$6:$W$505,BF$3,実績!$AI$6:$AI$505,"&lt;="&amp;$A106,実績!$AJ$6:$AJ$505,"&gt;"&amp;$A106,実績!$AL$6:$AL$505,"○")&gt;0,1,0))</f>
        <v>0</v>
      </c>
      <c r="BG106" s="39" t="n">
        <f aca="false">IF(BG$4=0,0,IF(COUNTIFS(実績!$W$6:$W$505,BG$3,実績!$AI$6:$AI$505,"&lt;="&amp;$A106,実績!$AJ$6:$AJ$505,"&gt;"&amp;$A106,実績!$AL$6:$AL$505,"○")&gt;0,1,0))</f>
        <v>0</v>
      </c>
      <c r="BH106" s="39" t="n">
        <f aca="false">IF(BH$4=0,0,IF(COUNTIFS(実績!$W$6:$W$505,BH$3,実績!$AI$6:$AI$505,"&lt;="&amp;$A106,実績!$AJ$6:$AJ$505,"&gt;"&amp;$A106,実績!$AL$6:$AL$505,"○")&gt;0,1,0))</f>
        <v>0</v>
      </c>
      <c r="BI106" s="39" t="n">
        <f aca="false">IF(BI$4=0,0,IF(COUNTIFS(実績!$W$6:$W$505,BI$3,実績!$AI$6:$AI$505,"&lt;="&amp;$A106,実績!$AJ$6:$AJ$505,"&gt;"&amp;$A106,実績!$AL$6:$AL$505,"○")&gt;0,1,0))</f>
        <v>0</v>
      </c>
      <c r="BJ106" s="39" t="n">
        <f aca="false">IF(BJ$4=0,0,IF(COUNTIFS(実績!$W$6:$W$505,BJ$3,実績!$AI$6:$AI$505,"&lt;="&amp;$A106,実績!$AJ$6:$AJ$505,"&gt;"&amp;$A106,実績!$AL$6:$AL$505,"○")&gt;0,1,0))</f>
        <v>0</v>
      </c>
      <c r="BK106" s="39" t="n">
        <f aca="false">IF(BK$4=0,0,IF(COUNTIFS(実績!$W$6:$W$505,BK$3,実績!$AI$6:$AI$505,"&lt;="&amp;$A106,実績!$AJ$6:$AJ$505,"&gt;"&amp;$A106,実績!$AL$6:$AL$505,"○")&gt;0,1,0))</f>
        <v>0</v>
      </c>
      <c r="BL106" s="39" t="n">
        <f aca="false">IF(BL$4=0,0,IF(COUNTIFS(実績!$W$6:$W$505,BL$3,実績!$AI$6:$AI$505,"&lt;="&amp;$A106,実績!$AJ$6:$AJ$505,"&gt;"&amp;$A106,実績!$AL$6:$AL$505,"○")&gt;0,1,0))</f>
        <v>0</v>
      </c>
      <c r="BM106" s="39" t="n">
        <f aca="false">IF(BM$4=0,0,IF(COUNTIFS(実績!$W$6:$W$505,BM$3,実績!$AI$6:$AI$505,"&lt;="&amp;$A106,実績!$AJ$6:$AJ$505,"&gt;"&amp;$A106,実績!$AL$6:$AL$505,"○")&gt;0,1,0))</f>
        <v>0</v>
      </c>
      <c r="BN106" s="39" t="n">
        <f aca="false">IF(BN$4=0,0,IF(COUNTIFS(実績!$W$6:$W$505,BN$3,実績!$AI$6:$AI$505,"&lt;="&amp;$A106,実績!$AJ$6:$AJ$505,"&gt;"&amp;$A106,実績!$AL$6:$AL$505,"○")&gt;0,1,0))</f>
        <v>0</v>
      </c>
      <c r="BO106" s="39" t="n">
        <f aca="false">IF(BO$4=0,0,IF(COUNTIFS(実績!$W$6:$W$505,BO$3,実績!$AI$6:$AI$505,"&lt;="&amp;$A106,実績!$AJ$6:$AJ$505,"&gt;"&amp;$A106,実績!$AL$6:$AL$505,"○")&gt;0,1,0))</f>
        <v>0</v>
      </c>
      <c r="BP106" s="39" t="n">
        <f aca="false">IF(BP$4=0,0,IF(COUNTIFS(実績!$W$6:$W$505,BP$3,実績!$AI$6:$AI$505,"&lt;="&amp;$A106,実績!$AJ$6:$AJ$505,"&gt;"&amp;$A106,実績!$AL$6:$AL$505,"○")&gt;0,1,0))</f>
        <v>0</v>
      </c>
      <c r="BQ106" s="39" t="n">
        <f aca="false">IF(BQ$4=0,0,IF(COUNTIFS(実績!$W$6:$W$505,BQ$3,実績!$AI$6:$AI$505,"&lt;="&amp;$A106,実績!$AJ$6:$AJ$505,"&gt;"&amp;$A106,実績!$AL$6:$AL$505,"○")&gt;0,1,0))</f>
        <v>0</v>
      </c>
      <c r="BR106" s="39" t="n">
        <f aca="false">IF(BR$4=0,0,IF(COUNTIFS(実績!$W$6:$W$505,BR$3,実績!$AI$6:$AI$505,"&lt;="&amp;$A106,実績!$AJ$6:$AJ$505,"&gt;"&amp;$A106,実績!$AL$6:$AL$505,"○")&gt;0,1,0))</f>
        <v>0</v>
      </c>
      <c r="BS106" s="39" t="n">
        <f aca="false">IF(BS$4=0,0,IF(COUNTIFS(実績!$W$6:$W$505,BS$3,実績!$AI$6:$AI$505,"&lt;="&amp;$A106,実績!$AJ$6:$AJ$505,"&gt;"&amp;$A106,実績!$AL$6:$AL$505,"○")&gt;0,1,0))</f>
        <v>0</v>
      </c>
      <c r="BT106" s="39" t="n">
        <f aca="false">IF(BT$4=0,0,IF(COUNTIFS(実績!$W$6:$W$505,BT$3,実績!$AI$6:$AI$505,"&lt;="&amp;$A106,実績!$AJ$6:$AJ$505,"&gt;"&amp;$A106,実績!$AL$6:$AL$505,"○")&gt;0,1,0))</f>
        <v>0</v>
      </c>
      <c r="BU106" s="39" t="n">
        <f aca="false">IF(BU$4=0,0,IF(COUNTIFS(実績!$W$6:$W$505,BU$3,実績!$AI$6:$AI$505,"&lt;="&amp;$A106,実績!$AJ$6:$AJ$505,"&gt;"&amp;$A106,実績!$AL$6:$AL$505,"○")&gt;0,1,0))</f>
        <v>0</v>
      </c>
      <c r="BV106" s="39" t="n">
        <f aca="false">IF(BV$4=0,0,IF(COUNTIFS(実績!$W$6:$W$505,BV$3,実績!$AI$6:$AI$505,"&lt;="&amp;$A106,実績!$AJ$6:$AJ$505,"&gt;"&amp;$A106,実績!$AL$6:$AL$505,"○")&gt;0,1,0))</f>
        <v>0</v>
      </c>
      <c r="BW106" s="39" t="n">
        <f aca="false">IF(BW$4=0,0,IF(COUNTIFS(実績!$W$6:$W$505,BW$3,実績!$AI$6:$AI$505,"&lt;="&amp;$A106,実績!$AJ$6:$AJ$505,"&gt;"&amp;$A106,実績!$AL$6:$AL$505,"○")&gt;0,1,0))</f>
        <v>0</v>
      </c>
      <c r="BX106" s="39" t="n">
        <f aca="false">IF(BX$4=0,0,IF(COUNTIFS(実績!$W$6:$W$505,BX$3,実績!$AI$6:$AI$505,"&lt;="&amp;$A106,実績!$AJ$6:$AJ$505,"&gt;"&amp;$A106,実績!$AL$6:$AL$505,"○")&gt;0,1,0))</f>
        <v>0</v>
      </c>
      <c r="BY106" s="39" t="n">
        <f aca="false">IF(BY$4=0,0,IF(COUNTIFS(実績!$W$6:$W$505,BY$3,実績!$AI$6:$AI$505,"&lt;="&amp;$A106,実績!$AJ$6:$AJ$505,"&gt;"&amp;$A106,実績!$AL$6:$AL$505,"○")&gt;0,1,0))</f>
        <v>0</v>
      </c>
      <c r="BZ106" s="39" t="n">
        <f aca="false">IF(BZ$4=0,0,IF(COUNTIFS(実績!$W$6:$W$505,BZ$3,実績!$AI$6:$AI$505,"&lt;="&amp;$A106,実績!$AJ$6:$AJ$505,"&gt;"&amp;$A106,実績!$AL$6:$AL$505,"○")&gt;0,1,0))</f>
        <v>0</v>
      </c>
      <c r="CA106" s="39" t="n">
        <f aca="false">IF(CA$4=0,0,IF(COUNTIFS(実績!$W$6:$W$505,CA$3,実績!$AI$6:$AI$505,"&lt;="&amp;$A106,実績!$AJ$6:$AJ$505,"&gt;"&amp;$A106,実績!$AL$6:$AL$505,"○")&gt;0,1,0))</f>
        <v>0</v>
      </c>
      <c r="CB106" s="39" t="n">
        <f aca="false">IF(CB$4=0,0,IF(COUNTIFS(実績!$W$6:$W$505,CB$3,実績!$AI$6:$AI$505,"&lt;="&amp;$A106,実績!$AJ$6:$AJ$505,"&gt;"&amp;$A106,実績!$AL$6:$AL$505,"○")&gt;0,1,0))</f>
        <v>0</v>
      </c>
      <c r="CC106" s="39" t="n">
        <f aca="false">IF(CC$4=0,0,IF(COUNTIFS(実績!$W$6:$W$505,CC$3,実績!$AI$6:$AI$505,"&lt;="&amp;$A106,実績!$AJ$6:$AJ$505,"&gt;"&amp;$A106,実績!$AL$6:$AL$505,"○")&gt;0,1,0))</f>
        <v>0</v>
      </c>
      <c r="CD106" s="39" t="n">
        <f aca="false">IF(CD$4=0,0,IF(COUNTIFS(実績!$W$6:$W$505,CD$3,実績!$AI$6:$AI$505,"&lt;="&amp;$A106,実績!$AJ$6:$AJ$505,"&gt;"&amp;$A106,実績!$AL$6:$AL$505,"○")&gt;0,1,0))</f>
        <v>0</v>
      </c>
      <c r="CE106" s="39" t="n">
        <f aca="false">IF(CE$4=0,0,IF(COUNTIFS(実績!$W$6:$W$505,CE$3,実績!$AI$6:$AI$505,"&lt;="&amp;$A106,実績!$AJ$6:$AJ$505,"&gt;"&amp;$A106,実績!$AL$6:$AL$505,"○")&gt;0,1,0))</f>
        <v>0</v>
      </c>
      <c r="CF106" s="39" t="n">
        <f aca="false">IF(CF$4=0,0,IF(COUNTIFS(実績!$W$6:$W$505,CF$3,実績!$AI$6:$AI$505,"&lt;="&amp;$A106,実績!$AJ$6:$AJ$505,"&gt;"&amp;$A106,実績!$AL$6:$AL$505,"○")&gt;0,1,0))</f>
        <v>0</v>
      </c>
      <c r="CG106" s="39" t="n">
        <f aca="false">IF(CG$4=0,0,IF(COUNTIFS(実績!$W$6:$W$505,CG$3,実績!$AI$6:$AI$505,"&lt;="&amp;$A106,実績!$AJ$6:$AJ$505,"&gt;"&amp;$A106,実績!$AL$6:$AL$505,"○")&gt;0,1,0))</f>
        <v>0</v>
      </c>
      <c r="CH106" s="39" t="n">
        <f aca="false">IF(CH$4=0,0,IF(COUNTIFS(実績!$W$6:$W$505,CH$3,実績!$AI$6:$AI$505,"&lt;="&amp;$A106,実績!$AJ$6:$AJ$505,"&gt;"&amp;$A106,実績!$AL$6:$AL$505,"○")&gt;0,1,0))</f>
        <v>0</v>
      </c>
      <c r="CI106" s="39" t="n">
        <f aca="false">IF(CI$4=0,0,IF(COUNTIFS(実績!$W$6:$W$505,CI$3,実績!$AI$6:$AI$505,"&lt;="&amp;$A106,実績!$AJ$6:$AJ$505,"&gt;"&amp;$A106,実績!$AL$6:$AL$505,"○")&gt;0,1,0))</f>
        <v>0</v>
      </c>
      <c r="CJ106" s="39" t="n">
        <f aca="false">IF(CJ$4=0,0,IF(COUNTIFS(実績!$W$6:$W$505,CJ$3,実績!$AI$6:$AI$505,"&lt;="&amp;$A106,実績!$AJ$6:$AJ$505,"&gt;"&amp;$A106,実績!$AL$6:$AL$505,"○")&gt;0,1,0))</f>
        <v>0</v>
      </c>
      <c r="CK106" s="39" t="n">
        <f aca="false">IF(CK$4=0,0,IF(COUNTIFS(実績!$W$6:$W$505,CK$3,実績!$AI$6:$AI$505,"&lt;="&amp;$A106,実績!$AJ$6:$AJ$505,"&gt;"&amp;$A106,実績!$AL$6:$AL$505,"○")&gt;0,1,0))</f>
        <v>0</v>
      </c>
      <c r="CL106" s="39" t="n">
        <f aca="false">IF(CL$4=0,0,IF(COUNTIFS(実績!$W$6:$W$505,CL$3,実績!$AI$6:$AI$505,"&lt;="&amp;$A106,実績!$AJ$6:$AJ$505,"&gt;"&amp;$A106,実績!$AL$6:$AL$505,"○")&gt;0,1,0))</f>
        <v>0</v>
      </c>
      <c r="CM106" s="39" t="n">
        <f aca="false">IF(CM$4=0,0,IF(COUNTIFS(実績!$W$6:$W$505,CM$3,実績!$AI$6:$AI$505,"&lt;="&amp;$A106,実績!$AJ$6:$AJ$505,"&gt;"&amp;$A106,実績!$AL$6:$AL$505,"○")&gt;0,1,0))</f>
        <v>0</v>
      </c>
      <c r="CN106" s="39" t="n">
        <f aca="false">IF(CN$4=0,0,IF(COUNTIFS(実績!$W$6:$W$505,CN$3,実績!$AI$6:$AI$505,"&lt;="&amp;$A106,実績!$AJ$6:$AJ$505,"&gt;"&amp;$A106,実績!$AL$6:$AL$505,"○")&gt;0,1,0))</f>
        <v>0</v>
      </c>
      <c r="CO106" s="39" t="n">
        <f aca="false">IF(CO$4=0,0,IF(COUNTIFS(実績!$W$6:$W$505,CO$3,実績!$AI$6:$AI$505,"&lt;="&amp;$A106,実績!$AJ$6:$AJ$505,"&gt;"&amp;$A106,実績!$AL$6:$AL$505,"○")&gt;0,1,0))</f>
        <v>0</v>
      </c>
      <c r="CP106" s="39" t="n">
        <f aca="false">IF(CP$4=0,0,IF(COUNTIFS(実績!$W$6:$W$505,CP$3,実績!$AI$6:$AI$505,"&lt;="&amp;$A106,実績!$AJ$6:$AJ$505,"&gt;"&amp;$A106,実績!$AL$6:$AL$505,"○")&gt;0,1,0))</f>
        <v>0</v>
      </c>
      <c r="CQ106" s="39" t="n">
        <f aca="false">IF(CQ$4=0,0,IF(COUNTIFS(実績!$W$6:$W$505,CQ$3,実績!$AI$6:$AI$505,"&lt;="&amp;$A106,実績!$AJ$6:$AJ$505,"&gt;"&amp;$A106,実績!$AL$6:$AL$505,"○")&gt;0,1,0))</f>
        <v>0</v>
      </c>
      <c r="CR106" s="39" t="n">
        <f aca="false">IF(CR$4=0,0,IF(COUNTIFS(実績!$W$6:$W$505,CR$3,実績!$AI$6:$AI$505,"&lt;="&amp;$A106,実績!$AJ$6:$AJ$505,"&gt;"&amp;$A106,実績!$AL$6:$AL$505,"○")&gt;0,1,0))</f>
        <v>0</v>
      </c>
      <c r="CS106" s="39" t="n">
        <f aca="false">IF(CS$4=0,0,IF(COUNTIFS(実績!$W$6:$W$505,CS$3,実績!$AI$6:$AI$505,"&lt;="&amp;$A106,実績!$AJ$6:$AJ$505,"&gt;"&amp;$A106,実績!$AL$6:$AL$505,"○")&gt;0,1,0))</f>
        <v>0</v>
      </c>
      <c r="CT106" s="39" t="n">
        <f aca="false">IF(CT$4=0,0,IF(COUNTIFS(実績!$W$6:$W$505,CT$3,実績!$AI$6:$AI$505,"&lt;="&amp;$A106,実績!$AJ$6:$AJ$505,"&gt;"&amp;$A106,実績!$AL$6:$AL$505,"○")&gt;0,1,0))</f>
        <v>0</v>
      </c>
      <c r="CU106" s="39" t="n">
        <f aca="false">IF(CU$4=0,0,IF(COUNTIFS(実績!$W$6:$W$505,CU$3,実績!$AI$6:$AI$505,"&lt;="&amp;$A106,実績!$AJ$6:$AJ$505,"&gt;"&amp;$A106,実績!$AL$6:$AL$505,"○")&gt;0,1,0))</f>
        <v>0</v>
      </c>
      <c r="CV106" s="39" t="n">
        <f aca="false">IF(CV$4=0,0,IF(COUNTIFS(実績!$W$6:$W$505,CV$3,実績!$AI$6:$AI$505,"&lt;="&amp;$A106,実績!$AJ$6:$AJ$505,"&gt;"&amp;$A106,実績!$AL$6:$AL$505,"○")&gt;0,1,0))</f>
        <v>0</v>
      </c>
      <c r="CW106" s="39" t="n">
        <f aca="false">IF(CW$4=0,0,IF(COUNTIFS(実績!$W$6:$W$505,CW$3,実績!$AI$6:$AI$505,"&lt;="&amp;$A106,実績!$AJ$6:$AJ$505,"&gt;"&amp;$A106,実績!$AL$6:$AL$505,"○")&gt;0,1,0))</f>
        <v>0</v>
      </c>
      <c r="CX106" s="39" t="n">
        <f aca="false">IF(CX$4=0,0,IF(COUNTIFS(実績!$W$6:$W$505,CX$3,実績!$AI$6:$AI$505,"&lt;="&amp;$A106,実績!$AJ$6:$AJ$505,"&gt;"&amp;$A106,実績!$AL$6:$AL$505,"○")&gt;0,1,0))</f>
        <v>0</v>
      </c>
      <c r="CY106" s="39" t="n">
        <f aca="false">IF(CY$4=0,0,IF(COUNTIFS(実績!$W$6:$W$505,CY$3,実績!$AI$6:$AI$505,"&lt;="&amp;$A106,実績!$AJ$6:$AJ$505,"&gt;"&amp;$A106,実績!$AL$6:$AL$505,"○")&gt;0,1,0))</f>
        <v>0</v>
      </c>
      <c r="CZ106" s="39" t="n">
        <f aca="false">IF(CZ$4=0,0,IF(COUNTIFS(実績!$W$6:$W$505,CZ$3,実績!$AI$6:$AI$505,"&lt;="&amp;$A106,実績!$AJ$6:$AJ$505,"&gt;"&amp;$A106,実績!$AL$6:$AL$505,"○")&gt;0,1,0))</f>
        <v>0</v>
      </c>
      <c r="DA106" s="39" t="n">
        <f aca="false">IF(DA$4=0,0,IF(COUNTIFS(実績!$W$6:$W$505,DA$3,実績!$AI$6:$AI$505,"&lt;="&amp;$A106,実績!$AJ$6:$AJ$505,"&gt;"&amp;$A106,実績!$AL$6:$AL$505,"○")&gt;0,1,0))</f>
        <v>0</v>
      </c>
      <c r="DB106" s="39" t="n">
        <f aca="false">IF(DB$4=0,0,IF(COUNTIFS(実績!$W$6:$W$505,DB$3,実績!$AI$6:$AI$505,"&lt;="&amp;$A106,実績!$AJ$6:$AJ$505,"&gt;"&amp;$A106,実績!$AL$6:$AL$505,"○")&gt;0,1,0))</f>
        <v>0</v>
      </c>
      <c r="DC106" s="39" t="n">
        <f aca="false">IF(DC$4=0,0,IF(COUNTIFS(実績!$W$6:$W$505,DC$3,実績!$AI$6:$AI$505,"&lt;="&amp;$A106,実績!$AJ$6:$AJ$505,"&gt;"&amp;$A106,実績!$AL$6:$AL$505,"○")&gt;0,1,0))</f>
        <v>0</v>
      </c>
      <c r="DD106" s="39" t="n">
        <f aca="false">IF(DD$4=0,0,IF(COUNTIFS(実績!$W$6:$W$505,DD$3,実績!$AI$6:$AI$505,"&lt;="&amp;$A106,実績!$AJ$6:$AJ$505,"&gt;"&amp;$A106,実績!$AL$6:$AL$505,"○")&gt;0,1,0))</f>
        <v>0</v>
      </c>
      <c r="DE106" s="39" t="n">
        <f aca="false">IF(DE$4=0,0,IF(COUNTIFS(実績!$W$6:$W$505,DE$3,実績!$AI$6:$AI$505,"&lt;="&amp;$A106,実績!$AJ$6:$AJ$505,"&gt;"&amp;$A106,実績!$AL$6:$AL$505,"○")&gt;0,1,0))</f>
        <v>0</v>
      </c>
      <c r="DF106" s="39" t="n">
        <f aca="false">IF(DF$4=0,0,IF(COUNTIFS(実績!$W$6:$W$505,DF$3,実績!$AI$6:$AI$505,"&lt;="&amp;$A106,実績!$AJ$6:$AJ$505,"&gt;"&amp;$A106,実績!$AL$6:$AL$505,"○")&gt;0,1,0))</f>
        <v>0</v>
      </c>
      <c r="DG106" s="39" t="n">
        <f aca="false">IF(DG$4=0,0,IF(COUNTIFS(実績!$W$6:$W$505,DG$3,実績!$AI$6:$AI$505,"&lt;="&amp;$A106,実績!$AJ$6:$AJ$505,"&gt;"&amp;$A106,実績!$AL$6:$AL$505,"○")&gt;0,1,0))</f>
        <v>0</v>
      </c>
      <c r="DH106" s="39" t="n">
        <f aca="false">IF(DH$4=0,0,IF(COUNTIFS(実績!$W$6:$W$505,DH$3,実績!$AI$6:$AI$505,"&lt;="&amp;$A106,実績!$AJ$6:$AJ$505,"&gt;"&amp;$A106,実績!$AL$6:$AL$505,"○")&gt;0,1,0))</f>
        <v>0</v>
      </c>
      <c r="DI106" s="39" t="n">
        <f aca="false">IF(DI$4=0,0,IF(COUNTIFS(実績!$W$6:$W$505,DI$3,実績!$AI$6:$AI$505,"&lt;="&amp;$A106,実績!$AJ$6:$AJ$505,"&gt;"&amp;$A106,実績!$AL$6:$AL$505,"○")&gt;0,1,0))</f>
        <v>0</v>
      </c>
      <c r="DJ106" s="39" t="n">
        <f aca="false">IF(DJ$4=0,0,IF(COUNTIFS(実績!$W$6:$W$505,DJ$3,実績!$AI$6:$AI$505,"&lt;="&amp;$A106,実績!$AJ$6:$AJ$505,"&gt;"&amp;$A106,実績!$AL$6:$AL$505,"○")&gt;0,1,0))</f>
        <v>0</v>
      </c>
      <c r="DK106" s="39" t="n">
        <f aca="false">IF(DK$4=0,0,IF(COUNTIFS(実績!$W$6:$W$505,DK$3,実績!$AI$6:$AI$505,"&lt;="&amp;$A106,実績!$AJ$6:$AJ$505,"&gt;"&amp;$A106,実績!$AL$6:$AL$505,"○")&gt;0,1,0))</f>
        <v>0</v>
      </c>
      <c r="DL106" s="39" t="n">
        <f aca="false">IF(DL$4=0,0,IF(COUNTIFS(実績!$W$6:$W$505,DL$3,実績!$AI$6:$AI$505,"&lt;="&amp;$A106,実績!$AJ$6:$AJ$505,"&gt;"&amp;$A106,実績!$AL$6:$AL$505,"○")&gt;0,1,0))</f>
        <v>0</v>
      </c>
      <c r="DM106" s="39" t="n">
        <f aca="false">IF(DM$4=0,0,IF(COUNTIFS(実績!$W$6:$W$505,DM$3,実績!$AI$6:$AI$505,"&lt;="&amp;$A106,実績!$AJ$6:$AJ$505,"&gt;"&amp;$A106,実績!$AL$6:$AL$505,"○")&gt;0,1,0))</f>
        <v>0</v>
      </c>
      <c r="DN106" s="39" t="n">
        <f aca="false">IF(DN$4=0,0,IF(COUNTIFS(実績!$W$6:$W$505,DN$3,実績!$AI$6:$AI$505,"&lt;="&amp;$A106,実績!$AJ$6:$AJ$505,"&gt;"&amp;$A106,実績!$AL$6:$AL$505,"○")&gt;0,1,0))</f>
        <v>0</v>
      </c>
      <c r="DO106" s="39" t="n">
        <f aca="false">IF(DO$4=0,0,IF(COUNTIFS(実績!$W$6:$W$505,DO$3,実績!$AI$6:$AI$505,"&lt;="&amp;$A106,実績!$AJ$6:$AJ$505,"&gt;"&amp;$A106,実績!$AL$6:$AL$505,"○")&gt;0,1,0))</f>
        <v>0</v>
      </c>
      <c r="DP106" s="39" t="n">
        <f aca="false">IF(DP$4=0,0,IF(COUNTIFS(実績!$W$6:$W$505,DP$3,実績!$AI$6:$AI$505,"&lt;="&amp;$A106,実績!$AJ$6:$AJ$505,"&gt;"&amp;$A106,実績!$AL$6:$AL$505,"○")&gt;0,1,0))</f>
        <v>0</v>
      </c>
      <c r="DQ106" s="39" t="n">
        <f aca="false">IF(DQ$4=0,0,IF(COUNTIFS(実績!$W$6:$W$505,DQ$3,実績!$AI$6:$AI$505,"&lt;="&amp;$A106,実績!$AJ$6:$AJ$505,"&gt;"&amp;$A106,実績!$AL$6:$AL$505,"○")&gt;0,1,0))</f>
        <v>0</v>
      </c>
      <c r="DR106" s="39" t="n">
        <f aca="false">IF(DR$4=0,0,IF(COUNTIFS(実績!$W$6:$W$505,DR$3,実績!$AI$6:$AI$505,"&lt;="&amp;$A106,実績!$AJ$6:$AJ$505,"&gt;"&amp;$A106,実績!$AL$6:$AL$505,"○")&gt;0,1,0))</f>
        <v>0</v>
      </c>
      <c r="DS106" s="39" t="n">
        <f aca="false">SUM(C106:DR106)</f>
        <v>0</v>
      </c>
    </row>
    <row r="107" customFormat="false" ht="15" hidden="false" customHeight="false" outlineLevel="0" collapsed="false">
      <c r="A107" s="0" t="n">
        <v>505</v>
      </c>
      <c r="B107" s="38" t="n">
        <f aca="false">A107/1440</f>
        <v>0.350694444444444</v>
      </c>
      <c r="C107" s="39" t="n">
        <f aca="false">IF(C$4=0,0,IF(COUNTIFS(実績!$W$6:$W$505,C$3,実績!$AI$6:$AI$505,"&lt;="&amp;$A107,実績!$AJ$6:$AJ$505,"&gt;"&amp;$A107,実績!$AL$6:$AL$505,"○")&gt;0,1,0))</f>
        <v>0</v>
      </c>
      <c r="D107" s="39" t="n">
        <f aca="false">IF(D$4=0,0,IF(COUNTIFS(実績!$W$6:$W$505,D$3,実績!$AI$6:$AI$505,"&lt;="&amp;$A107,実績!$AJ$6:$AJ$505,"&gt;"&amp;$A107,実績!$AL$6:$AL$505,"○")&gt;0,1,0))</f>
        <v>0</v>
      </c>
      <c r="E107" s="39" t="n">
        <f aca="false">IF(E$4=0,0,IF(COUNTIFS(実績!$W$6:$W$505,E$3,実績!$AI$6:$AI$505,"&lt;="&amp;$A107,実績!$AJ$6:$AJ$505,"&gt;"&amp;$A107,実績!$AL$6:$AL$505,"○")&gt;0,1,0))</f>
        <v>0</v>
      </c>
      <c r="F107" s="39" t="n">
        <f aca="false">IF(F$4=0,0,IF(COUNTIFS(実績!$W$6:$W$505,F$3,実績!$AI$6:$AI$505,"&lt;="&amp;$A107,実績!$AJ$6:$AJ$505,"&gt;"&amp;$A107,実績!$AL$6:$AL$505,"○")&gt;0,1,0))</f>
        <v>0</v>
      </c>
      <c r="G107" s="39" t="n">
        <f aca="false">IF(G$4=0,0,IF(COUNTIFS(実績!$W$6:$W$505,G$3,実績!$AI$6:$AI$505,"&lt;="&amp;$A107,実績!$AJ$6:$AJ$505,"&gt;"&amp;$A107,実績!$AL$6:$AL$505,"○")&gt;0,1,0))</f>
        <v>0</v>
      </c>
      <c r="H107" s="39" t="n">
        <f aca="false">IF(H$4=0,0,IF(COUNTIFS(実績!$W$6:$W$505,H$3,実績!$AI$6:$AI$505,"&lt;="&amp;$A107,実績!$AJ$6:$AJ$505,"&gt;"&amp;$A107,実績!$AL$6:$AL$505,"○")&gt;0,1,0))</f>
        <v>0</v>
      </c>
      <c r="I107" s="39" t="n">
        <f aca="false">IF(I$4=0,0,IF(COUNTIFS(実績!$W$6:$W$505,I$3,実績!$AI$6:$AI$505,"&lt;="&amp;$A107,実績!$AJ$6:$AJ$505,"&gt;"&amp;$A107,実績!$AL$6:$AL$505,"○")&gt;0,1,0))</f>
        <v>0</v>
      </c>
      <c r="J107" s="39" t="n">
        <f aca="false">IF(J$4=0,0,IF(COUNTIFS(実績!$W$6:$W$505,J$3,実績!$AI$6:$AI$505,"&lt;="&amp;$A107,実績!$AJ$6:$AJ$505,"&gt;"&amp;$A107,実績!$AL$6:$AL$505,"○")&gt;0,1,0))</f>
        <v>0</v>
      </c>
      <c r="K107" s="39" t="n">
        <f aca="false">IF(K$4=0,0,IF(COUNTIFS(実績!$W$6:$W$505,K$3,実績!$AI$6:$AI$505,"&lt;="&amp;$A107,実績!$AJ$6:$AJ$505,"&gt;"&amp;$A107,実績!$AL$6:$AL$505,"○")&gt;0,1,0))</f>
        <v>0</v>
      </c>
      <c r="L107" s="39" t="n">
        <f aca="false">IF(L$4=0,0,IF(COUNTIFS(実績!$W$6:$W$505,L$3,実績!$AI$6:$AI$505,"&lt;="&amp;$A107,実績!$AJ$6:$AJ$505,"&gt;"&amp;$A107,実績!$AL$6:$AL$505,"○")&gt;0,1,0))</f>
        <v>0</v>
      </c>
      <c r="M107" s="39" t="n">
        <f aca="false">IF(M$4=0,0,IF(COUNTIFS(実績!$W$6:$W$505,M$3,実績!$AI$6:$AI$505,"&lt;="&amp;$A107,実績!$AJ$6:$AJ$505,"&gt;"&amp;$A107,実績!$AL$6:$AL$505,"○")&gt;0,1,0))</f>
        <v>0</v>
      </c>
      <c r="N107" s="39" t="n">
        <f aca="false">IF(N$4=0,0,IF(COUNTIFS(実績!$W$6:$W$505,N$3,実績!$AI$6:$AI$505,"&lt;="&amp;$A107,実績!$AJ$6:$AJ$505,"&gt;"&amp;$A107,実績!$AL$6:$AL$505,"○")&gt;0,1,0))</f>
        <v>0</v>
      </c>
      <c r="O107" s="39" t="n">
        <f aca="false">IF(O$4=0,0,IF(COUNTIFS(実績!$W$6:$W$505,O$3,実績!$AI$6:$AI$505,"&lt;="&amp;$A107,実績!$AJ$6:$AJ$505,"&gt;"&amp;$A107,実績!$AL$6:$AL$505,"○")&gt;0,1,0))</f>
        <v>0</v>
      </c>
      <c r="P107" s="39" t="n">
        <f aca="false">IF(P$4=0,0,IF(COUNTIFS(実績!$W$6:$W$505,P$3,実績!$AI$6:$AI$505,"&lt;="&amp;$A107,実績!$AJ$6:$AJ$505,"&gt;"&amp;$A107,実績!$AL$6:$AL$505,"○")&gt;0,1,0))</f>
        <v>0</v>
      </c>
      <c r="Q107" s="39" t="n">
        <f aca="false">IF(Q$4=0,0,IF(COUNTIFS(実績!$W$6:$W$505,Q$3,実績!$AI$6:$AI$505,"&lt;="&amp;$A107,実績!$AJ$6:$AJ$505,"&gt;"&amp;$A107,実績!$AL$6:$AL$505,"○")&gt;0,1,0))</f>
        <v>0</v>
      </c>
      <c r="R107" s="39" t="n">
        <f aca="false">IF(R$4=0,0,IF(COUNTIFS(実績!$W$6:$W$505,R$3,実績!$AI$6:$AI$505,"&lt;="&amp;$A107,実績!$AJ$6:$AJ$505,"&gt;"&amp;$A107,実績!$AL$6:$AL$505,"○")&gt;0,1,0))</f>
        <v>0</v>
      </c>
      <c r="S107" s="39" t="n">
        <f aca="false">IF(S$4=0,0,IF(COUNTIFS(実績!$W$6:$W$505,S$3,実績!$AI$6:$AI$505,"&lt;="&amp;$A107,実績!$AJ$6:$AJ$505,"&gt;"&amp;$A107,実績!$AL$6:$AL$505,"○")&gt;0,1,0))</f>
        <v>0</v>
      </c>
      <c r="T107" s="39" t="n">
        <f aca="false">IF(T$4=0,0,IF(COUNTIFS(実績!$W$6:$W$505,T$3,実績!$AI$6:$AI$505,"&lt;="&amp;$A107,実績!$AJ$6:$AJ$505,"&gt;"&amp;$A107,実績!$AL$6:$AL$505,"○")&gt;0,1,0))</f>
        <v>0</v>
      </c>
      <c r="U107" s="39" t="n">
        <f aca="false">IF(U$4=0,0,IF(COUNTIFS(実績!$W$6:$W$505,U$3,実績!$AI$6:$AI$505,"&lt;="&amp;$A107,実績!$AJ$6:$AJ$505,"&gt;"&amp;$A107,実績!$AL$6:$AL$505,"○")&gt;0,1,0))</f>
        <v>0</v>
      </c>
      <c r="V107" s="39" t="n">
        <f aca="false">IF(V$4=0,0,IF(COUNTIFS(実績!$W$6:$W$505,V$3,実績!$AI$6:$AI$505,"&lt;="&amp;$A107,実績!$AJ$6:$AJ$505,"&gt;"&amp;$A107,実績!$AL$6:$AL$505,"○")&gt;0,1,0))</f>
        <v>0</v>
      </c>
      <c r="W107" s="39" t="n">
        <f aca="false">IF(W$4=0,0,IF(COUNTIFS(実績!$W$6:$W$505,W$3,実績!$AI$6:$AI$505,"&lt;="&amp;$A107,実績!$AJ$6:$AJ$505,"&gt;"&amp;$A107,実績!$AL$6:$AL$505,"○")&gt;0,1,0))</f>
        <v>0</v>
      </c>
      <c r="X107" s="39" t="n">
        <f aca="false">IF(X$4=0,0,IF(COUNTIFS(実績!$W$6:$W$505,X$3,実績!$AI$6:$AI$505,"&lt;="&amp;$A107,実績!$AJ$6:$AJ$505,"&gt;"&amp;$A107,実績!$AL$6:$AL$505,"○")&gt;0,1,0))</f>
        <v>0</v>
      </c>
      <c r="Y107" s="39" t="n">
        <f aca="false">IF(Y$4=0,0,IF(COUNTIFS(実績!$W$6:$W$505,Y$3,実績!$AI$6:$AI$505,"&lt;="&amp;$A107,実績!$AJ$6:$AJ$505,"&gt;"&amp;$A107,実績!$AL$6:$AL$505,"○")&gt;0,1,0))</f>
        <v>0</v>
      </c>
      <c r="Z107" s="39" t="n">
        <f aca="false">IF(Z$4=0,0,IF(COUNTIFS(実績!$W$6:$W$505,Z$3,実績!$AI$6:$AI$505,"&lt;="&amp;$A107,実績!$AJ$6:$AJ$505,"&gt;"&amp;$A107,実績!$AL$6:$AL$505,"○")&gt;0,1,0))</f>
        <v>0</v>
      </c>
      <c r="AA107" s="39" t="n">
        <f aca="false">IF(AA$4=0,0,IF(COUNTIFS(実績!$W$6:$W$505,AA$3,実績!$AI$6:$AI$505,"&lt;="&amp;$A107,実績!$AJ$6:$AJ$505,"&gt;"&amp;$A107,実績!$AL$6:$AL$505,"○")&gt;0,1,0))</f>
        <v>0</v>
      </c>
      <c r="AB107" s="39" t="n">
        <f aca="false">IF(AB$4=0,0,IF(COUNTIFS(実績!$W$6:$W$505,AB$3,実績!$AI$6:$AI$505,"&lt;="&amp;$A107,実績!$AJ$6:$AJ$505,"&gt;"&amp;$A107,実績!$AL$6:$AL$505,"○")&gt;0,1,0))</f>
        <v>0</v>
      </c>
      <c r="AC107" s="39" t="n">
        <f aca="false">IF(AC$4=0,0,IF(COUNTIFS(実績!$W$6:$W$505,AC$3,実績!$AI$6:$AI$505,"&lt;="&amp;$A107,実績!$AJ$6:$AJ$505,"&gt;"&amp;$A107,実績!$AL$6:$AL$505,"○")&gt;0,1,0))</f>
        <v>0</v>
      </c>
      <c r="AD107" s="39" t="n">
        <f aca="false">IF(AD$4=0,0,IF(COUNTIFS(実績!$W$6:$W$505,AD$3,実績!$AI$6:$AI$505,"&lt;="&amp;$A107,実績!$AJ$6:$AJ$505,"&gt;"&amp;$A107,実績!$AL$6:$AL$505,"○")&gt;0,1,0))</f>
        <v>0</v>
      </c>
      <c r="AE107" s="39" t="n">
        <f aca="false">IF(AE$4=0,0,IF(COUNTIFS(実績!$W$6:$W$505,AE$3,実績!$AI$6:$AI$505,"&lt;="&amp;$A107,実績!$AJ$6:$AJ$505,"&gt;"&amp;$A107,実績!$AL$6:$AL$505,"○")&gt;0,1,0))</f>
        <v>0</v>
      </c>
      <c r="AF107" s="39" t="n">
        <f aca="false">IF(AF$4=0,0,IF(COUNTIFS(実績!$W$6:$W$505,AF$3,実績!$AI$6:$AI$505,"&lt;="&amp;$A107,実績!$AJ$6:$AJ$505,"&gt;"&amp;$A107,実績!$AL$6:$AL$505,"○")&gt;0,1,0))</f>
        <v>0</v>
      </c>
      <c r="AG107" s="39" t="n">
        <f aca="false">IF(AG$4=0,0,IF(COUNTIFS(実績!$W$6:$W$505,AG$3,実績!$AI$6:$AI$505,"&lt;="&amp;$A107,実績!$AJ$6:$AJ$505,"&gt;"&amp;$A107,実績!$AL$6:$AL$505,"○")&gt;0,1,0))</f>
        <v>0</v>
      </c>
      <c r="AH107" s="39" t="n">
        <f aca="false">IF(AH$4=0,0,IF(COUNTIFS(実績!$W$6:$W$505,AH$3,実績!$AI$6:$AI$505,"&lt;="&amp;$A107,実績!$AJ$6:$AJ$505,"&gt;"&amp;$A107,実績!$AL$6:$AL$505,"○")&gt;0,1,0))</f>
        <v>0</v>
      </c>
      <c r="AI107" s="39" t="n">
        <f aca="false">IF(AI$4=0,0,IF(COUNTIFS(実績!$W$6:$W$505,AI$3,実績!$AI$6:$AI$505,"&lt;="&amp;$A107,実績!$AJ$6:$AJ$505,"&gt;"&amp;$A107,実績!$AL$6:$AL$505,"○")&gt;0,1,0))</f>
        <v>0</v>
      </c>
      <c r="AJ107" s="39" t="n">
        <f aca="false">IF(AJ$4=0,0,IF(COUNTIFS(実績!$W$6:$W$505,AJ$3,実績!$AI$6:$AI$505,"&lt;="&amp;$A107,実績!$AJ$6:$AJ$505,"&gt;"&amp;$A107,実績!$AL$6:$AL$505,"○")&gt;0,1,0))</f>
        <v>0</v>
      </c>
      <c r="AK107" s="39" t="n">
        <f aca="false">IF(AK$4=0,0,IF(COUNTIFS(実績!$W$6:$W$505,AK$3,実績!$AI$6:$AI$505,"&lt;="&amp;$A107,実績!$AJ$6:$AJ$505,"&gt;"&amp;$A107,実績!$AL$6:$AL$505,"○")&gt;0,1,0))</f>
        <v>0</v>
      </c>
      <c r="AL107" s="39" t="n">
        <f aca="false">IF(AL$4=0,0,IF(COUNTIFS(実績!$W$6:$W$505,AL$3,実績!$AI$6:$AI$505,"&lt;="&amp;$A107,実績!$AJ$6:$AJ$505,"&gt;"&amp;$A107,実績!$AL$6:$AL$505,"○")&gt;0,1,0))</f>
        <v>0</v>
      </c>
      <c r="AM107" s="39" t="n">
        <f aca="false">IF(AM$4=0,0,IF(COUNTIFS(実績!$W$6:$W$505,AM$3,実績!$AI$6:$AI$505,"&lt;="&amp;$A107,実績!$AJ$6:$AJ$505,"&gt;"&amp;$A107,実績!$AL$6:$AL$505,"○")&gt;0,1,0))</f>
        <v>0</v>
      </c>
      <c r="AN107" s="39" t="n">
        <f aca="false">IF(AN$4=0,0,IF(COUNTIFS(実績!$W$6:$W$505,AN$3,実績!$AI$6:$AI$505,"&lt;="&amp;$A107,実績!$AJ$6:$AJ$505,"&gt;"&amp;$A107,実績!$AL$6:$AL$505,"○")&gt;0,1,0))</f>
        <v>0</v>
      </c>
      <c r="AO107" s="39" t="n">
        <f aca="false">IF(AO$4=0,0,IF(COUNTIFS(実績!$W$6:$W$505,AO$3,実績!$AI$6:$AI$505,"&lt;="&amp;$A107,実績!$AJ$6:$AJ$505,"&gt;"&amp;$A107,実績!$AL$6:$AL$505,"○")&gt;0,1,0))</f>
        <v>0</v>
      </c>
      <c r="AP107" s="39" t="n">
        <f aca="false">IF(AP$4=0,0,IF(COUNTIFS(実績!$W$6:$W$505,AP$3,実績!$AI$6:$AI$505,"&lt;="&amp;$A107,実績!$AJ$6:$AJ$505,"&gt;"&amp;$A107,実績!$AL$6:$AL$505,"○")&gt;0,1,0))</f>
        <v>0</v>
      </c>
      <c r="AQ107" s="39" t="n">
        <f aca="false">IF(AQ$4=0,0,IF(COUNTIFS(実績!$W$6:$W$505,AQ$3,実績!$AI$6:$AI$505,"&lt;="&amp;$A107,実績!$AJ$6:$AJ$505,"&gt;"&amp;$A107,実績!$AL$6:$AL$505,"○")&gt;0,1,0))</f>
        <v>0</v>
      </c>
      <c r="AR107" s="39" t="n">
        <f aca="false">IF(AR$4=0,0,IF(COUNTIFS(実績!$W$6:$W$505,AR$3,実績!$AI$6:$AI$505,"&lt;="&amp;$A107,実績!$AJ$6:$AJ$505,"&gt;"&amp;$A107,実績!$AL$6:$AL$505,"○")&gt;0,1,0))</f>
        <v>0</v>
      </c>
      <c r="AS107" s="39" t="n">
        <f aca="false">IF(AS$4=0,0,IF(COUNTIFS(実績!$W$6:$W$505,AS$3,実績!$AI$6:$AI$505,"&lt;="&amp;$A107,実績!$AJ$6:$AJ$505,"&gt;"&amp;$A107,実績!$AL$6:$AL$505,"○")&gt;0,1,0))</f>
        <v>0</v>
      </c>
      <c r="AT107" s="39" t="n">
        <f aca="false">IF(AT$4=0,0,IF(COUNTIFS(実績!$W$6:$W$505,AT$3,実績!$AI$6:$AI$505,"&lt;="&amp;$A107,実績!$AJ$6:$AJ$505,"&gt;"&amp;$A107,実績!$AL$6:$AL$505,"○")&gt;0,1,0))</f>
        <v>0</v>
      </c>
      <c r="AU107" s="39" t="n">
        <f aca="false">IF(AU$4=0,0,IF(COUNTIFS(実績!$W$6:$W$505,AU$3,実績!$AI$6:$AI$505,"&lt;="&amp;$A107,実績!$AJ$6:$AJ$505,"&gt;"&amp;$A107,実績!$AL$6:$AL$505,"○")&gt;0,1,0))</f>
        <v>0</v>
      </c>
      <c r="AV107" s="39" t="n">
        <f aca="false">IF(AV$4=0,0,IF(COUNTIFS(実績!$W$6:$W$505,AV$3,実績!$AI$6:$AI$505,"&lt;="&amp;$A107,実績!$AJ$6:$AJ$505,"&gt;"&amp;$A107,実績!$AL$6:$AL$505,"○")&gt;0,1,0))</f>
        <v>0</v>
      </c>
      <c r="AW107" s="39" t="n">
        <f aca="false">IF(AW$4=0,0,IF(COUNTIFS(実績!$W$6:$W$505,AW$3,実績!$AI$6:$AI$505,"&lt;="&amp;$A107,実績!$AJ$6:$AJ$505,"&gt;"&amp;$A107,実績!$AL$6:$AL$505,"○")&gt;0,1,0))</f>
        <v>0</v>
      </c>
      <c r="AX107" s="39" t="n">
        <f aca="false">IF(AX$4=0,0,IF(COUNTIFS(実績!$W$6:$W$505,AX$3,実績!$AI$6:$AI$505,"&lt;="&amp;$A107,実績!$AJ$6:$AJ$505,"&gt;"&amp;$A107,実績!$AL$6:$AL$505,"○")&gt;0,1,0))</f>
        <v>0</v>
      </c>
      <c r="AY107" s="39" t="n">
        <f aca="false">IF(AY$4=0,0,IF(COUNTIFS(実績!$W$6:$W$505,AY$3,実績!$AI$6:$AI$505,"&lt;="&amp;$A107,実績!$AJ$6:$AJ$505,"&gt;"&amp;$A107,実績!$AL$6:$AL$505,"○")&gt;0,1,0))</f>
        <v>0</v>
      </c>
      <c r="AZ107" s="39" t="n">
        <f aca="false">IF(AZ$4=0,0,IF(COUNTIFS(実績!$W$6:$W$505,AZ$3,実績!$AI$6:$AI$505,"&lt;="&amp;$A107,実績!$AJ$6:$AJ$505,"&gt;"&amp;$A107,実績!$AL$6:$AL$505,"○")&gt;0,1,0))</f>
        <v>0</v>
      </c>
      <c r="BA107" s="39" t="n">
        <f aca="false">IF(BA$4=0,0,IF(COUNTIFS(実績!$W$6:$W$505,BA$3,実績!$AI$6:$AI$505,"&lt;="&amp;$A107,実績!$AJ$6:$AJ$505,"&gt;"&amp;$A107,実績!$AL$6:$AL$505,"○")&gt;0,1,0))</f>
        <v>0</v>
      </c>
      <c r="BB107" s="39" t="n">
        <f aca="false">IF(BB$4=0,0,IF(COUNTIFS(実績!$W$6:$W$505,BB$3,実績!$AI$6:$AI$505,"&lt;="&amp;$A107,実績!$AJ$6:$AJ$505,"&gt;"&amp;$A107,実績!$AL$6:$AL$505,"○")&gt;0,1,0))</f>
        <v>0</v>
      </c>
      <c r="BC107" s="39" t="n">
        <f aca="false">IF(BC$4=0,0,IF(COUNTIFS(実績!$W$6:$W$505,BC$3,実績!$AI$6:$AI$505,"&lt;="&amp;$A107,実績!$AJ$6:$AJ$505,"&gt;"&amp;$A107,実績!$AL$6:$AL$505,"○")&gt;0,1,0))</f>
        <v>0</v>
      </c>
      <c r="BD107" s="39" t="n">
        <f aca="false">IF(BD$4=0,0,IF(COUNTIFS(実績!$W$6:$W$505,BD$3,実績!$AI$6:$AI$505,"&lt;="&amp;$A107,実績!$AJ$6:$AJ$505,"&gt;"&amp;$A107,実績!$AL$6:$AL$505,"○")&gt;0,1,0))</f>
        <v>0</v>
      </c>
      <c r="BE107" s="39" t="n">
        <f aca="false">IF(BE$4=0,0,IF(COUNTIFS(実績!$W$6:$W$505,BE$3,実績!$AI$6:$AI$505,"&lt;="&amp;$A107,実績!$AJ$6:$AJ$505,"&gt;"&amp;$A107,実績!$AL$6:$AL$505,"○")&gt;0,1,0))</f>
        <v>0</v>
      </c>
      <c r="BF107" s="39" t="n">
        <f aca="false">IF(BF$4=0,0,IF(COUNTIFS(実績!$W$6:$W$505,BF$3,実績!$AI$6:$AI$505,"&lt;="&amp;$A107,実績!$AJ$6:$AJ$505,"&gt;"&amp;$A107,実績!$AL$6:$AL$505,"○")&gt;0,1,0))</f>
        <v>0</v>
      </c>
      <c r="BG107" s="39" t="n">
        <f aca="false">IF(BG$4=0,0,IF(COUNTIFS(実績!$W$6:$W$505,BG$3,実績!$AI$6:$AI$505,"&lt;="&amp;$A107,実績!$AJ$6:$AJ$505,"&gt;"&amp;$A107,実績!$AL$6:$AL$505,"○")&gt;0,1,0))</f>
        <v>0</v>
      </c>
      <c r="BH107" s="39" t="n">
        <f aca="false">IF(BH$4=0,0,IF(COUNTIFS(実績!$W$6:$W$505,BH$3,実績!$AI$6:$AI$505,"&lt;="&amp;$A107,実績!$AJ$6:$AJ$505,"&gt;"&amp;$A107,実績!$AL$6:$AL$505,"○")&gt;0,1,0))</f>
        <v>0</v>
      </c>
      <c r="BI107" s="39" t="n">
        <f aca="false">IF(BI$4=0,0,IF(COUNTIFS(実績!$W$6:$W$505,BI$3,実績!$AI$6:$AI$505,"&lt;="&amp;$A107,実績!$AJ$6:$AJ$505,"&gt;"&amp;$A107,実績!$AL$6:$AL$505,"○")&gt;0,1,0))</f>
        <v>0</v>
      </c>
      <c r="BJ107" s="39" t="n">
        <f aca="false">IF(BJ$4=0,0,IF(COUNTIFS(実績!$W$6:$W$505,BJ$3,実績!$AI$6:$AI$505,"&lt;="&amp;$A107,実績!$AJ$6:$AJ$505,"&gt;"&amp;$A107,実績!$AL$6:$AL$505,"○")&gt;0,1,0))</f>
        <v>0</v>
      </c>
      <c r="BK107" s="39" t="n">
        <f aca="false">IF(BK$4=0,0,IF(COUNTIFS(実績!$W$6:$W$505,BK$3,実績!$AI$6:$AI$505,"&lt;="&amp;$A107,実績!$AJ$6:$AJ$505,"&gt;"&amp;$A107,実績!$AL$6:$AL$505,"○")&gt;0,1,0))</f>
        <v>0</v>
      </c>
      <c r="BL107" s="39" t="n">
        <f aca="false">IF(BL$4=0,0,IF(COUNTIFS(実績!$W$6:$W$505,BL$3,実績!$AI$6:$AI$505,"&lt;="&amp;$A107,実績!$AJ$6:$AJ$505,"&gt;"&amp;$A107,実績!$AL$6:$AL$505,"○")&gt;0,1,0))</f>
        <v>0</v>
      </c>
      <c r="BM107" s="39" t="n">
        <f aca="false">IF(BM$4=0,0,IF(COUNTIFS(実績!$W$6:$W$505,BM$3,実績!$AI$6:$AI$505,"&lt;="&amp;$A107,実績!$AJ$6:$AJ$505,"&gt;"&amp;$A107,実績!$AL$6:$AL$505,"○")&gt;0,1,0))</f>
        <v>0</v>
      </c>
      <c r="BN107" s="39" t="n">
        <f aca="false">IF(BN$4=0,0,IF(COUNTIFS(実績!$W$6:$W$505,BN$3,実績!$AI$6:$AI$505,"&lt;="&amp;$A107,実績!$AJ$6:$AJ$505,"&gt;"&amp;$A107,実績!$AL$6:$AL$505,"○")&gt;0,1,0))</f>
        <v>0</v>
      </c>
      <c r="BO107" s="39" t="n">
        <f aca="false">IF(BO$4=0,0,IF(COUNTIFS(実績!$W$6:$W$505,BO$3,実績!$AI$6:$AI$505,"&lt;="&amp;$A107,実績!$AJ$6:$AJ$505,"&gt;"&amp;$A107,実績!$AL$6:$AL$505,"○")&gt;0,1,0))</f>
        <v>0</v>
      </c>
      <c r="BP107" s="39" t="n">
        <f aca="false">IF(BP$4=0,0,IF(COUNTIFS(実績!$W$6:$W$505,BP$3,実績!$AI$6:$AI$505,"&lt;="&amp;$A107,実績!$AJ$6:$AJ$505,"&gt;"&amp;$A107,実績!$AL$6:$AL$505,"○")&gt;0,1,0))</f>
        <v>0</v>
      </c>
      <c r="BQ107" s="39" t="n">
        <f aca="false">IF(BQ$4=0,0,IF(COUNTIFS(実績!$W$6:$W$505,BQ$3,実績!$AI$6:$AI$505,"&lt;="&amp;$A107,実績!$AJ$6:$AJ$505,"&gt;"&amp;$A107,実績!$AL$6:$AL$505,"○")&gt;0,1,0))</f>
        <v>0</v>
      </c>
      <c r="BR107" s="39" t="n">
        <f aca="false">IF(BR$4=0,0,IF(COUNTIFS(実績!$W$6:$W$505,BR$3,実績!$AI$6:$AI$505,"&lt;="&amp;$A107,実績!$AJ$6:$AJ$505,"&gt;"&amp;$A107,実績!$AL$6:$AL$505,"○")&gt;0,1,0))</f>
        <v>0</v>
      </c>
      <c r="BS107" s="39" t="n">
        <f aca="false">IF(BS$4=0,0,IF(COUNTIFS(実績!$W$6:$W$505,BS$3,実績!$AI$6:$AI$505,"&lt;="&amp;$A107,実績!$AJ$6:$AJ$505,"&gt;"&amp;$A107,実績!$AL$6:$AL$505,"○")&gt;0,1,0))</f>
        <v>0</v>
      </c>
      <c r="BT107" s="39" t="n">
        <f aca="false">IF(BT$4=0,0,IF(COUNTIFS(実績!$W$6:$W$505,BT$3,実績!$AI$6:$AI$505,"&lt;="&amp;$A107,実績!$AJ$6:$AJ$505,"&gt;"&amp;$A107,実績!$AL$6:$AL$505,"○")&gt;0,1,0))</f>
        <v>0</v>
      </c>
      <c r="BU107" s="39" t="n">
        <f aca="false">IF(BU$4=0,0,IF(COUNTIFS(実績!$W$6:$W$505,BU$3,実績!$AI$6:$AI$505,"&lt;="&amp;$A107,実績!$AJ$6:$AJ$505,"&gt;"&amp;$A107,実績!$AL$6:$AL$505,"○")&gt;0,1,0))</f>
        <v>0</v>
      </c>
      <c r="BV107" s="39" t="n">
        <f aca="false">IF(BV$4=0,0,IF(COUNTIFS(実績!$W$6:$W$505,BV$3,実績!$AI$6:$AI$505,"&lt;="&amp;$A107,実績!$AJ$6:$AJ$505,"&gt;"&amp;$A107,実績!$AL$6:$AL$505,"○")&gt;0,1,0))</f>
        <v>0</v>
      </c>
      <c r="BW107" s="39" t="n">
        <f aca="false">IF(BW$4=0,0,IF(COUNTIFS(実績!$W$6:$W$505,BW$3,実績!$AI$6:$AI$505,"&lt;="&amp;$A107,実績!$AJ$6:$AJ$505,"&gt;"&amp;$A107,実績!$AL$6:$AL$505,"○")&gt;0,1,0))</f>
        <v>0</v>
      </c>
      <c r="BX107" s="39" t="n">
        <f aca="false">IF(BX$4=0,0,IF(COUNTIFS(実績!$W$6:$W$505,BX$3,実績!$AI$6:$AI$505,"&lt;="&amp;$A107,実績!$AJ$6:$AJ$505,"&gt;"&amp;$A107,実績!$AL$6:$AL$505,"○")&gt;0,1,0))</f>
        <v>0</v>
      </c>
      <c r="BY107" s="39" t="n">
        <f aca="false">IF(BY$4=0,0,IF(COUNTIFS(実績!$W$6:$W$505,BY$3,実績!$AI$6:$AI$505,"&lt;="&amp;$A107,実績!$AJ$6:$AJ$505,"&gt;"&amp;$A107,実績!$AL$6:$AL$505,"○")&gt;0,1,0))</f>
        <v>0</v>
      </c>
      <c r="BZ107" s="39" t="n">
        <f aca="false">IF(BZ$4=0,0,IF(COUNTIFS(実績!$W$6:$W$505,BZ$3,実績!$AI$6:$AI$505,"&lt;="&amp;$A107,実績!$AJ$6:$AJ$505,"&gt;"&amp;$A107,実績!$AL$6:$AL$505,"○")&gt;0,1,0))</f>
        <v>0</v>
      </c>
      <c r="CA107" s="39" t="n">
        <f aca="false">IF(CA$4=0,0,IF(COUNTIFS(実績!$W$6:$W$505,CA$3,実績!$AI$6:$AI$505,"&lt;="&amp;$A107,実績!$AJ$6:$AJ$505,"&gt;"&amp;$A107,実績!$AL$6:$AL$505,"○")&gt;0,1,0))</f>
        <v>0</v>
      </c>
      <c r="CB107" s="39" t="n">
        <f aca="false">IF(CB$4=0,0,IF(COUNTIFS(実績!$W$6:$W$505,CB$3,実績!$AI$6:$AI$505,"&lt;="&amp;$A107,実績!$AJ$6:$AJ$505,"&gt;"&amp;$A107,実績!$AL$6:$AL$505,"○")&gt;0,1,0))</f>
        <v>0</v>
      </c>
      <c r="CC107" s="39" t="n">
        <f aca="false">IF(CC$4=0,0,IF(COUNTIFS(実績!$W$6:$W$505,CC$3,実績!$AI$6:$AI$505,"&lt;="&amp;$A107,実績!$AJ$6:$AJ$505,"&gt;"&amp;$A107,実績!$AL$6:$AL$505,"○")&gt;0,1,0))</f>
        <v>0</v>
      </c>
      <c r="CD107" s="39" t="n">
        <f aca="false">IF(CD$4=0,0,IF(COUNTIFS(実績!$W$6:$W$505,CD$3,実績!$AI$6:$AI$505,"&lt;="&amp;$A107,実績!$AJ$6:$AJ$505,"&gt;"&amp;$A107,実績!$AL$6:$AL$505,"○")&gt;0,1,0))</f>
        <v>0</v>
      </c>
      <c r="CE107" s="39" t="n">
        <f aca="false">IF(CE$4=0,0,IF(COUNTIFS(実績!$W$6:$W$505,CE$3,実績!$AI$6:$AI$505,"&lt;="&amp;$A107,実績!$AJ$6:$AJ$505,"&gt;"&amp;$A107,実績!$AL$6:$AL$505,"○")&gt;0,1,0))</f>
        <v>0</v>
      </c>
      <c r="CF107" s="39" t="n">
        <f aca="false">IF(CF$4=0,0,IF(COUNTIFS(実績!$W$6:$W$505,CF$3,実績!$AI$6:$AI$505,"&lt;="&amp;$A107,実績!$AJ$6:$AJ$505,"&gt;"&amp;$A107,実績!$AL$6:$AL$505,"○")&gt;0,1,0))</f>
        <v>0</v>
      </c>
      <c r="CG107" s="39" t="n">
        <f aca="false">IF(CG$4=0,0,IF(COUNTIFS(実績!$W$6:$W$505,CG$3,実績!$AI$6:$AI$505,"&lt;="&amp;$A107,実績!$AJ$6:$AJ$505,"&gt;"&amp;$A107,実績!$AL$6:$AL$505,"○")&gt;0,1,0))</f>
        <v>0</v>
      </c>
      <c r="CH107" s="39" t="n">
        <f aca="false">IF(CH$4=0,0,IF(COUNTIFS(実績!$W$6:$W$505,CH$3,実績!$AI$6:$AI$505,"&lt;="&amp;$A107,実績!$AJ$6:$AJ$505,"&gt;"&amp;$A107,実績!$AL$6:$AL$505,"○")&gt;0,1,0))</f>
        <v>0</v>
      </c>
      <c r="CI107" s="39" t="n">
        <f aca="false">IF(CI$4=0,0,IF(COUNTIFS(実績!$W$6:$W$505,CI$3,実績!$AI$6:$AI$505,"&lt;="&amp;$A107,実績!$AJ$6:$AJ$505,"&gt;"&amp;$A107,実績!$AL$6:$AL$505,"○")&gt;0,1,0))</f>
        <v>0</v>
      </c>
      <c r="CJ107" s="39" t="n">
        <f aca="false">IF(CJ$4=0,0,IF(COUNTIFS(実績!$W$6:$W$505,CJ$3,実績!$AI$6:$AI$505,"&lt;="&amp;$A107,実績!$AJ$6:$AJ$505,"&gt;"&amp;$A107,実績!$AL$6:$AL$505,"○")&gt;0,1,0))</f>
        <v>0</v>
      </c>
      <c r="CK107" s="39" t="n">
        <f aca="false">IF(CK$4=0,0,IF(COUNTIFS(実績!$W$6:$W$505,CK$3,実績!$AI$6:$AI$505,"&lt;="&amp;$A107,実績!$AJ$6:$AJ$505,"&gt;"&amp;$A107,実績!$AL$6:$AL$505,"○")&gt;0,1,0))</f>
        <v>0</v>
      </c>
      <c r="CL107" s="39" t="n">
        <f aca="false">IF(CL$4=0,0,IF(COUNTIFS(実績!$W$6:$W$505,CL$3,実績!$AI$6:$AI$505,"&lt;="&amp;$A107,実績!$AJ$6:$AJ$505,"&gt;"&amp;$A107,実績!$AL$6:$AL$505,"○")&gt;0,1,0))</f>
        <v>0</v>
      </c>
      <c r="CM107" s="39" t="n">
        <f aca="false">IF(CM$4=0,0,IF(COUNTIFS(実績!$W$6:$W$505,CM$3,実績!$AI$6:$AI$505,"&lt;="&amp;$A107,実績!$AJ$6:$AJ$505,"&gt;"&amp;$A107,実績!$AL$6:$AL$505,"○")&gt;0,1,0))</f>
        <v>0</v>
      </c>
      <c r="CN107" s="39" t="n">
        <f aca="false">IF(CN$4=0,0,IF(COUNTIFS(実績!$W$6:$W$505,CN$3,実績!$AI$6:$AI$505,"&lt;="&amp;$A107,実績!$AJ$6:$AJ$505,"&gt;"&amp;$A107,実績!$AL$6:$AL$505,"○")&gt;0,1,0))</f>
        <v>0</v>
      </c>
      <c r="CO107" s="39" t="n">
        <f aca="false">IF(CO$4=0,0,IF(COUNTIFS(実績!$W$6:$W$505,CO$3,実績!$AI$6:$AI$505,"&lt;="&amp;$A107,実績!$AJ$6:$AJ$505,"&gt;"&amp;$A107,実績!$AL$6:$AL$505,"○")&gt;0,1,0))</f>
        <v>0</v>
      </c>
      <c r="CP107" s="39" t="n">
        <f aca="false">IF(CP$4=0,0,IF(COUNTIFS(実績!$W$6:$W$505,CP$3,実績!$AI$6:$AI$505,"&lt;="&amp;$A107,実績!$AJ$6:$AJ$505,"&gt;"&amp;$A107,実績!$AL$6:$AL$505,"○")&gt;0,1,0))</f>
        <v>0</v>
      </c>
      <c r="CQ107" s="39" t="n">
        <f aca="false">IF(CQ$4=0,0,IF(COUNTIFS(実績!$W$6:$W$505,CQ$3,実績!$AI$6:$AI$505,"&lt;="&amp;$A107,実績!$AJ$6:$AJ$505,"&gt;"&amp;$A107,実績!$AL$6:$AL$505,"○")&gt;0,1,0))</f>
        <v>0</v>
      </c>
      <c r="CR107" s="39" t="n">
        <f aca="false">IF(CR$4=0,0,IF(COUNTIFS(実績!$W$6:$W$505,CR$3,実績!$AI$6:$AI$505,"&lt;="&amp;$A107,実績!$AJ$6:$AJ$505,"&gt;"&amp;$A107,実績!$AL$6:$AL$505,"○")&gt;0,1,0))</f>
        <v>0</v>
      </c>
      <c r="CS107" s="39" t="n">
        <f aca="false">IF(CS$4=0,0,IF(COUNTIFS(実績!$W$6:$W$505,CS$3,実績!$AI$6:$AI$505,"&lt;="&amp;$A107,実績!$AJ$6:$AJ$505,"&gt;"&amp;$A107,実績!$AL$6:$AL$505,"○")&gt;0,1,0))</f>
        <v>0</v>
      </c>
      <c r="CT107" s="39" t="n">
        <f aca="false">IF(CT$4=0,0,IF(COUNTIFS(実績!$W$6:$W$505,CT$3,実績!$AI$6:$AI$505,"&lt;="&amp;$A107,実績!$AJ$6:$AJ$505,"&gt;"&amp;$A107,実績!$AL$6:$AL$505,"○")&gt;0,1,0))</f>
        <v>0</v>
      </c>
      <c r="CU107" s="39" t="n">
        <f aca="false">IF(CU$4=0,0,IF(COUNTIFS(実績!$W$6:$W$505,CU$3,実績!$AI$6:$AI$505,"&lt;="&amp;$A107,実績!$AJ$6:$AJ$505,"&gt;"&amp;$A107,実績!$AL$6:$AL$505,"○")&gt;0,1,0))</f>
        <v>0</v>
      </c>
      <c r="CV107" s="39" t="n">
        <f aca="false">IF(CV$4=0,0,IF(COUNTIFS(実績!$W$6:$W$505,CV$3,実績!$AI$6:$AI$505,"&lt;="&amp;$A107,実績!$AJ$6:$AJ$505,"&gt;"&amp;$A107,実績!$AL$6:$AL$505,"○")&gt;0,1,0))</f>
        <v>0</v>
      </c>
      <c r="CW107" s="39" t="n">
        <f aca="false">IF(CW$4=0,0,IF(COUNTIFS(実績!$W$6:$W$505,CW$3,実績!$AI$6:$AI$505,"&lt;="&amp;$A107,実績!$AJ$6:$AJ$505,"&gt;"&amp;$A107,実績!$AL$6:$AL$505,"○")&gt;0,1,0))</f>
        <v>0</v>
      </c>
      <c r="CX107" s="39" t="n">
        <f aca="false">IF(CX$4=0,0,IF(COUNTIFS(実績!$W$6:$W$505,CX$3,実績!$AI$6:$AI$505,"&lt;="&amp;$A107,実績!$AJ$6:$AJ$505,"&gt;"&amp;$A107,実績!$AL$6:$AL$505,"○")&gt;0,1,0))</f>
        <v>0</v>
      </c>
      <c r="CY107" s="39" t="n">
        <f aca="false">IF(CY$4=0,0,IF(COUNTIFS(実績!$W$6:$W$505,CY$3,実績!$AI$6:$AI$505,"&lt;="&amp;$A107,実績!$AJ$6:$AJ$505,"&gt;"&amp;$A107,実績!$AL$6:$AL$505,"○")&gt;0,1,0))</f>
        <v>0</v>
      </c>
      <c r="CZ107" s="39" t="n">
        <f aca="false">IF(CZ$4=0,0,IF(COUNTIFS(実績!$W$6:$W$505,CZ$3,実績!$AI$6:$AI$505,"&lt;="&amp;$A107,実績!$AJ$6:$AJ$505,"&gt;"&amp;$A107,実績!$AL$6:$AL$505,"○")&gt;0,1,0))</f>
        <v>0</v>
      </c>
      <c r="DA107" s="39" t="n">
        <f aca="false">IF(DA$4=0,0,IF(COUNTIFS(実績!$W$6:$W$505,DA$3,実績!$AI$6:$AI$505,"&lt;="&amp;$A107,実績!$AJ$6:$AJ$505,"&gt;"&amp;$A107,実績!$AL$6:$AL$505,"○")&gt;0,1,0))</f>
        <v>0</v>
      </c>
      <c r="DB107" s="39" t="n">
        <f aca="false">IF(DB$4=0,0,IF(COUNTIFS(実績!$W$6:$W$505,DB$3,実績!$AI$6:$AI$505,"&lt;="&amp;$A107,実績!$AJ$6:$AJ$505,"&gt;"&amp;$A107,実績!$AL$6:$AL$505,"○")&gt;0,1,0))</f>
        <v>0</v>
      </c>
      <c r="DC107" s="39" t="n">
        <f aca="false">IF(DC$4=0,0,IF(COUNTIFS(実績!$W$6:$W$505,DC$3,実績!$AI$6:$AI$505,"&lt;="&amp;$A107,実績!$AJ$6:$AJ$505,"&gt;"&amp;$A107,実績!$AL$6:$AL$505,"○")&gt;0,1,0))</f>
        <v>0</v>
      </c>
      <c r="DD107" s="39" t="n">
        <f aca="false">IF(DD$4=0,0,IF(COUNTIFS(実績!$W$6:$W$505,DD$3,実績!$AI$6:$AI$505,"&lt;="&amp;$A107,実績!$AJ$6:$AJ$505,"&gt;"&amp;$A107,実績!$AL$6:$AL$505,"○")&gt;0,1,0))</f>
        <v>0</v>
      </c>
      <c r="DE107" s="39" t="n">
        <f aca="false">IF(DE$4=0,0,IF(COUNTIFS(実績!$W$6:$W$505,DE$3,実績!$AI$6:$AI$505,"&lt;="&amp;$A107,実績!$AJ$6:$AJ$505,"&gt;"&amp;$A107,実績!$AL$6:$AL$505,"○")&gt;0,1,0))</f>
        <v>0</v>
      </c>
      <c r="DF107" s="39" t="n">
        <f aca="false">IF(DF$4=0,0,IF(COUNTIFS(実績!$W$6:$W$505,DF$3,実績!$AI$6:$AI$505,"&lt;="&amp;$A107,実績!$AJ$6:$AJ$505,"&gt;"&amp;$A107,実績!$AL$6:$AL$505,"○")&gt;0,1,0))</f>
        <v>0</v>
      </c>
      <c r="DG107" s="39" t="n">
        <f aca="false">IF(DG$4=0,0,IF(COUNTIFS(実績!$W$6:$W$505,DG$3,実績!$AI$6:$AI$505,"&lt;="&amp;$A107,実績!$AJ$6:$AJ$505,"&gt;"&amp;$A107,実績!$AL$6:$AL$505,"○")&gt;0,1,0))</f>
        <v>0</v>
      </c>
      <c r="DH107" s="39" t="n">
        <f aca="false">IF(DH$4=0,0,IF(COUNTIFS(実績!$W$6:$W$505,DH$3,実績!$AI$6:$AI$505,"&lt;="&amp;$A107,実績!$AJ$6:$AJ$505,"&gt;"&amp;$A107,実績!$AL$6:$AL$505,"○")&gt;0,1,0))</f>
        <v>0</v>
      </c>
      <c r="DI107" s="39" t="n">
        <f aca="false">IF(DI$4=0,0,IF(COUNTIFS(実績!$W$6:$W$505,DI$3,実績!$AI$6:$AI$505,"&lt;="&amp;$A107,実績!$AJ$6:$AJ$505,"&gt;"&amp;$A107,実績!$AL$6:$AL$505,"○")&gt;0,1,0))</f>
        <v>0</v>
      </c>
      <c r="DJ107" s="39" t="n">
        <f aca="false">IF(DJ$4=0,0,IF(COUNTIFS(実績!$W$6:$W$505,DJ$3,実績!$AI$6:$AI$505,"&lt;="&amp;$A107,実績!$AJ$6:$AJ$505,"&gt;"&amp;$A107,実績!$AL$6:$AL$505,"○")&gt;0,1,0))</f>
        <v>0</v>
      </c>
      <c r="DK107" s="39" t="n">
        <f aca="false">IF(DK$4=0,0,IF(COUNTIFS(実績!$W$6:$W$505,DK$3,実績!$AI$6:$AI$505,"&lt;="&amp;$A107,実績!$AJ$6:$AJ$505,"&gt;"&amp;$A107,実績!$AL$6:$AL$505,"○")&gt;0,1,0))</f>
        <v>0</v>
      </c>
      <c r="DL107" s="39" t="n">
        <f aca="false">IF(DL$4=0,0,IF(COUNTIFS(実績!$W$6:$W$505,DL$3,実績!$AI$6:$AI$505,"&lt;="&amp;$A107,実績!$AJ$6:$AJ$505,"&gt;"&amp;$A107,実績!$AL$6:$AL$505,"○")&gt;0,1,0))</f>
        <v>0</v>
      </c>
      <c r="DM107" s="39" t="n">
        <f aca="false">IF(DM$4=0,0,IF(COUNTIFS(実績!$W$6:$W$505,DM$3,実績!$AI$6:$AI$505,"&lt;="&amp;$A107,実績!$AJ$6:$AJ$505,"&gt;"&amp;$A107,実績!$AL$6:$AL$505,"○")&gt;0,1,0))</f>
        <v>0</v>
      </c>
      <c r="DN107" s="39" t="n">
        <f aca="false">IF(DN$4=0,0,IF(COUNTIFS(実績!$W$6:$W$505,DN$3,実績!$AI$6:$AI$505,"&lt;="&amp;$A107,実績!$AJ$6:$AJ$505,"&gt;"&amp;$A107,実績!$AL$6:$AL$505,"○")&gt;0,1,0))</f>
        <v>0</v>
      </c>
      <c r="DO107" s="39" t="n">
        <f aca="false">IF(DO$4=0,0,IF(COUNTIFS(実績!$W$6:$W$505,DO$3,実績!$AI$6:$AI$505,"&lt;="&amp;$A107,実績!$AJ$6:$AJ$505,"&gt;"&amp;$A107,実績!$AL$6:$AL$505,"○")&gt;0,1,0))</f>
        <v>0</v>
      </c>
      <c r="DP107" s="39" t="n">
        <f aca="false">IF(DP$4=0,0,IF(COUNTIFS(実績!$W$6:$W$505,DP$3,実績!$AI$6:$AI$505,"&lt;="&amp;$A107,実績!$AJ$6:$AJ$505,"&gt;"&amp;$A107,実績!$AL$6:$AL$505,"○")&gt;0,1,0))</f>
        <v>0</v>
      </c>
      <c r="DQ107" s="39" t="n">
        <f aca="false">IF(DQ$4=0,0,IF(COUNTIFS(実績!$W$6:$W$505,DQ$3,実績!$AI$6:$AI$505,"&lt;="&amp;$A107,実績!$AJ$6:$AJ$505,"&gt;"&amp;$A107,実績!$AL$6:$AL$505,"○")&gt;0,1,0))</f>
        <v>0</v>
      </c>
      <c r="DR107" s="39" t="n">
        <f aca="false">IF(DR$4=0,0,IF(COUNTIFS(実績!$W$6:$W$505,DR$3,実績!$AI$6:$AI$505,"&lt;="&amp;$A107,実績!$AJ$6:$AJ$505,"&gt;"&amp;$A107,実績!$AL$6:$AL$505,"○")&gt;0,1,0))</f>
        <v>0</v>
      </c>
      <c r="DS107" s="39" t="n">
        <f aca="false">SUM(C107:DR107)</f>
        <v>0</v>
      </c>
    </row>
    <row r="108" customFormat="false" ht="15" hidden="false" customHeight="false" outlineLevel="0" collapsed="false">
      <c r="A108" s="0" t="n">
        <v>510</v>
      </c>
      <c r="B108" s="38" t="n">
        <f aca="false">A108/1440</f>
        <v>0.354166666666667</v>
      </c>
      <c r="C108" s="39" t="n">
        <f aca="false">IF(C$4=0,0,IF(COUNTIFS(実績!$W$6:$W$505,C$3,実績!$AI$6:$AI$505,"&lt;="&amp;$A108,実績!$AJ$6:$AJ$505,"&gt;"&amp;$A108,実績!$AL$6:$AL$505,"○")&gt;0,1,0))</f>
        <v>0</v>
      </c>
      <c r="D108" s="39" t="n">
        <f aca="false">IF(D$4=0,0,IF(COUNTIFS(実績!$W$6:$W$505,D$3,実績!$AI$6:$AI$505,"&lt;="&amp;$A108,実績!$AJ$6:$AJ$505,"&gt;"&amp;$A108,実績!$AL$6:$AL$505,"○")&gt;0,1,0))</f>
        <v>0</v>
      </c>
      <c r="E108" s="39" t="n">
        <f aca="false">IF(E$4=0,0,IF(COUNTIFS(実績!$W$6:$W$505,E$3,実績!$AI$6:$AI$505,"&lt;="&amp;$A108,実績!$AJ$6:$AJ$505,"&gt;"&amp;$A108,実績!$AL$6:$AL$505,"○")&gt;0,1,0))</f>
        <v>0</v>
      </c>
      <c r="F108" s="39" t="n">
        <f aca="false">IF(F$4=0,0,IF(COUNTIFS(実績!$W$6:$W$505,F$3,実績!$AI$6:$AI$505,"&lt;="&amp;$A108,実績!$AJ$6:$AJ$505,"&gt;"&amp;$A108,実績!$AL$6:$AL$505,"○")&gt;0,1,0))</f>
        <v>0</v>
      </c>
      <c r="G108" s="39" t="n">
        <f aca="false">IF(G$4=0,0,IF(COUNTIFS(実績!$W$6:$W$505,G$3,実績!$AI$6:$AI$505,"&lt;="&amp;$A108,実績!$AJ$6:$AJ$505,"&gt;"&amp;$A108,実績!$AL$6:$AL$505,"○")&gt;0,1,0))</f>
        <v>0</v>
      </c>
      <c r="H108" s="39" t="n">
        <f aca="false">IF(H$4=0,0,IF(COUNTIFS(実績!$W$6:$W$505,H$3,実績!$AI$6:$AI$505,"&lt;="&amp;$A108,実績!$AJ$6:$AJ$505,"&gt;"&amp;$A108,実績!$AL$6:$AL$505,"○")&gt;0,1,0))</f>
        <v>0</v>
      </c>
      <c r="I108" s="39" t="n">
        <f aca="false">IF(I$4=0,0,IF(COUNTIFS(実績!$W$6:$W$505,I$3,実績!$AI$6:$AI$505,"&lt;="&amp;$A108,実績!$AJ$6:$AJ$505,"&gt;"&amp;$A108,実績!$AL$6:$AL$505,"○")&gt;0,1,0))</f>
        <v>0</v>
      </c>
      <c r="J108" s="39" t="n">
        <f aca="false">IF(J$4=0,0,IF(COUNTIFS(実績!$W$6:$W$505,J$3,実績!$AI$6:$AI$505,"&lt;="&amp;$A108,実績!$AJ$6:$AJ$505,"&gt;"&amp;$A108,実績!$AL$6:$AL$505,"○")&gt;0,1,0))</f>
        <v>0</v>
      </c>
      <c r="K108" s="39" t="n">
        <f aca="false">IF(K$4=0,0,IF(COUNTIFS(実績!$W$6:$W$505,K$3,実績!$AI$6:$AI$505,"&lt;="&amp;$A108,実績!$AJ$6:$AJ$505,"&gt;"&amp;$A108,実績!$AL$6:$AL$505,"○")&gt;0,1,0))</f>
        <v>0</v>
      </c>
      <c r="L108" s="39" t="n">
        <f aca="false">IF(L$4=0,0,IF(COUNTIFS(実績!$W$6:$W$505,L$3,実績!$AI$6:$AI$505,"&lt;="&amp;$A108,実績!$AJ$6:$AJ$505,"&gt;"&amp;$A108,実績!$AL$6:$AL$505,"○")&gt;0,1,0))</f>
        <v>0</v>
      </c>
      <c r="M108" s="39" t="n">
        <f aca="false">IF(M$4=0,0,IF(COUNTIFS(実績!$W$6:$W$505,M$3,実績!$AI$6:$AI$505,"&lt;="&amp;$A108,実績!$AJ$6:$AJ$505,"&gt;"&amp;$A108,実績!$AL$6:$AL$505,"○")&gt;0,1,0))</f>
        <v>0</v>
      </c>
      <c r="N108" s="39" t="n">
        <f aca="false">IF(N$4=0,0,IF(COUNTIFS(実績!$W$6:$W$505,N$3,実績!$AI$6:$AI$505,"&lt;="&amp;$A108,実績!$AJ$6:$AJ$505,"&gt;"&amp;$A108,実績!$AL$6:$AL$505,"○")&gt;0,1,0))</f>
        <v>0</v>
      </c>
      <c r="O108" s="39" t="n">
        <f aca="false">IF(O$4=0,0,IF(COUNTIFS(実績!$W$6:$W$505,O$3,実績!$AI$6:$AI$505,"&lt;="&amp;$A108,実績!$AJ$6:$AJ$505,"&gt;"&amp;$A108,実績!$AL$6:$AL$505,"○")&gt;0,1,0))</f>
        <v>0</v>
      </c>
      <c r="P108" s="39" t="n">
        <f aca="false">IF(P$4=0,0,IF(COUNTIFS(実績!$W$6:$W$505,P$3,実績!$AI$6:$AI$505,"&lt;="&amp;$A108,実績!$AJ$6:$AJ$505,"&gt;"&amp;$A108,実績!$AL$6:$AL$505,"○")&gt;0,1,0))</f>
        <v>0</v>
      </c>
      <c r="Q108" s="39" t="n">
        <f aca="false">IF(Q$4=0,0,IF(COUNTIFS(実績!$W$6:$W$505,Q$3,実績!$AI$6:$AI$505,"&lt;="&amp;$A108,実績!$AJ$6:$AJ$505,"&gt;"&amp;$A108,実績!$AL$6:$AL$505,"○")&gt;0,1,0))</f>
        <v>0</v>
      </c>
      <c r="R108" s="39" t="n">
        <f aca="false">IF(R$4=0,0,IF(COUNTIFS(実績!$W$6:$W$505,R$3,実績!$AI$6:$AI$505,"&lt;="&amp;$A108,実績!$AJ$6:$AJ$505,"&gt;"&amp;$A108,実績!$AL$6:$AL$505,"○")&gt;0,1,0))</f>
        <v>0</v>
      </c>
      <c r="S108" s="39" t="n">
        <f aca="false">IF(S$4=0,0,IF(COUNTIFS(実績!$W$6:$W$505,S$3,実績!$AI$6:$AI$505,"&lt;="&amp;$A108,実績!$AJ$6:$AJ$505,"&gt;"&amp;$A108,実績!$AL$6:$AL$505,"○")&gt;0,1,0))</f>
        <v>0</v>
      </c>
      <c r="T108" s="39" t="n">
        <f aca="false">IF(T$4=0,0,IF(COUNTIFS(実績!$W$6:$W$505,T$3,実績!$AI$6:$AI$505,"&lt;="&amp;$A108,実績!$AJ$6:$AJ$505,"&gt;"&amp;$A108,実績!$AL$6:$AL$505,"○")&gt;0,1,0))</f>
        <v>0</v>
      </c>
      <c r="U108" s="39" t="n">
        <f aca="false">IF(U$4=0,0,IF(COUNTIFS(実績!$W$6:$W$505,U$3,実績!$AI$6:$AI$505,"&lt;="&amp;$A108,実績!$AJ$6:$AJ$505,"&gt;"&amp;$A108,実績!$AL$6:$AL$505,"○")&gt;0,1,0))</f>
        <v>0</v>
      </c>
      <c r="V108" s="39" t="n">
        <f aca="false">IF(V$4=0,0,IF(COUNTIFS(実績!$W$6:$W$505,V$3,実績!$AI$6:$AI$505,"&lt;="&amp;$A108,実績!$AJ$6:$AJ$505,"&gt;"&amp;$A108,実績!$AL$6:$AL$505,"○")&gt;0,1,0))</f>
        <v>0</v>
      </c>
      <c r="W108" s="39" t="n">
        <f aca="false">IF(W$4=0,0,IF(COUNTIFS(実績!$W$6:$W$505,W$3,実績!$AI$6:$AI$505,"&lt;="&amp;$A108,実績!$AJ$6:$AJ$505,"&gt;"&amp;$A108,実績!$AL$6:$AL$505,"○")&gt;0,1,0))</f>
        <v>0</v>
      </c>
      <c r="X108" s="39" t="n">
        <f aca="false">IF(X$4=0,0,IF(COUNTIFS(実績!$W$6:$W$505,X$3,実績!$AI$6:$AI$505,"&lt;="&amp;$A108,実績!$AJ$6:$AJ$505,"&gt;"&amp;$A108,実績!$AL$6:$AL$505,"○")&gt;0,1,0))</f>
        <v>0</v>
      </c>
      <c r="Y108" s="39" t="n">
        <f aca="false">IF(Y$4=0,0,IF(COUNTIFS(実績!$W$6:$W$505,Y$3,実績!$AI$6:$AI$505,"&lt;="&amp;$A108,実績!$AJ$6:$AJ$505,"&gt;"&amp;$A108,実績!$AL$6:$AL$505,"○")&gt;0,1,0))</f>
        <v>0</v>
      </c>
      <c r="Z108" s="39" t="n">
        <f aca="false">IF(Z$4=0,0,IF(COUNTIFS(実績!$W$6:$W$505,Z$3,実績!$AI$6:$AI$505,"&lt;="&amp;$A108,実績!$AJ$6:$AJ$505,"&gt;"&amp;$A108,実績!$AL$6:$AL$505,"○")&gt;0,1,0))</f>
        <v>0</v>
      </c>
      <c r="AA108" s="39" t="n">
        <f aca="false">IF(AA$4=0,0,IF(COUNTIFS(実績!$W$6:$W$505,AA$3,実績!$AI$6:$AI$505,"&lt;="&amp;$A108,実績!$AJ$6:$AJ$505,"&gt;"&amp;$A108,実績!$AL$6:$AL$505,"○")&gt;0,1,0))</f>
        <v>0</v>
      </c>
      <c r="AB108" s="39" t="n">
        <f aca="false">IF(AB$4=0,0,IF(COUNTIFS(実績!$W$6:$W$505,AB$3,実績!$AI$6:$AI$505,"&lt;="&amp;$A108,実績!$AJ$6:$AJ$505,"&gt;"&amp;$A108,実績!$AL$6:$AL$505,"○")&gt;0,1,0))</f>
        <v>0</v>
      </c>
      <c r="AC108" s="39" t="n">
        <f aca="false">IF(AC$4=0,0,IF(COUNTIFS(実績!$W$6:$W$505,AC$3,実績!$AI$6:$AI$505,"&lt;="&amp;$A108,実績!$AJ$6:$AJ$505,"&gt;"&amp;$A108,実績!$AL$6:$AL$505,"○")&gt;0,1,0))</f>
        <v>0</v>
      </c>
      <c r="AD108" s="39" t="n">
        <f aca="false">IF(AD$4=0,0,IF(COUNTIFS(実績!$W$6:$W$505,AD$3,実績!$AI$6:$AI$505,"&lt;="&amp;$A108,実績!$AJ$6:$AJ$505,"&gt;"&amp;$A108,実績!$AL$6:$AL$505,"○")&gt;0,1,0))</f>
        <v>0</v>
      </c>
      <c r="AE108" s="39" t="n">
        <f aca="false">IF(AE$4=0,0,IF(COUNTIFS(実績!$W$6:$W$505,AE$3,実績!$AI$6:$AI$505,"&lt;="&amp;$A108,実績!$AJ$6:$AJ$505,"&gt;"&amp;$A108,実績!$AL$6:$AL$505,"○")&gt;0,1,0))</f>
        <v>0</v>
      </c>
      <c r="AF108" s="39" t="n">
        <f aca="false">IF(AF$4=0,0,IF(COUNTIFS(実績!$W$6:$W$505,AF$3,実績!$AI$6:$AI$505,"&lt;="&amp;$A108,実績!$AJ$6:$AJ$505,"&gt;"&amp;$A108,実績!$AL$6:$AL$505,"○")&gt;0,1,0))</f>
        <v>0</v>
      </c>
      <c r="AG108" s="39" t="n">
        <f aca="false">IF(AG$4=0,0,IF(COUNTIFS(実績!$W$6:$W$505,AG$3,実績!$AI$6:$AI$505,"&lt;="&amp;$A108,実績!$AJ$6:$AJ$505,"&gt;"&amp;$A108,実績!$AL$6:$AL$505,"○")&gt;0,1,0))</f>
        <v>0</v>
      </c>
      <c r="AH108" s="39" t="n">
        <f aca="false">IF(AH$4=0,0,IF(COUNTIFS(実績!$W$6:$W$505,AH$3,実績!$AI$6:$AI$505,"&lt;="&amp;$A108,実績!$AJ$6:$AJ$505,"&gt;"&amp;$A108,実績!$AL$6:$AL$505,"○")&gt;0,1,0))</f>
        <v>0</v>
      </c>
      <c r="AI108" s="39" t="n">
        <f aca="false">IF(AI$4=0,0,IF(COUNTIFS(実績!$W$6:$W$505,AI$3,実績!$AI$6:$AI$505,"&lt;="&amp;$A108,実績!$AJ$6:$AJ$505,"&gt;"&amp;$A108,実績!$AL$6:$AL$505,"○")&gt;0,1,0))</f>
        <v>0</v>
      </c>
      <c r="AJ108" s="39" t="n">
        <f aca="false">IF(AJ$4=0,0,IF(COUNTIFS(実績!$W$6:$W$505,AJ$3,実績!$AI$6:$AI$505,"&lt;="&amp;$A108,実績!$AJ$6:$AJ$505,"&gt;"&amp;$A108,実績!$AL$6:$AL$505,"○")&gt;0,1,0))</f>
        <v>0</v>
      </c>
      <c r="AK108" s="39" t="n">
        <f aca="false">IF(AK$4=0,0,IF(COUNTIFS(実績!$W$6:$W$505,AK$3,実績!$AI$6:$AI$505,"&lt;="&amp;$A108,実績!$AJ$6:$AJ$505,"&gt;"&amp;$A108,実績!$AL$6:$AL$505,"○")&gt;0,1,0))</f>
        <v>0</v>
      </c>
      <c r="AL108" s="39" t="n">
        <f aca="false">IF(AL$4=0,0,IF(COUNTIFS(実績!$W$6:$W$505,AL$3,実績!$AI$6:$AI$505,"&lt;="&amp;$A108,実績!$AJ$6:$AJ$505,"&gt;"&amp;$A108,実績!$AL$6:$AL$505,"○")&gt;0,1,0))</f>
        <v>0</v>
      </c>
      <c r="AM108" s="39" t="n">
        <f aca="false">IF(AM$4=0,0,IF(COUNTIFS(実績!$W$6:$W$505,AM$3,実績!$AI$6:$AI$505,"&lt;="&amp;$A108,実績!$AJ$6:$AJ$505,"&gt;"&amp;$A108,実績!$AL$6:$AL$505,"○")&gt;0,1,0))</f>
        <v>0</v>
      </c>
      <c r="AN108" s="39" t="n">
        <f aca="false">IF(AN$4=0,0,IF(COUNTIFS(実績!$W$6:$W$505,AN$3,実績!$AI$6:$AI$505,"&lt;="&amp;$A108,実績!$AJ$6:$AJ$505,"&gt;"&amp;$A108,実績!$AL$6:$AL$505,"○")&gt;0,1,0))</f>
        <v>0</v>
      </c>
      <c r="AO108" s="39" t="n">
        <f aca="false">IF(AO$4=0,0,IF(COUNTIFS(実績!$W$6:$W$505,AO$3,実績!$AI$6:$AI$505,"&lt;="&amp;$A108,実績!$AJ$6:$AJ$505,"&gt;"&amp;$A108,実績!$AL$6:$AL$505,"○")&gt;0,1,0))</f>
        <v>0</v>
      </c>
      <c r="AP108" s="39" t="n">
        <f aca="false">IF(AP$4=0,0,IF(COUNTIFS(実績!$W$6:$W$505,AP$3,実績!$AI$6:$AI$505,"&lt;="&amp;$A108,実績!$AJ$6:$AJ$505,"&gt;"&amp;$A108,実績!$AL$6:$AL$505,"○")&gt;0,1,0))</f>
        <v>0</v>
      </c>
      <c r="AQ108" s="39" t="n">
        <f aca="false">IF(AQ$4=0,0,IF(COUNTIFS(実績!$W$6:$W$505,AQ$3,実績!$AI$6:$AI$505,"&lt;="&amp;$A108,実績!$AJ$6:$AJ$505,"&gt;"&amp;$A108,実績!$AL$6:$AL$505,"○")&gt;0,1,0))</f>
        <v>0</v>
      </c>
      <c r="AR108" s="39" t="n">
        <f aca="false">IF(AR$4=0,0,IF(COUNTIFS(実績!$W$6:$W$505,AR$3,実績!$AI$6:$AI$505,"&lt;="&amp;$A108,実績!$AJ$6:$AJ$505,"&gt;"&amp;$A108,実績!$AL$6:$AL$505,"○")&gt;0,1,0))</f>
        <v>0</v>
      </c>
      <c r="AS108" s="39" t="n">
        <f aca="false">IF(AS$4=0,0,IF(COUNTIFS(実績!$W$6:$W$505,AS$3,実績!$AI$6:$AI$505,"&lt;="&amp;$A108,実績!$AJ$6:$AJ$505,"&gt;"&amp;$A108,実績!$AL$6:$AL$505,"○")&gt;0,1,0))</f>
        <v>0</v>
      </c>
      <c r="AT108" s="39" t="n">
        <f aca="false">IF(AT$4=0,0,IF(COUNTIFS(実績!$W$6:$W$505,AT$3,実績!$AI$6:$AI$505,"&lt;="&amp;$A108,実績!$AJ$6:$AJ$505,"&gt;"&amp;$A108,実績!$AL$6:$AL$505,"○")&gt;0,1,0))</f>
        <v>0</v>
      </c>
      <c r="AU108" s="39" t="n">
        <f aca="false">IF(AU$4=0,0,IF(COUNTIFS(実績!$W$6:$W$505,AU$3,実績!$AI$6:$AI$505,"&lt;="&amp;$A108,実績!$AJ$6:$AJ$505,"&gt;"&amp;$A108,実績!$AL$6:$AL$505,"○")&gt;0,1,0))</f>
        <v>0</v>
      </c>
      <c r="AV108" s="39" t="n">
        <f aca="false">IF(AV$4=0,0,IF(COUNTIFS(実績!$W$6:$W$505,AV$3,実績!$AI$6:$AI$505,"&lt;="&amp;$A108,実績!$AJ$6:$AJ$505,"&gt;"&amp;$A108,実績!$AL$6:$AL$505,"○")&gt;0,1,0))</f>
        <v>0</v>
      </c>
      <c r="AW108" s="39" t="n">
        <f aca="false">IF(AW$4=0,0,IF(COUNTIFS(実績!$W$6:$W$505,AW$3,実績!$AI$6:$AI$505,"&lt;="&amp;$A108,実績!$AJ$6:$AJ$505,"&gt;"&amp;$A108,実績!$AL$6:$AL$505,"○")&gt;0,1,0))</f>
        <v>0</v>
      </c>
      <c r="AX108" s="39" t="n">
        <f aca="false">IF(AX$4=0,0,IF(COUNTIFS(実績!$W$6:$W$505,AX$3,実績!$AI$6:$AI$505,"&lt;="&amp;$A108,実績!$AJ$6:$AJ$505,"&gt;"&amp;$A108,実績!$AL$6:$AL$505,"○")&gt;0,1,0))</f>
        <v>0</v>
      </c>
      <c r="AY108" s="39" t="n">
        <f aca="false">IF(AY$4=0,0,IF(COUNTIFS(実績!$W$6:$W$505,AY$3,実績!$AI$6:$AI$505,"&lt;="&amp;$A108,実績!$AJ$6:$AJ$505,"&gt;"&amp;$A108,実績!$AL$6:$AL$505,"○")&gt;0,1,0))</f>
        <v>0</v>
      </c>
      <c r="AZ108" s="39" t="n">
        <f aca="false">IF(AZ$4=0,0,IF(COUNTIFS(実績!$W$6:$W$505,AZ$3,実績!$AI$6:$AI$505,"&lt;="&amp;$A108,実績!$AJ$6:$AJ$505,"&gt;"&amp;$A108,実績!$AL$6:$AL$505,"○")&gt;0,1,0))</f>
        <v>0</v>
      </c>
      <c r="BA108" s="39" t="n">
        <f aca="false">IF(BA$4=0,0,IF(COUNTIFS(実績!$W$6:$W$505,BA$3,実績!$AI$6:$AI$505,"&lt;="&amp;$A108,実績!$AJ$6:$AJ$505,"&gt;"&amp;$A108,実績!$AL$6:$AL$505,"○")&gt;0,1,0))</f>
        <v>0</v>
      </c>
      <c r="BB108" s="39" t="n">
        <f aca="false">IF(BB$4=0,0,IF(COUNTIFS(実績!$W$6:$W$505,BB$3,実績!$AI$6:$AI$505,"&lt;="&amp;$A108,実績!$AJ$6:$AJ$505,"&gt;"&amp;$A108,実績!$AL$6:$AL$505,"○")&gt;0,1,0))</f>
        <v>0</v>
      </c>
      <c r="BC108" s="39" t="n">
        <f aca="false">IF(BC$4=0,0,IF(COUNTIFS(実績!$W$6:$W$505,BC$3,実績!$AI$6:$AI$505,"&lt;="&amp;$A108,実績!$AJ$6:$AJ$505,"&gt;"&amp;$A108,実績!$AL$6:$AL$505,"○")&gt;0,1,0))</f>
        <v>0</v>
      </c>
      <c r="BD108" s="39" t="n">
        <f aca="false">IF(BD$4=0,0,IF(COUNTIFS(実績!$W$6:$W$505,BD$3,実績!$AI$6:$AI$505,"&lt;="&amp;$A108,実績!$AJ$6:$AJ$505,"&gt;"&amp;$A108,実績!$AL$6:$AL$505,"○")&gt;0,1,0))</f>
        <v>0</v>
      </c>
      <c r="BE108" s="39" t="n">
        <f aca="false">IF(BE$4=0,0,IF(COUNTIFS(実績!$W$6:$W$505,BE$3,実績!$AI$6:$AI$505,"&lt;="&amp;$A108,実績!$AJ$6:$AJ$505,"&gt;"&amp;$A108,実績!$AL$6:$AL$505,"○")&gt;0,1,0))</f>
        <v>0</v>
      </c>
      <c r="BF108" s="39" t="n">
        <f aca="false">IF(BF$4=0,0,IF(COUNTIFS(実績!$W$6:$W$505,BF$3,実績!$AI$6:$AI$505,"&lt;="&amp;$A108,実績!$AJ$6:$AJ$505,"&gt;"&amp;$A108,実績!$AL$6:$AL$505,"○")&gt;0,1,0))</f>
        <v>0</v>
      </c>
      <c r="BG108" s="39" t="n">
        <f aca="false">IF(BG$4=0,0,IF(COUNTIFS(実績!$W$6:$W$505,BG$3,実績!$AI$6:$AI$505,"&lt;="&amp;$A108,実績!$AJ$6:$AJ$505,"&gt;"&amp;$A108,実績!$AL$6:$AL$505,"○")&gt;0,1,0))</f>
        <v>0</v>
      </c>
      <c r="BH108" s="39" t="n">
        <f aca="false">IF(BH$4=0,0,IF(COUNTIFS(実績!$W$6:$W$505,BH$3,実績!$AI$6:$AI$505,"&lt;="&amp;$A108,実績!$AJ$6:$AJ$505,"&gt;"&amp;$A108,実績!$AL$6:$AL$505,"○")&gt;0,1,0))</f>
        <v>0</v>
      </c>
      <c r="BI108" s="39" t="n">
        <f aca="false">IF(BI$4=0,0,IF(COUNTIFS(実績!$W$6:$W$505,BI$3,実績!$AI$6:$AI$505,"&lt;="&amp;$A108,実績!$AJ$6:$AJ$505,"&gt;"&amp;$A108,実績!$AL$6:$AL$505,"○")&gt;0,1,0))</f>
        <v>0</v>
      </c>
      <c r="BJ108" s="39" t="n">
        <f aca="false">IF(BJ$4=0,0,IF(COUNTIFS(実績!$W$6:$W$505,BJ$3,実績!$AI$6:$AI$505,"&lt;="&amp;$A108,実績!$AJ$6:$AJ$505,"&gt;"&amp;$A108,実績!$AL$6:$AL$505,"○")&gt;0,1,0))</f>
        <v>0</v>
      </c>
      <c r="BK108" s="39" t="n">
        <f aca="false">IF(BK$4=0,0,IF(COUNTIFS(実績!$W$6:$W$505,BK$3,実績!$AI$6:$AI$505,"&lt;="&amp;$A108,実績!$AJ$6:$AJ$505,"&gt;"&amp;$A108,実績!$AL$6:$AL$505,"○")&gt;0,1,0))</f>
        <v>0</v>
      </c>
      <c r="BL108" s="39" t="n">
        <f aca="false">IF(BL$4=0,0,IF(COUNTIFS(実績!$W$6:$W$505,BL$3,実績!$AI$6:$AI$505,"&lt;="&amp;$A108,実績!$AJ$6:$AJ$505,"&gt;"&amp;$A108,実績!$AL$6:$AL$505,"○")&gt;0,1,0))</f>
        <v>0</v>
      </c>
      <c r="BM108" s="39" t="n">
        <f aca="false">IF(BM$4=0,0,IF(COUNTIFS(実績!$W$6:$W$505,BM$3,実績!$AI$6:$AI$505,"&lt;="&amp;$A108,実績!$AJ$6:$AJ$505,"&gt;"&amp;$A108,実績!$AL$6:$AL$505,"○")&gt;0,1,0))</f>
        <v>0</v>
      </c>
      <c r="BN108" s="39" t="n">
        <f aca="false">IF(BN$4=0,0,IF(COUNTIFS(実績!$W$6:$W$505,BN$3,実績!$AI$6:$AI$505,"&lt;="&amp;$A108,実績!$AJ$6:$AJ$505,"&gt;"&amp;$A108,実績!$AL$6:$AL$505,"○")&gt;0,1,0))</f>
        <v>0</v>
      </c>
      <c r="BO108" s="39" t="n">
        <f aca="false">IF(BO$4=0,0,IF(COUNTIFS(実績!$W$6:$W$505,BO$3,実績!$AI$6:$AI$505,"&lt;="&amp;$A108,実績!$AJ$6:$AJ$505,"&gt;"&amp;$A108,実績!$AL$6:$AL$505,"○")&gt;0,1,0))</f>
        <v>0</v>
      </c>
      <c r="BP108" s="39" t="n">
        <f aca="false">IF(BP$4=0,0,IF(COUNTIFS(実績!$W$6:$W$505,BP$3,実績!$AI$6:$AI$505,"&lt;="&amp;$A108,実績!$AJ$6:$AJ$505,"&gt;"&amp;$A108,実績!$AL$6:$AL$505,"○")&gt;0,1,0))</f>
        <v>0</v>
      </c>
      <c r="BQ108" s="39" t="n">
        <f aca="false">IF(BQ$4=0,0,IF(COUNTIFS(実績!$W$6:$W$505,BQ$3,実績!$AI$6:$AI$505,"&lt;="&amp;$A108,実績!$AJ$6:$AJ$505,"&gt;"&amp;$A108,実績!$AL$6:$AL$505,"○")&gt;0,1,0))</f>
        <v>0</v>
      </c>
      <c r="BR108" s="39" t="n">
        <f aca="false">IF(BR$4=0,0,IF(COUNTIFS(実績!$W$6:$W$505,BR$3,実績!$AI$6:$AI$505,"&lt;="&amp;$A108,実績!$AJ$6:$AJ$505,"&gt;"&amp;$A108,実績!$AL$6:$AL$505,"○")&gt;0,1,0))</f>
        <v>0</v>
      </c>
      <c r="BS108" s="39" t="n">
        <f aca="false">IF(BS$4=0,0,IF(COUNTIFS(実績!$W$6:$W$505,BS$3,実績!$AI$6:$AI$505,"&lt;="&amp;$A108,実績!$AJ$6:$AJ$505,"&gt;"&amp;$A108,実績!$AL$6:$AL$505,"○")&gt;0,1,0))</f>
        <v>0</v>
      </c>
      <c r="BT108" s="39" t="n">
        <f aca="false">IF(BT$4=0,0,IF(COUNTIFS(実績!$W$6:$W$505,BT$3,実績!$AI$6:$AI$505,"&lt;="&amp;$A108,実績!$AJ$6:$AJ$505,"&gt;"&amp;$A108,実績!$AL$6:$AL$505,"○")&gt;0,1,0))</f>
        <v>0</v>
      </c>
      <c r="BU108" s="39" t="n">
        <f aca="false">IF(BU$4=0,0,IF(COUNTIFS(実績!$W$6:$W$505,BU$3,実績!$AI$6:$AI$505,"&lt;="&amp;$A108,実績!$AJ$6:$AJ$505,"&gt;"&amp;$A108,実績!$AL$6:$AL$505,"○")&gt;0,1,0))</f>
        <v>0</v>
      </c>
      <c r="BV108" s="39" t="n">
        <f aca="false">IF(BV$4=0,0,IF(COUNTIFS(実績!$W$6:$W$505,BV$3,実績!$AI$6:$AI$505,"&lt;="&amp;$A108,実績!$AJ$6:$AJ$505,"&gt;"&amp;$A108,実績!$AL$6:$AL$505,"○")&gt;0,1,0))</f>
        <v>0</v>
      </c>
      <c r="BW108" s="39" t="n">
        <f aca="false">IF(BW$4=0,0,IF(COUNTIFS(実績!$W$6:$W$505,BW$3,実績!$AI$6:$AI$505,"&lt;="&amp;$A108,実績!$AJ$6:$AJ$505,"&gt;"&amp;$A108,実績!$AL$6:$AL$505,"○")&gt;0,1,0))</f>
        <v>0</v>
      </c>
      <c r="BX108" s="39" t="n">
        <f aca="false">IF(BX$4=0,0,IF(COUNTIFS(実績!$W$6:$W$505,BX$3,実績!$AI$6:$AI$505,"&lt;="&amp;$A108,実績!$AJ$6:$AJ$505,"&gt;"&amp;$A108,実績!$AL$6:$AL$505,"○")&gt;0,1,0))</f>
        <v>0</v>
      </c>
      <c r="BY108" s="39" t="n">
        <f aca="false">IF(BY$4=0,0,IF(COUNTIFS(実績!$W$6:$W$505,BY$3,実績!$AI$6:$AI$505,"&lt;="&amp;$A108,実績!$AJ$6:$AJ$505,"&gt;"&amp;$A108,実績!$AL$6:$AL$505,"○")&gt;0,1,0))</f>
        <v>0</v>
      </c>
      <c r="BZ108" s="39" t="n">
        <f aca="false">IF(BZ$4=0,0,IF(COUNTIFS(実績!$W$6:$W$505,BZ$3,実績!$AI$6:$AI$505,"&lt;="&amp;$A108,実績!$AJ$6:$AJ$505,"&gt;"&amp;$A108,実績!$AL$6:$AL$505,"○")&gt;0,1,0))</f>
        <v>0</v>
      </c>
      <c r="CA108" s="39" t="n">
        <f aca="false">IF(CA$4=0,0,IF(COUNTIFS(実績!$W$6:$W$505,CA$3,実績!$AI$6:$AI$505,"&lt;="&amp;$A108,実績!$AJ$6:$AJ$505,"&gt;"&amp;$A108,実績!$AL$6:$AL$505,"○")&gt;0,1,0))</f>
        <v>0</v>
      </c>
      <c r="CB108" s="39" t="n">
        <f aca="false">IF(CB$4=0,0,IF(COUNTIFS(実績!$W$6:$W$505,CB$3,実績!$AI$6:$AI$505,"&lt;="&amp;$A108,実績!$AJ$6:$AJ$505,"&gt;"&amp;$A108,実績!$AL$6:$AL$505,"○")&gt;0,1,0))</f>
        <v>0</v>
      </c>
      <c r="CC108" s="39" t="n">
        <f aca="false">IF(CC$4=0,0,IF(COUNTIFS(実績!$W$6:$W$505,CC$3,実績!$AI$6:$AI$505,"&lt;="&amp;$A108,実績!$AJ$6:$AJ$505,"&gt;"&amp;$A108,実績!$AL$6:$AL$505,"○")&gt;0,1,0))</f>
        <v>0</v>
      </c>
      <c r="CD108" s="39" t="n">
        <f aca="false">IF(CD$4=0,0,IF(COUNTIFS(実績!$W$6:$W$505,CD$3,実績!$AI$6:$AI$505,"&lt;="&amp;$A108,実績!$AJ$6:$AJ$505,"&gt;"&amp;$A108,実績!$AL$6:$AL$505,"○")&gt;0,1,0))</f>
        <v>0</v>
      </c>
      <c r="CE108" s="39" t="n">
        <f aca="false">IF(CE$4=0,0,IF(COUNTIFS(実績!$W$6:$W$505,CE$3,実績!$AI$6:$AI$505,"&lt;="&amp;$A108,実績!$AJ$6:$AJ$505,"&gt;"&amp;$A108,実績!$AL$6:$AL$505,"○")&gt;0,1,0))</f>
        <v>0</v>
      </c>
      <c r="CF108" s="39" t="n">
        <f aca="false">IF(CF$4=0,0,IF(COUNTIFS(実績!$W$6:$W$505,CF$3,実績!$AI$6:$AI$505,"&lt;="&amp;$A108,実績!$AJ$6:$AJ$505,"&gt;"&amp;$A108,実績!$AL$6:$AL$505,"○")&gt;0,1,0))</f>
        <v>0</v>
      </c>
      <c r="CG108" s="39" t="n">
        <f aca="false">IF(CG$4=0,0,IF(COUNTIFS(実績!$W$6:$W$505,CG$3,実績!$AI$6:$AI$505,"&lt;="&amp;$A108,実績!$AJ$6:$AJ$505,"&gt;"&amp;$A108,実績!$AL$6:$AL$505,"○")&gt;0,1,0))</f>
        <v>0</v>
      </c>
      <c r="CH108" s="39" t="n">
        <f aca="false">IF(CH$4=0,0,IF(COUNTIFS(実績!$W$6:$W$505,CH$3,実績!$AI$6:$AI$505,"&lt;="&amp;$A108,実績!$AJ$6:$AJ$505,"&gt;"&amp;$A108,実績!$AL$6:$AL$505,"○")&gt;0,1,0))</f>
        <v>0</v>
      </c>
      <c r="CI108" s="39" t="n">
        <f aca="false">IF(CI$4=0,0,IF(COUNTIFS(実績!$W$6:$W$505,CI$3,実績!$AI$6:$AI$505,"&lt;="&amp;$A108,実績!$AJ$6:$AJ$505,"&gt;"&amp;$A108,実績!$AL$6:$AL$505,"○")&gt;0,1,0))</f>
        <v>0</v>
      </c>
      <c r="CJ108" s="39" t="n">
        <f aca="false">IF(CJ$4=0,0,IF(COUNTIFS(実績!$W$6:$W$505,CJ$3,実績!$AI$6:$AI$505,"&lt;="&amp;$A108,実績!$AJ$6:$AJ$505,"&gt;"&amp;$A108,実績!$AL$6:$AL$505,"○")&gt;0,1,0))</f>
        <v>0</v>
      </c>
      <c r="CK108" s="39" t="n">
        <f aca="false">IF(CK$4=0,0,IF(COUNTIFS(実績!$W$6:$W$505,CK$3,実績!$AI$6:$AI$505,"&lt;="&amp;$A108,実績!$AJ$6:$AJ$505,"&gt;"&amp;$A108,実績!$AL$6:$AL$505,"○")&gt;0,1,0))</f>
        <v>0</v>
      </c>
      <c r="CL108" s="39" t="n">
        <f aca="false">IF(CL$4=0,0,IF(COUNTIFS(実績!$W$6:$W$505,CL$3,実績!$AI$6:$AI$505,"&lt;="&amp;$A108,実績!$AJ$6:$AJ$505,"&gt;"&amp;$A108,実績!$AL$6:$AL$505,"○")&gt;0,1,0))</f>
        <v>0</v>
      </c>
      <c r="CM108" s="39" t="n">
        <f aca="false">IF(CM$4=0,0,IF(COUNTIFS(実績!$W$6:$W$505,CM$3,実績!$AI$6:$AI$505,"&lt;="&amp;$A108,実績!$AJ$6:$AJ$505,"&gt;"&amp;$A108,実績!$AL$6:$AL$505,"○")&gt;0,1,0))</f>
        <v>0</v>
      </c>
      <c r="CN108" s="39" t="n">
        <f aca="false">IF(CN$4=0,0,IF(COUNTIFS(実績!$W$6:$W$505,CN$3,実績!$AI$6:$AI$505,"&lt;="&amp;$A108,実績!$AJ$6:$AJ$505,"&gt;"&amp;$A108,実績!$AL$6:$AL$505,"○")&gt;0,1,0))</f>
        <v>0</v>
      </c>
      <c r="CO108" s="39" t="n">
        <f aca="false">IF(CO$4=0,0,IF(COUNTIFS(実績!$W$6:$W$505,CO$3,実績!$AI$6:$AI$505,"&lt;="&amp;$A108,実績!$AJ$6:$AJ$505,"&gt;"&amp;$A108,実績!$AL$6:$AL$505,"○")&gt;0,1,0))</f>
        <v>0</v>
      </c>
      <c r="CP108" s="39" t="n">
        <f aca="false">IF(CP$4=0,0,IF(COUNTIFS(実績!$W$6:$W$505,CP$3,実績!$AI$6:$AI$505,"&lt;="&amp;$A108,実績!$AJ$6:$AJ$505,"&gt;"&amp;$A108,実績!$AL$6:$AL$505,"○")&gt;0,1,0))</f>
        <v>0</v>
      </c>
      <c r="CQ108" s="39" t="n">
        <f aca="false">IF(CQ$4=0,0,IF(COUNTIFS(実績!$W$6:$W$505,CQ$3,実績!$AI$6:$AI$505,"&lt;="&amp;$A108,実績!$AJ$6:$AJ$505,"&gt;"&amp;$A108,実績!$AL$6:$AL$505,"○")&gt;0,1,0))</f>
        <v>0</v>
      </c>
      <c r="CR108" s="39" t="n">
        <f aca="false">IF(CR$4=0,0,IF(COUNTIFS(実績!$W$6:$W$505,CR$3,実績!$AI$6:$AI$505,"&lt;="&amp;$A108,実績!$AJ$6:$AJ$505,"&gt;"&amp;$A108,実績!$AL$6:$AL$505,"○")&gt;0,1,0))</f>
        <v>0</v>
      </c>
      <c r="CS108" s="39" t="n">
        <f aca="false">IF(CS$4=0,0,IF(COUNTIFS(実績!$W$6:$W$505,CS$3,実績!$AI$6:$AI$505,"&lt;="&amp;$A108,実績!$AJ$6:$AJ$505,"&gt;"&amp;$A108,実績!$AL$6:$AL$505,"○")&gt;0,1,0))</f>
        <v>0</v>
      </c>
      <c r="CT108" s="39" t="n">
        <f aca="false">IF(CT$4=0,0,IF(COUNTIFS(実績!$W$6:$W$505,CT$3,実績!$AI$6:$AI$505,"&lt;="&amp;$A108,実績!$AJ$6:$AJ$505,"&gt;"&amp;$A108,実績!$AL$6:$AL$505,"○")&gt;0,1,0))</f>
        <v>0</v>
      </c>
      <c r="CU108" s="39" t="n">
        <f aca="false">IF(CU$4=0,0,IF(COUNTIFS(実績!$W$6:$W$505,CU$3,実績!$AI$6:$AI$505,"&lt;="&amp;$A108,実績!$AJ$6:$AJ$505,"&gt;"&amp;$A108,実績!$AL$6:$AL$505,"○")&gt;0,1,0))</f>
        <v>0</v>
      </c>
      <c r="CV108" s="39" t="n">
        <f aca="false">IF(CV$4=0,0,IF(COUNTIFS(実績!$W$6:$W$505,CV$3,実績!$AI$6:$AI$505,"&lt;="&amp;$A108,実績!$AJ$6:$AJ$505,"&gt;"&amp;$A108,実績!$AL$6:$AL$505,"○")&gt;0,1,0))</f>
        <v>0</v>
      </c>
      <c r="CW108" s="39" t="n">
        <f aca="false">IF(CW$4=0,0,IF(COUNTIFS(実績!$W$6:$W$505,CW$3,実績!$AI$6:$AI$505,"&lt;="&amp;$A108,実績!$AJ$6:$AJ$505,"&gt;"&amp;$A108,実績!$AL$6:$AL$505,"○")&gt;0,1,0))</f>
        <v>0</v>
      </c>
      <c r="CX108" s="39" t="n">
        <f aca="false">IF(CX$4=0,0,IF(COUNTIFS(実績!$W$6:$W$505,CX$3,実績!$AI$6:$AI$505,"&lt;="&amp;$A108,実績!$AJ$6:$AJ$505,"&gt;"&amp;$A108,実績!$AL$6:$AL$505,"○")&gt;0,1,0))</f>
        <v>0</v>
      </c>
      <c r="CY108" s="39" t="n">
        <f aca="false">IF(CY$4=0,0,IF(COUNTIFS(実績!$W$6:$W$505,CY$3,実績!$AI$6:$AI$505,"&lt;="&amp;$A108,実績!$AJ$6:$AJ$505,"&gt;"&amp;$A108,実績!$AL$6:$AL$505,"○")&gt;0,1,0))</f>
        <v>0</v>
      </c>
      <c r="CZ108" s="39" t="n">
        <f aca="false">IF(CZ$4=0,0,IF(COUNTIFS(実績!$W$6:$W$505,CZ$3,実績!$AI$6:$AI$505,"&lt;="&amp;$A108,実績!$AJ$6:$AJ$505,"&gt;"&amp;$A108,実績!$AL$6:$AL$505,"○")&gt;0,1,0))</f>
        <v>0</v>
      </c>
      <c r="DA108" s="39" t="n">
        <f aca="false">IF(DA$4=0,0,IF(COUNTIFS(実績!$W$6:$W$505,DA$3,実績!$AI$6:$AI$505,"&lt;="&amp;$A108,実績!$AJ$6:$AJ$505,"&gt;"&amp;$A108,実績!$AL$6:$AL$505,"○")&gt;0,1,0))</f>
        <v>0</v>
      </c>
      <c r="DB108" s="39" t="n">
        <f aca="false">IF(DB$4=0,0,IF(COUNTIFS(実績!$W$6:$W$505,DB$3,実績!$AI$6:$AI$505,"&lt;="&amp;$A108,実績!$AJ$6:$AJ$505,"&gt;"&amp;$A108,実績!$AL$6:$AL$505,"○")&gt;0,1,0))</f>
        <v>0</v>
      </c>
      <c r="DC108" s="39" t="n">
        <f aca="false">IF(DC$4=0,0,IF(COUNTIFS(実績!$W$6:$W$505,DC$3,実績!$AI$6:$AI$505,"&lt;="&amp;$A108,実績!$AJ$6:$AJ$505,"&gt;"&amp;$A108,実績!$AL$6:$AL$505,"○")&gt;0,1,0))</f>
        <v>0</v>
      </c>
      <c r="DD108" s="39" t="n">
        <f aca="false">IF(DD$4=0,0,IF(COUNTIFS(実績!$W$6:$W$505,DD$3,実績!$AI$6:$AI$505,"&lt;="&amp;$A108,実績!$AJ$6:$AJ$505,"&gt;"&amp;$A108,実績!$AL$6:$AL$505,"○")&gt;0,1,0))</f>
        <v>0</v>
      </c>
      <c r="DE108" s="39" t="n">
        <f aca="false">IF(DE$4=0,0,IF(COUNTIFS(実績!$W$6:$W$505,DE$3,実績!$AI$6:$AI$505,"&lt;="&amp;$A108,実績!$AJ$6:$AJ$505,"&gt;"&amp;$A108,実績!$AL$6:$AL$505,"○")&gt;0,1,0))</f>
        <v>0</v>
      </c>
      <c r="DF108" s="39" t="n">
        <f aca="false">IF(DF$4=0,0,IF(COUNTIFS(実績!$W$6:$W$505,DF$3,実績!$AI$6:$AI$505,"&lt;="&amp;$A108,実績!$AJ$6:$AJ$505,"&gt;"&amp;$A108,実績!$AL$6:$AL$505,"○")&gt;0,1,0))</f>
        <v>0</v>
      </c>
      <c r="DG108" s="39" t="n">
        <f aca="false">IF(DG$4=0,0,IF(COUNTIFS(実績!$W$6:$W$505,DG$3,実績!$AI$6:$AI$505,"&lt;="&amp;$A108,実績!$AJ$6:$AJ$505,"&gt;"&amp;$A108,実績!$AL$6:$AL$505,"○")&gt;0,1,0))</f>
        <v>0</v>
      </c>
      <c r="DH108" s="39" t="n">
        <f aca="false">IF(DH$4=0,0,IF(COUNTIFS(実績!$W$6:$W$505,DH$3,実績!$AI$6:$AI$505,"&lt;="&amp;$A108,実績!$AJ$6:$AJ$505,"&gt;"&amp;$A108,実績!$AL$6:$AL$505,"○")&gt;0,1,0))</f>
        <v>0</v>
      </c>
      <c r="DI108" s="39" t="n">
        <f aca="false">IF(DI$4=0,0,IF(COUNTIFS(実績!$W$6:$W$505,DI$3,実績!$AI$6:$AI$505,"&lt;="&amp;$A108,実績!$AJ$6:$AJ$505,"&gt;"&amp;$A108,実績!$AL$6:$AL$505,"○")&gt;0,1,0))</f>
        <v>0</v>
      </c>
      <c r="DJ108" s="39" t="n">
        <f aca="false">IF(DJ$4=0,0,IF(COUNTIFS(実績!$W$6:$W$505,DJ$3,実績!$AI$6:$AI$505,"&lt;="&amp;$A108,実績!$AJ$6:$AJ$505,"&gt;"&amp;$A108,実績!$AL$6:$AL$505,"○")&gt;0,1,0))</f>
        <v>0</v>
      </c>
      <c r="DK108" s="39" t="n">
        <f aca="false">IF(DK$4=0,0,IF(COUNTIFS(実績!$W$6:$W$505,DK$3,実績!$AI$6:$AI$505,"&lt;="&amp;$A108,実績!$AJ$6:$AJ$505,"&gt;"&amp;$A108,実績!$AL$6:$AL$505,"○")&gt;0,1,0))</f>
        <v>0</v>
      </c>
      <c r="DL108" s="39" t="n">
        <f aca="false">IF(DL$4=0,0,IF(COUNTIFS(実績!$W$6:$W$505,DL$3,実績!$AI$6:$AI$505,"&lt;="&amp;$A108,実績!$AJ$6:$AJ$505,"&gt;"&amp;$A108,実績!$AL$6:$AL$505,"○")&gt;0,1,0))</f>
        <v>0</v>
      </c>
      <c r="DM108" s="39" t="n">
        <f aca="false">IF(DM$4=0,0,IF(COUNTIFS(実績!$W$6:$W$505,DM$3,実績!$AI$6:$AI$505,"&lt;="&amp;$A108,実績!$AJ$6:$AJ$505,"&gt;"&amp;$A108,実績!$AL$6:$AL$505,"○")&gt;0,1,0))</f>
        <v>0</v>
      </c>
      <c r="DN108" s="39" t="n">
        <f aca="false">IF(DN$4=0,0,IF(COUNTIFS(実績!$W$6:$W$505,DN$3,実績!$AI$6:$AI$505,"&lt;="&amp;$A108,実績!$AJ$6:$AJ$505,"&gt;"&amp;$A108,実績!$AL$6:$AL$505,"○")&gt;0,1,0))</f>
        <v>0</v>
      </c>
      <c r="DO108" s="39" t="n">
        <f aca="false">IF(DO$4=0,0,IF(COUNTIFS(実績!$W$6:$W$505,DO$3,実績!$AI$6:$AI$505,"&lt;="&amp;$A108,実績!$AJ$6:$AJ$505,"&gt;"&amp;$A108,実績!$AL$6:$AL$505,"○")&gt;0,1,0))</f>
        <v>0</v>
      </c>
      <c r="DP108" s="39" t="n">
        <f aca="false">IF(DP$4=0,0,IF(COUNTIFS(実績!$W$6:$W$505,DP$3,実績!$AI$6:$AI$505,"&lt;="&amp;$A108,実績!$AJ$6:$AJ$505,"&gt;"&amp;$A108,実績!$AL$6:$AL$505,"○")&gt;0,1,0))</f>
        <v>0</v>
      </c>
      <c r="DQ108" s="39" t="n">
        <f aca="false">IF(DQ$4=0,0,IF(COUNTIFS(実績!$W$6:$W$505,DQ$3,実績!$AI$6:$AI$505,"&lt;="&amp;$A108,実績!$AJ$6:$AJ$505,"&gt;"&amp;$A108,実績!$AL$6:$AL$505,"○")&gt;0,1,0))</f>
        <v>0</v>
      </c>
      <c r="DR108" s="39" t="n">
        <f aca="false">IF(DR$4=0,0,IF(COUNTIFS(実績!$W$6:$W$505,DR$3,実績!$AI$6:$AI$505,"&lt;="&amp;$A108,実績!$AJ$6:$AJ$505,"&gt;"&amp;$A108,実績!$AL$6:$AL$505,"○")&gt;0,1,0))</f>
        <v>0</v>
      </c>
      <c r="DS108" s="39" t="n">
        <f aca="false">SUM(C108:DR108)</f>
        <v>0</v>
      </c>
    </row>
    <row r="109" customFormat="false" ht="15" hidden="false" customHeight="false" outlineLevel="0" collapsed="false">
      <c r="A109" s="0" t="n">
        <v>515</v>
      </c>
      <c r="B109" s="38" t="n">
        <f aca="false">A109/1440</f>
        <v>0.357638888888889</v>
      </c>
      <c r="C109" s="39" t="n">
        <f aca="false">IF(C$4=0,0,IF(COUNTIFS(実績!$W$6:$W$505,C$3,実績!$AI$6:$AI$505,"&lt;="&amp;$A109,実績!$AJ$6:$AJ$505,"&gt;"&amp;$A109,実績!$AL$6:$AL$505,"○")&gt;0,1,0))</f>
        <v>0</v>
      </c>
      <c r="D109" s="39" t="n">
        <f aca="false">IF(D$4=0,0,IF(COUNTIFS(実績!$W$6:$W$505,D$3,実績!$AI$6:$AI$505,"&lt;="&amp;$A109,実績!$AJ$6:$AJ$505,"&gt;"&amp;$A109,実績!$AL$6:$AL$505,"○")&gt;0,1,0))</f>
        <v>0</v>
      </c>
      <c r="E109" s="39" t="n">
        <f aca="false">IF(E$4=0,0,IF(COUNTIFS(実績!$W$6:$W$505,E$3,実績!$AI$6:$AI$505,"&lt;="&amp;$A109,実績!$AJ$6:$AJ$505,"&gt;"&amp;$A109,実績!$AL$6:$AL$505,"○")&gt;0,1,0))</f>
        <v>0</v>
      </c>
      <c r="F109" s="39" t="n">
        <f aca="false">IF(F$4=0,0,IF(COUNTIFS(実績!$W$6:$W$505,F$3,実績!$AI$6:$AI$505,"&lt;="&amp;$A109,実績!$AJ$6:$AJ$505,"&gt;"&amp;$A109,実績!$AL$6:$AL$505,"○")&gt;0,1,0))</f>
        <v>0</v>
      </c>
      <c r="G109" s="39" t="n">
        <f aca="false">IF(G$4=0,0,IF(COUNTIFS(実績!$W$6:$W$505,G$3,実績!$AI$6:$AI$505,"&lt;="&amp;$A109,実績!$AJ$6:$AJ$505,"&gt;"&amp;$A109,実績!$AL$6:$AL$505,"○")&gt;0,1,0))</f>
        <v>0</v>
      </c>
      <c r="H109" s="39" t="n">
        <f aca="false">IF(H$4=0,0,IF(COUNTIFS(実績!$W$6:$W$505,H$3,実績!$AI$6:$AI$505,"&lt;="&amp;$A109,実績!$AJ$6:$AJ$505,"&gt;"&amp;$A109,実績!$AL$6:$AL$505,"○")&gt;0,1,0))</f>
        <v>0</v>
      </c>
      <c r="I109" s="39" t="n">
        <f aca="false">IF(I$4=0,0,IF(COUNTIFS(実績!$W$6:$W$505,I$3,実績!$AI$6:$AI$505,"&lt;="&amp;$A109,実績!$AJ$6:$AJ$505,"&gt;"&amp;$A109,実績!$AL$6:$AL$505,"○")&gt;0,1,0))</f>
        <v>0</v>
      </c>
      <c r="J109" s="39" t="n">
        <f aca="false">IF(J$4=0,0,IF(COUNTIFS(実績!$W$6:$W$505,J$3,実績!$AI$6:$AI$505,"&lt;="&amp;$A109,実績!$AJ$6:$AJ$505,"&gt;"&amp;$A109,実績!$AL$6:$AL$505,"○")&gt;0,1,0))</f>
        <v>0</v>
      </c>
      <c r="K109" s="39" t="n">
        <f aca="false">IF(K$4=0,0,IF(COUNTIFS(実績!$W$6:$W$505,K$3,実績!$AI$6:$AI$505,"&lt;="&amp;$A109,実績!$AJ$6:$AJ$505,"&gt;"&amp;$A109,実績!$AL$6:$AL$505,"○")&gt;0,1,0))</f>
        <v>0</v>
      </c>
      <c r="L109" s="39" t="n">
        <f aca="false">IF(L$4=0,0,IF(COUNTIFS(実績!$W$6:$W$505,L$3,実績!$AI$6:$AI$505,"&lt;="&amp;$A109,実績!$AJ$6:$AJ$505,"&gt;"&amp;$A109,実績!$AL$6:$AL$505,"○")&gt;0,1,0))</f>
        <v>0</v>
      </c>
      <c r="M109" s="39" t="n">
        <f aca="false">IF(M$4=0,0,IF(COUNTIFS(実績!$W$6:$W$505,M$3,実績!$AI$6:$AI$505,"&lt;="&amp;$A109,実績!$AJ$6:$AJ$505,"&gt;"&amp;$A109,実績!$AL$6:$AL$505,"○")&gt;0,1,0))</f>
        <v>0</v>
      </c>
      <c r="N109" s="39" t="n">
        <f aca="false">IF(N$4=0,0,IF(COUNTIFS(実績!$W$6:$W$505,N$3,実績!$AI$6:$AI$505,"&lt;="&amp;$A109,実績!$AJ$6:$AJ$505,"&gt;"&amp;$A109,実績!$AL$6:$AL$505,"○")&gt;0,1,0))</f>
        <v>0</v>
      </c>
      <c r="O109" s="39" t="n">
        <f aca="false">IF(O$4=0,0,IF(COUNTIFS(実績!$W$6:$W$505,O$3,実績!$AI$6:$AI$505,"&lt;="&amp;$A109,実績!$AJ$6:$AJ$505,"&gt;"&amp;$A109,実績!$AL$6:$AL$505,"○")&gt;0,1,0))</f>
        <v>0</v>
      </c>
      <c r="P109" s="39" t="n">
        <f aca="false">IF(P$4=0,0,IF(COUNTIFS(実績!$W$6:$W$505,P$3,実績!$AI$6:$AI$505,"&lt;="&amp;$A109,実績!$AJ$6:$AJ$505,"&gt;"&amp;$A109,実績!$AL$6:$AL$505,"○")&gt;0,1,0))</f>
        <v>0</v>
      </c>
      <c r="Q109" s="39" t="n">
        <f aca="false">IF(Q$4=0,0,IF(COUNTIFS(実績!$W$6:$W$505,Q$3,実績!$AI$6:$AI$505,"&lt;="&amp;$A109,実績!$AJ$6:$AJ$505,"&gt;"&amp;$A109,実績!$AL$6:$AL$505,"○")&gt;0,1,0))</f>
        <v>0</v>
      </c>
      <c r="R109" s="39" t="n">
        <f aca="false">IF(R$4=0,0,IF(COUNTIFS(実績!$W$6:$W$505,R$3,実績!$AI$6:$AI$505,"&lt;="&amp;$A109,実績!$AJ$6:$AJ$505,"&gt;"&amp;$A109,実績!$AL$6:$AL$505,"○")&gt;0,1,0))</f>
        <v>0</v>
      </c>
      <c r="S109" s="39" t="n">
        <f aca="false">IF(S$4=0,0,IF(COUNTIFS(実績!$W$6:$W$505,S$3,実績!$AI$6:$AI$505,"&lt;="&amp;$A109,実績!$AJ$6:$AJ$505,"&gt;"&amp;$A109,実績!$AL$6:$AL$505,"○")&gt;0,1,0))</f>
        <v>0</v>
      </c>
      <c r="T109" s="39" t="n">
        <f aca="false">IF(T$4=0,0,IF(COUNTIFS(実績!$W$6:$W$505,T$3,実績!$AI$6:$AI$505,"&lt;="&amp;$A109,実績!$AJ$6:$AJ$505,"&gt;"&amp;$A109,実績!$AL$6:$AL$505,"○")&gt;0,1,0))</f>
        <v>0</v>
      </c>
      <c r="U109" s="39" t="n">
        <f aca="false">IF(U$4=0,0,IF(COUNTIFS(実績!$W$6:$W$505,U$3,実績!$AI$6:$AI$505,"&lt;="&amp;$A109,実績!$AJ$6:$AJ$505,"&gt;"&amp;$A109,実績!$AL$6:$AL$505,"○")&gt;0,1,0))</f>
        <v>0</v>
      </c>
      <c r="V109" s="39" t="n">
        <f aca="false">IF(V$4=0,0,IF(COUNTIFS(実績!$W$6:$W$505,V$3,実績!$AI$6:$AI$505,"&lt;="&amp;$A109,実績!$AJ$6:$AJ$505,"&gt;"&amp;$A109,実績!$AL$6:$AL$505,"○")&gt;0,1,0))</f>
        <v>0</v>
      </c>
      <c r="W109" s="39" t="n">
        <f aca="false">IF(W$4=0,0,IF(COUNTIFS(実績!$W$6:$W$505,W$3,実績!$AI$6:$AI$505,"&lt;="&amp;$A109,実績!$AJ$6:$AJ$505,"&gt;"&amp;$A109,実績!$AL$6:$AL$505,"○")&gt;0,1,0))</f>
        <v>0</v>
      </c>
      <c r="X109" s="39" t="n">
        <f aca="false">IF(X$4=0,0,IF(COUNTIFS(実績!$W$6:$W$505,X$3,実績!$AI$6:$AI$505,"&lt;="&amp;$A109,実績!$AJ$6:$AJ$505,"&gt;"&amp;$A109,実績!$AL$6:$AL$505,"○")&gt;0,1,0))</f>
        <v>0</v>
      </c>
      <c r="Y109" s="39" t="n">
        <f aca="false">IF(Y$4=0,0,IF(COUNTIFS(実績!$W$6:$W$505,Y$3,実績!$AI$6:$AI$505,"&lt;="&amp;$A109,実績!$AJ$6:$AJ$505,"&gt;"&amp;$A109,実績!$AL$6:$AL$505,"○")&gt;0,1,0))</f>
        <v>0</v>
      </c>
      <c r="Z109" s="39" t="n">
        <f aca="false">IF(Z$4=0,0,IF(COUNTIFS(実績!$W$6:$W$505,Z$3,実績!$AI$6:$AI$505,"&lt;="&amp;$A109,実績!$AJ$6:$AJ$505,"&gt;"&amp;$A109,実績!$AL$6:$AL$505,"○")&gt;0,1,0))</f>
        <v>0</v>
      </c>
      <c r="AA109" s="39" t="n">
        <f aca="false">IF(AA$4=0,0,IF(COUNTIFS(実績!$W$6:$W$505,AA$3,実績!$AI$6:$AI$505,"&lt;="&amp;$A109,実績!$AJ$6:$AJ$505,"&gt;"&amp;$A109,実績!$AL$6:$AL$505,"○")&gt;0,1,0))</f>
        <v>0</v>
      </c>
      <c r="AB109" s="39" t="n">
        <f aca="false">IF(AB$4=0,0,IF(COUNTIFS(実績!$W$6:$W$505,AB$3,実績!$AI$6:$AI$505,"&lt;="&amp;$A109,実績!$AJ$6:$AJ$505,"&gt;"&amp;$A109,実績!$AL$6:$AL$505,"○")&gt;0,1,0))</f>
        <v>0</v>
      </c>
      <c r="AC109" s="39" t="n">
        <f aca="false">IF(AC$4=0,0,IF(COUNTIFS(実績!$W$6:$W$505,AC$3,実績!$AI$6:$AI$505,"&lt;="&amp;$A109,実績!$AJ$6:$AJ$505,"&gt;"&amp;$A109,実績!$AL$6:$AL$505,"○")&gt;0,1,0))</f>
        <v>0</v>
      </c>
      <c r="AD109" s="39" t="n">
        <f aca="false">IF(AD$4=0,0,IF(COUNTIFS(実績!$W$6:$W$505,AD$3,実績!$AI$6:$AI$505,"&lt;="&amp;$A109,実績!$AJ$6:$AJ$505,"&gt;"&amp;$A109,実績!$AL$6:$AL$505,"○")&gt;0,1,0))</f>
        <v>0</v>
      </c>
      <c r="AE109" s="39" t="n">
        <f aca="false">IF(AE$4=0,0,IF(COUNTIFS(実績!$W$6:$W$505,AE$3,実績!$AI$6:$AI$505,"&lt;="&amp;$A109,実績!$AJ$6:$AJ$505,"&gt;"&amp;$A109,実績!$AL$6:$AL$505,"○")&gt;0,1,0))</f>
        <v>0</v>
      </c>
      <c r="AF109" s="39" t="n">
        <f aca="false">IF(AF$4=0,0,IF(COUNTIFS(実績!$W$6:$W$505,AF$3,実績!$AI$6:$AI$505,"&lt;="&amp;$A109,実績!$AJ$6:$AJ$505,"&gt;"&amp;$A109,実績!$AL$6:$AL$505,"○")&gt;0,1,0))</f>
        <v>0</v>
      </c>
      <c r="AG109" s="39" t="n">
        <f aca="false">IF(AG$4=0,0,IF(COUNTIFS(実績!$W$6:$W$505,AG$3,実績!$AI$6:$AI$505,"&lt;="&amp;$A109,実績!$AJ$6:$AJ$505,"&gt;"&amp;$A109,実績!$AL$6:$AL$505,"○")&gt;0,1,0))</f>
        <v>0</v>
      </c>
      <c r="AH109" s="39" t="n">
        <f aca="false">IF(AH$4=0,0,IF(COUNTIFS(実績!$W$6:$W$505,AH$3,実績!$AI$6:$AI$505,"&lt;="&amp;$A109,実績!$AJ$6:$AJ$505,"&gt;"&amp;$A109,実績!$AL$6:$AL$505,"○")&gt;0,1,0))</f>
        <v>0</v>
      </c>
      <c r="AI109" s="39" t="n">
        <f aca="false">IF(AI$4=0,0,IF(COUNTIFS(実績!$W$6:$W$505,AI$3,実績!$AI$6:$AI$505,"&lt;="&amp;$A109,実績!$AJ$6:$AJ$505,"&gt;"&amp;$A109,実績!$AL$6:$AL$505,"○")&gt;0,1,0))</f>
        <v>0</v>
      </c>
      <c r="AJ109" s="39" t="n">
        <f aca="false">IF(AJ$4=0,0,IF(COUNTIFS(実績!$W$6:$W$505,AJ$3,実績!$AI$6:$AI$505,"&lt;="&amp;$A109,実績!$AJ$6:$AJ$505,"&gt;"&amp;$A109,実績!$AL$6:$AL$505,"○")&gt;0,1,0))</f>
        <v>0</v>
      </c>
      <c r="AK109" s="39" t="n">
        <f aca="false">IF(AK$4=0,0,IF(COUNTIFS(実績!$W$6:$W$505,AK$3,実績!$AI$6:$AI$505,"&lt;="&amp;$A109,実績!$AJ$6:$AJ$505,"&gt;"&amp;$A109,実績!$AL$6:$AL$505,"○")&gt;0,1,0))</f>
        <v>0</v>
      </c>
      <c r="AL109" s="39" t="n">
        <f aca="false">IF(AL$4=0,0,IF(COUNTIFS(実績!$W$6:$W$505,AL$3,実績!$AI$6:$AI$505,"&lt;="&amp;$A109,実績!$AJ$6:$AJ$505,"&gt;"&amp;$A109,実績!$AL$6:$AL$505,"○")&gt;0,1,0))</f>
        <v>0</v>
      </c>
      <c r="AM109" s="39" t="n">
        <f aca="false">IF(AM$4=0,0,IF(COUNTIFS(実績!$W$6:$W$505,AM$3,実績!$AI$6:$AI$505,"&lt;="&amp;$A109,実績!$AJ$6:$AJ$505,"&gt;"&amp;$A109,実績!$AL$6:$AL$505,"○")&gt;0,1,0))</f>
        <v>0</v>
      </c>
      <c r="AN109" s="39" t="n">
        <f aca="false">IF(AN$4=0,0,IF(COUNTIFS(実績!$W$6:$W$505,AN$3,実績!$AI$6:$AI$505,"&lt;="&amp;$A109,実績!$AJ$6:$AJ$505,"&gt;"&amp;$A109,実績!$AL$6:$AL$505,"○")&gt;0,1,0))</f>
        <v>0</v>
      </c>
      <c r="AO109" s="39" t="n">
        <f aca="false">IF(AO$4=0,0,IF(COUNTIFS(実績!$W$6:$W$505,AO$3,実績!$AI$6:$AI$505,"&lt;="&amp;$A109,実績!$AJ$6:$AJ$505,"&gt;"&amp;$A109,実績!$AL$6:$AL$505,"○")&gt;0,1,0))</f>
        <v>0</v>
      </c>
      <c r="AP109" s="39" t="n">
        <f aca="false">IF(AP$4=0,0,IF(COUNTIFS(実績!$W$6:$W$505,AP$3,実績!$AI$6:$AI$505,"&lt;="&amp;$A109,実績!$AJ$6:$AJ$505,"&gt;"&amp;$A109,実績!$AL$6:$AL$505,"○")&gt;0,1,0))</f>
        <v>0</v>
      </c>
      <c r="AQ109" s="39" t="n">
        <f aca="false">IF(AQ$4=0,0,IF(COUNTIFS(実績!$W$6:$W$505,AQ$3,実績!$AI$6:$AI$505,"&lt;="&amp;$A109,実績!$AJ$6:$AJ$505,"&gt;"&amp;$A109,実績!$AL$6:$AL$505,"○")&gt;0,1,0))</f>
        <v>0</v>
      </c>
      <c r="AR109" s="39" t="n">
        <f aca="false">IF(AR$4=0,0,IF(COUNTIFS(実績!$W$6:$W$505,AR$3,実績!$AI$6:$AI$505,"&lt;="&amp;$A109,実績!$AJ$6:$AJ$505,"&gt;"&amp;$A109,実績!$AL$6:$AL$505,"○")&gt;0,1,0))</f>
        <v>0</v>
      </c>
      <c r="AS109" s="39" t="n">
        <f aca="false">IF(AS$4=0,0,IF(COUNTIFS(実績!$W$6:$W$505,AS$3,実績!$AI$6:$AI$505,"&lt;="&amp;$A109,実績!$AJ$6:$AJ$505,"&gt;"&amp;$A109,実績!$AL$6:$AL$505,"○")&gt;0,1,0))</f>
        <v>0</v>
      </c>
      <c r="AT109" s="39" t="n">
        <f aca="false">IF(AT$4=0,0,IF(COUNTIFS(実績!$W$6:$W$505,AT$3,実績!$AI$6:$AI$505,"&lt;="&amp;$A109,実績!$AJ$6:$AJ$505,"&gt;"&amp;$A109,実績!$AL$6:$AL$505,"○")&gt;0,1,0))</f>
        <v>0</v>
      </c>
      <c r="AU109" s="39" t="n">
        <f aca="false">IF(AU$4=0,0,IF(COUNTIFS(実績!$W$6:$W$505,AU$3,実績!$AI$6:$AI$505,"&lt;="&amp;$A109,実績!$AJ$6:$AJ$505,"&gt;"&amp;$A109,実績!$AL$6:$AL$505,"○")&gt;0,1,0))</f>
        <v>0</v>
      </c>
      <c r="AV109" s="39" t="n">
        <f aca="false">IF(AV$4=0,0,IF(COUNTIFS(実績!$W$6:$W$505,AV$3,実績!$AI$6:$AI$505,"&lt;="&amp;$A109,実績!$AJ$6:$AJ$505,"&gt;"&amp;$A109,実績!$AL$6:$AL$505,"○")&gt;0,1,0))</f>
        <v>0</v>
      </c>
      <c r="AW109" s="39" t="n">
        <f aca="false">IF(AW$4=0,0,IF(COUNTIFS(実績!$W$6:$W$505,AW$3,実績!$AI$6:$AI$505,"&lt;="&amp;$A109,実績!$AJ$6:$AJ$505,"&gt;"&amp;$A109,実績!$AL$6:$AL$505,"○")&gt;0,1,0))</f>
        <v>0</v>
      </c>
      <c r="AX109" s="39" t="n">
        <f aca="false">IF(AX$4=0,0,IF(COUNTIFS(実績!$W$6:$W$505,AX$3,実績!$AI$6:$AI$505,"&lt;="&amp;$A109,実績!$AJ$6:$AJ$505,"&gt;"&amp;$A109,実績!$AL$6:$AL$505,"○")&gt;0,1,0))</f>
        <v>0</v>
      </c>
      <c r="AY109" s="39" t="n">
        <f aca="false">IF(AY$4=0,0,IF(COUNTIFS(実績!$W$6:$W$505,AY$3,実績!$AI$6:$AI$505,"&lt;="&amp;$A109,実績!$AJ$6:$AJ$505,"&gt;"&amp;$A109,実績!$AL$6:$AL$505,"○")&gt;0,1,0))</f>
        <v>0</v>
      </c>
      <c r="AZ109" s="39" t="n">
        <f aca="false">IF(AZ$4=0,0,IF(COUNTIFS(実績!$W$6:$W$505,AZ$3,実績!$AI$6:$AI$505,"&lt;="&amp;$A109,実績!$AJ$6:$AJ$505,"&gt;"&amp;$A109,実績!$AL$6:$AL$505,"○")&gt;0,1,0))</f>
        <v>0</v>
      </c>
      <c r="BA109" s="39" t="n">
        <f aca="false">IF(BA$4=0,0,IF(COUNTIFS(実績!$W$6:$W$505,BA$3,実績!$AI$6:$AI$505,"&lt;="&amp;$A109,実績!$AJ$6:$AJ$505,"&gt;"&amp;$A109,実績!$AL$6:$AL$505,"○")&gt;0,1,0))</f>
        <v>0</v>
      </c>
      <c r="BB109" s="39" t="n">
        <f aca="false">IF(BB$4=0,0,IF(COUNTIFS(実績!$W$6:$W$505,BB$3,実績!$AI$6:$AI$505,"&lt;="&amp;$A109,実績!$AJ$6:$AJ$505,"&gt;"&amp;$A109,実績!$AL$6:$AL$505,"○")&gt;0,1,0))</f>
        <v>0</v>
      </c>
      <c r="BC109" s="39" t="n">
        <f aca="false">IF(BC$4=0,0,IF(COUNTIFS(実績!$W$6:$W$505,BC$3,実績!$AI$6:$AI$505,"&lt;="&amp;$A109,実績!$AJ$6:$AJ$505,"&gt;"&amp;$A109,実績!$AL$6:$AL$505,"○")&gt;0,1,0))</f>
        <v>0</v>
      </c>
      <c r="BD109" s="39" t="n">
        <f aca="false">IF(BD$4=0,0,IF(COUNTIFS(実績!$W$6:$W$505,BD$3,実績!$AI$6:$AI$505,"&lt;="&amp;$A109,実績!$AJ$6:$AJ$505,"&gt;"&amp;$A109,実績!$AL$6:$AL$505,"○")&gt;0,1,0))</f>
        <v>0</v>
      </c>
      <c r="BE109" s="39" t="n">
        <f aca="false">IF(BE$4=0,0,IF(COUNTIFS(実績!$W$6:$W$505,BE$3,実績!$AI$6:$AI$505,"&lt;="&amp;$A109,実績!$AJ$6:$AJ$505,"&gt;"&amp;$A109,実績!$AL$6:$AL$505,"○")&gt;0,1,0))</f>
        <v>0</v>
      </c>
      <c r="BF109" s="39" t="n">
        <f aca="false">IF(BF$4=0,0,IF(COUNTIFS(実績!$W$6:$W$505,BF$3,実績!$AI$6:$AI$505,"&lt;="&amp;$A109,実績!$AJ$6:$AJ$505,"&gt;"&amp;$A109,実績!$AL$6:$AL$505,"○")&gt;0,1,0))</f>
        <v>0</v>
      </c>
      <c r="BG109" s="39" t="n">
        <f aca="false">IF(BG$4=0,0,IF(COUNTIFS(実績!$W$6:$W$505,BG$3,実績!$AI$6:$AI$505,"&lt;="&amp;$A109,実績!$AJ$6:$AJ$505,"&gt;"&amp;$A109,実績!$AL$6:$AL$505,"○")&gt;0,1,0))</f>
        <v>0</v>
      </c>
      <c r="BH109" s="39" t="n">
        <f aca="false">IF(BH$4=0,0,IF(COUNTIFS(実績!$W$6:$W$505,BH$3,実績!$AI$6:$AI$505,"&lt;="&amp;$A109,実績!$AJ$6:$AJ$505,"&gt;"&amp;$A109,実績!$AL$6:$AL$505,"○")&gt;0,1,0))</f>
        <v>0</v>
      </c>
      <c r="BI109" s="39" t="n">
        <f aca="false">IF(BI$4=0,0,IF(COUNTIFS(実績!$W$6:$W$505,BI$3,実績!$AI$6:$AI$505,"&lt;="&amp;$A109,実績!$AJ$6:$AJ$505,"&gt;"&amp;$A109,実績!$AL$6:$AL$505,"○")&gt;0,1,0))</f>
        <v>0</v>
      </c>
      <c r="BJ109" s="39" t="n">
        <f aca="false">IF(BJ$4=0,0,IF(COUNTIFS(実績!$W$6:$W$505,BJ$3,実績!$AI$6:$AI$505,"&lt;="&amp;$A109,実績!$AJ$6:$AJ$505,"&gt;"&amp;$A109,実績!$AL$6:$AL$505,"○")&gt;0,1,0))</f>
        <v>0</v>
      </c>
      <c r="BK109" s="39" t="n">
        <f aca="false">IF(BK$4=0,0,IF(COUNTIFS(実績!$W$6:$W$505,BK$3,実績!$AI$6:$AI$505,"&lt;="&amp;$A109,実績!$AJ$6:$AJ$505,"&gt;"&amp;$A109,実績!$AL$6:$AL$505,"○")&gt;0,1,0))</f>
        <v>0</v>
      </c>
      <c r="BL109" s="39" t="n">
        <f aca="false">IF(BL$4=0,0,IF(COUNTIFS(実績!$W$6:$W$505,BL$3,実績!$AI$6:$AI$505,"&lt;="&amp;$A109,実績!$AJ$6:$AJ$505,"&gt;"&amp;$A109,実績!$AL$6:$AL$505,"○")&gt;0,1,0))</f>
        <v>0</v>
      </c>
      <c r="BM109" s="39" t="n">
        <f aca="false">IF(BM$4=0,0,IF(COUNTIFS(実績!$W$6:$W$505,BM$3,実績!$AI$6:$AI$505,"&lt;="&amp;$A109,実績!$AJ$6:$AJ$505,"&gt;"&amp;$A109,実績!$AL$6:$AL$505,"○")&gt;0,1,0))</f>
        <v>0</v>
      </c>
      <c r="BN109" s="39" t="n">
        <f aca="false">IF(BN$4=0,0,IF(COUNTIFS(実績!$W$6:$W$505,BN$3,実績!$AI$6:$AI$505,"&lt;="&amp;$A109,実績!$AJ$6:$AJ$505,"&gt;"&amp;$A109,実績!$AL$6:$AL$505,"○")&gt;0,1,0))</f>
        <v>0</v>
      </c>
      <c r="BO109" s="39" t="n">
        <f aca="false">IF(BO$4=0,0,IF(COUNTIFS(実績!$W$6:$W$505,BO$3,実績!$AI$6:$AI$505,"&lt;="&amp;$A109,実績!$AJ$6:$AJ$505,"&gt;"&amp;$A109,実績!$AL$6:$AL$505,"○")&gt;0,1,0))</f>
        <v>0</v>
      </c>
      <c r="BP109" s="39" t="n">
        <f aca="false">IF(BP$4=0,0,IF(COUNTIFS(実績!$W$6:$W$505,BP$3,実績!$AI$6:$AI$505,"&lt;="&amp;$A109,実績!$AJ$6:$AJ$505,"&gt;"&amp;$A109,実績!$AL$6:$AL$505,"○")&gt;0,1,0))</f>
        <v>0</v>
      </c>
      <c r="BQ109" s="39" t="n">
        <f aca="false">IF(BQ$4=0,0,IF(COUNTIFS(実績!$W$6:$W$505,BQ$3,実績!$AI$6:$AI$505,"&lt;="&amp;$A109,実績!$AJ$6:$AJ$505,"&gt;"&amp;$A109,実績!$AL$6:$AL$505,"○")&gt;0,1,0))</f>
        <v>0</v>
      </c>
      <c r="BR109" s="39" t="n">
        <f aca="false">IF(BR$4=0,0,IF(COUNTIFS(実績!$W$6:$W$505,BR$3,実績!$AI$6:$AI$505,"&lt;="&amp;$A109,実績!$AJ$6:$AJ$505,"&gt;"&amp;$A109,実績!$AL$6:$AL$505,"○")&gt;0,1,0))</f>
        <v>0</v>
      </c>
      <c r="BS109" s="39" t="n">
        <f aca="false">IF(BS$4=0,0,IF(COUNTIFS(実績!$W$6:$W$505,BS$3,実績!$AI$6:$AI$505,"&lt;="&amp;$A109,実績!$AJ$6:$AJ$505,"&gt;"&amp;$A109,実績!$AL$6:$AL$505,"○")&gt;0,1,0))</f>
        <v>0</v>
      </c>
      <c r="BT109" s="39" t="n">
        <f aca="false">IF(BT$4=0,0,IF(COUNTIFS(実績!$W$6:$W$505,BT$3,実績!$AI$6:$AI$505,"&lt;="&amp;$A109,実績!$AJ$6:$AJ$505,"&gt;"&amp;$A109,実績!$AL$6:$AL$505,"○")&gt;0,1,0))</f>
        <v>0</v>
      </c>
      <c r="BU109" s="39" t="n">
        <f aca="false">IF(BU$4=0,0,IF(COUNTIFS(実績!$W$6:$W$505,BU$3,実績!$AI$6:$AI$505,"&lt;="&amp;$A109,実績!$AJ$6:$AJ$505,"&gt;"&amp;$A109,実績!$AL$6:$AL$505,"○")&gt;0,1,0))</f>
        <v>0</v>
      </c>
      <c r="BV109" s="39" t="n">
        <f aca="false">IF(BV$4=0,0,IF(COUNTIFS(実績!$W$6:$W$505,BV$3,実績!$AI$6:$AI$505,"&lt;="&amp;$A109,実績!$AJ$6:$AJ$505,"&gt;"&amp;$A109,実績!$AL$6:$AL$505,"○")&gt;0,1,0))</f>
        <v>0</v>
      </c>
      <c r="BW109" s="39" t="n">
        <f aca="false">IF(BW$4=0,0,IF(COUNTIFS(実績!$W$6:$W$505,BW$3,実績!$AI$6:$AI$505,"&lt;="&amp;$A109,実績!$AJ$6:$AJ$505,"&gt;"&amp;$A109,実績!$AL$6:$AL$505,"○")&gt;0,1,0))</f>
        <v>0</v>
      </c>
      <c r="BX109" s="39" t="n">
        <f aca="false">IF(BX$4=0,0,IF(COUNTIFS(実績!$W$6:$W$505,BX$3,実績!$AI$6:$AI$505,"&lt;="&amp;$A109,実績!$AJ$6:$AJ$505,"&gt;"&amp;$A109,実績!$AL$6:$AL$505,"○")&gt;0,1,0))</f>
        <v>0</v>
      </c>
      <c r="BY109" s="39" t="n">
        <f aca="false">IF(BY$4=0,0,IF(COUNTIFS(実績!$W$6:$W$505,BY$3,実績!$AI$6:$AI$505,"&lt;="&amp;$A109,実績!$AJ$6:$AJ$505,"&gt;"&amp;$A109,実績!$AL$6:$AL$505,"○")&gt;0,1,0))</f>
        <v>0</v>
      </c>
      <c r="BZ109" s="39" t="n">
        <f aca="false">IF(BZ$4=0,0,IF(COUNTIFS(実績!$W$6:$W$505,BZ$3,実績!$AI$6:$AI$505,"&lt;="&amp;$A109,実績!$AJ$6:$AJ$505,"&gt;"&amp;$A109,実績!$AL$6:$AL$505,"○")&gt;0,1,0))</f>
        <v>0</v>
      </c>
      <c r="CA109" s="39" t="n">
        <f aca="false">IF(CA$4=0,0,IF(COUNTIFS(実績!$W$6:$W$505,CA$3,実績!$AI$6:$AI$505,"&lt;="&amp;$A109,実績!$AJ$6:$AJ$505,"&gt;"&amp;$A109,実績!$AL$6:$AL$505,"○")&gt;0,1,0))</f>
        <v>0</v>
      </c>
      <c r="CB109" s="39" t="n">
        <f aca="false">IF(CB$4=0,0,IF(COUNTIFS(実績!$W$6:$W$505,CB$3,実績!$AI$6:$AI$505,"&lt;="&amp;$A109,実績!$AJ$6:$AJ$505,"&gt;"&amp;$A109,実績!$AL$6:$AL$505,"○")&gt;0,1,0))</f>
        <v>0</v>
      </c>
      <c r="CC109" s="39" t="n">
        <f aca="false">IF(CC$4=0,0,IF(COUNTIFS(実績!$W$6:$W$505,CC$3,実績!$AI$6:$AI$505,"&lt;="&amp;$A109,実績!$AJ$6:$AJ$505,"&gt;"&amp;$A109,実績!$AL$6:$AL$505,"○")&gt;0,1,0))</f>
        <v>0</v>
      </c>
      <c r="CD109" s="39" t="n">
        <f aca="false">IF(CD$4=0,0,IF(COUNTIFS(実績!$W$6:$W$505,CD$3,実績!$AI$6:$AI$505,"&lt;="&amp;$A109,実績!$AJ$6:$AJ$505,"&gt;"&amp;$A109,実績!$AL$6:$AL$505,"○")&gt;0,1,0))</f>
        <v>0</v>
      </c>
      <c r="CE109" s="39" t="n">
        <f aca="false">IF(CE$4=0,0,IF(COUNTIFS(実績!$W$6:$W$505,CE$3,実績!$AI$6:$AI$505,"&lt;="&amp;$A109,実績!$AJ$6:$AJ$505,"&gt;"&amp;$A109,実績!$AL$6:$AL$505,"○")&gt;0,1,0))</f>
        <v>0</v>
      </c>
      <c r="CF109" s="39" t="n">
        <f aca="false">IF(CF$4=0,0,IF(COUNTIFS(実績!$W$6:$W$505,CF$3,実績!$AI$6:$AI$505,"&lt;="&amp;$A109,実績!$AJ$6:$AJ$505,"&gt;"&amp;$A109,実績!$AL$6:$AL$505,"○")&gt;0,1,0))</f>
        <v>0</v>
      </c>
      <c r="CG109" s="39" t="n">
        <f aca="false">IF(CG$4=0,0,IF(COUNTIFS(実績!$W$6:$W$505,CG$3,実績!$AI$6:$AI$505,"&lt;="&amp;$A109,実績!$AJ$6:$AJ$505,"&gt;"&amp;$A109,実績!$AL$6:$AL$505,"○")&gt;0,1,0))</f>
        <v>0</v>
      </c>
      <c r="CH109" s="39" t="n">
        <f aca="false">IF(CH$4=0,0,IF(COUNTIFS(実績!$W$6:$W$505,CH$3,実績!$AI$6:$AI$505,"&lt;="&amp;$A109,実績!$AJ$6:$AJ$505,"&gt;"&amp;$A109,実績!$AL$6:$AL$505,"○")&gt;0,1,0))</f>
        <v>0</v>
      </c>
      <c r="CI109" s="39" t="n">
        <f aca="false">IF(CI$4=0,0,IF(COUNTIFS(実績!$W$6:$W$505,CI$3,実績!$AI$6:$AI$505,"&lt;="&amp;$A109,実績!$AJ$6:$AJ$505,"&gt;"&amp;$A109,実績!$AL$6:$AL$505,"○")&gt;0,1,0))</f>
        <v>0</v>
      </c>
      <c r="CJ109" s="39" t="n">
        <f aca="false">IF(CJ$4=0,0,IF(COUNTIFS(実績!$W$6:$W$505,CJ$3,実績!$AI$6:$AI$505,"&lt;="&amp;$A109,実績!$AJ$6:$AJ$505,"&gt;"&amp;$A109,実績!$AL$6:$AL$505,"○")&gt;0,1,0))</f>
        <v>0</v>
      </c>
      <c r="CK109" s="39" t="n">
        <f aca="false">IF(CK$4=0,0,IF(COUNTIFS(実績!$W$6:$W$505,CK$3,実績!$AI$6:$AI$505,"&lt;="&amp;$A109,実績!$AJ$6:$AJ$505,"&gt;"&amp;$A109,実績!$AL$6:$AL$505,"○")&gt;0,1,0))</f>
        <v>0</v>
      </c>
      <c r="CL109" s="39" t="n">
        <f aca="false">IF(CL$4=0,0,IF(COUNTIFS(実績!$W$6:$W$505,CL$3,実績!$AI$6:$AI$505,"&lt;="&amp;$A109,実績!$AJ$6:$AJ$505,"&gt;"&amp;$A109,実績!$AL$6:$AL$505,"○")&gt;0,1,0))</f>
        <v>0</v>
      </c>
      <c r="CM109" s="39" t="n">
        <f aca="false">IF(CM$4=0,0,IF(COUNTIFS(実績!$W$6:$W$505,CM$3,実績!$AI$6:$AI$505,"&lt;="&amp;$A109,実績!$AJ$6:$AJ$505,"&gt;"&amp;$A109,実績!$AL$6:$AL$505,"○")&gt;0,1,0))</f>
        <v>0</v>
      </c>
      <c r="CN109" s="39" t="n">
        <f aca="false">IF(CN$4=0,0,IF(COUNTIFS(実績!$W$6:$W$505,CN$3,実績!$AI$6:$AI$505,"&lt;="&amp;$A109,実績!$AJ$6:$AJ$505,"&gt;"&amp;$A109,実績!$AL$6:$AL$505,"○")&gt;0,1,0))</f>
        <v>0</v>
      </c>
      <c r="CO109" s="39" t="n">
        <f aca="false">IF(CO$4=0,0,IF(COUNTIFS(実績!$W$6:$W$505,CO$3,実績!$AI$6:$AI$505,"&lt;="&amp;$A109,実績!$AJ$6:$AJ$505,"&gt;"&amp;$A109,実績!$AL$6:$AL$505,"○")&gt;0,1,0))</f>
        <v>0</v>
      </c>
      <c r="CP109" s="39" t="n">
        <f aca="false">IF(CP$4=0,0,IF(COUNTIFS(実績!$W$6:$W$505,CP$3,実績!$AI$6:$AI$505,"&lt;="&amp;$A109,実績!$AJ$6:$AJ$505,"&gt;"&amp;$A109,実績!$AL$6:$AL$505,"○")&gt;0,1,0))</f>
        <v>0</v>
      </c>
      <c r="CQ109" s="39" t="n">
        <f aca="false">IF(CQ$4=0,0,IF(COUNTIFS(実績!$W$6:$W$505,CQ$3,実績!$AI$6:$AI$505,"&lt;="&amp;$A109,実績!$AJ$6:$AJ$505,"&gt;"&amp;$A109,実績!$AL$6:$AL$505,"○")&gt;0,1,0))</f>
        <v>0</v>
      </c>
      <c r="CR109" s="39" t="n">
        <f aca="false">IF(CR$4=0,0,IF(COUNTIFS(実績!$W$6:$W$505,CR$3,実績!$AI$6:$AI$505,"&lt;="&amp;$A109,実績!$AJ$6:$AJ$505,"&gt;"&amp;$A109,実績!$AL$6:$AL$505,"○")&gt;0,1,0))</f>
        <v>0</v>
      </c>
      <c r="CS109" s="39" t="n">
        <f aca="false">IF(CS$4=0,0,IF(COUNTIFS(実績!$W$6:$W$505,CS$3,実績!$AI$6:$AI$505,"&lt;="&amp;$A109,実績!$AJ$6:$AJ$505,"&gt;"&amp;$A109,実績!$AL$6:$AL$505,"○")&gt;0,1,0))</f>
        <v>0</v>
      </c>
      <c r="CT109" s="39" t="n">
        <f aca="false">IF(CT$4=0,0,IF(COUNTIFS(実績!$W$6:$W$505,CT$3,実績!$AI$6:$AI$505,"&lt;="&amp;$A109,実績!$AJ$6:$AJ$505,"&gt;"&amp;$A109,実績!$AL$6:$AL$505,"○")&gt;0,1,0))</f>
        <v>0</v>
      </c>
      <c r="CU109" s="39" t="n">
        <f aca="false">IF(CU$4=0,0,IF(COUNTIFS(実績!$W$6:$W$505,CU$3,実績!$AI$6:$AI$505,"&lt;="&amp;$A109,実績!$AJ$6:$AJ$505,"&gt;"&amp;$A109,実績!$AL$6:$AL$505,"○")&gt;0,1,0))</f>
        <v>0</v>
      </c>
      <c r="CV109" s="39" t="n">
        <f aca="false">IF(CV$4=0,0,IF(COUNTIFS(実績!$W$6:$W$505,CV$3,実績!$AI$6:$AI$505,"&lt;="&amp;$A109,実績!$AJ$6:$AJ$505,"&gt;"&amp;$A109,実績!$AL$6:$AL$505,"○")&gt;0,1,0))</f>
        <v>0</v>
      </c>
      <c r="CW109" s="39" t="n">
        <f aca="false">IF(CW$4=0,0,IF(COUNTIFS(実績!$W$6:$W$505,CW$3,実績!$AI$6:$AI$505,"&lt;="&amp;$A109,実績!$AJ$6:$AJ$505,"&gt;"&amp;$A109,実績!$AL$6:$AL$505,"○")&gt;0,1,0))</f>
        <v>0</v>
      </c>
      <c r="CX109" s="39" t="n">
        <f aca="false">IF(CX$4=0,0,IF(COUNTIFS(実績!$W$6:$W$505,CX$3,実績!$AI$6:$AI$505,"&lt;="&amp;$A109,実績!$AJ$6:$AJ$505,"&gt;"&amp;$A109,実績!$AL$6:$AL$505,"○")&gt;0,1,0))</f>
        <v>0</v>
      </c>
      <c r="CY109" s="39" t="n">
        <f aca="false">IF(CY$4=0,0,IF(COUNTIFS(実績!$W$6:$W$505,CY$3,実績!$AI$6:$AI$505,"&lt;="&amp;$A109,実績!$AJ$6:$AJ$505,"&gt;"&amp;$A109,実績!$AL$6:$AL$505,"○")&gt;0,1,0))</f>
        <v>0</v>
      </c>
      <c r="CZ109" s="39" t="n">
        <f aca="false">IF(CZ$4=0,0,IF(COUNTIFS(実績!$W$6:$W$505,CZ$3,実績!$AI$6:$AI$505,"&lt;="&amp;$A109,実績!$AJ$6:$AJ$505,"&gt;"&amp;$A109,実績!$AL$6:$AL$505,"○")&gt;0,1,0))</f>
        <v>0</v>
      </c>
      <c r="DA109" s="39" t="n">
        <f aca="false">IF(DA$4=0,0,IF(COUNTIFS(実績!$W$6:$W$505,DA$3,実績!$AI$6:$AI$505,"&lt;="&amp;$A109,実績!$AJ$6:$AJ$505,"&gt;"&amp;$A109,実績!$AL$6:$AL$505,"○")&gt;0,1,0))</f>
        <v>0</v>
      </c>
      <c r="DB109" s="39" t="n">
        <f aca="false">IF(DB$4=0,0,IF(COUNTIFS(実績!$W$6:$W$505,DB$3,実績!$AI$6:$AI$505,"&lt;="&amp;$A109,実績!$AJ$6:$AJ$505,"&gt;"&amp;$A109,実績!$AL$6:$AL$505,"○")&gt;0,1,0))</f>
        <v>0</v>
      </c>
      <c r="DC109" s="39" t="n">
        <f aca="false">IF(DC$4=0,0,IF(COUNTIFS(実績!$W$6:$W$505,DC$3,実績!$AI$6:$AI$505,"&lt;="&amp;$A109,実績!$AJ$6:$AJ$505,"&gt;"&amp;$A109,実績!$AL$6:$AL$505,"○")&gt;0,1,0))</f>
        <v>0</v>
      </c>
      <c r="DD109" s="39" t="n">
        <f aca="false">IF(DD$4=0,0,IF(COUNTIFS(実績!$W$6:$W$505,DD$3,実績!$AI$6:$AI$505,"&lt;="&amp;$A109,実績!$AJ$6:$AJ$505,"&gt;"&amp;$A109,実績!$AL$6:$AL$505,"○")&gt;0,1,0))</f>
        <v>0</v>
      </c>
      <c r="DE109" s="39" t="n">
        <f aca="false">IF(DE$4=0,0,IF(COUNTIFS(実績!$W$6:$W$505,DE$3,実績!$AI$6:$AI$505,"&lt;="&amp;$A109,実績!$AJ$6:$AJ$505,"&gt;"&amp;$A109,実績!$AL$6:$AL$505,"○")&gt;0,1,0))</f>
        <v>0</v>
      </c>
      <c r="DF109" s="39" t="n">
        <f aca="false">IF(DF$4=0,0,IF(COUNTIFS(実績!$W$6:$W$505,DF$3,実績!$AI$6:$AI$505,"&lt;="&amp;$A109,実績!$AJ$6:$AJ$505,"&gt;"&amp;$A109,実績!$AL$6:$AL$505,"○")&gt;0,1,0))</f>
        <v>0</v>
      </c>
      <c r="DG109" s="39" t="n">
        <f aca="false">IF(DG$4=0,0,IF(COUNTIFS(実績!$W$6:$W$505,DG$3,実績!$AI$6:$AI$505,"&lt;="&amp;$A109,実績!$AJ$6:$AJ$505,"&gt;"&amp;$A109,実績!$AL$6:$AL$505,"○")&gt;0,1,0))</f>
        <v>0</v>
      </c>
      <c r="DH109" s="39" t="n">
        <f aca="false">IF(DH$4=0,0,IF(COUNTIFS(実績!$W$6:$W$505,DH$3,実績!$AI$6:$AI$505,"&lt;="&amp;$A109,実績!$AJ$6:$AJ$505,"&gt;"&amp;$A109,実績!$AL$6:$AL$505,"○")&gt;0,1,0))</f>
        <v>0</v>
      </c>
      <c r="DI109" s="39" t="n">
        <f aca="false">IF(DI$4=0,0,IF(COUNTIFS(実績!$W$6:$W$505,DI$3,実績!$AI$6:$AI$505,"&lt;="&amp;$A109,実績!$AJ$6:$AJ$505,"&gt;"&amp;$A109,実績!$AL$6:$AL$505,"○")&gt;0,1,0))</f>
        <v>0</v>
      </c>
      <c r="DJ109" s="39" t="n">
        <f aca="false">IF(DJ$4=0,0,IF(COUNTIFS(実績!$W$6:$W$505,DJ$3,実績!$AI$6:$AI$505,"&lt;="&amp;$A109,実績!$AJ$6:$AJ$505,"&gt;"&amp;$A109,実績!$AL$6:$AL$505,"○")&gt;0,1,0))</f>
        <v>0</v>
      </c>
      <c r="DK109" s="39" t="n">
        <f aca="false">IF(DK$4=0,0,IF(COUNTIFS(実績!$W$6:$W$505,DK$3,実績!$AI$6:$AI$505,"&lt;="&amp;$A109,実績!$AJ$6:$AJ$505,"&gt;"&amp;$A109,実績!$AL$6:$AL$505,"○")&gt;0,1,0))</f>
        <v>0</v>
      </c>
      <c r="DL109" s="39" t="n">
        <f aca="false">IF(DL$4=0,0,IF(COUNTIFS(実績!$W$6:$W$505,DL$3,実績!$AI$6:$AI$505,"&lt;="&amp;$A109,実績!$AJ$6:$AJ$505,"&gt;"&amp;$A109,実績!$AL$6:$AL$505,"○")&gt;0,1,0))</f>
        <v>0</v>
      </c>
      <c r="DM109" s="39" t="n">
        <f aca="false">IF(DM$4=0,0,IF(COUNTIFS(実績!$W$6:$W$505,DM$3,実績!$AI$6:$AI$505,"&lt;="&amp;$A109,実績!$AJ$6:$AJ$505,"&gt;"&amp;$A109,実績!$AL$6:$AL$505,"○")&gt;0,1,0))</f>
        <v>0</v>
      </c>
      <c r="DN109" s="39" t="n">
        <f aca="false">IF(DN$4=0,0,IF(COUNTIFS(実績!$W$6:$W$505,DN$3,実績!$AI$6:$AI$505,"&lt;="&amp;$A109,実績!$AJ$6:$AJ$505,"&gt;"&amp;$A109,実績!$AL$6:$AL$505,"○")&gt;0,1,0))</f>
        <v>0</v>
      </c>
      <c r="DO109" s="39" t="n">
        <f aca="false">IF(DO$4=0,0,IF(COUNTIFS(実績!$W$6:$W$505,DO$3,実績!$AI$6:$AI$505,"&lt;="&amp;$A109,実績!$AJ$6:$AJ$505,"&gt;"&amp;$A109,実績!$AL$6:$AL$505,"○")&gt;0,1,0))</f>
        <v>0</v>
      </c>
      <c r="DP109" s="39" t="n">
        <f aca="false">IF(DP$4=0,0,IF(COUNTIFS(実績!$W$6:$W$505,DP$3,実績!$AI$6:$AI$505,"&lt;="&amp;$A109,実績!$AJ$6:$AJ$505,"&gt;"&amp;$A109,実績!$AL$6:$AL$505,"○")&gt;0,1,0))</f>
        <v>0</v>
      </c>
      <c r="DQ109" s="39" t="n">
        <f aca="false">IF(DQ$4=0,0,IF(COUNTIFS(実績!$W$6:$W$505,DQ$3,実績!$AI$6:$AI$505,"&lt;="&amp;$A109,実績!$AJ$6:$AJ$505,"&gt;"&amp;$A109,実績!$AL$6:$AL$505,"○")&gt;0,1,0))</f>
        <v>0</v>
      </c>
      <c r="DR109" s="39" t="n">
        <f aca="false">IF(DR$4=0,0,IF(COUNTIFS(実績!$W$6:$W$505,DR$3,実績!$AI$6:$AI$505,"&lt;="&amp;$A109,実績!$AJ$6:$AJ$505,"&gt;"&amp;$A109,実績!$AL$6:$AL$505,"○")&gt;0,1,0))</f>
        <v>0</v>
      </c>
      <c r="DS109" s="39" t="n">
        <f aca="false">SUM(C109:DR109)</f>
        <v>0</v>
      </c>
    </row>
    <row r="110" customFormat="false" ht="15" hidden="false" customHeight="false" outlineLevel="0" collapsed="false">
      <c r="A110" s="0" t="n">
        <v>520</v>
      </c>
      <c r="B110" s="38" t="n">
        <f aca="false">A110/1440</f>
        <v>0.361111111111111</v>
      </c>
      <c r="C110" s="39" t="n">
        <f aca="false">IF(C$4=0,0,IF(COUNTIFS(実績!$W$6:$W$505,C$3,実績!$AI$6:$AI$505,"&lt;="&amp;$A110,実績!$AJ$6:$AJ$505,"&gt;"&amp;$A110,実績!$AL$6:$AL$505,"○")&gt;0,1,0))</f>
        <v>0</v>
      </c>
      <c r="D110" s="39" t="n">
        <f aca="false">IF(D$4=0,0,IF(COUNTIFS(実績!$W$6:$W$505,D$3,実績!$AI$6:$AI$505,"&lt;="&amp;$A110,実績!$AJ$6:$AJ$505,"&gt;"&amp;$A110,実績!$AL$6:$AL$505,"○")&gt;0,1,0))</f>
        <v>0</v>
      </c>
      <c r="E110" s="39" t="n">
        <f aca="false">IF(E$4=0,0,IF(COUNTIFS(実績!$W$6:$W$505,E$3,実績!$AI$6:$AI$505,"&lt;="&amp;$A110,実績!$AJ$6:$AJ$505,"&gt;"&amp;$A110,実績!$AL$6:$AL$505,"○")&gt;0,1,0))</f>
        <v>0</v>
      </c>
      <c r="F110" s="39" t="n">
        <f aca="false">IF(F$4=0,0,IF(COUNTIFS(実績!$W$6:$W$505,F$3,実績!$AI$6:$AI$505,"&lt;="&amp;$A110,実績!$AJ$6:$AJ$505,"&gt;"&amp;$A110,実績!$AL$6:$AL$505,"○")&gt;0,1,0))</f>
        <v>0</v>
      </c>
      <c r="G110" s="39" t="n">
        <f aca="false">IF(G$4=0,0,IF(COUNTIFS(実績!$W$6:$W$505,G$3,実績!$AI$6:$AI$505,"&lt;="&amp;$A110,実績!$AJ$6:$AJ$505,"&gt;"&amp;$A110,実績!$AL$6:$AL$505,"○")&gt;0,1,0))</f>
        <v>0</v>
      </c>
      <c r="H110" s="39" t="n">
        <f aca="false">IF(H$4=0,0,IF(COUNTIFS(実績!$W$6:$W$505,H$3,実績!$AI$6:$AI$505,"&lt;="&amp;$A110,実績!$AJ$6:$AJ$505,"&gt;"&amp;$A110,実績!$AL$6:$AL$505,"○")&gt;0,1,0))</f>
        <v>0</v>
      </c>
      <c r="I110" s="39" t="n">
        <f aca="false">IF(I$4=0,0,IF(COUNTIFS(実績!$W$6:$W$505,I$3,実績!$AI$6:$AI$505,"&lt;="&amp;$A110,実績!$AJ$6:$AJ$505,"&gt;"&amp;$A110,実績!$AL$6:$AL$505,"○")&gt;0,1,0))</f>
        <v>0</v>
      </c>
      <c r="J110" s="39" t="n">
        <f aca="false">IF(J$4=0,0,IF(COUNTIFS(実績!$W$6:$W$505,J$3,実績!$AI$6:$AI$505,"&lt;="&amp;$A110,実績!$AJ$6:$AJ$505,"&gt;"&amp;$A110,実績!$AL$6:$AL$505,"○")&gt;0,1,0))</f>
        <v>0</v>
      </c>
      <c r="K110" s="39" t="n">
        <f aca="false">IF(K$4=0,0,IF(COUNTIFS(実績!$W$6:$W$505,K$3,実績!$AI$6:$AI$505,"&lt;="&amp;$A110,実績!$AJ$6:$AJ$505,"&gt;"&amp;$A110,実績!$AL$6:$AL$505,"○")&gt;0,1,0))</f>
        <v>0</v>
      </c>
      <c r="L110" s="39" t="n">
        <f aca="false">IF(L$4=0,0,IF(COUNTIFS(実績!$W$6:$W$505,L$3,実績!$AI$6:$AI$505,"&lt;="&amp;$A110,実績!$AJ$6:$AJ$505,"&gt;"&amp;$A110,実績!$AL$6:$AL$505,"○")&gt;0,1,0))</f>
        <v>0</v>
      </c>
      <c r="M110" s="39" t="n">
        <f aca="false">IF(M$4=0,0,IF(COUNTIFS(実績!$W$6:$W$505,M$3,実績!$AI$6:$AI$505,"&lt;="&amp;$A110,実績!$AJ$6:$AJ$505,"&gt;"&amp;$A110,実績!$AL$6:$AL$505,"○")&gt;0,1,0))</f>
        <v>0</v>
      </c>
      <c r="N110" s="39" t="n">
        <f aca="false">IF(N$4=0,0,IF(COUNTIFS(実績!$W$6:$W$505,N$3,実績!$AI$6:$AI$505,"&lt;="&amp;$A110,実績!$AJ$6:$AJ$505,"&gt;"&amp;$A110,実績!$AL$6:$AL$505,"○")&gt;0,1,0))</f>
        <v>0</v>
      </c>
      <c r="O110" s="39" t="n">
        <f aca="false">IF(O$4=0,0,IF(COUNTIFS(実績!$W$6:$W$505,O$3,実績!$AI$6:$AI$505,"&lt;="&amp;$A110,実績!$AJ$6:$AJ$505,"&gt;"&amp;$A110,実績!$AL$6:$AL$505,"○")&gt;0,1,0))</f>
        <v>0</v>
      </c>
      <c r="P110" s="39" t="n">
        <f aca="false">IF(P$4=0,0,IF(COUNTIFS(実績!$W$6:$W$505,P$3,実績!$AI$6:$AI$505,"&lt;="&amp;$A110,実績!$AJ$6:$AJ$505,"&gt;"&amp;$A110,実績!$AL$6:$AL$505,"○")&gt;0,1,0))</f>
        <v>0</v>
      </c>
      <c r="Q110" s="39" t="n">
        <f aca="false">IF(Q$4=0,0,IF(COUNTIFS(実績!$W$6:$W$505,Q$3,実績!$AI$6:$AI$505,"&lt;="&amp;$A110,実績!$AJ$6:$AJ$505,"&gt;"&amp;$A110,実績!$AL$6:$AL$505,"○")&gt;0,1,0))</f>
        <v>0</v>
      </c>
      <c r="R110" s="39" t="n">
        <f aca="false">IF(R$4=0,0,IF(COUNTIFS(実績!$W$6:$W$505,R$3,実績!$AI$6:$AI$505,"&lt;="&amp;$A110,実績!$AJ$6:$AJ$505,"&gt;"&amp;$A110,実績!$AL$6:$AL$505,"○")&gt;0,1,0))</f>
        <v>0</v>
      </c>
      <c r="S110" s="39" t="n">
        <f aca="false">IF(S$4=0,0,IF(COUNTIFS(実績!$W$6:$W$505,S$3,実績!$AI$6:$AI$505,"&lt;="&amp;$A110,実績!$AJ$6:$AJ$505,"&gt;"&amp;$A110,実績!$AL$6:$AL$505,"○")&gt;0,1,0))</f>
        <v>0</v>
      </c>
      <c r="T110" s="39" t="n">
        <f aca="false">IF(T$4=0,0,IF(COUNTIFS(実績!$W$6:$W$505,T$3,実績!$AI$6:$AI$505,"&lt;="&amp;$A110,実績!$AJ$6:$AJ$505,"&gt;"&amp;$A110,実績!$AL$6:$AL$505,"○")&gt;0,1,0))</f>
        <v>0</v>
      </c>
      <c r="U110" s="39" t="n">
        <f aca="false">IF(U$4=0,0,IF(COUNTIFS(実績!$W$6:$W$505,U$3,実績!$AI$6:$AI$505,"&lt;="&amp;$A110,実績!$AJ$6:$AJ$505,"&gt;"&amp;$A110,実績!$AL$6:$AL$505,"○")&gt;0,1,0))</f>
        <v>0</v>
      </c>
      <c r="V110" s="39" t="n">
        <f aca="false">IF(V$4=0,0,IF(COUNTIFS(実績!$W$6:$W$505,V$3,実績!$AI$6:$AI$505,"&lt;="&amp;$A110,実績!$AJ$6:$AJ$505,"&gt;"&amp;$A110,実績!$AL$6:$AL$505,"○")&gt;0,1,0))</f>
        <v>0</v>
      </c>
      <c r="W110" s="39" t="n">
        <f aca="false">IF(W$4=0,0,IF(COUNTIFS(実績!$W$6:$W$505,W$3,実績!$AI$6:$AI$505,"&lt;="&amp;$A110,実績!$AJ$6:$AJ$505,"&gt;"&amp;$A110,実績!$AL$6:$AL$505,"○")&gt;0,1,0))</f>
        <v>0</v>
      </c>
      <c r="X110" s="39" t="n">
        <f aca="false">IF(X$4=0,0,IF(COUNTIFS(実績!$W$6:$W$505,X$3,実績!$AI$6:$AI$505,"&lt;="&amp;$A110,実績!$AJ$6:$AJ$505,"&gt;"&amp;$A110,実績!$AL$6:$AL$505,"○")&gt;0,1,0))</f>
        <v>0</v>
      </c>
      <c r="Y110" s="39" t="n">
        <f aca="false">IF(Y$4=0,0,IF(COUNTIFS(実績!$W$6:$W$505,Y$3,実績!$AI$6:$AI$505,"&lt;="&amp;$A110,実績!$AJ$6:$AJ$505,"&gt;"&amp;$A110,実績!$AL$6:$AL$505,"○")&gt;0,1,0))</f>
        <v>0</v>
      </c>
      <c r="Z110" s="39" t="n">
        <f aca="false">IF(Z$4=0,0,IF(COUNTIFS(実績!$W$6:$W$505,Z$3,実績!$AI$6:$AI$505,"&lt;="&amp;$A110,実績!$AJ$6:$AJ$505,"&gt;"&amp;$A110,実績!$AL$6:$AL$505,"○")&gt;0,1,0))</f>
        <v>0</v>
      </c>
      <c r="AA110" s="39" t="n">
        <f aca="false">IF(AA$4=0,0,IF(COUNTIFS(実績!$W$6:$W$505,AA$3,実績!$AI$6:$AI$505,"&lt;="&amp;$A110,実績!$AJ$6:$AJ$505,"&gt;"&amp;$A110,実績!$AL$6:$AL$505,"○")&gt;0,1,0))</f>
        <v>0</v>
      </c>
      <c r="AB110" s="39" t="n">
        <f aca="false">IF(AB$4=0,0,IF(COUNTIFS(実績!$W$6:$W$505,AB$3,実績!$AI$6:$AI$505,"&lt;="&amp;$A110,実績!$AJ$6:$AJ$505,"&gt;"&amp;$A110,実績!$AL$6:$AL$505,"○")&gt;0,1,0))</f>
        <v>0</v>
      </c>
      <c r="AC110" s="39" t="n">
        <f aca="false">IF(AC$4=0,0,IF(COUNTIFS(実績!$W$6:$W$505,AC$3,実績!$AI$6:$AI$505,"&lt;="&amp;$A110,実績!$AJ$6:$AJ$505,"&gt;"&amp;$A110,実績!$AL$6:$AL$505,"○")&gt;0,1,0))</f>
        <v>0</v>
      </c>
      <c r="AD110" s="39" t="n">
        <f aca="false">IF(AD$4=0,0,IF(COUNTIFS(実績!$W$6:$W$505,AD$3,実績!$AI$6:$AI$505,"&lt;="&amp;$A110,実績!$AJ$6:$AJ$505,"&gt;"&amp;$A110,実績!$AL$6:$AL$505,"○")&gt;0,1,0))</f>
        <v>0</v>
      </c>
      <c r="AE110" s="39" t="n">
        <f aca="false">IF(AE$4=0,0,IF(COUNTIFS(実績!$W$6:$W$505,AE$3,実績!$AI$6:$AI$505,"&lt;="&amp;$A110,実績!$AJ$6:$AJ$505,"&gt;"&amp;$A110,実績!$AL$6:$AL$505,"○")&gt;0,1,0))</f>
        <v>0</v>
      </c>
      <c r="AF110" s="39" t="n">
        <f aca="false">IF(AF$4=0,0,IF(COUNTIFS(実績!$W$6:$W$505,AF$3,実績!$AI$6:$AI$505,"&lt;="&amp;$A110,実績!$AJ$6:$AJ$505,"&gt;"&amp;$A110,実績!$AL$6:$AL$505,"○")&gt;0,1,0))</f>
        <v>0</v>
      </c>
      <c r="AG110" s="39" t="n">
        <f aca="false">IF(AG$4=0,0,IF(COUNTIFS(実績!$W$6:$W$505,AG$3,実績!$AI$6:$AI$505,"&lt;="&amp;$A110,実績!$AJ$6:$AJ$505,"&gt;"&amp;$A110,実績!$AL$6:$AL$505,"○")&gt;0,1,0))</f>
        <v>0</v>
      </c>
      <c r="AH110" s="39" t="n">
        <f aca="false">IF(AH$4=0,0,IF(COUNTIFS(実績!$W$6:$W$505,AH$3,実績!$AI$6:$AI$505,"&lt;="&amp;$A110,実績!$AJ$6:$AJ$505,"&gt;"&amp;$A110,実績!$AL$6:$AL$505,"○")&gt;0,1,0))</f>
        <v>0</v>
      </c>
      <c r="AI110" s="39" t="n">
        <f aca="false">IF(AI$4=0,0,IF(COUNTIFS(実績!$W$6:$W$505,AI$3,実績!$AI$6:$AI$505,"&lt;="&amp;$A110,実績!$AJ$6:$AJ$505,"&gt;"&amp;$A110,実績!$AL$6:$AL$505,"○")&gt;0,1,0))</f>
        <v>0</v>
      </c>
      <c r="AJ110" s="39" t="n">
        <f aca="false">IF(AJ$4=0,0,IF(COUNTIFS(実績!$W$6:$W$505,AJ$3,実績!$AI$6:$AI$505,"&lt;="&amp;$A110,実績!$AJ$6:$AJ$505,"&gt;"&amp;$A110,実績!$AL$6:$AL$505,"○")&gt;0,1,0))</f>
        <v>0</v>
      </c>
      <c r="AK110" s="39" t="n">
        <f aca="false">IF(AK$4=0,0,IF(COUNTIFS(実績!$W$6:$W$505,AK$3,実績!$AI$6:$AI$505,"&lt;="&amp;$A110,実績!$AJ$6:$AJ$505,"&gt;"&amp;$A110,実績!$AL$6:$AL$505,"○")&gt;0,1,0))</f>
        <v>0</v>
      </c>
      <c r="AL110" s="39" t="n">
        <f aca="false">IF(AL$4=0,0,IF(COUNTIFS(実績!$W$6:$W$505,AL$3,実績!$AI$6:$AI$505,"&lt;="&amp;$A110,実績!$AJ$6:$AJ$505,"&gt;"&amp;$A110,実績!$AL$6:$AL$505,"○")&gt;0,1,0))</f>
        <v>0</v>
      </c>
      <c r="AM110" s="39" t="n">
        <f aca="false">IF(AM$4=0,0,IF(COUNTIFS(実績!$W$6:$W$505,AM$3,実績!$AI$6:$AI$505,"&lt;="&amp;$A110,実績!$AJ$6:$AJ$505,"&gt;"&amp;$A110,実績!$AL$6:$AL$505,"○")&gt;0,1,0))</f>
        <v>0</v>
      </c>
      <c r="AN110" s="39" t="n">
        <f aca="false">IF(AN$4=0,0,IF(COUNTIFS(実績!$W$6:$W$505,AN$3,実績!$AI$6:$AI$505,"&lt;="&amp;$A110,実績!$AJ$6:$AJ$505,"&gt;"&amp;$A110,実績!$AL$6:$AL$505,"○")&gt;0,1,0))</f>
        <v>0</v>
      </c>
      <c r="AO110" s="39" t="n">
        <f aca="false">IF(AO$4=0,0,IF(COUNTIFS(実績!$W$6:$W$505,AO$3,実績!$AI$6:$AI$505,"&lt;="&amp;$A110,実績!$AJ$6:$AJ$505,"&gt;"&amp;$A110,実績!$AL$6:$AL$505,"○")&gt;0,1,0))</f>
        <v>0</v>
      </c>
      <c r="AP110" s="39" t="n">
        <f aca="false">IF(AP$4=0,0,IF(COUNTIFS(実績!$W$6:$W$505,AP$3,実績!$AI$6:$AI$505,"&lt;="&amp;$A110,実績!$AJ$6:$AJ$505,"&gt;"&amp;$A110,実績!$AL$6:$AL$505,"○")&gt;0,1,0))</f>
        <v>0</v>
      </c>
      <c r="AQ110" s="39" t="n">
        <f aca="false">IF(AQ$4=0,0,IF(COUNTIFS(実績!$W$6:$W$505,AQ$3,実績!$AI$6:$AI$505,"&lt;="&amp;$A110,実績!$AJ$6:$AJ$505,"&gt;"&amp;$A110,実績!$AL$6:$AL$505,"○")&gt;0,1,0))</f>
        <v>0</v>
      </c>
      <c r="AR110" s="39" t="n">
        <f aca="false">IF(AR$4=0,0,IF(COUNTIFS(実績!$W$6:$W$505,AR$3,実績!$AI$6:$AI$505,"&lt;="&amp;$A110,実績!$AJ$6:$AJ$505,"&gt;"&amp;$A110,実績!$AL$6:$AL$505,"○")&gt;0,1,0))</f>
        <v>0</v>
      </c>
      <c r="AS110" s="39" t="n">
        <f aca="false">IF(AS$4=0,0,IF(COUNTIFS(実績!$W$6:$W$505,AS$3,実績!$AI$6:$AI$505,"&lt;="&amp;$A110,実績!$AJ$6:$AJ$505,"&gt;"&amp;$A110,実績!$AL$6:$AL$505,"○")&gt;0,1,0))</f>
        <v>0</v>
      </c>
      <c r="AT110" s="39" t="n">
        <f aca="false">IF(AT$4=0,0,IF(COUNTIFS(実績!$W$6:$W$505,AT$3,実績!$AI$6:$AI$505,"&lt;="&amp;$A110,実績!$AJ$6:$AJ$505,"&gt;"&amp;$A110,実績!$AL$6:$AL$505,"○")&gt;0,1,0))</f>
        <v>0</v>
      </c>
      <c r="AU110" s="39" t="n">
        <f aca="false">IF(AU$4=0,0,IF(COUNTIFS(実績!$W$6:$W$505,AU$3,実績!$AI$6:$AI$505,"&lt;="&amp;$A110,実績!$AJ$6:$AJ$505,"&gt;"&amp;$A110,実績!$AL$6:$AL$505,"○")&gt;0,1,0))</f>
        <v>0</v>
      </c>
      <c r="AV110" s="39" t="n">
        <f aca="false">IF(AV$4=0,0,IF(COUNTIFS(実績!$W$6:$W$505,AV$3,実績!$AI$6:$AI$505,"&lt;="&amp;$A110,実績!$AJ$6:$AJ$505,"&gt;"&amp;$A110,実績!$AL$6:$AL$505,"○")&gt;0,1,0))</f>
        <v>0</v>
      </c>
      <c r="AW110" s="39" t="n">
        <f aca="false">IF(AW$4=0,0,IF(COUNTIFS(実績!$W$6:$W$505,AW$3,実績!$AI$6:$AI$505,"&lt;="&amp;$A110,実績!$AJ$6:$AJ$505,"&gt;"&amp;$A110,実績!$AL$6:$AL$505,"○")&gt;0,1,0))</f>
        <v>0</v>
      </c>
      <c r="AX110" s="39" t="n">
        <f aca="false">IF(AX$4=0,0,IF(COUNTIFS(実績!$W$6:$W$505,AX$3,実績!$AI$6:$AI$505,"&lt;="&amp;$A110,実績!$AJ$6:$AJ$505,"&gt;"&amp;$A110,実績!$AL$6:$AL$505,"○")&gt;0,1,0))</f>
        <v>0</v>
      </c>
      <c r="AY110" s="39" t="n">
        <f aca="false">IF(AY$4=0,0,IF(COUNTIFS(実績!$W$6:$W$505,AY$3,実績!$AI$6:$AI$505,"&lt;="&amp;$A110,実績!$AJ$6:$AJ$505,"&gt;"&amp;$A110,実績!$AL$6:$AL$505,"○")&gt;0,1,0))</f>
        <v>0</v>
      </c>
      <c r="AZ110" s="39" t="n">
        <f aca="false">IF(AZ$4=0,0,IF(COUNTIFS(実績!$W$6:$W$505,AZ$3,実績!$AI$6:$AI$505,"&lt;="&amp;$A110,実績!$AJ$6:$AJ$505,"&gt;"&amp;$A110,実績!$AL$6:$AL$505,"○")&gt;0,1,0))</f>
        <v>0</v>
      </c>
      <c r="BA110" s="39" t="n">
        <f aca="false">IF(BA$4=0,0,IF(COUNTIFS(実績!$W$6:$W$505,BA$3,実績!$AI$6:$AI$505,"&lt;="&amp;$A110,実績!$AJ$6:$AJ$505,"&gt;"&amp;$A110,実績!$AL$6:$AL$505,"○")&gt;0,1,0))</f>
        <v>0</v>
      </c>
      <c r="BB110" s="39" t="n">
        <f aca="false">IF(BB$4=0,0,IF(COUNTIFS(実績!$W$6:$W$505,BB$3,実績!$AI$6:$AI$505,"&lt;="&amp;$A110,実績!$AJ$6:$AJ$505,"&gt;"&amp;$A110,実績!$AL$6:$AL$505,"○")&gt;0,1,0))</f>
        <v>0</v>
      </c>
      <c r="BC110" s="39" t="n">
        <f aca="false">IF(BC$4=0,0,IF(COUNTIFS(実績!$W$6:$W$505,BC$3,実績!$AI$6:$AI$505,"&lt;="&amp;$A110,実績!$AJ$6:$AJ$505,"&gt;"&amp;$A110,実績!$AL$6:$AL$505,"○")&gt;0,1,0))</f>
        <v>0</v>
      </c>
      <c r="BD110" s="39" t="n">
        <f aca="false">IF(BD$4=0,0,IF(COUNTIFS(実績!$W$6:$W$505,BD$3,実績!$AI$6:$AI$505,"&lt;="&amp;$A110,実績!$AJ$6:$AJ$505,"&gt;"&amp;$A110,実績!$AL$6:$AL$505,"○")&gt;0,1,0))</f>
        <v>0</v>
      </c>
      <c r="BE110" s="39" t="n">
        <f aca="false">IF(BE$4=0,0,IF(COUNTIFS(実績!$W$6:$W$505,BE$3,実績!$AI$6:$AI$505,"&lt;="&amp;$A110,実績!$AJ$6:$AJ$505,"&gt;"&amp;$A110,実績!$AL$6:$AL$505,"○")&gt;0,1,0))</f>
        <v>0</v>
      </c>
      <c r="BF110" s="39" t="n">
        <f aca="false">IF(BF$4=0,0,IF(COUNTIFS(実績!$W$6:$W$505,BF$3,実績!$AI$6:$AI$505,"&lt;="&amp;$A110,実績!$AJ$6:$AJ$505,"&gt;"&amp;$A110,実績!$AL$6:$AL$505,"○")&gt;0,1,0))</f>
        <v>0</v>
      </c>
      <c r="BG110" s="39" t="n">
        <f aca="false">IF(BG$4=0,0,IF(COUNTIFS(実績!$W$6:$W$505,BG$3,実績!$AI$6:$AI$505,"&lt;="&amp;$A110,実績!$AJ$6:$AJ$505,"&gt;"&amp;$A110,実績!$AL$6:$AL$505,"○")&gt;0,1,0))</f>
        <v>0</v>
      </c>
      <c r="BH110" s="39" t="n">
        <f aca="false">IF(BH$4=0,0,IF(COUNTIFS(実績!$W$6:$W$505,BH$3,実績!$AI$6:$AI$505,"&lt;="&amp;$A110,実績!$AJ$6:$AJ$505,"&gt;"&amp;$A110,実績!$AL$6:$AL$505,"○")&gt;0,1,0))</f>
        <v>0</v>
      </c>
      <c r="BI110" s="39" t="n">
        <f aca="false">IF(BI$4=0,0,IF(COUNTIFS(実績!$W$6:$W$505,BI$3,実績!$AI$6:$AI$505,"&lt;="&amp;$A110,実績!$AJ$6:$AJ$505,"&gt;"&amp;$A110,実績!$AL$6:$AL$505,"○")&gt;0,1,0))</f>
        <v>0</v>
      </c>
      <c r="BJ110" s="39" t="n">
        <f aca="false">IF(BJ$4=0,0,IF(COUNTIFS(実績!$W$6:$W$505,BJ$3,実績!$AI$6:$AI$505,"&lt;="&amp;$A110,実績!$AJ$6:$AJ$505,"&gt;"&amp;$A110,実績!$AL$6:$AL$505,"○")&gt;0,1,0))</f>
        <v>0</v>
      </c>
      <c r="BK110" s="39" t="n">
        <f aca="false">IF(BK$4=0,0,IF(COUNTIFS(実績!$W$6:$W$505,BK$3,実績!$AI$6:$AI$505,"&lt;="&amp;$A110,実績!$AJ$6:$AJ$505,"&gt;"&amp;$A110,実績!$AL$6:$AL$505,"○")&gt;0,1,0))</f>
        <v>0</v>
      </c>
      <c r="BL110" s="39" t="n">
        <f aca="false">IF(BL$4=0,0,IF(COUNTIFS(実績!$W$6:$W$505,BL$3,実績!$AI$6:$AI$505,"&lt;="&amp;$A110,実績!$AJ$6:$AJ$505,"&gt;"&amp;$A110,実績!$AL$6:$AL$505,"○")&gt;0,1,0))</f>
        <v>0</v>
      </c>
      <c r="BM110" s="39" t="n">
        <f aca="false">IF(BM$4=0,0,IF(COUNTIFS(実績!$W$6:$W$505,BM$3,実績!$AI$6:$AI$505,"&lt;="&amp;$A110,実績!$AJ$6:$AJ$505,"&gt;"&amp;$A110,実績!$AL$6:$AL$505,"○")&gt;0,1,0))</f>
        <v>0</v>
      </c>
      <c r="BN110" s="39" t="n">
        <f aca="false">IF(BN$4=0,0,IF(COUNTIFS(実績!$W$6:$W$505,BN$3,実績!$AI$6:$AI$505,"&lt;="&amp;$A110,実績!$AJ$6:$AJ$505,"&gt;"&amp;$A110,実績!$AL$6:$AL$505,"○")&gt;0,1,0))</f>
        <v>0</v>
      </c>
      <c r="BO110" s="39" t="n">
        <f aca="false">IF(BO$4=0,0,IF(COUNTIFS(実績!$W$6:$W$505,BO$3,実績!$AI$6:$AI$505,"&lt;="&amp;$A110,実績!$AJ$6:$AJ$505,"&gt;"&amp;$A110,実績!$AL$6:$AL$505,"○")&gt;0,1,0))</f>
        <v>0</v>
      </c>
      <c r="BP110" s="39" t="n">
        <f aca="false">IF(BP$4=0,0,IF(COUNTIFS(実績!$W$6:$W$505,BP$3,実績!$AI$6:$AI$505,"&lt;="&amp;$A110,実績!$AJ$6:$AJ$505,"&gt;"&amp;$A110,実績!$AL$6:$AL$505,"○")&gt;0,1,0))</f>
        <v>0</v>
      </c>
      <c r="BQ110" s="39" t="n">
        <f aca="false">IF(BQ$4=0,0,IF(COUNTIFS(実績!$W$6:$W$505,BQ$3,実績!$AI$6:$AI$505,"&lt;="&amp;$A110,実績!$AJ$6:$AJ$505,"&gt;"&amp;$A110,実績!$AL$6:$AL$505,"○")&gt;0,1,0))</f>
        <v>0</v>
      </c>
      <c r="BR110" s="39" t="n">
        <f aca="false">IF(BR$4=0,0,IF(COUNTIFS(実績!$W$6:$W$505,BR$3,実績!$AI$6:$AI$505,"&lt;="&amp;$A110,実績!$AJ$6:$AJ$505,"&gt;"&amp;$A110,実績!$AL$6:$AL$505,"○")&gt;0,1,0))</f>
        <v>0</v>
      </c>
      <c r="BS110" s="39" t="n">
        <f aca="false">IF(BS$4=0,0,IF(COUNTIFS(実績!$W$6:$W$505,BS$3,実績!$AI$6:$AI$505,"&lt;="&amp;$A110,実績!$AJ$6:$AJ$505,"&gt;"&amp;$A110,実績!$AL$6:$AL$505,"○")&gt;0,1,0))</f>
        <v>0</v>
      </c>
      <c r="BT110" s="39" t="n">
        <f aca="false">IF(BT$4=0,0,IF(COUNTIFS(実績!$W$6:$W$505,BT$3,実績!$AI$6:$AI$505,"&lt;="&amp;$A110,実績!$AJ$6:$AJ$505,"&gt;"&amp;$A110,実績!$AL$6:$AL$505,"○")&gt;0,1,0))</f>
        <v>0</v>
      </c>
      <c r="BU110" s="39" t="n">
        <f aca="false">IF(BU$4=0,0,IF(COUNTIFS(実績!$W$6:$W$505,BU$3,実績!$AI$6:$AI$505,"&lt;="&amp;$A110,実績!$AJ$6:$AJ$505,"&gt;"&amp;$A110,実績!$AL$6:$AL$505,"○")&gt;0,1,0))</f>
        <v>0</v>
      </c>
      <c r="BV110" s="39" t="n">
        <f aca="false">IF(BV$4=0,0,IF(COUNTIFS(実績!$W$6:$W$505,BV$3,実績!$AI$6:$AI$505,"&lt;="&amp;$A110,実績!$AJ$6:$AJ$505,"&gt;"&amp;$A110,実績!$AL$6:$AL$505,"○")&gt;0,1,0))</f>
        <v>0</v>
      </c>
      <c r="BW110" s="39" t="n">
        <f aca="false">IF(BW$4=0,0,IF(COUNTIFS(実績!$W$6:$W$505,BW$3,実績!$AI$6:$AI$505,"&lt;="&amp;$A110,実績!$AJ$6:$AJ$505,"&gt;"&amp;$A110,実績!$AL$6:$AL$505,"○")&gt;0,1,0))</f>
        <v>0</v>
      </c>
      <c r="BX110" s="39" t="n">
        <f aca="false">IF(BX$4=0,0,IF(COUNTIFS(実績!$W$6:$W$505,BX$3,実績!$AI$6:$AI$505,"&lt;="&amp;$A110,実績!$AJ$6:$AJ$505,"&gt;"&amp;$A110,実績!$AL$6:$AL$505,"○")&gt;0,1,0))</f>
        <v>0</v>
      </c>
      <c r="BY110" s="39" t="n">
        <f aca="false">IF(BY$4=0,0,IF(COUNTIFS(実績!$W$6:$W$505,BY$3,実績!$AI$6:$AI$505,"&lt;="&amp;$A110,実績!$AJ$6:$AJ$505,"&gt;"&amp;$A110,実績!$AL$6:$AL$505,"○")&gt;0,1,0))</f>
        <v>0</v>
      </c>
      <c r="BZ110" s="39" t="n">
        <f aca="false">IF(BZ$4=0,0,IF(COUNTIFS(実績!$W$6:$W$505,BZ$3,実績!$AI$6:$AI$505,"&lt;="&amp;$A110,実績!$AJ$6:$AJ$505,"&gt;"&amp;$A110,実績!$AL$6:$AL$505,"○")&gt;0,1,0))</f>
        <v>0</v>
      </c>
      <c r="CA110" s="39" t="n">
        <f aca="false">IF(CA$4=0,0,IF(COUNTIFS(実績!$W$6:$W$505,CA$3,実績!$AI$6:$AI$505,"&lt;="&amp;$A110,実績!$AJ$6:$AJ$505,"&gt;"&amp;$A110,実績!$AL$6:$AL$505,"○")&gt;0,1,0))</f>
        <v>0</v>
      </c>
      <c r="CB110" s="39" t="n">
        <f aca="false">IF(CB$4=0,0,IF(COUNTIFS(実績!$W$6:$W$505,CB$3,実績!$AI$6:$AI$505,"&lt;="&amp;$A110,実績!$AJ$6:$AJ$505,"&gt;"&amp;$A110,実績!$AL$6:$AL$505,"○")&gt;0,1,0))</f>
        <v>0</v>
      </c>
      <c r="CC110" s="39" t="n">
        <f aca="false">IF(CC$4=0,0,IF(COUNTIFS(実績!$W$6:$W$505,CC$3,実績!$AI$6:$AI$505,"&lt;="&amp;$A110,実績!$AJ$6:$AJ$505,"&gt;"&amp;$A110,実績!$AL$6:$AL$505,"○")&gt;0,1,0))</f>
        <v>0</v>
      </c>
      <c r="CD110" s="39" t="n">
        <f aca="false">IF(CD$4=0,0,IF(COUNTIFS(実績!$W$6:$W$505,CD$3,実績!$AI$6:$AI$505,"&lt;="&amp;$A110,実績!$AJ$6:$AJ$505,"&gt;"&amp;$A110,実績!$AL$6:$AL$505,"○")&gt;0,1,0))</f>
        <v>0</v>
      </c>
      <c r="CE110" s="39" t="n">
        <f aca="false">IF(CE$4=0,0,IF(COUNTIFS(実績!$W$6:$W$505,CE$3,実績!$AI$6:$AI$505,"&lt;="&amp;$A110,実績!$AJ$6:$AJ$505,"&gt;"&amp;$A110,実績!$AL$6:$AL$505,"○")&gt;0,1,0))</f>
        <v>0</v>
      </c>
      <c r="CF110" s="39" t="n">
        <f aca="false">IF(CF$4=0,0,IF(COUNTIFS(実績!$W$6:$W$505,CF$3,実績!$AI$6:$AI$505,"&lt;="&amp;$A110,実績!$AJ$6:$AJ$505,"&gt;"&amp;$A110,実績!$AL$6:$AL$505,"○")&gt;0,1,0))</f>
        <v>0</v>
      </c>
      <c r="CG110" s="39" t="n">
        <f aca="false">IF(CG$4=0,0,IF(COUNTIFS(実績!$W$6:$W$505,CG$3,実績!$AI$6:$AI$505,"&lt;="&amp;$A110,実績!$AJ$6:$AJ$505,"&gt;"&amp;$A110,実績!$AL$6:$AL$505,"○")&gt;0,1,0))</f>
        <v>0</v>
      </c>
      <c r="CH110" s="39" t="n">
        <f aca="false">IF(CH$4=0,0,IF(COUNTIFS(実績!$W$6:$W$505,CH$3,実績!$AI$6:$AI$505,"&lt;="&amp;$A110,実績!$AJ$6:$AJ$505,"&gt;"&amp;$A110,実績!$AL$6:$AL$505,"○")&gt;0,1,0))</f>
        <v>0</v>
      </c>
      <c r="CI110" s="39" t="n">
        <f aca="false">IF(CI$4=0,0,IF(COUNTIFS(実績!$W$6:$W$505,CI$3,実績!$AI$6:$AI$505,"&lt;="&amp;$A110,実績!$AJ$6:$AJ$505,"&gt;"&amp;$A110,実績!$AL$6:$AL$505,"○")&gt;0,1,0))</f>
        <v>0</v>
      </c>
      <c r="CJ110" s="39" t="n">
        <f aca="false">IF(CJ$4=0,0,IF(COUNTIFS(実績!$W$6:$W$505,CJ$3,実績!$AI$6:$AI$505,"&lt;="&amp;$A110,実績!$AJ$6:$AJ$505,"&gt;"&amp;$A110,実績!$AL$6:$AL$505,"○")&gt;0,1,0))</f>
        <v>0</v>
      </c>
      <c r="CK110" s="39" t="n">
        <f aca="false">IF(CK$4=0,0,IF(COUNTIFS(実績!$W$6:$W$505,CK$3,実績!$AI$6:$AI$505,"&lt;="&amp;$A110,実績!$AJ$6:$AJ$505,"&gt;"&amp;$A110,実績!$AL$6:$AL$505,"○")&gt;0,1,0))</f>
        <v>0</v>
      </c>
      <c r="CL110" s="39" t="n">
        <f aca="false">IF(CL$4=0,0,IF(COUNTIFS(実績!$W$6:$W$505,CL$3,実績!$AI$6:$AI$505,"&lt;="&amp;$A110,実績!$AJ$6:$AJ$505,"&gt;"&amp;$A110,実績!$AL$6:$AL$505,"○")&gt;0,1,0))</f>
        <v>0</v>
      </c>
      <c r="CM110" s="39" t="n">
        <f aca="false">IF(CM$4=0,0,IF(COUNTIFS(実績!$W$6:$W$505,CM$3,実績!$AI$6:$AI$505,"&lt;="&amp;$A110,実績!$AJ$6:$AJ$505,"&gt;"&amp;$A110,実績!$AL$6:$AL$505,"○")&gt;0,1,0))</f>
        <v>0</v>
      </c>
      <c r="CN110" s="39" t="n">
        <f aca="false">IF(CN$4=0,0,IF(COUNTIFS(実績!$W$6:$W$505,CN$3,実績!$AI$6:$AI$505,"&lt;="&amp;$A110,実績!$AJ$6:$AJ$505,"&gt;"&amp;$A110,実績!$AL$6:$AL$505,"○")&gt;0,1,0))</f>
        <v>0</v>
      </c>
      <c r="CO110" s="39" t="n">
        <f aca="false">IF(CO$4=0,0,IF(COUNTIFS(実績!$W$6:$W$505,CO$3,実績!$AI$6:$AI$505,"&lt;="&amp;$A110,実績!$AJ$6:$AJ$505,"&gt;"&amp;$A110,実績!$AL$6:$AL$505,"○")&gt;0,1,0))</f>
        <v>0</v>
      </c>
      <c r="CP110" s="39" t="n">
        <f aca="false">IF(CP$4=0,0,IF(COUNTIFS(実績!$W$6:$W$505,CP$3,実績!$AI$6:$AI$505,"&lt;="&amp;$A110,実績!$AJ$6:$AJ$505,"&gt;"&amp;$A110,実績!$AL$6:$AL$505,"○")&gt;0,1,0))</f>
        <v>0</v>
      </c>
      <c r="CQ110" s="39" t="n">
        <f aca="false">IF(CQ$4=0,0,IF(COUNTIFS(実績!$W$6:$W$505,CQ$3,実績!$AI$6:$AI$505,"&lt;="&amp;$A110,実績!$AJ$6:$AJ$505,"&gt;"&amp;$A110,実績!$AL$6:$AL$505,"○")&gt;0,1,0))</f>
        <v>0</v>
      </c>
      <c r="CR110" s="39" t="n">
        <f aca="false">IF(CR$4=0,0,IF(COUNTIFS(実績!$W$6:$W$505,CR$3,実績!$AI$6:$AI$505,"&lt;="&amp;$A110,実績!$AJ$6:$AJ$505,"&gt;"&amp;$A110,実績!$AL$6:$AL$505,"○")&gt;0,1,0))</f>
        <v>0</v>
      </c>
      <c r="CS110" s="39" t="n">
        <f aca="false">IF(CS$4=0,0,IF(COUNTIFS(実績!$W$6:$W$505,CS$3,実績!$AI$6:$AI$505,"&lt;="&amp;$A110,実績!$AJ$6:$AJ$505,"&gt;"&amp;$A110,実績!$AL$6:$AL$505,"○")&gt;0,1,0))</f>
        <v>0</v>
      </c>
      <c r="CT110" s="39" t="n">
        <f aca="false">IF(CT$4=0,0,IF(COUNTIFS(実績!$W$6:$W$505,CT$3,実績!$AI$6:$AI$505,"&lt;="&amp;$A110,実績!$AJ$6:$AJ$505,"&gt;"&amp;$A110,実績!$AL$6:$AL$505,"○")&gt;0,1,0))</f>
        <v>0</v>
      </c>
      <c r="CU110" s="39" t="n">
        <f aca="false">IF(CU$4=0,0,IF(COUNTIFS(実績!$W$6:$W$505,CU$3,実績!$AI$6:$AI$505,"&lt;="&amp;$A110,実績!$AJ$6:$AJ$505,"&gt;"&amp;$A110,実績!$AL$6:$AL$505,"○")&gt;0,1,0))</f>
        <v>0</v>
      </c>
      <c r="CV110" s="39" t="n">
        <f aca="false">IF(CV$4=0,0,IF(COUNTIFS(実績!$W$6:$W$505,CV$3,実績!$AI$6:$AI$505,"&lt;="&amp;$A110,実績!$AJ$6:$AJ$505,"&gt;"&amp;$A110,実績!$AL$6:$AL$505,"○")&gt;0,1,0))</f>
        <v>0</v>
      </c>
      <c r="CW110" s="39" t="n">
        <f aca="false">IF(CW$4=0,0,IF(COUNTIFS(実績!$W$6:$W$505,CW$3,実績!$AI$6:$AI$505,"&lt;="&amp;$A110,実績!$AJ$6:$AJ$505,"&gt;"&amp;$A110,実績!$AL$6:$AL$505,"○")&gt;0,1,0))</f>
        <v>0</v>
      </c>
      <c r="CX110" s="39" t="n">
        <f aca="false">IF(CX$4=0,0,IF(COUNTIFS(実績!$W$6:$W$505,CX$3,実績!$AI$6:$AI$505,"&lt;="&amp;$A110,実績!$AJ$6:$AJ$505,"&gt;"&amp;$A110,実績!$AL$6:$AL$505,"○")&gt;0,1,0))</f>
        <v>0</v>
      </c>
      <c r="CY110" s="39" t="n">
        <f aca="false">IF(CY$4=0,0,IF(COUNTIFS(実績!$W$6:$W$505,CY$3,実績!$AI$6:$AI$505,"&lt;="&amp;$A110,実績!$AJ$6:$AJ$505,"&gt;"&amp;$A110,実績!$AL$6:$AL$505,"○")&gt;0,1,0))</f>
        <v>0</v>
      </c>
      <c r="CZ110" s="39" t="n">
        <f aca="false">IF(CZ$4=0,0,IF(COUNTIFS(実績!$W$6:$W$505,CZ$3,実績!$AI$6:$AI$505,"&lt;="&amp;$A110,実績!$AJ$6:$AJ$505,"&gt;"&amp;$A110,実績!$AL$6:$AL$505,"○")&gt;0,1,0))</f>
        <v>0</v>
      </c>
      <c r="DA110" s="39" t="n">
        <f aca="false">IF(DA$4=0,0,IF(COUNTIFS(実績!$W$6:$W$505,DA$3,実績!$AI$6:$AI$505,"&lt;="&amp;$A110,実績!$AJ$6:$AJ$505,"&gt;"&amp;$A110,実績!$AL$6:$AL$505,"○")&gt;0,1,0))</f>
        <v>0</v>
      </c>
      <c r="DB110" s="39" t="n">
        <f aca="false">IF(DB$4=0,0,IF(COUNTIFS(実績!$W$6:$W$505,DB$3,実績!$AI$6:$AI$505,"&lt;="&amp;$A110,実績!$AJ$6:$AJ$505,"&gt;"&amp;$A110,実績!$AL$6:$AL$505,"○")&gt;0,1,0))</f>
        <v>0</v>
      </c>
      <c r="DC110" s="39" t="n">
        <f aca="false">IF(DC$4=0,0,IF(COUNTIFS(実績!$W$6:$W$505,DC$3,実績!$AI$6:$AI$505,"&lt;="&amp;$A110,実績!$AJ$6:$AJ$505,"&gt;"&amp;$A110,実績!$AL$6:$AL$505,"○")&gt;0,1,0))</f>
        <v>0</v>
      </c>
      <c r="DD110" s="39" t="n">
        <f aca="false">IF(DD$4=0,0,IF(COUNTIFS(実績!$W$6:$W$505,DD$3,実績!$AI$6:$AI$505,"&lt;="&amp;$A110,実績!$AJ$6:$AJ$505,"&gt;"&amp;$A110,実績!$AL$6:$AL$505,"○")&gt;0,1,0))</f>
        <v>0</v>
      </c>
      <c r="DE110" s="39" t="n">
        <f aca="false">IF(DE$4=0,0,IF(COUNTIFS(実績!$W$6:$W$505,DE$3,実績!$AI$6:$AI$505,"&lt;="&amp;$A110,実績!$AJ$6:$AJ$505,"&gt;"&amp;$A110,実績!$AL$6:$AL$505,"○")&gt;0,1,0))</f>
        <v>0</v>
      </c>
      <c r="DF110" s="39" t="n">
        <f aca="false">IF(DF$4=0,0,IF(COUNTIFS(実績!$W$6:$W$505,DF$3,実績!$AI$6:$AI$505,"&lt;="&amp;$A110,実績!$AJ$6:$AJ$505,"&gt;"&amp;$A110,実績!$AL$6:$AL$505,"○")&gt;0,1,0))</f>
        <v>0</v>
      </c>
      <c r="DG110" s="39" t="n">
        <f aca="false">IF(DG$4=0,0,IF(COUNTIFS(実績!$W$6:$W$505,DG$3,実績!$AI$6:$AI$505,"&lt;="&amp;$A110,実績!$AJ$6:$AJ$505,"&gt;"&amp;$A110,実績!$AL$6:$AL$505,"○")&gt;0,1,0))</f>
        <v>0</v>
      </c>
      <c r="DH110" s="39" t="n">
        <f aca="false">IF(DH$4=0,0,IF(COUNTIFS(実績!$W$6:$W$505,DH$3,実績!$AI$6:$AI$505,"&lt;="&amp;$A110,実績!$AJ$6:$AJ$505,"&gt;"&amp;$A110,実績!$AL$6:$AL$505,"○")&gt;0,1,0))</f>
        <v>0</v>
      </c>
      <c r="DI110" s="39" t="n">
        <f aca="false">IF(DI$4=0,0,IF(COUNTIFS(実績!$W$6:$W$505,DI$3,実績!$AI$6:$AI$505,"&lt;="&amp;$A110,実績!$AJ$6:$AJ$505,"&gt;"&amp;$A110,実績!$AL$6:$AL$505,"○")&gt;0,1,0))</f>
        <v>0</v>
      </c>
      <c r="DJ110" s="39" t="n">
        <f aca="false">IF(DJ$4=0,0,IF(COUNTIFS(実績!$W$6:$W$505,DJ$3,実績!$AI$6:$AI$505,"&lt;="&amp;$A110,実績!$AJ$6:$AJ$505,"&gt;"&amp;$A110,実績!$AL$6:$AL$505,"○")&gt;0,1,0))</f>
        <v>0</v>
      </c>
      <c r="DK110" s="39" t="n">
        <f aca="false">IF(DK$4=0,0,IF(COUNTIFS(実績!$W$6:$W$505,DK$3,実績!$AI$6:$AI$505,"&lt;="&amp;$A110,実績!$AJ$6:$AJ$505,"&gt;"&amp;$A110,実績!$AL$6:$AL$505,"○")&gt;0,1,0))</f>
        <v>0</v>
      </c>
      <c r="DL110" s="39" t="n">
        <f aca="false">IF(DL$4=0,0,IF(COUNTIFS(実績!$W$6:$W$505,DL$3,実績!$AI$6:$AI$505,"&lt;="&amp;$A110,実績!$AJ$6:$AJ$505,"&gt;"&amp;$A110,実績!$AL$6:$AL$505,"○")&gt;0,1,0))</f>
        <v>0</v>
      </c>
      <c r="DM110" s="39" t="n">
        <f aca="false">IF(DM$4=0,0,IF(COUNTIFS(実績!$W$6:$W$505,DM$3,実績!$AI$6:$AI$505,"&lt;="&amp;$A110,実績!$AJ$6:$AJ$505,"&gt;"&amp;$A110,実績!$AL$6:$AL$505,"○")&gt;0,1,0))</f>
        <v>0</v>
      </c>
      <c r="DN110" s="39" t="n">
        <f aca="false">IF(DN$4=0,0,IF(COUNTIFS(実績!$W$6:$W$505,DN$3,実績!$AI$6:$AI$505,"&lt;="&amp;$A110,実績!$AJ$6:$AJ$505,"&gt;"&amp;$A110,実績!$AL$6:$AL$505,"○")&gt;0,1,0))</f>
        <v>0</v>
      </c>
      <c r="DO110" s="39" t="n">
        <f aca="false">IF(DO$4=0,0,IF(COUNTIFS(実績!$W$6:$W$505,DO$3,実績!$AI$6:$AI$505,"&lt;="&amp;$A110,実績!$AJ$6:$AJ$505,"&gt;"&amp;$A110,実績!$AL$6:$AL$505,"○")&gt;0,1,0))</f>
        <v>0</v>
      </c>
      <c r="DP110" s="39" t="n">
        <f aca="false">IF(DP$4=0,0,IF(COUNTIFS(実績!$W$6:$W$505,DP$3,実績!$AI$6:$AI$505,"&lt;="&amp;$A110,実績!$AJ$6:$AJ$505,"&gt;"&amp;$A110,実績!$AL$6:$AL$505,"○")&gt;0,1,0))</f>
        <v>0</v>
      </c>
      <c r="DQ110" s="39" t="n">
        <f aca="false">IF(DQ$4=0,0,IF(COUNTIFS(実績!$W$6:$W$505,DQ$3,実績!$AI$6:$AI$505,"&lt;="&amp;$A110,実績!$AJ$6:$AJ$505,"&gt;"&amp;$A110,実績!$AL$6:$AL$505,"○")&gt;0,1,0))</f>
        <v>0</v>
      </c>
      <c r="DR110" s="39" t="n">
        <f aca="false">IF(DR$4=0,0,IF(COUNTIFS(実績!$W$6:$W$505,DR$3,実績!$AI$6:$AI$505,"&lt;="&amp;$A110,実績!$AJ$6:$AJ$505,"&gt;"&amp;$A110,実績!$AL$6:$AL$505,"○")&gt;0,1,0))</f>
        <v>0</v>
      </c>
      <c r="DS110" s="39" t="n">
        <f aca="false">SUM(C110:DR110)</f>
        <v>0</v>
      </c>
    </row>
    <row r="111" customFormat="false" ht="15" hidden="false" customHeight="false" outlineLevel="0" collapsed="false">
      <c r="A111" s="0" t="n">
        <v>525</v>
      </c>
      <c r="B111" s="38" t="n">
        <f aca="false">A111/1440</f>
        <v>0.364583333333333</v>
      </c>
      <c r="C111" s="39" t="n">
        <f aca="false">IF(C$4=0,0,IF(COUNTIFS(実績!$W$6:$W$505,C$3,実績!$AI$6:$AI$505,"&lt;="&amp;$A111,実績!$AJ$6:$AJ$505,"&gt;"&amp;$A111,実績!$AL$6:$AL$505,"○")&gt;0,1,0))</f>
        <v>0</v>
      </c>
      <c r="D111" s="39" t="n">
        <f aca="false">IF(D$4=0,0,IF(COUNTIFS(実績!$W$6:$W$505,D$3,実績!$AI$6:$AI$505,"&lt;="&amp;$A111,実績!$AJ$6:$AJ$505,"&gt;"&amp;$A111,実績!$AL$6:$AL$505,"○")&gt;0,1,0))</f>
        <v>0</v>
      </c>
      <c r="E111" s="39" t="n">
        <f aca="false">IF(E$4=0,0,IF(COUNTIFS(実績!$W$6:$W$505,E$3,実績!$AI$6:$AI$505,"&lt;="&amp;$A111,実績!$AJ$6:$AJ$505,"&gt;"&amp;$A111,実績!$AL$6:$AL$505,"○")&gt;0,1,0))</f>
        <v>0</v>
      </c>
      <c r="F111" s="39" t="n">
        <f aca="false">IF(F$4=0,0,IF(COUNTIFS(実績!$W$6:$W$505,F$3,実績!$AI$6:$AI$505,"&lt;="&amp;$A111,実績!$AJ$6:$AJ$505,"&gt;"&amp;$A111,実績!$AL$6:$AL$505,"○")&gt;0,1,0))</f>
        <v>0</v>
      </c>
      <c r="G111" s="39" t="n">
        <f aca="false">IF(G$4=0,0,IF(COUNTIFS(実績!$W$6:$W$505,G$3,実績!$AI$6:$AI$505,"&lt;="&amp;$A111,実績!$AJ$6:$AJ$505,"&gt;"&amp;$A111,実績!$AL$6:$AL$505,"○")&gt;0,1,0))</f>
        <v>0</v>
      </c>
      <c r="H111" s="39" t="n">
        <f aca="false">IF(H$4=0,0,IF(COUNTIFS(実績!$W$6:$W$505,H$3,実績!$AI$6:$AI$505,"&lt;="&amp;$A111,実績!$AJ$6:$AJ$505,"&gt;"&amp;$A111,実績!$AL$6:$AL$505,"○")&gt;0,1,0))</f>
        <v>0</v>
      </c>
      <c r="I111" s="39" t="n">
        <f aca="false">IF(I$4=0,0,IF(COUNTIFS(実績!$W$6:$W$505,I$3,実績!$AI$6:$AI$505,"&lt;="&amp;$A111,実績!$AJ$6:$AJ$505,"&gt;"&amp;$A111,実績!$AL$6:$AL$505,"○")&gt;0,1,0))</f>
        <v>0</v>
      </c>
      <c r="J111" s="39" t="n">
        <f aca="false">IF(J$4=0,0,IF(COUNTIFS(実績!$W$6:$W$505,J$3,実績!$AI$6:$AI$505,"&lt;="&amp;$A111,実績!$AJ$6:$AJ$505,"&gt;"&amp;$A111,実績!$AL$6:$AL$505,"○")&gt;0,1,0))</f>
        <v>0</v>
      </c>
      <c r="K111" s="39" t="n">
        <f aca="false">IF(K$4=0,0,IF(COUNTIFS(実績!$W$6:$W$505,K$3,実績!$AI$6:$AI$505,"&lt;="&amp;$A111,実績!$AJ$6:$AJ$505,"&gt;"&amp;$A111,実績!$AL$6:$AL$505,"○")&gt;0,1,0))</f>
        <v>0</v>
      </c>
      <c r="L111" s="39" t="n">
        <f aca="false">IF(L$4=0,0,IF(COUNTIFS(実績!$W$6:$W$505,L$3,実績!$AI$6:$AI$505,"&lt;="&amp;$A111,実績!$AJ$6:$AJ$505,"&gt;"&amp;$A111,実績!$AL$6:$AL$505,"○")&gt;0,1,0))</f>
        <v>0</v>
      </c>
      <c r="M111" s="39" t="n">
        <f aca="false">IF(M$4=0,0,IF(COUNTIFS(実績!$W$6:$W$505,M$3,実績!$AI$6:$AI$505,"&lt;="&amp;$A111,実績!$AJ$6:$AJ$505,"&gt;"&amp;$A111,実績!$AL$6:$AL$505,"○")&gt;0,1,0))</f>
        <v>0</v>
      </c>
      <c r="N111" s="39" t="n">
        <f aca="false">IF(N$4=0,0,IF(COUNTIFS(実績!$W$6:$W$505,N$3,実績!$AI$6:$AI$505,"&lt;="&amp;$A111,実績!$AJ$6:$AJ$505,"&gt;"&amp;$A111,実績!$AL$6:$AL$505,"○")&gt;0,1,0))</f>
        <v>0</v>
      </c>
      <c r="O111" s="39" t="n">
        <f aca="false">IF(O$4=0,0,IF(COUNTIFS(実績!$W$6:$W$505,O$3,実績!$AI$6:$AI$505,"&lt;="&amp;$A111,実績!$AJ$6:$AJ$505,"&gt;"&amp;$A111,実績!$AL$6:$AL$505,"○")&gt;0,1,0))</f>
        <v>0</v>
      </c>
      <c r="P111" s="39" t="n">
        <f aca="false">IF(P$4=0,0,IF(COUNTIFS(実績!$W$6:$W$505,P$3,実績!$AI$6:$AI$505,"&lt;="&amp;$A111,実績!$AJ$6:$AJ$505,"&gt;"&amp;$A111,実績!$AL$6:$AL$505,"○")&gt;0,1,0))</f>
        <v>0</v>
      </c>
      <c r="Q111" s="39" t="n">
        <f aca="false">IF(Q$4=0,0,IF(COUNTIFS(実績!$W$6:$W$505,Q$3,実績!$AI$6:$AI$505,"&lt;="&amp;$A111,実績!$AJ$6:$AJ$505,"&gt;"&amp;$A111,実績!$AL$6:$AL$505,"○")&gt;0,1,0))</f>
        <v>0</v>
      </c>
      <c r="R111" s="39" t="n">
        <f aca="false">IF(R$4=0,0,IF(COUNTIFS(実績!$W$6:$W$505,R$3,実績!$AI$6:$AI$505,"&lt;="&amp;$A111,実績!$AJ$6:$AJ$505,"&gt;"&amp;$A111,実績!$AL$6:$AL$505,"○")&gt;0,1,0))</f>
        <v>0</v>
      </c>
      <c r="S111" s="39" t="n">
        <f aca="false">IF(S$4=0,0,IF(COUNTIFS(実績!$W$6:$W$505,S$3,実績!$AI$6:$AI$505,"&lt;="&amp;$A111,実績!$AJ$6:$AJ$505,"&gt;"&amp;$A111,実績!$AL$6:$AL$505,"○")&gt;0,1,0))</f>
        <v>0</v>
      </c>
      <c r="T111" s="39" t="n">
        <f aca="false">IF(T$4=0,0,IF(COUNTIFS(実績!$W$6:$W$505,T$3,実績!$AI$6:$AI$505,"&lt;="&amp;$A111,実績!$AJ$6:$AJ$505,"&gt;"&amp;$A111,実績!$AL$6:$AL$505,"○")&gt;0,1,0))</f>
        <v>0</v>
      </c>
      <c r="U111" s="39" t="n">
        <f aca="false">IF(U$4=0,0,IF(COUNTIFS(実績!$W$6:$W$505,U$3,実績!$AI$6:$AI$505,"&lt;="&amp;$A111,実績!$AJ$6:$AJ$505,"&gt;"&amp;$A111,実績!$AL$6:$AL$505,"○")&gt;0,1,0))</f>
        <v>0</v>
      </c>
      <c r="V111" s="39" t="n">
        <f aca="false">IF(V$4=0,0,IF(COUNTIFS(実績!$W$6:$W$505,V$3,実績!$AI$6:$AI$505,"&lt;="&amp;$A111,実績!$AJ$6:$AJ$505,"&gt;"&amp;$A111,実績!$AL$6:$AL$505,"○")&gt;0,1,0))</f>
        <v>0</v>
      </c>
      <c r="W111" s="39" t="n">
        <f aca="false">IF(W$4=0,0,IF(COUNTIFS(実績!$W$6:$W$505,W$3,実績!$AI$6:$AI$505,"&lt;="&amp;$A111,実績!$AJ$6:$AJ$505,"&gt;"&amp;$A111,実績!$AL$6:$AL$505,"○")&gt;0,1,0))</f>
        <v>0</v>
      </c>
      <c r="X111" s="39" t="n">
        <f aca="false">IF(X$4=0,0,IF(COUNTIFS(実績!$W$6:$W$505,X$3,実績!$AI$6:$AI$505,"&lt;="&amp;$A111,実績!$AJ$6:$AJ$505,"&gt;"&amp;$A111,実績!$AL$6:$AL$505,"○")&gt;0,1,0))</f>
        <v>0</v>
      </c>
      <c r="Y111" s="39" t="n">
        <f aca="false">IF(Y$4=0,0,IF(COUNTIFS(実績!$W$6:$W$505,Y$3,実績!$AI$6:$AI$505,"&lt;="&amp;$A111,実績!$AJ$6:$AJ$505,"&gt;"&amp;$A111,実績!$AL$6:$AL$505,"○")&gt;0,1,0))</f>
        <v>0</v>
      </c>
      <c r="Z111" s="39" t="n">
        <f aca="false">IF(Z$4=0,0,IF(COUNTIFS(実績!$W$6:$W$505,Z$3,実績!$AI$6:$AI$505,"&lt;="&amp;$A111,実績!$AJ$6:$AJ$505,"&gt;"&amp;$A111,実績!$AL$6:$AL$505,"○")&gt;0,1,0))</f>
        <v>0</v>
      </c>
      <c r="AA111" s="39" t="n">
        <f aca="false">IF(AA$4=0,0,IF(COUNTIFS(実績!$W$6:$W$505,AA$3,実績!$AI$6:$AI$505,"&lt;="&amp;$A111,実績!$AJ$6:$AJ$505,"&gt;"&amp;$A111,実績!$AL$6:$AL$505,"○")&gt;0,1,0))</f>
        <v>0</v>
      </c>
      <c r="AB111" s="39" t="n">
        <f aca="false">IF(AB$4=0,0,IF(COUNTIFS(実績!$W$6:$W$505,AB$3,実績!$AI$6:$AI$505,"&lt;="&amp;$A111,実績!$AJ$6:$AJ$505,"&gt;"&amp;$A111,実績!$AL$6:$AL$505,"○")&gt;0,1,0))</f>
        <v>0</v>
      </c>
      <c r="AC111" s="39" t="n">
        <f aca="false">IF(AC$4=0,0,IF(COUNTIFS(実績!$W$6:$W$505,AC$3,実績!$AI$6:$AI$505,"&lt;="&amp;$A111,実績!$AJ$6:$AJ$505,"&gt;"&amp;$A111,実績!$AL$6:$AL$505,"○")&gt;0,1,0))</f>
        <v>0</v>
      </c>
      <c r="AD111" s="39" t="n">
        <f aca="false">IF(AD$4=0,0,IF(COUNTIFS(実績!$W$6:$W$505,AD$3,実績!$AI$6:$AI$505,"&lt;="&amp;$A111,実績!$AJ$6:$AJ$505,"&gt;"&amp;$A111,実績!$AL$6:$AL$505,"○")&gt;0,1,0))</f>
        <v>0</v>
      </c>
      <c r="AE111" s="39" t="n">
        <f aca="false">IF(AE$4=0,0,IF(COUNTIFS(実績!$W$6:$W$505,AE$3,実績!$AI$6:$AI$505,"&lt;="&amp;$A111,実績!$AJ$6:$AJ$505,"&gt;"&amp;$A111,実績!$AL$6:$AL$505,"○")&gt;0,1,0))</f>
        <v>0</v>
      </c>
      <c r="AF111" s="39" t="n">
        <f aca="false">IF(AF$4=0,0,IF(COUNTIFS(実績!$W$6:$W$505,AF$3,実績!$AI$6:$AI$505,"&lt;="&amp;$A111,実績!$AJ$6:$AJ$505,"&gt;"&amp;$A111,実績!$AL$6:$AL$505,"○")&gt;0,1,0))</f>
        <v>0</v>
      </c>
      <c r="AG111" s="39" t="n">
        <f aca="false">IF(AG$4=0,0,IF(COUNTIFS(実績!$W$6:$W$505,AG$3,実績!$AI$6:$AI$505,"&lt;="&amp;$A111,実績!$AJ$6:$AJ$505,"&gt;"&amp;$A111,実績!$AL$6:$AL$505,"○")&gt;0,1,0))</f>
        <v>0</v>
      </c>
      <c r="AH111" s="39" t="n">
        <f aca="false">IF(AH$4=0,0,IF(COUNTIFS(実績!$W$6:$W$505,AH$3,実績!$AI$6:$AI$505,"&lt;="&amp;$A111,実績!$AJ$6:$AJ$505,"&gt;"&amp;$A111,実績!$AL$6:$AL$505,"○")&gt;0,1,0))</f>
        <v>0</v>
      </c>
      <c r="AI111" s="39" t="n">
        <f aca="false">IF(AI$4=0,0,IF(COUNTIFS(実績!$W$6:$W$505,AI$3,実績!$AI$6:$AI$505,"&lt;="&amp;$A111,実績!$AJ$6:$AJ$505,"&gt;"&amp;$A111,実績!$AL$6:$AL$505,"○")&gt;0,1,0))</f>
        <v>0</v>
      </c>
      <c r="AJ111" s="39" t="n">
        <f aca="false">IF(AJ$4=0,0,IF(COUNTIFS(実績!$W$6:$W$505,AJ$3,実績!$AI$6:$AI$505,"&lt;="&amp;$A111,実績!$AJ$6:$AJ$505,"&gt;"&amp;$A111,実績!$AL$6:$AL$505,"○")&gt;0,1,0))</f>
        <v>0</v>
      </c>
      <c r="AK111" s="39" t="n">
        <f aca="false">IF(AK$4=0,0,IF(COUNTIFS(実績!$W$6:$W$505,AK$3,実績!$AI$6:$AI$505,"&lt;="&amp;$A111,実績!$AJ$6:$AJ$505,"&gt;"&amp;$A111,実績!$AL$6:$AL$505,"○")&gt;0,1,0))</f>
        <v>0</v>
      </c>
      <c r="AL111" s="39" t="n">
        <f aca="false">IF(AL$4=0,0,IF(COUNTIFS(実績!$W$6:$W$505,AL$3,実績!$AI$6:$AI$505,"&lt;="&amp;$A111,実績!$AJ$6:$AJ$505,"&gt;"&amp;$A111,実績!$AL$6:$AL$505,"○")&gt;0,1,0))</f>
        <v>0</v>
      </c>
      <c r="AM111" s="39" t="n">
        <f aca="false">IF(AM$4=0,0,IF(COUNTIFS(実績!$W$6:$W$505,AM$3,実績!$AI$6:$AI$505,"&lt;="&amp;$A111,実績!$AJ$6:$AJ$505,"&gt;"&amp;$A111,実績!$AL$6:$AL$505,"○")&gt;0,1,0))</f>
        <v>0</v>
      </c>
      <c r="AN111" s="39" t="n">
        <f aca="false">IF(AN$4=0,0,IF(COUNTIFS(実績!$W$6:$W$505,AN$3,実績!$AI$6:$AI$505,"&lt;="&amp;$A111,実績!$AJ$6:$AJ$505,"&gt;"&amp;$A111,実績!$AL$6:$AL$505,"○")&gt;0,1,0))</f>
        <v>0</v>
      </c>
      <c r="AO111" s="39" t="n">
        <f aca="false">IF(AO$4=0,0,IF(COUNTIFS(実績!$W$6:$W$505,AO$3,実績!$AI$6:$AI$505,"&lt;="&amp;$A111,実績!$AJ$6:$AJ$505,"&gt;"&amp;$A111,実績!$AL$6:$AL$505,"○")&gt;0,1,0))</f>
        <v>0</v>
      </c>
      <c r="AP111" s="39" t="n">
        <f aca="false">IF(AP$4=0,0,IF(COUNTIFS(実績!$W$6:$W$505,AP$3,実績!$AI$6:$AI$505,"&lt;="&amp;$A111,実績!$AJ$6:$AJ$505,"&gt;"&amp;$A111,実績!$AL$6:$AL$505,"○")&gt;0,1,0))</f>
        <v>0</v>
      </c>
      <c r="AQ111" s="39" t="n">
        <f aca="false">IF(AQ$4=0,0,IF(COUNTIFS(実績!$W$6:$W$505,AQ$3,実績!$AI$6:$AI$505,"&lt;="&amp;$A111,実績!$AJ$6:$AJ$505,"&gt;"&amp;$A111,実績!$AL$6:$AL$505,"○")&gt;0,1,0))</f>
        <v>0</v>
      </c>
      <c r="AR111" s="39" t="n">
        <f aca="false">IF(AR$4=0,0,IF(COUNTIFS(実績!$W$6:$W$505,AR$3,実績!$AI$6:$AI$505,"&lt;="&amp;$A111,実績!$AJ$6:$AJ$505,"&gt;"&amp;$A111,実績!$AL$6:$AL$505,"○")&gt;0,1,0))</f>
        <v>0</v>
      </c>
      <c r="AS111" s="39" t="n">
        <f aca="false">IF(AS$4=0,0,IF(COUNTIFS(実績!$W$6:$W$505,AS$3,実績!$AI$6:$AI$505,"&lt;="&amp;$A111,実績!$AJ$6:$AJ$505,"&gt;"&amp;$A111,実績!$AL$6:$AL$505,"○")&gt;0,1,0))</f>
        <v>0</v>
      </c>
      <c r="AT111" s="39" t="n">
        <f aca="false">IF(AT$4=0,0,IF(COUNTIFS(実績!$W$6:$W$505,AT$3,実績!$AI$6:$AI$505,"&lt;="&amp;$A111,実績!$AJ$6:$AJ$505,"&gt;"&amp;$A111,実績!$AL$6:$AL$505,"○")&gt;0,1,0))</f>
        <v>0</v>
      </c>
      <c r="AU111" s="39" t="n">
        <f aca="false">IF(AU$4=0,0,IF(COUNTIFS(実績!$W$6:$W$505,AU$3,実績!$AI$6:$AI$505,"&lt;="&amp;$A111,実績!$AJ$6:$AJ$505,"&gt;"&amp;$A111,実績!$AL$6:$AL$505,"○")&gt;0,1,0))</f>
        <v>0</v>
      </c>
      <c r="AV111" s="39" t="n">
        <f aca="false">IF(AV$4=0,0,IF(COUNTIFS(実績!$W$6:$W$505,AV$3,実績!$AI$6:$AI$505,"&lt;="&amp;$A111,実績!$AJ$6:$AJ$505,"&gt;"&amp;$A111,実績!$AL$6:$AL$505,"○")&gt;0,1,0))</f>
        <v>0</v>
      </c>
      <c r="AW111" s="39" t="n">
        <f aca="false">IF(AW$4=0,0,IF(COUNTIFS(実績!$W$6:$W$505,AW$3,実績!$AI$6:$AI$505,"&lt;="&amp;$A111,実績!$AJ$6:$AJ$505,"&gt;"&amp;$A111,実績!$AL$6:$AL$505,"○")&gt;0,1,0))</f>
        <v>0</v>
      </c>
      <c r="AX111" s="39" t="n">
        <f aca="false">IF(AX$4=0,0,IF(COUNTIFS(実績!$W$6:$W$505,AX$3,実績!$AI$6:$AI$505,"&lt;="&amp;$A111,実績!$AJ$6:$AJ$505,"&gt;"&amp;$A111,実績!$AL$6:$AL$505,"○")&gt;0,1,0))</f>
        <v>0</v>
      </c>
      <c r="AY111" s="39" t="n">
        <f aca="false">IF(AY$4=0,0,IF(COUNTIFS(実績!$W$6:$W$505,AY$3,実績!$AI$6:$AI$505,"&lt;="&amp;$A111,実績!$AJ$6:$AJ$505,"&gt;"&amp;$A111,実績!$AL$6:$AL$505,"○")&gt;0,1,0))</f>
        <v>0</v>
      </c>
      <c r="AZ111" s="39" t="n">
        <f aca="false">IF(AZ$4=0,0,IF(COUNTIFS(実績!$W$6:$W$505,AZ$3,実績!$AI$6:$AI$505,"&lt;="&amp;$A111,実績!$AJ$6:$AJ$505,"&gt;"&amp;$A111,実績!$AL$6:$AL$505,"○")&gt;0,1,0))</f>
        <v>0</v>
      </c>
      <c r="BA111" s="39" t="n">
        <f aca="false">IF(BA$4=0,0,IF(COUNTIFS(実績!$W$6:$W$505,BA$3,実績!$AI$6:$AI$505,"&lt;="&amp;$A111,実績!$AJ$6:$AJ$505,"&gt;"&amp;$A111,実績!$AL$6:$AL$505,"○")&gt;0,1,0))</f>
        <v>0</v>
      </c>
      <c r="BB111" s="39" t="n">
        <f aca="false">IF(BB$4=0,0,IF(COUNTIFS(実績!$W$6:$W$505,BB$3,実績!$AI$6:$AI$505,"&lt;="&amp;$A111,実績!$AJ$6:$AJ$505,"&gt;"&amp;$A111,実績!$AL$6:$AL$505,"○")&gt;0,1,0))</f>
        <v>0</v>
      </c>
      <c r="BC111" s="39" t="n">
        <f aca="false">IF(BC$4=0,0,IF(COUNTIFS(実績!$W$6:$W$505,BC$3,実績!$AI$6:$AI$505,"&lt;="&amp;$A111,実績!$AJ$6:$AJ$505,"&gt;"&amp;$A111,実績!$AL$6:$AL$505,"○")&gt;0,1,0))</f>
        <v>0</v>
      </c>
      <c r="BD111" s="39" t="n">
        <f aca="false">IF(BD$4=0,0,IF(COUNTIFS(実績!$W$6:$W$505,BD$3,実績!$AI$6:$AI$505,"&lt;="&amp;$A111,実績!$AJ$6:$AJ$505,"&gt;"&amp;$A111,実績!$AL$6:$AL$505,"○")&gt;0,1,0))</f>
        <v>0</v>
      </c>
      <c r="BE111" s="39" t="n">
        <f aca="false">IF(BE$4=0,0,IF(COUNTIFS(実績!$W$6:$W$505,BE$3,実績!$AI$6:$AI$505,"&lt;="&amp;$A111,実績!$AJ$6:$AJ$505,"&gt;"&amp;$A111,実績!$AL$6:$AL$505,"○")&gt;0,1,0))</f>
        <v>0</v>
      </c>
      <c r="BF111" s="39" t="n">
        <f aca="false">IF(BF$4=0,0,IF(COUNTIFS(実績!$W$6:$W$505,BF$3,実績!$AI$6:$AI$505,"&lt;="&amp;$A111,実績!$AJ$6:$AJ$505,"&gt;"&amp;$A111,実績!$AL$6:$AL$505,"○")&gt;0,1,0))</f>
        <v>0</v>
      </c>
      <c r="BG111" s="39" t="n">
        <f aca="false">IF(BG$4=0,0,IF(COUNTIFS(実績!$W$6:$W$505,BG$3,実績!$AI$6:$AI$505,"&lt;="&amp;$A111,実績!$AJ$6:$AJ$505,"&gt;"&amp;$A111,実績!$AL$6:$AL$505,"○")&gt;0,1,0))</f>
        <v>0</v>
      </c>
      <c r="BH111" s="39" t="n">
        <f aca="false">IF(BH$4=0,0,IF(COUNTIFS(実績!$W$6:$W$505,BH$3,実績!$AI$6:$AI$505,"&lt;="&amp;$A111,実績!$AJ$6:$AJ$505,"&gt;"&amp;$A111,実績!$AL$6:$AL$505,"○")&gt;0,1,0))</f>
        <v>0</v>
      </c>
      <c r="BI111" s="39" t="n">
        <f aca="false">IF(BI$4=0,0,IF(COUNTIFS(実績!$W$6:$W$505,BI$3,実績!$AI$6:$AI$505,"&lt;="&amp;$A111,実績!$AJ$6:$AJ$505,"&gt;"&amp;$A111,実績!$AL$6:$AL$505,"○")&gt;0,1,0))</f>
        <v>0</v>
      </c>
      <c r="BJ111" s="39" t="n">
        <f aca="false">IF(BJ$4=0,0,IF(COUNTIFS(実績!$W$6:$W$505,BJ$3,実績!$AI$6:$AI$505,"&lt;="&amp;$A111,実績!$AJ$6:$AJ$505,"&gt;"&amp;$A111,実績!$AL$6:$AL$505,"○")&gt;0,1,0))</f>
        <v>0</v>
      </c>
      <c r="BK111" s="39" t="n">
        <f aca="false">IF(BK$4=0,0,IF(COUNTIFS(実績!$W$6:$W$505,BK$3,実績!$AI$6:$AI$505,"&lt;="&amp;$A111,実績!$AJ$6:$AJ$505,"&gt;"&amp;$A111,実績!$AL$6:$AL$505,"○")&gt;0,1,0))</f>
        <v>0</v>
      </c>
      <c r="BL111" s="39" t="n">
        <f aca="false">IF(BL$4=0,0,IF(COUNTIFS(実績!$W$6:$W$505,BL$3,実績!$AI$6:$AI$505,"&lt;="&amp;$A111,実績!$AJ$6:$AJ$505,"&gt;"&amp;$A111,実績!$AL$6:$AL$505,"○")&gt;0,1,0))</f>
        <v>0</v>
      </c>
      <c r="BM111" s="39" t="n">
        <f aca="false">IF(BM$4=0,0,IF(COUNTIFS(実績!$W$6:$W$505,BM$3,実績!$AI$6:$AI$505,"&lt;="&amp;$A111,実績!$AJ$6:$AJ$505,"&gt;"&amp;$A111,実績!$AL$6:$AL$505,"○")&gt;0,1,0))</f>
        <v>0</v>
      </c>
      <c r="BN111" s="39" t="n">
        <f aca="false">IF(BN$4=0,0,IF(COUNTIFS(実績!$W$6:$W$505,BN$3,実績!$AI$6:$AI$505,"&lt;="&amp;$A111,実績!$AJ$6:$AJ$505,"&gt;"&amp;$A111,実績!$AL$6:$AL$505,"○")&gt;0,1,0))</f>
        <v>0</v>
      </c>
      <c r="BO111" s="39" t="n">
        <f aca="false">IF(BO$4=0,0,IF(COUNTIFS(実績!$W$6:$W$505,BO$3,実績!$AI$6:$AI$505,"&lt;="&amp;$A111,実績!$AJ$6:$AJ$505,"&gt;"&amp;$A111,実績!$AL$6:$AL$505,"○")&gt;0,1,0))</f>
        <v>0</v>
      </c>
      <c r="BP111" s="39" t="n">
        <f aca="false">IF(BP$4=0,0,IF(COUNTIFS(実績!$W$6:$W$505,BP$3,実績!$AI$6:$AI$505,"&lt;="&amp;$A111,実績!$AJ$6:$AJ$505,"&gt;"&amp;$A111,実績!$AL$6:$AL$505,"○")&gt;0,1,0))</f>
        <v>0</v>
      </c>
      <c r="BQ111" s="39" t="n">
        <f aca="false">IF(BQ$4=0,0,IF(COUNTIFS(実績!$W$6:$W$505,BQ$3,実績!$AI$6:$AI$505,"&lt;="&amp;$A111,実績!$AJ$6:$AJ$505,"&gt;"&amp;$A111,実績!$AL$6:$AL$505,"○")&gt;0,1,0))</f>
        <v>0</v>
      </c>
      <c r="BR111" s="39" t="n">
        <f aca="false">IF(BR$4=0,0,IF(COUNTIFS(実績!$W$6:$W$505,BR$3,実績!$AI$6:$AI$505,"&lt;="&amp;$A111,実績!$AJ$6:$AJ$505,"&gt;"&amp;$A111,実績!$AL$6:$AL$505,"○")&gt;0,1,0))</f>
        <v>0</v>
      </c>
      <c r="BS111" s="39" t="n">
        <f aca="false">IF(BS$4=0,0,IF(COUNTIFS(実績!$W$6:$W$505,BS$3,実績!$AI$6:$AI$505,"&lt;="&amp;$A111,実績!$AJ$6:$AJ$505,"&gt;"&amp;$A111,実績!$AL$6:$AL$505,"○")&gt;0,1,0))</f>
        <v>0</v>
      </c>
      <c r="BT111" s="39" t="n">
        <f aca="false">IF(BT$4=0,0,IF(COUNTIFS(実績!$W$6:$W$505,BT$3,実績!$AI$6:$AI$505,"&lt;="&amp;$A111,実績!$AJ$6:$AJ$505,"&gt;"&amp;$A111,実績!$AL$6:$AL$505,"○")&gt;0,1,0))</f>
        <v>0</v>
      </c>
      <c r="BU111" s="39" t="n">
        <f aca="false">IF(BU$4=0,0,IF(COUNTIFS(実績!$W$6:$W$505,BU$3,実績!$AI$6:$AI$505,"&lt;="&amp;$A111,実績!$AJ$6:$AJ$505,"&gt;"&amp;$A111,実績!$AL$6:$AL$505,"○")&gt;0,1,0))</f>
        <v>0</v>
      </c>
      <c r="BV111" s="39" t="n">
        <f aca="false">IF(BV$4=0,0,IF(COUNTIFS(実績!$W$6:$W$505,BV$3,実績!$AI$6:$AI$505,"&lt;="&amp;$A111,実績!$AJ$6:$AJ$505,"&gt;"&amp;$A111,実績!$AL$6:$AL$505,"○")&gt;0,1,0))</f>
        <v>0</v>
      </c>
      <c r="BW111" s="39" t="n">
        <f aca="false">IF(BW$4=0,0,IF(COUNTIFS(実績!$W$6:$W$505,BW$3,実績!$AI$6:$AI$505,"&lt;="&amp;$A111,実績!$AJ$6:$AJ$505,"&gt;"&amp;$A111,実績!$AL$6:$AL$505,"○")&gt;0,1,0))</f>
        <v>0</v>
      </c>
      <c r="BX111" s="39" t="n">
        <f aca="false">IF(BX$4=0,0,IF(COUNTIFS(実績!$W$6:$W$505,BX$3,実績!$AI$6:$AI$505,"&lt;="&amp;$A111,実績!$AJ$6:$AJ$505,"&gt;"&amp;$A111,実績!$AL$6:$AL$505,"○")&gt;0,1,0))</f>
        <v>0</v>
      </c>
      <c r="BY111" s="39" t="n">
        <f aca="false">IF(BY$4=0,0,IF(COUNTIFS(実績!$W$6:$W$505,BY$3,実績!$AI$6:$AI$505,"&lt;="&amp;$A111,実績!$AJ$6:$AJ$505,"&gt;"&amp;$A111,実績!$AL$6:$AL$505,"○")&gt;0,1,0))</f>
        <v>0</v>
      </c>
      <c r="BZ111" s="39" t="n">
        <f aca="false">IF(BZ$4=0,0,IF(COUNTIFS(実績!$W$6:$W$505,BZ$3,実績!$AI$6:$AI$505,"&lt;="&amp;$A111,実績!$AJ$6:$AJ$505,"&gt;"&amp;$A111,実績!$AL$6:$AL$505,"○")&gt;0,1,0))</f>
        <v>0</v>
      </c>
      <c r="CA111" s="39" t="n">
        <f aca="false">IF(CA$4=0,0,IF(COUNTIFS(実績!$W$6:$W$505,CA$3,実績!$AI$6:$AI$505,"&lt;="&amp;$A111,実績!$AJ$6:$AJ$505,"&gt;"&amp;$A111,実績!$AL$6:$AL$505,"○")&gt;0,1,0))</f>
        <v>0</v>
      </c>
      <c r="CB111" s="39" t="n">
        <f aca="false">IF(CB$4=0,0,IF(COUNTIFS(実績!$W$6:$W$505,CB$3,実績!$AI$6:$AI$505,"&lt;="&amp;$A111,実績!$AJ$6:$AJ$505,"&gt;"&amp;$A111,実績!$AL$6:$AL$505,"○")&gt;0,1,0))</f>
        <v>0</v>
      </c>
      <c r="CC111" s="39" t="n">
        <f aca="false">IF(CC$4=0,0,IF(COUNTIFS(実績!$W$6:$W$505,CC$3,実績!$AI$6:$AI$505,"&lt;="&amp;$A111,実績!$AJ$6:$AJ$505,"&gt;"&amp;$A111,実績!$AL$6:$AL$505,"○")&gt;0,1,0))</f>
        <v>0</v>
      </c>
      <c r="CD111" s="39" t="n">
        <f aca="false">IF(CD$4=0,0,IF(COUNTIFS(実績!$W$6:$W$505,CD$3,実績!$AI$6:$AI$505,"&lt;="&amp;$A111,実績!$AJ$6:$AJ$505,"&gt;"&amp;$A111,実績!$AL$6:$AL$505,"○")&gt;0,1,0))</f>
        <v>0</v>
      </c>
      <c r="CE111" s="39" t="n">
        <f aca="false">IF(CE$4=0,0,IF(COUNTIFS(実績!$W$6:$W$505,CE$3,実績!$AI$6:$AI$505,"&lt;="&amp;$A111,実績!$AJ$6:$AJ$505,"&gt;"&amp;$A111,実績!$AL$6:$AL$505,"○")&gt;0,1,0))</f>
        <v>0</v>
      </c>
      <c r="CF111" s="39" t="n">
        <f aca="false">IF(CF$4=0,0,IF(COUNTIFS(実績!$W$6:$W$505,CF$3,実績!$AI$6:$AI$505,"&lt;="&amp;$A111,実績!$AJ$6:$AJ$505,"&gt;"&amp;$A111,実績!$AL$6:$AL$505,"○")&gt;0,1,0))</f>
        <v>0</v>
      </c>
      <c r="CG111" s="39" t="n">
        <f aca="false">IF(CG$4=0,0,IF(COUNTIFS(実績!$W$6:$W$505,CG$3,実績!$AI$6:$AI$505,"&lt;="&amp;$A111,実績!$AJ$6:$AJ$505,"&gt;"&amp;$A111,実績!$AL$6:$AL$505,"○")&gt;0,1,0))</f>
        <v>0</v>
      </c>
      <c r="CH111" s="39" t="n">
        <f aca="false">IF(CH$4=0,0,IF(COUNTIFS(実績!$W$6:$W$505,CH$3,実績!$AI$6:$AI$505,"&lt;="&amp;$A111,実績!$AJ$6:$AJ$505,"&gt;"&amp;$A111,実績!$AL$6:$AL$505,"○")&gt;0,1,0))</f>
        <v>0</v>
      </c>
      <c r="CI111" s="39" t="n">
        <f aca="false">IF(CI$4=0,0,IF(COUNTIFS(実績!$W$6:$W$505,CI$3,実績!$AI$6:$AI$505,"&lt;="&amp;$A111,実績!$AJ$6:$AJ$505,"&gt;"&amp;$A111,実績!$AL$6:$AL$505,"○")&gt;0,1,0))</f>
        <v>0</v>
      </c>
      <c r="CJ111" s="39" t="n">
        <f aca="false">IF(CJ$4=0,0,IF(COUNTIFS(実績!$W$6:$W$505,CJ$3,実績!$AI$6:$AI$505,"&lt;="&amp;$A111,実績!$AJ$6:$AJ$505,"&gt;"&amp;$A111,実績!$AL$6:$AL$505,"○")&gt;0,1,0))</f>
        <v>0</v>
      </c>
      <c r="CK111" s="39" t="n">
        <f aca="false">IF(CK$4=0,0,IF(COUNTIFS(実績!$W$6:$W$505,CK$3,実績!$AI$6:$AI$505,"&lt;="&amp;$A111,実績!$AJ$6:$AJ$505,"&gt;"&amp;$A111,実績!$AL$6:$AL$505,"○")&gt;0,1,0))</f>
        <v>0</v>
      </c>
      <c r="CL111" s="39" t="n">
        <f aca="false">IF(CL$4=0,0,IF(COUNTIFS(実績!$W$6:$W$505,CL$3,実績!$AI$6:$AI$505,"&lt;="&amp;$A111,実績!$AJ$6:$AJ$505,"&gt;"&amp;$A111,実績!$AL$6:$AL$505,"○")&gt;0,1,0))</f>
        <v>0</v>
      </c>
      <c r="CM111" s="39" t="n">
        <f aca="false">IF(CM$4=0,0,IF(COUNTIFS(実績!$W$6:$W$505,CM$3,実績!$AI$6:$AI$505,"&lt;="&amp;$A111,実績!$AJ$6:$AJ$505,"&gt;"&amp;$A111,実績!$AL$6:$AL$505,"○")&gt;0,1,0))</f>
        <v>0</v>
      </c>
      <c r="CN111" s="39" t="n">
        <f aca="false">IF(CN$4=0,0,IF(COUNTIFS(実績!$W$6:$W$505,CN$3,実績!$AI$6:$AI$505,"&lt;="&amp;$A111,実績!$AJ$6:$AJ$505,"&gt;"&amp;$A111,実績!$AL$6:$AL$505,"○")&gt;0,1,0))</f>
        <v>0</v>
      </c>
      <c r="CO111" s="39" t="n">
        <f aca="false">IF(CO$4=0,0,IF(COUNTIFS(実績!$W$6:$W$505,CO$3,実績!$AI$6:$AI$505,"&lt;="&amp;$A111,実績!$AJ$6:$AJ$505,"&gt;"&amp;$A111,実績!$AL$6:$AL$505,"○")&gt;0,1,0))</f>
        <v>0</v>
      </c>
      <c r="CP111" s="39" t="n">
        <f aca="false">IF(CP$4=0,0,IF(COUNTIFS(実績!$W$6:$W$505,CP$3,実績!$AI$6:$AI$505,"&lt;="&amp;$A111,実績!$AJ$6:$AJ$505,"&gt;"&amp;$A111,実績!$AL$6:$AL$505,"○")&gt;0,1,0))</f>
        <v>0</v>
      </c>
      <c r="CQ111" s="39" t="n">
        <f aca="false">IF(CQ$4=0,0,IF(COUNTIFS(実績!$W$6:$W$505,CQ$3,実績!$AI$6:$AI$505,"&lt;="&amp;$A111,実績!$AJ$6:$AJ$505,"&gt;"&amp;$A111,実績!$AL$6:$AL$505,"○")&gt;0,1,0))</f>
        <v>0</v>
      </c>
      <c r="CR111" s="39" t="n">
        <f aca="false">IF(CR$4=0,0,IF(COUNTIFS(実績!$W$6:$W$505,CR$3,実績!$AI$6:$AI$505,"&lt;="&amp;$A111,実績!$AJ$6:$AJ$505,"&gt;"&amp;$A111,実績!$AL$6:$AL$505,"○")&gt;0,1,0))</f>
        <v>0</v>
      </c>
      <c r="CS111" s="39" t="n">
        <f aca="false">IF(CS$4=0,0,IF(COUNTIFS(実績!$W$6:$W$505,CS$3,実績!$AI$6:$AI$505,"&lt;="&amp;$A111,実績!$AJ$6:$AJ$505,"&gt;"&amp;$A111,実績!$AL$6:$AL$505,"○")&gt;0,1,0))</f>
        <v>0</v>
      </c>
      <c r="CT111" s="39" t="n">
        <f aca="false">IF(CT$4=0,0,IF(COUNTIFS(実績!$W$6:$W$505,CT$3,実績!$AI$6:$AI$505,"&lt;="&amp;$A111,実績!$AJ$6:$AJ$505,"&gt;"&amp;$A111,実績!$AL$6:$AL$505,"○")&gt;0,1,0))</f>
        <v>0</v>
      </c>
      <c r="CU111" s="39" t="n">
        <f aca="false">IF(CU$4=0,0,IF(COUNTIFS(実績!$W$6:$W$505,CU$3,実績!$AI$6:$AI$505,"&lt;="&amp;$A111,実績!$AJ$6:$AJ$505,"&gt;"&amp;$A111,実績!$AL$6:$AL$505,"○")&gt;0,1,0))</f>
        <v>0</v>
      </c>
      <c r="CV111" s="39" t="n">
        <f aca="false">IF(CV$4=0,0,IF(COUNTIFS(実績!$W$6:$W$505,CV$3,実績!$AI$6:$AI$505,"&lt;="&amp;$A111,実績!$AJ$6:$AJ$505,"&gt;"&amp;$A111,実績!$AL$6:$AL$505,"○")&gt;0,1,0))</f>
        <v>0</v>
      </c>
      <c r="CW111" s="39" t="n">
        <f aca="false">IF(CW$4=0,0,IF(COUNTIFS(実績!$W$6:$W$505,CW$3,実績!$AI$6:$AI$505,"&lt;="&amp;$A111,実績!$AJ$6:$AJ$505,"&gt;"&amp;$A111,実績!$AL$6:$AL$505,"○")&gt;0,1,0))</f>
        <v>0</v>
      </c>
      <c r="CX111" s="39" t="n">
        <f aca="false">IF(CX$4=0,0,IF(COUNTIFS(実績!$W$6:$W$505,CX$3,実績!$AI$6:$AI$505,"&lt;="&amp;$A111,実績!$AJ$6:$AJ$505,"&gt;"&amp;$A111,実績!$AL$6:$AL$505,"○")&gt;0,1,0))</f>
        <v>0</v>
      </c>
      <c r="CY111" s="39" t="n">
        <f aca="false">IF(CY$4=0,0,IF(COUNTIFS(実績!$W$6:$W$505,CY$3,実績!$AI$6:$AI$505,"&lt;="&amp;$A111,実績!$AJ$6:$AJ$505,"&gt;"&amp;$A111,実績!$AL$6:$AL$505,"○")&gt;0,1,0))</f>
        <v>0</v>
      </c>
      <c r="CZ111" s="39" t="n">
        <f aca="false">IF(CZ$4=0,0,IF(COUNTIFS(実績!$W$6:$W$505,CZ$3,実績!$AI$6:$AI$505,"&lt;="&amp;$A111,実績!$AJ$6:$AJ$505,"&gt;"&amp;$A111,実績!$AL$6:$AL$505,"○")&gt;0,1,0))</f>
        <v>0</v>
      </c>
      <c r="DA111" s="39" t="n">
        <f aca="false">IF(DA$4=0,0,IF(COUNTIFS(実績!$W$6:$W$505,DA$3,実績!$AI$6:$AI$505,"&lt;="&amp;$A111,実績!$AJ$6:$AJ$505,"&gt;"&amp;$A111,実績!$AL$6:$AL$505,"○")&gt;0,1,0))</f>
        <v>0</v>
      </c>
      <c r="DB111" s="39" t="n">
        <f aca="false">IF(DB$4=0,0,IF(COUNTIFS(実績!$W$6:$W$505,DB$3,実績!$AI$6:$AI$505,"&lt;="&amp;$A111,実績!$AJ$6:$AJ$505,"&gt;"&amp;$A111,実績!$AL$6:$AL$505,"○")&gt;0,1,0))</f>
        <v>0</v>
      </c>
      <c r="DC111" s="39" t="n">
        <f aca="false">IF(DC$4=0,0,IF(COUNTIFS(実績!$W$6:$W$505,DC$3,実績!$AI$6:$AI$505,"&lt;="&amp;$A111,実績!$AJ$6:$AJ$505,"&gt;"&amp;$A111,実績!$AL$6:$AL$505,"○")&gt;0,1,0))</f>
        <v>0</v>
      </c>
      <c r="DD111" s="39" t="n">
        <f aca="false">IF(DD$4=0,0,IF(COUNTIFS(実績!$W$6:$W$505,DD$3,実績!$AI$6:$AI$505,"&lt;="&amp;$A111,実績!$AJ$6:$AJ$505,"&gt;"&amp;$A111,実績!$AL$6:$AL$505,"○")&gt;0,1,0))</f>
        <v>0</v>
      </c>
      <c r="DE111" s="39" t="n">
        <f aca="false">IF(DE$4=0,0,IF(COUNTIFS(実績!$W$6:$W$505,DE$3,実績!$AI$6:$AI$505,"&lt;="&amp;$A111,実績!$AJ$6:$AJ$505,"&gt;"&amp;$A111,実績!$AL$6:$AL$505,"○")&gt;0,1,0))</f>
        <v>0</v>
      </c>
      <c r="DF111" s="39" t="n">
        <f aca="false">IF(DF$4=0,0,IF(COUNTIFS(実績!$W$6:$W$505,DF$3,実績!$AI$6:$AI$505,"&lt;="&amp;$A111,実績!$AJ$6:$AJ$505,"&gt;"&amp;$A111,実績!$AL$6:$AL$505,"○")&gt;0,1,0))</f>
        <v>0</v>
      </c>
      <c r="DG111" s="39" t="n">
        <f aca="false">IF(DG$4=0,0,IF(COUNTIFS(実績!$W$6:$W$505,DG$3,実績!$AI$6:$AI$505,"&lt;="&amp;$A111,実績!$AJ$6:$AJ$505,"&gt;"&amp;$A111,実績!$AL$6:$AL$505,"○")&gt;0,1,0))</f>
        <v>0</v>
      </c>
      <c r="DH111" s="39" t="n">
        <f aca="false">IF(DH$4=0,0,IF(COUNTIFS(実績!$W$6:$W$505,DH$3,実績!$AI$6:$AI$505,"&lt;="&amp;$A111,実績!$AJ$6:$AJ$505,"&gt;"&amp;$A111,実績!$AL$6:$AL$505,"○")&gt;0,1,0))</f>
        <v>0</v>
      </c>
      <c r="DI111" s="39" t="n">
        <f aca="false">IF(DI$4=0,0,IF(COUNTIFS(実績!$W$6:$W$505,DI$3,実績!$AI$6:$AI$505,"&lt;="&amp;$A111,実績!$AJ$6:$AJ$505,"&gt;"&amp;$A111,実績!$AL$6:$AL$505,"○")&gt;0,1,0))</f>
        <v>0</v>
      </c>
      <c r="DJ111" s="39" t="n">
        <f aca="false">IF(DJ$4=0,0,IF(COUNTIFS(実績!$W$6:$W$505,DJ$3,実績!$AI$6:$AI$505,"&lt;="&amp;$A111,実績!$AJ$6:$AJ$505,"&gt;"&amp;$A111,実績!$AL$6:$AL$505,"○")&gt;0,1,0))</f>
        <v>0</v>
      </c>
      <c r="DK111" s="39" t="n">
        <f aca="false">IF(DK$4=0,0,IF(COUNTIFS(実績!$W$6:$W$505,DK$3,実績!$AI$6:$AI$505,"&lt;="&amp;$A111,実績!$AJ$6:$AJ$505,"&gt;"&amp;$A111,実績!$AL$6:$AL$505,"○")&gt;0,1,0))</f>
        <v>0</v>
      </c>
      <c r="DL111" s="39" t="n">
        <f aca="false">IF(DL$4=0,0,IF(COUNTIFS(実績!$W$6:$W$505,DL$3,実績!$AI$6:$AI$505,"&lt;="&amp;$A111,実績!$AJ$6:$AJ$505,"&gt;"&amp;$A111,実績!$AL$6:$AL$505,"○")&gt;0,1,0))</f>
        <v>0</v>
      </c>
      <c r="DM111" s="39" t="n">
        <f aca="false">IF(DM$4=0,0,IF(COUNTIFS(実績!$W$6:$W$505,DM$3,実績!$AI$6:$AI$505,"&lt;="&amp;$A111,実績!$AJ$6:$AJ$505,"&gt;"&amp;$A111,実績!$AL$6:$AL$505,"○")&gt;0,1,0))</f>
        <v>0</v>
      </c>
      <c r="DN111" s="39" t="n">
        <f aca="false">IF(DN$4=0,0,IF(COUNTIFS(実績!$W$6:$W$505,DN$3,実績!$AI$6:$AI$505,"&lt;="&amp;$A111,実績!$AJ$6:$AJ$505,"&gt;"&amp;$A111,実績!$AL$6:$AL$505,"○")&gt;0,1,0))</f>
        <v>0</v>
      </c>
      <c r="DO111" s="39" t="n">
        <f aca="false">IF(DO$4=0,0,IF(COUNTIFS(実績!$W$6:$W$505,DO$3,実績!$AI$6:$AI$505,"&lt;="&amp;$A111,実績!$AJ$6:$AJ$505,"&gt;"&amp;$A111,実績!$AL$6:$AL$505,"○")&gt;0,1,0))</f>
        <v>0</v>
      </c>
      <c r="DP111" s="39" t="n">
        <f aca="false">IF(DP$4=0,0,IF(COUNTIFS(実績!$W$6:$W$505,DP$3,実績!$AI$6:$AI$505,"&lt;="&amp;$A111,実績!$AJ$6:$AJ$505,"&gt;"&amp;$A111,実績!$AL$6:$AL$505,"○")&gt;0,1,0))</f>
        <v>0</v>
      </c>
      <c r="DQ111" s="39" t="n">
        <f aca="false">IF(DQ$4=0,0,IF(COUNTIFS(実績!$W$6:$W$505,DQ$3,実績!$AI$6:$AI$505,"&lt;="&amp;$A111,実績!$AJ$6:$AJ$505,"&gt;"&amp;$A111,実績!$AL$6:$AL$505,"○")&gt;0,1,0))</f>
        <v>0</v>
      </c>
      <c r="DR111" s="39" t="n">
        <f aca="false">IF(DR$4=0,0,IF(COUNTIFS(実績!$W$6:$W$505,DR$3,実績!$AI$6:$AI$505,"&lt;="&amp;$A111,実績!$AJ$6:$AJ$505,"&gt;"&amp;$A111,実績!$AL$6:$AL$505,"○")&gt;0,1,0))</f>
        <v>0</v>
      </c>
      <c r="DS111" s="39" t="n">
        <f aca="false">SUM(C111:DR111)</f>
        <v>0</v>
      </c>
    </row>
    <row r="112" customFormat="false" ht="15" hidden="false" customHeight="false" outlineLevel="0" collapsed="false">
      <c r="A112" s="0" t="n">
        <v>530</v>
      </c>
      <c r="B112" s="38" t="n">
        <f aca="false">A112/1440</f>
        <v>0.368055555555556</v>
      </c>
      <c r="C112" s="39" t="n">
        <f aca="false">IF(C$4=0,0,IF(COUNTIFS(実績!$W$6:$W$505,C$3,実績!$AI$6:$AI$505,"&lt;="&amp;$A112,実績!$AJ$6:$AJ$505,"&gt;"&amp;$A112,実績!$AL$6:$AL$505,"○")&gt;0,1,0))</f>
        <v>0</v>
      </c>
      <c r="D112" s="39" t="n">
        <f aca="false">IF(D$4=0,0,IF(COUNTIFS(実績!$W$6:$W$505,D$3,実績!$AI$6:$AI$505,"&lt;="&amp;$A112,実績!$AJ$6:$AJ$505,"&gt;"&amp;$A112,実績!$AL$6:$AL$505,"○")&gt;0,1,0))</f>
        <v>0</v>
      </c>
      <c r="E112" s="39" t="n">
        <f aca="false">IF(E$4=0,0,IF(COUNTIFS(実績!$W$6:$W$505,E$3,実績!$AI$6:$AI$505,"&lt;="&amp;$A112,実績!$AJ$6:$AJ$505,"&gt;"&amp;$A112,実績!$AL$6:$AL$505,"○")&gt;0,1,0))</f>
        <v>0</v>
      </c>
      <c r="F112" s="39" t="n">
        <f aca="false">IF(F$4=0,0,IF(COUNTIFS(実績!$W$6:$W$505,F$3,実績!$AI$6:$AI$505,"&lt;="&amp;$A112,実績!$AJ$6:$AJ$505,"&gt;"&amp;$A112,実績!$AL$6:$AL$505,"○")&gt;0,1,0))</f>
        <v>0</v>
      </c>
      <c r="G112" s="39" t="n">
        <f aca="false">IF(G$4=0,0,IF(COUNTIFS(実績!$W$6:$W$505,G$3,実績!$AI$6:$AI$505,"&lt;="&amp;$A112,実績!$AJ$6:$AJ$505,"&gt;"&amp;$A112,実績!$AL$6:$AL$505,"○")&gt;0,1,0))</f>
        <v>0</v>
      </c>
      <c r="H112" s="39" t="n">
        <f aca="false">IF(H$4=0,0,IF(COUNTIFS(実績!$W$6:$W$505,H$3,実績!$AI$6:$AI$505,"&lt;="&amp;$A112,実績!$AJ$6:$AJ$505,"&gt;"&amp;$A112,実績!$AL$6:$AL$505,"○")&gt;0,1,0))</f>
        <v>0</v>
      </c>
      <c r="I112" s="39" t="n">
        <f aca="false">IF(I$4=0,0,IF(COUNTIFS(実績!$W$6:$W$505,I$3,実績!$AI$6:$AI$505,"&lt;="&amp;$A112,実績!$AJ$6:$AJ$505,"&gt;"&amp;$A112,実績!$AL$6:$AL$505,"○")&gt;0,1,0))</f>
        <v>0</v>
      </c>
      <c r="J112" s="39" t="n">
        <f aca="false">IF(J$4=0,0,IF(COUNTIFS(実績!$W$6:$W$505,J$3,実績!$AI$6:$AI$505,"&lt;="&amp;$A112,実績!$AJ$6:$AJ$505,"&gt;"&amp;$A112,実績!$AL$6:$AL$505,"○")&gt;0,1,0))</f>
        <v>0</v>
      </c>
      <c r="K112" s="39" t="n">
        <f aca="false">IF(K$4=0,0,IF(COUNTIFS(実績!$W$6:$W$505,K$3,実績!$AI$6:$AI$505,"&lt;="&amp;$A112,実績!$AJ$6:$AJ$505,"&gt;"&amp;$A112,実績!$AL$6:$AL$505,"○")&gt;0,1,0))</f>
        <v>0</v>
      </c>
      <c r="L112" s="39" t="n">
        <f aca="false">IF(L$4=0,0,IF(COUNTIFS(実績!$W$6:$W$505,L$3,実績!$AI$6:$AI$505,"&lt;="&amp;$A112,実績!$AJ$6:$AJ$505,"&gt;"&amp;$A112,実績!$AL$6:$AL$505,"○")&gt;0,1,0))</f>
        <v>0</v>
      </c>
      <c r="M112" s="39" t="n">
        <f aca="false">IF(M$4=0,0,IF(COUNTIFS(実績!$W$6:$W$505,M$3,実績!$AI$6:$AI$505,"&lt;="&amp;$A112,実績!$AJ$6:$AJ$505,"&gt;"&amp;$A112,実績!$AL$6:$AL$505,"○")&gt;0,1,0))</f>
        <v>0</v>
      </c>
      <c r="N112" s="39" t="n">
        <f aca="false">IF(N$4=0,0,IF(COUNTIFS(実績!$W$6:$W$505,N$3,実績!$AI$6:$AI$505,"&lt;="&amp;$A112,実績!$AJ$6:$AJ$505,"&gt;"&amp;$A112,実績!$AL$6:$AL$505,"○")&gt;0,1,0))</f>
        <v>0</v>
      </c>
      <c r="O112" s="39" t="n">
        <f aca="false">IF(O$4=0,0,IF(COUNTIFS(実績!$W$6:$W$505,O$3,実績!$AI$6:$AI$505,"&lt;="&amp;$A112,実績!$AJ$6:$AJ$505,"&gt;"&amp;$A112,実績!$AL$6:$AL$505,"○")&gt;0,1,0))</f>
        <v>0</v>
      </c>
      <c r="P112" s="39" t="n">
        <f aca="false">IF(P$4=0,0,IF(COUNTIFS(実績!$W$6:$W$505,P$3,実績!$AI$6:$AI$505,"&lt;="&amp;$A112,実績!$AJ$6:$AJ$505,"&gt;"&amp;$A112,実績!$AL$6:$AL$505,"○")&gt;0,1,0))</f>
        <v>0</v>
      </c>
      <c r="Q112" s="39" t="n">
        <f aca="false">IF(Q$4=0,0,IF(COUNTIFS(実績!$W$6:$W$505,Q$3,実績!$AI$6:$AI$505,"&lt;="&amp;$A112,実績!$AJ$6:$AJ$505,"&gt;"&amp;$A112,実績!$AL$6:$AL$505,"○")&gt;0,1,0))</f>
        <v>0</v>
      </c>
      <c r="R112" s="39" t="n">
        <f aca="false">IF(R$4=0,0,IF(COUNTIFS(実績!$W$6:$W$505,R$3,実績!$AI$6:$AI$505,"&lt;="&amp;$A112,実績!$AJ$6:$AJ$505,"&gt;"&amp;$A112,実績!$AL$6:$AL$505,"○")&gt;0,1,0))</f>
        <v>0</v>
      </c>
      <c r="S112" s="39" t="n">
        <f aca="false">IF(S$4=0,0,IF(COUNTIFS(実績!$W$6:$W$505,S$3,実績!$AI$6:$AI$505,"&lt;="&amp;$A112,実績!$AJ$6:$AJ$505,"&gt;"&amp;$A112,実績!$AL$6:$AL$505,"○")&gt;0,1,0))</f>
        <v>0</v>
      </c>
      <c r="T112" s="39" t="n">
        <f aca="false">IF(T$4=0,0,IF(COUNTIFS(実績!$W$6:$W$505,T$3,実績!$AI$6:$AI$505,"&lt;="&amp;$A112,実績!$AJ$6:$AJ$505,"&gt;"&amp;$A112,実績!$AL$6:$AL$505,"○")&gt;0,1,0))</f>
        <v>0</v>
      </c>
      <c r="U112" s="39" t="n">
        <f aca="false">IF(U$4=0,0,IF(COUNTIFS(実績!$W$6:$W$505,U$3,実績!$AI$6:$AI$505,"&lt;="&amp;$A112,実績!$AJ$6:$AJ$505,"&gt;"&amp;$A112,実績!$AL$6:$AL$505,"○")&gt;0,1,0))</f>
        <v>0</v>
      </c>
      <c r="V112" s="39" t="n">
        <f aca="false">IF(V$4=0,0,IF(COUNTIFS(実績!$W$6:$W$505,V$3,実績!$AI$6:$AI$505,"&lt;="&amp;$A112,実績!$AJ$6:$AJ$505,"&gt;"&amp;$A112,実績!$AL$6:$AL$505,"○")&gt;0,1,0))</f>
        <v>0</v>
      </c>
      <c r="W112" s="39" t="n">
        <f aca="false">IF(W$4=0,0,IF(COUNTIFS(実績!$W$6:$W$505,W$3,実績!$AI$6:$AI$505,"&lt;="&amp;$A112,実績!$AJ$6:$AJ$505,"&gt;"&amp;$A112,実績!$AL$6:$AL$505,"○")&gt;0,1,0))</f>
        <v>0</v>
      </c>
      <c r="X112" s="39" t="n">
        <f aca="false">IF(X$4=0,0,IF(COUNTIFS(実績!$W$6:$W$505,X$3,実績!$AI$6:$AI$505,"&lt;="&amp;$A112,実績!$AJ$6:$AJ$505,"&gt;"&amp;$A112,実績!$AL$6:$AL$505,"○")&gt;0,1,0))</f>
        <v>0</v>
      </c>
      <c r="Y112" s="39" t="n">
        <f aca="false">IF(Y$4=0,0,IF(COUNTIFS(実績!$W$6:$W$505,Y$3,実績!$AI$6:$AI$505,"&lt;="&amp;$A112,実績!$AJ$6:$AJ$505,"&gt;"&amp;$A112,実績!$AL$6:$AL$505,"○")&gt;0,1,0))</f>
        <v>0</v>
      </c>
      <c r="Z112" s="39" t="n">
        <f aca="false">IF(Z$4=0,0,IF(COUNTIFS(実績!$W$6:$W$505,Z$3,実績!$AI$6:$AI$505,"&lt;="&amp;$A112,実績!$AJ$6:$AJ$505,"&gt;"&amp;$A112,実績!$AL$6:$AL$505,"○")&gt;0,1,0))</f>
        <v>0</v>
      </c>
      <c r="AA112" s="39" t="n">
        <f aca="false">IF(AA$4=0,0,IF(COUNTIFS(実績!$W$6:$W$505,AA$3,実績!$AI$6:$AI$505,"&lt;="&amp;$A112,実績!$AJ$6:$AJ$505,"&gt;"&amp;$A112,実績!$AL$6:$AL$505,"○")&gt;0,1,0))</f>
        <v>0</v>
      </c>
      <c r="AB112" s="39" t="n">
        <f aca="false">IF(AB$4=0,0,IF(COUNTIFS(実績!$W$6:$W$505,AB$3,実績!$AI$6:$AI$505,"&lt;="&amp;$A112,実績!$AJ$6:$AJ$505,"&gt;"&amp;$A112,実績!$AL$6:$AL$505,"○")&gt;0,1,0))</f>
        <v>0</v>
      </c>
      <c r="AC112" s="39" t="n">
        <f aca="false">IF(AC$4=0,0,IF(COUNTIFS(実績!$W$6:$W$505,AC$3,実績!$AI$6:$AI$505,"&lt;="&amp;$A112,実績!$AJ$6:$AJ$505,"&gt;"&amp;$A112,実績!$AL$6:$AL$505,"○")&gt;0,1,0))</f>
        <v>0</v>
      </c>
      <c r="AD112" s="39" t="n">
        <f aca="false">IF(AD$4=0,0,IF(COUNTIFS(実績!$W$6:$W$505,AD$3,実績!$AI$6:$AI$505,"&lt;="&amp;$A112,実績!$AJ$6:$AJ$505,"&gt;"&amp;$A112,実績!$AL$6:$AL$505,"○")&gt;0,1,0))</f>
        <v>0</v>
      </c>
      <c r="AE112" s="39" t="n">
        <f aca="false">IF(AE$4=0,0,IF(COUNTIFS(実績!$W$6:$W$505,AE$3,実績!$AI$6:$AI$505,"&lt;="&amp;$A112,実績!$AJ$6:$AJ$505,"&gt;"&amp;$A112,実績!$AL$6:$AL$505,"○")&gt;0,1,0))</f>
        <v>0</v>
      </c>
      <c r="AF112" s="39" t="n">
        <f aca="false">IF(AF$4=0,0,IF(COUNTIFS(実績!$W$6:$W$505,AF$3,実績!$AI$6:$AI$505,"&lt;="&amp;$A112,実績!$AJ$6:$AJ$505,"&gt;"&amp;$A112,実績!$AL$6:$AL$505,"○")&gt;0,1,0))</f>
        <v>0</v>
      </c>
      <c r="AG112" s="39" t="n">
        <f aca="false">IF(AG$4=0,0,IF(COUNTIFS(実績!$W$6:$W$505,AG$3,実績!$AI$6:$AI$505,"&lt;="&amp;$A112,実績!$AJ$6:$AJ$505,"&gt;"&amp;$A112,実績!$AL$6:$AL$505,"○")&gt;0,1,0))</f>
        <v>0</v>
      </c>
      <c r="AH112" s="39" t="n">
        <f aca="false">IF(AH$4=0,0,IF(COUNTIFS(実績!$W$6:$W$505,AH$3,実績!$AI$6:$AI$505,"&lt;="&amp;$A112,実績!$AJ$6:$AJ$505,"&gt;"&amp;$A112,実績!$AL$6:$AL$505,"○")&gt;0,1,0))</f>
        <v>0</v>
      </c>
      <c r="AI112" s="39" t="n">
        <f aca="false">IF(AI$4=0,0,IF(COUNTIFS(実績!$W$6:$W$505,AI$3,実績!$AI$6:$AI$505,"&lt;="&amp;$A112,実績!$AJ$6:$AJ$505,"&gt;"&amp;$A112,実績!$AL$6:$AL$505,"○")&gt;0,1,0))</f>
        <v>0</v>
      </c>
      <c r="AJ112" s="39" t="n">
        <f aca="false">IF(AJ$4=0,0,IF(COUNTIFS(実績!$W$6:$W$505,AJ$3,実績!$AI$6:$AI$505,"&lt;="&amp;$A112,実績!$AJ$6:$AJ$505,"&gt;"&amp;$A112,実績!$AL$6:$AL$505,"○")&gt;0,1,0))</f>
        <v>0</v>
      </c>
      <c r="AK112" s="39" t="n">
        <f aca="false">IF(AK$4=0,0,IF(COUNTIFS(実績!$W$6:$W$505,AK$3,実績!$AI$6:$AI$505,"&lt;="&amp;$A112,実績!$AJ$6:$AJ$505,"&gt;"&amp;$A112,実績!$AL$6:$AL$505,"○")&gt;0,1,0))</f>
        <v>0</v>
      </c>
      <c r="AL112" s="39" t="n">
        <f aca="false">IF(AL$4=0,0,IF(COUNTIFS(実績!$W$6:$W$505,AL$3,実績!$AI$6:$AI$505,"&lt;="&amp;$A112,実績!$AJ$6:$AJ$505,"&gt;"&amp;$A112,実績!$AL$6:$AL$505,"○")&gt;0,1,0))</f>
        <v>0</v>
      </c>
      <c r="AM112" s="39" t="n">
        <f aca="false">IF(AM$4=0,0,IF(COUNTIFS(実績!$W$6:$W$505,AM$3,実績!$AI$6:$AI$505,"&lt;="&amp;$A112,実績!$AJ$6:$AJ$505,"&gt;"&amp;$A112,実績!$AL$6:$AL$505,"○")&gt;0,1,0))</f>
        <v>0</v>
      </c>
      <c r="AN112" s="39" t="n">
        <f aca="false">IF(AN$4=0,0,IF(COUNTIFS(実績!$W$6:$W$505,AN$3,実績!$AI$6:$AI$505,"&lt;="&amp;$A112,実績!$AJ$6:$AJ$505,"&gt;"&amp;$A112,実績!$AL$6:$AL$505,"○")&gt;0,1,0))</f>
        <v>0</v>
      </c>
      <c r="AO112" s="39" t="n">
        <f aca="false">IF(AO$4=0,0,IF(COUNTIFS(実績!$W$6:$W$505,AO$3,実績!$AI$6:$AI$505,"&lt;="&amp;$A112,実績!$AJ$6:$AJ$505,"&gt;"&amp;$A112,実績!$AL$6:$AL$505,"○")&gt;0,1,0))</f>
        <v>0</v>
      </c>
      <c r="AP112" s="39" t="n">
        <f aca="false">IF(AP$4=0,0,IF(COUNTIFS(実績!$W$6:$W$505,AP$3,実績!$AI$6:$AI$505,"&lt;="&amp;$A112,実績!$AJ$6:$AJ$505,"&gt;"&amp;$A112,実績!$AL$6:$AL$505,"○")&gt;0,1,0))</f>
        <v>0</v>
      </c>
      <c r="AQ112" s="39" t="n">
        <f aca="false">IF(AQ$4=0,0,IF(COUNTIFS(実績!$W$6:$W$505,AQ$3,実績!$AI$6:$AI$505,"&lt;="&amp;$A112,実績!$AJ$6:$AJ$505,"&gt;"&amp;$A112,実績!$AL$6:$AL$505,"○")&gt;0,1,0))</f>
        <v>0</v>
      </c>
      <c r="AR112" s="39" t="n">
        <f aca="false">IF(AR$4=0,0,IF(COUNTIFS(実績!$W$6:$W$505,AR$3,実績!$AI$6:$AI$505,"&lt;="&amp;$A112,実績!$AJ$6:$AJ$505,"&gt;"&amp;$A112,実績!$AL$6:$AL$505,"○")&gt;0,1,0))</f>
        <v>0</v>
      </c>
      <c r="AS112" s="39" t="n">
        <f aca="false">IF(AS$4=0,0,IF(COUNTIFS(実績!$W$6:$W$505,AS$3,実績!$AI$6:$AI$505,"&lt;="&amp;$A112,実績!$AJ$6:$AJ$505,"&gt;"&amp;$A112,実績!$AL$6:$AL$505,"○")&gt;0,1,0))</f>
        <v>0</v>
      </c>
      <c r="AT112" s="39" t="n">
        <f aca="false">IF(AT$4=0,0,IF(COUNTIFS(実績!$W$6:$W$505,AT$3,実績!$AI$6:$AI$505,"&lt;="&amp;$A112,実績!$AJ$6:$AJ$505,"&gt;"&amp;$A112,実績!$AL$6:$AL$505,"○")&gt;0,1,0))</f>
        <v>0</v>
      </c>
      <c r="AU112" s="39" t="n">
        <f aca="false">IF(AU$4=0,0,IF(COUNTIFS(実績!$W$6:$W$505,AU$3,実績!$AI$6:$AI$505,"&lt;="&amp;$A112,実績!$AJ$6:$AJ$505,"&gt;"&amp;$A112,実績!$AL$6:$AL$505,"○")&gt;0,1,0))</f>
        <v>0</v>
      </c>
      <c r="AV112" s="39" t="n">
        <f aca="false">IF(AV$4=0,0,IF(COUNTIFS(実績!$W$6:$W$505,AV$3,実績!$AI$6:$AI$505,"&lt;="&amp;$A112,実績!$AJ$6:$AJ$505,"&gt;"&amp;$A112,実績!$AL$6:$AL$505,"○")&gt;0,1,0))</f>
        <v>0</v>
      </c>
      <c r="AW112" s="39" t="n">
        <f aca="false">IF(AW$4=0,0,IF(COUNTIFS(実績!$W$6:$W$505,AW$3,実績!$AI$6:$AI$505,"&lt;="&amp;$A112,実績!$AJ$6:$AJ$505,"&gt;"&amp;$A112,実績!$AL$6:$AL$505,"○")&gt;0,1,0))</f>
        <v>0</v>
      </c>
      <c r="AX112" s="39" t="n">
        <f aca="false">IF(AX$4=0,0,IF(COUNTIFS(実績!$W$6:$W$505,AX$3,実績!$AI$6:$AI$505,"&lt;="&amp;$A112,実績!$AJ$6:$AJ$505,"&gt;"&amp;$A112,実績!$AL$6:$AL$505,"○")&gt;0,1,0))</f>
        <v>0</v>
      </c>
      <c r="AY112" s="39" t="n">
        <f aca="false">IF(AY$4=0,0,IF(COUNTIFS(実績!$W$6:$W$505,AY$3,実績!$AI$6:$AI$505,"&lt;="&amp;$A112,実績!$AJ$6:$AJ$505,"&gt;"&amp;$A112,実績!$AL$6:$AL$505,"○")&gt;0,1,0))</f>
        <v>0</v>
      </c>
      <c r="AZ112" s="39" t="n">
        <f aca="false">IF(AZ$4=0,0,IF(COUNTIFS(実績!$W$6:$W$505,AZ$3,実績!$AI$6:$AI$505,"&lt;="&amp;$A112,実績!$AJ$6:$AJ$505,"&gt;"&amp;$A112,実績!$AL$6:$AL$505,"○")&gt;0,1,0))</f>
        <v>0</v>
      </c>
      <c r="BA112" s="39" t="n">
        <f aca="false">IF(BA$4=0,0,IF(COUNTIFS(実績!$W$6:$W$505,BA$3,実績!$AI$6:$AI$505,"&lt;="&amp;$A112,実績!$AJ$6:$AJ$505,"&gt;"&amp;$A112,実績!$AL$6:$AL$505,"○")&gt;0,1,0))</f>
        <v>0</v>
      </c>
      <c r="BB112" s="39" t="n">
        <f aca="false">IF(BB$4=0,0,IF(COUNTIFS(実績!$W$6:$W$505,BB$3,実績!$AI$6:$AI$505,"&lt;="&amp;$A112,実績!$AJ$6:$AJ$505,"&gt;"&amp;$A112,実績!$AL$6:$AL$505,"○")&gt;0,1,0))</f>
        <v>0</v>
      </c>
      <c r="BC112" s="39" t="n">
        <f aca="false">IF(BC$4=0,0,IF(COUNTIFS(実績!$W$6:$W$505,BC$3,実績!$AI$6:$AI$505,"&lt;="&amp;$A112,実績!$AJ$6:$AJ$505,"&gt;"&amp;$A112,実績!$AL$6:$AL$505,"○")&gt;0,1,0))</f>
        <v>0</v>
      </c>
      <c r="BD112" s="39" t="n">
        <f aca="false">IF(BD$4=0,0,IF(COUNTIFS(実績!$W$6:$W$505,BD$3,実績!$AI$6:$AI$505,"&lt;="&amp;$A112,実績!$AJ$6:$AJ$505,"&gt;"&amp;$A112,実績!$AL$6:$AL$505,"○")&gt;0,1,0))</f>
        <v>0</v>
      </c>
      <c r="BE112" s="39" t="n">
        <f aca="false">IF(BE$4=0,0,IF(COUNTIFS(実績!$W$6:$W$505,BE$3,実績!$AI$6:$AI$505,"&lt;="&amp;$A112,実績!$AJ$6:$AJ$505,"&gt;"&amp;$A112,実績!$AL$6:$AL$505,"○")&gt;0,1,0))</f>
        <v>0</v>
      </c>
      <c r="BF112" s="39" t="n">
        <f aca="false">IF(BF$4=0,0,IF(COUNTIFS(実績!$W$6:$W$505,BF$3,実績!$AI$6:$AI$505,"&lt;="&amp;$A112,実績!$AJ$6:$AJ$505,"&gt;"&amp;$A112,実績!$AL$6:$AL$505,"○")&gt;0,1,0))</f>
        <v>0</v>
      </c>
      <c r="BG112" s="39" t="n">
        <f aca="false">IF(BG$4=0,0,IF(COUNTIFS(実績!$W$6:$W$505,BG$3,実績!$AI$6:$AI$505,"&lt;="&amp;$A112,実績!$AJ$6:$AJ$505,"&gt;"&amp;$A112,実績!$AL$6:$AL$505,"○")&gt;0,1,0))</f>
        <v>0</v>
      </c>
      <c r="BH112" s="39" t="n">
        <f aca="false">IF(BH$4=0,0,IF(COUNTIFS(実績!$W$6:$W$505,BH$3,実績!$AI$6:$AI$505,"&lt;="&amp;$A112,実績!$AJ$6:$AJ$505,"&gt;"&amp;$A112,実績!$AL$6:$AL$505,"○")&gt;0,1,0))</f>
        <v>0</v>
      </c>
      <c r="BI112" s="39" t="n">
        <f aca="false">IF(BI$4=0,0,IF(COUNTIFS(実績!$W$6:$W$505,BI$3,実績!$AI$6:$AI$505,"&lt;="&amp;$A112,実績!$AJ$6:$AJ$505,"&gt;"&amp;$A112,実績!$AL$6:$AL$505,"○")&gt;0,1,0))</f>
        <v>0</v>
      </c>
      <c r="BJ112" s="39" t="n">
        <f aca="false">IF(BJ$4=0,0,IF(COUNTIFS(実績!$W$6:$W$505,BJ$3,実績!$AI$6:$AI$505,"&lt;="&amp;$A112,実績!$AJ$6:$AJ$505,"&gt;"&amp;$A112,実績!$AL$6:$AL$505,"○")&gt;0,1,0))</f>
        <v>0</v>
      </c>
      <c r="BK112" s="39" t="n">
        <f aca="false">IF(BK$4=0,0,IF(COUNTIFS(実績!$W$6:$W$505,BK$3,実績!$AI$6:$AI$505,"&lt;="&amp;$A112,実績!$AJ$6:$AJ$505,"&gt;"&amp;$A112,実績!$AL$6:$AL$505,"○")&gt;0,1,0))</f>
        <v>0</v>
      </c>
      <c r="BL112" s="39" t="n">
        <f aca="false">IF(BL$4=0,0,IF(COUNTIFS(実績!$W$6:$W$505,BL$3,実績!$AI$6:$AI$505,"&lt;="&amp;$A112,実績!$AJ$6:$AJ$505,"&gt;"&amp;$A112,実績!$AL$6:$AL$505,"○")&gt;0,1,0))</f>
        <v>0</v>
      </c>
      <c r="BM112" s="39" t="n">
        <f aca="false">IF(BM$4=0,0,IF(COUNTIFS(実績!$W$6:$W$505,BM$3,実績!$AI$6:$AI$505,"&lt;="&amp;$A112,実績!$AJ$6:$AJ$505,"&gt;"&amp;$A112,実績!$AL$6:$AL$505,"○")&gt;0,1,0))</f>
        <v>0</v>
      </c>
      <c r="BN112" s="39" t="n">
        <f aca="false">IF(BN$4=0,0,IF(COUNTIFS(実績!$W$6:$W$505,BN$3,実績!$AI$6:$AI$505,"&lt;="&amp;$A112,実績!$AJ$6:$AJ$505,"&gt;"&amp;$A112,実績!$AL$6:$AL$505,"○")&gt;0,1,0))</f>
        <v>0</v>
      </c>
      <c r="BO112" s="39" t="n">
        <f aca="false">IF(BO$4=0,0,IF(COUNTIFS(実績!$W$6:$W$505,BO$3,実績!$AI$6:$AI$505,"&lt;="&amp;$A112,実績!$AJ$6:$AJ$505,"&gt;"&amp;$A112,実績!$AL$6:$AL$505,"○")&gt;0,1,0))</f>
        <v>0</v>
      </c>
      <c r="BP112" s="39" t="n">
        <f aca="false">IF(BP$4=0,0,IF(COUNTIFS(実績!$W$6:$W$505,BP$3,実績!$AI$6:$AI$505,"&lt;="&amp;$A112,実績!$AJ$6:$AJ$505,"&gt;"&amp;$A112,実績!$AL$6:$AL$505,"○")&gt;0,1,0))</f>
        <v>0</v>
      </c>
      <c r="BQ112" s="39" t="n">
        <f aca="false">IF(BQ$4=0,0,IF(COUNTIFS(実績!$W$6:$W$505,BQ$3,実績!$AI$6:$AI$505,"&lt;="&amp;$A112,実績!$AJ$6:$AJ$505,"&gt;"&amp;$A112,実績!$AL$6:$AL$505,"○")&gt;0,1,0))</f>
        <v>0</v>
      </c>
      <c r="BR112" s="39" t="n">
        <f aca="false">IF(BR$4=0,0,IF(COUNTIFS(実績!$W$6:$W$505,BR$3,実績!$AI$6:$AI$505,"&lt;="&amp;$A112,実績!$AJ$6:$AJ$505,"&gt;"&amp;$A112,実績!$AL$6:$AL$505,"○")&gt;0,1,0))</f>
        <v>0</v>
      </c>
      <c r="BS112" s="39" t="n">
        <f aca="false">IF(BS$4=0,0,IF(COUNTIFS(実績!$W$6:$W$505,BS$3,実績!$AI$6:$AI$505,"&lt;="&amp;$A112,実績!$AJ$6:$AJ$505,"&gt;"&amp;$A112,実績!$AL$6:$AL$505,"○")&gt;0,1,0))</f>
        <v>0</v>
      </c>
      <c r="BT112" s="39" t="n">
        <f aca="false">IF(BT$4=0,0,IF(COUNTIFS(実績!$W$6:$W$505,BT$3,実績!$AI$6:$AI$505,"&lt;="&amp;$A112,実績!$AJ$6:$AJ$505,"&gt;"&amp;$A112,実績!$AL$6:$AL$505,"○")&gt;0,1,0))</f>
        <v>0</v>
      </c>
      <c r="BU112" s="39" t="n">
        <f aca="false">IF(BU$4=0,0,IF(COUNTIFS(実績!$W$6:$W$505,BU$3,実績!$AI$6:$AI$505,"&lt;="&amp;$A112,実績!$AJ$6:$AJ$505,"&gt;"&amp;$A112,実績!$AL$6:$AL$505,"○")&gt;0,1,0))</f>
        <v>0</v>
      </c>
      <c r="BV112" s="39" t="n">
        <f aca="false">IF(BV$4=0,0,IF(COUNTIFS(実績!$W$6:$W$505,BV$3,実績!$AI$6:$AI$505,"&lt;="&amp;$A112,実績!$AJ$6:$AJ$505,"&gt;"&amp;$A112,実績!$AL$6:$AL$505,"○")&gt;0,1,0))</f>
        <v>0</v>
      </c>
      <c r="BW112" s="39" t="n">
        <f aca="false">IF(BW$4=0,0,IF(COUNTIFS(実績!$W$6:$W$505,BW$3,実績!$AI$6:$AI$505,"&lt;="&amp;$A112,実績!$AJ$6:$AJ$505,"&gt;"&amp;$A112,実績!$AL$6:$AL$505,"○")&gt;0,1,0))</f>
        <v>0</v>
      </c>
      <c r="BX112" s="39" t="n">
        <f aca="false">IF(BX$4=0,0,IF(COUNTIFS(実績!$W$6:$W$505,BX$3,実績!$AI$6:$AI$505,"&lt;="&amp;$A112,実績!$AJ$6:$AJ$505,"&gt;"&amp;$A112,実績!$AL$6:$AL$505,"○")&gt;0,1,0))</f>
        <v>0</v>
      </c>
      <c r="BY112" s="39" t="n">
        <f aca="false">IF(BY$4=0,0,IF(COUNTIFS(実績!$W$6:$W$505,BY$3,実績!$AI$6:$AI$505,"&lt;="&amp;$A112,実績!$AJ$6:$AJ$505,"&gt;"&amp;$A112,実績!$AL$6:$AL$505,"○")&gt;0,1,0))</f>
        <v>0</v>
      </c>
      <c r="BZ112" s="39" t="n">
        <f aca="false">IF(BZ$4=0,0,IF(COUNTIFS(実績!$W$6:$W$505,BZ$3,実績!$AI$6:$AI$505,"&lt;="&amp;$A112,実績!$AJ$6:$AJ$505,"&gt;"&amp;$A112,実績!$AL$6:$AL$505,"○")&gt;0,1,0))</f>
        <v>0</v>
      </c>
      <c r="CA112" s="39" t="n">
        <f aca="false">IF(CA$4=0,0,IF(COUNTIFS(実績!$W$6:$W$505,CA$3,実績!$AI$6:$AI$505,"&lt;="&amp;$A112,実績!$AJ$6:$AJ$505,"&gt;"&amp;$A112,実績!$AL$6:$AL$505,"○")&gt;0,1,0))</f>
        <v>0</v>
      </c>
      <c r="CB112" s="39" t="n">
        <f aca="false">IF(CB$4=0,0,IF(COUNTIFS(実績!$W$6:$W$505,CB$3,実績!$AI$6:$AI$505,"&lt;="&amp;$A112,実績!$AJ$6:$AJ$505,"&gt;"&amp;$A112,実績!$AL$6:$AL$505,"○")&gt;0,1,0))</f>
        <v>0</v>
      </c>
      <c r="CC112" s="39" t="n">
        <f aca="false">IF(CC$4=0,0,IF(COUNTIFS(実績!$W$6:$W$505,CC$3,実績!$AI$6:$AI$505,"&lt;="&amp;$A112,実績!$AJ$6:$AJ$505,"&gt;"&amp;$A112,実績!$AL$6:$AL$505,"○")&gt;0,1,0))</f>
        <v>0</v>
      </c>
      <c r="CD112" s="39" t="n">
        <f aca="false">IF(CD$4=0,0,IF(COUNTIFS(実績!$W$6:$W$505,CD$3,実績!$AI$6:$AI$505,"&lt;="&amp;$A112,実績!$AJ$6:$AJ$505,"&gt;"&amp;$A112,実績!$AL$6:$AL$505,"○")&gt;0,1,0))</f>
        <v>0</v>
      </c>
      <c r="CE112" s="39" t="n">
        <f aca="false">IF(CE$4=0,0,IF(COUNTIFS(実績!$W$6:$W$505,CE$3,実績!$AI$6:$AI$505,"&lt;="&amp;$A112,実績!$AJ$6:$AJ$505,"&gt;"&amp;$A112,実績!$AL$6:$AL$505,"○")&gt;0,1,0))</f>
        <v>0</v>
      </c>
      <c r="CF112" s="39" t="n">
        <f aca="false">IF(CF$4=0,0,IF(COUNTIFS(実績!$W$6:$W$505,CF$3,実績!$AI$6:$AI$505,"&lt;="&amp;$A112,実績!$AJ$6:$AJ$505,"&gt;"&amp;$A112,実績!$AL$6:$AL$505,"○")&gt;0,1,0))</f>
        <v>0</v>
      </c>
      <c r="CG112" s="39" t="n">
        <f aca="false">IF(CG$4=0,0,IF(COUNTIFS(実績!$W$6:$W$505,CG$3,実績!$AI$6:$AI$505,"&lt;="&amp;$A112,実績!$AJ$6:$AJ$505,"&gt;"&amp;$A112,実績!$AL$6:$AL$505,"○")&gt;0,1,0))</f>
        <v>0</v>
      </c>
      <c r="CH112" s="39" t="n">
        <f aca="false">IF(CH$4=0,0,IF(COUNTIFS(実績!$W$6:$W$505,CH$3,実績!$AI$6:$AI$505,"&lt;="&amp;$A112,実績!$AJ$6:$AJ$505,"&gt;"&amp;$A112,実績!$AL$6:$AL$505,"○")&gt;0,1,0))</f>
        <v>0</v>
      </c>
      <c r="CI112" s="39" t="n">
        <f aca="false">IF(CI$4=0,0,IF(COUNTIFS(実績!$W$6:$W$505,CI$3,実績!$AI$6:$AI$505,"&lt;="&amp;$A112,実績!$AJ$6:$AJ$505,"&gt;"&amp;$A112,実績!$AL$6:$AL$505,"○")&gt;0,1,0))</f>
        <v>0</v>
      </c>
      <c r="CJ112" s="39" t="n">
        <f aca="false">IF(CJ$4=0,0,IF(COUNTIFS(実績!$W$6:$W$505,CJ$3,実績!$AI$6:$AI$505,"&lt;="&amp;$A112,実績!$AJ$6:$AJ$505,"&gt;"&amp;$A112,実績!$AL$6:$AL$505,"○")&gt;0,1,0))</f>
        <v>0</v>
      </c>
      <c r="CK112" s="39" t="n">
        <f aca="false">IF(CK$4=0,0,IF(COUNTIFS(実績!$W$6:$W$505,CK$3,実績!$AI$6:$AI$505,"&lt;="&amp;$A112,実績!$AJ$6:$AJ$505,"&gt;"&amp;$A112,実績!$AL$6:$AL$505,"○")&gt;0,1,0))</f>
        <v>0</v>
      </c>
      <c r="CL112" s="39" t="n">
        <f aca="false">IF(CL$4=0,0,IF(COUNTIFS(実績!$W$6:$W$505,CL$3,実績!$AI$6:$AI$505,"&lt;="&amp;$A112,実績!$AJ$6:$AJ$505,"&gt;"&amp;$A112,実績!$AL$6:$AL$505,"○")&gt;0,1,0))</f>
        <v>0</v>
      </c>
      <c r="CM112" s="39" t="n">
        <f aca="false">IF(CM$4=0,0,IF(COUNTIFS(実績!$W$6:$W$505,CM$3,実績!$AI$6:$AI$505,"&lt;="&amp;$A112,実績!$AJ$6:$AJ$505,"&gt;"&amp;$A112,実績!$AL$6:$AL$505,"○")&gt;0,1,0))</f>
        <v>0</v>
      </c>
      <c r="CN112" s="39" t="n">
        <f aca="false">IF(CN$4=0,0,IF(COUNTIFS(実績!$W$6:$W$505,CN$3,実績!$AI$6:$AI$505,"&lt;="&amp;$A112,実績!$AJ$6:$AJ$505,"&gt;"&amp;$A112,実績!$AL$6:$AL$505,"○")&gt;0,1,0))</f>
        <v>0</v>
      </c>
      <c r="CO112" s="39" t="n">
        <f aca="false">IF(CO$4=0,0,IF(COUNTIFS(実績!$W$6:$W$505,CO$3,実績!$AI$6:$AI$505,"&lt;="&amp;$A112,実績!$AJ$6:$AJ$505,"&gt;"&amp;$A112,実績!$AL$6:$AL$505,"○")&gt;0,1,0))</f>
        <v>0</v>
      </c>
      <c r="CP112" s="39" t="n">
        <f aca="false">IF(CP$4=0,0,IF(COUNTIFS(実績!$W$6:$W$505,CP$3,実績!$AI$6:$AI$505,"&lt;="&amp;$A112,実績!$AJ$6:$AJ$505,"&gt;"&amp;$A112,実績!$AL$6:$AL$505,"○")&gt;0,1,0))</f>
        <v>0</v>
      </c>
      <c r="CQ112" s="39" t="n">
        <f aca="false">IF(CQ$4=0,0,IF(COUNTIFS(実績!$W$6:$W$505,CQ$3,実績!$AI$6:$AI$505,"&lt;="&amp;$A112,実績!$AJ$6:$AJ$505,"&gt;"&amp;$A112,実績!$AL$6:$AL$505,"○")&gt;0,1,0))</f>
        <v>0</v>
      </c>
      <c r="CR112" s="39" t="n">
        <f aca="false">IF(CR$4=0,0,IF(COUNTIFS(実績!$W$6:$W$505,CR$3,実績!$AI$6:$AI$505,"&lt;="&amp;$A112,実績!$AJ$6:$AJ$505,"&gt;"&amp;$A112,実績!$AL$6:$AL$505,"○")&gt;0,1,0))</f>
        <v>0</v>
      </c>
      <c r="CS112" s="39" t="n">
        <f aca="false">IF(CS$4=0,0,IF(COUNTIFS(実績!$W$6:$W$505,CS$3,実績!$AI$6:$AI$505,"&lt;="&amp;$A112,実績!$AJ$6:$AJ$505,"&gt;"&amp;$A112,実績!$AL$6:$AL$505,"○")&gt;0,1,0))</f>
        <v>0</v>
      </c>
      <c r="CT112" s="39" t="n">
        <f aca="false">IF(CT$4=0,0,IF(COUNTIFS(実績!$W$6:$W$505,CT$3,実績!$AI$6:$AI$505,"&lt;="&amp;$A112,実績!$AJ$6:$AJ$505,"&gt;"&amp;$A112,実績!$AL$6:$AL$505,"○")&gt;0,1,0))</f>
        <v>0</v>
      </c>
      <c r="CU112" s="39" t="n">
        <f aca="false">IF(CU$4=0,0,IF(COUNTIFS(実績!$W$6:$W$505,CU$3,実績!$AI$6:$AI$505,"&lt;="&amp;$A112,実績!$AJ$6:$AJ$505,"&gt;"&amp;$A112,実績!$AL$6:$AL$505,"○")&gt;0,1,0))</f>
        <v>0</v>
      </c>
      <c r="CV112" s="39" t="n">
        <f aca="false">IF(CV$4=0,0,IF(COUNTIFS(実績!$W$6:$W$505,CV$3,実績!$AI$6:$AI$505,"&lt;="&amp;$A112,実績!$AJ$6:$AJ$505,"&gt;"&amp;$A112,実績!$AL$6:$AL$505,"○")&gt;0,1,0))</f>
        <v>0</v>
      </c>
      <c r="CW112" s="39" t="n">
        <f aca="false">IF(CW$4=0,0,IF(COUNTIFS(実績!$W$6:$W$505,CW$3,実績!$AI$6:$AI$505,"&lt;="&amp;$A112,実績!$AJ$6:$AJ$505,"&gt;"&amp;$A112,実績!$AL$6:$AL$505,"○")&gt;0,1,0))</f>
        <v>0</v>
      </c>
      <c r="CX112" s="39" t="n">
        <f aca="false">IF(CX$4=0,0,IF(COUNTIFS(実績!$W$6:$W$505,CX$3,実績!$AI$6:$AI$505,"&lt;="&amp;$A112,実績!$AJ$6:$AJ$505,"&gt;"&amp;$A112,実績!$AL$6:$AL$505,"○")&gt;0,1,0))</f>
        <v>0</v>
      </c>
      <c r="CY112" s="39" t="n">
        <f aca="false">IF(CY$4=0,0,IF(COUNTIFS(実績!$W$6:$W$505,CY$3,実績!$AI$6:$AI$505,"&lt;="&amp;$A112,実績!$AJ$6:$AJ$505,"&gt;"&amp;$A112,実績!$AL$6:$AL$505,"○")&gt;0,1,0))</f>
        <v>0</v>
      </c>
      <c r="CZ112" s="39" t="n">
        <f aca="false">IF(CZ$4=0,0,IF(COUNTIFS(実績!$W$6:$W$505,CZ$3,実績!$AI$6:$AI$505,"&lt;="&amp;$A112,実績!$AJ$6:$AJ$505,"&gt;"&amp;$A112,実績!$AL$6:$AL$505,"○")&gt;0,1,0))</f>
        <v>0</v>
      </c>
      <c r="DA112" s="39" t="n">
        <f aca="false">IF(DA$4=0,0,IF(COUNTIFS(実績!$W$6:$W$505,DA$3,実績!$AI$6:$AI$505,"&lt;="&amp;$A112,実績!$AJ$6:$AJ$505,"&gt;"&amp;$A112,実績!$AL$6:$AL$505,"○")&gt;0,1,0))</f>
        <v>0</v>
      </c>
      <c r="DB112" s="39" t="n">
        <f aca="false">IF(DB$4=0,0,IF(COUNTIFS(実績!$W$6:$W$505,DB$3,実績!$AI$6:$AI$505,"&lt;="&amp;$A112,実績!$AJ$6:$AJ$505,"&gt;"&amp;$A112,実績!$AL$6:$AL$505,"○")&gt;0,1,0))</f>
        <v>0</v>
      </c>
      <c r="DC112" s="39" t="n">
        <f aca="false">IF(DC$4=0,0,IF(COUNTIFS(実績!$W$6:$W$505,DC$3,実績!$AI$6:$AI$505,"&lt;="&amp;$A112,実績!$AJ$6:$AJ$505,"&gt;"&amp;$A112,実績!$AL$6:$AL$505,"○")&gt;0,1,0))</f>
        <v>0</v>
      </c>
      <c r="DD112" s="39" t="n">
        <f aca="false">IF(DD$4=0,0,IF(COUNTIFS(実績!$W$6:$W$505,DD$3,実績!$AI$6:$AI$505,"&lt;="&amp;$A112,実績!$AJ$6:$AJ$505,"&gt;"&amp;$A112,実績!$AL$6:$AL$505,"○")&gt;0,1,0))</f>
        <v>0</v>
      </c>
      <c r="DE112" s="39" t="n">
        <f aca="false">IF(DE$4=0,0,IF(COUNTIFS(実績!$W$6:$W$505,DE$3,実績!$AI$6:$AI$505,"&lt;="&amp;$A112,実績!$AJ$6:$AJ$505,"&gt;"&amp;$A112,実績!$AL$6:$AL$505,"○")&gt;0,1,0))</f>
        <v>0</v>
      </c>
      <c r="DF112" s="39" t="n">
        <f aca="false">IF(DF$4=0,0,IF(COUNTIFS(実績!$W$6:$W$505,DF$3,実績!$AI$6:$AI$505,"&lt;="&amp;$A112,実績!$AJ$6:$AJ$505,"&gt;"&amp;$A112,実績!$AL$6:$AL$505,"○")&gt;0,1,0))</f>
        <v>0</v>
      </c>
      <c r="DG112" s="39" t="n">
        <f aca="false">IF(DG$4=0,0,IF(COUNTIFS(実績!$W$6:$W$505,DG$3,実績!$AI$6:$AI$505,"&lt;="&amp;$A112,実績!$AJ$6:$AJ$505,"&gt;"&amp;$A112,実績!$AL$6:$AL$505,"○")&gt;0,1,0))</f>
        <v>0</v>
      </c>
      <c r="DH112" s="39" t="n">
        <f aca="false">IF(DH$4=0,0,IF(COUNTIFS(実績!$W$6:$W$505,DH$3,実績!$AI$6:$AI$505,"&lt;="&amp;$A112,実績!$AJ$6:$AJ$505,"&gt;"&amp;$A112,実績!$AL$6:$AL$505,"○")&gt;0,1,0))</f>
        <v>0</v>
      </c>
      <c r="DI112" s="39" t="n">
        <f aca="false">IF(DI$4=0,0,IF(COUNTIFS(実績!$W$6:$W$505,DI$3,実績!$AI$6:$AI$505,"&lt;="&amp;$A112,実績!$AJ$6:$AJ$505,"&gt;"&amp;$A112,実績!$AL$6:$AL$505,"○")&gt;0,1,0))</f>
        <v>0</v>
      </c>
      <c r="DJ112" s="39" t="n">
        <f aca="false">IF(DJ$4=0,0,IF(COUNTIFS(実績!$W$6:$W$505,DJ$3,実績!$AI$6:$AI$505,"&lt;="&amp;$A112,実績!$AJ$6:$AJ$505,"&gt;"&amp;$A112,実績!$AL$6:$AL$505,"○")&gt;0,1,0))</f>
        <v>0</v>
      </c>
      <c r="DK112" s="39" t="n">
        <f aca="false">IF(DK$4=0,0,IF(COUNTIFS(実績!$W$6:$W$505,DK$3,実績!$AI$6:$AI$505,"&lt;="&amp;$A112,実績!$AJ$6:$AJ$505,"&gt;"&amp;$A112,実績!$AL$6:$AL$505,"○")&gt;0,1,0))</f>
        <v>0</v>
      </c>
      <c r="DL112" s="39" t="n">
        <f aca="false">IF(DL$4=0,0,IF(COUNTIFS(実績!$W$6:$W$505,DL$3,実績!$AI$6:$AI$505,"&lt;="&amp;$A112,実績!$AJ$6:$AJ$505,"&gt;"&amp;$A112,実績!$AL$6:$AL$505,"○")&gt;0,1,0))</f>
        <v>0</v>
      </c>
      <c r="DM112" s="39" t="n">
        <f aca="false">IF(DM$4=0,0,IF(COUNTIFS(実績!$W$6:$W$505,DM$3,実績!$AI$6:$AI$505,"&lt;="&amp;$A112,実績!$AJ$6:$AJ$505,"&gt;"&amp;$A112,実績!$AL$6:$AL$505,"○")&gt;0,1,0))</f>
        <v>0</v>
      </c>
      <c r="DN112" s="39" t="n">
        <f aca="false">IF(DN$4=0,0,IF(COUNTIFS(実績!$W$6:$W$505,DN$3,実績!$AI$6:$AI$505,"&lt;="&amp;$A112,実績!$AJ$6:$AJ$505,"&gt;"&amp;$A112,実績!$AL$6:$AL$505,"○")&gt;0,1,0))</f>
        <v>0</v>
      </c>
      <c r="DO112" s="39" t="n">
        <f aca="false">IF(DO$4=0,0,IF(COUNTIFS(実績!$W$6:$W$505,DO$3,実績!$AI$6:$AI$505,"&lt;="&amp;$A112,実績!$AJ$6:$AJ$505,"&gt;"&amp;$A112,実績!$AL$6:$AL$505,"○")&gt;0,1,0))</f>
        <v>0</v>
      </c>
      <c r="DP112" s="39" t="n">
        <f aca="false">IF(DP$4=0,0,IF(COUNTIFS(実績!$W$6:$W$505,DP$3,実績!$AI$6:$AI$505,"&lt;="&amp;$A112,実績!$AJ$6:$AJ$505,"&gt;"&amp;$A112,実績!$AL$6:$AL$505,"○")&gt;0,1,0))</f>
        <v>0</v>
      </c>
      <c r="DQ112" s="39" t="n">
        <f aca="false">IF(DQ$4=0,0,IF(COUNTIFS(実績!$W$6:$W$505,DQ$3,実績!$AI$6:$AI$505,"&lt;="&amp;$A112,実績!$AJ$6:$AJ$505,"&gt;"&amp;$A112,実績!$AL$6:$AL$505,"○")&gt;0,1,0))</f>
        <v>0</v>
      </c>
      <c r="DR112" s="39" t="n">
        <f aca="false">IF(DR$4=0,0,IF(COUNTIFS(実績!$W$6:$W$505,DR$3,実績!$AI$6:$AI$505,"&lt;="&amp;$A112,実績!$AJ$6:$AJ$505,"&gt;"&amp;$A112,実績!$AL$6:$AL$505,"○")&gt;0,1,0))</f>
        <v>0</v>
      </c>
      <c r="DS112" s="39" t="n">
        <f aca="false">SUM(C112:DR112)</f>
        <v>0</v>
      </c>
    </row>
    <row r="113" customFormat="false" ht="15" hidden="false" customHeight="false" outlineLevel="0" collapsed="false">
      <c r="A113" s="0" t="n">
        <v>535</v>
      </c>
      <c r="B113" s="38" t="n">
        <f aca="false">A113/1440</f>
        <v>0.371527777777778</v>
      </c>
      <c r="C113" s="39" t="n">
        <f aca="false">IF(C$4=0,0,IF(COUNTIFS(実績!$W$6:$W$505,C$3,実績!$AI$6:$AI$505,"&lt;="&amp;$A113,実績!$AJ$6:$AJ$505,"&gt;"&amp;$A113,実績!$AL$6:$AL$505,"○")&gt;0,1,0))</f>
        <v>0</v>
      </c>
      <c r="D113" s="39" t="n">
        <f aca="false">IF(D$4=0,0,IF(COUNTIFS(実績!$W$6:$W$505,D$3,実績!$AI$6:$AI$505,"&lt;="&amp;$A113,実績!$AJ$6:$AJ$505,"&gt;"&amp;$A113,実績!$AL$6:$AL$505,"○")&gt;0,1,0))</f>
        <v>0</v>
      </c>
      <c r="E113" s="39" t="n">
        <f aca="false">IF(E$4=0,0,IF(COUNTIFS(実績!$W$6:$W$505,E$3,実績!$AI$6:$AI$505,"&lt;="&amp;$A113,実績!$AJ$6:$AJ$505,"&gt;"&amp;$A113,実績!$AL$6:$AL$505,"○")&gt;0,1,0))</f>
        <v>0</v>
      </c>
      <c r="F113" s="39" t="n">
        <f aca="false">IF(F$4=0,0,IF(COUNTIFS(実績!$W$6:$W$505,F$3,実績!$AI$6:$AI$505,"&lt;="&amp;$A113,実績!$AJ$6:$AJ$505,"&gt;"&amp;$A113,実績!$AL$6:$AL$505,"○")&gt;0,1,0))</f>
        <v>0</v>
      </c>
      <c r="G113" s="39" t="n">
        <f aca="false">IF(G$4=0,0,IF(COUNTIFS(実績!$W$6:$W$505,G$3,実績!$AI$6:$AI$505,"&lt;="&amp;$A113,実績!$AJ$6:$AJ$505,"&gt;"&amp;$A113,実績!$AL$6:$AL$505,"○")&gt;0,1,0))</f>
        <v>0</v>
      </c>
      <c r="H113" s="39" t="n">
        <f aca="false">IF(H$4=0,0,IF(COUNTIFS(実績!$W$6:$W$505,H$3,実績!$AI$6:$AI$505,"&lt;="&amp;$A113,実績!$AJ$6:$AJ$505,"&gt;"&amp;$A113,実績!$AL$6:$AL$505,"○")&gt;0,1,0))</f>
        <v>0</v>
      </c>
      <c r="I113" s="39" t="n">
        <f aca="false">IF(I$4=0,0,IF(COUNTIFS(実績!$W$6:$W$505,I$3,実績!$AI$6:$AI$505,"&lt;="&amp;$A113,実績!$AJ$6:$AJ$505,"&gt;"&amp;$A113,実績!$AL$6:$AL$505,"○")&gt;0,1,0))</f>
        <v>0</v>
      </c>
      <c r="J113" s="39" t="n">
        <f aca="false">IF(J$4=0,0,IF(COUNTIFS(実績!$W$6:$W$505,J$3,実績!$AI$6:$AI$505,"&lt;="&amp;$A113,実績!$AJ$6:$AJ$505,"&gt;"&amp;$A113,実績!$AL$6:$AL$505,"○")&gt;0,1,0))</f>
        <v>0</v>
      </c>
      <c r="K113" s="39" t="n">
        <f aca="false">IF(K$4=0,0,IF(COUNTIFS(実績!$W$6:$W$505,K$3,実績!$AI$6:$AI$505,"&lt;="&amp;$A113,実績!$AJ$6:$AJ$505,"&gt;"&amp;$A113,実績!$AL$6:$AL$505,"○")&gt;0,1,0))</f>
        <v>0</v>
      </c>
      <c r="L113" s="39" t="n">
        <f aca="false">IF(L$4=0,0,IF(COUNTIFS(実績!$W$6:$W$505,L$3,実績!$AI$6:$AI$505,"&lt;="&amp;$A113,実績!$AJ$6:$AJ$505,"&gt;"&amp;$A113,実績!$AL$6:$AL$505,"○")&gt;0,1,0))</f>
        <v>0</v>
      </c>
      <c r="M113" s="39" t="n">
        <f aca="false">IF(M$4=0,0,IF(COUNTIFS(実績!$W$6:$W$505,M$3,実績!$AI$6:$AI$505,"&lt;="&amp;$A113,実績!$AJ$6:$AJ$505,"&gt;"&amp;$A113,実績!$AL$6:$AL$505,"○")&gt;0,1,0))</f>
        <v>0</v>
      </c>
      <c r="N113" s="39" t="n">
        <f aca="false">IF(N$4=0,0,IF(COUNTIFS(実績!$W$6:$W$505,N$3,実績!$AI$6:$AI$505,"&lt;="&amp;$A113,実績!$AJ$6:$AJ$505,"&gt;"&amp;$A113,実績!$AL$6:$AL$505,"○")&gt;0,1,0))</f>
        <v>0</v>
      </c>
      <c r="O113" s="39" t="n">
        <f aca="false">IF(O$4=0,0,IF(COUNTIFS(実績!$W$6:$W$505,O$3,実績!$AI$6:$AI$505,"&lt;="&amp;$A113,実績!$AJ$6:$AJ$505,"&gt;"&amp;$A113,実績!$AL$6:$AL$505,"○")&gt;0,1,0))</f>
        <v>0</v>
      </c>
      <c r="P113" s="39" t="n">
        <f aca="false">IF(P$4=0,0,IF(COUNTIFS(実績!$W$6:$W$505,P$3,実績!$AI$6:$AI$505,"&lt;="&amp;$A113,実績!$AJ$6:$AJ$505,"&gt;"&amp;$A113,実績!$AL$6:$AL$505,"○")&gt;0,1,0))</f>
        <v>0</v>
      </c>
      <c r="Q113" s="39" t="n">
        <f aca="false">IF(Q$4=0,0,IF(COUNTIFS(実績!$W$6:$W$505,Q$3,実績!$AI$6:$AI$505,"&lt;="&amp;$A113,実績!$AJ$6:$AJ$505,"&gt;"&amp;$A113,実績!$AL$6:$AL$505,"○")&gt;0,1,0))</f>
        <v>0</v>
      </c>
      <c r="R113" s="39" t="n">
        <f aca="false">IF(R$4=0,0,IF(COUNTIFS(実績!$W$6:$W$505,R$3,実績!$AI$6:$AI$505,"&lt;="&amp;$A113,実績!$AJ$6:$AJ$505,"&gt;"&amp;$A113,実績!$AL$6:$AL$505,"○")&gt;0,1,0))</f>
        <v>0</v>
      </c>
      <c r="S113" s="39" t="n">
        <f aca="false">IF(S$4=0,0,IF(COUNTIFS(実績!$W$6:$W$505,S$3,実績!$AI$6:$AI$505,"&lt;="&amp;$A113,実績!$AJ$6:$AJ$505,"&gt;"&amp;$A113,実績!$AL$6:$AL$505,"○")&gt;0,1,0))</f>
        <v>0</v>
      </c>
      <c r="T113" s="39" t="n">
        <f aca="false">IF(T$4=0,0,IF(COUNTIFS(実績!$W$6:$W$505,T$3,実績!$AI$6:$AI$505,"&lt;="&amp;$A113,実績!$AJ$6:$AJ$505,"&gt;"&amp;$A113,実績!$AL$6:$AL$505,"○")&gt;0,1,0))</f>
        <v>0</v>
      </c>
      <c r="U113" s="39" t="n">
        <f aca="false">IF(U$4=0,0,IF(COUNTIFS(実績!$W$6:$W$505,U$3,実績!$AI$6:$AI$505,"&lt;="&amp;$A113,実績!$AJ$6:$AJ$505,"&gt;"&amp;$A113,実績!$AL$6:$AL$505,"○")&gt;0,1,0))</f>
        <v>0</v>
      </c>
      <c r="V113" s="39" t="n">
        <f aca="false">IF(V$4=0,0,IF(COUNTIFS(実績!$W$6:$W$505,V$3,実績!$AI$6:$AI$505,"&lt;="&amp;$A113,実績!$AJ$6:$AJ$505,"&gt;"&amp;$A113,実績!$AL$6:$AL$505,"○")&gt;0,1,0))</f>
        <v>0</v>
      </c>
      <c r="W113" s="39" t="n">
        <f aca="false">IF(W$4=0,0,IF(COUNTIFS(実績!$W$6:$W$505,W$3,実績!$AI$6:$AI$505,"&lt;="&amp;$A113,実績!$AJ$6:$AJ$505,"&gt;"&amp;$A113,実績!$AL$6:$AL$505,"○")&gt;0,1,0))</f>
        <v>0</v>
      </c>
      <c r="X113" s="39" t="n">
        <f aca="false">IF(X$4=0,0,IF(COUNTIFS(実績!$W$6:$W$505,X$3,実績!$AI$6:$AI$505,"&lt;="&amp;$A113,実績!$AJ$6:$AJ$505,"&gt;"&amp;$A113,実績!$AL$6:$AL$505,"○")&gt;0,1,0))</f>
        <v>0</v>
      </c>
      <c r="Y113" s="39" t="n">
        <f aca="false">IF(Y$4=0,0,IF(COUNTIFS(実績!$W$6:$W$505,Y$3,実績!$AI$6:$AI$505,"&lt;="&amp;$A113,実績!$AJ$6:$AJ$505,"&gt;"&amp;$A113,実績!$AL$6:$AL$505,"○")&gt;0,1,0))</f>
        <v>0</v>
      </c>
      <c r="Z113" s="39" t="n">
        <f aca="false">IF(Z$4=0,0,IF(COUNTIFS(実績!$W$6:$W$505,Z$3,実績!$AI$6:$AI$505,"&lt;="&amp;$A113,実績!$AJ$6:$AJ$505,"&gt;"&amp;$A113,実績!$AL$6:$AL$505,"○")&gt;0,1,0))</f>
        <v>0</v>
      </c>
      <c r="AA113" s="39" t="n">
        <f aca="false">IF(AA$4=0,0,IF(COUNTIFS(実績!$W$6:$W$505,AA$3,実績!$AI$6:$AI$505,"&lt;="&amp;$A113,実績!$AJ$6:$AJ$505,"&gt;"&amp;$A113,実績!$AL$6:$AL$505,"○")&gt;0,1,0))</f>
        <v>0</v>
      </c>
      <c r="AB113" s="39" t="n">
        <f aca="false">IF(AB$4=0,0,IF(COUNTIFS(実績!$W$6:$W$505,AB$3,実績!$AI$6:$AI$505,"&lt;="&amp;$A113,実績!$AJ$6:$AJ$505,"&gt;"&amp;$A113,実績!$AL$6:$AL$505,"○")&gt;0,1,0))</f>
        <v>0</v>
      </c>
      <c r="AC113" s="39" t="n">
        <f aca="false">IF(AC$4=0,0,IF(COUNTIFS(実績!$W$6:$W$505,AC$3,実績!$AI$6:$AI$505,"&lt;="&amp;$A113,実績!$AJ$6:$AJ$505,"&gt;"&amp;$A113,実績!$AL$6:$AL$505,"○")&gt;0,1,0))</f>
        <v>0</v>
      </c>
      <c r="AD113" s="39" t="n">
        <f aca="false">IF(AD$4=0,0,IF(COUNTIFS(実績!$W$6:$W$505,AD$3,実績!$AI$6:$AI$505,"&lt;="&amp;$A113,実績!$AJ$6:$AJ$505,"&gt;"&amp;$A113,実績!$AL$6:$AL$505,"○")&gt;0,1,0))</f>
        <v>0</v>
      </c>
      <c r="AE113" s="39" t="n">
        <f aca="false">IF(AE$4=0,0,IF(COUNTIFS(実績!$W$6:$W$505,AE$3,実績!$AI$6:$AI$505,"&lt;="&amp;$A113,実績!$AJ$6:$AJ$505,"&gt;"&amp;$A113,実績!$AL$6:$AL$505,"○")&gt;0,1,0))</f>
        <v>0</v>
      </c>
      <c r="AF113" s="39" t="n">
        <f aca="false">IF(AF$4=0,0,IF(COUNTIFS(実績!$W$6:$W$505,AF$3,実績!$AI$6:$AI$505,"&lt;="&amp;$A113,実績!$AJ$6:$AJ$505,"&gt;"&amp;$A113,実績!$AL$6:$AL$505,"○")&gt;0,1,0))</f>
        <v>0</v>
      </c>
      <c r="AG113" s="39" t="n">
        <f aca="false">IF(AG$4=0,0,IF(COUNTIFS(実績!$W$6:$W$505,AG$3,実績!$AI$6:$AI$505,"&lt;="&amp;$A113,実績!$AJ$6:$AJ$505,"&gt;"&amp;$A113,実績!$AL$6:$AL$505,"○")&gt;0,1,0))</f>
        <v>0</v>
      </c>
      <c r="AH113" s="39" t="n">
        <f aca="false">IF(AH$4=0,0,IF(COUNTIFS(実績!$W$6:$W$505,AH$3,実績!$AI$6:$AI$505,"&lt;="&amp;$A113,実績!$AJ$6:$AJ$505,"&gt;"&amp;$A113,実績!$AL$6:$AL$505,"○")&gt;0,1,0))</f>
        <v>0</v>
      </c>
      <c r="AI113" s="39" t="n">
        <f aca="false">IF(AI$4=0,0,IF(COUNTIFS(実績!$W$6:$W$505,AI$3,実績!$AI$6:$AI$505,"&lt;="&amp;$A113,実績!$AJ$6:$AJ$505,"&gt;"&amp;$A113,実績!$AL$6:$AL$505,"○")&gt;0,1,0))</f>
        <v>0</v>
      </c>
      <c r="AJ113" s="39" t="n">
        <f aca="false">IF(AJ$4=0,0,IF(COUNTIFS(実績!$W$6:$W$505,AJ$3,実績!$AI$6:$AI$505,"&lt;="&amp;$A113,実績!$AJ$6:$AJ$505,"&gt;"&amp;$A113,実績!$AL$6:$AL$505,"○")&gt;0,1,0))</f>
        <v>0</v>
      </c>
      <c r="AK113" s="39" t="n">
        <f aca="false">IF(AK$4=0,0,IF(COUNTIFS(実績!$W$6:$W$505,AK$3,実績!$AI$6:$AI$505,"&lt;="&amp;$A113,実績!$AJ$6:$AJ$505,"&gt;"&amp;$A113,実績!$AL$6:$AL$505,"○")&gt;0,1,0))</f>
        <v>0</v>
      </c>
      <c r="AL113" s="39" t="n">
        <f aca="false">IF(AL$4=0,0,IF(COUNTIFS(実績!$W$6:$W$505,AL$3,実績!$AI$6:$AI$505,"&lt;="&amp;$A113,実績!$AJ$6:$AJ$505,"&gt;"&amp;$A113,実績!$AL$6:$AL$505,"○")&gt;0,1,0))</f>
        <v>0</v>
      </c>
      <c r="AM113" s="39" t="n">
        <f aca="false">IF(AM$4=0,0,IF(COUNTIFS(実績!$W$6:$W$505,AM$3,実績!$AI$6:$AI$505,"&lt;="&amp;$A113,実績!$AJ$6:$AJ$505,"&gt;"&amp;$A113,実績!$AL$6:$AL$505,"○")&gt;0,1,0))</f>
        <v>0</v>
      </c>
      <c r="AN113" s="39" t="n">
        <f aca="false">IF(AN$4=0,0,IF(COUNTIFS(実績!$W$6:$W$505,AN$3,実績!$AI$6:$AI$505,"&lt;="&amp;$A113,実績!$AJ$6:$AJ$505,"&gt;"&amp;$A113,実績!$AL$6:$AL$505,"○")&gt;0,1,0))</f>
        <v>0</v>
      </c>
      <c r="AO113" s="39" t="n">
        <f aca="false">IF(AO$4=0,0,IF(COUNTIFS(実績!$W$6:$W$505,AO$3,実績!$AI$6:$AI$505,"&lt;="&amp;$A113,実績!$AJ$6:$AJ$505,"&gt;"&amp;$A113,実績!$AL$6:$AL$505,"○")&gt;0,1,0))</f>
        <v>0</v>
      </c>
      <c r="AP113" s="39" t="n">
        <f aca="false">IF(AP$4=0,0,IF(COUNTIFS(実績!$W$6:$W$505,AP$3,実績!$AI$6:$AI$505,"&lt;="&amp;$A113,実績!$AJ$6:$AJ$505,"&gt;"&amp;$A113,実績!$AL$6:$AL$505,"○")&gt;0,1,0))</f>
        <v>0</v>
      </c>
      <c r="AQ113" s="39" t="n">
        <f aca="false">IF(AQ$4=0,0,IF(COUNTIFS(実績!$W$6:$W$505,AQ$3,実績!$AI$6:$AI$505,"&lt;="&amp;$A113,実績!$AJ$6:$AJ$505,"&gt;"&amp;$A113,実績!$AL$6:$AL$505,"○")&gt;0,1,0))</f>
        <v>0</v>
      </c>
      <c r="AR113" s="39" t="n">
        <f aca="false">IF(AR$4=0,0,IF(COUNTIFS(実績!$W$6:$W$505,AR$3,実績!$AI$6:$AI$505,"&lt;="&amp;$A113,実績!$AJ$6:$AJ$505,"&gt;"&amp;$A113,実績!$AL$6:$AL$505,"○")&gt;0,1,0))</f>
        <v>0</v>
      </c>
      <c r="AS113" s="39" t="n">
        <f aca="false">IF(AS$4=0,0,IF(COUNTIFS(実績!$W$6:$W$505,AS$3,実績!$AI$6:$AI$505,"&lt;="&amp;$A113,実績!$AJ$6:$AJ$505,"&gt;"&amp;$A113,実績!$AL$6:$AL$505,"○")&gt;0,1,0))</f>
        <v>0</v>
      </c>
      <c r="AT113" s="39" t="n">
        <f aca="false">IF(AT$4=0,0,IF(COUNTIFS(実績!$W$6:$W$505,AT$3,実績!$AI$6:$AI$505,"&lt;="&amp;$A113,実績!$AJ$6:$AJ$505,"&gt;"&amp;$A113,実績!$AL$6:$AL$505,"○")&gt;0,1,0))</f>
        <v>0</v>
      </c>
      <c r="AU113" s="39" t="n">
        <f aca="false">IF(AU$4=0,0,IF(COUNTIFS(実績!$W$6:$W$505,AU$3,実績!$AI$6:$AI$505,"&lt;="&amp;$A113,実績!$AJ$6:$AJ$505,"&gt;"&amp;$A113,実績!$AL$6:$AL$505,"○")&gt;0,1,0))</f>
        <v>0</v>
      </c>
      <c r="AV113" s="39" t="n">
        <f aca="false">IF(AV$4=0,0,IF(COUNTIFS(実績!$W$6:$W$505,AV$3,実績!$AI$6:$AI$505,"&lt;="&amp;$A113,実績!$AJ$6:$AJ$505,"&gt;"&amp;$A113,実績!$AL$6:$AL$505,"○")&gt;0,1,0))</f>
        <v>0</v>
      </c>
      <c r="AW113" s="39" t="n">
        <f aca="false">IF(AW$4=0,0,IF(COUNTIFS(実績!$W$6:$W$505,AW$3,実績!$AI$6:$AI$505,"&lt;="&amp;$A113,実績!$AJ$6:$AJ$505,"&gt;"&amp;$A113,実績!$AL$6:$AL$505,"○")&gt;0,1,0))</f>
        <v>0</v>
      </c>
      <c r="AX113" s="39" t="n">
        <f aca="false">IF(AX$4=0,0,IF(COUNTIFS(実績!$W$6:$W$505,AX$3,実績!$AI$6:$AI$505,"&lt;="&amp;$A113,実績!$AJ$6:$AJ$505,"&gt;"&amp;$A113,実績!$AL$6:$AL$505,"○")&gt;0,1,0))</f>
        <v>0</v>
      </c>
      <c r="AY113" s="39" t="n">
        <f aca="false">IF(AY$4=0,0,IF(COUNTIFS(実績!$W$6:$W$505,AY$3,実績!$AI$6:$AI$505,"&lt;="&amp;$A113,実績!$AJ$6:$AJ$505,"&gt;"&amp;$A113,実績!$AL$6:$AL$505,"○")&gt;0,1,0))</f>
        <v>0</v>
      </c>
      <c r="AZ113" s="39" t="n">
        <f aca="false">IF(AZ$4=0,0,IF(COUNTIFS(実績!$W$6:$W$505,AZ$3,実績!$AI$6:$AI$505,"&lt;="&amp;$A113,実績!$AJ$6:$AJ$505,"&gt;"&amp;$A113,実績!$AL$6:$AL$505,"○")&gt;0,1,0))</f>
        <v>0</v>
      </c>
      <c r="BA113" s="39" t="n">
        <f aca="false">IF(BA$4=0,0,IF(COUNTIFS(実績!$W$6:$W$505,BA$3,実績!$AI$6:$AI$505,"&lt;="&amp;$A113,実績!$AJ$6:$AJ$505,"&gt;"&amp;$A113,実績!$AL$6:$AL$505,"○")&gt;0,1,0))</f>
        <v>0</v>
      </c>
      <c r="BB113" s="39" t="n">
        <f aca="false">IF(BB$4=0,0,IF(COUNTIFS(実績!$W$6:$W$505,BB$3,実績!$AI$6:$AI$505,"&lt;="&amp;$A113,実績!$AJ$6:$AJ$505,"&gt;"&amp;$A113,実績!$AL$6:$AL$505,"○")&gt;0,1,0))</f>
        <v>0</v>
      </c>
      <c r="BC113" s="39" t="n">
        <f aca="false">IF(BC$4=0,0,IF(COUNTIFS(実績!$W$6:$W$505,BC$3,実績!$AI$6:$AI$505,"&lt;="&amp;$A113,実績!$AJ$6:$AJ$505,"&gt;"&amp;$A113,実績!$AL$6:$AL$505,"○")&gt;0,1,0))</f>
        <v>0</v>
      </c>
      <c r="BD113" s="39" t="n">
        <f aca="false">IF(BD$4=0,0,IF(COUNTIFS(実績!$W$6:$W$505,BD$3,実績!$AI$6:$AI$505,"&lt;="&amp;$A113,実績!$AJ$6:$AJ$505,"&gt;"&amp;$A113,実績!$AL$6:$AL$505,"○")&gt;0,1,0))</f>
        <v>0</v>
      </c>
      <c r="BE113" s="39" t="n">
        <f aca="false">IF(BE$4=0,0,IF(COUNTIFS(実績!$W$6:$W$505,BE$3,実績!$AI$6:$AI$505,"&lt;="&amp;$A113,実績!$AJ$6:$AJ$505,"&gt;"&amp;$A113,実績!$AL$6:$AL$505,"○")&gt;0,1,0))</f>
        <v>0</v>
      </c>
      <c r="BF113" s="39" t="n">
        <f aca="false">IF(BF$4=0,0,IF(COUNTIFS(実績!$W$6:$W$505,BF$3,実績!$AI$6:$AI$505,"&lt;="&amp;$A113,実績!$AJ$6:$AJ$505,"&gt;"&amp;$A113,実績!$AL$6:$AL$505,"○")&gt;0,1,0))</f>
        <v>0</v>
      </c>
      <c r="BG113" s="39" t="n">
        <f aca="false">IF(BG$4=0,0,IF(COUNTIFS(実績!$W$6:$W$505,BG$3,実績!$AI$6:$AI$505,"&lt;="&amp;$A113,実績!$AJ$6:$AJ$505,"&gt;"&amp;$A113,実績!$AL$6:$AL$505,"○")&gt;0,1,0))</f>
        <v>0</v>
      </c>
      <c r="BH113" s="39" t="n">
        <f aca="false">IF(BH$4=0,0,IF(COUNTIFS(実績!$W$6:$W$505,BH$3,実績!$AI$6:$AI$505,"&lt;="&amp;$A113,実績!$AJ$6:$AJ$505,"&gt;"&amp;$A113,実績!$AL$6:$AL$505,"○")&gt;0,1,0))</f>
        <v>0</v>
      </c>
      <c r="BI113" s="39" t="n">
        <f aca="false">IF(BI$4=0,0,IF(COUNTIFS(実績!$W$6:$W$505,BI$3,実績!$AI$6:$AI$505,"&lt;="&amp;$A113,実績!$AJ$6:$AJ$505,"&gt;"&amp;$A113,実績!$AL$6:$AL$505,"○")&gt;0,1,0))</f>
        <v>0</v>
      </c>
      <c r="BJ113" s="39" t="n">
        <f aca="false">IF(BJ$4=0,0,IF(COUNTIFS(実績!$W$6:$W$505,BJ$3,実績!$AI$6:$AI$505,"&lt;="&amp;$A113,実績!$AJ$6:$AJ$505,"&gt;"&amp;$A113,実績!$AL$6:$AL$505,"○")&gt;0,1,0))</f>
        <v>0</v>
      </c>
      <c r="BK113" s="39" t="n">
        <f aca="false">IF(BK$4=0,0,IF(COUNTIFS(実績!$W$6:$W$505,BK$3,実績!$AI$6:$AI$505,"&lt;="&amp;$A113,実績!$AJ$6:$AJ$505,"&gt;"&amp;$A113,実績!$AL$6:$AL$505,"○")&gt;0,1,0))</f>
        <v>0</v>
      </c>
      <c r="BL113" s="39" t="n">
        <f aca="false">IF(BL$4=0,0,IF(COUNTIFS(実績!$W$6:$W$505,BL$3,実績!$AI$6:$AI$505,"&lt;="&amp;$A113,実績!$AJ$6:$AJ$505,"&gt;"&amp;$A113,実績!$AL$6:$AL$505,"○")&gt;0,1,0))</f>
        <v>0</v>
      </c>
      <c r="BM113" s="39" t="n">
        <f aca="false">IF(BM$4=0,0,IF(COUNTIFS(実績!$W$6:$W$505,BM$3,実績!$AI$6:$AI$505,"&lt;="&amp;$A113,実績!$AJ$6:$AJ$505,"&gt;"&amp;$A113,実績!$AL$6:$AL$505,"○")&gt;0,1,0))</f>
        <v>0</v>
      </c>
      <c r="BN113" s="39" t="n">
        <f aca="false">IF(BN$4=0,0,IF(COUNTIFS(実績!$W$6:$W$505,BN$3,実績!$AI$6:$AI$505,"&lt;="&amp;$A113,実績!$AJ$6:$AJ$505,"&gt;"&amp;$A113,実績!$AL$6:$AL$505,"○")&gt;0,1,0))</f>
        <v>0</v>
      </c>
      <c r="BO113" s="39" t="n">
        <f aca="false">IF(BO$4=0,0,IF(COUNTIFS(実績!$W$6:$W$505,BO$3,実績!$AI$6:$AI$505,"&lt;="&amp;$A113,実績!$AJ$6:$AJ$505,"&gt;"&amp;$A113,実績!$AL$6:$AL$505,"○")&gt;0,1,0))</f>
        <v>0</v>
      </c>
      <c r="BP113" s="39" t="n">
        <f aca="false">IF(BP$4=0,0,IF(COUNTIFS(実績!$W$6:$W$505,BP$3,実績!$AI$6:$AI$505,"&lt;="&amp;$A113,実績!$AJ$6:$AJ$505,"&gt;"&amp;$A113,実績!$AL$6:$AL$505,"○")&gt;0,1,0))</f>
        <v>0</v>
      </c>
      <c r="BQ113" s="39" t="n">
        <f aca="false">IF(BQ$4=0,0,IF(COUNTIFS(実績!$W$6:$W$505,BQ$3,実績!$AI$6:$AI$505,"&lt;="&amp;$A113,実績!$AJ$6:$AJ$505,"&gt;"&amp;$A113,実績!$AL$6:$AL$505,"○")&gt;0,1,0))</f>
        <v>0</v>
      </c>
      <c r="BR113" s="39" t="n">
        <f aca="false">IF(BR$4=0,0,IF(COUNTIFS(実績!$W$6:$W$505,BR$3,実績!$AI$6:$AI$505,"&lt;="&amp;$A113,実績!$AJ$6:$AJ$505,"&gt;"&amp;$A113,実績!$AL$6:$AL$505,"○")&gt;0,1,0))</f>
        <v>0</v>
      </c>
      <c r="BS113" s="39" t="n">
        <f aca="false">IF(BS$4=0,0,IF(COUNTIFS(実績!$W$6:$W$505,BS$3,実績!$AI$6:$AI$505,"&lt;="&amp;$A113,実績!$AJ$6:$AJ$505,"&gt;"&amp;$A113,実績!$AL$6:$AL$505,"○")&gt;0,1,0))</f>
        <v>0</v>
      </c>
      <c r="BT113" s="39" t="n">
        <f aca="false">IF(BT$4=0,0,IF(COUNTIFS(実績!$W$6:$W$505,BT$3,実績!$AI$6:$AI$505,"&lt;="&amp;$A113,実績!$AJ$6:$AJ$505,"&gt;"&amp;$A113,実績!$AL$6:$AL$505,"○")&gt;0,1,0))</f>
        <v>0</v>
      </c>
      <c r="BU113" s="39" t="n">
        <f aca="false">IF(BU$4=0,0,IF(COUNTIFS(実績!$W$6:$W$505,BU$3,実績!$AI$6:$AI$505,"&lt;="&amp;$A113,実績!$AJ$6:$AJ$505,"&gt;"&amp;$A113,実績!$AL$6:$AL$505,"○")&gt;0,1,0))</f>
        <v>0</v>
      </c>
      <c r="BV113" s="39" t="n">
        <f aca="false">IF(BV$4=0,0,IF(COUNTIFS(実績!$W$6:$W$505,BV$3,実績!$AI$6:$AI$505,"&lt;="&amp;$A113,実績!$AJ$6:$AJ$505,"&gt;"&amp;$A113,実績!$AL$6:$AL$505,"○")&gt;0,1,0))</f>
        <v>0</v>
      </c>
      <c r="BW113" s="39" t="n">
        <f aca="false">IF(BW$4=0,0,IF(COUNTIFS(実績!$W$6:$W$505,BW$3,実績!$AI$6:$AI$505,"&lt;="&amp;$A113,実績!$AJ$6:$AJ$505,"&gt;"&amp;$A113,実績!$AL$6:$AL$505,"○")&gt;0,1,0))</f>
        <v>0</v>
      </c>
      <c r="BX113" s="39" t="n">
        <f aca="false">IF(BX$4=0,0,IF(COUNTIFS(実績!$W$6:$W$505,BX$3,実績!$AI$6:$AI$505,"&lt;="&amp;$A113,実績!$AJ$6:$AJ$505,"&gt;"&amp;$A113,実績!$AL$6:$AL$505,"○")&gt;0,1,0))</f>
        <v>0</v>
      </c>
      <c r="BY113" s="39" t="n">
        <f aca="false">IF(BY$4=0,0,IF(COUNTIFS(実績!$W$6:$W$505,BY$3,実績!$AI$6:$AI$505,"&lt;="&amp;$A113,実績!$AJ$6:$AJ$505,"&gt;"&amp;$A113,実績!$AL$6:$AL$505,"○")&gt;0,1,0))</f>
        <v>0</v>
      </c>
      <c r="BZ113" s="39" t="n">
        <f aca="false">IF(BZ$4=0,0,IF(COUNTIFS(実績!$W$6:$W$505,BZ$3,実績!$AI$6:$AI$505,"&lt;="&amp;$A113,実績!$AJ$6:$AJ$505,"&gt;"&amp;$A113,実績!$AL$6:$AL$505,"○")&gt;0,1,0))</f>
        <v>0</v>
      </c>
      <c r="CA113" s="39" t="n">
        <f aca="false">IF(CA$4=0,0,IF(COUNTIFS(実績!$W$6:$W$505,CA$3,実績!$AI$6:$AI$505,"&lt;="&amp;$A113,実績!$AJ$6:$AJ$505,"&gt;"&amp;$A113,実績!$AL$6:$AL$505,"○")&gt;0,1,0))</f>
        <v>0</v>
      </c>
      <c r="CB113" s="39" t="n">
        <f aca="false">IF(CB$4=0,0,IF(COUNTIFS(実績!$W$6:$W$505,CB$3,実績!$AI$6:$AI$505,"&lt;="&amp;$A113,実績!$AJ$6:$AJ$505,"&gt;"&amp;$A113,実績!$AL$6:$AL$505,"○")&gt;0,1,0))</f>
        <v>0</v>
      </c>
      <c r="CC113" s="39" t="n">
        <f aca="false">IF(CC$4=0,0,IF(COUNTIFS(実績!$W$6:$W$505,CC$3,実績!$AI$6:$AI$505,"&lt;="&amp;$A113,実績!$AJ$6:$AJ$505,"&gt;"&amp;$A113,実績!$AL$6:$AL$505,"○")&gt;0,1,0))</f>
        <v>0</v>
      </c>
      <c r="CD113" s="39" t="n">
        <f aca="false">IF(CD$4=0,0,IF(COUNTIFS(実績!$W$6:$W$505,CD$3,実績!$AI$6:$AI$505,"&lt;="&amp;$A113,実績!$AJ$6:$AJ$505,"&gt;"&amp;$A113,実績!$AL$6:$AL$505,"○")&gt;0,1,0))</f>
        <v>0</v>
      </c>
      <c r="CE113" s="39" t="n">
        <f aca="false">IF(CE$4=0,0,IF(COUNTIFS(実績!$W$6:$W$505,CE$3,実績!$AI$6:$AI$505,"&lt;="&amp;$A113,実績!$AJ$6:$AJ$505,"&gt;"&amp;$A113,実績!$AL$6:$AL$505,"○")&gt;0,1,0))</f>
        <v>0</v>
      </c>
      <c r="CF113" s="39" t="n">
        <f aca="false">IF(CF$4=0,0,IF(COUNTIFS(実績!$W$6:$W$505,CF$3,実績!$AI$6:$AI$505,"&lt;="&amp;$A113,実績!$AJ$6:$AJ$505,"&gt;"&amp;$A113,実績!$AL$6:$AL$505,"○")&gt;0,1,0))</f>
        <v>0</v>
      </c>
      <c r="CG113" s="39" t="n">
        <f aca="false">IF(CG$4=0,0,IF(COUNTIFS(実績!$W$6:$W$505,CG$3,実績!$AI$6:$AI$505,"&lt;="&amp;$A113,実績!$AJ$6:$AJ$505,"&gt;"&amp;$A113,実績!$AL$6:$AL$505,"○")&gt;0,1,0))</f>
        <v>0</v>
      </c>
      <c r="CH113" s="39" t="n">
        <f aca="false">IF(CH$4=0,0,IF(COUNTIFS(実績!$W$6:$W$505,CH$3,実績!$AI$6:$AI$505,"&lt;="&amp;$A113,実績!$AJ$6:$AJ$505,"&gt;"&amp;$A113,実績!$AL$6:$AL$505,"○")&gt;0,1,0))</f>
        <v>0</v>
      </c>
      <c r="CI113" s="39" t="n">
        <f aca="false">IF(CI$4=0,0,IF(COUNTIFS(実績!$W$6:$W$505,CI$3,実績!$AI$6:$AI$505,"&lt;="&amp;$A113,実績!$AJ$6:$AJ$505,"&gt;"&amp;$A113,実績!$AL$6:$AL$505,"○")&gt;0,1,0))</f>
        <v>0</v>
      </c>
      <c r="CJ113" s="39" t="n">
        <f aca="false">IF(CJ$4=0,0,IF(COUNTIFS(実績!$W$6:$W$505,CJ$3,実績!$AI$6:$AI$505,"&lt;="&amp;$A113,実績!$AJ$6:$AJ$505,"&gt;"&amp;$A113,実績!$AL$6:$AL$505,"○")&gt;0,1,0))</f>
        <v>0</v>
      </c>
      <c r="CK113" s="39" t="n">
        <f aca="false">IF(CK$4=0,0,IF(COUNTIFS(実績!$W$6:$W$505,CK$3,実績!$AI$6:$AI$505,"&lt;="&amp;$A113,実績!$AJ$6:$AJ$505,"&gt;"&amp;$A113,実績!$AL$6:$AL$505,"○")&gt;0,1,0))</f>
        <v>0</v>
      </c>
      <c r="CL113" s="39" t="n">
        <f aca="false">IF(CL$4=0,0,IF(COUNTIFS(実績!$W$6:$W$505,CL$3,実績!$AI$6:$AI$505,"&lt;="&amp;$A113,実績!$AJ$6:$AJ$505,"&gt;"&amp;$A113,実績!$AL$6:$AL$505,"○")&gt;0,1,0))</f>
        <v>0</v>
      </c>
      <c r="CM113" s="39" t="n">
        <f aca="false">IF(CM$4=0,0,IF(COUNTIFS(実績!$W$6:$W$505,CM$3,実績!$AI$6:$AI$505,"&lt;="&amp;$A113,実績!$AJ$6:$AJ$505,"&gt;"&amp;$A113,実績!$AL$6:$AL$505,"○")&gt;0,1,0))</f>
        <v>0</v>
      </c>
      <c r="CN113" s="39" t="n">
        <f aca="false">IF(CN$4=0,0,IF(COUNTIFS(実績!$W$6:$W$505,CN$3,実績!$AI$6:$AI$505,"&lt;="&amp;$A113,実績!$AJ$6:$AJ$505,"&gt;"&amp;$A113,実績!$AL$6:$AL$505,"○")&gt;0,1,0))</f>
        <v>0</v>
      </c>
      <c r="CO113" s="39" t="n">
        <f aca="false">IF(CO$4=0,0,IF(COUNTIFS(実績!$W$6:$W$505,CO$3,実績!$AI$6:$AI$505,"&lt;="&amp;$A113,実績!$AJ$6:$AJ$505,"&gt;"&amp;$A113,実績!$AL$6:$AL$505,"○")&gt;0,1,0))</f>
        <v>0</v>
      </c>
      <c r="CP113" s="39" t="n">
        <f aca="false">IF(CP$4=0,0,IF(COUNTIFS(実績!$W$6:$W$505,CP$3,実績!$AI$6:$AI$505,"&lt;="&amp;$A113,実績!$AJ$6:$AJ$505,"&gt;"&amp;$A113,実績!$AL$6:$AL$505,"○")&gt;0,1,0))</f>
        <v>0</v>
      </c>
      <c r="CQ113" s="39" t="n">
        <f aca="false">IF(CQ$4=0,0,IF(COUNTIFS(実績!$W$6:$W$505,CQ$3,実績!$AI$6:$AI$505,"&lt;="&amp;$A113,実績!$AJ$6:$AJ$505,"&gt;"&amp;$A113,実績!$AL$6:$AL$505,"○")&gt;0,1,0))</f>
        <v>0</v>
      </c>
      <c r="CR113" s="39" t="n">
        <f aca="false">IF(CR$4=0,0,IF(COUNTIFS(実績!$W$6:$W$505,CR$3,実績!$AI$6:$AI$505,"&lt;="&amp;$A113,実績!$AJ$6:$AJ$505,"&gt;"&amp;$A113,実績!$AL$6:$AL$505,"○")&gt;0,1,0))</f>
        <v>0</v>
      </c>
      <c r="CS113" s="39" t="n">
        <f aca="false">IF(CS$4=0,0,IF(COUNTIFS(実績!$W$6:$W$505,CS$3,実績!$AI$6:$AI$505,"&lt;="&amp;$A113,実績!$AJ$6:$AJ$505,"&gt;"&amp;$A113,実績!$AL$6:$AL$505,"○")&gt;0,1,0))</f>
        <v>0</v>
      </c>
      <c r="CT113" s="39" t="n">
        <f aca="false">IF(CT$4=0,0,IF(COUNTIFS(実績!$W$6:$W$505,CT$3,実績!$AI$6:$AI$505,"&lt;="&amp;$A113,実績!$AJ$6:$AJ$505,"&gt;"&amp;$A113,実績!$AL$6:$AL$505,"○")&gt;0,1,0))</f>
        <v>0</v>
      </c>
      <c r="CU113" s="39" t="n">
        <f aca="false">IF(CU$4=0,0,IF(COUNTIFS(実績!$W$6:$W$505,CU$3,実績!$AI$6:$AI$505,"&lt;="&amp;$A113,実績!$AJ$6:$AJ$505,"&gt;"&amp;$A113,実績!$AL$6:$AL$505,"○")&gt;0,1,0))</f>
        <v>0</v>
      </c>
      <c r="CV113" s="39" t="n">
        <f aca="false">IF(CV$4=0,0,IF(COUNTIFS(実績!$W$6:$W$505,CV$3,実績!$AI$6:$AI$505,"&lt;="&amp;$A113,実績!$AJ$6:$AJ$505,"&gt;"&amp;$A113,実績!$AL$6:$AL$505,"○")&gt;0,1,0))</f>
        <v>0</v>
      </c>
      <c r="CW113" s="39" t="n">
        <f aca="false">IF(CW$4=0,0,IF(COUNTIFS(実績!$W$6:$W$505,CW$3,実績!$AI$6:$AI$505,"&lt;="&amp;$A113,実績!$AJ$6:$AJ$505,"&gt;"&amp;$A113,実績!$AL$6:$AL$505,"○")&gt;0,1,0))</f>
        <v>0</v>
      </c>
      <c r="CX113" s="39" t="n">
        <f aca="false">IF(CX$4=0,0,IF(COUNTIFS(実績!$W$6:$W$505,CX$3,実績!$AI$6:$AI$505,"&lt;="&amp;$A113,実績!$AJ$6:$AJ$505,"&gt;"&amp;$A113,実績!$AL$6:$AL$505,"○")&gt;0,1,0))</f>
        <v>0</v>
      </c>
      <c r="CY113" s="39" t="n">
        <f aca="false">IF(CY$4=0,0,IF(COUNTIFS(実績!$W$6:$W$505,CY$3,実績!$AI$6:$AI$505,"&lt;="&amp;$A113,実績!$AJ$6:$AJ$505,"&gt;"&amp;$A113,実績!$AL$6:$AL$505,"○")&gt;0,1,0))</f>
        <v>0</v>
      </c>
      <c r="CZ113" s="39" t="n">
        <f aca="false">IF(CZ$4=0,0,IF(COUNTIFS(実績!$W$6:$W$505,CZ$3,実績!$AI$6:$AI$505,"&lt;="&amp;$A113,実績!$AJ$6:$AJ$505,"&gt;"&amp;$A113,実績!$AL$6:$AL$505,"○")&gt;0,1,0))</f>
        <v>0</v>
      </c>
      <c r="DA113" s="39" t="n">
        <f aca="false">IF(DA$4=0,0,IF(COUNTIFS(実績!$W$6:$W$505,DA$3,実績!$AI$6:$AI$505,"&lt;="&amp;$A113,実績!$AJ$6:$AJ$505,"&gt;"&amp;$A113,実績!$AL$6:$AL$505,"○")&gt;0,1,0))</f>
        <v>0</v>
      </c>
      <c r="DB113" s="39" t="n">
        <f aca="false">IF(DB$4=0,0,IF(COUNTIFS(実績!$W$6:$W$505,DB$3,実績!$AI$6:$AI$505,"&lt;="&amp;$A113,実績!$AJ$6:$AJ$505,"&gt;"&amp;$A113,実績!$AL$6:$AL$505,"○")&gt;0,1,0))</f>
        <v>0</v>
      </c>
      <c r="DC113" s="39" t="n">
        <f aca="false">IF(DC$4=0,0,IF(COUNTIFS(実績!$W$6:$W$505,DC$3,実績!$AI$6:$AI$505,"&lt;="&amp;$A113,実績!$AJ$6:$AJ$505,"&gt;"&amp;$A113,実績!$AL$6:$AL$505,"○")&gt;0,1,0))</f>
        <v>0</v>
      </c>
      <c r="DD113" s="39" t="n">
        <f aca="false">IF(DD$4=0,0,IF(COUNTIFS(実績!$W$6:$W$505,DD$3,実績!$AI$6:$AI$505,"&lt;="&amp;$A113,実績!$AJ$6:$AJ$505,"&gt;"&amp;$A113,実績!$AL$6:$AL$505,"○")&gt;0,1,0))</f>
        <v>0</v>
      </c>
      <c r="DE113" s="39" t="n">
        <f aca="false">IF(DE$4=0,0,IF(COUNTIFS(実績!$W$6:$W$505,DE$3,実績!$AI$6:$AI$505,"&lt;="&amp;$A113,実績!$AJ$6:$AJ$505,"&gt;"&amp;$A113,実績!$AL$6:$AL$505,"○")&gt;0,1,0))</f>
        <v>0</v>
      </c>
      <c r="DF113" s="39" t="n">
        <f aca="false">IF(DF$4=0,0,IF(COUNTIFS(実績!$W$6:$W$505,DF$3,実績!$AI$6:$AI$505,"&lt;="&amp;$A113,実績!$AJ$6:$AJ$505,"&gt;"&amp;$A113,実績!$AL$6:$AL$505,"○")&gt;0,1,0))</f>
        <v>0</v>
      </c>
      <c r="DG113" s="39" t="n">
        <f aca="false">IF(DG$4=0,0,IF(COUNTIFS(実績!$W$6:$W$505,DG$3,実績!$AI$6:$AI$505,"&lt;="&amp;$A113,実績!$AJ$6:$AJ$505,"&gt;"&amp;$A113,実績!$AL$6:$AL$505,"○")&gt;0,1,0))</f>
        <v>0</v>
      </c>
      <c r="DH113" s="39" t="n">
        <f aca="false">IF(DH$4=0,0,IF(COUNTIFS(実績!$W$6:$W$505,DH$3,実績!$AI$6:$AI$505,"&lt;="&amp;$A113,実績!$AJ$6:$AJ$505,"&gt;"&amp;$A113,実績!$AL$6:$AL$505,"○")&gt;0,1,0))</f>
        <v>0</v>
      </c>
      <c r="DI113" s="39" t="n">
        <f aca="false">IF(DI$4=0,0,IF(COUNTIFS(実績!$W$6:$W$505,DI$3,実績!$AI$6:$AI$505,"&lt;="&amp;$A113,実績!$AJ$6:$AJ$505,"&gt;"&amp;$A113,実績!$AL$6:$AL$505,"○")&gt;0,1,0))</f>
        <v>0</v>
      </c>
      <c r="DJ113" s="39" t="n">
        <f aca="false">IF(DJ$4=0,0,IF(COUNTIFS(実績!$W$6:$W$505,DJ$3,実績!$AI$6:$AI$505,"&lt;="&amp;$A113,実績!$AJ$6:$AJ$505,"&gt;"&amp;$A113,実績!$AL$6:$AL$505,"○")&gt;0,1,0))</f>
        <v>0</v>
      </c>
      <c r="DK113" s="39" t="n">
        <f aca="false">IF(DK$4=0,0,IF(COUNTIFS(実績!$W$6:$W$505,DK$3,実績!$AI$6:$AI$505,"&lt;="&amp;$A113,実績!$AJ$6:$AJ$505,"&gt;"&amp;$A113,実績!$AL$6:$AL$505,"○")&gt;0,1,0))</f>
        <v>0</v>
      </c>
      <c r="DL113" s="39" t="n">
        <f aca="false">IF(DL$4=0,0,IF(COUNTIFS(実績!$W$6:$W$505,DL$3,実績!$AI$6:$AI$505,"&lt;="&amp;$A113,実績!$AJ$6:$AJ$505,"&gt;"&amp;$A113,実績!$AL$6:$AL$505,"○")&gt;0,1,0))</f>
        <v>0</v>
      </c>
      <c r="DM113" s="39" t="n">
        <f aca="false">IF(DM$4=0,0,IF(COUNTIFS(実績!$W$6:$W$505,DM$3,実績!$AI$6:$AI$505,"&lt;="&amp;$A113,実績!$AJ$6:$AJ$505,"&gt;"&amp;$A113,実績!$AL$6:$AL$505,"○")&gt;0,1,0))</f>
        <v>0</v>
      </c>
      <c r="DN113" s="39" t="n">
        <f aca="false">IF(DN$4=0,0,IF(COUNTIFS(実績!$W$6:$W$505,DN$3,実績!$AI$6:$AI$505,"&lt;="&amp;$A113,実績!$AJ$6:$AJ$505,"&gt;"&amp;$A113,実績!$AL$6:$AL$505,"○")&gt;0,1,0))</f>
        <v>0</v>
      </c>
      <c r="DO113" s="39" t="n">
        <f aca="false">IF(DO$4=0,0,IF(COUNTIFS(実績!$W$6:$W$505,DO$3,実績!$AI$6:$AI$505,"&lt;="&amp;$A113,実績!$AJ$6:$AJ$505,"&gt;"&amp;$A113,実績!$AL$6:$AL$505,"○")&gt;0,1,0))</f>
        <v>0</v>
      </c>
      <c r="DP113" s="39" t="n">
        <f aca="false">IF(DP$4=0,0,IF(COUNTIFS(実績!$W$6:$W$505,DP$3,実績!$AI$6:$AI$505,"&lt;="&amp;$A113,実績!$AJ$6:$AJ$505,"&gt;"&amp;$A113,実績!$AL$6:$AL$505,"○")&gt;0,1,0))</f>
        <v>0</v>
      </c>
      <c r="DQ113" s="39" t="n">
        <f aca="false">IF(DQ$4=0,0,IF(COUNTIFS(実績!$W$6:$W$505,DQ$3,実績!$AI$6:$AI$505,"&lt;="&amp;$A113,実績!$AJ$6:$AJ$505,"&gt;"&amp;$A113,実績!$AL$6:$AL$505,"○")&gt;0,1,0))</f>
        <v>0</v>
      </c>
      <c r="DR113" s="39" t="n">
        <f aca="false">IF(DR$4=0,0,IF(COUNTIFS(実績!$W$6:$W$505,DR$3,実績!$AI$6:$AI$505,"&lt;="&amp;$A113,実績!$AJ$6:$AJ$505,"&gt;"&amp;$A113,実績!$AL$6:$AL$505,"○")&gt;0,1,0))</f>
        <v>0</v>
      </c>
      <c r="DS113" s="39" t="n">
        <f aca="false">SUM(C113:DR113)</f>
        <v>0</v>
      </c>
    </row>
    <row r="114" customFormat="false" ht="15" hidden="false" customHeight="false" outlineLevel="0" collapsed="false">
      <c r="A114" s="0" t="n">
        <v>540</v>
      </c>
      <c r="B114" s="38" t="n">
        <f aca="false">A114/1440</f>
        <v>0.375</v>
      </c>
      <c r="C114" s="39" t="n">
        <f aca="false">IF(C$4=0,0,IF(COUNTIFS(実績!$W$6:$W$505,C$3,実績!$AI$6:$AI$505,"&lt;="&amp;$A114,実績!$AJ$6:$AJ$505,"&gt;"&amp;$A114,実績!$AL$6:$AL$505,"○")&gt;0,1,0))</f>
        <v>0</v>
      </c>
      <c r="D114" s="39" t="n">
        <f aca="false">IF(D$4=0,0,IF(COUNTIFS(実績!$W$6:$W$505,D$3,実績!$AI$6:$AI$505,"&lt;="&amp;$A114,実績!$AJ$6:$AJ$505,"&gt;"&amp;$A114,実績!$AL$6:$AL$505,"○")&gt;0,1,0))</f>
        <v>0</v>
      </c>
      <c r="E114" s="39" t="n">
        <f aca="false">IF(E$4=0,0,IF(COUNTIFS(実績!$W$6:$W$505,E$3,実績!$AI$6:$AI$505,"&lt;="&amp;$A114,実績!$AJ$6:$AJ$505,"&gt;"&amp;$A114,実績!$AL$6:$AL$505,"○")&gt;0,1,0))</f>
        <v>0</v>
      </c>
      <c r="F114" s="39" t="n">
        <f aca="false">IF(F$4=0,0,IF(COUNTIFS(実績!$W$6:$W$505,F$3,実績!$AI$6:$AI$505,"&lt;="&amp;$A114,実績!$AJ$6:$AJ$505,"&gt;"&amp;$A114,実績!$AL$6:$AL$505,"○")&gt;0,1,0))</f>
        <v>0</v>
      </c>
      <c r="G114" s="39" t="n">
        <f aca="false">IF(G$4=0,0,IF(COUNTIFS(実績!$W$6:$W$505,G$3,実績!$AI$6:$AI$505,"&lt;="&amp;$A114,実績!$AJ$6:$AJ$505,"&gt;"&amp;$A114,実績!$AL$6:$AL$505,"○")&gt;0,1,0))</f>
        <v>0</v>
      </c>
      <c r="H114" s="39" t="n">
        <f aca="false">IF(H$4=0,0,IF(COUNTIFS(実績!$W$6:$W$505,H$3,実績!$AI$6:$AI$505,"&lt;="&amp;$A114,実績!$AJ$6:$AJ$505,"&gt;"&amp;$A114,実績!$AL$6:$AL$505,"○")&gt;0,1,0))</f>
        <v>0</v>
      </c>
      <c r="I114" s="39" t="n">
        <f aca="false">IF(I$4=0,0,IF(COUNTIFS(実績!$W$6:$W$505,I$3,実績!$AI$6:$AI$505,"&lt;="&amp;$A114,実績!$AJ$6:$AJ$505,"&gt;"&amp;$A114,実績!$AL$6:$AL$505,"○")&gt;0,1,0))</f>
        <v>0</v>
      </c>
      <c r="J114" s="39" t="n">
        <f aca="false">IF(J$4=0,0,IF(COUNTIFS(実績!$W$6:$W$505,J$3,実績!$AI$6:$AI$505,"&lt;="&amp;$A114,実績!$AJ$6:$AJ$505,"&gt;"&amp;$A114,実績!$AL$6:$AL$505,"○")&gt;0,1,0))</f>
        <v>0</v>
      </c>
      <c r="K114" s="39" t="n">
        <f aca="false">IF(K$4=0,0,IF(COUNTIFS(実績!$W$6:$W$505,K$3,実績!$AI$6:$AI$505,"&lt;="&amp;$A114,実績!$AJ$6:$AJ$505,"&gt;"&amp;$A114,実績!$AL$6:$AL$505,"○")&gt;0,1,0))</f>
        <v>0</v>
      </c>
      <c r="L114" s="39" t="n">
        <f aca="false">IF(L$4=0,0,IF(COUNTIFS(実績!$W$6:$W$505,L$3,実績!$AI$6:$AI$505,"&lt;="&amp;$A114,実績!$AJ$6:$AJ$505,"&gt;"&amp;$A114,実績!$AL$6:$AL$505,"○")&gt;0,1,0))</f>
        <v>0</v>
      </c>
      <c r="M114" s="39" t="n">
        <f aca="false">IF(M$4=0,0,IF(COUNTIFS(実績!$W$6:$W$505,M$3,実績!$AI$6:$AI$505,"&lt;="&amp;$A114,実績!$AJ$6:$AJ$505,"&gt;"&amp;$A114,実績!$AL$6:$AL$505,"○")&gt;0,1,0))</f>
        <v>0</v>
      </c>
      <c r="N114" s="39" t="n">
        <f aca="false">IF(N$4=0,0,IF(COUNTIFS(実績!$W$6:$W$505,N$3,実績!$AI$6:$AI$505,"&lt;="&amp;$A114,実績!$AJ$6:$AJ$505,"&gt;"&amp;$A114,実績!$AL$6:$AL$505,"○")&gt;0,1,0))</f>
        <v>0</v>
      </c>
      <c r="O114" s="39" t="n">
        <f aca="false">IF(O$4=0,0,IF(COUNTIFS(実績!$W$6:$W$505,O$3,実績!$AI$6:$AI$505,"&lt;="&amp;$A114,実績!$AJ$6:$AJ$505,"&gt;"&amp;$A114,実績!$AL$6:$AL$505,"○")&gt;0,1,0))</f>
        <v>0</v>
      </c>
      <c r="P114" s="39" t="n">
        <f aca="false">IF(P$4=0,0,IF(COUNTIFS(実績!$W$6:$W$505,P$3,実績!$AI$6:$AI$505,"&lt;="&amp;$A114,実績!$AJ$6:$AJ$505,"&gt;"&amp;$A114,実績!$AL$6:$AL$505,"○")&gt;0,1,0))</f>
        <v>0</v>
      </c>
      <c r="Q114" s="39" t="n">
        <f aca="false">IF(Q$4=0,0,IF(COUNTIFS(実績!$W$6:$W$505,Q$3,実績!$AI$6:$AI$505,"&lt;="&amp;$A114,実績!$AJ$6:$AJ$505,"&gt;"&amp;$A114,実績!$AL$6:$AL$505,"○")&gt;0,1,0))</f>
        <v>0</v>
      </c>
      <c r="R114" s="39" t="n">
        <f aca="false">IF(R$4=0,0,IF(COUNTIFS(実績!$W$6:$W$505,R$3,実績!$AI$6:$AI$505,"&lt;="&amp;$A114,実績!$AJ$6:$AJ$505,"&gt;"&amp;$A114,実績!$AL$6:$AL$505,"○")&gt;0,1,0))</f>
        <v>0</v>
      </c>
      <c r="S114" s="39" t="n">
        <f aca="false">IF(S$4=0,0,IF(COUNTIFS(実績!$W$6:$W$505,S$3,実績!$AI$6:$AI$505,"&lt;="&amp;$A114,実績!$AJ$6:$AJ$505,"&gt;"&amp;$A114,実績!$AL$6:$AL$505,"○")&gt;0,1,0))</f>
        <v>0</v>
      </c>
      <c r="T114" s="39" t="n">
        <f aca="false">IF(T$4=0,0,IF(COUNTIFS(実績!$W$6:$W$505,T$3,実績!$AI$6:$AI$505,"&lt;="&amp;$A114,実績!$AJ$6:$AJ$505,"&gt;"&amp;$A114,実績!$AL$6:$AL$505,"○")&gt;0,1,0))</f>
        <v>0</v>
      </c>
      <c r="U114" s="39" t="n">
        <f aca="false">IF(U$4=0,0,IF(COUNTIFS(実績!$W$6:$W$505,U$3,実績!$AI$6:$AI$505,"&lt;="&amp;$A114,実績!$AJ$6:$AJ$505,"&gt;"&amp;$A114,実績!$AL$6:$AL$505,"○")&gt;0,1,0))</f>
        <v>0</v>
      </c>
      <c r="V114" s="39" t="n">
        <f aca="false">IF(V$4=0,0,IF(COUNTIFS(実績!$W$6:$W$505,V$3,実績!$AI$6:$AI$505,"&lt;="&amp;$A114,実績!$AJ$6:$AJ$505,"&gt;"&amp;$A114,実績!$AL$6:$AL$505,"○")&gt;0,1,0))</f>
        <v>0</v>
      </c>
      <c r="W114" s="39" t="n">
        <f aca="false">IF(W$4=0,0,IF(COUNTIFS(実績!$W$6:$W$505,W$3,実績!$AI$6:$AI$505,"&lt;="&amp;$A114,実績!$AJ$6:$AJ$505,"&gt;"&amp;$A114,実績!$AL$6:$AL$505,"○")&gt;0,1,0))</f>
        <v>0</v>
      </c>
      <c r="X114" s="39" t="n">
        <f aca="false">IF(X$4=0,0,IF(COUNTIFS(実績!$W$6:$W$505,X$3,実績!$AI$6:$AI$505,"&lt;="&amp;$A114,実績!$AJ$6:$AJ$505,"&gt;"&amp;$A114,実績!$AL$6:$AL$505,"○")&gt;0,1,0))</f>
        <v>0</v>
      </c>
      <c r="Y114" s="39" t="n">
        <f aca="false">IF(Y$4=0,0,IF(COUNTIFS(実績!$W$6:$W$505,Y$3,実績!$AI$6:$AI$505,"&lt;="&amp;$A114,実績!$AJ$6:$AJ$505,"&gt;"&amp;$A114,実績!$AL$6:$AL$505,"○")&gt;0,1,0))</f>
        <v>0</v>
      </c>
      <c r="Z114" s="39" t="n">
        <f aca="false">IF(Z$4=0,0,IF(COUNTIFS(実績!$W$6:$W$505,Z$3,実績!$AI$6:$AI$505,"&lt;="&amp;$A114,実績!$AJ$6:$AJ$505,"&gt;"&amp;$A114,実績!$AL$6:$AL$505,"○")&gt;0,1,0))</f>
        <v>0</v>
      </c>
      <c r="AA114" s="39" t="n">
        <f aca="false">IF(AA$4=0,0,IF(COUNTIFS(実績!$W$6:$W$505,AA$3,実績!$AI$6:$AI$505,"&lt;="&amp;$A114,実績!$AJ$6:$AJ$505,"&gt;"&amp;$A114,実績!$AL$6:$AL$505,"○")&gt;0,1,0))</f>
        <v>0</v>
      </c>
      <c r="AB114" s="39" t="n">
        <f aca="false">IF(AB$4=0,0,IF(COUNTIFS(実績!$W$6:$W$505,AB$3,実績!$AI$6:$AI$505,"&lt;="&amp;$A114,実績!$AJ$6:$AJ$505,"&gt;"&amp;$A114,実績!$AL$6:$AL$505,"○")&gt;0,1,0))</f>
        <v>0</v>
      </c>
      <c r="AC114" s="39" t="n">
        <f aca="false">IF(AC$4=0,0,IF(COUNTIFS(実績!$W$6:$W$505,AC$3,実績!$AI$6:$AI$505,"&lt;="&amp;$A114,実績!$AJ$6:$AJ$505,"&gt;"&amp;$A114,実績!$AL$6:$AL$505,"○")&gt;0,1,0))</f>
        <v>0</v>
      </c>
      <c r="AD114" s="39" t="n">
        <f aca="false">IF(AD$4=0,0,IF(COUNTIFS(実績!$W$6:$W$505,AD$3,実績!$AI$6:$AI$505,"&lt;="&amp;$A114,実績!$AJ$6:$AJ$505,"&gt;"&amp;$A114,実績!$AL$6:$AL$505,"○")&gt;0,1,0))</f>
        <v>0</v>
      </c>
      <c r="AE114" s="39" t="n">
        <f aca="false">IF(AE$4=0,0,IF(COUNTIFS(実績!$W$6:$W$505,AE$3,実績!$AI$6:$AI$505,"&lt;="&amp;$A114,実績!$AJ$6:$AJ$505,"&gt;"&amp;$A114,実績!$AL$6:$AL$505,"○")&gt;0,1,0))</f>
        <v>0</v>
      </c>
      <c r="AF114" s="39" t="n">
        <f aca="false">IF(AF$4=0,0,IF(COUNTIFS(実績!$W$6:$W$505,AF$3,実績!$AI$6:$AI$505,"&lt;="&amp;$A114,実績!$AJ$6:$AJ$505,"&gt;"&amp;$A114,実績!$AL$6:$AL$505,"○")&gt;0,1,0))</f>
        <v>0</v>
      </c>
      <c r="AG114" s="39" t="n">
        <f aca="false">IF(AG$4=0,0,IF(COUNTIFS(実績!$W$6:$W$505,AG$3,実績!$AI$6:$AI$505,"&lt;="&amp;$A114,実績!$AJ$6:$AJ$505,"&gt;"&amp;$A114,実績!$AL$6:$AL$505,"○")&gt;0,1,0))</f>
        <v>0</v>
      </c>
      <c r="AH114" s="39" t="n">
        <f aca="false">IF(AH$4=0,0,IF(COUNTIFS(実績!$W$6:$W$505,AH$3,実績!$AI$6:$AI$505,"&lt;="&amp;$A114,実績!$AJ$6:$AJ$505,"&gt;"&amp;$A114,実績!$AL$6:$AL$505,"○")&gt;0,1,0))</f>
        <v>0</v>
      </c>
      <c r="AI114" s="39" t="n">
        <f aca="false">IF(AI$4=0,0,IF(COUNTIFS(実績!$W$6:$W$505,AI$3,実績!$AI$6:$AI$505,"&lt;="&amp;$A114,実績!$AJ$6:$AJ$505,"&gt;"&amp;$A114,実績!$AL$6:$AL$505,"○")&gt;0,1,0))</f>
        <v>0</v>
      </c>
      <c r="AJ114" s="39" t="n">
        <f aca="false">IF(AJ$4=0,0,IF(COUNTIFS(実績!$W$6:$W$505,AJ$3,実績!$AI$6:$AI$505,"&lt;="&amp;$A114,実績!$AJ$6:$AJ$505,"&gt;"&amp;$A114,実績!$AL$6:$AL$505,"○")&gt;0,1,0))</f>
        <v>0</v>
      </c>
      <c r="AK114" s="39" t="n">
        <f aca="false">IF(AK$4=0,0,IF(COUNTIFS(実績!$W$6:$W$505,AK$3,実績!$AI$6:$AI$505,"&lt;="&amp;$A114,実績!$AJ$6:$AJ$505,"&gt;"&amp;$A114,実績!$AL$6:$AL$505,"○")&gt;0,1,0))</f>
        <v>0</v>
      </c>
      <c r="AL114" s="39" t="n">
        <f aca="false">IF(AL$4=0,0,IF(COUNTIFS(実績!$W$6:$W$505,AL$3,実績!$AI$6:$AI$505,"&lt;="&amp;$A114,実績!$AJ$6:$AJ$505,"&gt;"&amp;$A114,実績!$AL$6:$AL$505,"○")&gt;0,1,0))</f>
        <v>0</v>
      </c>
      <c r="AM114" s="39" t="n">
        <f aca="false">IF(AM$4=0,0,IF(COUNTIFS(実績!$W$6:$W$505,AM$3,実績!$AI$6:$AI$505,"&lt;="&amp;$A114,実績!$AJ$6:$AJ$505,"&gt;"&amp;$A114,実績!$AL$6:$AL$505,"○")&gt;0,1,0))</f>
        <v>0</v>
      </c>
      <c r="AN114" s="39" t="n">
        <f aca="false">IF(AN$4=0,0,IF(COUNTIFS(実績!$W$6:$W$505,AN$3,実績!$AI$6:$AI$505,"&lt;="&amp;$A114,実績!$AJ$6:$AJ$505,"&gt;"&amp;$A114,実績!$AL$6:$AL$505,"○")&gt;0,1,0))</f>
        <v>0</v>
      </c>
      <c r="AO114" s="39" t="n">
        <f aca="false">IF(AO$4=0,0,IF(COUNTIFS(実績!$W$6:$W$505,AO$3,実績!$AI$6:$AI$505,"&lt;="&amp;$A114,実績!$AJ$6:$AJ$505,"&gt;"&amp;$A114,実績!$AL$6:$AL$505,"○")&gt;0,1,0))</f>
        <v>0</v>
      </c>
      <c r="AP114" s="39" t="n">
        <f aca="false">IF(AP$4=0,0,IF(COUNTIFS(実績!$W$6:$W$505,AP$3,実績!$AI$6:$AI$505,"&lt;="&amp;$A114,実績!$AJ$6:$AJ$505,"&gt;"&amp;$A114,実績!$AL$6:$AL$505,"○")&gt;0,1,0))</f>
        <v>0</v>
      </c>
      <c r="AQ114" s="39" t="n">
        <f aca="false">IF(AQ$4=0,0,IF(COUNTIFS(実績!$W$6:$W$505,AQ$3,実績!$AI$6:$AI$505,"&lt;="&amp;$A114,実績!$AJ$6:$AJ$505,"&gt;"&amp;$A114,実績!$AL$6:$AL$505,"○")&gt;0,1,0))</f>
        <v>0</v>
      </c>
      <c r="AR114" s="39" t="n">
        <f aca="false">IF(AR$4=0,0,IF(COUNTIFS(実績!$W$6:$W$505,AR$3,実績!$AI$6:$AI$505,"&lt;="&amp;$A114,実績!$AJ$6:$AJ$505,"&gt;"&amp;$A114,実績!$AL$6:$AL$505,"○")&gt;0,1,0))</f>
        <v>0</v>
      </c>
      <c r="AS114" s="39" t="n">
        <f aca="false">IF(AS$4=0,0,IF(COUNTIFS(実績!$W$6:$W$505,AS$3,実績!$AI$6:$AI$505,"&lt;="&amp;$A114,実績!$AJ$6:$AJ$505,"&gt;"&amp;$A114,実績!$AL$6:$AL$505,"○")&gt;0,1,0))</f>
        <v>0</v>
      </c>
      <c r="AT114" s="39" t="n">
        <f aca="false">IF(AT$4=0,0,IF(COUNTIFS(実績!$W$6:$W$505,AT$3,実績!$AI$6:$AI$505,"&lt;="&amp;$A114,実績!$AJ$6:$AJ$505,"&gt;"&amp;$A114,実績!$AL$6:$AL$505,"○")&gt;0,1,0))</f>
        <v>0</v>
      </c>
      <c r="AU114" s="39" t="n">
        <f aca="false">IF(AU$4=0,0,IF(COUNTIFS(実績!$W$6:$W$505,AU$3,実績!$AI$6:$AI$505,"&lt;="&amp;$A114,実績!$AJ$6:$AJ$505,"&gt;"&amp;$A114,実績!$AL$6:$AL$505,"○")&gt;0,1,0))</f>
        <v>0</v>
      </c>
      <c r="AV114" s="39" t="n">
        <f aca="false">IF(AV$4=0,0,IF(COUNTIFS(実績!$W$6:$W$505,AV$3,実績!$AI$6:$AI$505,"&lt;="&amp;$A114,実績!$AJ$6:$AJ$505,"&gt;"&amp;$A114,実績!$AL$6:$AL$505,"○")&gt;0,1,0))</f>
        <v>0</v>
      </c>
      <c r="AW114" s="39" t="n">
        <f aca="false">IF(AW$4=0,0,IF(COUNTIFS(実績!$W$6:$W$505,AW$3,実績!$AI$6:$AI$505,"&lt;="&amp;$A114,実績!$AJ$6:$AJ$505,"&gt;"&amp;$A114,実績!$AL$6:$AL$505,"○")&gt;0,1,0))</f>
        <v>0</v>
      </c>
      <c r="AX114" s="39" t="n">
        <f aca="false">IF(AX$4=0,0,IF(COUNTIFS(実績!$W$6:$W$505,AX$3,実績!$AI$6:$AI$505,"&lt;="&amp;$A114,実績!$AJ$6:$AJ$505,"&gt;"&amp;$A114,実績!$AL$6:$AL$505,"○")&gt;0,1,0))</f>
        <v>0</v>
      </c>
      <c r="AY114" s="39" t="n">
        <f aca="false">IF(AY$4=0,0,IF(COUNTIFS(実績!$W$6:$W$505,AY$3,実績!$AI$6:$AI$505,"&lt;="&amp;$A114,実績!$AJ$6:$AJ$505,"&gt;"&amp;$A114,実績!$AL$6:$AL$505,"○")&gt;0,1,0))</f>
        <v>0</v>
      </c>
      <c r="AZ114" s="39" t="n">
        <f aca="false">IF(AZ$4=0,0,IF(COUNTIFS(実績!$W$6:$W$505,AZ$3,実績!$AI$6:$AI$505,"&lt;="&amp;$A114,実績!$AJ$6:$AJ$505,"&gt;"&amp;$A114,実績!$AL$6:$AL$505,"○")&gt;0,1,0))</f>
        <v>0</v>
      </c>
      <c r="BA114" s="39" t="n">
        <f aca="false">IF(BA$4=0,0,IF(COUNTIFS(実績!$W$6:$W$505,BA$3,実績!$AI$6:$AI$505,"&lt;="&amp;$A114,実績!$AJ$6:$AJ$505,"&gt;"&amp;$A114,実績!$AL$6:$AL$505,"○")&gt;0,1,0))</f>
        <v>0</v>
      </c>
      <c r="BB114" s="39" t="n">
        <f aca="false">IF(BB$4=0,0,IF(COUNTIFS(実績!$W$6:$W$505,BB$3,実績!$AI$6:$AI$505,"&lt;="&amp;$A114,実績!$AJ$6:$AJ$505,"&gt;"&amp;$A114,実績!$AL$6:$AL$505,"○")&gt;0,1,0))</f>
        <v>0</v>
      </c>
      <c r="BC114" s="39" t="n">
        <f aca="false">IF(BC$4=0,0,IF(COUNTIFS(実績!$W$6:$W$505,BC$3,実績!$AI$6:$AI$505,"&lt;="&amp;$A114,実績!$AJ$6:$AJ$505,"&gt;"&amp;$A114,実績!$AL$6:$AL$505,"○")&gt;0,1,0))</f>
        <v>0</v>
      </c>
      <c r="BD114" s="39" t="n">
        <f aca="false">IF(BD$4=0,0,IF(COUNTIFS(実績!$W$6:$W$505,BD$3,実績!$AI$6:$AI$505,"&lt;="&amp;$A114,実績!$AJ$6:$AJ$505,"&gt;"&amp;$A114,実績!$AL$6:$AL$505,"○")&gt;0,1,0))</f>
        <v>0</v>
      </c>
      <c r="BE114" s="39" t="n">
        <f aca="false">IF(BE$4=0,0,IF(COUNTIFS(実績!$W$6:$W$505,BE$3,実績!$AI$6:$AI$505,"&lt;="&amp;$A114,実績!$AJ$6:$AJ$505,"&gt;"&amp;$A114,実績!$AL$6:$AL$505,"○")&gt;0,1,0))</f>
        <v>0</v>
      </c>
      <c r="BF114" s="39" t="n">
        <f aca="false">IF(BF$4=0,0,IF(COUNTIFS(実績!$W$6:$W$505,BF$3,実績!$AI$6:$AI$505,"&lt;="&amp;$A114,実績!$AJ$6:$AJ$505,"&gt;"&amp;$A114,実績!$AL$6:$AL$505,"○")&gt;0,1,0))</f>
        <v>0</v>
      </c>
      <c r="BG114" s="39" t="n">
        <f aca="false">IF(BG$4=0,0,IF(COUNTIFS(実績!$W$6:$W$505,BG$3,実績!$AI$6:$AI$505,"&lt;="&amp;$A114,実績!$AJ$6:$AJ$505,"&gt;"&amp;$A114,実績!$AL$6:$AL$505,"○")&gt;0,1,0))</f>
        <v>0</v>
      </c>
      <c r="BH114" s="39" t="n">
        <f aca="false">IF(BH$4=0,0,IF(COUNTIFS(実績!$W$6:$W$505,BH$3,実績!$AI$6:$AI$505,"&lt;="&amp;$A114,実績!$AJ$6:$AJ$505,"&gt;"&amp;$A114,実績!$AL$6:$AL$505,"○")&gt;0,1,0))</f>
        <v>0</v>
      </c>
      <c r="BI114" s="39" t="n">
        <f aca="false">IF(BI$4=0,0,IF(COUNTIFS(実績!$W$6:$W$505,BI$3,実績!$AI$6:$AI$505,"&lt;="&amp;$A114,実績!$AJ$6:$AJ$505,"&gt;"&amp;$A114,実績!$AL$6:$AL$505,"○")&gt;0,1,0))</f>
        <v>0</v>
      </c>
      <c r="BJ114" s="39" t="n">
        <f aca="false">IF(BJ$4=0,0,IF(COUNTIFS(実績!$W$6:$W$505,BJ$3,実績!$AI$6:$AI$505,"&lt;="&amp;$A114,実績!$AJ$6:$AJ$505,"&gt;"&amp;$A114,実績!$AL$6:$AL$505,"○")&gt;0,1,0))</f>
        <v>0</v>
      </c>
      <c r="BK114" s="39" t="n">
        <f aca="false">IF(BK$4=0,0,IF(COUNTIFS(実績!$W$6:$W$505,BK$3,実績!$AI$6:$AI$505,"&lt;="&amp;$A114,実績!$AJ$6:$AJ$505,"&gt;"&amp;$A114,実績!$AL$6:$AL$505,"○")&gt;0,1,0))</f>
        <v>0</v>
      </c>
      <c r="BL114" s="39" t="n">
        <f aca="false">IF(BL$4=0,0,IF(COUNTIFS(実績!$W$6:$W$505,BL$3,実績!$AI$6:$AI$505,"&lt;="&amp;$A114,実績!$AJ$6:$AJ$505,"&gt;"&amp;$A114,実績!$AL$6:$AL$505,"○")&gt;0,1,0))</f>
        <v>0</v>
      </c>
      <c r="BM114" s="39" t="n">
        <f aca="false">IF(BM$4=0,0,IF(COUNTIFS(実績!$W$6:$W$505,BM$3,実績!$AI$6:$AI$505,"&lt;="&amp;$A114,実績!$AJ$6:$AJ$505,"&gt;"&amp;$A114,実績!$AL$6:$AL$505,"○")&gt;0,1,0))</f>
        <v>0</v>
      </c>
      <c r="BN114" s="39" t="n">
        <f aca="false">IF(BN$4=0,0,IF(COUNTIFS(実績!$W$6:$W$505,BN$3,実績!$AI$6:$AI$505,"&lt;="&amp;$A114,実績!$AJ$6:$AJ$505,"&gt;"&amp;$A114,実績!$AL$6:$AL$505,"○")&gt;0,1,0))</f>
        <v>0</v>
      </c>
      <c r="BO114" s="39" t="n">
        <f aca="false">IF(BO$4=0,0,IF(COUNTIFS(実績!$W$6:$W$505,BO$3,実績!$AI$6:$AI$505,"&lt;="&amp;$A114,実績!$AJ$6:$AJ$505,"&gt;"&amp;$A114,実績!$AL$6:$AL$505,"○")&gt;0,1,0))</f>
        <v>0</v>
      </c>
      <c r="BP114" s="39" t="n">
        <f aca="false">IF(BP$4=0,0,IF(COUNTIFS(実績!$W$6:$W$505,BP$3,実績!$AI$6:$AI$505,"&lt;="&amp;$A114,実績!$AJ$6:$AJ$505,"&gt;"&amp;$A114,実績!$AL$6:$AL$505,"○")&gt;0,1,0))</f>
        <v>0</v>
      </c>
      <c r="BQ114" s="39" t="n">
        <f aca="false">IF(BQ$4=0,0,IF(COUNTIFS(実績!$W$6:$W$505,BQ$3,実績!$AI$6:$AI$505,"&lt;="&amp;$A114,実績!$AJ$6:$AJ$505,"&gt;"&amp;$A114,実績!$AL$6:$AL$505,"○")&gt;0,1,0))</f>
        <v>0</v>
      </c>
      <c r="BR114" s="39" t="n">
        <f aca="false">IF(BR$4=0,0,IF(COUNTIFS(実績!$W$6:$W$505,BR$3,実績!$AI$6:$AI$505,"&lt;="&amp;$A114,実績!$AJ$6:$AJ$505,"&gt;"&amp;$A114,実績!$AL$6:$AL$505,"○")&gt;0,1,0))</f>
        <v>0</v>
      </c>
      <c r="BS114" s="39" t="n">
        <f aca="false">IF(BS$4=0,0,IF(COUNTIFS(実績!$W$6:$W$505,BS$3,実績!$AI$6:$AI$505,"&lt;="&amp;$A114,実績!$AJ$6:$AJ$505,"&gt;"&amp;$A114,実績!$AL$6:$AL$505,"○")&gt;0,1,0))</f>
        <v>0</v>
      </c>
      <c r="BT114" s="39" t="n">
        <f aca="false">IF(BT$4=0,0,IF(COUNTIFS(実績!$W$6:$W$505,BT$3,実績!$AI$6:$AI$505,"&lt;="&amp;$A114,実績!$AJ$6:$AJ$505,"&gt;"&amp;$A114,実績!$AL$6:$AL$505,"○")&gt;0,1,0))</f>
        <v>0</v>
      </c>
      <c r="BU114" s="39" t="n">
        <f aca="false">IF(BU$4=0,0,IF(COUNTIFS(実績!$W$6:$W$505,BU$3,実績!$AI$6:$AI$505,"&lt;="&amp;$A114,実績!$AJ$6:$AJ$505,"&gt;"&amp;$A114,実績!$AL$6:$AL$505,"○")&gt;0,1,0))</f>
        <v>0</v>
      </c>
      <c r="BV114" s="39" t="n">
        <f aca="false">IF(BV$4=0,0,IF(COUNTIFS(実績!$W$6:$W$505,BV$3,実績!$AI$6:$AI$505,"&lt;="&amp;$A114,実績!$AJ$6:$AJ$505,"&gt;"&amp;$A114,実績!$AL$6:$AL$505,"○")&gt;0,1,0))</f>
        <v>0</v>
      </c>
      <c r="BW114" s="39" t="n">
        <f aca="false">IF(BW$4=0,0,IF(COUNTIFS(実績!$W$6:$W$505,BW$3,実績!$AI$6:$AI$505,"&lt;="&amp;$A114,実績!$AJ$6:$AJ$505,"&gt;"&amp;$A114,実績!$AL$6:$AL$505,"○")&gt;0,1,0))</f>
        <v>0</v>
      </c>
      <c r="BX114" s="39" t="n">
        <f aca="false">IF(BX$4=0,0,IF(COUNTIFS(実績!$W$6:$W$505,BX$3,実績!$AI$6:$AI$505,"&lt;="&amp;$A114,実績!$AJ$6:$AJ$505,"&gt;"&amp;$A114,実績!$AL$6:$AL$505,"○")&gt;0,1,0))</f>
        <v>0</v>
      </c>
      <c r="BY114" s="39" t="n">
        <f aca="false">IF(BY$4=0,0,IF(COUNTIFS(実績!$W$6:$W$505,BY$3,実績!$AI$6:$AI$505,"&lt;="&amp;$A114,実績!$AJ$6:$AJ$505,"&gt;"&amp;$A114,実績!$AL$6:$AL$505,"○")&gt;0,1,0))</f>
        <v>0</v>
      </c>
      <c r="BZ114" s="39" t="n">
        <f aca="false">IF(BZ$4=0,0,IF(COUNTIFS(実績!$W$6:$W$505,BZ$3,実績!$AI$6:$AI$505,"&lt;="&amp;$A114,実績!$AJ$6:$AJ$505,"&gt;"&amp;$A114,実績!$AL$6:$AL$505,"○")&gt;0,1,0))</f>
        <v>0</v>
      </c>
      <c r="CA114" s="39" t="n">
        <f aca="false">IF(CA$4=0,0,IF(COUNTIFS(実績!$W$6:$W$505,CA$3,実績!$AI$6:$AI$505,"&lt;="&amp;$A114,実績!$AJ$6:$AJ$505,"&gt;"&amp;$A114,実績!$AL$6:$AL$505,"○")&gt;0,1,0))</f>
        <v>0</v>
      </c>
      <c r="CB114" s="39" t="n">
        <f aca="false">IF(CB$4=0,0,IF(COUNTIFS(実績!$W$6:$W$505,CB$3,実績!$AI$6:$AI$505,"&lt;="&amp;$A114,実績!$AJ$6:$AJ$505,"&gt;"&amp;$A114,実績!$AL$6:$AL$505,"○")&gt;0,1,0))</f>
        <v>0</v>
      </c>
      <c r="CC114" s="39" t="n">
        <f aca="false">IF(CC$4=0,0,IF(COUNTIFS(実績!$W$6:$W$505,CC$3,実績!$AI$6:$AI$505,"&lt;="&amp;$A114,実績!$AJ$6:$AJ$505,"&gt;"&amp;$A114,実績!$AL$6:$AL$505,"○")&gt;0,1,0))</f>
        <v>0</v>
      </c>
      <c r="CD114" s="39" t="n">
        <f aca="false">IF(CD$4=0,0,IF(COUNTIFS(実績!$W$6:$W$505,CD$3,実績!$AI$6:$AI$505,"&lt;="&amp;$A114,実績!$AJ$6:$AJ$505,"&gt;"&amp;$A114,実績!$AL$6:$AL$505,"○")&gt;0,1,0))</f>
        <v>0</v>
      </c>
      <c r="CE114" s="39" t="n">
        <f aca="false">IF(CE$4=0,0,IF(COUNTIFS(実績!$W$6:$W$505,CE$3,実績!$AI$6:$AI$505,"&lt;="&amp;$A114,実績!$AJ$6:$AJ$505,"&gt;"&amp;$A114,実績!$AL$6:$AL$505,"○")&gt;0,1,0))</f>
        <v>0</v>
      </c>
      <c r="CF114" s="39" t="n">
        <f aca="false">IF(CF$4=0,0,IF(COUNTIFS(実績!$W$6:$W$505,CF$3,実績!$AI$6:$AI$505,"&lt;="&amp;$A114,実績!$AJ$6:$AJ$505,"&gt;"&amp;$A114,実績!$AL$6:$AL$505,"○")&gt;0,1,0))</f>
        <v>0</v>
      </c>
      <c r="CG114" s="39" t="n">
        <f aca="false">IF(CG$4=0,0,IF(COUNTIFS(実績!$W$6:$W$505,CG$3,実績!$AI$6:$AI$505,"&lt;="&amp;$A114,実績!$AJ$6:$AJ$505,"&gt;"&amp;$A114,実績!$AL$6:$AL$505,"○")&gt;0,1,0))</f>
        <v>0</v>
      </c>
      <c r="CH114" s="39" t="n">
        <f aca="false">IF(CH$4=0,0,IF(COUNTIFS(実績!$W$6:$W$505,CH$3,実績!$AI$6:$AI$505,"&lt;="&amp;$A114,実績!$AJ$6:$AJ$505,"&gt;"&amp;$A114,実績!$AL$6:$AL$505,"○")&gt;0,1,0))</f>
        <v>0</v>
      </c>
      <c r="CI114" s="39" t="n">
        <f aca="false">IF(CI$4=0,0,IF(COUNTIFS(実績!$W$6:$W$505,CI$3,実績!$AI$6:$AI$505,"&lt;="&amp;$A114,実績!$AJ$6:$AJ$505,"&gt;"&amp;$A114,実績!$AL$6:$AL$505,"○")&gt;0,1,0))</f>
        <v>0</v>
      </c>
      <c r="CJ114" s="39" t="n">
        <f aca="false">IF(CJ$4=0,0,IF(COUNTIFS(実績!$W$6:$W$505,CJ$3,実績!$AI$6:$AI$505,"&lt;="&amp;$A114,実績!$AJ$6:$AJ$505,"&gt;"&amp;$A114,実績!$AL$6:$AL$505,"○")&gt;0,1,0))</f>
        <v>0</v>
      </c>
      <c r="CK114" s="39" t="n">
        <f aca="false">IF(CK$4=0,0,IF(COUNTIFS(実績!$W$6:$W$505,CK$3,実績!$AI$6:$AI$505,"&lt;="&amp;$A114,実績!$AJ$6:$AJ$505,"&gt;"&amp;$A114,実績!$AL$6:$AL$505,"○")&gt;0,1,0))</f>
        <v>0</v>
      </c>
      <c r="CL114" s="39" t="n">
        <f aca="false">IF(CL$4=0,0,IF(COUNTIFS(実績!$W$6:$W$505,CL$3,実績!$AI$6:$AI$505,"&lt;="&amp;$A114,実績!$AJ$6:$AJ$505,"&gt;"&amp;$A114,実績!$AL$6:$AL$505,"○")&gt;0,1,0))</f>
        <v>0</v>
      </c>
      <c r="CM114" s="39" t="n">
        <f aca="false">IF(CM$4=0,0,IF(COUNTIFS(実績!$W$6:$W$505,CM$3,実績!$AI$6:$AI$505,"&lt;="&amp;$A114,実績!$AJ$6:$AJ$505,"&gt;"&amp;$A114,実績!$AL$6:$AL$505,"○")&gt;0,1,0))</f>
        <v>0</v>
      </c>
      <c r="CN114" s="39" t="n">
        <f aca="false">IF(CN$4=0,0,IF(COUNTIFS(実績!$W$6:$W$505,CN$3,実績!$AI$6:$AI$505,"&lt;="&amp;$A114,実績!$AJ$6:$AJ$505,"&gt;"&amp;$A114,実績!$AL$6:$AL$505,"○")&gt;0,1,0))</f>
        <v>0</v>
      </c>
      <c r="CO114" s="39" t="n">
        <f aca="false">IF(CO$4=0,0,IF(COUNTIFS(実績!$W$6:$W$505,CO$3,実績!$AI$6:$AI$505,"&lt;="&amp;$A114,実績!$AJ$6:$AJ$505,"&gt;"&amp;$A114,実績!$AL$6:$AL$505,"○")&gt;0,1,0))</f>
        <v>0</v>
      </c>
      <c r="CP114" s="39" t="n">
        <f aca="false">IF(CP$4=0,0,IF(COUNTIFS(実績!$W$6:$W$505,CP$3,実績!$AI$6:$AI$505,"&lt;="&amp;$A114,実績!$AJ$6:$AJ$505,"&gt;"&amp;$A114,実績!$AL$6:$AL$505,"○")&gt;0,1,0))</f>
        <v>0</v>
      </c>
      <c r="CQ114" s="39" t="n">
        <f aca="false">IF(CQ$4=0,0,IF(COUNTIFS(実績!$W$6:$W$505,CQ$3,実績!$AI$6:$AI$505,"&lt;="&amp;$A114,実績!$AJ$6:$AJ$505,"&gt;"&amp;$A114,実績!$AL$6:$AL$505,"○")&gt;0,1,0))</f>
        <v>0</v>
      </c>
      <c r="CR114" s="39" t="n">
        <f aca="false">IF(CR$4=0,0,IF(COUNTIFS(実績!$W$6:$W$505,CR$3,実績!$AI$6:$AI$505,"&lt;="&amp;$A114,実績!$AJ$6:$AJ$505,"&gt;"&amp;$A114,実績!$AL$6:$AL$505,"○")&gt;0,1,0))</f>
        <v>0</v>
      </c>
      <c r="CS114" s="39" t="n">
        <f aca="false">IF(CS$4=0,0,IF(COUNTIFS(実績!$W$6:$W$505,CS$3,実績!$AI$6:$AI$505,"&lt;="&amp;$A114,実績!$AJ$6:$AJ$505,"&gt;"&amp;$A114,実績!$AL$6:$AL$505,"○")&gt;0,1,0))</f>
        <v>0</v>
      </c>
      <c r="CT114" s="39" t="n">
        <f aca="false">IF(CT$4=0,0,IF(COUNTIFS(実績!$W$6:$W$505,CT$3,実績!$AI$6:$AI$505,"&lt;="&amp;$A114,実績!$AJ$6:$AJ$505,"&gt;"&amp;$A114,実績!$AL$6:$AL$505,"○")&gt;0,1,0))</f>
        <v>0</v>
      </c>
      <c r="CU114" s="39" t="n">
        <f aca="false">IF(CU$4=0,0,IF(COUNTIFS(実績!$W$6:$W$505,CU$3,実績!$AI$6:$AI$505,"&lt;="&amp;$A114,実績!$AJ$6:$AJ$505,"&gt;"&amp;$A114,実績!$AL$6:$AL$505,"○")&gt;0,1,0))</f>
        <v>0</v>
      </c>
      <c r="CV114" s="39" t="n">
        <f aca="false">IF(CV$4=0,0,IF(COUNTIFS(実績!$W$6:$W$505,CV$3,実績!$AI$6:$AI$505,"&lt;="&amp;$A114,実績!$AJ$6:$AJ$505,"&gt;"&amp;$A114,実績!$AL$6:$AL$505,"○")&gt;0,1,0))</f>
        <v>0</v>
      </c>
      <c r="CW114" s="39" t="n">
        <f aca="false">IF(CW$4=0,0,IF(COUNTIFS(実績!$W$6:$W$505,CW$3,実績!$AI$6:$AI$505,"&lt;="&amp;$A114,実績!$AJ$6:$AJ$505,"&gt;"&amp;$A114,実績!$AL$6:$AL$505,"○")&gt;0,1,0))</f>
        <v>0</v>
      </c>
      <c r="CX114" s="39" t="n">
        <f aca="false">IF(CX$4=0,0,IF(COUNTIFS(実績!$W$6:$W$505,CX$3,実績!$AI$6:$AI$505,"&lt;="&amp;$A114,実績!$AJ$6:$AJ$505,"&gt;"&amp;$A114,実績!$AL$6:$AL$505,"○")&gt;0,1,0))</f>
        <v>0</v>
      </c>
      <c r="CY114" s="39" t="n">
        <f aca="false">IF(CY$4=0,0,IF(COUNTIFS(実績!$W$6:$W$505,CY$3,実績!$AI$6:$AI$505,"&lt;="&amp;$A114,実績!$AJ$6:$AJ$505,"&gt;"&amp;$A114,実績!$AL$6:$AL$505,"○")&gt;0,1,0))</f>
        <v>0</v>
      </c>
      <c r="CZ114" s="39" t="n">
        <f aca="false">IF(CZ$4=0,0,IF(COUNTIFS(実績!$W$6:$W$505,CZ$3,実績!$AI$6:$AI$505,"&lt;="&amp;$A114,実績!$AJ$6:$AJ$505,"&gt;"&amp;$A114,実績!$AL$6:$AL$505,"○")&gt;0,1,0))</f>
        <v>0</v>
      </c>
      <c r="DA114" s="39" t="n">
        <f aca="false">IF(DA$4=0,0,IF(COUNTIFS(実績!$W$6:$W$505,DA$3,実績!$AI$6:$AI$505,"&lt;="&amp;$A114,実績!$AJ$6:$AJ$505,"&gt;"&amp;$A114,実績!$AL$6:$AL$505,"○")&gt;0,1,0))</f>
        <v>0</v>
      </c>
      <c r="DB114" s="39" t="n">
        <f aca="false">IF(DB$4=0,0,IF(COUNTIFS(実績!$W$6:$W$505,DB$3,実績!$AI$6:$AI$505,"&lt;="&amp;$A114,実績!$AJ$6:$AJ$505,"&gt;"&amp;$A114,実績!$AL$6:$AL$505,"○")&gt;0,1,0))</f>
        <v>0</v>
      </c>
      <c r="DC114" s="39" t="n">
        <f aca="false">IF(DC$4=0,0,IF(COUNTIFS(実績!$W$6:$W$505,DC$3,実績!$AI$6:$AI$505,"&lt;="&amp;$A114,実績!$AJ$6:$AJ$505,"&gt;"&amp;$A114,実績!$AL$6:$AL$505,"○")&gt;0,1,0))</f>
        <v>0</v>
      </c>
      <c r="DD114" s="39" t="n">
        <f aca="false">IF(DD$4=0,0,IF(COUNTIFS(実績!$W$6:$W$505,DD$3,実績!$AI$6:$AI$505,"&lt;="&amp;$A114,実績!$AJ$6:$AJ$505,"&gt;"&amp;$A114,実績!$AL$6:$AL$505,"○")&gt;0,1,0))</f>
        <v>0</v>
      </c>
      <c r="DE114" s="39" t="n">
        <f aca="false">IF(DE$4=0,0,IF(COUNTIFS(実績!$W$6:$W$505,DE$3,実績!$AI$6:$AI$505,"&lt;="&amp;$A114,実績!$AJ$6:$AJ$505,"&gt;"&amp;$A114,実績!$AL$6:$AL$505,"○")&gt;0,1,0))</f>
        <v>0</v>
      </c>
      <c r="DF114" s="39" t="n">
        <f aca="false">IF(DF$4=0,0,IF(COUNTIFS(実績!$W$6:$W$505,DF$3,実績!$AI$6:$AI$505,"&lt;="&amp;$A114,実績!$AJ$6:$AJ$505,"&gt;"&amp;$A114,実績!$AL$6:$AL$505,"○")&gt;0,1,0))</f>
        <v>0</v>
      </c>
      <c r="DG114" s="39" t="n">
        <f aca="false">IF(DG$4=0,0,IF(COUNTIFS(実績!$W$6:$W$505,DG$3,実績!$AI$6:$AI$505,"&lt;="&amp;$A114,実績!$AJ$6:$AJ$505,"&gt;"&amp;$A114,実績!$AL$6:$AL$505,"○")&gt;0,1,0))</f>
        <v>0</v>
      </c>
      <c r="DH114" s="39" t="n">
        <f aca="false">IF(DH$4=0,0,IF(COUNTIFS(実績!$W$6:$W$505,DH$3,実績!$AI$6:$AI$505,"&lt;="&amp;$A114,実績!$AJ$6:$AJ$505,"&gt;"&amp;$A114,実績!$AL$6:$AL$505,"○")&gt;0,1,0))</f>
        <v>0</v>
      </c>
      <c r="DI114" s="39" t="n">
        <f aca="false">IF(DI$4=0,0,IF(COUNTIFS(実績!$W$6:$W$505,DI$3,実績!$AI$6:$AI$505,"&lt;="&amp;$A114,実績!$AJ$6:$AJ$505,"&gt;"&amp;$A114,実績!$AL$6:$AL$505,"○")&gt;0,1,0))</f>
        <v>0</v>
      </c>
      <c r="DJ114" s="39" t="n">
        <f aca="false">IF(DJ$4=0,0,IF(COUNTIFS(実績!$W$6:$W$505,DJ$3,実績!$AI$6:$AI$505,"&lt;="&amp;$A114,実績!$AJ$6:$AJ$505,"&gt;"&amp;$A114,実績!$AL$6:$AL$505,"○")&gt;0,1,0))</f>
        <v>0</v>
      </c>
      <c r="DK114" s="39" t="n">
        <f aca="false">IF(DK$4=0,0,IF(COUNTIFS(実績!$W$6:$W$505,DK$3,実績!$AI$6:$AI$505,"&lt;="&amp;$A114,実績!$AJ$6:$AJ$505,"&gt;"&amp;$A114,実績!$AL$6:$AL$505,"○")&gt;0,1,0))</f>
        <v>0</v>
      </c>
      <c r="DL114" s="39" t="n">
        <f aca="false">IF(DL$4=0,0,IF(COUNTIFS(実績!$W$6:$W$505,DL$3,実績!$AI$6:$AI$505,"&lt;="&amp;$A114,実績!$AJ$6:$AJ$505,"&gt;"&amp;$A114,実績!$AL$6:$AL$505,"○")&gt;0,1,0))</f>
        <v>0</v>
      </c>
      <c r="DM114" s="39" t="n">
        <f aca="false">IF(DM$4=0,0,IF(COUNTIFS(実績!$W$6:$W$505,DM$3,実績!$AI$6:$AI$505,"&lt;="&amp;$A114,実績!$AJ$6:$AJ$505,"&gt;"&amp;$A114,実績!$AL$6:$AL$505,"○")&gt;0,1,0))</f>
        <v>0</v>
      </c>
      <c r="DN114" s="39" t="n">
        <f aca="false">IF(DN$4=0,0,IF(COUNTIFS(実績!$W$6:$W$505,DN$3,実績!$AI$6:$AI$505,"&lt;="&amp;$A114,実績!$AJ$6:$AJ$505,"&gt;"&amp;$A114,実績!$AL$6:$AL$505,"○")&gt;0,1,0))</f>
        <v>0</v>
      </c>
      <c r="DO114" s="39" t="n">
        <f aca="false">IF(DO$4=0,0,IF(COUNTIFS(実績!$W$6:$W$505,DO$3,実績!$AI$6:$AI$505,"&lt;="&amp;$A114,実績!$AJ$6:$AJ$505,"&gt;"&amp;$A114,実績!$AL$6:$AL$505,"○")&gt;0,1,0))</f>
        <v>0</v>
      </c>
      <c r="DP114" s="39" t="n">
        <f aca="false">IF(DP$4=0,0,IF(COUNTIFS(実績!$W$6:$W$505,DP$3,実績!$AI$6:$AI$505,"&lt;="&amp;$A114,実績!$AJ$6:$AJ$505,"&gt;"&amp;$A114,実績!$AL$6:$AL$505,"○")&gt;0,1,0))</f>
        <v>0</v>
      </c>
      <c r="DQ114" s="39" t="n">
        <f aca="false">IF(DQ$4=0,0,IF(COUNTIFS(実績!$W$6:$W$505,DQ$3,実績!$AI$6:$AI$505,"&lt;="&amp;$A114,実績!$AJ$6:$AJ$505,"&gt;"&amp;$A114,実績!$AL$6:$AL$505,"○")&gt;0,1,0))</f>
        <v>0</v>
      </c>
      <c r="DR114" s="39" t="n">
        <f aca="false">IF(DR$4=0,0,IF(COUNTIFS(実績!$W$6:$W$505,DR$3,実績!$AI$6:$AI$505,"&lt;="&amp;$A114,実績!$AJ$6:$AJ$505,"&gt;"&amp;$A114,実績!$AL$6:$AL$505,"○")&gt;0,1,0))</f>
        <v>0</v>
      </c>
      <c r="DS114" s="39" t="n">
        <f aca="false">SUM(C114:DR114)</f>
        <v>0</v>
      </c>
    </row>
    <row r="115" customFormat="false" ht="15" hidden="false" customHeight="false" outlineLevel="0" collapsed="false">
      <c r="A115" s="0" t="n">
        <v>545</v>
      </c>
      <c r="B115" s="38" t="n">
        <f aca="false">A115/1440</f>
        <v>0.378472222222222</v>
      </c>
      <c r="C115" s="39" t="n">
        <f aca="false">IF(C$4=0,0,IF(COUNTIFS(実績!$W$6:$W$505,C$3,実績!$AI$6:$AI$505,"&lt;="&amp;$A115,実績!$AJ$6:$AJ$505,"&gt;"&amp;$A115,実績!$AL$6:$AL$505,"○")&gt;0,1,0))</f>
        <v>0</v>
      </c>
      <c r="D115" s="39" t="n">
        <f aca="false">IF(D$4=0,0,IF(COUNTIFS(実績!$W$6:$W$505,D$3,実績!$AI$6:$AI$505,"&lt;="&amp;$A115,実績!$AJ$6:$AJ$505,"&gt;"&amp;$A115,実績!$AL$6:$AL$505,"○")&gt;0,1,0))</f>
        <v>0</v>
      </c>
      <c r="E115" s="39" t="n">
        <f aca="false">IF(E$4=0,0,IF(COUNTIFS(実績!$W$6:$W$505,E$3,実績!$AI$6:$AI$505,"&lt;="&amp;$A115,実績!$AJ$6:$AJ$505,"&gt;"&amp;$A115,実績!$AL$6:$AL$505,"○")&gt;0,1,0))</f>
        <v>0</v>
      </c>
      <c r="F115" s="39" t="n">
        <f aca="false">IF(F$4=0,0,IF(COUNTIFS(実績!$W$6:$W$505,F$3,実績!$AI$6:$AI$505,"&lt;="&amp;$A115,実績!$AJ$6:$AJ$505,"&gt;"&amp;$A115,実績!$AL$6:$AL$505,"○")&gt;0,1,0))</f>
        <v>0</v>
      </c>
      <c r="G115" s="39" t="n">
        <f aca="false">IF(G$4=0,0,IF(COUNTIFS(実績!$W$6:$W$505,G$3,実績!$AI$6:$AI$505,"&lt;="&amp;$A115,実績!$AJ$6:$AJ$505,"&gt;"&amp;$A115,実績!$AL$6:$AL$505,"○")&gt;0,1,0))</f>
        <v>0</v>
      </c>
      <c r="H115" s="39" t="n">
        <f aca="false">IF(H$4=0,0,IF(COUNTIFS(実績!$W$6:$W$505,H$3,実績!$AI$6:$AI$505,"&lt;="&amp;$A115,実績!$AJ$6:$AJ$505,"&gt;"&amp;$A115,実績!$AL$6:$AL$505,"○")&gt;0,1,0))</f>
        <v>0</v>
      </c>
      <c r="I115" s="39" t="n">
        <f aca="false">IF(I$4=0,0,IF(COUNTIFS(実績!$W$6:$W$505,I$3,実績!$AI$6:$AI$505,"&lt;="&amp;$A115,実績!$AJ$6:$AJ$505,"&gt;"&amp;$A115,実績!$AL$6:$AL$505,"○")&gt;0,1,0))</f>
        <v>0</v>
      </c>
      <c r="J115" s="39" t="n">
        <f aca="false">IF(J$4=0,0,IF(COUNTIFS(実績!$W$6:$W$505,J$3,実績!$AI$6:$AI$505,"&lt;="&amp;$A115,実績!$AJ$6:$AJ$505,"&gt;"&amp;$A115,実績!$AL$6:$AL$505,"○")&gt;0,1,0))</f>
        <v>0</v>
      </c>
      <c r="K115" s="39" t="n">
        <f aca="false">IF(K$4=0,0,IF(COUNTIFS(実績!$W$6:$W$505,K$3,実績!$AI$6:$AI$505,"&lt;="&amp;$A115,実績!$AJ$6:$AJ$505,"&gt;"&amp;$A115,実績!$AL$6:$AL$505,"○")&gt;0,1,0))</f>
        <v>0</v>
      </c>
      <c r="L115" s="39" t="n">
        <f aca="false">IF(L$4=0,0,IF(COUNTIFS(実績!$W$6:$W$505,L$3,実績!$AI$6:$AI$505,"&lt;="&amp;$A115,実績!$AJ$6:$AJ$505,"&gt;"&amp;$A115,実績!$AL$6:$AL$505,"○")&gt;0,1,0))</f>
        <v>0</v>
      </c>
      <c r="M115" s="39" t="n">
        <f aca="false">IF(M$4=0,0,IF(COUNTIFS(実績!$W$6:$W$505,M$3,実績!$AI$6:$AI$505,"&lt;="&amp;$A115,実績!$AJ$6:$AJ$505,"&gt;"&amp;$A115,実績!$AL$6:$AL$505,"○")&gt;0,1,0))</f>
        <v>0</v>
      </c>
      <c r="N115" s="39" t="n">
        <f aca="false">IF(N$4=0,0,IF(COUNTIFS(実績!$W$6:$W$505,N$3,実績!$AI$6:$AI$505,"&lt;="&amp;$A115,実績!$AJ$6:$AJ$505,"&gt;"&amp;$A115,実績!$AL$6:$AL$505,"○")&gt;0,1,0))</f>
        <v>0</v>
      </c>
      <c r="O115" s="39" t="n">
        <f aca="false">IF(O$4=0,0,IF(COUNTIFS(実績!$W$6:$W$505,O$3,実績!$AI$6:$AI$505,"&lt;="&amp;$A115,実績!$AJ$6:$AJ$505,"&gt;"&amp;$A115,実績!$AL$6:$AL$505,"○")&gt;0,1,0))</f>
        <v>0</v>
      </c>
      <c r="P115" s="39" t="n">
        <f aca="false">IF(P$4=0,0,IF(COUNTIFS(実績!$W$6:$W$505,P$3,実績!$AI$6:$AI$505,"&lt;="&amp;$A115,実績!$AJ$6:$AJ$505,"&gt;"&amp;$A115,実績!$AL$6:$AL$505,"○")&gt;0,1,0))</f>
        <v>0</v>
      </c>
      <c r="Q115" s="39" t="n">
        <f aca="false">IF(Q$4=0,0,IF(COUNTIFS(実績!$W$6:$W$505,Q$3,実績!$AI$6:$AI$505,"&lt;="&amp;$A115,実績!$AJ$6:$AJ$505,"&gt;"&amp;$A115,実績!$AL$6:$AL$505,"○")&gt;0,1,0))</f>
        <v>0</v>
      </c>
      <c r="R115" s="39" t="n">
        <f aca="false">IF(R$4=0,0,IF(COUNTIFS(実績!$W$6:$W$505,R$3,実績!$AI$6:$AI$505,"&lt;="&amp;$A115,実績!$AJ$6:$AJ$505,"&gt;"&amp;$A115,実績!$AL$6:$AL$505,"○")&gt;0,1,0))</f>
        <v>0</v>
      </c>
      <c r="S115" s="39" t="n">
        <f aca="false">IF(S$4=0,0,IF(COUNTIFS(実績!$W$6:$W$505,S$3,実績!$AI$6:$AI$505,"&lt;="&amp;$A115,実績!$AJ$6:$AJ$505,"&gt;"&amp;$A115,実績!$AL$6:$AL$505,"○")&gt;0,1,0))</f>
        <v>0</v>
      </c>
      <c r="T115" s="39" t="n">
        <f aca="false">IF(T$4=0,0,IF(COUNTIFS(実績!$W$6:$W$505,T$3,実績!$AI$6:$AI$505,"&lt;="&amp;$A115,実績!$AJ$6:$AJ$505,"&gt;"&amp;$A115,実績!$AL$6:$AL$505,"○")&gt;0,1,0))</f>
        <v>0</v>
      </c>
      <c r="U115" s="39" t="n">
        <f aca="false">IF(U$4=0,0,IF(COUNTIFS(実績!$W$6:$W$505,U$3,実績!$AI$6:$AI$505,"&lt;="&amp;$A115,実績!$AJ$6:$AJ$505,"&gt;"&amp;$A115,実績!$AL$6:$AL$505,"○")&gt;0,1,0))</f>
        <v>0</v>
      </c>
      <c r="V115" s="39" t="n">
        <f aca="false">IF(V$4=0,0,IF(COUNTIFS(実績!$W$6:$W$505,V$3,実績!$AI$6:$AI$505,"&lt;="&amp;$A115,実績!$AJ$6:$AJ$505,"&gt;"&amp;$A115,実績!$AL$6:$AL$505,"○")&gt;0,1,0))</f>
        <v>0</v>
      </c>
      <c r="W115" s="39" t="n">
        <f aca="false">IF(W$4=0,0,IF(COUNTIFS(実績!$W$6:$W$505,W$3,実績!$AI$6:$AI$505,"&lt;="&amp;$A115,実績!$AJ$6:$AJ$505,"&gt;"&amp;$A115,実績!$AL$6:$AL$505,"○")&gt;0,1,0))</f>
        <v>0</v>
      </c>
      <c r="X115" s="39" t="n">
        <f aca="false">IF(X$4=0,0,IF(COUNTIFS(実績!$W$6:$W$505,X$3,実績!$AI$6:$AI$505,"&lt;="&amp;$A115,実績!$AJ$6:$AJ$505,"&gt;"&amp;$A115,実績!$AL$6:$AL$505,"○")&gt;0,1,0))</f>
        <v>0</v>
      </c>
      <c r="Y115" s="39" t="n">
        <f aca="false">IF(Y$4=0,0,IF(COUNTIFS(実績!$W$6:$W$505,Y$3,実績!$AI$6:$AI$505,"&lt;="&amp;$A115,実績!$AJ$6:$AJ$505,"&gt;"&amp;$A115,実績!$AL$6:$AL$505,"○")&gt;0,1,0))</f>
        <v>0</v>
      </c>
      <c r="Z115" s="39" t="n">
        <f aca="false">IF(Z$4=0,0,IF(COUNTIFS(実績!$W$6:$W$505,Z$3,実績!$AI$6:$AI$505,"&lt;="&amp;$A115,実績!$AJ$6:$AJ$505,"&gt;"&amp;$A115,実績!$AL$6:$AL$505,"○")&gt;0,1,0))</f>
        <v>0</v>
      </c>
      <c r="AA115" s="39" t="n">
        <f aca="false">IF(AA$4=0,0,IF(COUNTIFS(実績!$W$6:$W$505,AA$3,実績!$AI$6:$AI$505,"&lt;="&amp;$A115,実績!$AJ$6:$AJ$505,"&gt;"&amp;$A115,実績!$AL$6:$AL$505,"○")&gt;0,1,0))</f>
        <v>0</v>
      </c>
      <c r="AB115" s="39" t="n">
        <f aca="false">IF(AB$4=0,0,IF(COUNTIFS(実績!$W$6:$W$505,AB$3,実績!$AI$6:$AI$505,"&lt;="&amp;$A115,実績!$AJ$6:$AJ$505,"&gt;"&amp;$A115,実績!$AL$6:$AL$505,"○")&gt;0,1,0))</f>
        <v>0</v>
      </c>
      <c r="AC115" s="39" t="n">
        <f aca="false">IF(AC$4=0,0,IF(COUNTIFS(実績!$W$6:$W$505,AC$3,実績!$AI$6:$AI$505,"&lt;="&amp;$A115,実績!$AJ$6:$AJ$505,"&gt;"&amp;$A115,実績!$AL$6:$AL$505,"○")&gt;0,1,0))</f>
        <v>0</v>
      </c>
      <c r="AD115" s="39" t="n">
        <f aca="false">IF(AD$4=0,0,IF(COUNTIFS(実績!$W$6:$W$505,AD$3,実績!$AI$6:$AI$505,"&lt;="&amp;$A115,実績!$AJ$6:$AJ$505,"&gt;"&amp;$A115,実績!$AL$6:$AL$505,"○")&gt;0,1,0))</f>
        <v>0</v>
      </c>
      <c r="AE115" s="39" t="n">
        <f aca="false">IF(AE$4=0,0,IF(COUNTIFS(実績!$W$6:$W$505,AE$3,実績!$AI$6:$AI$505,"&lt;="&amp;$A115,実績!$AJ$6:$AJ$505,"&gt;"&amp;$A115,実績!$AL$6:$AL$505,"○")&gt;0,1,0))</f>
        <v>0</v>
      </c>
      <c r="AF115" s="39" t="n">
        <f aca="false">IF(AF$4=0,0,IF(COUNTIFS(実績!$W$6:$W$505,AF$3,実績!$AI$6:$AI$505,"&lt;="&amp;$A115,実績!$AJ$6:$AJ$505,"&gt;"&amp;$A115,実績!$AL$6:$AL$505,"○")&gt;0,1,0))</f>
        <v>0</v>
      </c>
      <c r="AG115" s="39" t="n">
        <f aca="false">IF(AG$4=0,0,IF(COUNTIFS(実績!$W$6:$W$505,AG$3,実績!$AI$6:$AI$505,"&lt;="&amp;$A115,実績!$AJ$6:$AJ$505,"&gt;"&amp;$A115,実績!$AL$6:$AL$505,"○")&gt;0,1,0))</f>
        <v>0</v>
      </c>
      <c r="AH115" s="39" t="n">
        <f aca="false">IF(AH$4=0,0,IF(COUNTIFS(実績!$W$6:$W$505,AH$3,実績!$AI$6:$AI$505,"&lt;="&amp;$A115,実績!$AJ$6:$AJ$505,"&gt;"&amp;$A115,実績!$AL$6:$AL$505,"○")&gt;0,1,0))</f>
        <v>0</v>
      </c>
      <c r="AI115" s="39" t="n">
        <f aca="false">IF(AI$4=0,0,IF(COUNTIFS(実績!$W$6:$W$505,AI$3,実績!$AI$6:$AI$505,"&lt;="&amp;$A115,実績!$AJ$6:$AJ$505,"&gt;"&amp;$A115,実績!$AL$6:$AL$505,"○")&gt;0,1,0))</f>
        <v>0</v>
      </c>
      <c r="AJ115" s="39" t="n">
        <f aca="false">IF(AJ$4=0,0,IF(COUNTIFS(実績!$W$6:$W$505,AJ$3,実績!$AI$6:$AI$505,"&lt;="&amp;$A115,実績!$AJ$6:$AJ$505,"&gt;"&amp;$A115,実績!$AL$6:$AL$505,"○")&gt;0,1,0))</f>
        <v>0</v>
      </c>
      <c r="AK115" s="39" t="n">
        <f aca="false">IF(AK$4=0,0,IF(COUNTIFS(実績!$W$6:$W$505,AK$3,実績!$AI$6:$AI$505,"&lt;="&amp;$A115,実績!$AJ$6:$AJ$505,"&gt;"&amp;$A115,実績!$AL$6:$AL$505,"○")&gt;0,1,0))</f>
        <v>0</v>
      </c>
      <c r="AL115" s="39" t="n">
        <f aca="false">IF(AL$4=0,0,IF(COUNTIFS(実績!$W$6:$W$505,AL$3,実績!$AI$6:$AI$505,"&lt;="&amp;$A115,実績!$AJ$6:$AJ$505,"&gt;"&amp;$A115,実績!$AL$6:$AL$505,"○")&gt;0,1,0))</f>
        <v>0</v>
      </c>
      <c r="AM115" s="39" t="n">
        <f aca="false">IF(AM$4=0,0,IF(COUNTIFS(実績!$W$6:$W$505,AM$3,実績!$AI$6:$AI$505,"&lt;="&amp;$A115,実績!$AJ$6:$AJ$505,"&gt;"&amp;$A115,実績!$AL$6:$AL$505,"○")&gt;0,1,0))</f>
        <v>0</v>
      </c>
      <c r="AN115" s="39" t="n">
        <f aca="false">IF(AN$4=0,0,IF(COUNTIFS(実績!$W$6:$W$505,AN$3,実績!$AI$6:$AI$505,"&lt;="&amp;$A115,実績!$AJ$6:$AJ$505,"&gt;"&amp;$A115,実績!$AL$6:$AL$505,"○")&gt;0,1,0))</f>
        <v>0</v>
      </c>
      <c r="AO115" s="39" t="n">
        <f aca="false">IF(AO$4=0,0,IF(COUNTIFS(実績!$W$6:$W$505,AO$3,実績!$AI$6:$AI$505,"&lt;="&amp;$A115,実績!$AJ$6:$AJ$505,"&gt;"&amp;$A115,実績!$AL$6:$AL$505,"○")&gt;0,1,0))</f>
        <v>0</v>
      </c>
      <c r="AP115" s="39" t="n">
        <f aca="false">IF(AP$4=0,0,IF(COUNTIFS(実績!$W$6:$W$505,AP$3,実績!$AI$6:$AI$505,"&lt;="&amp;$A115,実績!$AJ$6:$AJ$505,"&gt;"&amp;$A115,実績!$AL$6:$AL$505,"○")&gt;0,1,0))</f>
        <v>0</v>
      </c>
      <c r="AQ115" s="39" t="n">
        <f aca="false">IF(AQ$4=0,0,IF(COUNTIFS(実績!$W$6:$W$505,AQ$3,実績!$AI$6:$AI$505,"&lt;="&amp;$A115,実績!$AJ$6:$AJ$505,"&gt;"&amp;$A115,実績!$AL$6:$AL$505,"○")&gt;0,1,0))</f>
        <v>0</v>
      </c>
      <c r="AR115" s="39" t="n">
        <f aca="false">IF(AR$4=0,0,IF(COUNTIFS(実績!$W$6:$W$505,AR$3,実績!$AI$6:$AI$505,"&lt;="&amp;$A115,実績!$AJ$6:$AJ$505,"&gt;"&amp;$A115,実績!$AL$6:$AL$505,"○")&gt;0,1,0))</f>
        <v>0</v>
      </c>
      <c r="AS115" s="39" t="n">
        <f aca="false">IF(AS$4=0,0,IF(COUNTIFS(実績!$W$6:$W$505,AS$3,実績!$AI$6:$AI$505,"&lt;="&amp;$A115,実績!$AJ$6:$AJ$505,"&gt;"&amp;$A115,実績!$AL$6:$AL$505,"○")&gt;0,1,0))</f>
        <v>0</v>
      </c>
      <c r="AT115" s="39" t="n">
        <f aca="false">IF(AT$4=0,0,IF(COUNTIFS(実績!$W$6:$W$505,AT$3,実績!$AI$6:$AI$505,"&lt;="&amp;$A115,実績!$AJ$6:$AJ$505,"&gt;"&amp;$A115,実績!$AL$6:$AL$505,"○")&gt;0,1,0))</f>
        <v>0</v>
      </c>
      <c r="AU115" s="39" t="n">
        <f aca="false">IF(AU$4=0,0,IF(COUNTIFS(実績!$W$6:$W$505,AU$3,実績!$AI$6:$AI$505,"&lt;="&amp;$A115,実績!$AJ$6:$AJ$505,"&gt;"&amp;$A115,実績!$AL$6:$AL$505,"○")&gt;0,1,0))</f>
        <v>0</v>
      </c>
      <c r="AV115" s="39" t="n">
        <f aca="false">IF(AV$4=0,0,IF(COUNTIFS(実績!$W$6:$W$505,AV$3,実績!$AI$6:$AI$505,"&lt;="&amp;$A115,実績!$AJ$6:$AJ$505,"&gt;"&amp;$A115,実績!$AL$6:$AL$505,"○")&gt;0,1,0))</f>
        <v>0</v>
      </c>
      <c r="AW115" s="39" t="n">
        <f aca="false">IF(AW$4=0,0,IF(COUNTIFS(実績!$W$6:$W$505,AW$3,実績!$AI$6:$AI$505,"&lt;="&amp;$A115,実績!$AJ$6:$AJ$505,"&gt;"&amp;$A115,実績!$AL$6:$AL$505,"○")&gt;0,1,0))</f>
        <v>0</v>
      </c>
      <c r="AX115" s="39" t="n">
        <f aca="false">IF(AX$4=0,0,IF(COUNTIFS(実績!$W$6:$W$505,AX$3,実績!$AI$6:$AI$505,"&lt;="&amp;$A115,実績!$AJ$6:$AJ$505,"&gt;"&amp;$A115,実績!$AL$6:$AL$505,"○")&gt;0,1,0))</f>
        <v>0</v>
      </c>
      <c r="AY115" s="39" t="n">
        <f aca="false">IF(AY$4=0,0,IF(COUNTIFS(実績!$W$6:$W$505,AY$3,実績!$AI$6:$AI$505,"&lt;="&amp;$A115,実績!$AJ$6:$AJ$505,"&gt;"&amp;$A115,実績!$AL$6:$AL$505,"○")&gt;0,1,0))</f>
        <v>0</v>
      </c>
      <c r="AZ115" s="39" t="n">
        <f aca="false">IF(AZ$4=0,0,IF(COUNTIFS(実績!$W$6:$W$505,AZ$3,実績!$AI$6:$AI$505,"&lt;="&amp;$A115,実績!$AJ$6:$AJ$505,"&gt;"&amp;$A115,実績!$AL$6:$AL$505,"○")&gt;0,1,0))</f>
        <v>0</v>
      </c>
      <c r="BA115" s="39" t="n">
        <f aca="false">IF(BA$4=0,0,IF(COUNTIFS(実績!$W$6:$W$505,BA$3,実績!$AI$6:$AI$505,"&lt;="&amp;$A115,実績!$AJ$6:$AJ$505,"&gt;"&amp;$A115,実績!$AL$6:$AL$505,"○")&gt;0,1,0))</f>
        <v>0</v>
      </c>
      <c r="BB115" s="39" t="n">
        <f aca="false">IF(BB$4=0,0,IF(COUNTIFS(実績!$W$6:$W$505,BB$3,実績!$AI$6:$AI$505,"&lt;="&amp;$A115,実績!$AJ$6:$AJ$505,"&gt;"&amp;$A115,実績!$AL$6:$AL$505,"○")&gt;0,1,0))</f>
        <v>0</v>
      </c>
      <c r="BC115" s="39" t="n">
        <f aca="false">IF(BC$4=0,0,IF(COUNTIFS(実績!$W$6:$W$505,BC$3,実績!$AI$6:$AI$505,"&lt;="&amp;$A115,実績!$AJ$6:$AJ$505,"&gt;"&amp;$A115,実績!$AL$6:$AL$505,"○")&gt;0,1,0))</f>
        <v>0</v>
      </c>
      <c r="BD115" s="39" t="n">
        <f aca="false">IF(BD$4=0,0,IF(COUNTIFS(実績!$W$6:$W$505,BD$3,実績!$AI$6:$AI$505,"&lt;="&amp;$A115,実績!$AJ$6:$AJ$505,"&gt;"&amp;$A115,実績!$AL$6:$AL$505,"○")&gt;0,1,0))</f>
        <v>0</v>
      </c>
      <c r="BE115" s="39" t="n">
        <f aca="false">IF(BE$4=0,0,IF(COUNTIFS(実績!$W$6:$W$505,BE$3,実績!$AI$6:$AI$505,"&lt;="&amp;$A115,実績!$AJ$6:$AJ$505,"&gt;"&amp;$A115,実績!$AL$6:$AL$505,"○")&gt;0,1,0))</f>
        <v>0</v>
      </c>
      <c r="BF115" s="39" t="n">
        <f aca="false">IF(BF$4=0,0,IF(COUNTIFS(実績!$W$6:$W$505,BF$3,実績!$AI$6:$AI$505,"&lt;="&amp;$A115,実績!$AJ$6:$AJ$505,"&gt;"&amp;$A115,実績!$AL$6:$AL$505,"○")&gt;0,1,0))</f>
        <v>0</v>
      </c>
      <c r="BG115" s="39" t="n">
        <f aca="false">IF(BG$4=0,0,IF(COUNTIFS(実績!$W$6:$W$505,BG$3,実績!$AI$6:$AI$505,"&lt;="&amp;$A115,実績!$AJ$6:$AJ$505,"&gt;"&amp;$A115,実績!$AL$6:$AL$505,"○")&gt;0,1,0))</f>
        <v>0</v>
      </c>
      <c r="BH115" s="39" t="n">
        <f aca="false">IF(BH$4=0,0,IF(COUNTIFS(実績!$W$6:$W$505,BH$3,実績!$AI$6:$AI$505,"&lt;="&amp;$A115,実績!$AJ$6:$AJ$505,"&gt;"&amp;$A115,実績!$AL$6:$AL$505,"○")&gt;0,1,0))</f>
        <v>0</v>
      </c>
      <c r="BI115" s="39" t="n">
        <f aca="false">IF(BI$4=0,0,IF(COUNTIFS(実績!$W$6:$W$505,BI$3,実績!$AI$6:$AI$505,"&lt;="&amp;$A115,実績!$AJ$6:$AJ$505,"&gt;"&amp;$A115,実績!$AL$6:$AL$505,"○")&gt;0,1,0))</f>
        <v>0</v>
      </c>
      <c r="BJ115" s="39" t="n">
        <f aca="false">IF(BJ$4=0,0,IF(COUNTIFS(実績!$W$6:$W$505,BJ$3,実績!$AI$6:$AI$505,"&lt;="&amp;$A115,実績!$AJ$6:$AJ$505,"&gt;"&amp;$A115,実績!$AL$6:$AL$505,"○")&gt;0,1,0))</f>
        <v>0</v>
      </c>
      <c r="BK115" s="39" t="n">
        <f aca="false">IF(BK$4=0,0,IF(COUNTIFS(実績!$W$6:$W$505,BK$3,実績!$AI$6:$AI$505,"&lt;="&amp;$A115,実績!$AJ$6:$AJ$505,"&gt;"&amp;$A115,実績!$AL$6:$AL$505,"○")&gt;0,1,0))</f>
        <v>0</v>
      </c>
      <c r="BL115" s="39" t="n">
        <f aca="false">IF(BL$4=0,0,IF(COUNTIFS(実績!$W$6:$W$505,BL$3,実績!$AI$6:$AI$505,"&lt;="&amp;$A115,実績!$AJ$6:$AJ$505,"&gt;"&amp;$A115,実績!$AL$6:$AL$505,"○")&gt;0,1,0))</f>
        <v>0</v>
      </c>
      <c r="BM115" s="39" t="n">
        <f aca="false">IF(BM$4=0,0,IF(COUNTIFS(実績!$W$6:$W$505,BM$3,実績!$AI$6:$AI$505,"&lt;="&amp;$A115,実績!$AJ$6:$AJ$505,"&gt;"&amp;$A115,実績!$AL$6:$AL$505,"○")&gt;0,1,0))</f>
        <v>0</v>
      </c>
      <c r="BN115" s="39" t="n">
        <f aca="false">IF(BN$4=0,0,IF(COUNTIFS(実績!$W$6:$W$505,BN$3,実績!$AI$6:$AI$505,"&lt;="&amp;$A115,実績!$AJ$6:$AJ$505,"&gt;"&amp;$A115,実績!$AL$6:$AL$505,"○")&gt;0,1,0))</f>
        <v>0</v>
      </c>
      <c r="BO115" s="39" t="n">
        <f aca="false">IF(BO$4=0,0,IF(COUNTIFS(実績!$W$6:$W$505,BO$3,実績!$AI$6:$AI$505,"&lt;="&amp;$A115,実績!$AJ$6:$AJ$505,"&gt;"&amp;$A115,実績!$AL$6:$AL$505,"○")&gt;0,1,0))</f>
        <v>0</v>
      </c>
      <c r="BP115" s="39" t="n">
        <f aca="false">IF(BP$4=0,0,IF(COUNTIFS(実績!$W$6:$W$505,BP$3,実績!$AI$6:$AI$505,"&lt;="&amp;$A115,実績!$AJ$6:$AJ$505,"&gt;"&amp;$A115,実績!$AL$6:$AL$505,"○")&gt;0,1,0))</f>
        <v>0</v>
      </c>
      <c r="BQ115" s="39" t="n">
        <f aca="false">IF(BQ$4=0,0,IF(COUNTIFS(実績!$W$6:$W$505,BQ$3,実績!$AI$6:$AI$505,"&lt;="&amp;$A115,実績!$AJ$6:$AJ$505,"&gt;"&amp;$A115,実績!$AL$6:$AL$505,"○")&gt;0,1,0))</f>
        <v>0</v>
      </c>
      <c r="BR115" s="39" t="n">
        <f aca="false">IF(BR$4=0,0,IF(COUNTIFS(実績!$W$6:$W$505,BR$3,実績!$AI$6:$AI$505,"&lt;="&amp;$A115,実績!$AJ$6:$AJ$505,"&gt;"&amp;$A115,実績!$AL$6:$AL$505,"○")&gt;0,1,0))</f>
        <v>0</v>
      </c>
      <c r="BS115" s="39" t="n">
        <f aca="false">IF(BS$4=0,0,IF(COUNTIFS(実績!$W$6:$W$505,BS$3,実績!$AI$6:$AI$505,"&lt;="&amp;$A115,実績!$AJ$6:$AJ$505,"&gt;"&amp;$A115,実績!$AL$6:$AL$505,"○")&gt;0,1,0))</f>
        <v>0</v>
      </c>
      <c r="BT115" s="39" t="n">
        <f aca="false">IF(BT$4=0,0,IF(COUNTIFS(実績!$W$6:$W$505,BT$3,実績!$AI$6:$AI$505,"&lt;="&amp;$A115,実績!$AJ$6:$AJ$505,"&gt;"&amp;$A115,実績!$AL$6:$AL$505,"○")&gt;0,1,0))</f>
        <v>0</v>
      </c>
      <c r="BU115" s="39" t="n">
        <f aca="false">IF(BU$4=0,0,IF(COUNTIFS(実績!$W$6:$W$505,BU$3,実績!$AI$6:$AI$505,"&lt;="&amp;$A115,実績!$AJ$6:$AJ$505,"&gt;"&amp;$A115,実績!$AL$6:$AL$505,"○")&gt;0,1,0))</f>
        <v>0</v>
      </c>
      <c r="BV115" s="39" t="n">
        <f aca="false">IF(BV$4=0,0,IF(COUNTIFS(実績!$W$6:$W$505,BV$3,実績!$AI$6:$AI$505,"&lt;="&amp;$A115,実績!$AJ$6:$AJ$505,"&gt;"&amp;$A115,実績!$AL$6:$AL$505,"○")&gt;0,1,0))</f>
        <v>0</v>
      </c>
      <c r="BW115" s="39" t="n">
        <f aca="false">IF(BW$4=0,0,IF(COUNTIFS(実績!$W$6:$W$505,BW$3,実績!$AI$6:$AI$505,"&lt;="&amp;$A115,実績!$AJ$6:$AJ$505,"&gt;"&amp;$A115,実績!$AL$6:$AL$505,"○")&gt;0,1,0))</f>
        <v>0</v>
      </c>
      <c r="BX115" s="39" t="n">
        <f aca="false">IF(BX$4=0,0,IF(COUNTIFS(実績!$W$6:$W$505,BX$3,実績!$AI$6:$AI$505,"&lt;="&amp;$A115,実績!$AJ$6:$AJ$505,"&gt;"&amp;$A115,実績!$AL$6:$AL$505,"○")&gt;0,1,0))</f>
        <v>0</v>
      </c>
      <c r="BY115" s="39" t="n">
        <f aca="false">IF(BY$4=0,0,IF(COUNTIFS(実績!$W$6:$W$505,BY$3,実績!$AI$6:$AI$505,"&lt;="&amp;$A115,実績!$AJ$6:$AJ$505,"&gt;"&amp;$A115,実績!$AL$6:$AL$505,"○")&gt;0,1,0))</f>
        <v>0</v>
      </c>
      <c r="BZ115" s="39" t="n">
        <f aca="false">IF(BZ$4=0,0,IF(COUNTIFS(実績!$W$6:$W$505,BZ$3,実績!$AI$6:$AI$505,"&lt;="&amp;$A115,実績!$AJ$6:$AJ$505,"&gt;"&amp;$A115,実績!$AL$6:$AL$505,"○")&gt;0,1,0))</f>
        <v>0</v>
      </c>
      <c r="CA115" s="39" t="n">
        <f aca="false">IF(CA$4=0,0,IF(COUNTIFS(実績!$W$6:$W$505,CA$3,実績!$AI$6:$AI$505,"&lt;="&amp;$A115,実績!$AJ$6:$AJ$505,"&gt;"&amp;$A115,実績!$AL$6:$AL$505,"○")&gt;0,1,0))</f>
        <v>0</v>
      </c>
      <c r="CB115" s="39" t="n">
        <f aca="false">IF(CB$4=0,0,IF(COUNTIFS(実績!$W$6:$W$505,CB$3,実績!$AI$6:$AI$505,"&lt;="&amp;$A115,実績!$AJ$6:$AJ$505,"&gt;"&amp;$A115,実績!$AL$6:$AL$505,"○")&gt;0,1,0))</f>
        <v>0</v>
      </c>
      <c r="CC115" s="39" t="n">
        <f aca="false">IF(CC$4=0,0,IF(COUNTIFS(実績!$W$6:$W$505,CC$3,実績!$AI$6:$AI$505,"&lt;="&amp;$A115,実績!$AJ$6:$AJ$505,"&gt;"&amp;$A115,実績!$AL$6:$AL$505,"○")&gt;0,1,0))</f>
        <v>0</v>
      </c>
      <c r="CD115" s="39" t="n">
        <f aca="false">IF(CD$4=0,0,IF(COUNTIFS(実績!$W$6:$W$505,CD$3,実績!$AI$6:$AI$505,"&lt;="&amp;$A115,実績!$AJ$6:$AJ$505,"&gt;"&amp;$A115,実績!$AL$6:$AL$505,"○")&gt;0,1,0))</f>
        <v>0</v>
      </c>
      <c r="CE115" s="39" t="n">
        <f aca="false">IF(CE$4=0,0,IF(COUNTIFS(実績!$W$6:$W$505,CE$3,実績!$AI$6:$AI$505,"&lt;="&amp;$A115,実績!$AJ$6:$AJ$505,"&gt;"&amp;$A115,実績!$AL$6:$AL$505,"○")&gt;0,1,0))</f>
        <v>0</v>
      </c>
      <c r="CF115" s="39" t="n">
        <f aca="false">IF(CF$4=0,0,IF(COUNTIFS(実績!$W$6:$W$505,CF$3,実績!$AI$6:$AI$505,"&lt;="&amp;$A115,実績!$AJ$6:$AJ$505,"&gt;"&amp;$A115,実績!$AL$6:$AL$505,"○")&gt;0,1,0))</f>
        <v>0</v>
      </c>
      <c r="CG115" s="39" t="n">
        <f aca="false">IF(CG$4=0,0,IF(COUNTIFS(実績!$W$6:$W$505,CG$3,実績!$AI$6:$AI$505,"&lt;="&amp;$A115,実績!$AJ$6:$AJ$505,"&gt;"&amp;$A115,実績!$AL$6:$AL$505,"○")&gt;0,1,0))</f>
        <v>0</v>
      </c>
      <c r="CH115" s="39" t="n">
        <f aca="false">IF(CH$4=0,0,IF(COUNTIFS(実績!$W$6:$W$505,CH$3,実績!$AI$6:$AI$505,"&lt;="&amp;$A115,実績!$AJ$6:$AJ$505,"&gt;"&amp;$A115,実績!$AL$6:$AL$505,"○")&gt;0,1,0))</f>
        <v>0</v>
      </c>
      <c r="CI115" s="39" t="n">
        <f aca="false">IF(CI$4=0,0,IF(COUNTIFS(実績!$W$6:$W$505,CI$3,実績!$AI$6:$AI$505,"&lt;="&amp;$A115,実績!$AJ$6:$AJ$505,"&gt;"&amp;$A115,実績!$AL$6:$AL$505,"○")&gt;0,1,0))</f>
        <v>0</v>
      </c>
      <c r="CJ115" s="39" t="n">
        <f aca="false">IF(CJ$4=0,0,IF(COUNTIFS(実績!$W$6:$W$505,CJ$3,実績!$AI$6:$AI$505,"&lt;="&amp;$A115,実績!$AJ$6:$AJ$505,"&gt;"&amp;$A115,実績!$AL$6:$AL$505,"○")&gt;0,1,0))</f>
        <v>0</v>
      </c>
      <c r="CK115" s="39" t="n">
        <f aca="false">IF(CK$4=0,0,IF(COUNTIFS(実績!$W$6:$W$505,CK$3,実績!$AI$6:$AI$505,"&lt;="&amp;$A115,実績!$AJ$6:$AJ$505,"&gt;"&amp;$A115,実績!$AL$6:$AL$505,"○")&gt;0,1,0))</f>
        <v>0</v>
      </c>
      <c r="CL115" s="39" t="n">
        <f aca="false">IF(CL$4=0,0,IF(COUNTIFS(実績!$W$6:$W$505,CL$3,実績!$AI$6:$AI$505,"&lt;="&amp;$A115,実績!$AJ$6:$AJ$505,"&gt;"&amp;$A115,実績!$AL$6:$AL$505,"○")&gt;0,1,0))</f>
        <v>0</v>
      </c>
      <c r="CM115" s="39" t="n">
        <f aca="false">IF(CM$4=0,0,IF(COUNTIFS(実績!$W$6:$W$505,CM$3,実績!$AI$6:$AI$505,"&lt;="&amp;$A115,実績!$AJ$6:$AJ$505,"&gt;"&amp;$A115,実績!$AL$6:$AL$505,"○")&gt;0,1,0))</f>
        <v>0</v>
      </c>
      <c r="CN115" s="39" t="n">
        <f aca="false">IF(CN$4=0,0,IF(COUNTIFS(実績!$W$6:$W$505,CN$3,実績!$AI$6:$AI$505,"&lt;="&amp;$A115,実績!$AJ$6:$AJ$505,"&gt;"&amp;$A115,実績!$AL$6:$AL$505,"○")&gt;0,1,0))</f>
        <v>0</v>
      </c>
      <c r="CO115" s="39" t="n">
        <f aca="false">IF(CO$4=0,0,IF(COUNTIFS(実績!$W$6:$W$505,CO$3,実績!$AI$6:$AI$505,"&lt;="&amp;$A115,実績!$AJ$6:$AJ$505,"&gt;"&amp;$A115,実績!$AL$6:$AL$505,"○")&gt;0,1,0))</f>
        <v>0</v>
      </c>
      <c r="CP115" s="39" t="n">
        <f aca="false">IF(CP$4=0,0,IF(COUNTIFS(実績!$W$6:$W$505,CP$3,実績!$AI$6:$AI$505,"&lt;="&amp;$A115,実績!$AJ$6:$AJ$505,"&gt;"&amp;$A115,実績!$AL$6:$AL$505,"○")&gt;0,1,0))</f>
        <v>0</v>
      </c>
      <c r="CQ115" s="39" t="n">
        <f aca="false">IF(CQ$4=0,0,IF(COUNTIFS(実績!$W$6:$W$505,CQ$3,実績!$AI$6:$AI$505,"&lt;="&amp;$A115,実績!$AJ$6:$AJ$505,"&gt;"&amp;$A115,実績!$AL$6:$AL$505,"○")&gt;0,1,0))</f>
        <v>0</v>
      </c>
      <c r="CR115" s="39" t="n">
        <f aca="false">IF(CR$4=0,0,IF(COUNTIFS(実績!$W$6:$W$505,CR$3,実績!$AI$6:$AI$505,"&lt;="&amp;$A115,実績!$AJ$6:$AJ$505,"&gt;"&amp;$A115,実績!$AL$6:$AL$505,"○")&gt;0,1,0))</f>
        <v>0</v>
      </c>
      <c r="CS115" s="39" t="n">
        <f aca="false">IF(CS$4=0,0,IF(COUNTIFS(実績!$W$6:$W$505,CS$3,実績!$AI$6:$AI$505,"&lt;="&amp;$A115,実績!$AJ$6:$AJ$505,"&gt;"&amp;$A115,実績!$AL$6:$AL$505,"○")&gt;0,1,0))</f>
        <v>0</v>
      </c>
      <c r="CT115" s="39" t="n">
        <f aca="false">IF(CT$4=0,0,IF(COUNTIFS(実績!$W$6:$W$505,CT$3,実績!$AI$6:$AI$505,"&lt;="&amp;$A115,実績!$AJ$6:$AJ$505,"&gt;"&amp;$A115,実績!$AL$6:$AL$505,"○")&gt;0,1,0))</f>
        <v>0</v>
      </c>
      <c r="CU115" s="39" t="n">
        <f aca="false">IF(CU$4=0,0,IF(COUNTIFS(実績!$W$6:$W$505,CU$3,実績!$AI$6:$AI$505,"&lt;="&amp;$A115,実績!$AJ$6:$AJ$505,"&gt;"&amp;$A115,実績!$AL$6:$AL$505,"○")&gt;0,1,0))</f>
        <v>0</v>
      </c>
      <c r="CV115" s="39" t="n">
        <f aca="false">IF(CV$4=0,0,IF(COUNTIFS(実績!$W$6:$W$505,CV$3,実績!$AI$6:$AI$505,"&lt;="&amp;$A115,実績!$AJ$6:$AJ$505,"&gt;"&amp;$A115,実績!$AL$6:$AL$505,"○")&gt;0,1,0))</f>
        <v>0</v>
      </c>
      <c r="CW115" s="39" t="n">
        <f aca="false">IF(CW$4=0,0,IF(COUNTIFS(実績!$W$6:$W$505,CW$3,実績!$AI$6:$AI$505,"&lt;="&amp;$A115,実績!$AJ$6:$AJ$505,"&gt;"&amp;$A115,実績!$AL$6:$AL$505,"○")&gt;0,1,0))</f>
        <v>0</v>
      </c>
      <c r="CX115" s="39" t="n">
        <f aca="false">IF(CX$4=0,0,IF(COUNTIFS(実績!$W$6:$W$505,CX$3,実績!$AI$6:$AI$505,"&lt;="&amp;$A115,実績!$AJ$6:$AJ$505,"&gt;"&amp;$A115,実績!$AL$6:$AL$505,"○")&gt;0,1,0))</f>
        <v>0</v>
      </c>
      <c r="CY115" s="39" t="n">
        <f aca="false">IF(CY$4=0,0,IF(COUNTIFS(実績!$W$6:$W$505,CY$3,実績!$AI$6:$AI$505,"&lt;="&amp;$A115,実績!$AJ$6:$AJ$505,"&gt;"&amp;$A115,実績!$AL$6:$AL$505,"○")&gt;0,1,0))</f>
        <v>0</v>
      </c>
      <c r="CZ115" s="39" t="n">
        <f aca="false">IF(CZ$4=0,0,IF(COUNTIFS(実績!$W$6:$W$505,CZ$3,実績!$AI$6:$AI$505,"&lt;="&amp;$A115,実績!$AJ$6:$AJ$505,"&gt;"&amp;$A115,実績!$AL$6:$AL$505,"○")&gt;0,1,0))</f>
        <v>0</v>
      </c>
      <c r="DA115" s="39" t="n">
        <f aca="false">IF(DA$4=0,0,IF(COUNTIFS(実績!$W$6:$W$505,DA$3,実績!$AI$6:$AI$505,"&lt;="&amp;$A115,実績!$AJ$6:$AJ$505,"&gt;"&amp;$A115,実績!$AL$6:$AL$505,"○")&gt;0,1,0))</f>
        <v>0</v>
      </c>
      <c r="DB115" s="39" t="n">
        <f aca="false">IF(DB$4=0,0,IF(COUNTIFS(実績!$W$6:$W$505,DB$3,実績!$AI$6:$AI$505,"&lt;="&amp;$A115,実績!$AJ$6:$AJ$505,"&gt;"&amp;$A115,実績!$AL$6:$AL$505,"○")&gt;0,1,0))</f>
        <v>0</v>
      </c>
      <c r="DC115" s="39" t="n">
        <f aca="false">IF(DC$4=0,0,IF(COUNTIFS(実績!$W$6:$W$505,DC$3,実績!$AI$6:$AI$505,"&lt;="&amp;$A115,実績!$AJ$6:$AJ$505,"&gt;"&amp;$A115,実績!$AL$6:$AL$505,"○")&gt;0,1,0))</f>
        <v>0</v>
      </c>
      <c r="DD115" s="39" t="n">
        <f aca="false">IF(DD$4=0,0,IF(COUNTIFS(実績!$W$6:$W$505,DD$3,実績!$AI$6:$AI$505,"&lt;="&amp;$A115,実績!$AJ$6:$AJ$505,"&gt;"&amp;$A115,実績!$AL$6:$AL$505,"○")&gt;0,1,0))</f>
        <v>0</v>
      </c>
      <c r="DE115" s="39" t="n">
        <f aca="false">IF(DE$4=0,0,IF(COUNTIFS(実績!$W$6:$W$505,DE$3,実績!$AI$6:$AI$505,"&lt;="&amp;$A115,実績!$AJ$6:$AJ$505,"&gt;"&amp;$A115,実績!$AL$6:$AL$505,"○")&gt;0,1,0))</f>
        <v>0</v>
      </c>
      <c r="DF115" s="39" t="n">
        <f aca="false">IF(DF$4=0,0,IF(COUNTIFS(実績!$W$6:$W$505,DF$3,実績!$AI$6:$AI$505,"&lt;="&amp;$A115,実績!$AJ$6:$AJ$505,"&gt;"&amp;$A115,実績!$AL$6:$AL$505,"○")&gt;0,1,0))</f>
        <v>0</v>
      </c>
      <c r="DG115" s="39" t="n">
        <f aca="false">IF(DG$4=0,0,IF(COUNTIFS(実績!$W$6:$W$505,DG$3,実績!$AI$6:$AI$505,"&lt;="&amp;$A115,実績!$AJ$6:$AJ$505,"&gt;"&amp;$A115,実績!$AL$6:$AL$505,"○")&gt;0,1,0))</f>
        <v>0</v>
      </c>
      <c r="DH115" s="39" t="n">
        <f aca="false">IF(DH$4=0,0,IF(COUNTIFS(実績!$W$6:$W$505,DH$3,実績!$AI$6:$AI$505,"&lt;="&amp;$A115,実績!$AJ$6:$AJ$505,"&gt;"&amp;$A115,実績!$AL$6:$AL$505,"○")&gt;0,1,0))</f>
        <v>0</v>
      </c>
      <c r="DI115" s="39" t="n">
        <f aca="false">IF(DI$4=0,0,IF(COUNTIFS(実績!$W$6:$W$505,DI$3,実績!$AI$6:$AI$505,"&lt;="&amp;$A115,実績!$AJ$6:$AJ$505,"&gt;"&amp;$A115,実績!$AL$6:$AL$505,"○")&gt;0,1,0))</f>
        <v>0</v>
      </c>
      <c r="DJ115" s="39" t="n">
        <f aca="false">IF(DJ$4=0,0,IF(COUNTIFS(実績!$W$6:$W$505,DJ$3,実績!$AI$6:$AI$505,"&lt;="&amp;$A115,実績!$AJ$6:$AJ$505,"&gt;"&amp;$A115,実績!$AL$6:$AL$505,"○")&gt;0,1,0))</f>
        <v>0</v>
      </c>
      <c r="DK115" s="39" t="n">
        <f aca="false">IF(DK$4=0,0,IF(COUNTIFS(実績!$W$6:$W$505,DK$3,実績!$AI$6:$AI$505,"&lt;="&amp;$A115,実績!$AJ$6:$AJ$505,"&gt;"&amp;$A115,実績!$AL$6:$AL$505,"○")&gt;0,1,0))</f>
        <v>0</v>
      </c>
      <c r="DL115" s="39" t="n">
        <f aca="false">IF(DL$4=0,0,IF(COUNTIFS(実績!$W$6:$W$505,DL$3,実績!$AI$6:$AI$505,"&lt;="&amp;$A115,実績!$AJ$6:$AJ$505,"&gt;"&amp;$A115,実績!$AL$6:$AL$505,"○")&gt;0,1,0))</f>
        <v>0</v>
      </c>
      <c r="DM115" s="39" t="n">
        <f aca="false">IF(DM$4=0,0,IF(COUNTIFS(実績!$W$6:$W$505,DM$3,実績!$AI$6:$AI$505,"&lt;="&amp;$A115,実績!$AJ$6:$AJ$505,"&gt;"&amp;$A115,実績!$AL$6:$AL$505,"○")&gt;0,1,0))</f>
        <v>0</v>
      </c>
      <c r="DN115" s="39" t="n">
        <f aca="false">IF(DN$4=0,0,IF(COUNTIFS(実績!$W$6:$W$505,DN$3,実績!$AI$6:$AI$505,"&lt;="&amp;$A115,実績!$AJ$6:$AJ$505,"&gt;"&amp;$A115,実績!$AL$6:$AL$505,"○")&gt;0,1,0))</f>
        <v>0</v>
      </c>
      <c r="DO115" s="39" t="n">
        <f aca="false">IF(DO$4=0,0,IF(COUNTIFS(実績!$W$6:$W$505,DO$3,実績!$AI$6:$AI$505,"&lt;="&amp;$A115,実績!$AJ$6:$AJ$505,"&gt;"&amp;$A115,実績!$AL$6:$AL$505,"○")&gt;0,1,0))</f>
        <v>0</v>
      </c>
      <c r="DP115" s="39" t="n">
        <f aca="false">IF(DP$4=0,0,IF(COUNTIFS(実績!$W$6:$W$505,DP$3,実績!$AI$6:$AI$505,"&lt;="&amp;$A115,実績!$AJ$6:$AJ$505,"&gt;"&amp;$A115,実績!$AL$6:$AL$505,"○")&gt;0,1,0))</f>
        <v>0</v>
      </c>
      <c r="DQ115" s="39" t="n">
        <f aca="false">IF(DQ$4=0,0,IF(COUNTIFS(実績!$W$6:$W$505,DQ$3,実績!$AI$6:$AI$505,"&lt;="&amp;$A115,実績!$AJ$6:$AJ$505,"&gt;"&amp;$A115,実績!$AL$6:$AL$505,"○")&gt;0,1,0))</f>
        <v>0</v>
      </c>
      <c r="DR115" s="39" t="n">
        <f aca="false">IF(DR$4=0,0,IF(COUNTIFS(実績!$W$6:$W$505,DR$3,実績!$AI$6:$AI$505,"&lt;="&amp;$A115,実績!$AJ$6:$AJ$505,"&gt;"&amp;$A115,実績!$AL$6:$AL$505,"○")&gt;0,1,0))</f>
        <v>0</v>
      </c>
      <c r="DS115" s="39" t="n">
        <f aca="false">SUM(C115:DR115)</f>
        <v>0</v>
      </c>
    </row>
    <row r="116" customFormat="false" ht="15" hidden="false" customHeight="false" outlineLevel="0" collapsed="false">
      <c r="A116" s="0" t="n">
        <v>550</v>
      </c>
      <c r="B116" s="38" t="n">
        <f aca="false">A116/1440</f>
        <v>0.381944444444444</v>
      </c>
      <c r="C116" s="39" t="n">
        <f aca="false">IF(C$4=0,0,IF(COUNTIFS(実績!$W$6:$W$505,C$3,実績!$AI$6:$AI$505,"&lt;="&amp;$A116,実績!$AJ$6:$AJ$505,"&gt;"&amp;$A116,実績!$AL$6:$AL$505,"○")&gt;0,1,0))</f>
        <v>0</v>
      </c>
      <c r="D116" s="39" t="n">
        <f aca="false">IF(D$4=0,0,IF(COUNTIFS(実績!$W$6:$W$505,D$3,実績!$AI$6:$AI$505,"&lt;="&amp;$A116,実績!$AJ$6:$AJ$505,"&gt;"&amp;$A116,実績!$AL$6:$AL$505,"○")&gt;0,1,0))</f>
        <v>0</v>
      </c>
      <c r="E116" s="39" t="n">
        <f aca="false">IF(E$4=0,0,IF(COUNTIFS(実績!$W$6:$W$505,E$3,実績!$AI$6:$AI$505,"&lt;="&amp;$A116,実績!$AJ$6:$AJ$505,"&gt;"&amp;$A116,実績!$AL$6:$AL$505,"○")&gt;0,1,0))</f>
        <v>0</v>
      </c>
      <c r="F116" s="39" t="n">
        <f aca="false">IF(F$4=0,0,IF(COUNTIFS(実績!$W$6:$W$505,F$3,実績!$AI$6:$AI$505,"&lt;="&amp;$A116,実績!$AJ$6:$AJ$505,"&gt;"&amp;$A116,実績!$AL$6:$AL$505,"○")&gt;0,1,0))</f>
        <v>0</v>
      </c>
      <c r="G116" s="39" t="n">
        <f aca="false">IF(G$4=0,0,IF(COUNTIFS(実績!$W$6:$W$505,G$3,実績!$AI$6:$AI$505,"&lt;="&amp;$A116,実績!$AJ$6:$AJ$505,"&gt;"&amp;$A116,実績!$AL$6:$AL$505,"○")&gt;0,1,0))</f>
        <v>0</v>
      </c>
      <c r="H116" s="39" t="n">
        <f aca="false">IF(H$4=0,0,IF(COUNTIFS(実績!$W$6:$W$505,H$3,実績!$AI$6:$AI$505,"&lt;="&amp;$A116,実績!$AJ$6:$AJ$505,"&gt;"&amp;$A116,実績!$AL$6:$AL$505,"○")&gt;0,1,0))</f>
        <v>0</v>
      </c>
      <c r="I116" s="39" t="n">
        <f aca="false">IF(I$4=0,0,IF(COUNTIFS(実績!$W$6:$W$505,I$3,実績!$AI$6:$AI$505,"&lt;="&amp;$A116,実績!$AJ$6:$AJ$505,"&gt;"&amp;$A116,実績!$AL$6:$AL$505,"○")&gt;0,1,0))</f>
        <v>0</v>
      </c>
      <c r="J116" s="39" t="n">
        <f aca="false">IF(J$4=0,0,IF(COUNTIFS(実績!$W$6:$W$505,J$3,実績!$AI$6:$AI$505,"&lt;="&amp;$A116,実績!$AJ$6:$AJ$505,"&gt;"&amp;$A116,実績!$AL$6:$AL$505,"○")&gt;0,1,0))</f>
        <v>0</v>
      </c>
      <c r="K116" s="39" t="n">
        <f aca="false">IF(K$4=0,0,IF(COUNTIFS(実績!$W$6:$W$505,K$3,実績!$AI$6:$AI$505,"&lt;="&amp;$A116,実績!$AJ$6:$AJ$505,"&gt;"&amp;$A116,実績!$AL$6:$AL$505,"○")&gt;0,1,0))</f>
        <v>0</v>
      </c>
      <c r="L116" s="39" t="n">
        <f aca="false">IF(L$4=0,0,IF(COUNTIFS(実績!$W$6:$W$505,L$3,実績!$AI$6:$AI$505,"&lt;="&amp;$A116,実績!$AJ$6:$AJ$505,"&gt;"&amp;$A116,実績!$AL$6:$AL$505,"○")&gt;0,1,0))</f>
        <v>0</v>
      </c>
      <c r="M116" s="39" t="n">
        <f aca="false">IF(M$4=0,0,IF(COUNTIFS(実績!$W$6:$W$505,M$3,実績!$AI$6:$AI$505,"&lt;="&amp;$A116,実績!$AJ$6:$AJ$505,"&gt;"&amp;$A116,実績!$AL$6:$AL$505,"○")&gt;0,1,0))</f>
        <v>0</v>
      </c>
      <c r="N116" s="39" t="n">
        <f aca="false">IF(N$4=0,0,IF(COUNTIFS(実績!$W$6:$W$505,N$3,実績!$AI$6:$AI$505,"&lt;="&amp;$A116,実績!$AJ$6:$AJ$505,"&gt;"&amp;$A116,実績!$AL$6:$AL$505,"○")&gt;0,1,0))</f>
        <v>0</v>
      </c>
      <c r="O116" s="39" t="n">
        <f aca="false">IF(O$4=0,0,IF(COUNTIFS(実績!$W$6:$W$505,O$3,実績!$AI$6:$AI$505,"&lt;="&amp;$A116,実績!$AJ$6:$AJ$505,"&gt;"&amp;$A116,実績!$AL$6:$AL$505,"○")&gt;0,1,0))</f>
        <v>0</v>
      </c>
      <c r="P116" s="39" t="n">
        <f aca="false">IF(P$4=0,0,IF(COUNTIFS(実績!$W$6:$W$505,P$3,実績!$AI$6:$AI$505,"&lt;="&amp;$A116,実績!$AJ$6:$AJ$505,"&gt;"&amp;$A116,実績!$AL$6:$AL$505,"○")&gt;0,1,0))</f>
        <v>0</v>
      </c>
      <c r="Q116" s="39" t="n">
        <f aca="false">IF(Q$4=0,0,IF(COUNTIFS(実績!$W$6:$W$505,Q$3,実績!$AI$6:$AI$505,"&lt;="&amp;$A116,実績!$AJ$6:$AJ$505,"&gt;"&amp;$A116,実績!$AL$6:$AL$505,"○")&gt;0,1,0))</f>
        <v>0</v>
      </c>
      <c r="R116" s="39" t="n">
        <f aca="false">IF(R$4=0,0,IF(COUNTIFS(実績!$W$6:$W$505,R$3,実績!$AI$6:$AI$505,"&lt;="&amp;$A116,実績!$AJ$6:$AJ$505,"&gt;"&amp;$A116,実績!$AL$6:$AL$505,"○")&gt;0,1,0))</f>
        <v>0</v>
      </c>
      <c r="S116" s="39" t="n">
        <f aca="false">IF(S$4=0,0,IF(COUNTIFS(実績!$W$6:$W$505,S$3,実績!$AI$6:$AI$505,"&lt;="&amp;$A116,実績!$AJ$6:$AJ$505,"&gt;"&amp;$A116,実績!$AL$6:$AL$505,"○")&gt;0,1,0))</f>
        <v>0</v>
      </c>
      <c r="T116" s="39" t="n">
        <f aca="false">IF(T$4=0,0,IF(COUNTIFS(実績!$W$6:$W$505,T$3,実績!$AI$6:$AI$505,"&lt;="&amp;$A116,実績!$AJ$6:$AJ$505,"&gt;"&amp;$A116,実績!$AL$6:$AL$505,"○")&gt;0,1,0))</f>
        <v>0</v>
      </c>
      <c r="U116" s="39" t="n">
        <f aca="false">IF(U$4=0,0,IF(COUNTIFS(実績!$W$6:$W$505,U$3,実績!$AI$6:$AI$505,"&lt;="&amp;$A116,実績!$AJ$6:$AJ$505,"&gt;"&amp;$A116,実績!$AL$6:$AL$505,"○")&gt;0,1,0))</f>
        <v>0</v>
      </c>
      <c r="V116" s="39" t="n">
        <f aca="false">IF(V$4=0,0,IF(COUNTIFS(実績!$W$6:$W$505,V$3,実績!$AI$6:$AI$505,"&lt;="&amp;$A116,実績!$AJ$6:$AJ$505,"&gt;"&amp;$A116,実績!$AL$6:$AL$505,"○")&gt;0,1,0))</f>
        <v>0</v>
      </c>
      <c r="W116" s="39" t="n">
        <f aca="false">IF(W$4=0,0,IF(COUNTIFS(実績!$W$6:$W$505,W$3,実績!$AI$6:$AI$505,"&lt;="&amp;$A116,実績!$AJ$6:$AJ$505,"&gt;"&amp;$A116,実績!$AL$6:$AL$505,"○")&gt;0,1,0))</f>
        <v>0</v>
      </c>
      <c r="X116" s="39" t="n">
        <f aca="false">IF(X$4=0,0,IF(COUNTIFS(実績!$W$6:$W$505,X$3,実績!$AI$6:$AI$505,"&lt;="&amp;$A116,実績!$AJ$6:$AJ$505,"&gt;"&amp;$A116,実績!$AL$6:$AL$505,"○")&gt;0,1,0))</f>
        <v>0</v>
      </c>
      <c r="Y116" s="39" t="n">
        <f aca="false">IF(Y$4=0,0,IF(COUNTIFS(実績!$W$6:$W$505,Y$3,実績!$AI$6:$AI$505,"&lt;="&amp;$A116,実績!$AJ$6:$AJ$505,"&gt;"&amp;$A116,実績!$AL$6:$AL$505,"○")&gt;0,1,0))</f>
        <v>0</v>
      </c>
      <c r="Z116" s="39" t="n">
        <f aca="false">IF(Z$4=0,0,IF(COUNTIFS(実績!$W$6:$W$505,Z$3,実績!$AI$6:$AI$505,"&lt;="&amp;$A116,実績!$AJ$6:$AJ$505,"&gt;"&amp;$A116,実績!$AL$6:$AL$505,"○")&gt;0,1,0))</f>
        <v>0</v>
      </c>
      <c r="AA116" s="39" t="n">
        <f aca="false">IF(AA$4=0,0,IF(COUNTIFS(実績!$W$6:$W$505,AA$3,実績!$AI$6:$AI$505,"&lt;="&amp;$A116,実績!$AJ$6:$AJ$505,"&gt;"&amp;$A116,実績!$AL$6:$AL$505,"○")&gt;0,1,0))</f>
        <v>0</v>
      </c>
      <c r="AB116" s="39" t="n">
        <f aca="false">IF(AB$4=0,0,IF(COUNTIFS(実績!$W$6:$W$505,AB$3,実績!$AI$6:$AI$505,"&lt;="&amp;$A116,実績!$AJ$6:$AJ$505,"&gt;"&amp;$A116,実績!$AL$6:$AL$505,"○")&gt;0,1,0))</f>
        <v>0</v>
      </c>
      <c r="AC116" s="39" t="n">
        <f aca="false">IF(AC$4=0,0,IF(COUNTIFS(実績!$W$6:$W$505,AC$3,実績!$AI$6:$AI$505,"&lt;="&amp;$A116,実績!$AJ$6:$AJ$505,"&gt;"&amp;$A116,実績!$AL$6:$AL$505,"○")&gt;0,1,0))</f>
        <v>0</v>
      </c>
      <c r="AD116" s="39" t="n">
        <f aca="false">IF(AD$4=0,0,IF(COUNTIFS(実績!$W$6:$W$505,AD$3,実績!$AI$6:$AI$505,"&lt;="&amp;$A116,実績!$AJ$6:$AJ$505,"&gt;"&amp;$A116,実績!$AL$6:$AL$505,"○")&gt;0,1,0))</f>
        <v>0</v>
      </c>
      <c r="AE116" s="39" t="n">
        <f aca="false">IF(AE$4=0,0,IF(COUNTIFS(実績!$W$6:$W$505,AE$3,実績!$AI$6:$AI$505,"&lt;="&amp;$A116,実績!$AJ$6:$AJ$505,"&gt;"&amp;$A116,実績!$AL$6:$AL$505,"○")&gt;0,1,0))</f>
        <v>0</v>
      </c>
      <c r="AF116" s="39" t="n">
        <f aca="false">IF(AF$4=0,0,IF(COUNTIFS(実績!$W$6:$W$505,AF$3,実績!$AI$6:$AI$505,"&lt;="&amp;$A116,実績!$AJ$6:$AJ$505,"&gt;"&amp;$A116,実績!$AL$6:$AL$505,"○")&gt;0,1,0))</f>
        <v>0</v>
      </c>
      <c r="AG116" s="39" t="n">
        <f aca="false">IF(AG$4=0,0,IF(COUNTIFS(実績!$W$6:$W$505,AG$3,実績!$AI$6:$AI$505,"&lt;="&amp;$A116,実績!$AJ$6:$AJ$505,"&gt;"&amp;$A116,実績!$AL$6:$AL$505,"○")&gt;0,1,0))</f>
        <v>0</v>
      </c>
      <c r="AH116" s="39" t="n">
        <f aca="false">IF(AH$4=0,0,IF(COUNTIFS(実績!$W$6:$W$505,AH$3,実績!$AI$6:$AI$505,"&lt;="&amp;$A116,実績!$AJ$6:$AJ$505,"&gt;"&amp;$A116,実績!$AL$6:$AL$505,"○")&gt;0,1,0))</f>
        <v>0</v>
      </c>
      <c r="AI116" s="39" t="n">
        <f aca="false">IF(AI$4=0,0,IF(COUNTIFS(実績!$W$6:$W$505,AI$3,実績!$AI$6:$AI$505,"&lt;="&amp;$A116,実績!$AJ$6:$AJ$505,"&gt;"&amp;$A116,実績!$AL$6:$AL$505,"○")&gt;0,1,0))</f>
        <v>0</v>
      </c>
      <c r="AJ116" s="39" t="n">
        <f aca="false">IF(AJ$4=0,0,IF(COUNTIFS(実績!$W$6:$W$505,AJ$3,実績!$AI$6:$AI$505,"&lt;="&amp;$A116,実績!$AJ$6:$AJ$505,"&gt;"&amp;$A116,実績!$AL$6:$AL$505,"○")&gt;0,1,0))</f>
        <v>0</v>
      </c>
      <c r="AK116" s="39" t="n">
        <f aca="false">IF(AK$4=0,0,IF(COUNTIFS(実績!$W$6:$W$505,AK$3,実績!$AI$6:$AI$505,"&lt;="&amp;$A116,実績!$AJ$6:$AJ$505,"&gt;"&amp;$A116,実績!$AL$6:$AL$505,"○")&gt;0,1,0))</f>
        <v>0</v>
      </c>
      <c r="AL116" s="39" t="n">
        <f aca="false">IF(AL$4=0,0,IF(COUNTIFS(実績!$W$6:$W$505,AL$3,実績!$AI$6:$AI$505,"&lt;="&amp;$A116,実績!$AJ$6:$AJ$505,"&gt;"&amp;$A116,実績!$AL$6:$AL$505,"○")&gt;0,1,0))</f>
        <v>0</v>
      </c>
      <c r="AM116" s="39" t="n">
        <f aca="false">IF(AM$4=0,0,IF(COUNTIFS(実績!$W$6:$W$505,AM$3,実績!$AI$6:$AI$505,"&lt;="&amp;$A116,実績!$AJ$6:$AJ$505,"&gt;"&amp;$A116,実績!$AL$6:$AL$505,"○")&gt;0,1,0))</f>
        <v>0</v>
      </c>
      <c r="AN116" s="39" t="n">
        <f aca="false">IF(AN$4=0,0,IF(COUNTIFS(実績!$W$6:$W$505,AN$3,実績!$AI$6:$AI$505,"&lt;="&amp;$A116,実績!$AJ$6:$AJ$505,"&gt;"&amp;$A116,実績!$AL$6:$AL$505,"○")&gt;0,1,0))</f>
        <v>0</v>
      </c>
      <c r="AO116" s="39" t="n">
        <f aca="false">IF(AO$4=0,0,IF(COUNTIFS(実績!$W$6:$W$505,AO$3,実績!$AI$6:$AI$505,"&lt;="&amp;$A116,実績!$AJ$6:$AJ$505,"&gt;"&amp;$A116,実績!$AL$6:$AL$505,"○")&gt;0,1,0))</f>
        <v>0</v>
      </c>
      <c r="AP116" s="39" t="n">
        <f aca="false">IF(AP$4=0,0,IF(COUNTIFS(実績!$W$6:$W$505,AP$3,実績!$AI$6:$AI$505,"&lt;="&amp;$A116,実績!$AJ$6:$AJ$505,"&gt;"&amp;$A116,実績!$AL$6:$AL$505,"○")&gt;0,1,0))</f>
        <v>0</v>
      </c>
      <c r="AQ116" s="39" t="n">
        <f aca="false">IF(AQ$4=0,0,IF(COUNTIFS(実績!$W$6:$W$505,AQ$3,実績!$AI$6:$AI$505,"&lt;="&amp;$A116,実績!$AJ$6:$AJ$505,"&gt;"&amp;$A116,実績!$AL$6:$AL$505,"○")&gt;0,1,0))</f>
        <v>0</v>
      </c>
      <c r="AR116" s="39" t="n">
        <f aca="false">IF(AR$4=0,0,IF(COUNTIFS(実績!$W$6:$W$505,AR$3,実績!$AI$6:$AI$505,"&lt;="&amp;$A116,実績!$AJ$6:$AJ$505,"&gt;"&amp;$A116,実績!$AL$6:$AL$505,"○")&gt;0,1,0))</f>
        <v>0</v>
      </c>
      <c r="AS116" s="39" t="n">
        <f aca="false">IF(AS$4=0,0,IF(COUNTIFS(実績!$W$6:$W$505,AS$3,実績!$AI$6:$AI$505,"&lt;="&amp;$A116,実績!$AJ$6:$AJ$505,"&gt;"&amp;$A116,実績!$AL$6:$AL$505,"○")&gt;0,1,0))</f>
        <v>0</v>
      </c>
      <c r="AT116" s="39" t="n">
        <f aca="false">IF(AT$4=0,0,IF(COUNTIFS(実績!$W$6:$W$505,AT$3,実績!$AI$6:$AI$505,"&lt;="&amp;$A116,実績!$AJ$6:$AJ$505,"&gt;"&amp;$A116,実績!$AL$6:$AL$505,"○")&gt;0,1,0))</f>
        <v>0</v>
      </c>
      <c r="AU116" s="39" t="n">
        <f aca="false">IF(AU$4=0,0,IF(COUNTIFS(実績!$W$6:$W$505,AU$3,実績!$AI$6:$AI$505,"&lt;="&amp;$A116,実績!$AJ$6:$AJ$505,"&gt;"&amp;$A116,実績!$AL$6:$AL$505,"○")&gt;0,1,0))</f>
        <v>0</v>
      </c>
      <c r="AV116" s="39" t="n">
        <f aca="false">IF(AV$4=0,0,IF(COUNTIFS(実績!$W$6:$W$505,AV$3,実績!$AI$6:$AI$505,"&lt;="&amp;$A116,実績!$AJ$6:$AJ$505,"&gt;"&amp;$A116,実績!$AL$6:$AL$505,"○")&gt;0,1,0))</f>
        <v>0</v>
      </c>
      <c r="AW116" s="39" t="n">
        <f aca="false">IF(AW$4=0,0,IF(COUNTIFS(実績!$W$6:$W$505,AW$3,実績!$AI$6:$AI$505,"&lt;="&amp;$A116,実績!$AJ$6:$AJ$505,"&gt;"&amp;$A116,実績!$AL$6:$AL$505,"○")&gt;0,1,0))</f>
        <v>0</v>
      </c>
      <c r="AX116" s="39" t="n">
        <f aca="false">IF(AX$4=0,0,IF(COUNTIFS(実績!$W$6:$W$505,AX$3,実績!$AI$6:$AI$505,"&lt;="&amp;$A116,実績!$AJ$6:$AJ$505,"&gt;"&amp;$A116,実績!$AL$6:$AL$505,"○")&gt;0,1,0))</f>
        <v>0</v>
      </c>
      <c r="AY116" s="39" t="n">
        <f aca="false">IF(AY$4=0,0,IF(COUNTIFS(実績!$W$6:$W$505,AY$3,実績!$AI$6:$AI$505,"&lt;="&amp;$A116,実績!$AJ$6:$AJ$505,"&gt;"&amp;$A116,実績!$AL$6:$AL$505,"○")&gt;0,1,0))</f>
        <v>0</v>
      </c>
      <c r="AZ116" s="39" t="n">
        <f aca="false">IF(AZ$4=0,0,IF(COUNTIFS(実績!$W$6:$W$505,AZ$3,実績!$AI$6:$AI$505,"&lt;="&amp;$A116,実績!$AJ$6:$AJ$505,"&gt;"&amp;$A116,実績!$AL$6:$AL$505,"○")&gt;0,1,0))</f>
        <v>0</v>
      </c>
      <c r="BA116" s="39" t="n">
        <f aca="false">IF(BA$4=0,0,IF(COUNTIFS(実績!$W$6:$W$505,BA$3,実績!$AI$6:$AI$505,"&lt;="&amp;$A116,実績!$AJ$6:$AJ$505,"&gt;"&amp;$A116,実績!$AL$6:$AL$505,"○")&gt;0,1,0))</f>
        <v>0</v>
      </c>
      <c r="BB116" s="39" t="n">
        <f aca="false">IF(BB$4=0,0,IF(COUNTIFS(実績!$W$6:$W$505,BB$3,実績!$AI$6:$AI$505,"&lt;="&amp;$A116,実績!$AJ$6:$AJ$505,"&gt;"&amp;$A116,実績!$AL$6:$AL$505,"○")&gt;0,1,0))</f>
        <v>0</v>
      </c>
      <c r="BC116" s="39" t="n">
        <f aca="false">IF(BC$4=0,0,IF(COUNTIFS(実績!$W$6:$W$505,BC$3,実績!$AI$6:$AI$505,"&lt;="&amp;$A116,実績!$AJ$6:$AJ$505,"&gt;"&amp;$A116,実績!$AL$6:$AL$505,"○")&gt;0,1,0))</f>
        <v>0</v>
      </c>
      <c r="BD116" s="39" t="n">
        <f aca="false">IF(BD$4=0,0,IF(COUNTIFS(実績!$W$6:$W$505,BD$3,実績!$AI$6:$AI$505,"&lt;="&amp;$A116,実績!$AJ$6:$AJ$505,"&gt;"&amp;$A116,実績!$AL$6:$AL$505,"○")&gt;0,1,0))</f>
        <v>0</v>
      </c>
      <c r="BE116" s="39" t="n">
        <f aca="false">IF(BE$4=0,0,IF(COUNTIFS(実績!$W$6:$W$505,BE$3,実績!$AI$6:$AI$505,"&lt;="&amp;$A116,実績!$AJ$6:$AJ$505,"&gt;"&amp;$A116,実績!$AL$6:$AL$505,"○")&gt;0,1,0))</f>
        <v>0</v>
      </c>
      <c r="BF116" s="39" t="n">
        <f aca="false">IF(BF$4=0,0,IF(COUNTIFS(実績!$W$6:$W$505,BF$3,実績!$AI$6:$AI$505,"&lt;="&amp;$A116,実績!$AJ$6:$AJ$505,"&gt;"&amp;$A116,実績!$AL$6:$AL$505,"○")&gt;0,1,0))</f>
        <v>0</v>
      </c>
      <c r="BG116" s="39" t="n">
        <f aca="false">IF(BG$4=0,0,IF(COUNTIFS(実績!$W$6:$W$505,BG$3,実績!$AI$6:$AI$505,"&lt;="&amp;$A116,実績!$AJ$6:$AJ$505,"&gt;"&amp;$A116,実績!$AL$6:$AL$505,"○")&gt;0,1,0))</f>
        <v>0</v>
      </c>
      <c r="BH116" s="39" t="n">
        <f aca="false">IF(BH$4=0,0,IF(COUNTIFS(実績!$W$6:$W$505,BH$3,実績!$AI$6:$AI$505,"&lt;="&amp;$A116,実績!$AJ$6:$AJ$505,"&gt;"&amp;$A116,実績!$AL$6:$AL$505,"○")&gt;0,1,0))</f>
        <v>0</v>
      </c>
      <c r="BI116" s="39" t="n">
        <f aca="false">IF(BI$4=0,0,IF(COUNTIFS(実績!$W$6:$W$505,BI$3,実績!$AI$6:$AI$505,"&lt;="&amp;$A116,実績!$AJ$6:$AJ$505,"&gt;"&amp;$A116,実績!$AL$6:$AL$505,"○")&gt;0,1,0))</f>
        <v>0</v>
      </c>
      <c r="BJ116" s="39" t="n">
        <f aca="false">IF(BJ$4=0,0,IF(COUNTIFS(実績!$W$6:$W$505,BJ$3,実績!$AI$6:$AI$505,"&lt;="&amp;$A116,実績!$AJ$6:$AJ$505,"&gt;"&amp;$A116,実績!$AL$6:$AL$505,"○")&gt;0,1,0))</f>
        <v>0</v>
      </c>
      <c r="BK116" s="39" t="n">
        <f aca="false">IF(BK$4=0,0,IF(COUNTIFS(実績!$W$6:$W$505,BK$3,実績!$AI$6:$AI$505,"&lt;="&amp;$A116,実績!$AJ$6:$AJ$505,"&gt;"&amp;$A116,実績!$AL$6:$AL$505,"○")&gt;0,1,0))</f>
        <v>0</v>
      </c>
      <c r="BL116" s="39" t="n">
        <f aca="false">IF(BL$4=0,0,IF(COUNTIFS(実績!$W$6:$W$505,BL$3,実績!$AI$6:$AI$505,"&lt;="&amp;$A116,実績!$AJ$6:$AJ$505,"&gt;"&amp;$A116,実績!$AL$6:$AL$505,"○")&gt;0,1,0))</f>
        <v>0</v>
      </c>
      <c r="BM116" s="39" t="n">
        <f aca="false">IF(BM$4=0,0,IF(COUNTIFS(実績!$W$6:$W$505,BM$3,実績!$AI$6:$AI$505,"&lt;="&amp;$A116,実績!$AJ$6:$AJ$505,"&gt;"&amp;$A116,実績!$AL$6:$AL$505,"○")&gt;0,1,0))</f>
        <v>0</v>
      </c>
      <c r="BN116" s="39" t="n">
        <f aca="false">IF(BN$4=0,0,IF(COUNTIFS(実績!$W$6:$W$505,BN$3,実績!$AI$6:$AI$505,"&lt;="&amp;$A116,実績!$AJ$6:$AJ$505,"&gt;"&amp;$A116,実績!$AL$6:$AL$505,"○")&gt;0,1,0))</f>
        <v>0</v>
      </c>
      <c r="BO116" s="39" t="n">
        <f aca="false">IF(BO$4=0,0,IF(COUNTIFS(実績!$W$6:$W$505,BO$3,実績!$AI$6:$AI$505,"&lt;="&amp;$A116,実績!$AJ$6:$AJ$505,"&gt;"&amp;$A116,実績!$AL$6:$AL$505,"○")&gt;0,1,0))</f>
        <v>0</v>
      </c>
      <c r="BP116" s="39" t="n">
        <f aca="false">IF(BP$4=0,0,IF(COUNTIFS(実績!$W$6:$W$505,BP$3,実績!$AI$6:$AI$505,"&lt;="&amp;$A116,実績!$AJ$6:$AJ$505,"&gt;"&amp;$A116,実績!$AL$6:$AL$505,"○")&gt;0,1,0))</f>
        <v>0</v>
      </c>
      <c r="BQ116" s="39" t="n">
        <f aca="false">IF(BQ$4=0,0,IF(COUNTIFS(実績!$W$6:$W$505,BQ$3,実績!$AI$6:$AI$505,"&lt;="&amp;$A116,実績!$AJ$6:$AJ$505,"&gt;"&amp;$A116,実績!$AL$6:$AL$505,"○")&gt;0,1,0))</f>
        <v>0</v>
      </c>
      <c r="BR116" s="39" t="n">
        <f aca="false">IF(BR$4=0,0,IF(COUNTIFS(実績!$W$6:$W$505,BR$3,実績!$AI$6:$AI$505,"&lt;="&amp;$A116,実績!$AJ$6:$AJ$505,"&gt;"&amp;$A116,実績!$AL$6:$AL$505,"○")&gt;0,1,0))</f>
        <v>0</v>
      </c>
      <c r="BS116" s="39" t="n">
        <f aca="false">IF(BS$4=0,0,IF(COUNTIFS(実績!$W$6:$W$505,BS$3,実績!$AI$6:$AI$505,"&lt;="&amp;$A116,実績!$AJ$6:$AJ$505,"&gt;"&amp;$A116,実績!$AL$6:$AL$505,"○")&gt;0,1,0))</f>
        <v>0</v>
      </c>
      <c r="BT116" s="39" t="n">
        <f aca="false">IF(BT$4=0,0,IF(COUNTIFS(実績!$W$6:$W$505,BT$3,実績!$AI$6:$AI$505,"&lt;="&amp;$A116,実績!$AJ$6:$AJ$505,"&gt;"&amp;$A116,実績!$AL$6:$AL$505,"○")&gt;0,1,0))</f>
        <v>0</v>
      </c>
      <c r="BU116" s="39" t="n">
        <f aca="false">IF(BU$4=0,0,IF(COUNTIFS(実績!$W$6:$W$505,BU$3,実績!$AI$6:$AI$505,"&lt;="&amp;$A116,実績!$AJ$6:$AJ$505,"&gt;"&amp;$A116,実績!$AL$6:$AL$505,"○")&gt;0,1,0))</f>
        <v>0</v>
      </c>
      <c r="BV116" s="39" t="n">
        <f aca="false">IF(BV$4=0,0,IF(COUNTIFS(実績!$W$6:$W$505,BV$3,実績!$AI$6:$AI$505,"&lt;="&amp;$A116,実績!$AJ$6:$AJ$505,"&gt;"&amp;$A116,実績!$AL$6:$AL$505,"○")&gt;0,1,0))</f>
        <v>0</v>
      </c>
      <c r="BW116" s="39" t="n">
        <f aca="false">IF(BW$4=0,0,IF(COUNTIFS(実績!$W$6:$W$505,BW$3,実績!$AI$6:$AI$505,"&lt;="&amp;$A116,実績!$AJ$6:$AJ$505,"&gt;"&amp;$A116,実績!$AL$6:$AL$505,"○")&gt;0,1,0))</f>
        <v>0</v>
      </c>
      <c r="BX116" s="39" t="n">
        <f aca="false">IF(BX$4=0,0,IF(COUNTIFS(実績!$W$6:$W$505,BX$3,実績!$AI$6:$AI$505,"&lt;="&amp;$A116,実績!$AJ$6:$AJ$505,"&gt;"&amp;$A116,実績!$AL$6:$AL$505,"○")&gt;0,1,0))</f>
        <v>0</v>
      </c>
      <c r="BY116" s="39" t="n">
        <f aca="false">IF(BY$4=0,0,IF(COUNTIFS(実績!$W$6:$W$505,BY$3,実績!$AI$6:$AI$505,"&lt;="&amp;$A116,実績!$AJ$6:$AJ$505,"&gt;"&amp;$A116,実績!$AL$6:$AL$505,"○")&gt;0,1,0))</f>
        <v>0</v>
      </c>
      <c r="BZ116" s="39" t="n">
        <f aca="false">IF(BZ$4=0,0,IF(COUNTIFS(実績!$W$6:$W$505,BZ$3,実績!$AI$6:$AI$505,"&lt;="&amp;$A116,実績!$AJ$6:$AJ$505,"&gt;"&amp;$A116,実績!$AL$6:$AL$505,"○")&gt;0,1,0))</f>
        <v>0</v>
      </c>
      <c r="CA116" s="39" t="n">
        <f aca="false">IF(CA$4=0,0,IF(COUNTIFS(実績!$W$6:$W$505,CA$3,実績!$AI$6:$AI$505,"&lt;="&amp;$A116,実績!$AJ$6:$AJ$505,"&gt;"&amp;$A116,実績!$AL$6:$AL$505,"○")&gt;0,1,0))</f>
        <v>0</v>
      </c>
      <c r="CB116" s="39" t="n">
        <f aca="false">IF(CB$4=0,0,IF(COUNTIFS(実績!$W$6:$W$505,CB$3,実績!$AI$6:$AI$505,"&lt;="&amp;$A116,実績!$AJ$6:$AJ$505,"&gt;"&amp;$A116,実績!$AL$6:$AL$505,"○")&gt;0,1,0))</f>
        <v>0</v>
      </c>
      <c r="CC116" s="39" t="n">
        <f aca="false">IF(CC$4=0,0,IF(COUNTIFS(実績!$W$6:$W$505,CC$3,実績!$AI$6:$AI$505,"&lt;="&amp;$A116,実績!$AJ$6:$AJ$505,"&gt;"&amp;$A116,実績!$AL$6:$AL$505,"○")&gt;0,1,0))</f>
        <v>0</v>
      </c>
      <c r="CD116" s="39" t="n">
        <f aca="false">IF(CD$4=0,0,IF(COUNTIFS(実績!$W$6:$W$505,CD$3,実績!$AI$6:$AI$505,"&lt;="&amp;$A116,実績!$AJ$6:$AJ$505,"&gt;"&amp;$A116,実績!$AL$6:$AL$505,"○")&gt;0,1,0))</f>
        <v>0</v>
      </c>
      <c r="CE116" s="39" t="n">
        <f aca="false">IF(CE$4=0,0,IF(COUNTIFS(実績!$W$6:$W$505,CE$3,実績!$AI$6:$AI$505,"&lt;="&amp;$A116,実績!$AJ$6:$AJ$505,"&gt;"&amp;$A116,実績!$AL$6:$AL$505,"○")&gt;0,1,0))</f>
        <v>0</v>
      </c>
      <c r="CF116" s="39" t="n">
        <f aca="false">IF(CF$4=0,0,IF(COUNTIFS(実績!$W$6:$W$505,CF$3,実績!$AI$6:$AI$505,"&lt;="&amp;$A116,実績!$AJ$6:$AJ$505,"&gt;"&amp;$A116,実績!$AL$6:$AL$505,"○")&gt;0,1,0))</f>
        <v>0</v>
      </c>
      <c r="CG116" s="39" t="n">
        <f aca="false">IF(CG$4=0,0,IF(COUNTIFS(実績!$W$6:$W$505,CG$3,実績!$AI$6:$AI$505,"&lt;="&amp;$A116,実績!$AJ$6:$AJ$505,"&gt;"&amp;$A116,実績!$AL$6:$AL$505,"○")&gt;0,1,0))</f>
        <v>0</v>
      </c>
      <c r="CH116" s="39" t="n">
        <f aca="false">IF(CH$4=0,0,IF(COUNTIFS(実績!$W$6:$W$505,CH$3,実績!$AI$6:$AI$505,"&lt;="&amp;$A116,実績!$AJ$6:$AJ$505,"&gt;"&amp;$A116,実績!$AL$6:$AL$505,"○")&gt;0,1,0))</f>
        <v>0</v>
      </c>
      <c r="CI116" s="39" t="n">
        <f aca="false">IF(CI$4=0,0,IF(COUNTIFS(実績!$W$6:$W$505,CI$3,実績!$AI$6:$AI$505,"&lt;="&amp;$A116,実績!$AJ$6:$AJ$505,"&gt;"&amp;$A116,実績!$AL$6:$AL$505,"○")&gt;0,1,0))</f>
        <v>0</v>
      </c>
      <c r="CJ116" s="39" t="n">
        <f aca="false">IF(CJ$4=0,0,IF(COUNTIFS(実績!$W$6:$W$505,CJ$3,実績!$AI$6:$AI$505,"&lt;="&amp;$A116,実績!$AJ$6:$AJ$505,"&gt;"&amp;$A116,実績!$AL$6:$AL$505,"○")&gt;0,1,0))</f>
        <v>0</v>
      </c>
      <c r="CK116" s="39" t="n">
        <f aca="false">IF(CK$4=0,0,IF(COUNTIFS(実績!$W$6:$W$505,CK$3,実績!$AI$6:$AI$505,"&lt;="&amp;$A116,実績!$AJ$6:$AJ$505,"&gt;"&amp;$A116,実績!$AL$6:$AL$505,"○")&gt;0,1,0))</f>
        <v>0</v>
      </c>
      <c r="CL116" s="39" t="n">
        <f aca="false">IF(CL$4=0,0,IF(COUNTIFS(実績!$W$6:$W$505,CL$3,実績!$AI$6:$AI$505,"&lt;="&amp;$A116,実績!$AJ$6:$AJ$505,"&gt;"&amp;$A116,実績!$AL$6:$AL$505,"○")&gt;0,1,0))</f>
        <v>0</v>
      </c>
      <c r="CM116" s="39" t="n">
        <f aca="false">IF(CM$4=0,0,IF(COUNTIFS(実績!$W$6:$W$505,CM$3,実績!$AI$6:$AI$505,"&lt;="&amp;$A116,実績!$AJ$6:$AJ$505,"&gt;"&amp;$A116,実績!$AL$6:$AL$505,"○")&gt;0,1,0))</f>
        <v>0</v>
      </c>
      <c r="CN116" s="39" t="n">
        <f aca="false">IF(CN$4=0,0,IF(COUNTIFS(実績!$W$6:$W$505,CN$3,実績!$AI$6:$AI$505,"&lt;="&amp;$A116,実績!$AJ$6:$AJ$505,"&gt;"&amp;$A116,実績!$AL$6:$AL$505,"○")&gt;0,1,0))</f>
        <v>0</v>
      </c>
      <c r="CO116" s="39" t="n">
        <f aca="false">IF(CO$4=0,0,IF(COUNTIFS(実績!$W$6:$W$505,CO$3,実績!$AI$6:$AI$505,"&lt;="&amp;$A116,実績!$AJ$6:$AJ$505,"&gt;"&amp;$A116,実績!$AL$6:$AL$505,"○")&gt;0,1,0))</f>
        <v>0</v>
      </c>
      <c r="CP116" s="39" t="n">
        <f aca="false">IF(CP$4=0,0,IF(COUNTIFS(実績!$W$6:$W$505,CP$3,実績!$AI$6:$AI$505,"&lt;="&amp;$A116,実績!$AJ$6:$AJ$505,"&gt;"&amp;$A116,実績!$AL$6:$AL$505,"○")&gt;0,1,0))</f>
        <v>0</v>
      </c>
      <c r="CQ116" s="39" t="n">
        <f aca="false">IF(CQ$4=0,0,IF(COUNTIFS(実績!$W$6:$W$505,CQ$3,実績!$AI$6:$AI$505,"&lt;="&amp;$A116,実績!$AJ$6:$AJ$505,"&gt;"&amp;$A116,実績!$AL$6:$AL$505,"○")&gt;0,1,0))</f>
        <v>0</v>
      </c>
      <c r="CR116" s="39" t="n">
        <f aca="false">IF(CR$4=0,0,IF(COUNTIFS(実績!$W$6:$W$505,CR$3,実績!$AI$6:$AI$505,"&lt;="&amp;$A116,実績!$AJ$6:$AJ$505,"&gt;"&amp;$A116,実績!$AL$6:$AL$505,"○")&gt;0,1,0))</f>
        <v>0</v>
      </c>
      <c r="CS116" s="39" t="n">
        <f aca="false">IF(CS$4=0,0,IF(COUNTIFS(実績!$W$6:$W$505,CS$3,実績!$AI$6:$AI$505,"&lt;="&amp;$A116,実績!$AJ$6:$AJ$505,"&gt;"&amp;$A116,実績!$AL$6:$AL$505,"○")&gt;0,1,0))</f>
        <v>0</v>
      </c>
      <c r="CT116" s="39" t="n">
        <f aca="false">IF(CT$4=0,0,IF(COUNTIFS(実績!$W$6:$W$505,CT$3,実績!$AI$6:$AI$505,"&lt;="&amp;$A116,実績!$AJ$6:$AJ$505,"&gt;"&amp;$A116,実績!$AL$6:$AL$505,"○")&gt;0,1,0))</f>
        <v>0</v>
      </c>
      <c r="CU116" s="39" t="n">
        <f aca="false">IF(CU$4=0,0,IF(COUNTIFS(実績!$W$6:$W$505,CU$3,実績!$AI$6:$AI$505,"&lt;="&amp;$A116,実績!$AJ$6:$AJ$505,"&gt;"&amp;$A116,実績!$AL$6:$AL$505,"○")&gt;0,1,0))</f>
        <v>0</v>
      </c>
      <c r="CV116" s="39" t="n">
        <f aca="false">IF(CV$4=0,0,IF(COUNTIFS(実績!$W$6:$W$505,CV$3,実績!$AI$6:$AI$505,"&lt;="&amp;$A116,実績!$AJ$6:$AJ$505,"&gt;"&amp;$A116,実績!$AL$6:$AL$505,"○")&gt;0,1,0))</f>
        <v>0</v>
      </c>
      <c r="CW116" s="39" t="n">
        <f aca="false">IF(CW$4=0,0,IF(COUNTIFS(実績!$W$6:$W$505,CW$3,実績!$AI$6:$AI$505,"&lt;="&amp;$A116,実績!$AJ$6:$AJ$505,"&gt;"&amp;$A116,実績!$AL$6:$AL$505,"○")&gt;0,1,0))</f>
        <v>0</v>
      </c>
      <c r="CX116" s="39" t="n">
        <f aca="false">IF(CX$4=0,0,IF(COUNTIFS(実績!$W$6:$W$505,CX$3,実績!$AI$6:$AI$505,"&lt;="&amp;$A116,実績!$AJ$6:$AJ$505,"&gt;"&amp;$A116,実績!$AL$6:$AL$505,"○")&gt;0,1,0))</f>
        <v>0</v>
      </c>
      <c r="CY116" s="39" t="n">
        <f aca="false">IF(CY$4=0,0,IF(COUNTIFS(実績!$W$6:$W$505,CY$3,実績!$AI$6:$AI$505,"&lt;="&amp;$A116,実績!$AJ$6:$AJ$505,"&gt;"&amp;$A116,実績!$AL$6:$AL$505,"○")&gt;0,1,0))</f>
        <v>0</v>
      </c>
      <c r="CZ116" s="39" t="n">
        <f aca="false">IF(CZ$4=0,0,IF(COUNTIFS(実績!$W$6:$W$505,CZ$3,実績!$AI$6:$AI$505,"&lt;="&amp;$A116,実績!$AJ$6:$AJ$505,"&gt;"&amp;$A116,実績!$AL$6:$AL$505,"○")&gt;0,1,0))</f>
        <v>0</v>
      </c>
      <c r="DA116" s="39" t="n">
        <f aca="false">IF(DA$4=0,0,IF(COUNTIFS(実績!$W$6:$W$505,DA$3,実績!$AI$6:$AI$505,"&lt;="&amp;$A116,実績!$AJ$6:$AJ$505,"&gt;"&amp;$A116,実績!$AL$6:$AL$505,"○")&gt;0,1,0))</f>
        <v>0</v>
      </c>
      <c r="DB116" s="39" t="n">
        <f aca="false">IF(DB$4=0,0,IF(COUNTIFS(実績!$W$6:$W$505,DB$3,実績!$AI$6:$AI$505,"&lt;="&amp;$A116,実績!$AJ$6:$AJ$505,"&gt;"&amp;$A116,実績!$AL$6:$AL$505,"○")&gt;0,1,0))</f>
        <v>0</v>
      </c>
      <c r="DC116" s="39" t="n">
        <f aca="false">IF(DC$4=0,0,IF(COUNTIFS(実績!$W$6:$W$505,DC$3,実績!$AI$6:$AI$505,"&lt;="&amp;$A116,実績!$AJ$6:$AJ$505,"&gt;"&amp;$A116,実績!$AL$6:$AL$505,"○")&gt;0,1,0))</f>
        <v>0</v>
      </c>
      <c r="DD116" s="39" t="n">
        <f aca="false">IF(DD$4=0,0,IF(COUNTIFS(実績!$W$6:$W$505,DD$3,実績!$AI$6:$AI$505,"&lt;="&amp;$A116,実績!$AJ$6:$AJ$505,"&gt;"&amp;$A116,実績!$AL$6:$AL$505,"○")&gt;0,1,0))</f>
        <v>0</v>
      </c>
      <c r="DE116" s="39" t="n">
        <f aca="false">IF(DE$4=0,0,IF(COUNTIFS(実績!$W$6:$W$505,DE$3,実績!$AI$6:$AI$505,"&lt;="&amp;$A116,実績!$AJ$6:$AJ$505,"&gt;"&amp;$A116,実績!$AL$6:$AL$505,"○")&gt;0,1,0))</f>
        <v>0</v>
      </c>
      <c r="DF116" s="39" t="n">
        <f aca="false">IF(DF$4=0,0,IF(COUNTIFS(実績!$W$6:$W$505,DF$3,実績!$AI$6:$AI$505,"&lt;="&amp;$A116,実績!$AJ$6:$AJ$505,"&gt;"&amp;$A116,実績!$AL$6:$AL$505,"○")&gt;0,1,0))</f>
        <v>0</v>
      </c>
      <c r="DG116" s="39" t="n">
        <f aca="false">IF(DG$4=0,0,IF(COUNTIFS(実績!$W$6:$W$505,DG$3,実績!$AI$6:$AI$505,"&lt;="&amp;$A116,実績!$AJ$6:$AJ$505,"&gt;"&amp;$A116,実績!$AL$6:$AL$505,"○")&gt;0,1,0))</f>
        <v>0</v>
      </c>
      <c r="DH116" s="39" t="n">
        <f aca="false">IF(DH$4=0,0,IF(COUNTIFS(実績!$W$6:$W$505,DH$3,実績!$AI$6:$AI$505,"&lt;="&amp;$A116,実績!$AJ$6:$AJ$505,"&gt;"&amp;$A116,実績!$AL$6:$AL$505,"○")&gt;0,1,0))</f>
        <v>0</v>
      </c>
      <c r="DI116" s="39" t="n">
        <f aca="false">IF(DI$4=0,0,IF(COUNTIFS(実績!$W$6:$W$505,DI$3,実績!$AI$6:$AI$505,"&lt;="&amp;$A116,実績!$AJ$6:$AJ$505,"&gt;"&amp;$A116,実績!$AL$6:$AL$505,"○")&gt;0,1,0))</f>
        <v>0</v>
      </c>
      <c r="DJ116" s="39" t="n">
        <f aca="false">IF(DJ$4=0,0,IF(COUNTIFS(実績!$W$6:$W$505,DJ$3,実績!$AI$6:$AI$505,"&lt;="&amp;$A116,実績!$AJ$6:$AJ$505,"&gt;"&amp;$A116,実績!$AL$6:$AL$505,"○")&gt;0,1,0))</f>
        <v>0</v>
      </c>
      <c r="DK116" s="39" t="n">
        <f aca="false">IF(DK$4=0,0,IF(COUNTIFS(実績!$W$6:$W$505,DK$3,実績!$AI$6:$AI$505,"&lt;="&amp;$A116,実績!$AJ$6:$AJ$505,"&gt;"&amp;$A116,実績!$AL$6:$AL$505,"○")&gt;0,1,0))</f>
        <v>0</v>
      </c>
      <c r="DL116" s="39" t="n">
        <f aca="false">IF(DL$4=0,0,IF(COUNTIFS(実績!$W$6:$W$505,DL$3,実績!$AI$6:$AI$505,"&lt;="&amp;$A116,実績!$AJ$6:$AJ$505,"&gt;"&amp;$A116,実績!$AL$6:$AL$505,"○")&gt;0,1,0))</f>
        <v>0</v>
      </c>
      <c r="DM116" s="39" t="n">
        <f aca="false">IF(DM$4=0,0,IF(COUNTIFS(実績!$W$6:$W$505,DM$3,実績!$AI$6:$AI$505,"&lt;="&amp;$A116,実績!$AJ$6:$AJ$505,"&gt;"&amp;$A116,実績!$AL$6:$AL$505,"○")&gt;0,1,0))</f>
        <v>0</v>
      </c>
      <c r="DN116" s="39" t="n">
        <f aca="false">IF(DN$4=0,0,IF(COUNTIFS(実績!$W$6:$W$505,DN$3,実績!$AI$6:$AI$505,"&lt;="&amp;$A116,実績!$AJ$6:$AJ$505,"&gt;"&amp;$A116,実績!$AL$6:$AL$505,"○")&gt;0,1,0))</f>
        <v>0</v>
      </c>
      <c r="DO116" s="39" t="n">
        <f aca="false">IF(DO$4=0,0,IF(COUNTIFS(実績!$W$6:$W$505,DO$3,実績!$AI$6:$AI$505,"&lt;="&amp;$A116,実績!$AJ$6:$AJ$505,"&gt;"&amp;$A116,実績!$AL$6:$AL$505,"○")&gt;0,1,0))</f>
        <v>0</v>
      </c>
      <c r="DP116" s="39" t="n">
        <f aca="false">IF(DP$4=0,0,IF(COUNTIFS(実績!$W$6:$W$505,DP$3,実績!$AI$6:$AI$505,"&lt;="&amp;$A116,実績!$AJ$6:$AJ$505,"&gt;"&amp;$A116,実績!$AL$6:$AL$505,"○")&gt;0,1,0))</f>
        <v>0</v>
      </c>
      <c r="DQ116" s="39" t="n">
        <f aca="false">IF(DQ$4=0,0,IF(COUNTIFS(実績!$W$6:$W$505,DQ$3,実績!$AI$6:$AI$505,"&lt;="&amp;$A116,実績!$AJ$6:$AJ$505,"&gt;"&amp;$A116,実績!$AL$6:$AL$505,"○")&gt;0,1,0))</f>
        <v>0</v>
      </c>
      <c r="DR116" s="39" t="n">
        <f aca="false">IF(DR$4=0,0,IF(COUNTIFS(実績!$W$6:$W$505,DR$3,実績!$AI$6:$AI$505,"&lt;="&amp;$A116,実績!$AJ$6:$AJ$505,"&gt;"&amp;$A116,実績!$AL$6:$AL$505,"○")&gt;0,1,0))</f>
        <v>0</v>
      </c>
      <c r="DS116" s="39" t="n">
        <f aca="false">SUM(C116:DR116)</f>
        <v>0</v>
      </c>
    </row>
    <row r="117" customFormat="false" ht="15" hidden="false" customHeight="false" outlineLevel="0" collapsed="false">
      <c r="A117" s="0" t="n">
        <v>555</v>
      </c>
      <c r="B117" s="38" t="n">
        <f aca="false">A117/1440</f>
        <v>0.385416666666667</v>
      </c>
      <c r="C117" s="39" t="n">
        <f aca="false">IF(C$4=0,0,IF(COUNTIFS(実績!$W$6:$W$505,C$3,実績!$AI$6:$AI$505,"&lt;="&amp;$A117,実績!$AJ$6:$AJ$505,"&gt;"&amp;$A117,実績!$AL$6:$AL$505,"○")&gt;0,1,0))</f>
        <v>0</v>
      </c>
      <c r="D117" s="39" t="n">
        <f aca="false">IF(D$4=0,0,IF(COUNTIFS(実績!$W$6:$W$505,D$3,実績!$AI$6:$AI$505,"&lt;="&amp;$A117,実績!$AJ$6:$AJ$505,"&gt;"&amp;$A117,実績!$AL$6:$AL$505,"○")&gt;0,1,0))</f>
        <v>0</v>
      </c>
      <c r="E117" s="39" t="n">
        <f aca="false">IF(E$4=0,0,IF(COUNTIFS(実績!$W$6:$W$505,E$3,実績!$AI$6:$AI$505,"&lt;="&amp;$A117,実績!$AJ$6:$AJ$505,"&gt;"&amp;$A117,実績!$AL$6:$AL$505,"○")&gt;0,1,0))</f>
        <v>0</v>
      </c>
      <c r="F117" s="39" t="n">
        <f aca="false">IF(F$4=0,0,IF(COUNTIFS(実績!$W$6:$W$505,F$3,実績!$AI$6:$AI$505,"&lt;="&amp;$A117,実績!$AJ$6:$AJ$505,"&gt;"&amp;$A117,実績!$AL$6:$AL$505,"○")&gt;0,1,0))</f>
        <v>0</v>
      </c>
      <c r="G117" s="39" t="n">
        <f aca="false">IF(G$4=0,0,IF(COUNTIFS(実績!$W$6:$W$505,G$3,実績!$AI$6:$AI$505,"&lt;="&amp;$A117,実績!$AJ$6:$AJ$505,"&gt;"&amp;$A117,実績!$AL$6:$AL$505,"○")&gt;0,1,0))</f>
        <v>0</v>
      </c>
      <c r="H117" s="39" t="n">
        <f aca="false">IF(H$4=0,0,IF(COUNTIFS(実績!$W$6:$W$505,H$3,実績!$AI$6:$AI$505,"&lt;="&amp;$A117,実績!$AJ$6:$AJ$505,"&gt;"&amp;$A117,実績!$AL$6:$AL$505,"○")&gt;0,1,0))</f>
        <v>0</v>
      </c>
      <c r="I117" s="39" t="n">
        <f aca="false">IF(I$4=0,0,IF(COUNTIFS(実績!$W$6:$W$505,I$3,実績!$AI$6:$AI$505,"&lt;="&amp;$A117,実績!$AJ$6:$AJ$505,"&gt;"&amp;$A117,実績!$AL$6:$AL$505,"○")&gt;0,1,0))</f>
        <v>0</v>
      </c>
      <c r="J117" s="39" t="n">
        <f aca="false">IF(J$4=0,0,IF(COUNTIFS(実績!$W$6:$W$505,J$3,実績!$AI$6:$AI$505,"&lt;="&amp;$A117,実績!$AJ$6:$AJ$505,"&gt;"&amp;$A117,実績!$AL$6:$AL$505,"○")&gt;0,1,0))</f>
        <v>0</v>
      </c>
      <c r="K117" s="39" t="n">
        <f aca="false">IF(K$4=0,0,IF(COUNTIFS(実績!$W$6:$W$505,K$3,実績!$AI$6:$AI$505,"&lt;="&amp;$A117,実績!$AJ$6:$AJ$505,"&gt;"&amp;$A117,実績!$AL$6:$AL$505,"○")&gt;0,1,0))</f>
        <v>0</v>
      </c>
      <c r="L117" s="39" t="n">
        <f aca="false">IF(L$4=0,0,IF(COUNTIFS(実績!$W$6:$W$505,L$3,実績!$AI$6:$AI$505,"&lt;="&amp;$A117,実績!$AJ$6:$AJ$505,"&gt;"&amp;$A117,実績!$AL$6:$AL$505,"○")&gt;0,1,0))</f>
        <v>0</v>
      </c>
      <c r="M117" s="39" t="n">
        <f aca="false">IF(M$4=0,0,IF(COUNTIFS(実績!$W$6:$W$505,M$3,実績!$AI$6:$AI$505,"&lt;="&amp;$A117,実績!$AJ$6:$AJ$505,"&gt;"&amp;$A117,実績!$AL$6:$AL$505,"○")&gt;0,1,0))</f>
        <v>0</v>
      </c>
      <c r="N117" s="39" t="n">
        <f aca="false">IF(N$4=0,0,IF(COUNTIFS(実績!$W$6:$W$505,N$3,実績!$AI$6:$AI$505,"&lt;="&amp;$A117,実績!$AJ$6:$AJ$505,"&gt;"&amp;$A117,実績!$AL$6:$AL$505,"○")&gt;0,1,0))</f>
        <v>0</v>
      </c>
      <c r="O117" s="39" t="n">
        <f aca="false">IF(O$4=0,0,IF(COUNTIFS(実績!$W$6:$W$505,O$3,実績!$AI$6:$AI$505,"&lt;="&amp;$A117,実績!$AJ$6:$AJ$505,"&gt;"&amp;$A117,実績!$AL$6:$AL$505,"○")&gt;0,1,0))</f>
        <v>0</v>
      </c>
      <c r="P117" s="39" t="n">
        <f aca="false">IF(P$4=0,0,IF(COUNTIFS(実績!$W$6:$W$505,P$3,実績!$AI$6:$AI$505,"&lt;="&amp;$A117,実績!$AJ$6:$AJ$505,"&gt;"&amp;$A117,実績!$AL$6:$AL$505,"○")&gt;0,1,0))</f>
        <v>0</v>
      </c>
      <c r="Q117" s="39" t="n">
        <f aca="false">IF(Q$4=0,0,IF(COUNTIFS(実績!$W$6:$W$505,Q$3,実績!$AI$6:$AI$505,"&lt;="&amp;$A117,実績!$AJ$6:$AJ$505,"&gt;"&amp;$A117,実績!$AL$6:$AL$505,"○")&gt;0,1,0))</f>
        <v>0</v>
      </c>
      <c r="R117" s="39" t="n">
        <f aca="false">IF(R$4=0,0,IF(COUNTIFS(実績!$W$6:$W$505,R$3,実績!$AI$6:$AI$505,"&lt;="&amp;$A117,実績!$AJ$6:$AJ$505,"&gt;"&amp;$A117,実績!$AL$6:$AL$505,"○")&gt;0,1,0))</f>
        <v>0</v>
      </c>
      <c r="S117" s="39" t="n">
        <f aca="false">IF(S$4=0,0,IF(COUNTIFS(実績!$W$6:$W$505,S$3,実績!$AI$6:$AI$505,"&lt;="&amp;$A117,実績!$AJ$6:$AJ$505,"&gt;"&amp;$A117,実績!$AL$6:$AL$505,"○")&gt;0,1,0))</f>
        <v>0</v>
      </c>
      <c r="T117" s="39" t="n">
        <f aca="false">IF(T$4=0,0,IF(COUNTIFS(実績!$W$6:$W$505,T$3,実績!$AI$6:$AI$505,"&lt;="&amp;$A117,実績!$AJ$6:$AJ$505,"&gt;"&amp;$A117,実績!$AL$6:$AL$505,"○")&gt;0,1,0))</f>
        <v>0</v>
      </c>
      <c r="U117" s="39" t="n">
        <f aca="false">IF(U$4=0,0,IF(COUNTIFS(実績!$W$6:$W$505,U$3,実績!$AI$6:$AI$505,"&lt;="&amp;$A117,実績!$AJ$6:$AJ$505,"&gt;"&amp;$A117,実績!$AL$6:$AL$505,"○")&gt;0,1,0))</f>
        <v>0</v>
      </c>
      <c r="V117" s="39" t="n">
        <f aca="false">IF(V$4=0,0,IF(COUNTIFS(実績!$W$6:$W$505,V$3,実績!$AI$6:$AI$505,"&lt;="&amp;$A117,実績!$AJ$6:$AJ$505,"&gt;"&amp;$A117,実績!$AL$6:$AL$505,"○")&gt;0,1,0))</f>
        <v>0</v>
      </c>
      <c r="W117" s="39" t="n">
        <f aca="false">IF(W$4=0,0,IF(COUNTIFS(実績!$W$6:$W$505,W$3,実績!$AI$6:$AI$505,"&lt;="&amp;$A117,実績!$AJ$6:$AJ$505,"&gt;"&amp;$A117,実績!$AL$6:$AL$505,"○")&gt;0,1,0))</f>
        <v>0</v>
      </c>
      <c r="X117" s="39" t="n">
        <f aca="false">IF(X$4=0,0,IF(COUNTIFS(実績!$W$6:$W$505,X$3,実績!$AI$6:$AI$505,"&lt;="&amp;$A117,実績!$AJ$6:$AJ$505,"&gt;"&amp;$A117,実績!$AL$6:$AL$505,"○")&gt;0,1,0))</f>
        <v>0</v>
      </c>
      <c r="Y117" s="39" t="n">
        <f aca="false">IF(Y$4=0,0,IF(COUNTIFS(実績!$W$6:$W$505,Y$3,実績!$AI$6:$AI$505,"&lt;="&amp;$A117,実績!$AJ$6:$AJ$505,"&gt;"&amp;$A117,実績!$AL$6:$AL$505,"○")&gt;0,1,0))</f>
        <v>0</v>
      </c>
      <c r="Z117" s="39" t="n">
        <f aca="false">IF(Z$4=0,0,IF(COUNTIFS(実績!$W$6:$W$505,Z$3,実績!$AI$6:$AI$505,"&lt;="&amp;$A117,実績!$AJ$6:$AJ$505,"&gt;"&amp;$A117,実績!$AL$6:$AL$505,"○")&gt;0,1,0))</f>
        <v>0</v>
      </c>
      <c r="AA117" s="39" t="n">
        <f aca="false">IF(AA$4=0,0,IF(COUNTIFS(実績!$W$6:$W$505,AA$3,実績!$AI$6:$AI$505,"&lt;="&amp;$A117,実績!$AJ$6:$AJ$505,"&gt;"&amp;$A117,実績!$AL$6:$AL$505,"○")&gt;0,1,0))</f>
        <v>0</v>
      </c>
      <c r="AB117" s="39" t="n">
        <f aca="false">IF(AB$4=0,0,IF(COUNTIFS(実績!$W$6:$W$505,AB$3,実績!$AI$6:$AI$505,"&lt;="&amp;$A117,実績!$AJ$6:$AJ$505,"&gt;"&amp;$A117,実績!$AL$6:$AL$505,"○")&gt;0,1,0))</f>
        <v>0</v>
      </c>
      <c r="AC117" s="39" t="n">
        <f aca="false">IF(AC$4=0,0,IF(COUNTIFS(実績!$W$6:$W$505,AC$3,実績!$AI$6:$AI$505,"&lt;="&amp;$A117,実績!$AJ$6:$AJ$505,"&gt;"&amp;$A117,実績!$AL$6:$AL$505,"○")&gt;0,1,0))</f>
        <v>0</v>
      </c>
      <c r="AD117" s="39" t="n">
        <f aca="false">IF(AD$4=0,0,IF(COUNTIFS(実績!$W$6:$W$505,AD$3,実績!$AI$6:$AI$505,"&lt;="&amp;$A117,実績!$AJ$6:$AJ$505,"&gt;"&amp;$A117,実績!$AL$6:$AL$505,"○")&gt;0,1,0))</f>
        <v>0</v>
      </c>
      <c r="AE117" s="39" t="n">
        <f aca="false">IF(AE$4=0,0,IF(COUNTIFS(実績!$W$6:$W$505,AE$3,実績!$AI$6:$AI$505,"&lt;="&amp;$A117,実績!$AJ$6:$AJ$505,"&gt;"&amp;$A117,実績!$AL$6:$AL$505,"○")&gt;0,1,0))</f>
        <v>0</v>
      </c>
      <c r="AF117" s="39" t="n">
        <f aca="false">IF(AF$4=0,0,IF(COUNTIFS(実績!$W$6:$W$505,AF$3,実績!$AI$6:$AI$505,"&lt;="&amp;$A117,実績!$AJ$6:$AJ$505,"&gt;"&amp;$A117,実績!$AL$6:$AL$505,"○")&gt;0,1,0))</f>
        <v>0</v>
      </c>
      <c r="AG117" s="39" t="n">
        <f aca="false">IF(AG$4=0,0,IF(COUNTIFS(実績!$W$6:$W$505,AG$3,実績!$AI$6:$AI$505,"&lt;="&amp;$A117,実績!$AJ$6:$AJ$505,"&gt;"&amp;$A117,実績!$AL$6:$AL$505,"○")&gt;0,1,0))</f>
        <v>0</v>
      </c>
      <c r="AH117" s="39" t="n">
        <f aca="false">IF(AH$4=0,0,IF(COUNTIFS(実績!$W$6:$W$505,AH$3,実績!$AI$6:$AI$505,"&lt;="&amp;$A117,実績!$AJ$6:$AJ$505,"&gt;"&amp;$A117,実績!$AL$6:$AL$505,"○")&gt;0,1,0))</f>
        <v>0</v>
      </c>
      <c r="AI117" s="39" t="n">
        <f aca="false">IF(AI$4=0,0,IF(COUNTIFS(実績!$W$6:$W$505,AI$3,実績!$AI$6:$AI$505,"&lt;="&amp;$A117,実績!$AJ$6:$AJ$505,"&gt;"&amp;$A117,実績!$AL$6:$AL$505,"○")&gt;0,1,0))</f>
        <v>0</v>
      </c>
      <c r="AJ117" s="39" t="n">
        <f aca="false">IF(AJ$4=0,0,IF(COUNTIFS(実績!$W$6:$W$505,AJ$3,実績!$AI$6:$AI$505,"&lt;="&amp;$A117,実績!$AJ$6:$AJ$505,"&gt;"&amp;$A117,実績!$AL$6:$AL$505,"○")&gt;0,1,0))</f>
        <v>0</v>
      </c>
      <c r="AK117" s="39" t="n">
        <f aca="false">IF(AK$4=0,0,IF(COUNTIFS(実績!$W$6:$W$505,AK$3,実績!$AI$6:$AI$505,"&lt;="&amp;$A117,実績!$AJ$6:$AJ$505,"&gt;"&amp;$A117,実績!$AL$6:$AL$505,"○")&gt;0,1,0))</f>
        <v>0</v>
      </c>
      <c r="AL117" s="39" t="n">
        <f aca="false">IF(AL$4=0,0,IF(COUNTIFS(実績!$W$6:$W$505,AL$3,実績!$AI$6:$AI$505,"&lt;="&amp;$A117,実績!$AJ$6:$AJ$505,"&gt;"&amp;$A117,実績!$AL$6:$AL$505,"○")&gt;0,1,0))</f>
        <v>0</v>
      </c>
      <c r="AM117" s="39" t="n">
        <f aca="false">IF(AM$4=0,0,IF(COUNTIFS(実績!$W$6:$W$505,AM$3,実績!$AI$6:$AI$505,"&lt;="&amp;$A117,実績!$AJ$6:$AJ$505,"&gt;"&amp;$A117,実績!$AL$6:$AL$505,"○")&gt;0,1,0))</f>
        <v>0</v>
      </c>
      <c r="AN117" s="39" t="n">
        <f aca="false">IF(AN$4=0,0,IF(COUNTIFS(実績!$W$6:$W$505,AN$3,実績!$AI$6:$AI$505,"&lt;="&amp;$A117,実績!$AJ$6:$AJ$505,"&gt;"&amp;$A117,実績!$AL$6:$AL$505,"○")&gt;0,1,0))</f>
        <v>0</v>
      </c>
      <c r="AO117" s="39" t="n">
        <f aca="false">IF(AO$4=0,0,IF(COUNTIFS(実績!$W$6:$W$505,AO$3,実績!$AI$6:$AI$505,"&lt;="&amp;$A117,実績!$AJ$6:$AJ$505,"&gt;"&amp;$A117,実績!$AL$6:$AL$505,"○")&gt;0,1,0))</f>
        <v>0</v>
      </c>
      <c r="AP117" s="39" t="n">
        <f aca="false">IF(AP$4=0,0,IF(COUNTIFS(実績!$W$6:$W$505,AP$3,実績!$AI$6:$AI$505,"&lt;="&amp;$A117,実績!$AJ$6:$AJ$505,"&gt;"&amp;$A117,実績!$AL$6:$AL$505,"○")&gt;0,1,0))</f>
        <v>0</v>
      </c>
      <c r="AQ117" s="39" t="n">
        <f aca="false">IF(AQ$4=0,0,IF(COUNTIFS(実績!$W$6:$W$505,AQ$3,実績!$AI$6:$AI$505,"&lt;="&amp;$A117,実績!$AJ$6:$AJ$505,"&gt;"&amp;$A117,実績!$AL$6:$AL$505,"○")&gt;0,1,0))</f>
        <v>0</v>
      </c>
      <c r="AR117" s="39" t="n">
        <f aca="false">IF(AR$4=0,0,IF(COUNTIFS(実績!$W$6:$W$505,AR$3,実績!$AI$6:$AI$505,"&lt;="&amp;$A117,実績!$AJ$6:$AJ$505,"&gt;"&amp;$A117,実績!$AL$6:$AL$505,"○")&gt;0,1,0))</f>
        <v>0</v>
      </c>
      <c r="AS117" s="39" t="n">
        <f aca="false">IF(AS$4=0,0,IF(COUNTIFS(実績!$W$6:$W$505,AS$3,実績!$AI$6:$AI$505,"&lt;="&amp;$A117,実績!$AJ$6:$AJ$505,"&gt;"&amp;$A117,実績!$AL$6:$AL$505,"○")&gt;0,1,0))</f>
        <v>0</v>
      </c>
      <c r="AT117" s="39" t="n">
        <f aca="false">IF(AT$4=0,0,IF(COUNTIFS(実績!$W$6:$W$505,AT$3,実績!$AI$6:$AI$505,"&lt;="&amp;$A117,実績!$AJ$6:$AJ$505,"&gt;"&amp;$A117,実績!$AL$6:$AL$505,"○")&gt;0,1,0))</f>
        <v>0</v>
      </c>
      <c r="AU117" s="39" t="n">
        <f aca="false">IF(AU$4=0,0,IF(COUNTIFS(実績!$W$6:$W$505,AU$3,実績!$AI$6:$AI$505,"&lt;="&amp;$A117,実績!$AJ$6:$AJ$505,"&gt;"&amp;$A117,実績!$AL$6:$AL$505,"○")&gt;0,1,0))</f>
        <v>0</v>
      </c>
      <c r="AV117" s="39" t="n">
        <f aca="false">IF(AV$4=0,0,IF(COUNTIFS(実績!$W$6:$W$505,AV$3,実績!$AI$6:$AI$505,"&lt;="&amp;$A117,実績!$AJ$6:$AJ$505,"&gt;"&amp;$A117,実績!$AL$6:$AL$505,"○")&gt;0,1,0))</f>
        <v>0</v>
      </c>
      <c r="AW117" s="39" t="n">
        <f aca="false">IF(AW$4=0,0,IF(COUNTIFS(実績!$W$6:$W$505,AW$3,実績!$AI$6:$AI$505,"&lt;="&amp;$A117,実績!$AJ$6:$AJ$505,"&gt;"&amp;$A117,実績!$AL$6:$AL$505,"○")&gt;0,1,0))</f>
        <v>0</v>
      </c>
      <c r="AX117" s="39" t="n">
        <f aca="false">IF(AX$4=0,0,IF(COUNTIFS(実績!$W$6:$W$505,AX$3,実績!$AI$6:$AI$505,"&lt;="&amp;$A117,実績!$AJ$6:$AJ$505,"&gt;"&amp;$A117,実績!$AL$6:$AL$505,"○")&gt;0,1,0))</f>
        <v>0</v>
      </c>
      <c r="AY117" s="39" t="n">
        <f aca="false">IF(AY$4=0,0,IF(COUNTIFS(実績!$W$6:$W$505,AY$3,実績!$AI$6:$AI$505,"&lt;="&amp;$A117,実績!$AJ$6:$AJ$505,"&gt;"&amp;$A117,実績!$AL$6:$AL$505,"○")&gt;0,1,0))</f>
        <v>0</v>
      </c>
      <c r="AZ117" s="39" t="n">
        <f aca="false">IF(AZ$4=0,0,IF(COUNTIFS(実績!$W$6:$W$505,AZ$3,実績!$AI$6:$AI$505,"&lt;="&amp;$A117,実績!$AJ$6:$AJ$505,"&gt;"&amp;$A117,実績!$AL$6:$AL$505,"○")&gt;0,1,0))</f>
        <v>0</v>
      </c>
      <c r="BA117" s="39" t="n">
        <f aca="false">IF(BA$4=0,0,IF(COUNTIFS(実績!$W$6:$W$505,BA$3,実績!$AI$6:$AI$505,"&lt;="&amp;$A117,実績!$AJ$6:$AJ$505,"&gt;"&amp;$A117,実績!$AL$6:$AL$505,"○")&gt;0,1,0))</f>
        <v>0</v>
      </c>
      <c r="BB117" s="39" t="n">
        <f aca="false">IF(BB$4=0,0,IF(COUNTIFS(実績!$W$6:$W$505,BB$3,実績!$AI$6:$AI$505,"&lt;="&amp;$A117,実績!$AJ$6:$AJ$505,"&gt;"&amp;$A117,実績!$AL$6:$AL$505,"○")&gt;0,1,0))</f>
        <v>0</v>
      </c>
      <c r="BC117" s="39" t="n">
        <f aca="false">IF(BC$4=0,0,IF(COUNTIFS(実績!$W$6:$W$505,BC$3,実績!$AI$6:$AI$505,"&lt;="&amp;$A117,実績!$AJ$6:$AJ$505,"&gt;"&amp;$A117,実績!$AL$6:$AL$505,"○")&gt;0,1,0))</f>
        <v>0</v>
      </c>
      <c r="BD117" s="39" t="n">
        <f aca="false">IF(BD$4=0,0,IF(COUNTIFS(実績!$W$6:$W$505,BD$3,実績!$AI$6:$AI$505,"&lt;="&amp;$A117,実績!$AJ$6:$AJ$505,"&gt;"&amp;$A117,実績!$AL$6:$AL$505,"○")&gt;0,1,0))</f>
        <v>0</v>
      </c>
      <c r="BE117" s="39" t="n">
        <f aca="false">IF(BE$4=0,0,IF(COUNTIFS(実績!$W$6:$W$505,BE$3,実績!$AI$6:$AI$505,"&lt;="&amp;$A117,実績!$AJ$6:$AJ$505,"&gt;"&amp;$A117,実績!$AL$6:$AL$505,"○")&gt;0,1,0))</f>
        <v>0</v>
      </c>
      <c r="BF117" s="39" t="n">
        <f aca="false">IF(BF$4=0,0,IF(COUNTIFS(実績!$W$6:$W$505,BF$3,実績!$AI$6:$AI$505,"&lt;="&amp;$A117,実績!$AJ$6:$AJ$505,"&gt;"&amp;$A117,実績!$AL$6:$AL$505,"○")&gt;0,1,0))</f>
        <v>0</v>
      </c>
      <c r="BG117" s="39" t="n">
        <f aca="false">IF(BG$4=0,0,IF(COUNTIFS(実績!$W$6:$W$505,BG$3,実績!$AI$6:$AI$505,"&lt;="&amp;$A117,実績!$AJ$6:$AJ$505,"&gt;"&amp;$A117,実績!$AL$6:$AL$505,"○")&gt;0,1,0))</f>
        <v>0</v>
      </c>
      <c r="BH117" s="39" t="n">
        <f aca="false">IF(BH$4=0,0,IF(COUNTIFS(実績!$W$6:$W$505,BH$3,実績!$AI$6:$AI$505,"&lt;="&amp;$A117,実績!$AJ$6:$AJ$505,"&gt;"&amp;$A117,実績!$AL$6:$AL$505,"○")&gt;0,1,0))</f>
        <v>0</v>
      </c>
      <c r="BI117" s="39" t="n">
        <f aca="false">IF(BI$4=0,0,IF(COUNTIFS(実績!$W$6:$W$505,BI$3,実績!$AI$6:$AI$505,"&lt;="&amp;$A117,実績!$AJ$6:$AJ$505,"&gt;"&amp;$A117,実績!$AL$6:$AL$505,"○")&gt;0,1,0))</f>
        <v>0</v>
      </c>
      <c r="BJ117" s="39" t="n">
        <f aca="false">IF(BJ$4=0,0,IF(COUNTIFS(実績!$W$6:$W$505,BJ$3,実績!$AI$6:$AI$505,"&lt;="&amp;$A117,実績!$AJ$6:$AJ$505,"&gt;"&amp;$A117,実績!$AL$6:$AL$505,"○")&gt;0,1,0))</f>
        <v>0</v>
      </c>
      <c r="BK117" s="39" t="n">
        <f aca="false">IF(BK$4=0,0,IF(COUNTIFS(実績!$W$6:$W$505,BK$3,実績!$AI$6:$AI$505,"&lt;="&amp;$A117,実績!$AJ$6:$AJ$505,"&gt;"&amp;$A117,実績!$AL$6:$AL$505,"○")&gt;0,1,0))</f>
        <v>0</v>
      </c>
      <c r="BL117" s="39" t="n">
        <f aca="false">IF(BL$4=0,0,IF(COUNTIFS(実績!$W$6:$W$505,BL$3,実績!$AI$6:$AI$505,"&lt;="&amp;$A117,実績!$AJ$6:$AJ$505,"&gt;"&amp;$A117,実績!$AL$6:$AL$505,"○")&gt;0,1,0))</f>
        <v>0</v>
      </c>
      <c r="BM117" s="39" t="n">
        <f aca="false">IF(BM$4=0,0,IF(COUNTIFS(実績!$W$6:$W$505,BM$3,実績!$AI$6:$AI$505,"&lt;="&amp;$A117,実績!$AJ$6:$AJ$505,"&gt;"&amp;$A117,実績!$AL$6:$AL$505,"○")&gt;0,1,0))</f>
        <v>0</v>
      </c>
      <c r="BN117" s="39" t="n">
        <f aca="false">IF(BN$4=0,0,IF(COUNTIFS(実績!$W$6:$W$505,BN$3,実績!$AI$6:$AI$505,"&lt;="&amp;$A117,実績!$AJ$6:$AJ$505,"&gt;"&amp;$A117,実績!$AL$6:$AL$505,"○")&gt;0,1,0))</f>
        <v>0</v>
      </c>
      <c r="BO117" s="39" t="n">
        <f aca="false">IF(BO$4=0,0,IF(COUNTIFS(実績!$W$6:$W$505,BO$3,実績!$AI$6:$AI$505,"&lt;="&amp;$A117,実績!$AJ$6:$AJ$505,"&gt;"&amp;$A117,実績!$AL$6:$AL$505,"○")&gt;0,1,0))</f>
        <v>0</v>
      </c>
      <c r="BP117" s="39" t="n">
        <f aca="false">IF(BP$4=0,0,IF(COUNTIFS(実績!$W$6:$W$505,BP$3,実績!$AI$6:$AI$505,"&lt;="&amp;$A117,実績!$AJ$6:$AJ$505,"&gt;"&amp;$A117,実績!$AL$6:$AL$505,"○")&gt;0,1,0))</f>
        <v>0</v>
      </c>
      <c r="BQ117" s="39" t="n">
        <f aca="false">IF(BQ$4=0,0,IF(COUNTIFS(実績!$W$6:$W$505,BQ$3,実績!$AI$6:$AI$505,"&lt;="&amp;$A117,実績!$AJ$6:$AJ$505,"&gt;"&amp;$A117,実績!$AL$6:$AL$505,"○")&gt;0,1,0))</f>
        <v>0</v>
      </c>
      <c r="BR117" s="39" t="n">
        <f aca="false">IF(BR$4=0,0,IF(COUNTIFS(実績!$W$6:$W$505,BR$3,実績!$AI$6:$AI$505,"&lt;="&amp;$A117,実績!$AJ$6:$AJ$505,"&gt;"&amp;$A117,実績!$AL$6:$AL$505,"○")&gt;0,1,0))</f>
        <v>0</v>
      </c>
      <c r="BS117" s="39" t="n">
        <f aca="false">IF(BS$4=0,0,IF(COUNTIFS(実績!$W$6:$W$505,BS$3,実績!$AI$6:$AI$505,"&lt;="&amp;$A117,実績!$AJ$6:$AJ$505,"&gt;"&amp;$A117,実績!$AL$6:$AL$505,"○")&gt;0,1,0))</f>
        <v>0</v>
      </c>
      <c r="BT117" s="39" t="n">
        <f aca="false">IF(BT$4=0,0,IF(COUNTIFS(実績!$W$6:$W$505,BT$3,実績!$AI$6:$AI$505,"&lt;="&amp;$A117,実績!$AJ$6:$AJ$505,"&gt;"&amp;$A117,実績!$AL$6:$AL$505,"○")&gt;0,1,0))</f>
        <v>0</v>
      </c>
      <c r="BU117" s="39" t="n">
        <f aca="false">IF(BU$4=0,0,IF(COUNTIFS(実績!$W$6:$W$505,BU$3,実績!$AI$6:$AI$505,"&lt;="&amp;$A117,実績!$AJ$6:$AJ$505,"&gt;"&amp;$A117,実績!$AL$6:$AL$505,"○")&gt;0,1,0))</f>
        <v>0</v>
      </c>
      <c r="BV117" s="39" t="n">
        <f aca="false">IF(BV$4=0,0,IF(COUNTIFS(実績!$W$6:$W$505,BV$3,実績!$AI$6:$AI$505,"&lt;="&amp;$A117,実績!$AJ$6:$AJ$505,"&gt;"&amp;$A117,実績!$AL$6:$AL$505,"○")&gt;0,1,0))</f>
        <v>0</v>
      </c>
      <c r="BW117" s="39" t="n">
        <f aca="false">IF(BW$4=0,0,IF(COUNTIFS(実績!$W$6:$W$505,BW$3,実績!$AI$6:$AI$505,"&lt;="&amp;$A117,実績!$AJ$6:$AJ$505,"&gt;"&amp;$A117,実績!$AL$6:$AL$505,"○")&gt;0,1,0))</f>
        <v>0</v>
      </c>
      <c r="BX117" s="39" t="n">
        <f aca="false">IF(BX$4=0,0,IF(COUNTIFS(実績!$W$6:$W$505,BX$3,実績!$AI$6:$AI$505,"&lt;="&amp;$A117,実績!$AJ$6:$AJ$505,"&gt;"&amp;$A117,実績!$AL$6:$AL$505,"○")&gt;0,1,0))</f>
        <v>0</v>
      </c>
      <c r="BY117" s="39" t="n">
        <f aca="false">IF(BY$4=0,0,IF(COUNTIFS(実績!$W$6:$W$505,BY$3,実績!$AI$6:$AI$505,"&lt;="&amp;$A117,実績!$AJ$6:$AJ$505,"&gt;"&amp;$A117,実績!$AL$6:$AL$505,"○")&gt;0,1,0))</f>
        <v>0</v>
      </c>
      <c r="BZ117" s="39" t="n">
        <f aca="false">IF(BZ$4=0,0,IF(COUNTIFS(実績!$W$6:$W$505,BZ$3,実績!$AI$6:$AI$505,"&lt;="&amp;$A117,実績!$AJ$6:$AJ$505,"&gt;"&amp;$A117,実績!$AL$6:$AL$505,"○")&gt;0,1,0))</f>
        <v>0</v>
      </c>
      <c r="CA117" s="39" t="n">
        <f aca="false">IF(CA$4=0,0,IF(COUNTIFS(実績!$W$6:$W$505,CA$3,実績!$AI$6:$AI$505,"&lt;="&amp;$A117,実績!$AJ$6:$AJ$505,"&gt;"&amp;$A117,実績!$AL$6:$AL$505,"○")&gt;0,1,0))</f>
        <v>0</v>
      </c>
      <c r="CB117" s="39" t="n">
        <f aca="false">IF(CB$4=0,0,IF(COUNTIFS(実績!$W$6:$W$505,CB$3,実績!$AI$6:$AI$505,"&lt;="&amp;$A117,実績!$AJ$6:$AJ$505,"&gt;"&amp;$A117,実績!$AL$6:$AL$505,"○")&gt;0,1,0))</f>
        <v>0</v>
      </c>
      <c r="CC117" s="39" t="n">
        <f aca="false">IF(CC$4=0,0,IF(COUNTIFS(実績!$W$6:$W$505,CC$3,実績!$AI$6:$AI$505,"&lt;="&amp;$A117,実績!$AJ$6:$AJ$505,"&gt;"&amp;$A117,実績!$AL$6:$AL$505,"○")&gt;0,1,0))</f>
        <v>0</v>
      </c>
      <c r="CD117" s="39" t="n">
        <f aca="false">IF(CD$4=0,0,IF(COUNTIFS(実績!$W$6:$W$505,CD$3,実績!$AI$6:$AI$505,"&lt;="&amp;$A117,実績!$AJ$6:$AJ$505,"&gt;"&amp;$A117,実績!$AL$6:$AL$505,"○")&gt;0,1,0))</f>
        <v>0</v>
      </c>
      <c r="CE117" s="39" t="n">
        <f aca="false">IF(CE$4=0,0,IF(COUNTIFS(実績!$W$6:$W$505,CE$3,実績!$AI$6:$AI$505,"&lt;="&amp;$A117,実績!$AJ$6:$AJ$505,"&gt;"&amp;$A117,実績!$AL$6:$AL$505,"○")&gt;0,1,0))</f>
        <v>0</v>
      </c>
      <c r="CF117" s="39" t="n">
        <f aca="false">IF(CF$4=0,0,IF(COUNTIFS(実績!$W$6:$W$505,CF$3,実績!$AI$6:$AI$505,"&lt;="&amp;$A117,実績!$AJ$6:$AJ$505,"&gt;"&amp;$A117,実績!$AL$6:$AL$505,"○")&gt;0,1,0))</f>
        <v>0</v>
      </c>
      <c r="CG117" s="39" t="n">
        <f aca="false">IF(CG$4=0,0,IF(COUNTIFS(実績!$W$6:$W$505,CG$3,実績!$AI$6:$AI$505,"&lt;="&amp;$A117,実績!$AJ$6:$AJ$505,"&gt;"&amp;$A117,実績!$AL$6:$AL$505,"○")&gt;0,1,0))</f>
        <v>0</v>
      </c>
      <c r="CH117" s="39" t="n">
        <f aca="false">IF(CH$4=0,0,IF(COUNTIFS(実績!$W$6:$W$505,CH$3,実績!$AI$6:$AI$505,"&lt;="&amp;$A117,実績!$AJ$6:$AJ$505,"&gt;"&amp;$A117,実績!$AL$6:$AL$505,"○")&gt;0,1,0))</f>
        <v>0</v>
      </c>
      <c r="CI117" s="39" t="n">
        <f aca="false">IF(CI$4=0,0,IF(COUNTIFS(実績!$W$6:$W$505,CI$3,実績!$AI$6:$AI$505,"&lt;="&amp;$A117,実績!$AJ$6:$AJ$505,"&gt;"&amp;$A117,実績!$AL$6:$AL$505,"○")&gt;0,1,0))</f>
        <v>0</v>
      </c>
      <c r="CJ117" s="39" t="n">
        <f aca="false">IF(CJ$4=0,0,IF(COUNTIFS(実績!$W$6:$W$505,CJ$3,実績!$AI$6:$AI$505,"&lt;="&amp;$A117,実績!$AJ$6:$AJ$505,"&gt;"&amp;$A117,実績!$AL$6:$AL$505,"○")&gt;0,1,0))</f>
        <v>0</v>
      </c>
      <c r="CK117" s="39" t="n">
        <f aca="false">IF(CK$4=0,0,IF(COUNTIFS(実績!$W$6:$W$505,CK$3,実績!$AI$6:$AI$505,"&lt;="&amp;$A117,実績!$AJ$6:$AJ$505,"&gt;"&amp;$A117,実績!$AL$6:$AL$505,"○")&gt;0,1,0))</f>
        <v>0</v>
      </c>
      <c r="CL117" s="39" t="n">
        <f aca="false">IF(CL$4=0,0,IF(COUNTIFS(実績!$W$6:$W$505,CL$3,実績!$AI$6:$AI$505,"&lt;="&amp;$A117,実績!$AJ$6:$AJ$505,"&gt;"&amp;$A117,実績!$AL$6:$AL$505,"○")&gt;0,1,0))</f>
        <v>0</v>
      </c>
      <c r="CM117" s="39" t="n">
        <f aca="false">IF(CM$4=0,0,IF(COUNTIFS(実績!$W$6:$W$505,CM$3,実績!$AI$6:$AI$505,"&lt;="&amp;$A117,実績!$AJ$6:$AJ$505,"&gt;"&amp;$A117,実績!$AL$6:$AL$505,"○")&gt;0,1,0))</f>
        <v>0</v>
      </c>
      <c r="CN117" s="39" t="n">
        <f aca="false">IF(CN$4=0,0,IF(COUNTIFS(実績!$W$6:$W$505,CN$3,実績!$AI$6:$AI$505,"&lt;="&amp;$A117,実績!$AJ$6:$AJ$505,"&gt;"&amp;$A117,実績!$AL$6:$AL$505,"○")&gt;0,1,0))</f>
        <v>0</v>
      </c>
      <c r="CO117" s="39" t="n">
        <f aca="false">IF(CO$4=0,0,IF(COUNTIFS(実績!$W$6:$W$505,CO$3,実績!$AI$6:$AI$505,"&lt;="&amp;$A117,実績!$AJ$6:$AJ$505,"&gt;"&amp;$A117,実績!$AL$6:$AL$505,"○")&gt;0,1,0))</f>
        <v>0</v>
      </c>
      <c r="CP117" s="39" t="n">
        <f aca="false">IF(CP$4=0,0,IF(COUNTIFS(実績!$W$6:$W$505,CP$3,実績!$AI$6:$AI$505,"&lt;="&amp;$A117,実績!$AJ$6:$AJ$505,"&gt;"&amp;$A117,実績!$AL$6:$AL$505,"○")&gt;0,1,0))</f>
        <v>0</v>
      </c>
      <c r="CQ117" s="39" t="n">
        <f aca="false">IF(CQ$4=0,0,IF(COUNTIFS(実績!$W$6:$W$505,CQ$3,実績!$AI$6:$AI$505,"&lt;="&amp;$A117,実績!$AJ$6:$AJ$505,"&gt;"&amp;$A117,実績!$AL$6:$AL$505,"○")&gt;0,1,0))</f>
        <v>0</v>
      </c>
      <c r="CR117" s="39" t="n">
        <f aca="false">IF(CR$4=0,0,IF(COUNTIFS(実績!$W$6:$W$505,CR$3,実績!$AI$6:$AI$505,"&lt;="&amp;$A117,実績!$AJ$6:$AJ$505,"&gt;"&amp;$A117,実績!$AL$6:$AL$505,"○")&gt;0,1,0))</f>
        <v>0</v>
      </c>
      <c r="CS117" s="39" t="n">
        <f aca="false">IF(CS$4=0,0,IF(COUNTIFS(実績!$W$6:$W$505,CS$3,実績!$AI$6:$AI$505,"&lt;="&amp;$A117,実績!$AJ$6:$AJ$505,"&gt;"&amp;$A117,実績!$AL$6:$AL$505,"○")&gt;0,1,0))</f>
        <v>0</v>
      </c>
      <c r="CT117" s="39" t="n">
        <f aca="false">IF(CT$4=0,0,IF(COUNTIFS(実績!$W$6:$W$505,CT$3,実績!$AI$6:$AI$505,"&lt;="&amp;$A117,実績!$AJ$6:$AJ$505,"&gt;"&amp;$A117,実績!$AL$6:$AL$505,"○")&gt;0,1,0))</f>
        <v>0</v>
      </c>
      <c r="CU117" s="39" t="n">
        <f aca="false">IF(CU$4=0,0,IF(COUNTIFS(実績!$W$6:$W$505,CU$3,実績!$AI$6:$AI$505,"&lt;="&amp;$A117,実績!$AJ$6:$AJ$505,"&gt;"&amp;$A117,実績!$AL$6:$AL$505,"○")&gt;0,1,0))</f>
        <v>0</v>
      </c>
      <c r="CV117" s="39" t="n">
        <f aca="false">IF(CV$4=0,0,IF(COUNTIFS(実績!$W$6:$W$505,CV$3,実績!$AI$6:$AI$505,"&lt;="&amp;$A117,実績!$AJ$6:$AJ$505,"&gt;"&amp;$A117,実績!$AL$6:$AL$505,"○")&gt;0,1,0))</f>
        <v>0</v>
      </c>
      <c r="CW117" s="39" t="n">
        <f aca="false">IF(CW$4=0,0,IF(COUNTIFS(実績!$W$6:$W$505,CW$3,実績!$AI$6:$AI$505,"&lt;="&amp;$A117,実績!$AJ$6:$AJ$505,"&gt;"&amp;$A117,実績!$AL$6:$AL$505,"○")&gt;0,1,0))</f>
        <v>0</v>
      </c>
      <c r="CX117" s="39" t="n">
        <f aca="false">IF(CX$4=0,0,IF(COUNTIFS(実績!$W$6:$W$505,CX$3,実績!$AI$6:$AI$505,"&lt;="&amp;$A117,実績!$AJ$6:$AJ$505,"&gt;"&amp;$A117,実績!$AL$6:$AL$505,"○")&gt;0,1,0))</f>
        <v>0</v>
      </c>
      <c r="CY117" s="39" t="n">
        <f aca="false">IF(CY$4=0,0,IF(COUNTIFS(実績!$W$6:$W$505,CY$3,実績!$AI$6:$AI$505,"&lt;="&amp;$A117,実績!$AJ$6:$AJ$505,"&gt;"&amp;$A117,実績!$AL$6:$AL$505,"○")&gt;0,1,0))</f>
        <v>0</v>
      </c>
      <c r="CZ117" s="39" t="n">
        <f aca="false">IF(CZ$4=0,0,IF(COUNTIFS(実績!$W$6:$W$505,CZ$3,実績!$AI$6:$AI$505,"&lt;="&amp;$A117,実績!$AJ$6:$AJ$505,"&gt;"&amp;$A117,実績!$AL$6:$AL$505,"○")&gt;0,1,0))</f>
        <v>0</v>
      </c>
      <c r="DA117" s="39" t="n">
        <f aca="false">IF(DA$4=0,0,IF(COUNTIFS(実績!$W$6:$W$505,DA$3,実績!$AI$6:$AI$505,"&lt;="&amp;$A117,実績!$AJ$6:$AJ$505,"&gt;"&amp;$A117,実績!$AL$6:$AL$505,"○")&gt;0,1,0))</f>
        <v>0</v>
      </c>
      <c r="DB117" s="39" t="n">
        <f aca="false">IF(DB$4=0,0,IF(COUNTIFS(実績!$W$6:$W$505,DB$3,実績!$AI$6:$AI$505,"&lt;="&amp;$A117,実績!$AJ$6:$AJ$505,"&gt;"&amp;$A117,実績!$AL$6:$AL$505,"○")&gt;0,1,0))</f>
        <v>0</v>
      </c>
      <c r="DC117" s="39" t="n">
        <f aca="false">IF(DC$4=0,0,IF(COUNTIFS(実績!$W$6:$W$505,DC$3,実績!$AI$6:$AI$505,"&lt;="&amp;$A117,実績!$AJ$6:$AJ$505,"&gt;"&amp;$A117,実績!$AL$6:$AL$505,"○")&gt;0,1,0))</f>
        <v>0</v>
      </c>
      <c r="DD117" s="39" t="n">
        <f aca="false">IF(DD$4=0,0,IF(COUNTIFS(実績!$W$6:$W$505,DD$3,実績!$AI$6:$AI$505,"&lt;="&amp;$A117,実績!$AJ$6:$AJ$505,"&gt;"&amp;$A117,実績!$AL$6:$AL$505,"○")&gt;0,1,0))</f>
        <v>0</v>
      </c>
      <c r="DE117" s="39" t="n">
        <f aca="false">IF(DE$4=0,0,IF(COUNTIFS(実績!$W$6:$W$505,DE$3,実績!$AI$6:$AI$505,"&lt;="&amp;$A117,実績!$AJ$6:$AJ$505,"&gt;"&amp;$A117,実績!$AL$6:$AL$505,"○")&gt;0,1,0))</f>
        <v>0</v>
      </c>
      <c r="DF117" s="39" t="n">
        <f aca="false">IF(DF$4=0,0,IF(COUNTIFS(実績!$W$6:$W$505,DF$3,実績!$AI$6:$AI$505,"&lt;="&amp;$A117,実績!$AJ$6:$AJ$505,"&gt;"&amp;$A117,実績!$AL$6:$AL$505,"○")&gt;0,1,0))</f>
        <v>0</v>
      </c>
      <c r="DG117" s="39" t="n">
        <f aca="false">IF(DG$4=0,0,IF(COUNTIFS(実績!$W$6:$W$505,DG$3,実績!$AI$6:$AI$505,"&lt;="&amp;$A117,実績!$AJ$6:$AJ$505,"&gt;"&amp;$A117,実績!$AL$6:$AL$505,"○")&gt;0,1,0))</f>
        <v>0</v>
      </c>
      <c r="DH117" s="39" t="n">
        <f aca="false">IF(DH$4=0,0,IF(COUNTIFS(実績!$W$6:$W$505,DH$3,実績!$AI$6:$AI$505,"&lt;="&amp;$A117,実績!$AJ$6:$AJ$505,"&gt;"&amp;$A117,実績!$AL$6:$AL$505,"○")&gt;0,1,0))</f>
        <v>0</v>
      </c>
      <c r="DI117" s="39" t="n">
        <f aca="false">IF(DI$4=0,0,IF(COUNTIFS(実績!$W$6:$W$505,DI$3,実績!$AI$6:$AI$505,"&lt;="&amp;$A117,実績!$AJ$6:$AJ$505,"&gt;"&amp;$A117,実績!$AL$6:$AL$505,"○")&gt;0,1,0))</f>
        <v>0</v>
      </c>
      <c r="DJ117" s="39" t="n">
        <f aca="false">IF(DJ$4=0,0,IF(COUNTIFS(実績!$W$6:$W$505,DJ$3,実績!$AI$6:$AI$505,"&lt;="&amp;$A117,実績!$AJ$6:$AJ$505,"&gt;"&amp;$A117,実績!$AL$6:$AL$505,"○")&gt;0,1,0))</f>
        <v>0</v>
      </c>
      <c r="DK117" s="39" t="n">
        <f aca="false">IF(DK$4=0,0,IF(COUNTIFS(実績!$W$6:$W$505,DK$3,実績!$AI$6:$AI$505,"&lt;="&amp;$A117,実績!$AJ$6:$AJ$505,"&gt;"&amp;$A117,実績!$AL$6:$AL$505,"○")&gt;0,1,0))</f>
        <v>0</v>
      </c>
      <c r="DL117" s="39" t="n">
        <f aca="false">IF(DL$4=0,0,IF(COUNTIFS(実績!$W$6:$W$505,DL$3,実績!$AI$6:$AI$505,"&lt;="&amp;$A117,実績!$AJ$6:$AJ$505,"&gt;"&amp;$A117,実績!$AL$6:$AL$505,"○")&gt;0,1,0))</f>
        <v>0</v>
      </c>
      <c r="DM117" s="39" t="n">
        <f aca="false">IF(DM$4=0,0,IF(COUNTIFS(実績!$W$6:$W$505,DM$3,実績!$AI$6:$AI$505,"&lt;="&amp;$A117,実績!$AJ$6:$AJ$505,"&gt;"&amp;$A117,実績!$AL$6:$AL$505,"○")&gt;0,1,0))</f>
        <v>0</v>
      </c>
      <c r="DN117" s="39" t="n">
        <f aca="false">IF(DN$4=0,0,IF(COUNTIFS(実績!$W$6:$W$505,DN$3,実績!$AI$6:$AI$505,"&lt;="&amp;$A117,実績!$AJ$6:$AJ$505,"&gt;"&amp;$A117,実績!$AL$6:$AL$505,"○")&gt;0,1,0))</f>
        <v>0</v>
      </c>
      <c r="DO117" s="39" t="n">
        <f aca="false">IF(DO$4=0,0,IF(COUNTIFS(実績!$W$6:$W$505,DO$3,実績!$AI$6:$AI$505,"&lt;="&amp;$A117,実績!$AJ$6:$AJ$505,"&gt;"&amp;$A117,実績!$AL$6:$AL$505,"○")&gt;0,1,0))</f>
        <v>0</v>
      </c>
      <c r="DP117" s="39" t="n">
        <f aca="false">IF(DP$4=0,0,IF(COUNTIFS(実績!$W$6:$W$505,DP$3,実績!$AI$6:$AI$505,"&lt;="&amp;$A117,実績!$AJ$6:$AJ$505,"&gt;"&amp;$A117,実績!$AL$6:$AL$505,"○")&gt;0,1,0))</f>
        <v>0</v>
      </c>
      <c r="DQ117" s="39" t="n">
        <f aca="false">IF(DQ$4=0,0,IF(COUNTIFS(実績!$W$6:$W$505,DQ$3,実績!$AI$6:$AI$505,"&lt;="&amp;$A117,実績!$AJ$6:$AJ$505,"&gt;"&amp;$A117,実績!$AL$6:$AL$505,"○")&gt;0,1,0))</f>
        <v>0</v>
      </c>
      <c r="DR117" s="39" t="n">
        <f aca="false">IF(DR$4=0,0,IF(COUNTIFS(実績!$W$6:$W$505,DR$3,実績!$AI$6:$AI$505,"&lt;="&amp;$A117,実績!$AJ$6:$AJ$505,"&gt;"&amp;$A117,実績!$AL$6:$AL$505,"○")&gt;0,1,0))</f>
        <v>0</v>
      </c>
      <c r="DS117" s="39" t="n">
        <f aca="false">SUM(C117:DR117)</f>
        <v>0</v>
      </c>
    </row>
    <row r="118" customFormat="false" ht="15" hidden="false" customHeight="false" outlineLevel="0" collapsed="false">
      <c r="A118" s="0" t="n">
        <v>560</v>
      </c>
      <c r="B118" s="38" t="n">
        <f aca="false">A118/1440</f>
        <v>0.388888888888889</v>
      </c>
      <c r="C118" s="39" t="n">
        <f aca="false">IF(C$4=0,0,IF(COUNTIFS(実績!$W$6:$W$505,C$3,実績!$AI$6:$AI$505,"&lt;="&amp;$A118,実績!$AJ$6:$AJ$505,"&gt;"&amp;$A118,実績!$AL$6:$AL$505,"○")&gt;0,1,0))</f>
        <v>0</v>
      </c>
      <c r="D118" s="39" t="n">
        <f aca="false">IF(D$4=0,0,IF(COUNTIFS(実績!$W$6:$W$505,D$3,実績!$AI$6:$AI$505,"&lt;="&amp;$A118,実績!$AJ$6:$AJ$505,"&gt;"&amp;$A118,実績!$AL$6:$AL$505,"○")&gt;0,1,0))</f>
        <v>0</v>
      </c>
      <c r="E118" s="39" t="n">
        <f aca="false">IF(E$4=0,0,IF(COUNTIFS(実績!$W$6:$W$505,E$3,実績!$AI$6:$AI$505,"&lt;="&amp;$A118,実績!$AJ$6:$AJ$505,"&gt;"&amp;$A118,実績!$AL$6:$AL$505,"○")&gt;0,1,0))</f>
        <v>0</v>
      </c>
      <c r="F118" s="39" t="n">
        <f aca="false">IF(F$4=0,0,IF(COUNTIFS(実績!$W$6:$W$505,F$3,実績!$AI$6:$AI$505,"&lt;="&amp;$A118,実績!$AJ$6:$AJ$505,"&gt;"&amp;$A118,実績!$AL$6:$AL$505,"○")&gt;0,1,0))</f>
        <v>0</v>
      </c>
      <c r="G118" s="39" t="n">
        <f aca="false">IF(G$4=0,0,IF(COUNTIFS(実績!$W$6:$W$505,G$3,実績!$AI$6:$AI$505,"&lt;="&amp;$A118,実績!$AJ$6:$AJ$505,"&gt;"&amp;$A118,実績!$AL$6:$AL$505,"○")&gt;0,1,0))</f>
        <v>0</v>
      </c>
      <c r="H118" s="39" t="n">
        <f aca="false">IF(H$4=0,0,IF(COUNTIFS(実績!$W$6:$W$505,H$3,実績!$AI$6:$AI$505,"&lt;="&amp;$A118,実績!$AJ$6:$AJ$505,"&gt;"&amp;$A118,実績!$AL$6:$AL$505,"○")&gt;0,1,0))</f>
        <v>0</v>
      </c>
      <c r="I118" s="39" t="n">
        <f aca="false">IF(I$4=0,0,IF(COUNTIFS(実績!$W$6:$W$505,I$3,実績!$AI$6:$AI$505,"&lt;="&amp;$A118,実績!$AJ$6:$AJ$505,"&gt;"&amp;$A118,実績!$AL$6:$AL$505,"○")&gt;0,1,0))</f>
        <v>0</v>
      </c>
      <c r="J118" s="39" t="n">
        <f aca="false">IF(J$4=0,0,IF(COUNTIFS(実績!$W$6:$W$505,J$3,実績!$AI$6:$AI$505,"&lt;="&amp;$A118,実績!$AJ$6:$AJ$505,"&gt;"&amp;$A118,実績!$AL$6:$AL$505,"○")&gt;0,1,0))</f>
        <v>0</v>
      </c>
      <c r="K118" s="39" t="n">
        <f aca="false">IF(K$4=0,0,IF(COUNTIFS(実績!$W$6:$W$505,K$3,実績!$AI$6:$AI$505,"&lt;="&amp;$A118,実績!$AJ$6:$AJ$505,"&gt;"&amp;$A118,実績!$AL$6:$AL$505,"○")&gt;0,1,0))</f>
        <v>0</v>
      </c>
      <c r="L118" s="39" t="n">
        <f aca="false">IF(L$4=0,0,IF(COUNTIFS(実績!$W$6:$W$505,L$3,実績!$AI$6:$AI$505,"&lt;="&amp;$A118,実績!$AJ$6:$AJ$505,"&gt;"&amp;$A118,実績!$AL$6:$AL$505,"○")&gt;0,1,0))</f>
        <v>0</v>
      </c>
      <c r="M118" s="39" t="n">
        <f aca="false">IF(M$4=0,0,IF(COUNTIFS(実績!$W$6:$W$505,M$3,実績!$AI$6:$AI$505,"&lt;="&amp;$A118,実績!$AJ$6:$AJ$505,"&gt;"&amp;$A118,実績!$AL$6:$AL$505,"○")&gt;0,1,0))</f>
        <v>0</v>
      </c>
      <c r="N118" s="39" t="n">
        <f aca="false">IF(N$4=0,0,IF(COUNTIFS(実績!$W$6:$W$505,N$3,実績!$AI$6:$AI$505,"&lt;="&amp;$A118,実績!$AJ$6:$AJ$505,"&gt;"&amp;$A118,実績!$AL$6:$AL$505,"○")&gt;0,1,0))</f>
        <v>0</v>
      </c>
      <c r="O118" s="39" t="n">
        <f aca="false">IF(O$4=0,0,IF(COUNTIFS(実績!$W$6:$W$505,O$3,実績!$AI$6:$AI$505,"&lt;="&amp;$A118,実績!$AJ$6:$AJ$505,"&gt;"&amp;$A118,実績!$AL$6:$AL$505,"○")&gt;0,1,0))</f>
        <v>0</v>
      </c>
      <c r="P118" s="39" t="n">
        <f aca="false">IF(P$4=0,0,IF(COUNTIFS(実績!$W$6:$W$505,P$3,実績!$AI$6:$AI$505,"&lt;="&amp;$A118,実績!$AJ$6:$AJ$505,"&gt;"&amp;$A118,実績!$AL$6:$AL$505,"○")&gt;0,1,0))</f>
        <v>0</v>
      </c>
      <c r="Q118" s="39" t="n">
        <f aca="false">IF(Q$4=0,0,IF(COUNTIFS(実績!$W$6:$W$505,Q$3,実績!$AI$6:$AI$505,"&lt;="&amp;$A118,実績!$AJ$6:$AJ$505,"&gt;"&amp;$A118,実績!$AL$6:$AL$505,"○")&gt;0,1,0))</f>
        <v>0</v>
      </c>
      <c r="R118" s="39" t="n">
        <f aca="false">IF(R$4=0,0,IF(COUNTIFS(実績!$W$6:$W$505,R$3,実績!$AI$6:$AI$505,"&lt;="&amp;$A118,実績!$AJ$6:$AJ$505,"&gt;"&amp;$A118,実績!$AL$6:$AL$505,"○")&gt;0,1,0))</f>
        <v>0</v>
      </c>
      <c r="S118" s="39" t="n">
        <f aca="false">IF(S$4=0,0,IF(COUNTIFS(実績!$W$6:$W$505,S$3,実績!$AI$6:$AI$505,"&lt;="&amp;$A118,実績!$AJ$6:$AJ$505,"&gt;"&amp;$A118,実績!$AL$6:$AL$505,"○")&gt;0,1,0))</f>
        <v>0</v>
      </c>
      <c r="T118" s="39" t="n">
        <f aca="false">IF(T$4=0,0,IF(COUNTIFS(実績!$W$6:$W$505,T$3,実績!$AI$6:$AI$505,"&lt;="&amp;$A118,実績!$AJ$6:$AJ$505,"&gt;"&amp;$A118,実績!$AL$6:$AL$505,"○")&gt;0,1,0))</f>
        <v>0</v>
      </c>
      <c r="U118" s="39" t="n">
        <f aca="false">IF(U$4=0,0,IF(COUNTIFS(実績!$W$6:$W$505,U$3,実績!$AI$6:$AI$505,"&lt;="&amp;$A118,実績!$AJ$6:$AJ$505,"&gt;"&amp;$A118,実績!$AL$6:$AL$505,"○")&gt;0,1,0))</f>
        <v>0</v>
      </c>
      <c r="V118" s="39" t="n">
        <f aca="false">IF(V$4=0,0,IF(COUNTIFS(実績!$W$6:$W$505,V$3,実績!$AI$6:$AI$505,"&lt;="&amp;$A118,実績!$AJ$6:$AJ$505,"&gt;"&amp;$A118,実績!$AL$6:$AL$505,"○")&gt;0,1,0))</f>
        <v>0</v>
      </c>
      <c r="W118" s="39" t="n">
        <f aca="false">IF(W$4=0,0,IF(COUNTIFS(実績!$W$6:$W$505,W$3,実績!$AI$6:$AI$505,"&lt;="&amp;$A118,実績!$AJ$6:$AJ$505,"&gt;"&amp;$A118,実績!$AL$6:$AL$505,"○")&gt;0,1,0))</f>
        <v>0</v>
      </c>
      <c r="X118" s="39" t="n">
        <f aca="false">IF(X$4=0,0,IF(COUNTIFS(実績!$W$6:$W$505,X$3,実績!$AI$6:$AI$505,"&lt;="&amp;$A118,実績!$AJ$6:$AJ$505,"&gt;"&amp;$A118,実績!$AL$6:$AL$505,"○")&gt;0,1,0))</f>
        <v>0</v>
      </c>
      <c r="Y118" s="39" t="n">
        <f aca="false">IF(Y$4=0,0,IF(COUNTIFS(実績!$W$6:$W$505,Y$3,実績!$AI$6:$AI$505,"&lt;="&amp;$A118,実績!$AJ$6:$AJ$505,"&gt;"&amp;$A118,実績!$AL$6:$AL$505,"○")&gt;0,1,0))</f>
        <v>0</v>
      </c>
      <c r="Z118" s="39" t="n">
        <f aca="false">IF(Z$4=0,0,IF(COUNTIFS(実績!$W$6:$W$505,Z$3,実績!$AI$6:$AI$505,"&lt;="&amp;$A118,実績!$AJ$6:$AJ$505,"&gt;"&amp;$A118,実績!$AL$6:$AL$505,"○")&gt;0,1,0))</f>
        <v>0</v>
      </c>
      <c r="AA118" s="39" t="n">
        <f aca="false">IF(AA$4=0,0,IF(COUNTIFS(実績!$W$6:$W$505,AA$3,実績!$AI$6:$AI$505,"&lt;="&amp;$A118,実績!$AJ$6:$AJ$505,"&gt;"&amp;$A118,実績!$AL$6:$AL$505,"○")&gt;0,1,0))</f>
        <v>0</v>
      </c>
      <c r="AB118" s="39" t="n">
        <f aca="false">IF(AB$4=0,0,IF(COUNTIFS(実績!$W$6:$W$505,AB$3,実績!$AI$6:$AI$505,"&lt;="&amp;$A118,実績!$AJ$6:$AJ$505,"&gt;"&amp;$A118,実績!$AL$6:$AL$505,"○")&gt;0,1,0))</f>
        <v>0</v>
      </c>
      <c r="AC118" s="39" t="n">
        <f aca="false">IF(AC$4=0,0,IF(COUNTIFS(実績!$W$6:$W$505,AC$3,実績!$AI$6:$AI$505,"&lt;="&amp;$A118,実績!$AJ$6:$AJ$505,"&gt;"&amp;$A118,実績!$AL$6:$AL$505,"○")&gt;0,1,0))</f>
        <v>0</v>
      </c>
      <c r="AD118" s="39" t="n">
        <f aca="false">IF(AD$4=0,0,IF(COUNTIFS(実績!$W$6:$W$505,AD$3,実績!$AI$6:$AI$505,"&lt;="&amp;$A118,実績!$AJ$6:$AJ$505,"&gt;"&amp;$A118,実績!$AL$6:$AL$505,"○")&gt;0,1,0))</f>
        <v>0</v>
      </c>
      <c r="AE118" s="39" t="n">
        <f aca="false">IF(AE$4=0,0,IF(COUNTIFS(実績!$W$6:$W$505,AE$3,実績!$AI$6:$AI$505,"&lt;="&amp;$A118,実績!$AJ$6:$AJ$505,"&gt;"&amp;$A118,実績!$AL$6:$AL$505,"○")&gt;0,1,0))</f>
        <v>0</v>
      </c>
      <c r="AF118" s="39" t="n">
        <f aca="false">IF(AF$4=0,0,IF(COUNTIFS(実績!$W$6:$W$505,AF$3,実績!$AI$6:$AI$505,"&lt;="&amp;$A118,実績!$AJ$6:$AJ$505,"&gt;"&amp;$A118,実績!$AL$6:$AL$505,"○")&gt;0,1,0))</f>
        <v>0</v>
      </c>
      <c r="AG118" s="39" t="n">
        <f aca="false">IF(AG$4=0,0,IF(COUNTIFS(実績!$W$6:$W$505,AG$3,実績!$AI$6:$AI$505,"&lt;="&amp;$A118,実績!$AJ$6:$AJ$505,"&gt;"&amp;$A118,実績!$AL$6:$AL$505,"○")&gt;0,1,0))</f>
        <v>0</v>
      </c>
      <c r="AH118" s="39" t="n">
        <f aca="false">IF(AH$4=0,0,IF(COUNTIFS(実績!$W$6:$W$505,AH$3,実績!$AI$6:$AI$505,"&lt;="&amp;$A118,実績!$AJ$6:$AJ$505,"&gt;"&amp;$A118,実績!$AL$6:$AL$505,"○")&gt;0,1,0))</f>
        <v>0</v>
      </c>
      <c r="AI118" s="39" t="n">
        <f aca="false">IF(AI$4=0,0,IF(COUNTIFS(実績!$W$6:$W$505,AI$3,実績!$AI$6:$AI$505,"&lt;="&amp;$A118,実績!$AJ$6:$AJ$505,"&gt;"&amp;$A118,実績!$AL$6:$AL$505,"○")&gt;0,1,0))</f>
        <v>0</v>
      </c>
      <c r="AJ118" s="39" t="n">
        <f aca="false">IF(AJ$4=0,0,IF(COUNTIFS(実績!$W$6:$W$505,AJ$3,実績!$AI$6:$AI$505,"&lt;="&amp;$A118,実績!$AJ$6:$AJ$505,"&gt;"&amp;$A118,実績!$AL$6:$AL$505,"○")&gt;0,1,0))</f>
        <v>0</v>
      </c>
      <c r="AK118" s="39" t="n">
        <f aca="false">IF(AK$4=0,0,IF(COUNTIFS(実績!$W$6:$W$505,AK$3,実績!$AI$6:$AI$505,"&lt;="&amp;$A118,実績!$AJ$6:$AJ$505,"&gt;"&amp;$A118,実績!$AL$6:$AL$505,"○")&gt;0,1,0))</f>
        <v>0</v>
      </c>
      <c r="AL118" s="39" t="n">
        <f aca="false">IF(AL$4=0,0,IF(COUNTIFS(実績!$W$6:$W$505,AL$3,実績!$AI$6:$AI$505,"&lt;="&amp;$A118,実績!$AJ$6:$AJ$505,"&gt;"&amp;$A118,実績!$AL$6:$AL$505,"○")&gt;0,1,0))</f>
        <v>0</v>
      </c>
      <c r="AM118" s="39" t="n">
        <f aca="false">IF(AM$4=0,0,IF(COUNTIFS(実績!$W$6:$W$505,AM$3,実績!$AI$6:$AI$505,"&lt;="&amp;$A118,実績!$AJ$6:$AJ$505,"&gt;"&amp;$A118,実績!$AL$6:$AL$505,"○")&gt;0,1,0))</f>
        <v>0</v>
      </c>
      <c r="AN118" s="39" t="n">
        <f aca="false">IF(AN$4=0,0,IF(COUNTIFS(実績!$W$6:$W$505,AN$3,実績!$AI$6:$AI$505,"&lt;="&amp;$A118,実績!$AJ$6:$AJ$505,"&gt;"&amp;$A118,実績!$AL$6:$AL$505,"○")&gt;0,1,0))</f>
        <v>0</v>
      </c>
      <c r="AO118" s="39" t="n">
        <f aca="false">IF(AO$4=0,0,IF(COUNTIFS(実績!$W$6:$W$505,AO$3,実績!$AI$6:$AI$505,"&lt;="&amp;$A118,実績!$AJ$6:$AJ$505,"&gt;"&amp;$A118,実績!$AL$6:$AL$505,"○")&gt;0,1,0))</f>
        <v>0</v>
      </c>
      <c r="AP118" s="39" t="n">
        <f aca="false">IF(AP$4=0,0,IF(COUNTIFS(実績!$W$6:$W$505,AP$3,実績!$AI$6:$AI$505,"&lt;="&amp;$A118,実績!$AJ$6:$AJ$505,"&gt;"&amp;$A118,実績!$AL$6:$AL$505,"○")&gt;0,1,0))</f>
        <v>0</v>
      </c>
      <c r="AQ118" s="39" t="n">
        <f aca="false">IF(AQ$4=0,0,IF(COUNTIFS(実績!$W$6:$W$505,AQ$3,実績!$AI$6:$AI$505,"&lt;="&amp;$A118,実績!$AJ$6:$AJ$505,"&gt;"&amp;$A118,実績!$AL$6:$AL$505,"○")&gt;0,1,0))</f>
        <v>0</v>
      </c>
      <c r="AR118" s="39" t="n">
        <f aca="false">IF(AR$4=0,0,IF(COUNTIFS(実績!$W$6:$W$505,AR$3,実績!$AI$6:$AI$505,"&lt;="&amp;$A118,実績!$AJ$6:$AJ$505,"&gt;"&amp;$A118,実績!$AL$6:$AL$505,"○")&gt;0,1,0))</f>
        <v>0</v>
      </c>
      <c r="AS118" s="39" t="n">
        <f aca="false">IF(AS$4=0,0,IF(COUNTIFS(実績!$W$6:$W$505,AS$3,実績!$AI$6:$AI$505,"&lt;="&amp;$A118,実績!$AJ$6:$AJ$505,"&gt;"&amp;$A118,実績!$AL$6:$AL$505,"○")&gt;0,1,0))</f>
        <v>0</v>
      </c>
      <c r="AT118" s="39" t="n">
        <f aca="false">IF(AT$4=0,0,IF(COUNTIFS(実績!$W$6:$W$505,AT$3,実績!$AI$6:$AI$505,"&lt;="&amp;$A118,実績!$AJ$6:$AJ$505,"&gt;"&amp;$A118,実績!$AL$6:$AL$505,"○")&gt;0,1,0))</f>
        <v>0</v>
      </c>
      <c r="AU118" s="39" t="n">
        <f aca="false">IF(AU$4=0,0,IF(COUNTIFS(実績!$W$6:$W$505,AU$3,実績!$AI$6:$AI$505,"&lt;="&amp;$A118,実績!$AJ$6:$AJ$505,"&gt;"&amp;$A118,実績!$AL$6:$AL$505,"○")&gt;0,1,0))</f>
        <v>0</v>
      </c>
      <c r="AV118" s="39" t="n">
        <f aca="false">IF(AV$4=0,0,IF(COUNTIFS(実績!$W$6:$W$505,AV$3,実績!$AI$6:$AI$505,"&lt;="&amp;$A118,実績!$AJ$6:$AJ$505,"&gt;"&amp;$A118,実績!$AL$6:$AL$505,"○")&gt;0,1,0))</f>
        <v>0</v>
      </c>
      <c r="AW118" s="39" t="n">
        <f aca="false">IF(AW$4=0,0,IF(COUNTIFS(実績!$W$6:$W$505,AW$3,実績!$AI$6:$AI$505,"&lt;="&amp;$A118,実績!$AJ$6:$AJ$505,"&gt;"&amp;$A118,実績!$AL$6:$AL$505,"○")&gt;0,1,0))</f>
        <v>0</v>
      </c>
      <c r="AX118" s="39" t="n">
        <f aca="false">IF(AX$4=0,0,IF(COUNTIFS(実績!$W$6:$W$505,AX$3,実績!$AI$6:$AI$505,"&lt;="&amp;$A118,実績!$AJ$6:$AJ$505,"&gt;"&amp;$A118,実績!$AL$6:$AL$505,"○")&gt;0,1,0))</f>
        <v>0</v>
      </c>
      <c r="AY118" s="39" t="n">
        <f aca="false">IF(AY$4=0,0,IF(COUNTIFS(実績!$W$6:$W$505,AY$3,実績!$AI$6:$AI$505,"&lt;="&amp;$A118,実績!$AJ$6:$AJ$505,"&gt;"&amp;$A118,実績!$AL$6:$AL$505,"○")&gt;0,1,0))</f>
        <v>0</v>
      </c>
      <c r="AZ118" s="39" t="n">
        <f aca="false">IF(AZ$4=0,0,IF(COUNTIFS(実績!$W$6:$W$505,AZ$3,実績!$AI$6:$AI$505,"&lt;="&amp;$A118,実績!$AJ$6:$AJ$505,"&gt;"&amp;$A118,実績!$AL$6:$AL$505,"○")&gt;0,1,0))</f>
        <v>0</v>
      </c>
      <c r="BA118" s="39" t="n">
        <f aca="false">IF(BA$4=0,0,IF(COUNTIFS(実績!$W$6:$W$505,BA$3,実績!$AI$6:$AI$505,"&lt;="&amp;$A118,実績!$AJ$6:$AJ$505,"&gt;"&amp;$A118,実績!$AL$6:$AL$505,"○")&gt;0,1,0))</f>
        <v>0</v>
      </c>
      <c r="BB118" s="39" t="n">
        <f aca="false">IF(BB$4=0,0,IF(COUNTIFS(実績!$W$6:$W$505,BB$3,実績!$AI$6:$AI$505,"&lt;="&amp;$A118,実績!$AJ$6:$AJ$505,"&gt;"&amp;$A118,実績!$AL$6:$AL$505,"○")&gt;0,1,0))</f>
        <v>0</v>
      </c>
      <c r="BC118" s="39" t="n">
        <f aca="false">IF(BC$4=0,0,IF(COUNTIFS(実績!$W$6:$W$505,BC$3,実績!$AI$6:$AI$505,"&lt;="&amp;$A118,実績!$AJ$6:$AJ$505,"&gt;"&amp;$A118,実績!$AL$6:$AL$505,"○")&gt;0,1,0))</f>
        <v>0</v>
      </c>
      <c r="BD118" s="39" t="n">
        <f aca="false">IF(BD$4=0,0,IF(COUNTIFS(実績!$W$6:$W$505,BD$3,実績!$AI$6:$AI$505,"&lt;="&amp;$A118,実績!$AJ$6:$AJ$505,"&gt;"&amp;$A118,実績!$AL$6:$AL$505,"○")&gt;0,1,0))</f>
        <v>0</v>
      </c>
      <c r="BE118" s="39" t="n">
        <f aca="false">IF(BE$4=0,0,IF(COUNTIFS(実績!$W$6:$W$505,BE$3,実績!$AI$6:$AI$505,"&lt;="&amp;$A118,実績!$AJ$6:$AJ$505,"&gt;"&amp;$A118,実績!$AL$6:$AL$505,"○")&gt;0,1,0))</f>
        <v>0</v>
      </c>
      <c r="BF118" s="39" t="n">
        <f aca="false">IF(BF$4=0,0,IF(COUNTIFS(実績!$W$6:$W$505,BF$3,実績!$AI$6:$AI$505,"&lt;="&amp;$A118,実績!$AJ$6:$AJ$505,"&gt;"&amp;$A118,実績!$AL$6:$AL$505,"○")&gt;0,1,0))</f>
        <v>0</v>
      </c>
      <c r="BG118" s="39" t="n">
        <f aca="false">IF(BG$4=0,0,IF(COUNTIFS(実績!$W$6:$W$505,BG$3,実績!$AI$6:$AI$505,"&lt;="&amp;$A118,実績!$AJ$6:$AJ$505,"&gt;"&amp;$A118,実績!$AL$6:$AL$505,"○")&gt;0,1,0))</f>
        <v>0</v>
      </c>
      <c r="BH118" s="39" t="n">
        <f aca="false">IF(BH$4=0,0,IF(COUNTIFS(実績!$W$6:$W$505,BH$3,実績!$AI$6:$AI$505,"&lt;="&amp;$A118,実績!$AJ$6:$AJ$505,"&gt;"&amp;$A118,実績!$AL$6:$AL$505,"○")&gt;0,1,0))</f>
        <v>0</v>
      </c>
      <c r="BI118" s="39" t="n">
        <f aca="false">IF(BI$4=0,0,IF(COUNTIFS(実績!$W$6:$W$505,BI$3,実績!$AI$6:$AI$505,"&lt;="&amp;$A118,実績!$AJ$6:$AJ$505,"&gt;"&amp;$A118,実績!$AL$6:$AL$505,"○")&gt;0,1,0))</f>
        <v>0</v>
      </c>
      <c r="BJ118" s="39" t="n">
        <f aca="false">IF(BJ$4=0,0,IF(COUNTIFS(実績!$W$6:$W$505,BJ$3,実績!$AI$6:$AI$505,"&lt;="&amp;$A118,実績!$AJ$6:$AJ$505,"&gt;"&amp;$A118,実績!$AL$6:$AL$505,"○")&gt;0,1,0))</f>
        <v>0</v>
      </c>
      <c r="BK118" s="39" t="n">
        <f aca="false">IF(BK$4=0,0,IF(COUNTIFS(実績!$W$6:$W$505,BK$3,実績!$AI$6:$AI$505,"&lt;="&amp;$A118,実績!$AJ$6:$AJ$505,"&gt;"&amp;$A118,実績!$AL$6:$AL$505,"○")&gt;0,1,0))</f>
        <v>0</v>
      </c>
      <c r="BL118" s="39" t="n">
        <f aca="false">IF(BL$4=0,0,IF(COUNTIFS(実績!$W$6:$W$505,BL$3,実績!$AI$6:$AI$505,"&lt;="&amp;$A118,実績!$AJ$6:$AJ$505,"&gt;"&amp;$A118,実績!$AL$6:$AL$505,"○")&gt;0,1,0))</f>
        <v>0</v>
      </c>
      <c r="BM118" s="39" t="n">
        <f aca="false">IF(BM$4=0,0,IF(COUNTIFS(実績!$W$6:$W$505,BM$3,実績!$AI$6:$AI$505,"&lt;="&amp;$A118,実績!$AJ$6:$AJ$505,"&gt;"&amp;$A118,実績!$AL$6:$AL$505,"○")&gt;0,1,0))</f>
        <v>0</v>
      </c>
      <c r="BN118" s="39" t="n">
        <f aca="false">IF(BN$4=0,0,IF(COUNTIFS(実績!$W$6:$W$505,BN$3,実績!$AI$6:$AI$505,"&lt;="&amp;$A118,実績!$AJ$6:$AJ$505,"&gt;"&amp;$A118,実績!$AL$6:$AL$505,"○")&gt;0,1,0))</f>
        <v>0</v>
      </c>
      <c r="BO118" s="39" t="n">
        <f aca="false">IF(BO$4=0,0,IF(COUNTIFS(実績!$W$6:$W$505,BO$3,実績!$AI$6:$AI$505,"&lt;="&amp;$A118,実績!$AJ$6:$AJ$505,"&gt;"&amp;$A118,実績!$AL$6:$AL$505,"○")&gt;0,1,0))</f>
        <v>0</v>
      </c>
      <c r="BP118" s="39" t="n">
        <f aca="false">IF(BP$4=0,0,IF(COUNTIFS(実績!$W$6:$W$505,BP$3,実績!$AI$6:$AI$505,"&lt;="&amp;$A118,実績!$AJ$6:$AJ$505,"&gt;"&amp;$A118,実績!$AL$6:$AL$505,"○")&gt;0,1,0))</f>
        <v>0</v>
      </c>
      <c r="BQ118" s="39" t="n">
        <f aca="false">IF(BQ$4=0,0,IF(COUNTIFS(実績!$W$6:$W$505,BQ$3,実績!$AI$6:$AI$505,"&lt;="&amp;$A118,実績!$AJ$6:$AJ$505,"&gt;"&amp;$A118,実績!$AL$6:$AL$505,"○")&gt;0,1,0))</f>
        <v>0</v>
      </c>
      <c r="BR118" s="39" t="n">
        <f aca="false">IF(BR$4=0,0,IF(COUNTIFS(実績!$W$6:$W$505,BR$3,実績!$AI$6:$AI$505,"&lt;="&amp;$A118,実績!$AJ$6:$AJ$505,"&gt;"&amp;$A118,実績!$AL$6:$AL$505,"○")&gt;0,1,0))</f>
        <v>0</v>
      </c>
      <c r="BS118" s="39" t="n">
        <f aca="false">IF(BS$4=0,0,IF(COUNTIFS(実績!$W$6:$W$505,BS$3,実績!$AI$6:$AI$505,"&lt;="&amp;$A118,実績!$AJ$6:$AJ$505,"&gt;"&amp;$A118,実績!$AL$6:$AL$505,"○")&gt;0,1,0))</f>
        <v>0</v>
      </c>
      <c r="BT118" s="39" t="n">
        <f aca="false">IF(BT$4=0,0,IF(COUNTIFS(実績!$W$6:$W$505,BT$3,実績!$AI$6:$AI$505,"&lt;="&amp;$A118,実績!$AJ$6:$AJ$505,"&gt;"&amp;$A118,実績!$AL$6:$AL$505,"○")&gt;0,1,0))</f>
        <v>0</v>
      </c>
      <c r="BU118" s="39" t="n">
        <f aca="false">IF(BU$4=0,0,IF(COUNTIFS(実績!$W$6:$W$505,BU$3,実績!$AI$6:$AI$505,"&lt;="&amp;$A118,実績!$AJ$6:$AJ$505,"&gt;"&amp;$A118,実績!$AL$6:$AL$505,"○")&gt;0,1,0))</f>
        <v>0</v>
      </c>
      <c r="BV118" s="39" t="n">
        <f aca="false">IF(BV$4=0,0,IF(COUNTIFS(実績!$W$6:$W$505,BV$3,実績!$AI$6:$AI$505,"&lt;="&amp;$A118,実績!$AJ$6:$AJ$505,"&gt;"&amp;$A118,実績!$AL$6:$AL$505,"○")&gt;0,1,0))</f>
        <v>0</v>
      </c>
      <c r="BW118" s="39" t="n">
        <f aca="false">IF(BW$4=0,0,IF(COUNTIFS(実績!$W$6:$W$505,BW$3,実績!$AI$6:$AI$505,"&lt;="&amp;$A118,実績!$AJ$6:$AJ$505,"&gt;"&amp;$A118,実績!$AL$6:$AL$505,"○")&gt;0,1,0))</f>
        <v>0</v>
      </c>
      <c r="BX118" s="39" t="n">
        <f aca="false">IF(BX$4=0,0,IF(COUNTIFS(実績!$W$6:$W$505,BX$3,実績!$AI$6:$AI$505,"&lt;="&amp;$A118,実績!$AJ$6:$AJ$505,"&gt;"&amp;$A118,実績!$AL$6:$AL$505,"○")&gt;0,1,0))</f>
        <v>0</v>
      </c>
      <c r="BY118" s="39" t="n">
        <f aca="false">IF(BY$4=0,0,IF(COUNTIFS(実績!$W$6:$W$505,BY$3,実績!$AI$6:$AI$505,"&lt;="&amp;$A118,実績!$AJ$6:$AJ$505,"&gt;"&amp;$A118,実績!$AL$6:$AL$505,"○")&gt;0,1,0))</f>
        <v>0</v>
      </c>
      <c r="BZ118" s="39" t="n">
        <f aca="false">IF(BZ$4=0,0,IF(COUNTIFS(実績!$W$6:$W$505,BZ$3,実績!$AI$6:$AI$505,"&lt;="&amp;$A118,実績!$AJ$6:$AJ$505,"&gt;"&amp;$A118,実績!$AL$6:$AL$505,"○")&gt;0,1,0))</f>
        <v>0</v>
      </c>
      <c r="CA118" s="39" t="n">
        <f aca="false">IF(CA$4=0,0,IF(COUNTIFS(実績!$W$6:$W$505,CA$3,実績!$AI$6:$AI$505,"&lt;="&amp;$A118,実績!$AJ$6:$AJ$505,"&gt;"&amp;$A118,実績!$AL$6:$AL$505,"○")&gt;0,1,0))</f>
        <v>0</v>
      </c>
      <c r="CB118" s="39" t="n">
        <f aca="false">IF(CB$4=0,0,IF(COUNTIFS(実績!$W$6:$W$505,CB$3,実績!$AI$6:$AI$505,"&lt;="&amp;$A118,実績!$AJ$6:$AJ$505,"&gt;"&amp;$A118,実績!$AL$6:$AL$505,"○")&gt;0,1,0))</f>
        <v>0</v>
      </c>
      <c r="CC118" s="39" t="n">
        <f aca="false">IF(CC$4=0,0,IF(COUNTIFS(実績!$W$6:$W$505,CC$3,実績!$AI$6:$AI$505,"&lt;="&amp;$A118,実績!$AJ$6:$AJ$505,"&gt;"&amp;$A118,実績!$AL$6:$AL$505,"○")&gt;0,1,0))</f>
        <v>0</v>
      </c>
      <c r="CD118" s="39" t="n">
        <f aca="false">IF(CD$4=0,0,IF(COUNTIFS(実績!$W$6:$W$505,CD$3,実績!$AI$6:$AI$505,"&lt;="&amp;$A118,実績!$AJ$6:$AJ$505,"&gt;"&amp;$A118,実績!$AL$6:$AL$505,"○")&gt;0,1,0))</f>
        <v>0</v>
      </c>
      <c r="CE118" s="39" t="n">
        <f aca="false">IF(CE$4=0,0,IF(COUNTIFS(実績!$W$6:$W$505,CE$3,実績!$AI$6:$AI$505,"&lt;="&amp;$A118,実績!$AJ$6:$AJ$505,"&gt;"&amp;$A118,実績!$AL$6:$AL$505,"○")&gt;0,1,0))</f>
        <v>0</v>
      </c>
      <c r="CF118" s="39" t="n">
        <f aca="false">IF(CF$4=0,0,IF(COUNTIFS(実績!$W$6:$W$505,CF$3,実績!$AI$6:$AI$505,"&lt;="&amp;$A118,実績!$AJ$6:$AJ$505,"&gt;"&amp;$A118,実績!$AL$6:$AL$505,"○")&gt;0,1,0))</f>
        <v>0</v>
      </c>
      <c r="CG118" s="39" t="n">
        <f aca="false">IF(CG$4=0,0,IF(COUNTIFS(実績!$W$6:$W$505,CG$3,実績!$AI$6:$AI$505,"&lt;="&amp;$A118,実績!$AJ$6:$AJ$505,"&gt;"&amp;$A118,実績!$AL$6:$AL$505,"○")&gt;0,1,0))</f>
        <v>0</v>
      </c>
      <c r="CH118" s="39" t="n">
        <f aca="false">IF(CH$4=0,0,IF(COUNTIFS(実績!$W$6:$W$505,CH$3,実績!$AI$6:$AI$505,"&lt;="&amp;$A118,実績!$AJ$6:$AJ$505,"&gt;"&amp;$A118,実績!$AL$6:$AL$505,"○")&gt;0,1,0))</f>
        <v>0</v>
      </c>
      <c r="CI118" s="39" t="n">
        <f aca="false">IF(CI$4=0,0,IF(COUNTIFS(実績!$W$6:$W$505,CI$3,実績!$AI$6:$AI$505,"&lt;="&amp;$A118,実績!$AJ$6:$AJ$505,"&gt;"&amp;$A118,実績!$AL$6:$AL$505,"○")&gt;0,1,0))</f>
        <v>0</v>
      </c>
      <c r="CJ118" s="39" t="n">
        <f aca="false">IF(CJ$4=0,0,IF(COUNTIFS(実績!$W$6:$W$505,CJ$3,実績!$AI$6:$AI$505,"&lt;="&amp;$A118,実績!$AJ$6:$AJ$505,"&gt;"&amp;$A118,実績!$AL$6:$AL$505,"○")&gt;0,1,0))</f>
        <v>0</v>
      </c>
      <c r="CK118" s="39" t="n">
        <f aca="false">IF(CK$4=0,0,IF(COUNTIFS(実績!$W$6:$W$505,CK$3,実績!$AI$6:$AI$505,"&lt;="&amp;$A118,実績!$AJ$6:$AJ$505,"&gt;"&amp;$A118,実績!$AL$6:$AL$505,"○")&gt;0,1,0))</f>
        <v>0</v>
      </c>
      <c r="CL118" s="39" t="n">
        <f aca="false">IF(CL$4=0,0,IF(COUNTIFS(実績!$W$6:$W$505,CL$3,実績!$AI$6:$AI$505,"&lt;="&amp;$A118,実績!$AJ$6:$AJ$505,"&gt;"&amp;$A118,実績!$AL$6:$AL$505,"○")&gt;0,1,0))</f>
        <v>0</v>
      </c>
      <c r="CM118" s="39" t="n">
        <f aca="false">IF(CM$4=0,0,IF(COUNTIFS(実績!$W$6:$W$505,CM$3,実績!$AI$6:$AI$505,"&lt;="&amp;$A118,実績!$AJ$6:$AJ$505,"&gt;"&amp;$A118,実績!$AL$6:$AL$505,"○")&gt;0,1,0))</f>
        <v>0</v>
      </c>
      <c r="CN118" s="39" t="n">
        <f aca="false">IF(CN$4=0,0,IF(COUNTIFS(実績!$W$6:$W$505,CN$3,実績!$AI$6:$AI$505,"&lt;="&amp;$A118,実績!$AJ$6:$AJ$505,"&gt;"&amp;$A118,実績!$AL$6:$AL$505,"○")&gt;0,1,0))</f>
        <v>0</v>
      </c>
      <c r="CO118" s="39" t="n">
        <f aca="false">IF(CO$4=0,0,IF(COUNTIFS(実績!$W$6:$W$505,CO$3,実績!$AI$6:$AI$505,"&lt;="&amp;$A118,実績!$AJ$6:$AJ$505,"&gt;"&amp;$A118,実績!$AL$6:$AL$505,"○")&gt;0,1,0))</f>
        <v>0</v>
      </c>
      <c r="CP118" s="39" t="n">
        <f aca="false">IF(CP$4=0,0,IF(COUNTIFS(実績!$W$6:$W$505,CP$3,実績!$AI$6:$AI$505,"&lt;="&amp;$A118,実績!$AJ$6:$AJ$505,"&gt;"&amp;$A118,実績!$AL$6:$AL$505,"○")&gt;0,1,0))</f>
        <v>0</v>
      </c>
      <c r="CQ118" s="39" t="n">
        <f aca="false">IF(CQ$4=0,0,IF(COUNTIFS(実績!$W$6:$W$505,CQ$3,実績!$AI$6:$AI$505,"&lt;="&amp;$A118,実績!$AJ$6:$AJ$505,"&gt;"&amp;$A118,実績!$AL$6:$AL$505,"○")&gt;0,1,0))</f>
        <v>0</v>
      </c>
      <c r="CR118" s="39" t="n">
        <f aca="false">IF(CR$4=0,0,IF(COUNTIFS(実績!$W$6:$W$505,CR$3,実績!$AI$6:$AI$505,"&lt;="&amp;$A118,実績!$AJ$6:$AJ$505,"&gt;"&amp;$A118,実績!$AL$6:$AL$505,"○")&gt;0,1,0))</f>
        <v>0</v>
      </c>
      <c r="CS118" s="39" t="n">
        <f aca="false">IF(CS$4=0,0,IF(COUNTIFS(実績!$W$6:$W$505,CS$3,実績!$AI$6:$AI$505,"&lt;="&amp;$A118,実績!$AJ$6:$AJ$505,"&gt;"&amp;$A118,実績!$AL$6:$AL$505,"○")&gt;0,1,0))</f>
        <v>0</v>
      </c>
      <c r="CT118" s="39" t="n">
        <f aca="false">IF(CT$4=0,0,IF(COUNTIFS(実績!$W$6:$W$505,CT$3,実績!$AI$6:$AI$505,"&lt;="&amp;$A118,実績!$AJ$6:$AJ$505,"&gt;"&amp;$A118,実績!$AL$6:$AL$505,"○")&gt;0,1,0))</f>
        <v>0</v>
      </c>
      <c r="CU118" s="39" t="n">
        <f aca="false">IF(CU$4=0,0,IF(COUNTIFS(実績!$W$6:$W$505,CU$3,実績!$AI$6:$AI$505,"&lt;="&amp;$A118,実績!$AJ$6:$AJ$505,"&gt;"&amp;$A118,実績!$AL$6:$AL$505,"○")&gt;0,1,0))</f>
        <v>0</v>
      </c>
      <c r="CV118" s="39" t="n">
        <f aca="false">IF(CV$4=0,0,IF(COUNTIFS(実績!$W$6:$W$505,CV$3,実績!$AI$6:$AI$505,"&lt;="&amp;$A118,実績!$AJ$6:$AJ$505,"&gt;"&amp;$A118,実績!$AL$6:$AL$505,"○")&gt;0,1,0))</f>
        <v>0</v>
      </c>
      <c r="CW118" s="39" t="n">
        <f aca="false">IF(CW$4=0,0,IF(COUNTIFS(実績!$W$6:$W$505,CW$3,実績!$AI$6:$AI$505,"&lt;="&amp;$A118,実績!$AJ$6:$AJ$505,"&gt;"&amp;$A118,実績!$AL$6:$AL$505,"○")&gt;0,1,0))</f>
        <v>0</v>
      </c>
      <c r="CX118" s="39" t="n">
        <f aca="false">IF(CX$4=0,0,IF(COUNTIFS(実績!$W$6:$W$505,CX$3,実績!$AI$6:$AI$505,"&lt;="&amp;$A118,実績!$AJ$6:$AJ$505,"&gt;"&amp;$A118,実績!$AL$6:$AL$505,"○")&gt;0,1,0))</f>
        <v>0</v>
      </c>
      <c r="CY118" s="39" t="n">
        <f aca="false">IF(CY$4=0,0,IF(COUNTIFS(実績!$W$6:$W$505,CY$3,実績!$AI$6:$AI$505,"&lt;="&amp;$A118,実績!$AJ$6:$AJ$505,"&gt;"&amp;$A118,実績!$AL$6:$AL$505,"○")&gt;0,1,0))</f>
        <v>0</v>
      </c>
      <c r="CZ118" s="39" t="n">
        <f aca="false">IF(CZ$4=0,0,IF(COUNTIFS(実績!$W$6:$W$505,CZ$3,実績!$AI$6:$AI$505,"&lt;="&amp;$A118,実績!$AJ$6:$AJ$505,"&gt;"&amp;$A118,実績!$AL$6:$AL$505,"○")&gt;0,1,0))</f>
        <v>0</v>
      </c>
      <c r="DA118" s="39" t="n">
        <f aca="false">IF(DA$4=0,0,IF(COUNTIFS(実績!$W$6:$W$505,DA$3,実績!$AI$6:$AI$505,"&lt;="&amp;$A118,実績!$AJ$6:$AJ$505,"&gt;"&amp;$A118,実績!$AL$6:$AL$505,"○")&gt;0,1,0))</f>
        <v>0</v>
      </c>
      <c r="DB118" s="39" t="n">
        <f aca="false">IF(DB$4=0,0,IF(COUNTIFS(実績!$W$6:$W$505,DB$3,実績!$AI$6:$AI$505,"&lt;="&amp;$A118,実績!$AJ$6:$AJ$505,"&gt;"&amp;$A118,実績!$AL$6:$AL$505,"○")&gt;0,1,0))</f>
        <v>0</v>
      </c>
      <c r="DC118" s="39" t="n">
        <f aca="false">IF(DC$4=0,0,IF(COUNTIFS(実績!$W$6:$W$505,DC$3,実績!$AI$6:$AI$505,"&lt;="&amp;$A118,実績!$AJ$6:$AJ$505,"&gt;"&amp;$A118,実績!$AL$6:$AL$505,"○")&gt;0,1,0))</f>
        <v>0</v>
      </c>
      <c r="DD118" s="39" t="n">
        <f aca="false">IF(DD$4=0,0,IF(COUNTIFS(実績!$W$6:$W$505,DD$3,実績!$AI$6:$AI$505,"&lt;="&amp;$A118,実績!$AJ$6:$AJ$505,"&gt;"&amp;$A118,実績!$AL$6:$AL$505,"○")&gt;0,1,0))</f>
        <v>0</v>
      </c>
      <c r="DE118" s="39" t="n">
        <f aca="false">IF(DE$4=0,0,IF(COUNTIFS(実績!$W$6:$W$505,DE$3,実績!$AI$6:$AI$505,"&lt;="&amp;$A118,実績!$AJ$6:$AJ$505,"&gt;"&amp;$A118,実績!$AL$6:$AL$505,"○")&gt;0,1,0))</f>
        <v>0</v>
      </c>
      <c r="DF118" s="39" t="n">
        <f aca="false">IF(DF$4=0,0,IF(COUNTIFS(実績!$W$6:$W$505,DF$3,実績!$AI$6:$AI$505,"&lt;="&amp;$A118,実績!$AJ$6:$AJ$505,"&gt;"&amp;$A118,実績!$AL$6:$AL$505,"○")&gt;0,1,0))</f>
        <v>0</v>
      </c>
      <c r="DG118" s="39" t="n">
        <f aca="false">IF(DG$4=0,0,IF(COUNTIFS(実績!$W$6:$W$505,DG$3,実績!$AI$6:$AI$505,"&lt;="&amp;$A118,実績!$AJ$6:$AJ$505,"&gt;"&amp;$A118,実績!$AL$6:$AL$505,"○")&gt;0,1,0))</f>
        <v>0</v>
      </c>
      <c r="DH118" s="39" t="n">
        <f aca="false">IF(DH$4=0,0,IF(COUNTIFS(実績!$W$6:$W$505,DH$3,実績!$AI$6:$AI$505,"&lt;="&amp;$A118,実績!$AJ$6:$AJ$505,"&gt;"&amp;$A118,実績!$AL$6:$AL$505,"○")&gt;0,1,0))</f>
        <v>0</v>
      </c>
      <c r="DI118" s="39" t="n">
        <f aca="false">IF(DI$4=0,0,IF(COUNTIFS(実績!$W$6:$W$505,DI$3,実績!$AI$6:$AI$505,"&lt;="&amp;$A118,実績!$AJ$6:$AJ$505,"&gt;"&amp;$A118,実績!$AL$6:$AL$505,"○")&gt;0,1,0))</f>
        <v>0</v>
      </c>
      <c r="DJ118" s="39" t="n">
        <f aca="false">IF(DJ$4=0,0,IF(COUNTIFS(実績!$W$6:$W$505,DJ$3,実績!$AI$6:$AI$505,"&lt;="&amp;$A118,実績!$AJ$6:$AJ$505,"&gt;"&amp;$A118,実績!$AL$6:$AL$505,"○")&gt;0,1,0))</f>
        <v>0</v>
      </c>
      <c r="DK118" s="39" t="n">
        <f aca="false">IF(DK$4=0,0,IF(COUNTIFS(実績!$W$6:$W$505,DK$3,実績!$AI$6:$AI$505,"&lt;="&amp;$A118,実績!$AJ$6:$AJ$505,"&gt;"&amp;$A118,実績!$AL$6:$AL$505,"○")&gt;0,1,0))</f>
        <v>0</v>
      </c>
      <c r="DL118" s="39" t="n">
        <f aca="false">IF(DL$4=0,0,IF(COUNTIFS(実績!$W$6:$W$505,DL$3,実績!$AI$6:$AI$505,"&lt;="&amp;$A118,実績!$AJ$6:$AJ$505,"&gt;"&amp;$A118,実績!$AL$6:$AL$505,"○")&gt;0,1,0))</f>
        <v>0</v>
      </c>
      <c r="DM118" s="39" t="n">
        <f aca="false">IF(DM$4=0,0,IF(COUNTIFS(実績!$W$6:$W$505,DM$3,実績!$AI$6:$AI$505,"&lt;="&amp;$A118,実績!$AJ$6:$AJ$505,"&gt;"&amp;$A118,実績!$AL$6:$AL$505,"○")&gt;0,1,0))</f>
        <v>0</v>
      </c>
      <c r="DN118" s="39" t="n">
        <f aca="false">IF(DN$4=0,0,IF(COUNTIFS(実績!$W$6:$W$505,DN$3,実績!$AI$6:$AI$505,"&lt;="&amp;$A118,実績!$AJ$6:$AJ$505,"&gt;"&amp;$A118,実績!$AL$6:$AL$505,"○")&gt;0,1,0))</f>
        <v>0</v>
      </c>
      <c r="DO118" s="39" t="n">
        <f aca="false">IF(DO$4=0,0,IF(COUNTIFS(実績!$W$6:$W$505,DO$3,実績!$AI$6:$AI$505,"&lt;="&amp;$A118,実績!$AJ$6:$AJ$505,"&gt;"&amp;$A118,実績!$AL$6:$AL$505,"○")&gt;0,1,0))</f>
        <v>0</v>
      </c>
      <c r="DP118" s="39" t="n">
        <f aca="false">IF(DP$4=0,0,IF(COUNTIFS(実績!$W$6:$W$505,DP$3,実績!$AI$6:$AI$505,"&lt;="&amp;$A118,実績!$AJ$6:$AJ$505,"&gt;"&amp;$A118,実績!$AL$6:$AL$505,"○")&gt;0,1,0))</f>
        <v>0</v>
      </c>
      <c r="DQ118" s="39" t="n">
        <f aca="false">IF(DQ$4=0,0,IF(COUNTIFS(実績!$W$6:$W$505,DQ$3,実績!$AI$6:$AI$505,"&lt;="&amp;$A118,実績!$AJ$6:$AJ$505,"&gt;"&amp;$A118,実績!$AL$6:$AL$505,"○")&gt;0,1,0))</f>
        <v>0</v>
      </c>
      <c r="DR118" s="39" t="n">
        <f aca="false">IF(DR$4=0,0,IF(COUNTIFS(実績!$W$6:$W$505,DR$3,実績!$AI$6:$AI$505,"&lt;="&amp;$A118,実績!$AJ$6:$AJ$505,"&gt;"&amp;$A118,実績!$AL$6:$AL$505,"○")&gt;0,1,0))</f>
        <v>0</v>
      </c>
      <c r="DS118" s="39" t="n">
        <f aca="false">SUM(C118:DR118)</f>
        <v>0</v>
      </c>
    </row>
    <row r="119" customFormat="false" ht="15" hidden="false" customHeight="false" outlineLevel="0" collapsed="false">
      <c r="A119" s="0" t="n">
        <v>565</v>
      </c>
      <c r="B119" s="38" t="n">
        <f aca="false">A119/1440</f>
        <v>0.392361111111111</v>
      </c>
      <c r="C119" s="39" t="n">
        <f aca="false">IF(C$4=0,0,IF(COUNTIFS(実績!$W$6:$W$505,C$3,実績!$AI$6:$AI$505,"&lt;="&amp;$A119,実績!$AJ$6:$AJ$505,"&gt;"&amp;$A119,実績!$AL$6:$AL$505,"○")&gt;0,1,0))</f>
        <v>0</v>
      </c>
      <c r="D119" s="39" t="n">
        <f aca="false">IF(D$4=0,0,IF(COUNTIFS(実績!$W$6:$W$505,D$3,実績!$AI$6:$AI$505,"&lt;="&amp;$A119,実績!$AJ$6:$AJ$505,"&gt;"&amp;$A119,実績!$AL$6:$AL$505,"○")&gt;0,1,0))</f>
        <v>0</v>
      </c>
      <c r="E119" s="39" t="n">
        <f aca="false">IF(E$4=0,0,IF(COUNTIFS(実績!$W$6:$W$505,E$3,実績!$AI$6:$AI$505,"&lt;="&amp;$A119,実績!$AJ$6:$AJ$505,"&gt;"&amp;$A119,実績!$AL$6:$AL$505,"○")&gt;0,1,0))</f>
        <v>0</v>
      </c>
      <c r="F119" s="39" t="n">
        <f aca="false">IF(F$4=0,0,IF(COUNTIFS(実績!$W$6:$W$505,F$3,実績!$AI$6:$AI$505,"&lt;="&amp;$A119,実績!$AJ$6:$AJ$505,"&gt;"&amp;$A119,実績!$AL$6:$AL$505,"○")&gt;0,1,0))</f>
        <v>0</v>
      </c>
      <c r="G119" s="39" t="n">
        <f aca="false">IF(G$4=0,0,IF(COUNTIFS(実績!$W$6:$W$505,G$3,実績!$AI$6:$AI$505,"&lt;="&amp;$A119,実績!$AJ$6:$AJ$505,"&gt;"&amp;$A119,実績!$AL$6:$AL$505,"○")&gt;0,1,0))</f>
        <v>0</v>
      </c>
      <c r="H119" s="39" t="n">
        <f aca="false">IF(H$4=0,0,IF(COUNTIFS(実績!$W$6:$W$505,H$3,実績!$AI$6:$AI$505,"&lt;="&amp;$A119,実績!$AJ$6:$AJ$505,"&gt;"&amp;$A119,実績!$AL$6:$AL$505,"○")&gt;0,1,0))</f>
        <v>0</v>
      </c>
      <c r="I119" s="39" t="n">
        <f aca="false">IF(I$4=0,0,IF(COUNTIFS(実績!$W$6:$W$505,I$3,実績!$AI$6:$AI$505,"&lt;="&amp;$A119,実績!$AJ$6:$AJ$505,"&gt;"&amp;$A119,実績!$AL$6:$AL$505,"○")&gt;0,1,0))</f>
        <v>0</v>
      </c>
      <c r="J119" s="39" t="n">
        <f aca="false">IF(J$4=0,0,IF(COUNTIFS(実績!$W$6:$W$505,J$3,実績!$AI$6:$AI$505,"&lt;="&amp;$A119,実績!$AJ$6:$AJ$505,"&gt;"&amp;$A119,実績!$AL$6:$AL$505,"○")&gt;0,1,0))</f>
        <v>0</v>
      </c>
      <c r="K119" s="39" t="n">
        <f aca="false">IF(K$4=0,0,IF(COUNTIFS(実績!$W$6:$W$505,K$3,実績!$AI$6:$AI$505,"&lt;="&amp;$A119,実績!$AJ$6:$AJ$505,"&gt;"&amp;$A119,実績!$AL$6:$AL$505,"○")&gt;0,1,0))</f>
        <v>0</v>
      </c>
      <c r="L119" s="39" t="n">
        <f aca="false">IF(L$4=0,0,IF(COUNTIFS(実績!$W$6:$W$505,L$3,実績!$AI$6:$AI$505,"&lt;="&amp;$A119,実績!$AJ$6:$AJ$505,"&gt;"&amp;$A119,実績!$AL$6:$AL$505,"○")&gt;0,1,0))</f>
        <v>0</v>
      </c>
      <c r="M119" s="39" t="n">
        <f aca="false">IF(M$4=0,0,IF(COUNTIFS(実績!$W$6:$W$505,M$3,実績!$AI$6:$AI$505,"&lt;="&amp;$A119,実績!$AJ$6:$AJ$505,"&gt;"&amp;$A119,実績!$AL$6:$AL$505,"○")&gt;0,1,0))</f>
        <v>0</v>
      </c>
      <c r="N119" s="39" t="n">
        <f aca="false">IF(N$4=0,0,IF(COUNTIFS(実績!$W$6:$W$505,N$3,実績!$AI$6:$AI$505,"&lt;="&amp;$A119,実績!$AJ$6:$AJ$505,"&gt;"&amp;$A119,実績!$AL$6:$AL$505,"○")&gt;0,1,0))</f>
        <v>0</v>
      </c>
      <c r="O119" s="39" t="n">
        <f aca="false">IF(O$4=0,0,IF(COUNTIFS(実績!$W$6:$W$505,O$3,実績!$AI$6:$AI$505,"&lt;="&amp;$A119,実績!$AJ$6:$AJ$505,"&gt;"&amp;$A119,実績!$AL$6:$AL$505,"○")&gt;0,1,0))</f>
        <v>0</v>
      </c>
      <c r="P119" s="39" t="n">
        <f aca="false">IF(P$4=0,0,IF(COUNTIFS(実績!$W$6:$W$505,P$3,実績!$AI$6:$AI$505,"&lt;="&amp;$A119,実績!$AJ$6:$AJ$505,"&gt;"&amp;$A119,実績!$AL$6:$AL$505,"○")&gt;0,1,0))</f>
        <v>0</v>
      </c>
      <c r="Q119" s="39" t="n">
        <f aca="false">IF(Q$4=0,0,IF(COUNTIFS(実績!$W$6:$W$505,Q$3,実績!$AI$6:$AI$505,"&lt;="&amp;$A119,実績!$AJ$6:$AJ$505,"&gt;"&amp;$A119,実績!$AL$6:$AL$505,"○")&gt;0,1,0))</f>
        <v>0</v>
      </c>
      <c r="R119" s="39" t="n">
        <f aca="false">IF(R$4=0,0,IF(COUNTIFS(実績!$W$6:$W$505,R$3,実績!$AI$6:$AI$505,"&lt;="&amp;$A119,実績!$AJ$6:$AJ$505,"&gt;"&amp;$A119,実績!$AL$6:$AL$505,"○")&gt;0,1,0))</f>
        <v>0</v>
      </c>
      <c r="S119" s="39" t="n">
        <f aca="false">IF(S$4=0,0,IF(COUNTIFS(実績!$W$6:$W$505,S$3,実績!$AI$6:$AI$505,"&lt;="&amp;$A119,実績!$AJ$6:$AJ$505,"&gt;"&amp;$A119,実績!$AL$6:$AL$505,"○")&gt;0,1,0))</f>
        <v>0</v>
      </c>
      <c r="T119" s="39" t="n">
        <f aca="false">IF(T$4=0,0,IF(COUNTIFS(実績!$W$6:$W$505,T$3,実績!$AI$6:$AI$505,"&lt;="&amp;$A119,実績!$AJ$6:$AJ$505,"&gt;"&amp;$A119,実績!$AL$6:$AL$505,"○")&gt;0,1,0))</f>
        <v>0</v>
      </c>
      <c r="U119" s="39" t="n">
        <f aca="false">IF(U$4=0,0,IF(COUNTIFS(実績!$W$6:$W$505,U$3,実績!$AI$6:$AI$505,"&lt;="&amp;$A119,実績!$AJ$6:$AJ$505,"&gt;"&amp;$A119,実績!$AL$6:$AL$505,"○")&gt;0,1,0))</f>
        <v>0</v>
      </c>
      <c r="V119" s="39" t="n">
        <f aca="false">IF(V$4=0,0,IF(COUNTIFS(実績!$W$6:$W$505,V$3,実績!$AI$6:$AI$505,"&lt;="&amp;$A119,実績!$AJ$6:$AJ$505,"&gt;"&amp;$A119,実績!$AL$6:$AL$505,"○")&gt;0,1,0))</f>
        <v>0</v>
      </c>
      <c r="W119" s="39" t="n">
        <f aca="false">IF(W$4=0,0,IF(COUNTIFS(実績!$W$6:$W$505,W$3,実績!$AI$6:$AI$505,"&lt;="&amp;$A119,実績!$AJ$6:$AJ$505,"&gt;"&amp;$A119,実績!$AL$6:$AL$505,"○")&gt;0,1,0))</f>
        <v>0</v>
      </c>
      <c r="X119" s="39" t="n">
        <f aca="false">IF(X$4=0,0,IF(COUNTIFS(実績!$W$6:$W$505,X$3,実績!$AI$6:$AI$505,"&lt;="&amp;$A119,実績!$AJ$6:$AJ$505,"&gt;"&amp;$A119,実績!$AL$6:$AL$505,"○")&gt;0,1,0))</f>
        <v>0</v>
      </c>
      <c r="Y119" s="39" t="n">
        <f aca="false">IF(Y$4=0,0,IF(COUNTIFS(実績!$W$6:$W$505,Y$3,実績!$AI$6:$AI$505,"&lt;="&amp;$A119,実績!$AJ$6:$AJ$505,"&gt;"&amp;$A119,実績!$AL$6:$AL$505,"○")&gt;0,1,0))</f>
        <v>0</v>
      </c>
      <c r="Z119" s="39" t="n">
        <f aca="false">IF(Z$4=0,0,IF(COUNTIFS(実績!$W$6:$W$505,Z$3,実績!$AI$6:$AI$505,"&lt;="&amp;$A119,実績!$AJ$6:$AJ$505,"&gt;"&amp;$A119,実績!$AL$6:$AL$505,"○")&gt;0,1,0))</f>
        <v>0</v>
      </c>
      <c r="AA119" s="39" t="n">
        <f aca="false">IF(AA$4=0,0,IF(COUNTIFS(実績!$W$6:$W$505,AA$3,実績!$AI$6:$AI$505,"&lt;="&amp;$A119,実績!$AJ$6:$AJ$505,"&gt;"&amp;$A119,実績!$AL$6:$AL$505,"○")&gt;0,1,0))</f>
        <v>0</v>
      </c>
      <c r="AB119" s="39" t="n">
        <f aca="false">IF(AB$4=0,0,IF(COUNTIFS(実績!$W$6:$W$505,AB$3,実績!$AI$6:$AI$505,"&lt;="&amp;$A119,実績!$AJ$6:$AJ$505,"&gt;"&amp;$A119,実績!$AL$6:$AL$505,"○")&gt;0,1,0))</f>
        <v>0</v>
      </c>
      <c r="AC119" s="39" t="n">
        <f aca="false">IF(AC$4=0,0,IF(COUNTIFS(実績!$W$6:$W$505,AC$3,実績!$AI$6:$AI$505,"&lt;="&amp;$A119,実績!$AJ$6:$AJ$505,"&gt;"&amp;$A119,実績!$AL$6:$AL$505,"○")&gt;0,1,0))</f>
        <v>0</v>
      </c>
      <c r="AD119" s="39" t="n">
        <f aca="false">IF(AD$4=0,0,IF(COUNTIFS(実績!$W$6:$W$505,AD$3,実績!$AI$6:$AI$505,"&lt;="&amp;$A119,実績!$AJ$6:$AJ$505,"&gt;"&amp;$A119,実績!$AL$6:$AL$505,"○")&gt;0,1,0))</f>
        <v>0</v>
      </c>
      <c r="AE119" s="39" t="n">
        <f aca="false">IF(AE$4=0,0,IF(COUNTIFS(実績!$W$6:$W$505,AE$3,実績!$AI$6:$AI$505,"&lt;="&amp;$A119,実績!$AJ$6:$AJ$505,"&gt;"&amp;$A119,実績!$AL$6:$AL$505,"○")&gt;0,1,0))</f>
        <v>0</v>
      </c>
      <c r="AF119" s="39" t="n">
        <f aca="false">IF(AF$4=0,0,IF(COUNTIFS(実績!$W$6:$W$505,AF$3,実績!$AI$6:$AI$505,"&lt;="&amp;$A119,実績!$AJ$6:$AJ$505,"&gt;"&amp;$A119,実績!$AL$6:$AL$505,"○")&gt;0,1,0))</f>
        <v>0</v>
      </c>
      <c r="AG119" s="39" t="n">
        <f aca="false">IF(AG$4=0,0,IF(COUNTIFS(実績!$W$6:$W$505,AG$3,実績!$AI$6:$AI$505,"&lt;="&amp;$A119,実績!$AJ$6:$AJ$505,"&gt;"&amp;$A119,実績!$AL$6:$AL$505,"○")&gt;0,1,0))</f>
        <v>0</v>
      </c>
      <c r="AH119" s="39" t="n">
        <f aca="false">IF(AH$4=0,0,IF(COUNTIFS(実績!$W$6:$W$505,AH$3,実績!$AI$6:$AI$505,"&lt;="&amp;$A119,実績!$AJ$6:$AJ$505,"&gt;"&amp;$A119,実績!$AL$6:$AL$505,"○")&gt;0,1,0))</f>
        <v>0</v>
      </c>
      <c r="AI119" s="39" t="n">
        <f aca="false">IF(AI$4=0,0,IF(COUNTIFS(実績!$W$6:$W$505,AI$3,実績!$AI$6:$AI$505,"&lt;="&amp;$A119,実績!$AJ$6:$AJ$505,"&gt;"&amp;$A119,実績!$AL$6:$AL$505,"○")&gt;0,1,0))</f>
        <v>0</v>
      </c>
      <c r="AJ119" s="39" t="n">
        <f aca="false">IF(AJ$4=0,0,IF(COUNTIFS(実績!$W$6:$W$505,AJ$3,実績!$AI$6:$AI$505,"&lt;="&amp;$A119,実績!$AJ$6:$AJ$505,"&gt;"&amp;$A119,実績!$AL$6:$AL$505,"○")&gt;0,1,0))</f>
        <v>0</v>
      </c>
      <c r="AK119" s="39" t="n">
        <f aca="false">IF(AK$4=0,0,IF(COUNTIFS(実績!$W$6:$W$505,AK$3,実績!$AI$6:$AI$505,"&lt;="&amp;$A119,実績!$AJ$6:$AJ$505,"&gt;"&amp;$A119,実績!$AL$6:$AL$505,"○")&gt;0,1,0))</f>
        <v>0</v>
      </c>
      <c r="AL119" s="39" t="n">
        <f aca="false">IF(AL$4=0,0,IF(COUNTIFS(実績!$W$6:$W$505,AL$3,実績!$AI$6:$AI$505,"&lt;="&amp;$A119,実績!$AJ$6:$AJ$505,"&gt;"&amp;$A119,実績!$AL$6:$AL$505,"○")&gt;0,1,0))</f>
        <v>0</v>
      </c>
      <c r="AM119" s="39" t="n">
        <f aca="false">IF(AM$4=0,0,IF(COUNTIFS(実績!$W$6:$W$505,AM$3,実績!$AI$6:$AI$505,"&lt;="&amp;$A119,実績!$AJ$6:$AJ$505,"&gt;"&amp;$A119,実績!$AL$6:$AL$505,"○")&gt;0,1,0))</f>
        <v>0</v>
      </c>
      <c r="AN119" s="39" t="n">
        <f aca="false">IF(AN$4=0,0,IF(COUNTIFS(実績!$W$6:$W$505,AN$3,実績!$AI$6:$AI$505,"&lt;="&amp;$A119,実績!$AJ$6:$AJ$505,"&gt;"&amp;$A119,実績!$AL$6:$AL$505,"○")&gt;0,1,0))</f>
        <v>0</v>
      </c>
      <c r="AO119" s="39" t="n">
        <f aca="false">IF(AO$4=0,0,IF(COUNTIFS(実績!$W$6:$W$505,AO$3,実績!$AI$6:$AI$505,"&lt;="&amp;$A119,実績!$AJ$6:$AJ$505,"&gt;"&amp;$A119,実績!$AL$6:$AL$505,"○")&gt;0,1,0))</f>
        <v>0</v>
      </c>
      <c r="AP119" s="39" t="n">
        <f aca="false">IF(AP$4=0,0,IF(COUNTIFS(実績!$W$6:$W$505,AP$3,実績!$AI$6:$AI$505,"&lt;="&amp;$A119,実績!$AJ$6:$AJ$505,"&gt;"&amp;$A119,実績!$AL$6:$AL$505,"○")&gt;0,1,0))</f>
        <v>0</v>
      </c>
      <c r="AQ119" s="39" t="n">
        <f aca="false">IF(AQ$4=0,0,IF(COUNTIFS(実績!$W$6:$W$505,AQ$3,実績!$AI$6:$AI$505,"&lt;="&amp;$A119,実績!$AJ$6:$AJ$505,"&gt;"&amp;$A119,実績!$AL$6:$AL$505,"○")&gt;0,1,0))</f>
        <v>0</v>
      </c>
      <c r="AR119" s="39" t="n">
        <f aca="false">IF(AR$4=0,0,IF(COUNTIFS(実績!$W$6:$W$505,AR$3,実績!$AI$6:$AI$505,"&lt;="&amp;$A119,実績!$AJ$6:$AJ$505,"&gt;"&amp;$A119,実績!$AL$6:$AL$505,"○")&gt;0,1,0))</f>
        <v>0</v>
      </c>
      <c r="AS119" s="39" t="n">
        <f aca="false">IF(AS$4=0,0,IF(COUNTIFS(実績!$W$6:$W$505,AS$3,実績!$AI$6:$AI$505,"&lt;="&amp;$A119,実績!$AJ$6:$AJ$505,"&gt;"&amp;$A119,実績!$AL$6:$AL$505,"○")&gt;0,1,0))</f>
        <v>0</v>
      </c>
      <c r="AT119" s="39" t="n">
        <f aca="false">IF(AT$4=0,0,IF(COUNTIFS(実績!$W$6:$W$505,AT$3,実績!$AI$6:$AI$505,"&lt;="&amp;$A119,実績!$AJ$6:$AJ$505,"&gt;"&amp;$A119,実績!$AL$6:$AL$505,"○")&gt;0,1,0))</f>
        <v>0</v>
      </c>
      <c r="AU119" s="39" t="n">
        <f aca="false">IF(AU$4=0,0,IF(COUNTIFS(実績!$W$6:$W$505,AU$3,実績!$AI$6:$AI$505,"&lt;="&amp;$A119,実績!$AJ$6:$AJ$505,"&gt;"&amp;$A119,実績!$AL$6:$AL$505,"○")&gt;0,1,0))</f>
        <v>0</v>
      </c>
      <c r="AV119" s="39" t="n">
        <f aca="false">IF(AV$4=0,0,IF(COUNTIFS(実績!$W$6:$W$505,AV$3,実績!$AI$6:$AI$505,"&lt;="&amp;$A119,実績!$AJ$6:$AJ$505,"&gt;"&amp;$A119,実績!$AL$6:$AL$505,"○")&gt;0,1,0))</f>
        <v>0</v>
      </c>
      <c r="AW119" s="39" t="n">
        <f aca="false">IF(AW$4=0,0,IF(COUNTIFS(実績!$W$6:$W$505,AW$3,実績!$AI$6:$AI$505,"&lt;="&amp;$A119,実績!$AJ$6:$AJ$505,"&gt;"&amp;$A119,実績!$AL$6:$AL$505,"○")&gt;0,1,0))</f>
        <v>0</v>
      </c>
      <c r="AX119" s="39" t="n">
        <f aca="false">IF(AX$4=0,0,IF(COUNTIFS(実績!$W$6:$W$505,AX$3,実績!$AI$6:$AI$505,"&lt;="&amp;$A119,実績!$AJ$6:$AJ$505,"&gt;"&amp;$A119,実績!$AL$6:$AL$505,"○")&gt;0,1,0))</f>
        <v>0</v>
      </c>
      <c r="AY119" s="39" t="n">
        <f aca="false">IF(AY$4=0,0,IF(COUNTIFS(実績!$W$6:$W$505,AY$3,実績!$AI$6:$AI$505,"&lt;="&amp;$A119,実績!$AJ$6:$AJ$505,"&gt;"&amp;$A119,実績!$AL$6:$AL$505,"○")&gt;0,1,0))</f>
        <v>0</v>
      </c>
      <c r="AZ119" s="39" t="n">
        <f aca="false">IF(AZ$4=0,0,IF(COUNTIFS(実績!$W$6:$W$505,AZ$3,実績!$AI$6:$AI$505,"&lt;="&amp;$A119,実績!$AJ$6:$AJ$505,"&gt;"&amp;$A119,実績!$AL$6:$AL$505,"○")&gt;0,1,0))</f>
        <v>0</v>
      </c>
      <c r="BA119" s="39" t="n">
        <f aca="false">IF(BA$4=0,0,IF(COUNTIFS(実績!$W$6:$W$505,BA$3,実績!$AI$6:$AI$505,"&lt;="&amp;$A119,実績!$AJ$6:$AJ$505,"&gt;"&amp;$A119,実績!$AL$6:$AL$505,"○")&gt;0,1,0))</f>
        <v>0</v>
      </c>
      <c r="BB119" s="39" t="n">
        <f aca="false">IF(BB$4=0,0,IF(COUNTIFS(実績!$W$6:$W$505,BB$3,実績!$AI$6:$AI$505,"&lt;="&amp;$A119,実績!$AJ$6:$AJ$505,"&gt;"&amp;$A119,実績!$AL$6:$AL$505,"○")&gt;0,1,0))</f>
        <v>0</v>
      </c>
      <c r="BC119" s="39" t="n">
        <f aca="false">IF(BC$4=0,0,IF(COUNTIFS(実績!$W$6:$W$505,BC$3,実績!$AI$6:$AI$505,"&lt;="&amp;$A119,実績!$AJ$6:$AJ$505,"&gt;"&amp;$A119,実績!$AL$6:$AL$505,"○")&gt;0,1,0))</f>
        <v>0</v>
      </c>
      <c r="BD119" s="39" t="n">
        <f aca="false">IF(BD$4=0,0,IF(COUNTIFS(実績!$W$6:$W$505,BD$3,実績!$AI$6:$AI$505,"&lt;="&amp;$A119,実績!$AJ$6:$AJ$505,"&gt;"&amp;$A119,実績!$AL$6:$AL$505,"○")&gt;0,1,0))</f>
        <v>0</v>
      </c>
      <c r="BE119" s="39" t="n">
        <f aca="false">IF(BE$4=0,0,IF(COUNTIFS(実績!$W$6:$W$505,BE$3,実績!$AI$6:$AI$505,"&lt;="&amp;$A119,実績!$AJ$6:$AJ$505,"&gt;"&amp;$A119,実績!$AL$6:$AL$505,"○")&gt;0,1,0))</f>
        <v>0</v>
      </c>
      <c r="BF119" s="39" t="n">
        <f aca="false">IF(BF$4=0,0,IF(COUNTIFS(実績!$W$6:$W$505,BF$3,実績!$AI$6:$AI$505,"&lt;="&amp;$A119,実績!$AJ$6:$AJ$505,"&gt;"&amp;$A119,実績!$AL$6:$AL$505,"○")&gt;0,1,0))</f>
        <v>0</v>
      </c>
      <c r="BG119" s="39" t="n">
        <f aca="false">IF(BG$4=0,0,IF(COUNTIFS(実績!$W$6:$W$505,BG$3,実績!$AI$6:$AI$505,"&lt;="&amp;$A119,実績!$AJ$6:$AJ$505,"&gt;"&amp;$A119,実績!$AL$6:$AL$505,"○")&gt;0,1,0))</f>
        <v>0</v>
      </c>
      <c r="BH119" s="39" t="n">
        <f aca="false">IF(BH$4=0,0,IF(COUNTIFS(実績!$W$6:$W$505,BH$3,実績!$AI$6:$AI$505,"&lt;="&amp;$A119,実績!$AJ$6:$AJ$505,"&gt;"&amp;$A119,実績!$AL$6:$AL$505,"○")&gt;0,1,0))</f>
        <v>0</v>
      </c>
      <c r="BI119" s="39" t="n">
        <f aca="false">IF(BI$4=0,0,IF(COUNTIFS(実績!$W$6:$W$505,BI$3,実績!$AI$6:$AI$505,"&lt;="&amp;$A119,実績!$AJ$6:$AJ$505,"&gt;"&amp;$A119,実績!$AL$6:$AL$505,"○")&gt;0,1,0))</f>
        <v>0</v>
      </c>
      <c r="BJ119" s="39" t="n">
        <f aca="false">IF(BJ$4=0,0,IF(COUNTIFS(実績!$W$6:$W$505,BJ$3,実績!$AI$6:$AI$505,"&lt;="&amp;$A119,実績!$AJ$6:$AJ$505,"&gt;"&amp;$A119,実績!$AL$6:$AL$505,"○")&gt;0,1,0))</f>
        <v>0</v>
      </c>
      <c r="BK119" s="39" t="n">
        <f aca="false">IF(BK$4=0,0,IF(COUNTIFS(実績!$W$6:$W$505,BK$3,実績!$AI$6:$AI$505,"&lt;="&amp;$A119,実績!$AJ$6:$AJ$505,"&gt;"&amp;$A119,実績!$AL$6:$AL$505,"○")&gt;0,1,0))</f>
        <v>0</v>
      </c>
      <c r="BL119" s="39" t="n">
        <f aca="false">IF(BL$4=0,0,IF(COUNTIFS(実績!$W$6:$W$505,BL$3,実績!$AI$6:$AI$505,"&lt;="&amp;$A119,実績!$AJ$6:$AJ$505,"&gt;"&amp;$A119,実績!$AL$6:$AL$505,"○")&gt;0,1,0))</f>
        <v>0</v>
      </c>
      <c r="BM119" s="39" t="n">
        <f aca="false">IF(BM$4=0,0,IF(COUNTIFS(実績!$W$6:$W$505,BM$3,実績!$AI$6:$AI$505,"&lt;="&amp;$A119,実績!$AJ$6:$AJ$505,"&gt;"&amp;$A119,実績!$AL$6:$AL$505,"○")&gt;0,1,0))</f>
        <v>0</v>
      </c>
      <c r="BN119" s="39" t="n">
        <f aca="false">IF(BN$4=0,0,IF(COUNTIFS(実績!$W$6:$W$505,BN$3,実績!$AI$6:$AI$505,"&lt;="&amp;$A119,実績!$AJ$6:$AJ$505,"&gt;"&amp;$A119,実績!$AL$6:$AL$505,"○")&gt;0,1,0))</f>
        <v>0</v>
      </c>
      <c r="BO119" s="39" t="n">
        <f aca="false">IF(BO$4=0,0,IF(COUNTIFS(実績!$W$6:$W$505,BO$3,実績!$AI$6:$AI$505,"&lt;="&amp;$A119,実績!$AJ$6:$AJ$505,"&gt;"&amp;$A119,実績!$AL$6:$AL$505,"○")&gt;0,1,0))</f>
        <v>0</v>
      </c>
      <c r="BP119" s="39" t="n">
        <f aca="false">IF(BP$4=0,0,IF(COUNTIFS(実績!$W$6:$W$505,BP$3,実績!$AI$6:$AI$505,"&lt;="&amp;$A119,実績!$AJ$6:$AJ$505,"&gt;"&amp;$A119,実績!$AL$6:$AL$505,"○")&gt;0,1,0))</f>
        <v>0</v>
      </c>
      <c r="BQ119" s="39" t="n">
        <f aca="false">IF(BQ$4=0,0,IF(COUNTIFS(実績!$W$6:$W$505,BQ$3,実績!$AI$6:$AI$505,"&lt;="&amp;$A119,実績!$AJ$6:$AJ$505,"&gt;"&amp;$A119,実績!$AL$6:$AL$505,"○")&gt;0,1,0))</f>
        <v>0</v>
      </c>
      <c r="BR119" s="39" t="n">
        <f aca="false">IF(BR$4=0,0,IF(COUNTIFS(実績!$W$6:$W$505,BR$3,実績!$AI$6:$AI$505,"&lt;="&amp;$A119,実績!$AJ$6:$AJ$505,"&gt;"&amp;$A119,実績!$AL$6:$AL$505,"○")&gt;0,1,0))</f>
        <v>0</v>
      </c>
      <c r="BS119" s="39" t="n">
        <f aca="false">IF(BS$4=0,0,IF(COUNTIFS(実績!$W$6:$W$505,BS$3,実績!$AI$6:$AI$505,"&lt;="&amp;$A119,実績!$AJ$6:$AJ$505,"&gt;"&amp;$A119,実績!$AL$6:$AL$505,"○")&gt;0,1,0))</f>
        <v>0</v>
      </c>
      <c r="BT119" s="39" t="n">
        <f aca="false">IF(BT$4=0,0,IF(COUNTIFS(実績!$W$6:$W$505,BT$3,実績!$AI$6:$AI$505,"&lt;="&amp;$A119,実績!$AJ$6:$AJ$505,"&gt;"&amp;$A119,実績!$AL$6:$AL$505,"○")&gt;0,1,0))</f>
        <v>0</v>
      </c>
      <c r="BU119" s="39" t="n">
        <f aca="false">IF(BU$4=0,0,IF(COUNTIFS(実績!$W$6:$W$505,BU$3,実績!$AI$6:$AI$505,"&lt;="&amp;$A119,実績!$AJ$6:$AJ$505,"&gt;"&amp;$A119,実績!$AL$6:$AL$505,"○")&gt;0,1,0))</f>
        <v>0</v>
      </c>
      <c r="BV119" s="39" t="n">
        <f aca="false">IF(BV$4=0,0,IF(COUNTIFS(実績!$W$6:$W$505,BV$3,実績!$AI$6:$AI$505,"&lt;="&amp;$A119,実績!$AJ$6:$AJ$505,"&gt;"&amp;$A119,実績!$AL$6:$AL$505,"○")&gt;0,1,0))</f>
        <v>0</v>
      </c>
      <c r="BW119" s="39" t="n">
        <f aca="false">IF(BW$4=0,0,IF(COUNTIFS(実績!$W$6:$W$505,BW$3,実績!$AI$6:$AI$505,"&lt;="&amp;$A119,実績!$AJ$6:$AJ$505,"&gt;"&amp;$A119,実績!$AL$6:$AL$505,"○")&gt;0,1,0))</f>
        <v>0</v>
      </c>
      <c r="BX119" s="39" t="n">
        <f aca="false">IF(BX$4=0,0,IF(COUNTIFS(実績!$W$6:$W$505,BX$3,実績!$AI$6:$AI$505,"&lt;="&amp;$A119,実績!$AJ$6:$AJ$505,"&gt;"&amp;$A119,実績!$AL$6:$AL$505,"○")&gt;0,1,0))</f>
        <v>0</v>
      </c>
      <c r="BY119" s="39" t="n">
        <f aca="false">IF(BY$4=0,0,IF(COUNTIFS(実績!$W$6:$W$505,BY$3,実績!$AI$6:$AI$505,"&lt;="&amp;$A119,実績!$AJ$6:$AJ$505,"&gt;"&amp;$A119,実績!$AL$6:$AL$505,"○")&gt;0,1,0))</f>
        <v>0</v>
      </c>
      <c r="BZ119" s="39" t="n">
        <f aca="false">IF(BZ$4=0,0,IF(COUNTIFS(実績!$W$6:$W$505,BZ$3,実績!$AI$6:$AI$505,"&lt;="&amp;$A119,実績!$AJ$6:$AJ$505,"&gt;"&amp;$A119,実績!$AL$6:$AL$505,"○")&gt;0,1,0))</f>
        <v>0</v>
      </c>
      <c r="CA119" s="39" t="n">
        <f aca="false">IF(CA$4=0,0,IF(COUNTIFS(実績!$W$6:$W$505,CA$3,実績!$AI$6:$AI$505,"&lt;="&amp;$A119,実績!$AJ$6:$AJ$505,"&gt;"&amp;$A119,実績!$AL$6:$AL$505,"○")&gt;0,1,0))</f>
        <v>0</v>
      </c>
      <c r="CB119" s="39" t="n">
        <f aca="false">IF(CB$4=0,0,IF(COUNTIFS(実績!$W$6:$W$505,CB$3,実績!$AI$6:$AI$505,"&lt;="&amp;$A119,実績!$AJ$6:$AJ$505,"&gt;"&amp;$A119,実績!$AL$6:$AL$505,"○")&gt;0,1,0))</f>
        <v>0</v>
      </c>
      <c r="CC119" s="39" t="n">
        <f aca="false">IF(CC$4=0,0,IF(COUNTIFS(実績!$W$6:$W$505,CC$3,実績!$AI$6:$AI$505,"&lt;="&amp;$A119,実績!$AJ$6:$AJ$505,"&gt;"&amp;$A119,実績!$AL$6:$AL$505,"○")&gt;0,1,0))</f>
        <v>0</v>
      </c>
      <c r="CD119" s="39" t="n">
        <f aca="false">IF(CD$4=0,0,IF(COUNTIFS(実績!$W$6:$W$505,CD$3,実績!$AI$6:$AI$505,"&lt;="&amp;$A119,実績!$AJ$6:$AJ$505,"&gt;"&amp;$A119,実績!$AL$6:$AL$505,"○")&gt;0,1,0))</f>
        <v>0</v>
      </c>
      <c r="CE119" s="39" t="n">
        <f aca="false">IF(CE$4=0,0,IF(COUNTIFS(実績!$W$6:$W$505,CE$3,実績!$AI$6:$AI$505,"&lt;="&amp;$A119,実績!$AJ$6:$AJ$505,"&gt;"&amp;$A119,実績!$AL$6:$AL$505,"○")&gt;0,1,0))</f>
        <v>0</v>
      </c>
      <c r="CF119" s="39" t="n">
        <f aca="false">IF(CF$4=0,0,IF(COUNTIFS(実績!$W$6:$W$505,CF$3,実績!$AI$6:$AI$505,"&lt;="&amp;$A119,実績!$AJ$6:$AJ$505,"&gt;"&amp;$A119,実績!$AL$6:$AL$505,"○")&gt;0,1,0))</f>
        <v>0</v>
      </c>
      <c r="CG119" s="39" t="n">
        <f aca="false">IF(CG$4=0,0,IF(COUNTIFS(実績!$W$6:$W$505,CG$3,実績!$AI$6:$AI$505,"&lt;="&amp;$A119,実績!$AJ$6:$AJ$505,"&gt;"&amp;$A119,実績!$AL$6:$AL$505,"○")&gt;0,1,0))</f>
        <v>0</v>
      </c>
      <c r="CH119" s="39" t="n">
        <f aca="false">IF(CH$4=0,0,IF(COUNTIFS(実績!$W$6:$W$505,CH$3,実績!$AI$6:$AI$505,"&lt;="&amp;$A119,実績!$AJ$6:$AJ$505,"&gt;"&amp;$A119,実績!$AL$6:$AL$505,"○")&gt;0,1,0))</f>
        <v>0</v>
      </c>
      <c r="CI119" s="39" t="n">
        <f aca="false">IF(CI$4=0,0,IF(COUNTIFS(実績!$W$6:$W$505,CI$3,実績!$AI$6:$AI$505,"&lt;="&amp;$A119,実績!$AJ$6:$AJ$505,"&gt;"&amp;$A119,実績!$AL$6:$AL$505,"○")&gt;0,1,0))</f>
        <v>0</v>
      </c>
      <c r="CJ119" s="39" t="n">
        <f aca="false">IF(CJ$4=0,0,IF(COUNTIFS(実績!$W$6:$W$505,CJ$3,実績!$AI$6:$AI$505,"&lt;="&amp;$A119,実績!$AJ$6:$AJ$505,"&gt;"&amp;$A119,実績!$AL$6:$AL$505,"○")&gt;0,1,0))</f>
        <v>0</v>
      </c>
      <c r="CK119" s="39" t="n">
        <f aca="false">IF(CK$4=0,0,IF(COUNTIFS(実績!$W$6:$W$505,CK$3,実績!$AI$6:$AI$505,"&lt;="&amp;$A119,実績!$AJ$6:$AJ$505,"&gt;"&amp;$A119,実績!$AL$6:$AL$505,"○")&gt;0,1,0))</f>
        <v>0</v>
      </c>
      <c r="CL119" s="39" t="n">
        <f aca="false">IF(CL$4=0,0,IF(COUNTIFS(実績!$W$6:$W$505,CL$3,実績!$AI$6:$AI$505,"&lt;="&amp;$A119,実績!$AJ$6:$AJ$505,"&gt;"&amp;$A119,実績!$AL$6:$AL$505,"○")&gt;0,1,0))</f>
        <v>0</v>
      </c>
      <c r="CM119" s="39" t="n">
        <f aca="false">IF(CM$4=0,0,IF(COUNTIFS(実績!$W$6:$W$505,CM$3,実績!$AI$6:$AI$505,"&lt;="&amp;$A119,実績!$AJ$6:$AJ$505,"&gt;"&amp;$A119,実績!$AL$6:$AL$505,"○")&gt;0,1,0))</f>
        <v>0</v>
      </c>
      <c r="CN119" s="39" t="n">
        <f aca="false">IF(CN$4=0,0,IF(COUNTIFS(実績!$W$6:$W$505,CN$3,実績!$AI$6:$AI$505,"&lt;="&amp;$A119,実績!$AJ$6:$AJ$505,"&gt;"&amp;$A119,実績!$AL$6:$AL$505,"○")&gt;0,1,0))</f>
        <v>0</v>
      </c>
      <c r="CO119" s="39" t="n">
        <f aca="false">IF(CO$4=0,0,IF(COUNTIFS(実績!$W$6:$W$505,CO$3,実績!$AI$6:$AI$505,"&lt;="&amp;$A119,実績!$AJ$6:$AJ$505,"&gt;"&amp;$A119,実績!$AL$6:$AL$505,"○")&gt;0,1,0))</f>
        <v>0</v>
      </c>
      <c r="CP119" s="39" t="n">
        <f aca="false">IF(CP$4=0,0,IF(COUNTIFS(実績!$W$6:$W$505,CP$3,実績!$AI$6:$AI$505,"&lt;="&amp;$A119,実績!$AJ$6:$AJ$505,"&gt;"&amp;$A119,実績!$AL$6:$AL$505,"○")&gt;0,1,0))</f>
        <v>0</v>
      </c>
      <c r="CQ119" s="39" t="n">
        <f aca="false">IF(CQ$4=0,0,IF(COUNTIFS(実績!$W$6:$W$505,CQ$3,実績!$AI$6:$AI$505,"&lt;="&amp;$A119,実績!$AJ$6:$AJ$505,"&gt;"&amp;$A119,実績!$AL$6:$AL$505,"○")&gt;0,1,0))</f>
        <v>0</v>
      </c>
      <c r="CR119" s="39" t="n">
        <f aca="false">IF(CR$4=0,0,IF(COUNTIFS(実績!$W$6:$W$505,CR$3,実績!$AI$6:$AI$505,"&lt;="&amp;$A119,実績!$AJ$6:$AJ$505,"&gt;"&amp;$A119,実績!$AL$6:$AL$505,"○")&gt;0,1,0))</f>
        <v>0</v>
      </c>
      <c r="CS119" s="39" t="n">
        <f aca="false">IF(CS$4=0,0,IF(COUNTIFS(実績!$W$6:$W$505,CS$3,実績!$AI$6:$AI$505,"&lt;="&amp;$A119,実績!$AJ$6:$AJ$505,"&gt;"&amp;$A119,実績!$AL$6:$AL$505,"○")&gt;0,1,0))</f>
        <v>0</v>
      </c>
      <c r="CT119" s="39" t="n">
        <f aca="false">IF(CT$4=0,0,IF(COUNTIFS(実績!$W$6:$W$505,CT$3,実績!$AI$6:$AI$505,"&lt;="&amp;$A119,実績!$AJ$6:$AJ$505,"&gt;"&amp;$A119,実績!$AL$6:$AL$505,"○")&gt;0,1,0))</f>
        <v>0</v>
      </c>
      <c r="CU119" s="39" t="n">
        <f aca="false">IF(CU$4=0,0,IF(COUNTIFS(実績!$W$6:$W$505,CU$3,実績!$AI$6:$AI$505,"&lt;="&amp;$A119,実績!$AJ$6:$AJ$505,"&gt;"&amp;$A119,実績!$AL$6:$AL$505,"○")&gt;0,1,0))</f>
        <v>0</v>
      </c>
      <c r="CV119" s="39" t="n">
        <f aca="false">IF(CV$4=0,0,IF(COUNTIFS(実績!$W$6:$W$505,CV$3,実績!$AI$6:$AI$505,"&lt;="&amp;$A119,実績!$AJ$6:$AJ$505,"&gt;"&amp;$A119,実績!$AL$6:$AL$505,"○")&gt;0,1,0))</f>
        <v>0</v>
      </c>
      <c r="CW119" s="39" t="n">
        <f aca="false">IF(CW$4=0,0,IF(COUNTIFS(実績!$W$6:$W$505,CW$3,実績!$AI$6:$AI$505,"&lt;="&amp;$A119,実績!$AJ$6:$AJ$505,"&gt;"&amp;$A119,実績!$AL$6:$AL$505,"○")&gt;0,1,0))</f>
        <v>0</v>
      </c>
      <c r="CX119" s="39" t="n">
        <f aca="false">IF(CX$4=0,0,IF(COUNTIFS(実績!$W$6:$W$505,CX$3,実績!$AI$6:$AI$505,"&lt;="&amp;$A119,実績!$AJ$6:$AJ$505,"&gt;"&amp;$A119,実績!$AL$6:$AL$505,"○")&gt;0,1,0))</f>
        <v>0</v>
      </c>
      <c r="CY119" s="39" t="n">
        <f aca="false">IF(CY$4=0,0,IF(COUNTIFS(実績!$W$6:$W$505,CY$3,実績!$AI$6:$AI$505,"&lt;="&amp;$A119,実績!$AJ$6:$AJ$505,"&gt;"&amp;$A119,実績!$AL$6:$AL$505,"○")&gt;0,1,0))</f>
        <v>0</v>
      </c>
      <c r="CZ119" s="39" t="n">
        <f aca="false">IF(CZ$4=0,0,IF(COUNTIFS(実績!$W$6:$W$505,CZ$3,実績!$AI$6:$AI$505,"&lt;="&amp;$A119,実績!$AJ$6:$AJ$505,"&gt;"&amp;$A119,実績!$AL$6:$AL$505,"○")&gt;0,1,0))</f>
        <v>0</v>
      </c>
      <c r="DA119" s="39" t="n">
        <f aca="false">IF(DA$4=0,0,IF(COUNTIFS(実績!$W$6:$W$505,DA$3,実績!$AI$6:$AI$505,"&lt;="&amp;$A119,実績!$AJ$6:$AJ$505,"&gt;"&amp;$A119,実績!$AL$6:$AL$505,"○")&gt;0,1,0))</f>
        <v>0</v>
      </c>
      <c r="DB119" s="39" t="n">
        <f aca="false">IF(DB$4=0,0,IF(COUNTIFS(実績!$W$6:$W$505,DB$3,実績!$AI$6:$AI$505,"&lt;="&amp;$A119,実績!$AJ$6:$AJ$505,"&gt;"&amp;$A119,実績!$AL$6:$AL$505,"○")&gt;0,1,0))</f>
        <v>0</v>
      </c>
      <c r="DC119" s="39" t="n">
        <f aca="false">IF(DC$4=0,0,IF(COUNTIFS(実績!$W$6:$W$505,DC$3,実績!$AI$6:$AI$505,"&lt;="&amp;$A119,実績!$AJ$6:$AJ$505,"&gt;"&amp;$A119,実績!$AL$6:$AL$505,"○")&gt;0,1,0))</f>
        <v>0</v>
      </c>
      <c r="DD119" s="39" t="n">
        <f aca="false">IF(DD$4=0,0,IF(COUNTIFS(実績!$W$6:$W$505,DD$3,実績!$AI$6:$AI$505,"&lt;="&amp;$A119,実績!$AJ$6:$AJ$505,"&gt;"&amp;$A119,実績!$AL$6:$AL$505,"○")&gt;0,1,0))</f>
        <v>0</v>
      </c>
      <c r="DE119" s="39" t="n">
        <f aca="false">IF(DE$4=0,0,IF(COUNTIFS(実績!$W$6:$W$505,DE$3,実績!$AI$6:$AI$505,"&lt;="&amp;$A119,実績!$AJ$6:$AJ$505,"&gt;"&amp;$A119,実績!$AL$6:$AL$505,"○")&gt;0,1,0))</f>
        <v>0</v>
      </c>
      <c r="DF119" s="39" t="n">
        <f aca="false">IF(DF$4=0,0,IF(COUNTIFS(実績!$W$6:$W$505,DF$3,実績!$AI$6:$AI$505,"&lt;="&amp;$A119,実績!$AJ$6:$AJ$505,"&gt;"&amp;$A119,実績!$AL$6:$AL$505,"○")&gt;0,1,0))</f>
        <v>0</v>
      </c>
      <c r="DG119" s="39" t="n">
        <f aca="false">IF(DG$4=0,0,IF(COUNTIFS(実績!$W$6:$W$505,DG$3,実績!$AI$6:$AI$505,"&lt;="&amp;$A119,実績!$AJ$6:$AJ$505,"&gt;"&amp;$A119,実績!$AL$6:$AL$505,"○")&gt;0,1,0))</f>
        <v>0</v>
      </c>
      <c r="DH119" s="39" t="n">
        <f aca="false">IF(DH$4=0,0,IF(COUNTIFS(実績!$W$6:$W$505,DH$3,実績!$AI$6:$AI$505,"&lt;="&amp;$A119,実績!$AJ$6:$AJ$505,"&gt;"&amp;$A119,実績!$AL$6:$AL$505,"○")&gt;0,1,0))</f>
        <v>0</v>
      </c>
      <c r="DI119" s="39" t="n">
        <f aca="false">IF(DI$4=0,0,IF(COUNTIFS(実績!$W$6:$W$505,DI$3,実績!$AI$6:$AI$505,"&lt;="&amp;$A119,実績!$AJ$6:$AJ$505,"&gt;"&amp;$A119,実績!$AL$6:$AL$505,"○")&gt;0,1,0))</f>
        <v>0</v>
      </c>
      <c r="DJ119" s="39" t="n">
        <f aca="false">IF(DJ$4=0,0,IF(COUNTIFS(実績!$W$6:$W$505,DJ$3,実績!$AI$6:$AI$505,"&lt;="&amp;$A119,実績!$AJ$6:$AJ$505,"&gt;"&amp;$A119,実績!$AL$6:$AL$505,"○")&gt;0,1,0))</f>
        <v>0</v>
      </c>
      <c r="DK119" s="39" t="n">
        <f aca="false">IF(DK$4=0,0,IF(COUNTIFS(実績!$W$6:$W$505,DK$3,実績!$AI$6:$AI$505,"&lt;="&amp;$A119,実績!$AJ$6:$AJ$505,"&gt;"&amp;$A119,実績!$AL$6:$AL$505,"○")&gt;0,1,0))</f>
        <v>0</v>
      </c>
      <c r="DL119" s="39" t="n">
        <f aca="false">IF(DL$4=0,0,IF(COUNTIFS(実績!$W$6:$W$505,DL$3,実績!$AI$6:$AI$505,"&lt;="&amp;$A119,実績!$AJ$6:$AJ$505,"&gt;"&amp;$A119,実績!$AL$6:$AL$505,"○")&gt;0,1,0))</f>
        <v>0</v>
      </c>
      <c r="DM119" s="39" t="n">
        <f aca="false">IF(DM$4=0,0,IF(COUNTIFS(実績!$W$6:$W$505,DM$3,実績!$AI$6:$AI$505,"&lt;="&amp;$A119,実績!$AJ$6:$AJ$505,"&gt;"&amp;$A119,実績!$AL$6:$AL$505,"○")&gt;0,1,0))</f>
        <v>0</v>
      </c>
      <c r="DN119" s="39" t="n">
        <f aca="false">IF(DN$4=0,0,IF(COUNTIFS(実績!$W$6:$W$505,DN$3,実績!$AI$6:$AI$505,"&lt;="&amp;$A119,実績!$AJ$6:$AJ$505,"&gt;"&amp;$A119,実績!$AL$6:$AL$505,"○")&gt;0,1,0))</f>
        <v>0</v>
      </c>
      <c r="DO119" s="39" t="n">
        <f aca="false">IF(DO$4=0,0,IF(COUNTIFS(実績!$W$6:$W$505,DO$3,実績!$AI$6:$AI$505,"&lt;="&amp;$A119,実績!$AJ$6:$AJ$505,"&gt;"&amp;$A119,実績!$AL$6:$AL$505,"○")&gt;0,1,0))</f>
        <v>0</v>
      </c>
      <c r="DP119" s="39" t="n">
        <f aca="false">IF(DP$4=0,0,IF(COUNTIFS(実績!$W$6:$W$505,DP$3,実績!$AI$6:$AI$505,"&lt;="&amp;$A119,実績!$AJ$6:$AJ$505,"&gt;"&amp;$A119,実績!$AL$6:$AL$505,"○")&gt;0,1,0))</f>
        <v>0</v>
      </c>
      <c r="DQ119" s="39" t="n">
        <f aca="false">IF(DQ$4=0,0,IF(COUNTIFS(実績!$W$6:$W$505,DQ$3,実績!$AI$6:$AI$505,"&lt;="&amp;$A119,実績!$AJ$6:$AJ$505,"&gt;"&amp;$A119,実績!$AL$6:$AL$505,"○")&gt;0,1,0))</f>
        <v>0</v>
      </c>
      <c r="DR119" s="39" t="n">
        <f aca="false">IF(DR$4=0,0,IF(COUNTIFS(実績!$W$6:$W$505,DR$3,実績!$AI$6:$AI$505,"&lt;="&amp;$A119,実績!$AJ$6:$AJ$505,"&gt;"&amp;$A119,実績!$AL$6:$AL$505,"○")&gt;0,1,0))</f>
        <v>0</v>
      </c>
      <c r="DS119" s="39" t="n">
        <f aca="false">SUM(C119:DR119)</f>
        <v>0</v>
      </c>
    </row>
    <row r="120" customFormat="false" ht="15" hidden="false" customHeight="false" outlineLevel="0" collapsed="false">
      <c r="A120" s="0" t="n">
        <v>570</v>
      </c>
      <c r="B120" s="38" t="n">
        <f aca="false">A120/1440</f>
        <v>0.395833333333333</v>
      </c>
      <c r="C120" s="39" t="n">
        <f aca="false">IF(C$4=0,0,IF(COUNTIFS(実績!$W$6:$W$505,C$3,実績!$AI$6:$AI$505,"&lt;="&amp;$A120,実績!$AJ$6:$AJ$505,"&gt;"&amp;$A120,実績!$AL$6:$AL$505,"○")&gt;0,1,0))</f>
        <v>0</v>
      </c>
      <c r="D120" s="39" t="n">
        <f aca="false">IF(D$4=0,0,IF(COUNTIFS(実績!$W$6:$W$505,D$3,実績!$AI$6:$AI$505,"&lt;="&amp;$A120,実績!$AJ$6:$AJ$505,"&gt;"&amp;$A120,実績!$AL$6:$AL$505,"○")&gt;0,1,0))</f>
        <v>0</v>
      </c>
      <c r="E120" s="39" t="n">
        <f aca="false">IF(E$4=0,0,IF(COUNTIFS(実績!$W$6:$W$505,E$3,実績!$AI$6:$AI$505,"&lt;="&amp;$A120,実績!$AJ$6:$AJ$505,"&gt;"&amp;$A120,実績!$AL$6:$AL$505,"○")&gt;0,1,0))</f>
        <v>0</v>
      </c>
      <c r="F120" s="39" t="n">
        <f aca="false">IF(F$4=0,0,IF(COUNTIFS(実績!$W$6:$W$505,F$3,実績!$AI$6:$AI$505,"&lt;="&amp;$A120,実績!$AJ$6:$AJ$505,"&gt;"&amp;$A120,実績!$AL$6:$AL$505,"○")&gt;0,1,0))</f>
        <v>0</v>
      </c>
      <c r="G120" s="39" t="n">
        <f aca="false">IF(G$4=0,0,IF(COUNTIFS(実績!$W$6:$W$505,G$3,実績!$AI$6:$AI$505,"&lt;="&amp;$A120,実績!$AJ$6:$AJ$505,"&gt;"&amp;$A120,実績!$AL$6:$AL$505,"○")&gt;0,1,0))</f>
        <v>0</v>
      </c>
      <c r="H120" s="39" t="n">
        <f aca="false">IF(H$4=0,0,IF(COUNTIFS(実績!$W$6:$W$505,H$3,実績!$AI$6:$AI$505,"&lt;="&amp;$A120,実績!$AJ$6:$AJ$505,"&gt;"&amp;$A120,実績!$AL$6:$AL$505,"○")&gt;0,1,0))</f>
        <v>0</v>
      </c>
      <c r="I120" s="39" t="n">
        <f aca="false">IF(I$4=0,0,IF(COUNTIFS(実績!$W$6:$W$505,I$3,実績!$AI$6:$AI$505,"&lt;="&amp;$A120,実績!$AJ$6:$AJ$505,"&gt;"&amp;$A120,実績!$AL$6:$AL$505,"○")&gt;0,1,0))</f>
        <v>0</v>
      </c>
      <c r="J120" s="39" t="n">
        <f aca="false">IF(J$4=0,0,IF(COUNTIFS(実績!$W$6:$W$505,J$3,実績!$AI$6:$AI$505,"&lt;="&amp;$A120,実績!$AJ$6:$AJ$505,"&gt;"&amp;$A120,実績!$AL$6:$AL$505,"○")&gt;0,1,0))</f>
        <v>0</v>
      </c>
      <c r="K120" s="39" t="n">
        <f aca="false">IF(K$4=0,0,IF(COUNTIFS(実績!$W$6:$W$505,K$3,実績!$AI$6:$AI$505,"&lt;="&amp;$A120,実績!$AJ$6:$AJ$505,"&gt;"&amp;$A120,実績!$AL$6:$AL$505,"○")&gt;0,1,0))</f>
        <v>0</v>
      </c>
      <c r="L120" s="39" t="n">
        <f aca="false">IF(L$4=0,0,IF(COUNTIFS(実績!$W$6:$W$505,L$3,実績!$AI$6:$AI$505,"&lt;="&amp;$A120,実績!$AJ$6:$AJ$505,"&gt;"&amp;$A120,実績!$AL$6:$AL$505,"○")&gt;0,1,0))</f>
        <v>0</v>
      </c>
      <c r="M120" s="39" t="n">
        <f aca="false">IF(M$4=0,0,IF(COUNTIFS(実績!$W$6:$W$505,M$3,実績!$AI$6:$AI$505,"&lt;="&amp;$A120,実績!$AJ$6:$AJ$505,"&gt;"&amp;$A120,実績!$AL$6:$AL$505,"○")&gt;0,1,0))</f>
        <v>0</v>
      </c>
      <c r="N120" s="39" t="n">
        <f aca="false">IF(N$4=0,0,IF(COUNTIFS(実績!$W$6:$W$505,N$3,実績!$AI$6:$AI$505,"&lt;="&amp;$A120,実績!$AJ$6:$AJ$505,"&gt;"&amp;$A120,実績!$AL$6:$AL$505,"○")&gt;0,1,0))</f>
        <v>0</v>
      </c>
      <c r="O120" s="39" t="n">
        <f aca="false">IF(O$4=0,0,IF(COUNTIFS(実績!$W$6:$W$505,O$3,実績!$AI$6:$AI$505,"&lt;="&amp;$A120,実績!$AJ$6:$AJ$505,"&gt;"&amp;$A120,実績!$AL$6:$AL$505,"○")&gt;0,1,0))</f>
        <v>0</v>
      </c>
      <c r="P120" s="39" t="n">
        <f aca="false">IF(P$4=0,0,IF(COUNTIFS(実績!$W$6:$W$505,P$3,実績!$AI$6:$AI$505,"&lt;="&amp;$A120,実績!$AJ$6:$AJ$505,"&gt;"&amp;$A120,実績!$AL$6:$AL$505,"○")&gt;0,1,0))</f>
        <v>0</v>
      </c>
      <c r="Q120" s="39" t="n">
        <f aca="false">IF(Q$4=0,0,IF(COUNTIFS(実績!$W$6:$W$505,Q$3,実績!$AI$6:$AI$505,"&lt;="&amp;$A120,実績!$AJ$6:$AJ$505,"&gt;"&amp;$A120,実績!$AL$6:$AL$505,"○")&gt;0,1,0))</f>
        <v>0</v>
      </c>
      <c r="R120" s="39" t="n">
        <f aca="false">IF(R$4=0,0,IF(COUNTIFS(実績!$W$6:$W$505,R$3,実績!$AI$6:$AI$505,"&lt;="&amp;$A120,実績!$AJ$6:$AJ$505,"&gt;"&amp;$A120,実績!$AL$6:$AL$505,"○")&gt;0,1,0))</f>
        <v>0</v>
      </c>
      <c r="S120" s="39" t="n">
        <f aca="false">IF(S$4=0,0,IF(COUNTIFS(実績!$W$6:$W$505,S$3,実績!$AI$6:$AI$505,"&lt;="&amp;$A120,実績!$AJ$6:$AJ$505,"&gt;"&amp;$A120,実績!$AL$6:$AL$505,"○")&gt;0,1,0))</f>
        <v>0</v>
      </c>
      <c r="T120" s="39" t="n">
        <f aca="false">IF(T$4=0,0,IF(COUNTIFS(実績!$W$6:$W$505,T$3,実績!$AI$6:$AI$505,"&lt;="&amp;$A120,実績!$AJ$6:$AJ$505,"&gt;"&amp;$A120,実績!$AL$6:$AL$505,"○")&gt;0,1,0))</f>
        <v>0</v>
      </c>
      <c r="U120" s="39" t="n">
        <f aca="false">IF(U$4=0,0,IF(COUNTIFS(実績!$W$6:$W$505,U$3,実績!$AI$6:$AI$505,"&lt;="&amp;$A120,実績!$AJ$6:$AJ$505,"&gt;"&amp;$A120,実績!$AL$6:$AL$505,"○")&gt;0,1,0))</f>
        <v>0</v>
      </c>
      <c r="V120" s="39" t="n">
        <f aca="false">IF(V$4=0,0,IF(COUNTIFS(実績!$W$6:$W$505,V$3,実績!$AI$6:$AI$505,"&lt;="&amp;$A120,実績!$AJ$6:$AJ$505,"&gt;"&amp;$A120,実績!$AL$6:$AL$505,"○")&gt;0,1,0))</f>
        <v>0</v>
      </c>
      <c r="W120" s="39" t="n">
        <f aca="false">IF(W$4=0,0,IF(COUNTIFS(実績!$W$6:$W$505,W$3,実績!$AI$6:$AI$505,"&lt;="&amp;$A120,実績!$AJ$6:$AJ$505,"&gt;"&amp;$A120,実績!$AL$6:$AL$505,"○")&gt;0,1,0))</f>
        <v>0</v>
      </c>
      <c r="X120" s="39" t="n">
        <f aca="false">IF(X$4=0,0,IF(COUNTIFS(実績!$W$6:$W$505,X$3,実績!$AI$6:$AI$505,"&lt;="&amp;$A120,実績!$AJ$6:$AJ$505,"&gt;"&amp;$A120,実績!$AL$6:$AL$505,"○")&gt;0,1,0))</f>
        <v>0</v>
      </c>
      <c r="Y120" s="39" t="n">
        <f aca="false">IF(Y$4=0,0,IF(COUNTIFS(実績!$W$6:$W$505,Y$3,実績!$AI$6:$AI$505,"&lt;="&amp;$A120,実績!$AJ$6:$AJ$505,"&gt;"&amp;$A120,実績!$AL$6:$AL$505,"○")&gt;0,1,0))</f>
        <v>0</v>
      </c>
      <c r="Z120" s="39" t="n">
        <f aca="false">IF(Z$4=0,0,IF(COUNTIFS(実績!$W$6:$W$505,Z$3,実績!$AI$6:$AI$505,"&lt;="&amp;$A120,実績!$AJ$6:$AJ$505,"&gt;"&amp;$A120,実績!$AL$6:$AL$505,"○")&gt;0,1,0))</f>
        <v>0</v>
      </c>
      <c r="AA120" s="39" t="n">
        <f aca="false">IF(AA$4=0,0,IF(COUNTIFS(実績!$W$6:$W$505,AA$3,実績!$AI$6:$AI$505,"&lt;="&amp;$A120,実績!$AJ$6:$AJ$505,"&gt;"&amp;$A120,実績!$AL$6:$AL$505,"○")&gt;0,1,0))</f>
        <v>0</v>
      </c>
      <c r="AB120" s="39" t="n">
        <f aca="false">IF(AB$4=0,0,IF(COUNTIFS(実績!$W$6:$W$505,AB$3,実績!$AI$6:$AI$505,"&lt;="&amp;$A120,実績!$AJ$6:$AJ$505,"&gt;"&amp;$A120,実績!$AL$6:$AL$505,"○")&gt;0,1,0))</f>
        <v>0</v>
      </c>
      <c r="AC120" s="39" t="n">
        <f aca="false">IF(AC$4=0,0,IF(COUNTIFS(実績!$W$6:$W$505,AC$3,実績!$AI$6:$AI$505,"&lt;="&amp;$A120,実績!$AJ$6:$AJ$505,"&gt;"&amp;$A120,実績!$AL$6:$AL$505,"○")&gt;0,1,0))</f>
        <v>0</v>
      </c>
      <c r="AD120" s="39" t="n">
        <f aca="false">IF(AD$4=0,0,IF(COUNTIFS(実績!$W$6:$W$505,AD$3,実績!$AI$6:$AI$505,"&lt;="&amp;$A120,実績!$AJ$6:$AJ$505,"&gt;"&amp;$A120,実績!$AL$6:$AL$505,"○")&gt;0,1,0))</f>
        <v>0</v>
      </c>
      <c r="AE120" s="39" t="n">
        <f aca="false">IF(AE$4=0,0,IF(COUNTIFS(実績!$W$6:$W$505,AE$3,実績!$AI$6:$AI$505,"&lt;="&amp;$A120,実績!$AJ$6:$AJ$505,"&gt;"&amp;$A120,実績!$AL$6:$AL$505,"○")&gt;0,1,0))</f>
        <v>0</v>
      </c>
      <c r="AF120" s="39" t="n">
        <f aca="false">IF(AF$4=0,0,IF(COUNTIFS(実績!$W$6:$W$505,AF$3,実績!$AI$6:$AI$505,"&lt;="&amp;$A120,実績!$AJ$6:$AJ$505,"&gt;"&amp;$A120,実績!$AL$6:$AL$505,"○")&gt;0,1,0))</f>
        <v>0</v>
      </c>
      <c r="AG120" s="39" t="n">
        <f aca="false">IF(AG$4=0,0,IF(COUNTIFS(実績!$W$6:$W$505,AG$3,実績!$AI$6:$AI$505,"&lt;="&amp;$A120,実績!$AJ$6:$AJ$505,"&gt;"&amp;$A120,実績!$AL$6:$AL$505,"○")&gt;0,1,0))</f>
        <v>0</v>
      </c>
      <c r="AH120" s="39" t="n">
        <f aca="false">IF(AH$4=0,0,IF(COUNTIFS(実績!$W$6:$W$505,AH$3,実績!$AI$6:$AI$505,"&lt;="&amp;$A120,実績!$AJ$6:$AJ$505,"&gt;"&amp;$A120,実績!$AL$6:$AL$505,"○")&gt;0,1,0))</f>
        <v>0</v>
      </c>
      <c r="AI120" s="39" t="n">
        <f aca="false">IF(AI$4=0,0,IF(COUNTIFS(実績!$W$6:$W$505,AI$3,実績!$AI$6:$AI$505,"&lt;="&amp;$A120,実績!$AJ$6:$AJ$505,"&gt;"&amp;$A120,実績!$AL$6:$AL$505,"○")&gt;0,1,0))</f>
        <v>0</v>
      </c>
      <c r="AJ120" s="39" t="n">
        <f aca="false">IF(AJ$4=0,0,IF(COUNTIFS(実績!$W$6:$W$505,AJ$3,実績!$AI$6:$AI$505,"&lt;="&amp;$A120,実績!$AJ$6:$AJ$505,"&gt;"&amp;$A120,実績!$AL$6:$AL$505,"○")&gt;0,1,0))</f>
        <v>0</v>
      </c>
      <c r="AK120" s="39" t="n">
        <f aca="false">IF(AK$4=0,0,IF(COUNTIFS(実績!$W$6:$W$505,AK$3,実績!$AI$6:$AI$505,"&lt;="&amp;$A120,実績!$AJ$6:$AJ$505,"&gt;"&amp;$A120,実績!$AL$6:$AL$505,"○")&gt;0,1,0))</f>
        <v>0</v>
      </c>
      <c r="AL120" s="39" t="n">
        <f aca="false">IF(AL$4=0,0,IF(COUNTIFS(実績!$W$6:$W$505,AL$3,実績!$AI$6:$AI$505,"&lt;="&amp;$A120,実績!$AJ$6:$AJ$505,"&gt;"&amp;$A120,実績!$AL$6:$AL$505,"○")&gt;0,1,0))</f>
        <v>0</v>
      </c>
      <c r="AM120" s="39" t="n">
        <f aca="false">IF(AM$4=0,0,IF(COUNTIFS(実績!$W$6:$W$505,AM$3,実績!$AI$6:$AI$505,"&lt;="&amp;$A120,実績!$AJ$6:$AJ$505,"&gt;"&amp;$A120,実績!$AL$6:$AL$505,"○")&gt;0,1,0))</f>
        <v>0</v>
      </c>
      <c r="AN120" s="39" t="n">
        <f aca="false">IF(AN$4=0,0,IF(COUNTIFS(実績!$W$6:$W$505,AN$3,実績!$AI$6:$AI$505,"&lt;="&amp;$A120,実績!$AJ$6:$AJ$505,"&gt;"&amp;$A120,実績!$AL$6:$AL$505,"○")&gt;0,1,0))</f>
        <v>0</v>
      </c>
      <c r="AO120" s="39" t="n">
        <f aca="false">IF(AO$4=0,0,IF(COUNTIFS(実績!$W$6:$W$505,AO$3,実績!$AI$6:$AI$505,"&lt;="&amp;$A120,実績!$AJ$6:$AJ$505,"&gt;"&amp;$A120,実績!$AL$6:$AL$505,"○")&gt;0,1,0))</f>
        <v>0</v>
      </c>
      <c r="AP120" s="39" t="n">
        <f aca="false">IF(AP$4=0,0,IF(COUNTIFS(実績!$W$6:$W$505,AP$3,実績!$AI$6:$AI$505,"&lt;="&amp;$A120,実績!$AJ$6:$AJ$505,"&gt;"&amp;$A120,実績!$AL$6:$AL$505,"○")&gt;0,1,0))</f>
        <v>0</v>
      </c>
      <c r="AQ120" s="39" t="n">
        <f aca="false">IF(AQ$4=0,0,IF(COUNTIFS(実績!$W$6:$W$505,AQ$3,実績!$AI$6:$AI$505,"&lt;="&amp;$A120,実績!$AJ$6:$AJ$505,"&gt;"&amp;$A120,実績!$AL$6:$AL$505,"○")&gt;0,1,0))</f>
        <v>0</v>
      </c>
      <c r="AR120" s="39" t="n">
        <f aca="false">IF(AR$4=0,0,IF(COUNTIFS(実績!$W$6:$W$505,AR$3,実績!$AI$6:$AI$505,"&lt;="&amp;$A120,実績!$AJ$6:$AJ$505,"&gt;"&amp;$A120,実績!$AL$6:$AL$505,"○")&gt;0,1,0))</f>
        <v>0</v>
      </c>
      <c r="AS120" s="39" t="n">
        <f aca="false">IF(AS$4=0,0,IF(COUNTIFS(実績!$W$6:$W$505,AS$3,実績!$AI$6:$AI$505,"&lt;="&amp;$A120,実績!$AJ$6:$AJ$505,"&gt;"&amp;$A120,実績!$AL$6:$AL$505,"○")&gt;0,1,0))</f>
        <v>0</v>
      </c>
      <c r="AT120" s="39" t="n">
        <f aca="false">IF(AT$4=0,0,IF(COUNTIFS(実績!$W$6:$W$505,AT$3,実績!$AI$6:$AI$505,"&lt;="&amp;$A120,実績!$AJ$6:$AJ$505,"&gt;"&amp;$A120,実績!$AL$6:$AL$505,"○")&gt;0,1,0))</f>
        <v>0</v>
      </c>
      <c r="AU120" s="39" t="n">
        <f aca="false">IF(AU$4=0,0,IF(COUNTIFS(実績!$W$6:$W$505,AU$3,実績!$AI$6:$AI$505,"&lt;="&amp;$A120,実績!$AJ$6:$AJ$505,"&gt;"&amp;$A120,実績!$AL$6:$AL$505,"○")&gt;0,1,0))</f>
        <v>0</v>
      </c>
      <c r="AV120" s="39" t="n">
        <f aca="false">IF(AV$4=0,0,IF(COUNTIFS(実績!$W$6:$W$505,AV$3,実績!$AI$6:$AI$505,"&lt;="&amp;$A120,実績!$AJ$6:$AJ$505,"&gt;"&amp;$A120,実績!$AL$6:$AL$505,"○")&gt;0,1,0))</f>
        <v>0</v>
      </c>
      <c r="AW120" s="39" t="n">
        <f aca="false">IF(AW$4=0,0,IF(COUNTIFS(実績!$W$6:$W$505,AW$3,実績!$AI$6:$AI$505,"&lt;="&amp;$A120,実績!$AJ$6:$AJ$505,"&gt;"&amp;$A120,実績!$AL$6:$AL$505,"○")&gt;0,1,0))</f>
        <v>0</v>
      </c>
      <c r="AX120" s="39" t="n">
        <f aca="false">IF(AX$4=0,0,IF(COUNTIFS(実績!$W$6:$W$505,AX$3,実績!$AI$6:$AI$505,"&lt;="&amp;$A120,実績!$AJ$6:$AJ$505,"&gt;"&amp;$A120,実績!$AL$6:$AL$505,"○")&gt;0,1,0))</f>
        <v>0</v>
      </c>
      <c r="AY120" s="39" t="n">
        <f aca="false">IF(AY$4=0,0,IF(COUNTIFS(実績!$W$6:$W$505,AY$3,実績!$AI$6:$AI$505,"&lt;="&amp;$A120,実績!$AJ$6:$AJ$505,"&gt;"&amp;$A120,実績!$AL$6:$AL$505,"○")&gt;0,1,0))</f>
        <v>0</v>
      </c>
      <c r="AZ120" s="39" t="n">
        <f aca="false">IF(AZ$4=0,0,IF(COUNTIFS(実績!$W$6:$W$505,AZ$3,実績!$AI$6:$AI$505,"&lt;="&amp;$A120,実績!$AJ$6:$AJ$505,"&gt;"&amp;$A120,実績!$AL$6:$AL$505,"○")&gt;0,1,0))</f>
        <v>0</v>
      </c>
      <c r="BA120" s="39" t="n">
        <f aca="false">IF(BA$4=0,0,IF(COUNTIFS(実績!$W$6:$W$505,BA$3,実績!$AI$6:$AI$505,"&lt;="&amp;$A120,実績!$AJ$6:$AJ$505,"&gt;"&amp;$A120,実績!$AL$6:$AL$505,"○")&gt;0,1,0))</f>
        <v>0</v>
      </c>
      <c r="BB120" s="39" t="n">
        <f aca="false">IF(BB$4=0,0,IF(COUNTIFS(実績!$W$6:$W$505,BB$3,実績!$AI$6:$AI$505,"&lt;="&amp;$A120,実績!$AJ$6:$AJ$505,"&gt;"&amp;$A120,実績!$AL$6:$AL$505,"○")&gt;0,1,0))</f>
        <v>0</v>
      </c>
      <c r="BC120" s="39" t="n">
        <f aca="false">IF(BC$4=0,0,IF(COUNTIFS(実績!$W$6:$W$505,BC$3,実績!$AI$6:$AI$505,"&lt;="&amp;$A120,実績!$AJ$6:$AJ$505,"&gt;"&amp;$A120,実績!$AL$6:$AL$505,"○")&gt;0,1,0))</f>
        <v>0</v>
      </c>
      <c r="BD120" s="39" t="n">
        <f aca="false">IF(BD$4=0,0,IF(COUNTIFS(実績!$W$6:$W$505,BD$3,実績!$AI$6:$AI$505,"&lt;="&amp;$A120,実績!$AJ$6:$AJ$505,"&gt;"&amp;$A120,実績!$AL$6:$AL$505,"○")&gt;0,1,0))</f>
        <v>0</v>
      </c>
      <c r="BE120" s="39" t="n">
        <f aca="false">IF(BE$4=0,0,IF(COUNTIFS(実績!$W$6:$W$505,BE$3,実績!$AI$6:$AI$505,"&lt;="&amp;$A120,実績!$AJ$6:$AJ$505,"&gt;"&amp;$A120,実績!$AL$6:$AL$505,"○")&gt;0,1,0))</f>
        <v>0</v>
      </c>
      <c r="BF120" s="39" t="n">
        <f aca="false">IF(BF$4=0,0,IF(COUNTIFS(実績!$W$6:$W$505,BF$3,実績!$AI$6:$AI$505,"&lt;="&amp;$A120,実績!$AJ$6:$AJ$505,"&gt;"&amp;$A120,実績!$AL$6:$AL$505,"○")&gt;0,1,0))</f>
        <v>0</v>
      </c>
      <c r="BG120" s="39" t="n">
        <f aca="false">IF(BG$4=0,0,IF(COUNTIFS(実績!$W$6:$W$505,BG$3,実績!$AI$6:$AI$505,"&lt;="&amp;$A120,実績!$AJ$6:$AJ$505,"&gt;"&amp;$A120,実績!$AL$6:$AL$505,"○")&gt;0,1,0))</f>
        <v>0</v>
      </c>
      <c r="BH120" s="39" t="n">
        <f aca="false">IF(BH$4=0,0,IF(COUNTIFS(実績!$W$6:$W$505,BH$3,実績!$AI$6:$AI$505,"&lt;="&amp;$A120,実績!$AJ$6:$AJ$505,"&gt;"&amp;$A120,実績!$AL$6:$AL$505,"○")&gt;0,1,0))</f>
        <v>0</v>
      </c>
      <c r="BI120" s="39" t="n">
        <f aca="false">IF(BI$4=0,0,IF(COUNTIFS(実績!$W$6:$W$505,BI$3,実績!$AI$6:$AI$505,"&lt;="&amp;$A120,実績!$AJ$6:$AJ$505,"&gt;"&amp;$A120,実績!$AL$6:$AL$505,"○")&gt;0,1,0))</f>
        <v>0</v>
      </c>
      <c r="BJ120" s="39" t="n">
        <f aca="false">IF(BJ$4=0,0,IF(COUNTIFS(実績!$W$6:$W$505,BJ$3,実績!$AI$6:$AI$505,"&lt;="&amp;$A120,実績!$AJ$6:$AJ$505,"&gt;"&amp;$A120,実績!$AL$6:$AL$505,"○")&gt;0,1,0))</f>
        <v>0</v>
      </c>
      <c r="BK120" s="39" t="n">
        <f aca="false">IF(BK$4=0,0,IF(COUNTIFS(実績!$W$6:$W$505,BK$3,実績!$AI$6:$AI$505,"&lt;="&amp;$A120,実績!$AJ$6:$AJ$505,"&gt;"&amp;$A120,実績!$AL$6:$AL$505,"○")&gt;0,1,0))</f>
        <v>0</v>
      </c>
      <c r="BL120" s="39" t="n">
        <f aca="false">IF(BL$4=0,0,IF(COUNTIFS(実績!$W$6:$W$505,BL$3,実績!$AI$6:$AI$505,"&lt;="&amp;$A120,実績!$AJ$6:$AJ$505,"&gt;"&amp;$A120,実績!$AL$6:$AL$505,"○")&gt;0,1,0))</f>
        <v>0</v>
      </c>
      <c r="BM120" s="39" t="n">
        <f aca="false">IF(BM$4=0,0,IF(COUNTIFS(実績!$W$6:$W$505,BM$3,実績!$AI$6:$AI$505,"&lt;="&amp;$A120,実績!$AJ$6:$AJ$505,"&gt;"&amp;$A120,実績!$AL$6:$AL$505,"○")&gt;0,1,0))</f>
        <v>0</v>
      </c>
      <c r="BN120" s="39" t="n">
        <f aca="false">IF(BN$4=0,0,IF(COUNTIFS(実績!$W$6:$W$505,BN$3,実績!$AI$6:$AI$505,"&lt;="&amp;$A120,実績!$AJ$6:$AJ$505,"&gt;"&amp;$A120,実績!$AL$6:$AL$505,"○")&gt;0,1,0))</f>
        <v>0</v>
      </c>
      <c r="BO120" s="39" t="n">
        <f aca="false">IF(BO$4=0,0,IF(COUNTIFS(実績!$W$6:$W$505,BO$3,実績!$AI$6:$AI$505,"&lt;="&amp;$A120,実績!$AJ$6:$AJ$505,"&gt;"&amp;$A120,実績!$AL$6:$AL$505,"○")&gt;0,1,0))</f>
        <v>0</v>
      </c>
      <c r="BP120" s="39" t="n">
        <f aca="false">IF(BP$4=0,0,IF(COUNTIFS(実績!$W$6:$W$505,BP$3,実績!$AI$6:$AI$505,"&lt;="&amp;$A120,実績!$AJ$6:$AJ$505,"&gt;"&amp;$A120,実績!$AL$6:$AL$505,"○")&gt;0,1,0))</f>
        <v>0</v>
      </c>
      <c r="BQ120" s="39" t="n">
        <f aca="false">IF(BQ$4=0,0,IF(COUNTIFS(実績!$W$6:$W$505,BQ$3,実績!$AI$6:$AI$505,"&lt;="&amp;$A120,実績!$AJ$6:$AJ$505,"&gt;"&amp;$A120,実績!$AL$6:$AL$505,"○")&gt;0,1,0))</f>
        <v>0</v>
      </c>
      <c r="BR120" s="39" t="n">
        <f aca="false">IF(BR$4=0,0,IF(COUNTIFS(実績!$W$6:$W$505,BR$3,実績!$AI$6:$AI$505,"&lt;="&amp;$A120,実績!$AJ$6:$AJ$505,"&gt;"&amp;$A120,実績!$AL$6:$AL$505,"○")&gt;0,1,0))</f>
        <v>0</v>
      </c>
      <c r="BS120" s="39" t="n">
        <f aca="false">IF(BS$4=0,0,IF(COUNTIFS(実績!$W$6:$W$505,BS$3,実績!$AI$6:$AI$505,"&lt;="&amp;$A120,実績!$AJ$6:$AJ$505,"&gt;"&amp;$A120,実績!$AL$6:$AL$505,"○")&gt;0,1,0))</f>
        <v>0</v>
      </c>
      <c r="BT120" s="39" t="n">
        <f aca="false">IF(BT$4=0,0,IF(COUNTIFS(実績!$W$6:$W$505,BT$3,実績!$AI$6:$AI$505,"&lt;="&amp;$A120,実績!$AJ$6:$AJ$505,"&gt;"&amp;$A120,実績!$AL$6:$AL$505,"○")&gt;0,1,0))</f>
        <v>0</v>
      </c>
      <c r="BU120" s="39" t="n">
        <f aca="false">IF(BU$4=0,0,IF(COUNTIFS(実績!$W$6:$W$505,BU$3,実績!$AI$6:$AI$505,"&lt;="&amp;$A120,実績!$AJ$6:$AJ$505,"&gt;"&amp;$A120,実績!$AL$6:$AL$505,"○")&gt;0,1,0))</f>
        <v>0</v>
      </c>
      <c r="BV120" s="39" t="n">
        <f aca="false">IF(BV$4=0,0,IF(COUNTIFS(実績!$W$6:$W$505,BV$3,実績!$AI$6:$AI$505,"&lt;="&amp;$A120,実績!$AJ$6:$AJ$505,"&gt;"&amp;$A120,実績!$AL$6:$AL$505,"○")&gt;0,1,0))</f>
        <v>0</v>
      </c>
      <c r="BW120" s="39" t="n">
        <f aca="false">IF(BW$4=0,0,IF(COUNTIFS(実績!$W$6:$W$505,BW$3,実績!$AI$6:$AI$505,"&lt;="&amp;$A120,実績!$AJ$6:$AJ$505,"&gt;"&amp;$A120,実績!$AL$6:$AL$505,"○")&gt;0,1,0))</f>
        <v>0</v>
      </c>
      <c r="BX120" s="39" t="n">
        <f aca="false">IF(BX$4=0,0,IF(COUNTIFS(実績!$W$6:$W$505,BX$3,実績!$AI$6:$AI$505,"&lt;="&amp;$A120,実績!$AJ$6:$AJ$505,"&gt;"&amp;$A120,実績!$AL$6:$AL$505,"○")&gt;0,1,0))</f>
        <v>0</v>
      </c>
      <c r="BY120" s="39" t="n">
        <f aca="false">IF(BY$4=0,0,IF(COUNTIFS(実績!$W$6:$W$505,BY$3,実績!$AI$6:$AI$505,"&lt;="&amp;$A120,実績!$AJ$6:$AJ$505,"&gt;"&amp;$A120,実績!$AL$6:$AL$505,"○")&gt;0,1,0))</f>
        <v>0</v>
      </c>
      <c r="BZ120" s="39" t="n">
        <f aca="false">IF(BZ$4=0,0,IF(COUNTIFS(実績!$W$6:$W$505,BZ$3,実績!$AI$6:$AI$505,"&lt;="&amp;$A120,実績!$AJ$6:$AJ$505,"&gt;"&amp;$A120,実績!$AL$6:$AL$505,"○")&gt;0,1,0))</f>
        <v>0</v>
      </c>
      <c r="CA120" s="39" t="n">
        <f aca="false">IF(CA$4=0,0,IF(COUNTIFS(実績!$W$6:$W$505,CA$3,実績!$AI$6:$AI$505,"&lt;="&amp;$A120,実績!$AJ$6:$AJ$505,"&gt;"&amp;$A120,実績!$AL$6:$AL$505,"○")&gt;0,1,0))</f>
        <v>0</v>
      </c>
      <c r="CB120" s="39" t="n">
        <f aca="false">IF(CB$4=0,0,IF(COUNTIFS(実績!$W$6:$W$505,CB$3,実績!$AI$6:$AI$505,"&lt;="&amp;$A120,実績!$AJ$6:$AJ$505,"&gt;"&amp;$A120,実績!$AL$6:$AL$505,"○")&gt;0,1,0))</f>
        <v>0</v>
      </c>
      <c r="CC120" s="39" t="n">
        <f aca="false">IF(CC$4=0,0,IF(COUNTIFS(実績!$W$6:$W$505,CC$3,実績!$AI$6:$AI$505,"&lt;="&amp;$A120,実績!$AJ$6:$AJ$505,"&gt;"&amp;$A120,実績!$AL$6:$AL$505,"○")&gt;0,1,0))</f>
        <v>0</v>
      </c>
      <c r="CD120" s="39" t="n">
        <f aca="false">IF(CD$4=0,0,IF(COUNTIFS(実績!$W$6:$W$505,CD$3,実績!$AI$6:$AI$505,"&lt;="&amp;$A120,実績!$AJ$6:$AJ$505,"&gt;"&amp;$A120,実績!$AL$6:$AL$505,"○")&gt;0,1,0))</f>
        <v>0</v>
      </c>
      <c r="CE120" s="39" t="n">
        <f aca="false">IF(CE$4=0,0,IF(COUNTIFS(実績!$W$6:$W$505,CE$3,実績!$AI$6:$AI$505,"&lt;="&amp;$A120,実績!$AJ$6:$AJ$505,"&gt;"&amp;$A120,実績!$AL$6:$AL$505,"○")&gt;0,1,0))</f>
        <v>0</v>
      </c>
      <c r="CF120" s="39" t="n">
        <f aca="false">IF(CF$4=0,0,IF(COUNTIFS(実績!$W$6:$W$505,CF$3,実績!$AI$6:$AI$505,"&lt;="&amp;$A120,実績!$AJ$6:$AJ$505,"&gt;"&amp;$A120,実績!$AL$6:$AL$505,"○")&gt;0,1,0))</f>
        <v>0</v>
      </c>
      <c r="CG120" s="39" t="n">
        <f aca="false">IF(CG$4=0,0,IF(COUNTIFS(実績!$W$6:$W$505,CG$3,実績!$AI$6:$AI$505,"&lt;="&amp;$A120,実績!$AJ$6:$AJ$505,"&gt;"&amp;$A120,実績!$AL$6:$AL$505,"○")&gt;0,1,0))</f>
        <v>0</v>
      </c>
      <c r="CH120" s="39" t="n">
        <f aca="false">IF(CH$4=0,0,IF(COUNTIFS(実績!$W$6:$W$505,CH$3,実績!$AI$6:$AI$505,"&lt;="&amp;$A120,実績!$AJ$6:$AJ$505,"&gt;"&amp;$A120,実績!$AL$6:$AL$505,"○")&gt;0,1,0))</f>
        <v>0</v>
      </c>
      <c r="CI120" s="39" t="n">
        <f aca="false">IF(CI$4=0,0,IF(COUNTIFS(実績!$W$6:$W$505,CI$3,実績!$AI$6:$AI$505,"&lt;="&amp;$A120,実績!$AJ$6:$AJ$505,"&gt;"&amp;$A120,実績!$AL$6:$AL$505,"○")&gt;0,1,0))</f>
        <v>0</v>
      </c>
      <c r="CJ120" s="39" t="n">
        <f aca="false">IF(CJ$4=0,0,IF(COUNTIFS(実績!$W$6:$W$505,CJ$3,実績!$AI$6:$AI$505,"&lt;="&amp;$A120,実績!$AJ$6:$AJ$505,"&gt;"&amp;$A120,実績!$AL$6:$AL$505,"○")&gt;0,1,0))</f>
        <v>0</v>
      </c>
      <c r="CK120" s="39" t="n">
        <f aca="false">IF(CK$4=0,0,IF(COUNTIFS(実績!$W$6:$W$505,CK$3,実績!$AI$6:$AI$505,"&lt;="&amp;$A120,実績!$AJ$6:$AJ$505,"&gt;"&amp;$A120,実績!$AL$6:$AL$505,"○")&gt;0,1,0))</f>
        <v>0</v>
      </c>
      <c r="CL120" s="39" t="n">
        <f aca="false">IF(CL$4=0,0,IF(COUNTIFS(実績!$W$6:$W$505,CL$3,実績!$AI$6:$AI$505,"&lt;="&amp;$A120,実績!$AJ$6:$AJ$505,"&gt;"&amp;$A120,実績!$AL$6:$AL$505,"○")&gt;0,1,0))</f>
        <v>0</v>
      </c>
      <c r="CM120" s="39" t="n">
        <f aca="false">IF(CM$4=0,0,IF(COUNTIFS(実績!$W$6:$W$505,CM$3,実績!$AI$6:$AI$505,"&lt;="&amp;$A120,実績!$AJ$6:$AJ$505,"&gt;"&amp;$A120,実績!$AL$6:$AL$505,"○")&gt;0,1,0))</f>
        <v>0</v>
      </c>
      <c r="CN120" s="39" t="n">
        <f aca="false">IF(CN$4=0,0,IF(COUNTIFS(実績!$W$6:$W$505,CN$3,実績!$AI$6:$AI$505,"&lt;="&amp;$A120,実績!$AJ$6:$AJ$505,"&gt;"&amp;$A120,実績!$AL$6:$AL$505,"○")&gt;0,1,0))</f>
        <v>0</v>
      </c>
      <c r="CO120" s="39" t="n">
        <f aca="false">IF(CO$4=0,0,IF(COUNTIFS(実績!$W$6:$W$505,CO$3,実績!$AI$6:$AI$505,"&lt;="&amp;$A120,実績!$AJ$6:$AJ$505,"&gt;"&amp;$A120,実績!$AL$6:$AL$505,"○")&gt;0,1,0))</f>
        <v>0</v>
      </c>
      <c r="CP120" s="39" t="n">
        <f aca="false">IF(CP$4=0,0,IF(COUNTIFS(実績!$W$6:$W$505,CP$3,実績!$AI$6:$AI$505,"&lt;="&amp;$A120,実績!$AJ$6:$AJ$505,"&gt;"&amp;$A120,実績!$AL$6:$AL$505,"○")&gt;0,1,0))</f>
        <v>0</v>
      </c>
      <c r="CQ120" s="39" t="n">
        <f aca="false">IF(CQ$4=0,0,IF(COUNTIFS(実績!$W$6:$W$505,CQ$3,実績!$AI$6:$AI$505,"&lt;="&amp;$A120,実績!$AJ$6:$AJ$505,"&gt;"&amp;$A120,実績!$AL$6:$AL$505,"○")&gt;0,1,0))</f>
        <v>0</v>
      </c>
      <c r="CR120" s="39" t="n">
        <f aca="false">IF(CR$4=0,0,IF(COUNTIFS(実績!$W$6:$W$505,CR$3,実績!$AI$6:$AI$505,"&lt;="&amp;$A120,実績!$AJ$6:$AJ$505,"&gt;"&amp;$A120,実績!$AL$6:$AL$505,"○")&gt;0,1,0))</f>
        <v>0</v>
      </c>
      <c r="CS120" s="39" t="n">
        <f aca="false">IF(CS$4=0,0,IF(COUNTIFS(実績!$W$6:$W$505,CS$3,実績!$AI$6:$AI$505,"&lt;="&amp;$A120,実績!$AJ$6:$AJ$505,"&gt;"&amp;$A120,実績!$AL$6:$AL$505,"○")&gt;0,1,0))</f>
        <v>0</v>
      </c>
      <c r="CT120" s="39" t="n">
        <f aca="false">IF(CT$4=0,0,IF(COUNTIFS(実績!$W$6:$W$505,CT$3,実績!$AI$6:$AI$505,"&lt;="&amp;$A120,実績!$AJ$6:$AJ$505,"&gt;"&amp;$A120,実績!$AL$6:$AL$505,"○")&gt;0,1,0))</f>
        <v>0</v>
      </c>
      <c r="CU120" s="39" t="n">
        <f aca="false">IF(CU$4=0,0,IF(COUNTIFS(実績!$W$6:$W$505,CU$3,実績!$AI$6:$AI$505,"&lt;="&amp;$A120,実績!$AJ$6:$AJ$505,"&gt;"&amp;$A120,実績!$AL$6:$AL$505,"○")&gt;0,1,0))</f>
        <v>0</v>
      </c>
      <c r="CV120" s="39" t="n">
        <f aca="false">IF(CV$4=0,0,IF(COUNTIFS(実績!$W$6:$W$505,CV$3,実績!$AI$6:$AI$505,"&lt;="&amp;$A120,実績!$AJ$6:$AJ$505,"&gt;"&amp;$A120,実績!$AL$6:$AL$505,"○")&gt;0,1,0))</f>
        <v>0</v>
      </c>
      <c r="CW120" s="39" t="n">
        <f aca="false">IF(CW$4=0,0,IF(COUNTIFS(実績!$W$6:$W$505,CW$3,実績!$AI$6:$AI$505,"&lt;="&amp;$A120,実績!$AJ$6:$AJ$505,"&gt;"&amp;$A120,実績!$AL$6:$AL$505,"○")&gt;0,1,0))</f>
        <v>0</v>
      </c>
      <c r="CX120" s="39" t="n">
        <f aca="false">IF(CX$4=0,0,IF(COUNTIFS(実績!$W$6:$W$505,CX$3,実績!$AI$6:$AI$505,"&lt;="&amp;$A120,実績!$AJ$6:$AJ$505,"&gt;"&amp;$A120,実績!$AL$6:$AL$505,"○")&gt;0,1,0))</f>
        <v>0</v>
      </c>
      <c r="CY120" s="39" t="n">
        <f aca="false">IF(CY$4=0,0,IF(COUNTIFS(実績!$W$6:$W$505,CY$3,実績!$AI$6:$AI$505,"&lt;="&amp;$A120,実績!$AJ$6:$AJ$505,"&gt;"&amp;$A120,実績!$AL$6:$AL$505,"○")&gt;0,1,0))</f>
        <v>0</v>
      </c>
      <c r="CZ120" s="39" t="n">
        <f aca="false">IF(CZ$4=0,0,IF(COUNTIFS(実績!$W$6:$W$505,CZ$3,実績!$AI$6:$AI$505,"&lt;="&amp;$A120,実績!$AJ$6:$AJ$505,"&gt;"&amp;$A120,実績!$AL$6:$AL$505,"○")&gt;0,1,0))</f>
        <v>0</v>
      </c>
      <c r="DA120" s="39" t="n">
        <f aca="false">IF(DA$4=0,0,IF(COUNTIFS(実績!$W$6:$W$505,DA$3,実績!$AI$6:$AI$505,"&lt;="&amp;$A120,実績!$AJ$6:$AJ$505,"&gt;"&amp;$A120,実績!$AL$6:$AL$505,"○")&gt;0,1,0))</f>
        <v>0</v>
      </c>
      <c r="DB120" s="39" t="n">
        <f aca="false">IF(DB$4=0,0,IF(COUNTIFS(実績!$W$6:$W$505,DB$3,実績!$AI$6:$AI$505,"&lt;="&amp;$A120,実績!$AJ$6:$AJ$505,"&gt;"&amp;$A120,実績!$AL$6:$AL$505,"○")&gt;0,1,0))</f>
        <v>0</v>
      </c>
      <c r="DC120" s="39" t="n">
        <f aca="false">IF(DC$4=0,0,IF(COUNTIFS(実績!$W$6:$W$505,DC$3,実績!$AI$6:$AI$505,"&lt;="&amp;$A120,実績!$AJ$6:$AJ$505,"&gt;"&amp;$A120,実績!$AL$6:$AL$505,"○")&gt;0,1,0))</f>
        <v>0</v>
      </c>
      <c r="DD120" s="39" t="n">
        <f aca="false">IF(DD$4=0,0,IF(COUNTIFS(実績!$W$6:$W$505,DD$3,実績!$AI$6:$AI$505,"&lt;="&amp;$A120,実績!$AJ$6:$AJ$505,"&gt;"&amp;$A120,実績!$AL$6:$AL$505,"○")&gt;0,1,0))</f>
        <v>0</v>
      </c>
      <c r="DE120" s="39" t="n">
        <f aca="false">IF(DE$4=0,0,IF(COUNTIFS(実績!$W$6:$W$505,DE$3,実績!$AI$6:$AI$505,"&lt;="&amp;$A120,実績!$AJ$6:$AJ$505,"&gt;"&amp;$A120,実績!$AL$6:$AL$505,"○")&gt;0,1,0))</f>
        <v>0</v>
      </c>
      <c r="DF120" s="39" t="n">
        <f aca="false">IF(DF$4=0,0,IF(COUNTIFS(実績!$W$6:$W$505,DF$3,実績!$AI$6:$AI$505,"&lt;="&amp;$A120,実績!$AJ$6:$AJ$505,"&gt;"&amp;$A120,実績!$AL$6:$AL$505,"○")&gt;0,1,0))</f>
        <v>0</v>
      </c>
      <c r="DG120" s="39" t="n">
        <f aca="false">IF(DG$4=0,0,IF(COUNTIFS(実績!$W$6:$W$505,DG$3,実績!$AI$6:$AI$505,"&lt;="&amp;$A120,実績!$AJ$6:$AJ$505,"&gt;"&amp;$A120,実績!$AL$6:$AL$505,"○")&gt;0,1,0))</f>
        <v>0</v>
      </c>
      <c r="DH120" s="39" t="n">
        <f aca="false">IF(DH$4=0,0,IF(COUNTIFS(実績!$W$6:$W$505,DH$3,実績!$AI$6:$AI$505,"&lt;="&amp;$A120,実績!$AJ$6:$AJ$505,"&gt;"&amp;$A120,実績!$AL$6:$AL$505,"○")&gt;0,1,0))</f>
        <v>0</v>
      </c>
      <c r="DI120" s="39" t="n">
        <f aca="false">IF(DI$4=0,0,IF(COUNTIFS(実績!$W$6:$W$505,DI$3,実績!$AI$6:$AI$505,"&lt;="&amp;$A120,実績!$AJ$6:$AJ$505,"&gt;"&amp;$A120,実績!$AL$6:$AL$505,"○")&gt;0,1,0))</f>
        <v>0</v>
      </c>
      <c r="DJ120" s="39" t="n">
        <f aca="false">IF(DJ$4=0,0,IF(COUNTIFS(実績!$W$6:$W$505,DJ$3,実績!$AI$6:$AI$505,"&lt;="&amp;$A120,実績!$AJ$6:$AJ$505,"&gt;"&amp;$A120,実績!$AL$6:$AL$505,"○")&gt;0,1,0))</f>
        <v>0</v>
      </c>
      <c r="DK120" s="39" t="n">
        <f aca="false">IF(DK$4=0,0,IF(COUNTIFS(実績!$W$6:$W$505,DK$3,実績!$AI$6:$AI$505,"&lt;="&amp;$A120,実績!$AJ$6:$AJ$505,"&gt;"&amp;$A120,実績!$AL$6:$AL$505,"○")&gt;0,1,0))</f>
        <v>0</v>
      </c>
      <c r="DL120" s="39" t="n">
        <f aca="false">IF(DL$4=0,0,IF(COUNTIFS(実績!$W$6:$W$505,DL$3,実績!$AI$6:$AI$505,"&lt;="&amp;$A120,実績!$AJ$6:$AJ$505,"&gt;"&amp;$A120,実績!$AL$6:$AL$505,"○")&gt;0,1,0))</f>
        <v>0</v>
      </c>
      <c r="DM120" s="39" t="n">
        <f aca="false">IF(DM$4=0,0,IF(COUNTIFS(実績!$W$6:$W$505,DM$3,実績!$AI$6:$AI$505,"&lt;="&amp;$A120,実績!$AJ$6:$AJ$505,"&gt;"&amp;$A120,実績!$AL$6:$AL$505,"○")&gt;0,1,0))</f>
        <v>0</v>
      </c>
      <c r="DN120" s="39" t="n">
        <f aca="false">IF(DN$4=0,0,IF(COUNTIFS(実績!$W$6:$W$505,DN$3,実績!$AI$6:$AI$505,"&lt;="&amp;$A120,実績!$AJ$6:$AJ$505,"&gt;"&amp;$A120,実績!$AL$6:$AL$505,"○")&gt;0,1,0))</f>
        <v>0</v>
      </c>
      <c r="DO120" s="39" t="n">
        <f aca="false">IF(DO$4=0,0,IF(COUNTIFS(実績!$W$6:$W$505,DO$3,実績!$AI$6:$AI$505,"&lt;="&amp;$A120,実績!$AJ$6:$AJ$505,"&gt;"&amp;$A120,実績!$AL$6:$AL$505,"○")&gt;0,1,0))</f>
        <v>0</v>
      </c>
      <c r="DP120" s="39" t="n">
        <f aca="false">IF(DP$4=0,0,IF(COUNTIFS(実績!$W$6:$W$505,DP$3,実績!$AI$6:$AI$505,"&lt;="&amp;$A120,実績!$AJ$6:$AJ$505,"&gt;"&amp;$A120,実績!$AL$6:$AL$505,"○")&gt;0,1,0))</f>
        <v>0</v>
      </c>
      <c r="DQ120" s="39" t="n">
        <f aca="false">IF(DQ$4=0,0,IF(COUNTIFS(実績!$W$6:$W$505,DQ$3,実績!$AI$6:$AI$505,"&lt;="&amp;$A120,実績!$AJ$6:$AJ$505,"&gt;"&amp;$A120,実績!$AL$6:$AL$505,"○")&gt;0,1,0))</f>
        <v>0</v>
      </c>
      <c r="DR120" s="39" t="n">
        <f aca="false">IF(DR$4=0,0,IF(COUNTIFS(実績!$W$6:$W$505,DR$3,実績!$AI$6:$AI$505,"&lt;="&amp;$A120,実績!$AJ$6:$AJ$505,"&gt;"&amp;$A120,実績!$AL$6:$AL$505,"○")&gt;0,1,0))</f>
        <v>0</v>
      </c>
      <c r="DS120" s="39" t="n">
        <f aca="false">SUM(C120:DR120)</f>
        <v>0</v>
      </c>
    </row>
    <row r="121" customFormat="false" ht="15" hidden="false" customHeight="false" outlineLevel="0" collapsed="false">
      <c r="A121" s="0" t="n">
        <v>575</v>
      </c>
      <c r="B121" s="38" t="n">
        <f aca="false">A121/1440</f>
        <v>0.399305555555556</v>
      </c>
      <c r="C121" s="39" t="n">
        <f aca="false">IF(C$4=0,0,IF(COUNTIFS(実績!$W$6:$W$505,C$3,実績!$AI$6:$AI$505,"&lt;="&amp;$A121,実績!$AJ$6:$AJ$505,"&gt;"&amp;$A121,実績!$AL$6:$AL$505,"○")&gt;0,1,0))</f>
        <v>0</v>
      </c>
      <c r="D121" s="39" t="n">
        <f aca="false">IF(D$4=0,0,IF(COUNTIFS(実績!$W$6:$W$505,D$3,実績!$AI$6:$AI$505,"&lt;="&amp;$A121,実績!$AJ$6:$AJ$505,"&gt;"&amp;$A121,実績!$AL$6:$AL$505,"○")&gt;0,1,0))</f>
        <v>0</v>
      </c>
      <c r="E121" s="39" t="n">
        <f aca="false">IF(E$4=0,0,IF(COUNTIFS(実績!$W$6:$W$505,E$3,実績!$AI$6:$AI$505,"&lt;="&amp;$A121,実績!$AJ$6:$AJ$505,"&gt;"&amp;$A121,実績!$AL$6:$AL$505,"○")&gt;0,1,0))</f>
        <v>0</v>
      </c>
      <c r="F121" s="39" t="n">
        <f aca="false">IF(F$4=0,0,IF(COUNTIFS(実績!$W$6:$W$505,F$3,実績!$AI$6:$AI$505,"&lt;="&amp;$A121,実績!$AJ$6:$AJ$505,"&gt;"&amp;$A121,実績!$AL$6:$AL$505,"○")&gt;0,1,0))</f>
        <v>0</v>
      </c>
      <c r="G121" s="39" t="n">
        <f aca="false">IF(G$4=0,0,IF(COUNTIFS(実績!$W$6:$W$505,G$3,実績!$AI$6:$AI$505,"&lt;="&amp;$A121,実績!$AJ$6:$AJ$505,"&gt;"&amp;$A121,実績!$AL$6:$AL$505,"○")&gt;0,1,0))</f>
        <v>0</v>
      </c>
      <c r="H121" s="39" t="n">
        <f aca="false">IF(H$4=0,0,IF(COUNTIFS(実績!$W$6:$W$505,H$3,実績!$AI$6:$AI$505,"&lt;="&amp;$A121,実績!$AJ$6:$AJ$505,"&gt;"&amp;$A121,実績!$AL$6:$AL$505,"○")&gt;0,1,0))</f>
        <v>0</v>
      </c>
      <c r="I121" s="39" t="n">
        <f aca="false">IF(I$4=0,0,IF(COUNTIFS(実績!$W$6:$W$505,I$3,実績!$AI$6:$AI$505,"&lt;="&amp;$A121,実績!$AJ$6:$AJ$505,"&gt;"&amp;$A121,実績!$AL$6:$AL$505,"○")&gt;0,1,0))</f>
        <v>0</v>
      </c>
      <c r="J121" s="39" t="n">
        <f aca="false">IF(J$4=0,0,IF(COUNTIFS(実績!$W$6:$W$505,J$3,実績!$AI$6:$AI$505,"&lt;="&amp;$A121,実績!$AJ$6:$AJ$505,"&gt;"&amp;$A121,実績!$AL$6:$AL$505,"○")&gt;0,1,0))</f>
        <v>0</v>
      </c>
      <c r="K121" s="39" t="n">
        <f aca="false">IF(K$4=0,0,IF(COUNTIFS(実績!$W$6:$W$505,K$3,実績!$AI$6:$AI$505,"&lt;="&amp;$A121,実績!$AJ$6:$AJ$505,"&gt;"&amp;$A121,実績!$AL$6:$AL$505,"○")&gt;0,1,0))</f>
        <v>0</v>
      </c>
      <c r="L121" s="39" t="n">
        <f aca="false">IF(L$4=0,0,IF(COUNTIFS(実績!$W$6:$W$505,L$3,実績!$AI$6:$AI$505,"&lt;="&amp;$A121,実績!$AJ$6:$AJ$505,"&gt;"&amp;$A121,実績!$AL$6:$AL$505,"○")&gt;0,1,0))</f>
        <v>0</v>
      </c>
      <c r="M121" s="39" t="n">
        <f aca="false">IF(M$4=0,0,IF(COUNTIFS(実績!$W$6:$W$505,M$3,実績!$AI$6:$AI$505,"&lt;="&amp;$A121,実績!$AJ$6:$AJ$505,"&gt;"&amp;$A121,実績!$AL$6:$AL$505,"○")&gt;0,1,0))</f>
        <v>0</v>
      </c>
      <c r="N121" s="39" t="n">
        <f aca="false">IF(N$4=0,0,IF(COUNTIFS(実績!$W$6:$W$505,N$3,実績!$AI$6:$AI$505,"&lt;="&amp;$A121,実績!$AJ$6:$AJ$505,"&gt;"&amp;$A121,実績!$AL$6:$AL$505,"○")&gt;0,1,0))</f>
        <v>0</v>
      </c>
      <c r="O121" s="39" t="n">
        <f aca="false">IF(O$4=0,0,IF(COUNTIFS(実績!$W$6:$W$505,O$3,実績!$AI$6:$AI$505,"&lt;="&amp;$A121,実績!$AJ$6:$AJ$505,"&gt;"&amp;$A121,実績!$AL$6:$AL$505,"○")&gt;0,1,0))</f>
        <v>0</v>
      </c>
      <c r="P121" s="39" t="n">
        <f aca="false">IF(P$4=0,0,IF(COUNTIFS(実績!$W$6:$W$505,P$3,実績!$AI$6:$AI$505,"&lt;="&amp;$A121,実績!$AJ$6:$AJ$505,"&gt;"&amp;$A121,実績!$AL$6:$AL$505,"○")&gt;0,1,0))</f>
        <v>0</v>
      </c>
      <c r="Q121" s="39" t="n">
        <f aca="false">IF(Q$4=0,0,IF(COUNTIFS(実績!$W$6:$W$505,Q$3,実績!$AI$6:$AI$505,"&lt;="&amp;$A121,実績!$AJ$6:$AJ$505,"&gt;"&amp;$A121,実績!$AL$6:$AL$505,"○")&gt;0,1,0))</f>
        <v>0</v>
      </c>
      <c r="R121" s="39" t="n">
        <f aca="false">IF(R$4=0,0,IF(COUNTIFS(実績!$W$6:$W$505,R$3,実績!$AI$6:$AI$505,"&lt;="&amp;$A121,実績!$AJ$6:$AJ$505,"&gt;"&amp;$A121,実績!$AL$6:$AL$505,"○")&gt;0,1,0))</f>
        <v>0</v>
      </c>
      <c r="S121" s="39" t="n">
        <f aca="false">IF(S$4=0,0,IF(COUNTIFS(実績!$W$6:$W$505,S$3,実績!$AI$6:$AI$505,"&lt;="&amp;$A121,実績!$AJ$6:$AJ$505,"&gt;"&amp;$A121,実績!$AL$6:$AL$505,"○")&gt;0,1,0))</f>
        <v>0</v>
      </c>
      <c r="T121" s="39" t="n">
        <f aca="false">IF(T$4=0,0,IF(COUNTIFS(実績!$W$6:$W$505,T$3,実績!$AI$6:$AI$505,"&lt;="&amp;$A121,実績!$AJ$6:$AJ$505,"&gt;"&amp;$A121,実績!$AL$6:$AL$505,"○")&gt;0,1,0))</f>
        <v>0</v>
      </c>
      <c r="U121" s="39" t="n">
        <f aca="false">IF(U$4=0,0,IF(COUNTIFS(実績!$W$6:$W$505,U$3,実績!$AI$6:$AI$505,"&lt;="&amp;$A121,実績!$AJ$6:$AJ$505,"&gt;"&amp;$A121,実績!$AL$6:$AL$505,"○")&gt;0,1,0))</f>
        <v>0</v>
      </c>
      <c r="V121" s="39" t="n">
        <f aca="false">IF(V$4=0,0,IF(COUNTIFS(実績!$W$6:$W$505,V$3,実績!$AI$6:$AI$505,"&lt;="&amp;$A121,実績!$AJ$6:$AJ$505,"&gt;"&amp;$A121,実績!$AL$6:$AL$505,"○")&gt;0,1,0))</f>
        <v>0</v>
      </c>
      <c r="W121" s="39" t="n">
        <f aca="false">IF(W$4=0,0,IF(COUNTIFS(実績!$W$6:$W$505,W$3,実績!$AI$6:$AI$505,"&lt;="&amp;$A121,実績!$AJ$6:$AJ$505,"&gt;"&amp;$A121,実績!$AL$6:$AL$505,"○")&gt;0,1,0))</f>
        <v>0</v>
      </c>
      <c r="X121" s="39" t="n">
        <f aca="false">IF(X$4=0,0,IF(COUNTIFS(実績!$W$6:$W$505,X$3,実績!$AI$6:$AI$505,"&lt;="&amp;$A121,実績!$AJ$6:$AJ$505,"&gt;"&amp;$A121,実績!$AL$6:$AL$505,"○")&gt;0,1,0))</f>
        <v>0</v>
      </c>
      <c r="Y121" s="39" t="n">
        <f aca="false">IF(Y$4=0,0,IF(COUNTIFS(実績!$W$6:$W$505,Y$3,実績!$AI$6:$AI$505,"&lt;="&amp;$A121,実績!$AJ$6:$AJ$505,"&gt;"&amp;$A121,実績!$AL$6:$AL$505,"○")&gt;0,1,0))</f>
        <v>0</v>
      </c>
      <c r="Z121" s="39" t="n">
        <f aca="false">IF(Z$4=0,0,IF(COUNTIFS(実績!$W$6:$W$505,Z$3,実績!$AI$6:$AI$505,"&lt;="&amp;$A121,実績!$AJ$6:$AJ$505,"&gt;"&amp;$A121,実績!$AL$6:$AL$505,"○")&gt;0,1,0))</f>
        <v>0</v>
      </c>
      <c r="AA121" s="39" t="n">
        <f aca="false">IF(AA$4=0,0,IF(COUNTIFS(実績!$W$6:$W$505,AA$3,実績!$AI$6:$AI$505,"&lt;="&amp;$A121,実績!$AJ$6:$AJ$505,"&gt;"&amp;$A121,実績!$AL$6:$AL$505,"○")&gt;0,1,0))</f>
        <v>0</v>
      </c>
      <c r="AB121" s="39" t="n">
        <f aca="false">IF(AB$4=0,0,IF(COUNTIFS(実績!$W$6:$W$505,AB$3,実績!$AI$6:$AI$505,"&lt;="&amp;$A121,実績!$AJ$6:$AJ$505,"&gt;"&amp;$A121,実績!$AL$6:$AL$505,"○")&gt;0,1,0))</f>
        <v>0</v>
      </c>
      <c r="AC121" s="39" t="n">
        <f aca="false">IF(AC$4=0,0,IF(COUNTIFS(実績!$W$6:$W$505,AC$3,実績!$AI$6:$AI$505,"&lt;="&amp;$A121,実績!$AJ$6:$AJ$505,"&gt;"&amp;$A121,実績!$AL$6:$AL$505,"○")&gt;0,1,0))</f>
        <v>0</v>
      </c>
      <c r="AD121" s="39" t="n">
        <f aca="false">IF(AD$4=0,0,IF(COUNTIFS(実績!$W$6:$W$505,AD$3,実績!$AI$6:$AI$505,"&lt;="&amp;$A121,実績!$AJ$6:$AJ$505,"&gt;"&amp;$A121,実績!$AL$6:$AL$505,"○")&gt;0,1,0))</f>
        <v>0</v>
      </c>
      <c r="AE121" s="39" t="n">
        <f aca="false">IF(AE$4=0,0,IF(COUNTIFS(実績!$W$6:$W$505,AE$3,実績!$AI$6:$AI$505,"&lt;="&amp;$A121,実績!$AJ$6:$AJ$505,"&gt;"&amp;$A121,実績!$AL$6:$AL$505,"○")&gt;0,1,0))</f>
        <v>0</v>
      </c>
      <c r="AF121" s="39" t="n">
        <f aca="false">IF(AF$4=0,0,IF(COUNTIFS(実績!$W$6:$W$505,AF$3,実績!$AI$6:$AI$505,"&lt;="&amp;$A121,実績!$AJ$6:$AJ$505,"&gt;"&amp;$A121,実績!$AL$6:$AL$505,"○")&gt;0,1,0))</f>
        <v>0</v>
      </c>
      <c r="AG121" s="39" t="n">
        <f aca="false">IF(AG$4=0,0,IF(COUNTIFS(実績!$W$6:$W$505,AG$3,実績!$AI$6:$AI$505,"&lt;="&amp;$A121,実績!$AJ$6:$AJ$505,"&gt;"&amp;$A121,実績!$AL$6:$AL$505,"○")&gt;0,1,0))</f>
        <v>0</v>
      </c>
      <c r="AH121" s="39" t="n">
        <f aca="false">IF(AH$4=0,0,IF(COUNTIFS(実績!$W$6:$W$505,AH$3,実績!$AI$6:$AI$505,"&lt;="&amp;$A121,実績!$AJ$6:$AJ$505,"&gt;"&amp;$A121,実績!$AL$6:$AL$505,"○")&gt;0,1,0))</f>
        <v>0</v>
      </c>
      <c r="AI121" s="39" t="n">
        <f aca="false">IF(AI$4=0,0,IF(COUNTIFS(実績!$W$6:$W$505,AI$3,実績!$AI$6:$AI$505,"&lt;="&amp;$A121,実績!$AJ$6:$AJ$505,"&gt;"&amp;$A121,実績!$AL$6:$AL$505,"○")&gt;0,1,0))</f>
        <v>0</v>
      </c>
      <c r="AJ121" s="39" t="n">
        <f aca="false">IF(AJ$4=0,0,IF(COUNTIFS(実績!$W$6:$W$505,AJ$3,実績!$AI$6:$AI$505,"&lt;="&amp;$A121,実績!$AJ$6:$AJ$505,"&gt;"&amp;$A121,実績!$AL$6:$AL$505,"○")&gt;0,1,0))</f>
        <v>0</v>
      </c>
      <c r="AK121" s="39" t="n">
        <f aca="false">IF(AK$4=0,0,IF(COUNTIFS(実績!$W$6:$W$505,AK$3,実績!$AI$6:$AI$505,"&lt;="&amp;$A121,実績!$AJ$6:$AJ$505,"&gt;"&amp;$A121,実績!$AL$6:$AL$505,"○")&gt;0,1,0))</f>
        <v>0</v>
      </c>
      <c r="AL121" s="39" t="n">
        <f aca="false">IF(AL$4=0,0,IF(COUNTIFS(実績!$W$6:$W$505,AL$3,実績!$AI$6:$AI$505,"&lt;="&amp;$A121,実績!$AJ$6:$AJ$505,"&gt;"&amp;$A121,実績!$AL$6:$AL$505,"○")&gt;0,1,0))</f>
        <v>0</v>
      </c>
      <c r="AM121" s="39" t="n">
        <f aca="false">IF(AM$4=0,0,IF(COUNTIFS(実績!$W$6:$W$505,AM$3,実績!$AI$6:$AI$505,"&lt;="&amp;$A121,実績!$AJ$6:$AJ$505,"&gt;"&amp;$A121,実績!$AL$6:$AL$505,"○")&gt;0,1,0))</f>
        <v>0</v>
      </c>
      <c r="AN121" s="39" t="n">
        <f aca="false">IF(AN$4=0,0,IF(COUNTIFS(実績!$W$6:$W$505,AN$3,実績!$AI$6:$AI$505,"&lt;="&amp;$A121,実績!$AJ$6:$AJ$505,"&gt;"&amp;$A121,実績!$AL$6:$AL$505,"○")&gt;0,1,0))</f>
        <v>0</v>
      </c>
      <c r="AO121" s="39" t="n">
        <f aca="false">IF(AO$4=0,0,IF(COUNTIFS(実績!$W$6:$W$505,AO$3,実績!$AI$6:$AI$505,"&lt;="&amp;$A121,実績!$AJ$6:$AJ$505,"&gt;"&amp;$A121,実績!$AL$6:$AL$505,"○")&gt;0,1,0))</f>
        <v>0</v>
      </c>
      <c r="AP121" s="39" t="n">
        <f aca="false">IF(AP$4=0,0,IF(COUNTIFS(実績!$W$6:$W$505,AP$3,実績!$AI$6:$AI$505,"&lt;="&amp;$A121,実績!$AJ$6:$AJ$505,"&gt;"&amp;$A121,実績!$AL$6:$AL$505,"○")&gt;0,1,0))</f>
        <v>0</v>
      </c>
      <c r="AQ121" s="39" t="n">
        <f aca="false">IF(AQ$4=0,0,IF(COUNTIFS(実績!$W$6:$W$505,AQ$3,実績!$AI$6:$AI$505,"&lt;="&amp;$A121,実績!$AJ$6:$AJ$505,"&gt;"&amp;$A121,実績!$AL$6:$AL$505,"○")&gt;0,1,0))</f>
        <v>0</v>
      </c>
      <c r="AR121" s="39" t="n">
        <f aca="false">IF(AR$4=0,0,IF(COUNTIFS(実績!$W$6:$W$505,AR$3,実績!$AI$6:$AI$505,"&lt;="&amp;$A121,実績!$AJ$6:$AJ$505,"&gt;"&amp;$A121,実績!$AL$6:$AL$505,"○")&gt;0,1,0))</f>
        <v>0</v>
      </c>
      <c r="AS121" s="39" t="n">
        <f aca="false">IF(AS$4=0,0,IF(COUNTIFS(実績!$W$6:$W$505,AS$3,実績!$AI$6:$AI$505,"&lt;="&amp;$A121,実績!$AJ$6:$AJ$505,"&gt;"&amp;$A121,実績!$AL$6:$AL$505,"○")&gt;0,1,0))</f>
        <v>0</v>
      </c>
      <c r="AT121" s="39" t="n">
        <f aca="false">IF(AT$4=0,0,IF(COUNTIFS(実績!$W$6:$W$505,AT$3,実績!$AI$6:$AI$505,"&lt;="&amp;$A121,実績!$AJ$6:$AJ$505,"&gt;"&amp;$A121,実績!$AL$6:$AL$505,"○")&gt;0,1,0))</f>
        <v>0</v>
      </c>
      <c r="AU121" s="39" t="n">
        <f aca="false">IF(AU$4=0,0,IF(COUNTIFS(実績!$W$6:$W$505,AU$3,実績!$AI$6:$AI$505,"&lt;="&amp;$A121,実績!$AJ$6:$AJ$505,"&gt;"&amp;$A121,実績!$AL$6:$AL$505,"○")&gt;0,1,0))</f>
        <v>0</v>
      </c>
      <c r="AV121" s="39" t="n">
        <f aca="false">IF(AV$4=0,0,IF(COUNTIFS(実績!$W$6:$W$505,AV$3,実績!$AI$6:$AI$505,"&lt;="&amp;$A121,実績!$AJ$6:$AJ$505,"&gt;"&amp;$A121,実績!$AL$6:$AL$505,"○")&gt;0,1,0))</f>
        <v>0</v>
      </c>
      <c r="AW121" s="39" t="n">
        <f aca="false">IF(AW$4=0,0,IF(COUNTIFS(実績!$W$6:$W$505,AW$3,実績!$AI$6:$AI$505,"&lt;="&amp;$A121,実績!$AJ$6:$AJ$505,"&gt;"&amp;$A121,実績!$AL$6:$AL$505,"○")&gt;0,1,0))</f>
        <v>0</v>
      </c>
      <c r="AX121" s="39" t="n">
        <f aca="false">IF(AX$4=0,0,IF(COUNTIFS(実績!$W$6:$W$505,AX$3,実績!$AI$6:$AI$505,"&lt;="&amp;$A121,実績!$AJ$6:$AJ$505,"&gt;"&amp;$A121,実績!$AL$6:$AL$505,"○")&gt;0,1,0))</f>
        <v>0</v>
      </c>
      <c r="AY121" s="39" t="n">
        <f aca="false">IF(AY$4=0,0,IF(COUNTIFS(実績!$W$6:$W$505,AY$3,実績!$AI$6:$AI$505,"&lt;="&amp;$A121,実績!$AJ$6:$AJ$505,"&gt;"&amp;$A121,実績!$AL$6:$AL$505,"○")&gt;0,1,0))</f>
        <v>0</v>
      </c>
      <c r="AZ121" s="39" t="n">
        <f aca="false">IF(AZ$4=0,0,IF(COUNTIFS(実績!$W$6:$W$505,AZ$3,実績!$AI$6:$AI$505,"&lt;="&amp;$A121,実績!$AJ$6:$AJ$505,"&gt;"&amp;$A121,実績!$AL$6:$AL$505,"○")&gt;0,1,0))</f>
        <v>0</v>
      </c>
      <c r="BA121" s="39" t="n">
        <f aca="false">IF(BA$4=0,0,IF(COUNTIFS(実績!$W$6:$W$505,BA$3,実績!$AI$6:$AI$505,"&lt;="&amp;$A121,実績!$AJ$6:$AJ$505,"&gt;"&amp;$A121,実績!$AL$6:$AL$505,"○")&gt;0,1,0))</f>
        <v>0</v>
      </c>
      <c r="BB121" s="39" t="n">
        <f aca="false">IF(BB$4=0,0,IF(COUNTIFS(実績!$W$6:$W$505,BB$3,実績!$AI$6:$AI$505,"&lt;="&amp;$A121,実績!$AJ$6:$AJ$505,"&gt;"&amp;$A121,実績!$AL$6:$AL$505,"○")&gt;0,1,0))</f>
        <v>0</v>
      </c>
      <c r="BC121" s="39" t="n">
        <f aca="false">IF(BC$4=0,0,IF(COUNTIFS(実績!$W$6:$W$505,BC$3,実績!$AI$6:$AI$505,"&lt;="&amp;$A121,実績!$AJ$6:$AJ$505,"&gt;"&amp;$A121,実績!$AL$6:$AL$505,"○")&gt;0,1,0))</f>
        <v>0</v>
      </c>
      <c r="BD121" s="39" t="n">
        <f aca="false">IF(BD$4=0,0,IF(COUNTIFS(実績!$W$6:$W$505,BD$3,実績!$AI$6:$AI$505,"&lt;="&amp;$A121,実績!$AJ$6:$AJ$505,"&gt;"&amp;$A121,実績!$AL$6:$AL$505,"○")&gt;0,1,0))</f>
        <v>0</v>
      </c>
      <c r="BE121" s="39" t="n">
        <f aca="false">IF(BE$4=0,0,IF(COUNTIFS(実績!$W$6:$W$505,BE$3,実績!$AI$6:$AI$505,"&lt;="&amp;$A121,実績!$AJ$6:$AJ$505,"&gt;"&amp;$A121,実績!$AL$6:$AL$505,"○")&gt;0,1,0))</f>
        <v>0</v>
      </c>
      <c r="BF121" s="39" t="n">
        <f aca="false">IF(BF$4=0,0,IF(COUNTIFS(実績!$W$6:$W$505,BF$3,実績!$AI$6:$AI$505,"&lt;="&amp;$A121,実績!$AJ$6:$AJ$505,"&gt;"&amp;$A121,実績!$AL$6:$AL$505,"○")&gt;0,1,0))</f>
        <v>0</v>
      </c>
      <c r="BG121" s="39" t="n">
        <f aca="false">IF(BG$4=0,0,IF(COUNTIFS(実績!$W$6:$W$505,BG$3,実績!$AI$6:$AI$505,"&lt;="&amp;$A121,実績!$AJ$6:$AJ$505,"&gt;"&amp;$A121,実績!$AL$6:$AL$505,"○")&gt;0,1,0))</f>
        <v>0</v>
      </c>
      <c r="BH121" s="39" t="n">
        <f aca="false">IF(BH$4=0,0,IF(COUNTIFS(実績!$W$6:$W$505,BH$3,実績!$AI$6:$AI$505,"&lt;="&amp;$A121,実績!$AJ$6:$AJ$505,"&gt;"&amp;$A121,実績!$AL$6:$AL$505,"○")&gt;0,1,0))</f>
        <v>0</v>
      </c>
      <c r="BI121" s="39" t="n">
        <f aca="false">IF(BI$4=0,0,IF(COUNTIFS(実績!$W$6:$W$505,BI$3,実績!$AI$6:$AI$505,"&lt;="&amp;$A121,実績!$AJ$6:$AJ$505,"&gt;"&amp;$A121,実績!$AL$6:$AL$505,"○")&gt;0,1,0))</f>
        <v>0</v>
      </c>
      <c r="BJ121" s="39" t="n">
        <f aca="false">IF(BJ$4=0,0,IF(COUNTIFS(実績!$W$6:$W$505,BJ$3,実績!$AI$6:$AI$505,"&lt;="&amp;$A121,実績!$AJ$6:$AJ$505,"&gt;"&amp;$A121,実績!$AL$6:$AL$505,"○")&gt;0,1,0))</f>
        <v>0</v>
      </c>
      <c r="BK121" s="39" t="n">
        <f aca="false">IF(BK$4=0,0,IF(COUNTIFS(実績!$W$6:$W$505,BK$3,実績!$AI$6:$AI$505,"&lt;="&amp;$A121,実績!$AJ$6:$AJ$505,"&gt;"&amp;$A121,実績!$AL$6:$AL$505,"○")&gt;0,1,0))</f>
        <v>0</v>
      </c>
      <c r="BL121" s="39" t="n">
        <f aca="false">IF(BL$4=0,0,IF(COUNTIFS(実績!$W$6:$W$505,BL$3,実績!$AI$6:$AI$505,"&lt;="&amp;$A121,実績!$AJ$6:$AJ$505,"&gt;"&amp;$A121,実績!$AL$6:$AL$505,"○")&gt;0,1,0))</f>
        <v>0</v>
      </c>
      <c r="BM121" s="39" t="n">
        <f aca="false">IF(BM$4=0,0,IF(COUNTIFS(実績!$W$6:$W$505,BM$3,実績!$AI$6:$AI$505,"&lt;="&amp;$A121,実績!$AJ$6:$AJ$505,"&gt;"&amp;$A121,実績!$AL$6:$AL$505,"○")&gt;0,1,0))</f>
        <v>0</v>
      </c>
      <c r="BN121" s="39" t="n">
        <f aca="false">IF(BN$4=0,0,IF(COUNTIFS(実績!$W$6:$W$505,BN$3,実績!$AI$6:$AI$505,"&lt;="&amp;$A121,実績!$AJ$6:$AJ$505,"&gt;"&amp;$A121,実績!$AL$6:$AL$505,"○")&gt;0,1,0))</f>
        <v>0</v>
      </c>
      <c r="BO121" s="39" t="n">
        <f aca="false">IF(BO$4=0,0,IF(COUNTIFS(実績!$W$6:$W$505,BO$3,実績!$AI$6:$AI$505,"&lt;="&amp;$A121,実績!$AJ$6:$AJ$505,"&gt;"&amp;$A121,実績!$AL$6:$AL$505,"○")&gt;0,1,0))</f>
        <v>0</v>
      </c>
      <c r="BP121" s="39" t="n">
        <f aca="false">IF(BP$4=0,0,IF(COUNTIFS(実績!$W$6:$W$505,BP$3,実績!$AI$6:$AI$505,"&lt;="&amp;$A121,実績!$AJ$6:$AJ$505,"&gt;"&amp;$A121,実績!$AL$6:$AL$505,"○")&gt;0,1,0))</f>
        <v>0</v>
      </c>
      <c r="BQ121" s="39" t="n">
        <f aca="false">IF(BQ$4=0,0,IF(COUNTIFS(実績!$W$6:$W$505,BQ$3,実績!$AI$6:$AI$505,"&lt;="&amp;$A121,実績!$AJ$6:$AJ$505,"&gt;"&amp;$A121,実績!$AL$6:$AL$505,"○")&gt;0,1,0))</f>
        <v>0</v>
      </c>
      <c r="BR121" s="39" t="n">
        <f aca="false">IF(BR$4=0,0,IF(COUNTIFS(実績!$W$6:$W$505,BR$3,実績!$AI$6:$AI$505,"&lt;="&amp;$A121,実績!$AJ$6:$AJ$505,"&gt;"&amp;$A121,実績!$AL$6:$AL$505,"○")&gt;0,1,0))</f>
        <v>0</v>
      </c>
      <c r="BS121" s="39" t="n">
        <f aca="false">IF(BS$4=0,0,IF(COUNTIFS(実績!$W$6:$W$505,BS$3,実績!$AI$6:$AI$505,"&lt;="&amp;$A121,実績!$AJ$6:$AJ$505,"&gt;"&amp;$A121,実績!$AL$6:$AL$505,"○")&gt;0,1,0))</f>
        <v>0</v>
      </c>
      <c r="BT121" s="39" t="n">
        <f aca="false">IF(BT$4=0,0,IF(COUNTIFS(実績!$W$6:$W$505,BT$3,実績!$AI$6:$AI$505,"&lt;="&amp;$A121,実績!$AJ$6:$AJ$505,"&gt;"&amp;$A121,実績!$AL$6:$AL$505,"○")&gt;0,1,0))</f>
        <v>0</v>
      </c>
      <c r="BU121" s="39" t="n">
        <f aca="false">IF(BU$4=0,0,IF(COUNTIFS(実績!$W$6:$W$505,BU$3,実績!$AI$6:$AI$505,"&lt;="&amp;$A121,実績!$AJ$6:$AJ$505,"&gt;"&amp;$A121,実績!$AL$6:$AL$505,"○")&gt;0,1,0))</f>
        <v>0</v>
      </c>
      <c r="BV121" s="39" t="n">
        <f aca="false">IF(BV$4=0,0,IF(COUNTIFS(実績!$W$6:$W$505,BV$3,実績!$AI$6:$AI$505,"&lt;="&amp;$A121,実績!$AJ$6:$AJ$505,"&gt;"&amp;$A121,実績!$AL$6:$AL$505,"○")&gt;0,1,0))</f>
        <v>0</v>
      </c>
      <c r="BW121" s="39" t="n">
        <f aca="false">IF(BW$4=0,0,IF(COUNTIFS(実績!$W$6:$W$505,BW$3,実績!$AI$6:$AI$505,"&lt;="&amp;$A121,実績!$AJ$6:$AJ$505,"&gt;"&amp;$A121,実績!$AL$6:$AL$505,"○")&gt;0,1,0))</f>
        <v>0</v>
      </c>
      <c r="BX121" s="39" t="n">
        <f aca="false">IF(BX$4=0,0,IF(COUNTIFS(実績!$W$6:$W$505,BX$3,実績!$AI$6:$AI$505,"&lt;="&amp;$A121,実績!$AJ$6:$AJ$505,"&gt;"&amp;$A121,実績!$AL$6:$AL$505,"○")&gt;0,1,0))</f>
        <v>0</v>
      </c>
      <c r="BY121" s="39" t="n">
        <f aca="false">IF(BY$4=0,0,IF(COUNTIFS(実績!$W$6:$W$505,BY$3,実績!$AI$6:$AI$505,"&lt;="&amp;$A121,実績!$AJ$6:$AJ$505,"&gt;"&amp;$A121,実績!$AL$6:$AL$505,"○")&gt;0,1,0))</f>
        <v>0</v>
      </c>
      <c r="BZ121" s="39" t="n">
        <f aca="false">IF(BZ$4=0,0,IF(COUNTIFS(実績!$W$6:$W$505,BZ$3,実績!$AI$6:$AI$505,"&lt;="&amp;$A121,実績!$AJ$6:$AJ$505,"&gt;"&amp;$A121,実績!$AL$6:$AL$505,"○")&gt;0,1,0))</f>
        <v>0</v>
      </c>
      <c r="CA121" s="39" t="n">
        <f aca="false">IF(CA$4=0,0,IF(COUNTIFS(実績!$W$6:$W$505,CA$3,実績!$AI$6:$AI$505,"&lt;="&amp;$A121,実績!$AJ$6:$AJ$505,"&gt;"&amp;$A121,実績!$AL$6:$AL$505,"○")&gt;0,1,0))</f>
        <v>0</v>
      </c>
      <c r="CB121" s="39" t="n">
        <f aca="false">IF(CB$4=0,0,IF(COUNTIFS(実績!$W$6:$W$505,CB$3,実績!$AI$6:$AI$505,"&lt;="&amp;$A121,実績!$AJ$6:$AJ$505,"&gt;"&amp;$A121,実績!$AL$6:$AL$505,"○")&gt;0,1,0))</f>
        <v>0</v>
      </c>
      <c r="CC121" s="39" t="n">
        <f aca="false">IF(CC$4=0,0,IF(COUNTIFS(実績!$W$6:$W$505,CC$3,実績!$AI$6:$AI$505,"&lt;="&amp;$A121,実績!$AJ$6:$AJ$505,"&gt;"&amp;$A121,実績!$AL$6:$AL$505,"○")&gt;0,1,0))</f>
        <v>0</v>
      </c>
      <c r="CD121" s="39" t="n">
        <f aca="false">IF(CD$4=0,0,IF(COUNTIFS(実績!$W$6:$W$505,CD$3,実績!$AI$6:$AI$505,"&lt;="&amp;$A121,実績!$AJ$6:$AJ$505,"&gt;"&amp;$A121,実績!$AL$6:$AL$505,"○")&gt;0,1,0))</f>
        <v>0</v>
      </c>
      <c r="CE121" s="39" t="n">
        <f aca="false">IF(CE$4=0,0,IF(COUNTIFS(実績!$W$6:$W$505,CE$3,実績!$AI$6:$AI$505,"&lt;="&amp;$A121,実績!$AJ$6:$AJ$505,"&gt;"&amp;$A121,実績!$AL$6:$AL$505,"○")&gt;0,1,0))</f>
        <v>0</v>
      </c>
      <c r="CF121" s="39" t="n">
        <f aca="false">IF(CF$4=0,0,IF(COUNTIFS(実績!$W$6:$W$505,CF$3,実績!$AI$6:$AI$505,"&lt;="&amp;$A121,実績!$AJ$6:$AJ$505,"&gt;"&amp;$A121,実績!$AL$6:$AL$505,"○")&gt;0,1,0))</f>
        <v>0</v>
      </c>
      <c r="CG121" s="39" t="n">
        <f aca="false">IF(CG$4=0,0,IF(COUNTIFS(実績!$W$6:$W$505,CG$3,実績!$AI$6:$AI$505,"&lt;="&amp;$A121,実績!$AJ$6:$AJ$505,"&gt;"&amp;$A121,実績!$AL$6:$AL$505,"○")&gt;0,1,0))</f>
        <v>0</v>
      </c>
      <c r="CH121" s="39" t="n">
        <f aca="false">IF(CH$4=0,0,IF(COUNTIFS(実績!$W$6:$W$505,CH$3,実績!$AI$6:$AI$505,"&lt;="&amp;$A121,実績!$AJ$6:$AJ$505,"&gt;"&amp;$A121,実績!$AL$6:$AL$505,"○")&gt;0,1,0))</f>
        <v>0</v>
      </c>
      <c r="CI121" s="39" t="n">
        <f aca="false">IF(CI$4=0,0,IF(COUNTIFS(実績!$W$6:$W$505,CI$3,実績!$AI$6:$AI$505,"&lt;="&amp;$A121,実績!$AJ$6:$AJ$505,"&gt;"&amp;$A121,実績!$AL$6:$AL$505,"○")&gt;0,1,0))</f>
        <v>0</v>
      </c>
      <c r="CJ121" s="39" t="n">
        <f aca="false">IF(CJ$4=0,0,IF(COUNTIFS(実績!$W$6:$W$505,CJ$3,実績!$AI$6:$AI$505,"&lt;="&amp;$A121,実績!$AJ$6:$AJ$505,"&gt;"&amp;$A121,実績!$AL$6:$AL$505,"○")&gt;0,1,0))</f>
        <v>0</v>
      </c>
      <c r="CK121" s="39" t="n">
        <f aca="false">IF(CK$4=0,0,IF(COUNTIFS(実績!$W$6:$W$505,CK$3,実績!$AI$6:$AI$505,"&lt;="&amp;$A121,実績!$AJ$6:$AJ$505,"&gt;"&amp;$A121,実績!$AL$6:$AL$505,"○")&gt;0,1,0))</f>
        <v>0</v>
      </c>
      <c r="CL121" s="39" t="n">
        <f aca="false">IF(CL$4=0,0,IF(COUNTIFS(実績!$W$6:$W$505,CL$3,実績!$AI$6:$AI$505,"&lt;="&amp;$A121,実績!$AJ$6:$AJ$505,"&gt;"&amp;$A121,実績!$AL$6:$AL$505,"○")&gt;0,1,0))</f>
        <v>0</v>
      </c>
      <c r="CM121" s="39" t="n">
        <f aca="false">IF(CM$4=0,0,IF(COUNTIFS(実績!$W$6:$W$505,CM$3,実績!$AI$6:$AI$505,"&lt;="&amp;$A121,実績!$AJ$6:$AJ$505,"&gt;"&amp;$A121,実績!$AL$6:$AL$505,"○")&gt;0,1,0))</f>
        <v>0</v>
      </c>
      <c r="CN121" s="39" t="n">
        <f aca="false">IF(CN$4=0,0,IF(COUNTIFS(実績!$W$6:$W$505,CN$3,実績!$AI$6:$AI$505,"&lt;="&amp;$A121,実績!$AJ$6:$AJ$505,"&gt;"&amp;$A121,実績!$AL$6:$AL$505,"○")&gt;0,1,0))</f>
        <v>0</v>
      </c>
      <c r="CO121" s="39" t="n">
        <f aca="false">IF(CO$4=0,0,IF(COUNTIFS(実績!$W$6:$W$505,CO$3,実績!$AI$6:$AI$505,"&lt;="&amp;$A121,実績!$AJ$6:$AJ$505,"&gt;"&amp;$A121,実績!$AL$6:$AL$505,"○")&gt;0,1,0))</f>
        <v>0</v>
      </c>
      <c r="CP121" s="39" t="n">
        <f aca="false">IF(CP$4=0,0,IF(COUNTIFS(実績!$W$6:$W$505,CP$3,実績!$AI$6:$AI$505,"&lt;="&amp;$A121,実績!$AJ$6:$AJ$505,"&gt;"&amp;$A121,実績!$AL$6:$AL$505,"○")&gt;0,1,0))</f>
        <v>0</v>
      </c>
      <c r="CQ121" s="39" t="n">
        <f aca="false">IF(CQ$4=0,0,IF(COUNTIFS(実績!$W$6:$W$505,CQ$3,実績!$AI$6:$AI$505,"&lt;="&amp;$A121,実績!$AJ$6:$AJ$505,"&gt;"&amp;$A121,実績!$AL$6:$AL$505,"○")&gt;0,1,0))</f>
        <v>0</v>
      </c>
      <c r="CR121" s="39" t="n">
        <f aca="false">IF(CR$4=0,0,IF(COUNTIFS(実績!$W$6:$W$505,CR$3,実績!$AI$6:$AI$505,"&lt;="&amp;$A121,実績!$AJ$6:$AJ$505,"&gt;"&amp;$A121,実績!$AL$6:$AL$505,"○")&gt;0,1,0))</f>
        <v>0</v>
      </c>
      <c r="CS121" s="39" t="n">
        <f aca="false">IF(CS$4=0,0,IF(COUNTIFS(実績!$W$6:$W$505,CS$3,実績!$AI$6:$AI$505,"&lt;="&amp;$A121,実績!$AJ$6:$AJ$505,"&gt;"&amp;$A121,実績!$AL$6:$AL$505,"○")&gt;0,1,0))</f>
        <v>0</v>
      </c>
      <c r="CT121" s="39" t="n">
        <f aca="false">IF(CT$4=0,0,IF(COUNTIFS(実績!$W$6:$W$505,CT$3,実績!$AI$6:$AI$505,"&lt;="&amp;$A121,実績!$AJ$6:$AJ$505,"&gt;"&amp;$A121,実績!$AL$6:$AL$505,"○")&gt;0,1,0))</f>
        <v>0</v>
      </c>
      <c r="CU121" s="39" t="n">
        <f aca="false">IF(CU$4=0,0,IF(COUNTIFS(実績!$W$6:$W$505,CU$3,実績!$AI$6:$AI$505,"&lt;="&amp;$A121,実績!$AJ$6:$AJ$505,"&gt;"&amp;$A121,実績!$AL$6:$AL$505,"○")&gt;0,1,0))</f>
        <v>0</v>
      </c>
      <c r="CV121" s="39" t="n">
        <f aca="false">IF(CV$4=0,0,IF(COUNTIFS(実績!$W$6:$W$505,CV$3,実績!$AI$6:$AI$505,"&lt;="&amp;$A121,実績!$AJ$6:$AJ$505,"&gt;"&amp;$A121,実績!$AL$6:$AL$505,"○")&gt;0,1,0))</f>
        <v>0</v>
      </c>
      <c r="CW121" s="39" t="n">
        <f aca="false">IF(CW$4=0,0,IF(COUNTIFS(実績!$W$6:$W$505,CW$3,実績!$AI$6:$AI$505,"&lt;="&amp;$A121,実績!$AJ$6:$AJ$505,"&gt;"&amp;$A121,実績!$AL$6:$AL$505,"○")&gt;0,1,0))</f>
        <v>0</v>
      </c>
      <c r="CX121" s="39" t="n">
        <f aca="false">IF(CX$4=0,0,IF(COUNTIFS(実績!$W$6:$W$505,CX$3,実績!$AI$6:$AI$505,"&lt;="&amp;$A121,実績!$AJ$6:$AJ$505,"&gt;"&amp;$A121,実績!$AL$6:$AL$505,"○")&gt;0,1,0))</f>
        <v>0</v>
      </c>
      <c r="CY121" s="39" t="n">
        <f aca="false">IF(CY$4=0,0,IF(COUNTIFS(実績!$W$6:$W$505,CY$3,実績!$AI$6:$AI$505,"&lt;="&amp;$A121,実績!$AJ$6:$AJ$505,"&gt;"&amp;$A121,実績!$AL$6:$AL$505,"○")&gt;0,1,0))</f>
        <v>0</v>
      </c>
      <c r="CZ121" s="39" t="n">
        <f aca="false">IF(CZ$4=0,0,IF(COUNTIFS(実績!$W$6:$W$505,CZ$3,実績!$AI$6:$AI$505,"&lt;="&amp;$A121,実績!$AJ$6:$AJ$505,"&gt;"&amp;$A121,実績!$AL$6:$AL$505,"○")&gt;0,1,0))</f>
        <v>0</v>
      </c>
      <c r="DA121" s="39" t="n">
        <f aca="false">IF(DA$4=0,0,IF(COUNTIFS(実績!$W$6:$W$505,DA$3,実績!$AI$6:$AI$505,"&lt;="&amp;$A121,実績!$AJ$6:$AJ$505,"&gt;"&amp;$A121,実績!$AL$6:$AL$505,"○")&gt;0,1,0))</f>
        <v>0</v>
      </c>
      <c r="DB121" s="39" t="n">
        <f aca="false">IF(DB$4=0,0,IF(COUNTIFS(実績!$W$6:$W$505,DB$3,実績!$AI$6:$AI$505,"&lt;="&amp;$A121,実績!$AJ$6:$AJ$505,"&gt;"&amp;$A121,実績!$AL$6:$AL$505,"○")&gt;0,1,0))</f>
        <v>0</v>
      </c>
      <c r="DC121" s="39" t="n">
        <f aca="false">IF(DC$4=0,0,IF(COUNTIFS(実績!$W$6:$W$505,DC$3,実績!$AI$6:$AI$505,"&lt;="&amp;$A121,実績!$AJ$6:$AJ$505,"&gt;"&amp;$A121,実績!$AL$6:$AL$505,"○")&gt;0,1,0))</f>
        <v>0</v>
      </c>
      <c r="DD121" s="39" t="n">
        <f aca="false">IF(DD$4=0,0,IF(COUNTIFS(実績!$W$6:$W$505,DD$3,実績!$AI$6:$AI$505,"&lt;="&amp;$A121,実績!$AJ$6:$AJ$505,"&gt;"&amp;$A121,実績!$AL$6:$AL$505,"○")&gt;0,1,0))</f>
        <v>0</v>
      </c>
      <c r="DE121" s="39" t="n">
        <f aca="false">IF(DE$4=0,0,IF(COUNTIFS(実績!$W$6:$W$505,DE$3,実績!$AI$6:$AI$505,"&lt;="&amp;$A121,実績!$AJ$6:$AJ$505,"&gt;"&amp;$A121,実績!$AL$6:$AL$505,"○")&gt;0,1,0))</f>
        <v>0</v>
      </c>
      <c r="DF121" s="39" t="n">
        <f aca="false">IF(DF$4=0,0,IF(COUNTIFS(実績!$W$6:$W$505,DF$3,実績!$AI$6:$AI$505,"&lt;="&amp;$A121,実績!$AJ$6:$AJ$505,"&gt;"&amp;$A121,実績!$AL$6:$AL$505,"○")&gt;0,1,0))</f>
        <v>0</v>
      </c>
      <c r="DG121" s="39" t="n">
        <f aca="false">IF(DG$4=0,0,IF(COUNTIFS(実績!$W$6:$W$505,DG$3,実績!$AI$6:$AI$505,"&lt;="&amp;$A121,実績!$AJ$6:$AJ$505,"&gt;"&amp;$A121,実績!$AL$6:$AL$505,"○")&gt;0,1,0))</f>
        <v>0</v>
      </c>
      <c r="DH121" s="39" t="n">
        <f aca="false">IF(DH$4=0,0,IF(COUNTIFS(実績!$W$6:$W$505,DH$3,実績!$AI$6:$AI$505,"&lt;="&amp;$A121,実績!$AJ$6:$AJ$505,"&gt;"&amp;$A121,実績!$AL$6:$AL$505,"○")&gt;0,1,0))</f>
        <v>0</v>
      </c>
      <c r="DI121" s="39" t="n">
        <f aca="false">IF(DI$4=0,0,IF(COUNTIFS(実績!$W$6:$W$505,DI$3,実績!$AI$6:$AI$505,"&lt;="&amp;$A121,実績!$AJ$6:$AJ$505,"&gt;"&amp;$A121,実績!$AL$6:$AL$505,"○")&gt;0,1,0))</f>
        <v>0</v>
      </c>
      <c r="DJ121" s="39" t="n">
        <f aca="false">IF(DJ$4=0,0,IF(COUNTIFS(実績!$W$6:$W$505,DJ$3,実績!$AI$6:$AI$505,"&lt;="&amp;$A121,実績!$AJ$6:$AJ$505,"&gt;"&amp;$A121,実績!$AL$6:$AL$505,"○")&gt;0,1,0))</f>
        <v>0</v>
      </c>
      <c r="DK121" s="39" t="n">
        <f aca="false">IF(DK$4=0,0,IF(COUNTIFS(実績!$W$6:$W$505,DK$3,実績!$AI$6:$AI$505,"&lt;="&amp;$A121,実績!$AJ$6:$AJ$505,"&gt;"&amp;$A121,実績!$AL$6:$AL$505,"○")&gt;0,1,0))</f>
        <v>0</v>
      </c>
      <c r="DL121" s="39" t="n">
        <f aca="false">IF(DL$4=0,0,IF(COUNTIFS(実績!$W$6:$W$505,DL$3,実績!$AI$6:$AI$505,"&lt;="&amp;$A121,実績!$AJ$6:$AJ$505,"&gt;"&amp;$A121,実績!$AL$6:$AL$505,"○")&gt;0,1,0))</f>
        <v>0</v>
      </c>
      <c r="DM121" s="39" t="n">
        <f aca="false">IF(DM$4=0,0,IF(COUNTIFS(実績!$W$6:$W$505,DM$3,実績!$AI$6:$AI$505,"&lt;="&amp;$A121,実績!$AJ$6:$AJ$505,"&gt;"&amp;$A121,実績!$AL$6:$AL$505,"○")&gt;0,1,0))</f>
        <v>0</v>
      </c>
      <c r="DN121" s="39" t="n">
        <f aca="false">IF(DN$4=0,0,IF(COUNTIFS(実績!$W$6:$W$505,DN$3,実績!$AI$6:$AI$505,"&lt;="&amp;$A121,実績!$AJ$6:$AJ$505,"&gt;"&amp;$A121,実績!$AL$6:$AL$505,"○")&gt;0,1,0))</f>
        <v>0</v>
      </c>
      <c r="DO121" s="39" t="n">
        <f aca="false">IF(DO$4=0,0,IF(COUNTIFS(実績!$W$6:$W$505,DO$3,実績!$AI$6:$AI$505,"&lt;="&amp;$A121,実績!$AJ$6:$AJ$505,"&gt;"&amp;$A121,実績!$AL$6:$AL$505,"○")&gt;0,1,0))</f>
        <v>0</v>
      </c>
      <c r="DP121" s="39" t="n">
        <f aca="false">IF(DP$4=0,0,IF(COUNTIFS(実績!$W$6:$W$505,DP$3,実績!$AI$6:$AI$505,"&lt;="&amp;$A121,実績!$AJ$6:$AJ$505,"&gt;"&amp;$A121,実績!$AL$6:$AL$505,"○")&gt;0,1,0))</f>
        <v>0</v>
      </c>
      <c r="DQ121" s="39" t="n">
        <f aca="false">IF(DQ$4=0,0,IF(COUNTIFS(実績!$W$6:$W$505,DQ$3,実績!$AI$6:$AI$505,"&lt;="&amp;$A121,実績!$AJ$6:$AJ$505,"&gt;"&amp;$A121,実績!$AL$6:$AL$505,"○")&gt;0,1,0))</f>
        <v>0</v>
      </c>
      <c r="DR121" s="39" t="n">
        <f aca="false">IF(DR$4=0,0,IF(COUNTIFS(実績!$W$6:$W$505,DR$3,実績!$AI$6:$AI$505,"&lt;="&amp;$A121,実績!$AJ$6:$AJ$505,"&gt;"&amp;$A121,実績!$AL$6:$AL$505,"○")&gt;0,1,0))</f>
        <v>0</v>
      </c>
      <c r="DS121" s="39" t="n">
        <f aca="false">SUM(C121:DR121)</f>
        <v>0</v>
      </c>
    </row>
    <row r="122" customFormat="false" ht="15" hidden="false" customHeight="false" outlineLevel="0" collapsed="false">
      <c r="A122" s="0" t="n">
        <v>580</v>
      </c>
      <c r="B122" s="38" t="n">
        <f aca="false">A122/1440</f>
        <v>0.402777777777778</v>
      </c>
      <c r="C122" s="39" t="n">
        <f aca="false">IF(C$4=0,0,IF(COUNTIFS(実績!$W$6:$W$505,C$3,実績!$AI$6:$AI$505,"&lt;="&amp;$A122,実績!$AJ$6:$AJ$505,"&gt;"&amp;$A122,実績!$AL$6:$AL$505,"○")&gt;0,1,0))</f>
        <v>0</v>
      </c>
      <c r="D122" s="39" t="n">
        <f aca="false">IF(D$4=0,0,IF(COUNTIFS(実績!$W$6:$W$505,D$3,実績!$AI$6:$AI$505,"&lt;="&amp;$A122,実績!$AJ$6:$AJ$505,"&gt;"&amp;$A122,実績!$AL$6:$AL$505,"○")&gt;0,1,0))</f>
        <v>0</v>
      </c>
      <c r="E122" s="39" t="n">
        <f aca="false">IF(E$4=0,0,IF(COUNTIFS(実績!$W$6:$W$505,E$3,実績!$AI$6:$AI$505,"&lt;="&amp;$A122,実績!$AJ$6:$AJ$505,"&gt;"&amp;$A122,実績!$AL$6:$AL$505,"○")&gt;0,1,0))</f>
        <v>0</v>
      </c>
      <c r="F122" s="39" t="n">
        <f aca="false">IF(F$4=0,0,IF(COUNTIFS(実績!$W$6:$W$505,F$3,実績!$AI$6:$AI$505,"&lt;="&amp;$A122,実績!$AJ$6:$AJ$505,"&gt;"&amp;$A122,実績!$AL$6:$AL$505,"○")&gt;0,1,0))</f>
        <v>0</v>
      </c>
      <c r="G122" s="39" t="n">
        <f aca="false">IF(G$4=0,0,IF(COUNTIFS(実績!$W$6:$W$505,G$3,実績!$AI$6:$AI$505,"&lt;="&amp;$A122,実績!$AJ$6:$AJ$505,"&gt;"&amp;$A122,実績!$AL$6:$AL$505,"○")&gt;0,1,0))</f>
        <v>0</v>
      </c>
      <c r="H122" s="39" t="n">
        <f aca="false">IF(H$4=0,0,IF(COUNTIFS(実績!$W$6:$W$505,H$3,実績!$AI$6:$AI$505,"&lt;="&amp;$A122,実績!$AJ$6:$AJ$505,"&gt;"&amp;$A122,実績!$AL$6:$AL$505,"○")&gt;0,1,0))</f>
        <v>0</v>
      </c>
      <c r="I122" s="39" t="n">
        <f aca="false">IF(I$4=0,0,IF(COUNTIFS(実績!$W$6:$W$505,I$3,実績!$AI$6:$AI$505,"&lt;="&amp;$A122,実績!$AJ$6:$AJ$505,"&gt;"&amp;$A122,実績!$AL$6:$AL$505,"○")&gt;0,1,0))</f>
        <v>0</v>
      </c>
      <c r="J122" s="39" t="n">
        <f aca="false">IF(J$4=0,0,IF(COUNTIFS(実績!$W$6:$W$505,J$3,実績!$AI$6:$AI$505,"&lt;="&amp;$A122,実績!$AJ$6:$AJ$505,"&gt;"&amp;$A122,実績!$AL$6:$AL$505,"○")&gt;0,1,0))</f>
        <v>0</v>
      </c>
      <c r="K122" s="39" t="n">
        <f aca="false">IF(K$4=0,0,IF(COUNTIFS(実績!$W$6:$W$505,K$3,実績!$AI$6:$AI$505,"&lt;="&amp;$A122,実績!$AJ$6:$AJ$505,"&gt;"&amp;$A122,実績!$AL$6:$AL$505,"○")&gt;0,1,0))</f>
        <v>0</v>
      </c>
      <c r="L122" s="39" t="n">
        <f aca="false">IF(L$4=0,0,IF(COUNTIFS(実績!$W$6:$W$505,L$3,実績!$AI$6:$AI$505,"&lt;="&amp;$A122,実績!$AJ$6:$AJ$505,"&gt;"&amp;$A122,実績!$AL$6:$AL$505,"○")&gt;0,1,0))</f>
        <v>0</v>
      </c>
      <c r="M122" s="39" t="n">
        <f aca="false">IF(M$4=0,0,IF(COUNTIFS(実績!$W$6:$W$505,M$3,実績!$AI$6:$AI$505,"&lt;="&amp;$A122,実績!$AJ$6:$AJ$505,"&gt;"&amp;$A122,実績!$AL$6:$AL$505,"○")&gt;0,1,0))</f>
        <v>0</v>
      </c>
      <c r="N122" s="39" t="n">
        <f aca="false">IF(N$4=0,0,IF(COUNTIFS(実績!$W$6:$W$505,N$3,実績!$AI$6:$AI$505,"&lt;="&amp;$A122,実績!$AJ$6:$AJ$505,"&gt;"&amp;$A122,実績!$AL$6:$AL$505,"○")&gt;0,1,0))</f>
        <v>0</v>
      </c>
      <c r="O122" s="39" t="n">
        <f aca="false">IF(O$4=0,0,IF(COUNTIFS(実績!$W$6:$W$505,O$3,実績!$AI$6:$AI$505,"&lt;="&amp;$A122,実績!$AJ$6:$AJ$505,"&gt;"&amp;$A122,実績!$AL$6:$AL$505,"○")&gt;0,1,0))</f>
        <v>0</v>
      </c>
      <c r="P122" s="39" t="n">
        <f aca="false">IF(P$4=0,0,IF(COUNTIFS(実績!$W$6:$W$505,P$3,実績!$AI$6:$AI$505,"&lt;="&amp;$A122,実績!$AJ$6:$AJ$505,"&gt;"&amp;$A122,実績!$AL$6:$AL$505,"○")&gt;0,1,0))</f>
        <v>0</v>
      </c>
      <c r="Q122" s="39" t="n">
        <f aca="false">IF(Q$4=0,0,IF(COUNTIFS(実績!$W$6:$W$505,Q$3,実績!$AI$6:$AI$505,"&lt;="&amp;$A122,実績!$AJ$6:$AJ$505,"&gt;"&amp;$A122,実績!$AL$6:$AL$505,"○")&gt;0,1,0))</f>
        <v>0</v>
      </c>
      <c r="R122" s="39" t="n">
        <f aca="false">IF(R$4=0,0,IF(COUNTIFS(実績!$W$6:$W$505,R$3,実績!$AI$6:$AI$505,"&lt;="&amp;$A122,実績!$AJ$6:$AJ$505,"&gt;"&amp;$A122,実績!$AL$6:$AL$505,"○")&gt;0,1,0))</f>
        <v>0</v>
      </c>
      <c r="S122" s="39" t="n">
        <f aca="false">IF(S$4=0,0,IF(COUNTIFS(実績!$W$6:$W$505,S$3,実績!$AI$6:$AI$505,"&lt;="&amp;$A122,実績!$AJ$6:$AJ$505,"&gt;"&amp;$A122,実績!$AL$6:$AL$505,"○")&gt;0,1,0))</f>
        <v>0</v>
      </c>
      <c r="T122" s="39" t="n">
        <f aca="false">IF(T$4=0,0,IF(COUNTIFS(実績!$W$6:$W$505,T$3,実績!$AI$6:$AI$505,"&lt;="&amp;$A122,実績!$AJ$6:$AJ$505,"&gt;"&amp;$A122,実績!$AL$6:$AL$505,"○")&gt;0,1,0))</f>
        <v>0</v>
      </c>
      <c r="U122" s="39" t="n">
        <f aca="false">IF(U$4=0,0,IF(COUNTIFS(実績!$W$6:$W$505,U$3,実績!$AI$6:$AI$505,"&lt;="&amp;$A122,実績!$AJ$6:$AJ$505,"&gt;"&amp;$A122,実績!$AL$6:$AL$505,"○")&gt;0,1,0))</f>
        <v>0</v>
      </c>
      <c r="V122" s="39" t="n">
        <f aca="false">IF(V$4=0,0,IF(COUNTIFS(実績!$W$6:$W$505,V$3,実績!$AI$6:$AI$505,"&lt;="&amp;$A122,実績!$AJ$6:$AJ$505,"&gt;"&amp;$A122,実績!$AL$6:$AL$505,"○")&gt;0,1,0))</f>
        <v>0</v>
      </c>
      <c r="W122" s="39" t="n">
        <f aca="false">IF(W$4=0,0,IF(COUNTIFS(実績!$W$6:$W$505,W$3,実績!$AI$6:$AI$505,"&lt;="&amp;$A122,実績!$AJ$6:$AJ$505,"&gt;"&amp;$A122,実績!$AL$6:$AL$505,"○")&gt;0,1,0))</f>
        <v>0</v>
      </c>
      <c r="X122" s="39" t="n">
        <f aca="false">IF(X$4=0,0,IF(COUNTIFS(実績!$W$6:$W$505,X$3,実績!$AI$6:$AI$505,"&lt;="&amp;$A122,実績!$AJ$6:$AJ$505,"&gt;"&amp;$A122,実績!$AL$6:$AL$505,"○")&gt;0,1,0))</f>
        <v>0</v>
      </c>
      <c r="Y122" s="39" t="n">
        <f aca="false">IF(Y$4=0,0,IF(COUNTIFS(実績!$W$6:$W$505,Y$3,実績!$AI$6:$AI$505,"&lt;="&amp;$A122,実績!$AJ$6:$AJ$505,"&gt;"&amp;$A122,実績!$AL$6:$AL$505,"○")&gt;0,1,0))</f>
        <v>0</v>
      </c>
      <c r="Z122" s="39" t="n">
        <f aca="false">IF(Z$4=0,0,IF(COUNTIFS(実績!$W$6:$W$505,Z$3,実績!$AI$6:$AI$505,"&lt;="&amp;$A122,実績!$AJ$6:$AJ$505,"&gt;"&amp;$A122,実績!$AL$6:$AL$505,"○")&gt;0,1,0))</f>
        <v>0</v>
      </c>
      <c r="AA122" s="39" t="n">
        <f aca="false">IF(AA$4=0,0,IF(COUNTIFS(実績!$W$6:$W$505,AA$3,実績!$AI$6:$AI$505,"&lt;="&amp;$A122,実績!$AJ$6:$AJ$505,"&gt;"&amp;$A122,実績!$AL$6:$AL$505,"○")&gt;0,1,0))</f>
        <v>0</v>
      </c>
      <c r="AB122" s="39" t="n">
        <f aca="false">IF(AB$4=0,0,IF(COUNTIFS(実績!$W$6:$W$505,AB$3,実績!$AI$6:$AI$505,"&lt;="&amp;$A122,実績!$AJ$6:$AJ$505,"&gt;"&amp;$A122,実績!$AL$6:$AL$505,"○")&gt;0,1,0))</f>
        <v>0</v>
      </c>
      <c r="AC122" s="39" t="n">
        <f aca="false">IF(AC$4=0,0,IF(COUNTIFS(実績!$W$6:$W$505,AC$3,実績!$AI$6:$AI$505,"&lt;="&amp;$A122,実績!$AJ$6:$AJ$505,"&gt;"&amp;$A122,実績!$AL$6:$AL$505,"○")&gt;0,1,0))</f>
        <v>0</v>
      </c>
      <c r="AD122" s="39" t="n">
        <f aca="false">IF(AD$4=0,0,IF(COUNTIFS(実績!$W$6:$W$505,AD$3,実績!$AI$6:$AI$505,"&lt;="&amp;$A122,実績!$AJ$6:$AJ$505,"&gt;"&amp;$A122,実績!$AL$6:$AL$505,"○")&gt;0,1,0))</f>
        <v>0</v>
      </c>
      <c r="AE122" s="39" t="n">
        <f aca="false">IF(AE$4=0,0,IF(COUNTIFS(実績!$W$6:$W$505,AE$3,実績!$AI$6:$AI$505,"&lt;="&amp;$A122,実績!$AJ$6:$AJ$505,"&gt;"&amp;$A122,実績!$AL$6:$AL$505,"○")&gt;0,1,0))</f>
        <v>0</v>
      </c>
      <c r="AF122" s="39" t="n">
        <f aca="false">IF(AF$4=0,0,IF(COUNTIFS(実績!$W$6:$W$505,AF$3,実績!$AI$6:$AI$505,"&lt;="&amp;$A122,実績!$AJ$6:$AJ$505,"&gt;"&amp;$A122,実績!$AL$6:$AL$505,"○")&gt;0,1,0))</f>
        <v>0</v>
      </c>
      <c r="AG122" s="39" t="n">
        <f aca="false">IF(AG$4=0,0,IF(COUNTIFS(実績!$W$6:$W$505,AG$3,実績!$AI$6:$AI$505,"&lt;="&amp;$A122,実績!$AJ$6:$AJ$505,"&gt;"&amp;$A122,実績!$AL$6:$AL$505,"○")&gt;0,1,0))</f>
        <v>0</v>
      </c>
      <c r="AH122" s="39" t="n">
        <f aca="false">IF(AH$4=0,0,IF(COUNTIFS(実績!$W$6:$W$505,AH$3,実績!$AI$6:$AI$505,"&lt;="&amp;$A122,実績!$AJ$6:$AJ$505,"&gt;"&amp;$A122,実績!$AL$6:$AL$505,"○")&gt;0,1,0))</f>
        <v>0</v>
      </c>
      <c r="AI122" s="39" t="n">
        <f aca="false">IF(AI$4=0,0,IF(COUNTIFS(実績!$W$6:$W$505,AI$3,実績!$AI$6:$AI$505,"&lt;="&amp;$A122,実績!$AJ$6:$AJ$505,"&gt;"&amp;$A122,実績!$AL$6:$AL$505,"○")&gt;0,1,0))</f>
        <v>0</v>
      </c>
      <c r="AJ122" s="39" t="n">
        <f aca="false">IF(AJ$4=0,0,IF(COUNTIFS(実績!$W$6:$W$505,AJ$3,実績!$AI$6:$AI$505,"&lt;="&amp;$A122,実績!$AJ$6:$AJ$505,"&gt;"&amp;$A122,実績!$AL$6:$AL$505,"○")&gt;0,1,0))</f>
        <v>0</v>
      </c>
      <c r="AK122" s="39" t="n">
        <f aca="false">IF(AK$4=0,0,IF(COUNTIFS(実績!$W$6:$W$505,AK$3,実績!$AI$6:$AI$505,"&lt;="&amp;$A122,実績!$AJ$6:$AJ$505,"&gt;"&amp;$A122,実績!$AL$6:$AL$505,"○")&gt;0,1,0))</f>
        <v>0</v>
      </c>
      <c r="AL122" s="39" t="n">
        <f aca="false">IF(AL$4=0,0,IF(COUNTIFS(実績!$W$6:$W$505,AL$3,実績!$AI$6:$AI$505,"&lt;="&amp;$A122,実績!$AJ$6:$AJ$505,"&gt;"&amp;$A122,実績!$AL$6:$AL$505,"○")&gt;0,1,0))</f>
        <v>0</v>
      </c>
      <c r="AM122" s="39" t="n">
        <f aca="false">IF(AM$4=0,0,IF(COUNTIFS(実績!$W$6:$W$505,AM$3,実績!$AI$6:$AI$505,"&lt;="&amp;$A122,実績!$AJ$6:$AJ$505,"&gt;"&amp;$A122,実績!$AL$6:$AL$505,"○")&gt;0,1,0))</f>
        <v>0</v>
      </c>
      <c r="AN122" s="39" t="n">
        <f aca="false">IF(AN$4=0,0,IF(COUNTIFS(実績!$W$6:$W$505,AN$3,実績!$AI$6:$AI$505,"&lt;="&amp;$A122,実績!$AJ$6:$AJ$505,"&gt;"&amp;$A122,実績!$AL$6:$AL$505,"○")&gt;0,1,0))</f>
        <v>0</v>
      </c>
      <c r="AO122" s="39" t="n">
        <f aca="false">IF(AO$4=0,0,IF(COUNTIFS(実績!$W$6:$W$505,AO$3,実績!$AI$6:$AI$505,"&lt;="&amp;$A122,実績!$AJ$6:$AJ$505,"&gt;"&amp;$A122,実績!$AL$6:$AL$505,"○")&gt;0,1,0))</f>
        <v>0</v>
      </c>
      <c r="AP122" s="39" t="n">
        <f aca="false">IF(AP$4=0,0,IF(COUNTIFS(実績!$W$6:$W$505,AP$3,実績!$AI$6:$AI$505,"&lt;="&amp;$A122,実績!$AJ$6:$AJ$505,"&gt;"&amp;$A122,実績!$AL$6:$AL$505,"○")&gt;0,1,0))</f>
        <v>0</v>
      </c>
      <c r="AQ122" s="39" t="n">
        <f aca="false">IF(AQ$4=0,0,IF(COUNTIFS(実績!$W$6:$W$505,AQ$3,実績!$AI$6:$AI$505,"&lt;="&amp;$A122,実績!$AJ$6:$AJ$505,"&gt;"&amp;$A122,実績!$AL$6:$AL$505,"○")&gt;0,1,0))</f>
        <v>0</v>
      </c>
      <c r="AR122" s="39" t="n">
        <f aca="false">IF(AR$4=0,0,IF(COUNTIFS(実績!$W$6:$W$505,AR$3,実績!$AI$6:$AI$505,"&lt;="&amp;$A122,実績!$AJ$6:$AJ$505,"&gt;"&amp;$A122,実績!$AL$6:$AL$505,"○")&gt;0,1,0))</f>
        <v>0</v>
      </c>
      <c r="AS122" s="39" t="n">
        <f aca="false">IF(AS$4=0,0,IF(COUNTIFS(実績!$W$6:$W$505,AS$3,実績!$AI$6:$AI$505,"&lt;="&amp;$A122,実績!$AJ$6:$AJ$505,"&gt;"&amp;$A122,実績!$AL$6:$AL$505,"○")&gt;0,1,0))</f>
        <v>0</v>
      </c>
      <c r="AT122" s="39" t="n">
        <f aca="false">IF(AT$4=0,0,IF(COUNTIFS(実績!$W$6:$W$505,AT$3,実績!$AI$6:$AI$505,"&lt;="&amp;$A122,実績!$AJ$6:$AJ$505,"&gt;"&amp;$A122,実績!$AL$6:$AL$505,"○")&gt;0,1,0))</f>
        <v>0</v>
      </c>
      <c r="AU122" s="39" t="n">
        <f aca="false">IF(AU$4=0,0,IF(COUNTIFS(実績!$W$6:$W$505,AU$3,実績!$AI$6:$AI$505,"&lt;="&amp;$A122,実績!$AJ$6:$AJ$505,"&gt;"&amp;$A122,実績!$AL$6:$AL$505,"○")&gt;0,1,0))</f>
        <v>0</v>
      </c>
      <c r="AV122" s="39" t="n">
        <f aca="false">IF(AV$4=0,0,IF(COUNTIFS(実績!$W$6:$W$505,AV$3,実績!$AI$6:$AI$505,"&lt;="&amp;$A122,実績!$AJ$6:$AJ$505,"&gt;"&amp;$A122,実績!$AL$6:$AL$505,"○")&gt;0,1,0))</f>
        <v>0</v>
      </c>
      <c r="AW122" s="39" t="n">
        <f aca="false">IF(AW$4=0,0,IF(COUNTIFS(実績!$W$6:$W$505,AW$3,実績!$AI$6:$AI$505,"&lt;="&amp;$A122,実績!$AJ$6:$AJ$505,"&gt;"&amp;$A122,実績!$AL$6:$AL$505,"○")&gt;0,1,0))</f>
        <v>0</v>
      </c>
      <c r="AX122" s="39" t="n">
        <f aca="false">IF(AX$4=0,0,IF(COUNTIFS(実績!$W$6:$W$505,AX$3,実績!$AI$6:$AI$505,"&lt;="&amp;$A122,実績!$AJ$6:$AJ$505,"&gt;"&amp;$A122,実績!$AL$6:$AL$505,"○")&gt;0,1,0))</f>
        <v>0</v>
      </c>
      <c r="AY122" s="39" t="n">
        <f aca="false">IF(AY$4=0,0,IF(COUNTIFS(実績!$W$6:$W$505,AY$3,実績!$AI$6:$AI$505,"&lt;="&amp;$A122,実績!$AJ$6:$AJ$505,"&gt;"&amp;$A122,実績!$AL$6:$AL$505,"○")&gt;0,1,0))</f>
        <v>0</v>
      </c>
      <c r="AZ122" s="39" t="n">
        <f aca="false">IF(AZ$4=0,0,IF(COUNTIFS(実績!$W$6:$W$505,AZ$3,実績!$AI$6:$AI$505,"&lt;="&amp;$A122,実績!$AJ$6:$AJ$505,"&gt;"&amp;$A122,実績!$AL$6:$AL$505,"○")&gt;0,1,0))</f>
        <v>0</v>
      </c>
      <c r="BA122" s="39" t="n">
        <f aca="false">IF(BA$4=0,0,IF(COUNTIFS(実績!$W$6:$W$505,BA$3,実績!$AI$6:$AI$505,"&lt;="&amp;$A122,実績!$AJ$6:$AJ$505,"&gt;"&amp;$A122,実績!$AL$6:$AL$505,"○")&gt;0,1,0))</f>
        <v>0</v>
      </c>
      <c r="BB122" s="39" t="n">
        <f aca="false">IF(BB$4=0,0,IF(COUNTIFS(実績!$W$6:$W$505,BB$3,実績!$AI$6:$AI$505,"&lt;="&amp;$A122,実績!$AJ$6:$AJ$505,"&gt;"&amp;$A122,実績!$AL$6:$AL$505,"○")&gt;0,1,0))</f>
        <v>0</v>
      </c>
      <c r="BC122" s="39" t="n">
        <f aca="false">IF(BC$4=0,0,IF(COUNTIFS(実績!$W$6:$W$505,BC$3,実績!$AI$6:$AI$505,"&lt;="&amp;$A122,実績!$AJ$6:$AJ$505,"&gt;"&amp;$A122,実績!$AL$6:$AL$505,"○")&gt;0,1,0))</f>
        <v>0</v>
      </c>
      <c r="BD122" s="39" t="n">
        <f aca="false">IF(BD$4=0,0,IF(COUNTIFS(実績!$W$6:$W$505,BD$3,実績!$AI$6:$AI$505,"&lt;="&amp;$A122,実績!$AJ$6:$AJ$505,"&gt;"&amp;$A122,実績!$AL$6:$AL$505,"○")&gt;0,1,0))</f>
        <v>0</v>
      </c>
      <c r="BE122" s="39" t="n">
        <f aca="false">IF(BE$4=0,0,IF(COUNTIFS(実績!$W$6:$W$505,BE$3,実績!$AI$6:$AI$505,"&lt;="&amp;$A122,実績!$AJ$6:$AJ$505,"&gt;"&amp;$A122,実績!$AL$6:$AL$505,"○")&gt;0,1,0))</f>
        <v>0</v>
      </c>
      <c r="BF122" s="39" t="n">
        <f aca="false">IF(BF$4=0,0,IF(COUNTIFS(実績!$W$6:$W$505,BF$3,実績!$AI$6:$AI$505,"&lt;="&amp;$A122,実績!$AJ$6:$AJ$505,"&gt;"&amp;$A122,実績!$AL$6:$AL$505,"○")&gt;0,1,0))</f>
        <v>0</v>
      </c>
      <c r="BG122" s="39" t="n">
        <f aca="false">IF(BG$4=0,0,IF(COUNTIFS(実績!$W$6:$W$505,BG$3,実績!$AI$6:$AI$505,"&lt;="&amp;$A122,実績!$AJ$6:$AJ$505,"&gt;"&amp;$A122,実績!$AL$6:$AL$505,"○")&gt;0,1,0))</f>
        <v>0</v>
      </c>
      <c r="BH122" s="39" t="n">
        <f aca="false">IF(BH$4=0,0,IF(COUNTIFS(実績!$W$6:$W$505,BH$3,実績!$AI$6:$AI$505,"&lt;="&amp;$A122,実績!$AJ$6:$AJ$505,"&gt;"&amp;$A122,実績!$AL$6:$AL$505,"○")&gt;0,1,0))</f>
        <v>0</v>
      </c>
      <c r="BI122" s="39" t="n">
        <f aca="false">IF(BI$4=0,0,IF(COUNTIFS(実績!$W$6:$W$505,BI$3,実績!$AI$6:$AI$505,"&lt;="&amp;$A122,実績!$AJ$6:$AJ$505,"&gt;"&amp;$A122,実績!$AL$6:$AL$505,"○")&gt;0,1,0))</f>
        <v>0</v>
      </c>
      <c r="BJ122" s="39" t="n">
        <f aca="false">IF(BJ$4=0,0,IF(COUNTIFS(実績!$W$6:$W$505,BJ$3,実績!$AI$6:$AI$505,"&lt;="&amp;$A122,実績!$AJ$6:$AJ$505,"&gt;"&amp;$A122,実績!$AL$6:$AL$505,"○")&gt;0,1,0))</f>
        <v>0</v>
      </c>
      <c r="BK122" s="39" t="n">
        <f aca="false">IF(BK$4=0,0,IF(COUNTIFS(実績!$W$6:$W$505,BK$3,実績!$AI$6:$AI$505,"&lt;="&amp;$A122,実績!$AJ$6:$AJ$505,"&gt;"&amp;$A122,実績!$AL$6:$AL$505,"○")&gt;0,1,0))</f>
        <v>0</v>
      </c>
      <c r="BL122" s="39" t="n">
        <f aca="false">IF(BL$4=0,0,IF(COUNTIFS(実績!$W$6:$W$505,BL$3,実績!$AI$6:$AI$505,"&lt;="&amp;$A122,実績!$AJ$6:$AJ$505,"&gt;"&amp;$A122,実績!$AL$6:$AL$505,"○")&gt;0,1,0))</f>
        <v>0</v>
      </c>
      <c r="BM122" s="39" t="n">
        <f aca="false">IF(BM$4=0,0,IF(COUNTIFS(実績!$W$6:$W$505,BM$3,実績!$AI$6:$AI$505,"&lt;="&amp;$A122,実績!$AJ$6:$AJ$505,"&gt;"&amp;$A122,実績!$AL$6:$AL$505,"○")&gt;0,1,0))</f>
        <v>0</v>
      </c>
      <c r="BN122" s="39" t="n">
        <f aca="false">IF(BN$4=0,0,IF(COUNTIFS(実績!$W$6:$W$505,BN$3,実績!$AI$6:$AI$505,"&lt;="&amp;$A122,実績!$AJ$6:$AJ$505,"&gt;"&amp;$A122,実績!$AL$6:$AL$505,"○")&gt;0,1,0))</f>
        <v>0</v>
      </c>
      <c r="BO122" s="39" t="n">
        <f aca="false">IF(BO$4=0,0,IF(COUNTIFS(実績!$W$6:$W$505,BO$3,実績!$AI$6:$AI$505,"&lt;="&amp;$A122,実績!$AJ$6:$AJ$505,"&gt;"&amp;$A122,実績!$AL$6:$AL$505,"○")&gt;0,1,0))</f>
        <v>0</v>
      </c>
      <c r="BP122" s="39" t="n">
        <f aca="false">IF(BP$4=0,0,IF(COUNTIFS(実績!$W$6:$W$505,BP$3,実績!$AI$6:$AI$505,"&lt;="&amp;$A122,実績!$AJ$6:$AJ$505,"&gt;"&amp;$A122,実績!$AL$6:$AL$505,"○")&gt;0,1,0))</f>
        <v>0</v>
      </c>
      <c r="BQ122" s="39" t="n">
        <f aca="false">IF(BQ$4=0,0,IF(COUNTIFS(実績!$W$6:$W$505,BQ$3,実績!$AI$6:$AI$505,"&lt;="&amp;$A122,実績!$AJ$6:$AJ$505,"&gt;"&amp;$A122,実績!$AL$6:$AL$505,"○")&gt;0,1,0))</f>
        <v>0</v>
      </c>
      <c r="BR122" s="39" t="n">
        <f aca="false">IF(BR$4=0,0,IF(COUNTIFS(実績!$W$6:$W$505,BR$3,実績!$AI$6:$AI$505,"&lt;="&amp;$A122,実績!$AJ$6:$AJ$505,"&gt;"&amp;$A122,実績!$AL$6:$AL$505,"○")&gt;0,1,0))</f>
        <v>0</v>
      </c>
      <c r="BS122" s="39" t="n">
        <f aca="false">IF(BS$4=0,0,IF(COUNTIFS(実績!$W$6:$W$505,BS$3,実績!$AI$6:$AI$505,"&lt;="&amp;$A122,実績!$AJ$6:$AJ$505,"&gt;"&amp;$A122,実績!$AL$6:$AL$505,"○")&gt;0,1,0))</f>
        <v>0</v>
      </c>
      <c r="BT122" s="39" t="n">
        <f aca="false">IF(BT$4=0,0,IF(COUNTIFS(実績!$W$6:$W$505,BT$3,実績!$AI$6:$AI$505,"&lt;="&amp;$A122,実績!$AJ$6:$AJ$505,"&gt;"&amp;$A122,実績!$AL$6:$AL$505,"○")&gt;0,1,0))</f>
        <v>0</v>
      </c>
      <c r="BU122" s="39" t="n">
        <f aca="false">IF(BU$4=0,0,IF(COUNTIFS(実績!$W$6:$W$505,BU$3,実績!$AI$6:$AI$505,"&lt;="&amp;$A122,実績!$AJ$6:$AJ$505,"&gt;"&amp;$A122,実績!$AL$6:$AL$505,"○")&gt;0,1,0))</f>
        <v>0</v>
      </c>
      <c r="BV122" s="39" t="n">
        <f aca="false">IF(BV$4=0,0,IF(COUNTIFS(実績!$W$6:$W$505,BV$3,実績!$AI$6:$AI$505,"&lt;="&amp;$A122,実績!$AJ$6:$AJ$505,"&gt;"&amp;$A122,実績!$AL$6:$AL$505,"○")&gt;0,1,0))</f>
        <v>0</v>
      </c>
      <c r="BW122" s="39" t="n">
        <f aca="false">IF(BW$4=0,0,IF(COUNTIFS(実績!$W$6:$W$505,BW$3,実績!$AI$6:$AI$505,"&lt;="&amp;$A122,実績!$AJ$6:$AJ$505,"&gt;"&amp;$A122,実績!$AL$6:$AL$505,"○")&gt;0,1,0))</f>
        <v>0</v>
      </c>
      <c r="BX122" s="39" t="n">
        <f aca="false">IF(BX$4=0,0,IF(COUNTIFS(実績!$W$6:$W$505,BX$3,実績!$AI$6:$AI$505,"&lt;="&amp;$A122,実績!$AJ$6:$AJ$505,"&gt;"&amp;$A122,実績!$AL$6:$AL$505,"○")&gt;0,1,0))</f>
        <v>0</v>
      </c>
      <c r="BY122" s="39" t="n">
        <f aca="false">IF(BY$4=0,0,IF(COUNTIFS(実績!$W$6:$W$505,BY$3,実績!$AI$6:$AI$505,"&lt;="&amp;$A122,実績!$AJ$6:$AJ$505,"&gt;"&amp;$A122,実績!$AL$6:$AL$505,"○")&gt;0,1,0))</f>
        <v>0</v>
      </c>
      <c r="BZ122" s="39" t="n">
        <f aca="false">IF(BZ$4=0,0,IF(COUNTIFS(実績!$W$6:$W$505,BZ$3,実績!$AI$6:$AI$505,"&lt;="&amp;$A122,実績!$AJ$6:$AJ$505,"&gt;"&amp;$A122,実績!$AL$6:$AL$505,"○")&gt;0,1,0))</f>
        <v>0</v>
      </c>
      <c r="CA122" s="39" t="n">
        <f aca="false">IF(CA$4=0,0,IF(COUNTIFS(実績!$W$6:$W$505,CA$3,実績!$AI$6:$AI$505,"&lt;="&amp;$A122,実績!$AJ$6:$AJ$505,"&gt;"&amp;$A122,実績!$AL$6:$AL$505,"○")&gt;0,1,0))</f>
        <v>0</v>
      </c>
      <c r="CB122" s="39" t="n">
        <f aca="false">IF(CB$4=0,0,IF(COUNTIFS(実績!$W$6:$W$505,CB$3,実績!$AI$6:$AI$505,"&lt;="&amp;$A122,実績!$AJ$6:$AJ$505,"&gt;"&amp;$A122,実績!$AL$6:$AL$505,"○")&gt;0,1,0))</f>
        <v>0</v>
      </c>
      <c r="CC122" s="39" t="n">
        <f aca="false">IF(CC$4=0,0,IF(COUNTIFS(実績!$W$6:$W$505,CC$3,実績!$AI$6:$AI$505,"&lt;="&amp;$A122,実績!$AJ$6:$AJ$505,"&gt;"&amp;$A122,実績!$AL$6:$AL$505,"○")&gt;0,1,0))</f>
        <v>0</v>
      </c>
      <c r="CD122" s="39" t="n">
        <f aca="false">IF(CD$4=0,0,IF(COUNTIFS(実績!$W$6:$W$505,CD$3,実績!$AI$6:$AI$505,"&lt;="&amp;$A122,実績!$AJ$6:$AJ$505,"&gt;"&amp;$A122,実績!$AL$6:$AL$505,"○")&gt;0,1,0))</f>
        <v>0</v>
      </c>
      <c r="CE122" s="39" t="n">
        <f aca="false">IF(CE$4=0,0,IF(COUNTIFS(実績!$W$6:$W$505,CE$3,実績!$AI$6:$AI$505,"&lt;="&amp;$A122,実績!$AJ$6:$AJ$505,"&gt;"&amp;$A122,実績!$AL$6:$AL$505,"○")&gt;0,1,0))</f>
        <v>0</v>
      </c>
      <c r="CF122" s="39" t="n">
        <f aca="false">IF(CF$4=0,0,IF(COUNTIFS(実績!$W$6:$W$505,CF$3,実績!$AI$6:$AI$505,"&lt;="&amp;$A122,実績!$AJ$6:$AJ$505,"&gt;"&amp;$A122,実績!$AL$6:$AL$505,"○")&gt;0,1,0))</f>
        <v>0</v>
      </c>
      <c r="CG122" s="39" t="n">
        <f aca="false">IF(CG$4=0,0,IF(COUNTIFS(実績!$W$6:$W$505,CG$3,実績!$AI$6:$AI$505,"&lt;="&amp;$A122,実績!$AJ$6:$AJ$505,"&gt;"&amp;$A122,実績!$AL$6:$AL$505,"○")&gt;0,1,0))</f>
        <v>0</v>
      </c>
      <c r="CH122" s="39" t="n">
        <f aca="false">IF(CH$4=0,0,IF(COUNTIFS(実績!$W$6:$W$505,CH$3,実績!$AI$6:$AI$505,"&lt;="&amp;$A122,実績!$AJ$6:$AJ$505,"&gt;"&amp;$A122,実績!$AL$6:$AL$505,"○")&gt;0,1,0))</f>
        <v>0</v>
      </c>
      <c r="CI122" s="39" t="n">
        <f aca="false">IF(CI$4=0,0,IF(COUNTIFS(実績!$W$6:$W$505,CI$3,実績!$AI$6:$AI$505,"&lt;="&amp;$A122,実績!$AJ$6:$AJ$505,"&gt;"&amp;$A122,実績!$AL$6:$AL$505,"○")&gt;0,1,0))</f>
        <v>0</v>
      </c>
      <c r="CJ122" s="39" t="n">
        <f aca="false">IF(CJ$4=0,0,IF(COUNTIFS(実績!$W$6:$W$505,CJ$3,実績!$AI$6:$AI$505,"&lt;="&amp;$A122,実績!$AJ$6:$AJ$505,"&gt;"&amp;$A122,実績!$AL$6:$AL$505,"○")&gt;0,1,0))</f>
        <v>0</v>
      </c>
      <c r="CK122" s="39" t="n">
        <f aca="false">IF(CK$4=0,0,IF(COUNTIFS(実績!$W$6:$W$505,CK$3,実績!$AI$6:$AI$505,"&lt;="&amp;$A122,実績!$AJ$6:$AJ$505,"&gt;"&amp;$A122,実績!$AL$6:$AL$505,"○")&gt;0,1,0))</f>
        <v>0</v>
      </c>
      <c r="CL122" s="39" t="n">
        <f aca="false">IF(CL$4=0,0,IF(COUNTIFS(実績!$W$6:$W$505,CL$3,実績!$AI$6:$AI$505,"&lt;="&amp;$A122,実績!$AJ$6:$AJ$505,"&gt;"&amp;$A122,実績!$AL$6:$AL$505,"○")&gt;0,1,0))</f>
        <v>0</v>
      </c>
      <c r="CM122" s="39" t="n">
        <f aca="false">IF(CM$4=0,0,IF(COUNTIFS(実績!$W$6:$W$505,CM$3,実績!$AI$6:$AI$505,"&lt;="&amp;$A122,実績!$AJ$6:$AJ$505,"&gt;"&amp;$A122,実績!$AL$6:$AL$505,"○")&gt;0,1,0))</f>
        <v>0</v>
      </c>
      <c r="CN122" s="39" t="n">
        <f aca="false">IF(CN$4=0,0,IF(COUNTIFS(実績!$W$6:$W$505,CN$3,実績!$AI$6:$AI$505,"&lt;="&amp;$A122,実績!$AJ$6:$AJ$505,"&gt;"&amp;$A122,実績!$AL$6:$AL$505,"○")&gt;0,1,0))</f>
        <v>0</v>
      </c>
      <c r="CO122" s="39" t="n">
        <f aca="false">IF(CO$4=0,0,IF(COUNTIFS(実績!$W$6:$W$505,CO$3,実績!$AI$6:$AI$505,"&lt;="&amp;$A122,実績!$AJ$6:$AJ$505,"&gt;"&amp;$A122,実績!$AL$6:$AL$505,"○")&gt;0,1,0))</f>
        <v>0</v>
      </c>
      <c r="CP122" s="39" t="n">
        <f aca="false">IF(CP$4=0,0,IF(COUNTIFS(実績!$W$6:$W$505,CP$3,実績!$AI$6:$AI$505,"&lt;="&amp;$A122,実績!$AJ$6:$AJ$505,"&gt;"&amp;$A122,実績!$AL$6:$AL$505,"○")&gt;0,1,0))</f>
        <v>0</v>
      </c>
      <c r="CQ122" s="39" t="n">
        <f aca="false">IF(CQ$4=0,0,IF(COUNTIFS(実績!$W$6:$W$505,CQ$3,実績!$AI$6:$AI$505,"&lt;="&amp;$A122,実績!$AJ$6:$AJ$505,"&gt;"&amp;$A122,実績!$AL$6:$AL$505,"○")&gt;0,1,0))</f>
        <v>0</v>
      </c>
      <c r="CR122" s="39" t="n">
        <f aca="false">IF(CR$4=0,0,IF(COUNTIFS(実績!$W$6:$W$505,CR$3,実績!$AI$6:$AI$505,"&lt;="&amp;$A122,実績!$AJ$6:$AJ$505,"&gt;"&amp;$A122,実績!$AL$6:$AL$505,"○")&gt;0,1,0))</f>
        <v>0</v>
      </c>
      <c r="CS122" s="39" t="n">
        <f aca="false">IF(CS$4=0,0,IF(COUNTIFS(実績!$W$6:$W$505,CS$3,実績!$AI$6:$AI$505,"&lt;="&amp;$A122,実績!$AJ$6:$AJ$505,"&gt;"&amp;$A122,実績!$AL$6:$AL$505,"○")&gt;0,1,0))</f>
        <v>0</v>
      </c>
      <c r="CT122" s="39" t="n">
        <f aca="false">IF(CT$4=0,0,IF(COUNTIFS(実績!$W$6:$W$505,CT$3,実績!$AI$6:$AI$505,"&lt;="&amp;$A122,実績!$AJ$6:$AJ$505,"&gt;"&amp;$A122,実績!$AL$6:$AL$505,"○")&gt;0,1,0))</f>
        <v>0</v>
      </c>
      <c r="CU122" s="39" t="n">
        <f aca="false">IF(CU$4=0,0,IF(COUNTIFS(実績!$W$6:$W$505,CU$3,実績!$AI$6:$AI$505,"&lt;="&amp;$A122,実績!$AJ$6:$AJ$505,"&gt;"&amp;$A122,実績!$AL$6:$AL$505,"○")&gt;0,1,0))</f>
        <v>0</v>
      </c>
      <c r="CV122" s="39" t="n">
        <f aca="false">IF(CV$4=0,0,IF(COUNTIFS(実績!$W$6:$W$505,CV$3,実績!$AI$6:$AI$505,"&lt;="&amp;$A122,実績!$AJ$6:$AJ$505,"&gt;"&amp;$A122,実績!$AL$6:$AL$505,"○")&gt;0,1,0))</f>
        <v>0</v>
      </c>
      <c r="CW122" s="39" t="n">
        <f aca="false">IF(CW$4=0,0,IF(COUNTIFS(実績!$W$6:$W$505,CW$3,実績!$AI$6:$AI$505,"&lt;="&amp;$A122,実績!$AJ$6:$AJ$505,"&gt;"&amp;$A122,実績!$AL$6:$AL$505,"○")&gt;0,1,0))</f>
        <v>0</v>
      </c>
      <c r="CX122" s="39" t="n">
        <f aca="false">IF(CX$4=0,0,IF(COUNTIFS(実績!$W$6:$W$505,CX$3,実績!$AI$6:$AI$505,"&lt;="&amp;$A122,実績!$AJ$6:$AJ$505,"&gt;"&amp;$A122,実績!$AL$6:$AL$505,"○")&gt;0,1,0))</f>
        <v>0</v>
      </c>
      <c r="CY122" s="39" t="n">
        <f aca="false">IF(CY$4=0,0,IF(COUNTIFS(実績!$W$6:$W$505,CY$3,実績!$AI$6:$AI$505,"&lt;="&amp;$A122,実績!$AJ$6:$AJ$505,"&gt;"&amp;$A122,実績!$AL$6:$AL$505,"○")&gt;0,1,0))</f>
        <v>0</v>
      </c>
      <c r="CZ122" s="39" t="n">
        <f aca="false">IF(CZ$4=0,0,IF(COUNTIFS(実績!$W$6:$W$505,CZ$3,実績!$AI$6:$AI$505,"&lt;="&amp;$A122,実績!$AJ$6:$AJ$505,"&gt;"&amp;$A122,実績!$AL$6:$AL$505,"○")&gt;0,1,0))</f>
        <v>0</v>
      </c>
      <c r="DA122" s="39" t="n">
        <f aca="false">IF(DA$4=0,0,IF(COUNTIFS(実績!$W$6:$W$505,DA$3,実績!$AI$6:$AI$505,"&lt;="&amp;$A122,実績!$AJ$6:$AJ$505,"&gt;"&amp;$A122,実績!$AL$6:$AL$505,"○")&gt;0,1,0))</f>
        <v>0</v>
      </c>
      <c r="DB122" s="39" t="n">
        <f aca="false">IF(DB$4=0,0,IF(COUNTIFS(実績!$W$6:$W$505,DB$3,実績!$AI$6:$AI$505,"&lt;="&amp;$A122,実績!$AJ$6:$AJ$505,"&gt;"&amp;$A122,実績!$AL$6:$AL$505,"○")&gt;0,1,0))</f>
        <v>0</v>
      </c>
      <c r="DC122" s="39" t="n">
        <f aca="false">IF(DC$4=0,0,IF(COUNTIFS(実績!$W$6:$W$505,DC$3,実績!$AI$6:$AI$505,"&lt;="&amp;$A122,実績!$AJ$6:$AJ$505,"&gt;"&amp;$A122,実績!$AL$6:$AL$505,"○")&gt;0,1,0))</f>
        <v>0</v>
      </c>
      <c r="DD122" s="39" t="n">
        <f aca="false">IF(DD$4=0,0,IF(COUNTIFS(実績!$W$6:$W$505,DD$3,実績!$AI$6:$AI$505,"&lt;="&amp;$A122,実績!$AJ$6:$AJ$505,"&gt;"&amp;$A122,実績!$AL$6:$AL$505,"○")&gt;0,1,0))</f>
        <v>0</v>
      </c>
      <c r="DE122" s="39" t="n">
        <f aca="false">IF(DE$4=0,0,IF(COUNTIFS(実績!$W$6:$W$505,DE$3,実績!$AI$6:$AI$505,"&lt;="&amp;$A122,実績!$AJ$6:$AJ$505,"&gt;"&amp;$A122,実績!$AL$6:$AL$505,"○")&gt;0,1,0))</f>
        <v>0</v>
      </c>
      <c r="DF122" s="39" t="n">
        <f aca="false">IF(DF$4=0,0,IF(COUNTIFS(実績!$W$6:$W$505,DF$3,実績!$AI$6:$AI$505,"&lt;="&amp;$A122,実績!$AJ$6:$AJ$505,"&gt;"&amp;$A122,実績!$AL$6:$AL$505,"○")&gt;0,1,0))</f>
        <v>0</v>
      </c>
      <c r="DG122" s="39" t="n">
        <f aca="false">IF(DG$4=0,0,IF(COUNTIFS(実績!$W$6:$W$505,DG$3,実績!$AI$6:$AI$505,"&lt;="&amp;$A122,実績!$AJ$6:$AJ$505,"&gt;"&amp;$A122,実績!$AL$6:$AL$505,"○")&gt;0,1,0))</f>
        <v>0</v>
      </c>
      <c r="DH122" s="39" t="n">
        <f aca="false">IF(DH$4=0,0,IF(COUNTIFS(実績!$W$6:$W$505,DH$3,実績!$AI$6:$AI$505,"&lt;="&amp;$A122,実績!$AJ$6:$AJ$505,"&gt;"&amp;$A122,実績!$AL$6:$AL$505,"○")&gt;0,1,0))</f>
        <v>0</v>
      </c>
      <c r="DI122" s="39" t="n">
        <f aca="false">IF(DI$4=0,0,IF(COUNTIFS(実績!$W$6:$W$505,DI$3,実績!$AI$6:$AI$505,"&lt;="&amp;$A122,実績!$AJ$6:$AJ$505,"&gt;"&amp;$A122,実績!$AL$6:$AL$505,"○")&gt;0,1,0))</f>
        <v>0</v>
      </c>
      <c r="DJ122" s="39" t="n">
        <f aca="false">IF(DJ$4=0,0,IF(COUNTIFS(実績!$W$6:$W$505,DJ$3,実績!$AI$6:$AI$505,"&lt;="&amp;$A122,実績!$AJ$6:$AJ$505,"&gt;"&amp;$A122,実績!$AL$6:$AL$505,"○")&gt;0,1,0))</f>
        <v>0</v>
      </c>
      <c r="DK122" s="39" t="n">
        <f aca="false">IF(DK$4=0,0,IF(COUNTIFS(実績!$W$6:$W$505,DK$3,実績!$AI$6:$AI$505,"&lt;="&amp;$A122,実績!$AJ$6:$AJ$505,"&gt;"&amp;$A122,実績!$AL$6:$AL$505,"○")&gt;0,1,0))</f>
        <v>0</v>
      </c>
      <c r="DL122" s="39" t="n">
        <f aca="false">IF(DL$4=0,0,IF(COUNTIFS(実績!$W$6:$W$505,DL$3,実績!$AI$6:$AI$505,"&lt;="&amp;$A122,実績!$AJ$6:$AJ$505,"&gt;"&amp;$A122,実績!$AL$6:$AL$505,"○")&gt;0,1,0))</f>
        <v>0</v>
      </c>
      <c r="DM122" s="39" t="n">
        <f aca="false">IF(DM$4=0,0,IF(COUNTIFS(実績!$W$6:$W$505,DM$3,実績!$AI$6:$AI$505,"&lt;="&amp;$A122,実績!$AJ$6:$AJ$505,"&gt;"&amp;$A122,実績!$AL$6:$AL$505,"○")&gt;0,1,0))</f>
        <v>0</v>
      </c>
      <c r="DN122" s="39" t="n">
        <f aca="false">IF(DN$4=0,0,IF(COUNTIFS(実績!$W$6:$W$505,DN$3,実績!$AI$6:$AI$505,"&lt;="&amp;$A122,実績!$AJ$6:$AJ$505,"&gt;"&amp;$A122,実績!$AL$6:$AL$505,"○")&gt;0,1,0))</f>
        <v>0</v>
      </c>
      <c r="DO122" s="39" t="n">
        <f aca="false">IF(DO$4=0,0,IF(COUNTIFS(実績!$W$6:$W$505,DO$3,実績!$AI$6:$AI$505,"&lt;="&amp;$A122,実績!$AJ$6:$AJ$505,"&gt;"&amp;$A122,実績!$AL$6:$AL$505,"○")&gt;0,1,0))</f>
        <v>0</v>
      </c>
      <c r="DP122" s="39" t="n">
        <f aca="false">IF(DP$4=0,0,IF(COUNTIFS(実績!$W$6:$W$505,DP$3,実績!$AI$6:$AI$505,"&lt;="&amp;$A122,実績!$AJ$6:$AJ$505,"&gt;"&amp;$A122,実績!$AL$6:$AL$505,"○")&gt;0,1,0))</f>
        <v>0</v>
      </c>
      <c r="DQ122" s="39" t="n">
        <f aca="false">IF(DQ$4=0,0,IF(COUNTIFS(実績!$W$6:$W$505,DQ$3,実績!$AI$6:$AI$505,"&lt;="&amp;$A122,実績!$AJ$6:$AJ$505,"&gt;"&amp;$A122,実績!$AL$6:$AL$505,"○")&gt;0,1,0))</f>
        <v>0</v>
      </c>
      <c r="DR122" s="39" t="n">
        <f aca="false">IF(DR$4=0,0,IF(COUNTIFS(実績!$W$6:$W$505,DR$3,実績!$AI$6:$AI$505,"&lt;="&amp;$A122,実績!$AJ$6:$AJ$505,"&gt;"&amp;$A122,実績!$AL$6:$AL$505,"○")&gt;0,1,0))</f>
        <v>0</v>
      </c>
      <c r="DS122" s="39" t="n">
        <f aca="false">SUM(C122:DR122)</f>
        <v>0</v>
      </c>
    </row>
    <row r="123" customFormat="false" ht="15" hidden="false" customHeight="false" outlineLevel="0" collapsed="false">
      <c r="A123" s="0" t="n">
        <v>585</v>
      </c>
      <c r="B123" s="38" t="n">
        <f aca="false">A123/1440</f>
        <v>0.40625</v>
      </c>
      <c r="C123" s="39" t="n">
        <f aca="false">IF(C$4=0,0,IF(COUNTIFS(実績!$W$6:$W$505,C$3,実績!$AI$6:$AI$505,"&lt;="&amp;$A123,実績!$AJ$6:$AJ$505,"&gt;"&amp;$A123,実績!$AL$6:$AL$505,"○")&gt;0,1,0))</f>
        <v>0</v>
      </c>
      <c r="D123" s="39" t="n">
        <f aca="false">IF(D$4=0,0,IF(COUNTIFS(実績!$W$6:$W$505,D$3,実績!$AI$6:$AI$505,"&lt;="&amp;$A123,実績!$AJ$6:$AJ$505,"&gt;"&amp;$A123,実績!$AL$6:$AL$505,"○")&gt;0,1,0))</f>
        <v>0</v>
      </c>
      <c r="E123" s="39" t="n">
        <f aca="false">IF(E$4=0,0,IF(COUNTIFS(実績!$W$6:$W$505,E$3,実績!$AI$6:$AI$505,"&lt;="&amp;$A123,実績!$AJ$6:$AJ$505,"&gt;"&amp;$A123,実績!$AL$6:$AL$505,"○")&gt;0,1,0))</f>
        <v>0</v>
      </c>
      <c r="F123" s="39" t="n">
        <f aca="false">IF(F$4=0,0,IF(COUNTIFS(実績!$W$6:$W$505,F$3,実績!$AI$6:$AI$505,"&lt;="&amp;$A123,実績!$AJ$6:$AJ$505,"&gt;"&amp;$A123,実績!$AL$6:$AL$505,"○")&gt;0,1,0))</f>
        <v>0</v>
      </c>
      <c r="G123" s="39" t="n">
        <f aca="false">IF(G$4=0,0,IF(COUNTIFS(実績!$W$6:$W$505,G$3,実績!$AI$6:$AI$505,"&lt;="&amp;$A123,実績!$AJ$6:$AJ$505,"&gt;"&amp;$A123,実績!$AL$6:$AL$505,"○")&gt;0,1,0))</f>
        <v>0</v>
      </c>
      <c r="H123" s="39" t="n">
        <f aca="false">IF(H$4=0,0,IF(COUNTIFS(実績!$W$6:$W$505,H$3,実績!$AI$6:$AI$505,"&lt;="&amp;$A123,実績!$AJ$6:$AJ$505,"&gt;"&amp;$A123,実績!$AL$6:$AL$505,"○")&gt;0,1,0))</f>
        <v>0</v>
      </c>
      <c r="I123" s="39" t="n">
        <f aca="false">IF(I$4=0,0,IF(COUNTIFS(実績!$W$6:$W$505,I$3,実績!$AI$6:$AI$505,"&lt;="&amp;$A123,実績!$AJ$6:$AJ$505,"&gt;"&amp;$A123,実績!$AL$6:$AL$505,"○")&gt;0,1,0))</f>
        <v>0</v>
      </c>
      <c r="J123" s="39" t="n">
        <f aca="false">IF(J$4=0,0,IF(COUNTIFS(実績!$W$6:$W$505,J$3,実績!$AI$6:$AI$505,"&lt;="&amp;$A123,実績!$AJ$6:$AJ$505,"&gt;"&amp;$A123,実績!$AL$6:$AL$505,"○")&gt;0,1,0))</f>
        <v>0</v>
      </c>
      <c r="K123" s="39" t="n">
        <f aca="false">IF(K$4=0,0,IF(COUNTIFS(実績!$W$6:$W$505,K$3,実績!$AI$6:$AI$505,"&lt;="&amp;$A123,実績!$AJ$6:$AJ$505,"&gt;"&amp;$A123,実績!$AL$6:$AL$505,"○")&gt;0,1,0))</f>
        <v>0</v>
      </c>
      <c r="L123" s="39" t="n">
        <f aca="false">IF(L$4=0,0,IF(COUNTIFS(実績!$W$6:$W$505,L$3,実績!$AI$6:$AI$505,"&lt;="&amp;$A123,実績!$AJ$6:$AJ$505,"&gt;"&amp;$A123,実績!$AL$6:$AL$505,"○")&gt;0,1,0))</f>
        <v>0</v>
      </c>
      <c r="M123" s="39" t="n">
        <f aca="false">IF(M$4=0,0,IF(COUNTIFS(実績!$W$6:$W$505,M$3,実績!$AI$6:$AI$505,"&lt;="&amp;$A123,実績!$AJ$6:$AJ$505,"&gt;"&amp;$A123,実績!$AL$6:$AL$505,"○")&gt;0,1,0))</f>
        <v>0</v>
      </c>
      <c r="N123" s="39" t="n">
        <f aca="false">IF(N$4=0,0,IF(COUNTIFS(実績!$W$6:$W$505,N$3,実績!$AI$6:$AI$505,"&lt;="&amp;$A123,実績!$AJ$6:$AJ$505,"&gt;"&amp;$A123,実績!$AL$6:$AL$505,"○")&gt;0,1,0))</f>
        <v>0</v>
      </c>
      <c r="O123" s="39" t="n">
        <f aca="false">IF(O$4=0,0,IF(COUNTIFS(実績!$W$6:$W$505,O$3,実績!$AI$6:$AI$505,"&lt;="&amp;$A123,実績!$AJ$6:$AJ$505,"&gt;"&amp;$A123,実績!$AL$6:$AL$505,"○")&gt;0,1,0))</f>
        <v>0</v>
      </c>
      <c r="P123" s="39" t="n">
        <f aca="false">IF(P$4=0,0,IF(COUNTIFS(実績!$W$6:$W$505,P$3,実績!$AI$6:$AI$505,"&lt;="&amp;$A123,実績!$AJ$6:$AJ$505,"&gt;"&amp;$A123,実績!$AL$6:$AL$505,"○")&gt;0,1,0))</f>
        <v>0</v>
      </c>
      <c r="Q123" s="39" t="n">
        <f aca="false">IF(Q$4=0,0,IF(COUNTIFS(実績!$W$6:$W$505,Q$3,実績!$AI$6:$AI$505,"&lt;="&amp;$A123,実績!$AJ$6:$AJ$505,"&gt;"&amp;$A123,実績!$AL$6:$AL$505,"○")&gt;0,1,0))</f>
        <v>0</v>
      </c>
      <c r="R123" s="39" t="n">
        <f aca="false">IF(R$4=0,0,IF(COUNTIFS(実績!$W$6:$W$505,R$3,実績!$AI$6:$AI$505,"&lt;="&amp;$A123,実績!$AJ$6:$AJ$505,"&gt;"&amp;$A123,実績!$AL$6:$AL$505,"○")&gt;0,1,0))</f>
        <v>0</v>
      </c>
      <c r="S123" s="39" t="n">
        <f aca="false">IF(S$4=0,0,IF(COUNTIFS(実績!$W$6:$W$505,S$3,実績!$AI$6:$AI$505,"&lt;="&amp;$A123,実績!$AJ$6:$AJ$505,"&gt;"&amp;$A123,実績!$AL$6:$AL$505,"○")&gt;0,1,0))</f>
        <v>0</v>
      </c>
      <c r="T123" s="39" t="n">
        <f aca="false">IF(T$4=0,0,IF(COUNTIFS(実績!$W$6:$W$505,T$3,実績!$AI$6:$AI$505,"&lt;="&amp;$A123,実績!$AJ$6:$AJ$505,"&gt;"&amp;$A123,実績!$AL$6:$AL$505,"○")&gt;0,1,0))</f>
        <v>0</v>
      </c>
      <c r="U123" s="39" t="n">
        <f aca="false">IF(U$4=0,0,IF(COUNTIFS(実績!$W$6:$W$505,U$3,実績!$AI$6:$AI$505,"&lt;="&amp;$A123,実績!$AJ$6:$AJ$505,"&gt;"&amp;$A123,実績!$AL$6:$AL$505,"○")&gt;0,1,0))</f>
        <v>0</v>
      </c>
      <c r="V123" s="39" t="n">
        <f aca="false">IF(V$4=0,0,IF(COUNTIFS(実績!$W$6:$W$505,V$3,実績!$AI$6:$AI$505,"&lt;="&amp;$A123,実績!$AJ$6:$AJ$505,"&gt;"&amp;$A123,実績!$AL$6:$AL$505,"○")&gt;0,1,0))</f>
        <v>0</v>
      </c>
      <c r="W123" s="39" t="n">
        <f aca="false">IF(W$4=0,0,IF(COUNTIFS(実績!$W$6:$W$505,W$3,実績!$AI$6:$AI$505,"&lt;="&amp;$A123,実績!$AJ$6:$AJ$505,"&gt;"&amp;$A123,実績!$AL$6:$AL$505,"○")&gt;0,1,0))</f>
        <v>0</v>
      </c>
      <c r="X123" s="39" t="n">
        <f aca="false">IF(X$4=0,0,IF(COUNTIFS(実績!$W$6:$W$505,X$3,実績!$AI$6:$AI$505,"&lt;="&amp;$A123,実績!$AJ$6:$AJ$505,"&gt;"&amp;$A123,実績!$AL$6:$AL$505,"○")&gt;0,1,0))</f>
        <v>0</v>
      </c>
      <c r="Y123" s="39" t="n">
        <f aca="false">IF(Y$4=0,0,IF(COUNTIFS(実績!$W$6:$W$505,Y$3,実績!$AI$6:$AI$505,"&lt;="&amp;$A123,実績!$AJ$6:$AJ$505,"&gt;"&amp;$A123,実績!$AL$6:$AL$505,"○")&gt;0,1,0))</f>
        <v>0</v>
      </c>
      <c r="Z123" s="39" t="n">
        <f aca="false">IF(Z$4=0,0,IF(COUNTIFS(実績!$W$6:$W$505,Z$3,実績!$AI$6:$AI$505,"&lt;="&amp;$A123,実績!$AJ$6:$AJ$505,"&gt;"&amp;$A123,実績!$AL$6:$AL$505,"○")&gt;0,1,0))</f>
        <v>0</v>
      </c>
      <c r="AA123" s="39" t="n">
        <f aca="false">IF(AA$4=0,0,IF(COUNTIFS(実績!$W$6:$W$505,AA$3,実績!$AI$6:$AI$505,"&lt;="&amp;$A123,実績!$AJ$6:$AJ$505,"&gt;"&amp;$A123,実績!$AL$6:$AL$505,"○")&gt;0,1,0))</f>
        <v>0</v>
      </c>
      <c r="AB123" s="39" t="n">
        <f aca="false">IF(AB$4=0,0,IF(COUNTIFS(実績!$W$6:$W$505,AB$3,実績!$AI$6:$AI$505,"&lt;="&amp;$A123,実績!$AJ$6:$AJ$505,"&gt;"&amp;$A123,実績!$AL$6:$AL$505,"○")&gt;0,1,0))</f>
        <v>0</v>
      </c>
      <c r="AC123" s="39" t="n">
        <f aca="false">IF(AC$4=0,0,IF(COUNTIFS(実績!$W$6:$W$505,AC$3,実績!$AI$6:$AI$505,"&lt;="&amp;$A123,実績!$AJ$6:$AJ$505,"&gt;"&amp;$A123,実績!$AL$6:$AL$505,"○")&gt;0,1,0))</f>
        <v>0</v>
      </c>
      <c r="AD123" s="39" t="n">
        <f aca="false">IF(AD$4=0,0,IF(COUNTIFS(実績!$W$6:$W$505,AD$3,実績!$AI$6:$AI$505,"&lt;="&amp;$A123,実績!$AJ$6:$AJ$505,"&gt;"&amp;$A123,実績!$AL$6:$AL$505,"○")&gt;0,1,0))</f>
        <v>0</v>
      </c>
      <c r="AE123" s="39" t="n">
        <f aca="false">IF(AE$4=0,0,IF(COUNTIFS(実績!$W$6:$W$505,AE$3,実績!$AI$6:$AI$505,"&lt;="&amp;$A123,実績!$AJ$6:$AJ$505,"&gt;"&amp;$A123,実績!$AL$6:$AL$505,"○")&gt;0,1,0))</f>
        <v>0</v>
      </c>
      <c r="AF123" s="39" t="n">
        <f aca="false">IF(AF$4=0,0,IF(COUNTIFS(実績!$W$6:$W$505,AF$3,実績!$AI$6:$AI$505,"&lt;="&amp;$A123,実績!$AJ$6:$AJ$505,"&gt;"&amp;$A123,実績!$AL$6:$AL$505,"○")&gt;0,1,0))</f>
        <v>0</v>
      </c>
      <c r="AG123" s="39" t="n">
        <f aca="false">IF(AG$4=0,0,IF(COUNTIFS(実績!$W$6:$W$505,AG$3,実績!$AI$6:$AI$505,"&lt;="&amp;$A123,実績!$AJ$6:$AJ$505,"&gt;"&amp;$A123,実績!$AL$6:$AL$505,"○")&gt;0,1,0))</f>
        <v>0</v>
      </c>
      <c r="AH123" s="39" t="n">
        <f aca="false">IF(AH$4=0,0,IF(COUNTIFS(実績!$W$6:$W$505,AH$3,実績!$AI$6:$AI$505,"&lt;="&amp;$A123,実績!$AJ$6:$AJ$505,"&gt;"&amp;$A123,実績!$AL$6:$AL$505,"○")&gt;0,1,0))</f>
        <v>0</v>
      </c>
      <c r="AI123" s="39" t="n">
        <f aca="false">IF(AI$4=0,0,IF(COUNTIFS(実績!$W$6:$W$505,AI$3,実績!$AI$6:$AI$505,"&lt;="&amp;$A123,実績!$AJ$6:$AJ$505,"&gt;"&amp;$A123,実績!$AL$6:$AL$505,"○")&gt;0,1,0))</f>
        <v>0</v>
      </c>
      <c r="AJ123" s="39" t="n">
        <f aca="false">IF(AJ$4=0,0,IF(COUNTIFS(実績!$W$6:$W$505,AJ$3,実績!$AI$6:$AI$505,"&lt;="&amp;$A123,実績!$AJ$6:$AJ$505,"&gt;"&amp;$A123,実績!$AL$6:$AL$505,"○")&gt;0,1,0))</f>
        <v>0</v>
      </c>
      <c r="AK123" s="39" t="n">
        <f aca="false">IF(AK$4=0,0,IF(COUNTIFS(実績!$W$6:$W$505,AK$3,実績!$AI$6:$AI$505,"&lt;="&amp;$A123,実績!$AJ$6:$AJ$505,"&gt;"&amp;$A123,実績!$AL$6:$AL$505,"○")&gt;0,1,0))</f>
        <v>0</v>
      </c>
      <c r="AL123" s="39" t="n">
        <f aca="false">IF(AL$4=0,0,IF(COUNTIFS(実績!$W$6:$W$505,AL$3,実績!$AI$6:$AI$505,"&lt;="&amp;$A123,実績!$AJ$6:$AJ$505,"&gt;"&amp;$A123,実績!$AL$6:$AL$505,"○")&gt;0,1,0))</f>
        <v>0</v>
      </c>
      <c r="AM123" s="39" t="n">
        <f aca="false">IF(AM$4=0,0,IF(COUNTIFS(実績!$W$6:$W$505,AM$3,実績!$AI$6:$AI$505,"&lt;="&amp;$A123,実績!$AJ$6:$AJ$505,"&gt;"&amp;$A123,実績!$AL$6:$AL$505,"○")&gt;0,1,0))</f>
        <v>0</v>
      </c>
      <c r="AN123" s="39" t="n">
        <f aca="false">IF(AN$4=0,0,IF(COUNTIFS(実績!$W$6:$W$505,AN$3,実績!$AI$6:$AI$505,"&lt;="&amp;$A123,実績!$AJ$6:$AJ$505,"&gt;"&amp;$A123,実績!$AL$6:$AL$505,"○")&gt;0,1,0))</f>
        <v>0</v>
      </c>
      <c r="AO123" s="39" t="n">
        <f aca="false">IF(AO$4=0,0,IF(COUNTIFS(実績!$W$6:$W$505,AO$3,実績!$AI$6:$AI$505,"&lt;="&amp;$A123,実績!$AJ$6:$AJ$505,"&gt;"&amp;$A123,実績!$AL$6:$AL$505,"○")&gt;0,1,0))</f>
        <v>0</v>
      </c>
      <c r="AP123" s="39" t="n">
        <f aca="false">IF(AP$4=0,0,IF(COUNTIFS(実績!$W$6:$W$505,AP$3,実績!$AI$6:$AI$505,"&lt;="&amp;$A123,実績!$AJ$6:$AJ$505,"&gt;"&amp;$A123,実績!$AL$6:$AL$505,"○")&gt;0,1,0))</f>
        <v>0</v>
      </c>
      <c r="AQ123" s="39" t="n">
        <f aca="false">IF(AQ$4=0,0,IF(COUNTIFS(実績!$W$6:$W$505,AQ$3,実績!$AI$6:$AI$505,"&lt;="&amp;$A123,実績!$AJ$6:$AJ$505,"&gt;"&amp;$A123,実績!$AL$6:$AL$505,"○")&gt;0,1,0))</f>
        <v>0</v>
      </c>
      <c r="AR123" s="39" t="n">
        <f aca="false">IF(AR$4=0,0,IF(COUNTIFS(実績!$W$6:$W$505,AR$3,実績!$AI$6:$AI$505,"&lt;="&amp;$A123,実績!$AJ$6:$AJ$505,"&gt;"&amp;$A123,実績!$AL$6:$AL$505,"○")&gt;0,1,0))</f>
        <v>0</v>
      </c>
      <c r="AS123" s="39" t="n">
        <f aca="false">IF(AS$4=0,0,IF(COUNTIFS(実績!$W$6:$W$505,AS$3,実績!$AI$6:$AI$505,"&lt;="&amp;$A123,実績!$AJ$6:$AJ$505,"&gt;"&amp;$A123,実績!$AL$6:$AL$505,"○")&gt;0,1,0))</f>
        <v>0</v>
      </c>
      <c r="AT123" s="39" t="n">
        <f aca="false">IF(AT$4=0,0,IF(COUNTIFS(実績!$W$6:$W$505,AT$3,実績!$AI$6:$AI$505,"&lt;="&amp;$A123,実績!$AJ$6:$AJ$505,"&gt;"&amp;$A123,実績!$AL$6:$AL$505,"○")&gt;0,1,0))</f>
        <v>0</v>
      </c>
      <c r="AU123" s="39" t="n">
        <f aca="false">IF(AU$4=0,0,IF(COUNTIFS(実績!$W$6:$W$505,AU$3,実績!$AI$6:$AI$505,"&lt;="&amp;$A123,実績!$AJ$6:$AJ$505,"&gt;"&amp;$A123,実績!$AL$6:$AL$505,"○")&gt;0,1,0))</f>
        <v>0</v>
      </c>
      <c r="AV123" s="39" t="n">
        <f aca="false">IF(AV$4=0,0,IF(COUNTIFS(実績!$W$6:$W$505,AV$3,実績!$AI$6:$AI$505,"&lt;="&amp;$A123,実績!$AJ$6:$AJ$505,"&gt;"&amp;$A123,実績!$AL$6:$AL$505,"○")&gt;0,1,0))</f>
        <v>0</v>
      </c>
      <c r="AW123" s="39" t="n">
        <f aca="false">IF(AW$4=0,0,IF(COUNTIFS(実績!$W$6:$W$505,AW$3,実績!$AI$6:$AI$505,"&lt;="&amp;$A123,実績!$AJ$6:$AJ$505,"&gt;"&amp;$A123,実績!$AL$6:$AL$505,"○")&gt;0,1,0))</f>
        <v>0</v>
      </c>
      <c r="AX123" s="39" t="n">
        <f aca="false">IF(AX$4=0,0,IF(COUNTIFS(実績!$W$6:$W$505,AX$3,実績!$AI$6:$AI$505,"&lt;="&amp;$A123,実績!$AJ$6:$AJ$505,"&gt;"&amp;$A123,実績!$AL$6:$AL$505,"○")&gt;0,1,0))</f>
        <v>0</v>
      </c>
      <c r="AY123" s="39" t="n">
        <f aca="false">IF(AY$4=0,0,IF(COUNTIFS(実績!$W$6:$W$505,AY$3,実績!$AI$6:$AI$505,"&lt;="&amp;$A123,実績!$AJ$6:$AJ$505,"&gt;"&amp;$A123,実績!$AL$6:$AL$505,"○")&gt;0,1,0))</f>
        <v>0</v>
      </c>
      <c r="AZ123" s="39" t="n">
        <f aca="false">IF(AZ$4=0,0,IF(COUNTIFS(実績!$W$6:$W$505,AZ$3,実績!$AI$6:$AI$505,"&lt;="&amp;$A123,実績!$AJ$6:$AJ$505,"&gt;"&amp;$A123,実績!$AL$6:$AL$505,"○")&gt;0,1,0))</f>
        <v>0</v>
      </c>
      <c r="BA123" s="39" t="n">
        <f aca="false">IF(BA$4=0,0,IF(COUNTIFS(実績!$W$6:$W$505,BA$3,実績!$AI$6:$AI$505,"&lt;="&amp;$A123,実績!$AJ$6:$AJ$505,"&gt;"&amp;$A123,実績!$AL$6:$AL$505,"○")&gt;0,1,0))</f>
        <v>0</v>
      </c>
      <c r="BB123" s="39" t="n">
        <f aca="false">IF(BB$4=0,0,IF(COUNTIFS(実績!$W$6:$W$505,BB$3,実績!$AI$6:$AI$505,"&lt;="&amp;$A123,実績!$AJ$6:$AJ$505,"&gt;"&amp;$A123,実績!$AL$6:$AL$505,"○")&gt;0,1,0))</f>
        <v>0</v>
      </c>
      <c r="BC123" s="39" t="n">
        <f aca="false">IF(BC$4=0,0,IF(COUNTIFS(実績!$W$6:$W$505,BC$3,実績!$AI$6:$AI$505,"&lt;="&amp;$A123,実績!$AJ$6:$AJ$505,"&gt;"&amp;$A123,実績!$AL$6:$AL$505,"○")&gt;0,1,0))</f>
        <v>0</v>
      </c>
      <c r="BD123" s="39" t="n">
        <f aca="false">IF(BD$4=0,0,IF(COUNTIFS(実績!$W$6:$W$505,BD$3,実績!$AI$6:$AI$505,"&lt;="&amp;$A123,実績!$AJ$6:$AJ$505,"&gt;"&amp;$A123,実績!$AL$6:$AL$505,"○")&gt;0,1,0))</f>
        <v>0</v>
      </c>
      <c r="BE123" s="39" t="n">
        <f aca="false">IF(BE$4=0,0,IF(COUNTIFS(実績!$W$6:$W$505,BE$3,実績!$AI$6:$AI$505,"&lt;="&amp;$A123,実績!$AJ$6:$AJ$505,"&gt;"&amp;$A123,実績!$AL$6:$AL$505,"○")&gt;0,1,0))</f>
        <v>0</v>
      </c>
      <c r="BF123" s="39" t="n">
        <f aca="false">IF(BF$4=0,0,IF(COUNTIFS(実績!$W$6:$W$505,BF$3,実績!$AI$6:$AI$505,"&lt;="&amp;$A123,実績!$AJ$6:$AJ$505,"&gt;"&amp;$A123,実績!$AL$6:$AL$505,"○")&gt;0,1,0))</f>
        <v>0</v>
      </c>
      <c r="BG123" s="39" t="n">
        <f aca="false">IF(BG$4=0,0,IF(COUNTIFS(実績!$W$6:$W$505,BG$3,実績!$AI$6:$AI$505,"&lt;="&amp;$A123,実績!$AJ$6:$AJ$505,"&gt;"&amp;$A123,実績!$AL$6:$AL$505,"○")&gt;0,1,0))</f>
        <v>0</v>
      </c>
      <c r="BH123" s="39" t="n">
        <f aca="false">IF(BH$4=0,0,IF(COUNTIFS(実績!$W$6:$W$505,BH$3,実績!$AI$6:$AI$505,"&lt;="&amp;$A123,実績!$AJ$6:$AJ$505,"&gt;"&amp;$A123,実績!$AL$6:$AL$505,"○")&gt;0,1,0))</f>
        <v>0</v>
      </c>
      <c r="BI123" s="39" t="n">
        <f aca="false">IF(BI$4=0,0,IF(COUNTIFS(実績!$W$6:$W$505,BI$3,実績!$AI$6:$AI$505,"&lt;="&amp;$A123,実績!$AJ$6:$AJ$505,"&gt;"&amp;$A123,実績!$AL$6:$AL$505,"○")&gt;0,1,0))</f>
        <v>0</v>
      </c>
      <c r="BJ123" s="39" t="n">
        <f aca="false">IF(BJ$4=0,0,IF(COUNTIFS(実績!$W$6:$W$505,BJ$3,実績!$AI$6:$AI$505,"&lt;="&amp;$A123,実績!$AJ$6:$AJ$505,"&gt;"&amp;$A123,実績!$AL$6:$AL$505,"○")&gt;0,1,0))</f>
        <v>0</v>
      </c>
      <c r="BK123" s="39" t="n">
        <f aca="false">IF(BK$4=0,0,IF(COUNTIFS(実績!$W$6:$W$505,BK$3,実績!$AI$6:$AI$505,"&lt;="&amp;$A123,実績!$AJ$6:$AJ$505,"&gt;"&amp;$A123,実績!$AL$6:$AL$505,"○")&gt;0,1,0))</f>
        <v>0</v>
      </c>
      <c r="BL123" s="39" t="n">
        <f aca="false">IF(BL$4=0,0,IF(COUNTIFS(実績!$W$6:$W$505,BL$3,実績!$AI$6:$AI$505,"&lt;="&amp;$A123,実績!$AJ$6:$AJ$505,"&gt;"&amp;$A123,実績!$AL$6:$AL$505,"○")&gt;0,1,0))</f>
        <v>0</v>
      </c>
      <c r="BM123" s="39" t="n">
        <f aca="false">IF(BM$4=0,0,IF(COUNTIFS(実績!$W$6:$W$505,BM$3,実績!$AI$6:$AI$505,"&lt;="&amp;$A123,実績!$AJ$6:$AJ$505,"&gt;"&amp;$A123,実績!$AL$6:$AL$505,"○")&gt;0,1,0))</f>
        <v>0</v>
      </c>
      <c r="BN123" s="39" t="n">
        <f aca="false">IF(BN$4=0,0,IF(COUNTIFS(実績!$W$6:$W$505,BN$3,実績!$AI$6:$AI$505,"&lt;="&amp;$A123,実績!$AJ$6:$AJ$505,"&gt;"&amp;$A123,実績!$AL$6:$AL$505,"○")&gt;0,1,0))</f>
        <v>0</v>
      </c>
      <c r="BO123" s="39" t="n">
        <f aca="false">IF(BO$4=0,0,IF(COUNTIFS(実績!$W$6:$W$505,BO$3,実績!$AI$6:$AI$505,"&lt;="&amp;$A123,実績!$AJ$6:$AJ$505,"&gt;"&amp;$A123,実績!$AL$6:$AL$505,"○")&gt;0,1,0))</f>
        <v>0</v>
      </c>
      <c r="BP123" s="39" t="n">
        <f aca="false">IF(BP$4=0,0,IF(COUNTIFS(実績!$W$6:$W$505,BP$3,実績!$AI$6:$AI$505,"&lt;="&amp;$A123,実績!$AJ$6:$AJ$505,"&gt;"&amp;$A123,実績!$AL$6:$AL$505,"○")&gt;0,1,0))</f>
        <v>0</v>
      </c>
      <c r="BQ123" s="39" t="n">
        <f aca="false">IF(BQ$4=0,0,IF(COUNTIFS(実績!$W$6:$W$505,BQ$3,実績!$AI$6:$AI$505,"&lt;="&amp;$A123,実績!$AJ$6:$AJ$505,"&gt;"&amp;$A123,実績!$AL$6:$AL$505,"○")&gt;0,1,0))</f>
        <v>0</v>
      </c>
      <c r="BR123" s="39" t="n">
        <f aca="false">IF(BR$4=0,0,IF(COUNTIFS(実績!$W$6:$W$505,BR$3,実績!$AI$6:$AI$505,"&lt;="&amp;$A123,実績!$AJ$6:$AJ$505,"&gt;"&amp;$A123,実績!$AL$6:$AL$505,"○")&gt;0,1,0))</f>
        <v>0</v>
      </c>
      <c r="BS123" s="39" t="n">
        <f aca="false">IF(BS$4=0,0,IF(COUNTIFS(実績!$W$6:$W$505,BS$3,実績!$AI$6:$AI$505,"&lt;="&amp;$A123,実績!$AJ$6:$AJ$505,"&gt;"&amp;$A123,実績!$AL$6:$AL$505,"○")&gt;0,1,0))</f>
        <v>0</v>
      </c>
      <c r="BT123" s="39" t="n">
        <f aca="false">IF(BT$4=0,0,IF(COUNTIFS(実績!$W$6:$W$505,BT$3,実績!$AI$6:$AI$505,"&lt;="&amp;$A123,実績!$AJ$6:$AJ$505,"&gt;"&amp;$A123,実績!$AL$6:$AL$505,"○")&gt;0,1,0))</f>
        <v>0</v>
      </c>
      <c r="BU123" s="39" t="n">
        <f aca="false">IF(BU$4=0,0,IF(COUNTIFS(実績!$W$6:$W$505,BU$3,実績!$AI$6:$AI$505,"&lt;="&amp;$A123,実績!$AJ$6:$AJ$505,"&gt;"&amp;$A123,実績!$AL$6:$AL$505,"○")&gt;0,1,0))</f>
        <v>0</v>
      </c>
      <c r="BV123" s="39" t="n">
        <f aca="false">IF(BV$4=0,0,IF(COUNTIFS(実績!$W$6:$W$505,BV$3,実績!$AI$6:$AI$505,"&lt;="&amp;$A123,実績!$AJ$6:$AJ$505,"&gt;"&amp;$A123,実績!$AL$6:$AL$505,"○")&gt;0,1,0))</f>
        <v>0</v>
      </c>
      <c r="BW123" s="39" t="n">
        <f aca="false">IF(BW$4=0,0,IF(COUNTIFS(実績!$W$6:$W$505,BW$3,実績!$AI$6:$AI$505,"&lt;="&amp;$A123,実績!$AJ$6:$AJ$505,"&gt;"&amp;$A123,実績!$AL$6:$AL$505,"○")&gt;0,1,0))</f>
        <v>0</v>
      </c>
      <c r="BX123" s="39" t="n">
        <f aca="false">IF(BX$4=0,0,IF(COUNTIFS(実績!$W$6:$W$505,BX$3,実績!$AI$6:$AI$505,"&lt;="&amp;$A123,実績!$AJ$6:$AJ$505,"&gt;"&amp;$A123,実績!$AL$6:$AL$505,"○")&gt;0,1,0))</f>
        <v>0</v>
      </c>
      <c r="BY123" s="39" t="n">
        <f aca="false">IF(BY$4=0,0,IF(COUNTIFS(実績!$W$6:$W$505,BY$3,実績!$AI$6:$AI$505,"&lt;="&amp;$A123,実績!$AJ$6:$AJ$505,"&gt;"&amp;$A123,実績!$AL$6:$AL$505,"○")&gt;0,1,0))</f>
        <v>0</v>
      </c>
      <c r="BZ123" s="39" t="n">
        <f aca="false">IF(BZ$4=0,0,IF(COUNTIFS(実績!$W$6:$W$505,BZ$3,実績!$AI$6:$AI$505,"&lt;="&amp;$A123,実績!$AJ$6:$AJ$505,"&gt;"&amp;$A123,実績!$AL$6:$AL$505,"○")&gt;0,1,0))</f>
        <v>0</v>
      </c>
      <c r="CA123" s="39" t="n">
        <f aca="false">IF(CA$4=0,0,IF(COUNTIFS(実績!$W$6:$W$505,CA$3,実績!$AI$6:$AI$505,"&lt;="&amp;$A123,実績!$AJ$6:$AJ$505,"&gt;"&amp;$A123,実績!$AL$6:$AL$505,"○")&gt;0,1,0))</f>
        <v>0</v>
      </c>
      <c r="CB123" s="39" t="n">
        <f aca="false">IF(CB$4=0,0,IF(COUNTIFS(実績!$W$6:$W$505,CB$3,実績!$AI$6:$AI$505,"&lt;="&amp;$A123,実績!$AJ$6:$AJ$505,"&gt;"&amp;$A123,実績!$AL$6:$AL$505,"○")&gt;0,1,0))</f>
        <v>0</v>
      </c>
      <c r="CC123" s="39" t="n">
        <f aca="false">IF(CC$4=0,0,IF(COUNTIFS(実績!$W$6:$W$505,CC$3,実績!$AI$6:$AI$505,"&lt;="&amp;$A123,実績!$AJ$6:$AJ$505,"&gt;"&amp;$A123,実績!$AL$6:$AL$505,"○")&gt;0,1,0))</f>
        <v>0</v>
      </c>
      <c r="CD123" s="39" t="n">
        <f aca="false">IF(CD$4=0,0,IF(COUNTIFS(実績!$W$6:$W$505,CD$3,実績!$AI$6:$AI$505,"&lt;="&amp;$A123,実績!$AJ$6:$AJ$505,"&gt;"&amp;$A123,実績!$AL$6:$AL$505,"○")&gt;0,1,0))</f>
        <v>0</v>
      </c>
      <c r="CE123" s="39" t="n">
        <f aca="false">IF(CE$4=0,0,IF(COUNTIFS(実績!$W$6:$W$505,CE$3,実績!$AI$6:$AI$505,"&lt;="&amp;$A123,実績!$AJ$6:$AJ$505,"&gt;"&amp;$A123,実績!$AL$6:$AL$505,"○")&gt;0,1,0))</f>
        <v>0</v>
      </c>
      <c r="CF123" s="39" t="n">
        <f aca="false">IF(CF$4=0,0,IF(COUNTIFS(実績!$W$6:$W$505,CF$3,実績!$AI$6:$AI$505,"&lt;="&amp;$A123,実績!$AJ$6:$AJ$505,"&gt;"&amp;$A123,実績!$AL$6:$AL$505,"○")&gt;0,1,0))</f>
        <v>0</v>
      </c>
      <c r="CG123" s="39" t="n">
        <f aca="false">IF(CG$4=0,0,IF(COUNTIFS(実績!$W$6:$W$505,CG$3,実績!$AI$6:$AI$505,"&lt;="&amp;$A123,実績!$AJ$6:$AJ$505,"&gt;"&amp;$A123,実績!$AL$6:$AL$505,"○")&gt;0,1,0))</f>
        <v>0</v>
      </c>
      <c r="CH123" s="39" t="n">
        <f aca="false">IF(CH$4=0,0,IF(COUNTIFS(実績!$W$6:$W$505,CH$3,実績!$AI$6:$AI$505,"&lt;="&amp;$A123,実績!$AJ$6:$AJ$505,"&gt;"&amp;$A123,実績!$AL$6:$AL$505,"○")&gt;0,1,0))</f>
        <v>0</v>
      </c>
      <c r="CI123" s="39" t="n">
        <f aca="false">IF(CI$4=0,0,IF(COUNTIFS(実績!$W$6:$W$505,CI$3,実績!$AI$6:$AI$505,"&lt;="&amp;$A123,実績!$AJ$6:$AJ$505,"&gt;"&amp;$A123,実績!$AL$6:$AL$505,"○")&gt;0,1,0))</f>
        <v>0</v>
      </c>
      <c r="CJ123" s="39" t="n">
        <f aca="false">IF(CJ$4=0,0,IF(COUNTIFS(実績!$W$6:$W$505,CJ$3,実績!$AI$6:$AI$505,"&lt;="&amp;$A123,実績!$AJ$6:$AJ$505,"&gt;"&amp;$A123,実績!$AL$6:$AL$505,"○")&gt;0,1,0))</f>
        <v>0</v>
      </c>
      <c r="CK123" s="39" t="n">
        <f aca="false">IF(CK$4=0,0,IF(COUNTIFS(実績!$W$6:$W$505,CK$3,実績!$AI$6:$AI$505,"&lt;="&amp;$A123,実績!$AJ$6:$AJ$505,"&gt;"&amp;$A123,実績!$AL$6:$AL$505,"○")&gt;0,1,0))</f>
        <v>0</v>
      </c>
      <c r="CL123" s="39" t="n">
        <f aca="false">IF(CL$4=0,0,IF(COUNTIFS(実績!$W$6:$W$505,CL$3,実績!$AI$6:$AI$505,"&lt;="&amp;$A123,実績!$AJ$6:$AJ$505,"&gt;"&amp;$A123,実績!$AL$6:$AL$505,"○")&gt;0,1,0))</f>
        <v>0</v>
      </c>
      <c r="CM123" s="39" t="n">
        <f aca="false">IF(CM$4=0,0,IF(COUNTIFS(実績!$W$6:$W$505,CM$3,実績!$AI$6:$AI$505,"&lt;="&amp;$A123,実績!$AJ$6:$AJ$505,"&gt;"&amp;$A123,実績!$AL$6:$AL$505,"○")&gt;0,1,0))</f>
        <v>0</v>
      </c>
      <c r="CN123" s="39" t="n">
        <f aca="false">IF(CN$4=0,0,IF(COUNTIFS(実績!$W$6:$W$505,CN$3,実績!$AI$6:$AI$505,"&lt;="&amp;$A123,実績!$AJ$6:$AJ$505,"&gt;"&amp;$A123,実績!$AL$6:$AL$505,"○")&gt;0,1,0))</f>
        <v>0</v>
      </c>
      <c r="CO123" s="39" t="n">
        <f aca="false">IF(CO$4=0,0,IF(COUNTIFS(実績!$W$6:$W$505,CO$3,実績!$AI$6:$AI$505,"&lt;="&amp;$A123,実績!$AJ$6:$AJ$505,"&gt;"&amp;$A123,実績!$AL$6:$AL$505,"○")&gt;0,1,0))</f>
        <v>0</v>
      </c>
      <c r="CP123" s="39" t="n">
        <f aca="false">IF(CP$4=0,0,IF(COUNTIFS(実績!$W$6:$W$505,CP$3,実績!$AI$6:$AI$505,"&lt;="&amp;$A123,実績!$AJ$6:$AJ$505,"&gt;"&amp;$A123,実績!$AL$6:$AL$505,"○")&gt;0,1,0))</f>
        <v>0</v>
      </c>
      <c r="CQ123" s="39" t="n">
        <f aca="false">IF(CQ$4=0,0,IF(COUNTIFS(実績!$W$6:$W$505,CQ$3,実績!$AI$6:$AI$505,"&lt;="&amp;$A123,実績!$AJ$6:$AJ$505,"&gt;"&amp;$A123,実績!$AL$6:$AL$505,"○")&gt;0,1,0))</f>
        <v>0</v>
      </c>
      <c r="CR123" s="39" t="n">
        <f aca="false">IF(CR$4=0,0,IF(COUNTIFS(実績!$W$6:$W$505,CR$3,実績!$AI$6:$AI$505,"&lt;="&amp;$A123,実績!$AJ$6:$AJ$505,"&gt;"&amp;$A123,実績!$AL$6:$AL$505,"○")&gt;0,1,0))</f>
        <v>0</v>
      </c>
      <c r="CS123" s="39" t="n">
        <f aca="false">IF(CS$4=0,0,IF(COUNTIFS(実績!$W$6:$W$505,CS$3,実績!$AI$6:$AI$505,"&lt;="&amp;$A123,実績!$AJ$6:$AJ$505,"&gt;"&amp;$A123,実績!$AL$6:$AL$505,"○")&gt;0,1,0))</f>
        <v>0</v>
      </c>
      <c r="CT123" s="39" t="n">
        <f aca="false">IF(CT$4=0,0,IF(COUNTIFS(実績!$W$6:$W$505,CT$3,実績!$AI$6:$AI$505,"&lt;="&amp;$A123,実績!$AJ$6:$AJ$505,"&gt;"&amp;$A123,実績!$AL$6:$AL$505,"○")&gt;0,1,0))</f>
        <v>0</v>
      </c>
      <c r="CU123" s="39" t="n">
        <f aca="false">IF(CU$4=0,0,IF(COUNTIFS(実績!$W$6:$W$505,CU$3,実績!$AI$6:$AI$505,"&lt;="&amp;$A123,実績!$AJ$6:$AJ$505,"&gt;"&amp;$A123,実績!$AL$6:$AL$505,"○")&gt;0,1,0))</f>
        <v>0</v>
      </c>
      <c r="CV123" s="39" t="n">
        <f aca="false">IF(CV$4=0,0,IF(COUNTIFS(実績!$W$6:$W$505,CV$3,実績!$AI$6:$AI$505,"&lt;="&amp;$A123,実績!$AJ$6:$AJ$505,"&gt;"&amp;$A123,実績!$AL$6:$AL$505,"○")&gt;0,1,0))</f>
        <v>0</v>
      </c>
      <c r="CW123" s="39" t="n">
        <f aca="false">IF(CW$4=0,0,IF(COUNTIFS(実績!$W$6:$W$505,CW$3,実績!$AI$6:$AI$505,"&lt;="&amp;$A123,実績!$AJ$6:$AJ$505,"&gt;"&amp;$A123,実績!$AL$6:$AL$505,"○")&gt;0,1,0))</f>
        <v>0</v>
      </c>
      <c r="CX123" s="39" t="n">
        <f aca="false">IF(CX$4=0,0,IF(COUNTIFS(実績!$W$6:$W$505,CX$3,実績!$AI$6:$AI$505,"&lt;="&amp;$A123,実績!$AJ$6:$AJ$505,"&gt;"&amp;$A123,実績!$AL$6:$AL$505,"○")&gt;0,1,0))</f>
        <v>0</v>
      </c>
      <c r="CY123" s="39" t="n">
        <f aca="false">IF(CY$4=0,0,IF(COUNTIFS(実績!$W$6:$W$505,CY$3,実績!$AI$6:$AI$505,"&lt;="&amp;$A123,実績!$AJ$6:$AJ$505,"&gt;"&amp;$A123,実績!$AL$6:$AL$505,"○")&gt;0,1,0))</f>
        <v>0</v>
      </c>
      <c r="CZ123" s="39" t="n">
        <f aca="false">IF(CZ$4=0,0,IF(COUNTIFS(実績!$W$6:$W$505,CZ$3,実績!$AI$6:$AI$505,"&lt;="&amp;$A123,実績!$AJ$6:$AJ$505,"&gt;"&amp;$A123,実績!$AL$6:$AL$505,"○")&gt;0,1,0))</f>
        <v>0</v>
      </c>
      <c r="DA123" s="39" t="n">
        <f aca="false">IF(DA$4=0,0,IF(COUNTIFS(実績!$W$6:$W$505,DA$3,実績!$AI$6:$AI$505,"&lt;="&amp;$A123,実績!$AJ$6:$AJ$505,"&gt;"&amp;$A123,実績!$AL$6:$AL$505,"○")&gt;0,1,0))</f>
        <v>0</v>
      </c>
      <c r="DB123" s="39" t="n">
        <f aca="false">IF(DB$4=0,0,IF(COUNTIFS(実績!$W$6:$W$505,DB$3,実績!$AI$6:$AI$505,"&lt;="&amp;$A123,実績!$AJ$6:$AJ$505,"&gt;"&amp;$A123,実績!$AL$6:$AL$505,"○")&gt;0,1,0))</f>
        <v>0</v>
      </c>
      <c r="DC123" s="39" t="n">
        <f aca="false">IF(DC$4=0,0,IF(COUNTIFS(実績!$W$6:$W$505,DC$3,実績!$AI$6:$AI$505,"&lt;="&amp;$A123,実績!$AJ$6:$AJ$505,"&gt;"&amp;$A123,実績!$AL$6:$AL$505,"○")&gt;0,1,0))</f>
        <v>0</v>
      </c>
      <c r="DD123" s="39" t="n">
        <f aca="false">IF(DD$4=0,0,IF(COUNTIFS(実績!$W$6:$W$505,DD$3,実績!$AI$6:$AI$505,"&lt;="&amp;$A123,実績!$AJ$6:$AJ$505,"&gt;"&amp;$A123,実績!$AL$6:$AL$505,"○")&gt;0,1,0))</f>
        <v>0</v>
      </c>
      <c r="DE123" s="39" t="n">
        <f aca="false">IF(DE$4=0,0,IF(COUNTIFS(実績!$W$6:$W$505,DE$3,実績!$AI$6:$AI$505,"&lt;="&amp;$A123,実績!$AJ$6:$AJ$505,"&gt;"&amp;$A123,実績!$AL$6:$AL$505,"○")&gt;0,1,0))</f>
        <v>0</v>
      </c>
      <c r="DF123" s="39" t="n">
        <f aca="false">IF(DF$4=0,0,IF(COUNTIFS(実績!$W$6:$W$505,DF$3,実績!$AI$6:$AI$505,"&lt;="&amp;$A123,実績!$AJ$6:$AJ$505,"&gt;"&amp;$A123,実績!$AL$6:$AL$505,"○")&gt;0,1,0))</f>
        <v>0</v>
      </c>
      <c r="DG123" s="39" t="n">
        <f aca="false">IF(DG$4=0,0,IF(COUNTIFS(実績!$W$6:$W$505,DG$3,実績!$AI$6:$AI$505,"&lt;="&amp;$A123,実績!$AJ$6:$AJ$505,"&gt;"&amp;$A123,実績!$AL$6:$AL$505,"○")&gt;0,1,0))</f>
        <v>0</v>
      </c>
      <c r="DH123" s="39" t="n">
        <f aca="false">IF(DH$4=0,0,IF(COUNTIFS(実績!$W$6:$W$505,DH$3,実績!$AI$6:$AI$505,"&lt;="&amp;$A123,実績!$AJ$6:$AJ$505,"&gt;"&amp;$A123,実績!$AL$6:$AL$505,"○")&gt;0,1,0))</f>
        <v>0</v>
      </c>
      <c r="DI123" s="39" t="n">
        <f aca="false">IF(DI$4=0,0,IF(COUNTIFS(実績!$W$6:$W$505,DI$3,実績!$AI$6:$AI$505,"&lt;="&amp;$A123,実績!$AJ$6:$AJ$505,"&gt;"&amp;$A123,実績!$AL$6:$AL$505,"○")&gt;0,1,0))</f>
        <v>0</v>
      </c>
      <c r="DJ123" s="39" t="n">
        <f aca="false">IF(DJ$4=0,0,IF(COUNTIFS(実績!$W$6:$W$505,DJ$3,実績!$AI$6:$AI$505,"&lt;="&amp;$A123,実績!$AJ$6:$AJ$505,"&gt;"&amp;$A123,実績!$AL$6:$AL$505,"○")&gt;0,1,0))</f>
        <v>0</v>
      </c>
      <c r="DK123" s="39" t="n">
        <f aca="false">IF(DK$4=0,0,IF(COUNTIFS(実績!$W$6:$W$505,DK$3,実績!$AI$6:$AI$505,"&lt;="&amp;$A123,実績!$AJ$6:$AJ$505,"&gt;"&amp;$A123,実績!$AL$6:$AL$505,"○")&gt;0,1,0))</f>
        <v>0</v>
      </c>
      <c r="DL123" s="39" t="n">
        <f aca="false">IF(DL$4=0,0,IF(COUNTIFS(実績!$W$6:$W$505,DL$3,実績!$AI$6:$AI$505,"&lt;="&amp;$A123,実績!$AJ$6:$AJ$505,"&gt;"&amp;$A123,実績!$AL$6:$AL$505,"○")&gt;0,1,0))</f>
        <v>0</v>
      </c>
      <c r="DM123" s="39" t="n">
        <f aca="false">IF(DM$4=0,0,IF(COUNTIFS(実績!$W$6:$W$505,DM$3,実績!$AI$6:$AI$505,"&lt;="&amp;$A123,実績!$AJ$6:$AJ$505,"&gt;"&amp;$A123,実績!$AL$6:$AL$505,"○")&gt;0,1,0))</f>
        <v>0</v>
      </c>
      <c r="DN123" s="39" t="n">
        <f aca="false">IF(DN$4=0,0,IF(COUNTIFS(実績!$W$6:$W$505,DN$3,実績!$AI$6:$AI$505,"&lt;="&amp;$A123,実績!$AJ$6:$AJ$505,"&gt;"&amp;$A123,実績!$AL$6:$AL$505,"○")&gt;0,1,0))</f>
        <v>0</v>
      </c>
      <c r="DO123" s="39" t="n">
        <f aca="false">IF(DO$4=0,0,IF(COUNTIFS(実績!$W$6:$W$505,DO$3,実績!$AI$6:$AI$505,"&lt;="&amp;$A123,実績!$AJ$6:$AJ$505,"&gt;"&amp;$A123,実績!$AL$6:$AL$505,"○")&gt;0,1,0))</f>
        <v>0</v>
      </c>
      <c r="DP123" s="39" t="n">
        <f aca="false">IF(DP$4=0,0,IF(COUNTIFS(実績!$W$6:$W$505,DP$3,実績!$AI$6:$AI$505,"&lt;="&amp;$A123,実績!$AJ$6:$AJ$505,"&gt;"&amp;$A123,実績!$AL$6:$AL$505,"○")&gt;0,1,0))</f>
        <v>0</v>
      </c>
      <c r="DQ123" s="39" t="n">
        <f aca="false">IF(DQ$4=0,0,IF(COUNTIFS(実績!$W$6:$W$505,DQ$3,実績!$AI$6:$AI$505,"&lt;="&amp;$A123,実績!$AJ$6:$AJ$505,"&gt;"&amp;$A123,実績!$AL$6:$AL$505,"○")&gt;0,1,0))</f>
        <v>0</v>
      </c>
      <c r="DR123" s="39" t="n">
        <f aca="false">IF(DR$4=0,0,IF(COUNTIFS(実績!$W$6:$W$505,DR$3,実績!$AI$6:$AI$505,"&lt;="&amp;$A123,実績!$AJ$6:$AJ$505,"&gt;"&amp;$A123,実績!$AL$6:$AL$505,"○")&gt;0,1,0))</f>
        <v>0</v>
      </c>
      <c r="DS123" s="39" t="n">
        <f aca="false">SUM(C123:DR123)</f>
        <v>0</v>
      </c>
    </row>
    <row r="124" customFormat="false" ht="15" hidden="false" customHeight="false" outlineLevel="0" collapsed="false">
      <c r="A124" s="0" t="n">
        <v>590</v>
      </c>
      <c r="B124" s="38" t="n">
        <f aca="false">A124/1440</f>
        <v>0.409722222222222</v>
      </c>
      <c r="C124" s="39" t="n">
        <f aca="false">IF(C$4=0,0,IF(COUNTIFS(実績!$W$6:$W$505,C$3,実績!$AI$6:$AI$505,"&lt;="&amp;$A124,実績!$AJ$6:$AJ$505,"&gt;"&amp;$A124,実績!$AL$6:$AL$505,"○")&gt;0,1,0))</f>
        <v>0</v>
      </c>
      <c r="D124" s="39" t="n">
        <f aca="false">IF(D$4=0,0,IF(COUNTIFS(実績!$W$6:$W$505,D$3,実績!$AI$6:$AI$505,"&lt;="&amp;$A124,実績!$AJ$6:$AJ$505,"&gt;"&amp;$A124,実績!$AL$6:$AL$505,"○")&gt;0,1,0))</f>
        <v>0</v>
      </c>
      <c r="E124" s="39" t="n">
        <f aca="false">IF(E$4=0,0,IF(COUNTIFS(実績!$W$6:$W$505,E$3,実績!$AI$6:$AI$505,"&lt;="&amp;$A124,実績!$AJ$6:$AJ$505,"&gt;"&amp;$A124,実績!$AL$6:$AL$505,"○")&gt;0,1,0))</f>
        <v>0</v>
      </c>
      <c r="F124" s="39" t="n">
        <f aca="false">IF(F$4=0,0,IF(COUNTIFS(実績!$W$6:$W$505,F$3,実績!$AI$6:$AI$505,"&lt;="&amp;$A124,実績!$AJ$6:$AJ$505,"&gt;"&amp;$A124,実績!$AL$6:$AL$505,"○")&gt;0,1,0))</f>
        <v>0</v>
      </c>
      <c r="G124" s="39" t="n">
        <f aca="false">IF(G$4=0,0,IF(COUNTIFS(実績!$W$6:$W$505,G$3,実績!$AI$6:$AI$505,"&lt;="&amp;$A124,実績!$AJ$6:$AJ$505,"&gt;"&amp;$A124,実績!$AL$6:$AL$505,"○")&gt;0,1,0))</f>
        <v>0</v>
      </c>
      <c r="H124" s="39" t="n">
        <f aca="false">IF(H$4=0,0,IF(COUNTIFS(実績!$W$6:$W$505,H$3,実績!$AI$6:$AI$505,"&lt;="&amp;$A124,実績!$AJ$6:$AJ$505,"&gt;"&amp;$A124,実績!$AL$6:$AL$505,"○")&gt;0,1,0))</f>
        <v>0</v>
      </c>
      <c r="I124" s="39" t="n">
        <f aca="false">IF(I$4=0,0,IF(COUNTIFS(実績!$W$6:$W$505,I$3,実績!$AI$6:$AI$505,"&lt;="&amp;$A124,実績!$AJ$6:$AJ$505,"&gt;"&amp;$A124,実績!$AL$6:$AL$505,"○")&gt;0,1,0))</f>
        <v>0</v>
      </c>
      <c r="J124" s="39" t="n">
        <f aca="false">IF(J$4=0,0,IF(COUNTIFS(実績!$W$6:$W$505,J$3,実績!$AI$6:$AI$505,"&lt;="&amp;$A124,実績!$AJ$6:$AJ$505,"&gt;"&amp;$A124,実績!$AL$6:$AL$505,"○")&gt;0,1,0))</f>
        <v>0</v>
      </c>
      <c r="K124" s="39" t="n">
        <f aca="false">IF(K$4=0,0,IF(COUNTIFS(実績!$W$6:$W$505,K$3,実績!$AI$6:$AI$505,"&lt;="&amp;$A124,実績!$AJ$6:$AJ$505,"&gt;"&amp;$A124,実績!$AL$6:$AL$505,"○")&gt;0,1,0))</f>
        <v>0</v>
      </c>
      <c r="L124" s="39" t="n">
        <f aca="false">IF(L$4=0,0,IF(COUNTIFS(実績!$W$6:$W$505,L$3,実績!$AI$6:$AI$505,"&lt;="&amp;$A124,実績!$AJ$6:$AJ$505,"&gt;"&amp;$A124,実績!$AL$6:$AL$505,"○")&gt;0,1,0))</f>
        <v>0</v>
      </c>
      <c r="M124" s="39" t="n">
        <f aca="false">IF(M$4=0,0,IF(COUNTIFS(実績!$W$6:$W$505,M$3,実績!$AI$6:$AI$505,"&lt;="&amp;$A124,実績!$AJ$6:$AJ$505,"&gt;"&amp;$A124,実績!$AL$6:$AL$505,"○")&gt;0,1,0))</f>
        <v>0</v>
      </c>
      <c r="N124" s="39" t="n">
        <f aca="false">IF(N$4=0,0,IF(COUNTIFS(実績!$W$6:$W$505,N$3,実績!$AI$6:$AI$505,"&lt;="&amp;$A124,実績!$AJ$6:$AJ$505,"&gt;"&amp;$A124,実績!$AL$6:$AL$505,"○")&gt;0,1,0))</f>
        <v>0</v>
      </c>
      <c r="O124" s="39" t="n">
        <f aca="false">IF(O$4=0,0,IF(COUNTIFS(実績!$W$6:$W$505,O$3,実績!$AI$6:$AI$505,"&lt;="&amp;$A124,実績!$AJ$6:$AJ$505,"&gt;"&amp;$A124,実績!$AL$6:$AL$505,"○")&gt;0,1,0))</f>
        <v>0</v>
      </c>
      <c r="P124" s="39" t="n">
        <f aca="false">IF(P$4=0,0,IF(COUNTIFS(実績!$W$6:$W$505,P$3,実績!$AI$6:$AI$505,"&lt;="&amp;$A124,実績!$AJ$6:$AJ$505,"&gt;"&amp;$A124,実績!$AL$6:$AL$505,"○")&gt;0,1,0))</f>
        <v>0</v>
      </c>
      <c r="Q124" s="39" t="n">
        <f aca="false">IF(Q$4=0,0,IF(COUNTIFS(実績!$W$6:$W$505,Q$3,実績!$AI$6:$AI$505,"&lt;="&amp;$A124,実績!$AJ$6:$AJ$505,"&gt;"&amp;$A124,実績!$AL$6:$AL$505,"○")&gt;0,1,0))</f>
        <v>0</v>
      </c>
      <c r="R124" s="39" t="n">
        <f aca="false">IF(R$4=0,0,IF(COUNTIFS(実績!$W$6:$W$505,R$3,実績!$AI$6:$AI$505,"&lt;="&amp;$A124,実績!$AJ$6:$AJ$505,"&gt;"&amp;$A124,実績!$AL$6:$AL$505,"○")&gt;0,1,0))</f>
        <v>0</v>
      </c>
      <c r="S124" s="39" t="n">
        <f aca="false">IF(S$4=0,0,IF(COUNTIFS(実績!$W$6:$W$505,S$3,実績!$AI$6:$AI$505,"&lt;="&amp;$A124,実績!$AJ$6:$AJ$505,"&gt;"&amp;$A124,実績!$AL$6:$AL$505,"○")&gt;0,1,0))</f>
        <v>0</v>
      </c>
      <c r="T124" s="39" t="n">
        <f aca="false">IF(T$4=0,0,IF(COUNTIFS(実績!$W$6:$W$505,T$3,実績!$AI$6:$AI$505,"&lt;="&amp;$A124,実績!$AJ$6:$AJ$505,"&gt;"&amp;$A124,実績!$AL$6:$AL$505,"○")&gt;0,1,0))</f>
        <v>0</v>
      </c>
      <c r="U124" s="39" t="n">
        <f aca="false">IF(U$4=0,0,IF(COUNTIFS(実績!$W$6:$W$505,U$3,実績!$AI$6:$AI$505,"&lt;="&amp;$A124,実績!$AJ$6:$AJ$505,"&gt;"&amp;$A124,実績!$AL$6:$AL$505,"○")&gt;0,1,0))</f>
        <v>0</v>
      </c>
      <c r="V124" s="39" t="n">
        <f aca="false">IF(V$4=0,0,IF(COUNTIFS(実績!$W$6:$W$505,V$3,実績!$AI$6:$AI$505,"&lt;="&amp;$A124,実績!$AJ$6:$AJ$505,"&gt;"&amp;$A124,実績!$AL$6:$AL$505,"○")&gt;0,1,0))</f>
        <v>0</v>
      </c>
      <c r="W124" s="39" t="n">
        <f aca="false">IF(W$4=0,0,IF(COUNTIFS(実績!$W$6:$W$505,W$3,実績!$AI$6:$AI$505,"&lt;="&amp;$A124,実績!$AJ$6:$AJ$505,"&gt;"&amp;$A124,実績!$AL$6:$AL$505,"○")&gt;0,1,0))</f>
        <v>0</v>
      </c>
      <c r="X124" s="39" t="n">
        <f aca="false">IF(X$4=0,0,IF(COUNTIFS(実績!$W$6:$W$505,X$3,実績!$AI$6:$AI$505,"&lt;="&amp;$A124,実績!$AJ$6:$AJ$505,"&gt;"&amp;$A124,実績!$AL$6:$AL$505,"○")&gt;0,1,0))</f>
        <v>0</v>
      </c>
      <c r="Y124" s="39" t="n">
        <f aca="false">IF(Y$4=0,0,IF(COUNTIFS(実績!$W$6:$W$505,Y$3,実績!$AI$6:$AI$505,"&lt;="&amp;$A124,実績!$AJ$6:$AJ$505,"&gt;"&amp;$A124,実績!$AL$6:$AL$505,"○")&gt;0,1,0))</f>
        <v>0</v>
      </c>
      <c r="Z124" s="39" t="n">
        <f aca="false">IF(Z$4=0,0,IF(COUNTIFS(実績!$W$6:$W$505,Z$3,実績!$AI$6:$AI$505,"&lt;="&amp;$A124,実績!$AJ$6:$AJ$505,"&gt;"&amp;$A124,実績!$AL$6:$AL$505,"○")&gt;0,1,0))</f>
        <v>0</v>
      </c>
      <c r="AA124" s="39" t="n">
        <f aca="false">IF(AA$4=0,0,IF(COUNTIFS(実績!$W$6:$W$505,AA$3,実績!$AI$6:$AI$505,"&lt;="&amp;$A124,実績!$AJ$6:$AJ$505,"&gt;"&amp;$A124,実績!$AL$6:$AL$505,"○")&gt;0,1,0))</f>
        <v>0</v>
      </c>
      <c r="AB124" s="39" t="n">
        <f aca="false">IF(AB$4=0,0,IF(COUNTIFS(実績!$W$6:$W$505,AB$3,実績!$AI$6:$AI$505,"&lt;="&amp;$A124,実績!$AJ$6:$AJ$505,"&gt;"&amp;$A124,実績!$AL$6:$AL$505,"○")&gt;0,1,0))</f>
        <v>0</v>
      </c>
      <c r="AC124" s="39" t="n">
        <f aca="false">IF(AC$4=0,0,IF(COUNTIFS(実績!$W$6:$W$505,AC$3,実績!$AI$6:$AI$505,"&lt;="&amp;$A124,実績!$AJ$6:$AJ$505,"&gt;"&amp;$A124,実績!$AL$6:$AL$505,"○")&gt;0,1,0))</f>
        <v>0</v>
      </c>
      <c r="AD124" s="39" t="n">
        <f aca="false">IF(AD$4=0,0,IF(COUNTIFS(実績!$W$6:$W$505,AD$3,実績!$AI$6:$AI$505,"&lt;="&amp;$A124,実績!$AJ$6:$AJ$505,"&gt;"&amp;$A124,実績!$AL$6:$AL$505,"○")&gt;0,1,0))</f>
        <v>0</v>
      </c>
      <c r="AE124" s="39" t="n">
        <f aca="false">IF(AE$4=0,0,IF(COUNTIFS(実績!$W$6:$W$505,AE$3,実績!$AI$6:$AI$505,"&lt;="&amp;$A124,実績!$AJ$6:$AJ$505,"&gt;"&amp;$A124,実績!$AL$6:$AL$505,"○")&gt;0,1,0))</f>
        <v>0</v>
      </c>
      <c r="AF124" s="39" t="n">
        <f aca="false">IF(AF$4=0,0,IF(COUNTIFS(実績!$W$6:$W$505,AF$3,実績!$AI$6:$AI$505,"&lt;="&amp;$A124,実績!$AJ$6:$AJ$505,"&gt;"&amp;$A124,実績!$AL$6:$AL$505,"○")&gt;0,1,0))</f>
        <v>0</v>
      </c>
      <c r="AG124" s="39" t="n">
        <f aca="false">IF(AG$4=0,0,IF(COUNTIFS(実績!$W$6:$W$505,AG$3,実績!$AI$6:$AI$505,"&lt;="&amp;$A124,実績!$AJ$6:$AJ$505,"&gt;"&amp;$A124,実績!$AL$6:$AL$505,"○")&gt;0,1,0))</f>
        <v>0</v>
      </c>
      <c r="AH124" s="39" t="n">
        <f aca="false">IF(AH$4=0,0,IF(COUNTIFS(実績!$W$6:$W$505,AH$3,実績!$AI$6:$AI$505,"&lt;="&amp;$A124,実績!$AJ$6:$AJ$505,"&gt;"&amp;$A124,実績!$AL$6:$AL$505,"○")&gt;0,1,0))</f>
        <v>0</v>
      </c>
      <c r="AI124" s="39" t="n">
        <f aca="false">IF(AI$4=0,0,IF(COUNTIFS(実績!$W$6:$W$505,AI$3,実績!$AI$6:$AI$505,"&lt;="&amp;$A124,実績!$AJ$6:$AJ$505,"&gt;"&amp;$A124,実績!$AL$6:$AL$505,"○")&gt;0,1,0))</f>
        <v>0</v>
      </c>
      <c r="AJ124" s="39" t="n">
        <f aca="false">IF(AJ$4=0,0,IF(COUNTIFS(実績!$W$6:$W$505,AJ$3,実績!$AI$6:$AI$505,"&lt;="&amp;$A124,実績!$AJ$6:$AJ$505,"&gt;"&amp;$A124,実績!$AL$6:$AL$505,"○")&gt;0,1,0))</f>
        <v>0</v>
      </c>
      <c r="AK124" s="39" t="n">
        <f aca="false">IF(AK$4=0,0,IF(COUNTIFS(実績!$W$6:$W$505,AK$3,実績!$AI$6:$AI$505,"&lt;="&amp;$A124,実績!$AJ$6:$AJ$505,"&gt;"&amp;$A124,実績!$AL$6:$AL$505,"○")&gt;0,1,0))</f>
        <v>0</v>
      </c>
      <c r="AL124" s="39" t="n">
        <f aca="false">IF(AL$4=0,0,IF(COUNTIFS(実績!$W$6:$W$505,AL$3,実績!$AI$6:$AI$505,"&lt;="&amp;$A124,実績!$AJ$6:$AJ$505,"&gt;"&amp;$A124,実績!$AL$6:$AL$505,"○")&gt;0,1,0))</f>
        <v>0</v>
      </c>
      <c r="AM124" s="39" t="n">
        <f aca="false">IF(AM$4=0,0,IF(COUNTIFS(実績!$W$6:$W$505,AM$3,実績!$AI$6:$AI$505,"&lt;="&amp;$A124,実績!$AJ$6:$AJ$505,"&gt;"&amp;$A124,実績!$AL$6:$AL$505,"○")&gt;0,1,0))</f>
        <v>0</v>
      </c>
      <c r="AN124" s="39" t="n">
        <f aca="false">IF(AN$4=0,0,IF(COUNTIFS(実績!$W$6:$W$505,AN$3,実績!$AI$6:$AI$505,"&lt;="&amp;$A124,実績!$AJ$6:$AJ$505,"&gt;"&amp;$A124,実績!$AL$6:$AL$505,"○")&gt;0,1,0))</f>
        <v>0</v>
      </c>
      <c r="AO124" s="39" t="n">
        <f aca="false">IF(AO$4=0,0,IF(COUNTIFS(実績!$W$6:$W$505,AO$3,実績!$AI$6:$AI$505,"&lt;="&amp;$A124,実績!$AJ$6:$AJ$505,"&gt;"&amp;$A124,実績!$AL$6:$AL$505,"○")&gt;0,1,0))</f>
        <v>0</v>
      </c>
      <c r="AP124" s="39" t="n">
        <f aca="false">IF(AP$4=0,0,IF(COUNTIFS(実績!$W$6:$W$505,AP$3,実績!$AI$6:$AI$505,"&lt;="&amp;$A124,実績!$AJ$6:$AJ$505,"&gt;"&amp;$A124,実績!$AL$6:$AL$505,"○")&gt;0,1,0))</f>
        <v>0</v>
      </c>
      <c r="AQ124" s="39" t="n">
        <f aca="false">IF(AQ$4=0,0,IF(COUNTIFS(実績!$W$6:$W$505,AQ$3,実績!$AI$6:$AI$505,"&lt;="&amp;$A124,実績!$AJ$6:$AJ$505,"&gt;"&amp;$A124,実績!$AL$6:$AL$505,"○")&gt;0,1,0))</f>
        <v>0</v>
      </c>
      <c r="AR124" s="39" t="n">
        <f aca="false">IF(AR$4=0,0,IF(COUNTIFS(実績!$W$6:$W$505,AR$3,実績!$AI$6:$AI$505,"&lt;="&amp;$A124,実績!$AJ$6:$AJ$505,"&gt;"&amp;$A124,実績!$AL$6:$AL$505,"○")&gt;0,1,0))</f>
        <v>0</v>
      </c>
      <c r="AS124" s="39" t="n">
        <f aca="false">IF(AS$4=0,0,IF(COUNTIFS(実績!$W$6:$W$505,AS$3,実績!$AI$6:$AI$505,"&lt;="&amp;$A124,実績!$AJ$6:$AJ$505,"&gt;"&amp;$A124,実績!$AL$6:$AL$505,"○")&gt;0,1,0))</f>
        <v>0</v>
      </c>
      <c r="AT124" s="39" t="n">
        <f aca="false">IF(AT$4=0,0,IF(COUNTIFS(実績!$W$6:$W$505,AT$3,実績!$AI$6:$AI$505,"&lt;="&amp;$A124,実績!$AJ$6:$AJ$505,"&gt;"&amp;$A124,実績!$AL$6:$AL$505,"○")&gt;0,1,0))</f>
        <v>0</v>
      </c>
      <c r="AU124" s="39" t="n">
        <f aca="false">IF(AU$4=0,0,IF(COUNTIFS(実績!$W$6:$W$505,AU$3,実績!$AI$6:$AI$505,"&lt;="&amp;$A124,実績!$AJ$6:$AJ$505,"&gt;"&amp;$A124,実績!$AL$6:$AL$505,"○")&gt;0,1,0))</f>
        <v>0</v>
      </c>
      <c r="AV124" s="39" t="n">
        <f aca="false">IF(AV$4=0,0,IF(COUNTIFS(実績!$W$6:$W$505,AV$3,実績!$AI$6:$AI$505,"&lt;="&amp;$A124,実績!$AJ$6:$AJ$505,"&gt;"&amp;$A124,実績!$AL$6:$AL$505,"○")&gt;0,1,0))</f>
        <v>0</v>
      </c>
      <c r="AW124" s="39" t="n">
        <f aca="false">IF(AW$4=0,0,IF(COUNTIFS(実績!$W$6:$W$505,AW$3,実績!$AI$6:$AI$505,"&lt;="&amp;$A124,実績!$AJ$6:$AJ$505,"&gt;"&amp;$A124,実績!$AL$6:$AL$505,"○")&gt;0,1,0))</f>
        <v>0</v>
      </c>
      <c r="AX124" s="39" t="n">
        <f aca="false">IF(AX$4=0,0,IF(COUNTIFS(実績!$W$6:$W$505,AX$3,実績!$AI$6:$AI$505,"&lt;="&amp;$A124,実績!$AJ$6:$AJ$505,"&gt;"&amp;$A124,実績!$AL$6:$AL$505,"○")&gt;0,1,0))</f>
        <v>0</v>
      </c>
      <c r="AY124" s="39" t="n">
        <f aca="false">IF(AY$4=0,0,IF(COUNTIFS(実績!$W$6:$W$505,AY$3,実績!$AI$6:$AI$505,"&lt;="&amp;$A124,実績!$AJ$6:$AJ$505,"&gt;"&amp;$A124,実績!$AL$6:$AL$505,"○")&gt;0,1,0))</f>
        <v>0</v>
      </c>
      <c r="AZ124" s="39" t="n">
        <f aca="false">IF(AZ$4=0,0,IF(COUNTIFS(実績!$W$6:$W$505,AZ$3,実績!$AI$6:$AI$505,"&lt;="&amp;$A124,実績!$AJ$6:$AJ$505,"&gt;"&amp;$A124,実績!$AL$6:$AL$505,"○")&gt;0,1,0))</f>
        <v>0</v>
      </c>
      <c r="BA124" s="39" t="n">
        <f aca="false">IF(BA$4=0,0,IF(COUNTIFS(実績!$W$6:$W$505,BA$3,実績!$AI$6:$AI$505,"&lt;="&amp;$A124,実績!$AJ$6:$AJ$505,"&gt;"&amp;$A124,実績!$AL$6:$AL$505,"○")&gt;0,1,0))</f>
        <v>0</v>
      </c>
      <c r="BB124" s="39" t="n">
        <f aca="false">IF(BB$4=0,0,IF(COUNTIFS(実績!$W$6:$W$505,BB$3,実績!$AI$6:$AI$505,"&lt;="&amp;$A124,実績!$AJ$6:$AJ$505,"&gt;"&amp;$A124,実績!$AL$6:$AL$505,"○")&gt;0,1,0))</f>
        <v>0</v>
      </c>
      <c r="BC124" s="39" t="n">
        <f aca="false">IF(BC$4=0,0,IF(COUNTIFS(実績!$W$6:$W$505,BC$3,実績!$AI$6:$AI$505,"&lt;="&amp;$A124,実績!$AJ$6:$AJ$505,"&gt;"&amp;$A124,実績!$AL$6:$AL$505,"○")&gt;0,1,0))</f>
        <v>0</v>
      </c>
      <c r="BD124" s="39" t="n">
        <f aca="false">IF(BD$4=0,0,IF(COUNTIFS(実績!$W$6:$W$505,BD$3,実績!$AI$6:$AI$505,"&lt;="&amp;$A124,実績!$AJ$6:$AJ$505,"&gt;"&amp;$A124,実績!$AL$6:$AL$505,"○")&gt;0,1,0))</f>
        <v>0</v>
      </c>
      <c r="BE124" s="39" t="n">
        <f aca="false">IF(BE$4=0,0,IF(COUNTIFS(実績!$W$6:$W$505,BE$3,実績!$AI$6:$AI$505,"&lt;="&amp;$A124,実績!$AJ$6:$AJ$505,"&gt;"&amp;$A124,実績!$AL$6:$AL$505,"○")&gt;0,1,0))</f>
        <v>0</v>
      </c>
      <c r="BF124" s="39" t="n">
        <f aca="false">IF(BF$4=0,0,IF(COUNTIFS(実績!$W$6:$W$505,BF$3,実績!$AI$6:$AI$505,"&lt;="&amp;$A124,実績!$AJ$6:$AJ$505,"&gt;"&amp;$A124,実績!$AL$6:$AL$505,"○")&gt;0,1,0))</f>
        <v>0</v>
      </c>
      <c r="BG124" s="39" t="n">
        <f aca="false">IF(BG$4=0,0,IF(COUNTIFS(実績!$W$6:$W$505,BG$3,実績!$AI$6:$AI$505,"&lt;="&amp;$A124,実績!$AJ$6:$AJ$505,"&gt;"&amp;$A124,実績!$AL$6:$AL$505,"○")&gt;0,1,0))</f>
        <v>0</v>
      </c>
      <c r="BH124" s="39" t="n">
        <f aca="false">IF(BH$4=0,0,IF(COUNTIFS(実績!$W$6:$W$505,BH$3,実績!$AI$6:$AI$505,"&lt;="&amp;$A124,実績!$AJ$6:$AJ$505,"&gt;"&amp;$A124,実績!$AL$6:$AL$505,"○")&gt;0,1,0))</f>
        <v>0</v>
      </c>
      <c r="BI124" s="39" t="n">
        <f aca="false">IF(BI$4=0,0,IF(COUNTIFS(実績!$W$6:$W$505,BI$3,実績!$AI$6:$AI$505,"&lt;="&amp;$A124,実績!$AJ$6:$AJ$505,"&gt;"&amp;$A124,実績!$AL$6:$AL$505,"○")&gt;0,1,0))</f>
        <v>0</v>
      </c>
      <c r="BJ124" s="39" t="n">
        <f aca="false">IF(BJ$4=0,0,IF(COUNTIFS(実績!$W$6:$W$505,BJ$3,実績!$AI$6:$AI$505,"&lt;="&amp;$A124,実績!$AJ$6:$AJ$505,"&gt;"&amp;$A124,実績!$AL$6:$AL$505,"○")&gt;0,1,0))</f>
        <v>0</v>
      </c>
      <c r="BK124" s="39" t="n">
        <f aca="false">IF(BK$4=0,0,IF(COUNTIFS(実績!$W$6:$W$505,BK$3,実績!$AI$6:$AI$505,"&lt;="&amp;$A124,実績!$AJ$6:$AJ$505,"&gt;"&amp;$A124,実績!$AL$6:$AL$505,"○")&gt;0,1,0))</f>
        <v>0</v>
      </c>
      <c r="BL124" s="39" t="n">
        <f aca="false">IF(BL$4=0,0,IF(COUNTIFS(実績!$W$6:$W$505,BL$3,実績!$AI$6:$AI$505,"&lt;="&amp;$A124,実績!$AJ$6:$AJ$505,"&gt;"&amp;$A124,実績!$AL$6:$AL$505,"○")&gt;0,1,0))</f>
        <v>0</v>
      </c>
      <c r="BM124" s="39" t="n">
        <f aca="false">IF(BM$4=0,0,IF(COUNTIFS(実績!$W$6:$W$505,BM$3,実績!$AI$6:$AI$505,"&lt;="&amp;$A124,実績!$AJ$6:$AJ$505,"&gt;"&amp;$A124,実績!$AL$6:$AL$505,"○")&gt;0,1,0))</f>
        <v>0</v>
      </c>
      <c r="BN124" s="39" t="n">
        <f aca="false">IF(BN$4=0,0,IF(COUNTIFS(実績!$W$6:$W$505,BN$3,実績!$AI$6:$AI$505,"&lt;="&amp;$A124,実績!$AJ$6:$AJ$505,"&gt;"&amp;$A124,実績!$AL$6:$AL$505,"○")&gt;0,1,0))</f>
        <v>0</v>
      </c>
      <c r="BO124" s="39" t="n">
        <f aca="false">IF(BO$4=0,0,IF(COUNTIFS(実績!$W$6:$W$505,BO$3,実績!$AI$6:$AI$505,"&lt;="&amp;$A124,実績!$AJ$6:$AJ$505,"&gt;"&amp;$A124,実績!$AL$6:$AL$505,"○")&gt;0,1,0))</f>
        <v>0</v>
      </c>
      <c r="BP124" s="39" t="n">
        <f aca="false">IF(BP$4=0,0,IF(COUNTIFS(実績!$W$6:$W$505,BP$3,実績!$AI$6:$AI$505,"&lt;="&amp;$A124,実績!$AJ$6:$AJ$505,"&gt;"&amp;$A124,実績!$AL$6:$AL$505,"○")&gt;0,1,0))</f>
        <v>0</v>
      </c>
      <c r="BQ124" s="39" t="n">
        <f aca="false">IF(BQ$4=0,0,IF(COUNTIFS(実績!$W$6:$W$505,BQ$3,実績!$AI$6:$AI$505,"&lt;="&amp;$A124,実績!$AJ$6:$AJ$505,"&gt;"&amp;$A124,実績!$AL$6:$AL$505,"○")&gt;0,1,0))</f>
        <v>0</v>
      </c>
      <c r="BR124" s="39" t="n">
        <f aca="false">IF(BR$4=0,0,IF(COUNTIFS(実績!$W$6:$W$505,BR$3,実績!$AI$6:$AI$505,"&lt;="&amp;$A124,実績!$AJ$6:$AJ$505,"&gt;"&amp;$A124,実績!$AL$6:$AL$505,"○")&gt;0,1,0))</f>
        <v>0</v>
      </c>
      <c r="BS124" s="39" t="n">
        <f aca="false">IF(BS$4=0,0,IF(COUNTIFS(実績!$W$6:$W$505,BS$3,実績!$AI$6:$AI$505,"&lt;="&amp;$A124,実績!$AJ$6:$AJ$505,"&gt;"&amp;$A124,実績!$AL$6:$AL$505,"○")&gt;0,1,0))</f>
        <v>0</v>
      </c>
      <c r="BT124" s="39" t="n">
        <f aca="false">IF(BT$4=0,0,IF(COUNTIFS(実績!$W$6:$W$505,BT$3,実績!$AI$6:$AI$505,"&lt;="&amp;$A124,実績!$AJ$6:$AJ$505,"&gt;"&amp;$A124,実績!$AL$6:$AL$505,"○")&gt;0,1,0))</f>
        <v>0</v>
      </c>
      <c r="BU124" s="39" t="n">
        <f aca="false">IF(BU$4=0,0,IF(COUNTIFS(実績!$W$6:$W$505,BU$3,実績!$AI$6:$AI$505,"&lt;="&amp;$A124,実績!$AJ$6:$AJ$505,"&gt;"&amp;$A124,実績!$AL$6:$AL$505,"○")&gt;0,1,0))</f>
        <v>0</v>
      </c>
      <c r="BV124" s="39" t="n">
        <f aca="false">IF(BV$4=0,0,IF(COUNTIFS(実績!$W$6:$W$505,BV$3,実績!$AI$6:$AI$505,"&lt;="&amp;$A124,実績!$AJ$6:$AJ$505,"&gt;"&amp;$A124,実績!$AL$6:$AL$505,"○")&gt;0,1,0))</f>
        <v>0</v>
      </c>
      <c r="BW124" s="39" t="n">
        <f aca="false">IF(BW$4=0,0,IF(COUNTIFS(実績!$W$6:$W$505,BW$3,実績!$AI$6:$AI$505,"&lt;="&amp;$A124,実績!$AJ$6:$AJ$505,"&gt;"&amp;$A124,実績!$AL$6:$AL$505,"○")&gt;0,1,0))</f>
        <v>0</v>
      </c>
      <c r="BX124" s="39" t="n">
        <f aca="false">IF(BX$4=0,0,IF(COUNTIFS(実績!$W$6:$W$505,BX$3,実績!$AI$6:$AI$505,"&lt;="&amp;$A124,実績!$AJ$6:$AJ$505,"&gt;"&amp;$A124,実績!$AL$6:$AL$505,"○")&gt;0,1,0))</f>
        <v>0</v>
      </c>
      <c r="BY124" s="39" t="n">
        <f aca="false">IF(BY$4=0,0,IF(COUNTIFS(実績!$W$6:$W$505,BY$3,実績!$AI$6:$AI$505,"&lt;="&amp;$A124,実績!$AJ$6:$AJ$505,"&gt;"&amp;$A124,実績!$AL$6:$AL$505,"○")&gt;0,1,0))</f>
        <v>0</v>
      </c>
      <c r="BZ124" s="39" t="n">
        <f aca="false">IF(BZ$4=0,0,IF(COUNTIFS(実績!$W$6:$W$505,BZ$3,実績!$AI$6:$AI$505,"&lt;="&amp;$A124,実績!$AJ$6:$AJ$505,"&gt;"&amp;$A124,実績!$AL$6:$AL$505,"○")&gt;0,1,0))</f>
        <v>0</v>
      </c>
      <c r="CA124" s="39" t="n">
        <f aca="false">IF(CA$4=0,0,IF(COUNTIFS(実績!$W$6:$W$505,CA$3,実績!$AI$6:$AI$505,"&lt;="&amp;$A124,実績!$AJ$6:$AJ$505,"&gt;"&amp;$A124,実績!$AL$6:$AL$505,"○")&gt;0,1,0))</f>
        <v>0</v>
      </c>
      <c r="CB124" s="39" t="n">
        <f aca="false">IF(CB$4=0,0,IF(COUNTIFS(実績!$W$6:$W$505,CB$3,実績!$AI$6:$AI$505,"&lt;="&amp;$A124,実績!$AJ$6:$AJ$505,"&gt;"&amp;$A124,実績!$AL$6:$AL$505,"○")&gt;0,1,0))</f>
        <v>0</v>
      </c>
      <c r="CC124" s="39" t="n">
        <f aca="false">IF(CC$4=0,0,IF(COUNTIFS(実績!$W$6:$W$505,CC$3,実績!$AI$6:$AI$505,"&lt;="&amp;$A124,実績!$AJ$6:$AJ$505,"&gt;"&amp;$A124,実績!$AL$6:$AL$505,"○")&gt;0,1,0))</f>
        <v>0</v>
      </c>
      <c r="CD124" s="39" t="n">
        <f aca="false">IF(CD$4=0,0,IF(COUNTIFS(実績!$W$6:$W$505,CD$3,実績!$AI$6:$AI$505,"&lt;="&amp;$A124,実績!$AJ$6:$AJ$505,"&gt;"&amp;$A124,実績!$AL$6:$AL$505,"○")&gt;0,1,0))</f>
        <v>0</v>
      </c>
      <c r="CE124" s="39" t="n">
        <f aca="false">IF(CE$4=0,0,IF(COUNTIFS(実績!$W$6:$W$505,CE$3,実績!$AI$6:$AI$505,"&lt;="&amp;$A124,実績!$AJ$6:$AJ$505,"&gt;"&amp;$A124,実績!$AL$6:$AL$505,"○")&gt;0,1,0))</f>
        <v>0</v>
      </c>
      <c r="CF124" s="39" t="n">
        <f aca="false">IF(CF$4=0,0,IF(COUNTIFS(実績!$W$6:$W$505,CF$3,実績!$AI$6:$AI$505,"&lt;="&amp;$A124,実績!$AJ$6:$AJ$505,"&gt;"&amp;$A124,実績!$AL$6:$AL$505,"○")&gt;0,1,0))</f>
        <v>0</v>
      </c>
      <c r="CG124" s="39" t="n">
        <f aca="false">IF(CG$4=0,0,IF(COUNTIFS(実績!$W$6:$W$505,CG$3,実績!$AI$6:$AI$505,"&lt;="&amp;$A124,実績!$AJ$6:$AJ$505,"&gt;"&amp;$A124,実績!$AL$6:$AL$505,"○")&gt;0,1,0))</f>
        <v>0</v>
      </c>
      <c r="CH124" s="39" t="n">
        <f aca="false">IF(CH$4=0,0,IF(COUNTIFS(実績!$W$6:$W$505,CH$3,実績!$AI$6:$AI$505,"&lt;="&amp;$A124,実績!$AJ$6:$AJ$505,"&gt;"&amp;$A124,実績!$AL$6:$AL$505,"○")&gt;0,1,0))</f>
        <v>0</v>
      </c>
      <c r="CI124" s="39" t="n">
        <f aca="false">IF(CI$4=0,0,IF(COUNTIFS(実績!$W$6:$W$505,CI$3,実績!$AI$6:$AI$505,"&lt;="&amp;$A124,実績!$AJ$6:$AJ$505,"&gt;"&amp;$A124,実績!$AL$6:$AL$505,"○")&gt;0,1,0))</f>
        <v>0</v>
      </c>
      <c r="CJ124" s="39" t="n">
        <f aca="false">IF(CJ$4=0,0,IF(COUNTIFS(実績!$W$6:$W$505,CJ$3,実績!$AI$6:$AI$505,"&lt;="&amp;$A124,実績!$AJ$6:$AJ$505,"&gt;"&amp;$A124,実績!$AL$6:$AL$505,"○")&gt;0,1,0))</f>
        <v>0</v>
      </c>
      <c r="CK124" s="39" t="n">
        <f aca="false">IF(CK$4=0,0,IF(COUNTIFS(実績!$W$6:$W$505,CK$3,実績!$AI$6:$AI$505,"&lt;="&amp;$A124,実績!$AJ$6:$AJ$505,"&gt;"&amp;$A124,実績!$AL$6:$AL$505,"○")&gt;0,1,0))</f>
        <v>0</v>
      </c>
      <c r="CL124" s="39" t="n">
        <f aca="false">IF(CL$4=0,0,IF(COUNTIFS(実績!$W$6:$W$505,CL$3,実績!$AI$6:$AI$505,"&lt;="&amp;$A124,実績!$AJ$6:$AJ$505,"&gt;"&amp;$A124,実績!$AL$6:$AL$505,"○")&gt;0,1,0))</f>
        <v>0</v>
      </c>
      <c r="CM124" s="39" t="n">
        <f aca="false">IF(CM$4=0,0,IF(COUNTIFS(実績!$W$6:$W$505,CM$3,実績!$AI$6:$AI$505,"&lt;="&amp;$A124,実績!$AJ$6:$AJ$505,"&gt;"&amp;$A124,実績!$AL$6:$AL$505,"○")&gt;0,1,0))</f>
        <v>0</v>
      </c>
      <c r="CN124" s="39" t="n">
        <f aca="false">IF(CN$4=0,0,IF(COUNTIFS(実績!$W$6:$W$505,CN$3,実績!$AI$6:$AI$505,"&lt;="&amp;$A124,実績!$AJ$6:$AJ$505,"&gt;"&amp;$A124,実績!$AL$6:$AL$505,"○")&gt;0,1,0))</f>
        <v>0</v>
      </c>
      <c r="CO124" s="39" t="n">
        <f aca="false">IF(CO$4=0,0,IF(COUNTIFS(実績!$W$6:$W$505,CO$3,実績!$AI$6:$AI$505,"&lt;="&amp;$A124,実績!$AJ$6:$AJ$505,"&gt;"&amp;$A124,実績!$AL$6:$AL$505,"○")&gt;0,1,0))</f>
        <v>0</v>
      </c>
      <c r="CP124" s="39" t="n">
        <f aca="false">IF(CP$4=0,0,IF(COUNTIFS(実績!$W$6:$W$505,CP$3,実績!$AI$6:$AI$505,"&lt;="&amp;$A124,実績!$AJ$6:$AJ$505,"&gt;"&amp;$A124,実績!$AL$6:$AL$505,"○")&gt;0,1,0))</f>
        <v>0</v>
      </c>
      <c r="CQ124" s="39" t="n">
        <f aca="false">IF(CQ$4=0,0,IF(COUNTIFS(実績!$W$6:$W$505,CQ$3,実績!$AI$6:$AI$505,"&lt;="&amp;$A124,実績!$AJ$6:$AJ$505,"&gt;"&amp;$A124,実績!$AL$6:$AL$505,"○")&gt;0,1,0))</f>
        <v>0</v>
      </c>
      <c r="CR124" s="39" t="n">
        <f aca="false">IF(CR$4=0,0,IF(COUNTIFS(実績!$W$6:$W$505,CR$3,実績!$AI$6:$AI$505,"&lt;="&amp;$A124,実績!$AJ$6:$AJ$505,"&gt;"&amp;$A124,実績!$AL$6:$AL$505,"○")&gt;0,1,0))</f>
        <v>0</v>
      </c>
      <c r="CS124" s="39" t="n">
        <f aca="false">IF(CS$4=0,0,IF(COUNTIFS(実績!$W$6:$W$505,CS$3,実績!$AI$6:$AI$505,"&lt;="&amp;$A124,実績!$AJ$6:$AJ$505,"&gt;"&amp;$A124,実績!$AL$6:$AL$505,"○")&gt;0,1,0))</f>
        <v>0</v>
      </c>
      <c r="CT124" s="39" t="n">
        <f aca="false">IF(CT$4=0,0,IF(COUNTIFS(実績!$W$6:$W$505,CT$3,実績!$AI$6:$AI$505,"&lt;="&amp;$A124,実績!$AJ$6:$AJ$505,"&gt;"&amp;$A124,実績!$AL$6:$AL$505,"○")&gt;0,1,0))</f>
        <v>0</v>
      </c>
      <c r="CU124" s="39" t="n">
        <f aca="false">IF(CU$4=0,0,IF(COUNTIFS(実績!$W$6:$W$505,CU$3,実績!$AI$6:$AI$505,"&lt;="&amp;$A124,実績!$AJ$6:$AJ$505,"&gt;"&amp;$A124,実績!$AL$6:$AL$505,"○")&gt;0,1,0))</f>
        <v>0</v>
      </c>
      <c r="CV124" s="39" t="n">
        <f aca="false">IF(CV$4=0,0,IF(COUNTIFS(実績!$W$6:$W$505,CV$3,実績!$AI$6:$AI$505,"&lt;="&amp;$A124,実績!$AJ$6:$AJ$505,"&gt;"&amp;$A124,実績!$AL$6:$AL$505,"○")&gt;0,1,0))</f>
        <v>0</v>
      </c>
      <c r="CW124" s="39" t="n">
        <f aca="false">IF(CW$4=0,0,IF(COUNTIFS(実績!$W$6:$W$505,CW$3,実績!$AI$6:$AI$505,"&lt;="&amp;$A124,実績!$AJ$6:$AJ$505,"&gt;"&amp;$A124,実績!$AL$6:$AL$505,"○")&gt;0,1,0))</f>
        <v>0</v>
      </c>
      <c r="CX124" s="39" t="n">
        <f aca="false">IF(CX$4=0,0,IF(COUNTIFS(実績!$W$6:$W$505,CX$3,実績!$AI$6:$AI$505,"&lt;="&amp;$A124,実績!$AJ$6:$AJ$505,"&gt;"&amp;$A124,実績!$AL$6:$AL$505,"○")&gt;0,1,0))</f>
        <v>0</v>
      </c>
      <c r="CY124" s="39" t="n">
        <f aca="false">IF(CY$4=0,0,IF(COUNTIFS(実績!$W$6:$W$505,CY$3,実績!$AI$6:$AI$505,"&lt;="&amp;$A124,実績!$AJ$6:$AJ$505,"&gt;"&amp;$A124,実績!$AL$6:$AL$505,"○")&gt;0,1,0))</f>
        <v>0</v>
      </c>
      <c r="CZ124" s="39" t="n">
        <f aca="false">IF(CZ$4=0,0,IF(COUNTIFS(実績!$W$6:$W$505,CZ$3,実績!$AI$6:$AI$505,"&lt;="&amp;$A124,実績!$AJ$6:$AJ$505,"&gt;"&amp;$A124,実績!$AL$6:$AL$505,"○")&gt;0,1,0))</f>
        <v>0</v>
      </c>
      <c r="DA124" s="39" t="n">
        <f aca="false">IF(DA$4=0,0,IF(COUNTIFS(実績!$W$6:$W$505,DA$3,実績!$AI$6:$AI$505,"&lt;="&amp;$A124,実績!$AJ$6:$AJ$505,"&gt;"&amp;$A124,実績!$AL$6:$AL$505,"○")&gt;0,1,0))</f>
        <v>0</v>
      </c>
      <c r="DB124" s="39" t="n">
        <f aca="false">IF(DB$4=0,0,IF(COUNTIFS(実績!$W$6:$W$505,DB$3,実績!$AI$6:$AI$505,"&lt;="&amp;$A124,実績!$AJ$6:$AJ$505,"&gt;"&amp;$A124,実績!$AL$6:$AL$505,"○")&gt;0,1,0))</f>
        <v>0</v>
      </c>
      <c r="DC124" s="39" t="n">
        <f aca="false">IF(DC$4=0,0,IF(COUNTIFS(実績!$W$6:$W$505,DC$3,実績!$AI$6:$AI$505,"&lt;="&amp;$A124,実績!$AJ$6:$AJ$505,"&gt;"&amp;$A124,実績!$AL$6:$AL$505,"○")&gt;0,1,0))</f>
        <v>0</v>
      </c>
      <c r="DD124" s="39" t="n">
        <f aca="false">IF(DD$4=0,0,IF(COUNTIFS(実績!$W$6:$W$505,DD$3,実績!$AI$6:$AI$505,"&lt;="&amp;$A124,実績!$AJ$6:$AJ$505,"&gt;"&amp;$A124,実績!$AL$6:$AL$505,"○")&gt;0,1,0))</f>
        <v>0</v>
      </c>
      <c r="DE124" s="39" t="n">
        <f aca="false">IF(DE$4=0,0,IF(COUNTIFS(実績!$W$6:$W$505,DE$3,実績!$AI$6:$AI$505,"&lt;="&amp;$A124,実績!$AJ$6:$AJ$505,"&gt;"&amp;$A124,実績!$AL$6:$AL$505,"○")&gt;0,1,0))</f>
        <v>0</v>
      </c>
      <c r="DF124" s="39" t="n">
        <f aca="false">IF(DF$4=0,0,IF(COUNTIFS(実績!$W$6:$W$505,DF$3,実績!$AI$6:$AI$505,"&lt;="&amp;$A124,実績!$AJ$6:$AJ$505,"&gt;"&amp;$A124,実績!$AL$6:$AL$505,"○")&gt;0,1,0))</f>
        <v>0</v>
      </c>
      <c r="DG124" s="39" t="n">
        <f aca="false">IF(DG$4=0,0,IF(COUNTIFS(実績!$W$6:$W$505,DG$3,実績!$AI$6:$AI$505,"&lt;="&amp;$A124,実績!$AJ$6:$AJ$505,"&gt;"&amp;$A124,実績!$AL$6:$AL$505,"○")&gt;0,1,0))</f>
        <v>0</v>
      </c>
      <c r="DH124" s="39" t="n">
        <f aca="false">IF(DH$4=0,0,IF(COUNTIFS(実績!$W$6:$W$505,DH$3,実績!$AI$6:$AI$505,"&lt;="&amp;$A124,実績!$AJ$6:$AJ$505,"&gt;"&amp;$A124,実績!$AL$6:$AL$505,"○")&gt;0,1,0))</f>
        <v>0</v>
      </c>
      <c r="DI124" s="39" t="n">
        <f aca="false">IF(DI$4=0,0,IF(COUNTIFS(実績!$W$6:$W$505,DI$3,実績!$AI$6:$AI$505,"&lt;="&amp;$A124,実績!$AJ$6:$AJ$505,"&gt;"&amp;$A124,実績!$AL$6:$AL$505,"○")&gt;0,1,0))</f>
        <v>0</v>
      </c>
      <c r="DJ124" s="39" t="n">
        <f aca="false">IF(DJ$4=0,0,IF(COUNTIFS(実績!$W$6:$W$505,DJ$3,実績!$AI$6:$AI$505,"&lt;="&amp;$A124,実績!$AJ$6:$AJ$505,"&gt;"&amp;$A124,実績!$AL$6:$AL$505,"○")&gt;0,1,0))</f>
        <v>0</v>
      </c>
      <c r="DK124" s="39" t="n">
        <f aca="false">IF(DK$4=0,0,IF(COUNTIFS(実績!$W$6:$W$505,DK$3,実績!$AI$6:$AI$505,"&lt;="&amp;$A124,実績!$AJ$6:$AJ$505,"&gt;"&amp;$A124,実績!$AL$6:$AL$505,"○")&gt;0,1,0))</f>
        <v>0</v>
      </c>
      <c r="DL124" s="39" t="n">
        <f aca="false">IF(DL$4=0,0,IF(COUNTIFS(実績!$W$6:$W$505,DL$3,実績!$AI$6:$AI$505,"&lt;="&amp;$A124,実績!$AJ$6:$AJ$505,"&gt;"&amp;$A124,実績!$AL$6:$AL$505,"○")&gt;0,1,0))</f>
        <v>0</v>
      </c>
      <c r="DM124" s="39" t="n">
        <f aca="false">IF(DM$4=0,0,IF(COUNTIFS(実績!$W$6:$W$505,DM$3,実績!$AI$6:$AI$505,"&lt;="&amp;$A124,実績!$AJ$6:$AJ$505,"&gt;"&amp;$A124,実績!$AL$6:$AL$505,"○")&gt;0,1,0))</f>
        <v>0</v>
      </c>
      <c r="DN124" s="39" t="n">
        <f aca="false">IF(DN$4=0,0,IF(COUNTIFS(実績!$W$6:$W$505,DN$3,実績!$AI$6:$AI$505,"&lt;="&amp;$A124,実績!$AJ$6:$AJ$505,"&gt;"&amp;$A124,実績!$AL$6:$AL$505,"○")&gt;0,1,0))</f>
        <v>0</v>
      </c>
      <c r="DO124" s="39" t="n">
        <f aca="false">IF(DO$4=0,0,IF(COUNTIFS(実績!$W$6:$W$505,DO$3,実績!$AI$6:$AI$505,"&lt;="&amp;$A124,実績!$AJ$6:$AJ$505,"&gt;"&amp;$A124,実績!$AL$6:$AL$505,"○")&gt;0,1,0))</f>
        <v>0</v>
      </c>
      <c r="DP124" s="39" t="n">
        <f aca="false">IF(DP$4=0,0,IF(COUNTIFS(実績!$W$6:$W$505,DP$3,実績!$AI$6:$AI$505,"&lt;="&amp;$A124,実績!$AJ$6:$AJ$505,"&gt;"&amp;$A124,実績!$AL$6:$AL$505,"○")&gt;0,1,0))</f>
        <v>0</v>
      </c>
      <c r="DQ124" s="39" t="n">
        <f aca="false">IF(DQ$4=0,0,IF(COUNTIFS(実績!$W$6:$W$505,DQ$3,実績!$AI$6:$AI$505,"&lt;="&amp;$A124,実績!$AJ$6:$AJ$505,"&gt;"&amp;$A124,実績!$AL$6:$AL$505,"○")&gt;0,1,0))</f>
        <v>0</v>
      </c>
      <c r="DR124" s="39" t="n">
        <f aca="false">IF(DR$4=0,0,IF(COUNTIFS(実績!$W$6:$W$505,DR$3,実績!$AI$6:$AI$505,"&lt;="&amp;$A124,実績!$AJ$6:$AJ$505,"&gt;"&amp;$A124,実績!$AL$6:$AL$505,"○")&gt;0,1,0))</f>
        <v>0</v>
      </c>
      <c r="DS124" s="39" t="n">
        <f aca="false">SUM(C124:DR124)</f>
        <v>0</v>
      </c>
    </row>
    <row r="125" customFormat="false" ht="15" hidden="false" customHeight="false" outlineLevel="0" collapsed="false">
      <c r="A125" s="0" t="n">
        <v>595</v>
      </c>
      <c r="B125" s="38" t="n">
        <f aca="false">A125/1440</f>
        <v>0.413194444444444</v>
      </c>
      <c r="C125" s="39" t="n">
        <f aca="false">IF(C$4=0,0,IF(COUNTIFS(実績!$W$6:$W$505,C$3,実績!$AI$6:$AI$505,"&lt;="&amp;$A125,実績!$AJ$6:$AJ$505,"&gt;"&amp;$A125,実績!$AL$6:$AL$505,"○")&gt;0,1,0))</f>
        <v>0</v>
      </c>
      <c r="D125" s="39" t="n">
        <f aca="false">IF(D$4=0,0,IF(COUNTIFS(実績!$W$6:$W$505,D$3,実績!$AI$6:$AI$505,"&lt;="&amp;$A125,実績!$AJ$6:$AJ$505,"&gt;"&amp;$A125,実績!$AL$6:$AL$505,"○")&gt;0,1,0))</f>
        <v>0</v>
      </c>
      <c r="E125" s="39" t="n">
        <f aca="false">IF(E$4=0,0,IF(COUNTIFS(実績!$W$6:$W$505,E$3,実績!$AI$6:$AI$505,"&lt;="&amp;$A125,実績!$AJ$6:$AJ$505,"&gt;"&amp;$A125,実績!$AL$6:$AL$505,"○")&gt;0,1,0))</f>
        <v>0</v>
      </c>
      <c r="F125" s="39" t="n">
        <f aca="false">IF(F$4=0,0,IF(COUNTIFS(実績!$W$6:$W$505,F$3,実績!$AI$6:$AI$505,"&lt;="&amp;$A125,実績!$AJ$6:$AJ$505,"&gt;"&amp;$A125,実績!$AL$6:$AL$505,"○")&gt;0,1,0))</f>
        <v>0</v>
      </c>
      <c r="G125" s="39" t="n">
        <f aca="false">IF(G$4=0,0,IF(COUNTIFS(実績!$W$6:$W$505,G$3,実績!$AI$6:$AI$505,"&lt;="&amp;$A125,実績!$AJ$6:$AJ$505,"&gt;"&amp;$A125,実績!$AL$6:$AL$505,"○")&gt;0,1,0))</f>
        <v>0</v>
      </c>
      <c r="H125" s="39" t="n">
        <f aca="false">IF(H$4=0,0,IF(COUNTIFS(実績!$W$6:$W$505,H$3,実績!$AI$6:$AI$505,"&lt;="&amp;$A125,実績!$AJ$6:$AJ$505,"&gt;"&amp;$A125,実績!$AL$6:$AL$505,"○")&gt;0,1,0))</f>
        <v>0</v>
      </c>
      <c r="I125" s="39" t="n">
        <f aca="false">IF(I$4=0,0,IF(COUNTIFS(実績!$W$6:$W$505,I$3,実績!$AI$6:$AI$505,"&lt;="&amp;$A125,実績!$AJ$6:$AJ$505,"&gt;"&amp;$A125,実績!$AL$6:$AL$505,"○")&gt;0,1,0))</f>
        <v>0</v>
      </c>
      <c r="J125" s="39" t="n">
        <f aca="false">IF(J$4=0,0,IF(COUNTIFS(実績!$W$6:$W$505,J$3,実績!$AI$6:$AI$505,"&lt;="&amp;$A125,実績!$AJ$6:$AJ$505,"&gt;"&amp;$A125,実績!$AL$6:$AL$505,"○")&gt;0,1,0))</f>
        <v>0</v>
      </c>
      <c r="K125" s="39" t="n">
        <f aca="false">IF(K$4=0,0,IF(COUNTIFS(実績!$W$6:$W$505,K$3,実績!$AI$6:$AI$505,"&lt;="&amp;$A125,実績!$AJ$6:$AJ$505,"&gt;"&amp;$A125,実績!$AL$6:$AL$505,"○")&gt;0,1,0))</f>
        <v>0</v>
      </c>
      <c r="L125" s="39" t="n">
        <f aca="false">IF(L$4=0,0,IF(COUNTIFS(実績!$W$6:$W$505,L$3,実績!$AI$6:$AI$505,"&lt;="&amp;$A125,実績!$AJ$6:$AJ$505,"&gt;"&amp;$A125,実績!$AL$6:$AL$505,"○")&gt;0,1,0))</f>
        <v>0</v>
      </c>
      <c r="M125" s="39" t="n">
        <f aca="false">IF(M$4=0,0,IF(COUNTIFS(実績!$W$6:$W$505,M$3,実績!$AI$6:$AI$505,"&lt;="&amp;$A125,実績!$AJ$6:$AJ$505,"&gt;"&amp;$A125,実績!$AL$6:$AL$505,"○")&gt;0,1,0))</f>
        <v>0</v>
      </c>
      <c r="N125" s="39" t="n">
        <f aca="false">IF(N$4=0,0,IF(COUNTIFS(実績!$W$6:$W$505,N$3,実績!$AI$6:$AI$505,"&lt;="&amp;$A125,実績!$AJ$6:$AJ$505,"&gt;"&amp;$A125,実績!$AL$6:$AL$505,"○")&gt;0,1,0))</f>
        <v>0</v>
      </c>
      <c r="O125" s="39" t="n">
        <f aca="false">IF(O$4=0,0,IF(COUNTIFS(実績!$W$6:$W$505,O$3,実績!$AI$6:$AI$505,"&lt;="&amp;$A125,実績!$AJ$6:$AJ$505,"&gt;"&amp;$A125,実績!$AL$6:$AL$505,"○")&gt;0,1,0))</f>
        <v>0</v>
      </c>
      <c r="P125" s="39" t="n">
        <f aca="false">IF(P$4=0,0,IF(COUNTIFS(実績!$W$6:$W$505,P$3,実績!$AI$6:$AI$505,"&lt;="&amp;$A125,実績!$AJ$6:$AJ$505,"&gt;"&amp;$A125,実績!$AL$6:$AL$505,"○")&gt;0,1,0))</f>
        <v>0</v>
      </c>
      <c r="Q125" s="39" t="n">
        <f aca="false">IF(Q$4=0,0,IF(COUNTIFS(実績!$W$6:$W$505,Q$3,実績!$AI$6:$AI$505,"&lt;="&amp;$A125,実績!$AJ$6:$AJ$505,"&gt;"&amp;$A125,実績!$AL$6:$AL$505,"○")&gt;0,1,0))</f>
        <v>0</v>
      </c>
      <c r="R125" s="39" t="n">
        <f aca="false">IF(R$4=0,0,IF(COUNTIFS(実績!$W$6:$W$505,R$3,実績!$AI$6:$AI$505,"&lt;="&amp;$A125,実績!$AJ$6:$AJ$505,"&gt;"&amp;$A125,実績!$AL$6:$AL$505,"○")&gt;0,1,0))</f>
        <v>0</v>
      </c>
      <c r="S125" s="39" t="n">
        <f aca="false">IF(S$4=0,0,IF(COUNTIFS(実績!$W$6:$W$505,S$3,実績!$AI$6:$AI$505,"&lt;="&amp;$A125,実績!$AJ$6:$AJ$505,"&gt;"&amp;$A125,実績!$AL$6:$AL$505,"○")&gt;0,1,0))</f>
        <v>0</v>
      </c>
      <c r="T125" s="39" t="n">
        <f aca="false">IF(T$4=0,0,IF(COUNTIFS(実績!$W$6:$W$505,T$3,実績!$AI$6:$AI$505,"&lt;="&amp;$A125,実績!$AJ$6:$AJ$505,"&gt;"&amp;$A125,実績!$AL$6:$AL$505,"○")&gt;0,1,0))</f>
        <v>0</v>
      </c>
      <c r="U125" s="39" t="n">
        <f aca="false">IF(U$4=0,0,IF(COUNTIFS(実績!$W$6:$W$505,U$3,実績!$AI$6:$AI$505,"&lt;="&amp;$A125,実績!$AJ$6:$AJ$505,"&gt;"&amp;$A125,実績!$AL$6:$AL$505,"○")&gt;0,1,0))</f>
        <v>0</v>
      </c>
      <c r="V125" s="39" t="n">
        <f aca="false">IF(V$4=0,0,IF(COUNTIFS(実績!$W$6:$W$505,V$3,実績!$AI$6:$AI$505,"&lt;="&amp;$A125,実績!$AJ$6:$AJ$505,"&gt;"&amp;$A125,実績!$AL$6:$AL$505,"○")&gt;0,1,0))</f>
        <v>0</v>
      </c>
      <c r="W125" s="39" t="n">
        <f aca="false">IF(W$4=0,0,IF(COUNTIFS(実績!$W$6:$W$505,W$3,実績!$AI$6:$AI$505,"&lt;="&amp;$A125,実績!$AJ$6:$AJ$505,"&gt;"&amp;$A125,実績!$AL$6:$AL$505,"○")&gt;0,1,0))</f>
        <v>0</v>
      </c>
      <c r="X125" s="39" t="n">
        <f aca="false">IF(X$4=0,0,IF(COUNTIFS(実績!$W$6:$W$505,X$3,実績!$AI$6:$AI$505,"&lt;="&amp;$A125,実績!$AJ$6:$AJ$505,"&gt;"&amp;$A125,実績!$AL$6:$AL$505,"○")&gt;0,1,0))</f>
        <v>0</v>
      </c>
      <c r="Y125" s="39" t="n">
        <f aca="false">IF(Y$4=0,0,IF(COUNTIFS(実績!$W$6:$W$505,Y$3,実績!$AI$6:$AI$505,"&lt;="&amp;$A125,実績!$AJ$6:$AJ$505,"&gt;"&amp;$A125,実績!$AL$6:$AL$505,"○")&gt;0,1,0))</f>
        <v>0</v>
      </c>
      <c r="Z125" s="39" t="n">
        <f aca="false">IF(Z$4=0,0,IF(COUNTIFS(実績!$W$6:$W$505,Z$3,実績!$AI$6:$AI$505,"&lt;="&amp;$A125,実績!$AJ$6:$AJ$505,"&gt;"&amp;$A125,実績!$AL$6:$AL$505,"○")&gt;0,1,0))</f>
        <v>0</v>
      </c>
      <c r="AA125" s="39" t="n">
        <f aca="false">IF(AA$4=0,0,IF(COUNTIFS(実績!$W$6:$W$505,AA$3,実績!$AI$6:$AI$505,"&lt;="&amp;$A125,実績!$AJ$6:$AJ$505,"&gt;"&amp;$A125,実績!$AL$6:$AL$505,"○")&gt;0,1,0))</f>
        <v>0</v>
      </c>
      <c r="AB125" s="39" t="n">
        <f aca="false">IF(AB$4=0,0,IF(COUNTIFS(実績!$W$6:$W$505,AB$3,実績!$AI$6:$AI$505,"&lt;="&amp;$A125,実績!$AJ$6:$AJ$505,"&gt;"&amp;$A125,実績!$AL$6:$AL$505,"○")&gt;0,1,0))</f>
        <v>0</v>
      </c>
      <c r="AC125" s="39" t="n">
        <f aca="false">IF(AC$4=0,0,IF(COUNTIFS(実績!$W$6:$W$505,AC$3,実績!$AI$6:$AI$505,"&lt;="&amp;$A125,実績!$AJ$6:$AJ$505,"&gt;"&amp;$A125,実績!$AL$6:$AL$505,"○")&gt;0,1,0))</f>
        <v>0</v>
      </c>
      <c r="AD125" s="39" t="n">
        <f aca="false">IF(AD$4=0,0,IF(COUNTIFS(実績!$W$6:$W$505,AD$3,実績!$AI$6:$AI$505,"&lt;="&amp;$A125,実績!$AJ$6:$AJ$505,"&gt;"&amp;$A125,実績!$AL$6:$AL$505,"○")&gt;0,1,0))</f>
        <v>0</v>
      </c>
      <c r="AE125" s="39" t="n">
        <f aca="false">IF(AE$4=0,0,IF(COUNTIFS(実績!$W$6:$W$505,AE$3,実績!$AI$6:$AI$505,"&lt;="&amp;$A125,実績!$AJ$6:$AJ$505,"&gt;"&amp;$A125,実績!$AL$6:$AL$505,"○")&gt;0,1,0))</f>
        <v>0</v>
      </c>
      <c r="AF125" s="39" t="n">
        <f aca="false">IF(AF$4=0,0,IF(COUNTIFS(実績!$W$6:$W$505,AF$3,実績!$AI$6:$AI$505,"&lt;="&amp;$A125,実績!$AJ$6:$AJ$505,"&gt;"&amp;$A125,実績!$AL$6:$AL$505,"○")&gt;0,1,0))</f>
        <v>0</v>
      </c>
      <c r="AG125" s="39" t="n">
        <f aca="false">IF(AG$4=0,0,IF(COUNTIFS(実績!$W$6:$W$505,AG$3,実績!$AI$6:$AI$505,"&lt;="&amp;$A125,実績!$AJ$6:$AJ$505,"&gt;"&amp;$A125,実績!$AL$6:$AL$505,"○")&gt;0,1,0))</f>
        <v>0</v>
      </c>
      <c r="AH125" s="39" t="n">
        <f aca="false">IF(AH$4=0,0,IF(COUNTIFS(実績!$W$6:$W$505,AH$3,実績!$AI$6:$AI$505,"&lt;="&amp;$A125,実績!$AJ$6:$AJ$505,"&gt;"&amp;$A125,実績!$AL$6:$AL$505,"○")&gt;0,1,0))</f>
        <v>0</v>
      </c>
      <c r="AI125" s="39" t="n">
        <f aca="false">IF(AI$4=0,0,IF(COUNTIFS(実績!$W$6:$W$505,AI$3,実績!$AI$6:$AI$505,"&lt;="&amp;$A125,実績!$AJ$6:$AJ$505,"&gt;"&amp;$A125,実績!$AL$6:$AL$505,"○")&gt;0,1,0))</f>
        <v>0</v>
      </c>
      <c r="AJ125" s="39" t="n">
        <f aca="false">IF(AJ$4=0,0,IF(COUNTIFS(実績!$W$6:$W$505,AJ$3,実績!$AI$6:$AI$505,"&lt;="&amp;$A125,実績!$AJ$6:$AJ$505,"&gt;"&amp;$A125,実績!$AL$6:$AL$505,"○")&gt;0,1,0))</f>
        <v>0</v>
      </c>
      <c r="AK125" s="39" t="n">
        <f aca="false">IF(AK$4=0,0,IF(COUNTIFS(実績!$W$6:$W$505,AK$3,実績!$AI$6:$AI$505,"&lt;="&amp;$A125,実績!$AJ$6:$AJ$505,"&gt;"&amp;$A125,実績!$AL$6:$AL$505,"○")&gt;0,1,0))</f>
        <v>0</v>
      </c>
      <c r="AL125" s="39" t="n">
        <f aca="false">IF(AL$4=0,0,IF(COUNTIFS(実績!$W$6:$W$505,AL$3,実績!$AI$6:$AI$505,"&lt;="&amp;$A125,実績!$AJ$6:$AJ$505,"&gt;"&amp;$A125,実績!$AL$6:$AL$505,"○")&gt;0,1,0))</f>
        <v>0</v>
      </c>
      <c r="AM125" s="39" t="n">
        <f aca="false">IF(AM$4=0,0,IF(COUNTIFS(実績!$W$6:$W$505,AM$3,実績!$AI$6:$AI$505,"&lt;="&amp;$A125,実績!$AJ$6:$AJ$505,"&gt;"&amp;$A125,実績!$AL$6:$AL$505,"○")&gt;0,1,0))</f>
        <v>0</v>
      </c>
      <c r="AN125" s="39" t="n">
        <f aca="false">IF(AN$4=0,0,IF(COUNTIFS(実績!$W$6:$W$505,AN$3,実績!$AI$6:$AI$505,"&lt;="&amp;$A125,実績!$AJ$6:$AJ$505,"&gt;"&amp;$A125,実績!$AL$6:$AL$505,"○")&gt;0,1,0))</f>
        <v>0</v>
      </c>
      <c r="AO125" s="39" t="n">
        <f aca="false">IF(AO$4=0,0,IF(COUNTIFS(実績!$W$6:$W$505,AO$3,実績!$AI$6:$AI$505,"&lt;="&amp;$A125,実績!$AJ$6:$AJ$505,"&gt;"&amp;$A125,実績!$AL$6:$AL$505,"○")&gt;0,1,0))</f>
        <v>0</v>
      </c>
      <c r="AP125" s="39" t="n">
        <f aca="false">IF(AP$4=0,0,IF(COUNTIFS(実績!$W$6:$W$505,AP$3,実績!$AI$6:$AI$505,"&lt;="&amp;$A125,実績!$AJ$6:$AJ$505,"&gt;"&amp;$A125,実績!$AL$6:$AL$505,"○")&gt;0,1,0))</f>
        <v>0</v>
      </c>
      <c r="AQ125" s="39" t="n">
        <f aca="false">IF(AQ$4=0,0,IF(COUNTIFS(実績!$W$6:$W$505,AQ$3,実績!$AI$6:$AI$505,"&lt;="&amp;$A125,実績!$AJ$6:$AJ$505,"&gt;"&amp;$A125,実績!$AL$6:$AL$505,"○")&gt;0,1,0))</f>
        <v>0</v>
      </c>
      <c r="AR125" s="39" t="n">
        <f aca="false">IF(AR$4=0,0,IF(COUNTIFS(実績!$W$6:$W$505,AR$3,実績!$AI$6:$AI$505,"&lt;="&amp;$A125,実績!$AJ$6:$AJ$505,"&gt;"&amp;$A125,実績!$AL$6:$AL$505,"○")&gt;0,1,0))</f>
        <v>0</v>
      </c>
      <c r="AS125" s="39" t="n">
        <f aca="false">IF(AS$4=0,0,IF(COUNTIFS(実績!$W$6:$W$505,AS$3,実績!$AI$6:$AI$505,"&lt;="&amp;$A125,実績!$AJ$6:$AJ$505,"&gt;"&amp;$A125,実績!$AL$6:$AL$505,"○")&gt;0,1,0))</f>
        <v>0</v>
      </c>
      <c r="AT125" s="39" t="n">
        <f aca="false">IF(AT$4=0,0,IF(COUNTIFS(実績!$W$6:$W$505,AT$3,実績!$AI$6:$AI$505,"&lt;="&amp;$A125,実績!$AJ$6:$AJ$505,"&gt;"&amp;$A125,実績!$AL$6:$AL$505,"○")&gt;0,1,0))</f>
        <v>0</v>
      </c>
      <c r="AU125" s="39" t="n">
        <f aca="false">IF(AU$4=0,0,IF(COUNTIFS(実績!$W$6:$W$505,AU$3,実績!$AI$6:$AI$505,"&lt;="&amp;$A125,実績!$AJ$6:$AJ$505,"&gt;"&amp;$A125,実績!$AL$6:$AL$505,"○")&gt;0,1,0))</f>
        <v>0</v>
      </c>
      <c r="AV125" s="39" t="n">
        <f aca="false">IF(AV$4=0,0,IF(COUNTIFS(実績!$W$6:$W$505,AV$3,実績!$AI$6:$AI$505,"&lt;="&amp;$A125,実績!$AJ$6:$AJ$505,"&gt;"&amp;$A125,実績!$AL$6:$AL$505,"○")&gt;0,1,0))</f>
        <v>0</v>
      </c>
      <c r="AW125" s="39" t="n">
        <f aca="false">IF(AW$4=0,0,IF(COUNTIFS(実績!$W$6:$W$505,AW$3,実績!$AI$6:$AI$505,"&lt;="&amp;$A125,実績!$AJ$6:$AJ$505,"&gt;"&amp;$A125,実績!$AL$6:$AL$505,"○")&gt;0,1,0))</f>
        <v>0</v>
      </c>
      <c r="AX125" s="39" t="n">
        <f aca="false">IF(AX$4=0,0,IF(COUNTIFS(実績!$W$6:$W$505,AX$3,実績!$AI$6:$AI$505,"&lt;="&amp;$A125,実績!$AJ$6:$AJ$505,"&gt;"&amp;$A125,実績!$AL$6:$AL$505,"○")&gt;0,1,0))</f>
        <v>0</v>
      </c>
      <c r="AY125" s="39" t="n">
        <f aca="false">IF(AY$4=0,0,IF(COUNTIFS(実績!$W$6:$W$505,AY$3,実績!$AI$6:$AI$505,"&lt;="&amp;$A125,実績!$AJ$6:$AJ$505,"&gt;"&amp;$A125,実績!$AL$6:$AL$505,"○")&gt;0,1,0))</f>
        <v>0</v>
      </c>
      <c r="AZ125" s="39" t="n">
        <f aca="false">IF(AZ$4=0,0,IF(COUNTIFS(実績!$W$6:$W$505,AZ$3,実績!$AI$6:$AI$505,"&lt;="&amp;$A125,実績!$AJ$6:$AJ$505,"&gt;"&amp;$A125,実績!$AL$6:$AL$505,"○")&gt;0,1,0))</f>
        <v>0</v>
      </c>
      <c r="BA125" s="39" t="n">
        <f aca="false">IF(BA$4=0,0,IF(COUNTIFS(実績!$W$6:$W$505,BA$3,実績!$AI$6:$AI$505,"&lt;="&amp;$A125,実績!$AJ$6:$AJ$505,"&gt;"&amp;$A125,実績!$AL$6:$AL$505,"○")&gt;0,1,0))</f>
        <v>0</v>
      </c>
      <c r="BB125" s="39" t="n">
        <f aca="false">IF(BB$4=0,0,IF(COUNTIFS(実績!$W$6:$W$505,BB$3,実績!$AI$6:$AI$505,"&lt;="&amp;$A125,実績!$AJ$6:$AJ$505,"&gt;"&amp;$A125,実績!$AL$6:$AL$505,"○")&gt;0,1,0))</f>
        <v>0</v>
      </c>
      <c r="BC125" s="39" t="n">
        <f aca="false">IF(BC$4=0,0,IF(COUNTIFS(実績!$W$6:$W$505,BC$3,実績!$AI$6:$AI$505,"&lt;="&amp;$A125,実績!$AJ$6:$AJ$505,"&gt;"&amp;$A125,実績!$AL$6:$AL$505,"○")&gt;0,1,0))</f>
        <v>0</v>
      </c>
      <c r="BD125" s="39" t="n">
        <f aca="false">IF(BD$4=0,0,IF(COUNTIFS(実績!$W$6:$W$505,BD$3,実績!$AI$6:$AI$505,"&lt;="&amp;$A125,実績!$AJ$6:$AJ$505,"&gt;"&amp;$A125,実績!$AL$6:$AL$505,"○")&gt;0,1,0))</f>
        <v>0</v>
      </c>
      <c r="BE125" s="39" t="n">
        <f aca="false">IF(BE$4=0,0,IF(COUNTIFS(実績!$W$6:$W$505,BE$3,実績!$AI$6:$AI$505,"&lt;="&amp;$A125,実績!$AJ$6:$AJ$505,"&gt;"&amp;$A125,実績!$AL$6:$AL$505,"○")&gt;0,1,0))</f>
        <v>0</v>
      </c>
      <c r="BF125" s="39" t="n">
        <f aca="false">IF(BF$4=0,0,IF(COUNTIFS(実績!$W$6:$W$505,BF$3,実績!$AI$6:$AI$505,"&lt;="&amp;$A125,実績!$AJ$6:$AJ$505,"&gt;"&amp;$A125,実績!$AL$6:$AL$505,"○")&gt;0,1,0))</f>
        <v>0</v>
      </c>
      <c r="BG125" s="39" t="n">
        <f aca="false">IF(BG$4=0,0,IF(COUNTIFS(実績!$W$6:$W$505,BG$3,実績!$AI$6:$AI$505,"&lt;="&amp;$A125,実績!$AJ$6:$AJ$505,"&gt;"&amp;$A125,実績!$AL$6:$AL$505,"○")&gt;0,1,0))</f>
        <v>0</v>
      </c>
      <c r="BH125" s="39" t="n">
        <f aca="false">IF(BH$4=0,0,IF(COUNTIFS(実績!$W$6:$W$505,BH$3,実績!$AI$6:$AI$505,"&lt;="&amp;$A125,実績!$AJ$6:$AJ$505,"&gt;"&amp;$A125,実績!$AL$6:$AL$505,"○")&gt;0,1,0))</f>
        <v>0</v>
      </c>
      <c r="BI125" s="39" t="n">
        <f aca="false">IF(BI$4=0,0,IF(COUNTIFS(実績!$W$6:$W$505,BI$3,実績!$AI$6:$AI$505,"&lt;="&amp;$A125,実績!$AJ$6:$AJ$505,"&gt;"&amp;$A125,実績!$AL$6:$AL$505,"○")&gt;0,1,0))</f>
        <v>0</v>
      </c>
      <c r="BJ125" s="39" t="n">
        <f aca="false">IF(BJ$4=0,0,IF(COUNTIFS(実績!$W$6:$W$505,BJ$3,実績!$AI$6:$AI$505,"&lt;="&amp;$A125,実績!$AJ$6:$AJ$505,"&gt;"&amp;$A125,実績!$AL$6:$AL$505,"○")&gt;0,1,0))</f>
        <v>0</v>
      </c>
      <c r="BK125" s="39" t="n">
        <f aca="false">IF(BK$4=0,0,IF(COUNTIFS(実績!$W$6:$W$505,BK$3,実績!$AI$6:$AI$505,"&lt;="&amp;$A125,実績!$AJ$6:$AJ$505,"&gt;"&amp;$A125,実績!$AL$6:$AL$505,"○")&gt;0,1,0))</f>
        <v>0</v>
      </c>
      <c r="BL125" s="39" t="n">
        <f aca="false">IF(BL$4=0,0,IF(COUNTIFS(実績!$W$6:$W$505,BL$3,実績!$AI$6:$AI$505,"&lt;="&amp;$A125,実績!$AJ$6:$AJ$505,"&gt;"&amp;$A125,実績!$AL$6:$AL$505,"○")&gt;0,1,0))</f>
        <v>0</v>
      </c>
      <c r="BM125" s="39" t="n">
        <f aca="false">IF(BM$4=0,0,IF(COUNTIFS(実績!$W$6:$W$505,BM$3,実績!$AI$6:$AI$505,"&lt;="&amp;$A125,実績!$AJ$6:$AJ$505,"&gt;"&amp;$A125,実績!$AL$6:$AL$505,"○")&gt;0,1,0))</f>
        <v>0</v>
      </c>
      <c r="BN125" s="39" t="n">
        <f aca="false">IF(BN$4=0,0,IF(COUNTIFS(実績!$W$6:$W$505,BN$3,実績!$AI$6:$AI$505,"&lt;="&amp;$A125,実績!$AJ$6:$AJ$505,"&gt;"&amp;$A125,実績!$AL$6:$AL$505,"○")&gt;0,1,0))</f>
        <v>0</v>
      </c>
      <c r="BO125" s="39" t="n">
        <f aca="false">IF(BO$4=0,0,IF(COUNTIFS(実績!$W$6:$W$505,BO$3,実績!$AI$6:$AI$505,"&lt;="&amp;$A125,実績!$AJ$6:$AJ$505,"&gt;"&amp;$A125,実績!$AL$6:$AL$505,"○")&gt;0,1,0))</f>
        <v>0</v>
      </c>
      <c r="BP125" s="39" t="n">
        <f aca="false">IF(BP$4=0,0,IF(COUNTIFS(実績!$W$6:$W$505,BP$3,実績!$AI$6:$AI$505,"&lt;="&amp;$A125,実績!$AJ$6:$AJ$505,"&gt;"&amp;$A125,実績!$AL$6:$AL$505,"○")&gt;0,1,0))</f>
        <v>0</v>
      </c>
      <c r="BQ125" s="39" t="n">
        <f aca="false">IF(BQ$4=0,0,IF(COUNTIFS(実績!$W$6:$W$505,BQ$3,実績!$AI$6:$AI$505,"&lt;="&amp;$A125,実績!$AJ$6:$AJ$505,"&gt;"&amp;$A125,実績!$AL$6:$AL$505,"○")&gt;0,1,0))</f>
        <v>0</v>
      </c>
      <c r="BR125" s="39" t="n">
        <f aca="false">IF(BR$4=0,0,IF(COUNTIFS(実績!$W$6:$W$505,BR$3,実績!$AI$6:$AI$505,"&lt;="&amp;$A125,実績!$AJ$6:$AJ$505,"&gt;"&amp;$A125,実績!$AL$6:$AL$505,"○")&gt;0,1,0))</f>
        <v>0</v>
      </c>
      <c r="BS125" s="39" t="n">
        <f aca="false">IF(BS$4=0,0,IF(COUNTIFS(実績!$W$6:$W$505,BS$3,実績!$AI$6:$AI$505,"&lt;="&amp;$A125,実績!$AJ$6:$AJ$505,"&gt;"&amp;$A125,実績!$AL$6:$AL$505,"○")&gt;0,1,0))</f>
        <v>0</v>
      </c>
      <c r="BT125" s="39" t="n">
        <f aca="false">IF(BT$4=0,0,IF(COUNTIFS(実績!$W$6:$W$505,BT$3,実績!$AI$6:$AI$505,"&lt;="&amp;$A125,実績!$AJ$6:$AJ$505,"&gt;"&amp;$A125,実績!$AL$6:$AL$505,"○")&gt;0,1,0))</f>
        <v>0</v>
      </c>
      <c r="BU125" s="39" t="n">
        <f aca="false">IF(BU$4=0,0,IF(COUNTIFS(実績!$W$6:$W$505,BU$3,実績!$AI$6:$AI$505,"&lt;="&amp;$A125,実績!$AJ$6:$AJ$505,"&gt;"&amp;$A125,実績!$AL$6:$AL$505,"○")&gt;0,1,0))</f>
        <v>0</v>
      </c>
      <c r="BV125" s="39" t="n">
        <f aca="false">IF(BV$4=0,0,IF(COUNTIFS(実績!$W$6:$W$505,BV$3,実績!$AI$6:$AI$505,"&lt;="&amp;$A125,実績!$AJ$6:$AJ$505,"&gt;"&amp;$A125,実績!$AL$6:$AL$505,"○")&gt;0,1,0))</f>
        <v>0</v>
      </c>
      <c r="BW125" s="39" t="n">
        <f aca="false">IF(BW$4=0,0,IF(COUNTIFS(実績!$W$6:$W$505,BW$3,実績!$AI$6:$AI$505,"&lt;="&amp;$A125,実績!$AJ$6:$AJ$505,"&gt;"&amp;$A125,実績!$AL$6:$AL$505,"○")&gt;0,1,0))</f>
        <v>0</v>
      </c>
      <c r="BX125" s="39" t="n">
        <f aca="false">IF(BX$4=0,0,IF(COUNTIFS(実績!$W$6:$W$505,BX$3,実績!$AI$6:$AI$505,"&lt;="&amp;$A125,実績!$AJ$6:$AJ$505,"&gt;"&amp;$A125,実績!$AL$6:$AL$505,"○")&gt;0,1,0))</f>
        <v>0</v>
      </c>
      <c r="BY125" s="39" t="n">
        <f aca="false">IF(BY$4=0,0,IF(COUNTIFS(実績!$W$6:$W$505,BY$3,実績!$AI$6:$AI$505,"&lt;="&amp;$A125,実績!$AJ$6:$AJ$505,"&gt;"&amp;$A125,実績!$AL$6:$AL$505,"○")&gt;0,1,0))</f>
        <v>0</v>
      </c>
      <c r="BZ125" s="39" t="n">
        <f aca="false">IF(BZ$4=0,0,IF(COUNTIFS(実績!$W$6:$W$505,BZ$3,実績!$AI$6:$AI$505,"&lt;="&amp;$A125,実績!$AJ$6:$AJ$505,"&gt;"&amp;$A125,実績!$AL$6:$AL$505,"○")&gt;0,1,0))</f>
        <v>0</v>
      </c>
      <c r="CA125" s="39" t="n">
        <f aca="false">IF(CA$4=0,0,IF(COUNTIFS(実績!$W$6:$W$505,CA$3,実績!$AI$6:$AI$505,"&lt;="&amp;$A125,実績!$AJ$6:$AJ$505,"&gt;"&amp;$A125,実績!$AL$6:$AL$505,"○")&gt;0,1,0))</f>
        <v>0</v>
      </c>
      <c r="CB125" s="39" t="n">
        <f aca="false">IF(CB$4=0,0,IF(COUNTIFS(実績!$W$6:$W$505,CB$3,実績!$AI$6:$AI$505,"&lt;="&amp;$A125,実績!$AJ$6:$AJ$505,"&gt;"&amp;$A125,実績!$AL$6:$AL$505,"○")&gt;0,1,0))</f>
        <v>0</v>
      </c>
      <c r="CC125" s="39" t="n">
        <f aca="false">IF(CC$4=0,0,IF(COUNTIFS(実績!$W$6:$W$505,CC$3,実績!$AI$6:$AI$505,"&lt;="&amp;$A125,実績!$AJ$6:$AJ$505,"&gt;"&amp;$A125,実績!$AL$6:$AL$505,"○")&gt;0,1,0))</f>
        <v>0</v>
      </c>
      <c r="CD125" s="39" t="n">
        <f aca="false">IF(CD$4=0,0,IF(COUNTIFS(実績!$W$6:$W$505,CD$3,実績!$AI$6:$AI$505,"&lt;="&amp;$A125,実績!$AJ$6:$AJ$505,"&gt;"&amp;$A125,実績!$AL$6:$AL$505,"○")&gt;0,1,0))</f>
        <v>0</v>
      </c>
      <c r="CE125" s="39" t="n">
        <f aca="false">IF(CE$4=0,0,IF(COUNTIFS(実績!$W$6:$W$505,CE$3,実績!$AI$6:$AI$505,"&lt;="&amp;$A125,実績!$AJ$6:$AJ$505,"&gt;"&amp;$A125,実績!$AL$6:$AL$505,"○")&gt;0,1,0))</f>
        <v>0</v>
      </c>
      <c r="CF125" s="39" t="n">
        <f aca="false">IF(CF$4=0,0,IF(COUNTIFS(実績!$W$6:$W$505,CF$3,実績!$AI$6:$AI$505,"&lt;="&amp;$A125,実績!$AJ$6:$AJ$505,"&gt;"&amp;$A125,実績!$AL$6:$AL$505,"○")&gt;0,1,0))</f>
        <v>0</v>
      </c>
      <c r="CG125" s="39" t="n">
        <f aca="false">IF(CG$4=0,0,IF(COUNTIFS(実績!$W$6:$W$505,CG$3,実績!$AI$6:$AI$505,"&lt;="&amp;$A125,実績!$AJ$6:$AJ$505,"&gt;"&amp;$A125,実績!$AL$6:$AL$505,"○")&gt;0,1,0))</f>
        <v>0</v>
      </c>
      <c r="CH125" s="39" t="n">
        <f aca="false">IF(CH$4=0,0,IF(COUNTIFS(実績!$W$6:$W$505,CH$3,実績!$AI$6:$AI$505,"&lt;="&amp;$A125,実績!$AJ$6:$AJ$505,"&gt;"&amp;$A125,実績!$AL$6:$AL$505,"○")&gt;0,1,0))</f>
        <v>0</v>
      </c>
      <c r="CI125" s="39" t="n">
        <f aca="false">IF(CI$4=0,0,IF(COUNTIFS(実績!$W$6:$W$505,CI$3,実績!$AI$6:$AI$505,"&lt;="&amp;$A125,実績!$AJ$6:$AJ$505,"&gt;"&amp;$A125,実績!$AL$6:$AL$505,"○")&gt;0,1,0))</f>
        <v>0</v>
      </c>
      <c r="CJ125" s="39" t="n">
        <f aca="false">IF(CJ$4=0,0,IF(COUNTIFS(実績!$W$6:$W$505,CJ$3,実績!$AI$6:$AI$505,"&lt;="&amp;$A125,実績!$AJ$6:$AJ$505,"&gt;"&amp;$A125,実績!$AL$6:$AL$505,"○")&gt;0,1,0))</f>
        <v>0</v>
      </c>
      <c r="CK125" s="39" t="n">
        <f aca="false">IF(CK$4=0,0,IF(COUNTIFS(実績!$W$6:$W$505,CK$3,実績!$AI$6:$AI$505,"&lt;="&amp;$A125,実績!$AJ$6:$AJ$505,"&gt;"&amp;$A125,実績!$AL$6:$AL$505,"○")&gt;0,1,0))</f>
        <v>0</v>
      </c>
      <c r="CL125" s="39" t="n">
        <f aca="false">IF(CL$4=0,0,IF(COUNTIFS(実績!$W$6:$W$505,CL$3,実績!$AI$6:$AI$505,"&lt;="&amp;$A125,実績!$AJ$6:$AJ$505,"&gt;"&amp;$A125,実績!$AL$6:$AL$505,"○")&gt;0,1,0))</f>
        <v>0</v>
      </c>
      <c r="CM125" s="39" t="n">
        <f aca="false">IF(CM$4=0,0,IF(COUNTIFS(実績!$W$6:$W$505,CM$3,実績!$AI$6:$AI$505,"&lt;="&amp;$A125,実績!$AJ$6:$AJ$505,"&gt;"&amp;$A125,実績!$AL$6:$AL$505,"○")&gt;0,1,0))</f>
        <v>0</v>
      </c>
      <c r="CN125" s="39" t="n">
        <f aca="false">IF(CN$4=0,0,IF(COUNTIFS(実績!$W$6:$W$505,CN$3,実績!$AI$6:$AI$505,"&lt;="&amp;$A125,実績!$AJ$6:$AJ$505,"&gt;"&amp;$A125,実績!$AL$6:$AL$505,"○")&gt;0,1,0))</f>
        <v>0</v>
      </c>
      <c r="CO125" s="39" t="n">
        <f aca="false">IF(CO$4=0,0,IF(COUNTIFS(実績!$W$6:$W$505,CO$3,実績!$AI$6:$AI$505,"&lt;="&amp;$A125,実績!$AJ$6:$AJ$505,"&gt;"&amp;$A125,実績!$AL$6:$AL$505,"○")&gt;0,1,0))</f>
        <v>0</v>
      </c>
      <c r="CP125" s="39" t="n">
        <f aca="false">IF(CP$4=0,0,IF(COUNTIFS(実績!$W$6:$W$505,CP$3,実績!$AI$6:$AI$505,"&lt;="&amp;$A125,実績!$AJ$6:$AJ$505,"&gt;"&amp;$A125,実績!$AL$6:$AL$505,"○")&gt;0,1,0))</f>
        <v>0</v>
      </c>
      <c r="CQ125" s="39" t="n">
        <f aca="false">IF(CQ$4=0,0,IF(COUNTIFS(実績!$W$6:$W$505,CQ$3,実績!$AI$6:$AI$505,"&lt;="&amp;$A125,実績!$AJ$6:$AJ$505,"&gt;"&amp;$A125,実績!$AL$6:$AL$505,"○")&gt;0,1,0))</f>
        <v>0</v>
      </c>
      <c r="CR125" s="39" t="n">
        <f aca="false">IF(CR$4=0,0,IF(COUNTIFS(実績!$W$6:$W$505,CR$3,実績!$AI$6:$AI$505,"&lt;="&amp;$A125,実績!$AJ$6:$AJ$505,"&gt;"&amp;$A125,実績!$AL$6:$AL$505,"○")&gt;0,1,0))</f>
        <v>0</v>
      </c>
      <c r="CS125" s="39" t="n">
        <f aca="false">IF(CS$4=0,0,IF(COUNTIFS(実績!$W$6:$W$505,CS$3,実績!$AI$6:$AI$505,"&lt;="&amp;$A125,実績!$AJ$6:$AJ$505,"&gt;"&amp;$A125,実績!$AL$6:$AL$505,"○")&gt;0,1,0))</f>
        <v>0</v>
      </c>
      <c r="CT125" s="39" t="n">
        <f aca="false">IF(CT$4=0,0,IF(COUNTIFS(実績!$W$6:$W$505,CT$3,実績!$AI$6:$AI$505,"&lt;="&amp;$A125,実績!$AJ$6:$AJ$505,"&gt;"&amp;$A125,実績!$AL$6:$AL$505,"○")&gt;0,1,0))</f>
        <v>0</v>
      </c>
      <c r="CU125" s="39" t="n">
        <f aca="false">IF(CU$4=0,0,IF(COUNTIFS(実績!$W$6:$W$505,CU$3,実績!$AI$6:$AI$505,"&lt;="&amp;$A125,実績!$AJ$6:$AJ$505,"&gt;"&amp;$A125,実績!$AL$6:$AL$505,"○")&gt;0,1,0))</f>
        <v>0</v>
      </c>
      <c r="CV125" s="39" t="n">
        <f aca="false">IF(CV$4=0,0,IF(COUNTIFS(実績!$W$6:$W$505,CV$3,実績!$AI$6:$AI$505,"&lt;="&amp;$A125,実績!$AJ$6:$AJ$505,"&gt;"&amp;$A125,実績!$AL$6:$AL$505,"○")&gt;0,1,0))</f>
        <v>0</v>
      </c>
      <c r="CW125" s="39" t="n">
        <f aca="false">IF(CW$4=0,0,IF(COUNTIFS(実績!$W$6:$W$505,CW$3,実績!$AI$6:$AI$505,"&lt;="&amp;$A125,実績!$AJ$6:$AJ$505,"&gt;"&amp;$A125,実績!$AL$6:$AL$505,"○")&gt;0,1,0))</f>
        <v>0</v>
      </c>
      <c r="CX125" s="39" t="n">
        <f aca="false">IF(CX$4=0,0,IF(COUNTIFS(実績!$W$6:$W$505,CX$3,実績!$AI$6:$AI$505,"&lt;="&amp;$A125,実績!$AJ$6:$AJ$505,"&gt;"&amp;$A125,実績!$AL$6:$AL$505,"○")&gt;0,1,0))</f>
        <v>0</v>
      </c>
      <c r="CY125" s="39" t="n">
        <f aca="false">IF(CY$4=0,0,IF(COUNTIFS(実績!$W$6:$W$505,CY$3,実績!$AI$6:$AI$505,"&lt;="&amp;$A125,実績!$AJ$6:$AJ$505,"&gt;"&amp;$A125,実績!$AL$6:$AL$505,"○")&gt;0,1,0))</f>
        <v>0</v>
      </c>
      <c r="CZ125" s="39" t="n">
        <f aca="false">IF(CZ$4=0,0,IF(COUNTIFS(実績!$W$6:$W$505,CZ$3,実績!$AI$6:$AI$505,"&lt;="&amp;$A125,実績!$AJ$6:$AJ$505,"&gt;"&amp;$A125,実績!$AL$6:$AL$505,"○")&gt;0,1,0))</f>
        <v>0</v>
      </c>
      <c r="DA125" s="39" t="n">
        <f aca="false">IF(DA$4=0,0,IF(COUNTIFS(実績!$W$6:$W$505,DA$3,実績!$AI$6:$AI$505,"&lt;="&amp;$A125,実績!$AJ$6:$AJ$505,"&gt;"&amp;$A125,実績!$AL$6:$AL$505,"○")&gt;0,1,0))</f>
        <v>0</v>
      </c>
      <c r="DB125" s="39" t="n">
        <f aca="false">IF(DB$4=0,0,IF(COUNTIFS(実績!$W$6:$W$505,DB$3,実績!$AI$6:$AI$505,"&lt;="&amp;$A125,実績!$AJ$6:$AJ$505,"&gt;"&amp;$A125,実績!$AL$6:$AL$505,"○")&gt;0,1,0))</f>
        <v>0</v>
      </c>
      <c r="DC125" s="39" t="n">
        <f aca="false">IF(DC$4=0,0,IF(COUNTIFS(実績!$W$6:$W$505,DC$3,実績!$AI$6:$AI$505,"&lt;="&amp;$A125,実績!$AJ$6:$AJ$505,"&gt;"&amp;$A125,実績!$AL$6:$AL$505,"○")&gt;0,1,0))</f>
        <v>0</v>
      </c>
      <c r="DD125" s="39" t="n">
        <f aca="false">IF(DD$4=0,0,IF(COUNTIFS(実績!$W$6:$W$505,DD$3,実績!$AI$6:$AI$505,"&lt;="&amp;$A125,実績!$AJ$6:$AJ$505,"&gt;"&amp;$A125,実績!$AL$6:$AL$505,"○")&gt;0,1,0))</f>
        <v>0</v>
      </c>
      <c r="DE125" s="39" t="n">
        <f aca="false">IF(DE$4=0,0,IF(COUNTIFS(実績!$W$6:$W$505,DE$3,実績!$AI$6:$AI$505,"&lt;="&amp;$A125,実績!$AJ$6:$AJ$505,"&gt;"&amp;$A125,実績!$AL$6:$AL$505,"○")&gt;0,1,0))</f>
        <v>0</v>
      </c>
      <c r="DF125" s="39" t="n">
        <f aca="false">IF(DF$4=0,0,IF(COUNTIFS(実績!$W$6:$W$505,DF$3,実績!$AI$6:$AI$505,"&lt;="&amp;$A125,実績!$AJ$6:$AJ$505,"&gt;"&amp;$A125,実績!$AL$6:$AL$505,"○")&gt;0,1,0))</f>
        <v>0</v>
      </c>
      <c r="DG125" s="39" t="n">
        <f aca="false">IF(DG$4=0,0,IF(COUNTIFS(実績!$W$6:$W$505,DG$3,実績!$AI$6:$AI$505,"&lt;="&amp;$A125,実績!$AJ$6:$AJ$505,"&gt;"&amp;$A125,実績!$AL$6:$AL$505,"○")&gt;0,1,0))</f>
        <v>0</v>
      </c>
      <c r="DH125" s="39" t="n">
        <f aca="false">IF(DH$4=0,0,IF(COUNTIFS(実績!$W$6:$W$505,DH$3,実績!$AI$6:$AI$505,"&lt;="&amp;$A125,実績!$AJ$6:$AJ$505,"&gt;"&amp;$A125,実績!$AL$6:$AL$505,"○")&gt;0,1,0))</f>
        <v>0</v>
      </c>
      <c r="DI125" s="39" t="n">
        <f aca="false">IF(DI$4=0,0,IF(COUNTIFS(実績!$W$6:$W$505,DI$3,実績!$AI$6:$AI$505,"&lt;="&amp;$A125,実績!$AJ$6:$AJ$505,"&gt;"&amp;$A125,実績!$AL$6:$AL$505,"○")&gt;0,1,0))</f>
        <v>0</v>
      </c>
      <c r="DJ125" s="39" t="n">
        <f aca="false">IF(DJ$4=0,0,IF(COUNTIFS(実績!$W$6:$W$505,DJ$3,実績!$AI$6:$AI$505,"&lt;="&amp;$A125,実績!$AJ$6:$AJ$505,"&gt;"&amp;$A125,実績!$AL$6:$AL$505,"○")&gt;0,1,0))</f>
        <v>0</v>
      </c>
      <c r="DK125" s="39" t="n">
        <f aca="false">IF(DK$4=0,0,IF(COUNTIFS(実績!$W$6:$W$505,DK$3,実績!$AI$6:$AI$505,"&lt;="&amp;$A125,実績!$AJ$6:$AJ$505,"&gt;"&amp;$A125,実績!$AL$6:$AL$505,"○")&gt;0,1,0))</f>
        <v>0</v>
      </c>
      <c r="DL125" s="39" t="n">
        <f aca="false">IF(DL$4=0,0,IF(COUNTIFS(実績!$W$6:$W$505,DL$3,実績!$AI$6:$AI$505,"&lt;="&amp;$A125,実績!$AJ$6:$AJ$505,"&gt;"&amp;$A125,実績!$AL$6:$AL$505,"○")&gt;0,1,0))</f>
        <v>0</v>
      </c>
      <c r="DM125" s="39" t="n">
        <f aca="false">IF(DM$4=0,0,IF(COUNTIFS(実績!$W$6:$W$505,DM$3,実績!$AI$6:$AI$505,"&lt;="&amp;$A125,実績!$AJ$6:$AJ$505,"&gt;"&amp;$A125,実績!$AL$6:$AL$505,"○")&gt;0,1,0))</f>
        <v>0</v>
      </c>
      <c r="DN125" s="39" t="n">
        <f aca="false">IF(DN$4=0,0,IF(COUNTIFS(実績!$W$6:$W$505,DN$3,実績!$AI$6:$AI$505,"&lt;="&amp;$A125,実績!$AJ$6:$AJ$505,"&gt;"&amp;$A125,実績!$AL$6:$AL$505,"○")&gt;0,1,0))</f>
        <v>0</v>
      </c>
      <c r="DO125" s="39" t="n">
        <f aca="false">IF(DO$4=0,0,IF(COUNTIFS(実績!$W$6:$W$505,DO$3,実績!$AI$6:$AI$505,"&lt;="&amp;$A125,実績!$AJ$6:$AJ$505,"&gt;"&amp;$A125,実績!$AL$6:$AL$505,"○")&gt;0,1,0))</f>
        <v>0</v>
      </c>
      <c r="DP125" s="39" t="n">
        <f aca="false">IF(DP$4=0,0,IF(COUNTIFS(実績!$W$6:$W$505,DP$3,実績!$AI$6:$AI$505,"&lt;="&amp;$A125,実績!$AJ$6:$AJ$505,"&gt;"&amp;$A125,実績!$AL$6:$AL$505,"○")&gt;0,1,0))</f>
        <v>0</v>
      </c>
      <c r="DQ125" s="39" t="n">
        <f aca="false">IF(DQ$4=0,0,IF(COUNTIFS(実績!$W$6:$W$505,DQ$3,実績!$AI$6:$AI$505,"&lt;="&amp;$A125,実績!$AJ$6:$AJ$505,"&gt;"&amp;$A125,実績!$AL$6:$AL$505,"○")&gt;0,1,0))</f>
        <v>0</v>
      </c>
      <c r="DR125" s="39" t="n">
        <f aca="false">IF(DR$4=0,0,IF(COUNTIFS(実績!$W$6:$W$505,DR$3,実績!$AI$6:$AI$505,"&lt;="&amp;$A125,実績!$AJ$6:$AJ$505,"&gt;"&amp;$A125,実績!$AL$6:$AL$505,"○")&gt;0,1,0))</f>
        <v>0</v>
      </c>
      <c r="DS125" s="39" t="n">
        <f aca="false">SUM(C125:DR125)</f>
        <v>0</v>
      </c>
    </row>
    <row r="126" customFormat="false" ht="15" hidden="false" customHeight="false" outlineLevel="0" collapsed="false">
      <c r="A126" s="0" t="n">
        <v>600</v>
      </c>
      <c r="B126" s="38" t="n">
        <f aca="false">A126/1440</f>
        <v>0.416666666666667</v>
      </c>
      <c r="C126" s="39" t="n">
        <f aca="false">IF(C$4=0,0,IF(COUNTIFS(実績!$W$6:$W$505,C$3,実績!$AI$6:$AI$505,"&lt;="&amp;$A126,実績!$AJ$6:$AJ$505,"&gt;"&amp;$A126,実績!$AL$6:$AL$505,"○")&gt;0,1,0))</f>
        <v>0</v>
      </c>
      <c r="D126" s="39" t="n">
        <f aca="false">IF(D$4=0,0,IF(COUNTIFS(実績!$W$6:$W$505,D$3,実績!$AI$6:$AI$505,"&lt;="&amp;$A126,実績!$AJ$6:$AJ$505,"&gt;"&amp;$A126,実績!$AL$6:$AL$505,"○")&gt;0,1,0))</f>
        <v>0</v>
      </c>
      <c r="E126" s="39" t="n">
        <f aca="false">IF(E$4=0,0,IF(COUNTIFS(実績!$W$6:$W$505,E$3,実績!$AI$6:$AI$505,"&lt;="&amp;$A126,実績!$AJ$6:$AJ$505,"&gt;"&amp;$A126,実績!$AL$6:$AL$505,"○")&gt;0,1,0))</f>
        <v>0</v>
      </c>
      <c r="F126" s="39" t="n">
        <f aca="false">IF(F$4=0,0,IF(COUNTIFS(実績!$W$6:$W$505,F$3,実績!$AI$6:$AI$505,"&lt;="&amp;$A126,実績!$AJ$6:$AJ$505,"&gt;"&amp;$A126,実績!$AL$6:$AL$505,"○")&gt;0,1,0))</f>
        <v>0</v>
      </c>
      <c r="G126" s="39" t="n">
        <f aca="false">IF(G$4=0,0,IF(COUNTIFS(実績!$W$6:$W$505,G$3,実績!$AI$6:$AI$505,"&lt;="&amp;$A126,実績!$AJ$6:$AJ$505,"&gt;"&amp;$A126,実績!$AL$6:$AL$505,"○")&gt;0,1,0))</f>
        <v>0</v>
      </c>
      <c r="H126" s="39" t="n">
        <f aca="false">IF(H$4=0,0,IF(COUNTIFS(実績!$W$6:$W$505,H$3,実績!$AI$6:$AI$505,"&lt;="&amp;$A126,実績!$AJ$6:$AJ$505,"&gt;"&amp;$A126,実績!$AL$6:$AL$505,"○")&gt;0,1,0))</f>
        <v>0</v>
      </c>
      <c r="I126" s="39" t="n">
        <f aca="false">IF(I$4=0,0,IF(COUNTIFS(実績!$W$6:$W$505,I$3,実績!$AI$6:$AI$505,"&lt;="&amp;$A126,実績!$AJ$6:$AJ$505,"&gt;"&amp;$A126,実績!$AL$6:$AL$505,"○")&gt;0,1,0))</f>
        <v>0</v>
      </c>
      <c r="J126" s="39" t="n">
        <f aca="false">IF(J$4=0,0,IF(COUNTIFS(実績!$W$6:$W$505,J$3,実績!$AI$6:$AI$505,"&lt;="&amp;$A126,実績!$AJ$6:$AJ$505,"&gt;"&amp;$A126,実績!$AL$6:$AL$505,"○")&gt;0,1,0))</f>
        <v>0</v>
      </c>
      <c r="K126" s="39" t="n">
        <f aca="false">IF(K$4=0,0,IF(COUNTIFS(実績!$W$6:$W$505,K$3,実績!$AI$6:$AI$505,"&lt;="&amp;$A126,実績!$AJ$6:$AJ$505,"&gt;"&amp;$A126,実績!$AL$6:$AL$505,"○")&gt;0,1,0))</f>
        <v>0</v>
      </c>
      <c r="L126" s="39" t="n">
        <f aca="false">IF(L$4=0,0,IF(COUNTIFS(実績!$W$6:$W$505,L$3,実績!$AI$6:$AI$505,"&lt;="&amp;$A126,実績!$AJ$6:$AJ$505,"&gt;"&amp;$A126,実績!$AL$6:$AL$505,"○")&gt;0,1,0))</f>
        <v>0</v>
      </c>
      <c r="M126" s="39" t="n">
        <f aca="false">IF(M$4=0,0,IF(COUNTIFS(実績!$W$6:$W$505,M$3,実績!$AI$6:$AI$505,"&lt;="&amp;$A126,実績!$AJ$6:$AJ$505,"&gt;"&amp;$A126,実績!$AL$6:$AL$505,"○")&gt;0,1,0))</f>
        <v>0</v>
      </c>
      <c r="N126" s="39" t="n">
        <f aca="false">IF(N$4=0,0,IF(COUNTIFS(実績!$W$6:$W$505,N$3,実績!$AI$6:$AI$505,"&lt;="&amp;$A126,実績!$AJ$6:$AJ$505,"&gt;"&amp;$A126,実績!$AL$6:$AL$505,"○")&gt;0,1,0))</f>
        <v>0</v>
      </c>
      <c r="O126" s="39" t="n">
        <f aca="false">IF(O$4=0,0,IF(COUNTIFS(実績!$W$6:$W$505,O$3,実績!$AI$6:$AI$505,"&lt;="&amp;$A126,実績!$AJ$6:$AJ$505,"&gt;"&amp;$A126,実績!$AL$6:$AL$505,"○")&gt;0,1,0))</f>
        <v>0</v>
      </c>
      <c r="P126" s="39" t="n">
        <f aca="false">IF(P$4=0,0,IF(COUNTIFS(実績!$W$6:$W$505,P$3,実績!$AI$6:$AI$505,"&lt;="&amp;$A126,実績!$AJ$6:$AJ$505,"&gt;"&amp;$A126,実績!$AL$6:$AL$505,"○")&gt;0,1,0))</f>
        <v>0</v>
      </c>
      <c r="Q126" s="39" t="n">
        <f aca="false">IF(Q$4=0,0,IF(COUNTIFS(実績!$W$6:$W$505,Q$3,実績!$AI$6:$AI$505,"&lt;="&amp;$A126,実績!$AJ$6:$AJ$505,"&gt;"&amp;$A126,実績!$AL$6:$AL$505,"○")&gt;0,1,0))</f>
        <v>0</v>
      </c>
      <c r="R126" s="39" t="n">
        <f aca="false">IF(R$4=0,0,IF(COUNTIFS(実績!$W$6:$W$505,R$3,実績!$AI$6:$AI$505,"&lt;="&amp;$A126,実績!$AJ$6:$AJ$505,"&gt;"&amp;$A126,実績!$AL$6:$AL$505,"○")&gt;0,1,0))</f>
        <v>0</v>
      </c>
      <c r="S126" s="39" t="n">
        <f aca="false">IF(S$4=0,0,IF(COUNTIFS(実績!$W$6:$W$505,S$3,実績!$AI$6:$AI$505,"&lt;="&amp;$A126,実績!$AJ$6:$AJ$505,"&gt;"&amp;$A126,実績!$AL$6:$AL$505,"○")&gt;0,1,0))</f>
        <v>0</v>
      </c>
      <c r="T126" s="39" t="n">
        <f aca="false">IF(T$4=0,0,IF(COUNTIFS(実績!$W$6:$W$505,T$3,実績!$AI$6:$AI$505,"&lt;="&amp;$A126,実績!$AJ$6:$AJ$505,"&gt;"&amp;$A126,実績!$AL$6:$AL$505,"○")&gt;0,1,0))</f>
        <v>0</v>
      </c>
      <c r="U126" s="39" t="n">
        <f aca="false">IF(U$4=0,0,IF(COUNTIFS(実績!$W$6:$W$505,U$3,実績!$AI$6:$AI$505,"&lt;="&amp;$A126,実績!$AJ$6:$AJ$505,"&gt;"&amp;$A126,実績!$AL$6:$AL$505,"○")&gt;0,1,0))</f>
        <v>0</v>
      </c>
      <c r="V126" s="39" t="n">
        <f aca="false">IF(V$4=0,0,IF(COUNTIFS(実績!$W$6:$W$505,V$3,実績!$AI$6:$AI$505,"&lt;="&amp;$A126,実績!$AJ$6:$AJ$505,"&gt;"&amp;$A126,実績!$AL$6:$AL$505,"○")&gt;0,1,0))</f>
        <v>0</v>
      </c>
      <c r="W126" s="39" t="n">
        <f aca="false">IF(W$4=0,0,IF(COUNTIFS(実績!$W$6:$W$505,W$3,実績!$AI$6:$AI$505,"&lt;="&amp;$A126,実績!$AJ$6:$AJ$505,"&gt;"&amp;$A126,実績!$AL$6:$AL$505,"○")&gt;0,1,0))</f>
        <v>0</v>
      </c>
      <c r="X126" s="39" t="n">
        <f aca="false">IF(X$4=0,0,IF(COUNTIFS(実績!$W$6:$W$505,X$3,実績!$AI$6:$AI$505,"&lt;="&amp;$A126,実績!$AJ$6:$AJ$505,"&gt;"&amp;$A126,実績!$AL$6:$AL$505,"○")&gt;0,1,0))</f>
        <v>0</v>
      </c>
      <c r="Y126" s="39" t="n">
        <f aca="false">IF(Y$4=0,0,IF(COUNTIFS(実績!$W$6:$W$505,Y$3,実績!$AI$6:$AI$505,"&lt;="&amp;$A126,実績!$AJ$6:$AJ$505,"&gt;"&amp;$A126,実績!$AL$6:$AL$505,"○")&gt;0,1,0))</f>
        <v>0</v>
      </c>
      <c r="Z126" s="39" t="n">
        <f aca="false">IF(Z$4=0,0,IF(COUNTIFS(実績!$W$6:$W$505,Z$3,実績!$AI$6:$AI$505,"&lt;="&amp;$A126,実績!$AJ$6:$AJ$505,"&gt;"&amp;$A126,実績!$AL$6:$AL$505,"○")&gt;0,1,0))</f>
        <v>0</v>
      </c>
      <c r="AA126" s="39" t="n">
        <f aca="false">IF(AA$4=0,0,IF(COUNTIFS(実績!$W$6:$W$505,AA$3,実績!$AI$6:$AI$505,"&lt;="&amp;$A126,実績!$AJ$6:$AJ$505,"&gt;"&amp;$A126,実績!$AL$6:$AL$505,"○")&gt;0,1,0))</f>
        <v>0</v>
      </c>
      <c r="AB126" s="39" t="n">
        <f aca="false">IF(AB$4=0,0,IF(COUNTIFS(実績!$W$6:$W$505,AB$3,実績!$AI$6:$AI$505,"&lt;="&amp;$A126,実績!$AJ$6:$AJ$505,"&gt;"&amp;$A126,実績!$AL$6:$AL$505,"○")&gt;0,1,0))</f>
        <v>0</v>
      </c>
      <c r="AC126" s="39" t="n">
        <f aca="false">IF(AC$4=0,0,IF(COUNTIFS(実績!$W$6:$W$505,AC$3,実績!$AI$6:$AI$505,"&lt;="&amp;$A126,実績!$AJ$6:$AJ$505,"&gt;"&amp;$A126,実績!$AL$6:$AL$505,"○")&gt;0,1,0))</f>
        <v>0</v>
      </c>
      <c r="AD126" s="39" t="n">
        <f aca="false">IF(AD$4=0,0,IF(COUNTIFS(実績!$W$6:$W$505,AD$3,実績!$AI$6:$AI$505,"&lt;="&amp;$A126,実績!$AJ$6:$AJ$505,"&gt;"&amp;$A126,実績!$AL$6:$AL$505,"○")&gt;0,1,0))</f>
        <v>0</v>
      </c>
      <c r="AE126" s="39" t="n">
        <f aca="false">IF(AE$4=0,0,IF(COUNTIFS(実績!$W$6:$W$505,AE$3,実績!$AI$6:$AI$505,"&lt;="&amp;$A126,実績!$AJ$6:$AJ$505,"&gt;"&amp;$A126,実績!$AL$6:$AL$505,"○")&gt;0,1,0))</f>
        <v>0</v>
      </c>
      <c r="AF126" s="39" t="n">
        <f aca="false">IF(AF$4=0,0,IF(COUNTIFS(実績!$W$6:$W$505,AF$3,実績!$AI$6:$AI$505,"&lt;="&amp;$A126,実績!$AJ$6:$AJ$505,"&gt;"&amp;$A126,実績!$AL$6:$AL$505,"○")&gt;0,1,0))</f>
        <v>0</v>
      </c>
      <c r="AG126" s="39" t="n">
        <f aca="false">IF(AG$4=0,0,IF(COUNTIFS(実績!$W$6:$W$505,AG$3,実績!$AI$6:$AI$505,"&lt;="&amp;$A126,実績!$AJ$6:$AJ$505,"&gt;"&amp;$A126,実績!$AL$6:$AL$505,"○")&gt;0,1,0))</f>
        <v>0</v>
      </c>
      <c r="AH126" s="39" t="n">
        <f aca="false">IF(AH$4=0,0,IF(COUNTIFS(実績!$W$6:$W$505,AH$3,実績!$AI$6:$AI$505,"&lt;="&amp;$A126,実績!$AJ$6:$AJ$505,"&gt;"&amp;$A126,実績!$AL$6:$AL$505,"○")&gt;0,1,0))</f>
        <v>0</v>
      </c>
      <c r="AI126" s="39" t="n">
        <f aca="false">IF(AI$4=0,0,IF(COUNTIFS(実績!$W$6:$W$505,AI$3,実績!$AI$6:$AI$505,"&lt;="&amp;$A126,実績!$AJ$6:$AJ$505,"&gt;"&amp;$A126,実績!$AL$6:$AL$505,"○")&gt;0,1,0))</f>
        <v>0</v>
      </c>
      <c r="AJ126" s="39" t="n">
        <f aca="false">IF(AJ$4=0,0,IF(COUNTIFS(実績!$W$6:$W$505,AJ$3,実績!$AI$6:$AI$505,"&lt;="&amp;$A126,実績!$AJ$6:$AJ$505,"&gt;"&amp;$A126,実績!$AL$6:$AL$505,"○")&gt;0,1,0))</f>
        <v>0</v>
      </c>
      <c r="AK126" s="39" t="n">
        <f aca="false">IF(AK$4=0,0,IF(COUNTIFS(実績!$W$6:$W$505,AK$3,実績!$AI$6:$AI$505,"&lt;="&amp;$A126,実績!$AJ$6:$AJ$505,"&gt;"&amp;$A126,実績!$AL$6:$AL$505,"○")&gt;0,1,0))</f>
        <v>0</v>
      </c>
      <c r="AL126" s="39" t="n">
        <f aca="false">IF(AL$4=0,0,IF(COUNTIFS(実績!$W$6:$W$505,AL$3,実績!$AI$6:$AI$505,"&lt;="&amp;$A126,実績!$AJ$6:$AJ$505,"&gt;"&amp;$A126,実績!$AL$6:$AL$505,"○")&gt;0,1,0))</f>
        <v>0</v>
      </c>
      <c r="AM126" s="39" t="n">
        <f aca="false">IF(AM$4=0,0,IF(COUNTIFS(実績!$W$6:$W$505,AM$3,実績!$AI$6:$AI$505,"&lt;="&amp;$A126,実績!$AJ$6:$AJ$505,"&gt;"&amp;$A126,実績!$AL$6:$AL$505,"○")&gt;0,1,0))</f>
        <v>0</v>
      </c>
      <c r="AN126" s="39" t="n">
        <f aca="false">IF(AN$4=0,0,IF(COUNTIFS(実績!$W$6:$W$505,AN$3,実績!$AI$6:$AI$505,"&lt;="&amp;$A126,実績!$AJ$6:$AJ$505,"&gt;"&amp;$A126,実績!$AL$6:$AL$505,"○")&gt;0,1,0))</f>
        <v>0</v>
      </c>
      <c r="AO126" s="39" t="n">
        <f aca="false">IF(AO$4=0,0,IF(COUNTIFS(実績!$W$6:$W$505,AO$3,実績!$AI$6:$AI$505,"&lt;="&amp;$A126,実績!$AJ$6:$AJ$505,"&gt;"&amp;$A126,実績!$AL$6:$AL$505,"○")&gt;0,1,0))</f>
        <v>0</v>
      </c>
      <c r="AP126" s="39" t="n">
        <f aca="false">IF(AP$4=0,0,IF(COUNTIFS(実績!$W$6:$W$505,AP$3,実績!$AI$6:$AI$505,"&lt;="&amp;$A126,実績!$AJ$6:$AJ$505,"&gt;"&amp;$A126,実績!$AL$6:$AL$505,"○")&gt;0,1,0))</f>
        <v>0</v>
      </c>
      <c r="AQ126" s="39" t="n">
        <f aca="false">IF(AQ$4=0,0,IF(COUNTIFS(実績!$W$6:$W$505,AQ$3,実績!$AI$6:$AI$505,"&lt;="&amp;$A126,実績!$AJ$6:$AJ$505,"&gt;"&amp;$A126,実績!$AL$6:$AL$505,"○")&gt;0,1,0))</f>
        <v>0</v>
      </c>
      <c r="AR126" s="39" t="n">
        <f aca="false">IF(AR$4=0,0,IF(COUNTIFS(実績!$W$6:$W$505,AR$3,実績!$AI$6:$AI$505,"&lt;="&amp;$A126,実績!$AJ$6:$AJ$505,"&gt;"&amp;$A126,実績!$AL$6:$AL$505,"○")&gt;0,1,0))</f>
        <v>0</v>
      </c>
      <c r="AS126" s="39" t="n">
        <f aca="false">IF(AS$4=0,0,IF(COUNTIFS(実績!$W$6:$W$505,AS$3,実績!$AI$6:$AI$505,"&lt;="&amp;$A126,実績!$AJ$6:$AJ$505,"&gt;"&amp;$A126,実績!$AL$6:$AL$505,"○")&gt;0,1,0))</f>
        <v>0</v>
      </c>
      <c r="AT126" s="39" t="n">
        <f aca="false">IF(AT$4=0,0,IF(COUNTIFS(実績!$W$6:$W$505,AT$3,実績!$AI$6:$AI$505,"&lt;="&amp;$A126,実績!$AJ$6:$AJ$505,"&gt;"&amp;$A126,実績!$AL$6:$AL$505,"○")&gt;0,1,0))</f>
        <v>0</v>
      </c>
      <c r="AU126" s="39" t="n">
        <f aca="false">IF(AU$4=0,0,IF(COUNTIFS(実績!$W$6:$W$505,AU$3,実績!$AI$6:$AI$505,"&lt;="&amp;$A126,実績!$AJ$6:$AJ$505,"&gt;"&amp;$A126,実績!$AL$6:$AL$505,"○")&gt;0,1,0))</f>
        <v>0</v>
      </c>
      <c r="AV126" s="39" t="n">
        <f aca="false">IF(AV$4=0,0,IF(COUNTIFS(実績!$W$6:$W$505,AV$3,実績!$AI$6:$AI$505,"&lt;="&amp;$A126,実績!$AJ$6:$AJ$505,"&gt;"&amp;$A126,実績!$AL$6:$AL$505,"○")&gt;0,1,0))</f>
        <v>0</v>
      </c>
      <c r="AW126" s="39" t="n">
        <f aca="false">IF(AW$4=0,0,IF(COUNTIFS(実績!$W$6:$W$505,AW$3,実績!$AI$6:$AI$505,"&lt;="&amp;$A126,実績!$AJ$6:$AJ$505,"&gt;"&amp;$A126,実績!$AL$6:$AL$505,"○")&gt;0,1,0))</f>
        <v>0</v>
      </c>
      <c r="AX126" s="39" t="n">
        <f aca="false">IF(AX$4=0,0,IF(COUNTIFS(実績!$W$6:$W$505,AX$3,実績!$AI$6:$AI$505,"&lt;="&amp;$A126,実績!$AJ$6:$AJ$505,"&gt;"&amp;$A126,実績!$AL$6:$AL$505,"○")&gt;0,1,0))</f>
        <v>0</v>
      </c>
      <c r="AY126" s="39" t="n">
        <f aca="false">IF(AY$4=0,0,IF(COUNTIFS(実績!$W$6:$W$505,AY$3,実績!$AI$6:$AI$505,"&lt;="&amp;$A126,実績!$AJ$6:$AJ$505,"&gt;"&amp;$A126,実績!$AL$6:$AL$505,"○")&gt;0,1,0))</f>
        <v>0</v>
      </c>
      <c r="AZ126" s="39" t="n">
        <f aca="false">IF(AZ$4=0,0,IF(COUNTIFS(実績!$W$6:$W$505,AZ$3,実績!$AI$6:$AI$505,"&lt;="&amp;$A126,実績!$AJ$6:$AJ$505,"&gt;"&amp;$A126,実績!$AL$6:$AL$505,"○")&gt;0,1,0))</f>
        <v>0</v>
      </c>
      <c r="BA126" s="39" t="n">
        <f aca="false">IF(BA$4=0,0,IF(COUNTIFS(実績!$W$6:$W$505,BA$3,実績!$AI$6:$AI$505,"&lt;="&amp;$A126,実績!$AJ$6:$AJ$505,"&gt;"&amp;$A126,実績!$AL$6:$AL$505,"○")&gt;0,1,0))</f>
        <v>0</v>
      </c>
      <c r="BB126" s="39" t="n">
        <f aca="false">IF(BB$4=0,0,IF(COUNTIFS(実績!$W$6:$W$505,BB$3,実績!$AI$6:$AI$505,"&lt;="&amp;$A126,実績!$AJ$6:$AJ$505,"&gt;"&amp;$A126,実績!$AL$6:$AL$505,"○")&gt;0,1,0))</f>
        <v>0</v>
      </c>
      <c r="BC126" s="39" t="n">
        <f aca="false">IF(BC$4=0,0,IF(COUNTIFS(実績!$W$6:$W$505,BC$3,実績!$AI$6:$AI$505,"&lt;="&amp;$A126,実績!$AJ$6:$AJ$505,"&gt;"&amp;$A126,実績!$AL$6:$AL$505,"○")&gt;0,1,0))</f>
        <v>0</v>
      </c>
      <c r="BD126" s="39" t="n">
        <f aca="false">IF(BD$4=0,0,IF(COUNTIFS(実績!$W$6:$W$505,BD$3,実績!$AI$6:$AI$505,"&lt;="&amp;$A126,実績!$AJ$6:$AJ$505,"&gt;"&amp;$A126,実績!$AL$6:$AL$505,"○")&gt;0,1,0))</f>
        <v>0</v>
      </c>
      <c r="BE126" s="39" t="n">
        <f aca="false">IF(BE$4=0,0,IF(COUNTIFS(実績!$W$6:$W$505,BE$3,実績!$AI$6:$AI$505,"&lt;="&amp;$A126,実績!$AJ$6:$AJ$505,"&gt;"&amp;$A126,実績!$AL$6:$AL$505,"○")&gt;0,1,0))</f>
        <v>0</v>
      </c>
      <c r="BF126" s="39" t="n">
        <f aca="false">IF(BF$4=0,0,IF(COUNTIFS(実績!$W$6:$W$505,BF$3,実績!$AI$6:$AI$505,"&lt;="&amp;$A126,実績!$AJ$6:$AJ$505,"&gt;"&amp;$A126,実績!$AL$6:$AL$505,"○")&gt;0,1,0))</f>
        <v>0</v>
      </c>
      <c r="BG126" s="39" t="n">
        <f aca="false">IF(BG$4=0,0,IF(COUNTIFS(実績!$W$6:$W$505,BG$3,実績!$AI$6:$AI$505,"&lt;="&amp;$A126,実績!$AJ$6:$AJ$505,"&gt;"&amp;$A126,実績!$AL$6:$AL$505,"○")&gt;0,1,0))</f>
        <v>0</v>
      </c>
      <c r="BH126" s="39" t="n">
        <f aca="false">IF(BH$4=0,0,IF(COUNTIFS(実績!$W$6:$W$505,BH$3,実績!$AI$6:$AI$505,"&lt;="&amp;$A126,実績!$AJ$6:$AJ$505,"&gt;"&amp;$A126,実績!$AL$6:$AL$505,"○")&gt;0,1,0))</f>
        <v>0</v>
      </c>
      <c r="BI126" s="39" t="n">
        <f aca="false">IF(BI$4=0,0,IF(COUNTIFS(実績!$W$6:$W$505,BI$3,実績!$AI$6:$AI$505,"&lt;="&amp;$A126,実績!$AJ$6:$AJ$505,"&gt;"&amp;$A126,実績!$AL$6:$AL$505,"○")&gt;0,1,0))</f>
        <v>0</v>
      </c>
      <c r="BJ126" s="39" t="n">
        <f aca="false">IF(BJ$4=0,0,IF(COUNTIFS(実績!$W$6:$W$505,BJ$3,実績!$AI$6:$AI$505,"&lt;="&amp;$A126,実績!$AJ$6:$AJ$505,"&gt;"&amp;$A126,実績!$AL$6:$AL$505,"○")&gt;0,1,0))</f>
        <v>0</v>
      </c>
      <c r="BK126" s="39" t="n">
        <f aca="false">IF(BK$4=0,0,IF(COUNTIFS(実績!$W$6:$W$505,BK$3,実績!$AI$6:$AI$505,"&lt;="&amp;$A126,実績!$AJ$6:$AJ$505,"&gt;"&amp;$A126,実績!$AL$6:$AL$505,"○")&gt;0,1,0))</f>
        <v>0</v>
      </c>
      <c r="BL126" s="39" t="n">
        <f aca="false">IF(BL$4=0,0,IF(COUNTIFS(実績!$W$6:$W$505,BL$3,実績!$AI$6:$AI$505,"&lt;="&amp;$A126,実績!$AJ$6:$AJ$505,"&gt;"&amp;$A126,実績!$AL$6:$AL$505,"○")&gt;0,1,0))</f>
        <v>0</v>
      </c>
      <c r="BM126" s="39" t="n">
        <f aca="false">IF(BM$4=0,0,IF(COUNTIFS(実績!$W$6:$W$505,BM$3,実績!$AI$6:$AI$505,"&lt;="&amp;$A126,実績!$AJ$6:$AJ$505,"&gt;"&amp;$A126,実績!$AL$6:$AL$505,"○")&gt;0,1,0))</f>
        <v>0</v>
      </c>
      <c r="BN126" s="39" t="n">
        <f aca="false">IF(BN$4=0,0,IF(COUNTIFS(実績!$W$6:$W$505,BN$3,実績!$AI$6:$AI$505,"&lt;="&amp;$A126,実績!$AJ$6:$AJ$505,"&gt;"&amp;$A126,実績!$AL$6:$AL$505,"○")&gt;0,1,0))</f>
        <v>0</v>
      </c>
      <c r="BO126" s="39" t="n">
        <f aca="false">IF(BO$4=0,0,IF(COUNTIFS(実績!$W$6:$W$505,BO$3,実績!$AI$6:$AI$505,"&lt;="&amp;$A126,実績!$AJ$6:$AJ$505,"&gt;"&amp;$A126,実績!$AL$6:$AL$505,"○")&gt;0,1,0))</f>
        <v>0</v>
      </c>
      <c r="BP126" s="39" t="n">
        <f aca="false">IF(BP$4=0,0,IF(COUNTIFS(実績!$W$6:$W$505,BP$3,実績!$AI$6:$AI$505,"&lt;="&amp;$A126,実績!$AJ$6:$AJ$505,"&gt;"&amp;$A126,実績!$AL$6:$AL$505,"○")&gt;0,1,0))</f>
        <v>0</v>
      </c>
      <c r="BQ126" s="39" t="n">
        <f aca="false">IF(BQ$4=0,0,IF(COUNTIFS(実績!$W$6:$W$505,BQ$3,実績!$AI$6:$AI$505,"&lt;="&amp;$A126,実績!$AJ$6:$AJ$505,"&gt;"&amp;$A126,実績!$AL$6:$AL$505,"○")&gt;0,1,0))</f>
        <v>0</v>
      </c>
      <c r="BR126" s="39" t="n">
        <f aca="false">IF(BR$4=0,0,IF(COUNTIFS(実績!$W$6:$W$505,BR$3,実績!$AI$6:$AI$505,"&lt;="&amp;$A126,実績!$AJ$6:$AJ$505,"&gt;"&amp;$A126,実績!$AL$6:$AL$505,"○")&gt;0,1,0))</f>
        <v>0</v>
      </c>
      <c r="BS126" s="39" t="n">
        <f aca="false">IF(BS$4=0,0,IF(COUNTIFS(実績!$W$6:$W$505,BS$3,実績!$AI$6:$AI$505,"&lt;="&amp;$A126,実績!$AJ$6:$AJ$505,"&gt;"&amp;$A126,実績!$AL$6:$AL$505,"○")&gt;0,1,0))</f>
        <v>0</v>
      </c>
      <c r="BT126" s="39" t="n">
        <f aca="false">IF(BT$4=0,0,IF(COUNTIFS(実績!$W$6:$W$505,BT$3,実績!$AI$6:$AI$505,"&lt;="&amp;$A126,実績!$AJ$6:$AJ$505,"&gt;"&amp;$A126,実績!$AL$6:$AL$505,"○")&gt;0,1,0))</f>
        <v>0</v>
      </c>
      <c r="BU126" s="39" t="n">
        <f aca="false">IF(BU$4=0,0,IF(COUNTIFS(実績!$W$6:$W$505,BU$3,実績!$AI$6:$AI$505,"&lt;="&amp;$A126,実績!$AJ$6:$AJ$505,"&gt;"&amp;$A126,実績!$AL$6:$AL$505,"○")&gt;0,1,0))</f>
        <v>0</v>
      </c>
      <c r="BV126" s="39" t="n">
        <f aca="false">IF(BV$4=0,0,IF(COUNTIFS(実績!$W$6:$W$505,BV$3,実績!$AI$6:$AI$505,"&lt;="&amp;$A126,実績!$AJ$6:$AJ$505,"&gt;"&amp;$A126,実績!$AL$6:$AL$505,"○")&gt;0,1,0))</f>
        <v>0</v>
      </c>
      <c r="BW126" s="39" t="n">
        <f aca="false">IF(BW$4=0,0,IF(COUNTIFS(実績!$W$6:$W$505,BW$3,実績!$AI$6:$AI$505,"&lt;="&amp;$A126,実績!$AJ$6:$AJ$505,"&gt;"&amp;$A126,実績!$AL$6:$AL$505,"○")&gt;0,1,0))</f>
        <v>0</v>
      </c>
      <c r="BX126" s="39" t="n">
        <f aca="false">IF(BX$4=0,0,IF(COUNTIFS(実績!$W$6:$W$505,BX$3,実績!$AI$6:$AI$505,"&lt;="&amp;$A126,実績!$AJ$6:$AJ$505,"&gt;"&amp;$A126,実績!$AL$6:$AL$505,"○")&gt;0,1,0))</f>
        <v>0</v>
      </c>
      <c r="BY126" s="39" t="n">
        <f aca="false">IF(BY$4=0,0,IF(COUNTIFS(実績!$W$6:$W$505,BY$3,実績!$AI$6:$AI$505,"&lt;="&amp;$A126,実績!$AJ$6:$AJ$505,"&gt;"&amp;$A126,実績!$AL$6:$AL$505,"○")&gt;0,1,0))</f>
        <v>0</v>
      </c>
      <c r="BZ126" s="39" t="n">
        <f aca="false">IF(BZ$4=0,0,IF(COUNTIFS(実績!$W$6:$W$505,BZ$3,実績!$AI$6:$AI$505,"&lt;="&amp;$A126,実績!$AJ$6:$AJ$505,"&gt;"&amp;$A126,実績!$AL$6:$AL$505,"○")&gt;0,1,0))</f>
        <v>0</v>
      </c>
      <c r="CA126" s="39" t="n">
        <f aca="false">IF(CA$4=0,0,IF(COUNTIFS(実績!$W$6:$W$505,CA$3,実績!$AI$6:$AI$505,"&lt;="&amp;$A126,実績!$AJ$6:$AJ$505,"&gt;"&amp;$A126,実績!$AL$6:$AL$505,"○")&gt;0,1,0))</f>
        <v>0</v>
      </c>
      <c r="CB126" s="39" t="n">
        <f aca="false">IF(CB$4=0,0,IF(COUNTIFS(実績!$W$6:$W$505,CB$3,実績!$AI$6:$AI$505,"&lt;="&amp;$A126,実績!$AJ$6:$AJ$505,"&gt;"&amp;$A126,実績!$AL$6:$AL$505,"○")&gt;0,1,0))</f>
        <v>0</v>
      </c>
      <c r="CC126" s="39" t="n">
        <f aca="false">IF(CC$4=0,0,IF(COUNTIFS(実績!$W$6:$W$505,CC$3,実績!$AI$6:$AI$505,"&lt;="&amp;$A126,実績!$AJ$6:$AJ$505,"&gt;"&amp;$A126,実績!$AL$6:$AL$505,"○")&gt;0,1,0))</f>
        <v>0</v>
      </c>
      <c r="CD126" s="39" t="n">
        <f aca="false">IF(CD$4=0,0,IF(COUNTIFS(実績!$W$6:$W$505,CD$3,実績!$AI$6:$AI$505,"&lt;="&amp;$A126,実績!$AJ$6:$AJ$505,"&gt;"&amp;$A126,実績!$AL$6:$AL$505,"○")&gt;0,1,0))</f>
        <v>0</v>
      </c>
      <c r="CE126" s="39" t="n">
        <f aca="false">IF(CE$4=0,0,IF(COUNTIFS(実績!$W$6:$W$505,CE$3,実績!$AI$6:$AI$505,"&lt;="&amp;$A126,実績!$AJ$6:$AJ$505,"&gt;"&amp;$A126,実績!$AL$6:$AL$505,"○")&gt;0,1,0))</f>
        <v>0</v>
      </c>
      <c r="CF126" s="39" t="n">
        <f aca="false">IF(CF$4=0,0,IF(COUNTIFS(実績!$W$6:$W$505,CF$3,実績!$AI$6:$AI$505,"&lt;="&amp;$A126,実績!$AJ$6:$AJ$505,"&gt;"&amp;$A126,実績!$AL$6:$AL$505,"○")&gt;0,1,0))</f>
        <v>0</v>
      </c>
      <c r="CG126" s="39" t="n">
        <f aca="false">IF(CG$4=0,0,IF(COUNTIFS(実績!$W$6:$W$505,CG$3,実績!$AI$6:$AI$505,"&lt;="&amp;$A126,実績!$AJ$6:$AJ$505,"&gt;"&amp;$A126,実績!$AL$6:$AL$505,"○")&gt;0,1,0))</f>
        <v>0</v>
      </c>
      <c r="CH126" s="39" t="n">
        <f aca="false">IF(CH$4=0,0,IF(COUNTIFS(実績!$W$6:$W$505,CH$3,実績!$AI$6:$AI$505,"&lt;="&amp;$A126,実績!$AJ$6:$AJ$505,"&gt;"&amp;$A126,実績!$AL$6:$AL$505,"○")&gt;0,1,0))</f>
        <v>0</v>
      </c>
      <c r="CI126" s="39" t="n">
        <f aca="false">IF(CI$4=0,0,IF(COUNTIFS(実績!$W$6:$W$505,CI$3,実績!$AI$6:$AI$505,"&lt;="&amp;$A126,実績!$AJ$6:$AJ$505,"&gt;"&amp;$A126,実績!$AL$6:$AL$505,"○")&gt;0,1,0))</f>
        <v>0</v>
      </c>
      <c r="CJ126" s="39" t="n">
        <f aca="false">IF(CJ$4=0,0,IF(COUNTIFS(実績!$W$6:$W$505,CJ$3,実績!$AI$6:$AI$505,"&lt;="&amp;$A126,実績!$AJ$6:$AJ$505,"&gt;"&amp;$A126,実績!$AL$6:$AL$505,"○")&gt;0,1,0))</f>
        <v>0</v>
      </c>
      <c r="CK126" s="39" t="n">
        <f aca="false">IF(CK$4=0,0,IF(COUNTIFS(実績!$W$6:$W$505,CK$3,実績!$AI$6:$AI$505,"&lt;="&amp;$A126,実績!$AJ$6:$AJ$505,"&gt;"&amp;$A126,実績!$AL$6:$AL$505,"○")&gt;0,1,0))</f>
        <v>0</v>
      </c>
      <c r="CL126" s="39" t="n">
        <f aca="false">IF(CL$4=0,0,IF(COUNTIFS(実績!$W$6:$W$505,CL$3,実績!$AI$6:$AI$505,"&lt;="&amp;$A126,実績!$AJ$6:$AJ$505,"&gt;"&amp;$A126,実績!$AL$6:$AL$505,"○")&gt;0,1,0))</f>
        <v>0</v>
      </c>
      <c r="CM126" s="39" t="n">
        <f aca="false">IF(CM$4=0,0,IF(COUNTIFS(実績!$W$6:$W$505,CM$3,実績!$AI$6:$AI$505,"&lt;="&amp;$A126,実績!$AJ$6:$AJ$505,"&gt;"&amp;$A126,実績!$AL$6:$AL$505,"○")&gt;0,1,0))</f>
        <v>0</v>
      </c>
      <c r="CN126" s="39" t="n">
        <f aca="false">IF(CN$4=0,0,IF(COUNTIFS(実績!$W$6:$W$505,CN$3,実績!$AI$6:$AI$505,"&lt;="&amp;$A126,実績!$AJ$6:$AJ$505,"&gt;"&amp;$A126,実績!$AL$6:$AL$505,"○")&gt;0,1,0))</f>
        <v>0</v>
      </c>
      <c r="CO126" s="39" t="n">
        <f aca="false">IF(CO$4=0,0,IF(COUNTIFS(実績!$W$6:$W$505,CO$3,実績!$AI$6:$AI$505,"&lt;="&amp;$A126,実績!$AJ$6:$AJ$505,"&gt;"&amp;$A126,実績!$AL$6:$AL$505,"○")&gt;0,1,0))</f>
        <v>0</v>
      </c>
      <c r="CP126" s="39" t="n">
        <f aca="false">IF(CP$4=0,0,IF(COUNTIFS(実績!$W$6:$W$505,CP$3,実績!$AI$6:$AI$505,"&lt;="&amp;$A126,実績!$AJ$6:$AJ$505,"&gt;"&amp;$A126,実績!$AL$6:$AL$505,"○")&gt;0,1,0))</f>
        <v>0</v>
      </c>
      <c r="CQ126" s="39" t="n">
        <f aca="false">IF(CQ$4=0,0,IF(COUNTIFS(実績!$W$6:$W$505,CQ$3,実績!$AI$6:$AI$505,"&lt;="&amp;$A126,実績!$AJ$6:$AJ$505,"&gt;"&amp;$A126,実績!$AL$6:$AL$505,"○")&gt;0,1,0))</f>
        <v>0</v>
      </c>
      <c r="CR126" s="39" t="n">
        <f aca="false">IF(CR$4=0,0,IF(COUNTIFS(実績!$W$6:$W$505,CR$3,実績!$AI$6:$AI$505,"&lt;="&amp;$A126,実績!$AJ$6:$AJ$505,"&gt;"&amp;$A126,実績!$AL$6:$AL$505,"○")&gt;0,1,0))</f>
        <v>0</v>
      </c>
      <c r="CS126" s="39" t="n">
        <f aca="false">IF(CS$4=0,0,IF(COUNTIFS(実績!$W$6:$W$505,CS$3,実績!$AI$6:$AI$505,"&lt;="&amp;$A126,実績!$AJ$6:$AJ$505,"&gt;"&amp;$A126,実績!$AL$6:$AL$505,"○")&gt;0,1,0))</f>
        <v>0</v>
      </c>
      <c r="CT126" s="39" t="n">
        <f aca="false">IF(CT$4=0,0,IF(COUNTIFS(実績!$W$6:$W$505,CT$3,実績!$AI$6:$AI$505,"&lt;="&amp;$A126,実績!$AJ$6:$AJ$505,"&gt;"&amp;$A126,実績!$AL$6:$AL$505,"○")&gt;0,1,0))</f>
        <v>0</v>
      </c>
      <c r="CU126" s="39" t="n">
        <f aca="false">IF(CU$4=0,0,IF(COUNTIFS(実績!$W$6:$W$505,CU$3,実績!$AI$6:$AI$505,"&lt;="&amp;$A126,実績!$AJ$6:$AJ$505,"&gt;"&amp;$A126,実績!$AL$6:$AL$505,"○")&gt;0,1,0))</f>
        <v>0</v>
      </c>
      <c r="CV126" s="39" t="n">
        <f aca="false">IF(CV$4=0,0,IF(COUNTIFS(実績!$W$6:$W$505,CV$3,実績!$AI$6:$AI$505,"&lt;="&amp;$A126,実績!$AJ$6:$AJ$505,"&gt;"&amp;$A126,実績!$AL$6:$AL$505,"○")&gt;0,1,0))</f>
        <v>0</v>
      </c>
      <c r="CW126" s="39" t="n">
        <f aca="false">IF(CW$4=0,0,IF(COUNTIFS(実績!$W$6:$W$505,CW$3,実績!$AI$6:$AI$505,"&lt;="&amp;$A126,実績!$AJ$6:$AJ$505,"&gt;"&amp;$A126,実績!$AL$6:$AL$505,"○")&gt;0,1,0))</f>
        <v>0</v>
      </c>
      <c r="CX126" s="39" t="n">
        <f aca="false">IF(CX$4=0,0,IF(COUNTIFS(実績!$W$6:$W$505,CX$3,実績!$AI$6:$AI$505,"&lt;="&amp;$A126,実績!$AJ$6:$AJ$505,"&gt;"&amp;$A126,実績!$AL$6:$AL$505,"○")&gt;0,1,0))</f>
        <v>0</v>
      </c>
      <c r="CY126" s="39" t="n">
        <f aca="false">IF(CY$4=0,0,IF(COUNTIFS(実績!$W$6:$W$505,CY$3,実績!$AI$6:$AI$505,"&lt;="&amp;$A126,実績!$AJ$6:$AJ$505,"&gt;"&amp;$A126,実績!$AL$6:$AL$505,"○")&gt;0,1,0))</f>
        <v>0</v>
      </c>
      <c r="CZ126" s="39" t="n">
        <f aca="false">IF(CZ$4=0,0,IF(COUNTIFS(実績!$W$6:$W$505,CZ$3,実績!$AI$6:$AI$505,"&lt;="&amp;$A126,実績!$AJ$6:$AJ$505,"&gt;"&amp;$A126,実績!$AL$6:$AL$505,"○")&gt;0,1,0))</f>
        <v>0</v>
      </c>
      <c r="DA126" s="39" t="n">
        <f aca="false">IF(DA$4=0,0,IF(COUNTIFS(実績!$W$6:$W$505,DA$3,実績!$AI$6:$AI$505,"&lt;="&amp;$A126,実績!$AJ$6:$AJ$505,"&gt;"&amp;$A126,実績!$AL$6:$AL$505,"○")&gt;0,1,0))</f>
        <v>0</v>
      </c>
      <c r="DB126" s="39" t="n">
        <f aca="false">IF(DB$4=0,0,IF(COUNTIFS(実績!$W$6:$W$505,DB$3,実績!$AI$6:$AI$505,"&lt;="&amp;$A126,実績!$AJ$6:$AJ$505,"&gt;"&amp;$A126,実績!$AL$6:$AL$505,"○")&gt;0,1,0))</f>
        <v>0</v>
      </c>
      <c r="DC126" s="39" t="n">
        <f aca="false">IF(DC$4=0,0,IF(COUNTIFS(実績!$W$6:$W$505,DC$3,実績!$AI$6:$AI$505,"&lt;="&amp;$A126,実績!$AJ$6:$AJ$505,"&gt;"&amp;$A126,実績!$AL$6:$AL$505,"○")&gt;0,1,0))</f>
        <v>0</v>
      </c>
      <c r="DD126" s="39" t="n">
        <f aca="false">IF(DD$4=0,0,IF(COUNTIFS(実績!$W$6:$W$505,DD$3,実績!$AI$6:$AI$505,"&lt;="&amp;$A126,実績!$AJ$6:$AJ$505,"&gt;"&amp;$A126,実績!$AL$6:$AL$505,"○")&gt;0,1,0))</f>
        <v>0</v>
      </c>
      <c r="DE126" s="39" t="n">
        <f aca="false">IF(DE$4=0,0,IF(COUNTIFS(実績!$W$6:$W$505,DE$3,実績!$AI$6:$AI$505,"&lt;="&amp;$A126,実績!$AJ$6:$AJ$505,"&gt;"&amp;$A126,実績!$AL$6:$AL$505,"○")&gt;0,1,0))</f>
        <v>0</v>
      </c>
      <c r="DF126" s="39" t="n">
        <f aca="false">IF(DF$4=0,0,IF(COUNTIFS(実績!$W$6:$W$505,DF$3,実績!$AI$6:$AI$505,"&lt;="&amp;$A126,実績!$AJ$6:$AJ$505,"&gt;"&amp;$A126,実績!$AL$6:$AL$505,"○")&gt;0,1,0))</f>
        <v>0</v>
      </c>
      <c r="DG126" s="39" t="n">
        <f aca="false">IF(DG$4=0,0,IF(COUNTIFS(実績!$W$6:$W$505,DG$3,実績!$AI$6:$AI$505,"&lt;="&amp;$A126,実績!$AJ$6:$AJ$505,"&gt;"&amp;$A126,実績!$AL$6:$AL$505,"○")&gt;0,1,0))</f>
        <v>0</v>
      </c>
      <c r="DH126" s="39" t="n">
        <f aca="false">IF(DH$4=0,0,IF(COUNTIFS(実績!$W$6:$W$505,DH$3,実績!$AI$6:$AI$505,"&lt;="&amp;$A126,実績!$AJ$6:$AJ$505,"&gt;"&amp;$A126,実績!$AL$6:$AL$505,"○")&gt;0,1,0))</f>
        <v>0</v>
      </c>
      <c r="DI126" s="39" t="n">
        <f aca="false">IF(DI$4=0,0,IF(COUNTIFS(実績!$W$6:$W$505,DI$3,実績!$AI$6:$AI$505,"&lt;="&amp;$A126,実績!$AJ$6:$AJ$505,"&gt;"&amp;$A126,実績!$AL$6:$AL$505,"○")&gt;0,1,0))</f>
        <v>0</v>
      </c>
      <c r="DJ126" s="39" t="n">
        <f aca="false">IF(DJ$4=0,0,IF(COUNTIFS(実績!$W$6:$W$505,DJ$3,実績!$AI$6:$AI$505,"&lt;="&amp;$A126,実績!$AJ$6:$AJ$505,"&gt;"&amp;$A126,実績!$AL$6:$AL$505,"○")&gt;0,1,0))</f>
        <v>0</v>
      </c>
      <c r="DK126" s="39" t="n">
        <f aca="false">IF(DK$4=0,0,IF(COUNTIFS(実績!$W$6:$W$505,DK$3,実績!$AI$6:$AI$505,"&lt;="&amp;$A126,実績!$AJ$6:$AJ$505,"&gt;"&amp;$A126,実績!$AL$6:$AL$505,"○")&gt;0,1,0))</f>
        <v>0</v>
      </c>
      <c r="DL126" s="39" t="n">
        <f aca="false">IF(DL$4=0,0,IF(COUNTIFS(実績!$W$6:$W$505,DL$3,実績!$AI$6:$AI$505,"&lt;="&amp;$A126,実績!$AJ$6:$AJ$505,"&gt;"&amp;$A126,実績!$AL$6:$AL$505,"○")&gt;0,1,0))</f>
        <v>0</v>
      </c>
      <c r="DM126" s="39" t="n">
        <f aca="false">IF(DM$4=0,0,IF(COUNTIFS(実績!$W$6:$W$505,DM$3,実績!$AI$6:$AI$505,"&lt;="&amp;$A126,実績!$AJ$6:$AJ$505,"&gt;"&amp;$A126,実績!$AL$6:$AL$505,"○")&gt;0,1,0))</f>
        <v>0</v>
      </c>
      <c r="DN126" s="39" t="n">
        <f aca="false">IF(DN$4=0,0,IF(COUNTIFS(実績!$W$6:$W$505,DN$3,実績!$AI$6:$AI$505,"&lt;="&amp;$A126,実績!$AJ$6:$AJ$505,"&gt;"&amp;$A126,実績!$AL$6:$AL$505,"○")&gt;0,1,0))</f>
        <v>0</v>
      </c>
      <c r="DO126" s="39" t="n">
        <f aca="false">IF(DO$4=0,0,IF(COUNTIFS(実績!$W$6:$W$505,DO$3,実績!$AI$6:$AI$505,"&lt;="&amp;$A126,実績!$AJ$6:$AJ$505,"&gt;"&amp;$A126,実績!$AL$6:$AL$505,"○")&gt;0,1,0))</f>
        <v>0</v>
      </c>
      <c r="DP126" s="39" t="n">
        <f aca="false">IF(DP$4=0,0,IF(COUNTIFS(実績!$W$6:$W$505,DP$3,実績!$AI$6:$AI$505,"&lt;="&amp;$A126,実績!$AJ$6:$AJ$505,"&gt;"&amp;$A126,実績!$AL$6:$AL$505,"○")&gt;0,1,0))</f>
        <v>0</v>
      </c>
      <c r="DQ126" s="39" t="n">
        <f aca="false">IF(DQ$4=0,0,IF(COUNTIFS(実績!$W$6:$W$505,DQ$3,実績!$AI$6:$AI$505,"&lt;="&amp;$A126,実績!$AJ$6:$AJ$505,"&gt;"&amp;$A126,実績!$AL$6:$AL$505,"○")&gt;0,1,0))</f>
        <v>0</v>
      </c>
      <c r="DR126" s="39" t="n">
        <f aca="false">IF(DR$4=0,0,IF(COUNTIFS(実績!$W$6:$W$505,DR$3,実績!$AI$6:$AI$505,"&lt;="&amp;$A126,実績!$AJ$6:$AJ$505,"&gt;"&amp;$A126,実績!$AL$6:$AL$505,"○")&gt;0,1,0))</f>
        <v>0</v>
      </c>
      <c r="DS126" s="39" t="n">
        <f aca="false">SUM(C126:DR126)</f>
        <v>0</v>
      </c>
    </row>
    <row r="127" customFormat="false" ht="15" hidden="false" customHeight="false" outlineLevel="0" collapsed="false">
      <c r="A127" s="0" t="n">
        <v>605</v>
      </c>
      <c r="B127" s="38" t="n">
        <f aca="false">A127/1440</f>
        <v>0.420138888888889</v>
      </c>
      <c r="C127" s="39" t="n">
        <f aca="false">IF(C$4=0,0,IF(COUNTIFS(実績!$W$6:$W$505,C$3,実績!$AI$6:$AI$505,"&lt;="&amp;$A127,実績!$AJ$6:$AJ$505,"&gt;"&amp;$A127,実績!$AL$6:$AL$505,"○")&gt;0,1,0))</f>
        <v>0</v>
      </c>
      <c r="D127" s="39" t="n">
        <f aca="false">IF(D$4=0,0,IF(COUNTIFS(実績!$W$6:$W$505,D$3,実績!$AI$6:$AI$505,"&lt;="&amp;$A127,実績!$AJ$6:$AJ$505,"&gt;"&amp;$A127,実績!$AL$6:$AL$505,"○")&gt;0,1,0))</f>
        <v>0</v>
      </c>
      <c r="E127" s="39" t="n">
        <f aca="false">IF(E$4=0,0,IF(COUNTIFS(実績!$W$6:$W$505,E$3,実績!$AI$6:$AI$505,"&lt;="&amp;$A127,実績!$AJ$6:$AJ$505,"&gt;"&amp;$A127,実績!$AL$6:$AL$505,"○")&gt;0,1,0))</f>
        <v>0</v>
      </c>
      <c r="F127" s="39" t="n">
        <f aca="false">IF(F$4=0,0,IF(COUNTIFS(実績!$W$6:$W$505,F$3,実績!$AI$6:$AI$505,"&lt;="&amp;$A127,実績!$AJ$6:$AJ$505,"&gt;"&amp;$A127,実績!$AL$6:$AL$505,"○")&gt;0,1,0))</f>
        <v>0</v>
      </c>
      <c r="G127" s="39" t="n">
        <f aca="false">IF(G$4=0,0,IF(COUNTIFS(実績!$W$6:$W$505,G$3,実績!$AI$6:$AI$505,"&lt;="&amp;$A127,実績!$AJ$6:$AJ$505,"&gt;"&amp;$A127,実績!$AL$6:$AL$505,"○")&gt;0,1,0))</f>
        <v>0</v>
      </c>
      <c r="H127" s="39" t="n">
        <f aca="false">IF(H$4=0,0,IF(COUNTIFS(実績!$W$6:$W$505,H$3,実績!$AI$6:$AI$505,"&lt;="&amp;$A127,実績!$AJ$6:$AJ$505,"&gt;"&amp;$A127,実績!$AL$6:$AL$505,"○")&gt;0,1,0))</f>
        <v>0</v>
      </c>
      <c r="I127" s="39" t="n">
        <f aca="false">IF(I$4=0,0,IF(COUNTIFS(実績!$W$6:$W$505,I$3,実績!$AI$6:$AI$505,"&lt;="&amp;$A127,実績!$AJ$6:$AJ$505,"&gt;"&amp;$A127,実績!$AL$6:$AL$505,"○")&gt;0,1,0))</f>
        <v>0</v>
      </c>
      <c r="J127" s="39" t="n">
        <f aca="false">IF(J$4=0,0,IF(COUNTIFS(実績!$W$6:$W$505,J$3,実績!$AI$6:$AI$505,"&lt;="&amp;$A127,実績!$AJ$6:$AJ$505,"&gt;"&amp;$A127,実績!$AL$6:$AL$505,"○")&gt;0,1,0))</f>
        <v>0</v>
      </c>
      <c r="K127" s="39" t="n">
        <f aca="false">IF(K$4=0,0,IF(COUNTIFS(実績!$W$6:$W$505,K$3,実績!$AI$6:$AI$505,"&lt;="&amp;$A127,実績!$AJ$6:$AJ$505,"&gt;"&amp;$A127,実績!$AL$6:$AL$505,"○")&gt;0,1,0))</f>
        <v>0</v>
      </c>
      <c r="L127" s="39" t="n">
        <f aca="false">IF(L$4=0,0,IF(COUNTIFS(実績!$W$6:$W$505,L$3,実績!$AI$6:$AI$505,"&lt;="&amp;$A127,実績!$AJ$6:$AJ$505,"&gt;"&amp;$A127,実績!$AL$6:$AL$505,"○")&gt;0,1,0))</f>
        <v>0</v>
      </c>
      <c r="M127" s="39" t="n">
        <f aca="false">IF(M$4=0,0,IF(COUNTIFS(実績!$W$6:$W$505,M$3,実績!$AI$6:$AI$505,"&lt;="&amp;$A127,実績!$AJ$6:$AJ$505,"&gt;"&amp;$A127,実績!$AL$6:$AL$505,"○")&gt;0,1,0))</f>
        <v>0</v>
      </c>
      <c r="N127" s="39" t="n">
        <f aca="false">IF(N$4=0,0,IF(COUNTIFS(実績!$W$6:$W$505,N$3,実績!$AI$6:$AI$505,"&lt;="&amp;$A127,実績!$AJ$6:$AJ$505,"&gt;"&amp;$A127,実績!$AL$6:$AL$505,"○")&gt;0,1,0))</f>
        <v>0</v>
      </c>
      <c r="O127" s="39" t="n">
        <f aca="false">IF(O$4=0,0,IF(COUNTIFS(実績!$W$6:$W$505,O$3,実績!$AI$6:$AI$505,"&lt;="&amp;$A127,実績!$AJ$6:$AJ$505,"&gt;"&amp;$A127,実績!$AL$6:$AL$505,"○")&gt;0,1,0))</f>
        <v>0</v>
      </c>
      <c r="P127" s="39" t="n">
        <f aca="false">IF(P$4=0,0,IF(COUNTIFS(実績!$W$6:$W$505,P$3,実績!$AI$6:$AI$505,"&lt;="&amp;$A127,実績!$AJ$6:$AJ$505,"&gt;"&amp;$A127,実績!$AL$6:$AL$505,"○")&gt;0,1,0))</f>
        <v>0</v>
      </c>
      <c r="Q127" s="39" t="n">
        <f aca="false">IF(Q$4=0,0,IF(COUNTIFS(実績!$W$6:$W$505,Q$3,実績!$AI$6:$AI$505,"&lt;="&amp;$A127,実績!$AJ$6:$AJ$505,"&gt;"&amp;$A127,実績!$AL$6:$AL$505,"○")&gt;0,1,0))</f>
        <v>0</v>
      </c>
      <c r="R127" s="39" t="n">
        <f aca="false">IF(R$4=0,0,IF(COUNTIFS(実績!$W$6:$W$505,R$3,実績!$AI$6:$AI$505,"&lt;="&amp;$A127,実績!$AJ$6:$AJ$505,"&gt;"&amp;$A127,実績!$AL$6:$AL$505,"○")&gt;0,1,0))</f>
        <v>0</v>
      </c>
      <c r="S127" s="39" t="n">
        <f aca="false">IF(S$4=0,0,IF(COUNTIFS(実績!$W$6:$W$505,S$3,実績!$AI$6:$AI$505,"&lt;="&amp;$A127,実績!$AJ$6:$AJ$505,"&gt;"&amp;$A127,実績!$AL$6:$AL$505,"○")&gt;0,1,0))</f>
        <v>0</v>
      </c>
      <c r="T127" s="39" t="n">
        <f aca="false">IF(T$4=0,0,IF(COUNTIFS(実績!$W$6:$W$505,T$3,実績!$AI$6:$AI$505,"&lt;="&amp;$A127,実績!$AJ$6:$AJ$505,"&gt;"&amp;$A127,実績!$AL$6:$AL$505,"○")&gt;0,1,0))</f>
        <v>0</v>
      </c>
      <c r="U127" s="39" t="n">
        <f aca="false">IF(U$4=0,0,IF(COUNTIFS(実績!$W$6:$W$505,U$3,実績!$AI$6:$AI$505,"&lt;="&amp;$A127,実績!$AJ$6:$AJ$505,"&gt;"&amp;$A127,実績!$AL$6:$AL$505,"○")&gt;0,1,0))</f>
        <v>0</v>
      </c>
      <c r="V127" s="39" t="n">
        <f aca="false">IF(V$4=0,0,IF(COUNTIFS(実績!$W$6:$W$505,V$3,実績!$AI$6:$AI$505,"&lt;="&amp;$A127,実績!$AJ$6:$AJ$505,"&gt;"&amp;$A127,実績!$AL$6:$AL$505,"○")&gt;0,1,0))</f>
        <v>0</v>
      </c>
      <c r="W127" s="39" t="n">
        <f aca="false">IF(W$4=0,0,IF(COUNTIFS(実績!$W$6:$W$505,W$3,実績!$AI$6:$AI$505,"&lt;="&amp;$A127,実績!$AJ$6:$AJ$505,"&gt;"&amp;$A127,実績!$AL$6:$AL$505,"○")&gt;0,1,0))</f>
        <v>0</v>
      </c>
      <c r="X127" s="39" t="n">
        <f aca="false">IF(X$4=0,0,IF(COUNTIFS(実績!$W$6:$W$505,X$3,実績!$AI$6:$AI$505,"&lt;="&amp;$A127,実績!$AJ$6:$AJ$505,"&gt;"&amp;$A127,実績!$AL$6:$AL$505,"○")&gt;0,1,0))</f>
        <v>0</v>
      </c>
      <c r="Y127" s="39" t="n">
        <f aca="false">IF(Y$4=0,0,IF(COUNTIFS(実績!$W$6:$W$505,Y$3,実績!$AI$6:$AI$505,"&lt;="&amp;$A127,実績!$AJ$6:$AJ$505,"&gt;"&amp;$A127,実績!$AL$6:$AL$505,"○")&gt;0,1,0))</f>
        <v>0</v>
      </c>
      <c r="Z127" s="39" t="n">
        <f aca="false">IF(Z$4=0,0,IF(COUNTIFS(実績!$W$6:$W$505,Z$3,実績!$AI$6:$AI$505,"&lt;="&amp;$A127,実績!$AJ$6:$AJ$505,"&gt;"&amp;$A127,実績!$AL$6:$AL$505,"○")&gt;0,1,0))</f>
        <v>0</v>
      </c>
      <c r="AA127" s="39" t="n">
        <f aca="false">IF(AA$4=0,0,IF(COUNTIFS(実績!$W$6:$W$505,AA$3,実績!$AI$6:$AI$505,"&lt;="&amp;$A127,実績!$AJ$6:$AJ$505,"&gt;"&amp;$A127,実績!$AL$6:$AL$505,"○")&gt;0,1,0))</f>
        <v>0</v>
      </c>
      <c r="AB127" s="39" t="n">
        <f aca="false">IF(AB$4=0,0,IF(COUNTIFS(実績!$W$6:$W$505,AB$3,実績!$AI$6:$AI$505,"&lt;="&amp;$A127,実績!$AJ$6:$AJ$505,"&gt;"&amp;$A127,実績!$AL$6:$AL$505,"○")&gt;0,1,0))</f>
        <v>0</v>
      </c>
      <c r="AC127" s="39" t="n">
        <f aca="false">IF(AC$4=0,0,IF(COUNTIFS(実績!$W$6:$W$505,AC$3,実績!$AI$6:$AI$505,"&lt;="&amp;$A127,実績!$AJ$6:$AJ$505,"&gt;"&amp;$A127,実績!$AL$6:$AL$505,"○")&gt;0,1,0))</f>
        <v>0</v>
      </c>
      <c r="AD127" s="39" t="n">
        <f aca="false">IF(AD$4=0,0,IF(COUNTIFS(実績!$W$6:$W$505,AD$3,実績!$AI$6:$AI$505,"&lt;="&amp;$A127,実績!$AJ$6:$AJ$505,"&gt;"&amp;$A127,実績!$AL$6:$AL$505,"○")&gt;0,1,0))</f>
        <v>0</v>
      </c>
      <c r="AE127" s="39" t="n">
        <f aca="false">IF(AE$4=0,0,IF(COUNTIFS(実績!$W$6:$W$505,AE$3,実績!$AI$6:$AI$505,"&lt;="&amp;$A127,実績!$AJ$6:$AJ$505,"&gt;"&amp;$A127,実績!$AL$6:$AL$505,"○")&gt;0,1,0))</f>
        <v>0</v>
      </c>
      <c r="AF127" s="39" t="n">
        <f aca="false">IF(AF$4=0,0,IF(COUNTIFS(実績!$W$6:$W$505,AF$3,実績!$AI$6:$AI$505,"&lt;="&amp;$A127,実績!$AJ$6:$AJ$505,"&gt;"&amp;$A127,実績!$AL$6:$AL$505,"○")&gt;0,1,0))</f>
        <v>0</v>
      </c>
      <c r="AG127" s="39" t="n">
        <f aca="false">IF(AG$4=0,0,IF(COUNTIFS(実績!$W$6:$W$505,AG$3,実績!$AI$6:$AI$505,"&lt;="&amp;$A127,実績!$AJ$6:$AJ$505,"&gt;"&amp;$A127,実績!$AL$6:$AL$505,"○")&gt;0,1,0))</f>
        <v>0</v>
      </c>
      <c r="AH127" s="39" t="n">
        <f aca="false">IF(AH$4=0,0,IF(COUNTIFS(実績!$W$6:$W$505,AH$3,実績!$AI$6:$AI$505,"&lt;="&amp;$A127,実績!$AJ$6:$AJ$505,"&gt;"&amp;$A127,実績!$AL$6:$AL$505,"○")&gt;0,1,0))</f>
        <v>0</v>
      </c>
      <c r="AI127" s="39" t="n">
        <f aca="false">IF(AI$4=0,0,IF(COUNTIFS(実績!$W$6:$W$505,AI$3,実績!$AI$6:$AI$505,"&lt;="&amp;$A127,実績!$AJ$6:$AJ$505,"&gt;"&amp;$A127,実績!$AL$6:$AL$505,"○")&gt;0,1,0))</f>
        <v>0</v>
      </c>
      <c r="AJ127" s="39" t="n">
        <f aca="false">IF(AJ$4=0,0,IF(COUNTIFS(実績!$W$6:$W$505,AJ$3,実績!$AI$6:$AI$505,"&lt;="&amp;$A127,実績!$AJ$6:$AJ$505,"&gt;"&amp;$A127,実績!$AL$6:$AL$505,"○")&gt;0,1,0))</f>
        <v>0</v>
      </c>
      <c r="AK127" s="39" t="n">
        <f aca="false">IF(AK$4=0,0,IF(COUNTIFS(実績!$W$6:$W$505,AK$3,実績!$AI$6:$AI$505,"&lt;="&amp;$A127,実績!$AJ$6:$AJ$505,"&gt;"&amp;$A127,実績!$AL$6:$AL$505,"○")&gt;0,1,0))</f>
        <v>0</v>
      </c>
      <c r="AL127" s="39" t="n">
        <f aca="false">IF(AL$4=0,0,IF(COUNTIFS(実績!$W$6:$W$505,AL$3,実績!$AI$6:$AI$505,"&lt;="&amp;$A127,実績!$AJ$6:$AJ$505,"&gt;"&amp;$A127,実績!$AL$6:$AL$505,"○")&gt;0,1,0))</f>
        <v>0</v>
      </c>
      <c r="AM127" s="39" t="n">
        <f aca="false">IF(AM$4=0,0,IF(COUNTIFS(実績!$W$6:$W$505,AM$3,実績!$AI$6:$AI$505,"&lt;="&amp;$A127,実績!$AJ$6:$AJ$505,"&gt;"&amp;$A127,実績!$AL$6:$AL$505,"○")&gt;0,1,0))</f>
        <v>0</v>
      </c>
      <c r="AN127" s="39" t="n">
        <f aca="false">IF(AN$4=0,0,IF(COUNTIFS(実績!$W$6:$W$505,AN$3,実績!$AI$6:$AI$505,"&lt;="&amp;$A127,実績!$AJ$6:$AJ$505,"&gt;"&amp;$A127,実績!$AL$6:$AL$505,"○")&gt;0,1,0))</f>
        <v>0</v>
      </c>
      <c r="AO127" s="39" t="n">
        <f aca="false">IF(AO$4=0,0,IF(COUNTIFS(実績!$W$6:$W$505,AO$3,実績!$AI$6:$AI$505,"&lt;="&amp;$A127,実績!$AJ$6:$AJ$505,"&gt;"&amp;$A127,実績!$AL$6:$AL$505,"○")&gt;0,1,0))</f>
        <v>0</v>
      </c>
      <c r="AP127" s="39" t="n">
        <f aca="false">IF(AP$4=0,0,IF(COUNTIFS(実績!$W$6:$W$505,AP$3,実績!$AI$6:$AI$505,"&lt;="&amp;$A127,実績!$AJ$6:$AJ$505,"&gt;"&amp;$A127,実績!$AL$6:$AL$505,"○")&gt;0,1,0))</f>
        <v>0</v>
      </c>
      <c r="AQ127" s="39" t="n">
        <f aca="false">IF(AQ$4=0,0,IF(COUNTIFS(実績!$W$6:$W$505,AQ$3,実績!$AI$6:$AI$505,"&lt;="&amp;$A127,実績!$AJ$6:$AJ$505,"&gt;"&amp;$A127,実績!$AL$6:$AL$505,"○")&gt;0,1,0))</f>
        <v>0</v>
      </c>
      <c r="AR127" s="39" t="n">
        <f aca="false">IF(AR$4=0,0,IF(COUNTIFS(実績!$W$6:$W$505,AR$3,実績!$AI$6:$AI$505,"&lt;="&amp;$A127,実績!$AJ$6:$AJ$505,"&gt;"&amp;$A127,実績!$AL$6:$AL$505,"○")&gt;0,1,0))</f>
        <v>0</v>
      </c>
      <c r="AS127" s="39" t="n">
        <f aca="false">IF(AS$4=0,0,IF(COUNTIFS(実績!$W$6:$W$505,AS$3,実績!$AI$6:$AI$505,"&lt;="&amp;$A127,実績!$AJ$6:$AJ$505,"&gt;"&amp;$A127,実績!$AL$6:$AL$505,"○")&gt;0,1,0))</f>
        <v>0</v>
      </c>
      <c r="AT127" s="39" t="n">
        <f aca="false">IF(AT$4=0,0,IF(COUNTIFS(実績!$W$6:$W$505,AT$3,実績!$AI$6:$AI$505,"&lt;="&amp;$A127,実績!$AJ$6:$AJ$505,"&gt;"&amp;$A127,実績!$AL$6:$AL$505,"○")&gt;0,1,0))</f>
        <v>0</v>
      </c>
      <c r="AU127" s="39" t="n">
        <f aca="false">IF(AU$4=0,0,IF(COUNTIFS(実績!$W$6:$W$505,AU$3,実績!$AI$6:$AI$505,"&lt;="&amp;$A127,実績!$AJ$6:$AJ$505,"&gt;"&amp;$A127,実績!$AL$6:$AL$505,"○")&gt;0,1,0))</f>
        <v>0</v>
      </c>
      <c r="AV127" s="39" t="n">
        <f aca="false">IF(AV$4=0,0,IF(COUNTIFS(実績!$W$6:$W$505,AV$3,実績!$AI$6:$AI$505,"&lt;="&amp;$A127,実績!$AJ$6:$AJ$505,"&gt;"&amp;$A127,実績!$AL$6:$AL$505,"○")&gt;0,1,0))</f>
        <v>0</v>
      </c>
      <c r="AW127" s="39" t="n">
        <f aca="false">IF(AW$4=0,0,IF(COUNTIFS(実績!$W$6:$W$505,AW$3,実績!$AI$6:$AI$505,"&lt;="&amp;$A127,実績!$AJ$6:$AJ$505,"&gt;"&amp;$A127,実績!$AL$6:$AL$505,"○")&gt;0,1,0))</f>
        <v>0</v>
      </c>
      <c r="AX127" s="39" t="n">
        <f aca="false">IF(AX$4=0,0,IF(COUNTIFS(実績!$W$6:$W$505,AX$3,実績!$AI$6:$AI$505,"&lt;="&amp;$A127,実績!$AJ$6:$AJ$505,"&gt;"&amp;$A127,実績!$AL$6:$AL$505,"○")&gt;0,1,0))</f>
        <v>0</v>
      </c>
      <c r="AY127" s="39" t="n">
        <f aca="false">IF(AY$4=0,0,IF(COUNTIFS(実績!$W$6:$W$505,AY$3,実績!$AI$6:$AI$505,"&lt;="&amp;$A127,実績!$AJ$6:$AJ$505,"&gt;"&amp;$A127,実績!$AL$6:$AL$505,"○")&gt;0,1,0))</f>
        <v>0</v>
      </c>
      <c r="AZ127" s="39" t="n">
        <f aca="false">IF(AZ$4=0,0,IF(COUNTIFS(実績!$W$6:$W$505,AZ$3,実績!$AI$6:$AI$505,"&lt;="&amp;$A127,実績!$AJ$6:$AJ$505,"&gt;"&amp;$A127,実績!$AL$6:$AL$505,"○")&gt;0,1,0))</f>
        <v>0</v>
      </c>
      <c r="BA127" s="39" t="n">
        <f aca="false">IF(BA$4=0,0,IF(COUNTIFS(実績!$W$6:$W$505,BA$3,実績!$AI$6:$AI$505,"&lt;="&amp;$A127,実績!$AJ$6:$AJ$505,"&gt;"&amp;$A127,実績!$AL$6:$AL$505,"○")&gt;0,1,0))</f>
        <v>0</v>
      </c>
      <c r="BB127" s="39" t="n">
        <f aca="false">IF(BB$4=0,0,IF(COUNTIFS(実績!$W$6:$W$505,BB$3,実績!$AI$6:$AI$505,"&lt;="&amp;$A127,実績!$AJ$6:$AJ$505,"&gt;"&amp;$A127,実績!$AL$6:$AL$505,"○")&gt;0,1,0))</f>
        <v>0</v>
      </c>
      <c r="BC127" s="39" t="n">
        <f aca="false">IF(BC$4=0,0,IF(COUNTIFS(実績!$W$6:$W$505,BC$3,実績!$AI$6:$AI$505,"&lt;="&amp;$A127,実績!$AJ$6:$AJ$505,"&gt;"&amp;$A127,実績!$AL$6:$AL$505,"○")&gt;0,1,0))</f>
        <v>0</v>
      </c>
      <c r="BD127" s="39" t="n">
        <f aca="false">IF(BD$4=0,0,IF(COUNTIFS(実績!$W$6:$W$505,BD$3,実績!$AI$6:$AI$505,"&lt;="&amp;$A127,実績!$AJ$6:$AJ$505,"&gt;"&amp;$A127,実績!$AL$6:$AL$505,"○")&gt;0,1,0))</f>
        <v>0</v>
      </c>
      <c r="BE127" s="39" t="n">
        <f aca="false">IF(BE$4=0,0,IF(COUNTIFS(実績!$W$6:$W$505,BE$3,実績!$AI$6:$AI$505,"&lt;="&amp;$A127,実績!$AJ$6:$AJ$505,"&gt;"&amp;$A127,実績!$AL$6:$AL$505,"○")&gt;0,1,0))</f>
        <v>0</v>
      </c>
      <c r="BF127" s="39" t="n">
        <f aca="false">IF(BF$4=0,0,IF(COUNTIFS(実績!$W$6:$W$505,BF$3,実績!$AI$6:$AI$505,"&lt;="&amp;$A127,実績!$AJ$6:$AJ$505,"&gt;"&amp;$A127,実績!$AL$6:$AL$505,"○")&gt;0,1,0))</f>
        <v>0</v>
      </c>
      <c r="BG127" s="39" t="n">
        <f aca="false">IF(BG$4=0,0,IF(COUNTIFS(実績!$W$6:$W$505,BG$3,実績!$AI$6:$AI$505,"&lt;="&amp;$A127,実績!$AJ$6:$AJ$505,"&gt;"&amp;$A127,実績!$AL$6:$AL$505,"○")&gt;0,1,0))</f>
        <v>0</v>
      </c>
      <c r="BH127" s="39" t="n">
        <f aca="false">IF(BH$4=0,0,IF(COUNTIFS(実績!$W$6:$W$505,BH$3,実績!$AI$6:$AI$505,"&lt;="&amp;$A127,実績!$AJ$6:$AJ$505,"&gt;"&amp;$A127,実績!$AL$6:$AL$505,"○")&gt;0,1,0))</f>
        <v>0</v>
      </c>
      <c r="BI127" s="39" t="n">
        <f aca="false">IF(BI$4=0,0,IF(COUNTIFS(実績!$W$6:$W$505,BI$3,実績!$AI$6:$AI$505,"&lt;="&amp;$A127,実績!$AJ$6:$AJ$505,"&gt;"&amp;$A127,実績!$AL$6:$AL$505,"○")&gt;0,1,0))</f>
        <v>0</v>
      </c>
      <c r="BJ127" s="39" t="n">
        <f aca="false">IF(BJ$4=0,0,IF(COUNTIFS(実績!$W$6:$W$505,BJ$3,実績!$AI$6:$AI$505,"&lt;="&amp;$A127,実績!$AJ$6:$AJ$505,"&gt;"&amp;$A127,実績!$AL$6:$AL$505,"○")&gt;0,1,0))</f>
        <v>0</v>
      </c>
      <c r="BK127" s="39" t="n">
        <f aca="false">IF(BK$4=0,0,IF(COUNTIFS(実績!$W$6:$W$505,BK$3,実績!$AI$6:$AI$505,"&lt;="&amp;$A127,実績!$AJ$6:$AJ$505,"&gt;"&amp;$A127,実績!$AL$6:$AL$505,"○")&gt;0,1,0))</f>
        <v>0</v>
      </c>
      <c r="BL127" s="39" t="n">
        <f aca="false">IF(BL$4=0,0,IF(COUNTIFS(実績!$W$6:$W$505,BL$3,実績!$AI$6:$AI$505,"&lt;="&amp;$A127,実績!$AJ$6:$AJ$505,"&gt;"&amp;$A127,実績!$AL$6:$AL$505,"○")&gt;0,1,0))</f>
        <v>0</v>
      </c>
      <c r="BM127" s="39" t="n">
        <f aca="false">IF(BM$4=0,0,IF(COUNTIFS(実績!$W$6:$W$505,BM$3,実績!$AI$6:$AI$505,"&lt;="&amp;$A127,実績!$AJ$6:$AJ$505,"&gt;"&amp;$A127,実績!$AL$6:$AL$505,"○")&gt;0,1,0))</f>
        <v>0</v>
      </c>
      <c r="BN127" s="39" t="n">
        <f aca="false">IF(BN$4=0,0,IF(COUNTIFS(実績!$W$6:$W$505,BN$3,実績!$AI$6:$AI$505,"&lt;="&amp;$A127,実績!$AJ$6:$AJ$505,"&gt;"&amp;$A127,実績!$AL$6:$AL$505,"○")&gt;0,1,0))</f>
        <v>0</v>
      </c>
      <c r="BO127" s="39" t="n">
        <f aca="false">IF(BO$4=0,0,IF(COUNTIFS(実績!$W$6:$W$505,BO$3,実績!$AI$6:$AI$505,"&lt;="&amp;$A127,実績!$AJ$6:$AJ$505,"&gt;"&amp;$A127,実績!$AL$6:$AL$505,"○")&gt;0,1,0))</f>
        <v>0</v>
      </c>
      <c r="BP127" s="39" t="n">
        <f aca="false">IF(BP$4=0,0,IF(COUNTIFS(実績!$W$6:$W$505,BP$3,実績!$AI$6:$AI$505,"&lt;="&amp;$A127,実績!$AJ$6:$AJ$505,"&gt;"&amp;$A127,実績!$AL$6:$AL$505,"○")&gt;0,1,0))</f>
        <v>0</v>
      </c>
      <c r="BQ127" s="39" t="n">
        <f aca="false">IF(BQ$4=0,0,IF(COUNTIFS(実績!$W$6:$W$505,BQ$3,実績!$AI$6:$AI$505,"&lt;="&amp;$A127,実績!$AJ$6:$AJ$505,"&gt;"&amp;$A127,実績!$AL$6:$AL$505,"○")&gt;0,1,0))</f>
        <v>0</v>
      </c>
      <c r="BR127" s="39" t="n">
        <f aca="false">IF(BR$4=0,0,IF(COUNTIFS(実績!$W$6:$W$505,BR$3,実績!$AI$6:$AI$505,"&lt;="&amp;$A127,実績!$AJ$6:$AJ$505,"&gt;"&amp;$A127,実績!$AL$6:$AL$505,"○")&gt;0,1,0))</f>
        <v>0</v>
      </c>
      <c r="BS127" s="39" t="n">
        <f aca="false">IF(BS$4=0,0,IF(COUNTIFS(実績!$W$6:$W$505,BS$3,実績!$AI$6:$AI$505,"&lt;="&amp;$A127,実績!$AJ$6:$AJ$505,"&gt;"&amp;$A127,実績!$AL$6:$AL$505,"○")&gt;0,1,0))</f>
        <v>0</v>
      </c>
      <c r="BT127" s="39" t="n">
        <f aca="false">IF(BT$4=0,0,IF(COUNTIFS(実績!$W$6:$W$505,BT$3,実績!$AI$6:$AI$505,"&lt;="&amp;$A127,実績!$AJ$6:$AJ$505,"&gt;"&amp;$A127,実績!$AL$6:$AL$505,"○")&gt;0,1,0))</f>
        <v>0</v>
      </c>
      <c r="BU127" s="39" t="n">
        <f aca="false">IF(BU$4=0,0,IF(COUNTIFS(実績!$W$6:$W$505,BU$3,実績!$AI$6:$AI$505,"&lt;="&amp;$A127,実績!$AJ$6:$AJ$505,"&gt;"&amp;$A127,実績!$AL$6:$AL$505,"○")&gt;0,1,0))</f>
        <v>0</v>
      </c>
      <c r="BV127" s="39" t="n">
        <f aca="false">IF(BV$4=0,0,IF(COUNTIFS(実績!$W$6:$W$505,BV$3,実績!$AI$6:$AI$505,"&lt;="&amp;$A127,実績!$AJ$6:$AJ$505,"&gt;"&amp;$A127,実績!$AL$6:$AL$505,"○")&gt;0,1,0))</f>
        <v>0</v>
      </c>
      <c r="BW127" s="39" t="n">
        <f aca="false">IF(BW$4=0,0,IF(COUNTIFS(実績!$W$6:$W$505,BW$3,実績!$AI$6:$AI$505,"&lt;="&amp;$A127,実績!$AJ$6:$AJ$505,"&gt;"&amp;$A127,実績!$AL$6:$AL$505,"○")&gt;0,1,0))</f>
        <v>0</v>
      </c>
      <c r="BX127" s="39" t="n">
        <f aca="false">IF(BX$4=0,0,IF(COUNTIFS(実績!$W$6:$W$505,BX$3,実績!$AI$6:$AI$505,"&lt;="&amp;$A127,実績!$AJ$6:$AJ$505,"&gt;"&amp;$A127,実績!$AL$6:$AL$505,"○")&gt;0,1,0))</f>
        <v>0</v>
      </c>
      <c r="BY127" s="39" t="n">
        <f aca="false">IF(BY$4=0,0,IF(COUNTIFS(実績!$W$6:$W$505,BY$3,実績!$AI$6:$AI$505,"&lt;="&amp;$A127,実績!$AJ$6:$AJ$505,"&gt;"&amp;$A127,実績!$AL$6:$AL$505,"○")&gt;0,1,0))</f>
        <v>0</v>
      </c>
      <c r="BZ127" s="39" t="n">
        <f aca="false">IF(BZ$4=0,0,IF(COUNTIFS(実績!$W$6:$W$505,BZ$3,実績!$AI$6:$AI$505,"&lt;="&amp;$A127,実績!$AJ$6:$AJ$505,"&gt;"&amp;$A127,実績!$AL$6:$AL$505,"○")&gt;0,1,0))</f>
        <v>0</v>
      </c>
      <c r="CA127" s="39" t="n">
        <f aca="false">IF(CA$4=0,0,IF(COUNTIFS(実績!$W$6:$W$505,CA$3,実績!$AI$6:$AI$505,"&lt;="&amp;$A127,実績!$AJ$6:$AJ$505,"&gt;"&amp;$A127,実績!$AL$6:$AL$505,"○")&gt;0,1,0))</f>
        <v>0</v>
      </c>
      <c r="CB127" s="39" t="n">
        <f aca="false">IF(CB$4=0,0,IF(COUNTIFS(実績!$W$6:$W$505,CB$3,実績!$AI$6:$AI$505,"&lt;="&amp;$A127,実績!$AJ$6:$AJ$505,"&gt;"&amp;$A127,実績!$AL$6:$AL$505,"○")&gt;0,1,0))</f>
        <v>0</v>
      </c>
      <c r="CC127" s="39" t="n">
        <f aca="false">IF(CC$4=0,0,IF(COUNTIFS(実績!$W$6:$W$505,CC$3,実績!$AI$6:$AI$505,"&lt;="&amp;$A127,実績!$AJ$6:$AJ$505,"&gt;"&amp;$A127,実績!$AL$6:$AL$505,"○")&gt;0,1,0))</f>
        <v>0</v>
      </c>
      <c r="CD127" s="39" t="n">
        <f aca="false">IF(CD$4=0,0,IF(COUNTIFS(実績!$W$6:$W$505,CD$3,実績!$AI$6:$AI$505,"&lt;="&amp;$A127,実績!$AJ$6:$AJ$505,"&gt;"&amp;$A127,実績!$AL$6:$AL$505,"○")&gt;0,1,0))</f>
        <v>0</v>
      </c>
      <c r="CE127" s="39" t="n">
        <f aca="false">IF(CE$4=0,0,IF(COUNTIFS(実績!$W$6:$W$505,CE$3,実績!$AI$6:$AI$505,"&lt;="&amp;$A127,実績!$AJ$6:$AJ$505,"&gt;"&amp;$A127,実績!$AL$6:$AL$505,"○")&gt;0,1,0))</f>
        <v>0</v>
      </c>
      <c r="CF127" s="39" t="n">
        <f aca="false">IF(CF$4=0,0,IF(COUNTIFS(実績!$W$6:$W$505,CF$3,実績!$AI$6:$AI$505,"&lt;="&amp;$A127,実績!$AJ$6:$AJ$505,"&gt;"&amp;$A127,実績!$AL$6:$AL$505,"○")&gt;0,1,0))</f>
        <v>0</v>
      </c>
      <c r="CG127" s="39" t="n">
        <f aca="false">IF(CG$4=0,0,IF(COUNTIFS(実績!$W$6:$W$505,CG$3,実績!$AI$6:$AI$505,"&lt;="&amp;$A127,実績!$AJ$6:$AJ$505,"&gt;"&amp;$A127,実績!$AL$6:$AL$505,"○")&gt;0,1,0))</f>
        <v>0</v>
      </c>
      <c r="CH127" s="39" t="n">
        <f aca="false">IF(CH$4=0,0,IF(COUNTIFS(実績!$W$6:$W$505,CH$3,実績!$AI$6:$AI$505,"&lt;="&amp;$A127,実績!$AJ$6:$AJ$505,"&gt;"&amp;$A127,実績!$AL$6:$AL$505,"○")&gt;0,1,0))</f>
        <v>0</v>
      </c>
      <c r="CI127" s="39" t="n">
        <f aca="false">IF(CI$4=0,0,IF(COUNTIFS(実績!$W$6:$W$505,CI$3,実績!$AI$6:$AI$505,"&lt;="&amp;$A127,実績!$AJ$6:$AJ$505,"&gt;"&amp;$A127,実績!$AL$6:$AL$505,"○")&gt;0,1,0))</f>
        <v>0</v>
      </c>
      <c r="CJ127" s="39" t="n">
        <f aca="false">IF(CJ$4=0,0,IF(COUNTIFS(実績!$W$6:$W$505,CJ$3,実績!$AI$6:$AI$505,"&lt;="&amp;$A127,実績!$AJ$6:$AJ$505,"&gt;"&amp;$A127,実績!$AL$6:$AL$505,"○")&gt;0,1,0))</f>
        <v>0</v>
      </c>
      <c r="CK127" s="39" t="n">
        <f aca="false">IF(CK$4=0,0,IF(COUNTIFS(実績!$W$6:$W$505,CK$3,実績!$AI$6:$AI$505,"&lt;="&amp;$A127,実績!$AJ$6:$AJ$505,"&gt;"&amp;$A127,実績!$AL$6:$AL$505,"○")&gt;0,1,0))</f>
        <v>0</v>
      </c>
      <c r="CL127" s="39" t="n">
        <f aca="false">IF(CL$4=0,0,IF(COUNTIFS(実績!$W$6:$W$505,CL$3,実績!$AI$6:$AI$505,"&lt;="&amp;$A127,実績!$AJ$6:$AJ$505,"&gt;"&amp;$A127,実績!$AL$6:$AL$505,"○")&gt;0,1,0))</f>
        <v>0</v>
      </c>
      <c r="CM127" s="39" t="n">
        <f aca="false">IF(CM$4=0,0,IF(COUNTIFS(実績!$W$6:$W$505,CM$3,実績!$AI$6:$AI$505,"&lt;="&amp;$A127,実績!$AJ$6:$AJ$505,"&gt;"&amp;$A127,実績!$AL$6:$AL$505,"○")&gt;0,1,0))</f>
        <v>0</v>
      </c>
      <c r="CN127" s="39" t="n">
        <f aca="false">IF(CN$4=0,0,IF(COUNTIFS(実績!$W$6:$W$505,CN$3,実績!$AI$6:$AI$505,"&lt;="&amp;$A127,実績!$AJ$6:$AJ$505,"&gt;"&amp;$A127,実績!$AL$6:$AL$505,"○")&gt;0,1,0))</f>
        <v>0</v>
      </c>
      <c r="CO127" s="39" t="n">
        <f aca="false">IF(CO$4=0,0,IF(COUNTIFS(実績!$W$6:$W$505,CO$3,実績!$AI$6:$AI$505,"&lt;="&amp;$A127,実績!$AJ$6:$AJ$505,"&gt;"&amp;$A127,実績!$AL$6:$AL$505,"○")&gt;0,1,0))</f>
        <v>0</v>
      </c>
      <c r="CP127" s="39" t="n">
        <f aca="false">IF(CP$4=0,0,IF(COUNTIFS(実績!$W$6:$W$505,CP$3,実績!$AI$6:$AI$505,"&lt;="&amp;$A127,実績!$AJ$6:$AJ$505,"&gt;"&amp;$A127,実績!$AL$6:$AL$505,"○")&gt;0,1,0))</f>
        <v>0</v>
      </c>
      <c r="CQ127" s="39" t="n">
        <f aca="false">IF(CQ$4=0,0,IF(COUNTIFS(実績!$W$6:$W$505,CQ$3,実績!$AI$6:$AI$505,"&lt;="&amp;$A127,実績!$AJ$6:$AJ$505,"&gt;"&amp;$A127,実績!$AL$6:$AL$505,"○")&gt;0,1,0))</f>
        <v>0</v>
      </c>
      <c r="CR127" s="39" t="n">
        <f aca="false">IF(CR$4=0,0,IF(COUNTIFS(実績!$W$6:$W$505,CR$3,実績!$AI$6:$AI$505,"&lt;="&amp;$A127,実績!$AJ$6:$AJ$505,"&gt;"&amp;$A127,実績!$AL$6:$AL$505,"○")&gt;0,1,0))</f>
        <v>0</v>
      </c>
      <c r="CS127" s="39" t="n">
        <f aca="false">IF(CS$4=0,0,IF(COUNTIFS(実績!$W$6:$W$505,CS$3,実績!$AI$6:$AI$505,"&lt;="&amp;$A127,実績!$AJ$6:$AJ$505,"&gt;"&amp;$A127,実績!$AL$6:$AL$505,"○")&gt;0,1,0))</f>
        <v>0</v>
      </c>
      <c r="CT127" s="39" t="n">
        <f aca="false">IF(CT$4=0,0,IF(COUNTIFS(実績!$W$6:$W$505,CT$3,実績!$AI$6:$AI$505,"&lt;="&amp;$A127,実績!$AJ$6:$AJ$505,"&gt;"&amp;$A127,実績!$AL$6:$AL$505,"○")&gt;0,1,0))</f>
        <v>0</v>
      </c>
      <c r="CU127" s="39" t="n">
        <f aca="false">IF(CU$4=0,0,IF(COUNTIFS(実績!$W$6:$W$505,CU$3,実績!$AI$6:$AI$505,"&lt;="&amp;$A127,実績!$AJ$6:$AJ$505,"&gt;"&amp;$A127,実績!$AL$6:$AL$505,"○")&gt;0,1,0))</f>
        <v>0</v>
      </c>
      <c r="CV127" s="39" t="n">
        <f aca="false">IF(CV$4=0,0,IF(COUNTIFS(実績!$W$6:$W$505,CV$3,実績!$AI$6:$AI$505,"&lt;="&amp;$A127,実績!$AJ$6:$AJ$505,"&gt;"&amp;$A127,実績!$AL$6:$AL$505,"○")&gt;0,1,0))</f>
        <v>0</v>
      </c>
      <c r="CW127" s="39" t="n">
        <f aca="false">IF(CW$4=0,0,IF(COUNTIFS(実績!$W$6:$W$505,CW$3,実績!$AI$6:$AI$505,"&lt;="&amp;$A127,実績!$AJ$6:$AJ$505,"&gt;"&amp;$A127,実績!$AL$6:$AL$505,"○")&gt;0,1,0))</f>
        <v>0</v>
      </c>
      <c r="CX127" s="39" t="n">
        <f aca="false">IF(CX$4=0,0,IF(COUNTIFS(実績!$W$6:$W$505,CX$3,実績!$AI$6:$AI$505,"&lt;="&amp;$A127,実績!$AJ$6:$AJ$505,"&gt;"&amp;$A127,実績!$AL$6:$AL$505,"○")&gt;0,1,0))</f>
        <v>0</v>
      </c>
      <c r="CY127" s="39" t="n">
        <f aca="false">IF(CY$4=0,0,IF(COUNTIFS(実績!$W$6:$W$505,CY$3,実績!$AI$6:$AI$505,"&lt;="&amp;$A127,実績!$AJ$6:$AJ$505,"&gt;"&amp;$A127,実績!$AL$6:$AL$505,"○")&gt;0,1,0))</f>
        <v>0</v>
      </c>
      <c r="CZ127" s="39" t="n">
        <f aca="false">IF(CZ$4=0,0,IF(COUNTIFS(実績!$W$6:$W$505,CZ$3,実績!$AI$6:$AI$505,"&lt;="&amp;$A127,実績!$AJ$6:$AJ$505,"&gt;"&amp;$A127,実績!$AL$6:$AL$505,"○")&gt;0,1,0))</f>
        <v>0</v>
      </c>
      <c r="DA127" s="39" t="n">
        <f aca="false">IF(DA$4=0,0,IF(COUNTIFS(実績!$W$6:$W$505,DA$3,実績!$AI$6:$AI$505,"&lt;="&amp;$A127,実績!$AJ$6:$AJ$505,"&gt;"&amp;$A127,実績!$AL$6:$AL$505,"○")&gt;0,1,0))</f>
        <v>0</v>
      </c>
      <c r="DB127" s="39" t="n">
        <f aca="false">IF(DB$4=0,0,IF(COUNTIFS(実績!$W$6:$W$505,DB$3,実績!$AI$6:$AI$505,"&lt;="&amp;$A127,実績!$AJ$6:$AJ$505,"&gt;"&amp;$A127,実績!$AL$6:$AL$505,"○")&gt;0,1,0))</f>
        <v>0</v>
      </c>
      <c r="DC127" s="39" t="n">
        <f aca="false">IF(DC$4=0,0,IF(COUNTIFS(実績!$W$6:$W$505,DC$3,実績!$AI$6:$AI$505,"&lt;="&amp;$A127,実績!$AJ$6:$AJ$505,"&gt;"&amp;$A127,実績!$AL$6:$AL$505,"○")&gt;0,1,0))</f>
        <v>0</v>
      </c>
      <c r="DD127" s="39" t="n">
        <f aca="false">IF(DD$4=0,0,IF(COUNTIFS(実績!$W$6:$W$505,DD$3,実績!$AI$6:$AI$505,"&lt;="&amp;$A127,実績!$AJ$6:$AJ$505,"&gt;"&amp;$A127,実績!$AL$6:$AL$505,"○")&gt;0,1,0))</f>
        <v>0</v>
      </c>
      <c r="DE127" s="39" t="n">
        <f aca="false">IF(DE$4=0,0,IF(COUNTIFS(実績!$W$6:$W$505,DE$3,実績!$AI$6:$AI$505,"&lt;="&amp;$A127,実績!$AJ$6:$AJ$505,"&gt;"&amp;$A127,実績!$AL$6:$AL$505,"○")&gt;0,1,0))</f>
        <v>0</v>
      </c>
      <c r="DF127" s="39" t="n">
        <f aca="false">IF(DF$4=0,0,IF(COUNTIFS(実績!$W$6:$W$505,DF$3,実績!$AI$6:$AI$505,"&lt;="&amp;$A127,実績!$AJ$6:$AJ$505,"&gt;"&amp;$A127,実績!$AL$6:$AL$505,"○")&gt;0,1,0))</f>
        <v>0</v>
      </c>
      <c r="DG127" s="39" t="n">
        <f aca="false">IF(DG$4=0,0,IF(COUNTIFS(実績!$W$6:$W$505,DG$3,実績!$AI$6:$AI$505,"&lt;="&amp;$A127,実績!$AJ$6:$AJ$505,"&gt;"&amp;$A127,実績!$AL$6:$AL$505,"○")&gt;0,1,0))</f>
        <v>0</v>
      </c>
      <c r="DH127" s="39" t="n">
        <f aca="false">IF(DH$4=0,0,IF(COUNTIFS(実績!$W$6:$W$505,DH$3,実績!$AI$6:$AI$505,"&lt;="&amp;$A127,実績!$AJ$6:$AJ$505,"&gt;"&amp;$A127,実績!$AL$6:$AL$505,"○")&gt;0,1,0))</f>
        <v>0</v>
      </c>
      <c r="DI127" s="39" t="n">
        <f aca="false">IF(DI$4=0,0,IF(COUNTIFS(実績!$W$6:$W$505,DI$3,実績!$AI$6:$AI$505,"&lt;="&amp;$A127,実績!$AJ$6:$AJ$505,"&gt;"&amp;$A127,実績!$AL$6:$AL$505,"○")&gt;0,1,0))</f>
        <v>0</v>
      </c>
      <c r="DJ127" s="39" t="n">
        <f aca="false">IF(DJ$4=0,0,IF(COUNTIFS(実績!$W$6:$W$505,DJ$3,実績!$AI$6:$AI$505,"&lt;="&amp;$A127,実績!$AJ$6:$AJ$505,"&gt;"&amp;$A127,実績!$AL$6:$AL$505,"○")&gt;0,1,0))</f>
        <v>0</v>
      </c>
      <c r="DK127" s="39" t="n">
        <f aca="false">IF(DK$4=0,0,IF(COUNTIFS(実績!$W$6:$W$505,DK$3,実績!$AI$6:$AI$505,"&lt;="&amp;$A127,実績!$AJ$6:$AJ$505,"&gt;"&amp;$A127,実績!$AL$6:$AL$505,"○")&gt;0,1,0))</f>
        <v>0</v>
      </c>
      <c r="DL127" s="39" t="n">
        <f aca="false">IF(DL$4=0,0,IF(COUNTIFS(実績!$W$6:$W$505,DL$3,実績!$AI$6:$AI$505,"&lt;="&amp;$A127,実績!$AJ$6:$AJ$505,"&gt;"&amp;$A127,実績!$AL$6:$AL$505,"○")&gt;0,1,0))</f>
        <v>0</v>
      </c>
      <c r="DM127" s="39" t="n">
        <f aca="false">IF(DM$4=0,0,IF(COUNTIFS(実績!$W$6:$W$505,DM$3,実績!$AI$6:$AI$505,"&lt;="&amp;$A127,実績!$AJ$6:$AJ$505,"&gt;"&amp;$A127,実績!$AL$6:$AL$505,"○")&gt;0,1,0))</f>
        <v>0</v>
      </c>
      <c r="DN127" s="39" t="n">
        <f aca="false">IF(DN$4=0,0,IF(COUNTIFS(実績!$W$6:$W$505,DN$3,実績!$AI$6:$AI$505,"&lt;="&amp;$A127,実績!$AJ$6:$AJ$505,"&gt;"&amp;$A127,実績!$AL$6:$AL$505,"○")&gt;0,1,0))</f>
        <v>0</v>
      </c>
      <c r="DO127" s="39" t="n">
        <f aca="false">IF(DO$4=0,0,IF(COUNTIFS(実績!$W$6:$W$505,DO$3,実績!$AI$6:$AI$505,"&lt;="&amp;$A127,実績!$AJ$6:$AJ$505,"&gt;"&amp;$A127,実績!$AL$6:$AL$505,"○")&gt;0,1,0))</f>
        <v>0</v>
      </c>
      <c r="DP127" s="39" t="n">
        <f aca="false">IF(DP$4=0,0,IF(COUNTIFS(実績!$W$6:$W$505,DP$3,実績!$AI$6:$AI$505,"&lt;="&amp;$A127,実績!$AJ$6:$AJ$505,"&gt;"&amp;$A127,実績!$AL$6:$AL$505,"○")&gt;0,1,0))</f>
        <v>0</v>
      </c>
      <c r="DQ127" s="39" t="n">
        <f aca="false">IF(DQ$4=0,0,IF(COUNTIFS(実績!$W$6:$W$505,DQ$3,実績!$AI$6:$AI$505,"&lt;="&amp;$A127,実績!$AJ$6:$AJ$505,"&gt;"&amp;$A127,実績!$AL$6:$AL$505,"○")&gt;0,1,0))</f>
        <v>0</v>
      </c>
      <c r="DR127" s="39" t="n">
        <f aca="false">IF(DR$4=0,0,IF(COUNTIFS(実績!$W$6:$W$505,DR$3,実績!$AI$6:$AI$505,"&lt;="&amp;$A127,実績!$AJ$6:$AJ$505,"&gt;"&amp;$A127,実績!$AL$6:$AL$505,"○")&gt;0,1,0))</f>
        <v>0</v>
      </c>
      <c r="DS127" s="39" t="n">
        <f aca="false">SUM(C127:DR127)</f>
        <v>0</v>
      </c>
    </row>
    <row r="128" customFormat="false" ht="15" hidden="false" customHeight="false" outlineLevel="0" collapsed="false">
      <c r="A128" s="0" t="n">
        <v>610</v>
      </c>
      <c r="B128" s="38" t="n">
        <f aca="false">A128/1440</f>
        <v>0.423611111111111</v>
      </c>
      <c r="C128" s="39" t="n">
        <f aca="false">IF(C$4=0,0,IF(COUNTIFS(実績!$W$6:$W$505,C$3,実績!$AI$6:$AI$505,"&lt;="&amp;$A128,実績!$AJ$6:$AJ$505,"&gt;"&amp;$A128,実績!$AL$6:$AL$505,"○")&gt;0,1,0))</f>
        <v>0</v>
      </c>
      <c r="D128" s="39" t="n">
        <f aca="false">IF(D$4=0,0,IF(COUNTIFS(実績!$W$6:$W$505,D$3,実績!$AI$6:$AI$505,"&lt;="&amp;$A128,実績!$AJ$6:$AJ$505,"&gt;"&amp;$A128,実績!$AL$6:$AL$505,"○")&gt;0,1,0))</f>
        <v>0</v>
      </c>
      <c r="E128" s="39" t="n">
        <f aca="false">IF(E$4=0,0,IF(COUNTIFS(実績!$W$6:$W$505,E$3,実績!$AI$6:$AI$505,"&lt;="&amp;$A128,実績!$AJ$6:$AJ$505,"&gt;"&amp;$A128,実績!$AL$6:$AL$505,"○")&gt;0,1,0))</f>
        <v>0</v>
      </c>
      <c r="F128" s="39" t="n">
        <f aca="false">IF(F$4=0,0,IF(COUNTIFS(実績!$W$6:$W$505,F$3,実績!$AI$6:$AI$505,"&lt;="&amp;$A128,実績!$AJ$6:$AJ$505,"&gt;"&amp;$A128,実績!$AL$6:$AL$505,"○")&gt;0,1,0))</f>
        <v>0</v>
      </c>
      <c r="G128" s="39" t="n">
        <f aca="false">IF(G$4=0,0,IF(COUNTIFS(実績!$W$6:$W$505,G$3,実績!$AI$6:$AI$505,"&lt;="&amp;$A128,実績!$AJ$6:$AJ$505,"&gt;"&amp;$A128,実績!$AL$6:$AL$505,"○")&gt;0,1,0))</f>
        <v>0</v>
      </c>
      <c r="H128" s="39" t="n">
        <f aca="false">IF(H$4=0,0,IF(COUNTIFS(実績!$W$6:$W$505,H$3,実績!$AI$6:$AI$505,"&lt;="&amp;$A128,実績!$AJ$6:$AJ$505,"&gt;"&amp;$A128,実績!$AL$6:$AL$505,"○")&gt;0,1,0))</f>
        <v>0</v>
      </c>
      <c r="I128" s="39" t="n">
        <f aca="false">IF(I$4=0,0,IF(COUNTIFS(実績!$W$6:$W$505,I$3,実績!$AI$6:$AI$505,"&lt;="&amp;$A128,実績!$AJ$6:$AJ$505,"&gt;"&amp;$A128,実績!$AL$6:$AL$505,"○")&gt;0,1,0))</f>
        <v>0</v>
      </c>
      <c r="J128" s="39" t="n">
        <f aca="false">IF(J$4=0,0,IF(COUNTIFS(実績!$W$6:$W$505,J$3,実績!$AI$6:$AI$505,"&lt;="&amp;$A128,実績!$AJ$6:$AJ$505,"&gt;"&amp;$A128,実績!$AL$6:$AL$505,"○")&gt;0,1,0))</f>
        <v>0</v>
      </c>
      <c r="K128" s="39" t="n">
        <f aca="false">IF(K$4=0,0,IF(COUNTIFS(実績!$W$6:$W$505,K$3,実績!$AI$6:$AI$505,"&lt;="&amp;$A128,実績!$AJ$6:$AJ$505,"&gt;"&amp;$A128,実績!$AL$6:$AL$505,"○")&gt;0,1,0))</f>
        <v>0</v>
      </c>
      <c r="L128" s="39" t="n">
        <f aca="false">IF(L$4=0,0,IF(COUNTIFS(実績!$W$6:$W$505,L$3,実績!$AI$6:$AI$505,"&lt;="&amp;$A128,実績!$AJ$6:$AJ$505,"&gt;"&amp;$A128,実績!$AL$6:$AL$505,"○")&gt;0,1,0))</f>
        <v>0</v>
      </c>
      <c r="M128" s="39" t="n">
        <f aca="false">IF(M$4=0,0,IF(COUNTIFS(実績!$W$6:$W$505,M$3,実績!$AI$6:$AI$505,"&lt;="&amp;$A128,実績!$AJ$6:$AJ$505,"&gt;"&amp;$A128,実績!$AL$6:$AL$505,"○")&gt;0,1,0))</f>
        <v>0</v>
      </c>
      <c r="N128" s="39" t="n">
        <f aca="false">IF(N$4=0,0,IF(COUNTIFS(実績!$W$6:$W$505,N$3,実績!$AI$6:$AI$505,"&lt;="&amp;$A128,実績!$AJ$6:$AJ$505,"&gt;"&amp;$A128,実績!$AL$6:$AL$505,"○")&gt;0,1,0))</f>
        <v>0</v>
      </c>
      <c r="O128" s="39" t="n">
        <f aca="false">IF(O$4=0,0,IF(COUNTIFS(実績!$W$6:$W$505,O$3,実績!$AI$6:$AI$505,"&lt;="&amp;$A128,実績!$AJ$6:$AJ$505,"&gt;"&amp;$A128,実績!$AL$6:$AL$505,"○")&gt;0,1,0))</f>
        <v>0</v>
      </c>
      <c r="P128" s="39" t="n">
        <f aca="false">IF(P$4=0,0,IF(COUNTIFS(実績!$W$6:$W$505,P$3,実績!$AI$6:$AI$505,"&lt;="&amp;$A128,実績!$AJ$6:$AJ$505,"&gt;"&amp;$A128,実績!$AL$6:$AL$505,"○")&gt;0,1,0))</f>
        <v>0</v>
      </c>
      <c r="Q128" s="39" t="n">
        <f aca="false">IF(Q$4=0,0,IF(COUNTIFS(実績!$W$6:$W$505,Q$3,実績!$AI$6:$AI$505,"&lt;="&amp;$A128,実績!$AJ$6:$AJ$505,"&gt;"&amp;$A128,実績!$AL$6:$AL$505,"○")&gt;0,1,0))</f>
        <v>0</v>
      </c>
      <c r="R128" s="39" t="n">
        <f aca="false">IF(R$4=0,0,IF(COUNTIFS(実績!$W$6:$W$505,R$3,実績!$AI$6:$AI$505,"&lt;="&amp;$A128,実績!$AJ$6:$AJ$505,"&gt;"&amp;$A128,実績!$AL$6:$AL$505,"○")&gt;0,1,0))</f>
        <v>0</v>
      </c>
      <c r="S128" s="39" t="n">
        <f aca="false">IF(S$4=0,0,IF(COUNTIFS(実績!$W$6:$W$505,S$3,実績!$AI$6:$AI$505,"&lt;="&amp;$A128,実績!$AJ$6:$AJ$505,"&gt;"&amp;$A128,実績!$AL$6:$AL$505,"○")&gt;0,1,0))</f>
        <v>0</v>
      </c>
      <c r="T128" s="39" t="n">
        <f aca="false">IF(T$4=0,0,IF(COUNTIFS(実績!$W$6:$W$505,T$3,実績!$AI$6:$AI$505,"&lt;="&amp;$A128,実績!$AJ$6:$AJ$505,"&gt;"&amp;$A128,実績!$AL$6:$AL$505,"○")&gt;0,1,0))</f>
        <v>0</v>
      </c>
      <c r="U128" s="39" t="n">
        <f aca="false">IF(U$4=0,0,IF(COUNTIFS(実績!$W$6:$W$505,U$3,実績!$AI$6:$AI$505,"&lt;="&amp;$A128,実績!$AJ$6:$AJ$505,"&gt;"&amp;$A128,実績!$AL$6:$AL$505,"○")&gt;0,1,0))</f>
        <v>0</v>
      </c>
      <c r="V128" s="39" t="n">
        <f aca="false">IF(V$4=0,0,IF(COUNTIFS(実績!$W$6:$W$505,V$3,実績!$AI$6:$AI$505,"&lt;="&amp;$A128,実績!$AJ$6:$AJ$505,"&gt;"&amp;$A128,実績!$AL$6:$AL$505,"○")&gt;0,1,0))</f>
        <v>0</v>
      </c>
      <c r="W128" s="39" t="n">
        <f aca="false">IF(W$4=0,0,IF(COUNTIFS(実績!$W$6:$W$505,W$3,実績!$AI$6:$AI$505,"&lt;="&amp;$A128,実績!$AJ$6:$AJ$505,"&gt;"&amp;$A128,実績!$AL$6:$AL$505,"○")&gt;0,1,0))</f>
        <v>0</v>
      </c>
      <c r="X128" s="39" t="n">
        <f aca="false">IF(X$4=0,0,IF(COUNTIFS(実績!$W$6:$W$505,X$3,実績!$AI$6:$AI$505,"&lt;="&amp;$A128,実績!$AJ$6:$AJ$505,"&gt;"&amp;$A128,実績!$AL$6:$AL$505,"○")&gt;0,1,0))</f>
        <v>0</v>
      </c>
      <c r="Y128" s="39" t="n">
        <f aca="false">IF(Y$4=0,0,IF(COUNTIFS(実績!$W$6:$W$505,Y$3,実績!$AI$6:$AI$505,"&lt;="&amp;$A128,実績!$AJ$6:$AJ$505,"&gt;"&amp;$A128,実績!$AL$6:$AL$505,"○")&gt;0,1,0))</f>
        <v>0</v>
      </c>
      <c r="Z128" s="39" t="n">
        <f aca="false">IF(Z$4=0,0,IF(COUNTIFS(実績!$W$6:$W$505,Z$3,実績!$AI$6:$AI$505,"&lt;="&amp;$A128,実績!$AJ$6:$AJ$505,"&gt;"&amp;$A128,実績!$AL$6:$AL$505,"○")&gt;0,1,0))</f>
        <v>0</v>
      </c>
      <c r="AA128" s="39" t="n">
        <f aca="false">IF(AA$4=0,0,IF(COUNTIFS(実績!$W$6:$W$505,AA$3,実績!$AI$6:$AI$505,"&lt;="&amp;$A128,実績!$AJ$6:$AJ$505,"&gt;"&amp;$A128,実績!$AL$6:$AL$505,"○")&gt;0,1,0))</f>
        <v>0</v>
      </c>
      <c r="AB128" s="39" t="n">
        <f aca="false">IF(AB$4=0,0,IF(COUNTIFS(実績!$W$6:$W$505,AB$3,実績!$AI$6:$AI$505,"&lt;="&amp;$A128,実績!$AJ$6:$AJ$505,"&gt;"&amp;$A128,実績!$AL$6:$AL$505,"○")&gt;0,1,0))</f>
        <v>0</v>
      </c>
      <c r="AC128" s="39" t="n">
        <f aca="false">IF(AC$4=0,0,IF(COUNTIFS(実績!$W$6:$W$505,AC$3,実績!$AI$6:$AI$505,"&lt;="&amp;$A128,実績!$AJ$6:$AJ$505,"&gt;"&amp;$A128,実績!$AL$6:$AL$505,"○")&gt;0,1,0))</f>
        <v>0</v>
      </c>
      <c r="AD128" s="39" t="n">
        <f aca="false">IF(AD$4=0,0,IF(COUNTIFS(実績!$W$6:$W$505,AD$3,実績!$AI$6:$AI$505,"&lt;="&amp;$A128,実績!$AJ$6:$AJ$505,"&gt;"&amp;$A128,実績!$AL$6:$AL$505,"○")&gt;0,1,0))</f>
        <v>0</v>
      </c>
      <c r="AE128" s="39" t="n">
        <f aca="false">IF(AE$4=0,0,IF(COUNTIFS(実績!$W$6:$W$505,AE$3,実績!$AI$6:$AI$505,"&lt;="&amp;$A128,実績!$AJ$6:$AJ$505,"&gt;"&amp;$A128,実績!$AL$6:$AL$505,"○")&gt;0,1,0))</f>
        <v>0</v>
      </c>
      <c r="AF128" s="39" t="n">
        <f aca="false">IF(AF$4=0,0,IF(COUNTIFS(実績!$W$6:$W$505,AF$3,実績!$AI$6:$AI$505,"&lt;="&amp;$A128,実績!$AJ$6:$AJ$505,"&gt;"&amp;$A128,実績!$AL$6:$AL$505,"○")&gt;0,1,0))</f>
        <v>0</v>
      </c>
      <c r="AG128" s="39" t="n">
        <f aca="false">IF(AG$4=0,0,IF(COUNTIFS(実績!$W$6:$W$505,AG$3,実績!$AI$6:$AI$505,"&lt;="&amp;$A128,実績!$AJ$6:$AJ$505,"&gt;"&amp;$A128,実績!$AL$6:$AL$505,"○")&gt;0,1,0))</f>
        <v>0</v>
      </c>
      <c r="AH128" s="39" t="n">
        <f aca="false">IF(AH$4=0,0,IF(COUNTIFS(実績!$W$6:$W$505,AH$3,実績!$AI$6:$AI$505,"&lt;="&amp;$A128,実績!$AJ$6:$AJ$505,"&gt;"&amp;$A128,実績!$AL$6:$AL$505,"○")&gt;0,1,0))</f>
        <v>0</v>
      </c>
      <c r="AI128" s="39" t="n">
        <f aca="false">IF(AI$4=0,0,IF(COUNTIFS(実績!$W$6:$W$505,AI$3,実績!$AI$6:$AI$505,"&lt;="&amp;$A128,実績!$AJ$6:$AJ$505,"&gt;"&amp;$A128,実績!$AL$6:$AL$505,"○")&gt;0,1,0))</f>
        <v>0</v>
      </c>
      <c r="AJ128" s="39" t="n">
        <f aca="false">IF(AJ$4=0,0,IF(COUNTIFS(実績!$W$6:$W$505,AJ$3,実績!$AI$6:$AI$505,"&lt;="&amp;$A128,実績!$AJ$6:$AJ$505,"&gt;"&amp;$A128,実績!$AL$6:$AL$505,"○")&gt;0,1,0))</f>
        <v>0</v>
      </c>
      <c r="AK128" s="39" t="n">
        <f aca="false">IF(AK$4=0,0,IF(COUNTIFS(実績!$W$6:$W$505,AK$3,実績!$AI$6:$AI$505,"&lt;="&amp;$A128,実績!$AJ$6:$AJ$505,"&gt;"&amp;$A128,実績!$AL$6:$AL$505,"○")&gt;0,1,0))</f>
        <v>0</v>
      </c>
      <c r="AL128" s="39" t="n">
        <f aca="false">IF(AL$4=0,0,IF(COUNTIFS(実績!$W$6:$W$505,AL$3,実績!$AI$6:$AI$505,"&lt;="&amp;$A128,実績!$AJ$6:$AJ$505,"&gt;"&amp;$A128,実績!$AL$6:$AL$505,"○")&gt;0,1,0))</f>
        <v>0</v>
      </c>
      <c r="AM128" s="39" t="n">
        <f aca="false">IF(AM$4=0,0,IF(COUNTIFS(実績!$W$6:$W$505,AM$3,実績!$AI$6:$AI$505,"&lt;="&amp;$A128,実績!$AJ$6:$AJ$505,"&gt;"&amp;$A128,実績!$AL$6:$AL$505,"○")&gt;0,1,0))</f>
        <v>0</v>
      </c>
      <c r="AN128" s="39" t="n">
        <f aca="false">IF(AN$4=0,0,IF(COUNTIFS(実績!$W$6:$W$505,AN$3,実績!$AI$6:$AI$505,"&lt;="&amp;$A128,実績!$AJ$6:$AJ$505,"&gt;"&amp;$A128,実績!$AL$6:$AL$505,"○")&gt;0,1,0))</f>
        <v>0</v>
      </c>
      <c r="AO128" s="39" t="n">
        <f aca="false">IF(AO$4=0,0,IF(COUNTIFS(実績!$W$6:$W$505,AO$3,実績!$AI$6:$AI$505,"&lt;="&amp;$A128,実績!$AJ$6:$AJ$505,"&gt;"&amp;$A128,実績!$AL$6:$AL$505,"○")&gt;0,1,0))</f>
        <v>0</v>
      </c>
      <c r="AP128" s="39" t="n">
        <f aca="false">IF(AP$4=0,0,IF(COUNTIFS(実績!$W$6:$W$505,AP$3,実績!$AI$6:$AI$505,"&lt;="&amp;$A128,実績!$AJ$6:$AJ$505,"&gt;"&amp;$A128,実績!$AL$6:$AL$505,"○")&gt;0,1,0))</f>
        <v>0</v>
      </c>
      <c r="AQ128" s="39" t="n">
        <f aca="false">IF(AQ$4=0,0,IF(COUNTIFS(実績!$W$6:$W$505,AQ$3,実績!$AI$6:$AI$505,"&lt;="&amp;$A128,実績!$AJ$6:$AJ$505,"&gt;"&amp;$A128,実績!$AL$6:$AL$505,"○")&gt;0,1,0))</f>
        <v>0</v>
      </c>
      <c r="AR128" s="39" t="n">
        <f aca="false">IF(AR$4=0,0,IF(COUNTIFS(実績!$W$6:$W$505,AR$3,実績!$AI$6:$AI$505,"&lt;="&amp;$A128,実績!$AJ$6:$AJ$505,"&gt;"&amp;$A128,実績!$AL$6:$AL$505,"○")&gt;0,1,0))</f>
        <v>0</v>
      </c>
      <c r="AS128" s="39" t="n">
        <f aca="false">IF(AS$4=0,0,IF(COUNTIFS(実績!$W$6:$W$505,AS$3,実績!$AI$6:$AI$505,"&lt;="&amp;$A128,実績!$AJ$6:$AJ$505,"&gt;"&amp;$A128,実績!$AL$6:$AL$505,"○")&gt;0,1,0))</f>
        <v>0</v>
      </c>
      <c r="AT128" s="39" t="n">
        <f aca="false">IF(AT$4=0,0,IF(COUNTIFS(実績!$W$6:$W$505,AT$3,実績!$AI$6:$AI$505,"&lt;="&amp;$A128,実績!$AJ$6:$AJ$505,"&gt;"&amp;$A128,実績!$AL$6:$AL$505,"○")&gt;0,1,0))</f>
        <v>0</v>
      </c>
      <c r="AU128" s="39" t="n">
        <f aca="false">IF(AU$4=0,0,IF(COUNTIFS(実績!$W$6:$W$505,AU$3,実績!$AI$6:$AI$505,"&lt;="&amp;$A128,実績!$AJ$6:$AJ$505,"&gt;"&amp;$A128,実績!$AL$6:$AL$505,"○")&gt;0,1,0))</f>
        <v>0</v>
      </c>
      <c r="AV128" s="39" t="n">
        <f aca="false">IF(AV$4=0,0,IF(COUNTIFS(実績!$W$6:$W$505,AV$3,実績!$AI$6:$AI$505,"&lt;="&amp;$A128,実績!$AJ$6:$AJ$505,"&gt;"&amp;$A128,実績!$AL$6:$AL$505,"○")&gt;0,1,0))</f>
        <v>0</v>
      </c>
      <c r="AW128" s="39" t="n">
        <f aca="false">IF(AW$4=0,0,IF(COUNTIFS(実績!$W$6:$W$505,AW$3,実績!$AI$6:$AI$505,"&lt;="&amp;$A128,実績!$AJ$6:$AJ$505,"&gt;"&amp;$A128,実績!$AL$6:$AL$505,"○")&gt;0,1,0))</f>
        <v>0</v>
      </c>
      <c r="AX128" s="39" t="n">
        <f aca="false">IF(AX$4=0,0,IF(COUNTIFS(実績!$W$6:$W$505,AX$3,実績!$AI$6:$AI$505,"&lt;="&amp;$A128,実績!$AJ$6:$AJ$505,"&gt;"&amp;$A128,実績!$AL$6:$AL$505,"○")&gt;0,1,0))</f>
        <v>0</v>
      </c>
      <c r="AY128" s="39" t="n">
        <f aca="false">IF(AY$4=0,0,IF(COUNTIFS(実績!$W$6:$W$505,AY$3,実績!$AI$6:$AI$505,"&lt;="&amp;$A128,実績!$AJ$6:$AJ$505,"&gt;"&amp;$A128,実績!$AL$6:$AL$505,"○")&gt;0,1,0))</f>
        <v>0</v>
      </c>
      <c r="AZ128" s="39" t="n">
        <f aca="false">IF(AZ$4=0,0,IF(COUNTIFS(実績!$W$6:$W$505,AZ$3,実績!$AI$6:$AI$505,"&lt;="&amp;$A128,実績!$AJ$6:$AJ$505,"&gt;"&amp;$A128,実績!$AL$6:$AL$505,"○")&gt;0,1,0))</f>
        <v>0</v>
      </c>
      <c r="BA128" s="39" t="n">
        <f aca="false">IF(BA$4=0,0,IF(COUNTIFS(実績!$W$6:$W$505,BA$3,実績!$AI$6:$AI$505,"&lt;="&amp;$A128,実績!$AJ$6:$AJ$505,"&gt;"&amp;$A128,実績!$AL$6:$AL$505,"○")&gt;0,1,0))</f>
        <v>0</v>
      </c>
      <c r="BB128" s="39" t="n">
        <f aca="false">IF(BB$4=0,0,IF(COUNTIFS(実績!$W$6:$W$505,BB$3,実績!$AI$6:$AI$505,"&lt;="&amp;$A128,実績!$AJ$6:$AJ$505,"&gt;"&amp;$A128,実績!$AL$6:$AL$505,"○")&gt;0,1,0))</f>
        <v>0</v>
      </c>
      <c r="BC128" s="39" t="n">
        <f aca="false">IF(BC$4=0,0,IF(COUNTIFS(実績!$W$6:$W$505,BC$3,実績!$AI$6:$AI$505,"&lt;="&amp;$A128,実績!$AJ$6:$AJ$505,"&gt;"&amp;$A128,実績!$AL$6:$AL$505,"○")&gt;0,1,0))</f>
        <v>0</v>
      </c>
      <c r="BD128" s="39" t="n">
        <f aca="false">IF(BD$4=0,0,IF(COUNTIFS(実績!$W$6:$W$505,BD$3,実績!$AI$6:$AI$505,"&lt;="&amp;$A128,実績!$AJ$6:$AJ$505,"&gt;"&amp;$A128,実績!$AL$6:$AL$505,"○")&gt;0,1,0))</f>
        <v>0</v>
      </c>
      <c r="BE128" s="39" t="n">
        <f aca="false">IF(BE$4=0,0,IF(COUNTIFS(実績!$W$6:$W$505,BE$3,実績!$AI$6:$AI$505,"&lt;="&amp;$A128,実績!$AJ$6:$AJ$505,"&gt;"&amp;$A128,実績!$AL$6:$AL$505,"○")&gt;0,1,0))</f>
        <v>0</v>
      </c>
      <c r="BF128" s="39" t="n">
        <f aca="false">IF(BF$4=0,0,IF(COUNTIFS(実績!$W$6:$W$505,BF$3,実績!$AI$6:$AI$505,"&lt;="&amp;$A128,実績!$AJ$6:$AJ$505,"&gt;"&amp;$A128,実績!$AL$6:$AL$505,"○")&gt;0,1,0))</f>
        <v>0</v>
      </c>
      <c r="BG128" s="39" t="n">
        <f aca="false">IF(BG$4=0,0,IF(COUNTIFS(実績!$W$6:$W$505,BG$3,実績!$AI$6:$AI$505,"&lt;="&amp;$A128,実績!$AJ$6:$AJ$505,"&gt;"&amp;$A128,実績!$AL$6:$AL$505,"○")&gt;0,1,0))</f>
        <v>0</v>
      </c>
      <c r="BH128" s="39" t="n">
        <f aca="false">IF(BH$4=0,0,IF(COUNTIFS(実績!$W$6:$W$505,BH$3,実績!$AI$6:$AI$505,"&lt;="&amp;$A128,実績!$AJ$6:$AJ$505,"&gt;"&amp;$A128,実績!$AL$6:$AL$505,"○")&gt;0,1,0))</f>
        <v>0</v>
      </c>
      <c r="BI128" s="39" t="n">
        <f aca="false">IF(BI$4=0,0,IF(COUNTIFS(実績!$W$6:$W$505,BI$3,実績!$AI$6:$AI$505,"&lt;="&amp;$A128,実績!$AJ$6:$AJ$505,"&gt;"&amp;$A128,実績!$AL$6:$AL$505,"○")&gt;0,1,0))</f>
        <v>0</v>
      </c>
      <c r="BJ128" s="39" t="n">
        <f aca="false">IF(BJ$4=0,0,IF(COUNTIFS(実績!$W$6:$W$505,BJ$3,実績!$AI$6:$AI$505,"&lt;="&amp;$A128,実績!$AJ$6:$AJ$505,"&gt;"&amp;$A128,実績!$AL$6:$AL$505,"○")&gt;0,1,0))</f>
        <v>0</v>
      </c>
      <c r="BK128" s="39" t="n">
        <f aca="false">IF(BK$4=0,0,IF(COUNTIFS(実績!$W$6:$W$505,BK$3,実績!$AI$6:$AI$505,"&lt;="&amp;$A128,実績!$AJ$6:$AJ$505,"&gt;"&amp;$A128,実績!$AL$6:$AL$505,"○")&gt;0,1,0))</f>
        <v>0</v>
      </c>
      <c r="BL128" s="39" t="n">
        <f aca="false">IF(BL$4=0,0,IF(COUNTIFS(実績!$W$6:$W$505,BL$3,実績!$AI$6:$AI$505,"&lt;="&amp;$A128,実績!$AJ$6:$AJ$505,"&gt;"&amp;$A128,実績!$AL$6:$AL$505,"○")&gt;0,1,0))</f>
        <v>0</v>
      </c>
      <c r="BM128" s="39" t="n">
        <f aca="false">IF(BM$4=0,0,IF(COUNTIFS(実績!$W$6:$W$505,BM$3,実績!$AI$6:$AI$505,"&lt;="&amp;$A128,実績!$AJ$6:$AJ$505,"&gt;"&amp;$A128,実績!$AL$6:$AL$505,"○")&gt;0,1,0))</f>
        <v>0</v>
      </c>
      <c r="BN128" s="39" t="n">
        <f aca="false">IF(BN$4=0,0,IF(COUNTIFS(実績!$W$6:$W$505,BN$3,実績!$AI$6:$AI$505,"&lt;="&amp;$A128,実績!$AJ$6:$AJ$505,"&gt;"&amp;$A128,実績!$AL$6:$AL$505,"○")&gt;0,1,0))</f>
        <v>0</v>
      </c>
      <c r="BO128" s="39" t="n">
        <f aca="false">IF(BO$4=0,0,IF(COUNTIFS(実績!$W$6:$W$505,BO$3,実績!$AI$6:$AI$505,"&lt;="&amp;$A128,実績!$AJ$6:$AJ$505,"&gt;"&amp;$A128,実績!$AL$6:$AL$505,"○")&gt;0,1,0))</f>
        <v>0</v>
      </c>
      <c r="BP128" s="39" t="n">
        <f aca="false">IF(BP$4=0,0,IF(COUNTIFS(実績!$W$6:$W$505,BP$3,実績!$AI$6:$AI$505,"&lt;="&amp;$A128,実績!$AJ$6:$AJ$505,"&gt;"&amp;$A128,実績!$AL$6:$AL$505,"○")&gt;0,1,0))</f>
        <v>0</v>
      </c>
      <c r="BQ128" s="39" t="n">
        <f aca="false">IF(BQ$4=0,0,IF(COUNTIFS(実績!$W$6:$W$505,BQ$3,実績!$AI$6:$AI$505,"&lt;="&amp;$A128,実績!$AJ$6:$AJ$505,"&gt;"&amp;$A128,実績!$AL$6:$AL$505,"○")&gt;0,1,0))</f>
        <v>0</v>
      </c>
      <c r="BR128" s="39" t="n">
        <f aca="false">IF(BR$4=0,0,IF(COUNTIFS(実績!$W$6:$W$505,BR$3,実績!$AI$6:$AI$505,"&lt;="&amp;$A128,実績!$AJ$6:$AJ$505,"&gt;"&amp;$A128,実績!$AL$6:$AL$505,"○")&gt;0,1,0))</f>
        <v>0</v>
      </c>
      <c r="BS128" s="39" t="n">
        <f aca="false">IF(BS$4=0,0,IF(COUNTIFS(実績!$W$6:$W$505,BS$3,実績!$AI$6:$AI$505,"&lt;="&amp;$A128,実績!$AJ$6:$AJ$505,"&gt;"&amp;$A128,実績!$AL$6:$AL$505,"○")&gt;0,1,0))</f>
        <v>0</v>
      </c>
      <c r="BT128" s="39" t="n">
        <f aca="false">IF(BT$4=0,0,IF(COUNTIFS(実績!$W$6:$W$505,BT$3,実績!$AI$6:$AI$505,"&lt;="&amp;$A128,実績!$AJ$6:$AJ$505,"&gt;"&amp;$A128,実績!$AL$6:$AL$505,"○")&gt;0,1,0))</f>
        <v>0</v>
      </c>
      <c r="BU128" s="39" t="n">
        <f aca="false">IF(BU$4=0,0,IF(COUNTIFS(実績!$W$6:$W$505,BU$3,実績!$AI$6:$AI$505,"&lt;="&amp;$A128,実績!$AJ$6:$AJ$505,"&gt;"&amp;$A128,実績!$AL$6:$AL$505,"○")&gt;0,1,0))</f>
        <v>0</v>
      </c>
      <c r="BV128" s="39" t="n">
        <f aca="false">IF(BV$4=0,0,IF(COUNTIFS(実績!$W$6:$W$505,BV$3,実績!$AI$6:$AI$505,"&lt;="&amp;$A128,実績!$AJ$6:$AJ$505,"&gt;"&amp;$A128,実績!$AL$6:$AL$505,"○")&gt;0,1,0))</f>
        <v>0</v>
      </c>
      <c r="BW128" s="39" t="n">
        <f aca="false">IF(BW$4=0,0,IF(COUNTIFS(実績!$W$6:$W$505,BW$3,実績!$AI$6:$AI$505,"&lt;="&amp;$A128,実績!$AJ$6:$AJ$505,"&gt;"&amp;$A128,実績!$AL$6:$AL$505,"○")&gt;0,1,0))</f>
        <v>0</v>
      </c>
      <c r="BX128" s="39" t="n">
        <f aca="false">IF(BX$4=0,0,IF(COUNTIFS(実績!$W$6:$W$505,BX$3,実績!$AI$6:$AI$505,"&lt;="&amp;$A128,実績!$AJ$6:$AJ$505,"&gt;"&amp;$A128,実績!$AL$6:$AL$505,"○")&gt;0,1,0))</f>
        <v>0</v>
      </c>
      <c r="BY128" s="39" t="n">
        <f aca="false">IF(BY$4=0,0,IF(COUNTIFS(実績!$W$6:$W$505,BY$3,実績!$AI$6:$AI$505,"&lt;="&amp;$A128,実績!$AJ$6:$AJ$505,"&gt;"&amp;$A128,実績!$AL$6:$AL$505,"○")&gt;0,1,0))</f>
        <v>0</v>
      </c>
      <c r="BZ128" s="39" t="n">
        <f aca="false">IF(BZ$4=0,0,IF(COUNTIFS(実績!$W$6:$W$505,BZ$3,実績!$AI$6:$AI$505,"&lt;="&amp;$A128,実績!$AJ$6:$AJ$505,"&gt;"&amp;$A128,実績!$AL$6:$AL$505,"○")&gt;0,1,0))</f>
        <v>0</v>
      </c>
      <c r="CA128" s="39" t="n">
        <f aca="false">IF(CA$4=0,0,IF(COUNTIFS(実績!$W$6:$W$505,CA$3,実績!$AI$6:$AI$505,"&lt;="&amp;$A128,実績!$AJ$6:$AJ$505,"&gt;"&amp;$A128,実績!$AL$6:$AL$505,"○")&gt;0,1,0))</f>
        <v>0</v>
      </c>
      <c r="CB128" s="39" t="n">
        <f aca="false">IF(CB$4=0,0,IF(COUNTIFS(実績!$W$6:$W$505,CB$3,実績!$AI$6:$AI$505,"&lt;="&amp;$A128,実績!$AJ$6:$AJ$505,"&gt;"&amp;$A128,実績!$AL$6:$AL$505,"○")&gt;0,1,0))</f>
        <v>0</v>
      </c>
      <c r="CC128" s="39" t="n">
        <f aca="false">IF(CC$4=0,0,IF(COUNTIFS(実績!$W$6:$W$505,CC$3,実績!$AI$6:$AI$505,"&lt;="&amp;$A128,実績!$AJ$6:$AJ$505,"&gt;"&amp;$A128,実績!$AL$6:$AL$505,"○")&gt;0,1,0))</f>
        <v>0</v>
      </c>
      <c r="CD128" s="39" t="n">
        <f aca="false">IF(CD$4=0,0,IF(COUNTIFS(実績!$W$6:$W$505,CD$3,実績!$AI$6:$AI$505,"&lt;="&amp;$A128,実績!$AJ$6:$AJ$505,"&gt;"&amp;$A128,実績!$AL$6:$AL$505,"○")&gt;0,1,0))</f>
        <v>0</v>
      </c>
      <c r="CE128" s="39" t="n">
        <f aca="false">IF(CE$4=0,0,IF(COUNTIFS(実績!$W$6:$W$505,CE$3,実績!$AI$6:$AI$505,"&lt;="&amp;$A128,実績!$AJ$6:$AJ$505,"&gt;"&amp;$A128,実績!$AL$6:$AL$505,"○")&gt;0,1,0))</f>
        <v>0</v>
      </c>
      <c r="CF128" s="39" t="n">
        <f aca="false">IF(CF$4=0,0,IF(COUNTIFS(実績!$W$6:$W$505,CF$3,実績!$AI$6:$AI$505,"&lt;="&amp;$A128,実績!$AJ$6:$AJ$505,"&gt;"&amp;$A128,実績!$AL$6:$AL$505,"○")&gt;0,1,0))</f>
        <v>0</v>
      </c>
      <c r="CG128" s="39" t="n">
        <f aca="false">IF(CG$4=0,0,IF(COUNTIFS(実績!$W$6:$W$505,CG$3,実績!$AI$6:$AI$505,"&lt;="&amp;$A128,実績!$AJ$6:$AJ$505,"&gt;"&amp;$A128,実績!$AL$6:$AL$505,"○")&gt;0,1,0))</f>
        <v>0</v>
      </c>
      <c r="CH128" s="39" t="n">
        <f aca="false">IF(CH$4=0,0,IF(COUNTIFS(実績!$W$6:$W$505,CH$3,実績!$AI$6:$AI$505,"&lt;="&amp;$A128,実績!$AJ$6:$AJ$505,"&gt;"&amp;$A128,実績!$AL$6:$AL$505,"○")&gt;0,1,0))</f>
        <v>0</v>
      </c>
      <c r="CI128" s="39" t="n">
        <f aca="false">IF(CI$4=0,0,IF(COUNTIFS(実績!$W$6:$W$505,CI$3,実績!$AI$6:$AI$505,"&lt;="&amp;$A128,実績!$AJ$6:$AJ$505,"&gt;"&amp;$A128,実績!$AL$6:$AL$505,"○")&gt;0,1,0))</f>
        <v>0</v>
      </c>
      <c r="CJ128" s="39" t="n">
        <f aca="false">IF(CJ$4=0,0,IF(COUNTIFS(実績!$W$6:$W$505,CJ$3,実績!$AI$6:$AI$505,"&lt;="&amp;$A128,実績!$AJ$6:$AJ$505,"&gt;"&amp;$A128,実績!$AL$6:$AL$505,"○")&gt;0,1,0))</f>
        <v>0</v>
      </c>
      <c r="CK128" s="39" t="n">
        <f aca="false">IF(CK$4=0,0,IF(COUNTIFS(実績!$W$6:$W$505,CK$3,実績!$AI$6:$AI$505,"&lt;="&amp;$A128,実績!$AJ$6:$AJ$505,"&gt;"&amp;$A128,実績!$AL$6:$AL$505,"○")&gt;0,1,0))</f>
        <v>0</v>
      </c>
      <c r="CL128" s="39" t="n">
        <f aca="false">IF(CL$4=0,0,IF(COUNTIFS(実績!$W$6:$W$505,CL$3,実績!$AI$6:$AI$505,"&lt;="&amp;$A128,実績!$AJ$6:$AJ$505,"&gt;"&amp;$A128,実績!$AL$6:$AL$505,"○")&gt;0,1,0))</f>
        <v>0</v>
      </c>
      <c r="CM128" s="39" t="n">
        <f aca="false">IF(CM$4=0,0,IF(COUNTIFS(実績!$W$6:$W$505,CM$3,実績!$AI$6:$AI$505,"&lt;="&amp;$A128,実績!$AJ$6:$AJ$505,"&gt;"&amp;$A128,実績!$AL$6:$AL$505,"○")&gt;0,1,0))</f>
        <v>0</v>
      </c>
      <c r="CN128" s="39" t="n">
        <f aca="false">IF(CN$4=0,0,IF(COUNTIFS(実績!$W$6:$W$505,CN$3,実績!$AI$6:$AI$505,"&lt;="&amp;$A128,実績!$AJ$6:$AJ$505,"&gt;"&amp;$A128,実績!$AL$6:$AL$505,"○")&gt;0,1,0))</f>
        <v>0</v>
      </c>
      <c r="CO128" s="39" t="n">
        <f aca="false">IF(CO$4=0,0,IF(COUNTIFS(実績!$W$6:$W$505,CO$3,実績!$AI$6:$AI$505,"&lt;="&amp;$A128,実績!$AJ$6:$AJ$505,"&gt;"&amp;$A128,実績!$AL$6:$AL$505,"○")&gt;0,1,0))</f>
        <v>0</v>
      </c>
      <c r="CP128" s="39" t="n">
        <f aca="false">IF(CP$4=0,0,IF(COUNTIFS(実績!$W$6:$W$505,CP$3,実績!$AI$6:$AI$505,"&lt;="&amp;$A128,実績!$AJ$6:$AJ$505,"&gt;"&amp;$A128,実績!$AL$6:$AL$505,"○")&gt;0,1,0))</f>
        <v>0</v>
      </c>
      <c r="CQ128" s="39" t="n">
        <f aca="false">IF(CQ$4=0,0,IF(COUNTIFS(実績!$W$6:$W$505,CQ$3,実績!$AI$6:$AI$505,"&lt;="&amp;$A128,実績!$AJ$6:$AJ$505,"&gt;"&amp;$A128,実績!$AL$6:$AL$505,"○")&gt;0,1,0))</f>
        <v>0</v>
      </c>
      <c r="CR128" s="39" t="n">
        <f aca="false">IF(CR$4=0,0,IF(COUNTIFS(実績!$W$6:$W$505,CR$3,実績!$AI$6:$AI$505,"&lt;="&amp;$A128,実績!$AJ$6:$AJ$505,"&gt;"&amp;$A128,実績!$AL$6:$AL$505,"○")&gt;0,1,0))</f>
        <v>0</v>
      </c>
      <c r="CS128" s="39" t="n">
        <f aca="false">IF(CS$4=0,0,IF(COUNTIFS(実績!$W$6:$W$505,CS$3,実績!$AI$6:$AI$505,"&lt;="&amp;$A128,実績!$AJ$6:$AJ$505,"&gt;"&amp;$A128,実績!$AL$6:$AL$505,"○")&gt;0,1,0))</f>
        <v>0</v>
      </c>
      <c r="CT128" s="39" t="n">
        <f aca="false">IF(CT$4=0,0,IF(COUNTIFS(実績!$W$6:$W$505,CT$3,実績!$AI$6:$AI$505,"&lt;="&amp;$A128,実績!$AJ$6:$AJ$505,"&gt;"&amp;$A128,実績!$AL$6:$AL$505,"○")&gt;0,1,0))</f>
        <v>0</v>
      </c>
      <c r="CU128" s="39" t="n">
        <f aca="false">IF(CU$4=0,0,IF(COUNTIFS(実績!$W$6:$W$505,CU$3,実績!$AI$6:$AI$505,"&lt;="&amp;$A128,実績!$AJ$6:$AJ$505,"&gt;"&amp;$A128,実績!$AL$6:$AL$505,"○")&gt;0,1,0))</f>
        <v>0</v>
      </c>
      <c r="CV128" s="39" t="n">
        <f aca="false">IF(CV$4=0,0,IF(COUNTIFS(実績!$W$6:$W$505,CV$3,実績!$AI$6:$AI$505,"&lt;="&amp;$A128,実績!$AJ$6:$AJ$505,"&gt;"&amp;$A128,実績!$AL$6:$AL$505,"○")&gt;0,1,0))</f>
        <v>0</v>
      </c>
      <c r="CW128" s="39" t="n">
        <f aca="false">IF(CW$4=0,0,IF(COUNTIFS(実績!$W$6:$W$505,CW$3,実績!$AI$6:$AI$505,"&lt;="&amp;$A128,実績!$AJ$6:$AJ$505,"&gt;"&amp;$A128,実績!$AL$6:$AL$505,"○")&gt;0,1,0))</f>
        <v>0</v>
      </c>
      <c r="CX128" s="39" t="n">
        <f aca="false">IF(CX$4=0,0,IF(COUNTIFS(実績!$W$6:$W$505,CX$3,実績!$AI$6:$AI$505,"&lt;="&amp;$A128,実績!$AJ$6:$AJ$505,"&gt;"&amp;$A128,実績!$AL$6:$AL$505,"○")&gt;0,1,0))</f>
        <v>0</v>
      </c>
      <c r="CY128" s="39" t="n">
        <f aca="false">IF(CY$4=0,0,IF(COUNTIFS(実績!$W$6:$W$505,CY$3,実績!$AI$6:$AI$505,"&lt;="&amp;$A128,実績!$AJ$6:$AJ$505,"&gt;"&amp;$A128,実績!$AL$6:$AL$505,"○")&gt;0,1,0))</f>
        <v>0</v>
      </c>
      <c r="CZ128" s="39" t="n">
        <f aca="false">IF(CZ$4=0,0,IF(COUNTIFS(実績!$W$6:$W$505,CZ$3,実績!$AI$6:$AI$505,"&lt;="&amp;$A128,実績!$AJ$6:$AJ$505,"&gt;"&amp;$A128,実績!$AL$6:$AL$505,"○")&gt;0,1,0))</f>
        <v>0</v>
      </c>
      <c r="DA128" s="39" t="n">
        <f aca="false">IF(DA$4=0,0,IF(COUNTIFS(実績!$W$6:$W$505,DA$3,実績!$AI$6:$AI$505,"&lt;="&amp;$A128,実績!$AJ$6:$AJ$505,"&gt;"&amp;$A128,実績!$AL$6:$AL$505,"○")&gt;0,1,0))</f>
        <v>0</v>
      </c>
      <c r="DB128" s="39" t="n">
        <f aca="false">IF(DB$4=0,0,IF(COUNTIFS(実績!$W$6:$W$505,DB$3,実績!$AI$6:$AI$505,"&lt;="&amp;$A128,実績!$AJ$6:$AJ$505,"&gt;"&amp;$A128,実績!$AL$6:$AL$505,"○")&gt;0,1,0))</f>
        <v>0</v>
      </c>
      <c r="DC128" s="39" t="n">
        <f aca="false">IF(DC$4=0,0,IF(COUNTIFS(実績!$W$6:$W$505,DC$3,実績!$AI$6:$AI$505,"&lt;="&amp;$A128,実績!$AJ$6:$AJ$505,"&gt;"&amp;$A128,実績!$AL$6:$AL$505,"○")&gt;0,1,0))</f>
        <v>0</v>
      </c>
      <c r="DD128" s="39" t="n">
        <f aca="false">IF(DD$4=0,0,IF(COUNTIFS(実績!$W$6:$W$505,DD$3,実績!$AI$6:$AI$505,"&lt;="&amp;$A128,実績!$AJ$6:$AJ$505,"&gt;"&amp;$A128,実績!$AL$6:$AL$505,"○")&gt;0,1,0))</f>
        <v>0</v>
      </c>
      <c r="DE128" s="39" t="n">
        <f aca="false">IF(DE$4=0,0,IF(COUNTIFS(実績!$W$6:$W$505,DE$3,実績!$AI$6:$AI$505,"&lt;="&amp;$A128,実績!$AJ$6:$AJ$505,"&gt;"&amp;$A128,実績!$AL$6:$AL$505,"○")&gt;0,1,0))</f>
        <v>0</v>
      </c>
      <c r="DF128" s="39" t="n">
        <f aca="false">IF(DF$4=0,0,IF(COUNTIFS(実績!$W$6:$W$505,DF$3,実績!$AI$6:$AI$505,"&lt;="&amp;$A128,実績!$AJ$6:$AJ$505,"&gt;"&amp;$A128,実績!$AL$6:$AL$505,"○")&gt;0,1,0))</f>
        <v>0</v>
      </c>
      <c r="DG128" s="39" t="n">
        <f aca="false">IF(DG$4=0,0,IF(COUNTIFS(実績!$W$6:$W$505,DG$3,実績!$AI$6:$AI$505,"&lt;="&amp;$A128,実績!$AJ$6:$AJ$505,"&gt;"&amp;$A128,実績!$AL$6:$AL$505,"○")&gt;0,1,0))</f>
        <v>0</v>
      </c>
      <c r="DH128" s="39" t="n">
        <f aca="false">IF(DH$4=0,0,IF(COUNTIFS(実績!$W$6:$W$505,DH$3,実績!$AI$6:$AI$505,"&lt;="&amp;$A128,実績!$AJ$6:$AJ$505,"&gt;"&amp;$A128,実績!$AL$6:$AL$505,"○")&gt;0,1,0))</f>
        <v>0</v>
      </c>
      <c r="DI128" s="39" t="n">
        <f aca="false">IF(DI$4=0,0,IF(COUNTIFS(実績!$W$6:$W$505,DI$3,実績!$AI$6:$AI$505,"&lt;="&amp;$A128,実績!$AJ$6:$AJ$505,"&gt;"&amp;$A128,実績!$AL$6:$AL$505,"○")&gt;0,1,0))</f>
        <v>0</v>
      </c>
      <c r="DJ128" s="39" t="n">
        <f aca="false">IF(DJ$4=0,0,IF(COUNTIFS(実績!$W$6:$W$505,DJ$3,実績!$AI$6:$AI$505,"&lt;="&amp;$A128,実績!$AJ$6:$AJ$505,"&gt;"&amp;$A128,実績!$AL$6:$AL$505,"○")&gt;0,1,0))</f>
        <v>0</v>
      </c>
      <c r="DK128" s="39" t="n">
        <f aca="false">IF(DK$4=0,0,IF(COUNTIFS(実績!$W$6:$W$505,DK$3,実績!$AI$6:$AI$505,"&lt;="&amp;$A128,実績!$AJ$6:$AJ$505,"&gt;"&amp;$A128,実績!$AL$6:$AL$505,"○")&gt;0,1,0))</f>
        <v>0</v>
      </c>
      <c r="DL128" s="39" t="n">
        <f aca="false">IF(DL$4=0,0,IF(COUNTIFS(実績!$W$6:$W$505,DL$3,実績!$AI$6:$AI$505,"&lt;="&amp;$A128,実績!$AJ$6:$AJ$505,"&gt;"&amp;$A128,実績!$AL$6:$AL$505,"○")&gt;0,1,0))</f>
        <v>0</v>
      </c>
      <c r="DM128" s="39" t="n">
        <f aca="false">IF(DM$4=0,0,IF(COUNTIFS(実績!$W$6:$W$505,DM$3,実績!$AI$6:$AI$505,"&lt;="&amp;$A128,実績!$AJ$6:$AJ$505,"&gt;"&amp;$A128,実績!$AL$6:$AL$505,"○")&gt;0,1,0))</f>
        <v>0</v>
      </c>
      <c r="DN128" s="39" t="n">
        <f aca="false">IF(DN$4=0,0,IF(COUNTIFS(実績!$W$6:$W$505,DN$3,実績!$AI$6:$AI$505,"&lt;="&amp;$A128,実績!$AJ$6:$AJ$505,"&gt;"&amp;$A128,実績!$AL$6:$AL$505,"○")&gt;0,1,0))</f>
        <v>0</v>
      </c>
      <c r="DO128" s="39" t="n">
        <f aca="false">IF(DO$4=0,0,IF(COUNTIFS(実績!$W$6:$W$505,DO$3,実績!$AI$6:$AI$505,"&lt;="&amp;$A128,実績!$AJ$6:$AJ$505,"&gt;"&amp;$A128,実績!$AL$6:$AL$505,"○")&gt;0,1,0))</f>
        <v>0</v>
      </c>
      <c r="DP128" s="39" t="n">
        <f aca="false">IF(DP$4=0,0,IF(COUNTIFS(実績!$W$6:$W$505,DP$3,実績!$AI$6:$AI$505,"&lt;="&amp;$A128,実績!$AJ$6:$AJ$505,"&gt;"&amp;$A128,実績!$AL$6:$AL$505,"○")&gt;0,1,0))</f>
        <v>0</v>
      </c>
      <c r="DQ128" s="39" t="n">
        <f aca="false">IF(DQ$4=0,0,IF(COUNTIFS(実績!$W$6:$W$505,DQ$3,実績!$AI$6:$AI$505,"&lt;="&amp;$A128,実績!$AJ$6:$AJ$505,"&gt;"&amp;$A128,実績!$AL$6:$AL$505,"○")&gt;0,1,0))</f>
        <v>0</v>
      </c>
      <c r="DR128" s="39" t="n">
        <f aca="false">IF(DR$4=0,0,IF(COUNTIFS(実績!$W$6:$W$505,DR$3,実績!$AI$6:$AI$505,"&lt;="&amp;$A128,実績!$AJ$6:$AJ$505,"&gt;"&amp;$A128,実績!$AL$6:$AL$505,"○")&gt;0,1,0))</f>
        <v>0</v>
      </c>
      <c r="DS128" s="39" t="n">
        <f aca="false">SUM(C128:DR128)</f>
        <v>0</v>
      </c>
    </row>
    <row r="129" customFormat="false" ht="15" hidden="false" customHeight="false" outlineLevel="0" collapsed="false">
      <c r="A129" s="0" t="n">
        <v>615</v>
      </c>
      <c r="B129" s="38" t="n">
        <f aca="false">A129/1440</f>
        <v>0.427083333333333</v>
      </c>
      <c r="C129" s="39" t="n">
        <f aca="false">IF(C$4=0,0,IF(COUNTIFS(実績!$W$6:$W$505,C$3,実績!$AI$6:$AI$505,"&lt;="&amp;$A129,実績!$AJ$6:$AJ$505,"&gt;"&amp;$A129,実績!$AL$6:$AL$505,"○")&gt;0,1,0))</f>
        <v>0</v>
      </c>
      <c r="D129" s="39" t="n">
        <f aca="false">IF(D$4=0,0,IF(COUNTIFS(実績!$W$6:$W$505,D$3,実績!$AI$6:$AI$505,"&lt;="&amp;$A129,実績!$AJ$6:$AJ$505,"&gt;"&amp;$A129,実績!$AL$6:$AL$505,"○")&gt;0,1,0))</f>
        <v>0</v>
      </c>
      <c r="E129" s="39" t="n">
        <f aca="false">IF(E$4=0,0,IF(COUNTIFS(実績!$W$6:$W$505,E$3,実績!$AI$6:$AI$505,"&lt;="&amp;$A129,実績!$AJ$6:$AJ$505,"&gt;"&amp;$A129,実績!$AL$6:$AL$505,"○")&gt;0,1,0))</f>
        <v>0</v>
      </c>
      <c r="F129" s="39" t="n">
        <f aca="false">IF(F$4=0,0,IF(COUNTIFS(実績!$W$6:$W$505,F$3,実績!$AI$6:$AI$505,"&lt;="&amp;$A129,実績!$AJ$6:$AJ$505,"&gt;"&amp;$A129,実績!$AL$6:$AL$505,"○")&gt;0,1,0))</f>
        <v>0</v>
      </c>
      <c r="G129" s="39" t="n">
        <f aca="false">IF(G$4=0,0,IF(COUNTIFS(実績!$W$6:$W$505,G$3,実績!$AI$6:$AI$505,"&lt;="&amp;$A129,実績!$AJ$6:$AJ$505,"&gt;"&amp;$A129,実績!$AL$6:$AL$505,"○")&gt;0,1,0))</f>
        <v>0</v>
      </c>
      <c r="H129" s="39" t="n">
        <f aca="false">IF(H$4=0,0,IF(COUNTIFS(実績!$W$6:$W$505,H$3,実績!$AI$6:$AI$505,"&lt;="&amp;$A129,実績!$AJ$6:$AJ$505,"&gt;"&amp;$A129,実績!$AL$6:$AL$505,"○")&gt;0,1,0))</f>
        <v>0</v>
      </c>
      <c r="I129" s="39" t="n">
        <f aca="false">IF(I$4=0,0,IF(COUNTIFS(実績!$W$6:$W$505,I$3,実績!$AI$6:$AI$505,"&lt;="&amp;$A129,実績!$AJ$6:$AJ$505,"&gt;"&amp;$A129,実績!$AL$6:$AL$505,"○")&gt;0,1,0))</f>
        <v>0</v>
      </c>
      <c r="J129" s="39" t="n">
        <f aca="false">IF(J$4=0,0,IF(COUNTIFS(実績!$W$6:$W$505,J$3,実績!$AI$6:$AI$505,"&lt;="&amp;$A129,実績!$AJ$6:$AJ$505,"&gt;"&amp;$A129,実績!$AL$6:$AL$505,"○")&gt;0,1,0))</f>
        <v>0</v>
      </c>
      <c r="K129" s="39" t="n">
        <f aca="false">IF(K$4=0,0,IF(COUNTIFS(実績!$W$6:$W$505,K$3,実績!$AI$6:$AI$505,"&lt;="&amp;$A129,実績!$AJ$6:$AJ$505,"&gt;"&amp;$A129,実績!$AL$6:$AL$505,"○")&gt;0,1,0))</f>
        <v>0</v>
      </c>
      <c r="L129" s="39" t="n">
        <f aca="false">IF(L$4=0,0,IF(COUNTIFS(実績!$W$6:$W$505,L$3,実績!$AI$6:$AI$505,"&lt;="&amp;$A129,実績!$AJ$6:$AJ$505,"&gt;"&amp;$A129,実績!$AL$6:$AL$505,"○")&gt;0,1,0))</f>
        <v>0</v>
      </c>
      <c r="M129" s="39" t="n">
        <f aca="false">IF(M$4=0,0,IF(COUNTIFS(実績!$W$6:$W$505,M$3,実績!$AI$6:$AI$505,"&lt;="&amp;$A129,実績!$AJ$6:$AJ$505,"&gt;"&amp;$A129,実績!$AL$6:$AL$505,"○")&gt;0,1,0))</f>
        <v>0</v>
      </c>
      <c r="N129" s="39" t="n">
        <f aca="false">IF(N$4=0,0,IF(COUNTIFS(実績!$W$6:$W$505,N$3,実績!$AI$6:$AI$505,"&lt;="&amp;$A129,実績!$AJ$6:$AJ$505,"&gt;"&amp;$A129,実績!$AL$6:$AL$505,"○")&gt;0,1,0))</f>
        <v>0</v>
      </c>
      <c r="O129" s="39" t="n">
        <f aca="false">IF(O$4=0,0,IF(COUNTIFS(実績!$W$6:$W$505,O$3,実績!$AI$6:$AI$505,"&lt;="&amp;$A129,実績!$AJ$6:$AJ$505,"&gt;"&amp;$A129,実績!$AL$6:$AL$505,"○")&gt;0,1,0))</f>
        <v>0</v>
      </c>
      <c r="P129" s="39" t="n">
        <f aca="false">IF(P$4=0,0,IF(COUNTIFS(実績!$W$6:$W$505,P$3,実績!$AI$6:$AI$505,"&lt;="&amp;$A129,実績!$AJ$6:$AJ$505,"&gt;"&amp;$A129,実績!$AL$6:$AL$505,"○")&gt;0,1,0))</f>
        <v>0</v>
      </c>
      <c r="Q129" s="39" t="n">
        <f aca="false">IF(Q$4=0,0,IF(COUNTIFS(実績!$W$6:$W$505,Q$3,実績!$AI$6:$AI$505,"&lt;="&amp;$A129,実績!$AJ$6:$AJ$505,"&gt;"&amp;$A129,実績!$AL$6:$AL$505,"○")&gt;0,1,0))</f>
        <v>0</v>
      </c>
      <c r="R129" s="39" t="n">
        <f aca="false">IF(R$4=0,0,IF(COUNTIFS(実績!$W$6:$W$505,R$3,実績!$AI$6:$AI$505,"&lt;="&amp;$A129,実績!$AJ$6:$AJ$505,"&gt;"&amp;$A129,実績!$AL$6:$AL$505,"○")&gt;0,1,0))</f>
        <v>0</v>
      </c>
      <c r="S129" s="39" t="n">
        <f aca="false">IF(S$4=0,0,IF(COUNTIFS(実績!$W$6:$W$505,S$3,実績!$AI$6:$AI$505,"&lt;="&amp;$A129,実績!$AJ$6:$AJ$505,"&gt;"&amp;$A129,実績!$AL$6:$AL$505,"○")&gt;0,1,0))</f>
        <v>0</v>
      </c>
      <c r="T129" s="39" t="n">
        <f aca="false">IF(T$4=0,0,IF(COUNTIFS(実績!$W$6:$W$505,T$3,実績!$AI$6:$AI$505,"&lt;="&amp;$A129,実績!$AJ$6:$AJ$505,"&gt;"&amp;$A129,実績!$AL$6:$AL$505,"○")&gt;0,1,0))</f>
        <v>0</v>
      </c>
      <c r="U129" s="39" t="n">
        <f aca="false">IF(U$4=0,0,IF(COUNTIFS(実績!$W$6:$W$505,U$3,実績!$AI$6:$AI$505,"&lt;="&amp;$A129,実績!$AJ$6:$AJ$505,"&gt;"&amp;$A129,実績!$AL$6:$AL$505,"○")&gt;0,1,0))</f>
        <v>0</v>
      </c>
      <c r="V129" s="39" t="n">
        <f aca="false">IF(V$4=0,0,IF(COUNTIFS(実績!$W$6:$W$505,V$3,実績!$AI$6:$AI$505,"&lt;="&amp;$A129,実績!$AJ$6:$AJ$505,"&gt;"&amp;$A129,実績!$AL$6:$AL$505,"○")&gt;0,1,0))</f>
        <v>0</v>
      </c>
      <c r="W129" s="39" t="n">
        <f aca="false">IF(W$4=0,0,IF(COUNTIFS(実績!$W$6:$W$505,W$3,実績!$AI$6:$AI$505,"&lt;="&amp;$A129,実績!$AJ$6:$AJ$505,"&gt;"&amp;$A129,実績!$AL$6:$AL$505,"○")&gt;0,1,0))</f>
        <v>0</v>
      </c>
      <c r="X129" s="39" t="n">
        <f aca="false">IF(X$4=0,0,IF(COUNTIFS(実績!$W$6:$W$505,X$3,実績!$AI$6:$AI$505,"&lt;="&amp;$A129,実績!$AJ$6:$AJ$505,"&gt;"&amp;$A129,実績!$AL$6:$AL$505,"○")&gt;0,1,0))</f>
        <v>0</v>
      </c>
      <c r="Y129" s="39" t="n">
        <f aca="false">IF(Y$4=0,0,IF(COUNTIFS(実績!$W$6:$W$505,Y$3,実績!$AI$6:$AI$505,"&lt;="&amp;$A129,実績!$AJ$6:$AJ$505,"&gt;"&amp;$A129,実績!$AL$6:$AL$505,"○")&gt;0,1,0))</f>
        <v>0</v>
      </c>
      <c r="Z129" s="39" t="n">
        <f aca="false">IF(Z$4=0,0,IF(COUNTIFS(実績!$W$6:$W$505,Z$3,実績!$AI$6:$AI$505,"&lt;="&amp;$A129,実績!$AJ$6:$AJ$505,"&gt;"&amp;$A129,実績!$AL$6:$AL$505,"○")&gt;0,1,0))</f>
        <v>0</v>
      </c>
      <c r="AA129" s="39" t="n">
        <f aca="false">IF(AA$4=0,0,IF(COUNTIFS(実績!$W$6:$W$505,AA$3,実績!$AI$6:$AI$505,"&lt;="&amp;$A129,実績!$AJ$6:$AJ$505,"&gt;"&amp;$A129,実績!$AL$6:$AL$505,"○")&gt;0,1,0))</f>
        <v>0</v>
      </c>
      <c r="AB129" s="39" t="n">
        <f aca="false">IF(AB$4=0,0,IF(COUNTIFS(実績!$W$6:$W$505,AB$3,実績!$AI$6:$AI$505,"&lt;="&amp;$A129,実績!$AJ$6:$AJ$505,"&gt;"&amp;$A129,実績!$AL$6:$AL$505,"○")&gt;0,1,0))</f>
        <v>0</v>
      </c>
      <c r="AC129" s="39" t="n">
        <f aca="false">IF(AC$4=0,0,IF(COUNTIFS(実績!$W$6:$W$505,AC$3,実績!$AI$6:$AI$505,"&lt;="&amp;$A129,実績!$AJ$6:$AJ$505,"&gt;"&amp;$A129,実績!$AL$6:$AL$505,"○")&gt;0,1,0))</f>
        <v>0</v>
      </c>
      <c r="AD129" s="39" t="n">
        <f aca="false">IF(AD$4=0,0,IF(COUNTIFS(実績!$W$6:$W$505,AD$3,実績!$AI$6:$AI$505,"&lt;="&amp;$A129,実績!$AJ$6:$AJ$505,"&gt;"&amp;$A129,実績!$AL$6:$AL$505,"○")&gt;0,1,0))</f>
        <v>0</v>
      </c>
      <c r="AE129" s="39" t="n">
        <f aca="false">IF(AE$4=0,0,IF(COUNTIFS(実績!$W$6:$W$505,AE$3,実績!$AI$6:$AI$505,"&lt;="&amp;$A129,実績!$AJ$6:$AJ$505,"&gt;"&amp;$A129,実績!$AL$6:$AL$505,"○")&gt;0,1,0))</f>
        <v>0</v>
      </c>
      <c r="AF129" s="39" t="n">
        <f aca="false">IF(AF$4=0,0,IF(COUNTIFS(実績!$W$6:$W$505,AF$3,実績!$AI$6:$AI$505,"&lt;="&amp;$A129,実績!$AJ$6:$AJ$505,"&gt;"&amp;$A129,実績!$AL$6:$AL$505,"○")&gt;0,1,0))</f>
        <v>0</v>
      </c>
      <c r="AG129" s="39" t="n">
        <f aca="false">IF(AG$4=0,0,IF(COUNTIFS(実績!$W$6:$W$505,AG$3,実績!$AI$6:$AI$505,"&lt;="&amp;$A129,実績!$AJ$6:$AJ$505,"&gt;"&amp;$A129,実績!$AL$6:$AL$505,"○")&gt;0,1,0))</f>
        <v>0</v>
      </c>
      <c r="AH129" s="39" t="n">
        <f aca="false">IF(AH$4=0,0,IF(COUNTIFS(実績!$W$6:$W$505,AH$3,実績!$AI$6:$AI$505,"&lt;="&amp;$A129,実績!$AJ$6:$AJ$505,"&gt;"&amp;$A129,実績!$AL$6:$AL$505,"○")&gt;0,1,0))</f>
        <v>0</v>
      </c>
      <c r="AI129" s="39" t="n">
        <f aca="false">IF(AI$4=0,0,IF(COUNTIFS(実績!$W$6:$W$505,AI$3,実績!$AI$6:$AI$505,"&lt;="&amp;$A129,実績!$AJ$6:$AJ$505,"&gt;"&amp;$A129,実績!$AL$6:$AL$505,"○")&gt;0,1,0))</f>
        <v>0</v>
      </c>
      <c r="AJ129" s="39" t="n">
        <f aca="false">IF(AJ$4=0,0,IF(COUNTIFS(実績!$W$6:$W$505,AJ$3,実績!$AI$6:$AI$505,"&lt;="&amp;$A129,実績!$AJ$6:$AJ$505,"&gt;"&amp;$A129,実績!$AL$6:$AL$505,"○")&gt;0,1,0))</f>
        <v>0</v>
      </c>
      <c r="AK129" s="39" t="n">
        <f aca="false">IF(AK$4=0,0,IF(COUNTIFS(実績!$W$6:$W$505,AK$3,実績!$AI$6:$AI$505,"&lt;="&amp;$A129,実績!$AJ$6:$AJ$505,"&gt;"&amp;$A129,実績!$AL$6:$AL$505,"○")&gt;0,1,0))</f>
        <v>0</v>
      </c>
      <c r="AL129" s="39" t="n">
        <f aca="false">IF(AL$4=0,0,IF(COUNTIFS(実績!$W$6:$W$505,AL$3,実績!$AI$6:$AI$505,"&lt;="&amp;$A129,実績!$AJ$6:$AJ$505,"&gt;"&amp;$A129,実績!$AL$6:$AL$505,"○")&gt;0,1,0))</f>
        <v>0</v>
      </c>
      <c r="AM129" s="39" t="n">
        <f aca="false">IF(AM$4=0,0,IF(COUNTIFS(実績!$W$6:$W$505,AM$3,実績!$AI$6:$AI$505,"&lt;="&amp;$A129,実績!$AJ$6:$AJ$505,"&gt;"&amp;$A129,実績!$AL$6:$AL$505,"○")&gt;0,1,0))</f>
        <v>0</v>
      </c>
      <c r="AN129" s="39" t="n">
        <f aca="false">IF(AN$4=0,0,IF(COUNTIFS(実績!$W$6:$W$505,AN$3,実績!$AI$6:$AI$505,"&lt;="&amp;$A129,実績!$AJ$6:$AJ$505,"&gt;"&amp;$A129,実績!$AL$6:$AL$505,"○")&gt;0,1,0))</f>
        <v>0</v>
      </c>
      <c r="AO129" s="39" t="n">
        <f aca="false">IF(AO$4=0,0,IF(COUNTIFS(実績!$W$6:$W$505,AO$3,実績!$AI$6:$AI$505,"&lt;="&amp;$A129,実績!$AJ$6:$AJ$505,"&gt;"&amp;$A129,実績!$AL$6:$AL$505,"○")&gt;0,1,0))</f>
        <v>0</v>
      </c>
      <c r="AP129" s="39" t="n">
        <f aca="false">IF(AP$4=0,0,IF(COUNTIFS(実績!$W$6:$W$505,AP$3,実績!$AI$6:$AI$505,"&lt;="&amp;$A129,実績!$AJ$6:$AJ$505,"&gt;"&amp;$A129,実績!$AL$6:$AL$505,"○")&gt;0,1,0))</f>
        <v>0</v>
      </c>
      <c r="AQ129" s="39" t="n">
        <f aca="false">IF(AQ$4=0,0,IF(COUNTIFS(実績!$W$6:$W$505,AQ$3,実績!$AI$6:$AI$505,"&lt;="&amp;$A129,実績!$AJ$6:$AJ$505,"&gt;"&amp;$A129,実績!$AL$6:$AL$505,"○")&gt;0,1,0))</f>
        <v>0</v>
      </c>
      <c r="AR129" s="39" t="n">
        <f aca="false">IF(AR$4=0,0,IF(COUNTIFS(実績!$W$6:$W$505,AR$3,実績!$AI$6:$AI$505,"&lt;="&amp;$A129,実績!$AJ$6:$AJ$505,"&gt;"&amp;$A129,実績!$AL$6:$AL$505,"○")&gt;0,1,0))</f>
        <v>0</v>
      </c>
      <c r="AS129" s="39" t="n">
        <f aca="false">IF(AS$4=0,0,IF(COUNTIFS(実績!$W$6:$W$505,AS$3,実績!$AI$6:$AI$505,"&lt;="&amp;$A129,実績!$AJ$6:$AJ$505,"&gt;"&amp;$A129,実績!$AL$6:$AL$505,"○")&gt;0,1,0))</f>
        <v>0</v>
      </c>
      <c r="AT129" s="39" t="n">
        <f aca="false">IF(AT$4=0,0,IF(COUNTIFS(実績!$W$6:$W$505,AT$3,実績!$AI$6:$AI$505,"&lt;="&amp;$A129,実績!$AJ$6:$AJ$505,"&gt;"&amp;$A129,実績!$AL$6:$AL$505,"○")&gt;0,1,0))</f>
        <v>0</v>
      </c>
      <c r="AU129" s="39" t="n">
        <f aca="false">IF(AU$4=0,0,IF(COUNTIFS(実績!$W$6:$W$505,AU$3,実績!$AI$6:$AI$505,"&lt;="&amp;$A129,実績!$AJ$6:$AJ$505,"&gt;"&amp;$A129,実績!$AL$6:$AL$505,"○")&gt;0,1,0))</f>
        <v>0</v>
      </c>
      <c r="AV129" s="39" t="n">
        <f aca="false">IF(AV$4=0,0,IF(COUNTIFS(実績!$W$6:$W$505,AV$3,実績!$AI$6:$AI$505,"&lt;="&amp;$A129,実績!$AJ$6:$AJ$505,"&gt;"&amp;$A129,実績!$AL$6:$AL$505,"○")&gt;0,1,0))</f>
        <v>0</v>
      </c>
      <c r="AW129" s="39" t="n">
        <f aca="false">IF(AW$4=0,0,IF(COUNTIFS(実績!$W$6:$W$505,AW$3,実績!$AI$6:$AI$505,"&lt;="&amp;$A129,実績!$AJ$6:$AJ$505,"&gt;"&amp;$A129,実績!$AL$6:$AL$505,"○")&gt;0,1,0))</f>
        <v>0</v>
      </c>
      <c r="AX129" s="39" t="n">
        <f aca="false">IF(AX$4=0,0,IF(COUNTIFS(実績!$W$6:$W$505,AX$3,実績!$AI$6:$AI$505,"&lt;="&amp;$A129,実績!$AJ$6:$AJ$505,"&gt;"&amp;$A129,実績!$AL$6:$AL$505,"○")&gt;0,1,0))</f>
        <v>0</v>
      </c>
      <c r="AY129" s="39" t="n">
        <f aca="false">IF(AY$4=0,0,IF(COUNTIFS(実績!$W$6:$W$505,AY$3,実績!$AI$6:$AI$505,"&lt;="&amp;$A129,実績!$AJ$6:$AJ$505,"&gt;"&amp;$A129,実績!$AL$6:$AL$505,"○")&gt;0,1,0))</f>
        <v>0</v>
      </c>
      <c r="AZ129" s="39" t="n">
        <f aca="false">IF(AZ$4=0,0,IF(COUNTIFS(実績!$W$6:$W$505,AZ$3,実績!$AI$6:$AI$505,"&lt;="&amp;$A129,実績!$AJ$6:$AJ$505,"&gt;"&amp;$A129,実績!$AL$6:$AL$505,"○")&gt;0,1,0))</f>
        <v>0</v>
      </c>
      <c r="BA129" s="39" t="n">
        <f aca="false">IF(BA$4=0,0,IF(COUNTIFS(実績!$W$6:$W$505,BA$3,実績!$AI$6:$AI$505,"&lt;="&amp;$A129,実績!$AJ$6:$AJ$505,"&gt;"&amp;$A129,実績!$AL$6:$AL$505,"○")&gt;0,1,0))</f>
        <v>0</v>
      </c>
      <c r="BB129" s="39" t="n">
        <f aca="false">IF(BB$4=0,0,IF(COUNTIFS(実績!$W$6:$W$505,BB$3,実績!$AI$6:$AI$505,"&lt;="&amp;$A129,実績!$AJ$6:$AJ$505,"&gt;"&amp;$A129,実績!$AL$6:$AL$505,"○")&gt;0,1,0))</f>
        <v>0</v>
      </c>
      <c r="BC129" s="39" t="n">
        <f aca="false">IF(BC$4=0,0,IF(COUNTIFS(実績!$W$6:$W$505,BC$3,実績!$AI$6:$AI$505,"&lt;="&amp;$A129,実績!$AJ$6:$AJ$505,"&gt;"&amp;$A129,実績!$AL$6:$AL$505,"○")&gt;0,1,0))</f>
        <v>0</v>
      </c>
      <c r="BD129" s="39" t="n">
        <f aca="false">IF(BD$4=0,0,IF(COUNTIFS(実績!$W$6:$W$505,BD$3,実績!$AI$6:$AI$505,"&lt;="&amp;$A129,実績!$AJ$6:$AJ$505,"&gt;"&amp;$A129,実績!$AL$6:$AL$505,"○")&gt;0,1,0))</f>
        <v>0</v>
      </c>
      <c r="BE129" s="39" t="n">
        <f aca="false">IF(BE$4=0,0,IF(COUNTIFS(実績!$W$6:$W$505,BE$3,実績!$AI$6:$AI$505,"&lt;="&amp;$A129,実績!$AJ$6:$AJ$505,"&gt;"&amp;$A129,実績!$AL$6:$AL$505,"○")&gt;0,1,0))</f>
        <v>0</v>
      </c>
      <c r="BF129" s="39" t="n">
        <f aca="false">IF(BF$4=0,0,IF(COUNTIFS(実績!$W$6:$W$505,BF$3,実績!$AI$6:$AI$505,"&lt;="&amp;$A129,実績!$AJ$6:$AJ$505,"&gt;"&amp;$A129,実績!$AL$6:$AL$505,"○")&gt;0,1,0))</f>
        <v>0</v>
      </c>
      <c r="BG129" s="39" t="n">
        <f aca="false">IF(BG$4=0,0,IF(COUNTIFS(実績!$W$6:$W$505,BG$3,実績!$AI$6:$AI$505,"&lt;="&amp;$A129,実績!$AJ$6:$AJ$505,"&gt;"&amp;$A129,実績!$AL$6:$AL$505,"○")&gt;0,1,0))</f>
        <v>0</v>
      </c>
      <c r="BH129" s="39" t="n">
        <f aca="false">IF(BH$4=0,0,IF(COUNTIFS(実績!$W$6:$W$505,BH$3,実績!$AI$6:$AI$505,"&lt;="&amp;$A129,実績!$AJ$6:$AJ$505,"&gt;"&amp;$A129,実績!$AL$6:$AL$505,"○")&gt;0,1,0))</f>
        <v>0</v>
      </c>
      <c r="BI129" s="39" t="n">
        <f aca="false">IF(BI$4=0,0,IF(COUNTIFS(実績!$W$6:$W$505,BI$3,実績!$AI$6:$AI$505,"&lt;="&amp;$A129,実績!$AJ$6:$AJ$505,"&gt;"&amp;$A129,実績!$AL$6:$AL$505,"○")&gt;0,1,0))</f>
        <v>0</v>
      </c>
      <c r="BJ129" s="39" t="n">
        <f aca="false">IF(BJ$4=0,0,IF(COUNTIFS(実績!$W$6:$W$505,BJ$3,実績!$AI$6:$AI$505,"&lt;="&amp;$A129,実績!$AJ$6:$AJ$505,"&gt;"&amp;$A129,実績!$AL$6:$AL$505,"○")&gt;0,1,0))</f>
        <v>0</v>
      </c>
      <c r="BK129" s="39" t="n">
        <f aca="false">IF(BK$4=0,0,IF(COUNTIFS(実績!$W$6:$W$505,BK$3,実績!$AI$6:$AI$505,"&lt;="&amp;$A129,実績!$AJ$6:$AJ$505,"&gt;"&amp;$A129,実績!$AL$6:$AL$505,"○")&gt;0,1,0))</f>
        <v>0</v>
      </c>
      <c r="BL129" s="39" t="n">
        <f aca="false">IF(BL$4=0,0,IF(COUNTIFS(実績!$W$6:$W$505,BL$3,実績!$AI$6:$AI$505,"&lt;="&amp;$A129,実績!$AJ$6:$AJ$505,"&gt;"&amp;$A129,実績!$AL$6:$AL$505,"○")&gt;0,1,0))</f>
        <v>0</v>
      </c>
      <c r="BM129" s="39" t="n">
        <f aca="false">IF(BM$4=0,0,IF(COUNTIFS(実績!$W$6:$W$505,BM$3,実績!$AI$6:$AI$505,"&lt;="&amp;$A129,実績!$AJ$6:$AJ$505,"&gt;"&amp;$A129,実績!$AL$6:$AL$505,"○")&gt;0,1,0))</f>
        <v>0</v>
      </c>
      <c r="BN129" s="39" t="n">
        <f aca="false">IF(BN$4=0,0,IF(COUNTIFS(実績!$W$6:$W$505,BN$3,実績!$AI$6:$AI$505,"&lt;="&amp;$A129,実績!$AJ$6:$AJ$505,"&gt;"&amp;$A129,実績!$AL$6:$AL$505,"○")&gt;0,1,0))</f>
        <v>0</v>
      </c>
      <c r="BO129" s="39" t="n">
        <f aca="false">IF(BO$4=0,0,IF(COUNTIFS(実績!$W$6:$W$505,BO$3,実績!$AI$6:$AI$505,"&lt;="&amp;$A129,実績!$AJ$6:$AJ$505,"&gt;"&amp;$A129,実績!$AL$6:$AL$505,"○")&gt;0,1,0))</f>
        <v>0</v>
      </c>
      <c r="BP129" s="39" t="n">
        <f aca="false">IF(BP$4=0,0,IF(COUNTIFS(実績!$W$6:$W$505,BP$3,実績!$AI$6:$AI$505,"&lt;="&amp;$A129,実績!$AJ$6:$AJ$505,"&gt;"&amp;$A129,実績!$AL$6:$AL$505,"○")&gt;0,1,0))</f>
        <v>0</v>
      </c>
      <c r="BQ129" s="39" t="n">
        <f aca="false">IF(BQ$4=0,0,IF(COUNTIFS(実績!$W$6:$W$505,BQ$3,実績!$AI$6:$AI$505,"&lt;="&amp;$A129,実績!$AJ$6:$AJ$505,"&gt;"&amp;$A129,実績!$AL$6:$AL$505,"○")&gt;0,1,0))</f>
        <v>0</v>
      </c>
      <c r="BR129" s="39" t="n">
        <f aca="false">IF(BR$4=0,0,IF(COUNTIFS(実績!$W$6:$W$505,BR$3,実績!$AI$6:$AI$505,"&lt;="&amp;$A129,実績!$AJ$6:$AJ$505,"&gt;"&amp;$A129,実績!$AL$6:$AL$505,"○")&gt;0,1,0))</f>
        <v>0</v>
      </c>
      <c r="BS129" s="39" t="n">
        <f aca="false">IF(BS$4=0,0,IF(COUNTIFS(実績!$W$6:$W$505,BS$3,実績!$AI$6:$AI$505,"&lt;="&amp;$A129,実績!$AJ$6:$AJ$505,"&gt;"&amp;$A129,実績!$AL$6:$AL$505,"○")&gt;0,1,0))</f>
        <v>0</v>
      </c>
      <c r="BT129" s="39" t="n">
        <f aca="false">IF(BT$4=0,0,IF(COUNTIFS(実績!$W$6:$W$505,BT$3,実績!$AI$6:$AI$505,"&lt;="&amp;$A129,実績!$AJ$6:$AJ$505,"&gt;"&amp;$A129,実績!$AL$6:$AL$505,"○")&gt;0,1,0))</f>
        <v>0</v>
      </c>
      <c r="BU129" s="39" t="n">
        <f aca="false">IF(BU$4=0,0,IF(COUNTIFS(実績!$W$6:$W$505,BU$3,実績!$AI$6:$AI$505,"&lt;="&amp;$A129,実績!$AJ$6:$AJ$505,"&gt;"&amp;$A129,実績!$AL$6:$AL$505,"○")&gt;0,1,0))</f>
        <v>0</v>
      </c>
      <c r="BV129" s="39" t="n">
        <f aca="false">IF(BV$4=0,0,IF(COUNTIFS(実績!$W$6:$W$505,BV$3,実績!$AI$6:$AI$505,"&lt;="&amp;$A129,実績!$AJ$6:$AJ$505,"&gt;"&amp;$A129,実績!$AL$6:$AL$505,"○")&gt;0,1,0))</f>
        <v>0</v>
      </c>
      <c r="BW129" s="39" t="n">
        <f aca="false">IF(BW$4=0,0,IF(COUNTIFS(実績!$W$6:$W$505,BW$3,実績!$AI$6:$AI$505,"&lt;="&amp;$A129,実績!$AJ$6:$AJ$505,"&gt;"&amp;$A129,実績!$AL$6:$AL$505,"○")&gt;0,1,0))</f>
        <v>0</v>
      </c>
      <c r="BX129" s="39" t="n">
        <f aca="false">IF(BX$4=0,0,IF(COUNTIFS(実績!$W$6:$W$505,BX$3,実績!$AI$6:$AI$505,"&lt;="&amp;$A129,実績!$AJ$6:$AJ$505,"&gt;"&amp;$A129,実績!$AL$6:$AL$505,"○")&gt;0,1,0))</f>
        <v>0</v>
      </c>
      <c r="BY129" s="39" t="n">
        <f aca="false">IF(BY$4=0,0,IF(COUNTIFS(実績!$W$6:$W$505,BY$3,実績!$AI$6:$AI$505,"&lt;="&amp;$A129,実績!$AJ$6:$AJ$505,"&gt;"&amp;$A129,実績!$AL$6:$AL$505,"○")&gt;0,1,0))</f>
        <v>0</v>
      </c>
      <c r="BZ129" s="39" t="n">
        <f aca="false">IF(BZ$4=0,0,IF(COUNTIFS(実績!$W$6:$W$505,BZ$3,実績!$AI$6:$AI$505,"&lt;="&amp;$A129,実績!$AJ$6:$AJ$505,"&gt;"&amp;$A129,実績!$AL$6:$AL$505,"○")&gt;0,1,0))</f>
        <v>0</v>
      </c>
      <c r="CA129" s="39" t="n">
        <f aca="false">IF(CA$4=0,0,IF(COUNTIFS(実績!$W$6:$W$505,CA$3,実績!$AI$6:$AI$505,"&lt;="&amp;$A129,実績!$AJ$6:$AJ$505,"&gt;"&amp;$A129,実績!$AL$6:$AL$505,"○")&gt;0,1,0))</f>
        <v>0</v>
      </c>
      <c r="CB129" s="39" t="n">
        <f aca="false">IF(CB$4=0,0,IF(COUNTIFS(実績!$W$6:$W$505,CB$3,実績!$AI$6:$AI$505,"&lt;="&amp;$A129,実績!$AJ$6:$AJ$505,"&gt;"&amp;$A129,実績!$AL$6:$AL$505,"○")&gt;0,1,0))</f>
        <v>0</v>
      </c>
      <c r="CC129" s="39" t="n">
        <f aca="false">IF(CC$4=0,0,IF(COUNTIFS(実績!$W$6:$W$505,CC$3,実績!$AI$6:$AI$505,"&lt;="&amp;$A129,実績!$AJ$6:$AJ$505,"&gt;"&amp;$A129,実績!$AL$6:$AL$505,"○")&gt;0,1,0))</f>
        <v>0</v>
      </c>
      <c r="CD129" s="39" t="n">
        <f aca="false">IF(CD$4=0,0,IF(COUNTIFS(実績!$W$6:$W$505,CD$3,実績!$AI$6:$AI$505,"&lt;="&amp;$A129,実績!$AJ$6:$AJ$505,"&gt;"&amp;$A129,実績!$AL$6:$AL$505,"○")&gt;0,1,0))</f>
        <v>0</v>
      </c>
      <c r="CE129" s="39" t="n">
        <f aca="false">IF(CE$4=0,0,IF(COUNTIFS(実績!$W$6:$W$505,CE$3,実績!$AI$6:$AI$505,"&lt;="&amp;$A129,実績!$AJ$6:$AJ$505,"&gt;"&amp;$A129,実績!$AL$6:$AL$505,"○")&gt;0,1,0))</f>
        <v>0</v>
      </c>
      <c r="CF129" s="39" t="n">
        <f aca="false">IF(CF$4=0,0,IF(COUNTIFS(実績!$W$6:$W$505,CF$3,実績!$AI$6:$AI$505,"&lt;="&amp;$A129,実績!$AJ$6:$AJ$505,"&gt;"&amp;$A129,実績!$AL$6:$AL$505,"○")&gt;0,1,0))</f>
        <v>0</v>
      </c>
      <c r="CG129" s="39" t="n">
        <f aca="false">IF(CG$4=0,0,IF(COUNTIFS(実績!$W$6:$W$505,CG$3,実績!$AI$6:$AI$505,"&lt;="&amp;$A129,実績!$AJ$6:$AJ$505,"&gt;"&amp;$A129,実績!$AL$6:$AL$505,"○")&gt;0,1,0))</f>
        <v>0</v>
      </c>
      <c r="CH129" s="39" t="n">
        <f aca="false">IF(CH$4=0,0,IF(COUNTIFS(実績!$W$6:$W$505,CH$3,実績!$AI$6:$AI$505,"&lt;="&amp;$A129,実績!$AJ$6:$AJ$505,"&gt;"&amp;$A129,実績!$AL$6:$AL$505,"○")&gt;0,1,0))</f>
        <v>0</v>
      </c>
      <c r="CI129" s="39" t="n">
        <f aca="false">IF(CI$4=0,0,IF(COUNTIFS(実績!$W$6:$W$505,CI$3,実績!$AI$6:$AI$505,"&lt;="&amp;$A129,実績!$AJ$6:$AJ$505,"&gt;"&amp;$A129,実績!$AL$6:$AL$505,"○")&gt;0,1,0))</f>
        <v>0</v>
      </c>
      <c r="CJ129" s="39" t="n">
        <f aca="false">IF(CJ$4=0,0,IF(COUNTIFS(実績!$W$6:$W$505,CJ$3,実績!$AI$6:$AI$505,"&lt;="&amp;$A129,実績!$AJ$6:$AJ$505,"&gt;"&amp;$A129,実績!$AL$6:$AL$505,"○")&gt;0,1,0))</f>
        <v>0</v>
      </c>
      <c r="CK129" s="39" t="n">
        <f aca="false">IF(CK$4=0,0,IF(COUNTIFS(実績!$W$6:$W$505,CK$3,実績!$AI$6:$AI$505,"&lt;="&amp;$A129,実績!$AJ$6:$AJ$505,"&gt;"&amp;$A129,実績!$AL$6:$AL$505,"○")&gt;0,1,0))</f>
        <v>0</v>
      </c>
      <c r="CL129" s="39" t="n">
        <f aca="false">IF(CL$4=0,0,IF(COUNTIFS(実績!$W$6:$W$505,CL$3,実績!$AI$6:$AI$505,"&lt;="&amp;$A129,実績!$AJ$6:$AJ$505,"&gt;"&amp;$A129,実績!$AL$6:$AL$505,"○")&gt;0,1,0))</f>
        <v>0</v>
      </c>
      <c r="CM129" s="39" t="n">
        <f aca="false">IF(CM$4=0,0,IF(COUNTIFS(実績!$W$6:$W$505,CM$3,実績!$AI$6:$AI$505,"&lt;="&amp;$A129,実績!$AJ$6:$AJ$505,"&gt;"&amp;$A129,実績!$AL$6:$AL$505,"○")&gt;0,1,0))</f>
        <v>0</v>
      </c>
      <c r="CN129" s="39" t="n">
        <f aca="false">IF(CN$4=0,0,IF(COUNTIFS(実績!$W$6:$W$505,CN$3,実績!$AI$6:$AI$505,"&lt;="&amp;$A129,実績!$AJ$6:$AJ$505,"&gt;"&amp;$A129,実績!$AL$6:$AL$505,"○")&gt;0,1,0))</f>
        <v>0</v>
      </c>
      <c r="CO129" s="39" t="n">
        <f aca="false">IF(CO$4=0,0,IF(COUNTIFS(実績!$W$6:$W$505,CO$3,実績!$AI$6:$AI$505,"&lt;="&amp;$A129,実績!$AJ$6:$AJ$505,"&gt;"&amp;$A129,実績!$AL$6:$AL$505,"○")&gt;0,1,0))</f>
        <v>0</v>
      </c>
      <c r="CP129" s="39" t="n">
        <f aca="false">IF(CP$4=0,0,IF(COUNTIFS(実績!$W$6:$W$505,CP$3,実績!$AI$6:$AI$505,"&lt;="&amp;$A129,実績!$AJ$6:$AJ$505,"&gt;"&amp;$A129,実績!$AL$6:$AL$505,"○")&gt;0,1,0))</f>
        <v>0</v>
      </c>
      <c r="CQ129" s="39" t="n">
        <f aca="false">IF(CQ$4=0,0,IF(COUNTIFS(実績!$W$6:$W$505,CQ$3,実績!$AI$6:$AI$505,"&lt;="&amp;$A129,実績!$AJ$6:$AJ$505,"&gt;"&amp;$A129,実績!$AL$6:$AL$505,"○")&gt;0,1,0))</f>
        <v>0</v>
      </c>
      <c r="CR129" s="39" t="n">
        <f aca="false">IF(CR$4=0,0,IF(COUNTIFS(実績!$W$6:$W$505,CR$3,実績!$AI$6:$AI$505,"&lt;="&amp;$A129,実績!$AJ$6:$AJ$505,"&gt;"&amp;$A129,実績!$AL$6:$AL$505,"○")&gt;0,1,0))</f>
        <v>0</v>
      </c>
      <c r="CS129" s="39" t="n">
        <f aca="false">IF(CS$4=0,0,IF(COUNTIFS(実績!$W$6:$W$505,CS$3,実績!$AI$6:$AI$505,"&lt;="&amp;$A129,実績!$AJ$6:$AJ$505,"&gt;"&amp;$A129,実績!$AL$6:$AL$505,"○")&gt;0,1,0))</f>
        <v>0</v>
      </c>
      <c r="CT129" s="39" t="n">
        <f aca="false">IF(CT$4=0,0,IF(COUNTIFS(実績!$W$6:$W$505,CT$3,実績!$AI$6:$AI$505,"&lt;="&amp;$A129,実績!$AJ$6:$AJ$505,"&gt;"&amp;$A129,実績!$AL$6:$AL$505,"○")&gt;0,1,0))</f>
        <v>0</v>
      </c>
      <c r="CU129" s="39" t="n">
        <f aca="false">IF(CU$4=0,0,IF(COUNTIFS(実績!$W$6:$W$505,CU$3,実績!$AI$6:$AI$505,"&lt;="&amp;$A129,実績!$AJ$6:$AJ$505,"&gt;"&amp;$A129,実績!$AL$6:$AL$505,"○")&gt;0,1,0))</f>
        <v>0</v>
      </c>
      <c r="CV129" s="39" t="n">
        <f aca="false">IF(CV$4=0,0,IF(COUNTIFS(実績!$W$6:$W$505,CV$3,実績!$AI$6:$AI$505,"&lt;="&amp;$A129,実績!$AJ$6:$AJ$505,"&gt;"&amp;$A129,実績!$AL$6:$AL$505,"○")&gt;0,1,0))</f>
        <v>0</v>
      </c>
      <c r="CW129" s="39" t="n">
        <f aca="false">IF(CW$4=0,0,IF(COUNTIFS(実績!$W$6:$W$505,CW$3,実績!$AI$6:$AI$505,"&lt;="&amp;$A129,実績!$AJ$6:$AJ$505,"&gt;"&amp;$A129,実績!$AL$6:$AL$505,"○")&gt;0,1,0))</f>
        <v>0</v>
      </c>
      <c r="CX129" s="39" t="n">
        <f aca="false">IF(CX$4=0,0,IF(COUNTIFS(実績!$W$6:$W$505,CX$3,実績!$AI$6:$AI$505,"&lt;="&amp;$A129,実績!$AJ$6:$AJ$505,"&gt;"&amp;$A129,実績!$AL$6:$AL$505,"○")&gt;0,1,0))</f>
        <v>0</v>
      </c>
      <c r="CY129" s="39" t="n">
        <f aca="false">IF(CY$4=0,0,IF(COUNTIFS(実績!$W$6:$W$505,CY$3,実績!$AI$6:$AI$505,"&lt;="&amp;$A129,実績!$AJ$6:$AJ$505,"&gt;"&amp;$A129,実績!$AL$6:$AL$505,"○")&gt;0,1,0))</f>
        <v>0</v>
      </c>
      <c r="CZ129" s="39" t="n">
        <f aca="false">IF(CZ$4=0,0,IF(COUNTIFS(実績!$W$6:$W$505,CZ$3,実績!$AI$6:$AI$505,"&lt;="&amp;$A129,実績!$AJ$6:$AJ$505,"&gt;"&amp;$A129,実績!$AL$6:$AL$505,"○")&gt;0,1,0))</f>
        <v>0</v>
      </c>
      <c r="DA129" s="39" t="n">
        <f aca="false">IF(DA$4=0,0,IF(COUNTIFS(実績!$W$6:$W$505,DA$3,実績!$AI$6:$AI$505,"&lt;="&amp;$A129,実績!$AJ$6:$AJ$505,"&gt;"&amp;$A129,実績!$AL$6:$AL$505,"○")&gt;0,1,0))</f>
        <v>0</v>
      </c>
      <c r="DB129" s="39" t="n">
        <f aca="false">IF(DB$4=0,0,IF(COUNTIFS(実績!$W$6:$W$505,DB$3,実績!$AI$6:$AI$505,"&lt;="&amp;$A129,実績!$AJ$6:$AJ$505,"&gt;"&amp;$A129,実績!$AL$6:$AL$505,"○")&gt;0,1,0))</f>
        <v>0</v>
      </c>
      <c r="DC129" s="39" t="n">
        <f aca="false">IF(DC$4=0,0,IF(COUNTIFS(実績!$W$6:$W$505,DC$3,実績!$AI$6:$AI$505,"&lt;="&amp;$A129,実績!$AJ$6:$AJ$505,"&gt;"&amp;$A129,実績!$AL$6:$AL$505,"○")&gt;0,1,0))</f>
        <v>0</v>
      </c>
      <c r="DD129" s="39" t="n">
        <f aca="false">IF(DD$4=0,0,IF(COUNTIFS(実績!$W$6:$W$505,DD$3,実績!$AI$6:$AI$505,"&lt;="&amp;$A129,実績!$AJ$6:$AJ$505,"&gt;"&amp;$A129,実績!$AL$6:$AL$505,"○")&gt;0,1,0))</f>
        <v>0</v>
      </c>
      <c r="DE129" s="39" t="n">
        <f aca="false">IF(DE$4=0,0,IF(COUNTIFS(実績!$W$6:$W$505,DE$3,実績!$AI$6:$AI$505,"&lt;="&amp;$A129,実績!$AJ$6:$AJ$505,"&gt;"&amp;$A129,実績!$AL$6:$AL$505,"○")&gt;0,1,0))</f>
        <v>0</v>
      </c>
      <c r="DF129" s="39" t="n">
        <f aca="false">IF(DF$4=0,0,IF(COUNTIFS(実績!$W$6:$W$505,DF$3,実績!$AI$6:$AI$505,"&lt;="&amp;$A129,実績!$AJ$6:$AJ$505,"&gt;"&amp;$A129,実績!$AL$6:$AL$505,"○")&gt;0,1,0))</f>
        <v>0</v>
      </c>
      <c r="DG129" s="39" t="n">
        <f aca="false">IF(DG$4=0,0,IF(COUNTIFS(実績!$W$6:$W$505,DG$3,実績!$AI$6:$AI$505,"&lt;="&amp;$A129,実績!$AJ$6:$AJ$505,"&gt;"&amp;$A129,実績!$AL$6:$AL$505,"○")&gt;0,1,0))</f>
        <v>0</v>
      </c>
      <c r="DH129" s="39" t="n">
        <f aca="false">IF(DH$4=0,0,IF(COUNTIFS(実績!$W$6:$W$505,DH$3,実績!$AI$6:$AI$505,"&lt;="&amp;$A129,実績!$AJ$6:$AJ$505,"&gt;"&amp;$A129,実績!$AL$6:$AL$505,"○")&gt;0,1,0))</f>
        <v>0</v>
      </c>
      <c r="DI129" s="39" t="n">
        <f aca="false">IF(DI$4=0,0,IF(COUNTIFS(実績!$W$6:$W$505,DI$3,実績!$AI$6:$AI$505,"&lt;="&amp;$A129,実績!$AJ$6:$AJ$505,"&gt;"&amp;$A129,実績!$AL$6:$AL$505,"○")&gt;0,1,0))</f>
        <v>0</v>
      </c>
      <c r="DJ129" s="39" t="n">
        <f aca="false">IF(DJ$4=0,0,IF(COUNTIFS(実績!$W$6:$W$505,DJ$3,実績!$AI$6:$AI$505,"&lt;="&amp;$A129,実績!$AJ$6:$AJ$505,"&gt;"&amp;$A129,実績!$AL$6:$AL$505,"○")&gt;0,1,0))</f>
        <v>0</v>
      </c>
      <c r="DK129" s="39" t="n">
        <f aca="false">IF(DK$4=0,0,IF(COUNTIFS(実績!$W$6:$W$505,DK$3,実績!$AI$6:$AI$505,"&lt;="&amp;$A129,実績!$AJ$6:$AJ$505,"&gt;"&amp;$A129,実績!$AL$6:$AL$505,"○")&gt;0,1,0))</f>
        <v>0</v>
      </c>
      <c r="DL129" s="39" t="n">
        <f aca="false">IF(DL$4=0,0,IF(COUNTIFS(実績!$W$6:$W$505,DL$3,実績!$AI$6:$AI$505,"&lt;="&amp;$A129,実績!$AJ$6:$AJ$505,"&gt;"&amp;$A129,実績!$AL$6:$AL$505,"○")&gt;0,1,0))</f>
        <v>0</v>
      </c>
      <c r="DM129" s="39" t="n">
        <f aca="false">IF(DM$4=0,0,IF(COUNTIFS(実績!$W$6:$W$505,DM$3,実績!$AI$6:$AI$505,"&lt;="&amp;$A129,実績!$AJ$6:$AJ$505,"&gt;"&amp;$A129,実績!$AL$6:$AL$505,"○")&gt;0,1,0))</f>
        <v>0</v>
      </c>
      <c r="DN129" s="39" t="n">
        <f aca="false">IF(DN$4=0,0,IF(COUNTIFS(実績!$W$6:$W$505,DN$3,実績!$AI$6:$AI$505,"&lt;="&amp;$A129,実績!$AJ$6:$AJ$505,"&gt;"&amp;$A129,実績!$AL$6:$AL$505,"○")&gt;0,1,0))</f>
        <v>0</v>
      </c>
      <c r="DO129" s="39" t="n">
        <f aca="false">IF(DO$4=0,0,IF(COUNTIFS(実績!$W$6:$W$505,DO$3,実績!$AI$6:$AI$505,"&lt;="&amp;$A129,実績!$AJ$6:$AJ$505,"&gt;"&amp;$A129,実績!$AL$6:$AL$505,"○")&gt;0,1,0))</f>
        <v>0</v>
      </c>
      <c r="DP129" s="39" t="n">
        <f aca="false">IF(DP$4=0,0,IF(COUNTIFS(実績!$W$6:$W$505,DP$3,実績!$AI$6:$AI$505,"&lt;="&amp;$A129,実績!$AJ$6:$AJ$505,"&gt;"&amp;$A129,実績!$AL$6:$AL$505,"○")&gt;0,1,0))</f>
        <v>0</v>
      </c>
      <c r="DQ129" s="39" t="n">
        <f aca="false">IF(DQ$4=0,0,IF(COUNTIFS(実績!$W$6:$W$505,DQ$3,実績!$AI$6:$AI$505,"&lt;="&amp;$A129,実績!$AJ$6:$AJ$505,"&gt;"&amp;$A129,実績!$AL$6:$AL$505,"○")&gt;0,1,0))</f>
        <v>0</v>
      </c>
      <c r="DR129" s="39" t="n">
        <f aca="false">IF(DR$4=0,0,IF(COUNTIFS(実績!$W$6:$W$505,DR$3,実績!$AI$6:$AI$505,"&lt;="&amp;$A129,実績!$AJ$6:$AJ$505,"&gt;"&amp;$A129,実績!$AL$6:$AL$505,"○")&gt;0,1,0))</f>
        <v>0</v>
      </c>
      <c r="DS129" s="39" t="n">
        <f aca="false">SUM(C129:DR129)</f>
        <v>0</v>
      </c>
    </row>
    <row r="130" customFormat="false" ht="15" hidden="false" customHeight="false" outlineLevel="0" collapsed="false">
      <c r="A130" s="0" t="n">
        <v>620</v>
      </c>
      <c r="B130" s="38" t="n">
        <f aca="false">A130/1440</f>
        <v>0.430555555555556</v>
      </c>
      <c r="C130" s="39" t="n">
        <f aca="false">IF(C$4=0,0,IF(COUNTIFS(実績!$W$6:$W$505,C$3,実績!$AI$6:$AI$505,"&lt;="&amp;$A130,実績!$AJ$6:$AJ$505,"&gt;"&amp;$A130,実績!$AL$6:$AL$505,"○")&gt;0,1,0))</f>
        <v>0</v>
      </c>
      <c r="D130" s="39" t="n">
        <f aca="false">IF(D$4=0,0,IF(COUNTIFS(実績!$W$6:$W$505,D$3,実績!$AI$6:$AI$505,"&lt;="&amp;$A130,実績!$AJ$6:$AJ$505,"&gt;"&amp;$A130,実績!$AL$6:$AL$505,"○")&gt;0,1,0))</f>
        <v>0</v>
      </c>
      <c r="E130" s="39" t="n">
        <f aca="false">IF(E$4=0,0,IF(COUNTIFS(実績!$W$6:$W$505,E$3,実績!$AI$6:$AI$505,"&lt;="&amp;$A130,実績!$AJ$6:$AJ$505,"&gt;"&amp;$A130,実績!$AL$6:$AL$505,"○")&gt;0,1,0))</f>
        <v>0</v>
      </c>
      <c r="F130" s="39" t="n">
        <f aca="false">IF(F$4=0,0,IF(COUNTIFS(実績!$W$6:$W$505,F$3,実績!$AI$6:$AI$505,"&lt;="&amp;$A130,実績!$AJ$6:$AJ$505,"&gt;"&amp;$A130,実績!$AL$6:$AL$505,"○")&gt;0,1,0))</f>
        <v>0</v>
      </c>
      <c r="G130" s="39" t="n">
        <f aca="false">IF(G$4=0,0,IF(COUNTIFS(実績!$W$6:$W$505,G$3,実績!$AI$6:$AI$505,"&lt;="&amp;$A130,実績!$AJ$6:$AJ$505,"&gt;"&amp;$A130,実績!$AL$6:$AL$505,"○")&gt;0,1,0))</f>
        <v>0</v>
      </c>
      <c r="H130" s="39" t="n">
        <f aca="false">IF(H$4=0,0,IF(COUNTIFS(実績!$W$6:$W$505,H$3,実績!$AI$6:$AI$505,"&lt;="&amp;$A130,実績!$AJ$6:$AJ$505,"&gt;"&amp;$A130,実績!$AL$6:$AL$505,"○")&gt;0,1,0))</f>
        <v>0</v>
      </c>
      <c r="I130" s="39" t="n">
        <f aca="false">IF(I$4=0,0,IF(COUNTIFS(実績!$W$6:$W$505,I$3,実績!$AI$6:$AI$505,"&lt;="&amp;$A130,実績!$AJ$6:$AJ$505,"&gt;"&amp;$A130,実績!$AL$6:$AL$505,"○")&gt;0,1,0))</f>
        <v>0</v>
      </c>
      <c r="J130" s="39" t="n">
        <f aca="false">IF(J$4=0,0,IF(COUNTIFS(実績!$W$6:$W$505,J$3,実績!$AI$6:$AI$505,"&lt;="&amp;$A130,実績!$AJ$6:$AJ$505,"&gt;"&amp;$A130,実績!$AL$6:$AL$505,"○")&gt;0,1,0))</f>
        <v>0</v>
      </c>
      <c r="K130" s="39" t="n">
        <f aca="false">IF(K$4=0,0,IF(COUNTIFS(実績!$W$6:$W$505,K$3,実績!$AI$6:$AI$505,"&lt;="&amp;$A130,実績!$AJ$6:$AJ$505,"&gt;"&amp;$A130,実績!$AL$6:$AL$505,"○")&gt;0,1,0))</f>
        <v>0</v>
      </c>
      <c r="L130" s="39" t="n">
        <f aca="false">IF(L$4=0,0,IF(COUNTIFS(実績!$W$6:$W$505,L$3,実績!$AI$6:$AI$505,"&lt;="&amp;$A130,実績!$AJ$6:$AJ$505,"&gt;"&amp;$A130,実績!$AL$6:$AL$505,"○")&gt;0,1,0))</f>
        <v>0</v>
      </c>
      <c r="M130" s="39" t="n">
        <f aca="false">IF(M$4=0,0,IF(COUNTIFS(実績!$W$6:$W$505,M$3,実績!$AI$6:$AI$505,"&lt;="&amp;$A130,実績!$AJ$6:$AJ$505,"&gt;"&amp;$A130,実績!$AL$6:$AL$505,"○")&gt;0,1,0))</f>
        <v>0</v>
      </c>
      <c r="N130" s="39" t="n">
        <f aca="false">IF(N$4=0,0,IF(COUNTIFS(実績!$W$6:$W$505,N$3,実績!$AI$6:$AI$505,"&lt;="&amp;$A130,実績!$AJ$6:$AJ$505,"&gt;"&amp;$A130,実績!$AL$6:$AL$505,"○")&gt;0,1,0))</f>
        <v>0</v>
      </c>
      <c r="O130" s="39" t="n">
        <f aca="false">IF(O$4=0,0,IF(COUNTIFS(実績!$W$6:$W$505,O$3,実績!$AI$6:$AI$505,"&lt;="&amp;$A130,実績!$AJ$6:$AJ$505,"&gt;"&amp;$A130,実績!$AL$6:$AL$505,"○")&gt;0,1,0))</f>
        <v>0</v>
      </c>
      <c r="P130" s="39" t="n">
        <f aca="false">IF(P$4=0,0,IF(COUNTIFS(実績!$W$6:$W$505,P$3,実績!$AI$6:$AI$505,"&lt;="&amp;$A130,実績!$AJ$6:$AJ$505,"&gt;"&amp;$A130,実績!$AL$6:$AL$505,"○")&gt;0,1,0))</f>
        <v>0</v>
      </c>
      <c r="Q130" s="39" t="n">
        <f aca="false">IF(Q$4=0,0,IF(COUNTIFS(実績!$W$6:$W$505,Q$3,実績!$AI$6:$AI$505,"&lt;="&amp;$A130,実績!$AJ$6:$AJ$505,"&gt;"&amp;$A130,実績!$AL$6:$AL$505,"○")&gt;0,1,0))</f>
        <v>0</v>
      </c>
      <c r="R130" s="39" t="n">
        <f aca="false">IF(R$4=0,0,IF(COUNTIFS(実績!$W$6:$W$505,R$3,実績!$AI$6:$AI$505,"&lt;="&amp;$A130,実績!$AJ$6:$AJ$505,"&gt;"&amp;$A130,実績!$AL$6:$AL$505,"○")&gt;0,1,0))</f>
        <v>0</v>
      </c>
      <c r="S130" s="39" t="n">
        <f aca="false">IF(S$4=0,0,IF(COUNTIFS(実績!$W$6:$W$505,S$3,実績!$AI$6:$AI$505,"&lt;="&amp;$A130,実績!$AJ$6:$AJ$505,"&gt;"&amp;$A130,実績!$AL$6:$AL$505,"○")&gt;0,1,0))</f>
        <v>0</v>
      </c>
      <c r="T130" s="39" t="n">
        <f aca="false">IF(T$4=0,0,IF(COUNTIFS(実績!$W$6:$W$505,T$3,実績!$AI$6:$AI$505,"&lt;="&amp;$A130,実績!$AJ$6:$AJ$505,"&gt;"&amp;$A130,実績!$AL$6:$AL$505,"○")&gt;0,1,0))</f>
        <v>0</v>
      </c>
      <c r="U130" s="39" t="n">
        <f aca="false">IF(U$4=0,0,IF(COUNTIFS(実績!$W$6:$W$505,U$3,実績!$AI$6:$AI$505,"&lt;="&amp;$A130,実績!$AJ$6:$AJ$505,"&gt;"&amp;$A130,実績!$AL$6:$AL$505,"○")&gt;0,1,0))</f>
        <v>0</v>
      </c>
      <c r="V130" s="39" t="n">
        <f aca="false">IF(V$4=0,0,IF(COUNTIFS(実績!$W$6:$W$505,V$3,実績!$AI$6:$AI$505,"&lt;="&amp;$A130,実績!$AJ$6:$AJ$505,"&gt;"&amp;$A130,実績!$AL$6:$AL$505,"○")&gt;0,1,0))</f>
        <v>0</v>
      </c>
      <c r="W130" s="39" t="n">
        <f aca="false">IF(W$4=0,0,IF(COUNTIFS(実績!$W$6:$W$505,W$3,実績!$AI$6:$AI$505,"&lt;="&amp;$A130,実績!$AJ$6:$AJ$505,"&gt;"&amp;$A130,実績!$AL$6:$AL$505,"○")&gt;0,1,0))</f>
        <v>0</v>
      </c>
      <c r="X130" s="39" t="n">
        <f aca="false">IF(X$4=0,0,IF(COUNTIFS(実績!$W$6:$W$505,X$3,実績!$AI$6:$AI$505,"&lt;="&amp;$A130,実績!$AJ$6:$AJ$505,"&gt;"&amp;$A130,実績!$AL$6:$AL$505,"○")&gt;0,1,0))</f>
        <v>0</v>
      </c>
      <c r="Y130" s="39" t="n">
        <f aca="false">IF(Y$4=0,0,IF(COUNTIFS(実績!$W$6:$W$505,Y$3,実績!$AI$6:$AI$505,"&lt;="&amp;$A130,実績!$AJ$6:$AJ$505,"&gt;"&amp;$A130,実績!$AL$6:$AL$505,"○")&gt;0,1,0))</f>
        <v>0</v>
      </c>
      <c r="Z130" s="39" t="n">
        <f aca="false">IF(Z$4=0,0,IF(COUNTIFS(実績!$W$6:$W$505,Z$3,実績!$AI$6:$AI$505,"&lt;="&amp;$A130,実績!$AJ$6:$AJ$505,"&gt;"&amp;$A130,実績!$AL$6:$AL$505,"○")&gt;0,1,0))</f>
        <v>0</v>
      </c>
      <c r="AA130" s="39" t="n">
        <f aca="false">IF(AA$4=0,0,IF(COUNTIFS(実績!$W$6:$W$505,AA$3,実績!$AI$6:$AI$505,"&lt;="&amp;$A130,実績!$AJ$6:$AJ$505,"&gt;"&amp;$A130,実績!$AL$6:$AL$505,"○")&gt;0,1,0))</f>
        <v>0</v>
      </c>
      <c r="AB130" s="39" t="n">
        <f aca="false">IF(AB$4=0,0,IF(COUNTIFS(実績!$W$6:$W$505,AB$3,実績!$AI$6:$AI$505,"&lt;="&amp;$A130,実績!$AJ$6:$AJ$505,"&gt;"&amp;$A130,実績!$AL$6:$AL$505,"○")&gt;0,1,0))</f>
        <v>0</v>
      </c>
      <c r="AC130" s="39" t="n">
        <f aca="false">IF(AC$4=0,0,IF(COUNTIFS(実績!$W$6:$W$505,AC$3,実績!$AI$6:$AI$505,"&lt;="&amp;$A130,実績!$AJ$6:$AJ$505,"&gt;"&amp;$A130,実績!$AL$6:$AL$505,"○")&gt;0,1,0))</f>
        <v>0</v>
      </c>
      <c r="AD130" s="39" t="n">
        <f aca="false">IF(AD$4=0,0,IF(COUNTIFS(実績!$W$6:$W$505,AD$3,実績!$AI$6:$AI$505,"&lt;="&amp;$A130,実績!$AJ$6:$AJ$505,"&gt;"&amp;$A130,実績!$AL$6:$AL$505,"○")&gt;0,1,0))</f>
        <v>0</v>
      </c>
      <c r="AE130" s="39" t="n">
        <f aca="false">IF(AE$4=0,0,IF(COUNTIFS(実績!$W$6:$W$505,AE$3,実績!$AI$6:$AI$505,"&lt;="&amp;$A130,実績!$AJ$6:$AJ$505,"&gt;"&amp;$A130,実績!$AL$6:$AL$505,"○")&gt;0,1,0))</f>
        <v>0</v>
      </c>
      <c r="AF130" s="39" t="n">
        <f aca="false">IF(AF$4=0,0,IF(COUNTIFS(実績!$W$6:$W$505,AF$3,実績!$AI$6:$AI$505,"&lt;="&amp;$A130,実績!$AJ$6:$AJ$505,"&gt;"&amp;$A130,実績!$AL$6:$AL$505,"○")&gt;0,1,0))</f>
        <v>0</v>
      </c>
      <c r="AG130" s="39" t="n">
        <f aca="false">IF(AG$4=0,0,IF(COUNTIFS(実績!$W$6:$W$505,AG$3,実績!$AI$6:$AI$505,"&lt;="&amp;$A130,実績!$AJ$6:$AJ$505,"&gt;"&amp;$A130,実績!$AL$6:$AL$505,"○")&gt;0,1,0))</f>
        <v>0</v>
      </c>
      <c r="AH130" s="39" t="n">
        <f aca="false">IF(AH$4=0,0,IF(COUNTIFS(実績!$W$6:$W$505,AH$3,実績!$AI$6:$AI$505,"&lt;="&amp;$A130,実績!$AJ$6:$AJ$505,"&gt;"&amp;$A130,実績!$AL$6:$AL$505,"○")&gt;0,1,0))</f>
        <v>0</v>
      </c>
      <c r="AI130" s="39" t="n">
        <f aca="false">IF(AI$4=0,0,IF(COUNTIFS(実績!$W$6:$W$505,AI$3,実績!$AI$6:$AI$505,"&lt;="&amp;$A130,実績!$AJ$6:$AJ$505,"&gt;"&amp;$A130,実績!$AL$6:$AL$505,"○")&gt;0,1,0))</f>
        <v>0</v>
      </c>
      <c r="AJ130" s="39" t="n">
        <f aca="false">IF(AJ$4=0,0,IF(COUNTIFS(実績!$W$6:$W$505,AJ$3,実績!$AI$6:$AI$505,"&lt;="&amp;$A130,実績!$AJ$6:$AJ$505,"&gt;"&amp;$A130,実績!$AL$6:$AL$505,"○")&gt;0,1,0))</f>
        <v>0</v>
      </c>
      <c r="AK130" s="39" t="n">
        <f aca="false">IF(AK$4=0,0,IF(COUNTIFS(実績!$W$6:$W$505,AK$3,実績!$AI$6:$AI$505,"&lt;="&amp;$A130,実績!$AJ$6:$AJ$505,"&gt;"&amp;$A130,実績!$AL$6:$AL$505,"○")&gt;0,1,0))</f>
        <v>0</v>
      </c>
      <c r="AL130" s="39" t="n">
        <f aca="false">IF(AL$4=0,0,IF(COUNTIFS(実績!$W$6:$W$505,AL$3,実績!$AI$6:$AI$505,"&lt;="&amp;$A130,実績!$AJ$6:$AJ$505,"&gt;"&amp;$A130,実績!$AL$6:$AL$505,"○")&gt;0,1,0))</f>
        <v>0</v>
      </c>
      <c r="AM130" s="39" t="n">
        <f aca="false">IF(AM$4=0,0,IF(COUNTIFS(実績!$W$6:$W$505,AM$3,実績!$AI$6:$AI$505,"&lt;="&amp;$A130,実績!$AJ$6:$AJ$505,"&gt;"&amp;$A130,実績!$AL$6:$AL$505,"○")&gt;0,1,0))</f>
        <v>0</v>
      </c>
      <c r="AN130" s="39" t="n">
        <f aca="false">IF(AN$4=0,0,IF(COUNTIFS(実績!$W$6:$W$505,AN$3,実績!$AI$6:$AI$505,"&lt;="&amp;$A130,実績!$AJ$6:$AJ$505,"&gt;"&amp;$A130,実績!$AL$6:$AL$505,"○")&gt;0,1,0))</f>
        <v>0</v>
      </c>
      <c r="AO130" s="39" t="n">
        <f aca="false">IF(AO$4=0,0,IF(COUNTIFS(実績!$W$6:$W$505,AO$3,実績!$AI$6:$AI$505,"&lt;="&amp;$A130,実績!$AJ$6:$AJ$505,"&gt;"&amp;$A130,実績!$AL$6:$AL$505,"○")&gt;0,1,0))</f>
        <v>0</v>
      </c>
      <c r="AP130" s="39" t="n">
        <f aca="false">IF(AP$4=0,0,IF(COUNTIFS(実績!$W$6:$W$505,AP$3,実績!$AI$6:$AI$505,"&lt;="&amp;$A130,実績!$AJ$6:$AJ$505,"&gt;"&amp;$A130,実績!$AL$6:$AL$505,"○")&gt;0,1,0))</f>
        <v>0</v>
      </c>
      <c r="AQ130" s="39" t="n">
        <f aca="false">IF(AQ$4=0,0,IF(COUNTIFS(実績!$W$6:$W$505,AQ$3,実績!$AI$6:$AI$505,"&lt;="&amp;$A130,実績!$AJ$6:$AJ$505,"&gt;"&amp;$A130,実績!$AL$6:$AL$505,"○")&gt;0,1,0))</f>
        <v>0</v>
      </c>
      <c r="AR130" s="39" t="n">
        <f aca="false">IF(AR$4=0,0,IF(COUNTIFS(実績!$W$6:$W$505,AR$3,実績!$AI$6:$AI$505,"&lt;="&amp;$A130,実績!$AJ$6:$AJ$505,"&gt;"&amp;$A130,実績!$AL$6:$AL$505,"○")&gt;0,1,0))</f>
        <v>0</v>
      </c>
      <c r="AS130" s="39" t="n">
        <f aca="false">IF(AS$4=0,0,IF(COUNTIFS(実績!$W$6:$W$505,AS$3,実績!$AI$6:$AI$505,"&lt;="&amp;$A130,実績!$AJ$6:$AJ$505,"&gt;"&amp;$A130,実績!$AL$6:$AL$505,"○")&gt;0,1,0))</f>
        <v>0</v>
      </c>
      <c r="AT130" s="39" t="n">
        <f aca="false">IF(AT$4=0,0,IF(COUNTIFS(実績!$W$6:$W$505,AT$3,実績!$AI$6:$AI$505,"&lt;="&amp;$A130,実績!$AJ$6:$AJ$505,"&gt;"&amp;$A130,実績!$AL$6:$AL$505,"○")&gt;0,1,0))</f>
        <v>0</v>
      </c>
      <c r="AU130" s="39" t="n">
        <f aca="false">IF(AU$4=0,0,IF(COUNTIFS(実績!$W$6:$W$505,AU$3,実績!$AI$6:$AI$505,"&lt;="&amp;$A130,実績!$AJ$6:$AJ$505,"&gt;"&amp;$A130,実績!$AL$6:$AL$505,"○")&gt;0,1,0))</f>
        <v>0</v>
      </c>
      <c r="AV130" s="39" t="n">
        <f aca="false">IF(AV$4=0,0,IF(COUNTIFS(実績!$W$6:$W$505,AV$3,実績!$AI$6:$AI$505,"&lt;="&amp;$A130,実績!$AJ$6:$AJ$505,"&gt;"&amp;$A130,実績!$AL$6:$AL$505,"○")&gt;0,1,0))</f>
        <v>0</v>
      </c>
      <c r="AW130" s="39" t="n">
        <f aca="false">IF(AW$4=0,0,IF(COUNTIFS(実績!$W$6:$W$505,AW$3,実績!$AI$6:$AI$505,"&lt;="&amp;$A130,実績!$AJ$6:$AJ$505,"&gt;"&amp;$A130,実績!$AL$6:$AL$505,"○")&gt;0,1,0))</f>
        <v>0</v>
      </c>
      <c r="AX130" s="39" t="n">
        <f aca="false">IF(AX$4=0,0,IF(COUNTIFS(実績!$W$6:$W$505,AX$3,実績!$AI$6:$AI$505,"&lt;="&amp;$A130,実績!$AJ$6:$AJ$505,"&gt;"&amp;$A130,実績!$AL$6:$AL$505,"○")&gt;0,1,0))</f>
        <v>0</v>
      </c>
      <c r="AY130" s="39" t="n">
        <f aca="false">IF(AY$4=0,0,IF(COUNTIFS(実績!$W$6:$W$505,AY$3,実績!$AI$6:$AI$505,"&lt;="&amp;$A130,実績!$AJ$6:$AJ$505,"&gt;"&amp;$A130,実績!$AL$6:$AL$505,"○")&gt;0,1,0))</f>
        <v>0</v>
      </c>
      <c r="AZ130" s="39" t="n">
        <f aca="false">IF(AZ$4=0,0,IF(COUNTIFS(実績!$W$6:$W$505,AZ$3,実績!$AI$6:$AI$505,"&lt;="&amp;$A130,実績!$AJ$6:$AJ$505,"&gt;"&amp;$A130,実績!$AL$6:$AL$505,"○")&gt;0,1,0))</f>
        <v>0</v>
      </c>
      <c r="BA130" s="39" t="n">
        <f aca="false">IF(BA$4=0,0,IF(COUNTIFS(実績!$W$6:$W$505,BA$3,実績!$AI$6:$AI$505,"&lt;="&amp;$A130,実績!$AJ$6:$AJ$505,"&gt;"&amp;$A130,実績!$AL$6:$AL$505,"○")&gt;0,1,0))</f>
        <v>0</v>
      </c>
      <c r="BB130" s="39" t="n">
        <f aca="false">IF(BB$4=0,0,IF(COUNTIFS(実績!$W$6:$W$505,BB$3,実績!$AI$6:$AI$505,"&lt;="&amp;$A130,実績!$AJ$6:$AJ$505,"&gt;"&amp;$A130,実績!$AL$6:$AL$505,"○")&gt;0,1,0))</f>
        <v>0</v>
      </c>
      <c r="BC130" s="39" t="n">
        <f aca="false">IF(BC$4=0,0,IF(COUNTIFS(実績!$W$6:$W$505,BC$3,実績!$AI$6:$AI$505,"&lt;="&amp;$A130,実績!$AJ$6:$AJ$505,"&gt;"&amp;$A130,実績!$AL$6:$AL$505,"○")&gt;0,1,0))</f>
        <v>0</v>
      </c>
      <c r="BD130" s="39" t="n">
        <f aca="false">IF(BD$4=0,0,IF(COUNTIFS(実績!$W$6:$W$505,BD$3,実績!$AI$6:$AI$505,"&lt;="&amp;$A130,実績!$AJ$6:$AJ$505,"&gt;"&amp;$A130,実績!$AL$6:$AL$505,"○")&gt;0,1,0))</f>
        <v>0</v>
      </c>
      <c r="BE130" s="39" t="n">
        <f aca="false">IF(BE$4=0,0,IF(COUNTIFS(実績!$W$6:$W$505,BE$3,実績!$AI$6:$AI$505,"&lt;="&amp;$A130,実績!$AJ$6:$AJ$505,"&gt;"&amp;$A130,実績!$AL$6:$AL$505,"○")&gt;0,1,0))</f>
        <v>0</v>
      </c>
      <c r="BF130" s="39" t="n">
        <f aca="false">IF(BF$4=0,0,IF(COUNTIFS(実績!$W$6:$W$505,BF$3,実績!$AI$6:$AI$505,"&lt;="&amp;$A130,実績!$AJ$6:$AJ$505,"&gt;"&amp;$A130,実績!$AL$6:$AL$505,"○")&gt;0,1,0))</f>
        <v>0</v>
      </c>
      <c r="BG130" s="39" t="n">
        <f aca="false">IF(BG$4=0,0,IF(COUNTIFS(実績!$W$6:$W$505,BG$3,実績!$AI$6:$AI$505,"&lt;="&amp;$A130,実績!$AJ$6:$AJ$505,"&gt;"&amp;$A130,実績!$AL$6:$AL$505,"○")&gt;0,1,0))</f>
        <v>0</v>
      </c>
      <c r="BH130" s="39" t="n">
        <f aca="false">IF(BH$4=0,0,IF(COUNTIFS(実績!$W$6:$W$505,BH$3,実績!$AI$6:$AI$505,"&lt;="&amp;$A130,実績!$AJ$6:$AJ$505,"&gt;"&amp;$A130,実績!$AL$6:$AL$505,"○")&gt;0,1,0))</f>
        <v>0</v>
      </c>
      <c r="BI130" s="39" t="n">
        <f aca="false">IF(BI$4=0,0,IF(COUNTIFS(実績!$W$6:$W$505,BI$3,実績!$AI$6:$AI$505,"&lt;="&amp;$A130,実績!$AJ$6:$AJ$505,"&gt;"&amp;$A130,実績!$AL$6:$AL$505,"○")&gt;0,1,0))</f>
        <v>0</v>
      </c>
      <c r="BJ130" s="39" t="n">
        <f aca="false">IF(BJ$4=0,0,IF(COUNTIFS(実績!$W$6:$W$505,BJ$3,実績!$AI$6:$AI$505,"&lt;="&amp;$A130,実績!$AJ$6:$AJ$505,"&gt;"&amp;$A130,実績!$AL$6:$AL$505,"○")&gt;0,1,0))</f>
        <v>0</v>
      </c>
      <c r="BK130" s="39" t="n">
        <f aca="false">IF(BK$4=0,0,IF(COUNTIFS(実績!$W$6:$W$505,BK$3,実績!$AI$6:$AI$505,"&lt;="&amp;$A130,実績!$AJ$6:$AJ$505,"&gt;"&amp;$A130,実績!$AL$6:$AL$505,"○")&gt;0,1,0))</f>
        <v>0</v>
      </c>
      <c r="BL130" s="39" t="n">
        <f aca="false">IF(BL$4=0,0,IF(COUNTIFS(実績!$W$6:$W$505,BL$3,実績!$AI$6:$AI$505,"&lt;="&amp;$A130,実績!$AJ$6:$AJ$505,"&gt;"&amp;$A130,実績!$AL$6:$AL$505,"○")&gt;0,1,0))</f>
        <v>0</v>
      </c>
      <c r="BM130" s="39" t="n">
        <f aca="false">IF(BM$4=0,0,IF(COUNTIFS(実績!$W$6:$W$505,BM$3,実績!$AI$6:$AI$505,"&lt;="&amp;$A130,実績!$AJ$6:$AJ$505,"&gt;"&amp;$A130,実績!$AL$6:$AL$505,"○")&gt;0,1,0))</f>
        <v>0</v>
      </c>
      <c r="BN130" s="39" t="n">
        <f aca="false">IF(BN$4=0,0,IF(COUNTIFS(実績!$W$6:$W$505,BN$3,実績!$AI$6:$AI$505,"&lt;="&amp;$A130,実績!$AJ$6:$AJ$505,"&gt;"&amp;$A130,実績!$AL$6:$AL$505,"○")&gt;0,1,0))</f>
        <v>0</v>
      </c>
      <c r="BO130" s="39" t="n">
        <f aca="false">IF(BO$4=0,0,IF(COUNTIFS(実績!$W$6:$W$505,BO$3,実績!$AI$6:$AI$505,"&lt;="&amp;$A130,実績!$AJ$6:$AJ$505,"&gt;"&amp;$A130,実績!$AL$6:$AL$505,"○")&gt;0,1,0))</f>
        <v>0</v>
      </c>
      <c r="BP130" s="39" t="n">
        <f aca="false">IF(BP$4=0,0,IF(COUNTIFS(実績!$W$6:$W$505,BP$3,実績!$AI$6:$AI$505,"&lt;="&amp;$A130,実績!$AJ$6:$AJ$505,"&gt;"&amp;$A130,実績!$AL$6:$AL$505,"○")&gt;0,1,0))</f>
        <v>0</v>
      </c>
      <c r="BQ130" s="39" t="n">
        <f aca="false">IF(BQ$4=0,0,IF(COUNTIFS(実績!$W$6:$W$505,BQ$3,実績!$AI$6:$AI$505,"&lt;="&amp;$A130,実績!$AJ$6:$AJ$505,"&gt;"&amp;$A130,実績!$AL$6:$AL$505,"○")&gt;0,1,0))</f>
        <v>0</v>
      </c>
      <c r="BR130" s="39" t="n">
        <f aca="false">IF(BR$4=0,0,IF(COUNTIFS(実績!$W$6:$W$505,BR$3,実績!$AI$6:$AI$505,"&lt;="&amp;$A130,実績!$AJ$6:$AJ$505,"&gt;"&amp;$A130,実績!$AL$6:$AL$505,"○")&gt;0,1,0))</f>
        <v>0</v>
      </c>
      <c r="BS130" s="39" t="n">
        <f aca="false">IF(BS$4=0,0,IF(COUNTIFS(実績!$W$6:$W$505,BS$3,実績!$AI$6:$AI$505,"&lt;="&amp;$A130,実績!$AJ$6:$AJ$505,"&gt;"&amp;$A130,実績!$AL$6:$AL$505,"○")&gt;0,1,0))</f>
        <v>0</v>
      </c>
      <c r="BT130" s="39" t="n">
        <f aca="false">IF(BT$4=0,0,IF(COUNTIFS(実績!$W$6:$W$505,BT$3,実績!$AI$6:$AI$505,"&lt;="&amp;$A130,実績!$AJ$6:$AJ$505,"&gt;"&amp;$A130,実績!$AL$6:$AL$505,"○")&gt;0,1,0))</f>
        <v>0</v>
      </c>
      <c r="BU130" s="39" t="n">
        <f aca="false">IF(BU$4=0,0,IF(COUNTIFS(実績!$W$6:$W$505,BU$3,実績!$AI$6:$AI$505,"&lt;="&amp;$A130,実績!$AJ$6:$AJ$505,"&gt;"&amp;$A130,実績!$AL$6:$AL$505,"○")&gt;0,1,0))</f>
        <v>0</v>
      </c>
      <c r="BV130" s="39" t="n">
        <f aca="false">IF(BV$4=0,0,IF(COUNTIFS(実績!$W$6:$W$505,BV$3,実績!$AI$6:$AI$505,"&lt;="&amp;$A130,実績!$AJ$6:$AJ$505,"&gt;"&amp;$A130,実績!$AL$6:$AL$505,"○")&gt;0,1,0))</f>
        <v>0</v>
      </c>
      <c r="BW130" s="39" t="n">
        <f aca="false">IF(BW$4=0,0,IF(COUNTIFS(実績!$W$6:$W$505,BW$3,実績!$AI$6:$AI$505,"&lt;="&amp;$A130,実績!$AJ$6:$AJ$505,"&gt;"&amp;$A130,実績!$AL$6:$AL$505,"○")&gt;0,1,0))</f>
        <v>0</v>
      </c>
      <c r="BX130" s="39" t="n">
        <f aca="false">IF(BX$4=0,0,IF(COUNTIFS(実績!$W$6:$W$505,BX$3,実績!$AI$6:$AI$505,"&lt;="&amp;$A130,実績!$AJ$6:$AJ$505,"&gt;"&amp;$A130,実績!$AL$6:$AL$505,"○")&gt;0,1,0))</f>
        <v>0</v>
      </c>
      <c r="BY130" s="39" t="n">
        <f aca="false">IF(BY$4=0,0,IF(COUNTIFS(実績!$W$6:$W$505,BY$3,実績!$AI$6:$AI$505,"&lt;="&amp;$A130,実績!$AJ$6:$AJ$505,"&gt;"&amp;$A130,実績!$AL$6:$AL$505,"○")&gt;0,1,0))</f>
        <v>0</v>
      </c>
      <c r="BZ130" s="39" t="n">
        <f aca="false">IF(BZ$4=0,0,IF(COUNTIFS(実績!$W$6:$W$505,BZ$3,実績!$AI$6:$AI$505,"&lt;="&amp;$A130,実績!$AJ$6:$AJ$505,"&gt;"&amp;$A130,実績!$AL$6:$AL$505,"○")&gt;0,1,0))</f>
        <v>0</v>
      </c>
      <c r="CA130" s="39" t="n">
        <f aca="false">IF(CA$4=0,0,IF(COUNTIFS(実績!$W$6:$W$505,CA$3,実績!$AI$6:$AI$505,"&lt;="&amp;$A130,実績!$AJ$6:$AJ$505,"&gt;"&amp;$A130,実績!$AL$6:$AL$505,"○")&gt;0,1,0))</f>
        <v>0</v>
      </c>
      <c r="CB130" s="39" t="n">
        <f aca="false">IF(CB$4=0,0,IF(COUNTIFS(実績!$W$6:$W$505,CB$3,実績!$AI$6:$AI$505,"&lt;="&amp;$A130,実績!$AJ$6:$AJ$505,"&gt;"&amp;$A130,実績!$AL$6:$AL$505,"○")&gt;0,1,0))</f>
        <v>0</v>
      </c>
      <c r="CC130" s="39" t="n">
        <f aca="false">IF(CC$4=0,0,IF(COUNTIFS(実績!$W$6:$W$505,CC$3,実績!$AI$6:$AI$505,"&lt;="&amp;$A130,実績!$AJ$6:$AJ$505,"&gt;"&amp;$A130,実績!$AL$6:$AL$505,"○")&gt;0,1,0))</f>
        <v>0</v>
      </c>
      <c r="CD130" s="39" t="n">
        <f aca="false">IF(CD$4=0,0,IF(COUNTIFS(実績!$W$6:$W$505,CD$3,実績!$AI$6:$AI$505,"&lt;="&amp;$A130,実績!$AJ$6:$AJ$505,"&gt;"&amp;$A130,実績!$AL$6:$AL$505,"○")&gt;0,1,0))</f>
        <v>0</v>
      </c>
      <c r="CE130" s="39" t="n">
        <f aca="false">IF(CE$4=0,0,IF(COUNTIFS(実績!$W$6:$W$505,CE$3,実績!$AI$6:$AI$505,"&lt;="&amp;$A130,実績!$AJ$6:$AJ$505,"&gt;"&amp;$A130,実績!$AL$6:$AL$505,"○")&gt;0,1,0))</f>
        <v>0</v>
      </c>
      <c r="CF130" s="39" t="n">
        <f aca="false">IF(CF$4=0,0,IF(COUNTIFS(実績!$W$6:$W$505,CF$3,実績!$AI$6:$AI$505,"&lt;="&amp;$A130,実績!$AJ$6:$AJ$505,"&gt;"&amp;$A130,実績!$AL$6:$AL$505,"○")&gt;0,1,0))</f>
        <v>0</v>
      </c>
      <c r="CG130" s="39" t="n">
        <f aca="false">IF(CG$4=0,0,IF(COUNTIFS(実績!$W$6:$W$505,CG$3,実績!$AI$6:$AI$505,"&lt;="&amp;$A130,実績!$AJ$6:$AJ$505,"&gt;"&amp;$A130,実績!$AL$6:$AL$505,"○")&gt;0,1,0))</f>
        <v>0</v>
      </c>
      <c r="CH130" s="39" t="n">
        <f aca="false">IF(CH$4=0,0,IF(COUNTIFS(実績!$W$6:$W$505,CH$3,実績!$AI$6:$AI$505,"&lt;="&amp;$A130,実績!$AJ$6:$AJ$505,"&gt;"&amp;$A130,実績!$AL$6:$AL$505,"○")&gt;0,1,0))</f>
        <v>0</v>
      </c>
      <c r="CI130" s="39" t="n">
        <f aca="false">IF(CI$4=0,0,IF(COUNTIFS(実績!$W$6:$W$505,CI$3,実績!$AI$6:$AI$505,"&lt;="&amp;$A130,実績!$AJ$6:$AJ$505,"&gt;"&amp;$A130,実績!$AL$6:$AL$505,"○")&gt;0,1,0))</f>
        <v>0</v>
      </c>
      <c r="CJ130" s="39" t="n">
        <f aca="false">IF(CJ$4=0,0,IF(COUNTIFS(実績!$W$6:$W$505,CJ$3,実績!$AI$6:$AI$505,"&lt;="&amp;$A130,実績!$AJ$6:$AJ$505,"&gt;"&amp;$A130,実績!$AL$6:$AL$505,"○")&gt;0,1,0))</f>
        <v>0</v>
      </c>
      <c r="CK130" s="39" t="n">
        <f aca="false">IF(CK$4=0,0,IF(COUNTIFS(実績!$W$6:$W$505,CK$3,実績!$AI$6:$AI$505,"&lt;="&amp;$A130,実績!$AJ$6:$AJ$505,"&gt;"&amp;$A130,実績!$AL$6:$AL$505,"○")&gt;0,1,0))</f>
        <v>0</v>
      </c>
      <c r="CL130" s="39" t="n">
        <f aca="false">IF(CL$4=0,0,IF(COUNTIFS(実績!$W$6:$W$505,CL$3,実績!$AI$6:$AI$505,"&lt;="&amp;$A130,実績!$AJ$6:$AJ$505,"&gt;"&amp;$A130,実績!$AL$6:$AL$505,"○")&gt;0,1,0))</f>
        <v>0</v>
      </c>
      <c r="CM130" s="39" t="n">
        <f aca="false">IF(CM$4=0,0,IF(COUNTIFS(実績!$W$6:$W$505,CM$3,実績!$AI$6:$AI$505,"&lt;="&amp;$A130,実績!$AJ$6:$AJ$505,"&gt;"&amp;$A130,実績!$AL$6:$AL$505,"○")&gt;0,1,0))</f>
        <v>0</v>
      </c>
      <c r="CN130" s="39" t="n">
        <f aca="false">IF(CN$4=0,0,IF(COUNTIFS(実績!$W$6:$W$505,CN$3,実績!$AI$6:$AI$505,"&lt;="&amp;$A130,実績!$AJ$6:$AJ$505,"&gt;"&amp;$A130,実績!$AL$6:$AL$505,"○")&gt;0,1,0))</f>
        <v>0</v>
      </c>
      <c r="CO130" s="39" t="n">
        <f aca="false">IF(CO$4=0,0,IF(COUNTIFS(実績!$W$6:$W$505,CO$3,実績!$AI$6:$AI$505,"&lt;="&amp;$A130,実績!$AJ$6:$AJ$505,"&gt;"&amp;$A130,実績!$AL$6:$AL$505,"○")&gt;0,1,0))</f>
        <v>0</v>
      </c>
      <c r="CP130" s="39" t="n">
        <f aca="false">IF(CP$4=0,0,IF(COUNTIFS(実績!$W$6:$W$505,CP$3,実績!$AI$6:$AI$505,"&lt;="&amp;$A130,実績!$AJ$6:$AJ$505,"&gt;"&amp;$A130,実績!$AL$6:$AL$505,"○")&gt;0,1,0))</f>
        <v>0</v>
      </c>
      <c r="CQ130" s="39" t="n">
        <f aca="false">IF(CQ$4=0,0,IF(COUNTIFS(実績!$W$6:$W$505,CQ$3,実績!$AI$6:$AI$505,"&lt;="&amp;$A130,実績!$AJ$6:$AJ$505,"&gt;"&amp;$A130,実績!$AL$6:$AL$505,"○")&gt;0,1,0))</f>
        <v>0</v>
      </c>
      <c r="CR130" s="39" t="n">
        <f aca="false">IF(CR$4=0,0,IF(COUNTIFS(実績!$W$6:$W$505,CR$3,実績!$AI$6:$AI$505,"&lt;="&amp;$A130,実績!$AJ$6:$AJ$505,"&gt;"&amp;$A130,実績!$AL$6:$AL$505,"○")&gt;0,1,0))</f>
        <v>0</v>
      </c>
      <c r="CS130" s="39" t="n">
        <f aca="false">IF(CS$4=0,0,IF(COUNTIFS(実績!$W$6:$W$505,CS$3,実績!$AI$6:$AI$505,"&lt;="&amp;$A130,実績!$AJ$6:$AJ$505,"&gt;"&amp;$A130,実績!$AL$6:$AL$505,"○")&gt;0,1,0))</f>
        <v>0</v>
      </c>
      <c r="CT130" s="39" t="n">
        <f aca="false">IF(CT$4=0,0,IF(COUNTIFS(実績!$W$6:$W$505,CT$3,実績!$AI$6:$AI$505,"&lt;="&amp;$A130,実績!$AJ$6:$AJ$505,"&gt;"&amp;$A130,実績!$AL$6:$AL$505,"○")&gt;0,1,0))</f>
        <v>0</v>
      </c>
      <c r="CU130" s="39" t="n">
        <f aca="false">IF(CU$4=0,0,IF(COUNTIFS(実績!$W$6:$W$505,CU$3,実績!$AI$6:$AI$505,"&lt;="&amp;$A130,実績!$AJ$6:$AJ$505,"&gt;"&amp;$A130,実績!$AL$6:$AL$505,"○")&gt;0,1,0))</f>
        <v>0</v>
      </c>
      <c r="CV130" s="39" t="n">
        <f aca="false">IF(CV$4=0,0,IF(COUNTIFS(実績!$W$6:$W$505,CV$3,実績!$AI$6:$AI$505,"&lt;="&amp;$A130,実績!$AJ$6:$AJ$505,"&gt;"&amp;$A130,実績!$AL$6:$AL$505,"○")&gt;0,1,0))</f>
        <v>0</v>
      </c>
      <c r="CW130" s="39" t="n">
        <f aca="false">IF(CW$4=0,0,IF(COUNTIFS(実績!$W$6:$W$505,CW$3,実績!$AI$6:$AI$505,"&lt;="&amp;$A130,実績!$AJ$6:$AJ$505,"&gt;"&amp;$A130,実績!$AL$6:$AL$505,"○")&gt;0,1,0))</f>
        <v>0</v>
      </c>
      <c r="CX130" s="39" t="n">
        <f aca="false">IF(CX$4=0,0,IF(COUNTIFS(実績!$W$6:$W$505,CX$3,実績!$AI$6:$AI$505,"&lt;="&amp;$A130,実績!$AJ$6:$AJ$505,"&gt;"&amp;$A130,実績!$AL$6:$AL$505,"○")&gt;0,1,0))</f>
        <v>0</v>
      </c>
      <c r="CY130" s="39" t="n">
        <f aca="false">IF(CY$4=0,0,IF(COUNTIFS(実績!$W$6:$W$505,CY$3,実績!$AI$6:$AI$505,"&lt;="&amp;$A130,実績!$AJ$6:$AJ$505,"&gt;"&amp;$A130,実績!$AL$6:$AL$505,"○")&gt;0,1,0))</f>
        <v>0</v>
      </c>
      <c r="CZ130" s="39" t="n">
        <f aca="false">IF(CZ$4=0,0,IF(COUNTIFS(実績!$W$6:$W$505,CZ$3,実績!$AI$6:$AI$505,"&lt;="&amp;$A130,実績!$AJ$6:$AJ$505,"&gt;"&amp;$A130,実績!$AL$6:$AL$505,"○")&gt;0,1,0))</f>
        <v>0</v>
      </c>
      <c r="DA130" s="39" t="n">
        <f aca="false">IF(DA$4=0,0,IF(COUNTIFS(実績!$W$6:$W$505,DA$3,実績!$AI$6:$AI$505,"&lt;="&amp;$A130,実績!$AJ$6:$AJ$505,"&gt;"&amp;$A130,実績!$AL$6:$AL$505,"○")&gt;0,1,0))</f>
        <v>0</v>
      </c>
      <c r="DB130" s="39" t="n">
        <f aca="false">IF(DB$4=0,0,IF(COUNTIFS(実績!$W$6:$W$505,DB$3,実績!$AI$6:$AI$505,"&lt;="&amp;$A130,実績!$AJ$6:$AJ$505,"&gt;"&amp;$A130,実績!$AL$6:$AL$505,"○")&gt;0,1,0))</f>
        <v>0</v>
      </c>
      <c r="DC130" s="39" t="n">
        <f aca="false">IF(DC$4=0,0,IF(COUNTIFS(実績!$W$6:$W$505,DC$3,実績!$AI$6:$AI$505,"&lt;="&amp;$A130,実績!$AJ$6:$AJ$505,"&gt;"&amp;$A130,実績!$AL$6:$AL$505,"○")&gt;0,1,0))</f>
        <v>0</v>
      </c>
      <c r="DD130" s="39" t="n">
        <f aca="false">IF(DD$4=0,0,IF(COUNTIFS(実績!$W$6:$W$505,DD$3,実績!$AI$6:$AI$505,"&lt;="&amp;$A130,実績!$AJ$6:$AJ$505,"&gt;"&amp;$A130,実績!$AL$6:$AL$505,"○")&gt;0,1,0))</f>
        <v>0</v>
      </c>
      <c r="DE130" s="39" t="n">
        <f aca="false">IF(DE$4=0,0,IF(COUNTIFS(実績!$W$6:$W$505,DE$3,実績!$AI$6:$AI$505,"&lt;="&amp;$A130,実績!$AJ$6:$AJ$505,"&gt;"&amp;$A130,実績!$AL$6:$AL$505,"○")&gt;0,1,0))</f>
        <v>0</v>
      </c>
      <c r="DF130" s="39" t="n">
        <f aca="false">IF(DF$4=0,0,IF(COUNTIFS(実績!$W$6:$W$505,DF$3,実績!$AI$6:$AI$505,"&lt;="&amp;$A130,実績!$AJ$6:$AJ$505,"&gt;"&amp;$A130,実績!$AL$6:$AL$505,"○")&gt;0,1,0))</f>
        <v>0</v>
      </c>
      <c r="DG130" s="39" t="n">
        <f aca="false">IF(DG$4=0,0,IF(COUNTIFS(実績!$W$6:$W$505,DG$3,実績!$AI$6:$AI$505,"&lt;="&amp;$A130,実績!$AJ$6:$AJ$505,"&gt;"&amp;$A130,実績!$AL$6:$AL$505,"○")&gt;0,1,0))</f>
        <v>0</v>
      </c>
      <c r="DH130" s="39" t="n">
        <f aca="false">IF(DH$4=0,0,IF(COUNTIFS(実績!$W$6:$W$505,DH$3,実績!$AI$6:$AI$505,"&lt;="&amp;$A130,実績!$AJ$6:$AJ$505,"&gt;"&amp;$A130,実績!$AL$6:$AL$505,"○")&gt;0,1,0))</f>
        <v>0</v>
      </c>
      <c r="DI130" s="39" t="n">
        <f aca="false">IF(DI$4=0,0,IF(COUNTIFS(実績!$W$6:$W$505,DI$3,実績!$AI$6:$AI$505,"&lt;="&amp;$A130,実績!$AJ$6:$AJ$505,"&gt;"&amp;$A130,実績!$AL$6:$AL$505,"○")&gt;0,1,0))</f>
        <v>0</v>
      </c>
      <c r="DJ130" s="39" t="n">
        <f aca="false">IF(DJ$4=0,0,IF(COUNTIFS(実績!$W$6:$W$505,DJ$3,実績!$AI$6:$AI$505,"&lt;="&amp;$A130,実績!$AJ$6:$AJ$505,"&gt;"&amp;$A130,実績!$AL$6:$AL$505,"○")&gt;0,1,0))</f>
        <v>0</v>
      </c>
      <c r="DK130" s="39" t="n">
        <f aca="false">IF(DK$4=0,0,IF(COUNTIFS(実績!$W$6:$W$505,DK$3,実績!$AI$6:$AI$505,"&lt;="&amp;$A130,実績!$AJ$6:$AJ$505,"&gt;"&amp;$A130,実績!$AL$6:$AL$505,"○")&gt;0,1,0))</f>
        <v>0</v>
      </c>
      <c r="DL130" s="39" t="n">
        <f aca="false">IF(DL$4=0,0,IF(COUNTIFS(実績!$W$6:$W$505,DL$3,実績!$AI$6:$AI$505,"&lt;="&amp;$A130,実績!$AJ$6:$AJ$505,"&gt;"&amp;$A130,実績!$AL$6:$AL$505,"○")&gt;0,1,0))</f>
        <v>0</v>
      </c>
      <c r="DM130" s="39" t="n">
        <f aca="false">IF(DM$4=0,0,IF(COUNTIFS(実績!$W$6:$W$505,DM$3,実績!$AI$6:$AI$505,"&lt;="&amp;$A130,実績!$AJ$6:$AJ$505,"&gt;"&amp;$A130,実績!$AL$6:$AL$505,"○")&gt;0,1,0))</f>
        <v>0</v>
      </c>
      <c r="DN130" s="39" t="n">
        <f aca="false">IF(DN$4=0,0,IF(COUNTIFS(実績!$W$6:$W$505,DN$3,実績!$AI$6:$AI$505,"&lt;="&amp;$A130,実績!$AJ$6:$AJ$505,"&gt;"&amp;$A130,実績!$AL$6:$AL$505,"○")&gt;0,1,0))</f>
        <v>0</v>
      </c>
      <c r="DO130" s="39" t="n">
        <f aca="false">IF(DO$4=0,0,IF(COUNTIFS(実績!$W$6:$W$505,DO$3,実績!$AI$6:$AI$505,"&lt;="&amp;$A130,実績!$AJ$6:$AJ$505,"&gt;"&amp;$A130,実績!$AL$6:$AL$505,"○")&gt;0,1,0))</f>
        <v>0</v>
      </c>
      <c r="DP130" s="39" t="n">
        <f aca="false">IF(DP$4=0,0,IF(COUNTIFS(実績!$W$6:$W$505,DP$3,実績!$AI$6:$AI$505,"&lt;="&amp;$A130,実績!$AJ$6:$AJ$505,"&gt;"&amp;$A130,実績!$AL$6:$AL$505,"○")&gt;0,1,0))</f>
        <v>0</v>
      </c>
      <c r="DQ130" s="39" t="n">
        <f aca="false">IF(DQ$4=0,0,IF(COUNTIFS(実績!$W$6:$W$505,DQ$3,実績!$AI$6:$AI$505,"&lt;="&amp;$A130,実績!$AJ$6:$AJ$505,"&gt;"&amp;$A130,実績!$AL$6:$AL$505,"○")&gt;0,1,0))</f>
        <v>0</v>
      </c>
      <c r="DR130" s="39" t="n">
        <f aca="false">IF(DR$4=0,0,IF(COUNTIFS(実績!$W$6:$W$505,DR$3,実績!$AI$6:$AI$505,"&lt;="&amp;$A130,実績!$AJ$6:$AJ$505,"&gt;"&amp;$A130,実績!$AL$6:$AL$505,"○")&gt;0,1,0))</f>
        <v>0</v>
      </c>
      <c r="DS130" s="39" t="n">
        <f aca="false">SUM(C130:DR130)</f>
        <v>0</v>
      </c>
    </row>
    <row r="131" customFormat="false" ht="15" hidden="false" customHeight="false" outlineLevel="0" collapsed="false">
      <c r="A131" s="0" t="n">
        <v>625</v>
      </c>
      <c r="B131" s="38" t="n">
        <f aca="false">A131/1440</f>
        <v>0.434027777777778</v>
      </c>
      <c r="C131" s="39" t="n">
        <f aca="false">IF(C$4=0,0,IF(COUNTIFS(実績!$W$6:$W$505,C$3,実績!$AI$6:$AI$505,"&lt;="&amp;$A131,実績!$AJ$6:$AJ$505,"&gt;"&amp;$A131,実績!$AL$6:$AL$505,"○")&gt;0,1,0))</f>
        <v>0</v>
      </c>
      <c r="D131" s="39" t="n">
        <f aca="false">IF(D$4=0,0,IF(COUNTIFS(実績!$W$6:$W$505,D$3,実績!$AI$6:$AI$505,"&lt;="&amp;$A131,実績!$AJ$6:$AJ$505,"&gt;"&amp;$A131,実績!$AL$6:$AL$505,"○")&gt;0,1,0))</f>
        <v>0</v>
      </c>
      <c r="E131" s="39" t="n">
        <f aca="false">IF(E$4=0,0,IF(COUNTIFS(実績!$W$6:$W$505,E$3,実績!$AI$6:$AI$505,"&lt;="&amp;$A131,実績!$AJ$6:$AJ$505,"&gt;"&amp;$A131,実績!$AL$6:$AL$505,"○")&gt;0,1,0))</f>
        <v>0</v>
      </c>
      <c r="F131" s="39" t="n">
        <f aca="false">IF(F$4=0,0,IF(COUNTIFS(実績!$W$6:$W$505,F$3,実績!$AI$6:$AI$505,"&lt;="&amp;$A131,実績!$AJ$6:$AJ$505,"&gt;"&amp;$A131,実績!$AL$6:$AL$505,"○")&gt;0,1,0))</f>
        <v>0</v>
      </c>
      <c r="G131" s="39" t="n">
        <f aca="false">IF(G$4=0,0,IF(COUNTIFS(実績!$W$6:$W$505,G$3,実績!$AI$6:$AI$505,"&lt;="&amp;$A131,実績!$AJ$6:$AJ$505,"&gt;"&amp;$A131,実績!$AL$6:$AL$505,"○")&gt;0,1,0))</f>
        <v>0</v>
      </c>
      <c r="H131" s="39" t="n">
        <f aca="false">IF(H$4=0,0,IF(COUNTIFS(実績!$W$6:$W$505,H$3,実績!$AI$6:$AI$505,"&lt;="&amp;$A131,実績!$AJ$6:$AJ$505,"&gt;"&amp;$A131,実績!$AL$6:$AL$505,"○")&gt;0,1,0))</f>
        <v>0</v>
      </c>
      <c r="I131" s="39" t="n">
        <f aca="false">IF(I$4=0,0,IF(COUNTIFS(実績!$W$6:$W$505,I$3,実績!$AI$6:$AI$505,"&lt;="&amp;$A131,実績!$AJ$6:$AJ$505,"&gt;"&amp;$A131,実績!$AL$6:$AL$505,"○")&gt;0,1,0))</f>
        <v>0</v>
      </c>
      <c r="J131" s="39" t="n">
        <f aca="false">IF(J$4=0,0,IF(COUNTIFS(実績!$W$6:$W$505,J$3,実績!$AI$6:$AI$505,"&lt;="&amp;$A131,実績!$AJ$6:$AJ$505,"&gt;"&amp;$A131,実績!$AL$6:$AL$505,"○")&gt;0,1,0))</f>
        <v>0</v>
      </c>
      <c r="K131" s="39" t="n">
        <f aca="false">IF(K$4=0,0,IF(COUNTIFS(実績!$W$6:$W$505,K$3,実績!$AI$6:$AI$505,"&lt;="&amp;$A131,実績!$AJ$6:$AJ$505,"&gt;"&amp;$A131,実績!$AL$6:$AL$505,"○")&gt;0,1,0))</f>
        <v>0</v>
      </c>
      <c r="L131" s="39" t="n">
        <f aca="false">IF(L$4=0,0,IF(COUNTIFS(実績!$W$6:$W$505,L$3,実績!$AI$6:$AI$505,"&lt;="&amp;$A131,実績!$AJ$6:$AJ$505,"&gt;"&amp;$A131,実績!$AL$6:$AL$505,"○")&gt;0,1,0))</f>
        <v>0</v>
      </c>
      <c r="M131" s="39" t="n">
        <f aca="false">IF(M$4=0,0,IF(COUNTIFS(実績!$W$6:$W$505,M$3,実績!$AI$6:$AI$505,"&lt;="&amp;$A131,実績!$AJ$6:$AJ$505,"&gt;"&amp;$A131,実績!$AL$6:$AL$505,"○")&gt;0,1,0))</f>
        <v>0</v>
      </c>
      <c r="N131" s="39" t="n">
        <f aca="false">IF(N$4=0,0,IF(COUNTIFS(実績!$W$6:$W$505,N$3,実績!$AI$6:$AI$505,"&lt;="&amp;$A131,実績!$AJ$6:$AJ$505,"&gt;"&amp;$A131,実績!$AL$6:$AL$505,"○")&gt;0,1,0))</f>
        <v>0</v>
      </c>
      <c r="O131" s="39" t="n">
        <f aca="false">IF(O$4=0,0,IF(COUNTIFS(実績!$W$6:$W$505,O$3,実績!$AI$6:$AI$505,"&lt;="&amp;$A131,実績!$AJ$6:$AJ$505,"&gt;"&amp;$A131,実績!$AL$6:$AL$505,"○")&gt;0,1,0))</f>
        <v>0</v>
      </c>
      <c r="P131" s="39" t="n">
        <f aca="false">IF(P$4=0,0,IF(COUNTIFS(実績!$W$6:$W$505,P$3,実績!$AI$6:$AI$505,"&lt;="&amp;$A131,実績!$AJ$6:$AJ$505,"&gt;"&amp;$A131,実績!$AL$6:$AL$505,"○")&gt;0,1,0))</f>
        <v>0</v>
      </c>
      <c r="Q131" s="39" t="n">
        <f aca="false">IF(Q$4=0,0,IF(COUNTIFS(実績!$W$6:$W$505,Q$3,実績!$AI$6:$AI$505,"&lt;="&amp;$A131,実績!$AJ$6:$AJ$505,"&gt;"&amp;$A131,実績!$AL$6:$AL$505,"○")&gt;0,1,0))</f>
        <v>0</v>
      </c>
      <c r="R131" s="39" t="n">
        <f aca="false">IF(R$4=0,0,IF(COUNTIFS(実績!$W$6:$W$505,R$3,実績!$AI$6:$AI$505,"&lt;="&amp;$A131,実績!$AJ$6:$AJ$505,"&gt;"&amp;$A131,実績!$AL$6:$AL$505,"○")&gt;0,1,0))</f>
        <v>0</v>
      </c>
      <c r="S131" s="39" t="n">
        <f aca="false">IF(S$4=0,0,IF(COUNTIFS(実績!$W$6:$W$505,S$3,実績!$AI$6:$AI$505,"&lt;="&amp;$A131,実績!$AJ$6:$AJ$505,"&gt;"&amp;$A131,実績!$AL$6:$AL$505,"○")&gt;0,1,0))</f>
        <v>0</v>
      </c>
      <c r="T131" s="39" t="n">
        <f aca="false">IF(T$4=0,0,IF(COUNTIFS(実績!$W$6:$W$505,T$3,実績!$AI$6:$AI$505,"&lt;="&amp;$A131,実績!$AJ$6:$AJ$505,"&gt;"&amp;$A131,実績!$AL$6:$AL$505,"○")&gt;0,1,0))</f>
        <v>0</v>
      </c>
      <c r="U131" s="39" t="n">
        <f aca="false">IF(U$4=0,0,IF(COUNTIFS(実績!$W$6:$W$505,U$3,実績!$AI$6:$AI$505,"&lt;="&amp;$A131,実績!$AJ$6:$AJ$505,"&gt;"&amp;$A131,実績!$AL$6:$AL$505,"○")&gt;0,1,0))</f>
        <v>0</v>
      </c>
      <c r="V131" s="39" t="n">
        <f aca="false">IF(V$4=0,0,IF(COUNTIFS(実績!$W$6:$W$505,V$3,実績!$AI$6:$AI$505,"&lt;="&amp;$A131,実績!$AJ$6:$AJ$505,"&gt;"&amp;$A131,実績!$AL$6:$AL$505,"○")&gt;0,1,0))</f>
        <v>0</v>
      </c>
      <c r="W131" s="39" t="n">
        <f aca="false">IF(W$4=0,0,IF(COUNTIFS(実績!$W$6:$W$505,W$3,実績!$AI$6:$AI$505,"&lt;="&amp;$A131,実績!$AJ$6:$AJ$505,"&gt;"&amp;$A131,実績!$AL$6:$AL$505,"○")&gt;0,1,0))</f>
        <v>0</v>
      </c>
      <c r="X131" s="39" t="n">
        <f aca="false">IF(X$4=0,0,IF(COUNTIFS(実績!$W$6:$W$505,X$3,実績!$AI$6:$AI$505,"&lt;="&amp;$A131,実績!$AJ$6:$AJ$505,"&gt;"&amp;$A131,実績!$AL$6:$AL$505,"○")&gt;0,1,0))</f>
        <v>0</v>
      </c>
      <c r="Y131" s="39" t="n">
        <f aca="false">IF(Y$4=0,0,IF(COUNTIFS(実績!$W$6:$W$505,Y$3,実績!$AI$6:$AI$505,"&lt;="&amp;$A131,実績!$AJ$6:$AJ$505,"&gt;"&amp;$A131,実績!$AL$6:$AL$505,"○")&gt;0,1,0))</f>
        <v>0</v>
      </c>
      <c r="Z131" s="39" t="n">
        <f aca="false">IF(Z$4=0,0,IF(COUNTIFS(実績!$W$6:$W$505,Z$3,実績!$AI$6:$AI$505,"&lt;="&amp;$A131,実績!$AJ$6:$AJ$505,"&gt;"&amp;$A131,実績!$AL$6:$AL$505,"○")&gt;0,1,0))</f>
        <v>0</v>
      </c>
      <c r="AA131" s="39" t="n">
        <f aca="false">IF(AA$4=0,0,IF(COUNTIFS(実績!$W$6:$W$505,AA$3,実績!$AI$6:$AI$505,"&lt;="&amp;$A131,実績!$AJ$6:$AJ$505,"&gt;"&amp;$A131,実績!$AL$6:$AL$505,"○")&gt;0,1,0))</f>
        <v>0</v>
      </c>
      <c r="AB131" s="39" t="n">
        <f aca="false">IF(AB$4=0,0,IF(COUNTIFS(実績!$W$6:$W$505,AB$3,実績!$AI$6:$AI$505,"&lt;="&amp;$A131,実績!$AJ$6:$AJ$505,"&gt;"&amp;$A131,実績!$AL$6:$AL$505,"○")&gt;0,1,0))</f>
        <v>0</v>
      </c>
      <c r="AC131" s="39" t="n">
        <f aca="false">IF(AC$4=0,0,IF(COUNTIFS(実績!$W$6:$W$505,AC$3,実績!$AI$6:$AI$505,"&lt;="&amp;$A131,実績!$AJ$6:$AJ$505,"&gt;"&amp;$A131,実績!$AL$6:$AL$505,"○")&gt;0,1,0))</f>
        <v>0</v>
      </c>
      <c r="AD131" s="39" t="n">
        <f aca="false">IF(AD$4=0,0,IF(COUNTIFS(実績!$W$6:$W$505,AD$3,実績!$AI$6:$AI$505,"&lt;="&amp;$A131,実績!$AJ$6:$AJ$505,"&gt;"&amp;$A131,実績!$AL$6:$AL$505,"○")&gt;0,1,0))</f>
        <v>0</v>
      </c>
      <c r="AE131" s="39" t="n">
        <f aca="false">IF(AE$4=0,0,IF(COUNTIFS(実績!$W$6:$W$505,AE$3,実績!$AI$6:$AI$505,"&lt;="&amp;$A131,実績!$AJ$6:$AJ$505,"&gt;"&amp;$A131,実績!$AL$6:$AL$505,"○")&gt;0,1,0))</f>
        <v>0</v>
      </c>
      <c r="AF131" s="39" t="n">
        <f aca="false">IF(AF$4=0,0,IF(COUNTIFS(実績!$W$6:$W$505,AF$3,実績!$AI$6:$AI$505,"&lt;="&amp;$A131,実績!$AJ$6:$AJ$505,"&gt;"&amp;$A131,実績!$AL$6:$AL$505,"○")&gt;0,1,0))</f>
        <v>0</v>
      </c>
      <c r="AG131" s="39" t="n">
        <f aca="false">IF(AG$4=0,0,IF(COUNTIFS(実績!$W$6:$W$505,AG$3,実績!$AI$6:$AI$505,"&lt;="&amp;$A131,実績!$AJ$6:$AJ$505,"&gt;"&amp;$A131,実績!$AL$6:$AL$505,"○")&gt;0,1,0))</f>
        <v>0</v>
      </c>
      <c r="AH131" s="39" t="n">
        <f aca="false">IF(AH$4=0,0,IF(COUNTIFS(実績!$W$6:$W$505,AH$3,実績!$AI$6:$AI$505,"&lt;="&amp;$A131,実績!$AJ$6:$AJ$505,"&gt;"&amp;$A131,実績!$AL$6:$AL$505,"○")&gt;0,1,0))</f>
        <v>0</v>
      </c>
      <c r="AI131" s="39" t="n">
        <f aca="false">IF(AI$4=0,0,IF(COUNTIFS(実績!$W$6:$W$505,AI$3,実績!$AI$6:$AI$505,"&lt;="&amp;$A131,実績!$AJ$6:$AJ$505,"&gt;"&amp;$A131,実績!$AL$6:$AL$505,"○")&gt;0,1,0))</f>
        <v>0</v>
      </c>
      <c r="AJ131" s="39" t="n">
        <f aca="false">IF(AJ$4=0,0,IF(COUNTIFS(実績!$W$6:$W$505,AJ$3,実績!$AI$6:$AI$505,"&lt;="&amp;$A131,実績!$AJ$6:$AJ$505,"&gt;"&amp;$A131,実績!$AL$6:$AL$505,"○")&gt;0,1,0))</f>
        <v>0</v>
      </c>
      <c r="AK131" s="39" t="n">
        <f aca="false">IF(AK$4=0,0,IF(COUNTIFS(実績!$W$6:$W$505,AK$3,実績!$AI$6:$AI$505,"&lt;="&amp;$A131,実績!$AJ$6:$AJ$505,"&gt;"&amp;$A131,実績!$AL$6:$AL$505,"○")&gt;0,1,0))</f>
        <v>0</v>
      </c>
      <c r="AL131" s="39" t="n">
        <f aca="false">IF(AL$4=0,0,IF(COUNTIFS(実績!$W$6:$W$505,AL$3,実績!$AI$6:$AI$505,"&lt;="&amp;$A131,実績!$AJ$6:$AJ$505,"&gt;"&amp;$A131,実績!$AL$6:$AL$505,"○")&gt;0,1,0))</f>
        <v>0</v>
      </c>
      <c r="AM131" s="39" t="n">
        <f aca="false">IF(AM$4=0,0,IF(COUNTIFS(実績!$W$6:$W$505,AM$3,実績!$AI$6:$AI$505,"&lt;="&amp;$A131,実績!$AJ$6:$AJ$505,"&gt;"&amp;$A131,実績!$AL$6:$AL$505,"○")&gt;0,1,0))</f>
        <v>0</v>
      </c>
      <c r="AN131" s="39" t="n">
        <f aca="false">IF(AN$4=0,0,IF(COUNTIFS(実績!$W$6:$W$505,AN$3,実績!$AI$6:$AI$505,"&lt;="&amp;$A131,実績!$AJ$6:$AJ$505,"&gt;"&amp;$A131,実績!$AL$6:$AL$505,"○")&gt;0,1,0))</f>
        <v>0</v>
      </c>
      <c r="AO131" s="39" t="n">
        <f aca="false">IF(AO$4=0,0,IF(COUNTIFS(実績!$W$6:$W$505,AO$3,実績!$AI$6:$AI$505,"&lt;="&amp;$A131,実績!$AJ$6:$AJ$505,"&gt;"&amp;$A131,実績!$AL$6:$AL$505,"○")&gt;0,1,0))</f>
        <v>0</v>
      </c>
      <c r="AP131" s="39" t="n">
        <f aca="false">IF(AP$4=0,0,IF(COUNTIFS(実績!$W$6:$W$505,AP$3,実績!$AI$6:$AI$505,"&lt;="&amp;$A131,実績!$AJ$6:$AJ$505,"&gt;"&amp;$A131,実績!$AL$6:$AL$505,"○")&gt;0,1,0))</f>
        <v>0</v>
      </c>
      <c r="AQ131" s="39" t="n">
        <f aca="false">IF(AQ$4=0,0,IF(COUNTIFS(実績!$W$6:$W$505,AQ$3,実績!$AI$6:$AI$505,"&lt;="&amp;$A131,実績!$AJ$6:$AJ$505,"&gt;"&amp;$A131,実績!$AL$6:$AL$505,"○")&gt;0,1,0))</f>
        <v>0</v>
      </c>
      <c r="AR131" s="39" t="n">
        <f aca="false">IF(AR$4=0,0,IF(COUNTIFS(実績!$W$6:$W$505,AR$3,実績!$AI$6:$AI$505,"&lt;="&amp;$A131,実績!$AJ$6:$AJ$505,"&gt;"&amp;$A131,実績!$AL$6:$AL$505,"○")&gt;0,1,0))</f>
        <v>0</v>
      </c>
      <c r="AS131" s="39" t="n">
        <f aca="false">IF(AS$4=0,0,IF(COUNTIFS(実績!$W$6:$W$505,AS$3,実績!$AI$6:$AI$505,"&lt;="&amp;$A131,実績!$AJ$6:$AJ$505,"&gt;"&amp;$A131,実績!$AL$6:$AL$505,"○")&gt;0,1,0))</f>
        <v>0</v>
      </c>
      <c r="AT131" s="39" t="n">
        <f aca="false">IF(AT$4=0,0,IF(COUNTIFS(実績!$W$6:$W$505,AT$3,実績!$AI$6:$AI$505,"&lt;="&amp;$A131,実績!$AJ$6:$AJ$505,"&gt;"&amp;$A131,実績!$AL$6:$AL$505,"○")&gt;0,1,0))</f>
        <v>0</v>
      </c>
      <c r="AU131" s="39" t="n">
        <f aca="false">IF(AU$4=0,0,IF(COUNTIFS(実績!$W$6:$W$505,AU$3,実績!$AI$6:$AI$505,"&lt;="&amp;$A131,実績!$AJ$6:$AJ$505,"&gt;"&amp;$A131,実績!$AL$6:$AL$505,"○")&gt;0,1,0))</f>
        <v>0</v>
      </c>
      <c r="AV131" s="39" t="n">
        <f aca="false">IF(AV$4=0,0,IF(COUNTIFS(実績!$W$6:$W$505,AV$3,実績!$AI$6:$AI$505,"&lt;="&amp;$A131,実績!$AJ$6:$AJ$505,"&gt;"&amp;$A131,実績!$AL$6:$AL$505,"○")&gt;0,1,0))</f>
        <v>0</v>
      </c>
      <c r="AW131" s="39" t="n">
        <f aca="false">IF(AW$4=0,0,IF(COUNTIFS(実績!$W$6:$W$505,AW$3,実績!$AI$6:$AI$505,"&lt;="&amp;$A131,実績!$AJ$6:$AJ$505,"&gt;"&amp;$A131,実績!$AL$6:$AL$505,"○")&gt;0,1,0))</f>
        <v>0</v>
      </c>
      <c r="AX131" s="39" t="n">
        <f aca="false">IF(AX$4=0,0,IF(COUNTIFS(実績!$W$6:$W$505,AX$3,実績!$AI$6:$AI$505,"&lt;="&amp;$A131,実績!$AJ$6:$AJ$505,"&gt;"&amp;$A131,実績!$AL$6:$AL$505,"○")&gt;0,1,0))</f>
        <v>0</v>
      </c>
      <c r="AY131" s="39" t="n">
        <f aca="false">IF(AY$4=0,0,IF(COUNTIFS(実績!$W$6:$W$505,AY$3,実績!$AI$6:$AI$505,"&lt;="&amp;$A131,実績!$AJ$6:$AJ$505,"&gt;"&amp;$A131,実績!$AL$6:$AL$505,"○")&gt;0,1,0))</f>
        <v>0</v>
      </c>
      <c r="AZ131" s="39" t="n">
        <f aca="false">IF(AZ$4=0,0,IF(COUNTIFS(実績!$W$6:$W$505,AZ$3,実績!$AI$6:$AI$505,"&lt;="&amp;$A131,実績!$AJ$6:$AJ$505,"&gt;"&amp;$A131,実績!$AL$6:$AL$505,"○")&gt;0,1,0))</f>
        <v>0</v>
      </c>
      <c r="BA131" s="39" t="n">
        <f aca="false">IF(BA$4=0,0,IF(COUNTIFS(実績!$W$6:$W$505,BA$3,実績!$AI$6:$AI$505,"&lt;="&amp;$A131,実績!$AJ$6:$AJ$505,"&gt;"&amp;$A131,実績!$AL$6:$AL$505,"○")&gt;0,1,0))</f>
        <v>0</v>
      </c>
      <c r="BB131" s="39" t="n">
        <f aca="false">IF(BB$4=0,0,IF(COUNTIFS(実績!$W$6:$W$505,BB$3,実績!$AI$6:$AI$505,"&lt;="&amp;$A131,実績!$AJ$6:$AJ$505,"&gt;"&amp;$A131,実績!$AL$6:$AL$505,"○")&gt;0,1,0))</f>
        <v>0</v>
      </c>
      <c r="BC131" s="39" t="n">
        <f aca="false">IF(BC$4=0,0,IF(COUNTIFS(実績!$W$6:$W$505,BC$3,実績!$AI$6:$AI$505,"&lt;="&amp;$A131,実績!$AJ$6:$AJ$505,"&gt;"&amp;$A131,実績!$AL$6:$AL$505,"○")&gt;0,1,0))</f>
        <v>0</v>
      </c>
      <c r="BD131" s="39" t="n">
        <f aca="false">IF(BD$4=0,0,IF(COUNTIFS(実績!$W$6:$W$505,BD$3,実績!$AI$6:$AI$505,"&lt;="&amp;$A131,実績!$AJ$6:$AJ$505,"&gt;"&amp;$A131,実績!$AL$6:$AL$505,"○")&gt;0,1,0))</f>
        <v>0</v>
      </c>
      <c r="BE131" s="39" t="n">
        <f aca="false">IF(BE$4=0,0,IF(COUNTIFS(実績!$W$6:$W$505,BE$3,実績!$AI$6:$AI$505,"&lt;="&amp;$A131,実績!$AJ$6:$AJ$505,"&gt;"&amp;$A131,実績!$AL$6:$AL$505,"○")&gt;0,1,0))</f>
        <v>0</v>
      </c>
      <c r="BF131" s="39" t="n">
        <f aca="false">IF(BF$4=0,0,IF(COUNTIFS(実績!$W$6:$W$505,BF$3,実績!$AI$6:$AI$505,"&lt;="&amp;$A131,実績!$AJ$6:$AJ$505,"&gt;"&amp;$A131,実績!$AL$6:$AL$505,"○")&gt;0,1,0))</f>
        <v>0</v>
      </c>
      <c r="BG131" s="39" t="n">
        <f aca="false">IF(BG$4=0,0,IF(COUNTIFS(実績!$W$6:$W$505,BG$3,実績!$AI$6:$AI$505,"&lt;="&amp;$A131,実績!$AJ$6:$AJ$505,"&gt;"&amp;$A131,実績!$AL$6:$AL$505,"○")&gt;0,1,0))</f>
        <v>0</v>
      </c>
      <c r="BH131" s="39" t="n">
        <f aca="false">IF(BH$4=0,0,IF(COUNTIFS(実績!$W$6:$W$505,BH$3,実績!$AI$6:$AI$505,"&lt;="&amp;$A131,実績!$AJ$6:$AJ$505,"&gt;"&amp;$A131,実績!$AL$6:$AL$505,"○")&gt;0,1,0))</f>
        <v>0</v>
      </c>
      <c r="BI131" s="39" t="n">
        <f aca="false">IF(BI$4=0,0,IF(COUNTIFS(実績!$W$6:$W$505,BI$3,実績!$AI$6:$AI$505,"&lt;="&amp;$A131,実績!$AJ$6:$AJ$505,"&gt;"&amp;$A131,実績!$AL$6:$AL$505,"○")&gt;0,1,0))</f>
        <v>0</v>
      </c>
      <c r="BJ131" s="39" t="n">
        <f aca="false">IF(BJ$4=0,0,IF(COUNTIFS(実績!$W$6:$W$505,BJ$3,実績!$AI$6:$AI$505,"&lt;="&amp;$A131,実績!$AJ$6:$AJ$505,"&gt;"&amp;$A131,実績!$AL$6:$AL$505,"○")&gt;0,1,0))</f>
        <v>0</v>
      </c>
      <c r="BK131" s="39" t="n">
        <f aca="false">IF(BK$4=0,0,IF(COUNTIFS(実績!$W$6:$W$505,BK$3,実績!$AI$6:$AI$505,"&lt;="&amp;$A131,実績!$AJ$6:$AJ$505,"&gt;"&amp;$A131,実績!$AL$6:$AL$505,"○")&gt;0,1,0))</f>
        <v>0</v>
      </c>
      <c r="BL131" s="39" t="n">
        <f aca="false">IF(BL$4=0,0,IF(COUNTIFS(実績!$W$6:$W$505,BL$3,実績!$AI$6:$AI$505,"&lt;="&amp;$A131,実績!$AJ$6:$AJ$505,"&gt;"&amp;$A131,実績!$AL$6:$AL$505,"○")&gt;0,1,0))</f>
        <v>0</v>
      </c>
      <c r="BM131" s="39" t="n">
        <f aca="false">IF(BM$4=0,0,IF(COUNTIFS(実績!$W$6:$W$505,BM$3,実績!$AI$6:$AI$505,"&lt;="&amp;$A131,実績!$AJ$6:$AJ$505,"&gt;"&amp;$A131,実績!$AL$6:$AL$505,"○")&gt;0,1,0))</f>
        <v>0</v>
      </c>
      <c r="BN131" s="39" t="n">
        <f aca="false">IF(BN$4=0,0,IF(COUNTIFS(実績!$W$6:$W$505,BN$3,実績!$AI$6:$AI$505,"&lt;="&amp;$A131,実績!$AJ$6:$AJ$505,"&gt;"&amp;$A131,実績!$AL$6:$AL$505,"○")&gt;0,1,0))</f>
        <v>0</v>
      </c>
      <c r="BO131" s="39" t="n">
        <f aca="false">IF(BO$4=0,0,IF(COUNTIFS(実績!$W$6:$W$505,BO$3,実績!$AI$6:$AI$505,"&lt;="&amp;$A131,実績!$AJ$6:$AJ$505,"&gt;"&amp;$A131,実績!$AL$6:$AL$505,"○")&gt;0,1,0))</f>
        <v>0</v>
      </c>
      <c r="BP131" s="39" t="n">
        <f aca="false">IF(BP$4=0,0,IF(COUNTIFS(実績!$W$6:$W$505,BP$3,実績!$AI$6:$AI$505,"&lt;="&amp;$A131,実績!$AJ$6:$AJ$505,"&gt;"&amp;$A131,実績!$AL$6:$AL$505,"○")&gt;0,1,0))</f>
        <v>0</v>
      </c>
      <c r="BQ131" s="39" t="n">
        <f aca="false">IF(BQ$4=0,0,IF(COUNTIFS(実績!$W$6:$W$505,BQ$3,実績!$AI$6:$AI$505,"&lt;="&amp;$A131,実績!$AJ$6:$AJ$505,"&gt;"&amp;$A131,実績!$AL$6:$AL$505,"○")&gt;0,1,0))</f>
        <v>0</v>
      </c>
      <c r="BR131" s="39" t="n">
        <f aca="false">IF(BR$4=0,0,IF(COUNTIFS(実績!$W$6:$W$505,BR$3,実績!$AI$6:$AI$505,"&lt;="&amp;$A131,実績!$AJ$6:$AJ$505,"&gt;"&amp;$A131,実績!$AL$6:$AL$505,"○")&gt;0,1,0))</f>
        <v>0</v>
      </c>
      <c r="BS131" s="39" t="n">
        <f aca="false">IF(BS$4=0,0,IF(COUNTIFS(実績!$W$6:$W$505,BS$3,実績!$AI$6:$AI$505,"&lt;="&amp;$A131,実績!$AJ$6:$AJ$505,"&gt;"&amp;$A131,実績!$AL$6:$AL$505,"○")&gt;0,1,0))</f>
        <v>0</v>
      </c>
      <c r="BT131" s="39" t="n">
        <f aca="false">IF(BT$4=0,0,IF(COUNTIFS(実績!$W$6:$W$505,BT$3,実績!$AI$6:$AI$505,"&lt;="&amp;$A131,実績!$AJ$6:$AJ$505,"&gt;"&amp;$A131,実績!$AL$6:$AL$505,"○")&gt;0,1,0))</f>
        <v>0</v>
      </c>
      <c r="BU131" s="39" t="n">
        <f aca="false">IF(BU$4=0,0,IF(COUNTIFS(実績!$W$6:$W$505,BU$3,実績!$AI$6:$AI$505,"&lt;="&amp;$A131,実績!$AJ$6:$AJ$505,"&gt;"&amp;$A131,実績!$AL$6:$AL$505,"○")&gt;0,1,0))</f>
        <v>0</v>
      </c>
      <c r="BV131" s="39" t="n">
        <f aca="false">IF(BV$4=0,0,IF(COUNTIFS(実績!$W$6:$W$505,BV$3,実績!$AI$6:$AI$505,"&lt;="&amp;$A131,実績!$AJ$6:$AJ$505,"&gt;"&amp;$A131,実績!$AL$6:$AL$505,"○")&gt;0,1,0))</f>
        <v>0</v>
      </c>
      <c r="BW131" s="39" t="n">
        <f aca="false">IF(BW$4=0,0,IF(COUNTIFS(実績!$W$6:$W$505,BW$3,実績!$AI$6:$AI$505,"&lt;="&amp;$A131,実績!$AJ$6:$AJ$505,"&gt;"&amp;$A131,実績!$AL$6:$AL$505,"○")&gt;0,1,0))</f>
        <v>0</v>
      </c>
      <c r="BX131" s="39" t="n">
        <f aca="false">IF(BX$4=0,0,IF(COUNTIFS(実績!$W$6:$W$505,BX$3,実績!$AI$6:$AI$505,"&lt;="&amp;$A131,実績!$AJ$6:$AJ$505,"&gt;"&amp;$A131,実績!$AL$6:$AL$505,"○")&gt;0,1,0))</f>
        <v>0</v>
      </c>
      <c r="BY131" s="39" t="n">
        <f aca="false">IF(BY$4=0,0,IF(COUNTIFS(実績!$W$6:$W$505,BY$3,実績!$AI$6:$AI$505,"&lt;="&amp;$A131,実績!$AJ$6:$AJ$505,"&gt;"&amp;$A131,実績!$AL$6:$AL$505,"○")&gt;0,1,0))</f>
        <v>0</v>
      </c>
      <c r="BZ131" s="39" t="n">
        <f aca="false">IF(BZ$4=0,0,IF(COUNTIFS(実績!$W$6:$W$505,BZ$3,実績!$AI$6:$AI$505,"&lt;="&amp;$A131,実績!$AJ$6:$AJ$505,"&gt;"&amp;$A131,実績!$AL$6:$AL$505,"○")&gt;0,1,0))</f>
        <v>0</v>
      </c>
      <c r="CA131" s="39" t="n">
        <f aca="false">IF(CA$4=0,0,IF(COUNTIFS(実績!$W$6:$W$505,CA$3,実績!$AI$6:$AI$505,"&lt;="&amp;$A131,実績!$AJ$6:$AJ$505,"&gt;"&amp;$A131,実績!$AL$6:$AL$505,"○")&gt;0,1,0))</f>
        <v>0</v>
      </c>
      <c r="CB131" s="39" t="n">
        <f aca="false">IF(CB$4=0,0,IF(COUNTIFS(実績!$W$6:$W$505,CB$3,実績!$AI$6:$AI$505,"&lt;="&amp;$A131,実績!$AJ$6:$AJ$505,"&gt;"&amp;$A131,実績!$AL$6:$AL$505,"○")&gt;0,1,0))</f>
        <v>0</v>
      </c>
      <c r="CC131" s="39" t="n">
        <f aca="false">IF(CC$4=0,0,IF(COUNTIFS(実績!$W$6:$W$505,CC$3,実績!$AI$6:$AI$505,"&lt;="&amp;$A131,実績!$AJ$6:$AJ$505,"&gt;"&amp;$A131,実績!$AL$6:$AL$505,"○")&gt;0,1,0))</f>
        <v>0</v>
      </c>
      <c r="CD131" s="39" t="n">
        <f aca="false">IF(CD$4=0,0,IF(COUNTIFS(実績!$W$6:$W$505,CD$3,実績!$AI$6:$AI$505,"&lt;="&amp;$A131,実績!$AJ$6:$AJ$505,"&gt;"&amp;$A131,実績!$AL$6:$AL$505,"○")&gt;0,1,0))</f>
        <v>0</v>
      </c>
      <c r="CE131" s="39" t="n">
        <f aca="false">IF(CE$4=0,0,IF(COUNTIFS(実績!$W$6:$W$505,CE$3,実績!$AI$6:$AI$505,"&lt;="&amp;$A131,実績!$AJ$6:$AJ$505,"&gt;"&amp;$A131,実績!$AL$6:$AL$505,"○")&gt;0,1,0))</f>
        <v>0</v>
      </c>
      <c r="CF131" s="39" t="n">
        <f aca="false">IF(CF$4=0,0,IF(COUNTIFS(実績!$W$6:$W$505,CF$3,実績!$AI$6:$AI$505,"&lt;="&amp;$A131,実績!$AJ$6:$AJ$505,"&gt;"&amp;$A131,実績!$AL$6:$AL$505,"○")&gt;0,1,0))</f>
        <v>0</v>
      </c>
      <c r="CG131" s="39" t="n">
        <f aca="false">IF(CG$4=0,0,IF(COUNTIFS(実績!$W$6:$W$505,CG$3,実績!$AI$6:$AI$505,"&lt;="&amp;$A131,実績!$AJ$6:$AJ$505,"&gt;"&amp;$A131,実績!$AL$6:$AL$505,"○")&gt;0,1,0))</f>
        <v>0</v>
      </c>
      <c r="CH131" s="39" t="n">
        <f aca="false">IF(CH$4=0,0,IF(COUNTIFS(実績!$W$6:$W$505,CH$3,実績!$AI$6:$AI$505,"&lt;="&amp;$A131,実績!$AJ$6:$AJ$505,"&gt;"&amp;$A131,実績!$AL$6:$AL$505,"○")&gt;0,1,0))</f>
        <v>0</v>
      </c>
      <c r="CI131" s="39" t="n">
        <f aca="false">IF(CI$4=0,0,IF(COUNTIFS(実績!$W$6:$W$505,CI$3,実績!$AI$6:$AI$505,"&lt;="&amp;$A131,実績!$AJ$6:$AJ$505,"&gt;"&amp;$A131,実績!$AL$6:$AL$505,"○")&gt;0,1,0))</f>
        <v>0</v>
      </c>
      <c r="CJ131" s="39" t="n">
        <f aca="false">IF(CJ$4=0,0,IF(COUNTIFS(実績!$W$6:$W$505,CJ$3,実績!$AI$6:$AI$505,"&lt;="&amp;$A131,実績!$AJ$6:$AJ$505,"&gt;"&amp;$A131,実績!$AL$6:$AL$505,"○")&gt;0,1,0))</f>
        <v>0</v>
      </c>
      <c r="CK131" s="39" t="n">
        <f aca="false">IF(CK$4=0,0,IF(COUNTIFS(実績!$W$6:$W$505,CK$3,実績!$AI$6:$AI$505,"&lt;="&amp;$A131,実績!$AJ$6:$AJ$505,"&gt;"&amp;$A131,実績!$AL$6:$AL$505,"○")&gt;0,1,0))</f>
        <v>0</v>
      </c>
      <c r="CL131" s="39" t="n">
        <f aca="false">IF(CL$4=0,0,IF(COUNTIFS(実績!$W$6:$W$505,CL$3,実績!$AI$6:$AI$505,"&lt;="&amp;$A131,実績!$AJ$6:$AJ$505,"&gt;"&amp;$A131,実績!$AL$6:$AL$505,"○")&gt;0,1,0))</f>
        <v>0</v>
      </c>
      <c r="CM131" s="39" t="n">
        <f aca="false">IF(CM$4=0,0,IF(COUNTIFS(実績!$W$6:$W$505,CM$3,実績!$AI$6:$AI$505,"&lt;="&amp;$A131,実績!$AJ$6:$AJ$505,"&gt;"&amp;$A131,実績!$AL$6:$AL$505,"○")&gt;0,1,0))</f>
        <v>0</v>
      </c>
      <c r="CN131" s="39" t="n">
        <f aca="false">IF(CN$4=0,0,IF(COUNTIFS(実績!$W$6:$W$505,CN$3,実績!$AI$6:$AI$505,"&lt;="&amp;$A131,実績!$AJ$6:$AJ$505,"&gt;"&amp;$A131,実績!$AL$6:$AL$505,"○")&gt;0,1,0))</f>
        <v>0</v>
      </c>
      <c r="CO131" s="39" t="n">
        <f aca="false">IF(CO$4=0,0,IF(COUNTIFS(実績!$W$6:$W$505,CO$3,実績!$AI$6:$AI$505,"&lt;="&amp;$A131,実績!$AJ$6:$AJ$505,"&gt;"&amp;$A131,実績!$AL$6:$AL$505,"○")&gt;0,1,0))</f>
        <v>0</v>
      </c>
      <c r="CP131" s="39" t="n">
        <f aca="false">IF(CP$4=0,0,IF(COUNTIFS(実績!$W$6:$W$505,CP$3,実績!$AI$6:$AI$505,"&lt;="&amp;$A131,実績!$AJ$6:$AJ$505,"&gt;"&amp;$A131,実績!$AL$6:$AL$505,"○")&gt;0,1,0))</f>
        <v>0</v>
      </c>
      <c r="CQ131" s="39" t="n">
        <f aca="false">IF(CQ$4=0,0,IF(COUNTIFS(実績!$W$6:$W$505,CQ$3,実績!$AI$6:$AI$505,"&lt;="&amp;$A131,実績!$AJ$6:$AJ$505,"&gt;"&amp;$A131,実績!$AL$6:$AL$505,"○")&gt;0,1,0))</f>
        <v>0</v>
      </c>
      <c r="CR131" s="39" t="n">
        <f aca="false">IF(CR$4=0,0,IF(COUNTIFS(実績!$W$6:$W$505,CR$3,実績!$AI$6:$AI$505,"&lt;="&amp;$A131,実績!$AJ$6:$AJ$505,"&gt;"&amp;$A131,実績!$AL$6:$AL$505,"○")&gt;0,1,0))</f>
        <v>0</v>
      </c>
      <c r="CS131" s="39" t="n">
        <f aca="false">IF(CS$4=0,0,IF(COUNTIFS(実績!$W$6:$W$505,CS$3,実績!$AI$6:$AI$505,"&lt;="&amp;$A131,実績!$AJ$6:$AJ$505,"&gt;"&amp;$A131,実績!$AL$6:$AL$505,"○")&gt;0,1,0))</f>
        <v>0</v>
      </c>
      <c r="CT131" s="39" t="n">
        <f aca="false">IF(CT$4=0,0,IF(COUNTIFS(実績!$W$6:$W$505,CT$3,実績!$AI$6:$AI$505,"&lt;="&amp;$A131,実績!$AJ$6:$AJ$505,"&gt;"&amp;$A131,実績!$AL$6:$AL$505,"○")&gt;0,1,0))</f>
        <v>0</v>
      </c>
      <c r="CU131" s="39" t="n">
        <f aca="false">IF(CU$4=0,0,IF(COUNTIFS(実績!$W$6:$W$505,CU$3,実績!$AI$6:$AI$505,"&lt;="&amp;$A131,実績!$AJ$6:$AJ$505,"&gt;"&amp;$A131,実績!$AL$6:$AL$505,"○")&gt;0,1,0))</f>
        <v>0</v>
      </c>
      <c r="CV131" s="39" t="n">
        <f aca="false">IF(CV$4=0,0,IF(COUNTIFS(実績!$W$6:$W$505,CV$3,実績!$AI$6:$AI$505,"&lt;="&amp;$A131,実績!$AJ$6:$AJ$505,"&gt;"&amp;$A131,実績!$AL$6:$AL$505,"○")&gt;0,1,0))</f>
        <v>0</v>
      </c>
      <c r="CW131" s="39" t="n">
        <f aca="false">IF(CW$4=0,0,IF(COUNTIFS(実績!$W$6:$W$505,CW$3,実績!$AI$6:$AI$505,"&lt;="&amp;$A131,実績!$AJ$6:$AJ$505,"&gt;"&amp;$A131,実績!$AL$6:$AL$505,"○")&gt;0,1,0))</f>
        <v>0</v>
      </c>
      <c r="CX131" s="39" t="n">
        <f aca="false">IF(CX$4=0,0,IF(COUNTIFS(実績!$W$6:$W$505,CX$3,実績!$AI$6:$AI$505,"&lt;="&amp;$A131,実績!$AJ$6:$AJ$505,"&gt;"&amp;$A131,実績!$AL$6:$AL$505,"○")&gt;0,1,0))</f>
        <v>0</v>
      </c>
      <c r="CY131" s="39" t="n">
        <f aca="false">IF(CY$4=0,0,IF(COUNTIFS(実績!$W$6:$W$505,CY$3,実績!$AI$6:$AI$505,"&lt;="&amp;$A131,実績!$AJ$6:$AJ$505,"&gt;"&amp;$A131,実績!$AL$6:$AL$505,"○")&gt;0,1,0))</f>
        <v>0</v>
      </c>
      <c r="CZ131" s="39" t="n">
        <f aca="false">IF(CZ$4=0,0,IF(COUNTIFS(実績!$W$6:$W$505,CZ$3,実績!$AI$6:$AI$505,"&lt;="&amp;$A131,実績!$AJ$6:$AJ$505,"&gt;"&amp;$A131,実績!$AL$6:$AL$505,"○")&gt;0,1,0))</f>
        <v>0</v>
      </c>
      <c r="DA131" s="39" t="n">
        <f aca="false">IF(DA$4=0,0,IF(COUNTIFS(実績!$W$6:$W$505,DA$3,実績!$AI$6:$AI$505,"&lt;="&amp;$A131,実績!$AJ$6:$AJ$505,"&gt;"&amp;$A131,実績!$AL$6:$AL$505,"○")&gt;0,1,0))</f>
        <v>0</v>
      </c>
      <c r="DB131" s="39" t="n">
        <f aca="false">IF(DB$4=0,0,IF(COUNTIFS(実績!$W$6:$W$505,DB$3,実績!$AI$6:$AI$505,"&lt;="&amp;$A131,実績!$AJ$6:$AJ$505,"&gt;"&amp;$A131,実績!$AL$6:$AL$505,"○")&gt;0,1,0))</f>
        <v>0</v>
      </c>
      <c r="DC131" s="39" t="n">
        <f aca="false">IF(DC$4=0,0,IF(COUNTIFS(実績!$W$6:$W$505,DC$3,実績!$AI$6:$AI$505,"&lt;="&amp;$A131,実績!$AJ$6:$AJ$505,"&gt;"&amp;$A131,実績!$AL$6:$AL$505,"○")&gt;0,1,0))</f>
        <v>0</v>
      </c>
      <c r="DD131" s="39" t="n">
        <f aca="false">IF(DD$4=0,0,IF(COUNTIFS(実績!$W$6:$W$505,DD$3,実績!$AI$6:$AI$505,"&lt;="&amp;$A131,実績!$AJ$6:$AJ$505,"&gt;"&amp;$A131,実績!$AL$6:$AL$505,"○")&gt;0,1,0))</f>
        <v>0</v>
      </c>
      <c r="DE131" s="39" t="n">
        <f aca="false">IF(DE$4=0,0,IF(COUNTIFS(実績!$W$6:$W$505,DE$3,実績!$AI$6:$AI$505,"&lt;="&amp;$A131,実績!$AJ$6:$AJ$505,"&gt;"&amp;$A131,実績!$AL$6:$AL$505,"○")&gt;0,1,0))</f>
        <v>0</v>
      </c>
      <c r="DF131" s="39" t="n">
        <f aca="false">IF(DF$4=0,0,IF(COUNTIFS(実績!$W$6:$W$505,DF$3,実績!$AI$6:$AI$505,"&lt;="&amp;$A131,実績!$AJ$6:$AJ$505,"&gt;"&amp;$A131,実績!$AL$6:$AL$505,"○")&gt;0,1,0))</f>
        <v>0</v>
      </c>
      <c r="DG131" s="39" t="n">
        <f aca="false">IF(DG$4=0,0,IF(COUNTIFS(実績!$W$6:$W$505,DG$3,実績!$AI$6:$AI$505,"&lt;="&amp;$A131,実績!$AJ$6:$AJ$505,"&gt;"&amp;$A131,実績!$AL$6:$AL$505,"○")&gt;0,1,0))</f>
        <v>0</v>
      </c>
      <c r="DH131" s="39" t="n">
        <f aca="false">IF(DH$4=0,0,IF(COUNTIFS(実績!$W$6:$W$505,DH$3,実績!$AI$6:$AI$505,"&lt;="&amp;$A131,実績!$AJ$6:$AJ$505,"&gt;"&amp;$A131,実績!$AL$6:$AL$505,"○")&gt;0,1,0))</f>
        <v>0</v>
      </c>
      <c r="DI131" s="39" t="n">
        <f aca="false">IF(DI$4=0,0,IF(COUNTIFS(実績!$W$6:$W$505,DI$3,実績!$AI$6:$AI$505,"&lt;="&amp;$A131,実績!$AJ$6:$AJ$505,"&gt;"&amp;$A131,実績!$AL$6:$AL$505,"○")&gt;0,1,0))</f>
        <v>0</v>
      </c>
      <c r="DJ131" s="39" t="n">
        <f aca="false">IF(DJ$4=0,0,IF(COUNTIFS(実績!$W$6:$W$505,DJ$3,実績!$AI$6:$AI$505,"&lt;="&amp;$A131,実績!$AJ$6:$AJ$505,"&gt;"&amp;$A131,実績!$AL$6:$AL$505,"○")&gt;0,1,0))</f>
        <v>0</v>
      </c>
      <c r="DK131" s="39" t="n">
        <f aca="false">IF(DK$4=0,0,IF(COUNTIFS(実績!$W$6:$W$505,DK$3,実績!$AI$6:$AI$505,"&lt;="&amp;$A131,実績!$AJ$6:$AJ$505,"&gt;"&amp;$A131,実績!$AL$6:$AL$505,"○")&gt;0,1,0))</f>
        <v>0</v>
      </c>
      <c r="DL131" s="39" t="n">
        <f aca="false">IF(DL$4=0,0,IF(COUNTIFS(実績!$W$6:$W$505,DL$3,実績!$AI$6:$AI$505,"&lt;="&amp;$A131,実績!$AJ$6:$AJ$505,"&gt;"&amp;$A131,実績!$AL$6:$AL$505,"○")&gt;0,1,0))</f>
        <v>0</v>
      </c>
      <c r="DM131" s="39" t="n">
        <f aca="false">IF(DM$4=0,0,IF(COUNTIFS(実績!$W$6:$W$505,DM$3,実績!$AI$6:$AI$505,"&lt;="&amp;$A131,実績!$AJ$6:$AJ$505,"&gt;"&amp;$A131,実績!$AL$6:$AL$505,"○")&gt;0,1,0))</f>
        <v>0</v>
      </c>
      <c r="DN131" s="39" t="n">
        <f aca="false">IF(DN$4=0,0,IF(COUNTIFS(実績!$W$6:$W$505,DN$3,実績!$AI$6:$AI$505,"&lt;="&amp;$A131,実績!$AJ$6:$AJ$505,"&gt;"&amp;$A131,実績!$AL$6:$AL$505,"○")&gt;0,1,0))</f>
        <v>0</v>
      </c>
      <c r="DO131" s="39" t="n">
        <f aca="false">IF(DO$4=0,0,IF(COUNTIFS(実績!$W$6:$W$505,DO$3,実績!$AI$6:$AI$505,"&lt;="&amp;$A131,実績!$AJ$6:$AJ$505,"&gt;"&amp;$A131,実績!$AL$6:$AL$505,"○")&gt;0,1,0))</f>
        <v>0</v>
      </c>
      <c r="DP131" s="39" t="n">
        <f aca="false">IF(DP$4=0,0,IF(COUNTIFS(実績!$W$6:$W$505,DP$3,実績!$AI$6:$AI$505,"&lt;="&amp;$A131,実績!$AJ$6:$AJ$505,"&gt;"&amp;$A131,実績!$AL$6:$AL$505,"○")&gt;0,1,0))</f>
        <v>0</v>
      </c>
      <c r="DQ131" s="39" t="n">
        <f aca="false">IF(DQ$4=0,0,IF(COUNTIFS(実績!$W$6:$W$505,DQ$3,実績!$AI$6:$AI$505,"&lt;="&amp;$A131,実績!$AJ$6:$AJ$505,"&gt;"&amp;$A131,実績!$AL$6:$AL$505,"○")&gt;0,1,0))</f>
        <v>0</v>
      </c>
      <c r="DR131" s="39" t="n">
        <f aca="false">IF(DR$4=0,0,IF(COUNTIFS(実績!$W$6:$W$505,DR$3,実績!$AI$6:$AI$505,"&lt;="&amp;$A131,実績!$AJ$6:$AJ$505,"&gt;"&amp;$A131,実績!$AL$6:$AL$505,"○")&gt;0,1,0))</f>
        <v>0</v>
      </c>
      <c r="DS131" s="39" t="n">
        <f aca="false">SUM(C131:DR131)</f>
        <v>0</v>
      </c>
    </row>
    <row r="132" customFormat="false" ht="15" hidden="false" customHeight="false" outlineLevel="0" collapsed="false">
      <c r="A132" s="0" t="n">
        <v>630</v>
      </c>
      <c r="B132" s="38" t="n">
        <f aca="false">A132/1440</f>
        <v>0.4375</v>
      </c>
      <c r="C132" s="39" t="n">
        <f aca="false">IF(C$4=0,0,IF(COUNTIFS(実績!$W$6:$W$505,C$3,実績!$AI$6:$AI$505,"&lt;="&amp;$A132,実績!$AJ$6:$AJ$505,"&gt;"&amp;$A132,実績!$AL$6:$AL$505,"○")&gt;0,1,0))</f>
        <v>0</v>
      </c>
      <c r="D132" s="39" t="n">
        <f aca="false">IF(D$4=0,0,IF(COUNTIFS(実績!$W$6:$W$505,D$3,実績!$AI$6:$AI$505,"&lt;="&amp;$A132,実績!$AJ$6:$AJ$505,"&gt;"&amp;$A132,実績!$AL$6:$AL$505,"○")&gt;0,1,0))</f>
        <v>0</v>
      </c>
      <c r="E132" s="39" t="n">
        <f aca="false">IF(E$4=0,0,IF(COUNTIFS(実績!$W$6:$W$505,E$3,実績!$AI$6:$AI$505,"&lt;="&amp;$A132,実績!$AJ$6:$AJ$505,"&gt;"&amp;$A132,実績!$AL$6:$AL$505,"○")&gt;0,1,0))</f>
        <v>0</v>
      </c>
      <c r="F132" s="39" t="n">
        <f aca="false">IF(F$4=0,0,IF(COUNTIFS(実績!$W$6:$W$505,F$3,実績!$AI$6:$AI$505,"&lt;="&amp;$A132,実績!$AJ$6:$AJ$505,"&gt;"&amp;$A132,実績!$AL$6:$AL$505,"○")&gt;0,1,0))</f>
        <v>0</v>
      </c>
      <c r="G132" s="39" t="n">
        <f aca="false">IF(G$4=0,0,IF(COUNTIFS(実績!$W$6:$W$505,G$3,実績!$AI$6:$AI$505,"&lt;="&amp;$A132,実績!$AJ$6:$AJ$505,"&gt;"&amp;$A132,実績!$AL$6:$AL$505,"○")&gt;0,1,0))</f>
        <v>0</v>
      </c>
      <c r="H132" s="39" t="n">
        <f aca="false">IF(H$4=0,0,IF(COUNTIFS(実績!$W$6:$W$505,H$3,実績!$AI$6:$AI$505,"&lt;="&amp;$A132,実績!$AJ$6:$AJ$505,"&gt;"&amp;$A132,実績!$AL$6:$AL$505,"○")&gt;0,1,0))</f>
        <v>0</v>
      </c>
      <c r="I132" s="39" t="n">
        <f aca="false">IF(I$4=0,0,IF(COUNTIFS(実績!$W$6:$W$505,I$3,実績!$AI$6:$AI$505,"&lt;="&amp;$A132,実績!$AJ$6:$AJ$505,"&gt;"&amp;$A132,実績!$AL$6:$AL$505,"○")&gt;0,1,0))</f>
        <v>0</v>
      </c>
      <c r="J132" s="39" t="n">
        <f aca="false">IF(J$4=0,0,IF(COUNTIFS(実績!$W$6:$W$505,J$3,実績!$AI$6:$AI$505,"&lt;="&amp;$A132,実績!$AJ$6:$AJ$505,"&gt;"&amp;$A132,実績!$AL$6:$AL$505,"○")&gt;0,1,0))</f>
        <v>0</v>
      </c>
      <c r="K132" s="39" t="n">
        <f aca="false">IF(K$4=0,0,IF(COUNTIFS(実績!$W$6:$W$505,K$3,実績!$AI$6:$AI$505,"&lt;="&amp;$A132,実績!$AJ$6:$AJ$505,"&gt;"&amp;$A132,実績!$AL$6:$AL$505,"○")&gt;0,1,0))</f>
        <v>0</v>
      </c>
      <c r="L132" s="39" t="n">
        <f aca="false">IF(L$4=0,0,IF(COUNTIFS(実績!$W$6:$W$505,L$3,実績!$AI$6:$AI$505,"&lt;="&amp;$A132,実績!$AJ$6:$AJ$505,"&gt;"&amp;$A132,実績!$AL$6:$AL$505,"○")&gt;0,1,0))</f>
        <v>0</v>
      </c>
      <c r="M132" s="39" t="n">
        <f aca="false">IF(M$4=0,0,IF(COUNTIFS(実績!$W$6:$W$505,M$3,実績!$AI$6:$AI$505,"&lt;="&amp;$A132,実績!$AJ$6:$AJ$505,"&gt;"&amp;$A132,実績!$AL$6:$AL$505,"○")&gt;0,1,0))</f>
        <v>0</v>
      </c>
      <c r="N132" s="39" t="n">
        <f aca="false">IF(N$4=0,0,IF(COUNTIFS(実績!$W$6:$W$505,N$3,実績!$AI$6:$AI$505,"&lt;="&amp;$A132,実績!$AJ$6:$AJ$505,"&gt;"&amp;$A132,実績!$AL$6:$AL$505,"○")&gt;0,1,0))</f>
        <v>0</v>
      </c>
      <c r="O132" s="39" t="n">
        <f aca="false">IF(O$4=0,0,IF(COUNTIFS(実績!$W$6:$W$505,O$3,実績!$AI$6:$AI$505,"&lt;="&amp;$A132,実績!$AJ$6:$AJ$505,"&gt;"&amp;$A132,実績!$AL$6:$AL$505,"○")&gt;0,1,0))</f>
        <v>0</v>
      </c>
      <c r="P132" s="39" t="n">
        <f aca="false">IF(P$4=0,0,IF(COUNTIFS(実績!$W$6:$W$505,P$3,実績!$AI$6:$AI$505,"&lt;="&amp;$A132,実績!$AJ$6:$AJ$505,"&gt;"&amp;$A132,実績!$AL$6:$AL$505,"○")&gt;0,1,0))</f>
        <v>0</v>
      </c>
      <c r="Q132" s="39" t="n">
        <f aca="false">IF(Q$4=0,0,IF(COUNTIFS(実績!$W$6:$W$505,Q$3,実績!$AI$6:$AI$505,"&lt;="&amp;$A132,実績!$AJ$6:$AJ$505,"&gt;"&amp;$A132,実績!$AL$6:$AL$505,"○")&gt;0,1,0))</f>
        <v>0</v>
      </c>
      <c r="R132" s="39" t="n">
        <f aca="false">IF(R$4=0,0,IF(COUNTIFS(実績!$W$6:$W$505,R$3,実績!$AI$6:$AI$505,"&lt;="&amp;$A132,実績!$AJ$6:$AJ$505,"&gt;"&amp;$A132,実績!$AL$6:$AL$505,"○")&gt;0,1,0))</f>
        <v>0</v>
      </c>
      <c r="S132" s="39" t="n">
        <f aca="false">IF(S$4=0,0,IF(COUNTIFS(実績!$W$6:$W$505,S$3,実績!$AI$6:$AI$505,"&lt;="&amp;$A132,実績!$AJ$6:$AJ$505,"&gt;"&amp;$A132,実績!$AL$6:$AL$505,"○")&gt;0,1,0))</f>
        <v>0</v>
      </c>
      <c r="T132" s="39" t="n">
        <f aca="false">IF(T$4=0,0,IF(COUNTIFS(実績!$W$6:$W$505,T$3,実績!$AI$6:$AI$505,"&lt;="&amp;$A132,実績!$AJ$6:$AJ$505,"&gt;"&amp;$A132,実績!$AL$6:$AL$505,"○")&gt;0,1,0))</f>
        <v>0</v>
      </c>
      <c r="U132" s="39" t="n">
        <f aca="false">IF(U$4=0,0,IF(COUNTIFS(実績!$W$6:$W$505,U$3,実績!$AI$6:$AI$505,"&lt;="&amp;$A132,実績!$AJ$6:$AJ$505,"&gt;"&amp;$A132,実績!$AL$6:$AL$505,"○")&gt;0,1,0))</f>
        <v>0</v>
      </c>
      <c r="V132" s="39" t="n">
        <f aca="false">IF(V$4=0,0,IF(COUNTIFS(実績!$W$6:$W$505,V$3,実績!$AI$6:$AI$505,"&lt;="&amp;$A132,実績!$AJ$6:$AJ$505,"&gt;"&amp;$A132,実績!$AL$6:$AL$505,"○")&gt;0,1,0))</f>
        <v>0</v>
      </c>
      <c r="W132" s="39" t="n">
        <f aca="false">IF(W$4=0,0,IF(COUNTIFS(実績!$W$6:$W$505,W$3,実績!$AI$6:$AI$505,"&lt;="&amp;$A132,実績!$AJ$6:$AJ$505,"&gt;"&amp;$A132,実績!$AL$6:$AL$505,"○")&gt;0,1,0))</f>
        <v>0</v>
      </c>
      <c r="X132" s="39" t="n">
        <f aca="false">IF(X$4=0,0,IF(COUNTIFS(実績!$W$6:$W$505,X$3,実績!$AI$6:$AI$505,"&lt;="&amp;$A132,実績!$AJ$6:$AJ$505,"&gt;"&amp;$A132,実績!$AL$6:$AL$505,"○")&gt;0,1,0))</f>
        <v>0</v>
      </c>
      <c r="Y132" s="39" t="n">
        <f aca="false">IF(Y$4=0,0,IF(COUNTIFS(実績!$W$6:$W$505,Y$3,実績!$AI$6:$AI$505,"&lt;="&amp;$A132,実績!$AJ$6:$AJ$505,"&gt;"&amp;$A132,実績!$AL$6:$AL$505,"○")&gt;0,1,0))</f>
        <v>0</v>
      </c>
      <c r="Z132" s="39" t="n">
        <f aca="false">IF(Z$4=0,0,IF(COUNTIFS(実績!$W$6:$W$505,Z$3,実績!$AI$6:$AI$505,"&lt;="&amp;$A132,実績!$AJ$6:$AJ$505,"&gt;"&amp;$A132,実績!$AL$6:$AL$505,"○")&gt;0,1,0))</f>
        <v>0</v>
      </c>
      <c r="AA132" s="39" t="n">
        <f aca="false">IF(AA$4=0,0,IF(COUNTIFS(実績!$W$6:$W$505,AA$3,実績!$AI$6:$AI$505,"&lt;="&amp;$A132,実績!$AJ$6:$AJ$505,"&gt;"&amp;$A132,実績!$AL$6:$AL$505,"○")&gt;0,1,0))</f>
        <v>0</v>
      </c>
      <c r="AB132" s="39" t="n">
        <f aca="false">IF(AB$4=0,0,IF(COUNTIFS(実績!$W$6:$W$505,AB$3,実績!$AI$6:$AI$505,"&lt;="&amp;$A132,実績!$AJ$6:$AJ$505,"&gt;"&amp;$A132,実績!$AL$6:$AL$505,"○")&gt;0,1,0))</f>
        <v>0</v>
      </c>
      <c r="AC132" s="39" t="n">
        <f aca="false">IF(AC$4=0,0,IF(COUNTIFS(実績!$W$6:$W$505,AC$3,実績!$AI$6:$AI$505,"&lt;="&amp;$A132,実績!$AJ$6:$AJ$505,"&gt;"&amp;$A132,実績!$AL$6:$AL$505,"○")&gt;0,1,0))</f>
        <v>0</v>
      </c>
      <c r="AD132" s="39" t="n">
        <f aca="false">IF(AD$4=0,0,IF(COUNTIFS(実績!$W$6:$W$505,AD$3,実績!$AI$6:$AI$505,"&lt;="&amp;$A132,実績!$AJ$6:$AJ$505,"&gt;"&amp;$A132,実績!$AL$6:$AL$505,"○")&gt;0,1,0))</f>
        <v>0</v>
      </c>
      <c r="AE132" s="39" t="n">
        <f aca="false">IF(AE$4=0,0,IF(COUNTIFS(実績!$W$6:$W$505,AE$3,実績!$AI$6:$AI$505,"&lt;="&amp;$A132,実績!$AJ$6:$AJ$505,"&gt;"&amp;$A132,実績!$AL$6:$AL$505,"○")&gt;0,1,0))</f>
        <v>0</v>
      </c>
      <c r="AF132" s="39" t="n">
        <f aca="false">IF(AF$4=0,0,IF(COUNTIFS(実績!$W$6:$W$505,AF$3,実績!$AI$6:$AI$505,"&lt;="&amp;$A132,実績!$AJ$6:$AJ$505,"&gt;"&amp;$A132,実績!$AL$6:$AL$505,"○")&gt;0,1,0))</f>
        <v>0</v>
      </c>
      <c r="AG132" s="39" t="n">
        <f aca="false">IF(AG$4=0,0,IF(COUNTIFS(実績!$W$6:$W$505,AG$3,実績!$AI$6:$AI$505,"&lt;="&amp;$A132,実績!$AJ$6:$AJ$505,"&gt;"&amp;$A132,実績!$AL$6:$AL$505,"○")&gt;0,1,0))</f>
        <v>0</v>
      </c>
      <c r="AH132" s="39" t="n">
        <f aca="false">IF(AH$4=0,0,IF(COUNTIFS(実績!$W$6:$W$505,AH$3,実績!$AI$6:$AI$505,"&lt;="&amp;$A132,実績!$AJ$6:$AJ$505,"&gt;"&amp;$A132,実績!$AL$6:$AL$505,"○")&gt;0,1,0))</f>
        <v>0</v>
      </c>
      <c r="AI132" s="39" t="n">
        <f aca="false">IF(AI$4=0,0,IF(COUNTIFS(実績!$W$6:$W$505,AI$3,実績!$AI$6:$AI$505,"&lt;="&amp;$A132,実績!$AJ$6:$AJ$505,"&gt;"&amp;$A132,実績!$AL$6:$AL$505,"○")&gt;0,1,0))</f>
        <v>0</v>
      </c>
      <c r="AJ132" s="39" t="n">
        <f aca="false">IF(AJ$4=0,0,IF(COUNTIFS(実績!$W$6:$W$505,AJ$3,実績!$AI$6:$AI$505,"&lt;="&amp;$A132,実績!$AJ$6:$AJ$505,"&gt;"&amp;$A132,実績!$AL$6:$AL$505,"○")&gt;0,1,0))</f>
        <v>0</v>
      </c>
      <c r="AK132" s="39" t="n">
        <f aca="false">IF(AK$4=0,0,IF(COUNTIFS(実績!$W$6:$W$505,AK$3,実績!$AI$6:$AI$505,"&lt;="&amp;$A132,実績!$AJ$6:$AJ$505,"&gt;"&amp;$A132,実績!$AL$6:$AL$505,"○")&gt;0,1,0))</f>
        <v>0</v>
      </c>
      <c r="AL132" s="39" t="n">
        <f aca="false">IF(AL$4=0,0,IF(COUNTIFS(実績!$W$6:$W$505,AL$3,実績!$AI$6:$AI$505,"&lt;="&amp;$A132,実績!$AJ$6:$AJ$505,"&gt;"&amp;$A132,実績!$AL$6:$AL$505,"○")&gt;0,1,0))</f>
        <v>0</v>
      </c>
      <c r="AM132" s="39" t="n">
        <f aca="false">IF(AM$4=0,0,IF(COUNTIFS(実績!$W$6:$W$505,AM$3,実績!$AI$6:$AI$505,"&lt;="&amp;$A132,実績!$AJ$6:$AJ$505,"&gt;"&amp;$A132,実績!$AL$6:$AL$505,"○")&gt;0,1,0))</f>
        <v>0</v>
      </c>
      <c r="AN132" s="39" t="n">
        <f aca="false">IF(AN$4=0,0,IF(COUNTIFS(実績!$W$6:$W$505,AN$3,実績!$AI$6:$AI$505,"&lt;="&amp;$A132,実績!$AJ$6:$AJ$505,"&gt;"&amp;$A132,実績!$AL$6:$AL$505,"○")&gt;0,1,0))</f>
        <v>0</v>
      </c>
      <c r="AO132" s="39" t="n">
        <f aca="false">IF(AO$4=0,0,IF(COUNTIFS(実績!$W$6:$W$505,AO$3,実績!$AI$6:$AI$505,"&lt;="&amp;$A132,実績!$AJ$6:$AJ$505,"&gt;"&amp;$A132,実績!$AL$6:$AL$505,"○")&gt;0,1,0))</f>
        <v>0</v>
      </c>
      <c r="AP132" s="39" t="n">
        <f aca="false">IF(AP$4=0,0,IF(COUNTIFS(実績!$W$6:$W$505,AP$3,実績!$AI$6:$AI$505,"&lt;="&amp;$A132,実績!$AJ$6:$AJ$505,"&gt;"&amp;$A132,実績!$AL$6:$AL$505,"○")&gt;0,1,0))</f>
        <v>0</v>
      </c>
      <c r="AQ132" s="39" t="n">
        <f aca="false">IF(AQ$4=0,0,IF(COUNTIFS(実績!$W$6:$W$505,AQ$3,実績!$AI$6:$AI$505,"&lt;="&amp;$A132,実績!$AJ$6:$AJ$505,"&gt;"&amp;$A132,実績!$AL$6:$AL$505,"○")&gt;0,1,0))</f>
        <v>0</v>
      </c>
      <c r="AR132" s="39" t="n">
        <f aca="false">IF(AR$4=0,0,IF(COUNTIFS(実績!$W$6:$W$505,AR$3,実績!$AI$6:$AI$505,"&lt;="&amp;$A132,実績!$AJ$6:$AJ$505,"&gt;"&amp;$A132,実績!$AL$6:$AL$505,"○")&gt;0,1,0))</f>
        <v>0</v>
      </c>
      <c r="AS132" s="39" t="n">
        <f aca="false">IF(AS$4=0,0,IF(COUNTIFS(実績!$W$6:$W$505,AS$3,実績!$AI$6:$AI$505,"&lt;="&amp;$A132,実績!$AJ$6:$AJ$505,"&gt;"&amp;$A132,実績!$AL$6:$AL$505,"○")&gt;0,1,0))</f>
        <v>0</v>
      </c>
      <c r="AT132" s="39" t="n">
        <f aca="false">IF(AT$4=0,0,IF(COUNTIFS(実績!$W$6:$W$505,AT$3,実績!$AI$6:$AI$505,"&lt;="&amp;$A132,実績!$AJ$6:$AJ$505,"&gt;"&amp;$A132,実績!$AL$6:$AL$505,"○")&gt;0,1,0))</f>
        <v>0</v>
      </c>
      <c r="AU132" s="39" t="n">
        <f aca="false">IF(AU$4=0,0,IF(COUNTIFS(実績!$W$6:$W$505,AU$3,実績!$AI$6:$AI$505,"&lt;="&amp;$A132,実績!$AJ$6:$AJ$505,"&gt;"&amp;$A132,実績!$AL$6:$AL$505,"○")&gt;0,1,0))</f>
        <v>0</v>
      </c>
      <c r="AV132" s="39" t="n">
        <f aca="false">IF(AV$4=0,0,IF(COUNTIFS(実績!$W$6:$W$505,AV$3,実績!$AI$6:$AI$505,"&lt;="&amp;$A132,実績!$AJ$6:$AJ$505,"&gt;"&amp;$A132,実績!$AL$6:$AL$505,"○")&gt;0,1,0))</f>
        <v>0</v>
      </c>
      <c r="AW132" s="39" t="n">
        <f aca="false">IF(AW$4=0,0,IF(COUNTIFS(実績!$W$6:$W$505,AW$3,実績!$AI$6:$AI$505,"&lt;="&amp;$A132,実績!$AJ$6:$AJ$505,"&gt;"&amp;$A132,実績!$AL$6:$AL$505,"○")&gt;0,1,0))</f>
        <v>0</v>
      </c>
      <c r="AX132" s="39" t="n">
        <f aca="false">IF(AX$4=0,0,IF(COUNTIFS(実績!$W$6:$W$505,AX$3,実績!$AI$6:$AI$505,"&lt;="&amp;$A132,実績!$AJ$6:$AJ$505,"&gt;"&amp;$A132,実績!$AL$6:$AL$505,"○")&gt;0,1,0))</f>
        <v>0</v>
      </c>
      <c r="AY132" s="39" t="n">
        <f aca="false">IF(AY$4=0,0,IF(COUNTIFS(実績!$W$6:$W$505,AY$3,実績!$AI$6:$AI$505,"&lt;="&amp;$A132,実績!$AJ$6:$AJ$505,"&gt;"&amp;$A132,実績!$AL$6:$AL$505,"○")&gt;0,1,0))</f>
        <v>0</v>
      </c>
      <c r="AZ132" s="39" t="n">
        <f aca="false">IF(AZ$4=0,0,IF(COUNTIFS(実績!$W$6:$W$505,AZ$3,実績!$AI$6:$AI$505,"&lt;="&amp;$A132,実績!$AJ$6:$AJ$505,"&gt;"&amp;$A132,実績!$AL$6:$AL$505,"○")&gt;0,1,0))</f>
        <v>0</v>
      </c>
      <c r="BA132" s="39" t="n">
        <f aca="false">IF(BA$4=0,0,IF(COUNTIFS(実績!$W$6:$W$505,BA$3,実績!$AI$6:$AI$505,"&lt;="&amp;$A132,実績!$AJ$6:$AJ$505,"&gt;"&amp;$A132,実績!$AL$6:$AL$505,"○")&gt;0,1,0))</f>
        <v>0</v>
      </c>
      <c r="BB132" s="39" t="n">
        <f aca="false">IF(BB$4=0,0,IF(COUNTIFS(実績!$W$6:$W$505,BB$3,実績!$AI$6:$AI$505,"&lt;="&amp;$A132,実績!$AJ$6:$AJ$505,"&gt;"&amp;$A132,実績!$AL$6:$AL$505,"○")&gt;0,1,0))</f>
        <v>0</v>
      </c>
      <c r="BC132" s="39" t="n">
        <f aca="false">IF(BC$4=0,0,IF(COUNTIFS(実績!$W$6:$W$505,BC$3,実績!$AI$6:$AI$505,"&lt;="&amp;$A132,実績!$AJ$6:$AJ$505,"&gt;"&amp;$A132,実績!$AL$6:$AL$505,"○")&gt;0,1,0))</f>
        <v>0</v>
      </c>
      <c r="BD132" s="39" t="n">
        <f aca="false">IF(BD$4=0,0,IF(COUNTIFS(実績!$W$6:$W$505,BD$3,実績!$AI$6:$AI$505,"&lt;="&amp;$A132,実績!$AJ$6:$AJ$505,"&gt;"&amp;$A132,実績!$AL$6:$AL$505,"○")&gt;0,1,0))</f>
        <v>0</v>
      </c>
      <c r="BE132" s="39" t="n">
        <f aca="false">IF(BE$4=0,0,IF(COUNTIFS(実績!$W$6:$W$505,BE$3,実績!$AI$6:$AI$505,"&lt;="&amp;$A132,実績!$AJ$6:$AJ$505,"&gt;"&amp;$A132,実績!$AL$6:$AL$505,"○")&gt;0,1,0))</f>
        <v>0</v>
      </c>
      <c r="BF132" s="39" t="n">
        <f aca="false">IF(BF$4=0,0,IF(COUNTIFS(実績!$W$6:$W$505,BF$3,実績!$AI$6:$AI$505,"&lt;="&amp;$A132,実績!$AJ$6:$AJ$505,"&gt;"&amp;$A132,実績!$AL$6:$AL$505,"○")&gt;0,1,0))</f>
        <v>0</v>
      </c>
      <c r="BG132" s="39" t="n">
        <f aca="false">IF(BG$4=0,0,IF(COUNTIFS(実績!$W$6:$W$505,BG$3,実績!$AI$6:$AI$505,"&lt;="&amp;$A132,実績!$AJ$6:$AJ$505,"&gt;"&amp;$A132,実績!$AL$6:$AL$505,"○")&gt;0,1,0))</f>
        <v>0</v>
      </c>
      <c r="BH132" s="39" t="n">
        <f aca="false">IF(BH$4=0,0,IF(COUNTIFS(実績!$W$6:$W$505,BH$3,実績!$AI$6:$AI$505,"&lt;="&amp;$A132,実績!$AJ$6:$AJ$505,"&gt;"&amp;$A132,実績!$AL$6:$AL$505,"○")&gt;0,1,0))</f>
        <v>0</v>
      </c>
      <c r="BI132" s="39" t="n">
        <f aca="false">IF(BI$4=0,0,IF(COUNTIFS(実績!$W$6:$W$505,BI$3,実績!$AI$6:$AI$505,"&lt;="&amp;$A132,実績!$AJ$6:$AJ$505,"&gt;"&amp;$A132,実績!$AL$6:$AL$505,"○")&gt;0,1,0))</f>
        <v>0</v>
      </c>
      <c r="BJ132" s="39" t="n">
        <f aca="false">IF(BJ$4=0,0,IF(COUNTIFS(実績!$W$6:$W$505,BJ$3,実績!$AI$6:$AI$505,"&lt;="&amp;$A132,実績!$AJ$6:$AJ$505,"&gt;"&amp;$A132,実績!$AL$6:$AL$505,"○")&gt;0,1,0))</f>
        <v>0</v>
      </c>
      <c r="BK132" s="39" t="n">
        <f aca="false">IF(BK$4=0,0,IF(COUNTIFS(実績!$W$6:$W$505,BK$3,実績!$AI$6:$AI$505,"&lt;="&amp;$A132,実績!$AJ$6:$AJ$505,"&gt;"&amp;$A132,実績!$AL$6:$AL$505,"○")&gt;0,1,0))</f>
        <v>0</v>
      </c>
      <c r="BL132" s="39" t="n">
        <f aca="false">IF(BL$4=0,0,IF(COUNTIFS(実績!$W$6:$W$505,BL$3,実績!$AI$6:$AI$505,"&lt;="&amp;$A132,実績!$AJ$6:$AJ$505,"&gt;"&amp;$A132,実績!$AL$6:$AL$505,"○")&gt;0,1,0))</f>
        <v>0</v>
      </c>
      <c r="BM132" s="39" t="n">
        <f aca="false">IF(BM$4=0,0,IF(COUNTIFS(実績!$W$6:$W$505,BM$3,実績!$AI$6:$AI$505,"&lt;="&amp;$A132,実績!$AJ$6:$AJ$505,"&gt;"&amp;$A132,実績!$AL$6:$AL$505,"○")&gt;0,1,0))</f>
        <v>0</v>
      </c>
      <c r="BN132" s="39" t="n">
        <f aca="false">IF(BN$4=0,0,IF(COUNTIFS(実績!$W$6:$W$505,BN$3,実績!$AI$6:$AI$505,"&lt;="&amp;$A132,実績!$AJ$6:$AJ$505,"&gt;"&amp;$A132,実績!$AL$6:$AL$505,"○")&gt;0,1,0))</f>
        <v>0</v>
      </c>
      <c r="BO132" s="39" t="n">
        <f aca="false">IF(BO$4=0,0,IF(COUNTIFS(実績!$W$6:$W$505,BO$3,実績!$AI$6:$AI$505,"&lt;="&amp;$A132,実績!$AJ$6:$AJ$505,"&gt;"&amp;$A132,実績!$AL$6:$AL$505,"○")&gt;0,1,0))</f>
        <v>0</v>
      </c>
      <c r="BP132" s="39" t="n">
        <f aca="false">IF(BP$4=0,0,IF(COUNTIFS(実績!$W$6:$W$505,BP$3,実績!$AI$6:$AI$505,"&lt;="&amp;$A132,実績!$AJ$6:$AJ$505,"&gt;"&amp;$A132,実績!$AL$6:$AL$505,"○")&gt;0,1,0))</f>
        <v>0</v>
      </c>
      <c r="BQ132" s="39" t="n">
        <f aca="false">IF(BQ$4=0,0,IF(COUNTIFS(実績!$W$6:$W$505,BQ$3,実績!$AI$6:$AI$505,"&lt;="&amp;$A132,実績!$AJ$6:$AJ$505,"&gt;"&amp;$A132,実績!$AL$6:$AL$505,"○")&gt;0,1,0))</f>
        <v>0</v>
      </c>
      <c r="BR132" s="39" t="n">
        <f aca="false">IF(BR$4=0,0,IF(COUNTIFS(実績!$W$6:$W$505,BR$3,実績!$AI$6:$AI$505,"&lt;="&amp;$A132,実績!$AJ$6:$AJ$505,"&gt;"&amp;$A132,実績!$AL$6:$AL$505,"○")&gt;0,1,0))</f>
        <v>0</v>
      </c>
      <c r="BS132" s="39" t="n">
        <f aca="false">IF(BS$4=0,0,IF(COUNTIFS(実績!$W$6:$W$505,BS$3,実績!$AI$6:$AI$505,"&lt;="&amp;$A132,実績!$AJ$6:$AJ$505,"&gt;"&amp;$A132,実績!$AL$6:$AL$505,"○")&gt;0,1,0))</f>
        <v>0</v>
      </c>
      <c r="BT132" s="39" t="n">
        <f aca="false">IF(BT$4=0,0,IF(COUNTIFS(実績!$W$6:$W$505,BT$3,実績!$AI$6:$AI$505,"&lt;="&amp;$A132,実績!$AJ$6:$AJ$505,"&gt;"&amp;$A132,実績!$AL$6:$AL$505,"○")&gt;0,1,0))</f>
        <v>0</v>
      </c>
      <c r="BU132" s="39" t="n">
        <f aca="false">IF(BU$4=0,0,IF(COUNTIFS(実績!$W$6:$W$505,BU$3,実績!$AI$6:$AI$505,"&lt;="&amp;$A132,実績!$AJ$6:$AJ$505,"&gt;"&amp;$A132,実績!$AL$6:$AL$505,"○")&gt;0,1,0))</f>
        <v>0</v>
      </c>
      <c r="BV132" s="39" t="n">
        <f aca="false">IF(BV$4=0,0,IF(COUNTIFS(実績!$W$6:$W$505,BV$3,実績!$AI$6:$AI$505,"&lt;="&amp;$A132,実績!$AJ$6:$AJ$505,"&gt;"&amp;$A132,実績!$AL$6:$AL$505,"○")&gt;0,1,0))</f>
        <v>0</v>
      </c>
      <c r="BW132" s="39" t="n">
        <f aca="false">IF(BW$4=0,0,IF(COUNTIFS(実績!$W$6:$W$505,BW$3,実績!$AI$6:$AI$505,"&lt;="&amp;$A132,実績!$AJ$6:$AJ$505,"&gt;"&amp;$A132,実績!$AL$6:$AL$505,"○")&gt;0,1,0))</f>
        <v>0</v>
      </c>
      <c r="BX132" s="39" t="n">
        <f aca="false">IF(BX$4=0,0,IF(COUNTIFS(実績!$W$6:$W$505,BX$3,実績!$AI$6:$AI$505,"&lt;="&amp;$A132,実績!$AJ$6:$AJ$505,"&gt;"&amp;$A132,実績!$AL$6:$AL$505,"○")&gt;0,1,0))</f>
        <v>0</v>
      </c>
      <c r="BY132" s="39" t="n">
        <f aca="false">IF(BY$4=0,0,IF(COUNTIFS(実績!$W$6:$W$505,BY$3,実績!$AI$6:$AI$505,"&lt;="&amp;$A132,実績!$AJ$6:$AJ$505,"&gt;"&amp;$A132,実績!$AL$6:$AL$505,"○")&gt;0,1,0))</f>
        <v>0</v>
      </c>
      <c r="BZ132" s="39" t="n">
        <f aca="false">IF(BZ$4=0,0,IF(COUNTIFS(実績!$W$6:$W$505,BZ$3,実績!$AI$6:$AI$505,"&lt;="&amp;$A132,実績!$AJ$6:$AJ$505,"&gt;"&amp;$A132,実績!$AL$6:$AL$505,"○")&gt;0,1,0))</f>
        <v>0</v>
      </c>
      <c r="CA132" s="39" t="n">
        <f aca="false">IF(CA$4=0,0,IF(COUNTIFS(実績!$W$6:$W$505,CA$3,実績!$AI$6:$AI$505,"&lt;="&amp;$A132,実績!$AJ$6:$AJ$505,"&gt;"&amp;$A132,実績!$AL$6:$AL$505,"○")&gt;0,1,0))</f>
        <v>0</v>
      </c>
      <c r="CB132" s="39" t="n">
        <f aca="false">IF(CB$4=0,0,IF(COUNTIFS(実績!$W$6:$W$505,CB$3,実績!$AI$6:$AI$505,"&lt;="&amp;$A132,実績!$AJ$6:$AJ$505,"&gt;"&amp;$A132,実績!$AL$6:$AL$505,"○")&gt;0,1,0))</f>
        <v>0</v>
      </c>
      <c r="CC132" s="39" t="n">
        <f aca="false">IF(CC$4=0,0,IF(COUNTIFS(実績!$W$6:$W$505,CC$3,実績!$AI$6:$AI$505,"&lt;="&amp;$A132,実績!$AJ$6:$AJ$505,"&gt;"&amp;$A132,実績!$AL$6:$AL$505,"○")&gt;0,1,0))</f>
        <v>0</v>
      </c>
      <c r="CD132" s="39" t="n">
        <f aca="false">IF(CD$4=0,0,IF(COUNTIFS(実績!$W$6:$W$505,CD$3,実績!$AI$6:$AI$505,"&lt;="&amp;$A132,実績!$AJ$6:$AJ$505,"&gt;"&amp;$A132,実績!$AL$6:$AL$505,"○")&gt;0,1,0))</f>
        <v>0</v>
      </c>
      <c r="CE132" s="39" t="n">
        <f aca="false">IF(CE$4=0,0,IF(COUNTIFS(実績!$W$6:$W$505,CE$3,実績!$AI$6:$AI$505,"&lt;="&amp;$A132,実績!$AJ$6:$AJ$505,"&gt;"&amp;$A132,実績!$AL$6:$AL$505,"○")&gt;0,1,0))</f>
        <v>0</v>
      </c>
      <c r="CF132" s="39" t="n">
        <f aca="false">IF(CF$4=0,0,IF(COUNTIFS(実績!$W$6:$W$505,CF$3,実績!$AI$6:$AI$505,"&lt;="&amp;$A132,実績!$AJ$6:$AJ$505,"&gt;"&amp;$A132,実績!$AL$6:$AL$505,"○")&gt;0,1,0))</f>
        <v>0</v>
      </c>
      <c r="CG132" s="39" t="n">
        <f aca="false">IF(CG$4=0,0,IF(COUNTIFS(実績!$W$6:$W$505,CG$3,実績!$AI$6:$AI$505,"&lt;="&amp;$A132,実績!$AJ$6:$AJ$505,"&gt;"&amp;$A132,実績!$AL$6:$AL$505,"○")&gt;0,1,0))</f>
        <v>0</v>
      </c>
      <c r="CH132" s="39" t="n">
        <f aca="false">IF(CH$4=0,0,IF(COUNTIFS(実績!$W$6:$W$505,CH$3,実績!$AI$6:$AI$505,"&lt;="&amp;$A132,実績!$AJ$6:$AJ$505,"&gt;"&amp;$A132,実績!$AL$6:$AL$505,"○")&gt;0,1,0))</f>
        <v>0</v>
      </c>
      <c r="CI132" s="39" t="n">
        <f aca="false">IF(CI$4=0,0,IF(COUNTIFS(実績!$W$6:$W$505,CI$3,実績!$AI$6:$AI$505,"&lt;="&amp;$A132,実績!$AJ$6:$AJ$505,"&gt;"&amp;$A132,実績!$AL$6:$AL$505,"○")&gt;0,1,0))</f>
        <v>0</v>
      </c>
      <c r="CJ132" s="39" t="n">
        <f aca="false">IF(CJ$4=0,0,IF(COUNTIFS(実績!$W$6:$W$505,CJ$3,実績!$AI$6:$AI$505,"&lt;="&amp;$A132,実績!$AJ$6:$AJ$505,"&gt;"&amp;$A132,実績!$AL$6:$AL$505,"○")&gt;0,1,0))</f>
        <v>0</v>
      </c>
      <c r="CK132" s="39" t="n">
        <f aca="false">IF(CK$4=0,0,IF(COUNTIFS(実績!$W$6:$W$505,CK$3,実績!$AI$6:$AI$505,"&lt;="&amp;$A132,実績!$AJ$6:$AJ$505,"&gt;"&amp;$A132,実績!$AL$6:$AL$505,"○")&gt;0,1,0))</f>
        <v>0</v>
      </c>
      <c r="CL132" s="39" t="n">
        <f aca="false">IF(CL$4=0,0,IF(COUNTIFS(実績!$W$6:$W$505,CL$3,実績!$AI$6:$AI$505,"&lt;="&amp;$A132,実績!$AJ$6:$AJ$505,"&gt;"&amp;$A132,実績!$AL$6:$AL$505,"○")&gt;0,1,0))</f>
        <v>0</v>
      </c>
      <c r="CM132" s="39" t="n">
        <f aca="false">IF(CM$4=0,0,IF(COUNTIFS(実績!$W$6:$W$505,CM$3,実績!$AI$6:$AI$505,"&lt;="&amp;$A132,実績!$AJ$6:$AJ$505,"&gt;"&amp;$A132,実績!$AL$6:$AL$505,"○")&gt;0,1,0))</f>
        <v>0</v>
      </c>
      <c r="CN132" s="39" t="n">
        <f aca="false">IF(CN$4=0,0,IF(COUNTIFS(実績!$W$6:$W$505,CN$3,実績!$AI$6:$AI$505,"&lt;="&amp;$A132,実績!$AJ$6:$AJ$505,"&gt;"&amp;$A132,実績!$AL$6:$AL$505,"○")&gt;0,1,0))</f>
        <v>0</v>
      </c>
      <c r="CO132" s="39" t="n">
        <f aca="false">IF(CO$4=0,0,IF(COUNTIFS(実績!$W$6:$W$505,CO$3,実績!$AI$6:$AI$505,"&lt;="&amp;$A132,実績!$AJ$6:$AJ$505,"&gt;"&amp;$A132,実績!$AL$6:$AL$505,"○")&gt;0,1,0))</f>
        <v>0</v>
      </c>
      <c r="CP132" s="39" t="n">
        <f aca="false">IF(CP$4=0,0,IF(COUNTIFS(実績!$W$6:$W$505,CP$3,実績!$AI$6:$AI$505,"&lt;="&amp;$A132,実績!$AJ$6:$AJ$505,"&gt;"&amp;$A132,実績!$AL$6:$AL$505,"○")&gt;0,1,0))</f>
        <v>0</v>
      </c>
      <c r="CQ132" s="39" t="n">
        <f aca="false">IF(CQ$4=0,0,IF(COUNTIFS(実績!$W$6:$W$505,CQ$3,実績!$AI$6:$AI$505,"&lt;="&amp;$A132,実績!$AJ$6:$AJ$505,"&gt;"&amp;$A132,実績!$AL$6:$AL$505,"○")&gt;0,1,0))</f>
        <v>0</v>
      </c>
      <c r="CR132" s="39" t="n">
        <f aca="false">IF(CR$4=0,0,IF(COUNTIFS(実績!$W$6:$W$505,CR$3,実績!$AI$6:$AI$505,"&lt;="&amp;$A132,実績!$AJ$6:$AJ$505,"&gt;"&amp;$A132,実績!$AL$6:$AL$505,"○")&gt;0,1,0))</f>
        <v>0</v>
      </c>
      <c r="CS132" s="39" t="n">
        <f aca="false">IF(CS$4=0,0,IF(COUNTIFS(実績!$W$6:$W$505,CS$3,実績!$AI$6:$AI$505,"&lt;="&amp;$A132,実績!$AJ$6:$AJ$505,"&gt;"&amp;$A132,実績!$AL$6:$AL$505,"○")&gt;0,1,0))</f>
        <v>0</v>
      </c>
      <c r="CT132" s="39" t="n">
        <f aca="false">IF(CT$4=0,0,IF(COUNTIFS(実績!$W$6:$W$505,CT$3,実績!$AI$6:$AI$505,"&lt;="&amp;$A132,実績!$AJ$6:$AJ$505,"&gt;"&amp;$A132,実績!$AL$6:$AL$505,"○")&gt;0,1,0))</f>
        <v>0</v>
      </c>
      <c r="CU132" s="39" t="n">
        <f aca="false">IF(CU$4=0,0,IF(COUNTIFS(実績!$W$6:$W$505,CU$3,実績!$AI$6:$AI$505,"&lt;="&amp;$A132,実績!$AJ$6:$AJ$505,"&gt;"&amp;$A132,実績!$AL$6:$AL$505,"○")&gt;0,1,0))</f>
        <v>0</v>
      </c>
      <c r="CV132" s="39" t="n">
        <f aca="false">IF(CV$4=0,0,IF(COUNTIFS(実績!$W$6:$W$505,CV$3,実績!$AI$6:$AI$505,"&lt;="&amp;$A132,実績!$AJ$6:$AJ$505,"&gt;"&amp;$A132,実績!$AL$6:$AL$505,"○")&gt;0,1,0))</f>
        <v>0</v>
      </c>
      <c r="CW132" s="39" t="n">
        <f aca="false">IF(CW$4=0,0,IF(COUNTIFS(実績!$W$6:$W$505,CW$3,実績!$AI$6:$AI$505,"&lt;="&amp;$A132,実績!$AJ$6:$AJ$505,"&gt;"&amp;$A132,実績!$AL$6:$AL$505,"○")&gt;0,1,0))</f>
        <v>0</v>
      </c>
      <c r="CX132" s="39" t="n">
        <f aca="false">IF(CX$4=0,0,IF(COUNTIFS(実績!$W$6:$W$505,CX$3,実績!$AI$6:$AI$505,"&lt;="&amp;$A132,実績!$AJ$6:$AJ$505,"&gt;"&amp;$A132,実績!$AL$6:$AL$505,"○")&gt;0,1,0))</f>
        <v>0</v>
      </c>
      <c r="CY132" s="39" t="n">
        <f aca="false">IF(CY$4=0,0,IF(COUNTIFS(実績!$W$6:$W$505,CY$3,実績!$AI$6:$AI$505,"&lt;="&amp;$A132,実績!$AJ$6:$AJ$505,"&gt;"&amp;$A132,実績!$AL$6:$AL$505,"○")&gt;0,1,0))</f>
        <v>0</v>
      </c>
      <c r="CZ132" s="39" t="n">
        <f aca="false">IF(CZ$4=0,0,IF(COUNTIFS(実績!$W$6:$W$505,CZ$3,実績!$AI$6:$AI$505,"&lt;="&amp;$A132,実績!$AJ$6:$AJ$505,"&gt;"&amp;$A132,実績!$AL$6:$AL$505,"○")&gt;0,1,0))</f>
        <v>0</v>
      </c>
      <c r="DA132" s="39" t="n">
        <f aca="false">IF(DA$4=0,0,IF(COUNTIFS(実績!$W$6:$W$505,DA$3,実績!$AI$6:$AI$505,"&lt;="&amp;$A132,実績!$AJ$6:$AJ$505,"&gt;"&amp;$A132,実績!$AL$6:$AL$505,"○")&gt;0,1,0))</f>
        <v>0</v>
      </c>
      <c r="DB132" s="39" t="n">
        <f aca="false">IF(DB$4=0,0,IF(COUNTIFS(実績!$W$6:$W$505,DB$3,実績!$AI$6:$AI$505,"&lt;="&amp;$A132,実績!$AJ$6:$AJ$505,"&gt;"&amp;$A132,実績!$AL$6:$AL$505,"○")&gt;0,1,0))</f>
        <v>0</v>
      </c>
      <c r="DC132" s="39" t="n">
        <f aca="false">IF(DC$4=0,0,IF(COUNTIFS(実績!$W$6:$W$505,DC$3,実績!$AI$6:$AI$505,"&lt;="&amp;$A132,実績!$AJ$6:$AJ$505,"&gt;"&amp;$A132,実績!$AL$6:$AL$505,"○")&gt;0,1,0))</f>
        <v>0</v>
      </c>
      <c r="DD132" s="39" t="n">
        <f aca="false">IF(DD$4=0,0,IF(COUNTIFS(実績!$W$6:$W$505,DD$3,実績!$AI$6:$AI$505,"&lt;="&amp;$A132,実績!$AJ$6:$AJ$505,"&gt;"&amp;$A132,実績!$AL$6:$AL$505,"○")&gt;0,1,0))</f>
        <v>0</v>
      </c>
      <c r="DE132" s="39" t="n">
        <f aca="false">IF(DE$4=0,0,IF(COUNTIFS(実績!$W$6:$W$505,DE$3,実績!$AI$6:$AI$505,"&lt;="&amp;$A132,実績!$AJ$6:$AJ$505,"&gt;"&amp;$A132,実績!$AL$6:$AL$505,"○")&gt;0,1,0))</f>
        <v>0</v>
      </c>
      <c r="DF132" s="39" t="n">
        <f aca="false">IF(DF$4=0,0,IF(COUNTIFS(実績!$W$6:$W$505,DF$3,実績!$AI$6:$AI$505,"&lt;="&amp;$A132,実績!$AJ$6:$AJ$505,"&gt;"&amp;$A132,実績!$AL$6:$AL$505,"○")&gt;0,1,0))</f>
        <v>0</v>
      </c>
      <c r="DG132" s="39" t="n">
        <f aca="false">IF(DG$4=0,0,IF(COUNTIFS(実績!$W$6:$W$505,DG$3,実績!$AI$6:$AI$505,"&lt;="&amp;$A132,実績!$AJ$6:$AJ$505,"&gt;"&amp;$A132,実績!$AL$6:$AL$505,"○")&gt;0,1,0))</f>
        <v>0</v>
      </c>
      <c r="DH132" s="39" t="n">
        <f aca="false">IF(DH$4=0,0,IF(COUNTIFS(実績!$W$6:$W$505,DH$3,実績!$AI$6:$AI$505,"&lt;="&amp;$A132,実績!$AJ$6:$AJ$505,"&gt;"&amp;$A132,実績!$AL$6:$AL$505,"○")&gt;0,1,0))</f>
        <v>0</v>
      </c>
      <c r="DI132" s="39" t="n">
        <f aca="false">IF(DI$4=0,0,IF(COUNTIFS(実績!$W$6:$W$505,DI$3,実績!$AI$6:$AI$505,"&lt;="&amp;$A132,実績!$AJ$6:$AJ$505,"&gt;"&amp;$A132,実績!$AL$6:$AL$505,"○")&gt;0,1,0))</f>
        <v>0</v>
      </c>
      <c r="DJ132" s="39" t="n">
        <f aca="false">IF(DJ$4=0,0,IF(COUNTIFS(実績!$W$6:$W$505,DJ$3,実績!$AI$6:$AI$505,"&lt;="&amp;$A132,実績!$AJ$6:$AJ$505,"&gt;"&amp;$A132,実績!$AL$6:$AL$505,"○")&gt;0,1,0))</f>
        <v>0</v>
      </c>
      <c r="DK132" s="39" t="n">
        <f aca="false">IF(DK$4=0,0,IF(COUNTIFS(実績!$W$6:$W$505,DK$3,実績!$AI$6:$AI$505,"&lt;="&amp;$A132,実績!$AJ$6:$AJ$505,"&gt;"&amp;$A132,実績!$AL$6:$AL$505,"○")&gt;0,1,0))</f>
        <v>0</v>
      </c>
      <c r="DL132" s="39" t="n">
        <f aca="false">IF(DL$4=0,0,IF(COUNTIFS(実績!$W$6:$W$505,DL$3,実績!$AI$6:$AI$505,"&lt;="&amp;$A132,実績!$AJ$6:$AJ$505,"&gt;"&amp;$A132,実績!$AL$6:$AL$505,"○")&gt;0,1,0))</f>
        <v>0</v>
      </c>
      <c r="DM132" s="39" t="n">
        <f aca="false">IF(DM$4=0,0,IF(COUNTIFS(実績!$W$6:$W$505,DM$3,実績!$AI$6:$AI$505,"&lt;="&amp;$A132,実績!$AJ$6:$AJ$505,"&gt;"&amp;$A132,実績!$AL$6:$AL$505,"○")&gt;0,1,0))</f>
        <v>0</v>
      </c>
      <c r="DN132" s="39" t="n">
        <f aca="false">IF(DN$4=0,0,IF(COUNTIFS(実績!$W$6:$W$505,DN$3,実績!$AI$6:$AI$505,"&lt;="&amp;$A132,実績!$AJ$6:$AJ$505,"&gt;"&amp;$A132,実績!$AL$6:$AL$505,"○")&gt;0,1,0))</f>
        <v>0</v>
      </c>
      <c r="DO132" s="39" t="n">
        <f aca="false">IF(DO$4=0,0,IF(COUNTIFS(実績!$W$6:$W$505,DO$3,実績!$AI$6:$AI$505,"&lt;="&amp;$A132,実績!$AJ$6:$AJ$505,"&gt;"&amp;$A132,実績!$AL$6:$AL$505,"○")&gt;0,1,0))</f>
        <v>0</v>
      </c>
      <c r="DP132" s="39" t="n">
        <f aca="false">IF(DP$4=0,0,IF(COUNTIFS(実績!$W$6:$W$505,DP$3,実績!$AI$6:$AI$505,"&lt;="&amp;$A132,実績!$AJ$6:$AJ$505,"&gt;"&amp;$A132,実績!$AL$6:$AL$505,"○")&gt;0,1,0))</f>
        <v>0</v>
      </c>
      <c r="DQ132" s="39" t="n">
        <f aca="false">IF(DQ$4=0,0,IF(COUNTIFS(実績!$W$6:$W$505,DQ$3,実績!$AI$6:$AI$505,"&lt;="&amp;$A132,実績!$AJ$6:$AJ$505,"&gt;"&amp;$A132,実績!$AL$6:$AL$505,"○")&gt;0,1,0))</f>
        <v>0</v>
      </c>
      <c r="DR132" s="39" t="n">
        <f aca="false">IF(DR$4=0,0,IF(COUNTIFS(実績!$W$6:$W$505,DR$3,実績!$AI$6:$AI$505,"&lt;="&amp;$A132,実績!$AJ$6:$AJ$505,"&gt;"&amp;$A132,実績!$AL$6:$AL$505,"○")&gt;0,1,0))</f>
        <v>0</v>
      </c>
      <c r="DS132" s="39" t="n">
        <f aca="false">SUM(C132:DR132)</f>
        <v>0</v>
      </c>
    </row>
    <row r="133" customFormat="false" ht="15" hidden="false" customHeight="false" outlineLevel="0" collapsed="false">
      <c r="A133" s="0" t="n">
        <v>635</v>
      </c>
      <c r="B133" s="38" t="n">
        <f aca="false">A133/1440</f>
        <v>0.440972222222222</v>
      </c>
      <c r="C133" s="39" t="n">
        <f aca="false">IF(C$4=0,0,IF(COUNTIFS(実績!$W$6:$W$505,C$3,実績!$AI$6:$AI$505,"&lt;="&amp;$A133,実績!$AJ$6:$AJ$505,"&gt;"&amp;$A133,実績!$AL$6:$AL$505,"○")&gt;0,1,0))</f>
        <v>0</v>
      </c>
      <c r="D133" s="39" t="n">
        <f aca="false">IF(D$4=0,0,IF(COUNTIFS(実績!$W$6:$W$505,D$3,実績!$AI$6:$AI$505,"&lt;="&amp;$A133,実績!$AJ$6:$AJ$505,"&gt;"&amp;$A133,実績!$AL$6:$AL$505,"○")&gt;0,1,0))</f>
        <v>0</v>
      </c>
      <c r="E133" s="39" t="n">
        <f aca="false">IF(E$4=0,0,IF(COUNTIFS(実績!$W$6:$W$505,E$3,実績!$AI$6:$AI$505,"&lt;="&amp;$A133,実績!$AJ$6:$AJ$505,"&gt;"&amp;$A133,実績!$AL$6:$AL$505,"○")&gt;0,1,0))</f>
        <v>0</v>
      </c>
      <c r="F133" s="39" t="n">
        <f aca="false">IF(F$4=0,0,IF(COUNTIFS(実績!$W$6:$W$505,F$3,実績!$AI$6:$AI$505,"&lt;="&amp;$A133,実績!$AJ$6:$AJ$505,"&gt;"&amp;$A133,実績!$AL$6:$AL$505,"○")&gt;0,1,0))</f>
        <v>0</v>
      </c>
      <c r="G133" s="39" t="n">
        <f aca="false">IF(G$4=0,0,IF(COUNTIFS(実績!$W$6:$W$505,G$3,実績!$AI$6:$AI$505,"&lt;="&amp;$A133,実績!$AJ$6:$AJ$505,"&gt;"&amp;$A133,実績!$AL$6:$AL$505,"○")&gt;0,1,0))</f>
        <v>0</v>
      </c>
      <c r="H133" s="39" t="n">
        <f aca="false">IF(H$4=0,0,IF(COUNTIFS(実績!$W$6:$W$505,H$3,実績!$AI$6:$AI$505,"&lt;="&amp;$A133,実績!$AJ$6:$AJ$505,"&gt;"&amp;$A133,実績!$AL$6:$AL$505,"○")&gt;0,1,0))</f>
        <v>0</v>
      </c>
      <c r="I133" s="39" t="n">
        <f aca="false">IF(I$4=0,0,IF(COUNTIFS(実績!$W$6:$W$505,I$3,実績!$AI$6:$AI$505,"&lt;="&amp;$A133,実績!$AJ$6:$AJ$505,"&gt;"&amp;$A133,実績!$AL$6:$AL$505,"○")&gt;0,1,0))</f>
        <v>0</v>
      </c>
      <c r="J133" s="39" t="n">
        <f aca="false">IF(J$4=0,0,IF(COUNTIFS(実績!$W$6:$W$505,J$3,実績!$AI$6:$AI$505,"&lt;="&amp;$A133,実績!$AJ$6:$AJ$505,"&gt;"&amp;$A133,実績!$AL$6:$AL$505,"○")&gt;0,1,0))</f>
        <v>0</v>
      </c>
      <c r="K133" s="39" t="n">
        <f aca="false">IF(K$4=0,0,IF(COUNTIFS(実績!$W$6:$W$505,K$3,実績!$AI$6:$AI$505,"&lt;="&amp;$A133,実績!$AJ$6:$AJ$505,"&gt;"&amp;$A133,実績!$AL$6:$AL$505,"○")&gt;0,1,0))</f>
        <v>0</v>
      </c>
      <c r="L133" s="39" t="n">
        <f aca="false">IF(L$4=0,0,IF(COUNTIFS(実績!$W$6:$W$505,L$3,実績!$AI$6:$AI$505,"&lt;="&amp;$A133,実績!$AJ$6:$AJ$505,"&gt;"&amp;$A133,実績!$AL$6:$AL$505,"○")&gt;0,1,0))</f>
        <v>0</v>
      </c>
      <c r="M133" s="39" t="n">
        <f aca="false">IF(M$4=0,0,IF(COUNTIFS(実績!$W$6:$W$505,M$3,実績!$AI$6:$AI$505,"&lt;="&amp;$A133,実績!$AJ$6:$AJ$505,"&gt;"&amp;$A133,実績!$AL$6:$AL$505,"○")&gt;0,1,0))</f>
        <v>0</v>
      </c>
      <c r="N133" s="39" t="n">
        <f aca="false">IF(N$4=0,0,IF(COUNTIFS(実績!$W$6:$W$505,N$3,実績!$AI$6:$AI$505,"&lt;="&amp;$A133,実績!$AJ$6:$AJ$505,"&gt;"&amp;$A133,実績!$AL$6:$AL$505,"○")&gt;0,1,0))</f>
        <v>0</v>
      </c>
      <c r="O133" s="39" t="n">
        <f aca="false">IF(O$4=0,0,IF(COUNTIFS(実績!$W$6:$W$505,O$3,実績!$AI$6:$AI$505,"&lt;="&amp;$A133,実績!$AJ$6:$AJ$505,"&gt;"&amp;$A133,実績!$AL$6:$AL$505,"○")&gt;0,1,0))</f>
        <v>0</v>
      </c>
      <c r="P133" s="39" t="n">
        <f aca="false">IF(P$4=0,0,IF(COUNTIFS(実績!$W$6:$W$505,P$3,実績!$AI$6:$AI$505,"&lt;="&amp;$A133,実績!$AJ$6:$AJ$505,"&gt;"&amp;$A133,実績!$AL$6:$AL$505,"○")&gt;0,1,0))</f>
        <v>0</v>
      </c>
      <c r="Q133" s="39" t="n">
        <f aca="false">IF(Q$4=0,0,IF(COUNTIFS(実績!$W$6:$W$505,Q$3,実績!$AI$6:$AI$505,"&lt;="&amp;$A133,実績!$AJ$6:$AJ$505,"&gt;"&amp;$A133,実績!$AL$6:$AL$505,"○")&gt;0,1,0))</f>
        <v>0</v>
      </c>
      <c r="R133" s="39" t="n">
        <f aca="false">IF(R$4=0,0,IF(COUNTIFS(実績!$W$6:$W$505,R$3,実績!$AI$6:$AI$505,"&lt;="&amp;$A133,実績!$AJ$6:$AJ$505,"&gt;"&amp;$A133,実績!$AL$6:$AL$505,"○")&gt;0,1,0))</f>
        <v>0</v>
      </c>
      <c r="S133" s="39" t="n">
        <f aca="false">IF(S$4=0,0,IF(COUNTIFS(実績!$W$6:$W$505,S$3,実績!$AI$6:$AI$505,"&lt;="&amp;$A133,実績!$AJ$6:$AJ$505,"&gt;"&amp;$A133,実績!$AL$6:$AL$505,"○")&gt;0,1,0))</f>
        <v>0</v>
      </c>
      <c r="T133" s="39" t="n">
        <f aca="false">IF(T$4=0,0,IF(COUNTIFS(実績!$W$6:$W$505,T$3,実績!$AI$6:$AI$505,"&lt;="&amp;$A133,実績!$AJ$6:$AJ$505,"&gt;"&amp;$A133,実績!$AL$6:$AL$505,"○")&gt;0,1,0))</f>
        <v>0</v>
      </c>
      <c r="U133" s="39" t="n">
        <f aca="false">IF(U$4=0,0,IF(COUNTIFS(実績!$W$6:$W$505,U$3,実績!$AI$6:$AI$505,"&lt;="&amp;$A133,実績!$AJ$6:$AJ$505,"&gt;"&amp;$A133,実績!$AL$6:$AL$505,"○")&gt;0,1,0))</f>
        <v>0</v>
      </c>
      <c r="V133" s="39" t="n">
        <f aca="false">IF(V$4=0,0,IF(COUNTIFS(実績!$W$6:$W$505,V$3,実績!$AI$6:$AI$505,"&lt;="&amp;$A133,実績!$AJ$6:$AJ$505,"&gt;"&amp;$A133,実績!$AL$6:$AL$505,"○")&gt;0,1,0))</f>
        <v>0</v>
      </c>
      <c r="W133" s="39" t="n">
        <f aca="false">IF(W$4=0,0,IF(COUNTIFS(実績!$W$6:$W$505,W$3,実績!$AI$6:$AI$505,"&lt;="&amp;$A133,実績!$AJ$6:$AJ$505,"&gt;"&amp;$A133,実績!$AL$6:$AL$505,"○")&gt;0,1,0))</f>
        <v>0</v>
      </c>
      <c r="X133" s="39" t="n">
        <f aca="false">IF(X$4=0,0,IF(COUNTIFS(実績!$W$6:$W$505,X$3,実績!$AI$6:$AI$505,"&lt;="&amp;$A133,実績!$AJ$6:$AJ$505,"&gt;"&amp;$A133,実績!$AL$6:$AL$505,"○")&gt;0,1,0))</f>
        <v>0</v>
      </c>
      <c r="Y133" s="39" t="n">
        <f aca="false">IF(Y$4=0,0,IF(COUNTIFS(実績!$W$6:$W$505,Y$3,実績!$AI$6:$AI$505,"&lt;="&amp;$A133,実績!$AJ$6:$AJ$505,"&gt;"&amp;$A133,実績!$AL$6:$AL$505,"○")&gt;0,1,0))</f>
        <v>0</v>
      </c>
      <c r="Z133" s="39" t="n">
        <f aca="false">IF(Z$4=0,0,IF(COUNTIFS(実績!$W$6:$W$505,Z$3,実績!$AI$6:$AI$505,"&lt;="&amp;$A133,実績!$AJ$6:$AJ$505,"&gt;"&amp;$A133,実績!$AL$6:$AL$505,"○")&gt;0,1,0))</f>
        <v>0</v>
      </c>
      <c r="AA133" s="39" t="n">
        <f aca="false">IF(AA$4=0,0,IF(COUNTIFS(実績!$W$6:$W$505,AA$3,実績!$AI$6:$AI$505,"&lt;="&amp;$A133,実績!$AJ$6:$AJ$505,"&gt;"&amp;$A133,実績!$AL$6:$AL$505,"○")&gt;0,1,0))</f>
        <v>0</v>
      </c>
      <c r="AB133" s="39" t="n">
        <f aca="false">IF(AB$4=0,0,IF(COUNTIFS(実績!$W$6:$W$505,AB$3,実績!$AI$6:$AI$505,"&lt;="&amp;$A133,実績!$AJ$6:$AJ$505,"&gt;"&amp;$A133,実績!$AL$6:$AL$505,"○")&gt;0,1,0))</f>
        <v>0</v>
      </c>
      <c r="AC133" s="39" t="n">
        <f aca="false">IF(AC$4=0,0,IF(COUNTIFS(実績!$W$6:$W$505,AC$3,実績!$AI$6:$AI$505,"&lt;="&amp;$A133,実績!$AJ$6:$AJ$505,"&gt;"&amp;$A133,実績!$AL$6:$AL$505,"○")&gt;0,1,0))</f>
        <v>0</v>
      </c>
      <c r="AD133" s="39" t="n">
        <f aca="false">IF(AD$4=0,0,IF(COUNTIFS(実績!$W$6:$W$505,AD$3,実績!$AI$6:$AI$505,"&lt;="&amp;$A133,実績!$AJ$6:$AJ$505,"&gt;"&amp;$A133,実績!$AL$6:$AL$505,"○")&gt;0,1,0))</f>
        <v>0</v>
      </c>
      <c r="AE133" s="39" t="n">
        <f aca="false">IF(AE$4=0,0,IF(COUNTIFS(実績!$W$6:$W$505,AE$3,実績!$AI$6:$AI$505,"&lt;="&amp;$A133,実績!$AJ$6:$AJ$505,"&gt;"&amp;$A133,実績!$AL$6:$AL$505,"○")&gt;0,1,0))</f>
        <v>0</v>
      </c>
      <c r="AF133" s="39" t="n">
        <f aca="false">IF(AF$4=0,0,IF(COUNTIFS(実績!$W$6:$W$505,AF$3,実績!$AI$6:$AI$505,"&lt;="&amp;$A133,実績!$AJ$6:$AJ$505,"&gt;"&amp;$A133,実績!$AL$6:$AL$505,"○")&gt;0,1,0))</f>
        <v>0</v>
      </c>
      <c r="AG133" s="39" t="n">
        <f aca="false">IF(AG$4=0,0,IF(COUNTIFS(実績!$W$6:$W$505,AG$3,実績!$AI$6:$AI$505,"&lt;="&amp;$A133,実績!$AJ$6:$AJ$505,"&gt;"&amp;$A133,実績!$AL$6:$AL$505,"○")&gt;0,1,0))</f>
        <v>0</v>
      </c>
      <c r="AH133" s="39" t="n">
        <f aca="false">IF(AH$4=0,0,IF(COUNTIFS(実績!$W$6:$W$505,AH$3,実績!$AI$6:$AI$505,"&lt;="&amp;$A133,実績!$AJ$6:$AJ$505,"&gt;"&amp;$A133,実績!$AL$6:$AL$505,"○")&gt;0,1,0))</f>
        <v>0</v>
      </c>
      <c r="AI133" s="39" t="n">
        <f aca="false">IF(AI$4=0,0,IF(COUNTIFS(実績!$W$6:$W$505,AI$3,実績!$AI$6:$AI$505,"&lt;="&amp;$A133,実績!$AJ$6:$AJ$505,"&gt;"&amp;$A133,実績!$AL$6:$AL$505,"○")&gt;0,1,0))</f>
        <v>0</v>
      </c>
      <c r="AJ133" s="39" t="n">
        <f aca="false">IF(AJ$4=0,0,IF(COUNTIFS(実績!$W$6:$W$505,AJ$3,実績!$AI$6:$AI$505,"&lt;="&amp;$A133,実績!$AJ$6:$AJ$505,"&gt;"&amp;$A133,実績!$AL$6:$AL$505,"○")&gt;0,1,0))</f>
        <v>0</v>
      </c>
      <c r="AK133" s="39" t="n">
        <f aca="false">IF(AK$4=0,0,IF(COUNTIFS(実績!$W$6:$W$505,AK$3,実績!$AI$6:$AI$505,"&lt;="&amp;$A133,実績!$AJ$6:$AJ$505,"&gt;"&amp;$A133,実績!$AL$6:$AL$505,"○")&gt;0,1,0))</f>
        <v>0</v>
      </c>
      <c r="AL133" s="39" t="n">
        <f aca="false">IF(AL$4=0,0,IF(COUNTIFS(実績!$W$6:$W$505,AL$3,実績!$AI$6:$AI$505,"&lt;="&amp;$A133,実績!$AJ$6:$AJ$505,"&gt;"&amp;$A133,実績!$AL$6:$AL$505,"○")&gt;0,1,0))</f>
        <v>0</v>
      </c>
      <c r="AM133" s="39" t="n">
        <f aca="false">IF(AM$4=0,0,IF(COUNTIFS(実績!$W$6:$W$505,AM$3,実績!$AI$6:$AI$505,"&lt;="&amp;$A133,実績!$AJ$6:$AJ$505,"&gt;"&amp;$A133,実績!$AL$6:$AL$505,"○")&gt;0,1,0))</f>
        <v>0</v>
      </c>
      <c r="AN133" s="39" t="n">
        <f aca="false">IF(AN$4=0,0,IF(COUNTIFS(実績!$W$6:$W$505,AN$3,実績!$AI$6:$AI$505,"&lt;="&amp;$A133,実績!$AJ$6:$AJ$505,"&gt;"&amp;$A133,実績!$AL$6:$AL$505,"○")&gt;0,1,0))</f>
        <v>0</v>
      </c>
      <c r="AO133" s="39" t="n">
        <f aca="false">IF(AO$4=0,0,IF(COUNTIFS(実績!$W$6:$W$505,AO$3,実績!$AI$6:$AI$505,"&lt;="&amp;$A133,実績!$AJ$6:$AJ$505,"&gt;"&amp;$A133,実績!$AL$6:$AL$505,"○")&gt;0,1,0))</f>
        <v>0</v>
      </c>
      <c r="AP133" s="39" t="n">
        <f aca="false">IF(AP$4=0,0,IF(COUNTIFS(実績!$W$6:$W$505,AP$3,実績!$AI$6:$AI$505,"&lt;="&amp;$A133,実績!$AJ$6:$AJ$505,"&gt;"&amp;$A133,実績!$AL$6:$AL$505,"○")&gt;0,1,0))</f>
        <v>0</v>
      </c>
      <c r="AQ133" s="39" t="n">
        <f aca="false">IF(AQ$4=0,0,IF(COUNTIFS(実績!$W$6:$W$505,AQ$3,実績!$AI$6:$AI$505,"&lt;="&amp;$A133,実績!$AJ$6:$AJ$505,"&gt;"&amp;$A133,実績!$AL$6:$AL$505,"○")&gt;0,1,0))</f>
        <v>0</v>
      </c>
      <c r="AR133" s="39" t="n">
        <f aca="false">IF(AR$4=0,0,IF(COUNTIFS(実績!$W$6:$W$505,AR$3,実績!$AI$6:$AI$505,"&lt;="&amp;$A133,実績!$AJ$6:$AJ$505,"&gt;"&amp;$A133,実績!$AL$6:$AL$505,"○")&gt;0,1,0))</f>
        <v>0</v>
      </c>
      <c r="AS133" s="39" t="n">
        <f aca="false">IF(AS$4=0,0,IF(COUNTIFS(実績!$W$6:$W$505,AS$3,実績!$AI$6:$AI$505,"&lt;="&amp;$A133,実績!$AJ$6:$AJ$505,"&gt;"&amp;$A133,実績!$AL$6:$AL$505,"○")&gt;0,1,0))</f>
        <v>0</v>
      </c>
      <c r="AT133" s="39" t="n">
        <f aca="false">IF(AT$4=0,0,IF(COUNTIFS(実績!$W$6:$W$505,AT$3,実績!$AI$6:$AI$505,"&lt;="&amp;$A133,実績!$AJ$6:$AJ$505,"&gt;"&amp;$A133,実績!$AL$6:$AL$505,"○")&gt;0,1,0))</f>
        <v>0</v>
      </c>
      <c r="AU133" s="39" t="n">
        <f aca="false">IF(AU$4=0,0,IF(COUNTIFS(実績!$W$6:$W$505,AU$3,実績!$AI$6:$AI$505,"&lt;="&amp;$A133,実績!$AJ$6:$AJ$505,"&gt;"&amp;$A133,実績!$AL$6:$AL$505,"○")&gt;0,1,0))</f>
        <v>0</v>
      </c>
      <c r="AV133" s="39" t="n">
        <f aca="false">IF(AV$4=0,0,IF(COUNTIFS(実績!$W$6:$W$505,AV$3,実績!$AI$6:$AI$505,"&lt;="&amp;$A133,実績!$AJ$6:$AJ$505,"&gt;"&amp;$A133,実績!$AL$6:$AL$505,"○")&gt;0,1,0))</f>
        <v>0</v>
      </c>
      <c r="AW133" s="39" t="n">
        <f aca="false">IF(AW$4=0,0,IF(COUNTIFS(実績!$W$6:$W$505,AW$3,実績!$AI$6:$AI$505,"&lt;="&amp;$A133,実績!$AJ$6:$AJ$505,"&gt;"&amp;$A133,実績!$AL$6:$AL$505,"○")&gt;0,1,0))</f>
        <v>0</v>
      </c>
      <c r="AX133" s="39" t="n">
        <f aca="false">IF(AX$4=0,0,IF(COUNTIFS(実績!$W$6:$W$505,AX$3,実績!$AI$6:$AI$505,"&lt;="&amp;$A133,実績!$AJ$6:$AJ$505,"&gt;"&amp;$A133,実績!$AL$6:$AL$505,"○")&gt;0,1,0))</f>
        <v>0</v>
      </c>
      <c r="AY133" s="39" t="n">
        <f aca="false">IF(AY$4=0,0,IF(COUNTIFS(実績!$W$6:$W$505,AY$3,実績!$AI$6:$AI$505,"&lt;="&amp;$A133,実績!$AJ$6:$AJ$505,"&gt;"&amp;$A133,実績!$AL$6:$AL$505,"○")&gt;0,1,0))</f>
        <v>0</v>
      </c>
      <c r="AZ133" s="39" t="n">
        <f aca="false">IF(AZ$4=0,0,IF(COUNTIFS(実績!$W$6:$W$505,AZ$3,実績!$AI$6:$AI$505,"&lt;="&amp;$A133,実績!$AJ$6:$AJ$505,"&gt;"&amp;$A133,実績!$AL$6:$AL$505,"○")&gt;0,1,0))</f>
        <v>0</v>
      </c>
      <c r="BA133" s="39" t="n">
        <f aca="false">IF(BA$4=0,0,IF(COUNTIFS(実績!$W$6:$W$505,BA$3,実績!$AI$6:$AI$505,"&lt;="&amp;$A133,実績!$AJ$6:$AJ$505,"&gt;"&amp;$A133,実績!$AL$6:$AL$505,"○")&gt;0,1,0))</f>
        <v>0</v>
      </c>
      <c r="BB133" s="39" t="n">
        <f aca="false">IF(BB$4=0,0,IF(COUNTIFS(実績!$W$6:$W$505,BB$3,実績!$AI$6:$AI$505,"&lt;="&amp;$A133,実績!$AJ$6:$AJ$505,"&gt;"&amp;$A133,実績!$AL$6:$AL$505,"○")&gt;0,1,0))</f>
        <v>0</v>
      </c>
      <c r="BC133" s="39" t="n">
        <f aca="false">IF(BC$4=0,0,IF(COUNTIFS(実績!$W$6:$W$505,BC$3,実績!$AI$6:$AI$505,"&lt;="&amp;$A133,実績!$AJ$6:$AJ$505,"&gt;"&amp;$A133,実績!$AL$6:$AL$505,"○")&gt;0,1,0))</f>
        <v>0</v>
      </c>
      <c r="BD133" s="39" t="n">
        <f aca="false">IF(BD$4=0,0,IF(COUNTIFS(実績!$W$6:$W$505,BD$3,実績!$AI$6:$AI$505,"&lt;="&amp;$A133,実績!$AJ$6:$AJ$505,"&gt;"&amp;$A133,実績!$AL$6:$AL$505,"○")&gt;0,1,0))</f>
        <v>0</v>
      </c>
      <c r="BE133" s="39" t="n">
        <f aca="false">IF(BE$4=0,0,IF(COUNTIFS(実績!$W$6:$W$505,BE$3,実績!$AI$6:$AI$505,"&lt;="&amp;$A133,実績!$AJ$6:$AJ$505,"&gt;"&amp;$A133,実績!$AL$6:$AL$505,"○")&gt;0,1,0))</f>
        <v>0</v>
      </c>
      <c r="BF133" s="39" t="n">
        <f aca="false">IF(BF$4=0,0,IF(COUNTIFS(実績!$W$6:$W$505,BF$3,実績!$AI$6:$AI$505,"&lt;="&amp;$A133,実績!$AJ$6:$AJ$505,"&gt;"&amp;$A133,実績!$AL$6:$AL$505,"○")&gt;0,1,0))</f>
        <v>0</v>
      </c>
      <c r="BG133" s="39" t="n">
        <f aca="false">IF(BG$4=0,0,IF(COUNTIFS(実績!$W$6:$W$505,BG$3,実績!$AI$6:$AI$505,"&lt;="&amp;$A133,実績!$AJ$6:$AJ$505,"&gt;"&amp;$A133,実績!$AL$6:$AL$505,"○")&gt;0,1,0))</f>
        <v>0</v>
      </c>
      <c r="BH133" s="39" t="n">
        <f aca="false">IF(BH$4=0,0,IF(COUNTIFS(実績!$W$6:$W$505,BH$3,実績!$AI$6:$AI$505,"&lt;="&amp;$A133,実績!$AJ$6:$AJ$505,"&gt;"&amp;$A133,実績!$AL$6:$AL$505,"○")&gt;0,1,0))</f>
        <v>0</v>
      </c>
      <c r="BI133" s="39" t="n">
        <f aca="false">IF(BI$4=0,0,IF(COUNTIFS(実績!$W$6:$W$505,BI$3,実績!$AI$6:$AI$505,"&lt;="&amp;$A133,実績!$AJ$6:$AJ$505,"&gt;"&amp;$A133,実績!$AL$6:$AL$505,"○")&gt;0,1,0))</f>
        <v>0</v>
      </c>
      <c r="BJ133" s="39" t="n">
        <f aca="false">IF(BJ$4=0,0,IF(COUNTIFS(実績!$W$6:$W$505,BJ$3,実績!$AI$6:$AI$505,"&lt;="&amp;$A133,実績!$AJ$6:$AJ$505,"&gt;"&amp;$A133,実績!$AL$6:$AL$505,"○")&gt;0,1,0))</f>
        <v>0</v>
      </c>
      <c r="BK133" s="39" t="n">
        <f aca="false">IF(BK$4=0,0,IF(COUNTIFS(実績!$W$6:$W$505,BK$3,実績!$AI$6:$AI$505,"&lt;="&amp;$A133,実績!$AJ$6:$AJ$505,"&gt;"&amp;$A133,実績!$AL$6:$AL$505,"○")&gt;0,1,0))</f>
        <v>0</v>
      </c>
      <c r="BL133" s="39" t="n">
        <f aca="false">IF(BL$4=0,0,IF(COUNTIFS(実績!$W$6:$W$505,BL$3,実績!$AI$6:$AI$505,"&lt;="&amp;$A133,実績!$AJ$6:$AJ$505,"&gt;"&amp;$A133,実績!$AL$6:$AL$505,"○")&gt;0,1,0))</f>
        <v>0</v>
      </c>
      <c r="BM133" s="39" t="n">
        <f aca="false">IF(BM$4=0,0,IF(COUNTIFS(実績!$W$6:$W$505,BM$3,実績!$AI$6:$AI$505,"&lt;="&amp;$A133,実績!$AJ$6:$AJ$505,"&gt;"&amp;$A133,実績!$AL$6:$AL$505,"○")&gt;0,1,0))</f>
        <v>0</v>
      </c>
      <c r="BN133" s="39" t="n">
        <f aca="false">IF(BN$4=0,0,IF(COUNTIFS(実績!$W$6:$W$505,BN$3,実績!$AI$6:$AI$505,"&lt;="&amp;$A133,実績!$AJ$6:$AJ$505,"&gt;"&amp;$A133,実績!$AL$6:$AL$505,"○")&gt;0,1,0))</f>
        <v>0</v>
      </c>
      <c r="BO133" s="39" t="n">
        <f aca="false">IF(BO$4=0,0,IF(COUNTIFS(実績!$W$6:$W$505,BO$3,実績!$AI$6:$AI$505,"&lt;="&amp;$A133,実績!$AJ$6:$AJ$505,"&gt;"&amp;$A133,実績!$AL$6:$AL$505,"○")&gt;0,1,0))</f>
        <v>0</v>
      </c>
      <c r="BP133" s="39" t="n">
        <f aca="false">IF(BP$4=0,0,IF(COUNTIFS(実績!$W$6:$W$505,BP$3,実績!$AI$6:$AI$505,"&lt;="&amp;$A133,実績!$AJ$6:$AJ$505,"&gt;"&amp;$A133,実績!$AL$6:$AL$505,"○")&gt;0,1,0))</f>
        <v>0</v>
      </c>
      <c r="BQ133" s="39" t="n">
        <f aca="false">IF(BQ$4=0,0,IF(COUNTIFS(実績!$W$6:$W$505,BQ$3,実績!$AI$6:$AI$505,"&lt;="&amp;$A133,実績!$AJ$6:$AJ$505,"&gt;"&amp;$A133,実績!$AL$6:$AL$505,"○")&gt;0,1,0))</f>
        <v>0</v>
      </c>
      <c r="BR133" s="39" t="n">
        <f aca="false">IF(BR$4=0,0,IF(COUNTIFS(実績!$W$6:$W$505,BR$3,実績!$AI$6:$AI$505,"&lt;="&amp;$A133,実績!$AJ$6:$AJ$505,"&gt;"&amp;$A133,実績!$AL$6:$AL$505,"○")&gt;0,1,0))</f>
        <v>0</v>
      </c>
      <c r="BS133" s="39" t="n">
        <f aca="false">IF(BS$4=0,0,IF(COUNTIFS(実績!$W$6:$W$505,BS$3,実績!$AI$6:$AI$505,"&lt;="&amp;$A133,実績!$AJ$6:$AJ$505,"&gt;"&amp;$A133,実績!$AL$6:$AL$505,"○")&gt;0,1,0))</f>
        <v>0</v>
      </c>
      <c r="BT133" s="39" t="n">
        <f aca="false">IF(BT$4=0,0,IF(COUNTIFS(実績!$W$6:$W$505,BT$3,実績!$AI$6:$AI$505,"&lt;="&amp;$A133,実績!$AJ$6:$AJ$505,"&gt;"&amp;$A133,実績!$AL$6:$AL$505,"○")&gt;0,1,0))</f>
        <v>0</v>
      </c>
      <c r="BU133" s="39" t="n">
        <f aca="false">IF(BU$4=0,0,IF(COUNTIFS(実績!$W$6:$W$505,BU$3,実績!$AI$6:$AI$505,"&lt;="&amp;$A133,実績!$AJ$6:$AJ$505,"&gt;"&amp;$A133,実績!$AL$6:$AL$505,"○")&gt;0,1,0))</f>
        <v>0</v>
      </c>
      <c r="BV133" s="39" t="n">
        <f aca="false">IF(BV$4=0,0,IF(COUNTIFS(実績!$W$6:$W$505,BV$3,実績!$AI$6:$AI$505,"&lt;="&amp;$A133,実績!$AJ$6:$AJ$505,"&gt;"&amp;$A133,実績!$AL$6:$AL$505,"○")&gt;0,1,0))</f>
        <v>0</v>
      </c>
      <c r="BW133" s="39" t="n">
        <f aca="false">IF(BW$4=0,0,IF(COUNTIFS(実績!$W$6:$W$505,BW$3,実績!$AI$6:$AI$505,"&lt;="&amp;$A133,実績!$AJ$6:$AJ$505,"&gt;"&amp;$A133,実績!$AL$6:$AL$505,"○")&gt;0,1,0))</f>
        <v>0</v>
      </c>
      <c r="BX133" s="39" t="n">
        <f aca="false">IF(BX$4=0,0,IF(COUNTIFS(実績!$W$6:$W$505,BX$3,実績!$AI$6:$AI$505,"&lt;="&amp;$A133,実績!$AJ$6:$AJ$505,"&gt;"&amp;$A133,実績!$AL$6:$AL$505,"○")&gt;0,1,0))</f>
        <v>0</v>
      </c>
      <c r="BY133" s="39" t="n">
        <f aca="false">IF(BY$4=0,0,IF(COUNTIFS(実績!$W$6:$W$505,BY$3,実績!$AI$6:$AI$505,"&lt;="&amp;$A133,実績!$AJ$6:$AJ$505,"&gt;"&amp;$A133,実績!$AL$6:$AL$505,"○")&gt;0,1,0))</f>
        <v>0</v>
      </c>
      <c r="BZ133" s="39" t="n">
        <f aca="false">IF(BZ$4=0,0,IF(COUNTIFS(実績!$W$6:$W$505,BZ$3,実績!$AI$6:$AI$505,"&lt;="&amp;$A133,実績!$AJ$6:$AJ$505,"&gt;"&amp;$A133,実績!$AL$6:$AL$505,"○")&gt;0,1,0))</f>
        <v>0</v>
      </c>
      <c r="CA133" s="39" t="n">
        <f aca="false">IF(CA$4=0,0,IF(COUNTIFS(実績!$W$6:$W$505,CA$3,実績!$AI$6:$AI$505,"&lt;="&amp;$A133,実績!$AJ$6:$AJ$505,"&gt;"&amp;$A133,実績!$AL$6:$AL$505,"○")&gt;0,1,0))</f>
        <v>0</v>
      </c>
      <c r="CB133" s="39" t="n">
        <f aca="false">IF(CB$4=0,0,IF(COUNTIFS(実績!$W$6:$W$505,CB$3,実績!$AI$6:$AI$505,"&lt;="&amp;$A133,実績!$AJ$6:$AJ$505,"&gt;"&amp;$A133,実績!$AL$6:$AL$505,"○")&gt;0,1,0))</f>
        <v>0</v>
      </c>
      <c r="CC133" s="39" t="n">
        <f aca="false">IF(CC$4=0,0,IF(COUNTIFS(実績!$W$6:$W$505,CC$3,実績!$AI$6:$AI$505,"&lt;="&amp;$A133,実績!$AJ$6:$AJ$505,"&gt;"&amp;$A133,実績!$AL$6:$AL$505,"○")&gt;0,1,0))</f>
        <v>0</v>
      </c>
      <c r="CD133" s="39" t="n">
        <f aca="false">IF(CD$4=0,0,IF(COUNTIFS(実績!$W$6:$W$505,CD$3,実績!$AI$6:$AI$505,"&lt;="&amp;$A133,実績!$AJ$6:$AJ$505,"&gt;"&amp;$A133,実績!$AL$6:$AL$505,"○")&gt;0,1,0))</f>
        <v>0</v>
      </c>
      <c r="CE133" s="39" t="n">
        <f aca="false">IF(CE$4=0,0,IF(COUNTIFS(実績!$W$6:$W$505,CE$3,実績!$AI$6:$AI$505,"&lt;="&amp;$A133,実績!$AJ$6:$AJ$505,"&gt;"&amp;$A133,実績!$AL$6:$AL$505,"○")&gt;0,1,0))</f>
        <v>0</v>
      </c>
      <c r="CF133" s="39" t="n">
        <f aca="false">IF(CF$4=0,0,IF(COUNTIFS(実績!$W$6:$W$505,CF$3,実績!$AI$6:$AI$505,"&lt;="&amp;$A133,実績!$AJ$6:$AJ$505,"&gt;"&amp;$A133,実績!$AL$6:$AL$505,"○")&gt;0,1,0))</f>
        <v>0</v>
      </c>
      <c r="CG133" s="39" t="n">
        <f aca="false">IF(CG$4=0,0,IF(COUNTIFS(実績!$W$6:$W$505,CG$3,実績!$AI$6:$AI$505,"&lt;="&amp;$A133,実績!$AJ$6:$AJ$505,"&gt;"&amp;$A133,実績!$AL$6:$AL$505,"○")&gt;0,1,0))</f>
        <v>0</v>
      </c>
      <c r="CH133" s="39" t="n">
        <f aca="false">IF(CH$4=0,0,IF(COUNTIFS(実績!$W$6:$W$505,CH$3,実績!$AI$6:$AI$505,"&lt;="&amp;$A133,実績!$AJ$6:$AJ$505,"&gt;"&amp;$A133,実績!$AL$6:$AL$505,"○")&gt;0,1,0))</f>
        <v>0</v>
      </c>
      <c r="CI133" s="39" t="n">
        <f aca="false">IF(CI$4=0,0,IF(COUNTIFS(実績!$W$6:$W$505,CI$3,実績!$AI$6:$AI$505,"&lt;="&amp;$A133,実績!$AJ$6:$AJ$505,"&gt;"&amp;$A133,実績!$AL$6:$AL$505,"○")&gt;0,1,0))</f>
        <v>0</v>
      </c>
      <c r="CJ133" s="39" t="n">
        <f aca="false">IF(CJ$4=0,0,IF(COUNTIFS(実績!$W$6:$W$505,CJ$3,実績!$AI$6:$AI$505,"&lt;="&amp;$A133,実績!$AJ$6:$AJ$505,"&gt;"&amp;$A133,実績!$AL$6:$AL$505,"○")&gt;0,1,0))</f>
        <v>0</v>
      </c>
      <c r="CK133" s="39" t="n">
        <f aca="false">IF(CK$4=0,0,IF(COUNTIFS(実績!$W$6:$W$505,CK$3,実績!$AI$6:$AI$505,"&lt;="&amp;$A133,実績!$AJ$6:$AJ$505,"&gt;"&amp;$A133,実績!$AL$6:$AL$505,"○")&gt;0,1,0))</f>
        <v>0</v>
      </c>
      <c r="CL133" s="39" t="n">
        <f aca="false">IF(CL$4=0,0,IF(COUNTIFS(実績!$W$6:$W$505,CL$3,実績!$AI$6:$AI$505,"&lt;="&amp;$A133,実績!$AJ$6:$AJ$505,"&gt;"&amp;$A133,実績!$AL$6:$AL$505,"○")&gt;0,1,0))</f>
        <v>0</v>
      </c>
      <c r="CM133" s="39" t="n">
        <f aca="false">IF(CM$4=0,0,IF(COUNTIFS(実績!$W$6:$W$505,CM$3,実績!$AI$6:$AI$505,"&lt;="&amp;$A133,実績!$AJ$6:$AJ$505,"&gt;"&amp;$A133,実績!$AL$6:$AL$505,"○")&gt;0,1,0))</f>
        <v>0</v>
      </c>
      <c r="CN133" s="39" t="n">
        <f aca="false">IF(CN$4=0,0,IF(COUNTIFS(実績!$W$6:$W$505,CN$3,実績!$AI$6:$AI$505,"&lt;="&amp;$A133,実績!$AJ$6:$AJ$505,"&gt;"&amp;$A133,実績!$AL$6:$AL$505,"○")&gt;0,1,0))</f>
        <v>0</v>
      </c>
      <c r="CO133" s="39" t="n">
        <f aca="false">IF(CO$4=0,0,IF(COUNTIFS(実績!$W$6:$W$505,CO$3,実績!$AI$6:$AI$505,"&lt;="&amp;$A133,実績!$AJ$6:$AJ$505,"&gt;"&amp;$A133,実績!$AL$6:$AL$505,"○")&gt;0,1,0))</f>
        <v>0</v>
      </c>
      <c r="CP133" s="39" t="n">
        <f aca="false">IF(CP$4=0,0,IF(COUNTIFS(実績!$W$6:$W$505,CP$3,実績!$AI$6:$AI$505,"&lt;="&amp;$A133,実績!$AJ$6:$AJ$505,"&gt;"&amp;$A133,実績!$AL$6:$AL$505,"○")&gt;0,1,0))</f>
        <v>0</v>
      </c>
      <c r="CQ133" s="39" t="n">
        <f aca="false">IF(CQ$4=0,0,IF(COUNTIFS(実績!$W$6:$W$505,CQ$3,実績!$AI$6:$AI$505,"&lt;="&amp;$A133,実績!$AJ$6:$AJ$505,"&gt;"&amp;$A133,実績!$AL$6:$AL$505,"○")&gt;0,1,0))</f>
        <v>0</v>
      </c>
      <c r="CR133" s="39" t="n">
        <f aca="false">IF(CR$4=0,0,IF(COUNTIFS(実績!$W$6:$W$505,CR$3,実績!$AI$6:$AI$505,"&lt;="&amp;$A133,実績!$AJ$6:$AJ$505,"&gt;"&amp;$A133,実績!$AL$6:$AL$505,"○")&gt;0,1,0))</f>
        <v>0</v>
      </c>
      <c r="CS133" s="39" t="n">
        <f aca="false">IF(CS$4=0,0,IF(COUNTIFS(実績!$W$6:$W$505,CS$3,実績!$AI$6:$AI$505,"&lt;="&amp;$A133,実績!$AJ$6:$AJ$505,"&gt;"&amp;$A133,実績!$AL$6:$AL$505,"○")&gt;0,1,0))</f>
        <v>0</v>
      </c>
      <c r="CT133" s="39" t="n">
        <f aca="false">IF(CT$4=0,0,IF(COUNTIFS(実績!$W$6:$W$505,CT$3,実績!$AI$6:$AI$505,"&lt;="&amp;$A133,実績!$AJ$6:$AJ$505,"&gt;"&amp;$A133,実績!$AL$6:$AL$505,"○")&gt;0,1,0))</f>
        <v>0</v>
      </c>
      <c r="CU133" s="39" t="n">
        <f aca="false">IF(CU$4=0,0,IF(COUNTIFS(実績!$W$6:$W$505,CU$3,実績!$AI$6:$AI$505,"&lt;="&amp;$A133,実績!$AJ$6:$AJ$505,"&gt;"&amp;$A133,実績!$AL$6:$AL$505,"○")&gt;0,1,0))</f>
        <v>0</v>
      </c>
      <c r="CV133" s="39" t="n">
        <f aca="false">IF(CV$4=0,0,IF(COUNTIFS(実績!$W$6:$W$505,CV$3,実績!$AI$6:$AI$505,"&lt;="&amp;$A133,実績!$AJ$6:$AJ$505,"&gt;"&amp;$A133,実績!$AL$6:$AL$505,"○")&gt;0,1,0))</f>
        <v>0</v>
      </c>
      <c r="CW133" s="39" t="n">
        <f aca="false">IF(CW$4=0,0,IF(COUNTIFS(実績!$W$6:$W$505,CW$3,実績!$AI$6:$AI$505,"&lt;="&amp;$A133,実績!$AJ$6:$AJ$505,"&gt;"&amp;$A133,実績!$AL$6:$AL$505,"○")&gt;0,1,0))</f>
        <v>0</v>
      </c>
      <c r="CX133" s="39" t="n">
        <f aca="false">IF(CX$4=0,0,IF(COUNTIFS(実績!$W$6:$W$505,CX$3,実績!$AI$6:$AI$505,"&lt;="&amp;$A133,実績!$AJ$6:$AJ$505,"&gt;"&amp;$A133,実績!$AL$6:$AL$505,"○")&gt;0,1,0))</f>
        <v>0</v>
      </c>
      <c r="CY133" s="39" t="n">
        <f aca="false">IF(CY$4=0,0,IF(COUNTIFS(実績!$W$6:$W$505,CY$3,実績!$AI$6:$AI$505,"&lt;="&amp;$A133,実績!$AJ$6:$AJ$505,"&gt;"&amp;$A133,実績!$AL$6:$AL$505,"○")&gt;0,1,0))</f>
        <v>0</v>
      </c>
      <c r="CZ133" s="39" t="n">
        <f aca="false">IF(CZ$4=0,0,IF(COUNTIFS(実績!$W$6:$W$505,CZ$3,実績!$AI$6:$AI$505,"&lt;="&amp;$A133,実績!$AJ$6:$AJ$505,"&gt;"&amp;$A133,実績!$AL$6:$AL$505,"○")&gt;0,1,0))</f>
        <v>0</v>
      </c>
      <c r="DA133" s="39" t="n">
        <f aca="false">IF(DA$4=0,0,IF(COUNTIFS(実績!$W$6:$W$505,DA$3,実績!$AI$6:$AI$505,"&lt;="&amp;$A133,実績!$AJ$6:$AJ$505,"&gt;"&amp;$A133,実績!$AL$6:$AL$505,"○")&gt;0,1,0))</f>
        <v>0</v>
      </c>
      <c r="DB133" s="39" t="n">
        <f aca="false">IF(DB$4=0,0,IF(COUNTIFS(実績!$W$6:$W$505,DB$3,実績!$AI$6:$AI$505,"&lt;="&amp;$A133,実績!$AJ$6:$AJ$505,"&gt;"&amp;$A133,実績!$AL$6:$AL$505,"○")&gt;0,1,0))</f>
        <v>0</v>
      </c>
      <c r="DC133" s="39" t="n">
        <f aca="false">IF(DC$4=0,0,IF(COUNTIFS(実績!$W$6:$W$505,DC$3,実績!$AI$6:$AI$505,"&lt;="&amp;$A133,実績!$AJ$6:$AJ$505,"&gt;"&amp;$A133,実績!$AL$6:$AL$505,"○")&gt;0,1,0))</f>
        <v>0</v>
      </c>
      <c r="DD133" s="39" t="n">
        <f aca="false">IF(DD$4=0,0,IF(COUNTIFS(実績!$W$6:$W$505,DD$3,実績!$AI$6:$AI$505,"&lt;="&amp;$A133,実績!$AJ$6:$AJ$505,"&gt;"&amp;$A133,実績!$AL$6:$AL$505,"○")&gt;0,1,0))</f>
        <v>0</v>
      </c>
      <c r="DE133" s="39" t="n">
        <f aca="false">IF(DE$4=0,0,IF(COUNTIFS(実績!$W$6:$W$505,DE$3,実績!$AI$6:$AI$505,"&lt;="&amp;$A133,実績!$AJ$6:$AJ$505,"&gt;"&amp;$A133,実績!$AL$6:$AL$505,"○")&gt;0,1,0))</f>
        <v>0</v>
      </c>
      <c r="DF133" s="39" t="n">
        <f aca="false">IF(DF$4=0,0,IF(COUNTIFS(実績!$W$6:$W$505,DF$3,実績!$AI$6:$AI$505,"&lt;="&amp;$A133,実績!$AJ$6:$AJ$505,"&gt;"&amp;$A133,実績!$AL$6:$AL$505,"○")&gt;0,1,0))</f>
        <v>0</v>
      </c>
      <c r="DG133" s="39" t="n">
        <f aca="false">IF(DG$4=0,0,IF(COUNTIFS(実績!$W$6:$W$505,DG$3,実績!$AI$6:$AI$505,"&lt;="&amp;$A133,実績!$AJ$6:$AJ$505,"&gt;"&amp;$A133,実績!$AL$6:$AL$505,"○")&gt;0,1,0))</f>
        <v>0</v>
      </c>
      <c r="DH133" s="39" t="n">
        <f aca="false">IF(DH$4=0,0,IF(COUNTIFS(実績!$W$6:$W$505,DH$3,実績!$AI$6:$AI$505,"&lt;="&amp;$A133,実績!$AJ$6:$AJ$505,"&gt;"&amp;$A133,実績!$AL$6:$AL$505,"○")&gt;0,1,0))</f>
        <v>0</v>
      </c>
      <c r="DI133" s="39" t="n">
        <f aca="false">IF(DI$4=0,0,IF(COUNTIFS(実績!$W$6:$W$505,DI$3,実績!$AI$6:$AI$505,"&lt;="&amp;$A133,実績!$AJ$6:$AJ$505,"&gt;"&amp;$A133,実績!$AL$6:$AL$505,"○")&gt;0,1,0))</f>
        <v>0</v>
      </c>
      <c r="DJ133" s="39" t="n">
        <f aca="false">IF(DJ$4=0,0,IF(COUNTIFS(実績!$W$6:$W$505,DJ$3,実績!$AI$6:$AI$505,"&lt;="&amp;$A133,実績!$AJ$6:$AJ$505,"&gt;"&amp;$A133,実績!$AL$6:$AL$505,"○")&gt;0,1,0))</f>
        <v>0</v>
      </c>
      <c r="DK133" s="39" t="n">
        <f aca="false">IF(DK$4=0,0,IF(COUNTIFS(実績!$W$6:$W$505,DK$3,実績!$AI$6:$AI$505,"&lt;="&amp;$A133,実績!$AJ$6:$AJ$505,"&gt;"&amp;$A133,実績!$AL$6:$AL$505,"○")&gt;0,1,0))</f>
        <v>0</v>
      </c>
      <c r="DL133" s="39" t="n">
        <f aca="false">IF(DL$4=0,0,IF(COUNTIFS(実績!$W$6:$W$505,DL$3,実績!$AI$6:$AI$505,"&lt;="&amp;$A133,実績!$AJ$6:$AJ$505,"&gt;"&amp;$A133,実績!$AL$6:$AL$505,"○")&gt;0,1,0))</f>
        <v>0</v>
      </c>
      <c r="DM133" s="39" t="n">
        <f aca="false">IF(DM$4=0,0,IF(COUNTIFS(実績!$W$6:$W$505,DM$3,実績!$AI$6:$AI$505,"&lt;="&amp;$A133,実績!$AJ$6:$AJ$505,"&gt;"&amp;$A133,実績!$AL$6:$AL$505,"○")&gt;0,1,0))</f>
        <v>0</v>
      </c>
      <c r="DN133" s="39" t="n">
        <f aca="false">IF(DN$4=0,0,IF(COUNTIFS(実績!$W$6:$W$505,DN$3,実績!$AI$6:$AI$505,"&lt;="&amp;$A133,実績!$AJ$6:$AJ$505,"&gt;"&amp;$A133,実績!$AL$6:$AL$505,"○")&gt;0,1,0))</f>
        <v>0</v>
      </c>
      <c r="DO133" s="39" t="n">
        <f aca="false">IF(DO$4=0,0,IF(COUNTIFS(実績!$W$6:$W$505,DO$3,実績!$AI$6:$AI$505,"&lt;="&amp;$A133,実績!$AJ$6:$AJ$505,"&gt;"&amp;$A133,実績!$AL$6:$AL$505,"○")&gt;0,1,0))</f>
        <v>0</v>
      </c>
      <c r="DP133" s="39" t="n">
        <f aca="false">IF(DP$4=0,0,IF(COUNTIFS(実績!$W$6:$W$505,DP$3,実績!$AI$6:$AI$505,"&lt;="&amp;$A133,実績!$AJ$6:$AJ$505,"&gt;"&amp;$A133,実績!$AL$6:$AL$505,"○")&gt;0,1,0))</f>
        <v>0</v>
      </c>
      <c r="DQ133" s="39" t="n">
        <f aca="false">IF(DQ$4=0,0,IF(COUNTIFS(実績!$W$6:$W$505,DQ$3,実績!$AI$6:$AI$505,"&lt;="&amp;$A133,実績!$AJ$6:$AJ$505,"&gt;"&amp;$A133,実績!$AL$6:$AL$505,"○")&gt;0,1,0))</f>
        <v>0</v>
      </c>
      <c r="DR133" s="39" t="n">
        <f aca="false">IF(DR$4=0,0,IF(COUNTIFS(実績!$W$6:$W$505,DR$3,実績!$AI$6:$AI$505,"&lt;="&amp;$A133,実績!$AJ$6:$AJ$505,"&gt;"&amp;$A133,実績!$AL$6:$AL$505,"○")&gt;0,1,0))</f>
        <v>0</v>
      </c>
      <c r="DS133" s="39" t="n">
        <f aca="false">SUM(C133:DR133)</f>
        <v>0</v>
      </c>
    </row>
    <row r="134" customFormat="false" ht="15" hidden="false" customHeight="false" outlineLevel="0" collapsed="false">
      <c r="A134" s="0" t="n">
        <v>640</v>
      </c>
      <c r="B134" s="38" t="n">
        <f aca="false">A134/1440</f>
        <v>0.444444444444444</v>
      </c>
      <c r="C134" s="39" t="n">
        <f aca="false">IF(C$4=0,0,IF(COUNTIFS(実績!$W$6:$W$505,C$3,実績!$AI$6:$AI$505,"&lt;="&amp;$A134,実績!$AJ$6:$AJ$505,"&gt;"&amp;$A134,実績!$AL$6:$AL$505,"○")&gt;0,1,0))</f>
        <v>0</v>
      </c>
      <c r="D134" s="39" t="n">
        <f aca="false">IF(D$4=0,0,IF(COUNTIFS(実績!$W$6:$W$505,D$3,実績!$AI$6:$AI$505,"&lt;="&amp;$A134,実績!$AJ$6:$AJ$505,"&gt;"&amp;$A134,実績!$AL$6:$AL$505,"○")&gt;0,1,0))</f>
        <v>0</v>
      </c>
      <c r="E134" s="39" t="n">
        <f aca="false">IF(E$4=0,0,IF(COUNTIFS(実績!$W$6:$W$505,E$3,実績!$AI$6:$AI$505,"&lt;="&amp;$A134,実績!$AJ$6:$AJ$505,"&gt;"&amp;$A134,実績!$AL$6:$AL$505,"○")&gt;0,1,0))</f>
        <v>0</v>
      </c>
      <c r="F134" s="39" t="n">
        <f aca="false">IF(F$4=0,0,IF(COUNTIFS(実績!$W$6:$W$505,F$3,実績!$AI$6:$AI$505,"&lt;="&amp;$A134,実績!$AJ$6:$AJ$505,"&gt;"&amp;$A134,実績!$AL$6:$AL$505,"○")&gt;0,1,0))</f>
        <v>0</v>
      </c>
      <c r="G134" s="39" t="n">
        <f aca="false">IF(G$4=0,0,IF(COUNTIFS(実績!$W$6:$W$505,G$3,実績!$AI$6:$AI$505,"&lt;="&amp;$A134,実績!$AJ$6:$AJ$505,"&gt;"&amp;$A134,実績!$AL$6:$AL$505,"○")&gt;0,1,0))</f>
        <v>0</v>
      </c>
      <c r="H134" s="39" t="n">
        <f aca="false">IF(H$4=0,0,IF(COUNTIFS(実績!$W$6:$W$505,H$3,実績!$AI$6:$AI$505,"&lt;="&amp;$A134,実績!$AJ$6:$AJ$505,"&gt;"&amp;$A134,実績!$AL$6:$AL$505,"○")&gt;0,1,0))</f>
        <v>0</v>
      </c>
      <c r="I134" s="39" t="n">
        <f aca="false">IF(I$4=0,0,IF(COUNTIFS(実績!$W$6:$W$505,I$3,実績!$AI$6:$AI$505,"&lt;="&amp;$A134,実績!$AJ$6:$AJ$505,"&gt;"&amp;$A134,実績!$AL$6:$AL$505,"○")&gt;0,1,0))</f>
        <v>0</v>
      </c>
      <c r="J134" s="39" t="n">
        <f aca="false">IF(J$4=0,0,IF(COUNTIFS(実績!$W$6:$W$505,J$3,実績!$AI$6:$AI$505,"&lt;="&amp;$A134,実績!$AJ$6:$AJ$505,"&gt;"&amp;$A134,実績!$AL$6:$AL$505,"○")&gt;0,1,0))</f>
        <v>0</v>
      </c>
      <c r="K134" s="39" t="n">
        <f aca="false">IF(K$4=0,0,IF(COUNTIFS(実績!$W$6:$W$505,K$3,実績!$AI$6:$AI$505,"&lt;="&amp;$A134,実績!$AJ$6:$AJ$505,"&gt;"&amp;$A134,実績!$AL$6:$AL$505,"○")&gt;0,1,0))</f>
        <v>0</v>
      </c>
      <c r="L134" s="39" t="n">
        <f aca="false">IF(L$4=0,0,IF(COUNTIFS(実績!$W$6:$W$505,L$3,実績!$AI$6:$AI$505,"&lt;="&amp;$A134,実績!$AJ$6:$AJ$505,"&gt;"&amp;$A134,実績!$AL$6:$AL$505,"○")&gt;0,1,0))</f>
        <v>0</v>
      </c>
      <c r="M134" s="39" t="n">
        <f aca="false">IF(M$4=0,0,IF(COUNTIFS(実績!$W$6:$W$505,M$3,実績!$AI$6:$AI$505,"&lt;="&amp;$A134,実績!$AJ$6:$AJ$505,"&gt;"&amp;$A134,実績!$AL$6:$AL$505,"○")&gt;0,1,0))</f>
        <v>0</v>
      </c>
      <c r="N134" s="39" t="n">
        <f aca="false">IF(N$4=0,0,IF(COUNTIFS(実績!$W$6:$W$505,N$3,実績!$AI$6:$AI$505,"&lt;="&amp;$A134,実績!$AJ$6:$AJ$505,"&gt;"&amp;$A134,実績!$AL$6:$AL$505,"○")&gt;0,1,0))</f>
        <v>0</v>
      </c>
      <c r="O134" s="39" t="n">
        <f aca="false">IF(O$4=0,0,IF(COUNTIFS(実績!$W$6:$W$505,O$3,実績!$AI$6:$AI$505,"&lt;="&amp;$A134,実績!$AJ$6:$AJ$505,"&gt;"&amp;$A134,実績!$AL$6:$AL$505,"○")&gt;0,1,0))</f>
        <v>0</v>
      </c>
      <c r="P134" s="39" t="n">
        <f aca="false">IF(P$4=0,0,IF(COUNTIFS(実績!$W$6:$W$505,P$3,実績!$AI$6:$AI$505,"&lt;="&amp;$A134,実績!$AJ$6:$AJ$505,"&gt;"&amp;$A134,実績!$AL$6:$AL$505,"○")&gt;0,1,0))</f>
        <v>0</v>
      </c>
      <c r="Q134" s="39" t="n">
        <f aca="false">IF(Q$4=0,0,IF(COUNTIFS(実績!$W$6:$W$505,Q$3,実績!$AI$6:$AI$505,"&lt;="&amp;$A134,実績!$AJ$6:$AJ$505,"&gt;"&amp;$A134,実績!$AL$6:$AL$505,"○")&gt;0,1,0))</f>
        <v>0</v>
      </c>
      <c r="R134" s="39" t="n">
        <f aca="false">IF(R$4=0,0,IF(COUNTIFS(実績!$W$6:$W$505,R$3,実績!$AI$6:$AI$505,"&lt;="&amp;$A134,実績!$AJ$6:$AJ$505,"&gt;"&amp;$A134,実績!$AL$6:$AL$505,"○")&gt;0,1,0))</f>
        <v>0</v>
      </c>
      <c r="S134" s="39" t="n">
        <f aca="false">IF(S$4=0,0,IF(COUNTIFS(実績!$W$6:$W$505,S$3,実績!$AI$6:$AI$505,"&lt;="&amp;$A134,実績!$AJ$6:$AJ$505,"&gt;"&amp;$A134,実績!$AL$6:$AL$505,"○")&gt;0,1,0))</f>
        <v>0</v>
      </c>
      <c r="T134" s="39" t="n">
        <f aca="false">IF(T$4=0,0,IF(COUNTIFS(実績!$W$6:$W$505,T$3,実績!$AI$6:$AI$505,"&lt;="&amp;$A134,実績!$AJ$6:$AJ$505,"&gt;"&amp;$A134,実績!$AL$6:$AL$505,"○")&gt;0,1,0))</f>
        <v>0</v>
      </c>
      <c r="U134" s="39" t="n">
        <f aca="false">IF(U$4=0,0,IF(COUNTIFS(実績!$W$6:$W$505,U$3,実績!$AI$6:$AI$505,"&lt;="&amp;$A134,実績!$AJ$6:$AJ$505,"&gt;"&amp;$A134,実績!$AL$6:$AL$505,"○")&gt;0,1,0))</f>
        <v>0</v>
      </c>
      <c r="V134" s="39" t="n">
        <f aca="false">IF(V$4=0,0,IF(COUNTIFS(実績!$W$6:$W$505,V$3,実績!$AI$6:$AI$505,"&lt;="&amp;$A134,実績!$AJ$6:$AJ$505,"&gt;"&amp;$A134,実績!$AL$6:$AL$505,"○")&gt;0,1,0))</f>
        <v>0</v>
      </c>
      <c r="W134" s="39" t="n">
        <f aca="false">IF(W$4=0,0,IF(COUNTIFS(実績!$W$6:$W$505,W$3,実績!$AI$6:$AI$505,"&lt;="&amp;$A134,実績!$AJ$6:$AJ$505,"&gt;"&amp;$A134,実績!$AL$6:$AL$505,"○")&gt;0,1,0))</f>
        <v>0</v>
      </c>
      <c r="X134" s="39" t="n">
        <f aca="false">IF(X$4=0,0,IF(COUNTIFS(実績!$W$6:$W$505,X$3,実績!$AI$6:$AI$505,"&lt;="&amp;$A134,実績!$AJ$6:$AJ$505,"&gt;"&amp;$A134,実績!$AL$6:$AL$505,"○")&gt;0,1,0))</f>
        <v>0</v>
      </c>
      <c r="Y134" s="39" t="n">
        <f aca="false">IF(Y$4=0,0,IF(COUNTIFS(実績!$W$6:$W$505,Y$3,実績!$AI$6:$AI$505,"&lt;="&amp;$A134,実績!$AJ$6:$AJ$505,"&gt;"&amp;$A134,実績!$AL$6:$AL$505,"○")&gt;0,1,0))</f>
        <v>0</v>
      </c>
      <c r="Z134" s="39" t="n">
        <f aca="false">IF(Z$4=0,0,IF(COUNTIFS(実績!$W$6:$W$505,Z$3,実績!$AI$6:$AI$505,"&lt;="&amp;$A134,実績!$AJ$6:$AJ$505,"&gt;"&amp;$A134,実績!$AL$6:$AL$505,"○")&gt;0,1,0))</f>
        <v>0</v>
      </c>
      <c r="AA134" s="39" t="n">
        <f aca="false">IF(AA$4=0,0,IF(COUNTIFS(実績!$W$6:$W$505,AA$3,実績!$AI$6:$AI$505,"&lt;="&amp;$A134,実績!$AJ$6:$AJ$505,"&gt;"&amp;$A134,実績!$AL$6:$AL$505,"○")&gt;0,1,0))</f>
        <v>0</v>
      </c>
      <c r="AB134" s="39" t="n">
        <f aca="false">IF(AB$4=0,0,IF(COUNTIFS(実績!$W$6:$W$505,AB$3,実績!$AI$6:$AI$505,"&lt;="&amp;$A134,実績!$AJ$6:$AJ$505,"&gt;"&amp;$A134,実績!$AL$6:$AL$505,"○")&gt;0,1,0))</f>
        <v>0</v>
      </c>
      <c r="AC134" s="39" t="n">
        <f aca="false">IF(AC$4=0,0,IF(COUNTIFS(実績!$W$6:$W$505,AC$3,実績!$AI$6:$AI$505,"&lt;="&amp;$A134,実績!$AJ$6:$AJ$505,"&gt;"&amp;$A134,実績!$AL$6:$AL$505,"○")&gt;0,1,0))</f>
        <v>0</v>
      </c>
      <c r="AD134" s="39" t="n">
        <f aca="false">IF(AD$4=0,0,IF(COUNTIFS(実績!$W$6:$W$505,AD$3,実績!$AI$6:$AI$505,"&lt;="&amp;$A134,実績!$AJ$6:$AJ$505,"&gt;"&amp;$A134,実績!$AL$6:$AL$505,"○")&gt;0,1,0))</f>
        <v>0</v>
      </c>
      <c r="AE134" s="39" t="n">
        <f aca="false">IF(AE$4=0,0,IF(COUNTIFS(実績!$W$6:$W$505,AE$3,実績!$AI$6:$AI$505,"&lt;="&amp;$A134,実績!$AJ$6:$AJ$505,"&gt;"&amp;$A134,実績!$AL$6:$AL$505,"○")&gt;0,1,0))</f>
        <v>0</v>
      </c>
      <c r="AF134" s="39" t="n">
        <f aca="false">IF(AF$4=0,0,IF(COUNTIFS(実績!$W$6:$W$505,AF$3,実績!$AI$6:$AI$505,"&lt;="&amp;$A134,実績!$AJ$6:$AJ$505,"&gt;"&amp;$A134,実績!$AL$6:$AL$505,"○")&gt;0,1,0))</f>
        <v>0</v>
      </c>
      <c r="AG134" s="39" t="n">
        <f aca="false">IF(AG$4=0,0,IF(COUNTIFS(実績!$W$6:$W$505,AG$3,実績!$AI$6:$AI$505,"&lt;="&amp;$A134,実績!$AJ$6:$AJ$505,"&gt;"&amp;$A134,実績!$AL$6:$AL$505,"○")&gt;0,1,0))</f>
        <v>0</v>
      </c>
      <c r="AH134" s="39" t="n">
        <f aca="false">IF(AH$4=0,0,IF(COUNTIFS(実績!$W$6:$W$505,AH$3,実績!$AI$6:$AI$505,"&lt;="&amp;$A134,実績!$AJ$6:$AJ$505,"&gt;"&amp;$A134,実績!$AL$6:$AL$505,"○")&gt;0,1,0))</f>
        <v>0</v>
      </c>
      <c r="AI134" s="39" t="n">
        <f aca="false">IF(AI$4=0,0,IF(COUNTIFS(実績!$W$6:$W$505,AI$3,実績!$AI$6:$AI$505,"&lt;="&amp;$A134,実績!$AJ$6:$AJ$505,"&gt;"&amp;$A134,実績!$AL$6:$AL$505,"○")&gt;0,1,0))</f>
        <v>0</v>
      </c>
      <c r="AJ134" s="39" t="n">
        <f aca="false">IF(AJ$4=0,0,IF(COUNTIFS(実績!$W$6:$W$505,AJ$3,実績!$AI$6:$AI$505,"&lt;="&amp;$A134,実績!$AJ$6:$AJ$505,"&gt;"&amp;$A134,実績!$AL$6:$AL$505,"○")&gt;0,1,0))</f>
        <v>0</v>
      </c>
      <c r="AK134" s="39" t="n">
        <f aca="false">IF(AK$4=0,0,IF(COUNTIFS(実績!$W$6:$W$505,AK$3,実績!$AI$6:$AI$505,"&lt;="&amp;$A134,実績!$AJ$6:$AJ$505,"&gt;"&amp;$A134,実績!$AL$6:$AL$505,"○")&gt;0,1,0))</f>
        <v>0</v>
      </c>
      <c r="AL134" s="39" t="n">
        <f aca="false">IF(AL$4=0,0,IF(COUNTIFS(実績!$W$6:$W$505,AL$3,実績!$AI$6:$AI$505,"&lt;="&amp;$A134,実績!$AJ$6:$AJ$505,"&gt;"&amp;$A134,実績!$AL$6:$AL$505,"○")&gt;0,1,0))</f>
        <v>0</v>
      </c>
      <c r="AM134" s="39" t="n">
        <f aca="false">IF(AM$4=0,0,IF(COUNTIFS(実績!$W$6:$W$505,AM$3,実績!$AI$6:$AI$505,"&lt;="&amp;$A134,実績!$AJ$6:$AJ$505,"&gt;"&amp;$A134,実績!$AL$6:$AL$505,"○")&gt;0,1,0))</f>
        <v>0</v>
      </c>
      <c r="AN134" s="39" t="n">
        <f aca="false">IF(AN$4=0,0,IF(COUNTIFS(実績!$W$6:$W$505,AN$3,実績!$AI$6:$AI$505,"&lt;="&amp;$A134,実績!$AJ$6:$AJ$505,"&gt;"&amp;$A134,実績!$AL$6:$AL$505,"○")&gt;0,1,0))</f>
        <v>0</v>
      </c>
      <c r="AO134" s="39" t="n">
        <f aca="false">IF(AO$4=0,0,IF(COUNTIFS(実績!$W$6:$W$505,AO$3,実績!$AI$6:$AI$505,"&lt;="&amp;$A134,実績!$AJ$6:$AJ$505,"&gt;"&amp;$A134,実績!$AL$6:$AL$505,"○")&gt;0,1,0))</f>
        <v>0</v>
      </c>
      <c r="AP134" s="39" t="n">
        <f aca="false">IF(AP$4=0,0,IF(COUNTIFS(実績!$W$6:$W$505,AP$3,実績!$AI$6:$AI$505,"&lt;="&amp;$A134,実績!$AJ$6:$AJ$505,"&gt;"&amp;$A134,実績!$AL$6:$AL$505,"○")&gt;0,1,0))</f>
        <v>0</v>
      </c>
      <c r="AQ134" s="39" t="n">
        <f aca="false">IF(AQ$4=0,0,IF(COUNTIFS(実績!$W$6:$W$505,AQ$3,実績!$AI$6:$AI$505,"&lt;="&amp;$A134,実績!$AJ$6:$AJ$505,"&gt;"&amp;$A134,実績!$AL$6:$AL$505,"○")&gt;0,1,0))</f>
        <v>0</v>
      </c>
      <c r="AR134" s="39" t="n">
        <f aca="false">IF(AR$4=0,0,IF(COUNTIFS(実績!$W$6:$W$505,AR$3,実績!$AI$6:$AI$505,"&lt;="&amp;$A134,実績!$AJ$6:$AJ$505,"&gt;"&amp;$A134,実績!$AL$6:$AL$505,"○")&gt;0,1,0))</f>
        <v>0</v>
      </c>
      <c r="AS134" s="39" t="n">
        <f aca="false">IF(AS$4=0,0,IF(COUNTIFS(実績!$W$6:$W$505,AS$3,実績!$AI$6:$AI$505,"&lt;="&amp;$A134,実績!$AJ$6:$AJ$505,"&gt;"&amp;$A134,実績!$AL$6:$AL$505,"○")&gt;0,1,0))</f>
        <v>0</v>
      </c>
      <c r="AT134" s="39" t="n">
        <f aca="false">IF(AT$4=0,0,IF(COUNTIFS(実績!$W$6:$W$505,AT$3,実績!$AI$6:$AI$505,"&lt;="&amp;$A134,実績!$AJ$6:$AJ$505,"&gt;"&amp;$A134,実績!$AL$6:$AL$505,"○")&gt;0,1,0))</f>
        <v>0</v>
      </c>
      <c r="AU134" s="39" t="n">
        <f aca="false">IF(AU$4=0,0,IF(COUNTIFS(実績!$W$6:$W$505,AU$3,実績!$AI$6:$AI$505,"&lt;="&amp;$A134,実績!$AJ$6:$AJ$505,"&gt;"&amp;$A134,実績!$AL$6:$AL$505,"○")&gt;0,1,0))</f>
        <v>0</v>
      </c>
      <c r="AV134" s="39" t="n">
        <f aca="false">IF(AV$4=0,0,IF(COUNTIFS(実績!$W$6:$W$505,AV$3,実績!$AI$6:$AI$505,"&lt;="&amp;$A134,実績!$AJ$6:$AJ$505,"&gt;"&amp;$A134,実績!$AL$6:$AL$505,"○")&gt;0,1,0))</f>
        <v>0</v>
      </c>
      <c r="AW134" s="39" t="n">
        <f aca="false">IF(AW$4=0,0,IF(COUNTIFS(実績!$W$6:$W$505,AW$3,実績!$AI$6:$AI$505,"&lt;="&amp;$A134,実績!$AJ$6:$AJ$505,"&gt;"&amp;$A134,実績!$AL$6:$AL$505,"○")&gt;0,1,0))</f>
        <v>0</v>
      </c>
      <c r="AX134" s="39" t="n">
        <f aca="false">IF(AX$4=0,0,IF(COUNTIFS(実績!$W$6:$W$505,AX$3,実績!$AI$6:$AI$505,"&lt;="&amp;$A134,実績!$AJ$6:$AJ$505,"&gt;"&amp;$A134,実績!$AL$6:$AL$505,"○")&gt;0,1,0))</f>
        <v>0</v>
      </c>
      <c r="AY134" s="39" t="n">
        <f aca="false">IF(AY$4=0,0,IF(COUNTIFS(実績!$W$6:$W$505,AY$3,実績!$AI$6:$AI$505,"&lt;="&amp;$A134,実績!$AJ$6:$AJ$505,"&gt;"&amp;$A134,実績!$AL$6:$AL$505,"○")&gt;0,1,0))</f>
        <v>0</v>
      </c>
      <c r="AZ134" s="39" t="n">
        <f aca="false">IF(AZ$4=0,0,IF(COUNTIFS(実績!$W$6:$W$505,AZ$3,実績!$AI$6:$AI$505,"&lt;="&amp;$A134,実績!$AJ$6:$AJ$505,"&gt;"&amp;$A134,実績!$AL$6:$AL$505,"○")&gt;0,1,0))</f>
        <v>0</v>
      </c>
      <c r="BA134" s="39" t="n">
        <f aca="false">IF(BA$4=0,0,IF(COUNTIFS(実績!$W$6:$W$505,BA$3,実績!$AI$6:$AI$505,"&lt;="&amp;$A134,実績!$AJ$6:$AJ$505,"&gt;"&amp;$A134,実績!$AL$6:$AL$505,"○")&gt;0,1,0))</f>
        <v>0</v>
      </c>
      <c r="BB134" s="39" t="n">
        <f aca="false">IF(BB$4=0,0,IF(COUNTIFS(実績!$W$6:$W$505,BB$3,実績!$AI$6:$AI$505,"&lt;="&amp;$A134,実績!$AJ$6:$AJ$505,"&gt;"&amp;$A134,実績!$AL$6:$AL$505,"○")&gt;0,1,0))</f>
        <v>0</v>
      </c>
      <c r="BC134" s="39" t="n">
        <f aca="false">IF(BC$4=0,0,IF(COUNTIFS(実績!$W$6:$W$505,BC$3,実績!$AI$6:$AI$505,"&lt;="&amp;$A134,実績!$AJ$6:$AJ$505,"&gt;"&amp;$A134,実績!$AL$6:$AL$505,"○")&gt;0,1,0))</f>
        <v>0</v>
      </c>
      <c r="BD134" s="39" t="n">
        <f aca="false">IF(BD$4=0,0,IF(COUNTIFS(実績!$W$6:$W$505,BD$3,実績!$AI$6:$AI$505,"&lt;="&amp;$A134,実績!$AJ$6:$AJ$505,"&gt;"&amp;$A134,実績!$AL$6:$AL$505,"○")&gt;0,1,0))</f>
        <v>0</v>
      </c>
      <c r="BE134" s="39" t="n">
        <f aca="false">IF(BE$4=0,0,IF(COUNTIFS(実績!$W$6:$W$505,BE$3,実績!$AI$6:$AI$505,"&lt;="&amp;$A134,実績!$AJ$6:$AJ$505,"&gt;"&amp;$A134,実績!$AL$6:$AL$505,"○")&gt;0,1,0))</f>
        <v>0</v>
      </c>
      <c r="BF134" s="39" t="n">
        <f aca="false">IF(BF$4=0,0,IF(COUNTIFS(実績!$W$6:$W$505,BF$3,実績!$AI$6:$AI$505,"&lt;="&amp;$A134,実績!$AJ$6:$AJ$505,"&gt;"&amp;$A134,実績!$AL$6:$AL$505,"○")&gt;0,1,0))</f>
        <v>0</v>
      </c>
      <c r="BG134" s="39" t="n">
        <f aca="false">IF(BG$4=0,0,IF(COUNTIFS(実績!$W$6:$W$505,BG$3,実績!$AI$6:$AI$505,"&lt;="&amp;$A134,実績!$AJ$6:$AJ$505,"&gt;"&amp;$A134,実績!$AL$6:$AL$505,"○")&gt;0,1,0))</f>
        <v>0</v>
      </c>
      <c r="BH134" s="39" t="n">
        <f aca="false">IF(BH$4=0,0,IF(COUNTIFS(実績!$W$6:$W$505,BH$3,実績!$AI$6:$AI$505,"&lt;="&amp;$A134,実績!$AJ$6:$AJ$505,"&gt;"&amp;$A134,実績!$AL$6:$AL$505,"○")&gt;0,1,0))</f>
        <v>0</v>
      </c>
      <c r="BI134" s="39" t="n">
        <f aca="false">IF(BI$4=0,0,IF(COUNTIFS(実績!$W$6:$W$505,BI$3,実績!$AI$6:$AI$505,"&lt;="&amp;$A134,実績!$AJ$6:$AJ$505,"&gt;"&amp;$A134,実績!$AL$6:$AL$505,"○")&gt;0,1,0))</f>
        <v>0</v>
      </c>
      <c r="BJ134" s="39" t="n">
        <f aca="false">IF(BJ$4=0,0,IF(COUNTIFS(実績!$W$6:$W$505,BJ$3,実績!$AI$6:$AI$505,"&lt;="&amp;$A134,実績!$AJ$6:$AJ$505,"&gt;"&amp;$A134,実績!$AL$6:$AL$505,"○")&gt;0,1,0))</f>
        <v>0</v>
      </c>
      <c r="BK134" s="39" t="n">
        <f aca="false">IF(BK$4=0,0,IF(COUNTIFS(実績!$W$6:$W$505,BK$3,実績!$AI$6:$AI$505,"&lt;="&amp;$A134,実績!$AJ$6:$AJ$505,"&gt;"&amp;$A134,実績!$AL$6:$AL$505,"○")&gt;0,1,0))</f>
        <v>0</v>
      </c>
      <c r="BL134" s="39" t="n">
        <f aca="false">IF(BL$4=0,0,IF(COUNTIFS(実績!$W$6:$W$505,BL$3,実績!$AI$6:$AI$505,"&lt;="&amp;$A134,実績!$AJ$6:$AJ$505,"&gt;"&amp;$A134,実績!$AL$6:$AL$505,"○")&gt;0,1,0))</f>
        <v>0</v>
      </c>
      <c r="BM134" s="39" t="n">
        <f aca="false">IF(BM$4=0,0,IF(COUNTIFS(実績!$W$6:$W$505,BM$3,実績!$AI$6:$AI$505,"&lt;="&amp;$A134,実績!$AJ$6:$AJ$505,"&gt;"&amp;$A134,実績!$AL$6:$AL$505,"○")&gt;0,1,0))</f>
        <v>0</v>
      </c>
      <c r="BN134" s="39" t="n">
        <f aca="false">IF(BN$4=0,0,IF(COUNTIFS(実績!$W$6:$W$505,BN$3,実績!$AI$6:$AI$505,"&lt;="&amp;$A134,実績!$AJ$6:$AJ$505,"&gt;"&amp;$A134,実績!$AL$6:$AL$505,"○")&gt;0,1,0))</f>
        <v>0</v>
      </c>
      <c r="BO134" s="39" t="n">
        <f aca="false">IF(BO$4=0,0,IF(COUNTIFS(実績!$W$6:$W$505,BO$3,実績!$AI$6:$AI$505,"&lt;="&amp;$A134,実績!$AJ$6:$AJ$505,"&gt;"&amp;$A134,実績!$AL$6:$AL$505,"○")&gt;0,1,0))</f>
        <v>0</v>
      </c>
      <c r="BP134" s="39" t="n">
        <f aca="false">IF(BP$4=0,0,IF(COUNTIFS(実績!$W$6:$W$505,BP$3,実績!$AI$6:$AI$505,"&lt;="&amp;$A134,実績!$AJ$6:$AJ$505,"&gt;"&amp;$A134,実績!$AL$6:$AL$505,"○")&gt;0,1,0))</f>
        <v>0</v>
      </c>
      <c r="BQ134" s="39" t="n">
        <f aca="false">IF(BQ$4=0,0,IF(COUNTIFS(実績!$W$6:$W$505,BQ$3,実績!$AI$6:$AI$505,"&lt;="&amp;$A134,実績!$AJ$6:$AJ$505,"&gt;"&amp;$A134,実績!$AL$6:$AL$505,"○")&gt;0,1,0))</f>
        <v>0</v>
      </c>
      <c r="BR134" s="39" t="n">
        <f aca="false">IF(BR$4=0,0,IF(COUNTIFS(実績!$W$6:$W$505,BR$3,実績!$AI$6:$AI$505,"&lt;="&amp;$A134,実績!$AJ$6:$AJ$505,"&gt;"&amp;$A134,実績!$AL$6:$AL$505,"○")&gt;0,1,0))</f>
        <v>0</v>
      </c>
      <c r="BS134" s="39" t="n">
        <f aca="false">IF(BS$4=0,0,IF(COUNTIFS(実績!$W$6:$W$505,BS$3,実績!$AI$6:$AI$505,"&lt;="&amp;$A134,実績!$AJ$6:$AJ$505,"&gt;"&amp;$A134,実績!$AL$6:$AL$505,"○")&gt;0,1,0))</f>
        <v>0</v>
      </c>
      <c r="BT134" s="39" t="n">
        <f aca="false">IF(BT$4=0,0,IF(COUNTIFS(実績!$W$6:$W$505,BT$3,実績!$AI$6:$AI$505,"&lt;="&amp;$A134,実績!$AJ$6:$AJ$505,"&gt;"&amp;$A134,実績!$AL$6:$AL$505,"○")&gt;0,1,0))</f>
        <v>0</v>
      </c>
      <c r="BU134" s="39" t="n">
        <f aca="false">IF(BU$4=0,0,IF(COUNTIFS(実績!$W$6:$W$505,BU$3,実績!$AI$6:$AI$505,"&lt;="&amp;$A134,実績!$AJ$6:$AJ$505,"&gt;"&amp;$A134,実績!$AL$6:$AL$505,"○")&gt;0,1,0))</f>
        <v>0</v>
      </c>
      <c r="BV134" s="39" t="n">
        <f aca="false">IF(BV$4=0,0,IF(COUNTIFS(実績!$W$6:$W$505,BV$3,実績!$AI$6:$AI$505,"&lt;="&amp;$A134,実績!$AJ$6:$AJ$505,"&gt;"&amp;$A134,実績!$AL$6:$AL$505,"○")&gt;0,1,0))</f>
        <v>0</v>
      </c>
      <c r="BW134" s="39" t="n">
        <f aca="false">IF(BW$4=0,0,IF(COUNTIFS(実績!$W$6:$W$505,BW$3,実績!$AI$6:$AI$505,"&lt;="&amp;$A134,実績!$AJ$6:$AJ$505,"&gt;"&amp;$A134,実績!$AL$6:$AL$505,"○")&gt;0,1,0))</f>
        <v>0</v>
      </c>
      <c r="BX134" s="39" t="n">
        <f aca="false">IF(BX$4=0,0,IF(COUNTIFS(実績!$W$6:$W$505,BX$3,実績!$AI$6:$AI$505,"&lt;="&amp;$A134,実績!$AJ$6:$AJ$505,"&gt;"&amp;$A134,実績!$AL$6:$AL$505,"○")&gt;0,1,0))</f>
        <v>0</v>
      </c>
      <c r="BY134" s="39" t="n">
        <f aca="false">IF(BY$4=0,0,IF(COUNTIFS(実績!$W$6:$W$505,BY$3,実績!$AI$6:$AI$505,"&lt;="&amp;$A134,実績!$AJ$6:$AJ$505,"&gt;"&amp;$A134,実績!$AL$6:$AL$505,"○")&gt;0,1,0))</f>
        <v>0</v>
      </c>
      <c r="BZ134" s="39" t="n">
        <f aca="false">IF(BZ$4=0,0,IF(COUNTIFS(実績!$W$6:$W$505,BZ$3,実績!$AI$6:$AI$505,"&lt;="&amp;$A134,実績!$AJ$6:$AJ$505,"&gt;"&amp;$A134,実績!$AL$6:$AL$505,"○")&gt;0,1,0))</f>
        <v>0</v>
      </c>
      <c r="CA134" s="39" t="n">
        <f aca="false">IF(CA$4=0,0,IF(COUNTIFS(実績!$W$6:$W$505,CA$3,実績!$AI$6:$AI$505,"&lt;="&amp;$A134,実績!$AJ$6:$AJ$505,"&gt;"&amp;$A134,実績!$AL$6:$AL$505,"○")&gt;0,1,0))</f>
        <v>0</v>
      </c>
      <c r="CB134" s="39" t="n">
        <f aca="false">IF(CB$4=0,0,IF(COUNTIFS(実績!$W$6:$W$505,CB$3,実績!$AI$6:$AI$505,"&lt;="&amp;$A134,実績!$AJ$6:$AJ$505,"&gt;"&amp;$A134,実績!$AL$6:$AL$505,"○")&gt;0,1,0))</f>
        <v>0</v>
      </c>
      <c r="CC134" s="39" t="n">
        <f aca="false">IF(CC$4=0,0,IF(COUNTIFS(実績!$W$6:$W$505,CC$3,実績!$AI$6:$AI$505,"&lt;="&amp;$A134,実績!$AJ$6:$AJ$505,"&gt;"&amp;$A134,実績!$AL$6:$AL$505,"○")&gt;0,1,0))</f>
        <v>0</v>
      </c>
      <c r="CD134" s="39" t="n">
        <f aca="false">IF(CD$4=0,0,IF(COUNTIFS(実績!$W$6:$W$505,CD$3,実績!$AI$6:$AI$505,"&lt;="&amp;$A134,実績!$AJ$6:$AJ$505,"&gt;"&amp;$A134,実績!$AL$6:$AL$505,"○")&gt;0,1,0))</f>
        <v>0</v>
      </c>
      <c r="CE134" s="39" t="n">
        <f aca="false">IF(CE$4=0,0,IF(COUNTIFS(実績!$W$6:$W$505,CE$3,実績!$AI$6:$AI$505,"&lt;="&amp;$A134,実績!$AJ$6:$AJ$505,"&gt;"&amp;$A134,実績!$AL$6:$AL$505,"○")&gt;0,1,0))</f>
        <v>0</v>
      </c>
      <c r="CF134" s="39" t="n">
        <f aca="false">IF(CF$4=0,0,IF(COUNTIFS(実績!$W$6:$W$505,CF$3,実績!$AI$6:$AI$505,"&lt;="&amp;$A134,実績!$AJ$6:$AJ$505,"&gt;"&amp;$A134,実績!$AL$6:$AL$505,"○")&gt;0,1,0))</f>
        <v>0</v>
      </c>
      <c r="CG134" s="39" t="n">
        <f aca="false">IF(CG$4=0,0,IF(COUNTIFS(実績!$W$6:$W$505,CG$3,実績!$AI$6:$AI$505,"&lt;="&amp;$A134,実績!$AJ$6:$AJ$505,"&gt;"&amp;$A134,実績!$AL$6:$AL$505,"○")&gt;0,1,0))</f>
        <v>0</v>
      </c>
      <c r="CH134" s="39" t="n">
        <f aca="false">IF(CH$4=0,0,IF(COUNTIFS(実績!$W$6:$W$505,CH$3,実績!$AI$6:$AI$505,"&lt;="&amp;$A134,実績!$AJ$6:$AJ$505,"&gt;"&amp;$A134,実績!$AL$6:$AL$505,"○")&gt;0,1,0))</f>
        <v>0</v>
      </c>
      <c r="CI134" s="39" t="n">
        <f aca="false">IF(CI$4=0,0,IF(COUNTIFS(実績!$W$6:$W$505,CI$3,実績!$AI$6:$AI$505,"&lt;="&amp;$A134,実績!$AJ$6:$AJ$505,"&gt;"&amp;$A134,実績!$AL$6:$AL$505,"○")&gt;0,1,0))</f>
        <v>0</v>
      </c>
      <c r="CJ134" s="39" t="n">
        <f aca="false">IF(CJ$4=0,0,IF(COUNTIFS(実績!$W$6:$W$505,CJ$3,実績!$AI$6:$AI$505,"&lt;="&amp;$A134,実績!$AJ$6:$AJ$505,"&gt;"&amp;$A134,実績!$AL$6:$AL$505,"○")&gt;0,1,0))</f>
        <v>0</v>
      </c>
      <c r="CK134" s="39" t="n">
        <f aca="false">IF(CK$4=0,0,IF(COUNTIFS(実績!$W$6:$W$505,CK$3,実績!$AI$6:$AI$505,"&lt;="&amp;$A134,実績!$AJ$6:$AJ$505,"&gt;"&amp;$A134,実績!$AL$6:$AL$505,"○")&gt;0,1,0))</f>
        <v>0</v>
      </c>
      <c r="CL134" s="39" t="n">
        <f aca="false">IF(CL$4=0,0,IF(COUNTIFS(実績!$W$6:$W$505,CL$3,実績!$AI$6:$AI$505,"&lt;="&amp;$A134,実績!$AJ$6:$AJ$505,"&gt;"&amp;$A134,実績!$AL$6:$AL$505,"○")&gt;0,1,0))</f>
        <v>0</v>
      </c>
      <c r="CM134" s="39" t="n">
        <f aca="false">IF(CM$4=0,0,IF(COUNTIFS(実績!$W$6:$W$505,CM$3,実績!$AI$6:$AI$505,"&lt;="&amp;$A134,実績!$AJ$6:$AJ$505,"&gt;"&amp;$A134,実績!$AL$6:$AL$505,"○")&gt;0,1,0))</f>
        <v>0</v>
      </c>
      <c r="CN134" s="39" t="n">
        <f aca="false">IF(CN$4=0,0,IF(COUNTIFS(実績!$W$6:$W$505,CN$3,実績!$AI$6:$AI$505,"&lt;="&amp;$A134,実績!$AJ$6:$AJ$505,"&gt;"&amp;$A134,実績!$AL$6:$AL$505,"○")&gt;0,1,0))</f>
        <v>0</v>
      </c>
      <c r="CO134" s="39" t="n">
        <f aca="false">IF(CO$4=0,0,IF(COUNTIFS(実績!$W$6:$W$505,CO$3,実績!$AI$6:$AI$505,"&lt;="&amp;$A134,実績!$AJ$6:$AJ$505,"&gt;"&amp;$A134,実績!$AL$6:$AL$505,"○")&gt;0,1,0))</f>
        <v>0</v>
      </c>
      <c r="CP134" s="39" t="n">
        <f aca="false">IF(CP$4=0,0,IF(COUNTIFS(実績!$W$6:$W$505,CP$3,実績!$AI$6:$AI$505,"&lt;="&amp;$A134,実績!$AJ$6:$AJ$505,"&gt;"&amp;$A134,実績!$AL$6:$AL$505,"○")&gt;0,1,0))</f>
        <v>0</v>
      </c>
      <c r="CQ134" s="39" t="n">
        <f aca="false">IF(CQ$4=0,0,IF(COUNTIFS(実績!$W$6:$W$505,CQ$3,実績!$AI$6:$AI$505,"&lt;="&amp;$A134,実績!$AJ$6:$AJ$505,"&gt;"&amp;$A134,実績!$AL$6:$AL$505,"○")&gt;0,1,0))</f>
        <v>0</v>
      </c>
      <c r="CR134" s="39" t="n">
        <f aca="false">IF(CR$4=0,0,IF(COUNTIFS(実績!$W$6:$W$505,CR$3,実績!$AI$6:$AI$505,"&lt;="&amp;$A134,実績!$AJ$6:$AJ$505,"&gt;"&amp;$A134,実績!$AL$6:$AL$505,"○")&gt;0,1,0))</f>
        <v>0</v>
      </c>
      <c r="CS134" s="39" t="n">
        <f aca="false">IF(CS$4=0,0,IF(COUNTIFS(実績!$W$6:$W$505,CS$3,実績!$AI$6:$AI$505,"&lt;="&amp;$A134,実績!$AJ$6:$AJ$505,"&gt;"&amp;$A134,実績!$AL$6:$AL$505,"○")&gt;0,1,0))</f>
        <v>0</v>
      </c>
      <c r="CT134" s="39" t="n">
        <f aca="false">IF(CT$4=0,0,IF(COUNTIFS(実績!$W$6:$W$505,CT$3,実績!$AI$6:$AI$505,"&lt;="&amp;$A134,実績!$AJ$6:$AJ$505,"&gt;"&amp;$A134,実績!$AL$6:$AL$505,"○")&gt;0,1,0))</f>
        <v>0</v>
      </c>
      <c r="CU134" s="39" t="n">
        <f aca="false">IF(CU$4=0,0,IF(COUNTIFS(実績!$W$6:$W$505,CU$3,実績!$AI$6:$AI$505,"&lt;="&amp;$A134,実績!$AJ$6:$AJ$505,"&gt;"&amp;$A134,実績!$AL$6:$AL$505,"○")&gt;0,1,0))</f>
        <v>0</v>
      </c>
      <c r="CV134" s="39" t="n">
        <f aca="false">IF(CV$4=0,0,IF(COUNTIFS(実績!$W$6:$W$505,CV$3,実績!$AI$6:$AI$505,"&lt;="&amp;$A134,実績!$AJ$6:$AJ$505,"&gt;"&amp;$A134,実績!$AL$6:$AL$505,"○")&gt;0,1,0))</f>
        <v>0</v>
      </c>
      <c r="CW134" s="39" t="n">
        <f aca="false">IF(CW$4=0,0,IF(COUNTIFS(実績!$W$6:$W$505,CW$3,実績!$AI$6:$AI$505,"&lt;="&amp;$A134,実績!$AJ$6:$AJ$505,"&gt;"&amp;$A134,実績!$AL$6:$AL$505,"○")&gt;0,1,0))</f>
        <v>0</v>
      </c>
      <c r="CX134" s="39" t="n">
        <f aca="false">IF(CX$4=0,0,IF(COUNTIFS(実績!$W$6:$W$505,CX$3,実績!$AI$6:$AI$505,"&lt;="&amp;$A134,実績!$AJ$6:$AJ$505,"&gt;"&amp;$A134,実績!$AL$6:$AL$505,"○")&gt;0,1,0))</f>
        <v>0</v>
      </c>
      <c r="CY134" s="39" t="n">
        <f aca="false">IF(CY$4=0,0,IF(COUNTIFS(実績!$W$6:$W$505,CY$3,実績!$AI$6:$AI$505,"&lt;="&amp;$A134,実績!$AJ$6:$AJ$505,"&gt;"&amp;$A134,実績!$AL$6:$AL$505,"○")&gt;0,1,0))</f>
        <v>0</v>
      </c>
      <c r="CZ134" s="39" t="n">
        <f aca="false">IF(CZ$4=0,0,IF(COUNTIFS(実績!$W$6:$W$505,CZ$3,実績!$AI$6:$AI$505,"&lt;="&amp;$A134,実績!$AJ$6:$AJ$505,"&gt;"&amp;$A134,実績!$AL$6:$AL$505,"○")&gt;0,1,0))</f>
        <v>0</v>
      </c>
      <c r="DA134" s="39" t="n">
        <f aca="false">IF(DA$4=0,0,IF(COUNTIFS(実績!$W$6:$W$505,DA$3,実績!$AI$6:$AI$505,"&lt;="&amp;$A134,実績!$AJ$6:$AJ$505,"&gt;"&amp;$A134,実績!$AL$6:$AL$505,"○")&gt;0,1,0))</f>
        <v>0</v>
      </c>
      <c r="DB134" s="39" t="n">
        <f aca="false">IF(DB$4=0,0,IF(COUNTIFS(実績!$W$6:$W$505,DB$3,実績!$AI$6:$AI$505,"&lt;="&amp;$A134,実績!$AJ$6:$AJ$505,"&gt;"&amp;$A134,実績!$AL$6:$AL$505,"○")&gt;0,1,0))</f>
        <v>0</v>
      </c>
      <c r="DC134" s="39" t="n">
        <f aca="false">IF(DC$4=0,0,IF(COUNTIFS(実績!$W$6:$W$505,DC$3,実績!$AI$6:$AI$505,"&lt;="&amp;$A134,実績!$AJ$6:$AJ$505,"&gt;"&amp;$A134,実績!$AL$6:$AL$505,"○")&gt;0,1,0))</f>
        <v>0</v>
      </c>
      <c r="DD134" s="39" t="n">
        <f aca="false">IF(DD$4=0,0,IF(COUNTIFS(実績!$W$6:$W$505,DD$3,実績!$AI$6:$AI$505,"&lt;="&amp;$A134,実績!$AJ$6:$AJ$505,"&gt;"&amp;$A134,実績!$AL$6:$AL$505,"○")&gt;0,1,0))</f>
        <v>0</v>
      </c>
      <c r="DE134" s="39" t="n">
        <f aca="false">IF(DE$4=0,0,IF(COUNTIFS(実績!$W$6:$W$505,DE$3,実績!$AI$6:$AI$505,"&lt;="&amp;$A134,実績!$AJ$6:$AJ$505,"&gt;"&amp;$A134,実績!$AL$6:$AL$505,"○")&gt;0,1,0))</f>
        <v>0</v>
      </c>
      <c r="DF134" s="39" t="n">
        <f aca="false">IF(DF$4=0,0,IF(COUNTIFS(実績!$W$6:$W$505,DF$3,実績!$AI$6:$AI$505,"&lt;="&amp;$A134,実績!$AJ$6:$AJ$505,"&gt;"&amp;$A134,実績!$AL$6:$AL$505,"○")&gt;0,1,0))</f>
        <v>0</v>
      </c>
      <c r="DG134" s="39" t="n">
        <f aca="false">IF(DG$4=0,0,IF(COUNTIFS(実績!$W$6:$W$505,DG$3,実績!$AI$6:$AI$505,"&lt;="&amp;$A134,実績!$AJ$6:$AJ$505,"&gt;"&amp;$A134,実績!$AL$6:$AL$505,"○")&gt;0,1,0))</f>
        <v>0</v>
      </c>
      <c r="DH134" s="39" t="n">
        <f aca="false">IF(DH$4=0,0,IF(COUNTIFS(実績!$W$6:$W$505,DH$3,実績!$AI$6:$AI$505,"&lt;="&amp;$A134,実績!$AJ$6:$AJ$505,"&gt;"&amp;$A134,実績!$AL$6:$AL$505,"○")&gt;0,1,0))</f>
        <v>0</v>
      </c>
      <c r="DI134" s="39" t="n">
        <f aca="false">IF(DI$4=0,0,IF(COUNTIFS(実績!$W$6:$W$505,DI$3,実績!$AI$6:$AI$505,"&lt;="&amp;$A134,実績!$AJ$6:$AJ$505,"&gt;"&amp;$A134,実績!$AL$6:$AL$505,"○")&gt;0,1,0))</f>
        <v>0</v>
      </c>
      <c r="DJ134" s="39" t="n">
        <f aca="false">IF(DJ$4=0,0,IF(COUNTIFS(実績!$W$6:$W$505,DJ$3,実績!$AI$6:$AI$505,"&lt;="&amp;$A134,実績!$AJ$6:$AJ$505,"&gt;"&amp;$A134,実績!$AL$6:$AL$505,"○")&gt;0,1,0))</f>
        <v>0</v>
      </c>
      <c r="DK134" s="39" t="n">
        <f aca="false">IF(DK$4=0,0,IF(COUNTIFS(実績!$W$6:$W$505,DK$3,実績!$AI$6:$AI$505,"&lt;="&amp;$A134,実績!$AJ$6:$AJ$505,"&gt;"&amp;$A134,実績!$AL$6:$AL$505,"○")&gt;0,1,0))</f>
        <v>0</v>
      </c>
      <c r="DL134" s="39" t="n">
        <f aca="false">IF(DL$4=0,0,IF(COUNTIFS(実績!$W$6:$W$505,DL$3,実績!$AI$6:$AI$505,"&lt;="&amp;$A134,実績!$AJ$6:$AJ$505,"&gt;"&amp;$A134,実績!$AL$6:$AL$505,"○")&gt;0,1,0))</f>
        <v>0</v>
      </c>
      <c r="DM134" s="39" t="n">
        <f aca="false">IF(DM$4=0,0,IF(COUNTIFS(実績!$W$6:$W$505,DM$3,実績!$AI$6:$AI$505,"&lt;="&amp;$A134,実績!$AJ$6:$AJ$505,"&gt;"&amp;$A134,実績!$AL$6:$AL$505,"○")&gt;0,1,0))</f>
        <v>0</v>
      </c>
      <c r="DN134" s="39" t="n">
        <f aca="false">IF(DN$4=0,0,IF(COUNTIFS(実績!$W$6:$W$505,DN$3,実績!$AI$6:$AI$505,"&lt;="&amp;$A134,実績!$AJ$6:$AJ$505,"&gt;"&amp;$A134,実績!$AL$6:$AL$505,"○")&gt;0,1,0))</f>
        <v>0</v>
      </c>
      <c r="DO134" s="39" t="n">
        <f aca="false">IF(DO$4=0,0,IF(COUNTIFS(実績!$W$6:$W$505,DO$3,実績!$AI$6:$AI$505,"&lt;="&amp;$A134,実績!$AJ$6:$AJ$505,"&gt;"&amp;$A134,実績!$AL$6:$AL$505,"○")&gt;0,1,0))</f>
        <v>0</v>
      </c>
      <c r="DP134" s="39" t="n">
        <f aca="false">IF(DP$4=0,0,IF(COUNTIFS(実績!$W$6:$W$505,DP$3,実績!$AI$6:$AI$505,"&lt;="&amp;$A134,実績!$AJ$6:$AJ$505,"&gt;"&amp;$A134,実績!$AL$6:$AL$505,"○")&gt;0,1,0))</f>
        <v>0</v>
      </c>
      <c r="DQ134" s="39" t="n">
        <f aca="false">IF(DQ$4=0,0,IF(COUNTIFS(実績!$W$6:$W$505,DQ$3,実績!$AI$6:$AI$505,"&lt;="&amp;$A134,実績!$AJ$6:$AJ$505,"&gt;"&amp;$A134,実績!$AL$6:$AL$505,"○")&gt;0,1,0))</f>
        <v>0</v>
      </c>
      <c r="DR134" s="39" t="n">
        <f aca="false">IF(DR$4=0,0,IF(COUNTIFS(実績!$W$6:$W$505,DR$3,実績!$AI$6:$AI$505,"&lt;="&amp;$A134,実績!$AJ$6:$AJ$505,"&gt;"&amp;$A134,実績!$AL$6:$AL$505,"○")&gt;0,1,0))</f>
        <v>0</v>
      </c>
      <c r="DS134" s="39" t="n">
        <f aca="false">SUM(C134:DR134)</f>
        <v>0</v>
      </c>
    </row>
    <row r="135" customFormat="false" ht="15" hidden="false" customHeight="false" outlineLevel="0" collapsed="false">
      <c r="A135" s="0" t="n">
        <v>645</v>
      </c>
      <c r="B135" s="38" t="n">
        <f aca="false">A135/1440</f>
        <v>0.447916666666667</v>
      </c>
      <c r="C135" s="39" t="n">
        <f aca="false">IF(C$4=0,0,IF(COUNTIFS(実績!$W$6:$W$505,C$3,実績!$AI$6:$AI$505,"&lt;="&amp;$A135,実績!$AJ$6:$AJ$505,"&gt;"&amp;$A135,実績!$AL$6:$AL$505,"○")&gt;0,1,0))</f>
        <v>0</v>
      </c>
      <c r="D135" s="39" t="n">
        <f aca="false">IF(D$4=0,0,IF(COUNTIFS(実績!$W$6:$W$505,D$3,実績!$AI$6:$AI$505,"&lt;="&amp;$A135,実績!$AJ$6:$AJ$505,"&gt;"&amp;$A135,実績!$AL$6:$AL$505,"○")&gt;0,1,0))</f>
        <v>0</v>
      </c>
      <c r="E135" s="39" t="n">
        <f aca="false">IF(E$4=0,0,IF(COUNTIFS(実績!$W$6:$W$505,E$3,実績!$AI$6:$AI$505,"&lt;="&amp;$A135,実績!$AJ$6:$AJ$505,"&gt;"&amp;$A135,実績!$AL$6:$AL$505,"○")&gt;0,1,0))</f>
        <v>0</v>
      </c>
      <c r="F135" s="39" t="n">
        <f aca="false">IF(F$4=0,0,IF(COUNTIFS(実績!$W$6:$W$505,F$3,実績!$AI$6:$AI$505,"&lt;="&amp;$A135,実績!$AJ$6:$AJ$505,"&gt;"&amp;$A135,実績!$AL$6:$AL$505,"○")&gt;0,1,0))</f>
        <v>0</v>
      </c>
      <c r="G135" s="39" t="n">
        <f aca="false">IF(G$4=0,0,IF(COUNTIFS(実績!$W$6:$W$505,G$3,実績!$AI$6:$AI$505,"&lt;="&amp;$A135,実績!$AJ$6:$AJ$505,"&gt;"&amp;$A135,実績!$AL$6:$AL$505,"○")&gt;0,1,0))</f>
        <v>0</v>
      </c>
      <c r="H135" s="39" t="n">
        <f aca="false">IF(H$4=0,0,IF(COUNTIFS(実績!$W$6:$W$505,H$3,実績!$AI$6:$AI$505,"&lt;="&amp;$A135,実績!$AJ$6:$AJ$505,"&gt;"&amp;$A135,実績!$AL$6:$AL$505,"○")&gt;0,1,0))</f>
        <v>0</v>
      </c>
      <c r="I135" s="39" t="n">
        <f aca="false">IF(I$4=0,0,IF(COUNTIFS(実績!$W$6:$W$505,I$3,実績!$AI$6:$AI$505,"&lt;="&amp;$A135,実績!$AJ$6:$AJ$505,"&gt;"&amp;$A135,実績!$AL$6:$AL$505,"○")&gt;0,1,0))</f>
        <v>0</v>
      </c>
      <c r="J135" s="39" t="n">
        <f aca="false">IF(J$4=0,0,IF(COUNTIFS(実績!$W$6:$W$505,J$3,実績!$AI$6:$AI$505,"&lt;="&amp;$A135,実績!$AJ$6:$AJ$505,"&gt;"&amp;$A135,実績!$AL$6:$AL$505,"○")&gt;0,1,0))</f>
        <v>0</v>
      </c>
      <c r="K135" s="39" t="n">
        <f aca="false">IF(K$4=0,0,IF(COUNTIFS(実績!$W$6:$W$505,K$3,実績!$AI$6:$AI$505,"&lt;="&amp;$A135,実績!$AJ$6:$AJ$505,"&gt;"&amp;$A135,実績!$AL$6:$AL$505,"○")&gt;0,1,0))</f>
        <v>0</v>
      </c>
      <c r="L135" s="39" t="n">
        <f aca="false">IF(L$4=0,0,IF(COUNTIFS(実績!$W$6:$W$505,L$3,実績!$AI$6:$AI$505,"&lt;="&amp;$A135,実績!$AJ$6:$AJ$505,"&gt;"&amp;$A135,実績!$AL$6:$AL$505,"○")&gt;0,1,0))</f>
        <v>0</v>
      </c>
      <c r="M135" s="39" t="n">
        <f aca="false">IF(M$4=0,0,IF(COUNTIFS(実績!$W$6:$W$505,M$3,実績!$AI$6:$AI$505,"&lt;="&amp;$A135,実績!$AJ$6:$AJ$505,"&gt;"&amp;$A135,実績!$AL$6:$AL$505,"○")&gt;0,1,0))</f>
        <v>0</v>
      </c>
      <c r="N135" s="39" t="n">
        <f aca="false">IF(N$4=0,0,IF(COUNTIFS(実績!$W$6:$W$505,N$3,実績!$AI$6:$AI$505,"&lt;="&amp;$A135,実績!$AJ$6:$AJ$505,"&gt;"&amp;$A135,実績!$AL$6:$AL$505,"○")&gt;0,1,0))</f>
        <v>0</v>
      </c>
      <c r="O135" s="39" t="n">
        <f aca="false">IF(O$4=0,0,IF(COUNTIFS(実績!$W$6:$W$505,O$3,実績!$AI$6:$AI$505,"&lt;="&amp;$A135,実績!$AJ$6:$AJ$505,"&gt;"&amp;$A135,実績!$AL$6:$AL$505,"○")&gt;0,1,0))</f>
        <v>0</v>
      </c>
      <c r="P135" s="39" t="n">
        <f aca="false">IF(P$4=0,0,IF(COUNTIFS(実績!$W$6:$W$505,P$3,実績!$AI$6:$AI$505,"&lt;="&amp;$A135,実績!$AJ$6:$AJ$505,"&gt;"&amp;$A135,実績!$AL$6:$AL$505,"○")&gt;0,1,0))</f>
        <v>0</v>
      </c>
      <c r="Q135" s="39" t="n">
        <f aca="false">IF(Q$4=0,0,IF(COUNTIFS(実績!$W$6:$W$505,Q$3,実績!$AI$6:$AI$505,"&lt;="&amp;$A135,実績!$AJ$6:$AJ$505,"&gt;"&amp;$A135,実績!$AL$6:$AL$505,"○")&gt;0,1,0))</f>
        <v>0</v>
      </c>
      <c r="R135" s="39" t="n">
        <f aca="false">IF(R$4=0,0,IF(COUNTIFS(実績!$W$6:$W$505,R$3,実績!$AI$6:$AI$505,"&lt;="&amp;$A135,実績!$AJ$6:$AJ$505,"&gt;"&amp;$A135,実績!$AL$6:$AL$505,"○")&gt;0,1,0))</f>
        <v>0</v>
      </c>
      <c r="S135" s="39" t="n">
        <f aca="false">IF(S$4=0,0,IF(COUNTIFS(実績!$W$6:$W$505,S$3,実績!$AI$6:$AI$505,"&lt;="&amp;$A135,実績!$AJ$6:$AJ$505,"&gt;"&amp;$A135,実績!$AL$6:$AL$505,"○")&gt;0,1,0))</f>
        <v>0</v>
      </c>
      <c r="T135" s="39" t="n">
        <f aca="false">IF(T$4=0,0,IF(COUNTIFS(実績!$W$6:$W$505,T$3,実績!$AI$6:$AI$505,"&lt;="&amp;$A135,実績!$AJ$6:$AJ$505,"&gt;"&amp;$A135,実績!$AL$6:$AL$505,"○")&gt;0,1,0))</f>
        <v>0</v>
      </c>
      <c r="U135" s="39" t="n">
        <f aca="false">IF(U$4=0,0,IF(COUNTIFS(実績!$W$6:$W$505,U$3,実績!$AI$6:$AI$505,"&lt;="&amp;$A135,実績!$AJ$6:$AJ$505,"&gt;"&amp;$A135,実績!$AL$6:$AL$505,"○")&gt;0,1,0))</f>
        <v>0</v>
      </c>
      <c r="V135" s="39" t="n">
        <f aca="false">IF(V$4=0,0,IF(COUNTIFS(実績!$W$6:$W$505,V$3,実績!$AI$6:$AI$505,"&lt;="&amp;$A135,実績!$AJ$6:$AJ$505,"&gt;"&amp;$A135,実績!$AL$6:$AL$505,"○")&gt;0,1,0))</f>
        <v>0</v>
      </c>
      <c r="W135" s="39" t="n">
        <f aca="false">IF(W$4=0,0,IF(COUNTIFS(実績!$W$6:$W$505,W$3,実績!$AI$6:$AI$505,"&lt;="&amp;$A135,実績!$AJ$6:$AJ$505,"&gt;"&amp;$A135,実績!$AL$6:$AL$505,"○")&gt;0,1,0))</f>
        <v>0</v>
      </c>
      <c r="X135" s="39" t="n">
        <f aca="false">IF(X$4=0,0,IF(COUNTIFS(実績!$W$6:$W$505,X$3,実績!$AI$6:$AI$505,"&lt;="&amp;$A135,実績!$AJ$6:$AJ$505,"&gt;"&amp;$A135,実績!$AL$6:$AL$505,"○")&gt;0,1,0))</f>
        <v>0</v>
      </c>
      <c r="Y135" s="39" t="n">
        <f aca="false">IF(Y$4=0,0,IF(COUNTIFS(実績!$W$6:$W$505,Y$3,実績!$AI$6:$AI$505,"&lt;="&amp;$A135,実績!$AJ$6:$AJ$505,"&gt;"&amp;$A135,実績!$AL$6:$AL$505,"○")&gt;0,1,0))</f>
        <v>0</v>
      </c>
      <c r="Z135" s="39" t="n">
        <f aca="false">IF(Z$4=0,0,IF(COUNTIFS(実績!$W$6:$W$505,Z$3,実績!$AI$6:$AI$505,"&lt;="&amp;$A135,実績!$AJ$6:$AJ$505,"&gt;"&amp;$A135,実績!$AL$6:$AL$505,"○")&gt;0,1,0))</f>
        <v>0</v>
      </c>
      <c r="AA135" s="39" t="n">
        <f aca="false">IF(AA$4=0,0,IF(COUNTIFS(実績!$W$6:$W$505,AA$3,実績!$AI$6:$AI$505,"&lt;="&amp;$A135,実績!$AJ$6:$AJ$505,"&gt;"&amp;$A135,実績!$AL$6:$AL$505,"○")&gt;0,1,0))</f>
        <v>0</v>
      </c>
      <c r="AB135" s="39" t="n">
        <f aca="false">IF(AB$4=0,0,IF(COUNTIFS(実績!$W$6:$W$505,AB$3,実績!$AI$6:$AI$505,"&lt;="&amp;$A135,実績!$AJ$6:$AJ$505,"&gt;"&amp;$A135,実績!$AL$6:$AL$505,"○")&gt;0,1,0))</f>
        <v>0</v>
      </c>
      <c r="AC135" s="39" t="n">
        <f aca="false">IF(AC$4=0,0,IF(COUNTIFS(実績!$W$6:$W$505,AC$3,実績!$AI$6:$AI$505,"&lt;="&amp;$A135,実績!$AJ$6:$AJ$505,"&gt;"&amp;$A135,実績!$AL$6:$AL$505,"○")&gt;0,1,0))</f>
        <v>0</v>
      </c>
      <c r="AD135" s="39" t="n">
        <f aca="false">IF(AD$4=0,0,IF(COUNTIFS(実績!$W$6:$W$505,AD$3,実績!$AI$6:$AI$505,"&lt;="&amp;$A135,実績!$AJ$6:$AJ$505,"&gt;"&amp;$A135,実績!$AL$6:$AL$505,"○")&gt;0,1,0))</f>
        <v>0</v>
      </c>
      <c r="AE135" s="39" t="n">
        <f aca="false">IF(AE$4=0,0,IF(COUNTIFS(実績!$W$6:$W$505,AE$3,実績!$AI$6:$AI$505,"&lt;="&amp;$A135,実績!$AJ$6:$AJ$505,"&gt;"&amp;$A135,実績!$AL$6:$AL$505,"○")&gt;0,1,0))</f>
        <v>0</v>
      </c>
      <c r="AF135" s="39" t="n">
        <f aca="false">IF(AF$4=0,0,IF(COUNTIFS(実績!$W$6:$W$505,AF$3,実績!$AI$6:$AI$505,"&lt;="&amp;$A135,実績!$AJ$6:$AJ$505,"&gt;"&amp;$A135,実績!$AL$6:$AL$505,"○")&gt;0,1,0))</f>
        <v>0</v>
      </c>
      <c r="AG135" s="39" t="n">
        <f aca="false">IF(AG$4=0,0,IF(COUNTIFS(実績!$W$6:$W$505,AG$3,実績!$AI$6:$AI$505,"&lt;="&amp;$A135,実績!$AJ$6:$AJ$505,"&gt;"&amp;$A135,実績!$AL$6:$AL$505,"○")&gt;0,1,0))</f>
        <v>0</v>
      </c>
      <c r="AH135" s="39" t="n">
        <f aca="false">IF(AH$4=0,0,IF(COUNTIFS(実績!$W$6:$W$505,AH$3,実績!$AI$6:$AI$505,"&lt;="&amp;$A135,実績!$AJ$6:$AJ$505,"&gt;"&amp;$A135,実績!$AL$6:$AL$505,"○")&gt;0,1,0))</f>
        <v>0</v>
      </c>
      <c r="AI135" s="39" t="n">
        <f aca="false">IF(AI$4=0,0,IF(COUNTIFS(実績!$W$6:$W$505,AI$3,実績!$AI$6:$AI$505,"&lt;="&amp;$A135,実績!$AJ$6:$AJ$505,"&gt;"&amp;$A135,実績!$AL$6:$AL$505,"○")&gt;0,1,0))</f>
        <v>0</v>
      </c>
      <c r="AJ135" s="39" t="n">
        <f aca="false">IF(AJ$4=0,0,IF(COUNTIFS(実績!$W$6:$W$505,AJ$3,実績!$AI$6:$AI$505,"&lt;="&amp;$A135,実績!$AJ$6:$AJ$505,"&gt;"&amp;$A135,実績!$AL$6:$AL$505,"○")&gt;0,1,0))</f>
        <v>0</v>
      </c>
      <c r="AK135" s="39" t="n">
        <f aca="false">IF(AK$4=0,0,IF(COUNTIFS(実績!$W$6:$W$505,AK$3,実績!$AI$6:$AI$505,"&lt;="&amp;$A135,実績!$AJ$6:$AJ$505,"&gt;"&amp;$A135,実績!$AL$6:$AL$505,"○")&gt;0,1,0))</f>
        <v>0</v>
      </c>
      <c r="AL135" s="39" t="n">
        <f aca="false">IF(AL$4=0,0,IF(COUNTIFS(実績!$W$6:$W$505,AL$3,実績!$AI$6:$AI$505,"&lt;="&amp;$A135,実績!$AJ$6:$AJ$505,"&gt;"&amp;$A135,実績!$AL$6:$AL$505,"○")&gt;0,1,0))</f>
        <v>0</v>
      </c>
      <c r="AM135" s="39" t="n">
        <f aca="false">IF(AM$4=0,0,IF(COUNTIFS(実績!$W$6:$W$505,AM$3,実績!$AI$6:$AI$505,"&lt;="&amp;$A135,実績!$AJ$6:$AJ$505,"&gt;"&amp;$A135,実績!$AL$6:$AL$505,"○")&gt;0,1,0))</f>
        <v>0</v>
      </c>
      <c r="AN135" s="39" t="n">
        <f aca="false">IF(AN$4=0,0,IF(COUNTIFS(実績!$W$6:$W$505,AN$3,実績!$AI$6:$AI$505,"&lt;="&amp;$A135,実績!$AJ$6:$AJ$505,"&gt;"&amp;$A135,実績!$AL$6:$AL$505,"○")&gt;0,1,0))</f>
        <v>0</v>
      </c>
      <c r="AO135" s="39" t="n">
        <f aca="false">IF(AO$4=0,0,IF(COUNTIFS(実績!$W$6:$W$505,AO$3,実績!$AI$6:$AI$505,"&lt;="&amp;$A135,実績!$AJ$6:$AJ$505,"&gt;"&amp;$A135,実績!$AL$6:$AL$505,"○")&gt;0,1,0))</f>
        <v>0</v>
      </c>
      <c r="AP135" s="39" t="n">
        <f aca="false">IF(AP$4=0,0,IF(COUNTIFS(実績!$W$6:$W$505,AP$3,実績!$AI$6:$AI$505,"&lt;="&amp;$A135,実績!$AJ$6:$AJ$505,"&gt;"&amp;$A135,実績!$AL$6:$AL$505,"○")&gt;0,1,0))</f>
        <v>0</v>
      </c>
      <c r="AQ135" s="39" t="n">
        <f aca="false">IF(AQ$4=0,0,IF(COUNTIFS(実績!$W$6:$W$505,AQ$3,実績!$AI$6:$AI$505,"&lt;="&amp;$A135,実績!$AJ$6:$AJ$505,"&gt;"&amp;$A135,実績!$AL$6:$AL$505,"○")&gt;0,1,0))</f>
        <v>0</v>
      </c>
      <c r="AR135" s="39" t="n">
        <f aca="false">IF(AR$4=0,0,IF(COUNTIFS(実績!$W$6:$W$505,AR$3,実績!$AI$6:$AI$505,"&lt;="&amp;$A135,実績!$AJ$6:$AJ$505,"&gt;"&amp;$A135,実績!$AL$6:$AL$505,"○")&gt;0,1,0))</f>
        <v>0</v>
      </c>
      <c r="AS135" s="39" t="n">
        <f aca="false">IF(AS$4=0,0,IF(COUNTIFS(実績!$W$6:$W$505,AS$3,実績!$AI$6:$AI$505,"&lt;="&amp;$A135,実績!$AJ$6:$AJ$505,"&gt;"&amp;$A135,実績!$AL$6:$AL$505,"○")&gt;0,1,0))</f>
        <v>0</v>
      </c>
      <c r="AT135" s="39" t="n">
        <f aca="false">IF(AT$4=0,0,IF(COUNTIFS(実績!$W$6:$W$505,AT$3,実績!$AI$6:$AI$505,"&lt;="&amp;$A135,実績!$AJ$6:$AJ$505,"&gt;"&amp;$A135,実績!$AL$6:$AL$505,"○")&gt;0,1,0))</f>
        <v>0</v>
      </c>
      <c r="AU135" s="39" t="n">
        <f aca="false">IF(AU$4=0,0,IF(COUNTIFS(実績!$W$6:$W$505,AU$3,実績!$AI$6:$AI$505,"&lt;="&amp;$A135,実績!$AJ$6:$AJ$505,"&gt;"&amp;$A135,実績!$AL$6:$AL$505,"○")&gt;0,1,0))</f>
        <v>0</v>
      </c>
      <c r="AV135" s="39" t="n">
        <f aca="false">IF(AV$4=0,0,IF(COUNTIFS(実績!$W$6:$W$505,AV$3,実績!$AI$6:$AI$505,"&lt;="&amp;$A135,実績!$AJ$6:$AJ$505,"&gt;"&amp;$A135,実績!$AL$6:$AL$505,"○")&gt;0,1,0))</f>
        <v>0</v>
      </c>
      <c r="AW135" s="39" t="n">
        <f aca="false">IF(AW$4=0,0,IF(COUNTIFS(実績!$W$6:$W$505,AW$3,実績!$AI$6:$AI$505,"&lt;="&amp;$A135,実績!$AJ$6:$AJ$505,"&gt;"&amp;$A135,実績!$AL$6:$AL$505,"○")&gt;0,1,0))</f>
        <v>0</v>
      </c>
      <c r="AX135" s="39" t="n">
        <f aca="false">IF(AX$4=0,0,IF(COUNTIFS(実績!$W$6:$W$505,AX$3,実績!$AI$6:$AI$505,"&lt;="&amp;$A135,実績!$AJ$6:$AJ$505,"&gt;"&amp;$A135,実績!$AL$6:$AL$505,"○")&gt;0,1,0))</f>
        <v>0</v>
      </c>
      <c r="AY135" s="39" t="n">
        <f aca="false">IF(AY$4=0,0,IF(COUNTIFS(実績!$W$6:$W$505,AY$3,実績!$AI$6:$AI$505,"&lt;="&amp;$A135,実績!$AJ$6:$AJ$505,"&gt;"&amp;$A135,実績!$AL$6:$AL$505,"○")&gt;0,1,0))</f>
        <v>0</v>
      </c>
      <c r="AZ135" s="39" t="n">
        <f aca="false">IF(AZ$4=0,0,IF(COUNTIFS(実績!$W$6:$W$505,AZ$3,実績!$AI$6:$AI$505,"&lt;="&amp;$A135,実績!$AJ$6:$AJ$505,"&gt;"&amp;$A135,実績!$AL$6:$AL$505,"○")&gt;0,1,0))</f>
        <v>0</v>
      </c>
      <c r="BA135" s="39" t="n">
        <f aca="false">IF(BA$4=0,0,IF(COUNTIFS(実績!$W$6:$W$505,BA$3,実績!$AI$6:$AI$505,"&lt;="&amp;$A135,実績!$AJ$6:$AJ$505,"&gt;"&amp;$A135,実績!$AL$6:$AL$505,"○")&gt;0,1,0))</f>
        <v>0</v>
      </c>
      <c r="BB135" s="39" t="n">
        <f aca="false">IF(BB$4=0,0,IF(COUNTIFS(実績!$W$6:$W$505,BB$3,実績!$AI$6:$AI$505,"&lt;="&amp;$A135,実績!$AJ$6:$AJ$505,"&gt;"&amp;$A135,実績!$AL$6:$AL$505,"○")&gt;0,1,0))</f>
        <v>0</v>
      </c>
      <c r="BC135" s="39" t="n">
        <f aca="false">IF(BC$4=0,0,IF(COUNTIFS(実績!$W$6:$W$505,BC$3,実績!$AI$6:$AI$505,"&lt;="&amp;$A135,実績!$AJ$6:$AJ$505,"&gt;"&amp;$A135,実績!$AL$6:$AL$505,"○")&gt;0,1,0))</f>
        <v>0</v>
      </c>
      <c r="BD135" s="39" t="n">
        <f aca="false">IF(BD$4=0,0,IF(COUNTIFS(実績!$W$6:$W$505,BD$3,実績!$AI$6:$AI$505,"&lt;="&amp;$A135,実績!$AJ$6:$AJ$505,"&gt;"&amp;$A135,実績!$AL$6:$AL$505,"○")&gt;0,1,0))</f>
        <v>0</v>
      </c>
      <c r="BE135" s="39" t="n">
        <f aca="false">IF(BE$4=0,0,IF(COUNTIFS(実績!$W$6:$W$505,BE$3,実績!$AI$6:$AI$505,"&lt;="&amp;$A135,実績!$AJ$6:$AJ$505,"&gt;"&amp;$A135,実績!$AL$6:$AL$505,"○")&gt;0,1,0))</f>
        <v>0</v>
      </c>
      <c r="BF135" s="39" t="n">
        <f aca="false">IF(BF$4=0,0,IF(COUNTIFS(実績!$W$6:$W$505,BF$3,実績!$AI$6:$AI$505,"&lt;="&amp;$A135,実績!$AJ$6:$AJ$505,"&gt;"&amp;$A135,実績!$AL$6:$AL$505,"○")&gt;0,1,0))</f>
        <v>0</v>
      </c>
      <c r="BG135" s="39" t="n">
        <f aca="false">IF(BG$4=0,0,IF(COUNTIFS(実績!$W$6:$W$505,BG$3,実績!$AI$6:$AI$505,"&lt;="&amp;$A135,実績!$AJ$6:$AJ$505,"&gt;"&amp;$A135,実績!$AL$6:$AL$505,"○")&gt;0,1,0))</f>
        <v>0</v>
      </c>
      <c r="BH135" s="39" t="n">
        <f aca="false">IF(BH$4=0,0,IF(COUNTIFS(実績!$W$6:$W$505,BH$3,実績!$AI$6:$AI$505,"&lt;="&amp;$A135,実績!$AJ$6:$AJ$505,"&gt;"&amp;$A135,実績!$AL$6:$AL$505,"○")&gt;0,1,0))</f>
        <v>0</v>
      </c>
      <c r="BI135" s="39" t="n">
        <f aca="false">IF(BI$4=0,0,IF(COUNTIFS(実績!$W$6:$W$505,BI$3,実績!$AI$6:$AI$505,"&lt;="&amp;$A135,実績!$AJ$6:$AJ$505,"&gt;"&amp;$A135,実績!$AL$6:$AL$505,"○")&gt;0,1,0))</f>
        <v>0</v>
      </c>
      <c r="BJ135" s="39" t="n">
        <f aca="false">IF(BJ$4=0,0,IF(COUNTIFS(実績!$W$6:$W$505,BJ$3,実績!$AI$6:$AI$505,"&lt;="&amp;$A135,実績!$AJ$6:$AJ$505,"&gt;"&amp;$A135,実績!$AL$6:$AL$505,"○")&gt;0,1,0))</f>
        <v>0</v>
      </c>
      <c r="BK135" s="39" t="n">
        <f aca="false">IF(BK$4=0,0,IF(COUNTIFS(実績!$W$6:$W$505,BK$3,実績!$AI$6:$AI$505,"&lt;="&amp;$A135,実績!$AJ$6:$AJ$505,"&gt;"&amp;$A135,実績!$AL$6:$AL$505,"○")&gt;0,1,0))</f>
        <v>0</v>
      </c>
      <c r="BL135" s="39" t="n">
        <f aca="false">IF(BL$4=0,0,IF(COUNTIFS(実績!$W$6:$W$505,BL$3,実績!$AI$6:$AI$505,"&lt;="&amp;$A135,実績!$AJ$6:$AJ$505,"&gt;"&amp;$A135,実績!$AL$6:$AL$505,"○")&gt;0,1,0))</f>
        <v>0</v>
      </c>
      <c r="BM135" s="39" t="n">
        <f aca="false">IF(BM$4=0,0,IF(COUNTIFS(実績!$W$6:$W$505,BM$3,実績!$AI$6:$AI$505,"&lt;="&amp;$A135,実績!$AJ$6:$AJ$505,"&gt;"&amp;$A135,実績!$AL$6:$AL$505,"○")&gt;0,1,0))</f>
        <v>0</v>
      </c>
      <c r="BN135" s="39" t="n">
        <f aca="false">IF(BN$4=0,0,IF(COUNTIFS(実績!$W$6:$W$505,BN$3,実績!$AI$6:$AI$505,"&lt;="&amp;$A135,実績!$AJ$6:$AJ$505,"&gt;"&amp;$A135,実績!$AL$6:$AL$505,"○")&gt;0,1,0))</f>
        <v>0</v>
      </c>
      <c r="BO135" s="39" t="n">
        <f aca="false">IF(BO$4=0,0,IF(COUNTIFS(実績!$W$6:$W$505,BO$3,実績!$AI$6:$AI$505,"&lt;="&amp;$A135,実績!$AJ$6:$AJ$505,"&gt;"&amp;$A135,実績!$AL$6:$AL$505,"○")&gt;0,1,0))</f>
        <v>0</v>
      </c>
      <c r="BP135" s="39" t="n">
        <f aca="false">IF(BP$4=0,0,IF(COUNTIFS(実績!$W$6:$W$505,BP$3,実績!$AI$6:$AI$505,"&lt;="&amp;$A135,実績!$AJ$6:$AJ$505,"&gt;"&amp;$A135,実績!$AL$6:$AL$505,"○")&gt;0,1,0))</f>
        <v>0</v>
      </c>
      <c r="BQ135" s="39" t="n">
        <f aca="false">IF(BQ$4=0,0,IF(COUNTIFS(実績!$W$6:$W$505,BQ$3,実績!$AI$6:$AI$505,"&lt;="&amp;$A135,実績!$AJ$6:$AJ$505,"&gt;"&amp;$A135,実績!$AL$6:$AL$505,"○")&gt;0,1,0))</f>
        <v>0</v>
      </c>
      <c r="BR135" s="39" t="n">
        <f aca="false">IF(BR$4=0,0,IF(COUNTIFS(実績!$W$6:$W$505,BR$3,実績!$AI$6:$AI$505,"&lt;="&amp;$A135,実績!$AJ$6:$AJ$505,"&gt;"&amp;$A135,実績!$AL$6:$AL$505,"○")&gt;0,1,0))</f>
        <v>0</v>
      </c>
      <c r="BS135" s="39" t="n">
        <f aca="false">IF(BS$4=0,0,IF(COUNTIFS(実績!$W$6:$W$505,BS$3,実績!$AI$6:$AI$505,"&lt;="&amp;$A135,実績!$AJ$6:$AJ$505,"&gt;"&amp;$A135,実績!$AL$6:$AL$505,"○")&gt;0,1,0))</f>
        <v>0</v>
      </c>
      <c r="BT135" s="39" t="n">
        <f aca="false">IF(BT$4=0,0,IF(COUNTIFS(実績!$W$6:$W$505,BT$3,実績!$AI$6:$AI$505,"&lt;="&amp;$A135,実績!$AJ$6:$AJ$505,"&gt;"&amp;$A135,実績!$AL$6:$AL$505,"○")&gt;0,1,0))</f>
        <v>0</v>
      </c>
      <c r="BU135" s="39" t="n">
        <f aca="false">IF(BU$4=0,0,IF(COUNTIFS(実績!$W$6:$W$505,BU$3,実績!$AI$6:$AI$505,"&lt;="&amp;$A135,実績!$AJ$6:$AJ$505,"&gt;"&amp;$A135,実績!$AL$6:$AL$505,"○")&gt;0,1,0))</f>
        <v>0</v>
      </c>
      <c r="BV135" s="39" t="n">
        <f aca="false">IF(BV$4=0,0,IF(COUNTIFS(実績!$W$6:$W$505,BV$3,実績!$AI$6:$AI$505,"&lt;="&amp;$A135,実績!$AJ$6:$AJ$505,"&gt;"&amp;$A135,実績!$AL$6:$AL$505,"○")&gt;0,1,0))</f>
        <v>0</v>
      </c>
      <c r="BW135" s="39" t="n">
        <f aca="false">IF(BW$4=0,0,IF(COUNTIFS(実績!$W$6:$W$505,BW$3,実績!$AI$6:$AI$505,"&lt;="&amp;$A135,実績!$AJ$6:$AJ$505,"&gt;"&amp;$A135,実績!$AL$6:$AL$505,"○")&gt;0,1,0))</f>
        <v>0</v>
      </c>
      <c r="BX135" s="39" t="n">
        <f aca="false">IF(BX$4=0,0,IF(COUNTIFS(実績!$W$6:$W$505,BX$3,実績!$AI$6:$AI$505,"&lt;="&amp;$A135,実績!$AJ$6:$AJ$505,"&gt;"&amp;$A135,実績!$AL$6:$AL$505,"○")&gt;0,1,0))</f>
        <v>0</v>
      </c>
      <c r="BY135" s="39" t="n">
        <f aca="false">IF(BY$4=0,0,IF(COUNTIFS(実績!$W$6:$W$505,BY$3,実績!$AI$6:$AI$505,"&lt;="&amp;$A135,実績!$AJ$6:$AJ$505,"&gt;"&amp;$A135,実績!$AL$6:$AL$505,"○")&gt;0,1,0))</f>
        <v>0</v>
      </c>
      <c r="BZ135" s="39" t="n">
        <f aca="false">IF(BZ$4=0,0,IF(COUNTIFS(実績!$W$6:$W$505,BZ$3,実績!$AI$6:$AI$505,"&lt;="&amp;$A135,実績!$AJ$6:$AJ$505,"&gt;"&amp;$A135,実績!$AL$6:$AL$505,"○")&gt;0,1,0))</f>
        <v>0</v>
      </c>
      <c r="CA135" s="39" t="n">
        <f aca="false">IF(CA$4=0,0,IF(COUNTIFS(実績!$W$6:$W$505,CA$3,実績!$AI$6:$AI$505,"&lt;="&amp;$A135,実績!$AJ$6:$AJ$505,"&gt;"&amp;$A135,実績!$AL$6:$AL$505,"○")&gt;0,1,0))</f>
        <v>0</v>
      </c>
      <c r="CB135" s="39" t="n">
        <f aca="false">IF(CB$4=0,0,IF(COUNTIFS(実績!$W$6:$W$505,CB$3,実績!$AI$6:$AI$505,"&lt;="&amp;$A135,実績!$AJ$6:$AJ$505,"&gt;"&amp;$A135,実績!$AL$6:$AL$505,"○")&gt;0,1,0))</f>
        <v>0</v>
      </c>
      <c r="CC135" s="39" t="n">
        <f aca="false">IF(CC$4=0,0,IF(COUNTIFS(実績!$W$6:$W$505,CC$3,実績!$AI$6:$AI$505,"&lt;="&amp;$A135,実績!$AJ$6:$AJ$505,"&gt;"&amp;$A135,実績!$AL$6:$AL$505,"○")&gt;0,1,0))</f>
        <v>0</v>
      </c>
      <c r="CD135" s="39" t="n">
        <f aca="false">IF(CD$4=0,0,IF(COUNTIFS(実績!$W$6:$W$505,CD$3,実績!$AI$6:$AI$505,"&lt;="&amp;$A135,実績!$AJ$6:$AJ$505,"&gt;"&amp;$A135,実績!$AL$6:$AL$505,"○")&gt;0,1,0))</f>
        <v>0</v>
      </c>
      <c r="CE135" s="39" t="n">
        <f aca="false">IF(CE$4=0,0,IF(COUNTIFS(実績!$W$6:$W$505,CE$3,実績!$AI$6:$AI$505,"&lt;="&amp;$A135,実績!$AJ$6:$AJ$505,"&gt;"&amp;$A135,実績!$AL$6:$AL$505,"○")&gt;0,1,0))</f>
        <v>0</v>
      </c>
      <c r="CF135" s="39" t="n">
        <f aca="false">IF(CF$4=0,0,IF(COUNTIFS(実績!$W$6:$W$505,CF$3,実績!$AI$6:$AI$505,"&lt;="&amp;$A135,実績!$AJ$6:$AJ$505,"&gt;"&amp;$A135,実績!$AL$6:$AL$505,"○")&gt;0,1,0))</f>
        <v>0</v>
      </c>
      <c r="CG135" s="39" t="n">
        <f aca="false">IF(CG$4=0,0,IF(COUNTIFS(実績!$W$6:$W$505,CG$3,実績!$AI$6:$AI$505,"&lt;="&amp;$A135,実績!$AJ$6:$AJ$505,"&gt;"&amp;$A135,実績!$AL$6:$AL$505,"○")&gt;0,1,0))</f>
        <v>0</v>
      </c>
      <c r="CH135" s="39" t="n">
        <f aca="false">IF(CH$4=0,0,IF(COUNTIFS(実績!$W$6:$W$505,CH$3,実績!$AI$6:$AI$505,"&lt;="&amp;$A135,実績!$AJ$6:$AJ$505,"&gt;"&amp;$A135,実績!$AL$6:$AL$505,"○")&gt;0,1,0))</f>
        <v>0</v>
      </c>
      <c r="CI135" s="39" t="n">
        <f aca="false">IF(CI$4=0,0,IF(COUNTIFS(実績!$W$6:$W$505,CI$3,実績!$AI$6:$AI$505,"&lt;="&amp;$A135,実績!$AJ$6:$AJ$505,"&gt;"&amp;$A135,実績!$AL$6:$AL$505,"○")&gt;0,1,0))</f>
        <v>0</v>
      </c>
      <c r="CJ135" s="39" t="n">
        <f aca="false">IF(CJ$4=0,0,IF(COUNTIFS(実績!$W$6:$W$505,CJ$3,実績!$AI$6:$AI$505,"&lt;="&amp;$A135,実績!$AJ$6:$AJ$505,"&gt;"&amp;$A135,実績!$AL$6:$AL$505,"○")&gt;0,1,0))</f>
        <v>0</v>
      </c>
      <c r="CK135" s="39" t="n">
        <f aca="false">IF(CK$4=0,0,IF(COUNTIFS(実績!$W$6:$W$505,CK$3,実績!$AI$6:$AI$505,"&lt;="&amp;$A135,実績!$AJ$6:$AJ$505,"&gt;"&amp;$A135,実績!$AL$6:$AL$505,"○")&gt;0,1,0))</f>
        <v>0</v>
      </c>
      <c r="CL135" s="39" t="n">
        <f aca="false">IF(CL$4=0,0,IF(COUNTIFS(実績!$W$6:$W$505,CL$3,実績!$AI$6:$AI$505,"&lt;="&amp;$A135,実績!$AJ$6:$AJ$505,"&gt;"&amp;$A135,実績!$AL$6:$AL$505,"○")&gt;0,1,0))</f>
        <v>0</v>
      </c>
      <c r="CM135" s="39" t="n">
        <f aca="false">IF(CM$4=0,0,IF(COUNTIFS(実績!$W$6:$W$505,CM$3,実績!$AI$6:$AI$505,"&lt;="&amp;$A135,実績!$AJ$6:$AJ$505,"&gt;"&amp;$A135,実績!$AL$6:$AL$505,"○")&gt;0,1,0))</f>
        <v>0</v>
      </c>
      <c r="CN135" s="39" t="n">
        <f aca="false">IF(CN$4=0,0,IF(COUNTIFS(実績!$W$6:$W$505,CN$3,実績!$AI$6:$AI$505,"&lt;="&amp;$A135,実績!$AJ$6:$AJ$505,"&gt;"&amp;$A135,実績!$AL$6:$AL$505,"○")&gt;0,1,0))</f>
        <v>0</v>
      </c>
      <c r="CO135" s="39" t="n">
        <f aca="false">IF(CO$4=0,0,IF(COUNTIFS(実績!$W$6:$W$505,CO$3,実績!$AI$6:$AI$505,"&lt;="&amp;$A135,実績!$AJ$6:$AJ$505,"&gt;"&amp;$A135,実績!$AL$6:$AL$505,"○")&gt;0,1,0))</f>
        <v>0</v>
      </c>
      <c r="CP135" s="39" t="n">
        <f aca="false">IF(CP$4=0,0,IF(COUNTIFS(実績!$W$6:$W$505,CP$3,実績!$AI$6:$AI$505,"&lt;="&amp;$A135,実績!$AJ$6:$AJ$505,"&gt;"&amp;$A135,実績!$AL$6:$AL$505,"○")&gt;0,1,0))</f>
        <v>0</v>
      </c>
      <c r="CQ135" s="39" t="n">
        <f aca="false">IF(CQ$4=0,0,IF(COUNTIFS(実績!$W$6:$W$505,CQ$3,実績!$AI$6:$AI$505,"&lt;="&amp;$A135,実績!$AJ$6:$AJ$505,"&gt;"&amp;$A135,実績!$AL$6:$AL$505,"○")&gt;0,1,0))</f>
        <v>0</v>
      </c>
      <c r="CR135" s="39" t="n">
        <f aca="false">IF(CR$4=0,0,IF(COUNTIFS(実績!$W$6:$W$505,CR$3,実績!$AI$6:$AI$505,"&lt;="&amp;$A135,実績!$AJ$6:$AJ$505,"&gt;"&amp;$A135,実績!$AL$6:$AL$505,"○")&gt;0,1,0))</f>
        <v>0</v>
      </c>
      <c r="CS135" s="39" t="n">
        <f aca="false">IF(CS$4=0,0,IF(COUNTIFS(実績!$W$6:$W$505,CS$3,実績!$AI$6:$AI$505,"&lt;="&amp;$A135,実績!$AJ$6:$AJ$505,"&gt;"&amp;$A135,実績!$AL$6:$AL$505,"○")&gt;0,1,0))</f>
        <v>0</v>
      </c>
      <c r="CT135" s="39" t="n">
        <f aca="false">IF(CT$4=0,0,IF(COUNTIFS(実績!$W$6:$W$505,CT$3,実績!$AI$6:$AI$505,"&lt;="&amp;$A135,実績!$AJ$6:$AJ$505,"&gt;"&amp;$A135,実績!$AL$6:$AL$505,"○")&gt;0,1,0))</f>
        <v>0</v>
      </c>
      <c r="CU135" s="39" t="n">
        <f aca="false">IF(CU$4=0,0,IF(COUNTIFS(実績!$W$6:$W$505,CU$3,実績!$AI$6:$AI$505,"&lt;="&amp;$A135,実績!$AJ$6:$AJ$505,"&gt;"&amp;$A135,実績!$AL$6:$AL$505,"○")&gt;0,1,0))</f>
        <v>0</v>
      </c>
      <c r="CV135" s="39" t="n">
        <f aca="false">IF(CV$4=0,0,IF(COUNTIFS(実績!$W$6:$W$505,CV$3,実績!$AI$6:$AI$505,"&lt;="&amp;$A135,実績!$AJ$6:$AJ$505,"&gt;"&amp;$A135,実績!$AL$6:$AL$505,"○")&gt;0,1,0))</f>
        <v>0</v>
      </c>
      <c r="CW135" s="39" t="n">
        <f aca="false">IF(CW$4=0,0,IF(COUNTIFS(実績!$W$6:$W$505,CW$3,実績!$AI$6:$AI$505,"&lt;="&amp;$A135,実績!$AJ$6:$AJ$505,"&gt;"&amp;$A135,実績!$AL$6:$AL$505,"○")&gt;0,1,0))</f>
        <v>0</v>
      </c>
      <c r="CX135" s="39" t="n">
        <f aca="false">IF(CX$4=0,0,IF(COUNTIFS(実績!$W$6:$W$505,CX$3,実績!$AI$6:$AI$505,"&lt;="&amp;$A135,実績!$AJ$6:$AJ$505,"&gt;"&amp;$A135,実績!$AL$6:$AL$505,"○")&gt;0,1,0))</f>
        <v>0</v>
      </c>
      <c r="CY135" s="39" t="n">
        <f aca="false">IF(CY$4=0,0,IF(COUNTIFS(実績!$W$6:$W$505,CY$3,実績!$AI$6:$AI$505,"&lt;="&amp;$A135,実績!$AJ$6:$AJ$505,"&gt;"&amp;$A135,実績!$AL$6:$AL$505,"○")&gt;0,1,0))</f>
        <v>0</v>
      </c>
      <c r="CZ135" s="39" t="n">
        <f aca="false">IF(CZ$4=0,0,IF(COUNTIFS(実績!$W$6:$W$505,CZ$3,実績!$AI$6:$AI$505,"&lt;="&amp;$A135,実績!$AJ$6:$AJ$505,"&gt;"&amp;$A135,実績!$AL$6:$AL$505,"○")&gt;0,1,0))</f>
        <v>0</v>
      </c>
      <c r="DA135" s="39" t="n">
        <f aca="false">IF(DA$4=0,0,IF(COUNTIFS(実績!$W$6:$W$505,DA$3,実績!$AI$6:$AI$505,"&lt;="&amp;$A135,実績!$AJ$6:$AJ$505,"&gt;"&amp;$A135,実績!$AL$6:$AL$505,"○")&gt;0,1,0))</f>
        <v>0</v>
      </c>
      <c r="DB135" s="39" t="n">
        <f aca="false">IF(DB$4=0,0,IF(COUNTIFS(実績!$W$6:$W$505,DB$3,実績!$AI$6:$AI$505,"&lt;="&amp;$A135,実績!$AJ$6:$AJ$505,"&gt;"&amp;$A135,実績!$AL$6:$AL$505,"○")&gt;0,1,0))</f>
        <v>0</v>
      </c>
      <c r="DC135" s="39" t="n">
        <f aca="false">IF(DC$4=0,0,IF(COUNTIFS(実績!$W$6:$W$505,DC$3,実績!$AI$6:$AI$505,"&lt;="&amp;$A135,実績!$AJ$6:$AJ$505,"&gt;"&amp;$A135,実績!$AL$6:$AL$505,"○")&gt;0,1,0))</f>
        <v>0</v>
      </c>
      <c r="DD135" s="39" t="n">
        <f aca="false">IF(DD$4=0,0,IF(COUNTIFS(実績!$W$6:$W$505,DD$3,実績!$AI$6:$AI$505,"&lt;="&amp;$A135,実績!$AJ$6:$AJ$505,"&gt;"&amp;$A135,実績!$AL$6:$AL$505,"○")&gt;0,1,0))</f>
        <v>0</v>
      </c>
      <c r="DE135" s="39" t="n">
        <f aca="false">IF(DE$4=0,0,IF(COUNTIFS(実績!$W$6:$W$505,DE$3,実績!$AI$6:$AI$505,"&lt;="&amp;$A135,実績!$AJ$6:$AJ$505,"&gt;"&amp;$A135,実績!$AL$6:$AL$505,"○")&gt;0,1,0))</f>
        <v>0</v>
      </c>
      <c r="DF135" s="39" t="n">
        <f aca="false">IF(DF$4=0,0,IF(COUNTIFS(実績!$W$6:$W$505,DF$3,実績!$AI$6:$AI$505,"&lt;="&amp;$A135,実績!$AJ$6:$AJ$505,"&gt;"&amp;$A135,実績!$AL$6:$AL$505,"○")&gt;0,1,0))</f>
        <v>0</v>
      </c>
      <c r="DG135" s="39" t="n">
        <f aca="false">IF(DG$4=0,0,IF(COUNTIFS(実績!$W$6:$W$505,DG$3,実績!$AI$6:$AI$505,"&lt;="&amp;$A135,実績!$AJ$6:$AJ$505,"&gt;"&amp;$A135,実績!$AL$6:$AL$505,"○")&gt;0,1,0))</f>
        <v>0</v>
      </c>
      <c r="DH135" s="39" t="n">
        <f aca="false">IF(DH$4=0,0,IF(COUNTIFS(実績!$W$6:$W$505,DH$3,実績!$AI$6:$AI$505,"&lt;="&amp;$A135,実績!$AJ$6:$AJ$505,"&gt;"&amp;$A135,実績!$AL$6:$AL$505,"○")&gt;0,1,0))</f>
        <v>0</v>
      </c>
      <c r="DI135" s="39" t="n">
        <f aca="false">IF(DI$4=0,0,IF(COUNTIFS(実績!$W$6:$W$505,DI$3,実績!$AI$6:$AI$505,"&lt;="&amp;$A135,実績!$AJ$6:$AJ$505,"&gt;"&amp;$A135,実績!$AL$6:$AL$505,"○")&gt;0,1,0))</f>
        <v>0</v>
      </c>
      <c r="DJ135" s="39" t="n">
        <f aca="false">IF(DJ$4=0,0,IF(COUNTIFS(実績!$W$6:$W$505,DJ$3,実績!$AI$6:$AI$505,"&lt;="&amp;$A135,実績!$AJ$6:$AJ$505,"&gt;"&amp;$A135,実績!$AL$6:$AL$505,"○")&gt;0,1,0))</f>
        <v>0</v>
      </c>
      <c r="DK135" s="39" t="n">
        <f aca="false">IF(DK$4=0,0,IF(COUNTIFS(実績!$W$6:$W$505,DK$3,実績!$AI$6:$AI$505,"&lt;="&amp;$A135,実績!$AJ$6:$AJ$505,"&gt;"&amp;$A135,実績!$AL$6:$AL$505,"○")&gt;0,1,0))</f>
        <v>0</v>
      </c>
      <c r="DL135" s="39" t="n">
        <f aca="false">IF(DL$4=0,0,IF(COUNTIFS(実績!$W$6:$W$505,DL$3,実績!$AI$6:$AI$505,"&lt;="&amp;$A135,実績!$AJ$6:$AJ$505,"&gt;"&amp;$A135,実績!$AL$6:$AL$505,"○")&gt;0,1,0))</f>
        <v>0</v>
      </c>
      <c r="DM135" s="39" t="n">
        <f aca="false">IF(DM$4=0,0,IF(COUNTIFS(実績!$W$6:$W$505,DM$3,実績!$AI$6:$AI$505,"&lt;="&amp;$A135,実績!$AJ$6:$AJ$505,"&gt;"&amp;$A135,実績!$AL$6:$AL$505,"○")&gt;0,1,0))</f>
        <v>0</v>
      </c>
      <c r="DN135" s="39" t="n">
        <f aca="false">IF(DN$4=0,0,IF(COUNTIFS(実績!$W$6:$W$505,DN$3,実績!$AI$6:$AI$505,"&lt;="&amp;$A135,実績!$AJ$6:$AJ$505,"&gt;"&amp;$A135,実績!$AL$6:$AL$505,"○")&gt;0,1,0))</f>
        <v>0</v>
      </c>
      <c r="DO135" s="39" t="n">
        <f aca="false">IF(DO$4=0,0,IF(COUNTIFS(実績!$W$6:$W$505,DO$3,実績!$AI$6:$AI$505,"&lt;="&amp;$A135,実績!$AJ$6:$AJ$505,"&gt;"&amp;$A135,実績!$AL$6:$AL$505,"○")&gt;0,1,0))</f>
        <v>0</v>
      </c>
      <c r="DP135" s="39" t="n">
        <f aca="false">IF(DP$4=0,0,IF(COUNTIFS(実績!$W$6:$W$505,DP$3,実績!$AI$6:$AI$505,"&lt;="&amp;$A135,実績!$AJ$6:$AJ$505,"&gt;"&amp;$A135,実績!$AL$6:$AL$505,"○")&gt;0,1,0))</f>
        <v>0</v>
      </c>
      <c r="DQ135" s="39" t="n">
        <f aca="false">IF(DQ$4=0,0,IF(COUNTIFS(実績!$W$6:$W$505,DQ$3,実績!$AI$6:$AI$505,"&lt;="&amp;$A135,実績!$AJ$6:$AJ$505,"&gt;"&amp;$A135,実績!$AL$6:$AL$505,"○")&gt;0,1,0))</f>
        <v>0</v>
      </c>
      <c r="DR135" s="39" t="n">
        <f aca="false">IF(DR$4=0,0,IF(COUNTIFS(実績!$W$6:$W$505,DR$3,実績!$AI$6:$AI$505,"&lt;="&amp;$A135,実績!$AJ$6:$AJ$505,"&gt;"&amp;$A135,実績!$AL$6:$AL$505,"○")&gt;0,1,0))</f>
        <v>0</v>
      </c>
      <c r="DS135" s="39" t="n">
        <f aca="false">SUM(C135:DR135)</f>
        <v>0</v>
      </c>
    </row>
    <row r="136" customFormat="false" ht="15" hidden="false" customHeight="false" outlineLevel="0" collapsed="false">
      <c r="A136" s="0" t="n">
        <v>650</v>
      </c>
      <c r="B136" s="38" t="n">
        <f aca="false">A136/1440</f>
        <v>0.451388888888889</v>
      </c>
      <c r="C136" s="39" t="n">
        <f aca="false">IF(C$4=0,0,IF(COUNTIFS(実績!$W$6:$W$505,C$3,実績!$AI$6:$AI$505,"&lt;="&amp;$A136,実績!$AJ$6:$AJ$505,"&gt;"&amp;$A136,実績!$AL$6:$AL$505,"○")&gt;0,1,0))</f>
        <v>0</v>
      </c>
      <c r="D136" s="39" t="n">
        <f aca="false">IF(D$4=0,0,IF(COUNTIFS(実績!$W$6:$W$505,D$3,実績!$AI$6:$AI$505,"&lt;="&amp;$A136,実績!$AJ$6:$AJ$505,"&gt;"&amp;$A136,実績!$AL$6:$AL$505,"○")&gt;0,1,0))</f>
        <v>0</v>
      </c>
      <c r="E136" s="39" t="n">
        <f aca="false">IF(E$4=0,0,IF(COUNTIFS(実績!$W$6:$W$505,E$3,実績!$AI$6:$AI$505,"&lt;="&amp;$A136,実績!$AJ$6:$AJ$505,"&gt;"&amp;$A136,実績!$AL$6:$AL$505,"○")&gt;0,1,0))</f>
        <v>0</v>
      </c>
      <c r="F136" s="39" t="n">
        <f aca="false">IF(F$4=0,0,IF(COUNTIFS(実績!$W$6:$W$505,F$3,実績!$AI$6:$AI$505,"&lt;="&amp;$A136,実績!$AJ$6:$AJ$505,"&gt;"&amp;$A136,実績!$AL$6:$AL$505,"○")&gt;0,1,0))</f>
        <v>0</v>
      </c>
      <c r="G136" s="39" t="n">
        <f aca="false">IF(G$4=0,0,IF(COUNTIFS(実績!$W$6:$W$505,G$3,実績!$AI$6:$AI$505,"&lt;="&amp;$A136,実績!$AJ$6:$AJ$505,"&gt;"&amp;$A136,実績!$AL$6:$AL$505,"○")&gt;0,1,0))</f>
        <v>0</v>
      </c>
      <c r="H136" s="39" t="n">
        <f aca="false">IF(H$4=0,0,IF(COUNTIFS(実績!$W$6:$W$505,H$3,実績!$AI$6:$AI$505,"&lt;="&amp;$A136,実績!$AJ$6:$AJ$505,"&gt;"&amp;$A136,実績!$AL$6:$AL$505,"○")&gt;0,1,0))</f>
        <v>0</v>
      </c>
      <c r="I136" s="39" t="n">
        <f aca="false">IF(I$4=0,0,IF(COUNTIFS(実績!$W$6:$W$505,I$3,実績!$AI$6:$AI$505,"&lt;="&amp;$A136,実績!$AJ$6:$AJ$505,"&gt;"&amp;$A136,実績!$AL$6:$AL$505,"○")&gt;0,1,0))</f>
        <v>0</v>
      </c>
      <c r="J136" s="39" t="n">
        <f aca="false">IF(J$4=0,0,IF(COUNTIFS(実績!$W$6:$W$505,J$3,実績!$AI$6:$AI$505,"&lt;="&amp;$A136,実績!$AJ$6:$AJ$505,"&gt;"&amp;$A136,実績!$AL$6:$AL$505,"○")&gt;0,1,0))</f>
        <v>0</v>
      </c>
      <c r="K136" s="39" t="n">
        <f aca="false">IF(K$4=0,0,IF(COUNTIFS(実績!$W$6:$W$505,K$3,実績!$AI$6:$AI$505,"&lt;="&amp;$A136,実績!$AJ$6:$AJ$505,"&gt;"&amp;$A136,実績!$AL$6:$AL$505,"○")&gt;0,1,0))</f>
        <v>0</v>
      </c>
      <c r="L136" s="39" t="n">
        <f aca="false">IF(L$4=0,0,IF(COUNTIFS(実績!$W$6:$W$505,L$3,実績!$AI$6:$AI$505,"&lt;="&amp;$A136,実績!$AJ$6:$AJ$505,"&gt;"&amp;$A136,実績!$AL$6:$AL$505,"○")&gt;0,1,0))</f>
        <v>0</v>
      </c>
      <c r="M136" s="39" t="n">
        <f aca="false">IF(M$4=0,0,IF(COUNTIFS(実績!$W$6:$W$505,M$3,実績!$AI$6:$AI$505,"&lt;="&amp;$A136,実績!$AJ$6:$AJ$505,"&gt;"&amp;$A136,実績!$AL$6:$AL$505,"○")&gt;0,1,0))</f>
        <v>0</v>
      </c>
      <c r="N136" s="39" t="n">
        <f aca="false">IF(N$4=0,0,IF(COUNTIFS(実績!$W$6:$W$505,N$3,実績!$AI$6:$AI$505,"&lt;="&amp;$A136,実績!$AJ$6:$AJ$505,"&gt;"&amp;$A136,実績!$AL$6:$AL$505,"○")&gt;0,1,0))</f>
        <v>0</v>
      </c>
      <c r="O136" s="39" t="n">
        <f aca="false">IF(O$4=0,0,IF(COUNTIFS(実績!$W$6:$W$505,O$3,実績!$AI$6:$AI$505,"&lt;="&amp;$A136,実績!$AJ$6:$AJ$505,"&gt;"&amp;$A136,実績!$AL$6:$AL$505,"○")&gt;0,1,0))</f>
        <v>0</v>
      </c>
      <c r="P136" s="39" t="n">
        <f aca="false">IF(P$4=0,0,IF(COUNTIFS(実績!$W$6:$W$505,P$3,実績!$AI$6:$AI$505,"&lt;="&amp;$A136,実績!$AJ$6:$AJ$505,"&gt;"&amp;$A136,実績!$AL$6:$AL$505,"○")&gt;0,1,0))</f>
        <v>0</v>
      </c>
      <c r="Q136" s="39" t="n">
        <f aca="false">IF(Q$4=0,0,IF(COUNTIFS(実績!$W$6:$W$505,Q$3,実績!$AI$6:$AI$505,"&lt;="&amp;$A136,実績!$AJ$6:$AJ$505,"&gt;"&amp;$A136,実績!$AL$6:$AL$505,"○")&gt;0,1,0))</f>
        <v>0</v>
      </c>
      <c r="R136" s="39" t="n">
        <f aca="false">IF(R$4=0,0,IF(COUNTIFS(実績!$W$6:$W$505,R$3,実績!$AI$6:$AI$505,"&lt;="&amp;$A136,実績!$AJ$6:$AJ$505,"&gt;"&amp;$A136,実績!$AL$6:$AL$505,"○")&gt;0,1,0))</f>
        <v>0</v>
      </c>
      <c r="S136" s="39" t="n">
        <f aca="false">IF(S$4=0,0,IF(COUNTIFS(実績!$W$6:$W$505,S$3,実績!$AI$6:$AI$505,"&lt;="&amp;$A136,実績!$AJ$6:$AJ$505,"&gt;"&amp;$A136,実績!$AL$6:$AL$505,"○")&gt;0,1,0))</f>
        <v>0</v>
      </c>
      <c r="T136" s="39" t="n">
        <f aca="false">IF(T$4=0,0,IF(COUNTIFS(実績!$W$6:$W$505,T$3,実績!$AI$6:$AI$505,"&lt;="&amp;$A136,実績!$AJ$6:$AJ$505,"&gt;"&amp;$A136,実績!$AL$6:$AL$505,"○")&gt;0,1,0))</f>
        <v>0</v>
      </c>
      <c r="U136" s="39" t="n">
        <f aca="false">IF(U$4=0,0,IF(COUNTIFS(実績!$W$6:$W$505,U$3,実績!$AI$6:$AI$505,"&lt;="&amp;$A136,実績!$AJ$6:$AJ$505,"&gt;"&amp;$A136,実績!$AL$6:$AL$505,"○")&gt;0,1,0))</f>
        <v>0</v>
      </c>
      <c r="V136" s="39" t="n">
        <f aca="false">IF(V$4=0,0,IF(COUNTIFS(実績!$W$6:$W$505,V$3,実績!$AI$6:$AI$505,"&lt;="&amp;$A136,実績!$AJ$6:$AJ$505,"&gt;"&amp;$A136,実績!$AL$6:$AL$505,"○")&gt;0,1,0))</f>
        <v>0</v>
      </c>
      <c r="W136" s="39" t="n">
        <f aca="false">IF(W$4=0,0,IF(COUNTIFS(実績!$W$6:$W$505,W$3,実績!$AI$6:$AI$505,"&lt;="&amp;$A136,実績!$AJ$6:$AJ$505,"&gt;"&amp;$A136,実績!$AL$6:$AL$505,"○")&gt;0,1,0))</f>
        <v>0</v>
      </c>
      <c r="X136" s="39" t="n">
        <f aca="false">IF(X$4=0,0,IF(COUNTIFS(実績!$W$6:$W$505,X$3,実績!$AI$6:$AI$505,"&lt;="&amp;$A136,実績!$AJ$6:$AJ$505,"&gt;"&amp;$A136,実績!$AL$6:$AL$505,"○")&gt;0,1,0))</f>
        <v>0</v>
      </c>
      <c r="Y136" s="39" t="n">
        <f aca="false">IF(Y$4=0,0,IF(COUNTIFS(実績!$W$6:$W$505,Y$3,実績!$AI$6:$AI$505,"&lt;="&amp;$A136,実績!$AJ$6:$AJ$505,"&gt;"&amp;$A136,実績!$AL$6:$AL$505,"○")&gt;0,1,0))</f>
        <v>0</v>
      </c>
      <c r="Z136" s="39" t="n">
        <f aca="false">IF(Z$4=0,0,IF(COUNTIFS(実績!$W$6:$W$505,Z$3,実績!$AI$6:$AI$505,"&lt;="&amp;$A136,実績!$AJ$6:$AJ$505,"&gt;"&amp;$A136,実績!$AL$6:$AL$505,"○")&gt;0,1,0))</f>
        <v>0</v>
      </c>
      <c r="AA136" s="39" t="n">
        <f aca="false">IF(AA$4=0,0,IF(COUNTIFS(実績!$W$6:$W$505,AA$3,実績!$AI$6:$AI$505,"&lt;="&amp;$A136,実績!$AJ$6:$AJ$505,"&gt;"&amp;$A136,実績!$AL$6:$AL$505,"○")&gt;0,1,0))</f>
        <v>0</v>
      </c>
      <c r="AB136" s="39" t="n">
        <f aca="false">IF(AB$4=0,0,IF(COUNTIFS(実績!$W$6:$W$505,AB$3,実績!$AI$6:$AI$505,"&lt;="&amp;$A136,実績!$AJ$6:$AJ$505,"&gt;"&amp;$A136,実績!$AL$6:$AL$505,"○")&gt;0,1,0))</f>
        <v>0</v>
      </c>
      <c r="AC136" s="39" t="n">
        <f aca="false">IF(AC$4=0,0,IF(COUNTIFS(実績!$W$6:$W$505,AC$3,実績!$AI$6:$AI$505,"&lt;="&amp;$A136,実績!$AJ$6:$AJ$505,"&gt;"&amp;$A136,実績!$AL$6:$AL$505,"○")&gt;0,1,0))</f>
        <v>0</v>
      </c>
      <c r="AD136" s="39" t="n">
        <f aca="false">IF(AD$4=0,0,IF(COUNTIFS(実績!$W$6:$W$505,AD$3,実績!$AI$6:$AI$505,"&lt;="&amp;$A136,実績!$AJ$6:$AJ$505,"&gt;"&amp;$A136,実績!$AL$6:$AL$505,"○")&gt;0,1,0))</f>
        <v>0</v>
      </c>
      <c r="AE136" s="39" t="n">
        <f aca="false">IF(AE$4=0,0,IF(COUNTIFS(実績!$W$6:$W$505,AE$3,実績!$AI$6:$AI$505,"&lt;="&amp;$A136,実績!$AJ$6:$AJ$505,"&gt;"&amp;$A136,実績!$AL$6:$AL$505,"○")&gt;0,1,0))</f>
        <v>0</v>
      </c>
      <c r="AF136" s="39" t="n">
        <f aca="false">IF(AF$4=0,0,IF(COUNTIFS(実績!$W$6:$W$505,AF$3,実績!$AI$6:$AI$505,"&lt;="&amp;$A136,実績!$AJ$6:$AJ$505,"&gt;"&amp;$A136,実績!$AL$6:$AL$505,"○")&gt;0,1,0))</f>
        <v>0</v>
      </c>
      <c r="AG136" s="39" t="n">
        <f aca="false">IF(AG$4=0,0,IF(COUNTIFS(実績!$W$6:$W$505,AG$3,実績!$AI$6:$AI$505,"&lt;="&amp;$A136,実績!$AJ$6:$AJ$505,"&gt;"&amp;$A136,実績!$AL$6:$AL$505,"○")&gt;0,1,0))</f>
        <v>0</v>
      </c>
      <c r="AH136" s="39" t="n">
        <f aca="false">IF(AH$4=0,0,IF(COUNTIFS(実績!$W$6:$W$505,AH$3,実績!$AI$6:$AI$505,"&lt;="&amp;$A136,実績!$AJ$6:$AJ$505,"&gt;"&amp;$A136,実績!$AL$6:$AL$505,"○")&gt;0,1,0))</f>
        <v>0</v>
      </c>
      <c r="AI136" s="39" t="n">
        <f aca="false">IF(AI$4=0,0,IF(COUNTIFS(実績!$W$6:$W$505,AI$3,実績!$AI$6:$AI$505,"&lt;="&amp;$A136,実績!$AJ$6:$AJ$505,"&gt;"&amp;$A136,実績!$AL$6:$AL$505,"○")&gt;0,1,0))</f>
        <v>0</v>
      </c>
      <c r="AJ136" s="39" t="n">
        <f aca="false">IF(AJ$4=0,0,IF(COUNTIFS(実績!$W$6:$W$505,AJ$3,実績!$AI$6:$AI$505,"&lt;="&amp;$A136,実績!$AJ$6:$AJ$505,"&gt;"&amp;$A136,実績!$AL$6:$AL$505,"○")&gt;0,1,0))</f>
        <v>0</v>
      </c>
      <c r="AK136" s="39" t="n">
        <f aca="false">IF(AK$4=0,0,IF(COUNTIFS(実績!$W$6:$W$505,AK$3,実績!$AI$6:$AI$505,"&lt;="&amp;$A136,実績!$AJ$6:$AJ$505,"&gt;"&amp;$A136,実績!$AL$6:$AL$505,"○")&gt;0,1,0))</f>
        <v>0</v>
      </c>
      <c r="AL136" s="39" t="n">
        <f aca="false">IF(AL$4=0,0,IF(COUNTIFS(実績!$W$6:$W$505,AL$3,実績!$AI$6:$AI$505,"&lt;="&amp;$A136,実績!$AJ$6:$AJ$505,"&gt;"&amp;$A136,実績!$AL$6:$AL$505,"○")&gt;0,1,0))</f>
        <v>0</v>
      </c>
      <c r="AM136" s="39" t="n">
        <f aca="false">IF(AM$4=0,0,IF(COUNTIFS(実績!$W$6:$W$505,AM$3,実績!$AI$6:$AI$505,"&lt;="&amp;$A136,実績!$AJ$6:$AJ$505,"&gt;"&amp;$A136,実績!$AL$6:$AL$505,"○")&gt;0,1,0))</f>
        <v>0</v>
      </c>
      <c r="AN136" s="39" t="n">
        <f aca="false">IF(AN$4=0,0,IF(COUNTIFS(実績!$W$6:$W$505,AN$3,実績!$AI$6:$AI$505,"&lt;="&amp;$A136,実績!$AJ$6:$AJ$505,"&gt;"&amp;$A136,実績!$AL$6:$AL$505,"○")&gt;0,1,0))</f>
        <v>0</v>
      </c>
      <c r="AO136" s="39" t="n">
        <f aca="false">IF(AO$4=0,0,IF(COUNTIFS(実績!$W$6:$W$505,AO$3,実績!$AI$6:$AI$505,"&lt;="&amp;$A136,実績!$AJ$6:$AJ$505,"&gt;"&amp;$A136,実績!$AL$6:$AL$505,"○")&gt;0,1,0))</f>
        <v>0</v>
      </c>
      <c r="AP136" s="39" t="n">
        <f aca="false">IF(AP$4=0,0,IF(COUNTIFS(実績!$W$6:$W$505,AP$3,実績!$AI$6:$AI$505,"&lt;="&amp;$A136,実績!$AJ$6:$AJ$505,"&gt;"&amp;$A136,実績!$AL$6:$AL$505,"○")&gt;0,1,0))</f>
        <v>0</v>
      </c>
      <c r="AQ136" s="39" t="n">
        <f aca="false">IF(AQ$4=0,0,IF(COUNTIFS(実績!$W$6:$W$505,AQ$3,実績!$AI$6:$AI$505,"&lt;="&amp;$A136,実績!$AJ$6:$AJ$505,"&gt;"&amp;$A136,実績!$AL$6:$AL$505,"○")&gt;0,1,0))</f>
        <v>0</v>
      </c>
      <c r="AR136" s="39" t="n">
        <f aca="false">IF(AR$4=0,0,IF(COUNTIFS(実績!$W$6:$W$505,AR$3,実績!$AI$6:$AI$505,"&lt;="&amp;$A136,実績!$AJ$6:$AJ$505,"&gt;"&amp;$A136,実績!$AL$6:$AL$505,"○")&gt;0,1,0))</f>
        <v>0</v>
      </c>
      <c r="AS136" s="39" t="n">
        <f aca="false">IF(AS$4=0,0,IF(COUNTIFS(実績!$W$6:$W$505,AS$3,実績!$AI$6:$AI$505,"&lt;="&amp;$A136,実績!$AJ$6:$AJ$505,"&gt;"&amp;$A136,実績!$AL$6:$AL$505,"○")&gt;0,1,0))</f>
        <v>0</v>
      </c>
      <c r="AT136" s="39" t="n">
        <f aca="false">IF(AT$4=0,0,IF(COUNTIFS(実績!$W$6:$W$505,AT$3,実績!$AI$6:$AI$505,"&lt;="&amp;$A136,実績!$AJ$6:$AJ$505,"&gt;"&amp;$A136,実績!$AL$6:$AL$505,"○")&gt;0,1,0))</f>
        <v>0</v>
      </c>
      <c r="AU136" s="39" t="n">
        <f aca="false">IF(AU$4=0,0,IF(COUNTIFS(実績!$W$6:$W$505,AU$3,実績!$AI$6:$AI$505,"&lt;="&amp;$A136,実績!$AJ$6:$AJ$505,"&gt;"&amp;$A136,実績!$AL$6:$AL$505,"○")&gt;0,1,0))</f>
        <v>0</v>
      </c>
      <c r="AV136" s="39" t="n">
        <f aca="false">IF(AV$4=0,0,IF(COUNTIFS(実績!$W$6:$W$505,AV$3,実績!$AI$6:$AI$505,"&lt;="&amp;$A136,実績!$AJ$6:$AJ$505,"&gt;"&amp;$A136,実績!$AL$6:$AL$505,"○")&gt;0,1,0))</f>
        <v>0</v>
      </c>
      <c r="AW136" s="39" t="n">
        <f aca="false">IF(AW$4=0,0,IF(COUNTIFS(実績!$W$6:$W$505,AW$3,実績!$AI$6:$AI$505,"&lt;="&amp;$A136,実績!$AJ$6:$AJ$505,"&gt;"&amp;$A136,実績!$AL$6:$AL$505,"○")&gt;0,1,0))</f>
        <v>0</v>
      </c>
      <c r="AX136" s="39" t="n">
        <f aca="false">IF(AX$4=0,0,IF(COUNTIFS(実績!$W$6:$W$505,AX$3,実績!$AI$6:$AI$505,"&lt;="&amp;$A136,実績!$AJ$6:$AJ$505,"&gt;"&amp;$A136,実績!$AL$6:$AL$505,"○")&gt;0,1,0))</f>
        <v>0</v>
      </c>
      <c r="AY136" s="39" t="n">
        <f aca="false">IF(AY$4=0,0,IF(COUNTIFS(実績!$W$6:$W$505,AY$3,実績!$AI$6:$AI$505,"&lt;="&amp;$A136,実績!$AJ$6:$AJ$505,"&gt;"&amp;$A136,実績!$AL$6:$AL$505,"○")&gt;0,1,0))</f>
        <v>0</v>
      </c>
      <c r="AZ136" s="39" t="n">
        <f aca="false">IF(AZ$4=0,0,IF(COUNTIFS(実績!$W$6:$W$505,AZ$3,実績!$AI$6:$AI$505,"&lt;="&amp;$A136,実績!$AJ$6:$AJ$505,"&gt;"&amp;$A136,実績!$AL$6:$AL$505,"○")&gt;0,1,0))</f>
        <v>0</v>
      </c>
      <c r="BA136" s="39" t="n">
        <f aca="false">IF(BA$4=0,0,IF(COUNTIFS(実績!$W$6:$W$505,BA$3,実績!$AI$6:$AI$505,"&lt;="&amp;$A136,実績!$AJ$6:$AJ$505,"&gt;"&amp;$A136,実績!$AL$6:$AL$505,"○")&gt;0,1,0))</f>
        <v>0</v>
      </c>
      <c r="BB136" s="39" t="n">
        <f aca="false">IF(BB$4=0,0,IF(COUNTIFS(実績!$W$6:$W$505,BB$3,実績!$AI$6:$AI$505,"&lt;="&amp;$A136,実績!$AJ$6:$AJ$505,"&gt;"&amp;$A136,実績!$AL$6:$AL$505,"○")&gt;0,1,0))</f>
        <v>0</v>
      </c>
      <c r="BC136" s="39" t="n">
        <f aca="false">IF(BC$4=0,0,IF(COUNTIFS(実績!$W$6:$W$505,BC$3,実績!$AI$6:$AI$505,"&lt;="&amp;$A136,実績!$AJ$6:$AJ$505,"&gt;"&amp;$A136,実績!$AL$6:$AL$505,"○")&gt;0,1,0))</f>
        <v>0</v>
      </c>
      <c r="BD136" s="39" t="n">
        <f aca="false">IF(BD$4=0,0,IF(COUNTIFS(実績!$W$6:$W$505,BD$3,実績!$AI$6:$AI$505,"&lt;="&amp;$A136,実績!$AJ$6:$AJ$505,"&gt;"&amp;$A136,実績!$AL$6:$AL$505,"○")&gt;0,1,0))</f>
        <v>0</v>
      </c>
      <c r="BE136" s="39" t="n">
        <f aca="false">IF(BE$4=0,0,IF(COUNTIFS(実績!$W$6:$W$505,BE$3,実績!$AI$6:$AI$505,"&lt;="&amp;$A136,実績!$AJ$6:$AJ$505,"&gt;"&amp;$A136,実績!$AL$6:$AL$505,"○")&gt;0,1,0))</f>
        <v>0</v>
      </c>
      <c r="BF136" s="39" t="n">
        <f aca="false">IF(BF$4=0,0,IF(COUNTIFS(実績!$W$6:$W$505,BF$3,実績!$AI$6:$AI$505,"&lt;="&amp;$A136,実績!$AJ$6:$AJ$505,"&gt;"&amp;$A136,実績!$AL$6:$AL$505,"○")&gt;0,1,0))</f>
        <v>0</v>
      </c>
      <c r="BG136" s="39" t="n">
        <f aca="false">IF(BG$4=0,0,IF(COUNTIFS(実績!$W$6:$W$505,BG$3,実績!$AI$6:$AI$505,"&lt;="&amp;$A136,実績!$AJ$6:$AJ$505,"&gt;"&amp;$A136,実績!$AL$6:$AL$505,"○")&gt;0,1,0))</f>
        <v>0</v>
      </c>
      <c r="BH136" s="39" t="n">
        <f aca="false">IF(BH$4=0,0,IF(COUNTIFS(実績!$W$6:$W$505,BH$3,実績!$AI$6:$AI$505,"&lt;="&amp;$A136,実績!$AJ$6:$AJ$505,"&gt;"&amp;$A136,実績!$AL$6:$AL$505,"○")&gt;0,1,0))</f>
        <v>0</v>
      </c>
      <c r="BI136" s="39" t="n">
        <f aca="false">IF(BI$4=0,0,IF(COUNTIFS(実績!$W$6:$W$505,BI$3,実績!$AI$6:$AI$505,"&lt;="&amp;$A136,実績!$AJ$6:$AJ$505,"&gt;"&amp;$A136,実績!$AL$6:$AL$505,"○")&gt;0,1,0))</f>
        <v>0</v>
      </c>
      <c r="BJ136" s="39" t="n">
        <f aca="false">IF(BJ$4=0,0,IF(COUNTIFS(実績!$W$6:$W$505,BJ$3,実績!$AI$6:$AI$505,"&lt;="&amp;$A136,実績!$AJ$6:$AJ$505,"&gt;"&amp;$A136,実績!$AL$6:$AL$505,"○")&gt;0,1,0))</f>
        <v>0</v>
      </c>
      <c r="BK136" s="39" t="n">
        <f aca="false">IF(BK$4=0,0,IF(COUNTIFS(実績!$W$6:$W$505,BK$3,実績!$AI$6:$AI$505,"&lt;="&amp;$A136,実績!$AJ$6:$AJ$505,"&gt;"&amp;$A136,実績!$AL$6:$AL$505,"○")&gt;0,1,0))</f>
        <v>0</v>
      </c>
      <c r="BL136" s="39" t="n">
        <f aca="false">IF(BL$4=0,0,IF(COUNTIFS(実績!$W$6:$W$505,BL$3,実績!$AI$6:$AI$505,"&lt;="&amp;$A136,実績!$AJ$6:$AJ$505,"&gt;"&amp;$A136,実績!$AL$6:$AL$505,"○")&gt;0,1,0))</f>
        <v>0</v>
      </c>
      <c r="BM136" s="39" t="n">
        <f aca="false">IF(BM$4=0,0,IF(COUNTIFS(実績!$W$6:$W$505,BM$3,実績!$AI$6:$AI$505,"&lt;="&amp;$A136,実績!$AJ$6:$AJ$505,"&gt;"&amp;$A136,実績!$AL$6:$AL$505,"○")&gt;0,1,0))</f>
        <v>0</v>
      </c>
      <c r="BN136" s="39" t="n">
        <f aca="false">IF(BN$4=0,0,IF(COUNTIFS(実績!$W$6:$W$505,BN$3,実績!$AI$6:$AI$505,"&lt;="&amp;$A136,実績!$AJ$6:$AJ$505,"&gt;"&amp;$A136,実績!$AL$6:$AL$505,"○")&gt;0,1,0))</f>
        <v>0</v>
      </c>
      <c r="BO136" s="39" t="n">
        <f aca="false">IF(BO$4=0,0,IF(COUNTIFS(実績!$W$6:$W$505,BO$3,実績!$AI$6:$AI$505,"&lt;="&amp;$A136,実績!$AJ$6:$AJ$505,"&gt;"&amp;$A136,実績!$AL$6:$AL$505,"○")&gt;0,1,0))</f>
        <v>0</v>
      </c>
      <c r="BP136" s="39" t="n">
        <f aca="false">IF(BP$4=0,0,IF(COUNTIFS(実績!$W$6:$W$505,BP$3,実績!$AI$6:$AI$505,"&lt;="&amp;$A136,実績!$AJ$6:$AJ$505,"&gt;"&amp;$A136,実績!$AL$6:$AL$505,"○")&gt;0,1,0))</f>
        <v>0</v>
      </c>
      <c r="BQ136" s="39" t="n">
        <f aca="false">IF(BQ$4=0,0,IF(COUNTIFS(実績!$W$6:$W$505,BQ$3,実績!$AI$6:$AI$505,"&lt;="&amp;$A136,実績!$AJ$6:$AJ$505,"&gt;"&amp;$A136,実績!$AL$6:$AL$505,"○")&gt;0,1,0))</f>
        <v>0</v>
      </c>
      <c r="BR136" s="39" t="n">
        <f aca="false">IF(BR$4=0,0,IF(COUNTIFS(実績!$W$6:$W$505,BR$3,実績!$AI$6:$AI$505,"&lt;="&amp;$A136,実績!$AJ$6:$AJ$505,"&gt;"&amp;$A136,実績!$AL$6:$AL$505,"○")&gt;0,1,0))</f>
        <v>0</v>
      </c>
      <c r="BS136" s="39" t="n">
        <f aca="false">IF(BS$4=0,0,IF(COUNTIFS(実績!$W$6:$W$505,BS$3,実績!$AI$6:$AI$505,"&lt;="&amp;$A136,実績!$AJ$6:$AJ$505,"&gt;"&amp;$A136,実績!$AL$6:$AL$505,"○")&gt;0,1,0))</f>
        <v>0</v>
      </c>
      <c r="BT136" s="39" t="n">
        <f aca="false">IF(BT$4=0,0,IF(COUNTIFS(実績!$W$6:$W$505,BT$3,実績!$AI$6:$AI$505,"&lt;="&amp;$A136,実績!$AJ$6:$AJ$505,"&gt;"&amp;$A136,実績!$AL$6:$AL$505,"○")&gt;0,1,0))</f>
        <v>0</v>
      </c>
      <c r="BU136" s="39" t="n">
        <f aca="false">IF(BU$4=0,0,IF(COUNTIFS(実績!$W$6:$W$505,BU$3,実績!$AI$6:$AI$505,"&lt;="&amp;$A136,実績!$AJ$6:$AJ$505,"&gt;"&amp;$A136,実績!$AL$6:$AL$505,"○")&gt;0,1,0))</f>
        <v>0</v>
      </c>
      <c r="BV136" s="39" t="n">
        <f aca="false">IF(BV$4=0,0,IF(COUNTIFS(実績!$W$6:$W$505,BV$3,実績!$AI$6:$AI$505,"&lt;="&amp;$A136,実績!$AJ$6:$AJ$505,"&gt;"&amp;$A136,実績!$AL$6:$AL$505,"○")&gt;0,1,0))</f>
        <v>0</v>
      </c>
      <c r="BW136" s="39" t="n">
        <f aca="false">IF(BW$4=0,0,IF(COUNTIFS(実績!$W$6:$W$505,BW$3,実績!$AI$6:$AI$505,"&lt;="&amp;$A136,実績!$AJ$6:$AJ$505,"&gt;"&amp;$A136,実績!$AL$6:$AL$505,"○")&gt;0,1,0))</f>
        <v>0</v>
      </c>
      <c r="BX136" s="39" t="n">
        <f aca="false">IF(BX$4=0,0,IF(COUNTIFS(実績!$W$6:$W$505,BX$3,実績!$AI$6:$AI$505,"&lt;="&amp;$A136,実績!$AJ$6:$AJ$505,"&gt;"&amp;$A136,実績!$AL$6:$AL$505,"○")&gt;0,1,0))</f>
        <v>0</v>
      </c>
      <c r="BY136" s="39" t="n">
        <f aca="false">IF(BY$4=0,0,IF(COUNTIFS(実績!$W$6:$W$505,BY$3,実績!$AI$6:$AI$505,"&lt;="&amp;$A136,実績!$AJ$6:$AJ$505,"&gt;"&amp;$A136,実績!$AL$6:$AL$505,"○")&gt;0,1,0))</f>
        <v>0</v>
      </c>
      <c r="BZ136" s="39" t="n">
        <f aca="false">IF(BZ$4=0,0,IF(COUNTIFS(実績!$W$6:$W$505,BZ$3,実績!$AI$6:$AI$505,"&lt;="&amp;$A136,実績!$AJ$6:$AJ$505,"&gt;"&amp;$A136,実績!$AL$6:$AL$505,"○")&gt;0,1,0))</f>
        <v>0</v>
      </c>
      <c r="CA136" s="39" t="n">
        <f aca="false">IF(CA$4=0,0,IF(COUNTIFS(実績!$W$6:$W$505,CA$3,実績!$AI$6:$AI$505,"&lt;="&amp;$A136,実績!$AJ$6:$AJ$505,"&gt;"&amp;$A136,実績!$AL$6:$AL$505,"○")&gt;0,1,0))</f>
        <v>0</v>
      </c>
      <c r="CB136" s="39" t="n">
        <f aca="false">IF(CB$4=0,0,IF(COUNTIFS(実績!$W$6:$W$505,CB$3,実績!$AI$6:$AI$505,"&lt;="&amp;$A136,実績!$AJ$6:$AJ$505,"&gt;"&amp;$A136,実績!$AL$6:$AL$505,"○")&gt;0,1,0))</f>
        <v>0</v>
      </c>
      <c r="CC136" s="39" t="n">
        <f aca="false">IF(CC$4=0,0,IF(COUNTIFS(実績!$W$6:$W$505,CC$3,実績!$AI$6:$AI$505,"&lt;="&amp;$A136,実績!$AJ$6:$AJ$505,"&gt;"&amp;$A136,実績!$AL$6:$AL$505,"○")&gt;0,1,0))</f>
        <v>0</v>
      </c>
      <c r="CD136" s="39" t="n">
        <f aca="false">IF(CD$4=0,0,IF(COUNTIFS(実績!$W$6:$W$505,CD$3,実績!$AI$6:$AI$505,"&lt;="&amp;$A136,実績!$AJ$6:$AJ$505,"&gt;"&amp;$A136,実績!$AL$6:$AL$505,"○")&gt;0,1,0))</f>
        <v>0</v>
      </c>
      <c r="CE136" s="39" t="n">
        <f aca="false">IF(CE$4=0,0,IF(COUNTIFS(実績!$W$6:$W$505,CE$3,実績!$AI$6:$AI$505,"&lt;="&amp;$A136,実績!$AJ$6:$AJ$505,"&gt;"&amp;$A136,実績!$AL$6:$AL$505,"○")&gt;0,1,0))</f>
        <v>0</v>
      </c>
      <c r="CF136" s="39" t="n">
        <f aca="false">IF(CF$4=0,0,IF(COUNTIFS(実績!$W$6:$W$505,CF$3,実績!$AI$6:$AI$505,"&lt;="&amp;$A136,実績!$AJ$6:$AJ$505,"&gt;"&amp;$A136,実績!$AL$6:$AL$505,"○")&gt;0,1,0))</f>
        <v>0</v>
      </c>
      <c r="CG136" s="39" t="n">
        <f aca="false">IF(CG$4=0,0,IF(COUNTIFS(実績!$W$6:$W$505,CG$3,実績!$AI$6:$AI$505,"&lt;="&amp;$A136,実績!$AJ$6:$AJ$505,"&gt;"&amp;$A136,実績!$AL$6:$AL$505,"○")&gt;0,1,0))</f>
        <v>0</v>
      </c>
      <c r="CH136" s="39" t="n">
        <f aca="false">IF(CH$4=0,0,IF(COUNTIFS(実績!$W$6:$W$505,CH$3,実績!$AI$6:$AI$505,"&lt;="&amp;$A136,実績!$AJ$6:$AJ$505,"&gt;"&amp;$A136,実績!$AL$6:$AL$505,"○")&gt;0,1,0))</f>
        <v>0</v>
      </c>
      <c r="CI136" s="39" t="n">
        <f aca="false">IF(CI$4=0,0,IF(COUNTIFS(実績!$W$6:$W$505,CI$3,実績!$AI$6:$AI$505,"&lt;="&amp;$A136,実績!$AJ$6:$AJ$505,"&gt;"&amp;$A136,実績!$AL$6:$AL$505,"○")&gt;0,1,0))</f>
        <v>0</v>
      </c>
      <c r="CJ136" s="39" t="n">
        <f aca="false">IF(CJ$4=0,0,IF(COUNTIFS(実績!$W$6:$W$505,CJ$3,実績!$AI$6:$AI$505,"&lt;="&amp;$A136,実績!$AJ$6:$AJ$505,"&gt;"&amp;$A136,実績!$AL$6:$AL$505,"○")&gt;0,1,0))</f>
        <v>0</v>
      </c>
      <c r="CK136" s="39" t="n">
        <f aca="false">IF(CK$4=0,0,IF(COUNTIFS(実績!$W$6:$W$505,CK$3,実績!$AI$6:$AI$505,"&lt;="&amp;$A136,実績!$AJ$6:$AJ$505,"&gt;"&amp;$A136,実績!$AL$6:$AL$505,"○")&gt;0,1,0))</f>
        <v>0</v>
      </c>
      <c r="CL136" s="39" t="n">
        <f aca="false">IF(CL$4=0,0,IF(COUNTIFS(実績!$W$6:$W$505,CL$3,実績!$AI$6:$AI$505,"&lt;="&amp;$A136,実績!$AJ$6:$AJ$505,"&gt;"&amp;$A136,実績!$AL$6:$AL$505,"○")&gt;0,1,0))</f>
        <v>0</v>
      </c>
      <c r="CM136" s="39" t="n">
        <f aca="false">IF(CM$4=0,0,IF(COUNTIFS(実績!$W$6:$W$505,CM$3,実績!$AI$6:$AI$505,"&lt;="&amp;$A136,実績!$AJ$6:$AJ$505,"&gt;"&amp;$A136,実績!$AL$6:$AL$505,"○")&gt;0,1,0))</f>
        <v>0</v>
      </c>
      <c r="CN136" s="39" t="n">
        <f aca="false">IF(CN$4=0,0,IF(COUNTIFS(実績!$W$6:$W$505,CN$3,実績!$AI$6:$AI$505,"&lt;="&amp;$A136,実績!$AJ$6:$AJ$505,"&gt;"&amp;$A136,実績!$AL$6:$AL$505,"○")&gt;0,1,0))</f>
        <v>0</v>
      </c>
      <c r="CO136" s="39" t="n">
        <f aca="false">IF(CO$4=0,0,IF(COUNTIFS(実績!$W$6:$W$505,CO$3,実績!$AI$6:$AI$505,"&lt;="&amp;$A136,実績!$AJ$6:$AJ$505,"&gt;"&amp;$A136,実績!$AL$6:$AL$505,"○")&gt;0,1,0))</f>
        <v>0</v>
      </c>
      <c r="CP136" s="39" t="n">
        <f aca="false">IF(CP$4=0,0,IF(COUNTIFS(実績!$W$6:$W$505,CP$3,実績!$AI$6:$AI$505,"&lt;="&amp;$A136,実績!$AJ$6:$AJ$505,"&gt;"&amp;$A136,実績!$AL$6:$AL$505,"○")&gt;0,1,0))</f>
        <v>0</v>
      </c>
      <c r="CQ136" s="39" t="n">
        <f aca="false">IF(CQ$4=0,0,IF(COUNTIFS(実績!$W$6:$W$505,CQ$3,実績!$AI$6:$AI$505,"&lt;="&amp;$A136,実績!$AJ$6:$AJ$505,"&gt;"&amp;$A136,実績!$AL$6:$AL$505,"○")&gt;0,1,0))</f>
        <v>0</v>
      </c>
      <c r="CR136" s="39" t="n">
        <f aca="false">IF(CR$4=0,0,IF(COUNTIFS(実績!$W$6:$W$505,CR$3,実績!$AI$6:$AI$505,"&lt;="&amp;$A136,実績!$AJ$6:$AJ$505,"&gt;"&amp;$A136,実績!$AL$6:$AL$505,"○")&gt;0,1,0))</f>
        <v>0</v>
      </c>
      <c r="CS136" s="39" t="n">
        <f aca="false">IF(CS$4=0,0,IF(COUNTIFS(実績!$W$6:$W$505,CS$3,実績!$AI$6:$AI$505,"&lt;="&amp;$A136,実績!$AJ$6:$AJ$505,"&gt;"&amp;$A136,実績!$AL$6:$AL$505,"○")&gt;0,1,0))</f>
        <v>0</v>
      </c>
      <c r="CT136" s="39" t="n">
        <f aca="false">IF(CT$4=0,0,IF(COUNTIFS(実績!$W$6:$W$505,CT$3,実績!$AI$6:$AI$505,"&lt;="&amp;$A136,実績!$AJ$6:$AJ$505,"&gt;"&amp;$A136,実績!$AL$6:$AL$505,"○")&gt;0,1,0))</f>
        <v>0</v>
      </c>
      <c r="CU136" s="39" t="n">
        <f aca="false">IF(CU$4=0,0,IF(COUNTIFS(実績!$W$6:$W$505,CU$3,実績!$AI$6:$AI$505,"&lt;="&amp;$A136,実績!$AJ$6:$AJ$505,"&gt;"&amp;$A136,実績!$AL$6:$AL$505,"○")&gt;0,1,0))</f>
        <v>0</v>
      </c>
      <c r="CV136" s="39" t="n">
        <f aca="false">IF(CV$4=0,0,IF(COUNTIFS(実績!$W$6:$W$505,CV$3,実績!$AI$6:$AI$505,"&lt;="&amp;$A136,実績!$AJ$6:$AJ$505,"&gt;"&amp;$A136,実績!$AL$6:$AL$505,"○")&gt;0,1,0))</f>
        <v>0</v>
      </c>
      <c r="CW136" s="39" t="n">
        <f aca="false">IF(CW$4=0,0,IF(COUNTIFS(実績!$W$6:$W$505,CW$3,実績!$AI$6:$AI$505,"&lt;="&amp;$A136,実績!$AJ$6:$AJ$505,"&gt;"&amp;$A136,実績!$AL$6:$AL$505,"○")&gt;0,1,0))</f>
        <v>0</v>
      </c>
      <c r="CX136" s="39" t="n">
        <f aca="false">IF(CX$4=0,0,IF(COUNTIFS(実績!$W$6:$W$505,CX$3,実績!$AI$6:$AI$505,"&lt;="&amp;$A136,実績!$AJ$6:$AJ$505,"&gt;"&amp;$A136,実績!$AL$6:$AL$505,"○")&gt;0,1,0))</f>
        <v>0</v>
      </c>
      <c r="CY136" s="39" t="n">
        <f aca="false">IF(CY$4=0,0,IF(COUNTIFS(実績!$W$6:$W$505,CY$3,実績!$AI$6:$AI$505,"&lt;="&amp;$A136,実績!$AJ$6:$AJ$505,"&gt;"&amp;$A136,実績!$AL$6:$AL$505,"○")&gt;0,1,0))</f>
        <v>0</v>
      </c>
      <c r="CZ136" s="39" t="n">
        <f aca="false">IF(CZ$4=0,0,IF(COUNTIFS(実績!$W$6:$W$505,CZ$3,実績!$AI$6:$AI$505,"&lt;="&amp;$A136,実績!$AJ$6:$AJ$505,"&gt;"&amp;$A136,実績!$AL$6:$AL$505,"○")&gt;0,1,0))</f>
        <v>0</v>
      </c>
      <c r="DA136" s="39" t="n">
        <f aca="false">IF(DA$4=0,0,IF(COUNTIFS(実績!$W$6:$W$505,DA$3,実績!$AI$6:$AI$505,"&lt;="&amp;$A136,実績!$AJ$6:$AJ$505,"&gt;"&amp;$A136,実績!$AL$6:$AL$505,"○")&gt;0,1,0))</f>
        <v>0</v>
      </c>
      <c r="DB136" s="39" t="n">
        <f aca="false">IF(DB$4=0,0,IF(COUNTIFS(実績!$W$6:$W$505,DB$3,実績!$AI$6:$AI$505,"&lt;="&amp;$A136,実績!$AJ$6:$AJ$505,"&gt;"&amp;$A136,実績!$AL$6:$AL$505,"○")&gt;0,1,0))</f>
        <v>0</v>
      </c>
      <c r="DC136" s="39" t="n">
        <f aca="false">IF(DC$4=0,0,IF(COUNTIFS(実績!$W$6:$W$505,DC$3,実績!$AI$6:$AI$505,"&lt;="&amp;$A136,実績!$AJ$6:$AJ$505,"&gt;"&amp;$A136,実績!$AL$6:$AL$505,"○")&gt;0,1,0))</f>
        <v>0</v>
      </c>
      <c r="DD136" s="39" t="n">
        <f aca="false">IF(DD$4=0,0,IF(COUNTIFS(実績!$W$6:$W$505,DD$3,実績!$AI$6:$AI$505,"&lt;="&amp;$A136,実績!$AJ$6:$AJ$505,"&gt;"&amp;$A136,実績!$AL$6:$AL$505,"○")&gt;0,1,0))</f>
        <v>0</v>
      </c>
      <c r="DE136" s="39" t="n">
        <f aca="false">IF(DE$4=0,0,IF(COUNTIFS(実績!$W$6:$W$505,DE$3,実績!$AI$6:$AI$505,"&lt;="&amp;$A136,実績!$AJ$6:$AJ$505,"&gt;"&amp;$A136,実績!$AL$6:$AL$505,"○")&gt;0,1,0))</f>
        <v>0</v>
      </c>
      <c r="DF136" s="39" t="n">
        <f aca="false">IF(DF$4=0,0,IF(COUNTIFS(実績!$W$6:$W$505,DF$3,実績!$AI$6:$AI$505,"&lt;="&amp;$A136,実績!$AJ$6:$AJ$505,"&gt;"&amp;$A136,実績!$AL$6:$AL$505,"○")&gt;0,1,0))</f>
        <v>0</v>
      </c>
      <c r="DG136" s="39" t="n">
        <f aca="false">IF(DG$4=0,0,IF(COUNTIFS(実績!$W$6:$W$505,DG$3,実績!$AI$6:$AI$505,"&lt;="&amp;$A136,実績!$AJ$6:$AJ$505,"&gt;"&amp;$A136,実績!$AL$6:$AL$505,"○")&gt;0,1,0))</f>
        <v>0</v>
      </c>
      <c r="DH136" s="39" t="n">
        <f aca="false">IF(DH$4=0,0,IF(COUNTIFS(実績!$W$6:$W$505,DH$3,実績!$AI$6:$AI$505,"&lt;="&amp;$A136,実績!$AJ$6:$AJ$505,"&gt;"&amp;$A136,実績!$AL$6:$AL$505,"○")&gt;0,1,0))</f>
        <v>0</v>
      </c>
      <c r="DI136" s="39" t="n">
        <f aca="false">IF(DI$4=0,0,IF(COUNTIFS(実績!$W$6:$W$505,DI$3,実績!$AI$6:$AI$505,"&lt;="&amp;$A136,実績!$AJ$6:$AJ$505,"&gt;"&amp;$A136,実績!$AL$6:$AL$505,"○")&gt;0,1,0))</f>
        <v>0</v>
      </c>
      <c r="DJ136" s="39" t="n">
        <f aca="false">IF(DJ$4=0,0,IF(COUNTIFS(実績!$W$6:$W$505,DJ$3,実績!$AI$6:$AI$505,"&lt;="&amp;$A136,実績!$AJ$6:$AJ$505,"&gt;"&amp;$A136,実績!$AL$6:$AL$505,"○")&gt;0,1,0))</f>
        <v>0</v>
      </c>
      <c r="DK136" s="39" t="n">
        <f aca="false">IF(DK$4=0,0,IF(COUNTIFS(実績!$W$6:$W$505,DK$3,実績!$AI$6:$AI$505,"&lt;="&amp;$A136,実績!$AJ$6:$AJ$505,"&gt;"&amp;$A136,実績!$AL$6:$AL$505,"○")&gt;0,1,0))</f>
        <v>0</v>
      </c>
      <c r="DL136" s="39" t="n">
        <f aca="false">IF(DL$4=0,0,IF(COUNTIFS(実績!$W$6:$W$505,DL$3,実績!$AI$6:$AI$505,"&lt;="&amp;$A136,実績!$AJ$6:$AJ$505,"&gt;"&amp;$A136,実績!$AL$6:$AL$505,"○")&gt;0,1,0))</f>
        <v>0</v>
      </c>
      <c r="DM136" s="39" t="n">
        <f aca="false">IF(DM$4=0,0,IF(COUNTIFS(実績!$W$6:$W$505,DM$3,実績!$AI$6:$AI$505,"&lt;="&amp;$A136,実績!$AJ$6:$AJ$505,"&gt;"&amp;$A136,実績!$AL$6:$AL$505,"○")&gt;0,1,0))</f>
        <v>0</v>
      </c>
      <c r="DN136" s="39" t="n">
        <f aca="false">IF(DN$4=0,0,IF(COUNTIFS(実績!$W$6:$W$505,DN$3,実績!$AI$6:$AI$505,"&lt;="&amp;$A136,実績!$AJ$6:$AJ$505,"&gt;"&amp;$A136,実績!$AL$6:$AL$505,"○")&gt;0,1,0))</f>
        <v>0</v>
      </c>
      <c r="DO136" s="39" t="n">
        <f aca="false">IF(DO$4=0,0,IF(COUNTIFS(実績!$W$6:$W$505,DO$3,実績!$AI$6:$AI$505,"&lt;="&amp;$A136,実績!$AJ$6:$AJ$505,"&gt;"&amp;$A136,実績!$AL$6:$AL$505,"○")&gt;0,1,0))</f>
        <v>0</v>
      </c>
      <c r="DP136" s="39" t="n">
        <f aca="false">IF(DP$4=0,0,IF(COUNTIFS(実績!$W$6:$W$505,DP$3,実績!$AI$6:$AI$505,"&lt;="&amp;$A136,実績!$AJ$6:$AJ$505,"&gt;"&amp;$A136,実績!$AL$6:$AL$505,"○")&gt;0,1,0))</f>
        <v>0</v>
      </c>
      <c r="DQ136" s="39" t="n">
        <f aca="false">IF(DQ$4=0,0,IF(COUNTIFS(実績!$W$6:$W$505,DQ$3,実績!$AI$6:$AI$505,"&lt;="&amp;$A136,実績!$AJ$6:$AJ$505,"&gt;"&amp;$A136,実績!$AL$6:$AL$505,"○")&gt;0,1,0))</f>
        <v>0</v>
      </c>
      <c r="DR136" s="39" t="n">
        <f aca="false">IF(DR$4=0,0,IF(COUNTIFS(実績!$W$6:$W$505,DR$3,実績!$AI$6:$AI$505,"&lt;="&amp;$A136,実績!$AJ$6:$AJ$505,"&gt;"&amp;$A136,実績!$AL$6:$AL$505,"○")&gt;0,1,0))</f>
        <v>0</v>
      </c>
      <c r="DS136" s="39" t="n">
        <f aca="false">SUM(C136:DR136)</f>
        <v>0</v>
      </c>
    </row>
    <row r="137" customFormat="false" ht="15" hidden="false" customHeight="false" outlineLevel="0" collapsed="false">
      <c r="A137" s="0" t="n">
        <v>655</v>
      </c>
      <c r="B137" s="38" t="n">
        <f aca="false">A137/1440</f>
        <v>0.454861111111111</v>
      </c>
      <c r="C137" s="39" t="n">
        <f aca="false">IF(C$4=0,0,IF(COUNTIFS(実績!$W$6:$W$505,C$3,実績!$AI$6:$AI$505,"&lt;="&amp;$A137,実績!$AJ$6:$AJ$505,"&gt;"&amp;$A137,実績!$AL$6:$AL$505,"○")&gt;0,1,0))</f>
        <v>0</v>
      </c>
      <c r="D137" s="39" t="n">
        <f aca="false">IF(D$4=0,0,IF(COUNTIFS(実績!$W$6:$W$505,D$3,実績!$AI$6:$AI$505,"&lt;="&amp;$A137,実績!$AJ$6:$AJ$505,"&gt;"&amp;$A137,実績!$AL$6:$AL$505,"○")&gt;0,1,0))</f>
        <v>0</v>
      </c>
      <c r="E137" s="39" t="n">
        <f aca="false">IF(E$4=0,0,IF(COUNTIFS(実績!$W$6:$W$505,E$3,実績!$AI$6:$AI$505,"&lt;="&amp;$A137,実績!$AJ$6:$AJ$505,"&gt;"&amp;$A137,実績!$AL$6:$AL$505,"○")&gt;0,1,0))</f>
        <v>0</v>
      </c>
      <c r="F137" s="39" t="n">
        <f aca="false">IF(F$4=0,0,IF(COUNTIFS(実績!$W$6:$W$505,F$3,実績!$AI$6:$AI$505,"&lt;="&amp;$A137,実績!$AJ$6:$AJ$505,"&gt;"&amp;$A137,実績!$AL$6:$AL$505,"○")&gt;0,1,0))</f>
        <v>0</v>
      </c>
      <c r="G137" s="39" t="n">
        <f aca="false">IF(G$4=0,0,IF(COUNTIFS(実績!$W$6:$W$505,G$3,実績!$AI$6:$AI$505,"&lt;="&amp;$A137,実績!$AJ$6:$AJ$505,"&gt;"&amp;$A137,実績!$AL$6:$AL$505,"○")&gt;0,1,0))</f>
        <v>0</v>
      </c>
      <c r="H137" s="39" t="n">
        <f aca="false">IF(H$4=0,0,IF(COUNTIFS(実績!$W$6:$W$505,H$3,実績!$AI$6:$AI$505,"&lt;="&amp;$A137,実績!$AJ$6:$AJ$505,"&gt;"&amp;$A137,実績!$AL$6:$AL$505,"○")&gt;0,1,0))</f>
        <v>0</v>
      </c>
      <c r="I137" s="39" t="n">
        <f aca="false">IF(I$4=0,0,IF(COUNTIFS(実績!$W$6:$W$505,I$3,実績!$AI$6:$AI$505,"&lt;="&amp;$A137,実績!$AJ$6:$AJ$505,"&gt;"&amp;$A137,実績!$AL$6:$AL$505,"○")&gt;0,1,0))</f>
        <v>0</v>
      </c>
      <c r="J137" s="39" t="n">
        <f aca="false">IF(J$4=0,0,IF(COUNTIFS(実績!$W$6:$W$505,J$3,実績!$AI$6:$AI$505,"&lt;="&amp;$A137,実績!$AJ$6:$AJ$505,"&gt;"&amp;$A137,実績!$AL$6:$AL$505,"○")&gt;0,1,0))</f>
        <v>0</v>
      </c>
      <c r="K137" s="39" t="n">
        <f aca="false">IF(K$4=0,0,IF(COUNTIFS(実績!$W$6:$W$505,K$3,実績!$AI$6:$AI$505,"&lt;="&amp;$A137,実績!$AJ$6:$AJ$505,"&gt;"&amp;$A137,実績!$AL$6:$AL$505,"○")&gt;0,1,0))</f>
        <v>0</v>
      </c>
      <c r="L137" s="39" t="n">
        <f aca="false">IF(L$4=0,0,IF(COUNTIFS(実績!$W$6:$W$505,L$3,実績!$AI$6:$AI$505,"&lt;="&amp;$A137,実績!$AJ$6:$AJ$505,"&gt;"&amp;$A137,実績!$AL$6:$AL$505,"○")&gt;0,1,0))</f>
        <v>0</v>
      </c>
      <c r="M137" s="39" t="n">
        <f aca="false">IF(M$4=0,0,IF(COUNTIFS(実績!$W$6:$W$505,M$3,実績!$AI$6:$AI$505,"&lt;="&amp;$A137,実績!$AJ$6:$AJ$505,"&gt;"&amp;$A137,実績!$AL$6:$AL$505,"○")&gt;0,1,0))</f>
        <v>0</v>
      </c>
      <c r="N137" s="39" t="n">
        <f aca="false">IF(N$4=0,0,IF(COUNTIFS(実績!$W$6:$W$505,N$3,実績!$AI$6:$AI$505,"&lt;="&amp;$A137,実績!$AJ$6:$AJ$505,"&gt;"&amp;$A137,実績!$AL$6:$AL$505,"○")&gt;0,1,0))</f>
        <v>0</v>
      </c>
      <c r="O137" s="39" t="n">
        <f aca="false">IF(O$4=0,0,IF(COUNTIFS(実績!$W$6:$W$505,O$3,実績!$AI$6:$AI$505,"&lt;="&amp;$A137,実績!$AJ$6:$AJ$505,"&gt;"&amp;$A137,実績!$AL$6:$AL$505,"○")&gt;0,1,0))</f>
        <v>0</v>
      </c>
      <c r="P137" s="39" t="n">
        <f aca="false">IF(P$4=0,0,IF(COUNTIFS(実績!$W$6:$W$505,P$3,実績!$AI$6:$AI$505,"&lt;="&amp;$A137,実績!$AJ$6:$AJ$505,"&gt;"&amp;$A137,実績!$AL$6:$AL$505,"○")&gt;0,1,0))</f>
        <v>0</v>
      </c>
      <c r="Q137" s="39" t="n">
        <f aca="false">IF(Q$4=0,0,IF(COUNTIFS(実績!$W$6:$W$505,Q$3,実績!$AI$6:$AI$505,"&lt;="&amp;$A137,実績!$AJ$6:$AJ$505,"&gt;"&amp;$A137,実績!$AL$6:$AL$505,"○")&gt;0,1,0))</f>
        <v>0</v>
      </c>
      <c r="R137" s="39" t="n">
        <f aca="false">IF(R$4=0,0,IF(COUNTIFS(実績!$W$6:$W$505,R$3,実績!$AI$6:$AI$505,"&lt;="&amp;$A137,実績!$AJ$6:$AJ$505,"&gt;"&amp;$A137,実績!$AL$6:$AL$505,"○")&gt;0,1,0))</f>
        <v>0</v>
      </c>
      <c r="S137" s="39" t="n">
        <f aca="false">IF(S$4=0,0,IF(COUNTIFS(実績!$W$6:$W$505,S$3,実績!$AI$6:$AI$505,"&lt;="&amp;$A137,実績!$AJ$6:$AJ$505,"&gt;"&amp;$A137,実績!$AL$6:$AL$505,"○")&gt;0,1,0))</f>
        <v>0</v>
      </c>
      <c r="T137" s="39" t="n">
        <f aca="false">IF(T$4=0,0,IF(COUNTIFS(実績!$W$6:$W$505,T$3,実績!$AI$6:$AI$505,"&lt;="&amp;$A137,実績!$AJ$6:$AJ$505,"&gt;"&amp;$A137,実績!$AL$6:$AL$505,"○")&gt;0,1,0))</f>
        <v>0</v>
      </c>
      <c r="U137" s="39" t="n">
        <f aca="false">IF(U$4=0,0,IF(COUNTIFS(実績!$W$6:$W$505,U$3,実績!$AI$6:$AI$505,"&lt;="&amp;$A137,実績!$AJ$6:$AJ$505,"&gt;"&amp;$A137,実績!$AL$6:$AL$505,"○")&gt;0,1,0))</f>
        <v>0</v>
      </c>
      <c r="V137" s="39" t="n">
        <f aca="false">IF(V$4=0,0,IF(COUNTIFS(実績!$W$6:$W$505,V$3,実績!$AI$6:$AI$505,"&lt;="&amp;$A137,実績!$AJ$6:$AJ$505,"&gt;"&amp;$A137,実績!$AL$6:$AL$505,"○")&gt;0,1,0))</f>
        <v>0</v>
      </c>
      <c r="W137" s="39" t="n">
        <f aca="false">IF(W$4=0,0,IF(COUNTIFS(実績!$W$6:$W$505,W$3,実績!$AI$6:$AI$505,"&lt;="&amp;$A137,実績!$AJ$6:$AJ$505,"&gt;"&amp;$A137,実績!$AL$6:$AL$505,"○")&gt;0,1,0))</f>
        <v>0</v>
      </c>
      <c r="X137" s="39" t="n">
        <f aca="false">IF(X$4=0,0,IF(COUNTIFS(実績!$W$6:$W$505,X$3,実績!$AI$6:$AI$505,"&lt;="&amp;$A137,実績!$AJ$6:$AJ$505,"&gt;"&amp;$A137,実績!$AL$6:$AL$505,"○")&gt;0,1,0))</f>
        <v>0</v>
      </c>
      <c r="Y137" s="39" t="n">
        <f aca="false">IF(Y$4=0,0,IF(COUNTIFS(実績!$W$6:$W$505,Y$3,実績!$AI$6:$AI$505,"&lt;="&amp;$A137,実績!$AJ$6:$AJ$505,"&gt;"&amp;$A137,実績!$AL$6:$AL$505,"○")&gt;0,1,0))</f>
        <v>0</v>
      </c>
      <c r="Z137" s="39" t="n">
        <f aca="false">IF(Z$4=0,0,IF(COUNTIFS(実績!$W$6:$W$505,Z$3,実績!$AI$6:$AI$505,"&lt;="&amp;$A137,実績!$AJ$6:$AJ$505,"&gt;"&amp;$A137,実績!$AL$6:$AL$505,"○")&gt;0,1,0))</f>
        <v>0</v>
      </c>
      <c r="AA137" s="39" t="n">
        <f aca="false">IF(AA$4=0,0,IF(COUNTIFS(実績!$W$6:$W$505,AA$3,実績!$AI$6:$AI$505,"&lt;="&amp;$A137,実績!$AJ$6:$AJ$505,"&gt;"&amp;$A137,実績!$AL$6:$AL$505,"○")&gt;0,1,0))</f>
        <v>0</v>
      </c>
      <c r="AB137" s="39" t="n">
        <f aca="false">IF(AB$4=0,0,IF(COUNTIFS(実績!$W$6:$W$505,AB$3,実績!$AI$6:$AI$505,"&lt;="&amp;$A137,実績!$AJ$6:$AJ$505,"&gt;"&amp;$A137,実績!$AL$6:$AL$505,"○")&gt;0,1,0))</f>
        <v>0</v>
      </c>
      <c r="AC137" s="39" t="n">
        <f aca="false">IF(AC$4=0,0,IF(COUNTIFS(実績!$W$6:$W$505,AC$3,実績!$AI$6:$AI$505,"&lt;="&amp;$A137,実績!$AJ$6:$AJ$505,"&gt;"&amp;$A137,実績!$AL$6:$AL$505,"○")&gt;0,1,0))</f>
        <v>0</v>
      </c>
      <c r="AD137" s="39" t="n">
        <f aca="false">IF(AD$4=0,0,IF(COUNTIFS(実績!$W$6:$W$505,AD$3,実績!$AI$6:$AI$505,"&lt;="&amp;$A137,実績!$AJ$6:$AJ$505,"&gt;"&amp;$A137,実績!$AL$6:$AL$505,"○")&gt;0,1,0))</f>
        <v>0</v>
      </c>
      <c r="AE137" s="39" t="n">
        <f aca="false">IF(AE$4=0,0,IF(COUNTIFS(実績!$W$6:$W$505,AE$3,実績!$AI$6:$AI$505,"&lt;="&amp;$A137,実績!$AJ$6:$AJ$505,"&gt;"&amp;$A137,実績!$AL$6:$AL$505,"○")&gt;0,1,0))</f>
        <v>0</v>
      </c>
      <c r="AF137" s="39" t="n">
        <f aca="false">IF(AF$4=0,0,IF(COUNTIFS(実績!$W$6:$W$505,AF$3,実績!$AI$6:$AI$505,"&lt;="&amp;$A137,実績!$AJ$6:$AJ$505,"&gt;"&amp;$A137,実績!$AL$6:$AL$505,"○")&gt;0,1,0))</f>
        <v>0</v>
      </c>
      <c r="AG137" s="39" t="n">
        <f aca="false">IF(AG$4=0,0,IF(COUNTIFS(実績!$W$6:$W$505,AG$3,実績!$AI$6:$AI$505,"&lt;="&amp;$A137,実績!$AJ$6:$AJ$505,"&gt;"&amp;$A137,実績!$AL$6:$AL$505,"○")&gt;0,1,0))</f>
        <v>0</v>
      </c>
      <c r="AH137" s="39" t="n">
        <f aca="false">IF(AH$4=0,0,IF(COUNTIFS(実績!$W$6:$W$505,AH$3,実績!$AI$6:$AI$505,"&lt;="&amp;$A137,実績!$AJ$6:$AJ$505,"&gt;"&amp;$A137,実績!$AL$6:$AL$505,"○")&gt;0,1,0))</f>
        <v>0</v>
      </c>
      <c r="AI137" s="39" t="n">
        <f aca="false">IF(AI$4=0,0,IF(COUNTIFS(実績!$W$6:$W$505,AI$3,実績!$AI$6:$AI$505,"&lt;="&amp;$A137,実績!$AJ$6:$AJ$505,"&gt;"&amp;$A137,実績!$AL$6:$AL$505,"○")&gt;0,1,0))</f>
        <v>0</v>
      </c>
      <c r="AJ137" s="39" t="n">
        <f aca="false">IF(AJ$4=0,0,IF(COUNTIFS(実績!$W$6:$W$505,AJ$3,実績!$AI$6:$AI$505,"&lt;="&amp;$A137,実績!$AJ$6:$AJ$505,"&gt;"&amp;$A137,実績!$AL$6:$AL$505,"○")&gt;0,1,0))</f>
        <v>0</v>
      </c>
      <c r="AK137" s="39" t="n">
        <f aca="false">IF(AK$4=0,0,IF(COUNTIFS(実績!$W$6:$W$505,AK$3,実績!$AI$6:$AI$505,"&lt;="&amp;$A137,実績!$AJ$6:$AJ$505,"&gt;"&amp;$A137,実績!$AL$6:$AL$505,"○")&gt;0,1,0))</f>
        <v>0</v>
      </c>
      <c r="AL137" s="39" t="n">
        <f aca="false">IF(AL$4=0,0,IF(COUNTIFS(実績!$W$6:$W$505,AL$3,実績!$AI$6:$AI$505,"&lt;="&amp;$A137,実績!$AJ$6:$AJ$505,"&gt;"&amp;$A137,実績!$AL$6:$AL$505,"○")&gt;0,1,0))</f>
        <v>0</v>
      </c>
      <c r="AM137" s="39" t="n">
        <f aca="false">IF(AM$4=0,0,IF(COUNTIFS(実績!$W$6:$W$505,AM$3,実績!$AI$6:$AI$505,"&lt;="&amp;$A137,実績!$AJ$6:$AJ$505,"&gt;"&amp;$A137,実績!$AL$6:$AL$505,"○")&gt;0,1,0))</f>
        <v>0</v>
      </c>
      <c r="AN137" s="39" t="n">
        <f aca="false">IF(AN$4=0,0,IF(COUNTIFS(実績!$W$6:$W$505,AN$3,実績!$AI$6:$AI$505,"&lt;="&amp;$A137,実績!$AJ$6:$AJ$505,"&gt;"&amp;$A137,実績!$AL$6:$AL$505,"○")&gt;0,1,0))</f>
        <v>0</v>
      </c>
      <c r="AO137" s="39" t="n">
        <f aca="false">IF(AO$4=0,0,IF(COUNTIFS(実績!$W$6:$W$505,AO$3,実績!$AI$6:$AI$505,"&lt;="&amp;$A137,実績!$AJ$6:$AJ$505,"&gt;"&amp;$A137,実績!$AL$6:$AL$505,"○")&gt;0,1,0))</f>
        <v>0</v>
      </c>
      <c r="AP137" s="39" t="n">
        <f aca="false">IF(AP$4=0,0,IF(COUNTIFS(実績!$W$6:$W$505,AP$3,実績!$AI$6:$AI$505,"&lt;="&amp;$A137,実績!$AJ$6:$AJ$505,"&gt;"&amp;$A137,実績!$AL$6:$AL$505,"○")&gt;0,1,0))</f>
        <v>0</v>
      </c>
      <c r="AQ137" s="39" t="n">
        <f aca="false">IF(AQ$4=0,0,IF(COUNTIFS(実績!$W$6:$W$505,AQ$3,実績!$AI$6:$AI$505,"&lt;="&amp;$A137,実績!$AJ$6:$AJ$505,"&gt;"&amp;$A137,実績!$AL$6:$AL$505,"○")&gt;0,1,0))</f>
        <v>0</v>
      </c>
      <c r="AR137" s="39" t="n">
        <f aca="false">IF(AR$4=0,0,IF(COUNTIFS(実績!$W$6:$W$505,AR$3,実績!$AI$6:$AI$505,"&lt;="&amp;$A137,実績!$AJ$6:$AJ$505,"&gt;"&amp;$A137,実績!$AL$6:$AL$505,"○")&gt;0,1,0))</f>
        <v>0</v>
      </c>
      <c r="AS137" s="39" t="n">
        <f aca="false">IF(AS$4=0,0,IF(COUNTIFS(実績!$W$6:$W$505,AS$3,実績!$AI$6:$AI$505,"&lt;="&amp;$A137,実績!$AJ$6:$AJ$505,"&gt;"&amp;$A137,実績!$AL$6:$AL$505,"○")&gt;0,1,0))</f>
        <v>0</v>
      </c>
      <c r="AT137" s="39" t="n">
        <f aca="false">IF(AT$4=0,0,IF(COUNTIFS(実績!$W$6:$W$505,AT$3,実績!$AI$6:$AI$505,"&lt;="&amp;$A137,実績!$AJ$6:$AJ$505,"&gt;"&amp;$A137,実績!$AL$6:$AL$505,"○")&gt;0,1,0))</f>
        <v>0</v>
      </c>
      <c r="AU137" s="39" t="n">
        <f aca="false">IF(AU$4=0,0,IF(COUNTIFS(実績!$W$6:$W$505,AU$3,実績!$AI$6:$AI$505,"&lt;="&amp;$A137,実績!$AJ$6:$AJ$505,"&gt;"&amp;$A137,実績!$AL$6:$AL$505,"○")&gt;0,1,0))</f>
        <v>0</v>
      </c>
      <c r="AV137" s="39" t="n">
        <f aca="false">IF(AV$4=0,0,IF(COUNTIFS(実績!$W$6:$W$505,AV$3,実績!$AI$6:$AI$505,"&lt;="&amp;$A137,実績!$AJ$6:$AJ$505,"&gt;"&amp;$A137,実績!$AL$6:$AL$505,"○")&gt;0,1,0))</f>
        <v>0</v>
      </c>
      <c r="AW137" s="39" t="n">
        <f aca="false">IF(AW$4=0,0,IF(COUNTIFS(実績!$W$6:$W$505,AW$3,実績!$AI$6:$AI$505,"&lt;="&amp;$A137,実績!$AJ$6:$AJ$505,"&gt;"&amp;$A137,実績!$AL$6:$AL$505,"○")&gt;0,1,0))</f>
        <v>0</v>
      </c>
      <c r="AX137" s="39" t="n">
        <f aca="false">IF(AX$4=0,0,IF(COUNTIFS(実績!$W$6:$W$505,AX$3,実績!$AI$6:$AI$505,"&lt;="&amp;$A137,実績!$AJ$6:$AJ$505,"&gt;"&amp;$A137,実績!$AL$6:$AL$505,"○")&gt;0,1,0))</f>
        <v>0</v>
      </c>
      <c r="AY137" s="39" t="n">
        <f aca="false">IF(AY$4=0,0,IF(COUNTIFS(実績!$W$6:$W$505,AY$3,実績!$AI$6:$AI$505,"&lt;="&amp;$A137,実績!$AJ$6:$AJ$505,"&gt;"&amp;$A137,実績!$AL$6:$AL$505,"○")&gt;0,1,0))</f>
        <v>0</v>
      </c>
      <c r="AZ137" s="39" t="n">
        <f aca="false">IF(AZ$4=0,0,IF(COUNTIFS(実績!$W$6:$W$505,AZ$3,実績!$AI$6:$AI$505,"&lt;="&amp;$A137,実績!$AJ$6:$AJ$505,"&gt;"&amp;$A137,実績!$AL$6:$AL$505,"○")&gt;0,1,0))</f>
        <v>0</v>
      </c>
      <c r="BA137" s="39" t="n">
        <f aca="false">IF(BA$4=0,0,IF(COUNTIFS(実績!$W$6:$W$505,BA$3,実績!$AI$6:$AI$505,"&lt;="&amp;$A137,実績!$AJ$6:$AJ$505,"&gt;"&amp;$A137,実績!$AL$6:$AL$505,"○")&gt;0,1,0))</f>
        <v>0</v>
      </c>
      <c r="BB137" s="39" t="n">
        <f aca="false">IF(BB$4=0,0,IF(COUNTIFS(実績!$W$6:$W$505,BB$3,実績!$AI$6:$AI$505,"&lt;="&amp;$A137,実績!$AJ$6:$AJ$505,"&gt;"&amp;$A137,実績!$AL$6:$AL$505,"○")&gt;0,1,0))</f>
        <v>0</v>
      </c>
      <c r="BC137" s="39" t="n">
        <f aca="false">IF(BC$4=0,0,IF(COUNTIFS(実績!$W$6:$W$505,BC$3,実績!$AI$6:$AI$505,"&lt;="&amp;$A137,実績!$AJ$6:$AJ$505,"&gt;"&amp;$A137,実績!$AL$6:$AL$505,"○")&gt;0,1,0))</f>
        <v>0</v>
      </c>
      <c r="BD137" s="39" t="n">
        <f aca="false">IF(BD$4=0,0,IF(COUNTIFS(実績!$W$6:$W$505,BD$3,実績!$AI$6:$AI$505,"&lt;="&amp;$A137,実績!$AJ$6:$AJ$505,"&gt;"&amp;$A137,実績!$AL$6:$AL$505,"○")&gt;0,1,0))</f>
        <v>0</v>
      </c>
      <c r="BE137" s="39" t="n">
        <f aca="false">IF(BE$4=0,0,IF(COUNTIFS(実績!$W$6:$W$505,BE$3,実績!$AI$6:$AI$505,"&lt;="&amp;$A137,実績!$AJ$6:$AJ$505,"&gt;"&amp;$A137,実績!$AL$6:$AL$505,"○")&gt;0,1,0))</f>
        <v>0</v>
      </c>
      <c r="BF137" s="39" t="n">
        <f aca="false">IF(BF$4=0,0,IF(COUNTIFS(実績!$W$6:$W$505,BF$3,実績!$AI$6:$AI$505,"&lt;="&amp;$A137,実績!$AJ$6:$AJ$505,"&gt;"&amp;$A137,実績!$AL$6:$AL$505,"○")&gt;0,1,0))</f>
        <v>0</v>
      </c>
      <c r="BG137" s="39" t="n">
        <f aca="false">IF(BG$4=0,0,IF(COUNTIFS(実績!$W$6:$W$505,BG$3,実績!$AI$6:$AI$505,"&lt;="&amp;$A137,実績!$AJ$6:$AJ$505,"&gt;"&amp;$A137,実績!$AL$6:$AL$505,"○")&gt;0,1,0))</f>
        <v>0</v>
      </c>
      <c r="BH137" s="39" t="n">
        <f aca="false">IF(BH$4=0,0,IF(COUNTIFS(実績!$W$6:$W$505,BH$3,実績!$AI$6:$AI$505,"&lt;="&amp;$A137,実績!$AJ$6:$AJ$505,"&gt;"&amp;$A137,実績!$AL$6:$AL$505,"○")&gt;0,1,0))</f>
        <v>0</v>
      </c>
      <c r="BI137" s="39" t="n">
        <f aca="false">IF(BI$4=0,0,IF(COUNTIFS(実績!$W$6:$W$505,BI$3,実績!$AI$6:$AI$505,"&lt;="&amp;$A137,実績!$AJ$6:$AJ$505,"&gt;"&amp;$A137,実績!$AL$6:$AL$505,"○")&gt;0,1,0))</f>
        <v>0</v>
      </c>
      <c r="BJ137" s="39" t="n">
        <f aca="false">IF(BJ$4=0,0,IF(COUNTIFS(実績!$W$6:$W$505,BJ$3,実績!$AI$6:$AI$505,"&lt;="&amp;$A137,実績!$AJ$6:$AJ$505,"&gt;"&amp;$A137,実績!$AL$6:$AL$505,"○")&gt;0,1,0))</f>
        <v>0</v>
      </c>
      <c r="BK137" s="39" t="n">
        <f aca="false">IF(BK$4=0,0,IF(COUNTIFS(実績!$W$6:$W$505,BK$3,実績!$AI$6:$AI$505,"&lt;="&amp;$A137,実績!$AJ$6:$AJ$505,"&gt;"&amp;$A137,実績!$AL$6:$AL$505,"○")&gt;0,1,0))</f>
        <v>0</v>
      </c>
      <c r="BL137" s="39" t="n">
        <f aca="false">IF(BL$4=0,0,IF(COUNTIFS(実績!$W$6:$W$505,BL$3,実績!$AI$6:$AI$505,"&lt;="&amp;$A137,実績!$AJ$6:$AJ$505,"&gt;"&amp;$A137,実績!$AL$6:$AL$505,"○")&gt;0,1,0))</f>
        <v>0</v>
      </c>
      <c r="BM137" s="39" t="n">
        <f aca="false">IF(BM$4=0,0,IF(COUNTIFS(実績!$W$6:$W$505,BM$3,実績!$AI$6:$AI$505,"&lt;="&amp;$A137,実績!$AJ$6:$AJ$505,"&gt;"&amp;$A137,実績!$AL$6:$AL$505,"○")&gt;0,1,0))</f>
        <v>0</v>
      </c>
      <c r="BN137" s="39" t="n">
        <f aca="false">IF(BN$4=0,0,IF(COUNTIFS(実績!$W$6:$W$505,BN$3,実績!$AI$6:$AI$505,"&lt;="&amp;$A137,実績!$AJ$6:$AJ$505,"&gt;"&amp;$A137,実績!$AL$6:$AL$505,"○")&gt;0,1,0))</f>
        <v>0</v>
      </c>
      <c r="BO137" s="39" t="n">
        <f aca="false">IF(BO$4=0,0,IF(COUNTIFS(実績!$W$6:$W$505,BO$3,実績!$AI$6:$AI$505,"&lt;="&amp;$A137,実績!$AJ$6:$AJ$505,"&gt;"&amp;$A137,実績!$AL$6:$AL$505,"○")&gt;0,1,0))</f>
        <v>0</v>
      </c>
      <c r="BP137" s="39" t="n">
        <f aca="false">IF(BP$4=0,0,IF(COUNTIFS(実績!$W$6:$W$505,BP$3,実績!$AI$6:$AI$505,"&lt;="&amp;$A137,実績!$AJ$6:$AJ$505,"&gt;"&amp;$A137,実績!$AL$6:$AL$505,"○")&gt;0,1,0))</f>
        <v>0</v>
      </c>
      <c r="BQ137" s="39" t="n">
        <f aca="false">IF(BQ$4=0,0,IF(COUNTIFS(実績!$W$6:$W$505,BQ$3,実績!$AI$6:$AI$505,"&lt;="&amp;$A137,実績!$AJ$6:$AJ$505,"&gt;"&amp;$A137,実績!$AL$6:$AL$505,"○")&gt;0,1,0))</f>
        <v>0</v>
      </c>
      <c r="BR137" s="39" t="n">
        <f aca="false">IF(BR$4=0,0,IF(COUNTIFS(実績!$W$6:$W$505,BR$3,実績!$AI$6:$AI$505,"&lt;="&amp;$A137,実績!$AJ$6:$AJ$505,"&gt;"&amp;$A137,実績!$AL$6:$AL$505,"○")&gt;0,1,0))</f>
        <v>0</v>
      </c>
      <c r="BS137" s="39" t="n">
        <f aca="false">IF(BS$4=0,0,IF(COUNTIFS(実績!$W$6:$W$505,BS$3,実績!$AI$6:$AI$505,"&lt;="&amp;$A137,実績!$AJ$6:$AJ$505,"&gt;"&amp;$A137,実績!$AL$6:$AL$505,"○")&gt;0,1,0))</f>
        <v>0</v>
      </c>
      <c r="BT137" s="39" t="n">
        <f aca="false">IF(BT$4=0,0,IF(COUNTIFS(実績!$W$6:$W$505,BT$3,実績!$AI$6:$AI$505,"&lt;="&amp;$A137,実績!$AJ$6:$AJ$505,"&gt;"&amp;$A137,実績!$AL$6:$AL$505,"○")&gt;0,1,0))</f>
        <v>0</v>
      </c>
      <c r="BU137" s="39" t="n">
        <f aca="false">IF(BU$4=0,0,IF(COUNTIFS(実績!$W$6:$W$505,BU$3,実績!$AI$6:$AI$505,"&lt;="&amp;$A137,実績!$AJ$6:$AJ$505,"&gt;"&amp;$A137,実績!$AL$6:$AL$505,"○")&gt;0,1,0))</f>
        <v>0</v>
      </c>
      <c r="BV137" s="39" t="n">
        <f aca="false">IF(BV$4=0,0,IF(COUNTIFS(実績!$W$6:$W$505,BV$3,実績!$AI$6:$AI$505,"&lt;="&amp;$A137,実績!$AJ$6:$AJ$505,"&gt;"&amp;$A137,実績!$AL$6:$AL$505,"○")&gt;0,1,0))</f>
        <v>0</v>
      </c>
      <c r="BW137" s="39" t="n">
        <f aca="false">IF(BW$4=0,0,IF(COUNTIFS(実績!$W$6:$W$505,BW$3,実績!$AI$6:$AI$505,"&lt;="&amp;$A137,実績!$AJ$6:$AJ$505,"&gt;"&amp;$A137,実績!$AL$6:$AL$505,"○")&gt;0,1,0))</f>
        <v>0</v>
      </c>
      <c r="BX137" s="39" t="n">
        <f aca="false">IF(BX$4=0,0,IF(COUNTIFS(実績!$W$6:$W$505,BX$3,実績!$AI$6:$AI$505,"&lt;="&amp;$A137,実績!$AJ$6:$AJ$505,"&gt;"&amp;$A137,実績!$AL$6:$AL$505,"○")&gt;0,1,0))</f>
        <v>0</v>
      </c>
      <c r="BY137" s="39" t="n">
        <f aca="false">IF(BY$4=0,0,IF(COUNTIFS(実績!$W$6:$W$505,BY$3,実績!$AI$6:$AI$505,"&lt;="&amp;$A137,実績!$AJ$6:$AJ$505,"&gt;"&amp;$A137,実績!$AL$6:$AL$505,"○")&gt;0,1,0))</f>
        <v>0</v>
      </c>
      <c r="BZ137" s="39" t="n">
        <f aca="false">IF(BZ$4=0,0,IF(COUNTIFS(実績!$W$6:$W$505,BZ$3,実績!$AI$6:$AI$505,"&lt;="&amp;$A137,実績!$AJ$6:$AJ$505,"&gt;"&amp;$A137,実績!$AL$6:$AL$505,"○")&gt;0,1,0))</f>
        <v>0</v>
      </c>
      <c r="CA137" s="39" t="n">
        <f aca="false">IF(CA$4=0,0,IF(COUNTIFS(実績!$W$6:$W$505,CA$3,実績!$AI$6:$AI$505,"&lt;="&amp;$A137,実績!$AJ$6:$AJ$505,"&gt;"&amp;$A137,実績!$AL$6:$AL$505,"○")&gt;0,1,0))</f>
        <v>0</v>
      </c>
      <c r="CB137" s="39" t="n">
        <f aca="false">IF(CB$4=0,0,IF(COUNTIFS(実績!$W$6:$W$505,CB$3,実績!$AI$6:$AI$505,"&lt;="&amp;$A137,実績!$AJ$6:$AJ$505,"&gt;"&amp;$A137,実績!$AL$6:$AL$505,"○")&gt;0,1,0))</f>
        <v>0</v>
      </c>
      <c r="CC137" s="39" t="n">
        <f aca="false">IF(CC$4=0,0,IF(COUNTIFS(実績!$W$6:$W$505,CC$3,実績!$AI$6:$AI$505,"&lt;="&amp;$A137,実績!$AJ$6:$AJ$505,"&gt;"&amp;$A137,実績!$AL$6:$AL$505,"○")&gt;0,1,0))</f>
        <v>0</v>
      </c>
      <c r="CD137" s="39" t="n">
        <f aca="false">IF(CD$4=0,0,IF(COUNTIFS(実績!$W$6:$W$505,CD$3,実績!$AI$6:$AI$505,"&lt;="&amp;$A137,実績!$AJ$6:$AJ$505,"&gt;"&amp;$A137,実績!$AL$6:$AL$505,"○")&gt;0,1,0))</f>
        <v>0</v>
      </c>
      <c r="CE137" s="39" t="n">
        <f aca="false">IF(CE$4=0,0,IF(COUNTIFS(実績!$W$6:$W$505,CE$3,実績!$AI$6:$AI$505,"&lt;="&amp;$A137,実績!$AJ$6:$AJ$505,"&gt;"&amp;$A137,実績!$AL$6:$AL$505,"○")&gt;0,1,0))</f>
        <v>0</v>
      </c>
      <c r="CF137" s="39" t="n">
        <f aca="false">IF(CF$4=0,0,IF(COUNTIFS(実績!$W$6:$W$505,CF$3,実績!$AI$6:$AI$505,"&lt;="&amp;$A137,実績!$AJ$6:$AJ$505,"&gt;"&amp;$A137,実績!$AL$6:$AL$505,"○")&gt;0,1,0))</f>
        <v>0</v>
      </c>
      <c r="CG137" s="39" t="n">
        <f aca="false">IF(CG$4=0,0,IF(COUNTIFS(実績!$W$6:$W$505,CG$3,実績!$AI$6:$AI$505,"&lt;="&amp;$A137,実績!$AJ$6:$AJ$505,"&gt;"&amp;$A137,実績!$AL$6:$AL$505,"○")&gt;0,1,0))</f>
        <v>0</v>
      </c>
      <c r="CH137" s="39" t="n">
        <f aca="false">IF(CH$4=0,0,IF(COUNTIFS(実績!$W$6:$W$505,CH$3,実績!$AI$6:$AI$505,"&lt;="&amp;$A137,実績!$AJ$6:$AJ$505,"&gt;"&amp;$A137,実績!$AL$6:$AL$505,"○")&gt;0,1,0))</f>
        <v>0</v>
      </c>
      <c r="CI137" s="39" t="n">
        <f aca="false">IF(CI$4=0,0,IF(COUNTIFS(実績!$W$6:$W$505,CI$3,実績!$AI$6:$AI$505,"&lt;="&amp;$A137,実績!$AJ$6:$AJ$505,"&gt;"&amp;$A137,実績!$AL$6:$AL$505,"○")&gt;0,1,0))</f>
        <v>0</v>
      </c>
      <c r="CJ137" s="39" t="n">
        <f aca="false">IF(CJ$4=0,0,IF(COUNTIFS(実績!$W$6:$W$505,CJ$3,実績!$AI$6:$AI$505,"&lt;="&amp;$A137,実績!$AJ$6:$AJ$505,"&gt;"&amp;$A137,実績!$AL$6:$AL$505,"○")&gt;0,1,0))</f>
        <v>0</v>
      </c>
      <c r="CK137" s="39" t="n">
        <f aca="false">IF(CK$4=0,0,IF(COUNTIFS(実績!$W$6:$W$505,CK$3,実績!$AI$6:$AI$505,"&lt;="&amp;$A137,実績!$AJ$6:$AJ$505,"&gt;"&amp;$A137,実績!$AL$6:$AL$505,"○")&gt;0,1,0))</f>
        <v>0</v>
      </c>
      <c r="CL137" s="39" t="n">
        <f aca="false">IF(CL$4=0,0,IF(COUNTIFS(実績!$W$6:$W$505,CL$3,実績!$AI$6:$AI$505,"&lt;="&amp;$A137,実績!$AJ$6:$AJ$505,"&gt;"&amp;$A137,実績!$AL$6:$AL$505,"○")&gt;0,1,0))</f>
        <v>0</v>
      </c>
      <c r="CM137" s="39" t="n">
        <f aca="false">IF(CM$4=0,0,IF(COUNTIFS(実績!$W$6:$W$505,CM$3,実績!$AI$6:$AI$505,"&lt;="&amp;$A137,実績!$AJ$6:$AJ$505,"&gt;"&amp;$A137,実績!$AL$6:$AL$505,"○")&gt;0,1,0))</f>
        <v>0</v>
      </c>
      <c r="CN137" s="39" t="n">
        <f aca="false">IF(CN$4=0,0,IF(COUNTIFS(実績!$W$6:$W$505,CN$3,実績!$AI$6:$AI$505,"&lt;="&amp;$A137,実績!$AJ$6:$AJ$505,"&gt;"&amp;$A137,実績!$AL$6:$AL$505,"○")&gt;0,1,0))</f>
        <v>0</v>
      </c>
      <c r="CO137" s="39" t="n">
        <f aca="false">IF(CO$4=0,0,IF(COUNTIFS(実績!$W$6:$W$505,CO$3,実績!$AI$6:$AI$505,"&lt;="&amp;$A137,実績!$AJ$6:$AJ$505,"&gt;"&amp;$A137,実績!$AL$6:$AL$505,"○")&gt;0,1,0))</f>
        <v>0</v>
      </c>
      <c r="CP137" s="39" t="n">
        <f aca="false">IF(CP$4=0,0,IF(COUNTIFS(実績!$W$6:$W$505,CP$3,実績!$AI$6:$AI$505,"&lt;="&amp;$A137,実績!$AJ$6:$AJ$505,"&gt;"&amp;$A137,実績!$AL$6:$AL$505,"○")&gt;0,1,0))</f>
        <v>0</v>
      </c>
      <c r="CQ137" s="39" t="n">
        <f aca="false">IF(CQ$4=0,0,IF(COUNTIFS(実績!$W$6:$W$505,CQ$3,実績!$AI$6:$AI$505,"&lt;="&amp;$A137,実績!$AJ$6:$AJ$505,"&gt;"&amp;$A137,実績!$AL$6:$AL$505,"○")&gt;0,1,0))</f>
        <v>0</v>
      </c>
      <c r="CR137" s="39" t="n">
        <f aca="false">IF(CR$4=0,0,IF(COUNTIFS(実績!$W$6:$W$505,CR$3,実績!$AI$6:$AI$505,"&lt;="&amp;$A137,実績!$AJ$6:$AJ$505,"&gt;"&amp;$A137,実績!$AL$6:$AL$505,"○")&gt;0,1,0))</f>
        <v>0</v>
      </c>
      <c r="CS137" s="39" t="n">
        <f aca="false">IF(CS$4=0,0,IF(COUNTIFS(実績!$W$6:$W$505,CS$3,実績!$AI$6:$AI$505,"&lt;="&amp;$A137,実績!$AJ$6:$AJ$505,"&gt;"&amp;$A137,実績!$AL$6:$AL$505,"○")&gt;0,1,0))</f>
        <v>0</v>
      </c>
      <c r="CT137" s="39" t="n">
        <f aca="false">IF(CT$4=0,0,IF(COUNTIFS(実績!$W$6:$W$505,CT$3,実績!$AI$6:$AI$505,"&lt;="&amp;$A137,実績!$AJ$6:$AJ$505,"&gt;"&amp;$A137,実績!$AL$6:$AL$505,"○")&gt;0,1,0))</f>
        <v>0</v>
      </c>
      <c r="CU137" s="39" t="n">
        <f aca="false">IF(CU$4=0,0,IF(COUNTIFS(実績!$W$6:$W$505,CU$3,実績!$AI$6:$AI$505,"&lt;="&amp;$A137,実績!$AJ$6:$AJ$505,"&gt;"&amp;$A137,実績!$AL$6:$AL$505,"○")&gt;0,1,0))</f>
        <v>0</v>
      </c>
      <c r="CV137" s="39" t="n">
        <f aca="false">IF(CV$4=0,0,IF(COUNTIFS(実績!$W$6:$W$505,CV$3,実績!$AI$6:$AI$505,"&lt;="&amp;$A137,実績!$AJ$6:$AJ$505,"&gt;"&amp;$A137,実績!$AL$6:$AL$505,"○")&gt;0,1,0))</f>
        <v>0</v>
      </c>
      <c r="CW137" s="39" t="n">
        <f aca="false">IF(CW$4=0,0,IF(COUNTIFS(実績!$W$6:$W$505,CW$3,実績!$AI$6:$AI$505,"&lt;="&amp;$A137,実績!$AJ$6:$AJ$505,"&gt;"&amp;$A137,実績!$AL$6:$AL$505,"○")&gt;0,1,0))</f>
        <v>0</v>
      </c>
      <c r="CX137" s="39" t="n">
        <f aca="false">IF(CX$4=0,0,IF(COUNTIFS(実績!$W$6:$W$505,CX$3,実績!$AI$6:$AI$505,"&lt;="&amp;$A137,実績!$AJ$6:$AJ$505,"&gt;"&amp;$A137,実績!$AL$6:$AL$505,"○")&gt;0,1,0))</f>
        <v>0</v>
      </c>
      <c r="CY137" s="39" t="n">
        <f aca="false">IF(CY$4=0,0,IF(COUNTIFS(実績!$W$6:$W$505,CY$3,実績!$AI$6:$AI$505,"&lt;="&amp;$A137,実績!$AJ$6:$AJ$505,"&gt;"&amp;$A137,実績!$AL$6:$AL$505,"○")&gt;0,1,0))</f>
        <v>0</v>
      </c>
      <c r="CZ137" s="39" t="n">
        <f aca="false">IF(CZ$4=0,0,IF(COUNTIFS(実績!$W$6:$W$505,CZ$3,実績!$AI$6:$AI$505,"&lt;="&amp;$A137,実績!$AJ$6:$AJ$505,"&gt;"&amp;$A137,実績!$AL$6:$AL$505,"○")&gt;0,1,0))</f>
        <v>0</v>
      </c>
      <c r="DA137" s="39" t="n">
        <f aca="false">IF(DA$4=0,0,IF(COUNTIFS(実績!$W$6:$W$505,DA$3,実績!$AI$6:$AI$505,"&lt;="&amp;$A137,実績!$AJ$6:$AJ$505,"&gt;"&amp;$A137,実績!$AL$6:$AL$505,"○")&gt;0,1,0))</f>
        <v>0</v>
      </c>
      <c r="DB137" s="39" t="n">
        <f aca="false">IF(DB$4=0,0,IF(COUNTIFS(実績!$W$6:$W$505,DB$3,実績!$AI$6:$AI$505,"&lt;="&amp;$A137,実績!$AJ$6:$AJ$505,"&gt;"&amp;$A137,実績!$AL$6:$AL$505,"○")&gt;0,1,0))</f>
        <v>0</v>
      </c>
      <c r="DC137" s="39" t="n">
        <f aca="false">IF(DC$4=0,0,IF(COUNTIFS(実績!$W$6:$W$505,DC$3,実績!$AI$6:$AI$505,"&lt;="&amp;$A137,実績!$AJ$6:$AJ$505,"&gt;"&amp;$A137,実績!$AL$6:$AL$505,"○")&gt;0,1,0))</f>
        <v>0</v>
      </c>
      <c r="DD137" s="39" t="n">
        <f aca="false">IF(DD$4=0,0,IF(COUNTIFS(実績!$W$6:$W$505,DD$3,実績!$AI$6:$AI$505,"&lt;="&amp;$A137,実績!$AJ$6:$AJ$505,"&gt;"&amp;$A137,実績!$AL$6:$AL$505,"○")&gt;0,1,0))</f>
        <v>0</v>
      </c>
      <c r="DE137" s="39" t="n">
        <f aca="false">IF(DE$4=0,0,IF(COUNTIFS(実績!$W$6:$W$505,DE$3,実績!$AI$6:$AI$505,"&lt;="&amp;$A137,実績!$AJ$6:$AJ$505,"&gt;"&amp;$A137,実績!$AL$6:$AL$505,"○")&gt;0,1,0))</f>
        <v>0</v>
      </c>
      <c r="DF137" s="39" t="n">
        <f aca="false">IF(DF$4=0,0,IF(COUNTIFS(実績!$W$6:$W$505,DF$3,実績!$AI$6:$AI$505,"&lt;="&amp;$A137,実績!$AJ$6:$AJ$505,"&gt;"&amp;$A137,実績!$AL$6:$AL$505,"○")&gt;0,1,0))</f>
        <v>0</v>
      </c>
      <c r="DG137" s="39" t="n">
        <f aca="false">IF(DG$4=0,0,IF(COUNTIFS(実績!$W$6:$W$505,DG$3,実績!$AI$6:$AI$505,"&lt;="&amp;$A137,実績!$AJ$6:$AJ$505,"&gt;"&amp;$A137,実績!$AL$6:$AL$505,"○")&gt;0,1,0))</f>
        <v>0</v>
      </c>
      <c r="DH137" s="39" t="n">
        <f aca="false">IF(DH$4=0,0,IF(COUNTIFS(実績!$W$6:$W$505,DH$3,実績!$AI$6:$AI$505,"&lt;="&amp;$A137,実績!$AJ$6:$AJ$505,"&gt;"&amp;$A137,実績!$AL$6:$AL$505,"○")&gt;0,1,0))</f>
        <v>0</v>
      </c>
      <c r="DI137" s="39" t="n">
        <f aca="false">IF(DI$4=0,0,IF(COUNTIFS(実績!$W$6:$W$505,DI$3,実績!$AI$6:$AI$505,"&lt;="&amp;$A137,実績!$AJ$6:$AJ$505,"&gt;"&amp;$A137,実績!$AL$6:$AL$505,"○")&gt;0,1,0))</f>
        <v>0</v>
      </c>
      <c r="DJ137" s="39" t="n">
        <f aca="false">IF(DJ$4=0,0,IF(COUNTIFS(実績!$W$6:$W$505,DJ$3,実績!$AI$6:$AI$505,"&lt;="&amp;$A137,実績!$AJ$6:$AJ$505,"&gt;"&amp;$A137,実績!$AL$6:$AL$505,"○")&gt;0,1,0))</f>
        <v>0</v>
      </c>
      <c r="DK137" s="39" t="n">
        <f aca="false">IF(DK$4=0,0,IF(COUNTIFS(実績!$W$6:$W$505,DK$3,実績!$AI$6:$AI$505,"&lt;="&amp;$A137,実績!$AJ$6:$AJ$505,"&gt;"&amp;$A137,実績!$AL$6:$AL$505,"○")&gt;0,1,0))</f>
        <v>0</v>
      </c>
      <c r="DL137" s="39" t="n">
        <f aca="false">IF(DL$4=0,0,IF(COUNTIFS(実績!$W$6:$W$505,DL$3,実績!$AI$6:$AI$505,"&lt;="&amp;$A137,実績!$AJ$6:$AJ$505,"&gt;"&amp;$A137,実績!$AL$6:$AL$505,"○")&gt;0,1,0))</f>
        <v>0</v>
      </c>
      <c r="DM137" s="39" t="n">
        <f aca="false">IF(DM$4=0,0,IF(COUNTIFS(実績!$W$6:$W$505,DM$3,実績!$AI$6:$AI$505,"&lt;="&amp;$A137,実績!$AJ$6:$AJ$505,"&gt;"&amp;$A137,実績!$AL$6:$AL$505,"○")&gt;0,1,0))</f>
        <v>0</v>
      </c>
      <c r="DN137" s="39" t="n">
        <f aca="false">IF(DN$4=0,0,IF(COUNTIFS(実績!$W$6:$W$505,DN$3,実績!$AI$6:$AI$505,"&lt;="&amp;$A137,実績!$AJ$6:$AJ$505,"&gt;"&amp;$A137,実績!$AL$6:$AL$505,"○")&gt;0,1,0))</f>
        <v>0</v>
      </c>
      <c r="DO137" s="39" t="n">
        <f aca="false">IF(DO$4=0,0,IF(COUNTIFS(実績!$W$6:$W$505,DO$3,実績!$AI$6:$AI$505,"&lt;="&amp;$A137,実績!$AJ$6:$AJ$505,"&gt;"&amp;$A137,実績!$AL$6:$AL$505,"○")&gt;0,1,0))</f>
        <v>0</v>
      </c>
      <c r="DP137" s="39" t="n">
        <f aca="false">IF(DP$4=0,0,IF(COUNTIFS(実績!$W$6:$W$505,DP$3,実績!$AI$6:$AI$505,"&lt;="&amp;$A137,実績!$AJ$6:$AJ$505,"&gt;"&amp;$A137,実績!$AL$6:$AL$505,"○")&gt;0,1,0))</f>
        <v>0</v>
      </c>
      <c r="DQ137" s="39" t="n">
        <f aca="false">IF(DQ$4=0,0,IF(COUNTIFS(実績!$W$6:$W$505,DQ$3,実績!$AI$6:$AI$505,"&lt;="&amp;$A137,実績!$AJ$6:$AJ$505,"&gt;"&amp;$A137,実績!$AL$6:$AL$505,"○")&gt;0,1,0))</f>
        <v>0</v>
      </c>
      <c r="DR137" s="39" t="n">
        <f aca="false">IF(DR$4=0,0,IF(COUNTIFS(実績!$W$6:$W$505,DR$3,実績!$AI$6:$AI$505,"&lt;="&amp;$A137,実績!$AJ$6:$AJ$505,"&gt;"&amp;$A137,実績!$AL$6:$AL$505,"○")&gt;0,1,0))</f>
        <v>0</v>
      </c>
      <c r="DS137" s="39" t="n">
        <f aca="false">SUM(C137:DR137)</f>
        <v>0</v>
      </c>
    </row>
    <row r="138" customFormat="false" ht="15" hidden="false" customHeight="false" outlineLevel="0" collapsed="false">
      <c r="A138" s="0" t="n">
        <v>660</v>
      </c>
      <c r="B138" s="38" t="n">
        <f aca="false">A138/1440</f>
        <v>0.458333333333333</v>
      </c>
      <c r="C138" s="39" t="n">
        <f aca="false">IF(C$4=0,0,IF(COUNTIFS(実績!$W$6:$W$505,C$3,実績!$AI$6:$AI$505,"&lt;="&amp;$A138,実績!$AJ$6:$AJ$505,"&gt;"&amp;$A138,実績!$AL$6:$AL$505,"○")&gt;0,1,0))</f>
        <v>0</v>
      </c>
      <c r="D138" s="39" t="n">
        <f aca="false">IF(D$4=0,0,IF(COUNTIFS(実績!$W$6:$W$505,D$3,実績!$AI$6:$AI$505,"&lt;="&amp;$A138,実績!$AJ$6:$AJ$505,"&gt;"&amp;$A138,実績!$AL$6:$AL$505,"○")&gt;0,1,0))</f>
        <v>0</v>
      </c>
      <c r="E138" s="39" t="n">
        <f aca="false">IF(E$4=0,0,IF(COUNTIFS(実績!$W$6:$W$505,E$3,実績!$AI$6:$AI$505,"&lt;="&amp;$A138,実績!$AJ$6:$AJ$505,"&gt;"&amp;$A138,実績!$AL$6:$AL$505,"○")&gt;0,1,0))</f>
        <v>0</v>
      </c>
      <c r="F138" s="39" t="n">
        <f aca="false">IF(F$4=0,0,IF(COUNTIFS(実績!$W$6:$W$505,F$3,実績!$AI$6:$AI$505,"&lt;="&amp;$A138,実績!$AJ$6:$AJ$505,"&gt;"&amp;$A138,実績!$AL$6:$AL$505,"○")&gt;0,1,0))</f>
        <v>0</v>
      </c>
      <c r="G138" s="39" t="n">
        <f aca="false">IF(G$4=0,0,IF(COUNTIFS(実績!$W$6:$W$505,G$3,実績!$AI$6:$AI$505,"&lt;="&amp;$A138,実績!$AJ$6:$AJ$505,"&gt;"&amp;$A138,実績!$AL$6:$AL$505,"○")&gt;0,1,0))</f>
        <v>0</v>
      </c>
      <c r="H138" s="39" t="n">
        <f aca="false">IF(H$4=0,0,IF(COUNTIFS(実績!$W$6:$W$505,H$3,実績!$AI$6:$AI$505,"&lt;="&amp;$A138,実績!$AJ$6:$AJ$505,"&gt;"&amp;$A138,実績!$AL$6:$AL$505,"○")&gt;0,1,0))</f>
        <v>0</v>
      </c>
      <c r="I138" s="39" t="n">
        <f aca="false">IF(I$4=0,0,IF(COUNTIFS(実績!$W$6:$W$505,I$3,実績!$AI$6:$AI$505,"&lt;="&amp;$A138,実績!$AJ$6:$AJ$505,"&gt;"&amp;$A138,実績!$AL$6:$AL$505,"○")&gt;0,1,0))</f>
        <v>0</v>
      </c>
      <c r="J138" s="39" t="n">
        <f aca="false">IF(J$4=0,0,IF(COUNTIFS(実績!$W$6:$W$505,J$3,実績!$AI$6:$AI$505,"&lt;="&amp;$A138,実績!$AJ$6:$AJ$505,"&gt;"&amp;$A138,実績!$AL$6:$AL$505,"○")&gt;0,1,0))</f>
        <v>0</v>
      </c>
      <c r="K138" s="39" t="n">
        <f aca="false">IF(K$4=0,0,IF(COUNTIFS(実績!$W$6:$W$505,K$3,実績!$AI$6:$AI$505,"&lt;="&amp;$A138,実績!$AJ$6:$AJ$505,"&gt;"&amp;$A138,実績!$AL$6:$AL$505,"○")&gt;0,1,0))</f>
        <v>0</v>
      </c>
      <c r="L138" s="39" t="n">
        <f aca="false">IF(L$4=0,0,IF(COUNTIFS(実績!$W$6:$W$505,L$3,実績!$AI$6:$AI$505,"&lt;="&amp;$A138,実績!$AJ$6:$AJ$505,"&gt;"&amp;$A138,実績!$AL$6:$AL$505,"○")&gt;0,1,0))</f>
        <v>0</v>
      </c>
      <c r="M138" s="39" t="n">
        <f aca="false">IF(M$4=0,0,IF(COUNTIFS(実績!$W$6:$W$505,M$3,実績!$AI$6:$AI$505,"&lt;="&amp;$A138,実績!$AJ$6:$AJ$505,"&gt;"&amp;$A138,実績!$AL$6:$AL$505,"○")&gt;0,1,0))</f>
        <v>0</v>
      </c>
      <c r="N138" s="39" t="n">
        <f aca="false">IF(N$4=0,0,IF(COUNTIFS(実績!$W$6:$W$505,N$3,実績!$AI$6:$AI$505,"&lt;="&amp;$A138,実績!$AJ$6:$AJ$505,"&gt;"&amp;$A138,実績!$AL$6:$AL$505,"○")&gt;0,1,0))</f>
        <v>0</v>
      </c>
      <c r="O138" s="39" t="n">
        <f aca="false">IF(O$4=0,0,IF(COUNTIFS(実績!$W$6:$W$505,O$3,実績!$AI$6:$AI$505,"&lt;="&amp;$A138,実績!$AJ$6:$AJ$505,"&gt;"&amp;$A138,実績!$AL$6:$AL$505,"○")&gt;0,1,0))</f>
        <v>0</v>
      </c>
      <c r="P138" s="39" t="n">
        <f aca="false">IF(P$4=0,0,IF(COUNTIFS(実績!$W$6:$W$505,P$3,実績!$AI$6:$AI$505,"&lt;="&amp;$A138,実績!$AJ$6:$AJ$505,"&gt;"&amp;$A138,実績!$AL$6:$AL$505,"○")&gt;0,1,0))</f>
        <v>0</v>
      </c>
      <c r="Q138" s="39" t="n">
        <f aca="false">IF(Q$4=0,0,IF(COUNTIFS(実績!$W$6:$W$505,Q$3,実績!$AI$6:$AI$505,"&lt;="&amp;$A138,実績!$AJ$6:$AJ$505,"&gt;"&amp;$A138,実績!$AL$6:$AL$505,"○")&gt;0,1,0))</f>
        <v>0</v>
      </c>
      <c r="R138" s="39" t="n">
        <f aca="false">IF(R$4=0,0,IF(COUNTIFS(実績!$W$6:$W$505,R$3,実績!$AI$6:$AI$505,"&lt;="&amp;$A138,実績!$AJ$6:$AJ$505,"&gt;"&amp;$A138,実績!$AL$6:$AL$505,"○")&gt;0,1,0))</f>
        <v>0</v>
      </c>
      <c r="S138" s="39" t="n">
        <f aca="false">IF(S$4=0,0,IF(COUNTIFS(実績!$W$6:$W$505,S$3,実績!$AI$6:$AI$505,"&lt;="&amp;$A138,実績!$AJ$6:$AJ$505,"&gt;"&amp;$A138,実績!$AL$6:$AL$505,"○")&gt;0,1,0))</f>
        <v>0</v>
      </c>
      <c r="T138" s="39" t="n">
        <f aca="false">IF(T$4=0,0,IF(COUNTIFS(実績!$W$6:$W$505,T$3,実績!$AI$6:$AI$505,"&lt;="&amp;$A138,実績!$AJ$6:$AJ$505,"&gt;"&amp;$A138,実績!$AL$6:$AL$505,"○")&gt;0,1,0))</f>
        <v>0</v>
      </c>
      <c r="U138" s="39" t="n">
        <f aca="false">IF(U$4=0,0,IF(COUNTIFS(実績!$W$6:$W$505,U$3,実績!$AI$6:$AI$505,"&lt;="&amp;$A138,実績!$AJ$6:$AJ$505,"&gt;"&amp;$A138,実績!$AL$6:$AL$505,"○")&gt;0,1,0))</f>
        <v>0</v>
      </c>
      <c r="V138" s="39" t="n">
        <f aca="false">IF(V$4=0,0,IF(COUNTIFS(実績!$W$6:$W$505,V$3,実績!$AI$6:$AI$505,"&lt;="&amp;$A138,実績!$AJ$6:$AJ$505,"&gt;"&amp;$A138,実績!$AL$6:$AL$505,"○")&gt;0,1,0))</f>
        <v>0</v>
      </c>
      <c r="W138" s="39" t="n">
        <f aca="false">IF(W$4=0,0,IF(COUNTIFS(実績!$W$6:$W$505,W$3,実績!$AI$6:$AI$505,"&lt;="&amp;$A138,実績!$AJ$6:$AJ$505,"&gt;"&amp;$A138,実績!$AL$6:$AL$505,"○")&gt;0,1,0))</f>
        <v>0</v>
      </c>
      <c r="X138" s="39" t="n">
        <f aca="false">IF(X$4=0,0,IF(COUNTIFS(実績!$W$6:$W$505,X$3,実績!$AI$6:$AI$505,"&lt;="&amp;$A138,実績!$AJ$6:$AJ$505,"&gt;"&amp;$A138,実績!$AL$6:$AL$505,"○")&gt;0,1,0))</f>
        <v>0</v>
      </c>
      <c r="Y138" s="39" t="n">
        <f aca="false">IF(Y$4=0,0,IF(COUNTIFS(実績!$W$6:$W$505,Y$3,実績!$AI$6:$AI$505,"&lt;="&amp;$A138,実績!$AJ$6:$AJ$505,"&gt;"&amp;$A138,実績!$AL$6:$AL$505,"○")&gt;0,1,0))</f>
        <v>0</v>
      </c>
      <c r="Z138" s="39" t="n">
        <f aca="false">IF(Z$4=0,0,IF(COUNTIFS(実績!$W$6:$W$505,Z$3,実績!$AI$6:$AI$505,"&lt;="&amp;$A138,実績!$AJ$6:$AJ$505,"&gt;"&amp;$A138,実績!$AL$6:$AL$505,"○")&gt;0,1,0))</f>
        <v>0</v>
      </c>
      <c r="AA138" s="39" t="n">
        <f aca="false">IF(AA$4=0,0,IF(COUNTIFS(実績!$W$6:$W$505,AA$3,実績!$AI$6:$AI$505,"&lt;="&amp;$A138,実績!$AJ$6:$AJ$505,"&gt;"&amp;$A138,実績!$AL$6:$AL$505,"○")&gt;0,1,0))</f>
        <v>0</v>
      </c>
      <c r="AB138" s="39" t="n">
        <f aca="false">IF(AB$4=0,0,IF(COUNTIFS(実績!$W$6:$W$505,AB$3,実績!$AI$6:$AI$505,"&lt;="&amp;$A138,実績!$AJ$6:$AJ$505,"&gt;"&amp;$A138,実績!$AL$6:$AL$505,"○")&gt;0,1,0))</f>
        <v>0</v>
      </c>
      <c r="AC138" s="39" t="n">
        <f aca="false">IF(AC$4=0,0,IF(COUNTIFS(実績!$W$6:$W$505,AC$3,実績!$AI$6:$AI$505,"&lt;="&amp;$A138,実績!$AJ$6:$AJ$505,"&gt;"&amp;$A138,実績!$AL$6:$AL$505,"○")&gt;0,1,0))</f>
        <v>0</v>
      </c>
      <c r="AD138" s="39" t="n">
        <f aca="false">IF(AD$4=0,0,IF(COUNTIFS(実績!$W$6:$W$505,AD$3,実績!$AI$6:$AI$505,"&lt;="&amp;$A138,実績!$AJ$6:$AJ$505,"&gt;"&amp;$A138,実績!$AL$6:$AL$505,"○")&gt;0,1,0))</f>
        <v>0</v>
      </c>
      <c r="AE138" s="39" t="n">
        <f aca="false">IF(AE$4=0,0,IF(COUNTIFS(実績!$W$6:$W$505,AE$3,実績!$AI$6:$AI$505,"&lt;="&amp;$A138,実績!$AJ$6:$AJ$505,"&gt;"&amp;$A138,実績!$AL$6:$AL$505,"○")&gt;0,1,0))</f>
        <v>0</v>
      </c>
      <c r="AF138" s="39" t="n">
        <f aca="false">IF(AF$4=0,0,IF(COUNTIFS(実績!$W$6:$W$505,AF$3,実績!$AI$6:$AI$505,"&lt;="&amp;$A138,実績!$AJ$6:$AJ$505,"&gt;"&amp;$A138,実績!$AL$6:$AL$505,"○")&gt;0,1,0))</f>
        <v>0</v>
      </c>
      <c r="AG138" s="39" t="n">
        <f aca="false">IF(AG$4=0,0,IF(COUNTIFS(実績!$W$6:$W$505,AG$3,実績!$AI$6:$AI$505,"&lt;="&amp;$A138,実績!$AJ$6:$AJ$505,"&gt;"&amp;$A138,実績!$AL$6:$AL$505,"○")&gt;0,1,0))</f>
        <v>0</v>
      </c>
      <c r="AH138" s="39" t="n">
        <f aca="false">IF(AH$4=0,0,IF(COUNTIFS(実績!$W$6:$W$505,AH$3,実績!$AI$6:$AI$505,"&lt;="&amp;$A138,実績!$AJ$6:$AJ$505,"&gt;"&amp;$A138,実績!$AL$6:$AL$505,"○")&gt;0,1,0))</f>
        <v>0</v>
      </c>
      <c r="AI138" s="39" t="n">
        <f aca="false">IF(AI$4=0,0,IF(COUNTIFS(実績!$W$6:$W$505,AI$3,実績!$AI$6:$AI$505,"&lt;="&amp;$A138,実績!$AJ$6:$AJ$505,"&gt;"&amp;$A138,実績!$AL$6:$AL$505,"○")&gt;0,1,0))</f>
        <v>0</v>
      </c>
      <c r="AJ138" s="39" t="n">
        <f aca="false">IF(AJ$4=0,0,IF(COUNTIFS(実績!$W$6:$W$505,AJ$3,実績!$AI$6:$AI$505,"&lt;="&amp;$A138,実績!$AJ$6:$AJ$505,"&gt;"&amp;$A138,実績!$AL$6:$AL$505,"○")&gt;0,1,0))</f>
        <v>0</v>
      </c>
      <c r="AK138" s="39" t="n">
        <f aca="false">IF(AK$4=0,0,IF(COUNTIFS(実績!$W$6:$W$505,AK$3,実績!$AI$6:$AI$505,"&lt;="&amp;$A138,実績!$AJ$6:$AJ$505,"&gt;"&amp;$A138,実績!$AL$6:$AL$505,"○")&gt;0,1,0))</f>
        <v>0</v>
      </c>
      <c r="AL138" s="39" t="n">
        <f aca="false">IF(AL$4=0,0,IF(COUNTIFS(実績!$W$6:$W$505,AL$3,実績!$AI$6:$AI$505,"&lt;="&amp;$A138,実績!$AJ$6:$AJ$505,"&gt;"&amp;$A138,実績!$AL$6:$AL$505,"○")&gt;0,1,0))</f>
        <v>0</v>
      </c>
      <c r="AM138" s="39" t="n">
        <f aca="false">IF(AM$4=0,0,IF(COUNTIFS(実績!$W$6:$W$505,AM$3,実績!$AI$6:$AI$505,"&lt;="&amp;$A138,実績!$AJ$6:$AJ$505,"&gt;"&amp;$A138,実績!$AL$6:$AL$505,"○")&gt;0,1,0))</f>
        <v>0</v>
      </c>
      <c r="AN138" s="39" t="n">
        <f aca="false">IF(AN$4=0,0,IF(COUNTIFS(実績!$W$6:$W$505,AN$3,実績!$AI$6:$AI$505,"&lt;="&amp;$A138,実績!$AJ$6:$AJ$505,"&gt;"&amp;$A138,実績!$AL$6:$AL$505,"○")&gt;0,1,0))</f>
        <v>0</v>
      </c>
      <c r="AO138" s="39" t="n">
        <f aca="false">IF(AO$4=0,0,IF(COUNTIFS(実績!$W$6:$W$505,AO$3,実績!$AI$6:$AI$505,"&lt;="&amp;$A138,実績!$AJ$6:$AJ$505,"&gt;"&amp;$A138,実績!$AL$6:$AL$505,"○")&gt;0,1,0))</f>
        <v>0</v>
      </c>
      <c r="AP138" s="39" t="n">
        <f aca="false">IF(AP$4=0,0,IF(COUNTIFS(実績!$W$6:$W$505,AP$3,実績!$AI$6:$AI$505,"&lt;="&amp;$A138,実績!$AJ$6:$AJ$505,"&gt;"&amp;$A138,実績!$AL$6:$AL$505,"○")&gt;0,1,0))</f>
        <v>0</v>
      </c>
      <c r="AQ138" s="39" t="n">
        <f aca="false">IF(AQ$4=0,0,IF(COUNTIFS(実績!$W$6:$W$505,AQ$3,実績!$AI$6:$AI$505,"&lt;="&amp;$A138,実績!$AJ$6:$AJ$505,"&gt;"&amp;$A138,実績!$AL$6:$AL$505,"○")&gt;0,1,0))</f>
        <v>0</v>
      </c>
      <c r="AR138" s="39" t="n">
        <f aca="false">IF(AR$4=0,0,IF(COUNTIFS(実績!$W$6:$W$505,AR$3,実績!$AI$6:$AI$505,"&lt;="&amp;$A138,実績!$AJ$6:$AJ$505,"&gt;"&amp;$A138,実績!$AL$6:$AL$505,"○")&gt;0,1,0))</f>
        <v>0</v>
      </c>
      <c r="AS138" s="39" t="n">
        <f aca="false">IF(AS$4=0,0,IF(COUNTIFS(実績!$W$6:$W$505,AS$3,実績!$AI$6:$AI$505,"&lt;="&amp;$A138,実績!$AJ$6:$AJ$505,"&gt;"&amp;$A138,実績!$AL$6:$AL$505,"○")&gt;0,1,0))</f>
        <v>0</v>
      </c>
      <c r="AT138" s="39" t="n">
        <f aca="false">IF(AT$4=0,0,IF(COUNTIFS(実績!$W$6:$W$505,AT$3,実績!$AI$6:$AI$505,"&lt;="&amp;$A138,実績!$AJ$6:$AJ$505,"&gt;"&amp;$A138,実績!$AL$6:$AL$505,"○")&gt;0,1,0))</f>
        <v>0</v>
      </c>
      <c r="AU138" s="39" t="n">
        <f aca="false">IF(AU$4=0,0,IF(COUNTIFS(実績!$W$6:$W$505,AU$3,実績!$AI$6:$AI$505,"&lt;="&amp;$A138,実績!$AJ$6:$AJ$505,"&gt;"&amp;$A138,実績!$AL$6:$AL$505,"○")&gt;0,1,0))</f>
        <v>0</v>
      </c>
      <c r="AV138" s="39" t="n">
        <f aca="false">IF(AV$4=0,0,IF(COUNTIFS(実績!$W$6:$W$505,AV$3,実績!$AI$6:$AI$505,"&lt;="&amp;$A138,実績!$AJ$6:$AJ$505,"&gt;"&amp;$A138,実績!$AL$6:$AL$505,"○")&gt;0,1,0))</f>
        <v>0</v>
      </c>
      <c r="AW138" s="39" t="n">
        <f aca="false">IF(AW$4=0,0,IF(COUNTIFS(実績!$W$6:$W$505,AW$3,実績!$AI$6:$AI$505,"&lt;="&amp;$A138,実績!$AJ$6:$AJ$505,"&gt;"&amp;$A138,実績!$AL$6:$AL$505,"○")&gt;0,1,0))</f>
        <v>0</v>
      </c>
      <c r="AX138" s="39" t="n">
        <f aca="false">IF(AX$4=0,0,IF(COUNTIFS(実績!$W$6:$W$505,AX$3,実績!$AI$6:$AI$505,"&lt;="&amp;$A138,実績!$AJ$6:$AJ$505,"&gt;"&amp;$A138,実績!$AL$6:$AL$505,"○")&gt;0,1,0))</f>
        <v>0</v>
      </c>
      <c r="AY138" s="39" t="n">
        <f aca="false">IF(AY$4=0,0,IF(COUNTIFS(実績!$W$6:$W$505,AY$3,実績!$AI$6:$AI$505,"&lt;="&amp;$A138,実績!$AJ$6:$AJ$505,"&gt;"&amp;$A138,実績!$AL$6:$AL$505,"○")&gt;0,1,0))</f>
        <v>0</v>
      </c>
      <c r="AZ138" s="39" t="n">
        <f aca="false">IF(AZ$4=0,0,IF(COUNTIFS(実績!$W$6:$W$505,AZ$3,実績!$AI$6:$AI$505,"&lt;="&amp;$A138,実績!$AJ$6:$AJ$505,"&gt;"&amp;$A138,実績!$AL$6:$AL$505,"○")&gt;0,1,0))</f>
        <v>0</v>
      </c>
      <c r="BA138" s="39" t="n">
        <f aca="false">IF(BA$4=0,0,IF(COUNTIFS(実績!$W$6:$W$505,BA$3,実績!$AI$6:$AI$505,"&lt;="&amp;$A138,実績!$AJ$6:$AJ$505,"&gt;"&amp;$A138,実績!$AL$6:$AL$505,"○")&gt;0,1,0))</f>
        <v>0</v>
      </c>
      <c r="BB138" s="39" t="n">
        <f aca="false">IF(BB$4=0,0,IF(COUNTIFS(実績!$W$6:$W$505,BB$3,実績!$AI$6:$AI$505,"&lt;="&amp;$A138,実績!$AJ$6:$AJ$505,"&gt;"&amp;$A138,実績!$AL$6:$AL$505,"○")&gt;0,1,0))</f>
        <v>0</v>
      </c>
      <c r="BC138" s="39" t="n">
        <f aca="false">IF(BC$4=0,0,IF(COUNTIFS(実績!$W$6:$W$505,BC$3,実績!$AI$6:$AI$505,"&lt;="&amp;$A138,実績!$AJ$6:$AJ$505,"&gt;"&amp;$A138,実績!$AL$6:$AL$505,"○")&gt;0,1,0))</f>
        <v>0</v>
      </c>
      <c r="BD138" s="39" t="n">
        <f aca="false">IF(BD$4=0,0,IF(COUNTIFS(実績!$W$6:$W$505,BD$3,実績!$AI$6:$AI$505,"&lt;="&amp;$A138,実績!$AJ$6:$AJ$505,"&gt;"&amp;$A138,実績!$AL$6:$AL$505,"○")&gt;0,1,0))</f>
        <v>0</v>
      </c>
      <c r="BE138" s="39" t="n">
        <f aca="false">IF(BE$4=0,0,IF(COUNTIFS(実績!$W$6:$W$505,BE$3,実績!$AI$6:$AI$505,"&lt;="&amp;$A138,実績!$AJ$6:$AJ$505,"&gt;"&amp;$A138,実績!$AL$6:$AL$505,"○")&gt;0,1,0))</f>
        <v>0</v>
      </c>
      <c r="BF138" s="39" t="n">
        <f aca="false">IF(BF$4=0,0,IF(COUNTIFS(実績!$W$6:$W$505,BF$3,実績!$AI$6:$AI$505,"&lt;="&amp;$A138,実績!$AJ$6:$AJ$505,"&gt;"&amp;$A138,実績!$AL$6:$AL$505,"○")&gt;0,1,0))</f>
        <v>0</v>
      </c>
      <c r="BG138" s="39" t="n">
        <f aca="false">IF(BG$4=0,0,IF(COUNTIFS(実績!$W$6:$W$505,BG$3,実績!$AI$6:$AI$505,"&lt;="&amp;$A138,実績!$AJ$6:$AJ$505,"&gt;"&amp;$A138,実績!$AL$6:$AL$505,"○")&gt;0,1,0))</f>
        <v>0</v>
      </c>
      <c r="BH138" s="39" t="n">
        <f aca="false">IF(BH$4=0,0,IF(COUNTIFS(実績!$W$6:$W$505,BH$3,実績!$AI$6:$AI$505,"&lt;="&amp;$A138,実績!$AJ$6:$AJ$505,"&gt;"&amp;$A138,実績!$AL$6:$AL$505,"○")&gt;0,1,0))</f>
        <v>0</v>
      </c>
      <c r="BI138" s="39" t="n">
        <f aca="false">IF(BI$4=0,0,IF(COUNTIFS(実績!$W$6:$W$505,BI$3,実績!$AI$6:$AI$505,"&lt;="&amp;$A138,実績!$AJ$6:$AJ$505,"&gt;"&amp;$A138,実績!$AL$6:$AL$505,"○")&gt;0,1,0))</f>
        <v>0</v>
      </c>
      <c r="BJ138" s="39" t="n">
        <f aca="false">IF(BJ$4=0,0,IF(COUNTIFS(実績!$W$6:$W$505,BJ$3,実績!$AI$6:$AI$505,"&lt;="&amp;$A138,実績!$AJ$6:$AJ$505,"&gt;"&amp;$A138,実績!$AL$6:$AL$505,"○")&gt;0,1,0))</f>
        <v>0</v>
      </c>
      <c r="BK138" s="39" t="n">
        <f aca="false">IF(BK$4=0,0,IF(COUNTIFS(実績!$W$6:$W$505,BK$3,実績!$AI$6:$AI$505,"&lt;="&amp;$A138,実績!$AJ$6:$AJ$505,"&gt;"&amp;$A138,実績!$AL$6:$AL$505,"○")&gt;0,1,0))</f>
        <v>0</v>
      </c>
      <c r="BL138" s="39" t="n">
        <f aca="false">IF(BL$4=0,0,IF(COUNTIFS(実績!$W$6:$W$505,BL$3,実績!$AI$6:$AI$505,"&lt;="&amp;$A138,実績!$AJ$6:$AJ$505,"&gt;"&amp;$A138,実績!$AL$6:$AL$505,"○")&gt;0,1,0))</f>
        <v>0</v>
      </c>
      <c r="BM138" s="39" t="n">
        <f aca="false">IF(BM$4=0,0,IF(COUNTIFS(実績!$W$6:$W$505,BM$3,実績!$AI$6:$AI$505,"&lt;="&amp;$A138,実績!$AJ$6:$AJ$505,"&gt;"&amp;$A138,実績!$AL$6:$AL$505,"○")&gt;0,1,0))</f>
        <v>0</v>
      </c>
      <c r="BN138" s="39" t="n">
        <f aca="false">IF(BN$4=0,0,IF(COUNTIFS(実績!$W$6:$W$505,BN$3,実績!$AI$6:$AI$505,"&lt;="&amp;$A138,実績!$AJ$6:$AJ$505,"&gt;"&amp;$A138,実績!$AL$6:$AL$505,"○")&gt;0,1,0))</f>
        <v>0</v>
      </c>
      <c r="BO138" s="39" t="n">
        <f aca="false">IF(BO$4=0,0,IF(COUNTIFS(実績!$W$6:$W$505,BO$3,実績!$AI$6:$AI$505,"&lt;="&amp;$A138,実績!$AJ$6:$AJ$505,"&gt;"&amp;$A138,実績!$AL$6:$AL$505,"○")&gt;0,1,0))</f>
        <v>0</v>
      </c>
      <c r="BP138" s="39" t="n">
        <f aca="false">IF(BP$4=0,0,IF(COUNTIFS(実績!$W$6:$W$505,BP$3,実績!$AI$6:$AI$505,"&lt;="&amp;$A138,実績!$AJ$6:$AJ$505,"&gt;"&amp;$A138,実績!$AL$6:$AL$505,"○")&gt;0,1,0))</f>
        <v>0</v>
      </c>
      <c r="BQ138" s="39" t="n">
        <f aca="false">IF(BQ$4=0,0,IF(COUNTIFS(実績!$W$6:$W$505,BQ$3,実績!$AI$6:$AI$505,"&lt;="&amp;$A138,実績!$AJ$6:$AJ$505,"&gt;"&amp;$A138,実績!$AL$6:$AL$505,"○")&gt;0,1,0))</f>
        <v>0</v>
      </c>
      <c r="BR138" s="39" t="n">
        <f aca="false">IF(BR$4=0,0,IF(COUNTIFS(実績!$W$6:$W$505,BR$3,実績!$AI$6:$AI$505,"&lt;="&amp;$A138,実績!$AJ$6:$AJ$505,"&gt;"&amp;$A138,実績!$AL$6:$AL$505,"○")&gt;0,1,0))</f>
        <v>0</v>
      </c>
      <c r="BS138" s="39" t="n">
        <f aca="false">IF(BS$4=0,0,IF(COUNTIFS(実績!$W$6:$W$505,BS$3,実績!$AI$6:$AI$505,"&lt;="&amp;$A138,実績!$AJ$6:$AJ$505,"&gt;"&amp;$A138,実績!$AL$6:$AL$505,"○")&gt;0,1,0))</f>
        <v>0</v>
      </c>
      <c r="BT138" s="39" t="n">
        <f aca="false">IF(BT$4=0,0,IF(COUNTIFS(実績!$W$6:$W$505,BT$3,実績!$AI$6:$AI$505,"&lt;="&amp;$A138,実績!$AJ$6:$AJ$505,"&gt;"&amp;$A138,実績!$AL$6:$AL$505,"○")&gt;0,1,0))</f>
        <v>0</v>
      </c>
      <c r="BU138" s="39" t="n">
        <f aca="false">IF(BU$4=0,0,IF(COUNTIFS(実績!$W$6:$W$505,BU$3,実績!$AI$6:$AI$505,"&lt;="&amp;$A138,実績!$AJ$6:$AJ$505,"&gt;"&amp;$A138,実績!$AL$6:$AL$505,"○")&gt;0,1,0))</f>
        <v>0</v>
      </c>
      <c r="BV138" s="39" t="n">
        <f aca="false">IF(BV$4=0,0,IF(COUNTIFS(実績!$W$6:$W$505,BV$3,実績!$AI$6:$AI$505,"&lt;="&amp;$A138,実績!$AJ$6:$AJ$505,"&gt;"&amp;$A138,実績!$AL$6:$AL$505,"○")&gt;0,1,0))</f>
        <v>0</v>
      </c>
      <c r="BW138" s="39" t="n">
        <f aca="false">IF(BW$4=0,0,IF(COUNTIFS(実績!$W$6:$W$505,BW$3,実績!$AI$6:$AI$505,"&lt;="&amp;$A138,実績!$AJ$6:$AJ$505,"&gt;"&amp;$A138,実績!$AL$6:$AL$505,"○")&gt;0,1,0))</f>
        <v>0</v>
      </c>
      <c r="BX138" s="39" t="n">
        <f aca="false">IF(BX$4=0,0,IF(COUNTIFS(実績!$W$6:$W$505,BX$3,実績!$AI$6:$AI$505,"&lt;="&amp;$A138,実績!$AJ$6:$AJ$505,"&gt;"&amp;$A138,実績!$AL$6:$AL$505,"○")&gt;0,1,0))</f>
        <v>0</v>
      </c>
      <c r="BY138" s="39" t="n">
        <f aca="false">IF(BY$4=0,0,IF(COUNTIFS(実績!$W$6:$W$505,BY$3,実績!$AI$6:$AI$505,"&lt;="&amp;$A138,実績!$AJ$6:$AJ$505,"&gt;"&amp;$A138,実績!$AL$6:$AL$505,"○")&gt;0,1,0))</f>
        <v>0</v>
      </c>
      <c r="BZ138" s="39" t="n">
        <f aca="false">IF(BZ$4=0,0,IF(COUNTIFS(実績!$W$6:$W$505,BZ$3,実績!$AI$6:$AI$505,"&lt;="&amp;$A138,実績!$AJ$6:$AJ$505,"&gt;"&amp;$A138,実績!$AL$6:$AL$505,"○")&gt;0,1,0))</f>
        <v>0</v>
      </c>
      <c r="CA138" s="39" t="n">
        <f aca="false">IF(CA$4=0,0,IF(COUNTIFS(実績!$W$6:$W$505,CA$3,実績!$AI$6:$AI$505,"&lt;="&amp;$A138,実績!$AJ$6:$AJ$505,"&gt;"&amp;$A138,実績!$AL$6:$AL$505,"○")&gt;0,1,0))</f>
        <v>0</v>
      </c>
      <c r="CB138" s="39" t="n">
        <f aca="false">IF(CB$4=0,0,IF(COUNTIFS(実績!$W$6:$W$505,CB$3,実績!$AI$6:$AI$505,"&lt;="&amp;$A138,実績!$AJ$6:$AJ$505,"&gt;"&amp;$A138,実績!$AL$6:$AL$505,"○")&gt;0,1,0))</f>
        <v>0</v>
      </c>
      <c r="CC138" s="39" t="n">
        <f aca="false">IF(CC$4=0,0,IF(COUNTIFS(実績!$W$6:$W$505,CC$3,実績!$AI$6:$AI$505,"&lt;="&amp;$A138,実績!$AJ$6:$AJ$505,"&gt;"&amp;$A138,実績!$AL$6:$AL$505,"○")&gt;0,1,0))</f>
        <v>0</v>
      </c>
      <c r="CD138" s="39" t="n">
        <f aca="false">IF(CD$4=0,0,IF(COUNTIFS(実績!$W$6:$W$505,CD$3,実績!$AI$6:$AI$505,"&lt;="&amp;$A138,実績!$AJ$6:$AJ$505,"&gt;"&amp;$A138,実績!$AL$6:$AL$505,"○")&gt;0,1,0))</f>
        <v>0</v>
      </c>
      <c r="CE138" s="39" t="n">
        <f aca="false">IF(CE$4=0,0,IF(COUNTIFS(実績!$W$6:$W$505,CE$3,実績!$AI$6:$AI$505,"&lt;="&amp;$A138,実績!$AJ$6:$AJ$505,"&gt;"&amp;$A138,実績!$AL$6:$AL$505,"○")&gt;0,1,0))</f>
        <v>0</v>
      </c>
      <c r="CF138" s="39" t="n">
        <f aca="false">IF(CF$4=0,0,IF(COUNTIFS(実績!$W$6:$W$505,CF$3,実績!$AI$6:$AI$505,"&lt;="&amp;$A138,実績!$AJ$6:$AJ$505,"&gt;"&amp;$A138,実績!$AL$6:$AL$505,"○")&gt;0,1,0))</f>
        <v>0</v>
      </c>
      <c r="CG138" s="39" t="n">
        <f aca="false">IF(CG$4=0,0,IF(COUNTIFS(実績!$W$6:$W$505,CG$3,実績!$AI$6:$AI$505,"&lt;="&amp;$A138,実績!$AJ$6:$AJ$505,"&gt;"&amp;$A138,実績!$AL$6:$AL$505,"○")&gt;0,1,0))</f>
        <v>0</v>
      </c>
      <c r="CH138" s="39" t="n">
        <f aca="false">IF(CH$4=0,0,IF(COUNTIFS(実績!$W$6:$W$505,CH$3,実績!$AI$6:$AI$505,"&lt;="&amp;$A138,実績!$AJ$6:$AJ$505,"&gt;"&amp;$A138,実績!$AL$6:$AL$505,"○")&gt;0,1,0))</f>
        <v>0</v>
      </c>
      <c r="CI138" s="39" t="n">
        <f aca="false">IF(CI$4=0,0,IF(COUNTIFS(実績!$W$6:$W$505,CI$3,実績!$AI$6:$AI$505,"&lt;="&amp;$A138,実績!$AJ$6:$AJ$505,"&gt;"&amp;$A138,実績!$AL$6:$AL$505,"○")&gt;0,1,0))</f>
        <v>0</v>
      </c>
      <c r="CJ138" s="39" t="n">
        <f aca="false">IF(CJ$4=0,0,IF(COUNTIFS(実績!$W$6:$W$505,CJ$3,実績!$AI$6:$AI$505,"&lt;="&amp;$A138,実績!$AJ$6:$AJ$505,"&gt;"&amp;$A138,実績!$AL$6:$AL$505,"○")&gt;0,1,0))</f>
        <v>0</v>
      </c>
      <c r="CK138" s="39" t="n">
        <f aca="false">IF(CK$4=0,0,IF(COUNTIFS(実績!$W$6:$W$505,CK$3,実績!$AI$6:$AI$505,"&lt;="&amp;$A138,実績!$AJ$6:$AJ$505,"&gt;"&amp;$A138,実績!$AL$6:$AL$505,"○")&gt;0,1,0))</f>
        <v>0</v>
      </c>
      <c r="CL138" s="39" t="n">
        <f aca="false">IF(CL$4=0,0,IF(COUNTIFS(実績!$W$6:$W$505,CL$3,実績!$AI$6:$AI$505,"&lt;="&amp;$A138,実績!$AJ$6:$AJ$505,"&gt;"&amp;$A138,実績!$AL$6:$AL$505,"○")&gt;0,1,0))</f>
        <v>0</v>
      </c>
      <c r="CM138" s="39" t="n">
        <f aca="false">IF(CM$4=0,0,IF(COUNTIFS(実績!$W$6:$W$505,CM$3,実績!$AI$6:$AI$505,"&lt;="&amp;$A138,実績!$AJ$6:$AJ$505,"&gt;"&amp;$A138,実績!$AL$6:$AL$505,"○")&gt;0,1,0))</f>
        <v>0</v>
      </c>
      <c r="CN138" s="39" t="n">
        <f aca="false">IF(CN$4=0,0,IF(COUNTIFS(実績!$W$6:$W$505,CN$3,実績!$AI$6:$AI$505,"&lt;="&amp;$A138,実績!$AJ$6:$AJ$505,"&gt;"&amp;$A138,実績!$AL$6:$AL$505,"○")&gt;0,1,0))</f>
        <v>0</v>
      </c>
      <c r="CO138" s="39" t="n">
        <f aca="false">IF(CO$4=0,0,IF(COUNTIFS(実績!$W$6:$W$505,CO$3,実績!$AI$6:$AI$505,"&lt;="&amp;$A138,実績!$AJ$6:$AJ$505,"&gt;"&amp;$A138,実績!$AL$6:$AL$505,"○")&gt;0,1,0))</f>
        <v>0</v>
      </c>
      <c r="CP138" s="39" t="n">
        <f aca="false">IF(CP$4=0,0,IF(COUNTIFS(実績!$W$6:$W$505,CP$3,実績!$AI$6:$AI$505,"&lt;="&amp;$A138,実績!$AJ$6:$AJ$505,"&gt;"&amp;$A138,実績!$AL$6:$AL$505,"○")&gt;0,1,0))</f>
        <v>0</v>
      </c>
      <c r="CQ138" s="39" t="n">
        <f aca="false">IF(CQ$4=0,0,IF(COUNTIFS(実績!$W$6:$W$505,CQ$3,実績!$AI$6:$AI$505,"&lt;="&amp;$A138,実績!$AJ$6:$AJ$505,"&gt;"&amp;$A138,実績!$AL$6:$AL$505,"○")&gt;0,1,0))</f>
        <v>0</v>
      </c>
      <c r="CR138" s="39" t="n">
        <f aca="false">IF(CR$4=0,0,IF(COUNTIFS(実績!$W$6:$W$505,CR$3,実績!$AI$6:$AI$505,"&lt;="&amp;$A138,実績!$AJ$6:$AJ$505,"&gt;"&amp;$A138,実績!$AL$6:$AL$505,"○")&gt;0,1,0))</f>
        <v>0</v>
      </c>
      <c r="CS138" s="39" t="n">
        <f aca="false">IF(CS$4=0,0,IF(COUNTIFS(実績!$W$6:$W$505,CS$3,実績!$AI$6:$AI$505,"&lt;="&amp;$A138,実績!$AJ$6:$AJ$505,"&gt;"&amp;$A138,実績!$AL$6:$AL$505,"○")&gt;0,1,0))</f>
        <v>0</v>
      </c>
      <c r="CT138" s="39" t="n">
        <f aca="false">IF(CT$4=0,0,IF(COUNTIFS(実績!$W$6:$W$505,CT$3,実績!$AI$6:$AI$505,"&lt;="&amp;$A138,実績!$AJ$6:$AJ$505,"&gt;"&amp;$A138,実績!$AL$6:$AL$505,"○")&gt;0,1,0))</f>
        <v>0</v>
      </c>
      <c r="CU138" s="39" t="n">
        <f aca="false">IF(CU$4=0,0,IF(COUNTIFS(実績!$W$6:$W$505,CU$3,実績!$AI$6:$AI$505,"&lt;="&amp;$A138,実績!$AJ$6:$AJ$505,"&gt;"&amp;$A138,実績!$AL$6:$AL$505,"○")&gt;0,1,0))</f>
        <v>0</v>
      </c>
      <c r="CV138" s="39" t="n">
        <f aca="false">IF(CV$4=0,0,IF(COUNTIFS(実績!$W$6:$W$505,CV$3,実績!$AI$6:$AI$505,"&lt;="&amp;$A138,実績!$AJ$6:$AJ$505,"&gt;"&amp;$A138,実績!$AL$6:$AL$505,"○")&gt;0,1,0))</f>
        <v>0</v>
      </c>
      <c r="CW138" s="39" t="n">
        <f aca="false">IF(CW$4=0,0,IF(COUNTIFS(実績!$W$6:$W$505,CW$3,実績!$AI$6:$AI$505,"&lt;="&amp;$A138,実績!$AJ$6:$AJ$505,"&gt;"&amp;$A138,実績!$AL$6:$AL$505,"○")&gt;0,1,0))</f>
        <v>0</v>
      </c>
      <c r="CX138" s="39" t="n">
        <f aca="false">IF(CX$4=0,0,IF(COUNTIFS(実績!$W$6:$W$505,CX$3,実績!$AI$6:$AI$505,"&lt;="&amp;$A138,実績!$AJ$6:$AJ$505,"&gt;"&amp;$A138,実績!$AL$6:$AL$505,"○")&gt;0,1,0))</f>
        <v>0</v>
      </c>
      <c r="CY138" s="39" t="n">
        <f aca="false">IF(CY$4=0,0,IF(COUNTIFS(実績!$W$6:$W$505,CY$3,実績!$AI$6:$AI$505,"&lt;="&amp;$A138,実績!$AJ$6:$AJ$505,"&gt;"&amp;$A138,実績!$AL$6:$AL$505,"○")&gt;0,1,0))</f>
        <v>0</v>
      </c>
      <c r="CZ138" s="39" t="n">
        <f aca="false">IF(CZ$4=0,0,IF(COUNTIFS(実績!$W$6:$W$505,CZ$3,実績!$AI$6:$AI$505,"&lt;="&amp;$A138,実績!$AJ$6:$AJ$505,"&gt;"&amp;$A138,実績!$AL$6:$AL$505,"○")&gt;0,1,0))</f>
        <v>0</v>
      </c>
      <c r="DA138" s="39" t="n">
        <f aca="false">IF(DA$4=0,0,IF(COUNTIFS(実績!$W$6:$W$505,DA$3,実績!$AI$6:$AI$505,"&lt;="&amp;$A138,実績!$AJ$6:$AJ$505,"&gt;"&amp;$A138,実績!$AL$6:$AL$505,"○")&gt;0,1,0))</f>
        <v>0</v>
      </c>
      <c r="DB138" s="39" t="n">
        <f aca="false">IF(DB$4=0,0,IF(COUNTIFS(実績!$W$6:$W$505,DB$3,実績!$AI$6:$AI$505,"&lt;="&amp;$A138,実績!$AJ$6:$AJ$505,"&gt;"&amp;$A138,実績!$AL$6:$AL$505,"○")&gt;0,1,0))</f>
        <v>0</v>
      </c>
      <c r="DC138" s="39" t="n">
        <f aca="false">IF(DC$4=0,0,IF(COUNTIFS(実績!$W$6:$W$505,DC$3,実績!$AI$6:$AI$505,"&lt;="&amp;$A138,実績!$AJ$6:$AJ$505,"&gt;"&amp;$A138,実績!$AL$6:$AL$505,"○")&gt;0,1,0))</f>
        <v>0</v>
      </c>
      <c r="DD138" s="39" t="n">
        <f aca="false">IF(DD$4=0,0,IF(COUNTIFS(実績!$W$6:$W$505,DD$3,実績!$AI$6:$AI$505,"&lt;="&amp;$A138,実績!$AJ$6:$AJ$505,"&gt;"&amp;$A138,実績!$AL$6:$AL$505,"○")&gt;0,1,0))</f>
        <v>0</v>
      </c>
      <c r="DE138" s="39" t="n">
        <f aca="false">IF(DE$4=0,0,IF(COUNTIFS(実績!$W$6:$W$505,DE$3,実績!$AI$6:$AI$505,"&lt;="&amp;$A138,実績!$AJ$6:$AJ$505,"&gt;"&amp;$A138,実績!$AL$6:$AL$505,"○")&gt;0,1,0))</f>
        <v>0</v>
      </c>
      <c r="DF138" s="39" t="n">
        <f aca="false">IF(DF$4=0,0,IF(COUNTIFS(実績!$W$6:$W$505,DF$3,実績!$AI$6:$AI$505,"&lt;="&amp;$A138,実績!$AJ$6:$AJ$505,"&gt;"&amp;$A138,実績!$AL$6:$AL$505,"○")&gt;0,1,0))</f>
        <v>0</v>
      </c>
      <c r="DG138" s="39" t="n">
        <f aca="false">IF(DG$4=0,0,IF(COUNTIFS(実績!$W$6:$W$505,DG$3,実績!$AI$6:$AI$505,"&lt;="&amp;$A138,実績!$AJ$6:$AJ$505,"&gt;"&amp;$A138,実績!$AL$6:$AL$505,"○")&gt;0,1,0))</f>
        <v>0</v>
      </c>
      <c r="DH138" s="39" t="n">
        <f aca="false">IF(DH$4=0,0,IF(COUNTIFS(実績!$W$6:$W$505,DH$3,実績!$AI$6:$AI$505,"&lt;="&amp;$A138,実績!$AJ$6:$AJ$505,"&gt;"&amp;$A138,実績!$AL$6:$AL$505,"○")&gt;0,1,0))</f>
        <v>0</v>
      </c>
      <c r="DI138" s="39" t="n">
        <f aca="false">IF(DI$4=0,0,IF(COUNTIFS(実績!$W$6:$W$505,DI$3,実績!$AI$6:$AI$505,"&lt;="&amp;$A138,実績!$AJ$6:$AJ$505,"&gt;"&amp;$A138,実績!$AL$6:$AL$505,"○")&gt;0,1,0))</f>
        <v>0</v>
      </c>
      <c r="DJ138" s="39" t="n">
        <f aca="false">IF(DJ$4=0,0,IF(COUNTIFS(実績!$W$6:$W$505,DJ$3,実績!$AI$6:$AI$505,"&lt;="&amp;$A138,実績!$AJ$6:$AJ$505,"&gt;"&amp;$A138,実績!$AL$6:$AL$505,"○")&gt;0,1,0))</f>
        <v>0</v>
      </c>
      <c r="DK138" s="39" t="n">
        <f aca="false">IF(DK$4=0,0,IF(COUNTIFS(実績!$W$6:$W$505,DK$3,実績!$AI$6:$AI$505,"&lt;="&amp;$A138,実績!$AJ$6:$AJ$505,"&gt;"&amp;$A138,実績!$AL$6:$AL$505,"○")&gt;0,1,0))</f>
        <v>0</v>
      </c>
      <c r="DL138" s="39" t="n">
        <f aca="false">IF(DL$4=0,0,IF(COUNTIFS(実績!$W$6:$W$505,DL$3,実績!$AI$6:$AI$505,"&lt;="&amp;$A138,実績!$AJ$6:$AJ$505,"&gt;"&amp;$A138,実績!$AL$6:$AL$505,"○")&gt;0,1,0))</f>
        <v>0</v>
      </c>
      <c r="DM138" s="39" t="n">
        <f aca="false">IF(DM$4=0,0,IF(COUNTIFS(実績!$W$6:$W$505,DM$3,実績!$AI$6:$AI$505,"&lt;="&amp;$A138,実績!$AJ$6:$AJ$505,"&gt;"&amp;$A138,実績!$AL$6:$AL$505,"○")&gt;0,1,0))</f>
        <v>0</v>
      </c>
      <c r="DN138" s="39" t="n">
        <f aca="false">IF(DN$4=0,0,IF(COUNTIFS(実績!$W$6:$W$505,DN$3,実績!$AI$6:$AI$505,"&lt;="&amp;$A138,実績!$AJ$6:$AJ$505,"&gt;"&amp;$A138,実績!$AL$6:$AL$505,"○")&gt;0,1,0))</f>
        <v>0</v>
      </c>
      <c r="DO138" s="39" t="n">
        <f aca="false">IF(DO$4=0,0,IF(COUNTIFS(実績!$W$6:$W$505,DO$3,実績!$AI$6:$AI$505,"&lt;="&amp;$A138,実績!$AJ$6:$AJ$505,"&gt;"&amp;$A138,実績!$AL$6:$AL$505,"○")&gt;0,1,0))</f>
        <v>0</v>
      </c>
      <c r="DP138" s="39" t="n">
        <f aca="false">IF(DP$4=0,0,IF(COUNTIFS(実績!$W$6:$W$505,DP$3,実績!$AI$6:$AI$505,"&lt;="&amp;$A138,実績!$AJ$6:$AJ$505,"&gt;"&amp;$A138,実績!$AL$6:$AL$505,"○")&gt;0,1,0))</f>
        <v>0</v>
      </c>
      <c r="DQ138" s="39" t="n">
        <f aca="false">IF(DQ$4=0,0,IF(COUNTIFS(実績!$W$6:$W$505,DQ$3,実績!$AI$6:$AI$505,"&lt;="&amp;$A138,実績!$AJ$6:$AJ$505,"&gt;"&amp;$A138,実績!$AL$6:$AL$505,"○")&gt;0,1,0))</f>
        <v>0</v>
      </c>
      <c r="DR138" s="39" t="n">
        <f aca="false">IF(DR$4=0,0,IF(COUNTIFS(実績!$W$6:$W$505,DR$3,実績!$AI$6:$AI$505,"&lt;="&amp;$A138,実績!$AJ$6:$AJ$505,"&gt;"&amp;$A138,実績!$AL$6:$AL$505,"○")&gt;0,1,0))</f>
        <v>0</v>
      </c>
      <c r="DS138" s="39" t="n">
        <f aca="false">SUM(C138:DR138)</f>
        <v>0</v>
      </c>
    </row>
    <row r="139" customFormat="false" ht="15" hidden="false" customHeight="false" outlineLevel="0" collapsed="false">
      <c r="A139" s="0" t="n">
        <v>665</v>
      </c>
      <c r="B139" s="38" t="n">
        <f aca="false">A139/1440</f>
        <v>0.461805555555556</v>
      </c>
      <c r="C139" s="39" t="n">
        <f aca="false">IF(C$4=0,0,IF(COUNTIFS(実績!$W$6:$W$505,C$3,実績!$AI$6:$AI$505,"&lt;="&amp;$A139,実績!$AJ$6:$AJ$505,"&gt;"&amp;$A139,実績!$AL$6:$AL$505,"○")&gt;0,1,0))</f>
        <v>0</v>
      </c>
      <c r="D139" s="39" t="n">
        <f aca="false">IF(D$4=0,0,IF(COUNTIFS(実績!$W$6:$W$505,D$3,実績!$AI$6:$AI$505,"&lt;="&amp;$A139,実績!$AJ$6:$AJ$505,"&gt;"&amp;$A139,実績!$AL$6:$AL$505,"○")&gt;0,1,0))</f>
        <v>0</v>
      </c>
      <c r="E139" s="39" t="n">
        <f aca="false">IF(E$4=0,0,IF(COUNTIFS(実績!$W$6:$W$505,E$3,実績!$AI$6:$AI$505,"&lt;="&amp;$A139,実績!$AJ$6:$AJ$505,"&gt;"&amp;$A139,実績!$AL$6:$AL$505,"○")&gt;0,1,0))</f>
        <v>0</v>
      </c>
      <c r="F139" s="39" t="n">
        <f aca="false">IF(F$4=0,0,IF(COUNTIFS(実績!$W$6:$W$505,F$3,実績!$AI$6:$AI$505,"&lt;="&amp;$A139,実績!$AJ$6:$AJ$505,"&gt;"&amp;$A139,実績!$AL$6:$AL$505,"○")&gt;0,1,0))</f>
        <v>0</v>
      </c>
      <c r="G139" s="39" t="n">
        <f aca="false">IF(G$4=0,0,IF(COUNTIFS(実績!$W$6:$W$505,G$3,実績!$AI$6:$AI$505,"&lt;="&amp;$A139,実績!$AJ$6:$AJ$505,"&gt;"&amp;$A139,実績!$AL$6:$AL$505,"○")&gt;0,1,0))</f>
        <v>0</v>
      </c>
      <c r="H139" s="39" t="n">
        <f aca="false">IF(H$4=0,0,IF(COUNTIFS(実績!$W$6:$W$505,H$3,実績!$AI$6:$AI$505,"&lt;="&amp;$A139,実績!$AJ$6:$AJ$505,"&gt;"&amp;$A139,実績!$AL$6:$AL$505,"○")&gt;0,1,0))</f>
        <v>0</v>
      </c>
      <c r="I139" s="39" t="n">
        <f aca="false">IF(I$4=0,0,IF(COUNTIFS(実績!$W$6:$W$505,I$3,実績!$AI$6:$AI$505,"&lt;="&amp;$A139,実績!$AJ$6:$AJ$505,"&gt;"&amp;$A139,実績!$AL$6:$AL$505,"○")&gt;0,1,0))</f>
        <v>0</v>
      </c>
      <c r="J139" s="39" t="n">
        <f aca="false">IF(J$4=0,0,IF(COUNTIFS(実績!$W$6:$W$505,J$3,実績!$AI$6:$AI$505,"&lt;="&amp;$A139,実績!$AJ$6:$AJ$505,"&gt;"&amp;$A139,実績!$AL$6:$AL$505,"○")&gt;0,1,0))</f>
        <v>0</v>
      </c>
      <c r="K139" s="39" t="n">
        <f aca="false">IF(K$4=0,0,IF(COUNTIFS(実績!$W$6:$W$505,K$3,実績!$AI$6:$AI$505,"&lt;="&amp;$A139,実績!$AJ$6:$AJ$505,"&gt;"&amp;$A139,実績!$AL$6:$AL$505,"○")&gt;0,1,0))</f>
        <v>0</v>
      </c>
      <c r="L139" s="39" t="n">
        <f aca="false">IF(L$4=0,0,IF(COUNTIFS(実績!$W$6:$W$505,L$3,実績!$AI$6:$AI$505,"&lt;="&amp;$A139,実績!$AJ$6:$AJ$505,"&gt;"&amp;$A139,実績!$AL$6:$AL$505,"○")&gt;0,1,0))</f>
        <v>0</v>
      </c>
      <c r="M139" s="39" t="n">
        <f aca="false">IF(M$4=0,0,IF(COUNTIFS(実績!$W$6:$W$505,M$3,実績!$AI$6:$AI$505,"&lt;="&amp;$A139,実績!$AJ$6:$AJ$505,"&gt;"&amp;$A139,実績!$AL$6:$AL$505,"○")&gt;0,1,0))</f>
        <v>0</v>
      </c>
      <c r="N139" s="39" t="n">
        <f aca="false">IF(N$4=0,0,IF(COUNTIFS(実績!$W$6:$W$505,N$3,実績!$AI$6:$AI$505,"&lt;="&amp;$A139,実績!$AJ$6:$AJ$505,"&gt;"&amp;$A139,実績!$AL$6:$AL$505,"○")&gt;0,1,0))</f>
        <v>0</v>
      </c>
      <c r="O139" s="39" t="n">
        <f aca="false">IF(O$4=0,0,IF(COUNTIFS(実績!$W$6:$W$505,O$3,実績!$AI$6:$AI$505,"&lt;="&amp;$A139,実績!$AJ$6:$AJ$505,"&gt;"&amp;$A139,実績!$AL$6:$AL$505,"○")&gt;0,1,0))</f>
        <v>0</v>
      </c>
      <c r="P139" s="39" t="n">
        <f aca="false">IF(P$4=0,0,IF(COUNTIFS(実績!$W$6:$W$505,P$3,実績!$AI$6:$AI$505,"&lt;="&amp;$A139,実績!$AJ$6:$AJ$505,"&gt;"&amp;$A139,実績!$AL$6:$AL$505,"○")&gt;0,1,0))</f>
        <v>0</v>
      </c>
      <c r="Q139" s="39" t="n">
        <f aca="false">IF(Q$4=0,0,IF(COUNTIFS(実績!$W$6:$W$505,Q$3,実績!$AI$6:$AI$505,"&lt;="&amp;$A139,実績!$AJ$6:$AJ$505,"&gt;"&amp;$A139,実績!$AL$6:$AL$505,"○")&gt;0,1,0))</f>
        <v>0</v>
      </c>
      <c r="R139" s="39" t="n">
        <f aca="false">IF(R$4=0,0,IF(COUNTIFS(実績!$W$6:$W$505,R$3,実績!$AI$6:$AI$505,"&lt;="&amp;$A139,実績!$AJ$6:$AJ$505,"&gt;"&amp;$A139,実績!$AL$6:$AL$505,"○")&gt;0,1,0))</f>
        <v>0</v>
      </c>
      <c r="S139" s="39" t="n">
        <f aca="false">IF(S$4=0,0,IF(COUNTIFS(実績!$W$6:$W$505,S$3,実績!$AI$6:$AI$505,"&lt;="&amp;$A139,実績!$AJ$6:$AJ$505,"&gt;"&amp;$A139,実績!$AL$6:$AL$505,"○")&gt;0,1,0))</f>
        <v>0</v>
      </c>
      <c r="T139" s="39" t="n">
        <f aca="false">IF(T$4=0,0,IF(COUNTIFS(実績!$W$6:$W$505,T$3,実績!$AI$6:$AI$505,"&lt;="&amp;$A139,実績!$AJ$6:$AJ$505,"&gt;"&amp;$A139,実績!$AL$6:$AL$505,"○")&gt;0,1,0))</f>
        <v>0</v>
      </c>
      <c r="U139" s="39" t="n">
        <f aca="false">IF(U$4=0,0,IF(COUNTIFS(実績!$W$6:$W$505,U$3,実績!$AI$6:$AI$505,"&lt;="&amp;$A139,実績!$AJ$6:$AJ$505,"&gt;"&amp;$A139,実績!$AL$6:$AL$505,"○")&gt;0,1,0))</f>
        <v>0</v>
      </c>
      <c r="V139" s="39" t="n">
        <f aca="false">IF(V$4=0,0,IF(COUNTIFS(実績!$W$6:$W$505,V$3,実績!$AI$6:$AI$505,"&lt;="&amp;$A139,実績!$AJ$6:$AJ$505,"&gt;"&amp;$A139,実績!$AL$6:$AL$505,"○")&gt;0,1,0))</f>
        <v>0</v>
      </c>
      <c r="W139" s="39" t="n">
        <f aca="false">IF(W$4=0,0,IF(COUNTIFS(実績!$W$6:$W$505,W$3,実績!$AI$6:$AI$505,"&lt;="&amp;$A139,実績!$AJ$6:$AJ$505,"&gt;"&amp;$A139,実績!$AL$6:$AL$505,"○")&gt;0,1,0))</f>
        <v>0</v>
      </c>
      <c r="X139" s="39" t="n">
        <f aca="false">IF(X$4=0,0,IF(COUNTIFS(実績!$W$6:$W$505,X$3,実績!$AI$6:$AI$505,"&lt;="&amp;$A139,実績!$AJ$6:$AJ$505,"&gt;"&amp;$A139,実績!$AL$6:$AL$505,"○")&gt;0,1,0))</f>
        <v>0</v>
      </c>
      <c r="Y139" s="39" t="n">
        <f aca="false">IF(Y$4=0,0,IF(COUNTIFS(実績!$W$6:$W$505,Y$3,実績!$AI$6:$AI$505,"&lt;="&amp;$A139,実績!$AJ$6:$AJ$505,"&gt;"&amp;$A139,実績!$AL$6:$AL$505,"○")&gt;0,1,0))</f>
        <v>0</v>
      </c>
      <c r="Z139" s="39" t="n">
        <f aca="false">IF(Z$4=0,0,IF(COUNTIFS(実績!$W$6:$W$505,Z$3,実績!$AI$6:$AI$505,"&lt;="&amp;$A139,実績!$AJ$6:$AJ$505,"&gt;"&amp;$A139,実績!$AL$6:$AL$505,"○")&gt;0,1,0))</f>
        <v>0</v>
      </c>
      <c r="AA139" s="39" t="n">
        <f aca="false">IF(AA$4=0,0,IF(COUNTIFS(実績!$W$6:$W$505,AA$3,実績!$AI$6:$AI$505,"&lt;="&amp;$A139,実績!$AJ$6:$AJ$505,"&gt;"&amp;$A139,実績!$AL$6:$AL$505,"○")&gt;0,1,0))</f>
        <v>0</v>
      </c>
      <c r="AB139" s="39" t="n">
        <f aca="false">IF(AB$4=0,0,IF(COUNTIFS(実績!$W$6:$W$505,AB$3,実績!$AI$6:$AI$505,"&lt;="&amp;$A139,実績!$AJ$6:$AJ$505,"&gt;"&amp;$A139,実績!$AL$6:$AL$505,"○")&gt;0,1,0))</f>
        <v>0</v>
      </c>
      <c r="AC139" s="39" t="n">
        <f aca="false">IF(AC$4=0,0,IF(COUNTIFS(実績!$W$6:$W$505,AC$3,実績!$AI$6:$AI$505,"&lt;="&amp;$A139,実績!$AJ$6:$AJ$505,"&gt;"&amp;$A139,実績!$AL$6:$AL$505,"○")&gt;0,1,0))</f>
        <v>0</v>
      </c>
      <c r="AD139" s="39" t="n">
        <f aca="false">IF(AD$4=0,0,IF(COUNTIFS(実績!$W$6:$W$505,AD$3,実績!$AI$6:$AI$505,"&lt;="&amp;$A139,実績!$AJ$6:$AJ$505,"&gt;"&amp;$A139,実績!$AL$6:$AL$505,"○")&gt;0,1,0))</f>
        <v>0</v>
      </c>
      <c r="AE139" s="39" t="n">
        <f aca="false">IF(AE$4=0,0,IF(COUNTIFS(実績!$W$6:$W$505,AE$3,実績!$AI$6:$AI$505,"&lt;="&amp;$A139,実績!$AJ$6:$AJ$505,"&gt;"&amp;$A139,実績!$AL$6:$AL$505,"○")&gt;0,1,0))</f>
        <v>0</v>
      </c>
      <c r="AF139" s="39" t="n">
        <f aca="false">IF(AF$4=0,0,IF(COUNTIFS(実績!$W$6:$W$505,AF$3,実績!$AI$6:$AI$505,"&lt;="&amp;$A139,実績!$AJ$6:$AJ$505,"&gt;"&amp;$A139,実績!$AL$6:$AL$505,"○")&gt;0,1,0))</f>
        <v>0</v>
      </c>
      <c r="AG139" s="39" t="n">
        <f aca="false">IF(AG$4=0,0,IF(COUNTIFS(実績!$W$6:$W$505,AG$3,実績!$AI$6:$AI$505,"&lt;="&amp;$A139,実績!$AJ$6:$AJ$505,"&gt;"&amp;$A139,実績!$AL$6:$AL$505,"○")&gt;0,1,0))</f>
        <v>0</v>
      </c>
      <c r="AH139" s="39" t="n">
        <f aca="false">IF(AH$4=0,0,IF(COUNTIFS(実績!$W$6:$W$505,AH$3,実績!$AI$6:$AI$505,"&lt;="&amp;$A139,実績!$AJ$6:$AJ$505,"&gt;"&amp;$A139,実績!$AL$6:$AL$505,"○")&gt;0,1,0))</f>
        <v>0</v>
      </c>
      <c r="AI139" s="39" t="n">
        <f aca="false">IF(AI$4=0,0,IF(COUNTIFS(実績!$W$6:$W$505,AI$3,実績!$AI$6:$AI$505,"&lt;="&amp;$A139,実績!$AJ$6:$AJ$505,"&gt;"&amp;$A139,実績!$AL$6:$AL$505,"○")&gt;0,1,0))</f>
        <v>0</v>
      </c>
      <c r="AJ139" s="39" t="n">
        <f aca="false">IF(AJ$4=0,0,IF(COUNTIFS(実績!$W$6:$W$505,AJ$3,実績!$AI$6:$AI$505,"&lt;="&amp;$A139,実績!$AJ$6:$AJ$505,"&gt;"&amp;$A139,実績!$AL$6:$AL$505,"○")&gt;0,1,0))</f>
        <v>0</v>
      </c>
      <c r="AK139" s="39" t="n">
        <f aca="false">IF(AK$4=0,0,IF(COUNTIFS(実績!$W$6:$W$505,AK$3,実績!$AI$6:$AI$505,"&lt;="&amp;$A139,実績!$AJ$6:$AJ$505,"&gt;"&amp;$A139,実績!$AL$6:$AL$505,"○")&gt;0,1,0))</f>
        <v>0</v>
      </c>
      <c r="AL139" s="39" t="n">
        <f aca="false">IF(AL$4=0,0,IF(COUNTIFS(実績!$W$6:$W$505,AL$3,実績!$AI$6:$AI$505,"&lt;="&amp;$A139,実績!$AJ$6:$AJ$505,"&gt;"&amp;$A139,実績!$AL$6:$AL$505,"○")&gt;0,1,0))</f>
        <v>0</v>
      </c>
      <c r="AM139" s="39" t="n">
        <f aca="false">IF(AM$4=0,0,IF(COUNTIFS(実績!$W$6:$W$505,AM$3,実績!$AI$6:$AI$505,"&lt;="&amp;$A139,実績!$AJ$6:$AJ$505,"&gt;"&amp;$A139,実績!$AL$6:$AL$505,"○")&gt;0,1,0))</f>
        <v>0</v>
      </c>
      <c r="AN139" s="39" t="n">
        <f aca="false">IF(AN$4=0,0,IF(COUNTIFS(実績!$W$6:$W$505,AN$3,実績!$AI$6:$AI$505,"&lt;="&amp;$A139,実績!$AJ$6:$AJ$505,"&gt;"&amp;$A139,実績!$AL$6:$AL$505,"○")&gt;0,1,0))</f>
        <v>0</v>
      </c>
      <c r="AO139" s="39" t="n">
        <f aca="false">IF(AO$4=0,0,IF(COUNTIFS(実績!$W$6:$W$505,AO$3,実績!$AI$6:$AI$505,"&lt;="&amp;$A139,実績!$AJ$6:$AJ$505,"&gt;"&amp;$A139,実績!$AL$6:$AL$505,"○")&gt;0,1,0))</f>
        <v>0</v>
      </c>
      <c r="AP139" s="39" t="n">
        <f aca="false">IF(AP$4=0,0,IF(COUNTIFS(実績!$W$6:$W$505,AP$3,実績!$AI$6:$AI$505,"&lt;="&amp;$A139,実績!$AJ$6:$AJ$505,"&gt;"&amp;$A139,実績!$AL$6:$AL$505,"○")&gt;0,1,0))</f>
        <v>0</v>
      </c>
      <c r="AQ139" s="39" t="n">
        <f aca="false">IF(AQ$4=0,0,IF(COUNTIFS(実績!$W$6:$W$505,AQ$3,実績!$AI$6:$AI$505,"&lt;="&amp;$A139,実績!$AJ$6:$AJ$505,"&gt;"&amp;$A139,実績!$AL$6:$AL$505,"○")&gt;0,1,0))</f>
        <v>0</v>
      </c>
      <c r="AR139" s="39" t="n">
        <f aca="false">IF(AR$4=0,0,IF(COUNTIFS(実績!$W$6:$W$505,AR$3,実績!$AI$6:$AI$505,"&lt;="&amp;$A139,実績!$AJ$6:$AJ$505,"&gt;"&amp;$A139,実績!$AL$6:$AL$505,"○")&gt;0,1,0))</f>
        <v>0</v>
      </c>
      <c r="AS139" s="39" t="n">
        <f aca="false">IF(AS$4=0,0,IF(COUNTIFS(実績!$W$6:$W$505,AS$3,実績!$AI$6:$AI$505,"&lt;="&amp;$A139,実績!$AJ$6:$AJ$505,"&gt;"&amp;$A139,実績!$AL$6:$AL$505,"○")&gt;0,1,0))</f>
        <v>0</v>
      </c>
      <c r="AT139" s="39" t="n">
        <f aca="false">IF(AT$4=0,0,IF(COUNTIFS(実績!$W$6:$W$505,AT$3,実績!$AI$6:$AI$505,"&lt;="&amp;$A139,実績!$AJ$6:$AJ$505,"&gt;"&amp;$A139,実績!$AL$6:$AL$505,"○")&gt;0,1,0))</f>
        <v>0</v>
      </c>
      <c r="AU139" s="39" t="n">
        <f aca="false">IF(AU$4=0,0,IF(COUNTIFS(実績!$W$6:$W$505,AU$3,実績!$AI$6:$AI$505,"&lt;="&amp;$A139,実績!$AJ$6:$AJ$505,"&gt;"&amp;$A139,実績!$AL$6:$AL$505,"○")&gt;0,1,0))</f>
        <v>0</v>
      </c>
      <c r="AV139" s="39" t="n">
        <f aca="false">IF(AV$4=0,0,IF(COUNTIFS(実績!$W$6:$W$505,AV$3,実績!$AI$6:$AI$505,"&lt;="&amp;$A139,実績!$AJ$6:$AJ$505,"&gt;"&amp;$A139,実績!$AL$6:$AL$505,"○")&gt;0,1,0))</f>
        <v>0</v>
      </c>
      <c r="AW139" s="39" t="n">
        <f aca="false">IF(AW$4=0,0,IF(COUNTIFS(実績!$W$6:$W$505,AW$3,実績!$AI$6:$AI$505,"&lt;="&amp;$A139,実績!$AJ$6:$AJ$505,"&gt;"&amp;$A139,実績!$AL$6:$AL$505,"○")&gt;0,1,0))</f>
        <v>0</v>
      </c>
      <c r="AX139" s="39" t="n">
        <f aca="false">IF(AX$4=0,0,IF(COUNTIFS(実績!$W$6:$W$505,AX$3,実績!$AI$6:$AI$505,"&lt;="&amp;$A139,実績!$AJ$6:$AJ$505,"&gt;"&amp;$A139,実績!$AL$6:$AL$505,"○")&gt;0,1,0))</f>
        <v>0</v>
      </c>
      <c r="AY139" s="39" t="n">
        <f aca="false">IF(AY$4=0,0,IF(COUNTIFS(実績!$W$6:$W$505,AY$3,実績!$AI$6:$AI$505,"&lt;="&amp;$A139,実績!$AJ$6:$AJ$505,"&gt;"&amp;$A139,実績!$AL$6:$AL$505,"○")&gt;0,1,0))</f>
        <v>0</v>
      </c>
      <c r="AZ139" s="39" t="n">
        <f aca="false">IF(AZ$4=0,0,IF(COUNTIFS(実績!$W$6:$W$505,AZ$3,実績!$AI$6:$AI$505,"&lt;="&amp;$A139,実績!$AJ$6:$AJ$505,"&gt;"&amp;$A139,実績!$AL$6:$AL$505,"○")&gt;0,1,0))</f>
        <v>0</v>
      </c>
      <c r="BA139" s="39" t="n">
        <f aca="false">IF(BA$4=0,0,IF(COUNTIFS(実績!$W$6:$W$505,BA$3,実績!$AI$6:$AI$505,"&lt;="&amp;$A139,実績!$AJ$6:$AJ$505,"&gt;"&amp;$A139,実績!$AL$6:$AL$505,"○")&gt;0,1,0))</f>
        <v>0</v>
      </c>
      <c r="BB139" s="39" t="n">
        <f aca="false">IF(BB$4=0,0,IF(COUNTIFS(実績!$W$6:$W$505,BB$3,実績!$AI$6:$AI$505,"&lt;="&amp;$A139,実績!$AJ$6:$AJ$505,"&gt;"&amp;$A139,実績!$AL$6:$AL$505,"○")&gt;0,1,0))</f>
        <v>0</v>
      </c>
      <c r="BC139" s="39" t="n">
        <f aca="false">IF(BC$4=0,0,IF(COUNTIFS(実績!$W$6:$W$505,BC$3,実績!$AI$6:$AI$505,"&lt;="&amp;$A139,実績!$AJ$6:$AJ$505,"&gt;"&amp;$A139,実績!$AL$6:$AL$505,"○")&gt;0,1,0))</f>
        <v>0</v>
      </c>
      <c r="BD139" s="39" t="n">
        <f aca="false">IF(BD$4=0,0,IF(COUNTIFS(実績!$W$6:$W$505,BD$3,実績!$AI$6:$AI$505,"&lt;="&amp;$A139,実績!$AJ$6:$AJ$505,"&gt;"&amp;$A139,実績!$AL$6:$AL$505,"○")&gt;0,1,0))</f>
        <v>0</v>
      </c>
      <c r="BE139" s="39" t="n">
        <f aca="false">IF(BE$4=0,0,IF(COUNTIFS(実績!$W$6:$W$505,BE$3,実績!$AI$6:$AI$505,"&lt;="&amp;$A139,実績!$AJ$6:$AJ$505,"&gt;"&amp;$A139,実績!$AL$6:$AL$505,"○")&gt;0,1,0))</f>
        <v>0</v>
      </c>
      <c r="BF139" s="39" t="n">
        <f aca="false">IF(BF$4=0,0,IF(COUNTIFS(実績!$W$6:$W$505,BF$3,実績!$AI$6:$AI$505,"&lt;="&amp;$A139,実績!$AJ$6:$AJ$505,"&gt;"&amp;$A139,実績!$AL$6:$AL$505,"○")&gt;0,1,0))</f>
        <v>0</v>
      </c>
      <c r="BG139" s="39" t="n">
        <f aca="false">IF(BG$4=0,0,IF(COUNTIFS(実績!$W$6:$W$505,BG$3,実績!$AI$6:$AI$505,"&lt;="&amp;$A139,実績!$AJ$6:$AJ$505,"&gt;"&amp;$A139,実績!$AL$6:$AL$505,"○")&gt;0,1,0))</f>
        <v>0</v>
      </c>
      <c r="BH139" s="39" t="n">
        <f aca="false">IF(BH$4=0,0,IF(COUNTIFS(実績!$W$6:$W$505,BH$3,実績!$AI$6:$AI$505,"&lt;="&amp;$A139,実績!$AJ$6:$AJ$505,"&gt;"&amp;$A139,実績!$AL$6:$AL$505,"○")&gt;0,1,0))</f>
        <v>0</v>
      </c>
      <c r="BI139" s="39" t="n">
        <f aca="false">IF(BI$4=0,0,IF(COUNTIFS(実績!$W$6:$W$505,BI$3,実績!$AI$6:$AI$505,"&lt;="&amp;$A139,実績!$AJ$6:$AJ$505,"&gt;"&amp;$A139,実績!$AL$6:$AL$505,"○")&gt;0,1,0))</f>
        <v>0</v>
      </c>
      <c r="BJ139" s="39" t="n">
        <f aca="false">IF(BJ$4=0,0,IF(COUNTIFS(実績!$W$6:$W$505,BJ$3,実績!$AI$6:$AI$505,"&lt;="&amp;$A139,実績!$AJ$6:$AJ$505,"&gt;"&amp;$A139,実績!$AL$6:$AL$505,"○")&gt;0,1,0))</f>
        <v>0</v>
      </c>
      <c r="BK139" s="39" t="n">
        <f aca="false">IF(BK$4=0,0,IF(COUNTIFS(実績!$W$6:$W$505,BK$3,実績!$AI$6:$AI$505,"&lt;="&amp;$A139,実績!$AJ$6:$AJ$505,"&gt;"&amp;$A139,実績!$AL$6:$AL$505,"○")&gt;0,1,0))</f>
        <v>0</v>
      </c>
      <c r="BL139" s="39" t="n">
        <f aca="false">IF(BL$4=0,0,IF(COUNTIFS(実績!$W$6:$W$505,BL$3,実績!$AI$6:$AI$505,"&lt;="&amp;$A139,実績!$AJ$6:$AJ$505,"&gt;"&amp;$A139,実績!$AL$6:$AL$505,"○")&gt;0,1,0))</f>
        <v>0</v>
      </c>
      <c r="BM139" s="39" t="n">
        <f aca="false">IF(BM$4=0,0,IF(COUNTIFS(実績!$W$6:$W$505,BM$3,実績!$AI$6:$AI$505,"&lt;="&amp;$A139,実績!$AJ$6:$AJ$505,"&gt;"&amp;$A139,実績!$AL$6:$AL$505,"○")&gt;0,1,0))</f>
        <v>0</v>
      </c>
      <c r="BN139" s="39" t="n">
        <f aca="false">IF(BN$4=0,0,IF(COUNTIFS(実績!$W$6:$W$505,BN$3,実績!$AI$6:$AI$505,"&lt;="&amp;$A139,実績!$AJ$6:$AJ$505,"&gt;"&amp;$A139,実績!$AL$6:$AL$505,"○")&gt;0,1,0))</f>
        <v>0</v>
      </c>
      <c r="BO139" s="39" t="n">
        <f aca="false">IF(BO$4=0,0,IF(COUNTIFS(実績!$W$6:$W$505,BO$3,実績!$AI$6:$AI$505,"&lt;="&amp;$A139,実績!$AJ$6:$AJ$505,"&gt;"&amp;$A139,実績!$AL$6:$AL$505,"○")&gt;0,1,0))</f>
        <v>0</v>
      </c>
      <c r="BP139" s="39" t="n">
        <f aca="false">IF(BP$4=0,0,IF(COUNTIFS(実績!$W$6:$W$505,BP$3,実績!$AI$6:$AI$505,"&lt;="&amp;$A139,実績!$AJ$6:$AJ$505,"&gt;"&amp;$A139,実績!$AL$6:$AL$505,"○")&gt;0,1,0))</f>
        <v>0</v>
      </c>
      <c r="BQ139" s="39" t="n">
        <f aca="false">IF(BQ$4=0,0,IF(COUNTIFS(実績!$W$6:$W$505,BQ$3,実績!$AI$6:$AI$505,"&lt;="&amp;$A139,実績!$AJ$6:$AJ$505,"&gt;"&amp;$A139,実績!$AL$6:$AL$505,"○")&gt;0,1,0))</f>
        <v>0</v>
      </c>
      <c r="BR139" s="39" t="n">
        <f aca="false">IF(BR$4=0,0,IF(COUNTIFS(実績!$W$6:$W$505,BR$3,実績!$AI$6:$AI$505,"&lt;="&amp;$A139,実績!$AJ$6:$AJ$505,"&gt;"&amp;$A139,実績!$AL$6:$AL$505,"○")&gt;0,1,0))</f>
        <v>0</v>
      </c>
      <c r="BS139" s="39" t="n">
        <f aca="false">IF(BS$4=0,0,IF(COUNTIFS(実績!$W$6:$W$505,BS$3,実績!$AI$6:$AI$505,"&lt;="&amp;$A139,実績!$AJ$6:$AJ$505,"&gt;"&amp;$A139,実績!$AL$6:$AL$505,"○")&gt;0,1,0))</f>
        <v>0</v>
      </c>
      <c r="BT139" s="39" t="n">
        <f aca="false">IF(BT$4=0,0,IF(COUNTIFS(実績!$W$6:$W$505,BT$3,実績!$AI$6:$AI$505,"&lt;="&amp;$A139,実績!$AJ$6:$AJ$505,"&gt;"&amp;$A139,実績!$AL$6:$AL$505,"○")&gt;0,1,0))</f>
        <v>0</v>
      </c>
      <c r="BU139" s="39" t="n">
        <f aca="false">IF(BU$4=0,0,IF(COUNTIFS(実績!$W$6:$W$505,BU$3,実績!$AI$6:$AI$505,"&lt;="&amp;$A139,実績!$AJ$6:$AJ$505,"&gt;"&amp;$A139,実績!$AL$6:$AL$505,"○")&gt;0,1,0))</f>
        <v>0</v>
      </c>
      <c r="BV139" s="39" t="n">
        <f aca="false">IF(BV$4=0,0,IF(COUNTIFS(実績!$W$6:$W$505,BV$3,実績!$AI$6:$AI$505,"&lt;="&amp;$A139,実績!$AJ$6:$AJ$505,"&gt;"&amp;$A139,実績!$AL$6:$AL$505,"○")&gt;0,1,0))</f>
        <v>0</v>
      </c>
      <c r="BW139" s="39" t="n">
        <f aca="false">IF(BW$4=0,0,IF(COUNTIFS(実績!$W$6:$W$505,BW$3,実績!$AI$6:$AI$505,"&lt;="&amp;$A139,実績!$AJ$6:$AJ$505,"&gt;"&amp;$A139,実績!$AL$6:$AL$505,"○")&gt;0,1,0))</f>
        <v>0</v>
      </c>
      <c r="BX139" s="39" t="n">
        <f aca="false">IF(BX$4=0,0,IF(COUNTIFS(実績!$W$6:$W$505,BX$3,実績!$AI$6:$AI$505,"&lt;="&amp;$A139,実績!$AJ$6:$AJ$505,"&gt;"&amp;$A139,実績!$AL$6:$AL$505,"○")&gt;0,1,0))</f>
        <v>0</v>
      </c>
      <c r="BY139" s="39" t="n">
        <f aca="false">IF(BY$4=0,0,IF(COUNTIFS(実績!$W$6:$W$505,BY$3,実績!$AI$6:$AI$505,"&lt;="&amp;$A139,実績!$AJ$6:$AJ$505,"&gt;"&amp;$A139,実績!$AL$6:$AL$505,"○")&gt;0,1,0))</f>
        <v>0</v>
      </c>
      <c r="BZ139" s="39" t="n">
        <f aca="false">IF(BZ$4=0,0,IF(COUNTIFS(実績!$W$6:$W$505,BZ$3,実績!$AI$6:$AI$505,"&lt;="&amp;$A139,実績!$AJ$6:$AJ$505,"&gt;"&amp;$A139,実績!$AL$6:$AL$505,"○")&gt;0,1,0))</f>
        <v>0</v>
      </c>
      <c r="CA139" s="39" t="n">
        <f aca="false">IF(CA$4=0,0,IF(COUNTIFS(実績!$W$6:$W$505,CA$3,実績!$AI$6:$AI$505,"&lt;="&amp;$A139,実績!$AJ$6:$AJ$505,"&gt;"&amp;$A139,実績!$AL$6:$AL$505,"○")&gt;0,1,0))</f>
        <v>0</v>
      </c>
      <c r="CB139" s="39" t="n">
        <f aca="false">IF(CB$4=0,0,IF(COUNTIFS(実績!$W$6:$W$505,CB$3,実績!$AI$6:$AI$505,"&lt;="&amp;$A139,実績!$AJ$6:$AJ$505,"&gt;"&amp;$A139,実績!$AL$6:$AL$505,"○")&gt;0,1,0))</f>
        <v>0</v>
      </c>
      <c r="CC139" s="39" t="n">
        <f aca="false">IF(CC$4=0,0,IF(COUNTIFS(実績!$W$6:$W$505,CC$3,実績!$AI$6:$AI$505,"&lt;="&amp;$A139,実績!$AJ$6:$AJ$505,"&gt;"&amp;$A139,実績!$AL$6:$AL$505,"○")&gt;0,1,0))</f>
        <v>0</v>
      </c>
      <c r="CD139" s="39" t="n">
        <f aca="false">IF(CD$4=0,0,IF(COUNTIFS(実績!$W$6:$W$505,CD$3,実績!$AI$6:$AI$505,"&lt;="&amp;$A139,実績!$AJ$6:$AJ$505,"&gt;"&amp;$A139,実績!$AL$6:$AL$505,"○")&gt;0,1,0))</f>
        <v>0</v>
      </c>
      <c r="CE139" s="39" t="n">
        <f aca="false">IF(CE$4=0,0,IF(COUNTIFS(実績!$W$6:$W$505,CE$3,実績!$AI$6:$AI$505,"&lt;="&amp;$A139,実績!$AJ$6:$AJ$505,"&gt;"&amp;$A139,実績!$AL$6:$AL$505,"○")&gt;0,1,0))</f>
        <v>0</v>
      </c>
      <c r="CF139" s="39" t="n">
        <f aca="false">IF(CF$4=0,0,IF(COUNTIFS(実績!$W$6:$W$505,CF$3,実績!$AI$6:$AI$505,"&lt;="&amp;$A139,実績!$AJ$6:$AJ$505,"&gt;"&amp;$A139,実績!$AL$6:$AL$505,"○")&gt;0,1,0))</f>
        <v>0</v>
      </c>
      <c r="CG139" s="39" t="n">
        <f aca="false">IF(CG$4=0,0,IF(COUNTIFS(実績!$W$6:$W$505,CG$3,実績!$AI$6:$AI$505,"&lt;="&amp;$A139,実績!$AJ$6:$AJ$505,"&gt;"&amp;$A139,実績!$AL$6:$AL$505,"○")&gt;0,1,0))</f>
        <v>0</v>
      </c>
      <c r="CH139" s="39" t="n">
        <f aca="false">IF(CH$4=0,0,IF(COUNTIFS(実績!$W$6:$W$505,CH$3,実績!$AI$6:$AI$505,"&lt;="&amp;$A139,実績!$AJ$6:$AJ$505,"&gt;"&amp;$A139,実績!$AL$6:$AL$505,"○")&gt;0,1,0))</f>
        <v>0</v>
      </c>
      <c r="CI139" s="39" t="n">
        <f aca="false">IF(CI$4=0,0,IF(COUNTIFS(実績!$W$6:$W$505,CI$3,実績!$AI$6:$AI$505,"&lt;="&amp;$A139,実績!$AJ$6:$AJ$505,"&gt;"&amp;$A139,実績!$AL$6:$AL$505,"○")&gt;0,1,0))</f>
        <v>0</v>
      </c>
      <c r="CJ139" s="39" t="n">
        <f aca="false">IF(CJ$4=0,0,IF(COUNTIFS(実績!$W$6:$W$505,CJ$3,実績!$AI$6:$AI$505,"&lt;="&amp;$A139,実績!$AJ$6:$AJ$505,"&gt;"&amp;$A139,実績!$AL$6:$AL$505,"○")&gt;0,1,0))</f>
        <v>0</v>
      </c>
      <c r="CK139" s="39" t="n">
        <f aca="false">IF(CK$4=0,0,IF(COUNTIFS(実績!$W$6:$W$505,CK$3,実績!$AI$6:$AI$505,"&lt;="&amp;$A139,実績!$AJ$6:$AJ$505,"&gt;"&amp;$A139,実績!$AL$6:$AL$505,"○")&gt;0,1,0))</f>
        <v>0</v>
      </c>
      <c r="CL139" s="39" t="n">
        <f aca="false">IF(CL$4=0,0,IF(COUNTIFS(実績!$W$6:$W$505,CL$3,実績!$AI$6:$AI$505,"&lt;="&amp;$A139,実績!$AJ$6:$AJ$505,"&gt;"&amp;$A139,実績!$AL$6:$AL$505,"○")&gt;0,1,0))</f>
        <v>0</v>
      </c>
      <c r="CM139" s="39" t="n">
        <f aca="false">IF(CM$4=0,0,IF(COUNTIFS(実績!$W$6:$W$505,CM$3,実績!$AI$6:$AI$505,"&lt;="&amp;$A139,実績!$AJ$6:$AJ$505,"&gt;"&amp;$A139,実績!$AL$6:$AL$505,"○")&gt;0,1,0))</f>
        <v>0</v>
      </c>
      <c r="CN139" s="39" t="n">
        <f aca="false">IF(CN$4=0,0,IF(COUNTIFS(実績!$W$6:$W$505,CN$3,実績!$AI$6:$AI$505,"&lt;="&amp;$A139,実績!$AJ$6:$AJ$505,"&gt;"&amp;$A139,実績!$AL$6:$AL$505,"○")&gt;0,1,0))</f>
        <v>0</v>
      </c>
      <c r="CO139" s="39" t="n">
        <f aca="false">IF(CO$4=0,0,IF(COUNTIFS(実績!$W$6:$W$505,CO$3,実績!$AI$6:$AI$505,"&lt;="&amp;$A139,実績!$AJ$6:$AJ$505,"&gt;"&amp;$A139,実績!$AL$6:$AL$505,"○")&gt;0,1,0))</f>
        <v>0</v>
      </c>
      <c r="CP139" s="39" t="n">
        <f aca="false">IF(CP$4=0,0,IF(COUNTIFS(実績!$W$6:$W$505,CP$3,実績!$AI$6:$AI$505,"&lt;="&amp;$A139,実績!$AJ$6:$AJ$505,"&gt;"&amp;$A139,実績!$AL$6:$AL$505,"○")&gt;0,1,0))</f>
        <v>0</v>
      </c>
      <c r="CQ139" s="39" t="n">
        <f aca="false">IF(CQ$4=0,0,IF(COUNTIFS(実績!$W$6:$W$505,CQ$3,実績!$AI$6:$AI$505,"&lt;="&amp;$A139,実績!$AJ$6:$AJ$505,"&gt;"&amp;$A139,実績!$AL$6:$AL$505,"○")&gt;0,1,0))</f>
        <v>0</v>
      </c>
      <c r="CR139" s="39" t="n">
        <f aca="false">IF(CR$4=0,0,IF(COUNTIFS(実績!$W$6:$W$505,CR$3,実績!$AI$6:$AI$505,"&lt;="&amp;$A139,実績!$AJ$6:$AJ$505,"&gt;"&amp;$A139,実績!$AL$6:$AL$505,"○")&gt;0,1,0))</f>
        <v>0</v>
      </c>
      <c r="CS139" s="39" t="n">
        <f aca="false">IF(CS$4=0,0,IF(COUNTIFS(実績!$W$6:$W$505,CS$3,実績!$AI$6:$AI$505,"&lt;="&amp;$A139,実績!$AJ$6:$AJ$505,"&gt;"&amp;$A139,実績!$AL$6:$AL$505,"○")&gt;0,1,0))</f>
        <v>0</v>
      </c>
      <c r="CT139" s="39" t="n">
        <f aca="false">IF(CT$4=0,0,IF(COUNTIFS(実績!$W$6:$W$505,CT$3,実績!$AI$6:$AI$505,"&lt;="&amp;$A139,実績!$AJ$6:$AJ$505,"&gt;"&amp;$A139,実績!$AL$6:$AL$505,"○")&gt;0,1,0))</f>
        <v>0</v>
      </c>
      <c r="CU139" s="39" t="n">
        <f aca="false">IF(CU$4=0,0,IF(COUNTIFS(実績!$W$6:$W$505,CU$3,実績!$AI$6:$AI$505,"&lt;="&amp;$A139,実績!$AJ$6:$AJ$505,"&gt;"&amp;$A139,実績!$AL$6:$AL$505,"○")&gt;0,1,0))</f>
        <v>0</v>
      </c>
      <c r="CV139" s="39" t="n">
        <f aca="false">IF(CV$4=0,0,IF(COUNTIFS(実績!$W$6:$W$505,CV$3,実績!$AI$6:$AI$505,"&lt;="&amp;$A139,実績!$AJ$6:$AJ$505,"&gt;"&amp;$A139,実績!$AL$6:$AL$505,"○")&gt;0,1,0))</f>
        <v>0</v>
      </c>
      <c r="CW139" s="39" t="n">
        <f aca="false">IF(CW$4=0,0,IF(COUNTIFS(実績!$W$6:$W$505,CW$3,実績!$AI$6:$AI$505,"&lt;="&amp;$A139,実績!$AJ$6:$AJ$505,"&gt;"&amp;$A139,実績!$AL$6:$AL$505,"○")&gt;0,1,0))</f>
        <v>0</v>
      </c>
      <c r="CX139" s="39" t="n">
        <f aca="false">IF(CX$4=0,0,IF(COUNTIFS(実績!$W$6:$W$505,CX$3,実績!$AI$6:$AI$505,"&lt;="&amp;$A139,実績!$AJ$6:$AJ$505,"&gt;"&amp;$A139,実績!$AL$6:$AL$505,"○")&gt;0,1,0))</f>
        <v>0</v>
      </c>
      <c r="CY139" s="39" t="n">
        <f aca="false">IF(CY$4=0,0,IF(COUNTIFS(実績!$W$6:$W$505,CY$3,実績!$AI$6:$AI$505,"&lt;="&amp;$A139,実績!$AJ$6:$AJ$505,"&gt;"&amp;$A139,実績!$AL$6:$AL$505,"○")&gt;0,1,0))</f>
        <v>0</v>
      </c>
      <c r="CZ139" s="39" t="n">
        <f aca="false">IF(CZ$4=0,0,IF(COUNTIFS(実績!$W$6:$W$505,CZ$3,実績!$AI$6:$AI$505,"&lt;="&amp;$A139,実績!$AJ$6:$AJ$505,"&gt;"&amp;$A139,実績!$AL$6:$AL$505,"○")&gt;0,1,0))</f>
        <v>0</v>
      </c>
      <c r="DA139" s="39" t="n">
        <f aca="false">IF(DA$4=0,0,IF(COUNTIFS(実績!$W$6:$W$505,DA$3,実績!$AI$6:$AI$505,"&lt;="&amp;$A139,実績!$AJ$6:$AJ$505,"&gt;"&amp;$A139,実績!$AL$6:$AL$505,"○")&gt;0,1,0))</f>
        <v>0</v>
      </c>
      <c r="DB139" s="39" t="n">
        <f aca="false">IF(DB$4=0,0,IF(COUNTIFS(実績!$W$6:$W$505,DB$3,実績!$AI$6:$AI$505,"&lt;="&amp;$A139,実績!$AJ$6:$AJ$505,"&gt;"&amp;$A139,実績!$AL$6:$AL$505,"○")&gt;0,1,0))</f>
        <v>0</v>
      </c>
      <c r="DC139" s="39" t="n">
        <f aca="false">IF(DC$4=0,0,IF(COUNTIFS(実績!$W$6:$W$505,DC$3,実績!$AI$6:$AI$505,"&lt;="&amp;$A139,実績!$AJ$6:$AJ$505,"&gt;"&amp;$A139,実績!$AL$6:$AL$505,"○")&gt;0,1,0))</f>
        <v>0</v>
      </c>
      <c r="DD139" s="39" t="n">
        <f aca="false">IF(DD$4=0,0,IF(COUNTIFS(実績!$W$6:$W$505,DD$3,実績!$AI$6:$AI$505,"&lt;="&amp;$A139,実績!$AJ$6:$AJ$505,"&gt;"&amp;$A139,実績!$AL$6:$AL$505,"○")&gt;0,1,0))</f>
        <v>0</v>
      </c>
      <c r="DE139" s="39" t="n">
        <f aca="false">IF(DE$4=0,0,IF(COUNTIFS(実績!$W$6:$W$505,DE$3,実績!$AI$6:$AI$505,"&lt;="&amp;$A139,実績!$AJ$6:$AJ$505,"&gt;"&amp;$A139,実績!$AL$6:$AL$505,"○")&gt;0,1,0))</f>
        <v>0</v>
      </c>
      <c r="DF139" s="39" t="n">
        <f aca="false">IF(DF$4=0,0,IF(COUNTIFS(実績!$W$6:$W$505,DF$3,実績!$AI$6:$AI$505,"&lt;="&amp;$A139,実績!$AJ$6:$AJ$505,"&gt;"&amp;$A139,実績!$AL$6:$AL$505,"○")&gt;0,1,0))</f>
        <v>0</v>
      </c>
      <c r="DG139" s="39" t="n">
        <f aca="false">IF(DG$4=0,0,IF(COUNTIFS(実績!$W$6:$W$505,DG$3,実績!$AI$6:$AI$505,"&lt;="&amp;$A139,実績!$AJ$6:$AJ$505,"&gt;"&amp;$A139,実績!$AL$6:$AL$505,"○")&gt;0,1,0))</f>
        <v>0</v>
      </c>
      <c r="DH139" s="39" t="n">
        <f aca="false">IF(DH$4=0,0,IF(COUNTIFS(実績!$W$6:$W$505,DH$3,実績!$AI$6:$AI$505,"&lt;="&amp;$A139,実績!$AJ$6:$AJ$505,"&gt;"&amp;$A139,実績!$AL$6:$AL$505,"○")&gt;0,1,0))</f>
        <v>0</v>
      </c>
      <c r="DI139" s="39" t="n">
        <f aca="false">IF(DI$4=0,0,IF(COUNTIFS(実績!$W$6:$W$505,DI$3,実績!$AI$6:$AI$505,"&lt;="&amp;$A139,実績!$AJ$6:$AJ$505,"&gt;"&amp;$A139,実績!$AL$6:$AL$505,"○")&gt;0,1,0))</f>
        <v>0</v>
      </c>
      <c r="DJ139" s="39" t="n">
        <f aca="false">IF(DJ$4=0,0,IF(COUNTIFS(実績!$W$6:$W$505,DJ$3,実績!$AI$6:$AI$505,"&lt;="&amp;$A139,実績!$AJ$6:$AJ$505,"&gt;"&amp;$A139,実績!$AL$6:$AL$505,"○")&gt;0,1,0))</f>
        <v>0</v>
      </c>
      <c r="DK139" s="39" t="n">
        <f aca="false">IF(DK$4=0,0,IF(COUNTIFS(実績!$W$6:$W$505,DK$3,実績!$AI$6:$AI$505,"&lt;="&amp;$A139,実績!$AJ$6:$AJ$505,"&gt;"&amp;$A139,実績!$AL$6:$AL$505,"○")&gt;0,1,0))</f>
        <v>0</v>
      </c>
      <c r="DL139" s="39" t="n">
        <f aca="false">IF(DL$4=0,0,IF(COUNTIFS(実績!$W$6:$W$505,DL$3,実績!$AI$6:$AI$505,"&lt;="&amp;$A139,実績!$AJ$6:$AJ$505,"&gt;"&amp;$A139,実績!$AL$6:$AL$505,"○")&gt;0,1,0))</f>
        <v>0</v>
      </c>
      <c r="DM139" s="39" t="n">
        <f aca="false">IF(DM$4=0,0,IF(COUNTIFS(実績!$W$6:$W$505,DM$3,実績!$AI$6:$AI$505,"&lt;="&amp;$A139,実績!$AJ$6:$AJ$505,"&gt;"&amp;$A139,実績!$AL$6:$AL$505,"○")&gt;0,1,0))</f>
        <v>0</v>
      </c>
      <c r="DN139" s="39" t="n">
        <f aca="false">IF(DN$4=0,0,IF(COUNTIFS(実績!$W$6:$W$505,DN$3,実績!$AI$6:$AI$505,"&lt;="&amp;$A139,実績!$AJ$6:$AJ$505,"&gt;"&amp;$A139,実績!$AL$6:$AL$505,"○")&gt;0,1,0))</f>
        <v>0</v>
      </c>
      <c r="DO139" s="39" t="n">
        <f aca="false">IF(DO$4=0,0,IF(COUNTIFS(実績!$W$6:$W$505,DO$3,実績!$AI$6:$AI$505,"&lt;="&amp;$A139,実績!$AJ$6:$AJ$505,"&gt;"&amp;$A139,実績!$AL$6:$AL$505,"○")&gt;0,1,0))</f>
        <v>0</v>
      </c>
      <c r="DP139" s="39" t="n">
        <f aca="false">IF(DP$4=0,0,IF(COUNTIFS(実績!$W$6:$W$505,DP$3,実績!$AI$6:$AI$505,"&lt;="&amp;$A139,実績!$AJ$6:$AJ$505,"&gt;"&amp;$A139,実績!$AL$6:$AL$505,"○")&gt;0,1,0))</f>
        <v>0</v>
      </c>
      <c r="DQ139" s="39" t="n">
        <f aca="false">IF(DQ$4=0,0,IF(COUNTIFS(実績!$W$6:$W$505,DQ$3,実績!$AI$6:$AI$505,"&lt;="&amp;$A139,実績!$AJ$6:$AJ$505,"&gt;"&amp;$A139,実績!$AL$6:$AL$505,"○")&gt;0,1,0))</f>
        <v>0</v>
      </c>
      <c r="DR139" s="39" t="n">
        <f aca="false">IF(DR$4=0,0,IF(COUNTIFS(実績!$W$6:$W$505,DR$3,実績!$AI$6:$AI$505,"&lt;="&amp;$A139,実績!$AJ$6:$AJ$505,"&gt;"&amp;$A139,実績!$AL$6:$AL$505,"○")&gt;0,1,0))</f>
        <v>0</v>
      </c>
      <c r="DS139" s="39" t="n">
        <f aca="false">SUM(C139:DR139)</f>
        <v>0</v>
      </c>
    </row>
    <row r="140" customFormat="false" ht="15" hidden="false" customHeight="false" outlineLevel="0" collapsed="false">
      <c r="A140" s="0" t="n">
        <v>670</v>
      </c>
      <c r="B140" s="38" t="n">
        <f aca="false">A140/1440</f>
        <v>0.465277777777778</v>
      </c>
      <c r="C140" s="39" t="n">
        <f aca="false">IF(C$4=0,0,IF(COUNTIFS(実績!$W$6:$W$505,C$3,実績!$AI$6:$AI$505,"&lt;="&amp;$A140,実績!$AJ$6:$AJ$505,"&gt;"&amp;$A140,実績!$AL$6:$AL$505,"○")&gt;0,1,0))</f>
        <v>0</v>
      </c>
      <c r="D140" s="39" t="n">
        <f aca="false">IF(D$4=0,0,IF(COUNTIFS(実績!$W$6:$W$505,D$3,実績!$AI$6:$AI$505,"&lt;="&amp;$A140,実績!$AJ$6:$AJ$505,"&gt;"&amp;$A140,実績!$AL$6:$AL$505,"○")&gt;0,1,0))</f>
        <v>0</v>
      </c>
      <c r="E140" s="39" t="n">
        <f aca="false">IF(E$4=0,0,IF(COUNTIFS(実績!$W$6:$W$505,E$3,実績!$AI$6:$AI$505,"&lt;="&amp;$A140,実績!$AJ$6:$AJ$505,"&gt;"&amp;$A140,実績!$AL$6:$AL$505,"○")&gt;0,1,0))</f>
        <v>0</v>
      </c>
      <c r="F140" s="39" t="n">
        <f aca="false">IF(F$4=0,0,IF(COUNTIFS(実績!$W$6:$W$505,F$3,実績!$AI$6:$AI$505,"&lt;="&amp;$A140,実績!$AJ$6:$AJ$505,"&gt;"&amp;$A140,実績!$AL$6:$AL$505,"○")&gt;0,1,0))</f>
        <v>0</v>
      </c>
      <c r="G140" s="39" t="n">
        <f aca="false">IF(G$4=0,0,IF(COUNTIFS(実績!$W$6:$W$505,G$3,実績!$AI$6:$AI$505,"&lt;="&amp;$A140,実績!$AJ$6:$AJ$505,"&gt;"&amp;$A140,実績!$AL$6:$AL$505,"○")&gt;0,1,0))</f>
        <v>0</v>
      </c>
      <c r="H140" s="39" t="n">
        <f aca="false">IF(H$4=0,0,IF(COUNTIFS(実績!$W$6:$W$505,H$3,実績!$AI$6:$AI$505,"&lt;="&amp;$A140,実績!$AJ$6:$AJ$505,"&gt;"&amp;$A140,実績!$AL$6:$AL$505,"○")&gt;0,1,0))</f>
        <v>0</v>
      </c>
      <c r="I140" s="39" t="n">
        <f aca="false">IF(I$4=0,0,IF(COUNTIFS(実績!$W$6:$W$505,I$3,実績!$AI$6:$AI$505,"&lt;="&amp;$A140,実績!$AJ$6:$AJ$505,"&gt;"&amp;$A140,実績!$AL$6:$AL$505,"○")&gt;0,1,0))</f>
        <v>0</v>
      </c>
      <c r="J140" s="39" t="n">
        <f aca="false">IF(J$4=0,0,IF(COUNTIFS(実績!$W$6:$W$505,J$3,実績!$AI$6:$AI$505,"&lt;="&amp;$A140,実績!$AJ$6:$AJ$505,"&gt;"&amp;$A140,実績!$AL$6:$AL$505,"○")&gt;0,1,0))</f>
        <v>0</v>
      </c>
      <c r="K140" s="39" t="n">
        <f aca="false">IF(K$4=0,0,IF(COUNTIFS(実績!$W$6:$W$505,K$3,実績!$AI$6:$AI$505,"&lt;="&amp;$A140,実績!$AJ$6:$AJ$505,"&gt;"&amp;$A140,実績!$AL$6:$AL$505,"○")&gt;0,1,0))</f>
        <v>0</v>
      </c>
      <c r="L140" s="39" t="n">
        <f aca="false">IF(L$4=0,0,IF(COUNTIFS(実績!$W$6:$W$505,L$3,実績!$AI$6:$AI$505,"&lt;="&amp;$A140,実績!$AJ$6:$AJ$505,"&gt;"&amp;$A140,実績!$AL$6:$AL$505,"○")&gt;0,1,0))</f>
        <v>0</v>
      </c>
      <c r="M140" s="39" t="n">
        <f aca="false">IF(M$4=0,0,IF(COUNTIFS(実績!$W$6:$W$505,M$3,実績!$AI$6:$AI$505,"&lt;="&amp;$A140,実績!$AJ$6:$AJ$505,"&gt;"&amp;$A140,実績!$AL$6:$AL$505,"○")&gt;0,1,0))</f>
        <v>0</v>
      </c>
      <c r="N140" s="39" t="n">
        <f aca="false">IF(N$4=0,0,IF(COUNTIFS(実績!$W$6:$W$505,N$3,実績!$AI$6:$AI$505,"&lt;="&amp;$A140,実績!$AJ$6:$AJ$505,"&gt;"&amp;$A140,実績!$AL$6:$AL$505,"○")&gt;0,1,0))</f>
        <v>0</v>
      </c>
      <c r="O140" s="39" t="n">
        <f aca="false">IF(O$4=0,0,IF(COUNTIFS(実績!$W$6:$W$505,O$3,実績!$AI$6:$AI$505,"&lt;="&amp;$A140,実績!$AJ$6:$AJ$505,"&gt;"&amp;$A140,実績!$AL$6:$AL$505,"○")&gt;0,1,0))</f>
        <v>0</v>
      </c>
      <c r="P140" s="39" t="n">
        <f aca="false">IF(P$4=0,0,IF(COUNTIFS(実績!$W$6:$W$505,P$3,実績!$AI$6:$AI$505,"&lt;="&amp;$A140,実績!$AJ$6:$AJ$505,"&gt;"&amp;$A140,実績!$AL$6:$AL$505,"○")&gt;0,1,0))</f>
        <v>0</v>
      </c>
      <c r="Q140" s="39" t="n">
        <f aca="false">IF(Q$4=0,0,IF(COUNTIFS(実績!$W$6:$W$505,Q$3,実績!$AI$6:$AI$505,"&lt;="&amp;$A140,実績!$AJ$6:$AJ$505,"&gt;"&amp;$A140,実績!$AL$6:$AL$505,"○")&gt;0,1,0))</f>
        <v>0</v>
      </c>
      <c r="R140" s="39" t="n">
        <f aca="false">IF(R$4=0,0,IF(COUNTIFS(実績!$W$6:$W$505,R$3,実績!$AI$6:$AI$505,"&lt;="&amp;$A140,実績!$AJ$6:$AJ$505,"&gt;"&amp;$A140,実績!$AL$6:$AL$505,"○")&gt;0,1,0))</f>
        <v>0</v>
      </c>
      <c r="S140" s="39" t="n">
        <f aca="false">IF(S$4=0,0,IF(COUNTIFS(実績!$W$6:$W$505,S$3,実績!$AI$6:$AI$505,"&lt;="&amp;$A140,実績!$AJ$6:$AJ$505,"&gt;"&amp;$A140,実績!$AL$6:$AL$505,"○")&gt;0,1,0))</f>
        <v>0</v>
      </c>
      <c r="T140" s="39" t="n">
        <f aca="false">IF(T$4=0,0,IF(COUNTIFS(実績!$W$6:$W$505,T$3,実績!$AI$6:$AI$505,"&lt;="&amp;$A140,実績!$AJ$6:$AJ$505,"&gt;"&amp;$A140,実績!$AL$6:$AL$505,"○")&gt;0,1,0))</f>
        <v>0</v>
      </c>
      <c r="U140" s="39" t="n">
        <f aca="false">IF(U$4=0,0,IF(COUNTIFS(実績!$W$6:$W$505,U$3,実績!$AI$6:$AI$505,"&lt;="&amp;$A140,実績!$AJ$6:$AJ$505,"&gt;"&amp;$A140,実績!$AL$6:$AL$505,"○")&gt;0,1,0))</f>
        <v>0</v>
      </c>
      <c r="V140" s="39" t="n">
        <f aca="false">IF(V$4=0,0,IF(COUNTIFS(実績!$W$6:$W$505,V$3,実績!$AI$6:$AI$505,"&lt;="&amp;$A140,実績!$AJ$6:$AJ$505,"&gt;"&amp;$A140,実績!$AL$6:$AL$505,"○")&gt;0,1,0))</f>
        <v>0</v>
      </c>
      <c r="W140" s="39" t="n">
        <f aca="false">IF(W$4=0,0,IF(COUNTIFS(実績!$W$6:$W$505,W$3,実績!$AI$6:$AI$505,"&lt;="&amp;$A140,実績!$AJ$6:$AJ$505,"&gt;"&amp;$A140,実績!$AL$6:$AL$505,"○")&gt;0,1,0))</f>
        <v>0</v>
      </c>
      <c r="X140" s="39" t="n">
        <f aca="false">IF(X$4=0,0,IF(COUNTIFS(実績!$W$6:$W$505,X$3,実績!$AI$6:$AI$505,"&lt;="&amp;$A140,実績!$AJ$6:$AJ$505,"&gt;"&amp;$A140,実績!$AL$6:$AL$505,"○")&gt;0,1,0))</f>
        <v>0</v>
      </c>
      <c r="Y140" s="39" t="n">
        <f aca="false">IF(Y$4=0,0,IF(COUNTIFS(実績!$W$6:$W$505,Y$3,実績!$AI$6:$AI$505,"&lt;="&amp;$A140,実績!$AJ$6:$AJ$505,"&gt;"&amp;$A140,実績!$AL$6:$AL$505,"○")&gt;0,1,0))</f>
        <v>0</v>
      </c>
      <c r="Z140" s="39" t="n">
        <f aca="false">IF(Z$4=0,0,IF(COUNTIFS(実績!$W$6:$W$505,Z$3,実績!$AI$6:$AI$505,"&lt;="&amp;$A140,実績!$AJ$6:$AJ$505,"&gt;"&amp;$A140,実績!$AL$6:$AL$505,"○")&gt;0,1,0))</f>
        <v>0</v>
      </c>
      <c r="AA140" s="39" t="n">
        <f aca="false">IF(AA$4=0,0,IF(COUNTIFS(実績!$W$6:$W$505,AA$3,実績!$AI$6:$AI$505,"&lt;="&amp;$A140,実績!$AJ$6:$AJ$505,"&gt;"&amp;$A140,実績!$AL$6:$AL$505,"○")&gt;0,1,0))</f>
        <v>0</v>
      </c>
      <c r="AB140" s="39" t="n">
        <f aca="false">IF(AB$4=0,0,IF(COUNTIFS(実績!$W$6:$W$505,AB$3,実績!$AI$6:$AI$505,"&lt;="&amp;$A140,実績!$AJ$6:$AJ$505,"&gt;"&amp;$A140,実績!$AL$6:$AL$505,"○")&gt;0,1,0))</f>
        <v>0</v>
      </c>
      <c r="AC140" s="39" t="n">
        <f aca="false">IF(AC$4=0,0,IF(COUNTIFS(実績!$W$6:$W$505,AC$3,実績!$AI$6:$AI$505,"&lt;="&amp;$A140,実績!$AJ$6:$AJ$505,"&gt;"&amp;$A140,実績!$AL$6:$AL$505,"○")&gt;0,1,0))</f>
        <v>0</v>
      </c>
      <c r="AD140" s="39" t="n">
        <f aca="false">IF(AD$4=0,0,IF(COUNTIFS(実績!$W$6:$W$505,AD$3,実績!$AI$6:$AI$505,"&lt;="&amp;$A140,実績!$AJ$6:$AJ$505,"&gt;"&amp;$A140,実績!$AL$6:$AL$505,"○")&gt;0,1,0))</f>
        <v>0</v>
      </c>
      <c r="AE140" s="39" t="n">
        <f aca="false">IF(AE$4=0,0,IF(COUNTIFS(実績!$W$6:$W$505,AE$3,実績!$AI$6:$AI$505,"&lt;="&amp;$A140,実績!$AJ$6:$AJ$505,"&gt;"&amp;$A140,実績!$AL$6:$AL$505,"○")&gt;0,1,0))</f>
        <v>0</v>
      </c>
      <c r="AF140" s="39" t="n">
        <f aca="false">IF(AF$4=0,0,IF(COUNTIFS(実績!$W$6:$W$505,AF$3,実績!$AI$6:$AI$505,"&lt;="&amp;$A140,実績!$AJ$6:$AJ$505,"&gt;"&amp;$A140,実績!$AL$6:$AL$505,"○")&gt;0,1,0))</f>
        <v>0</v>
      </c>
      <c r="AG140" s="39" t="n">
        <f aca="false">IF(AG$4=0,0,IF(COUNTIFS(実績!$W$6:$W$505,AG$3,実績!$AI$6:$AI$505,"&lt;="&amp;$A140,実績!$AJ$6:$AJ$505,"&gt;"&amp;$A140,実績!$AL$6:$AL$505,"○")&gt;0,1,0))</f>
        <v>0</v>
      </c>
      <c r="AH140" s="39" t="n">
        <f aca="false">IF(AH$4=0,0,IF(COUNTIFS(実績!$W$6:$W$505,AH$3,実績!$AI$6:$AI$505,"&lt;="&amp;$A140,実績!$AJ$6:$AJ$505,"&gt;"&amp;$A140,実績!$AL$6:$AL$505,"○")&gt;0,1,0))</f>
        <v>0</v>
      </c>
      <c r="AI140" s="39" t="n">
        <f aca="false">IF(AI$4=0,0,IF(COUNTIFS(実績!$W$6:$W$505,AI$3,実績!$AI$6:$AI$505,"&lt;="&amp;$A140,実績!$AJ$6:$AJ$505,"&gt;"&amp;$A140,実績!$AL$6:$AL$505,"○")&gt;0,1,0))</f>
        <v>0</v>
      </c>
      <c r="AJ140" s="39" t="n">
        <f aca="false">IF(AJ$4=0,0,IF(COUNTIFS(実績!$W$6:$W$505,AJ$3,実績!$AI$6:$AI$505,"&lt;="&amp;$A140,実績!$AJ$6:$AJ$505,"&gt;"&amp;$A140,実績!$AL$6:$AL$505,"○")&gt;0,1,0))</f>
        <v>0</v>
      </c>
      <c r="AK140" s="39" t="n">
        <f aca="false">IF(AK$4=0,0,IF(COUNTIFS(実績!$W$6:$W$505,AK$3,実績!$AI$6:$AI$505,"&lt;="&amp;$A140,実績!$AJ$6:$AJ$505,"&gt;"&amp;$A140,実績!$AL$6:$AL$505,"○")&gt;0,1,0))</f>
        <v>0</v>
      </c>
      <c r="AL140" s="39" t="n">
        <f aca="false">IF(AL$4=0,0,IF(COUNTIFS(実績!$W$6:$W$505,AL$3,実績!$AI$6:$AI$505,"&lt;="&amp;$A140,実績!$AJ$6:$AJ$505,"&gt;"&amp;$A140,実績!$AL$6:$AL$505,"○")&gt;0,1,0))</f>
        <v>0</v>
      </c>
      <c r="AM140" s="39" t="n">
        <f aca="false">IF(AM$4=0,0,IF(COUNTIFS(実績!$W$6:$W$505,AM$3,実績!$AI$6:$AI$505,"&lt;="&amp;$A140,実績!$AJ$6:$AJ$505,"&gt;"&amp;$A140,実績!$AL$6:$AL$505,"○")&gt;0,1,0))</f>
        <v>0</v>
      </c>
      <c r="AN140" s="39" t="n">
        <f aca="false">IF(AN$4=0,0,IF(COUNTIFS(実績!$W$6:$W$505,AN$3,実績!$AI$6:$AI$505,"&lt;="&amp;$A140,実績!$AJ$6:$AJ$505,"&gt;"&amp;$A140,実績!$AL$6:$AL$505,"○")&gt;0,1,0))</f>
        <v>0</v>
      </c>
      <c r="AO140" s="39" t="n">
        <f aca="false">IF(AO$4=0,0,IF(COUNTIFS(実績!$W$6:$W$505,AO$3,実績!$AI$6:$AI$505,"&lt;="&amp;$A140,実績!$AJ$6:$AJ$505,"&gt;"&amp;$A140,実績!$AL$6:$AL$505,"○")&gt;0,1,0))</f>
        <v>0</v>
      </c>
      <c r="AP140" s="39" t="n">
        <f aca="false">IF(AP$4=0,0,IF(COUNTIFS(実績!$W$6:$W$505,AP$3,実績!$AI$6:$AI$505,"&lt;="&amp;$A140,実績!$AJ$6:$AJ$505,"&gt;"&amp;$A140,実績!$AL$6:$AL$505,"○")&gt;0,1,0))</f>
        <v>0</v>
      </c>
      <c r="AQ140" s="39" t="n">
        <f aca="false">IF(AQ$4=0,0,IF(COUNTIFS(実績!$W$6:$W$505,AQ$3,実績!$AI$6:$AI$505,"&lt;="&amp;$A140,実績!$AJ$6:$AJ$505,"&gt;"&amp;$A140,実績!$AL$6:$AL$505,"○")&gt;0,1,0))</f>
        <v>0</v>
      </c>
      <c r="AR140" s="39" t="n">
        <f aca="false">IF(AR$4=0,0,IF(COUNTIFS(実績!$W$6:$W$505,AR$3,実績!$AI$6:$AI$505,"&lt;="&amp;$A140,実績!$AJ$6:$AJ$505,"&gt;"&amp;$A140,実績!$AL$6:$AL$505,"○")&gt;0,1,0))</f>
        <v>0</v>
      </c>
      <c r="AS140" s="39" t="n">
        <f aca="false">IF(AS$4=0,0,IF(COUNTIFS(実績!$W$6:$W$505,AS$3,実績!$AI$6:$AI$505,"&lt;="&amp;$A140,実績!$AJ$6:$AJ$505,"&gt;"&amp;$A140,実績!$AL$6:$AL$505,"○")&gt;0,1,0))</f>
        <v>0</v>
      </c>
      <c r="AT140" s="39" t="n">
        <f aca="false">IF(AT$4=0,0,IF(COUNTIFS(実績!$W$6:$W$505,AT$3,実績!$AI$6:$AI$505,"&lt;="&amp;$A140,実績!$AJ$6:$AJ$505,"&gt;"&amp;$A140,実績!$AL$6:$AL$505,"○")&gt;0,1,0))</f>
        <v>0</v>
      </c>
      <c r="AU140" s="39" t="n">
        <f aca="false">IF(AU$4=0,0,IF(COUNTIFS(実績!$W$6:$W$505,AU$3,実績!$AI$6:$AI$505,"&lt;="&amp;$A140,実績!$AJ$6:$AJ$505,"&gt;"&amp;$A140,実績!$AL$6:$AL$505,"○")&gt;0,1,0))</f>
        <v>0</v>
      </c>
      <c r="AV140" s="39" t="n">
        <f aca="false">IF(AV$4=0,0,IF(COUNTIFS(実績!$W$6:$W$505,AV$3,実績!$AI$6:$AI$505,"&lt;="&amp;$A140,実績!$AJ$6:$AJ$505,"&gt;"&amp;$A140,実績!$AL$6:$AL$505,"○")&gt;0,1,0))</f>
        <v>0</v>
      </c>
      <c r="AW140" s="39" t="n">
        <f aca="false">IF(AW$4=0,0,IF(COUNTIFS(実績!$W$6:$W$505,AW$3,実績!$AI$6:$AI$505,"&lt;="&amp;$A140,実績!$AJ$6:$AJ$505,"&gt;"&amp;$A140,実績!$AL$6:$AL$505,"○")&gt;0,1,0))</f>
        <v>0</v>
      </c>
      <c r="AX140" s="39" t="n">
        <f aca="false">IF(AX$4=0,0,IF(COUNTIFS(実績!$W$6:$W$505,AX$3,実績!$AI$6:$AI$505,"&lt;="&amp;$A140,実績!$AJ$6:$AJ$505,"&gt;"&amp;$A140,実績!$AL$6:$AL$505,"○")&gt;0,1,0))</f>
        <v>0</v>
      </c>
      <c r="AY140" s="39" t="n">
        <f aca="false">IF(AY$4=0,0,IF(COUNTIFS(実績!$W$6:$W$505,AY$3,実績!$AI$6:$AI$505,"&lt;="&amp;$A140,実績!$AJ$6:$AJ$505,"&gt;"&amp;$A140,実績!$AL$6:$AL$505,"○")&gt;0,1,0))</f>
        <v>0</v>
      </c>
      <c r="AZ140" s="39" t="n">
        <f aca="false">IF(AZ$4=0,0,IF(COUNTIFS(実績!$W$6:$W$505,AZ$3,実績!$AI$6:$AI$505,"&lt;="&amp;$A140,実績!$AJ$6:$AJ$505,"&gt;"&amp;$A140,実績!$AL$6:$AL$505,"○")&gt;0,1,0))</f>
        <v>0</v>
      </c>
      <c r="BA140" s="39" t="n">
        <f aca="false">IF(BA$4=0,0,IF(COUNTIFS(実績!$W$6:$W$505,BA$3,実績!$AI$6:$AI$505,"&lt;="&amp;$A140,実績!$AJ$6:$AJ$505,"&gt;"&amp;$A140,実績!$AL$6:$AL$505,"○")&gt;0,1,0))</f>
        <v>0</v>
      </c>
      <c r="BB140" s="39" t="n">
        <f aca="false">IF(BB$4=0,0,IF(COUNTIFS(実績!$W$6:$W$505,BB$3,実績!$AI$6:$AI$505,"&lt;="&amp;$A140,実績!$AJ$6:$AJ$505,"&gt;"&amp;$A140,実績!$AL$6:$AL$505,"○")&gt;0,1,0))</f>
        <v>0</v>
      </c>
      <c r="BC140" s="39" t="n">
        <f aca="false">IF(BC$4=0,0,IF(COUNTIFS(実績!$W$6:$W$505,BC$3,実績!$AI$6:$AI$505,"&lt;="&amp;$A140,実績!$AJ$6:$AJ$505,"&gt;"&amp;$A140,実績!$AL$6:$AL$505,"○")&gt;0,1,0))</f>
        <v>0</v>
      </c>
      <c r="BD140" s="39" t="n">
        <f aca="false">IF(BD$4=0,0,IF(COUNTIFS(実績!$W$6:$W$505,BD$3,実績!$AI$6:$AI$505,"&lt;="&amp;$A140,実績!$AJ$6:$AJ$505,"&gt;"&amp;$A140,実績!$AL$6:$AL$505,"○")&gt;0,1,0))</f>
        <v>0</v>
      </c>
      <c r="BE140" s="39" t="n">
        <f aca="false">IF(BE$4=0,0,IF(COUNTIFS(実績!$W$6:$W$505,BE$3,実績!$AI$6:$AI$505,"&lt;="&amp;$A140,実績!$AJ$6:$AJ$505,"&gt;"&amp;$A140,実績!$AL$6:$AL$505,"○")&gt;0,1,0))</f>
        <v>0</v>
      </c>
      <c r="BF140" s="39" t="n">
        <f aca="false">IF(BF$4=0,0,IF(COUNTIFS(実績!$W$6:$W$505,BF$3,実績!$AI$6:$AI$505,"&lt;="&amp;$A140,実績!$AJ$6:$AJ$505,"&gt;"&amp;$A140,実績!$AL$6:$AL$505,"○")&gt;0,1,0))</f>
        <v>0</v>
      </c>
      <c r="BG140" s="39" t="n">
        <f aca="false">IF(BG$4=0,0,IF(COUNTIFS(実績!$W$6:$W$505,BG$3,実績!$AI$6:$AI$505,"&lt;="&amp;$A140,実績!$AJ$6:$AJ$505,"&gt;"&amp;$A140,実績!$AL$6:$AL$505,"○")&gt;0,1,0))</f>
        <v>0</v>
      </c>
      <c r="BH140" s="39" t="n">
        <f aca="false">IF(BH$4=0,0,IF(COUNTIFS(実績!$W$6:$W$505,BH$3,実績!$AI$6:$AI$505,"&lt;="&amp;$A140,実績!$AJ$6:$AJ$505,"&gt;"&amp;$A140,実績!$AL$6:$AL$505,"○")&gt;0,1,0))</f>
        <v>0</v>
      </c>
      <c r="BI140" s="39" t="n">
        <f aca="false">IF(BI$4=0,0,IF(COUNTIFS(実績!$W$6:$W$505,BI$3,実績!$AI$6:$AI$505,"&lt;="&amp;$A140,実績!$AJ$6:$AJ$505,"&gt;"&amp;$A140,実績!$AL$6:$AL$505,"○")&gt;0,1,0))</f>
        <v>0</v>
      </c>
      <c r="BJ140" s="39" t="n">
        <f aca="false">IF(BJ$4=0,0,IF(COUNTIFS(実績!$W$6:$W$505,BJ$3,実績!$AI$6:$AI$505,"&lt;="&amp;$A140,実績!$AJ$6:$AJ$505,"&gt;"&amp;$A140,実績!$AL$6:$AL$505,"○")&gt;0,1,0))</f>
        <v>0</v>
      </c>
      <c r="BK140" s="39" t="n">
        <f aca="false">IF(BK$4=0,0,IF(COUNTIFS(実績!$W$6:$W$505,BK$3,実績!$AI$6:$AI$505,"&lt;="&amp;$A140,実績!$AJ$6:$AJ$505,"&gt;"&amp;$A140,実績!$AL$6:$AL$505,"○")&gt;0,1,0))</f>
        <v>0</v>
      </c>
      <c r="BL140" s="39" t="n">
        <f aca="false">IF(BL$4=0,0,IF(COUNTIFS(実績!$W$6:$W$505,BL$3,実績!$AI$6:$AI$505,"&lt;="&amp;$A140,実績!$AJ$6:$AJ$505,"&gt;"&amp;$A140,実績!$AL$6:$AL$505,"○")&gt;0,1,0))</f>
        <v>0</v>
      </c>
      <c r="BM140" s="39" t="n">
        <f aca="false">IF(BM$4=0,0,IF(COUNTIFS(実績!$W$6:$W$505,BM$3,実績!$AI$6:$AI$505,"&lt;="&amp;$A140,実績!$AJ$6:$AJ$505,"&gt;"&amp;$A140,実績!$AL$6:$AL$505,"○")&gt;0,1,0))</f>
        <v>0</v>
      </c>
      <c r="BN140" s="39" t="n">
        <f aca="false">IF(BN$4=0,0,IF(COUNTIFS(実績!$W$6:$W$505,BN$3,実績!$AI$6:$AI$505,"&lt;="&amp;$A140,実績!$AJ$6:$AJ$505,"&gt;"&amp;$A140,実績!$AL$6:$AL$505,"○")&gt;0,1,0))</f>
        <v>0</v>
      </c>
      <c r="BO140" s="39" t="n">
        <f aca="false">IF(BO$4=0,0,IF(COUNTIFS(実績!$W$6:$W$505,BO$3,実績!$AI$6:$AI$505,"&lt;="&amp;$A140,実績!$AJ$6:$AJ$505,"&gt;"&amp;$A140,実績!$AL$6:$AL$505,"○")&gt;0,1,0))</f>
        <v>0</v>
      </c>
      <c r="BP140" s="39" t="n">
        <f aca="false">IF(BP$4=0,0,IF(COUNTIFS(実績!$W$6:$W$505,BP$3,実績!$AI$6:$AI$505,"&lt;="&amp;$A140,実績!$AJ$6:$AJ$505,"&gt;"&amp;$A140,実績!$AL$6:$AL$505,"○")&gt;0,1,0))</f>
        <v>0</v>
      </c>
      <c r="BQ140" s="39" t="n">
        <f aca="false">IF(BQ$4=0,0,IF(COUNTIFS(実績!$W$6:$W$505,BQ$3,実績!$AI$6:$AI$505,"&lt;="&amp;$A140,実績!$AJ$6:$AJ$505,"&gt;"&amp;$A140,実績!$AL$6:$AL$505,"○")&gt;0,1,0))</f>
        <v>0</v>
      </c>
      <c r="BR140" s="39" t="n">
        <f aca="false">IF(BR$4=0,0,IF(COUNTIFS(実績!$W$6:$W$505,BR$3,実績!$AI$6:$AI$505,"&lt;="&amp;$A140,実績!$AJ$6:$AJ$505,"&gt;"&amp;$A140,実績!$AL$6:$AL$505,"○")&gt;0,1,0))</f>
        <v>0</v>
      </c>
      <c r="BS140" s="39" t="n">
        <f aca="false">IF(BS$4=0,0,IF(COUNTIFS(実績!$W$6:$W$505,BS$3,実績!$AI$6:$AI$505,"&lt;="&amp;$A140,実績!$AJ$6:$AJ$505,"&gt;"&amp;$A140,実績!$AL$6:$AL$505,"○")&gt;0,1,0))</f>
        <v>0</v>
      </c>
      <c r="BT140" s="39" t="n">
        <f aca="false">IF(BT$4=0,0,IF(COUNTIFS(実績!$W$6:$W$505,BT$3,実績!$AI$6:$AI$505,"&lt;="&amp;$A140,実績!$AJ$6:$AJ$505,"&gt;"&amp;$A140,実績!$AL$6:$AL$505,"○")&gt;0,1,0))</f>
        <v>0</v>
      </c>
      <c r="BU140" s="39" t="n">
        <f aca="false">IF(BU$4=0,0,IF(COUNTIFS(実績!$W$6:$W$505,BU$3,実績!$AI$6:$AI$505,"&lt;="&amp;$A140,実績!$AJ$6:$AJ$505,"&gt;"&amp;$A140,実績!$AL$6:$AL$505,"○")&gt;0,1,0))</f>
        <v>0</v>
      </c>
      <c r="BV140" s="39" t="n">
        <f aca="false">IF(BV$4=0,0,IF(COUNTIFS(実績!$W$6:$W$505,BV$3,実績!$AI$6:$AI$505,"&lt;="&amp;$A140,実績!$AJ$6:$AJ$505,"&gt;"&amp;$A140,実績!$AL$6:$AL$505,"○")&gt;0,1,0))</f>
        <v>0</v>
      </c>
      <c r="BW140" s="39" t="n">
        <f aca="false">IF(BW$4=0,0,IF(COUNTIFS(実績!$W$6:$W$505,BW$3,実績!$AI$6:$AI$505,"&lt;="&amp;$A140,実績!$AJ$6:$AJ$505,"&gt;"&amp;$A140,実績!$AL$6:$AL$505,"○")&gt;0,1,0))</f>
        <v>0</v>
      </c>
      <c r="BX140" s="39" t="n">
        <f aca="false">IF(BX$4=0,0,IF(COUNTIFS(実績!$W$6:$W$505,BX$3,実績!$AI$6:$AI$505,"&lt;="&amp;$A140,実績!$AJ$6:$AJ$505,"&gt;"&amp;$A140,実績!$AL$6:$AL$505,"○")&gt;0,1,0))</f>
        <v>0</v>
      </c>
      <c r="BY140" s="39" t="n">
        <f aca="false">IF(BY$4=0,0,IF(COUNTIFS(実績!$W$6:$W$505,BY$3,実績!$AI$6:$AI$505,"&lt;="&amp;$A140,実績!$AJ$6:$AJ$505,"&gt;"&amp;$A140,実績!$AL$6:$AL$505,"○")&gt;0,1,0))</f>
        <v>0</v>
      </c>
      <c r="BZ140" s="39" t="n">
        <f aca="false">IF(BZ$4=0,0,IF(COUNTIFS(実績!$W$6:$W$505,BZ$3,実績!$AI$6:$AI$505,"&lt;="&amp;$A140,実績!$AJ$6:$AJ$505,"&gt;"&amp;$A140,実績!$AL$6:$AL$505,"○")&gt;0,1,0))</f>
        <v>0</v>
      </c>
      <c r="CA140" s="39" t="n">
        <f aca="false">IF(CA$4=0,0,IF(COUNTIFS(実績!$W$6:$W$505,CA$3,実績!$AI$6:$AI$505,"&lt;="&amp;$A140,実績!$AJ$6:$AJ$505,"&gt;"&amp;$A140,実績!$AL$6:$AL$505,"○")&gt;0,1,0))</f>
        <v>0</v>
      </c>
      <c r="CB140" s="39" t="n">
        <f aca="false">IF(CB$4=0,0,IF(COUNTIFS(実績!$W$6:$W$505,CB$3,実績!$AI$6:$AI$505,"&lt;="&amp;$A140,実績!$AJ$6:$AJ$505,"&gt;"&amp;$A140,実績!$AL$6:$AL$505,"○")&gt;0,1,0))</f>
        <v>0</v>
      </c>
      <c r="CC140" s="39" t="n">
        <f aca="false">IF(CC$4=0,0,IF(COUNTIFS(実績!$W$6:$W$505,CC$3,実績!$AI$6:$AI$505,"&lt;="&amp;$A140,実績!$AJ$6:$AJ$505,"&gt;"&amp;$A140,実績!$AL$6:$AL$505,"○")&gt;0,1,0))</f>
        <v>0</v>
      </c>
      <c r="CD140" s="39" t="n">
        <f aca="false">IF(CD$4=0,0,IF(COUNTIFS(実績!$W$6:$W$505,CD$3,実績!$AI$6:$AI$505,"&lt;="&amp;$A140,実績!$AJ$6:$AJ$505,"&gt;"&amp;$A140,実績!$AL$6:$AL$505,"○")&gt;0,1,0))</f>
        <v>0</v>
      </c>
      <c r="CE140" s="39" t="n">
        <f aca="false">IF(CE$4=0,0,IF(COUNTIFS(実績!$W$6:$W$505,CE$3,実績!$AI$6:$AI$505,"&lt;="&amp;$A140,実績!$AJ$6:$AJ$505,"&gt;"&amp;$A140,実績!$AL$6:$AL$505,"○")&gt;0,1,0))</f>
        <v>0</v>
      </c>
      <c r="CF140" s="39" t="n">
        <f aca="false">IF(CF$4=0,0,IF(COUNTIFS(実績!$W$6:$W$505,CF$3,実績!$AI$6:$AI$505,"&lt;="&amp;$A140,実績!$AJ$6:$AJ$505,"&gt;"&amp;$A140,実績!$AL$6:$AL$505,"○")&gt;0,1,0))</f>
        <v>0</v>
      </c>
      <c r="CG140" s="39" t="n">
        <f aca="false">IF(CG$4=0,0,IF(COUNTIFS(実績!$W$6:$W$505,CG$3,実績!$AI$6:$AI$505,"&lt;="&amp;$A140,実績!$AJ$6:$AJ$505,"&gt;"&amp;$A140,実績!$AL$6:$AL$505,"○")&gt;0,1,0))</f>
        <v>0</v>
      </c>
      <c r="CH140" s="39" t="n">
        <f aca="false">IF(CH$4=0,0,IF(COUNTIFS(実績!$W$6:$W$505,CH$3,実績!$AI$6:$AI$505,"&lt;="&amp;$A140,実績!$AJ$6:$AJ$505,"&gt;"&amp;$A140,実績!$AL$6:$AL$505,"○")&gt;0,1,0))</f>
        <v>0</v>
      </c>
      <c r="CI140" s="39" t="n">
        <f aca="false">IF(CI$4=0,0,IF(COUNTIFS(実績!$W$6:$W$505,CI$3,実績!$AI$6:$AI$505,"&lt;="&amp;$A140,実績!$AJ$6:$AJ$505,"&gt;"&amp;$A140,実績!$AL$6:$AL$505,"○")&gt;0,1,0))</f>
        <v>0</v>
      </c>
      <c r="CJ140" s="39" t="n">
        <f aca="false">IF(CJ$4=0,0,IF(COUNTIFS(実績!$W$6:$W$505,CJ$3,実績!$AI$6:$AI$505,"&lt;="&amp;$A140,実績!$AJ$6:$AJ$505,"&gt;"&amp;$A140,実績!$AL$6:$AL$505,"○")&gt;0,1,0))</f>
        <v>0</v>
      </c>
      <c r="CK140" s="39" t="n">
        <f aca="false">IF(CK$4=0,0,IF(COUNTIFS(実績!$W$6:$W$505,CK$3,実績!$AI$6:$AI$505,"&lt;="&amp;$A140,実績!$AJ$6:$AJ$505,"&gt;"&amp;$A140,実績!$AL$6:$AL$505,"○")&gt;0,1,0))</f>
        <v>0</v>
      </c>
      <c r="CL140" s="39" t="n">
        <f aca="false">IF(CL$4=0,0,IF(COUNTIFS(実績!$W$6:$W$505,CL$3,実績!$AI$6:$AI$505,"&lt;="&amp;$A140,実績!$AJ$6:$AJ$505,"&gt;"&amp;$A140,実績!$AL$6:$AL$505,"○")&gt;0,1,0))</f>
        <v>0</v>
      </c>
      <c r="CM140" s="39" t="n">
        <f aca="false">IF(CM$4=0,0,IF(COUNTIFS(実績!$W$6:$W$505,CM$3,実績!$AI$6:$AI$505,"&lt;="&amp;$A140,実績!$AJ$6:$AJ$505,"&gt;"&amp;$A140,実績!$AL$6:$AL$505,"○")&gt;0,1,0))</f>
        <v>0</v>
      </c>
      <c r="CN140" s="39" t="n">
        <f aca="false">IF(CN$4=0,0,IF(COUNTIFS(実績!$W$6:$W$505,CN$3,実績!$AI$6:$AI$505,"&lt;="&amp;$A140,実績!$AJ$6:$AJ$505,"&gt;"&amp;$A140,実績!$AL$6:$AL$505,"○")&gt;0,1,0))</f>
        <v>0</v>
      </c>
      <c r="CO140" s="39" t="n">
        <f aca="false">IF(CO$4=0,0,IF(COUNTIFS(実績!$W$6:$W$505,CO$3,実績!$AI$6:$AI$505,"&lt;="&amp;$A140,実績!$AJ$6:$AJ$505,"&gt;"&amp;$A140,実績!$AL$6:$AL$505,"○")&gt;0,1,0))</f>
        <v>0</v>
      </c>
      <c r="CP140" s="39" t="n">
        <f aca="false">IF(CP$4=0,0,IF(COUNTIFS(実績!$W$6:$W$505,CP$3,実績!$AI$6:$AI$505,"&lt;="&amp;$A140,実績!$AJ$6:$AJ$505,"&gt;"&amp;$A140,実績!$AL$6:$AL$505,"○")&gt;0,1,0))</f>
        <v>0</v>
      </c>
      <c r="CQ140" s="39" t="n">
        <f aca="false">IF(CQ$4=0,0,IF(COUNTIFS(実績!$W$6:$W$505,CQ$3,実績!$AI$6:$AI$505,"&lt;="&amp;$A140,実績!$AJ$6:$AJ$505,"&gt;"&amp;$A140,実績!$AL$6:$AL$505,"○")&gt;0,1,0))</f>
        <v>0</v>
      </c>
      <c r="CR140" s="39" t="n">
        <f aca="false">IF(CR$4=0,0,IF(COUNTIFS(実績!$W$6:$W$505,CR$3,実績!$AI$6:$AI$505,"&lt;="&amp;$A140,実績!$AJ$6:$AJ$505,"&gt;"&amp;$A140,実績!$AL$6:$AL$505,"○")&gt;0,1,0))</f>
        <v>0</v>
      </c>
      <c r="CS140" s="39" t="n">
        <f aca="false">IF(CS$4=0,0,IF(COUNTIFS(実績!$W$6:$W$505,CS$3,実績!$AI$6:$AI$505,"&lt;="&amp;$A140,実績!$AJ$6:$AJ$505,"&gt;"&amp;$A140,実績!$AL$6:$AL$505,"○")&gt;0,1,0))</f>
        <v>0</v>
      </c>
      <c r="CT140" s="39" t="n">
        <f aca="false">IF(CT$4=0,0,IF(COUNTIFS(実績!$W$6:$W$505,CT$3,実績!$AI$6:$AI$505,"&lt;="&amp;$A140,実績!$AJ$6:$AJ$505,"&gt;"&amp;$A140,実績!$AL$6:$AL$505,"○")&gt;0,1,0))</f>
        <v>0</v>
      </c>
      <c r="CU140" s="39" t="n">
        <f aca="false">IF(CU$4=0,0,IF(COUNTIFS(実績!$W$6:$W$505,CU$3,実績!$AI$6:$AI$505,"&lt;="&amp;$A140,実績!$AJ$6:$AJ$505,"&gt;"&amp;$A140,実績!$AL$6:$AL$505,"○")&gt;0,1,0))</f>
        <v>0</v>
      </c>
      <c r="CV140" s="39" t="n">
        <f aca="false">IF(CV$4=0,0,IF(COUNTIFS(実績!$W$6:$W$505,CV$3,実績!$AI$6:$AI$505,"&lt;="&amp;$A140,実績!$AJ$6:$AJ$505,"&gt;"&amp;$A140,実績!$AL$6:$AL$505,"○")&gt;0,1,0))</f>
        <v>0</v>
      </c>
      <c r="CW140" s="39" t="n">
        <f aca="false">IF(CW$4=0,0,IF(COUNTIFS(実績!$W$6:$W$505,CW$3,実績!$AI$6:$AI$505,"&lt;="&amp;$A140,実績!$AJ$6:$AJ$505,"&gt;"&amp;$A140,実績!$AL$6:$AL$505,"○")&gt;0,1,0))</f>
        <v>0</v>
      </c>
      <c r="CX140" s="39" t="n">
        <f aca="false">IF(CX$4=0,0,IF(COUNTIFS(実績!$W$6:$W$505,CX$3,実績!$AI$6:$AI$505,"&lt;="&amp;$A140,実績!$AJ$6:$AJ$505,"&gt;"&amp;$A140,実績!$AL$6:$AL$505,"○")&gt;0,1,0))</f>
        <v>0</v>
      </c>
      <c r="CY140" s="39" t="n">
        <f aca="false">IF(CY$4=0,0,IF(COUNTIFS(実績!$W$6:$W$505,CY$3,実績!$AI$6:$AI$505,"&lt;="&amp;$A140,実績!$AJ$6:$AJ$505,"&gt;"&amp;$A140,実績!$AL$6:$AL$505,"○")&gt;0,1,0))</f>
        <v>0</v>
      </c>
      <c r="CZ140" s="39" t="n">
        <f aca="false">IF(CZ$4=0,0,IF(COUNTIFS(実績!$W$6:$W$505,CZ$3,実績!$AI$6:$AI$505,"&lt;="&amp;$A140,実績!$AJ$6:$AJ$505,"&gt;"&amp;$A140,実績!$AL$6:$AL$505,"○")&gt;0,1,0))</f>
        <v>0</v>
      </c>
      <c r="DA140" s="39" t="n">
        <f aca="false">IF(DA$4=0,0,IF(COUNTIFS(実績!$W$6:$W$505,DA$3,実績!$AI$6:$AI$505,"&lt;="&amp;$A140,実績!$AJ$6:$AJ$505,"&gt;"&amp;$A140,実績!$AL$6:$AL$505,"○")&gt;0,1,0))</f>
        <v>0</v>
      </c>
      <c r="DB140" s="39" t="n">
        <f aca="false">IF(DB$4=0,0,IF(COUNTIFS(実績!$W$6:$W$505,DB$3,実績!$AI$6:$AI$505,"&lt;="&amp;$A140,実績!$AJ$6:$AJ$505,"&gt;"&amp;$A140,実績!$AL$6:$AL$505,"○")&gt;0,1,0))</f>
        <v>0</v>
      </c>
      <c r="DC140" s="39" t="n">
        <f aca="false">IF(DC$4=0,0,IF(COUNTIFS(実績!$W$6:$W$505,DC$3,実績!$AI$6:$AI$505,"&lt;="&amp;$A140,実績!$AJ$6:$AJ$505,"&gt;"&amp;$A140,実績!$AL$6:$AL$505,"○")&gt;0,1,0))</f>
        <v>0</v>
      </c>
      <c r="DD140" s="39" t="n">
        <f aca="false">IF(DD$4=0,0,IF(COUNTIFS(実績!$W$6:$W$505,DD$3,実績!$AI$6:$AI$505,"&lt;="&amp;$A140,実績!$AJ$6:$AJ$505,"&gt;"&amp;$A140,実績!$AL$6:$AL$505,"○")&gt;0,1,0))</f>
        <v>0</v>
      </c>
      <c r="DE140" s="39" t="n">
        <f aca="false">IF(DE$4=0,0,IF(COUNTIFS(実績!$W$6:$W$505,DE$3,実績!$AI$6:$AI$505,"&lt;="&amp;$A140,実績!$AJ$6:$AJ$505,"&gt;"&amp;$A140,実績!$AL$6:$AL$505,"○")&gt;0,1,0))</f>
        <v>0</v>
      </c>
      <c r="DF140" s="39" t="n">
        <f aca="false">IF(DF$4=0,0,IF(COUNTIFS(実績!$W$6:$W$505,DF$3,実績!$AI$6:$AI$505,"&lt;="&amp;$A140,実績!$AJ$6:$AJ$505,"&gt;"&amp;$A140,実績!$AL$6:$AL$505,"○")&gt;0,1,0))</f>
        <v>0</v>
      </c>
      <c r="DG140" s="39" t="n">
        <f aca="false">IF(DG$4=0,0,IF(COUNTIFS(実績!$W$6:$W$505,DG$3,実績!$AI$6:$AI$505,"&lt;="&amp;$A140,実績!$AJ$6:$AJ$505,"&gt;"&amp;$A140,実績!$AL$6:$AL$505,"○")&gt;0,1,0))</f>
        <v>0</v>
      </c>
      <c r="DH140" s="39" t="n">
        <f aca="false">IF(DH$4=0,0,IF(COUNTIFS(実績!$W$6:$W$505,DH$3,実績!$AI$6:$AI$505,"&lt;="&amp;$A140,実績!$AJ$6:$AJ$505,"&gt;"&amp;$A140,実績!$AL$6:$AL$505,"○")&gt;0,1,0))</f>
        <v>0</v>
      </c>
      <c r="DI140" s="39" t="n">
        <f aca="false">IF(DI$4=0,0,IF(COUNTIFS(実績!$W$6:$W$505,DI$3,実績!$AI$6:$AI$505,"&lt;="&amp;$A140,実績!$AJ$6:$AJ$505,"&gt;"&amp;$A140,実績!$AL$6:$AL$505,"○")&gt;0,1,0))</f>
        <v>0</v>
      </c>
      <c r="DJ140" s="39" t="n">
        <f aca="false">IF(DJ$4=0,0,IF(COUNTIFS(実績!$W$6:$W$505,DJ$3,実績!$AI$6:$AI$505,"&lt;="&amp;$A140,実績!$AJ$6:$AJ$505,"&gt;"&amp;$A140,実績!$AL$6:$AL$505,"○")&gt;0,1,0))</f>
        <v>0</v>
      </c>
      <c r="DK140" s="39" t="n">
        <f aca="false">IF(DK$4=0,0,IF(COUNTIFS(実績!$W$6:$W$505,DK$3,実績!$AI$6:$AI$505,"&lt;="&amp;$A140,実績!$AJ$6:$AJ$505,"&gt;"&amp;$A140,実績!$AL$6:$AL$505,"○")&gt;0,1,0))</f>
        <v>0</v>
      </c>
      <c r="DL140" s="39" t="n">
        <f aca="false">IF(DL$4=0,0,IF(COUNTIFS(実績!$W$6:$W$505,DL$3,実績!$AI$6:$AI$505,"&lt;="&amp;$A140,実績!$AJ$6:$AJ$505,"&gt;"&amp;$A140,実績!$AL$6:$AL$505,"○")&gt;0,1,0))</f>
        <v>0</v>
      </c>
      <c r="DM140" s="39" t="n">
        <f aca="false">IF(DM$4=0,0,IF(COUNTIFS(実績!$W$6:$W$505,DM$3,実績!$AI$6:$AI$505,"&lt;="&amp;$A140,実績!$AJ$6:$AJ$505,"&gt;"&amp;$A140,実績!$AL$6:$AL$505,"○")&gt;0,1,0))</f>
        <v>0</v>
      </c>
      <c r="DN140" s="39" t="n">
        <f aca="false">IF(DN$4=0,0,IF(COUNTIFS(実績!$W$6:$W$505,DN$3,実績!$AI$6:$AI$505,"&lt;="&amp;$A140,実績!$AJ$6:$AJ$505,"&gt;"&amp;$A140,実績!$AL$6:$AL$505,"○")&gt;0,1,0))</f>
        <v>0</v>
      </c>
      <c r="DO140" s="39" t="n">
        <f aca="false">IF(DO$4=0,0,IF(COUNTIFS(実績!$W$6:$W$505,DO$3,実績!$AI$6:$AI$505,"&lt;="&amp;$A140,実績!$AJ$6:$AJ$505,"&gt;"&amp;$A140,実績!$AL$6:$AL$505,"○")&gt;0,1,0))</f>
        <v>0</v>
      </c>
      <c r="DP140" s="39" t="n">
        <f aca="false">IF(DP$4=0,0,IF(COUNTIFS(実績!$W$6:$W$505,DP$3,実績!$AI$6:$AI$505,"&lt;="&amp;$A140,実績!$AJ$6:$AJ$505,"&gt;"&amp;$A140,実績!$AL$6:$AL$505,"○")&gt;0,1,0))</f>
        <v>0</v>
      </c>
      <c r="DQ140" s="39" t="n">
        <f aca="false">IF(DQ$4=0,0,IF(COUNTIFS(実績!$W$6:$W$505,DQ$3,実績!$AI$6:$AI$505,"&lt;="&amp;$A140,実績!$AJ$6:$AJ$505,"&gt;"&amp;$A140,実績!$AL$6:$AL$505,"○")&gt;0,1,0))</f>
        <v>0</v>
      </c>
      <c r="DR140" s="39" t="n">
        <f aca="false">IF(DR$4=0,0,IF(COUNTIFS(実績!$W$6:$W$505,DR$3,実績!$AI$6:$AI$505,"&lt;="&amp;$A140,実績!$AJ$6:$AJ$505,"&gt;"&amp;$A140,実績!$AL$6:$AL$505,"○")&gt;0,1,0))</f>
        <v>0</v>
      </c>
      <c r="DS140" s="39" t="n">
        <f aca="false">SUM(C140:DR140)</f>
        <v>0</v>
      </c>
    </row>
    <row r="141" customFormat="false" ht="15" hidden="false" customHeight="false" outlineLevel="0" collapsed="false">
      <c r="A141" s="0" t="n">
        <v>675</v>
      </c>
      <c r="B141" s="38" t="n">
        <f aca="false">A141/1440</f>
        <v>0.46875</v>
      </c>
      <c r="C141" s="39" t="n">
        <f aca="false">IF(C$4=0,0,IF(COUNTIFS(実績!$W$6:$W$505,C$3,実績!$AI$6:$AI$505,"&lt;="&amp;$A141,実績!$AJ$6:$AJ$505,"&gt;"&amp;$A141,実績!$AL$6:$AL$505,"○")&gt;0,1,0))</f>
        <v>0</v>
      </c>
      <c r="D141" s="39" t="n">
        <f aca="false">IF(D$4=0,0,IF(COUNTIFS(実績!$W$6:$W$505,D$3,実績!$AI$6:$AI$505,"&lt;="&amp;$A141,実績!$AJ$6:$AJ$505,"&gt;"&amp;$A141,実績!$AL$6:$AL$505,"○")&gt;0,1,0))</f>
        <v>0</v>
      </c>
      <c r="E141" s="39" t="n">
        <f aca="false">IF(E$4=0,0,IF(COUNTIFS(実績!$W$6:$W$505,E$3,実績!$AI$6:$AI$505,"&lt;="&amp;$A141,実績!$AJ$6:$AJ$505,"&gt;"&amp;$A141,実績!$AL$6:$AL$505,"○")&gt;0,1,0))</f>
        <v>0</v>
      </c>
      <c r="F141" s="39" t="n">
        <f aca="false">IF(F$4=0,0,IF(COUNTIFS(実績!$W$6:$W$505,F$3,実績!$AI$6:$AI$505,"&lt;="&amp;$A141,実績!$AJ$6:$AJ$505,"&gt;"&amp;$A141,実績!$AL$6:$AL$505,"○")&gt;0,1,0))</f>
        <v>0</v>
      </c>
      <c r="G141" s="39" t="n">
        <f aca="false">IF(G$4=0,0,IF(COUNTIFS(実績!$W$6:$W$505,G$3,実績!$AI$6:$AI$505,"&lt;="&amp;$A141,実績!$AJ$6:$AJ$505,"&gt;"&amp;$A141,実績!$AL$6:$AL$505,"○")&gt;0,1,0))</f>
        <v>0</v>
      </c>
      <c r="H141" s="39" t="n">
        <f aca="false">IF(H$4=0,0,IF(COUNTIFS(実績!$W$6:$W$505,H$3,実績!$AI$6:$AI$505,"&lt;="&amp;$A141,実績!$AJ$6:$AJ$505,"&gt;"&amp;$A141,実績!$AL$6:$AL$505,"○")&gt;0,1,0))</f>
        <v>0</v>
      </c>
      <c r="I141" s="39" t="n">
        <f aca="false">IF(I$4=0,0,IF(COUNTIFS(実績!$W$6:$W$505,I$3,実績!$AI$6:$AI$505,"&lt;="&amp;$A141,実績!$AJ$6:$AJ$505,"&gt;"&amp;$A141,実績!$AL$6:$AL$505,"○")&gt;0,1,0))</f>
        <v>0</v>
      </c>
      <c r="J141" s="39" t="n">
        <f aca="false">IF(J$4=0,0,IF(COUNTIFS(実績!$W$6:$W$505,J$3,実績!$AI$6:$AI$505,"&lt;="&amp;$A141,実績!$AJ$6:$AJ$505,"&gt;"&amp;$A141,実績!$AL$6:$AL$505,"○")&gt;0,1,0))</f>
        <v>0</v>
      </c>
      <c r="K141" s="39" t="n">
        <f aca="false">IF(K$4=0,0,IF(COUNTIFS(実績!$W$6:$W$505,K$3,実績!$AI$6:$AI$505,"&lt;="&amp;$A141,実績!$AJ$6:$AJ$505,"&gt;"&amp;$A141,実績!$AL$6:$AL$505,"○")&gt;0,1,0))</f>
        <v>0</v>
      </c>
      <c r="L141" s="39" t="n">
        <f aca="false">IF(L$4=0,0,IF(COUNTIFS(実績!$W$6:$W$505,L$3,実績!$AI$6:$AI$505,"&lt;="&amp;$A141,実績!$AJ$6:$AJ$505,"&gt;"&amp;$A141,実績!$AL$6:$AL$505,"○")&gt;0,1,0))</f>
        <v>0</v>
      </c>
      <c r="M141" s="39" t="n">
        <f aca="false">IF(M$4=0,0,IF(COUNTIFS(実績!$W$6:$W$505,M$3,実績!$AI$6:$AI$505,"&lt;="&amp;$A141,実績!$AJ$6:$AJ$505,"&gt;"&amp;$A141,実績!$AL$6:$AL$505,"○")&gt;0,1,0))</f>
        <v>0</v>
      </c>
      <c r="N141" s="39" t="n">
        <f aca="false">IF(N$4=0,0,IF(COUNTIFS(実績!$W$6:$W$505,N$3,実績!$AI$6:$AI$505,"&lt;="&amp;$A141,実績!$AJ$6:$AJ$505,"&gt;"&amp;$A141,実績!$AL$6:$AL$505,"○")&gt;0,1,0))</f>
        <v>0</v>
      </c>
      <c r="O141" s="39" t="n">
        <f aca="false">IF(O$4=0,0,IF(COUNTIFS(実績!$W$6:$W$505,O$3,実績!$AI$6:$AI$505,"&lt;="&amp;$A141,実績!$AJ$6:$AJ$505,"&gt;"&amp;$A141,実績!$AL$6:$AL$505,"○")&gt;0,1,0))</f>
        <v>0</v>
      </c>
      <c r="P141" s="39" t="n">
        <f aca="false">IF(P$4=0,0,IF(COUNTIFS(実績!$W$6:$W$505,P$3,実績!$AI$6:$AI$505,"&lt;="&amp;$A141,実績!$AJ$6:$AJ$505,"&gt;"&amp;$A141,実績!$AL$6:$AL$505,"○")&gt;0,1,0))</f>
        <v>0</v>
      </c>
      <c r="Q141" s="39" t="n">
        <f aca="false">IF(Q$4=0,0,IF(COUNTIFS(実績!$W$6:$W$505,Q$3,実績!$AI$6:$AI$505,"&lt;="&amp;$A141,実績!$AJ$6:$AJ$505,"&gt;"&amp;$A141,実績!$AL$6:$AL$505,"○")&gt;0,1,0))</f>
        <v>0</v>
      </c>
      <c r="R141" s="39" t="n">
        <f aca="false">IF(R$4=0,0,IF(COUNTIFS(実績!$W$6:$W$505,R$3,実績!$AI$6:$AI$505,"&lt;="&amp;$A141,実績!$AJ$6:$AJ$505,"&gt;"&amp;$A141,実績!$AL$6:$AL$505,"○")&gt;0,1,0))</f>
        <v>0</v>
      </c>
      <c r="S141" s="39" t="n">
        <f aca="false">IF(S$4=0,0,IF(COUNTIFS(実績!$W$6:$W$505,S$3,実績!$AI$6:$AI$505,"&lt;="&amp;$A141,実績!$AJ$6:$AJ$505,"&gt;"&amp;$A141,実績!$AL$6:$AL$505,"○")&gt;0,1,0))</f>
        <v>0</v>
      </c>
      <c r="T141" s="39" t="n">
        <f aca="false">IF(T$4=0,0,IF(COUNTIFS(実績!$W$6:$W$505,T$3,実績!$AI$6:$AI$505,"&lt;="&amp;$A141,実績!$AJ$6:$AJ$505,"&gt;"&amp;$A141,実績!$AL$6:$AL$505,"○")&gt;0,1,0))</f>
        <v>0</v>
      </c>
      <c r="U141" s="39" t="n">
        <f aca="false">IF(U$4=0,0,IF(COUNTIFS(実績!$W$6:$W$505,U$3,実績!$AI$6:$AI$505,"&lt;="&amp;$A141,実績!$AJ$6:$AJ$505,"&gt;"&amp;$A141,実績!$AL$6:$AL$505,"○")&gt;0,1,0))</f>
        <v>0</v>
      </c>
      <c r="V141" s="39" t="n">
        <f aca="false">IF(V$4=0,0,IF(COUNTIFS(実績!$W$6:$W$505,V$3,実績!$AI$6:$AI$505,"&lt;="&amp;$A141,実績!$AJ$6:$AJ$505,"&gt;"&amp;$A141,実績!$AL$6:$AL$505,"○")&gt;0,1,0))</f>
        <v>0</v>
      </c>
      <c r="W141" s="39" t="n">
        <f aca="false">IF(W$4=0,0,IF(COUNTIFS(実績!$W$6:$W$505,W$3,実績!$AI$6:$AI$505,"&lt;="&amp;$A141,実績!$AJ$6:$AJ$505,"&gt;"&amp;$A141,実績!$AL$6:$AL$505,"○")&gt;0,1,0))</f>
        <v>0</v>
      </c>
      <c r="X141" s="39" t="n">
        <f aca="false">IF(X$4=0,0,IF(COUNTIFS(実績!$W$6:$W$505,X$3,実績!$AI$6:$AI$505,"&lt;="&amp;$A141,実績!$AJ$6:$AJ$505,"&gt;"&amp;$A141,実績!$AL$6:$AL$505,"○")&gt;0,1,0))</f>
        <v>0</v>
      </c>
      <c r="Y141" s="39" t="n">
        <f aca="false">IF(Y$4=0,0,IF(COUNTIFS(実績!$W$6:$W$505,Y$3,実績!$AI$6:$AI$505,"&lt;="&amp;$A141,実績!$AJ$6:$AJ$505,"&gt;"&amp;$A141,実績!$AL$6:$AL$505,"○")&gt;0,1,0))</f>
        <v>0</v>
      </c>
      <c r="Z141" s="39" t="n">
        <f aca="false">IF(Z$4=0,0,IF(COUNTIFS(実績!$W$6:$W$505,Z$3,実績!$AI$6:$AI$505,"&lt;="&amp;$A141,実績!$AJ$6:$AJ$505,"&gt;"&amp;$A141,実績!$AL$6:$AL$505,"○")&gt;0,1,0))</f>
        <v>0</v>
      </c>
      <c r="AA141" s="39" t="n">
        <f aca="false">IF(AA$4=0,0,IF(COUNTIFS(実績!$W$6:$W$505,AA$3,実績!$AI$6:$AI$505,"&lt;="&amp;$A141,実績!$AJ$6:$AJ$505,"&gt;"&amp;$A141,実績!$AL$6:$AL$505,"○")&gt;0,1,0))</f>
        <v>0</v>
      </c>
      <c r="AB141" s="39" t="n">
        <f aca="false">IF(AB$4=0,0,IF(COUNTIFS(実績!$W$6:$W$505,AB$3,実績!$AI$6:$AI$505,"&lt;="&amp;$A141,実績!$AJ$6:$AJ$505,"&gt;"&amp;$A141,実績!$AL$6:$AL$505,"○")&gt;0,1,0))</f>
        <v>0</v>
      </c>
      <c r="AC141" s="39" t="n">
        <f aca="false">IF(AC$4=0,0,IF(COUNTIFS(実績!$W$6:$W$505,AC$3,実績!$AI$6:$AI$505,"&lt;="&amp;$A141,実績!$AJ$6:$AJ$505,"&gt;"&amp;$A141,実績!$AL$6:$AL$505,"○")&gt;0,1,0))</f>
        <v>0</v>
      </c>
      <c r="AD141" s="39" t="n">
        <f aca="false">IF(AD$4=0,0,IF(COUNTIFS(実績!$W$6:$W$505,AD$3,実績!$AI$6:$AI$505,"&lt;="&amp;$A141,実績!$AJ$6:$AJ$505,"&gt;"&amp;$A141,実績!$AL$6:$AL$505,"○")&gt;0,1,0))</f>
        <v>0</v>
      </c>
      <c r="AE141" s="39" t="n">
        <f aca="false">IF(AE$4=0,0,IF(COUNTIFS(実績!$W$6:$W$505,AE$3,実績!$AI$6:$AI$505,"&lt;="&amp;$A141,実績!$AJ$6:$AJ$505,"&gt;"&amp;$A141,実績!$AL$6:$AL$505,"○")&gt;0,1,0))</f>
        <v>0</v>
      </c>
      <c r="AF141" s="39" t="n">
        <f aca="false">IF(AF$4=0,0,IF(COUNTIFS(実績!$W$6:$W$505,AF$3,実績!$AI$6:$AI$505,"&lt;="&amp;$A141,実績!$AJ$6:$AJ$505,"&gt;"&amp;$A141,実績!$AL$6:$AL$505,"○")&gt;0,1,0))</f>
        <v>0</v>
      </c>
      <c r="AG141" s="39" t="n">
        <f aca="false">IF(AG$4=0,0,IF(COUNTIFS(実績!$W$6:$W$505,AG$3,実績!$AI$6:$AI$505,"&lt;="&amp;$A141,実績!$AJ$6:$AJ$505,"&gt;"&amp;$A141,実績!$AL$6:$AL$505,"○")&gt;0,1,0))</f>
        <v>0</v>
      </c>
      <c r="AH141" s="39" t="n">
        <f aca="false">IF(AH$4=0,0,IF(COUNTIFS(実績!$W$6:$W$505,AH$3,実績!$AI$6:$AI$505,"&lt;="&amp;$A141,実績!$AJ$6:$AJ$505,"&gt;"&amp;$A141,実績!$AL$6:$AL$505,"○")&gt;0,1,0))</f>
        <v>0</v>
      </c>
      <c r="AI141" s="39" t="n">
        <f aca="false">IF(AI$4=0,0,IF(COUNTIFS(実績!$W$6:$W$505,AI$3,実績!$AI$6:$AI$505,"&lt;="&amp;$A141,実績!$AJ$6:$AJ$505,"&gt;"&amp;$A141,実績!$AL$6:$AL$505,"○")&gt;0,1,0))</f>
        <v>0</v>
      </c>
      <c r="AJ141" s="39" t="n">
        <f aca="false">IF(AJ$4=0,0,IF(COUNTIFS(実績!$W$6:$W$505,AJ$3,実績!$AI$6:$AI$505,"&lt;="&amp;$A141,実績!$AJ$6:$AJ$505,"&gt;"&amp;$A141,実績!$AL$6:$AL$505,"○")&gt;0,1,0))</f>
        <v>0</v>
      </c>
      <c r="AK141" s="39" t="n">
        <f aca="false">IF(AK$4=0,0,IF(COUNTIFS(実績!$W$6:$W$505,AK$3,実績!$AI$6:$AI$505,"&lt;="&amp;$A141,実績!$AJ$6:$AJ$505,"&gt;"&amp;$A141,実績!$AL$6:$AL$505,"○")&gt;0,1,0))</f>
        <v>0</v>
      </c>
      <c r="AL141" s="39" t="n">
        <f aca="false">IF(AL$4=0,0,IF(COUNTIFS(実績!$W$6:$W$505,AL$3,実績!$AI$6:$AI$505,"&lt;="&amp;$A141,実績!$AJ$6:$AJ$505,"&gt;"&amp;$A141,実績!$AL$6:$AL$505,"○")&gt;0,1,0))</f>
        <v>0</v>
      </c>
      <c r="AM141" s="39" t="n">
        <f aca="false">IF(AM$4=0,0,IF(COUNTIFS(実績!$W$6:$W$505,AM$3,実績!$AI$6:$AI$505,"&lt;="&amp;$A141,実績!$AJ$6:$AJ$505,"&gt;"&amp;$A141,実績!$AL$6:$AL$505,"○")&gt;0,1,0))</f>
        <v>0</v>
      </c>
      <c r="AN141" s="39" t="n">
        <f aca="false">IF(AN$4=0,0,IF(COUNTIFS(実績!$W$6:$W$505,AN$3,実績!$AI$6:$AI$505,"&lt;="&amp;$A141,実績!$AJ$6:$AJ$505,"&gt;"&amp;$A141,実績!$AL$6:$AL$505,"○")&gt;0,1,0))</f>
        <v>0</v>
      </c>
      <c r="AO141" s="39" t="n">
        <f aca="false">IF(AO$4=0,0,IF(COUNTIFS(実績!$W$6:$W$505,AO$3,実績!$AI$6:$AI$505,"&lt;="&amp;$A141,実績!$AJ$6:$AJ$505,"&gt;"&amp;$A141,実績!$AL$6:$AL$505,"○")&gt;0,1,0))</f>
        <v>0</v>
      </c>
      <c r="AP141" s="39" t="n">
        <f aca="false">IF(AP$4=0,0,IF(COUNTIFS(実績!$W$6:$W$505,AP$3,実績!$AI$6:$AI$505,"&lt;="&amp;$A141,実績!$AJ$6:$AJ$505,"&gt;"&amp;$A141,実績!$AL$6:$AL$505,"○")&gt;0,1,0))</f>
        <v>0</v>
      </c>
      <c r="AQ141" s="39" t="n">
        <f aca="false">IF(AQ$4=0,0,IF(COUNTIFS(実績!$W$6:$W$505,AQ$3,実績!$AI$6:$AI$505,"&lt;="&amp;$A141,実績!$AJ$6:$AJ$505,"&gt;"&amp;$A141,実績!$AL$6:$AL$505,"○")&gt;0,1,0))</f>
        <v>0</v>
      </c>
      <c r="AR141" s="39" t="n">
        <f aca="false">IF(AR$4=0,0,IF(COUNTIFS(実績!$W$6:$W$505,AR$3,実績!$AI$6:$AI$505,"&lt;="&amp;$A141,実績!$AJ$6:$AJ$505,"&gt;"&amp;$A141,実績!$AL$6:$AL$505,"○")&gt;0,1,0))</f>
        <v>0</v>
      </c>
      <c r="AS141" s="39" t="n">
        <f aca="false">IF(AS$4=0,0,IF(COUNTIFS(実績!$W$6:$W$505,AS$3,実績!$AI$6:$AI$505,"&lt;="&amp;$A141,実績!$AJ$6:$AJ$505,"&gt;"&amp;$A141,実績!$AL$6:$AL$505,"○")&gt;0,1,0))</f>
        <v>0</v>
      </c>
      <c r="AT141" s="39" t="n">
        <f aca="false">IF(AT$4=0,0,IF(COUNTIFS(実績!$W$6:$W$505,AT$3,実績!$AI$6:$AI$505,"&lt;="&amp;$A141,実績!$AJ$6:$AJ$505,"&gt;"&amp;$A141,実績!$AL$6:$AL$505,"○")&gt;0,1,0))</f>
        <v>0</v>
      </c>
      <c r="AU141" s="39" t="n">
        <f aca="false">IF(AU$4=0,0,IF(COUNTIFS(実績!$W$6:$W$505,AU$3,実績!$AI$6:$AI$505,"&lt;="&amp;$A141,実績!$AJ$6:$AJ$505,"&gt;"&amp;$A141,実績!$AL$6:$AL$505,"○")&gt;0,1,0))</f>
        <v>0</v>
      </c>
      <c r="AV141" s="39" t="n">
        <f aca="false">IF(AV$4=0,0,IF(COUNTIFS(実績!$W$6:$W$505,AV$3,実績!$AI$6:$AI$505,"&lt;="&amp;$A141,実績!$AJ$6:$AJ$505,"&gt;"&amp;$A141,実績!$AL$6:$AL$505,"○")&gt;0,1,0))</f>
        <v>0</v>
      </c>
      <c r="AW141" s="39" t="n">
        <f aca="false">IF(AW$4=0,0,IF(COUNTIFS(実績!$W$6:$W$505,AW$3,実績!$AI$6:$AI$505,"&lt;="&amp;$A141,実績!$AJ$6:$AJ$505,"&gt;"&amp;$A141,実績!$AL$6:$AL$505,"○")&gt;0,1,0))</f>
        <v>0</v>
      </c>
      <c r="AX141" s="39" t="n">
        <f aca="false">IF(AX$4=0,0,IF(COUNTIFS(実績!$W$6:$W$505,AX$3,実績!$AI$6:$AI$505,"&lt;="&amp;$A141,実績!$AJ$6:$AJ$505,"&gt;"&amp;$A141,実績!$AL$6:$AL$505,"○")&gt;0,1,0))</f>
        <v>0</v>
      </c>
      <c r="AY141" s="39" t="n">
        <f aca="false">IF(AY$4=0,0,IF(COUNTIFS(実績!$W$6:$W$505,AY$3,実績!$AI$6:$AI$505,"&lt;="&amp;$A141,実績!$AJ$6:$AJ$505,"&gt;"&amp;$A141,実績!$AL$6:$AL$505,"○")&gt;0,1,0))</f>
        <v>0</v>
      </c>
      <c r="AZ141" s="39" t="n">
        <f aca="false">IF(AZ$4=0,0,IF(COUNTIFS(実績!$W$6:$W$505,AZ$3,実績!$AI$6:$AI$505,"&lt;="&amp;$A141,実績!$AJ$6:$AJ$505,"&gt;"&amp;$A141,実績!$AL$6:$AL$505,"○")&gt;0,1,0))</f>
        <v>0</v>
      </c>
      <c r="BA141" s="39" t="n">
        <f aca="false">IF(BA$4=0,0,IF(COUNTIFS(実績!$W$6:$W$505,BA$3,実績!$AI$6:$AI$505,"&lt;="&amp;$A141,実績!$AJ$6:$AJ$505,"&gt;"&amp;$A141,実績!$AL$6:$AL$505,"○")&gt;0,1,0))</f>
        <v>0</v>
      </c>
      <c r="BB141" s="39" t="n">
        <f aca="false">IF(BB$4=0,0,IF(COUNTIFS(実績!$W$6:$W$505,BB$3,実績!$AI$6:$AI$505,"&lt;="&amp;$A141,実績!$AJ$6:$AJ$505,"&gt;"&amp;$A141,実績!$AL$6:$AL$505,"○")&gt;0,1,0))</f>
        <v>0</v>
      </c>
      <c r="BC141" s="39" t="n">
        <f aca="false">IF(BC$4=0,0,IF(COUNTIFS(実績!$W$6:$W$505,BC$3,実績!$AI$6:$AI$505,"&lt;="&amp;$A141,実績!$AJ$6:$AJ$505,"&gt;"&amp;$A141,実績!$AL$6:$AL$505,"○")&gt;0,1,0))</f>
        <v>0</v>
      </c>
      <c r="BD141" s="39" t="n">
        <f aca="false">IF(BD$4=0,0,IF(COUNTIFS(実績!$W$6:$W$505,BD$3,実績!$AI$6:$AI$505,"&lt;="&amp;$A141,実績!$AJ$6:$AJ$505,"&gt;"&amp;$A141,実績!$AL$6:$AL$505,"○")&gt;0,1,0))</f>
        <v>0</v>
      </c>
      <c r="BE141" s="39" t="n">
        <f aca="false">IF(BE$4=0,0,IF(COUNTIFS(実績!$W$6:$W$505,BE$3,実績!$AI$6:$AI$505,"&lt;="&amp;$A141,実績!$AJ$6:$AJ$505,"&gt;"&amp;$A141,実績!$AL$6:$AL$505,"○")&gt;0,1,0))</f>
        <v>0</v>
      </c>
      <c r="BF141" s="39" t="n">
        <f aca="false">IF(BF$4=0,0,IF(COUNTIFS(実績!$W$6:$W$505,BF$3,実績!$AI$6:$AI$505,"&lt;="&amp;$A141,実績!$AJ$6:$AJ$505,"&gt;"&amp;$A141,実績!$AL$6:$AL$505,"○")&gt;0,1,0))</f>
        <v>0</v>
      </c>
      <c r="BG141" s="39" t="n">
        <f aca="false">IF(BG$4=0,0,IF(COUNTIFS(実績!$W$6:$W$505,BG$3,実績!$AI$6:$AI$505,"&lt;="&amp;$A141,実績!$AJ$6:$AJ$505,"&gt;"&amp;$A141,実績!$AL$6:$AL$505,"○")&gt;0,1,0))</f>
        <v>0</v>
      </c>
      <c r="BH141" s="39" t="n">
        <f aca="false">IF(BH$4=0,0,IF(COUNTIFS(実績!$W$6:$W$505,BH$3,実績!$AI$6:$AI$505,"&lt;="&amp;$A141,実績!$AJ$6:$AJ$505,"&gt;"&amp;$A141,実績!$AL$6:$AL$505,"○")&gt;0,1,0))</f>
        <v>0</v>
      </c>
      <c r="BI141" s="39" t="n">
        <f aca="false">IF(BI$4=0,0,IF(COUNTIFS(実績!$W$6:$W$505,BI$3,実績!$AI$6:$AI$505,"&lt;="&amp;$A141,実績!$AJ$6:$AJ$505,"&gt;"&amp;$A141,実績!$AL$6:$AL$505,"○")&gt;0,1,0))</f>
        <v>0</v>
      </c>
      <c r="BJ141" s="39" t="n">
        <f aca="false">IF(BJ$4=0,0,IF(COUNTIFS(実績!$W$6:$W$505,BJ$3,実績!$AI$6:$AI$505,"&lt;="&amp;$A141,実績!$AJ$6:$AJ$505,"&gt;"&amp;$A141,実績!$AL$6:$AL$505,"○")&gt;0,1,0))</f>
        <v>0</v>
      </c>
      <c r="BK141" s="39" t="n">
        <f aca="false">IF(BK$4=0,0,IF(COUNTIFS(実績!$W$6:$W$505,BK$3,実績!$AI$6:$AI$505,"&lt;="&amp;$A141,実績!$AJ$6:$AJ$505,"&gt;"&amp;$A141,実績!$AL$6:$AL$505,"○")&gt;0,1,0))</f>
        <v>0</v>
      </c>
      <c r="BL141" s="39" t="n">
        <f aca="false">IF(BL$4=0,0,IF(COUNTIFS(実績!$W$6:$W$505,BL$3,実績!$AI$6:$AI$505,"&lt;="&amp;$A141,実績!$AJ$6:$AJ$505,"&gt;"&amp;$A141,実績!$AL$6:$AL$505,"○")&gt;0,1,0))</f>
        <v>0</v>
      </c>
      <c r="BM141" s="39" t="n">
        <f aca="false">IF(BM$4=0,0,IF(COUNTIFS(実績!$W$6:$W$505,BM$3,実績!$AI$6:$AI$505,"&lt;="&amp;$A141,実績!$AJ$6:$AJ$505,"&gt;"&amp;$A141,実績!$AL$6:$AL$505,"○")&gt;0,1,0))</f>
        <v>0</v>
      </c>
      <c r="BN141" s="39" t="n">
        <f aca="false">IF(BN$4=0,0,IF(COUNTIFS(実績!$W$6:$W$505,BN$3,実績!$AI$6:$AI$505,"&lt;="&amp;$A141,実績!$AJ$6:$AJ$505,"&gt;"&amp;$A141,実績!$AL$6:$AL$505,"○")&gt;0,1,0))</f>
        <v>0</v>
      </c>
      <c r="BO141" s="39" t="n">
        <f aca="false">IF(BO$4=0,0,IF(COUNTIFS(実績!$W$6:$W$505,BO$3,実績!$AI$6:$AI$505,"&lt;="&amp;$A141,実績!$AJ$6:$AJ$505,"&gt;"&amp;$A141,実績!$AL$6:$AL$505,"○")&gt;0,1,0))</f>
        <v>0</v>
      </c>
      <c r="BP141" s="39" t="n">
        <f aca="false">IF(BP$4=0,0,IF(COUNTIFS(実績!$W$6:$W$505,BP$3,実績!$AI$6:$AI$505,"&lt;="&amp;$A141,実績!$AJ$6:$AJ$505,"&gt;"&amp;$A141,実績!$AL$6:$AL$505,"○")&gt;0,1,0))</f>
        <v>0</v>
      </c>
      <c r="BQ141" s="39" t="n">
        <f aca="false">IF(BQ$4=0,0,IF(COUNTIFS(実績!$W$6:$W$505,BQ$3,実績!$AI$6:$AI$505,"&lt;="&amp;$A141,実績!$AJ$6:$AJ$505,"&gt;"&amp;$A141,実績!$AL$6:$AL$505,"○")&gt;0,1,0))</f>
        <v>0</v>
      </c>
      <c r="BR141" s="39" t="n">
        <f aca="false">IF(BR$4=0,0,IF(COUNTIFS(実績!$W$6:$W$505,BR$3,実績!$AI$6:$AI$505,"&lt;="&amp;$A141,実績!$AJ$6:$AJ$505,"&gt;"&amp;$A141,実績!$AL$6:$AL$505,"○")&gt;0,1,0))</f>
        <v>0</v>
      </c>
      <c r="BS141" s="39" t="n">
        <f aca="false">IF(BS$4=0,0,IF(COUNTIFS(実績!$W$6:$W$505,BS$3,実績!$AI$6:$AI$505,"&lt;="&amp;$A141,実績!$AJ$6:$AJ$505,"&gt;"&amp;$A141,実績!$AL$6:$AL$505,"○")&gt;0,1,0))</f>
        <v>0</v>
      </c>
      <c r="BT141" s="39" t="n">
        <f aca="false">IF(BT$4=0,0,IF(COUNTIFS(実績!$W$6:$W$505,BT$3,実績!$AI$6:$AI$505,"&lt;="&amp;$A141,実績!$AJ$6:$AJ$505,"&gt;"&amp;$A141,実績!$AL$6:$AL$505,"○")&gt;0,1,0))</f>
        <v>0</v>
      </c>
      <c r="BU141" s="39" t="n">
        <f aca="false">IF(BU$4=0,0,IF(COUNTIFS(実績!$W$6:$W$505,BU$3,実績!$AI$6:$AI$505,"&lt;="&amp;$A141,実績!$AJ$6:$AJ$505,"&gt;"&amp;$A141,実績!$AL$6:$AL$505,"○")&gt;0,1,0))</f>
        <v>0</v>
      </c>
      <c r="BV141" s="39" t="n">
        <f aca="false">IF(BV$4=0,0,IF(COUNTIFS(実績!$W$6:$W$505,BV$3,実績!$AI$6:$AI$505,"&lt;="&amp;$A141,実績!$AJ$6:$AJ$505,"&gt;"&amp;$A141,実績!$AL$6:$AL$505,"○")&gt;0,1,0))</f>
        <v>0</v>
      </c>
      <c r="BW141" s="39" t="n">
        <f aca="false">IF(BW$4=0,0,IF(COUNTIFS(実績!$W$6:$W$505,BW$3,実績!$AI$6:$AI$505,"&lt;="&amp;$A141,実績!$AJ$6:$AJ$505,"&gt;"&amp;$A141,実績!$AL$6:$AL$505,"○")&gt;0,1,0))</f>
        <v>0</v>
      </c>
      <c r="BX141" s="39" t="n">
        <f aca="false">IF(BX$4=0,0,IF(COUNTIFS(実績!$W$6:$W$505,BX$3,実績!$AI$6:$AI$505,"&lt;="&amp;$A141,実績!$AJ$6:$AJ$505,"&gt;"&amp;$A141,実績!$AL$6:$AL$505,"○")&gt;0,1,0))</f>
        <v>0</v>
      </c>
      <c r="BY141" s="39" t="n">
        <f aca="false">IF(BY$4=0,0,IF(COUNTIFS(実績!$W$6:$W$505,BY$3,実績!$AI$6:$AI$505,"&lt;="&amp;$A141,実績!$AJ$6:$AJ$505,"&gt;"&amp;$A141,実績!$AL$6:$AL$505,"○")&gt;0,1,0))</f>
        <v>0</v>
      </c>
      <c r="BZ141" s="39" t="n">
        <f aca="false">IF(BZ$4=0,0,IF(COUNTIFS(実績!$W$6:$W$505,BZ$3,実績!$AI$6:$AI$505,"&lt;="&amp;$A141,実績!$AJ$6:$AJ$505,"&gt;"&amp;$A141,実績!$AL$6:$AL$505,"○")&gt;0,1,0))</f>
        <v>0</v>
      </c>
      <c r="CA141" s="39" t="n">
        <f aca="false">IF(CA$4=0,0,IF(COUNTIFS(実績!$W$6:$W$505,CA$3,実績!$AI$6:$AI$505,"&lt;="&amp;$A141,実績!$AJ$6:$AJ$505,"&gt;"&amp;$A141,実績!$AL$6:$AL$505,"○")&gt;0,1,0))</f>
        <v>0</v>
      </c>
      <c r="CB141" s="39" t="n">
        <f aca="false">IF(CB$4=0,0,IF(COUNTIFS(実績!$W$6:$W$505,CB$3,実績!$AI$6:$AI$505,"&lt;="&amp;$A141,実績!$AJ$6:$AJ$505,"&gt;"&amp;$A141,実績!$AL$6:$AL$505,"○")&gt;0,1,0))</f>
        <v>0</v>
      </c>
      <c r="CC141" s="39" t="n">
        <f aca="false">IF(CC$4=0,0,IF(COUNTIFS(実績!$W$6:$W$505,CC$3,実績!$AI$6:$AI$505,"&lt;="&amp;$A141,実績!$AJ$6:$AJ$505,"&gt;"&amp;$A141,実績!$AL$6:$AL$505,"○")&gt;0,1,0))</f>
        <v>0</v>
      </c>
      <c r="CD141" s="39" t="n">
        <f aca="false">IF(CD$4=0,0,IF(COUNTIFS(実績!$W$6:$W$505,CD$3,実績!$AI$6:$AI$505,"&lt;="&amp;$A141,実績!$AJ$6:$AJ$505,"&gt;"&amp;$A141,実績!$AL$6:$AL$505,"○")&gt;0,1,0))</f>
        <v>0</v>
      </c>
      <c r="CE141" s="39" t="n">
        <f aca="false">IF(CE$4=0,0,IF(COUNTIFS(実績!$W$6:$W$505,CE$3,実績!$AI$6:$AI$505,"&lt;="&amp;$A141,実績!$AJ$6:$AJ$505,"&gt;"&amp;$A141,実績!$AL$6:$AL$505,"○")&gt;0,1,0))</f>
        <v>0</v>
      </c>
      <c r="CF141" s="39" t="n">
        <f aca="false">IF(CF$4=0,0,IF(COUNTIFS(実績!$W$6:$W$505,CF$3,実績!$AI$6:$AI$505,"&lt;="&amp;$A141,実績!$AJ$6:$AJ$505,"&gt;"&amp;$A141,実績!$AL$6:$AL$505,"○")&gt;0,1,0))</f>
        <v>0</v>
      </c>
      <c r="CG141" s="39" t="n">
        <f aca="false">IF(CG$4=0,0,IF(COUNTIFS(実績!$W$6:$W$505,CG$3,実績!$AI$6:$AI$505,"&lt;="&amp;$A141,実績!$AJ$6:$AJ$505,"&gt;"&amp;$A141,実績!$AL$6:$AL$505,"○")&gt;0,1,0))</f>
        <v>0</v>
      </c>
      <c r="CH141" s="39" t="n">
        <f aca="false">IF(CH$4=0,0,IF(COUNTIFS(実績!$W$6:$W$505,CH$3,実績!$AI$6:$AI$505,"&lt;="&amp;$A141,実績!$AJ$6:$AJ$505,"&gt;"&amp;$A141,実績!$AL$6:$AL$505,"○")&gt;0,1,0))</f>
        <v>0</v>
      </c>
      <c r="CI141" s="39" t="n">
        <f aca="false">IF(CI$4=0,0,IF(COUNTIFS(実績!$W$6:$W$505,CI$3,実績!$AI$6:$AI$505,"&lt;="&amp;$A141,実績!$AJ$6:$AJ$505,"&gt;"&amp;$A141,実績!$AL$6:$AL$505,"○")&gt;0,1,0))</f>
        <v>0</v>
      </c>
      <c r="CJ141" s="39" t="n">
        <f aca="false">IF(CJ$4=0,0,IF(COUNTIFS(実績!$W$6:$W$505,CJ$3,実績!$AI$6:$AI$505,"&lt;="&amp;$A141,実績!$AJ$6:$AJ$505,"&gt;"&amp;$A141,実績!$AL$6:$AL$505,"○")&gt;0,1,0))</f>
        <v>0</v>
      </c>
      <c r="CK141" s="39" t="n">
        <f aca="false">IF(CK$4=0,0,IF(COUNTIFS(実績!$W$6:$W$505,CK$3,実績!$AI$6:$AI$505,"&lt;="&amp;$A141,実績!$AJ$6:$AJ$505,"&gt;"&amp;$A141,実績!$AL$6:$AL$505,"○")&gt;0,1,0))</f>
        <v>0</v>
      </c>
      <c r="CL141" s="39" t="n">
        <f aca="false">IF(CL$4=0,0,IF(COUNTIFS(実績!$W$6:$W$505,CL$3,実績!$AI$6:$AI$505,"&lt;="&amp;$A141,実績!$AJ$6:$AJ$505,"&gt;"&amp;$A141,実績!$AL$6:$AL$505,"○")&gt;0,1,0))</f>
        <v>0</v>
      </c>
      <c r="CM141" s="39" t="n">
        <f aca="false">IF(CM$4=0,0,IF(COUNTIFS(実績!$W$6:$W$505,CM$3,実績!$AI$6:$AI$505,"&lt;="&amp;$A141,実績!$AJ$6:$AJ$505,"&gt;"&amp;$A141,実績!$AL$6:$AL$505,"○")&gt;0,1,0))</f>
        <v>0</v>
      </c>
      <c r="CN141" s="39" t="n">
        <f aca="false">IF(CN$4=0,0,IF(COUNTIFS(実績!$W$6:$W$505,CN$3,実績!$AI$6:$AI$505,"&lt;="&amp;$A141,実績!$AJ$6:$AJ$505,"&gt;"&amp;$A141,実績!$AL$6:$AL$505,"○")&gt;0,1,0))</f>
        <v>0</v>
      </c>
      <c r="CO141" s="39" t="n">
        <f aca="false">IF(CO$4=0,0,IF(COUNTIFS(実績!$W$6:$W$505,CO$3,実績!$AI$6:$AI$505,"&lt;="&amp;$A141,実績!$AJ$6:$AJ$505,"&gt;"&amp;$A141,実績!$AL$6:$AL$505,"○")&gt;0,1,0))</f>
        <v>0</v>
      </c>
      <c r="CP141" s="39" t="n">
        <f aca="false">IF(CP$4=0,0,IF(COUNTIFS(実績!$W$6:$W$505,CP$3,実績!$AI$6:$AI$505,"&lt;="&amp;$A141,実績!$AJ$6:$AJ$505,"&gt;"&amp;$A141,実績!$AL$6:$AL$505,"○")&gt;0,1,0))</f>
        <v>0</v>
      </c>
      <c r="CQ141" s="39" t="n">
        <f aca="false">IF(CQ$4=0,0,IF(COUNTIFS(実績!$W$6:$W$505,CQ$3,実績!$AI$6:$AI$505,"&lt;="&amp;$A141,実績!$AJ$6:$AJ$505,"&gt;"&amp;$A141,実績!$AL$6:$AL$505,"○")&gt;0,1,0))</f>
        <v>0</v>
      </c>
      <c r="CR141" s="39" t="n">
        <f aca="false">IF(CR$4=0,0,IF(COUNTIFS(実績!$W$6:$W$505,CR$3,実績!$AI$6:$AI$505,"&lt;="&amp;$A141,実績!$AJ$6:$AJ$505,"&gt;"&amp;$A141,実績!$AL$6:$AL$505,"○")&gt;0,1,0))</f>
        <v>0</v>
      </c>
      <c r="CS141" s="39" t="n">
        <f aca="false">IF(CS$4=0,0,IF(COUNTIFS(実績!$W$6:$W$505,CS$3,実績!$AI$6:$AI$505,"&lt;="&amp;$A141,実績!$AJ$6:$AJ$505,"&gt;"&amp;$A141,実績!$AL$6:$AL$505,"○")&gt;0,1,0))</f>
        <v>0</v>
      </c>
      <c r="CT141" s="39" t="n">
        <f aca="false">IF(CT$4=0,0,IF(COUNTIFS(実績!$W$6:$W$505,CT$3,実績!$AI$6:$AI$505,"&lt;="&amp;$A141,実績!$AJ$6:$AJ$505,"&gt;"&amp;$A141,実績!$AL$6:$AL$505,"○")&gt;0,1,0))</f>
        <v>0</v>
      </c>
      <c r="CU141" s="39" t="n">
        <f aca="false">IF(CU$4=0,0,IF(COUNTIFS(実績!$W$6:$W$505,CU$3,実績!$AI$6:$AI$505,"&lt;="&amp;$A141,実績!$AJ$6:$AJ$505,"&gt;"&amp;$A141,実績!$AL$6:$AL$505,"○")&gt;0,1,0))</f>
        <v>0</v>
      </c>
      <c r="CV141" s="39" t="n">
        <f aca="false">IF(CV$4=0,0,IF(COUNTIFS(実績!$W$6:$W$505,CV$3,実績!$AI$6:$AI$505,"&lt;="&amp;$A141,実績!$AJ$6:$AJ$505,"&gt;"&amp;$A141,実績!$AL$6:$AL$505,"○")&gt;0,1,0))</f>
        <v>0</v>
      </c>
      <c r="CW141" s="39" t="n">
        <f aca="false">IF(CW$4=0,0,IF(COUNTIFS(実績!$W$6:$W$505,CW$3,実績!$AI$6:$AI$505,"&lt;="&amp;$A141,実績!$AJ$6:$AJ$505,"&gt;"&amp;$A141,実績!$AL$6:$AL$505,"○")&gt;0,1,0))</f>
        <v>0</v>
      </c>
      <c r="CX141" s="39" t="n">
        <f aca="false">IF(CX$4=0,0,IF(COUNTIFS(実績!$W$6:$W$505,CX$3,実績!$AI$6:$AI$505,"&lt;="&amp;$A141,実績!$AJ$6:$AJ$505,"&gt;"&amp;$A141,実績!$AL$6:$AL$505,"○")&gt;0,1,0))</f>
        <v>0</v>
      </c>
      <c r="CY141" s="39" t="n">
        <f aca="false">IF(CY$4=0,0,IF(COUNTIFS(実績!$W$6:$W$505,CY$3,実績!$AI$6:$AI$505,"&lt;="&amp;$A141,実績!$AJ$6:$AJ$505,"&gt;"&amp;$A141,実績!$AL$6:$AL$505,"○")&gt;0,1,0))</f>
        <v>0</v>
      </c>
      <c r="CZ141" s="39" t="n">
        <f aca="false">IF(CZ$4=0,0,IF(COUNTIFS(実績!$W$6:$W$505,CZ$3,実績!$AI$6:$AI$505,"&lt;="&amp;$A141,実績!$AJ$6:$AJ$505,"&gt;"&amp;$A141,実績!$AL$6:$AL$505,"○")&gt;0,1,0))</f>
        <v>0</v>
      </c>
      <c r="DA141" s="39" t="n">
        <f aca="false">IF(DA$4=0,0,IF(COUNTIFS(実績!$W$6:$W$505,DA$3,実績!$AI$6:$AI$505,"&lt;="&amp;$A141,実績!$AJ$6:$AJ$505,"&gt;"&amp;$A141,実績!$AL$6:$AL$505,"○")&gt;0,1,0))</f>
        <v>0</v>
      </c>
      <c r="DB141" s="39" t="n">
        <f aca="false">IF(DB$4=0,0,IF(COUNTIFS(実績!$W$6:$W$505,DB$3,実績!$AI$6:$AI$505,"&lt;="&amp;$A141,実績!$AJ$6:$AJ$505,"&gt;"&amp;$A141,実績!$AL$6:$AL$505,"○")&gt;0,1,0))</f>
        <v>0</v>
      </c>
      <c r="DC141" s="39" t="n">
        <f aca="false">IF(DC$4=0,0,IF(COUNTIFS(実績!$W$6:$W$505,DC$3,実績!$AI$6:$AI$505,"&lt;="&amp;$A141,実績!$AJ$6:$AJ$505,"&gt;"&amp;$A141,実績!$AL$6:$AL$505,"○")&gt;0,1,0))</f>
        <v>0</v>
      </c>
      <c r="DD141" s="39" t="n">
        <f aca="false">IF(DD$4=0,0,IF(COUNTIFS(実績!$W$6:$W$505,DD$3,実績!$AI$6:$AI$505,"&lt;="&amp;$A141,実績!$AJ$6:$AJ$505,"&gt;"&amp;$A141,実績!$AL$6:$AL$505,"○")&gt;0,1,0))</f>
        <v>0</v>
      </c>
      <c r="DE141" s="39" t="n">
        <f aca="false">IF(DE$4=0,0,IF(COUNTIFS(実績!$W$6:$W$505,DE$3,実績!$AI$6:$AI$505,"&lt;="&amp;$A141,実績!$AJ$6:$AJ$505,"&gt;"&amp;$A141,実績!$AL$6:$AL$505,"○")&gt;0,1,0))</f>
        <v>0</v>
      </c>
      <c r="DF141" s="39" t="n">
        <f aca="false">IF(DF$4=0,0,IF(COUNTIFS(実績!$W$6:$W$505,DF$3,実績!$AI$6:$AI$505,"&lt;="&amp;$A141,実績!$AJ$6:$AJ$505,"&gt;"&amp;$A141,実績!$AL$6:$AL$505,"○")&gt;0,1,0))</f>
        <v>0</v>
      </c>
      <c r="DG141" s="39" t="n">
        <f aca="false">IF(DG$4=0,0,IF(COUNTIFS(実績!$W$6:$W$505,DG$3,実績!$AI$6:$AI$505,"&lt;="&amp;$A141,実績!$AJ$6:$AJ$505,"&gt;"&amp;$A141,実績!$AL$6:$AL$505,"○")&gt;0,1,0))</f>
        <v>0</v>
      </c>
      <c r="DH141" s="39" t="n">
        <f aca="false">IF(DH$4=0,0,IF(COUNTIFS(実績!$W$6:$W$505,DH$3,実績!$AI$6:$AI$505,"&lt;="&amp;$A141,実績!$AJ$6:$AJ$505,"&gt;"&amp;$A141,実績!$AL$6:$AL$505,"○")&gt;0,1,0))</f>
        <v>0</v>
      </c>
      <c r="DI141" s="39" t="n">
        <f aca="false">IF(DI$4=0,0,IF(COUNTIFS(実績!$W$6:$W$505,DI$3,実績!$AI$6:$AI$505,"&lt;="&amp;$A141,実績!$AJ$6:$AJ$505,"&gt;"&amp;$A141,実績!$AL$6:$AL$505,"○")&gt;0,1,0))</f>
        <v>0</v>
      </c>
      <c r="DJ141" s="39" t="n">
        <f aca="false">IF(DJ$4=0,0,IF(COUNTIFS(実績!$W$6:$W$505,DJ$3,実績!$AI$6:$AI$505,"&lt;="&amp;$A141,実績!$AJ$6:$AJ$505,"&gt;"&amp;$A141,実績!$AL$6:$AL$505,"○")&gt;0,1,0))</f>
        <v>0</v>
      </c>
      <c r="DK141" s="39" t="n">
        <f aca="false">IF(DK$4=0,0,IF(COUNTIFS(実績!$W$6:$W$505,DK$3,実績!$AI$6:$AI$505,"&lt;="&amp;$A141,実績!$AJ$6:$AJ$505,"&gt;"&amp;$A141,実績!$AL$6:$AL$505,"○")&gt;0,1,0))</f>
        <v>0</v>
      </c>
      <c r="DL141" s="39" t="n">
        <f aca="false">IF(DL$4=0,0,IF(COUNTIFS(実績!$W$6:$W$505,DL$3,実績!$AI$6:$AI$505,"&lt;="&amp;$A141,実績!$AJ$6:$AJ$505,"&gt;"&amp;$A141,実績!$AL$6:$AL$505,"○")&gt;0,1,0))</f>
        <v>0</v>
      </c>
      <c r="DM141" s="39" t="n">
        <f aca="false">IF(DM$4=0,0,IF(COUNTIFS(実績!$W$6:$W$505,DM$3,実績!$AI$6:$AI$505,"&lt;="&amp;$A141,実績!$AJ$6:$AJ$505,"&gt;"&amp;$A141,実績!$AL$6:$AL$505,"○")&gt;0,1,0))</f>
        <v>0</v>
      </c>
      <c r="DN141" s="39" t="n">
        <f aca="false">IF(DN$4=0,0,IF(COUNTIFS(実績!$W$6:$W$505,DN$3,実績!$AI$6:$AI$505,"&lt;="&amp;$A141,実績!$AJ$6:$AJ$505,"&gt;"&amp;$A141,実績!$AL$6:$AL$505,"○")&gt;0,1,0))</f>
        <v>0</v>
      </c>
      <c r="DO141" s="39" t="n">
        <f aca="false">IF(DO$4=0,0,IF(COUNTIFS(実績!$W$6:$W$505,DO$3,実績!$AI$6:$AI$505,"&lt;="&amp;$A141,実績!$AJ$6:$AJ$505,"&gt;"&amp;$A141,実績!$AL$6:$AL$505,"○")&gt;0,1,0))</f>
        <v>0</v>
      </c>
      <c r="DP141" s="39" t="n">
        <f aca="false">IF(DP$4=0,0,IF(COUNTIFS(実績!$W$6:$W$505,DP$3,実績!$AI$6:$AI$505,"&lt;="&amp;$A141,実績!$AJ$6:$AJ$505,"&gt;"&amp;$A141,実績!$AL$6:$AL$505,"○")&gt;0,1,0))</f>
        <v>0</v>
      </c>
      <c r="DQ141" s="39" t="n">
        <f aca="false">IF(DQ$4=0,0,IF(COUNTIFS(実績!$W$6:$W$505,DQ$3,実績!$AI$6:$AI$505,"&lt;="&amp;$A141,実績!$AJ$6:$AJ$505,"&gt;"&amp;$A141,実績!$AL$6:$AL$505,"○")&gt;0,1,0))</f>
        <v>0</v>
      </c>
      <c r="DR141" s="39" t="n">
        <f aca="false">IF(DR$4=0,0,IF(COUNTIFS(実績!$W$6:$W$505,DR$3,実績!$AI$6:$AI$505,"&lt;="&amp;$A141,実績!$AJ$6:$AJ$505,"&gt;"&amp;$A141,実績!$AL$6:$AL$505,"○")&gt;0,1,0))</f>
        <v>0</v>
      </c>
      <c r="DS141" s="39" t="n">
        <f aca="false">SUM(C141:DR141)</f>
        <v>0</v>
      </c>
    </row>
    <row r="142" customFormat="false" ht="15" hidden="false" customHeight="false" outlineLevel="0" collapsed="false">
      <c r="A142" s="0" t="n">
        <v>680</v>
      </c>
      <c r="B142" s="38" t="n">
        <f aca="false">A142/1440</f>
        <v>0.472222222222222</v>
      </c>
      <c r="C142" s="39" t="n">
        <f aca="false">IF(C$4=0,0,IF(COUNTIFS(実績!$W$6:$W$505,C$3,実績!$AI$6:$AI$505,"&lt;="&amp;$A142,実績!$AJ$6:$AJ$505,"&gt;"&amp;$A142,実績!$AL$6:$AL$505,"○")&gt;0,1,0))</f>
        <v>0</v>
      </c>
      <c r="D142" s="39" t="n">
        <f aca="false">IF(D$4=0,0,IF(COUNTIFS(実績!$W$6:$W$505,D$3,実績!$AI$6:$AI$505,"&lt;="&amp;$A142,実績!$AJ$6:$AJ$505,"&gt;"&amp;$A142,実績!$AL$6:$AL$505,"○")&gt;0,1,0))</f>
        <v>0</v>
      </c>
      <c r="E142" s="39" t="n">
        <f aca="false">IF(E$4=0,0,IF(COUNTIFS(実績!$W$6:$W$505,E$3,実績!$AI$6:$AI$505,"&lt;="&amp;$A142,実績!$AJ$6:$AJ$505,"&gt;"&amp;$A142,実績!$AL$6:$AL$505,"○")&gt;0,1,0))</f>
        <v>0</v>
      </c>
      <c r="F142" s="39" t="n">
        <f aca="false">IF(F$4=0,0,IF(COUNTIFS(実績!$W$6:$W$505,F$3,実績!$AI$6:$AI$505,"&lt;="&amp;$A142,実績!$AJ$6:$AJ$505,"&gt;"&amp;$A142,実績!$AL$6:$AL$505,"○")&gt;0,1,0))</f>
        <v>0</v>
      </c>
      <c r="G142" s="39" t="n">
        <f aca="false">IF(G$4=0,0,IF(COUNTIFS(実績!$W$6:$W$505,G$3,実績!$AI$6:$AI$505,"&lt;="&amp;$A142,実績!$AJ$6:$AJ$505,"&gt;"&amp;$A142,実績!$AL$6:$AL$505,"○")&gt;0,1,0))</f>
        <v>0</v>
      </c>
      <c r="H142" s="39" t="n">
        <f aca="false">IF(H$4=0,0,IF(COUNTIFS(実績!$W$6:$W$505,H$3,実績!$AI$6:$AI$505,"&lt;="&amp;$A142,実績!$AJ$6:$AJ$505,"&gt;"&amp;$A142,実績!$AL$6:$AL$505,"○")&gt;0,1,0))</f>
        <v>0</v>
      </c>
      <c r="I142" s="39" t="n">
        <f aca="false">IF(I$4=0,0,IF(COUNTIFS(実績!$W$6:$W$505,I$3,実績!$AI$6:$AI$505,"&lt;="&amp;$A142,実績!$AJ$6:$AJ$505,"&gt;"&amp;$A142,実績!$AL$6:$AL$505,"○")&gt;0,1,0))</f>
        <v>0</v>
      </c>
      <c r="J142" s="39" t="n">
        <f aca="false">IF(J$4=0,0,IF(COUNTIFS(実績!$W$6:$W$505,J$3,実績!$AI$6:$AI$505,"&lt;="&amp;$A142,実績!$AJ$6:$AJ$505,"&gt;"&amp;$A142,実績!$AL$6:$AL$505,"○")&gt;0,1,0))</f>
        <v>0</v>
      </c>
      <c r="K142" s="39" t="n">
        <f aca="false">IF(K$4=0,0,IF(COUNTIFS(実績!$W$6:$W$505,K$3,実績!$AI$6:$AI$505,"&lt;="&amp;$A142,実績!$AJ$6:$AJ$505,"&gt;"&amp;$A142,実績!$AL$6:$AL$505,"○")&gt;0,1,0))</f>
        <v>0</v>
      </c>
      <c r="L142" s="39" t="n">
        <f aca="false">IF(L$4=0,0,IF(COUNTIFS(実績!$W$6:$W$505,L$3,実績!$AI$6:$AI$505,"&lt;="&amp;$A142,実績!$AJ$6:$AJ$505,"&gt;"&amp;$A142,実績!$AL$6:$AL$505,"○")&gt;0,1,0))</f>
        <v>0</v>
      </c>
      <c r="M142" s="39" t="n">
        <f aca="false">IF(M$4=0,0,IF(COUNTIFS(実績!$W$6:$W$505,M$3,実績!$AI$6:$AI$505,"&lt;="&amp;$A142,実績!$AJ$6:$AJ$505,"&gt;"&amp;$A142,実績!$AL$6:$AL$505,"○")&gt;0,1,0))</f>
        <v>0</v>
      </c>
      <c r="N142" s="39" t="n">
        <f aca="false">IF(N$4=0,0,IF(COUNTIFS(実績!$W$6:$W$505,N$3,実績!$AI$6:$AI$505,"&lt;="&amp;$A142,実績!$AJ$6:$AJ$505,"&gt;"&amp;$A142,実績!$AL$6:$AL$505,"○")&gt;0,1,0))</f>
        <v>0</v>
      </c>
      <c r="O142" s="39" t="n">
        <f aca="false">IF(O$4=0,0,IF(COUNTIFS(実績!$W$6:$W$505,O$3,実績!$AI$6:$AI$505,"&lt;="&amp;$A142,実績!$AJ$6:$AJ$505,"&gt;"&amp;$A142,実績!$AL$6:$AL$505,"○")&gt;0,1,0))</f>
        <v>0</v>
      </c>
      <c r="P142" s="39" t="n">
        <f aca="false">IF(P$4=0,0,IF(COUNTIFS(実績!$W$6:$W$505,P$3,実績!$AI$6:$AI$505,"&lt;="&amp;$A142,実績!$AJ$6:$AJ$505,"&gt;"&amp;$A142,実績!$AL$6:$AL$505,"○")&gt;0,1,0))</f>
        <v>0</v>
      </c>
      <c r="Q142" s="39" t="n">
        <f aca="false">IF(Q$4=0,0,IF(COUNTIFS(実績!$W$6:$W$505,Q$3,実績!$AI$6:$AI$505,"&lt;="&amp;$A142,実績!$AJ$6:$AJ$505,"&gt;"&amp;$A142,実績!$AL$6:$AL$505,"○")&gt;0,1,0))</f>
        <v>0</v>
      </c>
      <c r="R142" s="39" t="n">
        <f aca="false">IF(R$4=0,0,IF(COUNTIFS(実績!$W$6:$W$505,R$3,実績!$AI$6:$AI$505,"&lt;="&amp;$A142,実績!$AJ$6:$AJ$505,"&gt;"&amp;$A142,実績!$AL$6:$AL$505,"○")&gt;0,1,0))</f>
        <v>0</v>
      </c>
      <c r="S142" s="39" t="n">
        <f aca="false">IF(S$4=0,0,IF(COUNTIFS(実績!$W$6:$W$505,S$3,実績!$AI$6:$AI$505,"&lt;="&amp;$A142,実績!$AJ$6:$AJ$505,"&gt;"&amp;$A142,実績!$AL$6:$AL$505,"○")&gt;0,1,0))</f>
        <v>0</v>
      </c>
      <c r="T142" s="39" t="n">
        <f aca="false">IF(T$4=0,0,IF(COUNTIFS(実績!$W$6:$W$505,T$3,実績!$AI$6:$AI$505,"&lt;="&amp;$A142,実績!$AJ$6:$AJ$505,"&gt;"&amp;$A142,実績!$AL$6:$AL$505,"○")&gt;0,1,0))</f>
        <v>0</v>
      </c>
      <c r="U142" s="39" t="n">
        <f aca="false">IF(U$4=0,0,IF(COUNTIFS(実績!$W$6:$W$505,U$3,実績!$AI$6:$AI$505,"&lt;="&amp;$A142,実績!$AJ$6:$AJ$505,"&gt;"&amp;$A142,実績!$AL$6:$AL$505,"○")&gt;0,1,0))</f>
        <v>0</v>
      </c>
      <c r="V142" s="39" t="n">
        <f aca="false">IF(V$4=0,0,IF(COUNTIFS(実績!$W$6:$W$505,V$3,実績!$AI$6:$AI$505,"&lt;="&amp;$A142,実績!$AJ$6:$AJ$505,"&gt;"&amp;$A142,実績!$AL$6:$AL$505,"○")&gt;0,1,0))</f>
        <v>0</v>
      </c>
      <c r="W142" s="39" t="n">
        <f aca="false">IF(W$4=0,0,IF(COUNTIFS(実績!$W$6:$W$505,W$3,実績!$AI$6:$AI$505,"&lt;="&amp;$A142,実績!$AJ$6:$AJ$505,"&gt;"&amp;$A142,実績!$AL$6:$AL$505,"○")&gt;0,1,0))</f>
        <v>0</v>
      </c>
      <c r="X142" s="39" t="n">
        <f aca="false">IF(X$4=0,0,IF(COUNTIFS(実績!$W$6:$W$505,X$3,実績!$AI$6:$AI$505,"&lt;="&amp;$A142,実績!$AJ$6:$AJ$505,"&gt;"&amp;$A142,実績!$AL$6:$AL$505,"○")&gt;0,1,0))</f>
        <v>0</v>
      </c>
      <c r="Y142" s="39" t="n">
        <f aca="false">IF(Y$4=0,0,IF(COUNTIFS(実績!$W$6:$W$505,Y$3,実績!$AI$6:$AI$505,"&lt;="&amp;$A142,実績!$AJ$6:$AJ$505,"&gt;"&amp;$A142,実績!$AL$6:$AL$505,"○")&gt;0,1,0))</f>
        <v>0</v>
      </c>
      <c r="Z142" s="39" t="n">
        <f aca="false">IF(Z$4=0,0,IF(COUNTIFS(実績!$W$6:$W$505,Z$3,実績!$AI$6:$AI$505,"&lt;="&amp;$A142,実績!$AJ$6:$AJ$505,"&gt;"&amp;$A142,実績!$AL$6:$AL$505,"○")&gt;0,1,0))</f>
        <v>0</v>
      </c>
      <c r="AA142" s="39" t="n">
        <f aca="false">IF(AA$4=0,0,IF(COUNTIFS(実績!$W$6:$W$505,AA$3,実績!$AI$6:$AI$505,"&lt;="&amp;$A142,実績!$AJ$6:$AJ$505,"&gt;"&amp;$A142,実績!$AL$6:$AL$505,"○")&gt;0,1,0))</f>
        <v>0</v>
      </c>
      <c r="AB142" s="39" t="n">
        <f aca="false">IF(AB$4=0,0,IF(COUNTIFS(実績!$W$6:$W$505,AB$3,実績!$AI$6:$AI$505,"&lt;="&amp;$A142,実績!$AJ$6:$AJ$505,"&gt;"&amp;$A142,実績!$AL$6:$AL$505,"○")&gt;0,1,0))</f>
        <v>0</v>
      </c>
      <c r="AC142" s="39" t="n">
        <f aca="false">IF(AC$4=0,0,IF(COUNTIFS(実績!$W$6:$W$505,AC$3,実績!$AI$6:$AI$505,"&lt;="&amp;$A142,実績!$AJ$6:$AJ$505,"&gt;"&amp;$A142,実績!$AL$6:$AL$505,"○")&gt;0,1,0))</f>
        <v>0</v>
      </c>
      <c r="AD142" s="39" t="n">
        <f aca="false">IF(AD$4=0,0,IF(COUNTIFS(実績!$W$6:$W$505,AD$3,実績!$AI$6:$AI$505,"&lt;="&amp;$A142,実績!$AJ$6:$AJ$505,"&gt;"&amp;$A142,実績!$AL$6:$AL$505,"○")&gt;0,1,0))</f>
        <v>0</v>
      </c>
      <c r="AE142" s="39" t="n">
        <f aca="false">IF(AE$4=0,0,IF(COUNTIFS(実績!$W$6:$W$505,AE$3,実績!$AI$6:$AI$505,"&lt;="&amp;$A142,実績!$AJ$6:$AJ$505,"&gt;"&amp;$A142,実績!$AL$6:$AL$505,"○")&gt;0,1,0))</f>
        <v>0</v>
      </c>
      <c r="AF142" s="39" t="n">
        <f aca="false">IF(AF$4=0,0,IF(COUNTIFS(実績!$W$6:$W$505,AF$3,実績!$AI$6:$AI$505,"&lt;="&amp;$A142,実績!$AJ$6:$AJ$505,"&gt;"&amp;$A142,実績!$AL$6:$AL$505,"○")&gt;0,1,0))</f>
        <v>0</v>
      </c>
      <c r="AG142" s="39" t="n">
        <f aca="false">IF(AG$4=0,0,IF(COUNTIFS(実績!$W$6:$W$505,AG$3,実績!$AI$6:$AI$505,"&lt;="&amp;$A142,実績!$AJ$6:$AJ$505,"&gt;"&amp;$A142,実績!$AL$6:$AL$505,"○")&gt;0,1,0))</f>
        <v>0</v>
      </c>
      <c r="AH142" s="39" t="n">
        <f aca="false">IF(AH$4=0,0,IF(COUNTIFS(実績!$W$6:$W$505,AH$3,実績!$AI$6:$AI$505,"&lt;="&amp;$A142,実績!$AJ$6:$AJ$505,"&gt;"&amp;$A142,実績!$AL$6:$AL$505,"○")&gt;0,1,0))</f>
        <v>0</v>
      </c>
      <c r="AI142" s="39" t="n">
        <f aca="false">IF(AI$4=0,0,IF(COUNTIFS(実績!$W$6:$W$505,AI$3,実績!$AI$6:$AI$505,"&lt;="&amp;$A142,実績!$AJ$6:$AJ$505,"&gt;"&amp;$A142,実績!$AL$6:$AL$505,"○")&gt;0,1,0))</f>
        <v>0</v>
      </c>
      <c r="AJ142" s="39" t="n">
        <f aca="false">IF(AJ$4=0,0,IF(COUNTIFS(実績!$W$6:$W$505,AJ$3,実績!$AI$6:$AI$505,"&lt;="&amp;$A142,実績!$AJ$6:$AJ$505,"&gt;"&amp;$A142,実績!$AL$6:$AL$505,"○")&gt;0,1,0))</f>
        <v>0</v>
      </c>
      <c r="AK142" s="39" t="n">
        <f aca="false">IF(AK$4=0,0,IF(COUNTIFS(実績!$W$6:$W$505,AK$3,実績!$AI$6:$AI$505,"&lt;="&amp;$A142,実績!$AJ$6:$AJ$505,"&gt;"&amp;$A142,実績!$AL$6:$AL$505,"○")&gt;0,1,0))</f>
        <v>0</v>
      </c>
      <c r="AL142" s="39" t="n">
        <f aca="false">IF(AL$4=0,0,IF(COUNTIFS(実績!$W$6:$W$505,AL$3,実績!$AI$6:$AI$505,"&lt;="&amp;$A142,実績!$AJ$6:$AJ$505,"&gt;"&amp;$A142,実績!$AL$6:$AL$505,"○")&gt;0,1,0))</f>
        <v>0</v>
      </c>
      <c r="AM142" s="39" t="n">
        <f aca="false">IF(AM$4=0,0,IF(COUNTIFS(実績!$W$6:$W$505,AM$3,実績!$AI$6:$AI$505,"&lt;="&amp;$A142,実績!$AJ$6:$AJ$505,"&gt;"&amp;$A142,実績!$AL$6:$AL$505,"○")&gt;0,1,0))</f>
        <v>0</v>
      </c>
      <c r="AN142" s="39" t="n">
        <f aca="false">IF(AN$4=0,0,IF(COUNTIFS(実績!$W$6:$W$505,AN$3,実績!$AI$6:$AI$505,"&lt;="&amp;$A142,実績!$AJ$6:$AJ$505,"&gt;"&amp;$A142,実績!$AL$6:$AL$505,"○")&gt;0,1,0))</f>
        <v>0</v>
      </c>
      <c r="AO142" s="39" t="n">
        <f aca="false">IF(AO$4=0,0,IF(COUNTIFS(実績!$W$6:$W$505,AO$3,実績!$AI$6:$AI$505,"&lt;="&amp;$A142,実績!$AJ$6:$AJ$505,"&gt;"&amp;$A142,実績!$AL$6:$AL$505,"○")&gt;0,1,0))</f>
        <v>0</v>
      </c>
      <c r="AP142" s="39" t="n">
        <f aca="false">IF(AP$4=0,0,IF(COUNTIFS(実績!$W$6:$W$505,AP$3,実績!$AI$6:$AI$505,"&lt;="&amp;$A142,実績!$AJ$6:$AJ$505,"&gt;"&amp;$A142,実績!$AL$6:$AL$505,"○")&gt;0,1,0))</f>
        <v>0</v>
      </c>
      <c r="AQ142" s="39" t="n">
        <f aca="false">IF(AQ$4=0,0,IF(COUNTIFS(実績!$W$6:$W$505,AQ$3,実績!$AI$6:$AI$505,"&lt;="&amp;$A142,実績!$AJ$6:$AJ$505,"&gt;"&amp;$A142,実績!$AL$6:$AL$505,"○")&gt;0,1,0))</f>
        <v>0</v>
      </c>
      <c r="AR142" s="39" t="n">
        <f aca="false">IF(AR$4=0,0,IF(COUNTIFS(実績!$W$6:$W$505,AR$3,実績!$AI$6:$AI$505,"&lt;="&amp;$A142,実績!$AJ$6:$AJ$505,"&gt;"&amp;$A142,実績!$AL$6:$AL$505,"○")&gt;0,1,0))</f>
        <v>0</v>
      </c>
      <c r="AS142" s="39" t="n">
        <f aca="false">IF(AS$4=0,0,IF(COUNTIFS(実績!$W$6:$W$505,AS$3,実績!$AI$6:$AI$505,"&lt;="&amp;$A142,実績!$AJ$6:$AJ$505,"&gt;"&amp;$A142,実績!$AL$6:$AL$505,"○")&gt;0,1,0))</f>
        <v>0</v>
      </c>
      <c r="AT142" s="39" t="n">
        <f aca="false">IF(AT$4=0,0,IF(COUNTIFS(実績!$W$6:$W$505,AT$3,実績!$AI$6:$AI$505,"&lt;="&amp;$A142,実績!$AJ$6:$AJ$505,"&gt;"&amp;$A142,実績!$AL$6:$AL$505,"○")&gt;0,1,0))</f>
        <v>0</v>
      </c>
      <c r="AU142" s="39" t="n">
        <f aca="false">IF(AU$4=0,0,IF(COUNTIFS(実績!$W$6:$W$505,AU$3,実績!$AI$6:$AI$505,"&lt;="&amp;$A142,実績!$AJ$6:$AJ$505,"&gt;"&amp;$A142,実績!$AL$6:$AL$505,"○")&gt;0,1,0))</f>
        <v>0</v>
      </c>
      <c r="AV142" s="39" t="n">
        <f aca="false">IF(AV$4=0,0,IF(COUNTIFS(実績!$W$6:$W$505,AV$3,実績!$AI$6:$AI$505,"&lt;="&amp;$A142,実績!$AJ$6:$AJ$505,"&gt;"&amp;$A142,実績!$AL$6:$AL$505,"○")&gt;0,1,0))</f>
        <v>0</v>
      </c>
      <c r="AW142" s="39" t="n">
        <f aca="false">IF(AW$4=0,0,IF(COUNTIFS(実績!$W$6:$W$505,AW$3,実績!$AI$6:$AI$505,"&lt;="&amp;$A142,実績!$AJ$6:$AJ$505,"&gt;"&amp;$A142,実績!$AL$6:$AL$505,"○")&gt;0,1,0))</f>
        <v>0</v>
      </c>
      <c r="AX142" s="39" t="n">
        <f aca="false">IF(AX$4=0,0,IF(COUNTIFS(実績!$W$6:$W$505,AX$3,実績!$AI$6:$AI$505,"&lt;="&amp;$A142,実績!$AJ$6:$AJ$505,"&gt;"&amp;$A142,実績!$AL$6:$AL$505,"○")&gt;0,1,0))</f>
        <v>0</v>
      </c>
      <c r="AY142" s="39" t="n">
        <f aca="false">IF(AY$4=0,0,IF(COUNTIFS(実績!$W$6:$W$505,AY$3,実績!$AI$6:$AI$505,"&lt;="&amp;$A142,実績!$AJ$6:$AJ$505,"&gt;"&amp;$A142,実績!$AL$6:$AL$505,"○")&gt;0,1,0))</f>
        <v>0</v>
      </c>
      <c r="AZ142" s="39" t="n">
        <f aca="false">IF(AZ$4=0,0,IF(COUNTIFS(実績!$W$6:$W$505,AZ$3,実績!$AI$6:$AI$505,"&lt;="&amp;$A142,実績!$AJ$6:$AJ$505,"&gt;"&amp;$A142,実績!$AL$6:$AL$505,"○")&gt;0,1,0))</f>
        <v>0</v>
      </c>
      <c r="BA142" s="39" t="n">
        <f aca="false">IF(BA$4=0,0,IF(COUNTIFS(実績!$W$6:$W$505,BA$3,実績!$AI$6:$AI$505,"&lt;="&amp;$A142,実績!$AJ$6:$AJ$505,"&gt;"&amp;$A142,実績!$AL$6:$AL$505,"○")&gt;0,1,0))</f>
        <v>0</v>
      </c>
      <c r="BB142" s="39" t="n">
        <f aca="false">IF(BB$4=0,0,IF(COUNTIFS(実績!$W$6:$W$505,BB$3,実績!$AI$6:$AI$505,"&lt;="&amp;$A142,実績!$AJ$6:$AJ$505,"&gt;"&amp;$A142,実績!$AL$6:$AL$505,"○")&gt;0,1,0))</f>
        <v>0</v>
      </c>
      <c r="BC142" s="39" t="n">
        <f aca="false">IF(BC$4=0,0,IF(COUNTIFS(実績!$W$6:$W$505,BC$3,実績!$AI$6:$AI$505,"&lt;="&amp;$A142,実績!$AJ$6:$AJ$505,"&gt;"&amp;$A142,実績!$AL$6:$AL$505,"○")&gt;0,1,0))</f>
        <v>0</v>
      </c>
      <c r="BD142" s="39" t="n">
        <f aca="false">IF(BD$4=0,0,IF(COUNTIFS(実績!$W$6:$W$505,BD$3,実績!$AI$6:$AI$505,"&lt;="&amp;$A142,実績!$AJ$6:$AJ$505,"&gt;"&amp;$A142,実績!$AL$6:$AL$505,"○")&gt;0,1,0))</f>
        <v>0</v>
      </c>
      <c r="BE142" s="39" t="n">
        <f aca="false">IF(BE$4=0,0,IF(COUNTIFS(実績!$W$6:$W$505,BE$3,実績!$AI$6:$AI$505,"&lt;="&amp;$A142,実績!$AJ$6:$AJ$505,"&gt;"&amp;$A142,実績!$AL$6:$AL$505,"○")&gt;0,1,0))</f>
        <v>0</v>
      </c>
      <c r="BF142" s="39" t="n">
        <f aca="false">IF(BF$4=0,0,IF(COUNTIFS(実績!$W$6:$W$505,BF$3,実績!$AI$6:$AI$505,"&lt;="&amp;$A142,実績!$AJ$6:$AJ$505,"&gt;"&amp;$A142,実績!$AL$6:$AL$505,"○")&gt;0,1,0))</f>
        <v>0</v>
      </c>
      <c r="BG142" s="39" t="n">
        <f aca="false">IF(BG$4=0,0,IF(COUNTIFS(実績!$W$6:$W$505,BG$3,実績!$AI$6:$AI$505,"&lt;="&amp;$A142,実績!$AJ$6:$AJ$505,"&gt;"&amp;$A142,実績!$AL$6:$AL$505,"○")&gt;0,1,0))</f>
        <v>0</v>
      </c>
      <c r="BH142" s="39" t="n">
        <f aca="false">IF(BH$4=0,0,IF(COUNTIFS(実績!$W$6:$W$505,BH$3,実績!$AI$6:$AI$505,"&lt;="&amp;$A142,実績!$AJ$6:$AJ$505,"&gt;"&amp;$A142,実績!$AL$6:$AL$505,"○")&gt;0,1,0))</f>
        <v>0</v>
      </c>
      <c r="BI142" s="39" t="n">
        <f aca="false">IF(BI$4=0,0,IF(COUNTIFS(実績!$W$6:$W$505,BI$3,実績!$AI$6:$AI$505,"&lt;="&amp;$A142,実績!$AJ$6:$AJ$505,"&gt;"&amp;$A142,実績!$AL$6:$AL$505,"○")&gt;0,1,0))</f>
        <v>0</v>
      </c>
      <c r="BJ142" s="39" t="n">
        <f aca="false">IF(BJ$4=0,0,IF(COUNTIFS(実績!$W$6:$W$505,BJ$3,実績!$AI$6:$AI$505,"&lt;="&amp;$A142,実績!$AJ$6:$AJ$505,"&gt;"&amp;$A142,実績!$AL$6:$AL$505,"○")&gt;0,1,0))</f>
        <v>0</v>
      </c>
      <c r="BK142" s="39" t="n">
        <f aca="false">IF(BK$4=0,0,IF(COUNTIFS(実績!$W$6:$W$505,BK$3,実績!$AI$6:$AI$505,"&lt;="&amp;$A142,実績!$AJ$6:$AJ$505,"&gt;"&amp;$A142,実績!$AL$6:$AL$505,"○")&gt;0,1,0))</f>
        <v>0</v>
      </c>
      <c r="BL142" s="39" t="n">
        <f aca="false">IF(BL$4=0,0,IF(COUNTIFS(実績!$W$6:$W$505,BL$3,実績!$AI$6:$AI$505,"&lt;="&amp;$A142,実績!$AJ$6:$AJ$505,"&gt;"&amp;$A142,実績!$AL$6:$AL$505,"○")&gt;0,1,0))</f>
        <v>0</v>
      </c>
      <c r="BM142" s="39" t="n">
        <f aca="false">IF(BM$4=0,0,IF(COUNTIFS(実績!$W$6:$W$505,BM$3,実績!$AI$6:$AI$505,"&lt;="&amp;$A142,実績!$AJ$6:$AJ$505,"&gt;"&amp;$A142,実績!$AL$6:$AL$505,"○")&gt;0,1,0))</f>
        <v>0</v>
      </c>
      <c r="BN142" s="39" t="n">
        <f aca="false">IF(BN$4=0,0,IF(COUNTIFS(実績!$W$6:$W$505,BN$3,実績!$AI$6:$AI$505,"&lt;="&amp;$A142,実績!$AJ$6:$AJ$505,"&gt;"&amp;$A142,実績!$AL$6:$AL$505,"○")&gt;0,1,0))</f>
        <v>0</v>
      </c>
      <c r="BO142" s="39" t="n">
        <f aca="false">IF(BO$4=0,0,IF(COUNTIFS(実績!$W$6:$W$505,BO$3,実績!$AI$6:$AI$505,"&lt;="&amp;$A142,実績!$AJ$6:$AJ$505,"&gt;"&amp;$A142,実績!$AL$6:$AL$505,"○")&gt;0,1,0))</f>
        <v>0</v>
      </c>
      <c r="BP142" s="39" t="n">
        <f aca="false">IF(BP$4=0,0,IF(COUNTIFS(実績!$W$6:$W$505,BP$3,実績!$AI$6:$AI$505,"&lt;="&amp;$A142,実績!$AJ$6:$AJ$505,"&gt;"&amp;$A142,実績!$AL$6:$AL$505,"○")&gt;0,1,0))</f>
        <v>0</v>
      </c>
      <c r="BQ142" s="39" t="n">
        <f aca="false">IF(BQ$4=0,0,IF(COUNTIFS(実績!$W$6:$W$505,BQ$3,実績!$AI$6:$AI$505,"&lt;="&amp;$A142,実績!$AJ$6:$AJ$505,"&gt;"&amp;$A142,実績!$AL$6:$AL$505,"○")&gt;0,1,0))</f>
        <v>0</v>
      </c>
      <c r="BR142" s="39" t="n">
        <f aca="false">IF(BR$4=0,0,IF(COUNTIFS(実績!$W$6:$W$505,BR$3,実績!$AI$6:$AI$505,"&lt;="&amp;$A142,実績!$AJ$6:$AJ$505,"&gt;"&amp;$A142,実績!$AL$6:$AL$505,"○")&gt;0,1,0))</f>
        <v>0</v>
      </c>
      <c r="BS142" s="39" t="n">
        <f aca="false">IF(BS$4=0,0,IF(COUNTIFS(実績!$W$6:$W$505,BS$3,実績!$AI$6:$AI$505,"&lt;="&amp;$A142,実績!$AJ$6:$AJ$505,"&gt;"&amp;$A142,実績!$AL$6:$AL$505,"○")&gt;0,1,0))</f>
        <v>0</v>
      </c>
      <c r="BT142" s="39" t="n">
        <f aca="false">IF(BT$4=0,0,IF(COUNTIFS(実績!$W$6:$W$505,BT$3,実績!$AI$6:$AI$505,"&lt;="&amp;$A142,実績!$AJ$6:$AJ$505,"&gt;"&amp;$A142,実績!$AL$6:$AL$505,"○")&gt;0,1,0))</f>
        <v>0</v>
      </c>
      <c r="BU142" s="39" t="n">
        <f aca="false">IF(BU$4=0,0,IF(COUNTIFS(実績!$W$6:$W$505,BU$3,実績!$AI$6:$AI$505,"&lt;="&amp;$A142,実績!$AJ$6:$AJ$505,"&gt;"&amp;$A142,実績!$AL$6:$AL$505,"○")&gt;0,1,0))</f>
        <v>0</v>
      </c>
      <c r="BV142" s="39" t="n">
        <f aca="false">IF(BV$4=0,0,IF(COUNTIFS(実績!$W$6:$W$505,BV$3,実績!$AI$6:$AI$505,"&lt;="&amp;$A142,実績!$AJ$6:$AJ$505,"&gt;"&amp;$A142,実績!$AL$6:$AL$505,"○")&gt;0,1,0))</f>
        <v>0</v>
      </c>
      <c r="BW142" s="39" t="n">
        <f aca="false">IF(BW$4=0,0,IF(COUNTIFS(実績!$W$6:$W$505,BW$3,実績!$AI$6:$AI$505,"&lt;="&amp;$A142,実績!$AJ$6:$AJ$505,"&gt;"&amp;$A142,実績!$AL$6:$AL$505,"○")&gt;0,1,0))</f>
        <v>0</v>
      </c>
      <c r="BX142" s="39" t="n">
        <f aca="false">IF(BX$4=0,0,IF(COUNTIFS(実績!$W$6:$W$505,BX$3,実績!$AI$6:$AI$505,"&lt;="&amp;$A142,実績!$AJ$6:$AJ$505,"&gt;"&amp;$A142,実績!$AL$6:$AL$505,"○")&gt;0,1,0))</f>
        <v>0</v>
      </c>
      <c r="BY142" s="39" t="n">
        <f aca="false">IF(BY$4=0,0,IF(COUNTIFS(実績!$W$6:$W$505,BY$3,実績!$AI$6:$AI$505,"&lt;="&amp;$A142,実績!$AJ$6:$AJ$505,"&gt;"&amp;$A142,実績!$AL$6:$AL$505,"○")&gt;0,1,0))</f>
        <v>0</v>
      </c>
      <c r="BZ142" s="39" t="n">
        <f aca="false">IF(BZ$4=0,0,IF(COUNTIFS(実績!$W$6:$W$505,BZ$3,実績!$AI$6:$AI$505,"&lt;="&amp;$A142,実績!$AJ$6:$AJ$505,"&gt;"&amp;$A142,実績!$AL$6:$AL$505,"○")&gt;0,1,0))</f>
        <v>0</v>
      </c>
      <c r="CA142" s="39" t="n">
        <f aca="false">IF(CA$4=0,0,IF(COUNTIFS(実績!$W$6:$W$505,CA$3,実績!$AI$6:$AI$505,"&lt;="&amp;$A142,実績!$AJ$6:$AJ$505,"&gt;"&amp;$A142,実績!$AL$6:$AL$505,"○")&gt;0,1,0))</f>
        <v>0</v>
      </c>
      <c r="CB142" s="39" t="n">
        <f aca="false">IF(CB$4=0,0,IF(COUNTIFS(実績!$W$6:$W$505,CB$3,実績!$AI$6:$AI$505,"&lt;="&amp;$A142,実績!$AJ$6:$AJ$505,"&gt;"&amp;$A142,実績!$AL$6:$AL$505,"○")&gt;0,1,0))</f>
        <v>0</v>
      </c>
      <c r="CC142" s="39" t="n">
        <f aca="false">IF(CC$4=0,0,IF(COUNTIFS(実績!$W$6:$W$505,CC$3,実績!$AI$6:$AI$505,"&lt;="&amp;$A142,実績!$AJ$6:$AJ$505,"&gt;"&amp;$A142,実績!$AL$6:$AL$505,"○")&gt;0,1,0))</f>
        <v>0</v>
      </c>
      <c r="CD142" s="39" t="n">
        <f aca="false">IF(CD$4=0,0,IF(COUNTIFS(実績!$W$6:$W$505,CD$3,実績!$AI$6:$AI$505,"&lt;="&amp;$A142,実績!$AJ$6:$AJ$505,"&gt;"&amp;$A142,実績!$AL$6:$AL$505,"○")&gt;0,1,0))</f>
        <v>0</v>
      </c>
      <c r="CE142" s="39" t="n">
        <f aca="false">IF(CE$4=0,0,IF(COUNTIFS(実績!$W$6:$W$505,CE$3,実績!$AI$6:$AI$505,"&lt;="&amp;$A142,実績!$AJ$6:$AJ$505,"&gt;"&amp;$A142,実績!$AL$6:$AL$505,"○")&gt;0,1,0))</f>
        <v>0</v>
      </c>
      <c r="CF142" s="39" t="n">
        <f aca="false">IF(CF$4=0,0,IF(COUNTIFS(実績!$W$6:$W$505,CF$3,実績!$AI$6:$AI$505,"&lt;="&amp;$A142,実績!$AJ$6:$AJ$505,"&gt;"&amp;$A142,実績!$AL$6:$AL$505,"○")&gt;0,1,0))</f>
        <v>0</v>
      </c>
      <c r="CG142" s="39" t="n">
        <f aca="false">IF(CG$4=0,0,IF(COUNTIFS(実績!$W$6:$W$505,CG$3,実績!$AI$6:$AI$505,"&lt;="&amp;$A142,実績!$AJ$6:$AJ$505,"&gt;"&amp;$A142,実績!$AL$6:$AL$505,"○")&gt;0,1,0))</f>
        <v>0</v>
      </c>
      <c r="CH142" s="39" t="n">
        <f aca="false">IF(CH$4=0,0,IF(COUNTIFS(実績!$W$6:$W$505,CH$3,実績!$AI$6:$AI$505,"&lt;="&amp;$A142,実績!$AJ$6:$AJ$505,"&gt;"&amp;$A142,実績!$AL$6:$AL$505,"○")&gt;0,1,0))</f>
        <v>0</v>
      </c>
      <c r="CI142" s="39" t="n">
        <f aca="false">IF(CI$4=0,0,IF(COUNTIFS(実績!$W$6:$W$505,CI$3,実績!$AI$6:$AI$505,"&lt;="&amp;$A142,実績!$AJ$6:$AJ$505,"&gt;"&amp;$A142,実績!$AL$6:$AL$505,"○")&gt;0,1,0))</f>
        <v>0</v>
      </c>
      <c r="CJ142" s="39" t="n">
        <f aca="false">IF(CJ$4=0,0,IF(COUNTIFS(実績!$W$6:$W$505,CJ$3,実績!$AI$6:$AI$505,"&lt;="&amp;$A142,実績!$AJ$6:$AJ$505,"&gt;"&amp;$A142,実績!$AL$6:$AL$505,"○")&gt;0,1,0))</f>
        <v>0</v>
      </c>
      <c r="CK142" s="39" t="n">
        <f aca="false">IF(CK$4=0,0,IF(COUNTIFS(実績!$W$6:$W$505,CK$3,実績!$AI$6:$AI$505,"&lt;="&amp;$A142,実績!$AJ$6:$AJ$505,"&gt;"&amp;$A142,実績!$AL$6:$AL$505,"○")&gt;0,1,0))</f>
        <v>0</v>
      </c>
      <c r="CL142" s="39" t="n">
        <f aca="false">IF(CL$4=0,0,IF(COUNTIFS(実績!$W$6:$W$505,CL$3,実績!$AI$6:$AI$505,"&lt;="&amp;$A142,実績!$AJ$6:$AJ$505,"&gt;"&amp;$A142,実績!$AL$6:$AL$505,"○")&gt;0,1,0))</f>
        <v>0</v>
      </c>
      <c r="CM142" s="39" t="n">
        <f aca="false">IF(CM$4=0,0,IF(COUNTIFS(実績!$W$6:$W$505,CM$3,実績!$AI$6:$AI$505,"&lt;="&amp;$A142,実績!$AJ$6:$AJ$505,"&gt;"&amp;$A142,実績!$AL$6:$AL$505,"○")&gt;0,1,0))</f>
        <v>0</v>
      </c>
      <c r="CN142" s="39" t="n">
        <f aca="false">IF(CN$4=0,0,IF(COUNTIFS(実績!$W$6:$W$505,CN$3,実績!$AI$6:$AI$505,"&lt;="&amp;$A142,実績!$AJ$6:$AJ$505,"&gt;"&amp;$A142,実績!$AL$6:$AL$505,"○")&gt;0,1,0))</f>
        <v>0</v>
      </c>
      <c r="CO142" s="39" t="n">
        <f aca="false">IF(CO$4=0,0,IF(COUNTIFS(実績!$W$6:$W$505,CO$3,実績!$AI$6:$AI$505,"&lt;="&amp;$A142,実績!$AJ$6:$AJ$505,"&gt;"&amp;$A142,実績!$AL$6:$AL$505,"○")&gt;0,1,0))</f>
        <v>0</v>
      </c>
      <c r="CP142" s="39" t="n">
        <f aca="false">IF(CP$4=0,0,IF(COUNTIFS(実績!$W$6:$W$505,CP$3,実績!$AI$6:$AI$505,"&lt;="&amp;$A142,実績!$AJ$6:$AJ$505,"&gt;"&amp;$A142,実績!$AL$6:$AL$505,"○")&gt;0,1,0))</f>
        <v>0</v>
      </c>
      <c r="CQ142" s="39" t="n">
        <f aca="false">IF(CQ$4=0,0,IF(COUNTIFS(実績!$W$6:$W$505,CQ$3,実績!$AI$6:$AI$505,"&lt;="&amp;$A142,実績!$AJ$6:$AJ$505,"&gt;"&amp;$A142,実績!$AL$6:$AL$505,"○")&gt;0,1,0))</f>
        <v>0</v>
      </c>
      <c r="CR142" s="39" t="n">
        <f aca="false">IF(CR$4=0,0,IF(COUNTIFS(実績!$W$6:$W$505,CR$3,実績!$AI$6:$AI$505,"&lt;="&amp;$A142,実績!$AJ$6:$AJ$505,"&gt;"&amp;$A142,実績!$AL$6:$AL$505,"○")&gt;0,1,0))</f>
        <v>0</v>
      </c>
      <c r="CS142" s="39" t="n">
        <f aca="false">IF(CS$4=0,0,IF(COUNTIFS(実績!$W$6:$W$505,CS$3,実績!$AI$6:$AI$505,"&lt;="&amp;$A142,実績!$AJ$6:$AJ$505,"&gt;"&amp;$A142,実績!$AL$6:$AL$505,"○")&gt;0,1,0))</f>
        <v>0</v>
      </c>
      <c r="CT142" s="39" t="n">
        <f aca="false">IF(CT$4=0,0,IF(COUNTIFS(実績!$W$6:$W$505,CT$3,実績!$AI$6:$AI$505,"&lt;="&amp;$A142,実績!$AJ$6:$AJ$505,"&gt;"&amp;$A142,実績!$AL$6:$AL$505,"○")&gt;0,1,0))</f>
        <v>0</v>
      </c>
      <c r="CU142" s="39" t="n">
        <f aca="false">IF(CU$4=0,0,IF(COUNTIFS(実績!$W$6:$W$505,CU$3,実績!$AI$6:$AI$505,"&lt;="&amp;$A142,実績!$AJ$6:$AJ$505,"&gt;"&amp;$A142,実績!$AL$6:$AL$505,"○")&gt;0,1,0))</f>
        <v>0</v>
      </c>
      <c r="CV142" s="39" t="n">
        <f aca="false">IF(CV$4=0,0,IF(COUNTIFS(実績!$W$6:$W$505,CV$3,実績!$AI$6:$AI$505,"&lt;="&amp;$A142,実績!$AJ$6:$AJ$505,"&gt;"&amp;$A142,実績!$AL$6:$AL$505,"○")&gt;0,1,0))</f>
        <v>0</v>
      </c>
      <c r="CW142" s="39" t="n">
        <f aca="false">IF(CW$4=0,0,IF(COUNTIFS(実績!$W$6:$W$505,CW$3,実績!$AI$6:$AI$505,"&lt;="&amp;$A142,実績!$AJ$6:$AJ$505,"&gt;"&amp;$A142,実績!$AL$6:$AL$505,"○")&gt;0,1,0))</f>
        <v>0</v>
      </c>
      <c r="CX142" s="39" t="n">
        <f aca="false">IF(CX$4=0,0,IF(COUNTIFS(実績!$W$6:$W$505,CX$3,実績!$AI$6:$AI$505,"&lt;="&amp;$A142,実績!$AJ$6:$AJ$505,"&gt;"&amp;$A142,実績!$AL$6:$AL$505,"○")&gt;0,1,0))</f>
        <v>0</v>
      </c>
      <c r="CY142" s="39" t="n">
        <f aca="false">IF(CY$4=0,0,IF(COUNTIFS(実績!$W$6:$W$505,CY$3,実績!$AI$6:$AI$505,"&lt;="&amp;$A142,実績!$AJ$6:$AJ$505,"&gt;"&amp;$A142,実績!$AL$6:$AL$505,"○")&gt;0,1,0))</f>
        <v>0</v>
      </c>
      <c r="CZ142" s="39" t="n">
        <f aca="false">IF(CZ$4=0,0,IF(COUNTIFS(実績!$W$6:$W$505,CZ$3,実績!$AI$6:$AI$505,"&lt;="&amp;$A142,実績!$AJ$6:$AJ$505,"&gt;"&amp;$A142,実績!$AL$6:$AL$505,"○")&gt;0,1,0))</f>
        <v>0</v>
      </c>
      <c r="DA142" s="39" t="n">
        <f aca="false">IF(DA$4=0,0,IF(COUNTIFS(実績!$W$6:$W$505,DA$3,実績!$AI$6:$AI$505,"&lt;="&amp;$A142,実績!$AJ$6:$AJ$505,"&gt;"&amp;$A142,実績!$AL$6:$AL$505,"○")&gt;0,1,0))</f>
        <v>0</v>
      </c>
      <c r="DB142" s="39" t="n">
        <f aca="false">IF(DB$4=0,0,IF(COUNTIFS(実績!$W$6:$W$505,DB$3,実績!$AI$6:$AI$505,"&lt;="&amp;$A142,実績!$AJ$6:$AJ$505,"&gt;"&amp;$A142,実績!$AL$6:$AL$505,"○")&gt;0,1,0))</f>
        <v>0</v>
      </c>
      <c r="DC142" s="39" t="n">
        <f aca="false">IF(DC$4=0,0,IF(COUNTIFS(実績!$W$6:$W$505,DC$3,実績!$AI$6:$AI$505,"&lt;="&amp;$A142,実績!$AJ$6:$AJ$505,"&gt;"&amp;$A142,実績!$AL$6:$AL$505,"○")&gt;0,1,0))</f>
        <v>0</v>
      </c>
      <c r="DD142" s="39" t="n">
        <f aca="false">IF(DD$4=0,0,IF(COUNTIFS(実績!$W$6:$W$505,DD$3,実績!$AI$6:$AI$505,"&lt;="&amp;$A142,実績!$AJ$6:$AJ$505,"&gt;"&amp;$A142,実績!$AL$6:$AL$505,"○")&gt;0,1,0))</f>
        <v>0</v>
      </c>
      <c r="DE142" s="39" t="n">
        <f aca="false">IF(DE$4=0,0,IF(COUNTIFS(実績!$W$6:$W$505,DE$3,実績!$AI$6:$AI$505,"&lt;="&amp;$A142,実績!$AJ$6:$AJ$505,"&gt;"&amp;$A142,実績!$AL$6:$AL$505,"○")&gt;0,1,0))</f>
        <v>0</v>
      </c>
      <c r="DF142" s="39" t="n">
        <f aca="false">IF(DF$4=0,0,IF(COUNTIFS(実績!$W$6:$W$505,DF$3,実績!$AI$6:$AI$505,"&lt;="&amp;$A142,実績!$AJ$6:$AJ$505,"&gt;"&amp;$A142,実績!$AL$6:$AL$505,"○")&gt;0,1,0))</f>
        <v>0</v>
      </c>
      <c r="DG142" s="39" t="n">
        <f aca="false">IF(DG$4=0,0,IF(COUNTIFS(実績!$W$6:$W$505,DG$3,実績!$AI$6:$AI$505,"&lt;="&amp;$A142,実績!$AJ$6:$AJ$505,"&gt;"&amp;$A142,実績!$AL$6:$AL$505,"○")&gt;0,1,0))</f>
        <v>0</v>
      </c>
      <c r="DH142" s="39" t="n">
        <f aca="false">IF(DH$4=0,0,IF(COUNTIFS(実績!$W$6:$W$505,DH$3,実績!$AI$6:$AI$505,"&lt;="&amp;$A142,実績!$AJ$6:$AJ$505,"&gt;"&amp;$A142,実績!$AL$6:$AL$505,"○")&gt;0,1,0))</f>
        <v>0</v>
      </c>
      <c r="DI142" s="39" t="n">
        <f aca="false">IF(DI$4=0,0,IF(COUNTIFS(実績!$W$6:$W$505,DI$3,実績!$AI$6:$AI$505,"&lt;="&amp;$A142,実績!$AJ$6:$AJ$505,"&gt;"&amp;$A142,実績!$AL$6:$AL$505,"○")&gt;0,1,0))</f>
        <v>0</v>
      </c>
      <c r="DJ142" s="39" t="n">
        <f aca="false">IF(DJ$4=0,0,IF(COUNTIFS(実績!$W$6:$W$505,DJ$3,実績!$AI$6:$AI$505,"&lt;="&amp;$A142,実績!$AJ$6:$AJ$505,"&gt;"&amp;$A142,実績!$AL$6:$AL$505,"○")&gt;0,1,0))</f>
        <v>0</v>
      </c>
      <c r="DK142" s="39" t="n">
        <f aca="false">IF(DK$4=0,0,IF(COUNTIFS(実績!$W$6:$W$505,DK$3,実績!$AI$6:$AI$505,"&lt;="&amp;$A142,実績!$AJ$6:$AJ$505,"&gt;"&amp;$A142,実績!$AL$6:$AL$505,"○")&gt;0,1,0))</f>
        <v>0</v>
      </c>
      <c r="DL142" s="39" t="n">
        <f aca="false">IF(DL$4=0,0,IF(COUNTIFS(実績!$W$6:$W$505,DL$3,実績!$AI$6:$AI$505,"&lt;="&amp;$A142,実績!$AJ$6:$AJ$505,"&gt;"&amp;$A142,実績!$AL$6:$AL$505,"○")&gt;0,1,0))</f>
        <v>0</v>
      </c>
      <c r="DM142" s="39" t="n">
        <f aca="false">IF(DM$4=0,0,IF(COUNTIFS(実績!$W$6:$W$505,DM$3,実績!$AI$6:$AI$505,"&lt;="&amp;$A142,実績!$AJ$6:$AJ$505,"&gt;"&amp;$A142,実績!$AL$6:$AL$505,"○")&gt;0,1,0))</f>
        <v>0</v>
      </c>
      <c r="DN142" s="39" t="n">
        <f aca="false">IF(DN$4=0,0,IF(COUNTIFS(実績!$W$6:$W$505,DN$3,実績!$AI$6:$AI$505,"&lt;="&amp;$A142,実績!$AJ$6:$AJ$505,"&gt;"&amp;$A142,実績!$AL$6:$AL$505,"○")&gt;0,1,0))</f>
        <v>0</v>
      </c>
      <c r="DO142" s="39" t="n">
        <f aca="false">IF(DO$4=0,0,IF(COUNTIFS(実績!$W$6:$W$505,DO$3,実績!$AI$6:$AI$505,"&lt;="&amp;$A142,実績!$AJ$6:$AJ$505,"&gt;"&amp;$A142,実績!$AL$6:$AL$505,"○")&gt;0,1,0))</f>
        <v>0</v>
      </c>
      <c r="DP142" s="39" t="n">
        <f aca="false">IF(DP$4=0,0,IF(COUNTIFS(実績!$W$6:$W$505,DP$3,実績!$AI$6:$AI$505,"&lt;="&amp;$A142,実績!$AJ$6:$AJ$505,"&gt;"&amp;$A142,実績!$AL$6:$AL$505,"○")&gt;0,1,0))</f>
        <v>0</v>
      </c>
      <c r="DQ142" s="39" t="n">
        <f aca="false">IF(DQ$4=0,0,IF(COUNTIFS(実績!$W$6:$W$505,DQ$3,実績!$AI$6:$AI$505,"&lt;="&amp;$A142,実績!$AJ$6:$AJ$505,"&gt;"&amp;$A142,実績!$AL$6:$AL$505,"○")&gt;0,1,0))</f>
        <v>0</v>
      </c>
      <c r="DR142" s="39" t="n">
        <f aca="false">IF(DR$4=0,0,IF(COUNTIFS(実績!$W$6:$W$505,DR$3,実績!$AI$6:$AI$505,"&lt;="&amp;$A142,実績!$AJ$6:$AJ$505,"&gt;"&amp;$A142,実績!$AL$6:$AL$505,"○")&gt;0,1,0))</f>
        <v>0</v>
      </c>
      <c r="DS142" s="39" t="n">
        <f aca="false">SUM(C142:DR142)</f>
        <v>0</v>
      </c>
    </row>
    <row r="143" customFormat="false" ht="15" hidden="false" customHeight="false" outlineLevel="0" collapsed="false">
      <c r="A143" s="0" t="n">
        <v>685</v>
      </c>
      <c r="B143" s="38" t="n">
        <f aca="false">A143/1440</f>
        <v>0.475694444444444</v>
      </c>
      <c r="C143" s="39" t="n">
        <f aca="false">IF(C$4=0,0,IF(COUNTIFS(実績!$W$6:$W$505,C$3,実績!$AI$6:$AI$505,"&lt;="&amp;$A143,実績!$AJ$6:$AJ$505,"&gt;"&amp;$A143,実績!$AL$6:$AL$505,"○")&gt;0,1,0))</f>
        <v>0</v>
      </c>
      <c r="D143" s="39" t="n">
        <f aca="false">IF(D$4=0,0,IF(COUNTIFS(実績!$W$6:$W$505,D$3,実績!$AI$6:$AI$505,"&lt;="&amp;$A143,実績!$AJ$6:$AJ$505,"&gt;"&amp;$A143,実績!$AL$6:$AL$505,"○")&gt;0,1,0))</f>
        <v>0</v>
      </c>
      <c r="E143" s="39" t="n">
        <f aca="false">IF(E$4=0,0,IF(COUNTIFS(実績!$W$6:$W$505,E$3,実績!$AI$6:$AI$505,"&lt;="&amp;$A143,実績!$AJ$6:$AJ$505,"&gt;"&amp;$A143,実績!$AL$6:$AL$505,"○")&gt;0,1,0))</f>
        <v>0</v>
      </c>
      <c r="F143" s="39" t="n">
        <f aca="false">IF(F$4=0,0,IF(COUNTIFS(実績!$W$6:$W$505,F$3,実績!$AI$6:$AI$505,"&lt;="&amp;$A143,実績!$AJ$6:$AJ$505,"&gt;"&amp;$A143,実績!$AL$6:$AL$505,"○")&gt;0,1,0))</f>
        <v>0</v>
      </c>
      <c r="G143" s="39" t="n">
        <f aca="false">IF(G$4=0,0,IF(COUNTIFS(実績!$W$6:$W$505,G$3,実績!$AI$6:$AI$505,"&lt;="&amp;$A143,実績!$AJ$6:$AJ$505,"&gt;"&amp;$A143,実績!$AL$6:$AL$505,"○")&gt;0,1,0))</f>
        <v>0</v>
      </c>
      <c r="H143" s="39" t="n">
        <f aca="false">IF(H$4=0,0,IF(COUNTIFS(実績!$W$6:$W$505,H$3,実績!$AI$6:$AI$505,"&lt;="&amp;$A143,実績!$AJ$6:$AJ$505,"&gt;"&amp;$A143,実績!$AL$6:$AL$505,"○")&gt;0,1,0))</f>
        <v>0</v>
      </c>
      <c r="I143" s="39" t="n">
        <f aca="false">IF(I$4=0,0,IF(COUNTIFS(実績!$W$6:$W$505,I$3,実績!$AI$6:$AI$505,"&lt;="&amp;$A143,実績!$AJ$6:$AJ$505,"&gt;"&amp;$A143,実績!$AL$6:$AL$505,"○")&gt;0,1,0))</f>
        <v>0</v>
      </c>
      <c r="J143" s="39" t="n">
        <f aca="false">IF(J$4=0,0,IF(COUNTIFS(実績!$W$6:$W$505,J$3,実績!$AI$6:$AI$505,"&lt;="&amp;$A143,実績!$AJ$6:$AJ$505,"&gt;"&amp;$A143,実績!$AL$6:$AL$505,"○")&gt;0,1,0))</f>
        <v>0</v>
      </c>
      <c r="K143" s="39" t="n">
        <f aca="false">IF(K$4=0,0,IF(COUNTIFS(実績!$W$6:$W$505,K$3,実績!$AI$6:$AI$505,"&lt;="&amp;$A143,実績!$AJ$6:$AJ$505,"&gt;"&amp;$A143,実績!$AL$6:$AL$505,"○")&gt;0,1,0))</f>
        <v>0</v>
      </c>
      <c r="L143" s="39" t="n">
        <f aca="false">IF(L$4=0,0,IF(COUNTIFS(実績!$W$6:$W$505,L$3,実績!$AI$6:$AI$505,"&lt;="&amp;$A143,実績!$AJ$6:$AJ$505,"&gt;"&amp;$A143,実績!$AL$6:$AL$505,"○")&gt;0,1,0))</f>
        <v>0</v>
      </c>
      <c r="M143" s="39" t="n">
        <f aca="false">IF(M$4=0,0,IF(COUNTIFS(実績!$W$6:$W$505,M$3,実績!$AI$6:$AI$505,"&lt;="&amp;$A143,実績!$AJ$6:$AJ$505,"&gt;"&amp;$A143,実績!$AL$6:$AL$505,"○")&gt;0,1,0))</f>
        <v>0</v>
      </c>
      <c r="N143" s="39" t="n">
        <f aca="false">IF(N$4=0,0,IF(COUNTIFS(実績!$W$6:$W$505,N$3,実績!$AI$6:$AI$505,"&lt;="&amp;$A143,実績!$AJ$6:$AJ$505,"&gt;"&amp;$A143,実績!$AL$6:$AL$505,"○")&gt;0,1,0))</f>
        <v>0</v>
      </c>
      <c r="O143" s="39" t="n">
        <f aca="false">IF(O$4=0,0,IF(COUNTIFS(実績!$W$6:$W$505,O$3,実績!$AI$6:$AI$505,"&lt;="&amp;$A143,実績!$AJ$6:$AJ$505,"&gt;"&amp;$A143,実績!$AL$6:$AL$505,"○")&gt;0,1,0))</f>
        <v>0</v>
      </c>
      <c r="P143" s="39" t="n">
        <f aca="false">IF(P$4=0,0,IF(COUNTIFS(実績!$W$6:$W$505,P$3,実績!$AI$6:$AI$505,"&lt;="&amp;$A143,実績!$AJ$6:$AJ$505,"&gt;"&amp;$A143,実績!$AL$6:$AL$505,"○")&gt;0,1,0))</f>
        <v>0</v>
      </c>
      <c r="Q143" s="39" t="n">
        <f aca="false">IF(Q$4=0,0,IF(COUNTIFS(実績!$W$6:$W$505,Q$3,実績!$AI$6:$AI$505,"&lt;="&amp;$A143,実績!$AJ$6:$AJ$505,"&gt;"&amp;$A143,実績!$AL$6:$AL$505,"○")&gt;0,1,0))</f>
        <v>0</v>
      </c>
      <c r="R143" s="39" t="n">
        <f aca="false">IF(R$4=0,0,IF(COUNTIFS(実績!$W$6:$W$505,R$3,実績!$AI$6:$AI$505,"&lt;="&amp;$A143,実績!$AJ$6:$AJ$505,"&gt;"&amp;$A143,実績!$AL$6:$AL$505,"○")&gt;0,1,0))</f>
        <v>0</v>
      </c>
      <c r="S143" s="39" t="n">
        <f aca="false">IF(S$4=0,0,IF(COUNTIFS(実績!$W$6:$W$505,S$3,実績!$AI$6:$AI$505,"&lt;="&amp;$A143,実績!$AJ$6:$AJ$505,"&gt;"&amp;$A143,実績!$AL$6:$AL$505,"○")&gt;0,1,0))</f>
        <v>0</v>
      </c>
      <c r="T143" s="39" t="n">
        <f aca="false">IF(T$4=0,0,IF(COUNTIFS(実績!$W$6:$W$505,T$3,実績!$AI$6:$AI$505,"&lt;="&amp;$A143,実績!$AJ$6:$AJ$505,"&gt;"&amp;$A143,実績!$AL$6:$AL$505,"○")&gt;0,1,0))</f>
        <v>0</v>
      </c>
      <c r="U143" s="39" t="n">
        <f aca="false">IF(U$4=0,0,IF(COUNTIFS(実績!$W$6:$W$505,U$3,実績!$AI$6:$AI$505,"&lt;="&amp;$A143,実績!$AJ$6:$AJ$505,"&gt;"&amp;$A143,実績!$AL$6:$AL$505,"○")&gt;0,1,0))</f>
        <v>0</v>
      </c>
      <c r="V143" s="39" t="n">
        <f aca="false">IF(V$4=0,0,IF(COUNTIFS(実績!$W$6:$W$505,V$3,実績!$AI$6:$AI$505,"&lt;="&amp;$A143,実績!$AJ$6:$AJ$505,"&gt;"&amp;$A143,実績!$AL$6:$AL$505,"○")&gt;0,1,0))</f>
        <v>0</v>
      </c>
      <c r="W143" s="39" t="n">
        <f aca="false">IF(W$4=0,0,IF(COUNTIFS(実績!$W$6:$W$505,W$3,実績!$AI$6:$AI$505,"&lt;="&amp;$A143,実績!$AJ$6:$AJ$505,"&gt;"&amp;$A143,実績!$AL$6:$AL$505,"○")&gt;0,1,0))</f>
        <v>0</v>
      </c>
      <c r="X143" s="39" t="n">
        <f aca="false">IF(X$4=0,0,IF(COUNTIFS(実績!$W$6:$W$505,X$3,実績!$AI$6:$AI$505,"&lt;="&amp;$A143,実績!$AJ$6:$AJ$505,"&gt;"&amp;$A143,実績!$AL$6:$AL$505,"○")&gt;0,1,0))</f>
        <v>0</v>
      </c>
      <c r="Y143" s="39" t="n">
        <f aca="false">IF(Y$4=0,0,IF(COUNTIFS(実績!$W$6:$W$505,Y$3,実績!$AI$6:$AI$505,"&lt;="&amp;$A143,実績!$AJ$6:$AJ$505,"&gt;"&amp;$A143,実績!$AL$6:$AL$505,"○")&gt;0,1,0))</f>
        <v>0</v>
      </c>
      <c r="Z143" s="39" t="n">
        <f aca="false">IF(Z$4=0,0,IF(COUNTIFS(実績!$W$6:$W$505,Z$3,実績!$AI$6:$AI$505,"&lt;="&amp;$A143,実績!$AJ$6:$AJ$505,"&gt;"&amp;$A143,実績!$AL$6:$AL$505,"○")&gt;0,1,0))</f>
        <v>0</v>
      </c>
      <c r="AA143" s="39" t="n">
        <f aca="false">IF(AA$4=0,0,IF(COUNTIFS(実績!$W$6:$W$505,AA$3,実績!$AI$6:$AI$505,"&lt;="&amp;$A143,実績!$AJ$6:$AJ$505,"&gt;"&amp;$A143,実績!$AL$6:$AL$505,"○")&gt;0,1,0))</f>
        <v>0</v>
      </c>
      <c r="AB143" s="39" t="n">
        <f aca="false">IF(AB$4=0,0,IF(COUNTIFS(実績!$W$6:$W$505,AB$3,実績!$AI$6:$AI$505,"&lt;="&amp;$A143,実績!$AJ$6:$AJ$505,"&gt;"&amp;$A143,実績!$AL$6:$AL$505,"○")&gt;0,1,0))</f>
        <v>0</v>
      </c>
      <c r="AC143" s="39" t="n">
        <f aca="false">IF(AC$4=0,0,IF(COUNTIFS(実績!$W$6:$W$505,AC$3,実績!$AI$6:$AI$505,"&lt;="&amp;$A143,実績!$AJ$6:$AJ$505,"&gt;"&amp;$A143,実績!$AL$6:$AL$505,"○")&gt;0,1,0))</f>
        <v>0</v>
      </c>
      <c r="AD143" s="39" t="n">
        <f aca="false">IF(AD$4=0,0,IF(COUNTIFS(実績!$W$6:$W$505,AD$3,実績!$AI$6:$AI$505,"&lt;="&amp;$A143,実績!$AJ$6:$AJ$505,"&gt;"&amp;$A143,実績!$AL$6:$AL$505,"○")&gt;0,1,0))</f>
        <v>0</v>
      </c>
      <c r="AE143" s="39" t="n">
        <f aca="false">IF(AE$4=0,0,IF(COUNTIFS(実績!$W$6:$W$505,AE$3,実績!$AI$6:$AI$505,"&lt;="&amp;$A143,実績!$AJ$6:$AJ$505,"&gt;"&amp;$A143,実績!$AL$6:$AL$505,"○")&gt;0,1,0))</f>
        <v>0</v>
      </c>
      <c r="AF143" s="39" t="n">
        <f aca="false">IF(AF$4=0,0,IF(COUNTIFS(実績!$W$6:$W$505,AF$3,実績!$AI$6:$AI$505,"&lt;="&amp;$A143,実績!$AJ$6:$AJ$505,"&gt;"&amp;$A143,実績!$AL$6:$AL$505,"○")&gt;0,1,0))</f>
        <v>0</v>
      </c>
      <c r="AG143" s="39" t="n">
        <f aca="false">IF(AG$4=0,0,IF(COUNTIFS(実績!$W$6:$W$505,AG$3,実績!$AI$6:$AI$505,"&lt;="&amp;$A143,実績!$AJ$6:$AJ$505,"&gt;"&amp;$A143,実績!$AL$6:$AL$505,"○")&gt;0,1,0))</f>
        <v>0</v>
      </c>
      <c r="AH143" s="39" t="n">
        <f aca="false">IF(AH$4=0,0,IF(COUNTIFS(実績!$W$6:$W$505,AH$3,実績!$AI$6:$AI$505,"&lt;="&amp;$A143,実績!$AJ$6:$AJ$505,"&gt;"&amp;$A143,実績!$AL$6:$AL$505,"○")&gt;0,1,0))</f>
        <v>0</v>
      </c>
      <c r="AI143" s="39" t="n">
        <f aca="false">IF(AI$4=0,0,IF(COUNTIFS(実績!$W$6:$W$505,AI$3,実績!$AI$6:$AI$505,"&lt;="&amp;$A143,実績!$AJ$6:$AJ$505,"&gt;"&amp;$A143,実績!$AL$6:$AL$505,"○")&gt;0,1,0))</f>
        <v>0</v>
      </c>
      <c r="AJ143" s="39" t="n">
        <f aca="false">IF(AJ$4=0,0,IF(COUNTIFS(実績!$W$6:$W$505,AJ$3,実績!$AI$6:$AI$505,"&lt;="&amp;$A143,実績!$AJ$6:$AJ$505,"&gt;"&amp;$A143,実績!$AL$6:$AL$505,"○")&gt;0,1,0))</f>
        <v>0</v>
      </c>
      <c r="AK143" s="39" t="n">
        <f aca="false">IF(AK$4=0,0,IF(COUNTIFS(実績!$W$6:$W$505,AK$3,実績!$AI$6:$AI$505,"&lt;="&amp;$A143,実績!$AJ$6:$AJ$505,"&gt;"&amp;$A143,実績!$AL$6:$AL$505,"○")&gt;0,1,0))</f>
        <v>0</v>
      </c>
      <c r="AL143" s="39" t="n">
        <f aca="false">IF(AL$4=0,0,IF(COUNTIFS(実績!$W$6:$W$505,AL$3,実績!$AI$6:$AI$505,"&lt;="&amp;$A143,実績!$AJ$6:$AJ$505,"&gt;"&amp;$A143,実績!$AL$6:$AL$505,"○")&gt;0,1,0))</f>
        <v>0</v>
      </c>
      <c r="AM143" s="39" t="n">
        <f aca="false">IF(AM$4=0,0,IF(COUNTIFS(実績!$W$6:$W$505,AM$3,実績!$AI$6:$AI$505,"&lt;="&amp;$A143,実績!$AJ$6:$AJ$505,"&gt;"&amp;$A143,実績!$AL$6:$AL$505,"○")&gt;0,1,0))</f>
        <v>0</v>
      </c>
      <c r="AN143" s="39" t="n">
        <f aca="false">IF(AN$4=0,0,IF(COUNTIFS(実績!$W$6:$W$505,AN$3,実績!$AI$6:$AI$505,"&lt;="&amp;$A143,実績!$AJ$6:$AJ$505,"&gt;"&amp;$A143,実績!$AL$6:$AL$505,"○")&gt;0,1,0))</f>
        <v>0</v>
      </c>
      <c r="AO143" s="39" t="n">
        <f aca="false">IF(AO$4=0,0,IF(COUNTIFS(実績!$W$6:$W$505,AO$3,実績!$AI$6:$AI$505,"&lt;="&amp;$A143,実績!$AJ$6:$AJ$505,"&gt;"&amp;$A143,実績!$AL$6:$AL$505,"○")&gt;0,1,0))</f>
        <v>0</v>
      </c>
      <c r="AP143" s="39" t="n">
        <f aca="false">IF(AP$4=0,0,IF(COUNTIFS(実績!$W$6:$W$505,AP$3,実績!$AI$6:$AI$505,"&lt;="&amp;$A143,実績!$AJ$6:$AJ$505,"&gt;"&amp;$A143,実績!$AL$6:$AL$505,"○")&gt;0,1,0))</f>
        <v>0</v>
      </c>
      <c r="AQ143" s="39" t="n">
        <f aca="false">IF(AQ$4=0,0,IF(COUNTIFS(実績!$W$6:$W$505,AQ$3,実績!$AI$6:$AI$505,"&lt;="&amp;$A143,実績!$AJ$6:$AJ$505,"&gt;"&amp;$A143,実績!$AL$6:$AL$505,"○")&gt;0,1,0))</f>
        <v>0</v>
      </c>
      <c r="AR143" s="39" t="n">
        <f aca="false">IF(AR$4=0,0,IF(COUNTIFS(実績!$W$6:$W$505,AR$3,実績!$AI$6:$AI$505,"&lt;="&amp;$A143,実績!$AJ$6:$AJ$505,"&gt;"&amp;$A143,実績!$AL$6:$AL$505,"○")&gt;0,1,0))</f>
        <v>0</v>
      </c>
      <c r="AS143" s="39" t="n">
        <f aca="false">IF(AS$4=0,0,IF(COUNTIFS(実績!$W$6:$W$505,AS$3,実績!$AI$6:$AI$505,"&lt;="&amp;$A143,実績!$AJ$6:$AJ$505,"&gt;"&amp;$A143,実績!$AL$6:$AL$505,"○")&gt;0,1,0))</f>
        <v>0</v>
      </c>
      <c r="AT143" s="39" t="n">
        <f aca="false">IF(AT$4=0,0,IF(COUNTIFS(実績!$W$6:$W$505,AT$3,実績!$AI$6:$AI$505,"&lt;="&amp;$A143,実績!$AJ$6:$AJ$505,"&gt;"&amp;$A143,実績!$AL$6:$AL$505,"○")&gt;0,1,0))</f>
        <v>0</v>
      </c>
      <c r="AU143" s="39" t="n">
        <f aca="false">IF(AU$4=0,0,IF(COUNTIFS(実績!$W$6:$W$505,AU$3,実績!$AI$6:$AI$505,"&lt;="&amp;$A143,実績!$AJ$6:$AJ$505,"&gt;"&amp;$A143,実績!$AL$6:$AL$505,"○")&gt;0,1,0))</f>
        <v>0</v>
      </c>
      <c r="AV143" s="39" t="n">
        <f aca="false">IF(AV$4=0,0,IF(COUNTIFS(実績!$W$6:$W$505,AV$3,実績!$AI$6:$AI$505,"&lt;="&amp;$A143,実績!$AJ$6:$AJ$505,"&gt;"&amp;$A143,実績!$AL$6:$AL$505,"○")&gt;0,1,0))</f>
        <v>0</v>
      </c>
      <c r="AW143" s="39" t="n">
        <f aca="false">IF(AW$4=0,0,IF(COUNTIFS(実績!$W$6:$W$505,AW$3,実績!$AI$6:$AI$505,"&lt;="&amp;$A143,実績!$AJ$6:$AJ$505,"&gt;"&amp;$A143,実績!$AL$6:$AL$505,"○")&gt;0,1,0))</f>
        <v>0</v>
      </c>
      <c r="AX143" s="39" t="n">
        <f aca="false">IF(AX$4=0,0,IF(COUNTIFS(実績!$W$6:$W$505,AX$3,実績!$AI$6:$AI$505,"&lt;="&amp;$A143,実績!$AJ$6:$AJ$505,"&gt;"&amp;$A143,実績!$AL$6:$AL$505,"○")&gt;0,1,0))</f>
        <v>0</v>
      </c>
      <c r="AY143" s="39" t="n">
        <f aca="false">IF(AY$4=0,0,IF(COUNTIFS(実績!$W$6:$W$505,AY$3,実績!$AI$6:$AI$505,"&lt;="&amp;$A143,実績!$AJ$6:$AJ$505,"&gt;"&amp;$A143,実績!$AL$6:$AL$505,"○")&gt;0,1,0))</f>
        <v>0</v>
      </c>
      <c r="AZ143" s="39" t="n">
        <f aca="false">IF(AZ$4=0,0,IF(COUNTIFS(実績!$W$6:$W$505,AZ$3,実績!$AI$6:$AI$505,"&lt;="&amp;$A143,実績!$AJ$6:$AJ$505,"&gt;"&amp;$A143,実績!$AL$6:$AL$505,"○")&gt;0,1,0))</f>
        <v>0</v>
      </c>
      <c r="BA143" s="39" t="n">
        <f aca="false">IF(BA$4=0,0,IF(COUNTIFS(実績!$W$6:$W$505,BA$3,実績!$AI$6:$AI$505,"&lt;="&amp;$A143,実績!$AJ$6:$AJ$505,"&gt;"&amp;$A143,実績!$AL$6:$AL$505,"○")&gt;0,1,0))</f>
        <v>0</v>
      </c>
      <c r="BB143" s="39" t="n">
        <f aca="false">IF(BB$4=0,0,IF(COUNTIFS(実績!$W$6:$W$505,BB$3,実績!$AI$6:$AI$505,"&lt;="&amp;$A143,実績!$AJ$6:$AJ$505,"&gt;"&amp;$A143,実績!$AL$6:$AL$505,"○")&gt;0,1,0))</f>
        <v>0</v>
      </c>
      <c r="BC143" s="39" t="n">
        <f aca="false">IF(BC$4=0,0,IF(COUNTIFS(実績!$W$6:$W$505,BC$3,実績!$AI$6:$AI$505,"&lt;="&amp;$A143,実績!$AJ$6:$AJ$505,"&gt;"&amp;$A143,実績!$AL$6:$AL$505,"○")&gt;0,1,0))</f>
        <v>0</v>
      </c>
      <c r="BD143" s="39" t="n">
        <f aca="false">IF(BD$4=0,0,IF(COUNTIFS(実績!$W$6:$W$505,BD$3,実績!$AI$6:$AI$505,"&lt;="&amp;$A143,実績!$AJ$6:$AJ$505,"&gt;"&amp;$A143,実績!$AL$6:$AL$505,"○")&gt;0,1,0))</f>
        <v>0</v>
      </c>
      <c r="BE143" s="39" t="n">
        <f aca="false">IF(BE$4=0,0,IF(COUNTIFS(実績!$W$6:$W$505,BE$3,実績!$AI$6:$AI$505,"&lt;="&amp;$A143,実績!$AJ$6:$AJ$505,"&gt;"&amp;$A143,実績!$AL$6:$AL$505,"○")&gt;0,1,0))</f>
        <v>0</v>
      </c>
      <c r="BF143" s="39" t="n">
        <f aca="false">IF(BF$4=0,0,IF(COUNTIFS(実績!$W$6:$W$505,BF$3,実績!$AI$6:$AI$505,"&lt;="&amp;$A143,実績!$AJ$6:$AJ$505,"&gt;"&amp;$A143,実績!$AL$6:$AL$505,"○")&gt;0,1,0))</f>
        <v>0</v>
      </c>
      <c r="BG143" s="39" t="n">
        <f aca="false">IF(BG$4=0,0,IF(COUNTIFS(実績!$W$6:$W$505,BG$3,実績!$AI$6:$AI$505,"&lt;="&amp;$A143,実績!$AJ$6:$AJ$505,"&gt;"&amp;$A143,実績!$AL$6:$AL$505,"○")&gt;0,1,0))</f>
        <v>0</v>
      </c>
      <c r="BH143" s="39" t="n">
        <f aca="false">IF(BH$4=0,0,IF(COUNTIFS(実績!$W$6:$W$505,BH$3,実績!$AI$6:$AI$505,"&lt;="&amp;$A143,実績!$AJ$6:$AJ$505,"&gt;"&amp;$A143,実績!$AL$6:$AL$505,"○")&gt;0,1,0))</f>
        <v>0</v>
      </c>
      <c r="BI143" s="39" t="n">
        <f aca="false">IF(BI$4=0,0,IF(COUNTIFS(実績!$W$6:$W$505,BI$3,実績!$AI$6:$AI$505,"&lt;="&amp;$A143,実績!$AJ$6:$AJ$505,"&gt;"&amp;$A143,実績!$AL$6:$AL$505,"○")&gt;0,1,0))</f>
        <v>0</v>
      </c>
      <c r="BJ143" s="39" t="n">
        <f aca="false">IF(BJ$4=0,0,IF(COUNTIFS(実績!$W$6:$W$505,BJ$3,実績!$AI$6:$AI$505,"&lt;="&amp;$A143,実績!$AJ$6:$AJ$505,"&gt;"&amp;$A143,実績!$AL$6:$AL$505,"○")&gt;0,1,0))</f>
        <v>0</v>
      </c>
      <c r="BK143" s="39" t="n">
        <f aca="false">IF(BK$4=0,0,IF(COUNTIFS(実績!$W$6:$W$505,BK$3,実績!$AI$6:$AI$505,"&lt;="&amp;$A143,実績!$AJ$6:$AJ$505,"&gt;"&amp;$A143,実績!$AL$6:$AL$505,"○")&gt;0,1,0))</f>
        <v>0</v>
      </c>
      <c r="BL143" s="39" t="n">
        <f aca="false">IF(BL$4=0,0,IF(COUNTIFS(実績!$W$6:$W$505,BL$3,実績!$AI$6:$AI$505,"&lt;="&amp;$A143,実績!$AJ$6:$AJ$505,"&gt;"&amp;$A143,実績!$AL$6:$AL$505,"○")&gt;0,1,0))</f>
        <v>0</v>
      </c>
      <c r="BM143" s="39" t="n">
        <f aca="false">IF(BM$4=0,0,IF(COUNTIFS(実績!$W$6:$W$505,BM$3,実績!$AI$6:$AI$505,"&lt;="&amp;$A143,実績!$AJ$6:$AJ$505,"&gt;"&amp;$A143,実績!$AL$6:$AL$505,"○")&gt;0,1,0))</f>
        <v>0</v>
      </c>
      <c r="BN143" s="39" t="n">
        <f aca="false">IF(BN$4=0,0,IF(COUNTIFS(実績!$W$6:$W$505,BN$3,実績!$AI$6:$AI$505,"&lt;="&amp;$A143,実績!$AJ$6:$AJ$505,"&gt;"&amp;$A143,実績!$AL$6:$AL$505,"○")&gt;0,1,0))</f>
        <v>0</v>
      </c>
      <c r="BO143" s="39" t="n">
        <f aca="false">IF(BO$4=0,0,IF(COUNTIFS(実績!$W$6:$W$505,BO$3,実績!$AI$6:$AI$505,"&lt;="&amp;$A143,実績!$AJ$6:$AJ$505,"&gt;"&amp;$A143,実績!$AL$6:$AL$505,"○")&gt;0,1,0))</f>
        <v>0</v>
      </c>
      <c r="BP143" s="39" t="n">
        <f aca="false">IF(BP$4=0,0,IF(COUNTIFS(実績!$W$6:$W$505,BP$3,実績!$AI$6:$AI$505,"&lt;="&amp;$A143,実績!$AJ$6:$AJ$505,"&gt;"&amp;$A143,実績!$AL$6:$AL$505,"○")&gt;0,1,0))</f>
        <v>0</v>
      </c>
      <c r="BQ143" s="39" t="n">
        <f aca="false">IF(BQ$4=0,0,IF(COUNTIFS(実績!$W$6:$W$505,BQ$3,実績!$AI$6:$AI$505,"&lt;="&amp;$A143,実績!$AJ$6:$AJ$505,"&gt;"&amp;$A143,実績!$AL$6:$AL$505,"○")&gt;0,1,0))</f>
        <v>0</v>
      </c>
      <c r="BR143" s="39" t="n">
        <f aca="false">IF(BR$4=0,0,IF(COUNTIFS(実績!$W$6:$W$505,BR$3,実績!$AI$6:$AI$505,"&lt;="&amp;$A143,実績!$AJ$6:$AJ$505,"&gt;"&amp;$A143,実績!$AL$6:$AL$505,"○")&gt;0,1,0))</f>
        <v>0</v>
      </c>
      <c r="BS143" s="39" t="n">
        <f aca="false">IF(BS$4=0,0,IF(COUNTIFS(実績!$W$6:$W$505,BS$3,実績!$AI$6:$AI$505,"&lt;="&amp;$A143,実績!$AJ$6:$AJ$505,"&gt;"&amp;$A143,実績!$AL$6:$AL$505,"○")&gt;0,1,0))</f>
        <v>0</v>
      </c>
      <c r="BT143" s="39" t="n">
        <f aca="false">IF(BT$4=0,0,IF(COUNTIFS(実績!$W$6:$W$505,BT$3,実績!$AI$6:$AI$505,"&lt;="&amp;$A143,実績!$AJ$6:$AJ$505,"&gt;"&amp;$A143,実績!$AL$6:$AL$505,"○")&gt;0,1,0))</f>
        <v>0</v>
      </c>
      <c r="BU143" s="39" t="n">
        <f aca="false">IF(BU$4=0,0,IF(COUNTIFS(実績!$W$6:$W$505,BU$3,実績!$AI$6:$AI$505,"&lt;="&amp;$A143,実績!$AJ$6:$AJ$505,"&gt;"&amp;$A143,実績!$AL$6:$AL$505,"○")&gt;0,1,0))</f>
        <v>0</v>
      </c>
      <c r="BV143" s="39" t="n">
        <f aca="false">IF(BV$4=0,0,IF(COUNTIFS(実績!$W$6:$W$505,BV$3,実績!$AI$6:$AI$505,"&lt;="&amp;$A143,実績!$AJ$6:$AJ$505,"&gt;"&amp;$A143,実績!$AL$6:$AL$505,"○")&gt;0,1,0))</f>
        <v>0</v>
      </c>
      <c r="BW143" s="39" t="n">
        <f aca="false">IF(BW$4=0,0,IF(COUNTIFS(実績!$W$6:$W$505,BW$3,実績!$AI$6:$AI$505,"&lt;="&amp;$A143,実績!$AJ$6:$AJ$505,"&gt;"&amp;$A143,実績!$AL$6:$AL$505,"○")&gt;0,1,0))</f>
        <v>0</v>
      </c>
      <c r="BX143" s="39" t="n">
        <f aca="false">IF(BX$4=0,0,IF(COUNTIFS(実績!$W$6:$W$505,BX$3,実績!$AI$6:$AI$505,"&lt;="&amp;$A143,実績!$AJ$6:$AJ$505,"&gt;"&amp;$A143,実績!$AL$6:$AL$505,"○")&gt;0,1,0))</f>
        <v>0</v>
      </c>
      <c r="BY143" s="39" t="n">
        <f aca="false">IF(BY$4=0,0,IF(COUNTIFS(実績!$W$6:$W$505,BY$3,実績!$AI$6:$AI$505,"&lt;="&amp;$A143,実績!$AJ$6:$AJ$505,"&gt;"&amp;$A143,実績!$AL$6:$AL$505,"○")&gt;0,1,0))</f>
        <v>0</v>
      </c>
      <c r="BZ143" s="39" t="n">
        <f aca="false">IF(BZ$4=0,0,IF(COUNTIFS(実績!$W$6:$W$505,BZ$3,実績!$AI$6:$AI$505,"&lt;="&amp;$A143,実績!$AJ$6:$AJ$505,"&gt;"&amp;$A143,実績!$AL$6:$AL$505,"○")&gt;0,1,0))</f>
        <v>0</v>
      </c>
      <c r="CA143" s="39" t="n">
        <f aca="false">IF(CA$4=0,0,IF(COUNTIFS(実績!$W$6:$W$505,CA$3,実績!$AI$6:$AI$505,"&lt;="&amp;$A143,実績!$AJ$6:$AJ$505,"&gt;"&amp;$A143,実績!$AL$6:$AL$505,"○")&gt;0,1,0))</f>
        <v>0</v>
      </c>
      <c r="CB143" s="39" t="n">
        <f aca="false">IF(CB$4=0,0,IF(COUNTIFS(実績!$W$6:$W$505,CB$3,実績!$AI$6:$AI$505,"&lt;="&amp;$A143,実績!$AJ$6:$AJ$505,"&gt;"&amp;$A143,実績!$AL$6:$AL$505,"○")&gt;0,1,0))</f>
        <v>0</v>
      </c>
      <c r="CC143" s="39" t="n">
        <f aca="false">IF(CC$4=0,0,IF(COUNTIFS(実績!$W$6:$W$505,CC$3,実績!$AI$6:$AI$505,"&lt;="&amp;$A143,実績!$AJ$6:$AJ$505,"&gt;"&amp;$A143,実績!$AL$6:$AL$505,"○")&gt;0,1,0))</f>
        <v>0</v>
      </c>
      <c r="CD143" s="39" t="n">
        <f aca="false">IF(CD$4=0,0,IF(COUNTIFS(実績!$W$6:$W$505,CD$3,実績!$AI$6:$AI$505,"&lt;="&amp;$A143,実績!$AJ$6:$AJ$505,"&gt;"&amp;$A143,実績!$AL$6:$AL$505,"○")&gt;0,1,0))</f>
        <v>0</v>
      </c>
      <c r="CE143" s="39" t="n">
        <f aca="false">IF(CE$4=0,0,IF(COUNTIFS(実績!$W$6:$W$505,CE$3,実績!$AI$6:$AI$505,"&lt;="&amp;$A143,実績!$AJ$6:$AJ$505,"&gt;"&amp;$A143,実績!$AL$6:$AL$505,"○")&gt;0,1,0))</f>
        <v>0</v>
      </c>
      <c r="CF143" s="39" t="n">
        <f aca="false">IF(CF$4=0,0,IF(COUNTIFS(実績!$W$6:$W$505,CF$3,実績!$AI$6:$AI$505,"&lt;="&amp;$A143,実績!$AJ$6:$AJ$505,"&gt;"&amp;$A143,実績!$AL$6:$AL$505,"○")&gt;0,1,0))</f>
        <v>0</v>
      </c>
      <c r="CG143" s="39" t="n">
        <f aca="false">IF(CG$4=0,0,IF(COUNTIFS(実績!$W$6:$W$505,CG$3,実績!$AI$6:$AI$505,"&lt;="&amp;$A143,実績!$AJ$6:$AJ$505,"&gt;"&amp;$A143,実績!$AL$6:$AL$505,"○")&gt;0,1,0))</f>
        <v>0</v>
      </c>
      <c r="CH143" s="39" t="n">
        <f aca="false">IF(CH$4=0,0,IF(COUNTIFS(実績!$W$6:$W$505,CH$3,実績!$AI$6:$AI$505,"&lt;="&amp;$A143,実績!$AJ$6:$AJ$505,"&gt;"&amp;$A143,実績!$AL$6:$AL$505,"○")&gt;0,1,0))</f>
        <v>0</v>
      </c>
      <c r="CI143" s="39" t="n">
        <f aca="false">IF(CI$4=0,0,IF(COUNTIFS(実績!$W$6:$W$505,CI$3,実績!$AI$6:$AI$505,"&lt;="&amp;$A143,実績!$AJ$6:$AJ$505,"&gt;"&amp;$A143,実績!$AL$6:$AL$505,"○")&gt;0,1,0))</f>
        <v>0</v>
      </c>
      <c r="CJ143" s="39" t="n">
        <f aca="false">IF(CJ$4=0,0,IF(COUNTIFS(実績!$W$6:$W$505,CJ$3,実績!$AI$6:$AI$505,"&lt;="&amp;$A143,実績!$AJ$6:$AJ$505,"&gt;"&amp;$A143,実績!$AL$6:$AL$505,"○")&gt;0,1,0))</f>
        <v>0</v>
      </c>
      <c r="CK143" s="39" t="n">
        <f aca="false">IF(CK$4=0,0,IF(COUNTIFS(実績!$W$6:$W$505,CK$3,実績!$AI$6:$AI$505,"&lt;="&amp;$A143,実績!$AJ$6:$AJ$505,"&gt;"&amp;$A143,実績!$AL$6:$AL$505,"○")&gt;0,1,0))</f>
        <v>0</v>
      </c>
      <c r="CL143" s="39" t="n">
        <f aca="false">IF(CL$4=0,0,IF(COUNTIFS(実績!$W$6:$W$505,CL$3,実績!$AI$6:$AI$505,"&lt;="&amp;$A143,実績!$AJ$6:$AJ$505,"&gt;"&amp;$A143,実績!$AL$6:$AL$505,"○")&gt;0,1,0))</f>
        <v>0</v>
      </c>
      <c r="CM143" s="39" t="n">
        <f aca="false">IF(CM$4=0,0,IF(COUNTIFS(実績!$W$6:$W$505,CM$3,実績!$AI$6:$AI$505,"&lt;="&amp;$A143,実績!$AJ$6:$AJ$505,"&gt;"&amp;$A143,実績!$AL$6:$AL$505,"○")&gt;0,1,0))</f>
        <v>0</v>
      </c>
      <c r="CN143" s="39" t="n">
        <f aca="false">IF(CN$4=0,0,IF(COUNTIFS(実績!$W$6:$W$505,CN$3,実績!$AI$6:$AI$505,"&lt;="&amp;$A143,実績!$AJ$6:$AJ$505,"&gt;"&amp;$A143,実績!$AL$6:$AL$505,"○")&gt;0,1,0))</f>
        <v>0</v>
      </c>
      <c r="CO143" s="39" t="n">
        <f aca="false">IF(CO$4=0,0,IF(COUNTIFS(実績!$W$6:$W$505,CO$3,実績!$AI$6:$AI$505,"&lt;="&amp;$A143,実績!$AJ$6:$AJ$505,"&gt;"&amp;$A143,実績!$AL$6:$AL$505,"○")&gt;0,1,0))</f>
        <v>0</v>
      </c>
      <c r="CP143" s="39" t="n">
        <f aca="false">IF(CP$4=0,0,IF(COUNTIFS(実績!$W$6:$W$505,CP$3,実績!$AI$6:$AI$505,"&lt;="&amp;$A143,実績!$AJ$6:$AJ$505,"&gt;"&amp;$A143,実績!$AL$6:$AL$505,"○")&gt;0,1,0))</f>
        <v>0</v>
      </c>
      <c r="CQ143" s="39" t="n">
        <f aca="false">IF(CQ$4=0,0,IF(COUNTIFS(実績!$W$6:$W$505,CQ$3,実績!$AI$6:$AI$505,"&lt;="&amp;$A143,実績!$AJ$6:$AJ$505,"&gt;"&amp;$A143,実績!$AL$6:$AL$505,"○")&gt;0,1,0))</f>
        <v>0</v>
      </c>
      <c r="CR143" s="39" t="n">
        <f aca="false">IF(CR$4=0,0,IF(COUNTIFS(実績!$W$6:$W$505,CR$3,実績!$AI$6:$AI$505,"&lt;="&amp;$A143,実績!$AJ$6:$AJ$505,"&gt;"&amp;$A143,実績!$AL$6:$AL$505,"○")&gt;0,1,0))</f>
        <v>0</v>
      </c>
      <c r="CS143" s="39" t="n">
        <f aca="false">IF(CS$4=0,0,IF(COUNTIFS(実績!$W$6:$W$505,CS$3,実績!$AI$6:$AI$505,"&lt;="&amp;$A143,実績!$AJ$6:$AJ$505,"&gt;"&amp;$A143,実績!$AL$6:$AL$505,"○")&gt;0,1,0))</f>
        <v>0</v>
      </c>
      <c r="CT143" s="39" t="n">
        <f aca="false">IF(CT$4=0,0,IF(COUNTIFS(実績!$W$6:$W$505,CT$3,実績!$AI$6:$AI$505,"&lt;="&amp;$A143,実績!$AJ$6:$AJ$505,"&gt;"&amp;$A143,実績!$AL$6:$AL$505,"○")&gt;0,1,0))</f>
        <v>0</v>
      </c>
      <c r="CU143" s="39" t="n">
        <f aca="false">IF(CU$4=0,0,IF(COUNTIFS(実績!$W$6:$W$505,CU$3,実績!$AI$6:$AI$505,"&lt;="&amp;$A143,実績!$AJ$6:$AJ$505,"&gt;"&amp;$A143,実績!$AL$6:$AL$505,"○")&gt;0,1,0))</f>
        <v>0</v>
      </c>
      <c r="CV143" s="39" t="n">
        <f aca="false">IF(CV$4=0,0,IF(COUNTIFS(実績!$W$6:$W$505,CV$3,実績!$AI$6:$AI$505,"&lt;="&amp;$A143,実績!$AJ$6:$AJ$505,"&gt;"&amp;$A143,実績!$AL$6:$AL$505,"○")&gt;0,1,0))</f>
        <v>0</v>
      </c>
      <c r="CW143" s="39" t="n">
        <f aca="false">IF(CW$4=0,0,IF(COUNTIFS(実績!$W$6:$W$505,CW$3,実績!$AI$6:$AI$505,"&lt;="&amp;$A143,実績!$AJ$6:$AJ$505,"&gt;"&amp;$A143,実績!$AL$6:$AL$505,"○")&gt;0,1,0))</f>
        <v>0</v>
      </c>
      <c r="CX143" s="39" t="n">
        <f aca="false">IF(CX$4=0,0,IF(COUNTIFS(実績!$W$6:$W$505,CX$3,実績!$AI$6:$AI$505,"&lt;="&amp;$A143,実績!$AJ$6:$AJ$505,"&gt;"&amp;$A143,実績!$AL$6:$AL$505,"○")&gt;0,1,0))</f>
        <v>0</v>
      </c>
      <c r="CY143" s="39" t="n">
        <f aca="false">IF(CY$4=0,0,IF(COUNTIFS(実績!$W$6:$W$505,CY$3,実績!$AI$6:$AI$505,"&lt;="&amp;$A143,実績!$AJ$6:$AJ$505,"&gt;"&amp;$A143,実績!$AL$6:$AL$505,"○")&gt;0,1,0))</f>
        <v>0</v>
      </c>
      <c r="CZ143" s="39" t="n">
        <f aca="false">IF(CZ$4=0,0,IF(COUNTIFS(実績!$W$6:$W$505,CZ$3,実績!$AI$6:$AI$505,"&lt;="&amp;$A143,実績!$AJ$6:$AJ$505,"&gt;"&amp;$A143,実績!$AL$6:$AL$505,"○")&gt;0,1,0))</f>
        <v>0</v>
      </c>
      <c r="DA143" s="39" t="n">
        <f aca="false">IF(DA$4=0,0,IF(COUNTIFS(実績!$W$6:$W$505,DA$3,実績!$AI$6:$AI$505,"&lt;="&amp;$A143,実績!$AJ$6:$AJ$505,"&gt;"&amp;$A143,実績!$AL$6:$AL$505,"○")&gt;0,1,0))</f>
        <v>0</v>
      </c>
      <c r="DB143" s="39" t="n">
        <f aca="false">IF(DB$4=0,0,IF(COUNTIFS(実績!$W$6:$W$505,DB$3,実績!$AI$6:$AI$505,"&lt;="&amp;$A143,実績!$AJ$6:$AJ$505,"&gt;"&amp;$A143,実績!$AL$6:$AL$505,"○")&gt;0,1,0))</f>
        <v>0</v>
      </c>
      <c r="DC143" s="39" t="n">
        <f aca="false">IF(DC$4=0,0,IF(COUNTIFS(実績!$W$6:$W$505,DC$3,実績!$AI$6:$AI$505,"&lt;="&amp;$A143,実績!$AJ$6:$AJ$505,"&gt;"&amp;$A143,実績!$AL$6:$AL$505,"○")&gt;0,1,0))</f>
        <v>0</v>
      </c>
      <c r="DD143" s="39" t="n">
        <f aca="false">IF(DD$4=0,0,IF(COUNTIFS(実績!$W$6:$W$505,DD$3,実績!$AI$6:$AI$505,"&lt;="&amp;$A143,実績!$AJ$6:$AJ$505,"&gt;"&amp;$A143,実績!$AL$6:$AL$505,"○")&gt;0,1,0))</f>
        <v>0</v>
      </c>
      <c r="DE143" s="39" t="n">
        <f aca="false">IF(DE$4=0,0,IF(COUNTIFS(実績!$W$6:$W$505,DE$3,実績!$AI$6:$AI$505,"&lt;="&amp;$A143,実績!$AJ$6:$AJ$505,"&gt;"&amp;$A143,実績!$AL$6:$AL$505,"○")&gt;0,1,0))</f>
        <v>0</v>
      </c>
      <c r="DF143" s="39" t="n">
        <f aca="false">IF(DF$4=0,0,IF(COUNTIFS(実績!$W$6:$W$505,DF$3,実績!$AI$6:$AI$505,"&lt;="&amp;$A143,実績!$AJ$6:$AJ$505,"&gt;"&amp;$A143,実績!$AL$6:$AL$505,"○")&gt;0,1,0))</f>
        <v>0</v>
      </c>
      <c r="DG143" s="39" t="n">
        <f aca="false">IF(DG$4=0,0,IF(COUNTIFS(実績!$W$6:$W$505,DG$3,実績!$AI$6:$AI$505,"&lt;="&amp;$A143,実績!$AJ$6:$AJ$505,"&gt;"&amp;$A143,実績!$AL$6:$AL$505,"○")&gt;0,1,0))</f>
        <v>0</v>
      </c>
      <c r="DH143" s="39" t="n">
        <f aca="false">IF(DH$4=0,0,IF(COUNTIFS(実績!$W$6:$W$505,DH$3,実績!$AI$6:$AI$505,"&lt;="&amp;$A143,実績!$AJ$6:$AJ$505,"&gt;"&amp;$A143,実績!$AL$6:$AL$505,"○")&gt;0,1,0))</f>
        <v>0</v>
      </c>
      <c r="DI143" s="39" t="n">
        <f aca="false">IF(DI$4=0,0,IF(COUNTIFS(実績!$W$6:$W$505,DI$3,実績!$AI$6:$AI$505,"&lt;="&amp;$A143,実績!$AJ$6:$AJ$505,"&gt;"&amp;$A143,実績!$AL$6:$AL$505,"○")&gt;0,1,0))</f>
        <v>0</v>
      </c>
      <c r="DJ143" s="39" t="n">
        <f aca="false">IF(DJ$4=0,0,IF(COUNTIFS(実績!$W$6:$W$505,DJ$3,実績!$AI$6:$AI$505,"&lt;="&amp;$A143,実績!$AJ$6:$AJ$505,"&gt;"&amp;$A143,実績!$AL$6:$AL$505,"○")&gt;0,1,0))</f>
        <v>0</v>
      </c>
      <c r="DK143" s="39" t="n">
        <f aca="false">IF(DK$4=0,0,IF(COUNTIFS(実績!$W$6:$W$505,DK$3,実績!$AI$6:$AI$505,"&lt;="&amp;$A143,実績!$AJ$6:$AJ$505,"&gt;"&amp;$A143,実績!$AL$6:$AL$505,"○")&gt;0,1,0))</f>
        <v>0</v>
      </c>
      <c r="DL143" s="39" t="n">
        <f aca="false">IF(DL$4=0,0,IF(COUNTIFS(実績!$W$6:$W$505,DL$3,実績!$AI$6:$AI$505,"&lt;="&amp;$A143,実績!$AJ$6:$AJ$505,"&gt;"&amp;$A143,実績!$AL$6:$AL$505,"○")&gt;0,1,0))</f>
        <v>0</v>
      </c>
      <c r="DM143" s="39" t="n">
        <f aca="false">IF(DM$4=0,0,IF(COUNTIFS(実績!$W$6:$W$505,DM$3,実績!$AI$6:$AI$505,"&lt;="&amp;$A143,実績!$AJ$6:$AJ$505,"&gt;"&amp;$A143,実績!$AL$6:$AL$505,"○")&gt;0,1,0))</f>
        <v>0</v>
      </c>
      <c r="DN143" s="39" t="n">
        <f aca="false">IF(DN$4=0,0,IF(COUNTIFS(実績!$W$6:$W$505,DN$3,実績!$AI$6:$AI$505,"&lt;="&amp;$A143,実績!$AJ$6:$AJ$505,"&gt;"&amp;$A143,実績!$AL$6:$AL$505,"○")&gt;0,1,0))</f>
        <v>0</v>
      </c>
      <c r="DO143" s="39" t="n">
        <f aca="false">IF(DO$4=0,0,IF(COUNTIFS(実績!$W$6:$W$505,DO$3,実績!$AI$6:$AI$505,"&lt;="&amp;$A143,実績!$AJ$6:$AJ$505,"&gt;"&amp;$A143,実績!$AL$6:$AL$505,"○")&gt;0,1,0))</f>
        <v>0</v>
      </c>
      <c r="DP143" s="39" t="n">
        <f aca="false">IF(DP$4=0,0,IF(COUNTIFS(実績!$W$6:$W$505,DP$3,実績!$AI$6:$AI$505,"&lt;="&amp;$A143,実績!$AJ$6:$AJ$505,"&gt;"&amp;$A143,実績!$AL$6:$AL$505,"○")&gt;0,1,0))</f>
        <v>0</v>
      </c>
      <c r="DQ143" s="39" t="n">
        <f aca="false">IF(DQ$4=0,0,IF(COUNTIFS(実績!$W$6:$W$505,DQ$3,実績!$AI$6:$AI$505,"&lt;="&amp;$A143,実績!$AJ$6:$AJ$505,"&gt;"&amp;$A143,実績!$AL$6:$AL$505,"○")&gt;0,1,0))</f>
        <v>0</v>
      </c>
      <c r="DR143" s="39" t="n">
        <f aca="false">IF(DR$4=0,0,IF(COUNTIFS(実績!$W$6:$W$505,DR$3,実績!$AI$6:$AI$505,"&lt;="&amp;$A143,実績!$AJ$6:$AJ$505,"&gt;"&amp;$A143,実績!$AL$6:$AL$505,"○")&gt;0,1,0))</f>
        <v>0</v>
      </c>
      <c r="DS143" s="39" t="n">
        <f aca="false">SUM(C143:DR143)</f>
        <v>0</v>
      </c>
    </row>
    <row r="144" customFormat="false" ht="15" hidden="false" customHeight="false" outlineLevel="0" collapsed="false">
      <c r="A144" s="0" t="n">
        <v>690</v>
      </c>
      <c r="B144" s="38" t="n">
        <f aca="false">A144/1440</f>
        <v>0.479166666666667</v>
      </c>
      <c r="C144" s="39" t="n">
        <f aca="false">IF(C$4=0,0,IF(COUNTIFS(実績!$W$6:$W$505,C$3,実績!$AI$6:$AI$505,"&lt;="&amp;$A144,実績!$AJ$6:$AJ$505,"&gt;"&amp;$A144,実績!$AL$6:$AL$505,"○")&gt;0,1,0))</f>
        <v>0</v>
      </c>
      <c r="D144" s="39" t="n">
        <f aca="false">IF(D$4=0,0,IF(COUNTIFS(実績!$W$6:$W$505,D$3,実績!$AI$6:$AI$505,"&lt;="&amp;$A144,実績!$AJ$6:$AJ$505,"&gt;"&amp;$A144,実績!$AL$6:$AL$505,"○")&gt;0,1,0))</f>
        <v>0</v>
      </c>
      <c r="E144" s="39" t="n">
        <f aca="false">IF(E$4=0,0,IF(COUNTIFS(実績!$W$6:$W$505,E$3,実績!$AI$6:$AI$505,"&lt;="&amp;$A144,実績!$AJ$6:$AJ$505,"&gt;"&amp;$A144,実績!$AL$6:$AL$505,"○")&gt;0,1,0))</f>
        <v>0</v>
      </c>
      <c r="F144" s="39" t="n">
        <f aca="false">IF(F$4=0,0,IF(COUNTIFS(実績!$W$6:$W$505,F$3,実績!$AI$6:$AI$505,"&lt;="&amp;$A144,実績!$AJ$6:$AJ$505,"&gt;"&amp;$A144,実績!$AL$6:$AL$505,"○")&gt;0,1,0))</f>
        <v>0</v>
      </c>
      <c r="G144" s="39" t="n">
        <f aca="false">IF(G$4=0,0,IF(COUNTIFS(実績!$W$6:$W$505,G$3,実績!$AI$6:$AI$505,"&lt;="&amp;$A144,実績!$AJ$6:$AJ$505,"&gt;"&amp;$A144,実績!$AL$6:$AL$505,"○")&gt;0,1,0))</f>
        <v>0</v>
      </c>
      <c r="H144" s="39" t="n">
        <f aca="false">IF(H$4=0,0,IF(COUNTIFS(実績!$W$6:$W$505,H$3,実績!$AI$6:$AI$505,"&lt;="&amp;$A144,実績!$AJ$6:$AJ$505,"&gt;"&amp;$A144,実績!$AL$6:$AL$505,"○")&gt;0,1,0))</f>
        <v>0</v>
      </c>
      <c r="I144" s="39" t="n">
        <f aca="false">IF(I$4=0,0,IF(COUNTIFS(実績!$W$6:$W$505,I$3,実績!$AI$6:$AI$505,"&lt;="&amp;$A144,実績!$AJ$6:$AJ$505,"&gt;"&amp;$A144,実績!$AL$6:$AL$505,"○")&gt;0,1,0))</f>
        <v>0</v>
      </c>
      <c r="J144" s="39" t="n">
        <f aca="false">IF(J$4=0,0,IF(COUNTIFS(実績!$W$6:$W$505,J$3,実績!$AI$6:$AI$505,"&lt;="&amp;$A144,実績!$AJ$6:$AJ$505,"&gt;"&amp;$A144,実績!$AL$6:$AL$505,"○")&gt;0,1,0))</f>
        <v>0</v>
      </c>
      <c r="K144" s="39" t="n">
        <f aca="false">IF(K$4=0,0,IF(COUNTIFS(実績!$W$6:$W$505,K$3,実績!$AI$6:$AI$505,"&lt;="&amp;$A144,実績!$AJ$6:$AJ$505,"&gt;"&amp;$A144,実績!$AL$6:$AL$505,"○")&gt;0,1,0))</f>
        <v>0</v>
      </c>
      <c r="L144" s="39" t="n">
        <f aca="false">IF(L$4=0,0,IF(COUNTIFS(実績!$W$6:$W$505,L$3,実績!$AI$6:$AI$505,"&lt;="&amp;$A144,実績!$AJ$6:$AJ$505,"&gt;"&amp;$A144,実績!$AL$6:$AL$505,"○")&gt;0,1,0))</f>
        <v>0</v>
      </c>
      <c r="M144" s="39" t="n">
        <f aca="false">IF(M$4=0,0,IF(COUNTIFS(実績!$W$6:$W$505,M$3,実績!$AI$6:$AI$505,"&lt;="&amp;$A144,実績!$AJ$6:$AJ$505,"&gt;"&amp;$A144,実績!$AL$6:$AL$505,"○")&gt;0,1,0))</f>
        <v>0</v>
      </c>
      <c r="N144" s="39" t="n">
        <f aca="false">IF(N$4=0,0,IF(COUNTIFS(実績!$W$6:$W$505,N$3,実績!$AI$6:$AI$505,"&lt;="&amp;$A144,実績!$AJ$6:$AJ$505,"&gt;"&amp;$A144,実績!$AL$6:$AL$505,"○")&gt;0,1,0))</f>
        <v>0</v>
      </c>
      <c r="O144" s="39" t="n">
        <f aca="false">IF(O$4=0,0,IF(COUNTIFS(実績!$W$6:$W$505,O$3,実績!$AI$6:$AI$505,"&lt;="&amp;$A144,実績!$AJ$6:$AJ$505,"&gt;"&amp;$A144,実績!$AL$6:$AL$505,"○")&gt;0,1,0))</f>
        <v>0</v>
      </c>
      <c r="P144" s="39" t="n">
        <f aca="false">IF(P$4=0,0,IF(COUNTIFS(実績!$W$6:$W$505,P$3,実績!$AI$6:$AI$505,"&lt;="&amp;$A144,実績!$AJ$6:$AJ$505,"&gt;"&amp;$A144,実績!$AL$6:$AL$505,"○")&gt;0,1,0))</f>
        <v>0</v>
      </c>
      <c r="Q144" s="39" t="n">
        <f aca="false">IF(Q$4=0,0,IF(COUNTIFS(実績!$W$6:$W$505,Q$3,実績!$AI$6:$AI$505,"&lt;="&amp;$A144,実績!$AJ$6:$AJ$505,"&gt;"&amp;$A144,実績!$AL$6:$AL$505,"○")&gt;0,1,0))</f>
        <v>0</v>
      </c>
      <c r="R144" s="39" t="n">
        <f aca="false">IF(R$4=0,0,IF(COUNTIFS(実績!$W$6:$W$505,R$3,実績!$AI$6:$AI$505,"&lt;="&amp;$A144,実績!$AJ$6:$AJ$505,"&gt;"&amp;$A144,実績!$AL$6:$AL$505,"○")&gt;0,1,0))</f>
        <v>0</v>
      </c>
      <c r="S144" s="39" t="n">
        <f aca="false">IF(S$4=0,0,IF(COUNTIFS(実績!$W$6:$W$505,S$3,実績!$AI$6:$AI$505,"&lt;="&amp;$A144,実績!$AJ$6:$AJ$505,"&gt;"&amp;$A144,実績!$AL$6:$AL$505,"○")&gt;0,1,0))</f>
        <v>0</v>
      </c>
      <c r="T144" s="39" t="n">
        <f aca="false">IF(T$4=0,0,IF(COUNTIFS(実績!$W$6:$W$505,T$3,実績!$AI$6:$AI$505,"&lt;="&amp;$A144,実績!$AJ$6:$AJ$505,"&gt;"&amp;$A144,実績!$AL$6:$AL$505,"○")&gt;0,1,0))</f>
        <v>0</v>
      </c>
      <c r="U144" s="39" t="n">
        <f aca="false">IF(U$4=0,0,IF(COUNTIFS(実績!$W$6:$W$505,U$3,実績!$AI$6:$AI$505,"&lt;="&amp;$A144,実績!$AJ$6:$AJ$505,"&gt;"&amp;$A144,実績!$AL$6:$AL$505,"○")&gt;0,1,0))</f>
        <v>0</v>
      </c>
      <c r="V144" s="39" t="n">
        <f aca="false">IF(V$4=0,0,IF(COUNTIFS(実績!$W$6:$W$505,V$3,実績!$AI$6:$AI$505,"&lt;="&amp;$A144,実績!$AJ$6:$AJ$505,"&gt;"&amp;$A144,実績!$AL$6:$AL$505,"○")&gt;0,1,0))</f>
        <v>0</v>
      </c>
      <c r="W144" s="39" t="n">
        <f aca="false">IF(W$4=0,0,IF(COUNTIFS(実績!$W$6:$W$505,W$3,実績!$AI$6:$AI$505,"&lt;="&amp;$A144,実績!$AJ$6:$AJ$505,"&gt;"&amp;$A144,実績!$AL$6:$AL$505,"○")&gt;0,1,0))</f>
        <v>0</v>
      </c>
      <c r="X144" s="39" t="n">
        <f aca="false">IF(X$4=0,0,IF(COUNTIFS(実績!$W$6:$W$505,X$3,実績!$AI$6:$AI$505,"&lt;="&amp;$A144,実績!$AJ$6:$AJ$505,"&gt;"&amp;$A144,実績!$AL$6:$AL$505,"○")&gt;0,1,0))</f>
        <v>0</v>
      </c>
      <c r="Y144" s="39" t="n">
        <f aca="false">IF(Y$4=0,0,IF(COUNTIFS(実績!$W$6:$W$505,Y$3,実績!$AI$6:$AI$505,"&lt;="&amp;$A144,実績!$AJ$6:$AJ$505,"&gt;"&amp;$A144,実績!$AL$6:$AL$505,"○")&gt;0,1,0))</f>
        <v>0</v>
      </c>
      <c r="Z144" s="39" t="n">
        <f aca="false">IF(Z$4=0,0,IF(COUNTIFS(実績!$W$6:$W$505,Z$3,実績!$AI$6:$AI$505,"&lt;="&amp;$A144,実績!$AJ$6:$AJ$505,"&gt;"&amp;$A144,実績!$AL$6:$AL$505,"○")&gt;0,1,0))</f>
        <v>0</v>
      </c>
      <c r="AA144" s="39" t="n">
        <f aca="false">IF(AA$4=0,0,IF(COUNTIFS(実績!$W$6:$W$505,AA$3,実績!$AI$6:$AI$505,"&lt;="&amp;$A144,実績!$AJ$6:$AJ$505,"&gt;"&amp;$A144,実績!$AL$6:$AL$505,"○")&gt;0,1,0))</f>
        <v>0</v>
      </c>
      <c r="AB144" s="39" t="n">
        <f aca="false">IF(AB$4=0,0,IF(COUNTIFS(実績!$W$6:$W$505,AB$3,実績!$AI$6:$AI$505,"&lt;="&amp;$A144,実績!$AJ$6:$AJ$505,"&gt;"&amp;$A144,実績!$AL$6:$AL$505,"○")&gt;0,1,0))</f>
        <v>0</v>
      </c>
      <c r="AC144" s="39" t="n">
        <f aca="false">IF(AC$4=0,0,IF(COUNTIFS(実績!$W$6:$W$505,AC$3,実績!$AI$6:$AI$505,"&lt;="&amp;$A144,実績!$AJ$6:$AJ$505,"&gt;"&amp;$A144,実績!$AL$6:$AL$505,"○")&gt;0,1,0))</f>
        <v>0</v>
      </c>
      <c r="AD144" s="39" t="n">
        <f aca="false">IF(AD$4=0,0,IF(COUNTIFS(実績!$W$6:$W$505,AD$3,実績!$AI$6:$AI$505,"&lt;="&amp;$A144,実績!$AJ$6:$AJ$505,"&gt;"&amp;$A144,実績!$AL$6:$AL$505,"○")&gt;0,1,0))</f>
        <v>0</v>
      </c>
      <c r="AE144" s="39" t="n">
        <f aca="false">IF(AE$4=0,0,IF(COUNTIFS(実績!$W$6:$W$505,AE$3,実績!$AI$6:$AI$505,"&lt;="&amp;$A144,実績!$AJ$6:$AJ$505,"&gt;"&amp;$A144,実績!$AL$6:$AL$505,"○")&gt;0,1,0))</f>
        <v>0</v>
      </c>
      <c r="AF144" s="39" t="n">
        <f aca="false">IF(AF$4=0,0,IF(COUNTIFS(実績!$W$6:$W$505,AF$3,実績!$AI$6:$AI$505,"&lt;="&amp;$A144,実績!$AJ$6:$AJ$505,"&gt;"&amp;$A144,実績!$AL$6:$AL$505,"○")&gt;0,1,0))</f>
        <v>0</v>
      </c>
      <c r="AG144" s="39" t="n">
        <f aca="false">IF(AG$4=0,0,IF(COUNTIFS(実績!$W$6:$W$505,AG$3,実績!$AI$6:$AI$505,"&lt;="&amp;$A144,実績!$AJ$6:$AJ$505,"&gt;"&amp;$A144,実績!$AL$6:$AL$505,"○")&gt;0,1,0))</f>
        <v>0</v>
      </c>
      <c r="AH144" s="39" t="n">
        <f aca="false">IF(AH$4=0,0,IF(COUNTIFS(実績!$W$6:$W$505,AH$3,実績!$AI$6:$AI$505,"&lt;="&amp;$A144,実績!$AJ$6:$AJ$505,"&gt;"&amp;$A144,実績!$AL$6:$AL$505,"○")&gt;0,1,0))</f>
        <v>0</v>
      </c>
      <c r="AI144" s="39" t="n">
        <f aca="false">IF(AI$4=0,0,IF(COUNTIFS(実績!$W$6:$W$505,AI$3,実績!$AI$6:$AI$505,"&lt;="&amp;$A144,実績!$AJ$6:$AJ$505,"&gt;"&amp;$A144,実績!$AL$6:$AL$505,"○")&gt;0,1,0))</f>
        <v>0</v>
      </c>
      <c r="AJ144" s="39" t="n">
        <f aca="false">IF(AJ$4=0,0,IF(COUNTIFS(実績!$W$6:$W$505,AJ$3,実績!$AI$6:$AI$505,"&lt;="&amp;$A144,実績!$AJ$6:$AJ$505,"&gt;"&amp;$A144,実績!$AL$6:$AL$505,"○")&gt;0,1,0))</f>
        <v>0</v>
      </c>
      <c r="AK144" s="39" t="n">
        <f aca="false">IF(AK$4=0,0,IF(COUNTIFS(実績!$W$6:$W$505,AK$3,実績!$AI$6:$AI$505,"&lt;="&amp;$A144,実績!$AJ$6:$AJ$505,"&gt;"&amp;$A144,実績!$AL$6:$AL$505,"○")&gt;0,1,0))</f>
        <v>0</v>
      </c>
      <c r="AL144" s="39" t="n">
        <f aca="false">IF(AL$4=0,0,IF(COUNTIFS(実績!$W$6:$W$505,AL$3,実績!$AI$6:$AI$505,"&lt;="&amp;$A144,実績!$AJ$6:$AJ$505,"&gt;"&amp;$A144,実績!$AL$6:$AL$505,"○")&gt;0,1,0))</f>
        <v>0</v>
      </c>
      <c r="AM144" s="39" t="n">
        <f aca="false">IF(AM$4=0,0,IF(COUNTIFS(実績!$W$6:$W$505,AM$3,実績!$AI$6:$AI$505,"&lt;="&amp;$A144,実績!$AJ$6:$AJ$505,"&gt;"&amp;$A144,実績!$AL$6:$AL$505,"○")&gt;0,1,0))</f>
        <v>0</v>
      </c>
      <c r="AN144" s="39" t="n">
        <f aca="false">IF(AN$4=0,0,IF(COUNTIFS(実績!$W$6:$W$505,AN$3,実績!$AI$6:$AI$505,"&lt;="&amp;$A144,実績!$AJ$6:$AJ$505,"&gt;"&amp;$A144,実績!$AL$6:$AL$505,"○")&gt;0,1,0))</f>
        <v>0</v>
      </c>
      <c r="AO144" s="39" t="n">
        <f aca="false">IF(AO$4=0,0,IF(COUNTIFS(実績!$W$6:$W$505,AO$3,実績!$AI$6:$AI$505,"&lt;="&amp;$A144,実績!$AJ$6:$AJ$505,"&gt;"&amp;$A144,実績!$AL$6:$AL$505,"○")&gt;0,1,0))</f>
        <v>0</v>
      </c>
      <c r="AP144" s="39" t="n">
        <f aca="false">IF(AP$4=0,0,IF(COUNTIFS(実績!$W$6:$W$505,AP$3,実績!$AI$6:$AI$505,"&lt;="&amp;$A144,実績!$AJ$6:$AJ$505,"&gt;"&amp;$A144,実績!$AL$6:$AL$505,"○")&gt;0,1,0))</f>
        <v>0</v>
      </c>
      <c r="AQ144" s="39" t="n">
        <f aca="false">IF(AQ$4=0,0,IF(COUNTIFS(実績!$W$6:$W$505,AQ$3,実績!$AI$6:$AI$505,"&lt;="&amp;$A144,実績!$AJ$6:$AJ$505,"&gt;"&amp;$A144,実績!$AL$6:$AL$505,"○")&gt;0,1,0))</f>
        <v>0</v>
      </c>
      <c r="AR144" s="39" t="n">
        <f aca="false">IF(AR$4=0,0,IF(COUNTIFS(実績!$W$6:$W$505,AR$3,実績!$AI$6:$AI$505,"&lt;="&amp;$A144,実績!$AJ$6:$AJ$505,"&gt;"&amp;$A144,実績!$AL$6:$AL$505,"○")&gt;0,1,0))</f>
        <v>0</v>
      </c>
      <c r="AS144" s="39" t="n">
        <f aca="false">IF(AS$4=0,0,IF(COUNTIFS(実績!$W$6:$W$505,AS$3,実績!$AI$6:$AI$505,"&lt;="&amp;$A144,実績!$AJ$6:$AJ$505,"&gt;"&amp;$A144,実績!$AL$6:$AL$505,"○")&gt;0,1,0))</f>
        <v>0</v>
      </c>
      <c r="AT144" s="39" t="n">
        <f aca="false">IF(AT$4=0,0,IF(COUNTIFS(実績!$W$6:$W$505,AT$3,実績!$AI$6:$AI$505,"&lt;="&amp;$A144,実績!$AJ$6:$AJ$505,"&gt;"&amp;$A144,実績!$AL$6:$AL$505,"○")&gt;0,1,0))</f>
        <v>0</v>
      </c>
      <c r="AU144" s="39" t="n">
        <f aca="false">IF(AU$4=0,0,IF(COUNTIFS(実績!$W$6:$W$505,AU$3,実績!$AI$6:$AI$505,"&lt;="&amp;$A144,実績!$AJ$6:$AJ$505,"&gt;"&amp;$A144,実績!$AL$6:$AL$505,"○")&gt;0,1,0))</f>
        <v>0</v>
      </c>
      <c r="AV144" s="39" t="n">
        <f aca="false">IF(AV$4=0,0,IF(COUNTIFS(実績!$W$6:$W$505,AV$3,実績!$AI$6:$AI$505,"&lt;="&amp;$A144,実績!$AJ$6:$AJ$505,"&gt;"&amp;$A144,実績!$AL$6:$AL$505,"○")&gt;0,1,0))</f>
        <v>0</v>
      </c>
      <c r="AW144" s="39" t="n">
        <f aca="false">IF(AW$4=0,0,IF(COUNTIFS(実績!$W$6:$W$505,AW$3,実績!$AI$6:$AI$505,"&lt;="&amp;$A144,実績!$AJ$6:$AJ$505,"&gt;"&amp;$A144,実績!$AL$6:$AL$505,"○")&gt;0,1,0))</f>
        <v>0</v>
      </c>
      <c r="AX144" s="39" t="n">
        <f aca="false">IF(AX$4=0,0,IF(COUNTIFS(実績!$W$6:$W$505,AX$3,実績!$AI$6:$AI$505,"&lt;="&amp;$A144,実績!$AJ$6:$AJ$505,"&gt;"&amp;$A144,実績!$AL$6:$AL$505,"○")&gt;0,1,0))</f>
        <v>0</v>
      </c>
      <c r="AY144" s="39" t="n">
        <f aca="false">IF(AY$4=0,0,IF(COUNTIFS(実績!$W$6:$W$505,AY$3,実績!$AI$6:$AI$505,"&lt;="&amp;$A144,実績!$AJ$6:$AJ$505,"&gt;"&amp;$A144,実績!$AL$6:$AL$505,"○")&gt;0,1,0))</f>
        <v>0</v>
      </c>
      <c r="AZ144" s="39" t="n">
        <f aca="false">IF(AZ$4=0,0,IF(COUNTIFS(実績!$W$6:$W$505,AZ$3,実績!$AI$6:$AI$505,"&lt;="&amp;$A144,実績!$AJ$6:$AJ$505,"&gt;"&amp;$A144,実績!$AL$6:$AL$505,"○")&gt;0,1,0))</f>
        <v>0</v>
      </c>
      <c r="BA144" s="39" t="n">
        <f aca="false">IF(BA$4=0,0,IF(COUNTIFS(実績!$W$6:$W$505,BA$3,実績!$AI$6:$AI$505,"&lt;="&amp;$A144,実績!$AJ$6:$AJ$505,"&gt;"&amp;$A144,実績!$AL$6:$AL$505,"○")&gt;0,1,0))</f>
        <v>0</v>
      </c>
      <c r="BB144" s="39" t="n">
        <f aca="false">IF(BB$4=0,0,IF(COUNTIFS(実績!$W$6:$W$505,BB$3,実績!$AI$6:$AI$505,"&lt;="&amp;$A144,実績!$AJ$6:$AJ$505,"&gt;"&amp;$A144,実績!$AL$6:$AL$505,"○")&gt;0,1,0))</f>
        <v>0</v>
      </c>
      <c r="BC144" s="39" t="n">
        <f aca="false">IF(BC$4=0,0,IF(COUNTIFS(実績!$W$6:$W$505,BC$3,実績!$AI$6:$AI$505,"&lt;="&amp;$A144,実績!$AJ$6:$AJ$505,"&gt;"&amp;$A144,実績!$AL$6:$AL$505,"○")&gt;0,1,0))</f>
        <v>0</v>
      </c>
      <c r="BD144" s="39" t="n">
        <f aca="false">IF(BD$4=0,0,IF(COUNTIFS(実績!$W$6:$W$505,BD$3,実績!$AI$6:$AI$505,"&lt;="&amp;$A144,実績!$AJ$6:$AJ$505,"&gt;"&amp;$A144,実績!$AL$6:$AL$505,"○")&gt;0,1,0))</f>
        <v>0</v>
      </c>
      <c r="BE144" s="39" t="n">
        <f aca="false">IF(BE$4=0,0,IF(COUNTIFS(実績!$W$6:$W$505,BE$3,実績!$AI$6:$AI$505,"&lt;="&amp;$A144,実績!$AJ$6:$AJ$505,"&gt;"&amp;$A144,実績!$AL$6:$AL$505,"○")&gt;0,1,0))</f>
        <v>0</v>
      </c>
      <c r="BF144" s="39" t="n">
        <f aca="false">IF(BF$4=0,0,IF(COUNTIFS(実績!$W$6:$W$505,BF$3,実績!$AI$6:$AI$505,"&lt;="&amp;$A144,実績!$AJ$6:$AJ$505,"&gt;"&amp;$A144,実績!$AL$6:$AL$505,"○")&gt;0,1,0))</f>
        <v>0</v>
      </c>
      <c r="BG144" s="39" t="n">
        <f aca="false">IF(BG$4=0,0,IF(COUNTIFS(実績!$W$6:$W$505,BG$3,実績!$AI$6:$AI$505,"&lt;="&amp;$A144,実績!$AJ$6:$AJ$505,"&gt;"&amp;$A144,実績!$AL$6:$AL$505,"○")&gt;0,1,0))</f>
        <v>0</v>
      </c>
      <c r="BH144" s="39" t="n">
        <f aca="false">IF(BH$4=0,0,IF(COUNTIFS(実績!$W$6:$W$505,BH$3,実績!$AI$6:$AI$505,"&lt;="&amp;$A144,実績!$AJ$6:$AJ$505,"&gt;"&amp;$A144,実績!$AL$6:$AL$505,"○")&gt;0,1,0))</f>
        <v>0</v>
      </c>
      <c r="BI144" s="39" t="n">
        <f aca="false">IF(BI$4=0,0,IF(COUNTIFS(実績!$W$6:$W$505,BI$3,実績!$AI$6:$AI$505,"&lt;="&amp;$A144,実績!$AJ$6:$AJ$505,"&gt;"&amp;$A144,実績!$AL$6:$AL$505,"○")&gt;0,1,0))</f>
        <v>0</v>
      </c>
      <c r="BJ144" s="39" t="n">
        <f aca="false">IF(BJ$4=0,0,IF(COUNTIFS(実績!$W$6:$W$505,BJ$3,実績!$AI$6:$AI$505,"&lt;="&amp;$A144,実績!$AJ$6:$AJ$505,"&gt;"&amp;$A144,実績!$AL$6:$AL$505,"○")&gt;0,1,0))</f>
        <v>0</v>
      </c>
      <c r="BK144" s="39" t="n">
        <f aca="false">IF(BK$4=0,0,IF(COUNTIFS(実績!$W$6:$W$505,BK$3,実績!$AI$6:$AI$505,"&lt;="&amp;$A144,実績!$AJ$6:$AJ$505,"&gt;"&amp;$A144,実績!$AL$6:$AL$505,"○")&gt;0,1,0))</f>
        <v>0</v>
      </c>
      <c r="BL144" s="39" t="n">
        <f aca="false">IF(BL$4=0,0,IF(COUNTIFS(実績!$W$6:$W$505,BL$3,実績!$AI$6:$AI$505,"&lt;="&amp;$A144,実績!$AJ$6:$AJ$505,"&gt;"&amp;$A144,実績!$AL$6:$AL$505,"○")&gt;0,1,0))</f>
        <v>0</v>
      </c>
      <c r="BM144" s="39" t="n">
        <f aca="false">IF(BM$4=0,0,IF(COUNTIFS(実績!$W$6:$W$505,BM$3,実績!$AI$6:$AI$505,"&lt;="&amp;$A144,実績!$AJ$6:$AJ$505,"&gt;"&amp;$A144,実績!$AL$6:$AL$505,"○")&gt;0,1,0))</f>
        <v>0</v>
      </c>
      <c r="BN144" s="39" t="n">
        <f aca="false">IF(BN$4=0,0,IF(COUNTIFS(実績!$W$6:$W$505,BN$3,実績!$AI$6:$AI$505,"&lt;="&amp;$A144,実績!$AJ$6:$AJ$505,"&gt;"&amp;$A144,実績!$AL$6:$AL$505,"○")&gt;0,1,0))</f>
        <v>0</v>
      </c>
      <c r="BO144" s="39" t="n">
        <f aca="false">IF(BO$4=0,0,IF(COUNTIFS(実績!$W$6:$W$505,BO$3,実績!$AI$6:$AI$505,"&lt;="&amp;$A144,実績!$AJ$6:$AJ$505,"&gt;"&amp;$A144,実績!$AL$6:$AL$505,"○")&gt;0,1,0))</f>
        <v>0</v>
      </c>
      <c r="BP144" s="39" t="n">
        <f aca="false">IF(BP$4=0,0,IF(COUNTIFS(実績!$W$6:$W$505,BP$3,実績!$AI$6:$AI$505,"&lt;="&amp;$A144,実績!$AJ$6:$AJ$505,"&gt;"&amp;$A144,実績!$AL$6:$AL$505,"○")&gt;0,1,0))</f>
        <v>0</v>
      </c>
      <c r="BQ144" s="39" t="n">
        <f aca="false">IF(BQ$4=0,0,IF(COUNTIFS(実績!$W$6:$W$505,BQ$3,実績!$AI$6:$AI$505,"&lt;="&amp;$A144,実績!$AJ$6:$AJ$505,"&gt;"&amp;$A144,実績!$AL$6:$AL$505,"○")&gt;0,1,0))</f>
        <v>0</v>
      </c>
      <c r="BR144" s="39" t="n">
        <f aca="false">IF(BR$4=0,0,IF(COUNTIFS(実績!$W$6:$W$505,BR$3,実績!$AI$6:$AI$505,"&lt;="&amp;$A144,実績!$AJ$6:$AJ$505,"&gt;"&amp;$A144,実績!$AL$6:$AL$505,"○")&gt;0,1,0))</f>
        <v>0</v>
      </c>
      <c r="BS144" s="39" t="n">
        <f aca="false">IF(BS$4=0,0,IF(COUNTIFS(実績!$W$6:$W$505,BS$3,実績!$AI$6:$AI$505,"&lt;="&amp;$A144,実績!$AJ$6:$AJ$505,"&gt;"&amp;$A144,実績!$AL$6:$AL$505,"○")&gt;0,1,0))</f>
        <v>0</v>
      </c>
      <c r="BT144" s="39" t="n">
        <f aca="false">IF(BT$4=0,0,IF(COUNTIFS(実績!$W$6:$W$505,BT$3,実績!$AI$6:$AI$505,"&lt;="&amp;$A144,実績!$AJ$6:$AJ$505,"&gt;"&amp;$A144,実績!$AL$6:$AL$505,"○")&gt;0,1,0))</f>
        <v>0</v>
      </c>
      <c r="BU144" s="39" t="n">
        <f aca="false">IF(BU$4=0,0,IF(COUNTIFS(実績!$W$6:$W$505,BU$3,実績!$AI$6:$AI$505,"&lt;="&amp;$A144,実績!$AJ$6:$AJ$505,"&gt;"&amp;$A144,実績!$AL$6:$AL$505,"○")&gt;0,1,0))</f>
        <v>0</v>
      </c>
      <c r="BV144" s="39" t="n">
        <f aca="false">IF(BV$4=0,0,IF(COUNTIFS(実績!$W$6:$W$505,BV$3,実績!$AI$6:$AI$505,"&lt;="&amp;$A144,実績!$AJ$6:$AJ$505,"&gt;"&amp;$A144,実績!$AL$6:$AL$505,"○")&gt;0,1,0))</f>
        <v>0</v>
      </c>
      <c r="BW144" s="39" t="n">
        <f aca="false">IF(BW$4=0,0,IF(COUNTIFS(実績!$W$6:$W$505,BW$3,実績!$AI$6:$AI$505,"&lt;="&amp;$A144,実績!$AJ$6:$AJ$505,"&gt;"&amp;$A144,実績!$AL$6:$AL$505,"○")&gt;0,1,0))</f>
        <v>0</v>
      </c>
      <c r="BX144" s="39" t="n">
        <f aca="false">IF(BX$4=0,0,IF(COUNTIFS(実績!$W$6:$W$505,BX$3,実績!$AI$6:$AI$505,"&lt;="&amp;$A144,実績!$AJ$6:$AJ$505,"&gt;"&amp;$A144,実績!$AL$6:$AL$505,"○")&gt;0,1,0))</f>
        <v>0</v>
      </c>
      <c r="BY144" s="39" t="n">
        <f aca="false">IF(BY$4=0,0,IF(COUNTIFS(実績!$W$6:$W$505,BY$3,実績!$AI$6:$AI$505,"&lt;="&amp;$A144,実績!$AJ$6:$AJ$505,"&gt;"&amp;$A144,実績!$AL$6:$AL$505,"○")&gt;0,1,0))</f>
        <v>0</v>
      </c>
      <c r="BZ144" s="39" t="n">
        <f aca="false">IF(BZ$4=0,0,IF(COUNTIFS(実績!$W$6:$W$505,BZ$3,実績!$AI$6:$AI$505,"&lt;="&amp;$A144,実績!$AJ$6:$AJ$505,"&gt;"&amp;$A144,実績!$AL$6:$AL$505,"○")&gt;0,1,0))</f>
        <v>0</v>
      </c>
      <c r="CA144" s="39" t="n">
        <f aca="false">IF(CA$4=0,0,IF(COUNTIFS(実績!$W$6:$W$505,CA$3,実績!$AI$6:$AI$505,"&lt;="&amp;$A144,実績!$AJ$6:$AJ$505,"&gt;"&amp;$A144,実績!$AL$6:$AL$505,"○")&gt;0,1,0))</f>
        <v>0</v>
      </c>
      <c r="CB144" s="39" t="n">
        <f aca="false">IF(CB$4=0,0,IF(COUNTIFS(実績!$W$6:$W$505,CB$3,実績!$AI$6:$AI$505,"&lt;="&amp;$A144,実績!$AJ$6:$AJ$505,"&gt;"&amp;$A144,実績!$AL$6:$AL$505,"○")&gt;0,1,0))</f>
        <v>0</v>
      </c>
      <c r="CC144" s="39" t="n">
        <f aca="false">IF(CC$4=0,0,IF(COUNTIFS(実績!$W$6:$W$505,CC$3,実績!$AI$6:$AI$505,"&lt;="&amp;$A144,実績!$AJ$6:$AJ$505,"&gt;"&amp;$A144,実績!$AL$6:$AL$505,"○")&gt;0,1,0))</f>
        <v>0</v>
      </c>
      <c r="CD144" s="39" t="n">
        <f aca="false">IF(CD$4=0,0,IF(COUNTIFS(実績!$W$6:$W$505,CD$3,実績!$AI$6:$AI$505,"&lt;="&amp;$A144,実績!$AJ$6:$AJ$505,"&gt;"&amp;$A144,実績!$AL$6:$AL$505,"○")&gt;0,1,0))</f>
        <v>0</v>
      </c>
      <c r="CE144" s="39" t="n">
        <f aca="false">IF(CE$4=0,0,IF(COUNTIFS(実績!$W$6:$W$505,CE$3,実績!$AI$6:$AI$505,"&lt;="&amp;$A144,実績!$AJ$6:$AJ$505,"&gt;"&amp;$A144,実績!$AL$6:$AL$505,"○")&gt;0,1,0))</f>
        <v>0</v>
      </c>
      <c r="CF144" s="39" t="n">
        <f aca="false">IF(CF$4=0,0,IF(COUNTIFS(実績!$W$6:$W$505,CF$3,実績!$AI$6:$AI$505,"&lt;="&amp;$A144,実績!$AJ$6:$AJ$505,"&gt;"&amp;$A144,実績!$AL$6:$AL$505,"○")&gt;0,1,0))</f>
        <v>0</v>
      </c>
      <c r="CG144" s="39" t="n">
        <f aca="false">IF(CG$4=0,0,IF(COUNTIFS(実績!$W$6:$W$505,CG$3,実績!$AI$6:$AI$505,"&lt;="&amp;$A144,実績!$AJ$6:$AJ$505,"&gt;"&amp;$A144,実績!$AL$6:$AL$505,"○")&gt;0,1,0))</f>
        <v>0</v>
      </c>
      <c r="CH144" s="39" t="n">
        <f aca="false">IF(CH$4=0,0,IF(COUNTIFS(実績!$W$6:$W$505,CH$3,実績!$AI$6:$AI$505,"&lt;="&amp;$A144,実績!$AJ$6:$AJ$505,"&gt;"&amp;$A144,実績!$AL$6:$AL$505,"○")&gt;0,1,0))</f>
        <v>0</v>
      </c>
      <c r="CI144" s="39" t="n">
        <f aca="false">IF(CI$4=0,0,IF(COUNTIFS(実績!$W$6:$W$505,CI$3,実績!$AI$6:$AI$505,"&lt;="&amp;$A144,実績!$AJ$6:$AJ$505,"&gt;"&amp;$A144,実績!$AL$6:$AL$505,"○")&gt;0,1,0))</f>
        <v>0</v>
      </c>
      <c r="CJ144" s="39" t="n">
        <f aca="false">IF(CJ$4=0,0,IF(COUNTIFS(実績!$W$6:$W$505,CJ$3,実績!$AI$6:$AI$505,"&lt;="&amp;$A144,実績!$AJ$6:$AJ$505,"&gt;"&amp;$A144,実績!$AL$6:$AL$505,"○")&gt;0,1,0))</f>
        <v>0</v>
      </c>
      <c r="CK144" s="39" t="n">
        <f aca="false">IF(CK$4=0,0,IF(COUNTIFS(実績!$W$6:$W$505,CK$3,実績!$AI$6:$AI$505,"&lt;="&amp;$A144,実績!$AJ$6:$AJ$505,"&gt;"&amp;$A144,実績!$AL$6:$AL$505,"○")&gt;0,1,0))</f>
        <v>0</v>
      </c>
      <c r="CL144" s="39" t="n">
        <f aca="false">IF(CL$4=0,0,IF(COUNTIFS(実績!$W$6:$W$505,CL$3,実績!$AI$6:$AI$505,"&lt;="&amp;$A144,実績!$AJ$6:$AJ$505,"&gt;"&amp;$A144,実績!$AL$6:$AL$505,"○")&gt;0,1,0))</f>
        <v>0</v>
      </c>
      <c r="CM144" s="39" t="n">
        <f aca="false">IF(CM$4=0,0,IF(COUNTIFS(実績!$W$6:$W$505,CM$3,実績!$AI$6:$AI$505,"&lt;="&amp;$A144,実績!$AJ$6:$AJ$505,"&gt;"&amp;$A144,実績!$AL$6:$AL$505,"○")&gt;0,1,0))</f>
        <v>0</v>
      </c>
      <c r="CN144" s="39" t="n">
        <f aca="false">IF(CN$4=0,0,IF(COUNTIFS(実績!$W$6:$W$505,CN$3,実績!$AI$6:$AI$505,"&lt;="&amp;$A144,実績!$AJ$6:$AJ$505,"&gt;"&amp;$A144,実績!$AL$6:$AL$505,"○")&gt;0,1,0))</f>
        <v>0</v>
      </c>
      <c r="CO144" s="39" t="n">
        <f aca="false">IF(CO$4=0,0,IF(COUNTIFS(実績!$W$6:$W$505,CO$3,実績!$AI$6:$AI$505,"&lt;="&amp;$A144,実績!$AJ$6:$AJ$505,"&gt;"&amp;$A144,実績!$AL$6:$AL$505,"○")&gt;0,1,0))</f>
        <v>0</v>
      </c>
      <c r="CP144" s="39" t="n">
        <f aca="false">IF(CP$4=0,0,IF(COUNTIFS(実績!$W$6:$W$505,CP$3,実績!$AI$6:$AI$505,"&lt;="&amp;$A144,実績!$AJ$6:$AJ$505,"&gt;"&amp;$A144,実績!$AL$6:$AL$505,"○")&gt;0,1,0))</f>
        <v>0</v>
      </c>
      <c r="CQ144" s="39" t="n">
        <f aca="false">IF(CQ$4=0,0,IF(COUNTIFS(実績!$W$6:$W$505,CQ$3,実績!$AI$6:$AI$505,"&lt;="&amp;$A144,実績!$AJ$6:$AJ$505,"&gt;"&amp;$A144,実績!$AL$6:$AL$505,"○")&gt;0,1,0))</f>
        <v>0</v>
      </c>
      <c r="CR144" s="39" t="n">
        <f aca="false">IF(CR$4=0,0,IF(COUNTIFS(実績!$W$6:$W$505,CR$3,実績!$AI$6:$AI$505,"&lt;="&amp;$A144,実績!$AJ$6:$AJ$505,"&gt;"&amp;$A144,実績!$AL$6:$AL$505,"○")&gt;0,1,0))</f>
        <v>0</v>
      </c>
      <c r="CS144" s="39" t="n">
        <f aca="false">IF(CS$4=0,0,IF(COUNTIFS(実績!$W$6:$W$505,CS$3,実績!$AI$6:$AI$505,"&lt;="&amp;$A144,実績!$AJ$6:$AJ$505,"&gt;"&amp;$A144,実績!$AL$6:$AL$505,"○")&gt;0,1,0))</f>
        <v>0</v>
      </c>
      <c r="CT144" s="39" t="n">
        <f aca="false">IF(CT$4=0,0,IF(COUNTIFS(実績!$W$6:$W$505,CT$3,実績!$AI$6:$AI$505,"&lt;="&amp;$A144,実績!$AJ$6:$AJ$505,"&gt;"&amp;$A144,実績!$AL$6:$AL$505,"○")&gt;0,1,0))</f>
        <v>0</v>
      </c>
      <c r="CU144" s="39" t="n">
        <f aca="false">IF(CU$4=0,0,IF(COUNTIFS(実績!$W$6:$W$505,CU$3,実績!$AI$6:$AI$505,"&lt;="&amp;$A144,実績!$AJ$6:$AJ$505,"&gt;"&amp;$A144,実績!$AL$6:$AL$505,"○")&gt;0,1,0))</f>
        <v>0</v>
      </c>
      <c r="CV144" s="39" t="n">
        <f aca="false">IF(CV$4=0,0,IF(COUNTIFS(実績!$W$6:$W$505,CV$3,実績!$AI$6:$AI$505,"&lt;="&amp;$A144,実績!$AJ$6:$AJ$505,"&gt;"&amp;$A144,実績!$AL$6:$AL$505,"○")&gt;0,1,0))</f>
        <v>0</v>
      </c>
      <c r="CW144" s="39" t="n">
        <f aca="false">IF(CW$4=0,0,IF(COUNTIFS(実績!$W$6:$W$505,CW$3,実績!$AI$6:$AI$505,"&lt;="&amp;$A144,実績!$AJ$6:$AJ$505,"&gt;"&amp;$A144,実績!$AL$6:$AL$505,"○")&gt;0,1,0))</f>
        <v>0</v>
      </c>
      <c r="CX144" s="39" t="n">
        <f aca="false">IF(CX$4=0,0,IF(COUNTIFS(実績!$W$6:$W$505,CX$3,実績!$AI$6:$AI$505,"&lt;="&amp;$A144,実績!$AJ$6:$AJ$505,"&gt;"&amp;$A144,実績!$AL$6:$AL$505,"○")&gt;0,1,0))</f>
        <v>0</v>
      </c>
      <c r="CY144" s="39" t="n">
        <f aca="false">IF(CY$4=0,0,IF(COUNTIFS(実績!$W$6:$W$505,CY$3,実績!$AI$6:$AI$505,"&lt;="&amp;$A144,実績!$AJ$6:$AJ$505,"&gt;"&amp;$A144,実績!$AL$6:$AL$505,"○")&gt;0,1,0))</f>
        <v>0</v>
      </c>
      <c r="CZ144" s="39" t="n">
        <f aca="false">IF(CZ$4=0,0,IF(COUNTIFS(実績!$W$6:$W$505,CZ$3,実績!$AI$6:$AI$505,"&lt;="&amp;$A144,実績!$AJ$6:$AJ$505,"&gt;"&amp;$A144,実績!$AL$6:$AL$505,"○")&gt;0,1,0))</f>
        <v>0</v>
      </c>
      <c r="DA144" s="39" t="n">
        <f aca="false">IF(DA$4=0,0,IF(COUNTIFS(実績!$W$6:$W$505,DA$3,実績!$AI$6:$AI$505,"&lt;="&amp;$A144,実績!$AJ$6:$AJ$505,"&gt;"&amp;$A144,実績!$AL$6:$AL$505,"○")&gt;0,1,0))</f>
        <v>0</v>
      </c>
      <c r="DB144" s="39" t="n">
        <f aca="false">IF(DB$4=0,0,IF(COUNTIFS(実績!$W$6:$W$505,DB$3,実績!$AI$6:$AI$505,"&lt;="&amp;$A144,実績!$AJ$6:$AJ$505,"&gt;"&amp;$A144,実績!$AL$6:$AL$505,"○")&gt;0,1,0))</f>
        <v>0</v>
      </c>
      <c r="DC144" s="39" t="n">
        <f aca="false">IF(DC$4=0,0,IF(COUNTIFS(実績!$W$6:$W$505,DC$3,実績!$AI$6:$AI$505,"&lt;="&amp;$A144,実績!$AJ$6:$AJ$505,"&gt;"&amp;$A144,実績!$AL$6:$AL$505,"○")&gt;0,1,0))</f>
        <v>0</v>
      </c>
      <c r="DD144" s="39" t="n">
        <f aca="false">IF(DD$4=0,0,IF(COUNTIFS(実績!$W$6:$W$505,DD$3,実績!$AI$6:$AI$505,"&lt;="&amp;$A144,実績!$AJ$6:$AJ$505,"&gt;"&amp;$A144,実績!$AL$6:$AL$505,"○")&gt;0,1,0))</f>
        <v>0</v>
      </c>
      <c r="DE144" s="39" t="n">
        <f aca="false">IF(DE$4=0,0,IF(COUNTIFS(実績!$W$6:$W$505,DE$3,実績!$AI$6:$AI$505,"&lt;="&amp;$A144,実績!$AJ$6:$AJ$505,"&gt;"&amp;$A144,実績!$AL$6:$AL$505,"○")&gt;0,1,0))</f>
        <v>0</v>
      </c>
      <c r="DF144" s="39" t="n">
        <f aca="false">IF(DF$4=0,0,IF(COUNTIFS(実績!$W$6:$W$505,DF$3,実績!$AI$6:$AI$505,"&lt;="&amp;$A144,実績!$AJ$6:$AJ$505,"&gt;"&amp;$A144,実績!$AL$6:$AL$505,"○")&gt;0,1,0))</f>
        <v>0</v>
      </c>
      <c r="DG144" s="39" t="n">
        <f aca="false">IF(DG$4=0,0,IF(COUNTIFS(実績!$W$6:$W$505,DG$3,実績!$AI$6:$AI$505,"&lt;="&amp;$A144,実績!$AJ$6:$AJ$505,"&gt;"&amp;$A144,実績!$AL$6:$AL$505,"○")&gt;0,1,0))</f>
        <v>0</v>
      </c>
      <c r="DH144" s="39" t="n">
        <f aca="false">IF(DH$4=0,0,IF(COUNTIFS(実績!$W$6:$W$505,DH$3,実績!$AI$6:$AI$505,"&lt;="&amp;$A144,実績!$AJ$6:$AJ$505,"&gt;"&amp;$A144,実績!$AL$6:$AL$505,"○")&gt;0,1,0))</f>
        <v>0</v>
      </c>
      <c r="DI144" s="39" t="n">
        <f aca="false">IF(DI$4=0,0,IF(COUNTIFS(実績!$W$6:$W$505,DI$3,実績!$AI$6:$AI$505,"&lt;="&amp;$A144,実績!$AJ$6:$AJ$505,"&gt;"&amp;$A144,実績!$AL$6:$AL$505,"○")&gt;0,1,0))</f>
        <v>0</v>
      </c>
      <c r="DJ144" s="39" t="n">
        <f aca="false">IF(DJ$4=0,0,IF(COUNTIFS(実績!$W$6:$W$505,DJ$3,実績!$AI$6:$AI$505,"&lt;="&amp;$A144,実績!$AJ$6:$AJ$505,"&gt;"&amp;$A144,実績!$AL$6:$AL$505,"○")&gt;0,1,0))</f>
        <v>0</v>
      </c>
      <c r="DK144" s="39" t="n">
        <f aca="false">IF(DK$4=0,0,IF(COUNTIFS(実績!$W$6:$W$505,DK$3,実績!$AI$6:$AI$505,"&lt;="&amp;$A144,実績!$AJ$6:$AJ$505,"&gt;"&amp;$A144,実績!$AL$6:$AL$505,"○")&gt;0,1,0))</f>
        <v>0</v>
      </c>
      <c r="DL144" s="39" t="n">
        <f aca="false">IF(DL$4=0,0,IF(COUNTIFS(実績!$W$6:$W$505,DL$3,実績!$AI$6:$AI$505,"&lt;="&amp;$A144,実績!$AJ$6:$AJ$505,"&gt;"&amp;$A144,実績!$AL$6:$AL$505,"○")&gt;0,1,0))</f>
        <v>0</v>
      </c>
      <c r="DM144" s="39" t="n">
        <f aca="false">IF(DM$4=0,0,IF(COUNTIFS(実績!$W$6:$W$505,DM$3,実績!$AI$6:$AI$505,"&lt;="&amp;$A144,実績!$AJ$6:$AJ$505,"&gt;"&amp;$A144,実績!$AL$6:$AL$505,"○")&gt;0,1,0))</f>
        <v>0</v>
      </c>
      <c r="DN144" s="39" t="n">
        <f aca="false">IF(DN$4=0,0,IF(COUNTIFS(実績!$W$6:$W$505,DN$3,実績!$AI$6:$AI$505,"&lt;="&amp;$A144,実績!$AJ$6:$AJ$505,"&gt;"&amp;$A144,実績!$AL$6:$AL$505,"○")&gt;0,1,0))</f>
        <v>0</v>
      </c>
      <c r="DO144" s="39" t="n">
        <f aca="false">IF(DO$4=0,0,IF(COUNTIFS(実績!$W$6:$W$505,DO$3,実績!$AI$6:$AI$505,"&lt;="&amp;$A144,実績!$AJ$6:$AJ$505,"&gt;"&amp;$A144,実績!$AL$6:$AL$505,"○")&gt;0,1,0))</f>
        <v>0</v>
      </c>
      <c r="DP144" s="39" t="n">
        <f aca="false">IF(DP$4=0,0,IF(COUNTIFS(実績!$W$6:$W$505,DP$3,実績!$AI$6:$AI$505,"&lt;="&amp;$A144,実績!$AJ$6:$AJ$505,"&gt;"&amp;$A144,実績!$AL$6:$AL$505,"○")&gt;0,1,0))</f>
        <v>0</v>
      </c>
      <c r="DQ144" s="39" t="n">
        <f aca="false">IF(DQ$4=0,0,IF(COUNTIFS(実績!$W$6:$W$505,DQ$3,実績!$AI$6:$AI$505,"&lt;="&amp;$A144,実績!$AJ$6:$AJ$505,"&gt;"&amp;$A144,実績!$AL$6:$AL$505,"○")&gt;0,1,0))</f>
        <v>0</v>
      </c>
      <c r="DR144" s="39" t="n">
        <f aca="false">IF(DR$4=0,0,IF(COUNTIFS(実績!$W$6:$W$505,DR$3,実績!$AI$6:$AI$505,"&lt;="&amp;$A144,実績!$AJ$6:$AJ$505,"&gt;"&amp;$A144,実績!$AL$6:$AL$505,"○")&gt;0,1,0))</f>
        <v>0</v>
      </c>
      <c r="DS144" s="39" t="n">
        <f aca="false">SUM(C144:DR144)</f>
        <v>0</v>
      </c>
    </row>
    <row r="145" customFormat="false" ht="15" hidden="false" customHeight="false" outlineLevel="0" collapsed="false">
      <c r="A145" s="0" t="n">
        <v>695</v>
      </c>
      <c r="B145" s="38" t="n">
        <f aca="false">A145/1440</f>
        <v>0.482638888888889</v>
      </c>
      <c r="C145" s="39" t="n">
        <f aca="false">IF(C$4=0,0,IF(COUNTIFS(実績!$W$6:$W$505,C$3,実績!$AI$6:$AI$505,"&lt;="&amp;$A145,実績!$AJ$6:$AJ$505,"&gt;"&amp;$A145,実績!$AL$6:$AL$505,"○")&gt;0,1,0))</f>
        <v>0</v>
      </c>
      <c r="D145" s="39" t="n">
        <f aca="false">IF(D$4=0,0,IF(COUNTIFS(実績!$W$6:$W$505,D$3,実績!$AI$6:$AI$505,"&lt;="&amp;$A145,実績!$AJ$6:$AJ$505,"&gt;"&amp;$A145,実績!$AL$6:$AL$505,"○")&gt;0,1,0))</f>
        <v>0</v>
      </c>
      <c r="E145" s="39" t="n">
        <f aca="false">IF(E$4=0,0,IF(COUNTIFS(実績!$W$6:$W$505,E$3,実績!$AI$6:$AI$505,"&lt;="&amp;$A145,実績!$AJ$6:$AJ$505,"&gt;"&amp;$A145,実績!$AL$6:$AL$505,"○")&gt;0,1,0))</f>
        <v>0</v>
      </c>
      <c r="F145" s="39" t="n">
        <f aca="false">IF(F$4=0,0,IF(COUNTIFS(実績!$W$6:$W$505,F$3,実績!$AI$6:$AI$505,"&lt;="&amp;$A145,実績!$AJ$6:$AJ$505,"&gt;"&amp;$A145,実績!$AL$6:$AL$505,"○")&gt;0,1,0))</f>
        <v>0</v>
      </c>
      <c r="G145" s="39" t="n">
        <f aca="false">IF(G$4=0,0,IF(COUNTIFS(実績!$W$6:$W$505,G$3,実績!$AI$6:$AI$505,"&lt;="&amp;$A145,実績!$AJ$6:$AJ$505,"&gt;"&amp;$A145,実績!$AL$6:$AL$505,"○")&gt;0,1,0))</f>
        <v>0</v>
      </c>
      <c r="H145" s="39" t="n">
        <f aca="false">IF(H$4=0,0,IF(COUNTIFS(実績!$W$6:$W$505,H$3,実績!$AI$6:$AI$505,"&lt;="&amp;$A145,実績!$AJ$6:$AJ$505,"&gt;"&amp;$A145,実績!$AL$6:$AL$505,"○")&gt;0,1,0))</f>
        <v>0</v>
      </c>
      <c r="I145" s="39" t="n">
        <f aca="false">IF(I$4=0,0,IF(COUNTIFS(実績!$W$6:$W$505,I$3,実績!$AI$6:$AI$505,"&lt;="&amp;$A145,実績!$AJ$6:$AJ$505,"&gt;"&amp;$A145,実績!$AL$6:$AL$505,"○")&gt;0,1,0))</f>
        <v>0</v>
      </c>
      <c r="J145" s="39" t="n">
        <f aca="false">IF(J$4=0,0,IF(COUNTIFS(実績!$W$6:$W$505,J$3,実績!$AI$6:$AI$505,"&lt;="&amp;$A145,実績!$AJ$6:$AJ$505,"&gt;"&amp;$A145,実績!$AL$6:$AL$505,"○")&gt;0,1,0))</f>
        <v>0</v>
      </c>
      <c r="K145" s="39" t="n">
        <f aca="false">IF(K$4=0,0,IF(COUNTIFS(実績!$W$6:$W$505,K$3,実績!$AI$6:$AI$505,"&lt;="&amp;$A145,実績!$AJ$6:$AJ$505,"&gt;"&amp;$A145,実績!$AL$6:$AL$505,"○")&gt;0,1,0))</f>
        <v>0</v>
      </c>
      <c r="L145" s="39" t="n">
        <f aca="false">IF(L$4=0,0,IF(COUNTIFS(実績!$W$6:$W$505,L$3,実績!$AI$6:$AI$505,"&lt;="&amp;$A145,実績!$AJ$6:$AJ$505,"&gt;"&amp;$A145,実績!$AL$6:$AL$505,"○")&gt;0,1,0))</f>
        <v>0</v>
      </c>
      <c r="M145" s="39" t="n">
        <f aca="false">IF(M$4=0,0,IF(COUNTIFS(実績!$W$6:$W$505,M$3,実績!$AI$6:$AI$505,"&lt;="&amp;$A145,実績!$AJ$6:$AJ$505,"&gt;"&amp;$A145,実績!$AL$6:$AL$505,"○")&gt;0,1,0))</f>
        <v>0</v>
      </c>
      <c r="N145" s="39" t="n">
        <f aca="false">IF(N$4=0,0,IF(COUNTIFS(実績!$W$6:$W$505,N$3,実績!$AI$6:$AI$505,"&lt;="&amp;$A145,実績!$AJ$6:$AJ$505,"&gt;"&amp;$A145,実績!$AL$6:$AL$505,"○")&gt;0,1,0))</f>
        <v>0</v>
      </c>
      <c r="O145" s="39" t="n">
        <f aca="false">IF(O$4=0,0,IF(COUNTIFS(実績!$W$6:$W$505,O$3,実績!$AI$6:$AI$505,"&lt;="&amp;$A145,実績!$AJ$6:$AJ$505,"&gt;"&amp;$A145,実績!$AL$6:$AL$505,"○")&gt;0,1,0))</f>
        <v>0</v>
      </c>
      <c r="P145" s="39" t="n">
        <f aca="false">IF(P$4=0,0,IF(COUNTIFS(実績!$W$6:$W$505,P$3,実績!$AI$6:$AI$505,"&lt;="&amp;$A145,実績!$AJ$6:$AJ$505,"&gt;"&amp;$A145,実績!$AL$6:$AL$505,"○")&gt;0,1,0))</f>
        <v>0</v>
      </c>
      <c r="Q145" s="39" t="n">
        <f aca="false">IF(Q$4=0,0,IF(COUNTIFS(実績!$W$6:$W$505,Q$3,実績!$AI$6:$AI$505,"&lt;="&amp;$A145,実績!$AJ$6:$AJ$505,"&gt;"&amp;$A145,実績!$AL$6:$AL$505,"○")&gt;0,1,0))</f>
        <v>0</v>
      </c>
      <c r="R145" s="39" t="n">
        <f aca="false">IF(R$4=0,0,IF(COUNTIFS(実績!$W$6:$W$505,R$3,実績!$AI$6:$AI$505,"&lt;="&amp;$A145,実績!$AJ$6:$AJ$505,"&gt;"&amp;$A145,実績!$AL$6:$AL$505,"○")&gt;0,1,0))</f>
        <v>0</v>
      </c>
      <c r="S145" s="39" t="n">
        <f aca="false">IF(S$4=0,0,IF(COUNTIFS(実績!$W$6:$W$505,S$3,実績!$AI$6:$AI$505,"&lt;="&amp;$A145,実績!$AJ$6:$AJ$505,"&gt;"&amp;$A145,実績!$AL$6:$AL$505,"○")&gt;0,1,0))</f>
        <v>0</v>
      </c>
      <c r="T145" s="39" t="n">
        <f aca="false">IF(T$4=0,0,IF(COUNTIFS(実績!$W$6:$W$505,T$3,実績!$AI$6:$AI$505,"&lt;="&amp;$A145,実績!$AJ$6:$AJ$505,"&gt;"&amp;$A145,実績!$AL$6:$AL$505,"○")&gt;0,1,0))</f>
        <v>0</v>
      </c>
      <c r="U145" s="39" t="n">
        <f aca="false">IF(U$4=0,0,IF(COUNTIFS(実績!$W$6:$W$505,U$3,実績!$AI$6:$AI$505,"&lt;="&amp;$A145,実績!$AJ$6:$AJ$505,"&gt;"&amp;$A145,実績!$AL$6:$AL$505,"○")&gt;0,1,0))</f>
        <v>0</v>
      </c>
      <c r="V145" s="39" t="n">
        <f aca="false">IF(V$4=0,0,IF(COUNTIFS(実績!$W$6:$W$505,V$3,実績!$AI$6:$AI$505,"&lt;="&amp;$A145,実績!$AJ$6:$AJ$505,"&gt;"&amp;$A145,実績!$AL$6:$AL$505,"○")&gt;0,1,0))</f>
        <v>0</v>
      </c>
      <c r="W145" s="39" t="n">
        <f aca="false">IF(W$4=0,0,IF(COUNTIFS(実績!$W$6:$W$505,W$3,実績!$AI$6:$AI$505,"&lt;="&amp;$A145,実績!$AJ$6:$AJ$505,"&gt;"&amp;$A145,実績!$AL$6:$AL$505,"○")&gt;0,1,0))</f>
        <v>0</v>
      </c>
      <c r="X145" s="39" t="n">
        <f aca="false">IF(X$4=0,0,IF(COUNTIFS(実績!$W$6:$W$505,X$3,実績!$AI$6:$AI$505,"&lt;="&amp;$A145,実績!$AJ$6:$AJ$505,"&gt;"&amp;$A145,実績!$AL$6:$AL$505,"○")&gt;0,1,0))</f>
        <v>0</v>
      </c>
      <c r="Y145" s="39" t="n">
        <f aca="false">IF(Y$4=0,0,IF(COUNTIFS(実績!$W$6:$W$505,Y$3,実績!$AI$6:$AI$505,"&lt;="&amp;$A145,実績!$AJ$6:$AJ$505,"&gt;"&amp;$A145,実績!$AL$6:$AL$505,"○")&gt;0,1,0))</f>
        <v>0</v>
      </c>
      <c r="Z145" s="39" t="n">
        <f aca="false">IF(Z$4=0,0,IF(COUNTIFS(実績!$W$6:$W$505,Z$3,実績!$AI$6:$AI$505,"&lt;="&amp;$A145,実績!$AJ$6:$AJ$505,"&gt;"&amp;$A145,実績!$AL$6:$AL$505,"○")&gt;0,1,0))</f>
        <v>0</v>
      </c>
      <c r="AA145" s="39" t="n">
        <f aca="false">IF(AA$4=0,0,IF(COUNTIFS(実績!$W$6:$W$505,AA$3,実績!$AI$6:$AI$505,"&lt;="&amp;$A145,実績!$AJ$6:$AJ$505,"&gt;"&amp;$A145,実績!$AL$6:$AL$505,"○")&gt;0,1,0))</f>
        <v>0</v>
      </c>
      <c r="AB145" s="39" t="n">
        <f aca="false">IF(AB$4=0,0,IF(COUNTIFS(実績!$W$6:$W$505,AB$3,実績!$AI$6:$AI$505,"&lt;="&amp;$A145,実績!$AJ$6:$AJ$505,"&gt;"&amp;$A145,実績!$AL$6:$AL$505,"○")&gt;0,1,0))</f>
        <v>0</v>
      </c>
      <c r="AC145" s="39" t="n">
        <f aca="false">IF(AC$4=0,0,IF(COUNTIFS(実績!$W$6:$W$505,AC$3,実績!$AI$6:$AI$505,"&lt;="&amp;$A145,実績!$AJ$6:$AJ$505,"&gt;"&amp;$A145,実績!$AL$6:$AL$505,"○")&gt;0,1,0))</f>
        <v>0</v>
      </c>
      <c r="AD145" s="39" t="n">
        <f aca="false">IF(AD$4=0,0,IF(COUNTIFS(実績!$W$6:$W$505,AD$3,実績!$AI$6:$AI$505,"&lt;="&amp;$A145,実績!$AJ$6:$AJ$505,"&gt;"&amp;$A145,実績!$AL$6:$AL$505,"○")&gt;0,1,0))</f>
        <v>0</v>
      </c>
      <c r="AE145" s="39" t="n">
        <f aca="false">IF(AE$4=0,0,IF(COUNTIFS(実績!$W$6:$W$505,AE$3,実績!$AI$6:$AI$505,"&lt;="&amp;$A145,実績!$AJ$6:$AJ$505,"&gt;"&amp;$A145,実績!$AL$6:$AL$505,"○")&gt;0,1,0))</f>
        <v>0</v>
      </c>
      <c r="AF145" s="39" t="n">
        <f aca="false">IF(AF$4=0,0,IF(COUNTIFS(実績!$W$6:$W$505,AF$3,実績!$AI$6:$AI$505,"&lt;="&amp;$A145,実績!$AJ$6:$AJ$505,"&gt;"&amp;$A145,実績!$AL$6:$AL$505,"○")&gt;0,1,0))</f>
        <v>0</v>
      </c>
      <c r="AG145" s="39" t="n">
        <f aca="false">IF(AG$4=0,0,IF(COUNTIFS(実績!$W$6:$W$505,AG$3,実績!$AI$6:$AI$505,"&lt;="&amp;$A145,実績!$AJ$6:$AJ$505,"&gt;"&amp;$A145,実績!$AL$6:$AL$505,"○")&gt;0,1,0))</f>
        <v>0</v>
      </c>
      <c r="AH145" s="39" t="n">
        <f aca="false">IF(AH$4=0,0,IF(COUNTIFS(実績!$W$6:$W$505,AH$3,実績!$AI$6:$AI$505,"&lt;="&amp;$A145,実績!$AJ$6:$AJ$505,"&gt;"&amp;$A145,実績!$AL$6:$AL$505,"○")&gt;0,1,0))</f>
        <v>0</v>
      </c>
      <c r="AI145" s="39" t="n">
        <f aca="false">IF(AI$4=0,0,IF(COUNTIFS(実績!$W$6:$W$505,AI$3,実績!$AI$6:$AI$505,"&lt;="&amp;$A145,実績!$AJ$6:$AJ$505,"&gt;"&amp;$A145,実績!$AL$6:$AL$505,"○")&gt;0,1,0))</f>
        <v>0</v>
      </c>
      <c r="AJ145" s="39" t="n">
        <f aca="false">IF(AJ$4=0,0,IF(COUNTIFS(実績!$W$6:$W$505,AJ$3,実績!$AI$6:$AI$505,"&lt;="&amp;$A145,実績!$AJ$6:$AJ$505,"&gt;"&amp;$A145,実績!$AL$6:$AL$505,"○")&gt;0,1,0))</f>
        <v>0</v>
      </c>
      <c r="AK145" s="39" t="n">
        <f aca="false">IF(AK$4=0,0,IF(COUNTIFS(実績!$W$6:$W$505,AK$3,実績!$AI$6:$AI$505,"&lt;="&amp;$A145,実績!$AJ$6:$AJ$505,"&gt;"&amp;$A145,実績!$AL$6:$AL$505,"○")&gt;0,1,0))</f>
        <v>0</v>
      </c>
      <c r="AL145" s="39" t="n">
        <f aca="false">IF(AL$4=0,0,IF(COUNTIFS(実績!$W$6:$W$505,AL$3,実績!$AI$6:$AI$505,"&lt;="&amp;$A145,実績!$AJ$6:$AJ$505,"&gt;"&amp;$A145,実績!$AL$6:$AL$505,"○")&gt;0,1,0))</f>
        <v>0</v>
      </c>
      <c r="AM145" s="39" t="n">
        <f aca="false">IF(AM$4=0,0,IF(COUNTIFS(実績!$W$6:$W$505,AM$3,実績!$AI$6:$AI$505,"&lt;="&amp;$A145,実績!$AJ$6:$AJ$505,"&gt;"&amp;$A145,実績!$AL$6:$AL$505,"○")&gt;0,1,0))</f>
        <v>0</v>
      </c>
      <c r="AN145" s="39" t="n">
        <f aca="false">IF(AN$4=0,0,IF(COUNTIFS(実績!$W$6:$W$505,AN$3,実績!$AI$6:$AI$505,"&lt;="&amp;$A145,実績!$AJ$6:$AJ$505,"&gt;"&amp;$A145,実績!$AL$6:$AL$505,"○")&gt;0,1,0))</f>
        <v>0</v>
      </c>
      <c r="AO145" s="39" t="n">
        <f aca="false">IF(AO$4=0,0,IF(COUNTIFS(実績!$W$6:$W$505,AO$3,実績!$AI$6:$AI$505,"&lt;="&amp;$A145,実績!$AJ$6:$AJ$505,"&gt;"&amp;$A145,実績!$AL$6:$AL$505,"○")&gt;0,1,0))</f>
        <v>0</v>
      </c>
      <c r="AP145" s="39" t="n">
        <f aca="false">IF(AP$4=0,0,IF(COUNTIFS(実績!$W$6:$W$505,AP$3,実績!$AI$6:$AI$505,"&lt;="&amp;$A145,実績!$AJ$6:$AJ$505,"&gt;"&amp;$A145,実績!$AL$6:$AL$505,"○")&gt;0,1,0))</f>
        <v>0</v>
      </c>
      <c r="AQ145" s="39" t="n">
        <f aca="false">IF(AQ$4=0,0,IF(COUNTIFS(実績!$W$6:$W$505,AQ$3,実績!$AI$6:$AI$505,"&lt;="&amp;$A145,実績!$AJ$6:$AJ$505,"&gt;"&amp;$A145,実績!$AL$6:$AL$505,"○")&gt;0,1,0))</f>
        <v>0</v>
      </c>
      <c r="AR145" s="39" t="n">
        <f aca="false">IF(AR$4=0,0,IF(COUNTIFS(実績!$W$6:$W$505,AR$3,実績!$AI$6:$AI$505,"&lt;="&amp;$A145,実績!$AJ$6:$AJ$505,"&gt;"&amp;$A145,実績!$AL$6:$AL$505,"○")&gt;0,1,0))</f>
        <v>0</v>
      </c>
      <c r="AS145" s="39" t="n">
        <f aca="false">IF(AS$4=0,0,IF(COUNTIFS(実績!$W$6:$W$505,AS$3,実績!$AI$6:$AI$505,"&lt;="&amp;$A145,実績!$AJ$6:$AJ$505,"&gt;"&amp;$A145,実績!$AL$6:$AL$505,"○")&gt;0,1,0))</f>
        <v>0</v>
      </c>
      <c r="AT145" s="39" t="n">
        <f aca="false">IF(AT$4=0,0,IF(COUNTIFS(実績!$W$6:$W$505,AT$3,実績!$AI$6:$AI$505,"&lt;="&amp;$A145,実績!$AJ$6:$AJ$505,"&gt;"&amp;$A145,実績!$AL$6:$AL$505,"○")&gt;0,1,0))</f>
        <v>0</v>
      </c>
      <c r="AU145" s="39" t="n">
        <f aca="false">IF(AU$4=0,0,IF(COUNTIFS(実績!$W$6:$W$505,AU$3,実績!$AI$6:$AI$505,"&lt;="&amp;$A145,実績!$AJ$6:$AJ$505,"&gt;"&amp;$A145,実績!$AL$6:$AL$505,"○")&gt;0,1,0))</f>
        <v>0</v>
      </c>
      <c r="AV145" s="39" t="n">
        <f aca="false">IF(AV$4=0,0,IF(COUNTIFS(実績!$W$6:$W$505,AV$3,実績!$AI$6:$AI$505,"&lt;="&amp;$A145,実績!$AJ$6:$AJ$505,"&gt;"&amp;$A145,実績!$AL$6:$AL$505,"○")&gt;0,1,0))</f>
        <v>0</v>
      </c>
      <c r="AW145" s="39" t="n">
        <f aca="false">IF(AW$4=0,0,IF(COUNTIFS(実績!$W$6:$W$505,AW$3,実績!$AI$6:$AI$505,"&lt;="&amp;$A145,実績!$AJ$6:$AJ$505,"&gt;"&amp;$A145,実績!$AL$6:$AL$505,"○")&gt;0,1,0))</f>
        <v>0</v>
      </c>
      <c r="AX145" s="39" t="n">
        <f aca="false">IF(AX$4=0,0,IF(COUNTIFS(実績!$W$6:$W$505,AX$3,実績!$AI$6:$AI$505,"&lt;="&amp;$A145,実績!$AJ$6:$AJ$505,"&gt;"&amp;$A145,実績!$AL$6:$AL$505,"○")&gt;0,1,0))</f>
        <v>0</v>
      </c>
      <c r="AY145" s="39" t="n">
        <f aca="false">IF(AY$4=0,0,IF(COUNTIFS(実績!$W$6:$W$505,AY$3,実績!$AI$6:$AI$505,"&lt;="&amp;$A145,実績!$AJ$6:$AJ$505,"&gt;"&amp;$A145,実績!$AL$6:$AL$505,"○")&gt;0,1,0))</f>
        <v>0</v>
      </c>
      <c r="AZ145" s="39" t="n">
        <f aca="false">IF(AZ$4=0,0,IF(COUNTIFS(実績!$W$6:$W$505,AZ$3,実績!$AI$6:$AI$505,"&lt;="&amp;$A145,実績!$AJ$6:$AJ$505,"&gt;"&amp;$A145,実績!$AL$6:$AL$505,"○")&gt;0,1,0))</f>
        <v>0</v>
      </c>
      <c r="BA145" s="39" t="n">
        <f aca="false">IF(BA$4=0,0,IF(COUNTIFS(実績!$W$6:$W$505,BA$3,実績!$AI$6:$AI$505,"&lt;="&amp;$A145,実績!$AJ$6:$AJ$505,"&gt;"&amp;$A145,実績!$AL$6:$AL$505,"○")&gt;0,1,0))</f>
        <v>0</v>
      </c>
      <c r="BB145" s="39" t="n">
        <f aca="false">IF(BB$4=0,0,IF(COUNTIFS(実績!$W$6:$W$505,BB$3,実績!$AI$6:$AI$505,"&lt;="&amp;$A145,実績!$AJ$6:$AJ$505,"&gt;"&amp;$A145,実績!$AL$6:$AL$505,"○")&gt;0,1,0))</f>
        <v>0</v>
      </c>
      <c r="BC145" s="39" t="n">
        <f aca="false">IF(BC$4=0,0,IF(COUNTIFS(実績!$W$6:$W$505,BC$3,実績!$AI$6:$AI$505,"&lt;="&amp;$A145,実績!$AJ$6:$AJ$505,"&gt;"&amp;$A145,実績!$AL$6:$AL$505,"○")&gt;0,1,0))</f>
        <v>0</v>
      </c>
      <c r="BD145" s="39" t="n">
        <f aca="false">IF(BD$4=0,0,IF(COUNTIFS(実績!$W$6:$W$505,BD$3,実績!$AI$6:$AI$505,"&lt;="&amp;$A145,実績!$AJ$6:$AJ$505,"&gt;"&amp;$A145,実績!$AL$6:$AL$505,"○")&gt;0,1,0))</f>
        <v>0</v>
      </c>
      <c r="BE145" s="39" t="n">
        <f aca="false">IF(BE$4=0,0,IF(COUNTIFS(実績!$W$6:$W$505,BE$3,実績!$AI$6:$AI$505,"&lt;="&amp;$A145,実績!$AJ$6:$AJ$505,"&gt;"&amp;$A145,実績!$AL$6:$AL$505,"○")&gt;0,1,0))</f>
        <v>0</v>
      </c>
      <c r="BF145" s="39" t="n">
        <f aca="false">IF(BF$4=0,0,IF(COUNTIFS(実績!$W$6:$W$505,BF$3,実績!$AI$6:$AI$505,"&lt;="&amp;$A145,実績!$AJ$6:$AJ$505,"&gt;"&amp;$A145,実績!$AL$6:$AL$505,"○")&gt;0,1,0))</f>
        <v>0</v>
      </c>
      <c r="BG145" s="39" t="n">
        <f aca="false">IF(BG$4=0,0,IF(COUNTIFS(実績!$W$6:$W$505,BG$3,実績!$AI$6:$AI$505,"&lt;="&amp;$A145,実績!$AJ$6:$AJ$505,"&gt;"&amp;$A145,実績!$AL$6:$AL$505,"○")&gt;0,1,0))</f>
        <v>0</v>
      </c>
      <c r="BH145" s="39" t="n">
        <f aca="false">IF(BH$4=0,0,IF(COUNTIFS(実績!$W$6:$W$505,BH$3,実績!$AI$6:$AI$505,"&lt;="&amp;$A145,実績!$AJ$6:$AJ$505,"&gt;"&amp;$A145,実績!$AL$6:$AL$505,"○")&gt;0,1,0))</f>
        <v>0</v>
      </c>
      <c r="BI145" s="39" t="n">
        <f aca="false">IF(BI$4=0,0,IF(COUNTIFS(実績!$W$6:$W$505,BI$3,実績!$AI$6:$AI$505,"&lt;="&amp;$A145,実績!$AJ$6:$AJ$505,"&gt;"&amp;$A145,実績!$AL$6:$AL$505,"○")&gt;0,1,0))</f>
        <v>0</v>
      </c>
      <c r="BJ145" s="39" t="n">
        <f aca="false">IF(BJ$4=0,0,IF(COUNTIFS(実績!$W$6:$W$505,BJ$3,実績!$AI$6:$AI$505,"&lt;="&amp;$A145,実績!$AJ$6:$AJ$505,"&gt;"&amp;$A145,実績!$AL$6:$AL$505,"○")&gt;0,1,0))</f>
        <v>0</v>
      </c>
      <c r="BK145" s="39" t="n">
        <f aca="false">IF(BK$4=0,0,IF(COUNTIFS(実績!$W$6:$W$505,BK$3,実績!$AI$6:$AI$505,"&lt;="&amp;$A145,実績!$AJ$6:$AJ$505,"&gt;"&amp;$A145,実績!$AL$6:$AL$505,"○")&gt;0,1,0))</f>
        <v>0</v>
      </c>
      <c r="BL145" s="39" t="n">
        <f aca="false">IF(BL$4=0,0,IF(COUNTIFS(実績!$W$6:$W$505,BL$3,実績!$AI$6:$AI$505,"&lt;="&amp;$A145,実績!$AJ$6:$AJ$505,"&gt;"&amp;$A145,実績!$AL$6:$AL$505,"○")&gt;0,1,0))</f>
        <v>0</v>
      </c>
      <c r="BM145" s="39" t="n">
        <f aca="false">IF(BM$4=0,0,IF(COUNTIFS(実績!$W$6:$W$505,BM$3,実績!$AI$6:$AI$505,"&lt;="&amp;$A145,実績!$AJ$6:$AJ$505,"&gt;"&amp;$A145,実績!$AL$6:$AL$505,"○")&gt;0,1,0))</f>
        <v>0</v>
      </c>
      <c r="BN145" s="39" t="n">
        <f aca="false">IF(BN$4=0,0,IF(COUNTIFS(実績!$W$6:$W$505,BN$3,実績!$AI$6:$AI$505,"&lt;="&amp;$A145,実績!$AJ$6:$AJ$505,"&gt;"&amp;$A145,実績!$AL$6:$AL$505,"○")&gt;0,1,0))</f>
        <v>0</v>
      </c>
      <c r="BO145" s="39" t="n">
        <f aca="false">IF(BO$4=0,0,IF(COUNTIFS(実績!$W$6:$W$505,BO$3,実績!$AI$6:$AI$505,"&lt;="&amp;$A145,実績!$AJ$6:$AJ$505,"&gt;"&amp;$A145,実績!$AL$6:$AL$505,"○")&gt;0,1,0))</f>
        <v>0</v>
      </c>
      <c r="BP145" s="39" t="n">
        <f aca="false">IF(BP$4=0,0,IF(COUNTIFS(実績!$W$6:$W$505,BP$3,実績!$AI$6:$AI$505,"&lt;="&amp;$A145,実績!$AJ$6:$AJ$505,"&gt;"&amp;$A145,実績!$AL$6:$AL$505,"○")&gt;0,1,0))</f>
        <v>0</v>
      </c>
      <c r="BQ145" s="39" t="n">
        <f aca="false">IF(BQ$4=0,0,IF(COUNTIFS(実績!$W$6:$W$505,BQ$3,実績!$AI$6:$AI$505,"&lt;="&amp;$A145,実績!$AJ$6:$AJ$505,"&gt;"&amp;$A145,実績!$AL$6:$AL$505,"○")&gt;0,1,0))</f>
        <v>0</v>
      </c>
      <c r="BR145" s="39" t="n">
        <f aca="false">IF(BR$4=0,0,IF(COUNTIFS(実績!$W$6:$W$505,BR$3,実績!$AI$6:$AI$505,"&lt;="&amp;$A145,実績!$AJ$6:$AJ$505,"&gt;"&amp;$A145,実績!$AL$6:$AL$505,"○")&gt;0,1,0))</f>
        <v>0</v>
      </c>
      <c r="BS145" s="39" t="n">
        <f aca="false">IF(BS$4=0,0,IF(COUNTIFS(実績!$W$6:$W$505,BS$3,実績!$AI$6:$AI$505,"&lt;="&amp;$A145,実績!$AJ$6:$AJ$505,"&gt;"&amp;$A145,実績!$AL$6:$AL$505,"○")&gt;0,1,0))</f>
        <v>0</v>
      </c>
      <c r="BT145" s="39" t="n">
        <f aca="false">IF(BT$4=0,0,IF(COUNTIFS(実績!$W$6:$W$505,BT$3,実績!$AI$6:$AI$505,"&lt;="&amp;$A145,実績!$AJ$6:$AJ$505,"&gt;"&amp;$A145,実績!$AL$6:$AL$505,"○")&gt;0,1,0))</f>
        <v>0</v>
      </c>
      <c r="BU145" s="39" t="n">
        <f aca="false">IF(BU$4=0,0,IF(COUNTIFS(実績!$W$6:$W$505,BU$3,実績!$AI$6:$AI$505,"&lt;="&amp;$A145,実績!$AJ$6:$AJ$505,"&gt;"&amp;$A145,実績!$AL$6:$AL$505,"○")&gt;0,1,0))</f>
        <v>0</v>
      </c>
      <c r="BV145" s="39" t="n">
        <f aca="false">IF(BV$4=0,0,IF(COUNTIFS(実績!$W$6:$W$505,BV$3,実績!$AI$6:$AI$505,"&lt;="&amp;$A145,実績!$AJ$6:$AJ$505,"&gt;"&amp;$A145,実績!$AL$6:$AL$505,"○")&gt;0,1,0))</f>
        <v>0</v>
      </c>
      <c r="BW145" s="39" t="n">
        <f aca="false">IF(BW$4=0,0,IF(COUNTIFS(実績!$W$6:$W$505,BW$3,実績!$AI$6:$AI$505,"&lt;="&amp;$A145,実績!$AJ$6:$AJ$505,"&gt;"&amp;$A145,実績!$AL$6:$AL$505,"○")&gt;0,1,0))</f>
        <v>0</v>
      </c>
      <c r="BX145" s="39" t="n">
        <f aca="false">IF(BX$4=0,0,IF(COUNTIFS(実績!$W$6:$W$505,BX$3,実績!$AI$6:$AI$505,"&lt;="&amp;$A145,実績!$AJ$6:$AJ$505,"&gt;"&amp;$A145,実績!$AL$6:$AL$505,"○")&gt;0,1,0))</f>
        <v>0</v>
      </c>
      <c r="BY145" s="39" t="n">
        <f aca="false">IF(BY$4=0,0,IF(COUNTIFS(実績!$W$6:$W$505,BY$3,実績!$AI$6:$AI$505,"&lt;="&amp;$A145,実績!$AJ$6:$AJ$505,"&gt;"&amp;$A145,実績!$AL$6:$AL$505,"○")&gt;0,1,0))</f>
        <v>0</v>
      </c>
      <c r="BZ145" s="39" t="n">
        <f aca="false">IF(BZ$4=0,0,IF(COUNTIFS(実績!$W$6:$W$505,BZ$3,実績!$AI$6:$AI$505,"&lt;="&amp;$A145,実績!$AJ$6:$AJ$505,"&gt;"&amp;$A145,実績!$AL$6:$AL$505,"○")&gt;0,1,0))</f>
        <v>0</v>
      </c>
      <c r="CA145" s="39" t="n">
        <f aca="false">IF(CA$4=0,0,IF(COUNTIFS(実績!$W$6:$W$505,CA$3,実績!$AI$6:$AI$505,"&lt;="&amp;$A145,実績!$AJ$6:$AJ$505,"&gt;"&amp;$A145,実績!$AL$6:$AL$505,"○")&gt;0,1,0))</f>
        <v>0</v>
      </c>
      <c r="CB145" s="39" t="n">
        <f aca="false">IF(CB$4=0,0,IF(COUNTIFS(実績!$W$6:$W$505,CB$3,実績!$AI$6:$AI$505,"&lt;="&amp;$A145,実績!$AJ$6:$AJ$505,"&gt;"&amp;$A145,実績!$AL$6:$AL$505,"○")&gt;0,1,0))</f>
        <v>0</v>
      </c>
      <c r="CC145" s="39" t="n">
        <f aca="false">IF(CC$4=0,0,IF(COUNTIFS(実績!$W$6:$W$505,CC$3,実績!$AI$6:$AI$505,"&lt;="&amp;$A145,実績!$AJ$6:$AJ$505,"&gt;"&amp;$A145,実績!$AL$6:$AL$505,"○")&gt;0,1,0))</f>
        <v>0</v>
      </c>
      <c r="CD145" s="39" t="n">
        <f aca="false">IF(CD$4=0,0,IF(COUNTIFS(実績!$W$6:$W$505,CD$3,実績!$AI$6:$AI$505,"&lt;="&amp;$A145,実績!$AJ$6:$AJ$505,"&gt;"&amp;$A145,実績!$AL$6:$AL$505,"○")&gt;0,1,0))</f>
        <v>0</v>
      </c>
      <c r="CE145" s="39" t="n">
        <f aca="false">IF(CE$4=0,0,IF(COUNTIFS(実績!$W$6:$W$505,CE$3,実績!$AI$6:$AI$505,"&lt;="&amp;$A145,実績!$AJ$6:$AJ$505,"&gt;"&amp;$A145,実績!$AL$6:$AL$505,"○")&gt;0,1,0))</f>
        <v>0</v>
      </c>
      <c r="CF145" s="39" t="n">
        <f aca="false">IF(CF$4=0,0,IF(COUNTIFS(実績!$W$6:$W$505,CF$3,実績!$AI$6:$AI$505,"&lt;="&amp;$A145,実績!$AJ$6:$AJ$505,"&gt;"&amp;$A145,実績!$AL$6:$AL$505,"○")&gt;0,1,0))</f>
        <v>0</v>
      </c>
      <c r="CG145" s="39" t="n">
        <f aca="false">IF(CG$4=0,0,IF(COUNTIFS(実績!$W$6:$W$505,CG$3,実績!$AI$6:$AI$505,"&lt;="&amp;$A145,実績!$AJ$6:$AJ$505,"&gt;"&amp;$A145,実績!$AL$6:$AL$505,"○")&gt;0,1,0))</f>
        <v>0</v>
      </c>
      <c r="CH145" s="39" t="n">
        <f aca="false">IF(CH$4=0,0,IF(COUNTIFS(実績!$W$6:$W$505,CH$3,実績!$AI$6:$AI$505,"&lt;="&amp;$A145,実績!$AJ$6:$AJ$505,"&gt;"&amp;$A145,実績!$AL$6:$AL$505,"○")&gt;0,1,0))</f>
        <v>0</v>
      </c>
      <c r="CI145" s="39" t="n">
        <f aca="false">IF(CI$4=0,0,IF(COUNTIFS(実績!$W$6:$W$505,CI$3,実績!$AI$6:$AI$505,"&lt;="&amp;$A145,実績!$AJ$6:$AJ$505,"&gt;"&amp;$A145,実績!$AL$6:$AL$505,"○")&gt;0,1,0))</f>
        <v>0</v>
      </c>
      <c r="CJ145" s="39" t="n">
        <f aca="false">IF(CJ$4=0,0,IF(COUNTIFS(実績!$W$6:$W$505,CJ$3,実績!$AI$6:$AI$505,"&lt;="&amp;$A145,実績!$AJ$6:$AJ$505,"&gt;"&amp;$A145,実績!$AL$6:$AL$505,"○")&gt;0,1,0))</f>
        <v>0</v>
      </c>
      <c r="CK145" s="39" t="n">
        <f aca="false">IF(CK$4=0,0,IF(COUNTIFS(実績!$W$6:$W$505,CK$3,実績!$AI$6:$AI$505,"&lt;="&amp;$A145,実績!$AJ$6:$AJ$505,"&gt;"&amp;$A145,実績!$AL$6:$AL$505,"○")&gt;0,1,0))</f>
        <v>0</v>
      </c>
      <c r="CL145" s="39" t="n">
        <f aca="false">IF(CL$4=0,0,IF(COUNTIFS(実績!$W$6:$W$505,CL$3,実績!$AI$6:$AI$505,"&lt;="&amp;$A145,実績!$AJ$6:$AJ$505,"&gt;"&amp;$A145,実績!$AL$6:$AL$505,"○")&gt;0,1,0))</f>
        <v>0</v>
      </c>
      <c r="CM145" s="39" t="n">
        <f aca="false">IF(CM$4=0,0,IF(COUNTIFS(実績!$W$6:$W$505,CM$3,実績!$AI$6:$AI$505,"&lt;="&amp;$A145,実績!$AJ$6:$AJ$505,"&gt;"&amp;$A145,実績!$AL$6:$AL$505,"○")&gt;0,1,0))</f>
        <v>0</v>
      </c>
      <c r="CN145" s="39" t="n">
        <f aca="false">IF(CN$4=0,0,IF(COUNTIFS(実績!$W$6:$W$505,CN$3,実績!$AI$6:$AI$505,"&lt;="&amp;$A145,実績!$AJ$6:$AJ$505,"&gt;"&amp;$A145,実績!$AL$6:$AL$505,"○")&gt;0,1,0))</f>
        <v>0</v>
      </c>
      <c r="CO145" s="39" t="n">
        <f aca="false">IF(CO$4=0,0,IF(COUNTIFS(実績!$W$6:$W$505,CO$3,実績!$AI$6:$AI$505,"&lt;="&amp;$A145,実績!$AJ$6:$AJ$505,"&gt;"&amp;$A145,実績!$AL$6:$AL$505,"○")&gt;0,1,0))</f>
        <v>0</v>
      </c>
      <c r="CP145" s="39" t="n">
        <f aca="false">IF(CP$4=0,0,IF(COUNTIFS(実績!$W$6:$W$505,CP$3,実績!$AI$6:$AI$505,"&lt;="&amp;$A145,実績!$AJ$6:$AJ$505,"&gt;"&amp;$A145,実績!$AL$6:$AL$505,"○")&gt;0,1,0))</f>
        <v>0</v>
      </c>
      <c r="CQ145" s="39" t="n">
        <f aca="false">IF(CQ$4=0,0,IF(COUNTIFS(実績!$W$6:$W$505,CQ$3,実績!$AI$6:$AI$505,"&lt;="&amp;$A145,実績!$AJ$6:$AJ$505,"&gt;"&amp;$A145,実績!$AL$6:$AL$505,"○")&gt;0,1,0))</f>
        <v>0</v>
      </c>
      <c r="CR145" s="39" t="n">
        <f aca="false">IF(CR$4=0,0,IF(COUNTIFS(実績!$W$6:$W$505,CR$3,実績!$AI$6:$AI$505,"&lt;="&amp;$A145,実績!$AJ$6:$AJ$505,"&gt;"&amp;$A145,実績!$AL$6:$AL$505,"○")&gt;0,1,0))</f>
        <v>0</v>
      </c>
      <c r="CS145" s="39" t="n">
        <f aca="false">IF(CS$4=0,0,IF(COUNTIFS(実績!$W$6:$W$505,CS$3,実績!$AI$6:$AI$505,"&lt;="&amp;$A145,実績!$AJ$6:$AJ$505,"&gt;"&amp;$A145,実績!$AL$6:$AL$505,"○")&gt;0,1,0))</f>
        <v>0</v>
      </c>
      <c r="CT145" s="39" t="n">
        <f aca="false">IF(CT$4=0,0,IF(COUNTIFS(実績!$W$6:$W$505,CT$3,実績!$AI$6:$AI$505,"&lt;="&amp;$A145,実績!$AJ$6:$AJ$505,"&gt;"&amp;$A145,実績!$AL$6:$AL$505,"○")&gt;0,1,0))</f>
        <v>0</v>
      </c>
      <c r="CU145" s="39" t="n">
        <f aca="false">IF(CU$4=0,0,IF(COUNTIFS(実績!$W$6:$W$505,CU$3,実績!$AI$6:$AI$505,"&lt;="&amp;$A145,実績!$AJ$6:$AJ$505,"&gt;"&amp;$A145,実績!$AL$6:$AL$505,"○")&gt;0,1,0))</f>
        <v>0</v>
      </c>
      <c r="CV145" s="39" t="n">
        <f aca="false">IF(CV$4=0,0,IF(COUNTIFS(実績!$W$6:$W$505,CV$3,実績!$AI$6:$AI$505,"&lt;="&amp;$A145,実績!$AJ$6:$AJ$505,"&gt;"&amp;$A145,実績!$AL$6:$AL$505,"○")&gt;0,1,0))</f>
        <v>0</v>
      </c>
      <c r="CW145" s="39" t="n">
        <f aca="false">IF(CW$4=0,0,IF(COUNTIFS(実績!$W$6:$W$505,CW$3,実績!$AI$6:$AI$505,"&lt;="&amp;$A145,実績!$AJ$6:$AJ$505,"&gt;"&amp;$A145,実績!$AL$6:$AL$505,"○")&gt;0,1,0))</f>
        <v>0</v>
      </c>
      <c r="CX145" s="39" t="n">
        <f aca="false">IF(CX$4=0,0,IF(COUNTIFS(実績!$W$6:$W$505,CX$3,実績!$AI$6:$AI$505,"&lt;="&amp;$A145,実績!$AJ$6:$AJ$505,"&gt;"&amp;$A145,実績!$AL$6:$AL$505,"○")&gt;0,1,0))</f>
        <v>0</v>
      </c>
      <c r="CY145" s="39" t="n">
        <f aca="false">IF(CY$4=0,0,IF(COUNTIFS(実績!$W$6:$W$505,CY$3,実績!$AI$6:$AI$505,"&lt;="&amp;$A145,実績!$AJ$6:$AJ$505,"&gt;"&amp;$A145,実績!$AL$6:$AL$505,"○")&gt;0,1,0))</f>
        <v>0</v>
      </c>
      <c r="CZ145" s="39" t="n">
        <f aca="false">IF(CZ$4=0,0,IF(COUNTIFS(実績!$W$6:$W$505,CZ$3,実績!$AI$6:$AI$505,"&lt;="&amp;$A145,実績!$AJ$6:$AJ$505,"&gt;"&amp;$A145,実績!$AL$6:$AL$505,"○")&gt;0,1,0))</f>
        <v>0</v>
      </c>
      <c r="DA145" s="39" t="n">
        <f aca="false">IF(DA$4=0,0,IF(COUNTIFS(実績!$W$6:$W$505,DA$3,実績!$AI$6:$AI$505,"&lt;="&amp;$A145,実績!$AJ$6:$AJ$505,"&gt;"&amp;$A145,実績!$AL$6:$AL$505,"○")&gt;0,1,0))</f>
        <v>0</v>
      </c>
      <c r="DB145" s="39" t="n">
        <f aca="false">IF(DB$4=0,0,IF(COUNTIFS(実績!$W$6:$W$505,DB$3,実績!$AI$6:$AI$505,"&lt;="&amp;$A145,実績!$AJ$6:$AJ$505,"&gt;"&amp;$A145,実績!$AL$6:$AL$505,"○")&gt;0,1,0))</f>
        <v>0</v>
      </c>
      <c r="DC145" s="39" t="n">
        <f aca="false">IF(DC$4=0,0,IF(COUNTIFS(実績!$W$6:$W$505,DC$3,実績!$AI$6:$AI$505,"&lt;="&amp;$A145,実績!$AJ$6:$AJ$505,"&gt;"&amp;$A145,実績!$AL$6:$AL$505,"○")&gt;0,1,0))</f>
        <v>0</v>
      </c>
      <c r="DD145" s="39" t="n">
        <f aca="false">IF(DD$4=0,0,IF(COUNTIFS(実績!$W$6:$W$505,DD$3,実績!$AI$6:$AI$505,"&lt;="&amp;$A145,実績!$AJ$6:$AJ$505,"&gt;"&amp;$A145,実績!$AL$6:$AL$505,"○")&gt;0,1,0))</f>
        <v>0</v>
      </c>
      <c r="DE145" s="39" t="n">
        <f aca="false">IF(DE$4=0,0,IF(COUNTIFS(実績!$W$6:$W$505,DE$3,実績!$AI$6:$AI$505,"&lt;="&amp;$A145,実績!$AJ$6:$AJ$505,"&gt;"&amp;$A145,実績!$AL$6:$AL$505,"○")&gt;0,1,0))</f>
        <v>0</v>
      </c>
      <c r="DF145" s="39" t="n">
        <f aca="false">IF(DF$4=0,0,IF(COUNTIFS(実績!$W$6:$W$505,DF$3,実績!$AI$6:$AI$505,"&lt;="&amp;$A145,実績!$AJ$6:$AJ$505,"&gt;"&amp;$A145,実績!$AL$6:$AL$505,"○")&gt;0,1,0))</f>
        <v>0</v>
      </c>
      <c r="DG145" s="39" t="n">
        <f aca="false">IF(DG$4=0,0,IF(COUNTIFS(実績!$W$6:$W$505,DG$3,実績!$AI$6:$AI$505,"&lt;="&amp;$A145,実績!$AJ$6:$AJ$505,"&gt;"&amp;$A145,実績!$AL$6:$AL$505,"○")&gt;0,1,0))</f>
        <v>0</v>
      </c>
      <c r="DH145" s="39" t="n">
        <f aca="false">IF(DH$4=0,0,IF(COUNTIFS(実績!$W$6:$W$505,DH$3,実績!$AI$6:$AI$505,"&lt;="&amp;$A145,実績!$AJ$6:$AJ$505,"&gt;"&amp;$A145,実績!$AL$6:$AL$505,"○")&gt;0,1,0))</f>
        <v>0</v>
      </c>
      <c r="DI145" s="39" t="n">
        <f aca="false">IF(DI$4=0,0,IF(COUNTIFS(実績!$W$6:$W$505,DI$3,実績!$AI$6:$AI$505,"&lt;="&amp;$A145,実績!$AJ$6:$AJ$505,"&gt;"&amp;$A145,実績!$AL$6:$AL$505,"○")&gt;0,1,0))</f>
        <v>0</v>
      </c>
      <c r="DJ145" s="39" t="n">
        <f aca="false">IF(DJ$4=0,0,IF(COUNTIFS(実績!$W$6:$W$505,DJ$3,実績!$AI$6:$AI$505,"&lt;="&amp;$A145,実績!$AJ$6:$AJ$505,"&gt;"&amp;$A145,実績!$AL$6:$AL$505,"○")&gt;0,1,0))</f>
        <v>0</v>
      </c>
      <c r="DK145" s="39" t="n">
        <f aca="false">IF(DK$4=0,0,IF(COUNTIFS(実績!$W$6:$W$505,DK$3,実績!$AI$6:$AI$505,"&lt;="&amp;$A145,実績!$AJ$6:$AJ$505,"&gt;"&amp;$A145,実績!$AL$6:$AL$505,"○")&gt;0,1,0))</f>
        <v>0</v>
      </c>
      <c r="DL145" s="39" t="n">
        <f aca="false">IF(DL$4=0,0,IF(COUNTIFS(実績!$W$6:$W$505,DL$3,実績!$AI$6:$AI$505,"&lt;="&amp;$A145,実績!$AJ$6:$AJ$505,"&gt;"&amp;$A145,実績!$AL$6:$AL$505,"○")&gt;0,1,0))</f>
        <v>0</v>
      </c>
      <c r="DM145" s="39" t="n">
        <f aca="false">IF(DM$4=0,0,IF(COUNTIFS(実績!$W$6:$W$505,DM$3,実績!$AI$6:$AI$505,"&lt;="&amp;$A145,実績!$AJ$6:$AJ$505,"&gt;"&amp;$A145,実績!$AL$6:$AL$505,"○")&gt;0,1,0))</f>
        <v>0</v>
      </c>
      <c r="DN145" s="39" t="n">
        <f aca="false">IF(DN$4=0,0,IF(COUNTIFS(実績!$W$6:$W$505,DN$3,実績!$AI$6:$AI$505,"&lt;="&amp;$A145,実績!$AJ$6:$AJ$505,"&gt;"&amp;$A145,実績!$AL$6:$AL$505,"○")&gt;0,1,0))</f>
        <v>0</v>
      </c>
      <c r="DO145" s="39" t="n">
        <f aca="false">IF(DO$4=0,0,IF(COUNTIFS(実績!$W$6:$W$505,DO$3,実績!$AI$6:$AI$505,"&lt;="&amp;$A145,実績!$AJ$6:$AJ$505,"&gt;"&amp;$A145,実績!$AL$6:$AL$505,"○")&gt;0,1,0))</f>
        <v>0</v>
      </c>
      <c r="DP145" s="39" t="n">
        <f aca="false">IF(DP$4=0,0,IF(COUNTIFS(実績!$W$6:$W$505,DP$3,実績!$AI$6:$AI$505,"&lt;="&amp;$A145,実績!$AJ$6:$AJ$505,"&gt;"&amp;$A145,実績!$AL$6:$AL$505,"○")&gt;0,1,0))</f>
        <v>0</v>
      </c>
      <c r="DQ145" s="39" t="n">
        <f aca="false">IF(DQ$4=0,0,IF(COUNTIFS(実績!$W$6:$W$505,DQ$3,実績!$AI$6:$AI$505,"&lt;="&amp;$A145,実績!$AJ$6:$AJ$505,"&gt;"&amp;$A145,実績!$AL$6:$AL$505,"○")&gt;0,1,0))</f>
        <v>0</v>
      </c>
      <c r="DR145" s="39" t="n">
        <f aca="false">IF(DR$4=0,0,IF(COUNTIFS(実績!$W$6:$W$505,DR$3,実績!$AI$6:$AI$505,"&lt;="&amp;$A145,実績!$AJ$6:$AJ$505,"&gt;"&amp;$A145,実績!$AL$6:$AL$505,"○")&gt;0,1,0))</f>
        <v>0</v>
      </c>
      <c r="DS145" s="39" t="n">
        <f aca="false">SUM(C145:DR145)</f>
        <v>0</v>
      </c>
    </row>
    <row r="146" customFormat="false" ht="15" hidden="false" customHeight="false" outlineLevel="0" collapsed="false">
      <c r="A146" s="0" t="n">
        <v>700</v>
      </c>
      <c r="B146" s="38" t="n">
        <f aca="false">A146/1440</f>
        <v>0.486111111111111</v>
      </c>
      <c r="C146" s="39" t="n">
        <f aca="false">IF(C$4=0,0,IF(COUNTIFS(実績!$W$6:$W$505,C$3,実績!$AI$6:$AI$505,"&lt;="&amp;$A146,実績!$AJ$6:$AJ$505,"&gt;"&amp;$A146,実績!$AL$6:$AL$505,"○")&gt;0,1,0))</f>
        <v>0</v>
      </c>
      <c r="D146" s="39" t="n">
        <f aca="false">IF(D$4=0,0,IF(COUNTIFS(実績!$W$6:$W$505,D$3,実績!$AI$6:$AI$505,"&lt;="&amp;$A146,実績!$AJ$6:$AJ$505,"&gt;"&amp;$A146,実績!$AL$6:$AL$505,"○")&gt;0,1,0))</f>
        <v>0</v>
      </c>
      <c r="E146" s="39" t="n">
        <f aca="false">IF(E$4=0,0,IF(COUNTIFS(実績!$W$6:$W$505,E$3,実績!$AI$6:$AI$505,"&lt;="&amp;$A146,実績!$AJ$6:$AJ$505,"&gt;"&amp;$A146,実績!$AL$6:$AL$505,"○")&gt;0,1,0))</f>
        <v>0</v>
      </c>
      <c r="F146" s="39" t="n">
        <f aca="false">IF(F$4=0,0,IF(COUNTIFS(実績!$W$6:$W$505,F$3,実績!$AI$6:$AI$505,"&lt;="&amp;$A146,実績!$AJ$6:$AJ$505,"&gt;"&amp;$A146,実績!$AL$6:$AL$505,"○")&gt;0,1,0))</f>
        <v>0</v>
      </c>
      <c r="G146" s="39" t="n">
        <f aca="false">IF(G$4=0,0,IF(COUNTIFS(実績!$W$6:$W$505,G$3,実績!$AI$6:$AI$505,"&lt;="&amp;$A146,実績!$AJ$6:$AJ$505,"&gt;"&amp;$A146,実績!$AL$6:$AL$505,"○")&gt;0,1,0))</f>
        <v>0</v>
      </c>
      <c r="H146" s="39" t="n">
        <f aca="false">IF(H$4=0,0,IF(COUNTIFS(実績!$W$6:$W$505,H$3,実績!$AI$6:$AI$505,"&lt;="&amp;$A146,実績!$AJ$6:$AJ$505,"&gt;"&amp;$A146,実績!$AL$6:$AL$505,"○")&gt;0,1,0))</f>
        <v>0</v>
      </c>
      <c r="I146" s="39" t="n">
        <f aca="false">IF(I$4=0,0,IF(COUNTIFS(実績!$W$6:$W$505,I$3,実績!$AI$6:$AI$505,"&lt;="&amp;$A146,実績!$AJ$6:$AJ$505,"&gt;"&amp;$A146,実績!$AL$6:$AL$505,"○")&gt;0,1,0))</f>
        <v>0</v>
      </c>
      <c r="J146" s="39" t="n">
        <f aca="false">IF(J$4=0,0,IF(COUNTIFS(実績!$W$6:$W$505,J$3,実績!$AI$6:$AI$505,"&lt;="&amp;$A146,実績!$AJ$6:$AJ$505,"&gt;"&amp;$A146,実績!$AL$6:$AL$505,"○")&gt;0,1,0))</f>
        <v>0</v>
      </c>
      <c r="K146" s="39" t="n">
        <f aca="false">IF(K$4=0,0,IF(COUNTIFS(実績!$W$6:$W$505,K$3,実績!$AI$6:$AI$505,"&lt;="&amp;$A146,実績!$AJ$6:$AJ$505,"&gt;"&amp;$A146,実績!$AL$6:$AL$505,"○")&gt;0,1,0))</f>
        <v>0</v>
      </c>
      <c r="L146" s="39" t="n">
        <f aca="false">IF(L$4=0,0,IF(COUNTIFS(実績!$W$6:$W$505,L$3,実績!$AI$6:$AI$505,"&lt;="&amp;$A146,実績!$AJ$6:$AJ$505,"&gt;"&amp;$A146,実績!$AL$6:$AL$505,"○")&gt;0,1,0))</f>
        <v>0</v>
      </c>
      <c r="M146" s="39" t="n">
        <f aca="false">IF(M$4=0,0,IF(COUNTIFS(実績!$W$6:$W$505,M$3,実績!$AI$6:$AI$505,"&lt;="&amp;$A146,実績!$AJ$6:$AJ$505,"&gt;"&amp;$A146,実績!$AL$6:$AL$505,"○")&gt;0,1,0))</f>
        <v>0</v>
      </c>
      <c r="N146" s="39" t="n">
        <f aca="false">IF(N$4=0,0,IF(COUNTIFS(実績!$W$6:$W$505,N$3,実績!$AI$6:$AI$505,"&lt;="&amp;$A146,実績!$AJ$6:$AJ$505,"&gt;"&amp;$A146,実績!$AL$6:$AL$505,"○")&gt;0,1,0))</f>
        <v>0</v>
      </c>
      <c r="O146" s="39" t="n">
        <f aca="false">IF(O$4=0,0,IF(COUNTIFS(実績!$W$6:$W$505,O$3,実績!$AI$6:$AI$505,"&lt;="&amp;$A146,実績!$AJ$6:$AJ$505,"&gt;"&amp;$A146,実績!$AL$6:$AL$505,"○")&gt;0,1,0))</f>
        <v>0</v>
      </c>
      <c r="P146" s="39" t="n">
        <f aca="false">IF(P$4=0,0,IF(COUNTIFS(実績!$W$6:$W$505,P$3,実績!$AI$6:$AI$505,"&lt;="&amp;$A146,実績!$AJ$6:$AJ$505,"&gt;"&amp;$A146,実績!$AL$6:$AL$505,"○")&gt;0,1,0))</f>
        <v>0</v>
      </c>
      <c r="Q146" s="39" t="n">
        <f aca="false">IF(Q$4=0,0,IF(COUNTIFS(実績!$W$6:$W$505,Q$3,実績!$AI$6:$AI$505,"&lt;="&amp;$A146,実績!$AJ$6:$AJ$505,"&gt;"&amp;$A146,実績!$AL$6:$AL$505,"○")&gt;0,1,0))</f>
        <v>0</v>
      </c>
      <c r="R146" s="39" t="n">
        <f aca="false">IF(R$4=0,0,IF(COUNTIFS(実績!$W$6:$W$505,R$3,実績!$AI$6:$AI$505,"&lt;="&amp;$A146,実績!$AJ$6:$AJ$505,"&gt;"&amp;$A146,実績!$AL$6:$AL$505,"○")&gt;0,1,0))</f>
        <v>0</v>
      </c>
      <c r="S146" s="39" t="n">
        <f aca="false">IF(S$4=0,0,IF(COUNTIFS(実績!$W$6:$W$505,S$3,実績!$AI$6:$AI$505,"&lt;="&amp;$A146,実績!$AJ$6:$AJ$505,"&gt;"&amp;$A146,実績!$AL$6:$AL$505,"○")&gt;0,1,0))</f>
        <v>0</v>
      </c>
      <c r="T146" s="39" t="n">
        <f aca="false">IF(T$4=0,0,IF(COUNTIFS(実績!$W$6:$W$505,T$3,実績!$AI$6:$AI$505,"&lt;="&amp;$A146,実績!$AJ$6:$AJ$505,"&gt;"&amp;$A146,実績!$AL$6:$AL$505,"○")&gt;0,1,0))</f>
        <v>0</v>
      </c>
      <c r="U146" s="39" t="n">
        <f aca="false">IF(U$4=0,0,IF(COUNTIFS(実績!$W$6:$W$505,U$3,実績!$AI$6:$AI$505,"&lt;="&amp;$A146,実績!$AJ$6:$AJ$505,"&gt;"&amp;$A146,実績!$AL$6:$AL$505,"○")&gt;0,1,0))</f>
        <v>0</v>
      </c>
      <c r="V146" s="39" t="n">
        <f aca="false">IF(V$4=0,0,IF(COUNTIFS(実績!$W$6:$W$505,V$3,実績!$AI$6:$AI$505,"&lt;="&amp;$A146,実績!$AJ$6:$AJ$505,"&gt;"&amp;$A146,実績!$AL$6:$AL$505,"○")&gt;0,1,0))</f>
        <v>0</v>
      </c>
      <c r="W146" s="39" t="n">
        <f aca="false">IF(W$4=0,0,IF(COUNTIFS(実績!$W$6:$W$505,W$3,実績!$AI$6:$AI$505,"&lt;="&amp;$A146,実績!$AJ$6:$AJ$505,"&gt;"&amp;$A146,実績!$AL$6:$AL$505,"○")&gt;0,1,0))</f>
        <v>0</v>
      </c>
      <c r="X146" s="39" t="n">
        <f aca="false">IF(X$4=0,0,IF(COUNTIFS(実績!$W$6:$W$505,X$3,実績!$AI$6:$AI$505,"&lt;="&amp;$A146,実績!$AJ$6:$AJ$505,"&gt;"&amp;$A146,実績!$AL$6:$AL$505,"○")&gt;0,1,0))</f>
        <v>0</v>
      </c>
      <c r="Y146" s="39" t="n">
        <f aca="false">IF(Y$4=0,0,IF(COUNTIFS(実績!$W$6:$W$505,Y$3,実績!$AI$6:$AI$505,"&lt;="&amp;$A146,実績!$AJ$6:$AJ$505,"&gt;"&amp;$A146,実績!$AL$6:$AL$505,"○")&gt;0,1,0))</f>
        <v>0</v>
      </c>
      <c r="Z146" s="39" t="n">
        <f aca="false">IF(Z$4=0,0,IF(COUNTIFS(実績!$W$6:$W$505,Z$3,実績!$AI$6:$AI$505,"&lt;="&amp;$A146,実績!$AJ$6:$AJ$505,"&gt;"&amp;$A146,実績!$AL$6:$AL$505,"○")&gt;0,1,0))</f>
        <v>0</v>
      </c>
      <c r="AA146" s="39" t="n">
        <f aca="false">IF(AA$4=0,0,IF(COUNTIFS(実績!$W$6:$W$505,AA$3,実績!$AI$6:$AI$505,"&lt;="&amp;$A146,実績!$AJ$6:$AJ$505,"&gt;"&amp;$A146,実績!$AL$6:$AL$505,"○")&gt;0,1,0))</f>
        <v>0</v>
      </c>
      <c r="AB146" s="39" t="n">
        <f aca="false">IF(AB$4=0,0,IF(COUNTIFS(実績!$W$6:$W$505,AB$3,実績!$AI$6:$AI$505,"&lt;="&amp;$A146,実績!$AJ$6:$AJ$505,"&gt;"&amp;$A146,実績!$AL$6:$AL$505,"○")&gt;0,1,0))</f>
        <v>0</v>
      </c>
      <c r="AC146" s="39" t="n">
        <f aca="false">IF(AC$4=0,0,IF(COUNTIFS(実績!$W$6:$W$505,AC$3,実績!$AI$6:$AI$505,"&lt;="&amp;$A146,実績!$AJ$6:$AJ$505,"&gt;"&amp;$A146,実績!$AL$6:$AL$505,"○")&gt;0,1,0))</f>
        <v>0</v>
      </c>
      <c r="AD146" s="39" t="n">
        <f aca="false">IF(AD$4=0,0,IF(COUNTIFS(実績!$W$6:$W$505,AD$3,実績!$AI$6:$AI$505,"&lt;="&amp;$A146,実績!$AJ$6:$AJ$505,"&gt;"&amp;$A146,実績!$AL$6:$AL$505,"○")&gt;0,1,0))</f>
        <v>0</v>
      </c>
      <c r="AE146" s="39" t="n">
        <f aca="false">IF(AE$4=0,0,IF(COUNTIFS(実績!$W$6:$W$505,AE$3,実績!$AI$6:$AI$505,"&lt;="&amp;$A146,実績!$AJ$6:$AJ$505,"&gt;"&amp;$A146,実績!$AL$6:$AL$505,"○")&gt;0,1,0))</f>
        <v>0</v>
      </c>
      <c r="AF146" s="39" t="n">
        <f aca="false">IF(AF$4=0,0,IF(COUNTIFS(実績!$W$6:$W$505,AF$3,実績!$AI$6:$AI$505,"&lt;="&amp;$A146,実績!$AJ$6:$AJ$505,"&gt;"&amp;$A146,実績!$AL$6:$AL$505,"○")&gt;0,1,0))</f>
        <v>0</v>
      </c>
      <c r="AG146" s="39" t="n">
        <f aca="false">IF(AG$4=0,0,IF(COUNTIFS(実績!$W$6:$W$505,AG$3,実績!$AI$6:$AI$505,"&lt;="&amp;$A146,実績!$AJ$6:$AJ$505,"&gt;"&amp;$A146,実績!$AL$6:$AL$505,"○")&gt;0,1,0))</f>
        <v>0</v>
      </c>
      <c r="AH146" s="39" t="n">
        <f aca="false">IF(AH$4=0,0,IF(COUNTIFS(実績!$W$6:$W$505,AH$3,実績!$AI$6:$AI$505,"&lt;="&amp;$A146,実績!$AJ$6:$AJ$505,"&gt;"&amp;$A146,実績!$AL$6:$AL$505,"○")&gt;0,1,0))</f>
        <v>0</v>
      </c>
      <c r="AI146" s="39" t="n">
        <f aca="false">IF(AI$4=0,0,IF(COUNTIFS(実績!$W$6:$W$505,AI$3,実績!$AI$6:$AI$505,"&lt;="&amp;$A146,実績!$AJ$6:$AJ$505,"&gt;"&amp;$A146,実績!$AL$6:$AL$505,"○")&gt;0,1,0))</f>
        <v>0</v>
      </c>
      <c r="AJ146" s="39" t="n">
        <f aca="false">IF(AJ$4=0,0,IF(COUNTIFS(実績!$W$6:$W$505,AJ$3,実績!$AI$6:$AI$505,"&lt;="&amp;$A146,実績!$AJ$6:$AJ$505,"&gt;"&amp;$A146,実績!$AL$6:$AL$505,"○")&gt;0,1,0))</f>
        <v>0</v>
      </c>
      <c r="AK146" s="39" t="n">
        <f aca="false">IF(AK$4=0,0,IF(COUNTIFS(実績!$W$6:$W$505,AK$3,実績!$AI$6:$AI$505,"&lt;="&amp;$A146,実績!$AJ$6:$AJ$505,"&gt;"&amp;$A146,実績!$AL$6:$AL$505,"○")&gt;0,1,0))</f>
        <v>0</v>
      </c>
      <c r="AL146" s="39" t="n">
        <f aca="false">IF(AL$4=0,0,IF(COUNTIFS(実績!$W$6:$W$505,AL$3,実績!$AI$6:$AI$505,"&lt;="&amp;$A146,実績!$AJ$6:$AJ$505,"&gt;"&amp;$A146,実績!$AL$6:$AL$505,"○")&gt;0,1,0))</f>
        <v>0</v>
      </c>
      <c r="AM146" s="39" t="n">
        <f aca="false">IF(AM$4=0,0,IF(COUNTIFS(実績!$W$6:$W$505,AM$3,実績!$AI$6:$AI$505,"&lt;="&amp;$A146,実績!$AJ$6:$AJ$505,"&gt;"&amp;$A146,実績!$AL$6:$AL$505,"○")&gt;0,1,0))</f>
        <v>0</v>
      </c>
      <c r="AN146" s="39" t="n">
        <f aca="false">IF(AN$4=0,0,IF(COUNTIFS(実績!$W$6:$W$505,AN$3,実績!$AI$6:$AI$505,"&lt;="&amp;$A146,実績!$AJ$6:$AJ$505,"&gt;"&amp;$A146,実績!$AL$6:$AL$505,"○")&gt;0,1,0))</f>
        <v>0</v>
      </c>
      <c r="AO146" s="39" t="n">
        <f aca="false">IF(AO$4=0,0,IF(COUNTIFS(実績!$W$6:$W$505,AO$3,実績!$AI$6:$AI$505,"&lt;="&amp;$A146,実績!$AJ$6:$AJ$505,"&gt;"&amp;$A146,実績!$AL$6:$AL$505,"○")&gt;0,1,0))</f>
        <v>0</v>
      </c>
      <c r="AP146" s="39" t="n">
        <f aca="false">IF(AP$4=0,0,IF(COUNTIFS(実績!$W$6:$W$505,AP$3,実績!$AI$6:$AI$505,"&lt;="&amp;$A146,実績!$AJ$6:$AJ$505,"&gt;"&amp;$A146,実績!$AL$6:$AL$505,"○")&gt;0,1,0))</f>
        <v>0</v>
      </c>
      <c r="AQ146" s="39" t="n">
        <f aca="false">IF(AQ$4=0,0,IF(COUNTIFS(実績!$W$6:$W$505,AQ$3,実績!$AI$6:$AI$505,"&lt;="&amp;$A146,実績!$AJ$6:$AJ$505,"&gt;"&amp;$A146,実績!$AL$6:$AL$505,"○")&gt;0,1,0))</f>
        <v>0</v>
      </c>
      <c r="AR146" s="39" t="n">
        <f aca="false">IF(AR$4=0,0,IF(COUNTIFS(実績!$W$6:$W$505,AR$3,実績!$AI$6:$AI$505,"&lt;="&amp;$A146,実績!$AJ$6:$AJ$505,"&gt;"&amp;$A146,実績!$AL$6:$AL$505,"○")&gt;0,1,0))</f>
        <v>0</v>
      </c>
      <c r="AS146" s="39" t="n">
        <f aca="false">IF(AS$4=0,0,IF(COUNTIFS(実績!$W$6:$W$505,AS$3,実績!$AI$6:$AI$505,"&lt;="&amp;$A146,実績!$AJ$6:$AJ$505,"&gt;"&amp;$A146,実績!$AL$6:$AL$505,"○")&gt;0,1,0))</f>
        <v>0</v>
      </c>
      <c r="AT146" s="39" t="n">
        <f aca="false">IF(AT$4=0,0,IF(COUNTIFS(実績!$W$6:$W$505,AT$3,実績!$AI$6:$AI$505,"&lt;="&amp;$A146,実績!$AJ$6:$AJ$505,"&gt;"&amp;$A146,実績!$AL$6:$AL$505,"○")&gt;0,1,0))</f>
        <v>0</v>
      </c>
      <c r="AU146" s="39" t="n">
        <f aca="false">IF(AU$4=0,0,IF(COUNTIFS(実績!$W$6:$W$505,AU$3,実績!$AI$6:$AI$505,"&lt;="&amp;$A146,実績!$AJ$6:$AJ$505,"&gt;"&amp;$A146,実績!$AL$6:$AL$505,"○")&gt;0,1,0))</f>
        <v>0</v>
      </c>
      <c r="AV146" s="39" t="n">
        <f aca="false">IF(AV$4=0,0,IF(COUNTIFS(実績!$W$6:$W$505,AV$3,実績!$AI$6:$AI$505,"&lt;="&amp;$A146,実績!$AJ$6:$AJ$505,"&gt;"&amp;$A146,実績!$AL$6:$AL$505,"○")&gt;0,1,0))</f>
        <v>0</v>
      </c>
      <c r="AW146" s="39" t="n">
        <f aca="false">IF(AW$4=0,0,IF(COUNTIFS(実績!$W$6:$W$505,AW$3,実績!$AI$6:$AI$505,"&lt;="&amp;$A146,実績!$AJ$6:$AJ$505,"&gt;"&amp;$A146,実績!$AL$6:$AL$505,"○")&gt;0,1,0))</f>
        <v>0</v>
      </c>
      <c r="AX146" s="39" t="n">
        <f aca="false">IF(AX$4=0,0,IF(COUNTIFS(実績!$W$6:$W$505,AX$3,実績!$AI$6:$AI$505,"&lt;="&amp;$A146,実績!$AJ$6:$AJ$505,"&gt;"&amp;$A146,実績!$AL$6:$AL$505,"○")&gt;0,1,0))</f>
        <v>0</v>
      </c>
      <c r="AY146" s="39" t="n">
        <f aca="false">IF(AY$4=0,0,IF(COUNTIFS(実績!$W$6:$W$505,AY$3,実績!$AI$6:$AI$505,"&lt;="&amp;$A146,実績!$AJ$6:$AJ$505,"&gt;"&amp;$A146,実績!$AL$6:$AL$505,"○")&gt;0,1,0))</f>
        <v>0</v>
      </c>
      <c r="AZ146" s="39" t="n">
        <f aca="false">IF(AZ$4=0,0,IF(COUNTIFS(実績!$W$6:$W$505,AZ$3,実績!$AI$6:$AI$505,"&lt;="&amp;$A146,実績!$AJ$6:$AJ$505,"&gt;"&amp;$A146,実績!$AL$6:$AL$505,"○")&gt;0,1,0))</f>
        <v>0</v>
      </c>
      <c r="BA146" s="39" t="n">
        <f aca="false">IF(BA$4=0,0,IF(COUNTIFS(実績!$W$6:$W$505,BA$3,実績!$AI$6:$AI$505,"&lt;="&amp;$A146,実績!$AJ$6:$AJ$505,"&gt;"&amp;$A146,実績!$AL$6:$AL$505,"○")&gt;0,1,0))</f>
        <v>0</v>
      </c>
      <c r="BB146" s="39" t="n">
        <f aca="false">IF(BB$4=0,0,IF(COUNTIFS(実績!$W$6:$W$505,BB$3,実績!$AI$6:$AI$505,"&lt;="&amp;$A146,実績!$AJ$6:$AJ$505,"&gt;"&amp;$A146,実績!$AL$6:$AL$505,"○")&gt;0,1,0))</f>
        <v>0</v>
      </c>
      <c r="BC146" s="39" t="n">
        <f aca="false">IF(BC$4=0,0,IF(COUNTIFS(実績!$W$6:$W$505,BC$3,実績!$AI$6:$AI$505,"&lt;="&amp;$A146,実績!$AJ$6:$AJ$505,"&gt;"&amp;$A146,実績!$AL$6:$AL$505,"○")&gt;0,1,0))</f>
        <v>0</v>
      </c>
      <c r="BD146" s="39" t="n">
        <f aca="false">IF(BD$4=0,0,IF(COUNTIFS(実績!$W$6:$W$505,BD$3,実績!$AI$6:$AI$505,"&lt;="&amp;$A146,実績!$AJ$6:$AJ$505,"&gt;"&amp;$A146,実績!$AL$6:$AL$505,"○")&gt;0,1,0))</f>
        <v>0</v>
      </c>
      <c r="BE146" s="39" t="n">
        <f aca="false">IF(BE$4=0,0,IF(COUNTIFS(実績!$W$6:$W$505,BE$3,実績!$AI$6:$AI$505,"&lt;="&amp;$A146,実績!$AJ$6:$AJ$505,"&gt;"&amp;$A146,実績!$AL$6:$AL$505,"○")&gt;0,1,0))</f>
        <v>0</v>
      </c>
      <c r="BF146" s="39" t="n">
        <f aca="false">IF(BF$4=0,0,IF(COUNTIFS(実績!$W$6:$W$505,BF$3,実績!$AI$6:$AI$505,"&lt;="&amp;$A146,実績!$AJ$6:$AJ$505,"&gt;"&amp;$A146,実績!$AL$6:$AL$505,"○")&gt;0,1,0))</f>
        <v>0</v>
      </c>
      <c r="BG146" s="39" t="n">
        <f aca="false">IF(BG$4=0,0,IF(COUNTIFS(実績!$W$6:$W$505,BG$3,実績!$AI$6:$AI$505,"&lt;="&amp;$A146,実績!$AJ$6:$AJ$505,"&gt;"&amp;$A146,実績!$AL$6:$AL$505,"○")&gt;0,1,0))</f>
        <v>0</v>
      </c>
      <c r="BH146" s="39" t="n">
        <f aca="false">IF(BH$4=0,0,IF(COUNTIFS(実績!$W$6:$W$505,BH$3,実績!$AI$6:$AI$505,"&lt;="&amp;$A146,実績!$AJ$6:$AJ$505,"&gt;"&amp;$A146,実績!$AL$6:$AL$505,"○")&gt;0,1,0))</f>
        <v>0</v>
      </c>
      <c r="BI146" s="39" t="n">
        <f aca="false">IF(BI$4=0,0,IF(COUNTIFS(実績!$W$6:$W$505,BI$3,実績!$AI$6:$AI$505,"&lt;="&amp;$A146,実績!$AJ$6:$AJ$505,"&gt;"&amp;$A146,実績!$AL$6:$AL$505,"○")&gt;0,1,0))</f>
        <v>0</v>
      </c>
      <c r="BJ146" s="39" t="n">
        <f aca="false">IF(BJ$4=0,0,IF(COUNTIFS(実績!$W$6:$W$505,BJ$3,実績!$AI$6:$AI$505,"&lt;="&amp;$A146,実績!$AJ$6:$AJ$505,"&gt;"&amp;$A146,実績!$AL$6:$AL$505,"○")&gt;0,1,0))</f>
        <v>0</v>
      </c>
      <c r="BK146" s="39" t="n">
        <f aca="false">IF(BK$4=0,0,IF(COUNTIFS(実績!$W$6:$W$505,BK$3,実績!$AI$6:$AI$505,"&lt;="&amp;$A146,実績!$AJ$6:$AJ$505,"&gt;"&amp;$A146,実績!$AL$6:$AL$505,"○")&gt;0,1,0))</f>
        <v>0</v>
      </c>
      <c r="BL146" s="39" t="n">
        <f aca="false">IF(BL$4=0,0,IF(COUNTIFS(実績!$W$6:$W$505,BL$3,実績!$AI$6:$AI$505,"&lt;="&amp;$A146,実績!$AJ$6:$AJ$505,"&gt;"&amp;$A146,実績!$AL$6:$AL$505,"○")&gt;0,1,0))</f>
        <v>0</v>
      </c>
      <c r="BM146" s="39" t="n">
        <f aca="false">IF(BM$4=0,0,IF(COUNTIFS(実績!$W$6:$W$505,BM$3,実績!$AI$6:$AI$505,"&lt;="&amp;$A146,実績!$AJ$6:$AJ$505,"&gt;"&amp;$A146,実績!$AL$6:$AL$505,"○")&gt;0,1,0))</f>
        <v>0</v>
      </c>
      <c r="BN146" s="39" t="n">
        <f aca="false">IF(BN$4=0,0,IF(COUNTIFS(実績!$W$6:$W$505,BN$3,実績!$AI$6:$AI$505,"&lt;="&amp;$A146,実績!$AJ$6:$AJ$505,"&gt;"&amp;$A146,実績!$AL$6:$AL$505,"○")&gt;0,1,0))</f>
        <v>0</v>
      </c>
      <c r="BO146" s="39" t="n">
        <f aca="false">IF(BO$4=0,0,IF(COUNTIFS(実績!$W$6:$W$505,BO$3,実績!$AI$6:$AI$505,"&lt;="&amp;$A146,実績!$AJ$6:$AJ$505,"&gt;"&amp;$A146,実績!$AL$6:$AL$505,"○")&gt;0,1,0))</f>
        <v>0</v>
      </c>
      <c r="BP146" s="39" t="n">
        <f aca="false">IF(BP$4=0,0,IF(COUNTIFS(実績!$W$6:$W$505,BP$3,実績!$AI$6:$AI$505,"&lt;="&amp;$A146,実績!$AJ$6:$AJ$505,"&gt;"&amp;$A146,実績!$AL$6:$AL$505,"○")&gt;0,1,0))</f>
        <v>0</v>
      </c>
      <c r="BQ146" s="39" t="n">
        <f aca="false">IF(BQ$4=0,0,IF(COUNTIFS(実績!$W$6:$W$505,BQ$3,実績!$AI$6:$AI$505,"&lt;="&amp;$A146,実績!$AJ$6:$AJ$505,"&gt;"&amp;$A146,実績!$AL$6:$AL$505,"○")&gt;0,1,0))</f>
        <v>0</v>
      </c>
      <c r="BR146" s="39" t="n">
        <f aca="false">IF(BR$4=0,0,IF(COUNTIFS(実績!$W$6:$W$505,BR$3,実績!$AI$6:$AI$505,"&lt;="&amp;$A146,実績!$AJ$6:$AJ$505,"&gt;"&amp;$A146,実績!$AL$6:$AL$505,"○")&gt;0,1,0))</f>
        <v>0</v>
      </c>
      <c r="BS146" s="39" t="n">
        <f aca="false">IF(BS$4=0,0,IF(COUNTIFS(実績!$W$6:$W$505,BS$3,実績!$AI$6:$AI$505,"&lt;="&amp;$A146,実績!$AJ$6:$AJ$505,"&gt;"&amp;$A146,実績!$AL$6:$AL$505,"○")&gt;0,1,0))</f>
        <v>0</v>
      </c>
      <c r="BT146" s="39" t="n">
        <f aca="false">IF(BT$4=0,0,IF(COUNTIFS(実績!$W$6:$W$505,BT$3,実績!$AI$6:$AI$505,"&lt;="&amp;$A146,実績!$AJ$6:$AJ$505,"&gt;"&amp;$A146,実績!$AL$6:$AL$505,"○")&gt;0,1,0))</f>
        <v>0</v>
      </c>
      <c r="BU146" s="39" t="n">
        <f aca="false">IF(BU$4=0,0,IF(COUNTIFS(実績!$W$6:$W$505,BU$3,実績!$AI$6:$AI$505,"&lt;="&amp;$A146,実績!$AJ$6:$AJ$505,"&gt;"&amp;$A146,実績!$AL$6:$AL$505,"○")&gt;0,1,0))</f>
        <v>0</v>
      </c>
      <c r="BV146" s="39" t="n">
        <f aca="false">IF(BV$4=0,0,IF(COUNTIFS(実績!$W$6:$W$505,BV$3,実績!$AI$6:$AI$505,"&lt;="&amp;$A146,実績!$AJ$6:$AJ$505,"&gt;"&amp;$A146,実績!$AL$6:$AL$505,"○")&gt;0,1,0))</f>
        <v>0</v>
      </c>
      <c r="BW146" s="39" t="n">
        <f aca="false">IF(BW$4=0,0,IF(COUNTIFS(実績!$W$6:$W$505,BW$3,実績!$AI$6:$AI$505,"&lt;="&amp;$A146,実績!$AJ$6:$AJ$505,"&gt;"&amp;$A146,実績!$AL$6:$AL$505,"○")&gt;0,1,0))</f>
        <v>0</v>
      </c>
      <c r="BX146" s="39" t="n">
        <f aca="false">IF(BX$4=0,0,IF(COUNTIFS(実績!$W$6:$W$505,BX$3,実績!$AI$6:$AI$505,"&lt;="&amp;$A146,実績!$AJ$6:$AJ$505,"&gt;"&amp;$A146,実績!$AL$6:$AL$505,"○")&gt;0,1,0))</f>
        <v>0</v>
      </c>
      <c r="BY146" s="39" t="n">
        <f aca="false">IF(BY$4=0,0,IF(COUNTIFS(実績!$W$6:$W$505,BY$3,実績!$AI$6:$AI$505,"&lt;="&amp;$A146,実績!$AJ$6:$AJ$505,"&gt;"&amp;$A146,実績!$AL$6:$AL$505,"○")&gt;0,1,0))</f>
        <v>0</v>
      </c>
      <c r="BZ146" s="39" t="n">
        <f aca="false">IF(BZ$4=0,0,IF(COUNTIFS(実績!$W$6:$W$505,BZ$3,実績!$AI$6:$AI$505,"&lt;="&amp;$A146,実績!$AJ$6:$AJ$505,"&gt;"&amp;$A146,実績!$AL$6:$AL$505,"○")&gt;0,1,0))</f>
        <v>0</v>
      </c>
      <c r="CA146" s="39" t="n">
        <f aca="false">IF(CA$4=0,0,IF(COUNTIFS(実績!$W$6:$W$505,CA$3,実績!$AI$6:$AI$505,"&lt;="&amp;$A146,実績!$AJ$6:$AJ$505,"&gt;"&amp;$A146,実績!$AL$6:$AL$505,"○")&gt;0,1,0))</f>
        <v>0</v>
      </c>
      <c r="CB146" s="39" t="n">
        <f aca="false">IF(CB$4=0,0,IF(COUNTIFS(実績!$W$6:$W$505,CB$3,実績!$AI$6:$AI$505,"&lt;="&amp;$A146,実績!$AJ$6:$AJ$505,"&gt;"&amp;$A146,実績!$AL$6:$AL$505,"○")&gt;0,1,0))</f>
        <v>0</v>
      </c>
      <c r="CC146" s="39" t="n">
        <f aca="false">IF(CC$4=0,0,IF(COUNTIFS(実績!$W$6:$W$505,CC$3,実績!$AI$6:$AI$505,"&lt;="&amp;$A146,実績!$AJ$6:$AJ$505,"&gt;"&amp;$A146,実績!$AL$6:$AL$505,"○")&gt;0,1,0))</f>
        <v>0</v>
      </c>
      <c r="CD146" s="39" t="n">
        <f aca="false">IF(CD$4=0,0,IF(COUNTIFS(実績!$W$6:$W$505,CD$3,実績!$AI$6:$AI$505,"&lt;="&amp;$A146,実績!$AJ$6:$AJ$505,"&gt;"&amp;$A146,実績!$AL$6:$AL$505,"○")&gt;0,1,0))</f>
        <v>0</v>
      </c>
      <c r="CE146" s="39" t="n">
        <f aca="false">IF(CE$4=0,0,IF(COUNTIFS(実績!$W$6:$W$505,CE$3,実績!$AI$6:$AI$505,"&lt;="&amp;$A146,実績!$AJ$6:$AJ$505,"&gt;"&amp;$A146,実績!$AL$6:$AL$505,"○")&gt;0,1,0))</f>
        <v>0</v>
      </c>
      <c r="CF146" s="39" t="n">
        <f aca="false">IF(CF$4=0,0,IF(COUNTIFS(実績!$W$6:$W$505,CF$3,実績!$AI$6:$AI$505,"&lt;="&amp;$A146,実績!$AJ$6:$AJ$505,"&gt;"&amp;$A146,実績!$AL$6:$AL$505,"○")&gt;0,1,0))</f>
        <v>0</v>
      </c>
      <c r="CG146" s="39" t="n">
        <f aca="false">IF(CG$4=0,0,IF(COUNTIFS(実績!$W$6:$W$505,CG$3,実績!$AI$6:$AI$505,"&lt;="&amp;$A146,実績!$AJ$6:$AJ$505,"&gt;"&amp;$A146,実績!$AL$6:$AL$505,"○")&gt;0,1,0))</f>
        <v>0</v>
      </c>
      <c r="CH146" s="39" t="n">
        <f aca="false">IF(CH$4=0,0,IF(COUNTIFS(実績!$W$6:$W$505,CH$3,実績!$AI$6:$AI$505,"&lt;="&amp;$A146,実績!$AJ$6:$AJ$505,"&gt;"&amp;$A146,実績!$AL$6:$AL$505,"○")&gt;0,1,0))</f>
        <v>0</v>
      </c>
      <c r="CI146" s="39" t="n">
        <f aca="false">IF(CI$4=0,0,IF(COUNTIFS(実績!$W$6:$W$505,CI$3,実績!$AI$6:$AI$505,"&lt;="&amp;$A146,実績!$AJ$6:$AJ$505,"&gt;"&amp;$A146,実績!$AL$6:$AL$505,"○")&gt;0,1,0))</f>
        <v>0</v>
      </c>
      <c r="CJ146" s="39" t="n">
        <f aca="false">IF(CJ$4=0,0,IF(COUNTIFS(実績!$W$6:$W$505,CJ$3,実績!$AI$6:$AI$505,"&lt;="&amp;$A146,実績!$AJ$6:$AJ$505,"&gt;"&amp;$A146,実績!$AL$6:$AL$505,"○")&gt;0,1,0))</f>
        <v>0</v>
      </c>
      <c r="CK146" s="39" t="n">
        <f aca="false">IF(CK$4=0,0,IF(COUNTIFS(実績!$W$6:$W$505,CK$3,実績!$AI$6:$AI$505,"&lt;="&amp;$A146,実績!$AJ$6:$AJ$505,"&gt;"&amp;$A146,実績!$AL$6:$AL$505,"○")&gt;0,1,0))</f>
        <v>0</v>
      </c>
      <c r="CL146" s="39" t="n">
        <f aca="false">IF(CL$4=0,0,IF(COUNTIFS(実績!$W$6:$W$505,CL$3,実績!$AI$6:$AI$505,"&lt;="&amp;$A146,実績!$AJ$6:$AJ$505,"&gt;"&amp;$A146,実績!$AL$6:$AL$505,"○")&gt;0,1,0))</f>
        <v>0</v>
      </c>
      <c r="CM146" s="39" t="n">
        <f aca="false">IF(CM$4=0,0,IF(COUNTIFS(実績!$W$6:$W$505,CM$3,実績!$AI$6:$AI$505,"&lt;="&amp;$A146,実績!$AJ$6:$AJ$505,"&gt;"&amp;$A146,実績!$AL$6:$AL$505,"○")&gt;0,1,0))</f>
        <v>0</v>
      </c>
      <c r="CN146" s="39" t="n">
        <f aca="false">IF(CN$4=0,0,IF(COUNTIFS(実績!$W$6:$W$505,CN$3,実績!$AI$6:$AI$505,"&lt;="&amp;$A146,実績!$AJ$6:$AJ$505,"&gt;"&amp;$A146,実績!$AL$6:$AL$505,"○")&gt;0,1,0))</f>
        <v>0</v>
      </c>
      <c r="CO146" s="39" t="n">
        <f aca="false">IF(CO$4=0,0,IF(COUNTIFS(実績!$W$6:$W$505,CO$3,実績!$AI$6:$AI$505,"&lt;="&amp;$A146,実績!$AJ$6:$AJ$505,"&gt;"&amp;$A146,実績!$AL$6:$AL$505,"○")&gt;0,1,0))</f>
        <v>0</v>
      </c>
      <c r="CP146" s="39" t="n">
        <f aca="false">IF(CP$4=0,0,IF(COUNTIFS(実績!$W$6:$W$505,CP$3,実績!$AI$6:$AI$505,"&lt;="&amp;$A146,実績!$AJ$6:$AJ$505,"&gt;"&amp;$A146,実績!$AL$6:$AL$505,"○")&gt;0,1,0))</f>
        <v>0</v>
      </c>
      <c r="CQ146" s="39" t="n">
        <f aca="false">IF(CQ$4=0,0,IF(COUNTIFS(実績!$W$6:$W$505,CQ$3,実績!$AI$6:$AI$505,"&lt;="&amp;$A146,実績!$AJ$6:$AJ$505,"&gt;"&amp;$A146,実績!$AL$6:$AL$505,"○")&gt;0,1,0))</f>
        <v>0</v>
      </c>
      <c r="CR146" s="39" t="n">
        <f aca="false">IF(CR$4=0,0,IF(COUNTIFS(実績!$W$6:$W$505,CR$3,実績!$AI$6:$AI$505,"&lt;="&amp;$A146,実績!$AJ$6:$AJ$505,"&gt;"&amp;$A146,実績!$AL$6:$AL$505,"○")&gt;0,1,0))</f>
        <v>0</v>
      </c>
      <c r="CS146" s="39" t="n">
        <f aca="false">IF(CS$4=0,0,IF(COUNTIFS(実績!$W$6:$W$505,CS$3,実績!$AI$6:$AI$505,"&lt;="&amp;$A146,実績!$AJ$6:$AJ$505,"&gt;"&amp;$A146,実績!$AL$6:$AL$505,"○")&gt;0,1,0))</f>
        <v>0</v>
      </c>
      <c r="CT146" s="39" t="n">
        <f aca="false">IF(CT$4=0,0,IF(COUNTIFS(実績!$W$6:$W$505,CT$3,実績!$AI$6:$AI$505,"&lt;="&amp;$A146,実績!$AJ$6:$AJ$505,"&gt;"&amp;$A146,実績!$AL$6:$AL$505,"○")&gt;0,1,0))</f>
        <v>0</v>
      </c>
      <c r="CU146" s="39" t="n">
        <f aca="false">IF(CU$4=0,0,IF(COUNTIFS(実績!$W$6:$W$505,CU$3,実績!$AI$6:$AI$505,"&lt;="&amp;$A146,実績!$AJ$6:$AJ$505,"&gt;"&amp;$A146,実績!$AL$6:$AL$505,"○")&gt;0,1,0))</f>
        <v>0</v>
      </c>
      <c r="CV146" s="39" t="n">
        <f aca="false">IF(CV$4=0,0,IF(COUNTIFS(実績!$W$6:$W$505,CV$3,実績!$AI$6:$AI$505,"&lt;="&amp;$A146,実績!$AJ$6:$AJ$505,"&gt;"&amp;$A146,実績!$AL$6:$AL$505,"○")&gt;0,1,0))</f>
        <v>0</v>
      </c>
      <c r="CW146" s="39" t="n">
        <f aca="false">IF(CW$4=0,0,IF(COUNTIFS(実績!$W$6:$W$505,CW$3,実績!$AI$6:$AI$505,"&lt;="&amp;$A146,実績!$AJ$6:$AJ$505,"&gt;"&amp;$A146,実績!$AL$6:$AL$505,"○")&gt;0,1,0))</f>
        <v>0</v>
      </c>
      <c r="CX146" s="39" t="n">
        <f aca="false">IF(CX$4=0,0,IF(COUNTIFS(実績!$W$6:$W$505,CX$3,実績!$AI$6:$AI$505,"&lt;="&amp;$A146,実績!$AJ$6:$AJ$505,"&gt;"&amp;$A146,実績!$AL$6:$AL$505,"○")&gt;0,1,0))</f>
        <v>0</v>
      </c>
      <c r="CY146" s="39" t="n">
        <f aca="false">IF(CY$4=0,0,IF(COUNTIFS(実績!$W$6:$W$505,CY$3,実績!$AI$6:$AI$505,"&lt;="&amp;$A146,実績!$AJ$6:$AJ$505,"&gt;"&amp;$A146,実績!$AL$6:$AL$505,"○")&gt;0,1,0))</f>
        <v>0</v>
      </c>
      <c r="CZ146" s="39" t="n">
        <f aca="false">IF(CZ$4=0,0,IF(COUNTIFS(実績!$W$6:$W$505,CZ$3,実績!$AI$6:$AI$505,"&lt;="&amp;$A146,実績!$AJ$6:$AJ$505,"&gt;"&amp;$A146,実績!$AL$6:$AL$505,"○")&gt;0,1,0))</f>
        <v>0</v>
      </c>
      <c r="DA146" s="39" t="n">
        <f aca="false">IF(DA$4=0,0,IF(COUNTIFS(実績!$W$6:$W$505,DA$3,実績!$AI$6:$AI$505,"&lt;="&amp;$A146,実績!$AJ$6:$AJ$505,"&gt;"&amp;$A146,実績!$AL$6:$AL$505,"○")&gt;0,1,0))</f>
        <v>0</v>
      </c>
      <c r="DB146" s="39" t="n">
        <f aca="false">IF(DB$4=0,0,IF(COUNTIFS(実績!$W$6:$W$505,DB$3,実績!$AI$6:$AI$505,"&lt;="&amp;$A146,実績!$AJ$6:$AJ$505,"&gt;"&amp;$A146,実績!$AL$6:$AL$505,"○")&gt;0,1,0))</f>
        <v>0</v>
      </c>
      <c r="DC146" s="39" t="n">
        <f aca="false">IF(DC$4=0,0,IF(COUNTIFS(実績!$W$6:$W$505,DC$3,実績!$AI$6:$AI$505,"&lt;="&amp;$A146,実績!$AJ$6:$AJ$505,"&gt;"&amp;$A146,実績!$AL$6:$AL$505,"○")&gt;0,1,0))</f>
        <v>0</v>
      </c>
      <c r="DD146" s="39" t="n">
        <f aca="false">IF(DD$4=0,0,IF(COUNTIFS(実績!$W$6:$W$505,DD$3,実績!$AI$6:$AI$505,"&lt;="&amp;$A146,実績!$AJ$6:$AJ$505,"&gt;"&amp;$A146,実績!$AL$6:$AL$505,"○")&gt;0,1,0))</f>
        <v>0</v>
      </c>
      <c r="DE146" s="39" t="n">
        <f aca="false">IF(DE$4=0,0,IF(COUNTIFS(実績!$W$6:$W$505,DE$3,実績!$AI$6:$AI$505,"&lt;="&amp;$A146,実績!$AJ$6:$AJ$505,"&gt;"&amp;$A146,実績!$AL$6:$AL$505,"○")&gt;0,1,0))</f>
        <v>0</v>
      </c>
      <c r="DF146" s="39" t="n">
        <f aca="false">IF(DF$4=0,0,IF(COUNTIFS(実績!$W$6:$W$505,DF$3,実績!$AI$6:$AI$505,"&lt;="&amp;$A146,実績!$AJ$6:$AJ$505,"&gt;"&amp;$A146,実績!$AL$6:$AL$505,"○")&gt;0,1,0))</f>
        <v>0</v>
      </c>
      <c r="DG146" s="39" t="n">
        <f aca="false">IF(DG$4=0,0,IF(COUNTIFS(実績!$W$6:$W$505,DG$3,実績!$AI$6:$AI$505,"&lt;="&amp;$A146,実績!$AJ$6:$AJ$505,"&gt;"&amp;$A146,実績!$AL$6:$AL$505,"○")&gt;0,1,0))</f>
        <v>0</v>
      </c>
      <c r="DH146" s="39" t="n">
        <f aca="false">IF(DH$4=0,0,IF(COUNTIFS(実績!$W$6:$W$505,DH$3,実績!$AI$6:$AI$505,"&lt;="&amp;$A146,実績!$AJ$6:$AJ$505,"&gt;"&amp;$A146,実績!$AL$6:$AL$505,"○")&gt;0,1,0))</f>
        <v>0</v>
      </c>
      <c r="DI146" s="39" t="n">
        <f aca="false">IF(DI$4=0,0,IF(COUNTIFS(実績!$W$6:$W$505,DI$3,実績!$AI$6:$AI$505,"&lt;="&amp;$A146,実績!$AJ$6:$AJ$505,"&gt;"&amp;$A146,実績!$AL$6:$AL$505,"○")&gt;0,1,0))</f>
        <v>0</v>
      </c>
      <c r="DJ146" s="39" t="n">
        <f aca="false">IF(DJ$4=0,0,IF(COUNTIFS(実績!$W$6:$W$505,DJ$3,実績!$AI$6:$AI$505,"&lt;="&amp;$A146,実績!$AJ$6:$AJ$505,"&gt;"&amp;$A146,実績!$AL$6:$AL$505,"○")&gt;0,1,0))</f>
        <v>0</v>
      </c>
      <c r="DK146" s="39" t="n">
        <f aca="false">IF(DK$4=0,0,IF(COUNTIFS(実績!$W$6:$W$505,DK$3,実績!$AI$6:$AI$505,"&lt;="&amp;$A146,実績!$AJ$6:$AJ$505,"&gt;"&amp;$A146,実績!$AL$6:$AL$505,"○")&gt;0,1,0))</f>
        <v>0</v>
      </c>
      <c r="DL146" s="39" t="n">
        <f aca="false">IF(DL$4=0,0,IF(COUNTIFS(実績!$W$6:$W$505,DL$3,実績!$AI$6:$AI$505,"&lt;="&amp;$A146,実績!$AJ$6:$AJ$505,"&gt;"&amp;$A146,実績!$AL$6:$AL$505,"○")&gt;0,1,0))</f>
        <v>0</v>
      </c>
      <c r="DM146" s="39" t="n">
        <f aca="false">IF(DM$4=0,0,IF(COUNTIFS(実績!$W$6:$W$505,DM$3,実績!$AI$6:$AI$505,"&lt;="&amp;$A146,実績!$AJ$6:$AJ$505,"&gt;"&amp;$A146,実績!$AL$6:$AL$505,"○")&gt;0,1,0))</f>
        <v>0</v>
      </c>
      <c r="DN146" s="39" t="n">
        <f aca="false">IF(DN$4=0,0,IF(COUNTIFS(実績!$W$6:$W$505,DN$3,実績!$AI$6:$AI$505,"&lt;="&amp;$A146,実績!$AJ$6:$AJ$505,"&gt;"&amp;$A146,実績!$AL$6:$AL$505,"○")&gt;0,1,0))</f>
        <v>0</v>
      </c>
      <c r="DO146" s="39" t="n">
        <f aca="false">IF(DO$4=0,0,IF(COUNTIFS(実績!$W$6:$W$505,DO$3,実績!$AI$6:$AI$505,"&lt;="&amp;$A146,実績!$AJ$6:$AJ$505,"&gt;"&amp;$A146,実績!$AL$6:$AL$505,"○")&gt;0,1,0))</f>
        <v>0</v>
      </c>
      <c r="DP146" s="39" t="n">
        <f aca="false">IF(DP$4=0,0,IF(COUNTIFS(実績!$W$6:$W$505,DP$3,実績!$AI$6:$AI$505,"&lt;="&amp;$A146,実績!$AJ$6:$AJ$505,"&gt;"&amp;$A146,実績!$AL$6:$AL$505,"○")&gt;0,1,0))</f>
        <v>0</v>
      </c>
      <c r="DQ146" s="39" t="n">
        <f aca="false">IF(DQ$4=0,0,IF(COUNTIFS(実績!$W$6:$W$505,DQ$3,実績!$AI$6:$AI$505,"&lt;="&amp;$A146,実績!$AJ$6:$AJ$505,"&gt;"&amp;$A146,実績!$AL$6:$AL$505,"○")&gt;0,1,0))</f>
        <v>0</v>
      </c>
      <c r="DR146" s="39" t="n">
        <f aca="false">IF(DR$4=0,0,IF(COUNTIFS(実績!$W$6:$W$505,DR$3,実績!$AI$6:$AI$505,"&lt;="&amp;$A146,実績!$AJ$6:$AJ$505,"&gt;"&amp;$A146,実績!$AL$6:$AL$505,"○")&gt;0,1,0))</f>
        <v>0</v>
      </c>
      <c r="DS146" s="39" t="n">
        <f aca="false">SUM(C146:DR146)</f>
        <v>0</v>
      </c>
    </row>
    <row r="147" customFormat="false" ht="15" hidden="false" customHeight="false" outlineLevel="0" collapsed="false">
      <c r="A147" s="0" t="n">
        <v>705</v>
      </c>
      <c r="B147" s="38" t="n">
        <f aca="false">A147/1440</f>
        <v>0.489583333333333</v>
      </c>
      <c r="C147" s="39" t="n">
        <f aca="false">IF(C$4=0,0,IF(COUNTIFS(実績!$W$6:$W$505,C$3,実績!$AI$6:$AI$505,"&lt;="&amp;$A147,実績!$AJ$6:$AJ$505,"&gt;"&amp;$A147,実績!$AL$6:$AL$505,"○")&gt;0,1,0))</f>
        <v>0</v>
      </c>
      <c r="D147" s="39" t="n">
        <f aca="false">IF(D$4=0,0,IF(COUNTIFS(実績!$W$6:$W$505,D$3,実績!$AI$6:$AI$505,"&lt;="&amp;$A147,実績!$AJ$6:$AJ$505,"&gt;"&amp;$A147,実績!$AL$6:$AL$505,"○")&gt;0,1,0))</f>
        <v>0</v>
      </c>
      <c r="E147" s="39" t="n">
        <f aca="false">IF(E$4=0,0,IF(COUNTIFS(実績!$W$6:$W$505,E$3,実績!$AI$6:$AI$505,"&lt;="&amp;$A147,実績!$AJ$6:$AJ$505,"&gt;"&amp;$A147,実績!$AL$6:$AL$505,"○")&gt;0,1,0))</f>
        <v>0</v>
      </c>
      <c r="F147" s="39" t="n">
        <f aca="false">IF(F$4=0,0,IF(COUNTIFS(実績!$W$6:$W$505,F$3,実績!$AI$6:$AI$505,"&lt;="&amp;$A147,実績!$AJ$6:$AJ$505,"&gt;"&amp;$A147,実績!$AL$6:$AL$505,"○")&gt;0,1,0))</f>
        <v>0</v>
      </c>
      <c r="G147" s="39" t="n">
        <f aca="false">IF(G$4=0,0,IF(COUNTIFS(実績!$W$6:$W$505,G$3,実績!$AI$6:$AI$505,"&lt;="&amp;$A147,実績!$AJ$6:$AJ$505,"&gt;"&amp;$A147,実績!$AL$6:$AL$505,"○")&gt;0,1,0))</f>
        <v>0</v>
      </c>
      <c r="H147" s="39" t="n">
        <f aca="false">IF(H$4=0,0,IF(COUNTIFS(実績!$W$6:$W$505,H$3,実績!$AI$6:$AI$505,"&lt;="&amp;$A147,実績!$AJ$6:$AJ$505,"&gt;"&amp;$A147,実績!$AL$6:$AL$505,"○")&gt;0,1,0))</f>
        <v>0</v>
      </c>
      <c r="I147" s="39" t="n">
        <f aca="false">IF(I$4=0,0,IF(COUNTIFS(実績!$W$6:$W$505,I$3,実績!$AI$6:$AI$505,"&lt;="&amp;$A147,実績!$AJ$6:$AJ$505,"&gt;"&amp;$A147,実績!$AL$6:$AL$505,"○")&gt;0,1,0))</f>
        <v>0</v>
      </c>
      <c r="J147" s="39" t="n">
        <f aca="false">IF(J$4=0,0,IF(COUNTIFS(実績!$W$6:$W$505,J$3,実績!$AI$6:$AI$505,"&lt;="&amp;$A147,実績!$AJ$6:$AJ$505,"&gt;"&amp;$A147,実績!$AL$6:$AL$505,"○")&gt;0,1,0))</f>
        <v>0</v>
      </c>
      <c r="K147" s="39" t="n">
        <f aca="false">IF(K$4=0,0,IF(COUNTIFS(実績!$W$6:$W$505,K$3,実績!$AI$6:$AI$505,"&lt;="&amp;$A147,実績!$AJ$6:$AJ$505,"&gt;"&amp;$A147,実績!$AL$6:$AL$505,"○")&gt;0,1,0))</f>
        <v>0</v>
      </c>
      <c r="L147" s="39" t="n">
        <f aca="false">IF(L$4=0,0,IF(COUNTIFS(実績!$W$6:$W$505,L$3,実績!$AI$6:$AI$505,"&lt;="&amp;$A147,実績!$AJ$6:$AJ$505,"&gt;"&amp;$A147,実績!$AL$6:$AL$505,"○")&gt;0,1,0))</f>
        <v>0</v>
      </c>
      <c r="M147" s="39" t="n">
        <f aca="false">IF(M$4=0,0,IF(COUNTIFS(実績!$W$6:$W$505,M$3,実績!$AI$6:$AI$505,"&lt;="&amp;$A147,実績!$AJ$6:$AJ$505,"&gt;"&amp;$A147,実績!$AL$6:$AL$505,"○")&gt;0,1,0))</f>
        <v>0</v>
      </c>
      <c r="N147" s="39" t="n">
        <f aca="false">IF(N$4=0,0,IF(COUNTIFS(実績!$W$6:$W$505,N$3,実績!$AI$6:$AI$505,"&lt;="&amp;$A147,実績!$AJ$6:$AJ$505,"&gt;"&amp;$A147,実績!$AL$6:$AL$505,"○")&gt;0,1,0))</f>
        <v>0</v>
      </c>
      <c r="O147" s="39" t="n">
        <f aca="false">IF(O$4=0,0,IF(COUNTIFS(実績!$W$6:$W$505,O$3,実績!$AI$6:$AI$505,"&lt;="&amp;$A147,実績!$AJ$6:$AJ$505,"&gt;"&amp;$A147,実績!$AL$6:$AL$505,"○")&gt;0,1,0))</f>
        <v>0</v>
      </c>
      <c r="P147" s="39" t="n">
        <f aca="false">IF(P$4=0,0,IF(COUNTIFS(実績!$W$6:$W$505,P$3,実績!$AI$6:$AI$505,"&lt;="&amp;$A147,実績!$AJ$6:$AJ$505,"&gt;"&amp;$A147,実績!$AL$6:$AL$505,"○")&gt;0,1,0))</f>
        <v>0</v>
      </c>
      <c r="Q147" s="39" t="n">
        <f aca="false">IF(Q$4=0,0,IF(COUNTIFS(実績!$W$6:$W$505,Q$3,実績!$AI$6:$AI$505,"&lt;="&amp;$A147,実績!$AJ$6:$AJ$505,"&gt;"&amp;$A147,実績!$AL$6:$AL$505,"○")&gt;0,1,0))</f>
        <v>0</v>
      </c>
      <c r="R147" s="39" t="n">
        <f aca="false">IF(R$4=0,0,IF(COUNTIFS(実績!$W$6:$W$505,R$3,実績!$AI$6:$AI$505,"&lt;="&amp;$A147,実績!$AJ$6:$AJ$505,"&gt;"&amp;$A147,実績!$AL$6:$AL$505,"○")&gt;0,1,0))</f>
        <v>0</v>
      </c>
      <c r="S147" s="39" t="n">
        <f aca="false">IF(S$4=0,0,IF(COUNTIFS(実績!$W$6:$W$505,S$3,実績!$AI$6:$AI$505,"&lt;="&amp;$A147,実績!$AJ$6:$AJ$505,"&gt;"&amp;$A147,実績!$AL$6:$AL$505,"○")&gt;0,1,0))</f>
        <v>0</v>
      </c>
      <c r="T147" s="39" t="n">
        <f aca="false">IF(T$4=0,0,IF(COUNTIFS(実績!$W$6:$W$505,T$3,実績!$AI$6:$AI$505,"&lt;="&amp;$A147,実績!$AJ$6:$AJ$505,"&gt;"&amp;$A147,実績!$AL$6:$AL$505,"○")&gt;0,1,0))</f>
        <v>0</v>
      </c>
      <c r="U147" s="39" t="n">
        <f aca="false">IF(U$4=0,0,IF(COUNTIFS(実績!$W$6:$W$505,U$3,実績!$AI$6:$AI$505,"&lt;="&amp;$A147,実績!$AJ$6:$AJ$505,"&gt;"&amp;$A147,実績!$AL$6:$AL$505,"○")&gt;0,1,0))</f>
        <v>0</v>
      </c>
      <c r="V147" s="39" t="n">
        <f aca="false">IF(V$4=0,0,IF(COUNTIFS(実績!$W$6:$W$505,V$3,実績!$AI$6:$AI$505,"&lt;="&amp;$A147,実績!$AJ$6:$AJ$505,"&gt;"&amp;$A147,実績!$AL$6:$AL$505,"○")&gt;0,1,0))</f>
        <v>0</v>
      </c>
      <c r="W147" s="39" t="n">
        <f aca="false">IF(W$4=0,0,IF(COUNTIFS(実績!$W$6:$W$505,W$3,実績!$AI$6:$AI$505,"&lt;="&amp;$A147,実績!$AJ$6:$AJ$505,"&gt;"&amp;$A147,実績!$AL$6:$AL$505,"○")&gt;0,1,0))</f>
        <v>0</v>
      </c>
      <c r="X147" s="39" t="n">
        <f aca="false">IF(X$4=0,0,IF(COUNTIFS(実績!$W$6:$W$505,X$3,実績!$AI$6:$AI$505,"&lt;="&amp;$A147,実績!$AJ$6:$AJ$505,"&gt;"&amp;$A147,実績!$AL$6:$AL$505,"○")&gt;0,1,0))</f>
        <v>0</v>
      </c>
      <c r="Y147" s="39" t="n">
        <f aca="false">IF(Y$4=0,0,IF(COUNTIFS(実績!$W$6:$W$505,Y$3,実績!$AI$6:$AI$505,"&lt;="&amp;$A147,実績!$AJ$6:$AJ$505,"&gt;"&amp;$A147,実績!$AL$6:$AL$505,"○")&gt;0,1,0))</f>
        <v>0</v>
      </c>
      <c r="Z147" s="39" t="n">
        <f aca="false">IF(Z$4=0,0,IF(COUNTIFS(実績!$W$6:$W$505,Z$3,実績!$AI$6:$AI$505,"&lt;="&amp;$A147,実績!$AJ$6:$AJ$505,"&gt;"&amp;$A147,実績!$AL$6:$AL$505,"○")&gt;0,1,0))</f>
        <v>0</v>
      </c>
      <c r="AA147" s="39" t="n">
        <f aca="false">IF(AA$4=0,0,IF(COUNTIFS(実績!$W$6:$W$505,AA$3,実績!$AI$6:$AI$505,"&lt;="&amp;$A147,実績!$AJ$6:$AJ$505,"&gt;"&amp;$A147,実績!$AL$6:$AL$505,"○")&gt;0,1,0))</f>
        <v>0</v>
      </c>
      <c r="AB147" s="39" t="n">
        <f aca="false">IF(AB$4=0,0,IF(COUNTIFS(実績!$W$6:$W$505,AB$3,実績!$AI$6:$AI$505,"&lt;="&amp;$A147,実績!$AJ$6:$AJ$505,"&gt;"&amp;$A147,実績!$AL$6:$AL$505,"○")&gt;0,1,0))</f>
        <v>0</v>
      </c>
      <c r="AC147" s="39" t="n">
        <f aca="false">IF(AC$4=0,0,IF(COUNTIFS(実績!$W$6:$W$505,AC$3,実績!$AI$6:$AI$505,"&lt;="&amp;$A147,実績!$AJ$6:$AJ$505,"&gt;"&amp;$A147,実績!$AL$6:$AL$505,"○")&gt;0,1,0))</f>
        <v>0</v>
      </c>
      <c r="AD147" s="39" t="n">
        <f aca="false">IF(AD$4=0,0,IF(COUNTIFS(実績!$W$6:$W$505,AD$3,実績!$AI$6:$AI$505,"&lt;="&amp;$A147,実績!$AJ$6:$AJ$505,"&gt;"&amp;$A147,実績!$AL$6:$AL$505,"○")&gt;0,1,0))</f>
        <v>0</v>
      </c>
      <c r="AE147" s="39" t="n">
        <f aca="false">IF(AE$4=0,0,IF(COUNTIFS(実績!$W$6:$W$505,AE$3,実績!$AI$6:$AI$505,"&lt;="&amp;$A147,実績!$AJ$6:$AJ$505,"&gt;"&amp;$A147,実績!$AL$6:$AL$505,"○")&gt;0,1,0))</f>
        <v>0</v>
      </c>
      <c r="AF147" s="39" t="n">
        <f aca="false">IF(AF$4=0,0,IF(COUNTIFS(実績!$W$6:$W$505,AF$3,実績!$AI$6:$AI$505,"&lt;="&amp;$A147,実績!$AJ$6:$AJ$505,"&gt;"&amp;$A147,実績!$AL$6:$AL$505,"○")&gt;0,1,0))</f>
        <v>0</v>
      </c>
      <c r="AG147" s="39" t="n">
        <f aca="false">IF(AG$4=0,0,IF(COUNTIFS(実績!$W$6:$W$505,AG$3,実績!$AI$6:$AI$505,"&lt;="&amp;$A147,実績!$AJ$6:$AJ$505,"&gt;"&amp;$A147,実績!$AL$6:$AL$505,"○")&gt;0,1,0))</f>
        <v>0</v>
      </c>
      <c r="AH147" s="39" t="n">
        <f aca="false">IF(AH$4=0,0,IF(COUNTIFS(実績!$W$6:$W$505,AH$3,実績!$AI$6:$AI$505,"&lt;="&amp;$A147,実績!$AJ$6:$AJ$505,"&gt;"&amp;$A147,実績!$AL$6:$AL$505,"○")&gt;0,1,0))</f>
        <v>0</v>
      </c>
      <c r="AI147" s="39" t="n">
        <f aca="false">IF(AI$4=0,0,IF(COUNTIFS(実績!$W$6:$W$505,AI$3,実績!$AI$6:$AI$505,"&lt;="&amp;$A147,実績!$AJ$6:$AJ$505,"&gt;"&amp;$A147,実績!$AL$6:$AL$505,"○")&gt;0,1,0))</f>
        <v>0</v>
      </c>
      <c r="AJ147" s="39" t="n">
        <f aca="false">IF(AJ$4=0,0,IF(COUNTIFS(実績!$W$6:$W$505,AJ$3,実績!$AI$6:$AI$505,"&lt;="&amp;$A147,実績!$AJ$6:$AJ$505,"&gt;"&amp;$A147,実績!$AL$6:$AL$505,"○")&gt;0,1,0))</f>
        <v>0</v>
      </c>
      <c r="AK147" s="39" t="n">
        <f aca="false">IF(AK$4=0,0,IF(COUNTIFS(実績!$W$6:$W$505,AK$3,実績!$AI$6:$AI$505,"&lt;="&amp;$A147,実績!$AJ$6:$AJ$505,"&gt;"&amp;$A147,実績!$AL$6:$AL$505,"○")&gt;0,1,0))</f>
        <v>0</v>
      </c>
      <c r="AL147" s="39" t="n">
        <f aca="false">IF(AL$4=0,0,IF(COUNTIFS(実績!$W$6:$W$505,AL$3,実績!$AI$6:$AI$505,"&lt;="&amp;$A147,実績!$AJ$6:$AJ$505,"&gt;"&amp;$A147,実績!$AL$6:$AL$505,"○")&gt;0,1,0))</f>
        <v>0</v>
      </c>
      <c r="AM147" s="39" t="n">
        <f aca="false">IF(AM$4=0,0,IF(COUNTIFS(実績!$W$6:$W$505,AM$3,実績!$AI$6:$AI$505,"&lt;="&amp;$A147,実績!$AJ$6:$AJ$505,"&gt;"&amp;$A147,実績!$AL$6:$AL$505,"○")&gt;0,1,0))</f>
        <v>0</v>
      </c>
      <c r="AN147" s="39" t="n">
        <f aca="false">IF(AN$4=0,0,IF(COUNTIFS(実績!$W$6:$W$505,AN$3,実績!$AI$6:$AI$505,"&lt;="&amp;$A147,実績!$AJ$6:$AJ$505,"&gt;"&amp;$A147,実績!$AL$6:$AL$505,"○")&gt;0,1,0))</f>
        <v>0</v>
      </c>
      <c r="AO147" s="39" t="n">
        <f aca="false">IF(AO$4=0,0,IF(COUNTIFS(実績!$W$6:$W$505,AO$3,実績!$AI$6:$AI$505,"&lt;="&amp;$A147,実績!$AJ$6:$AJ$505,"&gt;"&amp;$A147,実績!$AL$6:$AL$505,"○")&gt;0,1,0))</f>
        <v>0</v>
      </c>
      <c r="AP147" s="39" t="n">
        <f aca="false">IF(AP$4=0,0,IF(COUNTIFS(実績!$W$6:$W$505,AP$3,実績!$AI$6:$AI$505,"&lt;="&amp;$A147,実績!$AJ$6:$AJ$505,"&gt;"&amp;$A147,実績!$AL$6:$AL$505,"○")&gt;0,1,0))</f>
        <v>0</v>
      </c>
      <c r="AQ147" s="39" t="n">
        <f aca="false">IF(AQ$4=0,0,IF(COUNTIFS(実績!$W$6:$W$505,AQ$3,実績!$AI$6:$AI$505,"&lt;="&amp;$A147,実績!$AJ$6:$AJ$505,"&gt;"&amp;$A147,実績!$AL$6:$AL$505,"○")&gt;0,1,0))</f>
        <v>0</v>
      </c>
      <c r="AR147" s="39" t="n">
        <f aca="false">IF(AR$4=0,0,IF(COUNTIFS(実績!$W$6:$W$505,AR$3,実績!$AI$6:$AI$505,"&lt;="&amp;$A147,実績!$AJ$6:$AJ$505,"&gt;"&amp;$A147,実績!$AL$6:$AL$505,"○")&gt;0,1,0))</f>
        <v>0</v>
      </c>
      <c r="AS147" s="39" t="n">
        <f aca="false">IF(AS$4=0,0,IF(COUNTIFS(実績!$W$6:$W$505,AS$3,実績!$AI$6:$AI$505,"&lt;="&amp;$A147,実績!$AJ$6:$AJ$505,"&gt;"&amp;$A147,実績!$AL$6:$AL$505,"○")&gt;0,1,0))</f>
        <v>0</v>
      </c>
      <c r="AT147" s="39" t="n">
        <f aca="false">IF(AT$4=0,0,IF(COUNTIFS(実績!$W$6:$W$505,AT$3,実績!$AI$6:$AI$505,"&lt;="&amp;$A147,実績!$AJ$6:$AJ$505,"&gt;"&amp;$A147,実績!$AL$6:$AL$505,"○")&gt;0,1,0))</f>
        <v>0</v>
      </c>
      <c r="AU147" s="39" t="n">
        <f aca="false">IF(AU$4=0,0,IF(COUNTIFS(実績!$W$6:$W$505,AU$3,実績!$AI$6:$AI$505,"&lt;="&amp;$A147,実績!$AJ$6:$AJ$505,"&gt;"&amp;$A147,実績!$AL$6:$AL$505,"○")&gt;0,1,0))</f>
        <v>0</v>
      </c>
      <c r="AV147" s="39" t="n">
        <f aca="false">IF(AV$4=0,0,IF(COUNTIFS(実績!$W$6:$W$505,AV$3,実績!$AI$6:$AI$505,"&lt;="&amp;$A147,実績!$AJ$6:$AJ$505,"&gt;"&amp;$A147,実績!$AL$6:$AL$505,"○")&gt;0,1,0))</f>
        <v>0</v>
      </c>
      <c r="AW147" s="39" t="n">
        <f aca="false">IF(AW$4=0,0,IF(COUNTIFS(実績!$W$6:$W$505,AW$3,実績!$AI$6:$AI$505,"&lt;="&amp;$A147,実績!$AJ$6:$AJ$505,"&gt;"&amp;$A147,実績!$AL$6:$AL$505,"○")&gt;0,1,0))</f>
        <v>0</v>
      </c>
      <c r="AX147" s="39" t="n">
        <f aca="false">IF(AX$4=0,0,IF(COUNTIFS(実績!$W$6:$W$505,AX$3,実績!$AI$6:$AI$505,"&lt;="&amp;$A147,実績!$AJ$6:$AJ$505,"&gt;"&amp;$A147,実績!$AL$6:$AL$505,"○")&gt;0,1,0))</f>
        <v>0</v>
      </c>
      <c r="AY147" s="39" t="n">
        <f aca="false">IF(AY$4=0,0,IF(COUNTIFS(実績!$W$6:$W$505,AY$3,実績!$AI$6:$AI$505,"&lt;="&amp;$A147,実績!$AJ$6:$AJ$505,"&gt;"&amp;$A147,実績!$AL$6:$AL$505,"○")&gt;0,1,0))</f>
        <v>0</v>
      </c>
      <c r="AZ147" s="39" t="n">
        <f aca="false">IF(AZ$4=0,0,IF(COUNTIFS(実績!$W$6:$W$505,AZ$3,実績!$AI$6:$AI$505,"&lt;="&amp;$A147,実績!$AJ$6:$AJ$505,"&gt;"&amp;$A147,実績!$AL$6:$AL$505,"○")&gt;0,1,0))</f>
        <v>0</v>
      </c>
      <c r="BA147" s="39" t="n">
        <f aca="false">IF(BA$4=0,0,IF(COUNTIFS(実績!$W$6:$W$505,BA$3,実績!$AI$6:$AI$505,"&lt;="&amp;$A147,実績!$AJ$6:$AJ$505,"&gt;"&amp;$A147,実績!$AL$6:$AL$505,"○")&gt;0,1,0))</f>
        <v>0</v>
      </c>
      <c r="BB147" s="39" t="n">
        <f aca="false">IF(BB$4=0,0,IF(COUNTIFS(実績!$W$6:$W$505,BB$3,実績!$AI$6:$AI$505,"&lt;="&amp;$A147,実績!$AJ$6:$AJ$505,"&gt;"&amp;$A147,実績!$AL$6:$AL$505,"○")&gt;0,1,0))</f>
        <v>0</v>
      </c>
      <c r="BC147" s="39" t="n">
        <f aca="false">IF(BC$4=0,0,IF(COUNTIFS(実績!$W$6:$W$505,BC$3,実績!$AI$6:$AI$505,"&lt;="&amp;$A147,実績!$AJ$6:$AJ$505,"&gt;"&amp;$A147,実績!$AL$6:$AL$505,"○")&gt;0,1,0))</f>
        <v>0</v>
      </c>
      <c r="BD147" s="39" t="n">
        <f aca="false">IF(BD$4=0,0,IF(COUNTIFS(実績!$W$6:$W$505,BD$3,実績!$AI$6:$AI$505,"&lt;="&amp;$A147,実績!$AJ$6:$AJ$505,"&gt;"&amp;$A147,実績!$AL$6:$AL$505,"○")&gt;0,1,0))</f>
        <v>0</v>
      </c>
      <c r="BE147" s="39" t="n">
        <f aca="false">IF(BE$4=0,0,IF(COUNTIFS(実績!$W$6:$W$505,BE$3,実績!$AI$6:$AI$505,"&lt;="&amp;$A147,実績!$AJ$6:$AJ$505,"&gt;"&amp;$A147,実績!$AL$6:$AL$505,"○")&gt;0,1,0))</f>
        <v>0</v>
      </c>
      <c r="BF147" s="39" t="n">
        <f aca="false">IF(BF$4=0,0,IF(COUNTIFS(実績!$W$6:$W$505,BF$3,実績!$AI$6:$AI$505,"&lt;="&amp;$A147,実績!$AJ$6:$AJ$505,"&gt;"&amp;$A147,実績!$AL$6:$AL$505,"○")&gt;0,1,0))</f>
        <v>0</v>
      </c>
      <c r="BG147" s="39" t="n">
        <f aca="false">IF(BG$4=0,0,IF(COUNTIFS(実績!$W$6:$W$505,BG$3,実績!$AI$6:$AI$505,"&lt;="&amp;$A147,実績!$AJ$6:$AJ$505,"&gt;"&amp;$A147,実績!$AL$6:$AL$505,"○")&gt;0,1,0))</f>
        <v>0</v>
      </c>
      <c r="BH147" s="39" t="n">
        <f aca="false">IF(BH$4=0,0,IF(COUNTIFS(実績!$W$6:$W$505,BH$3,実績!$AI$6:$AI$505,"&lt;="&amp;$A147,実績!$AJ$6:$AJ$505,"&gt;"&amp;$A147,実績!$AL$6:$AL$505,"○")&gt;0,1,0))</f>
        <v>0</v>
      </c>
      <c r="BI147" s="39" t="n">
        <f aca="false">IF(BI$4=0,0,IF(COUNTIFS(実績!$W$6:$W$505,BI$3,実績!$AI$6:$AI$505,"&lt;="&amp;$A147,実績!$AJ$6:$AJ$505,"&gt;"&amp;$A147,実績!$AL$6:$AL$505,"○")&gt;0,1,0))</f>
        <v>0</v>
      </c>
      <c r="BJ147" s="39" t="n">
        <f aca="false">IF(BJ$4=0,0,IF(COUNTIFS(実績!$W$6:$W$505,BJ$3,実績!$AI$6:$AI$505,"&lt;="&amp;$A147,実績!$AJ$6:$AJ$505,"&gt;"&amp;$A147,実績!$AL$6:$AL$505,"○")&gt;0,1,0))</f>
        <v>0</v>
      </c>
      <c r="BK147" s="39" t="n">
        <f aca="false">IF(BK$4=0,0,IF(COUNTIFS(実績!$W$6:$W$505,BK$3,実績!$AI$6:$AI$505,"&lt;="&amp;$A147,実績!$AJ$6:$AJ$505,"&gt;"&amp;$A147,実績!$AL$6:$AL$505,"○")&gt;0,1,0))</f>
        <v>0</v>
      </c>
      <c r="BL147" s="39" t="n">
        <f aca="false">IF(BL$4=0,0,IF(COUNTIFS(実績!$W$6:$W$505,BL$3,実績!$AI$6:$AI$505,"&lt;="&amp;$A147,実績!$AJ$6:$AJ$505,"&gt;"&amp;$A147,実績!$AL$6:$AL$505,"○")&gt;0,1,0))</f>
        <v>0</v>
      </c>
      <c r="BM147" s="39" t="n">
        <f aca="false">IF(BM$4=0,0,IF(COUNTIFS(実績!$W$6:$W$505,BM$3,実績!$AI$6:$AI$505,"&lt;="&amp;$A147,実績!$AJ$6:$AJ$505,"&gt;"&amp;$A147,実績!$AL$6:$AL$505,"○")&gt;0,1,0))</f>
        <v>0</v>
      </c>
      <c r="BN147" s="39" t="n">
        <f aca="false">IF(BN$4=0,0,IF(COUNTIFS(実績!$W$6:$W$505,BN$3,実績!$AI$6:$AI$505,"&lt;="&amp;$A147,実績!$AJ$6:$AJ$505,"&gt;"&amp;$A147,実績!$AL$6:$AL$505,"○")&gt;0,1,0))</f>
        <v>0</v>
      </c>
      <c r="BO147" s="39" t="n">
        <f aca="false">IF(BO$4=0,0,IF(COUNTIFS(実績!$W$6:$W$505,BO$3,実績!$AI$6:$AI$505,"&lt;="&amp;$A147,実績!$AJ$6:$AJ$505,"&gt;"&amp;$A147,実績!$AL$6:$AL$505,"○")&gt;0,1,0))</f>
        <v>0</v>
      </c>
      <c r="BP147" s="39" t="n">
        <f aca="false">IF(BP$4=0,0,IF(COUNTIFS(実績!$W$6:$W$505,BP$3,実績!$AI$6:$AI$505,"&lt;="&amp;$A147,実績!$AJ$6:$AJ$505,"&gt;"&amp;$A147,実績!$AL$6:$AL$505,"○")&gt;0,1,0))</f>
        <v>0</v>
      </c>
      <c r="BQ147" s="39" t="n">
        <f aca="false">IF(BQ$4=0,0,IF(COUNTIFS(実績!$W$6:$W$505,BQ$3,実績!$AI$6:$AI$505,"&lt;="&amp;$A147,実績!$AJ$6:$AJ$505,"&gt;"&amp;$A147,実績!$AL$6:$AL$505,"○")&gt;0,1,0))</f>
        <v>0</v>
      </c>
      <c r="BR147" s="39" t="n">
        <f aca="false">IF(BR$4=0,0,IF(COUNTIFS(実績!$W$6:$W$505,BR$3,実績!$AI$6:$AI$505,"&lt;="&amp;$A147,実績!$AJ$6:$AJ$505,"&gt;"&amp;$A147,実績!$AL$6:$AL$505,"○")&gt;0,1,0))</f>
        <v>0</v>
      </c>
      <c r="BS147" s="39" t="n">
        <f aca="false">IF(BS$4=0,0,IF(COUNTIFS(実績!$W$6:$W$505,BS$3,実績!$AI$6:$AI$505,"&lt;="&amp;$A147,実績!$AJ$6:$AJ$505,"&gt;"&amp;$A147,実績!$AL$6:$AL$505,"○")&gt;0,1,0))</f>
        <v>0</v>
      </c>
      <c r="BT147" s="39" t="n">
        <f aca="false">IF(BT$4=0,0,IF(COUNTIFS(実績!$W$6:$W$505,BT$3,実績!$AI$6:$AI$505,"&lt;="&amp;$A147,実績!$AJ$6:$AJ$505,"&gt;"&amp;$A147,実績!$AL$6:$AL$505,"○")&gt;0,1,0))</f>
        <v>0</v>
      </c>
      <c r="BU147" s="39" t="n">
        <f aca="false">IF(BU$4=0,0,IF(COUNTIFS(実績!$W$6:$W$505,BU$3,実績!$AI$6:$AI$505,"&lt;="&amp;$A147,実績!$AJ$6:$AJ$505,"&gt;"&amp;$A147,実績!$AL$6:$AL$505,"○")&gt;0,1,0))</f>
        <v>0</v>
      </c>
      <c r="BV147" s="39" t="n">
        <f aca="false">IF(BV$4=0,0,IF(COUNTIFS(実績!$W$6:$W$505,BV$3,実績!$AI$6:$AI$505,"&lt;="&amp;$A147,実績!$AJ$6:$AJ$505,"&gt;"&amp;$A147,実績!$AL$6:$AL$505,"○")&gt;0,1,0))</f>
        <v>0</v>
      </c>
      <c r="BW147" s="39" t="n">
        <f aca="false">IF(BW$4=0,0,IF(COUNTIFS(実績!$W$6:$W$505,BW$3,実績!$AI$6:$AI$505,"&lt;="&amp;$A147,実績!$AJ$6:$AJ$505,"&gt;"&amp;$A147,実績!$AL$6:$AL$505,"○")&gt;0,1,0))</f>
        <v>0</v>
      </c>
      <c r="BX147" s="39" t="n">
        <f aca="false">IF(BX$4=0,0,IF(COUNTIFS(実績!$W$6:$W$505,BX$3,実績!$AI$6:$AI$505,"&lt;="&amp;$A147,実績!$AJ$6:$AJ$505,"&gt;"&amp;$A147,実績!$AL$6:$AL$505,"○")&gt;0,1,0))</f>
        <v>0</v>
      </c>
      <c r="BY147" s="39" t="n">
        <f aca="false">IF(BY$4=0,0,IF(COUNTIFS(実績!$W$6:$W$505,BY$3,実績!$AI$6:$AI$505,"&lt;="&amp;$A147,実績!$AJ$6:$AJ$505,"&gt;"&amp;$A147,実績!$AL$6:$AL$505,"○")&gt;0,1,0))</f>
        <v>0</v>
      </c>
      <c r="BZ147" s="39" t="n">
        <f aca="false">IF(BZ$4=0,0,IF(COUNTIFS(実績!$W$6:$W$505,BZ$3,実績!$AI$6:$AI$505,"&lt;="&amp;$A147,実績!$AJ$6:$AJ$505,"&gt;"&amp;$A147,実績!$AL$6:$AL$505,"○")&gt;0,1,0))</f>
        <v>0</v>
      </c>
      <c r="CA147" s="39" t="n">
        <f aca="false">IF(CA$4=0,0,IF(COUNTIFS(実績!$W$6:$W$505,CA$3,実績!$AI$6:$AI$505,"&lt;="&amp;$A147,実績!$AJ$6:$AJ$505,"&gt;"&amp;$A147,実績!$AL$6:$AL$505,"○")&gt;0,1,0))</f>
        <v>0</v>
      </c>
      <c r="CB147" s="39" t="n">
        <f aca="false">IF(CB$4=0,0,IF(COUNTIFS(実績!$W$6:$W$505,CB$3,実績!$AI$6:$AI$505,"&lt;="&amp;$A147,実績!$AJ$6:$AJ$505,"&gt;"&amp;$A147,実績!$AL$6:$AL$505,"○")&gt;0,1,0))</f>
        <v>0</v>
      </c>
      <c r="CC147" s="39" t="n">
        <f aca="false">IF(CC$4=0,0,IF(COUNTIFS(実績!$W$6:$W$505,CC$3,実績!$AI$6:$AI$505,"&lt;="&amp;$A147,実績!$AJ$6:$AJ$505,"&gt;"&amp;$A147,実績!$AL$6:$AL$505,"○")&gt;0,1,0))</f>
        <v>0</v>
      </c>
      <c r="CD147" s="39" t="n">
        <f aca="false">IF(CD$4=0,0,IF(COUNTIFS(実績!$W$6:$W$505,CD$3,実績!$AI$6:$AI$505,"&lt;="&amp;$A147,実績!$AJ$6:$AJ$505,"&gt;"&amp;$A147,実績!$AL$6:$AL$505,"○")&gt;0,1,0))</f>
        <v>0</v>
      </c>
      <c r="CE147" s="39" t="n">
        <f aca="false">IF(CE$4=0,0,IF(COUNTIFS(実績!$W$6:$W$505,CE$3,実績!$AI$6:$AI$505,"&lt;="&amp;$A147,実績!$AJ$6:$AJ$505,"&gt;"&amp;$A147,実績!$AL$6:$AL$505,"○")&gt;0,1,0))</f>
        <v>0</v>
      </c>
      <c r="CF147" s="39" t="n">
        <f aca="false">IF(CF$4=0,0,IF(COUNTIFS(実績!$W$6:$W$505,CF$3,実績!$AI$6:$AI$505,"&lt;="&amp;$A147,実績!$AJ$6:$AJ$505,"&gt;"&amp;$A147,実績!$AL$6:$AL$505,"○")&gt;0,1,0))</f>
        <v>0</v>
      </c>
      <c r="CG147" s="39" t="n">
        <f aca="false">IF(CG$4=0,0,IF(COUNTIFS(実績!$W$6:$W$505,CG$3,実績!$AI$6:$AI$505,"&lt;="&amp;$A147,実績!$AJ$6:$AJ$505,"&gt;"&amp;$A147,実績!$AL$6:$AL$505,"○")&gt;0,1,0))</f>
        <v>0</v>
      </c>
      <c r="CH147" s="39" t="n">
        <f aca="false">IF(CH$4=0,0,IF(COUNTIFS(実績!$W$6:$W$505,CH$3,実績!$AI$6:$AI$505,"&lt;="&amp;$A147,実績!$AJ$6:$AJ$505,"&gt;"&amp;$A147,実績!$AL$6:$AL$505,"○")&gt;0,1,0))</f>
        <v>0</v>
      </c>
      <c r="CI147" s="39" t="n">
        <f aca="false">IF(CI$4=0,0,IF(COUNTIFS(実績!$W$6:$W$505,CI$3,実績!$AI$6:$AI$505,"&lt;="&amp;$A147,実績!$AJ$6:$AJ$505,"&gt;"&amp;$A147,実績!$AL$6:$AL$505,"○")&gt;0,1,0))</f>
        <v>0</v>
      </c>
      <c r="CJ147" s="39" t="n">
        <f aca="false">IF(CJ$4=0,0,IF(COUNTIFS(実績!$W$6:$W$505,CJ$3,実績!$AI$6:$AI$505,"&lt;="&amp;$A147,実績!$AJ$6:$AJ$505,"&gt;"&amp;$A147,実績!$AL$6:$AL$505,"○")&gt;0,1,0))</f>
        <v>0</v>
      </c>
      <c r="CK147" s="39" t="n">
        <f aca="false">IF(CK$4=0,0,IF(COUNTIFS(実績!$W$6:$W$505,CK$3,実績!$AI$6:$AI$505,"&lt;="&amp;$A147,実績!$AJ$6:$AJ$505,"&gt;"&amp;$A147,実績!$AL$6:$AL$505,"○")&gt;0,1,0))</f>
        <v>0</v>
      </c>
      <c r="CL147" s="39" t="n">
        <f aca="false">IF(CL$4=0,0,IF(COUNTIFS(実績!$W$6:$W$505,CL$3,実績!$AI$6:$AI$505,"&lt;="&amp;$A147,実績!$AJ$6:$AJ$505,"&gt;"&amp;$A147,実績!$AL$6:$AL$505,"○")&gt;0,1,0))</f>
        <v>0</v>
      </c>
      <c r="CM147" s="39" t="n">
        <f aca="false">IF(CM$4=0,0,IF(COUNTIFS(実績!$W$6:$W$505,CM$3,実績!$AI$6:$AI$505,"&lt;="&amp;$A147,実績!$AJ$6:$AJ$505,"&gt;"&amp;$A147,実績!$AL$6:$AL$505,"○")&gt;0,1,0))</f>
        <v>0</v>
      </c>
      <c r="CN147" s="39" t="n">
        <f aca="false">IF(CN$4=0,0,IF(COUNTIFS(実績!$W$6:$W$505,CN$3,実績!$AI$6:$AI$505,"&lt;="&amp;$A147,実績!$AJ$6:$AJ$505,"&gt;"&amp;$A147,実績!$AL$6:$AL$505,"○")&gt;0,1,0))</f>
        <v>0</v>
      </c>
      <c r="CO147" s="39" t="n">
        <f aca="false">IF(CO$4=0,0,IF(COUNTIFS(実績!$W$6:$W$505,CO$3,実績!$AI$6:$AI$505,"&lt;="&amp;$A147,実績!$AJ$6:$AJ$505,"&gt;"&amp;$A147,実績!$AL$6:$AL$505,"○")&gt;0,1,0))</f>
        <v>0</v>
      </c>
      <c r="CP147" s="39" t="n">
        <f aca="false">IF(CP$4=0,0,IF(COUNTIFS(実績!$W$6:$W$505,CP$3,実績!$AI$6:$AI$505,"&lt;="&amp;$A147,実績!$AJ$6:$AJ$505,"&gt;"&amp;$A147,実績!$AL$6:$AL$505,"○")&gt;0,1,0))</f>
        <v>0</v>
      </c>
      <c r="CQ147" s="39" t="n">
        <f aca="false">IF(CQ$4=0,0,IF(COUNTIFS(実績!$W$6:$W$505,CQ$3,実績!$AI$6:$AI$505,"&lt;="&amp;$A147,実績!$AJ$6:$AJ$505,"&gt;"&amp;$A147,実績!$AL$6:$AL$505,"○")&gt;0,1,0))</f>
        <v>0</v>
      </c>
      <c r="CR147" s="39" t="n">
        <f aca="false">IF(CR$4=0,0,IF(COUNTIFS(実績!$W$6:$W$505,CR$3,実績!$AI$6:$AI$505,"&lt;="&amp;$A147,実績!$AJ$6:$AJ$505,"&gt;"&amp;$A147,実績!$AL$6:$AL$505,"○")&gt;0,1,0))</f>
        <v>0</v>
      </c>
      <c r="CS147" s="39" t="n">
        <f aca="false">IF(CS$4=0,0,IF(COUNTIFS(実績!$W$6:$W$505,CS$3,実績!$AI$6:$AI$505,"&lt;="&amp;$A147,実績!$AJ$6:$AJ$505,"&gt;"&amp;$A147,実績!$AL$6:$AL$505,"○")&gt;0,1,0))</f>
        <v>0</v>
      </c>
      <c r="CT147" s="39" t="n">
        <f aca="false">IF(CT$4=0,0,IF(COUNTIFS(実績!$W$6:$W$505,CT$3,実績!$AI$6:$AI$505,"&lt;="&amp;$A147,実績!$AJ$6:$AJ$505,"&gt;"&amp;$A147,実績!$AL$6:$AL$505,"○")&gt;0,1,0))</f>
        <v>0</v>
      </c>
      <c r="CU147" s="39" t="n">
        <f aca="false">IF(CU$4=0,0,IF(COUNTIFS(実績!$W$6:$W$505,CU$3,実績!$AI$6:$AI$505,"&lt;="&amp;$A147,実績!$AJ$6:$AJ$505,"&gt;"&amp;$A147,実績!$AL$6:$AL$505,"○")&gt;0,1,0))</f>
        <v>0</v>
      </c>
      <c r="CV147" s="39" t="n">
        <f aca="false">IF(CV$4=0,0,IF(COUNTIFS(実績!$W$6:$W$505,CV$3,実績!$AI$6:$AI$505,"&lt;="&amp;$A147,実績!$AJ$6:$AJ$505,"&gt;"&amp;$A147,実績!$AL$6:$AL$505,"○")&gt;0,1,0))</f>
        <v>0</v>
      </c>
      <c r="CW147" s="39" t="n">
        <f aca="false">IF(CW$4=0,0,IF(COUNTIFS(実績!$W$6:$W$505,CW$3,実績!$AI$6:$AI$505,"&lt;="&amp;$A147,実績!$AJ$6:$AJ$505,"&gt;"&amp;$A147,実績!$AL$6:$AL$505,"○")&gt;0,1,0))</f>
        <v>0</v>
      </c>
      <c r="CX147" s="39" t="n">
        <f aca="false">IF(CX$4=0,0,IF(COUNTIFS(実績!$W$6:$W$505,CX$3,実績!$AI$6:$AI$505,"&lt;="&amp;$A147,実績!$AJ$6:$AJ$505,"&gt;"&amp;$A147,実績!$AL$6:$AL$505,"○")&gt;0,1,0))</f>
        <v>0</v>
      </c>
      <c r="CY147" s="39" t="n">
        <f aca="false">IF(CY$4=0,0,IF(COUNTIFS(実績!$W$6:$W$505,CY$3,実績!$AI$6:$AI$505,"&lt;="&amp;$A147,実績!$AJ$6:$AJ$505,"&gt;"&amp;$A147,実績!$AL$6:$AL$505,"○")&gt;0,1,0))</f>
        <v>0</v>
      </c>
      <c r="CZ147" s="39" t="n">
        <f aca="false">IF(CZ$4=0,0,IF(COUNTIFS(実績!$W$6:$W$505,CZ$3,実績!$AI$6:$AI$505,"&lt;="&amp;$A147,実績!$AJ$6:$AJ$505,"&gt;"&amp;$A147,実績!$AL$6:$AL$505,"○")&gt;0,1,0))</f>
        <v>0</v>
      </c>
      <c r="DA147" s="39" t="n">
        <f aca="false">IF(DA$4=0,0,IF(COUNTIFS(実績!$W$6:$W$505,DA$3,実績!$AI$6:$AI$505,"&lt;="&amp;$A147,実績!$AJ$6:$AJ$505,"&gt;"&amp;$A147,実績!$AL$6:$AL$505,"○")&gt;0,1,0))</f>
        <v>0</v>
      </c>
      <c r="DB147" s="39" t="n">
        <f aca="false">IF(DB$4=0,0,IF(COUNTIFS(実績!$W$6:$W$505,DB$3,実績!$AI$6:$AI$505,"&lt;="&amp;$A147,実績!$AJ$6:$AJ$505,"&gt;"&amp;$A147,実績!$AL$6:$AL$505,"○")&gt;0,1,0))</f>
        <v>0</v>
      </c>
      <c r="DC147" s="39" t="n">
        <f aca="false">IF(DC$4=0,0,IF(COUNTIFS(実績!$W$6:$W$505,DC$3,実績!$AI$6:$AI$505,"&lt;="&amp;$A147,実績!$AJ$6:$AJ$505,"&gt;"&amp;$A147,実績!$AL$6:$AL$505,"○")&gt;0,1,0))</f>
        <v>0</v>
      </c>
      <c r="DD147" s="39" t="n">
        <f aca="false">IF(DD$4=0,0,IF(COUNTIFS(実績!$W$6:$W$505,DD$3,実績!$AI$6:$AI$505,"&lt;="&amp;$A147,実績!$AJ$6:$AJ$505,"&gt;"&amp;$A147,実績!$AL$6:$AL$505,"○")&gt;0,1,0))</f>
        <v>0</v>
      </c>
      <c r="DE147" s="39" t="n">
        <f aca="false">IF(DE$4=0,0,IF(COUNTIFS(実績!$W$6:$W$505,DE$3,実績!$AI$6:$AI$505,"&lt;="&amp;$A147,実績!$AJ$6:$AJ$505,"&gt;"&amp;$A147,実績!$AL$6:$AL$505,"○")&gt;0,1,0))</f>
        <v>0</v>
      </c>
      <c r="DF147" s="39" t="n">
        <f aca="false">IF(DF$4=0,0,IF(COUNTIFS(実績!$W$6:$W$505,DF$3,実績!$AI$6:$AI$505,"&lt;="&amp;$A147,実績!$AJ$6:$AJ$505,"&gt;"&amp;$A147,実績!$AL$6:$AL$505,"○")&gt;0,1,0))</f>
        <v>0</v>
      </c>
      <c r="DG147" s="39" t="n">
        <f aca="false">IF(DG$4=0,0,IF(COUNTIFS(実績!$W$6:$W$505,DG$3,実績!$AI$6:$AI$505,"&lt;="&amp;$A147,実績!$AJ$6:$AJ$505,"&gt;"&amp;$A147,実績!$AL$6:$AL$505,"○")&gt;0,1,0))</f>
        <v>0</v>
      </c>
      <c r="DH147" s="39" t="n">
        <f aca="false">IF(DH$4=0,0,IF(COUNTIFS(実績!$W$6:$W$505,DH$3,実績!$AI$6:$AI$505,"&lt;="&amp;$A147,実績!$AJ$6:$AJ$505,"&gt;"&amp;$A147,実績!$AL$6:$AL$505,"○")&gt;0,1,0))</f>
        <v>0</v>
      </c>
      <c r="DI147" s="39" t="n">
        <f aca="false">IF(DI$4=0,0,IF(COUNTIFS(実績!$W$6:$W$505,DI$3,実績!$AI$6:$AI$505,"&lt;="&amp;$A147,実績!$AJ$6:$AJ$505,"&gt;"&amp;$A147,実績!$AL$6:$AL$505,"○")&gt;0,1,0))</f>
        <v>0</v>
      </c>
      <c r="DJ147" s="39" t="n">
        <f aca="false">IF(DJ$4=0,0,IF(COUNTIFS(実績!$W$6:$W$505,DJ$3,実績!$AI$6:$AI$505,"&lt;="&amp;$A147,実績!$AJ$6:$AJ$505,"&gt;"&amp;$A147,実績!$AL$6:$AL$505,"○")&gt;0,1,0))</f>
        <v>0</v>
      </c>
      <c r="DK147" s="39" t="n">
        <f aca="false">IF(DK$4=0,0,IF(COUNTIFS(実績!$W$6:$W$505,DK$3,実績!$AI$6:$AI$505,"&lt;="&amp;$A147,実績!$AJ$6:$AJ$505,"&gt;"&amp;$A147,実績!$AL$6:$AL$505,"○")&gt;0,1,0))</f>
        <v>0</v>
      </c>
      <c r="DL147" s="39" t="n">
        <f aca="false">IF(DL$4=0,0,IF(COUNTIFS(実績!$W$6:$W$505,DL$3,実績!$AI$6:$AI$505,"&lt;="&amp;$A147,実績!$AJ$6:$AJ$505,"&gt;"&amp;$A147,実績!$AL$6:$AL$505,"○")&gt;0,1,0))</f>
        <v>0</v>
      </c>
      <c r="DM147" s="39" t="n">
        <f aca="false">IF(DM$4=0,0,IF(COUNTIFS(実績!$W$6:$W$505,DM$3,実績!$AI$6:$AI$505,"&lt;="&amp;$A147,実績!$AJ$6:$AJ$505,"&gt;"&amp;$A147,実績!$AL$6:$AL$505,"○")&gt;0,1,0))</f>
        <v>0</v>
      </c>
      <c r="DN147" s="39" t="n">
        <f aca="false">IF(DN$4=0,0,IF(COUNTIFS(実績!$W$6:$W$505,DN$3,実績!$AI$6:$AI$505,"&lt;="&amp;$A147,実績!$AJ$6:$AJ$505,"&gt;"&amp;$A147,実績!$AL$6:$AL$505,"○")&gt;0,1,0))</f>
        <v>0</v>
      </c>
      <c r="DO147" s="39" t="n">
        <f aca="false">IF(DO$4=0,0,IF(COUNTIFS(実績!$W$6:$W$505,DO$3,実績!$AI$6:$AI$505,"&lt;="&amp;$A147,実績!$AJ$6:$AJ$505,"&gt;"&amp;$A147,実績!$AL$6:$AL$505,"○")&gt;0,1,0))</f>
        <v>0</v>
      </c>
      <c r="DP147" s="39" t="n">
        <f aca="false">IF(DP$4=0,0,IF(COUNTIFS(実績!$W$6:$W$505,DP$3,実績!$AI$6:$AI$505,"&lt;="&amp;$A147,実績!$AJ$6:$AJ$505,"&gt;"&amp;$A147,実績!$AL$6:$AL$505,"○")&gt;0,1,0))</f>
        <v>0</v>
      </c>
      <c r="DQ147" s="39" t="n">
        <f aca="false">IF(DQ$4=0,0,IF(COUNTIFS(実績!$W$6:$W$505,DQ$3,実績!$AI$6:$AI$505,"&lt;="&amp;$A147,実績!$AJ$6:$AJ$505,"&gt;"&amp;$A147,実績!$AL$6:$AL$505,"○")&gt;0,1,0))</f>
        <v>0</v>
      </c>
      <c r="DR147" s="39" t="n">
        <f aca="false">IF(DR$4=0,0,IF(COUNTIFS(実績!$W$6:$W$505,DR$3,実績!$AI$6:$AI$505,"&lt;="&amp;$A147,実績!$AJ$6:$AJ$505,"&gt;"&amp;$A147,実績!$AL$6:$AL$505,"○")&gt;0,1,0))</f>
        <v>0</v>
      </c>
      <c r="DS147" s="39" t="n">
        <f aca="false">SUM(C147:DR147)</f>
        <v>0</v>
      </c>
    </row>
    <row r="148" customFormat="false" ht="15" hidden="false" customHeight="false" outlineLevel="0" collapsed="false">
      <c r="A148" s="0" t="n">
        <v>710</v>
      </c>
      <c r="B148" s="38" t="n">
        <f aca="false">A148/1440</f>
        <v>0.493055555555556</v>
      </c>
      <c r="C148" s="39" t="n">
        <f aca="false">IF(C$4=0,0,IF(COUNTIFS(実績!$W$6:$W$505,C$3,実績!$AI$6:$AI$505,"&lt;="&amp;$A148,実績!$AJ$6:$AJ$505,"&gt;"&amp;$A148,実績!$AL$6:$AL$505,"○")&gt;0,1,0))</f>
        <v>0</v>
      </c>
      <c r="D148" s="39" t="n">
        <f aca="false">IF(D$4=0,0,IF(COUNTIFS(実績!$W$6:$W$505,D$3,実績!$AI$6:$AI$505,"&lt;="&amp;$A148,実績!$AJ$6:$AJ$505,"&gt;"&amp;$A148,実績!$AL$6:$AL$505,"○")&gt;0,1,0))</f>
        <v>0</v>
      </c>
      <c r="E148" s="39" t="n">
        <f aca="false">IF(E$4=0,0,IF(COUNTIFS(実績!$W$6:$W$505,E$3,実績!$AI$6:$AI$505,"&lt;="&amp;$A148,実績!$AJ$6:$AJ$505,"&gt;"&amp;$A148,実績!$AL$6:$AL$505,"○")&gt;0,1,0))</f>
        <v>0</v>
      </c>
      <c r="F148" s="39" t="n">
        <f aca="false">IF(F$4=0,0,IF(COUNTIFS(実績!$W$6:$W$505,F$3,実績!$AI$6:$AI$505,"&lt;="&amp;$A148,実績!$AJ$6:$AJ$505,"&gt;"&amp;$A148,実績!$AL$6:$AL$505,"○")&gt;0,1,0))</f>
        <v>0</v>
      </c>
      <c r="G148" s="39" t="n">
        <f aca="false">IF(G$4=0,0,IF(COUNTIFS(実績!$W$6:$W$505,G$3,実績!$AI$6:$AI$505,"&lt;="&amp;$A148,実績!$AJ$6:$AJ$505,"&gt;"&amp;$A148,実績!$AL$6:$AL$505,"○")&gt;0,1,0))</f>
        <v>0</v>
      </c>
      <c r="H148" s="39" t="n">
        <f aca="false">IF(H$4=0,0,IF(COUNTIFS(実績!$W$6:$W$505,H$3,実績!$AI$6:$AI$505,"&lt;="&amp;$A148,実績!$AJ$6:$AJ$505,"&gt;"&amp;$A148,実績!$AL$6:$AL$505,"○")&gt;0,1,0))</f>
        <v>0</v>
      </c>
      <c r="I148" s="39" t="n">
        <f aca="false">IF(I$4=0,0,IF(COUNTIFS(実績!$W$6:$W$505,I$3,実績!$AI$6:$AI$505,"&lt;="&amp;$A148,実績!$AJ$6:$AJ$505,"&gt;"&amp;$A148,実績!$AL$6:$AL$505,"○")&gt;0,1,0))</f>
        <v>0</v>
      </c>
      <c r="J148" s="39" t="n">
        <f aca="false">IF(J$4=0,0,IF(COUNTIFS(実績!$W$6:$W$505,J$3,実績!$AI$6:$AI$505,"&lt;="&amp;$A148,実績!$AJ$6:$AJ$505,"&gt;"&amp;$A148,実績!$AL$6:$AL$505,"○")&gt;0,1,0))</f>
        <v>0</v>
      </c>
      <c r="K148" s="39" t="n">
        <f aca="false">IF(K$4=0,0,IF(COUNTIFS(実績!$W$6:$W$505,K$3,実績!$AI$6:$AI$505,"&lt;="&amp;$A148,実績!$AJ$6:$AJ$505,"&gt;"&amp;$A148,実績!$AL$6:$AL$505,"○")&gt;0,1,0))</f>
        <v>0</v>
      </c>
      <c r="L148" s="39" t="n">
        <f aca="false">IF(L$4=0,0,IF(COUNTIFS(実績!$W$6:$W$505,L$3,実績!$AI$6:$AI$505,"&lt;="&amp;$A148,実績!$AJ$6:$AJ$505,"&gt;"&amp;$A148,実績!$AL$6:$AL$505,"○")&gt;0,1,0))</f>
        <v>0</v>
      </c>
      <c r="M148" s="39" t="n">
        <f aca="false">IF(M$4=0,0,IF(COUNTIFS(実績!$W$6:$W$505,M$3,実績!$AI$6:$AI$505,"&lt;="&amp;$A148,実績!$AJ$6:$AJ$505,"&gt;"&amp;$A148,実績!$AL$6:$AL$505,"○")&gt;0,1,0))</f>
        <v>0</v>
      </c>
      <c r="N148" s="39" t="n">
        <f aca="false">IF(N$4=0,0,IF(COUNTIFS(実績!$W$6:$W$505,N$3,実績!$AI$6:$AI$505,"&lt;="&amp;$A148,実績!$AJ$6:$AJ$505,"&gt;"&amp;$A148,実績!$AL$6:$AL$505,"○")&gt;0,1,0))</f>
        <v>0</v>
      </c>
      <c r="O148" s="39" t="n">
        <f aca="false">IF(O$4=0,0,IF(COUNTIFS(実績!$W$6:$W$505,O$3,実績!$AI$6:$AI$505,"&lt;="&amp;$A148,実績!$AJ$6:$AJ$505,"&gt;"&amp;$A148,実績!$AL$6:$AL$505,"○")&gt;0,1,0))</f>
        <v>0</v>
      </c>
      <c r="P148" s="39" t="n">
        <f aca="false">IF(P$4=0,0,IF(COUNTIFS(実績!$W$6:$W$505,P$3,実績!$AI$6:$AI$505,"&lt;="&amp;$A148,実績!$AJ$6:$AJ$505,"&gt;"&amp;$A148,実績!$AL$6:$AL$505,"○")&gt;0,1,0))</f>
        <v>0</v>
      </c>
      <c r="Q148" s="39" t="n">
        <f aca="false">IF(Q$4=0,0,IF(COUNTIFS(実績!$W$6:$W$505,Q$3,実績!$AI$6:$AI$505,"&lt;="&amp;$A148,実績!$AJ$6:$AJ$505,"&gt;"&amp;$A148,実績!$AL$6:$AL$505,"○")&gt;0,1,0))</f>
        <v>0</v>
      </c>
      <c r="R148" s="39" t="n">
        <f aca="false">IF(R$4=0,0,IF(COUNTIFS(実績!$W$6:$W$505,R$3,実績!$AI$6:$AI$505,"&lt;="&amp;$A148,実績!$AJ$6:$AJ$505,"&gt;"&amp;$A148,実績!$AL$6:$AL$505,"○")&gt;0,1,0))</f>
        <v>0</v>
      </c>
      <c r="S148" s="39" t="n">
        <f aca="false">IF(S$4=0,0,IF(COUNTIFS(実績!$W$6:$W$505,S$3,実績!$AI$6:$AI$505,"&lt;="&amp;$A148,実績!$AJ$6:$AJ$505,"&gt;"&amp;$A148,実績!$AL$6:$AL$505,"○")&gt;0,1,0))</f>
        <v>0</v>
      </c>
      <c r="T148" s="39" t="n">
        <f aca="false">IF(T$4=0,0,IF(COUNTIFS(実績!$W$6:$W$505,T$3,実績!$AI$6:$AI$505,"&lt;="&amp;$A148,実績!$AJ$6:$AJ$505,"&gt;"&amp;$A148,実績!$AL$6:$AL$505,"○")&gt;0,1,0))</f>
        <v>0</v>
      </c>
      <c r="U148" s="39" t="n">
        <f aca="false">IF(U$4=0,0,IF(COUNTIFS(実績!$W$6:$W$505,U$3,実績!$AI$6:$AI$505,"&lt;="&amp;$A148,実績!$AJ$6:$AJ$505,"&gt;"&amp;$A148,実績!$AL$6:$AL$505,"○")&gt;0,1,0))</f>
        <v>0</v>
      </c>
      <c r="V148" s="39" t="n">
        <f aca="false">IF(V$4=0,0,IF(COUNTIFS(実績!$W$6:$W$505,V$3,実績!$AI$6:$AI$505,"&lt;="&amp;$A148,実績!$AJ$6:$AJ$505,"&gt;"&amp;$A148,実績!$AL$6:$AL$505,"○")&gt;0,1,0))</f>
        <v>0</v>
      </c>
      <c r="W148" s="39" t="n">
        <f aca="false">IF(W$4=0,0,IF(COUNTIFS(実績!$W$6:$W$505,W$3,実績!$AI$6:$AI$505,"&lt;="&amp;$A148,実績!$AJ$6:$AJ$505,"&gt;"&amp;$A148,実績!$AL$6:$AL$505,"○")&gt;0,1,0))</f>
        <v>0</v>
      </c>
      <c r="X148" s="39" t="n">
        <f aca="false">IF(X$4=0,0,IF(COUNTIFS(実績!$W$6:$W$505,X$3,実績!$AI$6:$AI$505,"&lt;="&amp;$A148,実績!$AJ$6:$AJ$505,"&gt;"&amp;$A148,実績!$AL$6:$AL$505,"○")&gt;0,1,0))</f>
        <v>0</v>
      </c>
      <c r="Y148" s="39" t="n">
        <f aca="false">IF(Y$4=0,0,IF(COUNTIFS(実績!$W$6:$W$505,Y$3,実績!$AI$6:$AI$505,"&lt;="&amp;$A148,実績!$AJ$6:$AJ$505,"&gt;"&amp;$A148,実績!$AL$6:$AL$505,"○")&gt;0,1,0))</f>
        <v>0</v>
      </c>
      <c r="Z148" s="39" t="n">
        <f aca="false">IF(Z$4=0,0,IF(COUNTIFS(実績!$W$6:$W$505,Z$3,実績!$AI$6:$AI$505,"&lt;="&amp;$A148,実績!$AJ$6:$AJ$505,"&gt;"&amp;$A148,実績!$AL$6:$AL$505,"○")&gt;0,1,0))</f>
        <v>0</v>
      </c>
      <c r="AA148" s="39" t="n">
        <f aca="false">IF(AA$4=0,0,IF(COUNTIFS(実績!$W$6:$W$505,AA$3,実績!$AI$6:$AI$505,"&lt;="&amp;$A148,実績!$AJ$6:$AJ$505,"&gt;"&amp;$A148,実績!$AL$6:$AL$505,"○")&gt;0,1,0))</f>
        <v>0</v>
      </c>
      <c r="AB148" s="39" t="n">
        <f aca="false">IF(AB$4=0,0,IF(COUNTIFS(実績!$W$6:$W$505,AB$3,実績!$AI$6:$AI$505,"&lt;="&amp;$A148,実績!$AJ$6:$AJ$505,"&gt;"&amp;$A148,実績!$AL$6:$AL$505,"○")&gt;0,1,0))</f>
        <v>0</v>
      </c>
      <c r="AC148" s="39" t="n">
        <f aca="false">IF(AC$4=0,0,IF(COUNTIFS(実績!$W$6:$W$505,AC$3,実績!$AI$6:$AI$505,"&lt;="&amp;$A148,実績!$AJ$6:$AJ$505,"&gt;"&amp;$A148,実績!$AL$6:$AL$505,"○")&gt;0,1,0))</f>
        <v>0</v>
      </c>
      <c r="AD148" s="39" t="n">
        <f aca="false">IF(AD$4=0,0,IF(COUNTIFS(実績!$W$6:$W$505,AD$3,実績!$AI$6:$AI$505,"&lt;="&amp;$A148,実績!$AJ$6:$AJ$505,"&gt;"&amp;$A148,実績!$AL$6:$AL$505,"○")&gt;0,1,0))</f>
        <v>0</v>
      </c>
      <c r="AE148" s="39" t="n">
        <f aca="false">IF(AE$4=0,0,IF(COUNTIFS(実績!$W$6:$W$505,AE$3,実績!$AI$6:$AI$505,"&lt;="&amp;$A148,実績!$AJ$6:$AJ$505,"&gt;"&amp;$A148,実績!$AL$6:$AL$505,"○")&gt;0,1,0))</f>
        <v>0</v>
      </c>
      <c r="AF148" s="39" t="n">
        <f aca="false">IF(AF$4=0,0,IF(COUNTIFS(実績!$W$6:$W$505,AF$3,実績!$AI$6:$AI$505,"&lt;="&amp;$A148,実績!$AJ$6:$AJ$505,"&gt;"&amp;$A148,実績!$AL$6:$AL$505,"○")&gt;0,1,0))</f>
        <v>0</v>
      </c>
      <c r="AG148" s="39" t="n">
        <f aca="false">IF(AG$4=0,0,IF(COUNTIFS(実績!$W$6:$W$505,AG$3,実績!$AI$6:$AI$505,"&lt;="&amp;$A148,実績!$AJ$6:$AJ$505,"&gt;"&amp;$A148,実績!$AL$6:$AL$505,"○")&gt;0,1,0))</f>
        <v>0</v>
      </c>
      <c r="AH148" s="39" t="n">
        <f aca="false">IF(AH$4=0,0,IF(COUNTIFS(実績!$W$6:$W$505,AH$3,実績!$AI$6:$AI$505,"&lt;="&amp;$A148,実績!$AJ$6:$AJ$505,"&gt;"&amp;$A148,実績!$AL$6:$AL$505,"○")&gt;0,1,0))</f>
        <v>0</v>
      </c>
      <c r="AI148" s="39" t="n">
        <f aca="false">IF(AI$4=0,0,IF(COUNTIFS(実績!$W$6:$W$505,AI$3,実績!$AI$6:$AI$505,"&lt;="&amp;$A148,実績!$AJ$6:$AJ$505,"&gt;"&amp;$A148,実績!$AL$6:$AL$505,"○")&gt;0,1,0))</f>
        <v>0</v>
      </c>
      <c r="AJ148" s="39" t="n">
        <f aca="false">IF(AJ$4=0,0,IF(COUNTIFS(実績!$W$6:$W$505,AJ$3,実績!$AI$6:$AI$505,"&lt;="&amp;$A148,実績!$AJ$6:$AJ$505,"&gt;"&amp;$A148,実績!$AL$6:$AL$505,"○")&gt;0,1,0))</f>
        <v>0</v>
      </c>
      <c r="AK148" s="39" t="n">
        <f aca="false">IF(AK$4=0,0,IF(COUNTIFS(実績!$W$6:$W$505,AK$3,実績!$AI$6:$AI$505,"&lt;="&amp;$A148,実績!$AJ$6:$AJ$505,"&gt;"&amp;$A148,実績!$AL$6:$AL$505,"○")&gt;0,1,0))</f>
        <v>0</v>
      </c>
      <c r="AL148" s="39" t="n">
        <f aca="false">IF(AL$4=0,0,IF(COUNTIFS(実績!$W$6:$W$505,AL$3,実績!$AI$6:$AI$505,"&lt;="&amp;$A148,実績!$AJ$6:$AJ$505,"&gt;"&amp;$A148,実績!$AL$6:$AL$505,"○")&gt;0,1,0))</f>
        <v>0</v>
      </c>
      <c r="AM148" s="39" t="n">
        <f aca="false">IF(AM$4=0,0,IF(COUNTIFS(実績!$W$6:$W$505,AM$3,実績!$AI$6:$AI$505,"&lt;="&amp;$A148,実績!$AJ$6:$AJ$505,"&gt;"&amp;$A148,実績!$AL$6:$AL$505,"○")&gt;0,1,0))</f>
        <v>0</v>
      </c>
      <c r="AN148" s="39" t="n">
        <f aca="false">IF(AN$4=0,0,IF(COUNTIFS(実績!$W$6:$W$505,AN$3,実績!$AI$6:$AI$505,"&lt;="&amp;$A148,実績!$AJ$6:$AJ$505,"&gt;"&amp;$A148,実績!$AL$6:$AL$505,"○")&gt;0,1,0))</f>
        <v>0</v>
      </c>
      <c r="AO148" s="39" t="n">
        <f aca="false">IF(AO$4=0,0,IF(COUNTIFS(実績!$W$6:$W$505,AO$3,実績!$AI$6:$AI$505,"&lt;="&amp;$A148,実績!$AJ$6:$AJ$505,"&gt;"&amp;$A148,実績!$AL$6:$AL$505,"○")&gt;0,1,0))</f>
        <v>0</v>
      </c>
      <c r="AP148" s="39" t="n">
        <f aca="false">IF(AP$4=0,0,IF(COUNTIFS(実績!$W$6:$W$505,AP$3,実績!$AI$6:$AI$505,"&lt;="&amp;$A148,実績!$AJ$6:$AJ$505,"&gt;"&amp;$A148,実績!$AL$6:$AL$505,"○")&gt;0,1,0))</f>
        <v>0</v>
      </c>
      <c r="AQ148" s="39" t="n">
        <f aca="false">IF(AQ$4=0,0,IF(COUNTIFS(実績!$W$6:$W$505,AQ$3,実績!$AI$6:$AI$505,"&lt;="&amp;$A148,実績!$AJ$6:$AJ$505,"&gt;"&amp;$A148,実績!$AL$6:$AL$505,"○")&gt;0,1,0))</f>
        <v>0</v>
      </c>
      <c r="AR148" s="39" t="n">
        <f aca="false">IF(AR$4=0,0,IF(COUNTIFS(実績!$W$6:$W$505,AR$3,実績!$AI$6:$AI$505,"&lt;="&amp;$A148,実績!$AJ$6:$AJ$505,"&gt;"&amp;$A148,実績!$AL$6:$AL$505,"○")&gt;0,1,0))</f>
        <v>0</v>
      </c>
      <c r="AS148" s="39" t="n">
        <f aca="false">IF(AS$4=0,0,IF(COUNTIFS(実績!$W$6:$W$505,AS$3,実績!$AI$6:$AI$505,"&lt;="&amp;$A148,実績!$AJ$6:$AJ$505,"&gt;"&amp;$A148,実績!$AL$6:$AL$505,"○")&gt;0,1,0))</f>
        <v>0</v>
      </c>
      <c r="AT148" s="39" t="n">
        <f aca="false">IF(AT$4=0,0,IF(COUNTIFS(実績!$W$6:$W$505,AT$3,実績!$AI$6:$AI$505,"&lt;="&amp;$A148,実績!$AJ$6:$AJ$505,"&gt;"&amp;$A148,実績!$AL$6:$AL$505,"○")&gt;0,1,0))</f>
        <v>0</v>
      </c>
      <c r="AU148" s="39" t="n">
        <f aca="false">IF(AU$4=0,0,IF(COUNTIFS(実績!$W$6:$W$505,AU$3,実績!$AI$6:$AI$505,"&lt;="&amp;$A148,実績!$AJ$6:$AJ$505,"&gt;"&amp;$A148,実績!$AL$6:$AL$505,"○")&gt;0,1,0))</f>
        <v>0</v>
      </c>
      <c r="AV148" s="39" t="n">
        <f aca="false">IF(AV$4=0,0,IF(COUNTIFS(実績!$W$6:$W$505,AV$3,実績!$AI$6:$AI$505,"&lt;="&amp;$A148,実績!$AJ$6:$AJ$505,"&gt;"&amp;$A148,実績!$AL$6:$AL$505,"○")&gt;0,1,0))</f>
        <v>0</v>
      </c>
      <c r="AW148" s="39" t="n">
        <f aca="false">IF(AW$4=0,0,IF(COUNTIFS(実績!$W$6:$W$505,AW$3,実績!$AI$6:$AI$505,"&lt;="&amp;$A148,実績!$AJ$6:$AJ$505,"&gt;"&amp;$A148,実績!$AL$6:$AL$505,"○")&gt;0,1,0))</f>
        <v>0</v>
      </c>
      <c r="AX148" s="39" t="n">
        <f aca="false">IF(AX$4=0,0,IF(COUNTIFS(実績!$W$6:$W$505,AX$3,実績!$AI$6:$AI$505,"&lt;="&amp;$A148,実績!$AJ$6:$AJ$505,"&gt;"&amp;$A148,実績!$AL$6:$AL$505,"○")&gt;0,1,0))</f>
        <v>0</v>
      </c>
      <c r="AY148" s="39" t="n">
        <f aca="false">IF(AY$4=0,0,IF(COUNTIFS(実績!$W$6:$W$505,AY$3,実績!$AI$6:$AI$505,"&lt;="&amp;$A148,実績!$AJ$6:$AJ$505,"&gt;"&amp;$A148,実績!$AL$6:$AL$505,"○")&gt;0,1,0))</f>
        <v>0</v>
      </c>
      <c r="AZ148" s="39" t="n">
        <f aca="false">IF(AZ$4=0,0,IF(COUNTIFS(実績!$W$6:$W$505,AZ$3,実績!$AI$6:$AI$505,"&lt;="&amp;$A148,実績!$AJ$6:$AJ$505,"&gt;"&amp;$A148,実績!$AL$6:$AL$505,"○")&gt;0,1,0))</f>
        <v>0</v>
      </c>
      <c r="BA148" s="39" t="n">
        <f aca="false">IF(BA$4=0,0,IF(COUNTIFS(実績!$W$6:$W$505,BA$3,実績!$AI$6:$AI$505,"&lt;="&amp;$A148,実績!$AJ$6:$AJ$505,"&gt;"&amp;$A148,実績!$AL$6:$AL$505,"○")&gt;0,1,0))</f>
        <v>0</v>
      </c>
      <c r="BB148" s="39" t="n">
        <f aca="false">IF(BB$4=0,0,IF(COUNTIFS(実績!$W$6:$W$505,BB$3,実績!$AI$6:$AI$505,"&lt;="&amp;$A148,実績!$AJ$6:$AJ$505,"&gt;"&amp;$A148,実績!$AL$6:$AL$505,"○")&gt;0,1,0))</f>
        <v>0</v>
      </c>
      <c r="BC148" s="39" t="n">
        <f aca="false">IF(BC$4=0,0,IF(COUNTIFS(実績!$W$6:$W$505,BC$3,実績!$AI$6:$AI$505,"&lt;="&amp;$A148,実績!$AJ$6:$AJ$505,"&gt;"&amp;$A148,実績!$AL$6:$AL$505,"○")&gt;0,1,0))</f>
        <v>0</v>
      </c>
      <c r="BD148" s="39" t="n">
        <f aca="false">IF(BD$4=0,0,IF(COUNTIFS(実績!$W$6:$W$505,BD$3,実績!$AI$6:$AI$505,"&lt;="&amp;$A148,実績!$AJ$6:$AJ$505,"&gt;"&amp;$A148,実績!$AL$6:$AL$505,"○")&gt;0,1,0))</f>
        <v>0</v>
      </c>
      <c r="BE148" s="39" t="n">
        <f aca="false">IF(BE$4=0,0,IF(COUNTIFS(実績!$W$6:$W$505,BE$3,実績!$AI$6:$AI$505,"&lt;="&amp;$A148,実績!$AJ$6:$AJ$505,"&gt;"&amp;$A148,実績!$AL$6:$AL$505,"○")&gt;0,1,0))</f>
        <v>0</v>
      </c>
      <c r="BF148" s="39" t="n">
        <f aca="false">IF(BF$4=0,0,IF(COUNTIFS(実績!$W$6:$W$505,BF$3,実績!$AI$6:$AI$505,"&lt;="&amp;$A148,実績!$AJ$6:$AJ$505,"&gt;"&amp;$A148,実績!$AL$6:$AL$505,"○")&gt;0,1,0))</f>
        <v>0</v>
      </c>
      <c r="BG148" s="39" t="n">
        <f aca="false">IF(BG$4=0,0,IF(COUNTIFS(実績!$W$6:$W$505,BG$3,実績!$AI$6:$AI$505,"&lt;="&amp;$A148,実績!$AJ$6:$AJ$505,"&gt;"&amp;$A148,実績!$AL$6:$AL$505,"○")&gt;0,1,0))</f>
        <v>0</v>
      </c>
      <c r="BH148" s="39" t="n">
        <f aca="false">IF(BH$4=0,0,IF(COUNTIFS(実績!$W$6:$W$505,BH$3,実績!$AI$6:$AI$505,"&lt;="&amp;$A148,実績!$AJ$6:$AJ$505,"&gt;"&amp;$A148,実績!$AL$6:$AL$505,"○")&gt;0,1,0))</f>
        <v>0</v>
      </c>
      <c r="BI148" s="39" t="n">
        <f aca="false">IF(BI$4=0,0,IF(COUNTIFS(実績!$W$6:$W$505,BI$3,実績!$AI$6:$AI$505,"&lt;="&amp;$A148,実績!$AJ$6:$AJ$505,"&gt;"&amp;$A148,実績!$AL$6:$AL$505,"○")&gt;0,1,0))</f>
        <v>0</v>
      </c>
      <c r="BJ148" s="39" t="n">
        <f aca="false">IF(BJ$4=0,0,IF(COUNTIFS(実績!$W$6:$W$505,BJ$3,実績!$AI$6:$AI$505,"&lt;="&amp;$A148,実績!$AJ$6:$AJ$505,"&gt;"&amp;$A148,実績!$AL$6:$AL$505,"○")&gt;0,1,0))</f>
        <v>0</v>
      </c>
      <c r="BK148" s="39" t="n">
        <f aca="false">IF(BK$4=0,0,IF(COUNTIFS(実績!$W$6:$W$505,BK$3,実績!$AI$6:$AI$505,"&lt;="&amp;$A148,実績!$AJ$6:$AJ$505,"&gt;"&amp;$A148,実績!$AL$6:$AL$505,"○")&gt;0,1,0))</f>
        <v>0</v>
      </c>
      <c r="BL148" s="39" t="n">
        <f aca="false">IF(BL$4=0,0,IF(COUNTIFS(実績!$W$6:$W$505,BL$3,実績!$AI$6:$AI$505,"&lt;="&amp;$A148,実績!$AJ$6:$AJ$505,"&gt;"&amp;$A148,実績!$AL$6:$AL$505,"○")&gt;0,1,0))</f>
        <v>0</v>
      </c>
      <c r="BM148" s="39" t="n">
        <f aca="false">IF(BM$4=0,0,IF(COUNTIFS(実績!$W$6:$W$505,BM$3,実績!$AI$6:$AI$505,"&lt;="&amp;$A148,実績!$AJ$6:$AJ$505,"&gt;"&amp;$A148,実績!$AL$6:$AL$505,"○")&gt;0,1,0))</f>
        <v>0</v>
      </c>
      <c r="BN148" s="39" t="n">
        <f aca="false">IF(BN$4=0,0,IF(COUNTIFS(実績!$W$6:$W$505,BN$3,実績!$AI$6:$AI$505,"&lt;="&amp;$A148,実績!$AJ$6:$AJ$505,"&gt;"&amp;$A148,実績!$AL$6:$AL$505,"○")&gt;0,1,0))</f>
        <v>0</v>
      </c>
      <c r="BO148" s="39" t="n">
        <f aca="false">IF(BO$4=0,0,IF(COUNTIFS(実績!$W$6:$W$505,BO$3,実績!$AI$6:$AI$505,"&lt;="&amp;$A148,実績!$AJ$6:$AJ$505,"&gt;"&amp;$A148,実績!$AL$6:$AL$505,"○")&gt;0,1,0))</f>
        <v>0</v>
      </c>
      <c r="BP148" s="39" t="n">
        <f aca="false">IF(BP$4=0,0,IF(COUNTIFS(実績!$W$6:$W$505,BP$3,実績!$AI$6:$AI$505,"&lt;="&amp;$A148,実績!$AJ$6:$AJ$505,"&gt;"&amp;$A148,実績!$AL$6:$AL$505,"○")&gt;0,1,0))</f>
        <v>0</v>
      </c>
      <c r="BQ148" s="39" t="n">
        <f aca="false">IF(BQ$4=0,0,IF(COUNTIFS(実績!$W$6:$W$505,BQ$3,実績!$AI$6:$AI$505,"&lt;="&amp;$A148,実績!$AJ$6:$AJ$505,"&gt;"&amp;$A148,実績!$AL$6:$AL$505,"○")&gt;0,1,0))</f>
        <v>0</v>
      </c>
      <c r="BR148" s="39" t="n">
        <f aca="false">IF(BR$4=0,0,IF(COUNTIFS(実績!$W$6:$W$505,BR$3,実績!$AI$6:$AI$505,"&lt;="&amp;$A148,実績!$AJ$6:$AJ$505,"&gt;"&amp;$A148,実績!$AL$6:$AL$505,"○")&gt;0,1,0))</f>
        <v>0</v>
      </c>
      <c r="BS148" s="39" t="n">
        <f aca="false">IF(BS$4=0,0,IF(COUNTIFS(実績!$W$6:$W$505,BS$3,実績!$AI$6:$AI$505,"&lt;="&amp;$A148,実績!$AJ$6:$AJ$505,"&gt;"&amp;$A148,実績!$AL$6:$AL$505,"○")&gt;0,1,0))</f>
        <v>0</v>
      </c>
      <c r="BT148" s="39" t="n">
        <f aca="false">IF(BT$4=0,0,IF(COUNTIFS(実績!$W$6:$W$505,BT$3,実績!$AI$6:$AI$505,"&lt;="&amp;$A148,実績!$AJ$6:$AJ$505,"&gt;"&amp;$A148,実績!$AL$6:$AL$505,"○")&gt;0,1,0))</f>
        <v>0</v>
      </c>
      <c r="BU148" s="39" t="n">
        <f aca="false">IF(BU$4=0,0,IF(COUNTIFS(実績!$W$6:$W$505,BU$3,実績!$AI$6:$AI$505,"&lt;="&amp;$A148,実績!$AJ$6:$AJ$505,"&gt;"&amp;$A148,実績!$AL$6:$AL$505,"○")&gt;0,1,0))</f>
        <v>0</v>
      </c>
      <c r="BV148" s="39" t="n">
        <f aca="false">IF(BV$4=0,0,IF(COUNTIFS(実績!$W$6:$W$505,BV$3,実績!$AI$6:$AI$505,"&lt;="&amp;$A148,実績!$AJ$6:$AJ$505,"&gt;"&amp;$A148,実績!$AL$6:$AL$505,"○")&gt;0,1,0))</f>
        <v>0</v>
      </c>
      <c r="BW148" s="39" t="n">
        <f aca="false">IF(BW$4=0,0,IF(COUNTIFS(実績!$W$6:$W$505,BW$3,実績!$AI$6:$AI$505,"&lt;="&amp;$A148,実績!$AJ$6:$AJ$505,"&gt;"&amp;$A148,実績!$AL$6:$AL$505,"○")&gt;0,1,0))</f>
        <v>0</v>
      </c>
      <c r="BX148" s="39" t="n">
        <f aca="false">IF(BX$4=0,0,IF(COUNTIFS(実績!$W$6:$W$505,BX$3,実績!$AI$6:$AI$505,"&lt;="&amp;$A148,実績!$AJ$6:$AJ$505,"&gt;"&amp;$A148,実績!$AL$6:$AL$505,"○")&gt;0,1,0))</f>
        <v>0</v>
      </c>
      <c r="BY148" s="39" t="n">
        <f aca="false">IF(BY$4=0,0,IF(COUNTIFS(実績!$W$6:$W$505,BY$3,実績!$AI$6:$AI$505,"&lt;="&amp;$A148,実績!$AJ$6:$AJ$505,"&gt;"&amp;$A148,実績!$AL$6:$AL$505,"○")&gt;0,1,0))</f>
        <v>0</v>
      </c>
      <c r="BZ148" s="39" t="n">
        <f aca="false">IF(BZ$4=0,0,IF(COUNTIFS(実績!$W$6:$W$505,BZ$3,実績!$AI$6:$AI$505,"&lt;="&amp;$A148,実績!$AJ$6:$AJ$505,"&gt;"&amp;$A148,実績!$AL$6:$AL$505,"○")&gt;0,1,0))</f>
        <v>0</v>
      </c>
      <c r="CA148" s="39" t="n">
        <f aca="false">IF(CA$4=0,0,IF(COUNTIFS(実績!$W$6:$W$505,CA$3,実績!$AI$6:$AI$505,"&lt;="&amp;$A148,実績!$AJ$6:$AJ$505,"&gt;"&amp;$A148,実績!$AL$6:$AL$505,"○")&gt;0,1,0))</f>
        <v>0</v>
      </c>
      <c r="CB148" s="39" t="n">
        <f aca="false">IF(CB$4=0,0,IF(COUNTIFS(実績!$W$6:$W$505,CB$3,実績!$AI$6:$AI$505,"&lt;="&amp;$A148,実績!$AJ$6:$AJ$505,"&gt;"&amp;$A148,実績!$AL$6:$AL$505,"○")&gt;0,1,0))</f>
        <v>0</v>
      </c>
      <c r="CC148" s="39" t="n">
        <f aca="false">IF(CC$4=0,0,IF(COUNTIFS(実績!$W$6:$W$505,CC$3,実績!$AI$6:$AI$505,"&lt;="&amp;$A148,実績!$AJ$6:$AJ$505,"&gt;"&amp;$A148,実績!$AL$6:$AL$505,"○")&gt;0,1,0))</f>
        <v>0</v>
      </c>
      <c r="CD148" s="39" t="n">
        <f aca="false">IF(CD$4=0,0,IF(COUNTIFS(実績!$W$6:$W$505,CD$3,実績!$AI$6:$AI$505,"&lt;="&amp;$A148,実績!$AJ$6:$AJ$505,"&gt;"&amp;$A148,実績!$AL$6:$AL$505,"○")&gt;0,1,0))</f>
        <v>0</v>
      </c>
      <c r="CE148" s="39" t="n">
        <f aca="false">IF(CE$4=0,0,IF(COUNTIFS(実績!$W$6:$W$505,CE$3,実績!$AI$6:$AI$505,"&lt;="&amp;$A148,実績!$AJ$6:$AJ$505,"&gt;"&amp;$A148,実績!$AL$6:$AL$505,"○")&gt;0,1,0))</f>
        <v>0</v>
      </c>
      <c r="CF148" s="39" t="n">
        <f aca="false">IF(CF$4=0,0,IF(COUNTIFS(実績!$W$6:$W$505,CF$3,実績!$AI$6:$AI$505,"&lt;="&amp;$A148,実績!$AJ$6:$AJ$505,"&gt;"&amp;$A148,実績!$AL$6:$AL$505,"○")&gt;0,1,0))</f>
        <v>0</v>
      </c>
      <c r="CG148" s="39" t="n">
        <f aca="false">IF(CG$4=0,0,IF(COUNTIFS(実績!$W$6:$W$505,CG$3,実績!$AI$6:$AI$505,"&lt;="&amp;$A148,実績!$AJ$6:$AJ$505,"&gt;"&amp;$A148,実績!$AL$6:$AL$505,"○")&gt;0,1,0))</f>
        <v>0</v>
      </c>
      <c r="CH148" s="39" t="n">
        <f aca="false">IF(CH$4=0,0,IF(COUNTIFS(実績!$W$6:$W$505,CH$3,実績!$AI$6:$AI$505,"&lt;="&amp;$A148,実績!$AJ$6:$AJ$505,"&gt;"&amp;$A148,実績!$AL$6:$AL$505,"○")&gt;0,1,0))</f>
        <v>0</v>
      </c>
      <c r="CI148" s="39" t="n">
        <f aca="false">IF(CI$4=0,0,IF(COUNTIFS(実績!$W$6:$W$505,CI$3,実績!$AI$6:$AI$505,"&lt;="&amp;$A148,実績!$AJ$6:$AJ$505,"&gt;"&amp;$A148,実績!$AL$6:$AL$505,"○")&gt;0,1,0))</f>
        <v>0</v>
      </c>
      <c r="CJ148" s="39" t="n">
        <f aca="false">IF(CJ$4=0,0,IF(COUNTIFS(実績!$W$6:$W$505,CJ$3,実績!$AI$6:$AI$505,"&lt;="&amp;$A148,実績!$AJ$6:$AJ$505,"&gt;"&amp;$A148,実績!$AL$6:$AL$505,"○")&gt;0,1,0))</f>
        <v>0</v>
      </c>
      <c r="CK148" s="39" t="n">
        <f aca="false">IF(CK$4=0,0,IF(COUNTIFS(実績!$W$6:$W$505,CK$3,実績!$AI$6:$AI$505,"&lt;="&amp;$A148,実績!$AJ$6:$AJ$505,"&gt;"&amp;$A148,実績!$AL$6:$AL$505,"○")&gt;0,1,0))</f>
        <v>0</v>
      </c>
      <c r="CL148" s="39" t="n">
        <f aca="false">IF(CL$4=0,0,IF(COUNTIFS(実績!$W$6:$W$505,CL$3,実績!$AI$6:$AI$505,"&lt;="&amp;$A148,実績!$AJ$6:$AJ$505,"&gt;"&amp;$A148,実績!$AL$6:$AL$505,"○")&gt;0,1,0))</f>
        <v>0</v>
      </c>
      <c r="CM148" s="39" t="n">
        <f aca="false">IF(CM$4=0,0,IF(COUNTIFS(実績!$W$6:$W$505,CM$3,実績!$AI$6:$AI$505,"&lt;="&amp;$A148,実績!$AJ$6:$AJ$505,"&gt;"&amp;$A148,実績!$AL$6:$AL$505,"○")&gt;0,1,0))</f>
        <v>0</v>
      </c>
      <c r="CN148" s="39" t="n">
        <f aca="false">IF(CN$4=0,0,IF(COUNTIFS(実績!$W$6:$W$505,CN$3,実績!$AI$6:$AI$505,"&lt;="&amp;$A148,実績!$AJ$6:$AJ$505,"&gt;"&amp;$A148,実績!$AL$6:$AL$505,"○")&gt;0,1,0))</f>
        <v>0</v>
      </c>
      <c r="CO148" s="39" t="n">
        <f aca="false">IF(CO$4=0,0,IF(COUNTIFS(実績!$W$6:$W$505,CO$3,実績!$AI$6:$AI$505,"&lt;="&amp;$A148,実績!$AJ$6:$AJ$505,"&gt;"&amp;$A148,実績!$AL$6:$AL$505,"○")&gt;0,1,0))</f>
        <v>0</v>
      </c>
      <c r="CP148" s="39" t="n">
        <f aca="false">IF(CP$4=0,0,IF(COUNTIFS(実績!$W$6:$W$505,CP$3,実績!$AI$6:$AI$505,"&lt;="&amp;$A148,実績!$AJ$6:$AJ$505,"&gt;"&amp;$A148,実績!$AL$6:$AL$505,"○")&gt;0,1,0))</f>
        <v>0</v>
      </c>
      <c r="CQ148" s="39" t="n">
        <f aca="false">IF(CQ$4=0,0,IF(COUNTIFS(実績!$W$6:$W$505,CQ$3,実績!$AI$6:$AI$505,"&lt;="&amp;$A148,実績!$AJ$6:$AJ$505,"&gt;"&amp;$A148,実績!$AL$6:$AL$505,"○")&gt;0,1,0))</f>
        <v>0</v>
      </c>
      <c r="CR148" s="39" t="n">
        <f aca="false">IF(CR$4=0,0,IF(COUNTIFS(実績!$W$6:$W$505,CR$3,実績!$AI$6:$AI$505,"&lt;="&amp;$A148,実績!$AJ$6:$AJ$505,"&gt;"&amp;$A148,実績!$AL$6:$AL$505,"○")&gt;0,1,0))</f>
        <v>0</v>
      </c>
      <c r="CS148" s="39" t="n">
        <f aca="false">IF(CS$4=0,0,IF(COUNTIFS(実績!$W$6:$W$505,CS$3,実績!$AI$6:$AI$505,"&lt;="&amp;$A148,実績!$AJ$6:$AJ$505,"&gt;"&amp;$A148,実績!$AL$6:$AL$505,"○")&gt;0,1,0))</f>
        <v>0</v>
      </c>
      <c r="CT148" s="39" t="n">
        <f aca="false">IF(CT$4=0,0,IF(COUNTIFS(実績!$W$6:$W$505,CT$3,実績!$AI$6:$AI$505,"&lt;="&amp;$A148,実績!$AJ$6:$AJ$505,"&gt;"&amp;$A148,実績!$AL$6:$AL$505,"○")&gt;0,1,0))</f>
        <v>0</v>
      </c>
      <c r="CU148" s="39" t="n">
        <f aca="false">IF(CU$4=0,0,IF(COUNTIFS(実績!$W$6:$W$505,CU$3,実績!$AI$6:$AI$505,"&lt;="&amp;$A148,実績!$AJ$6:$AJ$505,"&gt;"&amp;$A148,実績!$AL$6:$AL$505,"○")&gt;0,1,0))</f>
        <v>0</v>
      </c>
      <c r="CV148" s="39" t="n">
        <f aca="false">IF(CV$4=0,0,IF(COUNTIFS(実績!$W$6:$W$505,CV$3,実績!$AI$6:$AI$505,"&lt;="&amp;$A148,実績!$AJ$6:$AJ$505,"&gt;"&amp;$A148,実績!$AL$6:$AL$505,"○")&gt;0,1,0))</f>
        <v>0</v>
      </c>
      <c r="CW148" s="39" t="n">
        <f aca="false">IF(CW$4=0,0,IF(COUNTIFS(実績!$W$6:$W$505,CW$3,実績!$AI$6:$AI$505,"&lt;="&amp;$A148,実績!$AJ$6:$AJ$505,"&gt;"&amp;$A148,実績!$AL$6:$AL$505,"○")&gt;0,1,0))</f>
        <v>0</v>
      </c>
      <c r="CX148" s="39" t="n">
        <f aca="false">IF(CX$4=0,0,IF(COUNTIFS(実績!$W$6:$W$505,CX$3,実績!$AI$6:$AI$505,"&lt;="&amp;$A148,実績!$AJ$6:$AJ$505,"&gt;"&amp;$A148,実績!$AL$6:$AL$505,"○")&gt;0,1,0))</f>
        <v>0</v>
      </c>
      <c r="CY148" s="39" t="n">
        <f aca="false">IF(CY$4=0,0,IF(COUNTIFS(実績!$W$6:$W$505,CY$3,実績!$AI$6:$AI$505,"&lt;="&amp;$A148,実績!$AJ$6:$AJ$505,"&gt;"&amp;$A148,実績!$AL$6:$AL$505,"○")&gt;0,1,0))</f>
        <v>0</v>
      </c>
      <c r="CZ148" s="39" t="n">
        <f aca="false">IF(CZ$4=0,0,IF(COUNTIFS(実績!$W$6:$W$505,CZ$3,実績!$AI$6:$AI$505,"&lt;="&amp;$A148,実績!$AJ$6:$AJ$505,"&gt;"&amp;$A148,実績!$AL$6:$AL$505,"○")&gt;0,1,0))</f>
        <v>0</v>
      </c>
      <c r="DA148" s="39" t="n">
        <f aca="false">IF(DA$4=0,0,IF(COUNTIFS(実績!$W$6:$W$505,DA$3,実績!$AI$6:$AI$505,"&lt;="&amp;$A148,実績!$AJ$6:$AJ$505,"&gt;"&amp;$A148,実績!$AL$6:$AL$505,"○")&gt;0,1,0))</f>
        <v>0</v>
      </c>
      <c r="DB148" s="39" t="n">
        <f aca="false">IF(DB$4=0,0,IF(COUNTIFS(実績!$W$6:$W$505,DB$3,実績!$AI$6:$AI$505,"&lt;="&amp;$A148,実績!$AJ$6:$AJ$505,"&gt;"&amp;$A148,実績!$AL$6:$AL$505,"○")&gt;0,1,0))</f>
        <v>0</v>
      </c>
      <c r="DC148" s="39" t="n">
        <f aca="false">IF(DC$4=0,0,IF(COUNTIFS(実績!$W$6:$W$505,DC$3,実績!$AI$6:$AI$505,"&lt;="&amp;$A148,実績!$AJ$6:$AJ$505,"&gt;"&amp;$A148,実績!$AL$6:$AL$505,"○")&gt;0,1,0))</f>
        <v>0</v>
      </c>
      <c r="DD148" s="39" t="n">
        <f aca="false">IF(DD$4=0,0,IF(COUNTIFS(実績!$W$6:$W$505,DD$3,実績!$AI$6:$AI$505,"&lt;="&amp;$A148,実績!$AJ$6:$AJ$505,"&gt;"&amp;$A148,実績!$AL$6:$AL$505,"○")&gt;0,1,0))</f>
        <v>0</v>
      </c>
      <c r="DE148" s="39" t="n">
        <f aca="false">IF(DE$4=0,0,IF(COUNTIFS(実績!$W$6:$W$505,DE$3,実績!$AI$6:$AI$505,"&lt;="&amp;$A148,実績!$AJ$6:$AJ$505,"&gt;"&amp;$A148,実績!$AL$6:$AL$505,"○")&gt;0,1,0))</f>
        <v>0</v>
      </c>
      <c r="DF148" s="39" t="n">
        <f aca="false">IF(DF$4=0,0,IF(COUNTIFS(実績!$W$6:$W$505,DF$3,実績!$AI$6:$AI$505,"&lt;="&amp;$A148,実績!$AJ$6:$AJ$505,"&gt;"&amp;$A148,実績!$AL$6:$AL$505,"○")&gt;0,1,0))</f>
        <v>0</v>
      </c>
      <c r="DG148" s="39" t="n">
        <f aca="false">IF(DG$4=0,0,IF(COUNTIFS(実績!$W$6:$W$505,DG$3,実績!$AI$6:$AI$505,"&lt;="&amp;$A148,実績!$AJ$6:$AJ$505,"&gt;"&amp;$A148,実績!$AL$6:$AL$505,"○")&gt;0,1,0))</f>
        <v>0</v>
      </c>
      <c r="DH148" s="39" t="n">
        <f aca="false">IF(DH$4=0,0,IF(COUNTIFS(実績!$W$6:$W$505,DH$3,実績!$AI$6:$AI$505,"&lt;="&amp;$A148,実績!$AJ$6:$AJ$505,"&gt;"&amp;$A148,実績!$AL$6:$AL$505,"○")&gt;0,1,0))</f>
        <v>0</v>
      </c>
      <c r="DI148" s="39" t="n">
        <f aca="false">IF(DI$4=0,0,IF(COUNTIFS(実績!$W$6:$W$505,DI$3,実績!$AI$6:$AI$505,"&lt;="&amp;$A148,実績!$AJ$6:$AJ$505,"&gt;"&amp;$A148,実績!$AL$6:$AL$505,"○")&gt;0,1,0))</f>
        <v>0</v>
      </c>
      <c r="DJ148" s="39" t="n">
        <f aca="false">IF(DJ$4=0,0,IF(COUNTIFS(実績!$W$6:$W$505,DJ$3,実績!$AI$6:$AI$505,"&lt;="&amp;$A148,実績!$AJ$6:$AJ$505,"&gt;"&amp;$A148,実績!$AL$6:$AL$505,"○")&gt;0,1,0))</f>
        <v>0</v>
      </c>
      <c r="DK148" s="39" t="n">
        <f aca="false">IF(DK$4=0,0,IF(COUNTIFS(実績!$W$6:$W$505,DK$3,実績!$AI$6:$AI$505,"&lt;="&amp;$A148,実績!$AJ$6:$AJ$505,"&gt;"&amp;$A148,実績!$AL$6:$AL$505,"○")&gt;0,1,0))</f>
        <v>0</v>
      </c>
      <c r="DL148" s="39" t="n">
        <f aca="false">IF(DL$4=0,0,IF(COUNTIFS(実績!$W$6:$W$505,DL$3,実績!$AI$6:$AI$505,"&lt;="&amp;$A148,実績!$AJ$6:$AJ$505,"&gt;"&amp;$A148,実績!$AL$6:$AL$505,"○")&gt;0,1,0))</f>
        <v>0</v>
      </c>
      <c r="DM148" s="39" t="n">
        <f aca="false">IF(DM$4=0,0,IF(COUNTIFS(実績!$W$6:$W$505,DM$3,実績!$AI$6:$AI$505,"&lt;="&amp;$A148,実績!$AJ$6:$AJ$505,"&gt;"&amp;$A148,実績!$AL$6:$AL$505,"○")&gt;0,1,0))</f>
        <v>0</v>
      </c>
      <c r="DN148" s="39" t="n">
        <f aca="false">IF(DN$4=0,0,IF(COUNTIFS(実績!$W$6:$W$505,DN$3,実績!$AI$6:$AI$505,"&lt;="&amp;$A148,実績!$AJ$6:$AJ$505,"&gt;"&amp;$A148,実績!$AL$6:$AL$505,"○")&gt;0,1,0))</f>
        <v>0</v>
      </c>
      <c r="DO148" s="39" t="n">
        <f aca="false">IF(DO$4=0,0,IF(COUNTIFS(実績!$W$6:$W$505,DO$3,実績!$AI$6:$AI$505,"&lt;="&amp;$A148,実績!$AJ$6:$AJ$505,"&gt;"&amp;$A148,実績!$AL$6:$AL$505,"○")&gt;0,1,0))</f>
        <v>0</v>
      </c>
      <c r="DP148" s="39" t="n">
        <f aca="false">IF(DP$4=0,0,IF(COUNTIFS(実績!$W$6:$W$505,DP$3,実績!$AI$6:$AI$505,"&lt;="&amp;$A148,実績!$AJ$6:$AJ$505,"&gt;"&amp;$A148,実績!$AL$6:$AL$505,"○")&gt;0,1,0))</f>
        <v>0</v>
      </c>
      <c r="DQ148" s="39" t="n">
        <f aca="false">IF(DQ$4=0,0,IF(COUNTIFS(実績!$W$6:$W$505,DQ$3,実績!$AI$6:$AI$505,"&lt;="&amp;$A148,実績!$AJ$6:$AJ$505,"&gt;"&amp;$A148,実績!$AL$6:$AL$505,"○")&gt;0,1,0))</f>
        <v>0</v>
      </c>
      <c r="DR148" s="39" t="n">
        <f aca="false">IF(DR$4=0,0,IF(COUNTIFS(実績!$W$6:$W$505,DR$3,実績!$AI$6:$AI$505,"&lt;="&amp;$A148,実績!$AJ$6:$AJ$505,"&gt;"&amp;$A148,実績!$AL$6:$AL$505,"○")&gt;0,1,0))</f>
        <v>0</v>
      </c>
      <c r="DS148" s="39" t="n">
        <f aca="false">SUM(C148:DR148)</f>
        <v>0</v>
      </c>
    </row>
    <row r="149" customFormat="false" ht="15" hidden="false" customHeight="false" outlineLevel="0" collapsed="false">
      <c r="A149" s="0" t="n">
        <v>715</v>
      </c>
      <c r="B149" s="38" t="n">
        <f aca="false">A149/1440</f>
        <v>0.496527777777778</v>
      </c>
      <c r="C149" s="39" t="n">
        <f aca="false">IF(C$4=0,0,IF(COUNTIFS(実績!$W$6:$W$505,C$3,実績!$AI$6:$AI$505,"&lt;="&amp;$A149,実績!$AJ$6:$AJ$505,"&gt;"&amp;$A149,実績!$AL$6:$AL$505,"○")&gt;0,1,0))</f>
        <v>0</v>
      </c>
      <c r="D149" s="39" t="n">
        <f aca="false">IF(D$4=0,0,IF(COUNTIFS(実績!$W$6:$W$505,D$3,実績!$AI$6:$AI$505,"&lt;="&amp;$A149,実績!$AJ$6:$AJ$505,"&gt;"&amp;$A149,実績!$AL$6:$AL$505,"○")&gt;0,1,0))</f>
        <v>0</v>
      </c>
      <c r="E149" s="39" t="n">
        <f aca="false">IF(E$4=0,0,IF(COUNTIFS(実績!$W$6:$W$505,E$3,実績!$AI$6:$AI$505,"&lt;="&amp;$A149,実績!$AJ$6:$AJ$505,"&gt;"&amp;$A149,実績!$AL$6:$AL$505,"○")&gt;0,1,0))</f>
        <v>0</v>
      </c>
      <c r="F149" s="39" t="n">
        <f aca="false">IF(F$4=0,0,IF(COUNTIFS(実績!$W$6:$W$505,F$3,実績!$AI$6:$AI$505,"&lt;="&amp;$A149,実績!$AJ$6:$AJ$505,"&gt;"&amp;$A149,実績!$AL$6:$AL$505,"○")&gt;0,1,0))</f>
        <v>0</v>
      </c>
      <c r="G149" s="39" t="n">
        <f aca="false">IF(G$4=0,0,IF(COUNTIFS(実績!$W$6:$W$505,G$3,実績!$AI$6:$AI$505,"&lt;="&amp;$A149,実績!$AJ$6:$AJ$505,"&gt;"&amp;$A149,実績!$AL$6:$AL$505,"○")&gt;0,1,0))</f>
        <v>0</v>
      </c>
      <c r="H149" s="39" t="n">
        <f aca="false">IF(H$4=0,0,IF(COUNTIFS(実績!$W$6:$W$505,H$3,実績!$AI$6:$AI$505,"&lt;="&amp;$A149,実績!$AJ$6:$AJ$505,"&gt;"&amp;$A149,実績!$AL$6:$AL$505,"○")&gt;0,1,0))</f>
        <v>0</v>
      </c>
      <c r="I149" s="39" t="n">
        <f aca="false">IF(I$4=0,0,IF(COUNTIFS(実績!$W$6:$W$505,I$3,実績!$AI$6:$AI$505,"&lt;="&amp;$A149,実績!$AJ$6:$AJ$505,"&gt;"&amp;$A149,実績!$AL$6:$AL$505,"○")&gt;0,1,0))</f>
        <v>0</v>
      </c>
      <c r="J149" s="39" t="n">
        <f aca="false">IF(J$4=0,0,IF(COUNTIFS(実績!$W$6:$W$505,J$3,実績!$AI$6:$AI$505,"&lt;="&amp;$A149,実績!$AJ$6:$AJ$505,"&gt;"&amp;$A149,実績!$AL$6:$AL$505,"○")&gt;0,1,0))</f>
        <v>0</v>
      </c>
      <c r="K149" s="39" t="n">
        <f aca="false">IF(K$4=0,0,IF(COUNTIFS(実績!$W$6:$W$505,K$3,実績!$AI$6:$AI$505,"&lt;="&amp;$A149,実績!$AJ$6:$AJ$505,"&gt;"&amp;$A149,実績!$AL$6:$AL$505,"○")&gt;0,1,0))</f>
        <v>0</v>
      </c>
      <c r="L149" s="39" t="n">
        <f aca="false">IF(L$4=0,0,IF(COUNTIFS(実績!$W$6:$W$505,L$3,実績!$AI$6:$AI$505,"&lt;="&amp;$A149,実績!$AJ$6:$AJ$505,"&gt;"&amp;$A149,実績!$AL$6:$AL$505,"○")&gt;0,1,0))</f>
        <v>0</v>
      </c>
      <c r="M149" s="39" t="n">
        <f aca="false">IF(M$4=0,0,IF(COUNTIFS(実績!$W$6:$W$505,M$3,実績!$AI$6:$AI$505,"&lt;="&amp;$A149,実績!$AJ$6:$AJ$505,"&gt;"&amp;$A149,実績!$AL$6:$AL$505,"○")&gt;0,1,0))</f>
        <v>0</v>
      </c>
      <c r="N149" s="39" t="n">
        <f aca="false">IF(N$4=0,0,IF(COUNTIFS(実績!$W$6:$W$505,N$3,実績!$AI$6:$AI$505,"&lt;="&amp;$A149,実績!$AJ$6:$AJ$505,"&gt;"&amp;$A149,実績!$AL$6:$AL$505,"○")&gt;0,1,0))</f>
        <v>0</v>
      </c>
      <c r="O149" s="39" t="n">
        <f aca="false">IF(O$4=0,0,IF(COUNTIFS(実績!$W$6:$W$505,O$3,実績!$AI$6:$AI$505,"&lt;="&amp;$A149,実績!$AJ$6:$AJ$505,"&gt;"&amp;$A149,実績!$AL$6:$AL$505,"○")&gt;0,1,0))</f>
        <v>0</v>
      </c>
      <c r="P149" s="39" t="n">
        <f aca="false">IF(P$4=0,0,IF(COUNTIFS(実績!$W$6:$W$505,P$3,実績!$AI$6:$AI$505,"&lt;="&amp;$A149,実績!$AJ$6:$AJ$505,"&gt;"&amp;$A149,実績!$AL$6:$AL$505,"○")&gt;0,1,0))</f>
        <v>0</v>
      </c>
      <c r="Q149" s="39" t="n">
        <f aca="false">IF(Q$4=0,0,IF(COUNTIFS(実績!$W$6:$W$505,Q$3,実績!$AI$6:$AI$505,"&lt;="&amp;$A149,実績!$AJ$6:$AJ$505,"&gt;"&amp;$A149,実績!$AL$6:$AL$505,"○")&gt;0,1,0))</f>
        <v>0</v>
      </c>
      <c r="R149" s="39" t="n">
        <f aca="false">IF(R$4=0,0,IF(COUNTIFS(実績!$W$6:$W$505,R$3,実績!$AI$6:$AI$505,"&lt;="&amp;$A149,実績!$AJ$6:$AJ$505,"&gt;"&amp;$A149,実績!$AL$6:$AL$505,"○")&gt;0,1,0))</f>
        <v>0</v>
      </c>
      <c r="S149" s="39" t="n">
        <f aca="false">IF(S$4=0,0,IF(COUNTIFS(実績!$W$6:$W$505,S$3,実績!$AI$6:$AI$505,"&lt;="&amp;$A149,実績!$AJ$6:$AJ$505,"&gt;"&amp;$A149,実績!$AL$6:$AL$505,"○")&gt;0,1,0))</f>
        <v>0</v>
      </c>
      <c r="T149" s="39" t="n">
        <f aca="false">IF(T$4=0,0,IF(COUNTIFS(実績!$W$6:$W$505,T$3,実績!$AI$6:$AI$505,"&lt;="&amp;$A149,実績!$AJ$6:$AJ$505,"&gt;"&amp;$A149,実績!$AL$6:$AL$505,"○")&gt;0,1,0))</f>
        <v>0</v>
      </c>
      <c r="U149" s="39" t="n">
        <f aca="false">IF(U$4=0,0,IF(COUNTIFS(実績!$W$6:$W$505,U$3,実績!$AI$6:$AI$505,"&lt;="&amp;$A149,実績!$AJ$6:$AJ$505,"&gt;"&amp;$A149,実績!$AL$6:$AL$505,"○")&gt;0,1,0))</f>
        <v>0</v>
      </c>
      <c r="V149" s="39" t="n">
        <f aca="false">IF(V$4=0,0,IF(COUNTIFS(実績!$W$6:$W$505,V$3,実績!$AI$6:$AI$505,"&lt;="&amp;$A149,実績!$AJ$6:$AJ$505,"&gt;"&amp;$A149,実績!$AL$6:$AL$505,"○")&gt;0,1,0))</f>
        <v>0</v>
      </c>
      <c r="W149" s="39" t="n">
        <f aca="false">IF(W$4=0,0,IF(COUNTIFS(実績!$W$6:$W$505,W$3,実績!$AI$6:$AI$505,"&lt;="&amp;$A149,実績!$AJ$6:$AJ$505,"&gt;"&amp;$A149,実績!$AL$6:$AL$505,"○")&gt;0,1,0))</f>
        <v>0</v>
      </c>
      <c r="X149" s="39" t="n">
        <f aca="false">IF(X$4=0,0,IF(COUNTIFS(実績!$W$6:$W$505,X$3,実績!$AI$6:$AI$505,"&lt;="&amp;$A149,実績!$AJ$6:$AJ$505,"&gt;"&amp;$A149,実績!$AL$6:$AL$505,"○")&gt;0,1,0))</f>
        <v>0</v>
      </c>
      <c r="Y149" s="39" t="n">
        <f aca="false">IF(Y$4=0,0,IF(COUNTIFS(実績!$W$6:$W$505,Y$3,実績!$AI$6:$AI$505,"&lt;="&amp;$A149,実績!$AJ$6:$AJ$505,"&gt;"&amp;$A149,実績!$AL$6:$AL$505,"○")&gt;0,1,0))</f>
        <v>0</v>
      </c>
      <c r="Z149" s="39" t="n">
        <f aca="false">IF(Z$4=0,0,IF(COUNTIFS(実績!$W$6:$W$505,Z$3,実績!$AI$6:$AI$505,"&lt;="&amp;$A149,実績!$AJ$6:$AJ$505,"&gt;"&amp;$A149,実績!$AL$6:$AL$505,"○")&gt;0,1,0))</f>
        <v>0</v>
      </c>
      <c r="AA149" s="39" t="n">
        <f aca="false">IF(AA$4=0,0,IF(COUNTIFS(実績!$W$6:$W$505,AA$3,実績!$AI$6:$AI$505,"&lt;="&amp;$A149,実績!$AJ$6:$AJ$505,"&gt;"&amp;$A149,実績!$AL$6:$AL$505,"○")&gt;0,1,0))</f>
        <v>0</v>
      </c>
      <c r="AB149" s="39" t="n">
        <f aca="false">IF(AB$4=0,0,IF(COUNTIFS(実績!$W$6:$W$505,AB$3,実績!$AI$6:$AI$505,"&lt;="&amp;$A149,実績!$AJ$6:$AJ$505,"&gt;"&amp;$A149,実績!$AL$6:$AL$505,"○")&gt;0,1,0))</f>
        <v>0</v>
      </c>
      <c r="AC149" s="39" t="n">
        <f aca="false">IF(AC$4=0,0,IF(COUNTIFS(実績!$W$6:$W$505,AC$3,実績!$AI$6:$AI$505,"&lt;="&amp;$A149,実績!$AJ$6:$AJ$505,"&gt;"&amp;$A149,実績!$AL$6:$AL$505,"○")&gt;0,1,0))</f>
        <v>0</v>
      </c>
      <c r="AD149" s="39" t="n">
        <f aca="false">IF(AD$4=0,0,IF(COUNTIFS(実績!$W$6:$W$505,AD$3,実績!$AI$6:$AI$505,"&lt;="&amp;$A149,実績!$AJ$6:$AJ$505,"&gt;"&amp;$A149,実績!$AL$6:$AL$505,"○")&gt;0,1,0))</f>
        <v>0</v>
      </c>
      <c r="AE149" s="39" t="n">
        <f aca="false">IF(AE$4=0,0,IF(COUNTIFS(実績!$W$6:$W$505,AE$3,実績!$AI$6:$AI$505,"&lt;="&amp;$A149,実績!$AJ$6:$AJ$505,"&gt;"&amp;$A149,実績!$AL$6:$AL$505,"○")&gt;0,1,0))</f>
        <v>0</v>
      </c>
      <c r="AF149" s="39" t="n">
        <f aca="false">IF(AF$4=0,0,IF(COUNTIFS(実績!$W$6:$W$505,AF$3,実績!$AI$6:$AI$505,"&lt;="&amp;$A149,実績!$AJ$6:$AJ$505,"&gt;"&amp;$A149,実績!$AL$6:$AL$505,"○")&gt;0,1,0))</f>
        <v>0</v>
      </c>
      <c r="AG149" s="39" t="n">
        <f aca="false">IF(AG$4=0,0,IF(COUNTIFS(実績!$W$6:$W$505,AG$3,実績!$AI$6:$AI$505,"&lt;="&amp;$A149,実績!$AJ$6:$AJ$505,"&gt;"&amp;$A149,実績!$AL$6:$AL$505,"○")&gt;0,1,0))</f>
        <v>0</v>
      </c>
      <c r="AH149" s="39" t="n">
        <f aca="false">IF(AH$4=0,0,IF(COUNTIFS(実績!$W$6:$W$505,AH$3,実績!$AI$6:$AI$505,"&lt;="&amp;$A149,実績!$AJ$6:$AJ$505,"&gt;"&amp;$A149,実績!$AL$6:$AL$505,"○")&gt;0,1,0))</f>
        <v>0</v>
      </c>
      <c r="AI149" s="39" t="n">
        <f aca="false">IF(AI$4=0,0,IF(COUNTIFS(実績!$W$6:$W$505,AI$3,実績!$AI$6:$AI$505,"&lt;="&amp;$A149,実績!$AJ$6:$AJ$505,"&gt;"&amp;$A149,実績!$AL$6:$AL$505,"○")&gt;0,1,0))</f>
        <v>0</v>
      </c>
      <c r="AJ149" s="39" t="n">
        <f aca="false">IF(AJ$4=0,0,IF(COUNTIFS(実績!$W$6:$W$505,AJ$3,実績!$AI$6:$AI$505,"&lt;="&amp;$A149,実績!$AJ$6:$AJ$505,"&gt;"&amp;$A149,実績!$AL$6:$AL$505,"○")&gt;0,1,0))</f>
        <v>0</v>
      </c>
      <c r="AK149" s="39" t="n">
        <f aca="false">IF(AK$4=0,0,IF(COUNTIFS(実績!$W$6:$W$505,AK$3,実績!$AI$6:$AI$505,"&lt;="&amp;$A149,実績!$AJ$6:$AJ$505,"&gt;"&amp;$A149,実績!$AL$6:$AL$505,"○")&gt;0,1,0))</f>
        <v>0</v>
      </c>
      <c r="AL149" s="39" t="n">
        <f aca="false">IF(AL$4=0,0,IF(COUNTIFS(実績!$W$6:$W$505,AL$3,実績!$AI$6:$AI$505,"&lt;="&amp;$A149,実績!$AJ$6:$AJ$505,"&gt;"&amp;$A149,実績!$AL$6:$AL$505,"○")&gt;0,1,0))</f>
        <v>0</v>
      </c>
      <c r="AM149" s="39" t="n">
        <f aca="false">IF(AM$4=0,0,IF(COUNTIFS(実績!$W$6:$W$505,AM$3,実績!$AI$6:$AI$505,"&lt;="&amp;$A149,実績!$AJ$6:$AJ$505,"&gt;"&amp;$A149,実績!$AL$6:$AL$505,"○")&gt;0,1,0))</f>
        <v>0</v>
      </c>
      <c r="AN149" s="39" t="n">
        <f aca="false">IF(AN$4=0,0,IF(COUNTIFS(実績!$W$6:$W$505,AN$3,実績!$AI$6:$AI$505,"&lt;="&amp;$A149,実績!$AJ$6:$AJ$505,"&gt;"&amp;$A149,実績!$AL$6:$AL$505,"○")&gt;0,1,0))</f>
        <v>0</v>
      </c>
      <c r="AO149" s="39" t="n">
        <f aca="false">IF(AO$4=0,0,IF(COUNTIFS(実績!$W$6:$W$505,AO$3,実績!$AI$6:$AI$505,"&lt;="&amp;$A149,実績!$AJ$6:$AJ$505,"&gt;"&amp;$A149,実績!$AL$6:$AL$505,"○")&gt;0,1,0))</f>
        <v>0</v>
      </c>
      <c r="AP149" s="39" t="n">
        <f aca="false">IF(AP$4=0,0,IF(COUNTIFS(実績!$W$6:$W$505,AP$3,実績!$AI$6:$AI$505,"&lt;="&amp;$A149,実績!$AJ$6:$AJ$505,"&gt;"&amp;$A149,実績!$AL$6:$AL$505,"○")&gt;0,1,0))</f>
        <v>0</v>
      </c>
      <c r="AQ149" s="39" t="n">
        <f aca="false">IF(AQ$4=0,0,IF(COUNTIFS(実績!$W$6:$W$505,AQ$3,実績!$AI$6:$AI$505,"&lt;="&amp;$A149,実績!$AJ$6:$AJ$505,"&gt;"&amp;$A149,実績!$AL$6:$AL$505,"○")&gt;0,1,0))</f>
        <v>0</v>
      </c>
      <c r="AR149" s="39" t="n">
        <f aca="false">IF(AR$4=0,0,IF(COUNTIFS(実績!$W$6:$W$505,AR$3,実績!$AI$6:$AI$505,"&lt;="&amp;$A149,実績!$AJ$6:$AJ$505,"&gt;"&amp;$A149,実績!$AL$6:$AL$505,"○")&gt;0,1,0))</f>
        <v>0</v>
      </c>
      <c r="AS149" s="39" t="n">
        <f aca="false">IF(AS$4=0,0,IF(COUNTIFS(実績!$W$6:$W$505,AS$3,実績!$AI$6:$AI$505,"&lt;="&amp;$A149,実績!$AJ$6:$AJ$505,"&gt;"&amp;$A149,実績!$AL$6:$AL$505,"○")&gt;0,1,0))</f>
        <v>0</v>
      </c>
      <c r="AT149" s="39" t="n">
        <f aca="false">IF(AT$4=0,0,IF(COUNTIFS(実績!$W$6:$W$505,AT$3,実績!$AI$6:$AI$505,"&lt;="&amp;$A149,実績!$AJ$6:$AJ$505,"&gt;"&amp;$A149,実績!$AL$6:$AL$505,"○")&gt;0,1,0))</f>
        <v>0</v>
      </c>
      <c r="AU149" s="39" t="n">
        <f aca="false">IF(AU$4=0,0,IF(COUNTIFS(実績!$W$6:$W$505,AU$3,実績!$AI$6:$AI$505,"&lt;="&amp;$A149,実績!$AJ$6:$AJ$505,"&gt;"&amp;$A149,実績!$AL$6:$AL$505,"○")&gt;0,1,0))</f>
        <v>0</v>
      </c>
      <c r="AV149" s="39" t="n">
        <f aca="false">IF(AV$4=0,0,IF(COUNTIFS(実績!$W$6:$W$505,AV$3,実績!$AI$6:$AI$505,"&lt;="&amp;$A149,実績!$AJ$6:$AJ$505,"&gt;"&amp;$A149,実績!$AL$6:$AL$505,"○")&gt;0,1,0))</f>
        <v>0</v>
      </c>
      <c r="AW149" s="39" t="n">
        <f aca="false">IF(AW$4=0,0,IF(COUNTIFS(実績!$W$6:$W$505,AW$3,実績!$AI$6:$AI$505,"&lt;="&amp;$A149,実績!$AJ$6:$AJ$505,"&gt;"&amp;$A149,実績!$AL$6:$AL$505,"○")&gt;0,1,0))</f>
        <v>0</v>
      </c>
      <c r="AX149" s="39" t="n">
        <f aca="false">IF(AX$4=0,0,IF(COUNTIFS(実績!$W$6:$W$505,AX$3,実績!$AI$6:$AI$505,"&lt;="&amp;$A149,実績!$AJ$6:$AJ$505,"&gt;"&amp;$A149,実績!$AL$6:$AL$505,"○")&gt;0,1,0))</f>
        <v>0</v>
      </c>
      <c r="AY149" s="39" t="n">
        <f aca="false">IF(AY$4=0,0,IF(COUNTIFS(実績!$W$6:$W$505,AY$3,実績!$AI$6:$AI$505,"&lt;="&amp;$A149,実績!$AJ$6:$AJ$505,"&gt;"&amp;$A149,実績!$AL$6:$AL$505,"○")&gt;0,1,0))</f>
        <v>0</v>
      </c>
      <c r="AZ149" s="39" t="n">
        <f aca="false">IF(AZ$4=0,0,IF(COUNTIFS(実績!$W$6:$W$505,AZ$3,実績!$AI$6:$AI$505,"&lt;="&amp;$A149,実績!$AJ$6:$AJ$505,"&gt;"&amp;$A149,実績!$AL$6:$AL$505,"○")&gt;0,1,0))</f>
        <v>0</v>
      </c>
      <c r="BA149" s="39" t="n">
        <f aca="false">IF(BA$4=0,0,IF(COUNTIFS(実績!$W$6:$W$505,BA$3,実績!$AI$6:$AI$505,"&lt;="&amp;$A149,実績!$AJ$6:$AJ$505,"&gt;"&amp;$A149,実績!$AL$6:$AL$505,"○")&gt;0,1,0))</f>
        <v>0</v>
      </c>
      <c r="BB149" s="39" t="n">
        <f aca="false">IF(BB$4=0,0,IF(COUNTIFS(実績!$W$6:$W$505,BB$3,実績!$AI$6:$AI$505,"&lt;="&amp;$A149,実績!$AJ$6:$AJ$505,"&gt;"&amp;$A149,実績!$AL$6:$AL$505,"○")&gt;0,1,0))</f>
        <v>0</v>
      </c>
      <c r="BC149" s="39" t="n">
        <f aca="false">IF(BC$4=0,0,IF(COUNTIFS(実績!$W$6:$W$505,BC$3,実績!$AI$6:$AI$505,"&lt;="&amp;$A149,実績!$AJ$6:$AJ$505,"&gt;"&amp;$A149,実績!$AL$6:$AL$505,"○")&gt;0,1,0))</f>
        <v>0</v>
      </c>
      <c r="BD149" s="39" t="n">
        <f aca="false">IF(BD$4=0,0,IF(COUNTIFS(実績!$W$6:$W$505,BD$3,実績!$AI$6:$AI$505,"&lt;="&amp;$A149,実績!$AJ$6:$AJ$505,"&gt;"&amp;$A149,実績!$AL$6:$AL$505,"○")&gt;0,1,0))</f>
        <v>0</v>
      </c>
      <c r="BE149" s="39" t="n">
        <f aca="false">IF(BE$4=0,0,IF(COUNTIFS(実績!$W$6:$W$505,BE$3,実績!$AI$6:$AI$505,"&lt;="&amp;$A149,実績!$AJ$6:$AJ$505,"&gt;"&amp;$A149,実績!$AL$6:$AL$505,"○")&gt;0,1,0))</f>
        <v>0</v>
      </c>
      <c r="BF149" s="39" t="n">
        <f aca="false">IF(BF$4=0,0,IF(COUNTIFS(実績!$W$6:$W$505,BF$3,実績!$AI$6:$AI$505,"&lt;="&amp;$A149,実績!$AJ$6:$AJ$505,"&gt;"&amp;$A149,実績!$AL$6:$AL$505,"○")&gt;0,1,0))</f>
        <v>0</v>
      </c>
      <c r="BG149" s="39" t="n">
        <f aca="false">IF(BG$4=0,0,IF(COUNTIFS(実績!$W$6:$W$505,BG$3,実績!$AI$6:$AI$505,"&lt;="&amp;$A149,実績!$AJ$6:$AJ$505,"&gt;"&amp;$A149,実績!$AL$6:$AL$505,"○")&gt;0,1,0))</f>
        <v>0</v>
      </c>
      <c r="BH149" s="39" t="n">
        <f aca="false">IF(BH$4=0,0,IF(COUNTIFS(実績!$W$6:$W$505,BH$3,実績!$AI$6:$AI$505,"&lt;="&amp;$A149,実績!$AJ$6:$AJ$505,"&gt;"&amp;$A149,実績!$AL$6:$AL$505,"○")&gt;0,1,0))</f>
        <v>0</v>
      </c>
      <c r="BI149" s="39" t="n">
        <f aca="false">IF(BI$4=0,0,IF(COUNTIFS(実績!$W$6:$W$505,BI$3,実績!$AI$6:$AI$505,"&lt;="&amp;$A149,実績!$AJ$6:$AJ$505,"&gt;"&amp;$A149,実績!$AL$6:$AL$505,"○")&gt;0,1,0))</f>
        <v>0</v>
      </c>
      <c r="BJ149" s="39" t="n">
        <f aca="false">IF(BJ$4=0,0,IF(COUNTIFS(実績!$W$6:$W$505,BJ$3,実績!$AI$6:$AI$505,"&lt;="&amp;$A149,実績!$AJ$6:$AJ$505,"&gt;"&amp;$A149,実績!$AL$6:$AL$505,"○")&gt;0,1,0))</f>
        <v>0</v>
      </c>
      <c r="BK149" s="39" t="n">
        <f aca="false">IF(BK$4=0,0,IF(COUNTIFS(実績!$W$6:$W$505,BK$3,実績!$AI$6:$AI$505,"&lt;="&amp;$A149,実績!$AJ$6:$AJ$505,"&gt;"&amp;$A149,実績!$AL$6:$AL$505,"○")&gt;0,1,0))</f>
        <v>0</v>
      </c>
      <c r="BL149" s="39" t="n">
        <f aca="false">IF(BL$4=0,0,IF(COUNTIFS(実績!$W$6:$W$505,BL$3,実績!$AI$6:$AI$505,"&lt;="&amp;$A149,実績!$AJ$6:$AJ$505,"&gt;"&amp;$A149,実績!$AL$6:$AL$505,"○")&gt;0,1,0))</f>
        <v>0</v>
      </c>
      <c r="BM149" s="39" t="n">
        <f aca="false">IF(BM$4=0,0,IF(COUNTIFS(実績!$W$6:$W$505,BM$3,実績!$AI$6:$AI$505,"&lt;="&amp;$A149,実績!$AJ$6:$AJ$505,"&gt;"&amp;$A149,実績!$AL$6:$AL$505,"○")&gt;0,1,0))</f>
        <v>0</v>
      </c>
      <c r="BN149" s="39" t="n">
        <f aca="false">IF(BN$4=0,0,IF(COUNTIFS(実績!$W$6:$W$505,BN$3,実績!$AI$6:$AI$505,"&lt;="&amp;$A149,実績!$AJ$6:$AJ$505,"&gt;"&amp;$A149,実績!$AL$6:$AL$505,"○")&gt;0,1,0))</f>
        <v>0</v>
      </c>
      <c r="BO149" s="39" t="n">
        <f aca="false">IF(BO$4=0,0,IF(COUNTIFS(実績!$W$6:$W$505,BO$3,実績!$AI$6:$AI$505,"&lt;="&amp;$A149,実績!$AJ$6:$AJ$505,"&gt;"&amp;$A149,実績!$AL$6:$AL$505,"○")&gt;0,1,0))</f>
        <v>0</v>
      </c>
      <c r="BP149" s="39" t="n">
        <f aca="false">IF(BP$4=0,0,IF(COUNTIFS(実績!$W$6:$W$505,BP$3,実績!$AI$6:$AI$505,"&lt;="&amp;$A149,実績!$AJ$6:$AJ$505,"&gt;"&amp;$A149,実績!$AL$6:$AL$505,"○")&gt;0,1,0))</f>
        <v>0</v>
      </c>
      <c r="BQ149" s="39" t="n">
        <f aca="false">IF(BQ$4=0,0,IF(COUNTIFS(実績!$W$6:$W$505,BQ$3,実績!$AI$6:$AI$505,"&lt;="&amp;$A149,実績!$AJ$6:$AJ$505,"&gt;"&amp;$A149,実績!$AL$6:$AL$505,"○")&gt;0,1,0))</f>
        <v>0</v>
      </c>
      <c r="BR149" s="39" t="n">
        <f aca="false">IF(BR$4=0,0,IF(COUNTIFS(実績!$W$6:$W$505,BR$3,実績!$AI$6:$AI$505,"&lt;="&amp;$A149,実績!$AJ$6:$AJ$505,"&gt;"&amp;$A149,実績!$AL$6:$AL$505,"○")&gt;0,1,0))</f>
        <v>0</v>
      </c>
      <c r="BS149" s="39" t="n">
        <f aca="false">IF(BS$4=0,0,IF(COUNTIFS(実績!$W$6:$W$505,BS$3,実績!$AI$6:$AI$505,"&lt;="&amp;$A149,実績!$AJ$6:$AJ$505,"&gt;"&amp;$A149,実績!$AL$6:$AL$505,"○")&gt;0,1,0))</f>
        <v>0</v>
      </c>
      <c r="BT149" s="39" t="n">
        <f aca="false">IF(BT$4=0,0,IF(COUNTIFS(実績!$W$6:$W$505,BT$3,実績!$AI$6:$AI$505,"&lt;="&amp;$A149,実績!$AJ$6:$AJ$505,"&gt;"&amp;$A149,実績!$AL$6:$AL$505,"○")&gt;0,1,0))</f>
        <v>0</v>
      </c>
      <c r="BU149" s="39" t="n">
        <f aca="false">IF(BU$4=0,0,IF(COUNTIFS(実績!$W$6:$W$505,BU$3,実績!$AI$6:$AI$505,"&lt;="&amp;$A149,実績!$AJ$6:$AJ$505,"&gt;"&amp;$A149,実績!$AL$6:$AL$505,"○")&gt;0,1,0))</f>
        <v>0</v>
      </c>
      <c r="BV149" s="39" t="n">
        <f aca="false">IF(BV$4=0,0,IF(COUNTIFS(実績!$W$6:$W$505,BV$3,実績!$AI$6:$AI$505,"&lt;="&amp;$A149,実績!$AJ$6:$AJ$505,"&gt;"&amp;$A149,実績!$AL$6:$AL$505,"○")&gt;0,1,0))</f>
        <v>0</v>
      </c>
      <c r="BW149" s="39" t="n">
        <f aca="false">IF(BW$4=0,0,IF(COUNTIFS(実績!$W$6:$W$505,BW$3,実績!$AI$6:$AI$505,"&lt;="&amp;$A149,実績!$AJ$6:$AJ$505,"&gt;"&amp;$A149,実績!$AL$6:$AL$505,"○")&gt;0,1,0))</f>
        <v>0</v>
      </c>
      <c r="BX149" s="39" t="n">
        <f aca="false">IF(BX$4=0,0,IF(COUNTIFS(実績!$W$6:$W$505,BX$3,実績!$AI$6:$AI$505,"&lt;="&amp;$A149,実績!$AJ$6:$AJ$505,"&gt;"&amp;$A149,実績!$AL$6:$AL$505,"○")&gt;0,1,0))</f>
        <v>0</v>
      </c>
      <c r="BY149" s="39" t="n">
        <f aca="false">IF(BY$4=0,0,IF(COUNTIFS(実績!$W$6:$W$505,BY$3,実績!$AI$6:$AI$505,"&lt;="&amp;$A149,実績!$AJ$6:$AJ$505,"&gt;"&amp;$A149,実績!$AL$6:$AL$505,"○")&gt;0,1,0))</f>
        <v>0</v>
      </c>
      <c r="BZ149" s="39" t="n">
        <f aca="false">IF(BZ$4=0,0,IF(COUNTIFS(実績!$W$6:$W$505,BZ$3,実績!$AI$6:$AI$505,"&lt;="&amp;$A149,実績!$AJ$6:$AJ$505,"&gt;"&amp;$A149,実績!$AL$6:$AL$505,"○")&gt;0,1,0))</f>
        <v>0</v>
      </c>
      <c r="CA149" s="39" t="n">
        <f aca="false">IF(CA$4=0,0,IF(COUNTIFS(実績!$W$6:$W$505,CA$3,実績!$AI$6:$AI$505,"&lt;="&amp;$A149,実績!$AJ$6:$AJ$505,"&gt;"&amp;$A149,実績!$AL$6:$AL$505,"○")&gt;0,1,0))</f>
        <v>0</v>
      </c>
      <c r="CB149" s="39" t="n">
        <f aca="false">IF(CB$4=0,0,IF(COUNTIFS(実績!$W$6:$W$505,CB$3,実績!$AI$6:$AI$505,"&lt;="&amp;$A149,実績!$AJ$6:$AJ$505,"&gt;"&amp;$A149,実績!$AL$6:$AL$505,"○")&gt;0,1,0))</f>
        <v>0</v>
      </c>
      <c r="CC149" s="39" t="n">
        <f aca="false">IF(CC$4=0,0,IF(COUNTIFS(実績!$W$6:$W$505,CC$3,実績!$AI$6:$AI$505,"&lt;="&amp;$A149,実績!$AJ$6:$AJ$505,"&gt;"&amp;$A149,実績!$AL$6:$AL$505,"○")&gt;0,1,0))</f>
        <v>0</v>
      </c>
      <c r="CD149" s="39" t="n">
        <f aca="false">IF(CD$4=0,0,IF(COUNTIFS(実績!$W$6:$W$505,CD$3,実績!$AI$6:$AI$505,"&lt;="&amp;$A149,実績!$AJ$6:$AJ$505,"&gt;"&amp;$A149,実績!$AL$6:$AL$505,"○")&gt;0,1,0))</f>
        <v>0</v>
      </c>
      <c r="CE149" s="39" t="n">
        <f aca="false">IF(CE$4=0,0,IF(COUNTIFS(実績!$W$6:$W$505,CE$3,実績!$AI$6:$AI$505,"&lt;="&amp;$A149,実績!$AJ$6:$AJ$505,"&gt;"&amp;$A149,実績!$AL$6:$AL$505,"○")&gt;0,1,0))</f>
        <v>0</v>
      </c>
      <c r="CF149" s="39" t="n">
        <f aca="false">IF(CF$4=0,0,IF(COUNTIFS(実績!$W$6:$W$505,CF$3,実績!$AI$6:$AI$505,"&lt;="&amp;$A149,実績!$AJ$6:$AJ$505,"&gt;"&amp;$A149,実績!$AL$6:$AL$505,"○")&gt;0,1,0))</f>
        <v>0</v>
      </c>
      <c r="CG149" s="39" t="n">
        <f aca="false">IF(CG$4=0,0,IF(COUNTIFS(実績!$W$6:$W$505,CG$3,実績!$AI$6:$AI$505,"&lt;="&amp;$A149,実績!$AJ$6:$AJ$505,"&gt;"&amp;$A149,実績!$AL$6:$AL$505,"○")&gt;0,1,0))</f>
        <v>0</v>
      </c>
      <c r="CH149" s="39" t="n">
        <f aca="false">IF(CH$4=0,0,IF(COUNTIFS(実績!$W$6:$W$505,CH$3,実績!$AI$6:$AI$505,"&lt;="&amp;$A149,実績!$AJ$6:$AJ$505,"&gt;"&amp;$A149,実績!$AL$6:$AL$505,"○")&gt;0,1,0))</f>
        <v>0</v>
      </c>
      <c r="CI149" s="39" t="n">
        <f aca="false">IF(CI$4=0,0,IF(COUNTIFS(実績!$W$6:$W$505,CI$3,実績!$AI$6:$AI$505,"&lt;="&amp;$A149,実績!$AJ$6:$AJ$505,"&gt;"&amp;$A149,実績!$AL$6:$AL$505,"○")&gt;0,1,0))</f>
        <v>0</v>
      </c>
      <c r="CJ149" s="39" t="n">
        <f aca="false">IF(CJ$4=0,0,IF(COUNTIFS(実績!$W$6:$W$505,CJ$3,実績!$AI$6:$AI$505,"&lt;="&amp;$A149,実績!$AJ$6:$AJ$505,"&gt;"&amp;$A149,実績!$AL$6:$AL$505,"○")&gt;0,1,0))</f>
        <v>0</v>
      </c>
      <c r="CK149" s="39" t="n">
        <f aca="false">IF(CK$4=0,0,IF(COUNTIFS(実績!$W$6:$W$505,CK$3,実績!$AI$6:$AI$505,"&lt;="&amp;$A149,実績!$AJ$6:$AJ$505,"&gt;"&amp;$A149,実績!$AL$6:$AL$505,"○")&gt;0,1,0))</f>
        <v>0</v>
      </c>
      <c r="CL149" s="39" t="n">
        <f aca="false">IF(CL$4=0,0,IF(COUNTIFS(実績!$W$6:$W$505,CL$3,実績!$AI$6:$AI$505,"&lt;="&amp;$A149,実績!$AJ$6:$AJ$505,"&gt;"&amp;$A149,実績!$AL$6:$AL$505,"○")&gt;0,1,0))</f>
        <v>0</v>
      </c>
      <c r="CM149" s="39" t="n">
        <f aca="false">IF(CM$4=0,0,IF(COUNTIFS(実績!$W$6:$W$505,CM$3,実績!$AI$6:$AI$505,"&lt;="&amp;$A149,実績!$AJ$6:$AJ$505,"&gt;"&amp;$A149,実績!$AL$6:$AL$505,"○")&gt;0,1,0))</f>
        <v>0</v>
      </c>
      <c r="CN149" s="39" t="n">
        <f aca="false">IF(CN$4=0,0,IF(COUNTIFS(実績!$W$6:$W$505,CN$3,実績!$AI$6:$AI$505,"&lt;="&amp;$A149,実績!$AJ$6:$AJ$505,"&gt;"&amp;$A149,実績!$AL$6:$AL$505,"○")&gt;0,1,0))</f>
        <v>0</v>
      </c>
      <c r="CO149" s="39" t="n">
        <f aca="false">IF(CO$4=0,0,IF(COUNTIFS(実績!$W$6:$W$505,CO$3,実績!$AI$6:$AI$505,"&lt;="&amp;$A149,実績!$AJ$6:$AJ$505,"&gt;"&amp;$A149,実績!$AL$6:$AL$505,"○")&gt;0,1,0))</f>
        <v>0</v>
      </c>
      <c r="CP149" s="39" t="n">
        <f aca="false">IF(CP$4=0,0,IF(COUNTIFS(実績!$W$6:$W$505,CP$3,実績!$AI$6:$AI$505,"&lt;="&amp;$A149,実績!$AJ$6:$AJ$505,"&gt;"&amp;$A149,実績!$AL$6:$AL$505,"○")&gt;0,1,0))</f>
        <v>0</v>
      </c>
      <c r="CQ149" s="39" t="n">
        <f aca="false">IF(CQ$4=0,0,IF(COUNTIFS(実績!$W$6:$W$505,CQ$3,実績!$AI$6:$AI$505,"&lt;="&amp;$A149,実績!$AJ$6:$AJ$505,"&gt;"&amp;$A149,実績!$AL$6:$AL$505,"○")&gt;0,1,0))</f>
        <v>0</v>
      </c>
      <c r="CR149" s="39" t="n">
        <f aca="false">IF(CR$4=0,0,IF(COUNTIFS(実績!$W$6:$W$505,CR$3,実績!$AI$6:$AI$505,"&lt;="&amp;$A149,実績!$AJ$6:$AJ$505,"&gt;"&amp;$A149,実績!$AL$6:$AL$505,"○")&gt;0,1,0))</f>
        <v>0</v>
      </c>
      <c r="CS149" s="39" t="n">
        <f aca="false">IF(CS$4=0,0,IF(COUNTIFS(実績!$W$6:$W$505,CS$3,実績!$AI$6:$AI$505,"&lt;="&amp;$A149,実績!$AJ$6:$AJ$505,"&gt;"&amp;$A149,実績!$AL$6:$AL$505,"○")&gt;0,1,0))</f>
        <v>0</v>
      </c>
      <c r="CT149" s="39" t="n">
        <f aca="false">IF(CT$4=0,0,IF(COUNTIFS(実績!$W$6:$W$505,CT$3,実績!$AI$6:$AI$505,"&lt;="&amp;$A149,実績!$AJ$6:$AJ$505,"&gt;"&amp;$A149,実績!$AL$6:$AL$505,"○")&gt;0,1,0))</f>
        <v>0</v>
      </c>
      <c r="CU149" s="39" t="n">
        <f aca="false">IF(CU$4=0,0,IF(COUNTIFS(実績!$W$6:$W$505,CU$3,実績!$AI$6:$AI$505,"&lt;="&amp;$A149,実績!$AJ$6:$AJ$505,"&gt;"&amp;$A149,実績!$AL$6:$AL$505,"○")&gt;0,1,0))</f>
        <v>0</v>
      </c>
      <c r="CV149" s="39" t="n">
        <f aca="false">IF(CV$4=0,0,IF(COUNTIFS(実績!$W$6:$W$505,CV$3,実績!$AI$6:$AI$505,"&lt;="&amp;$A149,実績!$AJ$6:$AJ$505,"&gt;"&amp;$A149,実績!$AL$6:$AL$505,"○")&gt;0,1,0))</f>
        <v>0</v>
      </c>
      <c r="CW149" s="39" t="n">
        <f aca="false">IF(CW$4=0,0,IF(COUNTIFS(実績!$W$6:$W$505,CW$3,実績!$AI$6:$AI$505,"&lt;="&amp;$A149,実績!$AJ$6:$AJ$505,"&gt;"&amp;$A149,実績!$AL$6:$AL$505,"○")&gt;0,1,0))</f>
        <v>0</v>
      </c>
      <c r="CX149" s="39" t="n">
        <f aca="false">IF(CX$4=0,0,IF(COUNTIFS(実績!$W$6:$W$505,CX$3,実績!$AI$6:$AI$505,"&lt;="&amp;$A149,実績!$AJ$6:$AJ$505,"&gt;"&amp;$A149,実績!$AL$6:$AL$505,"○")&gt;0,1,0))</f>
        <v>0</v>
      </c>
      <c r="CY149" s="39" t="n">
        <f aca="false">IF(CY$4=0,0,IF(COUNTIFS(実績!$W$6:$W$505,CY$3,実績!$AI$6:$AI$505,"&lt;="&amp;$A149,実績!$AJ$6:$AJ$505,"&gt;"&amp;$A149,実績!$AL$6:$AL$505,"○")&gt;0,1,0))</f>
        <v>0</v>
      </c>
      <c r="CZ149" s="39" t="n">
        <f aca="false">IF(CZ$4=0,0,IF(COUNTIFS(実績!$W$6:$W$505,CZ$3,実績!$AI$6:$AI$505,"&lt;="&amp;$A149,実績!$AJ$6:$AJ$505,"&gt;"&amp;$A149,実績!$AL$6:$AL$505,"○")&gt;0,1,0))</f>
        <v>0</v>
      </c>
      <c r="DA149" s="39" t="n">
        <f aca="false">IF(DA$4=0,0,IF(COUNTIFS(実績!$W$6:$W$505,DA$3,実績!$AI$6:$AI$505,"&lt;="&amp;$A149,実績!$AJ$6:$AJ$505,"&gt;"&amp;$A149,実績!$AL$6:$AL$505,"○")&gt;0,1,0))</f>
        <v>0</v>
      </c>
      <c r="DB149" s="39" t="n">
        <f aca="false">IF(DB$4=0,0,IF(COUNTIFS(実績!$W$6:$W$505,DB$3,実績!$AI$6:$AI$505,"&lt;="&amp;$A149,実績!$AJ$6:$AJ$505,"&gt;"&amp;$A149,実績!$AL$6:$AL$505,"○")&gt;0,1,0))</f>
        <v>0</v>
      </c>
      <c r="DC149" s="39" t="n">
        <f aca="false">IF(DC$4=0,0,IF(COUNTIFS(実績!$W$6:$W$505,DC$3,実績!$AI$6:$AI$505,"&lt;="&amp;$A149,実績!$AJ$6:$AJ$505,"&gt;"&amp;$A149,実績!$AL$6:$AL$505,"○")&gt;0,1,0))</f>
        <v>0</v>
      </c>
      <c r="DD149" s="39" t="n">
        <f aca="false">IF(DD$4=0,0,IF(COUNTIFS(実績!$W$6:$W$505,DD$3,実績!$AI$6:$AI$505,"&lt;="&amp;$A149,実績!$AJ$6:$AJ$505,"&gt;"&amp;$A149,実績!$AL$6:$AL$505,"○")&gt;0,1,0))</f>
        <v>0</v>
      </c>
      <c r="DE149" s="39" t="n">
        <f aca="false">IF(DE$4=0,0,IF(COUNTIFS(実績!$W$6:$W$505,DE$3,実績!$AI$6:$AI$505,"&lt;="&amp;$A149,実績!$AJ$6:$AJ$505,"&gt;"&amp;$A149,実績!$AL$6:$AL$505,"○")&gt;0,1,0))</f>
        <v>0</v>
      </c>
      <c r="DF149" s="39" t="n">
        <f aca="false">IF(DF$4=0,0,IF(COUNTIFS(実績!$W$6:$W$505,DF$3,実績!$AI$6:$AI$505,"&lt;="&amp;$A149,実績!$AJ$6:$AJ$505,"&gt;"&amp;$A149,実績!$AL$6:$AL$505,"○")&gt;0,1,0))</f>
        <v>0</v>
      </c>
      <c r="DG149" s="39" t="n">
        <f aca="false">IF(DG$4=0,0,IF(COUNTIFS(実績!$W$6:$W$505,DG$3,実績!$AI$6:$AI$505,"&lt;="&amp;$A149,実績!$AJ$6:$AJ$505,"&gt;"&amp;$A149,実績!$AL$6:$AL$505,"○")&gt;0,1,0))</f>
        <v>0</v>
      </c>
      <c r="DH149" s="39" t="n">
        <f aca="false">IF(DH$4=0,0,IF(COUNTIFS(実績!$W$6:$W$505,DH$3,実績!$AI$6:$AI$505,"&lt;="&amp;$A149,実績!$AJ$6:$AJ$505,"&gt;"&amp;$A149,実績!$AL$6:$AL$505,"○")&gt;0,1,0))</f>
        <v>0</v>
      </c>
      <c r="DI149" s="39" t="n">
        <f aca="false">IF(DI$4=0,0,IF(COUNTIFS(実績!$W$6:$W$505,DI$3,実績!$AI$6:$AI$505,"&lt;="&amp;$A149,実績!$AJ$6:$AJ$505,"&gt;"&amp;$A149,実績!$AL$6:$AL$505,"○")&gt;0,1,0))</f>
        <v>0</v>
      </c>
      <c r="DJ149" s="39" t="n">
        <f aca="false">IF(DJ$4=0,0,IF(COUNTIFS(実績!$W$6:$W$505,DJ$3,実績!$AI$6:$AI$505,"&lt;="&amp;$A149,実績!$AJ$6:$AJ$505,"&gt;"&amp;$A149,実績!$AL$6:$AL$505,"○")&gt;0,1,0))</f>
        <v>0</v>
      </c>
      <c r="DK149" s="39" t="n">
        <f aca="false">IF(DK$4=0,0,IF(COUNTIFS(実績!$W$6:$W$505,DK$3,実績!$AI$6:$AI$505,"&lt;="&amp;$A149,実績!$AJ$6:$AJ$505,"&gt;"&amp;$A149,実績!$AL$6:$AL$505,"○")&gt;0,1,0))</f>
        <v>0</v>
      </c>
      <c r="DL149" s="39" t="n">
        <f aca="false">IF(DL$4=0,0,IF(COUNTIFS(実績!$W$6:$W$505,DL$3,実績!$AI$6:$AI$505,"&lt;="&amp;$A149,実績!$AJ$6:$AJ$505,"&gt;"&amp;$A149,実績!$AL$6:$AL$505,"○")&gt;0,1,0))</f>
        <v>0</v>
      </c>
      <c r="DM149" s="39" t="n">
        <f aca="false">IF(DM$4=0,0,IF(COUNTIFS(実績!$W$6:$W$505,DM$3,実績!$AI$6:$AI$505,"&lt;="&amp;$A149,実績!$AJ$6:$AJ$505,"&gt;"&amp;$A149,実績!$AL$6:$AL$505,"○")&gt;0,1,0))</f>
        <v>0</v>
      </c>
      <c r="DN149" s="39" t="n">
        <f aca="false">IF(DN$4=0,0,IF(COUNTIFS(実績!$W$6:$W$505,DN$3,実績!$AI$6:$AI$505,"&lt;="&amp;$A149,実績!$AJ$6:$AJ$505,"&gt;"&amp;$A149,実績!$AL$6:$AL$505,"○")&gt;0,1,0))</f>
        <v>0</v>
      </c>
      <c r="DO149" s="39" t="n">
        <f aca="false">IF(DO$4=0,0,IF(COUNTIFS(実績!$W$6:$W$505,DO$3,実績!$AI$6:$AI$505,"&lt;="&amp;$A149,実績!$AJ$6:$AJ$505,"&gt;"&amp;$A149,実績!$AL$6:$AL$505,"○")&gt;0,1,0))</f>
        <v>0</v>
      </c>
      <c r="DP149" s="39" t="n">
        <f aca="false">IF(DP$4=0,0,IF(COUNTIFS(実績!$W$6:$W$505,DP$3,実績!$AI$6:$AI$505,"&lt;="&amp;$A149,実績!$AJ$6:$AJ$505,"&gt;"&amp;$A149,実績!$AL$6:$AL$505,"○")&gt;0,1,0))</f>
        <v>0</v>
      </c>
      <c r="DQ149" s="39" t="n">
        <f aca="false">IF(DQ$4=0,0,IF(COUNTIFS(実績!$W$6:$W$505,DQ$3,実績!$AI$6:$AI$505,"&lt;="&amp;$A149,実績!$AJ$6:$AJ$505,"&gt;"&amp;$A149,実績!$AL$6:$AL$505,"○")&gt;0,1,0))</f>
        <v>0</v>
      </c>
      <c r="DR149" s="39" t="n">
        <f aca="false">IF(DR$4=0,0,IF(COUNTIFS(実績!$W$6:$W$505,DR$3,実績!$AI$6:$AI$505,"&lt;="&amp;$A149,実績!$AJ$6:$AJ$505,"&gt;"&amp;$A149,実績!$AL$6:$AL$505,"○")&gt;0,1,0))</f>
        <v>0</v>
      </c>
      <c r="DS149" s="39" t="n">
        <f aca="false">SUM(C149:DR149)</f>
        <v>0</v>
      </c>
    </row>
    <row r="150" customFormat="false" ht="15" hidden="false" customHeight="false" outlineLevel="0" collapsed="false">
      <c r="A150" s="0" t="n">
        <v>720</v>
      </c>
      <c r="B150" s="38" t="n">
        <f aca="false">A150/1440</f>
        <v>0.5</v>
      </c>
      <c r="C150" s="39" t="n">
        <f aca="false">IF(C$4=0,0,IF(COUNTIFS(実績!$W$6:$W$505,C$3,実績!$AI$6:$AI$505,"&lt;="&amp;$A150,実績!$AJ$6:$AJ$505,"&gt;"&amp;$A150,実績!$AL$6:$AL$505,"○")&gt;0,1,0))</f>
        <v>0</v>
      </c>
      <c r="D150" s="39" t="n">
        <f aca="false">IF(D$4=0,0,IF(COUNTIFS(実績!$W$6:$W$505,D$3,実績!$AI$6:$AI$505,"&lt;="&amp;$A150,実績!$AJ$6:$AJ$505,"&gt;"&amp;$A150,実績!$AL$6:$AL$505,"○")&gt;0,1,0))</f>
        <v>0</v>
      </c>
      <c r="E150" s="39" t="n">
        <f aca="false">IF(E$4=0,0,IF(COUNTIFS(実績!$W$6:$W$505,E$3,実績!$AI$6:$AI$505,"&lt;="&amp;$A150,実績!$AJ$6:$AJ$505,"&gt;"&amp;$A150,実績!$AL$6:$AL$505,"○")&gt;0,1,0))</f>
        <v>0</v>
      </c>
      <c r="F150" s="39" t="n">
        <f aca="false">IF(F$4=0,0,IF(COUNTIFS(実績!$W$6:$W$505,F$3,実績!$AI$6:$AI$505,"&lt;="&amp;$A150,実績!$AJ$6:$AJ$505,"&gt;"&amp;$A150,実績!$AL$6:$AL$505,"○")&gt;0,1,0))</f>
        <v>0</v>
      </c>
      <c r="G150" s="39" t="n">
        <f aca="false">IF(G$4=0,0,IF(COUNTIFS(実績!$W$6:$W$505,G$3,実績!$AI$6:$AI$505,"&lt;="&amp;$A150,実績!$AJ$6:$AJ$505,"&gt;"&amp;$A150,実績!$AL$6:$AL$505,"○")&gt;0,1,0))</f>
        <v>0</v>
      </c>
      <c r="H150" s="39" t="n">
        <f aca="false">IF(H$4=0,0,IF(COUNTIFS(実績!$W$6:$W$505,H$3,実績!$AI$6:$AI$505,"&lt;="&amp;$A150,実績!$AJ$6:$AJ$505,"&gt;"&amp;$A150,実績!$AL$6:$AL$505,"○")&gt;0,1,0))</f>
        <v>0</v>
      </c>
      <c r="I150" s="39" t="n">
        <f aca="false">IF(I$4=0,0,IF(COUNTIFS(実績!$W$6:$W$505,I$3,実績!$AI$6:$AI$505,"&lt;="&amp;$A150,実績!$AJ$6:$AJ$505,"&gt;"&amp;$A150,実績!$AL$6:$AL$505,"○")&gt;0,1,0))</f>
        <v>0</v>
      </c>
      <c r="J150" s="39" t="n">
        <f aca="false">IF(J$4=0,0,IF(COUNTIFS(実績!$W$6:$W$505,J$3,実績!$AI$6:$AI$505,"&lt;="&amp;$A150,実績!$AJ$6:$AJ$505,"&gt;"&amp;$A150,実績!$AL$6:$AL$505,"○")&gt;0,1,0))</f>
        <v>0</v>
      </c>
      <c r="K150" s="39" t="n">
        <f aca="false">IF(K$4=0,0,IF(COUNTIFS(実績!$W$6:$W$505,K$3,実績!$AI$6:$AI$505,"&lt;="&amp;$A150,実績!$AJ$6:$AJ$505,"&gt;"&amp;$A150,実績!$AL$6:$AL$505,"○")&gt;0,1,0))</f>
        <v>0</v>
      </c>
      <c r="L150" s="39" t="n">
        <f aca="false">IF(L$4=0,0,IF(COUNTIFS(実績!$W$6:$W$505,L$3,実績!$AI$6:$AI$505,"&lt;="&amp;$A150,実績!$AJ$6:$AJ$505,"&gt;"&amp;$A150,実績!$AL$6:$AL$505,"○")&gt;0,1,0))</f>
        <v>0</v>
      </c>
      <c r="M150" s="39" t="n">
        <f aca="false">IF(M$4=0,0,IF(COUNTIFS(実績!$W$6:$W$505,M$3,実績!$AI$6:$AI$505,"&lt;="&amp;$A150,実績!$AJ$6:$AJ$505,"&gt;"&amp;$A150,実績!$AL$6:$AL$505,"○")&gt;0,1,0))</f>
        <v>0</v>
      </c>
      <c r="N150" s="39" t="n">
        <f aca="false">IF(N$4=0,0,IF(COUNTIFS(実績!$W$6:$W$505,N$3,実績!$AI$6:$AI$505,"&lt;="&amp;$A150,実績!$AJ$6:$AJ$505,"&gt;"&amp;$A150,実績!$AL$6:$AL$505,"○")&gt;0,1,0))</f>
        <v>0</v>
      </c>
      <c r="O150" s="39" t="n">
        <f aca="false">IF(O$4=0,0,IF(COUNTIFS(実績!$W$6:$W$505,O$3,実績!$AI$6:$AI$505,"&lt;="&amp;$A150,実績!$AJ$6:$AJ$505,"&gt;"&amp;$A150,実績!$AL$6:$AL$505,"○")&gt;0,1,0))</f>
        <v>0</v>
      </c>
      <c r="P150" s="39" t="n">
        <f aca="false">IF(P$4=0,0,IF(COUNTIFS(実績!$W$6:$W$505,P$3,実績!$AI$6:$AI$505,"&lt;="&amp;$A150,実績!$AJ$6:$AJ$505,"&gt;"&amp;$A150,実績!$AL$6:$AL$505,"○")&gt;0,1,0))</f>
        <v>0</v>
      </c>
      <c r="Q150" s="39" t="n">
        <f aca="false">IF(Q$4=0,0,IF(COUNTIFS(実績!$W$6:$W$505,Q$3,実績!$AI$6:$AI$505,"&lt;="&amp;$A150,実績!$AJ$6:$AJ$505,"&gt;"&amp;$A150,実績!$AL$6:$AL$505,"○")&gt;0,1,0))</f>
        <v>0</v>
      </c>
      <c r="R150" s="39" t="n">
        <f aca="false">IF(R$4=0,0,IF(COUNTIFS(実績!$W$6:$W$505,R$3,実績!$AI$6:$AI$505,"&lt;="&amp;$A150,実績!$AJ$6:$AJ$505,"&gt;"&amp;$A150,実績!$AL$6:$AL$505,"○")&gt;0,1,0))</f>
        <v>0</v>
      </c>
      <c r="S150" s="39" t="n">
        <f aca="false">IF(S$4=0,0,IF(COUNTIFS(実績!$W$6:$W$505,S$3,実績!$AI$6:$AI$505,"&lt;="&amp;$A150,実績!$AJ$6:$AJ$505,"&gt;"&amp;$A150,実績!$AL$6:$AL$505,"○")&gt;0,1,0))</f>
        <v>0</v>
      </c>
      <c r="T150" s="39" t="n">
        <f aca="false">IF(T$4=0,0,IF(COUNTIFS(実績!$W$6:$W$505,T$3,実績!$AI$6:$AI$505,"&lt;="&amp;$A150,実績!$AJ$6:$AJ$505,"&gt;"&amp;$A150,実績!$AL$6:$AL$505,"○")&gt;0,1,0))</f>
        <v>0</v>
      </c>
      <c r="U150" s="39" t="n">
        <f aca="false">IF(U$4=0,0,IF(COUNTIFS(実績!$W$6:$W$505,U$3,実績!$AI$6:$AI$505,"&lt;="&amp;$A150,実績!$AJ$6:$AJ$505,"&gt;"&amp;$A150,実績!$AL$6:$AL$505,"○")&gt;0,1,0))</f>
        <v>0</v>
      </c>
      <c r="V150" s="39" t="n">
        <f aca="false">IF(V$4=0,0,IF(COUNTIFS(実績!$W$6:$W$505,V$3,実績!$AI$6:$AI$505,"&lt;="&amp;$A150,実績!$AJ$6:$AJ$505,"&gt;"&amp;$A150,実績!$AL$6:$AL$505,"○")&gt;0,1,0))</f>
        <v>0</v>
      </c>
      <c r="W150" s="39" t="n">
        <f aca="false">IF(W$4=0,0,IF(COUNTIFS(実績!$W$6:$W$505,W$3,実績!$AI$6:$AI$505,"&lt;="&amp;$A150,実績!$AJ$6:$AJ$505,"&gt;"&amp;$A150,実績!$AL$6:$AL$505,"○")&gt;0,1,0))</f>
        <v>0</v>
      </c>
      <c r="X150" s="39" t="n">
        <f aca="false">IF(X$4=0,0,IF(COUNTIFS(実績!$W$6:$W$505,X$3,実績!$AI$6:$AI$505,"&lt;="&amp;$A150,実績!$AJ$6:$AJ$505,"&gt;"&amp;$A150,実績!$AL$6:$AL$505,"○")&gt;0,1,0))</f>
        <v>0</v>
      </c>
      <c r="Y150" s="39" t="n">
        <f aca="false">IF(Y$4=0,0,IF(COUNTIFS(実績!$W$6:$W$505,Y$3,実績!$AI$6:$AI$505,"&lt;="&amp;$A150,実績!$AJ$6:$AJ$505,"&gt;"&amp;$A150,実績!$AL$6:$AL$505,"○")&gt;0,1,0))</f>
        <v>0</v>
      </c>
      <c r="Z150" s="39" t="n">
        <f aca="false">IF(Z$4=0,0,IF(COUNTIFS(実績!$W$6:$W$505,Z$3,実績!$AI$6:$AI$505,"&lt;="&amp;$A150,実績!$AJ$6:$AJ$505,"&gt;"&amp;$A150,実績!$AL$6:$AL$505,"○")&gt;0,1,0))</f>
        <v>0</v>
      </c>
      <c r="AA150" s="39" t="n">
        <f aca="false">IF(AA$4=0,0,IF(COUNTIFS(実績!$W$6:$W$505,AA$3,実績!$AI$6:$AI$505,"&lt;="&amp;$A150,実績!$AJ$6:$AJ$505,"&gt;"&amp;$A150,実績!$AL$6:$AL$505,"○")&gt;0,1,0))</f>
        <v>0</v>
      </c>
      <c r="AB150" s="39" t="n">
        <f aca="false">IF(AB$4=0,0,IF(COUNTIFS(実績!$W$6:$W$505,AB$3,実績!$AI$6:$AI$505,"&lt;="&amp;$A150,実績!$AJ$6:$AJ$505,"&gt;"&amp;$A150,実績!$AL$6:$AL$505,"○")&gt;0,1,0))</f>
        <v>0</v>
      </c>
      <c r="AC150" s="39" t="n">
        <f aca="false">IF(AC$4=0,0,IF(COUNTIFS(実績!$W$6:$W$505,AC$3,実績!$AI$6:$AI$505,"&lt;="&amp;$A150,実績!$AJ$6:$AJ$505,"&gt;"&amp;$A150,実績!$AL$6:$AL$505,"○")&gt;0,1,0))</f>
        <v>0</v>
      </c>
      <c r="AD150" s="39" t="n">
        <f aca="false">IF(AD$4=0,0,IF(COUNTIFS(実績!$W$6:$W$505,AD$3,実績!$AI$6:$AI$505,"&lt;="&amp;$A150,実績!$AJ$6:$AJ$505,"&gt;"&amp;$A150,実績!$AL$6:$AL$505,"○")&gt;0,1,0))</f>
        <v>0</v>
      </c>
      <c r="AE150" s="39" t="n">
        <f aca="false">IF(AE$4=0,0,IF(COUNTIFS(実績!$W$6:$W$505,AE$3,実績!$AI$6:$AI$505,"&lt;="&amp;$A150,実績!$AJ$6:$AJ$505,"&gt;"&amp;$A150,実績!$AL$6:$AL$505,"○")&gt;0,1,0))</f>
        <v>0</v>
      </c>
      <c r="AF150" s="39" t="n">
        <f aca="false">IF(AF$4=0,0,IF(COUNTIFS(実績!$W$6:$W$505,AF$3,実績!$AI$6:$AI$505,"&lt;="&amp;$A150,実績!$AJ$6:$AJ$505,"&gt;"&amp;$A150,実績!$AL$6:$AL$505,"○")&gt;0,1,0))</f>
        <v>0</v>
      </c>
      <c r="AG150" s="39" t="n">
        <f aca="false">IF(AG$4=0,0,IF(COUNTIFS(実績!$W$6:$W$505,AG$3,実績!$AI$6:$AI$505,"&lt;="&amp;$A150,実績!$AJ$6:$AJ$505,"&gt;"&amp;$A150,実績!$AL$6:$AL$505,"○")&gt;0,1,0))</f>
        <v>0</v>
      </c>
      <c r="AH150" s="39" t="n">
        <f aca="false">IF(AH$4=0,0,IF(COUNTIFS(実績!$W$6:$W$505,AH$3,実績!$AI$6:$AI$505,"&lt;="&amp;$A150,実績!$AJ$6:$AJ$505,"&gt;"&amp;$A150,実績!$AL$6:$AL$505,"○")&gt;0,1,0))</f>
        <v>0</v>
      </c>
      <c r="AI150" s="39" t="n">
        <f aca="false">IF(AI$4=0,0,IF(COUNTIFS(実績!$W$6:$W$505,AI$3,実績!$AI$6:$AI$505,"&lt;="&amp;$A150,実績!$AJ$6:$AJ$505,"&gt;"&amp;$A150,実績!$AL$6:$AL$505,"○")&gt;0,1,0))</f>
        <v>0</v>
      </c>
      <c r="AJ150" s="39" t="n">
        <f aca="false">IF(AJ$4=0,0,IF(COUNTIFS(実績!$W$6:$W$505,AJ$3,実績!$AI$6:$AI$505,"&lt;="&amp;$A150,実績!$AJ$6:$AJ$505,"&gt;"&amp;$A150,実績!$AL$6:$AL$505,"○")&gt;0,1,0))</f>
        <v>0</v>
      </c>
      <c r="AK150" s="39" t="n">
        <f aca="false">IF(AK$4=0,0,IF(COUNTIFS(実績!$W$6:$W$505,AK$3,実績!$AI$6:$AI$505,"&lt;="&amp;$A150,実績!$AJ$6:$AJ$505,"&gt;"&amp;$A150,実績!$AL$6:$AL$505,"○")&gt;0,1,0))</f>
        <v>0</v>
      </c>
      <c r="AL150" s="39" t="n">
        <f aca="false">IF(AL$4=0,0,IF(COUNTIFS(実績!$W$6:$W$505,AL$3,実績!$AI$6:$AI$505,"&lt;="&amp;$A150,実績!$AJ$6:$AJ$505,"&gt;"&amp;$A150,実績!$AL$6:$AL$505,"○")&gt;0,1,0))</f>
        <v>0</v>
      </c>
      <c r="AM150" s="39" t="n">
        <f aca="false">IF(AM$4=0,0,IF(COUNTIFS(実績!$W$6:$W$505,AM$3,実績!$AI$6:$AI$505,"&lt;="&amp;$A150,実績!$AJ$6:$AJ$505,"&gt;"&amp;$A150,実績!$AL$6:$AL$505,"○")&gt;0,1,0))</f>
        <v>0</v>
      </c>
      <c r="AN150" s="39" t="n">
        <f aca="false">IF(AN$4=0,0,IF(COUNTIFS(実績!$W$6:$W$505,AN$3,実績!$AI$6:$AI$505,"&lt;="&amp;$A150,実績!$AJ$6:$AJ$505,"&gt;"&amp;$A150,実績!$AL$6:$AL$505,"○")&gt;0,1,0))</f>
        <v>0</v>
      </c>
      <c r="AO150" s="39" t="n">
        <f aca="false">IF(AO$4=0,0,IF(COUNTIFS(実績!$W$6:$W$505,AO$3,実績!$AI$6:$AI$505,"&lt;="&amp;$A150,実績!$AJ$6:$AJ$505,"&gt;"&amp;$A150,実績!$AL$6:$AL$505,"○")&gt;0,1,0))</f>
        <v>0</v>
      </c>
      <c r="AP150" s="39" t="n">
        <f aca="false">IF(AP$4=0,0,IF(COUNTIFS(実績!$W$6:$W$505,AP$3,実績!$AI$6:$AI$505,"&lt;="&amp;$A150,実績!$AJ$6:$AJ$505,"&gt;"&amp;$A150,実績!$AL$6:$AL$505,"○")&gt;0,1,0))</f>
        <v>0</v>
      </c>
      <c r="AQ150" s="39" t="n">
        <f aca="false">IF(AQ$4=0,0,IF(COUNTIFS(実績!$W$6:$W$505,AQ$3,実績!$AI$6:$AI$505,"&lt;="&amp;$A150,実績!$AJ$6:$AJ$505,"&gt;"&amp;$A150,実績!$AL$6:$AL$505,"○")&gt;0,1,0))</f>
        <v>0</v>
      </c>
      <c r="AR150" s="39" t="n">
        <f aca="false">IF(AR$4=0,0,IF(COUNTIFS(実績!$W$6:$W$505,AR$3,実績!$AI$6:$AI$505,"&lt;="&amp;$A150,実績!$AJ$6:$AJ$505,"&gt;"&amp;$A150,実績!$AL$6:$AL$505,"○")&gt;0,1,0))</f>
        <v>0</v>
      </c>
      <c r="AS150" s="39" t="n">
        <f aca="false">IF(AS$4=0,0,IF(COUNTIFS(実績!$W$6:$W$505,AS$3,実績!$AI$6:$AI$505,"&lt;="&amp;$A150,実績!$AJ$6:$AJ$505,"&gt;"&amp;$A150,実績!$AL$6:$AL$505,"○")&gt;0,1,0))</f>
        <v>0</v>
      </c>
      <c r="AT150" s="39" t="n">
        <f aca="false">IF(AT$4=0,0,IF(COUNTIFS(実績!$W$6:$W$505,AT$3,実績!$AI$6:$AI$505,"&lt;="&amp;$A150,実績!$AJ$6:$AJ$505,"&gt;"&amp;$A150,実績!$AL$6:$AL$505,"○")&gt;0,1,0))</f>
        <v>0</v>
      </c>
      <c r="AU150" s="39" t="n">
        <f aca="false">IF(AU$4=0,0,IF(COUNTIFS(実績!$W$6:$W$505,AU$3,実績!$AI$6:$AI$505,"&lt;="&amp;$A150,実績!$AJ$6:$AJ$505,"&gt;"&amp;$A150,実績!$AL$6:$AL$505,"○")&gt;0,1,0))</f>
        <v>0</v>
      </c>
      <c r="AV150" s="39" t="n">
        <f aca="false">IF(AV$4=0,0,IF(COUNTIFS(実績!$W$6:$W$505,AV$3,実績!$AI$6:$AI$505,"&lt;="&amp;$A150,実績!$AJ$6:$AJ$505,"&gt;"&amp;$A150,実績!$AL$6:$AL$505,"○")&gt;0,1,0))</f>
        <v>0</v>
      </c>
      <c r="AW150" s="39" t="n">
        <f aca="false">IF(AW$4=0,0,IF(COUNTIFS(実績!$W$6:$W$505,AW$3,実績!$AI$6:$AI$505,"&lt;="&amp;$A150,実績!$AJ$6:$AJ$505,"&gt;"&amp;$A150,実績!$AL$6:$AL$505,"○")&gt;0,1,0))</f>
        <v>0</v>
      </c>
      <c r="AX150" s="39" t="n">
        <f aca="false">IF(AX$4=0,0,IF(COUNTIFS(実績!$W$6:$W$505,AX$3,実績!$AI$6:$AI$505,"&lt;="&amp;$A150,実績!$AJ$6:$AJ$505,"&gt;"&amp;$A150,実績!$AL$6:$AL$505,"○")&gt;0,1,0))</f>
        <v>0</v>
      </c>
      <c r="AY150" s="39" t="n">
        <f aca="false">IF(AY$4=0,0,IF(COUNTIFS(実績!$W$6:$W$505,AY$3,実績!$AI$6:$AI$505,"&lt;="&amp;$A150,実績!$AJ$6:$AJ$505,"&gt;"&amp;$A150,実績!$AL$6:$AL$505,"○")&gt;0,1,0))</f>
        <v>0</v>
      </c>
      <c r="AZ150" s="39" t="n">
        <f aca="false">IF(AZ$4=0,0,IF(COUNTIFS(実績!$W$6:$W$505,AZ$3,実績!$AI$6:$AI$505,"&lt;="&amp;$A150,実績!$AJ$6:$AJ$505,"&gt;"&amp;$A150,実績!$AL$6:$AL$505,"○")&gt;0,1,0))</f>
        <v>0</v>
      </c>
      <c r="BA150" s="39" t="n">
        <f aca="false">IF(BA$4=0,0,IF(COUNTIFS(実績!$W$6:$W$505,BA$3,実績!$AI$6:$AI$505,"&lt;="&amp;$A150,実績!$AJ$6:$AJ$505,"&gt;"&amp;$A150,実績!$AL$6:$AL$505,"○")&gt;0,1,0))</f>
        <v>0</v>
      </c>
      <c r="BB150" s="39" t="n">
        <f aca="false">IF(BB$4=0,0,IF(COUNTIFS(実績!$W$6:$W$505,BB$3,実績!$AI$6:$AI$505,"&lt;="&amp;$A150,実績!$AJ$6:$AJ$505,"&gt;"&amp;$A150,実績!$AL$6:$AL$505,"○")&gt;0,1,0))</f>
        <v>0</v>
      </c>
      <c r="BC150" s="39" t="n">
        <f aca="false">IF(BC$4=0,0,IF(COUNTIFS(実績!$W$6:$W$505,BC$3,実績!$AI$6:$AI$505,"&lt;="&amp;$A150,実績!$AJ$6:$AJ$505,"&gt;"&amp;$A150,実績!$AL$6:$AL$505,"○")&gt;0,1,0))</f>
        <v>0</v>
      </c>
      <c r="BD150" s="39" t="n">
        <f aca="false">IF(BD$4=0,0,IF(COUNTIFS(実績!$W$6:$W$505,BD$3,実績!$AI$6:$AI$505,"&lt;="&amp;$A150,実績!$AJ$6:$AJ$505,"&gt;"&amp;$A150,実績!$AL$6:$AL$505,"○")&gt;0,1,0))</f>
        <v>0</v>
      </c>
      <c r="BE150" s="39" t="n">
        <f aca="false">IF(BE$4=0,0,IF(COUNTIFS(実績!$W$6:$W$505,BE$3,実績!$AI$6:$AI$505,"&lt;="&amp;$A150,実績!$AJ$6:$AJ$505,"&gt;"&amp;$A150,実績!$AL$6:$AL$505,"○")&gt;0,1,0))</f>
        <v>0</v>
      </c>
      <c r="BF150" s="39" t="n">
        <f aca="false">IF(BF$4=0,0,IF(COUNTIFS(実績!$W$6:$W$505,BF$3,実績!$AI$6:$AI$505,"&lt;="&amp;$A150,実績!$AJ$6:$AJ$505,"&gt;"&amp;$A150,実績!$AL$6:$AL$505,"○")&gt;0,1,0))</f>
        <v>0</v>
      </c>
      <c r="BG150" s="39" t="n">
        <f aca="false">IF(BG$4=0,0,IF(COUNTIFS(実績!$W$6:$W$505,BG$3,実績!$AI$6:$AI$505,"&lt;="&amp;$A150,実績!$AJ$6:$AJ$505,"&gt;"&amp;$A150,実績!$AL$6:$AL$505,"○")&gt;0,1,0))</f>
        <v>0</v>
      </c>
      <c r="BH150" s="39" t="n">
        <f aca="false">IF(BH$4=0,0,IF(COUNTIFS(実績!$W$6:$W$505,BH$3,実績!$AI$6:$AI$505,"&lt;="&amp;$A150,実績!$AJ$6:$AJ$505,"&gt;"&amp;$A150,実績!$AL$6:$AL$505,"○")&gt;0,1,0))</f>
        <v>0</v>
      </c>
      <c r="BI150" s="39" t="n">
        <f aca="false">IF(BI$4=0,0,IF(COUNTIFS(実績!$W$6:$W$505,BI$3,実績!$AI$6:$AI$505,"&lt;="&amp;$A150,実績!$AJ$6:$AJ$505,"&gt;"&amp;$A150,実績!$AL$6:$AL$505,"○")&gt;0,1,0))</f>
        <v>0</v>
      </c>
      <c r="BJ150" s="39" t="n">
        <f aca="false">IF(BJ$4=0,0,IF(COUNTIFS(実績!$W$6:$W$505,BJ$3,実績!$AI$6:$AI$505,"&lt;="&amp;$A150,実績!$AJ$6:$AJ$505,"&gt;"&amp;$A150,実績!$AL$6:$AL$505,"○")&gt;0,1,0))</f>
        <v>0</v>
      </c>
      <c r="BK150" s="39" t="n">
        <f aca="false">IF(BK$4=0,0,IF(COUNTIFS(実績!$W$6:$W$505,BK$3,実績!$AI$6:$AI$505,"&lt;="&amp;$A150,実績!$AJ$6:$AJ$505,"&gt;"&amp;$A150,実績!$AL$6:$AL$505,"○")&gt;0,1,0))</f>
        <v>0</v>
      </c>
      <c r="BL150" s="39" t="n">
        <f aca="false">IF(BL$4=0,0,IF(COUNTIFS(実績!$W$6:$W$505,BL$3,実績!$AI$6:$AI$505,"&lt;="&amp;$A150,実績!$AJ$6:$AJ$505,"&gt;"&amp;$A150,実績!$AL$6:$AL$505,"○")&gt;0,1,0))</f>
        <v>0</v>
      </c>
      <c r="BM150" s="39" t="n">
        <f aca="false">IF(BM$4=0,0,IF(COUNTIFS(実績!$W$6:$W$505,BM$3,実績!$AI$6:$AI$505,"&lt;="&amp;$A150,実績!$AJ$6:$AJ$505,"&gt;"&amp;$A150,実績!$AL$6:$AL$505,"○")&gt;0,1,0))</f>
        <v>0</v>
      </c>
      <c r="BN150" s="39" t="n">
        <f aca="false">IF(BN$4=0,0,IF(COUNTIFS(実績!$W$6:$W$505,BN$3,実績!$AI$6:$AI$505,"&lt;="&amp;$A150,実績!$AJ$6:$AJ$505,"&gt;"&amp;$A150,実績!$AL$6:$AL$505,"○")&gt;0,1,0))</f>
        <v>0</v>
      </c>
      <c r="BO150" s="39" t="n">
        <f aca="false">IF(BO$4=0,0,IF(COUNTIFS(実績!$W$6:$W$505,BO$3,実績!$AI$6:$AI$505,"&lt;="&amp;$A150,実績!$AJ$6:$AJ$505,"&gt;"&amp;$A150,実績!$AL$6:$AL$505,"○")&gt;0,1,0))</f>
        <v>0</v>
      </c>
      <c r="BP150" s="39" t="n">
        <f aca="false">IF(BP$4=0,0,IF(COUNTIFS(実績!$W$6:$W$505,BP$3,実績!$AI$6:$AI$505,"&lt;="&amp;$A150,実績!$AJ$6:$AJ$505,"&gt;"&amp;$A150,実績!$AL$6:$AL$505,"○")&gt;0,1,0))</f>
        <v>0</v>
      </c>
      <c r="BQ150" s="39" t="n">
        <f aca="false">IF(BQ$4=0,0,IF(COUNTIFS(実績!$W$6:$W$505,BQ$3,実績!$AI$6:$AI$505,"&lt;="&amp;$A150,実績!$AJ$6:$AJ$505,"&gt;"&amp;$A150,実績!$AL$6:$AL$505,"○")&gt;0,1,0))</f>
        <v>0</v>
      </c>
      <c r="BR150" s="39" t="n">
        <f aca="false">IF(BR$4=0,0,IF(COUNTIFS(実績!$W$6:$W$505,BR$3,実績!$AI$6:$AI$505,"&lt;="&amp;$A150,実績!$AJ$6:$AJ$505,"&gt;"&amp;$A150,実績!$AL$6:$AL$505,"○")&gt;0,1,0))</f>
        <v>0</v>
      </c>
      <c r="BS150" s="39" t="n">
        <f aca="false">IF(BS$4=0,0,IF(COUNTIFS(実績!$W$6:$W$505,BS$3,実績!$AI$6:$AI$505,"&lt;="&amp;$A150,実績!$AJ$6:$AJ$505,"&gt;"&amp;$A150,実績!$AL$6:$AL$505,"○")&gt;0,1,0))</f>
        <v>0</v>
      </c>
      <c r="BT150" s="39" t="n">
        <f aca="false">IF(BT$4=0,0,IF(COUNTIFS(実績!$W$6:$W$505,BT$3,実績!$AI$6:$AI$505,"&lt;="&amp;$A150,実績!$AJ$6:$AJ$505,"&gt;"&amp;$A150,実績!$AL$6:$AL$505,"○")&gt;0,1,0))</f>
        <v>0</v>
      </c>
      <c r="BU150" s="39" t="n">
        <f aca="false">IF(BU$4=0,0,IF(COUNTIFS(実績!$W$6:$W$505,BU$3,実績!$AI$6:$AI$505,"&lt;="&amp;$A150,実績!$AJ$6:$AJ$505,"&gt;"&amp;$A150,実績!$AL$6:$AL$505,"○")&gt;0,1,0))</f>
        <v>0</v>
      </c>
      <c r="BV150" s="39" t="n">
        <f aca="false">IF(BV$4=0,0,IF(COUNTIFS(実績!$W$6:$W$505,BV$3,実績!$AI$6:$AI$505,"&lt;="&amp;$A150,実績!$AJ$6:$AJ$505,"&gt;"&amp;$A150,実績!$AL$6:$AL$505,"○")&gt;0,1,0))</f>
        <v>0</v>
      </c>
      <c r="BW150" s="39" t="n">
        <f aca="false">IF(BW$4=0,0,IF(COUNTIFS(実績!$W$6:$W$505,BW$3,実績!$AI$6:$AI$505,"&lt;="&amp;$A150,実績!$AJ$6:$AJ$505,"&gt;"&amp;$A150,実績!$AL$6:$AL$505,"○")&gt;0,1,0))</f>
        <v>0</v>
      </c>
      <c r="BX150" s="39" t="n">
        <f aca="false">IF(BX$4=0,0,IF(COUNTIFS(実績!$W$6:$W$505,BX$3,実績!$AI$6:$AI$505,"&lt;="&amp;$A150,実績!$AJ$6:$AJ$505,"&gt;"&amp;$A150,実績!$AL$6:$AL$505,"○")&gt;0,1,0))</f>
        <v>0</v>
      </c>
      <c r="BY150" s="39" t="n">
        <f aca="false">IF(BY$4=0,0,IF(COUNTIFS(実績!$W$6:$W$505,BY$3,実績!$AI$6:$AI$505,"&lt;="&amp;$A150,実績!$AJ$6:$AJ$505,"&gt;"&amp;$A150,実績!$AL$6:$AL$505,"○")&gt;0,1,0))</f>
        <v>0</v>
      </c>
      <c r="BZ150" s="39" t="n">
        <f aca="false">IF(BZ$4=0,0,IF(COUNTIFS(実績!$W$6:$W$505,BZ$3,実績!$AI$6:$AI$505,"&lt;="&amp;$A150,実績!$AJ$6:$AJ$505,"&gt;"&amp;$A150,実績!$AL$6:$AL$505,"○")&gt;0,1,0))</f>
        <v>0</v>
      </c>
      <c r="CA150" s="39" t="n">
        <f aca="false">IF(CA$4=0,0,IF(COUNTIFS(実績!$W$6:$W$505,CA$3,実績!$AI$6:$AI$505,"&lt;="&amp;$A150,実績!$AJ$6:$AJ$505,"&gt;"&amp;$A150,実績!$AL$6:$AL$505,"○")&gt;0,1,0))</f>
        <v>0</v>
      </c>
      <c r="CB150" s="39" t="n">
        <f aca="false">IF(CB$4=0,0,IF(COUNTIFS(実績!$W$6:$W$505,CB$3,実績!$AI$6:$AI$505,"&lt;="&amp;$A150,実績!$AJ$6:$AJ$505,"&gt;"&amp;$A150,実績!$AL$6:$AL$505,"○")&gt;0,1,0))</f>
        <v>0</v>
      </c>
      <c r="CC150" s="39" t="n">
        <f aca="false">IF(CC$4=0,0,IF(COUNTIFS(実績!$W$6:$W$505,CC$3,実績!$AI$6:$AI$505,"&lt;="&amp;$A150,実績!$AJ$6:$AJ$505,"&gt;"&amp;$A150,実績!$AL$6:$AL$505,"○")&gt;0,1,0))</f>
        <v>0</v>
      </c>
      <c r="CD150" s="39" t="n">
        <f aca="false">IF(CD$4=0,0,IF(COUNTIFS(実績!$W$6:$W$505,CD$3,実績!$AI$6:$AI$505,"&lt;="&amp;$A150,実績!$AJ$6:$AJ$505,"&gt;"&amp;$A150,実績!$AL$6:$AL$505,"○")&gt;0,1,0))</f>
        <v>0</v>
      </c>
      <c r="CE150" s="39" t="n">
        <f aca="false">IF(CE$4=0,0,IF(COUNTIFS(実績!$W$6:$W$505,CE$3,実績!$AI$6:$AI$505,"&lt;="&amp;$A150,実績!$AJ$6:$AJ$505,"&gt;"&amp;$A150,実績!$AL$6:$AL$505,"○")&gt;0,1,0))</f>
        <v>0</v>
      </c>
      <c r="CF150" s="39" t="n">
        <f aca="false">IF(CF$4=0,0,IF(COUNTIFS(実績!$W$6:$W$505,CF$3,実績!$AI$6:$AI$505,"&lt;="&amp;$A150,実績!$AJ$6:$AJ$505,"&gt;"&amp;$A150,実績!$AL$6:$AL$505,"○")&gt;0,1,0))</f>
        <v>0</v>
      </c>
      <c r="CG150" s="39" t="n">
        <f aca="false">IF(CG$4=0,0,IF(COUNTIFS(実績!$W$6:$W$505,CG$3,実績!$AI$6:$AI$505,"&lt;="&amp;$A150,実績!$AJ$6:$AJ$505,"&gt;"&amp;$A150,実績!$AL$6:$AL$505,"○")&gt;0,1,0))</f>
        <v>0</v>
      </c>
      <c r="CH150" s="39" t="n">
        <f aca="false">IF(CH$4=0,0,IF(COUNTIFS(実績!$W$6:$W$505,CH$3,実績!$AI$6:$AI$505,"&lt;="&amp;$A150,実績!$AJ$6:$AJ$505,"&gt;"&amp;$A150,実績!$AL$6:$AL$505,"○")&gt;0,1,0))</f>
        <v>0</v>
      </c>
      <c r="CI150" s="39" t="n">
        <f aca="false">IF(CI$4=0,0,IF(COUNTIFS(実績!$W$6:$W$505,CI$3,実績!$AI$6:$AI$505,"&lt;="&amp;$A150,実績!$AJ$6:$AJ$505,"&gt;"&amp;$A150,実績!$AL$6:$AL$505,"○")&gt;0,1,0))</f>
        <v>0</v>
      </c>
      <c r="CJ150" s="39" t="n">
        <f aca="false">IF(CJ$4=0,0,IF(COUNTIFS(実績!$W$6:$W$505,CJ$3,実績!$AI$6:$AI$505,"&lt;="&amp;$A150,実績!$AJ$6:$AJ$505,"&gt;"&amp;$A150,実績!$AL$6:$AL$505,"○")&gt;0,1,0))</f>
        <v>0</v>
      </c>
      <c r="CK150" s="39" t="n">
        <f aca="false">IF(CK$4=0,0,IF(COUNTIFS(実績!$W$6:$W$505,CK$3,実績!$AI$6:$AI$505,"&lt;="&amp;$A150,実績!$AJ$6:$AJ$505,"&gt;"&amp;$A150,実績!$AL$6:$AL$505,"○")&gt;0,1,0))</f>
        <v>0</v>
      </c>
      <c r="CL150" s="39" t="n">
        <f aca="false">IF(CL$4=0,0,IF(COUNTIFS(実績!$W$6:$W$505,CL$3,実績!$AI$6:$AI$505,"&lt;="&amp;$A150,実績!$AJ$6:$AJ$505,"&gt;"&amp;$A150,実績!$AL$6:$AL$505,"○")&gt;0,1,0))</f>
        <v>0</v>
      </c>
      <c r="CM150" s="39" t="n">
        <f aca="false">IF(CM$4=0,0,IF(COUNTIFS(実績!$W$6:$W$505,CM$3,実績!$AI$6:$AI$505,"&lt;="&amp;$A150,実績!$AJ$6:$AJ$505,"&gt;"&amp;$A150,実績!$AL$6:$AL$505,"○")&gt;0,1,0))</f>
        <v>0</v>
      </c>
      <c r="CN150" s="39" t="n">
        <f aca="false">IF(CN$4=0,0,IF(COUNTIFS(実績!$W$6:$W$505,CN$3,実績!$AI$6:$AI$505,"&lt;="&amp;$A150,実績!$AJ$6:$AJ$505,"&gt;"&amp;$A150,実績!$AL$6:$AL$505,"○")&gt;0,1,0))</f>
        <v>0</v>
      </c>
      <c r="CO150" s="39" t="n">
        <f aca="false">IF(CO$4=0,0,IF(COUNTIFS(実績!$W$6:$W$505,CO$3,実績!$AI$6:$AI$505,"&lt;="&amp;$A150,実績!$AJ$6:$AJ$505,"&gt;"&amp;$A150,実績!$AL$6:$AL$505,"○")&gt;0,1,0))</f>
        <v>0</v>
      </c>
      <c r="CP150" s="39" t="n">
        <f aca="false">IF(CP$4=0,0,IF(COUNTIFS(実績!$W$6:$W$505,CP$3,実績!$AI$6:$AI$505,"&lt;="&amp;$A150,実績!$AJ$6:$AJ$505,"&gt;"&amp;$A150,実績!$AL$6:$AL$505,"○")&gt;0,1,0))</f>
        <v>0</v>
      </c>
      <c r="CQ150" s="39" t="n">
        <f aca="false">IF(CQ$4=0,0,IF(COUNTIFS(実績!$W$6:$W$505,CQ$3,実績!$AI$6:$AI$505,"&lt;="&amp;$A150,実績!$AJ$6:$AJ$505,"&gt;"&amp;$A150,実績!$AL$6:$AL$505,"○")&gt;0,1,0))</f>
        <v>0</v>
      </c>
      <c r="CR150" s="39" t="n">
        <f aca="false">IF(CR$4=0,0,IF(COUNTIFS(実績!$W$6:$W$505,CR$3,実績!$AI$6:$AI$505,"&lt;="&amp;$A150,実績!$AJ$6:$AJ$505,"&gt;"&amp;$A150,実績!$AL$6:$AL$505,"○")&gt;0,1,0))</f>
        <v>0</v>
      </c>
      <c r="CS150" s="39" t="n">
        <f aca="false">IF(CS$4=0,0,IF(COUNTIFS(実績!$W$6:$W$505,CS$3,実績!$AI$6:$AI$505,"&lt;="&amp;$A150,実績!$AJ$6:$AJ$505,"&gt;"&amp;$A150,実績!$AL$6:$AL$505,"○")&gt;0,1,0))</f>
        <v>0</v>
      </c>
      <c r="CT150" s="39" t="n">
        <f aca="false">IF(CT$4=0,0,IF(COUNTIFS(実績!$W$6:$W$505,CT$3,実績!$AI$6:$AI$505,"&lt;="&amp;$A150,実績!$AJ$6:$AJ$505,"&gt;"&amp;$A150,実績!$AL$6:$AL$505,"○")&gt;0,1,0))</f>
        <v>0</v>
      </c>
      <c r="CU150" s="39" t="n">
        <f aca="false">IF(CU$4=0,0,IF(COUNTIFS(実績!$W$6:$W$505,CU$3,実績!$AI$6:$AI$505,"&lt;="&amp;$A150,実績!$AJ$6:$AJ$505,"&gt;"&amp;$A150,実績!$AL$6:$AL$505,"○")&gt;0,1,0))</f>
        <v>0</v>
      </c>
      <c r="CV150" s="39" t="n">
        <f aca="false">IF(CV$4=0,0,IF(COUNTIFS(実績!$W$6:$W$505,CV$3,実績!$AI$6:$AI$505,"&lt;="&amp;$A150,実績!$AJ$6:$AJ$505,"&gt;"&amp;$A150,実績!$AL$6:$AL$505,"○")&gt;0,1,0))</f>
        <v>0</v>
      </c>
      <c r="CW150" s="39" t="n">
        <f aca="false">IF(CW$4=0,0,IF(COUNTIFS(実績!$W$6:$W$505,CW$3,実績!$AI$6:$AI$505,"&lt;="&amp;$A150,実績!$AJ$6:$AJ$505,"&gt;"&amp;$A150,実績!$AL$6:$AL$505,"○")&gt;0,1,0))</f>
        <v>0</v>
      </c>
      <c r="CX150" s="39" t="n">
        <f aca="false">IF(CX$4=0,0,IF(COUNTIFS(実績!$W$6:$W$505,CX$3,実績!$AI$6:$AI$505,"&lt;="&amp;$A150,実績!$AJ$6:$AJ$505,"&gt;"&amp;$A150,実績!$AL$6:$AL$505,"○")&gt;0,1,0))</f>
        <v>0</v>
      </c>
      <c r="CY150" s="39" t="n">
        <f aca="false">IF(CY$4=0,0,IF(COUNTIFS(実績!$W$6:$W$505,CY$3,実績!$AI$6:$AI$505,"&lt;="&amp;$A150,実績!$AJ$6:$AJ$505,"&gt;"&amp;$A150,実績!$AL$6:$AL$505,"○")&gt;0,1,0))</f>
        <v>0</v>
      </c>
      <c r="CZ150" s="39" t="n">
        <f aca="false">IF(CZ$4=0,0,IF(COUNTIFS(実績!$W$6:$W$505,CZ$3,実績!$AI$6:$AI$505,"&lt;="&amp;$A150,実績!$AJ$6:$AJ$505,"&gt;"&amp;$A150,実績!$AL$6:$AL$505,"○")&gt;0,1,0))</f>
        <v>0</v>
      </c>
      <c r="DA150" s="39" t="n">
        <f aca="false">IF(DA$4=0,0,IF(COUNTIFS(実績!$W$6:$W$505,DA$3,実績!$AI$6:$AI$505,"&lt;="&amp;$A150,実績!$AJ$6:$AJ$505,"&gt;"&amp;$A150,実績!$AL$6:$AL$505,"○")&gt;0,1,0))</f>
        <v>0</v>
      </c>
      <c r="DB150" s="39" t="n">
        <f aca="false">IF(DB$4=0,0,IF(COUNTIFS(実績!$W$6:$W$505,DB$3,実績!$AI$6:$AI$505,"&lt;="&amp;$A150,実績!$AJ$6:$AJ$505,"&gt;"&amp;$A150,実績!$AL$6:$AL$505,"○")&gt;0,1,0))</f>
        <v>0</v>
      </c>
      <c r="DC150" s="39" t="n">
        <f aca="false">IF(DC$4=0,0,IF(COUNTIFS(実績!$W$6:$W$505,DC$3,実績!$AI$6:$AI$505,"&lt;="&amp;$A150,実績!$AJ$6:$AJ$505,"&gt;"&amp;$A150,実績!$AL$6:$AL$505,"○")&gt;0,1,0))</f>
        <v>0</v>
      </c>
      <c r="DD150" s="39" t="n">
        <f aca="false">IF(DD$4=0,0,IF(COUNTIFS(実績!$W$6:$W$505,DD$3,実績!$AI$6:$AI$505,"&lt;="&amp;$A150,実績!$AJ$6:$AJ$505,"&gt;"&amp;$A150,実績!$AL$6:$AL$505,"○")&gt;0,1,0))</f>
        <v>0</v>
      </c>
      <c r="DE150" s="39" t="n">
        <f aca="false">IF(DE$4=0,0,IF(COUNTIFS(実績!$W$6:$W$505,DE$3,実績!$AI$6:$AI$505,"&lt;="&amp;$A150,実績!$AJ$6:$AJ$505,"&gt;"&amp;$A150,実績!$AL$6:$AL$505,"○")&gt;0,1,0))</f>
        <v>0</v>
      </c>
      <c r="DF150" s="39" t="n">
        <f aca="false">IF(DF$4=0,0,IF(COUNTIFS(実績!$W$6:$W$505,DF$3,実績!$AI$6:$AI$505,"&lt;="&amp;$A150,実績!$AJ$6:$AJ$505,"&gt;"&amp;$A150,実績!$AL$6:$AL$505,"○")&gt;0,1,0))</f>
        <v>0</v>
      </c>
      <c r="DG150" s="39" t="n">
        <f aca="false">IF(DG$4=0,0,IF(COUNTIFS(実績!$W$6:$W$505,DG$3,実績!$AI$6:$AI$505,"&lt;="&amp;$A150,実績!$AJ$6:$AJ$505,"&gt;"&amp;$A150,実績!$AL$6:$AL$505,"○")&gt;0,1,0))</f>
        <v>0</v>
      </c>
      <c r="DH150" s="39" t="n">
        <f aca="false">IF(DH$4=0,0,IF(COUNTIFS(実績!$W$6:$W$505,DH$3,実績!$AI$6:$AI$505,"&lt;="&amp;$A150,実績!$AJ$6:$AJ$505,"&gt;"&amp;$A150,実績!$AL$6:$AL$505,"○")&gt;0,1,0))</f>
        <v>0</v>
      </c>
      <c r="DI150" s="39" t="n">
        <f aca="false">IF(DI$4=0,0,IF(COUNTIFS(実績!$W$6:$W$505,DI$3,実績!$AI$6:$AI$505,"&lt;="&amp;$A150,実績!$AJ$6:$AJ$505,"&gt;"&amp;$A150,実績!$AL$6:$AL$505,"○")&gt;0,1,0))</f>
        <v>0</v>
      </c>
      <c r="DJ150" s="39" t="n">
        <f aca="false">IF(DJ$4=0,0,IF(COUNTIFS(実績!$W$6:$W$505,DJ$3,実績!$AI$6:$AI$505,"&lt;="&amp;$A150,実績!$AJ$6:$AJ$505,"&gt;"&amp;$A150,実績!$AL$6:$AL$505,"○")&gt;0,1,0))</f>
        <v>0</v>
      </c>
      <c r="DK150" s="39" t="n">
        <f aca="false">IF(DK$4=0,0,IF(COUNTIFS(実績!$W$6:$W$505,DK$3,実績!$AI$6:$AI$505,"&lt;="&amp;$A150,実績!$AJ$6:$AJ$505,"&gt;"&amp;$A150,実績!$AL$6:$AL$505,"○")&gt;0,1,0))</f>
        <v>0</v>
      </c>
      <c r="DL150" s="39" t="n">
        <f aca="false">IF(DL$4=0,0,IF(COUNTIFS(実績!$W$6:$W$505,DL$3,実績!$AI$6:$AI$505,"&lt;="&amp;$A150,実績!$AJ$6:$AJ$505,"&gt;"&amp;$A150,実績!$AL$6:$AL$505,"○")&gt;0,1,0))</f>
        <v>0</v>
      </c>
      <c r="DM150" s="39" t="n">
        <f aca="false">IF(DM$4=0,0,IF(COUNTIFS(実績!$W$6:$W$505,DM$3,実績!$AI$6:$AI$505,"&lt;="&amp;$A150,実績!$AJ$6:$AJ$505,"&gt;"&amp;$A150,実績!$AL$6:$AL$505,"○")&gt;0,1,0))</f>
        <v>0</v>
      </c>
      <c r="DN150" s="39" t="n">
        <f aca="false">IF(DN$4=0,0,IF(COUNTIFS(実績!$W$6:$W$505,DN$3,実績!$AI$6:$AI$505,"&lt;="&amp;$A150,実績!$AJ$6:$AJ$505,"&gt;"&amp;$A150,実績!$AL$6:$AL$505,"○")&gt;0,1,0))</f>
        <v>0</v>
      </c>
      <c r="DO150" s="39" t="n">
        <f aca="false">IF(DO$4=0,0,IF(COUNTIFS(実績!$W$6:$W$505,DO$3,実績!$AI$6:$AI$505,"&lt;="&amp;$A150,実績!$AJ$6:$AJ$505,"&gt;"&amp;$A150,実績!$AL$6:$AL$505,"○")&gt;0,1,0))</f>
        <v>0</v>
      </c>
      <c r="DP150" s="39" t="n">
        <f aca="false">IF(DP$4=0,0,IF(COUNTIFS(実績!$W$6:$W$505,DP$3,実績!$AI$6:$AI$505,"&lt;="&amp;$A150,実績!$AJ$6:$AJ$505,"&gt;"&amp;$A150,実績!$AL$6:$AL$505,"○")&gt;0,1,0))</f>
        <v>0</v>
      </c>
      <c r="DQ150" s="39" t="n">
        <f aca="false">IF(DQ$4=0,0,IF(COUNTIFS(実績!$W$6:$W$505,DQ$3,実績!$AI$6:$AI$505,"&lt;="&amp;$A150,実績!$AJ$6:$AJ$505,"&gt;"&amp;$A150,実績!$AL$6:$AL$505,"○")&gt;0,1,0))</f>
        <v>0</v>
      </c>
      <c r="DR150" s="39" t="n">
        <f aca="false">IF(DR$4=0,0,IF(COUNTIFS(実績!$W$6:$W$505,DR$3,実績!$AI$6:$AI$505,"&lt;="&amp;$A150,実績!$AJ$6:$AJ$505,"&gt;"&amp;$A150,実績!$AL$6:$AL$505,"○")&gt;0,1,0))</f>
        <v>0</v>
      </c>
      <c r="DS150" s="39" t="n">
        <f aca="false">SUM(C150:DR150)</f>
        <v>0</v>
      </c>
    </row>
    <row r="151" customFormat="false" ht="15" hidden="false" customHeight="false" outlineLevel="0" collapsed="false">
      <c r="A151" s="0" t="n">
        <v>725</v>
      </c>
      <c r="B151" s="38" t="n">
        <f aca="false">A151/1440</f>
        <v>0.503472222222222</v>
      </c>
      <c r="C151" s="39" t="n">
        <f aca="false">IF(C$4=0,0,IF(COUNTIFS(実績!$W$6:$W$505,C$3,実績!$AI$6:$AI$505,"&lt;="&amp;$A151,実績!$AJ$6:$AJ$505,"&gt;"&amp;$A151,実績!$AL$6:$AL$505,"○")&gt;0,1,0))</f>
        <v>0</v>
      </c>
      <c r="D151" s="39" t="n">
        <f aca="false">IF(D$4=0,0,IF(COUNTIFS(実績!$W$6:$W$505,D$3,実績!$AI$6:$AI$505,"&lt;="&amp;$A151,実績!$AJ$6:$AJ$505,"&gt;"&amp;$A151,実績!$AL$6:$AL$505,"○")&gt;0,1,0))</f>
        <v>0</v>
      </c>
      <c r="E151" s="39" t="n">
        <f aca="false">IF(E$4=0,0,IF(COUNTIFS(実績!$W$6:$W$505,E$3,実績!$AI$6:$AI$505,"&lt;="&amp;$A151,実績!$AJ$6:$AJ$505,"&gt;"&amp;$A151,実績!$AL$6:$AL$505,"○")&gt;0,1,0))</f>
        <v>0</v>
      </c>
      <c r="F151" s="39" t="n">
        <f aca="false">IF(F$4=0,0,IF(COUNTIFS(実績!$W$6:$W$505,F$3,実績!$AI$6:$AI$505,"&lt;="&amp;$A151,実績!$AJ$6:$AJ$505,"&gt;"&amp;$A151,実績!$AL$6:$AL$505,"○")&gt;0,1,0))</f>
        <v>0</v>
      </c>
      <c r="G151" s="39" t="n">
        <f aca="false">IF(G$4=0,0,IF(COUNTIFS(実績!$W$6:$W$505,G$3,実績!$AI$6:$AI$505,"&lt;="&amp;$A151,実績!$AJ$6:$AJ$505,"&gt;"&amp;$A151,実績!$AL$6:$AL$505,"○")&gt;0,1,0))</f>
        <v>0</v>
      </c>
      <c r="H151" s="39" t="n">
        <f aca="false">IF(H$4=0,0,IF(COUNTIFS(実績!$W$6:$W$505,H$3,実績!$AI$6:$AI$505,"&lt;="&amp;$A151,実績!$AJ$6:$AJ$505,"&gt;"&amp;$A151,実績!$AL$6:$AL$505,"○")&gt;0,1,0))</f>
        <v>0</v>
      </c>
      <c r="I151" s="39" t="n">
        <f aca="false">IF(I$4=0,0,IF(COUNTIFS(実績!$W$6:$W$505,I$3,実績!$AI$6:$AI$505,"&lt;="&amp;$A151,実績!$AJ$6:$AJ$505,"&gt;"&amp;$A151,実績!$AL$6:$AL$505,"○")&gt;0,1,0))</f>
        <v>0</v>
      </c>
      <c r="J151" s="39" t="n">
        <f aca="false">IF(J$4=0,0,IF(COUNTIFS(実績!$W$6:$W$505,J$3,実績!$AI$6:$AI$505,"&lt;="&amp;$A151,実績!$AJ$6:$AJ$505,"&gt;"&amp;$A151,実績!$AL$6:$AL$505,"○")&gt;0,1,0))</f>
        <v>0</v>
      </c>
      <c r="K151" s="39" t="n">
        <f aca="false">IF(K$4=0,0,IF(COUNTIFS(実績!$W$6:$W$505,K$3,実績!$AI$6:$AI$505,"&lt;="&amp;$A151,実績!$AJ$6:$AJ$505,"&gt;"&amp;$A151,実績!$AL$6:$AL$505,"○")&gt;0,1,0))</f>
        <v>0</v>
      </c>
      <c r="L151" s="39" t="n">
        <f aca="false">IF(L$4=0,0,IF(COUNTIFS(実績!$W$6:$W$505,L$3,実績!$AI$6:$AI$505,"&lt;="&amp;$A151,実績!$AJ$6:$AJ$505,"&gt;"&amp;$A151,実績!$AL$6:$AL$505,"○")&gt;0,1,0))</f>
        <v>0</v>
      </c>
      <c r="M151" s="39" t="n">
        <f aca="false">IF(M$4=0,0,IF(COUNTIFS(実績!$W$6:$W$505,M$3,実績!$AI$6:$AI$505,"&lt;="&amp;$A151,実績!$AJ$6:$AJ$505,"&gt;"&amp;$A151,実績!$AL$6:$AL$505,"○")&gt;0,1,0))</f>
        <v>0</v>
      </c>
      <c r="N151" s="39" t="n">
        <f aca="false">IF(N$4=0,0,IF(COUNTIFS(実績!$W$6:$W$505,N$3,実績!$AI$6:$AI$505,"&lt;="&amp;$A151,実績!$AJ$6:$AJ$505,"&gt;"&amp;$A151,実績!$AL$6:$AL$505,"○")&gt;0,1,0))</f>
        <v>0</v>
      </c>
      <c r="O151" s="39" t="n">
        <f aca="false">IF(O$4=0,0,IF(COUNTIFS(実績!$W$6:$W$505,O$3,実績!$AI$6:$AI$505,"&lt;="&amp;$A151,実績!$AJ$6:$AJ$505,"&gt;"&amp;$A151,実績!$AL$6:$AL$505,"○")&gt;0,1,0))</f>
        <v>0</v>
      </c>
      <c r="P151" s="39" t="n">
        <f aca="false">IF(P$4=0,0,IF(COUNTIFS(実績!$W$6:$W$505,P$3,実績!$AI$6:$AI$505,"&lt;="&amp;$A151,実績!$AJ$6:$AJ$505,"&gt;"&amp;$A151,実績!$AL$6:$AL$505,"○")&gt;0,1,0))</f>
        <v>0</v>
      </c>
      <c r="Q151" s="39" t="n">
        <f aca="false">IF(Q$4=0,0,IF(COUNTIFS(実績!$W$6:$W$505,Q$3,実績!$AI$6:$AI$505,"&lt;="&amp;$A151,実績!$AJ$6:$AJ$505,"&gt;"&amp;$A151,実績!$AL$6:$AL$505,"○")&gt;0,1,0))</f>
        <v>0</v>
      </c>
      <c r="R151" s="39" t="n">
        <f aca="false">IF(R$4=0,0,IF(COUNTIFS(実績!$W$6:$W$505,R$3,実績!$AI$6:$AI$505,"&lt;="&amp;$A151,実績!$AJ$6:$AJ$505,"&gt;"&amp;$A151,実績!$AL$6:$AL$505,"○")&gt;0,1,0))</f>
        <v>0</v>
      </c>
      <c r="S151" s="39" t="n">
        <f aca="false">IF(S$4=0,0,IF(COUNTIFS(実績!$W$6:$W$505,S$3,実績!$AI$6:$AI$505,"&lt;="&amp;$A151,実績!$AJ$6:$AJ$505,"&gt;"&amp;$A151,実績!$AL$6:$AL$505,"○")&gt;0,1,0))</f>
        <v>0</v>
      </c>
      <c r="T151" s="39" t="n">
        <f aca="false">IF(T$4=0,0,IF(COUNTIFS(実績!$W$6:$W$505,T$3,実績!$AI$6:$AI$505,"&lt;="&amp;$A151,実績!$AJ$6:$AJ$505,"&gt;"&amp;$A151,実績!$AL$6:$AL$505,"○")&gt;0,1,0))</f>
        <v>0</v>
      </c>
      <c r="U151" s="39" t="n">
        <f aca="false">IF(U$4=0,0,IF(COUNTIFS(実績!$W$6:$W$505,U$3,実績!$AI$6:$AI$505,"&lt;="&amp;$A151,実績!$AJ$6:$AJ$505,"&gt;"&amp;$A151,実績!$AL$6:$AL$505,"○")&gt;0,1,0))</f>
        <v>0</v>
      </c>
      <c r="V151" s="39" t="n">
        <f aca="false">IF(V$4=0,0,IF(COUNTIFS(実績!$W$6:$W$505,V$3,実績!$AI$6:$AI$505,"&lt;="&amp;$A151,実績!$AJ$6:$AJ$505,"&gt;"&amp;$A151,実績!$AL$6:$AL$505,"○")&gt;0,1,0))</f>
        <v>0</v>
      </c>
      <c r="W151" s="39" t="n">
        <f aca="false">IF(W$4=0,0,IF(COUNTIFS(実績!$W$6:$W$505,W$3,実績!$AI$6:$AI$505,"&lt;="&amp;$A151,実績!$AJ$6:$AJ$505,"&gt;"&amp;$A151,実績!$AL$6:$AL$505,"○")&gt;0,1,0))</f>
        <v>0</v>
      </c>
      <c r="X151" s="39" t="n">
        <f aca="false">IF(X$4=0,0,IF(COUNTIFS(実績!$W$6:$W$505,X$3,実績!$AI$6:$AI$505,"&lt;="&amp;$A151,実績!$AJ$6:$AJ$505,"&gt;"&amp;$A151,実績!$AL$6:$AL$505,"○")&gt;0,1,0))</f>
        <v>0</v>
      </c>
      <c r="Y151" s="39" t="n">
        <f aca="false">IF(Y$4=0,0,IF(COUNTIFS(実績!$W$6:$W$505,Y$3,実績!$AI$6:$AI$505,"&lt;="&amp;$A151,実績!$AJ$6:$AJ$505,"&gt;"&amp;$A151,実績!$AL$6:$AL$505,"○")&gt;0,1,0))</f>
        <v>0</v>
      </c>
      <c r="Z151" s="39" t="n">
        <f aca="false">IF(Z$4=0,0,IF(COUNTIFS(実績!$W$6:$W$505,Z$3,実績!$AI$6:$AI$505,"&lt;="&amp;$A151,実績!$AJ$6:$AJ$505,"&gt;"&amp;$A151,実績!$AL$6:$AL$505,"○")&gt;0,1,0))</f>
        <v>0</v>
      </c>
      <c r="AA151" s="39" t="n">
        <f aca="false">IF(AA$4=0,0,IF(COUNTIFS(実績!$W$6:$W$505,AA$3,実績!$AI$6:$AI$505,"&lt;="&amp;$A151,実績!$AJ$6:$AJ$505,"&gt;"&amp;$A151,実績!$AL$6:$AL$505,"○")&gt;0,1,0))</f>
        <v>0</v>
      </c>
      <c r="AB151" s="39" t="n">
        <f aca="false">IF(AB$4=0,0,IF(COUNTIFS(実績!$W$6:$W$505,AB$3,実績!$AI$6:$AI$505,"&lt;="&amp;$A151,実績!$AJ$6:$AJ$505,"&gt;"&amp;$A151,実績!$AL$6:$AL$505,"○")&gt;0,1,0))</f>
        <v>0</v>
      </c>
      <c r="AC151" s="39" t="n">
        <f aca="false">IF(AC$4=0,0,IF(COUNTIFS(実績!$W$6:$W$505,AC$3,実績!$AI$6:$AI$505,"&lt;="&amp;$A151,実績!$AJ$6:$AJ$505,"&gt;"&amp;$A151,実績!$AL$6:$AL$505,"○")&gt;0,1,0))</f>
        <v>0</v>
      </c>
      <c r="AD151" s="39" t="n">
        <f aca="false">IF(AD$4=0,0,IF(COUNTIFS(実績!$W$6:$W$505,AD$3,実績!$AI$6:$AI$505,"&lt;="&amp;$A151,実績!$AJ$6:$AJ$505,"&gt;"&amp;$A151,実績!$AL$6:$AL$505,"○")&gt;0,1,0))</f>
        <v>0</v>
      </c>
      <c r="AE151" s="39" t="n">
        <f aca="false">IF(AE$4=0,0,IF(COUNTIFS(実績!$W$6:$W$505,AE$3,実績!$AI$6:$AI$505,"&lt;="&amp;$A151,実績!$AJ$6:$AJ$505,"&gt;"&amp;$A151,実績!$AL$6:$AL$505,"○")&gt;0,1,0))</f>
        <v>0</v>
      </c>
      <c r="AF151" s="39" t="n">
        <f aca="false">IF(AF$4=0,0,IF(COUNTIFS(実績!$W$6:$W$505,AF$3,実績!$AI$6:$AI$505,"&lt;="&amp;$A151,実績!$AJ$6:$AJ$505,"&gt;"&amp;$A151,実績!$AL$6:$AL$505,"○")&gt;0,1,0))</f>
        <v>0</v>
      </c>
      <c r="AG151" s="39" t="n">
        <f aca="false">IF(AG$4=0,0,IF(COUNTIFS(実績!$W$6:$W$505,AG$3,実績!$AI$6:$AI$505,"&lt;="&amp;$A151,実績!$AJ$6:$AJ$505,"&gt;"&amp;$A151,実績!$AL$6:$AL$505,"○")&gt;0,1,0))</f>
        <v>0</v>
      </c>
      <c r="AH151" s="39" t="n">
        <f aca="false">IF(AH$4=0,0,IF(COUNTIFS(実績!$W$6:$W$505,AH$3,実績!$AI$6:$AI$505,"&lt;="&amp;$A151,実績!$AJ$6:$AJ$505,"&gt;"&amp;$A151,実績!$AL$6:$AL$505,"○")&gt;0,1,0))</f>
        <v>0</v>
      </c>
      <c r="AI151" s="39" t="n">
        <f aca="false">IF(AI$4=0,0,IF(COUNTIFS(実績!$W$6:$W$505,AI$3,実績!$AI$6:$AI$505,"&lt;="&amp;$A151,実績!$AJ$6:$AJ$505,"&gt;"&amp;$A151,実績!$AL$6:$AL$505,"○")&gt;0,1,0))</f>
        <v>0</v>
      </c>
      <c r="AJ151" s="39" t="n">
        <f aca="false">IF(AJ$4=0,0,IF(COUNTIFS(実績!$W$6:$W$505,AJ$3,実績!$AI$6:$AI$505,"&lt;="&amp;$A151,実績!$AJ$6:$AJ$505,"&gt;"&amp;$A151,実績!$AL$6:$AL$505,"○")&gt;0,1,0))</f>
        <v>0</v>
      </c>
      <c r="AK151" s="39" t="n">
        <f aca="false">IF(AK$4=0,0,IF(COUNTIFS(実績!$W$6:$W$505,AK$3,実績!$AI$6:$AI$505,"&lt;="&amp;$A151,実績!$AJ$6:$AJ$505,"&gt;"&amp;$A151,実績!$AL$6:$AL$505,"○")&gt;0,1,0))</f>
        <v>0</v>
      </c>
      <c r="AL151" s="39" t="n">
        <f aca="false">IF(AL$4=0,0,IF(COUNTIFS(実績!$W$6:$W$505,AL$3,実績!$AI$6:$AI$505,"&lt;="&amp;$A151,実績!$AJ$6:$AJ$505,"&gt;"&amp;$A151,実績!$AL$6:$AL$505,"○")&gt;0,1,0))</f>
        <v>0</v>
      </c>
      <c r="AM151" s="39" t="n">
        <f aca="false">IF(AM$4=0,0,IF(COUNTIFS(実績!$W$6:$W$505,AM$3,実績!$AI$6:$AI$505,"&lt;="&amp;$A151,実績!$AJ$6:$AJ$505,"&gt;"&amp;$A151,実績!$AL$6:$AL$505,"○")&gt;0,1,0))</f>
        <v>0</v>
      </c>
      <c r="AN151" s="39" t="n">
        <f aca="false">IF(AN$4=0,0,IF(COUNTIFS(実績!$W$6:$W$505,AN$3,実績!$AI$6:$AI$505,"&lt;="&amp;$A151,実績!$AJ$6:$AJ$505,"&gt;"&amp;$A151,実績!$AL$6:$AL$505,"○")&gt;0,1,0))</f>
        <v>0</v>
      </c>
      <c r="AO151" s="39" t="n">
        <f aca="false">IF(AO$4=0,0,IF(COUNTIFS(実績!$W$6:$W$505,AO$3,実績!$AI$6:$AI$505,"&lt;="&amp;$A151,実績!$AJ$6:$AJ$505,"&gt;"&amp;$A151,実績!$AL$6:$AL$505,"○")&gt;0,1,0))</f>
        <v>0</v>
      </c>
      <c r="AP151" s="39" t="n">
        <f aca="false">IF(AP$4=0,0,IF(COUNTIFS(実績!$W$6:$W$505,AP$3,実績!$AI$6:$AI$505,"&lt;="&amp;$A151,実績!$AJ$6:$AJ$505,"&gt;"&amp;$A151,実績!$AL$6:$AL$505,"○")&gt;0,1,0))</f>
        <v>0</v>
      </c>
      <c r="AQ151" s="39" t="n">
        <f aca="false">IF(AQ$4=0,0,IF(COUNTIFS(実績!$W$6:$W$505,AQ$3,実績!$AI$6:$AI$505,"&lt;="&amp;$A151,実績!$AJ$6:$AJ$505,"&gt;"&amp;$A151,実績!$AL$6:$AL$505,"○")&gt;0,1,0))</f>
        <v>0</v>
      </c>
      <c r="AR151" s="39" t="n">
        <f aca="false">IF(AR$4=0,0,IF(COUNTIFS(実績!$W$6:$W$505,AR$3,実績!$AI$6:$AI$505,"&lt;="&amp;$A151,実績!$AJ$6:$AJ$505,"&gt;"&amp;$A151,実績!$AL$6:$AL$505,"○")&gt;0,1,0))</f>
        <v>0</v>
      </c>
      <c r="AS151" s="39" t="n">
        <f aca="false">IF(AS$4=0,0,IF(COUNTIFS(実績!$W$6:$W$505,AS$3,実績!$AI$6:$AI$505,"&lt;="&amp;$A151,実績!$AJ$6:$AJ$505,"&gt;"&amp;$A151,実績!$AL$6:$AL$505,"○")&gt;0,1,0))</f>
        <v>0</v>
      </c>
      <c r="AT151" s="39" t="n">
        <f aca="false">IF(AT$4=0,0,IF(COUNTIFS(実績!$W$6:$W$505,AT$3,実績!$AI$6:$AI$505,"&lt;="&amp;$A151,実績!$AJ$6:$AJ$505,"&gt;"&amp;$A151,実績!$AL$6:$AL$505,"○")&gt;0,1,0))</f>
        <v>0</v>
      </c>
      <c r="AU151" s="39" t="n">
        <f aca="false">IF(AU$4=0,0,IF(COUNTIFS(実績!$W$6:$W$505,AU$3,実績!$AI$6:$AI$505,"&lt;="&amp;$A151,実績!$AJ$6:$AJ$505,"&gt;"&amp;$A151,実績!$AL$6:$AL$505,"○")&gt;0,1,0))</f>
        <v>0</v>
      </c>
      <c r="AV151" s="39" t="n">
        <f aca="false">IF(AV$4=0,0,IF(COUNTIFS(実績!$W$6:$W$505,AV$3,実績!$AI$6:$AI$505,"&lt;="&amp;$A151,実績!$AJ$6:$AJ$505,"&gt;"&amp;$A151,実績!$AL$6:$AL$505,"○")&gt;0,1,0))</f>
        <v>0</v>
      </c>
      <c r="AW151" s="39" t="n">
        <f aca="false">IF(AW$4=0,0,IF(COUNTIFS(実績!$W$6:$W$505,AW$3,実績!$AI$6:$AI$505,"&lt;="&amp;$A151,実績!$AJ$6:$AJ$505,"&gt;"&amp;$A151,実績!$AL$6:$AL$505,"○")&gt;0,1,0))</f>
        <v>0</v>
      </c>
      <c r="AX151" s="39" t="n">
        <f aca="false">IF(AX$4=0,0,IF(COUNTIFS(実績!$W$6:$W$505,AX$3,実績!$AI$6:$AI$505,"&lt;="&amp;$A151,実績!$AJ$6:$AJ$505,"&gt;"&amp;$A151,実績!$AL$6:$AL$505,"○")&gt;0,1,0))</f>
        <v>0</v>
      </c>
      <c r="AY151" s="39" t="n">
        <f aca="false">IF(AY$4=0,0,IF(COUNTIFS(実績!$W$6:$W$505,AY$3,実績!$AI$6:$AI$505,"&lt;="&amp;$A151,実績!$AJ$6:$AJ$505,"&gt;"&amp;$A151,実績!$AL$6:$AL$505,"○")&gt;0,1,0))</f>
        <v>0</v>
      </c>
      <c r="AZ151" s="39" t="n">
        <f aca="false">IF(AZ$4=0,0,IF(COUNTIFS(実績!$W$6:$W$505,AZ$3,実績!$AI$6:$AI$505,"&lt;="&amp;$A151,実績!$AJ$6:$AJ$505,"&gt;"&amp;$A151,実績!$AL$6:$AL$505,"○")&gt;0,1,0))</f>
        <v>0</v>
      </c>
      <c r="BA151" s="39" t="n">
        <f aca="false">IF(BA$4=0,0,IF(COUNTIFS(実績!$W$6:$W$505,BA$3,実績!$AI$6:$AI$505,"&lt;="&amp;$A151,実績!$AJ$6:$AJ$505,"&gt;"&amp;$A151,実績!$AL$6:$AL$505,"○")&gt;0,1,0))</f>
        <v>0</v>
      </c>
      <c r="BB151" s="39" t="n">
        <f aca="false">IF(BB$4=0,0,IF(COUNTIFS(実績!$W$6:$W$505,BB$3,実績!$AI$6:$AI$505,"&lt;="&amp;$A151,実績!$AJ$6:$AJ$505,"&gt;"&amp;$A151,実績!$AL$6:$AL$505,"○")&gt;0,1,0))</f>
        <v>0</v>
      </c>
      <c r="BC151" s="39" t="n">
        <f aca="false">IF(BC$4=0,0,IF(COUNTIFS(実績!$W$6:$W$505,BC$3,実績!$AI$6:$AI$505,"&lt;="&amp;$A151,実績!$AJ$6:$AJ$505,"&gt;"&amp;$A151,実績!$AL$6:$AL$505,"○")&gt;0,1,0))</f>
        <v>0</v>
      </c>
      <c r="BD151" s="39" t="n">
        <f aca="false">IF(BD$4=0,0,IF(COUNTIFS(実績!$W$6:$W$505,BD$3,実績!$AI$6:$AI$505,"&lt;="&amp;$A151,実績!$AJ$6:$AJ$505,"&gt;"&amp;$A151,実績!$AL$6:$AL$505,"○")&gt;0,1,0))</f>
        <v>0</v>
      </c>
      <c r="BE151" s="39" t="n">
        <f aca="false">IF(BE$4=0,0,IF(COUNTIFS(実績!$W$6:$W$505,BE$3,実績!$AI$6:$AI$505,"&lt;="&amp;$A151,実績!$AJ$6:$AJ$505,"&gt;"&amp;$A151,実績!$AL$6:$AL$505,"○")&gt;0,1,0))</f>
        <v>0</v>
      </c>
      <c r="BF151" s="39" t="n">
        <f aca="false">IF(BF$4=0,0,IF(COUNTIFS(実績!$W$6:$W$505,BF$3,実績!$AI$6:$AI$505,"&lt;="&amp;$A151,実績!$AJ$6:$AJ$505,"&gt;"&amp;$A151,実績!$AL$6:$AL$505,"○")&gt;0,1,0))</f>
        <v>0</v>
      </c>
      <c r="BG151" s="39" t="n">
        <f aca="false">IF(BG$4=0,0,IF(COUNTIFS(実績!$W$6:$W$505,BG$3,実績!$AI$6:$AI$505,"&lt;="&amp;$A151,実績!$AJ$6:$AJ$505,"&gt;"&amp;$A151,実績!$AL$6:$AL$505,"○")&gt;0,1,0))</f>
        <v>0</v>
      </c>
      <c r="BH151" s="39" t="n">
        <f aca="false">IF(BH$4=0,0,IF(COUNTIFS(実績!$W$6:$W$505,BH$3,実績!$AI$6:$AI$505,"&lt;="&amp;$A151,実績!$AJ$6:$AJ$505,"&gt;"&amp;$A151,実績!$AL$6:$AL$505,"○")&gt;0,1,0))</f>
        <v>0</v>
      </c>
      <c r="BI151" s="39" t="n">
        <f aca="false">IF(BI$4=0,0,IF(COUNTIFS(実績!$W$6:$W$505,BI$3,実績!$AI$6:$AI$505,"&lt;="&amp;$A151,実績!$AJ$6:$AJ$505,"&gt;"&amp;$A151,実績!$AL$6:$AL$505,"○")&gt;0,1,0))</f>
        <v>0</v>
      </c>
      <c r="BJ151" s="39" t="n">
        <f aca="false">IF(BJ$4=0,0,IF(COUNTIFS(実績!$W$6:$W$505,BJ$3,実績!$AI$6:$AI$505,"&lt;="&amp;$A151,実績!$AJ$6:$AJ$505,"&gt;"&amp;$A151,実績!$AL$6:$AL$505,"○")&gt;0,1,0))</f>
        <v>0</v>
      </c>
      <c r="BK151" s="39" t="n">
        <f aca="false">IF(BK$4=0,0,IF(COUNTIFS(実績!$W$6:$W$505,BK$3,実績!$AI$6:$AI$505,"&lt;="&amp;$A151,実績!$AJ$6:$AJ$505,"&gt;"&amp;$A151,実績!$AL$6:$AL$505,"○")&gt;0,1,0))</f>
        <v>0</v>
      </c>
      <c r="BL151" s="39" t="n">
        <f aca="false">IF(BL$4=0,0,IF(COUNTIFS(実績!$W$6:$W$505,BL$3,実績!$AI$6:$AI$505,"&lt;="&amp;$A151,実績!$AJ$6:$AJ$505,"&gt;"&amp;$A151,実績!$AL$6:$AL$505,"○")&gt;0,1,0))</f>
        <v>0</v>
      </c>
      <c r="BM151" s="39" t="n">
        <f aca="false">IF(BM$4=0,0,IF(COUNTIFS(実績!$W$6:$W$505,BM$3,実績!$AI$6:$AI$505,"&lt;="&amp;$A151,実績!$AJ$6:$AJ$505,"&gt;"&amp;$A151,実績!$AL$6:$AL$505,"○")&gt;0,1,0))</f>
        <v>0</v>
      </c>
      <c r="BN151" s="39" t="n">
        <f aca="false">IF(BN$4=0,0,IF(COUNTIFS(実績!$W$6:$W$505,BN$3,実績!$AI$6:$AI$505,"&lt;="&amp;$A151,実績!$AJ$6:$AJ$505,"&gt;"&amp;$A151,実績!$AL$6:$AL$505,"○")&gt;0,1,0))</f>
        <v>0</v>
      </c>
      <c r="BO151" s="39" t="n">
        <f aca="false">IF(BO$4=0,0,IF(COUNTIFS(実績!$W$6:$W$505,BO$3,実績!$AI$6:$AI$505,"&lt;="&amp;$A151,実績!$AJ$6:$AJ$505,"&gt;"&amp;$A151,実績!$AL$6:$AL$505,"○")&gt;0,1,0))</f>
        <v>0</v>
      </c>
      <c r="BP151" s="39" t="n">
        <f aca="false">IF(BP$4=0,0,IF(COUNTIFS(実績!$W$6:$W$505,BP$3,実績!$AI$6:$AI$505,"&lt;="&amp;$A151,実績!$AJ$6:$AJ$505,"&gt;"&amp;$A151,実績!$AL$6:$AL$505,"○")&gt;0,1,0))</f>
        <v>0</v>
      </c>
      <c r="BQ151" s="39" t="n">
        <f aca="false">IF(BQ$4=0,0,IF(COUNTIFS(実績!$W$6:$W$505,BQ$3,実績!$AI$6:$AI$505,"&lt;="&amp;$A151,実績!$AJ$6:$AJ$505,"&gt;"&amp;$A151,実績!$AL$6:$AL$505,"○")&gt;0,1,0))</f>
        <v>0</v>
      </c>
      <c r="BR151" s="39" t="n">
        <f aca="false">IF(BR$4=0,0,IF(COUNTIFS(実績!$W$6:$W$505,BR$3,実績!$AI$6:$AI$505,"&lt;="&amp;$A151,実績!$AJ$6:$AJ$505,"&gt;"&amp;$A151,実績!$AL$6:$AL$505,"○")&gt;0,1,0))</f>
        <v>0</v>
      </c>
      <c r="BS151" s="39" t="n">
        <f aca="false">IF(BS$4=0,0,IF(COUNTIFS(実績!$W$6:$W$505,BS$3,実績!$AI$6:$AI$505,"&lt;="&amp;$A151,実績!$AJ$6:$AJ$505,"&gt;"&amp;$A151,実績!$AL$6:$AL$505,"○")&gt;0,1,0))</f>
        <v>0</v>
      </c>
      <c r="BT151" s="39" t="n">
        <f aca="false">IF(BT$4=0,0,IF(COUNTIFS(実績!$W$6:$W$505,BT$3,実績!$AI$6:$AI$505,"&lt;="&amp;$A151,実績!$AJ$6:$AJ$505,"&gt;"&amp;$A151,実績!$AL$6:$AL$505,"○")&gt;0,1,0))</f>
        <v>0</v>
      </c>
      <c r="BU151" s="39" t="n">
        <f aca="false">IF(BU$4=0,0,IF(COUNTIFS(実績!$W$6:$W$505,BU$3,実績!$AI$6:$AI$505,"&lt;="&amp;$A151,実績!$AJ$6:$AJ$505,"&gt;"&amp;$A151,実績!$AL$6:$AL$505,"○")&gt;0,1,0))</f>
        <v>0</v>
      </c>
      <c r="BV151" s="39" t="n">
        <f aca="false">IF(BV$4=0,0,IF(COUNTIFS(実績!$W$6:$W$505,BV$3,実績!$AI$6:$AI$505,"&lt;="&amp;$A151,実績!$AJ$6:$AJ$505,"&gt;"&amp;$A151,実績!$AL$6:$AL$505,"○")&gt;0,1,0))</f>
        <v>0</v>
      </c>
      <c r="BW151" s="39" t="n">
        <f aca="false">IF(BW$4=0,0,IF(COUNTIFS(実績!$W$6:$W$505,BW$3,実績!$AI$6:$AI$505,"&lt;="&amp;$A151,実績!$AJ$6:$AJ$505,"&gt;"&amp;$A151,実績!$AL$6:$AL$505,"○")&gt;0,1,0))</f>
        <v>0</v>
      </c>
      <c r="BX151" s="39" t="n">
        <f aca="false">IF(BX$4=0,0,IF(COUNTIFS(実績!$W$6:$W$505,BX$3,実績!$AI$6:$AI$505,"&lt;="&amp;$A151,実績!$AJ$6:$AJ$505,"&gt;"&amp;$A151,実績!$AL$6:$AL$505,"○")&gt;0,1,0))</f>
        <v>0</v>
      </c>
      <c r="BY151" s="39" t="n">
        <f aca="false">IF(BY$4=0,0,IF(COUNTIFS(実績!$W$6:$W$505,BY$3,実績!$AI$6:$AI$505,"&lt;="&amp;$A151,実績!$AJ$6:$AJ$505,"&gt;"&amp;$A151,実績!$AL$6:$AL$505,"○")&gt;0,1,0))</f>
        <v>0</v>
      </c>
      <c r="BZ151" s="39" t="n">
        <f aca="false">IF(BZ$4=0,0,IF(COUNTIFS(実績!$W$6:$W$505,BZ$3,実績!$AI$6:$AI$505,"&lt;="&amp;$A151,実績!$AJ$6:$AJ$505,"&gt;"&amp;$A151,実績!$AL$6:$AL$505,"○")&gt;0,1,0))</f>
        <v>0</v>
      </c>
      <c r="CA151" s="39" t="n">
        <f aca="false">IF(CA$4=0,0,IF(COUNTIFS(実績!$W$6:$W$505,CA$3,実績!$AI$6:$AI$505,"&lt;="&amp;$A151,実績!$AJ$6:$AJ$505,"&gt;"&amp;$A151,実績!$AL$6:$AL$505,"○")&gt;0,1,0))</f>
        <v>0</v>
      </c>
      <c r="CB151" s="39" t="n">
        <f aca="false">IF(CB$4=0,0,IF(COUNTIFS(実績!$W$6:$W$505,CB$3,実績!$AI$6:$AI$505,"&lt;="&amp;$A151,実績!$AJ$6:$AJ$505,"&gt;"&amp;$A151,実績!$AL$6:$AL$505,"○")&gt;0,1,0))</f>
        <v>0</v>
      </c>
      <c r="CC151" s="39" t="n">
        <f aca="false">IF(CC$4=0,0,IF(COUNTIFS(実績!$W$6:$W$505,CC$3,実績!$AI$6:$AI$505,"&lt;="&amp;$A151,実績!$AJ$6:$AJ$505,"&gt;"&amp;$A151,実績!$AL$6:$AL$505,"○")&gt;0,1,0))</f>
        <v>0</v>
      </c>
      <c r="CD151" s="39" t="n">
        <f aca="false">IF(CD$4=0,0,IF(COUNTIFS(実績!$W$6:$W$505,CD$3,実績!$AI$6:$AI$505,"&lt;="&amp;$A151,実績!$AJ$6:$AJ$505,"&gt;"&amp;$A151,実績!$AL$6:$AL$505,"○")&gt;0,1,0))</f>
        <v>0</v>
      </c>
      <c r="CE151" s="39" t="n">
        <f aca="false">IF(CE$4=0,0,IF(COUNTIFS(実績!$W$6:$W$505,CE$3,実績!$AI$6:$AI$505,"&lt;="&amp;$A151,実績!$AJ$6:$AJ$505,"&gt;"&amp;$A151,実績!$AL$6:$AL$505,"○")&gt;0,1,0))</f>
        <v>0</v>
      </c>
      <c r="CF151" s="39" t="n">
        <f aca="false">IF(CF$4=0,0,IF(COUNTIFS(実績!$W$6:$W$505,CF$3,実績!$AI$6:$AI$505,"&lt;="&amp;$A151,実績!$AJ$6:$AJ$505,"&gt;"&amp;$A151,実績!$AL$6:$AL$505,"○")&gt;0,1,0))</f>
        <v>0</v>
      </c>
      <c r="CG151" s="39" t="n">
        <f aca="false">IF(CG$4=0,0,IF(COUNTIFS(実績!$W$6:$W$505,CG$3,実績!$AI$6:$AI$505,"&lt;="&amp;$A151,実績!$AJ$6:$AJ$505,"&gt;"&amp;$A151,実績!$AL$6:$AL$505,"○")&gt;0,1,0))</f>
        <v>0</v>
      </c>
      <c r="CH151" s="39" t="n">
        <f aca="false">IF(CH$4=0,0,IF(COUNTIFS(実績!$W$6:$W$505,CH$3,実績!$AI$6:$AI$505,"&lt;="&amp;$A151,実績!$AJ$6:$AJ$505,"&gt;"&amp;$A151,実績!$AL$6:$AL$505,"○")&gt;0,1,0))</f>
        <v>0</v>
      </c>
      <c r="CI151" s="39" t="n">
        <f aca="false">IF(CI$4=0,0,IF(COUNTIFS(実績!$W$6:$W$505,CI$3,実績!$AI$6:$AI$505,"&lt;="&amp;$A151,実績!$AJ$6:$AJ$505,"&gt;"&amp;$A151,実績!$AL$6:$AL$505,"○")&gt;0,1,0))</f>
        <v>0</v>
      </c>
      <c r="CJ151" s="39" t="n">
        <f aca="false">IF(CJ$4=0,0,IF(COUNTIFS(実績!$W$6:$W$505,CJ$3,実績!$AI$6:$AI$505,"&lt;="&amp;$A151,実績!$AJ$6:$AJ$505,"&gt;"&amp;$A151,実績!$AL$6:$AL$505,"○")&gt;0,1,0))</f>
        <v>0</v>
      </c>
      <c r="CK151" s="39" t="n">
        <f aca="false">IF(CK$4=0,0,IF(COUNTIFS(実績!$W$6:$W$505,CK$3,実績!$AI$6:$AI$505,"&lt;="&amp;$A151,実績!$AJ$6:$AJ$505,"&gt;"&amp;$A151,実績!$AL$6:$AL$505,"○")&gt;0,1,0))</f>
        <v>0</v>
      </c>
      <c r="CL151" s="39" t="n">
        <f aca="false">IF(CL$4=0,0,IF(COUNTIFS(実績!$W$6:$W$505,CL$3,実績!$AI$6:$AI$505,"&lt;="&amp;$A151,実績!$AJ$6:$AJ$505,"&gt;"&amp;$A151,実績!$AL$6:$AL$505,"○")&gt;0,1,0))</f>
        <v>0</v>
      </c>
      <c r="CM151" s="39" t="n">
        <f aca="false">IF(CM$4=0,0,IF(COUNTIFS(実績!$W$6:$W$505,CM$3,実績!$AI$6:$AI$505,"&lt;="&amp;$A151,実績!$AJ$6:$AJ$505,"&gt;"&amp;$A151,実績!$AL$6:$AL$505,"○")&gt;0,1,0))</f>
        <v>0</v>
      </c>
      <c r="CN151" s="39" t="n">
        <f aca="false">IF(CN$4=0,0,IF(COUNTIFS(実績!$W$6:$W$505,CN$3,実績!$AI$6:$AI$505,"&lt;="&amp;$A151,実績!$AJ$6:$AJ$505,"&gt;"&amp;$A151,実績!$AL$6:$AL$505,"○")&gt;0,1,0))</f>
        <v>0</v>
      </c>
      <c r="CO151" s="39" t="n">
        <f aca="false">IF(CO$4=0,0,IF(COUNTIFS(実績!$W$6:$W$505,CO$3,実績!$AI$6:$AI$505,"&lt;="&amp;$A151,実績!$AJ$6:$AJ$505,"&gt;"&amp;$A151,実績!$AL$6:$AL$505,"○")&gt;0,1,0))</f>
        <v>0</v>
      </c>
      <c r="CP151" s="39" t="n">
        <f aca="false">IF(CP$4=0,0,IF(COUNTIFS(実績!$W$6:$W$505,CP$3,実績!$AI$6:$AI$505,"&lt;="&amp;$A151,実績!$AJ$6:$AJ$505,"&gt;"&amp;$A151,実績!$AL$6:$AL$505,"○")&gt;0,1,0))</f>
        <v>0</v>
      </c>
      <c r="CQ151" s="39" t="n">
        <f aca="false">IF(CQ$4=0,0,IF(COUNTIFS(実績!$W$6:$W$505,CQ$3,実績!$AI$6:$AI$505,"&lt;="&amp;$A151,実績!$AJ$6:$AJ$505,"&gt;"&amp;$A151,実績!$AL$6:$AL$505,"○")&gt;0,1,0))</f>
        <v>0</v>
      </c>
      <c r="CR151" s="39" t="n">
        <f aca="false">IF(CR$4=0,0,IF(COUNTIFS(実績!$W$6:$W$505,CR$3,実績!$AI$6:$AI$505,"&lt;="&amp;$A151,実績!$AJ$6:$AJ$505,"&gt;"&amp;$A151,実績!$AL$6:$AL$505,"○")&gt;0,1,0))</f>
        <v>0</v>
      </c>
      <c r="CS151" s="39" t="n">
        <f aca="false">IF(CS$4=0,0,IF(COUNTIFS(実績!$W$6:$W$505,CS$3,実績!$AI$6:$AI$505,"&lt;="&amp;$A151,実績!$AJ$6:$AJ$505,"&gt;"&amp;$A151,実績!$AL$6:$AL$505,"○")&gt;0,1,0))</f>
        <v>0</v>
      </c>
      <c r="CT151" s="39" t="n">
        <f aca="false">IF(CT$4=0,0,IF(COUNTIFS(実績!$W$6:$W$505,CT$3,実績!$AI$6:$AI$505,"&lt;="&amp;$A151,実績!$AJ$6:$AJ$505,"&gt;"&amp;$A151,実績!$AL$6:$AL$505,"○")&gt;0,1,0))</f>
        <v>0</v>
      </c>
      <c r="CU151" s="39" t="n">
        <f aca="false">IF(CU$4=0,0,IF(COUNTIFS(実績!$W$6:$W$505,CU$3,実績!$AI$6:$AI$505,"&lt;="&amp;$A151,実績!$AJ$6:$AJ$505,"&gt;"&amp;$A151,実績!$AL$6:$AL$505,"○")&gt;0,1,0))</f>
        <v>0</v>
      </c>
      <c r="CV151" s="39" t="n">
        <f aca="false">IF(CV$4=0,0,IF(COUNTIFS(実績!$W$6:$W$505,CV$3,実績!$AI$6:$AI$505,"&lt;="&amp;$A151,実績!$AJ$6:$AJ$505,"&gt;"&amp;$A151,実績!$AL$6:$AL$505,"○")&gt;0,1,0))</f>
        <v>0</v>
      </c>
      <c r="CW151" s="39" t="n">
        <f aca="false">IF(CW$4=0,0,IF(COUNTIFS(実績!$W$6:$W$505,CW$3,実績!$AI$6:$AI$505,"&lt;="&amp;$A151,実績!$AJ$6:$AJ$505,"&gt;"&amp;$A151,実績!$AL$6:$AL$505,"○")&gt;0,1,0))</f>
        <v>0</v>
      </c>
      <c r="CX151" s="39" t="n">
        <f aca="false">IF(CX$4=0,0,IF(COUNTIFS(実績!$W$6:$W$505,CX$3,実績!$AI$6:$AI$505,"&lt;="&amp;$A151,実績!$AJ$6:$AJ$505,"&gt;"&amp;$A151,実績!$AL$6:$AL$505,"○")&gt;0,1,0))</f>
        <v>0</v>
      </c>
      <c r="CY151" s="39" t="n">
        <f aca="false">IF(CY$4=0,0,IF(COUNTIFS(実績!$W$6:$W$505,CY$3,実績!$AI$6:$AI$505,"&lt;="&amp;$A151,実績!$AJ$6:$AJ$505,"&gt;"&amp;$A151,実績!$AL$6:$AL$505,"○")&gt;0,1,0))</f>
        <v>0</v>
      </c>
      <c r="CZ151" s="39" t="n">
        <f aca="false">IF(CZ$4=0,0,IF(COUNTIFS(実績!$W$6:$W$505,CZ$3,実績!$AI$6:$AI$505,"&lt;="&amp;$A151,実績!$AJ$6:$AJ$505,"&gt;"&amp;$A151,実績!$AL$6:$AL$505,"○")&gt;0,1,0))</f>
        <v>0</v>
      </c>
      <c r="DA151" s="39" t="n">
        <f aca="false">IF(DA$4=0,0,IF(COUNTIFS(実績!$W$6:$W$505,DA$3,実績!$AI$6:$AI$505,"&lt;="&amp;$A151,実績!$AJ$6:$AJ$505,"&gt;"&amp;$A151,実績!$AL$6:$AL$505,"○")&gt;0,1,0))</f>
        <v>0</v>
      </c>
      <c r="DB151" s="39" t="n">
        <f aca="false">IF(DB$4=0,0,IF(COUNTIFS(実績!$W$6:$W$505,DB$3,実績!$AI$6:$AI$505,"&lt;="&amp;$A151,実績!$AJ$6:$AJ$505,"&gt;"&amp;$A151,実績!$AL$6:$AL$505,"○")&gt;0,1,0))</f>
        <v>0</v>
      </c>
      <c r="DC151" s="39" t="n">
        <f aca="false">IF(DC$4=0,0,IF(COUNTIFS(実績!$W$6:$W$505,DC$3,実績!$AI$6:$AI$505,"&lt;="&amp;$A151,実績!$AJ$6:$AJ$505,"&gt;"&amp;$A151,実績!$AL$6:$AL$505,"○")&gt;0,1,0))</f>
        <v>0</v>
      </c>
      <c r="DD151" s="39" t="n">
        <f aca="false">IF(DD$4=0,0,IF(COUNTIFS(実績!$W$6:$W$505,DD$3,実績!$AI$6:$AI$505,"&lt;="&amp;$A151,実績!$AJ$6:$AJ$505,"&gt;"&amp;$A151,実績!$AL$6:$AL$505,"○")&gt;0,1,0))</f>
        <v>0</v>
      </c>
      <c r="DE151" s="39" t="n">
        <f aca="false">IF(DE$4=0,0,IF(COUNTIFS(実績!$W$6:$W$505,DE$3,実績!$AI$6:$AI$505,"&lt;="&amp;$A151,実績!$AJ$6:$AJ$505,"&gt;"&amp;$A151,実績!$AL$6:$AL$505,"○")&gt;0,1,0))</f>
        <v>0</v>
      </c>
      <c r="DF151" s="39" t="n">
        <f aca="false">IF(DF$4=0,0,IF(COUNTIFS(実績!$W$6:$W$505,DF$3,実績!$AI$6:$AI$505,"&lt;="&amp;$A151,実績!$AJ$6:$AJ$505,"&gt;"&amp;$A151,実績!$AL$6:$AL$505,"○")&gt;0,1,0))</f>
        <v>0</v>
      </c>
      <c r="DG151" s="39" t="n">
        <f aca="false">IF(DG$4=0,0,IF(COUNTIFS(実績!$W$6:$W$505,DG$3,実績!$AI$6:$AI$505,"&lt;="&amp;$A151,実績!$AJ$6:$AJ$505,"&gt;"&amp;$A151,実績!$AL$6:$AL$505,"○")&gt;0,1,0))</f>
        <v>0</v>
      </c>
      <c r="DH151" s="39" t="n">
        <f aca="false">IF(DH$4=0,0,IF(COUNTIFS(実績!$W$6:$W$505,DH$3,実績!$AI$6:$AI$505,"&lt;="&amp;$A151,実績!$AJ$6:$AJ$505,"&gt;"&amp;$A151,実績!$AL$6:$AL$505,"○")&gt;0,1,0))</f>
        <v>0</v>
      </c>
      <c r="DI151" s="39" t="n">
        <f aca="false">IF(DI$4=0,0,IF(COUNTIFS(実績!$W$6:$W$505,DI$3,実績!$AI$6:$AI$505,"&lt;="&amp;$A151,実績!$AJ$6:$AJ$505,"&gt;"&amp;$A151,実績!$AL$6:$AL$505,"○")&gt;0,1,0))</f>
        <v>0</v>
      </c>
      <c r="DJ151" s="39" t="n">
        <f aca="false">IF(DJ$4=0,0,IF(COUNTIFS(実績!$W$6:$W$505,DJ$3,実績!$AI$6:$AI$505,"&lt;="&amp;$A151,実績!$AJ$6:$AJ$505,"&gt;"&amp;$A151,実績!$AL$6:$AL$505,"○")&gt;0,1,0))</f>
        <v>0</v>
      </c>
      <c r="DK151" s="39" t="n">
        <f aca="false">IF(DK$4=0,0,IF(COUNTIFS(実績!$W$6:$W$505,DK$3,実績!$AI$6:$AI$505,"&lt;="&amp;$A151,実績!$AJ$6:$AJ$505,"&gt;"&amp;$A151,実績!$AL$6:$AL$505,"○")&gt;0,1,0))</f>
        <v>0</v>
      </c>
      <c r="DL151" s="39" t="n">
        <f aca="false">IF(DL$4=0,0,IF(COUNTIFS(実績!$W$6:$W$505,DL$3,実績!$AI$6:$AI$505,"&lt;="&amp;$A151,実績!$AJ$6:$AJ$505,"&gt;"&amp;$A151,実績!$AL$6:$AL$505,"○")&gt;0,1,0))</f>
        <v>0</v>
      </c>
      <c r="DM151" s="39" t="n">
        <f aca="false">IF(DM$4=0,0,IF(COUNTIFS(実績!$W$6:$W$505,DM$3,実績!$AI$6:$AI$505,"&lt;="&amp;$A151,実績!$AJ$6:$AJ$505,"&gt;"&amp;$A151,実績!$AL$6:$AL$505,"○")&gt;0,1,0))</f>
        <v>0</v>
      </c>
      <c r="DN151" s="39" t="n">
        <f aca="false">IF(DN$4=0,0,IF(COUNTIFS(実績!$W$6:$W$505,DN$3,実績!$AI$6:$AI$505,"&lt;="&amp;$A151,実績!$AJ$6:$AJ$505,"&gt;"&amp;$A151,実績!$AL$6:$AL$505,"○")&gt;0,1,0))</f>
        <v>0</v>
      </c>
      <c r="DO151" s="39" t="n">
        <f aca="false">IF(DO$4=0,0,IF(COUNTIFS(実績!$W$6:$W$505,DO$3,実績!$AI$6:$AI$505,"&lt;="&amp;$A151,実績!$AJ$6:$AJ$505,"&gt;"&amp;$A151,実績!$AL$6:$AL$505,"○")&gt;0,1,0))</f>
        <v>0</v>
      </c>
      <c r="DP151" s="39" t="n">
        <f aca="false">IF(DP$4=0,0,IF(COUNTIFS(実績!$W$6:$W$505,DP$3,実績!$AI$6:$AI$505,"&lt;="&amp;$A151,実績!$AJ$6:$AJ$505,"&gt;"&amp;$A151,実績!$AL$6:$AL$505,"○")&gt;0,1,0))</f>
        <v>0</v>
      </c>
      <c r="DQ151" s="39" t="n">
        <f aca="false">IF(DQ$4=0,0,IF(COUNTIFS(実績!$W$6:$W$505,DQ$3,実績!$AI$6:$AI$505,"&lt;="&amp;$A151,実績!$AJ$6:$AJ$505,"&gt;"&amp;$A151,実績!$AL$6:$AL$505,"○")&gt;0,1,0))</f>
        <v>0</v>
      </c>
      <c r="DR151" s="39" t="n">
        <f aca="false">IF(DR$4=0,0,IF(COUNTIFS(実績!$W$6:$W$505,DR$3,実績!$AI$6:$AI$505,"&lt;="&amp;$A151,実績!$AJ$6:$AJ$505,"&gt;"&amp;$A151,実績!$AL$6:$AL$505,"○")&gt;0,1,0))</f>
        <v>0</v>
      </c>
      <c r="DS151" s="39" t="n">
        <f aca="false">SUM(C151:DR151)</f>
        <v>0</v>
      </c>
    </row>
    <row r="152" customFormat="false" ht="15" hidden="false" customHeight="false" outlineLevel="0" collapsed="false">
      <c r="A152" s="0" t="n">
        <v>730</v>
      </c>
      <c r="B152" s="38" t="n">
        <f aca="false">A152/1440</f>
        <v>0.506944444444444</v>
      </c>
      <c r="C152" s="39" t="n">
        <f aca="false">IF(C$4=0,0,IF(COUNTIFS(実績!$W$6:$W$505,C$3,実績!$AI$6:$AI$505,"&lt;="&amp;$A152,実績!$AJ$6:$AJ$505,"&gt;"&amp;$A152,実績!$AL$6:$AL$505,"○")&gt;0,1,0))</f>
        <v>0</v>
      </c>
      <c r="D152" s="39" t="n">
        <f aca="false">IF(D$4=0,0,IF(COUNTIFS(実績!$W$6:$W$505,D$3,実績!$AI$6:$AI$505,"&lt;="&amp;$A152,実績!$AJ$6:$AJ$505,"&gt;"&amp;$A152,実績!$AL$6:$AL$505,"○")&gt;0,1,0))</f>
        <v>0</v>
      </c>
      <c r="E152" s="39" t="n">
        <f aca="false">IF(E$4=0,0,IF(COUNTIFS(実績!$W$6:$W$505,E$3,実績!$AI$6:$AI$505,"&lt;="&amp;$A152,実績!$AJ$6:$AJ$505,"&gt;"&amp;$A152,実績!$AL$6:$AL$505,"○")&gt;0,1,0))</f>
        <v>0</v>
      </c>
      <c r="F152" s="39" t="n">
        <f aca="false">IF(F$4=0,0,IF(COUNTIFS(実績!$W$6:$W$505,F$3,実績!$AI$6:$AI$505,"&lt;="&amp;$A152,実績!$AJ$6:$AJ$505,"&gt;"&amp;$A152,実績!$AL$6:$AL$505,"○")&gt;0,1,0))</f>
        <v>0</v>
      </c>
      <c r="G152" s="39" t="n">
        <f aca="false">IF(G$4=0,0,IF(COUNTIFS(実績!$W$6:$W$505,G$3,実績!$AI$6:$AI$505,"&lt;="&amp;$A152,実績!$AJ$6:$AJ$505,"&gt;"&amp;$A152,実績!$AL$6:$AL$505,"○")&gt;0,1,0))</f>
        <v>0</v>
      </c>
      <c r="H152" s="39" t="n">
        <f aca="false">IF(H$4=0,0,IF(COUNTIFS(実績!$W$6:$W$505,H$3,実績!$AI$6:$AI$505,"&lt;="&amp;$A152,実績!$AJ$6:$AJ$505,"&gt;"&amp;$A152,実績!$AL$6:$AL$505,"○")&gt;0,1,0))</f>
        <v>0</v>
      </c>
      <c r="I152" s="39" t="n">
        <f aca="false">IF(I$4=0,0,IF(COUNTIFS(実績!$W$6:$W$505,I$3,実績!$AI$6:$AI$505,"&lt;="&amp;$A152,実績!$AJ$6:$AJ$505,"&gt;"&amp;$A152,実績!$AL$6:$AL$505,"○")&gt;0,1,0))</f>
        <v>0</v>
      </c>
      <c r="J152" s="39" t="n">
        <f aca="false">IF(J$4=0,0,IF(COUNTIFS(実績!$W$6:$W$505,J$3,実績!$AI$6:$AI$505,"&lt;="&amp;$A152,実績!$AJ$6:$AJ$505,"&gt;"&amp;$A152,実績!$AL$6:$AL$505,"○")&gt;0,1,0))</f>
        <v>0</v>
      </c>
      <c r="K152" s="39" t="n">
        <f aca="false">IF(K$4=0,0,IF(COUNTIFS(実績!$W$6:$W$505,K$3,実績!$AI$6:$AI$505,"&lt;="&amp;$A152,実績!$AJ$6:$AJ$505,"&gt;"&amp;$A152,実績!$AL$6:$AL$505,"○")&gt;0,1,0))</f>
        <v>0</v>
      </c>
      <c r="L152" s="39" t="n">
        <f aca="false">IF(L$4=0,0,IF(COUNTIFS(実績!$W$6:$W$505,L$3,実績!$AI$6:$AI$505,"&lt;="&amp;$A152,実績!$AJ$6:$AJ$505,"&gt;"&amp;$A152,実績!$AL$6:$AL$505,"○")&gt;0,1,0))</f>
        <v>0</v>
      </c>
      <c r="M152" s="39" t="n">
        <f aca="false">IF(M$4=0,0,IF(COUNTIFS(実績!$W$6:$W$505,M$3,実績!$AI$6:$AI$505,"&lt;="&amp;$A152,実績!$AJ$6:$AJ$505,"&gt;"&amp;$A152,実績!$AL$6:$AL$505,"○")&gt;0,1,0))</f>
        <v>0</v>
      </c>
      <c r="N152" s="39" t="n">
        <f aca="false">IF(N$4=0,0,IF(COUNTIFS(実績!$W$6:$W$505,N$3,実績!$AI$6:$AI$505,"&lt;="&amp;$A152,実績!$AJ$6:$AJ$505,"&gt;"&amp;$A152,実績!$AL$6:$AL$505,"○")&gt;0,1,0))</f>
        <v>0</v>
      </c>
      <c r="O152" s="39" t="n">
        <f aca="false">IF(O$4=0,0,IF(COUNTIFS(実績!$W$6:$W$505,O$3,実績!$AI$6:$AI$505,"&lt;="&amp;$A152,実績!$AJ$6:$AJ$505,"&gt;"&amp;$A152,実績!$AL$6:$AL$505,"○")&gt;0,1,0))</f>
        <v>0</v>
      </c>
      <c r="P152" s="39" t="n">
        <f aca="false">IF(P$4=0,0,IF(COUNTIFS(実績!$W$6:$W$505,P$3,実績!$AI$6:$AI$505,"&lt;="&amp;$A152,実績!$AJ$6:$AJ$505,"&gt;"&amp;$A152,実績!$AL$6:$AL$505,"○")&gt;0,1,0))</f>
        <v>0</v>
      </c>
      <c r="Q152" s="39" t="n">
        <f aca="false">IF(Q$4=0,0,IF(COUNTIFS(実績!$W$6:$W$505,Q$3,実績!$AI$6:$AI$505,"&lt;="&amp;$A152,実績!$AJ$6:$AJ$505,"&gt;"&amp;$A152,実績!$AL$6:$AL$505,"○")&gt;0,1,0))</f>
        <v>0</v>
      </c>
      <c r="R152" s="39" t="n">
        <f aca="false">IF(R$4=0,0,IF(COUNTIFS(実績!$W$6:$W$505,R$3,実績!$AI$6:$AI$505,"&lt;="&amp;$A152,実績!$AJ$6:$AJ$505,"&gt;"&amp;$A152,実績!$AL$6:$AL$505,"○")&gt;0,1,0))</f>
        <v>0</v>
      </c>
      <c r="S152" s="39" t="n">
        <f aca="false">IF(S$4=0,0,IF(COUNTIFS(実績!$W$6:$W$505,S$3,実績!$AI$6:$AI$505,"&lt;="&amp;$A152,実績!$AJ$6:$AJ$505,"&gt;"&amp;$A152,実績!$AL$6:$AL$505,"○")&gt;0,1,0))</f>
        <v>0</v>
      </c>
      <c r="T152" s="39" t="n">
        <f aca="false">IF(T$4=0,0,IF(COUNTIFS(実績!$W$6:$W$505,T$3,実績!$AI$6:$AI$505,"&lt;="&amp;$A152,実績!$AJ$6:$AJ$505,"&gt;"&amp;$A152,実績!$AL$6:$AL$505,"○")&gt;0,1,0))</f>
        <v>0</v>
      </c>
      <c r="U152" s="39" t="n">
        <f aca="false">IF(U$4=0,0,IF(COUNTIFS(実績!$W$6:$W$505,U$3,実績!$AI$6:$AI$505,"&lt;="&amp;$A152,実績!$AJ$6:$AJ$505,"&gt;"&amp;$A152,実績!$AL$6:$AL$505,"○")&gt;0,1,0))</f>
        <v>0</v>
      </c>
      <c r="V152" s="39" t="n">
        <f aca="false">IF(V$4=0,0,IF(COUNTIFS(実績!$W$6:$W$505,V$3,実績!$AI$6:$AI$505,"&lt;="&amp;$A152,実績!$AJ$6:$AJ$505,"&gt;"&amp;$A152,実績!$AL$6:$AL$505,"○")&gt;0,1,0))</f>
        <v>0</v>
      </c>
      <c r="W152" s="39" t="n">
        <f aca="false">IF(W$4=0,0,IF(COUNTIFS(実績!$W$6:$W$505,W$3,実績!$AI$6:$AI$505,"&lt;="&amp;$A152,実績!$AJ$6:$AJ$505,"&gt;"&amp;$A152,実績!$AL$6:$AL$505,"○")&gt;0,1,0))</f>
        <v>0</v>
      </c>
      <c r="X152" s="39" t="n">
        <f aca="false">IF(X$4=0,0,IF(COUNTIFS(実績!$W$6:$W$505,X$3,実績!$AI$6:$AI$505,"&lt;="&amp;$A152,実績!$AJ$6:$AJ$505,"&gt;"&amp;$A152,実績!$AL$6:$AL$505,"○")&gt;0,1,0))</f>
        <v>0</v>
      </c>
      <c r="Y152" s="39" t="n">
        <f aca="false">IF(Y$4=0,0,IF(COUNTIFS(実績!$W$6:$W$505,Y$3,実績!$AI$6:$AI$505,"&lt;="&amp;$A152,実績!$AJ$6:$AJ$505,"&gt;"&amp;$A152,実績!$AL$6:$AL$505,"○")&gt;0,1,0))</f>
        <v>0</v>
      </c>
      <c r="Z152" s="39" t="n">
        <f aca="false">IF(Z$4=0,0,IF(COUNTIFS(実績!$W$6:$W$505,Z$3,実績!$AI$6:$AI$505,"&lt;="&amp;$A152,実績!$AJ$6:$AJ$505,"&gt;"&amp;$A152,実績!$AL$6:$AL$505,"○")&gt;0,1,0))</f>
        <v>0</v>
      </c>
      <c r="AA152" s="39" t="n">
        <f aca="false">IF(AA$4=0,0,IF(COUNTIFS(実績!$W$6:$W$505,AA$3,実績!$AI$6:$AI$505,"&lt;="&amp;$A152,実績!$AJ$6:$AJ$505,"&gt;"&amp;$A152,実績!$AL$6:$AL$505,"○")&gt;0,1,0))</f>
        <v>0</v>
      </c>
      <c r="AB152" s="39" t="n">
        <f aca="false">IF(AB$4=0,0,IF(COUNTIFS(実績!$W$6:$W$505,AB$3,実績!$AI$6:$AI$505,"&lt;="&amp;$A152,実績!$AJ$6:$AJ$505,"&gt;"&amp;$A152,実績!$AL$6:$AL$505,"○")&gt;0,1,0))</f>
        <v>0</v>
      </c>
      <c r="AC152" s="39" t="n">
        <f aca="false">IF(AC$4=0,0,IF(COUNTIFS(実績!$W$6:$W$505,AC$3,実績!$AI$6:$AI$505,"&lt;="&amp;$A152,実績!$AJ$6:$AJ$505,"&gt;"&amp;$A152,実績!$AL$6:$AL$505,"○")&gt;0,1,0))</f>
        <v>0</v>
      </c>
      <c r="AD152" s="39" t="n">
        <f aca="false">IF(AD$4=0,0,IF(COUNTIFS(実績!$W$6:$W$505,AD$3,実績!$AI$6:$AI$505,"&lt;="&amp;$A152,実績!$AJ$6:$AJ$505,"&gt;"&amp;$A152,実績!$AL$6:$AL$505,"○")&gt;0,1,0))</f>
        <v>0</v>
      </c>
      <c r="AE152" s="39" t="n">
        <f aca="false">IF(AE$4=0,0,IF(COUNTIFS(実績!$W$6:$W$505,AE$3,実績!$AI$6:$AI$505,"&lt;="&amp;$A152,実績!$AJ$6:$AJ$505,"&gt;"&amp;$A152,実績!$AL$6:$AL$505,"○")&gt;0,1,0))</f>
        <v>0</v>
      </c>
      <c r="AF152" s="39" t="n">
        <f aca="false">IF(AF$4=0,0,IF(COUNTIFS(実績!$W$6:$W$505,AF$3,実績!$AI$6:$AI$505,"&lt;="&amp;$A152,実績!$AJ$6:$AJ$505,"&gt;"&amp;$A152,実績!$AL$6:$AL$505,"○")&gt;0,1,0))</f>
        <v>0</v>
      </c>
      <c r="AG152" s="39" t="n">
        <f aca="false">IF(AG$4=0,0,IF(COUNTIFS(実績!$W$6:$W$505,AG$3,実績!$AI$6:$AI$505,"&lt;="&amp;$A152,実績!$AJ$6:$AJ$505,"&gt;"&amp;$A152,実績!$AL$6:$AL$505,"○")&gt;0,1,0))</f>
        <v>0</v>
      </c>
      <c r="AH152" s="39" t="n">
        <f aca="false">IF(AH$4=0,0,IF(COUNTIFS(実績!$W$6:$W$505,AH$3,実績!$AI$6:$AI$505,"&lt;="&amp;$A152,実績!$AJ$6:$AJ$505,"&gt;"&amp;$A152,実績!$AL$6:$AL$505,"○")&gt;0,1,0))</f>
        <v>0</v>
      </c>
      <c r="AI152" s="39" t="n">
        <f aca="false">IF(AI$4=0,0,IF(COUNTIFS(実績!$W$6:$W$505,AI$3,実績!$AI$6:$AI$505,"&lt;="&amp;$A152,実績!$AJ$6:$AJ$505,"&gt;"&amp;$A152,実績!$AL$6:$AL$505,"○")&gt;0,1,0))</f>
        <v>0</v>
      </c>
      <c r="AJ152" s="39" t="n">
        <f aca="false">IF(AJ$4=0,0,IF(COUNTIFS(実績!$W$6:$W$505,AJ$3,実績!$AI$6:$AI$505,"&lt;="&amp;$A152,実績!$AJ$6:$AJ$505,"&gt;"&amp;$A152,実績!$AL$6:$AL$505,"○")&gt;0,1,0))</f>
        <v>0</v>
      </c>
      <c r="AK152" s="39" t="n">
        <f aca="false">IF(AK$4=0,0,IF(COUNTIFS(実績!$W$6:$W$505,AK$3,実績!$AI$6:$AI$505,"&lt;="&amp;$A152,実績!$AJ$6:$AJ$505,"&gt;"&amp;$A152,実績!$AL$6:$AL$505,"○")&gt;0,1,0))</f>
        <v>0</v>
      </c>
      <c r="AL152" s="39" t="n">
        <f aca="false">IF(AL$4=0,0,IF(COUNTIFS(実績!$W$6:$W$505,AL$3,実績!$AI$6:$AI$505,"&lt;="&amp;$A152,実績!$AJ$6:$AJ$505,"&gt;"&amp;$A152,実績!$AL$6:$AL$505,"○")&gt;0,1,0))</f>
        <v>0</v>
      </c>
      <c r="AM152" s="39" t="n">
        <f aca="false">IF(AM$4=0,0,IF(COUNTIFS(実績!$W$6:$W$505,AM$3,実績!$AI$6:$AI$505,"&lt;="&amp;$A152,実績!$AJ$6:$AJ$505,"&gt;"&amp;$A152,実績!$AL$6:$AL$505,"○")&gt;0,1,0))</f>
        <v>0</v>
      </c>
      <c r="AN152" s="39" t="n">
        <f aca="false">IF(AN$4=0,0,IF(COUNTIFS(実績!$W$6:$W$505,AN$3,実績!$AI$6:$AI$505,"&lt;="&amp;$A152,実績!$AJ$6:$AJ$505,"&gt;"&amp;$A152,実績!$AL$6:$AL$505,"○")&gt;0,1,0))</f>
        <v>0</v>
      </c>
      <c r="AO152" s="39" t="n">
        <f aca="false">IF(AO$4=0,0,IF(COUNTIFS(実績!$W$6:$W$505,AO$3,実績!$AI$6:$AI$505,"&lt;="&amp;$A152,実績!$AJ$6:$AJ$505,"&gt;"&amp;$A152,実績!$AL$6:$AL$505,"○")&gt;0,1,0))</f>
        <v>0</v>
      </c>
      <c r="AP152" s="39" t="n">
        <f aca="false">IF(AP$4=0,0,IF(COUNTIFS(実績!$W$6:$W$505,AP$3,実績!$AI$6:$AI$505,"&lt;="&amp;$A152,実績!$AJ$6:$AJ$505,"&gt;"&amp;$A152,実績!$AL$6:$AL$505,"○")&gt;0,1,0))</f>
        <v>0</v>
      </c>
      <c r="AQ152" s="39" t="n">
        <f aca="false">IF(AQ$4=0,0,IF(COUNTIFS(実績!$W$6:$W$505,AQ$3,実績!$AI$6:$AI$505,"&lt;="&amp;$A152,実績!$AJ$6:$AJ$505,"&gt;"&amp;$A152,実績!$AL$6:$AL$505,"○")&gt;0,1,0))</f>
        <v>0</v>
      </c>
      <c r="AR152" s="39" t="n">
        <f aca="false">IF(AR$4=0,0,IF(COUNTIFS(実績!$W$6:$W$505,AR$3,実績!$AI$6:$AI$505,"&lt;="&amp;$A152,実績!$AJ$6:$AJ$505,"&gt;"&amp;$A152,実績!$AL$6:$AL$505,"○")&gt;0,1,0))</f>
        <v>0</v>
      </c>
      <c r="AS152" s="39" t="n">
        <f aca="false">IF(AS$4=0,0,IF(COUNTIFS(実績!$W$6:$W$505,AS$3,実績!$AI$6:$AI$505,"&lt;="&amp;$A152,実績!$AJ$6:$AJ$505,"&gt;"&amp;$A152,実績!$AL$6:$AL$505,"○")&gt;0,1,0))</f>
        <v>0</v>
      </c>
      <c r="AT152" s="39" t="n">
        <f aca="false">IF(AT$4=0,0,IF(COUNTIFS(実績!$W$6:$W$505,AT$3,実績!$AI$6:$AI$505,"&lt;="&amp;$A152,実績!$AJ$6:$AJ$505,"&gt;"&amp;$A152,実績!$AL$6:$AL$505,"○")&gt;0,1,0))</f>
        <v>0</v>
      </c>
      <c r="AU152" s="39" t="n">
        <f aca="false">IF(AU$4=0,0,IF(COUNTIFS(実績!$W$6:$W$505,AU$3,実績!$AI$6:$AI$505,"&lt;="&amp;$A152,実績!$AJ$6:$AJ$505,"&gt;"&amp;$A152,実績!$AL$6:$AL$505,"○")&gt;0,1,0))</f>
        <v>0</v>
      </c>
      <c r="AV152" s="39" t="n">
        <f aca="false">IF(AV$4=0,0,IF(COUNTIFS(実績!$W$6:$W$505,AV$3,実績!$AI$6:$AI$505,"&lt;="&amp;$A152,実績!$AJ$6:$AJ$505,"&gt;"&amp;$A152,実績!$AL$6:$AL$505,"○")&gt;0,1,0))</f>
        <v>0</v>
      </c>
      <c r="AW152" s="39" t="n">
        <f aca="false">IF(AW$4=0,0,IF(COUNTIFS(実績!$W$6:$W$505,AW$3,実績!$AI$6:$AI$505,"&lt;="&amp;$A152,実績!$AJ$6:$AJ$505,"&gt;"&amp;$A152,実績!$AL$6:$AL$505,"○")&gt;0,1,0))</f>
        <v>0</v>
      </c>
      <c r="AX152" s="39" t="n">
        <f aca="false">IF(AX$4=0,0,IF(COUNTIFS(実績!$W$6:$W$505,AX$3,実績!$AI$6:$AI$505,"&lt;="&amp;$A152,実績!$AJ$6:$AJ$505,"&gt;"&amp;$A152,実績!$AL$6:$AL$505,"○")&gt;0,1,0))</f>
        <v>0</v>
      </c>
      <c r="AY152" s="39" t="n">
        <f aca="false">IF(AY$4=0,0,IF(COUNTIFS(実績!$W$6:$W$505,AY$3,実績!$AI$6:$AI$505,"&lt;="&amp;$A152,実績!$AJ$6:$AJ$505,"&gt;"&amp;$A152,実績!$AL$6:$AL$505,"○")&gt;0,1,0))</f>
        <v>0</v>
      </c>
      <c r="AZ152" s="39" t="n">
        <f aca="false">IF(AZ$4=0,0,IF(COUNTIFS(実績!$W$6:$W$505,AZ$3,実績!$AI$6:$AI$505,"&lt;="&amp;$A152,実績!$AJ$6:$AJ$505,"&gt;"&amp;$A152,実績!$AL$6:$AL$505,"○")&gt;0,1,0))</f>
        <v>0</v>
      </c>
      <c r="BA152" s="39" t="n">
        <f aca="false">IF(BA$4=0,0,IF(COUNTIFS(実績!$W$6:$W$505,BA$3,実績!$AI$6:$AI$505,"&lt;="&amp;$A152,実績!$AJ$6:$AJ$505,"&gt;"&amp;$A152,実績!$AL$6:$AL$505,"○")&gt;0,1,0))</f>
        <v>0</v>
      </c>
      <c r="BB152" s="39" t="n">
        <f aca="false">IF(BB$4=0,0,IF(COUNTIFS(実績!$W$6:$W$505,BB$3,実績!$AI$6:$AI$505,"&lt;="&amp;$A152,実績!$AJ$6:$AJ$505,"&gt;"&amp;$A152,実績!$AL$6:$AL$505,"○")&gt;0,1,0))</f>
        <v>0</v>
      </c>
      <c r="BC152" s="39" t="n">
        <f aca="false">IF(BC$4=0,0,IF(COUNTIFS(実績!$W$6:$W$505,BC$3,実績!$AI$6:$AI$505,"&lt;="&amp;$A152,実績!$AJ$6:$AJ$505,"&gt;"&amp;$A152,実績!$AL$6:$AL$505,"○")&gt;0,1,0))</f>
        <v>0</v>
      </c>
      <c r="BD152" s="39" t="n">
        <f aca="false">IF(BD$4=0,0,IF(COUNTIFS(実績!$W$6:$W$505,BD$3,実績!$AI$6:$AI$505,"&lt;="&amp;$A152,実績!$AJ$6:$AJ$505,"&gt;"&amp;$A152,実績!$AL$6:$AL$505,"○")&gt;0,1,0))</f>
        <v>0</v>
      </c>
      <c r="BE152" s="39" t="n">
        <f aca="false">IF(BE$4=0,0,IF(COUNTIFS(実績!$W$6:$W$505,BE$3,実績!$AI$6:$AI$505,"&lt;="&amp;$A152,実績!$AJ$6:$AJ$505,"&gt;"&amp;$A152,実績!$AL$6:$AL$505,"○")&gt;0,1,0))</f>
        <v>0</v>
      </c>
      <c r="BF152" s="39" t="n">
        <f aca="false">IF(BF$4=0,0,IF(COUNTIFS(実績!$W$6:$W$505,BF$3,実績!$AI$6:$AI$505,"&lt;="&amp;$A152,実績!$AJ$6:$AJ$505,"&gt;"&amp;$A152,実績!$AL$6:$AL$505,"○")&gt;0,1,0))</f>
        <v>0</v>
      </c>
      <c r="BG152" s="39" t="n">
        <f aca="false">IF(BG$4=0,0,IF(COUNTIFS(実績!$W$6:$W$505,BG$3,実績!$AI$6:$AI$505,"&lt;="&amp;$A152,実績!$AJ$6:$AJ$505,"&gt;"&amp;$A152,実績!$AL$6:$AL$505,"○")&gt;0,1,0))</f>
        <v>0</v>
      </c>
      <c r="BH152" s="39" t="n">
        <f aca="false">IF(BH$4=0,0,IF(COUNTIFS(実績!$W$6:$W$505,BH$3,実績!$AI$6:$AI$505,"&lt;="&amp;$A152,実績!$AJ$6:$AJ$505,"&gt;"&amp;$A152,実績!$AL$6:$AL$505,"○")&gt;0,1,0))</f>
        <v>0</v>
      </c>
      <c r="BI152" s="39" t="n">
        <f aca="false">IF(BI$4=0,0,IF(COUNTIFS(実績!$W$6:$W$505,BI$3,実績!$AI$6:$AI$505,"&lt;="&amp;$A152,実績!$AJ$6:$AJ$505,"&gt;"&amp;$A152,実績!$AL$6:$AL$505,"○")&gt;0,1,0))</f>
        <v>0</v>
      </c>
      <c r="BJ152" s="39" t="n">
        <f aca="false">IF(BJ$4=0,0,IF(COUNTIFS(実績!$W$6:$W$505,BJ$3,実績!$AI$6:$AI$505,"&lt;="&amp;$A152,実績!$AJ$6:$AJ$505,"&gt;"&amp;$A152,実績!$AL$6:$AL$505,"○")&gt;0,1,0))</f>
        <v>0</v>
      </c>
      <c r="BK152" s="39" t="n">
        <f aca="false">IF(BK$4=0,0,IF(COUNTIFS(実績!$W$6:$W$505,BK$3,実績!$AI$6:$AI$505,"&lt;="&amp;$A152,実績!$AJ$6:$AJ$505,"&gt;"&amp;$A152,実績!$AL$6:$AL$505,"○")&gt;0,1,0))</f>
        <v>0</v>
      </c>
      <c r="BL152" s="39" t="n">
        <f aca="false">IF(BL$4=0,0,IF(COUNTIFS(実績!$W$6:$W$505,BL$3,実績!$AI$6:$AI$505,"&lt;="&amp;$A152,実績!$AJ$6:$AJ$505,"&gt;"&amp;$A152,実績!$AL$6:$AL$505,"○")&gt;0,1,0))</f>
        <v>0</v>
      </c>
      <c r="BM152" s="39" t="n">
        <f aca="false">IF(BM$4=0,0,IF(COUNTIFS(実績!$W$6:$W$505,BM$3,実績!$AI$6:$AI$505,"&lt;="&amp;$A152,実績!$AJ$6:$AJ$505,"&gt;"&amp;$A152,実績!$AL$6:$AL$505,"○")&gt;0,1,0))</f>
        <v>0</v>
      </c>
      <c r="BN152" s="39" t="n">
        <f aca="false">IF(BN$4=0,0,IF(COUNTIFS(実績!$W$6:$W$505,BN$3,実績!$AI$6:$AI$505,"&lt;="&amp;$A152,実績!$AJ$6:$AJ$505,"&gt;"&amp;$A152,実績!$AL$6:$AL$505,"○")&gt;0,1,0))</f>
        <v>0</v>
      </c>
      <c r="BO152" s="39" t="n">
        <f aca="false">IF(BO$4=0,0,IF(COUNTIFS(実績!$W$6:$W$505,BO$3,実績!$AI$6:$AI$505,"&lt;="&amp;$A152,実績!$AJ$6:$AJ$505,"&gt;"&amp;$A152,実績!$AL$6:$AL$505,"○")&gt;0,1,0))</f>
        <v>0</v>
      </c>
      <c r="BP152" s="39" t="n">
        <f aca="false">IF(BP$4=0,0,IF(COUNTIFS(実績!$W$6:$W$505,BP$3,実績!$AI$6:$AI$505,"&lt;="&amp;$A152,実績!$AJ$6:$AJ$505,"&gt;"&amp;$A152,実績!$AL$6:$AL$505,"○")&gt;0,1,0))</f>
        <v>0</v>
      </c>
      <c r="BQ152" s="39" t="n">
        <f aca="false">IF(BQ$4=0,0,IF(COUNTIFS(実績!$W$6:$W$505,BQ$3,実績!$AI$6:$AI$505,"&lt;="&amp;$A152,実績!$AJ$6:$AJ$505,"&gt;"&amp;$A152,実績!$AL$6:$AL$505,"○")&gt;0,1,0))</f>
        <v>0</v>
      </c>
      <c r="BR152" s="39" t="n">
        <f aca="false">IF(BR$4=0,0,IF(COUNTIFS(実績!$W$6:$W$505,BR$3,実績!$AI$6:$AI$505,"&lt;="&amp;$A152,実績!$AJ$6:$AJ$505,"&gt;"&amp;$A152,実績!$AL$6:$AL$505,"○")&gt;0,1,0))</f>
        <v>0</v>
      </c>
      <c r="BS152" s="39" t="n">
        <f aca="false">IF(BS$4=0,0,IF(COUNTIFS(実績!$W$6:$W$505,BS$3,実績!$AI$6:$AI$505,"&lt;="&amp;$A152,実績!$AJ$6:$AJ$505,"&gt;"&amp;$A152,実績!$AL$6:$AL$505,"○")&gt;0,1,0))</f>
        <v>0</v>
      </c>
      <c r="BT152" s="39" t="n">
        <f aca="false">IF(BT$4=0,0,IF(COUNTIFS(実績!$W$6:$W$505,BT$3,実績!$AI$6:$AI$505,"&lt;="&amp;$A152,実績!$AJ$6:$AJ$505,"&gt;"&amp;$A152,実績!$AL$6:$AL$505,"○")&gt;0,1,0))</f>
        <v>0</v>
      </c>
      <c r="BU152" s="39" t="n">
        <f aca="false">IF(BU$4=0,0,IF(COUNTIFS(実績!$W$6:$W$505,BU$3,実績!$AI$6:$AI$505,"&lt;="&amp;$A152,実績!$AJ$6:$AJ$505,"&gt;"&amp;$A152,実績!$AL$6:$AL$505,"○")&gt;0,1,0))</f>
        <v>0</v>
      </c>
      <c r="BV152" s="39" t="n">
        <f aca="false">IF(BV$4=0,0,IF(COUNTIFS(実績!$W$6:$W$505,BV$3,実績!$AI$6:$AI$505,"&lt;="&amp;$A152,実績!$AJ$6:$AJ$505,"&gt;"&amp;$A152,実績!$AL$6:$AL$505,"○")&gt;0,1,0))</f>
        <v>0</v>
      </c>
      <c r="BW152" s="39" t="n">
        <f aca="false">IF(BW$4=0,0,IF(COUNTIFS(実績!$W$6:$W$505,BW$3,実績!$AI$6:$AI$505,"&lt;="&amp;$A152,実績!$AJ$6:$AJ$505,"&gt;"&amp;$A152,実績!$AL$6:$AL$505,"○")&gt;0,1,0))</f>
        <v>0</v>
      </c>
      <c r="BX152" s="39" t="n">
        <f aca="false">IF(BX$4=0,0,IF(COUNTIFS(実績!$W$6:$W$505,BX$3,実績!$AI$6:$AI$505,"&lt;="&amp;$A152,実績!$AJ$6:$AJ$505,"&gt;"&amp;$A152,実績!$AL$6:$AL$505,"○")&gt;0,1,0))</f>
        <v>0</v>
      </c>
      <c r="BY152" s="39" t="n">
        <f aca="false">IF(BY$4=0,0,IF(COUNTIFS(実績!$W$6:$W$505,BY$3,実績!$AI$6:$AI$505,"&lt;="&amp;$A152,実績!$AJ$6:$AJ$505,"&gt;"&amp;$A152,実績!$AL$6:$AL$505,"○")&gt;0,1,0))</f>
        <v>0</v>
      </c>
      <c r="BZ152" s="39" t="n">
        <f aca="false">IF(BZ$4=0,0,IF(COUNTIFS(実績!$W$6:$W$505,BZ$3,実績!$AI$6:$AI$505,"&lt;="&amp;$A152,実績!$AJ$6:$AJ$505,"&gt;"&amp;$A152,実績!$AL$6:$AL$505,"○")&gt;0,1,0))</f>
        <v>0</v>
      </c>
      <c r="CA152" s="39" t="n">
        <f aca="false">IF(CA$4=0,0,IF(COUNTIFS(実績!$W$6:$W$505,CA$3,実績!$AI$6:$AI$505,"&lt;="&amp;$A152,実績!$AJ$6:$AJ$505,"&gt;"&amp;$A152,実績!$AL$6:$AL$505,"○")&gt;0,1,0))</f>
        <v>0</v>
      </c>
      <c r="CB152" s="39" t="n">
        <f aca="false">IF(CB$4=0,0,IF(COUNTIFS(実績!$W$6:$W$505,CB$3,実績!$AI$6:$AI$505,"&lt;="&amp;$A152,実績!$AJ$6:$AJ$505,"&gt;"&amp;$A152,実績!$AL$6:$AL$505,"○")&gt;0,1,0))</f>
        <v>0</v>
      </c>
      <c r="CC152" s="39" t="n">
        <f aca="false">IF(CC$4=0,0,IF(COUNTIFS(実績!$W$6:$W$505,CC$3,実績!$AI$6:$AI$505,"&lt;="&amp;$A152,実績!$AJ$6:$AJ$505,"&gt;"&amp;$A152,実績!$AL$6:$AL$505,"○")&gt;0,1,0))</f>
        <v>0</v>
      </c>
      <c r="CD152" s="39" t="n">
        <f aca="false">IF(CD$4=0,0,IF(COUNTIFS(実績!$W$6:$W$505,CD$3,実績!$AI$6:$AI$505,"&lt;="&amp;$A152,実績!$AJ$6:$AJ$505,"&gt;"&amp;$A152,実績!$AL$6:$AL$505,"○")&gt;0,1,0))</f>
        <v>0</v>
      </c>
      <c r="CE152" s="39" t="n">
        <f aca="false">IF(CE$4=0,0,IF(COUNTIFS(実績!$W$6:$W$505,CE$3,実績!$AI$6:$AI$505,"&lt;="&amp;$A152,実績!$AJ$6:$AJ$505,"&gt;"&amp;$A152,実績!$AL$6:$AL$505,"○")&gt;0,1,0))</f>
        <v>0</v>
      </c>
      <c r="CF152" s="39" t="n">
        <f aca="false">IF(CF$4=0,0,IF(COUNTIFS(実績!$W$6:$W$505,CF$3,実績!$AI$6:$AI$505,"&lt;="&amp;$A152,実績!$AJ$6:$AJ$505,"&gt;"&amp;$A152,実績!$AL$6:$AL$505,"○")&gt;0,1,0))</f>
        <v>0</v>
      </c>
      <c r="CG152" s="39" t="n">
        <f aca="false">IF(CG$4=0,0,IF(COUNTIFS(実績!$W$6:$W$505,CG$3,実績!$AI$6:$AI$505,"&lt;="&amp;$A152,実績!$AJ$6:$AJ$505,"&gt;"&amp;$A152,実績!$AL$6:$AL$505,"○")&gt;0,1,0))</f>
        <v>0</v>
      </c>
      <c r="CH152" s="39" t="n">
        <f aca="false">IF(CH$4=0,0,IF(COUNTIFS(実績!$W$6:$W$505,CH$3,実績!$AI$6:$AI$505,"&lt;="&amp;$A152,実績!$AJ$6:$AJ$505,"&gt;"&amp;$A152,実績!$AL$6:$AL$505,"○")&gt;0,1,0))</f>
        <v>0</v>
      </c>
      <c r="CI152" s="39" t="n">
        <f aca="false">IF(CI$4=0,0,IF(COUNTIFS(実績!$W$6:$W$505,CI$3,実績!$AI$6:$AI$505,"&lt;="&amp;$A152,実績!$AJ$6:$AJ$505,"&gt;"&amp;$A152,実績!$AL$6:$AL$505,"○")&gt;0,1,0))</f>
        <v>0</v>
      </c>
      <c r="CJ152" s="39" t="n">
        <f aca="false">IF(CJ$4=0,0,IF(COUNTIFS(実績!$W$6:$W$505,CJ$3,実績!$AI$6:$AI$505,"&lt;="&amp;$A152,実績!$AJ$6:$AJ$505,"&gt;"&amp;$A152,実績!$AL$6:$AL$505,"○")&gt;0,1,0))</f>
        <v>0</v>
      </c>
      <c r="CK152" s="39" t="n">
        <f aca="false">IF(CK$4=0,0,IF(COUNTIFS(実績!$W$6:$W$505,CK$3,実績!$AI$6:$AI$505,"&lt;="&amp;$A152,実績!$AJ$6:$AJ$505,"&gt;"&amp;$A152,実績!$AL$6:$AL$505,"○")&gt;0,1,0))</f>
        <v>0</v>
      </c>
      <c r="CL152" s="39" t="n">
        <f aca="false">IF(CL$4=0,0,IF(COUNTIFS(実績!$W$6:$W$505,CL$3,実績!$AI$6:$AI$505,"&lt;="&amp;$A152,実績!$AJ$6:$AJ$505,"&gt;"&amp;$A152,実績!$AL$6:$AL$505,"○")&gt;0,1,0))</f>
        <v>0</v>
      </c>
      <c r="CM152" s="39" t="n">
        <f aca="false">IF(CM$4=0,0,IF(COUNTIFS(実績!$W$6:$W$505,CM$3,実績!$AI$6:$AI$505,"&lt;="&amp;$A152,実績!$AJ$6:$AJ$505,"&gt;"&amp;$A152,実績!$AL$6:$AL$505,"○")&gt;0,1,0))</f>
        <v>0</v>
      </c>
      <c r="CN152" s="39" t="n">
        <f aca="false">IF(CN$4=0,0,IF(COUNTIFS(実績!$W$6:$W$505,CN$3,実績!$AI$6:$AI$505,"&lt;="&amp;$A152,実績!$AJ$6:$AJ$505,"&gt;"&amp;$A152,実績!$AL$6:$AL$505,"○")&gt;0,1,0))</f>
        <v>0</v>
      </c>
      <c r="CO152" s="39" t="n">
        <f aca="false">IF(CO$4=0,0,IF(COUNTIFS(実績!$W$6:$W$505,CO$3,実績!$AI$6:$AI$505,"&lt;="&amp;$A152,実績!$AJ$6:$AJ$505,"&gt;"&amp;$A152,実績!$AL$6:$AL$505,"○")&gt;0,1,0))</f>
        <v>0</v>
      </c>
      <c r="CP152" s="39" t="n">
        <f aca="false">IF(CP$4=0,0,IF(COUNTIFS(実績!$W$6:$W$505,CP$3,実績!$AI$6:$AI$505,"&lt;="&amp;$A152,実績!$AJ$6:$AJ$505,"&gt;"&amp;$A152,実績!$AL$6:$AL$505,"○")&gt;0,1,0))</f>
        <v>0</v>
      </c>
      <c r="CQ152" s="39" t="n">
        <f aca="false">IF(CQ$4=0,0,IF(COUNTIFS(実績!$W$6:$W$505,CQ$3,実績!$AI$6:$AI$505,"&lt;="&amp;$A152,実績!$AJ$6:$AJ$505,"&gt;"&amp;$A152,実績!$AL$6:$AL$505,"○")&gt;0,1,0))</f>
        <v>0</v>
      </c>
      <c r="CR152" s="39" t="n">
        <f aca="false">IF(CR$4=0,0,IF(COUNTIFS(実績!$W$6:$W$505,CR$3,実績!$AI$6:$AI$505,"&lt;="&amp;$A152,実績!$AJ$6:$AJ$505,"&gt;"&amp;$A152,実績!$AL$6:$AL$505,"○")&gt;0,1,0))</f>
        <v>0</v>
      </c>
      <c r="CS152" s="39" t="n">
        <f aca="false">IF(CS$4=0,0,IF(COUNTIFS(実績!$W$6:$W$505,CS$3,実績!$AI$6:$AI$505,"&lt;="&amp;$A152,実績!$AJ$6:$AJ$505,"&gt;"&amp;$A152,実績!$AL$6:$AL$505,"○")&gt;0,1,0))</f>
        <v>0</v>
      </c>
      <c r="CT152" s="39" t="n">
        <f aca="false">IF(CT$4=0,0,IF(COUNTIFS(実績!$W$6:$W$505,CT$3,実績!$AI$6:$AI$505,"&lt;="&amp;$A152,実績!$AJ$6:$AJ$505,"&gt;"&amp;$A152,実績!$AL$6:$AL$505,"○")&gt;0,1,0))</f>
        <v>0</v>
      </c>
      <c r="CU152" s="39" t="n">
        <f aca="false">IF(CU$4=0,0,IF(COUNTIFS(実績!$W$6:$W$505,CU$3,実績!$AI$6:$AI$505,"&lt;="&amp;$A152,実績!$AJ$6:$AJ$505,"&gt;"&amp;$A152,実績!$AL$6:$AL$505,"○")&gt;0,1,0))</f>
        <v>0</v>
      </c>
      <c r="CV152" s="39" t="n">
        <f aca="false">IF(CV$4=0,0,IF(COUNTIFS(実績!$W$6:$W$505,CV$3,実績!$AI$6:$AI$505,"&lt;="&amp;$A152,実績!$AJ$6:$AJ$505,"&gt;"&amp;$A152,実績!$AL$6:$AL$505,"○")&gt;0,1,0))</f>
        <v>0</v>
      </c>
      <c r="CW152" s="39" t="n">
        <f aca="false">IF(CW$4=0,0,IF(COUNTIFS(実績!$W$6:$W$505,CW$3,実績!$AI$6:$AI$505,"&lt;="&amp;$A152,実績!$AJ$6:$AJ$505,"&gt;"&amp;$A152,実績!$AL$6:$AL$505,"○")&gt;0,1,0))</f>
        <v>0</v>
      </c>
      <c r="CX152" s="39" t="n">
        <f aca="false">IF(CX$4=0,0,IF(COUNTIFS(実績!$W$6:$W$505,CX$3,実績!$AI$6:$AI$505,"&lt;="&amp;$A152,実績!$AJ$6:$AJ$505,"&gt;"&amp;$A152,実績!$AL$6:$AL$505,"○")&gt;0,1,0))</f>
        <v>0</v>
      </c>
      <c r="CY152" s="39" t="n">
        <f aca="false">IF(CY$4=0,0,IF(COUNTIFS(実績!$W$6:$W$505,CY$3,実績!$AI$6:$AI$505,"&lt;="&amp;$A152,実績!$AJ$6:$AJ$505,"&gt;"&amp;$A152,実績!$AL$6:$AL$505,"○")&gt;0,1,0))</f>
        <v>0</v>
      </c>
      <c r="CZ152" s="39" t="n">
        <f aca="false">IF(CZ$4=0,0,IF(COUNTIFS(実績!$W$6:$W$505,CZ$3,実績!$AI$6:$AI$505,"&lt;="&amp;$A152,実績!$AJ$6:$AJ$505,"&gt;"&amp;$A152,実績!$AL$6:$AL$505,"○")&gt;0,1,0))</f>
        <v>0</v>
      </c>
      <c r="DA152" s="39" t="n">
        <f aca="false">IF(DA$4=0,0,IF(COUNTIFS(実績!$W$6:$W$505,DA$3,実績!$AI$6:$AI$505,"&lt;="&amp;$A152,実績!$AJ$6:$AJ$505,"&gt;"&amp;$A152,実績!$AL$6:$AL$505,"○")&gt;0,1,0))</f>
        <v>0</v>
      </c>
      <c r="DB152" s="39" t="n">
        <f aca="false">IF(DB$4=0,0,IF(COUNTIFS(実績!$W$6:$W$505,DB$3,実績!$AI$6:$AI$505,"&lt;="&amp;$A152,実績!$AJ$6:$AJ$505,"&gt;"&amp;$A152,実績!$AL$6:$AL$505,"○")&gt;0,1,0))</f>
        <v>0</v>
      </c>
      <c r="DC152" s="39" t="n">
        <f aca="false">IF(DC$4=0,0,IF(COUNTIFS(実績!$W$6:$W$505,DC$3,実績!$AI$6:$AI$505,"&lt;="&amp;$A152,実績!$AJ$6:$AJ$505,"&gt;"&amp;$A152,実績!$AL$6:$AL$505,"○")&gt;0,1,0))</f>
        <v>0</v>
      </c>
      <c r="DD152" s="39" t="n">
        <f aca="false">IF(DD$4=0,0,IF(COUNTIFS(実績!$W$6:$W$505,DD$3,実績!$AI$6:$AI$505,"&lt;="&amp;$A152,実績!$AJ$6:$AJ$505,"&gt;"&amp;$A152,実績!$AL$6:$AL$505,"○")&gt;0,1,0))</f>
        <v>0</v>
      </c>
      <c r="DE152" s="39" t="n">
        <f aca="false">IF(DE$4=0,0,IF(COUNTIFS(実績!$W$6:$W$505,DE$3,実績!$AI$6:$AI$505,"&lt;="&amp;$A152,実績!$AJ$6:$AJ$505,"&gt;"&amp;$A152,実績!$AL$6:$AL$505,"○")&gt;0,1,0))</f>
        <v>0</v>
      </c>
      <c r="DF152" s="39" t="n">
        <f aca="false">IF(DF$4=0,0,IF(COUNTIFS(実績!$W$6:$W$505,DF$3,実績!$AI$6:$AI$505,"&lt;="&amp;$A152,実績!$AJ$6:$AJ$505,"&gt;"&amp;$A152,実績!$AL$6:$AL$505,"○")&gt;0,1,0))</f>
        <v>0</v>
      </c>
      <c r="DG152" s="39" t="n">
        <f aca="false">IF(DG$4=0,0,IF(COUNTIFS(実績!$W$6:$W$505,DG$3,実績!$AI$6:$AI$505,"&lt;="&amp;$A152,実績!$AJ$6:$AJ$505,"&gt;"&amp;$A152,実績!$AL$6:$AL$505,"○")&gt;0,1,0))</f>
        <v>0</v>
      </c>
      <c r="DH152" s="39" t="n">
        <f aca="false">IF(DH$4=0,0,IF(COUNTIFS(実績!$W$6:$W$505,DH$3,実績!$AI$6:$AI$505,"&lt;="&amp;$A152,実績!$AJ$6:$AJ$505,"&gt;"&amp;$A152,実績!$AL$6:$AL$505,"○")&gt;0,1,0))</f>
        <v>0</v>
      </c>
      <c r="DI152" s="39" t="n">
        <f aca="false">IF(DI$4=0,0,IF(COUNTIFS(実績!$W$6:$W$505,DI$3,実績!$AI$6:$AI$505,"&lt;="&amp;$A152,実績!$AJ$6:$AJ$505,"&gt;"&amp;$A152,実績!$AL$6:$AL$505,"○")&gt;0,1,0))</f>
        <v>0</v>
      </c>
      <c r="DJ152" s="39" t="n">
        <f aca="false">IF(DJ$4=0,0,IF(COUNTIFS(実績!$W$6:$W$505,DJ$3,実績!$AI$6:$AI$505,"&lt;="&amp;$A152,実績!$AJ$6:$AJ$505,"&gt;"&amp;$A152,実績!$AL$6:$AL$505,"○")&gt;0,1,0))</f>
        <v>0</v>
      </c>
      <c r="DK152" s="39" t="n">
        <f aca="false">IF(DK$4=0,0,IF(COUNTIFS(実績!$W$6:$W$505,DK$3,実績!$AI$6:$AI$505,"&lt;="&amp;$A152,実績!$AJ$6:$AJ$505,"&gt;"&amp;$A152,実績!$AL$6:$AL$505,"○")&gt;0,1,0))</f>
        <v>0</v>
      </c>
      <c r="DL152" s="39" t="n">
        <f aca="false">IF(DL$4=0,0,IF(COUNTIFS(実績!$W$6:$W$505,DL$3,実績!$AI$6:$AI$505,"&lt;="&amp;$A152,実績!$AJ$6:$AJ$505,"&gt;"&amp;$A152,実績!$AL$6:$AL$505,"○")&gt;0,1,0))</f>
        <v>0</v>
      </c>
      <c r="DM152" s="39" t="n">
        <f aca="false">IF(DM$4=0,0,IF(COUNTIFS(実績!$W$6:$W$505,DM$3,実績!$AI$6:$AI$505,"&lt;="&amp;$A152,実績!$AJ$6:$AJ$505,"&gt;"&amp;$A152,実績!$AL$6:$AL$505,"○")&gt;0,1,0))</f>
        <v>0</v>
      </c>
      <c r="DN152" s="39" t="n">
        <f aca="false">IF(DN$4=0,0,IF(COUNTIFS(実績!$W$6:$W$505,DN$3,実績!$AI$6:$AI$505,"&lt;="&amp;$A152,実績!$AJ$6:$AJ$505,"&gt;"&amp;$A152,実績!$AL$6:$AL$505,"○")&gt;0,1,0))</f>
        <v>0</v>
      </c>
      <c r="DO152" s="39" t="n">
        <f aca="false">IF(DO$4=0,0,IF(COUNTIFS(実績!$W$6:$W$505,DO$3,実績!$AI$6:$AI$505,"&lt;="&amp;$A152,実績!$AJ$6:$AJ$505,"&gt;"&amp;$A152,実績!$AL$6:$AL$505,"○")&gt;0,1,0))</f>
        <v>0</v>
      </c>
      <c r="DP152" s="39" t="n">
        <f aca="false">IF(DP$4=0,0,IF(COUNTIFS(実績!$W$6:$W$505,DP$3,実績!$AI$6:$AI$505,"&lt;="&amp;$A152,実績!$AJ$6:$AJ$505,"&gt;"&amp;$A152,実績!$AL$6:$AL$505,"○")&gt;0,1,0))</f>
        <v>0</v>
      </c>
      <c r="DQ152" s="39" t="n">
        <f aca="false">IF(DQ$4=0,0,IF(COUNTIFS(実績!$W$6:$W$505,DQ$3,実績!$AI$6:$AI$505,"&lt;="&amp;$A152,実績!$AJ$6:$AJ$505,"&gt;"&amp;$A152,実績!$AL$6:$AL$505,"○")&gt;0,1,0))</f>
        <v>0</v>
      </c>
      <c r="DR152" s="39" t="n">
        <f aca="false">IF(DR$4=0,0,IF(COUNTIFS(実績!$W$6:$W$505,DR$3,実績!$AI$6:$AI$505,"&lt;="&amp;$A152,実績!$AJ$6:$AJ$505,"&gt;"&amp;$A152,実績!$AL$6:$AL$505,"○")&gt;0,1,0))</f>
        <v>0</v>
      </c>
      <c r="DS152" s="39" t="n">
        <f aca="false">SUM(C152:DR152)</f>
        <v>0</v>
      </c>
    </row>
    <row r="153" customFormat="false" ht="15" hidden="false" customHeight="false" outlineLevel="0" collapsed="false">
      <c r="A153" s="0" t="n">
        <v>735</v>
      </c>
      <c r="B153" s="38" t="n">
        <f aca="false">A153/1440</f>
        <v>0.510416666666667</v>
      </c>
      <c r="C153" s="39" t="n">
        <f aca="false">IF(C$4=0,0,IF(COUNTIFS(実績!$W$6:$W$505,C$3,実績!$AI$6:$AI$505,"&lt;="&amp;$A153,実績!$AJ$6:$AJ$505,"&gt;"&amp;$A153,実績!$AL$6:$AL$505,"○")&gt;0,1,0))</f>
        <v>0</v>
      </c>
      <c r="D153" s="39" t="n">
        <f aca="false">IF(D$4=0,0,IF(COUNTIFS(実績!$W$6:$W$505,D$3,実績!$AI$6:$AI$505,"&lt;="&amp;$A153,実績!$AJ$6:$AJ$505,"&gt;"&amp;$A153,実績!$AL$6:$AL$505,"○")&gt;0,1,0))</f>
        <v>0</v>
      </c>
      <c r="E153" s="39" t="n">
        <f aca="false">IF(E$4=0,0,IF(COUNTIFS(実績!$W$6:$W$505,E$3,実績!$AI$6:$AI$505,"&lt;="&amp;$A153,実績!$AJ$6:$AJ$505,"&gt;"&amp;$A153,実績!$AL$6:$AL$505,"○")&gt;0,1,0))</f>
        <v>0</v>
      </c>
      <c r="F153" s="39" t="n">
        <f aca="false">IF(F$4=0,0,IF(COUNTIFS(実績!$W$6:$W$505,F$3,実績!$AI$6:$AI$505,"&lt;="&amp;$A153,実績!$AJ$6:$AJ$505,"&gt;"&amp;$A153,実績!$AL$6:$AL$505,"○")&gt;0,1,0))</f>
        <v>0</v>
      </c>
      <c r="G153" s="39" t="n">
        <f aca="false">IF(G$4=0,0,IF(COUNTIFS(実績!$W$6:$W$505,G$3,実績!$AI$6:$AI$505,"&lt;="&amp;$A153,実績!$AJ$6:$AJ$505,"&gt;"&amp;$A153,実績!$AL$6:$AL$505,"○")&gt;0,1,0))</f>
        <v>0</v>
      </c>
      <c r="H153" s="39" t="n">
        <f aca="false">IF(H$4=0,0,IF(COUNTIFS(実績!$W$6:$W$505,H$3,実績!$AI$6:$AI$505,"&lt;="&amp;$A153,実績!$AJ$6:$AJ$505,"&gt;"&amp;$A153,実績!$AL$6:$AL$505,"○")&gt;0,1,0))</f>
        <v>0</v>
      </c>
      <c r="I153" s="39" t="n">
        <f aca="false">IF(I$4=0,0,IF(COUNTIFS(実績!$W$6:$W$505,I$3,実績!$AI$6:$AI$505,"&lt;="&amp;$A153,実績!$AJ$6:$AJ$505,"&gt;"&amp;$A153,実績!$AL$6:$AL$505,"○")&gt;0,1,0))</f>
        <v>0</v>
      </c>
      <c r="J153" s="39" t="n">
        <f aca="false">IF(J$4=0,0,IF(COUNTIFS(実績!$W$6:$W$505,J$3,実績!$AI$6:$AI$505,"&lt;="&amp;$A153,実績!$AJ$6:$AJ$505,"&gt;"&amp;$A153,実績!$AL$6:$AL$505,"○")&gt;0,1,0))</f>
        <v>0</v>
      </c>
      <c r="K153" s="39" t="n">
        <f aca="false">IF(K$4=0,0,IF(COUNTIFS(実績!$W$6:$W$505,K$3,実績!$AI$6:$AI$505,"&lt;="&amp;$A153,実績!$AJ$6:$AJ$505,"&gt;"&amp;$A153,実績!$AL$6:$AL$505,"○")&gt;0,1,0))</f>
        <v>0</v>
      </c>
      <c r="L153" s="39" t="n">
        <f aca="false">IF(L$4=0,0,IF(COUNTIFS(実績!$W$6:$W$505,L$3,実績!$AI$6:$AI$505,"&lt;="&amp;$A153,実績!$AJ$6:$AJ$505,"&gt;"&amp;$A153,実績!$AL$6:$AL$505,"○")&gt;0,1,0))</f>
        <v>0</v>
      </c>
      <c r="M153" s="39" t="n">
        <f aca="false">IF(M$4=0,0,IF(COUNTIFS(実績!$W$6:$W$505,M$3,実績!$AI$6:$AI$505,"&lt;="&amp;$A153,実績!$AJ$6:$AJ$505,"&gt;"&amp;$A153,実績!$AL$6:$AL$505,"○")&gt;0,1,0))</f>
        <v>0</v>
      </c>
      <c r="N153" s="39" t="n">
        <f aca="false">IF(N$4=0,0,IF(COUNTIFS(実績!$W$6:$W$505,N$3,実績!$AI$6:$AI$505,"&lt;="&amp;$A153,実績!$AJ$6:$AJ$505,"&gt;"&amp;$A153,実績!$AL$6:$AL$505,"○")&gt;0,1,0))</f>
        <v>0</v>
      </c>
      <c r="O153" s="39" t="n">
        <f aca="false">IF(O$4=0,0,IF(COUNTIFS(実績!$W$6:$W$505,O$3,実績!$AI$6:$AI$505,"&lt;="&amp;$A153,実績!$AJ$6:$AJ$505,"&gt;"&amp;$A153,実績!$AL$6:$AL$505,"○")&gt;0,1,0))</f>
        <v>0</v>
      </c>
      <c r="P153" s="39" t="n">
        <f aca="false">IF(P$4=0,0,IF(COUNTIFS(実績!$W$6:$W$505,P$3,実績!$AI$6:$AI$505,"&lt;="&amp;$A153,実績!$AJ$6:$AJ$505,"&gt;"&amp;$A153,実績!$AL$6:$AL$505,"○")&gt;0,1,0))</f>
        <v>0</v>
      </c>
      <c r="Q153" s="39" t="n">
        <f aca="false">IF(Q$4=0,0,IF(COUNTIFS(実績!$W$6:$W$505,Q$3,実績!$AI$6:$AI$505,"&lt;="&amp;$A153,実績!$AJ$6:$AJ$505,"&gt;"&amp;$A153,実績!$AL$6:$AL$505,"○")&gt;0,1,0))</f>
        <v>0</v>
      </c>
      <c r="R153" s="39" t="n">
        <f aca="false">IF(R$4=0,0,IF(COUNTIFS(実績!$W$6:$W$505,R$3,実績!$AI$6:$AI$505,"&lt;="&amp;$A153,実績!$AJ$6:$AJ$505,"&gt;"&amp;$A153,実績!$AL$6:$AL$505,"○")&gt;0,1,0))</f>
        <v>0</v>
      </c>
      <c r="S153" s="39" t="n">
        <f aca="false">IF(S$4=0,0,IF(COUNTIFS(実績!$W$6:$W$505,S$3,実績!$AI$6:$AI$505,"&lt;="&amp;$A153,実績!$AJ$6:$AJ$505,"&gt;"&amp;$A153,実績!$AL$6:$AL$505,"○")&gt;0,1,0))</f>
        <v>0</v>
      </c>
      <c r="T153" s="39" t="n">
        <f aca="false">IF(T$4=0,0,IF(COUNTIFS(実績!$W$6:$W$505,T$3,実績!$AI$6:$AI$505,"&lt;="&amp;$A153,実績!$AJ$6:$AJ$505,"&gt;"&amp;$A153,実績!$AL$6:$AL$505,"○")&gt;0,1,0))</f>
        <v>0</v>
      </c>
      <c r="U153" s="39" t="n">
        <f aca="false">IF(U$4=0,0,IF(COUNTIFS(実績!$W$6:$W$505,U$3,実績!$AI$6:$AI$505,"&lt;="&amp;$A153,実績!$AJ$6:$AJ$505,"&gt;"&amp;$A153,実績!$AL$6:$AL$505,"○")&gt;0,1,0))</f>
        <v>0</v>
      </c>
      <c r="V153" s="39" t="n">
        <f aca="false">IF(V$4=0,0,IF(COUNTIFS(実績!$W$6:$W$505,V$3,実績!$AI$6:$AI$505,"&lt;="&amp;$A153,実績!$AJ$6:$AJ$505,"&gt;"&amp;$A153,実績!$AL$6:$AL$505,"○")&gt;0,1,0))</f>
        <v>0</v>
      </c>
      <c r="W153" s="39" t="n">
        <f aca="false">IF(W$4=0,0,IF(COUNTIFS(実績!$W$6:$W$505,W$3,実績!$AI$6:$AI$505,"&lt;="&amp;$A153,実績!$AJ$6:$AJ$505,"&gt;"&amp;$A153,実績!$AL$6:$AL$505,"○")&gt;0,1,0))</f>
        <v>0</v>
      </c>
      <c r="X153" s="39" t="n">
        <f aca="false">IF(X$4=0,0,IF(COUNTIFS(実績!$W$6:$W$505,X$3,実績!$AI$6:$AI$505,"&lt;="&amp;$A153,実績!$AJ$6:$AJ$505,"&gt;"&amp;$A153,実績!$AL$6:$AL$505,"○")&gt;0,1,0))</f>
        <v>0</v>
      </c>
      <c r="Y153" s="39" t="n">
        <f aca="false">IF(Y$4=0,0,IF(COUNTIFS(実績!$W$6:$W$505,Y$3,実績!$AI$6:$AI$505,"&lt;="&amp;$A153,実績!$AJ$6:$AJ$505,"&gt;"&amp;$A153,実績!$AL$6:$AL$505,"○")&gt;0,1,0))</f>
        <v>0</v>
      </c>
      <c r="Z153" s="39" t="n">
        <f aca="false">IF(Z$4=0,0,IF(COUNTIFS(実績!$W$6:$W$505,Z$3,実績!$AI$6:$AI$505,"&lt;="&amp;$A153,実績!$AJ$6:$AJ$505,"&gt;"&amp;$A153,実績!$AL$6:$AL$505,"○")&gt;0,1,0))</f>
        <v>0</v>
      </c>
      <c r="AA153" s="39" t="n">
        <f aca="false">IF(AA$4=0,0,IF(COUNTIFS(実績!$W$6:$W$505,AA$3,実績!$AI$6:$AI$505,"&lt;="&amp;$A153,実績!$AJ$6:$AJ$505,"&gt;"&amp;$A153,実績!$AL$6:$AL$505,"○")&gt;0,1,0))</f>
        <v>0</v>
      </c>
      <c r="AB153" s="39" t="n">
        <f aca="false">IF(AB$4=0,0,IF(COUNTIFS(実績!$W$6:$W$505,AB$3,実績!$AI$6:$AI$505,"&lt;="&amp;$A153,実績!$AJ$6:$AJ$505,"&gt;"&amp;$A153,実績!$AL$6:$AL$505,"○")&gt;0,1,0))</f>
        <v>0</v>
      </c>
      <c r="AC153" s="39" t="n">
        <f aca="false">IF(AC$4=0,0,IF(COUNTIFS(実績!$W$6:$W$505,AC$3,実績!$AI$6:$AI$505,"&lt;="&amp;$A153,実績!$AJ$6:$AJ$505,"&gt;"&amp;$A153,実績!$AL$6:$AL$505,"○")&gt;0,1,0))</f>
        <v>0</v>
      </c>
      <c r="AD153" s="39" t="n">
        <f aca="false">IF(AD$4=0,0,IF(COUNTIFS(実績!$W$6:$W$505,AD$3,実績!$AI$6:$AI$505,"&lt;="&amp;$A153,実績!$AJ$6:$AJ$505,"&gt;"&amp;$A153,実績!$AL$6:$AL$505,"○")&gt;0,1,0))</f>
        <v>0</v>
      </c>
      <c r="AE153" s="39" t="n">
        <f aca="false">IF(AE$4=0,0,IF(COUNTIFS(実績!$W$6:$W$505,AE$3,実績!$AI$6:$AI$505,"&lt;="&amp;$A153,実績!$AJ$6:$AJ$505,"&gt;"&amp;$A153,実績!$AL$6:$AL$505,"○")&gt;0,1,0))</f>
        <v>0</v>
      </c>
      <c r="AF153" s="39" t="n">
        <f aca="false">IF(AF$4=0,0,IF(COUNTIFS(実績!$W$6:$W$505,AF$3,実績!$AI$6:$AI$505,"&lt;="&amp;$A153,実績!$AJ$6:$AJ$505,"&gt;"&amp;$A153,実績!$AL$6:$AL$505,"○")&gt;0,1,0))</f>
        <v>0</v>
      </c>
      <c r="AG153" s="39" t="n">
        <f aca="false">IF(AG$4=0,0,IF(COUNTIFS(実績!$W$6:$W$505,AG$3,実績!$AI$6:$AI$505,"&lt;="&amp;$A153,実績!$AJ$6:$AJ$505,"&gt;"&amp;$A153,実績!$AL$6:$AL$505,"○")&gt;0,1,0))</f>
        <v>0</v>
      </c>
      <c r="AH153" s="39" t="n">
        <f aca="false">IF(AH$4=0,0,IF(COUNTIFS(実績!$W$6:$W$505,AH$3,実績!$AI$6:$AI$505,"&lt;="&amp;$A153,実績!$AJ$6:$AJ$505,"&gt;"&amp;$A153,実績!$AL$6:$AL$505,"○")&gt;0,1,0))</f>
        <v>0</v>
      </c>
      <c r="AI153" s="39" t="n">
        <f aca="false">IF(AI$4=0,0,IF(COUNTIFS(実績!$W$6:$W$505,AI$3,実績!$AI$6:$AI$505,"&lt;="&amp;$A153,実績!$AJ$6:$AJ$505,"&gt;"&amp;$A153,実績!$AL$6:$AL$505,"○")&gt;0,1,0))</f>
        <v>0</v>
      </c>
      <c r="AJ153" s="39" t="n">
        <f aca="false">IF(AJ$4=0,0,IF(COUNTIFS(実績!$W$6:$W$505,AJ$3,実績!$AI$6:$AI$505,"&lt;="&amp;$A153,実績!$AJ$6:$AJ$505,"&gt;"&amp;$A153,実績!$AL$6:$AL$505,"○")&gt;0,1,0))</f>
        <v>0</v>
      </c>
      <c r="AK153" s="39" t="n">
        <f aca="false">IF(AK$4=0,0,IF(COUNTIFS(実績!$W$6:$W$505,AK$3,実績!$AI$6:$AI$505,"&lt;="&amp;$A153,実績!$AJ$6:$AJ$505,"&gt;"&amp;$A153,実績!$AL$6:$AL$505,"○")&gt;0,1,0))</f>
        <v>0</v>
      </c>
      <c r="AL153" s="39" t="n">
        <f aca="false">IF(AL$4=0,0,IF(COUNTIFS(実績!$W$6:$W$505,AL$3,実績!$AI$6:$AI$505,"&lt;="&amp;$A153,実績!$AJ$6:$AJ$505,"&gt;"&amp;$A153,実績!$AL$6:$AL$505,"○")&gt;0,1,0))</f>
        <v>0</v>
      </c>
      <c r="AM153" s="39" t="n">
        <f aca="false">IF(AM$4=0,0,IF(COUNTIFS(実績!$W$6:$W$505,AM$3,実績!$AI$6:$AI$505,"&lt;="&amp;$A153,実績!$AJ$6:$AJ$505,"&gt;"&amp;$A153,実績!$AL$6:$AL$505,"○")&gt;0,1,0))</f>
        <v>0</v>
      </c>
      <c r="AN153" s="39" t="n">
        <f aca="false">IF(AN$4=0,0,IF(COUNTIFS(実績!$W$6:$W$505,AN$3,実績!$AI$6:$AI$505,"&lt;="&amp;$A153,実績!$AJ$6:$AJ$505,"&gt;"&amp;$A153,実績!$AL$6:$AL$505,"○")&gt;0,1,0))</f>
        <v>0</v>
      </c>
      <c r="AO153" s="39" t="n">
        <f aca="false">IF(AO$4=0,0,IF(COUNTIFS(実績!$W$6:$W$505,AO$3,実績!$AI$6:$AI$505,"&lt;="&amp;$A153,実績!$AJ$6:$AJ$505,"&gt;"&amp;$A153,実績!$AL$6:$AL$505,"○")&gt;0,1,0))</f>
        <v>0</v>
      </c>
      <c r="AP153" s="39" t="n">
        <f aca="false">IF(AP$4=0,0,IF(COUNTIFS(実績!$W$6:$W$505,AP$3,実績!$AI$6:$AI$505,"&lt;="&amp;$A153,実績!$AJ$6:$AJ$505,"&gt;"&amp;$A153,実績!$AL$6:$AL$505,"○")&gt;0,1,0))</f>
        <v>0</v>
      </c>
      <c r="AQ153" s="39" t="n">
        <f aca="false">IF(AQ$4=0,0,IF(COUNTIFS(実績!$W$6:$W$505,AQ$3,実績!$AI$6:$AI$505,"&lt;="&amp;$A153,実績!$AJ$6:$AJ$505,"&gt;"&amp;$A153,実績!$AL$6:$AL$505,"○")&gt;0,1,0))</f>
        <v>0</v>
      </c>
      <c r="AR153" s="39" t="n">
        <f aca="false">IF(AR$4=0,0,IF(COUNTIFS(実績!$W$6:$W$505,AR$3,実績!$AI$6:$AI$505,"&lt;="&amp;$A153,実績!$AJ$6:$AJ$505,"&gt;"&amp;$A153,実績!$AL$6:$AL$505,"○")&gt;0,1,0))</f>
        <v>0</v>
      </c>
      <c r="AS153" s="39" t="n">
        <f aca="false">IF(AS$4=0,0,IF(COUNTIFS(実績!$W$6:$W$505,AS$3,実績!$AI$6:$AI$505,"&lt;="&amp;$A153,実績!$AJ$6:$AJ$505,"&gt;"&amp;$A153,実績!$AL$6:$AL$505,"○")&gt;0,1,0))</f>
        <v>0</v>
      </c>
      <c r="AT153" s="39" t="n">
        <f aca="false">IF(AT$4=0,0,IF(COUNTIFS(実績!$W$6:$W$505,AT$3,実績!$AI$6:$AI$505,"&lt;="&amp;$A153,実績!$AJ$6:$AJ$505,"&gt;"&amp;$A153,実績!$AL$6:$AL$505,"○")&gt;0,1,0))</f>
        <v>0</v>
      </c>
      <c r="AU153" s="39" t="n">
        <f aca="false">IF(AU$4=0,0,IF(COUNTIFS(実績!$W$6:$W$505,AU$3,実績!$AI$6:$AI$505,"&lt;="&amp;$A153,実績!$AJ$6:$AJ$505,"&gt;"&amp;$A153,実績!$AL$6:$AL$505,"○")&gt;0,1,0))</f>
        <v>0</v>
      </c>
      <c r="AV153" s="39" t="n">
        <f aca="false">IF(AV$4=0,0,IF(COUNTIFS(実績!$W$6:$W$505,AV$3,実績!$AI$6:$AI$505,"&lt;="&amp;$A153,実績!$AJ$6:$AJ$505,"&gt;"&amp;$A153,実績!$AL$6:$AL$505,"○")&gt;0,1,0))</f>
        <v>0</v>
      </c>
      <c r="AW153" s="39" t="n">
        <f aca="false">IF(AW$4=0,0,IF(COUNTIFS(実績!$W$6:$W$505,AW$3,実績!$AI$6:$AI$505,"&lt;="&amp;$A153,実績!$AJ$6:$AJ$505,"&gt;"&amp;$A153,実績!$AL$6:$AL$505,"○")&gt;0,1,0))</f>
        <v>0</v>
      </c>
      <c r="AX153" s="39" t="n">
        <f aca="false">IF(AX$4=0,0,IF(COUNTIFS(実績!$W$6:$W$505,AX$3,実績!$AI$6:$AI$505,"&lt;="&amp;$A153,実績!$AJ$6:$AJ$505,"&gt;"&amp;$A153,実績!$AL$6:$AL$505,"○")&gt;0,1,0))</f>
        <v>0</v>
      </c>
      <c r="AY153" s="39" t="n">
        <f aca="false">IF(AY$4=0,0,IF(COUNTIFS(実績!$W$6:$W$505,AY$3,実績!$AI$6:$AI$505,"&lt;="&amp;$A153,実績!$AJ$6:$AJ$505,"&gt;"&amp;$A153,実績!$AL$6:$AL$505,"○")&gt;0,1,0))</f>
        <v>0</v>
      </c>
      <c r="AZ153" s="39" t="n">
        <f aca="false">IF(AZ$4=0,0,IF(COUNTIFS(実績!$W$6:$W$505,AZ$3,実績!$AI$6:$AI$505,"&lt;="&amp;$A153,実績!$AJ$6:$AJ$505,"&gt;"&amp;$A153,実績!$AL$6:$AL$505,"○")&gt;0,1,0))</f>
        <v>0</v>
      </c>
      <c r="BA153" s="39" t="n">
        <f aca="false">IF(BA$4=0,0,IF(COUNTIFS(実績!$W$6:$W$505,BA$3,実績!$AI$6:$AI$505,"&lt;="&amp;$A153,実績!$AJ$6:$AJ$505,"&gt;"&amp;$A153,実績!$AL$6:$AL$505,"○")&gt;0,1,0))</f>
        <v>0</v>
      </c>
      <c r="BB153" s="39" t="n">
        <f aca="false">IF(BB$4=0,0,IF(COUNTIFS(実績!$W$6:$W$505,BB$3,実績!$AI$6:$AI$505,"&lt;="&amp;$A153,実績!$AJ$6:$AJ$505,"&gt;"&amp;$A153,実績!$AL$6:$AL$505,"○")&gt;0,1,0))</f>
        <v>0</v>
      </c>
      <c r="BC153" s="39" t="n">
        <f aca="false">IF(BC$4=0,0,IF(COUNTIFS(実績!$W$6:$W$505,BC$3,実績!$AI$6:$AI$505,"&lt;="&amp;$A153,実績!$AJ$6:$AJ$505,"&gt;"&amp;$A153,実績!$AL$6:$AL$505,"○")&gt;0,1,0))</f>
        <v>0</v>
      </c>
      <c r="BD153" s="39" t="n">
        <f aca="false">IF(BD$4=0,0,IF(COUNTIFS(実績!$W$6:$W$505,BD$3,実績!$AI$6:$AI$505,"&lt;="&amp;$A153,実績!$AJ$6:$AJ$505,"&gt;"&amp;$A153,実績!$AL$6:$AL$505,"○")&gt;0,1,0))</f>
        <v>0</v>
      </c>
      <c r="BE153" s="39" t="n">
        <f aca="false">IF(BE$4=0,0,IF(COUNTIFS(実績!$W$6:$W$505,BE$3,実績!$AI$6:$AI$505,"&lt;="&amp;$A153,実績!$AJ$6:$AJ$505,"&gt;"&amp;$A153,実績!$AL$6:$AL$505,"○")&gt;0,1,0))</f>
        <v>0</v>
      </c>
      <c r="BF153" s="39" t="n">
        <f aca="false">IF(BF$4=0,0,IF(COUNTIFS(実績!$W$6:$W$505,BF$3,実績!$AI$6:$AI$505,"&lt;="&amp;$A153,実績!$AJ$6:$AJ$505,"&gt;"&amp;$A153,実績!$AL$6:$AL$505,"○")&gt;0,1,0))</f>
        <v>0</v>
      </c>
      <c r="BG153" s="39" t="n">
        <f aca="false">IF(BG$4=0,0,IF(COUNTIFS(実績!$W$6:$W$505,BG$3,実績!$AI$6:$AI$505,"&lt;="&amp;$A153,実績!$AJ$6:$AJ$505,"&gt;"&amp;$A153,実績!$AL$6:$AL$505,"○")&gt;0,1,0))</f>
        <v>0</v>
      </c>
      <c r="BH153" s="39" t="n">
        <f aca="false">IF(BH$4=0,0,IF(COUNTIFS(実績!$W$6:$W$505,BH$3,実績!$AI$6:$AI$505,"&lt;="&amp;$A153,実績!$AJ$6:$AJ$505,"&gt;"&amp;$A153,実績!$AL$6:$AL$505,"○")&gt;0,1,0))</f>
        <v>0</v>
      </c>
      <c r="BI153" s="39" t="n">
        <f aca="false">IF(BI$4=0,0,IF(COUNTIFS(実績!$W$6:$W$505,BI$3,実績!$AI$6:$AI$505,"&lt;="&amp;$A153,実績!$AJ$6:$AJ$505,"&gt;"&amp;$A153,実績!$AL$6:$AL$505,"○")&gt;0,1,0))</f>
        <v>0</v>
      </c>
      <c r="BJ153" s="39" t="n">
        <f aca="false">IF(BJ$4=0,0,IF(COUNTIFS(実績!$W$6:$W$505,BJ$3,実績!$AI$6:$AI$505,"&lt;="&amp;$A153,実績!$AJ$6:$AJ$505,"&gt;"&amp;$A153,実績!$AL$6:$AL$505,"○")&gt;0,1,0))</f>
        <v>0</v>
      </c>
      <c r="BK153" s="39" t="n">
        <f aca="false">IF(BK$4=0,0,IF(COUNTIFS(実績!$W$6:$W$505,BK$3,実績!$AI$6:$AI$505,"&lt;="&amp;$A153,実績!$AJ$6:$AJ$505,"&gt;"&amp;$A153,実績!$AL$6:$AL$505,"○")&gt;0,1,0))</f>
        <v>0</v>
      </c>
      <c r="BL153" s="39" t="n">
        <f aca="false">IF(BL$4=0,0,IF(COUNTIFS(実績!$W$6:$W$505,BL$3,実績!$AI$6:$AI$505,"&lt;="&amp;$A153,実績!$AJ$6:$AJ$505,"&gt;"&amp;$A153,実績!$AL$6:$AL$505,"○")&gt;0,1,0))</f>
        <v>0</v>
      </c>
      <c r="BM153" s="39" t="n">
        <f aca="false">IF(BM$4=0,0,IF(COUNTIFS(実績!$W$6:$W$505,BM$3,実績!$AI$6:$AI$505,"&lt;="&amp;$A153,実績!$AJ$6:$AJ$505,"&gt;"&amp;$A153,実績!$AL$6:$AL$505,"○")&gt;0,1,0))</f>
        <v>0</v>
      </c>
      <c r="BN153" s="39" t="n">
        <f aca="false">IF(BN$4=0,0,IF(COUNTIFS(実績!$W$6:$W$505,BN$3,実績!$AI$6:$AI$505,"&lt;="&amp;$A153,実績!$AJ$6:$AJ$505,"&gt;"&amp;$A153,実績!$AL$6:$AL$505,"○")&gt;0,1,0))</f>
        <v>0</v>
      </c>
      <c r="BO153" s="39" t="n">
        <f aca="false">IF(BO$4=0,0,IF(COUNTIFS(実績!$W$6:$W$505,BO$3,実績!$AI$6:$AI$505,"&lt;="&amp;$A153,実績!$AJ$6:$AJ$505,"&gt;"&amp;$A153,実績!$AL$6:$AL$505,"○")&gt;0,1,0))</f>
        <v>0</v>
      </c>
      <c r="BP153" s="39" t="n">
        <f aca="false">IF(BP$4=0,0,IF(COUNTIFS(実績!$W$6:$W$505,BP$3,実績!$AI$6:$AI$505,"&lt;="&amp;$A153,実績!$AJ$6:$AJ$505,"&gt;"&amp;$A153,実績!$AL$6:$AL$505,"○")&gt;0,1,0))</f>
        <v>0</v>
      </c>
      <c r="BQ153" s="39" t="n">
        <f aca="false">IF(BQ$4=0,0,IF(COUNTIFS(実績!$W$6:$W$505,BQ$3,実績!$AI$6:$AI$505,"&lt;="&amp;$A153,実績!$AJ$6:$AJ$505,"&gt;"&amp;$A153,実績!$AL$6:$AL$505,"○")&gt;0,1,0))</f>
        <v>0</v>
      </c>
      <c r="BR153" s="39" t="n">
        <f aca="false">IF(BR$4=0,0,IF(COUNTIFS(実績!$W$6:$W$505,BR$3,実績!$AI$6:$AI$505,"&lt;="&amp;$A153,実績!$AJ$6:$AJ$505,"&gt;"&amp;$A153,実績!$AL$6:$AL$505,"○")&gt;0,1,0))</f>
        <v>0</v>
      </c>
      <c r="BS153" s="39" t="n">
        <f aca="false">IF(BS$4=0,0,IF(COUNTIFS(実績!$W$6:$W$505,BS$3,実績!$AI$6:$AI$505,"&lt;="&amp;$A153,実績!$AJ$6:$AJ$505,"&gt;"&amp;$A153,実績!$AL$6:$AL$505,"○")&gt;0,1,0))</f>
        <v>0</v>
      </c>
      <c r="BT153" s="39" t="n">
        <f aca="false">IF(BT$4=0,0,IF(COUNTIFS(実績!$W$6:$W$505,BT$3,実績!$AI$6:$AI$505,"&lt;="&amp;$A153,実績!$AJ$6:$AJ$505,"&gt;"&amp;$A153,実績!$AL$6:$AL$505,"○")&gt;0,1,0))</f>
        <v>0</v>
      </c>
      <c r="BU153" s="39" t="n">
        <f aca="false">IF(BU$4=0,0,IF(COUNTIFS(実績!$W$6:$W$505,BU$3,実績!$AI$6:$AI$505,"&lt;="&amp;$A153,実績!$AJ$6:$AJ$505,"&gt;"&amp;$A153,実績!$AL$6:$AL$505,"○")&gt;0,1,0))</f>
        <v>0</v>
      </c>
      <c r="BV153" s="39" t="n">
        <f aca="false">IF(BV$4=0,0,IF(COUNTIFS(実績!$W$6:$W$505,BV$3,実績!$AI$6:$AI$505,"&lt;="&amp;$A153,実績!$AJ$6:$AJ$505,"&gt;"&amp;$A153,実績!$AL$6:$AL$505,"○")&gt;0,1,0))</f>
        <v>0</v>
      </c>
      <c r="BW153" s="39" t="n">
        <f aca="false">IF(BW$4=0,0,IF(COUNTIFS(実績!$W$6:$W$505,BW$3,実績!$AI$6:$AI$505,"&lt;="&amp;$A153,実績!$AJ$6:$AJ$505,"&gt;"&amp;$A153,実績!$AL$6:$AL$505,"○")&gt;0,1,0))</f>
        <v>0</v>
      </c>
      <c r="BX153" s="39" t="n">
        <f aca="false">IF(BX$4=0,0,IF(COUNTIFS(実績!$W$6:$W$505,BX$3,実績!$AI$6:$AI$505,"&lt;="&amp;$A153,実績!$AJ$6:$AJ$505,"&gt;"&amp;$A153,実績!$AL$6:$AL$505,"○")&gt;0,1,0))</f>
        <v>0</v>
      </c>
      <c r="BY153" s="39" t="n">
        <f aca="false">IF(BY$4=0,0,IF(COUNTIFS(実績!$W$6:$W$505,BY$3,実績!$AI$6:$AI$505,"&lt;="&amp;$A153,実績!$AJ$6:$AJ$505,"&gt;"&amp;$A153,実績!$AL$6:$AL$505,"○")&gt;0,1,0))</f>
        <v>0</v>
      </c>
      <c r="BZ153" s="39" t="n">
        <f aca="false">IF(BZ$4=0,0,IF(COUNTIFS(実績!$W$6:$W$505,BZ$3,実績!$AI$6:$AI$505,"&lt;="&amp;$A153,実績!$AJ$6:$AJ$505,"&gt;"&amp;$A153,実績!$AL$6:$AL$505,"○")&gt;0,1,0))</f>
        <v>0</v>
      </c>
      <c r="CA153" s="39" t="n">
        <f aca="false">IF(CA$4=0,0,IF(COUNTIFS(実績!$W$6:$W$505,CA$3,実績!$AI$6:$AI$505,"&lt;="&amp;$A153,実績!$AJ$6:$AJ$505,"&gt;"&amp;$A153,実績!$AL$6:$AL$505,"○")&gt;0,1,0))</f>
        <v>0</v>
      </c>
      <c r="CB153" s="39" t="n">
        <f aca="false">IF(CB$4=0,0,IF(COUNTIFS(実績!$W$6:$W$505,CB$3,実績!$AI$6:$AI$505,"&lt;="&amp;$A153,実績!$AJ$6:$AJ$505,"&gt;"&amp;$A153,実績!$AL$6:$AL$505,"○")&gt;0,1,0))</f>
        <v>0</v>
      </c>
      <c r="CC153" s="39" t="n">
        <f aca="false">IF(CC$4=0,0,IF(COUNTIFS(実績!$W$6:$W$505,CC$3,実績!$AI$6:$AI$505,"&lt;="&amp;$A153,実績!$AJ$6:$AJ$505,"&gt;"&amp;$A153,実績!$AL$6:$AL$505,"○")&gt;0,1,0))</f>
        <v>0</v>
      </c>
      <c r="CD153" s="39" t="n">
        <f aca="false">IF(CD$4=0,0,IF(COUNTIFS(実績!$W$6:$W$505,CD$3,実績!$AI$6:$AI$505,"&lt;="&amp;$A153,実績!$AJ$6:$AJ$505,"&gt;"&amp;$A153,実績!$AL$6:$AL$505,"○")&gt;0,1,0))</f>
        <v>0</v>
      </c>
      <c r="CE153" s="39" t="n">
        <f aca="false">IF(CE$4=0,0,IF(COUNTIFS(実績!$W$6:$W$505,CE$3,実績!$AI$6:$AI$505,"&lt;="&amp;$A153,実績!$AJ$6:$AJ$505,"&gt;"&amp;$A153,実績!$AL$6:$AL$505,"○")&gt;0,1,0))</f>
        <v>0</v>
      </c>
      <c r="CF153" s="39" t="n">
        <f aca="false">IF(CF$4=0,0,IF(COUNTIFS(実績!$W$6:$W$505,CF$3,実績!$AI$6:$AI$505,"&lt;="&amp;$A153,実績!$AJ$6:$AJ$505,"&gt;"&amp;$A153,実績!$AL$6:$AL$505,"○")&gt;0,1,0))</f>
        <v>0</v>
      </c>
      <c r="CG153" s="39" t="n">
        <f aca="false">IF(CG$4=0,0,IF(COUNTIFS(実績!$W$6:$W$505,CG$3,実績!$AI$6:$AI$505,"&lt;="&amp;$A153,実績!$AJ$6:$AJ$505,"&gt;"&amp;$A153,実績!$AL$6:$AL$505,"○")&gt;0,1,0))</f>
        <v>0</v>
      </c>
      <c r="CH153" s="39" t="n">
        <f aca="false">IF(CH$4=0,0,IF(COUNTIFS(実績!$W$6:$W$505,CH$3,実績!$AI$6:$AI$505,"&lt;="&amp;$A153,実績!$AJ$6:$AJ$505,"&gt;"&amp;$A153,実績!$AL$6:$AL$505,"○")&gt;0,1,0))</f>
        <v>0</v>
      </c>
      <c r="CI153" s="39" t="n">
        <f aca="false">IF(CI$4=0,0,IF(COUNTIFS(実績!$W$6:$W$505,CI$3,実績!$AI$6:$AI$505,"&lt;="&amp;$A153,実績!$AJ$6:$AJ$505,"&gt;"&amp;$A153,実績!$AL$6:$AL$505,"○")&gt;0,1,0))</f>
        <v>0</v>
      </c>
      <c r="CJ153" s="39" t="n">
        <f aca="false">IF(CJ$4=0,0,IF(COUNTIFS(実績!$W$6:$W$505,CJ$3,実績!$AI$6:$AI$505,"&lt;="&amp;$A153,実績!$AJ$6:$AJ$505,"&gt;"&amp;$A153,実績!$AL$6:$AL$505,"○")&gt;0,1,0))</f>
        <v>0</v>
      </c>
      <c r="CK153" s="39" t="n">
        <f aca="false">IF(CK$4=0,0,IF(COUNTIFS(実績!$W$6:$W$505,CK$3,実績!$AI$6:$AI$505,"&lt;="&amp;$A153,実績!$AJ$6:$AJ$505,"&gt;"&amp;$A153,実績!$AL$6:$AL$505,"○")&gt;0,1,0))</f>
        <v>0</v>
      </c>
      <c r="CL153" s="39" t="n">
        <f aca="false">IF(CL$4=0,0,IF(COUNTIFS(実績!$W$6:$W$505,CL$3,実績!$AI$6:$AI$505,"&lt;="&amp;$A153,実績!$AJ$6:$AJ$505,"&gt;"&amp;$A153,実績!$AL$6:$AL$505,"○")&gt;0,1,0))</f>
        <v>0</v>
      </c>
      <c r="CM153" s="39" t="n">
        <f aca="false">IF(CM$4=0,0,IF(COUNTIFS(実績!$W$6:$W$505,CM$3,実績!$AI$6:$AI$505,"&lt;="&amp;$A153,実績!$AJ$6:$AJ$505,"&gt;"&amp;$A153,実績!$AL$6:$AL$505,"○")&gt;0,1,0))</f>
        <v>0</v>
      </c>
      <c r="CN153" s="39" t="n">
        <f aca="false">IF(CN$4=0,0,IF(COUNTIFS(実績!$W$6:$W$505,CN$3,実績!$AI$6:$AI$505,"&lt;="&amp;$A153,実績!$AJ$6:$AJ$505,"&gt;"&amp;$A153,実績!$AL$6:$AL$505,"○")&gt;0,1,0))</f>
        <v>0</v>
      </c>
      <c r="CO153" s="39" t="n">
        <f aca="false">IF(CO$4=0,0,IF(COUNTIFS(実績!$W$6:$W$505,CO$3,実績!$AI$6:$AI$505,"&lt;="&amp;$A153,実績!$AJ$6:$AJ$505,"&gt;"&amp;$A153,実績!$AL$6:$AL$505,"○")&gt;0,1,0))</f>
        <v>0</v>
      </c>
      <c r="CP153" s="39" t="n">
        <f aca="false">IF(CP$4=0,0,IF(COUNTIFS(実績!$W$6:$W$505,CP$3,実績!$AI$6:$AI$505,"&lt;="&amp;$A153,実績!$AJ$6:$AJ$505,"&gt;"&amp;$A153,実績!$AL$6:$AL$505,"○")&gt;0,1,0))</f>
        <v>0</v>
      </c>
      <c r="CQ153" s="39" t="n">
        <f aca="false">IF(CQ$4=0,0,IF(COUNTIFS(実績!$W$6:$W$505,CQ$3,実績!$AI$6:$AI$505,"&lt;="&amp;$A153,実績!$AJ$6:$AJ$505,"&gt;"&amp;$A153,実績!$AL$6:$AL$505,"○")&gt;0,1,0))</f>
        <v>0</v>
      </c>
      <c r="CR153" s="39" t="n">
        <f aca="false">IF(CR$4=0,0,IF(COUNTIFS(実績!$W$6:$W$505,CR$3,実績!$AI$6:$AI$505,"&lt;="&amp;$A153,実績!$AJ$6:$AJ$505,"&gt;"&amp;$A153,実績!$AL$6:$AL$505,"○")&gt;0,1,0))</f>
        <v>0</v>
      </c>
      <c r="CS153" s="39" t="n">
        <f aca="false">IF(CS$4=0,0,IF(COUNTIFS(実績!$W$6:$W$505,CS$3,実績!$AI$6:$AI$505,"&lt;="&amp;$A153,実績!$AJ$6:$AJ$505,"&gt;"&amp;$A153,実績!$AL$6:$AL$505,"○")&gt;0,1,0))</f>
        <v>0</v>
      </c>
      <c r="CT153" s="39" t="n">
        <f aca="false">IF(CT$4=0,0,IF(COUNTIFS(実績!$W$6:$W$505,CT$3,実績!$AI$6:$AI$505,"&lt;="&amp;$A153,実績!$AJ$6:$AJ$505,"&gt;"&amp;$A153,実績!$AL$6:$AL$505,"○")&gt;0,1,0))</f>
        <v>0</v>
      </c>
      <c r="CU153" s="39" t="n">
        <f aca="false">IF(CU$4=0,0,IF(COUNTIFS(実績!$W$6:$W$505,CU$3,実績!$AI$6:$AI$505,"&lt;="&amp;$A153,実績!$AJ$6:$AJ$505,"&gt;"&amp;$A153,実績!$AL$6:$AL$505,"○")&gt;0,1,0))</f>
        <v>0</v>
      </c>
      <c r="CV153" s="39" t="n">
        <f aca="false">IF(CV$4=0,0,IF(COUNTIFS(実績!$W$6:$W$505,CV$3,実績!$AI$6:$AI$505,"&lt;="&amp;$A153,実績!$AJ$6:$AJ$505,"&gt;"&amp;$A153,実績!$AL$6:$AL$505,"○")&gt;0,1,0))</f>
        <v>0</v>
      </c>
      <c r="CW153" s="39" t="n">
        <f aca="false">IF(CW$4=0,0,IF(COUNTIFS(実績!$W$6:$W$505,CW$3,実績!$AI$6:$AI$505,"&lt;="&amp;$A153,実績!$AJ$6:$AJ$505,"&gt;"&amp;$A153,実績!$AL$6:$AL$505,"○")&gt;0,1,0))</f>
        <v>0</v>
      </c>
      <c r="CX153" s="39" t="n">
        <f aca="false">IF(CX$4=0,0,IF(COUNTIFS(実績!$W$6:$W$505,CX$3,実績!$AI$6:$AI$505,"&lt;="&amp;$A153,実績!$AJ$6:$AJ$505,"&gt;"&amp;$A153,実績!$AL$6:$AL$505,"○")&gt;0,1,0))</f>
        <v>0</v>
      </c>
      <c r="CY153" s="39" t="n">
        <f aca="false">IF(CY$4=0,0,IF(COUNTIFS(実績!$W$6:$W$505,CY$3,実績!$AI$6:$AI$505,"&lt;="&amp;$A153,実績!$AJ$6:$AJ$505,"&gt;"&amp;$A153,実績!$AL$6:$AL$505,"○")&gt;0,1,0))</f>
        <v>0</v>
      </c>
      <c r="CZ153" s="39" t="n">
        <f aca="false">IF(CZ$4=0,0,IF(COUNTIFS(実績!$W$6:$W$505,CZ$3,実績!$AI$6:$AI$505,"&lt;="&amp;$A153,実績!$AJ$6:$AJ$505,"&gt;"&amp;$A153,実績!$AL$6:$AL$505,"○")&gt;0,1,0))</f>
        <v>0</v>
      </c>
      <c r="DA153" s="39" t="n">
        <f aca="false">IF(DA$4=0,0,IF(COUNTIFS(実績!$W$6:$W$505,DA$3,実績!$AI$6:$AI$505,"&lt;="&amp;$A153,実績!$AJ$6:$AJ$505,"&gt;"&amp;$A153,実績!$AL$6:$AL$505,"○")&gt;0,1,0))</f>
        <v>0</v>
      </c>
      <c r="DB153" s="39" t="n">
        <f aca="false">IF(DB$4=0,0,IF(COUNTIFS(実績!$W$6:$W$505,DB$3,実績!$AI$6:$AI$505,"&lt;="&amp;$A153,実績!$AJ$6:$AJ$505,"&gt;"&amp;$A153,実績!$AL$6:$AL$505,"○")&gt;0,1,0))</f>
        <v>0</v>
      </c>
      <c r="DC153" s="39" t="n">
        <f aca="false">IF(DC$4=0,0,IF(COUNTIFS(実績!$W$6:$W$505,DC$3,実績!$AI$6:$AI$505,"&lt;="&amp;$A153,実績!$AJ$6:$AJ$505,"&gt;"&amp;$A153,実績!$AL$6:$AL$505,"○")&gt;0,1,0))</f>
        <v>0</v>
      </c>
      <c r="DD153" s="39" t="n">
        <f aca="false">IF(DD$4=0,0,IF(COUNTIFS(実績!$W$6:$W$505,DD$3,実績!$AI$6:$AI$505,"&lt;="&amp;$A153,実績!$AJ$6:$AJ$505,"&gt;"&amp;$A153,実績!$AL$6:$AL$505,"○")&gt;0,1,0))</f>
        <v>0</v>
      </c>
      <c r="DE153" s="39" t="n">
        <f aca="false">IF(DE$4=0,0,IF(COUNTIFS(実績!$W$6:$W$505,DE$3,実績!$AI$6:$AI$505,"&lt;="&amp;$A153,実績!$AJ$6:$AJ$505,"&gt;"&amp;$A153,実績!$AL$6:$AL$505,"○")&gt;0,1,0))</f>
        <v>0</v>
      </c>
      <c r="DF153" s="39" t="n">
        <f aca="false">IF(DF$4=0,0,IF(COUNTIFS(実績!$W$6:$W$505,DF$3,実績!$AI$6:$AI$505,"&lt;="&amp;$A153,実績!$AJ$6:$AJ$505,"&gt;"&amp;$A153,実績!$AL$6:$AL$505,"○")&gt;0,1,0))</f>
        <v>0</v>
      </c>
      <c r="DG153" s="39" t="n">
        <f aca="false">IF(DG$4=0,0,IF(COUNTIFS(実績!$W$6:$W$505,DG$3,実績!$AI$6:$AI$505,"&lt;="&amp;$A153,実績!$AJ$6:$AJ$505,"&gt;"&amp;$A153,実績!$AL$6:$AL$505,"○")&gt;0,1,0))</f>
        <v>0</v>
      </c>
      <c r="DH153" s="39" t="n">
        <f aca="false">IF(DH$4=0,0,IF(COUNTIFS(実績!$W$6:$W$505,DH$3,実績!$AI$6:$AI$505,"&lt;="&amp;$A153,実績!$AJ$6:$AJ$505,"&gt;"&amp;$A153,実績!$AL$6:$AL$505,"○")&gt;0,1,0))</f>
        <v>0</v>
      </c>
      <c r="DI153" s="39" t="n">
        <f aca="false">IF(DI$4=0,0,IF(COUNTIFS(実績!$W$6:$W$505,DI$3,実績!$AI$6:$AI$505,"&lt;="&amp;$A153,実績!$AJ$6:$AJ$505,"&gt;"&amp;$A153,実績!$AL$6:$AL$505,"○")&gt;0,1,0))</f>
        <v>0</v>
      </c>
      <c r="DJ153" s="39" t="n">
        <f aca="false">IF(DJ$4=0,0,IF(COUNTIFS(実績!$W$6:$W$505,DJ$3,実績!$AI$6:$AI$505,"&lt;="&amp;$A153,実績!$AJ$6:$AJ$505,"&gt;"&amp;$A153,実績!$AL$6:$AL$505,"○")&gt;0,1,0))</f>
        <v>0</v>
      </c>
      <c r="DK153" s="39" t="n">
        <f aca="false">IF(DK$4=0,0,IF(COUNTIFS(実績!$W$6:$W$505,DK$3,実績!$AI$6:$AI$505,"&lt;="&amp;$A153,実績!$AJ$6:$AJ$505,"&gt;"&amp;$A153,実績!$AL$6:$AL$505,"○")&gt;0,1,0))</f>
        <v>0</v>
      </c>
      <c r="DL153" s="39" t="n">
        <f aca="false">IF(DL$4=0,0,IF(COUNTIFS(実績!$W$6:$W$505,DL$3,実績!$AI$6:$AI$505,"&lt;="&amp;$A153,実績!$AJ$6:$AJ$505,"&gt;"&amp;$A153,実績!$AL$6:$AL$505,"○")&gt;0,1,0))</f>
        <v>0</v>
      </c>
      <c r="DM153" s="39" t="n">
        <f aca="false">IF(DM$4=0,0,IF(COUNTIFS(実績!$W$6:$W$505,DM$3,実績!$AI$6:$AI$505,"&lt;="&amp;$A153,実績!$AJ$6:$AJ$505,"&gt;"&amp;$A153,実績!$AL$6:$AL$505,"○")&gt;0,1,0))</f>
        <v>0</v>
      </c>
      <c r="DN153" s="39" t="n">
        <f aca="false">IF(DN$4=0,0,IF(COUNTIFS(実績!$W$6:$W$505,DN$3,実績!$AI$6:$AI$505,"&lt;="&amp;$A153,実績!$AJ$6:$AJ$505,"&gt;"&amp;$A153,実績!$AL$6:$AL$505,"○")&gt;0,1,0))</f>
        <v>0</v>
      </c>
      <c r="DO153" s="39" t="n">
        <f aca="false">IF(DO$4=0,0,IF(COUNTIFS(実績!$W$6:$W$505,DO$3,実績!$AI$6:$AI$505,"&lt;="&amp;$A153,実績!$AJ$6:$AJ$505,"&gt;"&amp;$A153,実績!$AL$6:$AL$505,"○")&gt;0,1,0))</f>
        <v>0</v>
      </c>
      <c r="DP153" s="39" t="n">
        <f aca="false">IF(DP$4=0,0,IF(COUNTIFS(実績!$W$6:$W$505,DP$3,実績!$AI$6:$AI$505,"&lt;="&amp;$A153,実績!$AJ$6:$AJ$505,"&gt;"&amp;$A153,実績!$AL$6:$AL$505,"○")&gt;0,1,0))</f>
        <v>0</v>
      </c>
      <c r="DQ153" s="39" t="n">
        <f aca="false">IF(DQ$4=0,0,IF(COUNTIFS(実績!$W$6:$W$505,DQ$3,実績!$AI$6:$AI$505,"&lt;="&amp;$A153,実績!$AJ$6:$AJ$505,"&gt;"&amp;$A153,実績!$AL$6:$AL$505,"○")&gt;0,1,0))</f>
        <v>0</v>
      </c>
      <c r="DR153" s="39" t="n">
        <f aca="false">IF(DR$4=0,0,IF(COUNTIFS(実績!$W$6:$W$505,DR$3,実績!$AI$6:$AI$505,"&lt;="&amp;$A153,実績!$AJ$6:$AJ$505,"&gt;"&amp;$A153,実績!$AL$6:$AL$505,"○")&gt;0,1,0))</f>
        <v>0</v>
      </c>
      <c r="DS153" s="39" t="n">
        <f aca="false">SUM(C153:DR153)</f>
        <v>0</v>
      </c>
    </row>
    <row r="154" customFormat="false" ht="15" hidden="false" customHeight="false" outlineLevel="0" collapsed="false">
      <c r="A154" s="0" t="n">
        <v>740</v>
      </c>
      <c r="B154" s="38" t="n">
        <f aca="false">A154/1440</f>
        <v>0.513888888888889</v>
      </c>
      <c r="C154" s="39" t="n">
        <f aca="false">IF(C$4=0,0,IF(COUNTIFS(実績!$W$6:$W$505,C$3,実績!$AI$6:$AI$505,"&lt;="&amp;$A154,実績!$AJ$6:$AJ$505,"&gt;"&amp;$A154,実績!$AL$6:$AL$505,"○")&gt;0,1,0))</f>
        <v>0</v>
      </c>
      <c r="D154" s="39" t="n">
        <f aca="false">IF(D$4=0,0,IF(COUNTIFS(実績!$W$6:$W$505,D$3,実績!$AI$6:$AI$505,"&lt;="&amp;$A154,実績!$AJ$6:$AJ$505,"&gt;"&amp;$A154,実績!$AL$6:$AL$505,"○")&gt;0,1,0))</f>
        <v>0</v>
      </c>
      <c r="E154" s="39" t="n">
        <f aca="false">IF(E$4=0,0,IF(COUNTIFS(実績!$W$6:$W$505,E$3,実績!$AI$6:$AI$505,"&lt;="&amp;$A154,実績!$AJ$6:$AJ$505,"&gt;"&amp;$A154,実績!$AL$6:$AL$505,"○")&gt;0,1,0))</f>
        <v>0</v>
      </c>
      <c r="F154" s="39" t="n">
        <f aca="false">IF(F$4=0,0,IF(COUNTIFS(実績!$W$6:$W$505,F$3,実績!$AI$6:$AI$505,"&lt;="&amp;$A154,実績!$AJ$6:$AJ$505,"&gt;"&amp;$A154,実績!$AL$6:$AL$505,"○")&gt;0,1,0))</f>
        <v>0</v>
      </c>
      <c r="G154" s="39" t="n">
        <f aca="false">IF(G$4=0,0,IF(COUNTIFS(実績!$W$6:$W$505,G$3,実績!$AI$6:$AI$505,"&lt;="&amp;$A154,実績!$AJ$6:$AJ$505,"&gt;"&amp;$A154,実績!$AL$6:$AL$505,"○")&gt;0,1,0))</f>
        <v>0</v>
      </c>
      <c r="H154" s="39" t="n">
        <f aca="false">IF(H$4=0,0,IF(COUNTIFS(実績!$W$6:$W$505,H$3,実績!$AI$6:$AI$505,"&lt;="&amp;$A154,実績!$AJ$6:$AJ$505,"&gt;"&amp;$A154,実績!$AL$6:$AL$505,"○")&gt;0,1,0))</f>
        <v>0</v>
      </c>
      <c r="I154" s="39" t="n">
        <f aca="false">IF(I$4=0,0,IF(COUNTIFS(実績!$W$6:$W$505,I$3,実績!$AI$6:$AI$505,"&lt;="&amp;$A154,実績!$AJ$6:$AJ$505,"&gt;"&amp;$A154,実績!$AL$6:$AL$505,"○")&gt;0,1,0))</f>
        <v>0</v>
      </c>
      <c r="J154" s="39" t="n">
        <f aca="false">IF(J$4=0,0,IF(COUNTIFS(実績!$W$6:$W$505,J$3,実績!$AI$6:$AI$505,"&lt;="&amp;$A154,実績!$AJ$6:$AJ$505,"&gt;"&amp;$A154,実績!$AL$6:$AL$505,"○")&gt;0,1,0))</f>
        <v>0</v>
      </c>
      <c r="K154" s="39" t="n">
        <f aca="false">IF(K$4=0,0,IF(COUNTIFS(実績!$W$6:$W$505,K$3,実績!$AI$6:$AI$505,"&lt;="&amp;$A154,実績!$AJ$6:$AJ$505,"&gt;"&amp;$A154,実績!$AL$6:$AL$505,"○")&gt;0,1,0))</f>
        <v>0</v>
      </c>
      <c r="L154" s="39" t="n">
        <f aca="false">IF(L$4=0,0,IF(COUNTIFS(実績!$W$6:$W$505,L$3,実績!$AI$6:$AI$505,"&lt;="&amp;$A154,実績!$AJ$6:$AJ$505,"&gt;"&amp;$A154,実績!$AL$6:$AL$505,"○")&gt;0,1,0))</f>
        <v>0</v>
      </c>
      <c r="M154" s="39" t="n">
        <f aca="false">IF(M$4=0,0,IF(COUNTIFS(実績!$W$6:$W$505,M$3,実績!$AI$6:$AI$505,"&lt;="&amp;$A154,実績!$AJ$6:$AJ$505,"&gt;"&amp;$A154,実績!$AL$6:$AL$505,"○")&gt;0,1,0))</f>
        <v>0</v>
      </c>
      <c r="N154" s="39" t="n">
        <f aca="false">IF(N$4=0,0,IF(COUNTIFS(実績!$W$6:$W$505,N$3,実績!$AI$6:$AI$505,"&lt;="&amp;$A154,実績!$AJ$6:$AJ$505,"&gt;"&amp;$A154,実績!$AL$6:$AL$505,"○")&gt;0,1,0))</f>
        <v>0</v>
      </c>
      <c r="O154" s="39" t="n">
        <f aca="false">IF(O$4=0,0,IF(COUNTIFS(実績!$W$6:$W$505,O$3,実績!$AI$6:$AI$505,"&lt;="&amp;$A154,実績!$AJ$6:$AJ$505,"&gt;"&amp;$A154,実績!$AL$6:$AL$505,"○")&gt;0,1,0))</f>
        <v>0</v>
      </c>
      <c r="P154" s="39" t="n">
        <f aca="false">IF(P$4=0,0,IF(COUNTIFS(実績!$W$6:$W$505,P$3,実績!$AI$6:$AI$505,"&lt;="&amp;$A154,実績!$AJ$6:$AJ$505,"&gt;"&amp;$A154,実績!$AL$6:$AL$505,"○")&gt;0,1,0))</f>
        <v>0</v>
      </c>
      <c r="Q154" s="39" t="n">
        <f aca="false">IF(Q$4=0,0,IF(COUNTIFS(実績!$W$6:$W$505,Q$3,実績!$AI$6:$AI$505,"&lt;="&amp;$A154,実績!$AJ$6:$AJ$505,"&gt;"&amp;$A154,実績!$AL$6:$AL$505,"○")&gt;0,1,0))</f>
        <v>0</v>
      </c>
      <c r="R154" s="39" t="n">
        <f aca="false">IF(R$4=0,0,IF(COUNTIFS(実績!$W$6:$W$505,R$3,実績!$AI$6:$AI$505,"&lt;="&amp;$A154,実績!$AJ$6:$AJ$505,"&gt;"&amp;$A154,実績!$AL$6:$AL$505,"○")&gt;0,1,0))</f>
        <v>0</v>
      </c>
      <c r="S154" s="39" t="n">
        <f aca="false">IF(S$4=0,0,IF(COUNTIFS(実績!$W$6:$W$505,S$3,実績!$AI$6:$AI$505,"&lt;="&amp;$A154,実績!$AJ$6:$AJ$505,"&gt;"&amp;$A154,実績!$AL$6:$AL$505,"○")&gt;0,1,0))</f>
        <v>0</v>
      </c>
      <c r="T154" s="39" t="n">
        <f aca="false">IF(T$4=0,0,IF(COUNTIFS(実績!$W$6:$W$505,T$3,実績!$AI$6:$AI$505,"&lt;="&amp;$A154,実績!$AJ$6:$AJ$505,"&gt;"&amp;$A154,実績!$AL$6:$AL$505,"○")&gt;0,1,0))</f>
        <v>0</v>
      </c>
      <c r="U154" s="39" t="n">
        <f aca="false">IF(U$4=0,0,IF(COUNTIFS(実績!$W$6:$W$505,U$3,実績!$AI$6:$AI$505,"&lt;="&amp;$A154,実績!$AJ$6:$AJ$505,"&gt;"&amp;$A154,実績!$AL$6:$AL$505,"○")&gt;0,1,0))</f>
        <v>0</v>
      </c>
      <c r="V154" s="39" t="n">
        <f aca="false">IF(V$4=0,0,IF(COUNTIFS(実績!$W$6:$W$505,V$3,実績!$AI$6:$AI$505,"&lt;="&amp;$A154,実績!$AJ$6:$AJ$505,"&gt;"&amp;$A154,実績!$AL$6:$AL$505,"○")&gt;0,1,0))</f>
        <v>0</v>
      </c>
      <c r="W154" s="39" t="n">
        <f aca="false">IF(W$4=0,0,IF(COUNTIFS(実績!$W$6:$W$505,W$3,実績!$AI$6:$AI$505,"&lt;="&amp;$A154,実績!$AJ$6:$AJ$505,"&gt;"&amp;$A154,実績!$AL$6:$AL$505,"○")&gt;0,1,0))</f>
        <v>0</v>
      </c>
      <c r="X154" s="39" t="n">
        <f aca="false">IF(X$4=0,0,IF(COUNTIFS(実績!$W$6:$W$505,X$3,実績!$AI$6:$AI$505,"&lt;="&amp;$A154,実績!$AJ$6:$AJ$505,"&gt;"&amp;$A154,実績!$AL$6:$AL$505,"○")&gt;0,1,0))</f>
        <v>0</v>
      </c>
      <c r="Y154" s="39" t="n">
        <f aca="false">IF(Y$4=0,0,IF(COUNTIFS(実績!$W$6:$W$505,Y$3,実績!$AI$6:$AI$505,"&lt;="&amp;$A154,実績!$AJ$6:$AJ$505,"&gt;"&amp;$A154,実績!$AL$6:$AL$505,"○")&gt;0,1,0))</f>
        <v>0</v>
      </c>
      <c r="Z154" s="39" t="n">
        <f aca="false">IF(Z$4=0,0,IF(COUNTIFS(実績!$W$6:$W$505,Z$3,実績!$AI$6:$AI$505,"&lt;="&amp;$A154,実績!$AJ$6:$AJ$505,"&gt;"&amp;$A154,実績!$AL$6:$AL$505,"○")&gt;0,1,0))</f>
        <v>0</v>
      </c>
      <c r="AA154" s="39" t="n">
        <f aca="false">IF(AA$4=0,0,IF(COUNTIFS(実績!$W$6:$W$505,AA$3,実績!$AI$6:$AI$505,"&lt;="&amp;$A154,実績!$AJ$6:$AJ$505,"&gt;"&amp;$A154,実績!$AL$6:$AL$505,"○")&gt;0,1,0))</f>
        <v>0</v>
      </c>
      <c r="AB154" s="39" t="n">
        <f aca="false">IF(AB$4=0,0,IF(COUNTIFS(実績!$W$6:$W$505,AB$3,実績!$AI$6:$AI$505,"&lt;="&amp;$A154,実績!$AJ$6:$AJ$505,"&gt;"&amp;$A154,実績!$AL$6:$AL$505,"○")&gt;0,1,0))</f>
        <v>0</v>
      </c>
      <c r="AC154" s="39" t="n">
        <f aca="false">IF(AC$4=0,0,IF(COUNTIFS(実績!$W$6:$W$505,AC$3,実績!$AI$6:$AI$505,"&lt;="&amp;$A154,実績!$AJ$6:$AJ$505,"&gt;"&amp;$A154,実績!$AL$6:$AL$505,"○")&gt;0,1,0))</f>
        <v>0</v>
      </c>
      <c r="AD154" s="39" t="n">
        <f aca="false">IF(AD$4=0,0,IF(COUNTIFS(実績!$W$6:$W$505,AD$3,実績!$AI$6:$AI$505,"&lt;="&amp;$A154,実績!$AJ$6:$AJ$505,"&gt;"&amp;$A154,実績!$AL$6:$AL$505,"○")&gt;0,1,0))</f>
        <v>0</v>
      </c>
      <c r="AE154" s="39" t="n">
        <f aca="false">IF(AE$4=0,0,IF(COUNTIFS(実績!$W$6:$W$505,AE$3,実績!$AI$6:$AI$505,"&lt;="&amp;$A154,実績!$AJ$6:$AJ$505,"&gt;"&amp;$A154,実績!$AL$6:$AL$505,"○")&gt;0,1,0))</f>
        <v>0</v>
      </c>
      <c r="AF154" s="39" t="n">
        <f aca="false">IF(AF$4=0,0,IF(COUNTIFS(実績!$W$6:$W$505,AF$3,実績!$AI$6:$AI$505,"&lt;="&amp;$A154,実績!$AJ$6:$AJ$505,"&gt;"&amp;$A154,実績!$AL$6:$AL$505,"○")&gt;0,1,0))</f>
        <v>0</v>
      </c>
      <c r="AG154" s="39" t="n">
        <f aca="false">IF(AG$4=0,0,IF(COUNTIFS(実績!$W$6:$W$505,AG$3,実績!$AI$6:$AI$505,"&lt;="&amp;$A154,実績!$AJ$6:$AJ$505,"&gt;"&amp;$A154,実績!$AL$6:$AL$505,"○")&gt;0,1,0))</f>
        <v>0</v>
      </c>
      <c r="AH154" s="39" t="n">
        <f aca="false">IF(AH$4=0,0,IF(COUNTIFS(実績!$W$6:$W$505,AH$3,実績!$AI$6:$AI$505,"&lt;="&amp;$A154,実績!$AJ$6:$AJ$505,"&gt;"&amp;$A154,実績!$AL$6:$AL$505,"○")&gt;0,1,0))</f>
        <v>0</v>
      </c>
      <c r="AI154" s="39" t="n">
        <f aca="false">IF(AI$4=0,0,IF(COUNTIFS(実績!$W$6:$W$505,AI$3,実績!$AI$6:$AI$505,"&lt;="&amp;$A154,実績!$AJ$6:$AJ$505,"&gt;"&amp;$A154,実績!$AL$6:$AL$505,"○")&gt;0,1,0))</f>
        <v>0</v>
      </c>
      <c r="AJ154" s="39" t="n">
        <f aca="false">IF(AJ$4=0,0,IF(COUNTIFS(実績!$W$6:$W$505,AJ$3,実績!$AI$6:$AI$505,"&lt;="&amp;$A154,実績!$AJ$6:$AJ$505,"&gt;"&amp;$A154,実績!$AL$6:$AL$505,"○")&gt;0,1,0))</f>
        <v>0</v>
      </c>
      <c r="AK154" s="39" t="n">
        <f aca="false">IF(AK$4=0,0,IF(COUNTIFS(実績!$W$6:$W$505,AK$3,実績!$AI$6:$AI$505,"&lt;="&amp;$A154,実績!$AJ$6:$AJ$505,"&gt;"&amp;$A154,実績!$AL$6:$AL$505,"○")&gt;0,1,0))</f>
        <v>0</v>
      </c>
      <c r="AL154" s="39" t="n">
        <f aca="false">IF(AL$4=0,0,IF(COUNTIFS(実績!$W$6:$W$505,AL$3,実績!$AI$6:$AI$505,"&lt;="&amp;$A154,実績!$AJ$6:$AJ$505,"&gt;"&amp;$A154,実績!$AL$6:$AL$505,"○")&gt;0,1,0))</f>
        <v>0</v>
      </c>
      <c r="AM154" s="39" t="n">
        <f aca="false">IF(AM$4=0,0,IF(COUNTIFS(実績!$W$6:$W$505,AM$3,実績!$AI$6:$AI$505,"&lt;="&amp;$A154,実績!$AJ$6:$AJ$505,"&gt;"&amp;$A154,実績!$AL$6:$AL$505,"○")&gt;0,1,0))</f>
        <v>0</v>
      </c>
      <c r="AN154" s="39" t="n">
        <f aca="false">IF(AN$4=0,0,IF(COUNTIFS(実績!$W$6:$W$505,AN$3,実績!$AI$6:$AI$505,"&lt;="&amp;$A154,実績!$AJ$6:$AJ$505,"&gt;"&amp;$A154,実績!$AL$6:$AL$505,"○")&gt;0,1,0))</f>
        <v>0</v>
      </c>
      <c r="AO154" s="39" t="n">
        <f aca="false">IF(AO$4=0,0,IF(COUNTIFS(実績!$W$6:$W$505,AO$3,実績!$AI$6:$AI$505,"&lt;="&amp;$A154,実績!$AJ$6:$AJ$505,"&gt;"&amp;$A154,実績!$AL$6:$AL$505,"○")&gt;0,1,0))</f>
        <v>0</v>
      </c>
      <c r="AP154" s="39" t="n">
        <f aca="false">IF(AP$4=0,0,IF(COUNTIFS(実績!$W$6:$W$505,AP$3,実績!$AI$6:$AI$505,"&lt;="&amp;$A154,実績!$AJ$6:$AJ$505,"&gt;"&amp;$A154,実績!$AL$6:$AL$505,"○")&gt;0,1,0))</f>
        <v>0</v>
      </c>
      <c r="AQ154" s="39" t="n">
        <f aca="false">IF(AQ$4=0,0,IF(COUNTIFS(実績!$W$6:$W$505,AQ$3,実績!$AI$6:$AI$505,"&lt;="&amp;$A154,実績!$AJ$6:$AJ$505,"&gt;"&amp;$A154,実績!$AL$6:$AL$505,"○")&gt;0,1,0))</f>
        <v>0</v>
      </c>
      <c r="AR154" s="39" t="n">
        <f aca="false">IF(AR$4=0,0,IF(COUNTIFS(実績!$W$6:$W$505,AR$3,実績!$AI$6:$AI$505,"&lt;="&amp;$A154,実績!$AJ$6:$AJ$505,"&gt;"&amp;$A154,実績!$AL$6:$AL$505,"○")&gt;0,1,0))</f>
        <v>0</v>
      </c>
      <c r="AS154" s="39" t="n">
        <f aca="false">IF(AS$4=0,0,IF(COUNTIFS(実績!$W$6:$W$505,AS$3,実績!$AI$6:$AI$505,"&lt;="&amp;$A154,実績!$AJ$6:$AJ$505,"&gt;"&amp;$A154,実績!$AL$6:$AL$505,"○")&gt;0,1,0))</f>
        <v>0</v>
      </c>
      <c r="AT154" s="39" t="n">
        <f aca="false">IF(AT$4=0,0,IF(COUNTIFS(実績!$W$6:$W$505,AT$3,実績!$AI$6:$AI$505,"&lt;="&amp;$A154,実績!$AJ$6:$AJ$505,"&gt;"&amp;$A154,実績!$AL$6:$AL$505,"○")&gt;0,1,0))</f>
        <v>0</v>
      </c>
      <c r="AU154" s="39" t="n">
        <f aca="false">IF(AU$4=0,0,IF(COUNTIFS(実績!$W$6:$W$505,AU$3,実績!$AI$6:$AI$505,"&lt;="&amp;$A154,実績!$AJ$6:$AJ$505,"&gt;"&amp;$A154,実績!$AL$6:$AL$505,"○")&gt;0,1,0))</f>
        <v>0</v>
      </c>
      <c r="AV154" s="39" t="n">
        <f aca="false">IF(AV$4=0,0,IF(COUNTIFS(実績!$W$6:$W$505,AV$3,実績!$AI$6:$AI$505,"&lt;="&amp;$A154,実績!$AJ$6:$AJ$505,"&gt;"&amp;$A154,実績!$AL$6:$AL$505,"○")&gt;0,1,0))</f>
        <v>0</v>
      </c>
      <c r="AW154" s="39" t="n">
        <f aca="false">IF(AW$4=0,0,IF(COUNTIFS(実績!$W$6:$W$505,AW$3,実績!$AI$6:$AI$505,"&lt;="&amp;$A154,実績!$AJ$6:$AJ$505,"&gt;"&amp;$A154,実績!$AL$6:$AL$505,"○")&gt;0,1,0))</f>
        <v>0</v>
      </c>
      <c r="AX154" s="39" t="n">
        <f aca="false">IF(AX$4=0,0,IF(COUNTIFS(実績!$W$6:$W$505,AX$3,実績!$AI$6:$AI$505,"&lt;="&amp;$A154,実績!$AJ$6:$AJ$505,"&gt;"&amp;$A154,実績!$AL$6:$AL$505,"○")&gt;0,1,0))</f>
        <v>0</v>
      </c>
      <c r="AY154" s="39" t="n">
        <f aca="false">IF(AY$4=0,0,IF(COUNTIFS(実績!$W$6:$W$505,AY$3,実績!$AI$6:$AI$505,"&lt;="&amp;$A154,実績!$AJ$6:$AJ$505,"&gt;"&amp;$A154,実績!$AL$6:$AL$505,"○")&gt;0,1,0))</f>
        <v>0</v>
      </c>
      <c r="AZ154" s="39" t="n">
        <f aca="false">IF(AZ$4=0,0,IF(COUNTIFS(実績!$W$6:$W$505,AZ$3,実績!$AI$6:$AI$505,"&lt;="&amp;$A154,実績!$AJ$6:$AJ$505,"&gt;"&amp;$A154,実績!$AL$6:$AL$505,"○")&gt;0,1,0))</f>
        <v>0</v>
      </c>
      <c r="BA154" s="39" t="n">
        <f aca="false">IF(BA$4=0,0,IF(COUNTIFS(実績!$W$6:$W$505,BA$3,実績!$AI$6:$AI$505,"&lt;="&amp;$A154,実績!$AJ$6:$AJ$505,"&gt;"&amp;$A154,実績!$AL$6:$AL$505,"○")&gt;0,1,0))</f>
        <v>0</v>
      </c>
      <c r="BB154" s="39" t="n">
        <f aca="false">IF(BB$4=0,0,IF(COUNTIFS(実績!$W$6:$W$505,BB$3,実績!$AI$6:$AI$505,"&lt;="&amp;$A154,実績!$AJ$6:$AJ$505,"&gt;"&amp;$A154,実績!$AL$6:$AL$505,"○")&gt;0,1,0))</f>
        <v>0</v>
      </c>
      <c r="BC154" s="39" t="n">
        <f aca="false">IF(BC$4=0,0,IF(COUNTIFS(実績!$W$6:$W$505,BC$3,実績!$AI$6:$AI$505,"&lt;="&amp;$A154,実績!$AJ$6:$AJ$505,"&gt;"&amp;$A154,実績!$AL$6:$AL$505,"○")&gt;0,1,0))</f>
        <v>0</v>
      </c>
      <c r="BD154" s="39" t="n">
        <f aca="false">IF(BD$4=0,0,IF(COUNTIFS(実績!$W$6:$W$505,BD$3,実績!$AI$6:$AI$505,"&lt;="&amp;$A154,実績!$AJ$6:$AJ$505,"&gt;"&amp;$A154,実績!$AL$6:$AL$505,"○")&gt;0,1,0))</f>
        <v>0</v>
      </c>
      <c r="BE154" s="39" t="n">
        <f aca="false">IF(BE$4=0,0,IF(COUNTIFS(実績!$W$6:$W$505,BE$3,実績!$AI$6:$AI$505,"&lt;="&amp;$A154,実績!$AJ$6:$AJ$505,"&gt;"&amp;$A154,実績!$AL$6:$AL$505,"○")&gt;0,1,0))</f>
        <v>0</v>
      </c>
      <c r="BF154" s="39" t="n">
        <f aca="false">IF(BF$4=0,0,IF(COUNTIFS(実績!$W$6:$W$505,BF$3,実績!$AI$6:$AI$505,"&lt;="&amp;$A154,実績!$AJ$6:$AJ$505,"&gt;"&amp;$A154,実績!$AL$6:$AL$505,"○")&gt;0,1,0))</f>
        <v>0</v>
      </c>
      <c r="BG154" s="39" t="n">
        <f aca="false">IF(BG$4=0,0,IF(COUNTIFS(実績!$W$6:$W$505,BG$3,実績!$AI$6:$AI$505,"&lt;="&amp;$A154,実績!$AJ$6:$AJ$505,"&gt;"&amp;$A154,実績!$AL$6:$AL$505,"○")&gt;0,1,0))</f>
        <v>0</v>
      </c>
      <c r="BH154" s="39" t="n">
        <f aca="false">IF(BH$4=0,0,IF(COUNTIFS(実績!$W$6:$W$505,BH$3,実績!$AI$6:$AI$505,"&lt;="&amp;$A154,実績!$AJ$6:$AJ$505,"&gt;"&amp;$A154,実績!$AL$6:$AL$505,"○")&gt;0,1,0))</f>
        <v>0</v>
      </c>
      <c r="BI154" s="39" t="n">
        <f aca="false">IF(BI$4=0,0,IF(COUNTIFS(実績!$W$6:$W$505,BI$3,実績!$AI$6:$AI$505,"&lt;="&amp;$A154,実績!$AJ$6:$AJ$505,"&gt;"&amp;$A154,実績!$AL$6:$AL$505,"○")&gt;0,1,0))</f>
        <v>0</v>
      </c>
      <c r="BJ154" s="39" t="n">
        <f aca="false">IF(BJ$4=0,0,IF(COUNTIFS(実績!$W$6:$W$505,BJ$3,実績!$AI$6:$AI$505,"&lt;="&amp;$A154,実績!$AJ$6:$AJ$505,"&gt;"&amp;$A154,実績!$AL$6:$AL$505,"○")&gt;0,1,0))</f>
        <v>0</v>
      </c>
      <c r="BK154" s="39" t="n">
        <f aca="false">IF(BK$4=0,0,IF(COUNTIFS(実績!$W$6:$W$505,BK$3,実績!$AI$6:$AI$505,"&lt;="&amp;$A154,実績!$AJ$6:$AJ$505,"&gt;"&amp;$A154,実績!$AL$6:$AL$505,"○")&gt;0,1,0))</f>
        <v>0</v>
      </c>
      <c r="BL154" s="39" t="n">
        <f aca="false">IF(BL$4=0,0,IF(COUNTIFS(実績!$W$6:$W$505,BL$3,実績!$AI$6:$AI$505,"&lt;="&amp;$A154,実績!$AJ$6:$AJ$505,"&gt;"&amp;$A154,実績!$AL$6:$AL$505,"○")&gt;0,1,0))</f>
        <v>0</v>
      </c>
      <c r="BM154" s="39" t="n">
        <f aca="false">IF(BM$4=0,0,IF(COUNTIFS(実績!$W$6:$W$505,BM$3,実績!$AI$6:$AI$505,"&lt;="&amp;$A154,実績!$AJ$6:$AJ$505,"&gt;"&amp;$A154,実績!$AL$6:$AL$505,"○")&gt;0,1,0))</f>
        <v>0</v>
      </c>
      <c r="BN154" s="39" t="n">
        <f aca="false">IF(BN$4=0,0,IF(COUNTIFS(実績!$W$6:$W$505,BN$3,実績!$AI$6:$AI$505,"&lt;="&amp;$A154,実績!$AJ$6:$AJ$505,"&gt;"&amp;$A154,実績!$AL$6:$AL$505,"○")&gt;0,1,0))</f>
        <v>0</v>
      </c>
      <c r="BO154" s="39" t="n">
        <f aca="false">IF(BO$4=0,0,IF(COUNTIFS(実績!$W$6:$W$505,BO$3,実績!$AI$6:$AI$505,"&lt;="&amp;$A154,実績!$AJ$6:$AJ$505,"&gt;"&amp;$A154,実績!$AL$6:$AL$505,"○")&gt;0,1,0))</f>
        <v>0</v>
      </c>
      <c r="BP154" s="39" t="n">
        <f aca="false">IF(BP$4=0,0,IF(COUNTIFS(実績!$W$6:$W$505,BP$3,実績!$AI$6:$AI$505,"&lt;="&amp;$A154,実績!$AJ$6:$AJ$505,"&gt;"&amp;$A154,実績!$AL$6:$AL$505,"○")&gt;0,1,0))</f>
        <v>0</v>
      </c>
      <c r="BQ154" s="39" t="n">
        <f aca="false">IF(BQ$4=0,0,IF(COUNTIFS(実績!$W$6:$W$505,BQ$3,実績!$AI$6:$AI$505,"&lt;="&amp;$A154,実績!$AJ$6:$AJ$505,"&gt;"&amp;$A154,実績!$AL$6:$AL$505,"○")&gt;0,1,0))</f>
        <v>0</v>
      </c>
      <c r="BR154" s="39" t="n">
        <f aca="false">IF(BR$4=0,0,IF(COUNTIFS(実績!$W$6:$W$505,BR$3,実績!$AI$6:$AI$505,"&lt;="&amp;$A154,実績!$AJ$6:$AJ$505,"&gt;"&amp;$A154,実績!$AL$6:$AL$505,"○")&gt;0,1,0))</f>
        <v>0</v>
      </c>
      <c r="BS154" s="39" t="n">
        <f aca="false">IF(BS$4=0,0,IF(COUNTIFS(実績!$W$6:$W$505,BS$3,実績!$AI$6:$AI$505,"&lt;="&amp;$A154,実績!$AJ$6:$AJ$505,"&gt;"&amp;$A154,実績!$AL$6:$AL$505,"○")&gt;0,1,0))</f>
        <v>0</v>
      </c>
      <c r="BT154" s="39" t="n">
        <f aca="false">IF(BT$4=0,0,IF(COUNTIFS(実績!$W$6:$W$505,BT$3,実績!$AI$6:$AI$505,"&lt;="&amp;$A154,実績!$AJ$6:$AJ$505,"&gt;"&amp;$A154,実績!$AL$6:$AL$505,"○")&gt;0,1,0))</f>
        <v>0</v>
      </c>
      <c r="BU154" s="39" t="n">
        <f aca="false">IF(BU$4=0,0,IF(COUNTIFS(実績!$W$6:$W$505,BU$3,実績!$AI$6:$AI$505,"&lt;="&amp;$A154,実績!$AJ$6:$AJ$505,"&gt;"&amp;$A154,実績!$AL$6:$AL$505,"○")&gt;0,1,0))</f>
        <v>0</v>
      </c>
      <c r="BV154" s="39" t="n">
        <f aca="false">IF(BV$4=0,0,IF(COUNTIFS(実績!$W$6:$W$505,BV$3,実績!$AI$6:$AI$505,"&lt;="&amp;$A154,実績!$AJ$6:$AJ$505,"&gt;"&amp;$A154,実績!$AL$6:$AL$505,"○")&gt;0,1,0))</f>
        <v>0</v>
      </c>
      <c r="BW154" s="39" t="n">
        <f aca="false">IF(BW$4=0,0,IF(COUNTIFS(実績!$W$6:$W$505,BW$3,実績!$AI$6:$AI$505,"&lt;="&amp;$A154,実績!$AJ$6:$AJ$505,"&gt;"&amp;$A154,実績!$AL$6:$AL$505,"○")&gt;0,1,0))</f>
        <v>0</v>
      </c>
      <c r="BX154" s="39" t="n">
        <f aca="false">IF(BX$4=0,0,IF(COUNTIFS(実績!$W$6:$W$505,BX$3,実績!$AI$6:$AI$505,"&lt;="&amp;$A154,実績!$AJ$6:$AJ$505,"&gt;"&amp;$A154,実績!$AL$6:$AL$505,"○")&gt;0,1,0))</f>
        <v>0</v>
      </c>
      <c r="BY154" s="39" t="n">
        <f aca="false">IF(BY$4=0,0,IF(COUNTIFS(実績!$W$6:$W$505,BY$3,実績!$AI$6:$AI$505,"&lt;="&amp;$A154,実績!$AJ$6:$AJ$505,"&gt;"&amp;$A154,実績!$AL$6:$AL$505,"○")&gt;0,1,0))</f>
        <v>0</v>
      </c>
      <c r="BZ154" s="39" t="n">
        <f aca="false">IF(BZ$4=0,0,IF(COUNTIFS(実績!$W$6:$W$505,BZ$3,実績!$AI$6:$AI$505,"&lt;="&amp;$A154,実績!$AJ$6:$AJ$505,"&gt;"&amp;$A154,実績!$AL$6:$AL$505,"○")&gt;0,1,0))</f>
        <v>0</v>
      </c>
      <c r="CA154" s="39" t="n">
        <f aca="false">IF(CA$4=0,0,IF(COUNTIFS(実績!$W$6:$W$505,CA$3,実績!$AI$6:$AI$505,"&lt;="&amp;$A154,実績!$AJ$6:$AJ$505,"&gt;"&amp;$A154,実績!$AL$6:$AL$505,"○")&gt;0,1,0))</f>
        <v>0</v>
      </c>
      <c r="CB154" s="39" t="n">
        <f aca="false">IF(CB$4=0,0,IF(COUNTIFS(実績!$W$6:$W$505,CB$3,実績!$AI$6:$AI$505,"&lt;="&amp;$A154,実績!$AJ$6:$AJ$505,"&gt;"&amp;$A154,実績!$AL$6:$AL$505,"○")&gt;0,1,0))</f>
        <v>0</v>
      </c>
      <c r="CC154" s="39" t="n">
        <f aca="false">IF(CC$4=0,0,IF(COUNTIFS(実績!$W$6:$W$505,CC$3,実績!$AI$6:$AI$505,"&lt;="&amp;$A154,実績!$AJ$6:$AJ$505,"&gt;"&amp;$A154,実績!$AL$6:$AL$505,"○")&gt;0,1,0))</f>
        <v>0</v>
      </c>
      <c r="CD154" s="39" t="n">
        <f aca="false">IF(CD$4=0,0,IF(COUNTIFS(実績!$W$6:$W$505,CD$3,実績!$AI$6:$AI$505,"&lt;="&amp;$A154,実績!$AJ$6:$AJ$505,"&gt;"&amp;$A154,実績!$AL$6:$AL$505,"○")&gt;0,1,0))</f>
        <v>0</v>
      </c>
      <c r="CE154" s="39" t="n">
        <f aca="false">IF(CE$4=0,0,IF(COUNTIFS(実績!$W$6:$W$505,CE$3,実績!$AI$6:$AI$505,"&lt;="&amp;$A154,実績!$AJ$6:$AJ$505,"&gt;"&amp;$A154,実績!$AL$6:$AL$505,"○")&gt;0,1,0))</f>
        <v>0</v>
      </c>
      <c r="CF154" s="39" t="n">
        <f aca="false">IF(CF$4=0,0,IF(COUNTIFS(実績!$W$6:$W$505,CF$3,実績!$AI$6:$AI$505,"&lt;="&amp;$A154,実績!$AJ$6:$AJ$505,"&gt;"&amp;$A154,実績!$AL$6:$AL$505,"○")&gt;0,1,0))</f>
        <v>0</v>
      </c>
      <c r="CG154" s="39" t="n">
        <f aca="false">IF(CG$4=0,0,IF(COUNTIFS(実績!$W$6:$W$505,CG$3,実績!$AI$6:$AI$505,"&lt;="&amp;$A154,実績!$AJ$6:$AJ$505,"&gt;"&amp;$A154,実績!$AL$6:$AL$505,"○")&gt;0,1,0))</f>
        <v>0</v>
      </c>
      <c r="CH154" s="39" t="n">
        <f aca="false">IF(CH$4=0,0,IF(COUNTIFS(実績!$W$6:$W$505,CH$3,実績!$AI$6:$AI$505,"&lt;="&amp;$A154,実績!$AJ$6:$AJ$505,"&gt;"&amp;$A154,実績!$AL$6:$AL$505,"○")&gt;0,1,0))</f>
        <v>0</v>
      </c>
      <c r="CI154" s="39" t="n">
        <f aca="false">IF(CI$4=0,0,IF(COUNTIFS(実績!$W$6:$W$505,CI$3,実績!$AI$6:$AI$505,"&lt;="&amp;$A154,実績!$AJ$6:$AJ$505,"&gt;"&amp;$A154,実績!$AL$6:$AL$505,"○")&gt;0,1,0))</f>
        <v>0</v>
      </c>
      <c r="CJ154" s="39" t="n">
        <f aca="false">IF(CJ$4=0,0,IF(COUNTIFS(実績!$W$6:$W$505,CJ$3,実績!$AI$6:$AI$505,"&lt;="&amp;$A154,実績!$AJ$6:$AJ$505,"&gt;"&amp;$A154,実績!$AL$6:$AL$505,"○")&gt;0,1,0))</f>
        <v>0</v>
      </c>
      <c r="CK154" s="39" t="n">
        <f aca="false">IF(CK$4=0,0,IF(COUNTIFS(実績!$W$6:$W$505,CK$3,実績!$AI$6:$AI$505,"&lt;="&amp;$A154,実績!$AJ$6:$AJ$505,"&gt;"&amp;$A154,実績!$AL$6:$AL$505,"○")&gt;0,1,0))</f>
        <v>0</v>
      </c>
      <c r="CL154" s="39" t="n">
        <f aca="false">IF(CL$4=0,0,IF(COUNTIFS(実績!$W$6:$W$505,CL$3,実績!$AI$6:$AI$505,"&lt;="&amp;$A154,実績!$AJ$6:$AJ$505,"&gt;"&amp;$A154,実績!$AL$6:$AL$505,"○")&gt;0,1,0))</f>
        <v>0</v>
      </c>
      <c r="CM154" s="39" t="n">
        <f aca="false">IF(CM$4=0,0,IF(COUNTIFS(実績!$W$6:$W$505,CM$3,実績!$AI$6:$AI$505,"&lt;="&amp;$A154,実績!$AJ$6:$AJ$505,"&gt;"&amp;$A154,実績!$AL$6:$AL$505,"○")&gt;0,1,0))</f>
        <v>0</v>
      </c>
      <c r="CN154" s="39" t="n">
        <f aca="false">IF(CN$4=0,0,IF(COUNTIFS(実績!$W$6:$W$505,CN$3,実績!$AI$6:$AI$505,"&lt;="&amp;$A154,実績!$AJ$6:$AJ$505,"&gt;"&amp;$A154,実績!$AL$6:$AL$505,"○")&gt;0,1,0))</f>
        <v>0</v>
      </c>
      <c r="CO154" s="39" t="n">
        <f aca="false">IF(CO$4=0,0,IF(COUNTIFS(実績!$W$6:$W$505,CO$3,実績!$AI$6:$AI$505,"&lt;="&amp;$A154,実績!$AJ$6:$AJ$505,"&gt;"&amp;$A154,実績!$AL$6:$AL$505,"○")&gt;0,1,0))</f>
        <v>0</v>
      </c>
      <c r="CP154" s="39" t="n">
        <f aca="false">IF(CP$4=0,0,IF(COUNTIFS(実績!$W$6:$W$505,CP$3,実績!$AI$6:$AI$505,"&lt;="&amp;$A154,実績!$AJ$6:$AJ$505,"&gt;"&amp;$A154,実績!$AL$6:$AL$505,"○")&gt;0,1,0))</f>
        <v>0</v>
      </c>
      <c r="CQ154" s="39" t="n">
        <f aca="false">IF(CQ$4=0,0,IF(COUNTIFS(実績!$W$6:$W$505,CQ$3,実績!$AI$6:$AI$505,"&lt;="&amp;$A154,実績!$AJ$6:$AJ$505,"&gt;"&amp;$A154,実績!$AL$6:$AL$505,"○")&gt;0,1,0))</f>
        <v>0</v>
      </c>
      <c r="CR154" s="39" t="n">
        <f aca="false">IF(CR$4=0,0,IF(COUNTIFS(実績!$W$6:$W$505,CR$3,実績!$AI$6:$AI$505,"&lt;="&amp;$A154,実績!$AJ$6:$AJ$505,"&gt;"&amp;$A154,実績!$AL$6:$AL$505,"○")&gt;0,1,0))</f>
        <v>0</v>
      </c>
      <c r="CS154" s="39" t="n">
        <f aca="false">IF(CS$4=0,0,IF(COUNTIFS(実績!$W$6:$W$505,CS$3,実績!$AI$6:$AI$505,"&lt;="&amp;$A154,実績!$AJ$6:$AJ$505,"&gt;"&amp;$A154,実績!$AL$6:$AL$505,"○")&gt;0,1,0))</f>
        <v>0</v>
      </c>
      <c r="CT154" s="39" t="n">
        <f aca="false">IF(CT$4=0,0,IF(COUNTIFS(実績!$W$6:$W$505,CT$3,実績!$AI$6:$AI$505,"&lt;="&amp;$A154,実績!$AJ$6:$AJ$505,"&gt;"&amp;$A154,実績!$AL$6:$AL$505,"○")&gt;0,1,0))</f>
        <v>0</v>
      </c>
      <c r="CU154" s="39" t="n">
        <f aca="false">IF(CU$4=0,0,IF(COUNTIFS(実績!$W$6:$W$505,CU$3,実績!$AI$6:$AI$505,"&lt;="&amp;$A154,実績!$AJ$6:$AJ$505,"&gt;"&amp;$A154,実績!$AL$6:$AL$505,"○")&gt;0,1,0))</f>
        <v>0</v>
      </c>
      <c r="CV154" s="39" t="n">
        <f aca="false">IF(CV$4=0,0,IF(COUNTIFS(実績!$W$6:$W$505,CV$3,実績!$AI$6:$AI$505,"&lt;="&amp;$A154,実績!$AJ$6:$AJ$505,"&gt;"&amp;$A154,実績!$AL$6:$AL$505,"○")&gt;0,1,0))</f>
        <v>0</v>
      </c>
      <c r="CW154" s="39" t="n">
        <f aca="false">IF(CW$4=0,0,IF(COUNTIFS(実績!$W$6:$W$505,CW$3,実績!$AI$6:$AI$505,"&lt;="&amp;$A154,実績!$AJ$6:$AJ$505,"&gt;"&amp;$A154,実績!$AL$6:$AL$505,"○")&gt;0,1,0))</f>
        <v>0</v>
      </c>
      <c r="CX154" s="39" t="n">
        <f aca="false">IF(CX$4=0,0,IF(COUNTIFS(実績!$W$6:$W$505,CX$3,実績!$AI$6:$AI$505,"&lt;="&amp;$A154,実績!$AJ$6:$AJ$505,"&gt;"&amp;$A154,実績!$AL$6:$AL$505,"○")&gt;0,1,0))</f>
        <v>0</v>
      </c>
      <c r="CY154" s="39" t="n">
        <f aca="false">IF(CY$4=0,0,IF(COUNTIFS(実績!$W$6:$W$505,CY$3,実績!$AI$6:$AI$505,"&lt;="&amp;$A154,実績!$AJ$6:$AJ$505,"&gt;"&amp;$A154,実績!$AL$6:$AL$505,"○")&gt;0,1,0))</f>
        <v>0</v>
      </c>
      <c r="CZ154" s="39" t="n">
        <f aca="false">IF(CZ$4=0,0,IF(COUNTIFS(実績!$W$6:$W$505,CZ$3,実績!$AI$6:$AI$505,"&lt;="&amp;$A154,実績!$AJ$6:$AJ$505,"&gt;"&amp;$A154,実績!$AL$6:$AL$505,"○")&gt;0,1,0))</f>
        <v>0</v>
      </c>
      <c r="DA154" s="39" t="n">
        <f aca="false">IF(DA$4=0,0,IF(COUNTIFS(実績!$W$6:$W$505,DA$3,実績!$AI$6:$AI$505,"&lt;="&amp;$A154,実績!$AJ$6:$AJ$505,"&gt;"&amp;$A154,実績!$AL$6:$AL$505,"○")&gt;0,1,0))</f>
        <v>0</v>
      </c>
      <c r="DB154" s="39" t="n">
        <f aca="false">IF(DB$4=0,0,IF(COUNTIFS(実績!$W$6:$W$505,DB$3,実績!$AI$6:$AI$505,"&lt;="&amp;$A154,実績!$AJ$6:$AJ$505,"&gt;"&amp;$A154,実績!$AL$6:$AL$505,"○")&gt;0,1,0))</f>
        <v>0</v>
      </c>
      <c r="DC154" s="39" t="n">
        <f aca="false">IF(DC$4=0,0,IF(COUNTIFS(実績!$W$6:$W$505,DC$3,実績!$AI$6:$AI$505,"&lt;="&amp;$A154,実績!$AJ$6:$AJ$505,"&gt;"&amp;$A154,実績!$AL$6:$AL$505,"○")&gt;0,1,0))</f>
        <v>0</v>
      </c>
      <c r="DD154" s="39" t="n">
        <f aca="false">IF(DD$4=0,0,IF(COUNTIFS(実績!$W$6:$W$505,DD$3,実績!$AI$6:$AI$505,"&lt;="&amp;$A154,実績!$AJ$6:$AJ$505,"&gt;"&amp;$A154,実績!$AL$6:$AL$505,"○")&gt;0,1,0))</f>
        <v>0</v>
      </c>
      <c r="DE154" s="39" t="n">
        <f aca="false">IF(DE$4=0,0,IF(COUNTIFS(実績!$W$6:$W$505,DE$3,実績!$AI$6:$AI$505,"&lt;="&amp;$A154,実績!$AJ$6:$AJ$505,"&gt;"&amp;$A154,実績!$AL$6:$AL$505,"○")&gt;0,1,0))</f>
        <v>0</v>
      </c>
      <c r="DF154" s="39" t="n">
        <f aca="false">IF(DF$4=0,0,IF(COUNTIFS(実績!$W$6:$W$505,DF$3,実績!$AI$6:$AI$505,"&lt;="&amp;$A154,実績!$AJ$6:$AJ$505,"&gt;"&amp;$A154,実績!$AL$6:$AL$505,"○")&gt;0,1,0))</f>
        <v>0</v>
      </c>
      <c r="DG154" s="39" t="n">
        <f aca="false">IF(DG$4=0,0,IF(COUNTIFS(実績!$W$6:$W$505,DG$3,実績!$AI$6:$AI$505,"&lt;="&amp;$A154,実績!$AJ$6:$AJ$505,"&gt;"&amp;$A154,実績!$AL$6:$AL$505,"○")&gt;0,1,0))</f>
        <v>0</v>
      </c>
      <c r="DH154" s="39" t="n">
        <f aca="false">IF(DH$4=0,0,IF(COUNTIFS(実績!$W$6:$W$505,DH$3,実績!$AI$6:$AI$505,"&lt;="&amp;$A154,実績!$AJ$6:$AJ$505,"&gt;"&amp;$A154,実績!$AL$6:$AL$505,"○")&gt;0,1,0))</f>
        <v>0</v>
      </c>
      <c r="DI154" s="39" t="n">
        <f aca="false">IF(DI$4=0,0,IF(COUNTIFS(実績!$W$6:$W$505,DI$3,実績!$AI$6:$AI$505,"&lt;="&amp;$A154,実績!$AJ$6:$AJ$505,"&gt;"&amp;$A154,実績!$AL$6:$AL$505,"○")&gt;0,1,0))</f>
        <v>0</v>
      </c>
      <c r="DJ154" s="39" t="n">
        <f aca="false">IF(DJ$4=0,0,IF(COUNTIFS(実績!$W$6:$W$505,DJ$3,実績!$AI$6:$AI$505,"&lt;="&amp;$A154,実績!$AJ$6:$AJ$505,"&gt;"&amp;$A154,実績!$AL$6:$AL$505,"○")&gt;0,1,0))</f>
        <v>0</v>
      </c>
      <c r="DK154" s="39" t="n">
        <f aca="false">IF(DK$4=0,0,IF(COUNTIFS(実績!$W$6:$W$505,DK$3,実績!$AI$6:$AI$505,"&lt;="&amp;$A154,実績!$AJ$6:$AJ$505,"&gt;"&amp;$A154,実績!$AL$6:$AL$505,"○")&gt;0,1,0))</f>
        <v>0</v>
      </c>
      <c r="DL154" s="39" t="n">
        <f aca="false">IF(DL$4=0,0,IF(COUNTIFS(実績!$W$6:$W$505,DL$3,実績!$AI$6:$AI$505,"&lt;="&amp;$A154,実績!$AJ$6:$AJ$505,"&gt;"&amp;$A154,実績!$AL$6:$AL$505,"○")&gt;0,1,0))</f>
        <v>0</v>
      </c>
      <c r="DM154" s="39" t="n">
        <f aca="false">IF(DM$4=0,0,IF(COUNTIFS(実績!$W$6:$W$505,DM$3,実績!$AI$6:$AI$505,"&lt;="&amp;$A154,実績!$AJ$6:$AJ$505,"&gt;"&amp;$A154,実績!$AL$6:$AL$505,"○")&gt;0,1,0))</f>
        <v>0</v>
      </c>
      <c r="DN154" s="39" t="n">
        <f aca="false">IF(DN$4=0,0,IF(COUNTIFS(実績!$W$6:$W$505,DN$3,実績!$AI$6:$AI$505,"&lt;="&amp;$A154,実績!$AJ$6:$AJ$505,"&gt;"&amp;$A154,実績!$AL$6:$AL$505,"○")&gt;0,1,0))</f>
        <v>0</v>
      </c>
      <c r="DO154" s="39" t="n">
        <f aca="false">IF(DO$4=0,0,IF(COUNTIFS(実績!$W$6:$W$505,DO$3,実績!$AI$6:$AI$505,"&lt;="&amp;$A154,実績!$AJ$6:$AJ$505,"&gt;"&amp;$A154,実績!$AL$6:$AL$505,"○")&gt;0,1,0))</f>
        <v>0</v>
      </c>
      <c r="DP154" s="39" t="n">
        <f aca="false">IF(DP$4=0,0,IF(COUNTIFS(実績!$W$6:$W$505,DP$3,実績!$AI$6:$AI$505,"&lt;="&amp;$A154,実績!$AJ$6:$AJ$505,"&gt;"&amp;$A154,実績!$AL$6:$AL$505,"○")&gt;0,1,0))</f>
        <v>0</v>
      </c>
      <c r="DQ154" s="39" t="n">
        <f aca="false">IF(DQ$4=0,0,IF(COUNTIFS(実績!$W$6:$W$505,DQ$3,実績!$AI$6:$AI$505,"&lt;="&amp;$A154,実績!$AJ$6:$AJ$505,"&gt;"&amp;$A154,実績!$AL$6:$AL$505,"○")&gt;0,1,0))</f>
        <v>0</v>
      </c>
      <c r="DR154" s="39" t="n">
        <f aca="false">IF(DR$4=0,0,IF(COUNTIFS(実績!$W$6:$W$505,DR$3,実績!$AI$6:$AI$505,"&lt;="&amp;$A154,実績!$AJ$6:$AJ$505,"&gt;"&amp;$A154,実績!$AL$6:$AL$505,"○")&gt;0,1,0))</f>
        <v>0</v>
      </c>
      <c r="DS154" s="39" t="n">
        <f aca="false">SUM(C154:DR154)</f>
        <v>0</v>
      </c>
    </row>
    <row r="155" customFormat="false" ht="15" hidden="false" customHeight="false" outlineLevel="0" collapsed="false">
      <c r="A155" s="0" t="n">
        <v>745</v>
      </c>
      <c r="B155" s="38" t="n">
        <f aca="false">A155/1440</f>
        <v>0.517361111111111</v>
      </c>
      <c r="C155" s="39" t="n">
        <f aca="false">IF(C$4=0,0,IF(COUNTIFS(実績!$W$6:$W$505,C$3,実績!$AI$6:$AI$505,"&lt;="&amp;$A155,実績!$AJ$6:$AJ$505,"&gt;"&amp;$A155,実績!$AL$6:$AL$505,"○")&gt;0,1,0))</f>
        <v>0</v>
      </c>
      <c r="D155" s="39" t="n">
        <f aca="false">IF(D$4=0,0,IF(COUNTIFS(実績!$W$6:$W$505,D$3,実績!$AI$6:$AI$505,"&lt;="&amp;$A155,実績!$AJ$6:$AJ$505,"&gt;"&amp;$A155,実績!$AL$6:$AL$505,"○")&gt;0,1,0))</f>
        <v>0</v>
      </c>
      <c r="E155" s="39" t="n">
        <f aca="false">IF(E$4=0,0,IF(COUNTIFS(実績!$W$6:$W$505,E$3,実績!$AI$6:$AI$505,"&lt;="&amp;$A155,実績!$AJ$6:$AJ$505,"&gt;"&amp;$A155,実績!$AL$6:$AL$505,"○")&gt;0,1,0))</f>
        <v>0</v>
      </c>
      <c r="F155" s="39" t="n">
        <f aca="false">IF(F$4=0,0,IF(COUNTIFS(実績!$W$6:$W$505,F$3,実績!$AI$6:$AI$505,"&lt;="&amp;$A155,実績!$AJ$6:$AJ$505,"&gt;"&amp;$A155,実績!$AL$6:$AL$505,"○")&gt;0,1,0))</f>
        <v>0</v>
      </c>
      <c r="G155" s="39" t="n">
        <f aca="false">IF(G$4=0,0,IF(COUNTIFS(実績!$W$6:$W$505,G$3,実績!$AI$6:$AI$505,"&lt;="&amp;$A155,実績!$AJ$6:$AJ$505,"&gt;"&amp;$A155,実績!$AL$6:$AL$505,"○")&gt;0,1,0))</f>
        <v>0</v>
      </c>
      <c r="H155" s="39" t="n">
        <f aca="false">IF(H$4=0,0,IF(COUNTIFS(実績!$W$6:$W$505,H$3,実績!$AI$6:$AI$505,"&lt;="&amp;$A155,実績!$AJ$6:$AJ$505,"&gt;"&amp;$A155,実績!$AL$6:$AL$505,"○")&gt;0,1,0))</f>
        <v>0</v>
      </c>
      <c r="I155" s="39" t="n">
        <f aca="false">IF(I$4=0,0,IF(COUNTIFS(実績!$W$6:$W$505,I$3,実績!$AI$6:$AI$505,"&lt;="&amp;$A155,実績!$AJ$6:$AJ$505,"&gt;"&amp;$A155,実績!$AL$6:$AL$505,"○")&gt;0,1,0))</f>
        <v>0</v>
      </c>
      <c r="J155" s="39" t="n">
        <f aca="false">IF(J$4=0,0,IF(COUNTIFS(実績!$W$6:$W$505,J$3,実績!$AI$6:$AI$505,"&lt;="&amp;$A155,実績!$AJ$6:$AJ$505,"&gt;"&amp;$A155,実績!$AL$6:$AL$505,"○")&gt;0,1,0))</f>
        <v>0</v>
      </c>
      <c r="K155" s="39" t="n">
        <f aca="false">IF(K$4=0,0,IF(COUNTIFS(実績!$W$6:$W$505,K$3,実績!$AI$6:$AI$505,"&lt;="&amp;$A155,実績!$AJ$6:$AJ$505,"&gt;"&amp;$A155,実績!$AL$6:$AL$505,"○")&gt;0,1,0))</f>
        <v>0</v>
      </c>
      <c r="L155" s="39" t="n">
        <f aca="false">IF(L$4=0,0,IF(COUNTIFS(実績!$W$6:$W$505,L$3,実績!$AI$6:$AI$505,"&lt;="&amp;$A155,実績!$AJ$6:$AJ$505,"&gt;"&amp;$A155,実績!$AL$6:$AL$505,"○")&gt;0,1,0))</f>
        <v>0</v>
      </c>
      <c r="M155" s="39" t="n">
        <f aca="false">IF(M$4=0,0,IF(COUNTIFS(実績!$W$6:$W$505,M$3,実績!$AI$6:$AI$505,"&lt;="&amp;$A155,実績!$AJ$6:$AJ$505,"&gt;"&amp;$A155,実績!$AL$6:$AL$505,"○")&gt;0,1,0))</f>
        <v>0</v>
      </c>
      <c r="N155" s="39" t="n">
        <f aca="false">IF(N$4=0,0,IF(COUNTIFS(実績!$W$6:$W$505,N$3,実績!$AI$6:$AI$505,"&lt;="&amp;$A155,実績!$AJ$6:$AJ$505,"&gt;"&amp;$A155,実績!$AL$6:$AL$505,"○")&gt;0,1,0))</f>
        <v>0</v>
      </c>
      <c r="O155" s="39" t="n">
        <f aca="false">IF(O$4=0,0,IF(COUNTIFS(実績!$W$6:$W$505,O$3,実績!$AI$6:$AI$505,"&lt;="&amp;$A155,実績!$AJ$6:$AJ$505,"&gt;"&amp;$A155,実績!$AL$6:$AL$505,"○")&gt;0,1,0))</f>
        <v>0</v>
      </c>
      <c r="P155" s="39" t="n">
        <f aca="false">IF(P$4=0,0,IF(COUNTIFS(実績!$W$6:$W$505,P$3,実績!$AI$6:$AI$505,"&lt;="&amp;$A155,実績!$AJ$6:$AJ$505,"&gt;"&amp;$A155,実績!$AL$6:$AL$505,"○")&gt;0,1,0))</f>
        <v>0</v>
      </c>
      <c r="Q155" s="39" t="n">
        <f aca="false">IF(Q$4=0,0,IF(COUNTIFS(実績!$W$6:$W$505,Q$3,実績!$AI$6:$AI$505,"&lt;="&amp;$A155,実績!$AJ$6:$AJ$505,"&gt;"&amp;$A155,実績!$AL$6:$AL$505,"○")&gt;0,1,0))</f>
        <v>0</v>
      </c>
      <c r="R155" s="39" t="n">
        <f aca="false">IF(R$4=0,0,IF(COUNTIFS(実績!$W$6:$W$505,R$3,実績!$AI$6:$AI$505,"&lt;="&amp;$A155,実績!$AJ$6:$AJ$505,"&gt;"&amp;$A155,実績!$AL$6:$AL$505,"○")&gt;0,1,0))</f>
        <v>0</v>
      </c>
      <c r="S155" s="39" t="n">
        <f aca="false">IF(S$4=0,0,IF(COUNTIFS(実績!$W$6:$W$505,S$3,実績!$AI$6:$AI$505,"&lt;="&amp;$A155,実績!$AJ$6:$AJ$505,"&gt;"&amp;$A155,実績!$AL$6:$AL$505,"○")&gt;0,1,0))</f>
        <v>0</v>
      </c>
      <c r="T155" s="39" t="n">
        <f aca="false">IF(T$4=0,0,IF(COUNTIFS(実績!$W$6:$W$505,T$3,実績!$AI$6:$AI$505,"&lt;="&amp;$A155,実績!$AJ$6:$AJ$505,"&gt;"&amp;$A155,実績!$AL$6:$AL$505,"○")&gt;0,1,0))</f>
        <v>0</v>
      </c>
      <c r="U155" s="39" t="n">
        <f aca="false">IF(U$4=0,0,IF(COUNTIFS(実績!$W$6:$W$505,U$3,実績!$AI$6:$AI$505,"&lt;="&amp;$A155,実績!$AJ$6:$AJ$505,"&gt;"&amp;$A155,実績!$AL$6:$AL$505,"○")&gt;0,1,0))</f>
        <v>0</v>
      </c>
      <c r="V155" s="39" t="n">
        <f aca="false">IF(V$4=0,0,IF(COUNTIFS(実績!$W$6:$W$505,V$3,実績!$AI$6:$AI$505,"&lt;="&amp;$A155,実績!$AJ$6:$AJ$505,"&gt;"&amp;$A155,実績!$AL$6:$AL$505,"○")&gt;0,1,0))</f>
        <v>0</v>
      </c>
      <c r="W155" s="39" t="n">
        <f aca="false">IF(W$4=0,0,IF(COUNTIFS(実績!$W$6:$W$505,W$3,実績!$AI$6:$AI$505,"&lt;="&amp;$A155,実績!$AJ$6:$AJ$505,"&gt;"&amp;$A155,実績!$AL$6:$AL$505,"○")&gt;0,1,0))</f>
        <v>0</v>
      </c>
      <c r="X155" s="39" t="n">
        <f aca="false">IF(X$4=0,0,IF(COUNTIFS(実績!$W$6:$W$505,X$3,実績!$AI$6:$AI$505,"&lt;="&amp;$A155,実績!$AJ$6:$AJ$505,"&gt;"&amp;$A155,実績!$AL$6:$AL$505,"○")&gt;0,1,0))</f>
        <v>0</v>
      </c>
      <c r="Y155" s="39" t="n">
        <f aca="false">IF(Y$4=0,0,IF(COUNTIFS(実績!$W$6:$W$505,Y$3,実績!$AI$6:$AI$505,"&lt;="&amp;$A155,実績!$AJ$6:$AJ$505,"&gt;"&amp;$A155,実績!$AL$6:$AL$505,"○")&gt;0,1,0))</f>
        <v>0</v>
      </c>
      <c r="Z155" s="39" t="n">
        <f aca="false">IF(Z$4=0,0,IF(COUNTIFS(実績!$W$6:$W$505,Z$3,実績!$AI$6:$AI$505,"&lt;="&amp;$A155,実績!$AJ$6:$AJ$505,"&gt;"&amp;$A155,実績!$AL$6:$AL$505,"○")&gt;0,1,0))</f>
        <v>0</v>
      </c>
      <c r="AA155" s="39" t="n">
        <f aca="false">IF(AA$4=0,0,IF(COUNTIFS(実績!$W$6:$W$505,AA$3,実績!$AI$6:$AI$505,"&lt;="&amp;$A155,実績!$AJ$6:$AJ$505,"&gt;"&amp;$A155,実績!$AL$6:$AL$505,"○")&gt;0,1,0))</f>
        <v>0</v>
      </c>
      <c r="AB155" s="39" t="n">
        <f aca="false">IF(AB$4=0,0,IF(COUNTIFS(実績!$W$6:$W$505,AB$3,実績!$AI$6:$AI$505,"&lt;="&amp;$A155,実績!$AJ$6:$AJ$505,"&gt;"&amp;$A155,実績!$AL$6:$AL$505,"○")&gt;0,1,0))</f>
        <v>0</v>
      </c>
      <c r="AC155" s="39" t="n">
        <f aca="false">IF(AC$4=0,0,IF(COUNTIFS(実績!$W$6:$W$505,AC$3,実績!$AI$6:$AI$505,"&lt;="&amp;$A155,実績!$AJ$6:$AJ$505,"&gt;"&amp;$A155,実績!$AL$6:$AL$505,"○")&gt;0,1,0))</f>
        <v>0</v>
      </c>
      <c r="AD155" s="39" t="n">
        <f aca="false">IF(AD$4=0,0,IF(COUNTIFS(実績!$W$6:$W$505,AD$3,実績!$AI$6:$AI$505,"&lt;="&amp;$A155,実績!$AJ$6:$AJ$505,"&gt;"&amp;$A155,実績!$AL$6:$AL$505,"○")&gt;0,1,0))</f>
        <v>0</v>
      </c>
      <c r="AE155" s="39" t="n">
        <f aca="false">IF(AE$4=0,0,IF(COUNTIFS(実績!$W$6:$W$505,AE$3,実績!$AI$6:$AI$505,"&lt;="&amp;$A155,実績!$AJ$6:$AJ$505,"&gt;"&amp;$A155,実績!$AL$6:$AL$505,"○")&gt;0,1,0))</f>
        <v>0</v>
      </c>
      <c r="AF155" s="39" t="n">
        <f aca="false">IF(AF$4=0,0,IF(COUNTIFS(実績!$W$6:$W$505,AF$3,実績!$AI$6:$AI$505,"&lt;="&amp;$A155,実績!$AJ$6:$AJ$505,"&gt;"&amp;$A155,実績!$AL$6:$AL$505,"○")&gt;0,1,0))</f>
        <v>0</v>
      </c>
      <c r="AG155" s="39" t="n">
        <f aca="false">IF(AG$4=0,0,IF(COUNTIFS(実績!$W$6:$W$505,AG$3,実績!$AI$6:$AI$505,"&lt;="&amp;$A155,実績!$AJ$6:$AJ$505,"&gt;"&amp;$A155,実績!$AL$6:$AL$505,"○")&gt;0,1,0))</f>
        <v>0</v>
      </c>
      <c r="AH155" s="39" t="n">
        <f aca="false">IF(AH$4=0,0,IF(COUNTIFS(実績!$W$6:$W$505,AH$3,実績!$AI$6:$AI$505,"&lt;="&amp;$A155,実績!$AJ$6:$AJ$505,"&gt;"&amp;$A155,実績!$AL$6:$AL$505,"○")&gt;0,1,0))</f>
        <v>0</v>
      </c>
      <c r="AI155" s="39" t="n">
        <f aca="false">IF(AI$4=0,0,IF(COUNTIFS(実績!$W$6:$W$505,AI$3,実績!$AI$6:$AI$505,"&lt;="&amp;$A155,実績!$AJ$6:$AJ$505,"&gt;"&amp;$A155,実績!$AL$6:$AL$505,"○")&gt;0,1,0))</f>
        <v>0</v>
      </c>
      <c r="AJ155" s="39" t="n">
        <f aca="false">IF(AJ$4=0,0,IF(COUNTIFS(実績!$W$6:$W$505,AJ$3,実績!$AI$6:$AI$505,"&lt;="&amp;$A155,実績!$AJ$6:$AJ$505,"&gt;"&amp;$A155,実績!$AL$6:$AL$505,"○")&gt;0,1,0))</f>
        <v>0</v>
      </c>
      <c r="AK155" s="39" t="n">
        <f aca="false">IF(AK$4=0,0,IF(COUNTIFS(実績!$W$6:$W$505,AK$3,実績!$AI$6:$AI$505,"&lt;="&amp;$A155,実績!$AJ$6:$AJ$505,"&gt;"&amp;$A155,実績!$AL$6:$AL$505,"○")&gt;0,1,0))</f>
        <v>0</v>
      </c>
      <c r="AL155" s="39" t="n">
        <f aca="false">IF(AL$4=0,0,IF(COUNTIFS(実績!$W$6:$W$505,AL$3,実績!$AI$6:$AI$505,"&lt;="&amp;$A155,実績!$AJ$6:$AJ$505,"&gt;"&amp;$A155,実績!$AL$6:$AL$505,"○")&gt;0,1,0))</f>
        <v>0</v>
      </c>
      <c r="AM155" s="39" t="n">
        <f aca="false">IF(AM$4=0,0,IF(COUNTIFS(実績!$W$6:$W$505,AM$3,実績!$AI$6:$AI$505,"&lt;="&amp;$A155,実績!$AJ$6:$AJ$505,"&gt;"&amp;$A155,実績!$AL$6:$AL$505,"○")&gt;0,1,0))</f>
        <v>0</v>
      </c>
      <c r="AN155" s="39" t="n">
        <f aca="false">IF(AN$4=0,0,IF(COUNTIFS(実績!$W$6:$W$505,AN$3,実績!$AI$6:$AI$505,"&lt;="&amp;$A155,実績!$AJ$6:$AJ$505,"&gt;"&amp;$A155,実績!$AL$6:$AL$505,"○")&gt;0,1,0))</f>
        <v>0</v>
      </c>
      <c r="AO155" s="39" t="n">
        <f aca="false">IF(AO$4=0,0,IF(COUNTIFS(実績!$W$6:$W$505,AO$3,実績!$AI$6:$AI$505,"&lt;="&amp;$A155,実績!$AJ$6:$AJ$505,"&gt;"&amp;$A155,実績!$AL$6:$AL$505,"○")&gt;0,1,0))</f>
        <v>0</v>
      </c>
      <c r="AP155" s="39" t="n">
        <f aca="false">IF(AP$4=0,0,IF(COUNTIFS(実績!$W$6:$W$505,AP$3,実績!$AI$6:$AI$505,"&lt;="&amp;$A155,実績!$AJ$6:$AJ$505,"&gt;"&amp;$A155,実績!$AL$6:$AL$505,"○")&gt;0,1,0))</f>
        <v>0</v>
      </c>
      <c r="AQ155" s="39" t="n">
        <f aca="false">IF(AQ$4=0,0,IF(COUNTIFS(実績!$W$6:$W$505,AQ$3,実績!$AI$6:$AI$505,"&lt;="&amp;$A155,実績!$AJ$6:$AJ$505,"&gt;"&amp;$A155,実績!$AL$6:$AL$505,"○")&gt;0,1,0))</f>
        <v>0</v>
      </c>
      <c r="AR155" s="39" t="n">
        <f aca="false">IF(AR$4=0,0,IF(COUNTIFS(実績!$W$6:$W$505,AR$3,実績!$AI$6:$AI$505,"&lt;="&amp;$A155,実績!$AJ$6:$AJ$505,"&gt;"&amp;$A155,実績!$AL$6:$AL$505,"○")&gt;0,1,0))</f>
        <v>0</v>
      </c>
      <c r="AS155" s="39" t="n">
        <f aca="false">IF(AS$4=0,0,IF(COUNTIFS(実績!$W$6:$W$505,AS$3,実績!$AI$6:$AI$505,"&lt;="&amp;$A155,実績!$AJ$6:$AJ$505,"&gt;"&amp;$A155,実績!$AL$6:$AL$505,"○")&gt;0,1,0))</f>
        <v>0</v>
      </c>
      <c r="AT155" s="39" t="n">
        <f aca="false">IF(AT$4=0,0,IF(COUNTIFS(実績!$W$6:$W$505,AT$3,実績!$AI$6:$AI$505,"&lt;="&amp;$A155,実績!$AJ$6:$AJ$505,"&gt;"&amp;$A155,実績!$AL$6:$AL$505,"○")&gt;0,1,0))</f>
        <v>0</v>
      </c>
      <c r="AU155" s="39" t="n">
        <f aca="false">IF(AU$4=0,0,IF(COUNTIFS(実績!$W$6:$W$505,AU$3,実績!$AI$6:$AI$505,"&lt;="&amp;$A155,実績!$AJ$6:$AJ$505,"&gt;"&amp;$A155,実績!$AL$6:$AL$505,"○")&gt;0,1,0))</f>
        <v>0</v>
      </c>
      <c r="AV155" s="39" t="n">
        <f aca="false">IF(AV$4=0,0,IF(COUNTIFS(実績!$W$6:$W$505,AV$3,実績!$AI$6:$AI$505,"&lt;="&amp;$A155,実績!$AJ$6:$AJ$505,"&gt;"&amp;$A155,実績!$AL$6:$AL$505,"○")&gt;0,1,0))</f>
        <v>0</v>
      </c>
      <c r="AW155" s="39" t="n">
        <f aca="false">IF(AW$4=0,0,IF(COUNTIFS(実績!$W$6:$W$505,AW$3,実績!$AI$6:$AI$505,"&lt;="&amp;$A155,実績!$AJ$6:$AJ$505,"&gt;"&amp;$A155,実績!$AL$6:$AL$505,"○")&gt;0,1,0))</f>
        <v>0</v>
      </c>
      <c r="AX155" s="39" t="n">
        <f aca="false">IF(AX$4=0,0,IF(COUNTIFS(実績!$W$6:$W$505,AX$3,実績!$AI$6:$AI$505,"&lt;="&amp;$A155,実績!$AJ$6:$AJ$505,"&gt;"&amp;$A155,実績!$AL$6:$AL$505,"○")&gt;0,1,0))</f>
        <v>0</v>
      </c>
      <c r="AY155" s="39" t="n">
        <f aca="false">IF(AY$4=0,0,IF(COUNTIFS(実績!$W$6:$W$505,AY$3,実績!$AI$6:$AI$505,"&lt;="&amp;$A155,実績!$AJ$6:$AJ$505,"&gt;"&amp;$A155,実績!$AL$6:$AL$505,"○")&gt;0,1,0))</f>
        <v>0</v>
      </c>
      <c r="AZ155" s="39" t="n">
        <f aca="false">IF(AZ$4=0,0,IF(COUNTIFS(実績!$W$6:$W$505,AZ$3,実績!$AI$6:$AI$505,"&lt;="&amp;$A155,実績!$AJ$6:$AJ$505,"&gt;"&amp;$A155,実績!$AL$6:$AL$505,"○")&gt;0,1,0))</f>
        <v>0</v>
      </c>
      <c r="BA155" s="39" t="n">
        <f aca="false">IF(BA$4=0,0,IF(COUNTIFS(実績!$W$6:$W$505,BA$3,実績!$AI$6:$AI$505,"&lt;="&amp;$A155,実績!$AJ$6:$AJ$505,"&gt;"&amp;$A155,実績!$AL$6:$AL$505,"○")&gt;0,1,0))</f>
        <v>0</v>
      </c>
      <c r="BB155" s="39" t="n">
        <f aca="false">IF(BB$4=0,0,IF(COUNTIFS(実績!$W$6:$W$505,BB$3,実績!$AI$6:$AI$505,"&lt;="&amp;$A155,実績!$AJ$6:$AJ$505,"&gt;"&amp;$A155,実績!$AL$6:$AL$505,"○")&gt;0,1,0))</f>
        <v>0</v>
      </c>
      <c r="BC155" s="39" t="n">
        <f aca="false">IF(BC$4=0,0,IF(COUNTIFS(実績!$W$6:$W$505,BC$3,実績!$AI$6:$AI$505,"&lt;="&amp;$A155,実績!$AJ$6:$AJ$505,"&gt;"&amp;$A155,実績!$AL$6:$AL$505,"○")&gt;0,1,0))</f>
        <v>0</v>
      </c>
      <c r="BD155" s="39" t="n">
        <f aca="false">IF(BD$4=0,0,IF(COUNTIFS(実績!$W$6:$W$505,BD$3,実績!$AI$6:$AI$505,"&lt;="&amp;$A155,実績!$AJ$6:$AJ$505,"&gt;"&amp;$A155,実績!$AL$6:$AL$505,"○")&gt;0,1,0))</f>
        <v>0</v>
      </c>
      <c r="BE155" s="39" t="n">
        <f aca="false">IF(BE$4=0,0,IF(COUNTIFS(実績!$W$6:$W$505,BE$3,実績!$AI$6:$AI$505,"&lt;="&amp;$A155,実績!$AJ$6:$AJ$505,"&gt;"&amp;$A155,実績!$AL$6:$AL$505,"○")&gt;0,1,0))</f>
        <v>0</v>
      </c>
      <c r="BF155" s="39" t="n">
        <f aca="false">IF(BF$4=0,0,IF(COUNTIFS(実績!$W$6:$W$505,BF$3,実績!$AI$6:$AI$505,"&lt;="&amp;$A155,実績!$AJ$6:$AJ$505,"&gt;"&amp;$A155,実績!$AL$6:$AL$505,"○")&gt;0,1,0))</f>
        <v>0</v>
      </c>
      <c r="BG155" s="39" t="n">
        <f aca="false">IF(BG$4=0,0,IF(COUNTIFS(実績!$W$6:$W$505,BG$3,実績!$AI$6:$AI$505,"&lt;="&amp;$A155,実績!$AJ$6:$AJ$505,"&gt;"&amp;$A155,実績!$AL$6:$AL$505,"○")&gt;0,1,0))</f>
        <v>0</v>
      </c>
      <c r="BH155" s="39" t="n">
        <f aca="false">IF(BH$4=0,0,IF(COUNTIFS(実績!$W$6:$W$505,BH$3,実績!$AI$6:$AI$505,"&lt;="&amp;$A155,実績!$AJ$6:$AJ$505,"&gt;"&amp;$A155,実績!$AL$6:$AL$505,"○")&gt;0,1,0))</f>
        <v>0</v>
      </c>
      <c r="BI155" s="39" t="n">
        <f aca="false">IF(BI$4=0,0,IF(COUNTIFS(実績!$W$6:$W$505,BI$3,実績!$AI$6:$AI$505,"&lt;="&amp;$A155,実績!$AJ$6:$AJ$505,"&gt;"&amp;$A155,実績!$AL$6:$AL$505,"○")&gt;0,1,0))</f>
        <v>0</v>
      </c>
      <c r="BJ155" s="39" t="n">
        <f aca="false">IF(BJ$4=0,0,IF(COUNTIFS(実績!$W$6:$W$505,BJ$3,実績!$AI$6:$AI$505,"&lt;="&amp;$A155,実績!$AJ$6:$AJ$505,"&gt;"&amp;$A155,実績!$AL$6:$AL$505,"○")&gt;0,1,0))</f>
        <v>0</v>
      </c>
      <c r="BK155" s="39" t="n">
        <f aca="false">IF(BK$4=0,0,IF(COUNTIFS(実績!$W$6:$W$505,BK$3,実績!$AI$6:$AI$505,"&lt;="&amp;$A155,実績!$AJ$6:$AJ$505,"&gt;"&amp;$A155,実績!$AL$6:$AL$505,"○")&gt;0,1,0))</f>
        <v>0</v>
      </c>
      <c r="BL155" s="39" t="n">
        <f aca="false">IF(BL$4=0,0,IF(COUNTIFS(実績!$W$6:$W$505,BL$3,実績!$AI$6:$AI$505,"&lt;="&amp;$A155,実績!$AJ$6:$AJ$505,"&gt;"&amp;$A155,実績!$AL$6:$AL$505,"○")&gt;0,1,0))</f>
        <v>0</v>
      </c>
      <c r="BM155" s="39" t="n">
        <f aca="false">IF(BM$4=0,0,IF(COUNTIFS(実績!$W$6:$W$505,BM$3,実績!$AI$6:$AI$505,"&lt;="&amp;$A155,実績!$AJ$6:$AJ$505,"&gt;"&amp;$A155,実績!$AL$6:$AL$505,"○")&gt;0,1,0))</f>
        <v>0</v>
      </c>
      <c r="BN155" s="39" t="n">
        <f aca="false">IF(BN$4=0,0,IF(COUNTIFS(実績!$W$6:$W$505,BN$3,実績!$AI$6:$AI$505,"&lt;="&amp;$A155,実績!$AJ$6:$AJ$505,"&gt;"&amp;$A155,実績!$AL$6:$AL$505,"○")&gt;0,1,0))</f>
        <v>0</v>
      </c>
      <c r="BO155" s="39" t="n">
        <f aca="false">IF(BO$4=0,0,IF(COUNTIFS(実績!$W$6:$W$505,BO$3,実績!$AI$6:$AI$505,"&lt;="&amp;$A155,実績!$AJ$6:$AJ$505,"&gt;"&amp;$A155,実績!$AL$6:$AL$505,"○")&gt;0,1,0))</f>
        <v>0</v>
      </c>
      <c r="BP155" s="39" t="n">
        <f aca="false">IF(BP$4=0,0,IF(COUNTIFS(実績!$W$6:$W$505,BP$3,実績!$AI$6:$AI$505,"&lt;="&amp;$A155,実績!$AJ$6:$AJ$505,"&gt;"&amp;$A155,実績!$AL$6:$AL$505,"○")&gt;0,1,0))</f>
        <v>0</v>
      </c>
      <c r="BQ155" s="39" t="n">
        <f aca="false">IF(BQ$4=0,0,IF(COUNTIFS(実績!$W$6:$W$505,BQ$3,実績!$AI$6:$AI$505,"&lt;="&amp;$A155,実績!$AJ$6:$AJ$505,"&gt;"&amp;$A155,実績!$AL$6:$AL$505,"○")&gt;0,1,0))</f>
        <v>0</v>
      </c>
      <c r="BR155" s="39" t="n">
        <f aca="false">IF(BR$4=0,0,IF(COUNTIFS(実績!$W$6:$W$505,BR$3,実績!$AI$6:$AI$505,"&lt;="&amp;$A155,実績!$AJ$6:$AJ$505,"&gt;"&amp;$A155,実績!$AL$6:$AL$505,"○")&gt;0,1,0))</f>
        <v>0</v>
      </c>
      <c r="BS155" s="39" t="n">
        <f aca="false">IF(BS$4=0,0,IF(COUNTIFS(実績!$W$6:$W$505,BS$3,実績!$AI$6:$AI$505,"&lt;="&amp;$A155,実績!$AJ$6:$AJ$505,"&gt;"&amp;$A155,実績!$AL$6:$AL$505,"○")&gt;0,1,0))</f>
        <v>0</v>
      </c>
      <c r="BT155" s="39" t="n">
        <f aca="false">IF(BT$4=0,0,IF(COUNTIFS(実績!$W$6:$W$505,BT$3,実績!$AI$6:$AI$505,"&lt;="&amp;$A155,実績!$AJ$6:$AJ$505,"&gt;"&amp;$A155,実績!$AL$6:$AL$505,"○")&gt;0,1,0))</f>
        <v>0</v>
      </c>
      <c r="BU155" s="39" t="n">
        <f aca="false">IF(BU$4=0,0,IF(COUNTIFS(実績!$W$6:$W$505,BU$3,実績!$AI$6:$AI$505,"&lt;="&amp;$A155,実績!$AJ$6:$AJ$505,"&gt;"&amp;$A155,実績!$AL$6:$AL$505,"○")&gt;0,1,0))</f>
        <v>0</v>
      </c>
      <c r="BV155" s="39" t="n">
        <f aca="false">IF(BV$4=0,0,IF(COUNTIFS(実績!$W$6:$W$505,BV$3,実績!$AI$6:$AI$505,"&lt;="&amp;$A155,実績!$AJ$6:$AJ$505,"&gt;"&amp;$A155,実績!$AL$6:$AL$505,"○")&gt;0,1,0))</f>
        <v>0</v>
      </c>
      <c r="BW155" s="39" t="n">
        <f aca="false">IF(BW$4=0,0,IF(COUNTIFS(実績!$W$6:$W$505,BW$3,実績!$AI$6:$AI$505,"&lt;="&amp;$A155,実績!$AJ$6:$AJ$505,"&gt;"&amp;$A155,実績!$AL$6:$AL$505,"○")&gt;0,1,0))</f>
        <v>0</v>
      </c>
      <c r="BX155" s="39" t="n">
        <f aca="false">IF(BX$4=0,0,IF(COUNTIFS(実績!$W$6:$W$505,BX$3,実績!$AI$6:$AI$505,"&lt;="&amp;$A155,実績!$AJ$6:$AJ$505,"&gt;"&amp;$A155,実績!$AL$6:$AL$505,"○")&gt;0,1,0))</f>
        <v>0</v>
      </c>
      <c r="BY155" s="39" t="n">
        <f aca="false">IF(BY$4=0,0,IF(COUNTIFS(実績!$W$6:$W$505,BY$3,実績!$AI$6:$AI$505,"&lt;="&amp;$A155,実績!$AJ$6:$AJ$505,"&gt;"&amp;$A155,実績!$AL$6:$AL$505,"○")&gt;0,1,0))</f>
        <v>0</v>
      </c>
      <c r="BZ155" s="39" t="n">
        <f aca="false">IF(BZ$4=0,0,IF(COUNTIFS(実績!$W$6:$W$505,BZ$3,実績!$AI$6:$AI$505,"&lt;="&amp;$A155,実績!$AJ$6:$AJ$505,"&gt;"&amp;$A155,実績!$AL$6:$AL$505,"○")&gt;0,1,0))</f>
        <v>0</v>
      </c>
      <c r="CA155" s="39" t="n">
        <f aca="false">IF(CA$4=0,0,IF(COUNTIFS(実績!$W$6:$W$505,CA$3,実績!$AI$6:$AI$505,"&lt;="&amp;$A155,実績!$AJ$6:$AJ$505,"&gt;"&amp;$A155,実績!$AL$6:$AL$505,"○")&gt;0,1,0))</f>
        <v>0</v>
      </c>
      <c r="CB155" s="39" t="n">
        <f aca="false">IF(CB$4=0,0,IF(COUNTIFS(実績!$W$6:$W$505,CB$3,実績!$AI$6:$AI$505,"&lt;="&amp;$A155,実績!$AJ$6:$AJ$505,"&gt;"&amp;$A155,実績!$AL$6:$AL$505,"○")&gt;0,1,0))</f>
        <v>0</v>
      </c>
      <c r="CC155" s="39" t="n">
        <f aca="false">IF(CC$4=0,0,IF(COUNTIFS(実績!$W$6:$W$505,CC$3,実績!$AI$6:$AI$505,"&lt;="&amp;$A155,実績!$AJ$6:$AJ$505,"&gt;"&amp;$A155,実績!$AL$6:$AL$505,"○")&gt;0,1,0))</f>
        <v>0</v>
      </c>
      <c r="CD155" s="39" t="n">
        <f aca="false">IF(CD$4=0,0,IF(COUNTIFS(実績!$W$6:$W$505,CD$3,実績!$AI$6:$AI$505,"&lt;="&amp;$A155,実績!$AJ$6:$AJ$505,"&gt;"&amp;$A155,実績!$AL$6:$AL$505,"○")&gt;0,1,0))</f>
        <v>0</v>
      </c>
      <c r="CE155" s="39" t="n">
        <f aca="false">IF(CE$4=0,0,IF(COUNTIFS(実績!$W$6:$W$505,CE$3,実績!$AI$6:$AI$505,"&lt;="&amp;$A155,実績!$AJ$6:$AJ$505,"&gt;"&amp;$A155,実績!$AL$6:$AL$505,"○")&gt;0,1,0))</f>
        <v>0</v>
      </c>
      <c r="CF155" s="39" t="n">
        <f aca="false">IF(CF$4=0,0,IF(COUNTIFS(実績!$W$6:$W$505,CF$3,実績!$AI$6:$AI$505,"&lt;="&amp;$A155,実績!$AJ$6:$AJ$505,"&gt;"&amp;$A155,実績!$AL$6:$AL$505,"○")&gt;0,1,0))</f>
        <v>0</v>
      </c>
      <c r="CG155" s="39" t="n">
        <f aca="false">IF(CG$4=0,0,IF(COUNTIFS(実績!$W$6:$W$505,CG$3,実績!$AI$6:$AI$505,"&lt;="&amp;$A155,実績!$AJ$6:$AJ$505,"&gt;"&amp;$A155,実績!$AL$6:$AL$505,"○")&gt;0,1,0))</f>
        <v>0</v>
      </c>
      <c r="CH155" s="39" t="n">
        <f aca="false">IF(CH$4=0,0,IF(COUNTIFS(実績!$W$6:$W$505,CH$3,実績!$AI$6:$AI$505,"&lt;="&amp;$A155,実績!$AJ$6:$AJ$505,"&gt;"&amp;$A155,実績!$AL$6:$AL$505,"○")&gt;0,1,0))</f>
        <v>0</v>
      </c>
      <c r="CI155" s="39" t="n">
        <f aca="false">IF(CI$4=0,0,IF(COUNTIFS(実績!$W$6:$W$505,CI$3,実績!$AI$6:$AI$505,"&lt;="&amp;$A155,実績!$AJ$6:$AJ$505,"&gt;"&amp;$A155,実績!$AL$6:$AL$505,"○")&gt;0,1,0))</f>
        <v>0</v>
      </c>
      <c r="CJ155" s="39" t="n">
        <f aca="false">IF(CJ$4=0,0,IF(COUNTIFS(実績!$W$6:$W$505,CJ$3,実績!$AI$6:$AI$505,"&lt;="&amp;$A155,実績!$AJ$6:$AJ$505,"&gt;"&amp;$A155,実績!$AL$6:$AL$505,"○")&gt;0,1,0))</f>
        <v>0</v>
      </c>
      <c r="CK155" s="39" t="n">
        <f aca="false">IF(CK$4=0,0,IF(COUNTIFS(実績!$W$6:$W$505,CK$3,実績!$AI$6:$AI$505,"&lt;="&amp;$A155,実績!$AJ$6:$AJ$505,"&gt;"&amp;$A155,実績!$AL$6:$AL$505,"○")&gt;0,1,0))</f>
        <v>0</v>
      </c>
      <c r="CL155" s="39" t="n">
        <f aca="false">IF(CL$4=0,0,IF(COUNTIFS(実績!$W$6:$W$505,CL$3,実績!$AI$6:$AI$505,"&lt;="&amp;$A155,実績!$AJ$6:$AJ$505,"&gt;"&amp;$A155,実績!$AL$6:$AL$505,"○")&gt;0,1,0))</f>
        <v>0</v>
      </c>
      <c r="CM155" s="39" t="n">
        <f aca="false">IF(CM$4=0,0,IF(COUNTIFS(実績!$W$6:$W$505,CM$3,実績!$AI$6:$AI$505,"&lt;="&amp;$A155,実績!$AJ$6:$AJ$505,"&gt;"&amp;$A155,実績!$AL$6:$AL$505,"○")&gt;0,1,0))</f>
        <v>0</v>
      </c>
      <c r="CN155" s="39" t="n">
        <f aca="false">IF(CN$4=0,0,IF(COUNTIFS(実績!$W$6:$W$505,CN$3,実績!$AI$6:$AI$505,"&lt;="&amp;$A155,実績!$AJ$6:$AJ$505,"&gt;"&amp;$A155,実績!$AL$6:$AL$505,"○")&gt;0,1,0))</f>
        <v>0</v>
      </c>
      <c r="CO155" s="39" t="n">
        <f aca="false">IF(CO$4=0,0,IF(COUNTIFS(実績!$W$6:$W$505,CO$3,実績!$AI$6:$AI$505,"&lt;="&amp;$A155,実績!$AJ$6:$AJ$505,"&gt;"&amp;$A155,実績!$AL$6:$AL$505,"○")&gt;0,1,0))</f>
        <v>0</v>
      </c>
      <c r="CP155" s="39" t="n">
        <f aca="false">IF(CP$4=0,0,IF(COUNTIFS(実績!$W$6:$W$505,CP$3,実績!$AI$6:$AI$505,"&lt;="&amp;$A155,実績!$AJ$6:$AJ$505,"&gt;"&amp;$A155,実績!$AL$6:$AL$505,"○")&gt;0,1,0))</f>
        <v>0</v>
      </c>
      <c r="CQ155" s="39" t="n">
        <f aca="false">IF(CQ$4=0,0,IF(COUNTIFS(実績!$W$6:$W$505,CQ$3,実績!$AI$6:$AI$505,"&lt;="&amp;$A155,実績!$AJ$6:$AJ$505,"&gt;"&amp;$A155,実績!$AL$6:$AL$505,"○")&gt;0,1,0))</f>
        <v>0</v>
      </c>
      <c r="CR155" s="39" t="n">
        <f aca="false">IF(CR$4=0,0,IF(COUNTIFS(実績!$W$6:$W$505,CR$3,実績!$AI$6:$AI$505,"&lt;="&amp;$A155,実績!$AJ$6:$AJ$505,"&gt;"&amp;$A155,実績!$AL$6:$AL$505,"○")&gt;0,1,0))</f>
        <v>0</v>
      </c>
      <c r="CS155" s="39" t="n">
        <f aca="false">IF(CS$4=0,0,IF(COUNTIFS(実績!$W$6:$W$505,CS$3,実績!$AI$6:$AI$505,"&lt;="&amp;$A155,実績!$AJ$6:$AJ$505,"&gt;"&amp;$A155,実績!$AL$6:$AL$505,"○")&gt;0,1,0))</f>
        <v>0</v>
      </c>
      <c r="CT155" s="39" t="n">
        <f aca="false">IF(CT$4=0,0,IF(COUNTIFS(実績!$W$6:$W$505,CT$3,実績!$AI$6:$AI$505,"&lt;="&amp;$A155,実績!$AJ$6:$AJ$505,"&gt;"&amp;$A155,実績!$AL$6:$AL$505,"○")&gt;0,1,0))</f>
        <v>0</v>
      </c>
      <c r="CU155" s="39" t="n">
        <f aca="false">IF(CU$4=0,0,IF(COUNTIFS(実績!$W$6:$W$505,CU$3,実績!$AI$6:$AI$505,"&lt;="&amp;$A155,実績!$AJ$6:$AJ$505,"&gt;"&amp;$A155,実績!$AL$6:$AL$505,"○")&gt;0,1,0))</f>
        <v>0</v>
      </c>
      <c r="CV155" s="39" t="n">
        <f aca="false">IF(CV$4=0,0,IF(COUNTIFS(実績!$W$6:$W$505,CV$3,実績!$AI$6:$AI$505,"&lt;="&amp;$A155,実績!$AJ$6:$AJ$505,"&gt;"&amp;$A155,実績!$AL$6:$AL$505,"○")&gt;0,1,0))</f>
        <v>0</v>
      </c>
      <c r="CW155" s="39" t="n">
        <f aca="false">IF(CW$4=0,0,IF(COUNTIFS(実績!$W$6:$W$505,CW$3,実績!$AI$6:$AI$505,"&lt;="&amp;$A155,実績!$AJ$6:$AJ$505,"&gt;"&amp;$A155,実績!$AL$6:$AL$505,"○")&gt;0,1,0))</f>
        <v>0</v>
      </c>
      <c r="CX155" s="39" t="n">
        <f aca="false">IF(CX$4=0,0,IF(COUNTIFS(実績!$W$6:$W$505,CX$3,実績!$AI$6:$AI$505,"&lt;="&amp;$A155,実績!$AJ$6:$AJ$505,"&gt;"&amp;$A155,実績!$AL$6:$AL$505,"○")&gt;0,1,0))</f>
        <v>0</v>
      </c>
      <c r="CY155" s="39" t="n">
        <f aca="false">IF(CY$4=0,0,IF(COUNTIFS(実績!$W$6:$W$505,CY$3,実績!$AI$6:$AI$505,"&lt;="&amp;$A155,実績!$AJ$6:$AJ$505,"&gt;"&amp;$A155,実績!$AL$6:$AL$505,"○")&gt;0,1,0))</f>
        <v>0</v>
      </c>
      <c r="CZ155" s="39" t="n">
        <f aca="false">IF(CZ$4=0,0,IF(COUNTIFS(実績!$W$6:$W$505,CZ$3,実績!$AI$6:$AI$505,"&lt;="&amp;$A155,実績!$AJ$6:$AJ$505,"&gt;"&amp;$A155,実績!$AL$6:$AL$505,"○")&gt;0,1,0))</f>
        <v>0</v>
      </c>
      <c r="DA155" s="39" t="n">
        <f aca="false">IF(DA$4=0,0,IF(COUNTIFS(実績!$W$6:$W$505,DA$3,実績!$AI$6:$AI$505,"&lt;="&amp;$A155,実績!$AJ$6:$AJ$505,"&gt;"&amp;$A155,実績!$AL$6:$AL$505,"○")&gt;0,1,0))</f>
        <v>0</v>
      </c>
      <c r="DB155" s="39" t="n">
        <f aca="false">IF(DB$4=0,0,IF(COUNTIFS(実績!$W$6:$W$505,DB$3,実績!$AI$6:$AI$505,"&lt;="&amp;$A155,実績!$AJ$6:$AJ$505,"&gt;"&amp;$A155,実績!$AL$6:$AL$505,"○")&gt;0,1,0))</f>
        <v>0</v>
      </c>
      <c r="DC155" s="39" t="n">
        <f aca="false">IF(DC$4=0,0,IF(COUNTIFS(実績!$W$6:$W$505,DC$3,実績!$AI$6:$AI$505,"&lt;="&amp;$A155,実績!$AJ$6:$AJ$505,"&gt;"&amp;$A155,実績!$AL$6:$AL$505,"○")&gt;0,1,0))</f>
        <v>0</v>
      </c>
      <c r="DD155" s="39" t="n">
        <f aca="false">IF(DD$4=0,0,IF(COUNTIFS(実績!$W$6:$W$505,DD$3,実績!$AI$6:$AI$505,"&lt;="&amp;$A155,実績!$AJ$6:$AJ$505,"&gt;"&amp;$A155,実績!$AL$6:$AL$505,"○")&gt;0,1,0))</f>
        <v>0</v>
      </c>
      <c r="DE155" s="39" t="n">
        <f aca="false">IF(DE$4=0,0,IF(COUNTIFS(実績!$W$6:$W$505,DE$3,実績!$AI$6:$AI$505,"&lt;="&amp;$A155,実績!$AJ$6:$AJ$505,"&gt;"&amp;$A155,実績!$AL$6:$AL$505,"○")&gt;0,1,0))</f>
        <v>0</v>
      </c>
      <c r="DF155" s="39" t="n">
        <f aca="false">IF(DF$4=0,0,IF(COUNTIFS(実績!$W$6:$W$505,DF$3,実績!$AI$6:$AI$505,"&lt;="&amp;$A155,実績!$AJ$6:$AJ$505,"&gt;"&amp;$A155,実績!$AL$6:$AL$505,"○")&gt;0,1,0))</f>
        <v>0</v>
      </c>
      <c r="DG155" s="39" t="n">
        <f aca="false">IF(DG$4=0,0,IF(COUNTIFS(実績!$W$6:$W$505,DG$3,実績!$AI$6:$AI$505,"&lt;="&amp;$A155,実績!$AJ$6:$AJ$505,"&gt;"&amp;$A155,実績!$AL$6:$AL$505,"○")&gt;0,1,0))</f>
        <v>0</v>
      </c>
      <c r="DH155" s="39" t="n">
        <f aca="false">IF(DH$4=0,0,IF(COUNTIFS(実績!$W$6:$W$505,DH$3,実績!$AI$6:$AI$505,"&lt;="&amp;$A155,実績!$AJ$6:$AJ$505,"&gt;"&amp;$A155,実績!$AL$6:$AL$505,"○")&gt;0,1,0))</f>
        <v>0</v>
      </c>
      <c r="DI155" s="39" t="n">
        <f aca="false">IF(DI$4=0,0,IF(COUNTIFS(実績!$W$6:$W$505,DI$3,実績!$AI$6:$AI$505,"&lt;="&amp;$A155,実績!$AJ$6:$AJ$505,"&gt;"&amp;$A155,実績!$AL$6:$AL$505,"○")&gt;0,1,0))</f>
        <v>0</v>
      </c>
      <c r="DJ155" s="39" t="n">
        <f aca="false">IF(DJ$4=0,0,IF(COUNTIFS(実績!$W$6:$W$505,DJ$3,実績!$AI$6:$AI$505,"&lt;="&amp;$A155,実績!$AJ$6:$AJ$505,"&gt;"&amp;$A155,実績!$AL$6:$AL$505,"○")&gt;0,1,0))</f>
        <v>0</v>
      </c>
      <c r="DK155" s="39" t="n">
        <f aca="false">IF(DK$4=0,0,IF(COUNTIFS(実績!$W$6:$W$505,DK$3,実績!$AI$6:$AI$505,"&lt;="&amp;$A155,実績!$AJ$6:$AJ$505,"&gt;"&amp;$A155,実績!$AL$6:$AL$505,"○")&gt;0,1,0))</f>
        <v>0</v>
      </c>
      <c r="DL155" s="39" t="n">
        <f aca="false">IF(DL$4=0,0,IF(COUNTIFS(実績!$W$6:$W$505,DL$3,実績!$AI$6:$AI$505,"&lt;="&amp;$A155,実績!$AJ$6:$AJ$505,"&gt;"&amp;$A155,実績!$AL$6:$AL$505,"○")&gt;0,1,0))</f>
        <v>0</v>
      </c>
      <c r="DM155" s="39" t="n">
        <f aca="false">IF(DM$4=0,0,IF(COUNTIFS(実績!$W$6:$W$505,DM$3,実績!$AI$6:$AI$505,"&lt;="&amp;$A155,実績!$AJ$6:$AJ$505,"&gt;"&amp;$A155,実績!$AL$6:$AL$505,"○")&gt;0,1,0))</f>
        <v>0</v>
      </c>
      <c r="DN155" s="39" t="n">
        <f aca="false">IF(DN$4=0,0,IF(COUNTIFS(実績!$W$6:$W$505,DN$3,実績!$AI$6:$AI$505,"&lt;="&amp;$A155,実績!$AJ$6:$AJ$505,"&gt;"&amp;$A155,実績!$AL$6:$AL$505,"○")&gt;0,1,0))</f>
        <v>0</v>
      </c>
      <c r="DO155" s="39" t="n">
        <f aca="false">IF(DO$4=0,0,IF(COUNTIFS(実績!$W$6:$W$505,DO$3,実績!$AI$6:$AI$505,"&lt;="&amp;$A155,実績!$AJ$6:$AJ$505,"&gt;"&amp;$A155,実績!$AL$6:$AL$505,"○")&gt;0,1,0))</f>
        <v>0</v>
      </c>
      <c r="DP155" s="39" t="n">
        <f aca="false">IF(DP$4=0,0,IF(COUNTIFS(実績!$W$6:$W$505,DP$3,実績!$AI$6:$AI$505,"&lt;="&amp;$A155,実績!$AJ$6:$AJ$505,"&gt;"&amp;$A155,実績!$AL$6:$AL$505,"○")&gt;0,1,0))</f>
        <v>0</v>
      </c>
      <c r="DQ155" s="39" t="n">
        <f aca="false">IF(DQ$4=0,0,IF(COUNTIFS(実績!$W$6:$W$505,DQ$3,実績!$AI$6:$AI$505,"&lt;="&amp;$A155,実績!$AJ$6:$AJ$505,"&gt;"&amp;$A155,実績!$AL$6:$AL$505,"○")&gt;0,1,0))</f>
        <v>0</v>
      </c>
      <c r="DR155" s="39" t="n">
        <f aca="false">IF(DR$4=0,0,IF(COUNTIFS(実績!$W$6:$W$505,DR$3,実績!$AI$6:$AI$505,"&lt;="&amp;$A155,実績!$AJ$6:$AJ$505,"&gt;"&amp;$A155,実績!$AL$6:$AL$505,"○")&gt;0,1,0))</f>
        <v>0</v>
      </c>
      <c r="DS155" s="39" t="n">
        <f aca="false">SUM(C155:DR155)</f>
        <v>0</v>
      </c>
    </row>
    <row r="156" customFormat="false" ht="15" hidden="false" customHeight="false" outlineLevel="0" collapsed="false">
      <c r="A156" s="0" t="n">
        <v>750</v>
      </c>
      <c r="B156" s="38" t="n">
        <f aca="false">A156/1440</f>
        <v>0.520833333333333</v>
      </c>
      <c r="C156" s="39" t="n">
        <f aca="false">IF(C$4=0,0,IF(COUNTIFS(実績!$W$6:$W$505,C$3,実績!$AI$6:$AI$505,"&lt;="&amp;$A156,実績!$AJ$6:$AJ$505,"&gt;"&amp;$A156,実績!$AL$6:$AL$505,"○")&gt;0,1,0))</f>
        <v>0</v>
      </c>
      <c r="D156" s="39" t="n">
        <f aca="false">IF(D$4=0,0,IF(COUNTIFS(実績!$W$6:$W$505,D$3,実績!$AI$6:$AI$505,"&lt;="&amp;$A156,実績!$AJ$6:$AJ$505,"&gt;"&amp;$A156,実績!$AL$6:$AL$505,"○")&gt;0,1,0))</f>
        <v>0</v>
      </c>
      <c r="E156" s="39" t="n">
        <f aca="false">IF(E$4=0,0,IF(COUNTIFS(実績!$W$6:$W$505,E$3,実績!$AI$6:$AI$505,"&lt;="&amp;$A156,実績!$AJ$6:$AJ$505,"&gt;"&amp;$A156,実績!$AL$6:$AL$505,"○")&gt;0,1,0))</f>
        <v>0</v>
      </c>
      <c r="F156" s="39" t="n">
        <f aca="false">IF(F$4=0,0,IF(COUNTIFS(実績!$W$6:$W$505,F$3,実績!$AI$6:$AI$505,"&lt;="&amp;$A156,実績!$AJ$6:$AJ$505,"&gt;"&amp;$A156,実績!$AL$6:$AL$505,"○")&gt;0,1,0))</f>
        <v>0</v>
      </c>
      <c r="G156" s="39" t="n">
        <f aca="false">IF(G$4=0,0,IF(COUNTIFS(実績!$W$6:$W$505,G$3,実績!$AI$6:$AI$505,"&lt;="&amp;$A156,実績!$AJ$6:$AJ$505,"&gt;"&amp;$A156,実績!$AL$6:$AL$505,"○")&gt;0,1,0))</f>
        <v>0</v>
      </c>
      <c r="H156" s="39" t="n">
        <f aca="false">IF(H$4=0,0,IF(COUNTIFS(実績!$W$6:$W$505,H$3,実績!$AI$6:$AI$505,"&lt;="&amp;$A156,実績!$AJ$6:$AJ$505,"&gt;"&amp;$A156,実績!$AL$6:$AL$505,"○")&gt;0,1,0))</f>
        <v>0</v>
      </c>
      <c r="I156" s="39" t="n">
        <f aca="false">IF(I$4=0,0,IF(COUNTIFS(実績!$W$6:$W$505,I$3,実績!$AI$6:$AI$505,"&lt;="&amp;$A156,実績!$AJ$6:$AJ$505,"&gt;"&amp;$A156,実績!$AL$6:$AL$505,"○")&gt;0,1,0))</f>
        <v>0</v>
      </c>
      <c r="J156" s="39" t="n">
        <f aca="false">IF(J$4=0,0,IF(COUNTIFS(実績!$W$6:$W$505,J$3,実績!$AI$6:$AI$505,"&lt;="&amp;$A156,実績!$AJ$6:$AJ$505,"&gt;"&amp;$A156,実績!$AL$6:$AL$505,"○")&gt;0,1,0))</f>
        <v>0</v>
      </c>
      <c r="K156" s="39" t="n">
        <f aca="false">IF(K$4=0,0,IF(COUNTIFS(実績!$W$6:$W$505,K$3,実績!$AI$6:$AI$505,"&lt;="&amp;$A156,実績!$AJ$6:$AJ$505,"&gt;"&amp;$A156,実績!$AL$6:$AL$505,"○")&gt;0,1,0))</f>
        <v>0</v>
      </c>
      <c r="L156" s="39" t="n">
        <f aca="false">IF(L$4=0,0,IF(COUNTIFS(実績!$W$6:$W$505,L$3,実績!$AI$6:$AI$505,"&lt;="&amp;$A156,実績!$AJ$6:$AJ$505,"&gt;"&amp;$A156,実績!$AL$6:$AL$505,"○")&gt;0,1,0))</f>
        <v>0</v>
      </c>
      <c r="M156" s="39" t="n">
        <f aca="false">IF(M$4=0,0,IF(COUNTIFS(実績!$W$6:$W$505,M$3,実績!$AI$6:$AI$505,"&lt;="&amp;$A156,実績!$AJ$6:$AJ$505,"&gt;"&amp;$A156,実績!$AL$6:$AL$505,"○")&gt;0,1,0))</f>
        <v>0</v>
      </c>
      <c r="N156" s="39" t="n">
        <f aca="false">IF(N$4=0,0,IF(COUNTIFS(実績!$W$6:$W$505,N$3,実績!$AI$6:$AI$505,"&lt;="&amp;$A156,実績!$AJ$6:$AJ$505,"&gt;"&amp;$A156,実績!$AL$6:$AL$505,"○")&gt;0,1,0))</f>
        <v>0</v>
      </c>
      <c r="O156" s="39" t="n">
        <f aca="false">IF(O$4=0,0,IF(COUNTIFS(実績!$W$6:$W$505,O$3,実績!$AI$6:$AI$505,"&lt;="&amp;$A156,実績!$AJ$6:$AJ$505,"&gt;"&amp;$A156,実績!$AL$6:$AL$505,"○")&gt;0,1,0))</f>
        <v>0</v>
      </c>
      <c r="P156" s="39" t="n">
        <f aca="false">IF(P$4=0,0,IF(COUNTIFS(実績!$W$6:$W$505,P$3,実績!$AI$6:$AI$505,"&lt;="&amp;$A156,実績!$AJ$6:$AJ$505,"&gt;"&amp;$A156,実績!$AL$6:$AL$505,"○")&gt;0,1,0))</f>
        <v>0</v>
      </c>
      <c r="Q156" s="39" t="n">
        <f aca="false">IF(Q$4=0,0,IF(COUNTIFS(実績!$W$6:$W$505,Q$3,実績!$AI$6:$AI$505,"&lt;="&amp;$A156,実績!$AJ$6:$AJ$505,"&gt;"&amp;$A156,実績!$AL$6:$AL$505,"○")&gt;0,1,0))</f>
        <v>0</v>
      </c>
      <c r="R156" s="39" t="n">
        <f aca="false">IF(R$4=0,0,IF(COUNTIFS(実績!$W$6:$W$505,R$3,実績!$AI$6:$AI$505,"&lt;="&amp;$A156,実績!$AJ$6:$AJ$505,"&gt;"&amp;$A156,実績!$AL$6:$AL$505,"○")&gt;0,1,0))</f>
        <v>0</v>
      </c>
      <c r="S156" s="39" t="n">
        <f aca="false">IF(S$4=0,0,IF(COUNTIFS(実績!$W$6:$W$505,S$3,実績!$AI$6:$AI$505,"&lt;="&amp;$A156,実績!$AJ$6:$AJ$505,"&gt;"&amp;$A156,実績!$AL$6:$AL$505,"○")&gt;0,1,0))</f>
        <v>0</v>
      </c>
      <c r="T156" s="39" t="n">
        <f aca="false">IF(T$4=0,0,IF(COUNTIFS(実績!$W$6:$W$505,T$3,実績!$AI$6:$AI$505,"&lt;="&amp;$A156,実績!$AJ$6:$AJ$505,"&gt;"&amp;$A156,実績!$AL$6:$AL$505,"○")&gt;0,1,0))</f>
        <v>0</v>
      </c>
      <c r="U156" s="39" t="n">
        <f aca="false">IF(U$4=0,0,IF(COUNTIFS(実績!$W$6:$W$505,U$3,実績!$AI$6:$AI$505,"&lt;="&amp;$A156,実績!$AJ$6:$AJ$505,"&gt;"&amp;$A156,実績!$AL$6:$AL$505,"○")&gt;0,1,0))</f>
        <v>0</v>
      </c>
      <c r="V156" s="39" t="n">
        <f aca="false">IF(V$4=0,0,IF(COUNTIFS(実績!$W$6:$W$505,V$3,実績!$AI$6:$AI$505,"&lt;="&amp;$A156,実績!$AJ$6:$AJ$505,"&gt;"&amp;$A156,実績!$AL$6:$AL$505,"○")&gt;0,1,0))</f>
        <v>0</v>
      </c>
      <c r="W156" s="39" t="n">
        <f aca="false">IF(W$4=0,0,IF(COUNTIFS(実績!$W$6:$W$505,W$3,実績!$AI$6:$AI$505,"&lt;="&amp;$A156,実績!$AJ$6:$AJ$505,"&gt;"&amp;$A156,実績!$AL$6:$AL$505,"○")&gt;0,1,0))</f>
        <v>0</v>
      </c>
      <c r="X156" s="39" t="n">
        <f aca="false">IF(X$4=0,0,IF(COUNTIFS(実績!$W$6:$W$505,X$3,実績!$AI$6:$AI$505,"&lt;="&amp;$A156,実績!$AJ$6:$AJ$505,"&gt;"&amp;$A156,実績!$AL$6:$AL$505,"○")&gt;0,1,0))</f>
        <v>0</v>
      </c>
      <c r="Y156" s="39" t="n">
        <f aca="false">IF(Y$4=0,0,IF(COUNTIFS(実績!$W$6:$W$505,Y$3,実績!$AI$6:$AI$505,"&lt;="&amp;$A156,実績!$AJ$6:$AJ$505,"&gt;"&amp;$A156,実績!$AL$6:$AL$505,"○")&gt;0,1,0))</f>
        <v>0</v>
      </c>
      <c r="Z156" s="39" t="n">
        <f aca="false">IF(Z$4=0,0,IF(COUNTIFS(実績!$W$6:$W$505,Z$3,実績!$AI$6:$AI$505,"&lt;="&amp;$A156,実績!$AJ$6:$AJ$505,"&gt;"&amp;$A156,実績!$AL$6:$AL$505,"○")&gt;0,1,0))</f>
        <v>0</v>
      </c>
      <c r="AA156" s="39" t="n">
        <f aca="false">IF(AA$4=0,0,IF(COUNTIFS(実績!$W$6:$W$505,AA$3,実績!$AI$6:$AI$505,"&lt;="&amp;$A156,実績!$AJ$6:$AJ$505,"&gt;"&amp;$A156,実績!$AL$6:$AL$505,"○")&gt;0,1,0))</f>
        <v>0</v>
      </c>
      <c r="AB156" s="39" t="n">
        <f aca="false">IF(AB$4=0,0,IF(COUNTIFS(実績!$W$6:$W$505,AB$3,実績!$AI$6:$AI$505,"&lt;="&amp;$A156,実績!$AJ$6:$AJ$505,"&gt;"&amp;$A156,実績!$AL$6:$AL$505,"○")&gt;0,1,0))</f>
        <v>0</v>
      </c>
      <c r="AC156" s="39" t="n">
        <f aca="false">IF(AC$4=0,0,IF(COUNTIFS(実績!$W$6:$W$505,AC$3,実績!$AI$6:$AI$505,"&lt;="&amp;$A156,実績!$AJ$6:$AJ$505,"&gt;"&amp;$A156,実績!$AL$6:$AL$505,"○")&gt;0,1,0))</f>
        <v>0</v>
      </c>
      <c r="AD156" s="39" t="n">
        <f aca="false">IF(AD$4=0,0,IF(COUNTIFS(実績!$W$6:$W$505,AD$3,実績!$AI$6:$AI$505,"&lt;="&amp;$A156,実績!$AJ$6:$AJ$505,"&gt;"&amp;$A156,実績!$AL$6:$AL$505,"○")&gt;0,1,0))</f>
        <v>0</v>
      </c>
      <c r="AE156" s="39" t="n">
        <f aca="false">IF(AE$4=0,0,IF(COUNTIFS(実績!$W$6:$W$505,AE$3,実績!$AI$6:$AI$505,"&lt;="&amp;$A156,実績!$AJ$6:$AJ$505,"&gt;"&amp;$A156,実績!$AL$6:$AL$505,"○")&gt;0,1,0))</f>
        <v>0</v>
      </c>
      <c r="AF156" s="39" t="n">
        <f aca="false">IF(AF$4=0,0,IF(COUNTIFS(実績!$W$6:$W$505,AF$3,実績!$AI$6:$AI$505,"&lt;="&amp;$A156,実績!$AJ$6:$AJ$505,"&gt;"&amp;$A156,実績!$AL$6:$AL$505,"○")&gt;0,1,0))</f>
        <v>0</v>
      </c>
      <c r="AG156" s="39" t="n">
        <f aca="false">IF(AG$4=0,0,IF(COUNTIFS(実績!$W$6:$W$505,AG$3,実績!$AI$6:$AI$505,"&lt;="&amp;$A156,実績!$AJ$6:$AJ$505,"&gt;"&amp;$A156,実績!$AL$6:$AL$505,"○")&gt;0,1,0))</f>
        <v>0</v>
      </c>
      <c r="AH156" s="39" t="n">
        <f aca="false">IF(AH$4=0,0,IF(COUNTIFS(実績!$W$6:$W$505,AH$3,実績!$AI$6:$AI$505,"&lt;="&amp;$A156,実績!$AJ$6:$AJ$505,"&gt;"&amp;$A156,実績!$AL$6:$AL$505,"○")&gt;0,1,0))</f>
        <v>0</v>
      </c>
      <c r="AI156" s="39" t="n">
        <f aca="false">IF(AI$4=0,0,IF(COUNTIFS(実績!$W$6:$W$505,AI$3,実績!$AI$6:$AI$505,"&lt;="&amp;$A156,実績!$AJ$6:$AJ$505,"&gt;"&amp;$A156,実績!$AL$6:$AL$505,"○")&gt;0,1,0))</f>
        <v>0</v>
      </c>
      <c r="AJ156" s="39" t="n">
        <f aca="false">IF(AJ$4=0,0,IF(COUNTIFS(実績!$W$6:$W$505,AJ$3,実績!$AI$6:$AI$505,"&lt;="&amp;$A156,実績!$AJ$6:$AJ$505,"&gt;"&amp;$A156,実績!$AL$6:$AL$505,"○")&gt;0,1,0))</f>
        <v>0</v>
      </c>
      <c r="AK156" s="39" t="n">
        <f aca="false">IF(AK$4=0,0,IF(COUNTIFS(実績!$W$6:$W$505,AK$3,実績!$AI$6:$AI$505,"&lt;="&amp;$A156,実績!$AJ$6:$AJ$505,"&gt;"&amp;$A156,実績!$AL$6:$AL$505,"○")&gt;0,1,0))</f>
        <v>0</v>
      </c>
      <c r="AL156" s="39" t="n">
        <f aca="false">IF(AL$4=0,0,IF(COUNTIFS(実績!$W$6:$W$505,AL$3,実績!$AI$6:$AI$505,"&lt;="&amp;$A156,実績!$AJ$6:$AJ$505,"&gt;"&amp;$A156,実績!$AL$6:$AL$505,"○")&gt;0,1,0))</f>
        <v>0</v>
      </c>
      <c r="AM156" s="39" t="n">
        <f aca="false">IF(AM$4=0,0,IF(COUNTIFS(実績!$W$6:$W$505,AM$3,実績!$AI$6:$AI$505,"&lt;="&amp;$A156,実績!$AJ$6:$AJ$505,"&gt;"&amp;$A156,実績!$AL$6:$AL$505,"○")&gt;0,1,0))</f>
        <v>0</v>
      </c>
      <c r="AN156" s="39" t="n">
        <f aca="false">IF(AN$4=0,0,IF(COUNTIFS(実績!$W$6:$W$505,AN$3,実績!$AI$6:$AI$505,"&lt;="&amp;$A156,実績!$AJ$6:$AJ$505,"&gt;"&amp;$A156,実績!$AL$6:$AL$505,"○")&gt;0,1,0))</f>
        <v>0</v>
      </c>
      <c r="AO156" s="39" t="n">
        <f aca="false">IF(AO$4=0,0,IF(COUNTIFS(実績!$W$6:$W$505,AO$3,実績!$AI$6:$AI$505,"&lt;="&amp;$A156,実績!$AJ$6:$AJ$505,"&gt;"&amp;$A156,実績!$AL$6:$AL$505,"○")&gt;0,1,0))</f>
        <v>0</v>
      </c>
      <c r="AP156" s="39" t="n">
        <f aca="false">IF(AP$4=0,0,IF(COUNTIFS(実績!$W$6:$W$505,AP$3,実績!$AI$6:$AI$505,"&lt;="&amp;$A156,実績!$AJ$6:$AJ$505,"&gt;"&amp;$A156,実績!$AL$6:$AL$505,"○")&gt;0,1,0))</f>
        <v>0</v>
      </c>
      <c r="AQ156" s="39" t="n">
        <f aca="false">IF(AQ$4=0,0,IF(COUNTIFS(実績!$W$6:$W$505,AQ$3,実績!$AI$6:$AI$505,"&lt;="&amp;$A156,実績!$AJ$6:$AJ$505,"&gt;"&amp;$A156,実績!$AL$6:$AL$505,"○")&gt;0,1,0))</f>
        <v>0</v>
      </c>
      <c r="AR156" s="39" t="n">
        <f aca="false">IF(AR$4=0,0,IF(COUNTIFS(実績!$W$6:$W$505,AR$3,実績!$AI$6:$AI$505,"&lt;="&amp;$A156,実績!$AJ$6:$AJ$505,"&gt;"&amp;$A156,実績!$AL$6:$AL$505,"○")&gt;0,1,0))</f>
        <v>0</v>
      </c>
      <c r="AS156" s="39" t="n">
        <f aca="false">IF(AS$4=0,0,IF(COUNTIFS(実績!$W$6:$W$505,AS$3,実績!$AI$6:$AI$505,"&lt;="&amp;$A156,実績!$AJ$6:$AJ$505,"&gt;"&amp;$A156,実績!$AL$6:$AL$505,"○")&gt;0,1,0))</f>
        <v>0</v>
      </c>
      <c r="AT156" s="39" t="n">
        <f aca="false">IF(AT$4=0,0,IF(COUNTIFS(実績!$W$6:$W$505,AT$3,実績!$AI$6:$AI$505,"&lt;="&amp;$A156,実績!$AJ$6:$AJ$505,"&gt;"&amp;$A156,実績!$AL$6:$AL$505,"○")&gt;0,1,0))</f>
        <v>0</v>
      </c>
      <c r="AU156" s="39" t="n">
        <f aca="false">IF(AU$4=0,0,IF(COUNTIFS(実績!$W$6:$W$505,AU$3,実績!$AI$6:$AI$505,"&lt;="&amp;$A156,実績!$AJ$6:$AJ$505,"&gt;"&amp;$A156,実績!$AL$6:$AL$505,"○")&gt;0,1,0))</f>
        <v>0</v>
      </c>
      <c r="AV156" s="39" t="n">
        <f aca="false">IF(AV$4=0,0,IF(COUNTIFS(実績!$W$6:$W$505,AV$3,実績!$AI$6:$AI$505,"&lt;="&amp;$A156,実績!$AJ$6:$AJ$505,"&gt;"&amp;$A156,実績!$AL$6:$AL$505,"○")&gt;0,1,0))</f>
        <v>0</v>
      </c>
      <c r="AW156" s="39" t="n">
        <f aca="false">IF(AW$4=0,0,IF(COUNTIFS(実績!$W$6:$W$505,AW$3,実績!$AI$6:$AI$505,"&lt;="&amp;$A156,実績!$AJ$6:$AJ$505,"&gt;"&amp;$A156,実績!$AL$6:$AL$505,"○")&gt;0,1,0))</f>
        <v>0</v>
      </c>
      <c r="AX156" s="39" t="n">
        <f aca="false">IF(AX$4=0,0,IF(COUNTIFS(実績!$W$6:$W$505,AX$3,実績!$AI$6:$AI$505,"&lt;="&amp;$A156,実績!$AJ$6:$AJ$505,"&gt;"&amp;$A156,実績!$AL$6:$AL$505,"○")&gt;0,1,0))</f>
        <v>0</v>
      </c>
      <c r="AY156" s="39" t="n">
        <f aca="false">IF(AY$4=0,0,IF(COUNTIFS(実績!$W$6:$W$505,AY$3,実績!$AI$6:$AI$505,"&lt;="&amp;$A156,実績!$AJ$6:$AJ$505,"&gt;"&amp;$A156,実績!$AL$6:$AL$505,"○")&gt;0,1,0))</f>
        <v>0</v>
      </c>
      <c r="AZ156" s="39" t="n">
        <f aca="false">IF(AZ$4=0,0,IF(COUNTIFS(実績!$W$6:$W$505,AZ$3,実績!$AI$6:$AI$505,"&lt;="&amp;$A156,実績!$AJ$6:$AJ$505,"&gt;"&amp;$A156,実績!$AL$6:$AL$505,"○")&gt;0,1,0))</f>
        <v>0</v>
      </c>
      <c r="BA156" s="39" t="n">
        <f aca="false">IF(BA$4=0,0,IF(COUNTIFS(実績!$W$6:$W$505,BA$3,実績!$AI$6:$AI$505,"&lt;="&amp;$A156,実績!$AJ$6:$AJ$505,"&gt;"&amp;$A156,実績!$AL$6:$AL$505,"○")&gt;0,1,0))</f>
        <v>0</v>
      </c>
      <c r="BB156" s="39" t="n">
        <f aca="false">IF(BB$4=0,0,IF(COUNTIFS(実績!$W$6:$W$505,BB$3,実績!$AI$6:$AI$505,"&lt;="&amp;$A156,実績!$AJ$6:$AJ$505,"&gt;"&amp;$A156,実績!$AL$6:$AL$505,"○")&gt;0,1,0))</f>
        <v>0</v>
      </c>
      <c r="BC156" s="39" t="n">
        <f aca="false">IF(BC$4=0,0,IF(COUNTIFS(実績!$W$6:$W$505,BC$3,実績!$AI$6:$AI$505,"&lt;="&amp;$A156,実績!$AJ$6:$AJ$505,"&gt;"&amp;$A156,実績!$AL$6:$AL$505,"○")&gt;0,1,0))</f>
        <v>0</v>
      </c>
      <c r="BD156" s="39" t="n">
        <f aca="false">IF(BD$4=0,0,IF(COUNTIFS(実績!$W$6:$W$505,BD$3,実績!$AI$6:$AI$505,"&lt;="&amp;$A156,実績!$AJ$6:$AJ$505,"&gt;"&amp;$A156,実績!$AL$6:$AL$505,"○")&gt;0,1,0))</f>
        <v>0</v>
      </c>
      <c r="BE156" s="39" t="n">
        <f aca="false">IF(BE$4=0,0,IF(COUNTIFS(実績!$W$6:$W$505,BE$3,実績!$AI$6:$AI$505,"&lt;="&amp;$A156,実績!$AJ$6:$AJ$505,"&gt;"&amp;$A156,実績!$AL$6:$AL$505,"○")&gt;0,1,0))</f>
        <v>0</v>
      </c>
      <c r="BF156" s="39" t="n">
        <f aca="false">IF(BF$4=0,0,IF(COUNTIFS(実績!$W$6:$W$505,BF$3,実績!$AI$6:$AI$505,"&lt;="&amp;$A156,実績!$AJ$6:$AJ$505,"&gt;"&amp;$A156,実績!$AL$6:$AL$505,"○")&gt;0,1,0))</f>
        <v>0</v>
      </c>
      <c r="BG156" s="39" t="n">
        <f aca="false">IF(BG$4=0,0,IF(COUNTIFS(実績!$W$6:$W$505,BG$3,実績!$AI$6:$AI$505,"&lt;="&amp;$A156,実績!$AJ$6:$AJ$505,"&gt;"&amp;$A156,実績!$AL$6:$AL$505,"○")&gt;0,1,0))</f>
        <v>0</v>
      </c>
      <c r="BH156" s="39" t="n">
        <f aca="false">IF(BH$4=0,0,IF(COUNTIFS(実績!$W$6:$W$505,BH$3,実績!$AI$6:$AI$505,"&lt;="&amp;$A156,実績!$AJ$6:$AJ$505,"&gt;"&amp;$A156,実績!$AL$6:$AL$505,"○")&gt;0,1,0))</f>
        <v>0</v>
      </c>
      <c r="BI156" s="39" t="n">
        <f aca="false">IF(BI$4=0,0,IF(COUNTIFS(実績!$W$6:$W$505,BI$3,実績!$AI$6:$AI$505,"&lt;="&amp;$A156,実績!$AJ$6:$AJ$505,"&gt;"&amp;$A156,実績!$AL$6:$AL$505,"○")&gt;0,1,0))</f>
        <v>0</v>
      </c>
      <c r="BJ156" s="39" t="n">
        <f aca="false">IF(BJ$4=0,0,IF(COUNTIFS(実績!$W$6:$W$505,BJ$3,実績!$AI$6:$AI$505,"&lt;="&amp;$A156,実績!$AJ$6:$AJ$505,"&gt;"&amp;$A156,実績!$AL$6:$AL$505,"○")&gt;0,1,0))</f>
        <v>0</v>
      </c>
      <c r="BK156" s="39" t="n">
        <f aca="false">IF(BK$4=0,0,IF(COUNTIFS(実績!$W$6:$W$505,BK$3,実績!$AI$6:$AI$505,"&lt;="&amp;$A156,実績!$AJ$6:$AJ$505,"&gt;"&amp;$A156,実績!$AL$6:$AL$505,"○")&gt;0,1,0))</f>
        <v>0</v>
      </c>
      <c r="BL156" s="39" t="n">
        <f aca="false">IF(BL$4=0,0,IF(COUNTIFS(実績!$W$6:$W$505,BL$3,実績!$AI$6:$AI$505,"&lt;="&amp;$A156,実績!$AJ$6:$AJ$505,"&gt;"&amp;$A156,実績!$AL$6:$AL$505,"○")&gt;0,1,0))</f>
        <v>0</v>
      </c>
      <c r="BM156" s="39" t="n">
        <f aca="false">IF(BM$4=0,0,IF(COUNTIFS(実績!$W$6:$W$505,BM$3,実績!$AI$6:$AI$505,"&lt;="&amp;$A156,実績!$AJ$6:$AJ$505,"&gt;"&amp;$A156,実績!$AL$6:$AL$505,"○")&gt;0,1,0))</f>
        <v>0</v>
      </c>
      <c r="BN156" s="39" t="n">
        <f aca="false">IF(BN$4=0,0,IF(COUNTIFS(実績!$W$6:$W$505,BN$3,実績!$AI$6:$AI$505,"&lt;="&amp;$A156,実績!$AJ$6:$AJ$505,"&gt;"&amp;$A156,実績!$AL$6:$AL$505,"○")&gt;0,1,0))</f>
        <v>0</v>
      </c>
      <c r="BO156" s="39" t="n">
        <f aca="false">IF(BO$4=0,0,IF(COUNTIFS(実績!$W$6:$W$505,BO$3,実績!$AI$6:$AI$505,"&lt;="&amp;$A156,実績!$AJ$6:$AJ$505,"&gt;"&amp;$A156,実績!$AL$6:$AL$505,"○")&gt;0,1,0))</f>
        <v>0</v>
      </c>
      <c r="BP156" s="39" t="n">
        <f aca="false">IF(BP$4=0,0,IF(COUNTIFS(実績!$W$6:$W$505,BP$3,実績!$AI$6:$AI$505,"&lt;="&amp;$A156,実績!$AJ$6:$AJ$505,"&gt;"&amp;$A156,実績!$AL$6:$AL$505,"○")&gt;0,1,0))</f>
        <v>0</v>
      </c>
      <c r="BQ156" s="39" t="n">
        <f aca="false">IF(BQ$4=0,0,IF(COUNTIFS(実績!$W$6:$W$505,BQ$3,実績!$AI$6:$AI$505,"&lt;="&amp;$A156,実績!$AJ$6:$AJ$505,"&gt;"&amp;$A156,実績!$AL$6:$AL$505,"○")&gt;0,1,0))</f>
        <v>0</v>
      </c>
      <c r="BR156" s="39" t="n">
        <f aca="false">IF(BR$4=0,0,IF(COUNTIFS(実績!$W$6:$W$505,BR$3,実績!$AI$6:$AI$505,"&lt;="&amp;$A156,実績!$AJ$6:$AJ$505,"&gt;"&amp;$A156,実績!$AL$6:$AL$505,"○")&gt;0,1,0))</f>
        <v>0</v>
      </c>
      <c r="BS156" s="39" t="n">
        <f aca="false">IF(BS$4=0,0,IF(COUNTIFS(実績!$W$6:$W$505,BS$3,実績!$AI$6:$AI$505,"&lt;="&amp;$A156,実績!$AJ$6:$AJ$505,"&gt;"&amp;$A156,実績!$AL$6:$AL$505,"○")&gt;0,1,0))</f>
        <v>0</v>
      </c>
      <c r="BT156" s="39" t="n">
        <f aca="false">IF(BT$4=0,0,IF(COUNTIFS(実績!$W$6:$W$505,BT$3,実績!$AI$6:$AI$505,"&lt;="&amp;$A156,実績!$AJ$6:$AJ$505,"&gt;"&amp;$A156,実績!$AL$6:$AL$505,"○")&gt;0,1,0))</f>
        <v>0</v>
      </c>
      <c r="BU156" s="39" t="n">
        <f aca="false">IF(BU$4=0,0,IF(COUNTIFS(実績!$W$6:$W$505,BU$3,実績!$AI$6:$AI$505,"&lt;="&amp;$A156,実績!$AJ$6:$AJ$505,"&gt;"&amp;$A156,実績!$AL$6:$AL$505,"○")&gt;0,1,0))</f>
        <v>0</v>
      </c>
      <c r="BV156" s="39" t="n">
        <f aca="false">IF(BV$4=0,0,IF(COUNTIFS(実績!$W$6:$W$505,BV$3,実績!$AI$6:$AI$505,"&lt;="&amp;$A156,実績!$AJ$6:$AJ$505,"&gt;"&amp;$A156,実績!$AL$6:$AL$505,"○")&gt;0,1,0))</f>
        <v>0</v>
      </c>
      <c r="BW156" s="39" t="n">
        <f aca="false">IF(BW$4=0,0,IF(COUNTIFS(実績!$W$6:$W$505,BW$3,実績!$AI$6:$AI$505,"&lt;="&amp;$A156,実績!$AJ$6:$AJ$505,"&gt;"&amp;$A156,実績!$AL$6:$AL$505,"○")&gt;0,1,0))</f>
        <v>0</v>
      </c>
      <c r="BX156" s="39" t="n">
        <f aca="false">IF(BX$4=0,0,IF(COUNTIFS(実績!$W$6:$W$505,BX$3,実績!$AI$6:$AI$505,"&lt;="&amp;$A156,実績!$AJ$6:$AJ$505,"&gt;"&amp;$A156,実績!$AL$6:$AL$505,"○")&gt;0,1,0))</f>
        <v>0</v>
      </c>
      <c r="BY156" s="39" t="n">
        <f aca="false">IF(BY$4=0,0,IF(COUNTIFS(実績!$W$6:$W$505,BY$3,実績!$AI$6:$AI$505,"&lt;="&amp;$A156,実績!$AJ$6:$AJ$505,"&gt;"&amp;$A156,実績!$AL$6:$AL$505,"○")&gt;0,1,0))</f>
        <v>0</v>
      </c>
      <c r="BZ156" s="39" t="n">
        <f aca="false">IF(BZ$4=0,0,IF(COUNTIFS(実績!$W$6:$W$505,BZ$3,実績!$AI$6:$AI$505,"&lt;="&amp;$A156,実績!$AJ$6:$AJ$505,"&gt;"&amp;$A156,実績!$AL$6:$AL$505,"○")&gt;0,1,0))</f>
        <v>0</v>
      </c>
      <c r="CA156" s="39" t="n">
        <f aca="false">IF(CA$4=0,0,IF(COUNTIFS(実績!$W$6:$W$505,CA$3,実績!$AI$6:$AI$505,"&lt;="&amp;$A156,実績!$AJ$6:$AJ$505,"&gt;"&amp;$A156,実績!$AL$6:$AL$505,"○")&gt;0,1,0))</f>
        <v>0</v>
      </c>
      <c r="CB156" s="39" t="n">
        <f aca="false">IF(CB$4=0,0,IF(COUNTIFS(実績!$W$6:$W$505,CB$3,実績!$AI$6:$AI$505,"&lt;="&amp;$A156,実績!$AJ$6:$AJ$505,"&gt;"&amp;$A156,実績!$AL$6:$AL$505,"○")&gt;0,1,0))</f>
        <v>0</v>
      </c>
      <c r="CC156" s="39" t="n">
        <f aca="false">IF(CC$4=0,0,IF(COUNTIFS(実績!$W$6:$W$505,CC$3,実績!$AI$6:$AI$505,"&lt;="&amp;$A156,実績!$AJ$6:$AJ$505,"&gt;"&amp;$A156,実績!$AL$6:$AL$505,"○")&gt;0,1,0))</f>
        <v>0</v>
      </c>
      <c r="CD156" s="39" t="n">
        <f aca="false">IF(CD$4=0,0,IF(COUNTIFS(実績!$W$6:$W$505,CD$3,実績!$AI$6:$AI$505,"&lt;="&amp;$A156,実績!$AJ$6:$AJ$505,"&gt;"&amp;$A156,実績!$AL$6:$AL$505,"○")&gt;0,1,0))</f>
        <v>0</v>
      </c>
      <c r="CE156" s="39" t="n">
        <f aca="false">IF(CE$4=0,0,IF(COUNTIFS(実績!$W$6:$W$505,CE$3,実績!$AI$6:$AI$505,"&lt;="&amp;$A156,実績!$AJ$6:$AJ$505,"&gt;"&amp;$A156,実績!$AL$6:$AL$505,"○")&gt;0,1,0))</f>
        <v>0</v>
      </c>
      <c r="CF156" s="39" t="n">
        <f aca="false">IF(CF$4=0,0,IF(COUNTIFS(実績!$W$6:$W$505,CF$3,実績!$AI$6:$AI$505,"&lt;="&amp;$A156,実績!$AJ$6:$AJ$505,"&gt;"&amp;$A156,実績!$AL$6:$AL$505,"○")&gt;0,1,0))</f>
        <v>0</v>
      </c>
      <c r="CG156" s="39" t="n">
        <f aca="false">IF(CG$4=0,0,IF(COUNTIFS(実績!$W$6:$W$505,CG$3,実績!$AI$6:$AI$505,"&lt;="&amp;$A156,実績!$AJ$6:$AJ$505,"&gt;"&amp;$A156,実績!$AL$6:$AL$505,"○")&gt;0,1,0))</f>
        <v>0</v>
      </c>
      <c r="CH156" s="39" t="n">
        <f aca="false">IF(CH$4=0,0,IF(COUNTIFS(実績!$W$6:$W$505,CH$3,実績!$AI$6:$AI$505,"&lt;="&amp;$A156,実績!$AJ$6:$AJ$505,"&gt;"&amp;$A156,実績!$AL$6:$AL$505,"○")&gt;0,1,0))</f>
        <v>0</v>
      </c>
      <c r="CI156" s="39" t="n">
        <f aca="false">IF(CI$4=0,0,IF(COUNTIFS(実績!$W$6:$W$505,CI$3,実績!$AI$6:$AI$505,"&lt;="&amp;$A156,実績!$AJ$6:$AJ$505,"&gt;"&amp;$A156,実績!$AL$6:$AL$505,"○")&gt;0,1,0))</f>
        <v>0</v>
      </c>
      <c r="CJ156" s="39" t="n">
        <f aca="false">IF(CJ$4=0,0,IF(COUNTIFS(実績!$W$6:$W$505,CJ$3,実績!$AI$6:$AI$505,"&lt;="&amp;$A156,実績!$AJ$6:$AJ$505,"&gt;"&amp;$A156,実績!$AL$6:$AL$505,"○")&gt;0,1,0))</f>
        <v>0</v>
      </c>
      <c r="CK156" s="39" t="n">
        <f aca="false">IF(CK$4=0,0,IF(COUNTIFS(実績!$W$6:$W$505,CK$3,実績!$AI$6:$AI$505,"&lt;="&amp;$A156,実績!$AJ$6:$AJ$505,"&gt;"&amp;$A156,実績!$AL$6:$AL$505,"○")&gt;0,1,0))</f>
        <v>0</v>
      </c>
      <c r="CL156" s="39" t="n">
        <f aca="false">IF(CL$4=0,0,IF(COUNTIFS(実績!$W$6:$W$505,CL$3,実績!$AI$6:$AI$505,"&lt;="&amp;$A156,実績!$AJ$6:$AJ$505,"&gt;"&amp;$A156,実績!$AL$6:$AL$505,"○")&gt;0,1,0))</f>
        <v>0</v>
      </c>
      <c r="CM156" s="39" t="n">
        <f aca="false">IF(CM$4=0,0,IF(COUNTIFS(実績!$W$6:$W$505,CM$3,実績!$AI$6:$AI$505,"&lt;="&amp;$A156,実績!$AJ$6:$AJ$505,"&gt;"&amp;$A156,実績!$AL$6:$AL$505,"○")&gt;0,1,0))</f>
        <v>0</v>
      </c>
      <c r="CN156" s="39" t="n">
        <f aca="false">IF(CN$4=0,0,IF(COUNTIFS(実績!$W$6:$W$505,CN$3,実績!$AI$6:$AI$505,"&lt;="&amp;$A156,実績!$AJ$6:$AJ$505,"&gt;"&amp;$A156,実績!$AL$6:$AL$505,"○")&gt;0,1,0))</f>
        <v>0</v>
      </c>
      <c r="CO156" s="39" t="n">
        <f aca="false">IF(CO$4=0,0,IF(COUNTIFS(実績!$W$6:$W$505,CO$3,実績!$AI$6:$AI$505,"&lt;="&amp;$A156,実績!$AJ$6:$AJ$505,"&gt;"&amp;$A156,実績!$AL$6:$AL$505,"○")&gt;0,1,0))</f>
        <v>0</v>
      </c>
      <c r="CP156" s="39" t="n">
        <f aca="false">IF(CP$4=0,0,IF(COUNTIFS(実績!$W$6:$W$505,CP$3,実績!$AI$6:$AI$505,"&lt;="&amp;$A156,実績!$AJ$6:$AJ$505,"&gt;"&amp;$A156,実績!$AL$6:$AL$505,"○")&gt;0,1,0))</f>
        <v>0</v>
      </c>
      <c r="CQ156" s="39" t="n">
        <f aca="false">IF(CQ$4=0,0,IF(COUNTIFS(実績!$W$6:$W$505,CQ$3,実績!$AI$6:$AI$505,"&lt;="&amp;$A156,実績!$AJ$6:$AJ$505,"&gt;"&amp;$A156,実績!$AL$6:$AL$505,"○")&gt;0,1,0))</f>
        <v>0</v>
      </c>
      <c r="CR156" s="39" t="n">
        <f aca="false">IF(CR$4=0,0,IF(COUNTIFS(実績!$W$6:$W$505,CR$3,実績!$AI$6:$AI$505,"&lt;="&amp;$A156,実績!$AJ$6:$AJ$505,"&gt;"&amp;$A156,実績!$AL$6:$AL$505,"○")&gt;0,1,0))</f>
        <v>0</v>
      </c>
      <c r="CS156" s="39" t="n">
        <f aca="false">IF(CS$4=0,0,IF(COUNTIFS(実績!$W$6:$W$505,CS$3,実績!$AI$6:$AI$505,"&lt;="&amp;$A156,実績!$AJ$6:$AJ$505,"&gt;"&amp;$A156,実績!$AL$6:$AL$505,"○")&gt;0,1,0))</f>
        <v>0</v>
      </c>
      <c r="CT156" s="39" t="n">
        <f aca="false">IF(CT$4=0,0,IF(COUNTIFS(実績!$W$6:$W$505,CT$3,実績!$AI$6:$AI$505,"&lt;="&amp;$A156,実績!$AJ$6:$AJ$505,"&gt;"&amp;$A156,実績!$AL$6:$AL$505,"○")&gt;0,1,0))</f>
        <v>0</v>
      </c>
      <c r="CU156" s="39" t="n">
        <f aca="false">IF(CU$4=0,0,IF(COUNTIFS(実績!$W$6:$W$505,CU$3,実績!$AI$6:$AI$505,"&lt;="&amp;$A156,実績!$AJ$6:$AJ$505,"&gt;"&amp;$A156,実績!$AL$6:$AL$505,"○")&gt;0,1,0))</f>
        <v>0</v>
      </c>
      <c r="CV156" s="39" t="n">
        <f aca="false">IF(CV$4=0,0,IF(COUNTIFS(実績!$W$6:$W$505,CV$3,実績!$AI$6:$AI$505,"&lt;="&amp;$A156,実績!$AJ$6:$AJ$505,"&gt;"&amp;$A156,実績!$AL$6:$AL$505,"○")&gt;0,1,0))</f>
        <v>0</v>
      </c>
      <c r="CW156" s="39" t="n">
        <f aca="false">IF(CW$4=0,0,IF(COUNTIFS(実績!$W$6:$W$505,CW$3,実績!$AI$6:$AI$505,"&lt;="&amp;$A156,実績!$AJ$6:$AJ$505,"&gt;"&amp;$A156,実績!$AL$6:$AL$505,"○")&gt;0,1,0))</f>
        <v>0</v>
      </c>
      <c r="CX156" s="39" t="n">
        <f aca="false">IF(CX$4=0,0,IF(COUNTIFS(実績!$W$6:$W$505,CX$3,実績!$AI$6:$AI$505,"&lt;="&amp;$A156,実績!$AJ$6:$AJ$505,"&gt;"&amp;$A156,実績!$AL$6:$AL$505,"○")&gt;0,1,0))</f>
        <v>0</v>
      </c>
      <c r="CY156" s="39" t="n">
        <f aca="false">IF(CY$4=0,0,IF(COUNTIFS(実績!$W$6:$W$505,CY$3,実績!$AI$6:$AI$505,"&lt;="&amp;$A156,実績!$AJ$6:$AJ$505,"&gt;"&amp;$A156,実績!$AL$6:$AL$505,"○")&gt;0,1,0))</f>
        <v>0</v>
      </c>
      <c r="CZ156" s="39" t="n">
        <f aca="false">IF(CZ$4=0,0,IF(COUNTIFS(実績!$W$6:$W$505,CZ$3,実績!$AI$6:$AI$505,"&lt;="&amp;$A156,実績!$AJ$6:$AJ$505,"&gt;"&amp;$A156,実績!$AL$6:$AL$505,"○")&gt;0,1,0))</f>
        <v>0</v>
      </c>
      <c r="DA156" s="39" t="n">
        <f aca="false">IF(DA$4=0,0,IF(COUNTIFS(実績!$W$6:$W$505,DA$3,実績!$AI$6:$AI$505,"&lt;="&amp;$A156,実績!$AJ$6:$AJ$505,"&gt;"&amp;$A156,実績!$AL$6:$AL$505,"○")&gt;0,1,0))</f>
        <v>0</v>
      </c>
      <c r="DB156" s="39" t="n">
        <f aca="false">IF(DB$4=0,0,IF(COUNTIFS(実績!$W$6:$W$505,DB$3,実績!$AI$6:$AI$505,"&lt;="&amp;$A156,実績!$AJ$6:$AJ$505,"&gt;"&amp;$A156,実績!$AL$6:$AL$505,"○")&gt;0,1,0))</f>
        <v>0</v>
      </c>
      <c r="DC156" s="39" t="n">
        <f aca="false">IF(DC$4=0,0,IF(COUNTIFS(実績!$W$6:$W$505,DC$3,実績!$AI$6:$AI$505,"&lt;="&amp;$A156,実績!$AJ$6:$AJ$505,"&gt;"&amp;$A156,実績!$AL$6:$AL$505,"○")&gt;0,1,0))</f>
        <v>0</v>
      </c>
      <c r="DD156" s="39" t="n">
        <f aca="false">IF(DD$4=0,0,IF(COUNTIFS(実績!$W$6:$W$505,DD$3,実績!$AI$6:$AI$505,"&lt;="&amp;$A156,実績!$AJ$6:$AJ$505,"&gt;"&amp;$A156,実績!$AL$6:$AL$505,"○")&gt;0,1,0))</f>
        <v>0</v>
      </c>
      <c r="DE156" s="39" t="n">
        <f aca="false">IF(DE$4=0,0,IF(COUNTIFS(実績!$W$6:$W$505,DE$3,実績!$AI$6:$AI$505,"&lt;="&amp;$A156,実績!$AJ$6:$AJ$505,"&gt;"&amp;$A156,実績!$AL$6:$AL$505,"○")&gt;0,1,0))</f>
        <v>0</v>
      </c>
      <c r="DF156" s="39" t="n">
        <f aca="false">IF(DF$4=0,0,IF(COUNTIFS(実績!$W$6:$W$505,DF$3,実績!$AI$6:$AI$505,"&lt;="&amp;$A156,実績!$AJ$6:$AJ$505,"&gt;"&amp;$A156,実績!$AL$6:$AL$505,"○")&gt;0,1,0))</f>
        <v>0</v>
      </c>
      <c r="DG156" s="39" t="n">
        <f aca="false">IF(DG$4=0,0,IF(COUNTIFS(実績!$W$6:$W$505,DG$3,実績!$AI$6:$AI$505,"&lt;="&amp;$A156,実績!$AJ$6:$AJ$505,"&gt;"&amp;$A156,実績!$AL$6:$AL$505,"○")&gt;0,1,0))</f>
        <v>0</v>
      </c>
      <c r="DH156" s="39" t="n">
        <f aca="false">IF(DH$4=0,0,IF(COUNTIFS(実績!$W$6:$W$505,DH$3,実績!$AI$6:$AI$505,"&lt;="&amp;$A156,実績!$AJ$6:$AJ$505,"&gt;"&amp;$A156,実績!$AL$6:$AL$505,"○")&gt;0,1,0))</f>
        <v>0</v>
      </c>
      <c r="DI156" s="39" t="n">
        <f aca="false">IF(DI$4=0,0,IF(COUNTIFS(実績!$W$6:$W$505,DI$3,実績!$AI$6:$AI$505,"&lt;="&amp;$A156,実績!$AJ$6:$AJ$505,"&gt;"&amp;$A156,実績!$AL$6:$AL$505,"○")&gt;0,1,0))</f>
        <v>0</v>
      </c>
      <c r="DJ156" s="39" t="n">
        <f aca="false">IF(DJ$4=0,0,IF(COUNTIFS(実績!$W$6:$W$505,DJ$3,実績!$AI$6:$AI$505,"&lt;="&amp;$A156,実績!$AJ$6:$AJ$505,"&gt;"&amp;$A156,実績!$AL$6:$AL$505,"○")&gt;0,1,0))</f>
        <v>0</v>
      </c>
      <c r="DK156" s="39" t="n">
        <f aca="false">IF(DK$4=0,0,IF(COUNTIFS(実績!$W$6:$W$505,DK$3,実績!$AI$6:$AI$505,"&lt;="&amp;$A156,実績!$AJ$6:$AJ$505,"&gt;"&amp;$A156,実績!$AL$6:$AL$505,"○")&gt;0,1,0))</f>
        <v>0</v>
      </c>
      <c r="DL156" s="39" t="n">
        <f aca="false">IF(DL$4=0,0,IF(COUNTIFS(実績!$W$6:$W$505,DL$3,実績!$AI$6:$AI$505,"&lt;="&amp;$A156,実績!$AJ$6:$AJ$505,"&gt;"&amp;$A156,実績!$AL$6:$AL$505,"○")&gt;0,1,0))</f>
        <v>0</v>
      </c>
      <c r="DM156" s="39" t="n">
        <f aca="false">IF(DM$4=0,0,IF(COUNTIFS(実績!$W$6:$W$505,DM$3,実績!$AI$6:$AI$505,"&lt;="&amp;$A156,実績!$AJ$6:$AJ$505,"&gt;"&amp;$A156,実績!$AL$6:$AL$505,"○")&gt;0,1,0))</f>
        <v>0</v>
      </c>
      <c r="DN156" s="39" t="n">
        <f aca="false">IF(DN$4=0,0,IF(COUNTIFS(実績!$W$6:$W$505,DN$3,実績!$AI$6:$AI$505,"&lt;="&amp;$A156,実績!$AJ$6:$AJ$505,"&gt;"&amp;$A156,実績!$AL$6:$AL$505,"○")&gt;0,1,0))</f>
        <v>0</v>
      </c>
      <c r="DO156" s="39" t="n">
        <f aca="false">IF(DO$4=0,0,IF(COUNTIFS(実績!$W$6:$W$505,DO$3,実績!$AI$6:$AI$505,"&lt;="&amp;$A156,実績!$AJ$6:$AJ$505,"&gt;"&amp;$A156,実績!$AL$6:$AL$505,"○")&gt;0,1,0))</f>
        <v>0</v>
      </c>
      <c r="DP156" s="39" t="n">
        <f aca="false">IF(DP$4=0,0,IF(COUNTIFS(実績!$W$6:$W$505,DP$3,実績!$AI$6:$AI$505,"&lt;="&amp;$A156,実績!$AJ$6:$AJ$505,"&gt;"&amp;$A156,実績!$AL$6:$AL$505,"○")&gt;0,1,0))</f>
        <v>0</v>
      </c>
      <c r="DQ156" s="39" t="n">
        <f aca="false">IF(DQ$4=0,0,IF(COUNTIFS(実績!$W$6:$W$505,DQ$3,実績!$AI$6:$AI$505,"&lt;="&amp;$A156,実績!$AJ$6:$AJ$505,"&gt;"&amp;$A156,実績!$AL$6:$AL$505,"○")&gt;0,1,0))</f>
        <v>0</v>
      </c>
      <c r="DR156" s="39" t="n">
        <f aca="false">IF(DR$4=0,0,IF(COUNTIFS(実績!$W$6:$W$505,DR$3,実績!$AI$6:$AI$505,"&lt;="&amp;$A156,実績!$AJ$6:$AJ$505,"&gt;"&amp;$A156,実績!$AL$6:$AL$505,"○")&gt;0,1,0))</f>
        <v>0</v>
      </c>
      <c r="DS156" s="39" t="n">
        <f aca="false">SUM(C156:DR156)</f>
        <v>0</v>
      </c>
    </row>
    <row r="157" customFormat="false" ht="15" hidden="false" customHeight="false" outlineLevel="0" collapsed="false">
      <c r="A157" s="0" t="n">
        <v>755</v>
      </c>
      <c r="B157" s="38" t="n">
        <f aca="false">A157/1440</f>
        <v>0.524305555555556</v>
      </c>
      <c r="C157" s="39" t="n">
        <f aca="false">IF(C$4=0,0,IF(COUNTIFS(実績!$W$6:$W$505,C$3,実績!$AI$6:$AI$505,"&lt;="&amp;$A157,実績!$AJ$6:$AJ$505,"&gt;"&amp;$A157,実績!$AL$6:$AL$505,"○")&gt;0,1,0))</f>
        <v>0</v>
      </c>
      <c r="D157" s="39" t="n">
        <f aca="false">IF(D$4=0,0,IF(COUNTIFS(実績!$W$6:$W$505,D$3,実績!$AI$6:$AI$505,"&lt;="&amp;$A157,実績!$AJ$6:$AJ$505,"&gt;"&amp;$A157,実績!$AL$6:$AL$505,"○")&gt;0,1,0))</f>
        <v>0</v>
      </c>
      <c r="E157" s="39" t="n">
        <f aca="false">IF(E$4=0,0,IF(COUNTIFS(実績!$W$6:$W$505,E$3,実績!$AI$6:$AI$505,"&lt;="&amp;$A157,実績!$AJ$6:$AJ$505,"&gt;"&amp;$A157,実績!$AL$6:$AL$505,"○")&gt;0,1,0))</f>
        <v>0</v>
      </c>
      <c r="F157" s="39" t="n">
        <f aca="false">IF(F$4=0,0,IF(COUNTIFS(実績!$W$6:$W$505,F$3,実績!$AI$6:$AI$505,"&lt;="&amp;$A157,実績!$AJ$6:$AJ$505,"&gt;"&amp;$A157,実績!$AL$6:$AL$505,"○")&gt;0,1,0))</f>
        <v>0</v>
      </c>
      <c r="G157" s="39" t="n">
        <f aca="false">IF(G$4=0,0,IF(COUNTIFS(実績!$W$6:$W$505,G$3,実績!$AI$6:$AI$505,"&lt;="&amp;$A157,実績!$AJ$6:$AJ$505,"&gt;"&amp;$A157,実績!$AL$6:$AL$505,"○")&gt;0,1,0))</f>
        <v>0</v>
      </c>
      <c r="H157" s="39" t="n">
        <f aca="false">IF(H$4=0,0,IF(COUNTIFS(実績!$W$6:$W$505,H$3,実績!$AI$6:$AI$505,"&lt;="&amp;$A157,実績!$AJ$6:$AJ$505,"&gt;"&amp;$A157,実績!$AL$6:$AL$505,"○")&gt;0,1,0))</f>
        <v>0</v>
      </c>
      <c r="I157" s="39" t="n">
        <f aca="false">IF(I$4=0,0,IF(COUNTIFS(実績!$W$6:$W$505,I$3,実績!$AI$6:$AI$505,"&lt;="&amp;$A157,実績!$AJ$6:$AJ$505,"&gt;"&amp;$A157,実績!$AL$6:$AL$505,"○")&gt;0,1,0))</f>
        <v>0</v>
      </c>
      <c r="J157" s="39" t="n">
        <f aca="false">IF(J$4=0,0,IF(COUNTIFS(実績!$W$6:$W$505,J$3,実績!$AI$6:$AI$505,"&lt;="&amp;$A157,実績!$AJ$6:$AJ$505,"&gt;"&amp;$A157,実績!$AL$6:$AL$505,"○")&gt;0,1,0))</f>
        <v>0</v>
      </c>
      <c r="K157" s="39" t="n">
        <f aca="false">IF(K$4=0,0,IF(COUNTIFS(実績!$W$6:$W$505,K$3,実績!$AI$6:$AI$505,"&lt;="&amp;$A157,実績!$AJ$6:$AJ$505,"&gt;"&amp;$A157,実績!$AL$6:$AL$505,"○")&gt;0,1,0))</f>
        <v>0</v>
      </c>
      <c r="L157" s="39" t="n">
        <f aca="false">IF(L$4=0,0,IF(COUNTIFS(実績!$W$6:$W$505,L$3,実績!$AI$6:$AI$505,"&lt;="&amp;$A157,実績!$AJ$6:$AJ$505,"&gt;"&amp;$A157,実績!$AL$6:$AL$505,"○")&gt;0,1,0))</f>
        <v>0</v>
      </c>
      <c r="M157" s="39" t="n">
        <f aca="false">IF(M$4=0,0,IF(COUNTIFS(実績!$W$6:$W$505,M$3,実績!$AI$6:$AI$505,"&lt;="&amp;$A157,実績!$AJ$6:$AJ$505,"&gt;"&amp;$A157,実績!$AL$6:$AL$505,"○")&gt;0,1,0))</f>
        <v>0</v>
      </c>
      <c r="N157" s="39" t="n">
        <f aca="false">IF(N$4=0,0,IF(COUNTIFS(実績!$W$6:$W$505,N$3,実績!$AI$6:$AI$505,"&lt;="&amp;$A157,実績!$AJ$6:$AJ$505,"&gt;"&amp;$A157,実績!$AL$6:$AL$505,"○")&gt;0,1,0))</f>
        <v>0</v>
      </c>
      <c r="O157" s="39" t="n">
        <f aca="false">IF(O$4=0,0,IF(COUNTIFS(実績!$W$6:$W$505,O$3,実績!$AI$6:$AI$505,"&lt;="&amp;$A157,実績!$AJ$6:$AJ$505,"&gt;"&amp;$A157,実績!$AL$6:$AL$505,"○")&gt;0,1,0))</f>
        <v>0</v>
      </c>
      <c r="P157" s="39" t="n">
        <f aca="false">IF(P$4=0,0,IF(COUNTIFS(実績!$W$6:$W$505,P$3,実績!$AI$6:$AI$505,"&lt;="&amp;$A157,実績!$AJ$6:$AJ$505,"&gt;"&amp;$A157,実績!$AL$6:$AL$505,"○")&gt;0,1,0))</f>
        <v>0</v>
      </c>
      <c r="Q157" s="39" t="n">
        <f aca="false">IF(Q$4=0,0,IF(COUNTIFS(実績!$W$6:$W$505,Q$3,実績!$AI$6:$AI$505,"&lt;="&amp;$A157,実績!$AJ$6:$AJ$505,"&gt;"&amp;$A157,実績!$AL$6:$AL$505,"○")&gt;0,1,0))</f>
        <v>0</v>
      </c>
      <c r="R157" s="39" t="n">
        <f aca="false">IF(R$4=0,0,IF(COUNTIFS(実績!$W$6:$W$505,R$3,実績!$AI$6:$AI$505,"&lt;="&amp;$A157,実績!$AJ$6:$AJ$505,"&gt;"&amp;$A157,実績!$AL$6:$AL$505,"○")&gt;0,1,0))</f>
        <v>0</v>
      </c>
      <c r="S157" s="39" t="n">
        <f aca="false">IF(S$4=0,0,IF(COUNTIFS(実績!$W$6:$W$505,S$3,実績!$AI$6:$AI$505,"&lt;="&amp;$A157,実績!$AJ$6:$AJ$505,"&gt;"&amp;$A157,実績!$AL$6:$AL$505,"○")&gt;0,1,0))</f>
        <v>0</v>
      </c>
      <c r="T157" s="39" t="n">
        <f aca="false">IF(T$4=0,0,IF(COUNTIFS(実績!$W$6:$W$505,T$3,実績!$AI$6:$AI$505,"&lt;="&amp;$A157,実績!$AJ$6:$AJ$505,"&gt;"&amp;$A157,実績!$AL$6:$AL$505,"○")&gt;0,1,0))</f>
        <v>0</v>
      </c>
      <c r="U157" s="39" t="n">
        <f aca="false">IF(U$4=0,0,IF(COUNTIFS(実績!$W$6:$W$505,U$3,実績!$AI$6:$AI$505,"&lt;="&amp;$A157,実績!$AJ$6:$AJ$505,"&gt;"&amp;$A157,実績!$AL$6:$AL$505,"○")&gt;0,1,0))</f>
        <v>0</v>
      </c>
      <c r="V157" s="39" t="n">
        <f aca="false">IF(V$4=0,0,IF(COUNTIFS(実績!$W$6:$W$505,V$3,実績!$AI$6:$AI$505,"&lt;="&amp;$A157,実績!$AJ$6:$AJ$505,"&gt;"&amp;$A157,実績!$AL$6:$AL$505,"○")&gt;0,1,0))</f>
        <v>0</v>
      </c>
      <c r="W157" s="39" t="n">
        <f aca="false">IF(W$4=0,0,IF(COUNTIFS(実績!$W$6:$W$505,W$3,実績!$AI$6:$AI$505,"&lt;="&amp;$A157,実績!$AJ$6:$AJ$505,"&gt;"&amp;$A157,実績!$AL$6:$AL$505,"○")&gt;0,1,0))</f>
        <v>0</v>
      </c>
      <c r="X157" s="39" t="n">
        <f aca="false">IF(X$4=0,0,IF(COUNTIFS(実績!$W$6:$W$505,X$3,実績!$AI$6:$AI$505,"&lt;="&amp;$A157,実績!$AJ$6:$AJ$505,"&gt;"&amp;$A157,実績!$AL$6:$AL$505,"○")&gt;0,1,0))</f>
        <v>0</v>
      </c>
      <c r="Y157" s="39" t="n">
        <f aca="false">IF(Y$4=0,0,IF(COUNTIFS(実績!$W$6:$W$505,Y$3,実績!$AI$6:$AI$505,"&lt;="&amp;$A157,実績!$AJ$6:$AJ$505,"&gt;"&amp;$A157,実績!$AL$6:$AL$505,"○")&gt;0,1,0))</f>
        <v>0</v>
      </c>
      <c r="Z157" s="39" t="n">
        <f aca="false">IF(Z$4=0,0,IF(COUNTIFS(実績!$W$6:$W$505,Z$3,実績!$AI$6:$AI$505,"&lt;="&amp;$A157,実績!$AJ$6:$AJ$505,"&gt;"&amp;$A157,実績!$AL$6:$AL$505,"○")&gt;0,1,0))</f>
        <v>0</v>
      </c>
      <c r="AA157" s="39" t="n">
        <f aca="false">IF(AA$4=0,0,IF(COUNTIFS(実績!$W$6:$W$505,AA$3,実績!$AI$6:$AI$505,"&lt;="&amp;$A157,実績!$AJ$6:$AJ$505,"&gt;"&amp;$A157,実績!$AL$6:$AL$505,"○")&gt;0,1,0))</f>
        <v>0</v>
      </c>
      <c r="AB157" s="39" t="n">
        <f aca="false">IF(AB$4=0,0,IF(COUNTIFS(実績!$W$6:$W$505,AB$3,実績!$AI$6:$AI$505,"&lt;="&amp;$A157,実績!$AJ$6:$AJ$505,"&gt;"&amp;$A157,実績!$AL$6:$AL$505,"○")&gt;0,1,0))</f>
        <v>0</v>
      </c>
      <c r="AC157" s="39" t="n">
        <f aca="false">IF(AC$4=0,0,IF(COUNTIFS(実績!$W$6:$W$505,AC$3,実績!$AI$6:$AI$505,"&lt;="&amp;$A157,実績!$AJ$6:$AJ$505,"&gt;"&amp;$A157,実績!$AL$6:$AL$505,"○")&gt;0,1,0))</f>
        <v>0</v>
      </c>
      <c r="AD157" s="39" t="n">
        <f aca="false">IF(AD$4=0,0,IF(COUNTIFS(実績!$W$6:$W$505,AD$3,実績!$AI$6:$AI$505,"&lt;="&amp;$A157,実績!$AJ$6:$AJ$505,"&gt;"&amp;$A157,実績!$AL$6:$AL$505,"○")&gt;0,1,0))</f>
        <v>0</v>
      </c>
      <c r="AE157" s="39" t="n">
        <f aca="false">IF(AE$4=0,0,IF(COUNTIFS(実績!$W$6:$W$505,AE$3,実績!$AI$6:$AI$505,"&lt;="&amp;$A157,実績!$AJ$6:$AJ$505,"&gt;"&amp;$A157,実績!$AL$6:$AL$505,"○")&gt;0,1,0))</f>
        <v>0</v>
      </c>
      <c r="AF157" s="39" t="n">
        <f aca="false">IF(AF$4=0,0,IF(COUNTIFS(実績!$W$6:$W$505,AF$3,実績!$AI$6:$AI$505,"&lt;="&amp;$A157,実績!$AJ$6:$AJ$505,"&gt;"&amp;$A157,実績!$AL$6:$AL$505,"○")&gt;0,1,0))</f>
        <v>0</v>
      </c>
      <c r="AG157" s="39" t="n">
        <f aca="false">IF(AG$4=0,0,IF(COUNTIFS(実績!$W$6:$W$505,AG$3,実績!$AI$6:$AI$505,"&lt;="&amp;$A157,実績!$AJ$6:$AJ$505,"&gt;"&amp;$A157,実績!$AL$6:$AL$505,"○")&gt;0,1,0))</f>
        <v>0</v>
      </c>
      <c r="AH157" s="39" t="n">
        <f aca="false">IF(AH$4=0,0,IF(COUNTIFS(実績!$W$6:$W$505,AH$3,実績!$AI$6:$AI$505,"&lt;="&amp;$A157,実績!$AJ$6:$AJ$505,"&gt;"&amp;$A157,実績!$AL$6:$AL$505,"○")&gt;0,1,0))</f>
        <v>0</v>
      </c>
      <c r="AI157" s="39" t="n">
        <f aca="false">IF(AI$4=0,0,IF(COUNTIFS(実績!$W$6:$W$505,AI$3,実績!$AI$6:$AI$505,"&lt;="&amp;$A157,実績!$AJ$6:$AJ$505,"&gt;"&amp;$A157,実績!$AL$6:$AL$505,"○")&gt;0,1,0))</f>
        <v>0</v>
      </c>
      <c r="AJ157" s="39" t="n">
        <f aca="false">IF(AJ$4=0,0,IF(COUNTIFS(実績!$W$6:$W$505,AJ$3,実績!$AI$6:$AI$505,"&lt;="&amp;$A157,実績!$AJ$6:$AJ$505,"&gt;"&amp;$A157,実績!$AL$6:$AL$505,"○")&gt;0,1,0))</f>
        <v>0</v>
      </c>
      <c r="AK157" s="39" t="n">
        <f aca="false">IF(AK$4=0,0,IF(COUNTIFS(実績!$W$6:$W$505,AK$3,実績!$AI$6:$AI$505,"&lt;="&amp;$A157,実績!$AJ$6:$AJ$505,"&gt;"&amp;$A157,実績!$AL$6:$AL$505,"○")&gt;0,1,0))</f>
        <v>0</v>
      </c>
      <c r="AL157" s="39" t="n">
        <f aca="false">IF(AL$4=0,0,IF(COUNTIFS(実績!$W$6:$W$505,AL$3,実績!$AI$6:$AI$505,"&lt;="&amp;$A157,実績!$AJ$6:$AJ$505,"&gt;"&amp;$A157,実績!$AL$6:$AL$505,"○")&gt;0,1,0))</f>
        <v>0</v>
      </c>
      <c r="AM157" s="39" t="n">
        <f aca="false">IF(AM$4=0,0,IF(COUNTIFS(実績!$W$6:$W$505,AM$3,実績!$AI$6:$AI$505,"&lt;="&amp;$A157,実績!$AJ$6:$AJ$505,"&gt;"&amp;$A157,実績!$AL$6:$AL$505,"○")&gt;0,1,0))</f>
        <v>0</v>
      </c>
      <c r="AN157" s="39" t="n">
        <f aca="false">IF(AN$4=0,0,IF(COUNTIFS(実績!$W$6:$W$505,AN$3,実績!$AI$6:$AI$505,"&lt;="&amp;$A157,実績!$AJ$6:$AJ$505,"&gt;"&amp;$A157,実績!$AL$6:$AL$505,"○")&gt;0,1,0))</f>
        <v>0</v>
      </c>
      <c r="AO157" s="39" t="n">
        <f aca="false">IF(AO$4=0,0,IF(COUNTIFS(実績!$W$6:$W$505,AO$3,実績!$AI$6:$AI$505,"&lt;="&amp;$A157,実績!$AJ$6:$AJ$505,"&gt;"&amp;$A157,実績!$AL$6:$AL$505,"○")&gt;0,1,0))</f>
        <v>0</v>
      </c>
      <c r="AP157" s="39" t="n">
        <f aca="false">IF(AP$4=0,0,IF(COUNTIFS(実績!$W$6:$W$505,AP$3,実績!$AI$6:$AI$505,"&lt;="&amp;$A157,実績!$AJ$6:$AJ$505,"&gt;"&amp;$A157,実績!$AL$6:$AL$505,"○")&gt;0,1,0))</f>
        <v>0</v>
      </c>
      <c r="AQ157" s="39" t="n">
        <f aca="false">IF(AQ$4=0,0,IF(COUNTIFS(実績!$W$6:$W$505,AQ$3,実績!$AI$6:$AI$505,"&lt;="&amp;$A157,実績!$AJ$6:$AJ$505,"&gt;"&amp;$A157,実績!$AL$6:$AL$505,"○")&gt;0,1,0))</f>
        <v>0</v>
      </c>
      <c r="AR157" s="39" t="n">
        <f aca="false">IF(AR$4=0,0,IF(COUNTIFS(実績!$W$6:$W$505,AR$3,実績!$AI$6:$AI$505,"&lt;="&amp;$A157,実績!$AJ$6:$AJ$505,"&gt;"&amp;$A157,実績!$AL$6:$AL$505,"○")&gt;0,1,0))</f>
        <v>0</v>
      </c>
      <c r="AS157" s="39" t="n">
        <f aca="false">IF(AS$4=0,0,IF(COUNTIFS(実績!$W$6:$W$505,AS$3,実績!$AI$6:$AI$505,"&lt;="&amp;$A157,実績!$AJ$6:$AJ$505,"&gt;"&amp;$A157,実績!$AL$6:$AL$505,"○")&gt;0,1,0))</f>
        <v>0</v>
      </c>
      <c r="AT157" s="39" t="n">
        <f aca="false">IF(AT$4=0,0,IF(COUNTIFS(実績!$W$6:$W$505,AT$3,実績!$AI$6:$AI$505,"&lt;="&amp;$A157,実績!$AJ$6:$AJ$505,"&gt;"&amp;$A157,実績!$AL$6:$AL$505,"○")&gt;0,1,0))</f>
        <v>0</v>
      </c>
      <c r="AU157" s="39" t="n">
        <f aca="false">IF(AU$4=0,0,IF(COUNTIFS(実績!$W$6:$W$505,AU$3,実績!$AI$6:$AI$505,"&lt;="&amp;$A157,実績!$AJ$6:$AJ$505,"&gt;"&amp;$A157,実績!$AL$6:$AL$505,"○")&gt;0,1,0))</f>
        <v>0</v>
      </c>
      <c r="AV157" s="39" t="n">
        <f aca="false">IF(AV$4=0,0,IF(COUNTIFS(実績!$W$6:$W$505,AV$3,実績!$AI$6:$AI$505,"&lt;="&amp;$A157,実績!$AJ$6:$AJ$505,"&gt;"&amp;$A157,実績!$AL$6:$AL$505,"○")&gt;0,1,0))</f>
        <v>0</v>
      </c>
      <c r="AW157" s="39" t="n">
        <f aca="false">IF(AW$4=0,0,IF(COUNTIFS(実績!$W$6:$W$505,AW$3,実績!$AI$6:$AI$505,"&lt;="&amp;$A157,実績!$AJ$6:$AJ$505,"&gt;"&amp;$A157,実績!$AL$6:$AL$505,"○")&gt;0,1,0))</f>
        <v>0</v>
      </c>
      <c r="AX157" s="39" t="n">
        <f aca="false">IF(AX$4=0,0,IF(COUNTIFS(実績!$W$6:$W$505,AX$3,実績!$AI$6:$AI$505,"&lt;="&amp;$A157,実績!$AJ$6:$AJ$505,"&gt;"&amp;$A157,実績!$AL$6:$AL$505,"○")&gt;0,1,0))</f>
        <v>0</v>
      </c>
      <c r="AY157" s="39" t="n">
        <f aca="false">IF(AY$4=0,0,IF(COUNTIFS(実績!$W$6:$W$505,AY$3,実績!$AI$6:$AI$505,"&lt;="&amp;$A157,実績!$AJ$6:$AJ$505,"&gt;"&amp;$A157,実績!$AL$6:$AL$505,"○")&gt;0,1,0))</f>
        <v>0</v>
      </c>
      <c r="AZ157" s="39" t="n">
        <f aca="false">IF(AZ$4=0,0,IF(COUNTIFS(実績!$W$6:$W$505,AZ$3,実績!$AI$6:$AI$505,"&lt;="&amp;$A157,実績!$AJ$6:$AJ$505,"&gt;"&amp;$A157,実績!$AL$6:$AL$505,"○")&gt;0,1,0))</f>
        <v>0</v>
      </c>
      <c r="BA157" s="39" t="n">
        <f aca="false">IF(BA$4=0,0,IF(COUNTIFS(実績!$W$6:$W$505,BA$3,実績!$AI$6:$AI$505,"&lt;="&amp;$A157,実績!$AJ$6:$AJ$505,"&gt;"&amp;$A157,実績!$AL$6:$AL$505,"○")&gt;0,1,0))</f>
        <v>0</v>
      </c>
      <c r="BB157" s="39" t="n">
        <f aca="false">IF(BB$4=0,0,IF(COUNTIFS(実績!$W$6:$W$505,BB$3,実績!$AI$6:$AI$505,"&lt;="&amp;$A157,実績!$AJ$6:$AJ$505,"&gt;"&amp;$A157,実績!$AL$6:$AL$505,"○")&gt;0,1,0))</f>
        <v>0</v>
      </c>
      <c r="BC157" s="39" t="n">
        <f aca="false">IF(BC$4=0,0,IF(COUNTIFS(実績!$W$6:$W$505,BC$3,実績!$AI$6:$AI$505,"&lt;="&amp;$A157,実績!$AJ$6:$AJ$505,"&gt;"&amp;$A157,実績!$AL$6:$AL$505,"○")&gt;0,1,0))</f>
        <v>0</v>
      </c>
      <c r="BD157" s="39" t="n">
        <f aca="false">IF(BD$4=0,0,IF(COUNTIFS(実績!$W$6:$W$505,BD$3,実績!$AI$6:$AI$505,"&lt;="&amp;$A157,実績!$AJ$6:$AJ$505,"&gt;"&amp;$A157,実績!$AL$6:$AL$505,"○")&gt;0,1,0))</f>
        <v>0</v>
      </c>
      <c r="BE157" s="39" t="n">
        <f aca="false">IF(BE$4=0,0,IF(COUNTIFS(実績!$W$6:$W$505,BE$3,実績!$AI$6:$AI$505,"&lt;="&amp;$A157,実績!$AJ$6:$AJ$505,"&gt;"&amp;$A157,実績!$AL$6:$AL$505,"○")&gt;0,1,0))</f>
        <v>0</v>
      </c>
      <c r="BF157" s="39" t="n">
        <f aca="false">IF(BF$4=0,0,IF(COUNTIFS(実績!$W$6:$W$505,BF$3,実績!$AI$6:$AI$505,"&lt;="&amp;$A157,実績!$AJ$6:$AJ$505,"&gt;"&amp;$A157,実績!$AL$6:$AL$505,"○")&gt;0,1,0))</f>
        <v>0</v>
      </c>
      <c r="BG157" s="39" t="n">
        <f aca="false">IF(BG$4=0,0,IF(COUNTIFS(実績!$W$6:$W$505,BG$3,実績!$AI$6:$AI$505,"&lt;="&amp;$A157,実績!$AJ$6:$AJ$505,"&gt;"&amp;$A157,実績!$AL$6:$AL$505,"○")&gt;0,1,0))</f>
        <v>0</v>
      </c>
      <c r="BH157" s="39" t="n">
        <f aca="false">IF(BH$4=0,0,IF(COUNTIFS(実績!$W$6:$W$505,BH$3,実績!$AI$6:$AI$505,"&lt;="&amp;$A157,実績!$AJ$6:$AJ$505,"&gt;"&amp;$A157,実績!$AL$6:$AL$505,"○")&gt;0,1,0))</f>
        <v>0</v>
      </c>
      <c r="BI157" s="39" t="n">
        <f aca="false">IF(BI$4=0,0,IF(COUNTIFS(実績!$W$6:$W$505,BI$3,実績!$AI$6:$AI$505,"&lt;="&amp;$A157,実績!$AJ$6:$AJ$505,"&gt;"&amp;$A157,実績!$AL$6:$AL$505,"○")&gt;0,1,0))</f>
        <v>0</v>
      </c>
      <c r="BJ157" s="39" t="n">
        <f aca="false">IF(BJ$4=0,0,IF(COUNTIFS(実績!$W$6:$W$505,BJ$3,実績!$AI$6:$AI$505,"&lt;="&amp;$A157,実績!$AJ$6:$AJ$505,"&gt;"&amp;$A157,実績!$AL$6:$AL$505,"○")&gt;0,1,0))</f>
        <v>0</v>
      </c>
      <c r="BK157" s="39" t="n">
        <f aca="false">IF(BK$4=0,0,IF(COUNTIFS(実績!$W$6:$W$505,BK$3,実績!$AI$6:$AI$505,"&lt;="&amp;$A157,実績!$AJ$6:$AJ$505,"&gt;"&amp;$A157,実績!$AL$6:$AL$505,"○")&gt;0,1,0))</f>
        <v>0</v>
      </c>
      <c r="BL157" s="39" t="n">
        <f aca="false">IF(BL$4=0,0,IF(COUNTIFS(実績!$W$6:$W$505,BL$3,実績!$AI$6:$AI$505,"&lt;="&amp;$A157,実績!$AJ$6:$AJ$505,"&gt;"&amp;$A157,実績!$AL$6:$AL$505,"○")&gt;0,1,0))</f>
        <v>0</v>
      </c>
      <c r="BM157" s="39" t="n">
        <f aca="false">IF(BM$4=0,0,IF(COUNTIFS(実績!$W$6:$W$505,BM$3,実績!$AI$6:$AI$505,"&lt;="&amp;$A157,実績!$AJ$6:$AJ$505,"&gt;"&amp;$A157,実績!$AL$6:$AL$505,"○")&gt;0,1,0))</f>
        <v>0</v>
      </c>
      <c r="BN157" s="39" t="n">
        <f aca="false">IF(BN$4=0,0,IF(COUNTIFS(実績!$W$6:$W$505,BN$3,実績!$AI$6:$AI$505,"&lt;="&amp;$A157,実績!$AJ$6:$AJ$505,"&gt;"&amp;$A157,実績!$AL$6:$AL$505,"○")&gt;0,1,0))</f>
        <v>0</v>
      </c>
      <c r="BO157" s="39" t="n">
        <f aca="false">IF(BO$4=0,0,IF(COUNTIFS(実績!$W$6:$W$505,BO$3,実績!$AI$6:$AI$505,"&lt;="&amp;$A157,実績!$AJ$6:$AJ$505,"&gt;"&amp;$A157,実績!$AL$6:$AL$505,"○")&gt;0,1,0))</f>
        <v>0</v>
      </c>
      <c r="BP157" s="39" t="n">
        <f aca="false">IF(BP$4=0,0,IF(COUNTIFS(実績!$W$6:$W$505,BP$3,実績!$AI$6:$AI$505,"&lt;="&amp;$A157,実績!$AJ$6:$AJ$505,"&gt;"&amp;$A157,実績!$AL$6:$AL$505,"○")&gt;0,1,0))</f>
        <v>0</v>
      </c>
      <c r="BQ157" s="39" t="n">
        <f aca="false">IF(BQ$4=0,0,IF(COUNTIFS(実績!$W$6:$W$505,BQ$3,実績!$AI$6:$AI$505,"&lt;="&amp;$A157,実績!$AJ$6:$AJ$505,"&gt;"&amp;$A157,実績!$AL$6:$AL$505,"○")&gt;0,1,0))</f>
        <v>0</v>
      </c>
      <c r="BR157" s="39" t="n">
        <f aca="false">IF(BR$4=0,0,IF(COUNTIFS(実績!$W$6:$W$505,BR$3,実績!$AI$6:$AI$505,"&lt;="&amp;$A157,実績!$AJ$6:$AJ$505,"&gt;"&amp;$A157,実績!$AL$6:$AL$505,"○")&gt;0,1,0))</f>
        <v>0</v>
      </c>
      <c r="BS157" s="39" t="n">
        <f aca="false">IF(BS$4=0,0,IF(COUNTIFS(実績!$W$6:$W$505,BS$3,実績!$AI$6:$AI$505,"&lt;="&amp;$A157,実績!$AJ$6:$AJ$505,"&gt;"&amp;$A157,実績!$AL$6:$AL$505,"○")&gt;0,1,0))</f>
        <v>0</v>
      </c>
      <c r="BT157" s="39" t="n">
        <f aca="false">IF(BT$4=0,0,IF(COUNTIFS(実績!$W$6:$W$505,BT$3,実績!$AI$6:$AI$505,"&lt;="&amp;$A157,実績!$AJ$6:$AJ$505,"&gt;"&amp;$A157,実績!$AL$6:$AL$505,"○")&gt;0,1,0))</f>
        <v>0</v>
      </c>
      <c r="BU157" s="39" t="n">
        <f aca="false">IF(BU$4=0,0,IF(COUNTIFS(実績!$W$6:$W$505,BU$3,実績!$AI$6:$AI$505,"&lt;="&amp;$A157,実績!$AJ$6:$AJ$505,"&gt;"&amp;$A157,実績!$AL$6:$AL$505,"○")&gt;0,1,0))</f>
        <v>0</v>
      </c>
      <c r="BV157" s="39" t="n">
        <f aca="false">IF(BV$4=0,0,IF(COUNTIFS(実績!$W$6:$W$505,BV$3,実績!$AI$6:$AI$505,"&lt;="&amp;$A157,実績!$AJ$6:$AJ$505,"&gt;"&amp;$A157,実績!$AL$6:$AL$505,"○")&gt;0,1,0))</f>
        <v>0</v>
      </c>
      <c r="BW157" s="39" t="n">
        <f aca="false">IF(BW$4=0,0,IF(COUNTIFS(実績!$W$6:$W$505,BW$3,実績!$AI$6:$AI$505,"&lt;="&amp;$A157,実績!$AJ$6:$AJ$505,"&gt;"&amp;$A157,実績!$AL$6:$AL$505,"○")&gt;0,1,0))</f>
        <v>0</v>
      </c>
      <c r="BX157" s="39" t="n">
        <f aca="false">IF(BX$4=0,0,IF(COUNTIFS(実績!$W$6:$W$505,BX$3,実績!$AI$6:$AI$505,"&lt;="&amp;$A157,実績!$AJ$6:$AJ$505,"&gt;"&amp;$A157,実績!$AL$6:$AL$505,"○")&gt;0,1,0))</f>
        <v>0</v>
      </c>
      <c r="BY157" s="39" t="n">
        <f aca="false">IF(BY$4=0,0,IF(COUNTIFS(実績!$W$6:$W$505,BY$3,実績!$AI$6:$AI$505,"&lt;="&amp;$A157,実績!$AJ$6:$AJ$505,"&gt;"&amp;$A157,実績!$AL$6:$AL$505,"○")&gt;0,1,0))</f>
        <v>0</v>
      </c>
      <c r="BZ157" s="39" t="n">
        <f aca="false">IF(BZ$4=0,0,IF(COUNTIFS(実績!$W$6:$W$505,BZ$3,実績!$AI$6:$AI$505,"&lt;="&amp;$A157,実績!$AJ$6:$AJ$505,"&gt;"&amp;$A157,実績!$AL$6:$AL$505,"○")&gt;0,1,0))</f>
        <v>0</v>
      </c>
      <c r="CA157" s="39" t="n">
        <f aca="false">IF(CA$4=0,0,IF(COUNTIFS(実績!$W$6:$W$505,CA$3,実績!$AI$6:$AI$505,"&lt;="&amp;$A157,実績!$AJ$6:$AJ$505,"&gt;"&amp;$A157,実績!$AL$6:$AL$505,"○")&gt;0,1,0))</f>
        <v>0</v>
      </c>
      <c r="CB157" s="39" t="n">
        <f aca="false">IF(CB$4=0,0,IF(COUNTIFS(実績!$W$6:$W$505,CB$3,実績!$AI$6:$AI$505,"&lt;="&amp;$A157,実績!$AJ$6:$AJ$505,"&gt;"&amp;$A157,実績!$AL$6:$AL$505,"○")&gt;0,1,0))</f>
        <v>0</v>
      </c>
      <c r="CC157" s="39" t="n">
        <f aca="false">IF(CC$4=0,0,IF(COUNTIFS(実績!$W$6:$W$505,CC$3,実績!$AI$6:$AI$505,"&lt;="&amp;$A157,実績!$AJ$6:$AJ$505,"&gt;"&amp;$A157,実績!$AL$6:$AL$505,"○")&gt;0,1,0))</f>
        <v>0</v>
      </c>
      <c r="CD157" s="39" t="n">
        <f aca="false">IF(CD$4=0,0,IF(COUNTIFS(実績!$W$6:$W$505,CD$3,実績!$AI$6:$AI$505,"&lt;="&amp;$A157,実績!$AJ$6:$AJ$505,"&gt;"&amp;$A157,実績!$AL$6:$AL$505,"○")&gt;0,1,0))</f>
        <v>0</v>
      </c>
      <c r="CE157" s="39" t="n">
        <f aca="false">IF(CE$4=0,0,IF(COUNTIFS(実績!$W$6:$W$505,CE$3,実績!$AI$6:$AI$505,"&lt;="&amp;$A157,実績!$AJ$6:$AJ$505,"&gt;"&amp;$A157,実績!$AL$6:$AL$505,"○")&gt;0,1,0))</f>
        <v>0</v>
      </c>
      <c r="CF157" s="39" t="n">
        <f aca="false">IF(CF$4=0,0,IF(COUNTIFS(実績!$W$6:$W$505,CF$3,実績!$AI$6:$AI$505,"&lt;="&amp;$A157,実績!$AJ$6:$AJ$505,"&gt;"&amp;$A157,実績!$AL$6:$AL$505,"○")&gt;0,1,0))</f>
        <v>0</v>
      </c>
      <c r="CG157" s="39" t="n">
        <f aca="false">IF(CG$4=0,0,IF(COUNTIFS(実績!$W$6:$W$505,CG$3,実績!$AI$6:$AI$505,"&lt;="&amp;$A157,実績!$AJ$6:$AJ$505,"&gt;"&amp;$A157,実績!$AL$6:$AL$505,"○")&gt;0,1,0))</f>
        <v>0</v>
      </c>
      <c r="CH157" s="39" t="n">
        <f aca="false">IF(CH$4=0,0,IF(COUNTIFS(実績!$W$6:$W$505,CH$3,実績!$AI$6:$AI$505,"&lt;="&amp;$A157,実績!$AJ$6:$AJ$505,"&gt;"&amp;$A157,実績!$AL$6:$AL$505,"○")&gt;0,1,0))</f>
        <v>0</v>
      </c>
      <c r="CI157" s="39" t="n">
        <f aca="false">IF(CI$4=0,0,IF(COUNTIFS(実績!$W$6:$W$505,CI$3,実績!$AI$6:$AI$505,"&lt;="&amp;$A157,実績!$AJ$6:$AJ$505,"&gt;"&amp;$A157,実績!$AL$6:$AL$505,"○")&gt;0,1,0))</f>
        <v>0</v>
      </c>
      <c r="CJ157" s="39" t="n">
        <f aca="false">IF(CJ$4=0,0,IF(COUNTIFS(実績!$W$6:$W$505,CJ$3,実績!$AI$6:$AI$505,"&lt;="&amp;$A157,実績!$AJ$6:$AJ$505,"&gt;"&amp;$A157,実績!$AL$6:$AL$505,"○")&gt;0,1,0))</f>
        <v>0</v>
      </c>
      <c r="CK157" s="39" t="n">
        <f aca="false">IF(CK$4=0,0,IF(COUNTIFS(実績!$W$6:$W$505,CK$3,実績!$AI$6:$AI$505,"&lt;="&amp;$A157,実績!$AJ$6:$AJ$505,"&gt;"&amp;$A157,実績!$AL$6:$AL$505,"○")&gt;0,1,0))</f>
        <v>0</v>
      </c>
      <c r="CL157" s="39" t="n">
        <f aca="false">IF(CL$4=0,0,IF(COUNTIFS(実績!$W$6:$W$505,CL$3,実績!$AI$6:$AI$505,"&lt;="&amp;$A157,実績!$AJ$6:$AJ$505,"&gt;"&amp;$A157,実績!$AL$6:$AL$505,"○")&gt;0,1,0))</f>
        <v>0</v>
      </c>
      <c r="CM157" s="39" t="n">
        <f aca="false">IF(CM$4=0,0,IF(COUNTIFS(実績!$W$6:$W$505,CM$3,実績!$AI$6:$AI$505,"&lt;="&amp;$A157,実績!$AJ$6:$AJ$505,"&gt;"&amp;$A157,実績!$AL$6:$AL$505,"○")&gt;0,1,0))</f>
        <v>0</v>
      </c>
      <c r="CN157" s="39" t="n">
        <f aca="false">IF(CN$4=0,0,IF(COUNTIFS(実績!$W$6:$W$505,CN$3,実績!$AI$6:$AI$505,"&lt;="&amp;$A157,実績!$AJ$6:$AJ$505,"&gt;"&amp;$A157,実績!$AL$6:$AL$505,"○")&gt;0,1,0))</f>
        <v>0</v>
      </c>
      <c r="CO157" s="39" t="n">
        <f aca="false">IF(CO$4=0,0,IF(COUNTIFS(実績!$W$6:$W$505,CO$3,実績!$AI$6:$AI$505,"&lt;="&amp;$A157,実績!$AJ$6:$AJ$505,"&gt;"&amp;$A157,実績!$AL$6:$AL$505,"○")&gt;0,1,0))</f>
        <v>0</v>
      </c>
      <c r="CP157" s="39" t="n">
        <f aca="false">IF(CP$4=0,0,IF(COUNTIFS(実績!$W$6:$W$505,CP$3,実績!$AI$6:$AI$505,"&lt;="&amp;$A157,実績!$AJ$6:$AJ$505,"&gt;"&amp;$A157,実績!$AL$6:$AL$505,"○")&gt;0,1,0))</f>
        <v>0</v>
      </c>
      <c r="CQ157" s="39" t="n">
        <f aca="false">IF(CQ$4=0,0,IF(COUNTIFS(実績!$W$6:$W$505,CQ$3,実績!$AI$6:$AI$505,"&lt;="&amp;$A157,実績!$AJ$6:$AJ$505,"&gt;"&amp;$A157,実績!$AL$6:$AL$505,"○")&gt;0,1,0))</f>
        <v>0</v>
      </c>
      <c r="CR157" s="39" t="n">
        <f aca="false">IF(CR$4=0,0,IF(COUNTIFS(実績!$W$6:$W$505,CR$3,実績!$AI$6:$AI$505,"&lt;="&amp;$A157,実績!$AJ$6:$AJ$505,"&gt;"&amp;$A157,実績!$AL$6:$AL$505,"○")&gt;0,1,0))</f>
        <v>0</v>
      </c>
      <c r="CS157" s="39" t="n">
        <f aca="false">IF(CS$4=0,0,IF(COUNTIFS(実績!$W$6:$W$505,CS$3,実績!$AI$6:$AI$505,"&lt;="&amp;$A157,実績!$AJ$6:$AJ$505,"&gt;"&amp;$A157,実績!$AL$6:$AL$505,"○")&gt;0,1,0))</f>
        <v>0</v>
      </c>
      <c r="CT157" s="39" t="n">
        <f aca="false">IF(CT$4=0,0,IF(COUNTIFS(実績!$W$6:$W$505,CT$3,実績!$AI$6:$AI$505,"&lt;="&amp;$A157,実績!$AJ$6:$AJ$505,"&gt;"&amp;$A157,実績!$AL$6:$AL$505,"○")&gt;0,1,0))</f>
        <v>0</v>
      </c>
      <c r="CU157" s="39" t="n">
        <f aca="false">IF(CU$4=0,0,IF(COUNTIFS(実績!$W$6:$W$505,CU$3,実績!$AI$6:$AI$505,"&lt;="&amp;$A157,実績!$AJ$6:$AJ$505,"&gt;"&amp;$A157,実績!$AL$6:$AL$505,"○")&gt;0,1,0))</f>
        <v>0</v>
      </c>
      <c r="CV157" s="39" t="n">
        <f aca="false">IF(CV$4=0,0,IF(COUNTIFS(実績!$W$6:$W$505,CV$3,実績!$AI$6:$AI$505,"&lt;="&amp;$A157,実績!$AJ$6:$AJ$505,"&gt;"&amp;$A157,実績!$AL$6:$AL$505,"○")&gt;0,1,0))</f>
        <v>0</v>
      </c>
      <c r="CW157" s="39" t="n">
        <f aca="false">IF(CW$4=0,0,IF(COUNTIFS(実績!$W$6:$W$505,CW$3,実績!$AI$6:$AI$505,"&lt;="&amp;$A157,実績!$AJ$6:$AJ$505,"&gt;"&amp;$A157,実績!$AL$6:$AL$505,"○")&gt;0,1,0))</f>
        <v>0</v>
      </c>
      <c r="CX157" s="39" t="n">
        <f aca="false">IF(CX$4=0,0,IF(COUNTIFS(実績!$W$6:$W$505,CX$3,実績!$AI$6:$AI$505,"&lt;="&amp;$A157,実績!$AJ$6:$AJ$505,"&gt;"&amp;$A157,実績!$AL$6:$AL$505,"○")&gt;0,1,0))</f>
        <v>0</v>
      </c>
      <c r="CY157" s="39" t="n">
        <f aca="false">IF(CY$4=0,0,IF(COUNTIFS(実績!$W$6:$W$505,CY$3,実績!$AI$6:$AI$505,"&lt;="&amp;$A157,実績!$AJ$6:$AJ$505,"&gt;"&amp;$A157,実績!$AL$6:$AL$505,"○")&gt;0,1,0))</f>
        <v>0</v>
      </c>
      <c r="CZ157" s="39" t="n">
        <f aca="false">IF(CZ$4=0,0,IF(COUNTIFS(実績!$W$6:$W$505,CZ$3,実績!$AI$6:$AI$505,"&lt;="&amp;$A157,実績!$AJ$6:$AJ$505,"&gt;"&amp;$A157,実績!$AL$6:$AL$505,"○")&gt;0,1,0))</f>
        <v>0</v>
      </c>
      <c r="DA157" s="39" t="n">
        <f aca="false">IF(DA$4=0,0,IF(COUNTIFS(実績!$W$6:$W$505,DA$3,実績!$AI$6:$AI$505,"&lt;="&amp;$A157,実績!$AJ$6:$AJ$505,"&gt;"&amp;$A157,実績!$AL$6:$AL$505,"○")&gt;0,1,0))</f>
        <v>0</v>
      </c>
      <c r="DB157" s="39" t="n">
        <f aca="false">IF(DB$4=0,0,IF(COUNTIFS(実績!$W$6:$W$505,DB$3,実績!$AI$6:$AI$505,"&lt;="&amp;$A157,実績!$AJ$6:$AJ$505,"&gt;"&amp;$A157,実績!$AL$6:$AL$505,"○")&gt;0,1,0))</f>
        <v>0</v>
      </c>
      <c r="DC157" s="39" t="n">
        <f aca="false">IF(DC$4=0,0,IF(COUNTIFS(実績!$W$6:$W$505,DC$3,実績!$AI$6:$AI$505,"&lt;="&amp;$A157,実績!$AJ$6:$AJ$505,"&gt;"&amp;$A157,実績!$AL$6:$AL$505,"○")&gt;0,1,0))</f>
        <v>0</v>
      </c>
      <c r="DD157" s="39" t="n">
        <f aca="false">IF(DD$4=0,0,IF(COUNTIFS(実績!$W$6:$W$505,DD$3,実績!$AI$6:$AI$505,"&lt;="&amp;$A157,実績!$AJ$6:$AJ$505,"&gt;"&amp;$A157,実績!$AL$6:$AL$505,"○")&gt;0,1,0))</f>
        <v>0</v>
      </c>
      <c r="DE157" s="39" t="n">
        <f aca="false">IF(DE$4=0,0,IF(COUNTIFS(実績!$W$6:$W$505,DE$3,実績!$AI$6:$AI$505,"&lt;="&amp;$A157,実績!$AJ$6:$AJ$505,"&gt;"&amp;$A157,実績!$AL$6:$AL$505,"○")&gt;0,1,0))</f>
        <v>0</v>
      </c>
      <c r="DF157" s="39" t="n">
        <f aca="false">IF(DF$4=0,0,IF(COUNTIFS(実績!$W$6:$W$505,DF$3,実績!$AI$6:$AI$505,"&lt;="&amp;$A157,実績!$AJ$6:$AJ$505,"&gt;"&amp;$A157,実績!$AL$6:$AL$505,"○")&gt;0,1,0))</f>
        <v>0</v>
      </c>
      <c r="DG157" s="39" t="n">
        <f aca="false">IF(DG$4=0,0,IF(COUNTIFS(実績!$W$6:$W$505,DG$3,実績!$AI$6:$AI$505,"&lt;="&amp;$A157,実績!$AJ$6:$AJ$505,"&gt;"&amp;$A157,実績!$AL$6:$AL$505,"○")&gt;0,1,0))</f>
        <v>0</v>
      </c>
      <c r="DH157" s="39" t="n">
        <f aca="false">IF(DH$4=0,0,IF(COUNTIFS(実績!$W$6:$W$505,DH$3,実績!$AI$6:$AI$505,"&lt;="&amp;$A157,実績!$AJ$6:$AJ$505,"&gt;"&amp;$A157,実績!$AL$6:$AL$505,"○")&gt;0,1,0))</f>
        <v>0</v>
      </c>
      <c r="DI157" s="39" t="n">
        <f aca="false">IF(DI$4=0,0,IF(COUNTIFS(実績!$W$6:$W$505,DI$3,実績!$AI$6:$AI$505,"&lt;="&amp;$A157,実績!$AJ$6:$AJ$505,"&gt;"&amp;$A157,実績!$AL$6:$AL$505,"○")&gt;0,1,0))</f>
        <v>0</v>
      </c>
      <c r="DJ157" s="39" t="n">
        <f aca="false">IF(DJ$4=0,0,IF(COUNTIFS(実績!$W$6:$W$505,DJ$3,実績!$AI$6:$AI$505,"&lt;="&amp;$A157,実績!$AJ$6:$AJ$505,"&gt;"&amp;$A157,実績!$AL$6:$AL$505,"○")&gt;0,1,0))</f>
        <v>0</v>
      </c>
      <c r="DK157" s="39" t="n">
        <f aca="false">IF(DK$4=0,0,IF(COUNTIFS(実績!$W$6:$W$505,DK$3,実績!$AI$6:$AI$505,"&lt;="&amp;$A157,実績!$AJ$6:$AJ$505,"&gt;"&amp;$A157,実績!$AL$6:$AL$505,"○")&gt;0,1,0))</f>
        <v>0</v>
      </c>
      <c r="DL157" s="39" t="n">
        <f aca="false">IF(DL$4=0,0,IF(COUNTIFS(実績!$W$6:$W$505,DL$3,実績!$AI$6:$AI$505,"&lt;="&amp;$A157,実績!$AJ$6:$AJ$505,"&gt;"&amp;$A157,実績!$AL$6:$AL$505,"○")&gt;0,1,0))</f>
        <v>0</v>
      </c>
      <c r="DM157" s="39" t="n">
        <f aca="false">IF(DM$4=0,0,IF(COUNTIFS(実績!$W$6:$W$505,DM$3,実績!$AI$6:$AI$505,"&lt;="&amp;$A157,実績!$AJ$6:$AJ$505,"&gt;"&amp;$A157,実績!$AL$6:$AL$505,"○")&gt;0,1,0))</f>
        <v>0</v>
      </c>
      <c r="DN157" s="39" t="n">
        <f aca="false">IF(DN$4=0,0,IF(COUNTIFS(実績!$W$6:$W$505,DN$3,実績!$AI$6:$AI$505,"&lt;="&amp;$A157,実績!$AJ$6:$AJ$505,"&gt;"&amp;$A157,実績!$AL$6:$AL$505,"○")&gt;0,1,0))</f>
        <v>0</v>
      </c>
      <c r="DO157" s="39" t="n">
        <f aca="false">IF(DO$4=0,0,IF(COUNTIFS(実績!$W$6:$W$505,DO$3,実績!$AI$6:$AI$505,"&lt;="&amp;$A157,実績!$AJ$6:$AJ$505,"&gt;"&amp;$A157,実績!$AL$6:$AL$505,"○")&gt;0,1,0))</f>
        <v>0</v>
      </c>
      <c r="DP157" s="39" t="n">
        <f aca="false">IF(DP$4=0,0,IF(COUNTIFS(実績!$W$6:$W$505,DP$3,実績!$AI$6:$AI$505,"&lt;="&amp;$A157,実績!$AJ$6:$AJ$505,"&gt;"&amp;$A157,実績!$AL$6:$AL$505,"○")&gt;0,1,0))</f>
        <v>0</v>
      </c>
      <c r="DQ157" s="39" t="n">
        <f aca="false">IF(DQ$4=0,0,IF(COUNTIFS(実績!$W$6:$W$505,DQ$3,実績!$AI$6:$AI$505,"&lt;="&amp;$A157,実績!$AJ$6:$AJ$505,"&gt;"&amp;$A157,実績!$AL$6:$AL$505,"○")&gt;0,1,0))</f>
        <v>0</v>
      </c>
      <c r="DR157" s="39" t="n">
        <f aca="false">IF(DR$4=0,0,IF(COUNTIFS(実績!$W$6:$W$505,DR$3,実績!$AI$6:$AI$505,"&lt;="&amp;$A157,実績!$AJ$6:$AJ$505,"&gt;"&amp;$A157,実績!$AL$6:$AL$505,"○")&gt;0,1,0))</f>
        <v>0</v>
      </c>
      <c r="DS157" s="39" t="n">
        <f aca="false">SUM(C157:DR157)</f>
        <v>0</v>
      </c>
    </row>
    <row r="158" customFormat="false" ht="15" hidden="false" customHeight="false" outlineLevel="0" collapsed="false">
      <c r="A158" s="0" t="n">
        <v>760</v>
      </c>
      <c r="B158" s="38" t="n">
        <f aca="false">A158/1440</f>
        <v>0.527777777777778</v>
      </c>
      <c r="C158" s="39" t="n">
        <f aca="false">IF(C$4=0,0,IF(COUNTIFS(実績!$W$6:$W$505,C$3,実績!$AI$6:$AI$505,"&lt;="&amp;$A158,実績!$AJ$6:$AJ$505,"&gt;"&amp;$A158,実績!$AL$6:$AL$505,"○")&gt;0,1,0))</f>
        <v>0</v>
      </c>
      <c r="D158" s="39" t="n">
        <f aca="false">IF(D$4=0,0,IF(COUNTIFS(実績!$W$6:$W$505,D$3,実績!$AI$6:$AI$505,"&lt;="&amp;$A158,実績!$AJ$6:$AJ$505,"&gt;"&amp;$A158,実績!$AL$6:$AL$505,"○")&gt;0,1,0))</f>
        <v>0</v>
      </c>
      <c r="E158" s="39" t="n">
        <f aca="false">IF(E$4=0,0,IF(COUNTIFS(実績!$W$6:$W$505,E$3,実績!$AI$6:$AI$505,"&lt;="&amp;$A158,実績!$AJ$6:$AJ$505,"&gt;"&amp;$A158,実績!$AL$6:$AL$505,"○")&gt;0,1,0))</f>
        <v>0</v>
      </c>
      <c r="F158" s="39" t="n">
        <f aca="false">IF(F$4=0,0,IF(COUNTIFS(実績!$W$6:$W$505,F$3,実績!$AI$6:$AI$505,"&lt;="&amp;$A158,実績!$AJ$6:$AJ$505,"&gt;"&amp;$A158,実績!$AL$6:$AL$505,"○")&gt;0,1,0))</f>
        <v>0</v>
      </c>
      <c r="G158" s="39" t="n">
        <f aca="false">IF(G$4=0,0,IF(COUNTIFS(実績!$W$6:$W$505,G$3,実績!$AI$6:$AI$505,"&lt;="&amp;$A158,実績!$AJ$6:$AJ$505,"&gt;"&amp;$A158,実績!$AL$6:$AL$505,"○")&gt;0,1,0))</f>
        <v>0</v>
      </c>
      <c r="H158" s="39" t="n">
        <f aca="false">IF(H$4=0,0,IF(COUNTIFS(実績!$W$6:$W$505,H$3,実績!$AI$6:$AI$505,"&lt;="&amp;$A158,実績!$AJ$6:$AJ$505,"&gt;"&amp;$A158,実績!$AL$6:$AL$505,"○")&gt;0,1,0))</f>
        <v>0</v>
      </c>
      <c r="I158" s="39" t="n">
        <f aca="false">IF(I$4=0,0,IF(COUNTIFS(実績!$W$6:$W$505,I$3,実績!$AI$6:$AI$505,"&lt;="&amp;$A158,実績!$AJ$6:$AJ$505,"&gt;"&amp;$A158,実績!$AL$6:$AL$505,"○")&gt;0,1,0))</f>
        <v>0</v>
      </c>
      <c r="J158" s="39" t="n">
        <f aca="false">IF(J$4=0,0,IF(COUNTIFS(実績!$W$6:$W$505,J$3,実績!$AI$6:$AI$505,"&lt;="&amp;$A158,実績!$AJ$6:$AJ$505,"&gt;"&amp;$A158,実績!$AL$6:$AL$505,"○")&gt;0,1,0))</f>
        <v>0</v>
      </c>
      <c r="K158" s="39" t="n">
        <f aca="false">IF(K$4=0,0,IF(COUNTIFS(実績!$W$6:$W$505,K$3,実績!$AI$6:$AI$505,"&lt;="&amp;$A158,実績!$AJ$6:$AJ$505,"&gt;"&amp;$A158,実績!$AL$6:$AL$505,"○")&gt;0,1,0))</f>
        <v>0</v>
      </c>
      <c r="L158" s="39" t="n">
        <f aca="false">IF(L$4=0,0,IF(COUNTIFS(実績!$W$6:$W$505,L$3,実績!$AI$6:$AI$505,"&lt;="&amp;$A158,実績!$AJ$6:$AJ$505,"&gt;"&amp;$A158,実績!$AL$6:$AL$505,"○")&gt;0,1,0))</f>
        <v>0</v>
      </c>
      <c r="M158" s="39" t="n">
        <f aca="false">IF(M$4=0,0,IF(COUNTIFS(実績!$W$6:$W$505,M$3,実績!$AI$6:$AI$505,"&lt;="&amp;$A158,実績!$AJ$6:$AJ$505,"&gt;"&amp;$A158,実績!$AL$6:$AL$505,"○")&gt;0,1,0))</f>
        <v>0</v>
      </c>
      <c r="N158" s="39" t="n">
        <f aca="false">IF(N$4=0,0,IF(COUNTIFS(実績!$W$6:$W$505,N$3,実績!$AI$6:$AI$505,"&lt;="&amp;$A158,実績!$AJ$6:$AJ$505,"&gt;"&amp;$A158,実績!$AL$6:$AL$505,"○")&gt;0,1,0))</f>
        <v>0</v>
      </c>
      <c r="O158" s="39" t="n">
        <f aca="false">IF(O$4=0,0,IF(COUNTIFS(実績!$W$6:$W$505,O$3,実績!$AI$6:$AI$505,"&lt;="&amp;$A158,実績!$AJ$6:$AJ$505,"&gt;"&amp;$A158,実績!$AL$6:$AL$505,"○")&gt;0,1,0))</f>
        <v>0</v>
      </c>
      <c r="P158" s="39" t="n">
        <f aca="false">IF(P$4=0,0,IF(COUNTIFS(実績!$W$6:$W$505,P$3,実績!$AI$6:$AI$505,"&lt;="&amp;$A158,実績!$AJ$6:$AJ$505,"&gt;"&amp;$A158,実績!$AL$6:$AL$505,"○")&gt;0,1,0))</f>
        <v>0</v>
      </c>
      <c r="Q158" s="39" t="n">
        <f aca="false">IF(Q$4=0,0,IF(COUNTIFS(実績!$W$6:$W$505,Q$3,実績!$AI$6:$AI$505,"&lt;="&amp;$A158,実績!$AJ$6:$AJ$505,"&gt;"&amp;$A158,実績!$AL$6:$AL$505,"○")&gt;0,1,0))</f>
        <v>0</v>
      </c>
      <c r="R158" s="39" t="n">
        <f aca="false">IF(R$4=0,0,IF(COUNTIFS(実績!$W$6:$W$505,R$3,実績!$AI$6:$AI$505,"&lt;="&amp;$A158,実績!$AJ$6:$AJ$505,"&gt;"&amp;$A158,実績!$AL$6:$AL$505,"○")&gt;0,1,0))</f>
        <v>0</v>
      </c>
      <c r="S158" s="39" t="n">
        <f aca="false">IF(S$4=0,0,IF(COUNTIFS(実績!$W$6:$W$505,S$3,実績!$AI$6:$AI$505,"&lt;="&amp;$A158,実績!$AJ$6:$AJ$505,"&gt;"&amp;$A158,実績!$AL$6:$AL$505,"○")&gt;0,1,0))</f>
        <v>0</v>
      </c>
      <c r="T158" s="39" t="n">
        <f aca="false">IF(T$4=0,0,IF(COUNTIFS(実績!$W$6:$W$505,T$3,実績!$AI$6:$AI$505,"&lt;="&amp;$A158,実績!$AJ$6:$AJ$505,"&gt;"&amp;$A158,実績!$AL$6:$AL$505,"○")&gt;0,1,0))</f>
        <v>0</v>
      </c>
      <c r="U158" s="39" t="n">
        <f aca="false">IF(U$4=0,0,IF(COUNTIFS(実績!$W$6:$W$505,U$3,実績!$AI$6:$AI$505,"&lt;="&amp;$A158,実績!$AJ$6:$AJ$505,"&gt;"&amp;$A158,実績!$AL$6:$AL$505,"○")&gt;0,1,0))</f>
        <v>0</v>
      </c>
      <c r="V158" s="39" t="n">
        <f aca="false">IF(V$4=0,0,IF(COUNTIFS(実績!$W$6:$W$505,V$3,実績!$AI$6:$AI$505,"&lt;="&amp;$A158,実績!$AJ$6:$AJ$505,"&gt;"&amp;$A158,実績!$AL$6:$AL$505,"○")&gt;0,1,0))</f>
        <v>0</v>
      </c>
      <c r="W158" s="39" t="n">
        <f aca="false">IF(W$4=0,0,IF(COUNTIFS(実績!$W$6:$W$505,W$3,実績!$AI$6:$AI$505,"&lt;="&amp;$A158,実績!$AJ$6:$AJ$505,"&gt;"&amp;$A158,実績!$AL$6:$AL$505,"○")&gt;0,1,0))</f>
        <v>0</v>
      </c>
      <c r="X158" s="39" t="n">
        <f aca="false">IF(X$4=0,0,IF(COUNTIFS(実績!$W$6:$W$505,X$3,実績!$AI$6:$AI$505,"&lt;="&amp;$A158,実績!$AJ$6:$AJ$505,"&gt;"&amp;$A158,実績!$AL$6:$AL$505,"○")&gt;0,1,0))</f>
        <v>0</v>
      </c>
      <c r="Y158" s="39" t="n">
        <f aca="false">IF(Y$4=0,0,IF(COUNTIFS(実績!$W$6:$W$505,Y$3,実績!$AI$6:$AI$505,"&lt;="&amp;$A158,実績!$AJ$6:$AJ$505,"&gt;"&amp;$A158,実績!$AL$6:$AL$505,"○")&gt;0,1,0))</f>
        <v>0</v>
      </c>
      <c r="Z158" s="39" t="n">
        <f aca="false">IF(Z$4=0,0,IF(COUNTIFS(実績!$W$6:$W$505,Z$3,実績!$AI$6:$AI$505,"&lt;="&amp;$A158,実績!$AJ$6:$AJ$505,"&gt;"&amp;$A158,実績!$AL$6:$AL$505,"○")&gt;0,1,0))</f>
        <v>0</v>
      </c>
      <c r="AA158" s="39" t="n">
        <f aca="false">IF(AA$4=0,0,IF(COUNTIFS(実績!$W$6:$W$505,AA$3,実績!$AI$6:$AI$505,"&lt;="&amp;$A158,実績!$AJ$6:$AJ$505,"&gt;"&amp;$A158,実績!$AL$6:$AL$505,"○")&gt;0,1,0))</f>
        <v>0</v>
      </c>
      <c r="AB158" s="39" t="n">
        <f aca="false">IF(AB$4=0,0,IF(COUNTIFS(実績!$W$6:$W$505,AB$3,実績!$AI$6:$AI$505,"&lt;="&amp;$A158,実績!$AJ$6:$AJ$505,"&gt;"&amp;$A158,実績!$AL$6:$AL$505,"○")&gt;0,1,0))</f>
        <v>0</v>
      </c>
      <c r="AC158" s="39" t="n">
        <f aca="false">IF(AC$4=0,0,IF(COUNTIFS(実績!$W$6:$W$505,AC$3,実績!$AI$6:$AI$505,"&lt;="&amp;$A158,実績!$AJ$6:$AJ$505,"&gt;"&amp;$A158,実績!$AL$6:$AL$505,"○")&gt;0,1,0))</f>
        <v>0</v>
      </c>
      <c r="AD158" s="39" t="n">
        <f aca="false">IF(AD$4=0,0,IF(COUNTIFS(実績!$W$6:$W$505,AD$3,実績!$AI$6:$AI$505,"&lt;="&amp;$A158,実績!$AJ$6:$AJ$505,"&gt;"&amp;$A158,実績!$AL$6:$AL$505,"○")&gt;0,1,0))</f>
        <v>0</v>
      </c>
      <c r="AE158" s="39" t="n">
        <f aca="false">IF(AE$4=0,0,IF(COUNTIFS(実績!$W$6:$W$505,AE$3,実績!$AI$6:$AI$505,"&lt;="&amp;$A158,実績!$AJ$6:$AJ$505,"&gt;"&amp;$A158,実績!$AL$6:$AL$505,"○")&gt;0,1,0))</f>
        <v>0</v>
      </c>
      <c r="AF158" s="39" t="n">
        <f aca="false">IF(AF$4=0,0,IF(COUNTIFS(実績!$W$6:$W$505,AF$3,実績!$AI$6:$AI$505,"&lt;="&amp;$A158,実績!$AJ$6:$AJ$505,"&gt;"&amp;$A158,実績!$AL$6:$AL$505,"○")&gt;0,1,0))</f>
        <v>0</v>
      </c>
      <c r="AG158" s="39" t="n">
        <f aca="false">IF(AG$4=0,0,IF(COUNTIFS(実績!$W$6:$W$505,AG$3,実績!$AI$6:$AI$505,"&lt;="&amp;$A158,実績!$AJ$6:$AJ$505,"&gt;"&amp;$A158,実績!$AL$6:$AL$505,"○")&gt;0,1,0))</f>
        <v>0</v>
      </c>
      <c r="AH158" s="39" t="n">
        <f aca="false">IF(AH$4=0,0,IF(COUNTIFS(実績!$W$6:$W$505,AH$3,実績!$AI$6:$AI$505,"&lt;="&amp;$A158,実績!$AJ$6:$AJ$505,"&gt;"&amp;$A158,実績!$AL$6:$AL$505,"○")&gt;0,1,0))</f>
        <v>0</v>
      </c>
      <c r="AI158" s="39" t="n">
        <f aca="false">IF(AI$4=0,0,IF(COUNTIFS(実績!$W$6:$W$505,AI$3,実績!$AI$6:$AI$505,"&lt;="&amp;$A158,実績!$AJ$6:$AJ$505,"&gt;"&amp;$A158,実績!$AL$6:$AL$505,"○")&gt;0,1,0))</f>
        <v>0</v>
      </c>
      <c r="AJ158" s="39" t="n">
        <f aca="false">IF(AJ$4=0,0,IF(COUNTIFS(実績!$W$6:$W$505,AJ$3,実績!$AI$6:$AI$505,"&lt;="&amp;$A158,実績!$AJ$6:$AJ$505,"&gt;"&amp;$A158,実績!$AL$6:$AL$505,"○")&gt;0,1,0))</f>
        <v>0</v>
      </c>
      <c r="AK158" s="39" t="n">
        <f aca="false">IF(AK$4=0,0,IF(COUNTIFS(実績!$W$6:$W$505,AK$3,実績!$AI$6:$AI$505,"&lt;="&amp;$A158,実績!$AJ$6:$AJ$505,"&gt;"&amp;$A158,実績!$AL$6:$AL$505,"○")&gt;0,1,0))</f>
        <v>0</v>
      </c>
      <c r="AL158" s="39" t="n">
        <f aca="false">IF(AL$4=0,0,IF(COUNTIFS(実績!$W$6:$W$505,AL$3,実績!$AI$6:$AI$505,"&lt;="&amp;$A158,実績!$AJ$6:$AJ$505,"&gt;"&amp;$A158,実績!$AL$6:$AL$505,"○")&gt;0,1,0))</f>
        <v>0</v>
      </c>
      <c r="AM158" s="39" t="n">
        <f aca="false">IF(AM$4=0,0,IF(COUNTIFS(実績!$W$6:$W$505,AM$3,実績!$AI$6:$AI$505,"&lt;="&amp;$A158,実績!$AJ$6:$AJ$505,"&gt;"&amp;$A158,実績!$AL$6:$AL$505,"○")&gt;0,1,0))</f>
        <v>0</v>
      </c>
      <c r="AN158" s="39" t="n">
        <f aca="false">IF(AN$4=0,0,IF(COUNTIFS(実績!$W$6:$W$505,AN$3,実績!$AI$6:$AI$505,"&lt;="&amp;$A158,実績!$AJ$6:$AJ$505,"&gt;"&amp;$A158,実績!$AL$6:$AL$505,"○")&gt;0,1,0))</f>
        <v>0</v>
      </c>
      <c r="AO158" s="39" t="n">
        <f aca="false">IF(AO$4=0,0,IF(COUNTIFS(実績!$W$6:$W$505,AO$3,実績!$AI$6:$AI$505,"&lt;="&amp;$A158,実績!$AJ$6:$AJ$505,"&gt;"&amp;$A158,実績!$AL$6:$AL$505,"○")&gt;0,1,0))</f>
        <v>0</v>
      </c>
      <c r="AP158" s="39" t="n">
        <f aca="false">IF(AP$4=0,0,IF(COUNTIFS(実績!$W$6:$W$505,AP$3,実績!$AI$6:$AI$505,"&lt;="&amp;$A158,実績!$AJ$6:$AJ$505,"&gt;"&amp;$A158,実績!$AL$6:$AL$505,"○")&gt;0,1,0))</f>
        <v>0</v>
      </c>
      <c r="AQ158" s="39" t="n">
        <f aca="false">IF(AQ$4=0,0,IF(COUNTIFS(実績!$W$6:$W$505,AQ$3,実績!$AI$6:$AI$505,"&lt;="&amp;$A158,実績!$AJ$6:$AJ$505,"&gt;"&amp;$A158,実績!$AL$6:$AL$505,"○")&gt;0,1,0))</f>
        <v>0</v>
      </c>
      <c r="AR158" s="39" t="n">
        <f aca="false">IF(AR$4=0,0,IF(COUNTIFS(実績!$W$6:$W$505,AR$3,実績!$AI$6:$AI$505,"&lt;="&amp;$A158,実績!$AJ$6:$AJ$505,"&gt;"&amp;$A158,実績!$AL$6:$AL$505,"○")&gt;0,1,0))</f>
        <v>0</v>
      </c>
      <c r="AS158" s="39" t="n">
        <f aca="false">IF(AS$4=0,0,IF(COUNTIFS(実績!$W$6:$W$505,AS$3,実績!$AI$6:$AI$505,"&lt;="&amp;$A158,実績!$AJ$6:$AJ$505,"&gt;"&amp;$A158,実績!$AL$6:$AL$505,"○")&gt;0,1,0))</f>
        <v>0</v>
      </c>
      <c r="AT158" s="39" t="n">
        <f aca="false">IF(AT$4=0,0,IF(COUNTIFS(実績!$W$6:$W$505,AT$3,実績!$AI$6:$AI$505,"&lt;="&amp;$A158,実績!$AJ$6:$AJ$505,"&gt;"&amp;$A158,実績!$AL$6:$AL$505,"○")&gt;0,1,0))</f>
        <v>0</v>
      </c>
      <c r="AU158" s="39" t="n">
        <f aca="false">IF(AU$4=0,0,IF(COUNTIFS(実績!$W$6:$W$505,AU$3,実績!$AI$6:$AI$505,"&lt;="&amp;$A158,実績!$AJ$6:$AJ$505,"&gt;"&amp;$A158,実績!$AL$6:$AL$505,"○")&gt;0,1,0))</f>
        <v>0</v>
      </c>
      <c r="AV158" s="39" t="n">
        <f aca="false">IF(AV$4=0,0,IF(COUNTIFS(実績!$W$6:$W$505,AV$3,実績!$AI$6:$AI$505,"&lt;="&amp;$A158,実績!$AJ$6:$AJ$505,"&gt;"&amp;$A158,実績!$AL$6:$AL$505,"○")&gt;0,1,0))</f>
        <v>0</v>
      </c>
      <c r="AW158" s="39" t="n">
        <f aca="false">IF(AW$4=0,0,IF(COUNTIFS(実績!$W$6:$W$505,AW$3,実績!$AI$6:$AI$505,"&lt;="&amp;$A158,実績!$AJ$6:$AJ$505,"&gt;"&amp;$A158,実績!$AL$6:$AL$505,"○")&gt;0,1,0))</f>
        <v>0</v>
      </c>
      <c r="AX158" s="39" t="n">
        <f aca="false">IF(AX$4=0,0,IF(COUNTIFS(実績!$W$6:$W$505,AX$3,実績!$AI$6:$AI$505,"&lt;="&amp;$A158,実績!$AJ$6:$AJ$505,"&gt;"&amp;$A158,実績!$AL$6:$AL$505,"○")&gt;0,1,0))</f>
        <v>0</v>
      </c>
      <c r="AY158" s="39" t="n">
        <f aca="false">IF(AY$4=0,0,IF(COUNTIFS(実績!$W$6:$W$505,AY$3,実績!$AI$6:$AI$505,"&lt;="&amp;$A158,実績!$AJ$6:$AJ$505,"&gt;"&amp;$A158,実績!$AL$6:$AL$505,"○")&gt;0,1,0))</f>
        <v>0</v>
      </c>
      <c r="AZ158" s="39" t="n">
        <f aca="false">IF(AZ$4=0,0,IF(COUNTIFS(実績!$W$6:$W$505,AZ$3,実績!$AI$6:$AI$505,"&lt;="&amp;$A158,実績!$AJ$6:$AJ$505,"&gt;"&amp;$A158,実績!$AL$6:$AL$505,"○")&gt;0,1,0))</f>
        <v>0</v>
      </c>
      <c r="BA158" s="39" t="n">
        <f aca="false">IF(BA$4=0,0,IF(COUNTIFS(実績!$W$6:$W$505,BA$3,実績!$AI$6:$AI$505,"&lt;="&amp;$A158,実績!$AJ$6:$AJ$505,"&gt;"&amp;$A158,実績!$AL$6:$AL$505,"○")&gt;0,1,0))</f>
        <v>0</v>
      </c>
      <c r="BB158" s="39" t="n">
        <f aca="false">IF(BB$4=0,0,IF(COUNTIFS(実績!$W$6:$W$505,BB$3,実績!$AI$6:$AI$505,"&lt;="&amp;$A158,実績!$AJ$6:$AJ$505,"&gt;"&amp;$A158,実績!$AL$6:$AL$505,"○")&gt;0,1,0))</f>
        <v>0</v>
      </c>
      <c r="BC158" s="39" t="n">
        <f aca="false">IF(BC$4=0,0,IF(COUNTIFS(実績!$W$6:$W$505,BC$3,実績!$AI$6:$AI$505,"&lt;="&amp;$A158,実績!$AJ$6:$AJ$505,"&gt;"&amp;$A158,実績!$AL$6:$AL$505,"○")&gt;0,1,0))</f>
        <v>0</v>
      </c>
      <c r="BD158" s="39" t="n">
        <f aca="false">IF(BD$4=0,0,IF(COUNTIFS(実績!$W$6:$W$505,BD$3,実績!$AI$6:$AI$505,"&lt;="&amp;$A158,実績!$AJ$6:$AJ$505,"&gt;"&amp;$A158,実績!$AL$6:$AL$505,"○")&gt;0,1,0))</f>
        <v>0</v>
      </c>
      <c r="BE158" s="39" t="n">
        <f aca="false">IF(BE$4=0,0,IF(COUNTIFS(実績!$W$6:$W$505,BE$3,実績!$AI$6:$AI$505,"&lt;="&amp;$A158,実績!$AJ$6:$AJ$505,"&gt;"&amp;$A158,実績!$AL$6:$AL$505,"○")&gt;0,1,0))</f>
        <v>0</v>
      </c>
      <c r="BF158" s="39" t="n">
        <f aca="false">IF(BF$4=0,0,IF(COUNTIFS(実績!$W$6:$W$505,BF$3,実績!$AI$6:$AI$505,"&lt;="&amp;$A158,実績!$AJ$6:$AJ$505,"&gt;"&amp;$A158,実績!$AL$6:$AL$505,"○")&gt;0,1,0))</f>
        <v>0</v>
      </c>
      <c r="BG158" s="39" t="n">
        <f aca="false">IF(BG$4=0,0,IF(COUNTIFS(実績!$W$6:$W$505,BG$3,実績!$AI$6:$AI$505,"&lt;="&amp;$A158,実績!$AJ$6:$AJ$505,"&gt;"&amp;$A158,実績!$AL$6:$AL$505,"○")&gt;0,1,0))</f>
        <v>0</v>
      </c>
      <c r="BH158" s="39" t="n">
        <f aca="false">IF(BH$4=0,0,IF(COUNTIFS(実績!$W$6:$W$505,BH$3,実績!$AI$6:$AI$505,"&lt;="&amp;$A158,実績!$AJ$6:$AJ$505,"&gt;"&amp;$A158,実績!$AL$6:$AL$505,"○")&gt;0,1,0))</f>
        <v>0</v>
      </c>
      <c r="BI158" s="39" t="n">
        <f aca="false">IF(BI$4=0,0,IF(COUNTIFS(実績!$W$6:$W$505,BI$3,実績!$AI$6:$AI$505,"&lt;="&amp;$A158,実績!$AJ$6:$AJ$505,"&gt;"&amp;$A158,実績!$AL$6:$AL$505,"○")&gt;0,1,0))</f>
        <v>0</v>
      </c>
      <c r="BJ158" s="39" t="n">
        <f aca="false">IF(BJ$4=0,0,IF(COUNTIFS(実績!$W$6:$W$505,BJ$3,実績!$AI$6:$AI$505,"&lt;="&amp;$A158,実績!$AJ$6:$AJ$505,"&gt;"&amp;$A158,実績!$AL$6:$AL$505,"○")&gt;0,1,0))</f>
        <v>0</v>
      </c>
      <c r="BK158" s="39" t="n">
        <f aca="false">IF(BK$4=0,0,IF(COUNTIFS(実績!$W$6:$W$505,BK$3,実績!$AI$6:$AI$505,"&lt;="&amp;$A158,実績!$AJ$6:$AJ$505,"&gt;"&amp;$A158,実績!$AL$6:$AL$505,"○")&gt;0,1,0))</f>
        <v>0</v>
      </c>
      <c r="BL158" s="39" t="n">
        <f aca="false">IF(BL$4=0,0,IF(COUNTIFS(実績!$W$6:$W$505,BL$3,実績!$AI$6:$AI$505,"&lt;="&amp;$A158,実績!$AJ$6:$AJ$505,"&gt;"&amp;$A158,実績!$AL$6:$AL$505,"○")&gt;0,1,0))</f>
        <v>0</v>
      </c>
      <c r="BM158" s="39" t="n">
        <f aca="false">IF(BM$4=0,0,IF(COUNTIFS(実績!$W$6:$W$505,BM$3,実績!$AI$6:$AI$505,"&lt;="&amp;$A158,実績!$AJ$6:$AJ$505,"&gt;"&amp;$A158,実績!$AL$6:$AL$505,"○")&gt;0,1,0))</f>
        <v>0</v>
      </c>
      <c r="BN158" s="39" t="n">
        <f aca="false">IF(BN$4=0,0,IF(COUNTIFS(実績!$W$6:$W$505,BN$3,実績!$AI$6:$AI$505,"&lt;="&amp;$A158,実績!$AJ$6:$AJ$505,"&gt;"&amp;$A158,実績!$AL$6:$AL$505,"○")&gt;0,1,0))</f>
        <v>0</v>
      </c>
      <c r="BO158" s="39" t="n">
        <f aca="false">IF(BO$4=0,0,IF(COUNTIFS(実績!$W$6:$W$505,BO$3,実績!$AI$6:$AI$505,"&lt;="&amp;$A158,実績!$AJ$6:$AJ$505,"&gt;"&amp;$A158,実績!$AL$6:$AL$505,"○")&gt;0,1,0))</f>
        <v>0</v>
      </c>
      <c r="BP158" s="39" t="n">
        <f aca="false">IF(BP$4=0,0,IF(COUNTIFS(実績!$W$6:$W$505,BP$3,実績!$AI$6:$AI$505,"&lt;="&amp;$A158,実績!$AJ$6:$AJ$505,"&gt;"&amp;$A158,実績!$AL$6:$AL$505,"○")&gt;0,1,0))</f>
        <v>0</v>
      </c>
      <c r="BQ158" s="39" t="n">
        <f aca="false">IF(BQ$4=0,0,IF(COUNTIFS(実績!$W$6:$W$505,BQ$3,実績!$AI$6:$AI$505,"&lt;="&amp;$A158,実績!$AJ$6:$AJ$505,"&gt;"&amp;$A158,実績!$AL$6:$AL$505,"○")&gt;0,1,0))</f>
        <v>0</v>
      </c>
      <c r="BR158" s="39" t="n">
        <f aca="false">IF(BR$4=0,0,IF(COUNTIFS(実績!$W$6:$W$505,BR$3,実績!$AI$6:$AI$505,"&lt;="&amp;$A158,実績!$AJ$6:$AJ$505,"&gt;"&amp;$A158,実績!$AL$6:$AL$505,"○")&gt;0,1,0))</f>
        <v>0</v>
      </c>
      <c r="BS158" s="39" t="n">
        <f aca="false">IF(BS$4=0,0,IF(COUNTIFS(実績!$W$6:$W$505,BS$3,実績!$AI$6:$AI$505,"&lt;="&amp;$A158,実績!$AJ$6:$AJ$505,"&gt;"&amp;$A158,実績!$AL$6:$AL$505,"○")&gt;0,1,0))</f>
        <v>0</v>
      </c>
      <c r="BT158" s="39" t="n">
        <f aca="false">IF(BT$4=0,0,IF(COUNTIFS(実績!$W$6:$W$505,BT$3,実績!$AI$6:$AI$505,"&lt;="&amp;$A158,実績!$AJ$6:$AJ$505,"&gt;"&amp;$A158,実績!$AL$6:$AL$505,"○")&gt;0,1,0))</f>
        <v>0</v>
      </c>
      <c r="BU158" s="39" t="n">
        <f aca="false">IF(BU$4=0,0,IF(COUNTIFS(実績!$W$6:$W$505,BU$3,実績!$AI$6:$AI$505,"&lt;="&amp;$A158,実績!$AJ$6:$AJ$505,"&gt;"&amp;$A158,実績!$AL$6:$AL$505,"○")&gt;0,1,0))</f>
        <v>0</v>
      </c>
      <c r="BV158" s="39" t="n">
        <f aca="false">IF(BV$4=0,0,IF(COUNTIFS(実績!$W$6:$W$505,BV$3,実績!$AI$6:$AI$505,"&lt;="&amp;$A158,実績!$AJ$6:$AJ$505,"&gt;"&amp;$A158,実績!$AL$6:$AL$505,"○")&gt;0,1,0))</f>
        <v>0</v>
      </c>
      <c r="BW158" s="39" t="n">
        <f aca="false">IF(BW$4=0,0,IF(COUNTIFS(実績!$W$6:$W$505,BW$3,実績!$AI$6:$AI$505,"&lt;="&amp;$A158,実績!$AJ$6:$AJ$505,"&gt;"&amp;$A158,実績!$AL$6:$AL$505,"○")&gt;0,1,0))</f>
        <v>0</v>
      </c>
      <c r="BX158" s="39" t="n">
        <f aca="false">IF(BX$4=0,0,IF(COUNTIFS(実績!$W$6:$W$505,BX$3,実績!$AI$6:$AI$505,"&lt;="&amp;$A158,実績!$AJ$6:$AJ$505,"&gt;"&amp;$A158,実績!$AL$6:$AL$505,"○")&gt;0,1,0))</f>
        <v>0</v>
      </c>
      <c r="BY158" s="39" t="n">
        <f aca="false">IF(BY$4=0,0,IF(COUNTIFS(実績!$W$6:$W$505,BY$3,実績!$AI$6:$AI$505,"&lt;="&amp;$A158,実績!$AJ$6:$AJ$505,"&gt;"&amp;$A158,実績!$AL$6:$AL$505,"○")&gt;0,1,0))</f>
        <v>0</v>
      </c>
      <c r="BZ158" s="39" t="n">
        <f aca="false">IF(BZ$4=0,0,IF(COUNTIFS(実績!$W$6:$W$505,BZ$3,実績!$AI$6:$AI$505,"&lt;="&amp;$A158,実績!$AJ$6:$AJ$505,"&gt;"&amp;$A158,実績!$AL$6:$AL$505,"○")&gt;0,1,0))</f>
        <v>0</v>
      </c>
      <c r="CA158" s="39" t="n">
        <f aca="false">IF(CA$4=0,0,IF(COUNTIFS(実績!$W$6:$W$505,CA$3,実績!$AI$6:$AI$505,"&lt;="&amp;$A158,実績!$AJ$6:$AJ$505,"&gt;"&amp;$A158,実績!$AL$6:$AL$505,"○")&gt;0,1,0))</f>
        <v>0</v>
      </c>
      <c r="CB158" s="39" t="n">
        <f aca="false">IF(CB$4=0,0,IF(COUNTIFS(実績!$W$6:$W$505,CB$3,実績!$AI$6:$AI$505,"&lt;="&amp;$A158,実績!$AJ$6:$AJ$505,"&gt;"&amp;$A158,実績!$AL$6:$AL$505,"○")&gt;0,1,0))</f>
        <v>0</v>
      </c>
      <c r="CC158" s="39" t="n">
        <f aca="false">IF(CC$4=0,0,IF(COUNTIFS(実績!$W$6:$W$505,CC$3,実績!$AI$6:$AI$505,"&lt;="&amp;$A158,実績!$AJ$6:$AJ$505,"&gt;"&amp;$A158,実績!$AL$6:$AL$505,"○")&gt;0,1,0))</f>
        <v>0</v>
      </c>
      <c r="CD158" s="39" t="n">
        <f aca="false">IF(CD$4=0,0,IF(COUNTIFS(実績!$W$6:$W$505,CD$3,実績!$AI$6:$AI$505,"&lt;="&amp;$A158,実績!$AJ$6:$AJ$505,"&gt;"&amp;$A158,実績!$AL$6:$AL$505,"○")&gt;0,1,0))</f>
        <v>0</v>
      </c>
      <c r="CE158" s="39" t="n">
        <f aca="false">IF(CE$4=0,0,IF(COUNTIFS(実績!$W$6:$W$505,CE$3,実績!$AI$6:$AI$505,"&lt;="&amp;$A158,実績!$AJ$6:$AJ$505,"&gt;"&amp;$A158,実績!$AL$6:$AL$505,"○")&gt;0,1,0))</f>
        <v>0</v>
      </c>
      <c r="CF158" s="39" t="n">
        <f aca="false">IF(CF$4=0,0,IF(COUNTIFS(実績!$W$6:$W$505,CF$3,実績!$AI$6:$AI$505,"&lt;="&amp;$A158,実績!$AJ$6:$AJ$505,"&gt;"&amp;$A158,実績!$AL$6:$AL$505,"○")&gt;0,1,0))</f>
        <v>0</v>
      </c>
      <c r="CG158" s="39" t="n">
        <f aca="false">IF(CG$4=0,0,IF(COUNTIFS(実績!$W$6:$W$505,CG$3,実績!$AI$6:$AI$505,"&lt;="&amp;$A158,実績!$AJ$6:$AJ$505,"&gt;"&amp;$A158,実績!$AL$6:$AL$505,"○")&gt;0,1,0))</f>
        <v>0</v>
      </c>
      <c r="CH158" s="39" t="n">
        <f aca="false">IF(CH$4=0,0,IF(COUNTIFS(実績!$W$6:$W$505,CH$3,実績!$AI$6:$AI$505,"&lt;="&amp;$A158,実績!$AJ$6:$AJ$505,"&gt;"&amp;$A158,実績!$AL$6:$AL$505,"○")&gt;0,1,0))</f>
        <v>0</v>
      </c>
      <c r="CI158" s="39" t="n">
        <f aca="false">IF(CI$4=0,0,IF(COUNTIFS(実績!$W$6:$W$505,CI$3,実績!$AI$6:$AI$505,"&lt;="&amp;$A158,実績!$AJ$6:$AJ$505,"&gt;"&amp;$A158,実績!$AL$6:$AL$505,"○")&gt;0,1,0))</f>
        <v>0</v>
      </c>
      <c r="CJ158" s="39" t="n">
        <f aca="false">IF(CJ$4=0,0,IF(COUNTIFS(実績!$W$6:$W$505,CJ$3,実績!$AI$6:$AI$505,"&lt;="&amp;$A158,実績!$AJ$6:$AJ$505,"&gt;"&amp;$A158,実績!$AL$6:$AL$505,"○")&gt;0,1,0))</f>
        <v>0</v>
      </c>
      <c r="CK158" s="39" t="n">
        <f aca="false">IF(CK$4=0,0,IF(COUNTIFS(実績!$W$6:$W$505,CK$3,実績!$AI$6:$AI$505,"&lt;="&amp;$A158,実績!$AJ$6:$AJ$505,"&gt;"&amp;$A158,実績!$AL$6:$AL$505,"○")&gt;0,1,0))</f>
        <v>0</v>
      </c>
      <c r="CL158" s="39" t="n">
        <f aca="false">IF(CL$4=0,0,IF(COUNTIFS(実績!$W$6:$W$505,CL$3,実績!$AI$6:$AI$505,"&lt;="&amp;$A158,実績!$AJ$6:$AJ$505,"&gt;"&amp;$A158,実績!$AL$6:$AL$505,"○")&gt;0,1,0))</f>
        <v>0</v>
      </c>
      <c r="CM158" s="39" t="n">
        <f aca="false">IF(CM$4=0,0,IF(COUNTIFS(実績!$W$6:$W$505,CM$3,実績!$AI$6:$AI$505,"&lt;="&amp;$A158,実績!$AJ$6:$AJ$505,"&gt;"&amp;$A158,実績!$AL$6:$AL$505,"○")&gt;0,1,0))</f>
        <v>0</v>
      </c>
      <c r="CN158" s="39" t="n">
        <f aca="false">IF(CN$4=0,0,IF(COUNTIFS(実績!$W$6:$W$505,CN$3,実績!$AI$6:$AI$505,"&lt;="&amp;$A158,実績!$AJ$6:$AJ$505,"&gt;"&amp;$A158,実績!$AL$6:$AL$505,"○")&gt;0,1,0))</f>
        <v>0</v>
      </c>
      <c r="CO158" s="39" t="n">
        <f aca="false">IF(CO$4=0,0,IF(COUNTIFS(実績!$W$6:$W$505,CO$3,実績!$AI$6:$AI$505,"&lt;="&amp;$A158,実績!$AJ$6:$AJ$505,"&gt;"&amp;$A158,実績!$AL$6:$AL$505,"○")&gt;0,1,0))</f>
        <v>0</v>
      </c>
      <c r="CP158" s="39" t="n">
        <f aca="false">IF(CP$4=0,0,IF(COUNTIFS(実績!$W$6:$W$505,CP$3,実績!$AI$6:$AI$505,"&lt;="&amp;$A158,実績!$AJ$6:$AJ$505,"&gt;"&amp;$A158,実績!$AL$6:$AL$505,"○")&gt;0,1,0))</f>
        <v>0</v>
      </c>
      <c r="CQ158" s="39" t="n">
        <f aca="false">IF(CQ$4=0,0,IF(COUNTIFS(実績!$W$6:$W$505,CQ$3,実績!$AI$6:$AI$505,"&lt;="&amp;$A158,実績!$AJ$6:$AJ$505,"&gt;"&amp;$A158,実績!$AL$6:$AL$505,"○")&gt;0,1,0))</f>
        <v>0</v>
      </c>
      <c r="CR158" s="39" t="n">
        <f aca="false">IF(CR$4=0,0,IF(COUNTIFS(実績!$W$6:$W$505,CR$3,実績!$AI$6:$AI$505,"&lt;="&amp;$A158,実績!$AJ$6:$AJ$505,"&gt;"&amp;$A158,実績!$AL$6:$AL$505,"○")&gt;0,1,0))</f>
        <v>0</v>
      </c>
      <c r="CS158" s="39" t="n">
        <f aca="false">IF(CS$4=0,0,IF(COUNTIFS(実績!$W$6:$W$505,CS$3,実績!$AI$6:$AI$505,"&lt;="&amp;$A158,実績!$AJ$6:$AJ$505,"&gt;"&amp;$A158,実績!$AL$6:$AL$505,"○")&gt;0,1,0))</f>
        <v>0</v>
      </c>
      <c r="CT158" s="39" t="n">
        <f aca="false">IF(CT$4=0,0,IF(COUNTIFS(実績!$W$6:$W$505,CT$3,実績!$AI$6:$AI$505,"&lt;="&amp;$A158,実績!$AJ$6:$AJ$505,"&gt;"&amp;$A158,実績!$AL$6:$AL$505,"○")&gt;0,1,0))</f>
        <v>0</v>
      </c>
      <c r="CU158" s="39" t="n">
        <f aca="false">IF(CU$4=0,0,IF(COUNTIFS(実績!$W$6:$W$505,CU$3,実績!$AI$6:$AI$505,"&lt;="&amp;$A158,実績!$AJ$6:$AJ$505,"&gt;"&amp;$A158,実績!$AL$6:$AL$505,"○")&gt;0,1,0))</f>
        <v>0</v>
      </c>
      <c r="CV158" s="39" t="n">
        <f aca="false">IF(CV$4=0,0,IF(COUNTIFS(実績!$W$6:$W$505,CV$3,実績!$AI$6:$AI$505,"&lt;="&amp;$A158,実績!$AJ$6:$AJ$505,"&gt;"&amp;$A158,実績!$AL$6:$AL$505,"○")&gt;0,1,0))</f>
        <v>0</v>
      </c>
      <c r="CW158" s="39" t="n">
        <f aca="false">IF(CW$4=0,0,IF(COUNTIFS(実績!$W$6:$W$505,CW$3,実績!$AI$6:$AI$505,"&lt;="&amp;$A158,実績!$AJ$6:$AJ$505,"&gt;"&amp;$A158,実績!$AL$6:$AL$505,"○")&gt;0,1,0))</f>
        <v>0</v>
      </c>
      <c r="CX158" s="39" t="n">
        <f aca="false">IF(CX$4=0,0,IF(COUNTIFS(実績!$W$6:$W$505,CX$3,実績!$AI$6:$AI$505,"&lt;="&amp;$A158,実績!$AJ$6:$AJ$505,"&gt;"&amp;$A158,実績!$AL$6:$AL$505,"○")&gt;0,1,0))</f>
        <v>0</v>
      </c>
      <c r="CY158" s="39" t="n">
        <f aca="false">IF(CY$4=0,0,IF(COUNTIFS(実績!$W$6:$W$505,CY$3,実績!$AI$6:$AI$505,"&lt;="&amp;$A158,実績!$AJ$6:$AJ$505,"&gt;"&amp;$A158,実績!$AL$6:$AL$505,"○")&gt;0,1,0))</f>
        <v>0</v>
      </c>
      <c r="CZ158" s="39" t="n">
        <f aca="false">IF(CZ$4=0,0,IF(COUNTIFS(実績!$W$6:$W$505,CZ$3,実績!$AI$6:$AI$505,"&lt;="&amp;$A158,実績!$AJ$6:$AJ$505,"&gt;"&amp;$A158,実績!$AL$6:$AL$505,"○")&gt;0,1,0))</f>
        <v>0</v>
      </c>
      <c r="DA158" s="39" t="n">
        <f aca="false">IF(DA$4=0,0,IF(COUNTIFS(実績!$W$6:$W$505,DA$3,実績!$AI$6:$AI$505,"&lt;="&amp;$A158,実績!$AJ$6:$AJ$505,"&gt;"&amp;$A158,実績!$AL$6:$AL$505,"○")&gt;0,1,0))</f>
        <v>0</v>
      </c>
      <c r="DB158" s="39" t="n">
        <f aca="false">IF(DB$4=0,0,IF(COUNTIFS(実績!$W$6:$W$505,DB$3,実績!$AI$6:$AI$505,"&lt;="&amp;$A158,実績!$AJ$6:$AJ$505,"&gt;"&amp;$A158,実績!$AL$6:$AL$505,"○")&gt;0,1,0))</f>
        <v>0</v>
      </c>
      <c r="DC158" s="39" t="n">
        <f aca="false">IF(DC$4=0,0,IF(COUNTIFS(実績!$W$6:$W$505,DC$3,実績!$AI$6:$AI$505,"&lt;="&amp;$A158,実績!$AJ$6:$AJ$505,"&gt;"&amp;$A158,実績!$AL$6:$AL$505,"○")&gt;0,1,0))</f>
        <v>0</v>
      </c>
      <c r="DD158" s="39" t="n">
        <f aca="false">IF(DD$4=0,0,IF(COUNTIFS(実績!$W$6:$W$505,DD$3,実績!$AI$6:$AI$505,"&lt;="&amp;$A158,実績!$AJ$6:$AJ$505,"&gt;"&amp;$A158,実績!$AL$6:$AL$505,"○")&gt;0,1,0))</f>
        <v>0</v>
      </c>
      <c r="DE158" s="39" t="n">
        <f aca="false">IF(DE$4=0,0,IF(COUNTIFS(実績!$W$6:$W$505,DE$3,実績!$AI$6:$AI$505,"&lt;="&amp;$A158,実績!$AJ$6:$AJ$505,"&gt;"&amp;$A158,実績!$AL$6:$AL$505,"○")&gt;0,1,0))</f>
        <v>0</v>
      </c>
      <c r="DF158" s="39" t="n">
        <f aca="false">IF(DF$4=0,0,IF(COUNTIFS(実績!$W$6:$W$505,DF$3,実績!$AI$6:$AI$505,"&lt;="&amp;$A158,実績!$AJ$6:$AJ$505,"&gt;"&amp;$A158,実績!$AL$6:$AL$505,"○")&gt;0,1,0))</f>
        <v>0</v>
      </c>
      <c r="DG158" s="39" t="n">
        <f aca="false">IF(DG$4=0,0,IF(COUNTIFS(実績!$W$6:$W$505,DG$3,実績!$AI$6:$AI$505,"&lt;="&amp;$A158,実績!$AJ$6:$AJ$505,"&gt;"&amp;$A158,実績!$AL$6:$AL$505,"○")&gt;0,1,0))</f>
        <v>0</v>
      </c>
      <c r="DH158" s="39" t="n">
        <f aca="false">IF(DH$4=0,0,IF(COUNTIFS(実績!$W$6:$W$505,DH$3,実績!$AI$6:$AI$505,"&lt;="&amp;$A158,実績!$AJ$6:$AJ$505,"&gt;"&amp;$A158,実績!$AL$6:$AL$505,"○")&gt;0,1,0))</f>
        <v>0</v>
      </c>
      <c r="DI158" s="39" t="n">
        <f aca="false">IF(DI$4=0,0,IF(COUNTIFS(実績!$W$6:$W$505,DI$3,実績!$AI$6:$AI$505,"&lt;="&amp;$A158,実績!$AJ$6:$AJ$505,"&gt;"&amp;$A158,実績!$AL$6:$AL$505,"○")&gt;0,1,0))</f>
        <v>0</v>
      </c>
      <c r="DJ158" s="39" t="n">
        <f aca="false">IF(DJ$4=0,0,IF(COUNTIFS(実績!$W$6:$W$505,DJ$3,実績!$AI$6:$AI$505,"&lt;="&amp;$A158,実績!$AJ$6:$AJ$505,"&gt;"&amp;$A158,実績!$AL$6:$AL$505,"○")&gt;0,1,0))</f>
        <v>0</v>
      </c>
      <c r="DK158" s="39" t="n">
        <f aca="false">IF(DK$4=0,0,IF(COUNTIFS(実績!$W$6:$W$505,DK$3,実績!$AI$6:$AI$505,"&lt;="&amp;$A158,実績!$AJ$6:$AJ$505,"&gt;"&amp;$A158,実績!$AL$6:$AL$505,"○")&gt;0,1,0))</f>
        <v>0</v>
      </c>
      <c r="DL158" s="39" t="n">
        <f aca="false">IF(DL$4=0,0,IF(COUNTIFS(実績!$W$6:$W$505,DL$3,実績!$AI$6:$AI$505,"&lt;="&amp;$A158,実績!$AJ$6:$AJ$505,"&gt;"&amp;$A158,実績!$AL$6:$AL$505,"○")&gt;0,1,0))</f>
        <v>0</v>
      </c>
      <c r="DM158" s="39" t="n">
        <f aca="false">IF(DM$4=0,0,IF(COUNTIFS(実績!$W$6:$W$505,DM$3,実績!$AI$6:$AI$505,"&lt;="&amp;$A158,実績!$AJ$6:$AJ$505,"&gt;"&amp;$A158,実績!$AL$6:$AL$505,"○")&gt;0,1,0))</f>
        <v>0</v>
      </c>
      <c r="DN158" s="39" t="n">
        <f aca="false">IF(DN$4=0,0,IF(COUNTIFS(実績!$W$6:$W$505,DN$3,実績!$AI$6:$AI$505,"&lt;="&amp;$A158,実績!$AJ$6:$AJ$505,"&gt;"&amp;$A158,実績!$AL$6:$AL$505,"○")&gt;0,1,0))</f>
        <v>0</v>
      </c>
      <c r="DO158" s="39" t="n">
        <f aca="false">IF(DO$4=0,0,IF(COUNTIFS(実績!$W$6:$W$505,DO$3,実績!$AI$6:$AI$505,"&lt;="&amp;$A158,実績!$AJ$6:$AJ$505,"&gt;"&amp;$A158,実績!$AL$6:$AL$505,"○")&gt;0,1,0))</f>
        <v>0</v>
      </c>
      <c r="DP158" s="39" t="n">
        <f aca="false">IF(DP$4=0,0,IF(COUNTIFS(実績!$W$6:$W$505,DP$3,実績!$AI$6:$AI$505,"&lt;="&amp;$A158,実績!$AJ$6:$AJ$505,"&gt;"&amp;$A158,実績!$AL$6:$AL$505,"○")&gt;0,1,0))</f>
        <v>0</v>
      </c>
      <c r="DQ158" s="39" t="n">
        <f aca="false">IF(DQ$4=0,0,IF(COUNTIFS(実績!$W$6:$W$505,DQ$3,実績!$AI$6:$AI$505,"&lt;="&amp;$A158,実績!$AJ$6:$AJ$505,"&gt;"&amp;$A158,実績!$AL$6:$AL$505,"○")&gt;0,1,0))</f>
        <v>0</v>
      </c>
      <c r="DR158" s="39" t="n">
        <f aca="false">IF(DR$4=0,0,IF(COUNTIFS(実績!$W$6:$W$505,DR$3,実績!$AI$6:$AI$505,"&lt;="&amp;$A158,実績!$AJ$6:$AJ$505,"&gt;"&amp;$A158,実績!$AL$6:$AL$505,"○")&gt;0,1,0))</f>
        <v>0</v>
      </c>
      <c r="DS158" s="39" t="n">
        <f aca="false">SUM(C158:DR158)</f>
        <v>0</v>
      </c>
    </row>
    <row r="159" customFormat="false" ht="15" hidden="false" customHeight="false" outlineLevel="0" collapsed="false">
      <c r="A159" s="0" t="n">
        <v>765</v>
      </c>
      <c r="B159" s="38" t="n">
        <f aca="false">A159/1440</f>
        <v>0.53125</v>
      </c>
      <c r="C159" s="39" t="n">
        <f aca="false">IF(C$4=0,0,IF(COUNTIFS(実績!$W$6:$W$505,C$3,実績!$AI$6:$AI$505,"&lt;="&amp;$A159,実績!$AJ$6:$AJ$505,"&gt;"&amp;$A159,実績!$AL$6:$AL$505,"○")&gt;0,1,0))</f>
        <v>0</v>
      </c>
      <c r="D159" s="39" t="n">
        <f aca="false">IF(D$4=0,0,IF(COUNTIFS(実績!$W$6:$W$505,D$3,実績!$AI$6:$AI$505,"&lt;="&amp;$A159,実績!$AJ$6:$AJ$505,"&gt;"&amp;$A159,実績!$AL$6:$AL$505,"○")&gt;0,1,0))</f>
        <v>0</v>
      </c>
      <c r="E159" s="39" t="n">
        <f aca="false">IF(E$4=0,0,IF(COUNTIFS(実績!$W$6:$W$505,E$3,実績!$AI$6:$AI$505,"&lt;="&amp;$A159,実績!$AJ$6:$AJ$505,"&gt;"&amp;$A159,実績!$AL$6:$AL$505,"○")&gt;0,1,0))</f>
        <v>0</v>
      </c>
      <c r="F159" s="39" t="n">
        <f aca="false">IF(F$4=0,0,IF(COUNTIFS(実績!$W$6:$W$505,F$3,実績!$AI$6:$AI$505,"&lt;="&amp;$A159,実績!$AJ$6:$AJ$505,"&gt;"&amp;$A159,実績!$AL$6:$AL$505,"○")&gt;0,1,0))</f>
        <v>0</v>
      </c>
      <c r="G159" s="39" t="n">
        <f aca="false">IF(G$4=0,0,IF(COUNTIFS(実績!$W$6:$W$505,G$3,実績!$AI$6:$AI$505,"&lt;="&amp;$A159,実績!$AJ$6:$AJ$505,"&gt;"&amp;$A159,実績!$AL$6:$AL$505,"○")&gt;0,1,0))</f>
        <v>0</v>
      </c>
      <c r="H159" s="39" t="n">
        <f aca="false">IF(H$4=0,0,IF(COUNTIFS(実績!$W$6:$W$505,H$3,実績!$AI$6:$AI$505,"&lt;="&amp;$A159,実績!$AJ$6:$AJ$505,"&gt;"&amp;$A159,実績!$AL$6:$AL$505,"○")&gt;0,1,0))</f>
        <v>0</v>
      </c>
      <c r="I159" s="39" t="n">
        <f aca="false">IF(I$4=0,0,IF(COUNTIFS(実績!$W$6:$W$505,I$3,実績!$AI$6:$AI$505,"&lt;="&amp;$A159,実績!$AJ$6:$AJ$505,"&gt;"&amp;$A159,実績!$AL$6:$AL$505,"○")&gt;0,1,0))</f>
        <v>0</v>
      </c>
      <c r="J159" s="39" t="n">
        <f aca="false">IF(J$4=0,0,IF(COUNTIFS(実績!$W$6:$W$505,J$3,実績!$AI$6:$AI$505,"&lt;="&amp;$A159,実績!$AJ$6:$AJ$505,"&gt;"&amp;$A159,実績!$AL$6:$AL$505,"○")&gt;0,1,0))</f>
        <v>0</v>
      </c>
      <c r="K159" s="39" t="n">
        <f aca="false">IF(K$4=0,0,IF(COUNTIFS(実績!$W$6:$W$505,K$3,実績!$AI$6:$AI$505,"&lt;="&amp;$A159,実績!$AJ$6:$AJ$505,"&gt;"&amp;$A159,実績!$AL$6:$AL$505,"○")&gt;0,1,0))</f>
        <v>0</v>
      </c>
      <c r="L159" s="39" t="n">
        <f aca="false">IF(L$4=0,0,IF(COUNTIFS(実績!$W$6:$W$505,L$3,実績!$AI$6:$AI$505,"&lt;="&amp;$A159,実績!$AJ$6:$AJ$505,"&gt;"&amp;$A159,実績!$AL$6:$AL$505,"○")&gt;0,1,0))</f>
        <v>0</v>
      </c>
      <c r="M159" s="39" t="n">
        <f aca="false">IF(M$4=0,0,IF(COUNTIFS(実績!$W$6:$W$505,M$3,実績!$AI$6:$AI$505,"&lt;="&amp;$A159,実績!$AJ$6:$AJ$505,"&gt;"&amp;$A159,実績!$AL$6:$AL$505,"○")&gt;0,1,0))</f>
        <v>0</v>
      </c>
      <c r="N159" s="39" t="n">
        <f aca="false">IF(N$4=0,0,IF(COUNTIFS(実績!$W$6:$W$505,N$3,実績!$AI$6:$AI$505,"&lt;="&amp;$A159,実績!$AJ$6:$AJ$505,"&gt;"&amp;$A159,実績!$AL$6:$AL$505,"○")&gt;0,1,0))</f>
        <v>0</v>
      </c>
      <c r="O159" s="39" t="n">
        <f aca="false">IF(O$4=0,0,IF(COUNTIFS(実績!$W$6:$W$505,O$3,実績!$AI$6:$AI$505,"&lt;="&amp;$A159,実績!$AJ$6:$AJ$505,"&gt;"&amp;$A159,実績!$AL$6:$AL$505,"○")&gt;0,1,0))</f>
        <v>0</v>
      </c>
      <c r="P159" s="39" t="n">
        <f aca="false">IF(P$4=0,0,IF(COUNTIFS(実績!$W$6:$W$505,P$3,実績!$AI$6:$AI$505,"&lt;="&amp;$A159,実績!$AJ$6:$AJ$505,"&gt;"&amp;$A159,実績!$AL$6:$AL$505,"○")&gt;0,1,0))</f>
        <v>0</v>
      </c>
      <c r="Q159" s="39" t="n">
        <f aca="false">IF(Q$4=0,0,IF(COUNTIFS(実績!$W$6:$W$505,Q$3,実績!$AI$6:$AI$505,"&lt;="&amp;$A159,実績!$AJ$6:$AJ$505,"&gt;"&amp;$A159,実績!$AL$6:$AL$505,"○")&gt;0,1,0))</f>
        <v>0</v>
      </c>
      <c r="R159" s="39" t="n">
        <f aca="false">IF(R$4=0,0,IF(COUNTIFS(実績!$W$6:$W$505,R$3,実績!$AI$6:$AI$505,"&lt;="&amp;$A159,実績!$AJ$6:$AJ$505,"&gt;"&amp;$A159,実績!$AL$6:$AL$505,"○")&gt;0,1,0))</f>
        <v>0</v>
      </c>
      <c r="S159" s="39" t="n">
        <f aca="false">IF(S$4=0,0,IF(COUNTIFS(実績!$W$6:$W$505,S$3,実績!$AI$6:$AI$505,"&lt;="&amp;$A159,実績!$AJ$6:$AJ$505,"&gt;"&amp;$A159,実績!$AL$6:$AL$505,"○")&gt;0,1,0))</f>
        <v>0</v>
      </c>
      <c r="T159" s="39" t="n">
        <f aca="false">IF(T$4=0,0,IF(COUNTIFS(実績!$W$6:$W$505,T$3,実績!$AI$6:$AI$505,"&lt;="&amp;$A159,実績!$AJ$6:$AJ$505,"&gt;"&amp;$A159,実績!$AL$6:$AL$505,"○")&gt;0,1,0))</f>
        <v>0</v>
      </c>
      <c r="U159" s="39" t="n">
        <f aca="false">IF(U$4=0,0,IF(COUNTIFS(実績!$W$6:$W$505,U$3,実績!$AI$6:$AI$505,"&lt;="&amp;$A159,実績!$AJ$6:$AJ$505,"&gt;"&amp;$A159,実績!$AL$6:$AL$505,"○")&gt;0,1,0))</f>
        <v>0</v>
      </c>
      <c r="V159" s="39" t="n">
        <f aca="false">IF(V$4=0,0,IF(COUNTIFS(実績!$W$6:$W$505,V$3,実績!$AI$6:$AI$505,"&lt;="&amp;$A159,実績!$AJ$6:$AJ$505,"&gt;"&amp;$A159,実績!$AL$6:$AL$505,"○")&gt;0,1,0))</f>
        <v>0</v>
      </c>
      <c r="W159" s="39" t="n">
        <f aca="false">IF(W$4=0,0,IF(COUNTIFS(実績!$W$6:$W$505,W$3,実績!$AI$6:$AI$505,"&lt;="&amp;$A159,実績!$AJ$6:$AJ$505,"&gt;"&amp;$A159,実績!$AL$6:$AL$505,"○")&gt;0,1,0))</f>
        <v>0</v>
      </c>
      <c r="X159" s="39" t="n">
        <f aca="false">IF(X$4=0,0,IF(COUNTIFS(実績!$W$6:$W$505,X$3,実績!$AI$6:$AI$505,"&lt;="&amp;$A159,実績!$AJ$6:$AJ$505,"&gt;"&amp;$A159,実績!$AL$6:$AL$505,"○")&gt;0,1,0))</f>
        <v>0</v>
      </c>
      <c r="Y159" s="39" t="n">
        <f aca="false">IF(Y$4=0,0,IF(COUNTIFS(実績!$W$6:$W$505,Y$3,実績!$AI$6:$AI$505,"&lt;="&amp;$A159,実績!$AJ$6:$AJ$505,"&gt;"&amp;$A159,実績!$AL$6:$AL$505,"○")&gt;0,1,0))</f>
        <v>0</v>
      </c>
      <c r="Z159" s="39" t="n">
        <f aca="false">IF(Z$4=0,0,IF(COUNTIFS(実績!$W$6:$W$505,Z$3,実績!$AI$6:$AI$505,"&lt;="&amp;$A159,実績!$AJ$6:$AJ$505,"&gt;"&amp;$A159,実績!$AL$6:$AL$505,"○")&gt;0,1,0))</f>
        <v>0</v>
      </c>
      <c r="AA159" s="39" t="n">
        <f aca="false">IF(AA$4=0,0,IF(COUNTIFS(実績!$W$6:$W$505,AA$3,実績!$AI$6:$AI$505,"&lt;="&amp;$A159,実績!$AJ$6:$AJ$505,"&gt;"&amp;$A159,実績!$AL$6:$AL$505,"○")&gt;0,1,0))</f>
        <v>0</v>
      </c>
      <c r="AB159" s="39" t="n">
        <f aca="false">IF(AB$4=0,0,IF(COUNTIFS(実績!$W$6:$W$505,AB$3,実績!$AI$6:$AI$505,"&lt;="&amp;$A159,実績!$AJ$6:$AJ$505,"&gt;"&amp;$A159,実績!$AL$6:$AL$505,"○")&gt;0,1,0))</f>
        <v>0</v>
      </c>
      <c r="AC159" s="39" t="n">
        <f aca="false">IF(AC$4=0,0,IF(COUNTIFS(実績!$W$6:$W$505,AC$3,実績!$AI$6:$AI$505,"&lt;="&amp;$A159,実績!$AJ$6:$AJ$505,"&gt;"&amp;$A159,実績!$AL$6:$AL$505,"○")&gt;0,1,0))</f>
        <v>0</v>
      </c>
      <c r="AD159" s="39" t="n">
        <f aca="false">IF(AD$4=0,0,IF(COUNTIFS(実績!$W$6:$W$505,AD$3,実績!$AI$6:$AI$505,"&lt;="&amp;$A159,実績!$AJ$6:$AJ$505,"&gt;"&amp;$A159,実績!$AL$6:$AL$505,"○")&gt;0,1,0))</f>
        <v>0</v>
      </c>
      <c r="AE159" s="39" t="n">
        <f aca="false">IF(AE$4=0,0,IF(COUNTIFS(実績!$W$6:$W$505,AE$3,実績!$AI$6:$AI$505,"&lt;="&amp;$A159,実績!$AJ$6:$AJ$505,"&gt;"&amp;$A159,実績!$AL$6:$AL$505,"○")&gt;0,1,0))</f>
        <v>0</v>
      </c>
      <c r="AF159" s="39" t="n">
        <f aca="false">IF(AF$4=0,0,IF(COUNTIFS(実績!$W$6:$W$505,AF$3,実績!$AI$6:$AI$505,"&lt;="&amp;$A159,実績!$AJ$6:$AJ$505,"&gt;"&amp;$A159,実績!$AL$6:$AL$505,"○")&gt;0,1,0))</f>
        <v>0</v>
      </c>
      <c r="AG159" s="39" t="n">
        <f aca="false">IF(AG$4=0,0,IF(COUNTIFS(実績!$W$6:$W$505,AG$3,実績!$AI$6:$AI$505,"&lt;="&amp;$A159,実績!$AJ$6:$AJ$505,"&gt;"&amp;$A159,実績!$AL$6:$AL$505,"○")&gt;0,1,0))</f>
        <v>0</v>
      </c>
      <c r="AH159" s="39" t="n">
        <f aca="false">IF(AH$4=0,0,IF(COUNTIFS(実績!$W$6:$W$505,AH$3,実績!$AI$6:$AI$505,"&lt;="&amp;$A159,実績!$AJ$6:$AJ$505,"&gt;"&amp;$A159,実績!$AL$6:$AL$505,"○")&gt;0,1,0))</f>
        <v>0</v>
      </c>
      <c r="AI159" s="39" t="n">
        <f aca="false">IF(AI$4=0,0,IF(COUNTIFS(実績!$W$6:$W$505,AI$3,実績!$AI$6:$AI$505,"&lt;="&amp;$A159,実績!$AJ$6:$AJ$505,"&gt;"&amp;$A159,実績!$AL$6:$AL$505,"○")&gt;0,1,0))</f>
        <v>0</v>
      </c>
      <c r="AJ159" s="39" t="n">
        <f aca="false">IF(AJ$4=0,0,IF(COUNTIFS(実績!$W$6:$W$505,AJ$3,実績!$AI$6:$AI$505,"&lt;="&amp;$A159,実績!$AJ$6:$AJ$505,"&gt;"&amp;$A159,実績!$AL$6:$AL$505,"○")&gt;0,1,0))</f>
        <v>0</v>
      </c>
      <c r="AK159" s="39" t="n">
        <f aca="false">IF(AK$4=0,0,IF(COUNTIFS(実績!$W$6:$W$505,AK$3,実績!$AI$6:$AI$505,"&lt;="&amp;$A159,実績!$AJ$6:$AJ$505,"&gt;"&amp;$A159,実績!$AL$6:$AL$505,"○")&gt;0,1,0))</f>
        <v>0</v>
      </c>
      <c r="AL159" s="39" t="n">
        <f aca="false">IF(AL$4=0,0,IF(COUNTIFS(実績!$W$6:$W$505,AL$3,実績!$AI$6:$AI$505,"&lt;="&amp;$A159,実績!$AJ$6:$AJ$505,"&gt;"&amp;$A159,実績!$AL$6:$AL$505,"○")&gt;0,1,0))</f>
        <v>0</v>
      </c>
      <c r="AM159" s="39" t="n">
        <f aca="false">IF(AM$4=0,0,IF(COUNTIFS(実績!$W$6:$W$505,AM$3,実績!$AI$6:$AI$505,"&lt;="&amp;$A159,実績!$AJ$6:$AJ$505,"&gt;"&amp;$A159,実績!$AL$6:$AL$505,"○")&gt;0,1,0))</f>
        <v>0</v>
      </c>
      <c r="AN159" s="39" t="n">
        <f aca="false">IF(AN$4=0,0,IF(COUNTIFS(実績!$W$6:$W$505,AN$3,実績!$AI$6:$AI$505,"&lt;="&amp;$A159,実績!$AJ$6:$AJ$505,"&gt;"&amp;$A159,実績!$AL$6:$AL$505,"○")&gt;0,1,0))</f>
        <v>0</v>
      </c>
      <c r="AO159" s="39" t="n">
        <f aca="false">IF(AO$4=0,0,IF(COUNTIFS(実績!$W$6:$W$505,AO$3,実績!$AI$6:$AI$505,"&lt;="&amp;$A159,実績!$AJ$6:$AJ$505,"&gt;"&amp;$A159,実績!$AL$6:$AL$505,"○")&gt;0,1,0))</f>
        <v>0</v>
      </c>
      <c r="AP159" s="39" t="n">
        <f aca="false">IF(AP$4=0,0,IF(COUNTIFS(実績!$W$6:$W$505,AP$3,実績!$AI$6:$AI$505,"&lt;="&amp;$A159,実績!$AJ$6:$AJ$505,"&gt;"&amp;$A159,実績!$AL$6:$AL$505,"○")&gt;0,1,0))</f>
        <v>0</v>
      </c>
      <c r="AQ159" s="39" t="n">
        <f aca="false">IF(AQ$4=0,0,IF(COUNTIFS(実績!$W$6:$W$505,AQ$3,実績!$AI$6:$AI$505,"&lt;="&amp;$A159,実績!$AJ$6:$AJ$505,"&gt;"&amp;$A159,実績!$AL$6:$AL$505,"○")&gt;0,1,0))</f>
        <v>0</v>
      </c>
      <c r="AR159" s="39" t="n">
        <f aca="false">IF(AR$4=0,0,IF(COUNTIFS(実績!$W$6:$W$505,AR$3,実績!$AI$6:$AI$505,"&lt;="&amp;$A159,実績!$AJ$6:$AJ$505,"&gt;"&amp;$A159,実績!$AL$6:$AL$505,"○")&gt;0,1,0))</f>
        <v>0</v>
      </c>
      <c r="AS159" s="39" t="n">
        <f aca="false">IF(AS$4=0,0,IF(COUNTIFS(実績!$W$6:$W$505,AS$3,実績!$AI$6:$AI$505,"&lt;="&amp;$A159,実績!$AJ$6:$AJ$505,"&gt;"&amp;$A159,実績!$AL$6:$AL$505,"○")&gt;0,1,0))</f>
        <v>0</v>
      </c>
      <c r="AT159" s="39" t="n">
        <f aca="false">IF(AT$4=0,0,IF(COUNTIFS(実績!$W$6:$W$505,AT$3,実績!$AI$6:$AI$505,"&lt;="&amp;$A159,実績!$AJ$6:$AJ$505,"&gt;"&amp;$A159,実績!$AL$6:$AL$505,"○")&gt;0,1,0))</f>
        <v>0</v>
      </c>
      <c r="AU159" s="39" t="n">
        <f aca="false">IF(AU$4=0,0,IF(COUNTIFS(実績!$W$6:$W$505,AU$3,実績!$AI$6:$AI$505,"&lt;="&amp;$A159,実績!$AJ$6:$AJ$505,"&gt;"&amp;$A159,実績!$AL$6:$AL$505,"○")&gt;0,1,0))</f>
        <v>0</v>
      </c>
      <c r="AV159" s="39" t="n">
        <f aca="false">IF(AV$4=0,0,IF(COUNTIFS(実績!$W$6:$W$505,AV$3,実績!$AI$6:$AI$505,"&lt;="&amp;$A159,実績!$AJ$6:$AJ$505,"&gt;"&amp;$A159,実績!$AL$6:$AL$505,"○")&gt;0,1,0))</f>
        <v>0</v>
      </c>
      <c r="AW159" s="39" t="n">
        <f aca="false">IF(AW$4=0,0,IF(COUNTIFS(実績!$W$6:$W$505,AW$3,実績!$AI$6:$AI$505,"&lt;="&amp;$A159,実績!$AJ$6:$AJ$505,"&gt;"&amp;$A159,実績!$AL$6:$AL$505,"○")&gt;0,1,0))</f>
        <v>0</v>
      </c>
      <c r="AX159" s="39" t="n">
        <f aca="false">IF(AX$4=0,0,IF(COUNTIFS(実績!$W$6:$W$505,AX$3,実績!$AI$6:$AI$505,"&lt;="&amp;$A159,実績!$AJ$6:$AJ$505,"&gt;"&amp;$A159,実績!$AL$6:$AL$505,"○")&gt;0,1,0))</f>
        <v>0</v>
      </c>
      <c r="AY159" s="39" t="n">
        <f aca="false">IF(AY$4=0,0,IF(COUNTIFS(実績!$W$6:$W$505,AY$3,実績!$AI$6:$AI$505,"&lt;="&amp;$A159,実績!$AJ$6:$AJ$505,"&gt;"&amp;$A159,実績!$AL$6:$AL$505,"○")&gt;0,1,0))</f>
        <v>0</v>
      </c>
      <c r="AZ159" s="39" t="n">
        <f aca="false">IF(AZ$4=0,0,IF(COUNTIFS(実績!$W$6:$W$505,AZ$3,実績!$AI$6:$AI$505,"&lt;="&amp;$A159,実績!$AJ$6:$AJ$505,"&gt;"&amp;$A159,実績!$AL$6:$AL$505,"○")&gt;0,1,0))</f>
        <v>0</v>
      </c>
      <c r="BA159" s="39" t="n">
        <f aca="false">IF(BA$4=0,0,IF(COUNTIFS(実績!$W$6:$W$505,BA$3,実績!$AI$6:$AI$505,"&lt;="&amp;$A159,実績!$AJ$6:$AJ$505,"&gt;"&amp;$A159,実績!$AL$6:$AL$505,"○")&gt;0,1,0))</f>
        <v>0</v>
      </c>
      <c r="BB159" s="39" t="n">
        <f aca="false">IF(BB$4=0,0,IF(COUNTIFS(実績!$W$6:$W$505,BB$3,実績!$AI$6:$AI$505,"&lt;="&amp;$A159,実績!$AJ$6:$AJ$505,"&gt;"&amp;$A159,実績!$AL$6:$AL$505,"○")&gt;0,1,0))</f>
        <v>0</v>
      </c>
      <c r="BC159" s="39" t="n">
        <f aca="false">IF(BC$4=0,0,IF(COUNTIFS(実績!$W$6:$W$505,BC$3,実績!$AI$6:$AI$505,"&lt;="&amp;$A159,実績!$AJ$6:$AJ$505,"&gt;"&amp;$A159,実績!$AL$6:$AL$505,"○")&gt;0,1,0))</f>
        <v>0</v>
      </c>
      <c r="BD159" s="39" t="n">
        <f aca="false">IF(BD$4=0,0,IF(COUNTIFS(実績!$W$6:$W$505,BD$3,実績!$AI$6:$AI$505,"&lt;="&amp;$A159,実績!$AJ$6:$AJ$505,"&gt;"&amp;$A159,実績!$AL$6:$AL$505,"○")&gt;0,1,0))</f>
        <v>0</v>
      </c>
      <c r="BE159" s="39" t="n">
        <f aca="false">IF(BE$4=0,0,IF(COUNTIFS(実績!$W$6:$W$505,BE$3,実績!$AI$6:$AI$505,"&lt;="&amp;$A159,実績!$AJ$6:$AJ$505,"&gt;"&amp;$A159,実績!$AL$6:$AL$505,"○")&gt;0,1,0))</f>
        <v>0</v>
      </c>
      <c r="BF159" s="39" t="n">
        <f aca="false">IF(BF$4=0,0,IF(COUNTIFS(実績!$W$6:$W$505,BF$3,実績!$AI$6:$AI$505,"&lt;="&amp;$A159,実績!$AJ$6:$AJ$505,"&gt;"&amp;$A159,実績!$AL$6:$AL$505,"○")&gt;0,1,0))</f>
        <v>0</v>
      </c>
      <c r="BG159" s="39" t="n">
        <f aca="false">IF(BG$4=0,0,IF(COUNTIFS(実績!$W$6:$W$505,BG$3,実績!$AI$6:$AI$505,"&lt;="&amp;$A159,実績!$AJ$6:$AJ$505,"&gt;"&amp;$A159,実績!$AL$6:$AL$505,"○")&gt;0,1,0))</f>
        <v>0</v>
      </c>
      <c r="BH159" s="39" t="n">
        <f aca="false">IF(BH$4=0,0,IF(COUNTIFS(実績!$W$6:$W$505,BH$3,実績!$AI$6:$AI$505,"&lt;="&amp;$A159,実績!$AJ$6:$AJ$505,"&gt;"&amp;$A159,実績!$AL$6:$AL$505,"○")&gt;0,1,0))</f>
        <v>0</v>
      </c>
      <c r="BI159" s="39" t="n">
        <f aca="false">IF(BI$4=0,0,IF(COUNTIFS(実績!$W$6:$W$505,BI$3,実績!$AI$6:$AI$505,"&lt;="&amp;$A159,実績!$AJ$6:$AJ$505,"&gt;"&amp;$A159,実績!$AL$6:$AL$505,"○")&gt;0,1,0))</f>
        <v>0</v>
      </c>
      <c r="BJ159" s="39" t="n">
        <f aca="false">IF(BJ$4=0,0,IF(COUNTIFS(実績!$W$6:$W$505,BJ$3,実績!$AI$6:$AI$505,"&lt;="&amp;$A159,実績!$AJ$6:$AJ$505,"&gt;"&amp;$A159,実績!$AL$6:$AL$505,"○")&gt;0,1,0))</f>
        <v>0</v>
      </c>
      <c r="BK159" s="39" t="n">
        <f aca="false">IF(BK$4=0,0,IF(COUNTIFS(実績!$W$6:$W$505,BK$3,実績!$AI$6:$AI$505,"&lt;="&amp;$A159,実績!$AJ$6:$AJ$505,"&gt;"&amp;$A159,実績!$AL$6:$AL$505,"○")&gt;0,1,0))</f>
        <v>0</v>
      </c>
      <c r="BL159" s="39" t="n">
        <f aca="false">IF(BL$4=0,0,IF(COUNTIFS(実績!$W$6:$W$505,BL$3,実績!$AI$6:$AI$505,"&lt;="&amp;$A159,実績!$AJ$6:$AJ$505,"&gt;"&amp;$A159,実績!$AL$6:$AL$505,"○")&gt;0,1,0))</f>
        <v>0</v>
      </c>
      <c r="BM159" s="39" t="n">
        <f aca="false">IF(BM$4=0,0,IF(COUNTIFS(実績!$W$6:$W$505,BM$3,実績!$AI$6:$AI$505,"&lt;="&amp;$A159,実績!$AJ$6:$AJ$505,"&gt;"&amp;$A159,実績!$AL$6:$AL$505,"○")&gt;0,1,0))</f>
        <v>0</v>
      </c>
      <c r="BN159" s="39" t="n">
        <f aca="false">IF(BN$4=0,0,IF(COUNTIFS(実績!$W$6:$W$505,BN$3,実績!$AI$6:$AI$505,"&lt;="&amp;$A159,実績!$AJ$6:$AJ$505,"&gt;"&amp;$A159,実績!$AL$6:$AL$505,"○")&gt;0,1,0))</f>
        <v>0</v>
      </c>
      <c r="BO159" s="39" t="n">
        <f aca="false">IF(BO$4=0,0,IF(COUNTIFS(実績!$W$6:$W$505,BO$3,実績!$AI$6:$AI$505,"&lt;="&amp;$A159,実績!$AJ$6:$AJ$505,"&gt;"&amp;$A159,実績!$AL$6:$AL$505,"○")&gt;0,1,0))</f>
        <v>0</v>
      </c>
      <c r="BP159" s="39" t="n">
        <f aca="false">IF(BP$4=0,0,IF(COUNTIFS(実績!$W$6:$W$505,BP$3,実績!$AI$6:$AI$505,"&lt;="&amp;$A159,実績!$AJ$6:$AJ$505,"&gt;"&amp;$A159,実績!$AL$6:$AL$505,"○")&gt;0,1,0))</f>
        <v>0</v>
      </c>
      <c r="BQ159" s="39" t="n">
        <f aca="false">IF(BQ$4=0,0,IF(COUNTIFS(実績!$W$6:$W$505,BQ$3,実績!$AI$6:$AI$505,"&lt;="&amp;$A159,実績!$AJ$6:$AJ$505,"&gt;"&amp;$A159,実績!$AL$6:$AL$505,"○")&gt;0,1,0))</f>
        <v>0</v>
      </c>
      <c r="BR159" s="39" t="n">
        <f aca="false">IF(BR$4=0,0,IF(COUNTIFS(実績!$W$6:$W$505,BR$3,実績!$AI$6:$AI$505,"&lt;="&amp;$A159,実績!$AJ$6:$AJ$505,"&gt;"&amp;$A159,実績!$AL$6:$AL$505,"○")&gt;0,1,0))</f>
        <v>0</v>
      </c>
      <c r="BS159" s="39" t="n">
        <f aca="false">IF(BS$4=0,0,IF(COUNTIFS(実績!$W$6:$W$505,BS$3,実績!$AI$6:$AI$505,"&lt;="&amp;$A159,実績!$AJ$6:$AJ$505,"&gt;"&amp;$A159,実績!$AL$6:$AL$505,"○")&gt;0,1,0))</f>
        <v>0</v>
      </c>
      <c r="BT159" s="39" t="n">
        <f aca="false">IF(BT$4=0,0,IF(COUNTIFS(実績!$W$6:$W$505,BT$3,実績!$AI$6:$AI$505,"&lt;="&amp;$A159,実績!$AJ$6:$AJ$505,"&gt;"&amp;$A159,実績!$AL$6:$AL$505,"○")&gt;0,1,0))</f>
        <v>0</v>
      </c>
      <c r="BU159" s="39" t="n">
        <f aca="false">IF(BU$4=0,0,IF(COUNTIFS(実績!$W$6:$W$505,BU$3,実績!$AI$6:$AI$505,"&lt;="&amp;$A159,実績!$AJ$6:$AJ$505,"&gt;"&amp;$A159,実績!$AL$6:$AL$505,"○")&gt;0,1,0))</f>
        <v>0</v>
      </c>
      <c r="BV159" s="39" t="n">
        <f aca="false">IF(BV$4=0,0,IF(COUNTIFS(実績!$W$6:$W$505,BV$3,実績!$AI$6:$AI$505,"&lt;="&amp;$A159,実績!$AJ$6:$AJ$505,"&gt;"&amp;$A159,実績!$AL$6:$AL$505,"○")&gt;0,1,0))</f>
        <v>0</v>
      </c>
      <c r="BW159" s="39" t="n">
        <f aca="false">IF(BW$4=0,0,IF(COUNTIFS(実績!$W$6:$W$505,BW$3,実績!$AI$6:$AI$505,"&lt;="&amp;$A159,実績!$AJ$6:$AJ$505,"&gt;"&amp;$A159,実績!$AL$6:$AL$505,"○")&gt;0,1,0))</f>
        <v>0</v>
      </c>
      <c r="BX159" s="39" t="n">
        <f aca="false">IF(BX$4=0,0,IF(COUNTIFS(実績!$W$6:$W$505,BX$3,実績!$AI$6:$AI$505,"&lt;="&amp;$A159,実績!$AJ$6:$AJ$505,"&gt;"&amp;$A159,実績!$AL$6:$AL$505,"○")&gt;0,1,0))</f>
        <v>0</v>
      </c>
      <c r="BY159" s="39" t="n">
        <f aca="false">IF(BY$4=0,0,IF(COUNTIFS(実績!$W$6:$W$505,BY$3,実績!$AI$6:$AI$505,"&lt;="&amp;$A159,実績!$AJ$6:$AJ$505,"&gt;"&amp;$A159,実績!$AL$6:$AL$505,"○")&gt;0,1,0))</f>
        <v>0</v>
      </c>
      <c r="BZ159" s="39" t="n">
        <f aca="false">IF(BZ$4=0,0,IF(COUNTIFS(実績!$W$6:$W$505,BZ$3,実績!$AI$6:$AI$505,"&lt;="&amp;$A159,実績!$AJ$6:$AJ$505,"&gt;"&amp;$A159,実績!$AL$6:$AL$505,"○")&gt;0,1,0))</f>
        <v>0</v>
      </c>
      <c r="CA159" s="39" t="n">
        <f aca="false">IF(CA$4=0,0,IF(COUNTIFS(実績!$W$6:$W$505,CA$3,実績!$AI$6:$AI$505,"&lt;="&amp;$A159,実績!$AJ$6:$AJ$505,"&gt;"&amp;$A159,実績!$AL$6:$AL$505,"○")&gt;0,1,0))</f>
        <v>0</v>
      </c>
      <c r="CB159" s="39" t="n">
        <f aca="false">IF(CB$4=0,0,IF(COUNTIFS(実績!$W$6:$W$505,CB$3,実績!$AI$6:$AI$505,"&lt;="&amp;$A159,実績!$AJ$6:$AJ$505,"&gt;"&amp;$A159,実績!$AL$6:$AL$505,"○")&gt;0,1,0))</f>
        <v>0</v>
      </c>
      <c r="CC159" s="39" t="n">
        <f aca="false">IF(CC$4=0,0,IF(COUNTIFS(実績!$W$6:$W$505,CC$3,実績!$AI$6:$AI$505,"&lt;="&amp;$A159,実績!$AJ$6:$AJ$505,"&gt;"&amp;$A159,実績!$AL$6:$AL$505,"○")&gt;0,1,0))</f>
        <v>0</v>
      </c>
      <c r="CD159" s="39" t="n">
        <f aca="false">IF(CD$4=0,0,IF(COUNTIFS(実績!$W$6:$W$505,CD$3,実績!$AI$6:$AI$505,"&lt;="&amp;$A159,実績!$AJ$6:$AJ$505,"&gt;"&amp;$A159,実績!$AL$6:$AL$505,"○")&gt;0,1,0))</f>
        <v>0</v>
      </c>
      <c r="CE159" s="39" t="n">
        <f aca="false">IF(CE$4=0,0,IF(COUNTIFS(実績!$W$6:$W$505,CE$3,実績!$AI$6:$AI$505,"&lt;="&amp;$A159,実績!$AJ$6:$AJ$505,"&gt;"&amp;$A159,実績!$AL$6:$AL$505,"○")&gt;0,1,0))</f>
        <v>0</v>
      </c>
      <c r="CF159" s="39" t="n">
        <f aca="false">IF(CF$4=0,0,IF(COUNTIFS(実績!$W$6:$W$505,CF$3,実績!$AI$6:$AI$505,"&lt;="&amp;$A159,実績!$AJ$6:$AJ$505,"&gt;"&amp;$A159,実績!$AL$6:$AL$505,"○")&gt;0,1,0))</f>
        <v>0</v>
      </c>
      <c r="CG159" s="39" t="n">
        <f aca="false">IF(CG$4=0,0,IF(COUNTIFS(実績!$W$6:$W$505,CG$3,実績!$AI$6:$AI$505,"&lt;="&amp;$A159,実績!$AJ$6:$AJ$505,"&gt;"&amp;$A159,実績!$AL$6:$AL$505,"○")&gt;0,1,0))</f>
        <v>0</v>
      </c>
      <c r="CH159" s="39" t="n">
        <f aca="false">IF(CH$4=0,0,IF(COUNTIFS(実績!$W$6:$W$505,CH$3,実績!$AI$6:$AI$505,"&lt;="&amp;$A159,実績!$AJ$6:$AJ$505,"&gt;"&amp;$A159,実績!$AL$6:$AL$505,"○")&gt;0,1,0))</f>
        <v>0</v>
      </c>
      <c r="CI159" s="39" t="n">
        <f aca="false">IF(CI$4=0,0,IF(COUNTIFS(実績!$W$6:$W$505,CI$3,実績!$AI$6:$AI$505,"&lt;="&amp;$A159,実績!$AJ$6:$AJ$505,"&gt;"&amp;$A159,実績!$AL$6:$AL$505,"○")&gt;0,1,0))</f>
        <v>0</v>
      </c>
      <c r="CJ159" s="39" t="n">
        <f aca="false">IF(CJ$4=0,0,IF(COUNTIFS(実績!$W$6:$W$505,CJ$3,実績!$AI$6:$AI$505,"&lt;="&amp;$A159,実績!$AJ$6:$AJ$505,"&gt;"&amp;$A159,実績!$AL$6:$AL$505,"○")&gt;0,1,0))</f>
        <v>0</v>
      </c>
      <c r="CK159" s="39" t="n">
        <f aca="false">IF(CK$4=0,0,IF(COUNTIFS(実績!$W$6:$W$505,CK$3,実績!$AI$6:$AI$505,"&lt;="&amp;$A159,実績!$AJ$6:$AJ$505,"&gt;"&amp;$A159,実績!$AL$6:$AL$505,"○")&gt;0,1,0))</f>
        <v>0</v>
      </c>
      <c r="CL159" s="39" t="n">
        <f aca="false">IF(CL$4=0,0,IF(COUNTIFS(実績!$W$6:$W$505,CL$3,実績!$AI$6:$AI$505,"&lt;="&amp;$A159,実績!$AJ$6:$AJ$505,"&gt;"&amp;$A159,実績!$AL$6:$AL$505,"○")&gt;0,1,0))</f>
        <v>0</v>
      </c>
      <c r="CM159" s="39" t="n">
        <f aca="false">IF(CM$4=0,0,IF(COUNTIFS(実績!$W$6:$W$505,CM$3,実績!$AI$6:$AI$505,"&lt;="&amp;$A159,実績!$AJ$6:$AJ$505,"&gt;"&amp;$A159,実績!$AL$6:$AL$505,"○")&gt;0,1,0))</f>
        <v>0</v>
      </c>
      <c r="CN159" s="39" t="n">
        <f aca="false">IF(CN$4=0,0,IF(COUNTIFS(実績!$W$6:$W$505,CN$3,実績!$AI$6:$AI$505,"&lt;="&amp;$A159,実績!$AJ$6:$AJ$505,"&gt;"&amp;$A159,実績!$AL$6:$AL$505,"○")&gt;0,1,0))</f>
        <v>0</v>
      </c>
      <c r="CO159" s="39" t="n">
        <f aca="false">IF(CO$4=0,0,IF(COUNTIFS(実績!$W$6:$W$505,CO$3,実績!$AI$6:$AI$505,"&lt;="&amp;$A159,実績!$AJ$6:$AJ$505,"&gt;"&amp;$A159,実績!$AL$6:$AL$505,"○")&gt;0,1,0))</f>
        <v>0</v>
      </c>
      <c r="CP159" s="39" t="n">
        <f aca="false">IF(CP$4=0,0,IF(COUNTIFS(実績!$W$6:$W$505,CP$3,実績!$AI$6:$AI$505,"&lt;="&amp;$A159,実績!$AJ$6:$AJ$505,"&gt;"&amp;$A159,実績!$AL$6:$AL$505,"○")&gt;0,1,0))</f>
        <v>0</v>
      </c>
      <c r="CQ159" s="39" t="n">
        <f aca="false">IF(CQ$4=0,0,IF(COUNTIFS(実績!$W$6:$W$505,CQ$3,実績!$AI$6:$AI$505,"&lt;="&amp;$A159,実績!$AJ$6:$AJ$505,"&gt;"&amp;$A159,実績!$AL$6:$AL$505,"○")&gt;0,1,0))</f>
        <v>0</v>
      </c>
      <c r="CR159" s="39" t="n">
        <f aca="false">IF(CR$4=0,0,IF(COUNTIFS(実績!$W$6:$W$505,CR$3,実績!$AI$6:$AI$505,"&lt;="&amp;$A159,実績!$AJ$6:$AJ$505,"&gt;"&amp;$A159,実績!$AL$6:$AL$505,"○")&gt;0,1,0))</f>
        <v>0</v>
      </c>
      <c r="CS159" s="39" t="n">
        <f aca="false">IF(CS$4=0,0,IF(COUNTIFS(実績!$W$6:$W$505,CS$3,実績!$AI$6:$AI$505,"&lt;="&amp;$A159,実績!$AJ$6:$AJ$505,"&gt;"&amp;$A159,実績!$AL$6:$AL$505,"○")&gt;0,1,0))</f>
        <v>0</v>
      </c>
      <c r="CT159" s="39" t="n">
        <f aca="false">IF(CT$4=0,0,IF(COUNTIFS(実績!$W$6:$W$505,CT$3,実績!$AI$6:$AI$505,"&lt;="&amp;$A159,実績!$AJ$6:$AJ$505,"&gt;"&amp;$A159,実績!$AL$6:$AL$505,"○")&gt;0,1,0))</f>
        <v>0</v>
      </c>
      <c r="CU159" s="39" t="n">
        <f aca="false">IF(CU$4=0,0,IF(COUNTIFS(実績!$W$6:$W$505,CU$3,実績!$AI$6:$AI$505,"&lt;="&amp;$A159,実績!$AJ$6:$AJ$505,"&gt;"&amp;$A159,実績!$AL$6:$AL$505,"○")&gt;0,1,0))</f>
        <v>0</v>
      </c>
      <c r="CV159" s="39" t="n">
        <f aca="false">IF(CV$4=0,0,IF(COUNTIFS(実績!$W$6:$W$505,CV$3,実績!$AI$6:$AI$505,"&lt;="&amp;$A159,実績!$AJ$6:$AJ$505,"&gt;"&amp;$A159,実績!$AL$6:$AL$505,"○")&gt;0,1,0))</f>
        <v>0</v>
      </c>
      <c r="CW159" s="39" t="n">
        <f aca="false">IF(CW$4=0,0,IF(COUNTIFS(実績!$W$6:$W$505,CW$3,実績!$AI$6:$AI$505,"&lt;="&amp;$A159,実績!$AJ$6:$AJ$505,"&gt;"&amp;$A159,実績!$AL$6:$AL$505,"○")&gt;0,1,0))</f>
        <v>0</v>
      </c>
      <c r="CX159" s="39" t="n">
        <f aca="false">IF(CX$4=0,0,IF(COUNTIFS(実績!$W$6:$W$505,CX$3,実績!$AI$6:$AI$505,"&lt;="&amp;$A159,実績!$AJ$6:$AJ$505,"&gt;"&amp;$A159,実績!$AL$6:$AL$505,"○")&gt;0,1,0))</f>
        <v>0</v>
      </c>
      <c r="CY159" s="39" t="n">
        <f aca="false">IF(CY$4=0,0,IF(COUNTIFS(実績!$W$6:$W$505,CY$3,実績!$AI$6:$AI$505,"&lt;="&amp;$A159,実績!$AJ$6:$AJ$505,"&gt;"&amp;$A159,実績!$AL$6:$AL$505,"○")&gt;0,1,0))</f>
        <v>0</v>
      </c>
      <c r="CZ159" s="39" t="n">
        <f aca="false">IF(CZ$4=0,0,IF(COUNTIFS(実績!$W$6:$W$505,CZ$3,実績!$AI$6:$AI$505,"&lt;="&amp;$A159,実績!$AJ$6:$AJ$505,"&gt;"&amp;$A159,実績!$AL$6:$AL$505,"○")&gt;0,1,0))</f>
        <v>0</v>
      </c>
      <c r="DA159" s="39" t="n">
        <f aca="false">IF(DA$4=0,0,IF(COUNTIFS(実績!$W$6:$W$505,DA$3,実績!$AI$6:$AI$505,"&lt;="&amp;$A159,実績!$AJ$6:$AJ$505,"&gt;"&amp;$A159,実績!$AL$6:$AL$505,"○")&gt;0,1,0))</f>
        <v>0</v>
      </c>
      <c r="DB159" s="39" t="n">
        <f aca="false">IF(DB$4=0,0,IF(COUNTIFS(実績!$W$6:$W$505,DB$3,実績!$AI$6:$AI$505,"&lt;="&amp;$A159,実績!$AJ$6:$AJ$505,"&gt;"&amp;$A159,実績!$AL$6:$AL$505,"○")&gt;0,1,0))</f>
        <v>0</v>
      </c>
      <c r="DC159" s="39" t="n">
        <f aca="false">IF(DC$4=0,0,IF(COUNTIFS(実績!$W$6:$W$505,DC$3,実績!$AI$6:$AI$505,"&lt;="&amp;$A159,実績!$AJ$6:$AJ$505,"&gt;"&amp;$A159,実績!$AL$6:$AL$505,"○")&gt;0,1,0))</f>
        <v>0</v>
      </c>
      <c r="DD159" s="39" t="n">
        <f aca="false">IF(DD$4=0,0,IF(COUNTIFS(実績!$W$6:$W$505,DD$3,実績!$AI$6:$AI$505,"&lt;="&amp;$A159,実績!$AJ$6:$AJ$505,"&gt;"&amp;$A159,実績!$AL$6:$AL$505,"○")&gt;0,1,0))</f>
        <v>0</v>
      </c>
      <c r="DE159" s="39" t="n">
        <f aca="false">IF(DE$4=0,0,IF(COUNTIFS(実績!$W$6:$W$505,DE$3,実績!$AI$6:$AI$505,"&lt;="&amp;$A159,実績!$AJ$6:$AJ$505,"&gt;"&amp;$A159,実績!$AL$6:$AL$505,"○")&gt;0,1,0))</f>
        <v>0</v>
      </c>
      <c r="DF159" s="39" t="n">
        <f aca="false">IF(DF$4=0,0,IF(COUNTIFS(実績!$W$6:$W$505,DF$3,実績!$AI$6:$AI$505,"&lt;="&amp;$A159,実績!$AJ$6:$AJ$505,"&gt;"&amp;$A159,実績!$AL$6:$AL$505,"○")&gt;0,1,0))</f>
        <v>0</v>
      </c>
      <c r="DG159" s="39" t="n">
        <f aca="false">IF(DG$4=0,0,IF(COUNTIFS(実績!$W$6:$W$505,DG$3,実績!$AI$6:$AI$505,"&lt;="&amp;$A159,実績!$AJ$6:$AJ$505,"&gt;"&amp;$A159,実績!$AL$6:$AL$505,"○")&gt;0,1,0))</f>
        <v>0</v>
      </c>
      <c r="DH159" s="39" t="n">
        <f aca="false">IF(DH$4=0,0,IF(COUNTIFS(実績!$W$6:$W$505,DH$3,実績!$AI$6:$AI$505,"&lt;="&amp;$A159,実績!$AJ$6:$AJ$505,"&gt;"&amp;$A159,実績!$AL$6:$AL$505,"○")&gt;0,1,0))</f>
        <v>0</v>
      </c>
      <c r="DI159" s="39" t="n">
        <f aca="false">IF(DI$4=0,0,IF(COUNTIFS(実績!$W$6:$W$505,DI$3,実績!$AI$6:$AI$505,"&lt;="&amp;$A159,実績!$AJ$6:$AJ$505,"&gt;"&amp;$A159,実績!$AL$6:$AL$505,"○")&gt;0,1,0))</f>
        <v>0</v>
      </c>
      <c r="DJ159" s="39" t="n">
        <f aca="false">IF(DJ$4=0,0,IF(COUNTIFS(実績!$W$6:$W$505,DJ$3,実績!$AI$6:$AI$505,"&lt;="&amp;$A159,実績!$AJ$6:$AJ$505,"&gt;"&amp;$A159,実績!$AL$6:$AL$505,"○")&gt;0,1,0))</f>
        <v>0</v>
      </c>
      <c r="DK159" s="39" t="n">
        <f aca="false">IF(DK$4=0,0,IF(COUNTIFS(実績!$W$6:$W$505,DK$3,実績!$AI$6:$AI$505,"&lt;="&amp;$A159,実績!$AJ$6:$AJ$505,"&gt;"&amp;$A159,実績!$AL$6:$AL$505,"○")&gt;0,1,0))</f>
        <v>0</v>
      </c>
      <c r="DL159" s="39" t="n">
        <f aca="false">IF(DL$4=0,0,IF(COUNTIFS(実績!$W$6:$W$505,DL$3,実績!$AI$6:$AI$505,"&lt;="&amp;$A159,実績!$AJ$6:$AJ$505,"&gt;"&amp;$A159,実績!$AL$6:$AL$505,"○")&gt;0,1,0))</f>
        <v>0</v>
      </c>
      <c r="DM159" s="39" t="n">
        <f aca="false">IF(DM$4=0,0,IF(COUNTIFS(実績!$W$6:$W$505,DM$3,実績!$AI$6:$AI$505,"&lt;="&amp;$A159,実績!$AJ$6:$AJ$505,"&gt;"&amp;$A159,実績!$AL$6:$AL$505,"○")&gt;0,1,0))</f>
        <v>0</v>
      </c>
      <c r="DN159" s="39" t="n">
        <f aca="false">IF(DN$4=0,0,IF(COUNTIFS(実績!$W$6:$W$505,DN$3,実績!$AI$6:$AI$505,"&lt;="&amp;$A159,実績!$AJ$6:$AJ$505,"&gt;"&amp;$A159,実績!$AL$6:$AL$505,"○")&gt;0,1,0))</f>
        <v>0</v>
      </c>
      <c r="DO159" s="39" t="n">
        <f aca="false">IF(DO$4=0,0,IF(COUNTIFS(実績!$W$6:$W$505,DO$3,実績!$AI$6:$AI$505,"&lt;="&amp;$A159,実績!$AJ$6:$AJ$505,"&gt;"&amp;$A159,実績!$AL$6:$AL$505,"○")&gt;0,1,0))</f>
        <v>0</v>
      </c>
      <c r="DP159" s="39" t="n">
        <f aca="false">IF(DP$4=0,0,IF(COUNTIFS(実績!$W$6:$W$505,DP$3,実績!$AI$6:$AI$505,"&lt;="&amp;$A159,実績!$AJ$6:$AJ$505,"&gt;"&amp;$A159,実績!$AL$6:$AL$505,"○")&gt;0,1,0))</f>
        <v>0</v>
      </c>
      <c r="DQ159" s="39" t="n">
        <f aca="false">IF(DQ$4=0,0,IF(COUNTIFS(実績!$W$6:$W$505,DQ$3,実績!$AI$6:$AI$505,"&lt;="&amp;$A159,実績!$AJ$6:$AJ$505,"&gt;"&amp;$A159,実績!$AL$6:$AL$505,"○")&gt;0,1,0))</f>
        <v>0</v>
      </c>
      <c r="DR159" s="39" t="n">
        <f aca="false">IF(DR$4=0,0,IF(COUNTIFS(実績!$W$6:$W$505,DR$3,実績!$AI$6:$AI$505,"&lt;="&amp;$A159,実績!$AJ$6:$AJ$505,"&gt;"&amp;$A159,実績!$AL$6:$AL$505,"○")&gt;0,1,0))</f>
        <v>0</v>
      </c>
      <c r="DS159" s="39" t="n">
        <f aca="false">SUM(C159:DR159)</f>
        <v>0</v>
      </c>
    </row>
    <row r="160" customFormat="false" ht="15" hidden="false" customHeight="false" outlineLevel="0" collapsed="false">
      <c r="A160" s="0" t="n">
        <v>770</v>
      </c>
      <c r="B160" s="38" t="n">
        <f aca="false">A160/1440</f>
        <v>0.534722222222222</v>
      </c>
      <c r="C160" s="39" t="n">
        <f aca="false">IF(C$4=0,0,IF(COUNTIFS(実績!$W$6:$W$505,C$3,実績!$AI$6:$AI$505,"&lt;="&amp;$A160,実績!$AJ$6:$AJ$505,"&gt;"&amp;$A160,実績!$AL$6:$AL$505,"○")&gt;0,1,0))</f>
        <v>0</v>
      </c>
      <c r="D160" s="39" t="n">
        <f aca="false">IF(D$4=0,0,IF(COUNTIFS(実績!$W$6:$W$505,D$3,実績!$AI$6:$AI$505,"&lt;="&amp;$A160,実績!$AJ$6:$AJ$505,"&gt;"&amp;$A160,実績!$AL$6:$AL$505,"○")&gt;0,1,0))</f>
        <v>0</v>
      </c>
      <c r="E160" s="39" t="n">
        <f aca="false">IF(E$4=0,0,IF(COUNTIFS(実績!$W$6:$W$505,E$3,実績!$AI$6:$AI$505,"&lt;="&amp;$A160,実績!$AJ$6:$AJ$505,"&gt;"&amp;$A160,実績!$AL$6:$AL$505,"○")&gt;0,1,0))</f>
        <v>0</v>
      </c>
      <c r="F160" s="39" t="n">
        <f aca="false">IF(F$4=0,0,IF(COUNTIFS(実績!$W$6:$W$505,F$3,実績!$AI$6:$AI$505,"&lt;="&amp;$A160,実績!$AJ$6:$AJ$505,"&gt;"&amp;$A160,実績!$AL$6:$AL$505,"○")&gt;0,1,0))</f>
        <v>0</v>
      </c>
      <c r="G160" s="39" t="n">
        <f aca="false">IF(G$4=0,0,IF(COUNTIFS(実績!$W$6:$W$505,G$3,実績!$AI$6:$AI$505,"&lt;="&amp;$A160,実績!$AJ$6:$AJ$505,"&gt;"&amp;$A160,実績!$AL$6:$AL$505,"○")&gt;0,1,0))</f>
        <v>0</v>
      </c>
      <c r="H160" s="39" t="n">
        <f aca="false">IF(H$4=0,0,IF(COUNTIFS(実績!$W$6:$W$505,H$3,実績!$AI$6:$AI$505,"&lt;="&amp;$A160,実績!$AJ$6:$AJ$505,"&gt;"&amp;$A160,実績!$AL$6:$AL$505,"○")&gt;0,1,0))</f>
        <v>0</v>
      </c>
      <c r="I160" s="39" t="n">
        <f aca="false">IF(I$4=0,0,IF(COUNTIFS(実績!$W$6:$W$505,I$3,実績!$AI$6:$AI$505,"&lt;="&amp;$A160,実績!$AJ$6:$AJ$505,"&gt;"&amp;$A160,実績!$AL$6:$AL$505,"○")&gt;0,1,0))</f>
        <v>0</v>
      </c>
      <c r="J160" s="39" t="n">
        <f aca="false">IF(J$4=0,0,IF(COUNTIFS(実績!$W$6:$W$505,J$3,実績!$AI$6:$AI$505,"&lt;="&amp;$A160,実績!$AJ$6:$AJ$505,"&gt;"&amp;$A160,実績!$AL$6:$AL$505,"○")&gt;0,1,0))</f>
        <v>0</v>
      </c>
      <c r="K160" s="39" t="n">
        <f aca="false">IF(K$4=0,0,IF(COUNTIFS(実績!$W$6:$W$505,K$3,実績!$AI$6:$AI$505,"&lt;="&amp;$A160,実績!$AJ$6:$AJ$505,"&gt;"&amp;$A160,実績!$AL$6:$AL$505,"○")&gt;0,1,0))</f>
        <v>0</v>
      </c>
      <c r="L160" s="39" t="n">
        <f aca="false">IF(L$4=0,0,IF(COUNTIFS(実績!$W$6:$W$505,L$3,実績!$AI$6:$AI$505,"&lt;="&amp;$A160,実績!$AJ$6:$AJ$505,"&gt;"&amp;$A160,実績!$AL$6:$AL$505,"○")&gt;0,1,0))</f>
        <v>0</v>
      </c>
      <c r="M160" s="39" t="n">
        <f aca="false">IF(M$4=0,0,IF(COUNTIFS(実績!$W$6:$W$505,M$3,実績!$AI$6:$AI$505,"&lt;="&amp;$A160,実績!$AJ$6:$AJ$505,"&gt;"&amp;$A160,実績!$AL$6:$AL$505,"○")&gt;0,1,0))</f>
        <v>0</v>
      </c>
      <c r="N160" s="39" t="n">
        <f aca="false">IF(N$4=0,0,IF(COUNTIFS(実績!$W$6:$W$505,N$3,実績!$AI$6:$AI$505,"&lt;="&amp;$A160,実績!$AJ$6:$AJ$505,"&gt;"&amp;$A160,実績!$AL$6:$AL$505,"○")&gt;0,1,0))</f>
        <v>0</v>
      </c>
      <c r="O160" s="39" t="n">
        <f aca="false">IF(O$4=0,0,IF(COUNTIFS(実績!$W$6:$W$505,O$3,実績!$AI$6:$AI$505,"&lt;="&amp;$A160,実績!$AJ$6:$AJ$505,"&gt;"&amp;$A160,実績!$AL$6:$AL$505,"○")&gt;0,1,0))</f>
        <v>0</v>
      </c>
      <c r="P160" s="39" t="n">
        <f aca="false">IF(P$4=0,0,IF(COUNTIFS(実績!$W$6:$W$505,P$3,実績!$AI$6:$AI$505,"&lt;="&amp;$A160,実績!$AJ$6:$AJ$505,"&gt;"&amp;$A160,実績!$AL$6:$AL$505,"○")&gt;0,1,0))</f>
        <v>0</v>
      </c>
      <c r="Q160" s="39" t="n">
        <f aca="false">IF(Q$4=0,0,IF(COUNTIFS(実績!$W$6:$W$505,Q$3,実績!$AI$6:$AI$505,"&lt;="&amp;$A160,実績!$AJ$6:$AJ$505,"&gt;"&amp;$A160,実績!$AL$6:$AL$505,"○")&gt;0,1,0))</f>
        <v>0</v>
      </c>
      <c r="R160" s="39" t="n">
        <f aca="false">IF(R$4=0,0,IF(COUNTIFS(実績!$W$6:$W$505,R$3,実績!$AI$6:$AI$505,"&lt;="&amp;$A160,実績!$AJ$6:$AJ$505,"&gt;"&amp;$A160,実績!$AL$6:$AL$505,"○")&gt;0,1,0))</f>
        <v>0</v>
      </c>
      <c r="S160" s="39" t="n">
        <f aca="false">IF(S$4=0,0,IF(COUNTIFS(実績!$W$6:$W$505,S$3,実績!$AI$6:$AI$505,"&lt;="&amp;$A160,実績!$AJ$6:$AJ$505,"&gt;"&amp;$A160,実績!$AL$6:$AL$505,"○")&gt;0,1,0))</f>
        <v>0</v>
      </c>
      <c r="T160" s="39" t="n">
        <f aca="false">IF(T$4=0,0,IF(COUNTIFS(実績!$W$6:$W$505,T$3,実績!$AI$6:$AI$505,"&lt;="&amp;$A160,実績!$AJ$6:$AJ$505,"&gt;"&amp;$A160,実績!$AL$6:$AL$505,"○")&gt;0,1,0))</f>
        <v>0</v>
      </c>
      <c r="U160" s="39" t="n">
        <f aca="false">IF(U$4=0,0,IF(COUNTIFS(実績!$W$6:$W$505,U$3,実績!$AI$6:$AI$505,"&lt;="&amp;$A160,実績!$AJ$6:$AJ$505,"&gt;"&amp;$A160,実績!$AL$6:$AL$505,"○")&gt;0,1,0))</f>
        <v>0</v>
      </c>
      <c r="V160" s="39" t="n">
        <f aca="false">IF(V$4=0,0,IF(COUNTIFS(実績!$W$6:$W$505,V$3,実績!$AI$6:$AI$505,"&lt;="&amp;$A160,実績!$AJ$6:$AJ$505,"&gt;"&amp;$A160,実績!$AL$6:$AL$505,"○")&gt;0,1,0))</f>
        <v>0</v>
      </c>
      <c r="W160" s="39" t="n">
        <f aca="false">IF(W$4=0,0,IF(COUNTIFS(実績!$W$6:$W$505,W$3,実績!$AI$6:$AI$505,"&lt;="&amp;$A160,実績!$AJ$6:$AJ$505,"&gt;"&amp;$A160,実績!$AL$6:$AL$505,"○")&gt;0,1,0))</f>
        <v>0</v>
      </c>
      <c r="X160" s="39" t="n">
        <f aca="false">IF(X$4=0,0,IF(COUNTIFS(実績!$W$6:$W$505,X$3,実績!$AI$6:$AI$505,"&lt;="&amp;$A160,実績!$AJ$6:$AJ$505,"&gt;"&amp;$A160,実績!$AL$6:$AL$505,"○")&gt;0,1,0))</f>
        <v>0</v>
      </c>
      <c r="Y160" s="39" t="n">
        <f aca="false">IF(Y$4=0,0,IF(COUNTIFS(実績!$W$6:$W$505,Y$3,実績!$AI$6:$AI$505,"&lt;="&amp;$A160,実績!$AJ$6:$AJ$505,"&gt;"&amp;$A160,実績!$AL$6:$AL$505,"○")&gt;0,1,0))</f>
        <v>0</v>
      </c>
      <c r="Z160" s="39" t="n">
        <f aca="false">IF(Z$4=0,0,IF(COUNTIFS(実績!$W$6:$W$505,Z$3,実績!$AI$6:$AI$505,"&lt;="&amp;$A160,実績!$AJ$6:$AJ$505,"&gt;"&amp;$A160,実績!$AL$6:$AL$505,"○")&gt;0,1,0))</f>
        <v>0</v>
      </c>
      <c r="AA160" s="39" t="n">
        <f aca="false">IF(AA$4=0,0,IF(COUNTIFS(実績!$W$6:$W$505,AA$3,実績!$AI$6:$AI$505,"&lt;="&amp;$A160,実績!$AJ$6:$AJ$505,"&gt;"&amp;$A160,実績!$AL$6:$AL$505,"○")&gt;0,1,0))</f>
        <v>0</v>
      </c>
      <c r="AB160" s="39" t="n">
        <f aca="false">IF(AB$4=0,0,IF(COUNTIFS(実績!$W$6:$W$505,AB$3,実績!$AI$6:$AI$505,"&lt;="&amp;$A160,実績!$AJ$6:$AJ$505,"&gt;"&amp;$A160,実績!$AL$6:$AL$505,"○")&gt;0,1,0))</f>
        <v>0</v>
      </c>
      <c r="AC160" s="39" t="n">
        <f aca="false">IF(AC$4=0,0,IF(COUNTIFS(実績!$W$6:$W$505,AC$3,実績!$AI$6:$AI$505,"&lt;="&amp;$A160,実績!$AJ$6:$AJ$505,"&gt;"&amp;$A160,実績!$AL$6:$AL$505,"○")&gt;0,1,0))</f>
        <v>0</v>
      </c>
      <c r="AD160" s="39" t="n">
        <f aca="false">IF(AD$4=0,0,IF(COUNTIFS(実績!$W$6:$W$505,AD$3,実績!$AI$6:$AI$505,"&lt;="&amp;$A160,実績!$AJ$6:$AJ$505,"&gt;"&amp;$A160,実績!$AL$6:$AL$505,"○")&gt;0,1,0))</f>
        <v>0</v>
      </c>
      <c r="AE160" s="39" t="n">
        <f aca="false">IF(AE$4=0,0,IF(COUNTIFS(実績!$W$6:$W$505,AE$3,実績!$AI$6:$AI$505,"&lt;="&amp;$A160,実績!$AJ$6:$AJ$505,"&gt;"&amp;$A160,実績!$AL$6:$AL$505,"○")&gt;0,1,0))</f>
        <v>0</v>
      </c>
      <c r="AF160" s="39" t="n">
        <f aca="false">IF(AF$4=0,0,IF(COUNTIFS(実績!$W$6:$W$505,AF$3,実績!$AI$6:$AI$505,"&lt;="&amp;$A160,実績!$AJ$6:$AJ$505,"&gt;"&amp;$A160,実績!$AL$6:$AL$505,"○")&gt;0,1,0))</f>
        <v>0</v>
      </c>
      <c r="AG160" s="39" t="n">
        <f aca="false">IF(AG$4=0,0,IF(COUNTIFS(実績!$W$6:$W$505,AG$3,実績!$AI$6:$AI$505,"&lt;="&amp;$A160,実績!$AJ$6:$AJ$505,"&gt;"&amp;$A160,実績!$AL$6:$AL$505,"○")&gt;0,1,0))</f>
        <v>0</v>
      </c>
      <c r="AH160" s="39" t="n">
        <f aca="false">IF(AH$4=0,0,IF(COUNTIFS(実績!$W$6:$W$505,AH$3,実績!$AI$6:$AI$505,"&lt;="&amp;$A160,実績!$AJ$6:$AJ$505,"&gt;"&amp;$A160,実績!$AL$6:$AL$505,"○")&gt;0,1,0))</f>
        <v>0</v>
      </c>
      <c r="AI160" s="39" t="n">
        <f aca="false">IF(AI$4=0,0,IF(COUNTIFS(実績!$W$6:$W$505,AI$3,実績!$AI$6:$AI$505,"&lt;="&amp;$A160,実績!$AJ$6:$AJ$505,"&gt;"&amp;$A160,実績!$AL$6:$AL$505,"○")&gt;0,1,0))</f>
        <v>0</v>
      </c>
      <c r="AJ160" s="39" t="n">
        <f aca="false">IF(AJ$4=0,0,IF(COUNTIFS(実績!$W$6:$W$505,AJ$3,実績!$AI$6:$AI$505,"&lt;="&amp;$A160,実績!$AJ$6:$AJ$505,"&gt;"&amp;$A160,実績!$AL$6:$AL$505,"○")&gt;0,1,0))</f>
        <v>0</v>
      </c>
      <c r="AK160" s="39" t="n">
        <f aca="false">IF(AK$4=0,0,IF(COUNTIFS(実績!$W$6:$W$505,AK$3,実績!$AI$6:$AI$505,"&lt;="&amp;$A160,実績!$AJ$6:$AJ$505,"&gt;"&amp;$A160,実績!$AL$6:$AL$505,"○")&gt;0,1,0))</f>
        <v>0</v>
      </c>
      <c r="AL160" s="39" t="n">
        <f aca="false">IF(AL$4=0,0,IF(COUNTIFS(実績!$W$6:$W$505,AL$3,実績!$AI$6:$AI$505,"&lt;="&amp;$A160,実績!$AJ$6:$AJ$505,"&gt;"&amp;$A160,実績!$AL$6:$AL$505,"○")&gt;0,1,0))</f>
        <v>0</v>
      </c>
      <c r="AM160" s="39" t="n">
        <f aca="false">IF(AM$4=0,0,IF(COUNTIFS(実績!$W$6:$W$505,AM$3,実績!$AI$6:$AI$505,"&lt;="&amp;$A160,実績!$AJ$6:$AJ$505,"&gt;"&amp;$A160,実績!$AL$6:$AL$505,"○")&gt;0,1,0))</f>
        <v>0</v>
      </c>
      <c r="AN160" s="39" t="n">
        <f aca="false">IF(AN$4=0,0,IF(COUNTIFS(実績!$W$6:$W$505,AN$3,実績!$AI$6:$AI$505,"&lt;="&amp;$A160,実績!$AJ$6:$AJ$505,"&gt;"&amp;$A160,実績!$AL$6:$AL$505,"○")&gt;0,1,0))</f>
        <v>0</v>
      </c>
      <c r="AO160" s="39" t="n">
        <f aca="false">IF(AO$4=0,0,IF(COUNTIFS(実績!$W$6:$W$505,AO$3,実績!$AI$6:$AI$505,"&lt;="&amp;$A160,実績!$AJ$6:$AJ$505,"&gt;"&amp;$A160,実績!$AL$6:$AL$505,"○")&gt;0,1,0))</f>
        <v>0</v>
      </c>
      <c r="AP160" s="39" t="n">
        <f aca="false">IF(AP$4=0,0,IF(COUNTIFS(実績!$W$6:$W$505,AP$3,実績!$AI$6:$AI$505,"&lt;="&amp;$A160,実績!$AJ$6:$AJ$505,"&gt;"&amp;$A160,実績!$AL$6:$AL$505,"○")&gt;0,1,0))</f>
        <v>0</v>
      </c>
      <c r="AQ160" s="39" t="n">
        <f aca="false">IF(AQ$4=0,0,IF(COUNTIFS(実績!$W$6:$W$505,AQ$3,実績!$AI$6:$AI$505,"&lt;="&amp;$A160,実績!$AJ$6:$AJ$505,"&gt;"&amp;$A160,実績!$AL$6:$AL$505,"○")&gt;0,1,0))</f>
        <v>0</v>
      </c>
      <c r="AR160" s="39" t="n">
        <f aca="false">IF(AR$4=0,0,IF(COUNTIFS(実績!$W$6:$W$505,AR$3,実績!$AI$6:$AI$505,"&lt;="&amp;$A160,実績!$AJ$6:$AJ$505,"&gt;"&amp;$A160,実績!$AL$6:$AL$505,"○")&gt;0,1,0))</f>
        <v>0</v>
      </c>
      <c r="AS160" s="39" t="n">
        <f aca="false">IF(AS$4=0,0,IF(COUNTIFS(実績!$W$6:$W$505,AS$3,実績!$AI$6:$AI$505,"&lt;="&amp;$A160,実績!$AJ$6:$AJ$505,"&gt;"&amp;$A160,実績!$AL$6:$AL$505,"○")&gt;0,1,0))</f>
        <v>0</v>
      </c>
      <c r="AT160" s="39" t="n">
        <f aca="false">IF(AT$4=0,0,IF(COUNTIFS(実績!$W$6:$W$505,AT$3,実績!$AI$6:$AI$505,"&lt;="&amp;$A160,実績!$AJ$6:$AJ$505,"&gt;"&amp;$A160,実績!$AL$6:$AL$505,"○")&gt;0,1,0))</f>
        <v>0</v>
      </c>
      <c r="AU160" s="39" t="n">
        <f aca="false">IF(AU$4=0,0,IF(COUNTIFS(実績!$W$6:$W$505,AU$3,実績!$AI$6:$AI$505,"&lt;="&amp;$A160,実績!$AJ$6:$AJ$505,"&gt;"&amp;$A160,実績!$AL$6:$AL$505,"○")&gt;0,1,0))</f>
        <v>0</v>
      </c>
      <c r="AV160" s="39" t="n">
        <f aca="false">IF(AV$4=0,0,IF(COUNTIFS(実績!$W$6:$W$505,AV$3,実績!$AI$6:$AI$505,"&lt;="&amp;$A160,実績!$AJ$6:$AJ$505,"&gt;"&amp;$A160,実績!$AL$6:$AL$505,"○")&gt;0,1,0))</f>
        <v>0</v>
      </c>
      <c r="AW160" s="39" t="n">
        <f aca="false">IF(AW$4=0,0,IF(COUNTIFS(実績!$W$6:$W$505,AW$3,実績!$AI$6:$AI$505,"&lt;="&amp;$A160,実績!$AJ$6:$AJ$505,"&gt;"&amp;$A160,実績!$AL$6:$AL$505,"○")&gt;0,1,0))</f>
        <v>0</v>
      </c>
      <c r="AX160" s="39" t="n">
        <f aca="false">IF(AX$4=0,0,IF(COUNTIFS(実績!$W$6:$W$505,AX$3,実績!$AI$6:$AI$505,"&lt;="&amp;$A160,実績!$AJ$6:$AJ$505,"&gt;"&amp;$A160,実績!$AL$6:$AL$505,"○")&gt;0,1,0))</f>
        <v>0</v>
      </c>
      <c r="AY160" s="39" t="n">
        <f aca="false">IF(AY$4=0,0,IF(COUNTIFS(実績!$W$6:$W$505,AY$3,実績!$AI$6:$AI$505,"&lt;="&amp;$A160,実績!$AJ$6:$AJ$505,"&gt;"&amp;$A160,実績!$AL$6:$AL$505,"○")&gt;0,1,0))</f>
        <v>0</v>
      </c>
      <c r="AZ160" s="39" t="n">
        <f aca="false">IF(AZ$4=0,0,IF(COUNTIFS(実績!$W$6:$W$505,AZ$3,実績!$AI$6:$AI$505,"&lt;="&amp;$A160,実績!$AJ$6:$AJ$505,"&gt;"&amp;$A160,実績!$AL$6:$AL$505,"○")&gt;0,1,0))</f>
        <v>0</v>
      </c>
      <c r="BA160" s="39" t="n">
        <f aca="false">IF(BA$4=0,0,IF(COUNTIFS(実績!$W$6:$W$505,BA$3,実績!$AI$6:$AI$505,"&lt;="&amp;$A160,実績!$AJ$6:$AJ$505,"&gt;"&amp;$A160,実績!$AL$6:$AL$505,"○")&gt;0,1,0))</f>
        <v>0</v>
      </c>
      <c r="BB160" s="39" t="n">
        <f aca="false">IF(BB$4=0,0,IF(COUNTIFS(実績!$W$6:$W$505,BB$3,実績!$AI$6:$AI$505,"&lt;="&amp;$A160,実績!$AJ$6:$AJ$505,"&gt;"&amp;$A160,実績!$AL$6:$AL$505,"○")&gt;0,1,0))</f>
        <v>0</v>
      </c>
      <c r="BC160" s="39" t="n">
        <f aca="false">IF(BC$4=0,0,IF(COUNTIFS(実績!$W$6:$W$505,BC$3,実績!$AI$6:$AI$505,"&lt;="&amp;$A160,実績!$AJ$6:$AJ$505,"&gt;"&amp;$A160,実績!$AL$6:$AL$505,"○")&gt;0,1,0))</f>
        <v>0</v>
      </c>
      <c r="BD160" s="39" t="n">
        <f aca="false">IF(BD$4=0,0,IF(COUNTIFS(実績!$W$6:$W$505,BD$3,実績!$AI$6:$AI$505,"&lt;="&amp;$A160,実績!$AJ$6:$AJ$505,"&gt;"&amp;$A160,実績!$AL$6:$AL$505,"○")&gt;0,1,0))</f>
        <v>0</v>
      </c>
      <c r="BE160" s="39" t="n">
        <f aca="false">IF(BE$4=0,0,IF(COUNTIFS(実績!$W$6:$W$505,BE$3,実績!$AI$6:$AI$505,"&lt;="&amp;$A160,実績!$AJ$6:$AJ$505,"&gt;"&amp;$A160,実績!$AL$6:$AL$505,"○")&gt;0,1,0))</f>
        <v>0</v>
      </c>
      <c r="BF160" s="39" t="n">
        <f aca="false">IF(BF$4=0,0,IF(COUNTIFS(実績!$W$6:$W$505,BF$3,実績!$AI$6:$AI$505,"&lt;="&amp;$A160,実績!$AJ$6:$AJ$505,"&gt;"&amp;$A160,実績!$AL$6:$AL$505,"○")&gt;0,1,0))</f>
        <v>0</v>
      </c>
      <c r="BG160" s="39" t="n">
        <f aca="false">IF(BG$4=0,0,IF(COUNTIFS(実績!$W$6:$W$505,BG$3,実績!$AI$6:$AI$505,"&lt;="&amp;$A160,実績!$AJ$6:$AJ$505,"&gt;"&amp;$A160,実績!$AL$6:$AL$505,"○")&gt;0,1,0))</f>
        <v>0</v>
      </c>
      <c r="BH160" s="39" t="n">
        <f aca="false">IF(BH$4=0,0,IF(COUNTIFS(実績!$W$6:$W$505,BH$3,実績!$AI$6:$AI$505,"&lt;="&amp;$A160,実績!$AJ$6:$AJ$505,"&gt;"&amp;$A160,実績!$AL$6:$AL$505,"○")&gt;0,1,0))</f>
        <v>0</v>
      </c>
      <c r="BI160" s="39" t="n">
        <f aca="false">IF(BI$4=0,0,IF(COUNTIFS(実績!$W$6:$W$505,BI$3,実績!$AI$6:$AI$505,"&lt;="&amp;$A160,実績!$AJ$6:$AJ$505,"&gt;"&amp;$A160,実績!$AL$6:$AL$505,"○")&gt;0,1,0))</f>
        <v>0</v>
      </c>
      <c r="BJ160" s="39" t="n">
        <f aca="false">IF(BJ$4=0,0,IF(COUNTIFS(実績!$W$6:$W$505,BJ$3,実績!$AI$6:$AI$505,"&lt;="&amp;$A160,実績!$AJ$6:$AJ$505,"&gt;"&amp;$A160,実績!$AL$6:$AL$505,"○")&gt;0,1,0))</f>
        <v>0</v>
      </c>
      <c r="BK160" s="39" t="n">
        <f aca="false">IF(BK$4=0,0,IF(COUNTIFS(実績!$W$6:$W$505,BK$3,実績!$AI$6:$AI$505,"&lt;="&amp;$A160,実績!$AJ$6:$AJ$505,"&gt;"&amp;$A160,実績!$AL$6:$AL$505,"○")&gt;0,1,0))</f>
        <v>0</v>
      </c>
      <c r="BL160" s="39" t="n">
        <f aca="false">IF(BL$4=0,0,IF(COUNTIFS(実績!$W$6:$W$505,BL$3,実績!$AI$6:$AI$505,"&lt;="&amp;$A160,実績!$AJ$6:$AJ$505,"&gt;"&amp;$A160,実績!$AL$6:$AL$505,"○")&gt;0,1,0))</f>
        <v>0</v>
      </c>
      <c r="BM160" s="39" t="n">
        <f aca="false">IF(BM$4=0,0,IF(COUNTIFS(実績!$W$6:$W$505,BM$3,実績!$AI$6:$AI$505,"&lt;="&amp;$A160,実績!$AJ$6:$AJ$505,"&gt;"&amp;$A160,実績!$AL$6:$AL$505,"○")&gt;0,1,0))</f>
        <v>0</v>
      </c>
      <c r="BN160" s="39" t="n">
        <f aca="false">IF(BN$4=0,0,IF(COUNTIFS(実績!$W$6:$W$505,BN$3,実績!$AI$6:$AI$505,"&lt;="&amp;$A160,実績!$AJ$6:$AJ$505,"&gt;"&amp;$A160,実績!$AL$6:$AL$505,"○")&gt;0,1,0))</f>
        <v>0</v>
      </c>
      <c r="BO160" s="39" t="n">
        <f aca="false">IF(BO$4=0,0,IF(COUNTIFS(実績!$W$6:$W$505,BO$3,実績!$AI$6:$AI$505,"&lt;="&amp;$A160,実績!$AJ$6:$AJ$505,"&gt;"&amp;$A160,実績!$AL$6:$AL$505,"○")&gt;0,1,0))</f>
        <v>0</v>
      </c>
      <c r="BP160" s="39" t="n">
        <f aca="false">IF(BP$4=0,0,IF(COUNTIFS(実績!$W$6:$W$505,BP$3,実績!$AI$6:$AI$505,"&lt;="&amp;$A160,実績!$AJ$6:$AJ$505,"&gt;"&amp;$A160,実績!$AL$6:$AL$505,"○")&gt;0,1,0))</f>
        <v>0</v>
      </c>
      <c r="BQ160" s="39" t="n">
        <f aca="false">IF(BQ$4=0,0,IF(COUNTIFS(実績!$W$6:$W$505,BQ$3,実績!$AI$6:$AI$505,"&lt;="&amp;$A160,実績!$AJ$6:$AJ$505,"&gt;"&amp;$A160,実績!$AL$6:$AL$505,"○")&gt;0,1,0))</f>
        <v>0</v>
      </c>
      <c r="BR160" s="39" t="n">
        <f aca="false">IF(BR$4=0,0,IF(COUNTIFS(実績!$W$6:$W$505,BR$3,実績!$AI$6:$AI$505,"&lt;="&amp;$A160,実績!$AJ$6:$AJ$505,"&gt;"&amp;$A160,実績!$AL$6:$AL$505,"○")&gt;0,1,0))</f>
        <v>0</v>
      </c>
      <c r="BS160" s="39" t="n">
        <f aca="false">IF(BS$4=0,0,IF(COUNTIFS(実績!$W$6:$W$505,BS$3,実績!$AI$6:$AI$505,"&lt;="&amp;$A160,実績!$AJ$6:$AJ$505,"&gt;"&amp;$A160,実績!$AL$6:$AL$505,"○")&gt;0,1,0))</f>
        <v>0</v>
      </c>
      <c r="BT160" s="39" t="n">
        <f aca="false">IF(BT$4=0,0,IF(COUNTIFS(実績!$W$6:$W$505,BT$3,実績!$AI$6:$AI$505,"&lt;="&amp;$A160,実績!$AJ$6:$AJ$505,"&gt;"&amp;$A160,実績!$AL$6:$AL$505,"○")&gt;0,1,0))</f>
        <v>0</v>
      </c>
      <c r="BU160" s="39" t="n">
        <f aca="false">IF(BU$4=0,0,IF(COUNTIFS(実績!$W$6:$W$505,BU$3,実績!$AI$6:$AI$505,"&lt;="&amp;$A160,実績!$AJ$6:$AJ$505,"&gt;"&amp;$A160,実績!$AL$6:$AL$505,"○")&gt;0,1,0))</f>
        <v>0</v>
      </c>
      <c r="BV160" s="39" t="n">
        <f aca="false">IF(BV$4=0,0,IF(COUNTIFS(実績!$W$6:$W$505,BV$3,実績!$AI$6:$AI$505,"&lt;="&amp;$A160,実績!$AJ$6:$AJ$505,"&gt;"&amp;$A160,実績!$AL$6:$AL$505,"○")&gt;0,1,0))</f>
        <v>0</v>
      </c>
      <c r="BW160" s="39" t="n">
        <f aca="false">IF(BW$4=0,0,IF(COUNTIFS(実績!$W$6:$W$505,BW$3,実績!$AI$6:$AI$505,"&lt;="&amp;$A160,実績!$AJ$6:$AJ$505,"&gt;"&amp;$A160,実績!$AL$6:$AL$505,"○")&gt;0,1,0))</f>
        <v>0</v>
      </c>
      <c r="BX160" s="39" t="n">
        <f aca="false">IF(BX$4=0,0,IF(COUNTIFS(実績!$W$6:$W$505,BX$3,実績!$AI$6:$AI$505,"&lt;="&amp;$A160,実績!$AJ$6:$AJ$505,"&gt;"&amp;$A160,実績!$AL$6:$AL$505,"○")&gt;0,1,0))</f>
        <v>0</v>
      </c>
      <c r="BY160" s="39" t="n">
        <f aca="false">IF(BY$4=0,0,IF(COUNTIFS(実績!$W$6:$W$505,BY$3,実績!$AI$6:$AI$505,"&lt;="&amp;$A160,実績!$AJ$6:$AJ$505,"&gt;"&amp;$A160,実績!$AL$6:$AL$505,"○")&gt;0,1,0))</f>
        <v>0</v>
      </c>
      <c r="BZ160" s="39" t="n">
        <f aca="false">IF(BZ$4=0,0,IF(COUNTIFS(実績!$W$6:$W$505,BZ$3,実績!$AI$6:$AI$505,"&lt;="&amp;$A160,実績!$AJ$6:$AJ$505,"&gt;"&amp;$A160,実績!$AL$6:$AL$505,"○")&gt;0,1,0))</f>
        <v>0</v>
      </c>
      <c r="CA160" s="39" t="n">
        <f aca="false">IF(CA$4=0,0,IF(COUNTIFS(実績!$W$6:$W$505,CA$3,実績!$AI$6:$AI$505,"&lt;="&amp;$A160,実績!$AJ$6:$AJ$505,"&gt;"&amp;$A160,実績!$AL$6:$AL$505,"○")&gt;0,1,0))</f>
        <v>0</v>
      </c>
      <c r="CB160" s="39" t="n">
        <f aca="false">IF(CB$4=0,0,IF(COUNTIFS(実績!$W$6:$W$505,CB$3,実績!$AI$6:$AI$505,"&lt;="&amp;$A160,実績!$AJ$6:$AJ$505,"&gt;"&amp;$A160,実績!$AL$6:$AL$505,"○")&gt;0,1,0))</f>
        <v>0</v>
      </c>
      <c r="CC160" s="39" t="n">
        <f aca="false">IF(CC$4=0,0,IF(COUNTIFS(実績!$W$6:$W$505,CC$3,実績!$AI$6:$AI$505,"&lt;="&amp;$A160,実績!$AJ$6:$AJ$505,"&gt;"&amp;$A160,実績!$AL$6:$AL$505,"○")&gt;0,1,0))</f>
        <v>0</v>
      </c>
      <c r="CD160" s="39" t="n">
        <f aca="false">IF(CD$4=0,0,IF(COUNTIFS(実績!$W$6:$W$505,CD$3,実績!$AI$6:$AI$505,"&lt;="&amp;$A160,実績!$AJ$6:$AJ$505,"&gt;"&amp;$A160,実績!$AL$6:$AL$505,"○")&gt;0,1,0))</f>
        <v>0</v>
      </c>
      <c r="CE160" s="39" t="n">
        <f aca="false">IF(CE$4=0,0,IF(COUNTIFS(実績!$W$6:$W$505,CE$3,実績!$AI$6:$AI$505,"&lt;="&amp;$A160,実績!$AJ$6:$AJ$505,"&gt;"&amp;$A160,実績!$AL$6:$AL$505,"○")&gt;0,1,0))</f>
        <v>0</v>
      </c>
      <c r="CF160" s="39" t="n">
        <f aca="false">IF(CF$4=0,0,IF(COUNTIFS(実績!$W$6:$W$505,CF$3,実績!$AI$6:$AI$505,"&lt;="&amp;$A160,実績!$AJ$6:$AJ$505,"&gt;"&amp;$A160,実績!$AL$6:$AL$505,"○")&gt;0,1,0))</f>
        <v>0</v>
      </c>
      <c r="CG160" s="39" t="n">
        <f aca="false">IF(CG$4=0,0,IF(COUNTIFS(実績!$W$6:$W$505,CG$3,実績!$AI$6:$AI$505,"&lt;="&amp;$A160,実績!$AJ$6:$AJ$505,"&gt;"&amp;$A160,実績!$AL$6:$AL$505,"○")&gt;0,1,0))</f>
        <v>0</v>
      </c>
      <c r="CH160" s="39" t="n">
        <f aca="false">IF(CH$4=0,0,IF(COUNTIFS(実績!$W$6:$W$505,CH$3,実績!$AI$6:$AI$505,"&lt;="&amp;$A160,実績!$AJ$6:$AJ$505,"&gt;"&amp;$A160,実績!$AL$6:$AL$505,"○")&gt;0,1,0))</f>
        <v>0</v>
      </c>
      <c r="CI160" s="39" t="n">
        <f aca="false">IF(CI$4=0,0,IF(COUNTIFS(実績!$W$6:$W$505,CI$3,実績!$AI$6:$AI$505,"&lt;="&amp;$A160,実績!$AJ$6:$AJ$505,"&gt;"&amp;$A160,実績!$AL$6:$AL$505,"○")&gt;0,1,0))</f>
        <v>0</v>
      </c>
      <c r="CJ160" s="39" t="n">
        <f aca="false">IF(CJ$4=0,0,IF(COUNTIFS(実績!$W$6:$W$505,CJ$3,実績!$AI$6:$AI$505,"&lt;="&amp;$A160,実績!$AJ$6:$AJ$505,"&gt;"&amp;$A160,実績!$AL$6:$AL$505,"○")&gt;0,1,0))</f>
        <v>0</v>
      </c>
      <c r="CK160" s="39" t="n">
        <f aca="false">IF(CK$4=0,0,IF(COUNTIFS(実績!$W$6:$W$505,CK$3,実績!$AI$6:$AI$505,"&lt;="&amp;$A160,実績!$AJ$6:$AJ$505,"&gt;"&amp;$A160,実績!$AL$6:$AL$505,"○")&gt;0,1,0))</f>
        <v>0</v>
      </c>
      <c r="CL160" s="39" t="n">
        <f aca="false">IF(CL$4=0,0,IF(COUNTIFS(実績!$W$6:$W$505,CL$3,実績!$AI$6:$AI$505,"&lt;="&amp;$A160,実績!$AJ$6:$AJ$505,"&gt;"&amp;$A160,実績!$AL$6:$AL$505,"○")&gt;0,1,0))</f>
        <v>0</v>
      </c>
      <c r="CM160" s="39" t="n">
        <f aca="false">IF(CM$4=0,0,IF(COUNTIFS(実績!$W$6:$W$505,CM$3,実績!$AI$6:$AI$505,"&lt;="&amp;$A160,実績!$AJ$6:$AJ$505,"&gt;"&amp;$A160,実績!$AL$6:$AL$505,"○")&gt;0,1,0))</f>
        <v>0</v>
      </c>
      <c r="CN160" s="39" t="n">
        <f aca="false">IF(CN$4=0,0,IF(COUNTIFS(実績!$W$6:$W$505,CN$3,実績!$AI$6:$AI$505,"&lt;="&amp;$A160,実績!$AJ$6:$AJ$505,"&gt;"&amp;$A160,実績!$AL$6:$AL$505,"○")&gt;0,1,0))</f>
        <v>0</v>
      </c>
      <c r="CO160" s="39" t="n">
        <f aca="false">IF(CO$4=0,0,IF(COUNTIFS(実績!$W$6:$W$505,CO$3,実績!$AI$6:$AI$505,"&lt;="&amp;$A160,実績!$AJ$6:$AJ$505,"&gt;"&amp;$A160,実績!$AL$6:$AL$505,"○")&gt;0,1,0))</f>
        <v>0</v>
      </c>
      <c r="CP160" s="39" t="n">
        <f aca="false">IF(CP$4=0,0,IF(COUNTIFS(実績!$W$6:$W$505,CP$3,実績!$AI$6:$AI$505,"&lt;="&amp;$A160,実績!$AJ$6:$AJ$505,"&gt;"&amp;$A160,実績!$AL$6:$AL$505,"○")&gt;0,1,0))</f>
        <v>0</v>
      </c>
      <c r="CQ160" s="39" t="n">
        <f aca="false">IF(CQ$4=0,0,IF(COUNTIFS(実績!$W$6:$W$505,CQ$3,実績!$AI$6:$AI$505,"&lt;="&amp;$A160,実績!$AJ$6:$AJ$505,"&gt;"&amp;$A160,実績!$AL$6:$AL$505,"○")&gt;0,1,0))</f>
        <v>0</v>
      </c>
      <c r="CR160" s="39" t="n">
        <f aca="false">IF(CR$4=0,0,IF(COUNTIFS(実績!$W$6:$W$505,CR$3,実績!$AI$6:$AI$505,"&lt;="&amp;$A160,実績!$AJ$6:$AJ$505,"&gt;"&amp;$A160,実績!$AL$6:$AL$505,"○")&gt;0,1,0))</f>
        <v>0</v>
      </c>
      <c r="CS160" s="39" t="n">
        <f aca="false">IF(CS$4=0,0,IF(COUNTIFS(実績!$W$6:$W$505,CS$3,実績!$AI$6:$AI$505,"&lt;="&amp;$A160,実績!$AJ$6:$AJ$505,"&gt;"&amp;$A160,実績!$AL$6:$AL$505,"○")&gt;0,1,0))</f>
        <v>0</v>
      </c>
      <c r="CT160" s="39" t="n">
        <f aca="false">IF(CT$4=0,0,IF(COUNTIFS(実績!$W$6:$W$505,CT$3,実績!$AI$6:$AI$505,"&lt;="&amp;$A160,実績!$AJ$6:$AJ$505,"&gt;"&amp;$A160,実績!$AL$6:$AL$505,"○")&gt;0,1,0))</f>
        <v>0</v>
      </c>
      <c r="CU160" s="39" t="n">
        <f aca="false">IF(CU$4=0,0,IF(COUNTIFS(実績!$W$6:$W$505,CU$3,実績!$AI$6:$AI$505,"&lt;="&amp;$A160,実績!$AJ$6:$AJ$505,"&gt;"&amp;$A160,実績!$AL$6:$AL$505,"○")&gt;0,1,0))</f>
        <v>0</v>
      </c>
      <c r="CV160" s="39" t="n">
        <f aca="false">IF(CV$4=0,0,IF(COUNTIFS(実績!$W$6:$W$505,CV$3,実績!$AI$6:$AI$505,"&lt;="&amp;$A160,実績!$AJ$6:$AJ$505,"&gt;"&amp;$A160,実績!$AL$6:$AL$505,"○")&gt;0,1,0))</f>
        <v>0</v>
      </c>
      <c r="CW160" s="39" t="n">
        <f aca="false">IF(CW$4=0,0,IF(COUNTIFS(実績!$W$6:$W$505,CW$3,実績!$AI$6:$AI$505,"&lt;="&amp;$A160,実績!$AJ$6:$AJ$505,"&gt;"&amp;$A160,実績!$AL$6:$AL$505,"○")&gt;0,1,0))</f>
        <v>0</v>
      </c>
      <c r="CX160" s="39" t="n">
        <f aca="false">IF(CX$4=0,0,IF(COUNTIFS(実績!$W$6:$W$505,CX$3,実績!$AI$6:$AI$505,"&lt;="&amp;$A160,実績!$AJ$6:$AJ$505,"&gt;"&amp;$A160,実績!$AL$6:$AL$505,"○")&gt;0,1,0))</f>
        <v>0</v>
      </c>
      <c r="CY160" s="39" t="n">
        <f aca="false">IF(CY$4=0,0,IF(COUNTIFS(実績!$W$6:$W$505,CY$3,実績!$AI$6:$AI$505,"&lt;="&amp;$A160,実績!$AJ$6:$AJ$505,"&gt;"&amp;$A160,実績!$AL$6:$AL$505,"○")&gt;0,1,0))</f>
        <v>0</v>
      </c>
      <c r="CZ160" s="39" t="n">
        <f aca="false">IF(CZ$4=0,0,IF(COUNTIFS(実績!$W$6:$W$505,CZ$3,実績!$AI$6:$AI$505,"&lt;="&amp;$A160,実績!$AJ$6:$AJ$505,"&gt;"&amp;$A160,実績!$AL$6:$AL$505,"○")&gt;0,1,0))</f>
        <v>0</v>
      </c>
      <c r="DA160" s="39" t="n">
        <f aca="false">IF(DA$4=0,0,IF(COUNTIFS(実績!$W$6:$W$505,DA$3,実績!$AI$6:$AI$505,"&lt;="&amp;$A160,実績!$AJ$6:$AJ$505,"&gt;"&amp;$A160,実績!$AL$6:$AL$505,"○")&gt;0,1,0))</f>
        <v>0</v>
      </c>
      <c r="DB160" s="39" t="n">
        <f aca="false">IF(DB$4=0,0,IF(COUNTIFS(実績!$W$6:$W$505,DB$3,実績!$AI$6:$AI$505,"&lt;="&amp;$A160,実績!$AJ$6:$AJ$505,"&gt;"&amp;$A160,実績!$AL$6:$AL$505,"○")&gt;0,1,0))</f>
        <v>0</v>
      </c>
      <c r="DC160" s="39" t="n">
        <f aca="false">IF(DC$4=0,0,IF(COUNTIFS(実績!$W$6:$W$505,DC$3,実績!$AI$6:$AI$505,"&lt;="&amp;$A160,実績!$AJ$6:$AJ$505,"&gt;"&amp;$A160,実績!$AL$6:$AL$505,"○")&gt;0,1,0))</f>
        <v>0</v>
      </c>
      <c r="DD160" s="39" t="n">
        <f aca="false">IF(DD$4=0,0,IF(COUNTIFS(実績!$W$6:$W$505,DD$3,実績!$AI$6:$AI$505,"&lt;="&amp;$A160,実績!$AJ$6:$AJ$505,"&gt;"&amp;$A160,実績!$AL$6:$AL$505,"○")&gt;0,1,0))</f>
        <v>0</v>
      </c>
      <c r="DE160" s="39" t="n">
        <f aca="false">IF(DE$4=0,0,IF(COUNTIFS(実績!$W$6:$W$505,DE$3,実績!$AI$6:$AI$505,"&lt;="&amp;$A160,実績!$AJ$6:$AJ$505,"&gt;"&amp;$A160,実績!$AL$6:$AL$505,"○")&gt;0,1,0))</f>
        <v>0</v>
      </c>
      <c r="DF160" s="39" t="n">
        <f aca="false">IF(DF$4=0,0,IF(COUNTIFS(実績!$W$6:$W$505,DF$3,実績!$AI$6:$AI$505,"&lt;="&amp;$A160,実績!$AJ$6:$AJ$505,"&gt;"&amp;$A160,実績!$AL$6:$AL$505,"○")&gt;0,1,0))</f>
        <v>0</v>
      </c>
      <c r="DG160" s="39" t="n">
        <f aca="false">IF(DG$4=0,0,IF(COUNTIFS(実績!$W$6:$W$505,DG$3,実績!$AI$6:$AI$505,"&lt;="&amp;$A160,実績!$AJ$6:$AJ$505,"&gt;"&amp;$A160,実績!$AL$6:$AL$505,"○")&gt;0,1,0))</f>
        <v>0</v>
      </c>
      <c r="DH160" s="39" t="n">
        <f aca="false">IF(DH$4=0,0,IF(COUNTIFS(実績!$W$6:$W$505,DH$3,実績!$AI$6:$AI$505,"&lt;="&amp;$A160,実績!$AJ$6:$AJ$505,"&gt;"&amp;$A160,実績!$AL$6:$AL$505,"○")&gt;0,1,0))</f>
        <v>0</v>
      </c>
      <c r="DI160" s="39" t="n">
        <f aca="false">IF(DI$4=0,0,IF(COUNTIFS(実績!$W$6:$W$505,DI$3,実績!$AI$6:$AI$505,"&lt;="&amp;$A160,実績!$AJ$6:$AJ$505,"&gt;"&amp;$A160,実績!$AL$6:$AL$505,"○")&gt;0,1,0))</f>
        <v>0</v>
      </c>
      <c r="DJ160" s="39" t="n">
        <f aca="false">IF(DJ$4=0,0,IF(COUNTIFS(実績!$W$6:$W$505,DJ$3,実績!$AI$6:$AI$505,"&lt;="&amp;$A160,実績!$AJ$6:$AJ$505,"&gt;"&amp;$A160,実績!$AL$6:$AL$505,"○")&gt;0,1,0))</f>
        <v>0</v>
      </c>
      <c r="DK160" s="39" t="n">
        <f aca="false">IF(DK$4=0,0,IF(COUNTIFS(実績!$W$6:$W$505,DK$3,実績!$AI$6:$AI$505,"&lt;="&amp;$A160,実績!$AJ$6:$AJ$505,"&gt;"&amp;$A160,実績!$AL$6:$AL$505,"○")&gt;0,1,0))</f>
        <v>0</v>
      </c>
      <c r="DL160" s="39" t="n">
        <f aca="false">IF(DL$4=0,0,IF(COUNTIFS(実績!$W$6:$W$505,DL$3,実績!$AI$6:$AI$505,"&lt;="&amp;$A160,実績!$AJ$6:$AJ$505,"&gt;"&amp;$A160,実績!$AL$6:$AL$505,"○")&gt;0,1,0))</f>
        <v>0</v>
      </c>
      <c r="DM160" s="39" t="n">
        <f aca="false">IF(DM$4=0,0,IF(COUNTIFS(実績!$W$6:$W$505,DM$3,実績!$AI$6:$AI$505,"&lt;="&amp;$A160,実績!$AJ$6:$AJ$505,"&gt;"&amp;$A160,実績!$AL$6:$AL$505,"○")&gt;0,1,0))</f>
        <v>0</v>
      </c>
      <c r="DN160" s="39" t="n">
        <f aca="false">IF(DN$4=0,0,IF(COUNTIFS(実績!$W$6:$W$505,DN$3,実績!$AI$6:$AI$505,"&lt;="&amp;$A160,実績!$AJ$6:$AJ$505,"&gt;"&amp;$A160,実績!$AL$6:$AL$505,"○")&gt;0,1,0))</f>
        <v>0</v>
      </c>
      <c r="DO160" s="39" t="n">
        <f aca="false">IF(DO$4=0,0,IF(COUNTIFS(実績!$W$6:$W$505,DO$3,実績!$AI$6:$AI$505,"&lt;="&amp;$A160,実績!$AJ$6:$AJ$505,"&gt;"&amp;$A160,実績!$AL$6:$AL$505,"○")&gt;0,1,0))</f>
        <v>0</v>
      </c>
      <c r="DP160" s="39" t="n">
        <f aca="false">IF(DP$4=0,0,IF(COUNTIFS(実績!$W$6:$W$505,DP$3,実績!$AI$6:$AI$505,"&lt;="&amp;$A160,実績!$AJ$6:$AJ$505,"&gt;"&amp;$A160,実績!$AL$6:$AL$505,"○")&gt;0,1,0))</f>
        <v>0</v>
      </c>
      <c r="DQ160" s="39" t="n">
        <f aca="false">IF(DQ$4=0,0,IF(COUNTIFS(実績!$W$6:$W$505,DQ$3,実績!$AI$6:$AI$505,"&lt;="&amp;$A160,実績!$AJ$6:$AJ$505,"&gt;"&amp;$A160,実績!$AL$6:$AL$505,"○")&gt;0,1,0))</f>
        <v>0</v>
      </c>
      <c r="DR160" s="39" t="n">
        <f aca="false">IF(DR$4=0,0,IF(COUNTIFS(実績!$W$6:$W$505,DR$3,実績!$AI$6:$AI$505,"&lt;="&amp;$A160,実績!$AJ$6:$AJ$505,"&gt;"&amp;$A160,実績!$AL$6:$AL$505,"○")&gt;0,1,0))</f>
        <v>0</v>
      </c>
      <c r="DS160" s="39" t="n">
        <f aca="false">SUM(C160:DR160)</f>
        <v>0</v>
      </c>
    </row>
    <row r="161" customFormat="false" ht="15" hidden="false" customHeight="false" outlineLevel="0" collapsed="false">
      <c r="A161" s="0" t="n">
        <v>775</v>
      </c>
      <c r="B161" s="38" t="n">
        <f aca="false">A161/1440</f>
        <v>0.538194444444444</v>
      </c>
      <c r="C161" s="39" t="n">
        <f aca="false">IF(C$4=0,0,IF(COUNTIFS(実績!$W$6:$W$505,C$3,実績!$AI$6:$AI$505,"&lt;="&amp;$A161,実績!$AJ$6:$AJ$505,"&gt;"&amp;$A161,実績!$AL$6:$AL$505,"○")&gt;0,1,0))</f>
        <v>0</v>
      </c>
      <c r="D161" s="39" t="n">
        <f aca="false">IF(D$4=0,0,IF(COUNTIFS(実績!$W$6:$W$505,D$3,実績!$AI$6:$AI$505,"&lt;="&amp;$A161,実績!$AJ$6:$AJ$505,"&gt;"&amp;$A161,実績!$AL$6:$AL$505,"○")&gt;0,1,0))</f>
        <v>0</v>
      </c>
      <c r="E161" s="39" t="n">
        <f aca="false">IF(E$4=0,0,IF(COUNTIFS(実績!$W$6:$W$505,E$3,実績!$AI$6:$AI$505,"&lt;="&amp;$A161,実績!$AJ$6:$AJ$505,"&gt;"&amp;$A161,実績!$AL$6:$AL$505,"○")&gt;0,1,0))</f>
        <v>0</v>
      </c>
      <c r="F161" s="39" t="n">
        <f aca="false">IF(F$4=0,0,IF(COUNTIFS(実績!$W$6:$W$505,F$3,実績!$AI$6:$AI$505,"&lt;="&amp;$A161,実績!$AJ$6:$AJ$505,"&gt;"&amp;$A161,実績!$AL$6:$AL$505,"○")&gt;0,1,0))</f>
        <v>0</v>
      </c>
      <c r="G161" s="39" t="n">
        <f aca="false">IF(G$4=0,0,IF(COUNTIFS(実績!$W$6:$W$505,G$3,実績!$AI$6:$AI$505,"&lt;="&amp;$A161,実績!$AJ$6:$AJ$505,"&gt;"&amp;$A161,実績!$AL$6:$AL$505,"○")&gt;0,1,0))</f>
        <v>0</v>
      </c>
      <c r="H161" s="39" t="n">
        <f aca="false">IF(H$4=0,0,IF(COUNTIFS(実績!$W$6:$W$505,H$3,実績!$AI$6:$AI$505,"&lt;="&amp;$A161,実績!$AJ$6:$AJ$505,"&gt;"&amp;$A161,実績!$AL$6:$AL$505,"○")&gt;0,1,0))</f>
        <v>0</v>
      </c>
      <c r="I161" s="39" t="n">
        <f aca="false">IF(I$4=0,0,IF(COUNTIFS(実績!$W$6:$W$505,I$3,実績!$AI$6:$AI$505,"&lt;="&amp;$A161,実績!$AJ$6:$AJ$505,"&gt;"&amp;$A161,実績!$AL$6:$AL$505,"○")&gt;0,1,0))</f>
        <v>0</v>
      </c>
      <c r="J161" s="39" t="n">
        <f aca="false">IF(J$4=0,0,IF(COUNTIFS(実績!$W$6:$W$505,J$3,実績!$AI$6:$AI$505,"&lt;="&amp;$A161,実績!$AJ$6:$AJ$505,"&gt;"&amp;$A161,実績!$AL$6:$AL$505,"○")&gt;0,1,0))</f>
        <v>0</v>
      </c>
      <c r="K161" s="39" t="n">
        <f aca="false">IF(K$4=0,0,IF(COUNTIFS(実績!$W$6:$W$505,K$3,実績!$AI$6:$AI$505,"&lt;="&amp;$A161,実績!$AJ$6:$AJ$505,"&gt;"&amp;$A161,実績!$AL$6:$AL$505,"○")&gt;0,1,0))</f>
        <v>0</v>
      </c>
      <c r="L161" s="39" t="n">
        <f aca="false">IF(L$4=0,0,IF(COUNTIFS(実績!$W$6:$W$505,L$3,実績!$AI$6:$AI$505,"&lt;="&amp;$A161,実績!$AJ$6:$AJ$505,"&gt;"&amp;$A161,実績!$AL$6:$AL$505,"○")&gt;0,1,0))</f>
        <v>0</v>
      </c>
      <c r="M161" s="39" t="n">
        <f aca="false">IF(M$4=0,0,IF(COUNTIFS(実績!$W$6:$W$505,M$3,実績!$AI$6:$AI$505,"&lt;="&amp;$A161,実績!$AJ$6:$AJ$505,"&gt;"&amp;$A161,実績!$AL$6:$AL$505,"○")&gt;0,1,0))</f>
        <v>0</v>
      </c>
      <c r="N161" s="39" t="n">
        <f aca="false">IF(N$4=0,0,IF(COUNTIFS(実績!$W$6:$W$505,N$3,実績!$AI$6:$AI$505,"&lt;="&amp;$A161,実績!$AJ$6:$AJ$505,"&gt;"&amp;$A161,実績!$AL$6:$AL$505,"○")&gt;0,1,0))</f>
        <v>0</v>
      </c>
      <c r="O161" s="39" t="n">
        <f aca="false">IF(O$4=0,0,IF(COUNTIFS(実績!$W$6:$W$505,O$3,実績!$AI$6:$AI$505,"&lt;="&amp;$A161,実績!$AJ$6:$AJ$505,"&gt;"&amp;$A161,実績!$AL$6:$AL$505,"○")&gt;0,1,0))</f>
        <v>0</v>
      </c>
      <c r="P161" s="39" t="n">
        <f aca="false">IF(P$4=0,0,IF(COUNTIFS(実績!$W$6:$W$505,P$3,実績!$AI$6:$AI$505,"&lt;="&amp;$A161,実績!$AJ$6:$AJ$505,"&gt;"&amp;$A161,実績!$AL$6:$AL$505,"○")&gt;0,1,0))</f>
        <v>0</v>
      </c>
      <c r="Q161" s="39" t="n">
        <f aca="false">IF(Q$4=0,0,IF(COUNTIFS(実績!$W$6:$W$505,Q$3,実績!$AI$6:$AI$505,"&lt;="&amp;$A161,実績!$AJ$6:$AJ$505,"&gt;"&amp;$A161,実績!$AL$6:$AL$505,"○")&gt;0,1,0))</f>
        <v>0</v>
      </c>
      <c r="R161" s="39" t="n">
        <f aca="false">IF(R$4=0,0,IF(COUNTIFS(実績!$W$6:$W$505,R$3,実績!$AI$6:$AI$505,"&lt;="&amp;$A161,実績!$AJ$6:$AJ$505,"&gt;"&amp;$A161,実績!$AL$6:$AL$505,"○")&gt;0,1,0))</f>
        <v>0</v>
      </c>
      <c r="S161" s="39" t="n">
        <f aca="false">IF(S$4=0,0,IF(COUNTIFS(実績!$W$6:$W$505,S$3,実績!$AI$6:$AI$505,"&lt;="&amp;$A161,実績!$AJ$6:$AJ$505,"&gt;"&amp;$A161,実績!$AL$6:$AL$505,"○")&gt;0,1,0))</f>
        <v>0</v>
      </c>
      <c r="T161" s="39" t="n">
        <f aca="false">IF(T$4=0,0,IF(COUNTIFS(実績!$W$6:$W$505,T$3,実績!$AI$6:$AI$505,"&lt;="&amp;$A161,実績!$AJ$6:$AJ$505,"&gt;"&amp;$A161,実績!$AL$6:$AL$505,"○")&gt;0,1,0))</f>
        <v>0</v>
      </c>
      <c r="U161" s="39" t="n">
        <f aca="false">IF(U$4=0,0,IF(COUNTIFS(実績!$W$6:$W$505,U$3,実績!$AI$6:$AI$505,"&lt;="&amp;$A161,実績!$AJ$6:$AJ$505,"&gt;"&amp;$A161,実績!$AL$6:$AL$505,"○")&gt;0,1,0))</f>
        <v>0</v>
      </c>
      <c r="V161" s="39" t="n">
        <f aca="false">IF(V$4=0,0,IF(COUNTIFS(実績!$W$6:$W$505,V$3,実績!$AI$6:$AI$505,"&lt;="&amp;$A161,実績!$AJ$6:$AJ$505,"&gt;"&amp;$A161,実績!$AL$6:$AL$505,"○")&gt;0,1,0))</f>
        <v>0</v>
      </c>
      <c r="W161" s="39" t="n">
        <f aca="false">IF(W$4=0,0,IF(COUNTIFS(実績!$W$6:$W$505,W$3,実績!$AI$6:$AI$505,"&lt;="&amp;$A161,実績!$AJ$6:$AJ$505,"&gt;"&amp;$A161,実績!$AL$6:$AL$505,"○")&gt;0,1,0))</f>
        <v>0</v>
      </c>
      <c r="X161" s="39" t="n">
        <f aca="false">IF(X$4=0,0,IF(COUNTIFS(実績!$W$6:$W$505,X$3,実績!$AI$6:$AI$505,"&lt;="&amp;$A161,実績!$AJ$6:$AJ$505,"&gt;"&amp;$A161,実績!$AL$6:$AL$505,"○")&gt;0,1,0))</f>
        <v>0</v>
      </c>
      <c r="Y161" s="39" t="n">
        <f aca="false">IF(Y$4=0,0,IF(COUNTIFS(実績!$W$6:$W$505,Y$3,実績!$AI$6:$AI$505,"&lt;="&amp;$A161,実績!$AJ$6:$AJ$505,"&gt;"&amp;$A161,実績!$AL$6:$AL$505,"○")&gt;0,1,0))</f>
        <v>0</v>
      </c>
      <c r="Z161" s="39" t="n">
        <f aca="false">IF(Z$4=0,0,IF(COUNTIFS(実績!$W$6:$W$505,Z$3,実績!$AI$6:$AI$505,"&lt;="&amp;$A161,実績!$AJ$6:$AJ$505,"&gt;"&amp;$A161,実績!$AL$6:$AL$505,"○")&gt;0,1,0))</f>
        <v>0</v>
      </c>
      <c r="AA161" s="39" t="n">
        <f aca="false">IF(AA$4=0,0,IF(COUNTIFS(実績!$W$6:$W$505,AA$3,実績!$AI$6:$AI$505,"&lt;="&amp;$A161,実績!$AJ$6:$AJ$505,"&gt;"&amp;$A161,実績!$AL$6:$AL$505,"○")&gt;0,1,0))</f>
        <v>0</v>
      </c>
      <c r="AB161" s="39" t="n">
        <f aca="false">IF(AB$4=0,0,IF(COUNTIFS(実績!$W$6:$W$505,AB$3,実績!$AI$6:$AI$505,"&lt;="&amp;$A161,実績!$AJ$6:$AJ$505,"&gt;"&amp;$A161,実績!$AL$6:$AL$505,"○")&gt;0,1,0))</f>
        <v>0</v>
      </c>
      <c r="AC161" s="39" t="n">
        <f aca="false">IF(AC$4=0,0,IF(COUNTIFS(実績!$W$6:$W$505,AC$3,実績!$AI$6:$AI$505,"&lt;="&amp;$A161,実績!$AJ$6:$AJ$505,"&gt;"&amp;$A161,実績!$AL$6:$AL$505,"○")&gt;0,1,0))</f>
        <v>0</v>
      </c>
      <c r="AD161" s="39" t="n">
        <f aca="false">IF(AD$4=0,0,IF(COUNTIFS(実績!$W$6:$W$505,AD$3,実績!$AI$6:$AI$505,"&lt;="&amp;$A161,実績!$AJ$6:$AJ$505,"&gt;"&amp;$A161,実績!$AL$6:$AL$505,"○")&gt;0,1,0))</f>
        <v>0</v>
      </c>
      <c r="AE161" s="39" t="n">
        <f aca="false">IF(AE$4=0,0,IF(COUNTIFS(実績!$W$6:$W$505,AE$3,実績!$AI$6:$AI$505,"&lt;="&amp;$A161,実績!$AJ$6:$AJ$505,"&gt;"&amp;$A161,実績!$AL$6:$AL$505,"○")&gt;0,1,0))</f>
        <v>0</v>
      </c>
      <c r="AF161" s="39" t="n">
        <f aca="false">IF(AF$4=0,0,IF(COUNTIFS(実績!$W$6:$W$505,AF$3,実績!$AI$6:$AI$505,"&lt;="&amp;$A161,実績!$AJ$6:$AJ$505,"&gt;"&amp;$A161,実績!$AL$6:$AL$505,"○")&gt;0,1,0))</f>
        <v>0</v>
      </c>
      <c r="AG161" s="39" t="n">
        <f aca="false">IF(AG$4=0,0,IF(COUNTIFS(実績!$W$6:$W$505,AG$3,実績!$AI$6:$AI$505,"&lt;="&amp;$A161,実績!$AJ$6:$AJ$505,"&gt;"&amp;$A161,実績!$AL$6:$AL$505,"○")&gt;0,1,0))</f>
        <v>0</v>
      </c>
      <c r="AH161" s="39" t="n">
        <f aca="false">IF(AH$4=0,0,IF(COUNTIFS(実績!$W$6:$W$505,AH$3,実績!$AI$6:$AI$505,"&lt;="&amp;$A161,実績!$AJ$6:$AJ$505,"&gt;"&amp;$A161,実績!$AL$6:$AL$505,"○")&gt;0,1,0))</f>
        <v>0</v>
      </c>
      <c r="AI161" s="39" t="n">
        <f aca="false">IF(AI$4=0,0,IF(COUNTIFS(実績!$W$6:$W$505,AI$3,実績!$AI$6:$AI$505,"&lt;="&amp;$A161,実績!$AJ$6:$AJ$505,"&gt;"&amp;$A161,実績!$AL$6:$AL$505,"○")&gt;0,1,0))</f>
        <v>0</v>
      </c>
      <c r="AJ161" s="39" t="n">
        <f aca="false">IF(AJ$4=0,0,IF(COUNTIFS(実績!$W$6:$W$505,AJ$3,実績!$AI$6:$AI$505,"&lt;="&amp;$A161,実績!$AJ$6:$AJ$505,"&gt;"&amp;$A161,実績!$AL$6:$AL$505,"○")&gt;0,1,0))</f>
        <v>0</v>
      </c>
      <c r="AK161" s="39" t="n">
        <f aca="false">IF(AK$4=0,0,IF(COUNTIFS(実績!$W$6:$W$505,AK$3,実績!$AI$6:$AI$505,"&lt;="&amp;$A161,実績!$AJ$6:$AJ$505,"&gt;"&amp;$A161,実績!$AL$6:$AL$505,"○")&gt;0,1,0))</f>
        <v>0</v>
      </c>
      <c r="AL161" s="39" t="n">
        <f aca="false">IF(AL$4=0,0,IF(COUNTIFS(実績!$W$6:$W$505,AL$3,実績!$AI$6:$AI$505,"&lt;="&amp;$A161,実績!$AJ$6:$AJ$505,"&gt;"&amp;$A161,実績!$AL$6:$AL$505,"○")&gt;0,1,0))</f>
        <v>0</v>
      </c>
      <c r="AM161" s="39" t="n">
        <f aca="false">IF(AM$4=0,0,IF(COUNTIFS(実績!$W$6:$W$505,AM$3,実績!$AI$6:$AI$505,"&lt;="&amp;$A161,実績!$AJ$6:$AJ$505,"&gt;"&amp;$A161,実績!$AL$6:$AL$505,"○")&gt;0,1,0))</f>
        <v>0</v>
      </c>
      <c r="AN161" s="39" t="n">
        <f aca="false">IF(AN$4=0,0,IF(COUNTIFS(実績!$W$6:$W$505,AN$3,実績!$AI$6:$AI$505,"&lt;="&amp;$A161,実績!$AJ$6:$AJ$505,"&gt;"&amp;$A161,実績!$AL$6:$AL$505,"○")&gt;0,1,0))</f>
        <v>0</v>
      </c>
      <c r="AO161" s="39" t="n">
        <f aca="false">IF(AO$4=0,0,IF(COUNTIFS(実績!$W$6:$W$505,AO$3,実績!$AI$6:$AI$505,"&lt;="&amp;$A161,実績!$AJ$6:$AJ$505,"&gt;"&amp;$A161,実績!$AL$6:$AL$505,"○")&gt;0,1,0))</f>
        <v>0</v>
      </c>
      <c r="AP161" s="39" t="n">
        <f aca="false">IF(AP$4=0,0,IF(COUNTIFS(実績!$W$6:$W$505,AP$3,実績!$AI$6:$AI$505,"&lt;="&amp;$A161,実績!$AJ$6:$AJ$505,"&gt;"&amp;$A161,実績!$AL$6:$AL$505,"○")&gt;0,1,0))</f>
        <v>0</v>
      </c>
      <c r="AQ161" s="39" t="n">
        <f aca="false">IF(AQ$4=0,0,IF(COUNTIFS(実績!$W$6:$W$505,AQ$3,実績!$AI$6:$AI$505,"&lt;="&amp;$A161,実績!$AJ$6:$AJ$505,"&gt;"&amp;$A161,実績!$AL$6:$AL$505,"○")&gt;0,1,0))</f>
        <v>0</v>
      </c>
      <c r="AR161" s="39" t="n">
        <f aca="false">IF(AR$4=0,0,IF(COUNTIFS(実績!$W$6:$W$505,AR$3,実績!$AI$6:$AI$505,"&lt;="&amp;$A161,実績!$AJ$6:$AJ$505,"&gt;"&amp;$A161,実績!$AL$6:$AL$505,"○")&gt;0,1,0))</f>
        <v>0</v>
      </c>
      <c r="AS161" s="39" t="n">
        <f aca="false">IF(AS$4=0,0,IF(COUNTIFS(実績!$W$6:$W$505,AS$3,実績!$AI$6:$AI$505,"&lt;="&amp;$A161,実績!$AJ$6:$AJ$505,"&gt;"&amp;$A161,実績!$AL$6:$AL$505,"○")&gt;0,1,0))</f>
        <v>0</v>
      </c>
      <c r="AT161" s="39" t="n">
        <f aca="false">IF(AT$4=0,0,IF(COUNTIFS(実績!$W$6:$W$505,AT$3,実績!$AI$6:$AI$505,"&lt;="&amp;$A161,実績!$AJ$6:$AJ$505,"&gt;"&amp;$A161,実績!$AL$6:$AL$505,"○")&gt;0,1,0))</f>
        <v>0</v>
      </c>
      <c r="AU161" s="39" t="n">
        <f aca="false">IF(AU$4=0,0,IF(COUNTIFS(実績!$W$6:$W$505,AU$3,実績!$AI$6:$AI$505,"&lt;="&amp;$A161,実績!$AJ$6:$AJ$505,"&gt;"&amp;$A161,実績!$AL$6:$AL$505,"○")&gt;0,1,0))</f>
        <v>0</v>
      </c>
      <c r="AV161" s="39" t="n">
        <f aca="false">IF(AV$4=0,0,IF(COUNTIFS(実績!$W$6:$W$505,AV$3,実績!$AI$6:$AI$505,"&lt;="&amp;$A161,実績!$AJ$6:$AJ$505,"&gt;"&amp;$A161,実績!$AL$6:$AL$505,"○")&gt;0,1,0))</f>
        <v>0</v>
      </c>
      <c r="AW161" s="39" t="n">
        <f aca="false">IF(AW$4=0,0,IF(COUNTIFS(実績!$W$6:$W$505,AW$3,実績!$AI$6:$AI$505,"&lt;="&amp;$A161,実績!$AJ$6:$AJ$505,"&gt;"&amp;$A161,実績!$AL$6:$AL$505,"○")&gt;0,1,0))</f>
        <v>0</v>
      </c>
      <c r="AX161" s="39" t="n">
        <f aca="false">IF(AX$4=0,0,IF(COUNTIFS(実績!$W$6:$W$505,AX$3,実績!$AI$6:$AI$505,"&lt;="&amp;$A161,実績!$AJ$6:$AJ$505,"&gt;"&amp;$A161,実績!$AL$6:$AL$505,"○")&gt;0,1,0))</f>
        <v>0</v>
      </c>
      <c r="AY161" s="39" t="n">
        <f aca="false">IF(AY$4=0,0,IF(COUNTIFS(実績!$W$6:$W$505,AY$3,実績!$AI$6:$AI$505,"&lt;="&amp;$A161,実績!$AJ$6:$AJ$505,"&gt;"&amp;$A161,実績!$AL$6:$AL$505,"○")&gt;0,1,0))</f>
        <v>0</v>
      </c>
      <c r="AZ161" s="39" t="n">
        <f aca="false">IF(AZ$4=0,0,IF(COUNTIFS(実績!$W$6:$W$505,AZ$3,実績!$AI$6:$AI$505,"&lt;="&amp;$A161,実績!$AJ$6:$AJ$505,"&gt;"&amp;$A161,実績!$AL$6:$AL$505,"○")&gt;0,1,0))</f>
        <v>0</v>
      </c>
      <c r="BA161" s="39" t="n">
        <f aca="false">IF(BA$4=0,0,IF(COUNTIFS(実績!$W$6:$W$505,BA$3,実績!$AI$6:$AI$505,"&lt;="&amp;$A161,実績!$AJ$6:$AJ$505,"&gt;"&amp;$A161,実績!$AL$6:$AL$505,"○")&gt;0,1,0))</f>
        <v>0</v>
      </c>
      <c r="BB161" s="39" t="n">
        <f aca="false">IF(BB$4=0,0,IF(COUNTIFS(実績!$W$6:$W$505,BB$3,実績!$AI$6:$AI$505,"&lt;="&amp;$A161,実績!$AJ$6:$AJ$505,"&gt;"&amp;$A161,実績!$AL$6:$AL$505,"○")&gt;0,1,0))</f>
        <v>0</v>
      </c>
      <c r="BC161" s="39" t="n">
        <f aca="false">IF(BC$4=0,0,IF(COUNTIFS(実績!$W$6:$W$505,BC$3,実績!$AI$6:$AI$505,"&lt;="&amp;$A161,実績!$AJ$6:$AJ$505,"&gt;"&amp;$A161,実績!$AL$6:$AL$505,"○")&gt;0,1,0))</f>
        <v>0</v>
      </c>
      <c r="BD161" s="39" t="n">
        <f aca="false">IF(BD$4=0,0,IF(COUNTIFS(実績!$W$6:$W$505,BD$3,実績!$AI$6:$AI$505,"&lt;="&amp;$A161,実績!$AJ$6:$AJ$505,"&gt;"&amp;$A161,実績!$AL$6:$AL$505,"○")&gt;0,1,0))</f>
        <v>0</v>
      </c>
      <c r="BE161" s="39" t="n">
        <f aca="false">IF(BE$4=0,0,IF(COUNTIFS(実績!$W$6:$W$505,BE$3,実績!$AI$6:$AI$505,"&lt;="&amp;$A161,実績!$AJ$6:$AJ$505,"&gt;"&amp;$A161,実績!$AL$6:$AL$505,"○")&gt;0,1,0))</f>
        <v>0</v>
      </c>
      <c r="BF161" s="39" t="n">
        <f aca="false">IF(BF$4=0,0,IF(COUNTIFS(実績!$W$6:$W$505,BF$3,実績!$AI$6:$AI$505,"&lt;="&amp;$A161,実績!$AJ$6:$AJ$505,"&gt;"&amp;$A161,実績!$AL$6:$AL$505,"○")&gt;0,1,0))</f>
        <v>0</v>
      </c>
      <c r="BG161" s="39" t="n">
        <f aca="false">IF(BG$4=0,0,IF(COUNTIFS(実績!$W$6:$W$505,BG$3,実績!$AI$6:$AI$505,"&lt;="&amp;$A161,実績!$AJ$6:$AJ$505,"&gt;"&amp;$A161,実績!$AL$6:$AL$505,"○")&gt;0,1,0))</f>
        <v>0</v>
      </c>
      <c r="BH161" s="39" t="n">
        <f aca="false">IF(BH$4=0,0,IF(COUNTIFS(実績!$W$6:$W$505,BH$3,実績!$AI$6:$AI$505,"&lt;="&amp;$A161,実績!$AJ$6:$AJ$505,"&gt;"&amp;$A161,実績!$AL$6:$AL$505,"○")&gt;0,1,0))</f>
        <v>0</v>
      </c>
      <c r="BI161" s="39" t="n">
        <f aca="false">IF(BI$4=0,0,IF(COUNTIFS(実績!$W$6:$W$505,BI$3,実績!$AI$6:$AI$505,"&lt;="&amp;$A161,実績!$AJ$6:$AJ$505,"&gt;"&amp;$A161,実績!$AL$6:$AL$505,"○")&gt;0,1,0))</f>
        <v>0</v>
      </c>
      <c r="BJ161" s="39" t="n">
        <f aca="false">IF(BJ$4=0,0,IF(COUNTIFS(実績!$W$6:$W$505,BJ$3,実績!$AI$6:$AI$505,"&lt;="&amp;$A161,実績!$AJ$6:$AJ$505,"&gt;"&amp;$A161,実績!$AL$6:$AL$505,"○")&gt;0,1,0))</f>
        <v>0</v>
      </c>
      <c r="BK161" s="39" t="n">
        <f aca="false">IF(BK$4=0,0,IF(COUNTIFS(実績!$W$6:$W$505,BK$3,実績!$AI$6:$AI$505,"&lt;="&amp;$A161,実績!$AJ$6:$AJ$505,"&gt;"&amp;$A161,実績!$AL$6:$AL$505,"○")&gt;0,1,0))</f>
        <v>0</v>
      </c>
      <c r="BL161" s="39" t="n">
        <f aca="false">IF(BL$4=0,0,IF(COUNTIFS(実績!$W$6:$W$505,BL$3,実績!$AI$6:$AI$505,"&lt;="&amp;$A161,実績!$AJ$6:$AJ$505,"&gt;"&amp;$A161,実績!$AL$6:$AL$505,"○")&gt;0,1,0))</f>
        <v>0</v>
      </c>
      <c r="BM161" s="39" t="n">
        <f aca="false">IF(BM$4=0,0,IF(COUNTIFS(実績!$W$6:$W$505,BM$3,実績!$AI$6:$AI$505,"&lt;="&amp;$A161,実績!$AJ$6:$AJ$505,"&gt;"&amp;$A161,実績!$AL$6:$AL$505,"○")&gt;0,1,0))</f>
        <v>0</v>
      </c>
      <c r="BN161" s="39" t="n">
        <f aca="false">IF(BN$4=0,0,IF(COUNTIFS(実績!$W$6:$W$505,BN$3,実績!$AI$6:$AI$505,"&lt;="&amp;$A161,実績!$AJ$6:$AJ$505,"&gt;"&amp;$A161,実績!$AL$6:$AL$505,"○")&gt;0,1,0))</f>
        <v>0</v>
      </c>
      <c r="BO161" s="39" t="n">
        <f aca="false">IF(BO$4=0,0,IF(COUNTIFS(実績!$W$6:$W$505,BO$3,実績!$AI$6:$AI$505,"&lt;="&amp;$A161,実績!$AJ$6:$AJ$505,"&gt;"&amp;$A161,実績!$AL$6:$AL$505,"○")&gt;0,1,0))</f>
        <v>0</v>
      </c>
      <c r="BP161" s="39" t="n">
        <f aca="false">IF(BP$4=0,0,IF(COUNTIFS(実績!$W$6:$W$505,BP$3,実績!$AI$6:$AI$505,"&lt;="&amp;$A161,実績!$AJ$6:$AJ$505,"&gt;"&amp;$A161,実績!$AL$6:$AL$505,"○")&gt;0,1,0))</f>
        <v>0</v>
      </c>
      <c r="BQ161" s="39" t="n">
        <f aca="false">IF(BQ$4=0,0,IF(COUNTIFS(実績!$W$6:$W$505,BQ$3,実績!$AI$6:$AI$505,"&lt;="&amp;$A161,実績!$AJ$6:$AJ$505,"&gt;"&amp;$A161,実績!$AL$6:$AL$505,"○")&gt;0,1,0))</f>
        <v>0</v>
      </c>
      <c r="BR161" s="39" t="n">
        <f aca="false">IF(BR$4=0,0,IF(COUNTIFS(実績!$W$6:$W$505,BR$3,実績!$AI$6:$AI$505,"&lt;="&amp;$A161,実績!$AJ$6:$AJ$505,"&gt;"&amp;$A161,実績!$AL$6:$AL$505,"○")&gt;0,1,0))</f>
        <v>0</v>
      </c>
      <c r="BS161" s="39" t="n">
        <f aca="false">IF(BS$4=0,0,IF(COUNTIFS(実績!$W$6:$W$505,BS$3,実績!$AI$6:$AI$505,"&lt;="&amp;$A161,実績!$AJ$6:$AJ$505,"&gt;"&amp;$A161,実績!$AL$6:$AL$505,"○")&gt;0,1,0))</f>
        <v>0</v>
      </c>
      <c r="BT161" s="39" t="n">
        <f aca="false">IF(BT$4=0,0,IF(COUNTIFS(実績!$W$6:$W$505,BT$3,実績!$AI$6:$AI$505,"&lt;="&amp;$A161,実績!$AJ$6:$AJ$505,"&gt;"&amp;$A161,実績!$AL$6:$AL$505,"○")&gt;0,1,0))</f>
        <v>0</v>
      </c>
      <c r="BU161" s="39" t="n">
        <f aca="false">IF(BU$4=0,0,IF(COUNTIFS(実績!$W$6:$W$505,BU$3,実績!$AI$6:$AI$505,"&lt;="&amp;$A161,実績!$AJ$6:$AJ$505,"&gt;"&amp;$A161,実績!$AL$6:$AL$505,"○")&gt;0,1,0))</f>
        <v>0</v>
      </c>
      <c r="BV161" s="39" t="n">
        <f aca="false">IF(BV$4=0,0,IF(COUNTIFS(実績!$W$6:$W$505,BV$3,実績!$AI$6:$AI$505,"&lt;="&amp;$A161,実績!$AJ$6:$AJ$505,"&gt;"&amp;$A161,実績!$AL$6:$AL$505,"○")&gt;0,1,0))</f>
        <v>0</v>
      </c>
      <c r="BW161" s="39" t="n">
        <f aca="false">IF(BW$4=0,0,IF(COUNTIFS(実績!$W$6:$W$505,BW$3,実績!$AI$6:$AI$505,"&lt;="&amp;$A161,実績!$AJ$6:$AJ$505,"&gt;"&amp;$A161,実績!$AL$6:$AL$505,"○")&gt;0,1,0))</f>
        <v>0</v>
      </c>
      <c r="BX161" s="39" t="n">
        <f aca="false">IF(BX$4=0,0,IF(COUNTIFS(実績!$W$6:$W$505,BX$3,実績!$AI$6:$AI$505,"&lt;="&amp;$A161,実績!$AJ$6:$AJ$505,"&gt;"&amp;$A161,実績!$AL$6:$AL$505,"○")&gt;0,1,0))</f>
        <v>0</v>
      </c>
      <c r="BY161" s="39" t="n">
        <f aca="false">IF(BY$4=0,0,IF(COUNTIFS(実績!$W$6:$W$505,BY$3,実績!$AI$6:$AI$505,"&lt;="&amp;$A161,実績!$AJ$6:$AJ$505,"&gt;"&amp;$A161,実績!$AL$6:$AL$505,"○")&gt;0,1,0))</f>
        <v>0</v>
      </c>
      <c r="BZ161" s="39" t="n">
        <f aca="false">IF(BZ$4=0,0,IF(COUNTIFS(実績!$W$6:$W$505,BZ$3,実績!$AI$6:$AI$505,"&lt;="&amp;$A161,実績!$AJ$6:$AJ$505,"&gt;"&amp;$A161,実績!$AL$6:$AL$505,"○")&gt;0,1,0))</f>
        <v>0</v>
      </c>
      <c r="CA161" s="39" t="n">
        <f aca="false">IF(CA$4=0,0,IF(COUNTIFS(実績!$W$6:$W$505,CA$3,実績!$AI$6:$AI$505,"&lt;="&amp;$A161,実績!$AJ$6:$AJ$505,"&gt;"&amp;$A161,実績!$AL$6:$AL$505,"○")&gt;0,1,0))</f>
        <v>0</v>
      </c>
      <c r="CB161" s="39" t="n">
        <f aca="false">IF(CB$4=0,0,IF(COUNTIFS(実績!$W$6:$W$505,CB$3,実績!$AI$6:$AI$505,"&lt;="&amp;$A161,実績!$AJ$6:$AJ$505,"&gt;"&amp;$A161,実績!$AL$6:$AL$505,"○")&gt;0,1,0))</f>
        <v>0</v>
      </c>
      <c r="CC161" s="39" t="n">
        <f aca="false">IF(CC$4=0,0,IF(COUNTIFS(実績!$W$6:$W$505,CC$3,実績!$AI$6:$AI$505,"&lt;="&amp;$A161,実績!$AJ$6:$AJ$505,"&gt;"&amp;$A161,実績!$AL$6:$AL$505,"○")&gt;0,1,0))</f>
        <v>0</v>
      </c>
      <c r="CD161" s="39" t="n">
        <f aca="false">IF(CD$4=0,0,IF(COUNTIFS(実績!$W$6:$W$505,CD$3,実績!$AI$6:$AI$505,"&lt;="&amp;$A161,実績!$AJ$6:$AJ$505,"&gt;"&amp;$A161,実績!$AL$6:$AL$505,"○")&gt;0,1,0))</f>
        <v>0</v>
      </c>
      <c r="CE161" s="39" t="n">
        <f aca="false">IF(CE$4=0,0,IF(COUNTIFS(実績!$W$6:$W$505,CE$3,実績!$AI$6:$AI$505,"&lt;="&amp;$A161,実績!$AJ$6:$AJ$505,"&gt;"&amp;$A161,実績!$AL$6:$AL$505,"○")&gt;0,1,0))</f>
        <v>0</v>
      </c>
      <c r="CF161" s="39" t="n">
        <f aca="false">IF(CF$4=0,0,IF(COUNTIFS(実績!$W$6:$W$505,CF$3,実績!$AI$6:$AI$505,"&lt;="&amp;$A161,実績!$AJ$6:$AJ$505,"&gt;"&amp;$A161,実績!$AL$6:$AL$505,"○")&gt;0,1,0))</f>
        <v>0</v>
      </c>
      <c r="CG161" s="39" t="n">
        <f aca="false">IF(CG$4=0,0,IF(COUNTIFS(実績!$W$6:$W$505,CG$3,実績!$AI$6:$AI$505,"&lt;="&amp;$A161,実績!$AJ$6:$AJ$505,"&gt;"&amp;$A161,実績!$AL$6:$AL$505,"○")&gt;0,1,0))</f>
        <v>0</v>
      </c>
      <c r="CH161" s="39" t="n">
        <f aca="false">IF(CH$4=0,0,IF(COUNTIFS(実績!$W$6:$W$505,CH$3,実績!$AI$6:$AI$505,"&lt;="&amp;$A161,実績!$AJ$6:$AJ$505,"&gt;"&amp;$A161,実績!$AL$6:$AL$505,"○")&gt;0,1,0))</f>
        <v>0</v>
      </c>
      <c r="CI161" s="39" t="n">
        <f aca="false">IF(CI$4=0,0,IF(COUNTIFS(実績!$W$6:$W$505,CI$3,実績!$AI$6:$AI$505,"&lt;="&amp;$A161,実績!$AJ$6:$AJ$505,"&gt;"&amp;$A161,実績!$AL$6:$AL$505,"○")&gt;0,1,0))</f>
        <v>0</v>
      </c>
      <c r="CJ161" s="39" t="n">
        <f aca="false">IF(CJ$4=0,0,IF(COUNTIFS(実績!$W$6:$W$505,CJ$3,実績!$AI$6:$AI$505,"&lt;="&amp;$A161,実績!$AJ$6:$AJ$505,"&gt;"&amp;$A161,実績!$AL$6:$AL$505,"○")&gt;0,1,0))</f>
        <v>0</v>
      </c>
      <c r="CK161" s="39" t="n">
        <f aca="false">IF(CK$4=0,0,IF(COUNTIFS(実績!$W$6:$W$505,CK$3,実績!$AI$6:$AI$505,"&lt;="&amp;$A161,実績!$AJ$6:$AJ$505,"&gt;"&amp;$A161,実績!$AL$6:$AL$505,"○")&gt;0,1,0))</f>
        <v>0</v>
      </c>
      <c r="CL161" s="39" t="n">
        <f aca="false">IF(CL$4=0,0,IF(COUNTIFS(実績!$W$6:$W$505,CL$3,実績!$AI$6:$AI$505,"&lt;="&amp;$A161,実績!$AJ$6:$AJ$505,"&gt;"&amp;$A161,実績!$AL$6:$AL$505,"○")&gt;0,1,0))</f>
        <v>0</v>
      </c>
      <c r="CM161" s="39" t="n">
        <f aca="false">IF(CM$4=0,0,IF(COUNTIFS(実績!$W$6:$W$505,CM$3,実績!$AI$6:$AI$505,"&lt;="&amp;$A161,実績!$AJ$6:$AJ$505,"&gt;"&amp;$A161,実績!$AL$6:$AL$505,"○")&gt;0,1,0))</f>
        <v>0</v>
      </c>
      <c r="CN161" s="39" t="n">
        <f aca="false">IF(CN$4=0,0,IF(COUNTIFS(実績!$W$6:$W$505,CN$3,実績!$AI$6:$AI$505,"&lt;="&amp;$A161,実績!$AJ$6:$AJ$505,"&gt;"&amp;$A161,実績!$AL$6:$AL$505,"○")&gt;0,1,0))</f>
        <v>0</v>
      </c>
      <c r="CO161" s="39" t="n">
        <f aca="false">IF(CO$4=0,0,IF(COUNTIFS(実績!$W$6:$W$505,CO$3,実績!$AI$6:$AI$505,"&lt;="&amp;$A161,実績!$AJ$6:$AJ$505,"&gt;"&amp;$A161,実績!$AL$6:$AL$505,"○")&gt;0,1,0))</f>
        <v>0</v>
      </c>
      <c r="CP161" s="39" t="n">
        <f aca="false">IF(CP$4=0,0,IF(COUNTIFS(実績!$W$6:$W$505,CP$3,実績!$AI$6:$AI$505,"&lt;="&amp;$A161,実績!$AJ$6:$AJ$505,"&gt;"&amp;$A161,実績!$AL$6:$AL$505,"○")&gt;0,1,0))</f>
        <v>0</v>
      </c>
      <c r="CQ161" s="39" t="n">
        <f aca="false">IF(CQ$4=0,0,IF(COUNTIFS(実績!$W$6:$W$505,CQ$3,実績!$AI$6:$AI$505,"&lt;="&amp;$A161,実績!$AJ$6:$AJ$505,"&gt;"&amp;$A161,実績!$AL$6:$AL$505,"○")&gt;0,1,0))</f>
        <v>0</v>
      </c>
      <c r="CR161" s="39" t="n">
        <f aca="false">IF(CR$4=0,0,IF(COUNTIFS(実績!$W$6:$W$505,CR$3,実績!$AI$6:$AI$505,"&lt;="&amp;$A161,実績!$AJ$6:$AJ$505,"&gt;"&amp;$A161,実績!$AL$6:$AL$505,"○")&gt;0,1,0))</f>
        <v>0</v>
      </c>
      <c r="CS161" s="39" t="n">
        <f aca="false">IF(CS$4=0,0,IF(COUNTIFS(実績!$W$6:$W$505,CS$3,実績!$AI$6:$AI$505,"&lt;="&amp;$A161,実績!$AJ$6:$AJ$505,"&gt;"&amp;$A161,実績!$AL$6:$AL$505,"○")&gt;0,1,0))</f>
        <v>0</v>
      </c>
      <c r="CT161" s="39" t="n">
        <f aca="false">IF(CT$4=0,0,IF(COUNTIFS(実績!$W$6:$W$505,CT$3,実績!$AI$6:$AI$505,"&lt;="&amp;$A161,実績!$AJ$6:$AJ$505,"&gt;"&amp;$A161,実績!$AL$6:$AL$505,"○")&gt;0,1,0))</f>
        <v>0</v>
      </c>
      <c r="CU161" s="39" t="n">
        <f aca="false">IF(CU$4=0,0,IF(COUNTIFS(実績!$W$6:$W$505,CU$3,実績!$AI$6:$AI$505,"&lt;="&amp;$A161,実績!$AJ$6:$AJ$505,"&gt;"&amp;$A161,実績!$AL$6:$AL$505,"○")&gt;0,1,0))</f>
        <v>0</v>
      </c>
      <c r="CV161" s="39" t="n">
        <f aca="false">IF(CV$4=0,0,IF(COUNTIFS(実績!$W$6:$W$505,CV$3,実績!$AI$6:$AI$505,"&lt;="&amp;$A161,実績!$AJ$6:$AJ$505,"&gt;"&amp;$A161,実績!$AL$6:$AL$505,"○")&gt;0,1,0))</f>
        <v>0</v>
      </c>
      <c r="CW161" s="39" t="n">
        <f aca="false">IF(CW$4=0,0,IF(COUNTIFS(実績!$W$6:$W$505,CW$3,実績!$AI$6:$AI$505,"&lt;="&amp;$A161,実績!$AJ$6:$AJ$505,"&gt;"&amp;$A161,実績!$AL$6:$AL$505,"○")&gt;0,1,0))</f>
        <v>0</v>
      </c>
      <c r="CX161" s="39" t="n">
        <f aca="false">IF(CX$4=0,0,IF(COUNTIFS(実績!$W$6:$W$505,CX$3,実績!$AI$6:$AI$505,"&lt;="&amp;$A161,実績!$AJ$6:$AJ$505,"&gt;"&amp;$A161,実績!$AL$6:$AL$505,"○")&gt;0,1,0))</f>
        <v>0</v>
      </c>
      <c r="CY161" s="39" t="n">
        <f aca="false">IF(CY$4=0,0,IF(COUNTIFS(実績!$W$6:$W$505,CY$3,実績!$AI$6:$AI$505,"&lt;="&amp;$A161,実績!$AJ$6:$AJ$505,"&gt;"&amp;$A161,実績!$AL$6:$AL$505,"○")&gt;0,1,0))</f>
        <v>0</v>
      </c>
      <c r="CZ161" s="39" t="n">
        <f aca="false">IF(CZ$4=0,0,IF(COUNTIFS(実績!$W$6:$W$505,CZ$3,実績!$AI$6:$AI$505,"&lt;="&amp;$A161,実績!$AJ$6:$AJ$505,"&gt;"&amp;$A161,実績!$AL$6:$AL$505,"○")&gt;0,1,0))</f>
        <v>0</v>
      </c>
      <c r="DA161" s="39" t="n">
        <f aca="false">IF(DA$4=0,0,IF(COUNTIFS(実績!$W$6:$W$505,DA$3,実績!$AI$6:$AI$505,"&lt;="&amp;$A161,実績!$AJ$6:$AJ$505,"&gt;"&amp;$A161,実績!$AL$6:$AL$505,"○")&gt;0,1,0))</f>
        <v>0</v>
      </c>
      <c r="DB161" s="39" t="n">
        <f aca="false">IF(DB$4=0,0,IF(COUNTIFS(実績!$W$6:$W$505,DB$3,実績!$AI$6:$AI$505,"&lt;="&amp;$A161,実績!$AJ$6:$AJ$505,"&gt;"&amp;$A161,実績!$AL$6:$AL$505,"○")&gt;0,1,0))</f>
        <v>0</v>
      </c>
      <c r="DC161" s="39" t="n">
        <f aca="false">IF(DC$4=0,0,IF(COUNTIFS(実績!$W$6:$W$505,DC$3,実績!$AI$6:$AI$505,"&lt;="&amp;$A161,実績!$AJ$6:$AJ$505,"&gt;"&amp;$A161,実績!$AL$6:$AL$505,"○")&gt;0,1,0))</f>
        <v>0</v>
      </c>
      <c r="DD161" s="39" t="n">
        <f aca="false">IF(DD$4=0,0,IF(COUNTIFS(実績!$W$6:$W$505,DD$3,実績!$AI$6:$AI$505,"&lt;="&amp;$A161,実績!$AJ$6:$AJ$505,"&gt;"&amp;$A161,実績!$AL$6:$AL$505,"○")&gt;0,1,0))</f>
        <v>0</v>
      </c>
      <c r="DE161" s="39" t="n">
        <f aca="false">IF(DE$4=0,0,IF(COUNTIFS(実績!$W$6:$W$505,DE$3,実績!$AI$6:$AI$505,"&lt;="&amp;$A161,実績!$AJ$6:$AJ$505,"&gt;"&amp;$A161,実績!$AL$6:$AL$505,"○")&gt;0,1,0))</f>
        <v>0</v>
      </c>
      <c r="DF161" s="39" t="n">
        <f aca="false">IF(DF$4=0,0,IF(COUNTIFS(実績!$W$6:$W$505,DF$3,実績!$AI$6:$AI$505,"&lt;="&amp;$A161,実績!$AJ$6:$AJ$505,"&gt;"&amp;$A161,実績!$AL$6:$AL$505,"○")&gt;0,1,0))</f>
        <v>0</v>
      </c>
      <c r="DG161" s="39" t="n">
        <f aca="false">IF(DG$4=0,0,IF(COUNTIFS(実績!$W$6:$W$505,DG$3,実績!$AI$6:$AI$505,"&lt;="&amp;$A161,実績!$AJ$6:$AJ$505,"&gt;"&amp;$A161,実績!$AL$6:$AL$505,"○")&gt;0,1,0))</f>
        <v>0</v>
      </c>
      <c r="DH161" s="39" t="n">
        <f aca="false">IF(DH$4=0,0,IF(COUNTIFS(実績!$W$6:$W$505,DH$3,実績!$AI$6:$AI$505,"&lt;="&amp;$A161,実績!$AJ$6:$AJ$505,"&gt;"&amp;$A161,実績!$AL$6:$AL$505,"○")&gt;0,1,0))</f>
        <v>0</v>
      </c>
      <c r="DI161" s="39" t="n">
        <f aca="false">IF(DI$4=0,0,IF(COUNTIFS(実績!$W$6:$W$505,DI$3,実績!$AI$6:$AI$505,"&lt;="&amp;$A161,実績!$AJ$6:$AJ$505,"&gt;"&amp;$A161,実績!$AL$6:$AL$505,"○")&gt;0,1,0))</f>
        <v>0</v>
      </c>
      <c r="DJ161" s="39" t="n">
        <f aca="false">IF(DJ$4=0,0,IF(COUNTIFS(実績!$W$6:$W$505,DJ$3,実績!$AI$6:$AI$505,"&lt;="&amp;$A161,実績!$AJ$6:$AJ$505,"&gt;"&amp;$A161,実績!$AL$6:$AL$505,"○")&gt;0,1,0))</f>
        <v>0</v>
      </c>
      <c r="DK161" s="39" t="n">
        <f aca="false">IF(DK$4=0,0,IF(COUNTIFS(実績!$W$6:$W$505,DK$3,実績!$AI$6:$AI$505,"&lt;="&amp;$A161,実績!$AJ$6:$AJ$505,"&gt;"&amp;$A161,実績!$AL$6:$AL$505,"○")&gt;0,1,0))</f>
        <v>0</v>
      </c>
      <c r="DL161" s="39" t="n">
        <f aca="false">IF(DL$4=0,0,IF(COUNTIFS(実績!$W$6:$W$505,DL$3,実績!$AI$6:$AI$505,"&lt;="&amp;$A161,実績!$AJ$6:$AJ$505,"&gt;"&amp;$A161,実績!$AL$6:$AL$505,"○")&gt;0,1,0))</f>
        <v>0</v>
      </c>
      <c r="DM161" s="39" t="n">
        <f aca="false">IF(DM$4=0,0,IF(COUNTIFS(実績!$W$6:$W$505,DM$3,実績!$AI$6:$AI$505,"&lt;="&amp;$A161,実績!$AJ$6:$AJ$505,"&gt;"&amp;$A161,実績!$AL$6:$AL$505,"○")&gt;0,1,0))</f>
        <v>0</v>
      </c>
      <c r="DN161" s="39" t="n">
        <f aca="false">IF(DN$4=0,0,IF(COUNTIFS(実績!$W$6:$W$505,DN$3,実績!$AI$6:$AI$505,"&lt;="&amp;$A161,実績!$AJ$6:$AJ$505,"&gt;"&amp;$A161,実績!$AL$6:$AL$505,"○")&gt;0,1,0))</f>
        <v>0</v>
      </c>
      <c r="DO161" s="39" t="n">
        <f aca="false">IF(DO$4=0,0,IF(COUNTIFS(実績!$W$6:$W$505,DO$3,実績!$AI$6:$AI$505,"&lt;="&amp;$A161,実績!$AJ$6:$AJ$505,"&gt;"&amp;$A161,実績!$AL$6:$AL$505,"○")&gt;0,1,0))</f>
        <v>0</v>
      </c>
      <c r="DP161" s="39" t="n">
        <f aca="false">IF(DP$4=0,0,IF(COUNTIFS(実績!$W$6:$W$505,DP$3,実績!$AI$6:$AI$505,"&lt;="&amp;$A161,実績!$AJ$6:$AJ$505,"&gt;"&amp;$A161,実績!$AL$6:$AL$505,"○")&gt;0,1,0))</f>
        <v>0</v>
      </c>
      <c r="DQ161" s="39" t="n">
        <f aca="false">IF(DQ$4=0,0,IF(COUNTIFS(実績!$W$6:$W$505,DQ$3,実績!$AI$6:$AI$505,"&lt;="&amp;$A161,実績!$AJ$6:$AJ$505,"&gt;"&amp;$A161,実績!$AL$6:$AL$505,"○")&gt;0,1,0))</f>
        <v>0</v>
      </c>
      <c r="DR161" s="39" t="n">
        <f aca="false">IF(DR$4=0,0,IF(COUNTIFS(実績!$W$6:$W$505,DR$3,実績!$AI$6:$AI$505,"&lt;="&amp;$A161,実績!$AJ$6:$AJ$505,"&gt;"&amp;$A161,実績!$AL$6:$AL$505,"○")&gt;0,1,0))</f>
        <v>0</v>
      </c>
      <c r="DS161" s="39" t="n">
        <f aca="false">SUM(C161:DR161)</f>
        <v>0</v>
      </c>
    </row>
    <row r="162" customFormat="false" ht="15" hidden="false" customHeight="false" outlineLevel="0" collapsed="false">
      <c r="A162" s="0" t="n">
        <v>780</v>
      </c>
      <c r="B162" s="38" t="n">
        <f aca="false">A162/1440</f>
        <v>0.541666666666667</v>
      </c>
      <c r="C162" s="39" t="n">
        <f aca="false">IF(C$4=0,0,IF(COUNTIFS(実績!$W$6:$W$505,C$3,実績!$AI$6:$AI$505,"&lt;="&amp;$A162,実績!$AJ$6:$AJ$505,"&gt;"&amp;$A162,実績!$AL$6:$AL$505,"○")&gt;0,1,0))</f>
        <v>0</v>
      </c>
      <c r="D162" s="39" t="n">
        <f aca="false">IF(D$4=0,0,IF(COUNTIFS(実績!$W$6:$W$505,D$3,実績!$AI$6:$AI$505,"&lt;="&amp;$A162,実績!$AJ$6:$AJ$505,"&gt;"&amp;$A162,実績!$AL$6:$AL$505,"○")&gt;0,1,0))</f>
        <v>0</v>
      </c>
      <c r="E162" s="39" t="n">
        <f aca="false">IF(E$4=0,0,IF(COUNTIFS(実績!$W$6:$W$505,E$3,実績!$AI$6:$AI$505,"&lt;="&amp;$A162,実績!$AJ$6:$AJ$505,"&gt;"&amp;$A162,実績!$AL$6:$AL$505,"○")&gt;0,1,0))</f>
        <v>0</v>
      </c>
      <c r="F162" s="39" t="n">
        <f aca="false">IF(F$4=0,0,IF(COUNTIFS(実績!$W$6:$W$505,F$3,実績!$AI$6:$AI$505,"&lt;="&amp;$A162,実績!$AJ$6:$AJ$505,"&gt;"&amp;$A162,実績!$AL$6:$AL$505,"○")&gt;0,1,0))</f>
        <v>0</v>
      </c>
      <c r="G162" s="39" t="n">
        <f aca="false">IF(G$4=0,0,IF(COUNTIFS(実績!$W$6:$W$505,G$3,実績!$AI$6:$AI$505,"&lt;="&amp;$A162,実績!$AJ$6:$AJ$505,"&gt;"&amp;$A162,実績!$AL$6:$AL$505,"○")&gt;0,1,0))</f>
        <v>0</v>
      </c>
      <c r="H162" s="39" t="n">
        <f aca="false">IF(H$4=0,0,IF(COUNTIFS(実績!$W$6:$W$505,H$3,実績!$AI$6:$AI$505,"&lt;="&amp;$A162,実績!$AJ$6:$AJ$505,"&gt;"&amp;$A162,実績!$AL$6:$AL$505,"○")&gt;0,1,0))</f>
        <v>0</v>
      </c>
      <c r="I162" s="39" t="n">
        <f aca="false">IF(I$4=0,0,IF(COUNTIFS(実績!$W$6:$W$505,I$3,実績!$AI$6:$AI$505,"&lt;="&amp;$A162,実績!$AJ$6:$AJ$505,"&gt;"&amp;$A162,実績!$AL$6:$AL$505,"○")&gt;0,1,0))</f>
        <v>0</v>
      </c>
      <c r="J162" s="39" t="n">
        <f aca="false">IF(J$4=0,0,IF(COUNTIFS(実績!$W$6:$W$505,J$3,実績!$AI$6:$AI$505,"&lt;="&amp;$A162,実績!$AJ$6:$AJ$505,"&gt;"&amp;$A162,実績!$AL$6:$AL$505,"○")&gt;0,1,0))</f>
        <v>0</v>
      </c>
      <c r="K162" s="39" t="n">
        <f aca="false">IF(K$4=0,0,IF(COUNTIFS(実績!$W$6:$W$505,K$3,実績!$AI$6:$AI$505,"&lt;="&amp;$A162,実績!$AJ$6:$AJ$505,"&gt;"&amp;$A162,実績!$AL$6:$AL$505,"○")&gt;0,1,0))</f>
        <v>0</v>
      </c>
      <c r="L162" s="39" t="n">
        <f aca="false">IF(L$4=0,0,IF(COUNTIFS(実績!$W$6:$W$505,L$3,実績!$AI$6:$AI$505,"&lt;="&amp;$A162,実績!$AJ$6:$AJ$505,"&gt;"&amp;$A162,実績!$AL$6:$AL$505,"○")&gt;0,1,0))</f>
        <v>0</v>
      </c>
      <c r="M162" s="39" t="n">
        <f aca="false">IF(M$4=0,0,IF(COUNTIFS(実績!$W$6:$W$505,M$3,実績!$AI$6:$AI$505,"&lt;="&amp;$A162,実績!$AJ$6:$AJ$505,"&gt;"&amp;$A162,実績!$AL$6:$AL$505,"○")&gt;0,1,0))</f>
        <v>0</v>
      </c>
      <c r="N162" s="39" t="n">
        <f aca="false">IF(N$4=0,0,IF(COUNTIFS(実績!$W$6:$W$505,N$3,実績!$AI$6:$AI$505,"&lt;="&amp;$A162,実績!$AJ$6:$AJ$505,"&gt;"&amp;$A162,実績!$AL$6:$AL$505,"○")&gt;0,1,0))</f>
        <v>0</v>
      </c>
      <c r="O162" s="39" t="n">
        <f aca="false">IF(O$4=0,0,IF(COUNTIFS(実績!$W$6:$W$505,O$3,実績!$AI$6:$AI$505,"&lt;="&amp;$A162,実績!$AJ$6:$AJ$505,"&gt;"&amp;$A162,実績!$AL$6:$AL$505,"○")&gt;0,1,0))</f>
        <v>0</v>
      </c>
      <c r="P162" s="39" t="n">
        <f aca="false">IF(P$4=0,0,IF(COUNTIFS(実績!$W$6:$W$505,P$3,実績!$AI$6:$AI$505,"&lt;="&amp;$A162,実績!$AJ$6:$AJ$505,"&gt;"&amp;$A162,実績!$AL$6:$AL$505,"○")&gt;0,1,0))</f>
        <v>0</v>
      </c>
      <c r="Q162" s="39" t="n">
        <f aca="false">IF(Q$4=0,0,IF(COUNTIFS(実績!$W$6:$W$505,Q$3,実績!$AI$6:$AI$505,"&lt;="&amp;$A162,実績!$AJ$6:$AJ$505,"&gt;"&amp;$A162,実績!$AL$6:$AL$505,"○")&gt;0,1,0))</f>
        <v>0</v>
      </c>
      <c r="R162" s="39" t="n">
        <f aca="false">IF(R$4=0,0,IF(COUNTIFS(実績!$W$6:$W$505,R$3,実績!$AI$6:$AI$505,"&lt;="&amp;$A162,実績!$AJ$6:$AJ$505,"&gt;"&amp;$A162,実績!$AL$6:$AL$505,"○")&gt;0,1,0))</f>
        <v>0</v>
      </c>
      <c r="S162" s="39" t="n">
        <f aca="false">IF(S$4=0,0,IF(COUNTIFS(実績!$W$6:$W$505,S$3,実績!$AI$6:$AI$505,"&lt;="&amp;$A162,実績!$AJ$6:$AJ$505,"&gt;"&amp;$A162,実績!$AL$6:$AL$505,"○")&gt;0,1,0))</f>
        <v>0</v>
      </c>
      <c r="T162" s="39" t="n">
        <f aca="false">IF(T$4=0,0,IF(COUNTIFS(実績!$W$6:$W$505,T$3,実績!$AI$6:$AI$505,"&lt;="&amp;$A162,実績!$AJ$6:$AJ$505,"&gt;"&amp;$A162,実績!$AL$6:$AL$505,"○")&gt;0,1,0))</f>
        <v>0</v>
      </c>
      <c r="U162" s="39" t="n">
        <f aca="false">IF(U$4=0,0,IF(COUNTIFS(実績!$W$6:$W$505,U$3,実績!$AI$6:$AI$505,"&lt;="&amp;$A162,実績!$AJ$6:$AJ$505,"&gt;"&amp;$A162,実績!$AL$6:$AL$505,"○")&gt;0,1,0))</f>
        <v>0</v>
      </c>
      <c r="V162" s="39" t="n">
        <f aca="false">IF(V$4=0,0,IF(COUNTIFS(実績!$W$6:$W$505,V$3,実績!$AI$6:$AI$505,"&lt;="&amp;$A162,実績!$AJ$6:$AJ$505,"&gt;"&amp;$A162,実績!$AL$6:$AL$505,"○")&gt;0,1,0))</f>
        <v>0</v>
      </c>
      <c r="W162" s="39" t="n">
        <f aca="false">IF(W$4=0,0,IF(COUNTIFS(実績!$W$6:$W$505,W$3,実績!$AI$6:$AI$505,"&lt;="&amp;$A162,実績!$AJ$6:$AJ$505,"&gt;"&amp;$A162,実績!$AL$6:$AL$505,"○")&gt;0,1,0))</f>
        <v>0</v>
      </c>
      <c r="X162" s="39" t="n">
        <f aca="false">IF(X$4=0,0,IF(COUNTIFS(実績!$W$6:$W$505,X$3,実績!$AI$6:$AI$505,"&lt;="&amp;$A162,実績!$AJ$6:$AJ$505,"&gt;"&amp;$A162,実績!$AL$6:$AL$505,"○")&gt;0,1,0))</f>
        <v>0</v>
      </c>
      <c r="Y162" s="39" t="n">
        <f aca="false">IF(Y$4=0,0,IF(COUNTIFS(実績!$W$6:$W$505,Y$3,実績!$AI$6:$AI$505,"&lt;="&amp;$A162,実績!$AJ$6:$AJ$505,"&gt;"&amp;$A162,実績!$AL$6:$AL$505,"○")&gt;0,1,0))</f>
        <v>0</v>
      </c>
      <c r="Z162" s="39" t="n">
        <f aca="false">IF(Z$4=0,0,IF(COUNTIFS(実績!$W$6:$W$505,Z$3,実績!$AI$6:$AI$505,"&lt;="&amp;$A162,実績!$AJ$6:$AJ$505,"&gt;"&amp;$A162,実績!$AL$6:$AL$505,"○")&gt;0,1,0))</f>
        <v>0</v>
      </c>
      <c r="AA162" s="39" t="n">
        <f aca="false">IF(AA$4=0,0,IF(COUNTIFS(実績!$W$6:$W$505,AA$3,実績!$AI$6:$AI$505,"&lt;="&amp;$A162,実績!$AJ$6:$AJ$505,"&gt;"&amp;$A162,実績!$AL$6:$AL$505,"○")&gt;0,1,0))</f>
        <v>0</v>
      </c>
      <c r="AB162" s="39" t="n">
        <f aca="false">IF(AB$4=0,0,IF(COUNTIFS(実績!$W$6:$W$505,AB$3,実績!$AI$6:$AI$505,"&lt;="&amp;$A162,実績!$AJ$6:$AJ$505,"&gt;"&amp;$A162,実績!$AL$6:$AL$505,"○")&gt;0,1,0))</f>
        <v>0</v>
      </c>
      <c r="AC162" s="39" t="n">
        <f aca="false">IF(AC$4=0,0,IF(COUNTIFS(実績!$W$6:$W$505,AC$3,実績!$AI$6:$AI$505,"&lt;="&amp;$A162,実績!$AJ$6:$AJ$505,"&gt;"&amp;$A162,実績!$AL$6:$AL$505,"○")&gt;0,1,0))</f>
        <v>0</v>
      </c>
      <c r="AD162" s="39" t="n">
        <f aca="false">IF(AD$4=0,0,IF(COUNTIFS(実績!$W$6:$W$505,AD$3,実績!$AI$6:$AI$505,"&lt;="&amp;$A162,実績!$AJ$6:$AJ$505,"&gt;"&amp;$A162,実績!$AL$6:$AL$505,"○")&gt;0,1,0))</f>
        <v>0</v>
      </c>
      <c r="AE162" s="39" t="n">
        <f aca="false">IF(AE$4=0,0,IF(COUNTIFS(実績!$W$6:$W$505,AE$3,実績!$AI$6:$AI$505,"&lt;="&amp;$A162,実績!$AJ$6:$AJ$505,"&gt;"&amp;$A162,実績!$AL$6:$AL$505,"○")&gt;0,1,0))</f>
        <v>0</v>
      </c>
      <c r="AF162" s="39" t="n">
        <f aca="false">IF(AF$4=0,0,IF(COUNTIFS(実績!$W$6:$W$505,AF$3,実績!$AI$6:$AI$505,"&lt;="&amp;$A162,実績!$AJ$6:$AJ$505,"&gt;"&amp;$A162,実績!$AL$6:$AL$505,"○")&gt;0,1,0))</f>
        <v>0</v>
      </c>
      <c r="AG162" s="39" t="n">
        <f aca="false">IF(AG$4=0,0,IF(COUNTIFS(実績!$W$6:$W$505,AG$3,実績!$AI$6:$AI$505,"&lt;="&amp;$A162,実績!$AJ$6:$AJ$505,"&gt;"&amp;$A162,実績!$AL$6:$AL$505,"○")&gt;0,1,0))</f>
        <v>0</v>
      </c>
      <c r="AH162" s="39" t="n">
        <f aca="false">IF(AH$4=0,0,IF(COUNTIFS(実績!$W$6:$W$505,AH$3,実績!$AI$6:$AI$505,"&lt;="&amp;$A162,実績!$AJ$6:$AJ$505,"&gt;"&amp;$A162,実績!$AL$6:$AL$505,"○")&gt;0,1,0))</f>
        <v>0</v>
      </c>
      <c r="AI162" s="39" t="n">
        <f aca="false">IF(AI$4=0,0,IF(COUNTIFS(実績!$W$6:$W$505,AI$3,実績!$AI$6:$AI$505,"&lt;="&amp;$A162,実績!$AJ$6:$AJ$505,"&gt;"&amp;$A162,実績!$AL$6:$AL$505,"○")&gt;0,1,0))</f>
        <v>0</v>
      </c>
      <c r="AJ162" s="39" t="n">
        <f aca="false">IF(AJ$4=0,0,IF(COUNTIFS(実績!$W$6:$W$505,AJ$3,実績!$AI$6:$AI$505,"&lt;="&amp;$A162,実績!$AJ$6:$AJ$505,"&gt;"&amp;$A162,実績!$AL$6:$AL$505,"○")&gt;0,1,0))</f>
        <v>0</v>
      </c>
      <c r="AK162" s="39" t="n">
        <f aca="false">IF(AK$4=0,0,IF(COUNTIFS(実績!$W$6:$W$505,AK$3,実績!$AI$6:$AI$505,"&lt;="&amp;$A162,実績!$AJ$6:$AJ$505,"&gt;"&amp;$A162,実績!$AL$6:$AL$505,"○")&gt;0,1,0))</f>
        <v>0</v>
      </c>
      <c r="AL162" s="39" t="n">
        <f aca="false">IF(AL$4=0,0,IF(COUNTIFS(実績!$W$6:$W$505,AL$3,実績!$AI$6:$AI$505,"&lt;="&amp;$A162,実績!$AJ$6:$AJ$505,"&gt;"&amp;$A162,実績!$AL$6:$AL$505,"○")&gt;0,1,0))</f>
        <v>0</v>
      </c>
      <c r="AM162" s="39" t="n">
        <f aca="false">IF(AM$4=0,0,IF(COUNTIFS(実績!$W$6:$W$505,AM$3,実績!$AI$6:$AI$505,"&lt;="&amp;$A162,実績!$AJ$6:$AJ$505,"&gt;"&amp;$A162,実績!$AL$6:$AL$505,"○")&gt;0,1,0))</f>
        <v>0</v>
      </c>
      <c r="AN162" s="39" t="n">
        <f aca="false">IF(AN$4=0,0,IF(COUNTIFS(実績!$W$6:$W$505,AN$3,実績!$AI$6:$AI$505,"&lt;="&amp;$A162,実績!$AJ$6:$AJ$505,"&gt;"&amp;$A162,実績!$AL$6:$AL$505,"○")&gt;0,1,0))</f>
        <v>0</v>
      </c>
      <c r="AO162" s="39" t="n">
        <f aca="false">IF(AO$4=0,0,IF(COUNTIFS(実績!$W$6:$W$505,AO$3,実績!$AI$6:$AI$505,"&lt;="&amp;$A162,実績!$AJ$6:$AJ$505,"&gt;"&amp;$A162,実績!$AL$6:$AL$505,"○")&gt;0,1,0))</f>
        <v>0</v>
      </c>
      <c r="AP162" s="39" t="n">
        <f aca="false">IF(AP$4=0,0,IF(COUNTIFS(実績!$W$6:$W$505,AP$3,実績!$AI$6:$AI$505,"&lt;="&amp;$A162,実績!$AJ$6:$AJ$505,"&gt;"&amp;$A162,実績!$AL$6:$AL$505,"○")&gt;0,1,0))</f>
        <v>0</v>
      </c>
      <c r="AQ162" s="39" t="n">
        <f aca="false">IF(AQ$4=0,0,IF(COUNTIFS(実績!$W$6:$W$505,AQ$3,実績!$AI$6:$AI$505,"&lt;="&amp;$A162,実績!$AJ$6:$AJ$505,"&gt;"&amp;$A162,実績!$AL$6:$AL$505,"○")&gt;0,1,0))</f>
        <v>0</v>
      </c>
      <c r="AR162" s="39" t="n">
        <f aca="false">IF(AR$4=0,0,IF(COUNTIFS(実績!$W$6:$W$505,AR$3,実績!$AI$6:$AI$505,"&lt;="&amp;$A162,実績!$AJ$6:$AJ$505,"&gt;"&amp;$A162,実績!$AL$6:$AL$505,"○")&gt;0,1,0))</f>
        <v>0</v>
      </c>
      <c r="AS162" s="39" t="n">
        <f aca="false">IF(AS$4=0,0,IF(COUNTIFS(実績!$W$6:$W$505,AS$3,実績!$AI$6:$AI$505,"&lt;="&amp;$A162,実績!$AJ$6:$AJ$505,"&gt;"&amp;$A162,実績!$AL$6:$AL$505,"○")&gt;0,1,0))</f>
        <v>0</v>
      </c>
      <c r="AT162" s="39" t="n">
        <f aca="false">IF(AT$4=0,0,IF(COUNTIFS(実績!$W$6:$W$505,AT$3,実績!$AI$6:$AI$505,"&lt;="&amp;$A162,実績!$AJ$6:$AJ$505,"&gt;"&amp;$A162,実績!$AL$6:$AL$505,"○")&gt;0,1,0))</f>
        <v>0</v>
      </c>
      <c r="AU162" s="39" t="n">
        <f aca="false">IF(AU$4=0,0,IF(COUNTIFS(実績!$W$6:$W$505,AU$3,実績!$AI$6:$AI$505,"&lt;="&amp;$A162,実績!$AJ$6:$AJ$505,"&gt;"&amp;$A162,実績!$AL$6:$AL$505,"○")&gt;0,1,0))</f>
        <v>0</v>
      </c>
      <c r="AV162" s="39" t="n">
        <f aca="false">IF(AV$4=0,0,IF(COUNTIFS(実績!$W$6:$W$505,AV$3,実績!$AI$6:$AI$505,"&lt;="&amp;$A162,実績!$AJ$6:$AJ$505,"&gt;"&amp;$A162,実績!$AL$6:$AL$505,"○")&gt;0,1,0))</f>
        <v>0</v>
      </c>
      <c r="AW162" s="39" t="n">
        <f aca="false">IF(AW$4=0,0,IF(COUNTIFS(実績!$W$6:$W$505,AW$3,実績!$AI$6:$AI$505,"&lt;="&amp;$A162,実績!$AJ$6:$AJ$505,"&gt;"&amp;$A162,実績!$AL$6:$AL$505,"○")&gt;0,1,0))</f>
        <v>0</v>
      </c>
      <c r="AX162" s="39" t="n">
        <f aca="false">IF(AX$4=0,0,IF(COUNTIFS(実績!$W$6:$W$505,AX$3,実績!$AI$6:$AI$505,"&lt;="&amp;$A162,実績!$AJ$6:$AJ$505,"&gt;"&amp;$A162,実績!$AL$6:$AL$505,"○")&gt;0,1,0))</f>
        <v>0</v>
      </c>
      <c r="AY162" s="39" t="n">
        <f aca="false">IF(AY$4=0,0,IF(COUNTIFS(実績!$W$6:$W$505,AY$3,実績!$AI$6:$AI$505,"&lt;="&amp;$A162,実績!$AJ$6:$AJ$505,"&gt;"&amp;$A162,実績!$AL$6:$AL$505,"○")&gt;0,1,0))</f>
        <v>0</v>
      </c>
      <c r="AZ162" s="39" t="n">
        <f aca="false">IF(AZ$4=0,0,IF(COUNTIFS(実績!$W$6:$W$505,AZ$3,実績!$AI$6:$AI$505,"&lt;="&amp;$A162,実績!$AJ$6:$AJ$505,"&gt;"&amp;$A162,実績!$AL$6:$AL$505,"○")&gt;0,1,0))</f>
        <v>0</v>
      </c>
      <c r="BA162" s="39" t="n">
        <f aca="false">IF(BA$4=0,0,IF(COUNTIFS(実績!$W$6:$W$505,BA$3,実績!$AI$6:$AI$505,"&lt;="&amp;$A162,実績!$AJ$6:$AJ$505,"&gt;"&amp;$A162,実績!$AL$6:$AL$505,"○")&gt;0,1,0))</f>
        <v>0</v>
      </c>
      <c r="BB162" s="39" t="n">
        <f aca="false">IF(BB$4=0,0,IF(COUNTIFS(実績!$W$6:$W$505,BB$3,実績!$AI$6:$AI$505,"&lt;="&amp;$A162,実績!$AJ$6:$AJ$505,"&gt;"&amp;$A162,実績!$AL$6:$AL$505,"○")&gt;0,1,0))</f>
        <v>0</v>
      </c>
      <c r="BC162" s="39" t="n">
        <f aca="false">IF(BC$4=0,0,IF(COUNTIFS(実績!$W$6:$W$505,BC$3,実績!$AI$6:$AI$505,"&lt;="&amp;$A162,実績!$AJ$6:$AJ$505,"&gt;"&amp;$A162,実績!$AL$6:$AL$505,"○")&gt;0,1,0))</f>
        <v>0</v>
      </c>
      <c r="BD162" s="39" t="n">
        <f aca="false">IF(BD$4=0,0,IF(COUNTIFS(実績!$W$6:$W$505,BD$3,実績!$AI$6:$AI$505,"&lt;="&amp;$A162,実績!$AJ$6:$AJ$505,"&gt;"&amp;$A162,実績!$AL$6:$AL$505,"○")&gt;0,1,0))</f>
        <v>0</v>
      </c>
      <c r="BE162" s="39" t="n">
        <f aca="false">IF(BE$4=0,0,IF(COUNTIFS(実績!$W$6:$W$505,BE$3,実績!$AI$6:$AI$505,"&lt;="&amp;$A162,実績!$AJ$6:$AJ$505,"&gt;"&amp;$A162,実績!$AL$6:$AL$505,"○")&gt;0,1,0))</f>
        <v>0</v>
      </c>
      <c r="BF162" s="39" t="n">
        <f aca="false">IF(BF$4=0,0,IF(COUNTIFS(実績!$W$6:$W$505,BF$3,実績!$AI$6:$AI$505,"&lt;="&amp;$A162,実績!$AJ$6:$AJ$505,"&gt;"&amp;$A162,実績!$AL$6:$AL$505,"○")&gt;0,1,0))</f>
        <v>0</v>
      </c>
      <c r="BG162" s="39" t="n">
        <f aca="false">IF(BG$4=0,0,IF(COUNTIFS(実績!$W$6:$W$505,BG$3,実績!$AI$6:$AI$505,"&lt;="&amp;$A162,実績!$AJ$6:$AJ$505,"&gt;"&amp;$A162,実績!$AL$6:$AL$505,"○")&gt;0,1,0))</f>
        <v>0</v>
      </c>
      <c r="BH162" s="39" t="n">
        <f aca="false">IF(BH$4=0,0,IF(COUNTIFS(実績!$W$6:$W$505,BH$3,実績!$AI$6:$AI$505,"&lt;="&amp;$A162,実績!$AJ$6:$AJ$505,"&gt;"&amp;$A162,実績!$AL$6:$AL$505,"○")&gt;0,1,0))</f>
        <v>0</v>
      </c>
      <c r="BI162" s="39" t="n">
        <f aca="false">IF(BI$4=0,0,IF(COUNTIFS(実績!$W$6:$W$505,BI$3,実績!$AI$6:$AI$505,"&lt;="&amp;$A162,実績!$AJ$6:$AJ$505,"&gt;"&amp;$A162,実績!$AL$6:$AL$505,"○")&gt;0,1,0))</f>
        <v>0</v>
      </c>
      <c r="BJ162" s="39" t="n">
        <f aca="false">IF(BJ$4=0,0,IF(COUNTIFS(実績!$W$6:$W$505,BJ$3,実績!$AI$6:$AI$505,"&lt;="&amp;$A162,実績!$AJ$6:$AJ$505,"&gt;"&amp;$A162,実績!$AL$6:$AL$505,"○")&gt;0,1,0))</f>
        <v>0</v>
      </c>
      <c r="BK162" s="39" t="n">
        <f aca="false">IF(BK$4=0,0,IF(COUNTIFS(実績!$W$6:$W$505,BK$3,実績!$AI$6:$AI$505,"&lt;="&amp;$A162,実績!$AJ$6:$AJ$505,"&gt;"&amp;$A162,実績!$AL$6:$AL$505,"○")&gt;0,1,0))</f>
        <v>0</v>
      </c>
      <c r="BL162" s="39" t="n">
        <f aca="false">IF(BL$4=0,0,IF(COUNTIFS(実績!$W$6:$W$505,BL$3,実績!$AI$6:$AI$505,"&lt;="&amp;$A162,実績!$AJ$6:$AJ$505,"&gt;"&amp;$A162,実績!$AL$6:$AL$505,"○")&gt;0,1,0))</f>
        <v>0</v>
      </c>
      <c r="BM162" s="39" t="n">
        <f aca="false">IF(BM$4=0,0,IF(COUNTIFS(実績!$W$6:$W$505,BM$3,実績!$AI$6:$AI$505,"&lt;="&amp;$A162,実績!$AJ$6:$AJ$505,"&gt;"&amp;$A162,実績!$AL$6:$AL$505,"○")&gt;0,1,0))</f>
        <v>0</v>
      </c>
      <c r="BN162" s="39" t="n">
        <f aca="false">IF(BN$4=0,0,IF(COUNTIFS(実績!$W$6:$W$505,BN$3,実績!$AI$6:$AI$505,"&lt;="&amp;$A162,実績!$AJ$6:$AJ$505,"&gt;"&amp;$A162,実績!$AL$6:$AL$505,"○")&gt;0,1,0))</f>
        <v>0</v>
      </c>
      <c r="BO162" s="39" t="n">
        <f aca="false">IF(BO$4=0,0,IF(COUNTIFS(実績!$W$6:$W$505,BO$3,実績!$AI$6:$AI$505,"&lt;="&amp;$A162,実績!$AJ$6:$AJ$505,"&gt;"&amp;$A162,実績!$AL$6:$AL$505,"○")&gt;0,1,0))</f>
        <v>0</v>
      </c>
      <c r="BP162" s="39" t="n">
        <f aca="false">IF(BP$4=0,0,IF(COUNTIFS(実績!$W$6:$W$505,BP$3,実績!$AI$6:$AI$505,"&lt;="&amp;$A162,実績!$AJ$6:$AJ$505,"&gt;"&amp;$A162,実績!$AL$6:$AL$505,"○")&gt;0,1,0))</f>
        <v>0</v>
      </c>
      <c r="BQ162" s="39" t="n">
        <f aca="false">IF(BQ$4=0,0,IF(COUNTIFS(実績!$W$6:$W$505,BQ$3,実績!$AI$6:$AI$505,"&lt;="&amp;$A162,実績!$AJ$6:$AJ$505,"&gt;"&amp;$A162,実績!$AL$6:$AL$505,"○")&gt;0,1,0))</f>
        <v>0</v>
      </c>
      <c r="BR162" s="39" t="n">
        <f aca="false">IF(BR$4=0,0,IF(COUNTIFS(実績!$W$6:$W$505,BR$3,実績!$AI$6:$AI$505,"&lt;="&amp;$A162,実績!$AJ$6:$AJ$505,"&gt;"&amp;$A162,実績!$AL$6:$AL$505,"○")&gt;0,1,0))</f>
        <v>0</v>
      </c>
      <c r="BS162" s="39" t="n">
        <f aca="false">IF(BS$4=0,0,IF(COUNTIFS(実績!$W$6:$W$505,BS$3,実績!$AI$6:$AI$505,"&lt;="&amp;$A162,実績!$AJ$6:$AJ$505,"&gt;"&amp;$A162,実績!$AL$6:$AL$505,"○")&gt;0,1,0))</f>
        <v>0</v>
      </c>
      <c r="BT162" s="39" t="n">
        <f aca="false">IF(BT$4=0,0,IF(COUNTIFS(実績!$W$6:$W$505,BT$3,実績!$AI$6:$AI$505,"&lt;="&amp;$A162,実績!$AJ$6:$AJ$505,"&gt;"&amp;$A162,実績!$AL$6:$AL$505,"○")&gt;0,1,0))</f>
        <v>0</v>
      </c>
      <c r="BU162" s="39" t="n">
        <f aca="false">IF(BU$4=0,0,IF(COUNTIFS(実績!$W$6:$W$505,BU$3,実績!$AI$6:$AI$505,"&lt;="&amp;$A162,実績!$AJ$6:$AJ$505,"&gt;"&amp;$A162,実績!$AL$6:$AL$505,"○")&gt;0,1,0))</f>
        <v>0</v>
      </c>
      <c r="BV162" s="39" t="n">
        <f aca="false">IF(BV$4=0,0,IF(COUNTIFS(実績!$W$6:$W$505,BV$3,実績!$AI$6:$AI$505,"&lt;="&amp;$A162,実績!$AJ$6:$AJ$505,"&gt;"&amp;$A162,実績!$AL$6:$AL$505,"○")&gt;0,1,0))</f>
        <v>0</v>
      </c>
      <c r="BW162" s="39" t="n">
        <f aca="false">IF(BW$4=0,0,IF(COUNTIFS(実績!$W$6:$W$505,BW$3,実績!$AI$6:$AI$505,"&lt;="&amp;$A162,実績!$AJ$6:$AJ$505,"&gt;"&amp;$A162,実績!$AL$6:$AL$505,"○")&gt;0,1,0))</f>
        <v>0</v>
      </c>
      <c r="BX162" s="39" t="n">
        <f aca="false">IF(BX$4=0,0,IF(COUNTIFS(実績!$W$6:$W$505,BX$3,実績!$AI$6:$AI$505,"&lt;="&amp;$A162,実績!$AJ$6:$AJ$505,"&gt;"&amp;$A162,実績!$AL$6:$AL$505,"○")&gt;0,1,0))</f>
        <v>0</v>
      </c>
      <c r="BY162" s="39" t="n">
        <f aca="false">IF(BY$4=0,0,IF(COUNTIFS(実績!$W$6:$W$505,BY$3,実績!$AI$6:$AI$505,"&lt;="&amp;$A162,実績!$AJ$6:$AJ$505,"&gt;"&amp;$A162,実績!$AL$6:$AL$505,"○")&gt;0,1,0))</f>
        <v>0</v>
      </c>
      <c r="BZ162" s="39" t="n">
        <f aca="false">IF(BZ$4=0,0,IF(COUNTIFS(実績!$W$6:$W$505,BZ$3,実績!$AI$6:$AI$505,"&lt;="&amp;$A162,実績!$AJ$6:$AJ$505,"&gt;"&amp;$A162,実績!$AL$6:$AL$505,"○")&gt;0,1,0))</f>
        <v>0</v>
      </c>
      <c r="CA162" s="39" t="n">
        <f aca="false">IF(CA$4=0,0,IF(COUNTIFS(実績!$W$6:$W$505,CA$3,実績!$AI$6:$AI$505,"&lt;="&amp;$A162,実績!$AJ$6:$AJ$505,"&gt;"&amp;$A162,実績!$AL$6:$AL$505,"○")&gt;0,1,0))</f>
        <v>0</v>
      </c>
      <c r="CB162" s="39" t="n">
        <f aca="false">IF(CB$4=0,0,IF(COUNTIFS(実績!$W$6:$W$505,CB$3,実績!$AI$6:$AI$505,"&lt;="&amp;$A162,実績!$AJ$6:$AJ$505,"&gt;"&amp;$A162,実績!$AL$6:$AL$505,"○")&gt;0,1,0))</f>
        <v>0</v>
      </c>
      <c r="CC162" s="39" t="n">
        <f aca="false">IF(CC$4=0,0,IF(COUNTIFS(実績!$W$6:$W$505,CC$3,実績!$AI$6:$AI$505,"&lt;="&amp;$A162,実績!$AJ$6:$AJ$505,"&gt;"&amp;$A162,実績!$AL$6:$AL$505,"○")&gt;0,1,0))</f>
        <v>0</v>
      </c>
      <c r="CD162" s="39" t="n">
        <f aca="false">IF(CD$4=0,0,IF(COUNTIFS(実績!$W$6:$W$505,CD$3,実績!$AI$6:$AI$505,"&lt;="&amp;$A162,実績!$AJ$6:$AJ$505,"&gt;"&amp;$A162,実績!$AL$6:$AL$505,"○")&gt;0,1,0))</f>
        <v>0</v>
      </c>
      <c r="CE162" s="39" t="n">
        <f aca="false">IF(CE$4=0,0,IF(COUNTIFS(実績!$W$6:$W$505,CE$3,実績!$AI$6:$AI$505,"&lt;="&amp;$A162,実績!$AJ$6:$AJ$505,"&gt;"&amp;$A162,実績!$AL$6:$AL$505,"○")&gt;0,1,0))</f>
        <v>0</v>
      </c>
      <c r="CF162" s="39" t="n">
        <f aca="false">IF(CF$4=0,0,IF(COUNTIFS(実績!$W$6:$W$505,CF$3,実績!$AI$6:$AI$505,"&lt;="&amp;$A162,実績!$AJ$6:$AJ$505,"&gt;"&amp;$A162,実績!$AL$6:$AL$505,"○")&gt;0,1,0))</f>
        <v>0</v>
      </c>
      <c r="CG162" s="39" t="n">
        <f aca="false">IF(CG$4=0,0,IF(COUNTIFS(実績!$W$6:$W$505,CG$3,実績!$AI$6:$AI$505,"&lt;="&amp;$A162,実績!$AJ$6:$AJ$505,"&gt;"&amp;$A162,実績!$AL$6:$AL$505,"○")&gt;0,1,0))</f>
        <v>0</v>
      </c>
      <c r="CH162" s="39" t="n">
        <f aca="false">IF(CH$4=0,0,IF(COUNTIFS(実績!$W$6:$W$505,CH$3,実績!$AI$6:$AI$505,"&lt;="&amp;$A162,実績!$AJ$6:$AJ$505,"&gt;"&amp;$A162,実績!$AL$6:$AL$505,"○")&gt;0,1,0))</f>
        <v>0</v>
      </c>
      <c r="CI162" s="39" t="n">
        <f aca="false">IF(CI$4=0,0,IF(COUNTIFS(実績!$W$6:$W$505,CI$3,実績!$AI$6:$AI$505,"&lt;="&amp;$A162,実績!$AJ$6:$AJ$505,"&gt;"&amp;$A162,実績!$AL$6:$AL$505,"○")&gt;0,1,0))</f>
        <v>0</v>
      </c>
      <c r="CJ162" s="39" t="n">
        <f aca="false">IF(CJ$4=0,0,IF(COUNTIFS(実績!$W$6:$W$505,CJ$3,実績!$AI$6:$AI$505,"&lt;="&amp;$A162,実績!$AJ$6:$AJ$505,"&gt;"&amp;$A162,実績!$AL$6:$AL$505,"○")&gt;0,1,0))</f>
        <v>0</v>
      </c>
      <c r="CK162" s="39" t="n">
        <f aca="false">IF(CK$4=0,0,IF(COUNTIFS(実績!$W$6:$W$505,CK$3,実績!$AI$6:$AI$505,"&lt;="&amp;$A162,実績!$AJ$6:$AJ$505,"&gt;"&amp;$A162,実績!$AL$6:$AL$505,"○")&gt;0,1,0))</f>
        <v>0</v>
      </c>
      <c r="CL162" s="39" t="n">
        <f aca="false">IF(CL$4=0,0,IF(COUNTIFS(実績!$W$6:$W$505,CL$3,実績!$AI$6:$AI$505,"&lt;="&amp;$A162,実績!$AJ$6:$AJ$505,"&gt;"&amp;$A162,実績!$AL$6:$AL$505,"○")&gt;0,1,0))</f>
        <v>0</v>
      </c>
      <c r="CM162" s="39" t="n">
        <f aca="false">IF(CM$4=0,0,IF(COUNTIFS(実績!$W$6:$W$505,CM$3,実績!$AI$6:$AI$505,"&lt;="&amp;$A162,実績!$AJ$6:$AJ$505,"&gt;"&amp;$A162,実績!$AL$6:$AL$505,"○")&gt;0,1,0))</f>
        <v>0</v>
      </c>
      <c r="CN162" s="39" t="n">
        <f aca="false">IF(CN$4=0,0,IF(COUNTIFS(実績!$W$6:$W$505,CN$3,実績!$AI$6:$AI$505,"&lt;="&amp;$A162,実績!$AJ$6:$AJ$505,"&gt;"&amp;$A162,実績!$AL$6:$AL$505,"○")&gt;0,1,0))</f>
        <v>0</v>
      </c>
      <c r="CO162" s="39" t="n">
        <f aca="false">IF(CO$4=0,0,IF(COUNTIFS(実績!$W$6:$W$505,CO$3,実績!$AI$6:$AI$505,"&lt;="&amp;$A162,実績!$AJ$6:$AJ$505,"&gt;"&amp;$A162,実績!$AL$6:$AL$505,"○")&gt;0,1,0))</f>
        <v>0</v>
      </c>
      <c r="CP162" s="39" t="n">
        <f aca="false">IF(CP$4=0,0,IF(COUNTIFS(実績!$W$6:$W$505,CP$3,実績!$AI$6:$AI$505,"&lt;="&amp;$A162,実績!$AJ$6:$AJ$505,"&gt;"&amp;$A162,実績!$AL$6:$AL$505,"○")&gt;0,1,0))</f>
        <v>0</v>
      </c>
      <c r="CQ162" s="39" t="n">
        <f aca="false">IF(CQ$4=0,0,IF(COUNTIFS(実績!$W$6:$W$505,CQ$3,実績!$AI$6:$AI$505,"&lt;="&amp;$A162,実績!$AJ$6:$AJ$505,"&gt;"&amp;$A162,実績!$AL$6:$AL$505,"○")&gt;0,1,0))</f>
        <v>0</v>
      </c>
      <c r="CR162" s="39" t="n">
        <f aca="false">IF(CR$4=0,0,IF(COUNTIFS(実績!$W$6:$W$505,CR$3,実績!$AI$6:$AI$505,"&lt;="&amp;$A162,実績!$AJ$6:$AJ$505,"&gt;"&amp;$A162,実績!$AL$6:$AL$505,"○")&gt;0,1,0))</f>
        <v>0</v>
      </c>
      <c r="CS162" s="39" t="n">
        <f aca="false">IF(CS$4=0,0,IF(COUNTIFS(実績!$W$6:$W$505,CS$3,実績!$AI$6:$AI$505,"&lt;="&amp;$A162,実績!$AJ$6:$AJ$505,"&gt;"&amp;$A162,実績!$AL$6:$AL$505,"○")&gt;0,1,0))</f>
        <v>0</v>
      </c>
      <c r="CT162" s="39" t="n">
        <f aca="false">IF(CT$4=0,0,IF(COUNTIFS(実績!$W$6:$W$505,CT$3,実績!$AI$6:$AI$505,"&lt;="&amp;$A162,実績!$AJ$6:$AJ$505,"&gt;"&amp;$A162,実績!$AL$6:$AL$505,"○")&gt;0,1,0))</f>
        <v>0</v>
      </c>
      <c r="CU162" s="39" t="n">
        <f aca="false">IF(CU$4=0,0,IF(COUNTIFS(実績!$W$6:$W$505,CU$3,実績!$AI$6:$AI$505,"&lt;="&amp;$A162,実績!$AJ$6:$AJ$505,"&gt;"&amp;$A162,実績!$AL$6:$AL$505,"○")&gt;0,1,0))</f>
        <v>0</v>
      </c>
      <c r="CV162" s="39" t="n">
        <f aca="false">IF(CV$4=0,0,IF(COUNTIFS(実績!$W$6:$W$505,CV$3,実績!$AI$6:$AI$505,"&lt;="&amp;$A162,実績!$AJ$6:$AJ$505,"&gt;"&amp;$A162,実績!$AL$6:$AL$505,"○")&gt;0,1,0))</f>
        <v>0</v>
      </c>
      <c r="CW162" s="39" t="n">
        <f aca="false">IF(CW$4=0,0,IF(COUNTIFS(実績!$W$6:$W$505,CW$3,実績!$AI$6:$AI$505,"&lt;="&amp;$A162,実績!$AJ$6:$AJ$505,"&gt;"&amp;$A162,実績!$AL$6:$AL$505,"○")&gt;0,1,0))</f>
        <v>0</v>
      </c>
      <c r="CX162" s="39" t="n">
        <f aca="false">IF(CX$4=0,0,IF(COUNTIFS(実績!$W$6:$W$505,CX$3,実績!$AI$6:$AI$505,"&lt;="&amp;$A162,実績!$AJ$6:$AJ$505,"&gt;"&amp;$A162,実績!$AL$6:$AL$505,"○")&gt;0,1,0))</f>
        <v>0</v>
      </c>
      <c r="CY162" s="39" t="n">
        <f aca="false">IF(CY$4=0,0,IF(COUNTIFS(実績!$W$6:$W$505,CY$3,実績!$AI$6:$AI$505,"&lt;="&amp;$A162,実績!$AJ$6:$AJ$505,"&gt;"&amp;$A162,実績!$AL$6:$AL$505,"○")&gt;0,1,0))</f>
        <v>0</v>
      </c>
      <c r="CZ162" s="39" t="n">
        <f aca="false">IF(CZ$4=0,0,IF(COUNTIFS(実績!$W$6:$W$505,CZ$3,実績!$AI$6:$AI$505,"&lt;="&amp;$A162,実績!$AJ$6:$AJ$505,"&gt;"&amp;$A162,実績!$AL$6:$AL$505,"○")&gt;0,1,0))</f>
        <v>0</v>
      </c>
      <c r="DA162" s="39" t="n">
        <f aca="false">IF(DA$4=0,0,IF(COUNTIFS(実績!$W$6:$W$505,DA$3,実績!$AI$6:$AI$505,"&lt;="&amp;$A162,実績!$AJ$6:$AJ$505,"&gt;"&amp;$A162,実績!$AL$6:$AL$505,"○")&gt;0,1,0))</f>
        <v>0</v>
      </c>
      <c r="DB162" s="39" t="n">
        <f aca="false">IF(DB$4=0,0,IF(COUNTIFS(実績!$W$6:$W$505,DB$3,実績!$AI$6:$AI$505,"&lt;="&amp;$A162,実績!$AJ$6:$AJ$505,"&gt;"&amp;$A162,実績!$AL$6:$AL$505,"○")&gt;0,1,0))</f>
        <v>0</v>
      </c>
      <c r="DC162" s="39" t="n">
        <f aca="false">IF(DC$4=0,0,IF(COUNTIFS(実績!$W$6:$W$505,DC$3,実績!$AI$6:$AI$505,"&lt;="&amp;$A162,実績!$AJ$6:$AJ$505,"&gt;"&amp;$A162,実績!$AL$6:$AL$505,"○")&gt;0,1,0))</f>
        <v>0</v>
      </c>
      <c r="DD162" s="39" t="n">
        <f aca="false">IF(DD$4=0,0,IF(COUNTIFS(実績!$W$6:$W$505,DD$3,実績!$AI$6:$AI$505,"&lt;="&amp;$A162,実績!$AJ$6:$AJ$505,"&gt;"&amp;$A162,実績!$AL$6:$AL$505,"○")&gt;0,1,0))</f>
        <v>0</v>
      </c>
      <c r="DE162" s="39" t="n">
        <f aca="false">IF(DE$4=0,0,IF(COUNTIFS(実績!$W$6:$W$505,DE$3,実績!$AI$6:$AI$505,"&lt;="&amp;$A162,実績!$AJ$6:$AJ$505,"&gt;"&amp;$A162,実績!$AL$6:$AL$505,"○")&gt;0,1,0))</f>
        <v>0</v>
      </c>
      <c r="DF162" s="39" t="n">
        <f aca="false">IF(DF$4=0,0,IF(COUNTIFS(実績!$W$6:$W$505,DF$3,実績!$AI$6:$AI$505,"&lt;="&amp;$A162,実績!$AJ$6:$AJ$505,"&gt;"&amp;$A162,実績!$AL$6:$AL$505,"○")&gt;0,1,0))</f>
        <v>0</v>
      </c>
      <c r="DG162" s="39" t="n">
        <f aca="false">IF(DG$4=0,0,IF(COUNTIFS(実績!$W$6:$W$505,DG$3,実績!$AI$6:$AI$505,"&lt;="&amp;$A162,実績!$AJ$6:$AJ$505,"&gt;"&amp;$A162,実績!$AL$6:$AL$505,"○")&gt;0,1,0))</f>
        <v>0</v>
      </c>
      <c r="DH162" s="39" t="n">
        <f aca="false">IF(DH$4=0,0,IF(COUNTIFS(実績!$W$6:$W$505,DH$3,実績!$AI$6:$AI$505,"&lt;="&amp;$A162,実績!$AJ$6:$AJ$505,"&gt;"&amp;$A162,実績!$AL$6:$AL$505,"○")&gt;0,1,0))</f>
        <v>0</v>
      </c>
      <c r="DI162" s="39" t="n">
        <f aca="false">IF(DI$4=0,0,IF(COUNTIFS(実績!$W$6:$W$505,DI$3,実績!$AI$6:$AI$505,"&lt;="&amp;$A162,実績!$AJ$6:$AJ$505,"&gt;"&amp;$A162,実績!$AL$6:$AL$505,"○")&gt;0,1,0))</f>
        <v>0</v>
      </c>
      <c r="DJ162" s="39" t="n">
        <f aca="false">IF(DJ$4=0,0,IF(COUNTIFS(実績!$W$6:$W$505,DJ$3,実績!$AI$6:$AI$505,"&lt;="&amp;$A162,実績!$AJ$6:$AJ$505,"&gt;"&amp;$A162,実績!$AL$6:$AL$505,"○")&gt;0,1,0))</f>
        <v>0</v>
      </c>
      <c r="DK162" s="39" t="n">
        <f aca="false">IF(DK$4=0,0,IF(COUNTIFS(実績!$W$6:$W$505,DK$3,実績!$AI$6:$AI$505,"&lt;="&amp;$A162,実績!$AJ$6:$AJ$505,"&gt;"&amp;$A162,実績!$AL$6:$AL$505,"○")&gt;0,1,0))</f>
        <v>0</v>
      </c>
      <c r="DL162" s="39" t="n">
        <f aca="false">IF(DL$4=0,0,IF(COUNTIFS(実績!$W$6:$W$505,DL$3,実績!$AI$6:$AI$505,"&lt;="&amp;$A162,実績!$AJ$6:$AJ$505,"&gt;"&amp;$A162,実績!$AL$6:$AL$505,"○")&gt;0,1,0))</f>
        <v>0</v>
      </c>
      <c r="DM162" s="39" t="n">
        <f aca="false">IF(DM$4=0,0,IF(COUNTIFS(実績!$W$6:$W$505,DM$3,実績!$AI$6:$AI$505,"&lt;="&amp;$A162,実績!$AJ$6:$AJ$505,"&gt;"&amp;$A162,実績!$AL$6:$AL$505,"○")&gt;0,1,0))</f>
        <v>0</v>
      </c>
      <c r="DN162" s="39" t="n">
        <f aca="false">IF(DN$4=0,0,IF(COUNTIFS(実績!$W$6:$W$505,DN$3,実績!$AI$6:$AI$505,"&lt;="&amp;$A162,実績!$AJ$6:$AJ$505,"&gt;"&amp;$A162,実績!$AL$6:$AL$505,"○")&gt;0,1,0))</f>
        <v>0</v>
      </c>
      <c r="DO162" s="39" t="n">
        <f aca="false">IF(DO$4=0,0,IF(COUNTIFS(実績!$W$6:$W$505,DO$3,実績!$AI$6:$AI$505,"&lt;="&amp;$A162,実績!$AJ$6:$AJ$505,"&gt;"&amp;$A162,実績!$AL$6:$AL$505,"○")&gt;0,1,0))</f>
        <v>0</v>
      </c>
      <c r="DP162" s="39" t="n">
        <f aca="false">IF(DP$4=0,0,IF(COUNTIFS(実績!$W$6:$W$505,DP$3,実績!$AI$6:$AI$505,"&lt;="&amp;$A162,実績!$AJ$6:$AJ$505,"&gt;"&amp;$A162,実績!$AL$6:$AL$505,"○")&gt;0,1,0))</f>
        <v>0</v>
      </c>
      <c r="DQ162" s="39" t="n">
        <f aca="false">IF(DQ$4=0,0,IF(COUNTIFS(実績!$W$6:$W$505,DQ$3,実績!$AI$6:$AI$505,"&lt;="&amp;$A162,実績!$AJ$6:$AJ$505,"&gt;"&amp;$A162,実績!$AL$6:$AL$505,"○")&gt;0,1,0))</f>
        <v>0</v>
      </c>
      <c r="DR162" s="39" t="n">
        <f aca="false">IF(DR$4=0,0,IF(COUNTIFS(実績!$W$6:$W$505,DR$3,実績!$AI$6:$AI$505,"&lt;="&amp;$A162,実績!$AJ$6:$AJ$505,"&gt;"&amp;$A162,実績!$AL$6:$AL$505,"○")&gt;0,1,0))</f>
        <v>0</v>
      </c>
      <c r="DS162" s="39" t="n">
        <f aca="false">SUM(C162:DR162)</f>
        <v>0</v>
      </c>
    </row>
    <row r="163" customFormat="false" ht="15" hidden="false" customHeight="false" outlineLevel="0" collapsed="false">
      <c r="A163" s="0" t="n">
        <v>785</v>
      </c>
      <c r="B163" s="38" t="n">
        <f aca="false">A163/1440</f>
        <v>0.545138888888889</v>
      </c>
      <c r="C163" s="39" t="n">
        <f aca="false">IF(C$4=0,0,IF(COUNTIFS(実績!$W$6:$W$505,C$3,実績!$AI$6:$AI$505,"&lt;="&amp;$A163,実績!$AJ$6:$AJ$505,"&gt;"&amp;$A163,実績!$AL$6:$AL$505,"○")&gt;0,1,0))</f>
        <v>0</v>
      </c>
      <c r="D163" s="39" t="n">
        <f aca="false">IF(D$4=0,0,IF(COUNTIFS(実績!$W$6:$W$505,D$3,実績!$AI$6:$AI$505,"&lt;="&amp;$A163,実績!$AJ$6:$AJ$505,"&gt;"&amp;$A163,実績!$AL$6:$AL$505,"○")&gt;0,1,0))</f>
        <v>0</v>
      </c>
      <c r="E163" s="39" t="n">
        <f aca="false">IF(E$4=0,0,IF(COUNTIFS(実績!$W$6:$W$505,E$3,実績!$AI$6:$AI$505,"&lt;="&amp;$A163,実績!$AJ$6:$AJ$505,"&gt;"&amp;$A163,実績!$AL$6:$AL$505,"○")&gt;0,1,0))</f>
        <v>0</v>
      </c>
      <c r="F163" s="39" t="n">
        <f aca="false">IF(F$4=0,0,IF(COUNTIFS(実績!$W$6:$W$505,F$3,実績!$AI$6:$AI$505,"&lt;="&amp;$A163,実績!$AJ$6:$AJ$505,"&gt;"&amp;$A163,実績!$AL$6:$AL$505,"○")&gt;0,1,0))</f>
        <v>0</v>
      </c>
      <c r="G163" s="39" t="n">
        <f aca="false">IF(G$4=0,0,IF(COUNTIFS(実績!$W$6:$W$505,G$3,実績!$AI$6:$AI$505,"&lt;="&amp;$A163,実績!$AJ$6:$AJ$505,"&gt;"&amp;$A163,実績!$AL$6:$AL$505,"○")&gt;0,1,0))</f>
        <v>0</v>
      </c>
      <c r="H163" s="39" t="n">
        <f aca="false">IF(H$4=0,0,IF(COUNTIFS(実績!$W$6:$W$505,H$3,実績!$AI$6:$AI$505,"&lt;="&amp;$A163,実績!$AJ$6:$AJ$505,"&gt;"&amp;$A163,実績!$AL$6:$AL$505,"○")&gt;0,1,0))</f>
        <v>0</v>
      </c>
      <c r="I163" s="39" t="n">
        <f aca="false">IF(I$4=0,0,IF(COUNTIFS(実績!$W$6:$W$505,I$3,実績!$AI$6:$AI$505,"&lt;="&amp;$A163,実績!$AJ$6:$AJ$505,"&gt;"&amp;$A163,実績!$AL$6:$AL$505,"○")&gt;0,1,0))</f>
        <v>0</v>
      </c>
      <c r="J163" s="39" t="n">
        <f aca="false">IF(J$4=0,0,IF(COUNTIFS(実績!$W$6:$W$505,J$3,実績!$AI$6:$AI$505,"&lt;="&amp;$A163,実績!$AJ$6:$AJ$505,"&gt;"&amp;$A163,実績!$AL$6:$AL$505,"○")&gt;0,1,0))</f>
        <v>0</v>
      </c>
      <c r="K163" s="39" t="n">
        <f aca="false">IF(K$4=0,0,IF(COUNTIFS(実績!$W$6:$W$505,K$3,実績!$AI$6:$AI$505,"&lt;="&amp;$A163,実績!$AJ$6:$AJ$505,"&gt;"&amp;$A163,実績!$AL$6:$AL$505,"○")&gt;0,1,0))</f>
        <v>0</v>
      </c>
      <c r="L163" s="39" t="n">
        <f aca="false">IF(L$4=0,0,IF(COUNTIFS(実績!$W$6:$W$505,L$3,実績!$AI$6:$AI$505,"&lt;="&amp;$A163,実績!$AJ$6:$AJ$505,"&gt;"&amp;$A163,実績!$AL$6:$AL$505,"○")&gt;0,1,0))</f>
        <v>0</v>
      </c>
      <c r="M163" s="39" t="n">
        <f aca="false">IF(M$4=0,0,IF(COUNTIFS(実績!$W$6:$W$505,M$3,実績!$AI$6:$AI$505,"&lt;="&amp;$A163,実績!$AJ$6:$AJ$505,"&gt;"&amp;$A163,実績!$AL$6:$AL$505,"○")&gt;0,1,0))</f>
        <v>0</v>
      </c>
      <c r="N163" s="39" t="n">
        <f aca="false">IF(N$4=0,0,IF(COUNTIFS(実績!$W$6:$W$505,N$3,実績!$AI$6:$AI$505,"&lt;="&amp;$A163,実績!$AJ$6:$AJ$505,"&gt;"&amp;$A163,実績!$AL$6:$AL$505,"○")&gt;0,1,0))</f>
        <v>0</v>
      </c>
      <c r="O163" s="39" t="n">
        <f aca="false">IF(O$4=0,0,IF(COUNTIFS(実績!$W$6:$W$505,O$3,実績!$AI$6:$AI$505,"&lt;="&amp;$A163,実績!$AJ$6:$AJ$505,"&gt;"&amp;$A163,実績!$AL$6:$AL$505,"○")&gt;0,1,0))</f>
        <v>0</v>
      </c>
      <c r="P163" s="39" t="n">
        <f aca="false">IF(P$4=0,0,IF(COUNTIFS(実績!$W$6:$W$505,P$3,実績!$AI$6:$AI$505,"&lt;="&amp;$A163,実績!$AJ$6:$AJ$505,"&gt;"&amp;$A163,実績!$AL$6:$AL$505,"○")&gt;0,1,0))</f>
        <v>0</v>
      </c>
      <c r="Q163" s="39" t="n">
        <f aca="false">IF(Q$4=0,0,IF(COUNTIFS(実績!$W$6:$W$505,Q$3,実績!$AI$6:$AI$505,"&lt;="&amp;$A163,実績!$AJ$6:$AJ$505,"&gt;"&amp;$A163,実績!$AL$6:$AL$505,"○")&gt;0,1,0))</f>
        <v>0</v>
      </c>
      <c r="R163" s="39" t="n">
        <f aca="false">IF(R$4=0,0,IF(COUNTIFS(実績!$W$6:$W$505,R$3,実績!$AI$6:$AI$505,"&lt;="&amp;$A163,実績!$AJ$6:$AJ$505,"&gt;"&amp;$A163,実績!$AL$6:$AL$505,"○")&gt;0,1,0))</f>
        <v>0</v>
      </c>
      <c r="S163" s="39" t="n">
        <f aca="false">IF(S$4=0,0,IF(COUNTIFS(実績!$W$6:$W$505,S$3,実績!$AI$6:$AI$505,"&lt;="&amp;$A163,実績!$AJ$6:$AJ$505,"&gt;"&amp;$A163,実績!$AL$6:$AL$505,"○")&gt;0,1,0))</f>
        <v>0</v>
      </c>
      <c r="T163" s="39" t="n">
        <f aca="false">IF(T$4=0,0,IF(COUNTIFS(実績!$W$6:$W$505,T$3,実績!$AI$6:$AI$505,"&lt;="&amp;$A163,実績!$AJ$6:$AJ$505,"&gt;"&amp;$A163,実績!$AL$6:$AL$505,"○")&gt;0,1,0))</f>
        <v>0</v>
      </c>
      <c r="U163" s="39" t="n">
        <f aca="false">IF(U$4=0,0,IF(COUNTIFS(実績!$W$6:$W$505,U$3,実績!$AI$6:$AI$505,"&lt;="&amp;$A163,実績!$AJ$6:$AJ$505,"&gt;"&amp;$A163,実績!$AL$6:$AL$505,"○")&gt;0,1,0))</f>
        <v>0</v>
      </c>
      <c r="V163" s="39" t="n">
        <f aca="false">IF(V$4=0,0,IF(COUNTIFS(実績!$W$6:$W$505,V$3,実績!$AI$6:$AI$505,"&lt;="&amp;$A163,実績!$AJ$6:$AJ$505,"&gt;"&amp;$A163,実績!$AL$6:$AL$505,"○")&gt;0,1,0))</f>
        <v>0</v>
      </c>
      <c r="W163" s="39" t="n">
        <f aca="false">IF(W$4=0,0,IF(COUNTIFS(実績!$W$6:$W$505,W$3,実績!$AI$6:$AI$505,"&lt;="&amp;$A163,実績!$AJ$6:$AJ$505,"&gt;"&amp;$A163,実績!$AL$6:$AL$505,"○")&gt;0,1,0))</f>
        <v>0</v>
      </c>
      <c r="X163" s="39" t="n">
        <f aca="false">IF(X$4=0,0,IF(COUNTIFS(実績!$W$6:$W$505,X$3,実績!$AI$6:$AI$505,"&lt;="&amp;$A163,実績!$AJ$6:$AJ$505,"&gt;"&amp;$A163,実績!$AL$6:$AL$505,"○")&gt;0,1,0))</f>
        <v>0</v>
      </c>
      <c r="Y163" s="39" t="n">
        <f aca="false">IF(Y$4=0,0,IF(COUNTIFS(実績!$W$6:$W$505,Y$3,実績!$AI$6:$AI$505,"&lt;="&amp;$A163,実績!$AJ$6:$AJ$505,"&gt;"&amp;$A163,実績!$AL$6:$AL$505,"○")&gt;0,1,0))</f>
        <v>0</v>
      </c>
      <c r="Z163" s="39" t="n">
        <f aca="false">IF(Z$4=0,0,IF(COUNTIFS(実績!$W$6:$W$505,Z$3,実績!$AI$6:$AI$505,"&lt;="&amp;$A163,実績!$AJ$6:$AJ$505,"&gt;"&amp;$A163,実績!$AL$6:$AL$505,"○")&gt;0,1,0))</f>
        <v>0</v>
      </c>
      <c r="AA163" s="39" t="n">
        <f aca="false">IF(AA$4=0,0,IF(COUNTIFS(実績!$W$6:$W$505,AA$3,実績!$AI$6:$AI$505,"&lt;="&amp;$A163,実績!$AJ$6:$AJ$505,"&gt;"&amp;$A163,実績!$AL$6:$AL$505,"○")&gt;0,1,0))</f>
        <v>0</v>
      </c>
      <c r="AB163" s="39" t="n">
        <f aca="false">IF(AB$4=0,0,IF(COUNTIFS(実績!$W$6:$W$505,AB$3,実績!$AI$6:$AI$505,"&lt;="&amp;$A163,実績!$AJ$6:$AJ$505,"&gt;"&amp;$A163,実績!$AL$6:$AL$505,"○")&gt;0,1,0))</f>
        <v>0</v>
      </c>
      <c r="AC163" s="39" t="n">
        <f aca="false">IF(AC$4=0,0,IF(COUNTIFS(実績!$W$6:$W$505,AC$3,実績!$AI$6:$AI$505,"&lt;="&amp;$A163,実績!$AJ$6:$AJ$505,"&gt;"&amp;$A163,実績!$AL$6:$AL$505,"○")&gt;0,1,0))</f>
        <v>0</v>
      </c>
      <c r="AD163" s="39" t="n">
        <f aca="false">IF(AD$4=0,0,IF(COUNTIFS(実績!$W$6:$W$505,AD$3,実績!$AI$6:$AI$505,"&lt;="&amp;$A163,実績!$AJ$6:$AJ$505,"&gt;"&amp;$A163,実績!$AL$6:$AL$505,"○")&gt;0,1,0))</f>
        <v>0</v>
      </c>
      <c r="AE163" s="39" t="n">
        <f aca="false">IF(AE$4=0,0,IF(COUNTIFS(実績!$W$6:$W$505,AE$3,実績!$AI$6:$AI$505,"&lt;="&amp;$A163,実績!$AJ$6:$AJ$505,"&gt;"&amp;$A163,実績!$AL$6:$AL$505,"○")&gt;0,1,0))</f>
        <v>0</v>
      </c>
      <c r="AF163" s="39" t="n">
        <f aca="false">IF(AF$4=0,0,IF(COUNTIFS(実績!$W$6:$W$505,AF$3,実績!$AI$6:$AI$505,"&lt;="&amp;$A163,実績!$AJ$6:$AJ$505,"&gt;"&amp;$A163,実績!$AL$6:$AL$505,"○")&gt;0,1,0))</f>
        <v>0</v>
      </c>
      <c r="AG163" s="39" t="n">
        <f aca="false">IF(AG$4=0,0,IF(COUNTIFS(実績!$W$6:$W$505,AG$3,実績!$AI$6:$AI$505,"&lt;="&amp;$A163,実績!$AJ$6:$AJ$505,"&gt;"&amp;$A163,実績!$AL$6:$AL$505,"○")&gt;0,1,0))</f>
        <v>0</v>
      </c>
      <c r="AH163" s="39" t="n">
        <f aca="false">IF(AH$4=0,0,IF(COUNTIFS(実績!$W$6:$W$505,AH$3,実績!$AI$6:$AI$505,"&lt;="&amp;$A163,実績!$AJ$6:$AJ$505,"&gt;"&amp;$A163,実績!$AL$6:$AL$505,"○")&gt;0,1,0))</f>
        <v>0</v>
      </c>
      <c r="AI163" s="39" t="n">
        <f aca="false">IF(AI$4=0,0,IF(COUNTIFS(実績!$W$6:$W$505,AI$3,実績!$AI$6:$AI$505,"&lt;="&amp;$A163,実績!$AJ$6:$AJ$505,"&gt;"&amp;$A163,実績!$AL$6:$AL$505,"○")&gt;0,1,0))</f>
        <v>0</v>
      </c>
      <c r="AJ163" s="39" t="n">
        <f aca="false">IF(AJ$4=0,0,IF(COUNTIFS(実績!$W$6:$W$505,AJ$3,実績!$AI$6:$AI$505,"&lt;="&amp;$A163,実績!$AJ$6:$AJ$505,"&gt;"&amp;$A163,実績!$AL$6:$AL$505,"○")&gt;0,1,0))</f>
        <v>0</v>
      </c>
      <c r="AK163" s="39" t="n">
        <f aca="false">IF(AK$4=0,0,IF(COUNTIFS(実績!$W$6:$W$505,AK$3,実績!$AI$6:$AI$505,"&lt;="&amp;$A163,実績!$AJ$6:$AJ$505,"&gt;"&amp;$A163,実績!$AL$6:$AL$505,"○")&gt;0,1,0))</f>
        <v>0</v>
      </c>
      <c r="AL163" s="39" t="n">
        <f aca="false">IF(AL$4=0,0,IF(COUNTIFS(実績!$W$6:$W$505,AL$3,実績!$AI$6:$AI$505,"&lt;="&amp;$A163,実績!$AJ$6:$AJ$505,"&gt;"&amp;$A163,実績!$AL$6:$AL$505,"○")&gt;0,1,0))</f>
        <v>0</v>
      </c>
      <c r="AM163" s="39" t="n">
        <f aca="false">IF(AM$4=0,0,IF(COUNTIFS(実績!$W$6:$W$505,AM$3,実績!$AI$6:$AI$505,"&lt;="&amp;$A163,実績!$AJ$6:$AJ$505,"&gt;"&amp;$A163,実績!$AL$6:$AL$505,"○")&gt;0,1,0))</f>
        <v>0</v>
      </c>
      <c r="AN163" s="39" t="n">
        <f aca="false">IF(AN$4=0,0,IF(COUNTIFS(実績!$W$6:$W$505,AN$3,実績!$AI$6:$AI$505,"&lt;="&amp;$A163,実績!$AJ$6:$AJ$505,"&gt;"&amp;$A163,実績!$AL$6:$AL$505,"○")&gt;0,1,0))</f>
        <v>0</v>
      </c>
      <c r="AO163" s="39" t="n">
        <f aca="false">IF(AO$4=0,0,IF(COUNTIFS(実績!$W$6:$W$505,AO$3,実績!$AI$6:$AI$505,"&lt;="&amp;$A163,実績!$AJ$6:$AJ$505,"&gt;"&amp;$A163,実績!$AL$6:$AL$505,"○")&gt;0,1,0))</f>
        <v>0</v>
      </c>
      <c r="AP163" s="39" t="n">
        <f aca="false">IF(AP$4=0,0,IF(COUNTIFS(実績!$W$6:$W$505,AP$3,実績!$AI$6:$AI$505,"&lt;="&amp;$A163,実績!$AJ$6:$AJ$505,"&gt;"&amp;$A163,実績!$AL$6:$AL$505,"○")&gt;0,1,0))</f>
        <v>0</v>
      </c>
      <c r="AQ163" s="39" t="n">
        <f aca="false">IF(AQ$4=0,0,IF(COUNTIFS(実績!$W$6:$W$505,AQ$3,実績!$AI$6:$AI$505,"&lt;="&amp;$A163,実績!$AJ$6:$AJ$505,"&gt;"&amp;$A163,実績!$AL$6:$AL$505,"○")&gt;0,1,0))</f>
        <v>0</v>
      </c>
      <c r="AR163" s="39" t="n">
        <f aca="false">IF(AR$4=0,0,IF(COUNTIFS(実績!$W$6:$W$505,AR$3,実績!$AI$6:$AI$505,"&lt;="&amp;$A163,実績!$AJ$6:$AJ$505,"&gt;"&amp;$A163,実績!$AL$6:$AL$505,"○")&gt;0,1,0))</f>
        <v>0</v>
      </c>
      <c r="AS163" s="39" t="n">
        <f aca="false">IF(AS$4=0,0,IF(COUNTIFS(実績!$W$6:$W$505,AS$3,実績!$AI$6:$AI$505,"&lt;="&amp;$A163,実績!$AJ$6:$AJ$505,"&gt;"&amp;$A163,実績!$AL$6:$AL$505,"○")&gt;0,1,0))</f>
        <v>0</v>
      </c>
      <c r="AT163" s="39" t="n">
        <f aca="false">IF(AT$4=0,0,IF(COUNTIFS(実績!$W$6:$W$505,AT$3,実績!$AI$6:$AI$505,"&lt;="&amp;$A163,実績!$AJ$6:$AJ$505,"&gt;"&amp;$A163,実績!$AL$6:$AL$505,"○")&gt;0,1,0))</f>
        <v>0</v>
      </c>
      <c r="AU163" s="39" t="n">
        <f aca="false">IF(AU$4=0,0,IF(COUNTIFS(実績!$W$6:$W$505,AU$3,実績!$AI$6:$AI$505,"&lt;="&amp;$A163,実績!$AJ$6:$AJ$505,"&gt;"&amp;$A163,実績!$AL$6:$AL$505,"○")&gt;0,1,0))</f>
        <v>0</v>
      </c>
      <c r="AV163" s="39" t="n">
        <f aca="false">IF(AV$4=0,0,IF(COUNTIFS(実績!$W$6:$W$505,AV$3,実績!$AI$6:$AI$505,"&lt;="&amp;$A163,実績!$AJ$6:$AJ$505,"&gt;"&amp;$A163,実績!$AL$6:$AL$505,"○")&gt;0,1,0))</f>
        <v>0</v>
      </c>
      <c r="AW163" s="39" t="n">
        <f aca="false">IF(AW$4=0,0,IF(COUNTIFS(実績!$W$6:$W$505,AW$3,実績!$AI$6:$AI$505,"&lt;="&amp;$A163,実績!$AJ$6:$AJ$505,"&gt;"&amp;$A163,実績!$AL$6:$AL$505,"○")&gt;0,1,0))</f>
        <v>0</v>
      </c>
      <c r="AX163" s="39" t="n">
        <f aca="false">IF(AX$4=0,0,IF(COUNTIFS(実績!$W$6:$W$505,AX$3,実績!$AI$6:$AI$505,"&lt;="&amp;$A163,実績!$AJ$6:$AJ$505,"&gt;"&amp;$A163,実績!$AL$6:$AL$505,"○")&gt;0,1,0))</f>
        <v>0</v>
      </c>
      <c r="AY163" s="39" t="n">
        <f aca="false">IF(AY$4=0,0,IF(COUNTIFS(実績!$W$6:$W$505,AY$3,実績!$AI$6:$AI$505,"&lt;="&amp;$A163,実績!$AJ$6:$AJ$505,"&gt;"&amp;$A163,実績!$AL$6:$AL$505,"○")&gt;0,1,0))</f>
        <v>0</v>
      </c>
      <c r="AZ163" s="39" t="n">
        <f aca="false">IF(AZ$4=0,0,IF(COUNTIFS(実績!$W$6:$W$505,AZ$3,実績!$AI$6:$AI$505,"&lt;="&amp;$A163,実績!$AJ$6:$AJ$505,"&gt;"&amp;$A163,実績!$AL$6:$AL$505,"○")&gt;0,1,0))</f>
        <v>0</v>
      </c>
      <c r="BA163" s="39" t="n">
        <f aca="false">IF(BA$4=0,0,IF(COUNTIFS(実績!$W$6:$W$505,BA$3,実績!$AI$6:$AI$505,"&lt;="&amp;$A163,実績!$AJ$6:$AJ$505,"&gt;"&amp;$A163,実績!$AL$6:$AL$505,"○")&gt;0,1,0))</f>
        <v>0</v>
      </c>
      <c r="BB163" s="39" t="n">
        <f aca="false">IF(BB$4=0,0,IF(COUNTIFS(実績!$W$6:$W$505,BB$3,実績!$AI$6:$AI$505,"&lt;="&amp;$A163,実績!$AJ$6:$AJ$505,"&gt;"&amp;$A163,実績!$AL$6:$AL$505,"○")&gt;0,1,0))</f>
        <v>0</v>
      </c>
      <c r="BC163" s="39" t="n">
        <f aca="false">IF(BC$4=0,0,IF(COUNTIFS(実績!$W$6:$W$505,BC$3,実績!$AI$6:$AI$505,"&lt;="&amp;$A163,実績!$AJ$6:$AJ$505,"&gt;"&amp;$A163,実績!$AL$6:$AL$505,"○")&gt;0,1,0))</f>
        <v>0</v>
      </c>
      <c r="BD163" s="39" t="n">
        <f aca="false">IF(BD$4=0,0,IF(COUNTIFS(実績!$W$6:$W$505,BD$3,実績!$AI$6:$AI$505,"&lt;="&amp;$A163,実績!$AJ$6:$AJ$505,"&gt;"&amp;$A163,実績!$AL$6:$AL$505,"○")&gt;0,1,0))</f>
        <v>0</v>
      </c>
      <c r="BE163" s="39" t="n">
        <f aca="false">IF(BE$4=0,0,IF(COUNTIFS(実績!$W$6:$W$505,BE$3,実績!$AI$6:$AI$505,"&lt;="&amp;$A163,実績!$AJ$6:$AJ$505,"&gt;"&amp;$A163,実績!$AL$6:$AL$505,"○")&gt;0,1,0))</f>
        <v>0</v>
      </c>
      <c r="BF163" s="39" t="n">
        <f aca="false">IF(BF$4=0,0,IF(COUNTIFS(実績!$W$6:$W$505,BF$3,実績!$AI$6:$AI$505,"&lt;="&amp;$A163,実績!$AJ$6:$AJ$505,"&gt;"&amp;$A163,実績!$AL$6:$AL$505,"○")&gt;0,1,0))</f>
        <v>0</v>
      </c>
      <c r="BG163" s="39" t="n">
        <f aca="false">IF(BG$4=0,0,IF(COUNTIFS(実績!$W$6:$W$505,BG$3,実績!$AI$6:$AI$505,"&lt;="&amp;$A163,実績!$AJ$6:$AJ$505,"&gt;"&amp;$A163,実績!$AL$6:$AL$505,"○")&gt;0,1,0))</f>
        <v>0</v>
      </c>
      <c r="BH163" s="39" t="n">
        <f aca="false">IF(BH$4=0,0,IF(COUNTIFS(実績!$W$6:$W$505,BH$3,実績!$AI$6:$AI$505,"&lt;="&amp;$A163,実績!$AJ$6:$AJ$505,"&gt;"&amp;$A163,実績!$AL$6:$AL$505,"○")&gt;0,1,0))</f>
        <v>0</v>
      </c>
      <c r="BI163" s="39" t="n">
        <f aca="false">IF(BI$4=0,0,IF(COUNTIFS(実績!$W$6:$W$505,BI$3,実績!$AI$6:$AI$505,"&lt;="&amp;$A163,実績!$AJ$6:$AJ$505,"&gt;"&amp;$A163,実績!$AL$6:$AL$505,"○")&gt;0,1,0))</f>
        <v>0</v>
      </c>
      <c r="BJ163" s="39" t="n">
        <f aca="false">IF(BJ$4=0,0,IF(COUNTIFS(実績!$W$6:$W$505,BJ$3,実績!$AI$6:$AI$505,"&lt;="&amp;$A163,実績!$AJ$6:$AJ$505,"&gt;"&amp;$A163,実績!$AL$6:$AL$505,"○")&gt;0,1,0))</f>
        <v>0</v>
      </c>
      <c r="BK163" s="39" t="n">
        <f aca="false">IF(BK$4=0,0,IF(COUNTIFS(実績!$W$6:$W$505,BK$3,実績!$AI$6:$AI$505,"&lt;="&amp;$A163,実績!$AJ$6:$AJ$505,"&gt;"&amp;$A163,実績!$AL$6:$AL$505,"○")&gt;0,1,0))</f>
        <v>0</v>
      </c>
      <c r="BL163" s="39" t="n">
        <f aca="false">IF(BL$4=0,0,IF(COUNTIFS(実績!$W$6:$W$505,BL$3,実績!$AI$6:$AI$505,"&lt;="&amp;$A163,実績!$AJ$6:$AJ$505,"&gt;"&amp;$A163,実績!$AL$6:$AL$505,"○")&gt;0,1,0))</f>
        <v>0</v>
      </c>
      <c r="BM163" s="39" t="n">
        <f aca="false">IF(BM$4=0,0,IF(COUNTIFS(実績!$W$6:$W$505,BM$3,実績!$AI$6:$AI$505,"&lt;="&amp;$A163,実績!$AJ$6:$AJ$505,"&gt;"&amp;$A163,実績!$AL$6:$AL$505,"○")&gt;0,1,0))</f>
        <v>0</v>
      </c>
      <c r="BN163" s="39" t="n">
        <f aca="false">IF(BN$4=0,0,IF(COUNTIFS(実績!$W$6:$W$505,BN$3,実績!$AI$6:$AI$505,"&lt;="&amp;$A163,実績!$AJ$6:$AJ$505,"&gt;"&amp;$A163,実績!$AL$6:$AL$505,"○")&gt;0,1,0))</f>
        <v>0</v>
      </c>
      <c r="BO163" s="39" t="n">
        <f aca="false">IF(BO$4=0,0,IF(COUNTIFS(実績!$W$6:$W$505,BO$3,実績!$AI$6:$AI$505,"&lt;="&amp;$A163,実績!$AJ$6:$AJ$505,"&gt;"&amp;$A163,実績!$AL$6:$AL$505,"○")&gt;0,1,0))</f>
        <v>0</v>
      </c>
      <c r="BP163" s="39" t="n">
        <f aca="false">IF(BP$4=0,0,IF(COUNTIFS(実績!$W$6:$W$505,BP$3,実績!$AI$6:$AI$505,"&lt;="&amp;$A163,実績!$AJ$6:$AJ$505,"&gt;"&amp;$A163,実績!$AL$6:$AL$505,"○")&gt;0,1,0))</f>
        <v>0</v>
      </c>
      <c r="BQ163" s="39" t="n">
        <f aca="false">IF(BQ$4=0,0,IF(COUNTIFS(実績!$W$6:$W$505,BQ$3,実績!$AI$6:$AI$505,"&lt;="&amp;$A163,実績!$AJ$6:$AJ$505,"&gt;"&amp;$A163,実績!$AL$6:$AL$505,"○")&gt;0,1,0))</f>
        <v>0</v>
      </c>
      <c r="BR163" s="39" t="n">
        <f aca="false">IF(BR$4=0,0,IF(COUNTIFS(実績!$W$6:$W$505,BR$3,実績!$AI$6:$AI$505,"&lt;="&amp;$A163,実績!$AJ$6:$AJ$505,"&gt;"&amp;$A163,実績!$AL$6:$AL$505,"○")&gt;0,1,0))</f>
        <v>0</v>
      </c>
      <c r="BS163" s="39" t="n">
        <f aca="false">IF(BS$4=0,0,IF(COUNTIFS(実績!$W$6:$W$505,BS$3,実績!$AI$6:$AI$505,"&lt;="&amp;$A163,実績!$AJ$6:$AJ$505,"&gt;"&amp;$A163,実績!$AL$6:$AL$505,"○")&gt;0,1,0))</f>
        <v>0</v>
      </c>
      <c r="BT163" s="39" t="n">
        <f aca="false">IF(BT$4=0,0,IF(COUNTIFS(実績!$W$6:$W$505,BT$3,実績!$AI$6:$AI$505,"&lt;="&amp;$A163,実績!$AJ$6:$AJ$505,"&gt;"&amp;$A163,実績!$AL$6:$AL$505,"○")&gt;0,1,0))</f>
        <v>0</v>
      </c>
      <c r="BU163" s="39" t="n">
        <f aca="false">IF(BU$4=0,0,IF(COUNTIFS(実績!$W$6:$W$505,BU$3,実績!$AI$6:$AI$505,"&lt;="&amp;$A163,実績!$AJ$6:$AJ$505,"&gt;"&amp;$A163,実績!$AL$6:$AL$505,"○")&gt;0,1,0))</f>
        <v>0</v>
      </c>
      <c r="BV163" s="39" t="n">
        <f aca="false">IF(BV$4=0,0,IF(COUNTIFS(実績!$W$6:$W$505,BV$3,実績!$AI$6:$AI$505,"&lt;="&amp;$A163,実績!$AJ$6:$AJ$505,"&gt;"&amp;$A163,実績!$AL$6:$AL$505,"○")&gt;0,1,0))</f>
        <v>0</v>
      </c>
      <c r="BW163" s="39" t="n">
        <f aca="false">IF(BW$4=0,0,IF(COUNTIFS(実績!$W$6:$W$505,BW$3,実績!$AI$6:$AI$505,"&lt;="&amp;$A163,実績!$AJ$6:$AJ$505,"&gt;"&amp;$A163,実績!$AL$6:$AL$505,"○")&gt;0,1,0))</f>
        <v>0</v>
      </c>
      <c r="BX163" s="39" t="n">
        <f aca="false">IF(BX$4=0,0,IF(COUNTIFS(実績!$W$6:$W$505,BX$3,実績!$AI$6:$AI$505,"&lt;="&amp;$A163,実績!$AJ$6:$AJ$505,"&gt;"&amp;$A163,実績!$AL$6:$AL$505,"○")&gt;0,1,0))</f>
        <v>0</v>
      </c>
      <c r="BY163" s="39" t="n">
        <f aca="false">IF(BY$4=0,0,IF(COUNTIFS(実績!$W$6:$W$505,BY$3,実績!$AI$6:$AI$505,"&lt;="&amp;$A163,実績!$AJ$6:$AJ$505,"&gt;"&amp;$A163,実績!$AL$6:$AL$505,"○")&gt;0,1,0))</f>
        <v>0</v>
      </c>
      <c r="BZ163" s="39" t="n">
        <f aca="false">IF(BZ$4=0,0,IF(COUNTIFS(実績!$W$6:$W$505,BZ$3,実績!$AI$6:$AI$505,"&lt;="&amp;$A163,実績!$AJ$6:$AJ$505,"&gt;"&amp;$A163,実績!$AL$6:$AL$505,"○")&gt;0,1,0))</f>
        <v>0</v>
      </c>
      <c r="CA163" s="39" t="n">
        <f aca="false">IF(CA$4=0,0,IF(COUNTIFS(実績!$W$6:$W$505,CA$3,実績!$AI$6:$AI$505,"&lt;="&amp;$A163,実績!$AJ$6:$AJ$505,"&gt;"&amp;$A163,実績!$AL$6:$AL$505,"○")&gt;0,1,0))</f>
        <v>0</v>
      </c>
      <c r="CB163" s="39" t="n">
        <f aca="false">IF(CB$4=0,0,IF(COUNTIFS(実績!$W$6:$W$505,CB$3,実績!$AI$6:$AI$505,"&lt;="&amp;$A163,実績!$AJ$6:$AJ$505,"&gt;"&amp;$A163,実績!$AL$6:$AL$505,"○")&gt;0,1,0))</f>
        <v>0</v>
      </c>
      <c r="CC163" s="39" t="n">
        <f aca="false">IF(CC$4=0,0,IF(COUNTIFS(実績!$W$6:$W$505,CC$3,実績!$AI$6:$AI$505,"&lt;="&amp;$A163,実績!$AJ$6:$AJ$505,"&gt;"&amp;$A163,実績!$AL$6:$AL$505,"○")&gt;0,1,0))</f>
        <v>0</v>
      </c>
      <c r="CD163" s="39" t="n">
        <f aca="false">IF(CD$4=0,0,IF(COUNTIFS(実績!$W$6:$W$505,CD$3,実績!$AI$6:$AI$505,"&lt;="&amp;$A163,実績!$AJ$6:$AJ$505,"&gt;"&amp;$A163,実績!$AL$6:$AL$505,"○")&gt;0,1,0))</f>
        <v>0</v>
      </c>
      <c r="CE163" s="39" t="n">
        <f aca="false">IF(CE$4=0,0,IF(COUNTIFS(実績!$W$6:$W$505,CE$3,実績!$AI$6:$AI$505,"&lt;="&amp;$A163,実績!$AJ$6:$AJ$505,"&gt;"&amp;$A163,実績!$AL$6:$AL$505,"○")&gt;0,1,0))</f>
        <v>0</v>
      </c>
      <c r="CF163" s="39" t="n">
        <f aca="false">IF(CF$4=0,0,IF(COUNTIFS(実績!$W$6:$W$505,CF$3,実績!$AI$6:$AI$505,"&lt;="&amp;$A163,実績!$AJ$6:$AJ$505,"&gt;"&amp;$A163,実績!$AL$6:$AL$505,"○")&gt;0,1,0))</f>
        <v>0</v>
      </c>
      <c r="CG163" s="39" t="n">
        <f aca="false">IF(CG$4=0,0,IF(COUNTIFS(実績!$W$6:$W$505,CG$3,実績!$AI$6:$AI$505,"&lt;="&amp;$A163,実績!$AJ$6:$AJ$505,"&gt;"&amp;$A163,実績!$AL$6:$AL$505,"○")&gt;0,1,0))</f>
        <v>0</v>
      </c>
      <c r="CH163" s="39" t="n">
        <f aca="false">IF(CH$4=0,0,IF(COUNTIFS(実績!$W$6:$W$505,CH$3,実績!$AI$6:$AI$505,"&lt;="&amp;$A163,実績!$AJ$6:$AJ$505,"&gt;"&amp;$A163,実績!$AL$6:$AL$505,"○")&gt;0,1,0))</f>
        <v>0</v>
      </c>
      <c r="CI163" s="39" t="n">
        <f aca="false">IF(CI$4=0,0,IF(COUNTIFS(実績!$W$6:$W$505,CI$3,実績!$AI$6:$AI$505,"&lt;="&amp;$A163,実績!$AJ$6:$AJ$505,"&gt;"&amp;$A163,実績!$AL$6:$AL$505,"○")&gt;0,1,0))</f>
        <v>0</v>
      </c>
      <c r="CJ163" s="39" t="n">
        <f aca="false">IF(CJ$4=0,0,IF(COUNTIFS(実績!$W$6:$W$505,CJ$3,実績!$AI$6:$AI$505,"&lt;="&amp;$A163,実績!$AJ$6:$AJ$505,"&gt;"&amp;$A163,実績!$AL$6:$AL$505,"○")&gt;0,1,0))</f>
        <v>0</v>
      </c>
      <c r="CK163" s="39" t="n">
        <f aca="false">IF(CK$4=0,0,IF(COUNTIFS(実績!$W$6:$W$505,CK$3,実績!$AI$6:$AI$505,"&lt;="&amp;$A163,実績!$AJ$6:$AJ$505,"&gt;"&amp;$A163,実績!$AL$6:$AL$505,"○")&gt;0,1,0))</f>
        <v>0</v>
      </c>
      <c r="CL163" s="39" t="n">
        <f aca="false">IF(CL$4=0,0,IF(COUNTIFS(実績!$W$6:$W$505,CL$3,実績!$AI$6:$AI$505,"&lt;="&amp;$A163,実績!$AJ$6:$AJ$505,"&gt;"&amp;$A163,実績!$AL$6:$AL$505,"○")&gt;0,1,0))</f>
        <v>0</v>
      </c>
      <c r="CM163" s="39" t="n">
        <f aca="false">IF(CM$4=0,0,IF(COUNTIFS(実績!$W$6:$W$505,CM$3,実績!$AI$6:$AI$505,"&lt;="&amp;$A163,実績!$AJ$6:$AJ$505,"&gt;"&amp;$A163,実績!$AL$6:$AL$505,"○")&gt;0,1,0))</f>
        <v>0</v>
      </c>
      <c r="CN163" s="39" t="n">
        <f aca="false">IF(CN$4=0,0,IF(COUNTIFS(実績!$W$6:$W$505,CN$3,実績!$AI$6:$AI$505,"&lt;="&amp;$A163,実績!$AJ$6:$AJ$505,"&gt;"&amp;$A163,実績!$AL$6:$AL$505,"○")&gt;0,1,0))</f>
        <v>0</v>
      </c>
      <c r="CO163" s="39" t="n">
        <f aca="false">IF(CO$4=0,0,IF(COUNTIFS(実績!$W$6:$W$505,CO$3,実績!$AI$6:$AI$505,"&lt;="&amp;$A163,実績!$AJ$6:$AJ$505,"&gt;"&amp;$A163,実績!$AL$6:$AL$505,"○")&gt;0,1,0))</f>
        <v>0</v>
      </c>
      <c r="CP163" s="39" t="n">
        <f aca="false">IF(CP$4=0,0,IF(COUNTIFS(実績!$W$6:$W$505,CP$3,実績!$AI$6:$AI$505,"&lt;="&amp;$A163,実績!$AJ$6:$AJ$505,"&gt;"&amp;$A163,実績!$AL$6:$AL$505,"○")&gt;0,1,0))</f>
        <v>0</v>
      </c>
      <c r="CQ163" s="39" t="n">
        <f aca="false">IF(CQ$4=0,0,IF(COUNTIFS(実績!$W$6:$W$505,CQ$3,実績!$AI$6:$AI$505,"&lt;="&amp;$A163,実績!$AJ$6:$AJ$505,"&gt;"&amp;$A163,実績!$AL$6:$AL$505,"○")&gt;0,1,0))</f>
        <v>0</v>
      </c>
      <c r="CR163" s="39" t="n">
        <f aca="false">IF(CR$4=0,0,IF(COUNTIFS(実績!$W$6:$W$505,CR$3,実績!$AI$6:$AI$505,"&lt;="&amp;$A163,実績!$AJ$6:$AJ$505,"&gt;"&amp;$A163,実績!$AL$6:$AL$505,"○")&gt;0,1,0))</f>
        <v>0</v>
      </c>
      <c r="CS163" s="39" t="n">
        <f aca="false">IF(CS$4=0,0,IF(COUNTIFS(実績!$W$6:$W$505,CS$3,実績!$AI$6:$AI$505,"&lt;="&amp;$A163,実績!$AJ$6:$AJ$505,"&gt;"&amp;$A163,実績!$AL$6:$AL$505,"○")&gt;0,1,0))</f>
        <v>0</v>
      </c>
      <c r="CT163" s="39" t="n">
        <f aca="false">IF(CT$4=0,0,IF(COUNTIFS(実績!$W$6:$W$505,CT$3,実績!$AI$6:$AI$505,"&lt;="&amp;$A163,実績!$AJ$6:$AJ$505,"&gt;"&amp;$A163,実績!$AL$6:$AL$505,"○")&gt;0,1,0))</f>
        <v>0</v>
      </c>
      <c r="CU163" s="39" t="n">
        <f aca="false">IF(CU$4=0,0,IF(COUNTIFS(実績!$W$6:$W$505,CU$3,実績!$AI$6:$AI$505,"&lt;="&amp;$A163,実績!$AJ$6:$AJ$505,"&gt;"&amp;$A163,実績!$AL$6:$AL$505,"○")&gt;0,1,0))</f>
        <v>0</v>
      </c>
      <c r="CV163" s="39" t="n">
        <f aca="false">IF(CV$4=0,0,IF(COUNTIFS(実績!$W$6:$W$505,CV$3,実績!$AI$6:$AI$505,"&lt;="&amp;$A163,実績!$AJ$6:$AJ$505,"&gt;"&amp;$A163,実績!$AL$6:$AL$505,"○")&gt;0,1,0))</f>
        <v>0</v>
      </c>
      <c r="CW163" s="39" t="n">
        <f aca="false">IF(CW$4=0,0,IF(COUNTIFS(実績!$W$6:$W$505,CW$3,実績!$AI$6:$AI$505,"&lt;="&amp;$A163,実績!$AJ$6:$AJ$505,"&gt;"&amp;$A163,実績!$AL$6:$AL$505,"○")&gt;0,1,0))</f>
        <v>0</v>
      </c>
      <c r="CX163" s="39" t="n">
        <f aca="false">IF(CX$4=0,0,IF(COUNTIFS(実績!$W$6:$W$505,CX$3,実績!$AI$6:$AI$505,"&lt;="&amp;$A163,実績!$AJ$6:$AJ$505,"&gt;"&amp;$A163,実績!$AL$6:$AL$505,"○")&gt;0,1,0))</f>
        <v>0</v>
      </c>
      <c r="CY163" s="39" t="n">
        <f aca="false">IF(CY$4=0,0,IF(COUNTIFS(実績!$W$6:$W$505,CY$3,実績!$AI$6:$AI$505,"&lt;="&amp;$A163,実績!$AJ$6:$AJ$505,"&gt;"&amp;$A163,実績!$AL$6:$AL$505,"○")&gt;0,1,0))</f>
        <v>0</v>
      </c>
      <c r="CZ163" s="39" t="n">
        <f aca="false">IF(CZ$4=0,0,IF(COUNTIFS(実績!$W$6:$W$505,CZ$3,実績!$AI$6:$AI$505,"&lt;="&amp;$A163,実績!$AJ$6:$AJ$505,"&gt;"&amp;$A163,実績!$AL$6:$AL$505,"○")&gt;0,1,0))</f>
        <v>0</v>
      </c>
      <c r="DA163" s="39" t="n">
        <f aca="false">IF(DA$4=0,0,IF(COUNTIFS(実績!$W$6:$W$505,DA$3,実績!$AI$6:$AI$505,"&lt;="&amp;$A163,実績!$AJ$6:$AJ$505,"&gt;"&amp;$A163,実績!$AL$6:$AL$505,"○")&gt;0,1,0))</f>
        <v>0</v>
      </c>
      <c r="DB163" s="39" t="n">
        <f aca="false">IF(DB$4=0,0,IF(COUNTIFS(実績!$W$6:$W$505,DB$3,実績!$AI$6:$AI$505,"&lt;="&amp;$A163,実績!$AJ$6:$AJ$505,"&gt;"&amp;$A163,実績!$AL$6:$AL$505,"○")&gt;0,1,0))</f>
        <v>0</v>
      </c>
      <c r="DC163" s="39" t="n">
        <f aca="false">IF(DC$4=0,0,IF(COUNTIFS(実績!$W$6:$W$505,DC$3,実績!$AI$6:$AI$505,"&lt;="&amp;$A163,実績!$AJ$6:$AJ$505,"&gt;"&amp;$A163,実績!$AL$6:$AL$505,"○")&gt;0,1,0))</f>
        <v>0</v>
      </c>
      <c r="DD163" s="39" t="n">
        <f aca="false">IF(DD$4=0,0,IF(COUNTIFS(実績!$W$6:$W$505,DD$3,実績!$AI$6:$AI$505,"&lt;="&amp;$A163,実績!$AJ$6:$AJ$505,"&gt;"&amp;$A163,実績!$AL$6:$AL$505,"○")&gt;0,1,0))</f>
        <v>0</v>
      </c>
      <c r="DE163" s="39" t="n">
        <f aca="false">IF(DE$4=0,0,IF(COUNTIFS(実績!$W$6:$W$505,DE$3,実績!$AI$6:$AI$505,"&lt;="&amp;$A163,実績!$AJ$6:$AJ$505,"&gt;"&amp;$A163,実績!$AL$6:$AL$505,"○")&gt;0,1,0))</f>
        <v>0</v>
      </c>
      <c r="DF163" s="39" t="n">
        <f aca="false">IF(DF$4=0,0,IF(COUNTIFS(実績!$W$6:$W$505,DF$3,実績!$AI$6:$AI$505,"&lt;="&amp;$A163,実績!$AJ$6:$AJ$505,"&gt;"&amp;$A163,実績!$AL$6:$AL$505,"○")&gt;0,1,0))</f>
        <v>0</v>
      </c>
      <c r="DG163" s="39" t="n">
        <f aca="false">IF(DG$4=0,0,IF(COUNTIFS(実績!$W$6:$W$505,DG$3,実績!$AI$6:$AI$505,"&lt;="&amp;$A163,実績!$AJ$6:$AJ$505,"&gt;"&amp;$A163,実績!$AL$6:$AL$505,"○")&gt;0,1,0))</f>
        <v>0</v>
      </c>
      <c r="DH163" s="39" t="n">
        <f aca="false">IF(DH$4=0,0,IF(COUNTIFS(実績!$W$6:$W$505,DH$3,実績!$AI$6:$AI$505,"&lt;="&amp;$A163,実績!$AJ$6:$AJ$505,"&gt;"&amp;$A163,実績!$AL$6:$AL$505,"○")&gt;0,1,0))</f>
        <v>0</v>
      </c>
      <c r="DI163" s="39" t="n">
        <f aca="false">IF(DI$4=0,0,IF(COUNTIFS(実績!$W$6:$W$505,DI$3,実績!$AI$6:$AI$505,"&lt;="&amp;$A163,実績!$AJ$6:$AJ$505,"&gt;"&amp;$A163,実績!$AL$6:$AL$505,"○")&gt;0,1,0))</f>
        <v>0</v>
      </c>
      <c r="DJ163" s="39" t="n">
        <f aca="false">IF(DJ$4=0,0,IF(COUNTIFS(実績!$W$6:$W$505,DJ$3,実績!$AI$6:$AI$505,"&lt;="&amp;$A163,実績!$AJ$6:$AJ$505,"&gt;"&amp;$A163,実績!$AL$6:$AL$505,"○")&gt;0,1,0))</f>
        <v>0</v>
      </c>
      <c r="DK163" s="39" t="n">
        <f aca="false">IF(DK$4=0,0,IF(COUNTIFS(実績!$W$6:$W$505,DK$3,実績!$AI$6:$AI$505,"&lt;="&amp;$A163,実績!$AJ$6:$AJ$505,"&gt;"&amp;$A163,実績!$AL$6:$AL$505,"○")&gt;0,1,0))</f>
        <v>0</v>
      </c>
      <c r="DL163" s="39" t="n">
        <f aca="false">IF(DL$4=0,0,IF(COUNTIFS(実績!$W$6:$W$505,DL$3,実績!$AI$6:$AI$505,"&lt;="&amp;$A163,実績!$AJ$6:$AJ$505,"&gt;"&amp;$A163,実績!$AL$6:$AL$505,"○")&gt;0,1,0))</f>
        <v>0</v>
      </c>
      <c r="DM163" s="39" t="n">
        <f aca="false">IF(DM$4=0,0,IF(COUNTIFS(実績!$W$6:$W$505,DM$3,実績!$AI$6:$AI$505,"&lt;="&amp;$A163,実績!$AJ$6:$AJ$505,"&gt;"&amp;$A163,実績!$AL$6:$AL$505,"○")&gt;0,1,0))</f>
        <v>0</v>
      </c>
      <c r="DN163" s="39" t="n">
        <f aca="false">IF(DN$4=0,0,IF(COUNTIFS(実績!$W$6:$W$505,DN$3,実績!$AI$6:$AI$505,"&lt;="&amp;$A163,実績!$AJ$6:$AJ$505,"&gt;"&amp;$A163,実績!$AL$6:$AL$505,"○")&gt;0,1,0))</f>
        <v>0</v>
      </c>
      <c r="DO163" s="39" t="n">
        <f aca="false">IF(DO$4=0,0,IF(COUNTIFS(実績!$W$6:$W$505,DO$3,実績!$AI$6:$AI$505,"&lt;="&amp;$A163,実績!$AJ$6:$AJ$505,"&gt;"&amp;$A163,実績!$AL$6:$AL$505,"○")&gt;0,1,0))</f>
        <v>0</v>
      </c>
      <c r="DP163" s="39" t="n">
        <f aca="false">IF(DP$4=0,0,IF(COUNTIFS(実績!$W$6:$W$505,DP$3,実績!$AI$6:$AI$505,"&lt;="&amp;$A163,実績!$AJ$6:$AJ$505,"&gt;"&amp;$A163,実績!$AL$6:$AL$505,"○")&gt;0,1,0))</f>
        <v>0</v>
      </c>
      <c r="DQ163" s="39" t="n">
        <f aca="false">IF(DQ$4=0,0,IF(COUNTIFS(実績!$W$6:$W$505,DQ$3,実績!$AI$6:$AI$505,"&lt;="&amp;$A163,実績!$AJ$6:$AJ$505,"&gt;"&amp;$A163,実績!$AL$6:$AL$505,"○")&gt;0,1,0))</f>
        <v>0</v>
      </c>
      <c r="DR163" s="39" t="n">
        <f aca="false">IF(DR$4=0,0,IF(COUNTIFS(実績!$W$6:$W$505,DR$3,実績!$AI$6:$AI$505,"&lt;="&amp;$A163,実績!$AJ$6:$AJ$505,"&gt;"&amp;$A163,実績!$AL$6:$AL$505,"○")&gt;0,1,0))</f>
        <v>0</v>
      </c>
      <c r="DS163" s="39" t="n">
        <f aca="false">SUM(C163:DR163)</f>
        <v>0</v>
      </c>
    </row>
    <row r="164" customFormat="false" ht="15" hidden="false" customHeight="false" outlineLevel="0" collapsed="false">
      <c r="A164" s="0" t="n">
        <v>790</v>
      </c>
      <c r="B164" s="38" t="n">
        <f aca="false">A164/1440</f>
        <v>0.548611111111111</v>
      </c>
      <c r="C164" s="39" t="n">
        <f aca="false">IF(C$4=0,0,IF(COUNTIFS(実績!$W$6:$W$505,C$3,実績!$AI$6:$AI$505,"&lt;="&amp;$A164,実績!$AJ$6:$AJ$505,"&gt;"&amp;$A164,実績!$AL$6:$AL$505,"○")&gt;0,1,0))</f>
        <v>0</v>
      </c>
      <c r="D164" s="39" t="n">
        <f aca="false">IF(D$4=0,0,IF(COUNTIFS(実績!$W$6:$W$505,D$3,実績!$AI$6:$AI$505,"&lt;="&amp;$A164,実績!$AJ$6:$AJ$505,"&gt;"&amp;$A164,実績!$AL$6:$AL$505,"○")&gt;0,1,0))</f>
        <v>0</v>
      </c>
      <c r="E164" s="39" t="n">
        <f aca="false">IF(E$4=0,0,IF(COUNTIFS(実績!$W$6:$W$505,E$3,実績!$AI$6:$AI$505,"&lt;="&amp;$A164,実績!$AJ$6:$AJ$505,"&gt;"&amp;$A164,実績!$AL$6:$AL$505,"○")&gt;0,1,0))</f>
        <v>0</v>
      </c>
      <c r="F164" s="39" t="n">
        <f aca="false">IF(F$4=0,0,IF(COUNTIFS(実績!$W$6:$W$505,F$3,実績!$AI$6:$AI$505,"&lt;="&amp;$A164,実績!$AJ$6:$AJ$505,"&gt;"&amp;$A164,実績!$AL$6:$AL$505,"○")&gt;0,1,0))</f>
        <v>0</v>
      </c>
      <c r="G164" s="39" t="n">
        <f aca="false">IF(G$4=0,0,IF(COUNTIFS(実績!$W$6:$W$505,G$3,実績!$AI$6:$AI$505,"&lt;="&amp;$A164,実績!$AJ$6:$AJ$505,"&gt;"&amp;$A164,実績!$AL$6:$AL$505,"○")&gt;0,1,0))</f>
        <v>0</v>
      </c>
      <c r="H164" s="39" t="n">
        <f aca="false">IF(H$4=0,0,IF(COUNTIFS(実績!$W$6:$W$505,H$3,実績!$AI$6:$AI$505,"&lt;="&amp;$A164,実績!$AJ$6:$AJ$505,"&gt;"&amp;$A164,実績!$AL$6:$AL$505,"○")&gt;0,1,0))</f>
        <v>0</v>
      </c>
      <c r="I164" s="39" t="n">
        <f aca="false">IF(I$4=0,0,IF(COUNTIFS(実績!$W$6:$W$505,I$3,実績!$AI$6:$AI$505,"&lt;="&amp;$A164,実績!$AJ$6:$AJ$505,"&gt;"&amp;$A164,実績!$AL$6:$AL$505,"○")&gt;0,1,0))</f>
        <v>0</v>
      </c>
      <c r="J164" s="39" t="n">
        <f aca="false">IF(J$4=0,0,IF(COUNTIFS(実績!$W$6:$W$505,J$3,実績!$AI$6:$AI$505,"&lt;="&amp;$A164,実績!$AJ$6:$AJ$505,"&gt;"&amp;$A164,実績!$AL$6:$AL$505,"○")&gt;0,1,0))</f>
        <v>0</v>
      </c>
      <c r="K164" s="39" t="n">
        <f aca="false">IF(K$4=0,0,IF(COUNTIFS(実績!$W$6:$W$505,K$3,実績!$AI$6:$AI$505,"&lt;="&amp;$A164,実績!$AJ$6:$AJ$505,"&gt;"&amp;$A164,実績!$AL$6:$AL$505,"○")&gt;0,1,0))</f>
        <v>0</v>
      </c>
      <c r="L164" s="39" t="n">
        <f aca="false">IF(L$4=0,0,IF(COUNTIFS(実績!$W$6:$W$505,L$3,実績!$AI$6:$AI$505,"&lt;="&amp;$A164,実績!$AJ$6:$AJ$505,"&gt;"&amp;$A164,実績!$AL$6:$AL$505,"○")&gt;0,1,0))</f>
        <v>0</v>
      </c>
      <c r="M164" s="39" t="n">
        <f aca="false">IF(M$4=0,0,IF(COUNTIFS(実績!$W$6:$W$505,M$3,実績!$AI$6:$AI$505,"&lt;="&amp;$A164,実績!$AJ$6:$AJ$505,"&gt;"&amp;$A164,実績!$AL$6:$AL$505,"○")&gt;0,1,0))</f>
        <v>0</v>
      </c>
      <c r="N164" s="39" t="n">
        <f aca="false">IF(N$4=0,0,IF(COUNTIFS(実績!$W$6:$W$505,N$3,実績!$AI$6:$AI$505,"&lt;="&amp;$A164,実績!$AJ$6:$AJ$505,"&gt;"&amp;$A164,実績!$AL$6:$AL$505,"○")&gt;0,1,0))</f>
        <v>0</v>
      </c>
      <c r="O164" s="39" t="n">
        <f aca="false">IF(O$4=0,0,IF(COUNTIFS(実績!$W$6:$W$505,O$3,実績!$AI$6:$AI$505,"&lt;="&amp;$A164,実績!$AJ$6:$AJ$505,"&gt;"&amp;$A164,実績!$AL$6:$AL$505,"○")&gt;0,1,0))</f>
        <v>0</v>
      </c>
      <c r="P164" s="39" t="n">
        <f aca="false">IF(P$4=0,0,IF(COUNTIFS(実績!$W$6:$W$505,P$3,実績!$AI$6:$AI$505,"&lt;="&amp;$A164,実績!$AJ$6:$AJ$505,"&gt;"&amp;$A164,実績!$AL$6:$AL$505,"○")&gt;0,1,0))</f>
        <v>0</v>
      </c>
      <c r="Q164" s="39" t="n">
        <f aca="false">IF(Q$4=0,0,IF(COUNTIFS(実績!$W$6:$W$505,Q$3,実績!$AI$6:$AI$505,"&lt;="&amp;$A164,実績!$AJ$6:$AJ$505,"&gt;"&amp;$A164,実績!$AL$6:$AL$505,"○")&gt;0,1,0))</f>
        <v>0</v>
      </c>
      <c r="R164" s="39" t="n">
        <f aca="false">IF(R$4=0,0,IF(COUNTIFS(実績!$W$6:$W$505,R$3,実績!$AI$6:$AI$505,"&lt;="&amp;$A164,実績!$AJ$6:$AJ$505,"&gt;"&amp;$A164,実績!$AL$6:$AL$505,"○")&gt;0,1,0))</f>
        <v>0</v>
      </c>
      <c r="S164" s="39" t="n">
        <f aca="false">IF(S$4=0,0,IF(COUNTIFS(実績!$W$6:$W$505,S$3,実績!$AI$6:$AI$505,"&lt;="&amp;$A164,実績!$AJ$6:$AJ$505,"&gt;"&amp;$A164,実績!$AL$6:$AL$505,"○")&gt;0,1,0))</f>
        <v>0</v>
      </c>
      <c r="T164" s="39" t="n">
        <f aca="false">IF(T$4=0,0,IF(COUNTIFS(実績!$W$6:$W$505,T$3,実績!$AI$6:$AI$505,"&lt;="&amp;$A164,実績!$AJ$6:$AJ$505,"&gt;"&amp;$A164,実績!$AL$6:$AL$505,"○")&gt;0,1,0))</f>
        <v>0</v>
      </c>
      <c r="U164" s="39" t="n">
        <f aca="false">IF(U$4=0,0,IF(COUNTIFS(実績!$W$6:$W$505,U$3,実績!$AI$6:$AI$505,"&lt;="&amp;$A164,実績!$AJ$6:$AJ$505,"&gt;"&amp;$A164,実績!$AL$6:$AL$505,"○")&gt;0,1,0))</f>
        <v>0</v>
      </c>
      <c r="V164" s="39" t="n">
        <f aca="false">IF(V$4=0,0,IF(COUNTIFS(実績!$W$6:$W$505,V$3,実績!$AI$6:$AI$505,"&lt;="&amp;$A164,実績!$AJ$6:$AJ$505,"&gt;"&amp;$A164,実績!$AL$6:$AL$505,"○")&gt;0,1,0))</f>
        <v>0</v>
      </c>
      <c r="W164" s="39" t="n">
        <f aca="false">IF(W$4=0,0,IF(COUNTIFS(実績!$W$6:$W$505,W$3,実績!$AI$6:$AI$505,"&lt;="&amp;$A164,実績!$AJ$6:$AJ$505,"&gt;"&amp;$A164,実績!$AL$6:$AL$505,"○")&gt;0,1,0))</f>
        <v>0</v>
      </c>
      <c r="X164" s="39" t="n">
        <f aca="false">IF(X$4=0,0,IF(COUNTIFS(実績!$W$6:$W$505,X$3,実績!$AI$6:$AI$505,"&lt;="&amp;$A164,実績!$AJ$6:$AJ$505,"&gt;"&amp;$A164,実績!$AL$6:$AL$505,"○")&gt;0,1,0))</f>
        <v>0</v>
      </c>
      <c r="Y164" s="39" t="n">
        <f aca="false">IF(Y$4=0,0,IF(COUNTIFS(実績!$W$6:$W$505,Y$3,実績!$AI$6:$AI$505,"&lt;="&amp;$A164,実績!$AJ$6:$AJ$505,"&gt;"&amp;$A164,実績!$AL$6:$AL$505,"○")&gt;0,1,0))</f>
        <v>0</v>
      </c>
      <c r="Z164" s="39" t="n">
        <f aca="false">IF(Z$4=0,0,IF(COUNTIFS(実績!$W$6:$W$505,Z$3,実績!$AI$6:$AI$505,"&lt;="&amp;$A164,実績!$AJ$6:$AJ$505,"&gt;"&amp;$A164,実績!$AL$6:$AL$505,"○")&gt;0,1,0))</f>
        <v>0</v>
      </c>
      <c r="AA164" s="39" t="n">
        <f aca="false">IF(AA$4=0,0,IF(COUNTIFS(実績!$W$6:$W$505,AA$3,実績!$AI$6:$AI$505,"&lt;="&amp;$A164,実績!$AJ$6:$AJ$505,"&gt;"&amp;$A164,実績!$AL$6:$AL$505,"○")&gt;0,1,0))</f>
        <v>0</v>
      </c>
      <c r="AB164" s="39" t="n">
        <f aca="false">IF(AB$4=0,0,IF(COUNTIFS(実績!$W$6:$W$505,AB$3,実績!$AI$6:$AI$505,"&lt;="&amp;$A164,実績!$AJ$6:$AJ$505,"&gt;"&amp;$A164,実績!$AL$6:$AL$505,"○")&gt;0,1,0))</f>
        <v>0</v>
      </c>
      <c r="AC164" s="39" t="n">
        <f aca="false">IF(AC$4=0,0,IF(COUNTIFS(実績!$W$6:$W$505,AC$3,実績!$AI$6:$AI$505,"&lt;="&amp;$A164,実績!$AJ$6:$AJ$505,"&gt;"&amp;$A164,実績!$AL$6:$AL$505,"○")&gt;0,1,0))</f>
        <v>0</v>
      </c>
      <c r="AD164" s="39" t="n">
        <f aca="false">IF(AD$4=0,0,IF(COUNTIFS(実績!$W$6:$W$505,AD$3,実績!$AI$6:$AI$505,"&lt;="&amp;$A164,実績!$AJ$6:$AJ$505,"&gt;"&amp;$A164,実績!$AL$6:$AL$505,"○")&gt;0,1,0))</f>
        <v>0</v>
      </c>
      <c r="AE164" s="39" t="n">
        <f aca="false">IF(AE$4=0,0,IF(COUNTIFS(実績!$W$6:$W$505,AE$3,実績!$AI$6:$AI$505,"&lt;="&amp;$A164,実績!$AJ$6:$AJ$505,"&gt;"&amp;$A164,実績!$AL$6:$AL$505,"○")&gt;0,1,0))</f>
        <v>0</v>
      </c>
      <c r="AF164" s="39" t="n">
        <f aca="false">IF(AF$4=0,0,IF(COUNTIFS(実績!$W$6:$W$505,AF$3,実績!$AI$6:$AI$505,"&lt;="&amp;$A164,実績!$AJ$6:$AJ$505,"&gt;"&amp;$A164,実績!$AL$6:$AL$505,"○")&gt;0,1,0))</f>
        <v>0</v>
      </c>
      <c r="AG164" s="39" t="n">
        <f aca="false">IF(AG$4=0,0,IF(COUNTIFS(実績!$W$6:$W$505,AG$3,実績!$AI$6:$AI$505,"&lt;="&amp;$A164,実績!$AJ$6:$AJ$505,"&gt;"&amp;$A164,実績!$AL$6:$AL$505,"○")&gt;0,1,0))</f>
        <v>0</v>
      </c>
      <c r="AH164" s="39" t="n">
        <f aca="false">IF(AH$4=0,0,IF(COUNTIFS(実績!$W$6:$W$505,AH$3,実績!$AI$6:$AI$505,"&lt;="&amp;$A164,実績!$AJ$6:$AJ$505,"&gt;"&amp;$A164,実績!$AL$6:$AL$505,"○")&gt;0,1,0))</f>
        <v>0</v>
      </c>
      <c r="AI164" s="39" t="n">
        <f aca="false">IF(AI$4=0,0,IF(COUNTIFS(実績!$W$6:$W$505,AI$3,実績!$AI$6:$AI$505,"&lt;="&amp;$A164,実績!$AJ$6:$AJ$505,"&gt;"&amp;$A164,実績!$AL$6:$AL$505,"○")&gt;0,1,0))</f>
        <v>0</v>
      </c>
      <c r="AJ164" s="39" t="n">
        <f aca="false">IF(AJ$4=0,0,IF(COUNTIFS(実績!$W$6:$W$505,AJ$3,実績!$AI$6:$AI$505,"&lt;="&amp;$A164,実績!$AJ$6:$AJ$505,"&gt;"&amp;$A164,実績!$AL$6:$AL$505,"○")&gt;0,1,0))</f>
        <v>0</v>
      </c>
      <c r="AK164" s="39" t="n">
        <f aca="false">IF(AK$4=0,0,IF(COUNTIFS(実績!$W$6:$W$505,AK$3,実績!$AI$6:$AI$505,"&lt;="&amp;$A164,実績!$AJ$6:$AJ$505,"&gt;"&amp;$A164,実績!$AL$6:$AL$505,"○")&gt;0,1,0))</f>
        <v>0</v>
      </c>
      <c r="AL164" s="39" t="n">
        <f aca="false">IF(AL$4=0,0,IF(COUNTIFS(実績!$W$6:$W$505,AL$3,実績!$AI$6:$AI$505,"&lt;="&amp;$A164,実績!$AJ$6:$AJ$505,"&gt;"&amp;$A164,実績!$AL$6:$AL$505,"○")&gt;0,1,0))</f>
        <v>0</v>
      </c>
      <c r="AM164" s="39" t="n">
        <f aca="false">IF(AM$4=0,0,IF(COUNTIFS(実績!$W$6:$W$505,AM$3,実績!$AI$6:$AI$505,"&lt;="&amp;$A164,実績!$AJ$6:$AJ$505,"&gt;"&amp;$A164,実績!$AL$6:$AL$505,"○")&gt;0,1,0))</f>
        <v>0</v>
      </c>
      <c r="AN164" s="39" t="n">
        <f aca="false">IF(AN$4=0,0,IF(COUNTIFS(実績!$W$6:$W$505,AN$3,実績!$AI$6:$AI$505,"&lt;="&amp;$A164,実績!$AJ$6:$AJ$505,"&gt;"&amp;$A164,実績!$AL$6:$AL$505,"○")&gt;0,1,0))</f>
        <v>0</v>
      </c>
      <c r="AO164" s="39" t="n">
        <f aca="false">IF(AO$4=0,0,IF(COUNTIFS(実績!$W$6:$W$505,AO$3,実績!$AI$6:$AI$505,"&lt;="&amp;$A164,実績!$AJ$6:$AJ$505,"&gt;"&amp;$A164,実績!$AL$6:$AL$505,"○")&gt;0,1,0))</f>
        <v>0</v>
      </c>
      <c r="AP164" s="39" t="n">
        <f aca="false">IF(AP$4=0,0,IF(COUNTIFS(実績!$W$6:$W$505,AP$3,実績!$AI$6:$AI$505,"&lt;="&amp;$A164,実績!$AJ$6:$AJ$505,"&gt;"&amp;$A164,実績!$AL$6:$AL$505,"○")&gt;0,1,0))</f>
        <v>0</v>
      </c>
      <c r="AQ164" s="39" t="n">
        <f aca="false">IF(AQ$4=0,0,IF(COUNTIFS(実績!$W$6:$W$505,AQ$3,実績!$AI$6:$AI$505,"&lt;="&amp;$A164,実績!$AJ$6:$AJ$505,"&gt;"&amp;$A164,実績!$AL$6:$AL$505,"○")&gt;0,1,0))</f>
        <v>0</v>
      </c>
      <c r="AR164" s="39" t="n">
        <f aca="false">IF(AR$4=0,0,IF(COUNTIFS(実績!$W$6:$W$505,AR$3,実績!$AI$6:$AI$505,"&lt;="&amp;$A164,実績!$AJ$6:$AJ$505,"&gt;"&amp;$A164,実績!$AL$6:$AL$505,"○")&gt;0,1,0))</f>
        <v>0</v>
      </c>
      <c r="AS164" s="39" t="n">
        <f aca="false">IF(AS$4=0,0,IF(COUNTIFS(実績!$W$6:$W$505,AS$3,実績!$AI$6:$AI$505,"&lt;="&amp;$A164,実績!$AJ$6:$AJ$505,"&gt;"&amp;$A164,実績!$AL$6:$AL$505,"○")&gt;0,1,0))</f>
        <v>0</v>
      </c>
      <c r="AT164" s="39" t="n">
        <f aca="false">IF(AT$4=0,0,IF(COUNTIFS(実績!$W$6:$W$505,AT$3,実績!$AI$6:$AI$505,"&lt;="&amp;$A164,実績!$AJ$6:$AJ$505,"&gt;"&amp;$A164,実績!$AL$6:$AL$505,"○")&gt;0,1,0))</f>
        <v>0</v>
      </c>
      <c r="AU164" s="39" t="n">
        <f aca="false">IF(AU$4=0,0,IF(COUNTIFS(実績!$W$6:$W$505,AU$3,実績!$AI$6:$AI$505,"&lt;="&amp;$A164,実績!$AJ$6:$AJ$505,"&gt;"&amp;$A164,実績!$AL$6:$AL$505,"○")&gt;0,1,0))</f>
        <v>0</v>
      </c>
      <c r="AV164" s="39" t="n">
        <f aca="false">IF(AV$4=0,0,IF(COUNTIFS(実績!$W$6:$W$505,AV$3,実績!$AI$6:$AI$505,"&lt;="&amp;$A164,実績!$AJ$6:$AJ$505,"&gt;"&amp;$A164,実績!$AL$6:$AL$505,"○")&gt;0,1,0))</f>
        <v>0</v>
      </c>
      <c r="AW164" s="39" t="n">
        <f aca="false">IF(AW$4=0,0,IF(COUNTIFS(実績!$W$6:$W$505,AW$3,実績!$AI$6:$AI$505,"&lt;="&amp;$A164,実績!$AJ$6:$AJ$505,"&gt;"&amp;$A164,実績!$AL$6:$AL$505,"○")&gt;0,1,0))</f>
        <v>0</v>
      </c>
      <c r="AX164" s="39" t="n">
        <f aca="false">IF(AX$4=0,0,IF(COUNTIFS(実績!$W$6:$W$505,AX$3,実績!$AI$6:$AI$505,"&lt;="&amp;$A164,実績!$AJ$6:$AJ$505,"&gt;"&amp;$A164,実績!$AL$6:$AL$505,"○")&gt;0,1,0))</f>
        <v>0</v>
      </c>
      <c r="AY164" s="39" t="n">
        <f aca="false">IF(AY$4=0,0,IF(COUNTIFS(実績!$W$6:$W$505,AY$3,実績!$AI$6:$AI$505,"&lt;="&amp;$A164,実績!$AJ$6:$AJ$505,"&gt;"&amp;$A164,実績!$AL$6:$AL$505,"○")&gt;0,1,0))</f>
        <v>0</v>
      </c>
      <c r="AZ164" s="39" t="n">
        <f aca="false">IF(AZ$4=0,0,IF(COUNTIFS(実績!$W$6:$W$505,AZ$3,実績!$AI$6:$AI$505,"&lt;="&amp;$A164,実績!$AJ$6:$AJ$505,"&gt;"&amp;$A164,実績!$AL$6:$AL$505,"○")&gt;0,1,0))</f>
        <v>0</v>
      </c>
      <c r="BA164" s="39" t="n">
        <f aca="false">IF(BA$4=0,0,IF(COUNTIFS(実績!$W$6:$W$505,BA$3,実績!$AI$6:$AI$505,"&lt;="&amp;$A164,実績!$AJ$6:$AJ$505,"&gt;"&amp;$A164,実績!$AL$6:$AL$505,"○")&gt;0,1,0))</f>
        <v>0</v>
      </c>
      <c r="BB164" s="39" t="n">
        <f aca="false">IF(BB$4=0,0,IF(COUNTIFS(実績!$W$6:$W$505,BB$3,実績!$AI$6:$AI$505,"&lt;="&amp;$A164,実績!$AJ$6:$AJ$505,"&gt;"&amp;$A164,実績!$AL$6:$AL$505,"○")&gt;0,1,0))</f>
        <v>0</v>
      </c>
      <c r="BC164" s="39" t="n">
        <f aca="false">IF(BC$4=0,0,IF(COUNTIFS(実績!$W$6:$W$505,BC$3,実績!$AI$6:$AI$505,"&lt;="&amp;$A164,実績!$AJ$6:$AJ$505,"&gt;"&amp;$A164,実績!$AL$6:$AL$505,"○")&gt;0,1,0))</f>
        <v>0</v>
      </c>
      <c r="BD164" s="39" t="n">
        <f aca="false">IF(BD$4=0,0,IF(COUNTIFS(実績!$W$6:$W$505,BD$3,実績!$AI$6:$AI$505,"&lt;="&amp;$A164,実績!$AJ$6:$AJ$505,"&gt;"&amp;$A164,実績!$AL$6:$AL$505,"○")&gt;0,1,0))</f>
        <v>0</v>
      </c>
      <c r="BE164" s="39" t="n">
        <f aca="false">IF(BE$4=0,0,IF(COUNTIFS(実績!$W$6:$W$505,BE$3,実績!$AI$6:$AI$505,"&lt;="&amp;$A164,実績!$AJ$6:$AJ$505,"&gt;"&amp;$A164,実績!$AL$6:$AL$505,"○")&gt;0,1,0))</f>
        <v>0</v>
      </c>
      <c r="BF164" s="39" t="n">
        <f aca="false">IF(BF$4=0,0,IF(COUNTIFS(実績!$W$6:$W$505,BF$3,実績!$AI$6:$AI$505,"&lt;="&amp;$A164,実績!$AJ$6:$AJ$505,"&gt;"&amp;$A164,実績!$AL$6:$AL$505,"○")&gt;0,1,0))</f>
        <v>0</v>
      </c>
      <c r="BG164" s="39" t="n">
        <f aca="false">IF(BG$4=0,0,IF(COUNTIFS(実績!$W$6:$W$505,BG$3,実績!$AI$6:$AI$505,"&lt;="&amp;$A164,実績!$AJ$6:$AJ$505,"&gt;"&amp;$A164,実績!$AL$6:$AL$505,"○")&gt;0,1,0))</f>
        <v>0</v>
      </c>
      <c r="BH164" s="39" t="n">
        <f aca="false">IF(BH$4=0,0,IF(COUNTIFS(実績!$W$6:$W$505,BH$3,実績!$AI$6:$AI$505,"&lt;="&amp;$A164,実績!$AJ$6:$AJ$505,"&gt;"&amp;$A164,実績!$AL$6:$AL$505,"○")&gt;0,1,0))</f>
        <v>0</v>
      </c>
      <c r="BI164" s="39" t="n">
        <f aca="false">IF(BI$4=0,0,IF(COUNTIFS(実績!$W$6:$W$505,BI$3,実績!$AI$6:$AI$505,"&lt;="&amp;$A164,実績!$AJ$6:$AJ$505,"&gt;"&amp;$A164,実績!$AL$6:$AL$505,"○")&gt;0,1,0))</f>
        <v>0</v>
      </c>
      <c r="BJ164" s="39" t="n">
        <f aca="false">IF(BJ$4=0,0,IF(COUNTIFS(実績!$W$6:$W$505,BJ$3,実績!$AI$6:$AI$505,"&lt;="&amp;$A164,実績!$AJ$6:$AJ$505,"&gt;"&amp;$A164,実績!$AL$6:$AL$505,"○")&gt;0,1,0))</f>
        <v>0</v>
      </c>
      <c r="BK164" s="39" t="n">
        <f aca="false">IF(BK$4=0,0,IF(COUNTIFS(実績!$W$6:$W$505,BK$3,実績!$AI$6:$AI$505,"&lt;="&amp;$A164,実績!$AJ$6:$AJ$505,"&gt;"&amp;$A164,実績!$AL$6:$AL$505,"○")&gt;0,1,0))</f>
        <v>0</v>
      </c>
      <c r="BL164" s="39" t="n">
        <f aca="false">IF(BL$4=0,0,IF(COUNTIFS(実績!$W$6:$W$505,BL$3,実績!$AI$6:$AI$505,"&lt;="&amp;$A164,実績!$AJ$6:$AJ$505,"&gt;"&amp;$A164,実績!$AL$6:$AL$505,"○")&gt;0,1,0))</f>
        <v>0</v>
      </c>
      <c r="BM164" s="39" t="n">
        <f aca="false">IF(BM$4=0,0,IF(COUNTIFS(実績!$W$6:$W$505,BM$3,実績!$AI$6:$AI$505,"&lt;="&amp;$A164,実績!$AJ$6:$AJ$505,"&gt;"&amp;$A164,実績!$AL$6:$AL$505,"○")&gt;0,1,0))</f>
        <v>0</v>
      </c>
      <c r="BN164" s="39" t="n">
        <f aca="false">IF(BN$4=0,0,IF(COUNTIFS(実績!$W$6:$W$505,BN$3,実績!$AI$6:$AI$505,"&lt;="&amp;$A164,実績!$AJ$6:$AJ$505,"&gt;"&amp;$A164,実績!$AL$6:$AL$505,"○")&gt;0,1,0))</f>
        <v>0</v>
      </c>
      <c r="BO164" s="39" t="n">
        <f aca="false">IF(BO$4=0,0,IF(COUNTIFS(実績!$W$6:$W$505,BO$3,実績!$AI$6:$AI$505,"&lt;="&amp;$A164,実績!$AJ$6:$AJ$505,"&gt;"&amp;$A164,実績!$AL$6:$AL$505,"○")&gt;0,1,0))</f>
        <v>0</v>
      </c>
      <c r="BP164" s="39" t="n">
        <f aca="false">IF(BP$4=0,0,IF(COUNTIFS(実績!$W$6:$W$505,BP$3,実績!$AI$6:$AI$505,"&lt;="&amp;$A164,実績!$AJ$6:$AJ$505,"&gt;"&amp;$A164,実績!$AL$6:$AL$505,"○")&gt;0,1,0))</f>
        <v>0</v>
      </c>
      <c r="BQ164" s="39" t="n">
        <f aca="false">IF(BQ$4=0,0,IF(COUNTIFS(実績!$W$6:$W$505,BQ$3,実績!$AI$6:$AI$505,"&lt;="&amp;$A164,実績!$AJ$6:$AJ$505,"&gt;"&amp;$A164,実績!$AL$6:$AL$505,"○")&gt;0,1,0))</f>
        <v>0</v>
      </c>
      <c r="BR164" s="39" t="n">
        <f aca="false">IF(BR$4=0,0,IF(COUNTIFS(実績!$W$6:$W$505,BR$3,実績!$AI$6:$AI$505,"&lt;="&amp;$A164,実績!$AJ$6:$AJ$505,"&gt;"&amp;$A164,実績!$AL$6:$AL$505,"○")&gt;0,1,0))</f>
        <v>0</v>
      </c>
      <c r="BS164" s="39" t="n">
        <f aca="false">IF(BS$4=0,0,IF(COUNTIFS(実績!$W$6:$W$505,BS$3,実績!$AI$6:$AI$505,"&lt;="&amp;$A164,実績!$AJ$6:$AJ$505,"&gt;"&amp;$A164,実績!$AL$6:$AL$505,"○")&gt;0,1,0))</f>
        <v>0</v>
      </c>
      <c r="BT164" s="39" t="n">
        <f aca="false">IF(BT$4=0,0,IF(COUNTIFS(実績!$W$6:$W$505,BT$3,実績!$AI$6:$AI$505,"&lt;="&amp;$A164,実績!$AJ$6:$AJ$505,"&gt;"&amp;$A164,実績!$AL$6:$AL$505,"○")&gt;0,1,0))</f>
        <v>0</v>
      </c>
      <c r="BU164" s="39" t="n">
        <f aca="false">IF(BU$4=0,0,IF(COUNTIFS(実績!$W$6:$W$505,BU$3,実績!$AI$6:$AI$505,"&lt;="&amp;$A164,実績!$AJ$6:$AJ$505,"&gt;"&amp;$A164,実績!$AL$6:$AL$505,"○")&gt;0,1,0))</f>
        <v>0</v>
      </c>
      <c r="BV164" s="39" t="n">
        <f aca="false">IF(BV$4=0,0,IF(COUNTIFS(実績!$W$6:$W$505,BV$3,実績!$AI$6:$AI$505,"&lt;="&amp;$A164,実績!$AJ$6:$AJ$505,"&gt;"&amp;$A164,実績!$AL$6:$AL$505,"○")&gt;0,1,0))</f>
        <v>0</v>
      </c>
      <c r="BW164" s="39" t="n">
        <f aca="false">IF(BW$4=0,0,IF(COUNTIFS(実績!$W$6:$W$505,BW$3,実績!$AI$6:$AI$505,"&lt;="&amp;$A164,実績!$AJ$6:$AJ$505,"&gt;"&amp;$A164,実績!$AL$6:$AL$505,"○")&gt;0,1,0))</f>
        <v>0</v>
      </c>
      <c r="BX164" s="39" t="n">
        <f aca="false">IF(BX$4=0,0,IF(COUNTIFS(実績!$W$6:$W$505,BX$3,実績!$AI$6:$AI$505,"&lt;="&amp;$A164,実績!$AJ$6:$AJ$505,"&gt;"&amp;$A164,実績!$AL$6:$AL$505,"○")&gt;0,1,0))</f>
        <v>0</v>
      </c>
      <c r="BY164" s="39" t="n">
        <f aca="false">IF(BY$4=0,0,IF(COUNTIFS(実績!$W$6:$W$505,BY$3,実績!$AI$6:$AI$505,"&lt;="&amp;$A164,実績!$AJ$6:$AJ$505,"&gt;"&amp;$A164,実績!$AL$6:$AL$505,"○")&gt;0,1,0))</f>
        <v>0</v>
      </c>
      <c r="BZ164" s="39" t="n">
        <f aca="false">IF(BZ$4=0,0,IF(COUNTIFS(実績!$W$6:$W$505,BZ$3,実績!$AI$6:$AI$505,"&lt;="&amp;$A164,実績!$AJ$6:$AJ$505,"&gt;"&amp;$A164,実績!$AL$6:$AL$505,"○")&gt;0,1,0))</f>
        <v>0</v>
      </c>
      <c r="CA164" s="39" t="n">
        <f aca="false">IF(CA$4=0,0,IF(COUNTIFS(実績!$W$6:$W$505,CA$3,実績!$AI$6:$AI$505,"&lt;="&amp;$A164,実績!$AJ$6:$AJ$505,"&gt;"&amp;$A164,実績!$AL$6:$AL$505,"○")&gt;0,1,0))</f>
        <v>0</v>
      </c>
      <c r="CB164" s="39" t="n">
        <f aca="false">IF(CB$4=0,0,IF(COUNTIFS(実績!$W$6:$W$505,CB$3,実績!$AI$6:$AI$505,"&lt;="&amp;$A164,実績!$AJ$6:$AJ$505,"&gt;"&amp;$A164,実績!$AL$6:$AL$505,"○")&gt;0,1,0))</f>
        <v>0</v>
      </c>
      <c r="CC164" s="39" t="n">
        <f aca="false">IF(CC$4=0,0,IF(COUNTIFS(実績!$W$6:$W$505,CC$3,実績!$AI$6:$AI$505,"&lt;="&amp;$A164,実績!$AJ$6:$AJ$505,"&gt;"&amp;$A164,実績!$AL$6:$AL$505,"○")&gt;0,1,0))</f>
        <v>0</v>
      </c>
      <c r="CD164" s="39" t="n">
        <f aca="false">IF(CD$4=0,0,IF(COUNTIFS(実績!$W$6:$W$505,CD$3,実績!$AI$6:$AI$505,"&lt;="&amp;$A164,実績!$AJ$6:$AJ$505,"&gt;"&amp;$A164,実績!$AL$6:$AL$505,"○")&gt;0,1,0))</f>
        <v>0</v>
      </c>
      <c r="CE164" s="39" t="n">
        <f aca="false">IF(CE$4=0,0,IF(COUNTIFS(実績!$W$6:$W$505,CE$3,実績!$AI$6:$AI$505,"&lt;="&amp;$A164,実績!$AJ$6:$AJ$505,"&gt;"&amp;$A164,実績!$AL$6:$AL$505,"○")&gt;0,1,0))</f>
        <v>0</v>
      </c>
      <c r="CF164" s="39" t="n">
        <f aca="false">IF(CF$4=0,0,IF(COUNTIFS(実績!$W$6:$W$505,CF$3,実績!$AI$6:$AI$505,"&lt;="&amp;$A164,実績!$AJ$6:$AJ$505,"&gt;"&amp;$A164,実績!$AL$6:$AL$505,"○")&gt;0,1,0))</f>
        <v>0</v>
      </c>
      <c r="CG164" s="39" t="n">
        <f aca="false">IF(CG$4=0,0,IF(COUNTIFS(実績!$W$6:$W$505,CG$3,実績!$AI$6:$AI$505,"&lt;="&amp;$A164,実績!$AJ$6:$AJ$505,"&gt;"&amp;$A164,実績!$AL$6:$AL$505,"○")&gt;0,1,0))</f>
        <v>0</v>
      </c>
      <c r="CH164" s="39" t="n">
        <f aca="false">IF(CH$4=0,0,IF(COUNTIFS(実績!$W$6:$W$505,CH$3,実績!$AI$6:$AI$505,"&lt;="&amp;$A164,実績!$AJ$6:$AJ$505,"&gt;"&amp;$A164,実績!$AL$6:$AL$505,"○")&gt;0,1,0))</f>
        <v>0</v>
      </c>
      <c r="CI164" s="39" t="n">
        <f aca="false">IF(CI$4=0,0,IF(COUNTIFS(実績!$W$6:$W$505,CI$3,実績!$AI$6:$AI$505,"&lt;="&amp;$A164,実績!$AJ$6:$AJ$505,"&gt;"&amp;$A164,実績!$AL$6:$AL$505,"○")&gt;0,1,0))</f>
        <v>0</v>
      </c>
      <c r="CJ164" s="39" t="n">
        <f aca="false">IF(CJ$4=0,0,IF(COUNTIFS(実績!$W$6:$W$505,CJ$3,実績!$AI$6:$AI$505,"&lt;="&amp;$A164,実績!$AJ$6:$AJ$505,"&gt;"&amp;$A164,実績!$AL$6:$AL$505,"○")&gt;0,1,0))</f>
        <v>0</v>
      </c>
      <c r="CK164" s="39" t="n">
        <f aca="false">IF(CK$4=0,0,IF(COUNTIFS(実績!$W$6:$W$505,CK$3,実績!$AI$6:$AI$505,"&lt;="&amp;$A164,実績!$AJ$6:$AJ$505,"&gt;"&amp;$A164,実績!$AL$6:$AL$505,"○")&gt;0,1,0))</f>
        <v>0</v>
      </c>
      <c r="CL164" s="39" t="n">
        <f aca="false">IF(CL$4=0,0,IF(COUNTIFS(実績!$W$6:$W$505,CL$3,実績!$AI$6:$AI$505,"&lt;="&amp;$A164,実績!$AJ$6:$AJ$505,"&gt;"&amp;$A164,実績!$AL$6:$AL$505,"○")&gt;0,1,0))</f>
        <v>0</v>
      </c>
      <c r="CM164" s="39" t="n">
        <f aca="false">IF(CM$4=0,0,IF(COUNTIFS(実績!$W$6:$W$505,CM$3,実績!$AI$6:$AI$505,"&lt;="&amp;$A164,実績!$AJ$6:$AJ$505,"&gt;"&amp;$A164,実績!$AL$6:$AL$505,"○")&gt;0,1,0))</f>
        <v>0</v>
      </c>
      <c r="CN164" s="39" t="n">
        <f aca="false">IF(CN$4=0,0,IF(COUNTIFS(実績!$W$6:$W$505,CN$3,実績!$AI$6:$AI$505,"&lt;="&amp;$A164,実績!$AJ$6:$AJ$505,"&gt;"&amp;$A164,実績!$AL$6:$AL$505,"○")&gt;0,1,0))</f>
        <v>0</v>
      </c>
      <c r="CO164" s="39" t="n">
        <f aca="false">IF(CO$4=0,0,IF(COUNTIFS(実績!$W$6:$W$505,CO$3,実績!$AI$6:$AI$505,"&lt;="&amp;$A164,実績!$AJ$6:$AJ$505,"&gt;"&amp;$A164,実績!$AL$6:$AL$505,"○")&gt;0,1,0))</f>
        <v>0</v>
      </c>
      <c r="CP164" s="39" t="n">
        <f aca="false">IF(CP$4=0,0,IF(COUNTIFS(実績!$W$6:$W$505,CP$3,実績!$AI$6:$AI$505,"&lt;="&amp;$A164,実績!$AJ$6:$AJ$505,"&gt;"&amp;$A164,実績!$AL$6:$AL$505,"○")&gt;0,1,0))</f>
        <v>0</v>
      </c>
      <c r="CQ164" s="39" t="n">
        <f aca="false">IF(CQ$4=0,0,IF(COUNTIFS(実績!$W$6:$W$505,CQ$3,実績!$AI$6:$AI$505,"&lt;="&amp;$A164,実績!$AJ$6:$AJ$505,"&gt;"&amp;$A164,実績!$AL$6:$AL$505,"○")&gt;0,1,0))</f>
        <v>0</v>
      </c>
      <c r="CR164" s="39" t="n">
        <f aca="false">IF(CR$4=0,0,IF(COUNTIFS(実績!$W$6:$W$505,CR$3,実績!$AI$6:$AI$505,"&lt;="&amp;$A164,実績!$AJ$6:$AJ$505,"&gt;"&amp;$A164,実績!$AL$6:$AL$505,"○")&gt;0,1,0))</f>
        <v>0</v>
      </c>
      <c r="CS164" s="39" t="n">
        <f aca="false">IF(CS$4=0,0,IF(COUNTIFS(実績!$W$6:$W$505,CS$3,実績!$AI$6:$AI$505,"&lt;="&amp;$A164,実績!$AJ$6:$AJ$505,"&gt;"&amp;$A164,実績!$AL$6:$AL$505,"○")&gt;0,1,0))</f>
        <v>0</v>
      </c>
      <c r="CT164" s="39" t="n">
        <f aca="false">IF(CT$4=0,0,IF(COUNTIFS(実績!$W$6:$W$505,CT$3,実績!$AI$6:$AI$505,"&lt;="&amp;$A164,実績!$AJ$6:$AJ$505,"&gt;"&amp;$A164,実績!$AL$6:$AL$505,"○")&gt;0,1,0))</f>
        <v>0</v>
      </c>
      <c r="CU164" s="39" t="n">
        <f aca="false">IF(CU$4=0,0,IF(COUNTIFS(実績!$W$6:$W$505,CU$3,実績!$AI$6:$AI$505,"&lt;="&amp;$A164,実績!$AJ$6:$AJ$505,"&gt;"&amp;$A164,実績!$AL$6:$AL$505,"○")&gt;0,1,0))</f>
        <v>0</v>
      </c>
      <c r="CV164" s="39" t="n">
        <f aca="false">IF(CV$4=0,0,IF(COUNTIFS(実績!$W$6:$W$505,CV$3,実績!$AI$6:$AI$505,"&lt;="&amp;$A164,実績!$AJ$6:$AJ$505,"&gt;"&amp;$A164,実績!$AL$6:$AL$505,"○")&gt;0,1,0))</f>
        <v>0</v>
      </c>
      <c r="CW164" s="39" t="n">
        <f aca="false">IF(CW$4=0,0,IF(COUNTIFS(実績!$W$6:$W$505,CW$3,実績!$AI$6:$AI$505,"&lt;="&amp;$A164,実績!$AJ$6:$AJ$505,"&gt;"&amp;$A164,実績!$AL$6:$AL$505,"○")&gt;0,1,0))</f>
        <v>0</v>
      </c>
      <c r="CX164" s="39" t="n">
        <f aca="false">IF(CX$4=0,0,IF(COUNTIFS(実績!$W$6:$W$505,CX$3,実績!$AI$6:$AI$505,"&lt;="&amp;$A164,実績!$AJ$6:$AJ$505,"&gt;"&amp;$A164,実績!$AL$6:$AL$505,"○")&gt;0,1,0))</f>
        <v>0</v>
      </c>
      <c r="CY164" s="39" t="n">
        <f aca="false">IF(CY$4=0,0,IF(COUNTIFS(実績!$W$6:$W$505,CY$3,実績!$AI$6:$AI$505,"&lt;="&amp;$A164,実績!$AJ$6:$AJ$505,"&gt;"&amp;$A164,実績!$AL$6:$AL$505,"○")&gt;0,1,0))</f>
        <v>0</v>
      </c>
      <c r="CZ164" s="39" t="n">
        <f aca="false">IF(CZ$4=0,0,IF(COUNTIFS(実績!$W$6:$W$505,CZ$3,実績!$AI$6:$AI$505,"&lt;="&amp;$A164,実績!$AJ$6:$AJ$505,"&gt;"&amp;$A164,実績!$AL$6:$AL$505,"○")&gt;0,1,0))</f>
        <v>0</v>
      </c>
      <c r="DA164" s="39" t="n">
        <f aca="false">IF(DA$4=0,0,IF(COUNTIFS(実績!$W$6:$W$505,DA$3,実績!$AI$6:$AI$505,"&lt;="&amp;$A164,実績!$AJ$6:$AJ$505,"&gt;"&amp;$A164,実績!$AL$6:$AL$505,"○")&gt;0,1,0))</f>
        <v>0</v>
      </c>
      <c r="DB164" s="39" t="n">
        <f aca="false">IF(DB$4=0,0,IF(COUNTIFS(実績!$W$6:$W$505,DB$3,実績!$AI$6:$AI$505,"&lt;="&amp;$A164,実績!$AJ$6:$AJ$505,"&gt;"&amp;$A164,実績!$AL$6:$AL$505,"○")&gt;0,1,0))</f>
        <v>0</v>
      </c>
      <c r="DC164" s="39" t="n">
        <f aca="false">IF(DC$4=0,0,IF(COUNTIFS(実績!$W$6:$W$505,DC$3,実績!$AI$6:$AI$505,"&lt;="&amp;$A164,実績!$AJ$6:$AJ$505,"&gt;"&amp;$A164,実績!$AL$6:$AL$505,"○")&gt;0,1,0))</f>
        <v>0</v>
      </c>
      <c r="DD164" s="39" t="n">
        <f aca="false">IF(DD$4=0,0,IF(COUNTIFS(実績!$W$6:$W$505,DD$3,実績!$AI$6:$AI$505,"&lt;="&amp;$A164,実績!$AJ$6:$AJ$505,"&gt;"&amp;$A164,実績!$AL$6:$AL$505,"○")&gt;0,1,0))</f>
        <v>0</v>
      </c>
      <c r="DE164" s="39" t="n">
        <f aca="false">IF(DE$4=0,0,IF(COUNTIFS(実績!$W$6:$W$505,DE$3,実績!$AI$6:$AI$505,"&lt;="&amp;$A164,実績!$AJ$6:$AJ$505,"&gt;"&amp;$A164,実績!$AL$6:$AL$505,"○")&gt;0,1,0))</f>
        <v>0</v>
      </c>
      <c r="DF164" s="39" t="n">
        <f aca="false">IF(DF$4=0,0,IF(COUNTIFS(実績!$W$6:$W$505,DF$3,実績!$AI$6:$AI$505,"&lt;="&amp;$A164,実績!$AJ$6:$AJ$505,"&gt;"&amp;$A164,実績!$AL$6:$AL$505,"○")&gt;0,1,0))</f>
        <v>0</v>
      </c>
      <c r="DG164" s="39" t="n">
        <f aca="false">IF(DG$4=0,0,IF(COUNTIFS(実績!$W$6:$W$505,DG$3,実績!$AI$6:$AI$505,"&lt;="&amp;$A164,実績!$AJ$6:$AJ$505,"&gt;"&amp;$A164,実績!$AL$6:$AL$505,"○")&gt;0,1,0))</f>
        <v>0</v>
      </c>
      <c r="DH164" s="39" t="n">
        <f aca="false">IF(DH$4=0,0,IF(COUNTIFS(実績!$W$6:$W$505,DH$3,実績!$AI$6:$AI$505,"&lt;="&amp;$A164,実績!$AJ$6:$AJ$505,"&gt;"&amp;$A164,実績!$AL$6:$AL$505,"○")&gt;0,1,0))</f>
        <v>0</v>
      </c>
      <c r="DI164" s="39" t="n">
        <f aca="false">IF(DI$4=0,0,IF(COUNTIFS(実績!$W$6:$W$505,DI$3,実績!$AI$6:$AI$505,"&lt;="&amp;$A164,実績!$AJ$6:$AJ$505,"&gt;"&amp;$A164,実績!$AL$6:$AL$505,"○")&gt;0,1,0))</f>
        <v>0</v>
      </c>
      <c r="DJ164" s="39" t="n">
        <f aca="false">IF(DJ$4=0,0,IF(COUNTIFS(実績!$W$6:$W$505,DJ$3,実績!$AI$6:$AI$505,"&lt;="&amp;$A164,実績!$AJ$6:$AJ$505,"&gt;"&amp;$A164,実績!$AL$6:$AL$505,"○")&gt;0,1,0))</f>
        <v>0</v>
      </c>
      <c r="DK164" s="39" t="n">
        <f aca="false">IF(DK$4=0,0,IF(COUNTIFS(実績!$W$6:$W$505,DK$3,実績!$AI$6:$AI$505,"&lt;="&amp;$A164,実績!$AJ$6:$AJ$505,"&gt;"&amp;$A164,実績!$AL$6:$AL$505,"○")&gt;0,1,0))</f>
        <v>0</v>
      </c>
      <c r="DL164" s="39" t="n">
        <f aca="false">IF(DL$4=0,0,IF(COUNTIFS(実績!$W$6:$W$505,DL$3,実績!$AI$6:$AI$505,"&lt;="&amp;$A164,実績!$AJ$6:$AJ$505,"&gt;"&amp;$A164,実績!$AL$6:$AL$505,"○")&gt;0,1,0))</f>
        <v>0</v>
      </c>
      <c r="DM164" s="39" t="n">
        <f aca="false">IF(DM$4=0,0,IF(COUNTIFS(実績!$W$6:$W$505,DM$3,実績!$AI$6:$AI$505,"&lt;="&amp;$A164,実績!$AJ$6:$AJ$505,"&gt;"&amp;$A164,実績!$AL$6:$AL$505,"○")&gt;0,1,0))</f>
        <v>0</v>
      </c>
      <c r="DN164" s="39" t="n">
        <f aca="false">IF(DN$4=0,0,IF(COUNTIFS(実績!$W$6:$W$505,DN$3,実績!$AI$6:$AI$505,"&lt;="&amp;$A164,実績!$AJ$6:$AJ$505,"&gt;"&amp;$A164,実績!$AL$6:$AL$505,"○")&gt;0,1,0))</f>
        <v>0</v>
      </c>
      <c r="DO164" s="39" t="n">
        <f aca="false">IF(DO$4=0,0,IF(COUNTIFS(実績!$W$6:$W$505,DO$3,実績!$AI$6:$AI$505,"&lt;="&amp;$A164,実績!$AJ$6:$AJ$505,"&gt;"&amp;$A164,実績!$AL$6:$AL$505,"○")&gt;0,1,0))</f>
        <v>0</v>
      </c>
      <c r="DP164" s="39" t="n">
        <f aca="false">IF(DP$4=0,0,IF(COUNTIFS(実績!$W$6:$W$505,DP$3,実績!$AI$6:$AI$505,"&lt;="&amp;$A164,実績!$AJ$6:$AJ$505,"&gt;"&amp;$A164,実績!$AL$6:$AL$505,"○")&gt;0,1,0))</f>
        <v>0</v>
      </c>
      <c r="DQ164" s="39" t="n">
        <f aca="false">IF(DQ$4=0,0,IF(COUNTIFS(実績!$W$6:$W$505,DQ$3,実績!$AI$6:$AI$505,"&lt;="&amp;$A164,実績!$AJ$6:$AJ$505,"&gt;"&amp;$A164,実績!$AL$6:$AL$505,"○")&gt;0,1,0))</f>
        <v>0</v>
      </c>
      <c r="DR164" s="39" t="n">
        <f aca="false">IF(DR$4=0,0,IF(COUNTIFS(実績!$W$6:$W$505,DR$3,実績!$AI$6:$AI$505,"&lt;="&amp;$A164,実績!$AJ$6:$AJ$505,"&gt;"&amp;$A164,実績!$AL$6:$AL$505,"○")&gt;0,1,0))</f>
        <v>0</v>
      </c>
      <c r="DS164" s="39" t="n">
        <f aca="false">SUM(C164:DR164)</f>
        <v>0</v>
      </c>
    </row>
    <row r="165" customFormat="false" ht="15" hidden="false" customHeight="false" outlineLevel="0" collapsed="false">
      <c r="A165" s="0" t="n">
        <v>795</v>
      </c>
      <c r="B165" s="38" t="n">
        <f aca="false">A165/1440</f>
        <v>0.552083333333333</v>
      </c>
      <c r="C165" s="39" t="n">
        <f aca="false">IF(C$4=0,0,IF(COUNTIFS(実績!$W$6:$W$505,C$3,実績!$AI$6:$AI$505,"&lt;="&amp;$A165,実績!$AJ$6:$AJ$505,"&gt;"&amp;$A165,実績!$AL$6:$AL$505,"○")&gt;0,1,0))</f>
        <v>0</v>
      </c>
      <c r="D165" s="39" t="n">
        <f aca="false">IF(D$4=0,0,IF(COUNTIFS(実績!$W$6:$W$505,D$3,実績!$AI$6:$AI$505,"&lt;="&amp;$A165,実績!$AJ$6:$AJ$505,"&gt;"&amp;$A165,実績!$AL$6:$AL$505,"○")&gt;0,1,0))</f>
        <v>0</v>
      </c>
      <c r="E165" s="39" t="n">
        <f aca="false">IF(E$4=0,0,IF(COUNTIFS(実績!$W$6:$W$505,E$3,実績!$AI$6:$AI$505,"&lt;="&amp;$A165,実績!$AJ$6:$AJ$505,"&gt;"&amp;$A165,実績!$AL$6:$AL$505,"○")&gt;0,1,0))</f>
        <v>0</v>
      </c>
      <c r="F165" s="39" t="n">
        <f aca="false">IF(F$4=0,0,IF(COUNTIFS(実績!$W$6:$W$505,F$3,実績!$AI$6:$AI$505,"&lt;="&amp;$A165,実績!$AJ$6:$AJ$505,"&gt;"&amp;$A165,実績!$AL$6:$AL$505,"○")&gt;0,1,0))</f>
        <v>0</v>
      </c>
      <c r="G165" s="39" t="n">
        <f aca="false">IF(G$4=0,0,IF(COUNTIFS(実績!$W$6:$W$505,G$3,実績!$AI$6:$AI$505,"&lt;="&amp;$A165,実績!$AJ$6:$AJ$505,"&gt;"&amp;$A165,実績!$AL$6:$AL$505,"○")&gt;0,1,0))</f>
        <v>0</v>
      </c>
      <c r="H165" s="39" t="n">
        <f aca="false">IF(H$4=0,0,IF(COUNTIFS(実績!$W$6:$W$505,H$3,実績!$AI$6:$AI$505,"&lt;="&amp;$A165,実績!$AJ$6:$AJ$505,"&gt;"&amp;$A165,実績!$AL$6:$AL$505,"○")&gt;0,1,0))</f>
        <v>0</v>
      </c>
      <c r="I165" s="39" t="n">
        <f aca="false">IF(I$4=0,0,IF(COUNTIFS(実績!$W$6:$W$505,I$3,実績!$AI$6:$AI$505,"&lt;="&amp;$A165,実績!$AJ$6:$AJ$505,"&gt;"&amp;$A165,実績!$AL$6:$AL$505,"○")&gt;0,1,0))</f>
        <v>0</v>
      </c>
      <c r="J165" s="39" t="n">
        <f aca="false">IF(J$4=0,0,IF(COUNTIFS(実績!$W$6:$W$505,J$3,実績!$AI$6:$AI$505,"&lt;="&amp;$A165,実績!$AJ$6:$AJ$505,"&gt;"&amp;$A165,実績!$AL$6:$AL$505,"○")&gt;0,1,0))</f>
        <v>0</v>
      </c>
      <c r="K165" s="39" t="n">
        <f aca="false">IF(K$4=0,0,IF(COUNTIFS(実績!$W$6:$W$505,K$3,実績!$AI$6:$AI$505,"&lt;="&amp;$A165,実績!$AJ$6:$AJ$505,"&gt;"&amp;$A165,実績!$AL$6:$AL$505,"○")&gt;0,1,0))</f>
        <v>0</v>
      </c>
      <c r="L165" s="39" t="n">
        <f aca="false">IF(L$4=0,0,IF(COUNTIFS(実績!$W$6:$W$505,L$3,実績!$AI$6:$AI$505,"&lt;="&amp;$A165,実績!$AJ$6:$AJ$505,"&gt;"&amp;$A165,実績!$AL$6:$AL$505,"○")&gt;0,1,0))</f>
        <v>0</v>
      </c>
      <c r="M165" s="39" t="n">
        <f aca="false">IF(M$4=0,0,IF(COUNTIFS(実績!$W$6:$W$505,M$3,実績!$AI$6:$AI$505,"&lt;="&amp;$A165,実績!$AJ$6:$AJ$505,"&gt;"&amp;$A165,実績!$AL$6:$AL$505,"○")&gt;0,1,0))</f>
        <v>0</v>
      </c>
      <c r="N165" s="39" t="n">
        <f aca="false">IF(N$4=0,0,IF(COUNTIFS(実績!$W$6:$W$505,N$3,実績!$AI$6:$AI$505,"&lt;="&amp;$A165,実績!$AJ$6:$AJ$505,"&gt;"&amp;$A165,実績!$AL$6:$AL$505,"○")&gt;0,1,0))</f>
        <v>0</v>
      </c>
      <c r="O165" s="39" t="n">
        <f aca="false">IF(O$4=0,0,IF(COUNTIFS(実績!$W$6:$W$505,O$3,実績!$AI$6:$AI$505,"&lt;="&amp;$A165,実績!$AJ$6:$AJ$505,"&gt;"&amp;$A165,実績!$AL$6:$AL$505,"○")&gt;0,1,0))</f>
        <v>0</v>
      </c>
      <c r="P165" s="39" t="n">
        <f aca="false">IF(P$4=0,0,IF(COUNTIFS(実績!$W$6:$W$505,P$3,実績!$AI$6:$AI$505,"&lt;="&amp;$A165,実績!$AJ$6:$AJ$505,"&gt;"&amp;$A165,実績!$AL$6:$AL$505,"○")&gt;0,1,0))</f>
        <v>0</v>
      </c>
      <c r="Q165" s="39" t="n">
        <f aca="false">IF(Q$4=0,0,IF(COUNTIFS(実績!$W$6:$W$505,Q$3,実績!$AI$6:$AI$505,"&lt;="&amp;$A165,実績!$AJ$6:$AJ$505,"&gt;"&amp;$A165,実績!$AL$6:$AL$505,"○")&gt;0,1,0))</f>
        <v>0</v>
      </c>
      <c r="R165" s="39" t="n">
        <f aca="false">IF(R$4=0,0,IF(COUNTIFS(実績!$W$6:$W$505,R$3,実績!$AI$6:$AI$505,"&lt;="&amp;$A165,実績!$AJ$6:$AJ$505,"&gt;"&amp;$A165,実績!$AL$6:$AL$505,"○")&gt;0,1,0))</f>
        <v>0</v>
      </c>
      <c r="S165" s="39" t="n">
        <f aca="false">IF(S$4=0,0,IF(COUNTIFS(実績!$W$6:$W$505,S$3,実績!$AI$6:$AI$505,"&lt;="&amp;$A165,実績!$AJ$6:$AJ$505,"&gt;"&amp;$A165,実績!$AL$6:$AL$505,"○")&gt;0,1,0))</f>
        <v>0</v>
      </c>
      <c r="T165" s="39" t="n">
        <f aca="false">IF(T$4=0,0,IF(COUNTIFS(実績!$W$6:$W$505,T$3,実績!$AI$6:$AI$505,"&lt;="&amp;$A165,実績!$AJ$6:$AJ$505,"&gt;"&amp;$A165,実績!$AL$6:$AL$505,"○")&gt;0,1,0))</f>
        <v>0</v>
      </c>
      <c r="U165" s="39" t="n">
        <f aca="false">IF(U$4=0,0,IF(COUNTIFS(実績!$W$6:$W$505,U$3,実績!$AI$6:$AI$505,"&lt;="&amp;$A165,実績!$AJ$6:$AJ$505,"&gt;"&amp;$A165,実績!$AL$6:$AL$505,"○")&gt;0,1,0))</f>
        <v>0</v>
      </c>
      <c r="V165" s="39" t="n">
        <f aca="false">IF(V$4=0,0,IF(COUNTIFS(実績!$W$6:$W$505,V$3,実績!$AI$6:$AI$505,"&lt;="&amp;$A165,実績!$AJ$6:$AJ$505,"&gt;"&amp;$A165,実績!$AL$6:$AL$505,"○")&gt;0,1,0))</f>
        <v>0</v>
      </c>
      <c r="W165" s="39" t="n">
        <f aca="false">IF(W$4=0,0,IF(COUNTIFS(実績!$W$6:$W$505,W$3,実績!$AI$6:$AI$505,"&lt;="&amp;$A165,実績!$AJ$6:$AJ$505,"&gt;"&amp;$A165,実績!$AL$6:$AL$505,"○")&gt;0,1,0))</f>
        <v>0</v>
      </c>
      <c r="X165" s="39" t="n">
        <f aca="false">IF(X$4=0,0,IF(COUNTIFS(実績!$W$6:$W$505,X$3,実績!$AI$6:$AI$505,"&lt;="&amp;$A165,実績!$AJ$6:$AJ$505,"&gt;"&amp;$A165,実績!$AL$6:$AL$505,"○")&gt;0,1,0))</f>
        <v>0</v>
      </c>
      <c r="Y165" s="39" t="n">
        <f aca="false">IF(Y$4=0,0,IF(COUNTIFS(実績!$W$6:$W$505,Y$3,実績!$AI$6:$AI$505,"&lt;="&amp;$A165,実績!$AJ$6:$AJ$505,"&gt;"&amp;$A165,実績!$AL$6:$AL$505,"○")&gt;0,1,0))</f>
        <v>0</v>
      </c>
      <c r="Z165" s="39" t="n">
        <f aca="false">IF(Z$4=0,0,IF(COUNTIFS(実績!$W$6:$W$505,Z$3,実績!$AI$6:$AI$505,"&lt;="&amp;$A165,実績!$AJ$6:$AJ$505,"&gt;"&amp;$A165,実績!$AL$6:$AL$505,"○")&gt;0,1,0))</f>
        <v>0</v>
      </c>
      <c r="AA165" s="39" t="n">
        <f aca="false">IF(AA$4=0,0,IF(COUNTIFS(実績!$W$6:$W$505,AA$3,実績!$AI$6:$AI$505,"&lt;="&amp;$A165,実績!$AJ$6:$AJ$505,"&gt;"&amp;$A165,実績!$AL$6:$AL$505,"○")&gt;0,1,0))</f>
        <v>0</v>
      </c>
      <c r="AB165" s="39" t="n">
        <f aca="false">IF(AB$4=0,0,IF(COUNTIFS(実績!$W$6:$W$505,AB$3,実績!$AI$6:$AI$505,"&lt;="&amp;$A165,実績!$AJ$6:$AJ$505,"&gt;"&amp;$A165,実績!$AL$6:$AL$505,"○")&gt;0,1,0))</f>
        <v>0</v>
      </c>
      <c r="AC165" s="39" t="n">
        <f aca="false">IF(AC$4=0,0,IF(COUNTIFS(実績!$W$6:$W$505,AC$3,実績!$AI$6:$AI$505,"&lt;="&amp;$A165,実績!$AJ$6:$AJ$505,"&gt;"&amp;$A165,実績!$AL$6:$AL$505,"○")&gt;0,1,0))</f>
        <v>0</v>
      </c>
      <c r="AD165" s="39" t="n">
        <f aca="false">IF(AD$4=0,0,IF(COUNTIFS(実績!$W$6:$W$505,AD$3,実績!$AI$6:$AI$505,"&lt;="&amp;$A165,実績!$AJ$6:$AJ$505,"&gt;"&amp;$A165,実績!$AL$6:$AL$505,"○")&gt;0,1,0))</f>
        <v>0</v>
      </c>
      <c r="AE165" s="39" t="n">
        <f aca="false">IF(AE$4=0,0,IF(COUNTIFS(実績!$W$6:$W$505,AE$3,実績!$AI$6:$AI$505,"&lt;="&amp;$A165,実績!$AJ$6:$AJ$505,"&gt;"&amp;$A165,実績!$AL$6:$AL$505,"○")&gt;0,1,0))</f>
        <v>0</v>
      </c>
      <c r="AF165" s="39" t="n">
        <f aca="false">IF(AF$4=0,0,IF(COUNTIFS(実績!$W$6:$W$505,AF$3,実績!$AI$6:$AI$505,"&lt;="&amp;$A165,実績!$AJ$6:$AJ$505,"&gt;"&amp;$A165,実績!$AL$6:$AL$505,"○")&gt;0,1,0))</f>
        <v>0</v>
      </c>
      <c r="AG165" s="39" t="n">
        <f aca="false">IF(AG$4=0,0,IF(COUNTIFS(実績!$W$6:$W$505,AG$3,実績!$AI$6:$AI$505,"&lt;="&amp;$A165,実績!$AJ$6:$AJ$505,"&gt;"&amp;$A165,実績!$AL$6:$AL$505,"○")&gt;0,1,0))</f>
        <v>0</v>
      </c>
      <c r="AH165" s="39" t="n">
        <f aca="false">IF(AH$4=0,0,IF(COUNTIFS(実績!$W$6:$W$505,AH$3,実績!$AI$6:$AI$505,"&lt;="&amp;$A165,実績!$AJ$6:$AJ$505,"&gt;"&amp;$A165,実績!$AL$6:$AL$505,"○")&gt;0,1,0))</f>
        <v>0</v>
      </c>
      <c r="AI165" s="39" t="n">
        <f aca="false">IF(AI$4=0,0,IF(COUNTIFS(実績!$W$6:$W$505,AI$3,実績!$AI$6:$AI$505,"&lt;="&amp;$A165,実績!$AJ$6:$AJ$505,"&gt;"&amp;$A165,実績!$AL$6:$AL$505,"○")&gt;0,1,0))</f>
        <v>0</v>
      </c>
      <c r="AJ165" s="39" t="n">
        <f aca="false">IF(AJ$4=0,0,IF(COUNTIFS(実績!$W$6:$W$505,AJ$3,実績!$AI$6:$AI$505,"&lt;="&amp;$A165,実績!$AJ$6:$AJ$505,"&gt;"&amp;$A165,実績!$AL$6:$AL$505,"○")&gt;0,1,0))</f>
        <v>0</v>
      </c>
      <c r="AK165" s="39" t="n">
        <f aca="false">IF(AK$4=0,0,IF(COUNTIFS(実績!$W$6:$W$505,AK$3,実績!$AI$6:$AI$505,"&lt;="&amp;$A165,実績!$AJ$6:$AJ$505,"&gt;"&amp;$A165,実績!$AL$6:$AL$505,"○")&gt;0,1,0))</f>
        <v>0</v>
      </c>
      <c r="AL165" s="39" t="n">
        <f aca="false">IF(AL$4=0,0,IF(COUNTIFS(実績!$W$6:$W$505,AL$3,実績!$AI$6:$AI$505,"&lt;="&amp;$A165,実績!$AJ$6:$AJ$505,"&gt;"&amp;$A165,実績!$AL$6:$AL$505,"○")&gt;0,1,0))</f>
        <v>0</v>
      </c>
      <c r="AM165" s="39" t="n">
        <f aca="false">IF(AM$4=0,0,IF(COUNTIFS(実績!$W$6:$W$505,AM$3,実績!$AI$6:$AI$505,"&lt;="&amp;$A165,実績!$AJ$6:$AJ$505,"&gt;"&amp;$A165,実績!$AL$6:$AL$505,"○")&gt;0,1,0))</f>
        <v>0</v>
      </c>
      <c r="AN165" s="39" t="n">
        <f aca="false">IF(AN$4=0,0,IF(COUNTIFS(実績!$W$6:$W$505,AN$3,実績!$AI$6:$AI$505,"&lt;="&amp;$A165,実績!$AJ$6:$AJ$505,"&gt;"&amp;$A165,実績!$AL$6:$AL$505,"○")&gt;0,1,0))</f>
        <v>0</v>
      </c>
      <c r="AO165" s="39" t="n">
        <f aca="false">IF(AO$4=0,0,IF(COUNTIFS(実績!$W$6:$W$505,AO$3,実績!$AI$6:$AI$505,"&lt;="&amp;$A165,実績!$AJ$6:$AJ$505,"&gt;"&amp;$A165,実績!$AL$6:$AL$505,"○")&gt;0,1,0))</f>
        <v>0</v>
      </c>
      <c r="AP165" s="39" t="n">
        <f aca="false">IF(AP$4=0,0,IF(COUNTIFS(実績!$W$6:$W$505,AP$3,実績!$AI$6:$AI$505,"&lt;="&amp;$A165,実績!$AJ$6:$AJ$505,"&gt;"&amp;$A165,実績!$AL$6:$AL$505,"○")&gt;0,1,0))</f>
        <v>0</v>
      </c>
      <c r="AQ165" s="39" t="n">
        <f aca="false">IF(AQ$4=0,0,IF(COUNTIFS(実績!$W$6:$W$505,AQ$3,実績!$AI$6:$AI$505,"&lt;="&amp;$A165,実績!$AJ$6:$AJ$505,"&gt;"&amp;$A165,実績!$AL$6:$AL$505,"○")&gt;0,1,0))</f>
        <v>0</v>
      </c>
      <c r="AR165" s="39" t="n">
        <f aca="false">IF(AR$4=0,0,IF(COUNTIFS(実績!$W$6:$W$505,AR$3,実績!$AI$6:$AI$505,"&lt;="&amp;$A165,実績!$AJ$6:$AJ$505,"&gt;"&amp;$A165,実績!$AL$6:$AL$505,"○")&gt;0,1,0))</f>
        <v>0</v>
      </c>
      <c r="AS165" s="39" t="n">
        <f aca="false">IF(AS$4=0,0,IF(COUNTIFS(実績!$W$6:$W$505,AS$3,実績!$AI$6:$AI$505,"&lt;="&amp;$A165,実績!$AJ$6:$AJ$505,"&gt;"&amp;$A165,実績!$AL$6:$AL$505,"○")&gt;0,1,0))</f>
        <v>0</v>
      </c>
      <c r="AT165" s="39" t="n">
        <f aca="false">IF(AT$4=0,0,IF(COUNTIFS(実績!$W$6:$W$505,AT$3,実績!$AI$6:$AI$505,"&lt;="&amp;$A165,実績!$AJ$6:$AJ$505,"&gt;"&amp;$A165,実績!$AL$6:$AL$505,"○")&gt;0,1,0))</f>
        <v>0</v>
      </c>
      <c r="AU165" s="39" t="n">
        <f aca="false">IF(AU$4=0,0,IF(COUNTIFS(実績!$W$6:$W$505,AU$3,実績!$AI$6:$AI$505,"&lt;="&amp;$A165,実績!$AJ$6:$AJ$505,"&gt;"&amp;$A165,実績!$AL$6:$AL$505,"○")&gt;0,1,0))</f>
        <v>0</v>
      </c>
      <c r="AV165" s="39" t="n">
        <f aca="false">IF(AV$4=0,0,IF(COUNTIFS(実績!$W$6:$W$505,AV$3,実績!$AI$6:$AI$505,"&lt;="&amp;$A165,実績!$AJ$6:$AJ$505,"&gt;"&amp;$A165,実績!$AL$6:$AL$505,"○")&gt;0,1,0))</f>
        <v>0</v>
      </c>
      <c r="AW165" s="39" t="n">
        <f aca="false">IF(AW$4=0,0,IF(COUNTIFS(実績!$W$6:$W$505,AW$3,実績!$AI$6:$AI$505,"&lt;="&amp;$A165,実績!$AJ$6:$AJ$505,"&gt;"&amp;$A165,実績!$AL$6:$AL$505,"○")&gt;0,1,0))</f>
        <v>0</v>
      </c>
      <c r="AX165" s="39" t="n">
        <f aca="false">IF(AX$4=0,0,IF(COUNTIFS(実績!$W$6:$W$505,AX$3,実績!$AI$6:$AI$505,"&lt;="&amp;$A165,実績!$AJ$6:$AJ$505,"&gt;"&amp;$A165,実績!$AL$6:$AL$505,"○")&gt;0,1,0))</f>
        <v>0</v>
      </c>
      <c r="AY165" s="39" t="n">
        <f aca="false">IF(AY$4=0,0,IF(COUNTIFS(実績!$W$6:$W$505,AY$3,実績!$AI$6:$AI$505,"&lt;="&amp;$A165,実績!$AJ$6:$AJ$505,"&gt;"&amp;$A165,実績!$AL$6:$AL$505,"○")&gt;0,1,0))</f>
        <v>0</v>
      </c>
      <c r="AZ165" s="39" t="n">
        <f aca="false">IF(AZ$4=0,0,IF(COUNTIFS(実績!$W$6:$W$505,AZ$3,実績!$AI$6:$AI$505,"&lt;="&amp;$A165,実績!$AJ$6:$AJ$505,"&gt;"&amp;$A165,実績!$AL$6:$AL$505,"○")&gt;0,1,0))</f>
        <v>0</v>
      </c>
      <c r="BA165" s="39" t="n">
        <f aca="false">IF(BA$4=0,0,IF(COUNTIFS(実績!$W$6:$W$505,BA$3,実績!$AI$6:$AI$505,"&lt;="&amp;$A165,実績!$AJ$6:$AJ$505,"&gt;"&amp;$A165,実績!$AL$6:$AL$505,"○")&gt;0,1,0))</f>
        <v>0</v>
      </c>
      <c r="BB165" s="39" t="n">
        <f aca="false">IF(BB$4=0,0,IF(COUNTIFS(実績!$W$6:$W$505,BB$3,実績!$AI$6:$AI$505,"&lt;="&amp;$A165,実績!$AJ$6:$AJ$505,"&gt;"&amp;$A165,実績!$AL$6:$AL$505,"○")&gt;0,1,0))</f>
        <v>0</v>
      </c>
      <c r="BC165" s="39" t="n">
        <f aca="false">IF(BC$4=0,0,IF(COUNTIFS(実績!$W$6:$W$505,BC$3,実績!$AI$6:$AI$505,"&lt;="&amp;$A165,実績!$AJ$6:$AJ$505,"&gt;"&amp;$A165,実績!$AL$6:$AL$505,"○")&gt;0,1,0))</f>
        <v>0</v>
      </c>
      <c r="BD165" s="39" t="n">
        <f aca="false">IF(BD$4=0,0,IF(COUNTIFS(実績!$W$6:$W$505,BD$3,実績!$AI$6:$AI$505,"&lt;="&amp;$A165,実績!$AJ$6:$AJ$505,"&gt;"&amp;$A165,実績!$AL$6:$AL$505,"○")&gt;0,1,0))</f>
        <v>0</v>
      </c>
      <c r="BE165" s="39" t="n">
        <f aca="false">IF(BE$4=0,0,IF(COUNTIFS(実績!$W$6:$W$505,BE$3,実績!$AI$6:$AI$505,"&lt;="&amp;$A165,実績!$AJ$6:$AJ$505,"&gt;"&amp;$A165,実績!$AL$6:$AL$505,"○")&gt;0,1,0))</f>
        <v>0</v>
      </c>
      <c r="BF165" s="39" t="n">
        <f aca="false">IF(BF$4=0,0,IF(COUNTIFS(実績!$W$6:$W$505,BF$3,実績!$AI$6:$AI$505,"&lt;="&amp;$A165,実績!$AJ$6:$AJ$505,"&gt;"&amp;$A165,実績!$AL$6:$AL$505,"○")&gt;0,1,0))</f>
        <v>0</v>
      </c>
      <c r="BG165" s="39" t="n">
        <f aca="false">IF(BG$4=0,0,IF(COUNTIFS(実績!$W$6:$W$505,BG$3,実績!$AI$6:$AI$505,"&lt;="&amp;$A165,実績!$AJ$6:$AJ$505,"&gt;"&amp;$A165,実績!$AL$6:$AL$505,"○")&gt;0,1,0))</f>
        <v>0</v>
      </c>
      <c r="BH165" s="39" t="n">
        <f aca="false">IF(BH$4=0,0,IF(COUNTIFS(実績!$W$6:$W$505,BH$3,実績!$AI$6:$AI$505,"&lt;="&amp;$A165,実績!$AJ$6:$AJ$505,"&gt;"&amp;$A165,実績!$AL$6:$AL$505,"○")&gt;0,1,0))</f>
        <v>0</v>
      </c>
      <c r="BI165" s="39" t="n">
        <f aca="false">IF(BI$4=0,0,IF(COUNTIFS(実績!$W$6:$W$505,BI$3,実績!$AI$6:$AI$505,"&lt;="&amp;$A165,実績!$AJ$6:$AJ$505,"&gt;"&amp;$A165,実績!$AL$6:$AL$505,"○")&gt;0,1,0))</f>
        <v>0</v>
      </c>
      <c r="BJ165" s="39" t="n">
        <f aca="false">IF(BJ$4=0,0,IF(COUNTIFS(実績!$W$6:$W$505,BJ$3,実績!$AI$6:$AI$505,"&lt;="&amp;$A165,実績!$AJ$6:$AJ$505,"&gt;"&amp;$A165,実績!$AL$6:$AL$505,"○")&gt;0,1,0))</f>
        <v>0</v>
      </c>
      <c r="BK165" s="39" t="n">
        <f aca="false">IF(BK$4=0,0,IF(COUNTIFS(実績!$W$6:$W$505,BK$3,実績!$AI$6:$AI$505,"&lt;="&amp;$A165,実績!$AJ$6:$AJ$505,"&gt;"&amp;$A165,実績!$AL$6:$AL$505,"○")&gt;0,1,0))</f>
        <v>0</v>
      </c>
      <c r="BL165" s="39" t="n">
        <f aca="false">IF(BL$4=0,0,IF(COUNTIFS(実績!$W$6:$W$505,BL$3,実績!$AI$6:$AI$505,"&lt;="&amp;$A165,実績!$AJ$6:$AJ$505,"&gt;"&amp;$A165,実績!$AL$6:$AL$505,"○")&gt;0,1,0))</f>
        <v>0</v>
      </c>
      <c r="BM165" s="39" t="n">
        <f aca="false">IF(BM$4=0,0,IF(COUNTIFS(実績!$W$6:$W$505,BM$3,実績!$AI$6:$AI$505,"&lt;="&amp;$A165,実績!$AJ$6:$AJ$505,"&gt;"&amp;$A165,実績!$AL$6:$AL$505,"○")&gt;0,1,0))</f>
        <v>0</v>
      </c>
      <c r="BN165" s="39" t="n">
        <f aca="false">IF(BN$4=0,0,IF(COUNTIFS(実績!$W$6:$W$505,BN$3,実績!$AI$6:$AI$505,"&lt;="&amp;$A165,実績!$AJ$6:$AJ$505,"&gt;"&amp;$A165,実績!$AL$6:$AL$505,"○")&gt;0,1,0))</f>
        <v>0</v>
      </c>
      <c r="BO165" s="39" t="n">
        <f aca="false">IF(BO$4=0,0,IF(COUNTIFS(実績!$W$6:$W$505,BO$3,実績!$AI$6:$AI$505,"&lt;="&amp;$A165,実績!$AJ$6:$AJ$505,"&gt;"&amp;$A165,実績!$AL$6:$AL$505,"○")&gt;0,1,0))</f>
        <v>0</v>
      </c>
      <c r="BP165" s="39" t="n">
        <f aca="false">IF(BP$4=0,0,IF(COUNTIFS(実績!$W$6:$W$505,BP$3,実績!$AI$6:$AI$505,"&lt;="&amp;$A165,実績!$AJ$6:$AJ$505,"&gt;"&amp;$A165,実績!$AL$6:$AL$505,"○")&gt;0,1,0))</f>
        <v>0</v>
      </c>
      <c r="BQ165" s="39" t="n">
        <f aca="false">IF(BQ$4=0,0,IF(COUNTIFS(実績!$W$6:$W$505,BQ$3,実績!$AI$6:$AI$505,"&lt;="&amp;$A165,実績!$AJ$6:$AJ$505,"&gt;"&amp;$A165,実績!$AL$6:$AL$505,"○")&gt;0,1,0))</f>
        <v>0</v>
      </c>
      <c r="BR165" s="39" t="n">
        <f aca="false">IF(BR$4=0,0,IF(COUNTIFS(実績!$W$6:$W$505,BR$3,実績!$AI$6:$AI$505,"&lt;="&amp;$A165,実績!$AJ$6:$AJ$505,"&gt;"&amp;$A165,実績!$AL$6:$AL$505,"○")&gt;0,1,0))</f>
        <v>0</v>
      </c>
      <c r="BS165" s="39" t="n">
        <f aca="false">IF(BS$4=0,0,IF(COUNTIFS(実績!$W$6:$W$505,BS$3,実績!$AI$6:$AI$505,"&lt;="&amp;$A165,実績!$AJ$6:$AJ$505,"&gt;"&amp;$A165,実績!$AL$6:$AL$505,"○")&gt;0,1,0))</f>
        <v>0</v>
      </c>
      <c r="BT165" s="39" t="n">
        <f aca="false">IF(BT$4=0,0,IF(COUNTIFS(実績!$W$6:$W$505,BT$3,実績!$AI$6:$AI$505,"&lt;="&amp;$A165,実績!$AJ$6:$AJ$505,"&gt;"&amp;$A165,実績!$AL$6:$AL$505,"○")&gt;0,1,0))</f>
        <v>0</v>
      </c>
      <c r="BU165" s="39" t="n">
        <f aca="false">IF(BU$4=0,0,IF(COUNTIFS(実績!$W$6:$W$505,BU$3,実績!$AI$6:$AI$505,"&lt;="&amp;$A165,実績!$AJ$6:$AJ$505,"&gt;"&amp;$A165,実績!$AL$6:$AL$505,"○")&gt;0,1,0))</f>
        <v>0</v>
      </c>
      <c r="BV165" s="39" t="n">
        <f aca="false">IF(BV$4=0,0,IF(COUNTIFS(実績!$W$6:$W$505,BV$3,実績!$AI$6:$AI$505,"&lt;="&amp;$A165,実績!$AJ$6:$AJ$505,"&gt;"&amp;$A165,実績!$AL$6:$AL$505,"○")&gt;0,1,0))</f>
        <v>0</v>
      </c>
      <c r="BW165" s="39" t="n">
        <f aca="false">IF(BW$4=0,0,IF(COUNTIFS(実績!$W$6:$W$505,BW$3,実績!$AI$6:$AI$505,"&lt;="&amp;$A165,実績!$AJ$6:$AJ$505,"&gt;"&amp;$A165,実績!$AL$6:$AL$505,"○")&gt;0,1,0))</f>
        <v>0</v>
      </c>
      <c r="BX165" s="39" t="n">
        <f aca="false">IF(BX$4=0,0,IF(COUNTIFS(実績!$W$6:$W$505,BX$3,実績!$AI$6:$AI$505,"&lt;="&amp;$A165,実績!$AJ$6:$AJ$505,"&gt;"&amp;$A165,実績!$AL$6:$AL$505,"○")&gt;0,1,0))</f>
        <v>0</v>
      </c>
      <c r="BY165" s="39" t="n">
        <f aca="false">IF(BY$4=0,0,IF(COUNTIFS(実績!$W$6:$W$505,BY$3,実績!$AI$6:$AI$505,"&lt;="&amp;$A165,実績!$AJ$6:$AJ$505,"&gt;"&amp;$A165,実績!$AL$6:$AL$505,"○")&gt;0,1,0))</f>
        <v>0</v>
      </c>
      <c r="BZ165" s="39" t="n">
        <f aca="false">IF(BZ$4=0,0,IF(COUNTIFS(実績!$W$6:$W$505,BZ$3,実績!$AI$6:$AI$505,"&lt;="&amp;$A165,実績!$AJ$6:$AJ$505,"&gt;"&amp;$A165,実績!$AL$6:$AL$505,"○")&gt;0,1,0))</f>
        <v>0</v>
      </c>
      <c r="CA165" s="39" t="n">
        <f aca="false">IF(CA$4=0,0,IF(COUNTIFS(実績!$W$6:$W$505,CA$3,実績!$AI$6:$AI$505,"&lt;="&amp;$A165,実績!$AJ$6:$AJ$505,"&gt;"&amp;$A165,実績!$AL$6:$AL$505,"○")&gt;0,1,0))</f>
        <v>0</v>
      </c>
      <c r="CB165" s="39" t="n">
        <f aca="false">IF(CB$4=0,0,IF(COUNTIFS(実績!$W$6:$W$505,CB$3,実績!$AI$6:$AI$505,"&lt;="&amp;$A165,実績!$AJ$6:$AJ$505,"&gt;"&amp;$A165,実績!$AL$6:$AL$505,"○")&gt;0,1,0))</f>
        <v>0</v>
      </c>
      <c r="CC165" s="39" t="n">
        <f aca="false">IF(CC$4=0,0,IF(COUNTIFS(実績!$W$6:$W$505,CC$3,実績!$AI$6:$AI$505,"&lt;="&amp;$A165,実績!$AJ$6:$AJ$505,"&gt;"&amp;$A165,実績!$AL$6:$AL$505,"○")&gt;0,1,0))</f>
        <v>0</v>
      </c>
      <c r="CD165" s="39" t="n">
        <f aca="false">IF(CD$4=0,0,IF(COUNTIFS(実績!$W$6:$W$505,CD$3,実績!$AI$6:$AI$505,"&lt;="&amp;$A165,実績!$AJ$6:$AJ$505,"&gt;"&amp;$A165,実績!$AL$6:$AL$505,"○")&gt;0,1,0))</f>
        <v>0</v>
      </c>
      <c r="CE165" s="39" t="n">
        <f aca="false">IF(CE$4=0,0,IF(COUNTIFS(実績!$W$6:$W$505,CE$3,実績!$AI$6:$AI$505,"&lt;="&amp;$A165,実績!$AJ$6:$AJ$505,"&gt;"&amp;$A165,実績!$AL$6:$AL$505,"○")&gt;0,1,0))</f>
        <v>0</v>
      </c>
      <c r="CF165" s="39" t="n">
        <f aca="false">IF(CF$4=0,0,IF(COUNTIFS(実績!$W$6:$W$505,CF$3,実績!$AI$6:$AI$505,"&lt;="&amp;$A165,実績!$AJ$6:$AJ$505,"&gt;"&amp;$A165,実績!$AL$6:$AL$505,"○")&gt;0,1,0))</f>
        <v>0</v>
      </c>
      <c r="CG165" s="39" t="n">
        <f aca="false">IF(CG$4=0,0,IF(COUNTIFS(実績!$W$6:$W$505,CG$3,実績!$AI$6:$AI$505,"&lt;="&amp;$A165,実績!$AJ$6:$AJ$505,"&gt;"&amp;$A165,実績!$AL$6:$AL$505,"○")&gt;0,1,0))</f>
        <v>0</v>
      </c>
      <c r="CH165" s="39" t="n">
        <f aca="false">IF(CH$4=0,0,IF(COUNTIFS(実績!$W$6:$W$505,CH$3,実績!$AI$6:$AI$505,"&lt;="&amp;$A165,実績!$AJ$6:$AJ$505,"&gt;"&amp;$A165,実績!$AL$6:$AL$505,"○")&gt;0,1,0))</f>
        <v>0</v>
      </c>
      <c r="CI165" s="39" t="n">
        <f aca="false">IF(CI$4=0,0,IF(COUNTIFS(実績!$W$6:$W$505,CI$3,実績!$AI$6:$AI$505,"&lt;="&amp;$A165,実績!$AJ$6:$AJ$505,"&gt;"&amp;$A165,実績!$AL$6:$AL$505,"○")&gt;0,1,0))</f>
        <v>0</v>
      </c>
      <c r="CJ165" s="39" t="n">
        <f aca="false">IF(CJ$4=0,0,IF(COUNTIFS(実績!$W$6:$W$505,CJ$3,実績!$AI$6:$AI$505,"&lt;="&amp;$A165,実績!$AJ$6:$AJ$505,"&gt;"&amp;$A165,実績!$AL$6:$AL$505,"○")&gt;0,1,0))</f>
        <v>0</v>
      </c>
      <c r="CK165" s="39" t="n">
        <f aca="false">IF(CK$4=0,0,IF(COUNTIFS(実績!$W$6:$W$505,CK$3,実績!$AI$6:$AI$505,"&lt;="&amp;$A165,実績!$AJ$6:$AJ$505,"&gt;"&amp;$A165,実績!$AL$6:$AL$505,"○")&gt;0,1,0))</f>
        <v>0</v>
      </c>
      <c r="CL165" s="39" t="n">
        <f aca="false">IF(CL$4=0,0,IF(COUNTIFS(実績!$W$6:$W$505,CL$3,実績!$AI$6:$AI$505,"&lt;="&amp;$A165,実績!$AJ$6:$AJ$505,"&gt;"&amp;$A165,実績!$AL$6:$AL$505,"○")&gt;0,1,0))</f>
        <v>0</v>
      </c>
      <c r="CM165" s="39" t="n">
        <f aca="false">IF(CM$4=0,0,IF(COUNTIFS(実績!$W$6:$W$505,CM$3,実績!$AI$6:$AI$505,"&lt;="&amp;$A165,実績!$AJ$6:$AJ$505,"&gt;"&amp;$A165,実績!$AL$6:$AL$505,"○")&gt;0,1,0))</f>
        <v>0</v>
      </c>
      <c r="CN165" s="39" t="n">
        <f aca="false">IF(CN$4=0,0,IF(COUNTIFS(実績!$W$6:$W$505,CN$3,実績!$AI$6:$AI$505,"&lt;="&amp;$A165,実績!$AJ$6:$AJ$505,"&gt;"&amp;$A165,実績!$AL$6:$AL$505,"○")&gt;0,1,0))</f>
        <v>0</v>
      </c>
      <c r="CO165" s="39" t="n">
        <f aca="false">IF(CO$4=0,0,IF(COUNTIFS(実績!$W$6:$W$505,CO$3,実績!$AI$6:$AI$505,"&lt;="&amp;$A165,実績!$AJ$6:$AJ$505,"&gt;"&amp;$A165,実績!$AL$6:$AL$505,"○")&gt;0,1,0))</f>
        <v>0</v>
      </c>
      <c r="CP165" s="39" t="n">
        <f aca="false">IF(CP$4=0,0,IF(COUNTIFS(実績!$W$6:$W$505,CP$3,実績!$AI$6:$AI$505,"&lt;="&amp;$A165,実績!$AJ$6:$AJ$505,"&gt;"&amp;$A165,実績!$AL$6:$AL$505,"○")&gt;0,1,0))</f>
        <v>0</v>
      </c>
      <c r="CQ165" s="39" t="n">
        <f aca="false">IF(CQ$4=0,0,IF(COUNTIFS(実績!$W$6:$W$505,CQ$3,実績!$AI$6:$AI$505,"&lt;="&amp;$A165,実績!$AJ$6:$AJ$505,"&gt;"&amp;$A165,実績!$AL$6:$AL$505,"○")&gt;0,1,0))</f>
        <v>0</v>
      </c>
      <c r="CR165" s="39" t="n">
        <f aca="false">IF(CR$4=0,0,IF(COUNTIFS(実績!$W$6:$W$505,CR$3,実績!$AI$6:$AI$505,"&lt;="&amp;$A165,実績!$AJ$6:$AJ$505,"&gt;"&amp;$A165,実績!$AL$6:$AL$505,"○")&gt;0,1,0))</f>
        <v>0</v>
      </c>
      <c r="CS165" s="39" t="n">
        <f aca="false">IF(CS$4=0,0,IF(COUNTIFS(実績!$W$6:$W$505,CS$3,実績!$AI$6:$AI$505,"&lt;="&amp;$A165,実績!$AJ$6:$AJ$505,"&gt;"&amp;$A165,実績!$AL$6:$AL$505,"○")&gt;0,1,0))</f>
        <v>0</v>
      </c>
      <c r="CT165" s="39" t="n">
        <f aca="false">IF(CT$4=0,0,IF(COUNTIFS(実績!$W$6:$W$505,CT$3,実績!$AI$6:$AI$505,"&lt;="&amp;$A165,実績!$AJ$6:$AJ$505,"&gt;"&amp;$A165,実績!$AL$6:$AL$505,"○")&gt;0,1,0))</f>
        <v>0</v>
      </c>
      <c r="CU165" s="39" t="n">
        <f aca="false">IF(CU$4=0,0,IF(COUNTIFS(実績!$W$6:$W$505,CU$3,実績!$AI$6:$AI$505,"&lt;="&amp;$A165,実績!$AJ$6:$AJ$505,"&gt;"&amp;$A165,実績!$AL$6:$AL$505,"○")&gt;0,1,0))</f>
        <v>0</v>
      </c>
      <c r="CV165" s="39" t="n">
        <f aca="false">IF(CV$4=0,0,IF(COUNTIFS(実績!$W$6:$W$505,CV$3,実績!$AI$6:$AI$505,"&lt;="&amp;$A165,実績!$AJ$6:$AJ$505,"&gt;"&amp;$A165,実績!$AL$6:$AL$505,"○")&gt;0,1,0))</f>
        <v>0</v>
      </c>
      <c r="CW165" s="39" t="n">
        <f aca="false">IF(CW$4=0,0,IF(COUNTIFS(実績!$W$6:$W$505,CW$3,実績!$AI$6:$AI$505,"&lt;="&amp;$A165,実績!$AJ$6:$AJ$505,"&gt;"&amp;$A165,実績!$AL$6:$AL$505,"○")&gt;0,1,0))</f>
        <v>0</v>
      </c>
      <c r="CX165" s="39" t="n">
        <f aca="false">IF(CX$4=0,0,IF(COUNTIFS(実績!$W$6:$W$505,CX$3,実績!$AI$6:$AI$505,"&lt;="&amp;$A165,実績!$AJ$6:$AJ$505,"&gt;"&amp;$A165,実績!$AL$6:$AL$505,"○")&gt;0,1,0))</f>
        <v>0</v>
      </c>
      <c r="CY165" s="39" t="n">
        <f aca="false">IF(CY$4=0,0,IF(COUNTIFS(実績!$W$6:$W$505,CY$3,実績!$AI$6:$AI$505,"&lt;="&amp;$A165,実績!$AJ$6:$AJ$505,"&gt;"&amp;$A165,実績!$AL$6:$AL$505,"○")&gt;0,1,0))</f>
        <v>0</v>
      </c>
      <c r="CZ165" s="39" t="n">
        <f aca="false">IF(CZ$4=0,0,IF(COUNTIFS(実績!$W$6:$W$505,CZ$3,実績!$AI$6:$AI$505,"&lt;="&amp;$A165,実績!$AJ$6:$AJ$505,"&gt;"&amp;$A165,実績!$AL$6:$AL$505,"○")&gt;0,1,0))</f>
        <v>0</v>
      </c>
      <c r="DA165" s="39" t="n">
        <f aca="false">IF(DA$4=0,0,IF(COUNTIFS(実績!$W$6:$W$505,DA$3,実績!$AI$6:$AI$505,"&lt;="&amp;$A165,実績!$AJ$6:$AJ$505,"&gt;"&amp;$A165,実績!$AL$6:$AL$505,"○")&gt;0,1,0))</f>
        <v>0</v>
      </c>
      <c r="DB165" s="39" t="n">
        <f aca="false">IF(DB$4=0,0,IF(COUNTIFS(実績!$W$6:$W$505,DB$3,実績!$AI$6:$AI$505,"&lt;="&amp;$A165,実績!$AJ$6:$AJ$505,"&gt;"&amp;$A165,実績!$AL$6:$AL$505,"○")&gt;0,1,0))</f>
        <v>0</v>
      </c>
      <c r="DC165" s="39" t="n">
        <f aca="false">IF(DC$4=0,0,IF(COUNTIFS(実績!$W$6:$W$505,DC$3,実績!$AI$6:$AI$505,"&lt;="&amp;$A165,実績!$AJ$6:$AJ$505,"&gt;"&amp;$A165,実績!$AL$6:$AL$505,"○")&gt;0,1,0))</f>
        <v>0</v>
      </c>
      <c r="DD165" s="39" t="n">
        <f aca="false">IF(DD$4=0,0,IF(COUNTIFS(実績!$W$6:$W$505,DD$3,実績!$AI$6:$AI$505,"&lt;="&amp;$A165,実績!$AJ$6:$AJ$505,"&gt;"&amp;$A165,実績!$AL$6:$AL$505,"○")&gt;0,1,0))</f>
        <v>0</v>
      </c>
      <c r="DE165" s="39" t="n">
        <f aca="false">IF(DE$4=0,0,IF(COUNTIFS(実績!$W$6:$W$505,DE$3,実績!$AI$6:$AI$505,"&lt;="&amp;$A165,実績!$AJ$6:$AJ$505,"&gt;"&amp;$A165,実績!$AL$6:$AL$505,"○")&gt;0,1,0))</f>
        <v>0</v>
      </c>
      <c r="DF165" s="39" t="n">
        <f aca="false">IF(DF$4=0,0,IF(COUNTIFS(実績!$W$6:$W$505,DF$3,実績!$AI$6:$AI$505,"&lt;="&amp;$A165,実績!$AJ$6:$AJ$505,"&gt;"&amp;$A165,実績!$AL$6:$AL$505,"○")&gt;0,1,0))</f>
        <v>0</v>
      </c>
      <c r="DG165" s="39" t="n">
        <f aca="false">IF(DG$4=0,0,IF(COUNTIFS(実績!$W$6:$W$505,DG$3,実績!$AI$6:$AI$505,"&lt;="&amp;$A165,実績!$AJ$6:$AJ$505,"&gt;"&amp;$A165,実績!$AL$6:$AL$505,"○")&gt;0,1,0))</f>
        <v>0</v>
      </c>
      <c r="DH165" s="39" t="n">
        <f aca="false">IF(DH$4=0,0,IF(COUNTIFS(実績!$W$6:$W$505,DH$3,実績!$AI$6:$AI$505,"&lt;="&amp;$A165,実績!$AJ$6:$AJ$505,"&gt;"&amp;$A165,実績!$AL$6:$AL$505,"○")&gt;0,1,0))</f>
        <v>0</v>
      </c>
      <c r="DI165" s="39" t="n">
        <f aca="false">IF(DI$4=0,0,IF(COUNTIFS(実績!$W$6:$W$505,DI$3,実績!$AI$6:$AI$505,"&lt;="&amp;$A165,実績!$AJ$6:$AJ$505,"&gt;"&amp;$A165,実績!$AL$6:$AL$505,"○")&gt;0,1,0))</f>
        <v>0</v>
      </c>
      <c r="DJ165" s="39" t="n">
        <f aca="false">IF(DJ$4=0,0,IF(COUNTIFS(実績!$W$6:$W$505,DJ$3,実績!$AI$6:$AI$505,"&lt;="&amp;$A165,実績!$AJ$6:$AJ$505,"&gt;"&amp;$A165,実績!$AL$6:$AL$505,"○")&gt;0,1,0))</f>
        <v>0</v>
      </c>
      <c r="DK165" s="39" t="n">
        <f aca="false">IF(DK$4=0,0,IF(COUNTIFS(実績!$W$6:$W$505,DK$3,実績!$AI$6:$AI$505,"&lt;="&amp;$A165,実績!$AJ$6:$AJ$505,"&gt;"&amp;$A165,実績!$AL$6:$AL$505,"○")&gt;0,1,0))</f>
        <v>0</v>
      </c>
      <c r="DL165" s="39" t="n">
        <f aca="false">IF(DL$4=0,0,IF(COUNTIFS(実績!$W$6:$W$505,DL$3,実績!$AI$6:$AI$505,"&lt;="&amp;$A165,実績!$AJ$6:$AJ$505,"&gt;"&amp;$A165,実績!$AL$6:$AL$505,"○")&gt;0,1,0))</f>
        <v>0</v>
      </c>
      <c r="DM165" s="39" t="n">
        <f aca="false">IF(DM$4=0,0,IF(COUNTIFS(実績!$W$6:$W$505,DM$3,実績!$AI$6:$AI$505,"&lt;="&amp;$A165,実績!$AJ$6:$AJ$505,"&gt;"&amp;$A165,実績!$AL$6:$AL$505,"○")&gt;0,1,0))</f>
        <v>0</v>
      </c>
      <c r="DN165" s="39" t="n">
        <f aca="false">IF(DN$4=0,0,IF(COUNTIFS(実績!$W$6:$W$505,DN$3,実績!$AI$6:$AI$505,"&lt;="&amp;$A165,実績!$AJ$6:$AJ$505,"&gt;"&amp;$A165,実績!$AL$6:$AL$505,"○")&gt;0,1,0))</f>
        <v>0</v>
      </c>
      <c r="DO165" s="39" t="n">
        <f aca="false">IF(DO$4=0,0,IF(COUNTIFS(実績!$W$6:$W$505,DO$3,実績!$AI$6:$AI$505,"&lt;="&amp;$A165,実績!$AJ$6:$AJ$505,"&gt;"&amp;$A165,実績!$AL$6:$AL$505,"○")&gt;0,1,0))</f>
        <v>0</v>
      </c>
      <c r="DP165" s="39" t="n">
        <f aca="false">IF(DP$4=0,0,IF(COUNTIFS(実績!$W$6:$W$505,DP$3,実績!$AI$6:$AI$505,"&lt;="&amp;$A165,実績!$AJ$6:$AJ$505,"&gt;"&amp;$A165,実績!$AL$6:$AL$505,"○")&gt;0,1,0))</f>
        <v>0</v>
      </c>
      <c r="DQ165" s="39" t="n">
        <f aca="false">IF(DQ$4=0,0,IF(COUNTIFS(実績!$W$6:$W$505,DQ$3,実績!$AI$6:$AI$505,"&lt;="&amp;$A165,実績!$AJ$6:$AJ$505,"&gt;"&amp;$A165,実績!$AL$6:$AL$505,"○")&gt;0,1,0))</f>
        <v>0</v>
      </c>
      <c r="DR165" s="39" t="n">
        <f aca="false">IF(DR$4=0,0,IF(COUNTIFS(実績!$W$6:$W$505,DR$3,実績!$AI$6:$AI$505,"&lt;="&amp;$A165,実績!$AJ$6:$AJ$505,"&gt;"&amp;$A165,実績!$AL$6:$AL$505,"○")&gt;0,1,0))</f>
        <v>0</v>
      </c>
      <c r="DS165" s="39" t="n">
        <f aca="false">SUM(C165:DR165)</f>
        <v>0</v>
      </c>
    </row>
    <row r="166" customFormat="false" ht="15" hidden="false" customHeight="false" outlineLevel="0" collapsed="false">
      <c r="A166" s="0" t="n">
        <v>800</v>
      </c>
      <c r="B166" s="38" t="n">
        <f aca="false">A166/1440</f>
        <v>0.555555555555556</v>
      </c>
      <c r="C166" s="39" t="n">
        <f aca="false">IF(C$4=0,0,IF(COUNTIFS(実績!$W$6:$W$505,C$3,実績!$AI$6:$AI$505,"&lt;="&amp;$A166,実績!$AJ$6:$AJ$505,"&gt;"&amp;$A166,実績!$AL$6:$AL$505,"○")&gt;0,1,0))</f>
        <v>0</v>
      </c>
      <c r="D166" s="39" t="n">
        <f aca="false">IF(D$4=0,0,IF(COUNTIFS(実績!$W$6:$W$505,D$3,実績!$AI$6:$AI$505,"&lt;="&amp;$A166,実績!$AJ$6:$AJ$505,"&gt;"&amp;$A166,実績!$AL$6:$AL$505,"○")&gt;0,1,0))</f>
        <v>0</v>
      </c>
      <c r="E166" s="39" t="n">
        <f aca="false">IF(E$4=0,0,IF(COUNTIFS(実績!$W$6:$W$505,E$3,実績!$AI$6:$AI$505,"&lt;="&amp;$A166,実績!$AJ$6:$AJ$505,"&gt;"&amp;$A166,実績!$AL$6:$AL$505,"○")&gt;0,1,0))</f>
        <v>0</v>
      </c>
      <c r="F166" s="39" t="n">
        <f aca="false">IF(F$4=0,0,IF(COUNTIFS(実績!$W$6:$W$505,F$3,実績!$AI$6:$AI$505,"&lt;="&amp;$A166,実績!$AJ$6:$AJ$505,"&gt;"&amp;$A166,実績!$AL$6:$AL$505,"○")&gt;0,1,0))</f>
        <v>0</v>
      </c>
      <c r="G166" s="39" t="n">
        <f aca="false">IF(G$4=0,0,IF(COUNTIFS(実績!$W$6:$W$505,G$3,実績!$AI$6:$AI$505,"&lt;="&amp;$A166,実績!$AJ$6:$AJ$505,"&gt;"&amp;$A166,実績!$AL$6:$AL$505,"○")&gt;0,1,0))</f>
        <v>0</v>
      </c>
      <c r="H166" s="39" t="n">
        <f aca="false">IF(H$4=0,0,IF(COUNTIFS(実績!$W$6:$W$505,H$3,実績!$AI$6:$AI$505,"&lt;="&amp;$A166,実績!$AJ$6:$AJ$505,"&gt;"&amp;$A166,実績!$AL$6:$AL$505,"○")&gt;0,1,0))</f>
        <v>0</v>
      </c>
      <c r="I166" s="39" t="n">
        <f aca="false">IF(I$4=0,0,IF(COUNTIFS(実績!$W$6:$W$505,I$3,実績!$AI$6:$AI$505,"&lt;="&amp;$A166,実績!$AJ$6:$AJ$505,"&gt;"&amp;$A166,実績!$AL$6:$AL$505,"○")&gt;0,1,0))</f>
        <v>0</v>
      </c>
      <c r="J166" s="39" t="n">
        <f aca="false">IF(J$4=0,0,IF(COUNTIFS(実績!$W$6:$W$505,J$3,実績!$AI$6:$AI$505,"&lt;="&amp;$A166,実績!$AJ$6:$AJ$505,"&gt;"&amp;$A166,実績!$AL$6:$AL$505,"○")&gt;0,1,0))</f>
        <v>0</v>
      </c>
      <c r="K166" s="39" t="n">
        <f aca="false">IF(K$4=0,0,IF(COUNTIFS(実績!$W$6:$W$505,K$3,実績!$AI$6:$AI$505,"&lt;="&amp;$A166,実績!$AJ$6:$AJ$505,"&gt;"&amp;$A166,実績!$AL$6:$AL$505,"○")&gt;0,1,0))</f>
        <v>0</v>
      </c>
      <c r="L166" s="39" t="n">
        <f aca="false">IF(L$4=0,0,IF(COUNTIFS(実績!$W$6:$W$505,L$3,実績!$AI$6:$AI$505,"&lt;="&amp;$A166,実績!$AJ$6:$AJ$505,"&gt;"&amp;$A166,実績!$AL$6:$AL$505,"○")&gt;0,1,0))</f>
        <v>0</v>
      </c>
      <c r="M166" s="39" t="n">
        <f aca="false">IF(M$4=0,0,IF(COUNTIFS(実績!$W$6:$W$505,M$3,実績!$AI$6:$AI$505,"&lt;="&amp;$A166,実績!$AJ$6:$AJ$505,"&gt;"&amp;$A166,実績!$AL$6:$AL$505,"○")&gt;0,1,0))</f>
        <v>0</v>
      </c>
      <c r="N166" s="39" t="n">
        <f aca="false">IF(N$4=0,0,IF(COUNTIFS(実績!$W$6:$W$505,N$3,実績!$AI$6:$AI$505,"&lt;="&amp;$A166,実績!$AJ$6:$AJ$505,"&gt;"&amp;$A166,実績!$AL$6:$AL$505,"○")&gt;0,1,0))</f>
        <v>0</v>
      </c>
      <c r="O166" s="39" t="n">
        <f aca="false">IF(O$4=0,0,IF(COUNTIFS(実績!$W$6:$W$505,O$3,実績!$AI$6:$AI$505,"&lt;="&amp;$A166,実績!$AJ$6:$AJ$505,"&gt;"&amp;$A166,実績!$AL$6:$AL$505,"○")&gt;0,1,0))</f>
        <v>0</v>
      </c>
      <c r="P166" s="39" t="n">
        <f aca="false">IF(P$4=0,0,IF(COUNTIFS(実績!$W$6:$W$505,P$3,実績!$AI$6:$AI$505,"&lt;="&amp;$A166,実績!$AJ$6:$AJ$505,"&gt;"&amp;$A166,実績!$AL$6:$AL$505,"○")&gt;0,1,0))</f>
        <v>0</v>
      </c>
      <c r="Q166" s="39" t="n">
        <f aca="false">IF(Q$4=0,0,IF(COUNTIFS(実績!$W$6:$W$505,Q$3,実績!$AI$6:$AI$505,"&lt;="&amp;$A166,実績!$AJ$6:$AJ$505,"&gt;"&amp;$A166,実績!$AL$6:$AL$505,"○")&gt;0,1,0))</f>
        <v>0</v>
      </c>
      <c r="R166" s="39" t="n">
        <f aca="false">IF(R$4=0,0,IF(COUNTIFS(実績!$W$6:$W$505,R$3,実績!$AI$6:$AI$505,"&lt;="&amp;$A166,実績!$AJ$6:$AJ$505,"&gt;"&amp;$A166,実績!$AL$6:$AL$505,"○")&gt;0,1,0))</f>
        <v>0</v>
      </c>
      <c r="S166" s="39" t="n">
        <f aca="false">IF(S$4=0,0,IF(COUNTIFS(実績!$W$6:$W$505,S$3,実績!$AI$6:$AI$505,"&lt;="&amp;$A166,実績!$AJ$6:$AJ$505,"&gt;"&amp;$A166,実績!$AL$6:$AL$505,"○")&gt;0,1,0))</f>
        <v>0</v>
      </c>
      <c r="T166" s="39" t="n">
        <f aca="false">IF(T$4=0,0,IF(COUNTIFS(実績!$W$6:$W$505,T$3,実績!$AI$6:$AI$505,"&lt;="&amp;$A166,実績!$AJ$6:$AJ$505,"&gt;"&amp;$A166,実績!$AL$6:$AL$505,"○")&gt;0,1,0))</f>
        <v>0</v>
      </c>
      <c r="U166" s="39" t="n">
        <f aca="false">IF(U$4=0,0,IF(COUNTIFS(実績!$W$6:$W$505,U$3,実績!$AI$6:$AI$505,"&lt;="&amp;$A166,実績!$AJ$6:$AJ$505,"&gt;"&amp;$A166,実績!$AL$6:$AL$505,"○")&gt;0,1,0))</f>
        <v>0</v>
      </c>
      <c r="V166" s="39" t="n">
        <f aca="false">IF(V$4=0,0,IF(COUNTIFS(実績!$W$6:$W$505,V$3,実績!$AI$6:$AI$505,"&lt;="&amp;$A166,実績!$AJ$6:$AJ$505,"&gt;"&amp;$A166,実績!$AL$6:$AL$505,"○")&gt;0,1,0))</f>
        <v>0</v>
      </c>
      <c r="W166" s="39" t="n">
        <f aca="false">IF(W$4=0,0,IF(COUNTIFS(実績!$W$6:$W$505,W$3,実績!$AI$6:$AI$505,"&lt;="&amp;$A166,実績!$AJ$6:$AJ$505,"&gt;"&amp;$A166,実績!$AL$6:$AL$505,"○")&gt;0,1,0))</f>
        <v>0</v>
      </c>
      <c r="X166" s="39" t="n">
        <f aca="false">IF(X$4=0,0,IF(COUNTIFS(実績!$W$6:$W$505,X$3,実績!$AI$6:$AI$505,"&lt;="&amp;$A166,実績!$AJ$6:$AJ$505,"&gt;"&amp;$A166,実績!$AL$6:$AL$505,"○")&gt;0,1,0))</f>
        <v>0</v>
      </c>
      <c r="Y166" s="39" t="n">
        <f aca="false">IF(Y$4=0,0,IF(COUNTIFS(実績!$W$6:$W$505,Y$3,実績!$AI$6:$AI$505,"&lt;="&amp;$A166,実績!$AJ$6:$AJ$505,"&gt;"&amp;$A166,実績!$AL$6:$AL$505,"○")&gt;0,1,0))</f>
        <v>0</v>
      </c>
      <c r="Z166" s="39" t="n">
        <f aca="false">IF(Z$4=0,0,IF(COUNTIFS(実績!$W$6:$W$505,Z$3,実績!$AI$6:$AI$505,"&lt;="&amp;$A166,実績!$AJ$6:$AJ$505,"&gt;"&amp;$A166,実績!$AL$6:$AL$505,"○")&gt;0,1,0))</f>
        <v>0</v>
      </c>
      <c r="AA166" s="39" t="n">
        <f aca="false">IF(AA$4=0,0,IF(COUNTIFS(実績!$W$6:$W$505,AA$3,実績!$AI$6:$AI$505,"&lt;="&amp;$A166,実績!$AJ$6:$AJ$505,"&gt;"&amp;$A166,実績!$AL$6:$AL$505,"○")&gt;0,1,0))</f>
        <v>0</v>
      </c>
      <c r="AB166" s="39" t="n">
        <f aca="false">IF(AB$4=0,0,IF(COUNTIFS(実績!$W$6:$W$505,AB$3,実績!$AI$6:$AI$505,"&lt;="&amp;$A166,実績!$AJ$6:$AJ$505,"&gt;"&amp;$A166,実績!$AL$6:$AL$505,"○")&gt;0,1,0))</f>
        <v>0</v>
      </c>
      <c r="AC166" s="39" t="n">
        <f aca="false">IF(AC$4=0,0,IF(COUNTIFS(実績!$W$6:$W$505,AC$3,実績!$AI$6:$AI$505,"&lt;="&amp;$A166,実績!$AJ$6:$AJ$505,"&gt;"&amp;$A166,実績!$AL$6:$AL$505,"○")&gt;0,1,0))</f>
        <v>0</v>
      </c>
      <c r="AD166" s="39" t="n">
        <f aca="false">IF(AD$4=0,0,IF(COUNTIFS(実績!$W$6:$W$505,AD$3,実績!$AI$6:$AI$505,"&lt;="&amp;$A166,実績!$AJ$6:$AJ$505,"&gt;"&amp;$A166,実績!$AL$6:$AL$505,"○")&gt;0,1,0))</f>
        <v>0</v>
      </c>
      <c r="AE166" s="39" t="n">
        <f aca="false">IF(AE$4=0,0,IF(COUNTIFS(実績!$W$6:$W$505,AE$3,実績!$AI$6:$AI$505,"&lt;="&amp;$A166,実績!$AJ$6:$AJ$505,"&gt;"&amp;$A166,実績!$AL$6:$AL$505,"○")&gt;0,1,0))</f>
        <v>0</v>
      </c>
      <c r="AF166" s="39" t="n">
        <f aca="false">IF(AF$4=0,0,IF(COUNTIFS(実績!$W$6:$W$505,AF$3,実績!$AI$6:$AI$505,"&lt;="&amp;$A166,実績!$AJ$6:$AJ$505,"&gt;"&amp;$A166,実績!$AL$6:$AL$505,"○")&gt;0,1,0))</f>
        <v>0</v>
      </c>
      <c r="AG166" s="39" t="n">
        <f aca="false">IF(AG$4=0,0,IF(COUNTIFS(実績!$W$6:$W$505,AG$3,実績!$AI$6:$AI$505,"&lt;="&amp;$A166,実績!$AJ$6:$AJ$505,"&gt;"&amp;$A166,実績!$AL$6:$AL$505,"○")&gt;0,1,0))</f>
        <v>0</v>
      </c>
      <c r="AH166" s="39" t="n">
        <f aca="false">IF(AH$4=0,0,IF(COUNTIFS(実績!$W$6:$W$505,AH$3,実績!$AI$6:$AI$505,"&lt;="&amp;$A166,実績!$AJ$6:$AJ$505,"&gt;"&amp;$A166,実績!$AL$6:$AL$505,"○")&gt;0,1,0))</f>
        <v>0</v>
      </c>
      <c r="AI166" s="39" t="n">
        <f aca="false">IF(AI$4=0,0,IF(COUNTIFS(実績!$W$6:$W$505,AI$3,実績!$AI$6:$AI$505,"&lt;="&amp;$A166,実績!$AJ$6:$AJ$505,"&gt;"&amp;$A166,実績!$AL$6:$AL$505,"○")&gt;0,1,0))</f>
        <v>0</v>
      </c>
      <c r="AJ166" s="39" t="n">
        <f aca="false">IF(AJ$4=0,0,IF(COUNTIFS(実績!$W$6:$W$505,AJ$3,実績!$AI$6:$AI$505,"&lt;="&amp;$A166,実績!$AJ$6:$AJ$505,"&gt;"&amp;$A166,実績!$AL$6:$AL$505,"○")&gt;0,1,0))</f>
        <v>0</v>
      </c>
      <c r="AK166" s="39" t="n">
        <f aca="false">IF(AK$4=0,0,IF(COUNTIFS(実績!$W$6:$W$505,AK$3,実績!$AI$6:$AI$505,"&lt;="&amp;$A166,実績!$AJ$6:$AJ$505,"&gt;"&amp;$A166,実績!$AL$6:$AL$505,"○")&gt;0,1,0))</f>
        <v>0</v>
      </c>
      <c r="AL166" s="39" t="n">
        <f aca="false">IF(AL$4=0,0,IF(COUNTIFS(実績!$W$6:$W$505,AL$3,実績!$AI$6:$AI$505,"&lt;="&amp;$A166,実績!$AJ$6:$AJ$505,"&gt;"&amp;$A166,実績!$AL$6:$AL$505,"○")&gt;0,1,0))</f>
        <v>0</v>
      </c>
      <c r="AM166" s="39" t="n">
        <f aca="false">IF(AM$4=0,0,IF(COUNTIFS(実績!$W$6:$W$505,AM$3,実績!$AI$6:$AI$505,"&lt;="&amp;$A166,実績!$AJ$6:$AJ$505,"&gt;"&amp;$A166,実績!$AL$6:$AL$505,"○")&gt;0,1,0))</f>
        <v>0</v>
      </c>
      <c r="AN166" s="39" t="n">
        <f aca="false">IF(AN$4=0,0,IF(COUNTIFS(実績!$W$6:$W$505,AN$3,実績!$AI$6:$AI$505,"&lt;="&amp;$A166,実績!$AJ$6:$AJ$505,"&gt;"&amp;$A166,実績!$AL$6:$AL$505,"○")&gt;0,1,0))</f>
        <v>0</v>
      </c>
      <c r="AO166" s="39" t="n">
        <f aca="false">IF(AO$4=0,0,IF(COUNTIFS(実績!$W$6:$W$505,AO$3,実績!$AI$6:$AI$505,"&lt;="&amp;$A166,実績!$AJ$6:$AJ$505,"&gt;"&amp;$A166,実績!$AL$6:$AL$505,"○")&gt;0,1,0))</f>
        <v>0</v>
      </c>
      <c r="AP166" s="39" t="n">
        <f aca="false">IF(AP$4=0,0,IF(COUNTIFS(実績!$W$6:$W$505,AP$3,実績!$AI$6:$AI$505,"&lt;="&amp;$A166,実績!$AJ$6:$AJ$505,"&gt;"&amp;$A166,実績!$AL$6:$AL$505,"○")&gt;0,1,0))</f>
        <v>0</v>
      </c>
      <c r="AQ166" s="39" t="n">
        <f aca="false">IF(AQ$4=0,0,IF(COUNTIFS(実績!$W$6:$W$505,AQ$3,実績!$AI$6:$AI$505,"&lt;="&amp;$A166,実績!$AJ$6:$AJ$505,"&gt;"&amp;$A166,実績!$AL$6:$AL$505,"○")&gt;0,1,0))</f>
        <v>0</v>
      </c>
      <c r="AR166" s="39" t="n">
        <f aca="false">IF(AR$4=0,0,IF(COUNTIFS(実績!$W$6:$W$505,AR$3,実績!$AI$6:$AI$505,"&lt;="&amp;$A166,実績!$AJ$6:$AJ$505,"&gt;"&amp;$A166,実績!$AL$6:$AL$505,"○")&gt;0,1,0))</f>
        <v>0</v>
      </c>
      <c r="AS166" s="39" t="n">
        <f aca="false">IF(AS$4=0,0,IF(COUNTIFS(実績!$W$6:$W$505,AS$3,実績!$AI$6:$AI$505,"&lt;="&amp;$A166,実績!$AJ$6:$AJ$505,"&gt;"&amp;$A166,実績!$AL$6:$AL$505,"○")&gt;0,1,0))</f>
        <v>0</v>
      </c>
      <c r="AT166" s="39" t="n">
        <f aca="false">IF(AT$4=0,0,IF(COUNTIFS(実績!$W$6:$W$505,AT$3,実績!$AI$6:$AI$505,"&lt;="&amp;$A166,実績!$AJ$6:$AJ$505,"&gt;"&amp;$A166,実績!$AL$6:$AL$505,"○")&gt;0,1,0))</f>
        <v>0</v>
      </c>
      <c r="AU166" s="39" t="n">
        <f aca="false">IF(AU$4=0,0,IF(COUNTIFS(実績!$W$6:$W$505,AU$3,実績!$AI$6:$AI$505,"&lt;="&amp;$A166,実績!$AJ$6:$AJ$505,"&gt;"&amp;$A166,実績!$AL$6:$AL$505,"○")&gt;0,1,0))</f>
        <v>0</v>
      </c>
      <c r="AV166" s="39" t="n">
        <f aca="false">IF(AV$4=0,0,IF(COUNTIFS(実績!$W$6:$W$505,AV$3,実績!$AI$6:$AI$505,"&lt;="&amp;$A166,実績!$AJ$6:$AJ$505,"&gt;"&amp;$A166,実績!$AL$6:$AL$505,"○")&gt;0,1,0))</f>
        <v>0</v>
      </c>
      <c r="AW166" s="39" t="n">
        <f aca="false">IF(AW$4=0,0,IF(COUNTIFS(実績!$W$6:$W$505,AW$3,実績!$AI$6:$AI$505,"&lt;="&amp;$A166,実績!$AJ$6:$AJ$505,"&gt;"&amp;$A166,実績!$AL$6:$AL$505,"○")&gt;0,1,0))</f>
        <v>0</v>
      </c>
      <c r="AX166" s="39" t="n">
        <f aca="false">IF(AX$4=0,0,IF(COUNTIFS(実績!$W$6:$W$505,AX$3,実績!$AI$6:$AI$505,"&lt;="&amp;$A166,実績!$AJ$6:$AJ$505,"&gt;"&amp;$A166,実績!$AL$6:$AL$505,"○")&gt;0,1,0))</f>
        <v>0</v>
      </c>
      <c r="AY166" s="39" t="n">
        <f aca="false">IF(AY$4=0,0,IF(COUNTIFS(実績!$W$6:$W$505,AY$3,実績!$AI$6:$AI$505,"&lt;="&amp;$A166,実績!$AJ$6:$AJ$505,"&gt;"&amp;$A166,実績!$AL$6:$AL$505,"○")&gt;0,1,0))</f>
        <v>0</v>
      </c>
      <c r="AZ166" s="39" t="n">
        <f aca="false">IF(AZ$4=0,0,IF(COUNTIFS(実績!$W$6:$W$505,AZ$3,実績!$AI$6:$AI$505,"&lt;="&amp;$A166,実績!$AJ$6:$AJ$505,"&gt;"&amp;$A166,実績!$AL$6:$AL$505,"○")&gt;0,1,0))</f>
        <v>0</v>
      </c>
      <c r="BA166" s="39" t="n">
        <f aca="false">IF(BA$4=0,0,IF(COUNTIFS(実績!$W$6:$W$505,BA$3,実績!$AI$6:$AI$505,"&lt;="&amp;$A166,実績!$AJ$6:$AJ$505,"&gt;"&amp;$A166,実績!$AL$6:$AL$505,"○")&gt;0,1,0))</f>
        <v>0</v>
      </c>
      <c r="BB166" s="39" t="n">
        <f aca="false">IF(BB$4=0,0,IF(COUNTIFS(実績!$W$6:$W$505,BB$3,実績!$AI$6:$AI$505,"&lt;="&amp;$A166,実績!$AJ$6:$AJ$505,"&gt;"&amp;$A166,実績!$AL$6:$AL$505,"○")&gt;0,1,0))</f>
        <v>0</v>
      </c>
      <c r="BC166" s="39" t="n">
        <f aca="false">IF(BC$4=0,0,IF(COUNTIFS(実績!$W$6:$W$505,BC$3,実績!$AI$6:$AI$505,"&lt;="&amp;$A166,実績!$AJ$6:$AJ$505,"&gt;"&amp;$A166,実績!$AL$6:$AL$505,"○")&gt;0,1,0))</f>
        <v>0</v>
      </c>
      <c r="BD166" s="39" t="n">
        <f aca="false">IF(BD$4=0,0,IF(COUNTIFS(実績!$W$6:$W$505,BD$3,実績!$AI$6:$AI$505,"&lt;="&amp;$A166,実績!$AJ$6:$AJ$505,"&gt;"&amp;$A166,実績!$AL$6:$AL$505,"○")&gt;0,1,0))</f>
        <v>0</v>
      </c>
      <c r="BE166" s="39" t="n">
        <f aca="false">IF(BE$4=0,0,IF(COUNTIFS(実績!$W$6:$W$505,BE$3,実績!$AI$6:$AI$505,"&lt;="&amp;$A166,実績!$AJ$6:$AJ$505,"&gt;"&amp;$A166,実績!$AL$6:$AL$505,"○")&gt;0,1,0))</f>
        <v>0</v>
      </c>
      <c r="BF166" s="39" t="n">
        <f aca="false">IF(BF$4=0,0,IF(COUNTIFS(実績!$W$6:$W$505,BF$3,実績!$AI$6:$AI$505,"&lt;="&amp;$A166,実績!$AJ$6:$AJ$505,"&gt;"&amp;$A166,実績!$AL$6:$AL$505,"○")&gt;0,1,0))</f>
        <v>0</v>
      </c>
      <c r="BG166" s="39" t="n">
        <f aca="false">IF(BG$4=0,0,IF(COUNTIFS(実績!$W$6:$W$505,BG$3,実績!$AI$6:$AI$505,"&lt;="&amp;$A166,実績!$AJ$6:$AJ$505,"&gt;"&amp;$A166,実績!$AL$6:$AL$505,"○")&gt;0,1,0))</f>
        <v>0</v>
      </c>
      <c r="BH166" s="39" t="n">
        <f aca="false">IF(BH$4=0,0,IF(COUNTIFS(実績!$W$6:$W$505,BH$3,実績!$AI$6:$AI$505,"&lt;="&amp;$A166,実績!$AJ$6:$AJ$505,"&gt;"&amp;$A166,実績!$AL$6:$AL$505,"○")&gt;0,1,0))</f>
        <v>0</v>
      </c>
      <c r="BI166" s="39" t="n">
        <f aca="false">IF(BI$4=0,0,IF(COUNTIFS(実績!$W$6:$W$505,BI$3,実績!$AI$6:$AI$505,"&lt;="&amp;$A166,実績!$AJ$6:$AJ$505,"&gt;"&amp;$A166,実績!$AL$6:$AL$505,"○")&gt;0,1,0))</f>
        <v>0</v>
      </c>
      <c r="BJ166" s="39" t="n">
        <f aca="false">IF(BJ$4=0,0,IF(COUNTIFS(実績!$W$6:$W$505,BJ$3,実績!$AI$6:$AI$505,"&lt;="&amp;$A166,実績!$AJ$6:$AJ$505,"&gt;"&amp;$A166,実績!$AL$6:$AL$505,"○")&gt;0,1,0))</f>
        <v>0</v>
      </c>
      <c r="BK166" s="39" t="n">
        <f aca="false">IF(BK$4=0,0,IF(COUNTIFS(実績!$W$6:$W$505,BK$3,実績!$AI$6:$AI$505,"&lt;="&amp;$A166,実績!$AJ$6:$AJ$505,"&gt;"&amp;$A166,実績!$AL$6:$AL$505,"○")&gt;0,1,0))</f>
        <v>0</v>
      </c>
      <c r="BL166" s="39" t="n">
        <f aca="false">IF(BL$4=0,0,IF(COUNTIFS(実績!$W$6:$W$505,BL$3,実績!$AI$6:$AI$505,"&lt;="&amp;$A166,実績!$AJ$6:$AJ$505,"&gt;"&amp;$A166,実績!$AL$6:$AL$505,"○")&gt;0,1,0))</f>
        <v>0</v>
      </c>
      <c r="BM166" s="39" t="n">
        <f aca="false">IF(BM$4=0,0,IF(COUNTIFS(実績!$W$6:$W$505,BM$3,実績!$AI$6:$AI$505,"&lt;="&amp;$A166,実績!$AJ$6:$AJ$505,"&gt;"&amp;$A166,実績!$AL$6:$AL$505,"○")&gt;0,1,0))</f>
        <v>0</v>
      </c>
      <c r="BN166" s="39" t="n">
        <f aca="false">IF(BN$4=0,0,IF(COUNTIFS(実績!$W$6:$W$505,BN$3,実績!$AI$6:$AI$505,"&lt;="&amp;$A166,実績!$AJ$6:$AJ$505,"&gt;"&amp;$A166,実績!$AL$6:$AL$505,"○")&gt;0,1,0))</f>
        <v>0</v>
      </c>
      <c r="BO166" s="39" t="n">
        <f aca="false">IF(BO$4=0,0,IF(COUNTIFS(実績!$W$6:$W$505,BO$3,実績!$AI$6:$AI$505,"&lt;="&amp;$A166,実績!$AJ$6:$AJ$505,"&gt;"&amp;$A166,実績!$AL$6:$AL$505,"○")&gt;0,1,0))</f>
        <v>0</v>
      </c>
      <c r="BP166" s="39" t="n">
        <f aca="false">IF(BP$4=0,0,IF(COUNTIFS(実績!$W$6:$W$505,BP$3,実績!$AI$6:$AI$505,"&lt;="&amp;$A166,実績!$AJ$6:$AJ$505,"&gt;"&amp;$A166,実績!$AL$6:$AL$505,"○")&gt;0,1,0))</f>
        <v>0</v>
      </c>
      <c r="BQ166" s="39" t="n">
        <f aca="false">IF(BQ$4=0,0,IF(COUNTIFS(実績!$W$6:$W$505,BQ$3,実績!$AI$6:$AI$505,"&lt;="&amp;$A166,実績!$AJ$6:$AJ$505,"&gt;"&amp;$A166,実績!$AL$6:$AL$505,"○")&gt;0,1,0))</f>
        <v>0</v>
      </c>
      <c r="BR166" s="39" t="n">
        <f aca="false">IF(BR$4=0,0,IF(COUNTIFS(実績!$W$6:$W$505,BR$3,実績!$AI$6:$AI$505,"&lt;="&amp;$A166,実績!$AJ$6:$AJ$505,"&gt;"&amp;$A166,実績!$AL$6:$AL$505,"○")&gt;0,1,0))</f>
        <v>0</v>
      </c>
      <c r="BS166" s="39" t="n">
        <f aca="false">IF(BS$4=0,0,IF(COUNTIFS(実績!$W$6:$W$505,BS$3,実績!$AI$6:$AI$505,"&lt;="&amp;$A166,実績!$AJ$6:$AJ$505,"&gt;"&amp;$A166,実績!$AL$6:$AL$505,"○")&gt;0,1,0))</f>
        <v>0</v>
      </c>
      <c r="BT166" s="39" t="n">
        <f aca="false">IF(BT$4=0,0,IF(COUNTIFS(実績!$W$6:$W$505,BT$3,実績!$AI$6:$AI$505,"&lt;="&amp;$A166,実績!$AJ$6:$AJ$505,"&gt;"&amp;$A166,実績!$AL$6:$AL$505,"○")&gt;0,1,0))</f>
        <v>0</v>
      </c>
      <c r="BU166" s="39" t="n">
        <f aca="false">IF(BU$4=0,0,IF(COUNTIFS(実績!$W$6:$W$505,BU$3,実績!$AI$6:$AI$505,"&lt;="&amp;$A166,実績!$AJ$6:$AJ$505,"&gt;"&amp;$A166,実績!$AL$6:$AL$505,"○")&gt;0,1,0))</f>
        <v>0</v>
      </c>
      <c r="BV166" s="39" t="n">
        <f aca="false">IF(BV$4=0,0,IF(COUNTIFS(実績!$W$6:$W$505,BV$3,実績!$AI$6:$AI$505,"&lt;="&amp;$A166,実績!$AJ$6:$AJ$505,"&gt;"&amp;$A166,実績!$AL$6:$AL$505,"○")&gt;0,1,0))</f>
        <v>0</v>
      </c>
      <c r="BW166" s="39" t="n">
        <f aca="false">IF(BW$4=0,0,IF(COUNTIFS(実績!$W$6:$W$505,BW$3,実績!$AI$6:$AI$505,"&lt;="&amp;$A166,実績!$AJ$6:$AJ$505,"&gt;"&amp;$A166,実績!$AL$6:$AL$505,"○")&gt;0,1,0))</f>
        <v>0</v>
      </c>
      <c r="BX166" s="39" t="n">
        <f aca="false">IF(BX$4=0,0,IF(COUNTIFS(実績!$W$6:$W$505,BX$3,実績!$AI$6:$AI$505,"&lt;="&amp;$A166,実績!$AJ$6:$AJ$505,"&gt;"&amp;$A166,実績!$AL$6:$AL$505,"○")&gt;0,1,0))</f>
        <v>0</v>
      </c>
      <c r="BY166" s="39" t="n">
        <f aca="false">IF(BY$4=0,0,IF(COUNTIFS(実績!$W$6:$W$505,BY$3,実績!$AI$6:$AI$505,"&lt;="&amp;$A166,実績!$AJ$6:$AJ$505,"&gt;"&amp;$A166,実績!$AL$6:$AL$505,"○")&gt;0,1,0))</f>
        <v>0</v>
      </c>
      <c r="BZ166" s="39" t="n">
        <f aca="false">IF(BZ$4=0,0,IF(COUNTIFS(実績!$W$6:$W$505,BZ$3,実績!$AI$6:$AI$505,"&lt;="&amp;$A166,実績!$AJ$6:$AJ$505,"&gt;"&amp;$A166,実績!$AL$6:$AL$505,"○")&gt;0,1,0))</f>
        <v>0</v>
      </c>
      <c r="CA166" s="39" t="n">
        <f aca="false">IF(CA$4=0,0,IF(COUNTIFS(実績!$W$6:$W$505,CA$3,実績!$AI$6:$AI$505,"&lt;="&amp;$A166,実績!$AJ$6:$AJ$505,"&gt;"&amp;$A166,実績!$AL$6:$AL$505,"○")&gt;0,1,0))</f>
        <v>0</v>
      </c>
      <c r="CB166" s="39" t="n">
        <f aca="false">IF(CB$4=0,0,IF(COUNTIFS(実績!$W$6:$W$505,CB$3,実績!$AI$6:$AI$505,"&lt;="&amp;$A166,実績!$AJ$6:$AJ$505,"&gt;"&amp;$A166,実績!$AL$6:$AL$505,"○")&gt;0,1,0))</f>
        <v>0</v>
      </c>
      <c r="CC166" s="39" t="n">
        <f aca="false">IF(CC$4=0,0,IF(COUNTIFS(実績!$W$6:$W$505,CC$3,実績!$AI$6:$AI$505,"&lt;="&amp;$A166,実績!$AJ$6:$AJ$505,"&gt;"&amp;$A166,実績!$AL$6:$AL$505,"○")&gt;0,1,0))</f>
        <v>0</v>
      </c>
      <c r="CD166" s="39" t="n">
        <f aca="false">IF(CD$4=0,0,IF(COUNTIFS(実績!$W$6:$W$505,CD$3,実績!$AI$6:$AI$505,"&lt;="&amp;$A166,実績!$AJ$6:$AJ$505,"&gt;"&amp;$A166,実績!$AL$6:$AL$505,"○")&gt;0,1,0))</f>
        <v>0</v>
      </c>
      <c r="CE166" s="39" t="n">
        <f aca="false">IF(CE$4=0,0,IF(COUNTIFS(実績!$W$6:$W$505,CE$3,実績!$AI$6:$AI$505,"&lt;="&amp;$A166,実績!$AJ$6:$AJ$505,"&gt;"&amp;$A166,実績!$AL$6:$AL$505,"○")&gt;0,1,0))</f>
        <v>0</v>
      </c>
      <c r="CF166" s="39" t="n">
        <f aca="false">IF(CF$4=0,0,IF(COUNTIFS(実績!$W$6:$W$505,CF$3,実績!$AI$6:$AI$505,"&lt;="&amp;$A166,実績!$AJ$6:$AJ$505,"&gt;"&amp;$A166,実績!$AL$6:$AL$505,"○")&gt;0,1,0))</f>
        <v>0</v>
      </c>
      <c r="CG166" s="39" t="n">
        <f aca="false">IF(CG$4=0,0,IF(COUNTIFS(実績!$W$6:$W$505,CG$3,実績!$AI$6:$AI$505,"&lt;="&amp;$A166,実績!$AJ$6:$AJ$505,"&gt;"&amp;$A166,実績!$AL$6:$AL$505,"○")&gt;0,1,0))</f>
        <v>0</v>
      </c>
      <c r="CH166" s="39" t="n">
        <f aca="false">IF(CH$4=0,0,IF(COUNTIFS(実績!$W$6:$W$505,CH$3,実績!$AI$6:$AI$505,"&lt;="&amp;$A166,実績!$AJ$6:$AJ$505,"&gt;"&amp;$A166,実績!$AL$6:$AL$505,"○")&gt;0,1,0))</f>
        <v>0</v>
      </c>
      <c r="CI166" s="39" t="n">
        <f aca="false">IF(CI$4=0,0,IF(COUNTIFS(実績!$W$6:$W$505,CI$3,実績!$AI$6:$AI$505,"&lt;="&amp;$A166,実績!$AJ$6:$AJ$505,"&gt;"&amp;$A166,実績!$AL$6:$AL$505,"○")&gt;0,1,0))</f>
        <v>0</v>
      </c>
      <c r="CJ166" s="39" t="n">
        <f aca="false">IF(CJ$4=0,0,IF(COUNTIFS(実績!$W$6:$W$505,CJ$3,実績!$AI$6:$AI$505,"&lt;="&amp;$A166,実績!$AJ$6:$AJ$505,"&gt;"&amp;$A166,実績!$AL$6:$AL$505,"○")&gt;0,1,0))</f>
        <v>0</v>
      </c>
      <c r="CK166" s="39" t="n">
        <f aca="false">IF(CK$4=0,0,IF(COUNTIFS(実績!$W$6:$W$505,CK$3,実績!$AI$6:$AI$505,"&lt;="&amp;$A166,実績!$AJ$6:$AJ$505,"&gt;"&amp;$A166,実績!$AL$6:$AL$505,"○")&gt;0,1,0))</f>
        <v>0</v>
      </c>
      <c r="CL166" s="39" t="n">
        <f aca="false">IF(CL$4=0,0,IF(COUNTIFS(実績!$W$6:$W$505,CL$3,実績!$AI$6:$AI$505,"&lt;="&amp;$A166,実績!$AJ$6:$AJ$505,"&gt;"&amp;$A166,実績!$AL$6:$AL$505,"○")&gt;0,1,0))</f>
        <v>0</v>
      </c>
      <c r="CM166" s="39" t="n">
        <f aca="false">IF(CM$4=0,0,IF(COUNTIFS(実績!$W$6:$W$505,CM$3,実績!$AI$6:$AI$505,"&lt;="&amp;$A166,実績!$AJ$6:$AJ$505,"&gt;"&amp;$A166,実績!$AL$6:$AL$505,"○")&gt;0,1,0))</f>
        <v>0</v>
      </c>
      <c r="CN166" s="39" t="n">
        <f aca="false">IF(CN$4=0,0,IF(COUNTIFS(実績!$W$6:$W$505,CN$3,実績!$AI$6:$AI$505,"&lt;="&amp;$A166,実績!$AJ$6:$AJ$505,"&gt;"&amp;$A166,実績!$AL$6:$AL$505,"○")&gt;0,1,0))</f>
        <v>0</v>
      </c>
      <c r="CO166" s="39" t="n">
        <f aca="false">IF(CO$4=0,0,IF(COUNTIFS(実績!$W$6:$W$505,CO$3,実績!$AI$6:$AI$505,"&lt;="&amp;$A166,実績!$AJ$6:$AJ$505,"&gt;"&amp;$A166,実績!$AL$6:$AL$505,"○")&gt;0,1,0))</f>
        <v>0</v>
      </c>
      <c r="CP166" s="39" t="n">
        <f aca="false">IF(CP$4=0,0,IF(COUNTIFS(実績!$W$6:$W$505,CP$3,実績!$AI$6:$AI$505,"&lt;="&amp;$A166,実績!$AJ$6:$AJ$505,"&gt;"&amp;$A166,実績!$AL$6:$AL$505,"○")&gt;0,1,0))</f>
        <v>0</v>
      </c>
      <c r="CQ166" s="39" t="n">
        <f aca="false">IF(CQ$4=0,0,IF(COUNTIFS(実績!$W$6:$W$505,CQ$3,実績!$AI$6:$AI$505,"&lt;="&amp;$A166,実績!$AJ$6:$AJ$505,"&gt;"&amp;$A166,実績!$AL$6:$AL$505,"○")&gt;0,1,0))</f>
        <v>0</v>
      </c>
      <c r="CR166" s="39" t="n">
        <f aca="false">IF(CR$4=0,0,IF(COUNTIFS(実績!$W$6:$W$505,CR$3,実績!$AI$6:$AI$505,"&lt;="&amp;$A166,実績!$AJ$6:$AJ$505,"&gt;"&amp;$A166,実績!$AL$6:$AL$505,"○")&gt;0,1,0))</f>
        <v>0</v>
      </c>
      <c r="CS166" s="39" t="n">
        <f aca="false">IF(CS$4=0,0,IF(COUNTIFS(実績!$W$6:$W$505,CS$3,実績!$AI$6:$AI$505,"&lt;="&amp;$A166,実績!$AJ$6:$AJ$505,"&gt;"&amp;$A166,実績!$AL$6:$AL$505,"○")&gt;0,1,0))</f>
        <v>0</v>
      </c>
      <c r="CT166" s="39" t="n">
        <f aca="false">IF(CT$4=0,0,IF(COUNTIFS(実績!$W$6:$W$505,CT$3,実績!$AI$6:$AI$505,"&lt;="&amp;$A166,実績!$AJ$6:$AJ$505,"&gt;"&amp;$A166,実績!$AL$6:$AL$505,"○")&gt;0,1,0))</f>
        <v>0</v>
      </c>
      <c r="CU166" s="39" t="n">
        <f aca="false">IF(CU$4=0,0,IF(COUNTIFS(実績!$W$6:$W$505,CU$3,実績!$AI$6:$AI$505,"&lt;="&amp;$A166,実績!$AJ$6:$AJ$505,"&gt;"&amp;$A166,実績!$AL$6:$AL$505,"○")&gt;0,1,0))</f>
        <v>0</v>
      </c>
      <c r="CV166" s="39" t="n">
        <f aca="false">IF(CV$4=0,0,IF(COUNTIFS(実績!$W$6:$W$505,CV$3,実績!$AI$6:$AI$505,"&lt;="&amp;$A166,実績!$AJ$6:$AJ$505,"&gt;"&amp;$A166,実績!$AL$6:$AL$505,"○")&gt;0,1,0))</f>
        <v>0</v>
      </c>
      <c r="CW166" s="39" t="n">
        <f aca="false">IF(CW$4=0,0,IF(COUNTIFS(実績!$W$6:$W$505,CW$3,実績!$AI$6:$AI$505,"&lt;="&amp;$A166,実績!$AJ$6:$AJ$505,"&gt;"&amp;$A166,実績!$AL$6:$AL$505,"○")&gt;0,1,0))</f>
        <v>0</v>
      </c>
      <c r="CX166" s="39" t="n">
        <f aca="false">IF(CX$4=0,0,IF(COUNTIFS(実績!$W$6:$W$505,CX$3,実績!$AI$6:$AI$505,"&lt;="&amp;$A166,実績!$AJ$6:$AJ$505,"&gt;"&amp;$A166,実績!$AL$6:$AL$505,"○")&gt;0,1,0))</f>
        <v>0</v>
      </c>
      <c r="CY166" s="39" t="n">
        <f aca="false">IF(CY$4=0,0,IF(COUNTIFS(実績!$W$6:$W$505,CY$3,実績!$AI$6:$AI$505,"&lt;="&amp;$A166,実績!$AJ$6:$AJ$505,"&gt;"&amp;$A166,実績!$AL$6:$AL$505,"○")&gt;0,1,0))</f>
        <v>0</v>
      </c>
      <c r="CZ166" s="39" t="n">
        <f aca="false">IF(CZ$4=0,0,IF(COUNTIFS(実績!$W$6:$W$505,CZ$3,実績!$AI$6:$AI$505,"&lt;="&amp;$A166,実績!$AJ$6:$AJ$505,"&gt;"&amp;$A166,実績!$AL$6:$AL$505,"○")&gt;0,1,0))</f>
        <v>0</v>
      </c>
      <c r="DA166" s="39" t="n">
        <f aca="false">IF(DA$4=0,0,IF(COUNTIFS(実績!$W$6:$W$505,DA$3,実績!$AI$6:$AI$505,"&lt;="&amp;$A166,実績!$AJ$6:$AJ$505,"&gt;"&amp;$A166,実績!$AL$6:$AL$505,"○")&gt;0,1,0))</f>
        <v>0</v>
      </c>
      <c r="DB166" s="39" t="n">
        <f aca="false">IF(DB$4=0,0,IF(COUNTIFS(実績!$W$6:$W$505,DB$3,実績!$AI$6:$AI$505,"&lt;="&amp;$A166,実績!$AJ$6:$AJ$505,"&gt;"&amp;$A166,実績!$AL$6:$AL$505,"○")&gt;0,1,0))</f>
        <v>0</v>
      </c>
      <c r="DC166" s="39" t="n">
        <f aca="false">IF(DC$4=0,0,IF(COUNTIFS(実績!$W$6:$W$505,DC$3,実績!$AI$6:$AI$505,"&lt;="&amp;$A166,実績!$AJ$6:$AJ$505,"&gt;"&amp;$A166,実績!$AL$6:$AL$505,"○")&gt;0,1,0))</f>
        <v>0</v>
      </c>
      <c r="DD166" s="39" t="n">
        <f aca="false">IF(DD$4=0,0,IF(COUNTIFS(実績!$W$6:$W$505,DD$3,実績!$AI$6:$AI$505,"&lt;="&amp;$A166,実績!$AJ$6:$AJ$505,"&gt;"&amp;$A166,実績!$AL$6:$AL$505,"○")&gt;0,1,0))</f>
        <v>0</v>
      </c>
      <c r="DE166" s="39" t="n">
        <f aca="false">IF(DE$4=0,0,IF(COUNTIFS(実績!$W$6:$W$505,DE$3,実績!$AI$6:$AI$505,"&lt;="&amp;$A166,実績!$AJ$6:$AJ$505,"&gt;"&amp;$A166,実績!$AL$6:$AL$505,"○")&gt;0,1,0))</f>
        <v>0</v>
      </c>
      <c r="DF166" s="39" t="n">
        <f aca="false">IF(DF$4=0,0,IF(COUNTIFS(実績!$W$6:$W$505,DF$3,実績!$AI$6:$AI$505,"&lt;="&amp;$A166,実績!$AJ$6:$AJ$505,"&gt;"&amp;$A166,実績!$AL$6:$AL$505,"○")&gt;0,1,0))</f>
        <v>0</v>
      </c>
      <c r="DG166" s="39" t="n">
        <f aca="false">IF(DG$4=0,0,IF(COUNTIFS(実績!$W$6:$W$505,DG$3,実績!$AI$6:$AI$505,"&lt;="&amp;$A166,実績!$AJ$6:$AJ$505,"&gt;"&amp;$A166,実績!$AL$6:$AL$505,"○")&gt;0,1,0))</f>
        <v>0</v>
      </c>
      <c r="DH166" s="39" t="n">
        <f aca="false">IF(DH$4=0,0,IF(COUNTIFS(実績!$W$6:$W$505,DH$3,実績!$AI$6:$AI$505,"&lt;="&amp;$A166,実績!$AJ$6:$AJ$505,"&gt;"&amp;$A166,実績!$AL$6:$AL$505,"○")&gt;0,1,0))</f>
        <v>0</v>
      </c>
      <c r="DI166" s="39" t="n">
        <f aca="false">IF(DI$4=0,0,IF(COUNTIFS(実績!$W$6:$W$505,DI$3,実績!$AI$6:$AI$505,"&lt;="&amp;$A166,実績!$AJ$6:$AJ$505,"&gt;"&amp;$A166,実績!$AL$6:$AL$505,"○")&gt;0,1,0))</f>
        <v>0</v>
      </c>
      <c r="DJ166" s="39" t="n">
        <f aca="false">IF(DJ$4=0,0,IF(COUNTIFS(実績!$W$6:$W$505,DJ$3,実績!$AI$6:$AI$505,"&lt;="&amp;$A166,実績!$AJ$6:$AJ$505,"&gt;"&amp;$A166,実績!$AL$6:$AL$505,"○")&gt;0,1,0))</f>
        <v>0</v>
      </c>
      <c r="DK166" s="39" t="n">
        <f aca="false">IF(DK$4=0,0,IF(COUNTIFS(実績!$W$6:$W$505,DK$3,実績!$AI$6:$AI$505,"&lt;="&amp;$A166,実績!$AJ$6:$AJ$505,"&gt;"&amp;$A166,実績!$AL$6:$AL$505,"○")&gt;0,1,0))</f>
        <v>0</v>
      </c>
      <c r="DL166" s="39" t="n">
        <f aca="false">IF(DL$4=0,0,IF(COUNTIFS(実績!$W$6:$W$505,DL$3,実績!$AI$6:$AI$505,"&lt;="&amp;$A166,実績!$AJ$6:$AJ$505,"&gt;"&amp;$A166,実績!$AL$6:$AL$505,"○")&gt;0,1,0))</f>
        <v>0</v>
      </c>
      <c r="DM166" s="39" t="n">
        <f aca="false">IF(DM$4=0,0,IF(COUNTIFS(実績!$W$6:$W$505,DM$3,実績!$AI$6:$AI$505,"&lt;="&amp;$A166,実績!$AJ$6:$AJ$505,"&gt;"&amp;$A166,実績!$AL$6:$AL$505,"○")&gt;0,1,0))</f>
        <v>0</v>
      </c>
      <c r="DN166" s="39" t="n">
        <f aca="false">IF(DN$4=0,0,IF(COUNTIFS(実績!$W$6:$W$505,DN$3,実績!$AI$6:$AI$505,"&lt;="&amp;$A166,実績!$AJ$6:$AJ$505,"&gt;"&amp;$A166,実績!$AL$6:$AL$505,"○")&gt;0,1,0))</f>
        <v>0</v>
      </c>
      <c r="DO166" s="39" t="n">
        <f aca="false">IF(DO$4=0,0,IF(COUNTIFS(実績!$W$6:$W$505,DO$3,実績!$AI$6:$AI$505,"&lt;="&amp;$A166,実績!$AJ$6:$AJ$505,"&gt;"&amp;$A166,実績!$AL$6:$AL$505,"○")&gt;0,1,0))</f>
        <v>0</v>
      </c>
      <c r="DP166" s="39" t="n">
        <f aca="false">IF(DP$4=0,0,IF(COUNTIFS(実績!$W$6:$W$505,DP$3,実績!$AI$6:$AI$505,"&lt;="&amp;$A166,実績!$AJ$6:$AJ$505,"&gt;"&amp;$A166,実績!$AL$6:$AL$505,"○")&gt;0,1,0))</f>
        <v>0</v>
      </c>
      <c r="DQ166" s="39" t="n">
        <f aca="false">IF(DQ$4=0,0,IF(COUNTIFS(実績!$W$6:$W$505,DQ$3,実績!$AI$6:$AI$505,"&lt;="&amp;$A166,実績!$AJ$6:$AJ$505,"&gt;"&amp;$A166,実績!$AL$6:$AL$505,"○")&gt;0,1,0))</f>
        <v>0</v>
      </c>
      <c r="DR166" s="39" t="n">
        <f aca="false">IF(DR$4=0,0,IF(COUNTIFS(実績!$W$6:$W$505,DR$3,実績!$AI$6:$AI$505,"&lt;="&amp;$A166,実績!$AJ$6:$AJ$505,"&gt;"&amp;$A166,実績!$AL$6:$AL$505,"○")&gt;0,1,0))</f>
        <v>0</v>
      </c>
      <c r="DS166" s="39" t="n">
        <f aca="false">SUM(C166:DR166)</f>
        <v>0</v>
      </c>
    </row>
    <row r="167" customFormat="false" ht="15" hidden="false" customHeight="false" outlineLevel="0" collapsed="false">
      <c r="A167" s="0" t="n">
        <v>805</v>
      </c>
      <c r="B167" s="38" t="n">
        <f aca="false">A167/1440</f>
        <v>0.559027777777778</v>
      </c>
      <c r="C167" s="39" t="n">
        <f aca="false">IF(C$4=0,0,IF(COUNTIFS(実績!$W$6:$W$505,C$3,実績!$AI$6:$AI$505,"&lt;="&amp;$A167,実績!$AJ$6:$AJ$505,"&gt;"&amp;$A167,実績!$AL$6:$AL$505,"○")&gt;0,1,0))</f>
        <v>0</v>
      </c>
      <c r="D167" s="39" t="n">
        <f aca="false">IF(D$4=0,0,IF(COUNTIFS(実績!$W$6:$W$505,D$3,実績!$AI$6:$AI$505,"&lt;="&amp;$A167,実績!$AJ$6:$AJ$505,"&gt;"&amp;$A167,実績!$AL$6:$AL$505,"○")&gt;0,1,0))</f>
        <v>0</v>
      </c>
      <c r="E167" s="39" t="n">
        <f aca="false">IF(E$4=0,0,IF(COUNTIFS(実績!$W$6:$W$505,E$3,実績!$AI$6:$AI$505,"&lt;="&amp;$A167,実績!$AJ$6:$AJ$505,"&gt;"&amp;$A167,実績!$AL$6:$AL$505,"○")&gt;0,1,0))</f>
        <v>0</v>
      </c>
      <c r="F167" s="39" t="n">
        <f aca="false">IF(F$4=0,0,IF(COUNTIFS(実績!$W$6:$W$505,F$3,実績!$AI$6:$AI$505,"&lt;="&amp;$A167,実績!$AJ$6:$AJ$505,"&gt;"&amp;$A167,実績!$AL$6:$AL$505,"○")&gt;0,1,0))</f>
        <v>0</v>
      </c>
      <c r="G167" s="39" t="n">
        <f aca="false">IF(G$4=0,0,IF(COUNTIFS(実績!$W$6:$W$505,G$3,実績!$AI$6:$AI$505,"&lt;="&amp;$A167,実績!$AJ$6:$AJ$505,"&gt;"&amp;$A167,実績!$AL$6:$AL$505,"○")&gt;0,1,0))</f>
        <v>0</v>
      </c>
      <c r="H167" s="39" t="n">
        <f aca="false">IF(H$4=0,0,IF(COUNTIFS(実績!$W$6:$W$505,H$3,実績!$AI$6:$AI$505,"&lt;="&amp;$A167,実績!$AJ$6:$AJ$505,"&gt;"&amp;$A167,実績!$AL$6:$AL$505,"○")&gt;0,1,0))</f>
        <v>0</v>
      </c>
      <c r="I167" s="39" t="n">
        <f aca="false">IF(I$4=0,0,IF(COUNTIFS(実績!$W$6:$W$505,I$3,実績!$AI$6:$AI$505,"&lt;="&amp;$A167,実績!$AJ$6:$AJ$505,"&gt;"&amp;$A167,実績!$AL$6:$AL$505,"○")&gt;0,1,0))</f>
        <v>0</v>
      </c>
      <c r="J167" s="39" t="n">
        <f aca="false">IF(J$4=0,0,IF(COUNTIFS(実績!$W$6:$W$505,J$3,実績!$AI$6:$AI$505,"&lt;="&amp;$A167,実績!$AJ$6:$AJ$505,"&gt;"&amp;$A167,実績!$AL$6:$AL$505,"○")&gt;0,1,0))</f>
        <v>0</v>
      </c>
      <c r="K167" s="39" t="n">
        <f aca="false">IF(K$4=0,0,IF(COUNTIFS(実績!$W$6:$W$505,K$3,実績!$AI$6:$AI$505,"&lt;="&amp;$A167,実績!$AJ$6:$AJ$505,"&gt;"&amp;$A167,実績!$AL$6:$AL$505,"○")&gt;0,1,0))</f>
        <v>0</v>
      </c>
      <c r="L167" s="39" t="n">
        <f aca="false">IF(L$4=0,0,IF(COUNTIFS(実績!$W$6:$W$505,L$3,実績!$AI$6:$AI$505,"&lt;="&amp;$A167,実績!$AJ$6:$AJ$505,"&gt;"&amp;$A167,実績!$AL$6:$AL$505,"○")&gt;0,1,0))</f>
        <v>0</v>
      </c>
      <c r="M167" s="39" t="n">
        <f aca="false">IF(M$4=0,0,IF(COUNTIFS(実績!$W$6:$W$505,M$3,実績!$AI$6:$AI$505,"&lt;="&amp;$A167,実績!$AJ$6:$AJ$505,"&gt;"&amp;$A167,実績!$AL$6:$AL$505,"○")&gt;0,1,0))</f>
        <v>0</v>
      </c>
      <c r="N167" s="39" t="n">
        <f aca="false">IF(N$4=0,0,IF(COUNTIFS(実績!$W$6:$W$505,N$3,実績!$AI$6:$AI$505,"&lt;="&amp;$A167,実績!$AJ$6:$AJ$505,"&gt;"&amp;$A167,実績!$AL$6:$AL$505,"○")&gt;0,1,0))</f>
        <v>0</v>
      </c>
      <c r="O167" s="39" t="n">
        <f aca="false">IF(O$4=0,0,IF(COUNTIFS(実績!$W$6:$W$505,O$3,実績!$AI$6:$AI$505,"&lt;="&amp;$A167,実績!$AJ$6:$AJ$505,"&gt;"&amp;$A167,実績!$AL$6:$AL$505,"○")&gt;0,1,0))</f>
        <v>0</v>
      </c>
      <c r="P167" s="39" t="n">
        <f aca="false">IF(P$4=0,0,IF(COUNTIFS(実績!$W$6:$W$505,P$3,実績!$AI$6:$AI$505,"&lt;="&amp;$A167,実績!$AJ$6:$AJ$505,"&gt;"&amp;$A167,実績!$AL$6:$AL$505,"○")&gt;0,1,0))</f>
        <v>0</v>
      </c>
      <c r="Q167" s="39" t="n">
        <f aca="false">IF(Q$4=0,0,IF(COUNTIFS(実績!$W$6:$W$505,Q$3,実績!$AI$6:$AI$505,"&lt;="&amp;$A167,実績!$AJ$6:$AJ$505,"&gt;"&amp;$A167,実績!$AL$6:$AL$505,"○")&gt;0,1,0))</f>
        <v>0</v>
      </c>
      <c r="R167" s="39" t="n">
        <f aca="false">IF(R$4=0,0,IF(COUNTIFS(実績!$W$6:$W$505,R$3,実績!$AI$6:$AI$505,"&lt;="&amp;$A167,実績!$AJ$6:$AJ$505,"&gt;"&amp;$A167,実績!$AL$6:$AL$505,"○")&gt;0,1,0))</f>
        <v>0</v>
      </c>
      <c r="S167" s="39" t="n">
        <f aca="false">IF(S$4=0,0,IF(COUNTIFS(実績!$W$6:$W$505,S$3,実績!$AI$6:$AI$505,"&lt;="&amp;$A167,実績!$AJ$6:$AJ$505,"&gt;"&amp;$A167,実績!$AL$6:$AL$505,"○")&gt;0,1,0))</f>
        <v>0</v>
      </c>
      <c r="T167" s="39" t="n">
        <f aca="false">IF(T$4=0,0,IF(COUNTIFS(実績!$W$6:$W$505,T$3,実績!$AI$6:$AI$505,"&lt;="&amp;$A167,実績!$AJ$6:$AJ$505,"&gt;"&amp;$A167,実績!$AL$6:$AL$505,"○")&gt;0,1,0))</f>
        <v>0</v>
      </c>
      <c r="U167" s="39" t="n">
        <f aca="false">IF(U$4=0,0,IF(COUNTIFS(実績!$W$6:$W$505,U$3,実績!$AI$6:$AI$505,"&lt;="&amp;$A167,実績!$AJ$6:$AJ$505,"&gt;"&amp;$A167,実績!$AL$6:$AL$505,"○")&gt;0,1,0))</f>
        <v>0</v>
      </c>
      <c r="V167" s="39" t="n">
        <f aca="false">IF(V$4=0,0,IF(COUNTIFS(実績!$W$6:$W$505,V$3,実績!$AI$6:$AI$505,"&lt;="&amp;$A167,実績!$AJ$6:$AJ$505,"&gt;"&amp;$A167,実績!$AL$6:$AL$505,"○")&gt;0,1,0))</f>
        <v>0</v>
      </c>
      <c r="W167" s="39" t="n">
        <f aca="false">IF(W$4=0,0,IF(COUNTIFS(実績!$W$6:$W$505,W$3,実績!$AI$6:$AI$505,"&lt;="&amp;$A167,実績!$AJ$6:$AJ$505,"&gt;"&amp;$A167,実績!$AL$6:$AL$505,"○")&gt;0,1,0))</f>
        <v>0</v>
      </c>
      <c r="X167" s="39" t="n">
        <f aca="false">IF(X$4=0,0,IF(COUNTIFS(実績!$W$6:$W$505,X$3,実績!$AI$6:$AI$505,"&lt;="&amp;$A167,実績!$AJ$6:$AJ$505,"&gt;"&amp;$A167,実績!$AL$6:$AL$505,"○")&gt;0,1,0))</f>
        <v>0</v>
      </c>
      <c r="Y167" s="39" t="n">
        <f aca="false">IF(Y$4=0,0,IF(COUNTIFS(実績!$W$6:$W$505,Y$3,実績!$AI$6:$AI$505,"&lt;="&amp;$A167,実績!$AJ$6:$AJ$505,"&gt;"&amp;$A167,実績!$AL$6:$AL$505,"○")&gt;0,1,0))</f>
        <v>0</v>
      </c>
      <c r="Z167" s="39" t="n">
        <f aca="false">IF(Z$4=0,0,IF(COUNTIFS(実績!$W$6:$W$505,Z$3,実績!$AI$6:$AI$505,"&lt;="&amp;$A167,実績!$AJ$6:$AJ$505,"&gt;"&amp;$A167,実績!$AL$6:$AL$505,"○")&gt;0,1,0))</f>
        <v>0</v>
      </c>
      <c r="AA167" s="39" t="n">
        <f aca="false">IF(AA$4=0,0,IF(COUNTIFS(実績!$W$6:$W$505,AA$3,実績!$AI$6:$AI$505,"&lt;="&amp;$A167,実績!$AJ$6:$AJ$505,"&gt;"&amp;$A167,実績!$AL$6:$AL$505,"○")&gt;0,1,0))</f>
        <v>0</v>
      </c>
      <c r="AB167" s="39" t="n">
        <f aca="false">IF(AB$4=0,0,IF(COUNTIFS(実績!$W$6:$W$505,AB$3,実績!$AI$6:$AI$505,"&lt;="&amp;$A167,実績!$AJ$6:$AJ$505,"&gt;"&amp;$A167,実績!$AL$6:$AL$505,"○")&gt;0,1,0))</f>
        <v>0</v>
      </c>
      <c r="AC167" s="39" t="n">
        <f aca="false">IF(AC$4=0,0,IF(COUNTIFS(実績!$W$6:$W$505,AC$3,実績!$AI$6:$AI$505,"&lt;="&amp;$A167,実績!$AJ$6:$AJ$505,"&gt;"&amp;$A167,実績!$AL$6:$AL$505,"○")&gt;0,1,0))</f>
        <v>0</v>
      </c>
      <c r="AD167" s="39" t="n">
        <f aca="false">IF(AD$4=0,0,IF(COUNTIFS(実績!$W$6:$W$505,AD$3,実績!$AI$6:$AI$505,"&lt;="&amp;$A167,実績!$AJ$6:$AJ$505,"&gt;"&amp;$A167,実績!$AL$6:$AL$505,"○")&gt;0,1,0))</f>
        <v>0</v>
      </c>
      <c r="AE167" s="39" t="n">
        <f aca="false">IF(AE$4=0,0,IF(COUNTIFS(実績!$W$6:$W$505,AE$3,実績!$AI$6:$AI$505,"&lt;="&amp;$A167,実績!$AJ$6:$AJ$505,"&gt;"&amp;$A167,実績!$AL$6:$AL$505,"○")&gt;0,1,0))</f>
        <v>0</v>
      </c>
      <c r="AF167" s="39" t="n">
        <f aca="false">IF(AF$4=0,0,IF(COUNTIFS(実績!$W$6:$W$505,AF$3,実績!$AI$6:$AI$505,"&lt;="&amp;$A167,実績!$AJ$6:$AJ$505,"&gt;"&amp;$A167,実績!$AL$6:$AL$505,"○")&gt;0,1,0))</f>
        <v>0</v>
      </c>
      <c r="AG167" s="39" t="n">
        <f aca="false">IF(AG$4=0,0,IF(COUNTIFS(実績!$W$6:$W$505,AG$3,実績!$AI$6:$AI$505,"&lt;="&amp;$A167,実績!$AJ$6:$AJ$505,"&gt;"&amp;$A167,実績!$AL$6:$AL$505,"○")&gt;0,1,0))</f>
        <v>0</v>
      </c>
      <c r="AH167" s="39" t="n">
        <f aca="false">IF(AH$4=0,0,IF(COUNTIFS(実績!$W$6:$W$505,AH$3,実績!$AI$6:$AI$505,"&lt;="&amp;$A167,実績!$AJ$6:$AJ$505,"&gt;"&amp;$A167,実績!$AL$6:$AL$505,"○")&gt;0,1,0))</f>
        <v>0</v>
      </c>
      <c r="AI167" s="39" t="n">
        <f aca="false">IF(AI$4=0,0,IF(COUNTIFS(実績!$W$6:$W$505,AI$3,実績!$AI$6:$AI$505,"&lt;="&amp;$A167,実績!$AJ$6:$AJ$505,"&gt;"&amp;$A167,実績!$AL$6:$AL$505,"○")&gt;0,1,0))</f>
        <v>0</v>
      </c>
      <c r="AJ167" s="39" t="n">
        <f aca="false">IF(AJ$4=0,0,IF(COUNTIFS(実績!$W$6:$W$505,AJ$3,実績!$AI$6:$AI$505,"&lt;="&amp;$A167,実績!$AJ$6:$AJ$505,"&gt;"&amp;$A167,実績!$AL$6:$AL$505,"○")&gt;0,1,0))</f>
        <v>0</v>
      </c>
      <c r="AK167" s="39" t="n">
        <f aca="false">IF(AK$4=0,0,IF(COUNTIFS(実績!$W$6:$W$505,AK$3,実績!$AI$6:$AI$505,"&lt;="&amp;$A167,実績!$AJ$6:$AJ$505,"&gt;"&amp;$A167,実績!$AL$6:$AL$505,"○")&gt;0,1,0))</f>
        <v>0</v>
      </c>
      <c r="AL167" s="39" t="n">
        <f aca="false">IF(AL$4=0,0,IF(COUNTIFS(実績!$W$6:$W$505,AL$3,実績!$AI$6:$AI$505,"&lt;="&amp;$A167,実績!$AJ$6:$AJ$505,"&gt;"&amp;$A167,実績!$AL$6:$AL$505,"○")&gt;0,1,0))</f>
        <v>0</v>
      </c>
      <c r="AM167" s="39" t="n">
        <f aca="false">IF(AM$4=0,0,IF(COUNTIFS(実績!$W$6:$W$505,AM$3,実績!$AI$6:$AI$505,"&lt;="&amp;$A167,実績!$AJ$6:$AJ$505,"&gt;"&amp;$A167,実績!$AL$6:$AL$505,"○")&gt;0,1,0))</f>
        <v>0</v>
      </c>
      <c r="AN167" s="39" t="n">
        <f aca="false">IF(AN$4=0,0,IF(COUNTIFS(実績!$W$6:$W$505,AN$3,実績!$AI$6:$AI$505,"&lt;="&amp;$A167,実績!$AJ$6:$AJ$505,"&gt;"&amp;$A167,実績!$AL$6:$AL$505,"○")&gt;0,1,0))</f>
        <v>0</v>
      </c>
      <c r="AO167" s="39" t="n">
        <f aca="false">IF(AO$4=0,0,IF(COUNTIFS(実績!$W$6:$W$505,AO$3,実績!$AI$6:$AI$505,"&lt;="&amp;$A167,実績!$AJ$6:$AJ$505,"&gt;"&amp;$A167,実績!$AL$6:$AL$505,"○")&gt;0,1,0))</f>
        <v>0</v>
      </c>
      <c r="AP167" s="39" t="n">
        <f aca="false">IF(AP$4=0,0,IF(COUNTIFS(実績!$W$6:$W$505,AP$3,実績!$AI$6:$AI$505,"&lt;="&amp;$A167,実績!$AJ$6:$AJ$505,"&gt;"&amp;$A167,実績!$AL$6:$AL$505,"○")&gt;0,1,0))</f>
        <v>0</v>
      </c>
      <c r="AQ167" s="39" t="n">
        <f aca="false">IF(AQ$4=0,0,IF(COUNTIFS(実績!$W$6:$W$505,AQ$3,実績!$AI$6:$AI$505,"&lt;="&amp;$A167,実績!$AJ$6:$AJ$505,"&gt;"&amp;$A167,実績!$AL$6:$AL$505,"○")&gt;0,1,0))</f>
        <v>0</v>
      </c>
      <c r="AR167" s="39" t="n">
        <f aca="false">IF(AR$4=0,0,IF(COUNTIFS(実績!$W$6:$W$505,AR$3,実績!$AI$6:$AI$505,"&lt;="&amp;$A167,実績!$AJ$6:$AJ$505,"&gt;"&amp;$A167,実績!$AL$6:$AL$505,"○")&gt;0,1,0))</f>
        <v>0</v>
      </c>
      <c r="AS167" s="39" t="n">
        <f aca="false">IF(AS$4=0,0,IF(COUNTIFS(実績!$W$6:$W$505,AS$3,実績!$AI$6:$AI$505,"&lt;="&amp;$A167,実績!$AJ$6:$AJ$505,"&gt;"&amp;$A167,実績!$AL$6:$AL$505,"○")&gt;0,1,0))</f>
        <v>0</v>
      </c>
      <c r="AT167" s="39" t="n">
        <f aca="false">IF(AT$4=0,0,IF(COUNTIFS(実績!$W$6:$W$505,AT$3,実績!$AI$6:$AI$505,"&lt;="&amp;$A167,実績!$AJ$6:$AJ$505,"&gt;"&amp;$A167,実績!$AL$6:$AL$505,"○")&gt;0,1,0))</f>
        <v>0</v>
      </c>
      <c r="AU167" s="39" t="n">
        <f aca="false">IF(AU$4=0,0,IF(COUNTIFS(実績!$W$6:$W$505,AU$3,実績!$AI$6:$AI$505,"&lt;="&amp;$A167,実績!$AJ$6:$AJ$505,"&gt;"&amp;$A167,実績!$AL$6:$AL$505,"○")&gt;0,1,0))</f>
        <v>0</v>
      </c>
      <c r="AV167" s="39" t="n">
        <f aca="false">IF(AV$4=0,0,IF(COUNTIFS(実績!$W$6:$W$505,AV$3,実績!$AI$6:$AI$505,"&lt;="&amp;$A167,実績!$AJ$6:$AJ$505,"&gt;"&amp;$A167,実績!$AL$6:$AL$505,"○")&gt;0,1,0))</f>
        <v>0</v>
      </c>
      <c r="AW167" s="39" t="n">
        <f aca="false">IF(AW$4=0,0,IF(COUNTIFS(実績!$W$6:$W$505,AW$3,実績!$AI$6:$AI$505,"&lt;="&amp;$A167,実績!$AJ$6:$AJ$505,"&gt;"&amp;$A167,実績!$AL$6:$AL$505,"○")&gt;0,1,0))</f>
        <v>0</v>
      </c>
      <c r="AX167" s="39" t="n">
        <f aca="false">IF(AX$4=0,0,IF(COUNTIFS(実績!$W$6:$W$505,AX$3,実績!$AI$6:$AI$505,"&lt;="&amp;$A167,実績!$AJ$6:$AJ$505,"&gt;"&amp;$A167,実績!$AL$6:$AL$505,"○")&gt;0,1,0))</f>
        <v>0</v>
      </c>
      <c r="AY167" s="39" t="n">
        <f aca="false">IF(AY$4=0,0,IF(COUNTIFS(実績!$W$6:$W$505,AY$3,実績!$AI$6:$AI$505,"&lt;="&amp;$A167,実績!$AJ$6:$AJ$505,"&gt;"&amp;$A167,実績!$AL$6:$AL$505,"○")&gt;0,1,0))</f>
        <v>0</v>
      </c>
      <c r="AZ167" s="39" t="n">
        <f aca="false">IF(AZ$4=0,0,IF(COUNTIFS(実績!$W$6:$W$505,AZ$3,実績!$AI$6:$AI$505,"&lt;="&amp;$A167,実績!$AJ$6:$AJ$505,"&gt;"&amp;$A167,実績!$AL$6:$AL$505,"○")&gt;0,1,0))</f>
        <v>0</v>
      </c>
      <c r="BA167" s="39" t="n">
        <f aca="false">IF(BA$4=0,0,IF(COUNTIFS(実績!$W$6:$W$505,BA$3,実績!$AI$6:$AI$505,"&lt;="&amp;$A167,実績!$AJ$6:$AJ$505,"&gt;"&amp;$A167,実績!$AL$6:$AL$505,"○")&gt;0,1,0))</f>
        <v>0</v>
      </c>
      <c r="BB167" s="39" t="n">
        <f aca="false">IF(BB$4=0,0,IF(COUNTIFS(実績!$W$6:$W$505,BB$3,実績!$AI$6:$AI$505,"&lt;="&amp;$A167,実績!$AJ$6:$AJ$505,"&gt;"&amp;$A167,実績!$AL$6:$AL$505,"○")&gt;0,1,0))</f>
        <v>0</v>
      </c>
      <c r="BC167" s="39" t="n">
        <f aca="false">IF(BC$4=0,0,IF(COUNTIFS(実績!$W$6:$W$505,BC$3,実績!$AI$6:$AI$505,"&lt;="&amp;$A167,実績!$AJ$6:$AJ$505,"&gt;"&amp;$A167,実績!$AL$6:$AL$505,"○")&gt;0,1,0))</f>
        <v>0</v>
      </c>
      <c r="BD167" s="39" t="n">
        <f aca="false">IF(BD$4=0,0,IF(COUNTIFS(実績!$W$6:$W$505,BD$3,実績!$AI$6:$AI$505,"&lt;="&amp;$A167,実績!$AJ$6:$AJ$505,"&gt;"&amp;$A167,実績!$AL$6:$AL$505,"○")&gt;0,1,0))</f>
        <v>0</v>
      </c>
      <c r="BE167" s="39" t="n">
        <f aca="false">IF(BE$4=0,0,IF(COUNTIFS(実績!$W$6:$W$505,BE$3,実績!$AI$6:$AI$505,"&lt;="&amp;$A167,実績!$AJ$6:$AJ$505,"&gt;"&amp;$A167,実績!$AL$6:$AL$505,"○")&gt;0,1,0))</f>
        <v>0</v>
      </c>
      <c r="BF167" s="39" t="n">
        <f aca="false">IF(BF$4=0,0,IF(COUNTIFS(実績!$W$6:$W$505,BF$3,実績!$AI$6:$AI$505,"&lt;="&amp;$A167,実績!$AJ$6:$AJ$505,"&gt;"&amp;$A167,実績!$AL$6:$AL$505,"○")&gt;0,1,0))</f>
        <v>0</v>
      </c>
      <c r="BG167" s="39" t="n">
        <f aca="false">IF(BG$4=0,0,IF(COUNTIFS(実績!$W$6:$W$505,BG$3,実績!$AI$6:$AI$505,"&lt;="&amp;$A167,実績!$AJ$6:$AJ$505,"&gt;"&amp;$A167,実績!$AL$6:$AL$505,"○")&gt;0,1,0))</f>
        <v>0</v>
      </c>
      <c r="BH167" s="39" t="n">
        <f aca="false">IF(BH$4=0,0,IF(COUNTIFS(実績!$W$6:$W$505,BH$3,実績!$AI$6:$AI$505,"&lt;="&amp;$A167,実績!$AJ$6:$AJ$505,"&gt;"&amp;$A167,実績!$AL$6:$AL$505,"○")&gt;0,1,0))</f>
        <v>0</v>
      </c>
      <c r="BI167" s="39" t="n">
        <f aca="false">IF(BI$4=0,0,IF(COUNTIFS(実績!$W$6:$W$505,BI$3,実績!$AI$6:$AI$505,"&lt;="&amp;$A167,実績!$AJ$6:$AJ$505,"&gt;"&amp;$A167,実績!$AL$6:$AL$505,"○")&gt;0,1,0))</f>
        <v>0</v>
      </c>
      <c r="BJ167" s="39" t="n">
        <f aca="false">IF(BJ$4=0,0,IF(COUNTIFS(実績!$W$6:$W$505,BJ$3,実績!$AI$6:$AI$505,"&lt;="&amp;$A167,実績!$AJ$6:$AJ$505,"&gt;"&amp;$A167,実績!$AL$6:$AL$505,"○")&gt;0,1,0))</f>
        <v>0</v>
      </c>
      <c r="BK167" s="39" t="n">
        <f aca="false">IF(BK$4=0,0,IF(COUNTIFS(実績!$W$6:$W$505,BK$3,実績!$AI$6:$AI$505,"&lt;="&amp;$A167,実績!$AJ$6:$AJ$505,"&gt;"&amp;$A167,実績!$AL$6:$AL$505,"○")&gt;0,1,0))</f>
        <v>0</v>
      </c>
      <c r="BL167" s="39" t="n">
        <f aca="false">IF(BL$4=0,0,IF(COUNTIFS(実績!$W$6:$W$505,BL$3,実績!$AI$6:$AI$505,"&lt;="&amp;$A167,実績!$AJ$6:$AJ$505,"&gt;"&amp;$A167,実績!$AL$6:$AL$505,"○")&gt;0,1,0))</f>
        <v>0</v>
      </c>
      <c r="BM167" s="39" t="n">
        <f aca="false">IF(BM$4=0,0,IF(COUNTIFS(実績!$W$6:$W$505,BM$3,実績!$AI$6:$AI$505,"&lt;="&amp;$A167,実績!$AJ$6:$AJ$505,"&gt;"&amp;$A167,実績!$AL$6:$AL$505,"○")&gt;0,1,0))</f>
        <v>0</v>
      </c>
      <c r="BN167" s="39" t="n">
        <f aca="false">IF(BN$4=0,0,IF(COUNTIFS(実績!$W$6:$W$505,BN$3,実績!$AI$6:$AI$505,"&lt;="&amp;$A167,実績!$AJ$6:$AJ$505,"&gt;"&amp;$A167,実績!$AL$6:$AL$505,"○")&gt;0,1,0))</f>
        <v>0</v>
      </c>
      <c r="BO167" s="39" t="n">
        <f aca="false">IF(BO$4=0,0,IF(COUNTIFS(実績!$W$6:$W$505,BO$3,実績!$AI$6:$AI$505,"&lt;="&amp;$A167,実績!$AJ$6:$AJ$505,"&gt;"&amp;$A167,実績!$AL$6:$AL$505,"○")&gt;0,1,0))</f>
        <v>0</v>
      </c>
      <c r="BP167" s="39" t="n">
        <f aca="false">IF(BP$4=0,0,IF(COUNTIFS(実績!$W$6:$W$505,BP$3,実績!$AI$6:$AI$505,"&lt;="&amp;$A167,実績!$AJ$6:$AJ$505,"&gt;"&amp;$A167,実績!$AL$6:$AL$505,"○")&gt;0,1,0))</f>
        <v>0</v>
      </c>
      <c r="BQ167" s="39" t="n">
        <f aca="false">IF(BQ$4=0,0,IF(COUNTIFS(実績!$W$6:$W$505,BQ$3,実績!$AI$6:$AI$505,"&lt;="&amp;$A167,実績!$AJ$6:$AJ$505,"&gt;"&amp;$A167,実績!$AL$6:$AL$505,"○")&gt;0,1,0))</f>
        <v>0</v>
      </c>
      <c r="BR167" s="39" t="n">
        <f aca="false">IF(BR$4=0,0,IF(COUNTIFS(実績!$W$6:$W$505,BR$3,実績!$AI$6:$AI$505,"&lt;="&amp;$A167,実績!$AJ$6:$AJ$505,"&gt;"&amp;$A167,実績!$AL$6:$AL$505,"○")&gt;0,1,0))</f>
        <v>0</v>
      </c>
      <c r="BS167" s="39" t="n">
        <f aca="false">IF(BS$4=0,0,IF(COUNTIFS(実績!$W$6:$W$505,BS$3,実績!$AI$6:$AI$505,"&lt;="&amp;$A167,実績!$AJ$6:$AJ$505,"&gt;"&amp;$A167,実績!$AL$6:$AL$505,"○")&gt;0,1,0))</f>
        <v>0</v>
      </c>
      <c r="BT167" s="39" t="n">
        <f aca="false">IF(BT$4=0,0,IF(COUNTIFS(実績!$W$6:$W$505,BT$3,実績!$AI$6:$AI$505,"&lt;="&amp;$A167,実績!$AJ$6:$AJ$505,"&gt;"&amp;$A167,実績!$AL$6:$AL$505,"○")&gt;0,1,0))</f>
        <v>0</v>
      </c>
      <c r="BU167" s="39" t="n">
        <f aca="false">IF(BU$4=0,0,IF(COUNTIFS(実績!$W$6:$W$505,BU$3,実績!$AI$6:$AI$505,"&lt;="&amp;$A167,実績!$AJ$6:$AJ$505,"&gt;"&amp;$A167,実績!$AL$6:$AL$505,"○")&gt;0,1,0))</f>
        <v>0</v>
      </c>
      <c r="BV167" s="39" t="n">
        <f aca="false">IF(BV$4=0,0,IF(COUNTIFS(実績!$W$6:$W$505,BV$3,実績!$AI$6:$AI$505,"&lt;="&amp;$A167,実績!$AJ$6:$AJ$505,"&gt;"&amp;$A167,実績!$AL$6:$AL$505,"○")&gt;0,1,0))</f>
        <v>0</v>
      </c>
      <c r="BW167" s="39" t="n">
        <f aca="false">IF(BW$4=0,0,IF(COUNTIFS(実績!$W$6:$W$505,BW$3,実績!$AI$6:$AI$505,"&lt;="&amp;$A167,実績!$AJ$6:$AJ$505,"&gt;"&amp;$A167,実績!$AL$6:$AL$505,"○")&gt;0,1,0))</f>
        <v>0</v>
      </c>
      <c r="BX167" s="39" t="n">
        <f aca="false">IF(BX$4=0,0,IF(COUNTIFS(実績!$W$6:$W$505,BX$3,実績!$AI$6:$AI$505,"&lt;="&amp;$A167,実績!$AJ$6:$AJ$505,"&gt;"&amp;$A167,実績!$AL$6:$AL$505,"○")&gt;0,1,0))</f>
        <v>0</v>
      </c>
      <c r="BY167" s="39" t="n">
        <f aca="false">IF(BY$4=0,0,IF(COUNTIFS(実績!$W$6:$W$505,BY$3,実績!$AI$6:$AI$505,"&lt;="&amp;$A167,実績!$AJ$6:$AJ$505,"&gt;"&amp;$A167,実績!$AL$6:$AL$505,"○")&gt;0,1,0))</f>
        <v>0</v>
      </c>
      <c r="BZ167" s="39" t="n">
        <f aca="false">IF(BZ$4=0,0,IF(COUNTIFS(実績!$W$6:$W$505,BZ$3,実績!$AI$6:$AI$505,"&lt;="&amp;$A167,実績!$AJ$6:$AJ$505,"&gt;"&amp;$A167,実績!$AL$6:$AL$505,"○")&gt;0,1,0))</f>
        <v>0</v>
      </c>
      <c r="CA167" s="39" t="n">
        <f aca="false">IF(CA$4=0,0,IF(COUNTIFS(実績!$W$6:$W$505,CA$3,実績!$AI$6:$AI$505,"&lt;="&amp;$A167,実績!$AJ$6:$AJ$505,"&gt;"&amp;$A167,実績!$AL$6:$AL$505,"○")&gt;0,1,0))</f>
        <v>0</v>
      </c>
      <c r="CB167" s="39" t="n">
        <f aca="false">IF(CB$4=0,0,IF(COUNTIFS(実績!$W$6:$W$505,CB$3,実績!$AI$6:$AI$505,"&lt;="&amp;$A167,実績!$AJ$6:$AJ$505,"&gt;"&amp;$A167,実績!$AL$6:$AL$505,"○")&gt;0,1,0))</f>
        <v>0</v>
      </c>
      <c r="CC167" s="39" t="n">
        <f aca="false">IF(CC$4=0,0,IF(COUNTIFS(実績!$W$6:$W$505,CC$3,実績!$AI$6:$AI$505,"&lt;="&amp;$A167,実績!$AJ$6:$AJ$505,"&gt;"&amp;$A167,実績!$AL$6:$AL$505,"○")&gt;0,1,0))</f>
        <v>0</v>
      </c>
      <c r="CD167" s="39" t="n">
        <f aca="false">IF(CD$4=0,0,IF(COUNTIFS(実績!$W$6:$W$505,CD$3,実績!$AI$6:$AI$505,"&lt;="&amp;$A167,実績!$AJ$6:$AJ$505,"&gt;"&amp;$A167,実績!$AL$6:$AL$505,"○")&gt;0,1,0))</f>
        <v>0</v>
      </c>
      <c r="CE167" s="39" t="n">
        <f aca="false">IF(CE$4=0,0,IF(COUNTIFS(実績!$W$6:$W$505,CE$3,実績!$AI$6:$AI$505,"&lt;="&amp;$A167,実績!$AJ$6:$AJ$505,"&gt;"&amp;$A167,実績!$AL$6:$AL$505,"○")&gt;0,1,0))</f>
        <v>0</v>
      </c>
      <c r="CF167" s="39" t="n">
        <f aca="false">IF(CF$4=0,0,IF(COUNTIFS(実績!$W$6:$W$505,CF$3,実績!$AI$6:$AI$505,"&lt;="&amp;$A167,実績!$AJ$6:$AJ$505,"&gt;"&amp;$A167,実績!$AL$6:$AL$505,"○")&gt;0,1,0))</f>
        <v>0</v>
      </c>
      <c r="CG167" s="39" t="n">
        <f aca="false">IF(CG$4=0,0,IF(COUNTIFS(実績!$W$6:$W$505,CG$3,実績!$AI$6:$AI$505,"&lt;="&amp;$A167,実績!$AJ$6:$AJ$505,"&gt;"&amp;$A167,実績!$AL$6:$AL$505,"○")&gt;0,1,0))</f>
        <v>0</v>
      </c>
      <c r="CH167" s="39" t="n">
        <f aca="false">IF(CH$4=0,0,IF(COUNTIFS(実績!$W$6:$W$505,CH$3,実績!$AI$6:$AI$505,"&lt;="&amp;$A167,実績!$AJ$6:$AJ$505,"&gt;"&amp;$A167,実績!$AL$6:$AL$505,"○")&gt;0,1,0))</f>
        <v>0</v>
      </c>
      <c r="CI167" s="39" t="n">
        <f aca="false">IF(CI$4=0,0,IF(COUNTIFS(実績!$W$6:$W$505,CI$3,実績!$AI$6:$AI$505,"&lt;="&amp;$A167,実績!$AJ$6:$AJ$505,"&gt;"&amp;$A167,実績!$AL$6:$AL$505,"○")&gt;0,1,0))</f>
        <v>0</v>
      </c>
      <c r="CJ167" s="39" t="n">
        <f aca="false">IF(CJ$4=0,0,IF(COUNTIFS(実績!$W$6:$W$505,CJ$3,実績!$AI$6:$AI$505,"&lt;="&amp;$A167,実績!$AJ$6:$AJ$505,"&gt;"&amp;$A167,実績!$AL$6:$AL$505,"○")&gt;0,1,0))</f>
        <v>0</v>
      </c>
      <c r="CK167" s="39" t="n">
        <f aca="false">IF(CK$4=0,0,IF(COUNTIFS(実績!$W$6:$W$505,CK$3,実績!$AI$6:$AI$505,"&lt;="&amp;$A167,実績!$AJ$6:$AJ$505,"&gt;"&amp;$A167,実績!$AL$6:$AL$505,"○")&gt;0,1,0))</f>
        <v>0</v>
      </c>
      <c r="CL167" s="39" t="n">
        <f aca="false">IF(CL$4=0,0,IF(COUNTIFS(実績!$W$6:$W$505,CL$3,実績!$AI$6:$AI$505,"&lt;="&amp;$A167,実績!$AJ$6:$AJ$505,"&gt;"&amp;$A167,実績!$AL$6:$AL$505,"○")&gt;0,1,0))</f>
        <v>0</v>
      </c>
      <c r="CM167" s="39" t="n">
        <f aca="false">IF(CM$4=0,0,IF(COUNTIFS(実績!$W$6:$W$505,CM$3,実績!$AI$6:$AI$505,"&lt;="&amp;$A167,実績!$AJ$6:$AJ$505,"&gt;"&amp;$A167,実績!$AL$6:$AL$505,"○")&gt;0,1,0))</f>
        <v>0</v>
      </c>
      <c r="CN167" s="39" t="n">
        <f aca="false">IF(CN$4=0,0,IF(COUNTIFS(実績!$W$6:$W$505,CN$3,実績!$AI$6:$AI$505,"&lt;="&amp;$A167,実績!$AJ$6:$AJ$505,"&gt;"&amp;$A167,実績!$AL$6:$AL$505,"○")&gt;0,1,0))</f>
        <v>0</v>
      </c>
      <c r="CO167" s="39" t="n">
        <f aca="false">IF(CO$4=0,0,IF(COUNTIFS(実績!$W$6:$W$505,CO$3,実績!$AI$6:$AI$505,"&lt;="&amp;$A167,実績!$AJ$6:$AJ$505,"&gt;"&amp;$A167,実績!$AL$6:$AL$505,"○")&gt;0,1,0))</f>
        <v>0</v>
      </c>
      <c r="CP167" s="39" t="n">
        <f aca="false">IF(CP$4=0,0,IF(COUNTIFS(実績!$W$6:$W$505,CP$3,実績!$AI$6:$AI$505,"&lt;="&amp;$A167,実績!$AJ$6:$AJ$505,"&gt;"&amp;$A167,実績!$AL$6:$AL$505,"○")&gt;0,1,0))</f>
        <v>0</v>
      </c>
      <c r="CQ167" s="39" t="n">
        <f aca="false">IF(CQ$4=0,0,IF(COUNTIFS(実績!$W$6:$W$505,CQ$3,実績!$AI$6:$AI$505,"&lt;="&amp;$A167,実績!$AJ$6:$AJ$505,"&gt;"&amp;$A167,実績!$AL$6:$AL$505,"○")&gt;0,1,0))</f>
        <v>0</v>
      </c>
      <c r="CR167" s="39" t="n">
        <f aca="false">IF(CR$4=0,0,IF(COUNTIFS(実績!$W$6:$W$505,CR$3,実績!$AI$6:$AI$505,"&lt;="&amp;$A167,実績!$AJ$6:$AJ$505,"&gt;"&amp;$A167,実績!$AL$6:$AL$505,"○")&gt;0,1,0))</f>
        <v>0</v>
      </c>
      <c r="CS167" s="39" t="n">
        <f aca="false">IF(CS$4=0,0,IF(COUNTIFS(実績!$W$6:$W$505,CS$3,実績!$AI$6:$AI$505,"&lt;="&amp;$A167,実績!$AJ$6:$AJ$505,"&gt;"&amp;$A167,実績!$AL$6:$AL$505,"○")&gt;0,1,0))</f>
        <v>0</v>
      </c>
      <c r="CT167" s="39" t="n">
        <f aca="false">IF(CT$4=0,0,IF(COUNTIFS(実績!$W$6:$W$505,CT$3,実績!$AI$6:$AI$505,"&lt;="&amp;$A167,実績!$AJ$6:$AJ$505,"&gt;"&amp;$A167,実績!$AL$6:$AL$505,"○")&gt;0,1,0))</f>
        <v>0</v>
      </c>
      <c r="CU167" s="39" t="n">
        <f aca="false">IF(CU$4=0,0,IF(COUNTIFS(実績!$W$6:$W$505,CU$3,実績!$AI$6:$AI$505,"&lt;="&amp;$A167,実績!$AJ$6:$AJ$505,"&gt;"&amp;$A167,実績!$AL$6:$AL$505,"○")&gt;0,1,0))</f>
        <v>0</v>
      </c>
      <c r="CV167" s="39" t="n">
        <f aca="false">IF(CV$4=0,0,IF(COUNTIFS(実績!$W$6:$W$505,CV$3,実績!$AI$6:$AI$505,"&lt;="&amp;$A167,実績!$AJ$6:$AJ$505,"&gt;"&amp;$A167,実績!$AL$6:$AL$505,"○")&gt;0,1,0))</f>
        <v>0</v>
      </c>
      <c r="CW167" s="39" t="n">
        <f aca="false">IF(CW$4=0,0,IF(COUNTIFS(実績!$W$6:$W$505,CW$3,実績!$AI$6:$AI$505,"&lt;="&amp;$A167,実績!$AJ$6:$AJ$505,"&gt;"&amp;$A167,実績!$AL$6:$AL$505,"○")&gt;0,1,0))</f>
        <v>0</v>
      </c>
      <c r="CX167" s="39" t="n">
        <f aca="false">IF(CX$4=0,0,IF(COUNTIFS(実績!$W$6:$W$505,CX$3,実績!$AI$6:$AI$505,"&lt;="&amp;$A167,実績!$AJ$6:$AJ$505,"&gt;"&amp;$A167,実績!$AL$6:$AL$505,"○")&gt;0,1,0))</f>
        <v>0</v>
      </c>
      <c r="CY167" s="39" t="n">
        <f aca="false">IF(CY$4=0,0,IF(COUNTIFS(実績!$W$6:$W$505,CY$3,実績!$AI$6:$AI$505,"&lt;="&amp;$A167,実績!$AJ$6:$AJ$505,"&gt;"&amp;$A167,実績!$AL$6:$AL$505,"○")&gt;0,1,0))</f>
        <v>0</v>
      </c>
      <c r="CZ167" s="39" t="n">
        <f aca="false">IF(CZ$4=0,0,IF(COUNTIFS(実績!$W$6:$W$505,CZ$3,実績!$AI$6:$AI$505,"&lt;="&amp;$A167,実績!$AJ$6:$AJ$505,"&gt;"&amp;$A167,実績!$AL$6:$AL$505,"○")&gt;0,1,0))</f>
        <v>0</v>
      </c>
      <c r="DA167" s="39" t="n">
        <f aca="false">IF(DA$4=0,0,IF(COUNTIFS(実績!$W$6:$W$505,DA$3,実績!$AI$6:$AI$505,"&lt;="&amp;$A167,実績!$AJ$6:$AJ$505,"&gt;"&amp;$A167,実績!$AL$6:$AL$505,"○")&gt;0,1,0))</f>
        <v>0</v>
      </c>
      <c r="DB167" s="39" t="n">
        <f aca="false">IF(DB$4=0,0,IF(COUNTIFS(実績!$W$6:$W$505,DB$3,実績!$AI$6:$AI$505,"&lt;="&amp;$A167,実績!$AJ$6:$AJ$505,"&gt;"&amp;$A167,実績!$AL$6:$AL$505,"○")&gt;0,1,0))</f>
        <v>0</v>
      </c>
      <c r="DC167" s="39" t="n">
        <f aca="false">IF(DC$4=0,0,IF(COUNTIFS(実績!$W$6:$W$505,DC$3,実績!$AI$6:$AI$505,"&lt;="&amp;$A167,実績!$AJ$6:$AJ$505,"&gt;"&amp;$A167,実績!$AL$6:$AL$505,"○")&gt;0,1,0))</f>
        <v>0</v>
      </c>
      <c r="DD167" s="39" t="n">
        <f aca="false">IF(DD$4=0,0,IF(COUNTIFS(実績!$W$6:$W$505,DD$3,実績!$AI$6:$AI$505,"&lt;="&amp;$A167,実績!$AJ$6:$AJ$505,"&gt;"&amp;$A167,実績!$AL$6:$AL$505,"○")&gt;0,1,0))</f>
        <v>0</v>
      </c>
      <c r="DE167" s="39" t="n">
        <f aca="false">IF(DE$4=0,0,IF(COUNTIFS(実績!$W$6:$W$505,DE$3,実績!$AI$6:$AI$505,"&lt;="&amp;$A167,実績!$AJ$6:$AJ$505,"&gt;"&amp;$A167,実績!$AL$6:$AL$505,"○")&gt;0,1,0))</f>
        <v>0</v>
      </c>
      <c r="DF167" s="39" t="n">
        <f aca="false">IF(DF$4=0,0,IF(COUNTIFS(実績!$W$6:$W$505,DF$3,実績!$AI$6:$AI$505,"&lt;="&amp;$A167,実績!$AJ$6:$AJ$505,"&gt;"&amp;$A167,実績!$AL$6:$AL$505,"○")&gt;0,1,0))</f>
        <v>0</v>
      </c>
      <c r="DG167" s="39" t="n">
        <f aca="false">IF(DG$4=0,0,IF(COUNTIFS(実績!$W$6:$W$505,DG$3,実績!$AI$6:$AI$505,"&lt;="&amp;$A167,実績!$AJ$6:$AJ$505,"&gt;"&amp;$A167,実績!$AL$6:$AL$505,"○")&gt;0,1,0))</f>
        <v>0</v>
      </c>
      <c r="DH167" s="39" t="n">
        <f aca="false">IF(DH$4=0,0,IF(COUNTIFS(実績!$W$6:$W$505,DH$3,実績!$AI$6:$AI$505,"&lt;="&amp;$A167,実績!$AJ$6:$AJ$505,"&gt;"&amp;$A167,実績!$AL$6:$AL$505,"○")&gt;0,1,0))</f>
        <v>0</v>
      </c>
      <c r="DI167" s="39" t="n">
        <f aca="false">IF(DI$4=0,0,IF(COUNTIFS(実績!$W$6:$W$505,DI$3,実績!$AI$6:$AI$505,"&lt;="&amp;$A167,実績!$AJ$6:$AJ$505,"&gt;"&amp;$A167,実績!$AL$6:$AL$505,"○")&gt;0,1,0))</f>
        <v>0</v>
      </c>
      <c r="DJ167" s="39" t="n">
        <f aca="false">IF(DJ$4=0,0,IF(COUNTIFS(実績!$W$6:$W$505,DJ$3,実績!$AI$6:$AI$505,"&lt;="&amp;$A167,実績!$AJ$6:$AJ$505,"&gt;"&amp;$A167,実績!$AL$6:$AL$505,"○")&gt;0,1,0))</f>
        <v>0</v>
      </c>
      <c r="DK167" s="39" t="n">
        <f aca="false">IF(DK$4=0,0,IF(COUNTIFS(実績!$W$6:$W$505,DK$3,実績!$AI$6:$AI$505,"&lt;="&amp;$A167,実績!$AJ$6:$AJ$505,"&gt;"&amp;$A167,実績!$AL$6:$AL$505,"○")&gt;0,1,0))</f>
        <v>0</v>
      </c>
      <c r="DL167" s="39" t="n">
        <f aca="false">IF(DL$4=0,0,IF(COUNTIFS(実績!$W$6:$W$505,DL$3,実績!$AI$6:$AI$505,"&lt;="&amp;$A167,実績!$AJ$6:$AJ$505,"&gt;"&amp;$A167,実績!$AL$6:$AL$505,"○")&gt;0,1,0))</f>
        <v>0</v>
      </c>
      <c r="DM167" s="39" t="n">
        <f aca="false">IF(DM$4=0,0,IF(COUNTIFS(実績!$W$6:$W$505,DM$3,実績!$AI$6:$AI$505,"&lt;="&amp;$A167,実績!$AJ$6:$AJ$505,"&gt;"&amp;$A167,実績!$AL$6:$AL$505,"○")&gt;0,1,0))</f>
        <v>0</v>
      </c>
      <c r="DN167" s="39" t="n">
        <f aca="false">IF(DN$4=0,0,IF(COUNTIFS(実績!$W$6:$W$505,DN$3,実績!$AI$6:$AI$505,"&lt;="&amp;$A167,実績!$AJ$6:$AJ$505,"&gt;"&amp;$A167,実績!$AL$6:$AL$505,"○")&gt;0,1,0))</f>
        <v>0</v>
      </c>
      <c r="DO167" s="39" t="n">
        <f aca="false">IF(DO$4=0,0,IF(COUNTIFS(実績!$W$6:$W$505,DO$3,実績!$AI$6:$AI$505,"&lt;="&amp;$A167,実績!$AJ$6:$AJ$505,"&gt;"&amp;$A167,実績!$AL$6:$AL$505,"○")&gt;0,1,0))</f>
        <v>0</v>
      </c>
      <c r="DP167" s="39" t="n">
        <f aca="false">IF(DP$4=0,0,IF(COUNTIFS(実績!$W$6:$W$505,DP$3,実績!$AI$6:$AI$505,"&lt;="&amp;$A167,実績!$AJ$6:$AJ$505,"&gt;"&amp;$A167,実績!$AL$6:$AL$505,"○")&gt;0,1,0))</f>
        <v>0</v>
      </c>
      <c r="DQ167" s="39" t="n">
        <f aca="false">IF(DQ$4=0,0,IF(COUNTIFS(実績!$W$6:$W$505,DQ$3,実績!$AI$6:$AI$505,"&lt;="&amp;$A167,実績!$AJ$6:$AJ$505,"&gt;"&amp;$A167,実績!$AL$6:$AL$505,"○")&gt;0,1,0))</f>
        <v>0</v>
      </c>
      <c r="DR167" s="39" t="n">
        <f aca="false">IF(DR$4=0,0,IF(COUNTIFS(実績!$W$6:$W$505,DR$3,実績!$AI$6:$AI$505,"&lt;="&amp;$A167,実績!$AJ$6:$AJ$505,"&gt;"&amp;$A167,実績!$AL$6:$AL$505,"○")&gt;0,1,0))</f>
        <v>0</v>
      </c>
      <c r="DS167" s="39" t="n">
        <f aca="false">SUM(C167:DR167)</f>
        <v>0</v>
      </c>
    </row>
    <row r="168" customFormat="false" ht="15" hidden="false" customHeight="false" outlineLevel="0" collapsed="false">
      <c r="A168" s="0" t="n">
        <v>810</v>
      </c>
      <c r="B168" s="38" t="n">
        <f aca="false">A168/1440</f>
        <v>0.5625</v>
      </c>
      <c r="C168" s="39" t="n">
        <f aca="false">IF(C$4=0,0,IF(COUNTIFS(実績!$W$6:$W$505,C$3,実績!$AI$6:$AI$505,"&lt;="&amp;$A168,実績!$AJ$6:$AJ$505,"&gt;"&amp;$A168,実績!$AL$6:$AL$505,"○")&gt;0,1,0))</f>
        <v>0</v>
      </c>
      <c r="D168" s="39" t="n">
        <f aca="false">IF(D$4=0,0,IF(COUNTIFS(実績!$W$6:$W$505,D$3,実績!$AI$6:$AI$505,"&lt;="&amp;$A168,実績!$AJ$6:$AJ$505,"&gt;"&amp;$A168,実績!$AL$6:$AL$505,"○")&gt;0,1,0))</f>
        <v>0</v>
      </c>
      <c r="E168" s="39" t="n">
        <f aca="false">IF(E$4=0,0,IF(COUNTIFS(実績!$W$6:$W$505,E$3,実績!$AI$6:$AI$505,"&lt;="&amp;$A168,実績!$AJ$6:$AJ$505,"&gt;"&amp;$A168,実績!$AL$6:$AL$505,"○")&gt;0,1,0))</f>
        <v>0</v>
      </c>
      <c r="F168" s="39" t="n">
        <f aca="false">IF(F$4=0,0,IF(COUNTIFS(実績!$W$6:$W$505,F$3,実績!$AI$6:$AI$505,"&lt;="&amp;$A168,実績!$AJ$6:$AJ$505,"&gt;"&amp;$A168,実績!$AL$6:$AL$505,"○")&gt;0,1,0))</f>
        <v>0</v>
      </c>
      <c r="G168" s="39" t="n">
        <f aca="false">IF(G$4=0,0,IF(COUNTIFS(実績!$W$6:$W$505,G$3,実績!$AI$6:$AI$505,"&lt;="&amp;$A168,実績!$AJ$6:$AJ$505,"&gt;"&amp;$A168,実績!$AL$6:$AL$505,"○")&gt;0,1,0))</f>
        <v>0</v>
      </c>
      <c r="H168" s="39" t="n">
        <f aca="false">IF(H$4=0,0,IF(COUNTIFS(実績!$W$6:$W$505,H$3,実績!$AI$6:$AI$505,"&lt;="&amp;$A168,実績!$AJ$6:$AJ$505,"&gt;"&amp;$A168,実績!$AL$6:$AL$505,"○")&gt;0,1,0))</f>
        <v>0</v>
      </c>
      <c r="I168" s="39" t="n">
        <f aca="false">IF(I$4=0,0,IF(COUNTIFS(実績!$W$6:$W$505,I$3,実績!$AI$6:$AI$505,"&lt;="&amp;$A168,実績!$AJ$6:$AJ$505,"&gt;"&amp;$A168,実績!$AL$6:$AL$505,"○")&gt;0,1,0))</f>
        <v>0</v>
      </c>
      <c r="J168" s="39" t="n">
        <f aca="false">IF(J$4=0,0,IF(COUNTIFS(実績!$W$6:$W$505,J$3,実績!$AI$6:$AI$505,"&lt;="&amp;$A168,実績!$AJ$6:$AJ$505,"&gt;"&amp;$A168,実績!$AL$6:$AL$505,"○")&gt;0,1,0))</f>
        <v>0</v>
      </c>
      <c r="K168" s="39" t="n">
        <f aca="false">IF(K$4=0,0,IF(COUNTIFS(実績!$W$6:$W$505,K$3,実績!$AI$6:$AI$505,"&lt;="&amp;$A168,実績!$AJ$6:$AJ$505,"&gt;"&amp;$A168,実績!$AL$6:$AL$505,"○")&gt;0,1,0))</f>
        <v>0</v>
      </c>
      <c r="L168" s="39" t="n">
        <f aca="false">IF(L$4=0,0,IF(COUNTIFS(実績!$W$6:$W$505,L$3,実績!$AI$6:$AI$505,"&lt;="&amp;$A168,実績!$AJ$6:$AJ$505,"&gt;"&amp;$A168,実績!$AL$6:$AL$505,"○")&gt;0,1,0))</f>
        <v>0</v>
      </c>
      <c r="M168" s="39" t="n">
        <f aca="false">IF(M$4=0,0,IF(COUNTIFS(実績!$W$6:$W$505,M$3,実績!$AI$6:$AI$505,"&lt;="&amp;$A168,実績!$AJ$6:$AJ$505,"&gt;"&amp;$A168,実績!$AL$6:$AL$505,"○")&gt;0,1,0))</f>
        <v>0</v>
      </c>
      <c r="N168" s="39" t="n">
        <f aca="false">IF(N$4=0,0,IF(COUNTIFS(実績!$W$6:$W$505,N$3,実績!$AI$6:$AI$505,"&lt;="&amp;$A168,実績!$AJ$6:$AJ$505,"&gt;"&amp;$A168,実績!$AL$6:$AL$505,"○")&gt;0,1,0))</f>
        <v>0</v>
      </c>
      <c r="O168" s="39" t="n">
        <f aca="false">IF(O$4=0,0,IF(COUNTIFS(実績!$W$6:$W$505,O$3,実績!$AI$6:$AI$505,"&lt;="&amp;$A168,実績!$AJ$6:$AJ$505,"&gt;"&amp;$A168,実績!$AL$6:$AL$505,"○")&gt;0,1,0))</f>
        <v>0</v>
      </c>
      <c r="P168" s="39" t="n">
        <f aca="false">IF(P$4=0,0,IF(COUNTIFS(実績!$W$6:$W$505,P$3,実績!$AI$6:$AI$505,"&lt;="&amp;$A168,実績!$AJ$6:$AJ$505,"&gt;"&amp;$A168,実績!$AL$6:$AL$505,"○")&gt;0,1,0))</f>
        <v>0</v>
      </c>
      <c r="Q168" s="39" t="n">
        <f aca="false">IF(Q$4=0,0,IF(COUNTIFS(実績!$W$6:$W$505,Q$3,実績!$AI$6:$AI$505,"&lt;="&amp;$A168,実績!$AJ$6:$AJ$505,"&gt;"&amp;$A168,実績!$AL$6:$AL$505,"○")&gt;0,1,0))</f>
        <v>0</v>
      </c>
      <c r="R168" s="39" t="n">
        <f aca="false">IF(R$4=0,0,IF(COUNTIFS(実績!$W$6:$W$505,R$3,実績!$AI$6:$AI$505,"&lt;="&amp;$A168,実績!$AJ$6:$AJ$505,"&gt;"&amp;$A168,実績!$AL$6:$AL$505,"○")&gt;0,1,0))</f>
        <v>0</v>
      </c>
      <c r="S168" s="39" t="n">
        <f aca="false">IF(S$4=0,0,IF(COUNTIFS(実績!$W$6:$W$505,S$3,実績!$AI$6:$AI$505,"&lt;="&amp;$A168,実績!$AJ$6:$AJ$505,"&gt;"&amp;$A168,実績!$AL$6:$AL$505,"○")&gt;0,1,0))</f>
        <v>0</v>
      </c>
      <c r="T168" s="39" t="n">
        <f aca="false">IF(T$4=0,0,IF(COUNTIFS(実績!$W$6:$W$505,T$3,実績!$AI$6:$AI$505,"&lt;="&amp;$A168,実績!$AJ$6:$AJ$505,"&gt;"&amp;$A168,実績!$AL$6:$AL$505,"○")&gt;0,1,0))</f>
        <v>0</v>
      </c>
      <c r="U168" s="39" t="n">
        <f aca="false">IF(U$4=0,0,IF(COUNTIFS(実績!$W$6:$W$505,U$3,実績!$AI$6:$AI$505,"&lt;="&amp;$A168,実績!$AJ$6:$AJ$505,"&gt;"&amp;$A168,実績!$AL$6:$AL$505,"○")&gt;0,1,0))</f>
        <v>0</v>
      </c>
      <c r="V168" s="39" t="n">
        <f aca="false">IF(V$4=0,0,IF(COUNTIFS(実績!$W$6:$W$505,V$3,実績!$AI$6:$AI$505,"&lt;="&amp;$A168,実績!$AJ$6:$AJ$505,"&gt;"&amp;$A168,実績!$AL$6:$AL$505,"○")&gt;0,1,0))</f>
        <v>0</v>
      </c>
      <c r="W168" s="39" t="n">
        <f aca="false">IF(W$4=0,0,IF(COUNTIFS(実績!$W$6:$W$505,W$3,実績!$AI$6:$AI$505,"&lt;="&amp;$A168,実績!$AJ$6:$AJ$505,"&gt;"&amp;$A168,実績!$AL$6:$AL$505,"○")&gt;0,1,0))</f>
        <v>0</v>
      </c>
      <c r="X168" s="39" t="n">
        <f aca="false">IF(X$4=0,0,IF(COUNTIFS(実績!$W$6:$W$505,X$3,実績!$AI$6:$AI$505,"&lt;="&amp;$A168,実績!$AJ$6:$AJ$505,"&gt;"&amp;$A168,実績!$AL$6:$AL$505,"○")&gt;0,1,0))</f>
        <v>0</v>
      </c>
      <c r="Y168" s="39" t="n">
        <f aca="false">IF(Y$4=0,0,IF(COUNTIFS(実績!$W$6:$W$505,Y$3,実績!$AI$6:$AI$505,"&lt;="&amp;$A168,実績!$AJ$6:$AJ$505,"&gt;"&amp;$A168,実績!$AL$6:$AL$505,"○")&gt;0,1,0))</f>
        <v>0</v>
      </c>
      <c r="Z168" s="39" t="n">
        <f aca="false">IF(Z$4=0,0,IF(COUNTIFS(実績!$W$6:$W$505,Z$3,実績!$AI$6:$AI$505,"&lt;="&amp;$A168,実績!$AJ$6:$AJ$505,"&gt;"&amp;$A168,実績!$AL$6:$AL$505,"○")&gt;0,1,0))</f>
        <v>0</v>
      </c>
      <c r="AA168" s="39" t="n">
        <f aca="false">IF(AA$4=0,0,IF(COUNTIFS(実績!$W$6:$W$505,AA$3,実績!$AI$6:$AI$505,"&lt;="&amp;$A168,実績!$AJ$6:$AJ$505,"&gt;"&amp;$A168,実績!$AL$6:$AL$505,"○")&gt;0,1,0))</f>
        <v>0</v>
      </c>
      <c r="AB168" s="39" t="n">
        <f aca="false">IF(AB$4=0,0,IF(COUNTIFS(実績!$W$6:$W$505,AB$3,実績!$AI$6:$AI$505,"&lt;="&amp;$A168,実績!$AJ$6:$AJ$505,"&gt;"&amp;$A168,実績!$AL$6:$AL$505,"○")&gt;0,1,0))</f>
        <v>0</v>
      </c>
      <c r="AC168" s="39" t="n">
        <f aca="false">IF(AC$4=0,0,IF(COUNTIFS(実績!$W$6:$W$505,AC$3,実績!$AI$6:$AI$505,"&lt;="&amp;$A168,実績!$AJ$6:$AJ$505,"&gt;"&amp;$A168,実績!$AL$6:$AL$505,"○")&gt;0,1,0))</f>
        <v>0</v>
      </c>
      <c r="AD168" s="39" t="n">
        <f aca="false">IF(AD$4=0,0,IF(COUNTIFS(実績!$W$6:$W$505,AD$3,実績!$AI$6:$AI$505,"&lt;="&amp;$A168,実績!$AJ$6:$AJ$505,"&gt;"&amp;$A168,実績!$AL$6:$AL$505,"○")&gt;0,1,0))</f>
        <v>0</v>
      </c>
      <c r="AE168" s="39" t="n">
        <f aca="false">IF(AE$4=0,0,IF(COUNTIFS(実績!$W$6:$W$505,AE$3,実績!$AI$6:$AI$505,"&lt;="&amp;$A168,実績!$AJ$6:$AJ$505,"&gt;"&amp;$A168,実績!$AL$6:$AL$505,"○")&gt;0,1,0))</f>
        <v>0</v>
      </c>
      <c r="AF168" s="39" t="n">
        <f aca="false">IF(AF$4=0,0,IF(COUNTIFS(実績!$W$6:$W$505,AF$3,実績!$AI$6:$AI$505,"&lt;="&amp;$A168,実績!$AJ$6:$AJ$505,"&gt;"&amp;$A168,実績!$AL$6:$AL$505,"○")&gt;0,1,0))</f>
        <v>0</v>
      </c>
      <c r="AG168" s="39" t="n">
        <f aca="false">IF(AG$4=0,0,IF(COUNTIFS(実績!$W$6:$W$505,AG$3,実績!$AI$6:$AI$505,"&lt;="&amp;$A168,実績!$AJ$6:$AJ$505,"&gt;"&amp;$A168,実績!$AL$6:$AL$505,"○")&gt;0,1,0))</f>
        <v>0</v>
      </c>
      <c r="AH168" s="39" t="n">
        <f aca="false">IF(AH$4=0,0,IF(COUNTIFS(実績!$W$6:$W$505,AH$3,実績!$AI$6:$AI$505,"&lt;="&amp;$A168,実績!$AJ$6:$AJ$505,"&gt;"&amp;$A168,実績!$AL$6:$AL$505,"○")&gt;0,1,0))</f>
        <v>0</v>
      </c>
      <c r="AI168" s="39" t="n">
        <f aca="false">IF(AI$4=0,0,IF(COUNTIFS(実績!$W$6:$W$505,AI$3,実績!$AI$6:$AI$505,"&lt;="&amp;$A168,実績!$AJ$6:$AJ$505,"&gt;"&amp;$A168,実績!$AL$6:$AL$505,"○")&gt;0,1,0))</f>
        <v>0</v>
      </c>
      <c r="AJ168" s="39" t="n">
        <f aca="false">IF(AJ$4=0,0,IF(COUNTIFS(実績!$W$6:$W$505,AJ$3,実績!$AI$6:$AI$505,"&lt;="&amp;$A168,実績!$AJ$6:$AJ$505,"&gt;"&amp;$A168,実績!$AL$6:$AL$505,"○")&gt;0,1,0))</f>
        <v>0</v>
      </c>
      <c r="AK168" s="39" t="n">
        <f aca="false">IF(AK$4=0,0,IF(COUNTIFS(実績!$W$6:$W$505,AK$3,実績!$AI$6:$AI$505,"&lt;="&amp;$A168,実績!$AJ$6:$AJ$505,"&gt;"&amp;$A168,実績!$AL$6:$AL$505,"○")&gt;0,1,0))</f>
        <v>0</v>
      </c>
      <c r="AL168" s="39" t="n">
        <f aca="false">IF(AL$4=0,0,IF(COUNTIFS(実績!$W$6:$W$505,AL$3,実績!$AI$6:$AI$505,"&lt;="&amp;$A168,実績!$AJ$6:$AJ$505,"&gt;"&amp;$A168,実績!$AL$6:$AL$505,"○")&gt;0,1,0))</f>
        <v>0</v>
      </c>
      <c r="AM168" s="39" t="n">
        <f aca="false">IF(AM$4=0,0,IF(COUNTIFS(実績!$W$6:$W$505,AM$3,実績!$AI$6:$AI$505,"&lt;="&amp;$A168,実績!$AJ$6:$AJ$505,"&gt;"&amp;$A168,実績!$AL$6:$AL$505,"○")&gt;0,1,0))</f>
        <v>0</v>
      </c>
      <c r="AN168" s="39" t="n">
        <f aca="false">IF(AN$4=0,0,IF(COUNTIFS(実績!$W$6:$W$505,AN$3,実績!$AI$6:$AI$505,"&lt;="&amp;$A168,実績!$AJ$6:$AJ$505,"&gt;"&amp;$A168,実績!$AL$6:$AL$505,"○")&gt;0,1,0))</f>
        <v>0</v>
      </c>
      <c r="AO168" s="39" t="n">
        <f aca="false">IF(AO$4=0,0,IF(COUNTIFS(実績!$W$6:$W$505,AO$3,実績!$AI$6:$AI$505,"&lt;="&amp;$A168,実績!$AJ$6:$AJ$505,"&gt;"&amp;$A168,実績!$AL$6:$AL$505,"○")&gt;0,1,0))</f>
        <v>0</v>
      </c>
      <c r="AP168" s="39" t="n">
        <f aca="false">IF(AP$4=0,0,IF(COUNTIFS(実績!$W$6:$W$505,AP$3,実績!$AI$6:$AI$505,"&lt;="&amp;$A168,実績!$AJ$6:$AJ$505,"&gt;"&amp;$A168,実績!$AL$6:$AL$505,"○")&gt;0,1,0))</f>
        <v>0</v>
      </c>
      <c r="AQ168" s="39" t="n">
        <f aca="false">IF(AQ$4=0,0,IF(COUNTIFS(実績!$W$6:$W$505,AQ$3,実績!$AI$6:$AI$505,"&lt;="&amp;$A168,実績!$AJ$6:$AJ$505,"&gt;"&amp;$A168,実績!$AL$6:$AL$505,"○")&gt;0,1,0))</f>
        <v>0</v>
      </c>
      <c r="AR168" s="39" t="n">
        <f aca="false">IF(AR$4=0,0,IF(COUNTIFS(実績!$W$6:$W$505,AR$3,実績!$AI$6:$AI$505,"&lt;="&amp;$A168,実績!$AJ$6:$AJ$505,"&gt;"&amp;$A168,実績!$AL$6:$AL$505,"○")&gt;0,1,0))</f>
        <v>0</v>
      </c>
      <c r="AS168" s="39" t="n">
        <f aca="false">IF(AS$4=0,0,IF(COUNTIFS(実績!$W$6:$W$505,AS$3,実績!$AI$6:$AI$505,"&lt;="&amp;$A168,実績!$AJ$6:$AJ$505,"&gt;"&amp;$A168,実績!$AL$6:$AL$505,"○")&gt;0,1,0))</f>
        <v>0</v>
      </c>
      <c r="AT168" s="39" t="n">
        <f aca="false">IF(AT$4=0,0,IF(COUNTIFS(実績!$W$6:$W$505,AT$3,実績!$AI$6:$AI$505,"&lt;="&amp;$A168,実績!$AJ$6:$AJ$505,"&gt;"&amp;$A168,実績!$AL$6:$AL$505,"○")&gt;0,1,0))</f>
        <v>0</v>
      </c>
      <c r="AU168" s="39" t="n">
        <f aca="false">IF(AU$4=0,0,IF(COUNTIFS(実績!$W$6:$W$505,AU$3,実績!$AI$6:$AI$505,"&lt;="&amp;$A168,実績!$AJ$6:$AJ$505,"&gt;"&amp;$A168,実績!$AL$6:$AL$505,"○")&gt;0,1,0))</f>
        <v>0</v>
      </c>
      <c r="AV168" s="39" t="n">
        <f aca="false">IF(AV$4=0,0,IF(COUNTIFS(実績!$W$6:$W$505,AV$3,実績!$AI$6:$AI$505,"&lt;="&amp;$A168,実績!$AJ$6:$AJ$505,"&gt;"&amp;$A168,実績!$AL$6:$AL$505,"○")&gt;0,1,0))</f>
        <v>0</v>
      </c>
      <c r="AW168" s="39" t="n">
        <f aca="false">IF(AW$4=0,0,IF(COUNTIFS(実績!$W$6:$W$505,AW$3,実績!$AI$6:$AI$505,"&lt;="&amp;$A168,実績!$AJ$6:$AJ$505,"&gt;"&amp;$A168,実績!$AL$6:$AL$505,"○")&gt;0,1,0))</f>
        <v>0</v>
      </c>
      <c r="AX168" s="39" t="n">
        <f aca="false">IF(AX$4=0,0,IF(COUNTIFS(実績!$W$6:$W$505,AX$3,実績!$AI$6:$AI$505,"&lt;="&amp;$A168,実績!$AJ$6:$AJ$505,"&gt;"&amp;$A168,実績!$AL$6:$AL$505,"○")&gt;0,1,0))</f>
        <v>0</v>
      </c>
      <c r="AY168" s="39" t="n">
        <f aca="false">IF(AY$4=0,0,IF(COUNTIFS(実績!$W$6:$W$505,AY$3,実績!$AI$6:$AI$505,"&lt;="&amp;$A168,実績!$AJ$6:$AJ$505,"&gt;"&amp;$A168,実績!$AL$6:$AL$505,"○")&gt;0,1,0))</f>
        <v>0</v>
      </c>
      <c r="AZ168" s="39" t="n">
        <f aca="false">IF(AZ$4=0,0,IF(COUNTIFS(実績!$W$6:$W$505,AZ$3,実績!$AI$6:$AI$505,"&lt;="&amp;$A168,実績!$AJ$6:$AJ$505,"&gt;"&amp;$A168,実績!$AL$6:$AL$505,"○")&gt;0,1,0))</f>
        <v>0</v>
      </c>
      <c r="BA168" s="39" t="n">
        <f aca="false">IF(BA$4=0,0,IF(COUNTIFS(実績!$W$6:$W$505,BA$3,実績!$AI$6:$AI$505,"&lt;="&amp;$A168,実績!$AJ$6:$AJ$505,"&gt;"&amp;$A168,実績!$AL$6:$AL$505,"○")&gt;0,1,0))</f>
        <v>0</v>
      </c>
      <c r="BB168" s="39" t="n">
        <f aca="false">IF(BB$4=0,0,IF(COUNTIFS(実績!$W$6:$W$505,BB$3,実績!$AI$6:$AI$505,"&lt;="&amp;$A168,実績!$AJ$6:$AJ$505,"&gt;"&amp;$A168,実績!$AL$6:$AL$505,"○")&gt;0,1,0))</f>
        <v>0</v>
      </c>
      <c r="BC168" s="39" t="n">
        <f aca="false">IF(BC$4=0,0,IF(COUNTIFS(実績!$W$6:$W$505,BC$3,実績!$AI$6:$AI$505,"&lt;="&amp;$A168,実績!$AJ$6:$AJ$505,"&gt;"&amp;$A168,実績!$AL$6:$AL$505,"○")&gt;0,1,0))</f>
        <v>0</v>
      </c>
      <c r="BD168" s="39" t="n">
        <f aca="false">IF(BD$4=0,0,IF(COUNTIFS(実績!$W$6:$W$505,BD$3,実績!$AI$6:$AI$505,"&lt;="&amp;$A168,実績!$AJ$6:$AJ$505,"&gt;"&amp;$A168,実績!$AL$6:$AL$505,"○")&gt;0,1,0))</f>
        <v>0</v>
      </c>
      <c r="BE168" s="39" t="n">
        <f aca="false">IF(BE$4=0,0,IF(COUNTIFS(実績!$W$6:$W$505,BE$3,実績!$AI$6:$AI$505,"&lt;="&amp;$A168,実績!$AJ$6:$AJ$505,"&gt;"&amp;$A168,実績!$AL$6:$AL$505,"○")&gt;0,1,0))</f>
        <v>0</v>
      </c>
      <c r="BF168" s="39" t="n">
        <f aca="false">IF(BF$4=0,0,IF(COUNTIFS(実績!$W$6:$W$505,BF$3,実績!$AI$6:$AI$505,"&lt;="&amp;$A168,実績!$AJ$6:$AJ$505,"&gt;"&amp;$A168,実績!$AL$6:$AL$505,"○")&gt;0,1,0))</f>
        <v>0</v>
      </c>
      <c r="BG168" s="39" t="n">
        <f aca="false">IF(BG$4=0,0,IF(COUNTIFS(実績!$W$6:$W$505,BG$3,実績!$AI$6:$AI$505,"&lt;="&amp;$A168,実績!$AJ$6:$AJ$505,"&gt;"&amp;$A168,実績!$AL$6:$AL$505,"○")&gt;0,1,0))</f>
        <v>0</v>
      </c>
      <c r="BH168" s="39" t="n">
        <f aca="false">IF(BH$4=0,0,IF(COUNTIFS(実績!$W$6:$W$505,BH$3,実績!$AI$6:$AI$505,"&lt;="&amp;$A168,実績!$AJ$6:$AJ$505,"&gt;"&amp;$A168,実績!$AL$6:$AL$505,"○")&gt;0,1,0))</f>
        <v>0</v>
      </c>
      <c r="BI168" s="39" t="n">
        <f aca="false">IF(BI$4=0,0,IF(COUNTIFS(実績!$W$6:$W$505,BI$3,実績!$AI$6:$AI$505,"&lt;="&amp;$A168,実績!$AJ$6:$AJ$505,"&gt;"&amp;$A168,実績!$AL$6:$AL$505,"○")&gt;0,1,0))</f>
        <v>0</v>
      </c>
      <c r="BJ168" s="39" t="n">
        <f aca="false">IF(BJ$4=0,0,IF(COUNTIFS(実績!$W$6:$W$505,BJ$3,実績!$AI$6:$AI$505,"&lt;="&amp;$A168,実績!$AJ$6:$AJ$505,"&gt;"&amp;$A168,実績!$AL$6:$AL$505,"○")&gt;0,1,0))</f>
        <v>0</v>
      </c>
      <c r="BK168" s="39" t="n">
        <f aca="false">IF(BK$4=0,0,IF(COUNTIFS(実績!$W$6:$W$505,BK$3,実績!$AI$6:$AI$505,"&lt;="&amp;$A168,実績!$AJ$6:$AJ$505,"&gt;"&amp;$A168,実績!$AL$6:$AL$505,"○")&gt;0,1,0))</f>
        <v>0</v>
      </c>
      <c r="BL168" s="39" t="n">
        <f aca="false">IF(BL$4=0,0,IF(COUNTIFS(実績!$W$6:$W$505,BL$3,実績!$AI$6:$AI$505,"&lt;="&amp;$A168,実績!$AJ$6:$AJ$505,"&gt;"&amp;$A168,実績!$AL$6:$AL$505,"○")&gt;0,1,0))</f>
        <v>0</v>
      </c>
      <c r="BM168" s="39" t="n">
        <f aca="false">IF(BM$4=0,0,IF(COUNTIFS(実績!$W$6:$W$505,BM$3,実績!$AI$6:$AI$505,"&lt;="&amp;$A168,実績!$AJ$6:$AJ$505,"&gt;"&amp;$A168,実績!$AL$6:$AL$505,"○")&gt;0,1,0))</f>
        <v>0</v>
      </c>
      <c r="BN168" s="39" t="n">
        <f aca="false">IF(BN$4=0,0,IF(COUNTIFS(実績!$W$6:$W$505,BN$3,実績!$AI$6:$AI$505,"&lt;="&amp;$A168,実績!$AJ$6:$AJ$505,"&gt;"&amp;$A168,実績!$AL$6:$AL$505,"○")&gt;0,1,0))</f>
        <v>0</v>
      </c>
      <c r="BO168" s="39" t="n">
        <f aca="false">IF(BO$4=0,0,IF(COUNTIFS(実績!$W$6:$W$505,BO$3,実績!$AI$6:$AI$505,"&lt;="&amp;$A168,実績!$AJ$6:$AJ$505,"&gt;"&amp;$A168,実績!$AL$6:$AL$505,"○")&gt;0,1,0))</f>
        <v>0</v>
      </c>
      <c r="BP168" s="39" t="n">
        <f aca="false">IF(BP$4=0,0,IF(COUNTIFS(実績!$W$6:$W$505,BP$3,実績!$AI$6:$AI$505,"&lt;="&amp;$A168,実績!$AJ$6:$AJ$505,"&gt;"&amp;$A168,実績!$AL$6:$AL$505,"○")&gt;0,1,0))</f>
        <v>0</v>
      </c>
      <c r="BQ168" s="39" t="n">
        <f aca="false">IF(BQ$4=0,0,IF(COUNTIFS(実績!$W$6:$W$505,BQ$3,実績!$AI$6:$AI$505,"&lt;="&amp;$A168,実績!$AJ$6:$AJ$505,"&gt;"&amp;$A168,実績!$AL$6:$AL$505,"○")&gt;0,1,0))</f>
        <v>0</v>
      </c>
      <c r="BR168" s="39" t="n">
        <f aca="false">IF(BR$4=0,0,IF(COUNTIFS(実績!$W$6:$W$505,BR$3,実績!$AI$6:$AI$505,"&lt;="&amp;$A168,実績!$AJ$6:$AJ$505,"&gt;"&amp;$A168,実績!$AL$6:$AL$505,"○")&gt;0,1,0))</f>
        <v>0</v>
      </c>
      <c r="BS168" s="39" t="n">
        <f aca="false">IF(BS$4=0,0,IF(COUNTIFS(実績!$W$6:$W$505,BS$3,実績!$AI$6:$AI$505,"&lt;="&amp;$A168,実績!$AJ$6:$AJ$505,"&gt;"&amp;$A168,実績!$AL$6:$AL$505,"○")&gt;0,1,0))</f>
        <v>0</v>
      </c>
      <c r="BT168" s="39" t="n">
        <f aca="false">IF(BT$4=0,0,IF(COUNTIFS(実績!$W$6:$W$505,BT$3,実績!$AI$6:$AI$505,"&lt;="&amp;$A168,実績!$AJ$6:$AJ$505,"&gt;"&amp;$A168,実績!$AL$6:$AL$505,"○")&gt;0,1,0))</f>
        <v>0</v>
      </c>
      <c r="BU168" s="39" t="n">
        <f aca="false">IF(BU$4=0,0,IF(COUNTIFS(実績!$W$6:$W$505,BU$3,実績!$AI$6:$AI$505,"&lt;="&amp;$A168,実績!$AJ$6:$AJ$505,"&gt;"&amp;$A168,実績!$AL$6:$AL$505,"○")&gt;0,1,0))</f>
        <v>0</v>
      </c>
      <c r="BV168" s="39" t="n">
        <f aca="false">IF(BV$4=0,0,IF(COUNTIFS(実績!$W$6:$W$505,BV$3,実績!$AI$6:$AI$505,"&lt;="&amp;$A168,実績!$AJ$6:$AJ$505,"&gt;"&amp;$A168,実績!$AL$6:$AL$505,"○")&gt;0,1,0))</f>
        <v>0</v>
      </c>
      <c r="BW168" s="39" t="n">
        <f aca="false">IF(BW$4=0,0,IF(COUNTIFS(実績!$W$6:$W$505,BW$3,実績!$AI$6:$AI$505,"&lt;="&amp;$A168,実績!$AJ$6:$AJ$505,"&gt;"&amp;$A168,実績!$AL$6:$AL$505,"○")&gt;0,1,0))</f>
        <v>0</v>
      </c>
      <c r="BX168" s="39" t="n">
        <f aca="false">IF(BX$4=0,0,IF(COUNTIFS(実績!$W$6:$W$505,BX$3,実績!$AI$6:$AI$505,"&lt;="&amp;$A168,実績!$AJ$6:$AJ$505,"&gt;"&amp;$A168,実績!$AL$6:$AL$505,"○")&gt;0,1,0))</f>
        <v>0</v>
      </c>
      <c r="BY168" s="39" t="n">
        <f aca="false">IF(BY$4=0,0,IF(COUNTIFS(実績!$W$6:$W$505,BY$3,実績!$AI$6:$AI$505,"&lt;="&amp;$A168,実績!$AJ$6:$AJ$505,"&gt;"&amp;$A168,実績!$AL$6:$AL$505,"○")&gt;0,1,0))</f>
        <v>0</v>
      </c>
      <c r="BZ168" s="39" t="n">
        <f aca="false">IF(BZ$4=0,0,IF(COUNTIFS(実績!$W$6:$W$505,BZ$3,実績!$AI$6:$AI$505,"&lt;="&amp;$A168,実績!$AJ$6:$AJ$505,"&gt;"&amp;$A168,実績!$AL$6:$AL$505,"○")&gt;0,1,0))</f>
        <v>0</v>
      </c>
      <c r="CA168" s="39" t="n">
        <f aca="false">IF(CA$4=0,0,IF(COUNTIFS(実績!$W$6:$W$505,CA$3,実績!$AI$6:$AI$505,"&lt;="&amp;$A168,実績!$AJ$6:$AJ$505,"&gt;"&amp;$A168,実績!$AL$6:$AL$505,"○")&gt;0,1,0))</f>
        <v>0</v>
      </c>
      <c r="CB168" s="39" t="n">
        <f aca="false">IF(CB$4=0,0,IF(COUNTIFS(実績!$W$6:$W$505,CB$3,実績!$AI$6:$AI$505,"&lt;="&amp;$A168,実績!$AJ$6:$AJ$505,"&gt;"&amp;$A168,実績!$AL$6:$AL$505,"○")&gt;0,1,0))</f>
        <v>0</v>
      </c>
      <c r="CC168" s="39" t="n">
        <f aca="false">IF(CC$4=0,0,IF(COUNTIFS(実績!$W$6:$W$505,CC$3,実績!$AI$6:$AI$505,"&lt;="&amp;$A168,実績!$AJ$6:$AJ$505,"&gt;"&amp;$A168,実績!$AL$6:$AL$505,"○")&gt;0,1,0))</f>
        <v>0</v>
      </c>
      <c r="CD168" s="39" t="n">
        <f aca="false">IF(CD$4=0,0,IF(COUNTIFS(実績!$W$6:$W$505,CD$3,実績!$AI$6:$AI$505,"&lt;="&amp;$A168,実績!$AJ$6:$AJ$505,"&gt;"&amp;$A168,実績!$AL$6:$AL$505,"○")&gt;0,1,0))</f>
        <v>0</v>
      </c>
      <c r="CE168" s="39" t="n">
        <f aca="false">IF(CE$4=0,0,IF(COUNTIFS(実績!$W$6:$W$505,CE$3,実績!$AI$6:$AI$505,"&lt;="&amp;$A168,実績!$AJ$6:$AJ$505,"&gt;"&amp;$A168,実績!$AL$6:$AL$505,"○")&gt;0,1,0))</f>
        <v>0</v>
      </c>
      <c r="CF168" s="39" t="n">
        <f aca="false">IF(CF$4=0,0,IF(COUNTIFS(実績!$W$6:$W$505,CF$3,実績!$AI$6:$AI$505,"&lt;="&amp;$A168,実績!$AJ$6:$AJ$505,"&gt;"&amp;$A168,実績!$AL$6:$AL$505,"○")&gt;0,1,0))</f>
        <v>0</v>
      </c>
      <c r="CG168" s="39" t="n">
        <f aca="false">IF(CG$4=0,0,IF(COUNTIFS(実績!$W$6:$W$505,CG$3,実績!$AI$6:$AI$505,"&lt;="&amp;$A168,実績!$AJ$6:$AJ$505,"&gt;"&amp;$A168,実績!$AL$6:$AL$505,"○")&gt;0,1,0))</f>
        <v>0</v>
      </c>
      <c r="CH168" s="39" t="n">
        <f aca="false">IF(CH$4=0,0,IF(COUNTIFS(実績!$W$6:$W$505,CH$3,実績!$AI$6:$AI$505,"&lt;="&amp;$A168,実績!$AJ$6:$AJ$505,"&gt;"&amp;$A168,実績!$AL$6:$AL$505,"○")&gt;0,1,0))</f>
        <v>0</v>
      </c>
      <c r="CI168" s="39" t="n">
        <f aca="false">IF(CI$4=0,0,IF(COUNTIFS(実績!$W$6:$W$505,CI$3,実績!$AI$6:$AI$505,"&lt;="&amp;$A168,実績!$AJ$6:$AJ$505,"&gt;"&amp;$A168,実績!$AL$6:$AL$505,"○")&gt;0,1,0))</f>
        <v>0</v>
      </c>
      <c r="CJ168" s="39" t="n">
        <f aca="false">IF(CJ$4=0,0,IF(COUNTIFS(実績!$W$6:$W$505,CJ$3,実績!$AI$6:$AI$505,"&lt;="&amp;$A168,実績!$AJ$6:$AJ$505,"&gt;"&amp;$A168,実績!$AL$6:$AL$505,"○")&gt;0,1,0))</f>
        <v>0</v>
      </c>
      <c r="CK168" s="39" t="n">
        <f aca="false">IF(CK$4=0,0,IF(COUNTIFS(実績!$W$6:$W$505,CK$3,実績!$AI$6:$AI$505,"&lt;="&amp;$A168,実績!$AJ$6:$AJ$505,"&gt;"&amp;$A168,実績!$AL$6:$AL$505,"○")&gt;0,1,0))</f>
        <v>0</v>
      </c>
      <c r="CL168" s="39" t="n">
        <f aca="false">IF(CL$4=0,0,IF(COUNTIFS(実績!$W$6:$W$505,CL$3,実績!$AI$6:$AI$505,"&lt;="&amp;$A168,実績!$AJ$6:$AJ$505,"&gt;"&amp;$A168,実績!$AL$6:$AL$505,"○")&gt;0,1,0))</f>
        <v>0</v>
      </c>
      <c r="CM168" s="39" t="n">
        <f aca="false">IF(CM$4=0,0,IF(COUNTIFS(実績!$W$6:$W$505,CM$3,実績!$AI$6:$AI$505,"&lt;="&amp;$A168,実績!$AJ$6:$AJ$505,"&gt;"&amp;$A168,実績!$AL$6:$AL$505,"○")&gt;0,1,0))</f>
        <v>0</v>
      </c>
      <c r="CN168" s="39" t="n">
        <f aca="false">IF(CN$4=0,0,IF(COUNTIFS(実績!$W$6:$W$505,CN$3,実績!$AI$6:$AI$505,"&lt;="&amp;$A168,実績!$AJ$6:$AJ$505,"&gt;"&amp;$A168,実績!$AL$6:$AL$505,"○")&gt;0,1,0))</f>
        <v>0</v>
      </c>
      <c r="CO168" s="39" t="n">
        <f aca="false">IF(CO$4=0,0,IF(COUNTIFS(実績!$W$6:$W$505,CO$3,実績!$AI$6:$AI$505,"&lt;="&amp;$A168,実績!$AJ$6:$AJ$505,"&gt;"&amp;$A168,実績!$AL$6:$AL$505,"○")&gt;0,1,0))</f>
        <v>0</v>
      </c>
      <c r="CP168" s="39" t="n">
        <f aca="false">IF(CP$4=0,0,IF(COUNTIFS(実績!$W$6:$W$505,CP$3,実績!$AI$6:$AI$505,"&lt;="&amp;$A168,実績!$AJ$6:$AJ$505,"&gt;"&amp;$A168,実績!$AL$6:$AL$505,"○")&gt;0,1,0))</f>
        <v>0</v>
      </c>
      <c r="CQ168" s="39" t="n">
        <f aca="false">IF(CQ$4=0,0,IF(COUNTIFS(実績!$W$6:$W$505,CQ$3,実績!$AI$6:$AI$505,"&lt;="&amp;$A168,実績!$AJ$6:$AJ$505,"&gt;"&amp;$A168,実績!$AL$6:$AL$505,"○")&gt;0,1,0))</f>
        <v>0</v>
      </c>
      <c r="CR168" s="39" t="n">
        <f aca="false">IF(CR$4=0,0,IF(COUNTIFS(実績!$W$6:$W$505,CR$3,実績!$AI$6:$AI$505,"&lt;="&amp;$A168,実績!$AJ$6:$AJ$505,"&gt;"&amp;$A168,実績!$AL$6:$AL$505,"○")&gt;0,1,0))</f>
        <v>0</v>
      </c>
      <c r="CS168" s="39" t="n">
        <f aca="false">IF(CS$4=0,0,IF(COUNTIFS(実績!$W$6:$W$505,CS$3,実績!$AI$6:$AI$505,"&lt;="&amp;$A168,実績!$AJ$6:$AJ$505,"&gt;"&amp;$A168,実績!$AL$6:$AL$505,"○")&gt;0,1,0))</f>
        <v>0</v>
      </c>
      <c r="CT168" s="39" t="n">
        <f aca="false">IF(CT$4=0,0,IF(COUNTIFS(実績!$W$6:$W$505,CT$3,実績!$AI$6:$AI$505,"&lt;="&amp;$A168,実績!$AJ$6:$AJ$505,"&gt;"&amp;$A168,実績!$AL$6:$AL$505,"○")&gt;0,1,0))</f>
        <v>0</v>
      </c>
      <c r="CU168" s="39" t="n">
        <f aca="false">IF(CU$4=0,0,IF(COUNTIFS(実績!$W$6:$W$505,CU$3,実績!$AI$6:$AI$505,"&lt;="&amp;$A168,実績!$AJ$6:$AJ$505,"&gt;"&amp;$A168,実績!$AL$6:$AL$505,"○")&gt;0,1,0))</f>
        <v>0</v>
      </c>
      <c r="CV168" s="39" t="n">
        <f aca="false">IF(CV$4=0,0,IF(COUNTIFS(実績!$W$6:$W$505,CV$3,実績!$AI$6:$AI$505,"&lt;="&amp;$A168,実績!$AJ$6:$AJ$505,"&gt;"&amp;$A168,実績!$AL$6:$AL$505,"○")&gt;0,1,0))</f>
        <v>0</v>
      </c>
      <c r="CW168" s="39" t="n">
        <f aca="false">IF(CW$4=0,0,IF(COUNTIFS(実績!$W$6:$W$505,CW$3,実績!$AI$6:$AI$505,"&lt;="&amp;$A168,実績!$AJ$6:$AJ$505,"&gt;"&amp;$A168,実績!$AL$6:$AL$505,"○")&gt;0,1,0))</f>
        <v>0</v>
      </c>
      <c r="CX168" s="39" t="n">
        <f aca="false">IF(CX$4=0,0,IF(COUNTIFS(実績!$W$6:$W$505,CX$3,実績!$AI$6:$AI$505,"&lt;="&amp;$A168,実績!$AJ$6:$AJ$505,"&gt;"&amp;$A168,実績!$AL$6:$AL$505,"○")&gt;0,1,0))</f>
        <v>0</v>
      </c>
      <c r="CY168" s="39" t="n">
        <f aca="false">IF(CY$4=0,0,IF(COUNTIFS(実績!$W$6:$W$505,CY$3,実績!$AI$6:$AI$505,"&lt;="&amp;$A168,実績!$AJ$6:$AJ$505,"&gt;"&amp;$A168,実績!$AL$6:$AL$505,"○")&gt;0,1,0))</f>
        <v>0</v>
      </c>
      <c r="CZ168" s="39" t="n">
        <f aca="false">IF(CZ$4=0,0,IF(COUNTIFS(実績!$W$6:$W$505,CZ$3,実績!$AI$6:$AI$505,"&lt;="&amp;$A168,実績!$AJ$6:$AJ$505,"&gt;"&amp;$A168,実績!$AL$6:$AL$505,"○")&gt;0,1,0))</f>
        <v>0</v>
      </c>
      <c r="DA168" s="39" t="n">
        <f aca="false">IF(DA$4=0,0,IF(COUNTIFS(実績!$W$6:$W$505,DA$3,実績!$AI$6:$AI$505,"&lt;="&amp;$A168,実績!$AJ$6:$AJ$505,"&gt;"&amp;$A168,実績!$AL$6:$AL$505,"○")&gt;0,1,0))</f>
        <v>0</v>
      </c>
      <c r="DB168" s="39" t="n">
        <f aca="false">IF(DB$4=0,0,IF(COUNTIFS(実績!$W$6:$W$505,DB$3,実績!$AI$6:$AI$505,"&lt;="&amp;$A168,実績!$AJ$6:$AJ$505,"&gt;"&amp;$A168,実績!$AL$6:$AL$505,"○")&gt;0,1,0))</f>
        <v>0</v>
      </c>
      <c r="DC168" s="39" t="n">
        <f aca="false">IF(DC$4=0,0,IF(COUNTIFS(実績!$W$6:$W$505,DC$3,実績!$AI$6:$AI$505,"&lt;="&amp;$A168,実績!$AJ$6:$AJ$505,"&gt;"&amp;$A168,実績!$AL$6:$AL$505,"○")&gt;0,1,0))</f>
        <v>0</v>
      </c>
      <c r="DD168" s="39" t="n">
        <f aca="false">IF(DD$4=0,0,IF(COUNTIFS(実績!$W$6:$W$505,DD$3,実績!$AI$6:$AI$505,"&lt;="&amp;$A168,実績!$AJ$6:$AJ$505,"&gt;"&amp;$A168,実績!$AL$6:$AL$505,"○")&gt;0,1,0))</f>
        <v>0</v>
      </c>
      <c r="DE168" s="39" t="n">
        <f aca="false">IF(DE$4=0,0,IF(COUNTIFS(実績!$W$6:$W$505,DE$3,実績!$AI$6:$AI$505,"&lt;="&amp;$A168,実績!$AJ$6:$AJ$505,"&gt;"&amp;$A168,実績!$AL$6:$AL$505,"○")&gt;0,1,0))</f>
        <v>0</v>
      </c>
      <c r="DF168" s="39" t="n">
        <f aca="false">IF(DF$4=0,0,IF(COUNTIFS(実績!$W$6:$W$505,DF$3,実績!$AI$6:$AI$505,"&lt;="&amp;$A168,実績!$AJ$6:$AJ$505,"&gt;"&amp;$A168,実績!$AL$6:$AL$505,"○")&gt;0,1,0))</f>
        <v>0</v>
      </c>
      <c r="DG168" s="39" t="n">
        <f aca="false">IF(DG$4=0,0,IF(COUNTIFS(実績!$W$6:$W$505,DG$3,実績!$AI$6:$AI$505,"&lt;="&amp;$A168,実績!$AJ$6:$AJ$505,"&gt;"&amp;$A168,実績!$AL$6:$AL$505,"○")&gt;0,1,0))</f>
        <v>0</v>
      </c>
      <c r="DH168" s="39" t="n">
        <f aca="false">IF(DH$4=0,0,IF(COUNTIFS(実績!$W$6:$W$505,DH$3,実績!$AI$6:$AI$505,"&lt;="&amp;$A168,実績!$AJ$6:$AJ$505,"&gt;"&amp;$A168,実績!$AL$6:$AL$505,"○")&gt;0,1,0))</f>
        <v>0</v>
      </c>
      <c r="DI168" s="39" t="n">
        <f aca="false">IF(DI$4=0,0,IF(COUNTIFS(実績!$W$6:$W$505,DI$3,実績!$AI$6:$AI$505,"&lt;="&amp;$A168,実績!$AJ$6:$AJ$505,"&gt;"&amp;$A168,実績!$AL$6:$AL$505,"○")&gt;0,1,0))</f>
        <v>0</v>
      </c>
      <c r="DJ168" s="39" t="n">
        <f aca="false">IF(DJ$4=0,0,IF(COUNTIFS(実績!$W$6:$W$505,DJ$3,実績!$AI$6:$AI$505,"&lt;="&amp;$A168,実績!$AJ$6:$AJ$505,"&gt;"&amp;$A168,実績!$AL$6:$AL$505,"○")&gt;0,1,0))</f>
        <v>0</v>
      </c>
      <c r="DK168" s="39" t="n">
        <f aca="false">IF(DK$4=0,0,IF(COUNTIFS(実績!$W$6:$W$505,DK$3,実績!$AI$6:$AI$505,"&lt;="&amp;$A168,実績!$AJ$6:$AJ$505,"&gt;"&amp;$A168,実績!$AL$6:$AL$505,"○")&gt;0,1,0))</f>
        <v>0</v>
      </c>
      <c r="DL168" s="39" t="n">
        <f aca="false">IF(DL$4=0,0,IF(COUNTIFS(実績!$W$6:$W$505,DL$3,実績!$AI$6:$AI$505,"&lt;="&amp;$A168,実績!$AJ$6:$AJ$505,"&gt;"&amp;$A168,実績!$AL$6:$AL$505,"○")&gt;0,1,0))</f>
        <v>0</v>
      </c>
      <c r="DM168" s="39" t="n">
        <f aca="false">IF(DM$4=0,0,IF(COUNTIFS(実績!$W$6:$W$505,DM$3,実績!$AI$6:$AI$505,"&lt;="&amp;$A168,実績!$AJ$6:$AJ$505,"&gt;"&amp;$A168,実績!$AL$6:$AL$505,"○")&gt;0,1,0))</f>
        <v>0</v>
      </c>
      <c r="DN168" s="39" t="n">
        <f aca="false">IF(DN$4=0,0,IF(COUNTIFS(実績!$W$6:$W$505,DN$3,実績!$AI$6:$AI$505,"&lt;="&amp;$A168,実績!$AJ$6:$AJ$505,"&gt;"&amp;$A168,実績!$AL$6:$AL$505,"○")&gt;0,1,0))</f>
        <v>0</v>
      </c>
      <c r="DO168" s="39" t="n">
        <f aca="false">IF(DO$4=0,0,IF(COUNTIFS(実績!$W$6:$W$505,DO$3,実績!$AI$6:$AI$505,"&lt;="&amp;$A168,実績!$AJ$6:$AJ$505,"&gt;"&amp;$A168,実績!$AL$6:$AL$505,"○")&gt;0,1,0))</f>
        <v>0</v>
      </c>
      <c r="DP168" s="39" t="n">
        <f aca="false">IF(DP$4=0,0,IF(COUNTIFS(実績!$W$6:$W$505,DP$3,実績!$AI$6:$AI$505,"&lt;="&amp;$A168,実績!$AJ$6:$AJ$505,"&gt;"&amp;$A168,実績!$AL$6:$AL$505,"○")&gt;0,1,0))</f>
        <v>0</v>
      </c>
      <c r="DQ168" s="39" t="n">
        <f aca="false">IF(DQ$4=0,0,IF(COUNTIFS(実績!$W$6:$W$505,DQ$3,実績!$AI$6:$AI$505,"&lt;="&amp;$A168,実績!$AJ$6:$AJ$505,"&gt;"&amp;$A168,実績!$AL$6:$AL$505,"○")&gt;0,1,0))</f>
        <v>0</v>
      </c>
      <c r="DR168" s="39" t="n">
        <f aca="false">IF(DR$4=0,0,IF(COUNTIFS(実績!$W$6:$W$505,DR$3,実績!$AI$6:$AI$505,"&lt;="&amp;$A168,実績!$AJ$6:$AJ$505,"&gt;"&amp;$A168,実績!$AL$6:$AL$505,"○")&gt;0,1,0))</f>
        <v>0</v>
      </c>
      <c r="DS168" s="39" t="n">
        <f aca="false">SUM(C168:DR168)</f>
        <v>0</v>
      </c>
    </row>
    <row r="169" customFormat="false" ht="15" hidden="false" customHeight="false" outlineLevel="0" collapsed="false">
      <c r="A169" s="0" t="n">
        <v>815</v>
      </c>
      <c r="B169" s="38" t="n">
        <f aca="false">A169/1440</f>
        <v>0.565972222222222</v>
      </c>
      <c r="C169" s="39" t="n">
        <f aca="false">IF(C$4=0,0,IF(COUNTIFS(実績!$W$6:$W$505,C$3,実績!$AI$6:$AI$505,"&lt;="&amp;$A169,実績!$AJ$6:$AJ$505,"&gt;"&amp;$A169,実績!$AL$6:$AL$505,"○")&gt;0,1,0))</f>
        <v>0</v>
      </c>
      <c r="D169" s="39" t="n">
        <f aca="false">IF(D$4=0,0,IF(COUNTIFS(実績!$W$6:$W$505,D$3,実績!$AI$6:$AI$505,"&lt;="&amp;$A169,実績!$AJ$6:$AJ$505,"&gt;"&amp;$A169,実績!$AL$6:$AL$505,"○")&gt;0,1,0))</f>
        <v>0</v>
      </c>
      <c r="E169" s="39" t="n">
        <f aca="false">IF(E$4=0,0,IF(COUNTIFS(実績!$W$6:$W$505,E$3,実績!$AI$6:$AI$505,"&lt;="&amp;$A169,実績!$AJ$6:$AJ$505,"&gt;"&amp;$A169,実績!$AL$6:$AL$505,"○")&gt;0,1,0))</f>
        <v>0</v>
      </c>
      <c r="F169" s="39" t="n">
        <f aca="false">IF(F$4=0,0,IF(COUNTIFS(実績!$W$6:$W$505,F$3,実績!$AI$6:$AI$505,"&lt;="&amp;$A169,実績!$AJ$6:$AJ$505,"&gt;"&amp;$A169,実績!$AL$6:$AL$505,"○")&gt;0,1,0))</f>
        <v>0</v>
      </c>
      <c r="G169" s="39" t="n">
        <f aca="false">IF(G$4=0,0,IF(COUNTIFS(実績!$W$6:$W$505,G$3,実績!$AI$6:$AI$505,"&lt;="&amp;$A169,実績!$AJ$6:$AJ$505,"&gt;"&amp;$A169,実績!$AL$6:$AL$505,"○")&gt;0,1,0))</f>
        <v>0</v>
      </c>
      <c r="H169" s="39" t="n">
        <f aca="false">IF(H$4=0,0,IF(COUNTIFS(実績!$W$6:$W$505,H$3,実績!$AI$6:$AI$505,"&lt;="&amp;$A169,実績!$AJ$6:$AJ$505,"&gt;"&amp;$A169,実績!$AL$6:$AL$505,"○")&gt;0,1,0))</f>
        <v>0</v>
      </c>
      <c r="I169" s="39" t="n">
        <f aca="false">IF(I$4=0,0,IF(COUNTIFS(実績!$W$6:$W$505,I$3,実績!$AI$6:$AI$505,"&lt;="&amp;$A169,実績!$AJ$6:$AJ$505,"&gt;"&amp;$A169,実績!$AL$6:$AL$505,"○")&gt;0,1,0))</f>
        <v>0</v>
      </c>
      <c r="J169" s="39" t="n">
        <f aca="false">IF(J$4=0,0,IF(COUNTIFS(実績!$W$6:$W$505,J$3,実績!$AI$6:$AI$505,"&lt;="&amp;$A169,実績!$AJ$6:$AJ$505,"&gt;"&amp;$A169,実績!$AL$6:$AL$505,"○")&gt;0,1,0))</f>
        <v>0</v>
      </c>
      <c r="K169" s="39" t="n">
        <f aca="false">IF(K$4=0,0,IF(COUNTIFS(実績!$W$6:$W$505,K$3,実績!$AI$6:$AI$505,"&lt;="&amp;$A169,実績!$AJ$6:$AJ$505,"&gt;"&amp;$A169,実績!$AL$6:$AL$505,"○")&gt;0,1,0))</f>
        <v>0</v>
      </c>
      <c r="L169" s="39" t="n">
        <f aca="false">IF(L$4=0,0,IF(COUNTIFS(実績!$W$6:$W$505,L$3,実績!$AI$6:$AI$505,"&lt;="&amp;$A169,実績!$AJ$6:$AJ$505,"&gt;"&amp;$A169,実績!$AL$6:$AL$505,"○")&gt;0,1,0))</f>
        <v>0</v>
      </c>
      <c r="M169" s="39" t="n">
        <f aca="false">IF(M$4=0,0,IF(COUNTIFS(実績!$W$6:$W$505,M$3,実績!$AI$6:$AI$505,"&lt;="&amp;$A169,実績!$AJ$6:$AJ$505,"&gt;"&amp;$A169,実績!$AL$6:$AL$505,"○")&gt;0,1,0))</f>
        <v>0</v>
      </c>
      <c r="N169" s="39" t="n">
        <f aca="false">IF(N$4=0,0,IF(COUNTIFS(実績!$W$6:$W$505,N$3,実績!$AI$6:$AI$505,"&lt;="&amp;$A169,実績!$AJ$6:$AJ$505,"&gt;"&amp;$A169,実績!$AL$6:$AL$505,"○")&gt;0,1,0))</f>
        <v>0</v>
      </c>
      <c r="O169" s="39" t="n">
        <f aca="false">IF(O$4=0,0,IF(COUNTIFS(実績!$W$6:$W$505,O$3,実績!$AI$6:$AI$505,"&lt;="&amp;$A169,実績!$AJ$6:$AJ$505,"&gt;"&amp;$A169,実績!$AL$6:$AL$505,"○")&gt;0,1,0))</f>
        <v>0</v>
      </c>
      <c r="P169" s="39" t="n">
        <f aca="false">IF(P$4=0,0,IF(COUNTIFS(実績!$W$6:$W$505,P$3,実績!$AI$6:$AI$505,"&lt;="&amp;$A169,実績!$AJ$6:$AJ$505,"&gt;"&amp;$A169,実績!$AL$6:$AL$505,"○")&gt;0,1,0))</f>
        <v>0</v>
      </c>
      <c r="Q169" s="39" t="n">
        <f aca="false">IF(Q$4=0,0,IF(COUNTIFS(実績!$W$6:$W$505,Q$3,実績!$AI$6:$AI$505,"&lt;="&amp;$A169,実績!$AJ$6:$AJ$505,"&gt;"&amp;$A169,実績!$AL$6:$AL$505,"○")&gt;0,1,0))</f>
        <v>0</v>
      </c>
      <c r="R169" s="39" t="n">
        <f aca="false">IF(R$4=0,0,IF(COUNTIFS(実績!$W$6:$W$505,R$3,実績!$AI$6:$AI$505,"&lt;="&amp;$A169,実績!$AJ$6:$AJ$505,"&gt;"&amp;$A169,実績!$AL$6:$AL$505,"○")&gt;0,1,0))</f>
        <v>0</v>
      </c>
      <c r="S169" s="39" t="n">
        <f aca="false">IF(S$4=0,0,IF(COUNTIFS(実績!$W$6:$W$505,S$3,実績!$AI$6:$AI$505,"&lt;="&amp;$A169,実績!$AJ$6:$AJ$505,"&gt;"&amp;$A169,実績!$AL$6:$AL$505,"○")&gt;0,1,0))</f>
        <v>0</v>
      </c>
      <c r="T169" s="39" t="n">
        <f aca="false">IF(T$4=0,0,IF(COUNTIFS(実績!$W$6:$W$505,T$3,実績!$AI$6:$AI$505,"&lt;="&amp;$A169,実績!$AJ$6:$AJ$505,"&gt;"&amp;$A169,実績!$AL$6:$AL$505,"○")&gt;0,1,0))</f>
        <v>0</v>
      </c>
      <c r="U169" s="39" t="n">
        <f aca="false">IF(U$4=0,0,IF(COUNTIFS(実績!$W$6:$W$505,U$3,実績!$AI$6:$AI$505,"&lt;="&amp;$A169,実績!$AJ$6:$AJ$505,"&gt;"&amp;$A169,実績!$AL$6:$AL$505,"○")&gt;0,1,0))</f>
        <v>0</v>
      </c>
      <c r="V169" s="39" t="n">
        <f aca="false">IF(V$4=0,0,IF(COUNTIFS(実績!$W$6:$W$505,V$3,実績!$AI$6:$AI$505,"&lt;="&amp;$A169,実績!$AJ$6:$AJ$505,"&gt;"&amp;$A169,実績!$AL$6:$AL$505,"○")&gt;0,1,0))</f>
        <v>0</v>
      </c>
      <c r="W169" s="39" t="n">
        <f aca="false">IF(W$4=0,0,IF(COUNTIFS(実績!$W$6:$W$505,W$3,実績!$AI$6:$AI$505,"&lt;="&amp;$A169,実績!$AJ$6:$AJ$505,"&gt;"&amp;$A169,実績!$AL$6:$AL$505,"○")&gt;0,1,0))</f>
        <v>0</v>
      </c>
      <c r="X169" s="39" t="n">
        <f aca="false">IF(X$4=0,0,IF(COUNTIFS(実績!$W$6:$W$505,X$3,実績!$AI$6:$AI$505,"&lt;="&amp;$A169,実績!$AJ$6:$AJ$505,"&gt;"&amp;$A169,実績!$AL$6:$AL$505,"○")&gt;0,1,0))</f>
        <v>0</v>
      </c>
      <c r="Y169" s="39" t="n">
        <f aca="false">IF(Y$4=0,0,IF(COUNTIFS(実績!$W$6:$W$505,Y$3,実績!$AI$6:$AI$505,"&lt;="&amp;$A169,実績!$AJ$6:$AJ$505,"&gt;"&amp;$A169,実績!$AL$6:$AL$505,"○")&gt;0,1,0))</f>
        <v>0</v>
      </c>
      <c r="Z169" s="39" t="n">
        <f aca="false">IF(Z$4=0,0,IF(COUNTIFS(実績!$W$6:$W$505,Z$3,実績!$AI$6:$AI$505,"&lt;="&amp;$A169,実績!$AJ$6:$AJ$505,"&gt;"&amp;$A169,実績!$AL$6:$AL$505,"○")&gt;0,1,0))</f>
        <v>0</v>
      </c>
      <c r="AA169" s="39" t="n">
        <f aca="false">IF(AA$4=0,0,IF(COUNTIFS(実績!$W$6:$W$505,AA$3,実績!$AI$6:$AI$505,"&lt;="&amp;$A169,実績!$AJ$6:$AJ$505,"&gt;"&amp;$A169,実績!$AL$6:$AL$505,"○")&gt;0,1,0))</f>
        <v>0</v>
      </c>
      <c r="AB169" s="39" t="n">
        <f aca="false">IF(AB$4=0,0,IF(COUNTIFS(実績!$W$6:$W$505,AB$3,実績!$AI$6:$AI$505,"&lt;="&amp;$A169,実績!$AJ$6:$AJ$505,"&gt;"&amp;$A169,実績!$AL$6:$AL$505,"○")&gt;0,1,0))</f>
        <v>0</v>
      </c>
      <c r="AC169" s="39" t="n">
        <f aca="false">IF(AC$4=0,0,IF(COUNTIFS(実績!$W$6:$W$505,AC$3,実績!$AI$6:$AI$505,"&lt;="&amp;$A169,実績!$AJ$6:$AJ$505,"&gt;"&amp;$A169,実績!$AL$6:$AL$505,"○")&gt;0,1,0))</f>
        <v>0</v>
      </c>
      <c r="AD169" s="39" t="n">
        <f aca="false">IF(AD$4=0,0,IF(COUNTIFS(実績!$W$6:$W$505,AD$3,実績!$AI$6:$AI$505,"&lt;="&amp;$A169,実績!$AJ$6:$AJ$505,"&gt;"&amp;$A169,実績!$AL$6:$AL$505,"○")&gt;0,1,0))</f>
        <v>0</v>
      </c>
      <c r="AE169" s="39" t="n">
        <f aca="false">IF(AE$4=0,0,IF(COUNTIFS(実績!$W$6:$W$505,AE$3,実績!$AI$6:$AI$505,"&lt;="&amp;$A169,実績!$AJ$6:$AJ$505,"&gt;"&amp;$A169,実績!$AL$6:$AL$505,"○")&gt;0,1,0))</f>
        <v>0</v>
      </c>
      <c r="AF169" s="39" t="n">
        <f aca="false">IF(AF$4=0,0,IF(COUNTIFS(実績!$W$6:$W$505,AF$3,実績!$AI$6:$AI$505,"&lt;="&amp;$A169,実績!$AJ$6:$AJ$505,"&gt;"&amp;$A169,実績!$AL$6:$AL$505,"○")&gt;0,1,0))</f>
        <v>0</v>
      </c>
      <c r="AG169" s="39" t="n">
        <f aca="false">IF(AG$4=0,0,IF(COUNTIFS(実績!$W$6:$W$505,AG$3,実績!$AI$6:$AI$505,"&lt;="&amp;$A169,実績!$AJ$6:$AJ$505,"&gt;"&amp;$A169,実績!$AL$6:$AL$505,"○")&gt;0,1,0))</f>
        <v>0</v>
      </c>
      <c r="AH169" s="39" t="n">
        <f aca="false">IF(AH$4=0,0,IF(COUNTIFS(実績!$W$6:$W$505,AH$3,実績!$AI$6:$AI$505,"&lt;="&amp;$A169,実績!$AJ$6:$AJ$505,"&gt;"&amp;$A169,実績!$AL$6:$AL$505,"○")&gt;0,1,0))</f>
        <v>0</v>
      </c>
      <c r="AI169" s="39" t="n">
        <f aca="false">IF(AI$4=0,0,IF(COUNTIFS(実績!$W$6:$W$505,AI$3,実績!$AI$6:$AI$505,"&lt;="&amp;$A169,実績!$AJ$6:$AJ$505,"&gt;"&amp;$A169,実績!$AL$6:$AL$505,"○")&gt;0,1,0))</f>
        <v>0</v>
      </c>
      <c r="AJ169" s="39" t="n">
        <f aca="false">IF(AJ$4=0,0,IF(COUNTIFS(実績!$W$6:$W$505,AJ$3,実績!$AI$6:$AI$505,"&lt;="&amp;$A169,実績!$AJ$6:$AJ$505,"&gt;"&amp;$A169,実績!$AL$6:$AL$505,"○")&gt;0,1,0))</f>
        <v>0</v>
      </c>
      <c r="AK169" s="39" t="n">
        <f aca="false">IF(AK$4=0,0,IF(COUNTIFS(実績!$W$6:$W$505,AK$3,実績!$AI$6:$AI$505,"&lt;="&amp;$A169,実績!$AJ$6:$AJ$505,"&gt;"&amp;$A169,実績!$AL$6:$AL$505,"○")&gt;0,1,0))</f>
        <v>0</v>
      </c>
      <c r="AL169" s="39" t="n">
        <f aca="false">IF(AL$4=0,0,IF(COUNTIFS(実績!$W$6:$W$505,AL$3,実績!$AI$6:$AI$505,"&lt;="&amp;$A169,実績!$AJ$6:$AJ$505,"&gt;"&amp;$A169,実績!$AL$6:$AL$505,"○")&gt;0,1,0))</f>
        <v>0</v>
      </c>
      <c r="AM169" s="39" t="n">
        <f aca="false">IF(AM$4=0,0,IF(COUNTIFS(実績!$W$6:$W$505,AM$3,実績!$AI$6:$AI$505,"&lt;="&amp;$A169,実績!$AJ$6:$AJ$505,"&gt;"&amp;$A169,実績!$AL$6:$AL$505,"○")&gt;0,1,0))</f>
        <v>0</v>
      </c>
      <c r="AN169" s="39" t="n">
        <f aca="false">IF(AN$4=0,0,IF(COUNTIFS(実績!$W$6:$W$505,AN$3,実績!$AI$6:$AI$505,"&lt;="&amp;$A169,実績!$AJ$6:$AJ$505,"&gt;"&amp;$A169,実績!$AL$6:$AL$505,"○")&gt;0,1,0))</f>
        <v>0</v>
      </c>
      <c r="AO169" s="39" t="n">
        <f aca="false">IF(AO$4=0,0,IF(COUNTIFS(実績!$W$6:$W$505,AO$3,実績!$AI$6:$AI$505,"&lt;="&amp;$A169,実績!$AJ$6:$AJ$505,"&gt;"&amp;$A169,実績!$AL$6:$AL$505,"○")&gt;0,1,0))</f>
        <v>0</v>
      </c>
      <c r="AP169" s="39" t="n">
        <f aca="false">IF(AP$4=0,0,IF(COUNTIFS(実績!$W$6:$W$505,AP$3,実績!$AI$6:$AI$505,"&lt;="&amp;$A169,実績!$AJ$6:$AJ$505,"&gt;"&amp;$A169,実績!$AL$6:$AL$505,"○")&gt;0,1,0))</f>
        <v>0</v>
      </c>
      <c r="AQ169" s="39" t="n">
        <f aca="false">IF(AQ$4=0,0,IF(COUNTIFS(実績!$W$6:$W$505,AQ$3,実績!$AI$6:$AI$505,"&lt;="&amp;$A169,実績!$AJ$6:$AJ$505,"&gt;"&amp;$A169,実績!$AL$6:$AL$505,"○")&gt;0,1,0))</f>
        <v>0</v>
      </c>
      <c r="AR169" s="39" t="n">
        <f aca="false">IF(AR$4=0,0,IF(COUNTIFS(実績!$W$6:$W$505,AR$3,実績!$AI$6:$AI$505,"&lt;="&amp;$A169,実績!$AJ$6:$AJ$505,"&gt;"&amp;$A169,実績!$AL$6:$AL$505,"○")&gt;0,1,0))</f>
        <v>0</v>
      </c>
      <c r="AS169" s="39" t="n">
        <f aca="false">IF(AS$4=0,0,IF(COUNTIFS(実績!$W$6:$W$505,AS$3,実績!$AI$6:$AI$505,"&lt;="&amp;$A169,実績!$AJ$6:$AJ$505,"&gt;"&amp;$A169,実績!$AL$6:$AL$505,"○")&gt;0,1,0))</f>
        <v>0</v>
      </c>
      <c r="AT169" s="39" t="n">
        <f aca="false">IF(AT$4=0,0,IF(COUNTIFS(実績!$W$6:$W$505,AT$3,実績!$AI$6:$AI$505,"&lt;="&amp;$A169,実績!$AJ$6:$AJ$505,"&gt;"&amp;$A169,実績!$AL$6:$AL$505,"○")&gt;0,1,0))</f>
        <v>0</v>
      </c>
      <c r="AU169" s="39" t="n">
        <f aca="false">IF(AU$4=0,0,IF(COUNTIFS(実績!$W$6:$W$505,AU$3,実績!$AI$6:$AI$505,"&lt;="&amp;$A169,実績!$AJ$6:$AJ$505,"&gt;"&amp;$A169,実績!$AL$6:$AL$505,"○")&gt;0,1,0))</f>
        <v>0</v>
      </c>
      <c r="AV169" s="39" t="n">
        <f aca="false">IF(AV$4=0,0,IF(COUNTIFS(実績!$W$6:$W$505,AV$3,実績!$AI$6:$AI$505,"&lt;="&amp;$A169,実績!$AJ$6:$AJ$505,"&gt;"&amp;$A169,実績!$AL$6:$AL$505,"○")&gt;0,1,0))</f>
        <v>0</v>
      </c>
      <c r="AW169" s="39" t="n">
        <f aca="false">IF(AW$4=0,0,IF(COUNTIFS(実績!$W$6:$W$505,AW$3,実績!$AI$6:$AI$505,"&lt;="&amp;$A169,実績!$AJ$6:$AJ$505,"&gt;"&amp;$A169,実績!$AL$6:$AL$505,"○")&gt;0,1,0))</f>
        <v>0</v>
      </c>
      <c r="AX169" s="39" t="n">
        <f aca="false">IF(AX$4=0,0,IF(COUNTIFS(実績!$W$6:$W$505,AX$3,実績!$AI$6:$AI$505,"&lt;="&amp;$A169,実績!$AJ$6:$AJ$505,"&gt;"&amp;$A169,実績!$AL$6:$AL$505,"○")&gt;0,1,0))</f>
        <v>0</v>
      </c>
      <c r="AY169" s="39" t="n">
        <f aca="false">IF(AY$4=0,0,IF(COUNTIFS(実績!$W$6:$W$505,AY$3,実績!$AI$6:$AI$505,"&lt;="&amp;$A169,実績!$AJ$6:$AJ$505,"&gt;"&amp;$A169,実績!$AL$6:$AL$505,"○")&gt;0,1,0))</f>
        <v>0</v>
      </c>
      <c r="AZ169" s="39" t="n">
        <f aca="false">IF(AZ$4=0,0,IF(COUNTIFS(実績!$W$6:$W$505,AZ$3,実績!$AI$6:$AI$505,"&lt;="&amp;$A169,実績!$AJ$6:$AJ$505,"&gt;"&amp;$A169,実績!$AL$6:$AL$505,"○")&gt;0,1,0))</f>
        <v>0</v>
      </c>
      <c r="BA169" s="39" t="n">
        <f aca="false">IF(BA$4=0,0,IF(COUNTIFS(実績!$W$6:$W$505,BA$3,実績!$AI$6:$AI$505,"&lt;="&amp;$A169,実績!$AJ$6:$AJ$505,"&gt;"&amp;$A169,実績!$AL$6:$AL$505,"○")&gt;0,1,0))</f>
        <v>0</v>
      </c>
      <c r="BB169" s="39" t="n">
        <f aca="false">IF(BB$4=0,0,IF(COUNTIFS(実績!$W$6:$W$505,BB$3,実績!$AI$6:$AI$505,"&lt;="&amp;$A169,実績!$AJ$6:$AJ$505,"&gt;"&amp;$A169,実績!$AL$6:$AL$505,"○")&gt;0,1,0))</f>
        <v>0</v>
      </c>
      <c r="BC169" s="39" t="n">
        <f aca="false">IF(BC$4=0,0,IF(COUNTIFS(実績!$W$6:$W$505,BC$3,実績!$AI$6:$AI$505,"&lt;="&amp;$A169,実績!$AJ$6:$AJ$505,"&gt;"&amp;$A169,実績!$AL$6:$AL$505,"○")&gt;0,1,0))</f>
        <v>0</v>
      </c>
      <c r="BD169" s="39" t="n">
        <f aca="false">IF(BD$4=0,0,IF(COUNTIFS(実績!$W$6:$W$505,BD$3,実績!$AI$6:$AI$505,"&lt;="&amp;$A169,実績!$AJ$6:$AJ$505,"&gt;"&amp;$A169,実績!$AL$6:$AL$505,"○")&gt;0,1,0))</f>
        <v>0</v>
      </c>
      <c r="BE169" s="39" t="n">
        <f aca="false">IF(BE$4=0,0,IF(COUNTIFS(実績!$W$6:$W$505,BE$3,実績!$AI$6:$AI$505,"&lt;="&amp;$A169,実績!$AJ$6:$AJ$505,"&gt;"&amp;$A169,実績!$AL$6:$AL$505,"○")&gt;0,1,0))</f>
        <v>0</v>
      </c>
      <c r="BF169" s="39" t="n">
        <f aca="false">IF(BF$4=0,0,IF(COUNTIFS(実績!$W$6:$W$505,BF$3,実績!$AI$6:$AI$505,"&lt;="&amp;$A169,実績!$AJ$6:$AJ$505,"&gt;"&amp;$A169,実績!$AL$6:$AL$505,"○")&gt;0,1,0))</f>
        <v>0</v>
      </c>
      <c r="BG169" s="39" t="n">
        <f aca="false">IF(BG$4=0,0,IF(COUNTIFS(実績!$W$6:$W$505,BG$3,実績!$AI$6:$AI$505,"&lt;="&amp;$A169,実績!$AJ$6:$AJ$505,"&gt;"&amp;$A169,実績!$AL$6:$AL$505,"○")&gt;0,1,0))</f>
        <v>0</v>
      </c>
      <c r="BH169" s="39" t="n">
        <f aca="false">IF(BH$4=0,0,IF(COUNTIFS(実績!$W$6:$W$505,BH$3,実績!$AI$6:$AI$505,"&lt;="&amp;$A169,実績!$AJ$6:$AJ$505,"&gt;"&amp;$A169,実績!$AL$6:$AL$505,"○")&gt;0,1,0))</f>
        <v>0</v>
      </c>
      <c r="BI169" s="39" t="n">
        <f aca="false">IF(BI$4=0,0,IF(COUNTIFS(実績!$W$6:$W$505,BI$3,実績!$AI$6:$AI$505,"&lt;="&amp;$A169,実績!$AJ$6:$AJ$505,"&gt;"&amp;$A169,実績!$AL$6:$AL$505,"○")&gt;0,1,0))</f>
        <v>0</v>
      </c>
      <c r="BJ169" s="39" t="n">
        <f aca="false">IF(BJ$4=0,0,IF(COUNTIFS(実績!$W$6:$W$505,BJ$3,実績!$AI$6:$AI$505,"&lt;="&amp;$A169,実績!$AJ$6:$AJ$505,"&gt;"&amp;$A169,実績!$AL$6:$AL$505,"○")&gt;0,1,0))</f>
        <v>0</v>
      </c>
      <c r="BK169" s="39" t="n">
        <f aca="false">IF(BK$4=0,0,IF(COUNTIFS(実績!$W$6:$W$505,BK$3,実績!$AI$6:$AI$505,"&lt;="&amp;$A169,実績!$AJ$6:$AJ$505,"&gt;"&amp;$A169,実績!$AL$6:$AL$505,"○")&gt;0,1,0))</f>
        <v>0</v>
      </c>
      <c r="BL169" s="39" t="n">
        <f aca="false">IF(BL$4=0,0,IF(COUNTIFS(実績!$W$6:$W$505,BL$3,実績!$AI$6:$AI$505,"&lt;="&amp;$A169,実績!$AJ$6:$AJ$505,"&gt;"&amp;$A169,実績!$AL$6:$AL$505,"○")&gt;0,1,0))</f>
        <v>0</v>
      </c>
      <c r="BM169" s="39" t="n">
        <f aca="false">IF(BM$4=0,0,IF(COUNTIFS(実績!$W$6:$W$505,BM$3,実績!$AI$6:$AI$505,"&lt;="&amp;$A169,実績!$AJ$6:$AJ$505,"&gt;"&amp;$A169,実績!$AL$6:$AL$505,"○")&gt;0,1,0))</f>
        <v>0</v>
      </c>
      <c r="BN169" s="39" t="n">
        <f aca="false">IF(BN$4=0,0,IF(COUNTIFS(実績!$W$6:$W$505,BN$3,実績!$AI$6:$AI$505,"&lt;="&amp;$A169,実績!$AJ$6:$AJ$505,"&gt;"&amp;$A169,実績!$AL$6:$AL$505,"○")&gt;0,1,0))</f>
        <v>0</v>
      </c>
      <c r="BO169" s="39" t="n">
        <f aca="false">IF(BO$4=0,0,IF(COUNTIFS(実績!$W$6:$W$505,BO$3,実績!$AI$6:$AI$505,"&lt;="&amp;$A169,実績!$AJ$6:$AJ$505,"&gt;"&amp;$A169,実績!$AL$6:$AL$505,"○")&gt;0,1,0))</f>
        <v>0</v>
      </c>
      <c r="BP169" s="39" t="n">
        <f aca="false">IF(BP$4=0,0,IF(COUNTIFS(実績!$W$6:$W$505,BP$3,実績!$AI$6:$AI$505,"&lt;="&amp;$A169,実績!$AJ$6:$AJ$505,"&gt;"&amp;$A169,実績!$AL$6:$AL$505,"○")&gt;0,1,0))</f>
        <v>0</v>
      </c>
      <c r="BQ169" s="39" t="n">
        <f aca="false">IF(BQ$4=0,0,IF(COUNTIFS(実績!$W$6:$W$505,BQ$3,実績!$AI$6:$AI$505,"&lt;="&amp;$A169,実績!$AJ$6:$AJ$505,"&gt;"&amp;$A169,実績!$AL$6:$AL$505,"○")&gt;0,1,0))</f>
        <v>0</v>
      </c>
      <c r="BR169" s="39" t="n">
        <f aca="false">IF(BR$4=0,0,IF(COUNTIFS(実績!$W$6:$W$505,BR$3,実績!$AI$6:$AI$505,"&lt;="&amp;$A169,実績!$AJ$6:$AJ$505,"&gt;"&amp;$A169,実績!$AL$6:$AL$505,"○")&gt;0,1,0))</f>
        <v>0</v>
      </c>
      <c r="BS169" s="39" t="n">
        <f aca="false">IF(BS$4=0,0,IF(COUNTIFS(実績!$W$6:$W$505,BS$3,実績!$AI$6:$AI$505,"&lt;="&amp;$A169,実績!$AJ$6:$AJ$505,"&gt;"&amp;$A169,実績!$AL$6:$AL$505,"○")&gt;0,1,0))</f>
        <v>0</v>
      </c>
      <c r="BT169" s="39" t="n">
        <f aca="false">IF(BT$4=0,0,IF(COUNTIFS(実績!$W$6:$W$505,BT$3,実績!$AI$6:$AI$505,"&lt;="&amp;$A169,実績!$AJ$6:$AJ$505,"&gt;"&amp;$A169,実績!$AL$6:$AL$505,"○")&gt;0,1,0))</f>
        <v>0</v>
      </c>
      <c r="BU169" s="39" t="n">
        <f aca="false">IF(BU$4=0,0,IF(COUNTIFS(実績!$W$6:$W$505,BU$3,実績!$AI$6:$AI$505,"&lt;="&amp;$A169,実績!$AJ$6:$AJ$505,"&gt;"&amp;$A169,実績!$AL$6:$AL$505,"○")&gt;0,1,0))</f>
        <v>0</v>
      </c>
      <c r="BV169" s="39" t="n">
        <f aca="false">IF(BV$4=0,0,IF(COUNTIFS(実績!$W$6:$W$505,BV$3,実績!$AI$6:$AI$505,"&lt;="&amp;$A169,実績!$AJ$6:$AJ$505,"&gt;"&amp;$A169,実績!$AL$6:$AL$505,"○")&gt;0,1,0))</f>
        <v>0</v>
      </c>
      <c r="BW169" s="39" t="n">
        <f aca="false">IF(BW$4=0,0,IF(COUNTIFS(実績!$W$6:$W$505,BW$3,実績!$AI$6:$AI$505,"&lt;="&amp;$A169,実績!$AJ$6:$AJ$505,"&gt;"&amp;$A169,実績!$AL$6:$AL$505,"○")&gt;0,1,0))</f>
        <v>0</v>
      </c>
      <c r="BX169" s="39" t="n">
        <f aca="false">IF(BX$4=0,0,IF(COUNTIFS(実績!$W$6:$W$505,BX$3,実績!$AI$6:$AI$505,"&lt;="&amp;$A169,実績!$AJ$6:$AJ$505,"&gt;"&amp;$A169,実績!$AL$6:$AL$505,"○")&gt;0,1,0))</f>
        <v>0</v>
      </c>
      <c r="BY169" s="39" t="n">
        <f aca="false">IF(BY$4=0,0,IF(COUNTIFS(実績!$W$6:$W$505,BY$3,実績!$AI$6:$AI$505,"&lt;="&amp;$A169,実績!$AJ$6:$AJ$505,"&gt;"&amp;$A169,実績!$AL$6:$AL$505,"○")&gt;0,1,0))</f>
        <v>0</v>
      </c>
      <c r="BZ169" s="39" t="n">
        <f aca="false">IF(BZ$4=0,0,IF(COUNTIFS(実績!$W$6:$W$505,BZ$3,実績!$AI$6:$AI$505,"&lt;="&amp;$A169,実績!$AJ$6:$AJ$505,"&gt;"&amp;$A169,実績!$AL$6:$AL$505,"○")&gt;0,1,0))</f>
        <v>0</v>
      </c>
      <c r="CA169" s="39" t="n">
        <f aca="false">IF(CA$4=0,0,IF(COUNTIFS(実績!$W$6:$W$505,CA$3,実績!$AI$6:$AI$505,"&lt;="&amp;$A169,実績!$AJ$6:$AJ$505,"&gt;"&amp;$A169,実績!$AL$6:$AL$505,"○")&gt;0,1,0))</f>
        <v>0</v>
      </c>
      <c r="CB169" s="39" t="n">
        <f aca="false">IF(CB$4=0,0,IF(COUNTIFS(実績!$W$6:$W$505,CB$3,実績!$AI$6:$AI$505,"&lt;="&amp;$A169,実績!$AJ$6:$AJ$505,"&gt;"&amp;$A169,実績!$AL$6:$AL$505,"○")&gt;0,1,0))</f>
        <v>0</v>
      </c>
      <c r="CC169" s="39" t="n">
        <f aca="false">IF(CC$4=0,0,IF(COUNTIFS(実績!$W$6:$W$505,CC$3,実績!$AI$6:$AI$505,"&lt;="&amp;$A169,実績!$AJ$6:$AJ$505,"&gt;"&amp;$A169,実績!$AL$6:$AL$505,"○")&gt;0,1,0))</f>
        <v>0</v>
      </c>
      <c r="CD169" s="39" t="n">
        <f aca="false">IF(CD$4=0,0,IF(COUNTIFS(実績!$W$6:$W$505,CD$3,実績!$AI$6:$AI$505,"&lt;="&amp;$A169,実績!$AJ$6:$AJ$505,"&gt;"&amp;$A169,実績!$AL$6:$AL$505,"○")&gt;0,1,0))</f>
        <v>0</v>
      </c>
      <c r="CE169" s="39" t="n">
        <f aca="false">IF(CE$4=0,0,IF(COUNTIFS(実績!$W$6:$W$505,CE$3,実績!$AI$6:$AI$505,"&lt;="&amp;$A169,実績!$AJ$6:$AJ$505,"&gt;"&amp;$A169,実績!$AL$6:$AL$505,"○")&gt;0,1,0))</f>
        <v>0</v>
      </c>
      <c r="CF169" s="39" t="n">
        <f aca="false">IF(CF$4=0,0,IF(COUNTIFS(実績!$W$6:$W$505,CF$3,実績!$AI$6:$AI$505,"&lt;="&amp;$A169,実績!$AJ$6:$AJ$505,"&gt;"&amp;$A169,実績!$AL$6:$AL$505,"○")&gt;0,1,0))</f>
        <v>0</v>
      </c>
      <c r="CG169" s="39" t="n">
        <f aca="false">IF(CG$4=0,0,IF(COUNTIFS(実績!$W$6:$W$505,CG$3,実績!$AI$6:$AI$505,"&lt;="&amp;$A169,実績!$AJ$6:$AJ$505,"&gt;"&amp;$A169,実績!$AL$6:$AL$505,"○")&gt;0,1,0))</f>
        <v>0</v>
      </c>
      <c r="CH169" s="39" t="n">
        <f aca="false">IF(CH$4=0,0,IF(COUNTIFS(実績!$W$6:$W$505,CH$3,実績!$AI$6:$AI$505,"&lt;="&amp;$A169,実績!$AJ$6:$AJ$505,"&gt;"&amp;$A169,実績!$AL$6:$AL$505,"○")&gt;0,1,0))</f>
        <v>0</v>
      </c>
      <c r="CI169" s="39" t="n">
        <f aca="false">IF(CI$4=0,0,IF(COUNTIFS(実績!$W$6:$W$505,CI$3,実績!$AI$6:$AI$505,"&lt;="&amp;$A169,実績!$AJ$6:$AJ$505,"&gt;"&amp;$A169,実績!$AL$6:$AL$505,"○")&gt;0,1,0))</f>
        <v>0</v>
      </c>
      <c r="CJ169" s="39" t="n">
        <f aca="false">IF(CJ$4=0,0,IF(COUNTIFS(実績!$W$6:$W$505,CJ$3,実績!$AI$6:$AI$505,"&lt;="&amp;$A169,実績!$AJ$6:$AJ$505,"&gt;"&amp;$A169,実績!$AL$6:$AL$505,"○")&gt;0,1,0))</f>
        <v>0</v>
      </c>
      <c r="CK169" s="39" t="n">
        <f aca="false">IF(CK$4=0,0,IF(COUNTIFS(実績!$W$6:$W$505,CK$3,実績!$AI$6:$AI$505,"&lt;="&amp;$A169,実績!$AJ$6:$AJ$505,"&gt;"&amp;$A169,実績!$AL$6:$AL$505,"○")&gt;0,1,0))</f>
        <v>0</v>
      </c>
      <c r="CL169" s="39" t="n">
        <f aca="false">IF(CL$4=0,0,IF(COUNTIFS(実績!$W$6:$W$505,CL$3,実績!$AI$6:$AI$505,"&lt;="&amp;$A169,実績!$AJ$6:$AJ$505,"&gt;"&amp;$A169,実績!$AL$6:$AL$505,"○")&gt;0,1,0))</f>
        <v>0</v>
      </c>
      <c r="CM169" s="39" t="n">
        <f aca="false">IF(CM$4=0,0,IF(COUNTIFS(実績!$W$6:$W$505,CM$3,実績!$AI$6:$AI$505,"&lt;="&amp;$A169,実績!$AJ$6:$AJ$505,"&gt;"&amp;$A169,実績!$AL$6:$AL$505,"○")&gt;0,1,0))</f>
        <v>0</v>
      </c>
      <c r="CN169" s="39" t="n">
        <f aca="false">IF(CN$4=0,0,IF(COUNTIFS(実績!$W$6:$W$505,CN$3,実績!$AI$6:$AI$505,"&lt;="&amp;$A169,実績!$AJ$6:$AJ$505,"&gt;"&amp;$A169,実績!$AL$6:$AL$505,"○")&gt;0,1,0))</f>
        <v>0</v>
      </c>
      <c r="CO169" s="39" t="n">
        <f aca="false">IF(CO$4=0,0,IF(COUNTIFS(実績!$W$6:$W$505,CO$3,実績!$AI$6:$AI$505,"&lt;="&amp;$A169,実績!$AJ$6:$AJ$505,"&gt;"&amp;$A169,実績!$AL$6:$AL$505,"○")&gt;0,1,0))</f>
        <v>0</v>
      </c>
      <c r="CP169" s="39" t="n">
        <f aca="false">IF(CP$4=0,0,IF(COUNTIFS(実績!$W$6:$W$505,CP$3,実績!$AI$6:$AI$505,"&lt;="&amp;$A169,実績!$AJ$6:$AJ$505,"&gt;"&amp;$A169,実績!$AL$6:$AL$505,"○")&gt;0,1,0))</f>
        <v>0</v>
      </c>
      <c r="CQ169" s="39" t="n">
        <f aca="false">IF(CQ$4=0,0,IF(COUNTIFS(実績!$W$6:$W$505,CQ$3,実績!$AI$6:$AI$505,"&lt;="&amp;$A169,実績!$AJ$6:$AJ$505,"&gt;"&amp;$A169,実績!$AL$6:$AL$505,"○")&gt;0,1,0))</f>
        <v>0</v>
      </c>
      <c r="CR169" s="39" t="n">
        <f aca="false">IF(CR$4=0,0,IF(COUNTIFS(実績!$W$6:$W$505,CR$3,実績!$AI$6:$AI$505,"&lt;="&amp;$A169,実績!$AJ$6:$AJ$505,"&gt;"&amp;$A169,実績!$AL$6:$AL$505,"○")&gt;0,1,0))</f>
        <v>0</v>
      </c>
      <c r="CS169" s="39" t="n">
        <f aca="false">IF(CS$4=0,0,IF(COUNTIFS(実績!$W$6:$W$505,CS$3,実績!$AI$6:$AI$505,"&lt;="&amp;$A169,実績!$AJ$6:$AJ$505,"&gt;"&amp;$A169,実績!$AL$6:$AL$505,"○")&gt;0,1,0))</f>
        <v>0</v>
      </c>
      <c r="CT169" s="39" t="n">
        <f aca="false">IF(CT$4=0,0,IF(COUNTIFS(実績!$W$6:$W$505,CT$3,実績!$AI$6:$AI$505,"&lt;="&amp;$A169,実績!$AJ$6:$AJ$505,"&gt;"&amp;$A169,実績!$AL$6:$AL$505,"○")&gt;0,1,0))</f>
        <v>0</v>
      </c>
      <c r="CU169" s="39" t="n">
        <f aca="false">IF(CU$4=0,0,IF(COUNTIFS(実績!$W$6:$W$505,CU$3,実績!$AI$6:$AI$505,"&lt;="&amp;$A169,実績!$AJ$6:$AJ$505,"&gt;"&amp;$A169,実績!$AL$6:$AL$505,"○")&gt;0,1,0))</f>
        <v>0</v>
      </c>
      <c r="CV169" s="39" t="n">
        <f aca="false">IF(CV$4=0,0,IF(COUNTIFS(実績!$W$6:$W$505,CV$3,実績!$AI$6:$AI$505,"&lt;="&amp;$A169,実績!$AJ$6:$AJ$505,"&gt;"&amp;$A169,実績!$AL$6:$AL$505,"○")&gt;0,1,0))</f>
        <v>0</v>
      </c>
      <c r="CW169" s="39" t="n">
        <f aca="false">IF(CW$4=0,0,IF(COUNTIFS(実績!$W$6:$W$505,CW$3,実績!$AI$6:$AI$505,"&lt;="&amp;$A169,実績!$AJ$6:$AJ$505,"&gt;"&amp;$A169,実績!$AL$6:$AL$505,"○")&gt;0,1,0))</f>
        <v>0</v>
      </c>
      <c r="CX169" s="39" t="n">
        <f aca="false">IF(CX$4=0,0,IF(COUNTIFS(実績!$W$6:$W$505,CX$3,実績!$AI$6:$AI$505,"&lt;="&amp;$A169,実績!$AJ$6:$AJ$505,"&gt;"&amp;$A169,実績!$AL$6:$AL$505,"○")&gt;0,1,0))</f>
        <v>0</v>
      </c>
      <c r="CY169" s="39" t="n">
        <f aca="false">IF(CY$4=0,0,IF(COUNTIFS(実績!$W$6:$W$505,CY$3,実績!$AI$6:$AI$505,"&lt;="&amp;$A169,実績!$AJ$6:$AJ$505,"&gt;"&amp;$A169,実績!$AL$6:$AL$505,"○")&gt;0,1,0))</f>
        <v>0</v>
      </c>
      <c r="CZ169" s="39" t="n">
        <f aca="false">IF(CZ$4=0,0,IF(COUNTIFS(実績!$W$6:$W$505,CZ$3,実績!$AI$6:$AI$505,"&lt;="&amp;$A169,実績!$AJ$6:$AJ$505,"&gt;"&amp;$A169,実績!$AL$6:$AL$505,"○")&gt;0,1,0))</f>
        <v>0</v>
      </c>
      <c r="DA169" s="39" t="n">
        <f aca="false">IF(DA$4=0,0,IF(COUNTIFS(実績!$W$6:$W$505,DA$3,実績!$AI$6:$AI$505,"&lt;="&amp;$A169,実績!$AJ$6:$AJ$505,"&gt;"&amp;$A169,実績!$AL$6:$AL$505,"○")&gt;0,1,0))</f>
        <v>0</v>
      </c>
      <c r="DB169" s="39" t="n">
        <f aca="false">IF(DB$4=0,0,IF(COUNTIFS(実績!$W$6:$W$505,DB$3,実績!$AI$6:$AI$505,"&lt;="&amp;$A169,実績!$AJ$6:$AJ$505,"&gt;"&amp;$A169,実績!$AL$6:$AL$505,"○")&gt;0,1,0))</f>
        <v>0</v>
      </c>
      <c r="DC169" s="39" t="n">
        <f aca="false">IF(DC$4=0,0,IF(COUNTIFS(実績!$W$6:$W$505,DC$3,実績!$AI$6:$AI$505,"&lt;="&amp;$A169,実績!$AJ$6:$AJ$505,"&gt;"&amp;$A169,実績!$AL$6:$AL$505,"○")&gt;0,1,0))</f>
        <v>0</v>
      </c>
      <c r="DD169" s="39" t="n">
        <f aca="false">IF(DD$4=0,0,IF(COUNTIFS(実績!$W$6:$W$505,DD$3,実績!$AI$6:$AI$505,"&lt;="&amp;$A169,実績!$AJ$6:$AJ$505,"&gt;"&amp;$A169,実績!$AL$6:$AL$505,"○")&gt;0,1,0))</f>
        <v>0</v>
      </c>
      <c r="DE169" s="39" t="n">
        <f aca="false">IF(DE$4=0,0,IF(COUNTIFS(実績!$W$6:$W$505,DE$3,実績!$AI$6:$AI$505,"&lt;="&amp;$A169,実績!$AJ$6:$AJ$505,"&gt;"&amp;$A169,実績!$AL$6:$AL$505,"○")&gt;0,1,0))</f>
        <v>0</v>
      </c>
      <c r="DF169" s="39" t="n">
        <f aca="false">IF(DF$4=0,0,IF(COUNTIFS(実績!$W$6:$W$505,DF$3,実績!$AI$6:$AI$505,"&lt;="&amp;$A169,実績!$AJ$6:$AJ$505,"&gt;"&amp;$A169,実績!$AL$6:$AL$505,"○")&gt;0,1,0))</f>
        <v>0</v>
      </c>
      <c r="DG169" s="39" t="n">
        <f aca="false">IF(DG$4=0,0,IF(COUNTIFS(実績!$W$6:$W$505,DG$3,実績!$AI$6:$AI$505,"&lt;="&amp;$A169,実績!$AJ$6:$AJ$505,"&gt;"&amp;$A169,実績!$AL$6:$AL$505,"○")&gt;0,1,0))</f>
        <v>0</v>
      </c>
      <c r="DH169" s="39" t="n">
        <f aca="false">IF(DH$4=0,0,IF(COUNTIFS(実績!$W$6:$W$505,DH$3,実績!$AI$6:$AI$505,"&lt;="&amp;$A169,実績!$AJ$6:$AJ$505,"&gt;"&amp;$A169,実績!$AL$6:$AL$505,"○")&gt;0,1,0))</f>
        <v>0</v>
      </c>
      <c r="DI169" s="39" t="n">
        <f aca="false">IF(DI$4=0,0,IF(COUNTIFS(実績!$W$6:$W$505,DI$3,実績!$AI$6:$AI$505,"&lt;="&amp;$A169,実績!$AJ$6:$AJ$505,"&gt;"&amp;$A169,実績!$AL$6:$AL$505,"○")&gt;0,1,0))</f>
        <v>0</v>
      </c>
      <c r="DJ169" s="39" t="n">
        <f aca="false">IF(DJ$4=0,0,IF(COUNTIFS(実績!$W$6:$W$505,DJ$3,実績!$AI$6:$AI$505,"&lt;="&amp;$A169,実績!$AJ$6:$AJ$505,"&gt;"&amp;$A169,実績!$AL$6:$AL$505,"○")&gt;0,1,0))</f>
        <v>0</v>
      </c>
      <c r="DK169" s="39" t="n">
        <f aca="false">IF(DK$4=0,0,IF(COUNTIFS(実績!$W$6:$W$505,DK$3,実績!$AI$6:$AI$505,"&lt;="&amp;$A169,実績!$AJ$6:$AJ$505,"&gt;"&amp;$A169,実績!$AL$6:$AL$505,"○")&gt;0,1,0))</f>
        <v>0</v>
      </c>
      <c r="DL169" s="39" t="n">
        <f aca="false">IF(DL$4=0,0,IF(COUNTIFS(実績!$W$6:$W$505,DL$3,実績!$AI$6:$AI$505,"&lt;="&amp;$A169,実績!$AJ$6:$AJ$505,"&gt;"&amp;$A169,実績!$AL$6:$AL$505,"○")&gt;0,1,0))</f>
        <v>0</v>
      </c>
      <c r="DM169" s="39" t="n">
        <f aca="false">IF(DM$4=0,0,IF(COUNTIFS(実績!$W$6:$W$505,DM$3,実績!$AI$6:$AI$505,"&lt;="&amp;$A169,実績!$AJ$6:$AJ$505,"&gt;"&amp;$A169,実績!$AL$6:$AL$505,"○")&gt;0,1,0))</f>
        <v>0</v>
      </c>
      <c r="DN169" s="39" t="n">
        <f aca="false">IF(DN$4=0,0,IF(COUNTIFS(実績!$W$6:$W$505,DN$3,実績!$AI$6:$AI$505,"&lt;="&amp;$A169,実績!$AJ$6:$AJ$505,"&gt;"&amp;$A169,実績!$AL$6:$AL$505,"○")&gt;0,1,0))</f>
        <v>0</v>
      </c>
      <c r="DO169" s="39" t="n">
        <f aca="false">IF(DO$4=0,0,IF(COUNTIFS(実績!$W$6:$W$505,DO$3,実績!$AI$6:$AI$505,"&lt;="&amp;$A169,実績!$AJ$6:$AJ$505,"&gt;"&amp;$A169,実績!$AL$6:$AL$505,"○")&gt;0,1,0))</f>
        <v>0</v>
      </c>
      <c r="DP169" s="39" t="n">
        <f aca="false">IF(DP$4=0,0,IF(COUNTIFS(実績!$W$6:$W$505,DP$3,実績!$AI$6:$AI$505,"&lt;="&amp;$A169,実績!$AJ$6:$AJ$505,"&gt;"&amp;$A169,実績!$AL$6:$AL$505,"○")&gt;0,1,0))</f>
        <v>0</v>
      </c>
      <c r="DQ169" s="39" t="n">
        <f aca="false">IF(DQ$4=0,0,IF(COUNTIFS(実績!$W$6:$W$505,DQ$3,実績!$AI$6:$AI$505,"&lt;="&amp;$A169,実績!$AJ$6:$AJ$505,"&gt;"&amp;$A169,実績!$AL$6:$AL$505,"○")&gt;0,1,0))</f>
        <v>0</v>
      </c>
      <c r="DR169" s="39" t="n">
        <f aca="false">IF(DR$4=0,0,IF(COUNTIFS(実績!$W$6:$W$505,DR$3,実績!$AI$6:$AI$505,"&lt;="&amp;$A169,実績!$AJ$6:$AJ$505,"&gt;"&amp;$A169,実績!$AL$6:$AL$505,"○")&gt;0,1,0))</f>
        <v>0</v>
      </c>
      <c r="DS169" s="39" t="n">
        <f aca="false">SUM(C169:DR169)</f>
        <v>0</v>
      </c>
    </row>
    <row r="170" customFormat="false" ht="15" hidden="false" customHeight="false" outlineLevel="0" collapsed="false">
      <c r="A170" s="0" t="n">
        <v>820</v>
      </c>
      <c r="B170" s="38" t="n">
        <f aca="false">A170/1440</f>
        <v>0.569444444444444</v>
      </c>
      <c r="C170" s="39" t="n">
        <f aca="false">IF(C$4=0,0,IF(COUNTIFS(実績!$W$6:$W$505,C$3,実績!$AI$6:$AI$505,"&lt;="&amp;$A170,実績!$AJ$6:$AJ$505,"&gt;"&amp;$A170,実績!$AL$6:$AL$505,"○")&gt;0,1,0))</f>
        <v>0</v>
      </c>
      <c r="D170" s="39" t="n">
        <f aca="false">IF(D$4=0,0,IF(COUNTIFS(実績!$W$6:$W$505,D$3,実績!$AI$6:$AI$505,"&lt;="&amp;$A170,実績!$AJ$6:$AJ$505,"&gt;"&amp;$A170,実績!$AL$6:$AL$505,"○")&gt;0,1,0))</f>
        <v>0</v>
      </c>
      <c r="E170" s="39" t="n">
        <f aca="false">IF(E$4=0,0,IF(COUNTIFS(実績!$W$6:$W$505,E$3,実績!$AI$6:$AI$505,"&lt;="&amp;$A170,実績!$AJ$6:$AJ$505,"&gt;"&amp;$A170,実績!$AL$6:$AL$505,"○")&gt;0,1,0))</f>
        <v>0</v>
      </c>
      <c r="F170" s="39" t="n">
        <f aca="false">IF(F$4=0,0,IF(COUNTIFS(実績!$W$6:$W$505,F$3,実績!$AI$6:$AI$505,"&lt;="&amp;$A170,実績!$AJ$6:$AJ$505,"&gt;"&amp;$A170,実績!$AL$6:$AL$505,"○")&gt;0,1,0))</f>
        <v>0</v>
      </c>
      <c r="G170" s="39" t="n">
        <f aca="false">IF(G$4=0,0,IF(COUNTIFS(実績!$W$6:$W$505,G$3,実績!$AI$6:$AI$505,"&lt;="&amp;$A170,実績!$AJ$6:$AJ$505,"&gt;"&amp;$A170,実績!$AL$6:$AL$505,"○")&gt;0,1,0))</f>
        <v>0</v>
      </c>
      <c r="H170" s="39" t="n">
        <f aca="false">IF(H$4=0,0,IF(COUNTIFS(実績!$W$6:$W$505,H$3,実績!$AI$6:$AI$505,"&lt;="&amp;$A170,実績!$AJ$6:$AJ$505,"&gt;"&amp;$A170,実績!$AL$6:$AL$505,"○")&gt;0,1,0))</f>
        <v>0</v>
      </c>
      <c r="I170" s="39" t="n">
        <f aca="false">IF(I$4=0,0,IF(COUNTIFS(実績!$W$6:$W$505,I$3,実績!$AI$6:$AI$505,"&lt;="&amp;$A170,実績!$AJ$6:$AJ$505,"&gt;"&amp;$A170,実績!$AL$6:$AL$505,"○")&gt;0,1,0))</f>
        <v>0</v>
      </c>
      <c r="J170" s="39" t="n">
        <f aca="false">IF(J$4=0,0,IF(COUNTIFS(実績!$W$6:$W$505,J$3,実績!$AI$6:$AI$505,"&lt;="&amp;$A170,実績!$AJ$6:$AJ$505,"&gt;"&amp;$A170,実績!$AL$6:$AL$505,"○")&gt;0,1,0))</f>
        <v>0</v>
      </c>
      <c r="K170" s="39" t="n">
        <f aca="false">IF(K$4=0,0,IF(COUNTIFS(実績!$W$6:$W$505,K$3,実績!$AI$6:$AI$505,"&lt;="&amp;$A170,実績!$AJ$6:$AJ$505,"&gt;"&amp;$A170,実績!$AL$6:$AL$505,"○")&gt;0,1,0))</f>
        <v>0</v>
      </c>
      <c r="L170" s="39" t="n">
        <f aca="false">IF(L$4=0,0,IF(COUNTIFS(実績!$W$6:$W$505,L$3,実績!$AI$6:$AI$505,"&lt;="&amp;$A170,実績!$AJ$6:$AJ$505,"&gt;"&amp;$A170,実績!$AL$6:$AL$505,"○")&gt;0,1,0))</f>
        <v>0</v>
      </c>
      <c r="M170" s="39" t="n">
        <f aca="false">IF(M$4=0,0,IF(COUNTIFS(実績!$W$6:$W$505,M$3,実績!$AI$6:$AI$505,"&lt;="&amp;$A170,実績!$AJ$6:$AJ$505,"&gt;"&amp;$A170,実績!$AL$6:$AL$505,"○")&gt;0,1,0))</f>
        <v>0</v>
      </c>
      <c r="N170" s="39" t="n">
        <f aca="false">IF(N$4=0,0,IF(COUNTIFS(実績!$W$6:$W$505,N$3,実績!$AI$6:$AI$505,"&lt;="&amp;$A170,実績!$AJ$6:$AJ$505,"&gt;"&amp;$A170,実績!$AL$6:$AL$505,"○")&gt;0,1,0))</f>
        <v>0</v>
      </c>
      <c r="O170" s="39" t="n">
        <f aca="false">IF(O$4=0,0,IF(COUNTIFS(実績!$W$6:$W$505,O$3,実績!$AI$6:$AI$505,"&lt;="&amp;$A170,実績!$AJ$6:$AJ$505,"&gt;"&amp;$A170,実績!$AL$6:$AL$505,"○")&gt;0,1,0))</f>
        <v>0</v>
      </c>
      <c r="P170" s="39" t="n">
        <f aca="false">IF(P$4=0,0,IF(COUNTIFS(実績!$W$6:$W$505,P$3,実績!$AI$6:$AI$505,"&lt;="&amp;$A170,実績!$AJ$6:$AJ$505,"&gt;"&amp;$A170,実績!$AL$6:$AL$505,"○")&gt;0,1,0))</f>
        <v>0</v>
      </c>
      <c r="Q170" s="39" t="n">
        <f aca="false">IF(Q$4=0,0,IF(COUNTIFS(実績!$W$6:$W$505,Q$3,実績!$AI$6:$AI$505,"&lt;="&amp;$A170,実績!$AJ$6:$AJ$505,"&gt;"&amp;$A170,実績!$AL$6:$AL$505,"○")&gt;0,1,0))</f>
        <v>0</v>
      </c>
      <c r="R170" s="39" t="n">
        <f aca="false">IF(R$4=0,0,IF(COUNTIFS(実績!$W$6:$W$505,R$3,実績!$AI$6:$AI$505,"&lt;="&amp;$A170,実績!$AJ$6:$AJ$505,"&gt;"&amp;$A170,実績!$AL$6:$AL$505,"○")&gt;0,1,0))</f>
        <v>0</v>
      </c>
      <c r="S170" s="39" t="n">
        <f aca="false">IF(S$4=0,0,IF(COUNTIFS(実績!$W$6:$W$505,S$3,実績!$AI$6:$AI$505,"&lt;="&amp;$A170,実績!$AJ$6:$AJ$505,"&gt;"&amp;$A170,実績!$AL$6:$AL$505,"○")&gt;0,1,0))</f>
        <v>0</v>
      </c>
      <c r="T170" s="39" t="n">
        <f aca="false">IF(T$4=0,0,IF(COUNTIFS(実績!$W$6:$W$505,T$3,実績!$AI$6:$AI$505,"&lt;="&amp;$A170,実績!$AJ$6:$AJ$505,"&gt;"&amp;$A170,実績!$AL$6:$AL$505,"○")&gt;0,1,0))</f>
        <v>0</v>
      </c>
      <c r="U170" s="39" t="n">
        <f aca="false">IF(U$4=0,0,IF(COUNTIFS(実績!$W$6:$W$505,U$3,実績!$AI$6:$AI$505,"&lt;="&amp;$A170,実績!$AJ$6:$AJ$505,"&gt;"&amp;$A170,実績!$AL$6:$AL$505,"○")&gt;0,1,0))</f>
        <v>0</v>
      </c>
      <c r="V170" s="39" t="n">
        <f aca="false">IF(V$4=0,0,IF(COUNTIFS(実績!$W$6:$W$505,V$3,実績!$AI$6:$AI$505,"&lt;="&amp;$A170,実績!$AJ$6:$AJ$505,"&gt;"&amp;$A170,実績!$AL$6:$AL$505,"○")&gt;0,1,0))</f>
        <v>0</v>
      </c>
      <c r="W170" s="39" t="n">
        <f aca="false">IF(W$4=0,0,IF(COUNTIFS(実績!$W$6:$W$505,W$3,実績!$AI$6:$AI$505,"&lt;="&amp;$A170,実績!$AJ$6:$AJ$505,"&gt;"&amp;$A170,実績!$AL$6:$AL$505,"○")&gt;0,1,0))</f>
        <v>0</v>
      </c>
      <c r="X170" s="39" t="n">
        <f aca="false">IF(X$4=0,0,IF(COUNTIFS(実績!$W$6:$W$505,X$3,実績!$AI$6:$AI$505,"&lt;="&amp;$A170,実績!$AJ$6:$AJ$505,"&gt;"&amp;$A170,実績!$AL$6:$AL$505,"○")&gt;0,1,0))</f>
        <v>0</v>
      </c>
      <c r="Y170" s="39" t="n">
        <f aca="false">IF(Y$4=0,0,IF(COUNTIFS(実績!$W$6:$W$505,Y$3,実績!$AI$6:$AI$505,"&lt;="&amp;$A170,実績!$AJ$6:$AJ$505,"&gt;"&amp;$A170,実績!$AL$6:$AL$505,"○")&gt;0,1,0))</f>
        <v>0</v>
      </c>
      <c r="Z170" s="39" t="n">
        <f aca="false">IF(Z$4=0,0,IF(COUNTIFS(実績!$W$6:$W$505,Z$3,実績!$AI$6:$AI$505,"&lt;="&amp;$A170,実績!$AJ$6:$AJ$505,"&gt;"&amp;$A170,実績!$AL$6:$AL$505,"○")&gt;0,1,0))</f>
        <v>0</v>
      </c>
      <c r="AA170" s="39" t="n">
        <f aca="false">IF(AA$4=0,0,IF(COUNTIFS(実績!$W$6:$W$505,AA$3,実績!$AI$6:$AI$505,"&lt;="&amp;$A170,実績!$AJ$6:$AJ$505,"&gt;"&amp;$A170,実績!$AL$6:$AL$505,"○")&gt;0,1,0))</f>
        <v>0</v>
      </c>
      <c r="AB170" s="39" t="n">
        <f aca="false">IF(AB$4=0,0,IF(COUNTIFS(実績!$W$6:$W$505,AB$3,実績!$AI$6:$AI$505,"&lt;="&amp;$A170,実績!$AJ$6:$AJ$505,"&gt;"&amp;$A170,実績!$AL$6:$AL$505,"○")&gt;0,1,0))</f>
        <v>0</v>
      </c>
      <c r="AC170" s="39" t="n">
        <f aca="false">IF(AC$4=0,0,IF(COUNTIFS(実績!$W$6:$W$505,AC$3,実績!$AI$6:$AI$505,"&lt;="&amp;$A170,実績!$AJ$6:$AJ$505,"&gt;"&amp;$A170,実績!$AL$6:$AL$505,"○")&gt;0,1,0))</f>
        <v>0</v>
      </c>
      <c r="AD170" s="39" t="n">
        <f aca="false">IF(AD$4=0,0,IF(COUNTIFS(実績!$W$6:$W$505,AD$3,実績!$AI$6:$AI$505,"&lt;="&amp;$A170,実績!$AJ$6:$AJ$505,"&gt;"&amp;$A170,実績!$AL$6:$AL$505,"○")&gt;0,1,0))</f>
        <v>0</v>
      </c>
      <c r="AE170" s="39" t="n">
        <f aca="false">IF(AE$4=0,0,IF(COUNTIFS(実績!$W$6:$W$505,AE$3,実績!$AI$6:$AI$505,"&lt;="&amp;$A170,実績!$AJ$6:$AJ$505,"&gt;"&amp;$A170,実績!$AL$6:$AL$505,"○")&gt;0,1,0))</f>
        <v>0</v>
      </c>
      <c r="AF170" s="39" t="n">
        <f aca="false">IF(AF$4=0,0,IF(COUNTIFS(実績!$W$6:$W$505,AF$3,実績!$AI$6:$AI$505,"&lt;="&amp;$A170,実績!$AJ$6:$AJ$505,"&gt;"&amp;$A170,実績!$AL$6:$AL$505,"○")&gt;0,1,0))</f>
        <v>0</v>
      </c>
      <c r="AG170" s="39" t="n">
        <f aca="false">IF(AG$4=0,0,IF(COUNTIFS(実績!$W$6:$W$505,AG$3,実績!$AI$6:$AI$505,"&lt;="&amp;$A170,実績!$AJ$6:$AJ$505,"&gt;"&amp;$A170,実績!$AL$6:$AL$505,"○")&gt;0,1,0))</f>
        <v>0</v>
      </c>
      <c r="AH170" s="39" t="n">
        <f aca="false">IF(AH$4=0,0,IF(COUNTIFS(実績!$W$6:$W$505,AH$3,実績!$AI$6:$AI$505,"&lt;="&amp;$A170,実績!$AJ$6:$AJ$505,"&gt;"&amp;$A170,実績!$AL$6:$AL$505,"○")&gt;0,1,0))</f>
        <v>0</v>
      </c>
      <c r="AI170" s="39" t="n">
        <f aca="false">IF(AI$4=0,0,IF(COUNTIFS(実績!$W$6:$W$505,AI$3,実績!$AI$6:$AI$505,"&lt;="&amp;$A170,実績!$AJ$6:$AJ$505,"&gt;"&amp;$A170,実績!$AL$6:$AL$505,"○")&gt;0,1,0))</f>
        <v>0</v>
      </c>
      <c r="AJ170" s="39" t="n">
        <f aca="false">IF(AJ$4=0,0,IF(COUNTIFS(実績!$W$6:$W$505,AJ$3,実績!$AI$6:$AI$505,"&lt;="&amp;$A170,実績!$AJ$6:$AJ$505,"&gt;"&amp;$A170,実績!$AL$6:$AL$505,"○")&gt;0,1,0))</f>
        <v>0</v>
      </c>
      <c r="AK170" s="39" t="n">
        <f aca="false">IF(AK$4=0,0,IF(COUNTIFS(実績!$W$6:$W$505,AK$3,実績!$AI$6:$AI$505,"&lt;="&amp;$A170,実績!$AJ$6:$AJ$505,"&gt;"&amp;$A170,実績!$AL$6:$AL$505,"○")&gt;0,1,0))</f>
        <v>0</v>
      </c>
      <c r="AL170" s="39" t="n">
        <f aca="false">IF(AL$4=0,0,IF(COUNTIFS(実績!$W$6:$W$505,AL$3,実績!$AI$6:$AI$505,"&lt;="&amp;$A170,実績!$AJ$6:$AJ$505,"&gt;"&amp;$A170,実績!$AL$6:$AL$505,"○")&gt;0,1,0))</f>
        <v>0</v>
      </c>
      <c r="AM170" s="39" t="n">
        <f aca="false">IF(AM$4=0,0,IF(COUNTIFS(実績!$W$6:$W$505,AM$3,実績!$AI$6:$AI$505,"&lt;="&amp;$A170,実績!$AJ$6:$AJ$505,"&gt;"&amp;$A170,実績!$AL$6:$AL$505,"○")&gt;0,1,0))</f>
        <v>0</v>
      </c>
      <c r="AN170" s="39" t="n">
        <f aca="false">IF(AN$4=0,0,IF(COUNTIFS(実績!$W$6:$W$505,AN$3,実績!$AI$6:$AI$505,"&lt;="&amp;$A170,実績!$AJ$6:$AJ$505,"&gt;"&amp;$A170,実績!$AL$6:$AL$505,"○")&gt;0,1,0))</f>
        <v>0</v>
      </c>
      <c r="AO170" s="39" t="n">
        <f aca="false">IF(AO$4=0,0,IF(COUNTIFS(実績!$W$6:$W$505,AO$3,実績!$AI$6:$AI$505,"&lt;="&amp;$A170,実績!$AJ$6:$AJ$505,"&gt;"&amp;$A170,実績!$AL$6:$AL$505,"○")&gt;0,1,0))</f>
        <v>0</v>
      </c>
      <c r="AP170" s="39" t="n">
        <f aca="false">IF(AP$4=0,0,IF(COUNTIFS(実績!$W$6:$W$505,AP$3,実績!$AI$6:$AI$505,"&lt;="&amp;$A170,実績!$AJ$6:$AJ$505,"&gt;"&amp;$A170,実績!$AL$6:$AL$505,"○")&gt;0,1,0))</f>
        <v>0</v>
      </c>
      <c r="AQ170" s="39" t="n">
        <f aca="false">IF(AQ$4=0,0,IF(COUNTIFS(実績!$W$6:$W$505,AQ$3,実績!$AI$6:$AI$505,"&lt;="&amp;$A170,実績!$AJ$6:$AJ$505,"&gt;"&amp;$A170,実績!$AL$6:$AL$505,"○")&gt;0,1,0))</f>
        <v>0</v>
      </c>
      <c r="AR170" s="39" t="n">
        <f aca="false">IF(AR$4=0,0,IF(COUNTIFS(実績!$W$6:$W$505,AR$3,実績!$AI$6:$AI$505,"&lt;="&amp;$A170,実績!$AJ$6:$AJ$505,"&gt;"&amp;$A170,実績!$AL$6:$AL$505,"○")&gt;0,1,0))</f>
        <v>0</v>
      </c>
      <c r="AS170" s="39" t="n">
        <f aca="false">IF(AS$4=0,0,IF(COUNTIFS(実績!$W$6:$W$505,AS$3,実績!$AI$6:$AI$505,"&lt;="&amp;$A170,実績!$AJ$6:$AJ$505,"&gt;"&amp;$A170,実績!$AL$6:$AL$505,"○")&gt;0,1,0))</f>
        <v>0</v>
      </c>
      <c r="AT170" s="39" t="n">
        <f aca="false">IF(AT$4=0,0,IF(COUNTIFS(実績!$W$6:$W$505,AT$3,実績!$AI$6:$AI$505,"&lt;="&amp;$A170,実績!$AJ$6:$AJ$505,"&gt;"&amp;$A170,実績!$AL$6:$AL$505,"○")&gt;0,1,0))</f>
        <v>0</v>
      </c>
      <c r="AU170" s="39" t="n">
        <f aca="false">IF(AU$4=0,0,IF(COUNTIFS(実績!$W$6:$W$505,AU$3,実績!$AI$6:$AI$505,"&lt;="&amp;$A170,実績!$AJ$6:$AJ$505,"&gt;"&amp;$A170,実績!$AL$6:$AL$505,"○")&gt;0,1,0))</f>
        <v>0</v>
      </c>
      <c r="AV170" s="39" t="n">
        <f aca="false">IF(AV$4=0,0,IF(COUNTIFS(実績!$W$6:$W$505,AV$3,実績!$AI$6:$AI$505,"&lt;="&amp;$A170,実績!$AJ$6:$AJ$505,"&gt;"&amp;$A170,実績!$AL$6:$AL$505,"○")&gt;0,1,0))</f>
        <v>0</v>
      </c>
      <c r="AW170" s="39" t="n">
        <f aca="false">IF(AW$4=0,0,IF(COUNTIFS(実績!$W$6:$W$505,AW$3,実績!$AI$6:$AI$505,"&lt;="&amp;$A170,実績!$AJ$6:$AJ$505,"&gt;"&amp;$A170,実績!$AL$6:$AL$505,"○")&gt;0,1,0))</f>
        <v>0</v>
      </c>
      <c r="AX170" s="39" t="n">
        <f aca="false">IF(AX$4=0,0,IF(COUNTIFS(実績!$W$6:$W$505,AX$3,実績!$AI$6:$AI$505,"&lt;="&amp;$A170,実績!$AJ$6:$AJ$505,"&gt;"&amp;$A170,実績!$AL$6:$AL$505,"○")&gt;0,1,0))</f>
        <v>0</v>
      </c>
      <c r="AY170" s="39" t="n">
        <f aca="false">IF(AY$4=0,0,IF(COUNTIFS(実績!$W$6:$W$505,AY$3,実績!$AI$6:$AI$505,"&lt;="&amp;$A170,実績!$AJ$6:$AJ$505,"&gt;"&amp;$A170,実績!$AL$6:$AL$505,"○")&gt;0,1,0))</f>
        <v>0</v>
      </c>
      <c r="AZ170" s="39" t="n">
        <f aca="false">IF(AZ$4=0,0,IF(COUNTIFS(実績!$W$6:$W$505,AZ$3,実績!$AI$6:$AI$505,"&lt;="&amp;$A170,実績!$AJ$6:$AJ$505,"&gt;"&amp;$A170,実績!$AL$6:$AL$505,"○")&gt;0,1,0))</f>
        <v>0</v>
      </c>
      <c r="BA170" s="39" t="n">
        <f aca="false">IF(BA$4=0,0,IF(COUNTIFS(実績!$W$6:$W$505,BA$3,実績!$AI$6:$AI$505,"&lt;="&amp;$A170,実績!$AJ$6:$AJ$505,"&gt;"&amp;$A170,実績!$AL$6:$AL$505,"○")&gt;0,1,0))</f>
        <v>0</v>
      </c>
      <c r="BB170" s="39" t="n">
        <f aca="false">IF(BB$4=0,0,IF(COUNTIFS(実績!$W$6:$W$505,BB$3,実績!$AI$6:$AI$505,"&lt;="&amp;$A170,実績!$AJ$6:$AJ$505,"&gt;"&amp;$A170,実績!$AL$6:$AL$505,"○")&gt;0,1,0))</f>
        <v>0</v>
      </c>
      <c r="BC170" s="39" t="n">
        <f aca="false">IF(BC$4=0,0,IF(COUNTIFS(実績!$W$6:$W$505,BC$3,実績!$AI$6:$AI$505,"&lt;="&amp;$A170,実績!$AJ$6:$AJ$505,"&gt;"&amp;$A170,実績!$AL$6:$AL$505,"○")&gt;0,1,0))</f>
        <v>0</v>
      </c>
      <c r="BD170" s="39" t="n">
        <f aca="false">IF(BD$4=0,0,IF(COUNTIFS(実績!$W$6:$W$505,BD$3,実績!$AI$6:$AI$505,"&lt;="&amp;$A170,実績!$AJ$6:$AJ$505,"&gt;"&amp;$A170,実績!$AL$6:$AL$505,"○")&gt;0,1,0))</f>
        <v>0</v>
      </c>
      <c r="BE170" s="39" t="n">
        <f aca="false">IF(BE$4=0,0,IF(COUNTIFS(実績!$W$6:$W$505,BE$3,実績!$AI$6:$AI$505,"&lt;="&amp;$A170,実績!$AJ$6:$AJ$505,"&gt;"&amp;$A170,実績!$AL$6:$AL$505,"○")&gt;0,1,0))</f>
        <v>0</v>
      </c>
      <c r="BF170" s="39" t="n">
        <f aca="false">IF(BF$4=0,0,IF(COUNTIFS(実績!$W$6:$W$505,BF$3,実績!$AI$6:$AI$505,"&lt;="&amp;$A170,実績!$AJ$6:$AJ$505,"&gt;"&amp;$A170,実績!$AL$6:$AL$505,"○")&gt;0,1,0))</f>
        <v>0</v>
      </c>
      <c r="BG170" s="39" t="n">
        <f aca="false">IF(BG$4=0,0,IF(COUNTIFS(実績!$W$6:$W$505,BG$3,実績!$AI$6:$AI$505,"&lt;="&amp;$A170,実績!$AJ$6:$AJ$505,"&gt;"&amp;$A170,実績!$AL$6:$AL$505,"○")&gt;0,1,0))</f>
        <v>0</v>
      </c>
      <c r="BH170" s="39" t="n">
        <f aca="false">IF(BH$4=0,0,IF(COUNTIFS(実績!$W$6:$W$505,BH$3,実績!$AI$6:$AI$505,"&lt;="&amp;$A170,実績!$AJ$6:$AJ$505,"&gt;"&amp;$A170,実績!$AL$6:$AL$505,"○")&gt;0,1,0))</f>
        <v>0</v>
      </c>
      <c r="BI170" s="39" t="n">
        <f aca="false">IF(BI$4=0,0,IF(COUNTIFS(実績!$W$6:$W$505,BI$3,実績!$AI$6:$AI$505,"&lt;="&amp;$A170,実績!$AJ$6:$AJ$505,"&gt;"&amp;$A170,実績!$AL$6:$AL$505,"○")&gt;0,1,0))</f>
        <v>0</v>
      </c>
      <c r="BJ170" s="39" t="n">
        <f aca="false">IF(BJ$4=0,0,IF(COUNTIFS(実績!$W$6:$W$505,BJ$3,実績!$AI$6:$AI$505,"&lt;="&amp;$A170,実績!$AJ$6:$AJ$505,"&gt;"&amp;$A170,実績!$AL$6:$AL$505,"○")&gt;0,1,0))</f>
        <v>0</v>
      </c>
      <c r="BK170" s="39" t="n">
        <f aca="false">IF(BK$4=0,0,IF(COUNTIFS(実績!$W$6:$W$505,BK$3,実績!$AI$6:$AI$505,"&lt;="&amp;$A170,実績!$AJ$6:$AJ$505,"&gt;"&amp;$A170,実績!$AL$6:$AL$505,"○")&gt;0,1,0))</f>
        <v>0</v>
      </c>
      <c r="BL170" s="39" t="n">
        <f aca="false">IF(BL$4=0,0,IF(COUNTIFS(実績!$W$6:$W$505,BL$3,実績!$AI$6:$AI$505,"&lt;="&amp;$A170,実績!$AJ$6:$AJ$505,"&gt;"&amp;$A170,実績!$AL$6:$AL$505,"○")&gt;0,1,0))</f>
        <v>0</v>
      </c>
      <c r="BM170" s="39" t="n">
        <f aca="false">IF(BM$4=0,0,IF(COUNTIFS(実績!$W$6:$W$505,BM$3,実績!$AI$6:$AI$505,"&lt;="&amp;$A170,実績!$AJ$6:$AJ$505,"&gt;"&amp;$A170,実績!$AL$6:$AL$505,"○")&gt;0,1,0))</f>
        <v>0</v>
      </c>
      <c r="BN170" s="39" t="n">
        <f aca="false">IF(BN$4=0,0,IF(COUNTIFS(実績!$W$6:$W$505,BN$3,実績!$AI$6:$AI$505,"&lt;="&amp;$A170,実績!$AJ$6:$AJ$505,"&gt;"&amp;$A170,実績!$AL$6:$AL$505,"○")&gt;0,1,0))</f>
        <v>0</v>
      </c>
      <c r="BO170" s="39" t="n">
        <f aca="false">IF(BO$4=0,0,IF(COUNTIFS(実績!$W$6:$W$505,BO$3,実績!$AI$6:$AI$505,"&lt;="&amp;$A170,実績!$AJ$6:$AJ$505,"&gt;"&amp;$A170,実績!$AL$6:$AL$505,"○")&gt;0,1,0))</f>
        <v>0</v>
      </c>
      <c r="BP170" s="39" t="n">
        <f aca="false">IF(BP$4=0,0,IF(COUNTIFS(実績!$W$6:$W$505,BP$3,実績!$AI$6:$AI$505,"&lt;="&amp;$A170,実績!$AJ$6:$AJ$505,"&gt;"&amp;$A170,実績!$AL$6:$AL$505,"○")&gt;0,1,0))</f>
        <v>0</v>
      </c>
      <c r="BQ170" s="39" t="n">
        <f aca="false">IF(BQ$4=0,0,IF(COUNTIFS(実績!$W$6:$W$505,BQ$3,実績!$AI$6:$AI$505,"&lt;="&amp;$A170,実績!$AJ$6:$AJ$505,"&gt;"&amp;$A170,実績!$AL$6:$AL$505,"○")&gt;0,1,0))</f>
        <v>0</v>
      </c>
      <c r="BR170" s="39" t="n">
        <f aca="false">IF(BR$4=0,0,IF(COUNTIFS(実績!$W$6:$W$505,BR$3,実績!$AI$6:$AI$505,"&lt;="&amp;$A170,実績!$AJ$6:$AJ$505,"&gt;"&amp;$A170,実績!$AL$6:$AL$505,"○")&gt;0,1,0))</f>
        <v>0</v>
      </c>
      <c r="BS170" s="39" t="n">
        <f aca="false">IF(BS$4=0,0,IF(COUNTIFS(実績!$W$6:$W$505,BS$3,実績!$AI$6:$AI$505,"&lt;="&amp;$A170,実績!$AJ$6:$AJ$505,"&gt;"&amp;$A170,実績!$AL$6:$AL$505,"○")&gt;0,1,0))</f>
        <v>0</v>
      </c>
      <c r="BT170" s="39" t="n">
        <f aca="false">IF(BT$4=0,0,IF(COUNTIFS(実績!$W$6:$W$505,BT$3,実績!$AI$6:$AI$505,"&lt;="&amp;$A170,実績!$AJ$6:$AJ$505,"&gt;"&amp;$A170,実績!$AL$6:$AL$505,"○")&gt;0,1,0))</f>
        <v>0</v>
      </c>
      <c r="BU170" s="39" t="n">
        <f aca="false">IF(BU$4=0,0,IF(COUNTIFS(実績!$W$6:$W$505,BU$3,実績!$AI$6:$AI$505,"&lt;="&amp;$A170,実績!$AJ$6:$AJ$505,"&gt;"&amp;$A170,実績!$AL$6:$AL$505,"○")&gt;0,1,0))</f>
        <v>0</v>
      </c>
      <c r="BV170" s="39" t="n">
        <f aca="false">IF(BV$4=0,0,IF(COUNTIFS(実績!$W$6:$W$505,BV$3,実績!$AI$6:$AI$505,"&lt;="&amp;$A170,実績!$AJ$6:$AJ$505,"&gt;"&amp;$A170,実績!$AL$6:$AL$505,"○")&gt;0,1,0))</f>
        <v>0</v>
      </c>
      <c r="BW170" s="39" t="n">
        <f aca="false">IF(BW$4=0,0,IF(COUNTIFS(実績!$W$6:$W$505,BW$3,実績!$AI$6:$AI$505,"&lt;="&amp;$A170,実績!$AJ$6:$AJ$505,"&gt;"&amp;$A170,実績!$AL$6:$AL$505,"○")&gt;0,1,0))</f>
        <v>0</v>
      </c>
      <c r="BX170" s="39" t="n">
        <f aca="false">IF(BX$4=0,0,IF(COUNTIFS(実績!$W$6:$W$505,BX$3,実績!$AI$6:$AI$505,"&lt;="&amp;$A170,実績!$AJ$6:$AJ$505,"&gt;"&amp;$A170,実績!$AL$6:$AL$505,"○")&gt;0,1,0))</f>
        <v>0</v>
      </c>
      <c r="BY170" s="39" t="n">
        <f aca="false">IF(BY$4=0,0,IF(COUNTIFS(実績!$W$6:$W$505,BY$3,実績!$AI$6:$AI$505,"&lt;="&amp;$A170,実績!$AJ$6:$AJ$505,"&gt;"&amp;$A170,実績!$AL$6:$AL$505,"○")&gt;0,1,0))</f>
        <v>0</v>
      </c>
      <c r="BZ170" s="39" t="n">
        <f aca="false">IF(BZ$4=0,0,IF(COUNTIFS(実績!$W$6:$W$505,BZ$3,実績!$AI$6:$AI$505,"&lt;="&amp;$A170,実績!$AJ$6:$AJ$505,"&gt;"&amp;$A170,実績!$AL$6:$AL$505,"○")&gt;0,1,0))</f>
        <v>0</v>
      </c>
      <c r="CA170" s="39" t="n">
        <f aca="false">IF(CA$4=0,0,IF(COUNTIFS(実績!$W$6:$W$505,CA$3,実績!$AI$6:$AI$505,"&lt;="&amp;$A170,実績!$AJ$6:$AJ$505,"&gt;"&amp;$A170,実績!$AL$6:$AL$505,"○")&gt;0,1,0))</f>
        <v>0</v>
      </c>
      <c r="CB170" s="39" t="n">
        <f aca="false">IF(CB$4=0,0,IF(COUNTIFS(実績!$W$6:$W$505,CB$3,実績!$AI$6:$AI$505,"&lt;="&amp;$A170,実績!$AJ$6:$AJ$505,"&gt;"&amp;$A170,実績!$AL$6:$AL$505,"○")&gt;0,1,0))</f>
        <v>0</v>
      </c>
      <c r="CC170" s="39" t="n">
        <f aca="false">IF(CC$4=0,0,IF(COUNTIFS(実績!$W$6:$W$505,CC$3,実績!$AI$6:$AI$505,"&lt;="&amp;$A170,実績!$AJ$6:$AJ$505,"&gt;"&amp;$A170,実績!$AL$6:$AL$505,"○")&gt;0,1,0))</f>
        <v>0</v>
      </c>
      <c r="CD170" s="39" t="n">
        <f aca="false">IF(CD$4=0,0,IF(COUNTIFS(実績!$W$6:$W$505,CD$3,実績!$AI$6:$AI$505,"&lt;="&amp;$A170,実績!$AJ$6:$AJ$505,"&gt;"&amp;$A170,実績!$AL$6:$AL$505,"○")&gt;0,1,0))</f>
        <v>0</v>
      </c>
      <c r="CE170" s="39" t="n">
        <f aca="false">IF(CE$4=0,0,IF(COUNTIFS(実績!$W$6:$W$505,CE$3,実績!$AI$6:$AI$505,"&lt;="&amp;$A170,実績!$AJ$6:$AJ$505,"&gt;"&amp;$A170,実績!$AL$6:$AL$505,"○")&gt;0,1,0))</f>
        <v>0</v>
      </c>
      <c r="CF170" s="39" t="n">
        <f aca="false">IF(CF$4=0,0,IF(COUNTIFS(実績!$W$6:$W$505,CF$3,実績!$AI$6:$AI$505,"&lt;="&amp;$A170,実績!$AJ$6:$AJ$505,"&gt;"&amp;$A170,実績!$AL$6:$AL$505,"○")&gt;0,1,0))</f>
        <v>0</v>
      </c>
      <c r="CG170" s="39" t="n">
        <f aca="false">IF(CG$4=0,0,IF(COUNTIFS(実績!$W$6:$W$505,CG$3,実績!$AI$6:$AI$505,"&lt;="&amp;$A170,実績!$AJ$6:$AJ$505,"&gt;"&amp;$A170,実績!$AL$6:$AL$505,"○")&gt;0,1,0))</f>
        <v>0</v>
      </c>
      <c r="CH170" s="39" t="n">
        <f aca="false">IF(CH$4=0,0,IF(COUNTIFS(実績!$W$6:$W$505,CH$3,実績!$AI$6:$AI$505,"&lt;="&amp;$A170,実績!$AJ$6:$AJ$505,"&gt;"&amp;$A170,実績!$AL$6:$AL$505,"○")&gt;0,1,0))</f>
        <v>0</v>
      </c>
      <c r="CI170" s="39" t="n">
        <f aca="false">IF(CI$4=0,0,IF(COUNTIFS(実績!$W$6:$W$505,CI$3,実績!$AI$6:$AI$505,"&lt;="&amp;$A170,実績!$AJ$6:$AJ$505,"&gt;"&amp;$A170,実績!$AL$6:$AL$505,"○")&gt;0,1,0))</f>
        <v>0</v>
      </c>
      <c r="CJ170" s="39" t="n">
        <f aca="false">IF(CJ$4=0,0,IF(COUNTIFS(実績!$W$6:$W$505,CJ$3,実績!$AI$6:$AI$505,"&lt;="&amp;$A170,実績!$AJ$6:$AJ$505,"&gt;"&amp;$A170,実績!$AL$6:$AL$505,"○")&gt;0,1,0))</f>
        <v>0</v>
      </c>
      <c r="CK170" s="39" t="n">
        <f aca="false">IF(CK$4=0,0,IF(COUNTIFS(実績!$W$6:$W$505,CK$3,実績!$AI$6:$AI$505,"&lt;="&amp;$A170,実績!$AJ$6:$AJ$505,"&gt;"&amp;$A170,実績!$AL$6:$AL$505,"○")&gt;0,1,0))</f>
        <v>0</v>
      </c>
      <c r="CL170" s="39" t="n">
        <f aca="false">IF(CL$4=0,0,IF(COUNTIFS(実績!$W$6:$W$505,CL$3,実績!$AI$6:$AI$505,"&lt;="&amp;$A170,実績!$AJ$6:$AJ$505,"&gt;"&amp;$A170,実績!$AL$6:$AL$505,"○")&gt;0,1,0))</f>
        <v>0</v>
      </c>
      <c r="CM170" s="39" t="n">
        <f aca="false">IF(CM$4=0,0,IF(COUNTIFS(実績!$W$6:$W$505,CM$3,実績!$AI$6:$AI$505,"&lt;="&amp;$A170,実績!$AJ$6:$AJ$505,"&gt;"&amp;$A170,実績!$AL$6:$AL$505,"○")&gt;0,1,0))</f>
        <v>0</v>
      </c>
      <c r="CN170" s="39" t="n">
        <f aca="false">IF(CN$4=0,0,IF(COUNTIFS(実績!$W$6:$W$505,CN$3,実績!$AI$6:$AI$505,"&lt;="&amp;$A170,実績!$AJ$6:$AJ$505,"&gt;"&amp;$A170,実績!$AL$6:$AL$505,"○")&gt;0,1,0))</f>
        <v>0</v>
      </c>
      <c r="CO170" s="39" t="n">
        <f aca="false">IF(CO$4=0,0,IF(COUNTIFS(実績!$W$6:$W$505,CO$3,実績!$AI$6:$AI$505,"&lt;="&amp;$A170,実績!$AJ$6:$AJ$505,"&gt;"&amp;$A170,実績!$AL$6:$AL$505,"○")&gt;0,1,0))</f>
        <v>0</v>
      </c>
      <c r="CP170" s="39" t="n">
        <f aca="false">IF(CP$4=0,0,IF(COUNTIFS(実績!$W$6:$W$505,CP$3,実績!$AI$6:$AI$505,"&lt;="&amp;$A170,実績!$AJ$6:$AJ$505,"&gt;"&amp;$A170,実績!$AL$6:$AL$505,"○")&gt;0,1,0))</f>
        <v>0</v>
      </c>
      <c r="CQ170" s="39" t="n">
        <f aca="false">IF(CQ$4=0,0,IF(COUNTIFS(実績!$W$6:$W$505,CQ$3,実績!$AI$6:$AI$505,"&lt;="&amp;$A170,実績!$AJ$6:$AJ$505,"&gt;"&amp;$A170,実績!$AL$6:$AL$505,"○")&gt;0,1,0))</f>
        <v>0</v>
      </c>
      <c r="CR170" s="39" t="n">
        <f aca="false">IF(CR$4=0,0,IF(COUNTIFS(実績!$W$6:$W$505,CR$3,実績!$AI$6:$AI$505,"&lt;="&amp;$A170,実績!$AJ$6:$AJ$505,"&gt;"&amp;$A170,実績!$AL$6:$AL$505,"○")&gt;0,1,0))</f>
        <v>0</v>
      </c>
      <c r="CS170" s="39" t="n">
        <f aca="false">IF(CS$4=0,0,IF(COUNTIFS(実績!$W$6:$W$505,CS$3,実績!$AI$6:$AI$505,"&lt;="&amp;$A170,実績!$AJ$6:$AJ$505,"&gt;"&amp;$A170,実績!$AL$6:$AL$505,"○")&gt;0,1,0))</f>
        <v>0</v>
      </c>
      <c r="CT170" s="39" t="n">
        <f aca="false">IF(CT$4=0,0,IF(COUNTIFS(実績!$W$6:$W$505,CT$3,実績!$AI$6:$AI$505,"&lt;="&amp;$A170,実績!$AJ$6:$AJ$505,"&gt;"&amp;$A170,実績!$AL$6:$AL$505,"○")&gt;0,1,0))</f>
        <v>0</v>
      </c>
      <c r="CU170" s="39" t="n">
        <f aca="false">IF(CU$4=0,0,IF(COUNTIFS(実績!$W$6:$W$505,CU$3,実績!$AI$6:$AI$505,"&lt;="&amp;$A170,実績!$AJ$6:$AJ$505,"&gt;"&amp;$A170,実績!$AL$6:$AL$505,"○")&gt;0,1,0))</f>
        <v>0</v>
      </c>
      <c r="CV170" s="39" t="n">
        <f aca="false">IF(CV$4=0,0,IF(COUNTIFS(実績!$W$6:$W$505,CV$3,実績!$AI$6:$AI$505,"&lt;="&amp;$A170,実績!$AJ$6:$AJ$505,"&gt;"&amp;$A170,実績!$AL$6:$AL$505,"○")&gt;0,1,0))</f>
        <v>0</v>
      </c>
      <c r="CW170" s="39" t="n">
        <f aca="false">IF(CW$4=0,0,IF(COUNTIFS(実績!$W$6:$W$505,CW$3,実績!$AI$6:$AI$505,"&lt;="&amp;$A170,実績!$AJ$6:$AJ$505,"&gt;"&amp;$A170,実績!$AL$6:$AL$505,"○")&gt;0,1,0))</f>
        <v>0</v>
      </c>
      <c r="CX170" s="39" t="n">
        <f aca="false">IF(CX$4=0,0,IF(COUNTIFS(実績!$W$6:$W$505,CX$3,実績!$AI$6:$AI$505,"&lt;="&amp;$A170,実績!$AJ$6:$AJ$505,"&gt;"&amp;$A170,実績!$AL$6:$AL$505,"○")&gt;0,1,0))</f>
        <v>0</v>
      </c>
      <c r="CY170" s="39" t="n">
        <f aca="false">IF(CY$4=0,0,IF(COUNTIFS(実績!$W$6:$W$505,CY$3,実績!$AI$6:$AI$505,"&lt;="&amp;$A170,実績!$AJ$6:$AJ$505,"&gt;"&amp;$A170,実績!$AL$6:$AL$505,"○")&gt;0,1,0))</f>
        <v>0</v>
      </c>
      <c r="CZ170" s="39" t="n">
        <f aca="false">IF(CZ$4=0,0,IF(COUNTIFS(実績!$W$6:$W$505,CZ$3,実績!$AI$6:$AI$505,"&lt;="&amp;$A170,実績!$AJ$6:$AJ$505,"&gt;"&amp;$A170,実績!$AL$6:$AL$505,"○")&gt;0,1,0))</f>
        <v>0</v>
      </c>
      <c r="DA170" s="39" t="n">
        <f aca="false">IF(DA$4=0,0,IF(COUNTIFS(実績!$W$6:$W$505,DA$3,実績!$AI$6:$AI$505,"&lt;="&amp;$A170,実績!$AJ$6:$AJ$505,"&gt;"&amp;$A170,実績!$AL$6:$AL$505,"○")&gt;0,1,0))</f>
        <v>0</v>
      </c>
      <c r="DB170" s="39" t="n">
        <f aca="false">IF(DB$4=0,0,IF(COUNTIFS(実績!$W$6:$W$505,DB$3,実績!$AI$6:$AI$505,"&lt;="&amp;$A170,実績!$AJ$6:$AJ$505,"&gt;"&amp;$A170,実績!$AL$6:$AL$505,"○")&gt;0,1,0))</f>
        <v>0</v>
      </c>
      <c r="DC170" s="39" t="n">
        <f aca="false">IF(DC$4=0,0,IF(COUNTIFS(実績!$W$6:$W$505,DC$3,実績!$AI$6:$AI$505,"&lt;="&amp;$A170,実績!$AJ$6:$AJ$505,"&gt;"&amp;$A170,実績!$AL$6:$AL$505,"○")&gt;0,1,0))</f>
        <v>0</v>
      </c>
      <c r="DD170" s="39" t="n">
        <f aca="false">IF(DD$4=0,0,IF(COUNTIFS(実績!$W$6:$W$505,DD$3,実績!$AI$6:$AI$505,"&lt;="&amp;$A170,実績!$AJ$6:$AJ$505,"&gt;"&amp;$A170,実績!$AL$6:$AL$505,"○")&gt;0,1,0))</f>
        <v>0</v>
      </c>
      <c r="DE170" s="39" t="n">
        <f aca="false">IF(DE$4=0,0,IF(COUNTIFS(実績!$W$6:$W$505,DE$3,実績!$AI$6:$AI$505,"&lt;="&amp;$A170,実績!$AJ$6:$AJ$505,"&gt;"&amp;$A170,実績!$AL$6:$AL$505,"○")&gt;0,1,0))</f>
        <v>0</v>
      </c>
      <c r="DF170" s="39" t="n">
        <f aca="false">IF(DF$4=0,0,IF(COUNTIFS(実績!$W$6:$W$505,DF$3,実績!$AI$6:$AI$505,"&lt;="&amp;$A170,実績!$AJ$6:$AJ$505,"&gt;"&amp;$A170,実績!$AL$6:$AL$505,"○")&gt;0,1,0))</f>
        <v>0</v>
      </c>
      <c r="DG170" s="39" t="n">
        <f aca="false">IF(DG$4=0,0,IF(COUNTIFS(実績!$W$6:$W$505,DG$3,実績!$AI$6:$AI$505,"&lt;="&amp;$A170,実績!$AJ$6:$AJ$505,"&gt;"&amp;$A170,実績!$AL$6:$AL$505,"○")&gt;0,1,0))</f>
        <v>0</v>
      </c>
      <c r="DH170" s="39" t="n">
        <f aca="false">IF(DH$4=0,0,IF(COUNTIFS(実績!$W$6:$W$505,DH$3,実績!$AI$6:$AI$505,"&lt;="&amp;$A170,実績!$AJ$6:$AJ$505,"&gt;"&amp;$A170,実績!$AL$6:$AL$505,"○")&gt;0,1,0))</f>
        <v>0</v>
      </c>
      <c r="DI170" s="39" t="n">
        <f aca="false">IF(DI$4=0,0,IF(COUNTIFS(実績!$W$6:$W$505,DI$3,実績!$AI$6:$AI$505,"&lt;="&amp;$A170,実績!$AJ$6:$AJ$505,"&gt;"&amp;$A170,実績!$AL$6:$AL$505,"○")&gt;0,1,0))</f>
        <v>0</v>
      </c>
      <c r="DJ170" s="39" t="n">
        <f aca="false">IF(DJ$4=0,0,IF(COUNTIFS(実績!$W$6:$W$505,DJ$3,実績!$AI$6:$AI$505,"&lt;="&amp;$A170,実績!$AJ$6:$AJ$505,"&gt;"&amp;$A170,実績!$AL$6:$AL$505,"○")&gt;0,1,0))</f>
        <v>0</v>
      </c>
      <c r="DK170" s="39" t="n">
        <f aca="false">IF(DK$4=0,0,IF(COUNTIFS(実績!$W$6:$W$505,DK$3,実績!$AI$6:$AI$505,"&lt;="&amp;$A170,実績!$AJ$6:$AJ$505,"&gt;"&amp;$A170,実績!$AL$6:$AL$505,"○")&gt;0,1,0))</f>
        <v>0</v>
      </c>
      <c r="DL170" s="39" t="n">
        <f aca="false">IF(DL$4=0,0,IF(COUNTIFS(実績!$W$6:$W$505,DL$3,実績!$AI$6:$AI$505,"&lt;="&amp;$A170,実績!$AJ$6:$AJ$505,"&gt;"&amp;$A170,実績!$AL$6:$AL$505,"○")&gt;0,1,0))</f>
        <v>0</v>
      </c>
      <c r="DM170" s="39" t="n">
        <f aca="false">IF(DM$4=0,0,IF(COUNTIFS(実績!$W$6:$W$505,DM$3,実績!$AI$6:$AI$505,"&lt;="&amp;$A170,実績!$AJ$6:$AJ$505,"&gt;"&amp;$A170,実績!$AL$6:$AL$505,"○")&gt;0,1,0))</f>
        <v>0</v>
      </c>
      <c r="DN170" s="39" t="n">
        <f aca="false">IF(DN$4=0,0,IF(COUNTIFS(実績!$W$6:$W$505,DN$3,実績!$AI$6:$AI$505,"&lt;="&amp;$A170,実績!$AJ$6:$AJ$505,"&gt;"&amp;$A170,実績!$AL$6:$AL$505,"○")&gt;0,1,0))</f>
        <v>0</v>
      </c>
      <c r="DO170" s="39" t="n">
        <f aca="false">IF(DO$4=0,0,IF(COUNTIFS(実績!$W$6:$W$505,DO$3,実績!$AI$6:$AI$505,"&lt;="&amp;$A170,実績!$AJ$6:$AJ$505,"&gt;"&amp;$A170,実績!$AL$6:$AL$505,"○")&gt;0,1,0))</f>
        <v>0</v>
      </c>
      <c r="DP170" s="39" t="n">
        <f aca="false">IF(DP$4=0,0,IF(COUNTIFS(実績!$W$6:$W$505,DP$3,実績!$AI$6:$AI$505,"&lt;="&amp;$A170,実績!$AJ$6:$AJ$505,"&gt;"&amp;$A170,実績!$AL$6:$AL$505,"○")&gt;0,1,0))</f>
        <v>0</v>
      </c>
      <c r="DQ170" s="39" t="n">
        <f aca="false">IF(DQ$4=0,0,IF(COUNTIFS(実績!$W$6:$W$505,DQ$3,実績!$AI$6:$AI$505,"&lt;="&amp;$A170,実績!$AJ$6:$AJ$505,"&gt;"&amp;$A170,実績!$AL$6:$AL$505,"○")&gt;0,1,0))</f>
        <v>0</v>
      </c>
      <c r="DR170" s="39" t="n">
        <f aca="false">IF(DR$4=0,0,IF(COUNTIFS(実績!$W$6:$W$505,DR$3,実績!$AI$6:$AI$505,"&lt;="&amp;$A170,実績!$AJ$6:$AJ$505,"&gt;"&amp;$A170,実績!$AL$6:$AL$505,"○")&gt;0,1,0))</f>
        <v>0</v>
      </c>
      <c r="DS170" s="39" t="n">
        <f aca="false">SUM(C170:DR170)</f>
        <v>0</v>
      </c>
    </row>
    <row r="171" customFormat="false" ht="15" hidden="false" customHeight="false" outlineLevel="0" collapsed="false">
      <c r="A171" s="0" t="n">
        <v>825</v>
      </c>
      <c r="B171" s="38" t="n">
        <f aca="false">A171/1440</f>
        <v>0.572916666666667</v>
      </c>
      <c r="C171" s="39" t="n">
        <f aca="false">IF(C$4=0,0,IF(COUNTIFS(実績!$W$6:$W$505,C$3,実績!$AI$6:$AI$505,"&lt;="&amp;$A171,実績!$AJ$6:$AJ$505,"&gt;"&amp;$A171,実績!$AL$6:$AL$505,"○")&gt;0,1,0))</f>
        <v>0</v>
      </c>
      <c r="D171" s="39" t="n">
        <f aca="false">IF(D$4=0,0,IF(COUNTIFS(実績!$W$6:$W$505,D$3,実績!$AI$6:$AI$505,"&lt;="&amp;$A171,実績!$AJ$6:$AJ$505,"&gt;"&amp;$A171,実績!$AL$6:$AL$505,"○")&gt;0,1,0))</f>
        <v>0</v>
      </c>
      <c r="E171" s="39" t="n">
        <f aca="false">IF(E$4=0,0,IF(COUNTIFS(実績!$W$6:$W$505,E$3,実績!$AI$6:$AI$505,"&lt;="&amp;$A171,実績!$AJ$6:$AJ$505,"&gt;"&amp;$A171,実績!$AL$6:$AL$505,"○")&gt;0,1,0))</f>
        <v>0</v>
      </c>
      <c r="F171" s="39" t="n">
        <f aca="false">IF(F$4=0,0,IF(COUNTIFS(実績!$W$6:$W$505,F$3,実績!$AI$6:$AI$505,"&lt;="&amp;$A171,実績!$AJ$6:$AJ$505,"&gt;"&amp;$A171,実績!$AL$6:$AL$505,"○")&gt;0,1,0))</f>
        <v>0</v>
      </c>
      <c r="G171" s="39" t="n">
        <f aca="false">IF(G$4=0,0,IF(COUNTIFS(実績!$W$6:$W$505,G$3,実績!$AI$6:$AI$505,"&lt;="&amp;$A171,実績!$AJ$6:$AJ$505,"&gt;"&amp;$A171,実績!$AL$6:$AL$505,"○")&gt;0,1,0))</f>
        <v>0</v>
      </c>
      <c r="H171" s="39" t="n">
        <f aca="false">IF(H$4=0,0,IF(COUNTIFS(実績!$W$6:$W$505,H$3,実績!$AI$6:$AI$505,"&lt;="&amp;$A171,実績!$AJ$6:$AJ$505,"&gt;"&amp;$A171,実績!$AL$6:$AL$505,"○")&gt;0,1,0))</f>
        <v>0</v>
      </c>
      <c r="I171" s="39" t="n">
        <f aca="false">IF(I$4=0,0,IF(COUNTIFS(実績!$W$6:$W$505,I$3,実績!$AI$6:$AI$505,"&lt;="&amp;$A171,実績!$AJ$6:$AJ$505,"&gt;"&amp;$A171,実績!$AL$6:$AL$505,"○")&gt;0,1,0))</f>
        <v>0</v>
      </c>
      <c r="J171" s="39" t="n">
        <f aca="false">IF(J$4=0,0,IF(COUNTIFS(実績!$W$6:$W$505,J$3,実績!$AI$6:$AI$505,"&lt;="&amp;$A171,実績!$AJ$6:$AJ$505,"&gt;"&amp;$A171,実績!$AL$6:$AL$505,"○")&gt;0,1,0))</f>
        <v>0</v>
      </c>
      <c r="K171" s="39" t="n">
        <f aca="false">IF(K$4=0,0,IF(COUNTIFS(実績!$W$6:$W$505,K$3,実績!$AI$6:$AI$505,"&lt;="&amp;$A171,実績!$AJ$6:$AJ$505,"&gt;"&amp;$A171,実績!$AL$6:$AL$505,"○")&gt;0,1,0))</f>
        <v>0</v>
      </c>
      <c r="L171" s="39" t="n">
        <f aca="false">IF(L$4=0,0,IF(COUNTIFS(実績!$W$6:$W$505,L$3,実績!$AI$6:$AI$505,"&lt;="&amp;$A171,実績!$AJ$6:$AJ$505,"&gt;"&amp;$A171,実績!$AL$6:$AL$505,"○")&gt;0,1,0))</f>
        <v>0</v>
      </c>
      <c r="M171" s="39" t="n">
        <f aca="false">IF(M$4=0,0,IF(COUNTIFS(実績!$W$6:$W$505,M$3,実績!$AI$6:$AI$505,"&lt;="&amp;$A171,実績!$AJ$6:$AJ$505,"&gt;"&amp;$A171,実績!$AL$6:$AL$505,"○")&gt;0,1,0))</f>
        <v>0</v>
      </c>
      <c r="N171" s="39" t="n">
        <f aca="false">IF(N$4=0,0,IF(COUNTIFS(実績!$W$6:$W$505,N$3,実績!$AI$6:$AI$505,"&lt;="&amp;$A171,実績!$AJ$6:$AJ$505,"&gt;"&amp;$A171,実績!$AL$6:$AL$505,"○")&gt;0,1,0))</f>
        <v>0</v>
      </c>
      <c r="O171" s="39" t="n">
        <f aca="false">IF(O$4=0,0,IF(COUNTIFS(実績!$W$6:$W$505,O$3,実績!$AI$6:$AI$505,"&lt;="&amp;$A171,実績!$AJ$6:$AJ$505,"&gt;"&amp;$A171,実績!$AL$6:$AL$505,"○")&gt;0,1,0))</f>
        <v>0</v>
      </c>
      <c r="P171" s="39" t="n">
        <f aca="false">IF(P$4=0,0,IF(COUNTIFS(実績!$W$6:$W$505,P$3,実績!$AI$6:$AI$505,"&lt;="&amp;$A171,実績!$AJ$6:$AJ$505,"&gt;"&amp;$A171,実績!$AL$6:$AL$505,"○")&gt;0,1,0))</f>
        <v>0</v>
      </c>
      <c r="Q171" s="39" t="n">
        <f aca="false">IF(Q$4=0,0,IF(COUNTIFS(実績!$W$6:$W$505,Q$3,実績!$AI$6:$AI$505,"&lt;="&amp;$A171,実績!$AJ$6:$AJ$505,"&gt;"&amp;$A171,実績!$AL$6:$AL$505,"○")&gt;0,1,0))</f>
        <v>0</v>
      </c>
      <c r="R171" s="39" t="n">
        <f aca="false">IF(R$4=0,0,IF(COUNTIFS(実績!$W$6:$W$505,R$3,実績!$AI$6:$AI$505,"&lt;="&amp;$A171,実績!$AJ$6:$AJ$505,"&gt;"&amp;$A171,実績!$AL$6:$AL$505,"○")&gt;0,1,0))</f>
        <v>0</v>
      </c>
      <c r="S171" s="39" t="n">
        <f aca="false">IF(S$4=0,0,IF(COUNTIFS(実績!$W$6:$W$505,S$3,実績!$AI$6:$AI$505,"&lt;="&amp;$A171,実績!$AJ$6:$AJ$505,"&gt;"&amp;$A171,実績!$AL$6:$AL$505,"○")&gt;0,1,0))</f>
        <v>0</v>
      </c>
      <c r="T171" s="39" t="n">
        <f aca="false">IF(T$4=0,0,IF(COUNTIFS(実績!$W$6:$W$505,T$3,実績!$AI$6:$AI$505,"&lt;="&amp;$A171,実績!$AJ$6:$AJ$505,"&gt;"&amp;$A171,実績!$AL$6:$AL$505,"○")&gt;0,1,0))</f>
        <v>0</v>
      </c>
      <c r="U171" s="39" t="n">
        <f aca="false">IF(U$4=0,0,IF(COUNTIFS(実績!$W$6:$W$505,U$3,実績!$AI$6:$AI$505,"&lt;="&amp;$A171,実績!$AJ$6:$AJ$505,"&gt;"&amp;$A171,実績!$AL$6:$AL$505,"○")&gt;0,1,0))</f>
        <v>0</v>
      </c>
      <c r="V171" s="39" t="n">
        <f aca="false">IF(V$4=0,0,IF(COUNTIFS(実績!$W$6:$W$505,V$3,実績!$AI$6:$AI$505,"&lt;="&amp;$A171,実績!$AJ$6:$AJ$505,"&gt;"&amp;$A171,実績!$AL$6:$AL$505,"○")&gt;0,1,0))</f>
        <v>0</v>
      </c>
      <c r="W171" s="39" t="n">
        <f aca="false">IF(W$4=0,0,IF(COUNTIFS(実績!$W$6:$W$505,W$3,実績!$AI$6:$AI$505,"&lt;="&amp;$A171,実績!$AJ$6:$AJ$505,"&gt;"&amp;$A171,実績!$AL$6:$AL$505,"○")&gt;0,1,0))</f>
        <v>0</v>
      </c>
      <c r="X171" s="39" t="n">
        <f aca="false">IF(X$4=0,0,IF(COUNTIFS(実績!$W$6:$W$505,X$3,実績!$AI$6:$AI$505,"&lt;="&amp;$A171,実績!$AJ$6:$AJ$505,"&gt;"&amp;$A171,実績!$AL$6:$AL$505,"○")&gt;0,1,0))</f>
        <v>0</v>
      </c>
      <c r="Y171" s="39" t="n">
        <f aca="false">IF(Y$4=0,0,IF(COUNTIFS(実績!$W$6:$W$505,Y$3,実績!$AI$6:$AI$505,"&lt;="&amp;$A171,実績!$AJ$6:$AJ$505,"&gt;"&amp;$A171,実績!$AL$6:$AL$505,"○")&gt;0,1,0))</f>
        <v>0</v>
      </c>
      <c r="Z171" s="39" t="n">
        <f aca="false">IF(Z$4=0,0,IF(COUNTIFS(実績!$W$6:$W$505,Z$3,実績!$AI$6:$AI$505,"&lt;="&amp;$A171,実績!$AJ$6:$AJ$505,"&gt;"&amp;$A171,実績!$AL$6:$AL$505,"○")&gt;0,1,0))</f>
        <v>0</v>
      </c>
      <c r="AA171" s="39" t="n">
        <f aca="false">IF(AA$4=0,0,IF(COUNTIFS(実績!$W$6:$W$505,AA$3,実績!$AI$6:$AI$505,"&lt;="&amp;$A171,実績!$AJ$6:$AJ$505,"&gt;"&amp;$A171,実績!$AL$6:$AL$505,"○")&gt;0,1,0))</f>
        <v>0</v>
      </c>
      <c r="AB171" s="39" t="n">
        <f aca="false">IF(AB$4=0,0,IF(COUNTIFS(実績!$W$6:$W$505,AB$3,実績!$AI$6:$AI$505,"&lt;="&amp;$A171,実績!$AJ$6:$AJ$505,"&gt;"&amp;$A171,実績!$AL$6:$AL$505,"○")&gt;0,1,0))</f>
        <v>0</v>
      </c>
      <c r="AC171" s="39" t="n">
        <f aca="false">IF(AC$4=0,0,IF(COUNTIFS(実績!$W$6:$W$505,AC$3,実績!$AI$6:$AI$505,"&lt;="&amp;$A171,実績!$AJ$6:$AJ$505,"&gt;"&amp;$A171,実績!$AL$6:$AL$505,"○")&gt;0,1,0))</f>
        <v>0</v>
      </c>
      <c r="AD171" s="39" t="n">
        <f aca="false">IF(AD$4=0,0,IF(COUNTIFS(実績!$W$6:$W$505,AD$3,実績!$AI$6:$AI$505,"&lt;="&amp;$A171,実績!$AJ$6:$AJ$505,"&gt;"&amp;$A171,実績!$AL$6:$AL$505,"○")&gt;0,1,0))</f>
        <v>0</v>
      </c>
      <c r="AE171" s="39" t="n">
        <f aca="false">IF(AE$4=0,0,IF(COUNTIFS(実績!$W$6:$W$505,AE$3,実績!$AI$6:$AI$505,"&lt;="&amp;$A171,実績!$AJ$6:$AJ$505,"&gt;"&amp;$A171,実績!$AL$6:$AL$505,"○")&gt;0,1,0))</f>
        <v>0</v>
      </c>
      <c r="AF171" s="39" t="n">
        <f aca="false">IF(AF$4=0,0,IF(COUNTIFS(実績!$W$6:$W$505,AF$3,実績!$AI$6:$AI$505,"&lt;="&amp;$A171,実績!$AJ$6:$AJ$505,"&gt;"&amp;$A171,実績!$AL$6:$AL$505,"○")&gt;0,1,0))</f>
        <v>0</v>
      </c>
      <c r="AG171" s="39" t="n">
        <f aca="false">IF(AG$4=0,0,IF(COUNTIFS(実績!$W$6:$W$505,AG$3,実績!$AI$6:$AI$505,"&lt;="&amp;$A171,実績!$AJ$6:$AJ$505,"&gt;"&amp;$A171,実績!$AL$6:$AL$505,"○")&gt;0,1,0))</f>
        <v>0</v>
      </c>
      <c r="AH171" s="39" t="n">
        <f aca="false">IF(AH$4=0,0,IF(COUNTIFS(実績!$W$6:$W$505,AH$3,実績!$AI$6:$AI$505,"&lt;="&amp;$A171,実績!$AJ$6:$AJ$505,"&gt;"&amp;$A171,実績!$AL$6:$AL$505,"○")&gt;0,1,0))</f>
        <v>0</v>
      </c>
      <c r="AI171" s="39" t="n">
        <f aca="false">IF(AI$4=0,0,IF(COUNTIFS(実績!$W$6:$W$505,AI$3,実績!$AI$6:$AI$505,"&lt;="&amp;$A171,実績!$AJ$6:$AJ$505,"&gt;"&amp;$A171,実績!$AL$6:$AL$505,"○")&gt;0,1,0))</f>
        <v>0</v>
      </c>
      <c r="AJ171" s="39" t="n">
        <f aca="false">IF(AJ$4=0,0,IF(COUNTIFS(実績!$W$6:$W$505,AJ$3,実績!$AI$6:$AI$505,"&lt;="&amp;$A171,実績!$AJ$6:$AJ$505,"&gt;"&amp;$A171,実績!$AL$6:$AL$505,"○")&gt;0,1,0))</f>
        <v>0</v>
      </c>
      <c r="AK171" s="39" t="n">
        <f aca="false">IF(AK$4=0,0,IF(COUNTIFS(実績!$W$6:$W$505,AK$3,実績!$AI$6:$AI$505,"&lt;="&amp;$A171,実績!$AJ$6:$AJ$505,"&gt;"&amp;$A171,実績!$AL$6:$AL$505,"○")&gt;0,1,0))</f>
        <v>0</v>
      </c>
      <c r="AL171" s="39" t="n">
        <f aca="false">IF(AL$4=0,0,IF(COUNTIFS(実績!$W$6:$W$505,AL$3,実績!$AI$6:$AI$505,"&lt;="&amp;$A171,実績!$AJ$6:$AJ$505,"&gt;"&amp;$A171,実績!$AL$6:$AL$505,"○")&gt;0,1,0))</f>
        <v>0</v>
      </c>
      <c r="AM171" s="39" t="n">
        <f aca="false">IF(AM$4=0,0,IF(COUNTIFS(実績!$W$6:$W$505,AM$3,実績!$AI$6:$AI$505,"&lt;="&amp;$A171,実績!$AJ$6:$AJ$505,"&gt;"&amp;$A171,実績!$AL$6:$AL$505,"○")&gt;0,1,0))</f>
        <v>0</v>
      </c>
      <c r="AN171" s="39" t="n">
        <f aca="false">IF(AN$4=0,0,IF(COUNTIFS(実績!$W$6:$W$505,AN$3,実績!$AI$6:$AI$505,"&lt;="&amp;$A171,実績!$AJ$6:$AJ$505,"&gt;"&amp;$A171,実績!$AL$6:$AL$505,"○")&gt;0,1,0))</f>
        <v>0</v>
      </c>
      <c r="AO171" s="39" t="n">
        <f aca="false">IF(AO$4=0,0,IF(COUNTIFS(実績!$W$6:$W$505,AO$3,実績!$AI$6:$AI$505,"&lt;="&amp;$A171,実績!$AJ$6:$AJ$505,"&gt;"&amp;$A171,実績!$AL$6:$AL$505,"○")&gt;0,1,0))</f>
        <v>0</v>
      </c>
      <c r="AP171" s="39" t="n">
        <f aca="false">IF(AP$4=0,0,IF(COUNTIFS(実績!$W$6:$W$505,AP$3,実績!$AI$6:$AI$505,"&lt;="&amp;$A171,実績!$AJ$6:$AJ$505,"&gt;"&amp;$A171,実績!$AL$6:$AL$505,"○")&gt;0,1,0))</f>
        <v>0</v>
      </c>
      <c r="AQ171" s="39" t="n">
        <f aca="false">IF(AQ$4=0,0,IF(COUNTIFS(実績!$W$6:$W$505,AQ$3,実績!$AI$6:$AI$505,"&lt;="&amp;$A171,実績!$AJ$6:$AJ$505,"&gt;"&amp;$A171,実績!$AL$6:$AL$505,"○")&gt;0,1,0))</f>
        <v>0</v>
      </c>
      <c r="AR171" s="39" t="n">
        <f aca="false">IF(AR$4=0,0,IF(COUNTIFS(実績!$W$6:$W$505,AR$3,実績!$AI$6:$AI$505,"&lt;="&amp;$A171,実績!$AJ$6:$AJ$505,"&gt;"&amp;$A171,実績!$AL$6:$AL$505,"○")&gt;0,1,0))</f>
        <v>0</v>
      </c>
      <c r="AS171" s="39" t="n">
        <f aca="false">IF(AS$4=0,0,IF(COUNTIFS(実績!$W$6:$W$505,AS$3,実績!$AI$6:$AI$505,"&lt;="&amp;$A171,実績!$AJ$6:$AJ$505,"&gt;"&amp;$A171,実績!$AL$6:$AL$505,"○")&gt;0,1,0))</f>
        <v>0</v>
      </c>
      <c r="AT171" s="39" t="n">
        <f aca="false">IF(AT$4=0,0,IF(COUNTIFS(実績!$W$6:$W$505,AT$3,実績!$AI$6:$AI$505,"&lt;="&amp;$A171,実績!$AJ$6:$AJ$505,"&gt;"&amp;$A171,実績!$AL$6:$AL$505,"○")&gt;0,1,0))</f>
        <v>0</v>
      </c>
      <c r="AU171" s="39" t="n">
        <f aca="false">IF(AU$4=0,0,IF(COUNTIFS(実績!$W$6:$W$505,AU$3,実績!$AI$6:$AI$505,"&lt;="&amp;$A171,実績!$AJ$6:$AJ$505,"&gt;"&amp;$A171,実績!$AL$6:$AL$505,"○")&gt;0,1,0))</f>
        <v>0</v>
      </c>
      <c r="AV171" s="39" t="n">
        <f aca="false">IF(AV$4=0,0,IF(COUNTIFS(実績!$W$6:$W$505,AV$3,実績!$AI$6:$AI$505,"&lt;="&amp;$A171,実績!$AJ$6:$AJ$505,"&gt;"&amp;$A171,実績!$AL$6:$AL$505,"○")&gt;0,1,0))</f>
        <v>0</v>
      </c>
      <c r="AW171" s="39" t="n">
        <f aca="false">IF(AW$4=0,0,IF(COUNTIFS(実績!$W$6:$W$505,AW$3,実績!$AI$6:$AI$505,"&lt;="&amp;$A171,実績!$AJ$6:$AJ$505,"&gt;"&amp;$A171,実績!$AL$6:$AL$505,"○")&gt;0,1,0))</f>
        <v>0</v>
      </c>
      <c r="AX171" s="39" t="n">
        <f aca="false">IF(AX$4=0,0,IF(COUNTIFS(実績!$W$6:$W$505,AX$3,実績!$AI$6:$AI$505,"&lt;="&amp;$A171,実績!$AJ$6:$AJ$505,"&gt;"&amp;$A171,実績!$AL$6:$AL$505,"○")&gt;0,1,0))</f>
        <v>0</v>
      </c>
      <c r="AY171" s="39" t="n">
        <f aca="false">IF(AY$4=0,0,IF(COUNTIFS(実績!$W$6:$W$505,AY$3,実績!$AI$6:$AI$505,"&lt;="&amp;$A171,実績!$AJ$6:$AJ$505,"&gt;"&amp;$A171,実績!$AL$6:$AL$505,"○")&gt;0,1,0))</f>
        <v>0</v>
      </c>
      <c r="AZ171" s="39" t="n">
        <f aca="false">IF(AZ$4=0,0,IF(COUNTIFS(実績!$W$6:$W$505,AZ$3,実績!$AI$6:$AI$505,"&lt;="&amp;$A171,実績!$AJ$6:$AJ$505,"&gt;"&amp;$A171,実績!$AL$6:$AL$505,"○")&gt;0,1,0))</f>
        <v>0</v>
      </c>
      <c r="BA171" s="39" t="n">
        <f aca="false">IF(BA$4=0,0,IF(COUNTIFS(実績!$W$6:$W$505,BA$3,実績!$AI$6:$AI$505,"&lt;="&amp;$A171,実績!$AJ$6:$AJ$505,"&gt;"&amp;$A171,実績!$AL$6:$AL$505,"○")&gt;0,1,0))</f>
        <v>0</v>
      </c>
      <c r="BB171" s="39" t="n">
        <f aca="false">IF(BB$4=0,0,IF(COUNTIFS(実績!$W$6:$W$505,BB$3,実績!$AI$6:$AI$505,"&lt;="&amp;$A171,実績!$AJ$6:$AJ$505,"&gt;"&amp;$A171,実績!$AL$6:$AL$505,"○")&gt;0,1,0))</f>
        <v>0</v>
      </c>
      <c r="BC171" s="39" t="n">
        <f aca="false">IF(BC$4=0,0,IF(COUNTIFS(実績!$W$6:$W$505,BC$3,実績!$AI$6:$AI$505,"&lt;="&amp;$A171,実績!$AJ$6:$AJ$505,"&gt;"&amp;$A171,実績!$AL$6:$AL$505,"○")&gt;0,1,0))</f>
        <v>0</v>
      </c>
      <c r="BD171" s="39" t="n">
        <f aca="false">IF(BD$4=0,0,IF(COUNTIFS(実績!$W$6:$W$505,BD$3,実績!$AI$6:$AI$505,"&lt;="&amp;$A171,実績!$AJ$6:$AJ$505,"&gt;"&amp;$A171,実績!$AL$6:$AL$505,"○")&gt;0,1,0))</f>
        <v>0</v>
      </c>
      <c r="BE171" s="39" t="n">
        <f aca="false">IF(BE$4=0,0,IF(COUNTIFS(実績!$W$6:$W$505,BE$3,実績!$AI$6:$AI$505,"&lt;="&amp;$A171,実績!$AJ$6:$AJ$505,"&gt;"&amp;$A171,実績!$AL$6:$AL$505,"○")&gt;0,1,0))</f>
        <v>0</v>
      </c>
      <c r="BF171" s="39" t="n">
        <f aca="false">IF(BF$4=0,0,IF(COUNTIFS(実績!$W$6:$W$505,BF$3,実績!$AI$6:$AI$505,"&lt;="&amp;$A171,実績!$AJ$6:$AJ$505,"&gt;"&amp;$A171,実績!$AL$6:$AL$505,"○")&gt;0,1,0))</f>
        <v>0</v>
      </c>
      <c r="BG171" s="39" t="n">
        <f aca="false">IF(BG$4=0,0,IF(COUNTIFS(実績!$W$6:$W$505,BG$3,実績!$AI$6:$AI$505,"&lt;="&amp;$A171,実績!$AJ$6:$AJ$505,"&gt;"&amp;$A171,実績!$AL$6:$AL$505,"○")&gt;0,1,0))</f>
        <v>0</v>
      </c>
      <c r="BH171" s="39" t="n">
        <f aca="false">IF(BH$4=0,0,IF(COUNTIFS(実績!$W$6:$W$505,BH$3,実績!$AI$6:$AI$505,"&lt;="&amp;$A171,実績!$AJ$6:$AJ$505,"&gt;"&amp;$A171,実績!$AL$6:$AL$505,"○")&gt;0,1,0))</f>
        <v>0</v>
      </c>
      <c r="BI171" s="39" t="n">
        <f aca="false">IF(BI$4=0,0,IF(COUNTIFS(実績!$W$6:$W$505,BI$3,実績!$AI$6:$AI$505,"&lt;="&amp;$A171,実績!$AJ$6:$AJ$505,"&gt;"&amp;$A171,実績!$AL$6:$AL$505,"○")&gt;0,1,0))</f>
        <v>0</v>
      </c>
      <c r="BJ171" s="39" t="n">
        <f aca="false">IF(BJ$4=0,0,IF(COUNTIFS(実績!$W$6:$W$505,BJ$3,実績!$AI$6:$AI$505,"&lt;="&amp;$A171,実績!$AJ$6:$AJ$505,"&gt;"&amp;$A171,実績!$AL$6:$AL$505,"○")&gt;0,1,0))</f>
        <v>0</v>
      </c>
      <c r="BK171" s="39" t="n">
        <f aca="false">IF(BK$4=0,0,IF(COUNTIFS(実績!$W$6:$W$505,BK$3,実績!$AI$6:$AI$505,"&lt;="&amp;$A171,実績!$AJ$6:$AJ$505,"&gt;"&amp;$A171,実績!$AL$6:$AL$505,"○")&gt;0,1,0))</f>
        <v>0</v>
      </c>
      <c r="BL171" s="39" t="n">
        <f aca="false">IF(BL$4=0,0,IF(COUNTIFS(実績!$W$6:$W$505,BL$3,実績!$AI$6:$AI$505,"&lt;="&amp;$A171,実績!$AJ$6:$AJ$505,"&gt;"&amp;$A171,実績!$AL$6:$AL$505,"○")&gt;0,1,0))</f>
        <v>0</v>
      </c>
      <c r="BM171" s="39" t="n">
        <f aca="false">IF(BM$4=0,0,IF(COUNTIFS(実績!$W$6:$W$505,BM$3,実績!$AI$6:$AI$505,"&lt;="&amp;$A171,実績!$AJ$6:$AJ$505,"&gt;"&amp;$A171,実績!$AL$6:$AL$505,"○")&gt;0,1,0))</f>
        <v>0</v>
      </c>
      <c r="BN171" s="39" t="n">
        <f aca="false">IF(BN$4=0,0,IF(COUNTIFS(実績!$W$6:$W$505,BN$3,実績!$AI$6:$AI$505,"&lt;="&amp;$A171,実績!$AJ$6:$AJ$505,"&gt;"&amp;$A171,実績!$AL$6:$AL$505,"○")&gt;0,1,0))</f>
        <v>0</v>
      </c>
      <c r="BO171" s="39" t="n">
        <f aca="false">IF(BO$4=0,0,IF(COUNTIFS(実績!$W$6:$W$505,BO$3,実績!$AI$6:$AI$505,"&lt;="&amp;$A171,実績!$AJ$6:$AJ$505,"&gt;"&amp;$A171,実績!$AL$6:$AL$505,"○")&gt;0,1,0))</f>
        <v>0</v>
      </c>
      <c r="BP171" s="39" t="n">
        <f aca="false">IF(BP$4=0,0,IF(COUNTIFS(実績!$W$6:$W$505,BP$3,実績!$AI$6:$AI$505,"&lt;="&amp;$A171,実績!$AJ$6:$AJ$505,"&gt;"&amp;$A171,実績!$AL$6:$AL$505,"○")&gt;0,1,0))</f>
        <v>0</v>
      </c>
      <c r="BQ171" s="39" t="n">
        <f aca="false">IF(BQ$4=0,0,IF(COUNTIFS(実績!$W$6:$W$505,BQ$3,実績!$AI$6:$AI$505,"&lt;="&amp;$A171,実績!$AJ$6:$AJ$505,"&gt;"&amp;$A171,実績!$AL$6:$AL$505,"○")&gt;0,1,0))</f>
        <v>0</v>
      </c>
      <c r="BR171" s="39" t="n">
        <f aca="false">IF(BR$4=0,0,IF(COUNTIFS(実績!$W$6:$W$505,BR$3,実績!$AI$6:$AI$505,"&lt;="&amp;$A171,実績!$AJ$6:$AJ$505,"&gt;"&amp;$A171,実績!$AL$6:$AL$505,"○")&gt;0,1,0))</f>
        <v>0</v>
      </c>
      <c r="BS171" s="39" t="n">
        <f aca="false">IF(BS$4=0,0,IF(COUNTIFS(実績!$W$6:$W$505,BS$3,実績!$AI$6:$AI$505,"&lt;="&amp;$A171,実績!$AJ$6:$AJ$505,"&gt;"&amp;$A171,実績!$AL$6:$AL$505,"○")&gt;0,1,0))</f>
        <v>0</v>
      </c>
      <c r="BT171" s="39" t="n">
        <f aca="false">IF(BT$4=0,0,IF(COUNTIFS(実績!$W$6:$W$505,BT$3,実績!$AI$6:$AI$505,"&lt;="&amp;$A171,実績!$AJ$6:$AJ$505,"&gt;"&amp;$A171,実績!$AL$6:$AL$505,"○")&gt;0,1,0))</f>
        <v>0</v>
      </c>
      <c r="BU171" s="39" t="n">
        <f aca="false">IF(BU$4=0,0,IF(COUNTIFS(実績!$W$6:$W$505,BU$3,実績!$AI$6:$AI$505,"&lt;="&amp;$A171,実績!$AJ$6:$AJ$505,"&gt;"&amp;$A171,実績!$AL$6:$AL$505,"○")&gt;0,1,0))</f>
        <v>0</v>
      </c>
      <c r="BV171" s="39" t="n">
        <f aca="false">IF(BV$4=0,0,IF(COUNTIFS(実績!$W$6:$W$505,BV$3,実績!$AI$6:$AI$505,"&lt;="&amp;$A171,実績!$AJ$6:$AJ$505,"&gt;"&amp;$A171,実績!$AL$6:$AL$505,"○")&gt;0,1,0))</f>
        <v>0</v>
      </c>
      <c r="BW171" s="39" t="n">
        <f aca="false">IF(BW$4=0,0,IF(COUNTIFS(実績!$W$6:$W$505,BW$3,実績!$AI$6:$AI$505,"&lt;="&amp;$A171,実績!$AJ$6:$AJ$505,"&gt;"&amp;$A171,実績!$AL$6:$AL$505,"○")&gt;0,1,0))</f>
        <v>0</v>
      </c>
      <c r="BX171" s="39" t="n">
        <f aca="false">IF(BX$4=0,0,IF(COUNTIFS(実績!$W$6:$W$505,BX$3,実績!$AI$6:$AI$505,"&lt;="&amp;$A171,実績!$AJ$6:$AJ$505,"&gt;"&amp;$A171,実績!$AL$6:$AL$505,"○")&gt;0,1,0))</f>
        <v>0</v>
      </c>
      <c r="BY171" s="39" t="n">
        <f aca="false">IF(BY$4=0,0,IF(COUNTIFS(実績!$W$6:$W$505,BY$3,実績!$AI$6:$AI$505,"&lt;="&amp;$A171,実績!$AJ$6:$AJ$505,"&gt;"&amp;$A171,実績!$AL$6:$AL$505,"○")&gt;0,1,0))</f>
        <v>0</v>
      </c>
      <c r="BZ171" s="39" t="n">
        <f aca="false">IF(BZ$4=0,0,IF(COUNTIFS(実績!$W$6:$W$505,BZ$3,実績!$AI$6:$AI$505,"&lt;="&amp;$A171,実績!$AJ$6:$AJ$505,"&gt;"&amp;$A171,実績!$AL$6:$AL$505,"○")&gt;0,1,0))</f>
        <v>0</v>
      </c>
      <c r="CA171" s="39" t="n">
        <f aca="false">IF(CA$4=0,0,IF(COUNTIFS(実績!$W$6:$W$505,CA$3,実績!$AI$6:$AI$505,"&lt;="&amp;$A171,実績!$AJ$6:$AJ$505,"&gt;"&amp;$A171,実績!$AL$6:$AL$505,"○")&gt;0,1,0))</f>
        <v>0</v>
      </c>
      <c r="CB171" s="39" t="n">
        <f aca="false">IF(CB$4=0,0,IF(COUNTIFS(実績!$W$6:$W$505,CB$3,実績!$AI$6:$AI$505,"&lt;="&amp;$A171,実績!$AJ$6:$AJ$505,"&gt;"&amp;$A171,実績!$AL$6:$AL$505,"○")&gt;0,1,0))</f>
        <v>0</v>
      </c>
      <c r="CC171" s="39" t="n">
        <f aca="false">IF(CC$4=0,0,IF(COUNTIFS(実績!$W$6:$W$505,CC$3,実績!$AI$6:$AI$505,"&lt;="&amp;$A171,実績!$AJ$6:$AJ$505,"&gt;"&amp;$A171,実績!$AL$6:$AL$505,"○")&gt;0,1,0))</f>
        <v>0</v>
      </c>
      <c r="CD171" s="39" t="n">
        <f aca="false">IF(CD$4=0,0,IF(COUNTIFS(実績!$W$6:$W$505,CD$3,実績!$AI$6:$AI$505,"&lt;="&amp;$A171,実績!$AJ$6:$AJ$505,"&gt;"&amp;$A171,実績!$AL$6:$AL$505,"○")&gt;0,1,0))</f>
        <v>0</v>
      </c>
      <c r="CE171" s="39" t="n">
        <f aca="false">IF(CE$4=0,0,IF(COUNTIFS(実績!$W$6:$W$505,CE$3,実績!$AI$6:$AI$505,"&lt;="&amp;$A171,実績!$AJ$6:$AJ$505,"&gt;"&amp;$A171,実績!$AL$6:$AL$505,"○")&gt;0,1,0))</f>
        <v>0</v>
      </c>
      <c r="CF171" s="39" t="n">
        <f aca="false">IF(CF$4=0,0,IF(COUNTIFS(実績!$W$6:$W$505,CF$3,実績!$AI$6:$AI$505,"&lt;="&amp;$A171,実績!$AJ$6:$AJ$505,"&gt;"&amp;$A171,実績!$AL$6:$AL$505,"○")&gt;0,1,0))</f>
        <v>0</v>
      </c>
      <c r="CG171" s="39" t="n">
        <f aca="false">IF(CG$4=0,0,IF(COUNTIFS(実績!$W$6:$W$505,CG$3,実績!$AI$6:$AI$505,"&lt;="&amp;$A171,実績!$AJ$6:$AJ$505,"&gt;"&amp;$A171,実績!$AL$6:$AL$505,"○")&gt;0,1,0))</f>
        <v>0</v>
      </c>
      <c r="CH171" s="39" t="n">
        <f aca="false">IF(CH$4=0,0,IF(COUNTIFS(実績!$W$6:$W$505,CH$3,実績!$AI$6:$AI$505,"&lt;="&amp;$A171,実績!$AJ$6:$AJ$505,"&gt;"&amp;$A171,実績!$AL$6:$AL$505,"○")&gt;0,1,0))</f>
        <v>0</v>
      </c>
      <c r="CI171" s="39" t="n">
        <f aca="false">IF(CI$4=0,0,IF(COUNTIFS(実績!$W$6:$W$505,CI$3,実績!$AI$6:$AI$505,"&lt;="&amp;$A171,実績!$AJ$6:$AJ$505,"&gt;"&amp;$A171,実績!$AL$6:$AL$505,"○")&gt;0,1,0))</f>
        <v>0</v>
      </c>
      <c r="CJ171" s="39" t="n">
        <f aca="false">IF(CJ$4=0,0,IF(COUNTIFS(実績!$W$6:$W$505,CJ$3,実績!$AI$6:$AI$505,"&lt;="&amp;$A171,実績!$AJ$6:$AJ$505,"&gt;"&amp;$A171,実績!$AL$6:$AL$505,"○")&gt;0,1,0))</f>
        <v>0</v>
      </c>
      <c r="CK171" s="39" t="n">
        <f aca="false">IF(CK$4=0,0,IF(COUNTIFS(実績!$W$6:$W$505,CK$3,実績!$AI$6:$AI$505,"&lt;="&amp;$A171,実績!$AJ$6:$AJ$505,"&gt;"&amp;$A171,実績!$AL$6:$AL$505,"○")&gt;0,1,0))</f>
        <v>0</v>
      </c>
      <c r="CL171" s="39" t="n">
        <f aca="false">IF(CL$4=0,0,IF(COUNTIFS(実績!$W$6:$W$505,CL$3,実績!$AI$6:$AI$505,"&lt;="&amp;$A171,実績!$AJ$6:$AJ$505,"&gt;"&amp;$A171,実績!$AL$6:$AL$505,"○")&gt;0,1,0))</f>
        <v>0</v>
      </c>
      <c r="CM171" s="39" t="n">
        <f aca="false">IF(CM$4=0,0,IF(COUNTIFS(実績!$W$6:$W$505,CM$3,実績!$AI$6:$AI$505,"&lt;="&amp;$A171,実績!$AJ$6:$AJ$505,"&gt;"&amp;$A171,実績!$AL$6:$AL$505,"○")&gt;0,1,0))</f>
        <v>0</v>
      </c>
      <c r="CN171" s="39" t="n">
        <f aca="false">IF(CN$4=0,0,IF(COUNTIFS(実績!$W$6:$W$505,CN$3,実績!$AI$6:$AI$505,"&lt;="&amp;$A171,実績!$AJ$6:$AJ$505,"&gt;"&amp;$A171,実績!$AL$6:$AL$505,"○")&gt;0,1,0))</f>
        <v>0</v>
      </c>
      <c r="CO171" s="39" t="n">
        <f aca="false">IF(CO$4=0,0,IF(COUNTIFS(実績!$W$6:$W$505,CO$3,実績!$AI$6:$AI$505,"&lt;="&amp;$A171,実績!$AJ$6:$AJ$505,"&gt;"&amp;$A171,実績!$AL$6:$AL$505,"○")&gt;0,1,0))</f>
        <v>0</v>
      </c>
      <c r="CP171" s="39" t="n">
        <f aca="false">IF(CP$4=0,0,IF(COUNTIFS(実績!$W$6:$W$505,CP$3,実績!$AI$6:$AI$505,"&lt;="&amp;$A171,実績!$AJ$6:$AJ$505,"&gt;"&amp;$A171,実績!$AL$6:$AL$505,"○")&gt;0,1,0))</f>
        <v>0</v>
      </c>
      <c r="CQ171" s="39" t="n">
        <f aca="false">IF(CQ$4=0,0,IF(COUNTIFS(実績!$W$6:$W$505,CQ$3,実績!$AI$6:$AI$505,"&lt;="&amp;$A171,実績!$AJ$6:$AJ$505,"&gt;"&amp;$A171,実績!$AL$6:$AL$505,"○")&gt;0,1,0))</f>
        <v>0</v>
      </c>
      <c r="CR171" s="39" t="n">
        <f aca="false">IF(CR$4=0,0,IF(COUNTIFS(実績!$W$6:$W$505,CR$3,実績!$AI$6:$AI$505,"&lt;="&amp;$A171,実績!$AJ$6:$AJ$505,"&gt;"&amp;$A171,実績!$AL$6:$AL$505,"○")&gt;0,1,0))</f>
        <v>0</v>
      </c>
      <c r="CS171" s="39" t="n">
        <f aca="false">IF(CS$4=0,0,IF(COUNTIFS(実績!$W$6:$W$505,CS$3,実績!$AI$6:$AI$505,"&lt;="&amp;$A171,実績!$AJ$6:$AJ$505,"&gt;"&amp;$A171,実績!$AL$6:$AL$505,"○")&gt;0,1,0))</f>
        <v>0</v>
      </c>
      <c r="CT171" s="39" t="n">
        <f aca="false">IF(CT$4=0,0,IF(COUNTIFS(実績!$W$6:$W$505,CT$3,実績!$AI$6:$AI$505,"&lt;="&amp;$A171,実績!$AJ$6:$AJ$505,"&gt;"&amp;$A171,実績!$AL$6:$AL$505,"○")&gt;0,1,0))</f>
        <v>0</v>
      </c>
      <c r="CU171" s="39" t="n">
        <f aca="false">IF(CU$4=0,0,IF(COUNTIFS(実績!$W$6:$W$505,CU$3,実績!$AI$6:$AI$505,"&lt;="&amp;$A171,実績!$AJ$6:$AJ$505,"&gt;"&amp;$A171,実績!$AL$6:$AL$505,"○")&gt;0,1,0))</f>
        <v>0</v>
      </c>
      <c r="CV171" s="39" t="n">
        <f aca="false">IF(CV$4=0,0,IF(COUNTIFS(実績!$W$6:$W$505,CV$3,実績!$AI$6:$AI$505,"&lt;="&amp;$A171,実績!$AJ$6:$AJ$505,"&gt;"&amp;$A171,実績!$AL$6:$AL$505,"○")&gt;0,1,0))</f>
        <v>0</v>
      </c>
      <c r="CW171" s="39" t="n">
        <f aca="false">IF(CW$4=0,0,IF(COUNTIFS(実績!$W$6:$W$505,CW$3,実績!$AI$6:$AI$505,"&lt;="&amp;$A171,実績!$AJ$6:$AJ$505,"&gt;"&amp;$A171,実績!$AL$6:$AL$505,"○")&gt;0,1,0))</f>
        <v>0</v>
      </c>
      <c r="CX171" s="39" t="n">
        <f aca="false">IF(CX$4=0,0,IF(COUNTIFS(実績!$W$6:$W$505,CX$3,実績!$AI$6:$AI$505,"&lt;="&amp;$A171,実績!$AJ$6:$AJ$505,"&gt;"&amp;$A171,実績!$AL$6:$AL$505,"○")&gt;0,1,0))</f>
        <v>0</v>
      </c>
      <c r="CY171" s="39" t="n">
        <f aca="false">IF(CY$4=0,0,IF(COUNTIFS(実績!$W$6:$W$505,CY$3,実績!$AI$6:$AI$505,"&lt;="&amp;$A171,実績!$AJ$6:$AJ$505,"&gt;"&amp;$A171,実績!$AL$6:$AL$505,"○")&gt;0,1,0))</f>
        <v>0</v>
      </c>
      <c r="CZ171" s="39" t="n">
        <f aca="false">IF(CZ$4=0,0,IF(COUNTIFS(実績!$W$6:$W$505,CZ$3,実績!$AI$6:$AI$505,"&lt;="&amp;$A171,実績!$AJ$6:$AJ$505,"&gt;"&amp;$A171,実績!$AL$6:$AL$505,"○")&gt;0,1,0))</f>
        <v>0</v>
      </c>
      <c r="DA171" s="39" t="n">
        <f aca="false">IF(DA$4=0,0,IF(COUNTIFS(実績!$W$6:$W$505,DA$3,実績!$AI$6:$AI$505,"&lt;="&amp;$A171,実績!$AJ$6:$AJ$505,"&gt;"&amp;$A171,実績!$AL$6:$AL$505,"○")&gt;0,1,0))</f>
        <v>0</v>
      </c>
      <c r="DB171" s="39" t="n">
        <f aca="false">IF(DB$4=0,0,IF(COUNTIFS(実績!$W$6:$W$505,DB$3,実績!$AI$6:$AI$505,"&lt;="&amp;$A171,実績!$AJ$6:$AJ$505,"&gt;"&amp;$A171,実績!$AL$6:$AL$505,"○")&gt;0,1,0))</f>
        <v>0</v>
      </c>
      <c r="DC171" s="39" t="n">
        <f aca="false">IF(DC$4=0,0,IF(COUNTIFS(実績!$W$6:$W$505,DC$3,実績!$AI$6:$AI$505,"&lt;="&amp;$A171,実績!$AJ$6:$AJ$505,"&gt;"&amp;$A171,実績!$AL$6:$AL$505,"○")&gt;0,1,0))</f>
        <v>0</v>
      </c>
      <c r="DD171" s="39" t="n">
        <f aca="false">IF(DD$4=0,0,IF(COUNTIFS(実績!$W$6:$W$505,DD$3,実績!$AI$6:$AI$505,"&lt;="&amp;$A171,実績!$AJ$6:$AJ$505,"&gt;"&amp;$A171,実績!$AL$6:$AL$505,"○")&gt;0,1,0))</f>
        <v>0</v>
      </c>
      <c r="DE171" s="39" t="n">
        <f aca="false">IF(DE$4=0,0,IF(COUNTIFS(実績!$W$6:$W$505,DE$3,実績!$AI$6:$AI$505,"&lt;="&amp;$A171,実績!$AJ$6:$AJ$505,"&gt;"&amp;$A171,実績!$AL$6:$AL$505,"○")&gt;0,1,0))</f>
        <v>0</v>
      </c>
      <c r="DF171" s="39" t="n">
        <f aca="false">IF(DF$4=0,0,IF(COUNTIFS(実績!$W$6:$W$505,DF$3,実績!$AI$6:$AI$505,"&lt;="&amp;$A171,実績!$AJ$6:$AJ$505,"&gt;"&amp;$A171,実績!$AL$6:$AL$505,"○")&gt;0,1,0))</f>
        <v>0</v>
      </c>
      <c r="DG171" s="39" t="n">
        <f aca="false">IF(DG$4=0,0,IF(COUNTIFS(実績!$W$6:$W$505,DG$3,実績!$AI$6:$AI$505,"&lt;="&amp;$A171,実績!$AJ$6:$AJ$505,"&gt;"&amp;$A171,実績!$AL$6:$AL$505,"○")&gt;0,1,0))</f>
        <v>0</v>
      </c>
      <c r="DH171" s="39" t="n">
        <f aca="false">IF(DH$4=0,0,IF(COUNTIFS(実績!$W$6:$W$505,DH$3,実績!$AI$6:$AI$505,"&lt;="&amp;$A171,実績!$AJ$6:$AJ$505,"&gt;"&amp;$A171,実績!$AL$6:$AL$505,"○")&gt;0,1,0))</f>
        <v>0</v>
      </c>
      <c r="DI171" s="39" t="n">
        <f aca="false">IF(DI$4=0,0,IF(COUNTIFS(実績!$W$6:$W$505,DI$3,実績!$AI$6:$AI$505,"&lt;="&amp;$A171,実績!$AJ$6:$AJ$505,"&gt;"&amp;$A171,実績!$AL$6:$AL$505,"○")&gt;0,1,0))</f>
        <v>0</v>
      </c>
      <c r="DJ171" s="39" t="n">
        <f aca="false">IF(DJ$4=0,0,IF(COUNTIFS(実績!$W$6:$W$505,DJ$3,実績!$AI$6:$AI$505,"&lt;="&amp;$A171,実績!$AJ$6:$AJ$505,"&gt;"&amp;$A171,実績!$AL$6:$AL$505,"○")&gt;0,1,0))</f>
        <v>0</v>
      </c>
      <c r="DK171" s="39" t="n">
        <f aca="false">IF(DK$4=0,0,IF(COUNTIFS(実績!$W$6:$W$505,DK$3,実績!$AI$6:$AI$505,"&lt;="&amp;$A171,実績!$AJ$6:$AJ$505,"&gt;"&amp;$A171,実績!$AL$6:$AL$505,"○")&gt;0,1,0))</f>
        <v>0</v>
      </c>
      <c r="DL171" s="39" t="n">
        <f aca="false">IF(DL$4=0,0,IF(COUNTIFS(実績!$W$6:$W$505,DL$3,実績!$AI$6:$AI$505,"&lt;="&amp;$A171,実績!$AJ$6:$AJ$505,"&gt;"&amp;$A171,実績!$AL$6:$AL$505,"○")&gt;0,1,0))</f>
        <v>0</v>
      </c>
      <c r="DM171" s="39" t="n">
        <f aca="false">IF(DM$4=0,0,IF(COUNTIFS(実績!$W$6:$W$505,DM$3,実績!$AI$6:$AI$505,"&lt;="&amp;$A171,実績!$AJ$6:$AJ$505,"&gt;"&amp;$A171,実績!$AL$6:$AL$505,"○")&gt;0,1,0))</f>
        <v>0</v>
      </c>
      <c r="DN171" s="39" t="n">
        <f aca="false">IF(DN$4=0,0,IF(COUNTIFS(実績!$W$6:$W$505,DN$3,実績!$AI$6:$AI$505,"&lt;="&amp;$A171,実績!$AJ$6:$AJ$505,"&gt;"&amp;$A171,実績!$AL$6:$AL$505,"○")&gt;0,1,0))</f>
        <v>0</v>
      </c>
      <c r="DO171" s="39" t="n">
        <f aca="false">IF(DO$4=0,0,IF(COUNTIFS(実績!$W$6:$W$505,DO$3,実績!$AI$6:$AI$505,"&lt;="&amp;$A171,実績!$AJ$6:$AJ$505,"&gt;"&amp;$A171,実績!$AL$6:$AL$505,"○")&gt;0,1,0))</f>
        <v>0</v>
      </c>
      <c r="DP171" s="39" t="n">
        <f aca="false">IF(DP$4=0,0,IF(COUNTIFS(実績!$W$6:$W$505,DP$3,実績!$AI$6:$AI$505,"&lt;="&amp;$A171,実績!$AJ$6:$AJ$505,"&gt;"&amp;$A171,実績!$AL$6:$AL$505,"○")&gt;0,1,0))</f>
        <v>0</v>
      </c>
      <c r="DQ171" s="39" t="n">
        <f aca="false">IF(DQ$4=0,0,IF(COUNTIFS(実績!$W$6:$W$505,DQ$3,実績!$AI$6:$AI$505,"&lt;="&amp;$A171,実績!$AJ$6:$AJ$505,"&gt;"&amp;$A171,実績!$AL$6:$AL$505,"○")&gt;0,1,0))</f>
        <v>0</v>
      </c>
      <c r="DR171" s="39" t="n">
        <f aca="false">IF(DR$4=0,0,IF(COUNTIFS(実績!$W$6:$W$505,DR$3,実績!$AI$6:$AI$505,"&lt;="&amp;$A171,実績!$AJ$6:$AJ$505,"&gt;"&amp;$A171,実績!$AL$6:$AL$505,"○")&gt;0,1,0))</f>
        <v>0</v>
      </c>
      <c r="DS171" s="39" t="n">
        <f aca="false">SUM(C171:DR171)</f>
        <v>0</v>
      </c>
    </row>
    <row r="172" customFormat="false" ht="15" hidden="false" customHeight="false" outlineLevel="0" collapsed="false">
      <c r="A172" s="0" t="n">
        <v>830</v>
      </c>
      <c r="B172" s="38" t="n">
        <f aca="false">A172/1440</f>
        <v>0.576388888888889</v>
      </c>
      <c r="C172" s="39" t="n">
        <f aca="false">IF(C$4=0,0,IF(COUNTIFS(実績!$W$6:$W$505,C$3,実績!$AI$6:$AI$505,"&lt;="&amp;$A172,実績!$AJ$6:$AJ$505,"&gt;"&amp;$A172,実績!$AL$6:$AL$505,"○")&gt;0,1,0))</f>
        <v>0</v>
      </c>
      <c r="D172" s="39" t="n">
        <f aca="false">IF(D$4=0,0,IF(COUNTIFS(実績!$W$6:$W$505,D$3,実績!$AI$6:$AI$505,"&lt;="&amp;$A172,実績!$AJ$6:$AJ$505,"&gt;"&amp;$A172,実績!$AL$6:$AL$505,"○")&gt;0,1,0))</f>
        <v>0</v>
      </c>
      <c r="E172" s="39" t="n">
        <f aca="false">IF(E$4=0,0,IF(COUNTIFS(実績!$W$6:$W$505,E$3,実績!$AI$6:$AI$505,"&lt;="&amp;$A172,実績!$AJ$6:$AJ$505,"&gt;"&amp;$A172,実績!$AL$6:$AL$505,"○")&gt;0,1,0))</f>
        <v>0</v>
      </c>
      <c r="F172" s="39" t="n">
        <f aca="false">IF(F$4=0,0,IF(COUNTIFS(実績!$W$6:$W$505,F$3,実績!$AI$6:$AI$505,"&lt;="&amp;$A172,実績!$AJ$6:$AJ$505,"&gt;"&amp;$A172,実績!$AL$6:$AL$505,"○")&gt;0,1,0))</f>
        <v>0</v>
      </c>
      <c r="G172" s="39" t="n">
        <f aca="false">IF(G$4=0,0,IF(COUNTIFS(実績!$W$6:$W$505,G$3,実績!$AI$6:$AI$505,"&lt;="&amp;$A172,実績!$AJ$6:$AJ$505,"&gt;"&amp;$A172,実績!$AL$6:$AL$505,"○")&gt;0,1,0))</f>
        <v>0</v>
      </c>
      <c r="H172" s="39" t="n">
        <f aca="false">IF(H$4=0,0,IF(COUNTIFS(実績!$W$6:$W$505,H$3,実績!$AI$6:$AI$505,"&lt;="&amp;$A172,実績!$AJ$6:$AJ$505,"&gt;"&amp;$A172,実績!$AL$6:$AL$505,"○")&gt;0,1,0))</f>
        <v>0</v>
      </c>
      <c r="I172" s="39" t="n">
        <f aca="false">IF(I$4=0,0,IF(COUNTIFS(実績!$W$6:$W$505,I$3,実績!$AI$6:$AI$505,"&lt;="&amp;$A172,実績!$AJ$6:$AJ$505,"&gt;"&amp;$A172,実績!$AL$6:$AL$505,"○")&gt;0,1,0))</f>
        <v>0</v>
      </c>
      <c r="J172" s="39" t="n">
        <f aca="false">IF(J$4=0,0,IF(COUNTIFS(実績!$W$6:$W$505,J$3,実績!$AI$6:$AI$505,"&lt;="&amp;$A172,実績!$AJ$6:$AJ$505,"&gt;"&amp;$A172,実績!$AL$6:$AL$505,"○")&gt;0,1,0))</f>
        <v>0</v>
      </c>
      <c r="K172" s="39" t="n">
        <f aca="false">IF(K$4=0,0,IF(COUNTIFS(実績!$W$6:$W$505,K$3,実績!$AI$6:$AI$505,"&lt;="&amp;$A172,実績!$AJ$6:$AJ$505,"&gt;"&amp;$A172,実績!$AL$6:$AL$505,"○")&gt;0,1,0))</f>
        <v>0</v>
      </c>
      <c r="L172" s="39" t="n">
        <f aca="false">IF(L$4=0,0,IF(COUNTIFS(実績!$W$6:$W$505,L$3,実績!$AI$6:$AI$505,"&lt;="&amp;$A172,実績!$AJ$6:$AJ$505,"&gt;"&amp;$A172,実績!$AL$6:$AL$505,"○")&gt;0,1,0))</f>
        <v>0</v>
      </c>
      <c r="M172" s="39" t="n">
        <f aca="false">IF(M$4=0,0,IF(COUNTIFS(実績!$W$6:$W$505,M$3,実績!$AI$6:$AI$505,"&lt;="&amp;$A172,実績!$AJ$6:$AJ$505,"&gt;"&amp;$A172,実績!$AL$6:$AL$505,"○")&gt;0,1,0))</f>
        <v>0</v>
      </c>
      <c r="N172" s="39" t="n">
        <f aca="false">IF(N$4=0,0,IF(COUNTIFS(実績!$W$6:$W$505,N$3,実績!$AI$6:$AI$505,"&lt;="&amp;$A172,実績!$AJ$6:$AJ$505,"&gt;"&amp;$A172,実績!$AL$6:$AL$505,"○")&gt;0,1,0))</f>
        <v>0</v>
      </c>
      <c r="O172" s="39" t="n">
        <f aca="false">IF(O$4=0,0,IF(COUNTIFS(実績!$W$6:$W$505,O$3,実績!$AI$6:$AI$505,"&lt;="&amp;$A172,実績!$AJ$6:$AJ$505,"&gt;"&amp;$A172,実績!$AL$6:$AL$505,"○")&gt;0,1,0))</f>
        <v>0</v>
      </c>
      <c r="P172" s="39" t="n">
        <f aca="false">IF(P$4=0,0,IF(COUNTIFS(実績!$W$6:$W$505,P$3,実績!$AI$6:$AI$505,"&lt;="&amp;$A172,実績!$AJ$6:$AJ$505,"&gt;"&amp;$A172,実績!$AL$6:$AL$505,"○")&gt;0,1,0))</f>
        <v>0</v>
      </c>
      <c r="Q172" s="39" t="n">
        <f aca="false">IF(Q$4=0,0,IF(COUNTIFS(実績!$W$6:$W$505,Q$3,実績!$AI$6:$AI$505,"&lt;="&amp;$A172,実績!$AJ$6:$AJ$505,"&gt;"&amp;$A172,実績!$AL$6:$AL$505,"○")&gt;0,1,0))</f>
        <v>0</v>
      </c>
      <c r="R172" s="39" t="n">
        <f aca="false">IF(R$4=0,0,IF(COUNTIFS(実績!$W$6:$W$505,R$3,実績!$AI$6:$AI$505,"&lt;="&amp;$A172,実績!$AJ$6:$AJ$505,"&gt;"&amp;$A172,実績!$AL$6:$AL$505,"○")&gt;0,1,0))</f>
        <v>0</v>
      </c>
      <c r="S172" s="39" t="n">
        <f aca="false">IF(S$4=0,0,IF(COUNTIFS(実績!$W$6:$W$505,S$3,実績!$AI$6:$AI$505,"&lt;="&amp;$A172,実績!$AJ$6:$AJ$505,"&gt;"&amp;$A172,実績!$AL$6:$AL$505,"○")&gt;0,1,0))</f>
        <v>0</v>
      </c>
      <c r="T172" s="39" t="n">
        <f aca="false">IF(T$4=0,0,IF(COUNTIFS(実績!$W$6:$W$505,T$3,実績!$AI$6:$AI$505,"&lt;="&amp;$A172,実績!$AJ$6:$AJ$505,"&gt;"&amp;$A172,実績!$AL$6:$AL$505,"○")&gt;0,1,0))</f>
        <v>0</v>
      </c>
      <c r="U172" s="39" t="n">
        <f aca="false">IF(U$4=0,0,IF(COUNTIFS(実績!$W$6:$W$505,U$3,実績!$AI$6:$AI$505,"&lt;="&amp;$A172,実績!$AJ$6:$AJ$505,"&gt;"&amp;$A172,実績!$AL$6:$AL$505,"○")&gt;0,1,0))</f>
        <v>0</v>
      </c>
      <c r="V172" s="39" t="n">
        <f aca="false">IF(V$4=0,0,IF(COUNTIFS(実績!$W$6:$W$505,V$3,実績!$AI$6:$AI$505,"&lt;="&amp;$A172,実績!$AJ$6:$AJ$505,"&gt;"&amp;$A172,実績!$AL$6:$AL$505,"○")&gt;0,1,0))</f>
        <v>0</v>
      </c>
      <c r="W172" s="39" t="n">
        <f aca="false">IF(W$4=0,0,IF(COUNTIFS(実績!$W$6:$W$505,W$3,実績!$AI$6:$AI$505,"&lt;="&amp;$A172,実績!$AJ$6:$AJ$505,"&gt;"&amp;$A172,実績!$AL$6:$AL$505,"○")&gt;0,1,0))</f>
        <v>0</v>
      </c>
      <c r="X172" s="39" t="n">
        <f aca="false">IF(X$4=0,0,IF(COUNTIFS(実績!$W$6:$W$505,X$3,実績!$AI$6:$AI$505,"&lt;="&amp;$A172,実績!$AJ$6:$AJ$505,"&gt;"&amp;$A172,実績!$AL$6:$AL$505,"○")&gt;0,1,0))</f>
        <v>0</v>
      </c>
      <c r="Y172" s="39" t="n">
        <f aca="false">IF(Y$4=0,0,IF(COUNTIFS(実績!$W$6:$W$505,Y$3,実績!$AI$6:$AI$505,"&lt;="&amp;$A172,実績!$AJ$6:$AJ$505,"&gt;"&amp;$A172,実績!$AL$6:$AL$505,"○")&gt;0,1,0))</f>
        <v>0</v>
      </c>
      <c r="Z172" s="39" t="n">
        <f aca="false">IF(Z$4=0,0,IF(COUNTIFS(実績!$W$6:$W$505,Z$3,実績!$AI$6:$AI$505,"&lt;="&amp;$A172,実績!$AJ$6:$AJ$505,"&gt;"&amp;$A172,実績!$AL$6:$AL$505,"○")&gt;0,1,0))</f>
        <v>0</v>
      </c>
      <c r="AA172" s="39" t="n">
        <f aca="false">IF(AA$4=0,0,IF(COUNTIFS(実績!$W$6:$W$505,AA$3,実績!$AI$6:$AI$505,"&lt;="&amp;$A172,実績!$AJ$6:$AJ$505,"&gt;"&amp;$A172,実績!$AL$6:$AL$505,"○")&gt;0,1,0))</f>
        <v>0</v>
      </c>
      <c r="AB172" s="39" t="n">
        <f aca="false">IF(AB$4=0,0,IF(COUNTIFS(実績!$W$6:$W$505,AB$3,実績!$AI$6:$AI$505,"&lt;="&amp;$A172,実績!$AJ$6:$AJ$505,"&gt;"&amp;$A172,実績!$AL$6:$AL$505,"○")&gt;0,1,0))</f>
        <v>0</v>
      </c>
      <c r="AC172" s="39" t="n">
        <f aca="false">IF(AC$4=0,0,IF(COUNTIFS(実績!$W$6:$W$505,AC$3,実績!$AI$6:$AI$505,"&lt;="&amp;$A172,実績!$AJ$6:$AJ$505,"&gt;"&amp;$A172,実績!$AL$6:$AL$505,"○")&gt;0,1,0))</f>
        <v>0</v>
      </c>
      <c r="AD172" s="39" t="n">
        <f aca="false">IF(AD$4=0,0,IF(COUNTIFS(実績!$W$6:$W$505,AD$3,実績!$AI$6:$AI$505,"&lt;="&amp;$A172,実績!$AJ$6:$AJ$505,"&gt;"&amp;$A172,実績!$AL$6:$AL$505,"○")&gt;0,1,0))</f>
        <v>0</v>
      </c>
      <c r="AE172" s="39" t="n">
        <f aca="false">IF(AE$4=0,0,IF(COUNTIFS(実績!$W$6:$W$505,AE$3,実績!$AI$6:$AI$505,"&lt;="&amp;$A172,実績!$AJ$6:$AJ$505,"&gt;"&amp;$A172,実績!$AL$6:$AL$505,"○")&gt;0,1,0))</f>
        <v>0</v>
      </c>
      <c r="AF172" s="39" t="n">
        <f aca="false">IF(AF$4=0,0,IF(COUNTIFS(実績!$W$6:$W$505,AF$3,実績!$AI$6:$AI$505,"&lt;="&amp;$A172,実績!$AJ$6:$AJ$505,"&gt;"&amp;$A172,実績!$AL$6:$AL$505,"○")&gt;0,1,0))</f>
        <v>0</v>
      </c>
      <c r="AG172" s="39" t="n">
        <f aca="false">IF(AG$4=0,0,IF(COUNTIFS(実績!$W$6:$W$505,AG$3,実績!$AI$6:$AI$505,"&lt;="&amp;$A172,実績!$AJ$6:$AJ$505,"&gt;"&amp;$A172,実績!$AL$6:$AL$505,"○")&gt;0,1,0))</f>
        <v>0</v>
      </c>
      <c r="AH172" s="39" t="n">
        <f aca="false">IF(AH$4=0,0,IF(COUNTIFS(実績!$W$6:$W$505,AH$3,実績!$AI$6:$AI$505,"&lt;="&amp;$A172,実績!$AJ$6:$AJ$505,"&gt;"&amp;$A172,実績!$AL$6:$AL$505,"○")&gt;0,1,0))</f>
        <v>0</v>
      </c>
      <c r="AI172" s="39" t="n">
        <f aca="false">IF(AI$4=0,0,IF(COUNTIFS(実績!$W$6:$W$505,AI$3,実績!$AI$6:$AI$505,"&lt;="&amp;$A172,実績!$AJ$6:$AJ$505,"&gt;"&amp;$A172,実績!$AL$6:$AL$505,"○")&gt;0,1,0))</f>
        <v>0</v>
      </c>
      <c r="AJ172" s="39" t="n">
        <f aca="false">IF(AJ$4=0,0,IF(COUNTIFS(実績!$W$6:$W$505,AJ$3,実績!$AI$6:$AI$505,"&lt;="&amp;$A172,実績!$AJ$6:$AJ$505,"&gt;"&amp;$A172,実績!$AL$6:$AL$505,"○")&gt;0,1,0))</f>
        <v>0</v>
      </c>
      <c r="AK172" s="39" t="n">
        <f aca="false">IF(AK$4=0,0,IF(COUNTIFS(実績!$W$6:$W$505,AK$3,実績!$AI$6:$AI$505,"&lt;="&amp;$A172,実績!$AJ$6:$AJ$505,"&gt;"&amp;$A172,実績!$AL$6:$AL$505,"○")&gt;0,1,0))</f>
        <v>0</v>
      </c>
      <c r="AL172" s="39" t="n">
        <f aca="false">IF(AL$4=0,0,IF(COUNTIFS(実績!$W$6:$W$505,AL$3,実績!$AI$6:$AI$505,"&lt;="&amp;$A172,実績!$AJ$6:$AJ$505,"&gt;"&amp;$A172,実績!$AL$6:$AL$505,"○")&gt;0,1,0))</f>
        <v>0</v>
      </c>
      <c r="AM172" s="39" t="n">
        <f aca="false">IF(AM$4=0,0,IF(COUNTIFS(実績!$W$6:$W$505,AM$3,実績!$AI$6:$AI$505,"&lt;="&amp;$A172,実績!$AJ$6:$AJ$505,"&gt;"&amp;$A172,実績!$AL$6:$AL$505,"○")&gt;0,1,0))</f>
        <v>0</v>
      </c>
      <c r="AN172" s="39" t="n">
        <f aca="false">IF(AN$4=0,0,IF(COUNTIFS(実績!$W$6:$W$505,AN$3,実績!$AI$6:$AI$505,"&lt;="&amp;$A172,実績!$AJ$6:$AJ$505,"&gt;"&amp;$A172,実績!$AL$6:$AL$505,"○")&gt;0,1,0))</f>
        <v>0</v>
      </c>
      <c r="AO172" s="39" t="n">
        <f aca="false">IF(AO$4=0,0,IF(COUNTIFS(実績!$W$6:$W$505,AO$3,実績!$AI$6:$AI$505,"&lt;="&amp;$A172,実績!$AJ$6:$AJ$505,"&gt;"&amp;$A172,実績!$AL$6:$AL$505,"○")&gt;0,1,0))</f>
        <v>0</v>
      </c>
      <c r="AP172" s="39" t="n">
        <f aca="false">IF(AP$4=0,0,IF(COUNTIFS(実績!$W$6:$W$505,AP$3,実績!$AI$6:$AI$505,"&lt;="&amp;$A172,実績!$AJ$6:$AJ$505,"&gt;"&amp;$A172,実績!$AL$6:$AL$505,"○")&gt;0,1,0))</f>
        <v>0</v>
      </c>
      <c r="AQ172" s="39" t="n">
        <f aca="false">IF(AQ$4=0,0,IF(COUNTIFS(実績!$W$6:$W$505,AQ$3,実績!$AI$6:$AI$505,"&lt;="&amp;$A172,実績!$AJ$6:$AJ$505,"&gt;"&amp;$A172,実績!$AL$6:$AL$505,"○")&gt;0,1,0))</f>
        <v>0</v>
      </c>
      <c r="AR172" s="39" t="n">
        <f aca="false">IF(AR$4=0,0,IF(COUNTIFS(実績!$W$6:$W$505,AR$3,実績!$AI$6:$AI$505,"&lt;="&amp;$A172,実績!$AJ$6:$AJ$505,"&gt;"&amp;$A172,実績!$AL$6:$AL$505,"○")&gt;0,1,0))</f>
        <v>0</v>
      </c>
      <c r="AS172" s="39" t="n">
        <f aca="false">IF(AS$4=0,0,IF(COUNTIFS(実績!$W$6:$W$505,AS$3,実績!$AI$6:$AI$505,"&lt;="&amp;$A172,実績!$AJ$6:$AJ$505,"&gt;"&amp;$A172,実績!$AL$6:$AL$505,"○")&gt;0,1,0))</f>
        <v>0</v>
      </c>
      <c r="AT172" s="39" t="n">
        <f aca="false">IF(AT$4=0,0,IF(COUNTIFS(実績!$W$6:$W$505,AT$3,実績!$AI$6:$AI$505,"&lt;="&amp;$A172,実績!$AJ$6:$AJ$505,"&gt;"&amp;$A172,実績!$AL$6:$AL$505,"○")&gt;0,1,0))</f>
        <v>0</v>
      </c>
      <c r="AU172" s="39" t="n">
        <f aca="false">IF(AU$4=0,0,IF(COUNTIFS(実績!$W$6:$W$505,AU$3,実績!$AI$6:$AI$505,"&lt;="&amp;$A172,実績!$AJ$6:$AJ$505,"&gt;"&amp;$A172,実績!$AL$6:$AL$505,"○")&gt;0,1,0))</f>
        <v>0</v>
      </c>
      <c r="AV172" s="39" t="n">
        <f aca="false">IF(AV$4=0,0,IF(COUNTIFS(実績!$W$6:$W$505,AV$3,実績!$AI$6:$AI$505,"&lt;="&amp;$A172,実績!$AJ$6:$AJ$505,"&gt;"&amp;$A172,実績!$AL$6:$AL$505,"○")&gt;0,1,0))</f>
        <v>0</v>
      </c>
      <c r="AW172" s="39" t="n">
        <f aca="false">IF(AW$4=0,0,IF(COUNTIFS(実績!$W$6:$W$505,AW$3,実績!$AI$6:$AI$505,"&lt;="&amp;$A172,実績!$AJ$6:$AJ$505,"&gt;"&amp;$A172,実績!$AL$6:$AL$505,"○")&gt;0,1,0))</f>
        <v>0</v>
      </c>
      <c r="AX172" s="39" t="n">
        <f aca="false">IF(AX$4=0,0,IF(COUNTIFS(実績!$W$6:$W$505,AX$3,実績!$AI$6:$AI$505,"&lt;="&amp;$A172,実績!$AJ$6:$AJ$505,"&gt;"&amp;$A172,実績!$AL$6:$AL$505,"○")&gt;0,1,0))</f>
        <v>0</v>
      </c>
      <c r="AY172" s="39" t="n">
        <f aca="false">IF(AY$4=0,0,IF(COUNTIFS(実績!$W$6:$W$505,AY$3,実績!$AI$6:$AI$505,"&lt;="&amp;$A172,実績!$AJ$6:$AJ$505,"&gt;"&amp;$A172,実績!$AL$6:$AL$505,"○")&gt;0,1,0))</f>
        <v>0</v>
      </c>
      <c r="AZ172" s="39" t="n">
        <f aca="false">IF(AZ$4=0,0,IF(COUNTIFS(実績!$W$6:$W$505,AZ$3,実績!$AI$6:$AI$505,"&lt;="&amp;$A172,実績!$AJ$6:$AJ$505,"&gt;"&amp;$A172,実績!$AL$6:$AL$505,"○")&gt;0,1,0))</f>
        <v>0</v>
      </c>
      <c r="BA172" s="39" t="n">
        <f aca="false">IF(BA$4=0,0,IF(COUNTIFS(実績!$W$6:$W$505,BA$3,実績!$AI$6:$AI$505,"&lt;="&amp;$A172,実績!$AJ$6:$AJ$505,"&gt;"&amp;$A172,実績!$AL$6:$AL$505,"○")&gt;0,1,0))</f>
        <v>0</v>
      </c>
      <c r="BB172" s="39" t="n">
        <f aca="false">IF(BB$4=0,0,IF(COUNTIFS(実績!$W$6:$W$505,BB$3,実績!$AI$6:$AI$505,"&lt;="&amp;$A172,実績!$AJ$6:$AJ$505,"&gt;"&amp;$A172,実績!$AL$6:$AL$505,"○")&gt;0,1,0))</f>
        <v>0</v>
      </c>
      <c r="BC172" s="39" t="n">
        <f aca="false">IF(BC$4=0,0,IF(COUNTIFS(実績!$W$6:$W$505,BC$3,実績!$AI$6:$AI$505,"&lt;="&amp;$A172,実績!$AJ$6:$AJ$505,"&gt;"&amp;$A172,実績!$AL$6:$AL$505,"○")&gt;0,1,0))</f>
        <v>0</v>
      </c>
      <c r="BD172" s="39" t="n">
        <f aca="false">IF(BD$4=0,0,IF(COUNTIFS(実績!$W$6:$W$505,BD$3,実績!$AI$6:$AI$505,"&lt;="&amp;$A172,実績!$AJ$6:$AJ$505,"&gt;"&amp;$A172,実績!$AL$6:$AL$505,"○")&gt;0,1,0))</f>
        <v>0</v>
      </c>
      <c r="BE172" s="39" t="n">
        <f aca="false">IF(BE$4=0,0,IF(COUNTIFS(実績!$W$6:$W$505,BE$3,実績!$AI$6:$AI$505,"&lt;="&amp;$A172,実績!$AJ$6:$AJ$505,"&gt;"&amp;$A172,実績!$AL$6:$AL$505,"○")&gt;0,1,0))</f>
        <v>0</v>
      </c>
      <c r="BF172" s="39" t="n">
        <f aca="false">IF(BF$4=0,0,IF(COUNTIFS(実績!$W$6:$W$505,BF$3,実績!$AI$6:$AI$505,"&lt;="&amp;$A172,実績!$AJ$6:$AJ$505,"&gt;"&amp;$A172,実績!$AL$6:$AL$505,"○")&gt;0,1,0))</f>
        <v>0</v>
      </c>
      <c r="BG172" s="39" t="n">
        <f aca="false">IF(BG$4=0,0,IF(COUNTIFS(実績!$W$6:$W$505,BG$3,実績!$AI$6:$AI$505,"&lt;="&amp;$A172,実績!$AJ$6:$AJ$505,"&gt;"&amp;$A172,実績!$AL$6:$AL$505,"○")&gt;0,1,0))</f>
        <v>0</v>
      </c>
      <c r="BH172" s="39" t="n">
        <f aca="false">IF(BH$4=0,0,IF(COUNTIFS(実績!$W$6:$W$505,BH$3,実績!$AI$6:$AI$505,"&lt;="&amp;$A172,実績!$AJ$6:$AJ$505,"&gt;"&amp;$A172,実績!$AL$6:$AL$505,"○")&gt;0,1,0))</f>
        <v>0</v>
      </c>
      <c r="BI172" s="39" t="n">
        <f aca="false">IF(BI$4=0,0,IF(COUNTIFS(実績!$W$6:$W$505,BI$3,実績!$AI$6:$AI$505,"&lt;="&amp;$A172,実績!$AJ$6:$AJ$505,"&gt;"&amp;$A172,実績!$AL$6:$AL$505,"○")&gt;0,1,0))</f>
        <v>0</v>
      </c>
      <c r="BJ172" s="39" t="n">
        <f aca="false">IF(BJ$4=0,0,IF(COUNTIFS(実績!$W$6:$W$505,BJ$3,実績!$AI$6:$AI$505,"&lt;="&amp;$A172,実績!$AJ$6:$AJ$505,"&gt;"&amp;$A172,実績!$AL$6:$AL$505,"○")&gt;0,1,0))</f>
        <v>0</v>
      </c>
      <c r="BK172" s="39" t="n">
        <f aca="false">IF(BK$4=0,0,IF(COUNTIFS(実績!$W$6:$W$505,BK$3,実績!$AI$6:$AI$505,"&lt;="&amp;$A172,実績!$AJ$6:$AJ$505,"&gt;"&amp;$A172,実績!$AL$6:$AL$505,"○")&gt;0,1,0))</f>
        <v>0</v>
      </c>
      <c r="BL172" s="39" t="n">
        <f aca="false">IF(BL$4=0,0,IF(COUNTIFS(実績!$W$6:$W$505,BL$3,実績!$AI$6:$AI$505,"&lt;="&amp;$A172,実績!$AJ$6:$AJ$505,"&gt;"&amp;$A172,実績!$AL$6:$AL$505,"○")&gt;0,1,0))</f>
        <v>0</v>
      </c>
      <c r="BM172" s="39" t="n">
        <f aca="false">IF(BM$4=0,0,IF(COUNTIFS(実績!$W$6:$W$505,BM$3,実績!$AI$6:$AI$505,"&lt;="&amp;$A172,実績!$AJ$6:$AJ$505,"&gt;"&amp;$A172,実績!$AL$6:$AL$505,"○")&gt;0,1,0))</f>
        <v>0</v>
      </c>
      <c r="BN172" s="39" t="n">
        <f aca="false">IF(BN$4=0,0,IF(COUNTIFS(実績!$W$6:$W$505,BN$3,実績!$AI$6:$AI$505,"&lt;="&amp;$A172,実績!$AJ$6:$AJ$505,"&gt;"&amp;$A172,実績!$AL$6:$AL$505,"○")&gt;0,1,0))</f>
        <v>0</v>
      </c>
      <c r="BO172" s="39" t="n">
        <f aca="false">IF(BO$4=0,0,IF(COUNTIFS(実績!$W$6:$W$505,BO$3,実績!$AI$6:$AI$505,"&lt;="&amp;$A172,実績!$AJ$6:$AJ$505,"&gt;"&amp;$A172,実績!$AL$6:$AL$505,"○")&gt;0,1,0))</f>
        <v>0</v>
      </c>
      <c r="BP172" s="39" t="n">
        <f aca="false">IF(BP$4=0,0,IF(COUNTIFS(実績!$W$6:$W$505,BP$3,実績!$AI$6:$AI$505,"&lt;="&amp;$A172,実績!$AJ$6:$AJ$505,"&gt;"&amp;$A172,実績!$AL$6:$AL$505,"○")&gt;0,1,0))</f>
        <v>0</v>
      </c>
      <c r="BQ172" s="39" t="n">
        <f aca="false">IF(BQ$4=0,0,IF(COUNTIFS(実績!$W$6:$W$505,BQ$3,実績!$AI$6:$AI$505,"&lt;="&amp;$A172,実績!$AJ$6:$AJ$505,"&gt;"&amp;$A172,実績!$AL$6:$AL$505,"○")&gt;0,1,0))</f>
        <v>0</v>
      </c>
      <c r="BR172" s="39" t="n">
        <f aca="false">IF(BR$4=0,0,IF(COUNTIFS(実績!$W$6:$W$505,BR$3,実績!$AI$6:$AI$505,"&lt;="&amp;$A172,実績!$AJ$6:$AJ$505,"&gt;"&amp;$A172,実績!$AL$6:$AL$505,"○")&gt;0,1,0))</f>
        <v>0</v>
      </c>
      <c r="BS172" s="39" t="n">
        <f aca="false">IF(BS$4=0,0,IF(COUNTIFS(実績!$W$6:$W$505,BS$3,実績!$AI$6:$AI$505,"&lt;="&amp;$A172,実績!$AJ$6:$AJ$505,"&gt;"&amp;$A172,実績!$AL$6:$AL$505,"○")&gt;0,1,0))</f>
        <v>0</v>
      </c>
      <c r="BT172" s="39" t="n">
        <f aca="false">IF(BT$4=0,0,IF(COUNTIFS(実績!$W$6:$W$505,BT$3,実績!$AI$6:$AI$505,"&lt;="&amp;$A172,実績!$AJ$6:$AJ$505,"&gt;"&amp;$A172,実績!$AL$6:$AL$505,"○")&gt;0,1,0))</f>
        <v>0</v>
      </c>
      <c r="BU172" s="39" t="n">
        <f aca="false">IF(BU$4=0,0,IF(COUNTIFS(実績!$W$6:$W$505,BU$3,実績!$AI$6:$AI$505,"&lt;="&amp;$A172,実績!$AJ$6:$AJ$505,"&gt;"&amp;$A172,実績!$AL$6:$AL$505,"○")&gt;0,1,0))</f>
        <v>0</v>
      </c>
      <c r="BV172" s="39" t="n">
        <f aca="false">IF(BV$4=0,0,IF(COUNTIFS(実績!$W$6:$W$505,BV$3,実績!$AI$6:$AI$505,"&lt;="&amp;$A172,実績!$AJ$6:$AJ$505,"&gt;"&amp;$A172,実績!$AL$6:$AL$505,"○")&gt;0,1,0))</f>
        <v>0</v>
      </c>
      <c r="BW172" s="39" t="n">
        <f aca="false">IF(BW$4=0,0,IF(COUNTIFS(実績!$W$6:$W$505,BW$3,実績!$AI$6:$AI$505,"&lt;="&amp;$A172,実績!$AJ$6:$AJ$505,"&gt;"&amp;$A172,実績!$AL$6:$AL$505,"○")&gt;0,1,0))</f>
        <v>0</v>
      </c>
      <c r="BX172" s="39" t="n">
        <f aca="false">IF(BX$4=0,0,IF(COUNTIFS(実績!$W$6:$W$505,BX$3,実績!$AI$6:$AI$505,"&lt;="&amp;$A172,実績!$AJ$6:$AJ$505,"&gt;"&amp;$A172,実績!$AL$6:$AL$505,"○")&gt;0,1,0))</f>
        <v>0</v>
      </c>
      <c r="BY172" s="39" t="n">
        <f aca="false">IF(BY$4=0,0,IF(COUNTIFS(実績!$W$6:$W$505,BY$3,実績!$AI$6:$AI$505,"&lt;="&amp;$A172,実績!$AJ$6:$AJ$505,"&gt;"&amp;$A172,実績!$AL$6:$AL$505,"○")&gt;0,1,0))</f>
        <v>0</v>
      </c>
      <c r="BZ172" s="39" t="n">
        <f aca="false">IF(BZ$4=0,0,IF(COUNTIFS(実績!$W$6:$W$505,BZ$3,実績!$AI$6:$AI$505,"&lt;="&amp;$A172,実績!$AJ$6:$AJ$505,"&gt;"&amp;$A172,実績!$AL$6:$AL$505,"○")&gt;0,1,0))</f>
        <v>0</v>
      </c>
      <c r="CA172" s="39" t="n">
        <f aca="false">IF(CA$4=0,0,IF(COUNTIFS(実績!$W$6:$W$505,CA$3,実績!$AI$6:$AI$505,"&lt;="&amp;$A172,実績!$AJ$6:$AJ$505,"&gt;"&amp;$A172,実績!$AL$6:$AL$505,"○")&gt;0,1,0))</f>
        <v>0</v>
      </c>
      <c r="CB172" s="39" t="n">
        <f aca="false">IF(CB$4=0,0,IF(COUNTIFS(実績!$W$6:$W$505,CB$3,実績!$AI$6:$AI$505,"&lt;="&amp;$A172,実績!$AJ$6:$AJ$505,"&gt;"&amp;$A172,実績!$AL$6:$AL$505,"○")&gt;0,1,0))</f>
        <v>0</v>
      </c>
      <c r="CC172" s="39" t="n">
        <f aca="false">IF(CC$4=0,0,IF(COUNTIFS(実績!$W$6:$W$505,CC$3,実績!$AI$6:$AI$505,"&lt;="&amp;$A172,実績!$AJ$6:$AJ$505,"&gt;"&amp;$A172,実績!$AL$6:$AL$505,"○")&gt;0,1,0))</f>
        <v>0</v>
      </c>
      <c r="CD172" s="39" t="n">
        <f aca="false">IF(CD$4=0,0,IF(COUNTIFS(実績!$W$6:$W$505,CD$3,実績!$AI$6:$AI$505,"&lt;="&amp;$A172,実績!$AJ$6:$AJ$505,"&gt;"&amp;$A172,実績!$AL$6:$AL$505,"○")&gt;0,1,0))</f>
        <v>0</v>
      </c>
      <c r="CE172" s="39" t="n">
        <f aca="false">IF(CE$4=0,0,IF(COUNTIFS(実績!$W$6:$W$505,CE$3,実績!$AI$6:$AI$505,"&lt;="&amp;$A172,実績!$AJ$6:$AJ$505,"&gt;"&amp;$A172,実績!$AL$6:$AL$505,"○")&gt;0,1,0))</f>
        <v>0</v>
      </c>
      <c r="CF172" s="39" t="n">
        <f aca="false">IF(CF$4=0,0,IF(COUNTIFS(実績!$W$6:$W$505,CF$3,実績!$AI$6:$AI$505,"&lt;="&amp;$A172,実績!$AJ$6:$AJ$505,"&gt;"&amp;$A172,実績!$AL$6:$AL$505,"○")&gt;0,1,0))</f>
        <v>0</v>
      </c>
      <c r="CG172" s="39" t="n">
        <f aca="false">IF(CG$4=0,0,IF(COUNTIFS(実績!$W$6:$W$505,CG$3,実績!$AI$6:$AI$505,"&lt;="&amp;$A172,実績!$AJ$6:$AJ$505,"&gt;"&amp;$A172,実績!$AL$6:$AL$505,"○")&gt;0,1,0))</f>
        <v>0</v>
      </c>
      <c r="CH172" s="39" t="n">
        <f aca="false">IF(CH$4=0,0,IF(COUNTIFS(実績!$W$6:$W$505,CH$3,実績!$AI$6:$AI$505,"&lt;="&amp;$A172,実績!$AJ$6:$AJ$505,"&gt;"&amp;$A172,実績!$AL$6:$AL$505,"○")&gt;0,1,0))</f>
        <v>0</v>
      </c>
      <c r="CI172" s="39" t="n">
        <f aca="false">IF(CI$4=0,0,IF(COUNTIFS(実績!$W$6:$W$505,CI$3,実績!$AI$6:$AI$505,"&lt;="&amp;$A172,実績!$AJ$6:$AJ$505,"&gt;"&amp;$A172,実績!$AL$6:$AL$505,"○")&gt;0,1,0))</f>
        <v>0</v>
      </c>
      <c r="CJ172" s="39" t="n">
        <f aca="false">IF(CJ$4=0,0,IF(COUNTIFS(実績!$W$6:$W$505,CJ$3,実績!$AI$6:$AI$505,"&lt;="&amp;$A172,実績!$AJ$6:$AJ$505,"&gt;"&amp;$A172,実績!$AL$6:$AL$505,"○")&gt;0,1,0))</f>
        <v>0</v>
      </c>
      <c r="CK172" s="39" t="n">
        <f aca="false">IF(CK$4=0,0,IF(COUNTIFS(実績!$W$6:$W$505,CK$3,実績!$AI$6:$AI$505,"&lt;="&amp;$A172,実績!$AJ$6:$AJ$505,"&gt;"&amp;$A172,実績!$AL$6:$AL$505,"○")&gt;0,1,0))</f>
        <v>0</v>
      </c>
      <c r="CL172" s="39" t="n">
        <f aca="false">IF(CL$4=0,0,IF(COUNTIFS(実績!$W$6:$W$505,CL$3,実績!$AI$6:$AI$505,"&lt;="&amp;$A172,実績!$AJ$6:$AJ$505,"&gt;"&amp;$A172,実績!$AL$6:$AL$505,"○")&gt;0,1,0))</f>
        <v>0</v>
      </c>
      <c r="CM172" s="39" t="n">
        <f aca="false">IF(CM$4=0,0,IF(COUNTIFS(実績!$W$6:$W$505,CM$3,実績!$AI$6:$AI$505,"&lt;="&amp;$A172,実績!$AJ$6:$AJ$505,"&gt;"&amp;$A172,実績!$AL$6:$AL$505,"○")&gt;0,1,0))</f>
        <v>0</v>
      </c>
      <c r="CN172" s="39" t="n">
        <f aca="false">IF(CN$4=0,0,IF(COUNTIFS(実績!$W$6:$W$505,CN$3,実績!$AI$6:$AI$505,"&lt;="&amp;$A172,実績!$AJ$6:$AJ$505,"&gt;"&amp;$A172,実績!$AL$6:$AL$505,"○")&gt;0,1,0))</f>
        <v>0</v>
      </c>
      <c r="CO172" s="39" t="n">
        <f aca="false">IF(CO$4=0,0,IF(COUNTIFS(実績!$W$6:$W$505,CO$3,実績!$AI$6:$AI$505,"&lt;="&amp;$A172,実績!$AJ$6:$AJ$505,"&gt;"&amp;$A172,実績!$AL$6:$AL$505,"○")&gt;0,1,0))</f>
        <v>0</v>
      </c>
      <c r="CP172" s="39" t="n">
        <f aca="false">IF(CP$4=0,0,IF(COUNTIFS(実績!$W$6:$W$505,CP$3,実績!$AI$6:$AI$505,"&lt;="&amp;$A172,実績!$AJ$6:$AJ$505,"&gt;"&amp;$A172,実績!$AL$6:$AL$505,"○")&gt;0,1,0))</f>
        <v>0</v>
      </c>
      <c r="CQ172" s="39" t="n">
        <f aca="false">IF(CQ$4=0,0,IF(COUNTIFS(実績!$W$6:$W$505,CQ$3,実績!$AI$6:$AI$505,"&lt;="&amp;$A172,実績!$AJ$6:$AJ$505,"&gt;"&amp;$A172,実績!$AL$6:$AL$505,"○")&gt;0,1,0))</f>
        <v>0</v>
      </c>
      <c r="CR172" s="39" t="n">
        <f aca="false">IF(CR$4=0,0,IF(COUNTIFS(実績!$W$6:$W$505,CR$3,実績!$AI$6:$AI$505,"&lt;="&amp;$A172,実績!$AJ$6:$AJ$505,"&gt;"&amp;$A172,実績!$AL$6:$AL$505,"○")&gt;0,1,0))</f>
        <v>0</v>
      </c>
      <c r="CS172" s="39" t="n">
        <f aca="false">IF(CS$4=0,0,IF(COUNTIFS(実績!$W$6:$W$505,CS$3,実績!$AI$6:$AI$505,"&lt;="&amp;$A172,実績!$AJ$6:$AJ$505,"&gt;"&amp;$A172,実績!$AL$6:$AL$505,"○")&gt;0,1,0))</f>
        <v>0</v>
      </c>
      <c r="CT172" s="39" t="n">
        <f aca="false">IF(CT$4=0,0,IF(COUNTIFS(実績!$W$6:$W$505,CT$3,実績!$AI$6:$AI$505,"&lt;="&amp;$A172,実績!$AJ$6:$AJ$505,"&gt;"&amp;$A172,実績!$AL$6:$AL$505,"○")&gt;0,1,0))</f>
        <v>0</v>
      </c>
      <c r="CU172" s="39" t="n">
        <f aca="false">IF(CU$4=0,0,IF(COUNTIFS(実績!$W$6:$W$505,CU$3,実績!$AI$6:$AI$505,"&lt;="&amp;$A172,実績!$AJ$6:$AJ$505,"&gt;"&amp;$A172,実績!$AL$6:$AL$505,"○")&gt;0,1,0))</f>
        <v>0</v>
      </c>
      <c r="CV172" s="39" t="n">
        <f aca="false">IF(CV$4=0,0,IF(COUNTIFS(実績!$W$6:$W$505,CV$3,実績!$AI$6:$AI$505,"&lt;="&amp;$A172,実績!$AJ$6:$AJ$505,"&gt;"&amp;$A172,実績!$AL$6:$AL$505,"○")&gt;0,1,0))</f>
        <v>0</v>
      </c>
      <c r="CW172" s="39" t="n">
        <f aca="false">IF(CW$4=0,0,IF(COUNTIFS(実績!$W$6:$W$505,CW$3,実績!$AI$6:$AI$505,"&lt;="&amp;$A172,実績!$AJ$6:$AJ$505,"&gt;"&amp;$A172,実績!$AL$6:$AL$505,"○")&gt;0,1,0))</f>
        <v>0</v>
      </c>
      <c r="CX172" s="39" t="n">
        <f aca="false">IF(CX$4=0,0,IF(COUNTIFS(実績!$W$6:$W$505,CX$3,実績!$AI$6:$AI$505,"&lt;="&amp;$A172,実績!$AJ$6:$AJ$505,"&gt;"&amp;$A172,実績!$AL$6:$AL$505,"○")&gt;0,1,0))</f>
        <v>0</v>
      </c>
      <c r="CY172" s="39" t="n">
        <f aca="false">IF(CY$4=0,0,IF(COUNTIFS(実績!$W$6:$W$505,CY$3,実績!$AI$6:$AI$505,"&lt;="&amp;$A172,実績!$AJ$6:$AJ$505,"&gt;"&amp;$A172,実績!$AL$6:$AL$505,"○")&gt;0,1,0))</f>
        <v>0</v>
      </c>
      <c r="CZ172" s="39" t="n">
        <f aca="false">IF(CZ$4=0,0,IF(COUNTIFS(実績!$W$6:$W$505,CZ$3,実績!$AI$6:$AI$505,"&lt;="&amp;$A172,実績!$AJ$6:$AJ$505,"&gt;"&amp;$A172,実績!$AL$6:$AL$505,"○")&gt;0,1,0))</f>
        <v>0</v>
      </c>
      <c r="DA172" s="39" t="n">
        <f aca="false">IF(DA$4=0,0,IF(COUNTIFS(実績!$W$6:$W$505,DA$3,実績!$AI$6:$AI$505,"&lt;="&amp;$A172,実績!$AJ$6:$AJ$505,"&gt;"&amp;$A172,実績!$AL$6:$AL$505,"○")&gt;0,1,0))</f>
        <v>0</v>
      </c>
      <c r="DB172" s="39" t="n">
        <f aca="false">IF(DB$4=0,0,IF(COUNTIFS(実績!$W$6:$W$505,DB$3,実績!$AI$6:$AI$505,"&lt;="&amp;$A172,実績!$AJ$6:$AJ$505,"&gt;"&amp;$A172,実績!$AL$6:$AL$505,"○")&gt;0,1,0))</f>
        <v>0</v>
      </c>
      <c r="DC172" s="39" t="n">
        <f aca="false">IF(DC$4=0,0,IF(COUNTIFS(実績!$W$6:$W$505,DC$3,実績!$AI$6:$AI$505,"&lt;="&amp;$A172,実績!$AJ$6:$AJ$505,"&gt;"&amp;$A172,実績!$AL$6:$AL$505,"○")&gt;0,1,0))</f>
        <v>0</v>
      </c>
      <c r="DD172" s="39" t="n">
        <f aca="false">IF(DD$4=0,0,IF(COUNTIFS(実績!$W$6:$W$505,DD$3,実績!$AI$6:$AI$505,"&lt;="&amp;$A172,実績!$AJ$6:$AJ$505,"&gt;"&amp;$A172,実績!$AL$6:$AL$505,"○")&gt;0,1,0))</f>
        <v>0</v>
      </c>
      <c r="DE172" s="39" t="n">
        <f aca="false">IF(DE$4=0,0,IF(COUNTIFS(実績!$W$6:$W$505,DE$3,実績!$AI$6:$AI$505,"&lt;="&amp;$A172,実績!$AJ$6:$AJ$505,"&gt;"&amp;$A172,実績!$AL$6:$AL$505,"○")&gt;0,1,0))</f>
        <v>0</v>
      </c>
      <c r="DF172" s="39" t="n">
        <f aca="false">IF(DF$4=0,0,IF(COUNTIFS(実績!$W$6:$W$505,DF$3,実績!$AI$6:$AI$505,"&lt;="&amp;$A172,実績!$AJ$6:$AJ$505,"&gt;"&amp;$A172,実績!$AL$6:$AL$505,"○")&gt;0,1,0))</f>
        <v>0</v>
      </c>
      <c r="DG172" s="39" t="n">
        <f aca="false">IF(DG$4=0,0,IF(COUNTIFS(実績!$W$6:$W$505,DG$3,実績!$AI$6:$AI$505,"&lt;="&amp;$A172,実績!$AJ$6:$AJ$505,"&gt;"&amp;$A172,実績!$AL$6:$AL$505,"○")&gt;0,1,0))</f>
        <v>0</v>
      </c>
      <c r="DH172" s="39" t="n">
        <f aca="false">IF(DH$4=0,0,IF(COUNTIFS(実績!$W$6:$W$505,DH$3,実績!$AI$6:$AI$505,"&lt;="&amp;$A172,実績!$AJ$6:$AJ$505,"&gt;"&amp;$A172,実績!$AL$6:$AL$505,"○")&gt;0,1,0))</f>
        <v>0</v>
      </c>
      <c r="DI172" s="39" t="n">
        <f aca="false">IF(DI$4=0,0,IF(COUNTIFS(実績!$W$6:$W$505,DI$3,実績!$AI$6:$AI$505,"&lt;="&amp;$A172,実績!$AJ$6:$AJ$505,"&gt;"&amp;$A172,実績!$AL$6:$AL$505,"○")&gt;0,1,0))</f>
        <v>0</v>
      </c>
      <c r="DJ172" s="39" t="n">
        <f aca="false">IF(DJ$4=0,0,IF(COUNTIFS(実績!$W$6:$W$505,DJ$3,実績!$AI$6:$AI$505,"&lt;="&amp;$A172,実績!$AJ$6:$AJ$505,"&gt;"&amp;$A172,実績!$AL$6:$AL$505,"○")&gt;0,1,0))</f>
        <v>0</v>
      </c>
      <c r="DK172" s="39" t="n">
        <f aca="false">IF(DK$4=0,0,IF(COUNTIFS(実績!$W$6:$W$505,DK$3,実績!$AI$6:$AI$505,"&lt;="&amp;$A172,実績!$AJ$6:$AJ$505,"&gt;"&amp;$A172,実績!$AL$6:$AL$505,"○")&gt;0,1,0))</f>
        <v>0</v>
      </c>
      <c r="DL172" s="39" t="n">
        <f aca="false">IF(DL$4=0,0,IF(COUNTIFS(実績!$W$6:$W$505,DL$3,実績!$AI$6:$AI$505,"&lt;="&amp;$A172,実績!$AJ$6:$AJ$505,"&gt;"&amp;$A172,実績!$AL$6:$AL$505,"○")&gt;0,1,0))</f>
        <v>0</v>
      </c>
      <c r="DM172" s="39" t="n">
        <f aca="false">IF(DM$4=0,0,IF(COUNTIFS(実績!$W$6:$W$505,DM$3,実績!$AI$6:$AI$505,"&lt;="&amp;$A172,実績!$AJ$6:$AJ$505,"&gt;"&amp;$A172,実績!$AL$6:$AL$505,"○")&gt;0,1,0))</f>
        <v>0</v>
      </c>
      <c r="DN172" s="39" t="n">
        <f aca="false">IF(DN$4=0,0,IF(COUNTIFS(実績!$W$6:$W$505,DN$3,実績!$AI$6:$AI$505,"&lt;="&amp;$A172,実績!$AJ$6:$AJ$505,"&gt;"&amp;$A172,実績!$AL$6:$AL$505,"○")&gt;0,1,0))</f>
        <v>0</v>
      </c>
      <c r="DO172" s="39" t="n">
        <f aca="false">IF(DO$4=0,0,IF(COUNTIFS(実績!$W$6:$W$505,DO$3,実績!$AI$6:$AI$505,"&lt;="&amp;$A172,実績!$AJ$6:$AJ$505,"&gt;"&amp;$A172,実績!$AL$6:$AL$505,"○")&gt;0,1,0))</f>
        <v>0</v>
      </c>
      <c r="DP172" s="39" t="n">
        <f aca="false">IF(DP$4=0,0,IF(COUNTIFS(実績!$W$6:$W$505,DP$3,実績!$AI$6:$AI$505,"&lt;="&amp;$A172,実績!$AJ$6:$AJ$505,"&gt;"&amp;$A172,実績!$AL$6:$AL$505,"○")&gt;0,1,0))</f>
        <v>0</v>
      </c>
      <c r="DQ172" s="39" t="n">
        <f aca="false">IF(DQ$4=0,0,IF(COUNTIFS(実績!$W$6:$W$505,DQ$3,実績!$AI$6:$AI$505,"&lt;="&amp;$A172,実績!$AJ$6:$AJ$505,"&gt;"&amp;$A172,実績!$AL$6:$AL$505,"○")&gt;0,1,0))</f>
        <v>0</v>
      </c>
      <c r="DR172" s="39" t="n">
        <f aca="false">IF(DR$4=0,0,IF(COUNTIFS(実績!$W$6:$W$505,DR$3,実績!$AI$6:$AI$505,"&lt;="&amp;$A172,実績!$AJ$6:$AJ$505,"&gt;"&amp;$A172,実績!$AL$6:$AL$505,"○")&gt;0,1,0))</f>
        <v>0</v>
      </c>
      <c r="DS172" s="39" t="n">
        <f aca="false">SUM(C172:DR172)</f>
        <v>0</v>
      </c>
    </row>
    <row r="173" customFormat="false" ht="15" hidden="false" customHeight="false" outlineLevel="0" collapsed="false">
      <c r="A173" s="0" t="n">
        <v>835</v>
      </c>
      <c r="B173" s="38" t="n">
        <f aca="false">A173/1440</f>
        <v>0.579861111111111</v>
      </c>
      <c r="C173" s="39" t="n">
        <f aca="false">IF(C$4=0,0,IF(COUNTIFS(実績!$W$6:$W$505,C$3,実績!$AI$6:$AI$505,"&lt;="&amp;$A173,実績!$AJ$6:$AJ$505,"&gt;"&amp;$A173,実績!$AL$6:$AL$505,"○")&gt;0,1,0))</f>
        <v>0</v>
      </c>
      <c r="D173" s="39" t="n">
        <f aca="false">IF(D$4=0,0,IF(COUNTIFS(実績!$W$6:$W$505,D$3,実績!$AI$6:$AI$505,"&lt;="&amp;$A173,実績!$AJ$6:$AJ$505,"&gt;"&amp;$A173,実績!$AL$6:$AL$505,"○")&gt;0,1,0))</f>
        <v>0</v>
      </c>
      <c r="E173" s="39" t="n">
        <f aca="false">IF(E$4=0,0,IF(COUNTIFS(実績!$W$6:$W$505,E$3,実績!$AI$6:$AI$505,"&lt;="&amp;$A173,実績!$AJ$6:$AJ$505,"&gt;"&amp;$A173,実績!$AL$6:$AL$505,"○")&gt;0,1,0))</f>
        <v>0</v>
      </c>
      <c r="F173" s="39" t="n">
        <f aca="false">IF(F$4=0,0,IF(COUNTIFS(実績!$W$6:$W$505,F$3,実績!$AI$6:$AI$505,"&lt;="&amp;$A173,実績!$AJ$6:$AJ$505,"&gt;"&amp;$A173,実績!$AL$6:$AL$505,"○")&gt;0,1,0))</f>
        <v>0</v>
      </c>
      <c r="G173" s="39" t="n">
        <f aca="false">IF(G$4=0,0,IF(COUNTIFS(実績!$W$6:$W$505,G$3,実績!$AI$6:$AI$505,"&lt;="&amp;$A173,実績!$AJ$6:$AJ$505,"&gt;"&amp;$A173,実績!$AL$6:$AL$505,"○")&gt;0,1,0))</f>
        <v>0</v>
      </c>
      <c r="H173" s="39" t="n">
        <f aca="false">IF(H$4=0,0,IF(COUNTIFS(実績!$W$6:$W$505,H$3,実績!$AI$6:$AI$505,"&lt;="&amp;$A173,実績!$AJ$6:$AJ$505,"&gt;"&amp;$A173,実績!$AL$6:$AL$505,"○")&gt;0,1,0))</f>
        <v>0</v>
      </c>
      <c r="I173" s="39" t="n">
        <f aca="false">IF(I$4=0,0,IF(COUNTIFS(実績!$W$6:$W$505,I$3,実績!$AI$6:$AI$505,"&lt;="&amp;$A173,実績!$AJ$6:$AJ$505,"&gt;"&amp;$A173,実績!$AL$6:$AL$505,"○")&gt;0,1,0))</f>
        <v>0</v>
      </c>
      <c r="J173" s="39" t="n">
        <f aca="false">IF(J$4=0,0,IF(COUNTIFS(実績!$W$6:$W$505,J$3,実績!$AI$6:$AI$505,"&lt;="&amp;$A173,実績!$AJ$6:$AJ$505,"&gt;"&amp;$A173,実績!$AL$6:$AL$505,"○")&gt;0,1,0))</f>
        <v>0</v>
      </c>
      <c r="K173" s="39" t="n">
        <f aca="false">IF(K$4=0,0,IF(COUNTIFS(実績!$W$6:$W$505,K$3,実績!$AI$6:$AI$505,"&lt;="&amp;$A173,実績!$AJ$6:$AJ$505,"&gt;"&amp;$A173,実績!$AL$6:$AL$505,"○")&gt;0,1,0))</f>
        <v>0</v>
      </c>
      <c r="L173" s="39" t="n">
        <f aca="false">IF(L$4=0,0,IF(COUNTIFS(実績!$W$6:$W$505,L$3,実績!$AI$6:$AI$505,"&lt;="&amp;$A173,実績!$AJ$6:$AJ$505,"&gt;"&amp;$A173,実績!$AL$6:$AL$505,"○")&gt;0,1,0))</f>
        <v>0</v>
      </c>
      <c r="M173" s="39" t="n">
        <f aca="false">IF(M$4=0,0,IF(COUNTIFS(実績!$W$6:$W$505,M$3,実績!$AI$6:$AI$505,"&lt;="&amp;$A173,実績!$AJ$6:$AJ$505,"&gt;"&amp;$A173,実績!$AL$6:$AL$505,"○")&gt;0,1,0))</f>
        <v>0</v>
      </c>
      <c r="N173" s="39" t="n">
        <f aca="false">IF(N$4=0,0,IF(COUNTIFS(実績!$W$6:$W$505,N$3,実績!$AI$6:$AI$505,"&lt;="&amp;$A173,実績!$AJ$6:$AJ$505,"&gt;"&amp;$A173,実績!$AL$6:$AL$505,"○")&gt;0,1,0))</f>
        <v>0</v>
      </c>
      <c r="O173" s="39" t="n">
        <f aca="false">IF(O$4=0,0,IF(COUNTIFS(実績!$W$6:$W$505,O$3,実績!$AI$6:$AI$505,"&lt;="&amp;$A173,実績!$AJ$6:$AJ$505,"&gt;"&amp;$A173,実績!$AL$6:$AL$505,"○")&gt;0,1,0))</f>
        <v>0</v>
      </c>
      <c r="P173" s="39" t="n">
        <f aca="false">IF(P$4=0,0,IF(COUNTIFS(実績!$W$6:$W$505,P$3,実績!$AI$6:$AI$505,"&lt;="&amp;$A173,実績!$AJ$6:$AJ$505,"&gt;"&amp;$A173,実績!$AL$6:$AL$505,"○")&gt;0,1,0))</f>
        <v>0</v>
      </c>
      <c r="Q173" s="39" t="n">
        <f aca="false">IF(Q$4=0,0,IF(COUNTIFS(実績!$W$6:$W$505,Q$3,実績!$AI$6:$AI$505,"&lt;="&amp;$A173,実績!$AJ$6:$AJ$505,"&gt;"&amp;$A173,実績!$AL$6:$AL$505,"○")&gt;0,1,0))</f>
        <v>0</v>
      </c>
      <c r="R173" s="39" t="n">
        <f aca="false">IF(R$4=0,0,IF(COUNTIFS(実績!$W$6:$W$505,R$3,実績!$AI$6:$AI$505,"&lt;="&amp;$A173,実績!$AJ$6:$AJ$505,"&gt;"&amp;$A173,実績!$AL$6:$AL$505,"○")&gt;0,1,0))</f>
        <v>0</v>
      </c>
      <c r="S173" s="39" t="n">
        <f aca="false">IF(S$4=0,0,IF(COUNTIFS(実績!$W$6:$W$505,S$3,実績!$AI$6:$AI$505,"&lt;="&amp;$A173,実績!$AJ$6:$AJ$505,"&gt;"&amp;$A173,実績!$AL$6:$AL$505,"○")&gt;0,1,0))</f>
        <v>0</v>
      </c>
      <c r="T173" s="39" t="n">
        <f aca="false">IF(T$4=0,0,IF(COUNTIFS(実績!$W$6:$W$505,T$3,実績!$AI$6:$AI$505,"&lt;="&amp;$A173,実績!$AJ$6:$AJ$505,"&gt;"&amp;$A173,実績!$AL$6:$AL$505,"○")&gt;0,1,0))</f>
        <v>0</v>
      </c>
      <c r="U173" s="39" t="n">
        <f aca="false">IF(U$4=0,0,IF(COUNTIFS(実績!$W$6:$W$505,U$3,実績!$AI$6:$AI$505,"&lt;="&amp;$A173,実績!$AJ$6:$AJ$505,"&gt;"&amp;$A173,実績!$AL$6:$AL$505,"○")&gt;0,1,0))</f>
        <v>0</v>
      </c>
      <c r="V173" s="39" t="n">
        <f aca="false">IF(V$4=0,0,IF(COUNTIFS(実績!$W$6:$W$505,V$3,実績!$AI$6:$AI$505,"&lt;="&amp;$A173,実績!$AJ$6:$AJ$505,"&gt;"&amp;$A173,実績!$AL$6:$AL$505,"○")&gt;0,1,0))</f>
        <v>0</v>
      </c>
      <c r="W173" s="39" t="n">
        <f aca="false">IF(W$4=0,0,IF(COUNTIFS(実績!$W$6:$W$505,W$3,実績!$AI$6:$AI$505,"&lt;="&amp;$A173,実績!$AJ$6:$AJ$505,"&gt;"&amp;$A173,実績!$AL$6:$AL$505,"○")&gt;0,1,0))</f>
        <v>0</v>
      </c>
      <c r="X173" s="39" t="n">
        <f aca="false">IF(X$4=0,0,IF(COUNTIFS(実績!$W$6:$W$505,X$3,実績!$AI$6:$AI$505,"&lt;="&amp;$A173,実績!$AJ$6:$AJ$505,"&gt;"&amp;$A173,実績!$AL$6:$AL$505,"○")&gt;0,1,0))</f>
        <v>0</v>
      </c>
      <c r="Y173" s="39" t="n">
        <f aca="false">IF(Y$4=0,0,IF(COUNTIFS(実績!$W$6:$W$505,Y$3,実績!$AI$6:$AI$505,"&lt;="&amp;$A173,実績!$AJ$6:$AJ$505,"&gt;"&amp;$A173,実績!$AL$6:$AL$505,"○")&gt;0,1,0))</f>
        <v>0</v>
      </c>
      <c r="Z173" s="39" t="n">
        <f aca="false">IF(Z$4=0,0,IF(COUNTIFS(実績!$W$6:$W$505,Z$3,実績!$AI$6:$AI$505,"&lt;="&amp;$A173,実績!$AJ$6:$AJ$505,"&gt;"&amp;$A173,実績!$AL$6:$AL$505,"○")&gt;0,1,0))</f>
        <v>0</v>
      </c>
      <c r="AA173" s="39" t="n">
        <f aca="false">IF(AA$4=0,0,IF(COUNTIFS(実績!$W$6:$W$505,AA$3,実績!$AI$6:$AI$505,"&lt;="&amp;$A173,実績!$AJ$6:$AJ$505,"&gt;"&amp;$A173,実績!$AL$6:$AL$505,"○")&gt;0,1,0))</f>
        <v>0</v>
      </c>
      <c r="AB173" s="39" t="n">
        <f aca="false">IF(AB$4=0,0,IF(COUNTIFS(実績!$W$6:$W$505,AB$3,実績!$AI$6:$AI$505,"&lt;="&amp;$A173,実績!$AJ$6:$AJ$505,"&gt;"&amp;$A173,実績!$AL$6:$AL$505,"○")&gt;0,1,0))</f>
        <v>0</v>
      </c>
      <c r="AC173" s="39" t="n">
        <f aca="false">IF(AC$4=0,0,IF(COUNTIFS(実績!$W$6:$W$505,AC$3,実績!$AI$6:$AI$505,"&lt;="&amp;$A173,実績!$AJ$6:$AJ$505,"&gt;"&amp;$A173,実績!$AL$6:$AL$505,"○")&gt;0,1,0))</f>
        <v>0</v>
      </c>
      <c r="AD173" s="39" t="n">
        <f aca="false">IF(AD$4=0,0,IF(COUNTIFS(実績!$W$6:$W$505,AD$3,実績!$AI$6:$AI$505,"&lt;="&amp;$A173,実績!$AJ$6:$AJ$505,"&gt;"&amp;$A173,実績!$AL$6:$AL$505,"○")&gt;0,1,0))</f>
        <v>0</v>
      </c>
      <c r="AE173" s="39" t="n">
        <f aca="false">IF(AE$4=0,0,IF(COUNTIFS(実績!$W$6:$W$505,AE$3,実績!$AI$6:$AI$505,"&lt;="&amp;$A173,実績!$AJ$6:$AJ$505,"&gt;"&amp;$A173,実績!$AL$6:$AL$505,"○")&gt;0,1,0))</f>
        <v>0</v>
      </c>
      <c r="AF173" s="39" t="n">
        <f aca="false">IF(AF$4=0,0,IF(COUNTIFS(実績!$W$6:$W$505,AF$3,実績!$AI$6:$AI$505,"&lt;="&amp;$A173,実績!$AJ$6:$AJ$505,"&gt;"&amp;$A173,実績!$AL$6:$AL$505,"○")&gt;0,1,0))</f>
        <v>0</v>
      </c>
      <c r="AG173" s="39" t="n">
        <f aca="false">IF(AG$4=0,0,IF(COUNTIFS(実績!$W$6:$W$505,AG$3,実績!$AI$6:$AI$505,"&lt;="&amp;$A173,実績!$AJ$6:$AJ$505,"&gt;"&amp;$A173,実績!$AL$6:$AL$505,"○")&gt;0,1,0))</f>
        <v>0</v>
      </c>
      <c r="AH173" s="39" t="n">
        <f aca="false">IF(AH$4=0,0,IF(COUNTIFS(実績!$W$6:$W$505,AH$3,実績!$AI$6:$AI$505,"&lt;="&amp;$A173,実績!$AJ$6:$AJ$505,"&gt;"&amp;$A173,実績!$AL$6:$AL$505,"○")&gt;0,1,0))</f>
        <v>0</v>
      </c>
      <c r="AI173" s="39" t="n">
        <f aca="false">IF(AI$4=0,0,IF(COUNTIFS(実績!$W$6:$W$505,AI$3,実績!$AI$6:$AI$505,"&lt;="&amp;$A173,実績!$AJ$6:$AJ$505,"&gt;"&amp;$A173,実績!$AL$6:$AL$505,"○")&gt;0,1,0))</f>
        <v>0</v>
      </c>
      <c r="AJ173" s="39" t="n">
        <f aca="false">IF(AJ$4=0,0,IF(COUNTIFS(実績!$W$6:$W$505,AJ$3,実績!$AI$6:$AI$505,"&lt;="&amp;$A173,実績!$AJ$6:$AJ$505,"&gt;"&amp;$A173,実績!$AL$6:$AL$505,"○")&gt;0,1,0))</f>
        <v>0</v>
      </c>
      <c r="AK173" s="39" t="n">
        <f aca="false">IF(AK$4=0,0,IF(COUNTIFS(実績!$W$6:$W$505,AK$3,実績!$AI$6:$AI$505,"&lt;="&amp;$A173,実績!$AJ$6:$AJ$505,"&gt;"&amp;$A173,実績!$AL$6:$AL$505,"○")&gt;0,1,0))</f>
        <v>0</v>
      </c>
      <c r="AL173" s="39" t="n">
        <f aca="false">IF(AL$4=0,0,IF(COUNTIFS(実績!$W$6:$W$505,AL$3,実績!$AI$6:$AI$505,"&lt;="&amp;$A173,実績!$AJ$6:$AJ$505,"&gt;"&amp;$A173,実績!$AL$6:$AL$505,"○")&gt;0,1,0))</f>
        <v>0</v>
      </c>
      <c r="AM173" s="39" t="n">
        <f aca="false">IF(AM$4=0,0,IF(COUNTIFS(実績!$W$6:$W$505,AM$3,実績!$AI$6:$AI$505,"&lt;="&amp;$A173,実績!$AJ$6:$AJ$505,"&gt;"&amp;$A173,実績!$AL$6:$AL$505,"○")&gt;0,1,0))</f>
        <v>0</v>
      </c>
      <c r="AN173" s="39" t="n">
        <f aca="false">IF(AN$4=0,0,IF(COUNTIFS(実績!$W$6:$W$505,AN$3,実績!$AI$6:$AI$505,"&lt;="&amp;$A173,実績!$AJ$6:$AJ$505,"&gt;"&amp;$A173,実績!$AL$6:$AL$505,"○")&gt;0,1,0))</f>
        <v>0</v>
      </c>
      <c r="AO173" s="39" t="n">
        <f aca="false">IF(AO$4=0,0,IF(COUNTIFS(実績!$W$6:$W$505,AO$3,実績!$AI$6:$AI$505,"&lt;="&amp;$A173,実績!$AJ$6:$AJ$505,"&gt;"&amp;$A173,実績!$AL$6:$AL$505,"○")&gt;0,1,0))</f>
        <v>0</v>
      </c>
      <c r="AP173" s="39" t="n">
        <f aca="false">IF(AP$4=0,0,IF(COUNTIFS(実績!$W$6:$W$505,AP$3,実績!$AI$6:$AI$505,"&lt;="&amp;$A173,実績!$AJ$6:$AJ$505,"&gt;"&amp;$A173,実績!$AL$6:$AL$505,"○")&gt;0,1,0))</f>
        <v>0</v>
      </c>
      <c r="AQ173" s="39" t="n">
        <f aca="false">IF(AQ$4=0,0,IF(COUNTIFS(実績!$W$6:$W$505,AQ$3,実績!$AI$6:$AI$505,"&lt;="&amp;$A173,実績!$AJ$6:$AJ$505,"&gt;"&amp;$A173,実績!$AL$6:$AL$505,"○")&gt;0,1,0))</f>
        <v>0</v>
      </c>
      <c r="AR173" s="39" t="n">
        <f aca="false">IF(AR$4=0,0,IF(COUNTIFS(実績!$W$6:$W$505,AR$3,実績!$AI$6:$AI$505,"&lt;="&amp;$A173,実績!$AJ$6:$AJ$505,"&gt;"&amp;$A173,実績!$AL$6:$AL$505,"○")&gt;0,1,0))</f>
        <v>0</v>
      </c>
      <c r="AS173" s="39" t="n">
        <f aca="false">IF(AS$4=0,0,IF(COUNTIFS(実績!$W$6:$W$505,AS$3,実績!$AI$6:$AI$505,"&lt;="&amp;$A173,実績!$AJ$6:$AJ$505,"&gt;"&amp;$A173,実績!$AL$6:$AL$505,"○")&gt;0,1,0))</f>
        <v>0</v>
      </c>
      <c r="AT173" s="39" t="n">
        <f aca="false">IF(AT$4=0,0,IF(COUNTIFS(実績!$W$6:$W$505,AT$3,実績!$AI$6:$AI$505,"&lt;="&amp;$A173,実績!$AJ$6:$AJ$505,"&gt;"&amp;$A173,実績!$AL$6:$AL$505,"○")&gt;0,1,0))</f>
        <v>0</v>
      </c>
      <c r="AU173" s="39" t="n">
        <f aca="false">IF(AU$4=0,0,IF(COUNTIFS(実績!$W$6:$W$505,AU$3,実績!$AI$6:$AI$505,"&lt;="&amp;$A173,実績!$AJ$6:$AJ$505,"&gt;"&amp;$A173,実績!$AL$6:$AL$505,"○")&gt;0,1,0))</f>
        <v>0</v>
      </c>
      <c r="AV173" s="39" t="n">
        <f aca="false">IF(AV$4=0,0,IF(COUNTIFS(実績!$W$6:$W$505,AV$3,実績!$AI$6:$AI$505,"&lt;="&amp;$A173,実績!$AJ$6:$AJ$505,"&gt;"&amp;$A173,実績!$AL$6:$AL$505,"○")&gt;0,1,0))</f>
        <v>0</v>
      </c>
      <c r="AW173" s="39" t="n">
        <f aca="false">IF(AW$4=0,0,IF(COUNTIFS(実績!$W$6:$W$505,AW$3,実績!$AI$6:$AI$505,"&lt;="&amp;$A173,実績!$AJ$6:$AJ$505,"&gt;"&amp;$A173,実績!$AL$6:$AL$505,"○")&gt;0,1,0))</f>
        <v>0</v>
      </c>
      <c r="AX173" s="39" t="n">
        <f aca="false">IF(AX$4=0,0,IF(COUNTIFS(実績!$W$6:$W$505,AX$3,実績!$AI$6:$AI$505,"&lt;="&amp;$A173,実績!$AJ$6:$AJ$505,"&gt;"&amp;$A173,実績!$AL$6:$AL$505,"○")&gt;0,1,0))</f>
        <v>0</v>
      </c>
      <c r="AY173" s="39" t="n">
        <f aca="false">IF(AY$4=0,0,IF(COUNTIFS(実績!$W$6:$W$505,AY$3,実績!$AI$6:$AI$505,"&lt;="&amp;$A173,実績!$AJ$6:$AJ$505,"&gt;"&amp;$A173,実績!$AL$6:$AL$505,"○")&gt;0,1,0))</f>
        <v>0</v>
      </c>
      <c r="AZ173" s="39" t="n">
        <f aca="false">IF(AZ$4=0,0,IF(COUNTIFS(実績!$W$6:$W$505,AZ$3,実績!$AI$6:$AI$505,"&lt;="&amp;$A173,実績!$AJ$6:$AJ$505,"&gt;"&amp;$A173,実績!$AL$6:$AL$505,"○")&gt;0,1,0))</f>
        <v>0</v>
      </c>
      <c r="BA173" s="39" t="n">
        <f aca="false">IF(BA$4=0,0,IF(COUNTIFS(実績!$W$6:$W$505,BA$3,実績!$AI$6:$AI$505,"&lt;="&amp;$A173,実績!$AJ$6:$AJ$505,"&gt;"&amp;$A173,実績!$AL$6:$AL$505,"○")&gt;0,1,0))</f>
        <v>0</v>
      </c>
      <c r="BB173" s="39" t="n">
        <f aca="false">IF(BB$4=0,0,IF(COUNTIFS(実績!$W$6:$W$505,BB$3,実績!$AI$6:$AI$505,"&lt;="&amp;$A173,実績!$AJ$6:$AJ$505,"&gt;"&amp;$A173,実績!$AL$6:$AL$505,"○")&gt;0,1,0))</f>
        <v>0</v>
      </c>
      <c r="BC173" s="39" t="n">
        <f aca="false">IF(BC$4=0,0,IF(COUNTIFS(実績!$W$6:$W$505,BC$3,実績!$AI$6:$AI$505,"&lt;="&amp;$A173,実績!$AJ$6:$AJ$505,"&gt;"&amp;$A173,実績!$AL$6:$AL$505,"○")&gt;0,1,0))</f>
        <v>0</v>
      </c>
      <c r="BD173" s="39" t="n">
        <f aca="false">IF(BD$4=0,0,IF(COUNTIFS(実績!$W$6:$W$505,BD$3,実績!$AI$6:$AI$505,"&lt;="&amp;$A173,実績!$AJ$6:$AJ$505,"&gt;"&amp;$A173,実績!$AL$6:$AL$505,"○")&gt;0,1,0))</f>
        <v>0</v>
      </c>
      <c r="BE173" s="39" t="n">
        <f aca="false">IF(BE$4=0,0,IF(COUNTIFS(実績!$W$6:$W$505,BE$3,実績!$AI$6:$AI$505,"&lt;="&amp;$A173,実績!$AJ$6:$AJ$505,"&gt;"&amp;$A173,実績!$AL$6:$AL$505,"○")&gt;0,1,0))</f>
        <v>0</v>
      </c>
      <c r="BF173" s="39" t="n">
        <f aca="false">IF(BF$4=0,0,IF(COUNTIFS(実績!$W$6:$W$505,BF$3,実績!$AI$6:$AI$505,"&lt;="&amp;$A173,実績!$AJ$6:$AJ$505,"&gt;"&amp;$A173,実績!$AL$6:$AL$505,"○")&gt;0,1,0))</f>
        <v>0</v>
      </c>
      <c r="BG173" s="39" t="n">
        <f aca="false">IF(BG$4=0,0,IF(COUNTIFS(実績!$W$6:$W$505,BG$3,実績!$AI$6:$AI$505,"&lt;="&amp;$A173,実績!$AJ$6:$AJ$505,"&gt;"&amp;$A173,実績!$AL$6:$AL$505,"○")&gt;0,1,0))</f>
        <v>0</v>
      </c>
      <c r="BH173" s="39" t="n">
        <f aca="false">IF(BH$4=0,0,IF(COUNTIFS(実績!$W$6:$W$505,BH$3,実績!$AI$6:$AI$505,"&lt;="&amp;$A173,実績!$AJ$6:$AJ$505,"&gt;"&amp;$A173,実績!$AL$6:$AL$505,"○")&gt;0,1,0))</f>
        <v>0</v>
      </c>
      <c r="BI173" s="39" t="n">
        <f aca="false">IF(BI$4=0,0,IF(COUNTIFS(実績!$W$6:$W$505,BI$3,実績!$AI$6:$AI$505,"&lt;="&amp;$A173,実績!$AJ$6:$AJ$505,"&gt;"&amp;$A173,実績!$AL$6:$AL$505,"○")&gt;0,1,0))</f>
        <v>0</v>
      </c>
      <c r="BJ173" s="39" t="n">
        <f aca="false">IF(BJ$4=0,0,IF(COUNTIFS(実績!$W$6:$W$505,BJ$3,実績!$AI$6:$AI$505,"&lt;="&amp;$A173,実績!$AJ$6:$AJ$505,"&gt;"&amp;$A173,実績!$AL$6:$AL$505,"○")&gt;0,1,0))</f>
        <v>0</v>
      </c>
      <c r="BK173" s="39" t="n">
        <f aca="false">IF(BK$4=0,0,IF(COUNTIFS(実績!$W$6:$W$505,BK$3,実績!$AI$6:$AI$505,"&lt;="&amp;$A173,実績!$AJ$6:$AJ$505,"&gt;"&amp;$A173,実績!$AL$6:$AL$505,"○")&gt;0,1,0))</f>
        <v>0</v>
      </c>
      <c r="BL173" s="39" t="n">
        <f aca="false">IF(BL$4=0,0,IF(COUNTIFS(実績!$W$6:$W$505,BL$3,実績!$AI$6:$AI$505,"&lt;="&amp;$A173,実績!$AJ$6:$AJ$505,"&gt;"&amp;$A173,実績!$AL$6:$AL$505,"○")&gt;0,1,0))</f>
        <v>0</v>
      </c>
      <c r="BM173" s="39" t="n">
        <f aca="false">IF(BM$4=0,0,IF(COUNTIFS(実績!$W$6:$W$505,BM$3,実績!$AI$6:$AI$505,"&lt;="&amp;$A173,実績!$AJ$6:$AJ$505,"&gt;"&amp;$A173,実績!$AL$6:$AL$505,"○")&gt;0,1,0))</f>
        <v>0</v>
      </c>
      <c r="BN173" s="39" t="n">
        <f aca="false">IF(BN$4=0,0,IF(COUNTIFS(実績!$W$6:$W$505,BN$3,実績!$AI$6:$AI$505,"&lt;="&amp;$A173,実績!$AJ$6:$AJ$505,"&gt;"&amp;$A173,実績!$AL$6:$AL$505,"○")&gt;0,1,0))</f>
        <v>0</v>
      </c>
      <c r="BO173" s="39" t="n">
        <f aca="false">IF(BO$4=0,0,IF(COUNTIFS(実績!$W$6:$W$505,BO$3,実績!$AI$6:$AI$505,"&lt;="&amp;$A173,実績!$AJ$6:$AJ$505,"&gt;"&amp;$A173,実績!$AL$6:$AL$505,"○")&gt;0,1,0))</f>
        <v>0</v>
      </c>
      <c r="BP173" s="39" t="n">
        <f aca="false">IF(BP$4=0,0,IF(COUNTIFS(実績!$W$6:$W$505,BP$3,実績!$AI$6:$AI$505,"&lt;="&amp;$A173,実績!$AJ$6:$AJ$505,"&gt;"&amp;$A173,実績!$AL$6:$AL$505,"○")&gt;0,1,0))</f>
        <v>0</v>
      </c>
      <c r="BQ173" s="39" t="n">
        <f aca="false">IF(BQ$4=0,0,IF(COUNTIFS(実績!$W$6:$W$505,BQ$3,実績!$AI$6:$AI$505,"&lt;="&amp;$A173,実績!$AJ$6:$AJ$505,"&gt;"&amp;$A173,実績!$AL$6:$AL$505,"○")&gt;0,1,0))</f>
        <v>0</v>
      </c>
      <c r="BR173" s="39" t="n">
        <f aca="false">IF(BR$4=0,0,IF(COUNTIFS(実績!$W$6:$W$505,BR$3,実績!$AI$6:$AI$505,"&lt;="&amp;$A173,実績!$AJ$6:$AJ$505,"&gt;"&amp;$A173,実績!$AL$6:$AL$505,"○")&gt;0,1,0))</f>
        <v>0</v>
      </c>
      <c r="BS173" s="39" t="n">
        <f aca="false">IF(BS$4=0,0,IF(COUNTIFS(実績!$W$6:$W$505,BS$3,実績!$AI$6:$AI$505,"&lt;="&amp;$A173,実績!$AJ$6:$AJ$505,"&gt;"&amp;$A173,実績!$AL$6:$AL$505,"○")&gt;0,1,0))</f>
        <v>0</v>
      </c>
      <c r="BT173" s="39" t="n">
        <f aca="false">IF(BT$4=0,0,IF(COUNTIFS(実績!$W$6:$W$505,BT$3,実績!$AI$6:$AI$505,"&lt;="&amp;$A173,実績!$AJ$6:$AJ$505,"&gt;"&amp;$A173,実績!$AL$6:$AL$505,"○")&gt;0,1,0))</f>
        <v>0</v>
      </c>
      <c r="BU173" s="39" t="n">
        <f aca="false">IF(BU$4=0,0,IF(COUNTIFS(実績!$W$6:$W$505,BU$3,実績!$AI$6:$AI$505,"&lt;="&amp;$A173,実績!$AJ$6:$AJ$505,"&gt;"&amp;$A173,実績!$AL$6:$AL$505,"○")&gt;0,1,0))</f>
        <v>0</v>
      </c>
      <c r="BV173" s="39" t="n">
        <f aca="false">IF(BV$4=0,0,IF(COUNTIFS(実績!$W$6:$W$505,BV$3,実績!$AI$6:$AI$505,"&lt;="&amp;$A173,実績!$AJ$6:$AJ$505,"&gt;"&amp;$A173,実績!$AL$6:$AL$505,"○")&gt;0,1,0))</f>
        <v>0</v>
      </c>
      <c r="BW173" s="39" t="n">
        <f aca="false">IF(BW$4=0,0,IF(COUNTIFS(実績!$W$6:$W$505,BW$3,実績!$AI$6:$AI$505,"&lt;="&amp;$A173,実績!$AJ$6:$AJ$505,"&gt;"&amp;$A173,実績!$AL$6:$AL$505,"○")&gt;0,1,0))</f>
        <v>0</v>
      </c>
      <c r="BX173" s="39" t="n">
        <f aca="false">IF(BX$4=0,0,IF(COUNTIFS(実績!$W$6:$W$505,BX$3,実績!$AI$6:$AI$505,"&lt;="&amp;$A173,実績!$AJ$6:$AJ$505,"&gt;"&amp;$A173,実績!$AL$6:$AL$505,"○")&gt;0,1,0))</f>
        <v>0</v>
      </c>
      <c r="BY173" s="39" t="n">
        <f aca="false">IF(BY$4=0,0,IF(COUNTIFS(実績!$W$6:$W$505,BY$3,実績!$AI$6:$AI$505,"&lt;="&amp;$A173,実績!$AJ$6:$AJ$505,"&gt;"&amp;$A173,実績!$AL$6:$AL$505,"○")&gt;0,1,0))</f>
        <v>0</v>
      </c>
      <c r="BZ173" s="39" t="n">
        <f aca="false">IF(BZ$4=0,0,IF(COUNTIFS(実績!$W$6:$W$505,BZ$3,実績!$AI$6:$AI$505,"&lt;="&amp;$A173,実績!$AJ$6:$AJ$505,"&gt;"&amp;$A173,実績!$AL$6:$AL$505,"○")&gt;0,1,0))</f>
        <v>0</v>
      </c>
      <c r="CA173" s="39" t="n">
        <f aca="false">IF(CA$4=0,0,IF(COUNTIFS(実績!$W$6:$W$505,CA$3,実績!$AI$6:$AI$505,"&lt;="&amp;$A173,実績!$AJ$6:$AJ$505,"&gt;"&amp;$A173,実績!$AL$6:$AL$505,"○")&gt;0,1,0))</f>
        <v>0</v>
      </c>
      <c r="CB173" s="39" t="n">
        <f aca="false">IF(CB$4=0,0,IF(COUNTIFS(実績!$W$6:$W$505,CB$3,実績!$AI$6:$AI$505,"&lt;="&amp;$A173,実績!$AJ$6:$AJ$505,"&gt;"&amp;$A173,実績!$AL$6:$AL$505,"○")&gt;0,1,0))</f>
        <v>0</v>
      </c>
      <c r="CC173" s="39" t="n">
        <f aca="false">IF(CC$4=0,0,IF(COUNTIFS(実績!$W$6:$W$505,CC$3,実績!$AI$6:$AI$505,"&lt;="&amp;$A173,実績!$AJ$6:$AJ$505,"&gt;"&amp;$A173,実績!$AL$6:$AL$505,"○")&gt;0,1,0))</f>
        <v>0</v>
      </c>
      <c r="CD173" s="39" t="n">
        <f aca="false">IF(CD$4=0,0,IF(COUNTIFS(実績!$W$6:$W$505,CD$3,実績!$AI$6:$AI$505,"&lt;="&amp;$A173,実績!$AJ$6:$AJ$505,"&gt;"&amp;$A173,実績!$AL$6:$AL$505,"○")&gt;0,1,0))</f>
        <v>0</v>
      </c>
      <c r="CE173" s="39" t="n">
        <f aca="false">IF(CE$4=0,0,IF(COUNTIFS(実績!$W$6:$W$505,CE$3,実績!$AI$6:$AI$505,"&lt;="&amp;$A173,実績!$AJ$6:$AJ$505,"&gt;"&amp;$A173,実績!$AL$6:$AL$505,"○")&gt;0,1,0))</f>
        <v>0</v>
      </c>
      <c r="CF173" s="39" t="n">
        <f aca="false">IF(CF$4=0,0,IF(COUNTIFS(実績!$W$6:$W$505,CF$3,実績!$AI$6:$AI$505,"&lt;="&amp;$A173,実績!$AJ$6:$AJ$505,"&gt;"&amp;$A173,実績!$AL$6:$AL$505,"○")&gt;0,1,0))</f>
        <v>0</v>
      </c>
      <c r="CG173" s="39" t="n">
        <f aca="false">IF(CG$4=0,0,IF(COUNTIFS(実績!$W$6:$W$505,CG$3,実績!$AI$6:$AI$505,"&lt;="&amp;$A173,実績!$AJ$6:$AJ$505,"&gt;"&amp;$A173,実績!$AL$6:$AL$505,"○")&gt;0,1,0))</f>
        <v>0</v>
      </c>
      <c r="CH173" s="39" t="n">
        <f aca="false">IF(CH$4=0,0,IF(COUNTIFS(実績!$W$6:$W$505,CH$3,実績!$AI$6:$AI$505,"&lt;="&amp;$A173,実績!$AJ$6:$AJ$505,"&gt;"&amp;$A173,実績!$AL$6:$AL$505,"○")&gt;0,1,0))</f>
        <v>0</v>
      </c>
      <c r="CI173" s="39" t="n">
        <f aca="false">IF(CI$4=0,0,IF(COUNTIFS(実績!$W$6:$W$505,CI$3,実績!$AI$6:$AI$505,"&lt;="&amp;$A173,実績!$AJ$6:$AJ$505,"&gt;"&amp;$A173,実績!$AL$6:$AL$505,"○")&gt;0,1,0))</f>
        <v>0</v>
      </c>
      <c r="CJ173" s="39" t="n">
        <f aca="false">IF(CJ$4=0,0,IF(COUNTIFS(実績!$W$6:$W$505,CJ$3,実績!$AI$6:$AI$505,"&lt;="&amp;$A173,実績!$AJ$6:$AJ$505,"&gt;"&amp;$A173,実績!$AL$6:$AL$505,"○")&gt;0,1,0))</f>
        <v>0</v>
      </c>
      <c r="CK173" s="39" t="n">
        <f aca="false">IF(CK$4=0,0,IF(COUNTIFS(実績!$W$6:$W$505,CK$3,実績!$AI$6:$AI$505,"&lt;="&amp;$A173,実績!$AJ$6:$AJ$505,"&gt;"&amp;$A173,実績!$AL$6:$AL$505,"○")&gt;0,1,0))</f>
        <v>0</v>
      </c>
      <c r="CL173" s="39" t="n">
        <f aca="false">IF(CL$4=0,0,IF(COUNTIFS(実績!$W$6:$W$505,CL$3,実績!$AI$6:$AI$505,"&lt;="&amp;$A173,実績!$AJ$6:$AJ$505,"&gt;"&amp;$A173,実績!$AL$6:$AL$505,"○")&gt;0,1,0))</f>
        <v>0</v>
      </c>
      <c r="CM173" s="39" t="n">
        <f aca="false">IF(CM$4=0,0,IF(COUNTIFS(実績!$W$6:$W$505,CM$3,実績!$AI$6:$AI$505,"&lt;="&amp;$A173,実績!$AJ$6:$AJ$505,"&gt;"&amp;$A173,実績!$AL$6:$AL$505,"○")&gt;0,1,0))</f>
        <v>0</v>
      </c>
      <c r="CN173" s="39" t="n">
        <f aca="false">IF(CN$4=0,0,IF(COUNTIFS(実績!$W$6:$W$505,CN$3,実績!$AI$6:$AI$505,"&lt;="&amp;$A173,実績!$AJ$6:$AJ$505,"&gt;"&amp;$A173,実績!$AL$6:$AL$505,"○")&gt;0,1,0))</f>
        <v>0</v>
      </c>
      <c r="CO173" s="39" t="n">
        <f aca="false">IF(CO$4=0,0,IF(COUNTIFS(実績!$W$6:$W$505,CO$3,実績!$AI$6:$AI$505,"&lt;="&amp;$A173,実績!$AJ$6:$AJ$505,"&gt;"&amp;$A173,実績!$AL$6:$AL$505,"○")&gt;0,1,0))</f>
        <v>0</v>
      </c>
      <c r="CP173" s="39" t="n">
        <f aca="false">IF(CP$4=0,0,IF(COUNTIFS(実績!$W$6:$W$505,CP$3,実績!$AI$6:$AI$505,"&lt;="&amp;$A173,実績!$AJ$6:$AJ$505,"&gt;"&amp;$A173,実績!$AL$6:$AL$505,"○")&gt;0,1,0))</f>
        <v>0</v>
      </c>
      <c r="CQ173" s="39" t="n">
        <f aca="false">IF(CQ$4=0,0,IF(COUNTIFS(実績!$W$6:$W$505,CQ$3,実績!$AI$6:$AI$505,"&lt;="&amp;$A173,実績!$AJ$6:$AJ$505,"&gt;"&amp;$A173,実績!$AL$6:$AL$505,"○")&gt;0,1,0))</f>
        <v>0</v>
      </c>
      <c r="CR173" s="39" t="n">
        <f aca="false">IF(CR$4=0,0,IF(COUNTIFS(実績!$W$6:$W$505,CR$3,実績!$AI$6:$AI$505,"&lt;="&amp;$A173,実績!$AJ$6:$AJ$505,"&gt;"&amp;$A173,実績!$AL$6:$AL$505,"○")&gt;0,1,0))</f>
        <v>0</v>
      </c>
      <c r="CS173" s="39" t="n">
        <f aca="false">IF(CS$4=0,0,IF(COUNTIFS(実績!$W$6:$W$505,CS$3,実績!$AI$6:$AI$505,"&lt;="&amp;$A173,実績!$AJ$6:$AJ$505,"&gt;"&amp;$A173,実績!$AL$6:$AL$505,"○")&gt;0,1,0))</f>
        <v>0</v>
      </c>
      <c r="CT173" s="39" t="n">
        <f aca="false">IF(CT$4=0,0,IF(COUNTIFS(実績!$W$6:$W$505,CT$3,実績!$AI$6:$AI$505,"&lt;="&amp;$A173,実績!$AJ$6:$AJ$505,"&gt;"&amp;$A173,実績!$AL$6:$AL$505,"○")&gt;0,1,0))</f>
        <v>0</v>
      </c>
      <c r="CU173" s="39" t="n">
        <f aca="false">IF(CU$4=0,0,IF(COUNTIFS(実績!$W$6:$W$505,CU$3,実績!$AI$6:$AI$505,"&lt;="&amp;$A173,実績!$AJ$6:$AJ$505,"&gt;"&amp;$A173,実績!$AL$6:$AL$505,"○")&gt;0,1,0))</f>
        <v>0</v>
      </c>
      <c r="CV173" s="39" t="n">
        <f aca="false">IF(CV$4=0,0,IF(COUNTIFS(実績!$W$6:$W$505,CV$3,実績!$AI$6:$AI$505,"&lt;="&amp;$A173,実績!$AJ$6:$AJ$505,"&gt;"&amp;$A173,実績!$AL$6:$AL$505,"○")&gt;0,1,0))</f>
        <v>0</v>
      </c>
      <c r="CW173" s="39" t="n">
        <f aca="false">IF(CW$4=0,0,IF(COUNTIFS(実績!$W$6:$W$505,CW$3,実績!$AI$6:$AI$505,"&lt;="&amp;$A173,実績!$AJ$6:$AJ$505,"&gt;"&amp;$A173,実績!$AL$6:$AL$505,"○")&gt;0,1,0))</f>
        <v>0</v>
      </c>
      <c r="CX173" s="39" t="n">
        <f aca="false">IF(CX$4=0,0,IF(COUNTIFS(実績!$W$6:$W$505,CX$3,実績!$AI$6:$AI$505,"&lt;="&amp;$A173,実績!$AJ$6:$AJ$505,"&gt;"&amp;$A173,実績!$AL$6:$AL$505,"○")&gt;0,1,0))</f>
        <v>0</v>
      </c>
      <c r="CY173" s="39" t="n">
        <f aca="false">IF(CY$4=0,0,IF(COUNTIFS(実績!$W$6:$W$505,CY$3,実績!$AI$6:$AI$505,"&lt;="&amp;$A173,実績!$AJ$6:$AJ$505,"&gt;"&amp;$A173,実績!$AL$6:$AL$505,"○")&gt;0,1,0))</f>
        <v>0</v>
      </c>
      <c r="CZ173" s="39" t="n">
        <f aca="false">IF(CZ$4=0,0,IF(COUNTIFS(実績!$W$6:$W$505,CZ$3,実績!$AI$6:$AI$505,"&lt;="&amp;$A173,実績!$AJ$6:$AJ$505,"&gt;"&amp;$A173,実績!$AL$6:$AL$505,"○")&gt;0,1,0))</f>
        <v>0</v>
      </c>
      <c r="DA173" s="39" t="n">
        <f aca="false">IF(DA$4=0,0,IF(COUNTIFS(実績!$W$6:$W$505,DA$3,実績!$AI$6:$AI$505,"&lt;="&amp;$A173,実績!$AJ$6:$AJ$505,"&gt;"&amp;$A173,実績!$AL$6:$AL$505,"○")&gt;0,1,0))</f>
        <v>0</v>
      </c>
      <c r="DB173" s="39" t="n">
        <f aca="false">IF(DB$4=0,0,IF(COUNTIFS(実績!$W$6:$W$505,DB$3,実績!$AI$6:$AI$505,"&lt;="&amp;$A173,実績!$AJ$6:$AJ$505,"&gt;"&amp;$A173,実績!$AL$6:$AL$505,"○")&gt;0,1,0))</f>
        <v>0</v>
      </c>
      <c r="DC173" s="39" t="n">
        <f aca="false">IF(DC$4=0,0,IF(COUNTIFS(実績!$W$6:$W$505,DC$3,実績!$AI$6:$AI$505,"&lt;="&amp;$A173,実績!$AJ$6:$AJ$505,"&gt;"&amp;$A173,実績!$AL$6:$AL$505,"○")&gt;0,1,0))</f>
        <v>0</v>
      </c>
      <c r="DD173" s="39" t="n">
        <f aca="false">IF(DD$4=0,0,IF(COUNTIFS(実績!$W$6:$W$505,DD$3,実績!$AI$6:$AI$505,"&lt;="&amp;$A173,実績!$AJ$6:$AJ$505,"&gt;"&amp;$A173,実績!$AL$6:$AL$505,"○")&gt;0,1,0))</f>
        <v>0</v>
      </c>
      <c r="DE173" s="39" t="n">
        <f aca="false">IF(DE$4=0,0,IF(COUNTIFS(実績!$W$6:$W$505,DE$3,実績!$AI$6:$AI$505,"&lt;="&amp;$A173,実績!$AJ$6:$AJ$505,"&gt;"&amp;$A173,実績!$AL$6:$AL$505,"○")&gt;0,1,0))</f>
        <v>0</v>
      </c>
      <c r="DF173" s="39" t="n">
        <f aca="false">IF(DF$4=0,0,IF(COUNTIFS(実績!$W$6:$W$505,DF$3,実績!$AI$6:$AI$505,"&lt;="&amp;$A173,実績!$AJ$6:$AJ$505,"&gt;"&amp;$A173,実績!$AL$6:$AL$505,"○")&gt;0,1,0))</f>
        <v>0</v>
      </c>
      <c r="DG173" s="39" t="n">
        <f aca="false">IF(DG$4=0,0,IF(COUNTIFS(実績!$W$6:$W$505,DG$3,実績!$AI$6:$AI$505,"&lt;="&amp;$A173,実績!$AJ$6:$AJ$505,"&gt;"&amp;$A173,実績!$AL$6:$AL$505,"○")&gt;0,1,0))</f>
        <v>0</v>
      </c>
      <c r="DH173" s="39" t="n">
        <f aca="false">IF(DH$4=0,0,IF(COUNTIFS(実績!$W$6:$W$505,DH$3,実績!$AI$6:$AI$505,"&lt;="&amp;$A173,実績!$AJ$6:$AJ$505,"&gt;"&amp;$A173,実績!$AL$6:$AL$505,"○")&gt;0,1,0))</f>
        <v>0</v>
      </c>
      <c r="DI173" s="39" t="n">
        <f aca="false">IF(DI$4=0,0,IF(COUNTIFS(実績!$W$6:$W$505,DI$3,実績!$AI$6:$AI$505,"&lt;="&amp;$A173,実績!$AJ$6:$AJ$505,"&gt;"&amp;$A173,実績!$AL$6:$AL$505,"○")&gt;0,1,0))</f>
        <v>0</v>
      </c>
      <c r="DJ173" s="39" t="n">
        <f aca="false">IF(DJ$4=0,0,IF(COUNTIFS(実績!$W$6:$W$505,DJ$3,実績!$AI$6:$AI$505,"&lt;="&amp;$A173,実績!$AJ$6:$AJ$505,"&gt;"&amp;$A173,実績!$AL$6:$AL$505,"○")&gt;0,1,0))</f>
        <v>0</v>
      </c>
      <c r="DK173" s="39" t="n">
        <f aca="false">IF(DK$4=0,0,IF(COUNTIFS(実績!$W$6:$W$505,DK$3,実績!$AI$6:$AI$505,"&lt;="&amp;$A173,実績!$AJ$6:$AJ$505,"&gt;"&amp;$A173,実績!$AL$6:$AL$505,"○")&gt;0,1,0))</f>
        <v>0</v>
      </c>
      <c r="DL173" s="39" t="n">
        <f aca="false">IF(DL$4=0,0,IF(COUNTIFS(実績!$W$6:$W$505,DL$3,実績!$AI$6:$AI$505,"&lt;="&amp;$A173,実績!$AJ$6:$AJ$505,"&gt;"&amp;$A173,実績!$AL$6:$AL$505,"○")&gt;0,1,0))</f>
        <v>0</v>
      </c>
      <c r="DM173" s="39" t="n">
        <f aca="false">IF(DM$4=0,0,IF(COUNTIFS(実績!$W$6:$W$505,DM$3,実績!$AI$6:$AI$505,"&lt;="&amp;$A173,実績!$AJ$6:$AJ$505,"&gt;"&amp;$A173,実績!$AL$6:$AL$505,"○")&gt;0,1,0))</f>
        <v>0</v>
      </c>
      <c r="DN173" s="39" t="n">
        <f aca="false">IF(DN$4=0,0,IF(COUNTIFS(実績!$W$6:$W$505,DN$3,実績!$AI$6:$AI$505,"&lt;="&amp;$A173,実績!$AJ$6:$AJ$505,"&gt;"&amp;$A173,実績!$AL$6:$AL$505,"○")&gt;0,1,0))</f>
        <v>0</v>
      </c>
      <c r="DO173" s="39" t="n">
        <f aca="false">IF(DO$4=0,0,IF(COUNTIFS(実績!$W$6:$W$505,DO$3,実績!$AI$6:$AI$505,"&lt;="&amp;$A173,実績!$AJ$6:$AJ$505,"&gt;"&amp;$A173,実績!$AL$6:$AL$505,"○")&gt;0,1,0))</f>
        <v>0</v>
      </c>
      <c r="DP173" s="39" t="n">
        <f aca="false">IF(DP$4=0,0,IF(COUNTIFS(実績!$W$6:$W$505,DP$3,実績!$AI$6:$AI$505,"&lt;="&amp;$A173,実績!$AJ$6:$AJ$505,"&gt;"&amp;$A173,実績!$AL$6:$AL$505,"○")&gt;0,1,0))</f>
        <v>0</v>
      </c>
      <c r="DQ173" s="39" t="n">
        <f aca="false">IF(DQ$4=0,0,IF(COUNTIFS(実績!$W$6:$W$505,DQ$3,実績!$AI$6:$AI$505,"&lt;="&amp;$A173,実績!$AJ$6:$AJ$505,"&gt;"&amp;$A173,実績!$AL$6:$AL$505,"○")&gt;0,1,0))</f>
        <v>0</v>
      </c>
      <c r="DR173" s="39" t="n">
        <f aca="false">IF(DR$4=0,0,IF(COUNTIFS(実績!$W$6:$W$505,DR$3,実績!$AI$6:$AI$505,"&lt;="&amp;$A173,実績!$AJ$6:$AJ$505,"&gt;"&amp;$A173,実績!$AL$6:$AL$505,"○")&gt;0,1,0))</f>
        <v>0</v>
      </c>
      <c r="DS173" s="39" t="n">
        <f aca="false">SUM(C173:DR173)</f>
        <v>0</v>
      </c>
    </row>
    <row r="174" customFormat="false" ht="15" hidden="false" customHeight="false" outlineLevel="0" collapsed="false">
      <c r="A174" s="0" t="n">
        <v>840</v>
      </c>
      <c r="B174" s="38" t="n">
        <f aca="false">A174/1440</f>
        <v>0.583333333333333</v>
      </c>
      <c r="C174" s="39" t="n">
        <f aca="false">IF(C$4=0,0,IF(COUNTIFS(実績!$W$6:$W$505,C$3,実績!$AI$6:$AI$505,"&lt;="&amp;$A174,実績!$AJ$6:$AJ$505,"&gt;"&amp;$A174,実績!$AL$6:$AL$505,"○")&gt;0,1,0))</f>
        <v>0</v>
      </c>
      <c r="D174" s="39" t="n">
        <f aca="false">IF(D$4=0,0,IF(COUNTIFS(実績!$W$6:$W$505,D$3,実績!$AI$6:$AI$505,"&lt;="&amp;$A174,実績!$AJ$6:$AJ$505,"&gt;"&amp;$A174,実績!$AL$6:$AL$505,"○")&gt;0,1,0))</f>
        <v>0</v>
      </c>
      <c r="E174" s="39" t="n">
        <f aca="false">IF(E$4=0,0,IF(COUNTIFS(実績!$W$6:$W$505,E$3,実績!$AI$6:$AI$505,"&lt;="&amp;$A174,実績!$AJ$6:$AJ$505,"&gt;"&amp;$A174,実績!$AL$6:$AL$505,"○")&gt;0,1,0))</f>
        <v>0</v>
      </c>
      <c r="F174" s="39" t="n">
        <f aca="false">IF(F$4=0,0,IF(COUNTIFS(実績!$W$6:$W$505,F$3,実績!$AI$6:$AI$505,"&lt;="&amp;$A174,実績!$AJ$6:$AJ$505,"&gt;"&amp;$A174,実績!$AL$6:$AL$505,"○")&gt;0,1,0))</f>
        <v>0</v>
      </c>
      <c r="G174" s="39" t="n">
        <f aca="false">IF(G$4=0,0,IF(COUNTIFS(実績!$W$6:$W$505,G$3,実績!$AI$6:$AI$505,"&lt;="&amp;$A174,実績!$AJ$6:$AJ$505,"&gt;"&amp;$A174,実績!$AL$6:$AL$505,"○")&gt;0,1,0))</f>
        <v>0</v>
      </c>
      <c r="H174" s="39" t="n">
        <f aca="false">IF(H$4=0,0,IF(COUNTIFS(実績!$W$6:$W$505,H$3,実績!$AI$6:$AI$505,"&lt;="&amp;$A174,実績!$AJ$6:$AJ$505,"&gt;"&amp;$A174,実績!$AL$6:$AL$505,"○")&gt;0,1,0))</f>
        <v>0</v>
      </c>
      <c r="I174" s="39" t="n">
        <f aca="false">IF(I$4=0,0,IF(COUNTIFS(実績!$W$6:$W$505,I$3,実績!$AI$6:$AI$505,"&lt;="&amp;$A174,実績!$AJ$6:$AJ$505,"&gt;"&amp;$A174,実績!$AL$6:$AL$505,"○")&gt;0,1,0))</f>
        <v>0</v>
      </c>
      <c r="J174" s="39" t="n">
        <f aca="false">IF(J$4=0,0,IF(COUNTIFS(実績!$W$6:$W$505,J$3,実績!$AI$6:$AI$505,"&lt;="&amp;$A174,実績!$AJ$6:$AJ$505,"&gt;"&amp;$A174,実績!$AL$6:$AL$505,"○")&gt;0,1,0))</f>
        <v>0</v>
      </c>
      <c r="K174" s="39" t="n">
        <f aca="false">IF(K$4=0,0,IF(COUNTIFS(実績!$W$6:$W$505,K$3,実績!$AI$6:$AI$505,"&lt;="&amp;$A174,実績!$AJ$6:$AJ$505,"&gt;"&amp;$A174,実績!$AL$6:$AL$505,"○")&gt;0,1,0))</f>
        <v>0</v>
      </c>
      <c r="L174" s="39" t="n">
        <f aca="false">IF(L$4=0,0,IF(COUNTIFS(実績!$W$6:$W$505,L$3,実績!$AI$6:$AI$505,"&lt;="&amp;$A174,実績!$AJ$6:$AJ$505,"&gt;"&amp;$A174,実績!$AL$6:$AL$505,"○")&gt;0,1,0))</f>
        <v>0</v>
      </c>
      <c r="M174" s="39" t="n">
        <f aca="false">IF(M$4=0,0,IF(COUNTIFS(実績!$W$6:$W$505,M$3,実績!$AI$6:$AI$505,"&lt;="&amp;$A174,実績!$AJ$6:$AJ$505,"&gt;"&amp;$A174,実績!$AL$6:$AL$505,"○")&gt;0,1,0))</f>
        <v>0</v>
      </c>
      <c r="N174" s="39" t="n">
        <f aca="false">IF(N$4=0,0,IF(COUNTIFS(実績!$W$6:$W$505,N$3,実績!$AI$6:$AI$505,"&lt;="&amp;$A174,実績!$AJ$6:$AJ$505,"&gt;"&amp;$A174,実績!$AL$6:$AL$505,"○")&gt;0,1,0))</f>
        <v>0</v>
      </c>
      <c r="O174" s="39" t="n">
        <f aca="false">IF(O$4=0,0,IF(COUNTIFS(実績!$W$6:$W$505,O$3,実績!$AI$6:$AI$505,"&lt;="&amp;$A174,実績!$AJ$6:$AJ$505,"&gt;"&amp;$A174,実績!$AL$6:$AL$505,"○")&gt;0,1,0))</f>
        <v>0</v>
      </c>
      <c r="P174" s="39" t="n">
        <f aca="false">IF(P$4=0,0,IF(COUNTIFS(実績!$W$6:$W$505,P$3,実績!$AI$6:$AI$505,"&lt;="&amp;$A174,実績!$AJ$6:$AJ$505,"&gt;"&amp;$A174,実績!$AL$6:$AL$505,"○")&gt;0,1,0))</f>
        <v>0</v>
      </c>
      <c r="Q174" s="39" t="n">
        <f aca="false">IF(Q$4=0,0,IF(COUNTIFS(実績!$W$6:$W$505,Q$3,実績!$AI$6:$AI$505,"&lt;="&amp;$A174,実績!$AJ$6:$AJ$505,"&gt;"&amp;$A174,実績!$AL$6:$AL$505,"○")&gt;0,1,0))</f>
        <v>0</v>
      </c>
      <c r="R174" s="39" t="n">
        <f aca="false">IF(R$4=0,0,IF(COUNTIFS(実績!$W$6:$W$505,R$3,実績!$AI$6:$AI$505,"&lt;="&amp;$A174,実績!$AJ$6:$AJ$505,"&gt;"&amp;$A174,実績!$AL$6:$AL$505,"○")&gt;0,1,0))</f>
        <v>0</v>
      </c>
      <c r="S174" s="39" t="n">
        <f aca="false">IF(S$4=0,0,IF(COUNTIFS(実績!$W$6:$W$505,S$3,実績!$AI$6:$AI$505,"&lt;="&amp;$A174,実績!$AJ$6:$AJ$505,"&gt;"&amp;$A174,実績!$AL$6:$AL$505,"○")&gt;0,1,0))</f>
        <v>0</v>
      </c>
      <c r="T174" s="39" t="n">
        <f aca="false">IF(T$4=0,0,IF(COUNTIFS(実績!$W$6:$W$505,T$3,実績!$AI$6:$AI$505,"&lt;="&amp;$A174,実績!$AJ$6:$AJ$505,"&gt;"&amp;$A174,実績!$AL$6:$AL$505,"○")&gt;0,1,0))</f>
        <v>0</v>
      </c>
      <c r="U174" s="39" t="n">
        <f aca="false">IF(U$4=0,0,IF(COUNTIFS(実績!$W$6:$W$505,U$3,実績!$AI$6:$AI$505,"&lt;="&amp;$A174,実績!$AJ$6:$AJ$505,"&gt;"&amp;$A174,実績!$AL$6:$AL$505,"○")&gt;0,1,0))</f>
        <v>0</v>
      </c>
      <c r="V174" s="39" t="n">
        <f aca="false">IF(V$4=0,0,IF(COUNTIFS(実績!$W$6:$W$505,V$3,実績!$AI$6:$AI$505,"&lt;="&amp;$A174,実績!$AJ$6:$AJ$505,"&gt;"&amp;$A174,実績!$AL$6:$AL$505,"○")&gt;0,1,0))</f>
        <v>0</v>
      </c>
      <c r="W174" s="39" t="n">
        <f aca="false">IF(W$4=0,0,IF(COUNTIFS(実績!$W$6:$W$505,W$3,実績!$AI$6:$AI$505,"&lt;="&amp;$A174,実績!$AJ$6:$AJ$505,"&gt;"&amp;$A174,実績!$AL$6:$AL$505,"○")&gt;0,1,0))</f>
        <v>0</v>
      </c>
      <c r="X174" s="39" t="n">
        <f aca="false">IF(X$4=0,0,IF(COUNTIFS(実績!$W$6:$W$505,X$3,実績!$AI$6:$AI$505,"&lt;="&amp;$A174,実績!$AJ$6:$AJ$505,"&gt;"&amp;$A174,実績!$AL$6:$AL$505,"○")&gt;0,1,0))</f>
        <v>0</v>
      </c>
      <c r="Y174" s="39" t="n">
        <f aca="false">IF(Y$4=0,0,IF(COUNTIFS(実績!$W$6:$W$505,Y$3,実績!$AI$6:$AI$505,"&lt;="&amp;$A174,実績!$AJ$6:$AJ$505,"&gt;"&amp;$A174,実績!$AL$6:$AL$505,"○")&gt;0,1,0))</f>
        <v>0</v>
      </c>
      <c r="Z174" s="39" t="n">
        <f aca="false">IF(Z$4=0,0,IF(COUNTIFS(実績!$W$6:$W$505,Z$3,実績!$AI$6:$AI$505,"&lt;="&amp;$A174,実績!$AJ$6:$AJ$505,"&gt;"&amp;$A174,実績!$AL$6:$AL$505,"○")&gt;0,1,0))</f>
        <v>0</v>
      </c>
      <c r="AA174" s="39" t="n">
        <f aca="false">IF(AA$4=0,0,IF(COUNTIFS(実績!$W$6:$W$505,AA$3,実績!$AI$6:$AI$505,"&lt;="&amp;$A174,実績!$AJ$6:$AJ$505,"&gt;"&amp;$A174,実績!$AL$6:$AL$505,"○")&gt;0,1,0))</f>
        <v>0</v>
      </c>
      <c r="AB174" s="39" t="n">
        <f aca="false">IF(AB$4=0,0,IF(COUNTIFS(実績!$W$6:$W$505,AB$3,実績!$AI$6:$AI$505,"&lt;="&amp;$A174,実績!$AJ$6:$AJ$505,"&gt;"&amp;$A174,実績!$AL$6:$AL$505,"○")&gt;0,1,0))</f>
        <v>0</v>
      </c>
      <c r="AC174" s="39" t="n">
        <f aca="false">IF(AC$4=0,0,IF(COUNTIFS(実績!$W$6:$W$505,AC$3,実績!$AI$6:$AI$505,"&lt;="&amp;$A174,実績!$AJ$6:$AJ$505,"&gt;"&amp;$A174,実績!$AL$6:$AL$505,"○")&gt;0,1,0))</f>
        <v>0</v>
      </c>
      <c r="AD174" s="39" t="n">
        <f aca="false">IF(AD$4=0,0,IF(COUNTIFS(実績!$W$6:$W$505,AD$3,実績!$AI$6:$AI$505,"&lt;="&amp;$A174,実績!$AJ$6:$AJ$505,"&gt;"&amp;$A174,実績!$AL$6:$AL$505,"○")&gt;0,1,0))</f>
        <v>0</v>
      </c>
      <c r="AE174" s="39" t="n">
        <f aca="false">IF(AE$4=0,0,IF(COUNTIFS(実績!$W$6:$W$505,AE$3,実績!$AI$6:$AI$505,"&lt;="&amp;$A174,実績!$AJ$6:$AJ$505,"&gt;"&amp;$A174,実績!$AL$6:$AL$505,"○")&gt;0,1,0))</f>
        <v>0</v>
      </c>
      <c r="AF174" s="39" t="n">
        <f aca="false">IF(AF$4=0,0,IF(COUNTIFS(実績!$W$6:$W$505,AF$3,実績!$AI$6:$AI$505,"&lt;="&amp;$A174,実績!$AJ$6:$AJ$505,"&gt;"&amp;$A174,実績!$AL$6:$AL$505,"○")&gt;0,1,0))</f>
        <v>0</v>
      </c>
      <c r="AG174" s="39" t="n">
        <f aca="false">IF(AG$4=0,0,IF(COUNTIFS(実績!$W$6:$W$505,AG$3,実績!$AI$6:$AI$505,"&lt;="&amp;$A174,実績!$AJ$6:$AJ$505,"&gt;"&amp;$A174,実績!$AL$6:$AL$505,"○")&gt;0,1,0))</f>
        <v>0</v>
      </c>
      <c r="AH174" s="39" t="n">
        <f aca="false">IF(AH$4=0,0,IF(COUNTIFS(実績!$W$6:$W$505,AH$3,実績!$AI$6:$AI$505,"&lt;="&amp;$A174,実績!$AJ$6:$AJ$505,"&gt;"&amp;$A174,実績!$AL$6:$AL$505,"○")&gt;0,1,0))</f>
        <v>0</v>
      </c>
      <c r="AI174" s="39" t="n">
        <f aca="false">IF(AI$4=0,0,IF(COUNTIFS(実績!$W$6:$W$505,AI$3,実績!$AI$6:$AI$505,"&lt;="&amp;$A174,実績!$AJ$6:$AJ$505,"&gt;"&amp;$A174,実績!$AL$6:$AL$505,"○")&gt;0,1,0))</f>
        <v>0</v>
      </c>
      <c r="AJ174" s="39" t="n">
        <f aca="false">IF(AJ$4=0,0,IF(COUNTIFS(実績!$W$6:$W$505,AJ$3,実績!$AI$6:$AI$505,"&lt;="&amp;$A174,実績!$AJ$6:$AJ$505,"&gt;"&amp;$A174,実績!$AL$6:$AL$505,"○")&gt;0,1,0))</f>
        <v>0</v>
      </c>
      <c r="AK174" s="39" t="n">
        <f aca="false">IF(AK$4=0,0,IF(COUNTIFS(実績!$W$6:$W$505,AK$3,実績!$AI$6:$AI$505,"&lt;="&amp;$A174,実績!$AJ$6:$AJ$505,"&gt;"&amp;$A174,実績!$AL$6:$AL$505,"○")&gt;0,1,0))</f>
        <v>0</v>
      </c>
      <c r="AL174" s="39" t="n">
        <f aca="false">IF(AL$4=0,0,IF(COUNTIFS(実績!$W$6:$W$505,AL$3,実績!$AI$6:$AI$505,"&lt;="&amp;$A174,実績!$AJ$6:$AJ$505,"&gt;"&amp;$A174,実績!$AL$6:$AL$505,"○")&gt;0,1,0))</f>
        <v>0</v>
      </c>
      <c r="AM174" s="39" t="n">
        <f aca="false">IF(AM$4=0,0,IF(COUNTIFS(実績!$W$6:$W$505,AM$3,実績!$AI$6:$AI$505,"&lt;="&amp;$A174,実績!$AJ$6:$AJ$505,"&gt;"&amp;$A174,実績!$AL$6:$AL$505,"○")&gt;0,1,0))</f>
        <v>0</v>
      </c>
      <c r="AN174" s="39" t="n">
        <f aca="false">IF(AN$4=0,0,IF(COUNTIFS(実績!$W$6:$W$505,AN$3,実績!$AI$6:$AI$505,"&lt;="&amp;$A174,実績!$AJ$6:$AJ$505,"&gt;"&amp;$A174,実績!$AL$6:$AL$505,"○")&gt;0,1,0))</f>
        <v>0</v>
      </c>
      <c r="AO174" s="39" t="n">
        <f aca="false">IF(AO$4=0,0,IF(COUNTIFS(実績!$W$6:$W$505,AO$3,実績!$AI$6:$AI$505,"&lt;="&amp;$A174,実績!$AJ$6:$AJ$505,"&gt;"&amp;$A174,実績!$AL$6:$AL$505,"○")&gt;0,1,0))</f>
        <v>0</v>
      </c>
      <c r="AP174" s="39" t="n">
        <f aca="false">IF(AP$4=0,0,IF(COUNTIFS(実績!$W$6:$W$505,AP$3,実績!$AI$6:$AI$505,"&lt;="&amp;$A174,実績!$AJ$6:$AJ$505,"&gt;"&amp;$A174,実績!$AL$6:$AL$505,"○")&gt;0,1,0))</f>
        <v>0</v>
      </c>
      <c r="AQ174" s="39" t="n">
        <f aca="false">IF(AQ$4=0,0,IF(COUNTIFS(実績!$W$6:$W$505,AQ$3,実績!$AI$6:$AI$505,"&lt;="&amp;$A174,実績!$AJ$6:$AJ$505,"&gt;"&amp;$A174,実績!$AL$6:$AL$505,"○")&gt;0,1,0))</f>
        <v>0</v>
      </c>
      <c r="AR174" s="39" t="n">
        <f aca="false">IF(AR$4=0,0,IF(COUNTIFS(実績!$W$6:$W$505,AR$3,実績!$AI$6:$AI$505,"&lt;="&amp;$A174,実績!$AJ$6:$AJ$505,"&gt;"&amp;$A174,実績!$AL$6:$AL$505,"○")&gt;0,1,0))</f>
        <v>0</v>
      </c>
      <c r="AS174" s="39" t="n">
        <f aca="false">IF(AS$4=0,0,IF(COUNTIFS(実績!$W$6:$W$505,AS$3,実績!$AI$6:$AI$505,"&lt;="&amp;$A174,実績!$AJ$6:$AJ$505,"&gt;"&amp;$A174,実績!$AL$6:$AL$505,"○")&gt;0,1,0))</f>
        <v>0</v>
      </c>
      <c r="AT174" s="39" t="n">
        <f aca="false">IF(AT$4=0,0,IF(COUNTIFS(実績!$W$6:$W$505,AT$3,実績!$AI$6:$AI$505,"&lt;="&amp;$A174,実績!$AJ$6:$AJ$505,"&gt;"&amp;$A174,実績!$AL$6:$AL$505,"○")&gt;0,1,0))</f>
        <v>0</v>
      </c>
      <c r="AU174" s="39" t="n">
        <f aca="false">IF(AU$4=0,0,IF(COUNTIFS(実績!$W$6:$W$505,AU$3,実績!$AI$6:$AI$505,"&lt;="&amp;$A174,実績!$AJ$6:$AJ$505,"&gt;"&amp;$A174,実績!$AL$6:$AL$505,"○")&gt;0,1,0))</f>
        <v>0</v>
      </c>
      <c r="AV174" s="39" t="n">
        <f aca="false">IF(AV$4=0,0,IF(COUNTIFS(実績!$W$6:$W$505,AV$3,実績!$AI$6:$AI$505,"&lt;="&amp;$A174,実績!$AJ$6:$AJ$505,"&gt;"&amp;$A174,実績!$AL$6:$AL$505,"○")&gt;0,1,0))</f>
        <v>0</v>
      </c>
      <c r="AW174" s="39" t="n">
        <f aca="false">IF(AW$4=0,0,IF(COUNTIFS(実績!$W$6:$W$505,AW$3,実績!$AI$6:$AI$505,"&lt;="&amp;$A174,実績!$AJ$6:$AJ$505,"&gt;"&amp;$A174,実績!$AL$6:$AL$505,"○")&gt;0,1,0))</f>
        <v>0</v>
      </c>
      <c r="AX174" s="39" t="n">
        <f aca="false">IF(AX$4=0,0,IF(COUNTIFS(実績!$W$6:$W$505,AX$3,実績!$AI$6:$AI$505,"&lt;="&amp;$A174,実績!$AJ$6:$AJ$505,"&gt;"&amp;$A174,実績!$AL$6:$AL$505,"○")&gt;0,1,0))</f>
        <v>0</v>
      </c>
      <c r="AY174" s="39" t="n">
        <f aca="false">IF(AY$4=0,0,IF(COUNTIFS(実績!$W$6:$W$505,AY$3,実績!$AI$6:$AI$505,"&lt;="&amp;$A174,実績!$AJ$6:$AJ$505,"&gt;"&amp;$A174,実績!$AL$6:$AL$505,"○")&gt;0,1,0))</f>
        <v>0</v>
      </c>
      <c r="AZ174" s="39" t="n">
        <f aca="false">IF(AZ$4=0,0,IF(COUNTIFS(実績!$W$6:$W$505,AZ$3,実績!$AI$6:$AI$505,"&lt;="&amp;$A174,実績!$AJ$6:$AJ$505,"&gt;"&amp;$A174,実績!$AL$6:$AL$505,"○")&gt;0,1,0))</f>
        <v>0</v>
      </c>
      <c r="BA174" s="39" t="n">
        <f aca="false">IF(BA$4=0,0,IF(COUNTIFS(実績!$W$6:$W$505,BA$3,実績!$AI$6:$AI$505,"&lt;="&amp;$A174,実績!$AJ$6:$AJ$505,"&gt;"&amp;$A174,実績!$AL$6:$AL$505,"○")&gt;0,1,0))</f>
        <v>0</v>
      </c>
      <c r="BB174" s="39" t="n">
        <f aca="false">IF(BB$4=0,0,IF(COUNTIFS(実績!$W$6:$W$505,BB$3,実績!$AI$6:$AI$505,"&lt;="&amp;$A174,実績!$AJ$6:$AJ$505,"&gt;"&amp;$A174,実績!$AL$6:$AL$505,"○")&gt;0,1,0))</f>
        <v>0</v>
      </c>
      <c r="BC174" s="39" t="n">
        <f aca="false">IF(BC$4=0,0,IF(COUNTIFS(実績!$W$6:$W$505,BC$3,実績!$AI$6:$AI$505,"&lt;="&amp;$A174,実績!$AJ$6:$AJ$505,"&gt;"&amp;$A174,実績!$AL$6:$AL$505,"○")&gt;0,1,0))</f>
        <v>0</v>
      </c>
      <c r="BD174" s="39" t="n">
        <f aca="false">IF(BD$4=0,0,IF(COUNTIFS(実績!$W$6:$W$505,BD$3,実績!$AI$6:$AI$505,"&lt;="&amp;$A174,実績!$AJ$6:$AJ$505,"&gt;"&amp;$A174,実績!$AL$6:$AL$505,"○")&gt;0,1,0))</f>
        <v>0</v>
      </c>
      <c r="BE174" s="39" t="n">
        <f aca="false">IF(BE$4=0,0,IF(COUNTIFS(実績!$W$6:$W$505,BE$3,実績!$AI$6:$AI$505,"&lt;="&amp;$A174,実績!$AJ$6:$AJ$505,"&gt;"&amp;$A174,実績!$AL$6:$AL$505,"○")&gt;0,1,0))</f>
        <v>0</v>
      </c>
      <c r="BF174" s="39" t="n">
        <f aca="false">IF(BF$4=0,0,IF(COUNTIFS(実績!$W$6:$W$505,BF$3,実績!$AI$6:$AI$505,"&lt;="&amp;$A174,実績!$AJ$6:$AJ$505,"&gt;"&amp;$A174,実績!$AL$6:$AL$505,"○")&gt;0,1,0))</f>
        <v>0</v>
      </c>
      <c r="BG174" s="39" t="n">
        <f aca="false">IF(BG$4=0,0,IF(COUNTIFS(実績!$W$6:$W$505,BG$3,実績!$AI$6:$AI$505,"&lt;="&amp;$A174,実績!$AJ$6:$AJ$505,"&gt;"&amp;$A174,実績!$AL$6:$AL$505,"○")&gt;0,1,0))</f>
        <v>0</v>
      </c>
      <c r="BH174" s="39" t="n">
        <f aca="false">IF(BH$4=0,0,IF(COUNTIFS(実績!$W$6:$W$505,BH$3,実績!$AI$6:$AI$505,"&lt;="&amp;$A174,実績!$AJ$6:$AJ$505,"&gt;"&amp;$A174,実績!$AL$6:$AL$505,"○")&gt;0,1,0))</f>
        <v>0</v>
      </c>
      <c r="BI174" s="39" t="n">
        <f aca="false">IF(BI$4=0,0,IF(COUNTIFS(実績!$W$6:$W$505,BI$3,実績!$AI$6:$AI$505,"&lt;="&amp;$A174,実績!$AJ$6:$AJ$505,"&gt;"&amp;$A174,実績!$AL$6:$AL$505,"○")&gt;0,1,0))</f>
        <v>0</v>
      </c>
      <c r="BJ174" s="39" t="n">
        <f aca="false">IF(BJ$4=0,0,IF(COUNTIFS(実績!$W$6:$W$505,BJ$3,実績!$AI$6:$AI$505,"&lt;="&amp;$A174,実績!$AJ$6:$AJ$505,"&gt;"&amp;$A174,実績!$AL$6:$AL$505,"○")&gt;0,1,0))</f>
        <v>0</v>
      </c>
      <c r="BK174" s="39" t="n">
        <f aca="false">IF(BK$4=0,0,IF(COUNTIFS(実績!$W$6:$W$505,BK$3,実績!$AI$6:$AI$505,"&lt;="&amp;$A174,実績!$AJ$6:$AJ$505,"&gt;"&amp;$A174,実績!$AL$6:$AL$505,"○")&gt;0,1,0))</f>
        <v>0</v>
      </c>
      <c r="BL174" s="39" t="n">
        <f aca="false">IF(BL$4=0,0,IF(COUNTIFS(実績!$W$6:$W$505,BL$3,実績!$AI$6:$AI$505,"&lt;="&amp;$A174,実績!$AJ$6:$AJ$505,"&gt;"&amp;$A174,実績!$AL$6:$AL$505,"○")&gt;0,1,0))</f>
        <v>0</v>
      </c>
      <c r="BM174" s="39" t="n">
        <f aca="false">IF(BM$4=0,0,IF(COUNTIFS(実績!$W$6:$W$505,BM$3,実績!$AI$6:$AI$505,"&lt;="&amp;$A174,実績!$AJ$6:$AJ$505,"&gt;"&amp;$A174,実績!$AL$6:$AL$505,"○")&gt;0,1,0))</f>
        <v>0</v>
      </c>
      <c r="BN174" s="39" t="n">
        <f aca="false">IF(BN$4=0,0,IF(COUNTIFS(実績!$W$6:$W$505,BN$3,実績!$AI$6:$AI$505,"&lt;="&amp;$A174,実績!$AJ$6:$AJ$505,"&gt;"&amp;$A174,実績!$AL$6:$AL$505,"○")&gt;0,1,0))</f>
        <v>0</v>
      </c>
      <c r="BO174" s="39" t="n">
        <f aca="false">IF(BO$4=0,0,IF(COUNTIFS(実績!$W$6:$W$505,BO$3,実績!$AI$6:$AI$505,"&lt;="&amp;$A174,実績!$AJ$6:$AJ$505,"&gt;"&amp;$A174,実績!$AL$6:$AL$505,"○")&gt;0,1,0))</f>
        <v>0</v>
      </c>
      <c r="BP174" s="39" t="n">
        <f aca="false">IF(BP$4=0,0,IF(COUNTIFS(実績!$W$6:$W$505,BP$3,実績!$AI$6:$AI$505,"&lt;="&amp;$A174,実績!$AJ$6:$AJ$505,"&gt;"&amp;$A174,実績!$AL$6:$AL$505,"○")&gt;0,1,0))</f>
        <v>0</v>
      </c>
      <c r="BQ174" s="39" t="n">
        <f aca="false">IF(BQ$4=0,0,IF(COUNTIFS(実績!$W$6:$W$505,BQ$3,実績!$AI$6:$AI$505,"&lt;="&amp;$A174,実績!$AJ$6:$AJ$505,"&gt;"&amp;$A174,実績!$AL$6:$AL$505,"○")&gt;0,1,0))</f>
        <v>0</v>
      </c>
      <c r="BR174" s="39" t="n">
        <f aca="false">IF(BR$4=0,0,IF(COUNTIFS(実績!$W$6:$W$505,BR$3,実績!$AI$6:$AI$505,"&lt;="&amp;$A174,実績!$AJ$6:$AJ$505,"&gt;"&amp;$A174,実績!$AL$6:$AL$505,"○")&gt;0,1,0))</f>
        <v>0</v>
      </c>
      <c r="BS174" s="39" t="n">
        <f aca="false">IF(BS$4=0,0,IF(COUNTIFS(実績!$W$6:$W$505,BS$3,実績!$AI$6:$AI$505,"&lt;="&amp;$A174,実績!$AJ$6:$AJ$505,"&gt;"&amp;$A174,実績!$AL$6:$AL$505,"○")&gt;0,1,0))</f>
        <v>0</v>
      </c>
      <c r="BT174" s="39" t="n">
        <f aca="false">IF(BT$4=0,0,IF(COUNTIFS(実績!$W$6:$W$505,BT$3,実績!$AI$6:$AI$505,"&lt;="&amp;$A174,実績!$AJ$6:$AJ$505,"&gt;"&amp;$A174,実績!$AL$6:$AL$505,"○")&gt;0,1,0))</f>
        <v>0</v>
      </c>
      <c r="BU174" s="39" t="n">
        <f aca="false">IF(BU$4=0,0,IF(COUNTIFS(実績!$W$6:$W$505,BU$3,実績!$AI$6:$AI$505,"&lt;="&amp;$A174,実績!$AJ$6:$AJ$505,"&gt;"&amp;$A174,実績!$AL$6:$AL$505,"○")&gt;0,1,0))</f>
        <v>0</v>
      </c>
      <c r="BV174" s="39" t="n">
        <f aca="false">IF(BV$4=0,0,IF(COUNTIFS(実績!$W$6:$W$505,BV$3,実績!$AI$6:$AI$505,"&lt;="&amp;$A174,実績!$AJ$6:$AJ$505,"&gt;"&amp;$A174,実績!$AL$6:$AL$505,"○")&gt;0,1,0))</f>
        <v>0</v>
      </c>
      <c r="BW174" s="39" t="n">
        <f aca="false">IF(BW$4=0,0,IF(COUNTIFS(実績!$W$6:$W$505,BW$3,実績!$AI$6:$AI$505,"&lt;="&amp;$A174,実績!$AJ$6:$AJ$505,"&gt;"&amp;$A174,実績!$AL$6:$AL$505,"○")&gt;0,1,0))</f>
        <v>0</v>
      </c>
      <c r="BX174" s="39" t="n">
        <f aca="false">IF(BX$4=0,0,IF(COUNTIFS(実績!$W$6:$W$505,BX$3,実績!$AI$6:$AI$505,"&lt;="&amp;$A174,実績!$AJ$6:$AJ$505,"&gt;"&amp;$A174,実績!$AL$6:$AL$505,"○")&gt;0,1,0))</f>
        <v>0</v>
      </c>
      <c r="BY174" s="39" t="n">
        <f aca="false">IF(BY$4=0,0,IF(COUNTIFS(実績!$W$6:$W$505,BY$3,実績!$AI$6:$AI$505,"&lt;="&amp;$A174,実績!$AJ$6:$AJ$505,"&gt;"&amp;$A174,実績!$AL$6:$AL$505,"○")&gt;0,1,0))</f>
        <v>0</v>
      </c>
      <c r="BZ174" s="39" t="n">
        <f aca="false">IF(BZ$4=0,0,IF(COUNTIFS(実績!$W$6:$W$505,BZ$3,実績!$AI$6:$AI$505,"&lt;="&amp;$A174,実績!$AJ$6:$AJ$505,"&gt;"&amp;$A174,実績!$AL$6:$AL$505,"○")&gt;0,1,0))</f>
        <v>0</v>
      </c>
      <c r="CA174" s="39" t="n">
        <f aca="false">IF(CA$4=0,0,IF(COUNTIFS(実績!$W$6:$W$505,CA$3,実績!$AI$6:$AI$505,"&lt;="&amp;$A174,実績!$AJ$6:$AJ$505,"&gt;"&amp;$A174,実績!$AL$6:$AL$505,"○")&gt;0,1,0))</f>
        <v>0</v>
      </c>
      <c r="CB174" s="39" t="n">
        <f aca="false">IF(CB$4=0,0,IF(COUNTIFS(実績!$W$6:$W$505,CB$3,実績!$AI$6:$AI$505,"&lt;="&amp;$A174,実績!$AJ$6:$AJ$505,"&gt;"&amp;$A174,実績!$AL$6:$AL$505,"○")&gt;0,1,0))</f>
        <v>0</v>
      </c>
      <c r="CC174" s="39" t="n">
        <f aca="false">IF(CC$4=0,0,IF(COUNTIFS(実績!$W$6:$W$505,CC$3,実績!$AI$6:$AI$505,"&lt;="&amp;$A174,実績!$AJ$6:$AJ$505,"&gt;"&amp;$A174,実績!$AL$6:$AL$505,"○")&gt;0,1,0))</f>
        <v>0</v>
      </c>
      <c r="CD174" s="39" t="n">
        <f aca="false">IF(CD$4=0,0,IF(COUNTIFS(実績!$W$6:$W$505,CD$3,実績!$AI$6:$AI$505,"&lt;="&amp;$A174,実績!$AJ$6:$AJ$505,"&gt;"&amp;$A174,実績!$AL$6:$AL$505,"○")&gt;0,1,0))</f>
        <v>0</v>
      </c>
      <c r="CE174" s="39" t="n">
        <f aca="false">IF(CE$4=0,0,IF(COUNTIFS(実績!$W$6:$W$505,CE$3,実績!$AI$6:$AI$505,"&lt;="&amp;$A174,実績!$AJ$6:$AJ$505,"&gt;"&amp;$A174,実績!$AL$6:$AL$505,"○")&gt;0,1,0))</f>
        <v>0</v>
      </c>
      <c r="CF174" s="39" t="n">
        <f aca="false">IF(CF$4=0,0,IF(COUNTIFS(実績!$W$6:$W$505,CF$3,実績!$AI$6:$AI$505,"&lt;="&amp;$A174,実績!$AJ$6:$AJ$505,"&gt;"&amp;$A174,実績!$AL$6:$AL$505,"○")&gt;0,1,0))</f>
        <v>0</v>
      </c>
      <c r="CG174" s="39" t="n">
        <f aca="false">IF(CG$4=0,0,IF(COUNTIFS(実績!$W$6:$W$505,CG$3,実績!$AI$6:$AI$505,"&lt;="&amp;$A174,実績!$AJ$6:$AJ$505,"&gt;"&amp;$A174,実績!$AL$6:$AL$505,"○")&gt;0,1,0))</f>
        <v>0</v>
      </c>
      <c r="CH174" s="39" t="n">
        <f aca="false">IF(CH$4=0,0,IF(COUNTIFS(実績!$W$6:$W$505,CH$3,実績!$AI$6:$AI$505,"&lt;="&amp;$A174,実績!$AJ$6:$AJ$505,"&gt;"&amp;$A174,実績!$AL$6:$AL$505,"○")&gt;0,1,0))</f>
        <v>0</v>
      </c>
      <c r="CI174" s="39" t="n">
        <f aca="false">IF(CI$4=0,0,IF(COUNTIFS(実績!$W$6:$W$505,CI$3,実績!$AI$6:$AI$505,"&lt;="&amp;$A174,実績!$AJ$6:$AJ$505,"&gt;"&amp;$A174,実績!$AL$6:$AL$505,"○")&gt;0,1,0))</f>
        <v>0</v>
      </c>
      <c r="CJ174" s="39" t="n">
        <f aca="false">IF(CJ$4=0,0,IF(COUNTIFS(実績!$W$6:$W$505,CJ$3,実績!$AI$6:$AI$505,"&lt;="&amp;$A174,実績!$AJ$6:$AJ$505,"&gt;"&amp;$A174,実績!$AL$6:$AL$505,"○")&gt;0,1,0))</f>
        <v>0</v>
      </c>
      <c r="CK174" s="39" t="n">
        <f aca="false">IF(CK$4=0,0,IF(COUNTIFS(実績!$W$6:$W$505,CK$3,実績!$AI$6:$AI$505,"&lt;="&amp;$A174,実績!$AJ$6:$AJ$505,"&gt;"&amp;$A174,実績!$AL$6:$AL$505,"○")&gt;0,1,0))</f>
        <v>0</v>
      </c>
      <c r="CL174" s="39" t="n">
        <f aca="false">IF(CL$4=0,0,IF(COUNTIFS(実績!$W$6:$W$505,CL$3,実績!$AI$6:$AI$505,"&lt;="&amp;$A174,実績!$AJ$6:$AJ$505,"&gt;"&amp;$A174,実績!$AL$6:$AL$505,"○")&gt;0,1,0))</f>
        <v>0</v>
      </c>
      <c r="CM174" s="39" t="n">
        <f aca="false">IF(CM$4=0,0,IF(COUNTIFS(実績!$W$6:$W$505,CM$3,実績!$AI$6:$AI$505,"&lt;="&amp;$A174,実績!$AJ$6:$AJ$505,"&gt;"&amp;$A174,実績!$AL$6:$AL$505,"○")&gt;0,1,0))</f>
        <v>0</v>
      </c>
      <c r="CN174" s="39" t="n">
        <f aca="false">IF(CN$4=0,0,IF(COUNTIFS(実績!$W$6:$W$505,CN$3,実績!$AI$6:$AI$505,"&lt;="&amp;$A174,実績!$AJ$6:$AJ$505,"&gt;"&amp;$A174,実績!$AL$6:$AL$505,"○")&gt;0,1,0))</f>
        <v>0</v>
      </c>
      <c r="CO174" s="39" t="n">
        <f aca="false">IF(CO$4=0,0,IF(COUNTIFS(実績!$W$6:$W$505,CO$3,実績!$AI$6:$AI$505,"&lt;="&amp;$A174,実績!$AJ$6:$AJ$505,"&gt;"&amp;$A174,実績!$AL$6:$AL$505,"○")&gt;0,1,0))</f>
        <v>0</v>
      </c>
      <c r="CP174" s="39" t="n">
        <f aca="false">IF(CP$4=0,0,IF(COUNTIFS(実績!$W$6:$W$505,CP$3,実績!$AI$6:$AI$505,"&lt;="&amp;$A174,実績!$AJ$6:$AJ$505,"&gt;"&amp;$A174,実績!$AL$6:$AL$505,"○")&gt;0,1,0))</f>
        <v>0</v>
      </c>
      <c r="CQ174" s="39" t="n">
        <f aca="false">IF(CQ$4=0,0,IF(COUNTIFS(実績!$W$6:$W$505,CQ$3,実績!$AI$6:$AI$505,"&lt;="&amp;$A174,実績!$AJ$6:$AJ$505,"&gt;"&amp;$A174,実績!$AL$6:$AL$505,"○")&gt;0,1,0))</f>
        <v>0</v>
      </c>
      <c r="CR174" s="39" t="n">
        <f aca="false">IF(CR$4=0,0,IF(COUNTIFS(実績!$W$6:$W$505,CR$3,実績!$AI$6:$AI$505,"&lt;="&amp;$A174,実績!$AJ$6:$AJ$505,"&gt;"&amp;$A174,実績!$AL$6:$AL$505,"○")&gt;0,1,0))</f>
        <v>0</v>
      </c>
      <c r="CS174" s="39" t="n">
        <f aca="false">IF(CS$4=0,0,IF(COUNTIFS(実績!$W$6:$W$505,CS$3,実績!$AI$6:$AI$505,"&lt;="&amp;$A174,実績!$AJ$6:$AJ$505,"&gt;"&amp;$A174,実績!$AL$6:$AL$505,"○")&gt;0,1,0))</f>
        <v>0</v>
      </c>
      <c r="CT174" s="39" t="n">
        <f aca="false">IF(CT$4=0,0,IF(COUNTIFS(実績!$W$6:$W$505,CT$3,実績!$AI$6:$AI$505,"&lt;="&amp;$A174,実績!$AJ$6:$AJ$505,"&gt;"&amp;$A174,実績!$AL$6:$AL$505,"○")&gt;0,1,0))</f>
        <v>0</v>
      </c>
      <c r="CU174" s="39" t="n">
        <f aca="false">IF(CU$4=0,0,IF(COUNTIFS(実績!$W$6:$W$505,CU$3,実績!$AI$6:$AI$505,"&lt;="&amp;$A174,実績!$AJ$6:$AJ$505,"&gt;"&amp;$A174,実績!$AL$6:$AL$505,"○")&gt;0,1,0))</f>
        <v>0</v>
      </c>
      <c r="CV174" s="39" t="n">
        <f aca="false">IF(CV$4=0,0,IF(COUNTIFS(実績!$W$6:$W$505,CV$3,実績!$AI$6:$AI$505,"&lt;="&amp;$A174,実績!$AJ$6:$AJ$505,"&gt;"&amp;$A174,実績!$AL$6:$AL$505,"○")&gt;0,1,0))</f>
        <v>0</v>
      </c>
      <c r="CW174" s="39" t="n">
        <f aca="false">IF(CW$4=0,0,IF(COUNTIFS(実績!$W$6:$W$505,CW$3,実績!$AI$6:$AI$505,"&lt;="&amp;$A174,実績!$AJ$6:$AJ$505,"&gt;"&amp;$A174,実績!$AL$6:$AL$505,"○")&gt;0,1,0))</f>
        <v>0</v>
      </c>
      <c r="CX174" s="39" t="n">
        <f aca="false">IF(CX$4=0,0,IF(COUNTIFS(実績!$W$6:$W$505,CX$3,実績!$AI$6:$AI$505,"&lt;="&amp;$A174,実績!$AJ$6:$AJ$505,"&gt;"&amp;$A174,実績!$AL$6:$AL$505,"○")&gt;0,1,0))</f>
        <v>0</v>
      </c>
      <c r="CY174" s="39" t="n">
        <f aca="false">IF(CY$4=0,0,IF(COUNTIFS(実績!$W$6:$W$505,CY$3,実績!$AI$6:$AI$505,"&lt;="&amp;$A174,実績!$AJ$6:$AJ$505,"&gt;"&amp;$A174,実績!$AL$6:$AL$505,"○")&gt;0,1,0))</f>
        <v>0</v>
      </c>
      <c r="CZ174" s="39" t="n">
        <f aca="false">IF(CZ$4=0,0,IF(COUNTIFS(実績!$W$6:$W$505,CZ$3,実績!$AI$6:$AI$505,"&lt;="&amp;$A174,実績!$AJ$6:$AJ$505,"&gt;"&amp;$A174,実績!$AL$6:$AL$505,"○")&gt;0,1,0))</f>
        <v>0</v>
      </c>
      <c r="DA174" s="39" t="n">
        <f aca="false">IF(DA$4=0,0,IF(COUNTIFS(実績!$W$6:$W$505,DA$3,実績!$AI$6:$AI$505,"&lt;="&amp;$A174,実績!$AJ$6:$AJ$505,"&gt;"&amp;$A174,実績!$AL$6:$AL$505,"○")&gt;0,1,0))</f>
        <v>0</v>
      </c>
      <c r="DB174" s="39" t="n">
        <f aca="false">IF(DB$4=0,0,IF(COUNTIFS(実績!$W$6:$W$505,DB$3,実績!$AI$6:$AI$505,"&lt;="&amp;$A174,実績!$AJ$6:$AJ$505,"&gt;"&amp;$A174,実績!$AL$6:$AL$505,"○")&gt;0,1,0))</f>
        <v>0</v>
      </c>
      <c r="DC174" s="39" t="n">
        <f aca="false">IF(DC$4=0,0,IF(COUNTIFS(実績!$W$6:$W$505,DC$3,実績!$AI$6:$AI$505,"&lt;="&amp;$A174,実績!$AJ$6:$AJ$505,"&gt;"&amp;$A174,実績!$AL$6:$AL$505,"○")&gt;0,1,0))</f>
        <v>0</v>
      </c>
      <c r="DD174" s="39" t="n">
        <f aca="false">IF(DD$4=0,0,IF(COUNTIFS(実績!$W$6:$W$505,DD$3,実績!$AI$6:$AI$505,"&lt;="&amp;$A174,実績!$AJ$6:$AJ$505,"&gt;"&amp;$A174,実績!$AL$6:$AL$505,"○")&gt;0,1,0))</f>
        <v>0</v>
      </c>
      <c r="DE174" s="39" t="n">
        <f aca="false">IF(DE$4=0,0,IF(COUNTIFS(実績!$W$6:$W$505,DE$3,実績!$AI$6:$AI$505,"&lt;="&amp;$A174,実績!$AJ$6:$AJ$505,"&gt;"&amp;$A174,実績!$AL$6:$AL$505,"○")&gt;0,1,0))</f>
        <v>0</v>
      </c>
      <c r="DF174" s="39" t="n">
        <f aca="false">IF(DF$4=0,0,IF(COUNTIFS(実績!$W$6:$W$505,DF$3,実績!$AI$6:$AI$505,"&lt;="&amp;$A174,実績!$AJ$6:$AJ$505,"&gt;"&amp;$A174,実績!$AL$6:$AL$505,"○")&gt;0,1,0))</f>
        <v>0</v>
      </c>
      <c r="DG174" s="39" t="n">
        <f aca="false">IF(DG$4=0,0,IF(COUNTIFS(実績!$W$6:$W$505,DG$3,実績!$AI$6:$AI$505,"&lt;="&amp;$A174,実績!$AJ$6:$AJ$505,"&gt;"&amp;$A174,実績!$AL$6:$AL$505,"○")&gt;0,1,0))</f>
        <v>0</v>
      </c>
      <c r="DH174" s="39" t="n">
        <f aca="false">IF(DH$4=0,0,IF(COUNTIFS(実績!$W$6:$W$505,DH$3,実績!$AI$6:$AI$505,"&lt;="&amp;$A174,実績!$AJ$6:$AJ$505,"&gt;"&amp;$A174,実績!$AL$6:$AL$505,"○")&gt;0,1,0))</f>
        <v>0</v>
      </c>
      <c r="DI174" s="39" t="n">
        <f aca="false">IF(DI$4=0,0,IF(COUNTIFS(実績!$W$6:$W$505,DI$3,実績!$AI$6:$AI$505,"&lt;="&amp;$A174,実績!$AJ$6:$AJ$505,"&gt;"&amp;$A174,実績!$AL$6:$AL$505,"○")&gt;0,1,0))</f>
        <v>0</v>
      </c>
      <c r="DJ174" s="39" t="n">
        <f aca="false">IF(DJ$4=0,0,IF(COUNTIFS(実績!$W$6:$W$505,DJ$3,実績!$AI$6:$AI$505,"&lt;="&amp;$A174,実績!$AJ$6:$AJ$505,"&gt;"&amp;$A174,実績!$AL$6:$AL$505,"○")&gt;0,1,0))</f>
        <v>0</v>
      </c>
      <c r="DK174" s="39" t="n">
        <f aca="false">IF(DK$4=0,0,IF(COUNTIFS(実績!$W$6:$W$505,DK$3,実績!$AI$6:$AI$505,"&lt;="&amp;$A174,実績!$AJ$6:$AJ$505,"&gt;"&amp;$A174,実績!$AL$6:$AL$505,"○")&gt;0,1,0))</f>
        <v>0</v>
      </c>
      <c r="DL174" s="39" t="n">
        <f aca="false">IF(DL$4=0,0,IF(COUNTIFS(実績!$W$6:$W$505,DL$3,実績!$AI$6:$AI$505,"&lt;="&amp;$A174,実績!$AJ$6:$AJ$505,"&gt;"&amp;$A174,実績!$AL$6:$AL$505,"○")&gt;0,1,0))</f>
        <v>0</v>
      </c>
      <c r="DM174" s="39" t="n">
        <f aca="false">IF(DM$4=0,0,IF(COUNTIFS(実績!$W$6:$W$505,DM$3,実績!$AI$6:$AI$505,"&lt;="&amp;$A174,実績!$AJ$6:$AJ$505,"&gt;"&amp;$A174,実績!$AL$6:$AL$505,"○")&gt;0,1,0))</f>
        <v>0</v>
      </c>
      <c r="DN174" s="39" t="n">
        <f aca="false">IF(DN$4=0,0,IF(COUNTIFS(実績!$W$6:$W$505,DN$3,実績!$AI$6:$AI$505,"&lt;="&amp;$A174,実績!$AJ$6:$AJ$505,"&gt;"&amp;$A174,実績!$AL$6:$AL$505,"○")&gt;0,1,0))</f>
        <v>0</v>
      </c>
      <c r="DO174" s="39" t="n">
        <f aca="false">IF(DO$4=0,0,IF(COUNTIFS(実績!$W$6:$W$505,DO$3,実績!$AI$6:$AI$505,"&lt;="&amp;$A174,実績!$AJ$6:$AJ$505,"&gt;"&amp;$A174,実績!$AL$6:$AL$505,"○")&gt;0,1,0))</f>
        <v>0</v>
      </c>
      <c r="DP174" s="39" t="n">
        <f aca="false">IF(DP$4=0,0,IF(COUNTIFS(実績!$W$6:$W$505,DP$3,実績!$AI$6:$AI$505,"&lt;="&amp;$A174,実績!$AJ$6:$AJ$505,"&gt;"&amp;$A174,実績!$AL$6:$AL$505,"○")&gt;0,1,0))</f>
        <v>0</v>
      </c>
      <c r="DQ174" s="39" t="n">
        <f aca="false">IF(DQ$4=0,0,IF(COUNTIFS(実績!$W$6:$W$505,DQ$3,実績!$AI$6:$AI$505,"&lt;="&amp;$A174,実績!$AJ$6:$AJ$505,"&gt;"&amp;$A174,実績!$AL$6:$AL$505,"○")&gt;0,1,0))</f>
        <v>0</v>
      </c>
      <c r="DR174" s="39" t="n">
        <f aca="false">IF(DR$4=0,0,IF(COUNTIFS(実績!$W$6:$W$505,DR$3,実績!$AI$6:$AI$505,"&lt;="&amp;$A174,実績!$AJ$6:$AJ$505,"&gt;"&amp;$A174,実績!$AL$6:$AL$505,"○")&gt;0,1,0))</f>
        <v>0</v>
      </c>
      <c r="DS174" s="39" t="n">
        <f aca="false">SUM(C174:DR174)</f>
        <v>0</v>
      </c>
    </row>
    <row r="175" customFormat="false" ht="15" hidden="false" customHeight="false" outlineLevel="0" collapsed="false">
      <c r="A175" s="0" t="n">
        <v>845</v>
      </c>
      <c r="B175" s="38" t="n">
        <f aca="false">A175/1440</f>
        <v>0.586805555555556</v>
      </c>
      <c r="C175" s="39" t="n">
        <f aca="false">IF(C$4=0,0,IF(COUNTIFS(実績!$W$6:$W$505,C$3,実績!$AI$6:$AI$505,"&lt;="&amp;$A175,実績!$AJ$6:$AJ$505,"&gt;"&amp;$A175,実績!$AL$6:$AL$505,"○")&gt;0,1,0))</f>
        <v>0</v>
      </c>
      <c r="D175" s="39" t="n">
        <f aca="false">IF(D$4=0,0,IF(COUNTIFS(実績!$W$6:$W$505,D$3,実績!$AI$6:$AI$505,"&lt;="&amp;$A175,実績!$AJ$6:$AJ$505,"&gt;"&amp;$A175,実績!$AL$6:$AL$505,"○")&gt;0,1,0))</f>
        <v>0</v>
      </c>
      <c r="E175" s="39" t="n">
        <f aca="false">IF(E$4=0,0,IF(COUNTIFS(実績!$W$6:$W$505,E$3,実績!$AI$6:$AI$505,"&lt;="&amp;$A175,実績!$AJ$6:$AJ$505,"&gt;"&amp;$A175,実績!$AL$6:$AL$505,"○")&gt;0,1,0))</f>
        <v>0</v>
      </c>
      <c r="F175" s="39" t="n">
        <f aca="false">IF(F$4=0,0,IF(COUNTIFS(実績!$W$6:$W$505,F$3,実績!$AI$6:$AI$505,"&lt;="&amp;$A175,実績!$AJ$6:$AJ$505,"&gt;"&amp;$A175,実績!$AL$6:$AL$505,"○")&gt;0,1,0))</f>
        <v>0</v>
      </c>
      <c r="G175" s="39" t="n">
        <f aca="false">IF(G$4=0,0,IF(COUNTIFS(実績!$W$6:$W$505,G$3,実績!$AI$6:$AI$505,"&lt;="&amp;$A175,実績!$AJ$6:$AJ$505,"&gt;"&amp;$A175,実績!$AL$6:$AL$505,"○")&gt;0,1,0))</f>
        <v>0</v>
      </c>
      <c r="H175" s="39" t="n">
        <f aca="false">IF(H$4=0,0,IF(COUNTIFS(実績!$W$6:$W$505,H$3,実績!$AI$6:$AI$505,"&lt;="&amp;$A175,実績!$AJ$6:$AJ$505,"&gt;"&amp;$A175,実績!$AL$6:$AL$505,"○")&gt;0,1,0))</f>
        <v>0</v>
      </c>
      <c r="I175" s="39" t="n">
        <f aca="false">IF(I$4=0,0,IF(COUNTIFS(実績!$W$6:$W$505,I$3,実績!$AI$6:$AI$505,"&lt;="&amp;$A175,実績!$AJ$6:$AJ$505,"&gt;"&amp;$A175,実績!$AL$6:$AL$505,"○")&gt;0,1,0))</f>
        <v>0</v>
      </c>
      <c r="J175" s="39" t="n">
        <f aca="false">IF(J$4=0,0,IF(COUNTIFS(実績!$W$6:$W$505,J$3,実績!$AI$6:$AI$505,"&lt;="&amp;$A175,実績!$AJ$6:$AJ$505,"&gt;"&amp;$A175,実績!$AL$6:$AL$505,"○")&gt;0,1,0))</f>
        <v>0</v>
      </c>
      <c r="K175" s="39" t="n">
        <f aca="false">IF(K$4=0,0,IF(COUNTIFS(実績!$W$6:$W$505,K$3,実績!$AI$6:$AI$505,"&lt;="&amp;$A175,実績!$AJ$6:$AJ$505,"&gt;"&amp;$A175,実績!$AL$6:$AL$505,"○")&gt;0,1,0))</f>
        <v>0</v>
      </c>
      <c r="L175" s="39" t="n">
        <f aca="false">IF(L$4=0,0,IF(COUNTIFS(実績!$W$6:$W$505,L$3,実績!$AI$6:$AI$505,"&lt;="&amp;$A175,実績!$AJ$6:$AJ$505,"&gt;"&amp;$A175,実績!$AL$6:$AL$505,"○")&gt;0,1,0))</f>
        <v>0</v>
      </c>
      <c r="M175" s="39" t="n">
        <f aca="false">IF(M$4=0,0,IF(COUNTIFS(実績!$W$6:$W$505,M$3,実績!$AI$6:$AI$505,"&lt;="&amp;$A175,実績!$AJ$6:$AJ$505,"&gt;"&amp;$A175,実績!$AL$6:$AL$505,"○")&gt;0,1,0))</f>
        <v>0</v>
      </c>
      <c r="N175" s="39" t="n">
        <f aca="false">IF(N$4=0,0,IF(COUNTIFS(実績!$W$6:$W$505,N$3,実績!$AI$6:$AI$505,"&lt;="&amp;$A175,実績!$AJ$6:$AJ$505,"&gt;"&amp;$A175,実績!$AL$6:$AL$505,"○")&gt;0,1,0))</f>
        <v>0</v>
      </c>
      <c r="O175" s="39" t="n">
        <f aca="false">IF(O$4=0,0,IF(COUNTIFS(実績!$W$6:$W$505,O$3,実績!$AI$6:$AI$505,"&lt;="&amp;$A175,実績!$AJ$6:$AJ$505,"&gt;"&amp;$A175,実績!$AL$6:$AL$505,"○")&gt;0,1,0))</f>
        <v>0</v>
      </c>
      <c r="P175" s="39" t="n">
        <f aca="false">IF(P$4=0,0,IF(COUNTIFS(実績!$W$6:$W$505,P$3,実績!$AI$6:$AI$505,"&lt;="&amp;$A175,実績!$AJ$6:$AJ$505,"&gt;"&amp;$A175,実績!$AL$6:$AL$505,"○")&gt;0,1,0))</f>
        <v>0</v>
      </c>
      <c r="Q175" s="39" t="n">
        <f aca="false">IF(Q$4=0,0,IF(COUNTIFS(実績!$W$6:$W$505,Q$3,実績!$AI$6:$AI$505,"&lt;="&amp;$A175,実績!$AJ$6:$AJ$505,"&gt;"&amp;$A175,実績!$AL$6:$AL$505,"○")&gt;0,1,0))</f>
        <v>0</v>
      </c>
      <c r="R175" s="39" t="n">
        <f aca="false">IF(R$4=0,0,IF(COUNTIFS(実績!$W$6:$W$505,R$3,実績!$AI$6:$AI$505,"&lt;="&amp;$A175,実績!$AJ$6:$AJ$505,"&gt;"&amp;$A175,実績!$AL$6:$AL$505,"○")&gt;0,1,0))</f>
        <v>0</v>
      </c>
      <c r="S175" s="39" t="n">
        <f aca="false">IF(S$4=0,0,IF(COUNTIFS(実績!$W$6:$W$505,S$3,実績!$AI$6:$AI$505,"&lt;="&amp;$A175,実績!$AJ$6:$AJ$505,"&gt;"&amp;$A175,実績!$AL$6:$AL$505,"○")&gt;0,1,0))</f>
        <v>0</v>
      </c>
      <c r="T175" s="39" t="n">
        <f aca="false">IF(T$4=0,0,IF(COUNTIFS(実績!$W$6:$W$505,T$3,実績!$AI$6:$AI$505,"&lt;="&amp;$A175,実績!$AJ$6:$AJ$505,"&gt;"&amp;$A175,実績!$AL$6:$AL$505,"○")&gt;0,1,0))</f>
        <v>0</v>
      </c>
      <c r="U175" s="39" t="n">
        <f aca="false">IF(U$4=0,0,IF(COUNTIFS(実績!$W$6:$W$505,U$3,実績!$AI$6:$AI$505,"&lt;="&amp;$A175,実績!$AJ$6:$AJ$505,"&gt;"&amp;$A175,実績!$AL$6:$AL$505,"○")&gt;0,1,0))</f>
        <v>0</v>
      </c>
      <c r="V175" s="39" t="n">
        <f aca="false">IF(V$4=0,0,IF(COUNTIFS(実績!$W$6:$W$505,V$3,実績!$AI$6:$AI$505,"&lt;="&amp;$A175,実績!$AJ$6:$AJ$505,"&gt;"&amp;$A175,実績!$AL$6:$AL$505,"○")&gt;0,1,0))</f>
        <v>0</v>
      </c>
      <c r="W175" s="39" t="n">
        <f aca="false">IF(W$4=0,0,IF(COUNTIFS(実績!$W$6:$W$505,W$3,実績!$AI$6:$AI$505,"&lt;="&amp;$A175,実績!$AJ$6:$AJ$505,"&gt;"&amp;$A175,実績!$AL$6:$AL$505,"○")&gt;0,1,0))</f>
        <v>0</v>
      </c>
      <c r="X175" s="39" t="n">
        <f aca="false">IF(X$4=0,0,IF(COUNTIFS(実績!$W$6:$W$505,X$3,実績!$AI$6:$AI$505,"&lt;="&amp;$A175,実績!$AJ$6:$AJ$505,"&gt;"&amp;$A175,実績!$AL$6:$AL$505,"○")&gt;0,1,0))</f>
        <v>0</v>
      </c>
      <c r="Y175" s="39" t="n">
        <f aca="false">IF(Y$4=0,0,IF(COUNTIFS(実績!$W$6:$W$505,Y$3,実績!$AI$6:$AI$505,"&lt;="&amp;$A175,実績!$AJ$6:$AJ$505,"&gt;"&amp;$A175,実績!$AL$6:$AL$505,"○")&gt;0,1,0))</f>
        <v>0</v>
      </c>
      <c r="Z175" s="39" t="n">
        <f aca="false">IF(Z$4=0,0,IF(COUNTIFS(実績!$W$6:$W$505,Z$3,実績!$AI$6:$AI$505,"&lt;="&amp;$A175,実績!$AJ$6:$AJ$505,"&gt;"&amp;$A175,実績!$AL$6:$AL$505,"○")&gt;0,1,0))</f>
        <v>0</v>
      </c>
      <c r="AA175" s="39" t="n">
        <f aca="false">IF(AA$4=0,0,IF(COUNTIFS(実績!$W$6:$W$505,AA$3,実績!$AI$6:$AI$505,"&lt;="&amp;$A175,実績!$AJ$6:$AJ$505,"&gt;"&amp;$A175,実績!$AL$6:$AL$505,"○")&gt;0,1,0))</f>
        <v>0</v>
      </c>
      <c r="AB175" s="39" t="n">
        <f aca="false">IF(AB$4=0,0,IF(COUNTIFS(実績!$W$6:$W$505,AB$3,実績!$AI$6:$AI$505,"&lt;="&amp;$A175,実績!$AJ$6:$AJ$505,"&gt;"&amp;$A175,実績!$AL$6:$AL$505,"○")&gt;0,1,0))</f>
        <v>0</v>
      </c>
      <c r="AC175" s="39" t="n">
        <f aca="false">IF(AC$4=0,0,IF(COUNTIFS(実績!$W$6:$W$505,AC$3,実績!$AI$6:$AI$505,"&lt;="&amp;$A175,実績!$AJ$6:$AJ$505,"&gt;"&amp;$A175,実績!$AL$6:$AL$505,"○")&gt;0,1,0))</f>
        <v>0</v>
      </c>
      <c r="AD175" s="39" t="n">
        <f aca="false">IF(AD$4=0,0,IF(COUNTIFS(実績!$W$6:$W$505,AD$3,実績!$AI$6:$AI$505,"&lt;="&amp;$A175,実績!$AJ$6:$AJ$505,"&gt;"&amp;$A175,実績!$AL$6:$AL$505,"○")&gt;0,1,0))</f>
        <v>0</v>
      </c>
      <c r="AE175" s="39" t="n">
        <f aca="false">IF(AE$4=0,0,IF(COUNTIFS(実績!$W$6:$W$505,AE$3,実績!$AI$6:$AI$505,"&lt;="&amp;$A175,実績!$AJ$6:$AJ$505,"&gt;"&amp;$A175,実績!$AL$6:$AL$505,"○")&gt;0,1,0))</f>
        <v>0</v>
      </c>
      <c r="AF175" s="39" t="n">
        <f aca="false">IF(AF$4=0,0,IF(COUNTIFS(実績!$W$6:$W$505,AF$3,実績!$AI$6:$AI$505,"&lt;="&amp;$A175,実績!$AJ$6:$AJ$505,"&gt;"&amp;$A175,実績!$AL$6:$AL$505,"○")&gt;0,1,0))</f>
        <v>0</v>
      </c>
      <c r="AG175" s="39" t="n">
        <f aca="false">IF(AG$4=0,0,IF(COUNTIFS(実績!$W$6:$W$505,AG$3,実績!$AI$6:$AI$505,"&lt;="&amp;$A175,実績!$AJ$6:$AJ$505,"&gt;"&amp;$A175,実績!$AL$6:$AL$505,"○")&gt;0,1,0))</f>
        <v>0</v>
      </c>
      <c r="AH175" s="39" t="n">
        <f aca="false">IF(AH$4=0,0,IF(COUNTIFS(実績!$W$6:$W$505,AH$3,実績!$AI$6:$AI$505,"&lt;="&amp;$A175,実績!$AJ$6:$AJ$505,"&gt;"&amp;$A175,実績!$AL$6:$AL$505,"○")&gt;0,1,0))</f>
        <v>0</v>
      </c>
      <c r="AI175" s="39" t="n">
        <f aca="false">IF(AI$4=0,0,IF(COUNTIFS(実績!$W$6:$W$505,AI$3,実績!$AI$6:$AI$505,"&lt;="&amp;$A175,実績!$AJ$6:$AJ$505,"&gt;"&amp;$A175,実績!$AL$6:$AL$505,"○")&gt;0,1,0))</f>
        <v>0</v>
      </c>
      <c r="AJ175" s="39" t="n">
        <f aca="false">IF(AJ$4=0,0,IF(COUNTIFS(実績!$W$6:$W$505,AJ$3,実績!$AI$6:$AI$505,"&lt;="&amp;$A175,実績!$AJ$6:$AJ$505,"&gt;"&amp;$A175,実績!$AL$6:$AL$505,"○")&gt;0,1,0))</f>
        <v>0</v>
      </c>
      <c r="AK175" s="39" t="n">
        <f aca="false">IF(AK$4=0,0,IF(COUNTIFS(実績!$W$6:$W$505,AK$3,実績!$AI$6:$AI$505,"&lt;="&amp;$A175,実績!$AJ$6:$AJ$505,"&gt;"&amp;$A175,実績!$AL$6:$AL$505,"○")&gt;0,1,0))</f>
        <v>0</v>
      </c>
      <c r="AL175" s="39" t="n">
        <f aca="false">IF(AL$4=0,0,IF(COUNTIFS(実績!$W$6:$W$505,AL$3,実績!$AI$6:$AI$505,"&lt;="&amp;$A175,実績!$AJ$6:$AJ$505,"&gt;"&amp;$A175,実績!$AL$6:$AL$505,"○")&gt;0,1,0))</f>
        <v>0</v>
      </c>
      <c r="AM175" s="39" t="n">
        <f aca="false">IF(AM$4=0,0,IF(COUNTIFS(実績!$W$6:$W$505,AM$3,実績!$AI$6:$AI$505,"&lt;="&amp;$A175,実績!$AJ$6:$AJ$505,"&gt;"&amp;$A175,実績!$AL$6:$AL$505,"○")&gt;0,1,0))</f>
        <v>0</v>
      </c>
      <c r="AN175" s="39" t="n">
        <f aca="false">IF(AN$4=0,0,IF(COUNTIFS(実績!$W$6:$W$505,AN$3,実績!$AI$6:$AI$505,"&lt;="&amp;$A175,実績!$AJ$6:$AJ$505,"&gt;"&amp;$A175,実績!$AL$6:$AL$505,"○")&gt;0,1,0))</f>
        <v>0</v>
      </c>
      <c r="AO175" s="39" t="n">
        <f aca="false">IF(AO$4=0,0,IF(COUNTIFS(実績!$W$6:$W$505,AO$3,実績!$AI$6:$AI$505,"&lt;="&amp;$A175,実績!$AJ$6:$AJ$505,"&gt;"&amp;$A175,実績!$AL$6:$AL$505,"○")&gt;0,1,0))</f>
        <v>0</v>
      </c>
      <c r="AP175" s="39" t="n">
        <f aca="false">IF(AP$4=0,0,IF(COUNTIFS(実績!$W$6:$W$505,AP$3,実績!$AI$6:$AI$505,"&lt;="&amp;$A175,実績!$AJ$6:$AJ$505,"&gt;"&amp;$A175,実績!$AL$6:$AL$505,"○")&gt;0,1,0))</f>
        <v>0</v>
      </c>
      <c r="AQ175" s="39" t="n">
        <f aca="false">IF(AQ$4=0,0,IF(COUNTIFS(実績!$W$6:$W$505,AQ$3,実績!$AI$6:$AI$505,"&lt;="&amp;$A175,実績!$AJ$6:$AJ$505,"&gt;"&amp;$A175,実績!$AL$6:$AL$505,"○")&gt;0,1,0))</f>
        <v>0</v>
      </c>
      <c r="AR175" s="39" t="n">
        <f aca="false">IF(AR$4=0,0,IF(COUNTIFS(実績!$W$6:$W$505,AR$3,実績!$AI$6:$AI$505,"&lt;="&amp;$A175,実績!$AJ$6:$AJ$505,"&gt;"&amp;$A175,実績!$AL$6:$AL$505,"○")&gt;0,1,0))</f>
        <v>0</v>
      </c>
      <c r="AS175" s="39" t="n">
        <f aca="false">IF(AS$4=0,0,IF(COUNTIFS(実績!$W$6:$W$505,AS$3,実績!$AI$6:$AI$505,"&lt;="&amp;$A175,実績!$AJ$6:$AJ$505,"&gt;"&amp;$A175,実績!$AL$6:$AL$505,"○")&gt;0,1,0))</f>
        <v>0</v>
      </c>
      <c r="AT175" s="39" t="n">
        <f aca="false">IF(AT$4=0,0,IF(COUNTIFS(実績!$W$6:$W$505,AT$3,実績!$AI$6:$AI$505,"&lt;="&amp;$A175,実績!$AJ$6:$AJ$505,"&gt;"&amp;$A175,実績!$AL$6:$AL$505,"○")&gt;0,1,0))</f>
        <v>0</v>
      </c>
      <c r="AU175" s="39" t="n">
        <f aca="false">IF(AU$4=0,0,IF(COUNTIFS(実績!$W$6:$W$505,AU$3,実績!$AI$6:$AI$505,"&lt;="&amp;$A175,実績!$AJ$6:$AJ$505,"&gt;"&amp;$A175,実績!$AL$6:$AL$505,"○")&gt;0,1,0))</f>
        <v>0</v>
      </c>
      <c r="AV175" s="39" t="n">
        <f aca="false">IF(AV$4=0,0,IF(COUNTIFS(実績!$W$6:$W$505,AV$3,実績!$AI$6:$AI$505,"&lt;="&amp;$A175,実績!$AJ$6:$AJ$505,"&gt;"&amp;$A175,実績!$AL$6:$AL$505,"○")&gt;0,1,0))</f>
        <v>0</v>
      </c>
      <c r="AW175" s="39" t="n">
        <f aca="false">IF(AW$4=0,0,IF(COUNTIFS(実績!$W$6:$W$505,AW$3,実績!$AI$6:$AI$505,"&lt;="&amp;$A175,実績!$AJ$6:$AJ$505,"&gt;"&amp;$A175,実績!$AL$6:$AL$505,"○")&gt;0,1,0))</f>
        <v>0</v>
      </c>
      <c r="AX175" s="39" t="n">
        <f aca="false">IF(AX$4=0,0,IF(COUNTIFS(実績!$W$6:$W$505,AX$3,実績!$AI$6:$AI$505,"&lt;="&amp;$A175,実績!$AJ$6:$AJ$505,"&gt;"&amp;$A175,実績!$AL$6:$AL$505,"○")&gt;0,1,0))</f>
        <v>0</v>
      </c>
      <c r="AY175" s="39" t="n">
        <f aca="false">IF(AY$4=0,0,IF(COUNTIFS(実績!$W$6:$W$505,AY$3,実績!$AI$6:$AI$505,"&lt;="&amp;$A175,実績!$AJ$6:$AJ$505,"&gt;"&amp;$A175,実績!$AL$6:$AL$505,"○")&gt;0,1,0))</f>
        <v>0</v>
      </c>
      <c r="AZ175" s="39" t="n">
        <f aca="false">IF(AZ$4=0,0,IF(COUNTIFS(実績!$W$6:$W$505,AZ$3,実績!$AI$6:$AI$505,"&lt;="&amp;$A175,実績!$AJ$6:$AJ$505,"&gt;"&amp;$A175,実績!$AL$6:$AL$505,"○")&gt;0,1,0))</f>
        <v>0</v>
      </c>
      <c r="BA175" s="39" t="n">
        <f aca="false">IF(BA$4=0,0,IF(COUNTIFS(実績!$W$6:$W$505,BA$3,実績!$AI$6:$AI$505,"&lt;="&amp;$A175,実績!$AJ$6:$AJ$505,"&gt;"&amp;$A175,実績!$AL$6:$AL$505,"○")&gt;0,1,0))</f>
        <v>0</v>
      </c>
      <c r="BB175" s="39" t="n">
        <f aca="false">IF(BB$4=0,0,IF(COUNTIFS(実績!$W$6:$W$505,BB$3,実績!$AI$6:$AI$505,"&lt;="&amp;$A175,実績!$AJ$6:$AJ$505,"&gt;"&amp;$A175,実績!$AL$6:$AL$505,"○")&gt;0,1,0))</f>
        <v>0</v>
      </c>
      <c r="BC175" s="39" t="n">
        <f aca="false">IF(BC$4=0,0,IF(COUNTIFS(実績!$W$6:$W$505,BC$3,実績!$AI$6:$AI$505,"&lt;="&amp;$A175,実績!$AJ$6:$AJ$505,"&gt;"&amp;$A175,実績!$AL$6:$AL$505,"○")&gt;0,1,0))</f>
        <v>0</v>
      </c>
      <c r="BD175" s="39" t="n">
        <f aca="false">IF(BD$4=0,0,IF(COUNTIFS(実績!$W$6:$W$505,BD$3,実績!$AI$6:$AI$505,"&lt;="&amp;$A175,実績!$AJ$6:$AJ$505,"&gt;"&amp;$A175,実績!$AL$6:$AL$505,"○")&gt;0,1,0))</f>
        <v>0</v>
      </c>
      <c r="BE175" s="39" t="n">
        <f aca="false">IF(BE$4=0,0,IF(COUNTIFS(実績!$W$6:$W$505,BE$3,実績!$AI$6:$AI$505,"&lt;="&amp;$A175,実績!$AJ$6:$AJ$505,"&gt;"&amp;$A175,実績!$AL$6:$AL$505,"○")&gt;0,1,0))</f>
        <v>0</v>
      </c>
      <c r="BF175" s="39" t="n">
        <f aca="false">IF(BF$4=0,0,IF(COUNTIFS(実績!$W$6:$W$505,BF$3,実績!$AI$6:$AI$505,"&lt;="&amp;$A175,実績!$AJ$6:$AJ$505,"&gt;"&amp;$A175,実績!$AL$6:$AL$505,"○")&gt;0,1,0))</f>
        <v>0</v>
      </c>
      <c r="BG175" s="39" t="n">
        <f aca="false">IF(BG$4=0,0,IF(COUNTIFS(実績!$W$6:$W$505,BG$3,実績!$AI$6:$AI$505,"&lt;="&amp;$A175,実績!$AJ$6:$AJ$505,"&gt;"&amp;$A175,実績!$AL$6:$AL$505,"○")&gt;0,1,0))</f>
        <v>0</v>
      </c>
      <c r="BH175" s="39" t="n">
        <f aca="false">IF(BH$4=0,0,IF(COUNTIFS(実績!$W$6:$W$505,BH$3,実績!$AI$6:$AI$505,"&lt;="&amp;$A175,実績!$AJ$6:$AJ$505,"&gt;"&amp;$A175,実績!$AL$6:$AL$505,"○")&gt;0,1,0))</f>
        <v>0</v>
      </c>
      <c r="BI175" s="39" t="n">
        <f aca="false">IF(BI$4=0,0,IF(COUNTIFS(実績!$W$6:$W$505,BI$3,実績!$AI$6:$AI$505,"&lt;="&amp;$A175,実績!$AJ$6:$AJ$505,"&gt;"&amp;$A175,実績!$AL$6:$AL$505,"○")&gt;0,1,0))</f>
        <v>0</v>
      </c>
      <c r="BJ175" s="39" t="n">
        <f aca="false">IF(BJ$4=0,0,IF(COUNTIFS(実績!$W$6:$W$505,BJ$3,実績!$AI$6:$AI$505,"&lt;="&amp;$A175,実績!$AJ$6:$AJ$505,"&gt;"&amp;$A175,実績!$AL$6:$AL$505,"○")&gt;0,1,0))</f>
        <v>0</v>
      </c>
      <c r="BK175" s="39" t="n">
        <f aca="false">IF(BK$4=0,0,IF(COUNTIFS(実績!$W$6:$W$505,BK$3,実績!$AI$6:$AI$505,"&lt;="&amp;$A175,実績!$AJ$6:$AJ$505,"&gt;"&amp;$A175,実績!$AL$6:$AL$505,"○")&gt;0,1,0))</f>
        <v>0</v>
      </c>
      <c r="BL175" s="39" t="n">
        <f aca="false">IF(BL$4=0,0,IF(COUNTIFS(実績!$W$6:$W$505,BL$3,実績!$AI$6:$AI$505,"&lt;="&amp;$A175,実績!$AJ$6:$AJ$505,"&gt;"&amp;$A175,実績!$AL$6:$AL$505,"○")&gt;0,1,0))</f>
        <v>0</v>
      </c>
      <c r="BM175" s="39" t="n">
        <f aca="false">IF(BM$4=0,0,IF(COUNTIFS(実績!$W$6:$W$505,BM$3,実績!$AI$6:$AI$505,"&lt;="&amp;$A175,実績!$AJ$6:$AJ$505,"&gt;"&amp;$A175,実績!$AL$6:$AL$505,"○")&gt;0,1,0))</f>
        <v>0</v>
      </c>
      <c r="BN175" s="39" t="n">
        <f aca="false">IF(BN$4=0,0,IF(COUNTIFS(実績!$W$6:$W$505,BN$3,実績!$AI$6:$AI$505,"&lt;="&amp;$A175,実績!$AJ$6:$AJ$505,"&gt;"&amp;$A175,実績!$AL$6:$AL$505,"○")&gt;0,1,0))</f>
        <v>0</v>
      </c>
      <c r="BO175" s="39" t="n">
        <f aca="false">IF(BO$4=0,0,IF(COUNTIFS(実績!$W$6:$W$505,BO$3,実績!$AI$6:$AI$505,"&lt;="&amp;$A175,実績!$AJ$6:$AJ$505,"&gt;"&amp;$A175,実績!$AL$6:$AL$505,"○")&gt;0,1,0))</f>
        <v>0</v>
      </c>
      <c r="BP175" s="39" t="n">
        <f aca="false">IF(BP$4=0,0,IF(COUNTIFS(実績!$W$6:$W$505,BP$3,実績!$AI$6:$AI$505,"&lt;="&amp;$A175,実績!$AJ$6:$AJ$505,"&gt;"&amp;$A175,実績!$AL$6:$AL$505,"○")&gt;0,1,0))</f>
        <v>0</v>
      </c>
      <c r="BQ175" s="39" t="n">
        <f aca="false">IF(BQ$4=0,0,IF(COUNTIFS(実績!$W$6:$W$505,BQ$3,実績!$AI$6:$AI$505,"&lt;="&amp;$A175,実績!$AJ$6:$AJ$505,"&gt;"&amp;$A175,実績!$AL$6:$AL$505,"○")&gt;0,1,0))</f>
        <v>0</v>
      </c>
      <c r="BR175" s="39" t="n">
        <f aca="false">IF(BR$4=0,0,IF(COUNTIFS(実績!$W$6:$W$505,BR$3,実績!$AI$6:$AI$505,"&lt;="&amp;$A175,実績!$AJ$6:$AJ$505,"&gt;"&amp;$A175,実績!$AL$6:$AL$505,"○")&gt;0,1,0))</f>
        <v>0</v>
      </c>
      <c r="BS175" s="39" t="n">
        <f aca="false">IF(BS$4=0,0,IF(COUNTIFS(実績!$W$6:$W$505,BS$3,実績!$AI$6:$AI$505,"&lt;="&amp;$A175,実績!$AJ$6:$AJ$505,"&gt;"&amp;$A175,実績!$AL$6:$AL$505,"○")&gt;0,1,0))</f>
        <v>0</v>
      </c>
      <c r="BT175" s="39" t="n">
        <f aca="false">IF(BT$4=0,0,IF(COUNTIFS(実績!$W$6:$W$505,BT$3,実績!$AI$6:$AI$505,"&lt;="&amp;$A175,実績!$AJ$6:$AJ$505,"&gt;"&amp;$A175,実績!$AL$6:$AL$505,"○")&gt;0,1,0))</f>
        <v>0</v>
      </c>
      <c r="BU175" s="39" t="n">
        <f aca="false">IF(BU$4=0,0,IF(COUNTIFS(実績!$W$6:$W$505,BU$3,実績!$AI$6:$AI$505,"&lt;="&amp;$A175,実績!$AJ$6:$AJ$505,"&gt;"&amp;$A175,実績!$AL$6:$AL$505,"○")&gt;0,1,0))</f>
        <v>0</v>
      </c>
      <c r="BV175" s="39" t="n">
        <f aca="false">IF(BV$4=0,0,IF(COUNTIFS(実績!$W$6:$W$505,BV$3,実績!$AI$6:$AI$505,"&lt;="&amp;$A175,実績!$AJ$6:$AJ$505,"&gt;"&amp;$A175,実績!$AL$6:$AL$505,"○")&gt;0,1,0))</f>
        <v>0</v>
      </c>
      <c r="BW175" s="39" t="n">
        <f aca="false">IF(BW$4=0,0,IF(COUNTIFS(実績!$W$6:$W$505,BW$3,実績!$AI$6:$AI$505,"&lt;="&amp;$A175,実績!$AJ$6:$AJ$505,"&gt;"&amp;$A175,実績!$AL$6:$AL$505,"○")&gt;0,1,0))</f>
        <v>0</v>
      </c>
      <c r="BX175" s="39" t="n">
        <f aca="false">IF(BX$4=0,0,IF(COUNTIFS(実績!$W$6:$W$505,BX$3,実績!$AI$6:$AI$505,"&lt;="&amp;$A175,実績!$AJ$6:$AJ$505,"&gt;"&amp;$A175,実績!$AL$6:$AL$505,"○")&gt;0,1,0))</f>
        <v>0</v>
      </c>
      <c r="BY175" s="39" t="n">
        <f aca="false">IF(BY$4=0,0,IF(COUNTIFS(実績!$W$6:$W$505,BY$3,実績!$AI$6:$AI$505,"&lt;="&amp;$A175,実績!$AJ$6:$AJ$505,"&gt;"&amp;$A175,実績!$AL$6:$AL$505,"○")&gt;0,1,0))</f>
        <v>0</v>
      </c>
      <c r="BZ175" s="39" t="n">
        <f aca="false">IF(BZ$4=0,0,IF(COUNTIFS(実績!$W$6:$W$505,BZ$3,実績!$AI$6:$AI$505,"&lt;="&amp;$A175,実績!$AJ$6:$AJ$505,"&gt;"&amp;$A175,実績!$AL$6:$AL$505,"○")&gt;0,1,0))</f>
        <v>0</v>
      </c>
      <c r="CA175" s="39" t="n">
        <f aca="false">IF(CA$4=0,0,IF(COUNTIFS(実績!$W$6:$W$505,CA$3,実績!$AI$6:$AI$505,"&lt;="&amp;$A175,実績!$AJ$6:$AJ$505,"&gt;"&amp;$A175,実績!$AL$6:$AL$505,"○")&gt;0,1,0))</f>
        <v>0</v>
      </c>
      <c r="CB175" s="39" t="n">
        <f aca="false">IF(CB$4=0,0,IF(COUNTIFS(実績!$W$6:$W$505,CB$3,実績!$AI$6:$AI$505,"&lt;="&amp;$A175,実績!$AJ$6:$AJ$505,"&gt;"&amp;$A175,実績!$AL$6:$AL$505,"○")&gt;0,1,0))</f>
        <v>0</v>
      </c>
      <c r="CC175" s="39" t="n">
        <f aca="false">IF(CC$4=0,0,IF(COUNTIFS(実績!$W$6:$W$505,CC$3,実績!$AI$6:$AI$505,"&lt;="&amp;$A175,実績!$AJ$6:$AJ$505,"&gt;"&amp;$A175,実績!$AL$6:$AL$505,"○")&gt;0,1,0))</f>
        <v>0</v>
      </c>
      <c r="CD175" s="39" t="n">
        <f aca="false">IF(CD$4=0,0,IF(COUNTIFS(実績!$W$6:$W$505,CD$3,実績!$AI$6:$AI$505,"&lt;="&amp;$A175,実績!$AJ$6:$AJ$505,"&gt;"&amp;$A175,実績!$AL$6:$AL$505,"○")&gt;0,1,0))</f>
        <v>0</v>
      </c>
      <c r="CE175" s="39" t="n">
        <f aca="false">IF(CE$4=0,0,IF(COUNTIFS(実績!$W$6:$W$505,CE$3,実績!$AI$6:$AI$505,"&lt;="&amp;$A175,実績!$AJ$6:$AJ$505,"&gt;"&amp;$A175,実績!$AL$6:$AL$505,"○")&gt;0,1,0))</f>
        <v>0</v>
      </c>
      <c r="CF175" s="39" t="n">
        <f aca="false">IF(CF$4=0,0,IF(COUNTIFS(実績!$W$6:$W$505,CF$3,実績!$AI$6:$AI$505,"&lt;="&amp;$A175,実績!$AJ$6:$AJ$505,"&gt;"&amp;$A175,実績!$AL$6:$AL$505,"○")&gt;0,1,0))</f>
        <v>0</v>
      </c>
      <c r="CG175" s="39" t="n">
        <f aca="false">IF(CG$4=0,0,IF(COUNTIFS(実績!$W$6:$W$505,CG$3,実績!$AI$6:$AI$505,"&lt;="&amp;$A175,実績!$AJ$6:$AJ$505,"&gt;"&amp;$A175,実績!$AL$6:$AL$505,"○")&gt;0,1,0))</f>
        <v>0</v>
      </c>
      <c r="CH175" s="39" t="n">
        <f aca="false">IF(CH$4=0,0,IF(COUNTIFS(実績!$W$6:$W$505,CH$3,実績!$AI$6:$AI$505,"&lt;="&amp;$A175,実績!$AJ$6:$AJ$505,"&gt;"&amp;$A175,実績!$AL$6:$AL$505,"○")&gt;0,1,0))</f>
        <v>0</v>
      </c>
      <c r="CI175" s="39" t="n">
        <f aca="false">IF(CI$4=0,0,IF(COUNTIFS(実績!$W$6:$W$505,CI$3,実績!$AI$6:$AI$505,"&lt;="&amp;$A175,実績!$AJ$6:$AJ$505,"&gt;"&amp;$A175,実績!$AL$6:$AL$505,"○")&gt;0,1,0))</f>
        <v>0</v>
      </c>
      <c r="CJ175" s="39" t="n">
        <f aca="false">IF(CJ$4=0,0,IF(COUNTIFS(実績!$W$6:$W$505,CJ$3,実績!$AI$6:$AI$505,"&lt;="&amp;$A175,実績!$AJ$6:$AJ$505,"&gt;"&amp;$A175,実績!$AL$6:$AL$505,"○")&gt;0,1,0))</f>
        <v>0</v>
      </c>
      <c r="CK175" s="39" t="n">
        <f aca="false">IF(CK$4=0,0,IF(COUNTIFS(実績!$W$6:$W$505,CK$3,実績!$AI$6:$AI$505,"&lt;="&amp;$A175,実績!$AJ$6:$AJ$505,"&gt;"&amp;$A175,実績!$AL$6:$AL$505,"○")&gt;0,1,0))</f>
        <v>0</v>
      </c>
      <c r="CL175" s="39" t="n">
        <f aca="false">IF(CL$4=0,0,IF(COUNTIFS(実績!$W$6:$W$505,CL$3,実績!$AI$6:$AI$505,"&lt;="&amp;$A175,実績!$AJ$6:$AJ$505,"&gt;"&amp;$A175,実績!$AL$6:$AL$505,"○")&gt;0,1,0))</f>
        <v>0</v>
      </c>
      <c r="CM175" s="39" t="n">
        <f aca="false">IF(CM$4=0,0,IF(COUNTIFS(実績!$W$6:$W$505,CM$3,実績!$AI$6:$AI$505,"&lt;="&amp;$A175,実績!$AJ$6:$AJ$505,"&gt;"&amp;$A175,実績!$AL$6:$AL$505,"○")&gt;0,1,0))</f>
        <v>0</v>
      </c>
      <c r="CN175" s="39" t="n">
        <f aca="false">IF(CN$4=0,0,IF(COUNTIFS(実績!$W$6:$W$505,CN$3,実績!$AI$6:$AI$505,"&lt;="&amp;$A175,実績!$AJ$6:$AJ$505,"&gt;"&amp;$A175,実績!$AL$6:$AL$505,"○")&gt;0,1,0))</f>
        <v>0</v>
      </c>
      <c r="CO175" s="39" t="n">
        <f aca="false">IF(CO$4=0,0,IF(COUNTIFS(実績!$W$6:$W$505,CO$3,実績!$AI$6:$AI$505,"&lt;="&amp;$A175,実績!$AJ$6:$AJ$505,"&gt;"&amp;$A175,実績!$AL$6:$AL$505,"○")&gt;0,1,0))</f>
        <v>0</v>
      </c>
      <c r="CP175" s="39" t="n">
        <f aca="false">IF(CP$4=0,0,IF(COUNTIFS(実績!$W$6:$W$505,CP$3,実績!$AI$6:$AI$505,"&lt;="&amp;$A175,実績!$AJ$6:$AJ$505,"&gt;"&amp;$A175,実績!$AL$6:$AL$505,"○")&gt;0,1,0))</f>
        <v>0</v>
      </c>
      <c r="CQ175" s="39" t="n">
        <f aca="false">IF(CQ$4=0,0,IF(COUNTIFS(実績!$W$6:$W$505,CQ$3,実績!$AI$6:$AI$505,"&lt;="&amp;$A175,実績!$AJ$6:$AJ$505,"&gt;"&amp;$A175,実績!$AL$6:$AL$505,"○")&gt;0,1,0))</f>
        <v>0</v>
      </c>
      <c r="CR175" s="39" t="n">
        <f aca="false">IF(CR$4=0,0,IF(COUNTIFS(実績!$W$6:$W$505,CR$3,実績!$AI$6:$AI$505,"&lt;="&amp;$A175,実績!$AJ$6:$AJ$505,"&gt;"&amp;$A175,実績!$AL$6:$AL$505,"○")&gt;0,1,0))</f>
        <v>0</v>
      </c>
      <c r="CS175" s="39" t="n">
        <f aca="false">IF(CS$4=0,0,IF(COUNTIFS(実績!$W$6:$W$505,CS$3,実績!$AI$6:$AI$505,"&lt;="&amp;$A175,実績!$AJ$6:$AJ$505,"&gt;"&amp;$A175,実績!$AL$6:$AL$505,"○")&gt;0,1,0))</f>
        <v>0</v>
      </c>
      <c r="CT175" s="39" t="n">
        <f aca="false">IF(CT$4=0,0,IF(COUNTIFS(実績!$W$6:$W$505,CT$3,実績!$AI$6:$AI$505,"&lt;="&amp;$A175,実績!$AJ$6:$AJ$505,"&gt;"&amp;$A175,実績!$AL$6:$AL$505,"○")&gt;0,1,0))</f>
        <v>0</v>
      </c>
      <c r="CU175" s="39" t="n">
        <f aca="false">IF(CU$4=0,0,IF(COUNTIFS(実績!$W$6:$W$505,CU$3,実績!$AI$6:$AI$505,"&lt;="&amp;$A175,実績!$AJ$6:$AJ$505,"&gt;"&amp;$A175,実績!$AL$6:$AL$505,"○")&gt;0,1,0))</f>
        <v>0</v>
      </c>
      <c r="CV175" s="39" t="n">
        <f aca="false">IF(CV$4=0,0,IF(COUNTIFS(実績!$W$6:$W$505,CV$3,実績!$AI$6:$AI$505,"&lt;="&amp;$A175,実績!$AJ$6:$AJ$505,"&gt;"&amp;$A175,実績!$AL$6:$AL$505,"○")&gt;0,1,0))</f>
        <v>0</v>
      </c>
      <c r="CW175" s="39" t="n">
        <f aca="false">IF(CW$4=0,0,IF(COUNTIFS(実績!$W$6:$W$505,CW$3,実績!$AI$6:$AI$505,"&lt;="&amp;$A175,実績!$AJ$6:$AJ$505,"&gt;"&amp;$A175,実績!$AL$6:$AL$505,"○")&gt;0,1,0))</f>
        <v>0</v>
      </c>
      <c r="CX175" s="39" t="n">
        <f aca="false">IF(CX$4=0,0,IF(COUNTIFS(実績!$W$6:$W$505,CX$3,実績!$AI$6:$AI$505,"&lt;="&amp;$A175,実績!$AJ$6:$AJ$505,"&gt;"&amp;$A175,実績!$AL$6:$AL$505,"○")&gt;0,1,0))</f>
        <v>0</v>
      </c>
      <c r="CY175" s="39" t="n">
        <f aca="false">IF(CY$4=0,0,IF(COUNTIFS(実績!$W$6:$W$505,CY$3,実績!$AI$6:$AI$505,"&lt;="&amp;$A175,実績!$AJ$6:$AJ$505,"&gt;"&amp;$A175,実績!$AL$6:$AL$505,"○")&gt;0,1,0))</f>
        <v>0</v>
      </c>
      <c r="CZ175" s="39" t="n">
        <f aca="false">IF(CZ$4=0,0,IF(COUNTIFS(実績!$W$6:$W$505,CZ$3,実績!$AI$6:$AI$505,"&lt;="&amp;$A175,実績!$AJ$6:$AJ$505,"&gt;"&amp;$A175,実績!$AL$6:$AL$505,"○")&gt;0,1,0))</f>
        <v>0</v>
      </c>
      <c r="DA175" s="39" t="n">
        <f aca="false">IF(DA$4=0,0,IF(COUNTIFS(実績!$W$6:$W$505,DA$3,実績!$AI$6:$AI$505,"&lt;="&amp;$A175,実績!$AJ$6:$AJ$505,"&gt;"&amp;$A175,実績!$AL$6:$AL$505,"○")&gt;0,1,0))</f>
        <v>0</v>
      </c>
      <c r="DB175" s="39" t="n">
        <f aca="false">IF(DB$4=0,0,IF(COUNTIFS(実績!$W$6:$W$505,DB$3,実績!$AI$6:$AI$505,"&lt;="&amp;$A175,実績!$AJ$6:$AJ$505,"&gt;"&amp;$A175,実績!$AL$6:$AL$505,"○")&gt;0,1,0))</f>
        <v>0</v>
      </c>
      <c r="DC175" s="39" t="n">
        <f aca="false">IF(DC$4=0,0,IF(COUNTIFS(実績!$W$6:$W$505,DC$3,実績!$AI$6:$AI$505,"&lt;="&amp;$A175,実績!$AJ$6:$AJ$505,"&gt;"&amp;$A175,実績!$AL$6:$AL$505,"○")&gt;0,1,0))</f>
        <v>0</v>
      </c>
      <c r="DD175" s="39" t="n">
        <f aca="false">IF(DD$4=0,0,IF(COUNTIFS(実績!$W$6:$W$505,DD$3,実績!$AI$6:$AI$505,"&lt;="&amp;$A175,実績!$AJ$6:$AJ$505,"&gt;"&amp;$A175,実績!$AL$6:$AL$505,"○")&gt;0,1,0))</f>
        <v>0</v>
      </c>
      <c r="DE175" s="39" t="n">
        <f aca="false">IF(DE$4=0,0,IF(COUNTIFS(実績!$W$6:$W$505,DE$3,実績!$AI$6:$AI$505,"&lt;="&amp;$A175,実績!$AJ$6:$AJ$505,"&gt;"&amp;$A175,実績!$AL$6:$AL$505,"○")&gt;0,1,0))</f>
        <v>0</v>
      </c>
      <c r="DF175" s="39" t="n">
        <f aca="false">IF(DF$4=0,0,IF(COUNTIFS(実績!$W$6:$W$505,DF$3,実績!$AI$6:$AI$505,"&lt;="&amp;$A175,実績!$AJ$6:$AJ$505,"&gt;"&amp;$A175,実績!$AL$6:$AL$505,"○")&gt;0,1,0))</f>
        <v>0</v>
      </c>
      <c r="DG175" s="39" t="n">
        <f aca="false">IF(DG$4=0,0,IF(COUNTIFS(実績!$W$6:$W$505,DG$3,実績!$AI$6:$AI$505,"&lt;="&amp;$A175,実績!$AJ$6:$AJ$505,"&gt;"&amp;$A175,実績!$AL$6:$AL$505,"○")&gt;0,1,0))</f>
        <v>0</v>
      </c>
      <c r="DH175" s="39" t="n">
        <f aca="false">IF(DH$4=0,0,IF(COUNTIFS(実績!$W$6:$W$505,DH$3,実績!$AI$6:$AI$505,"&lt;="&amp;$A175,実績!$AJ$6:$AJ$505,"&gt;"&amp;$A175,実績!$AL$6:$AL$505,"○")&gt;0,1,0))</f>
        <v>0</v>
      </c>
      <c r="DI175" s="39" t="n">
        <f aca="false">IF(DI$4=0,0,IF(COUNTIFS(実績!$W$6:$W$505,DI$3,実績!$AI$6:$AI$505,"&lt;="&amp;$A175,実績!$AJ$6:$AJ$505,"&gt;"&amp;$A175,実績!$AL$6:$AL$505,"○")&gt;0,1,0))</f>
        <v>0</v>
      </c>
      <c r="DJ175" s="39" t="n">
        <f aca="false">IF(DJ$4=0,0,IF(COUNTIFS(実績!$W$6:$W$505,DJ$3,実績!$AI$6:$AI$505,"&lt;="&amp;$A175,実績!$AJ$6:$AJ$505,"&gt;"&amp;$A175,実績!$AL$6:$AL$505,"○")&gt;0,1,0))</f>
        <v>0</v>
      </c>
      <c r="DK175" s="39" t="n">
        <f aca="false">IF(DK$4=0,0,IF(COUNTIFS(実績!$W$6:$W$505,DK$3,実績!$AI$6:$AI$505,"&lt;="&amp;$A175,実績!$AJ$6:$AJ$505,"&gt;"&amp;$A175,実績!$AL$6:$AL$505,"○")&gt;0,1,0))</f>
        <v>0</v>
      </c>
      <c r="DL175" s="39" t="n">
        <f aca="false">IF(DL$4=0,0,IF(COUNTIFS(実績!$W$6:$W$505,DL$3,実績!$AI$6:$AI$505,"&lt;="&amp;$A175,実績!$AJ$6:$AJ$505,"&gt;"&amp;$A175,実績!$AL$6:$AL$505,"○")&gt;0,1,0))</f>
        <v>0</v>
      </c>
      <c r="DM175" s="39" t="n">
        <f aca="false">IF(DM$4=0,0,IF(COUNTIFS(実績!$W$6:$W$505,DM$3,実績!$AI$6:$AI$505,"&lt;="&amp;$A175,実績!$AJ$6:$AJ$505,"&gt;"&amp;$A175,実績!$AL$6:$AL$505,"○")&gt;0,1,0))</f>
        <v>0</v>
      </c>
      <c r="DN175" s="39" t="n">
        <f aca="false">IF(DN$4=0,0,IF(COUNTIFS(実績!$W$6:$W$505,DN$3,実績!$AI$6:$AI$505,"&lt;="&amp;$A175,実績!$AJ$6:$AJ$505,"&gt;"&amp;$A175,実績!$AL$6:$AL$505,"○")&gt;0,1,0))</f>
        <v>0</v>
      </c>
      <c r="DO175" s="39" t="n">
        <f aca="false">IF(DO$4=0,0,IF(COUNTIFS(実績!$W$6:$W$505,DO$3,実績!$AI$6:$AI$505,"&lt;="&amp;$A175,実績!$AJ$6:$AJ$505,"&gt;"&amp;$A175,実績!$AL$6:$AL$505,"○")&gt;0,1,0))</f>
        <v>0</v>
      </c>
      <c r="DP175" s="39" t="n">
        <f aca="false">IF(DP$4=0,0,IF(COUNTIFS(実績!$W$6:$W$505,DP$3,実績!$AI$6:$AI$505,"&lt;="&amp;$A175,実績!$AJ$6:$AJ$505,"&gt;"&amp;$A175,実績!$AL$6:$AL$505,"○")&gt;0,1,0))</f>
        <v>0</v>
      </c>
      <c r="DQ175" s="39" t="n">
        <f aca="false">IF(DQ$4=0,0,IF(COUNTIFS(実績!$W$6:$W$505,DQ$3,実績!$AI$6:$AI$505,"&lt;="&amp;$A175,実績!$AJ$6:$AJ$505,"&gt;"&amp;$A175,実績!$AL$6:$AL$505,"○")&gt;0,1,0))</f>
        <v>0</v>
      </c>
      <c r="DR175" s="39" t="n">
        <f aca="false">IF(DR$4=0,0,IF(COUNTIFS(実績!$W$6:$W$505,DR$3,実績!$AI$6:$AI$505,"&lt;="&amp;$A175,実績!$AJ$6:$AJ$505,"&gt;"&amp;$A175,実績!$AL$6:$AL$505,"○")&gt;0,1,0))</f>
        <v>0</v>
      </c>
      <c r="DS175" s="39" t="n">
        <f aca="false">SUM(C175:DR175)</f>
        <v>0</v>
      </c>
    </row>
    <row r="176" customFormat="false" ht="15" hidden="false" customHeight="false" outlineLevel="0" collapsed="false">
      <c r="A176" s="0" t="n">
        <v>850</v>
      </c>
      <c r="B176" s="38" t="n">
        <f aca="false">A176/1440</f>
        <v>0.590277777777778</v>
      </c>
      <c r="C176" s="39" t="n">
        <f aca="false">IF(C$4=0,0,IF(COUNTIFS(実績!$W$6:$W$505,C$3,実績!$AI$6:$AI$505,"&lt;="&amp;$A176,実績!$AJ$6:$AJ$505,"&gt;"&amp;$A176,実績!$AL$6:$AL$505,"○")&gt;0,1,0))</f>
        <v>0</v>
      </c>
      <c r="D176" s="39" t="n">
        <f aca="false">IF(D$4=0,0,IF(COUNTIFS(実績!$W$6:$W$505,D$3,実績!$AI$6:$AI$505,"&lt;="&amp;$A176,実績!$AJ$6:$AJ$505,"&gt;"&amp;$A176,実績!$AL$6:$AL$505,"○")&gt;0,1,0))</f>
        <v>0</v>
      </c>
      <c r="E176" s="39" t="n">
        <f aca="false">IF(E$4=0,0,IF(COUNTIFS(実績!$W$6:$W$505,E$3,実績!$AI$6:$AI$505,"&lt;="&amp;$A176,実績!$AJ$6:$AJ$505,"&gt;"&amp;$A176,実績!$AL$6:$AL$505,"○")&gt;0,1,0))</f>
        <v>0</v>
      </c>
      <c r="F176" s="39" t="n">
        <f aca="false">IF(F$4=0,0,IF(COUNTIFS(実績!$W$6:$W$505,F$3,実績!$AI$6:$AI$505,"&lt;="&amp;$A176,実績!$AJ$6:$AJ$505,"&gt;"&amp;$A176,実績!$AL$6:$AL$505,"○")&gt;0,1,0))</f>
        <v>0</v>
      </c>
      <c r="G176" s="39" t="n">
        <f aca="false">IF(G$4=0,0,IF(COUNTIFS(実績!$W$6:$W$505,G$3,実績!$AI$6:$AI$505,"&lt;="&amp;$A176,実績!$AJ$6:$AJ$505,"&gt;"&amp;$A176,実績!$AL$6:$AL$505,"○")&gt;0,1,0))</f>
        <v>0</v>
      </c>
      <c r="H176" s="39" t="n">
        <f aca="false">IF(H$4=0,0,IF(COUNTIFS(実績!$W$6:$W$505,H$3,実績!$AI$6:$AI$505,"&lt;="&amp;$A176,実績!$AJ$6:$AJ$505,"&gt;"&amp;$A176,実績!$AL$6:$AL$505,"○")&gt;0,1,0))</f>
        <v>0</v>
      </c>
      <c r="I176" s="39" t="n">
        <f aca="false">IF(I$4=0,0,IF(COUNTIFS(実績!$W$6:$W$505,I$3,実績!$AI$6:$AI$505,"&lt;="&amp;$A176,実績!$AJ$6:$AJ$505,"&gt;"&amp;$A176,実績!$AL$6:$AL$505,"○")&gt;0,1,0))</f>
        <v>0</v>
      </c>
      <c r="J176" s="39" t="n">
        <f aca="false">IF(J$4=0,0,IF(COUNTIFS(実績!$W$6:$W$505,J$3,実績!$AI$6:$AI$505,"&lt;="&amp;$A176,実績!$AJ$6:$AJ$505,"&gt;"&amp;$A176,実績!$AL$6:$AL$505,"○")&gt;0,1,0))</f>
        <v>0</v>
      </c>
      <c r="K176" s="39" t="n">
        <f aca="false">IF(K$4=0,0,IF(COUNTIFS(実績!$W$6:$W$505,K$3,実績!$AI$6:$AI$505,"&lt;="&amp;$A176,実績!$AJ$6:$AJ$505,"&gt;"&amp;$A176,実績!$AL$6:$AL$505,"○")&gt;0,1,0))</f>
        <v>0</v>
      </c>
      <c r="L176" s="39" t="n">
        <f aca="false">IF(L$4=0,0,IF(COUNTIFS(実績!$W$6:$W$505,L$3,実績!$AI$6:$AI$505,"&lt;="&amp;$A176,実績!$AJ$6:$AJ$505,"&gt;"&amp;$A176,実績!$AL$6:$AL$505,"○")&gt;0,1,0))</f>
        <v>0</v>
      </c>
      <c r="M176" s="39" t="n">
        <f aca="false">IF(M$4=0,0,IF(COUNTIFS(実績!$W$6:$W$505,M$3,実績!$AI$6:$AI$505,"&lt;="&amp;$A176,実績!$AJ$6:$AJ$505,"&gt;"&amp;$A176,実績!$AL$6:$AL$505,"○")&gt;0,1,0))</f>
        <v>0</v>
      </c>
      <c r="N176" s="39" t="n">
        <f aca="false">IF(N$4=0,0,IF(COUNTIFS(実績!$W$6:$W$505,N$3,実績!$AI$6:$AI$505,"&lt;="&amp;$A176,実績!$AJ$6:$AJ$505,"&gt;"&amp;$A176,実績!$AL$6:$AL$505,"○")&gt;0,1,0))</f>
        <v>0</v>
      </c>
      <c r="O176" s="39" t="n">
        <f aca="false">IF(O$4=0,0,IF(COUNTIFS(実績!$W$6:$W$505,O$3,実績!$AI$6:$AI$505,"&lt;="&amp;$A176,実績!$AJ$6:$AJ$505,"&gt;"&amp;$A176,実績!$AL$6:$AL$505,"○")&gt;0,1,0))</f>
        <v>0</v>
      </c>
      <c r="P176" s="39" t="n">
        <f aca="false">IF(P$4=0,0,IF(COUNTIFS(実績!$W$6:$W$505,P$3,実績!$AI$6:$AI$505,"&lt;="&amp;$A176,実績!$AJ$6:$AJ$505,"&gt;"&amp;$A176,実績!$AL$6:$AL$505,"○")&gt;0,1,0))</f>
        <v>0</v>
      </c>
      <c r="Q176" s="39" t="n">
        <f aca="false">IF(Q$4=0,0,IF(COUNTIFS(実績!$W$6:$W$505,Q$3,実績!$AI$6:$AI$505,"&lt;="&amp;$A176,実績!$AJ$6:$AJ$505,"&gt;"&amp;$A176,実績!$AL$6:$AL$505,"○")&gt;0,1,0))</f>
        <v>0</v>
      </c>
      <c r="R176" s="39" t="n">
        <f aca="false">IF(R$4=0,0,IF(COUNTIFS(実績!$W$6:$W$505,R$3,実績!$AI$6:$AI$505,"&lt;="&amp;$A176,実績!$AJ$6:$AJ$505,"&gt;"&amp;$A176,実績!$AL$6:$AL$505,"○")&gt;0,1,0))</f>
        <v>0</v>
      </c>
      <c r="S176" s="39" t="n">
        <f aca="false">IF(S$4=0,0,IF(COUNTIFS(実績!$W$6:$W$505,S$3,実績!$AI$6:$AI$505,"&lt;="&amp;$A176,実績!$AJ$6:$AJ$505,"&gt;"&amp;$A176,実績!$AL$6:$AL$505,"○")&gt;0,1,0))</f>
        <v>0</v>
      </c>
      <c r="T176" s="39" t="n">
        <f aca="false">IF(T$4=0,0,IF(COUNTIFS(実績!$W$6:$W$505,T$3,実績!$AI$6:$AI$505,"&lt;="&amp;$A176,実績!$AJ$6:$AJ$505,"&gt;"&amp;$A176,実績!$AL$6:$AL$505,"○")&gt;0,1,0))</f>
        <v>0</v>
      </c>
      <c r="U176" s="39" t="n">
        <f aca="false">IF(U$4=0,0,IF(COUNTIFS(実績!$W$6:$W$505,U$3,実績!$AI$6:$AI$505,"&lt;="&amp;$A176,実績!$AJ$6:$AJ$505,"&gt;"&amp;$A176,実績!$AL$6:$AL$505,"○")&gt;0,1,0))</f>
        <v>0</v>
      </c>
      <c r="V176" s="39" t="n">
        <f aca="false">IF(V$4=0,0,IF(COUNTIFS(実績!$W$6:$W$505,V$3,実績!$AI$6:$AI$505,"&lt;="&amp;$A176,実績!$AJ$6:$AJ$505,"&gt;"&amp;$A176,実績!$AL$6:$AL$505,"○")&gt;0,1,0))</f>
        <v>0</v>
      </c>
      <c r="W176" s="39" t="n">
        <f aca="false">IF(W$4=0,0,IF(COUNTIFS(実績!$W$6:$W$505,W$3,実績!$AI$6:$AI$505,"&lt;="&amp;$A176,実績!$AJ$6:$AJ$505,"&gt;"&amp;$A176,実績!$AL$6:$AL$505,"○")&gt;0,1,0))</f>
        <v>0</v>
      </c>
      <c r="X176" s="39" t="n">
        <f aca="false">IF(X$4=0,0,IF(COUNTIFS(実績!$W$6:$W$505,X$3,実績!$AI$6:$AI$505,"&lt;="&amp;$A176,実績!$AJ$6:$AJ$505,"&gt;"&amp;$A176,実績!$AL$6:$AL$505,"○")&gt;0,1,0))</f>
        <v>0</v>
      </c>
      <c r="Y176" s="39" t="n">
        <f aca="false">IF(Y$4=0,0,IF(COUNTIFS(実績!$W$6:$W$505,Y$3,実績!$AI$6:$AI$505,"&lt;="&amp;$A176,実績!$AJ$6:$AJ$505,"&gt;"&amp;$A176,実績!$AL$6:$AL$505,"○")&gt;0,1,0))</f>
        <v>0</v>
      </c>
      <c r="Z176" s="39" t="n">
        <f aca="false">IF(Z$4=0,0,IF(COUNTIFS(実績!$W$6:$W$505,Z$3,実績!$AI$6:$AI$505,"&lt;="&amp;$A176,実績!$AJ$6:$AJ$505,"&gt;"&amp;$A176,実績!$AL$6:$AL$505,"○")&gt;0,1,0))</f>
        <v>0</v>
      </c>
      <c r="AA176" s="39" t="n">
        <f aca="false">IF(AA$4=0,0,IF(COUNTIFS(実績!$W$6:$W$505,AA$3,実績!$AI$6:$AI$505,"&lt;="&amp;$A176,実績!$AJ$6:$AJ$505,"&gt;"&amp;$A176,実績!$AL$6:$AL$505,"○")&gt;0,1,0))</f>
        <v>0</v>
      </c>
      <c r="AB176" s="39" t="n">
        <f aca="false">IF(AB$4=0,0,IF(COUNTIFS(実績!$W$6:$W$505,AB$3,実績!$AI$6:$AI$505,"&lt;="&amp;$A176,実績!$AJ$6:$AJ$505,"&gt;"&amp;$A176,実績!$AL$6:$AL$505,"○")&gt;0,1,0))</f>
        <v>0</v>
      </c>
      <c r="AC176" s="39" t="n">
        <f aca="false">IF(AC$4=0,0,IF(COUNTIFS(実績!$W$6:$W$505,AC$3,実績!$AI$6:$AI$505,"&lt;="&amp;$A176,実績!$AJ$6:$AJ$505,"&gt;"&amp;$A176,実績!$AL$6:$AL$505,"○")&gt;0,1,0))</f>
        <v>0</v>
      </c>
      <c r="AD176" s="39" t="n">
        <f aca="false">IF(AD$4=0,0,IF(COUNTIFS(実績!$W$6:$W$505,AD$3,実績!$AI$6:$AI$505,"&lt;="&amp;$A176,実績!$AJ$6:$AJ$505,"&gt;"&amp;$A176,実績!$AL$6:$AL$505,"○")&gt;0,1,0))</f>
        <v>0</v>
      </c>
      <c r="AE176" s="39" t="n">
        <f aca="false">IF(AE$4=0,0,IF(COUNTIFS(実績!$W$6:$W$505,AE$3,実績!$AI$6:$AI$505,"&lt;="&amp;$A176,実績!$AJ$6:$AJ$505,"&gt;"&amp;$A176,実績!$AL$6:$AL$505,"○")&gt;0,1,0))</f>
        <v>0</v>
      </c>
      <c r="AF176" s="39" t="n">
        <f aca="false">IF(AF$4=0,0,IF(COUNTIFS(実績!$W$6:$W$505,AF$3,実績!$AI$6:$AI$505,"&lt;="&amp;$A176,実績!$AJ$6:$AJ$505,"&gt;"&amp;$A176,実績!$AL$6:$AL$505,"○")&gt;0,1,0))</f>
        <v>0</v>
      </c>
      <c r="AG176" s="39" t="n">
        <f aca="false">IF(AG$4=0,0,IF(COUNTIFS(実績!$W$6:$W$505,AG$3,実績!$AI$6:$AI$505,"&lt;="&amp;$A176,実績!$AJ$6:$AJ$505,"&gt;"&amp;$A176,実績!$AL$6:$AL$505,"○")&gt;0,1,0))</f>
        <v>0</v>
      </c>
      <c r="AH176" s="39" t="n">
        <f aca="false">IF(AH$4=0,0,IF(COUNTIFS(実績!$W$6:$W$505,AH$3,実績!$AI$6:$AI$505,"&lt;="&amp;$A176,実績!$AJ$6:$AJ$505,"&gt;"&amp;$A176,実績!$AL$6:$AL$505,"○")&gt;0,1,0))</f>
        <v>0</v>
      </c>
      <c r="AI176" s="39" t="n">
        <f aca="false">IF(AI$4=0,0,IF(COUNTIFS(実績!$W$6:$W$505,AI$3,実績!$AI$6:$AI$505,"&lt;="&amp;$A176,実績!$AJ$6:$AJ$505,"&gt;"&amp;$A176,実績!$AL$6:$AL$505,"○")&gt;0,1,0))</f>
        <v>0</v>
      </c>
      <c r="AJ176" s="39" t="n">
        <f aca="false">IF(AJ$4=0,0,IF(COUNTIFS(実績!$W$6:$W$505,AJ$3,実績!$AI$6:$AI$505,"&lt;="&amp;$A176,実績!$AJ$6:$AJ$505,"&gt;"&amp;$A176,実績!$AL$6:$AL$505,"○")&gt;0,1,0))</f>
        <v>0</v>
      </c>
      <c r="AK176" s="39" t="n">
        <f aca="false">IF(AK$4=0,0,IF(COUNTIFS(実績!$W$6:$W$505,AK$3,実績!$AI$6:$AI$505,"&lt;="&amp;$A176,実績!$AJ$6:$AJ$505,"&gt;"&amp;$A176,実績!$AL$6:$AL$505,"○")&gt;0,1,0))</f>
        <v>0</v>
      </c>
      <c r="AL176" s="39" t="n">
        <f aca="false">IF(AL$4=0,0,IF(COUNTIFS(実績!$W$6:$W$505,AL$3,実績!$AI$6:$AI$505,"&lt;="&amp;$A176,実績!$AJ$6:$AJ$505,"&gt;"&amp;$A176,実績!$AL$6:$AL$505,"○")&gt;0,1,0))</f>
        <v>0</v>
      </c>
      <c r="AM176" s="39" t="n">
        <f aca="false">IF(AM$4=0,0,IF(COUNTIFS(実績!$W$6:$W$505,AM$3,実績!$AI$6:$AI$505,"&lt;="&amp;$A176,実績!$AJ$6:$AJ$505,"&gt;"&amp;$A176,実績!$AL$6:$AL$505,"○")&gt;0,1,0))</f>
        <v>0</v>
      </c>
      <c r="AN176" s="39" t="n">
        <f aca="false">IF(AN$4=0,0,IF(COUNTIFS(実績!$W$6:$W$505,AN$3,実績!$AI$6:$AI$505,"&lt;="&amp;$A176,実績!$AJ$6:$AJ$505,"&gt;"&amp;$A176,実績!$AL$6:$AL$505,"○")&gt;0,1,0))</f>
        <v>0</v>
      </c>
      <c r="AO176" s="39" t="n">
        <f aca="false">IF(AO$4=0,0,IF(COUNTIFS(実績!$W$6:$W$505,AO$3,実績!$AI$6:$AI$505,"&lt;="&amp;$A176,実績!$AJ$6:$AJ$505,"&gt;"&amp;$A176,実績!$AL$6:$AL$505,"○")&gt;0,1,0))</f>
        <v>0</v>
      </c>
      <c r="AP176" s="39" t="n">
        <f aca="false">IF(AP$4=0,0,IF(COUNTIFS(実績!$W$6:$W$505,AP$3,実績!$AI$6:$AI$505,"&lt;="&amp;$A176,実績!$AJ$6:$AJ$505,"&gt;"&amp;$A176,実績!$AL$6:$AL$505,"○")&gt;0,1,0))</f>
        <v>0</v>
      </c>
      <c r="AQ176" s="39" t="n">
        <f aca="false">IF(AQ$4=0,0,IF(COUNTIFS(実績!$W$6:$W$505,AQ$3,実績!$AI$6:$AI$505,"&lt;="&amp;$A176,実績!$AJ$6:$AJ$505,"&gt;"&amp;$A176,実績!$AL$6:$AL$505,"○")&gt;0,1,0))</f>
        <v>0</v>
      </c>
      <c r="AR176" s="39" t="n">
        <f aca="false">IF(AR$4=0,0,IF(COUNTIFS(実績!$W$6:$W$505,AR$3,実績!$AI$6:$AI$505,"&lt;="&amp;$A176,実績!$AJ$6:$AJ$505,"&gt;"&amp;$A176,実績!$AL$6:$AL$505,"○")&gt;0,1,0))</f>
        <v>0</v>
      </c>
      <c r="AS176" s="39" t="n">
        <f aca="false">IF(AS$4=0,0,IF(COUNTIFS(実績!$W$6:$W$505,AS$3,実績!$AI$6:$AI$505,"&lt;="&amp;$A176,実績!$AJ$6:$AJ$505,"&gt;"&amp;$A176,実績!$AL$6:$AL$505,"○")&gt;0,1,0))</f>
        <v>0</v>
      </c>
      <c r="AT176" s="39" t="n">
        <f aca="false">IF(AT$4=0,0,IF(COUNTIFS(実績!$W$6:$W$505,AT$3,実績!$AI$6:$AI$505,"&lt;="&amp;$A176,実績!$AJ$6:$AJ$505,"&gt;"&amp;$A176,実績!$AL$6:$AL$505,"○")&gt;0,1,0))</f>
        <v>0</v>
      </c>
      <c r="AU176" s="39" t="n">
        <f aca="false">IF(AU$4=0,0,IF(COUNTIFS(実績!$W$6:$W$505,AU$3,実績!$AI$6:$AI$505,"&lt;="&amp;$A176,実績!$AJ$6:$AJ$505,"&gt;"&amp;$A176,実績!$AL$6:$AL$505,"○")&gt;0,1,0))</f>
        <v>0</v>
      </c>
      <c r="AV176" s="39" t="n">
        <f aca="false">IF(AV$4=0,0,IF(COUNTIFS(実績!$W$6:$W$505,AV$3,実績!$AI$6:$AI$505,"&lt;="&amp;$A176,実績!$AJ$6:$AJ$505,"&gt;"&amp;$A176,実績!$AL$6:$AL$505,"○")&gt;0,1,0))</f>
        <v>0</v>
      </c>
      <c r="AW176" s="39" t="n">
        <f aca="false">IF(AW$4=0,0,IF(COUNTIFS(実績!$W$6:$W$505,AW$3,実績!$AI$6:$AI$505,"&lt;="&amp;$A176,実績!$AJ$6:$AJ$505,"&gt;"&amp;$A176,実績!$AL$6:$AL$505,"○")&gt;0,1,0))</f>
        <v>0</v>
      </c>
      <c r="AX176" s="39" t="n">
        <f aca="false">IF(AX$4=0,0,IF(COUNTIFS(実績!$W$6:$W$505,AX$3,実績!$AI$6:$AI$505,"&lt;="&amp;$A176,実績!$AJ$6:$AJ$505,"&gt;"&amp;$A176,実績!$AL$6:$AL$505,"○")&gt;0,1,0))</f>
        <v>0</v>
      </c>
      <c r="AY176" s="39" t="n">
        <f aca="false">IF(AY$4=0,0,IF(COUNTIFS(実績!$W$6:$W$505,AY$3,実績!$AI$6:$AI$505,"&lt;="&amp;$A176,実績!$AJ$6:$AJ$505,"&gt;"&amp;$A176,実績!$AL$6:$AL$505,"○")&gt;0,1,0))</f>
        <v>0</v>
      </c>
      <c r="AZ176" s="39" t="n">
        <f aca="false">IF(AZ$4=0,0,IF(COUNTIFS(実績!$W$6:$W$505,AZ$3,実績!$AI$6:$AI$505,"&lt;="&amp;$A176,実績!$AJ$6:$AJ$505,"&gt;"&amp;$A176,実績!$AL$6:$AL$505,"○")&gt;0,1,0))</f>
        <v>0</v>
      </c>
      <c r="BA176" s="39" t="n">
        <f aca="false">IF(BA$4=0,0,IF(COUNTIFS(実績!$W$6:$W$505,BA$3,実績!$AI$6:$AI$505,"&lt;="&amp;$A176,実績!$AJ$6:$AJ$505,"&gt;"&amp;$A176,実績!$AL$6:$AL$505,"○")&gt;0,1,0))</f>
        <v>0</v>
      </c>
      <c r="BB176" s="39" t="n">
        <f aca="false">IF(BB$4=0,0,IF(COUNTIFS(実績!$W$6:$W$505,BB$3,実績!$AI$6:$AI$505,"&lt;="&amp;$A176,実績!$AJ$6:$AJ$505,"&gt;"&amp;$A176,実績!$AL$6:$AL$505,"○")&gt;0,1,0))</f>
        <v>0</v>
      </c>
      <c r="BC176" s="39" t="n">
        <f aca="false">IF(BC$4=0,0,IF(COUNTIFS(実績!$W$6:$W$505,BC$3,実績!$AI$6:$AI$505,"&lt;="&amp;$A176,実績!$AJ$6:$AJ$505,"&gt;"&amp;$A176,実績!$AL$6:$AL$505,"○")&gt;0,1,0))</f>
        <v>0</v>
      </c>
      <c r="BD176" s="39" t="n">
        <f aca="false">IF(BD$4=0,0,IF(COUNTIFS(実績!$W$6:$W$505,BD$3,実績!$AI$6:$AI$505,"&lt;="&amp;$A176,実績!$AJ$6:$AJ$505,"&gt;"&amp;$A176,実績!$AL$6:$AL$505,"○")&gt;0,1,0))</f>
        <v>0</v>
      </c>
      <c r="BE176" s="39" t="n">
        <f aca="false">IF(BE$4=0,0,IF(COUNTIFS(実績!$W$6:$W$505,BE$3,実績!$AI$6:$AI$505,"&lt;="&amp;$A176,実績!$AJ$6:$AJ$505,"&gt;"&amp;$A176,実績!$AL$6:$AL$505,"○")&gt;0,1,0))</f>
        <v>0</v>
      </c>
      <c r="BF176" s="39" t="n">
        <f aca="false">IF(BF$4=0,0,IF(COUNTIFS(実績!$W$6:$W$505,BF$3,実績!$AI$6:$AI$505,"&lt;="&amp;$A176,実績!$AJ$6:$AJ$505,"&gt;"&amp;$A176,実績!$AL$6:$AL$505,"○")&gt;0,1,0))</f>
        <v>0</v>
      </c>
      <c r="BG176" s="39" t="n">
        <f aca="false">IF(BG$4=0,0,IF(COUNTIFS(実績!$W$6:$W$505,BG$3,実績!$AI$6:$AI$505,"&lt;="&amp;$A176,実績!$AJ$6:$AJ$505,"&gt;"&amp;$A176,実績!$AL$6:$AL$505,"○")&gt;0,1,0))</f>
        <v>0</v>
      </c>
      <c r="BH176" s="39" t="n">
        <f aca="false">IF(BH$4=0,0,IF(COUNTIFS(実績!$W$6:$W$505,BH$3,実績!$AI$6:$AI$505,"&lt;="&amp;$A176,実績!$AJ$6:$AJ$505,"&gt;"&amp;$A176,実績!$AL$6:$AL$505,"○")&gt;0,1,0))</f>
        <v>0</v>
      </c>
      <c r="BI176" s="39" t="n">
        <f aca="false">IF(BI$4=0,0,IF(COUNTIFS(実績!$W$6:$W$505,BI$3,実績!$AI$6:$AI$505,"&lt;="&amp;$A176,実績!$AJ$6:$AJ$505,"&gt;"&amp;$A176,実績!$AL$6:$AL$505,"○")&gt;0,1,0))</f>
        <v>0</v>
      </c>
      <c r="BJ176" s="39" t="n">
        <f aca="false">IF(BJ$4=0,0,IF(COUNTIFS(実績!$W$6:$W$505,BJ$3,実績!$AI$6:$AI$505,"&lt;="&amp;$A176,実績!$AJ$6:$AJ$505,"&gt;"&amp;$A176,実績!$AL$6:$AL$505,"○")&gt;0,1,0))</f>
        <v>0</v>
      </c>
      <c r="BK176" s="39" t="n">
        <f aca="false">IF(BK$4=0,0,IF(COUNTIFS(実績!$W$6:$W$505,BK$3,実績!$AI$6:$AI$505,"&lt;="&amp;$A176,実績!$AJ$6:$AJ$505,"&gt;"&amp;$A176,実績!$AL$6:$AL$505,"○")&gt;0,1,0))</f>
        <v>0</v>
      </c>
      <c r="BL176" s="39" t="n">
        <f aca="false">IF(BL$4=0,0,IF(COUNTIFS(実績!$W$6:$W$505,BL$3,実績!$AI$6:$AI$505,"&lt;="&amp;$A176,実績!$AJ$6:$AJ$505,"&gt;"&amp;$A176,実績!$AL$6:$AL$505,"○")&gt;0,1,0))</f>
        <v>0</v>
      </c>
      <c r="BM176" s="39" t="n">
        <f aca="false">IF(BM$4=0,0,IF(COUNTIFS(実績!$W$6:$W$505,BM$3,実績!$AI$6:$AI$505,"&lt;="&amp;$A176,実績!$AJ$6:$AJ$505,"&gt;"&amp;$A176,実績!$AL$6:$AL$505,"○")&gt;0,1,0))</f>
        <v>0</v>
      </c>
      <c r="BN176" s="39" t="n">
        <f aca="false">IF(BN$4=0,0,IF(COUNTIFS(実績!$W$6:$W$505,BN$3,実績!$AI$6:$AI$505,"&lt;="&amp;$A176,実績!$AJ$6:$AJ$505,"&gt;"&amp;$A176,実績!$AL$6:$AL$505,"○")&gt;0,1,0))</f>
        <v>0</v>
      </c>
      <c r="BO176" s="39" t="n">
        <f aca="false">IF(BO$4=0,0,IF(COUNTIFS(実績!$W$6:$W$505,BO$3,実績!$AI$6:$AI$505,"&lt;="&amp;$A176,実績!$AJ$6:$AJ$505,"&gt;"&amp;$A176,実績!$AL$6:$AL$505,"○")&gt;0,1,0))</f>
        <v>0</v>
      </c>
      <c r="BP176" s="39" t="n">
        <f aca="false">IF(BP$4=0,0,IF(COUNTIFS(実績!$W$6:$W$505,BP$3,実績!$AI$6:$AI$505,"&lt;="&amp;$A176,実績!$AJ$6:$AJ$505,"&gt;"&amp;$A176,実績!$AL$6:$AL$505,"○")&gt;0,1,0))</f>
        <v>0</v>
      </c>
      <c r="BQ176" s="39" t="n">
        <f aca="false">IF(BQ$4=0,0,IF(COUNTIFS(実績!$W$6:$W$505,BQ$3,実績!$AI$6:$AI$505,"&lt;="&amp;$A176,実績!$AJ$6:$AJ$505,"&gt;"&amp;$A176,実績!$AL$6:$AL$505,"○")&gt;0,1,0))</f>
        <v>0</v>
      </c>
      <c r="BR176" s="39" t="n">
        <f aca="false">IF(BR$4=0,0,IF(COUNTIFS(実績!$W$6:$W$505,BR$3,実績!$AI$6:$AI$505,"&lt;="&amp;$A176,実績!$AJ$6:$AJ$505,"&gt;"&amp;$A176,実績!$AL$6:$AL$505,"○")&gt;0,1,0))</f>
        <v>0</v>
      </c>
      <c r="BS176" s="39" t="n">
        <f aca="false">IF(BS$4=0,0,IF(COUNTIFS(実績!$W$6:$W$505,BS$3,実績!$AI$6:$AI$505,"&lt;="&amp;$A176,実績!$AJ$6:$AJ$505,"&gt;"&amp;$A176,実績!$AL$6:$AL$505,"○")&gt;0,1,0))</f>
        <v>0</v>
      </c>
      <c r="BT176" s="39" t="n">
        <f aca="false">IF(BT$4=0,0,IF(COUNTIFS(実績!$W$6:$W$505,BT$3,実績!$AI$6:$AI$505,"&lt;="&amp;$A176,実績!$AJ$6:$AJ$505,"&gt;"&amp;$A176,実績!$AL$6:$AL$505,"○")&gt;0,1,0))</f>
        <v>0</v>
      </c>
      <c r="BU176" s="39" t="n">
        <f aca="false">IF(BU$4=0,0,IF(COUNTIFS(実績!$W$6:$W$505,BU$3,実績!$AI$6:$AI$505,"&lt;="&amp;$A176,実績!$AJ$6:$AJ$505,"&gt;"&amp;$A176,実績!$AL$6:$AL$505,"○")&gt;0,1,0))</f>
        <v>0</v>
      </c>
      <c r="BV176" s="39" t="n">
        <f aca="false">IF(BV$4=0,0,IF(COUNTIFS(実績!$W$6:$W$505,BV$3,実績!$AI$6:$AI$505,"&lt;="&amp;$A176,実績!$AJ$6:$AJ$505,"&gt;"&amp;$A176,実績!$AL$6:$AL$505,"○")&gt;0,1,0))</f>
        <v>0</v>
      </c>
      <c r="BW176" s="39" t="n">
        <f aca="false">IF(BW$4=0,0,IF(COUNTIFS(実績!$W$6:$W$505,BW$3,実績!$AI$6:$AI$505,"&lt;="&amp;$A176,実績!$AJ$6:$AJ$505,"&gt;"&amp;$A176,実績!$AL$6:$AL$505,"○")&gt;0,1,0))</f>
        <v>0</v>
      </c>
      <c r="BX176" s="39" t="n">
        <f aca="false">IF(BX$4=0,0,IF(COUNTIFS(実績!$W$6:$W$505,BX$3,実績!$AI$6:$AI$505,"&lt;="&amp;$A176,実績!$AJ$6:$AJ$505,"&gt;"&amp;$A176,実績!$AL$6:$AL$505,"○")&gt;0,1,0))</f>
        <v>0</v>
      </c>
      <c r="BY176" s="39" t="n">
        <f aca="false">IF(BY$4=0,0,IF(COUNTIFS(実績!$W$6:$W$505,BY$3,実績!$AI$6:$AI$505,"&lt;="&amp;$A176,実績!$AJ$6:$AJ$505,"&gt;"&amp;$A176,実績!$AL$6:$AL$505,"○")&gt;0,1,0))</f>
        <v>0</v>
      </c>
      <c r="BZ176" s="39" t="n">
        <f aca="false">IF(BZ$4=0,0,IF(COUNTIFS(実績!$W$6:$W$505,BZ$3,実績!$AI$6:$AI$505,"&lt;="&amp;$A176,実績!$AJ$6:$AJ$505,"&gt;"&amp;$A176,実績!$AL$6:$AL$505,"○")&gt;0,1,0))</f>
        <v>0</v>
      </c>
      <c r="CA176" s="39" t="n">
        <f aca="false">IF(CA$4=0,0,IF(COUNTIFS(実績!$W$6:$W$505,CA$3,実績!$AI$6:$AI$505,"&lt;="&amp;$A176,実績!$AJ$6:$AJ$505,"&gt;"&amp;$A176,実績!$AL$6:$AL$505,"○")&gt;0,1,0))</f>
        <v>0</v>
      </c>
      <c r="CB176" s="39" t="n">
        <f aca="false">IF(CB$4=0,0,IF(COUNTIFS(実績!$W$6:$W$505,CB$3,実績!$AI$6:$AI$505,"&lt;="&amp;$A176,実績!$AJ$6:$AJ$505,"&gt;"&amp;$A176,実績!$AL$6:$AL$505,"○")&gt;0,1,0))</f>
        <v>0</v>
      </c>
      <c r="CC176" s="39" t="n">
        <f aca="false">IF(CC$4=0,0,IF(COUNTIFS(実績!$W$6:$W$505,CC$3,実績!$AI$6:$AI$505,"&lt;="&amp;$A176,実績!$AJ$6:$AJ$505,"&gt;"&amp;$A176,実績!$AL$6:$AL$505,"○")&gt;0,1,0))</f>
        <v>0</v>
      </c>
      <c r="CD176" s="39" t="n">
        <f aca="false">IF(CD$4=0,0,IF(COUNTIFS(実績!$W$6:$W$505,CD$3,実績!$AI$6:$AI$505,"&lt;="&amp;$A176,実績!$AJ$6:$AJ$505,"&gt;"&amp;$A176,実績!$AL$6:$AL$505,"○")&gt;0,1,0))</f>
        <v>0</v>
      </c>
      <c r="CE176" s="39" t="n">
        <f aca="false">IF(CE$4=0,0,IF(COUNTIFS(実績!$W$6:$W$505,CE$3,実績!$AI$6:$AI$505,"&lt;="&amp;$A176,実績!$AJ$6:$AJ$505,"&gt;"&amp;$A176,実績!$AL$6:$AL$505,"○")&gt;0,1,0))</f>
        <v>0</v>
      </c>
      <c r="CF176" s="39" t="n">
        <f aca="false">IF(CF$4=0,0,IF(COUNTIFS(実績!$W$6:$W$505,CF$3,実績!$AI$6:$AI$505,"&lt;="&amp;$A176,実績!$AJ$6:$AJ$505,"&gt;"&amp;$A176,実績!$AL$6:$AL$505,"○")&gt;0,1,0))</f>
        <v>0</v>
      </c>
      <c r="CG176" s="39" t="n">
        <f aca="false">IF(CG$4=0,0,IF(COUNTIFS(実績!$W$6:$W$505,CG$3,実績!$AI$6:$AI$505,"&lt;="&amp;$A176,実績!$AJ$6:$AJ$505,"&gt;"&amp;$A176,実績!$AL$6:$AL$505,"○")&gt;0,1,0))</f>
        <v>0</v>
      </c>
      <c r="CH176" s="39" t="n">
        <f aca="false">IF(CH$4=0,0,IF(COUNTIFS(実績!$W$6:$W$505,CH$3,実績!$AI$6:$AI$505,"&lt;="&amp;$A176,実績!$AJ$6:$AJ$505,"&gt;"&amp;$A176,実績!$AL$6:$AL$505,"○")&gt;0,1,0))</f>
        <v>0</v>
      </c>
      <c r="CI176" s="39" t="n">
        <f aca="false">IF(CI$4=0,0,IF(COUNTIFS(実績!$W$6:$W$505,CI$3,実績!$AI$6:$AI$505,"&lt;="&amp;$A176,実績!$AJ$6:$AJ$505,"&gt;"&amp;$A176,実績!$AL$6:$AL$505,"○")&gt;0,1,0))</f>
        <v>0</v>
      </c>
      <c r="CJ176" s="39" t="n">
        <f aca="false">IF(CJ$4=0,0,IF(COUNTIFS(実績!$W$6:$W$505,CJ$3,実績!$AI$6:$AI$505,"&lt;="&amp;$A176,実績!$AJ$6:$AJ$505,"&gt;"&amp;$A176,実績!$AL$6:$AL$505,"○")&gt;0,1,0))</f>
        <v>0</v>
      </c>
      <c r="CK176" s="39" t="n">
        <f aca="false">IF(CK$4=0,0,IF(COUNTIFS(実績!$W$6:$W$505,CK$3,実績!$AI$6:$AI$505,"&lt;="&amp;$A176,実績!$AJ$6:$AJ$505,"&gt;"&amp;$A176,実績!$AL$6:$AL$505,"○")&gt;0,1,0))</f>
        <v>0</v>
      </c>
      <c r="CL176" s="39" t="n">
        <f aca="false">IF(CL$4=0,0,IF(COUNTIFS(実績!$W$6:$W$505,CL$3,実績!$AI$6:$AI$505,"&lt;="&amp;$A176,実績!$AJ$6:$AJ$505,"&gt;"&amp;$A176,実績!$AL$6:$AL$505,"○")&gt;0,1,0))</f>
        <v>0</v>
      </c>
      <c r="CM176" s="39" t="n">
        <f aca="false">IF(CM$4=0,0,IF(COUNTIFS(実績!$W$6:$W$505,CM$3,実績!$AI$6:$AI$505,"&lt;="&amp;$A176,実績!$AJ$6:$AJ$505,"&gt;"&amp;$A176,実績!$AL$6:$AL$505,"○")&gt;0,1,0))</f>
        <v>0</v>
      </c>
      <c r="CN176" s="39" t="n">
        <f aca="false">IF(CN$4=0,0,IF(COUNTIFS(実績!$W$6:$W$505,CN$3,実績!$AI$6:$AI$505,"&lt;="&amp;$A176,実績!$AJ$6:$AJ$505,"&gt;"&amp;$A176,実績!$AL$6:$AL$505,"○")&gt;0,1,0))</f>
        <v>0</v>
      </c>
      <c r="CO176" s="39" t="n">
        <f aca="false">IF(CO$4=0,0,IF(COUNTIFS(実績!$W$6:$W$505,CO$3,実績!$AI$6:$AI$505,"&lt;="&amp;$A176,実績!$AJ$6:$AJ$505,"&gt;"&amp;$A176,実績!$AL$6:$AL$505,"○")&gt;0,1,0))</f>
        <v>0</v>
      </c>
      <c r="CP176" s="39" t="n">
        <f aca="false">IF(CP$4=0,0,IF(COUNTIFS(実績!$W$6:$W$505,CP$3,実績!$AI$6:$AI$505,"&lt;="&amp;$A176,実績!$AJ$6:$AJ$505,"&gt;"&amp;$A176,実績!$AL$6:$AL$505,"○")&gt;0,1,0))</f>
        <v>0</v>
      </c>
      <c r="CQ176" s="39" t="n">
        <f aca="false">IF(CQ$4=0,0,IF(COUNTIFS(実績!$W$6:$W$505,CQ$3,実績!$AI$6:$AI$505,"&lt;="&amp;$A176,実績!$AJ$6:$AJ$505,"&gt;"&amp;$A176,実績!$AL$6:$AL$505,"○")&gt;0,1,0))</f>
        <v>0</v>
      </c>
      <c r="CR176" s="39" t="n">
        <f aca="false">IF(CR$4=0,0,IF(COUNTIFS(実績!$W$6:$W$505,CR$3,実績!$AI$6:$AI$505,"&lt;="&amp;$A176,実績!$AJ$6:$AJ$505,"&gt;"&amp;$A176,実績!$AL$6:$AL$505,"○")&gt;0,1,0))</f>
        <v>0</v>
      </c>
      <c r="CS176" s="39" t="n">
        <f aca="false">IF(CS$4=0,0,IF(COUNTIFS(実績!$W$6:$W$505,CS$3,実績!$AI$6:$AI$505,"&lt;="&amp;$A176,実績!$AJ$6:$AJ$505,"&gt;"&amp;$A176,実績!$AL$6:$AL$505,"○")&gt;0,1,0))</f>
        <v>0</v>
      </c>
      <c r="CT176" s="39" t="n">
        <f aca="false">IF(CT$4=0,0,IF(COUNTIFS(実績!$W$6:$W$505,CT$3,実績!$AI$6:$AI$505,"&lt;="&amp;$A176,実績!$AJ$6:$AJ$505,"&gt;"&amp;$A176,実績!$AL$6:$AL$505,"○")&gt;0,1,0))</f>
        <v>0</v>
      </c>
      <c r="CU176" s="39" t="n">
        <f aca="false">IF(CU$4=0,0,IF(COUNTIFS(実績!$W$6:$W$505,CU$3,実績!$AI$6:$AI$505,"&lt;="&amp;$A176,実績!$AJ$6:$AJ$505,"&gt;"&amp;$A176,実績!$AL$6:$AL$505,"○")&gt;0,1,0))</f>
        <v>0</v>
      </c>
      <c r="CV176" s="39" t="n">
        <f aca="false">IF(CV$4=0,0,IF(COUNTIFS(実績!$W$6:$W$505,CV$3,実績!$AI$6:$AI$505,"&lt;="&amp;$A176,実績!$AJ$6:$AJ$505,"&gt;"&amp;$A176,実績!$AL$6:$AL$505,"○")&gt;0,1,0))</f>
        <v>0</v>
      </c>
      <c r="CW176" s="39" t="n">
        <f aca="false">IF(CW$4=0,0,IF(COUNTIFS(実績!$W$6:$W$505,CW$3,実績!$AI$6:$AI$505,"&lt;="&amp;$A176,実績!$AJ$6:$AJ$505,"&gt;"&amp;$A176,実績!$AL$6:$AL$505,"○")&gt;0,1,0))</f>
        <v>0</v>
      </c>
      <c r="CX176" s="39" t="n">
        <f aca="false">IF(CX$4=0,0,IF(COUNTIFS(実績!$W$6:$W$505,CX$3,実績!$AI$6:$AI$505,"&lt;="&amp;$A176,実績!$AJ$6:$AJ$505,"&gt;"&amp;$A176,実績!$AL$6:$AL$505,"○")&gt;0,1,0))</f>
        <v>0</v>
      </c>
      <c r="CY176" s="39" t="n">
        <f aca="false">IF(CY$4=0,0,IF(COUNTIFS(実績!$W$6:$W$505,CY$3,実績!$AI$6:$AI$505,"&lt;="&amp;$A176,実績!$AJ$6:$AJ$505,"&gt;"&amp;$A176,実績!$AL$6:$AL$505,"○")&gt;0,1,0))</f>
        <v>0</v>
      </c>
      <c r="CZ176" s="39" t="n">
        <f aca="false">IF(CZ$4=0,0,IF(COUNTIFS(実績!$W$6:$W$505,CZ$3,実績!$AI$6:$AI$505,"&lt;="&amp;$A176,実績!$AJ$6:$AJ$505,"&gt;"&amp;$A176,実績!$AL$6:$AL$505,"○")&gt;0,1,0))</f>
        <v>0</v>
      </c>
      <c r="DA176" s="39" t="n">
        <f aca="false">IF(DA$4=0,0,IF(COUNTIFS(実績!$W$6:$W$505,DA$3,実績!$AI$6:$AI$505,"&lt;="&amp;$A176,実績!$AJ$6:$AJ$505,"&gt;"&amp;$A176,実績!$AL$6:$AL$505,"○")&gt;0,1,0))</f>
        <v>0</v>
      </c>
      <c r="DB176" s="39" t="n">
        <f aca="false">IF(DB$4=0,0,IF(COUNTIFS(実績!$W$6:$W$505,DB$3,実績!$AI$6:$AI$505,"&lt;="&amp;$A176,実績!$AJ$6:$AJ$505,"&gt;"&amp;$A176,実績!$AL$6:$AL$505,"○")&gt;0,1,0))</f>
        <v>0</v>
      </c>
      <c r="DC176" s="39" t="n">
        <f aca="false">IF(DC$4=0,0,IF(COUNTIFS(実績!$W$6:$W$505,DC$3,実績!$AI$6:$AI$505,"&lt;="&amp;$A176,実績!$AJ$6:$AJ$505,"&gt;"&amp;$A176,実績!$AL$6:$AL$505,"○")&gt;0,1,0))</f>
        <v>0</v>
      </c>
      <c r="DD176" s="39" t="n">
        <f aca="false">IF(DD$4=0,0,IF(COUNTIFS(実績!$W$6:$W$505,DD$3,実績!$AI$6:$AI$505,"&lt;="&amp;$A176,実績!$AJ$6:$AJ$505,"&gt;"&amp;$A176,実績!$AL$6:$AL$505,"○")&gt;0,1,0))</f>
        <v>0</v>
      </c>
      <c r="DE176" s="39" t="n">
        <f aca="false">IF(DE$4=0,0,IF(COUNTIFS(実績!$W$6:$W$505,DE$3,実績!$AI$6:$AI$505,"&lt;="&amp;$A176,実績!$AJ$6:$AJ$505,"&gt;"&amp;$A176,実績!$AL$6:$AL$505,"○")&gt;0,1,0))</f>
        <v>0</v>
      </c>
      <c r="DF176" s="39" t="n">
        <f aca="false">IF(DF$4=0,0,IF(COUNTIFS(実績!$W$6:$W$505,DF$3,実績!$AI$6:$AI$505,"&lt;="&amp;$A176,実績!$AJ$6:$AJ$505,"&gt;"&amp;$A176,実績!$AL$6:$AL$505,"○")&gt;0,1,0))</f>
        <v>0</v>
      </c>
      <c r="DG176" s="39" t="n">
        <f aca="false">IF(DG$4=0,0,IF(COUNTIFS(実績!$W$6:$W$505,DG$3,実績!$AI$6:$AI$505,"&lt;="&amp;$A176,実績!$AJ$6:$AJ$505,"&gt;"&amp;$A176,実績!$AL$6:$AL$505,"○")&gt;0,1,0))</f>
        <v>0</v>
      </c>
      <c r="DH176" s="39" t="n">
        <f aca="false">IF(DH$4=0,0,IF(COUNTIFS(実績!$W$6:$W$505,DH$3,実績!$AI$6:$AI$505,"&lt;="&amp;$A176,実績!$AJ$6:$AJ$505,"&gt;"&amp;$A176,実績!$AL$6:$AL$505,"○")&gt;0,1,0))</f>
        <v>0</v>
      </c>
      <c r="DI176" s="39" t="n">
        <f aca="false">IF(DI$4=0,0,IF(COUNTIFS(実績!$W$6:$W$505,DI$3,実績!$AI$6:$AI$505,"&lt;="&amp;$A176,実績!$AJ$6:$AJ$505,"&gt;"&amp;$A176,実績!$AL$6:$AL$505,"○")&gt;0,1,0))</f>
        <v>0</v>
      </c>
      <c r="DJ176" s="39" t="n">
        <f aca="false">IF(DJ$4=0,0,IF(COUNTIFS(実績!$W$6:$W$505,DJ$3,実績!$AI$6:$AI$505,"&lt;="&amp;$A176,実績!$AJ$6:$AJ$505,"&gt;"&amp;$A176,実績!$AL$6:$AL$505,"○")&gt;0,1,0))</f>
        <v>0</v>
      </c>
      <c r="DK176" s="39" t="n">
        <f aca="false">IF(DK$4=0,0,IF(COUNTIFS(実績!$W$6:$W$505,DK$3,実績!$AI$6:$AI$505,"&lt;="&amp;$A176,実績!$AJ$6:$AJ$505,"&gt;"&amp;$A176,実績!$AL$6:$AL$505,"○")&gt;0,1,0))</f>
        <v>0</v>
      </c>
      <c r="DL176" s="39" t="n">
        <f aca="false">IF(DL$4=0,0,IF(COUNTIFS(実績!$W$6:$W$505,DL$3,実績!$AI$6:$AI$505,"&lt;="&amp;$A176,実績!$AJ$6:$AJ$505,"&gt;"&amp;$A176,実績!$AL$6:$AL$505,"○")&gt;0,1,0))</f>
        <v>0</v>
      </c>
      <c r="DM176" s="39" t="n">
        <f aca="false">IF(DM$4=0,0,IF(COUNTIFS(実績!$W$6:$W$505,DM$3,実績!$AI$6:$AI$505,"&lt;="&amp;$A176,実績!$AJ$6:$AJ$505,"&gt;"&amp;$A176,実績!$AL$6:$AL$505,"○")&gt;0,1,0))</f>
        <v>0</v>
      </c>
      <c r="DN176" s="39" t="n">
        <f aca="false">IF(DN$4=0,0,IF(COUNTIFS(実績!$W$6:$W$505,DN$3,実績!$AI$6:$AI$505,"&lt;="&amp;$A176,実績!$AJ$6:$AJ$505,"&gt;"&amp;$A176,実績!$AL$6:$AL$505,"○")&gt;0,1,0))</f>
        <v>0</v>
      </c>
      <c r="DO176" s="39" t="n">
        <f aca="false">IF(DO$4=0,0,IF(COUNTIFS(実績!$W$6:$W$505,DO$3,実績!$AI$6:$AI$505,"&lt;="&amp;$A176,実績!$AJ$6:$AJ$505,"&gt;"&amp;$A176,実績!$AL$6:$AL$505,"○")&gt;0,1,0))</f>
        <v>0</v>
      </c>
      <c r="DP176" s="39" t="n">
        <f aca="false">IF(DP$4=0,0,IF(COUNTIFS(実績!$W$6:$W$505,DP$3,実績!$AI$6:$AI$505,"&lt;="&amp;$A176,実績!$AJ$6:$AJ$505,"&gt;"&amp;$A176,実績!$AL$6:$AL$505,"○")&gt;0,1,0))</f>
        <v>0</v>
      </c>
      <c r="DQ176" s="39" t="n">
        <f aca="false">IF(DQ$4=0,0,IF(COUNTIFS(実績!$W$6:$W$505,DQ$3,実績!$AI$6:$AI$505,"&lt;="&amp;$A176,実績!$AJ$6:$AJ$505,"&gt;"&amp;$A176,実績!$AL$6:$AL$505,"○")&gt;0,1,0))</f>
        <v>0</v>
      </c>
      <c r="DR176" s="39" t="n">
        <f aca="false">IF(DR$4=0,0,IF(COUNTIFS(実績!$W$6:$W$505,DR$3,実績!$AI$6:$AI$505,"&lt;="&amp;$A176,実績!$AJ$6:$AJ$505,"&gt;"&amp;$A176,実績!$AL$6:$AL$505,"○")&gt;0,1,0))</f>
        <v>0</v>
      </c>
      <c r="DS176" s="39" t="n">
        <f aca="false">SUM(C176:DR176)</f>
        <v>0</v>
      </c>
    </row>
    <row r="177" customFormat="false" ht="15" hidden="false" customHeight="false" outlineLevel="0" collapsed="false">
      <c r="A177" s="0" t="n">
        <v>855</v>
      </c>
      <c r="B177" s="38" t="n">
        <f aca="false">A177/1440</f>
        <v>0.59375</v>
      </c>
      <c r="C177" s="39" t="n">
        <f aca="false">IF(C$4=0,0,IF(COUNTIFS(実績!$W$6:$W$505,C$3,実績!$AI$6:$AI$505,"&lt;="&amp;$A177,実績!$AJ$6:$AJ$505,"&gt;"&amp;$A177,実績!$AL$6:$AL$505,"○")&gt;0,1,0))</f>
        <v>0</v>
      </c>
      <c r="D177" s="39" t="n">
        <f aca="false">IF(D$4=0,0,IF(COUNTIFS(実績!$W$6:$W$505,D$3,実績!$AI$6:$AI$505,"&lt;="&amp;$A177,実績!$AJ$6:$AJ$505,"&gt;"&amp;$A177,実績!$AL$6:$AL$505,"○")&gt;0,1,0))</f>
        <v>0</v>
      </c>
      <c r="E177" s="39" t="n">
        <f aca="false">IF(E$4=0,0,IF(COUNTIFS(実績!$W$6:$W$505,E$3,実績!$AI$6:$AI$505,"&lt;="&amp;$A177,実績!$AJ$6:$AJ$505,"&gt;"&amp;$A177,実績!$AL$6:$AL$505,"○")&gt;0,1,0))</f>
        <v>0</v>
      </c>
      <c r="F177" s="39" t="n">
        <f aca="false">IF(F$4=0,0,IF(COUNTIFS(実績!$W$6:$W$505,F$3,実績!$AI$6:$AI$505,"&lt;="&amp;$A177,実績!$AJ$6:$AJ$505,"&gt;"&amp;$A177,実績!$AL$6:$AL$505,"○")&gt;0,1,0))</f>
        <v>0</v>
      </c>
      <c r="G177" s="39" t="n">
        <f aca="false">IF(G$4=0,0,IF(COUNTIFS(実績!$W$6:$W$505,G$3,実績!$AI$6:$AI$505,"&lt;="&amp;$A177,実績!$AJ$6:$AJ$505,"&gt;"&amp;$A177,実績!$AL$6:$AL$505,"○")&gt;0,1,0))</f>
        <v>0</v>
      </c>
      <c r="H177" s="39" t="n">
        <f aca="false">IF(H$4=0,0,IF(COUNTIFS(実績!$W$6:$W$505,H$3,実績!$AI$6:$AI$505,"&lt;="&amp;$A177,実績!$AJ$6:$AJ$505,"&gt;"&amp;$A177,実績!$AL$6:$AL$505,"○")&gt;0,1,0))</f>
        <v>0</v>
      </c>
      <c r="I177" s="39" t="n">
        <f aca="false">IF(I$4=0,0,IF(COUNTIFS(実績!$W$6:$W$505,I$3,実績!$AI$6:$AI$505,"&lt;="&amp;$A177,実績!$AJ$6:$AJ$505,"&gt;"&amp;$A177,実績!$AL$6:$AL$505,"○")&gt;0,1,0))</f>
        <v>0</v>
      </c>
      <c r="J177" s="39" t="n">
        <f aca="false">IF(J$4=0,0,IF(COUNTIFS(実績!$W$6:$W$505,J$3,実績!$AI$6:$AI$505,"&lt;="&amp;$A177,実績!$AJ$6:$AJ$505,"&gt;"&amp;$A177,実績!$AL$6:$AL$505,"○")&gt;0,1,0))</f>
        <v>0</v>
      </c>
      <c r="K177" s="39" t="n">
        <f aca="false">IF(K$4=0,0,IF(COUNTIFS(実績!$W$6:$W$505,K$3,実績!$AI$6:$AI$505,"&lt;="&amp;$A177,実績!$AJ$6:$AJ$505,"&gt;"&amp;$A177,実績!$AL$6:$AL$505,"○")&gt;0,1,0))</f>
        <v>0</v>
      </c>
      <c r="L177" s="39" t="n">
        <f aca="false">IF(L$4=0,0,IF(COUNTIFS(実績!$W$6:$W$505,L$3,実績!$AI$6:$AI$505,"&lt;="&amp;$A177,実績!$AJ$6:$AJ$505,"&gt;"&amp;$A177,実績!$AL$6:$AL$505,"○")&gt;0,1,0))</f>
        <v>0</v>
      </c>
      <c r="M177" s="39" t="n">
        <f aca="false">IF(M$4=0,0,IF(COUNTIFS(実績!$W$6:$W$505,M$3,実績!$AI$6:$AI$505,"&lt;="&amp;$A177,実績!$AJ$6:$AJ$505,"&gt;"&amp;$A177,実績!$AL$6:$AL$505,"○")&gt;0,1,0))</f>
        <v>0</v>
      </c>
      <c r="N177" s="39" t="n">
        <f aca="false">IF(N$4=0,0,IF(COUNTIFS(実績!$W$6:$W$505,N$3,実績!$AI$6:$AI$505,"&lt;="&amp;$A177,実績!$AJ$6:$AJ$505,"&gt;"&amp;$A177,実績!$AL$6:$AL$505,"○")&gt;0,1,0))</f>
        <v>0</v>
      </c>
      <c r="O177" s="39" t="n">
        <f aca="false">IF(O$4=0,0,IF(COUNTIFS(実績!$W$6:$W$505,O$3,実績!$AI$6:$AI$505,"&lt;="&amp;$A177,実績!$AJ$6:$AJ$505,"&gt;"&amp;$A177,実績!$AL$6:$AL$505,"○")&gt;0,1,0))</f>
        <v>0</v>
      </c>
      <c r="P177" s="39" t="n">
        <f aca="false">IF(P$4=0,0,IF(COUNTIFS(実績!$W$6:$W$505,P$3,実績!$AI$6:$AI$505,"&lt;="&amp;$A177,実績!$AJ$6:$AJ$505,"&gt;"&amp;$A177,実績!$AL$6:$AL$505,"○")&gt;0,1,0))</f>
        <v>0</v>
      </c>
      <c r="Q177" s="39" t="n">
        <f aca="false">IF(Q$4=0,0,IF(COUNTIFS(実績!$W$6:$W$505,Q$3,実績!$AI$6:$AI$505,"&lt;="&amp;$A177,実績!$AJ$6:$AJ$505,"&gt;"&amp;$A177,実績!$AL$6:$AL$505,"○")&gt;0,1,0))</f>
        <v>0</v>
      </c>
      <c r="R177" s="39" t="n">
        <f aca="false">IF(R$4=0,0,IF(COUNTIFS(実績!$W$6:$W$505,R$3,実績!$AI$6:$AI$505,"&lt;="&amp;$A177,実績!$AJ$6:$AJ$505,"&gt;"&amp;$A177,実績!$AL$6:$AL$505,"○")&gt;0,1,0))</f>
        <v>0</v>
      </c>
      <c r="S177" s="39" t="n">
        <f aca="false">IF(S$4=0,0,IF(COUNTIFS(実績!$W$6:$W$505,S$3,実績!$AI$6:$AI$505,"&lt;="&amp;$A177,実績!$AJ$6:$AJ$505,"&gt;"&amp;$A177,実績!$AL$6:$AL$505,"○")&gt;0,1,0))</f>
        <v>0</v>
      </c>
      <c r="T177" s="39" t="n">
        <f aca="false">IF(T$4=0,0,IF(COUNTIFS(実績!$W$6:$W$505,T$3,実績!$AI$6:$AI$505,"&lt;="&amp;$A177,実績!$AJ$6:$AJ$505,"&gt;"&amp;$A177,実績!$AL$6:$AL$505,"○")&gt;0,1,0))</f>
        <v>0</v>
      </c>
      <c r="U177" s="39" t="n">
        <f aca="false">IF(U$4=0,0,IF(COUNTIFS(実績!$W$6:$W$505,U$3,実績!$AI$6:$AI$505,"&lt;="&amp;$A177,実績!$AJ$6:$AJ$505,"&gt;"&amp;$A177,実績!$AL$6:$AL$505,"○")&gt;0,1,0))</f>
        <v>0</v>
      </c>
      <c r="V177" s="39" t="n">
        <f aca="false">IF(V$4=0,0,IF(COUNTIFS(実績!$W$6:$W$505,V$3,実績!$AI$6:$AI$505,"&lt;="&amp;$A177,実績!$AJ$6:$AJ$505,"&gt;"&amp;$A177,実績!$AL$6:$AL$505,"○")&gt;0,1,0))</f>
        <v>0</v>
      </c>
      <c r="W177" s="39" t="n">
        <f aca="false">IF(W$4=0,0,IF(COUNTIFS(実績!$W$6:$W$505,W$3,実績!$AI$6:$AI$505,"&lt;="&amp;$A177,実績!$AJ$6:$AJ$505,"&gt;"&amp;$A177,実績!$AL$6:$AL$505,"○")&gt;0,1,0))</f>
        <v>0</v>
      </c>
      <c r="X177" s="39" t="n">
        <f aca="false">IF(X$4=0,0,IF(COUNTIFS(実績!$W$6:$W$505,X$3,実績!$AI$6:$AI$505,"&lt;="&amp;$A177,実績!$AJ$6:$AJ$505,"&gt;"&amp;$A177,実績!$AL$6:$AL$505,"○")&gt;0,1,0))</f>
        <v>0</v>
      </c>
      <c r="Y177" s="39" t="n">
        <f aca="false">IF(Y$4=0,0,IF(COUNTIFS(実績!$W$6:$W$505,Y$3,実績!$AI$6:$AI$505,"&lt;="&amp;$A177,実績!$AJ$6:$AJ$505,"&gt;"&amp;$A177,実績!$AL$6:$AL$505,"○")&gt;0,1,0))</f>
        <v>0</v>
      </c>
      <c r="Z177" s="39" t="n">
        <f aca="false">IF(Z$4=0,0,IF(COUNTIFS(実績!$W$6:$W$505,Z$3,実績!$AI$6:$AI$505,"&lt;="&amp;$A177,実績!$AJ$6:$AJ$505,"&gt;"&amp;$A177,実績!$AL$6:$AL$505,"○")&gt;0,1,0))</f>
        <v>0</v>
      </c>
      <c r="AA177" s="39" t="n">
        <f aca="false">IF(AA$4=0,0,IF(COUNTIFS(実績!$W$6:$W$505,AA$3,実績!$AI$6:$AI$505,"&lt;="&amp;$A177,実績!$AJ$6:$AJ$505,"&gt;"&amp;$A177,実績!$AL$6:$AL$505,"○")&gt;0,1,0))</f>
        <v>0</v>
      </c>
      <c r="AB177" s="39" t="n">
        <f aca="false">IF(AB$4=0,0,IF(COUNTIFS(実績!$W$6:$W$505,AB$3,実績!$AI$6:$AI$505,"&lt;="&amp;$A177,実績!$AJ$6:$AJ$505,"&gt;"&amp;$A177,実績!$AL$6:$AL$505,"○")&gt;0,1,0))</f>
        <v>0</v>
      </c>
      <c r="AC177" s="39" t="n">
        <f aca="false">IF(AC$4=0,0,IF(COUNTIFS(実績!$W$6:$W$505,AC$3,実績!$AI$6:$AI$505,"&lt;="&amp;$A177,実績!$AJ$6:$AJ$505,"&gt;"&amp;$A177,実績!$AL$6:$AL$505,"○")&gt;0,1,0))</f>
        <v>0</v>
      </c>
      <c r="AD177" s="39" t="n">
        <f aca="false">IF(AD$4=0,0,IF(COUNTIFS(実績!$W$6:$W$505,AD$3,実績!$AI$6:$AI$505,"&lt;="&amp;$A177,実績!$AJ$6:$AJ$505,"&gt;"&amp;$A177,実績!$AL$6:$AL$505,"○")&gt;0,1,0))</f>
        <v>0</v>
      </c>
      <c r="AE177" s="39" t="n">
        <f aca="false">IF(AE$4=0,0,IF(COUNTIFS(実績!$W$6:$W$505,AE$3,実績!$AI$6:$AI$505,"&lt;="&amp;$A177,実績!$AJ$6:$AJ$505,"&gt;"&amp;$A177,実績!$AL$6:$AL$505,"○")&gt;0,1,0))</f>
        <v>0</v>
      </c>
      <c r="AF177" s="39" t="n">
        <f aca="false">IF(AF$4=0,0,IF(COUNTIFS(実績!$W$6:$W$505,AF$3,実績!$AI$6:$AI$505,"&lt;="&amp;$A177,実績!$AJ$6:$AJ$505,"&gt;"&amp;$A177,実績!$AL$6:$AL$505,"○")&gt;0,1,0))</f>
        <v>0</v>
      </c>
      <c r="AG177" s="39" t="n">
        <f aca="false">IF(AG$4=0,0,IF(COUNTIFS(実績!$W$6:$W$505,AG$3,実績!$AI$6:$AI$505,"&lt;="&amp;$A177,実績!$AJ$6:$AJ$505,"&gt;"&amp;$A177,実績!$AL$6:$AL$505,"○")&gt;0,1,0))</f>
        <v>0</v>
      </c>
      <c r="AH177" s="39" t="n">
        <f aca="false">IF(AH$4=0,0,IF(COUNTIFS(実績!$W$6:$W$505,AH$3,実績!$AI$6:$AI$505,"&lt;="&amp;$A177,実績!$AJ$6:$AJ$505,"&gt;"&amp;$A177,実績!$AL$6:$AL$505,"○")&gt;0,1,0))</f>
        <v>0</v>
      </c>
      <c r="AI177" s="39" t="n">
        <f aca="false">IF(AI$4=0,0,IF(COUNTIFS(実績!$W$6:$W$505,AI$3,実績!$AI$6:$AI$505,"&lt;="&amp;$A177,実績!$AJ$6:$AJ$505,"&gt;"&amp;$A177,実績!$AL$6:$AL$505,"○")&gt;0,1,0))</f>
        <v>0</v>
      </c>
      <c r="AJ177" s="39" t="n">
        <f aca="false">IF(AJ$4=0,0,IF(COUNTIFS(実績!$W$6:$W$505,AJ$3,実績!$AI$6:$AI$505,"&lt;="&amp;$A177,実績!$AJ$6:$AJ$505,"&gt;"&amp;$A177,実績!$AL$6:$AL$505,"○")&gt;0,1,0))</f>
        <v>0</v>
      </c>
      <c r="AK177" s="39" t="n">
        <f aca="false">IF(AK$4=0,0,IF(COUNTIFS(実績!$W$6:$W$505,AK$3,実績!$AI$6:$AI$505,"&lt;="&amp;$A177,実績!$AJ$6:$AJ$505,"&gt;"&amp;$A177,実績!$AL$6:$AL$505,"○")&gt;0,1,0))</f>
        <v>0</v>
      </c>
      <c r="AL177" s="39" t="n">
        <f aca="false">IF(AL$4=0,0,IF(COUNTIFS(実績!$W$6:$W$505,AL$3,実績!$AI$6:$AI$505,"&lt;="&amp;$A177,実績!$AJ$6:$AJ$505,"&gt;"&amp;$A177,実績!$AL$6:$AL$505,"○")&gt;0,1,0))</f>
        <v>0</v>
      </c>
      <c r="AM177" s="39" t="n">
        <f aca="false">IF(AM$4=0,0,IF(COUNTIFS(実績!$W$6:$W$505,AM$3,実績!$AI$6:$AI$505,"&lt;="&amp;$A177,実績!$AJ$6:$AJ$505,"&gt;"&amp;$A177,実績!$AL$6:$AL$505,"○")&gt;0,1,0))</f>
        <v>0</v>
      </c>
      <c r="AN177" s="39" t="n">
        <f aca="false">IF(AN$4=0,0,IF(COUNTIFS(実績!$W$6:$W$505,AN$3,実績!$AI$6:$AI$505,"&lt;="&amp;$A177,実績!$AJ$6:$AJ$505,"&gt;"&amp;$A177,実績!$AL$6:$AL$505,"○")&gt;0,1,0))</f>
        <v>0</v>
      </c>
      <c r="AO177" s="39" t="n">
        <f aca="false">IF(AO$4=0,0,IF(COUNTIFS(実績!$W$6:$W$505,AO$3,実績!$AI$6:$AI$505,"&lt;="&amp;$A177,実績!$AJ$6:$AJ$505,"&gt;"&amp;$A177,実績!$AL$6:$AL$505,"○")&gt;0,1,0))</f>
        <v>0</v>
      </c>
      <c r="AP177" s="39" t="n">
        <f aca="false">IF(AP$4=0,0,IF(COUNTIFS(実績!$W$6:$W$505,AP$3,実績!$AI$6:$AI$505,"&lt;="&amp;$A177,実績!$AJ$6:$AJ$505,"&gt;"&amp;$A177,実績!$AL$6:$AL$505,"○")&gt;0,1,0))</f>
        <v>0</v>
      </c>
      <c r="AQ177" s="39" t="n">
        <f aca="false">IF(AQ$4=0,0,IF(COUNTIFS(実績!$W$6:$W$505,AQ$3,実績!$AI$6:$AI$505,"&lt;="&amp;$A177,実績!$AJ$6:$AJ$505,"&gt;"&amp;$A177,実績!$AL$6:$AL$505,"○")&gt;0,1,0))</f>
        <v>0</v>
      </c>
      <c r="AR177" s="39" t="n">
        <f aca="false">IF(AR$4=0,0,IF(COUNTIFS(実績!$W$6:$W$505,AR$3,実績!$AI$6:$AI$505,"&lt;="&amp;$A177,実績!$AJ$6:$AJ$505,"&gt;"&amp;$A177,実績!$AL$6:$AL$505,"○")&gt;0,1,0))</f>
        <v>0</v>
      </c>
      <c r="AS177" s="39" t="n">
        <f aca="false">IF(AS$4=0,0,IF(COUNTIFS(実績!$W$6:$W$505,AS$3,実績!$AI$6:$AI$505,"&lt;="&amp;$A177,実績!$AJ$6:$AJ$505,"&gt;"&amp;$A177,実績!$AL$6:$AL$505,"○")&gt;0,1,0))</f>
        <v>0</v>
      </c>
      <c r="AT177" s="39" t="n">
        <f aca="false">IF(AT$4=0,0,IF(COUNTIFS(実績!$W$6:$W$505,AT$3,実績!$AI$6:$AI$505,"&lt;="&amp;$A177,実績!$AJ$6:$AJ$505,"&gt;"&amp;$A177,実績!$AL$6:$AL$505,"○")&gt;0,1,0))</f>
        <v>0</v>
      </c>
      <c r="AU177" s="39" t="n">
        <f aca="false">IF(AU$4=0,0,IF(COUNTIFS(実績!$W$6:$W$505,AU$3,実績!$AI$6:$AI$505,"&lt;="&amp;$A177,実績!$AJ$6:$AJ$505,"&gt;"&amp;$A177,実績!$AL$6:$AL$505,"○")&gt;0,1,0))</f>
        <v>0</v>
      </c>
      <c r="AV177" s="39" t="n">
        <f aca="false">IF(AV$4=0,0,IF(COUNTIFS(実績!$W$6:$W$505,AV$3,実績!$AI$6:$AI$505,"&lt;="&amp;$A177,実績!$AJ$6:$AJ$505,"&gt;"&amp;$A177,実績!$AL$6:$AL$505,"○")&gt;0,1,0))</f>
        <v>0</v>
      </c>
      <c r="AW177" s="39" t="n">
        <f aca="false">IF(AW$4=0,0,IF(COUNTIFS(実績!$W$6:$W$505,AW$3,実績!$AI$6:$AI$505,"&lt;="&amp;$A177,実績!$AJ$6:$AJ$505,"&gt;"&amp;$A177,実績!$AL$6:$AL$505,"○")&gt;0,1,0))</f>
        <v>0</v>
      </c>
      <c r="AX177" s="39" t="n">
        <f aca="false">IF(AX$4=0,0,IF(COUNTIFS(実績!$W$6:$W$505,AX$3,実績!$AI$6:$AI$505,"&lt;="&amp;$A177,実績!$AJ$6:$AJ$505,"&gt;"&amp;$A177,実績!$AL$6:$AL$505,"○")&gt;0,1,0))</f>
        <v>0</v>
      </c>
      <c r="AY177" s="39" t="n">
        <f aca="false">IF(AY$4=0,0,IF(COUNTIFS(実績!$W$6:$W$505,AY$3,実績!$AI$6:$AI$505,"&lt;="&amp;$A177,実績!$AJ$6:$AJ$505,"&gt;"&amp;$A177,実績!$AL$6:$AL$505,"○")&gt;0,1,0))</f>
        <v>0</v>
      </c>
      <c r="AZ177" s="39" t="n">
        <f aca="false">IF(AZ$4=0,0,IF(COUNTIFS(実績!$W$6:$W$505,AZ$3,実績!$AI$6:$AI$505,"&lt;="&amp;$A177,実績!$AJ$6:$AJ$505,"&gt;"&amp;$A177,実績!$AL$6:$AL$505,"○")&gt;0,1,0))</f>
        <v>0</v>
      </c>
      <c r="BA177" s="39" t="n">
        <f aca="false">IF(BA$4=0,0,IF(COUNTIFS(実績!$W$6:$W$505,BA$3,実績!$AI$6:$AI$505,"&lt;="&amp;$A177,実績!$AJ$6:$AJ$505,"&gt;"&amp;$A177,実績!$AL$6:$AL$505,"○")&gt;0,1,0))</f>
        <v>0</v>
      </c>
      <c r="BB177" s="39" t="n">
        <f aca="false">IF(BB$4=0,0,IF(COUNTIFS(実績!$W$6:$W$505,BB$3,実績!$AI$6:$AI$505,"&lt;="&amp;$A177,実績!$AJ$6:$AJ$505,"&gt;"&amp;$A177,実績!$AL$6:$AL$505,"○")&gt;0,1,0))</f>
        <v>0</v>
      </c>
      <c r="BC177" s="39" t="n">
        <f aca="false">IF(BC$4=0,0,IF(COUNTIFS(実績!$W$6:$W$505,BC$3,実績!$AI$6:$AI$505,"&lt;="&amp;$A177,実績!$AJ$6:$AJ$505,"&gt;"&amp;$A177,実績!$AL$6:$AL$505,"○")&gt;0,1,0))</f>
        <v>0</v>
      </c>
      <c r="BD177" s="39" t="n">
        <f aca="false">IF(BD$4=0,0,IF(COUNTIFS(実績!$W$6:$W$505,BD$3,実績!$AI$6:$AI$505,"&lt;="&amp;$A177,実績!$AJ$6:$AJ$505,"&gt;"&amp;$A177,実績!$AL$6:$AL$505,"○")&gt;0,1,0))</f>
        <v>0</v>
      </c>
      <c r="BE177" s="39" t="n">
        <f aca="false">IF(BE$4=0,0,IF(COUNTIFS(実績!$W$6:$W$505,BE$3,実績!$AI$6:$AI$505,"&lt;="&amp;$A177,実績!$AJ$6:$AJ$505,"&gt;"&amp;$A177,実績!$AL$6:$AL$505,"○")&gt;0,1,0))</f>
        <v>0</v>
      </c>
      <c r="BF177" s="39" t="n">
        <f aca="false">IF(BF$4=0,0,IF(COUNTIFS(実績!$W$6:$W$505,BF$3,実績!$AI$6:$AI$505,"&lt;="&amp;$A177,実績!$AJ$6:$AJ$505,"&gt;"&amp;$A177,実績!$AL$6:$AL$505,"○")&gt;0,1,0))</f>
        <v>0</v>
      </c>
      <c r="BG177" s="39" t="n">
        <f aca="false">IF(BG$4=0,0,IF(COUNTIFS(実績!$W$6:$W$505,BG$3,実績!$AI$6:$AI$505,"&lt;="&amp;$A177,実績!$AJ$6:$AJ$505,"&gt;"&amp;$A177,実績!$AL$6:$AL$505,"○")&gt;0,1,0))</f>
        <v>0</v>
      </c>
      <c r="BH177" s="39" t="n">
        <f aca="false">IF(BH$4=0,0,IF(COUNTIFS(実績!$W$6:$W$505,BH$3,実績!$AI$6:$AI$505,"&lt;="&amp;$A177,実績!$AJ$6:$AJ$505,"&gt;"&amp;$A177,実績!$AL$6:$AL$505,"○")&gt;0,1,0))</f>
        <v>0</v>
      </c>
      <c r="BI177" s="39" t="n">
        <f aca="false">IF(BI$4=0,0,IF(COUNTIFS(実績!$W$6:$W$505,BI$3,実績!$AI$6:$AI$505,"&lt;="&amp;$A177,実績!$AJ$6:$AJ$505,"&gt;"&amp;$A177,実績!$AL$6:$AL$505,"○")&gt;0,1,0))</f>
        <v>0</v>
      </c>
      <c r="BJ177" s="39" t="n">
        <f aca="false">IF(BJ$4=0,0,IF(COUNTIFS(実績!$W$6:$W$505,BJ$3,実績!$AI$6:$AI$505,"&lt;="&amp;$A177,実績!$AJ$6:$AJ$505,"&gt;"&amp;$A177,実績!$AL$6:$AL$505,"○")&gt;0,1,0))</f>
        <v>0</v>
      </c>
      <c r="BK177" s="39" t="n">
        <f aca="false">IF(BK$4=0,0,IF(COUNTIFS(実績!$W$6:$W$505,BK$3,実績!$AI$6:$AI$505,"&lt;="&amp;$A177,実績!$AJ$6:$AJ$505,"&gt;"&amp;$A177,実績!$AL$6:$AL$505,"○")&gt;0,1,0))</f>
        <v>0</v>
      </c>
      <c r="BL177" s="39" t="n">
        <f aca="false">IF(BL$4=0,0,IF(COUNTIFS(実績!$W$6:$W$505,BL$3,実績!$AI$6:$AI$505,"&lt;="&amp;$A177,実績!$AJ$6:$AJ$505,"&gt;"&amp;$A177,実績!$AL$6:$AL$505,"○")&gt;0,1,0))</f>
        <v>0</v>
      </c>
      <c r="BM177" s="39" t="n">
        <f aca="false">IF(BM$4=0,0,IF(COUNTIFS(実績!$W$6:$W$505,BM$3,実績!$AI$6:$AI$505,"&lt;="&amp;$A177,実績!$AJ$6:$AJ$505,"&gt;"&amp;$A177,実績!$AL$6:$AL$505,"○")&gt;0,1,0))</f>
        <v>0</v>
      </c>
      <c r="BN177" s="39" t="n">
        <f aca="false">IF(BN$4=0,0,IF(COUNTIFS(実績!$W$6:$W$505,BN$3,実績!$AI$6:$AI$505,"&lt;="&amp;$A177,実績!$AJ$6:$AJ$505,"&gt;"&amp;$A177,実績!$AL$6:$AL$505,"○")&gt;0,1,0))</f>
        <v>0</v>
      </c>
      <c r="BO177" s="39" t="n">
        <f aca="false">IF(BO$4=0,0,IF(COUNTIFS(実績!$W$6:$W$505,BO$3,実績!$AI$6:$AI$505,"&lt;="&amp;$A177,実績!$AJ$6:$AJ$505,"&gt;"&amp;$A177,実績!$AL$6:$AL$505,"○")&gt;0,1,0))</f>
        <v>0</v>
      </c>
      <c r="BP177" s="39" t="n">
        <f aca="false">IF(BP$4=0,0,IF(COUNTIFS(実績!$W$6:$W$505,BP$3,実績!$AI$6:$AI$505,"&lt;="&amp;$A177,実績!$AJ$6:$AJ$505,"&gt;"&amp;$A177,実績!$AL$6:$AL$505,"○")&gt;0,1,0))</f>
        <v>0</v>
      </c>
      <c r="BQ177" s="39" t="n">
        <f aca="false">IF(BQ$4=0,0,IF(COUNTIFS(実績!$W$6:$W$505,BQ$3,実績!$AI$6:$AI$505,"&lt;="&amp;$A177,実績!$AJ$6:$AJ$505,"&gt;"&amp;$A177,実績!$AL$6:$AL$505,"○")&gt;0,1,0))</f>
        <v>0</v>
      </c>
      <c r="BR177" s="39" t="n">
        <f aca="false">IF(BR$4=0,0,IF(COUNTIFS(実績!$W$6:$W$505,BR$3,実績!$AI$6:$AI$505,"&lt;="&amp;$A177,実績!$AJ$6:$AJ$505,"&gt;"&amp;$A177,実績!$AL$6:$AL$505,"○")&gt;0,1,0))</f>
        <v>0</v>
      </c>
      <c r="BS177" s="39" t="n">
        <f aca="false">IF(BS$4=0,0,IF(COUNTIFS(実績!$W$6:$W$505,BS$3,実績!$AI$6:$AI$505,"&lt;="&amp;$A177,実績!$AJ$6:$AJ$505,"&gt;"&amp;$A177,実績!$AL$6:$AL$505,"○")&gt;0,1,0))</f>
        <v>0</v>
      </c>
      <c r="BT177" s="39" t="n">
        <f aca="false">IF(BT$4=0,0,IF(COUNTIFS(実績!$W$6:$W$505,BT$3,実績!$AI$6:$AI$505,"&lt;="&amp;$A177,実績!$AJ$6:$AJ$505,"&gt;"&amp;$A177,実績!$AL$6:$AL$505,"○")&gt;0,1,0))</f>
        <v>0</v>
      </c>
      <c r="BU177" s="39" t="n">
        <f aca="false">IF(BU$4=0,0,IF(COUNTIFS(実績!$W$6:$W$505,BU$3,実績!$AI$6:$AI$505,"&lt;="&amp;$A177,実績!$AJ$6:$AJ$505,"&gt;"&amp;$A177,実績!$AL$6:$AL$505,"○")&gt;0,1,0))</f>
        <v>0</v>
      </c>
      <c r="BV177" s="39" t="n">
        <f aca="false">IF(BV$4=0,0,IF(COUNTIFS(実績!$W$6:$W$505,BV$3,実績!$AI$6:$AI$505,"&lt;="&amp;$A177,実績!$AJ$6:$AJ$505,"&gt;"&amp;$A177,実績!$AL$6:$AL$505,"○")&gt;0,1,0))</f>
        <v>0</v>
      </c>
      <c r="BW177" s="39" t="n">
        <f aca="false">IF(BW$4=0,0,IF(COUNTIFS(実績!$W$6:$W$505,BW$3,実績!$AI$6:$AI$505,"&lt;="&amp;$A177,実績!$AJ$6:$AJ$505,"&gt;"&amp;$A177,実績!$AL$6:$AL$505,"○")&gt;0,1,0))</f>
        <v>0</v>
      </c>
      <c r="BX177" s="39" t="n">
        <f aca="false">IF(BX$4=0,0,IF(COUNTIFS(実績!$W$6:$W$505,BX$3,実績!$AI$6:$AI$505,"&lt;="&amp;$A177,実績!$AJ$6:$AJ$505,"&gt;"&amp;$A177,実績!$AL$6:$AL$505,"○")&gt;0,1,0))</f>
        <v>0</v>
      </c>
      <c r="BY177" s="39" t="n">
        <f aca="false">IF(BY$4=0,0,IF(COUNTIFS(実績!$W$6:$W$505,BY$3,実績!$AI$6:$AI$505,"&lt;="&amp;$A177,実績!$AJ$6:$AJ$505,"&gt;"&amp;$A177,実績!$AL$6:$AL$505,"○")&gt;0,1,0))</f>
        <v>0</v>
      </c>
      <c r="BZ177" s="39" t="n">
        <f aca="false">IF(BZ$4=0,0,IF(COUNTIFS(実績!$W$6:$W$505,BZ$3,実績!$AI$6:$AI$505,"&lt;="&amp;$A177,実績!$AJ$6:$AJ$505,"&gt;"&amp;$A177,実績!$AL$6:$AL$505,"○")&gt;0,1,0))</f>
        <v>0</v>
      </c>
      <c r="CA177" s="39" t="n">
        <f aca="false">IF(CA$4=0,0,IF(COUNTIFS(実績!$W$6:$W$505,CA$3,実績!$AI$6:$AI$505,"&lt;="&amp;$A177,実績!$AJ$6:$AJ$505,"&gt;"&amp;$A177,実績!$AL$6:$AL$505,"○")&gt;0,1,0))</f>
        <v>0</v>
      </c>
      <c r="CB177" s="39" t="n">
        <f aca="false">IF(CB$4=0,0,IF(COUNTIFS(実績!$W$6:$W$505,CB$3,実績!$AI$6:$AI$505,"&lt;="&amp;$A177,実績!$AJ$6:$AJ$505,"&gt;"&amp;$A177,実績!$AL$6:$AL$505,"○")&gt;0,1,0))</f>
        <v>0</v>
      </c>
      <c r="CC177" s="39" t="n">
        <f aca="false">IF(CC$4=0,0,IF(COUNTIFS(実績!$W$6:$W$505,CC$3,実績!$AI$6:$AI$505,"&lt;="&amp;$A177,実績!$AJ$6:$AJ$505,"&gt;"&amp;$A177,実績!$AL$6:$AL$505,"○")&gt;0,1,0))</f>
        <v>0</v>
      </c>
      <c r="CD177" s="39" t="n">
        <f aca="false">IF(CD$4=0,0,IF(COUNTIFS(実績!$W$6:$W$505,CD$3,実績!$AI$6:$AI$505,"&lt;="&amp;$A177,実績!$AJ$6:$AJ$505,"&gt;"&amp;$A177,実績!$AL$6:$AL$505,"○")&gt;0,1,0))</f>
        <v>0</v>
      </c>
      <c r="CE177" s="39" t="n">
        <f aca="false">IF(CE$4=0,0,IF(COUNTIFS(実績!$W$6:$W$505,CE$3,実績!$AI$6:$AI$505,"&lt;="&amp;$A177,実績!$AJ$6:$AJ$505,"&gt;"&amp;$A177,実績!$AL$6:$AL$505,"○")&gt;0,1,0))</f>
        <v>0</v>
      </c>
      <c r="CF177" s="39" t="n">
        <f aca="false">IF(CF$4=0,0,IF(COUNTIFS(実績!$W$6:$W$505,CF$3,実績!$AI$6:$AI$505,"&lt;="&amp;$A177,実績!$AJ$6:$AJ$505,"&gt;"&amp;$A177,実績!$AL$6:$AL$505,"○")&gt;0,1,0))</f>
        <v>0</v>
      </c>
      <c r="CG177" s="39" t="n">
        <f aca="false">IF(CG$4=0,0,IF(COUNTIFS(実績!$W$6:$W$505,CG$3,実績!$AI$6:$AI$505,"&lt;="&amp;$A177,実績!$AJ$6:$AJ$505,"&gt;"&amp;$A177,実績!$AL$6:$AL$505,"○")&gt;0,1,0))</f>
        <v>0</v>
      </c>
      <c r="CH177" s="39" t="n">
        <f aca="false">IF(CH$4=0,0,IF(COUNTIFS(実績!$W$6:$W$505,CH$3,実績!$AI$6:$AI$505,"&lt;="&amp;$A177,実績!$AJ$6:$AJ$505,"&gt;"&amp;$A177,実績!$AL$6:$AL$505,"○")&gt;0,1,0))</f>
        <v>0</v>
      </c>
      <c r="CI177" s="39" t="n">
        <f aca="false">IF(CI$4=0,0,IF(COUNTIFS(実績!$W$6:$W$505,CI$3,実績!$AI$6:$AI$505,"&lt;="&amp;$A177,実績!$AJ$6:$AJ$505,"&gt;"&amp;$A177,実績!$AL$6:$AL$505,"○")&gt;0,1,0))</f>
        <v>0</v>
      </c>
      <c r="CJ177" s="39" t="n">
        <f aca="false">IF(CJ$4=0,0,IF(COUNTIFS(実績!$W$6:$W$505,CJ$3,実績!$AI$6:$AI$505,"&lt;="&amp;$A177,実績!$AJ$6:$AJ$505,"&gt;"&amp;$A177,実績!$AL$6:$AL$505,"○")&gt;0,1,0))</f>
        <v>0</v>
      </c>
      <c r="CK177" s="39" t="n">
        <f aca="false">IF(CK$4=0,0,IF(COUNTIFS(実績!$W$6:$W$505,CK$3,実績!$AI$6:$AI$505,"&lt;="&amp;$A177,実績!$AJ$6:$AJ$505,"&gt;"&amp;$A177,実績!$AL$6:$AL$505,"○")&gt;0,1,0))</f>
        <v>0</v>
      </c>
      <c r="CL177" s="39" t="n">
        <f aca="false">IF(CL$4=0,0,IF(COUNTIFS(実績!$W$6:$W$505,CL$3,実績!$AI$6:$AI$505,"&lt;="&amp;$A177,実績!$AJ$6:$AJ$505,"&gt;"&amp;$A177,実績!$AL$6:$AL$505,"○")&gt;0,1,0))</f>
        <v>0</v>
      </c>
      <c r="CM177" s="39" t="n">
        <f aca="false">IF(CM$4=0,0,IF(COUNTIFS(実績!$W$6:$W$505,CM$3,実績!$AI$6:$AI$505,"&lt;="&amp;$A177,実績!$AJ$6:$AJ$505,"&gt;"&amp;$A177,実績!$AL$6:$AL$505,"○")&gt;0,1,0))</f>
        <v>0</v>
      </c>
      <c r="CN177" s="39" t="n">
        <f aca="false">IF(CN$4=0,0,IF(COUNTIFS(実績!$W$6:$W$505,CN$3,実績!$AI$6:$AI$505,"&lt;="&amp;$A177,実績!$AJ$6:$AJ$505,"&gt;"&amp;$A177,実績!$AL$6:$AL$505,"○")&gt;0,1,0))</f>
        <v>0</v>
      </c>
      <c r="CO177" s="39" t="n">
        <f aca="false">IF(CO$4=0,0,IF(COUNTIFS(実績!$W$6:$W$505,CO$3,実績!$AI$6:$AI$505,"&lt;="&amp;$A177,実績!$AJ$6:$AJ$505,"&gt;"&amp;$A177,実績!$AL$6:$AL$505,"○")&gt;0,1,0))</f>
        <v>0</v>
      </c>
      <c r="CP177" s="39" t="n">
        <f aca="false">IF(CP$4=0,0,IF(COUNTIFS(実績!$W$6:$W$505,CP$3,実績!$AI$6:$AI$505,"&lt;="&amp;$A177,実績!$AJ$6:$AJ$505,"&gt;"&amp;$A177,実績!$AL$6:$AL$505,"○")&gt;0,1,0))</f>
        <v>0</v>
      </c>
      <c r="CQ177" s="39" t="n">
        <f aca="false">IF(CQ$4=0,0,IF(COUNTIFS(実績!$W$6:$W$505,CQ$3,実績!$AI$6:$AI$505,"&lt;="&amp;$A177,実績!$AJ$6:$AJ$505,"&gt;"&amp;$A177,実績!$AL$6:$AL$505,"○")&gt;0,1,0))</f>
        <v>0</v>
      </c>
      <c r="CR177" s="39" t="n">
        <f aca="false">IF(CR$4=0,0,IF(COUNTIFS(実績!$W$6:$W$505,CR$3,実績!$AI$6:$AI$505,"&lt;="&amp;$A177,実績!$AJ$6:$AJ$505,"&gt;"&amp;$A177,実績!$AL$6:$AL$505,"○")&gt;0,1,0))</f>
        <v>0</v>
      </c>
      <c r="CS177" s="39" t="n">
        <f aca="false">IF(CS$4=0,0,IF(COUNTIFS(実績!$W$6:$W$505,CS$3,実績!$AI$6:$AI$505,"&lt;="&amp;$A177,実績!$AJ$6:$AJ$505,"&gt;"&amp;$A177,実績!$AL$6:$AL$505,"○")&gt;0,1,0))</f>
        <v>0</v>
      </c>
      <c r="CT177" s="39" t="n">
        <f aca="false">IF(CT$4=0,0,IF(COUNTIFS(実績!$W$6:$W$505,CT$3,実績!$AI$6:$AI$505,"&lt;="&amp;$A177,実績!$AJ$6:$AJ$505,"&gt;"&amp;$A177,実績!$AL$6:$AL$505,"○")&gt;0,1,0))</f>
        <v>0</v>
      </c>
      <c r="CU177" s="39" t="n">
        <f aca="false">IF(CU$4=0,0,IF(COUNTIFS(実績!$W$6:$W$505,CU$3,実績!$AI$6:$AI$505,"&lt;="&amp;$A177,実績!$AJ$6:$AJ$505,"&gt;"&amp;$A177,実績!$AL$6:$AL$505,"○")&gt;0,1,0))</f>
        <v>0</v>
      </c>
      <c r="CV177" s="39" t="n">
        <f aca="false">IF(CV$4=0,0,IF(COUNTIFS(実績!$W$6:$W$505,CV$3,実績!$AI$6:$AI$505,"&lt;="&amp;$A177,実績!$AJ$6:$AJ$505,"&gt;"&amp;$A177,実績!$AL$6:$AL$505,"○")&gt;0,1,0))</f>
        <v>0</v>
      </c>
      <c r="CW177" s="39" t="n">
        <f aca="false">IF(CW$4=0,0,IF(COUNTIFS(実績!$W$6:$W$505,CW$3,実績!$AI$6:$AI$505,"&lt;="&amp;$A177,実績!$AJ$6:$AJ$505,"&gt;"&amp;$A177,実績!$AL$6:$AL$505,"○")&gt;0,1,0))</f>
        <v>0</v>
      </c>
      <c r="CX177" s="39" t="n">
        <f aca="false">IF(CX$4=0,0,IF(COUNTIFS(実績!$W$6:$W$505,CX$3,実績!$AI$6:$AI$505,"&lt;="&amp;$A177,実績!$AJ$6:$AJ$505,"&gt;"&amp;$A177,実績!$AL$6:$AL$505,"○")&gt;0,1,0))</f>
        <v>0</v>
      </c>
      <c r="CY177" s="39" t="n">
        <f aca="false">IF(CY$4=0,0,IF(COUNTIFS(実績!$W$6:$W$505,CY$3,実績!$AI$6:$AI$505,"&lt;="&amp;$A177,実績!$AJ$6:$AJ$505,"&gt;"&amp;$A177,実績!$AL$6:$AL$505,"○")&gt;0,1,0))</f>
        <v>0</v>
      </c>
      <c r="CZ177" s="39" t="n">
        <f aca="false">IF(CZ$4=0,0,IF(COUNTIFS(実績!$W$6:$W$505,CZ$3,実績!$AI$6:$AI$505,"&lt;="&amp;$A177,実績!$AJ$6:$AJ$505,"&gt;"&amp;$A177,実績!$AL$6:$AL$505,"○")&gt;0,1,0))</f>
        <v>0</v>
      </c>
      <c r="DA177" s="39" t="n">
        <f aca="false">IF(DA$4=0,0,IF(COUNTIFS(実績!$W$6:$W$505,DA$3,実績!$AI$6:$AI$505,"&lt;="&amp;$A177,実績!$AJ$6:$AJ$505,"&gt;"&amp;$A177,実績!$AL$6:$AL$505,"○")&gt;0,1,0))</f>
        <v>0</v>
      </c>
      <c r="DB177" s="39" t="n">
        <f aca="false">IF(DB$4=0,0,IF(COUNTIFS(実績!$W$6:$W$505,DB$3,実績!$AI$6:$AI$505,"&lt;="&amp;$A177,実績!$AJ$6:$AJ$505,"&gt;"&amp;$A177,実績!$AL$6:$AL$505,"○")&gt;0,1,0))</f>
        <v>0</v>
      </c>
      <c r="DC177" s="39" t="n">
        <f aca="false">IF(DC$4=0,0,IF(COUNTIFS(実績!$W$6:$W$505,DC$3,実績!$AI$6:$AI$505,"&lt;="&amp;$A177,実績!$AJ$6:$AJ$505,"&gt;"&amp;$A177,実績!$AL$6:$AL$505,"○")&gt;0,1,0))</f>
        <v>0</v>
      </c>
      <c r="DD177" s="39" t="n">
        <f aca="false">IF(DD$4=0,0,IF(COUNTIFS(実績!$W$6:$W$505,DD$3,実績!$AI$6:$AI$505,"&lt;="&amp;$A177,実績!$AJ$6:$AJ$505,"&gt;"&amp;$A177,実績!$AL$6:$AL$505,"○")&gt;0,1,0))</f>
        <v>0</v>
      </c>
      <c r="DE177" s="39" t="n">
        <f aca="false">IF(DE$4=0,0,IF(COUNTIFS(実績!$W$6:$W$505,DE$3,実績!$AI$6:$AI$505,"&lt;="&amp;$A177,実績!$AJ$6:$AJ$505,"&gt;"&amp;$A177,実績!$AL$6:$AL$505,"○")&gt;0,1,0))</f>
        <v>0</v>
      </c>
      <c r="DF177" s="39" t="n">
        <f aca="false">IF(DF$4=0,0,IF(COUNTIFS(実績!$W$6:$W$505,DF$3,実績!$AI$6:$AI$505,"&lt;="&amp;$A177,実績!$AJ$6:$AJ$505,"&gt;"&amp;$A177,実績!$AL$6:$AL$505,"○")&gt;0,1,0))</f>
        <v>0</v>
      </c>
      <c r="DG177" s="39" t="n">
        <f aca="false">IF(DG$4=0,0,IF(COUNTIFS(実績!$W$6:$W$505,DG$3,実績!$AI$6:$AI$505,"&lt;="&amp;$A177,実績!$AJ$6:$AJ$505,"&gt;"&amp;$A177,実績!$AL$6:$AL$505,"○")&gt;0,1,0))</f>
        <v>0</v>
      </c>
      <c r="DH177" s="39" t="n">
        <f aca="false">IF(DH$4=0,0,IF(COUNTIFS(実績!$W$6:$W$505,DH$3,実績!$AI$6:$AI$505,"&lt;="&amp;$A177,実績!$AJ$6:$AJ$505,"&gt;"&amp;$A177,実績!$AL$6:$AL$505,"○")&gt;0,1,0))</f>
        <v>0</v>
      </c>
      <c r="DI177" s="39" t="n">
        <f aca="false">IF(DI$4=0,0,IF(COUNTIFS(実績!$W$6:$W$505,DI$3,実績!$AI$6:$AI$505,"&lt;="&amp;$A177,実績!$AJ$6:$AJ$505,"&gt;"&amp;$A177,実績!$AL$6:$AL$505,"○")&gt;0,1,0))</f>
        <v>0</v>
      </c>
      <c r="DJ177" s="39" t="n">
        <f aca="false">IF(DJ$4=0,0,IF(COUNTIFS(実績!$W$6:$W$505,DJ$3,実績!$AI$6:$AI$505,"&lt;="&amp;$A177,実績!$AJ$6:$AJ$505,"&gt;"&amp;$A177,実績!$AL$6:$AL$505,"○")&gt;0,1,0))</f>
        <v>0</v>
      </c>
      <c r="DK177" s="39" t="n">
        <f aca="false">IF(DK$4=0,0,IF(COUNTIFS(実績!$W$6:$W$505,DK$3,実績!$AI$6:$AI$505,"&lt;="&amp;$A177,実績!$AJ$6:$AJ$505,"&gt;"&amp;$A177,実績!$AL$6:$AL$505,"○")&gt;0,1,0))</f>
        <v>0</v>
      </c>
      <c r="DL177" s="39" t="n">
        <f aca="false">IF(DL$4=0,0,IF(COUNTIFS(実績!$W$6:$W$505,DL$3,実績!$AI$6:$AI$505,"&lt;="&amp;$A177,実績!$AJ$6:$AJ$505,"&gt;"&amp;$A177,実績!$AL$6:$AL$505,"○")&gt;0,1,0))</f>
        <v>0</v>
      </c>
      <c r="DM177" s="39" t="n">
        <f aca="false">IF(DM$4=0,0,IF(COUNTIFS(実績!$W$6:$W$505,DM$3,実績!$AI$6:$AI$505,"&lt;="&amp;$A177,実績!$AJ$6:$AJ$505,"&gt;"&amp;$A177,実績!$AL$6:$AL$505,"○")&gt;0,1,0))</f>
        <v>0</v>
      </c>
      <c r="DN177" s="39" t="n">
        <f aca="false">IF(DN$4=0,0,IF(COUNTIFS(実績!$W$6:$W$505,DN$3,実績!$AI$6:$AI$505,"&lt;="&amp;$A177,実績!$AJ$6:$AJ$505,"&gt;"&amp;$A177,実績!$AL$6:$AL$505,"○")&gt;0,1,0))</f>
        <v>0</v>
      </c>
      <c r="DO177" s="39" t="n">
        <f aca="false">IF(DO$4=0,0,IF(COUNTIFS(実績!$W$6:$W$505,DO$3,実績!$AI$6:$AI$505,"&lt;="&amp;$A177,実績!$AJ$6:$AJ$505,"&gt;"&amp;$A177,実績!$AL$6:$AL$505,"○")&gt;0,1,0))</f>
        <v>0</v>
      </c>
      <c r="DP177" s="39" t="n">
        <f aca="false">IF(DP$4=0,0,IF(COUNTIFS(実績!$W$6:$W$505,DP$3,実績!$AI$6:$AI$505,"&lt;="&amp;$A177,実績!$AJ$6:$AJ$505,"&gt;"&amp;$A177,実績!$AL$6:$AL$505,"○")&gt;0,1,0))</f>
        <v>0</v>
      </c>
      <c r="DQ177" s="39" t="n">
        <f aca="false">IF(DQ$4=0,0,IF(COUNTIFS(実績!$W$6:$W$505,DQ$3,実績!$AI$6:$AI$505,"&lt;="&amp;$A177,実績!$AJ$6:$AJ$505,"&gt;"&amp;$A177,実績!$AL$6:$AL$505,"○")&gt;0,1,0))</f>
        <v>0</v>
      </c>
      <c r="DR177" s="39" t="n">
        <f aca="false">IF(DR$4=0,0,IF(COUNTIFS(実績!$W$6:$W$505,DR$3,実績!$AI$6:$AI$505,"&lt;="&amp;$A177,実績!$AJ$6:$AJ$505,"&gt;"&amp;$A177,実績!$AL$6:$AL$505,"○")&gt;0,1,0))</f>
        <v>0</v>
      </c>
      <c r="DS177" s="39" t="n">
        <f aca="false">SUM(C177:DR177)</f>
        <v>0</v>
      </c>
    </row>
    <row r="178" customFormat="false" ht="15" hidden="false" customHeight="false" outlineLevel="0" collapsed="false">
      <c r="A178" s="0" t="n">
        <v>860</v>
      </c>
      <c r="B178" s="38" t="n">
        <f aca="false">A178/1440</f>
        <v>0.597222222222222</v>
      </c>
      <c r="C178" s="39" t="n">
        <f aca="false">IF(C$4=0,0,IF(COUNTIFS(実績!$W$6:$W$505,C$3,実績!$AI$6:$AI$505,"&lt;="&amp;$A178,実績!$AJ$6:$AJ$505,"&gt;"&amp;$A178,実績!$AL$6:$AL$505,"○")&gt;0,1,0))</f>
        <v>0</v>
      </c>
      <c r="D178" s="39" t="n">
        <f aca="false">IF(D$4=0,0,IF(COUNTIFS(実績!$W$6:$W$505,D$3,実績!$AI$6:$AI$505,"&lt;="&amp;$A178,実績!$AJ$6:$AJ$505,"&gt;"&amp;$A178,実績!$AL$6:$AL$505,"○")&gt;0,1,0))</f>
        <v>0</v>
      </c>
      <c r="E178" s="39" t="n">
        <f aca="false">IF(E$4=0,0,IF(COUNTIFS(実績!$W$6:$W$505,E$3,実績!$AI$6:$AI$505,"&lt;="&amp;$A178,実績!$AJ$6:$AJ$505,"&gt;"&amp;$A178,実績!$AL$6:$AL$505,"○")&gt;0,1,0))</f>
        <v>0</v>
      </c>
      <c r="F178" s="39" t="n">
        <f aca="false">IF(F$4=0,0,IF(COUNTIFS(実績!$W$6:$W$505,F$3,実績!$AI$6:$AI$505,"&lt;="&amp;$A178,実績!$AJ$6:$AJ$505,"&gt;"&amp;$A178,実績!$AL$6:$AL$505,"○")&gt;0,1,0))</f>
        <v>0</v>
      </c>
      <c r="G178" s="39" t="n">
        <f aca="false">IF(G$4=0,0,IF(COUNTIFS(実績!$W$6:$W$505,G$3,実績!$AI$6:$AI$505,"&lt;="&amp;$A178,実績!$AJ$6:$AJ$505,"&gt;"&amp;$A178,実績!$AL$6:$AL$505,"○")&gt;0,1,0))</f>
        <v>0</v>
      </c>
      <c r="H178" s="39" t="n">
        <f aca="false">IF(H$4=0,0,IF(COUNTIFS(実績!$W$6:$W$505,H$3,実績!$AI$6:$AI$505,"&lt;="&amp;$A178,実績!$AJ$6:$AJ$505,"&gt;"&amp;$A178,実績!$AL$6:$AL$505,"○")&gt;0,1,0))</f>
        <v>0</v>
      </c>
      <c r="I178" s="39" t="n">
        <f aca="false">IF(I$4=0,0,IF(COUNTIFS(実績!$W$6:$W$505,I$3,実績!$AI$6:$AI$505,"&lt;="&amp;$A178,実績!$AJ$6:$AJ$505,"&gt;"&amp;$A178,実績!$AL$6:$AL$505,"○")&gt;0,1,0))</f>
        <v>0</v>
      </c>
      <c r="J178" s="39" t="n">
        <f aca="false">IF(J$4=0,0,IF(COUNTIFS(実績!$W$6:$W$505,J$3,実績!$AI$6:$AI$505,"&lt;="&amp;$A178,実績!$AJ$6:$AJ$505,"&gt;"&amp;$A178,実績!$AL$6:$AL$505,"○")&gt;0,1,0))</f>
        <v>0</v>
      </c>
      <c r="K178" s="39" t="n">
        <f aca="false">IF(K$4=0,0,IF(COUNTIFS(実績!$W$6:$W$505,K$3,実績!$AI$6:$AI$505,"&lt;="&amp;$A178,実績!$AJ$6:$AJ$505,"&gt;"&amp;$A178,実績!$AL$6:$AL$505,"○")&gt;0,1,0))</f>
        <v>0</v>
      </c>
      <c r="L178" s="39" t="n">
        <f aca="false">IF(L$4=0,0,IF(COUNTIFS(実績!$W$6:$W$505,L$3,実績!$AI$6:$AI$505,"&lt;="&amp;$A178,実績!$AJ$6:$AJ$505,"&gt;"&amp;$A178,実績!$AL$6:$AL$505,"○")&gt;0,1,0))</f>
        <v>0</v>
      </c>
      <c r="M178" s="39" t="n">
        <f aca="false">IF(M$4=0,0,IF(COUNTIFS(実績!$W$6:$W$505,M$3,実績!$AI$6:$AI$505,"&lt;="&amp;$A178,実績!$AJ$6:$AJ$505,"&gt;"&amp;$A178,実績!$AL$6:$AL$505,"○")&gt;0,1,0))</f>
        <v>0</v>
      </c>
      <c r="N178" s="39" t="n">
        <f aca="false">IF(N$4=0,0,IF(COUNTIFS(実績!$W$6:$W$505,N$3,実績!$AI$6:$AI$505,"&lt;="&amp;$A178,実績!$AJ$6:$AJ$505,"&gt;"&amp;$A178,実績!$AL$6:$AL$505,"○")&gt;0,1,0))</f>
        <v>0</v>
      </c>
      <c r="O178" s="39" t="n">
        <f aca="false">IF(O$4=0,0,IF(COUNTIFS(実績!$W$6:$W$505,O$3,実績!$AI$6:$AI$505,"&lt;="&amp;$A178,実績!$AJ$6:$AJ$505,"&gt;"&amp;$A178,実績!$AL$6:$AL$505,"○")&gt;0,1,0))</f>
        <v>0</v>
      </c>
      <c r="P178" s="39" t="n">
        <f aca="false">IF(P$4=0,0,IF(COUNTIFS(実績!$W$6:$W$505,P$3,実績!$AI$6:$AI$505,"&lt;="&amp;$A178,実績!$AJ$6:$AJ$505,"&gt;"&amp;$A178,実績!$AL$6:$AL$505,"○")&gt;0,1,0))</f>
        <v>0</v>
      </c>
      <c r="Q178" s="39" t="n">
        <f aca="false">IF(Q$4=0,0,IF(COUNTIFS(実績!$W$6:$W$505,Q$3,実績!$AI$6:$AI$505,"&lt;="&amp;$A178,実績!$AJ$6:$AJ$505,"&gt;"&amp;$A178,実績!$AL$6:$AL$505,"○")&gt;0,1,0))</f>
        <v>0</v>
      </c>
      <c r="R178" s="39" t="n">
        <f aca="false">IF(R$4=0,0,IF(COUNTIFS(実績!$W$6:$W$505,R$3,実績!$AI$6:$AI$505,"&lt;="&amp;$A178,実績!$AJ$6:$AJ$505,"&gt;"&amp;$A178,実績!$AL$6:$AL$505,"○")&gt;0,1,0))</f>
        <v>0</v>
      </c>
      <c r="S178" s="39" t="n">
        <f aca="false">IF(S$4=0,0,IF(COUNTIFS(実績!$W$6:$W$505,S$3,実績!$AI$6:$AI$505,"&lt;="&amp;$A178,実績!$AJ$6:$AJ$505,"&gt;"&amp;$A178,実績!$AL$6:$AL$505,"○")&gt;0,1,0))</f>
        <v>0</v>
      </c>
      <c r="T178" s="39" t="n">
        <f aca="false">IF(T$4=0,0,IF(COUNTIFS(実績!$W$6:$W$505,T$3,実績!$AI$6:$AI$505,"&lt;="&amp;$A178,実績!$AJ$6:$AJ$505,"&gt;"&amp;$A178,実績!$AL$6:$AL$505,"○")&gt;0,1,0))</f>
        <v>0</v>
      </c>
      <c r="U178" s="39" t="n">
        <f aca="false">IF(U$4=0,0,IF(COUNTIFS(実績!$W$6:$W$505,U$3,実績!$AI$6:$AI$505,"&lt;="&amp;$A178,実績!$AJ$6:$AJ$505,"&gt;"&amp;$A178,実績!$AL$6:$AL$505,"○")&gt;0,1,0))</f>
        <v>0</v>
      </c>
      <c r="V178" s="39" t="n">
        <f aca="false">IF(V$4=0,0,IF(COUNTIFS(実績!$W$6:$W$505,V$3,実績!$AI$6:$AI$505,"&lt;="&amp;$A178,実績!$AJ$6:$AJ$505,"&gt;"&amp;$A178,実績!$AL$6:$AL$505,"○")&gt;0,1,0))</f>
        <v>0</v>
      </c>
      <c r="W178" s="39" t="n">
        <f aca="false">IF(W$4=0,0,IF(COUNTIFS(実績!$W$6:$W$505,W$3,実績!$AI$6:$AI$505,"&lt;="&amp;$A178,実績!$AJ$6:$AJ$505,"&gt;"&amp;$A178,実績!$AL$6:$AL$505,"○")&gt;0,1,0))</f>
        <v>0</v>
      </c>
      <c r="X178" s="39" t="n">
        <f aca="false">IF(X$4=0,0,IF(COUNTIFS(実績!$W$6:$W$505,X$3,実績!$AI$6:$AI$505,"&lt;="&amp;$A178,実績!$AJ$6:$AJ$505,"&gt;"&amp;$A178,実績!$AL$6:$AL$505,"○")&gt;0,1,0))</f>
        <v>0</v>
      </c>
      <c r="Y178" s="39" t="n">
        <f aca="false">IF(Y$4=0,0,IF(COUNTIFS(実績!$W$6:$W$505,Y$3,実績!$AI$6:$AI$505,"&lt;="&amp;$A178,実績!$AJ$6:$AJ$505,"&gt;"&amp;$A178,実績!$AL$6:$AL$505,"○")&gt;0,1,0))</f>
        <v>0</v>
      </c>
      <c r="Z178" s="39" t="n">
        <f aca="false">IF(Z$4=0,0,IF(COUNTIFS(実績!$W$6:$W$505,Z$3,実績!$AI$6:$AI$505,"&lt;="&amp;$A178,実績!$AJ$6:$AJ$505,"&gt;"&amp;$A178,実績!$AL$6:$AL$505,"○")&gt;0,1,0))</f>
        <v>0</v>
      </c>
      <c r="AA178" s="39" t="n">
        <f aca="false">IF(AA$4=0,0,IF(COUNTIFS(実績!$W$6:$W$505,AA$3,実績!$AI$6:$AI$505,"&lt;="&amp;$A178,実績!$AJ$6:$AJ$505,"&gt;"&amp;$A178,実績!$AL$6:$AL$505,"○")&gt;0,1,0))</f>
        <v>0</v>
      </c>
      <c r="AB178" s="39" t="n">
        <f aca="false">IF(AB$4=0,0,IF(COUNTIFS(実績!$W$6:$W$505,AB$3,実績!$AI$6:$AI$505,"&lt;="&amp;$A178,実績!$AJ$6:$AJ$505,"&gt;"&amp;$A178,実績!$AL$6:$AL$505,"○")&gt;0,1,0))</f>
        <v>0</v>
      </c>
      <c r="AC178" s="39" t="n">
        <f aca="false">IF(AC$4=0,0,IF(COUNTIFS(実績!$W$6:$W$505,AC$3,実績!$AI$6:$AI$505,"&lt;="&amp;$A178,実績!$AJ$6:$AJ$505,"&gt;"&amp;$A178,実績!$AL$6:$AL$505,"○")&gt;0,1,0))</f>
        <v>0</v>
      </c>
      <c r="AD178" s="39" t="n">
        <f aca="false">IF(AD$4=0,0,IF(COUNTIFS(実績!$W$6:$W$505,AD$3,実績!$AI$6:$AI$505,"&lt;="&amp;$A178,実績!$AJ$6:$AJ$505,"&gt;"&amp;$A178,実績!$AL$6:$AL$505,"○")&gt;0,1,0))</f>
        <v>0</v>
      </c>
      <c r="AE178" s="39" t="n">
        <f aca="false">IF(AE$4=0,0,IF(COUNTIFS(実績!$W$6:$W$505,AE$3,実績!$AI$6:$AI$505,"&lt;="&amp;$A178,実績!$AJ$6:$AJ$505,"&gt;"&amp;$A178,実績!$AL$6:$AL$505,"○")&gt;0,1,0))</f>
        <v>0</v>
      </c>
      <c r="AF178" s="39" t="n">
        <f aca="false">IF(AF$4=0,0,IF(COUNTIFS(実績!$W$6:$W$505,AF$3,実績!$AI$6:$AI$505,"&lt;="&amp;$A178,実績!$AJ$6:$AJ$505,"&gt;"&amp;$A178,実績!$AL$6:$AL$505,"○")&gt;0,1,0))</f>
        <v>0</v>
      </c>
      <c r="AG178" s="39" t="n">
        <f aca="false">IF(AG$4=0,0,IF(COUNTIFS(実績!$W$6:$W$505,AG$3,実績!$AI$6:$AI$505,"&lt;="&amp;$A178,実績!$AJ$6:$AJ$505,"&gt;"&amp;$A178,実績!$AL$6:$AL$505,"○")&gt;0,1,0))</f>
        <v>0</v>
      </c>
      <c r="AH178" s="39" t="n">
        <f aca="false">IF(AH$4=0,0,IF(COUNTIFS(実績!$W$6:$W$505,AH$3,実績!$AI$6:$AI$505,"&lt;="&amp;$A178,実績!$AJ$6:$AJ$505,"&gt;"&amp;$A178,実績!$AL$6:$AL$505,"○")&gt;0,1,0))</f>
        <v>0</v>
      </c>
      <c r="AI178" s="39" t="n">
        <f aca="false">IF(AI$4=0,0,IF(COUNTIFS(実績!$W$6:$W$505,AI$3,実績!$AI$6:$AI$505,"&lt;="&amp;$A178,実績!$AJ$6:$AJ$505,"&gt;"&amp;$A178,実績!$AL$6:$AL$505,"○")&gt;0,1,0))</f>
        <v>0</v>
      </c>
      <c r="AJ178" s="39" t="n">
        <f aca="false">IF(AJ$4=0,0,IF(COUNTIFS(実績!$W$6:$W$505,AJ$3,実績!$AI$6:$AI$505,"&lt;="&amp;$A178,実績!$AJ$6:$AJ$505,"&gt;"&amp;$A178,実績!$AL$6:$AL$505,"○")&gt;0,1,0))</f>
        <v>0</v>
      </c>
      <c r="AK178" s="39" t="n">
        <f aca="false">IF(AK$4=0,0,IF(COUNTIFS(実績!$W$6:$W$505,AK$3,実績!$AI$6:$AI$505,"&lt;="&amp;$A178,実績!$AJ$6:$AJ$505,"&gt;"&amp;$A178,実績!$AL$6:$AL$505,"○")&gt;0,1,0))</f>
        <v>0</v>
      </c>
      <c r="AL178" s="39" t="n">
        <f aca="false">IF(AL$4=0,0,IF(COUNTIFS(実績!$W$6:$W$505,AL$3,実績!$AI$6:$AI$505,"&lt;="&amp;$A178,実績!$AJ$6:$AJ$505,"&gt;"&amp;$A178,実績!$AL$6:$AL$505,"○")&gt;0,1,0))</f>
        <v>0</v>
      </c>
      <c r="AM178" s="39" t="n">
        <f aca="false">IF(AM$4=0,0,IF(COUNTIFS(実績!$W$6:$W$505,AM$3,実績!$AI$6:$AI$505,"&lt;="&amp;$A178,実績!$AJ$6:$AJ$505,"&gt;"&amp;$A178,実績!$AL$6:$AL$505,"○")&gt;0,1,0))</f>
        <v>0</v>
      </c>
      <c r="AN178" s="39" t="n">
        <f aca="false">IF(AN$4=0,0,IF(COUNTIFS(実績!$W$6:$W$505,AN$3,実績!$AI$6:$AI$505,"&lt;="&amp;$A178,実績!$AJ$6:$AJ$505,"&gt;"&amp;$A178,実績!$AL$6:$AL$505,"○")&gt;0,1,0))</f>
        <v>0</v>
      </c>
      <c r="AO178" s="39" t="n">
        <f aca="false">IF(AO$4=0,0,IF(COUNTIFS(実績!$W$6:$W$505,AO$3,実績!$AI$6:$AI$505,"&lt;="&amp;$A178,実績!$AJ$6:$AJ$505,"&gt;"&amp;$A178,実績!$AL$6:$AL$505,"○")&gt;0,1,0))</f>
        <v>0</v>
      </c>
      <c r="AP178" s="39" t="n">
        <f aca="false">IF(AP$4=0,0,IF(COUNTIFS(実績!$W$6:$W$505,AP$3,実績!$AI$6:$AI$505,"&lt;="&amp;$A178,実績!$AJ$6:$AJ$505,"&gt;"&amp;$A178,実績!$AL$6:$AL$505,"○")&gt;0,1,0))</f>
        <v>0</v>
      </c>
      <c r="AQ178" s="39" t="n">
        <f aca="false">IF(AQ$4=0,0,IF(COUNTIFS(実績!$W$6:$W$505,AQ$3,実績!$AI$6:$AI$505,"&lt;="&amp;$A178,実績!$AJ$6:$AJ$505,"&gt;"&amp;$A178,実績!$AL$6:$AL$505,"○")&gt;0,1,0))</f>
        <v>0</v>
      </c>
      <c r="AR178" s="39" t="n">
        <f aca="false">IF(AR$4=0,0,IF(COUNTIFS(実績!$W$6:$W$505,AR$3,実績!$AI$6:$AI$505,"&lt;="&amp;$A178,実績!$AJ$6:$AJ$505,"&gt;"&amp;$A178,実績!$AL$6:$AL$505,"○")&gt;0,1,0))</f>
        <v>0</v>
      </c>
      <c r="AS178" s="39" t="n">
        <f aca="false">IF(AS$4=0,0,IF(COUNTIFS(実績!$W$6:$W$505,AS$3,実績!$AI$6:$AI$505,"&lt;="&amp;$A178,実績!$AJ$6:$AJ$505,"&gt;"&amp;$A178,実績!$AL$6:$AL$505,"○")&gt;0,1,0))</f>
        <v>0</v>
      </c>
      <c r="AT178" s="39" t="n">
        <f aca="false">IF(AT$4=0,0,IF(COUNTIFS(実績!$W$6:$W$505,AT$3,実績!$AI$6:$AI$505,"&lt;="&amp;$A178,実績!$AJ$6:$AJ$505,"&gt;"&amp;$A178,実績!$AL$6:$AL$505,"○")&gt;0,1,0))</f>
        <v>0</v>
      </c>
      <c r="AU178" s="39" t="n">
        <f aca="false">IF(AU$4=0,0,IF(COUNTIFS(実績!$W$6:$W$505,AU$3,実績!$AI$6:$AI$505,"&lt;="&amp;$A178,実績!$AJ$6:$AJ$505,"&gt;"&amp;$A178,実績!$AL$6:$AL$505,"○")&gt;0,1,0))</f>
        <v>0</v>
      </c>
      <c r="AV178" s="39" t="n">
        <f aca="false">IF(AV$4=0,0,IF(COUNTIFS(実績!$W$6:$W$505,AV$3,実績!$AI$6:$AI$505,"&lt;="&amp;$A178,実績!$AJ$6:$AJ$505,"&gt;"&amp;$A178,実績!$AL$6:$AL$505,"○")&gt;0,1,0))</f>
        <v>0</v>
      </c>
      <c r="AW178" s="39" t="n">
        <f aca="false">IF(AW$4=0,0,IF(COUNTIFS(実績!$W$6:$W$505,AW$3,実績!$AI$6:$AI$505,"&lt;="&amp;$A178,実績!$AJ$6:$AJ$505,"&gt;"&amp;$A178,実績!$AL$6:$AL$505,"○")&gt;0,1,0))</f>
        <v>0</v>
      </c>
      <c r="AX178" s="39" t="n">
        <f aca="false">IF(AX$4=0,0,IF(COUNTIFS(実績!$W$6:$W$505,AX$3,実績!$AI$6:$AI$505,"&lt;="&amp;$A178,実績!$AJ$6:$AJ$505,"&gt;"&amp;$A178,実績!$AL$6:$AL$505,"○")&gt;0,1,0))</f>
        <v>0</v>
      </c>
      <c r="AY178" s="39" t="n">
        <f aca="false">IF(AY$4=0,0,IF(COUNTIFS(実績!$W$6:$W$505,AY$3,実績!$AI$6:$AI$505,"&lt;="&amp;$A178,実績!$AJ$6:$AJ$505,"&gt;"&amp;$A178,実績!$AL$6:$AL$505,"○")&gt;0,1,0))</f>
        <v>0</v>
      </c>
      <c r="AZ178" s="39" t="n">
        <f aca="false">IF(AZ$4=0,0,IF(COUNTIFS(実績!$W$6:$W$505,AZ$3,実績!$AI$6:$AI$505,"&lt;="&amp;$A178,実績!$AJ$6:$AJ$505,"&gt;"&amp;$A178,実績!$AL$6:$AL$505,"○")&gt;0,1,0))</f>
        <v>0</v>
      </c>
      <c r="BA178" s="39" t="n">
        <f aca="false">IF(BA$4=0,0,IF(COUNTIFS(実績!$W$6:$W$505,BA$3,実績!$AI$6:$AI$505,"&lt;="&amp;$A178,実績!$AJ$6:$AJ$505,"&gt;"&amp;$A178,実績!$AL$6:$AL$505,"○")&gt;0,1,0))</f>
        <v>0</v>
      </c>
      <c r="BB178" s="39" t="n">
        <f aca="false">IF(BB$4=0,0,IF(COUNTIFS(実績!$W$6:$W$505,BB$3,実績!$AI$6:$AI$505,"&lt;="&amp;$A178,実績!$AJ$6:$AJ$505,"&gt;"&amp;$A178,実績!$AL$6:$AL$505,"○")&gt;0,1,0))</f>
        <v>0</v>
      </c>
      <c r="BC178" s="39" t="n">
        <f aca="false">IF(BC$4=0,0,IF(COUNTIFS(実績!$W$6:$W$505,BC$3,実績!$AI$6:$AI$505,"&lt;="&amp;$A178,実績!$AJ$6:$AJ$505,"&gt;"&amp;$A178,実績!$AL$6:$AL$505,"○")&gt;0,1,0))</f>
        <v>0</v>
      </c>
      <c r="BD178" s="39" t="n">
        <f aca="false">IF(BD$4=0,0,IF(COUNTIFS(実績!$W$6:$W$505,BD$3,実績!$AI$6:$AI$505,"&lt;="&amp;$A178,実績!$AJ$6:$AJ$505,"&gt;"&amp;$A178,実績!$AL$6:$AL$505,"○")&gt;0,1,0))</f>
        <v>0</v>
      </c>
      <c r="BE178" s="39" t="n">
        <f aca="false">IF(BE$4=0,0,IF(COUNTIFS(実績!$W$6:$W$505,BE$3,実績!$AI$6:$AI$505,"&lt;="&amp;$A178,実績!$AJ$6:$AJ$505,"&gt;"&amp;$A178,実績!$AL$6:$AL$505,"○")&gt;0,1,0))</f>
        <v>0</v>
      </c>
      <c r="BF178" s="39" t="n">
        <f aca="false">IF(BF$4=0,0,IF(COUNTIFS(実績!$W$6:$W$505,BF$3,実績!$AI$6:$AI$505,"&lt;="&amp;$A178,実績!$AJ$6:$AJ$505,"&gt;"&amp;$A178,実績!$AL$6:$AL$505,"○")&gt;0,1,0))</f>
        <v>0</v>
      </c>
      <c r="BG178" s="39" t="n">
        <f aca="false">IF(BG$4=0,0,IF(COUNTIFS(実績!$W$6:$W$505,BG$3,実績!$AI$6:$AI$505,"&lt;="&amp;$A178,実績!$AJ$6:$AJ$505,"&gt;"&amp;$A178,実績!$AL$6:$AL$505,"○")&gt;0,1,0))</f>
        <v>0</v>
      </c>
      <c r="BH178" s="39" t="n">
        <f aca="false">IF(BH$4=0,0,IF(COUNTIFS(実績!$W$6:$W$505,BH$3,実績!$AI$6:$AI$505,"&lt;="&amp;$A178,実績!$AJ$6:$AJ$505,"&gt;"&amp;$A178,実績!$AL$6:$AL$505,"○")&gt;0,1,0))</f>
        <v>0</v>
      </c>
      <c r="BI178" s="39" t="n">
        <f aca="false">IF(BI$4=0,0,IF(COUNTIFS(実績!$W$6:$W$505,BI$3,実績!$AI$6:$AI$505,"&lt;="&amp;$A178,実績!$AJ$6:$AJ$505,"&gt;"&amp;$A178,実績!$AL$6:$AL$505,"○")&gt;0,1,0))</f>
        <v>0</v>
      </c>
      <c r="BJ178" s="39" t="n">
        <f aca="false">IF(BJ$4=0,0,IF(COUNTIFS(実績!$W$6:$W$505,BJ$3,実績!$AI$6:$AI$505,"&lt;="&amp;$A178,実績!$AJ$6:$AJ$505,"&gt;"&amp;$A178,実績!$AL$6:$AL$505,"○")&gt;0,1,0))</f>
        <v>0</v>
      </c>
      <c r="BK178" s="39" t="n">
        <f aca="false">IF(BK$4=0,0,IF(COUNTIFS(実績!$W$6:$W$505,BK$3,実績!$AI$6:$AI$505,"&lt;="&amp;$A178,実績!$AJ$6:$AJ$505,"&gt;"&amp;$A178,実績!$AL$6:$AL$505,"○")&gt;0,1,0))</f>
        <v>0</v>
      </c>
      <c r="BL178" s="39" t="n">
        <f aca="false">IF(BL$4=0,0,IF(COUNTIFS(実績!$W$6:$W$505,BL$3,実績!$AI$6:$AI$505,"&lt;="&amp;$A178,実績!$AJ$6:$AJ$505,"&gt;"&amp;$A178,実績!$AL$6:$AL$505,"○")&gt;0,1,0))</f>
        <v>0</v>
      </c>
      <c r="BM178" s="39" t="n">
        <f aca="false">IF(BM$4=0,0,IF(COUNTIFS(実績!$W$6:$W$505,BM$3,実績!$AI$6:$AI$505,"&lt;="&amp;$A178,実績!$AJ$6:$AJ$505,"&gt;"&amp;$A178,実績!$AL$6:$AL$505,"○")&gt;0,1,0))</f>
        <v>0</v>
      </c>
      <c r="BN178" s="39" t="n">
        <f aca="false">IF(BN$4=0,0,IF(COUNTIFS(実績!$W$6:$W$505,BN$3,実績!$AI$6:$AI$505,"&lt;="&amp;$A178,実績!$AJ$6:$AJ$505,"&gt;"&amp;$A178,実績!$AL$6:$AL$505,"○")&gt;0,1,0))</f>
        <v>0</v>
      </c>
      <c r="BO178" s="39" t="n">
        <f aca="false">IF(BO$4=0,0,IF(COUNTIFS(実績!$W$6:$W$505,BO$3,実績!$AI$6:$AI$505,"&lt;="&amp;$A178,実績!$AJ$6:$AJ$505,"&gt;"&amp;$A178,実績!$AL$6:$AL$505,"○")&gt;0,1,0))</f>
        <v>0</v>
      </c>
      <c r="BP178" s="39" t="n">
        <f aca="false">IF(BP$4=0,0,IF(COUNTIFS(実績!$W$6:$W$505,BP$3,実績!$AI$6:$AI$505,"&lt;="&amp;$A178,実績!$AJ$6:$AJ$505,"&gt;"&amp;$A178,実績!$AL$6:$AL$505,"○")&gt;0,1,0))</f>
        <v>0</v>
      </c>
      <c r="BQ178" s="39" t="n">
        <f aca="false">IF(BQ$4=0,0,IF(COUNTIFS(実績!$W$6:$W$505,BQ$3,実績!$AI$6:$AI$505,"&lt;="&amp;$A178,実績!$AJ$6:$AJ$505,"&gt;"&amp;$A178,実績!$AL$6:$AL$505,"○")&gt;0,1,0))</f>
        <v>0</v>
      </c>
      <c r="BR178" s="39" t="n">
        <f aca="false">IF(BR$4=0,0,IF(COUNTIFS(実績!$W$6:$W$505,BR$3,実績!$AI$6:$AI$505,"&lt;="&amp;$A178,実績!$AJ$6:$AJ$505,"&gt;"&amp;$A178,実績!$AL$6:$AL$505,"○")&gt;0,1,0))</f>
        <v>0</v>
      </c>
      <c r="BS178" s="39" t="n">
        <f aca="false">IF(BS$4=0,0,IF(COUNTIFS(実績!$W$6:$W$505,BS$3,実績!$AI$6:$AI$505,"&lt;="&amp;$A178,実績!$AJ$6:$AJ$505,"&gt;"&amp;$A178,実績!$AL$6:$AL$505,"○")&gt;0,1,0))</f>
        <v>0</v>
      </c>
      <c r="BT178" s="39" t="n">
        <f aca="false">IF(BT$4=0,0,IF(COUNTIFS(実績!$W$6:$W$505,BT$3,実績!$AI$6:$AI$505,"&lt;="&amp;$A178,実績!$AJ$6:$AJ$505,"&gt;"&amp;$A178,実績!$AL$6:$AL$505,"○")&gt;0,1,0))</f>
        <v>0</v>
      </c>
      <c r="BU178" s="39" t="n">
        <f aca="false">IF(BU$4=0,0,IF(COUNTIFS(実績!$W$6:$W$505,BU$3,実績!$AI$6:$AI$505,"&lt;="&amp;$A178,実績!$AJ$6:$AJ$505,"&gt;"&amp;$A178,実績!$AL$6:$AL$505,"○")&gt;0,1,0))</f>
        <v>0</v>
      </c>
      <c r="BV178" s="39" t="n">
        <f aca="false">IF(BV$4=0,0,IF(COUNTIFS(実績!$W$6:$W$505,BV$3,実績!$AI$6:$AI$505,"&lt;="&amp;$A178,実績!$AJ$6:$AJ$505,"&gt;"&amp;$A178,実績!$AL$6:$AL$505,"○")&gt;0,1,0))</f>
        <v>0</v>
      </c>
      <c r="BW178" s="39" t="n">
        <f aca="false">IF(BW$4=0,0,IF(COUNTIFS(実績!$W$6:$W$505,BW$3,実績!$AI$6:$AI$505,"&lt;="&amp;$A178,実績!$AJ$6:$AJ$505,"&gt;"&amp;$A178,実績!$AL$6:$AL$505,"○")&gt;0,1,0))</f>
        <v>0</v>
      </c>
      <c r="BX178" s="39" t="n">
        <f aca="false">IF(BX$4=0,0,IF(COUNTIFS(実績!$W$6:$W$505,BX$3,実績!$AI$6:$AI$505,"&lt;="&amp;$A178,実績!$AJ$6:$AJ$505,"&gt;"&amp;$A178,実績!$AL$6:$AL$505,"○")&gt;0,1,0))</f>
        <v>0</v>
      </c>
      <c r="BY178" s="39" t="n">
        <f aca="false">IF(BY$4=0,0,IF(COUNTIFS(実績!$W$6:$W$505,BY$3,実績!$AI$6:$AI$505,"&lt;="&amp;$A178,実績!$AJ$6:$AJ$505,"&gt;"&amp;$A178,実績!$AL$6:$AL$505,"○")&gt;0,1,0))</f>
        <v>0</v>
      </c>
      <c r="BZ178" s="39" t="n">
        <f aca="false">IF(BZ$4=0,0,IF(COUNTIFS(実績!$W$6:$W$505,BZ$3,実績!$AI$6:$AI$505,"&lt;="&amp;$A178,実績!$AJ$6:$AJ$505,"&gt;"&amp;$A178,実績!$AL$6:$AL$505,"○")&gt;0,1,0))</f>
        <v>0</v>
      </c>
      <c r="CA178" s="39" t="n">
        <f aca="false">IF(CA$4=0,0,IF(COUNTIFS(実績!$W$6:$W$505,CA$3,実績!$AI$6:$AI$505,"&lt;="&amp;$A178,実績!$AJ$6:$AJ$505,"&gt;"&amp;$A178,実績!$AL$6:$AL$505,"○")&gt;0,1,0))</f>
        <v>0</v>
      </c>
      <c r="CB178" s="39" t="n">
        <f aca="false">IF(CB$4=0,0,IF(COUNTIFS(実績!$W$6:$W$505,CB$3,実績!$AI$6:$AI$505,"&lt;="&amp;$A178,実績!$AJ$6:$AJ$505,"&gt;"&amp;$A178,実績!$AL$6:$AL$505,"○")&gt;0,1,0))</f>
        <v>0</v>
      </c>
      <c r="CC178" s="39" t="n">
        <f aca="false">IF(CC$4=0,0,IF(COUNTIFS(実績!$W$6:$W$505,CC$3,実績!$AI$6:$AI$505,"&lt;="&amp;$A178,実績!$AJ$6:$AJ$505,"&gt;"&amp;$A178,実績!$AL$6:$AL$505,"○")&gt;0,1,0))</f>
        <v>0</v>
      </c>
      <c r="CD178" s="39" t="n">
        <f aca="false">IF(CD$4=0,0,IF(COUNTIFS(実績!$W$6:$W$505,CD$3,実績!$AI$6:$AI$505,"&lt;="&amp;$A178,実績!$AJ$6:$AJ$505,"&gt;"&amp;$A178,実績!$AL$6:$AL$505,"○")&gt;0,1,0))</f>
        <v>0</v>
      </c>
      <c r="CE178" s="39" t="n">
        <f aca="false">IF(CE$4=0,0,IF(COUNTIFS(実績!$W$6:$W$505,CE$3,実績!$AI$6:$AI$505,"&lt;="&amp;$A178,実績!$AJ$6:$AJ$505,"&gt;"&amp;$A178,実績!$AL$6:$AL$505,"○")&gt;0,1,0))</f>
        <v>0</v>
      </c>
      <c r="CF178" s="39" t="n">
        <f aca="false">IF(CF$4=0,0,IF(COUNTIFS(実績!$W$6:$W$505,CF$3,実績!$AI$6:$AI$505,"&lt;="&amp;$A178,実績!$AJ$6:$AJ$505,"&gt;"&amp;$A178,実績!$AL$6:$AL$505,"○")&gt;0,1,0))</f>
        <v>0</v>
      </c>
      <c r="CG178" s="39" t="n">
        <f aca="false">IF(CG$4=0,0,IF(COUNTIFS(実績!$W$6:$W$505,CG$3,実績!$AI$6:$AI$505,"&lt;="&amp;$A178,実績!$AJ$6:$AJ$505,"&gt;"&amp;$A178,実績!$AL$6:$AL$505,"○")&gt;0,1,0))</f>
        <v>0</v>
      </c>
      <c r="CH178" s="39" t="n">
        <f aca="false">IF(CH$4=0,0,IF(COUNTIFS(実績!$W$6:$W$505,CH$3,実績!$AI$6:$AI$505,"&lt;="&amp;$A178,実績!$AJ$6:$AJ$505,"&gt;"&amp;$A178,実績!$AL$6:$AL$505,"○")&gt;0,1,0))</f>
        <v>0</v>
      </c>
      <c r="CI178" s="39" t="n">
        <f aca="false">IF(CI$4=0,0,IF(COUNTIFS(実績!$W$6:$W$505,CI$3,実績!$AI$6:$AI$505,"&lt;="&amp;$A178,実績!$AJ$6:$AJ$505,"&gt;"&amp;$A178,実績!$AL$6:$AL$505,"○")&gt;0,1,0))</f>
        <v>0</v>
      </c>
      <c r="CJ178" s="39" t="n">
        <f aca="false">IF(CJ$4=0,0,IF(COUNTIFS(実績!$W$6:$W$505,CJ$3,実績!$AI$6:$AI$505,"&lt;="&amp;$A178,実績!$AJ$6:$AJ$505,"&gt;"&amp;$A178,実績!$AL$6:$AL$505,"○")&gt;0,1,0))</f>
        <v>0</v>
      </c>
      <c r="CK178" s="39" t="n">
        <f aca="false">IF(CK$4=0,0,IF(COUNTIFS(実績!$W$6:$W$505,CK$3,実績!$AI$6:$AI$505,"&lt;="&amp;$A178,実績!$AJ$6:$AJ$505,"&gt;"&amp;$A178,実績!$AL$6:$AL$505,"○")&gt;0,1,0))</f>
        <v>0</v>
      </c>
      <c r="CL178" s="39" t="n">
        <f aca="false">IF(CL$4=0,0,IF(COUNTIFS(実績!$W$6:$W$505,CL$3,実績!$AI$6:$AI$505,"&lt;="&amp;$A178,実績!$AJ$6:$AJ$505,"&gt;"&amp;$A178,実績!$AL$6:$AL$505,"○")&gt;0,1,0))</f>
        <v>0</v>
      </c>
      <c r="CM178" s="39" t="n">
        <f aca="false">IF(CM$4=0,0,IF(COUNTIFS(実績!$W$6:$W$505,CM$3,実績!$AI$6:$AI$505,"&lt;="&amp;$A178,実績!$AJ$6:$AJ$505,"&gt;"&amp;$A178,実績!$AL$6:$AL$505,"○")&gt;0,1,0))</f>
        <v>0</v>
      </c>
      <c r="CN178" s="39" t="n">
        <f aca="false">IF(CN$4=0,0,IF(COUNTIFS(実績!$W$6:$W$505,CN$3,実績!$AI$6:$AI$505,"&lt;="&amp;$A178,実績!$AJ$6:$AJ$505,"&gt;"&amp;$A178,実績!$AL$6:$AL$505,"○")&gt;0,1,0))</f>
        <v>0</v>
      </c>
      <c r="CO178" s="39" t="n">
        <f aca="false">IF(CO$4=0,0,IF(COUNTIFS(実績!$W$6:$W$505,CO$3,実績!$AI$6:$AI$505,"&lt;="&amp;$A178,実績!$AJ$6:$AJ$505,"&gt;"&amp;$A178,実績!$AL$6:$AL$505,"○")&gt;0,1,0))</f>
        <v>0</v>
      </c>
      <c r="CP178" s="39" t="n">
        <f aca="false">IF(CP$4=0,0,IF(COUNTIFS(実績!$W$6:$W$505,CP$3,実績!$AI$6:$AI$505,"&lt;="&amp;$A178,実績!$AJ$6:$AJ$505,"&gt;"&amp;$A178,実績!$AL$6:$AL$505,"○")&gt;0,1,0))</f>
        <v>0</v>
      </c>
      <c r="CQ178" s="39" t="n">
        <f aca="false">IF(CQ$4=0,0,IF(COUNTIFS(実績!$W$6:$W$505,CQ$3,実績!$AI$6:$AI$505,"&lt;="&amp;$A178,実績!$AJ$6:$AJ$505,"&gt;"&amp;$A178,実績!$AL$6:$AL$505,"○")&gt;0,1,0))</f>
        <v>0</v>
      </c>
      <c r="CR178" s="39" t="n">
        <f aca="false">IF(CR$4=0,0,IF(COUNTIFS(実績!$W$6:$W$505,CR$3,実績!$AI$6:$AI$505,"&lt;="&amp;$A178,実績!$AJ$6:$AJ$505,"&gt;"&amp;$A178,実績!$AL$6:$AL$505,"○")&gt;0,1,0))</f>
        <v>0</v>
      </c>
      <c r="CS178" s="39" t="n">
        <f aca="false">IF(CS$4=0,0,IF(COUNTIFS(実績!$W$6:$W$505,CS$3,実績!$AI$6:$AI$505,"&lt;="&amp;$A178,実績!$AJ$6:$AJ$505,"&gt;"&amp;$A178,実績!$AL$6:$AL$505,"○")&gt;0,1,0))</f>
        <v>0</v>
      </c>
      <c r="CT178" s="39" t="n">
        <f aca="false">IF(CT$4=0,0,IF(COUNTIFS(実績!$W$6:$W$505,CT$3,実績!$AI$6:$AI$505,"&lt;="&amp;$A178,実績!$AJ$6:$AJ$505,"&gt;"&amp;$A178,実績!$AL$6:$AL$505,"○")&gt;0,1,0))</f>
        <v>0</v>
      </c>
      <c r="CU178" s="39" t="n">
        <f aca="false">IF(CU$4=0,0,IF(COUNTIFS(実績!$W$6:$W$505,CU$3,実績!$AI$6:$AI$505,"&lt;="&amp;$A178,実績!$AJ$6:$AJ$505,"&gt;"&amp;$A178,実績!$AL$6:$AL$505,"○")&gt;0,1,0))</f>
        <v>0</v>
      </c>
      <c r="CV178" s="39" t="n">
        <f aca="false">IF(CV$4=0,0,IF(COUNTIFS(実績!$W$6:$W$505,CV$3,実績!$AI$6:$AI$505,"&lt;="&amp;$A178,実績!$AJ$6:$AJ$505,"&gt;"&amp;$A178,実績!$AL$6:$AL$505,"○")&gt;0,1,0))</f>
        <v>0</v>
      </c>
      <c r="CW178" s="39" t="n">
        <f aca="false">IF(CW$4=0,0,IF(COUNTIFS(実績!$W$6:$W$505,CW$3,実績!$AI$6:$AI$505,"&lt;="&amp;$A178,実績!$AJ$6:$AJ$505,"&gt;"&amp;$A178,実績!$AL$6:$AL$505,"○")&gt;0,1,0))</f>
        <v>0</v>
      </c>
      <c r="CX178" s="39" t="n">
        <f aca="false">IF(CX$4=0,0,IF(COUNTIFS(実績!$W$6:$W$505,CX$3,実績!$AI$6:$AI$505,"&lt;="&amp;$A178,実績!$AJ$6:$AJ$505,"&gt;"&amp;$A178,実績!$AL$6:$AL$505,"○")&gt;0,1,0))</f>
        <v>0</v>
      </c>
      <c r="CY178" s="39" t="n">
        <f aca="false">IF(CY$4=0,0,IF(COUNTIFS(実績!$W$6:$W$505,CY$3,実績!$AI$6:$AI$505,"&lt;="&amp;$A178,実績!$AJ$6:$AJ$505,"&gt;"&amp;$A178,実績!$AL$6:$AL$505,"○")&gt;0,1,0))</f>
        <v>0</v>
      </c>
      <c r="CZ178" s="39" t="n">
        <f aca="false">IF(CZ$4=0,0,IF(COUNTIFS(実績!$W$6:$W$505,CZ$3,実績!$AI$6:$AI$505,"&lt;="&amp;$A178,実績!$AJ$6:$AJ$505,"&gt;"&amp;$A178,実績!$AL$6:$AL$505,"○")&gt;0,1,0))</f>
        <v>0</v>
      </c>
      <c r="DA178" s="39" t="n">
        <f aca="false">IF(DA$4=0,0,IF(COUNTIFS(実績!$W$6:$W$505,DA$3,実績!$AI$6:$AI$505,"&lt;="&amp;$A178,実績!$AJ$6:$AJ$505,"&gt;"&amp;$A178,実績!$AL$6:$AL$505,"○")&gt;0,1,0))</f>
        <v>0</v>
      </c>
      <c r="DB178" s="39" t="n">
        <f aca="false">IF(DB$4=0,0,IF(COUNTIFS(実績!$W$6:$W$505,DB$3,実績!$AI$6:$AI$505,"&lt;="&amp;$A178,実績!$AJ$6:$AJ$505,"&gt;"&amp;$A178,実績!$AL$6:$AL$505,"○")&gt;0,1,0))</f>
        <v>0</v>
      </c>
      <c r="DC178" s="39" t="n">
        <f aca="false">IF(DC$4=0,0,IF(COUNTIFS(実績!$W$6:$W$505,DC$3,実績!$AI$6:$AI$505,"&lt;="&amp;$A178,実績!$AJ$6:$AJ$505,"&gt;"&amp;$A178,実績!$AL$6:$AL$505,"○")&gt;0,1,0))</f>
        <v>0</v>
      </c>
      <c r="DD178" s="39" t="n">
        <f aca="false">IF(DD$4=0,0,IF(COUNTIFS(実績!$W$6:$W$505,DD$3,実績!$AI$6:$AI$505,"&lt;="&amp;$A178,実績!$AJ$6:$AJ$505,"&gt;"&amp;$A178,実績!$AL$6:$AL$505,"○")&gt;0,1,0))</f>
        <v>0</v>
      </c>
      <c r="DE178" s="39" t="n">
        <f aca="false">IF(DE$4=0,0,IF(COUNTIFS(実績!$W$6:$W$505,DE$3,実績!$AI$6:$AI$505,"&lt;="&amp;$A178,実績!$AJ$6:$AJ$505,"&gt;"&amp;$A178,実績!$AL$6:$AL$505,"○")&gt;0,1,0))</f>
        <v>0</v>
      </c>
      <c r="DF178" s="39" t="n">
        <f aca="false">IF(DF$4=0,0,IF(COUNTIFS(実績!$W$6:$W$505,DF$3,実績!$AI$6:$AI$505,"&lt;="&amp;$A178,実績!$AJ$6:$AJ$505,"&gt;"&amp;$A178,実績!$AL$6:$AL$505,"○")&gt;0,1,0))</f>
        <v>0</v>
      </c>
      <c r="DG178" s="39" t="n">
        <f aca="false">IF(DG$4=0,0,IF(COUNTIFS(実績!$W$6:$W$505,DG$3,実績!$AI$6:$AI$505,"&lt;="&amp;$A178,実績!$AJ$6:$AJ$505,"&gt;"&amp;$A178,実績!$AL$6:$AL$505,"○")&gt;0,1,0))</f>
        <v>0</v>
      </c>
      <c r="DH178" s="39" t="n">
        <f aca="false">IF(DH$4=0,0,IF(COUNTIFS(実績!$W$6:$W$505,DH$3,実績!$AI$6:$AI$505,"&lt;="&amp;$A178,実績!$AJ$6:$AJ$505,"&gt;"&amp;$A178,実績!$AL$6:$AL$505,"○")&gt;0,1,0))</f>
        <v>0</v>
      </c>
      <c r="DI178" s="39" t="n">
        <f aca="false">IF(DI$4=0,0,IF(COUNTIFS(実績!$W$6:$W$505,DI$3,実績!$AI$6:$AI$505,"&lt;="&amp;$A178,実績!$AJ$6:$AJ$505,"&gt;"&amp;$A178,実績!$AL$6:$AL$505,"○")&gt;0,1,0))</f>
        <v>0</v>
      </c>
      <c r="DJ178" s="39" t="n">
        <f aca="false">IF(DJ$4=0,0,IF(COUNTIFS(実績!$W$6:$W$505,DJ$3,実績!$AI$6:$AI$505,"&lt;="&amp;$A178,実績!$AJ$6:$AJ$505,"&gt;"&amp;$A178,実績!$AL$6:$AL$505,"○")&gt;0,1,0))</f>
        <v>0</v>
      </c>
      <c r="DK178" s="39" t="n">
        <f aca="false">IF(DK$4=0,0,IF(COUNTIFS(実績!$W$6:$W$505,DK$3,実績!$AI$6:$AI$505,"&lt;="&amp;$A178,実績!$AJ$6:$AJ$505,"&gt;"&amp;$A178,実績!$AL$6:$AL$505,"○")&gt;0,1,0))</f>
        <v>0</v>
      </c>
      <c r="DL178" s="39" t="n">
        <f aca="false">IF(DL$4=0,0,IF(COUNTIFS(実績!$W$6:$W$505,DL$3,実績!$AI$6:$AI$505,"&lt;="&amp;$A178,実績!$AJ$6:$AJ$505,"&gt;"&amp;$A178,実績!$AL$6:$AL$505,"○")&gt;0,1,0))</f>
        <v>0</v>
      </c>
      <c r="DM178" s="39" t="n">
        <f aca="false">IF(DM$4=0,0,IF(COUNTIFS(実績!$W$6:$W$505,DM$3,実績!$AI$6:$AI$505,"&lt;="&amp;$A178,実績!$AJ$6:$AJ$505,"&gt;"&amp;$A178,実績!$AL$6:$AL$505,"○")&gt;0,1,0))</f>
        <v>0</v>
      </c>
      <c r="DN178" s="39" t="n">
        <f aca="false">IF(DN$4=0,0,IF(COUNTIFS(実績!$W$6:$W$505,DN$3,実績!$AI$6:$AI$505,"&lt;="&amp;$A178,実績!$AJ$6:$AJ$505,"&gt;"&amp;$A178,実績!$AL$6:$AL$505,"○")&gt;0,1,0))</f>
        <v>0</v>
      </c>
      <c r="DO178" s="39" t="n">
        <f aca="false">IF(DO$4=0,0,IF(COUNTIFS(実績!$W$6:$W$505,DO$3,実績!$AI$6:$AI$505,"&lt;="&amp;$A178,実績!$AJ$6:$AJ$505,"&gt;"&amp;$A178,実績!$AL$6:$AL$505,"○")&gt;0,1,0))</f>
        <v>0</v>
      </c>
      <c r="DP178" s="39" t="n">
        <f aca="false">IF(DP$4=0,0,IF(COUNTIFS(実績!$W$6:$W$505,DP$3,実績!$AI$6:$AI$505,"&lt;="&amp;$A178,実績!$AJ$6:$AJ$505,"&gt;"&amp;$A178,実績!$AL$6:$AL$505,"○")&gt;0,1,0))</f>
        <v>0</v>
      </c>
      <c r="DQ178" s="39" t="n">
        <f aca="false">IF(DQ$4=0,0,IF(COUNTIFS(実績!$W$6:$W$505,DQ$3,実績!$AI$6:$AI$505,"&lt;="&amp;$A178,実績!$AJ$6:$AJ$505,"&gt;"&amp;$A178,実績!$AL$6:$AL$505,"○")&gt;0,1,0))</f>
        <v>0</v>
      </c>
      <c r="DR178" s="39" t="n">
        <f aca="false">IF(DR$4=0,0,IF(COUNTIFS(実績!$W$6:$W$505,DR$3,実績!$AI$6:$AI$505,"&lt;="&amp;$A178,実績!$AJ$6:$AJ$505,"&gt;"&amp;$A178,実績!$AL$6:$AL$505,"○")&gt;0,1,0))</f>
        <v>0</v>
      </c>
      <c r="DS178" s="39" t="n">
        <f aca="false">SUM(C178:DR178)</f>
        <v>0</v>
      </c>
    </row>
    <row r="179" customFormat="false" ht="15" hidden="false" customHeight="false" outlineLevel="0" collapsed="false">
      <c r="A179" s="0" t="n">
        <v>865</v>
      </c>
      <c r="B179" s="38" t="n">
        <f aca="false">A179/1440</f>
        <v>0.600694444444444</v>
      </c>
      <c r="C179" s="39" t="n">
        <f aca="false">IF(C$4=0,0,IF(COUNTIFS(実績!$W$6:$W$505,C$3,実績!$AI$6:$AI$505,"&lt;="&amp;$A179,実績!$AJ$6:$AJ$505,"&gt;"&amp;$A179,実績!$AL$6:$AL$505,"○")&gt;0,1,0))</f>
        <v>0</v>
      </c>
      <c r="D179" s="39" t="n">
        <f aca="false">IF(D$4=0,0,IF(COUNTIFS(実績!$W$6:$W$505,D$3,実績!$AI$6:$AI$505,"&lt;="&amp;$A179,実績!$AJ$6:$AJ$505,"&gt;"&amp;$A179,実績!$AL$6:$AL$505,"○")&gt;0,1,0))</f>
        <v>0</v>
      </c>
      <c r="E179" s="39" t="n">
        <f aca="false">IF(E$4=0,0,IF(COUNTIFS(実績!$W$6:$W$505,E$3,実績!$AI$6:$AI$505,"&lt;="&amp;$A179,実績!$AJ$6:$AJ$505,"&gt;"&amp;$A179,実績!$AL$6:$AL$505,"○")&gt;0,1,0))</f>
        <v>0</v>
      </c>
      <c r="F179" s="39" t="n">
        <f aca="false">IF(F$4=0,0,IF(COUNTIFS(実績!$W$6:$W$505,F$3,実績!$AI$6:$AI$505,"&lt;="&amp;$A179,実績!$AJ$6:$AJ$505,"&gt;"&amp;$A179,実績!$AL$6:$AL$505,"○")&gt;0,1,0))</f>
        <v>0</v>
      </c>
      <c r="G179" s="39" t="n">
        <f aca="false">IF(G$4=0,0,IF(COUNTIFS(実績!$W$6:$W$505,G$3,実績!$AI$6:$AI$505,"&lt;="&amp;$A179,実績!$AJ$6:$AJ$505,"&gt;"&amp;$A179,実績!$AL$6:$AL$505,"○")&gt;0,1,0))</f>
        <v>0</v>
      </c>
      <c r="H179" s="39" t="n">
        <f aca="false">IF(H$4=0,0,IF(COUNTIFS(実績!$W$6:$W$505,H$3,実績!$AI$6:$AI$505,"&lt;="&amp;$A179,実績!$AJ$6:$AJ$505,"&gt;"&amp;$A179,実績!$AL$6:$AL$505,"○")&gt;0,1,0))</f>
        <v>0</v>
      </c>
      <c r="I179" s="39" t="n">
        <f aca="false">IF(I$4=0,0,IF(COUNTIFS(実績!$W$6:$W$505,I$3,実績!$AI$6:$AI$505,"&lt;="&amp;$A179,実績!$AJ$6:$AJ$505,"&gt;"&amp;$A179,実績!$AL$6:$AL$505,"○")&gt;0,1,0))</f>
        <v>0</v>
      </c>
      <c r="J179" s="39" t="n">
        <f aca="false">IF(J$4=0,0,IF(COUNTIFS(実績!$W$6:$W$505,J$3,実績!$AI$6:$AI$505,"&lt;="&amp;$A179,実績!$AJ$6:$AJ$505,"&gt;"&amp;$A179,実績!$AL$6:$AL$505,"○")&gt;0,1,0))</f>
        <v>0</v>
      </c>
      <c r="K179" s="39" t="n">
        <f aca="false">IF(K$4=0,0,IF(COUNTIFS(実績!$W$6:$W$505,K$3,実績!$AI$6:$AI$505,"&lt;="&amp;$A179,実績!$AJ$6:$AJ$505,"&gt;"&amp;$A179,実績!$AL$6:$AL$505,"○")&gt;0,1,0))</f>
        <v>0</v>
      </c>
      <c r="L179" s="39" t="n">
        <f aca="false">IF(L$4=0,0,IF(COUNTIFS(実績!$W$6:$W$505,L$3,実績!$AI$6:$AI$505,"&lt;="&amp;$A179,実績!$AJ$6:$AJ$505,"&gt;"&amp;$A179,実績!$AL$6:$AL$505,"○")&gt;0,1,0))</f>
        <v>0</v>
      </c>
      <c r="M179" s="39" t="n">
        <f aca="false">IF(M$4=0,0,IF(COUNTIFS(実績!$W$6:$W$505,M$3,実績!$AI$6:$AI$505,"&lt;="&amp;$A179,実績!$AJ$6:$AJ$505,"&gt;"&amp;$A179,実績!$AL$6:$AL$505,"○")&gt;0,1,0))</f>
        <v>0</v>
      </c>
      <c r="N179" s="39" t="n">
        <f aca="false">IF(N$4=0,0,IF(COUNTIFS(実績!$W$6:$W$505,N$3,実績!$AI$6:$AI$505,"&lt;="&amp;$A179,実績!$AJ$6:$AJ$505,"&gt;"&amp;$A179,実績!$AL$6:$AL$505,"○")&gt;0,1,0))</f>
        <v>0</v>
      </c>
      <c r="O179" s="39" t="n">
        <f aca="false">IF(O$4=0,0,IF(COUNTIFS(実績!$W$6:$W$505,O$3,実績!$AI$6:$AI$505,"&lt;="&amp;$A179,実績!$AJ$6:$AJ$505,"&gt;"&amp;$A179,実績!$AL$6:$AL$505,"○")&gt;0,1,0))</f>
        <v>0</v>
      </c>
      <c r="P179" s="39" t="n">
        <f aca="false">IF(P$4=0,0,IF(COUNTIFS(実績!$W$6:$W$505,P$3,実績!$AI$6:$AI$505,"&lt;="&amp;$A179,実績!$AJ$6:$AJ$505,"&gt;"&amp;$A179,実績!$AL$6:$AL$505,"○")&gt;0,1,0))</f>
        <v>0</v>
      </c>
      <c r="Q179" s="39" t="n">
        <f aca="false">IF(Q$4=0,0,IF(COUNTIFS(実績!$W$6:$W$505,Q$3,実績!$AI$6:$AI$505,"&lt;="&amp;$A179,実績!$AJ$6:$AJ$505,"&gt;"&amp;$A179,実績!$AL$6:$AL$505,"○")&gt;0,1,0))</f>
        <v>0</v>
      </c>
      <c r="R179" s="39" t="n">
        <f aca="false">IF(R$4=0,0,IF(COUNTIFS(実績!$W$6:$W$505,R$3,実績!$AI$6:$AI$505,"&lt;="&amp;$A179,実績!$AJ$6:$AJ$505,"&gt;"&amp;$A179,実績!$AL$6:$AL$505,"○")&gt;0,1,0))</f>
        <v>0</v>
      </c>
      <c r="S179" s="39" t="n">
        <f aca="false">IF(S$4=0,0,IF(COUNTIFS(実績!$W$6:$W$505,S$3,実績!$AI$6:$AI$505,"&lt;="&amp;$A179,実績!$AJ$6:$AJ$505,"&gt;"&amp;$A179,実績!$AL$6:$AL$505,"○")&gt;0,1,0))</f>
        <v>0</v>
      </c>
      <c r="T179" s="39" t="n">
        <f aca="false">IF(T$4=0,0,IF(COUNTIFS(実績!$W$6:$W$505,T$3,実績!$AI$6:$AI$505,"&lt;="&amp;$A179,実績!$AJ$6:$AJ$505,"&gt;"&amp;$A179,実績!$AL$6:$AL$505,"○")&gt;0,1,0))</f>
        <v>0</v>
      </c>
      <c r="U179" s="39" t="n">
        <f aca="false">IF(U$4=0,0,IF(COUNTIFS(実績!$W$6:$W$505,U$3,実績!$AI$6:$AI$505,"&lt;="&amp;$A179,実績!$AJ$6:$AJ$505,"&gt;"&amp;$A179,実績!$AL$6:$AL$505,"○")&gt;0,1,0))</f>
        <v>0</v>
      </c>
      <c r="V179" s="39" t="n">
        <f aca="false">IF(V$4=0,0,IF(COUNTIFS(実績!$W$6:$W$505,V$3,実績!$AI$6:$AI$505,"&lt;="&amp;$A179,実績!$AJ$6:$AJ$505,"&gt;"&amp;$A179,実績!$AL$6:$AL$505,"○")&gt;0,1,0))</f>
        <v>0</v>
      </c>
      <c r="W179" s="39" t="n">
        <f aca="false">IF(W$4=0,0,IF(COUNTIFS(実績!$W$6:$W$505,W$3,実績!$AI$6:$AI$505,"&lt;="&amp;$A179,実績!$AJ$6:$AJ$505,"&gt;"&amp;$A179,実績!$AL$6:$AL$505,"○")&gt;0,1,0))</f>
        <v>0</v>
      </c>
      <c r="X179" s="39" t="n">
        <f aca="false">IF(X$4=0,0,IF(COUNTIFS(実績!$W$6:$W$505,X$3,実績!$AI$6:$AI$505,"&lt;="&amp;$A179,実績!$AJ$6:$AJ$505,"&gt;"&amp;$A179,実績!$AL$6:$AL$505,"○")&gt;0,1,0))</f>
        <v>0</v>
      </c>
      <c r="Y179" s="39" t="n">
        <f aca="false">IF(Y$4=0,0,IF(COUNTIFS(実績!$W$6:$W$505,Y$3,実績!$AI$6:$AI$505,"&lt;="&amp;$A179,実績!$AJ$6:$AJ$505,"&gt;"&amp;$A179,実績!$AL$6:$AL$505,"○")&gt;0,1,0))</f>
        <v>0</v>
      </c>
      <c r="Z179" s="39" t="n">
        <f aca="false">IF(Z$4=0,0,IF(COUNTIFS(実績!$W$6:$W$505,Z$3,実績!$AI$6:$AI$505,"&lt;="&amp;$A179,実績!$AJ$6:$AJ$505,"&gt;"&amp;$A179,実績!$AL$6:$AL$505,"○")&gt;0,1,0))</f>
        <v>0</v>
      </c>
      <c r="AA179" s="39" t="n">
        <f aca="false">IF(AA$4=0,0,IF(COUNTIFS(実績!$W$6:$W$505,AA$3,実績!$AI$6:$AI$505,"&lt;="&amp;$A179,実績!$AJ$6:$AJ$505,"&gt;"&amp;$A179,実績!$AL$6:$AL$505,"○")&gt;0,1,0))</f>
        <v>0</v>
      </c>
      <c r="AB179" s="39" t="n">
        <f aca="false">IF(AB$4=0,0,IF(COUNTIFS(実績!$W$6:$W$505,AB$3,実績!$AI$6:$AI$505,"&lt;="&amp;$A179,実績!$AJ$6:$AJ$505,"&gt;"&amp;$A179,実績!$AL$6:$AL$505,"○")&gt;0,1,0))</f>
        <v>0</v>
      </c>
      <c r="AC179" s="39" t="n">
        <f aca="false">IF(AC$4=0,0,IF(COUNTIFS(実績!$W$6:$W$505,AC$3,実績!$AI$6:$AI$505,"&lt;="&amp;$A179,実績!$AJ$6:$AJ$505,"&gt;"&amp;$A179,実績!$AL$6:$AL$505,"○")&gt;0,1,0))</f>
        <v>0</v>
      </c>
      <c r="AD179" s="39" t="n">
        <f aca="false">IF(AD$4=0,0,IF(COUNTIFS(実績!$W$6:$W$505,AD$3,実績!$AI$6:$AI$505,"&lt;="&amp;$A179,実績!$AJ$6:$AJ$505,"&gt;"&amp;$A179,実績!$AL$6:$AL$505,"○")&gt;0,1,0))</f>
        <v>0</v>
      </c>
      <c r="AE179" s="39" t="n">
        <f aca="false">IF(AE$4=0,0,IF(COUNTIFS(実績!$W$6:$W$505,AE$3,実績!$AI$6:$AI$505,"&lt;="&amp;$A179,実績!$AJ$6:$AJ$505,"&gt;"&amp;$A179,実績!$AL$6:$AL$505,"○")&gt;0,1,0))</f>
        <v>0</v>
      </c>
      <c r="AF179" s="39" t="n">
        <f aca="false">IF(AF$4=0,0,IF(COUNTIFS(実績!$W$6:$W$505,AF$3,実績!$AI$6:$AI$505,"&lt;="&amp;$A179,実績!$AJ$6:$AJ$505,"&gt;"&amp;$A179,実績!$AL$6:$AL$505,"○")&gt;0,1,0))</f>
        <v>0</v>
      </c>
      <c r="AG179" s="39" t="n">
        <f aca="false">IF(AG$4=0,0,IF(COUNTIFS(実績!$W$6:$W$505,AG$3,実績!$AI$6:$AI$505,"&lt;="&amp;$A179,実績!$AJ$6:$AJ$505,"&gt;"&amp;$A179,実績!$AL$6:$AL$505,"○")&gt;0,1,0))</f>
        <v>0</v>
      </c>
      <c r="AH179" s="39" t="n">
        <f aca="false">IF(AH$4=0,0,IF(COUNTIFS(実績!$W$6:$W$505,AH$3,実績!$AI$6:$AI$505,"&lt;="&amp;$A179,実績!$AJ$6:$AJ$505,"&gt;"&amp;$A179,実績!$AL$6:$AL$505,"○")&gt;0,1,0))</f>
        <v>0</v>
      </c>
      <c r="AI179" s="39" t="n">
        <f aca="false">IF(AI$4=0,0,IF(COUNTIFS(実績!$W$6:$W$505,AI$3,実績!$AI$6:$AI$505,"&lt;="&amp;$A179,実績!$AJ$6:$AJ$505,"&gt;"&amp;$A179,実績!$AL$6:$AL$505,"○")&gt;0,1,0))</f>
        <v>0</v>
      </c>
      <c r="AJ179" s="39" t="n">
        <f aca="false">IF(AJ$4=0,0,IF(COUNTIFS(実績!$W$6:$W$505,AJ$3,実績!$AI$6:$AI$505,"&lt;="&amp;$A179,実績!$AJ$6:$AJ$505,"&gt;"&amp;$A179,実績!$AL$6:$AL$505,"○")&gt;0,1,0))</f>
        <v>0</v>
      </c>
      <c r="AK179" s="39" t="n">
        <f aca="false">IF(AK$4=0,0,IF(COUNTIFS(実績!$W$6:$W$505,AK$3,実績!$AI$6:$AI$505,"&lt;="&amp;$A179,実績!$AJ$6:$AJ$505,"&gt;"&amp;$A179,実績!$AL$6:$AL$505,"○")&gt;0,1,0))</f>
        <v>0</v>
      </c>
      <c r="AL179" s="39" t="n">
        <f aca="false">IF(AL$4=0,0,IF(COUNTIFS(実績!$W$6:$W$505,AL$3,実績!$AI$6:$AI$505,"&lt;="&amp;$A179,実績!$AJ$6:$AJ$505,"&gt;"&amp;$A179,実績!$AL$6:$AL$505,"○")&gt;0,1,0))</f>
        <v>0</v>
      </c>
      <c r="AM179" s="39" t="n">
        <f aca="false">IF(AM$4=0,0,IF(COUNTIFS(実績!$W$6:$W$505,AM$3,実績!$AI$6:$AI$505,"&lt;="&amp;$A179,実績!$AJ$6:$AJ$505,"&gt;"&amp;$A179,実績!$AL$6:$AL$505,"○")&gt;0,1,0))</f>
        <v>0</v>
      </c>
      <c r="AN179" s="39" t="n">
        <f aca="false">IF(AN$4=0,0,IF(COUNTIFS(実績!$W$6:$W$505,AN$3,実績!$AI$6:$AI$505,"&lt;="&amp;$A179,実績!$AJ$6:$AJ$505,"&gt;"&amp;$A179,実績!$AL$6:$AL$505,"○")&gt;0,1,0))</f>
        <v>0</v>
      </c>
      <c r="AO179" s="39" t="n">
        <f aca="false">IF(AO$4=0,0,IF(COUNTIFS(実績!$W$6:$W$505,AO$3,実績!$AI$6:$AI$505,"&lt;="&amp;$A179,実績!$AJ$6:$AJ$505,"&gt;"&amp;$A179,実績!$AL$6:$AL$505,"○")&gt;0,1,0))</f>
        <v>0</v>
      </c>
      <c r="AP179" s="39" t="n">
        <f aca="false">IF(AP$4=0,0,IF(COUNTIFS(実績!$W$6:$W$505,AP$3,実績!$AI$6:$AI$505,"&lt;="&amp;$A179,実績!$AJ$6:$AJ$505,"&gt;"&amp;$A179,実績!$AL$6:$AL$505,"○")&gt;0,1,0))</f>
        <v>0</v>
      </c>
      <c r="AQ179" s="39" t="n">
        <f aca="false">IF(AQ$4=0,0,IF(COUNTIFS(実績!$W$6:$W$505,AQ$3,実績!$AI$6:$AI$505,"&lt;="&amp;$A179,実績!$AJ$6:$AJ$505,"&gt;"&amp;$A179,実績!$AL$6:$AL$505,"○")&gt;0,1,0))</f>
        <v>0</v>
      </c>
      <c r="AR179" s="39" t="n">
        <f aca="false">IF(AR$4=0,0,IF(COUNTIFS(実績!$W$6:$W$505,AR$3,実績!$AI$6:$AI$505,"&lt;="&amp;$A179,実績!$AJ$6:$AJ$505,"&gt;"&amp;$A179,実績!$AL$6:$AL$505,"○")&gt;0,1,0))</f>
        <v>0</v>
      </c>
      <c r="AS179" s="39" t="n">
        <f aca="false">IF(AS$4=0,0,IF(COUNTIFS(実績!$W$6:$W$505,AS$3,実績!$AI$6:$AI$505,"&lt;="&amp;$A179,実績!$AJ$6:$AJ$505,"&gt;"&amp;$A179,実績!$AL$6:$AL$505,"○")&gt;0,1,0))</f>
        <v>0</v>
      </c>
      <c r="AT179" s="39" t="n">
        <f aca="false">IF(AT$4=0,0,IF(COUNTIFS(実績!$W$6:$W$505,AT$3,実績!$AI$6:$AI$505,"&lt;="&amp;$A179,実績!$AJ$6:$AJ$505,"&gt;"&amp;$A179,実績!$AL$6:$AL$505,"○")&gt;0,1,0))</f>
        <v>0</v>
      </c>
      <c r="AU179" s="39" t="n">
        <f aca="false">IF(AU$4=0,0,IF(COUNTIFS(実績!$W$6:$W$505,AU$3,実績!$AI$6:$AI$505,"&lt;="&amp;$A179,実績!$AJ$6:$AJ$505,"&gt;"&amp;$A179,実績!$AL$6:$AL$505,"○")&gt;0,1,0))</f>
        <v>0</v>
      </c>
      <c r="AV179" s="39" t="n">
        <f aca="false">IF(AV$4=0,0,IF(COUNTIFS(実績!$W$6:$W$505,AV$3,実績!$AI$6:$AI$505,"&lt;="&amp;$A179,実績!$AJ$6:$AJ$505,"&gt;"&amp;$A179,実績!$AL$6:$AL$505,"○")&gt;0,1,0))</f>
        <v>0</v>
      </c>
      <c r="AW179" s="39" t="n">
        <f aca="false">IF(AW$4=0,0,IF(COUNTIFS(実績!$W$6:$W$505,AW$3,実績!$AI$6:$AI$505,"&lt;="&amp;$A179,実績!$AJ$6:$AJ$505,"&gt;"&amp;$A179,実績!$AL$6:$AL$505,"○")&gt;0,1,0))</f>
        <v>0</v>
      </c>
      <c r="AX179" s="39" t="n">
        <f aca="false">IF(AX$4=0,0,IF(COUNTIFS(実績!$W$6:$W$505,AX$3,実績!$AI$6:$AI$505,"&lt;="&amp;$A179,実績!$AJ$6:$AJ$505,"&gt;"&amp;$A179,実績!$AL$6:$AL$505,"○")&gt;0,1,0))</f>
        <v>0</v>
      </c>
      <c r="AY179" s="39" t="n">
        <f aca="false">IF(AY$4=0,0,IF(COUNTIFS(実績!$W$6:$W$505,AY$3,実績!$AI$6:$AI$505,"&lt;="&amp;$A179,実績!$AJ$6:$AJ$505,"&gt;"&amp;$A179,実績!$AL$6:$AL$505,"○")&gt;0,1,0))</f>
        <v>0</v>
      </c>
      <c r="AZ179" s="39" t="n">
        <f aca="false">IF(AZ$4=0,0,IF(COUNTIFS(実績!$W$6:$W$505,AZ$3,実績!$AI$6:$AI$505,"&lt;="&amp;$A179,実績!$AJ$6:$AJ$505,"&gt;"&amp;$A179,実績!$AL$6:$AL$505,"○")&gt;0,1,0))</f>
        <v>0</v>
      </c>
      <c r="BA179" s="39" t="n">
        <f aca="false">IF(BA$4=0,0,IF(COUNTIFS(実績!$W$6:$W$505,BA$3,実績!$AI$6:$AI$505,"&lt;="&amp;$A179,実績!$AJ$6:$AJ$505,"&gt;"&amp;$A179,実績!$AL$6:$AL$505,"○")&gt;0,1,0))</f>
        <v>0</v>
      </c>
      <c r="BB179" s="39" t="n">
        <f aca="false">IF(BB$4=0,0,IF(COUNTIFS(実績!$W$6:$W$505,BB$3,実績!$AI$6:$AI$505,"&lt;="&amp;$A179,実績!$AJ$6:$AJ$505,"&gt;"&amp;$A179,実績!$AL$6:$AL$505,"○")&gt;0,1,0))</f>
        <v>0</v>
      </c>
      <c r="BC179" s="39" t="n">
        <f aca="false">IF(BC$4=0,0,IF(COUNTIFS(実績!$W$6:$W$505,BC$3,実績!$AI$6:$AI$505,"&lt;="&amp;$A179,実績!$AJ$6:$AJ$505,"&gt;"&amp;$A179,実績!$AL$6:$AL$505,"○")&gt;0,1,0))</f>
        <v>0</v>
      </c>
      <c r="BD179" s="39" t="n">
        <f aca="false">IF(BD$4=0,0,IF(COUNTIFS(実績!$W$6:$W$505,BD$3,実績!$AI$6:$AI$505,"&lt;="&amp;$A179,実績!$AJ$6:$AJ$505,"&gt;"&amp;$A179,実績!$AL$6:$AL$505,"○")&gt;0,1,0))</f>
        <v>0</v>
      </c>
      <c r="BE179" s="39" t="n">
        <f aca="false">IF(BE$4=0,0,IF(COUNTIFS(実績!$W$6:$W$505,BE$3,実績!$AI$6:$AI$505,"&lt;="&amp;$A179,実績!$AJ$6:$AJ$505,"&gt;"&amp;$A179,実績!$AL$6:$AL$505,"○")&gt;0,1,0))</f>
        <v>0</v>
      </c>
      <c r="BF179" s="39" t="n">
        <f aca="false">IF(BF$4=0,0,IF(COUNTIFS(実績!$W$6:$W$505,BF$3,実績!$AI$6:$AI$505,"&lt;="&amp;$A179,実績!$AJ$6:$AJ$505,"&gt;"&amp;$A179,実績!$AL$6:$AL$505,"○")&gt;0,1,0))</f>
        <v>0</v>
      </c>
      <c r="BG179" s="39" t="n">
        <f aca="false">IF(BG$4=0,0,IF(COUNTIFS(実績!$W$6:$W$505,BG$3,実績!$AI$6:$AI$505,"&lt;="&amp;$A179,実績!$AJ$6:$AJ$505,"&gt;"&amp;$A179,実績!$AL$6:$AL$505,"○")&gt;0,1,0))</f>
        <v>0</v>
      </c>
      <c r="BH179" s="39" t="n">
        <f aca="false">IF(BH$4=0,0,IF(COUNTIFS(実績!$W$6:$W$505,BH$3,実績!$AI$6:$AI$505,"&lt;="&amp;$A179,実績!$AJ$6:$AJ$505,"&gt;"&amp;$A179,実績!$AL$6:$AL$505,"○")&gt;0,1,0))</f>
        <v>0</v>
      </c>
      <c r="BI179" s="39" t="n">
        <f aca="false">IF(BI$4=0,0,IF(COUNTIFS(実績!$W$6:$W$505,BI$3,実績!$AI$6:$AI$505,"&lt;="&amp;$A179,実績!$AJ$6:$AJ$505,"&gt;"&amp;$A179,実績!$AL$6:$AL$505,"○")&gt;0,1,0))</f>
        <v>0</v>
      </c>
      <c r="BJ179" s="39" t="n">
        <f aca="false">IF(BJ$4=0,0,IF(COUNTIFS(実績!$W$6:$W$505,BJ$3,実績!$AI$6:$AI$505,"&lt;="&amp;$A179,実績!$AJ$6:$AJ$505,"&gt;"&amp;$A179,実績!$AL$6:$AL$505,"○")&gt;0,1,0))</f>
        <v>0</v>
      </c>
      <c r="BK179" s="39" t="n">
        <f aca="false">IF(BK$4=0,0,IF(COUNTIFS(実績!$W$6:$W$505,BK$3,実績!$AI$6:$AI$505,"&lt;="&amp;$A179,実績!$AJ$6:$AJ$505,"&gt;"&amp;$A179,実績!$AL$6:$AL$505,"○")&gt;0,1,0))</f>
        <v>0</v>
      </c>
      <c r="BL179" s="39" t="n">
        <f aca="false">IF(BL$4=0,0,IF(COUNTIFS(実績!$W$6:$W$505,BL$3,実績!$AI$6:$AI$505,"&lt;="&amp;$A179,実績!$AJ$6:$AJ$505,"&gt;"&amp;$A179,実績!$AL$6:$AL$505,"○")&gt;0,1,0))</f>
        <v>0</v>
      </c>
      <c r="BM179" s="39" t="n">
        <f aca="false">IF(BM$4=0,0,IF(COUNTIFS(実績!$W$6:$W$505,BM$3,実績!$AI$6:$AI$505,"&lt;="&amp;$A179,実績!$AJ$6:$AJ$505,"&gt;"&amp;$A179,実績!$AL$6:$AL$505,"○")&gt;0,1,0))</f>
        <v>0</v>
      </c>
      <c r="BN179" s="39" t="n">
        <f aca="false">IF(BN$4=0,0,IF(COUNTIFS(実績!$W$6:$W$505,BN$3,実績!$AI$6:$AI$505,"&lt;="&amp;$A179,実績!$AJ$6:$AJ$505,"&gt;"&amp;$A179,実績!$AL$6:$AL$505,"○")&gt;0,1,0))</f>
        <v>0</v>
      </c>
      <c r="BO179" s="39" t="n">
        <f aca="false">IF(BO$4=0,0,IF(COUNTIFS(実績!$W$6:$W$505,BO$3,実績!$AI$6:$AI$505,"&lt;="&amp;$A179,実績!$AJ$6:$AJ$505,"&gt;"&amp;$A179,実績!$AL$6:$AL$505,"○")&gt;0,1,0))</f>
        <v>0</v>
      </c>
      <c r="BP179" s="39" t="n">
        <f aca="false">IF(BP$4=0,0,IF(COUNTIFS(実績!$W$6:$W$505,BP$3,実績!$AI$6:$AI$505,"&lt;="&amp;$A179,実績!$AJ$6:$AJ$505,"&gt;"&amp;$A179,実績!$AL$6:$AL$505,"○")&gt;0,1,0))</f>
        <v>0</v>
      </c>
      <c r="BQ179" s="39" t="n">
        <f aca="false">IF(BQ$4=0,0,IF(COUNTIFS(実績!$W$6:$W$505,BQ$3,実績!$AI$6:$AI$505,"&lt;="&amp;$A179,実績!$AJ$6:$AJ$505,"&gt;"&amp;$A179,実績!$AL$6:$AL$505,"○")&gt;0,1,0))</f>
        <v>0</v>
      </c>
      <c r="BR179" s="39" t="n">
        <f aca="false">IF(BR$4=0,0,IF(COUNTIFS(実績!$W$6:$W$505,BR$3,実績!$AI$6:$AI$505,"&lt;="&amp;$A179,実績!$AJ$6:$AJ$505,"&gt;"&amp;$A179,実績!$AL$6:$AL$505,"○")&gt;0,1,0))</f>
        <v>0</v>
      </c>
      <c r="BS179" s="39" t="n">
        <f aca="false">IF(BS$4=0,0,IF(COUNTIFS(実績!$W$6:$W$505,BS$3,実績!$AI$6:$AI$505,"&lt;="&amp;$A179,実績!$AJ$6:$AJ$505,"&gt;"&amp;$A179,実績!$AL$6:$AL$505,"○")&gt;0,1,0))</f>
        <v>0</v>
      </c>
      <c r="BT179" s="39" t="n">
        <f aca="false">IF(BT$4=0,0,IF(COUNTIFS(実績!$W$6:$W$505,BT$3,実績!$AI$6:$AI$505,"&lt;="&amp;$A179,実績!$AJ$6:$AJ$505,"&gt;"&amp;$A179,実績!$AL$6:$AL$505,"○")&gt;0,1,0))</f>
        <v>0</v>
      </c>
      <c r="BU179" s="39" t="n">
        <f aca="false">IF(BU$4=0,0,IF(COUNTIFS(実績!$W$6:$W$505,BU$3,実績!$AI$6:$AI$505,"&lt;="&amp;$A179,実績!$AJ$6:$AJ$505,"&gt;"&amp;$A179,実績!$AL$6:$AL$505,"○")&gt;0,1,0))</f>
        <v>0</v>
      </c>
      <c r="BV179" s="39" t="n">
        <f aca="false">IF(BV$4=0,0,IF(COUNTIFS(実績!$W$6:$W$505,BV$3,実績!$AI$6:$AI$505,"&lt;="&amp;$A179,実績!$AJ$6:$AJ$505,"&gt;"&amp;$A179,実績!$AL$6:$AL$505,"○")&gt;0,1,0))</f>
        <v>0</v>
      </c>
      <c r="BW179" s="39" t="n">
        <f aca="false">IF(BW$4=0,0,IF(COUNTIFS(実績!$W$6:$W$505,BW$3,実績!$AI$6:$AI$505,"&lt;="&amp;$A179,実績!$AJ$6:$AJ$505,"&gt;"&amp;$A179,実績!$AL$6:$AL$505,"○")&gt;0,1,0))</f>
        <v>0</v>
      </c>
      <c r="BX179" s="39" t="n">
        <f aca="false">IF(BX$4=0,0,IF(COUNTIFS(実績!$W$6:$W$505,BX$3,実績!$AI$6:$AI$505,"&lt;="&amp;$A179,実績!$AJ$6:$AJ$505,"&gt;"&amp;$A179,実績!$AL$6:$AL$505,"○")&gt;0,1,0))</f>
        <v>0</v>
      </c>
      <c r="BY179" s="39" t="n">
        <f aca="false">IF(BY$4=0,0,IF(COUNTIFS(実績!$W$6:$W$505,BY$3,実績!$AI$6:$AI$505,"&lt;="&amp;$A179,実績!$AJ$6:$AJ$505,"&gt;"&amp;$A179,実績!$AL$6:$AL$505,"○")&gt;0,1,0))</f>
        <v>0</v>
      </c>
      <c r="BZ179" s="39" t="n">
        <f aca="false">IF(BZ$4=0,0,IF(COUNTIFS(実績!$W$6:$W$505,BZ$3,実績!$AI$6:$AI$505,"&lt;="&amp;$A179,実績!$AJ$6:$AJ$505,"&gt;"&amp;$A179,実績!$AL$6:$AL$505,"○")&gt;0,1,0))</f>
        <v>0</v>
      </c>
      <c r="CA179" s="39" t="n">
        <f aca="false">IF(CA$4=0,0,IF(COUNTIFS(実績!$W$6:$W$505,CA$3,実績!$AI$6:$AI$505,"&lt;="&amp;$A179,実績!$AJ$6:$AJ$505,"&gt;"&amp;$A179,実績!$AL$6:$AL$505,"○")&gt;0,1,0))</f>
        <v>0</v>
      </c>
      <c r="CB179" s="39" t="n">
        <f aca="false">IF(CB$4=0,0,IF(COUNTIFS(実績!$W$6:$W$505,CB$3,実績!$AI$6:$AI$505,"&lt;="&amp;$A179,実績!$AJ$6:$AJ$505,"&gt;"&amp;$A179,実績!$AL$6:$AL$505,"○")&gt;0,1,0))</f>
        <v>0</v>
      </c>
      <c r="CC179" s="39" t="n">
        <f aca="false">IF(CC$4=0,0,IF(COUNTIFS(実績!$W$6:$W$505,CC$3,実績!$AI$6:$AI$505,"&lt;="&amp;$A179,実績!$AJ$6:$AJ$505,"&gt;"&amp;$A179,実績!$AL$6:$AL$505,"○")&gt;0,1,0))</f>
        <v>0</v>
      </c>
      <c r="CD179" s="39" t="n">
        <f aca="false">IF(CD$4=0,0,IF(COUNTIFS(実績!$W$6:$W$505,CD$3,実績!$AI$6:$AI$505,"&lt;="&amp;$A179,実績!$AJ$6:$AJ$505,"&gt;"&amp;$A179,実績!$AL$6:$AL$505,"○")&gt;0,1,0))</f>
        <v>0</v>
      </c>
      <c r="CE179" s="39" t="n">
        <f aca="false">IF(CE$4=0,0,IF(COUNTIFS(実績!$W$6:$W$505,CE$3,実績!$AI$6:$AI$505,"&lt;="&amp;$A179,実績!$AJ$6:$AJ$505,"&gt;"&amp;$A179,実績!$AL$6:$AL$505,"○")&gt;0,1,0))</f>
        <v>0</v>
      </c>
      <c r="CF179" s="39" t="n">
        <f aca="false">IF(CF$4=0,0,IF(COUNTIFS(実績!$W$6:$W$505,CF$3,実績!$AI$6:$AI$505,"&lt;="&amp;$A179,実績!$AJ$6:$AJ$505,"&gt;"&amp;$A179,実績!$AL$6:$AL$505,"○")&gt;0,1,0))</f>
        <v>0</v>
      </c>
      <c r="CG179" s="39" t="n">
        <f aca="false">IF(CG$4=0,0,IF(COUNTIFS(実績!$W$6:$W$505,CG$3,実績!$AI$6:$AI$505,"&lt;="&amp;$A179,実績!$AJ$6:$AJ$505,"&gt;"&amp;$A179,実績!$AL$6:$AL$505,"○")&gt;0,1,0))</f>
        <v>0</v>
      </c>
      <c r="CH179" s="39" t="n">
        <f aca="false">IF(CH$4=0,0,IF(COUNTIFS(実績!$W$6:$W$505,CH$3,実績!$AI$6:$AI$505,"&lt;="&amp;$A179,実績!$AJ$6:$AJ$505,"&gt;"&amp;$A179,実績!$AL$6:$AL$505,"○")&gt;0,1,0))</f>
        <v>0</v>
      </c>
      <c r="CI179" s="39" t="n">
        <f aca="false">IF(CI$4=0,0,IF(COUNTIFS(実績!$W$6:$W$505,CI$3,実績!$AI$6:$AI$505,"&lt;="&amp;$A179,実績!$AJ$6:$AJ$505,"&gt;"&amp;$A179,実績!$AL$6:$AL$505,"○")&gt;0,1,0))</f>
        <v>0</v>
      </c>
      <c r="CJ179" s="39" t="n">
        <f aca="false">IF(CJ$4=0,0,IF(COUNTIFS(実績!$W$6:$W$505,CJ$3,実績!$AI$6:$AI$505,"&lt;="&amp;$A179,実績!$AJ$6:$AJ$505,"&gt;"&amp;$A179,実績!$AL$6:$AL$505,"○")&gt;0,1,0))</f>
        <v>0</v>
      </c>
      <c r="CK179" s="39" t="n">
        <f aca="false">IF(CK$4=0,0,IF(COUNTIFS(実績!$W$6:$W$505,CK$3,実績!$AI$6:$AI$505,"&lt;="&amp;$A179,実績!$AJ$6:$AJ$505,"&gt;"&amp;$A179,実績!$AL$6:$AL$505,"○")&gt;0,1,0))</f>
        <v>0</v>
      </c>
      <c r="CL179" s="39" t="n">
        <f aca="false">IF(CL$4=0,0,IF(COUNTIFS(実績!$W$6:$W$505,CL$3,実績!$AI$6:$AI$505,"&lt;="&amp;$A179,実績!$AJ$6:$AJ$505,"&gt;"&amp;$A179,実績!$AL$6:$AL$505,"○")&gt;0,1,0))</f>
        <v>0</v>
      </c>
      <c r="CM179" s="39" t="n">
        <f aca="false">IF(CM$4=0,0,IF(COUNTIFS(実績!$W$6:$W$505,CM$3,実績!$AI$6:$AI$505,"&lt;="&amp;$A179,実績!$AJ$6:$AJ$505,"&gt;"&amp;$A179,実績!$AL$6:$AL$505,"○")&gt;0,1,0))</f>
        <v>0</v>
      </c>
      <c r="CN179" s="39" t="n">
        <f aca="false">IF(CN$4=0,0,IF(COUNTIFS(実績!$W$6:$W$505,CN$3,実績!$AI$6:$AI$505,"&lt;="&amp;$A179,実績!$AJ$6:$AJ$505,"&gt;"&amp;$A179,実績!$AL$6:$AL$505,"○")&gt;0,1,0))</f>
        <v>0</v>
      </c>
      <c r="CO179" s="39" t="n">
        <f aca="false">IF(CO$4=0,0,IF(COUNTIFS(実績!$W$6:$W$505,CO$3,実績!$AI$6:$AI$505,"&lt;="&amp;$A179,実績!$AJ$6:$AJ$505,"&gt;"&amp;$A179,実績!$AL$6:$AL$505,"○")&gt;0,1,0))</f>
        <v>0</v>
      </c>
      <c r="CP179" s="39" t="n">
        <f aca="false">IF(CP$4=0,0,IF(COUNTIFS(実績!$W$6:$W$505,CP$3,実績!$AI$6:$AI$505,"&lt;="&amp;$A179,実績!$AJ$6:$AJ$505,"&gt;"&amp;$A179,実績!$AL$6:$AL$505,"○")&gt;0,1,0))</f>
        <v>0</v>
      </c>
      <c r="CQ179" s="39" t="n">
        <f aca="false">IF(CQ$4=0,0,IF(COUNTIFS(実績!$W$6:$W$505,CQ$3,実績!$AI$6:$AI$505,"&lt;="&amp;$A179,実績!$AJ$6:$AJ$505,"&gt;"&amp;$A179,実績!$AL$6:$AL$505,"○")&gt;0,1,0))</f>
        <v>0</v>
      </c>
      <c r="CR179" s="39" t="n">
        <f aca="false">IF(CR$4=0,0,IF(COUNTIFS(実績!$W$6:$W$505,CR$3,実績!$AI$6:$AI$505,"&lt;="&amp;$A179,実績!$AJ$6:$AJ$505,"&gt;"&amp;$A179,実績!$AL$6:$AL$505,"○")&gt;0,1,0))</f>
        <v>0</v>
      </c>
      <c r="CS179" s="39" t="n">
        <f aca="false">IF(CS$4=0,0,IF(COUNTIFS(実績!$W$6:$W$505,CS$3,実績!$AI$6:$AI$505,"&lt;="&amp;$A179,実績!$AJ$6:$AJ$505,"&gt;"&amp;$A179,実績!$AL$6:$AL$505,"○")&gt;0,1,0))</f>
        <v>0</v>
      </c>
      <c r="CT179" s="39" t="n">
        <f aca="false">IF(CT$4=0,0,IF(COUNTIFS(実績!$W$6:$W$505,CT$3,実績!$AI$6:$AI$505,"&lt;="&amp;$A179,実績!$AJ$6:$AJ$505,"&gt;"&amp;$A179,実績!$AL$6:$AL$505,"○")&gt;0,1,0))</f>
        <v>0</v>
      </c>
      <c r="CU179" s="39" t="n">
        <f aca="false">IF(CU$4=0,0,IF(COUNTIFS(実績!$W$6:$W$505,CU$3,実績!$AI$6:$AI$505,"&lt;="&amp;$A179,実績!$AJ$6:$AJ$505,"&gt;"&amp;$A179,実績!$AL$6:$AL$505,"○")&gt;0,1,0))</f>
        <v>0</v>
      </c>
      <c r="CV179" s="39" t="n">
        <f aca="false">IF(CV$4=0,0,IF(COUNTIFS(実績!$W$6:$W$505,CV$3,実績!$AI$6:$AI$505,"&lt;="&amp;$A179,実績!$AJ$6:$AJ$505,"&gt;"&amp;$A179,実績!$AL$6:$AL$505,"○")&gt;0,1,0))</f>
        <v>0</v>
      </c>
      <c r="CW179" s="39" t="n">
        <f aca="false">IF(CW$4=0,0,IF(COUNTIFS(実績!$W$6:$W$505,CW$3,実績!$AI$6:$AI$505,"&lt;="&amp;$A179,実績!$AJ$6:$AJ$505,"&gt;"&amp;$A179,実績!$AL$6:$AL$505,"○")&gt;0,1,0))</f>
        <v>0</v>
      </c>
      <c r="CX179" s="39" t="n">
        <f aca="false">IF(CX$4=0,0,IF(COUNTIFS(実績!$W$6:$W$505,CX$3,実績!$AI$6:$AI$505,"&lt;="&amp;$A179,実績!$AJ$6:$AJ$505,"&gt;"&amp;$A179,実績!$AL$6:$AL$505,"○")&gt;0,1,0))</f>
        <v>0</v>
      </c>
      <c r="CY179" s="39" t="n">
        <f aca="false">IF(CY$4=0,0,IF(COUNTIFS(実績!$W$6:$W$505,CY$3,実績!$AI$6:$AI$505,"&lt;="&amp;$A179,実績!$AJ$6:$AJ$505,"&gt;"&amp;$A179,実績!$AL$6:$AL$505,"○")&gt;0,1,0))</f>
        <v>0</v>
      </c>
      <c r="CZ179" s="39" t="n">
        <f aca="false">IF(CZ$4=0,0,IF(COUNTIFS(実績!$W$6:$W$505,CZ$3,実績!$AI$6:$AI$505,"&lt;="&amp;$A179,実績!$AJ$6:$AJ$505,"&gt;"&amp;$A179,実績!$AL$6:$AL$505,"○")&gt;0,1,0))</f>
        <v>0</v>
      </c>
      <c r="DA179" s="39" t="n">
        <f aca="false">IF(DA$4=0,0,IF(COUNTIFS(実績!$W$6:$W$505,DA$3,実績!$AI$6:$AI$505,"&lt;="&amp;$A179,実績!$AJ$6:$AJ$505,"&gt;"&amp;$A179,実績!$AL$6:$AL$505,"○")&gt;0,1,0))</f>
        <v>0</v>
      </c>
      <c r="DB179" s="39" t="n">
        <f aca="false">IF(DB$4=0,0,IF(COUNTIFS(実績!$W$6:$W$505,DB$3,実績!$AI$6:$AI$505,"&lt;="&amp;$A179,実績!$AJ$6:$AJ$505,"&gt;"&amp;$A179,実績!$AL$6:$AL$505,"○")&gt;0,1,0))</f>
        <v>0</v>
      </c>
      <c r="DC179" s="39" t="n">
        <f aca="false">IF(DC$4=0,0,IF(COUNTIFS(実績!$W$6:$W$505,DC$3,実績!$AI$6:$AI$505,"&lt;="&amp;$A179,実績!$AJ$6:$AJ$505,"&gt;"&amp;$A179,実績!$AL$6:$AL$505,"○")&gt;0,1,0))</f>
        <v>0</v>
      </c>
      <c r="DD179" s="39" t="n">
        <f aca="false">IF(DD$4=0,0,IF(COUNTIFS(実績!$W$6:$W$505,DD$3,実績!$AI$6:$AI$505,"&lt;="&amp;$A179,実績!$AJ$6:$AJ$505,"&gt;"&amp;$A179,実績!$AL$6:$AL$505,"○")&gt;0,1,0))</f>
        <v>0</v>
      </c>
      <c r="DE179" s="39" t="n">
        <f aca="false">IF(DE$4=0,0,IF(COUNTIFS(実績!$W$6:$W$505,DE$3,実績!$AI$6:$AI$505,"&lt;="&amp;$A179,実績!$AJ$6:$AJ$505,"&gt;"&amp;$A179,実績!$AL$6:$AL$505,"○")&gt;0,1,0))</f>
        <v>0</v>
      </c>
      <c r="DF179" s="39" t="n">
        <f aca="false">IF(DF$4=0,0,IF(COUNTIFS(実績!$W$6:$W$505,DF$3,実績!$AI$6:$AI$505,"&lt;="&amp;$A179,実績!$AJ$6:$AJ$505,"&gt;"&amp;$A179,実績!$AL$6:$AL$505,"○")&gt;0,1,0))</f>
        <v>0</v>
      </c>
      <c r="DG179" s="39" t="n">
        <f aca="false">IF(DG$4=0,0,IF(COUNTIFS(実績!$W$6:$W$505,DG$3,実績!$AI$6:$AI$505,"&lt;="&amp;$A179,実績!$AJ$6:$AJ$505,"&gt;"&amp;$A179,実績!$AL$6:$AL$505,"○")&gt;0,1,0))</f>
        <v>0</v>
      </c>
      <c r="DH179" s="39" t="n">
        <f aca="false">IF(DH$4=0,0,IF(COUNTIFS(実績!$W$6:$W$505,DH$3,実績!$AI$6:$AI$505,"&lt;="&amp;$A179,実績!$AJ$6:$AJ$505,"&gt;"&amp;$A179,実績!$AL$6:$AL$505,"○")&gt;0,1,0))</f>
        <v>0</v>
      </c>
      <c r="DI179" s="39" t="n">
        <f aca="false">IF(DI$4=0,0,IF(COUNTIFS(実績!$W$6:$W$505,DI$3,実績!$AI$6:$AI$505,"&lt;="&amp;$A179,実績!$AJ$6:$AJ$505,"&gt;"&amp;$A179,実績!$AL$6:$AL$505,"○")&gt;0,1,0))</f>
        <v>0</v>
      </c>
      <c r="DJ179" s="39" t="n">
        <f aca="false">IF(DJ$4=0,0,IF(COUNTIFS(実績!$W$6:$W$505,DJ$3,実績!$AI$6:$AI$505,"&lt;="&amp;$A179,実績!$AJ$6:$AJ$505,"&gt;"&amp;$A179,実績!$AL$6:$AL$505,"○")&gt;0,1,0))</f>
        <v>0</v>
      </c>
      <c r="DK179" s="39" t="n">
        <f aca="false">IF(DK$4=0,0,IF(COUNTIFS(実績!$W$6:$W$505,DK$3,実績!$AI$6:$AI$505,"&lt;="&amp;$A179,実績!$AJ$6:$AJ$505,"&gt;"&amp;$A179,実績!$AL$6:$AL$505,"○")&gt;0,1,0))</f>
        <v>0</v>
      </c>
      <c r="DL179" s="39" t="n">
        <f aca="false">IF(DL$4=0,0,IF(COUNTIFS(実績!$W$6:$W$505,DL$3,実績!$AI$6:$AI$505,"&lt;="&amp;$A179,実績!$AJ$6:$AJ$505,"&gt;"&amp;$A179,実績!$AL$6:$AL$505,"○")&gt;0,1,0))</f>
        <v>0</v>
      </c>
      <c r="DM179" s="39" t="n">
        <f aca="false">IF(DM$4=0,0,IF(COUNTIFS(実績!$W$6:$W$505,DM$3,実績!$AI$6:$AI$505,"&lt;="&amp;$A179,実績!$AJ$6:$AJ$505,"&gt;"&amp;$A179,実績!$AL$6:$AL$505,"○")&gt;0,1,0))</f>
        <v>0</v>
      </c>
      <c r="DN179" s="39" t="n">
        <f aca="false">IF(DN$4=0,0,IF(COUNTIFS(実績!$W$6:$W$505,DN$3,実績!$AI$6:$AI$505,"&lt;="&amp;$A179,実績!$AJ$6:$AJ$505,"&gt;"&amp;$A179,実績!$AL$6:$AL$505,"○")&gt;0,1,0))</f>
        <v>0</v>
      </c>
      <c r="DO179" s="39" t="n">
        <f aca="false">IF(DO$4=0,0,IF(COUNTIFS(実績!$W$6:$W$505,DO$3,実績!$AI$6:$AI$505,"&lt;="&amp;$A179,実績!$AJ$6:$AJ$505,"&gt;"&amp;$A179,実績!$AL$6:$AL$505,"○")&gt;0,1,0))</f>
        <v>0</v>
      </c>
      <c r="DP179" s="39" t="n">
        <f aca="false">IF(DP$4=0,0,IF(COUNTIFS(実績!$W$6:$W$505,DP$3,実績!$AI$6:$AI$505,"&lt;="&amp;$A179,実績!$AJ$6:$AJ$505,"&gt;"&amp;$A179,実績!$AL$6:$AL$505,"○")&gt;0,1,0))</f>
        <v>0</v>
      </c>
      <c r="DQ179" s="39" t="n">
        <f aca="false">IF(DQ$4=0,0,IF(COUNTIFS(実績!$W$6:$W$505,DQ$3,実績!$AI$6:$AI$505,"&lt;="&amp;$A179,実績!$AJ$6:$AJ$505,"&gt;"&amp;$A179,実績!$AL$6:$AL$505,"○")&gt;0,1,0))</f>
        <v>0</v>
      </c>
      <c r="DR179" s="39" t="n">
        <f aca="false">IF(DR$4=0,0,IF(COUNTIFS(実績!$W$6:$W$505,DR$3,実績!$AI$6:$AI$505,"&lt;="&amp;$A179,実績!$AJ$6:$AJ$505,"&gt;"&amp;$A179,実績!$AL$6:$AL$505,"○")&gt;0,1,0))</f>
        <v>0</v>
      </c>
      <c r="DS179" s="39" t="n">
        <f aca="false">SUM(C179:DR179)</f>
        <v>0</v>
      </c>
    </row>
    <row r="180" customFormat="false" ht="15" hidden="false" customHeight="false" outlineLevel="0" collapsed="false">
      <c r="A180" s="0" t="n">
        <v>870</v>
      </c>
      <c r="B180" s="38" t="n">
        <f aca="false">A180/1440</f>
        <v>0.604166666666667</v>
      </c>
      <c r="C180" s="39" t="n">
        <f aca="false">IF(C$4=0,0,IF(COUNTIFS(実績!$W$6:$W$505,C$3,実績!$AI$6:$AI$505,"&lt;="&amp;$A180,実績!$AJ$6:$AJ$505,"&gt;"&amp;$A180,実績!$AL$6:$AL$505,"○")&gt;0,1,0))</f>
        <v>0</v>
      </c>
      <c r="D180" s="39" t="n">
        <f aca="false">IF(D$4=0,0,IF(COUNTIFS(実績!$W$6:$W$505,D$3,実績!$AI$6:$AI$505,"&lt;="&amp;$A180,実績!$AJ$6:$AJ$505,"&gt;"&amp;$A180,実績!$AL$6:$AL$505,"○")&gt;0,1,0))</f>
        <v>0</v>
      </c>
      <c r="E180" s="39" t="n">
        <f aca="false">IF(E$4=0,0,IF(COUNTIFS(実績!$W$6:$W$505,E$3,実績!$AI$6:$AI$505,"&lt;="&amp;$A180,実績!$AJ$6:$AJ$505,"&gt;"&amp;$A180,実績!$AL$6:$AL$505,"○")&gt;0,1,0))</f>
        <v>0</v>
      </c>
      <c r="F180" s="39" t="n">
        <f aca="false">IF(F$4=0,0,IF(COUNTIFS(実績!$W$6:$W$505,F$3,実績!$AI$6:$AI$505,"&lt;="&amp;$A180,実績!$AJ$6:$AJ$505,"&gt;"&amp;$A180,実績!$AL$6:$AL$505,"○")&gt;0,1,0))</f>
        <v>0</v>
      </c>
      <c r="G180" s="39" t="n">
        <f aca="false">IF(G$4=0,0,IF(COUNTIFS(実績!$W$6:$W$505,G$3,実績!$AI$6:$AI$505,"&lt;="&amp;$A180,実績!$AJ$6:$AJ$505,"&gt;"&amp;$A180,実績!$AL$6:$AL$505,"○")&gt;0,1,0))</f>
        <v>0</v>
      </c>
      <c r="H180" s="39" t="n">
        <f aca="false">IF(H$4=0,0,IF(COUNTIFS(実績!$W$6:$W$505,H$3,実績!$AI$6:$AI$505,"&lt;="&amp;$A180,実績!$AJ$6:$AJ$505,"&gt;"&amp;$A180,実績!$AL$6:$AL$505,"○")&gt;0,1,0))</f>
        <v>0</v>
      </c>
      <c r="I180" s="39" t="n">
        <f aca="false">IF(I$4=0,0,IF(COUNTIFS(実績!$W$6:$W$505,I$3,実績!$AI$6:$AI$505,"&lt;="&amp;$A180,実績!$AJ$6:$AJ$505,"&gt;"&amp;$A180,実績!$AL$6:$AL$505,"○")&gt;0,1,0))</f>
        <v>0</v>
      </c>
      <c r="J180" s="39" t="n">
        <f aca="false">IF(J$4=0,0,IF(COUNTIFS(実績!$W$6:$W$505,J$3,実績!$AI$6:$AI$505,"&lt;="&amp;$A180,実績!$AJ$6:$AJ$505,"&gt;"&amp;$A180,実績!$AL$6:$AL$505,"○")&gt;0,1,0))</f>
        <v>0</v>
      </c>
      <c r="K180" s="39" t="n">
        <f aca="false">IF(K$4=0,0,IF(COUNTIFS(実績!$W$6:$W$505,K$3,実績!$AI$6:$AI$505,"&lt;="&amp;$A180,実績!$AJ$6:$AJ$505,"&gt;"&amp;$A180,実績!$AL$6:$AL$505,"○")&gt;0,1,0))</f>
        <v>0</v>
      </c>
      <c r="L180" s="39" t="n">
        <f aca="false">IF(L$4=0,0,IF(COUNTIFS(実績!$W$6:$W$505,L$3,実績!$AI$6:$AI$505,"&lt;="&amp;$A180,実績!$AJ$6:$AJ$505,"&gt;"&amp;$A180,実績!$AL$6:$AL$505,"○")&gt;0,1,0))</f>
        <v>0</v>
      </c>
      <c r="M180" s="39" t="n">
        <f aca="false">IF(M$4=0,0,IF(COUNTIFS(実績!$W$6:$W$505,M$3,実績!$AI$6:$AI$505,"&lt;="&amp;$A180,実績!$AJ$6:$AJ$505,"&gt;"&amp;$A180,実績!$AL$6:$AL$505,"○")&gt;0,1,0))</f>
        <v>0</v>
      </c>
      <c r="N180" s="39" t="n">
        <f aca="false">IF(N$4=0,0,IF(COUNTIFS(実績!$W$6:$W$505,N$3,実績!$AI$6:$AI$505,"&lt;="&amp;$A180,実績!$AJ$6:$AJ$505,"&gt;"&amp;$A180,実績!$AL$6:$AL$505,"○")&gt;0,1,0))</f>
        <v>0</v>
      </c>
      <c r="O180" s="39" t="n">
        <f aca="false">IF(O$4=0,0,IF(COUNTIFS(実績!$W$6:$W$505,O$3,実績!$AI$6:$AI$505,"&lt;="&amp;$A180,実績!$AJ$6:$AJ$505,"&gt;"&amp;$A180,実績!$AL$6:$AL$505,"○")&gt;0,1,0))</f>
        <v>0</v>
      </c>
      <c r="P180" s="39" t="n">
        <f aca="false">IF(P$4=0,0,IF(COUNTIFS(実績!$W$6:$W$505,P$3,実績!$AI$6:$AI$505,"&lt;="&amp;$A180,実績!$AJ$6:$AJ$505,"&gt;"&amp;$A180,実績!$AL$6:$AL$505,"○")&gt;0,1,0))</f>
        <v>0</v>
      </c>
      <c r="Q180" s="39" t="n">
        <f aca="false">IF(Q$4=0,0,IF(COUNTIFS(実績!$W$6:$W$505,Q$3,実績!$AI$6:$AI$505,"&lt;="&amp;$A180,実績!$AJ$6:$AJ$505,"&gt;"&amp;$A180,実績!$AL$6:$AL$505,"○")&gt;0,1,0))</f>
        <v>0</v>
      </c>
      <c r="R180" s="39" t="n">
        <f aca="false">IF(R$4=0,0,IF(COUNTIFS(実績!$W$6:$W$505,R$3,実績!$AI$6:$AI$505,"&lt;="&amp;$A180,実績!$AJ$6:$AJ$505,"&gt;"&amp;$A180,実績!$AL$6:$AL$505,"○")&gt;0,1,0))</f>
        <v>0</v>
      </c>
      <c r="S180" s="39" t="n">
        <f aca="false">IF(S$4=0,0,IF(COUNTIFS(実績!$W$6:$W$505,S$3,実績!$AI$6:$AI$505,"&lt;="&amp;$A180,実績!$AJ$6:$AJ$505,"&gt;"&amp;$A180,実績!$AL$6:$AL$505,"○")&gt;0,1,0))</f>
        <v>0</v>
      </c>
      <c r="T180" s="39" t="n">
        <f aca="false">IF(T$4=0,0,IF(COUNTIFS(実績!$W$6:$W$505,T$3,実績!$AI$6:$AI$505,"&lt;="&amp;$A180,実績!$AJ$6:$AJ$505,"&gt;"&amp;$A180,実績!$AL$6:$AL$505,"○")&gt;0,1,0))</f>
        <v>0</v>
      </c>
      <c r="U180" s="39" t="n">
        <f aca="false">IF(U$4=0,0,IF(COUNTIFS(実績!$W$6:$W$505,U$3,実績!$AI$6:$AI$505,"&lt;="&amp;$A180,実績!$AJ$6:$AJ$505,"&gt;"&amp;$A180,実績!$AL$6:$AL$505,"○")&gt;0,1,0))</f>
        <v>0</v>
      </c>
      <c r="V180" s="39" t="n">
        <f aca="false">IF(V$4=0,0,IF(COUNTIFS(実績!$W$6:$W$505,V$3,実績!$AI$6:$AI$505,"&lt;="&amp;$A180,実績!$AJ$6:$AJ$505,"&gt;"&amp;$A180,実績!$AL$6:$AL$505,"○")&gt;0,1,0))</f>
        <v>0</v>
      </c>
      <c r="W180" s="39" t="n">
        <f aca="false">IF(W$4=0,0,IF(COUNTIFS(実績!$W$6:$W$505,W$3,実績!$AI$6:$AI$505,"&lt;="&amp;$A180,実績!$AJ$6:$AJ$505,"&gt;"&amp;$A180,実績!$AL$6:$AL$505,"○")&gt;0,1,0))</f>
        <v>0</v>
      </c>
      <c r="X180" s="39" t="n">
        <f aca="false">IF(X$4=0,0,IF(COUNTIFS(実績!$W$6:$W$505,X$3,実績!$AI$6:$AI$505,"&lt;="&amp;$A180,実績!$AJ$6:$AJ$505,"&gt;"&amp;$A180,実績!$AL$6:$AL$505,"○")&gt;0,1,0))</f>
        <v>0</v>
      </c>
      <c r="Y180" s="39" t="n">
        <f aca="false">IF(Y$4=0,0,IF(COUNTIFS(実績!$W$6:$W$505,Y$3,実績!$AI$6:$AI$505,"&lt;="&amp;$A180,実績!$AJ$6:$AJ$505,"&gt;"&amp;$A180,実績!$AL$6:$AL$505,"○")&gt;0,1,0))</f>
        <v>0</v>
      </c>
      <c r="Z180" s="39" t="n">
        <f aca="false">IF(Z$4=0,0,IF(COUNTIFS(実績!$W$6:$W$505,Z$3,実績!$AI$6:$AI$505,"&lt;="&amp;$A180,実績!$AJ$6:$AJ$505,"&gt;"&amp;$A180,実績!$AL$6:$AL$505,"○")&gt;0,1,0))</f>
        <v>0</v>
      </c>
      <c r="AA180" s="39" t="n">
        <f aca="false">IF(AA$4=0,0,IF(COUNTIFS(実績!$W$6:$W$505,AA$3,実績!$AI$6:$AI$505,"&lt;="&amp;$A180,実績!$AJ$6:$AJ$505,"&gt;"&amp;$A180,実績!$AL$6:$AL$505,"○")&gt;0,1,0))</f>
        <v>0</v>
      </c>
      <c r="AB180" s="39" t="n">
        <f aca="false">IF(AB$4=0,0,IF(COUNTIFS(実績!$W$6:$W$505,AB$3,実績!$AI$6:$AI$505,"&lt;="&amp;$A180,実績!$AJ$6:$AJ$505,"&gt;"&amp;$A180,実績!$AL$6:$AL$505,"○")&gt;0,1,0))</f>
        <v>0</v>
      </c>
      <c r="AC180" s="39" t="n">
        <f aca="false">IF(AC$4=0,0,IF(COUNTIFS(実績!$W$6:$W$505,AC$3,実績!$AI$6:$AI$505,"&lt;="&amp;$A180,実績!$AJ$6:$AJ$505,"&gt;"&amp;$A180,実績!$AL$6:$AL$505,"○")&gt;0,1,0))</f>
        <v>0</v>
      </c>
      <c r="AD180" s="39" t="n">
        <f aca="false">IF(AD$4=0,0,IF(COUNTIFS(実績!$W$6:$W$505,AD$3,実績!$AI$6:$AI$505,"&lt;="&amp;$A180,実績!$AJ$6:$AJ$505,"&gt;"&amp;$A180,実績!$AL$6:$AL$505,"○")&gt;0,1,0))</f>
        <v>0</v>
      </c>
      <c r="AE180" s="39" t="n">
        <f aca="false">IF(AE$4=0,0,IF(COUNTIFS(実績!$W$6:$W$505,AE$3,実績!$AI$6:$AI$505,"&lt;="&amp;$A180,実績!$AJ$6:$AJ$505,"&gt;"&amp;$A180,実績!$AL$6:$AL$505,"○")&gt;0,1,0))</f>
        <v>0</v>
      </c>
      <c r="AF180" s="39" t="n">
        <f aca="false">IF(AF$4=0,0,IF(COUNTIFS(実績!$W$6:$W$505,AF$3,実績!$AI$6:$AI$505,"&lt;="&amp;$A180,実績!$AJ$6:$AJ$505,"&gt;"&amp;$A180,実績!$AL$6:$AL$505,"○")&gt;0,1,0))</f>
        <v>0</v>
      </c>
      <c r="AG180" s="39" t="n">
        <f aca="false">IF(AG$4=0,0,IF(COUNTIFS(実績!$W$6:$W$505,AG$3,実績!$AI$6:$AI$505,"&lt;="&amp;$A180,実績!$AJ$6:$AJ$505,"&gt;"&amp;$A180,実績!$AL$6:$AL$505,"○")&gt;0,1,0))</f>
        <v>0</v>
      </c>
      <c r="AH180" s="39" t="n">
        <f aca="false">IF(AH$4=0,0,IF(COUNTIFS(実績!$W$6:$W$505,AH$3,実績!$AI$6:$AI$505,"&lt;="&amp;$A180,実績!$AJ$6:$AJ$505,"&gt;"&amp;$A180,実績!$AL$6:$AL$505,"○")&gt;0,1,0))</f>
        <v>0</v>
      </c>
      <c r="AI180" s="39" t="n">
        <f aca="false">IF(AI$4=0,0,IF(COUNTIFS(実績!$W$6:$W$505,AI$3,実績!$AI$6:$AI$505,"&lt;="&amp;$A180,実績!$AJ$6:$AJ$505,"&gt;"&amp;$A180,実績!$AL$6:$AL$505,"○")&gt;0,1,0))</f>
        <v>0</v>
      </c>
      <c r="AJ180" s="39" t="n">
        <f aca="false">IF(AJ$4=0,0,IF(COUNTIFS(実績!$W$6:$W$505,AJ$3,実績!$AI$6:$AI$505,"&lt;="&amp;$A180,実績!$AJ$6:$AJ$505,"&gt;"&amp;$A180,実績!$AL$6:$AL$505,"○")&gt;0,1,0))</f>
        <v>0</v>
      </c>
      <c r="AK180" s="39" t="n">
        <f aca="false">IF(AK$4=0,0,IF(COUNTIFS(実績!$W$6:$W$505,AK$3,実績!$AI$6:$AI$505,"&lt;="&amp;$A180,実績!$AJ$6:$AJ$505,"&gt;"&amp;$A180,実績!$AL$6:$AL$505,"○")&gt;0,1,0))</f>
        <v>0</v>
      </c>
      <c r="AL180" s="39" t="n">
        <f aca="false">IF(AL$4=0,0,IF(COUNTIFS(実績!$W$6:$W$505,AL$3,実績!$AI$6:$AI$505,"&lt;="&amp;$A180,実績!$AJ$6:$AJ$505,"&gt;"&amp;$A180,実績!$AL$6:$AL$505,"○")&gt;0,1,0))</f>
        <v>0</v>
      </c>
      <c r="AM180" s="39" t="n">
        <f aca="false">IF(AM$4=0,0,IF(COUNTIFS(実績!$W$6:$W$505,AM$3,実績!$AI$6:$AI$505,"&lt;="&amp;$A180,実績!$AJ$6:$AJ$505,"&gt;"&amp;$A180,実績!$AL$6:$AL$505,"○")&gt;0,1,0))</f>
        <v>0</v>
      </c>
      <c r="AN180" s="39" t="n">
        <f aca="false">IF(AN$4=0,0,IF(COUNTIFS(実績!$W$6:$W$505,AN$3,実績!$AI$6:$AI$505,"&lt;="&amp;$A180,実績!$AJ$6:$AJ$505,"&gt;"&amp;$A180,実績!$AL$6:$AL$505,"○")&gt;0,1,0))</f>
        <v>0</v>
      </c>
      <c r="AO180" s="39" t="n">
        <f aca="false">IF(AO$4=0,0,IF(COUNTIFS(実績!$W$6:$W$505,AO$3,実績!$AI$6:$AI$505,"&lt;="&amp;$A180,実績!$AJ$6:$AJ$505,"&gt;"&amp;$A180,実績!$AL$6:$AL$505,"○")&gt;0,1,0))</f>
        <v>0</v>
      </c>
      <c r="AP180" s="39" t="n">
        <f aca="false">IF(AP$4=0,0,IF(COUNTIFS(実績!$W$6:$W$505,AP$3,実績!$AI$6:$AI$505,"&lt;="&amp;$A180,実績!$AJ$6:$AJ$505,"&gt;"&amp;$A180,実績!$AL$6:$AL$505,"○")&gt;0,1,0))</f>
        <v>0</v>
      </c>
      <c r="AQ180" s="39" t="n">
        <f aca="false">IF(AQ$4=0,0,IF(COUNTIFS(実績!$W$6:$W$505,AQ$3,実績!$AI$6:$AI$505,"&lt;="&amp;$A180,実績!$AJ$6:$AJ$505,"&gt;"&amp;$A180,実績!$AL$6:$AL$505,"○")&gt;0,1,0))</f>
        <v>0</v>
      </c>
      <c r="AR180" s="39" t="n">
        <f aca="false">IF(AR$4=0,0,IF(COUNTIFS(実績!$W$6:$W$505,AR$3,実績!$AI$6:$AI$505,"&lt;="&amp;$A180,実績!$AJ$6:$AJ$505,"&gt;"&amp;$A180,実績!$AL$6:$AL$505,"○")&gt;0,1,0))</f>
        <v>0</v>
      </c>
      <c r="AS180" s="39" t="n">
        <f aca="false">IF(AS$4=0,0,IF(COUNTIFS(実績!$W$6:$W$505,AS$3,実績!$AI$6:$AI$505,"&lt;="&amp;$A180,実績!$AJ$6:$AJ$505,"&gt;"&amp;$A180,実績!$AL$6:$AL$505,"○")&gt;0,1,0))</f>
        <v>0</v>
      </c>
      <c r="AT180" s="39" t="n">
        <f aca="false">IF(AT$4=0,0,IF(COUNTIFS(実績!$W$6:$W$505,AT$3,実績!$AI$6:$AI$505,"&lt;="&amp;$A180,実績!$AJ$6:$AJ$505,"&gt;"&amp;$A180,実績!$AL$6:$AL$505,"○")&gt;0,1,0))</f>
        <v>0</v>
      </c>
      <c r="AU180" s="39" t="n">
        <f aca="false">IF(AU$4=0,0,IF(COUNTIFS(実績!$W$6:$W$505,AU$3,実績!$AI$6:$AI$505,"&lt;="&amp;$A180,実績!$AJ$6:$AJ$505,"&gt;"&amp;$A180,実績!$AL$6:$AL$505,"○")&gt;0,1,0))</f>
        <v>0</v>
      </c>
      <c r="AV180" s="39" t="n">
        <f aca="false">IF(AV$4=0,0,IF(COUNTIFS(実績!$W$6:$W$505,AV$3,実績!$AI$6:$AI$505,"&lt;="&amp;$A180,実績!$AJ$6:$AJ$505,"&gt;"&amp;$A180,実績!$AL$6:$AL$505,"○")&gt;0,1,0))</f>
        <v>0</v>
      </c>
      <c r="AW180" s="39" t="n">
        <f aca="false">IF(AW$4=0,0,IF(COUNTIFS(実績!$W$6:$W$505,AW$3,実績!$AI$6:$AI$505,"&lt;="&amp;$A180,実績!$AJ$6:$AJ$505,"&gt;"&amp;$A180,実績!$AL$6:$AL$505,"○")&gt;0,1,0))</f>
        <v>0</v>
      </c>
      <c r="AX180" s="39" t="n">
        <f aca="false">IF(AX$4=0,0,IF(COUNTIFS(実績!$W$6:$W$505,AX$3,実績!$AI$6:$AI$505,"&lt;="&amp;$A180,実績!$AJ$6:$AJ$505,"&gt;"&amp;$A180,実績!$AL$6:$AL$505,"○")&gt;0,1,0))</f>
        <v>0</v>
      </c>
      <c r="AY180" s="39" t="n">
        <f aca="false">IF(AY$4=0,0,IF(COUNTIFS(実績!$W$6:$W$505,AY$3,実績!$AI$6:$AI$505,"&lt;="&amp;$A180,実績!$AJ$6:$AJ$505,"&gt;"&amp;$A180,実績!$AL$6:$AL$505,"○")&gt;0,1,0))</f>
        <v>0</v>
      </c>
      <c r="AZ180" s="39" t="n">
        <f aca="false">IF(AZ$4=0,0,IF(COUNTIFS(実績!$W$6:$W$505,AZ$3,実績!$AI$6:$AI$505,"&lt;="&amp;$A180,実績!$AJ$6:$AJ$505,"&gt;"&amp;$A180,実績!$AL$6:$AL$505,"○")&gt;0,1,0))</f>
        <v>0</v>
      </c>
      <c r="BA180" s="39" t="n">
        <f aca="false">IF(BA$4=0,0,IF(COUNTIFS(実績!$W$6:$W$505,BA$3,実績!$AI$6:$AI$505,"&lt;="&amp;$A180,実績!$AJ$6:$AJ$505,"&gt;"&amp;$A180,実績!$AL$6:$AL$505,"○")&gt;0,1,0))</f>
        <v>0</v>
      </c>
      <c r="BB180" s="39" t="n">
        <f aca="false">IF(BB$4=0,0,IF(COUNTIFS(実績!$W$6:$W$505,BB$3,実績!$AI$6:$AI$505,"&lt;="&amp;$A180,実績!$AJ$6:$AJ$505,"&gt;"&amp;$A180,実績!$AL$6:$AL$505,"○")&gt;0,1,0))</f>
        <v>0</v>
      </c>
      <c r="BC180" s="39" t="n">
        <f aca="false">IF(BC$4=0,0,IF(COUNTIFS(実績!$W$6:$W$505,BC$3,実績!$AI$6:$AI$505,"&lt;="&amp;$A180,実績!$AJ$6:$AJ$505,"&gt;"&amp;$A180,実績!$AL$6:$AL$505,"○")&gt;0,1,0))</f>
        <v>0</v>
      </c>
      <c r="BD180" s="39" t="n">
        <f aca="false">IF(BD$4=0,0,IF(COUNTIFS(実績!$W$6:$W$505,BD$3,実績!$AI$6:$AI$505,"&lt;="&amp;$A180,実績!$AJ$6:$AJ$505,"&gt;"&amp;$A180,実績!$AL$6:$AL$505,"○")&gt;0,1,0))</f>
        <v>0</v>
      </c>
      <c r="BE180" s="39" t="n">
        <f aca="false">IF(BE$4=0,0,IF(COUNTIFS(実績!$W$6:$W$505,BE$3,実績!$AI$6:$AI$505,"&lt;="&amp;$A180,実績!$AJ$6:$AJ$505,"&gt;"&amp;$A180,実績!$AL$6:$AL$505,"○")&gt;0,1,0))</f>
        <v>0</v>
      </c>
      <c r="BF180" s="39" t="n">
        <f aca="false">IF(BF$4=0,0,IF(COUNTIFS(実績!$W$6:$W$505,BF$3,実績!$AI$6:$AI$505,"&lt;="&amp;$A180,実績!$AJ$6:$AJ$505,"&gt;"&amp;$A180,実績!$AL$6:$AL$505,"○")&gt;0,1,0))</f>
        <v>0</v>
      </c>
      <c r="BG180" s="39" t="n">
        <f aca="false">IF(BG$4=0,0,IF(COUNTIFS(実績!$W$6:$W$505,BG$3,実績!$AI$6:$AI$505,"&lt;="&amp;$A180,実績!$AJ$6:$AJ$505,"&gt;"&amp;$A180,実績!$AL$6:$AL$505,"○")&gt;0,1,0))</f>
        <v>0</v>
      </c>
      <c r="BH180" s="39" t="n">
        <f aca="false">IF(BH$4=0,0,IF(COUNTIFS(実績!$W$6:$W$505,BH$3,実績!$AI$6:$AI$505,"&lt;="&amp;$A180,実績!$AJ$6:$AJ$505,"&gt;"&amp;$A180,実績!$AL$6:$AL$505,"○")&gt;0,1,0))</f>
        <v>0</v>
      </c>
      <c r="BI180" s="39" t="n">
        <f aca="false">IF(BI$4=0,0,IF(COUNTIFS(実績!$W$6:$W$505,BI$3,実績!$AI$6:$AI$505,"&lt;="&amp;$A180,実績!$AJ$6:$AJ$505,"&gt;"&amp;$A180,実績!$AL$6:$AL$505,"○")&gt;0,1,0))</f>
        <v>0</v>
      </c>
      <c r="BJ180" s="39" t="n">
        <f aca="false">IF(BJ$4=0,0,IF(COUNTIFS(実績!$W$6:$W$505,BJ$3,実績!$AI$6:$AI$505,"&lt;="&amp;$A180,実績!$AJ$6:$AJ$505,"&gt;"&amp;$A180,実績!$AL$6:$AL$505,"○")&gt;0,1,0))</f>
        <v>0</v>
      </c>
      <c r="BK180" s="39" t="n">
        <f aca="false">IF(BK$4=0,0,IF(COUNTIFS(実績!$W$6:$W$505,BK$3,実績!$AI$6:$AI$505,"&lt;="&amp;$A180,実績!$AJ$6:$AJ$505,"&gt;"&amp;$A180,実績!$AL$6:$AL$505,"○")&gt;0,1,0))</f>
        <v>0</v>
      </c>
      <c r="BL180" s="39" t="n">
        <f aca="false">IF(BL$4=0,0,IF(COUNTIFS(実績!$W$6:$W$505,BL$3,実績!$AI$6:$AI$505,"&lt;="&amp;$A180,実績!$AJ$6:$AJ$505,"&gt;"&amp;$A180,実績!$AL$6:$AL$505,"○")&gt;0,1,0))</f>
        <v>0</v>
      </c>
      <c r="BM180" s="39" t="n">
        <f aca="false">IF(BM$4=0,0,IF(COUNTIFS(実績!$W$6:$W$505,BM$3,実績!$AI$6:$AI$505,"&lt;="&amp;$A180,実績!$AJ$6:$AJ$505,"&gt;"&amp;$A180,実績!$AL$6:$AL$505,"○")&gt;0,1,0))</f>
        <v>0</v>
      </c>
      <c r="BN180" s="39" t="n">
        <f aca="false">IF(BN$4=0,0,IF(COUNTIFS(実績!$W$6:$W$505,BN$3,実績!$AI$6:$AI$505,"&lt;="&amp;$A180,実績!$AJ$6:$AJ$505,"&gt;"&amp;$A180,実績!$AL$6:$AL$505,"○")&gt;0,1,0))</f>
        <v>0</v>
      </c>
      <c r="BO180" s="39" t="n">
        <f aca="false">IF(BO$4=0,0,IF(COUNTIFS(実績!$W$6:$W$505,BO$3,実績!$AI$6:$AI$505,"&lt;="&amp;$A180,実績!$AJ$6:$AJ$505,"&gt;"&amp;$A180,実績!$AL$6:$AL$505,"○")&gt;0,1,0))</f>
        <v>0</v>
      </c>
      <c r="BP180" s="39" t="n">
        <f aca="false">IF(BP$4=0,0,IF(COUNTIFS(実績!$W$6:$W$505,BP$3,実績!$AI$6:$AI$505,"&lt;="&amp;$A180,実績!$AJ$6:$AJ$505,"&gt;"&amp;$A180,実績!$AL$6:$AL$505,"○")&gt;0,1,0))</f>
        <v>0</v>
      </c>
      <c r="BQ180" s="39" t="n">
        <f aca="false">IF(BQ$4=0,0,IF(COUNTIFS(実績!$W$6:$W$505,BQ$3,実績!$AI$6:$AI$505,"&lt;="&amp;$A180,実績!$AJ$6:$AJ$505,"&gt;"&amp;$A180,実績!$AL$6:$AL$505,"○")&gt;0,1,0))</f>
        <v>0</v>
      </c>
      <c r="BR180" s="39" t="n">
        <f aca="false">IF(BR$4=0,0,IF(COUNTIFS(実績!$W$6:$W$505,BR$3,実績!$AI$6:$AI$505,"&lt;="&amp;$A180,実績!$AJ$6:$AJ$505,"&gt;"&amp;$A180,実績!$AL$6:$AL$505,"○")&gt;0,1,0))</f>
        <v>0</v>
      </c>
      <c r="BS180" s="39" t="n">
        <f aca="false">IF(BS$4=0,0,IF(COUNTIFS(実績!$W$6:$W$505,BS$3,実績!$AI$6:$AI$505,"&lt;="&amp;$A180,実績!$AJ$6:$AJ$505,"&gt;"&amp;$A180,実績!$AL$6:$AL$505,"○")&gt;0,1,0))</f>
        <v>0</v>
      </c>
      <c r="BT180" s="39" t="n">
        <f aca="false">IF(BT$4=0,0,IF(COUNTIFS(実績!$W$6:$W$505,BT$3,実績!$AI$6:$AI$505,"&lt;="&amp;$A180,実績!$AJ$6:$AJ$505,"&gt;"&amp;$A180,実績!$AL$6:$AL$505,"○")&gt;0,1,0))</f>
        <v>0</v>
      </c>
      <c r="BU180" s="39" t="n">
        <f aca="false">IF(BU$4=0,0,IF(COUNTIFS(実績!$W$6:$W$505,BU$3,実績!$AI$6:$AI$505,"&lt;="&amp;$A180,実績!$AJ$6:$AJ$505,"&gt;"&amp;$A180,実績!$AL$6:$AL$505,"○")&gt;0,1,0))</f>
        <v>0</v>
      </c>
      <c r="BV180" s="39" t="n">
        <f aca="false">IF(BV$4=0,0,IF(COUNTIFS(実績!$W$6:$W$505,BV$3,実績!$AI$6:$AI$505,"&lt;="&amp;$A180,実績!$AJ$6:$AJ$505,"&gt;"&amp;$A180,実績!$AL$6:$AL$505,"○")&gt;0,1,0))</f>
        <v>0</v>
      </c>
      <c r="BW180" s="39" t="n">
        <f aca="false">IF(BW$4=0,0,IF(COUNTIFS(実績!$W$6:$W$505,BW$3,実績!$AI$6:$AI$505,"&lt;="&amp;$A180,実績!$AJ$6:$AJ$505,"&gt;"&amp;$A180,実績!$AL$6:$AL$505,"○")&gt;0,1,0))</f>
        <v>0</v>
      </c>
      <c r="BX180" s="39" t="n">
        <f aca="false">IF(BX$4=0,0,IF(COUNTIFS(実績!$W$6:$W$505,BX$3,実績!$AI$6:$AI$505,"&lt;="&amp;$A180,実績!$AJ$6:$AJ$505,"&gt;"&amp;$A180,実績!$AL$6:$AL$505,"○")&gt;0,1,0))</f>
        <v>0</v>
      </c>
      <c r="BY180" s="39" t="n">
        <f aca="false">IF(BY$4=0,0,IF(COUNTIFS(実績!$W$6:$W$505,BY$3,実績!$AI$6:$AI$505,"&lt;="&amp;$A180,実績!$AJ$6:$AJ$505,"&gt;"&amp;$A180,実績!$AL$6:$AL$505,"○")&gt;0,1,0))</f>
        <v>0</v>
      </c>
      <c r="BZ180" s="39" t="n">
        <f aca="false">IF(BZ$4=0,0,IF(COUNTIFS(実績!$W$6:$W$505,BZ$3,実績!$AI$6:$AI$505,"&lt;="&amp;$A180,実績!$AJ$6:$AJ$505,"&gt;"&amp;$A180,実績!$AL$6:$AL$505,"○")&gt;0,1,0))</f>
        <v>0</v>
      </c>
      <c r="CA180" s="39" t="n">
        <f aca="false">IF(CA$4=0,0,IF(COUNTIFS(実績!$W$6:$W$505,CA$3,実績!$AI$6:$AI$505,"&lt;="&amp;$A180,実績!$AJ$6:$AJ$505,"&gt;"&amp;$A180,実績!$AL$6:$AL$505,"○")&gt;0,1,0))</f>
        <v>0</v>
      </c>
      <c r="CB180" s="39" t="n">
        <f aca="false">IF(CB$4=0,0,IF(COUNTIFS(実績!$W$6:$W$505,CB$3,実績!$AI$6:$AI$505,"&lt;="&amp;$A180,実績!$AJ$6:$AJ$505,"&gt;"&amp;$A180,実績!$AL$6:$AL$505,"○")&gt;0,1,0))</f>
        <v>0</v>
      </c>
      <c r="CC180" s="39" t="n">
        <f aca="false">IF(CC$4=0,0,IF(COUNTIFS(実績!$W$6:$W$505,CC$3,実績!$AI$6:$AI$505,"&lt;="&amp;$A180,実績!$AJ$6:$AJ$505,"&gt;"&amp;$A180,実績!$AL$6:$AL$505,"○")&gt;0,1,0))</f>
        <v>0</v>
      </c>
      <c r="CD180" s="39" t="n">
        <f aca="false">IF(CD$4=0,0,IF(COUNTIFS(実績!$W$6:$W$505,CD$3,実績!$AI$6:$AI$505,"&lt;="&amp;$A180,実績!$AJ$6:$AJ$505,"&gt;"&amp;$A180,実績!$AL$6:$AL$505,"○")&gt;0,1,0))</f>
        <v>0</v>
      </c>
      <c r="CE180" s="39" t="n">
        <f aca="false">IF(CE$4=0,0,IF(COUNTIFS(実績!$W$6:$W$505,CE$3,実績!$AI$6:$AI$505,"&lt;="&amp;$A180,実績!$AJ$6:$AJ$505,"&gt;"&amp;$A180,実績!$AL$6:$AL$505,"○")&gt;0,1,0))</f>
        <v>0</v>
      </c>
      <c r="CF180" s="39" t="n">
        <f aca="false">IF(CF$4=0,0,IF(COUNTIFS(実績!$W$6:$W$505,CF$3,実績!$AI$6:$AI$505,"&lt;="&amp;$A180,実績!$AJ$6:$AJ$505,"&gt;"&amp;$A180,実績!$AL$6:$AL$505,"○")&gt;0,1,0))</f>
        <v>0</v>
      </c>
      <c r="CG180" s="39" t="n">
        <f aca="false">IF(CG$4=0,0,IF(COUNTIFS(実績!$W$6:$W$505,CG$3,実績!$AI$6:$AI$505,"&lt;="&amp;$A180,実績!$AJ$6:$AJ$505,"&gt;"&amp;$A180,実績!$AL$6:$AL$505,"○")&gt;0,1,0))</f>
        <v>0</v>
      </c>
      <c r="CH180" s="39" t="n">
        <f aca="false">IF(CH$4=0,0,IF(COUNTIFS(実績!$W$6:$W$505,CH$3,実績!$AI$6:$AI$505,"&lt;="&amp;$A180,実績!$AJ$6:$AJ$505,"&gt;"&amp;$A180,実績!$AL$6:$AL$505,"○")&gt;0,1,0))</f>
        <v>0</v>
      </c>
      <c r="CI180" s="39" t="n">
        <f aca="false">IF(CI$4=0,0,IF(COUNTIFS(実績!$W$6:$W$505,CI$3,実績!$AI$6:$AI$505,"&lt;="&amp;$A180,実績!$AJ$6:$AJ$505,"&gt;"&amp;$A180,実績!$AL$6:$AL$505,"○")&gt;0,1,0))</f>
        <v>0</v>
      </c>
      <c r="CJ180" s="39" t="n">
        <f aca="false">IF(CJ$4=0,0,IF(COUNTIFS(実績!$W$6:$W$505,CJ$3,実績!$AI$6:$AI$505,"&lt;="&amp;$A180,実績!$AJ$6:$AJ$505,"&gt;"&amp;$A180,実績!$AL$6:$AL$505,"○")&gt;0,1,0))</f>
        <v>0</v>
      </c>
      <c r="CK180" s="39" t="n">
        <f aca="false">IF(CK$4=0,0,IF(COUNTIFS(実績!$W$6:$W$505,CK$3,実績!$AI$6:$AI$505,"&lt;="&amp;$A180,実績!$AJ$6:$AJ$505,"&gt;"&amp;$A180,実績!$AL$6:$AL$505,"○")&gt;0,1,0))</f>
        <v>0</v>
      </c>
      <c r="CL180" s="39" t="n">
        <f aca="false">IF(CL$4=0,0,IF(COUNTIFS(実績!$W$6:$W$505,CL$3,実績!$AI$6:$AI$505,"&lt;="&amp;$A180,実績!$AJ$6:$AJ$505,"&gt;"&amp;$A180,実績!$AL$6:$AL$505,"○")&gt;0,1,0))</f>
        <v>0</v>
      </c>
      <c r="CM180" s="39" t="n">
        <f aca="false">IF(CM$4=0,0,IF(COUNTIFS(実績!$W$6:$W$505,CM$3,実績!$AI$6:$AI$505,"&lt;="&amp;$A180,実績!$AJ$6:$AJ$505,"&gt;"&amp;$A180,実績!$AL$6:$AL$505,"○")&gt;0,1,0))</f>
        <v>0</v>
      </c>
      <c r="CN180" s="39" t="n">
        <f aca="false">IF(CN$4=0,0,IF(COUNTIFS(実績!$W$6:$W$505,CN$3,実績!$AI$6:$AI$505,"&lt;="&amp;$A180,実績!$AJ$6:$AJ$505,"&gt;"&amp;$A180,実績!$AL$6:$AL$505,"○")&gt;0,1,0))</f>
        <v>0</v>
      </c>
      <c r="CO180" s="39" t="n">
        <f aca="false">IF(CO$4=0,0,IF(COUNTIFS(実績!$W$6:$W$505,CO$3,実績!$AI$6:$AI$505,"&lt;="&amp;$A180,実績!$AJ$6:$AJ$505,"&gt;"&amp;$A180,実績!$AL$6:$AL$505,"○")&gt;0,1,0))</f>
        <v>0</v>
      </c>
      <c r="CP180" s="39" t="n">
        <f aca="false">IF(CP$4=0,0,IF(COUNTIFS(実績!$W$6:$W$505,CP$3,実績!$AI$6:$AI$505,"&lt;="&amp;$A180,実績!$AJ$6:$AJ$505,"&gt;"&amp;$A180,実績!$AL$6:$AL$505,"○")&gt;0,1,0))</f>
        <v>0</v>
      </c>
      <c r="CQ180" s="39" t="n">
        <f aca="false">IF(CQ$4=0,0,IF(COUNTIFS(実績!$W$6:$W$505,CQ$3,実績!$AI$6:$AI$505,"&lt;="&amp;$A180,実績!$AJ$6:$AJ$505,"&gt;"&amp;$A180,実績!$AL$6:$AL$505,"○")&gt;0,1,0))</f>
        <v>0</v>
      </c>
      <c r="CR180" s="39" t="n">
        <f aca="false">IF(CR$4=0,0,IF(COUNTIFS(実績!$W$6:$W$505,CR$3,実績!$AI$6:$AI$505,"&lt;="&amp;$A180,実績!$AJ$6:$AJ$505,"&gt;"&amp;$A180,実績!$AL$6:$AL$505,"○")&gt;0,1,0))</f>
        <v>0</v>
      </c>
      <c r="CS180" s="39" t="n">
        <f aca="false">IF(CS$4=0,0,IF(COUNTIFS(実績!$W$6:$W$505,CS$3,実績!$AI$6:$AI$505,"&lt;="&amp;$A180,実績!$AJ$6:$AJ$505,"&gt;"&amp;$A180,実績!$AL$6:$AL$505,"○")&gt;0,1,0))</f>
        <v>0</v>
      </c>
      <c r="CT180" s="39" t="n">
        <f aca="false">IF(CT$4=0,0,IF(COUNTIFS(実績!$W$6:$W$505,CT$3,実績!$AI$6:$AI$505,"&lt;="&amp;$A180,実績!$AJ$6:$AJ$505,"&gt;"&amp;$A180,実績!$AL$6:$AL$505,"○")&gt;0,1,0))</f>
        <v>0</v>
      </c>
      <c r="CU180" s="39" t="n">
        <f aca="false">IF(CU$4=0,0,IF(COUNTIFS(実績!$W$6:$W$505,CU$3,実績!$AI$6:$AI$505,"&lt;="&amp;$A180,実績!$AJ$6:$AJ$505,"&gt;"&amp;$A180,実績!$AL$6:$AL$505,"○")&gt;0,1,0))</f>
        <v>0</v>
      </c>
      <c r="CV180" s="39" t="n">
        <f aca="false">IF(CV$4=0,0,IF(COUNTIFS(実績!$W$6:$W$505,CV$3,実績!$AI$6:$AI$505,"&lt;="&amp;$A180,実績!$AJ$6:$AJ$505,"&gt;"&amp;$A180,実績!$AL$6:$AL$505,"○")&gt;0,1,0))</f>
        <v>0</v>
      </c>
      <c r="CW180" s="39" t="n">
        <f aca="false">IF(CW$4=0,0,IF(COUNTIFS(実績!$W$6:$W$505,CW$3,実績!$AI$6:$AI$505,"&lt;="&amp;$A180,実績!$AJ$6:$AJ$505,"&gt;"&amp;$A180,実績!$AL$6:$AL$505,"○")&gt;0,1,0))</f>
        <v>0</v>
      </c>
      <c r="CX180" s="39" t="n">
        <f aca="false">IF(CX$4=0,0,IF(COUNTIFS(実績!$W$6:$W$505,CX$3,実績!$AI$6:$AI$505,"&lt;="&amp;$A180,実績!$AJ$6:$AJ$505,"&gt;"&amp;$A180,実績!$AL$6:$AL$505,"○")&gt;0,1,0))</f>
        <v>0</v>
      </c>
      <c r="CY180" s="39" t="n">
        <f aca="false">IF(CY$4=0,0,IF(COUNTIFS(実績!$W$6:$W$505,CY$3,実績!$AI$6:$AI$505,"&lt;="&amp;$A180,実績!$AJ$6:$AJ$505,"&gt;"&amp;$A180,実績!$AL$6:$AL$505,"○")&gt;0,1,0))</f>
        <v>0</v>
      </c>
      <c r="CZ180" s="39" t="n">
        <f aca="false">IF(CZ$4=0,0,IF(COUNTIFS(実績!$W$6:$W$505,CZ$3,実績!$AI$6:$AI$505,"&lt;="&amp;$A180,実績!$AJ$6:$AJ$505,"&gt;"&amp;$A180,実績!$AL$6:$AL$505,"○")&gt;0,1,0))</f>
        <v>0</v>
      </c>
      <c r="DA180" s="39" t="n">
        <f aca="false">IF(DA$4=0,0,IF(COUNTIFS(実績!$W$6:$W$505,DA$3,実績!$AI$6:$AI$505,"&lt;="&amp;$A180,実績!$AJ$6:$AJ$505,"&gt;"&amp;$A180,実績!$AL$6:$AL$505,"○")&gt;0,1,0))</f>
        <v>0</v>
      </c>
      <c r="DB180" s="39" t="n">
        <f aca="false">IF(DB$4=0,0,IF(COUNTIFS(実績!$W$6:$W$505,DB$3,実績!$AI$6:$AI$505,"&lt;="&amp;$A180,実績!$AJ$6:$AJ$505,"&gt;"&amp;$A180,実績!$AL$6:$AL$505,"○")&gt;0,1,0))</f>
        <v>0</v>
      </c>
      <c r="DC180" s="39" t="n">
        <f aca="false">IF(DC$4=0,0,IF(COUNTIFS(実績!$W$6:$W$505,DC$3,実績!$AI$6:$AI$505,"&lt;="&amp;$A180,実績!$AJ$6:$AJ$505,"&gt;"&amp;$A180,実績!$AL$6:$AL$505,"○")&gt;0,1,0))</f>
        <v>0</v>
      </c>
      <c r="DD180" s="39" t="n">
        <f aca="false">IF(DD$4=0,0,IF(COUNTIFS(実績!$W$6:$W$505,DD$3,実績!$AI$6:$AI$505,"&lt;="&amp;$A180,実績!$AJ$6:$AJ$505,"&gt;"&amp;$A180,実績!$AL$6:$AL$505,"○")&gt;0,1,0))</f>
        <v>0</v>
      </c>
      <c r="DE180" s="39" t="n">
        <f aca="false">IF(DE$4=0,0,IF(COUNTIFS(実績!$W$6:$W$505,DE$3,実績!$AI$6:$AI$505,"&lt;="&amp;$A180,実績!$AJ$6:$AJ$505,"&gt;"&amp;$A180,実績!$AL$6:$AL$505,"○")&gt;0,1,0))</f>
        <v>0</v>
      </c>
      <c r="DF180" s="39" t="n">
        <f aca="false">IF(DF$4=0,0,IF(COUNTIFS(実績!$W$6:$W$505,DF$3,実績!$AI$6:$AI$505,"&lt;="&amp;$A180,実績!$AJ$6:$AJ$505,"&gt;"&amp;$A180,実績!$AL$6:$AL$505,"○")&gt;0,1,0))</f>
        <v>0</v>
      </c>
      <c r="DG180" s="39" t="n">
        <f aca="false">IF(DG$4=0,0,IF(COUNTIFS(実績!$W$6:$W$505,DG$3,実績!$AI$6:$AI$505,"&lt;="&amp;$A180,実績!$AJ$6:$AJ$505,"&gt;"&amp;$A180,実績!$AL$6:$AL$505,"○")&gt;0,1,0))</f>
        <v>0</v>
      </c>
      <c r="DH180" s="39" t="n">
        <f aca="false">IF(DH$4=0,0,IF(COUNTIFS(実績!$W$6:$W$505,DH$3,実績!$AI$6:$AI$505,"&lt;="&amp;$A180,実績!$AJ$6:$AJ$505,"&gt;"&amp;$A180,実績!$AL$6:$AL$505,"○")&gt;0,1,0))</f>
        <v>0</v>
      </c>
      <c r="DI180" s="39" t="n">
        <f aca="false">IF(DI$4=0,0,IF(COUNTIFS(実績!$W$6:$W$505,DI$3,実績!$AI$6:$AI$505,"&lt;="&amp;$A180,実績!$AJ$6:$AJ$505,"&gt;"&amp;$A180,実績!$AL$6:$AL$505,"○")&gt;0,1,0))</f>
        <v>0</v>
      </c>
      <c r="DJ180" s="39" t="n">
        <f aca="false">IF(DJ$4=0,0,IF(COUNTIFS(実績!$W$6:$W$505,DJ$3,実績!$AI$6:$AI$505,"&lt;="&amp;$A180,実績!$AJ$6:$AJ$505,"&gt;"&amp;$A180,実績!$AL$6:$AL$505,"○")&gt;0,1,0))</f>
        <v>0</v>
      </c>
      <c r="DK180" s="39" t="n">
        <f aca="false">IF(DK$4=0,0,IF(COUNTIFS(実績!$W$6:$W$505,DK$3,実績!$AI$6:$AI$505,"&lt;="&amp;$A180,実績!$AJ$6:$AJ$505,"&gt;"&amp;$A180,実績!$AL$6:$AL$505,"○")&gt;0,1,0))</f>
        <v>0</v>
      </c>
      <c r="DL180" s="39" t="n">
        <f aca="false">IF(DL$4=0,0,IF(COUNTIFS(実績!$W$6:$W$505,DL$3,実績!$AI$6:$AI$505,"&lt;="&amp;$A180,実績!$AJ$6:$AJ$505,"&gt;"&amp;$A180,実績!$AL$6:$AL$505,"○")&gt;0,1,0))</f>
        <v>0</v>
      </c>
      <c r="DM180" s="39" t="n">
        <f aca="false">IF(DM$4=0,0,IF(COUNTIFS(実績!$W$6:$W$505,DM$3,実績!$AI$6:$AI$505,"&lt;="&amp;$A180,実績!$AJ$6:$AJ$505,"&gt;"&amp;$A180,実績!$AL$6:$AL$505,"○")&gt;0,1,0))</f>
        <v>0</v>
      </c>
      <c r="DN180" s="39" t="n">
        <f aca="false">IF(DN$4=0,0,IF(COUNTIFS(実績!$W$6:$W$505,DN$3,実績!$AI$6:$AI$505,"&lt;="&amp;$A180,実績!$AJ$6:$AJ$505,"&gt;"&amp;$A180,実績!$AL$6:$AL$505,"○")&gt;0,1,0))</f>
        <v>0</v>
      </c>
      <c r="DO180" s="39" t="n">
        <f aca="false">IF(DO$4=0,0,IF(COUNTIFS(実績!$W$6:$W$505,DO$3,実績!$AI$6:$AI$505,"&lt;="&amp;$A180,実績!$AJ$6:$AJ$505,"&gt;"&amp;$A180,実績!$AL$6:$AL$505,"○")&gt;0,1,0))</f>
        <v>0</v>
      </c>
      <c r="DP180" s="39" t="n">
        <f aca="false">IF(DP$4=0,0,IF(COUNTIFS(実績!$W$6:$W$505,DP$3,実績!$AI$6:$AI$505,"&lt;="&amp;$A180,実績!$AJ$6:$AJ$505,"&gt;"&amp;$A180,実績!$AL$6:$AL$505,"○")&gt;0,1,0))</f>
        <v>0</v>
      </c>
      <c r="DQ180" s="39" t="n">
        <f aca="false">IF(DQ$4=0,0,IF(COUNTIFS(実績!$W$6:$W$505,DQ$3,実績!$AI$6:$AI$505,"&lt;="&amp;$A180,実績!$AJ$6:$AJ$505,"&gt;"&amp;$A180,実績!$AL$6:$AL$505,"○")&gt;0,1,0))</f>
        <v>0</v>
      </c>
      <c r="DR180" s="39" t="n">
        <f aca="false">IF(DR$4=0,0,IF(COUNTIFS(実績!$W$6:$W$505,DR$3,実績!$AI$6:$AI$505,"&lt;="&amp;$A180,実績!$AJ$6:$AJ$505,"&gt;"&amp;$A180,実績!$AL$6:$AL$505,"○")&gt;0,1,0))</f>
        <v>0</v>
      </c>
      <c r="DS180" s="39" t="n">
        <f aca="false">SUM(C180:DR180)</f>
        <v>0</v>
      </c>
    </row>
    <row r="181" customFormat="false" ht="15" hidden="false" customHeight="false" outlineLevel="0" collapsed="false">
      <c r="A181" s="0" t="n">
        <v>875</v>
      </c>
      <c r="B181" s="38" t="n">
        <f aca="false">A181/1440</f>
        <v>0.607638888888889</v>
      </c>
      <c r="C181" s="39" t="n">
        <f aca="false">IF(C$4=0,0,IF(COUNTIFS(実績!$W$6:$W$505,C$3,実績!$AI$6:$AI$505,"&lt;="&amp;$A181,実績!$AJ$6:$AJ$505,"&gt;"&amp;$A181,実績!$AL$6:$AL$505,"○")&gt;0,1,0))</f>
        <v>0</v>
      </c>
      <c r="D181" s="39" t="n">
        <f aca="false">IF(D$4=0,0,IF(COUNTIFS(実績!$W$6:$W$505,D$3,実績!$AI$6:$AI$505,"&lt;="&amp;$A181,実績!$AJ$6:$AJ$505,"&gt;"&amp;$A181,実績!$AL$6:$AL$505,"○")&gt;0,1,0))</f>
        <v>0</v>
      </c>
      <c r="E181" s="39" t="n">
        <f aca="false">IF(E$4=0,0,IF(COUNTIFS(実績!$W$6:$W$505,E$3,実績!$AI$6:$AI$505,"&lt;="&amp;$A181,実績!$AJ$6:$AJ$505,"&gt;"&amp;$A181,実績!$AL$6:$AL$505,"○")&gt;0,1,0))</f>
        <v>0</v>
      </c>
      <c r="F181" s="39" t="n">
        <f aca="false">IF(F$4=0,0,IF(COUNTIFS(実績!$W$6:$W$505,F$3,実績!$AI$6:$AI$505,"&lt;="&amp;$A181,実績!$AJ$6:$AJ$505,"&gt;"&amp;$A181,実績!$AL$6:$AL$505,"○")&gt;0,1,0))</f>
        <v>0</v>
      </c>
      <c r="G181" s="39" t="n">
        <f aca="false">IF(G$4=0,0,IF(COUNTIFS(実績!$W$6:$W$505,G$3,実績!$AI$6:$AI$505,"&lt;="&amp;$A181,実績!$AJ$6:$AJ$505,"&gt;"&amp;$A181,実績!$AL$6:$AL$505,"○")&gt;0,1,0))</f>
        <v>0</v>
      </c>
      <c r="H181" s="39" t="n">
        <f aca="false">IF(H$4=0,0,IF(COUNTIFS(実績!$W$6:$W$505,H$3,実績!$AI$6:$AI$505,"&lt;="&amp;$A181,実績!$AJ$6:$AJ$505,"&gt;"&amp;$A181,実績!$AL$6:$AL$505,"○")&gt;0,1,0))</f>
        <v>0</v>
      </c>
      <c r="I181" s="39" t="n">
        <f aca="false">IF(I$4=0,0,IF(COUNTIFS(実績!$W$6:$W$505,I$3,実績!$AI$6:$AI$505,"&lt;="&amp;$A181,実績!$AJ$6:$AJ$505,"&gt;"&amp;$A181,実績!$AL$6:$AL$505,"○")&gt;0,1,0))</f>
        <v>0</v>
      </c>
      <c r="J181" s="39" t="n">
        <f aca="false">IF(J$4=0,0,IF(COUNTIFS(実績!$W$6:$W$505,J$3,実績!$AI$6:$AI$505,"&lt;="&amp;$A181,実績!$AJ$6:$AJ$505,"&gt;"&amp;$A181,実績!$AL$6:$AL$505,"○")&gt;0,1,0))</f>
        <v>0</v>
      </c>
      <c r="K181" s="39" t="n">
        <f aca="false">IF(K$4=0,0,IF(COUNTIFS(実績!$W$6:$W$505,K$3,実績!$AI$6:$AI$505,"&lt;="&amp;$A181,実績!$AJ$6:$AJ$505,"&gt;"&amp;$A181,実績!$AL$6:$AL$505,"○")&gt;0,1,0))</f>
        <v>0</v>
      </c>
      <c r="L181" s="39" t="n">
        <f aca="false">IF(L$4=0,0,IF(COUNTIFS(実績!$W$6:$W$505,L$3,実績!$AI$6:$AI$505,"&lt;="&amp;$A181,実績!$AJ$6:$AJ$505,"&gt;"&amp;$A181,実績!$AL$6:$AL$505,"○")&gt;0,1,0))</f>
        <v>0</v>
      </c>
      <c r="M181" s="39" t="n">
        <f aca="false">IF(M$4=0,0,IF(COUNTIFS(実績!$W$6:$W$505,M$3,実績!$AI$6:$AI$505,"&lt;="&amp;$A181,実績!$AJ$6:$AJ$505,"&gt;"&amp;$A181,実績!$AL$6:$AL$505,"○")&gt;0,1,0))</f>
        <v>0</v>
      </c>
      <c r="N181" s="39" t="n">
        <f aca="false">IF(N$4=0,0,IF(COUNTIFS(実績!$W$6:$W$505,N$3,実績!$AI$6:$AI$505,"&lt;="&amp;$A181,実績!$AJ$6:$AJ$505,"&gt;"&amp;$A181,実績!$AL$6:$AL$505,"○")&gt;0,1,0))</f>
        <v>0</v>
      </c>
      <c r="O181" s="39" t="n">
        <f aca="false">IF(O$4=0,0,IF(COUNTIFS(実績!$W$6:$W$505,O$3,実績!$AI$6:$AI$505,"&lt;="&amp;$A181,実績!$AJ$6:$AJ$505,"&gt;"&amp;$A181,実績!$AL$6:$AL$505,"○")&gt;0,1,0))</f>
        <v>0</v>
      </c>
      <c r="P181" s="39" t="n">
        <f aca="false">IF(P$4=0,0,IF(COUNTIFS(実績!$W$6:$W$505,P$3,実績!$AI$6:$AI$505,"&lt;="&amp;$A181,実績!$AJ$6:$AJ$505,"&gt;"&amp;$A181,実績!$AL$6:$AL$505,"○")&gt;0,1,0))</f>
        <v>0</v>
      </c>
      <c r="Q181" s="39" t="n">
        <f aca="false">IF(Q$4=0,0,IF(COUNTIFS(実績!$W$6:$W$505,Q$3,実績!$AI$6:$AI$505,"&lt;="&amp;$A181,実績!$AJ$6:$AJ$505,"&gt;"&amp;$A181,実績!$AL$6:$AL$505,"○")&gt;0,1,0))</f>
        <v>0</v>
      </c>
      <c r="R181" s="39" t="n">
        <f aca="false">IF(R$4=0,0,IF(COUNTIFS(実績!$W$6:$W$505,R$3,実績!$AI$6:$AI$505,"&lt;="&amp;$A181,実績!$AJ$6:$AJ$505,"&gt;"&amp;$A181,実績!$AL$6:$AL$505,"○")&gt;0,1,0))</f>
        <v>0</v>
      </c>
      <c r="S181" s="39" t="n">
        <f aca="false">IF(S$4=0,0,IF(COUNTIFS(実績!$W$6:$W$505,S$3,実績!$AI$6:$AI$505,"&lt;="&amp;$A181,実績!$AJ$6:$AJ$505,"&gt;"&amp;$A181,実績!$AL$6:$AL$505,"○")&gt;0,1,0))</f>
        <v>0</v>
      </c>
      <c r="T181" s="39" t="n">
        <f aca="false">IF(T$4=0,0,IF(COUNTIFS(実績!$W$6:$W$505,T$3,実績!$AI$6:$AI$505,"&lt;="&amp;$A181,実績!$AJ$6:$AJ$505,"&gt;"&amp;$A181,実績!$AL$6:$AL$505,"○")&gt;0,1,0))</f>
        <v>0</v>
      </c>
      <c r="U181" s="39" t="n">
        <f aca="false">IF(U$4=0,0,IF(COUNTIFS(実績!$W$6:$W$505,U$3,実績!$AI$6:$AI$505,"&lt;="&amp;$A181,実績!$AJ$6:$AJ$505,"&gt;"&amp;$A181,実績!$AL$6:$AL$505,"○")&gt;0,1,0))</f>
        <v>0</v>
      </c>
      <c r="V181" s="39" t="n">
        <f aca="false">IF(V$4=0,0,IF(COUNTIFS(実績!$W$6:$W$505,V$3,実績!$AI$6:$AI$505,"&lt;="&amp;$A181,実績!$AJ$6:$AJ$505,"&gt;"&amp;$A181,実績!$AL$6:$AL$505,"○")&gt;0,1,0))</f>
        <v>0</v>
      </c>
      <c r="W181" s="39" t="n">
        <f aca="false">IF(W$4=0,0,IF(COUNTIFS(実績!$W$6:$W$505,W$3,実績!$AI$6:$AI$505,"&lt;="&amp;$A181,実績!$AJ$6:$AJ$505,"&gt;"&amp;$A181,実績!$AL$6:$AL$505,"○")&gt;0,1,0))</f>
        <v>0</v>
      </c>
      <c r="X181" s="39" t="n">
        <f aca="false">IF(X$4=0,0,IF(COUNTIFS(実績!$W$6:$W$505,X$3,実績!$AI$6:$AI$505,"&lt;="&amp;$A181,実績!$AJ$6:$AJ$505,"&gt;"&amp;$A181,実績!$AL$6:$AL$505,"○")&gt;0,1,0))</f>
        <v>0</v>
      </c>
      <c r="Y181" s="39" t="n">
        <f aca="false">IF(Y$4=0,0,IF(COUNTIFS(実績!$W$6:$W$505,Y$3,実績!$AI$6:$AI$505,"&lt;="&amp;$A181,実績!$AJ$6:$AJ$505,"&gt;"&amp;$A181,実績!$AL$6:$AL$505,"○")&gt;0,1,0))</f>
        <v>0</v>
      </c>
      <c r="Z181" s="39" t="n">
        <f aca="false">IF(Z$4=0,0,IF(COUNTIFS(実績!$W$6:$W$505,Z$3,実績!$AI$6:$AI$505,"&lt;="&amp;$A181,実績!$AJ$6:$AJ$505,"&gt;"&amp;$A181,実績!$AL$6:$AL$505,"○")&gt;0,1,0))</f>
        <v>0</v>
      </c>
      <c r="AA181" s="39" t="n">
        <f aca="false">IF(AA$4=0,0,IF(COUNTIFS(実績!$W$6:$W$505,AA$3,実績!$AI$6:$AI$505,"&lt;="&amp;$A181,実績!$AJ$6:$AJ$505,"&gt;"&amp;$A181,実績!$AL$6:$AL$505,"○")&gt;0,1,0))</f>
        <v>0</v>
      </c>
      <c r="AB181" s="39" t="n">
        <f aca="false">IF(AB$4=0,0,IF(COUNTIFS(実績!$W$6:$W$505,AB$3,実績!$AI$6:$AI$505,"&lt;="&amp;$A181,実績!$AJ$6:$AJ$505,"&gt;"&amp;$A181,実績!$AL$6:$AL$505,"○")&gt;0,1,0))</f>
        <v>0</v>
      </c>
      <c r="AC181" s="39" t="n">
        <f aca="false">IF(AC$4=0,0,IF(COUNTIFS(実績!$W$6:$W$505,AC$3,実績!$AI$6:$AI$505,"&lt;="&amp;$A181,実績!$AJ$6:$AJ$505,"&gt;"&amp;$A181,実績!$AL$6:$AL$505,"○")&gt;0,1,0))</f>
        <v>0</v>
      </c>
      <c r="AD181" s="39" t="n">
        <f aca="false">IF(AD$4=0,0,IF(COUNTIFS(実績!$W$6:$W$505,AD$3,実績!$AI$6:$AI$505,"&lt;="&amp;$A181,実績!$AJ$6:$AJ$505,"&gt;"&amp;$A181,実績!$AL$6:$AL$505,"○")&gt;0,1,0))</f>
        <v>0</v>
      </c>
      <c r="AE181" s="39" t="n">
        <f aca="false">IF(AE$4=0,0,IF(COUNTIFS(実績!$W$6:$W$505,AE$3,実績!$AI$6:$AI$505,"&lt;="&amp;$A181,実績!$AJ$6:$AJ$505,"&gt;"&amp;$A181,実績!$AL$6:$AL$505,"○")&gt;0,1,0))</f>
        <v>0</v>
      </c>
      <c r="AF181" s="39" t="n">
        <f aca="false">IF(AF$4=0,0,IF(COUNTIFS(実績!$W$6:$W$505,AF$3,実績!$AI$6:$AI$505,"&lt;="&amp;$A181,実績!$AJ$6:$AJ$505,"&gt;"&amp;$A181,実績!$AL$6:$AL$505,"○")&gt;0,1,0))</f>
        <v>0</v>
      </c>
      <c r="AG181" s="39" t="n">
        <f aca="false">IF(AG$4=0,0,IF(COUNTIFS(実績!$W$6:$W$505,AG$3,実績!$AI$6:$AI$505,"&lt;="&amp;$A181,実績!$AJ$6:$AJ$505,"&gt;"&amp;$A181,実績!$AL$6:$AL$505,"○")&gt;0,1,0))</f>
        <v>0</v>
      </c>
      <c r="AH181" s="39" t="n">
        <f aca="false">IF(AH$4=0,0,IF(COUNTIFS(実績!$W$6:$W$505,AH$3,実績!$AI$6:$AI$505,"&lt;="&amp;$A181,実績!$AJ$6:$AJ$505,"&gt;"&amp;$A181,実績!$AL$6:$AL$505,"○")&gt;0,1,0))</f>
        <v>0</v>
      </c>
      <c r="AI181" s="39" t="n">
        <f aca="false">IF(AI$4=0,0,IF(COUNTIFS(実績!$W$6:$W$505,AI$3,実績!$AI$6:$AI$505,"&lt;="&amp;$A181,実績!$AJ$6:$AJ$505,"&gt;"&amp;$A181,実績!$AL$6:$AL$505,"○")&gt;0,1,0))</f>
        <v>0</v>
      </c>
      <c r="AJ181" s="39" t="n">
        <f aca="false">IF(AJ$4=0,0,IF(COUNTIFS(実績!$W$6:$W$505,AJ$3,実績!$AI$6:$AI$505,"&lt;="&amp;$A181,実績!$AJ$6:$AJ$505,"&gt;"&amp;$A181,実績!$AL$6:$AL$505,"○")&gt;0,1,0))</f>
        <v>0</v>
      </c>
      <c r="AK181" s="39" t="n">
        <f aca="false">IF(AK$4=0,0,IF(COUNTIFS(実績!$W$6:$W$505,AK$3,実績!$AI$6:$AI$505,"&lt;="&amp;$A181,実績!$AJ$6:$AJ$505,"&gt;"&amp;$A181,実績!$AL$6:$AL$505,"○")&gt;0,1,0))</f>
        <v>0</v>
      </c>
      <c r="AL181" s="39" t="n">
        <f aca="false">IF(AL$4=0,0,IF(COUNTIFS(実績!$W$6:$W$505,AL$3,実績!$AI$6:$AI$505,"&lt;="&amp;$A181,実績!$AJ$6:$AJ$505,"&gt;"&amp;$A181,実績!$AL$6:$AL$505,"○")&gt;0,1,0))</f>
        <v>0</v>
      </c>
      <c r="AM181" s="39" t="n">
        <f aca="false">IF(AM$4=0,0,IF(COUNTIFS(実績!$W$6:$W$505,AM$3,実績!$AI$6:$AI$505,"&lt;="&amp;$A181,実績!$AJ$6:$AJ$505,"&gt;"&amp;$A181,実績!$AL$6:$AL$505,"○")&gt;0,1,0))</f>
        <v>0</v>
      </c>
      <c r="AN181" s="39" t="n">
        <f aca="false">IF(AN$4=0,0,IF(COUNTIFS(実績!$W$6:$W$505,AN$3,実績!$AI$6:$AI$505,"&lt;="&amp;$A181,実績!$AJ$6:$AJ$505,"&gt;"&amp;$A181,実績!$AL$6:$AL$505,"○")&gt;0,1,0))</f>
        <v>0</v>
      </c>
      <c r="AO181" s="39" t="n">
        <f aca="false">IF(AO$4=0,0,IF(COUNTIFS(実績!$W$6:$W$505,AO$3,実績!$AI$6:$AI$505,"&lt;="&amp;$A181,実績!$AJ$6:$AJ$505,"&gt;"&amp;$A181,実績!$AL$6:$AL$505,"○")&gt;0,1,0))</f>
        <v>0</v>
      </c>
      <c r="AP181" s="39" t="n">
        <f aca="false">IF(AP$4=0,0,IF(COUNTIFS(実績!$W$6:$W$505,AP$3,実績!$AI$6:$AI$505,"&lt;="&amp;$A181,実績!$AJ$6:$AJ$505,"&gt;"&amp;$A181,実績!$AL$6:$AL$505,"○")&gt;0,1,0))</f>
        <v>0</v>
      </c>
      <c r="AQ181" s="39" t="n">
        <f aca="false">IF(AQ$4=0,0,IF(COUNTIFS(実績!$W$6:$W$505,AQ$3,実績!$AI$6:$AI$505,"&lt;="&amp;$A181,実績!$AJ$6:$AJ$505,"&gt;"&amp;$A181,実績!$AL$6:$AL$505,"○")&gt;0,1,0))</f>
        <v>0</v>
      </c>
      <c r="AR181" s="39" t="n">
        <f aca="false">IF(AR$4=0,0,IF(COUNTIFS(実績!$W$6:$W$505,AR$3,実績!$AI$6:$AI$505,"&lt;="&amp;$A181,実績!$AJ$6:$AJ$505,"&gt;"&amp;$A181,実績!$AL$6:$AL$505,"○")&gt;0,1,0))</f>
        <v>0</v>
      </c>
      <c r="AS181" s="39" t="n">
        <f aca="false">IF(AS$4=0,0,IF(COUNTIFS(実績!$W$6:$W$505,AS$3,実績!$AI$6:$AI$505,"&lt;="&amp;$A181,実績!$AJ$6:$AJ$505,"&gt;"&amp;$A181,実績!$AL$6:$AL$505,"○")&gt;0,1,0))</f>
        <v>0</v>
      </c>
      <c r="AT181" s="39" t="n">
        <f aca="false">IF(AT$4=0,0,IF(COUNTIFS(実績!$W$6:$W$505,AT$3,実績!$AI$6:$AI$505,"&lt;="&amp;$A181,実績!$AJ$6:$AJ$505,"&gt;"&amp;$A181,実績!$AL$6:$AL$505,"○")&gt;0,1,0))</f>
        <v>0</v>
      </c>
      <c r="AU181" s="39" t="n">
        <f aca="false">IF(AU$4=0,0,IF(COUNTIFS(実績!$W$6:$W$505,AU$3,実績!$AI$6:$AI$505,"&lt;="&amp;$A181,実績!$AJ$6:$AJ$505,"&gt;"&amp;$A181,実績!$AL$6:$AL$505,"○")&gt;0,1,0))</f>
        <v>0</v>
      </c>
      <c r="AV181" s="39" t="n">
        <f aca="false">IF(AV$4=0,0,IF(COUNTIFS(実績!$W$6:$W$505,AV$3,実績!$AI$6:$AI$505,"&lt;="&amp;$A181,実績!$AJ$6:$AJ$505,"&gt;"&amp;$A181,実績!$AL$6:$AL$505,"○")&gt;0,1,0))</f>
        <v>0</v>
      </c>
      <c r="AW181" s="39" t="n">
        <f aca="false">IF(AW$4=0,0,IF(COUNTIFS(実績!$W$6:$W$505,AW$3,実績!$AI$6:$AI$505,"&lt;="&amp;$A181,実績!$AJ$6:$AJ$505,"&gt;"&amp;$A181,実績!$AL$6:$AL$505,"○")&gt;0,1,0))</f>
        <v>0</v>
      </c>
      <c r="AX181" s="39" t="n">
        <f aca="false">IF(AX$4=0,0,IF(COUNTIFS(実績!$W$6:$W$505,AX$3,実績!$AI$6:$AI$505,"&lt;="&amp;$A181,実績!$AJ$6:$AJ$505,"&gt;"&amp;$A181,実績!$AL$6:$AL$505,"○")&gt;0,1,0))</f>
        <v>0</v>
      </c>
      <c r="AY181" s="39" t="n">
        <f aca="false">IF(AY$4=0,0,IF(COUNTIFS(実績!$W$6:$W$505,AY$3,実績!$AI$6:$AI$505,"&lt;="&amp;$A181,実績!$AJ$6:$AJ$505,"&gt;"&amp;$A181,実績!$AL$6:$AL$505,"○")&gt;0,1,0))</f>
        <v>0</v>
      </c>
      <c r="AZ181" s="39" t="n">
        <f aca="false">IF(AZ$4=0,0,IF(COUNTIFS(実績!$W$6:$W$505,AZ$3,実績!$AI$6:$AI$505,"&lt;="&amp;$A181,実績!$AJ$6:$AJ$505,"&gt;"&amp;$A181,実績!$AL$6:$AL$505,"○")&gt;0,1,0))</f>
        <v>0</v>
      </c>
      <c r="BA181" s="39" t="n">
        <f aca="false">IF(BA$4=0,0,IF(COUNTIFS(実績!$W$6:$W$505,BA$3,実績!$AI$6:$AI$505,"&lt;="&amp;$A181,実績!$AJ$6:$AJ$505,"&gt;"&amp;$A181,実績!$AL$6:$AL$505,"○")&gt;0,1,0))</f>
        <v>0</v>
      </c>
      <c r="BB181" s="39" t="n">
        <f aca="false">IF(BB$4=0,0,IF(COUNTIFS(実績!$W$6:$W$505,BB$3,実績!$AI$6:$AI$505,"&lt;="&amp;$A181,実績!$AJ$6:$AJ$505,"&gt;"&amp;$A181,実績!$AL$6:$AL$505,"○")&gt;0,1,0))</f>
        <v>0</v>
      </c>
      <c r="BC181" s="39" t="n">
        <f aca="false">IF(BC$4=0,0,IF(COUNTIFS(実績!$W$6:$W$505,BC$3,実績!$AI$6:$AI$505,"&lt;="&amp;$A181,実績!$AJ$6:$AJ$505,"&gt;"&amp;$A181,実績!$AL$6:$AL$505,"○")&gt;0,1,0))</f>
        <v>0</v>
      </c>
      <c r="BD181" s="39" t="n">
        <f aca="false">IF(BD$4=0,0,IF(COUNTIFS(実績!$W$6:$W$505,BD$3,実績!$AI$6:$AI$505,"&lt;="&amp;$A181,実績!$AJ$6:$AJ$505,"&gt;"&amp;$A181,実績!$AL$6:$AL$505,"○")&gt;0,1,0))</f>
        <v>0</v>
      </c>
      <c r="BE181" s="39" t="n">
        <f aca="false">IF(BE$4=0,0,IF(COUNTIFS(実績!$W$6:$W$505,BE$3,実績!$AI$6:$AI$505,"&lt;="&amp;$A181,実績!$AJ$6:$AJ$505,"&gt;"&amp;$A181,実績!$AL$6:$AL$505,"○")&gt;0,1,0))</f>
        <v>0</v>
      </c>
      <c r="BF181" s="39" t="n">
        <f aca="false">IF(BF$4=0,0,IF(COUNTIFS(実績!$W$6:$W$505,BF$3,実績!$AI$6:$AI$505,"&lt;="&amp;$A181,実績!$AJ$6:$AJ$505,"&gt;"&amp;$A181,実績!$AL$6:$AL$505,"○")&gt;0,1,0))</f>
        <v>0</v>
      </c>
      <c r="BG181" s="39" t="n">
        <f aca="false">IF(BG$4=0,0,IF(COUNTIFS(実績!$W$6:$W$505,BG$3,実績!$AI$6:$AI$505,"&lt;="&amp;$A181,実績!$AJ$6:$AJ$505,"&gt;"&amp;$A181,実績!$AL$6:$AL$505,"○")&gt;0,1,0))</f>
        <v>0</v>
      </c>
      <c r="BH181" s="39" t="n">
        <f aca="false">IF(BH$4=0,0,IF(COUNTIFS(実績!$W$6:$W$505,BH$3,実績!$AI$6:$AI$505,"&lt;="&amp;$A181,実績!$AJ$6:$AJ$505,"&gt;"&amp;$A181,実績!$AL$6:$AL$505,"○")&gt;0,1,0))</f>
        <v>0</v>
      </c>
      <c r="BI181" s="39" t="n">
        <f aca="false">IF(BI$4=0,0,IF(COUNTIFS(実績!$W$6:$W$505,BI$3,実績!$AI$6:$AI$505,"&lt;="&amp;$A181,実績!$AJ$6:$AJ$505,"&gt;"&amp;$A181,実績!$AL$6:$AL$505,"○")&gt;0,1,0))</f>
        <v>0</v>
      </c>
      <c r="BJ181" s="39" t="n">
        <f aca="false">IF(BJ$4=0,0,IF(COUNTIFS(実績!$W$6:$W$505,BJ$3,実績!$AI$6:$AI$505,"&lt;="&amp;$A181,実績!$AJ$6:$AJ$505,"&gt;"&amp;$A181,実績!$AL$6:$AL$505,"○")&gt;0,1,0))</f>
        <v>0</v>
      </c>
      <c r="BK181" s="39" t="n">
        <f aca="false">IF(BK$4=0,0,IF(COUNTIFS(実績!$W$6:$W$505,BK$3,実績!$AI$6:$AI$505,"&lt;="&amp;$A181,実績!$AJ$6:$AJ$505,"&gt;"&amp;$A181,実績!$AL$6:$AL$505,"○")&gt;0,1,0))</f>
        <v>0</v>
      </c>
      <c r="BL181" s="39" t="n">
        <f aca="false">IF(BL$4=0,0,IF(COUNTIFS(実績!$W$6:$W$505,BL$3,実績!$AI$6:$AI$505,"&lt;="&amp;$A181,実績!$AJ$6:$AJ$505,"&gt;"&amp;$A181,実績!$AL$6:$AL$505,"○")&gt;0,1,0))</f>
        <v>0</v>
      </c>
      <c r="BM181" s="39" t="n">
        <f aca="false">IF(BM$4=0,0,IF(COUNTIFS(実績!$W$6:$W$505,BM$3,実績!$AI$6:$AI$505,"&lt;="&amp;$A181,実績!$AJ$6:$AJ$505,"&gt;"&amp;$A181,実績!$AL$6:$AL$505,"○")&gt;0,1,0))</f>
        <v>0</v>
      </c>
      <c r="BN181" s="39" t="n">
        <f aca="false">IF(BN$4=0,0,IF(COUNTIFS(実績!$W$6:$W$505,BN$3,実績!$AI$6:$AI$505,"&lt;="&amp;$A181,実績!$AJ$6:$AJ$505,"&gt;"&amp;$A181,実績!$AL$6:$AL$505,"○")&gt;0,1,0))</f>
        <v>0</v>
      </c>
      <c r="BO181" s="39" t="n">
        <f aca="false">IF(BO$4=0,0,IF(COUNTIFS(実績!$W$6:$W$505,BO$3,実績!$AI$6:$AI$505,"&lt;="&amp;$A181,実績!$AJ$6:$AJ$505,"&gt;"&amp;$A181,実績!$AL$6:$AL$505,"○")&gt;0,1,0))</f>
        <v>0</v>
      </c>
      <c r="BP181" s="39" t="n">
        <f aca="false">IF(BP$4=0,0,IF(COUNTIFS(実績!$W$6:$W$505,BP$3,実績!$AI$6:$AI$505,"&lt;="&amp;$A181,実績!$AJ$6:$AJ$505,"&gt;"&amp;$A181,実績!$AL$6:$AL$505,"○")&gt;0,1,0))</f>
        <v>0</v>
      </c>
      <c r="BQ181" s="39" t="n">
        <f aca="false">IF(BQ$4=0,0,IF(COUNTIFS(実績!$W$6:$W$505,BQ$3,実績!$AI$6:$AI$505,"&lt;="&amp;$A181,実績!$AJ$6:$AJ$505,"&gt;"&amp;$A181,実績!$AL$6:$AL$505,"○")&gt;0,1,0))</f>
        <v>0</v>
      </c>
      <c r="BR181" s="39" t="n">
        <f aca="false">IF(BR$4=0,0,IF(COUNTIFS(実績!$W$6:$W$505,BR$3,実績!$AI$6:$AI$505,"&lt;="&amp;$A181,実績!$AJ$6:$AJ$505,"&gt;"&amp;$A181,実績!$AL$6:$AL$505,"○")&gt;0,1,0))</f>
        <v>0</v>
      </c>
      <c r="BS181" s="39" t="n">
        <f aca="false">IF(BS$4=0,0,IF(COUNTIFS(実績!$W$6:$W$505,BS$3,実績!$AI$6:$AI$505,"&lt;="&amp;$A181,実績!$AJ$6:$AJ$505,"&gt;"&amp;$A181,実績!$AL$6:$AL$505,"○")&gt;0,1,0))</f>
        <v>0</v>
      </c>
      <c r="BT181" s="39" t="n">
        <f aca="false">IF(BT$4=0,0,IF(COUNTIFS(実績!$W$6:$W$505,BT$3,実績!$AI$6:$AI$505,"&lt;="&amp;$A181,実績!$AJ$6:$AJ$505,"&gt;"&amp;$A181,実績!$AL$6:$AL$505,"○")&gt;0,1,0))</f>
        <v>0</v>
      </c>
      <c r="BU181" s="39" t="n">
        <f aca="false">IF(BU$4=0,0,IF(COUNTIFS(実績!$W$6:$W$505,BU$3,実績!$AI$6:$AI$505,"&lt;="&amp;$A181,実績!$AJ$6:$AJ$505,"&gt;"&amp;$A181,実績!$AL$6:$AL$505,"○")&gt;0,1,0))</f>
        <v>0</v>
      </c>
      <c r="BV181" s="39" t="n">
        <f aca="false">IF(BV$4=0,0,IF(COUNTIFS(実績!$W$6:$W$505,BV$3,実績!$AI$6:$AI$505,"&lt;="&amp;$A181,実績!$AJ$6:$AJ$505,"&gt;"&amp;$A181,実績!$AL$6:$AL$505,"○")&gt;0,1,0))</f>
        <v>0</v>
      </c>
      <c r="BW181" s="39" t="n">
        <f aca="false">IF(BW$4=0,0,IF(COUNTIFS(実績!$W$6:$W$505,BW$3,実績!$AI$6:$AI$505,"&lt;="&amp;$A181,実績!$AJ$6:$AJ$505,"&gt;"&amp;$A181,実績!$AL$6:$AL$505,"○")&gt;0,1,0))</f>
        <v>0</v>
      </c>
      <c r="BX181" s="39" t="n">
        <f aca="false">IF(BX$4=0,0,IF(COUNTIFS(実績!$W$6:$W$505,BX$3,実績!$AI$6:$AI$505,"&lt;="&amp;$A181,実績!$AJ$6:$AJ$505,"&gt;"&amp;$A181,実績!$AL$6:$AL$505,"○")&gt;0,1,0))</f>
        <v>0</v>
      </c>
      <c r="BY181" s="39" t="n">
        <f aca="false">IF(BY$4=0,0,IF(COUNTIFS(実績!$W$6:$W$505,BY$3,実績!$AI$6:$AI$505,"&lt;="&amp;$A181,実績!$AJ$6:$AJ$505,"&gt;"&amp;$A181,実績!$AL$6:$AL$505,"○")&gt;0,1,0))</f>
        <v>0</v>
      </c>
      <c r="BZ181" s="39" t="n">
        <f aca="false">IF(BZ$4=0,0,IF(COUNTIFS(実績!$W$6:$W$505,BZ$3,実績!$AI$6:$AI$505,"&lt;="&amp;$A181,実績!$AJ$6:$AJ$505,"&gt;"&amp;$A181,実績!$AL$6:$AL$505,"○")&gt;0,1,0))</f>
        <v>0</v>
      </c>
      <c r="CA181" s="39" t="n">
        <f aca="false">IF(CA$4=0,0,IF(COUNTIFS(実績!$W$6:$W$505,CA$3,実績!$AI$6:$AI$505,"&lt;="&amp;$A181,実績!$AJ$6:$AJ$505,"&gt;"&amp;$A181,実績!$AL$6:$AL$505,"○")&gt;0,1,0))</f>
        <v>0</v>
      </c>
      <c r="CB181" s="39" t="n">
        <f aca="false">IF(CB$4=0,0,IF(COUNTIFS(実績!$W$6:$W$505,CB$3,実績!$AI$6:$AI$505,"&lt;="&amp;$A181,実績!$AJ$6:$AJ$505,"&gt;"&amp;$A181,実績!$AL$6:$AL$505,"○")&gt;0,1,0))</f>
        <v>0</v>
      </c>
      <c r="CC181" s="39" t="n">
        <f aca="false">IF(CC$4=0,0,IF(COUNTIFS(実績!$W$6:$W$505,CC$3,実績!$AI$6:$AI$505,"&lt;="&amp;$A181,実績!$AJ$6:$AJ$505,"&gt;"&amp;$A181,実績!$AL$6:$AL$505,"○")&gt;0,1,0))</f>
        <v>0</v>
      </c>
      <c r="CD181" s="39" t="n">
        <f aca="false">IF(CD$4=0,0,IF(COUNTIFS(実績!$W$6:$W$505,CD$3,実績!$AI$6:$AI$505,"&lt;="&amp;$A181,実績!$AJ$6:$AJ$505,"&gt;"&amp;$A181,実績!$AL$6:$AL$505,"○")&gt;0,1,0))</f>
        <v>0</v>
      </c>
      <c r="CE181" s="39" t="n">
        <f aca="false">IF(CE$4=0,0,IF(COUNTIFS(実績!$W$6:$W$505,CE$3,実績!$AI$6:$AI$505,"&lt;="&amp;$A181,実績!$AJ$6:$AJ$505,"&gt;"&amp;$A181,実績!$AL$6:$AL$505,"○")&gt;0,1,0))</f>
        <v>0</v>
      </c>
      <c r="CF181" s="39" t="n">
        <f aca="false">IF(CF$4=0,0,IF(COUNTIFS(実績!$W$6:$W$505,CF$3,実績!$AI$6:$AI$505,"&lt;="&amp;$A181,実績!$AJ$6:$AJ$505,"&gt;"&amp;$A181,実績!$AL$6:$AL$505,"○")&gt;0,1,0))</f>
        <v>0</v>
      </c>
      <c r="CG181" s="39" t="n">
        <f aca="false">IF(CG$4=0,0,IF(COUNTIFS(実績!$W$6:$W$505,CG$3,実績!$AI$6:$AI$505,"&lt;="&amp;$A181,実績!$AJ$6:$AJ$505,"&gt;"&amp;$A181,実績!$AL$6:$AL$505,"○")&gt;0,1,0))</f>
        <v>0</v>
      </c>
      <c r="CH181" s="39" t="n">
        <f aca="false">IF(CH$4=0,0,IF(COUNTIFS(実績!$W$6:$W$505,CH$3,実績!$AI$6:$AI$505,"&lt;="&amp;$A181,実績!$AJ$6:$AJ$505,"&gt;"&amp;$A181,実績!$AL$6:$AL$505,"○")&gt;0,1,0))</f>
        <v>0</v>
      </c>
      <c r="CI181" s="39" t="n">
        <f aca="false">IF(CI$4=0,0,IF(COUNTIFS(実績!$W$6:$W$505,CI$3,実績!$AI$6:$AI$505,"&lt;="&amp;$A181,実績!$AJ$6:$AJ$505,"&gt;"&amp;$A181,実績!$AL$6:$AL$505,"○")&gt;0,1,0))</f>
        <v>0</v>
      </c>
      <c r="CJ181" s="39" t="n">
        <f aca="false">IF(CJ$4=0,0,IF(COUNTIFS(実績!$W$6:$W$505,CJ$3,実績!$AI$6:$AI$505,"&lt;="&amp;$A181,実績!$AJ$6:$AJ$505,"&gt;"&amp;$A181,実績!$AL$6:$AL$505,"○")&gt;0,1,0))</f>
        <v>0</v>
      </c>
      <c r="CK181" s="39" t="n">
        <f aca="false">IF(CK$4=0,0,IF(COUNTIFS(実績!$W$6:$W$505,CK$3,実績!$AI$6:$AI$505,"&lt;="&amp;$A181,実績!$AJ$6:$AJ$505,"&gt;"&amp;$A181,実績!$AL$6:$AL$505,"○")&gt;0,1,0))</f>
        <v>0</v>
      </c>
      <c r="CL181" s="39" t="n">
        <f aca="false">IF(CL$4=0,0,IF(COUNTIFS(実績!$W$6:$W$505,CL$3,実績!$AI$6:$AI$505,"&lt;="&amp;$A181,実績!$AJ$6:$AJ$505,"&gt;"&amp;$A181,実績!$AL$6:$AL$505,"○")&gt;0,1,0))</f>
        <v>0</v>
      </c>
      <c r="CM181" s="39" t="n">
        <f aca="false">IF(CM$4=0,0,IF(COUNTIFS(実績!$W$6:$W$505,CM$3,実績!$AI$6:$AI$505,"&lt;="&amp;$A181,実績!$AJ$6:$AJ$505,"&gt;"&amp;$A181,実績!$AL$6:$AL$505,"○")&gt;0,1,0))</f>
        <v>0</v>
      </c>
      <c r="CN181" s="39" t="n">
        <f aca="false">IF(CN$4=0,0,IF(COUNTIFS(実績!$W$6:$W$505,CN$3,実績!$AI$6:$AI$505,"&lt;="&amp;$A181,実績!$AJ$6:$AJ$505,"&gt;"&amp;$A181,実績!$AL$6:$AL$505,"○")&gt;0,1,0))</f>
        <v>0</v>
      </c>
      <c r="CO181" s="39" t="n">
        <f aca="false">IF(CO$4=0,0,IF(COUNTIFS(実績!$W$6:$W$505,CO$3,実績!$AI$6:$AI$505,"&lt;="&amp;$A181,実績!$AJ$6:$AJ$505,"&gt;"&amp;$A181,実績!$AL$6:$AL$505,"○")&gt;0,1,0))</f>
        <v>0</v>
      </c>
      <c r="CP181" s="39" t="n">
        <f aca="false">IF(CP$4=0,0,IF(COUNTIFS(実績!$W$6:$W$505,CP$3,実績!$AI$6:$AI$505,"&lt;="&amp;$A181,実績!$AJ$6:$AJ$505,"&gt;"&amp;$A181,実績!$AL$6:$AL$505,"○")&gt;0,1,0))</f>
        <v>0</v>
      </c>
      <c r="CQ181" s="39" t="n">
        <f aca="false">IF(CQ$4=0,0,IF(COUNTIFS(実績!$W$6:$W$505,CQ$3,実績!$AI$6:$AI$505,"&lt;="&amp;$A181,実績!$AJ$6:$AJ$505,"&gt;"&amp;$A181,実績!$AL$6:$AL$505,"○")&gt;0,1,0))</f>
        <v>0</v>
      </c>
      <c r="CR181" s="39" t="n">
        <f aca="false">IF(CR$4=0,0,IF(COUNTIFS(実績!$W$6:$W$505,CR$3,実績!$AI$6:$AI$505,"&lt;="&amp;$A181,実績!$AJ$6:$AJ$505,"&gt;"&amp;$A181,実績!$AL$6:$AL$505,"○")&gt;0,1,0))</f>
        <v>0</v>
      </c>
      <c r="CS181" s="39" t="n">
        <f aca="false">IF(CS$4=0,0,IF(COUNTIFS(実績!$W$6:$W$505,CS$3,実績!$AI$6:$AI$505,"&lt;="&amp;$A181,実績!$AJ$6:$AJ$505,"&gt;"&amp;$A181,実績!$AL$6:$AL$505,"○")&gt;0,1,0))</f>
        <v>0</v>
      </c>
      <c r="CT181" s="39" t="n">
        <f aca="false">IF(CT$4=0,0,IF(COUNTIFS(実績!$W$6:$W$505,CT$3,実績!$AI$6:$AI$505,"&lt;="&amp;$A181,実績!$AJ$6:$AJ$505,"&gt;"&amp;$A181,実績!$AL$6:$AL$505,"○")&gt;0,1,0))</f>
        <v>0</v>
      </c>
      <c r="CU181" s="39" t="n">
        <f aca="false">IF(CU$4=0,0,IF(COUNTIFS(実績!$W$6:$W$505,CU$3,実績!$AI$6:$AI$505,"&lt;="&amp;$A181,実績!$AJ$6:$AJ$505,"&gt;"&amp;$A181,実績!$AL$6:$AL$505,"○")&gt;0,1,0))</f>
        <v>0</v>
      </c>
      <c r="CV181" s="39" t="n">
        <f aca="false">IF(CV$4=0,0,IF(COUNTIFS(実績!$W$6:$W$505,CV$3,実績!$AI$6:$AI$505,"&lt;="&amp;$A181,実績!$AJ$6:$AJ$505,"&gt;"&amp;$A181,実績!$AL$6:$AL$505,"○")&gt;0,1,0))</f>
        <v>0</v>
      </c>
      <c r="CW181" s="39" t="n">
        <f aca="false">IF(CW$4=0,0,IF(COUNTIFS(実績!$W$6:$W$505,CW$3,実績!$AI$6:$AI$505,"&lt;="&amp;$A181,実績!$AJ$6:$AJ$505,"&gt;"&amp;$A181,実績!$AL$6:$AL$505,"○")&gt;0,1,0))</f>
        <v>0</v>
      </c>
      <c r="CX181" s="39" t="n">
        <f aca="false">IF(CX$4=0,0,IF(COUNTIFS(実績!$W$6:$W$505,CX$3,実績!$AI$6:$AI$505,"&lt;="&amp;$A181,実績!$AJ$6:$AJ$505,"&gt;"&amp;$A181,実績!$AL$6:$AL$505,"○")&gt;0,1,0))</f>
        <v>0</v>
      </c>
      <c r="CY181" s="39" t="n">
        <f aca="false">IF(CY$4=0,0,IF(COUNTIFS(実績!$W$6:$W$505,CY$3,実績!$AI$6:$AI$505,"&lt;="&amp;$A181,実績!$AJ$6:$AJ$505,"&gt;"&amp;$A181,実績!$AL$6:$AL$505,"○")&gt;0,1,0))</f>
        <v>0</v>
      </c>
      <c r="CZ181" s="39" t="n">
        <f aca="false">IF(CZ$4=0,0,IF(COUNTIFS(実績!$W$6:$W$505,CZ$3,実績!$AI$6:$AI$505,"&lt;="&amp;$A181,実績!$AJ$6:$AJ$505,"&gt;"&amp;$A181,実績!$AL$6:$AL$505,"○")&gt;0,1,0))</f>
        <v>0</v>
      </c>
      <c r="DA181" s="39" t="n">
        <f aca="false">IF(DA$4=0,0,IF(COUNTIFS(実績!$W$6:$W$505,DA$3,実績!$AI$6:$AI$505,"&lt;="&amp;$A181,実績!$AJ$6:$AJ$505,"&gt;"&amp;$A181,実績!$AL$6:$AL$505,"○")&gt;0,1,0))</f>
        <v>0</v>
      </c>
      <c r="DB181" s="39" t="n">
        <f aca="false">IF(DB$4=0,0,IF(COUNTIFS(実績!$W$6:$W$505,DB$3,実績!$AI$6:$AI$505,"&lt;="&amp;$A181,実績!$AJ$6:$AJ$505,"&gt;"&amp;$A181,実績!$AL$6:$AL$505,"○")&gt;0,1,0))</f>
        <v>0</v>
      </c>
      <c r="DC181" s="39" t="n">
        <f aca="false">IF(DC$4=0,0,IF(COUNTIFS(実績!$W$6:$W$505,DC$3,実績!$AI$6:$AI$505,"&lt;="&amp;$A181,実績!$AJ$6:$AJ$505,"&gt;"&amp;$A181,実績!$AL$6:$AL$505,"○")&gt;0,1,0))</f>
        <v>0</v>
      </c>
      <c r="DD181" s="39" t="n">
        <f aca="false">IF(DD$4=0,0,IF(COUNTIFS(実績!$W$6:$W$505,DD$3,実績!$AI$6:$AI$505,"&lt;="&amp;$A181,実績!$AJ$6:$AJ$505,"&gt;"&amp;$A181,実績!$AL$6:$AL$505,"○")&gt;0,1,0))</f>
        <v>0</v>
      </c>
      <c r="DE181" s="39" t="n">
        <f aca="false">IF(DE$4=0,0,IF(COUNTIFS(実績!$W$6:$W$505,DE$3,実績!$AI$6:$AI$505,"&lt;="&amp;$A181,実績!$AJ$6:$AJ$505,"&gt;"&amp;$A181,実績!$AL$6:$AL$505,"○")&gt;0,1,0))</f>
        <v>0</v>
      </c>
      <c r="DF181" s="39" t="n">
        <f aca="false">IF(DF$4=0,0,IF(COUNTIFS(実績!$W$6:$W$505,DF$3,実績!$AI$6:$AI$505,"&lt;="&amp;$A181,実績!$AJ$6:$AJ$505,"&gt;"&amp;$A181,実績!$AL$6:$AL$505,"○")&gt;0,1,0))</f>
        <v>0</v>
      </c>
      <c r="DG181" s="39" t="n">
        <f aca="false">IF(DG$4=0,0,IF(COUNTIFS(実績!$W$6:$W$505,DG$3,実績!$AI$6:$AI$505,"&lt;="&amp;$A181,実績!$AJ$6:$AJ$505,"&gt;"&amp;$A181,実績!$AL$6:$AL$505,"○")&gt;0,1,0))</f>
        <v>0</v>
      </c>
      <c r="DH181" s="39" t="n">
        <f aca="false">IF(DH$4=0,0,IF(COUNTIFS(実績!$W$6:$W$505,DH$3,実績!$AI$6:$AI$505,"&lt;="&amp;$A181,実績!$AJ$6:$AJ$505,"&gt;"&amp;$A181,実績!$AL$6:$AL$505,"○")&gt;0,1,0))</f>
        <v>0</v>
      </c>
      <c r="DI181" s="39" t="n">
        <f aca="false">IF(DI$4=0,0,IF(COUNTIFS(実績!$W$6:$W$505,DI$3,実績!$AI$6:$AI$505,"&lt;="&amp;$A181,実績!$AJ$6:$AJ$505,"&gt;"&amp;$A181,実績!$AL$6:$AL$505,"○")&gt;0,1,0))</f>
        <v>0</v>
      </c>
      <c r="DJ181" s="39" t="n">
        <f aca="false">IF(DJ$4=0,0,IF(COUNTIFS(実績!$W$6:$W$505,DJ$3,実績!$AI$6:$AI$505,"&lt;="&amp;$A181,実績!$AJ$6:$AJ$505,"&gt;"&amp;$A181,実績!$AL$6:$AL$505,"○")&gt;0,1,0))</f>
        <v>0</v>
      </c>
      <c r="DK181" s="39" t="n">
        <f aca="false">IF(DK$4=0,0,IF(COUNTIFS(実績!$W$6:$W$505,DK$3,実績!$AI$6:$AI$505,"&lt;="&amp;$A181,実績!$AJ$6:$AJ$505,"&gt;"&amp;$A181,実績!$AL$6:$AL$505,"○")&gt;0,1,0))</f>
        <v>0</v>
      </c>
      <c r="DL181" s="39" t="n">
        <f aca="false">IF(DL$4=0,0,IF(COUNTIFS(実績!$W$6:$W$505,DL$3,実績!$AI$6:$AI$505,"&lt;="&amp;$A181,実績!$AJ$6:$AJ$505,"&gt;"&amp;$A181,実績!$AL$6:$AL$505,"○")&gt;0,1,0))</f>
        <v>0</v>
      </c>
      <c r="DM181" s="39" t="n">
        <f aca="false">IF(DM$4=0,0,IF(COUNTIFS(実績!$W$6:$W$505,DM$3,実績!$AI$6:$AI$505,"&lt;="&amp;$A181,実績!$AJ$6:$AJ$505,"&gt;"&amp;$A181,実績!$AL$6:$AL$505,"○")&gt;0,1,0))</f>
        <v>0</v>
      </c>
      <c r="DN181" s="39" t="n">
        <f aca="false">IF(DN$4=0,0,IF(COUNTIFS(実績!$W$6:$W$505,DN$3,実績!$AI$6:$AI$505,"&lt;="&amp;$A181,実績!$AJ$6:$AJ$505,"&gt;"&amp;$A181,実績!$AL$6:$AL$505,"○")&gt;0,1,0))</f>
        <v>0</v>
      </c>
      <c r="DO181" s="39" t="n">
        <f aca="false">IF(DO$4=0,0,IF(COUNTIFS(実績!$W$6:$W$505,DO$3,実績!$AI$6:$AI$505,"&lt;="&amp;$A181,実績!$AJ$6:$AJ$505,"&gt;"&amp;$A181,実績!$AL$6:$AL$505,"○")&gt;0,1,0))</f>
        <v>0</v>
      </c>
      <c r="DP181" s="39" t="n">
        <f aca="false">IF(DP$4=0,0,IF(COUNTIFS(実績!$W$6:$W$505,DP$3,実績!$AI$6:$AI$505,"&lt;="&amp;$A181,実績!$AJ$6:$AJ$505,"&gt;"&amp;$A181,実績!$AL$6:$AL$505,"○")&gt;0,1,0))</f>
        <v>0</v>
      </c>
      <c r="DQ181" s="39" t="n">
        <f aca="false">IF(DQ$4=0,0,IF(COUNTIFS(実績!$W$6:$W$505,DQ$3,実績!$AI$6:$AI$505,"&lt;="&amp;$A181,実績!$AJ$6:$AJ$505,"&gt;"&amp;$A181,実績!$AL$6:$AL$505,"○")&gt;0,1,0))</f>
        <v>0</v>
      </c>
      <c r="DR181" s="39" t="n">
        <f aca="false">IF(DR$4=0,0,IF(COUNTIFS(実績!$W$6:$W$505,DR$3,実績!$AI$6:$AI$505,"&lt;="&amp;$A181,実績!$AJ$6:$AJ$505,"&gt;"&amp;$A181,実績!$AL$6:$AL$505,"○")&gt;0,1,0))</f>
        <v>0</v>
      </c>
      <c r="DS181" s="39" t="n">
        <f aca="false">SUM(C181:DR181)</f>
        <v>0</v>
      </c>
    </row>
    <row r="182" customFormat="false" ht="15" hidden="false" customHeight="false" outlineLevel="0" collapsed="false">
      <c r="A182" s="0" t="n">
        <v>880</v>
      </c>
      <c r="B182" s="38" t="n">
        <f aca="false">A182/1440</f>
        <v>0.611111111111111</v>
      </c>
      <c r="C182" s="39" t="n">
        <f aca="false">IF(C$4=0,0,IF(COUNTIFS(実績!$W$6:$W$505,C$3,実績!$AI$6:$AI$505,"&lt;="&amp;$A182,実績!$AJ$6:$AJ$505,"&gt;"&amp;$A182,実績!$AL$6:$AL$505,"○")&gt;0,1,0))</f>
        <v>0</v>
      </c>
      <c r="D182" s="39" t="n">
        <f aca="false">IF(D$4=0,0,IF(COUNTIFS(実績!$W$6:$W$505,D$3,実績!$AI$6:$AI$505,"&lt;="&amp;$A182,実績!$AJ$6:$AJ$505,"&gt;"&amp;$A182,実績!$AL$6:$AL$505,"○")&gt;0,1,0))</f>
        <v>0</v>
      </c>
      <c r="E182" s="39" t="n">
        <f aca="false">IF(E$4=0,0,IF(COUNTIFS(実績!$W$6:$W$505,E$3,実績!$AI$6:$AI$505,"&lt;="&amp;$A182,実績!$AJ$6:$AJ$505,"&gt;"&amp;$A182,実績!$AL$6:$AL$505,"○")&gt;0,1,0))</f>
        <v>0</v>
      </c>
      <c r="F182" s="39" t="n">
        <f aca="false">IF(F$4=0,0,IF(COUNTIFS(実績!$W$6:$W$505,F$3,実績!$AI$6:$AI$505,"&lt;="&amp;$A182,実績!$AJ$6:$AJ$505,"&gt;"&amp;$A182,実績!$AL$6:$AL$505,"○")&gt;0,1,0))</f>
        <v>0</v>
      </c>
      <c r="G182" s="39" t="n">
        <f aca="false">IF(G$4=0,0,IF(COUNTIFS(実績!$W$6:$W$505,G$3,実績!$AI$6:$AI$505,"&lt;="&amp;$A182,実績!$AJ$6:$AJ$505,"&gt;"&amp;$A182,実績!$AL$6:$AL$505,"○")&gt;0,1,0))</f>
        <v>0</v>
      </c>
      <c r="H182" s="39" t="n">
        <f aca="false">IF(H$4=0,0,IF(COUNTIFS(実績!$W$6:$W$505,H$3,実績!$AI$6:$AI$505,"&lt;="&amp;$A182,実績!$AJ$6:$AJ$505,"&gt;"&amp;$A182,実績!$AL$6:$AL$505,"○")&gt;0,1,0))</f>
        <v>0</v>
      </c>
      <c r="I182" s="39" t="n">
        <f aca="false">IF(I$4=0,0,IF(COUNTIFS(実績!$W$6:$W$505,I$3,実績!$AI$6:$AI$505,"&lt;="&amp;$A182,実績!$AJ$6:$AJ$505,"&gt;"&amp;$A182,実績!$AL$6:$AL$505,"○")&gt;0,1,0))</f>
        <v>0</v>
      </c>
      <c r="J182" s="39" t="n">
        <f aca="false">IF(J$4=0,0,IF(COUNTIFS(実績!$W$6:$W$505,J$3,実績!$AI$6:$AI$505,"&lt;="&amp;$A182,実績!$AJ$6:$AJ$505,"&gt;"&amp;$A182,実績!$AL$6:$AL$505,"○")&gt;0,1,0))</f>
        <v>0</v>
      </c>
      <c r="K182" s="39" t="n">
        <f aca="false">IF(K$4=0,0,IF(COUNTIFS(実績!$W$6:$W$505,K$3,実績!$AI$6:$AI$505,"&lt;="&amp;$A182,実績!$AJ$6:$AJ$505,"&gt;"&amp;$A182,実績!$AL$6:$AL$505,"○")&gt;0,1,0))</f>
        <v>0</v>
      </c>
      <c r="L182" s="39" t="n">
        <f aca="false">IF(L$4=0,0,IF(COUNTIFS(実績!$W$6:$W$505,L$3,実績!$AI$6:$AI$505,"&lt;="&amp;$A182,実績!$AJ$6:$AJ$505,"&gt;"&amp;$A182,実績!$AL$6:$AL$505,"○")&gt;0,1,0))</f>
        <v>0</v>
      </c>
      <c r="M182" s="39" t="n">
        <f aca="false">IF(M$4=0,0,IF(COUNTIFS(実績!$W$6:$W$505,M$3,実績!$AI$6:$AI$505,"&lt;="&amp;$A182,実績!$AJ$6:$AJ$505,"&gt;"&amp;$A182,実績!$AL$6:$AL$505,"○")&gt;0,1,0))</f>
        <v>0</v>
      </c>
      <c r="N182" s="39" t="n">
        <f aca="false">IF(N$4=0,0,IF(COUNTIFS(実績!$W$6:$W$505,N$3,実績!$AI$6:$AI$505,"&lt;="&amp;$A182,実績!$AJ$6:$AJ$505,"&gt;"&amp;$A182,実績!$AL$6:$AL$505,"○")&gt;0,1,0))</f>
        <v>0</v>
      </c>
      <c r="O182" s="39" t="n">
        <f aca="false">IF(O$4=0,0,IF(COUNTIFS(実績!$W$6:$W$505,O$3,実績!$AI$6:$AI$505,"&lt;="&amp;$A182,実績!$AJ$6:$AJ$505,"&gt;"&amp;$A182,実績!$AL$6:$AL$505,"○")&gt;0,1,0))</f>
        <v>0</v>
      </c>
      <c r="P182" s="39" t="n">
        <f aca="false">IF(P$4=0,0,IF(COUNTIFS(実績!$W$6:$W$505,P$3,実績!$AI$6:$AI$505,"&lt;="&amp;$A182,実績!$AJ$6:$AJ$505,"&gt;"&amp;$A182,実績!$AL$6:$AL$505,"○")&gt;0,1,0))</f>
        <v>0</v>
      </c>
      <c r="Q182" s="39" t="n">
        <f aca="false">IF(Q$4=0,0,IF(COUNTIFS(実績!$W$6:$W$505,Q$3,実績!$AI$6:$AI$505,"&lt;="&amp;$A182,実績!$AJ$6:$AJ$505,"&gt;"&amp;$A182,実績!$AL$6:$AL$505,"○")&gt;0,1,0))</f>
        <v>0</v>
      </c>
      <c r="R182" s="39" t="n">
        <f aca="false">IF(R$4=0,0,IF(COUNTIFS(実績!$W$6:$W$505,R$3,実績!$AI$6:$AI$505,"&lt;="&amp;$A182,実績!$AJ$6:$AJ$505,"&gt;"&amp;$A182,実績!$AL$6:$AL$505,"○")&gt;0,1,0))</f>
        <v>0</v>
      </c>
      <c r="S182" s="39" t="n">
        <f aca="false">IF(S$4=0,0,IF(COUNTIFS(実績!$W$6:$W$505,S$3,実績!$AI$6:$AI$505,"&lt;="&amp;$A182,実績!$AJ$6:$AJ$505,"&gt;"&amp;$A182,実績!$AL$6:$AL$505,"○")&gt;0,1,0))</f>
        <v>0</v>
      </c>
      <c r="T182" s="39" t="n">
        <f aca="false">IF(T$4=0,0,IF(COUNTIFS(実績!$W$6:$W$505,T$3,実績!$AI$6:$AI$505,"&lt;="&amp;$A182,実績!$AJ$6:$AJ$505,"&gt;"&amp;$A182,実績!$AL$6:$AL$505,"○")&gt;0,1,0))</f>
        <v>0</v>
      </c>
      <c r="U182" s="39" t="n">
        <f aca="false">IF(U$4=0,0,IF(COUNTIFS(実績!$W$6:$W$505,U$3,実績!$AI$6:$AI$505,"&lt;="&amp;$A182,実績!$AJ$6:$AJ$505,"&gt;"&amp;$A182,実績!$AL$6:$AL$505,"○")&gt;0,1,0))</f>
        <v>0</v>
      </c>
      <c r="V182" s="39" t="n">
        <f aca="false">IF(V$4=0,0,IF(COUNTIFS(実績!$W$6:$W$505,V$3,実績!$AI$6:$AI$505,"&lt;="&amp;$A182,実績!$AJ$6:$AJ$505,"&gt;"&amp;$A182,実績!$AL$6:$AL$505,"○")&gt;0,1,0))</f>
        <v>0</v>
      </c>
      <c r="W182" s="39" t="n">
        <f aca="false">IF(W$4=0,0,IF(COUNTIFS(実績!$W$6:$W$505,W$3,実績!$AI$6:$AI$505,"&lt;="&amp;$A182,実績!$AJ$6:$AJ$505,"&gt;"&amp;$A182,実績!$AL$6:$AL$505,"○")&gt;0,1,0))</f>
        <v>0</v>
      </c>
      <c r="X182" s="39" t="n">
        <f aca="false">IF(X$4=0,0,IF(COUNTIFS(実績!$W$6:$W$505,X$3,実績!$AI$6:$AI$505,"&lt;="&amp;$A182,実績!$AJ$6:$AJ$505,"&gt;"&amp;$A182,実績!$AL$6:$AL$505,"○")&gt;0,1,0))</f>
        <v>0</v>
      </c>
      <c r="Y182" s="39" t="n">
        <f aca="false">IF(Y$4=0,0,IF(COUNTIFS(実績!$W$6:$W$505,Y$3,実績!$AI$6:$AI$505,"&lt;="&amp;$A182,実績!$AJ$6:$AJ$505,"&gt;"&amp;$A182,実績!$AL$6:$AL$505,"○")&gt;0,1,0))</f>
        <v>0</v>
      </c>
      <c r="Z182" s="39" t="n">
        <f aca="false">IF(Z$4=0,0,IF(COUNTIFS(実績!$W$6:$W$505,Z$3,実績!$AI$6:$AI$505,"&lt;="&amp;$A182,実績!$AJ$6:$AJ$505,"&gt;"&amp;$A182,実績!$AL$6:$AL$505,"○")&gt;0,1,0))</f>
        <v>0</v>
      </c>
      <c r="AA182" s="39" t="n">
        <f aca="false">IF(AA$4=0,0,IF(COUNTIFS(実績!$W$6:$W$505,AA$3,実績!$AI$6:$AI$505,"&lt;="&amp;$A182,実績!$AJ$6:$AJ$505,"&gt;"&amp;$A182,実績!$AL$6:$AL$505,"○")&gt;0,1,0))</f>
        <v>0</v>
      </c>
      <c r="AB182" s="39" t="n">
        <f aca="false">IF(AB$4=0,0,IF(COUNTIFS(実績!$W$6:$W$505,AB$3,実績!$AI$6:$AI$505,"&lt;="&amp;$A182,実績!$AJ$6:$AJ$505,"&gt;"&amp;$A182,実績!$AL$6:$AL$505,"○")&gt;0,1,0))</f>
        <v>0</v>
      </c>
      <c r="AC182" s="39" t="n">
        <f aca="false">IF(AC$4=0,0,IF(COUNTIFS(実績!$W$6:$W$505,AC$3,実績!$AI$6:$AI$505,"&lt;="&amp;$A182,実績!$AJ$6:$AJ$505,"&gt;"&amp;$A182,実績!$AL$6:$AL$505,"○")&gt;0,1,0))</f>
        <v>0</v>
      </c>
      <c r="AD182" s="39" t="n">
        <f aca="false">IF(AD$4=0,0,IF(COUNTIFS(実績!$W$6:$W$505,AD$3,実績!$AI$6:$AI$505,"&lt;="&amp;$A182,実績!$AJ$6:$AJ$505,"&gt;"&amp;$A182,実績!$AL$6:$AL$505,"○")&gt;0,1,0))</f>
        <v>0</v>
      </c>
      <c r="AE182" s="39" t="n">
        <f aca="false">IF(AE$4=0,0,IF(COUNTIFS(実績!$W$6:$W$505,AE$3,実績!$AI$6:$AI$505,"&lt;="&amp;$A182,実績!$AJ$6:$AJ$505,"&gt;"&amp;$A182,実績!$AL$6:$AL$505,"○")&gt;0,1,0))</f>
        <v>0</v>
      </c>
      <c r="AF182" s="39" t="n">
        <f aca="false">IF(AF$4=0,0,IF(COUNTIFS(実績!$W$6:$W$505,AF$3,実績!$AI$6:$AI$505,"&lt;="&amp;$A182,実績!$AJ$6:$AJ$505,"&gt;"&amp;$A182,実績!$AL$6:$AL$505,"○")&gt;0,1,0))</f>
        <v>0</v>
      </c>
      <c r="AG182" s="39" t="n">
        <f aca="false">IF(AG$4=0,0,IF(COUNTIFS(実績!$W$6:$W$505,AG$3,実績!$AI$6:$AI$505,"&lt;="&amp;$A182,実績!$AJ$6:$AJ$505,"&gt;"&amp;$A182,実績!$AL$6:$AL$505,"○")&gt;0,1,0))</f>
        <v>0</v>
      </c>
      <c r="AH182" s="39" t="n">
        <f aca="false">IF(AH$4=0,0,IF(COUNTIFS(実績!$W$6:$W$505,AH$3,実績!$AI$6:$AI$505,"&lt;="&amp;$A182,実績!$AJ$6:$AJ$505,"&gt;"&amp;$A182,実績!$AL$6:$AL$505,"○")&gt;0,1,0))</f>
        <v>0</v>
      </c>
      <c r="AI182" s="39" t="n">
        <f aca="false">IF(AI$4=0,0,IF(COUNTIFS(実績!$W$6:$W$505,AI$3,実績!$AI$6:$AI$505,"&lt;="&amp;$A182,実績!$AJ$6:$AJ$505,"&gt;"&amp;$A182,実績!$AL$6:$AL$505,"○")&gt;0,1,0))</f>
        <v>0</v>
      </c>
      <c r="AJ182" s="39" t="n">
        <f aca="false">IF(AJ$4=0,0,IF(COUNTIFS(実績!$W$6:$W$505,AJ$3,実績!$AI$6:$AI$505,"&lt;="&amp;$A182,実績!$AJ$6:$AJ$505,"&gt;"&amp;$A182,実績!$AL$6:$AL$505,"○")&gt;0,1,0))</f>
        <v>0</v>
      </c>
      <c r="AK182" s="39" t="n">
        <f aca="false">IF(AK$4=0,0,IF(COUNTIFS(実績!$W$6:$W$505,AK$3,実績!$AI$6:$AI$505,"&lt;="&amp;$A182,実績!$AJ$6:$AJ$505,"&gt;"&amp;$A182,実績!$AL$6:$AL$505,"○")&gt;0,1,0))</f>
        <v>0</v>
      </c>
      <c r="AL182" s="39" t="n">
        <f aca="false">IF(AL$4=0,0,IF(COUNTIFS(実績!$W$6:$W$505,AL$3,実績!$AI$6:$AI$505,"&lt;="&amp;$A182,実績!$AJ$6:$AJ$505,"&gt;"&amp;$A182,実績!$AL$6:$AL$505,"○")&gt;0,1,0))</f>
        <v>0</v>
      </c>
      <c r="AM182" s="39" t="n">
        <f aca="false">IF(AM$4=0,0,IF(COUNTIFS(実績!$W$6:$W$505,AM$3,実績!$AI$6:$AI$505,"&lt;="&amp;$A182,実績!$AJ$6:$AJ$505,"&gt;"&amp;$A182,実績!$AL$6:$AL$505,"○")&gt;0,1,0))</f>
        <v>0</v>
      </c>
      <c r="AN182" s="39" t="n">
        <f aca="false">IF(AN$4=0,0,IF(COUNTIFS(実績!$W$6:$W$505,AN$3,実績!$AI$6:$AI$505,"&lt;="&amp;$A182,実績!$AJ$6:$AJ$505,"&gt;"&amp;$A182,実績!$AL$6:$AL$505,"○")&gt;0,1,0))</f>
        <v>0</v>
      </c>
      <c r="AO182" s="39" t="n">
        <f aca="false">IF(AO$4=0,0,IF(COUNTIFS(実績!$W$6:$W$505,AO$3,実績!$AI$6:$AI$505,"&lt;="&amp;$A182,実績!$AJ$6:$AJ$505,"&gt;"&amp;$A182,実績!$AL$6:$AL$505,"○")&gt;0,1,0))</f>
        <v>0</v>
      </c>
      <c r="AP182" s="39" t="n">
        <f aca="false">IF(AP$4=0,0,IF(COUNTIFS(実績!$W$6:$W$505,AP$3,実績!$AI$6:$AI$505,"&lt;="&amp;$A182,実績!$AJ$6:$AJ$505,"&gt;"&amp;$A182,実績!$AL$6:$AL$505,"○")&gt;0,1,0))</f>
        <v>0</v>
      </c>
      <c r="AQ182" s="39" t="n">
        <f aca="false">IF(AQ$4=0,0,IF(COUNTIFS(実績!$W$6:$W$505,AQ$3,実績!$AI$6:$AI$505,"&lt;="&amp;$A182,実績!$AJ$6:$AJ$505,"&gt;"&amp;$A182,実績!$AL$6:$AL$505,"○")&gt;0,1,0))</f>
        <v>0</v>
      </c>
      <c r="AR182" s="39" t="n">
        <f aca="false">IF(AR$4=0,0,IF(COUNTIFS(実績!$W$6:$W$505,AR$3,実績!$AI$6:$AI$505,"&lt;="&amp;$A182,実績!$AJ$6:$AJ$505,"&gt;"&amp;$A182,実績!$AL$6:$AL$505,"○")&gt;0,1,0))</f>
        <v>0</v>
      </c>
      <c r="AS182" s="39" t="n">
        <f aca="false">IF(AS$4=0,0,IF(COUNTIFS(実績!$W$6:$W$505,AS$3,実績!$AI$6:$AI$505,"&lt;="&amp;$A182,実績!$AJ$6:$AJ$505,"&gt;"&amp;$A182,実績!$AL$6:$AL$505,"○")&gt;0,1,0))</f>
        <v>0</v>
      </c>
      <c r="AT182" s="39" t="n">
        <f aca="false">IF(AT$4=0,0,IF(COUNTIFS(実績!$W$6:$W$505,AT$3,実績!$AI$6:$AI$505,"&lt;="&amp;$A182,実績!$AJ$6:$AJ$505,"&gt;"&amp;$A182,実績!$AL$6:$AL$505,"○")&gt;0,1,0))</f>
        <v>0</v>
      </c>
      <c r="AU182" s="39" t="n">
        <f aca="false">IF(AU$4=0,0,IF(COUNTIFS(実績!$W$6:$W$505,AU$3,実績!$AI$6:$AI$505,"&lt;="&amp;$A182,実績!$AJ$6:$AJ$505,"&gt;"&amp;$A182,実績!$AL$6:$AL$505,"○")&gt;0,1,0))</f>
        <v>0</v>
      </c>
      <c r="AV182" s="39" t="n">
        <f aca="false">IF(AV$4=0,0,IF(COUNTIFS(実績!$W$6:$W$505,AV$3,実績!$AI$6:$AI$505,"&lt;="&amp;$A182,実績!$AJ$6:$AJ$505,"&gt;"&amp;$A182,実績!$AL$6:$AL$505,"○")&gt;0,1,0))</f>
        <v>0</v>
      </c>
      <c r="AW182" s="39" t="n">
        <f aca="false">IF(AW$4=0,0,IF(COUNTIFS(実績!$W$6:$W$505,AW$3,実績!$AI$6:$AI$505,"&lt;="&amp;$A182,実績!$AJ$6:$AJ$505,"&gt;"&amp;$A182,実績!$AL$6:$AL$505,"○")&gt;0,1,0))</f>
        <v>0</v>
      </c>
      <c r="AX182" s="39" t="n">
        <f aca="false">IF(AX$4=0,0,IF(COUNTIFS(実績!$W$6:$W$505,AX$3,実績!$AI$6:$AI$505,"&lt;="&amp;$A182,実績!$AJ$6:$AJ$505,"&gt;"&amp;$A182,実績!$AL$6:$AL$505,"○")&gt;0,1,0))</f>
        <v>0</v>
      </c>
      <c r="AY182" s="39" t="n">
        <f aca="false">IF(AY$4=0,0,IF(COUNTIFS(実績!$W$6:$W$505,AY$3,実績!$AI$6:$AI$505,"&lt;="&amp;$A182,実績!$AJ$6:$AJ$505,"&gt;"&amp;$A182,実績!$AL$6:$AL$505,"○")&gt;0,1,0))</f>
        <v>0</v>
      </c>
      <c r="AZ182" s="39" t="n">
        <f aca="false">IF(AZ$4=0,0,IF(COUNTIFS(実績!$W$6:$W$505,AZ$3,実績!$AI$6:$AI$505,"&lt;="&amp;$A182,実績!$AJ$6:$AJ$505,"&gt;"&amp;$A182,実績!$AL$6:$AL$505,"○")&gt;0,1,0))</f>
        <v>0</v>
      </c>
      <c r="BA182" s="39" t="n">
        <f aca="false">IF(BA$4=0,0,IF(COUNTIFS(実績!$W$6:$W$505,BA$3,実績!$AI$6:$AI$505,"&lt;="&amp;$A182,実績!$AJ$6:$AJ$505,"&gt;"&amp;$A182,実績!$AL$6:$AL$505,"○")&gt;0,1,0))</f>
        <v>0</v>
      </c>
      <c r="BB182" s="39" t="n">
        <f aca="false">IF(BB$4=0,0,IF(COUNTIFS(実績!$W$6:$W$505,BB$3,実績!$AI$6:$AI$505,"&lt;="&amp;$A182,実績!$AJ$6:$AJ$505,"&gt;"&amp;$A182,実績!$AL$6:$AL$505,"○")&gt;0,1,0))</f>
        <v>0</v>
      </c>
      <c r="BC182" s="39" t="n">
        <f aca="false">IF(BC$4=0,0,IF(COUNTIFS(実績!$W$6:$W$505,BC$3,実績!$AI$6:$AI$505,"&lt;="&amp;$A182,実績!$AJ$6:$AJ$505,"&gt;"&amp;$A182,実績!$AL$6:$AL$505,"○")&gt;0,1,0))</f>
        <v>0</v>
      </c>
      <c r="BD182" s="39" t="n">
        <f aca="false">IF(BD$4=0,0,IF(COUNTIFS(実績!$W$6:$W$505,BD$3,実績!$AI$6:$AI$505,"&lt;="&amp;$A182,実績!$AJ$6:$AJ$505,"&gt;"&amp;$A182,実績!$AL$6:$AL$505,"○")&gt;0,1,0))</f>
        <v>0</v>
      </c>
      <c r="BE182" s="39" t="n">
        <f aca="false">IF(BE$4=0,0,IF(COUNTIFS(実績!$W$6:$W$505,BE$3,実績!$AI$6:$AI$505,"&lt;="&amp;$A182,実績!$AJ$6:$AJ$505,"&gt;"&amp;$A182,実績!$AL$6:$AL$505,"○")&gt;0,1,0))</f>
        <v>0</v>
      </c>
      <c r="BF182" s="39" t="n">
        <f aca="false">IF(BF$4=0,0,IF(COUNTIFS(実績!$W$6:$W$505,BF$3,実績!$AI$6:$AI$505,"&lt;="&amp;$A182,実績!$AJ$6:$AJ$505,"&gt;"&amp;$A182,実績!$AL$6:$AL$505,"○")&gt;0,1,0))</f>
        <v>0</v>
      </c>
      <c r="BG182" s="39" t="n">
        <f aca="false">IF(BG$4=0,0,IF(COUNTIFS(実績!$W$6:$W$505,BG$3,実績!$AI$6:$AI$505,"&lt;="&amp;$A182,実績!$AJ$6:$AJ$505,"&gt;"&amp;$A182,実績!$AL$6:$AL$505,"○")&gt;0,1,0))</f>
        <v>0</v>
      </c>
      <c r="BH182" s="39" t="n">
        <f aca="false">IF(BH$4=0,0,IF(COUNTIFS(実績!$W$6:$W$505,BH$3,実績!$AI$6:$AI$505,"&lt;="&amp;$A182,実績!$AJ$6:$AJ$505,"&gt;"&amp;$A182,実績!$AL$6:$AL$505,"○")&gt;0,1,0))</f>
        <v>0</v>
      </c>
      <c r="BI182" s="39" t="n">
        <f aca="false">IF(BI$4=0,0,IF(COUNTIFS(実績!$W$6:$W$505,BI$3,実績!$AI$6:$AI$505,"&lt;="&amp;$A182,実績!$AJ$6:$AJ$505,"&gt;"&amp;$A182,実績!$AL$6:$AL$505,"○")&gt;0,1,0))</f>
        <v>0</v>
      </c>
      <c r="BJ182" s="39" t="n">
        <f aca="false">IF(BJ$4=0,0,IF(COUNTIFS(実績!$W$6:$W$505,BJ$3,実績!$AI$6:$AI$505,"&lt;="&amp;$A182,実績!$AJ$6:$AJ$505,"&gt;"&amp;$A182,実績!$AL$6:$AL$505,"○")&gt;0,1,0))</f>
        <v>0</v>
      </c>
      <c r="BK182" s="39" t="n">
        <f aca="false">IF(BK$4=0,0,IF(COUNTIFS(実績!$W$6:$W$505,BK$3,実績!$AI$6:$AI$505,"&lt;="&amp;$A182,実績!$AJ$6:$AJ$505,"&gt;"&amp;$A182,実績!$AL$6:$AL$505,"○")&gt;0,1,0))</f>
        <v>0</v>
      </c>
      <c r="BL182" s="39" t="n">
        <f aca="false">IF(BL$4=0,0,IF(COUNTIFS(実績!$W$6:$W$505,BL$3,実績!$AI$6:$AI$505,"&lt;="&amp;$A182,実績!$AJ$6:$AJ$505,"&gt;"&amp;$A182,実績!$AL$6:$AL$505,"○")&gt;0,1,0))</f>
        <v>0</v>
      </c>
      <c r="BM182" s="39" t="n">
        <f aca="false">IF(BM$4=0,0,IF(COUNTIFS(実績!$W$6:$W$505,BM$3,実績!$AI$6:$AI$505,"&lt;="&amp;$A182,実績!$AJ$6:$AJ$505,"&gt;"&amp;$A182,実績!$AL$6:$AL$505,"○")&gt;0,1,0))</f>
        <v>0</v>
      </c>
      <c r="BN182" s="39" t="n">
        <f aca="false">IF(BN$4=0,0,IF(COUNTIFS(実績!$W$6:$W$505,BN$3,実績!$AI$6:$AI$505,"&lt;="&amp;$A182,実績!$AJ$6:$AJ$505,"&gt;"&amp;$A182,実績!$AL$6:$AL$505,"○")&gt;0,1,0))</f>
        <v>0</v>
      </c>
      <c r="BO182" s="39" t="n">
        <f aca="false">IF(BO$4=0,0,IF(COUNTIFS(実績!$W$6:$W$505,BO$3,実績!$AI$6:$AI$505,"&lt;="&amp;$A182,実績!$AJ$6:$AJ$505,"&gt;"&amp;$A182,実績!$AL$6:$AL$505,"○")&gt;0,1,0))</f>
        <v>0</v>
      </c>
      <c r="BP182" s="39" t="n">
        <f aca="false">IF(BP$4=0,0,IF(COUNTIFS(実績!$W$6:$W$505,BP$3,実績!$AI$6:$AI$505,"&lt;="&amp;$A182,実績!$AJ$6:$AJ$505,"&gt;"&amp;$A182,実績!$AL$6:$AL$505,"○")&gt;0,1,0))</f>
        <v>0</v>
      </c>
      <c r="BQ182" s="39" t="n">
        <f aca="false">IF(BQ$4=0,0,IF(COUNTIFS(実績!$W$6:$W$505,BQ$3,実績!$AI$6:$AI$505,"&lt;="&amp;$A182,実績!$AJ$6:$AJ$505,"&gt;"&amp;$A182,実績!$AL$6:$AL$505,"○")&gt;0,1,0))</f>
        <v>0</v>
      </c>
      <c r="BR182" s="39" t="n">
        <f aca="false">IF(BR$4=0,0,IF(COUNTIFS(実績!$W$6:$W$505,BR$3,実績!$AI$6:$AI$505,"&lt;="&amp;$A182,実績!$AJ$6:$AJ$505,"&gt;"&amp;$A182,実績!$AL$6:$AL$505,"○")&gt;0,1,0))</f>
        <v>0</v>
      </c>
      <c r="BS182" s="39" t="n">
        <f aca="false">IF(BS$4=0,0,IF(COUNTIFS(実績!$W$6:$W$505,BS$3,実績!$AI$6:$AI$505,"&lt;="&amp;$A182,実績!$AJ$6:$AJ$505,"&gt;"&amp;$A182,実績!$AL$6:$AL$505,"○")&gt;0,1,0))</f>
        <v>0</v>
      </c>
      <c r="BT182" s="39" t="n">
        <f aca="false">IF(BT$4=0,0,IF(COUNTIFS(実績!$W$6:$W$505,BT$3,実績!$AI$6:$AI$505,"&lt;="&amp;$A182,実績!$AJ$6:$AJ$505,"&gt;"&amp;$A182,実績!$AL$6:$AL$505,"○")&gt;0,1,0))</f>
        <v>0</v>
      </c>
      <c r="BU182" s="39" t="n">
        <f aca="false">IF(BU$4=0,0,IF(COUNTIFS(実績!$W$6:$W$505,BU$3,実績!$AI$6:$AI$505,"&lt;="&amp;$A182,実績!$AJ$6:$AJ$505,"&gt;"&amp;$A182,実績!$AL$6:$AL$505,"○")&gt;0,1,0))</f>
        <v>0</v>
      </c>
      <c r="BV182" s="39" t="n">
        <f aca="false">IF(BV$4=0,0,IF(COUNTIFS(実績!$W$6:$W$505,BV$3,実績!$AI$6:$AI$505,"&lt;="&amp;$A182,実績!$AJ$6:$AJ$505,"&gt;"&amp;$A182,実績!$AL$6:$AL$505,"○")&gt;0,1,0))</f>
        <v>0</v>
      </c>
      <c r="BW182" s="39" t="n">
        <f aca="false">IF(BW$4=0,0,IF(COUNTIFS(実績!$W$6:$W$505,BW$3,実績!$AI$6:$AI$505,"&lt;="&amp;$A182,実績!$AJ$6:$AJ$505,"&gt;"&amp;$A182,実績!$AL$6:$AL$505,"○")&gt;0,1,0))</f>
        <v>0</v>
      </c>
      <c r="BX182" s="39" t="n">
        <f aca="false">IF(BX$4=0,0,IF(COUNTIFS(実績!$W$6:$W$505,BX$3,実績!$AI$6:$AI$505,"&lt;="&amp;$A182,実績!$AJ$6:$AJ$505,"&gt;"&amp;$A182,実績!$AL$6:$AL$505,"○")&gt;0,1,0))</f>
        <v>0</v>
      </c>
      <c r="BY182" s="39" t="n">
        <f aca="false">IF(BY$4=0,0,IF(COUNTIFS(実績!$W$6:$W$505,BY$3,実績!$AI$6:$AI$505,"&lt;="&amp;$A182,実績!$AJ$6:$AJ$505,"&gt;"&amp;$A182,実績!$AL$6:$AL$505,"○")&gt;0,1,0))</f>
        <v>0</v>
      </c>
      <c r="BZ182" s="39" t="n">
        <f aca="false">IF(BZ$4=0,0,IF(COUNTIFS(実績!$W$6:$W$505,BZ$3,実績!$AI$6:$AI$505,"&lt;="&amp;$A182,実績!$AJ$6:$AJ$505,"&gt;"&amp;$A182,実績!$AL$6:$AL$505,"○")&gt;0,1,0))</f>
        <v>0</v>
      </c>
      <c r="CA182" s="39" t="n">
        <f aca="false">IF(CA$4=0,0,IF(COUNTIFS(実績!$W$6:$W$505,CA$3,実績!$AI$6:$AI$505,"&lt;="&amp;$A182,実績!$AJ$6:$AJ$505,"&gt;"&amp;$A182,実績!$AL$6:$AL$505,"○")&gt;0,1,0))</f>
        <v>0</v>
      </c>
      <c r="CB182" s="39" t="n">
        <f aca="false">IF(CB$4=0,0,IF(COUNTIFS(実績!$W$6:$W$505,CB$3,実績!$AI$6:$AI$505,"&lt;="&amp;$A182,実績!$AJ$6:$AJ$505,"&gt;"&amp;$A182,実績!$AL$6:$AL$505,"○")&gt;0,1,0))</f>
        <v>0</v>
      </c>
      <c r="CC182" s="39" t="n">
        <f aca="false">IF(CC$4=0,0,IF(COUNTIFS(実績!$W$6:$W$505,CC$3,実績!$AI$6:$AI$505,"&lt;="&amp;$A182,実績!$AJ$6:$AJ$505,"&gt;"&amp;$A182,実績!$AL$6:$AL$505,"○")&gt;0,1,0))</f>
        <v>0</v>
      </c>
      <c r="CD182" s="39" t="n">
        <f aca="false">IF(CD$4=0,0,IF(COUNTIFS(実績!$W$6:$W$505,CD$3,実績!$AI$6:$AI$505,"&lt;="&amp;$A182,実績!$AJ$6:$AJ$505,"&gt;"&amp;$A182,実績!$AL$6:$AL$505,"○")&gt;0,1,0))</f>
        <v>0</v>
      </c>
      <c r="CE182" s="39" t="n">
        <f aca="false">IF(CE$4=0,0,IF(COUNTIFS(実績!$W$6:$W$505,CE$3,実績!$AI$6:$AI$505,"&lt;="&amp;$A182,実績!$AJ$6:$AJ$505,"&gt;"&amp;$A182,実績!$AL$6:$AL$505,"○")&gt;0,1,0))</f>
        <v>0</v>
      </c>
      <c r="CF182" s="39" t="n">
        <f aca="false">IF(CF$4=0,0,IF(COUNTIFS(実績!$W$6:$W$505,CF$3,実績!$AI$6:$AI$505,"&lt;="&amp;$A182,実績!$AJ$6:$AJ$505,"&gt;"&amp;$A182,実績!$AL$6:$AL$505,"○")&gt;0,1,0))</f>
        <v>0</v>
      </c>
      <c r="CG182" s="39" t="n">
        <f aca="false">IF(CG$4=0,0,IF(COUNTIFS(実績!$W$6:$W$505,CG$3,実績!$AI$6:$AI$505,"&lt;="&amp;$A182,実績!$AJ$6:$AJ$505,"&gt;"&amp;$A182,実績!$AL$6:$AL$505,"○")&gt;0,1,0))</f>
        <v>0</v>
      </c>
      <c r="CH182" s="39" t="n">
        <f aca="false">IF(CH$4=0,0,IF(COUNTIFS(実績!$W$6:$W$505,CH$3,実績!$AI$6:$AI$505,"&lt;="&amp;$A182,実績!$AJ$6:$AJ$505,"&gt;"&amp;$A182,実績!$AL$6:$AL$505,"○")&gt;0,1,0))</f>
        <v>0</v>
      </c>
      <c r="CI182" s="39" t="n">
        <f aca="false">IF(CI$4=0,0,IF(COUNTIFS(実績!$W$6:$W$505,CI$3,実績!$AI$6:$AI$505,"&lt;="&amp;$A182,実績!$AJ$6:$AJ$505,"&gt;"&amp;$A182,実績!$AL$6:$AL$505,"○")&gt;0,1,0))</f>
        <v>0</v>
      </c>
      <c r="CJ182" s="39" t="n">
        <f aca="false">IF(CJ$4=0,0,IF(COUNTIFS(実績!$W$6:$W$505,CJ$3,実績!$AI$6:$AI$505,"&lt;="&amp;$A182,実績!$AJ$6:$AJ$505,"&gt;"&amp;$A182,実績!$AL$6:$AL$505,"○")&gt;0,1,0))</f>
        <v>0</v>
      </c>
      <c r="CK182" s="39" t="n">
        <f aca="false">IF(CK$4=0,0,IF(COUNTIFS(実績!$W$6:$W$505,CK$3,実績!$AI$6:$AI$505,"&lt;="&amp;$A182,実績!$AJ$6:$AJ$505,"&gt;"&amp;$A182,実績!$AL$6:$AL$505,"○")&gt;0,1,0))</f>
        <v>0</v>
      </c>
      <c r="CL182" s="39" t="n">
        <f aca="false">IF(CL$4=0,0,IF(COUNTIFS(実績!$W$6:$W$505,CL$3,実績!$AI$6:$AI$505,"&lt;="&amp;$A182,実績!$AJ$6:$AJ$505,"&gt;"&amp;$A182,実績!$AL$6:$AL$505,"○")&gt;0,1,0))</f>
        <v>0</v>
      </c>
      <c r="CM182" s="39" t="n">
        <f aca="false">IF(CM$4=0,0,IF(COUNTIFS(実績!$W$6:$W$505,CM$3,実績!$AI$6:$AI$505,"&lt;="&amp;$A182,実績!$AJ$6:$AJ$505,"&gt;"&amp;$A182,実績!$AL$6:$AL$505,"○")&gt;0,1,0))</f>
        <v>0</v>
      </c>
      <c r="CN182" s="39" t="n">
        <f aca="false">IF(CN$4=0,0,IF(COUNTIFS(実績!$W$6:$W$505,CN$3,実績!$AI$6:$AI$505,"&lt;="&amp;$A182,実績!$AJ$6:$AJ$505,"&gt;"&amp;$A182,実績!$AL$6:$AL$505,"○")&gt;0,1,0))</f>
        <v>0</v>
      </c>
      <c r="CO182" s="39" t="n">
        <f aca="false">IF(CO$4=0,0,IF(COUNTIFS(実績!$W$6:$W$505,CO$3,実績!$AI$6:$AI$505,"&lt;="&amp;$A182,実績!$AJ$6:$AJ$505,"&gt;"&amp;$A182,実績!$AL$6:$AL$505,"○")&gt;0,1,0))</f>
        <v>0</v>
      </c>
      <c r="CP182" s="39" t="n">
        <f aca="false">IF(CP$4=0,0,IF(COUNTIFS(実績!$W$6:$W$505,CP$3,実績!$AI$6:$AI$505,"&lt;="&amp;$A182,実績!$AJ$6:$AJ$505,"&gt;"&amp;$A182,実績!$AL$6:$AL$505,"○")&gt;0,1,0))</f>
        <v>0</v>
      </c>
      <c r="CQ182" s="39" t="n">
        <f aca="false">IF(CQ$4=0,0,IF(COUNTIFS(実績!$W$6:$W$505,CQ$3,実績!$AI$6:$AI$505,"&lt;="&amp;$A182,実績!$AJ$6:$AJ$505,"&gt;"&amp;$A182,実績!$AL$6:$AL$505,"○")&gt;0,1,0))</f>
        <v>0</v>
      </c>
      <c r="CR182" s="39" t="n">
        <f aca="false">IF(CR$4=0,0,IF(COUNTIFS(実績!$W$6:$W$505,CR$3,実績!$AI$6:$AI$505,"&lt;="&amp;$A182,実績!$AJ$6:$AJ$505,"&gt;"&amp;$A182,実績!$AL$6:$AL$505,"○")&gt;0,1,0))</f>
        <v>0</v>
      </c>
      <c r="CS182" s="39" t="n">
        <f aca="false">IF(CS$4=0,0,IF(COUNTIFS(実績!$W$6:$W$505,CS$3,実績!$AI$6:$AI$505,"&lt;="&amp;$A182,実績!$AJ$6:$AJ$505,"&gt;"&amp;$A182,実績!$AL$6:$AL$505,"○")&gt;0,1,0))</f>
        <v>0</v>
      </c>
      <c r="CT182" s="39" t="n">
        <f aca="false">IF(CT$4=0,0,IF(COUNTIFS(実績!$W$6:$W$505,CT$3,実績!$AI$6:$AI$505,"&lt;="&amp;$A182,実績!$AJ$6:$AJ$505,"&gt;"&amp;$A182,実績!$AL$6:$AL$505,"○")&gt;0,1,0))</f>
        <v>0</v>
      </c>
      <c r="CU182" s="39" t="n">
        <f aca="false">IF(CU$4=0,0,IF(COUNTIFS(実績!$W$6:$W$505,CU$3,実績!$AI$6:$AI$505,"&lt;="&amp;$A182,実績!$AJ$6:$AJ$505,"&gt;"&amp;$A182,実績!$AL$6:$AL$505,"○")&gt;0,1,0))</f>
        <v>0</v>
      </c>
      <c r="CV182" s="39" t="n">
        <f aca="false">IF(CV$4=0,0,IF(COUNTIFS(実績!$W$6:$W$505,CV$3,実績!$AI$6:$AI$505,"&lt;="&amp;$A182,実績!$AJ$6:$AJ$505,"&gt;"&amp;$A182,実績!$AL$6:$AL$505,"○")&gt;0,1,0))</f>
        <v>0</v>
      </c>
      <c r="CW182" s="39" t="n">
        <f aca="false">IF(CW$4=0,0,IF(COUNTIFS(実績!$W$6:$W$505,CW$3,実績!$AI$6:$AI$505,"&lt;="&amp;$A182,実績!$AJ$6:$AJ$505,"&gt;"&amp;$A182,実績!$AL$6:$AL$505,"○")&gt;0,1,0))</f>
        <v>0</v>
      </c>
      <c r="CX182" s="39" t="n">
        <f aca="false">IF(CX$4=0,0,IF(COUNTIFS(実績!$W$6:$W$505,CX$3,実績!$AI$6:$AI$505,"&lt;="&amp;$A182,実績!$AJ$6:$AJ$505,"&gt;"&amp;$A182,実績!$AL$6:$AL$505,"○")&gt;0,1,0))</f>
        <v>0</v>
      </c>
      <c r="CY182" s="39" t="n">
        <f aca="false">IF(CY$4=0,0,IF(COUNTIFS(実績!$W$6:$W$505,CY$3,実績!$AI$6:$AI$505,"&lt;="&amp;$A182,実績!$AJ$6:$AJ$505,"&gt;"&amp;$A182,実績!$AL$6:$AL$505,"○")&gt;0,1,0))</f>
        <v>0</v>
      </c>
      <c r="CZ182" s="39" t="n">
        <f aca="false">IF(CZ$4=0,0,IF(COUNTIFS(実績!$W$6:$W$505,CZ$3,実績!$AI$6:$AI$505,"&lt;="&amp;$A182,実績!$AJ$6:$AJ$505,"&gt;"&amp;$A182,実績!$AL$6:$AL$505,"○")&gt;0,1,0))</f>
        <v>0</v>
      </c>
      <c r="DA182" s="39" t="n">
        <f aca="false">IF(DA$4=0,0,IF(COUNTIFS(実績!$W$6:$W$505,DA$3,実績!$AI$6:$AI$505,"&lt;="&amp;$A182,実績!$AJ$6:$AJ$505,"&gt;"&amp;$A182,実績!$AL$6:$AL$505,"○")&gt;0,1,0))</f>
        <v>0</v>
      </c>
      <c r="DB182" s="39" t="n">
        <f aca="false">IF(DB$4=0,0,IF(COUNTIFS(実績!$W$6:$W$505,DB$3,実績!$AI$6:$AI$505,"&lt;="&amp;$A182,実績!$AJ$6:$AJ$505,"&gt;"&amp;$A182,実績!$AL$6:$AL$505,"○")&gt;0,1,0))</f>
        <v>0</v>
      </c>
      <c r="DC182" s="39" t="n">
        <f aca="false">IF(DC$4=0,0,IF(COUNTIFS(実績!$W$6:$W$505,DC$3,実績!$AI$6:$AI$505,"&lt;="&amp;$A182,実績!$AJ$6:$AJ$505,"&gt;"&amp;$A182,実績!$AL$6:$AL$505,"○")&gt;0,1,0))</f>
        <v>0</v>
      </c>
      <c r="DD182" s="39" t="n">
        <f aca="false">IF(DD$4=0,0,IF(COUNTIFS(実績!$W$6:$W$505,DD$3,実績!$AI$6:$AI$505,"&lt;="&amp;$A182,実績!$AJ$6:$AJ$505,"&gt;"&amp;$A182,実績!$AL$6:$AL$505,"○")&gt;0,1,0))</f>
        <v>0</v>
      </c>
      <c r="DE182" s="39" t="n">
        <f aca="false">IF(DE$4=0,0,IF(COUNTIFS(実績!$W$6:$W$505,DE$3,実績!$AI$6:$AI$505,"&lt;="&amp;$A182,実績!$AJ$6:$AJ$505,"&gt;"&amp;$A182,実績!$AL$6:$AL$505,"○")&gt;0,1,0))</f>
        <v>0</v>
      </c>
      <c r="DF182" s="39" t="n">
        <f aca="false">IF(DF$4=0,0,IF(COUNTIFS(実績!$W$6:$W$505,DF$3,実績!$AI$6:$AI$505,"&lt;="&amp;$A182,実績!$AJ$6:$AJ$505,"&gt;"&amp;$A182,実績!$AL$6:$AL$505,"○")&gt;0,1,0))</f>
        <v>0</v>
      </c>
      <c r="DG182" s="39" t="n">
        <f aca="false">IF(DG$4=0,0,IF(COUNTIFS(実績!$W$6:$W$505,DG$3,実績!$AI$6:$AI$505,"&lt;="&amp;$A182,実績!$AJ$6:$AJ$505,"&gt;"&amp;$A182,実績!$AL$6:$AL$505,"○")&gt;0,1,0))</f>
        <v>0</v>
      </c>
      <c r="DH182" s="39" t="n">
        <f aca="false">IF(DH$4=0,0,IF(COUNTIFS(実績!$W$6:$W$505,DH$3,実績!$AI$6:$AI$505,"&lt;="&amp;$A182,実績!$AJ$6:$AJ$505,"&gt;"&amp;$A182,実績!$AL$6:$AL$505,"○")&gt;0,1,0))</f>
        <v>0</v>
      </c>
      <c r="DI182" s="39" t="n">
        <f aca="false">IF(DI$4=0,0,IF(COUNTIFS(実績!$W$6:$W$505,DI$3,実績!$AI$6:$AI$505,"&lt;="&amp;$A182,実績!$AJ$6:$AJ$505,"&gt;"&amp;$A182,実績!$AL$6:$AL$505,"○")&gt;0,1,0))</f>
        <v>0</v>
      </c>
      <c r="DJ182" s="39" t="n">
        <f aca="false">IF(DJ$4=0,0,IF(COUNTIFS(実績!$W$6:$W$505,DJ$3,実績!$AI$6:$AI$505,"&lt;="&amp;$A182,実績!$AJ$6:$AJ$505,"&gt;"&amp;$A182,実績!$AL$6:$AL$505,"○")&gt;0,1,0))</f>
        <v>0</v>
      </c>
      <c r="DK182" s="39" t="n">
        <f aca="false">IF(DK$4=0,0,IF(COUNTIFS(実績!$W$6:$W$505,DK$3,実績!$AI$6:$AI$505,"&lt;="&amp;$A182,実績!$AJ$6:$AJ$505,"&gt;"&amp;$A182,実績!$AL$6:$AL$505,"○")&gt;0,1,0))</f>
        <v>0</v>
      </c>
      <c r="DL182" s="39" t="n">
        <f aca="false">IF(DL$4=0,0,IF(COUNTIFS(実績!$W$6:$W$505,DL$3,実績!$AI$6:$AI$505,"&lt;="&amp;$A182,実績!$AJ$6:$AJ$505,"&gt;"&amp;$A182,実績!$AL$6:$AL$505,"○")&gt;0,1,0))</f>
        <v>0</v>
      </c>
      <c r="DM182" s="39" t="n">
        <f aca="false">IF(DM$4=0,0,IF(COUNTIFS(実績!$W$6:$W$505,DM$3,実績!$AI$6:$AI$505,"&lt;="&amp;$A182,実績!$AJ$6:$AJ$505,"&gt;"&amp;$A182,実績!$AL$6:$AL$505,"○")&gt;0,1,0))</f>
        <v>0</v>
      </c>
      <c r="DN182" s="39" t="n">
        <f aca="false">IF(DN$4=0,0,IF(COUNTIFS(実績!$W$6:$W$505,DN$3,実績!$AI$6:$AI$505,"&lt;="&amp;$A182,実績!$AJ$6:$AJ$505,"&gt;"&amp;$A182,実績!$AL$6:$AL$505,"○")&gt;0,1,0))</f>
        <v>0</v>
      </c>
      <c r="DO182" s="39" t="n">
        <f aca="false">IF(DO$4=0,0,IF(COUNTIFS(実績!$W$6:$W$505,DO$3,実績!$AI$6:$AI$505,"&lt;="&amp;$A182,実績!$AJ$6:$AJ$505,"&gt;"&amp;$A182,実績!$AL$6:$AL$505,"○")&gt;0,1,0))</f>
        <v>0</v>
      </c>
      <c r="DP182" s="39" t="n">
        <f aca="false">IF(DP$4=0,0,IF(COUNTIFS(実績!$W$6:$W$505,DP$3,実績!$AI$6:$AI$505,"&lt;="&amp;$A182,実績!$AJ$6:$AJ$505,"&gt;"&amp;$A182,実績!$AL$6:$AL$505,"○")&gt;0,1,0))</f>
        <v>0</v>
      </c>
      <c r="DQ182" s="39" t="n">
        <f aca="false">IF(DQ$4=0,0,IF(COUNTIFS(実績!$W$6:$W$505,DQ$3,実績!$AI$6:$AI$505,"&lt;="&amp;$A182,実績!$AJ$6:$AJ$505,"&gt;"&amp;$A182,実績!$AL$6:$AL$505,"○")&gt;0,1,0))</f>
        <v>0</v>
      </c>
      <c r="DR182" s="39" t="n">
        <f aca="false">IF(DR$4=0,0,IF(COUNTIFS(実績!$W$6:$W$505,DR$3,実績!$AI$6:$AI$505,"&lt;="&amp;$A182,実績!$AJ$6:$AJ$505,"&gt;"&amp;$A182,実績!$AL$6:$AL$505,"○")&gt;0,1,0))</f>
        <v>0</v>
      </c>
      <c r="DS182" s="39" t="n">
        <f aca="false">SUM(C182:DR182)</f>
        <v>0</v>
      </c>
    </row>
    <row r="183" customFormat="false" ht="15" hidden="false" customHeight="false" outlineLevel="0" collapsed="false">
      <c r="A183" s="0" t="n">
        <v>885</v>
      </c>
      <c r="B183" s="38" t="n">
        <f aca="false">A183/1440</f>
        <v>0.614583333333333</v>
      </c>
      <c r="C183" s="39" t="n">
        <f aca="false">IF(C$4=0,0,IF(COUNTIFS(実績!$W$6:$W$505,C$3,実績!$AI$6:$AI$505,"&lt;="&amp;$A183,実績!$AJ$6:$AJ$505,"&gt;"&amp;$A183,実績!$AL$6:$AL$505,"○")&gt;0,1,0))</f>
        <v>0</v>
      </c>
      <c r="D183" s="39" t="n">
        <f aca="false">IF(D$4=0,0,IF(COUNTIFS(実績!$W$6:$W$505,D$3,実績!$AI$6:$AI$505,"&lt;="&amp;$A183,実績!$AJ$6:$AJ$505,"&gt;"&amp;$A183,実績!$AL$6:$AL$505,"○")&gt;0,1,0))</f>
        <v>0</v>
      </c>
      <c r="E183" s="39" t="n">
        <f aca="false">IF(E$4=0,0,IF(COUNTIFS(実績!$W$6:$W$505,E$3,実績!$AI$6:$AI$505,"&lt;="&amp;$A183,実績!$AJ$6:$AJ$505,"&gt;"&amp;$A183,実績!$AL$6:$AL$505,"○")&gt;0,1,0))</f>
        <v>0</v>
      </c>
      <c r="F183" s="39" t="n">
        <f aca="false">IF(F$4=0,0,IF(COUNTIFS(実績!$W$6:$W$505,F$3,実績!$AI$6:$AI$505,"&lt;="&amp;$A183,実績!$AJ$6:$AJ$505,"&gt;"&amp;$A183,実績!$AL$6:$AL$505,"○")&gt;0,1,0))</f>
        <v>0</v>
      </c>
      <c r="G183" s="39" t="n">
        <f aca="false">IF(G$4=0,0,IF(COUNTIFS(実績!$W$6:$W$505,G$3,実績!$AI$6:$AI$505,"&lt;="&amp;$A183,実績!$AJ$6:$AJ$505,"&gt;"&amp;$A183,実績!$AL$6:$AL$505,"○")&gt;0,1,0))</f>
        <v>0</v>
      </c>
      <c r="H183" s="39" t="n">
        <f aca="false">IF(H$4=0,0,IF(COUNTIFS(実績!$W$6:$W$505,H$3,実績!$AI$6:$AI$505,"&lt;="&amp;$A183,実績!$AJ$6:$AJ$505,"&gt;"&amp;$A183,実績!$AL$6:$AL$505,"○")&gt;0,1,0))</f>
        <v>0</v>
      </c>
      <c r="I183" s="39" t="n">
        <f aca="false">IF(I$4=0,0,IF(COUNTIFS(実績!$W$6:$W$505,I$3,実績!$AI$6:$AI$505,"&lt;="&amp;$A183,実績!$AJ$6:$AJ$505,"&gt;"&amp;$A183,実績!$AL$6:$AL$505,"○")&gt;0,1,0))</f>
        <v>0</v>
      </c>
      <c r="J183" s="39" t="n">
        <f aca="false">IF(J$4=0,0,IF(COUNTIFS(実績!$W$6:$W$505,J$3,実績!$AI$6:$AI$505,"&lt;="&amp;$A183,実績!$AJ$6:$AJ$505,"&gt;"&amp;$A183,実績!$AL$6:$AL$505,"○")&gt;0,1,0))</f>
        <v>0</v>
      </c>
      <c r="K183" s="39" t="n">
        <f aca="false">IF(K$4=0,0,IF(COUNTIFS(実績!$W$6:$W$505,K$3,実績!$AI$6:$AI$505,"&lt;="&amp;$A183,実績!$AJ$6:$AJ$505,"&gt;"&amp;$A183,実績!$AL$6:$AL$505,"○")&gt;0,1,0))</f>
        <v>0</v>
      </c>
      <c r="L183" s="39" t="n">
        <f aca="false">IF(L$4=0,0,IF(COUNTIFS(実績!$W$6:$W$505,L$3,実績!$AI$6:$AI$505,"&lt;="&amp;$A183,実績!$AJ$6:$AJ$505,"&gt;"&amp;$A183,実績!$AL$6:$AL$505,"○")&gt;0,1,0))</f>
        <v>0</v>
      </c>
      <c r="M183" s="39" t="n">
        <f aca="false">IF(M$4=0,0,IF(COUNTIFS(実績!$W$6:$W$505,M$3,実績!$AI$6:$AI$505,"&lt;="&amp;$A183,実績!$AJ$6:$AJ$505,"&gt;"&amp;$A183,実績!$AL$6:$AL$505,"○")&gt;0,1,0))</f>
        <v>0</v>
      </c>
      <c r="N183" s="39" t="n">
        <f aca="false">IF(N$4=0,0,IF(COUNTIFS(実績!$W$6:$W$505,N$3,実績!$AI$6:$AI$505,"&lt;="&amp;$A183,実績!$AJ$6:$AJ$505,"&gt;"&amp;$A183,実績!$AL$6:$AL$505,"○")&gt;0,1,0))</f>
        <v>0</v>
      </c>
      <c r="O183" s="39" t="n">
        <f aca="false">IF(O$4=0,0,IF(COUNTIFS(実績!$W$6:$W$505,O$3,実績!$AI$6:$AI$505,"&lt;="&amp;$A183,実績!$AJ$6:$AJ$505,"&gt;"&amp;$A183,実績!$AL$6:$AL$505,"○")&gt;0,1,0))</f>
        <v>0</v>
      </c>
      <c r="P183" s="39" t="n">
        <f aca="false">IF(P$4=0,0,IF(COUNTIFS(実績!$W$6:$W$505,P$3,実績!$AI$6:$AI$505,"&lt;="&amp;$A183,実績!$AJ$6:$AJ$505,"&gt;"&amp;$A183,実績!$AL$6:$AL$505,"○")&gt;0,1,0))</f>
        <v>0</v>
      </c>
      <c r="Q183" s="39" t="n">
        <f aca="false">IF(Q$4=0,0,IF(COUNTIFS(実績!$W$6:$W$505,Q$3,実績!$AI$6:$AI$505,"&lt;="&amp;$A183,実績!$AJ$6:$AJ$505,"&gt;"&amp;$A183,実績!$AL$6:$AL$505,"○")&gt;0,1,0))</f>
        <v>0</v>
      </c>
      <c r="R183" s="39" t="n">
        <f aca="false">IF(R$4=0,0,IF(COUNTIFS(実績!$W$6:$W$505,R$3,実績!$AI$6:$AI$505,"&lt;="&amp;$A183,実績!$AJ$6:$AJ$505,"&gt;"&amp;$A183,実績!$AL$6:$AL$505,"○")&gt;0,1,0))</f>
        <v>0</v>
      </c>
      <c r="S183" s="39" t="n">
        <f aca="false">IF(S$4=0,0,IF(COUNTIFS(実績!$W$6:$W$505,S$3,実績!$AI$6:$AI$505,"&lt;="&amp;$A183,実績!$AJ$6:$AJ$505,"&gt;"&amp;$A183,実績!$AL$6:$AL$505,"○")&gt;0,1,0))</f>
        <v>0</v>
      </c>
      <c r="T183" s="39" t="n">
        <f aca="false">IF(T$4=0,0,IF(COUNTIFS(実績!$W$6:$W$505,T$3,実績!$AI$6:$AI$505,"&lt;="&amp;$A183,実績!$AJ$6:$AJ$505,"&gt;"&amp;$A183,実績!$AL$6:$AL$505,"○")&gt;0,1,0))</f>
        <v>0</v>
      </c>
      <c r="U183" s="39" t="n">
        <f aca="false">IF(U$4=0,0,IF(COUNTIFS(実績!$W$6:$W$505,U$3,実績!$AI$6:$AI$505,"&lt;="&amp;$A183,実績!$AJ$6:$AJ$505,"&gt;"&amp;$A183,実績!$AL$6:$AL$505,"○")&gt;0,1,0))</f>
        <v>0</v>
      </c>
      <c r="V183" s="39" t="n">
        <f aca="false">IF(V$4=0,0,IF(COUNTIFS(実績!$W$6:$W$505,V$3,実績!$AI$6:$AI$505,"&lt;="&amp;$A183,実績!$AJ$6:$AJ$505,"&gt;"&amp;$A183,実績!$AL$6:$AL$505,"○")&gt;0,1,0))</f>
        <v>0</v>
      </c>
      <c r="W183" s="39" t="n">
        <f aca="false">IF(W$4=0,0,IF(COUNTIFS(実績!$W$6:$W$505,W$3,実績!$AI$6:$AI$505,"&lt;="&amp;$A183,実績!$AJ$6:$AJ$505,"&gt;"&amp;$A183,実績!$AL$6:$AL$505,"○")&gt;0,1,0))</f>
        <v>0</v>
      </c>
      <c r="X183" s="39" t="n">
        <f aca="false">IF(X$4=0,0,IF(COUNTIFS(実績!$W$6:$W$505,X$3,実績!$AI$6:$AI$505,"&lt;="&amp;$A183,実績!$AJ$6:$AJ$505,"&gt;"&amp;$A183,実績!$AL$6:$AL$505,"○")&gt;0,1,0))</f>
        <v>0</v>
      </c>
      <c r="Y183" s="39" t="n">
        <f aca="false">IF(Y$4=0,0,IF(COUNTIFS(実績!$W$6:$W$505,Y$3,実績!$AI$6:$AI$505,"&lt;="&amp;$A183,実績!$AJ$6:$AJ$505,"&gt;"&amp;$A183,実績!$AL$6:$AL$505,"○")&gt;0,1,0))</f>
        <v>0</v>
      </c>
      <c r="Z183" s="39" t="n">
        <f aca="false">IF(Z$4=0,0,IF(COUNTIFS(実績!$W$6:$W$505,Z$3,実績!$AI$6:$AI$505,"&lt;="&amp;$A183,実績!$AJ$6:$AJ$505,"&gt;"&amp;$A183,実績!$AL$6:$AL$505,"○")&gt;0,1,0))</f>
        <v>0</v>
      </c>
      <c r="AA183" s="39" t="n">
        <f aca="false">IF(AA$4=0,0,IF(COUNTIFS(実績!$W$6:$W$505,AA$3,実績!$AI$6:$AI$505,"&lt;="&amp;$A183,実績!$AJ$6:$AJ$505,"&gt;"&amp;$A183,実績!$AL$6:$AL$505,"○")&gt;0,1,0))</f>
        <v>0</v>
      </c>
      <c r="AB183" s="39" t="n">
        <f aca="false">IF(AB$4=0,0,IF(COUNTIFS(実績!$W$6:$W$505,AB$3,実績!$AI$6:$AI$505,"&lt;="&amp;$A183,実績!$AJ$6:$AJ$505,"&gt;"&amp;$A183,実績!$AL$6:$AL$505,"○")&gt;0,1,0))</f>
        <v>0</v>
      </c>
      <c r="AC183" s="39" t="n">
        <f aca="false">IF(AC$4=0,0,IF(COUNTIFS(実績!$W$6:$W$505,AC$3,実績!$AI$6:$AI$505,"&lt;="&amp;$A183,実績!$AJ$6:$AJ$505,"&gt;"&amp;$A183,実績!$AL$6:$AL$505,"○")&gt;0,1,0))</f>
        <v>0</v>
      </c>
      <c r="AD183" s="39" t="n">
        <f aca="false">IF(AD$4=0,0,IF(COUNTIFS(実績!$W$6:$W$505,AD$3,実績!$AI$6:$AI$505,"&lt;="&amp;$A183,実績!$AJ$6:$AJ$505,"&gt;"&amp;$A183,実績!$AL$6:$AL$505,"○")&gt;0,1,0))</f>
        <v>0</v>
      </c>
      <c r="AE183" s="39" t="n">
        <f aca="false">IF(AE$4=0,0,IF(COUNTIFS(実績!$W$6:$W$505,AE$3,実績!$AI$6:$AI$505,"&lt;="&amp;$A183,実績!$AJ$6:$AJ$505,"&gt;"&amp;$A183,実績!$AL$6:$AL$505,"○")&gt;0,1,0))</f>
        <v>0</v>
      </c>
      <c r="AF183" s="39" t="n">
        <f aca="false">IF(AF$4=0,0,IF(COUNTIFS(実績!$W$6:$W$505,AF$3,実績!$AI$6:$AI$505,"&lt;="&amp;$A183,実績!$AJ$6:$AJ$505,"&gt;"&amp;$A183,実績!$AL$6:$AL$505,"○")&gt;0,1,0))</f>
        <v>0</v>
      </c>
      <c r="AG183" s="39" t="n">
        <f aca="false">IF(AG$4=0,0,IF(COUNTIFS(実績!$W$6:$W$505,AG$3,実績!$AI$6:$AI$505,"&lt;="&amp;$A183,実績!$AJ$6:$AJ$505,"&gt;"&amp;$A183,実績!$AL$6:$AL$505,"○")&gt;0,1,0))</f>
        <v>0</v>
      </c>
      <c r="AH183" s="39" t="n">
        <f aca="false">IF(AH$4=0,0,IF(COUNTIFS(実績!$W$6:$W$505,AH$3,実績!$AI$6:$AI$505,"&lt;="&amp;$A183,実績!$AJ$6:$AJ$505,"&gt;"&amp;$A183,実績!$AL$6:$AL$505,"○")&gt;0,1,0))</f>
        <v>0</v>
      </c>
      <c r="AI183" s="39" t="n">
        <f aca="false">IF(AI$4=0,0,IF(COUNTIFS(実績!$W$6:$W$505,AI$3,実績!$AI$6:$AI$505,"&lt;="&amp;$A183,実績!$AJ$6:$AJ$505,"&gt;"&amp;$A183,実績!$AL$6:$AL$505,"○")&gt;0,1,0))</f>
        <v>0</v>
      </c>
      <c r="AJ183" s="39" t="n">
        <f aca="false">IF(AJ$4=0,0,IF(COUNTIFS(実績!$W$6:$W$505,AJ$3,実績!$AI$6:$AI$505,"&lt;="&amp;$A183,実績!$AJ$6:$AJ$505,"&gt;"&amp;$A183,実績!$AL$6:$AL$505,"○")&gt;0,1,0))</f>
        <v>0</v>
      </c>
      <c r="AK183" s="39" t="n">
        <f aca="false">IF(AK$4=0,0,IF(COUNTIFS(実績!$W$6:$W$505,AK$3,実績!$AI$6:$AI$505,"&lt;="&amp;$A183,実績!$AJ$6:$AJ$505,"&gt;"&amp;$A183,実績!$AL$6:$AL$505,"○")&gt;0,1,0))</f>
        <v>0</v>
      </c>
      <c r="AL183" s="39" t="n">
        <f aca="false">IF(AL$4=0,0,IF(COUNTIFS(実績!$W$6:$W$505,AL$3,実績!$AI$6:$AI$505,"&lt;="&amp;$A183,実績!$AJ$6:$AJ$505,"&gt;"&amp;$A183,実績!$AL$6:$AL$505,"○")&gt;0,1,0))</f>
        <v>0</v>
      </c>
      <c r="AM183" s="39" t="n">
        <f aca="false">IF(AM$4=0,0,IF(COUNTIFS(実績!$W$6:$W$505,AM$3,実績!$AI$6:$AI$505,"&lt;="&amp;$A183,実績!$AJ$6:$AJ$505,"&gt;"&amp;$A183,実績!$AL$6:$AL$505,"○")&gt;0,1,0))</f>
        <v>0</v>
      </c>
      <c r="AN183" s="39" t="n">
        <f aca="false">IF(AN$4=0,0,IF(COUNTIFS(実績!$W$6:$W$505,AN$3,実績!$AI$6:$AI$505,"&lt;="&amp;$A183,実績!$AJ$6:$AJ$505,"&gt;"&amp;$A183,実績!$AL$6:$AL$505,"○")&gt;0,1,0))</f>
        <v>0</v>
      </c>
      <c r="AO183" s="39" t="n">
        <f aca="false">IF(AO$4=0,0,IF(COUNTIFS(実績!$W$6:$W$505,AO$3,実績!$AI$6:$AI$505,"&lt;="&amp;$A183,実績!$AJ$6:$AJ$505,"&gt;"&amp;$A183,実績!$AL$6:$AL$505,"○")&gt;0,1,0))</f>
        <v>0</v>
      </c>
      <c r="AP183" s="39" t="n">
        <f aca="false">IF(AP$4=0,0,IF(COUNTIFS(実績!$W$6:$W$505,AP$3,実績!$AI$6:$AI$505,"&lt;="&amp;$A183,実績!$AJ$6:$AJ$505,"&gt;"&amp;$A183,実績!$AL$6:$AL$505,"○")&gt;0,1,0))</f>
        <v>0</v>
      </c>
      <c r="AQ183" s="39" t="n">
        <f aca="false">IF(AQ$4=0,0,IF(COUNTIFS(実績!$W$6:$W$505,AQ$3,実績!$AI$6:$AI$505,"&lt;="&amp;$A183,実績!$AJ$6:$AJ$505,"&gt;"&amp;$A183,実績!$AL$6:$AL$505,"○")&gt;0,1,0))</f>
        <v>0</v>
      </c>
      <c r="AR183" s="39" t="n">
        <f aca="false">IF(AR$4=0,0,IF(COUNTIFS(実績!$W$6:$W$505,AR$3,実績!$AI$6:$AI$505,"&lt;="&amp;$A183,実績!$AJ$6:$AJ$505,"&gt;"&amp;$A183,実績!$AL$6:$AL$505,"○")&gt;0,1,0))</f>
        <v>0</v>
      </c>
      <c r="AS183" s="39" t="n">
        <f aca="false">IF(AS$4=0,0,IF(COUNTIFS(実績!$W$6:$W$505,AS$3,実績!$AI$6:$AI$505,"&lt;="&amp;$A183,実績!$AJ$6:$AJ$505,"&gt;"&amp;$A183,実績!$AL$6:$AL$505,"○")&gt;0,1,0))</f>
        <v>0</v>
      </c>
      <c r="AT183" s="39" t="n">
        <f aca="false">IF(AT$4=0,0,IF(COUNTIFS(実績!$W$6:$W$505,AT$3,実績!$AI$6:$AI$505,"&lt;="&amp;$A183,実績!$AJ$6:$AJ$505,"&gt;"&amp;$A183,実績!$AL$6:$AL$505,"○")&gt;0,1,0))</f>
        <v>0</v>
      </c>
      <c r="AU183" s="39" t="n">
        <f aca="false">IF(AU$4=0,0,IF(COUNTIFS(実績!$W$6:$W$505,AU$3,実績!$AI$6:$AI$505,"&lt;="&amp;$A183,実績!$AJ$6:$AJ$505,"&gt;"&amp;$A183,実績!$AL$6:$AL$505,"○")&gt;0,1,0))</f>
        <v>0</v>
      </c>
      <c r="AV183" s="39" t="n">
        <f aca="false">IF(AV$4=0,0,IF(COUNTIFS(実績!$W$6:$W$505,AV$3,実績!$AI$6:$AI$505,"&lt;="&amp;$A183,実績!$AJ$6:$AJ$505,"&gt;"&amp;$A183,実績!$AL$6:$AL$505,"○")&gt;0,1,0))</f>
        <v>0</v>
      </c>
      <c r="AW183" s="39" t="n">
        <f aca="false">IF(AW$4=0,0,IF(COUNTIFS(実績!$W$6:$W$505,AW$3,実績!$AI$6:$AI$505,"&lt;="&amp;$A183,実績!$AJ$6:$AJ$505,"&gt;"&amp;$A183,実績!$AL$6:$AL$505,"○")&gt;0,1,0))</f>
        <v>0</v>
      </c>
      <c r="AX183" s="39" t="n">
        <f aca="false">IF(AX$4=0,0,IF(COUNTIFS(実績!$W$6:$W$505,AX$3,実績!$AI$6:$AI$505,"&lt;="&amp;$A183,実績!$AJ$6:$AJ$505,"&gt;"&amp;$A183,実績!$AL$6:$AL$505,"○")&gt;0,1,0))</f>
        <v>0</v>
      </c>
      <c r="AY183" s="39" t="n">
        <f aca="false">IF(AY$4=0,0,IF(COUNTIFS(実績!$W$6:$W$505,AY$3,実績!$AI$6:$AI$505,"&lt;="&amp;$A183,実績!$AJ$6:$AJ$505,"&gt;"&amp;$A183,実績!$AL$6:$AL$505,"○")&gt;0,1,0))</f>
        <v>0</v>
      </c>
      <c r="AZ183" s="39" t="n">
        <f aca="false">IF(AZ$4=0,0,IF(COUNTIFS(実績!$W$6:$W$505,AZ$3,実績!$AI$6:$AI$505,"&lt;="&amp;$A183,実績!$AJ$6:$AJ$505,"&gt;"&amp;$A183,実績!$AL$6:$AL$505,"○")&gt;0,1,0))</f>
        <v>0</v>
      </c>
      <c r="BA183" s="39" t="n">
        <f aca="false">IF(BA$4=0,0,IF(COUNTIFS(実績!$W$6:$W$505,BA$3,実績!$AI$6:$AI$505,"&lt;="&amp;$A183,実績!$AJ$6:$AJ$505,"&gt;"&amp;$A183,実績!$AL$6:$AL$505,"○")&gt;0,1,0))</f>
        <v>0</v>
      </c>
      <c r="BB183" s="39" t="n">
        <f aca="false">IF(BB$4=0,0,IF(COUNTIFS(実績!$W$6:$W$505,BB$3,実績!$AI$6:$AI$505,"&lt;="&amp;$A183,実績!$AJ$6:$AJ$505,"&gt;"&amp;$A183,実績!$AL$6:$AL$505,"○")&gt;0,1,0))</f>
        <v>0</v>
      </c>
      <c r="BC183" s="39" t="n">
        <f aca="false">IF(BC$4=0,0,IF(COUNTIFS(実績!$W$6:$W$505,BC$3,実績!$AI$6:$AI$505,"&lt;="&amp;$A183,実績!$AJ$6:$AJ$505,"&gt;"&amp;$A183,実績!$AL$6:$AL$505,"○")&gt;0,1,0))</f>
        <v>0</v>
      </c>
      <c r="BD183" s="39" t="n">
        <f aca="false">IF(BD$4=0,0,IF(COUNTIFS(実績!$W$6:$W$505,BD$3,実績!$AI$6:$AI$505,"&lt;="&amp;$A183,実績!$AJ$6:$AJ$505,"&gt;"&amp;$A183,実績!$AL$6:$AL$505,"○")&gt;0,1,0))</f>
        <v>0</v>
      </c>
      <c r="BE183" s="39" t="n">
        <f aca="false">IF(BE$4=0,0,IF(COUNTIFS(実績!$W$6:$W$505,BE$3,実績!$AI$6:$AI$505,"&lt;="&amp;$A183,実績!$AJ$6:$AJ$505,"&gt;"&amp;$A183,実績!$AL$6:$AL$505,"○")&gt;0,1,0))</f>
        <v>0</v>
      </c>
      <c r="BF183" s="39" t="n">
        <f aca="false">IF(BF$4=0,0,IF(COUNTIFS(実績!$W$6:$W$505,BF$3,実績!$AI$6:$AI$505,"&lt;="&amp;$A183,実績!$AJ$6:$AJ$505,"&gt;"&amp;$A183,実績!$AL$6:$AL$505,"○")&gt;0,1,0))</f>
        <v>0</v>
      </c>
      <c r="BG183" s="39" t="n">
        <f aca="false">IF(BG$4=0,0,IF(COUNTIFS(実績!$W$6:$W$505,BG$3,実績!$AI$6:$AI$505,"&lt;="&amp;$A183,実績!$AJ$6:$AJ$505,"&gt;"&amp;$A183,実績!$AL$6:$AL$505,"○")&gt;0,1,0))</f>
        <v>0</v>
      </c>
      <c r="BH183" s="39" t="n">
        <f aca="false">IF(BH$4=0,0,IF(COUNTIFS(実績!$W$6:$W$505,BH$3,実績!$AI$6:$AI$505,"&lt;="&amp;$A183,実績!$AJ$6:$AJ$505,"&gt;"&amp;$A183,実績!$AL$6:$AL$505,"○")&gt;0,1,0))</f>
        <v>0</v>
      </c>
      <c r="BI183" s="39" t="n">
        <f aca="false">IF(BI$4=0,0,IF(COUNTIFS(実績!$W$6:$W$505,BI$3,実績!$AI$6:$AI$505,"&lt;="&amp;$A183,実績!$AJ$6:$AJ$505,"&gt;"&amp;$A183,実績!$AL$6:$AL$505,"○")&gt;0,1,0))</f>
        <v>0</v>
      </c>
      <c r="BJ183" s="39" t="n">
        <f aca="false">IF(BJ$4=0,0,IF(COUNTIFS(実績!$W$6:$W$505,BJ$3,実績!$AI$6:$AI$505,"&lt;="&amp;$A183,実績!$AJ$6:$AJ$505,"&gt;"&amp;$A183,実績!$AL$6:$AL$505,"○")&gt;0,1,0))</f>
        <v>0</v>
      </c>
      <c r="BK183" s="39" t="n">
        <f aca="false">IF(BK$4=0,0,IF(COUNTIFS(実績!$W$6:$W$505,BK$3,実績!$AI$6:$AI$505,"&lt;="&amp;$A183,実績!$AJ$6:$AJ$505,"&gt;"&amp;$A183,実績!$AL$6:$AL$505,"○")&gt;0,1,0))</f>
        <v>0</v>
      </c>
      <c r="BL183" s="39" t="n">
        <f aca="false">IF(BL$4=0,0,IF(COUNTIFS(実績!$W$6:$W$505,BL$3,実績!$AI$6:$AI$505,"&lt;="&amp;$A183,実績!$AJ$6:$AJ$505,"&gt;"&amp;$A183,実績!$AL$6:$AL$505,"○")&gt;0,1,0))</f>
        <v>0</v>
      </c>
      <c r="BM183" s="39" t="n">
        <f aca="false">IF(BM$4=0,0,IF(COUNTIFS(実績!$W$6:$W$505,BM$3,実績!$AI$6:$AI$505,"&lt;="&amp;$A183,実績!$AJ$6:$AJ$505,"&gt;"&amp;$A183,実績!$AL$6:$AL$505,"○")&gt;0,1,0))</f>
        <v>0</v>
      </c>
      <c r="BN183" s="39" t="n">
        <f aca="false">IF(BN$4=0,0,IF(COUNTIFS(実績!$W$6:$W$505,BN$3,実績!$AI$6:$AI$505,"&lt;="&amp;$A183,実績!$AJ$6:$AJ$505,"&gt;"&amp;$A183,実績!$AL$6:$AL$505,"○")&gt;0,1,0))</f>
        <v>0</v>
      </c>
      <c r="BO183" s="39" t="n">
        <f aca="false">IF(BO$4=0,0,IF(COUNTIFS(実績!$W$6:$W$505,BO$3,実績!$AI$6:$AI$505,"&lt;="&amp;$A183,実績!$AJ$6:$AJ$505,"&gt;"&amp;$A183,実績!$AL$6:$AL$505,"○")&gt;0,1,0))</f>
        <v>0</v>
      </c>
      <c r="BP183" s="39" t="n">
        <f aca="false">IF(BP$4=0,0,IF(COUNTIFS(実績!$W$6:$W$505,BP$3,実績!$AI$6:$AI$505,"&lt;="&amp;$A183,実績!$AJ$6:$AJ$505,"&gt;"&amp;$A183,実績!$AL$6:$AL$505,"○")&gt;0,1,0))</f>
        <v>0</v>
      </c>
      <c r="BQ183" s="39" t="n">
        <f aca="false">IF(BQ$4=0,0,IF(COUNTIFS(実績!$W$6:$W$505,BQ$3,実績!$AI$6:$AI$505,"&lt;="&amp;$A183,実績!$AJ$6:$AJ$505,"&gt;"&amp;$A183,実績!$AL$6:$AL$505,"○")&gt;0,1,0))</f>
        <v>0</v>
      </c>
      <c r="BR183" s="39" t="n">
        <f aca="false">IF(BR$4=0,0,IF(COUNTIFS(実績!$W$6:$W$505,BR$3,実績!$AI$6:$AI$505,"&lt;="&amp;$A183,実績!$AJ$6:$AJ$505,"&gt;"&amp;$A183,実績!$AL$6:$AL$505,"○")&gt;0,1,0))</f>
        <v>0</v>
      </c>
      <c r="BS183" s="39" t="n">
        <f aca="false">IF(BS$4=0,0,IF(COUNTIFS(実績!$W$6:$W$505,BS$3,実績!$AI$6:$AI$505,"&lt;="&amp;$A183,実績!$AJ$6:$AJ$505,"&gt;"&amp;$A183,実績!$AL$6:$AL$505,"○")&gt;0,1,0))</f>
        <v>0</v>
      </c>
      <c r="BT183" s="39" t="n">
        <f aca="false">IF(BT$4=0,0,IF(COUNTIFS(実績!$W$6:$W$505,BT$3,実績!$AI$6:$AI$505,"&lt;="&amp;$A183,実績!$AJ$6:$AJ$505,"&gt;"&amp;$A183,実績!$AL$6:$AL$505,"○")&gt;0,1,0))</f>
        <v>0</v>
      </c>
      <c r="BU183" s="39" t="n">
        <f aca="false">IF(BU$4=0,0,IF(COUNTIFS(実績!$W$6:$W$505,BU$3,実績!$AI$6:$AI$505,"&lt;="&amp;$A183,実績!$AJ$6:$AJ$505,"&gt;"&amp;$A183,実績!$AL$6:$AL$505,"○")&gt;0,1,0))</f>
        <v>0</v>
      </c>
      <c r="BV183" s="39" t="n">
        <f aca="false">IF(BV$4=0,0,IF(COUNTIFS(実績!$W$6:$W$505,BV$3,実績!$AI$6:$AI$505,"&lt;="&amp;$A183,実績!$AJ$6:$AJ$505,"&gt;"&amp;$A183,実績!$AL$6:$AL$505,"○")&gt;0,1,0))</f>
        <v>0</v>
      </c>
      <c r="BW183" s="39" t="n">
        <f aca="false">IF(BW$4=0,0,IF(COUNTIFS(実績!$W$6:$W$505,BW$3,実績!$AI$6:$AI$505,"&lt;="&amp;$A183,実績!$AJ$6:$AJ$505,"&gt;"&amp;$A183,実績!$AL$6:$AL$505,"○")&gt;0,1,0))</f>
        <v>0</v>
      </c>
      <c r="BX183" s="39" t="n">
        <f aca="false">IF(BX$4=0,0,IF(COUNTIFS(実績!$W$6:$W$505,BX$3,実績!$AI$6:$AI$505,"&lt;="&amp;$A183,実績!$AJ$6:$AJ$505,"&gt;"&amp;$A183,実績!$AL$6:$AL$505,"○")&gt;0,1,0))</f>
        <v>0</v>
      </c>
      <c r="BY183" s="39" t="n">
        <f aca="false">IF(BY$4=0,0,IF(COUNTIFS(実績!$W$6:$W$505,BY$3,実績!$AI$6:$AI$505,"&lt;="&amp;$A183,実績!$AJ$6:$AJ$505,"&gt;"&amp;$A183,実績!$AL$6:$AL$505,"○")&gt;0,1,0))</f>
        <v>0</v>
      </c>
      <c r="BZ183" s="39" t="n">
        <f aca="false">IF(BZ$4=0,0,IF(COUNTIFS(実績!$W$6:$W$505,BZ$3,実績!$AI$6:$AI$505,"&lt;="&amp;$A183,実績!$AJ$6:$AJ$505,"&gt;"&amp;$A183,実績!$AL$6:$AL$505,"○")&gt;0,1,0))</f>
        <v>0</v>
      </c>
      <c r="CA183" s="39" t="n">
        <f aca="false">IF(CA$4=0,0,IF(COUNTIFS(実績!$W$6:$W$505,CA$3,実績!$AI$6:$AI$505,"&lt;="&amp;$A183,実績!$AJ$6:$AJ$505,"&gt;"&amp;$A183,実績!$AL$6:$AL$505,"○")&gt;0,1,0))</f>
        <v>0</v>
      </c>
      <c r="CB183" s="39" t="n">
        <f aca="false">IF(CB$4=0,0,IF(COUNTIFS(実績!$W$6:$W$505,CB$3,実績!$AI$6:$AI$505,"&lt;="&amp;$A183,実績!$AJ$6:$AJ$505,"&gt;"&amp;$A183,実績!$AL$6:$AL$505,"○")&gt;0,1,0))</f>
        <v>0</v>
      </c>
      <c r="CC183" s="39" t="n">
        <f aca="false">IF(CC$4=0,0,IF(COUNTIFS(実績!$W$6:$W$505,CC$3,実績!$AI$6:$AI$505,"&lt;="&amp;$A183,実績!$AJ$6:$AJ$505,"&gt;"&amp;$A183,実績!$AL$6:$AL$505,"○")&gt;0,1,0))</f>
        <v>0</v>
      </c>
      <c r="CD183" s="39" t="n">
        <f aca="false">IF(CD$4=0,0,IF(COUNTIFS(実績!$W$6:$W$505,CD$3,実績!$AI$6:$AI$505,"&lt;="&amp;$A183,実績!$AJ$6:$AJ$505,"&gt;"&amp;$A183,実績!$AL$6:$AL$505,"○")&gt;0,1,0))</f>
        <v>0</v>
      </c>
      <c r="CE183" s="39" t="n">
        <f aca="false">IF(CE$4=0,0,IF(COUNTIFS(実績!$W$6:$W$505,CE$3,実績!$AI$6:$AI$505,"&lt;="&amp;$A183,実績!$AJ$6:$AJ$505,"&gt;"&amp;$A183,実績!$AL$6:$AL$505,"○")&gt;0,1,0))</f>
        <v>0</v>
      </c>
      <c r="CF183" s="39" t="n">
        <f aca="false">IF(CF$4=0,0,IF(COUNTIFS(実績!$W$6:$W$505,CF$3,実績!$AI$6:$AI$505,"&lt;="&amp;$A183,実績!$AJ$6:$AJ$505,"&gt;"&amp;$A183,実績!$AL$6:$AL$505,"○")&gt;0,1,0))</f>
        <v>0</v>
      </c>
      <c r="CG183" s="39" t="n">
        <f aca="false">IF(CG$4=0,0,IF(COUNTIFS(実績!$W$6:$W$505,CG$3,実績!$AI$6:$AI$505,"&lt;="&amp;$A183,実績!$AJ$6:$AJ$505,"&gt;"&amp;$A183,実績!$AL$6:$AL$505,"○")&gt;0,1,0))</f>
        <v>0</v>
      </c>
      <c r="CH183" s="39" t="n">
        <f aca="false">IF(CH$4=0,0,IF(COUNTIFS(実績!$W$6:$W$505,CH$3,実績!$AI$6:$AI$505,"&lt;="&amp;$A183,実績!$AJ$6:$AJ$505,"&gt;"&amp;$A183,実績!$AL$6:$AL$505,"○")&gt;0,1,0))</f>
        <v>0</v>
      </c>
      <c r="CI183" s="39" t="n">
        <f aca="false">IF(CI$4=0,0,IF(COUNTIFS(実績!$W$6:$W$505,CI$3,実績!$AI$6:$AI$505,"&lt;="&amp;$A183,実績!$AJ$6:$AJ$505,"&gt;"&amp;$A183,実績!$AL$6:$AL$505,"○")&gt;0,1,0))</f>
        <v>0</v>
      </c>
      <c r="CJ183" s="39" t="n">
        <f aca="false">IF(CJ$4=0,0,IF(COUNTIFS(実績!$W$6:$W$505,CJ$3,実績!$AI$6:$AI$505,"&lt;="&amp;$A183,実績!$AJ$6:$AJ$505,"&gt;"&amp;$A183,実績!$AL$6:$AL$505,"○")&gt;0,1,0))</f>
        <v>0</v>
      </c>
      <c r="CK183" s="39" t="n">
        <f aca="false">IF(CK$4=0,0,IF(COUNTIFS(実績!$W$6:$W$505,CK$3,実績!$AI$6:$AI$505,"&lt;="&amp;$A183,実績!$AJ$6:$AJ$505,"&gt;"&amp;$A183,実績!$AL$6:$AL$505,"○")&gt;0,1,0))</f>
        <v>0</v>
      </c>
      <c r="CL183" s="39" t="n">
        <f aca="false">IF(CL$4=0,0,IF(COUNTIFS(実績!$W$6:$W$505,CL$3,実績!$AI$6:$AI$505,"&lt;="&amp;$A183,実績!$AJ$6:$AJ$505,"&gt;"&amp;$A183,実績!$AL$6:$AL$505,"○")&gt;0,1,0))</f>
        <v>0</v>
      </c>
      <c r="CM183" s="39" t="n">
        <f aca="false">IF(CM$4=0,0,IF(COUNTIFS(実績!$W$6:$W$505,CM$3,実績!$AI$6:$AI$505,"&lt;="&amp;$A183,実績!$AJ$6:$AJ$505,"&gt;"&amp;$A183,実績!$AL$6:$AL$505,"○")&gt;0,1,0))</f>
        <v>0</v>
      </c>
      <c r="CN183" s="39" t="n">
        <f aca="false">IF(CN$4=0,0,IF(COUNTIFS(実績!$W$6:$W$505,CN$3,実績!$AI$6:$AI$505,"&lt;="&amp;$A183,実績!$AJ$6:$AJ$505,"&gt;"&amp;$A183,実績!$AL$6:$AL$505,"○")&gt;0,1,0))</f>
        <v>0</v>
      </c>
      <c r="CO183" s="39" t="n">
        <f aca="false">IF(CO$4=0,0,IF(COUNTIFS(実績!$W$6:$W$505,CO$3,実績!$AI$6:$AI$505,"&lt;="&amp;$A183,実績!$AJ$6:$AJ$505,"&gt;"&amp;$A183,実績!$AL$6:$AL$505,"○")&gt;0,1,0))</f>
        <v>0</v>
      </c>
      <c r="CP183" s="39" t="n">
        <f aca="false">IF(CP$4=0,0,IF(COUNTIFS(実績!$W$6:$W$505,CP$3,実績!$AI$6:$AI$505,"&lt;="&amp;$A183,実績!$AJ$6:$AJ$505,"&gt;"&amp;$A183,実績!$AL$6:$AL$505,"○")&gt;0,1,0))</f>
        <v>0</v>
      </c>
      <c r="CQ183" s="39" t="n">
        <f aca="false">IF(CQ$4=0,0,IF(COUNTIFS(実績!$W$6:$W$505,CQ$3,実績!$AI$6:$AI$505,"&lt;="&amp;$A183,実績!$AJ$6:$AJ$505,"&gt;"&amp;$A183,実績!$AL$6:$AL$505,"○")&gt;0,1,0))</f>
        <v>0</v>
      </c>
      <c r="CR183" s="39" t="n">
        <f aca="false">IF(CR$4=0,0,IF(COUNTIFS(実績!$W$6:$W$505,CR$3,実績!$AI$6:$AI$505,"&lt;="&amp;$A183,実績!$AJ$6:$AJ$505,"&gt;"&amp;$A183,実績!$AL$6:$AL$505,"○")&gt;0,1,0))</f>
        <v>0</v>
      </c>
      <c r="CS183" s="39" t="n">
        <f aca="false">IF(CS$4=0,0,IF(COUNTIFS(実績!$W$6:$W$505,CS$3,実績!$AI$6:$AI$505,"&lt;="&amp;$A183,実績!$AJ$6:$AJ$505,"&gt;"&amp;$A183,実績!$AL$6:$AL$505,"○")&gt;0,1,0))</f>
        <v>0</v>
      </c>
      <c r="CT183" s="39" t="n">
        <f aca="false">IF(CT$4=0,0,IF(COUNTIFS(実績!$W$6:$W$505,CT$3,実績!$AI$6:$AI$505,"&lt;="&amp;$A183,実績!$AJ$6:$AJ$505,"&gt;"&amp;$A183,実績!$AL$6:$AL$505,"○")&gt;0,1,0))</f>
        <v>0</v>
      </c>
      <c r="CU183" s="39" t="n">
        <f aca="false">IF(CU$4=0,0,IF(COUNTIFS(実績!$W$6:$W$505,CU$3,実績!$AI$6:$AI$505,"&lt;="&amp;$A183,実績!$AJ$6:$AJ$505,"&gt;"&amp;$A183,実績!$AL$6:$AL$505,"○")&gt;0,1,0))</f>
        <v>0</v>
      </c>
      <c r="CV183" s="39" t="n">
        <f aca="false">IF(CV$4=0,0,IF(COUNTIFS(実績!$W$6:$W$505,CV$3,実績!$AI$6:$AI$505,"&lt;="&amp;$A183,実績!$AJ$6:$AJ$505,"&gt;"&amp;$A183,実績!$AL$6:$AL$505,"○")&gt;0,1,0))</f>
        <v>0</v>
      </c>
      <c r="CW183" s="39" t="n">
        <f aca="false">IF(CW$4=0,0,IF(COUNTIFS(実績!$W$6:$W$505,CW$3,実績!$AI$6:$AI$505,"&lt;="&amp;$A183,実績!$AJ$6:$AJ$505,"&gt;"&amp;$A183,実績!$AL$6:$AL$505,"○")&gt;0,1,0))</f>
        <v>0</v>
      </c>
      <c r="CX183" s="39" t="n">
        <f aca="false">IF(CX$4=0,0,IF(COUNTIFS(実績!$W$6:$W$505,CX$3,実績!$AI$6:$AI$505,"&lt;="&amp;$A183,実績!$AJ$6:$AJ$505,"&gt;"&amp;$A183,実績!$AL$6:$AL$505,"○")&gt;0,1,0))</f>
        <v>0</v>
      </c>
      <c r="CY183" s="39" t="n">
        <f aca="false">IF(CY$4=0,0,IF(COUNTIFS(実績!$W$6:$W$505,CY$3,実績!$AI$6:$AI$505,"&lt;="&amp;$A183,実績!$AJ$6:$AJ$505,"&gt;"&amp;$A183,実績!$AL$6:$AL$505,"○")&gt;0,1,0))</f>
        <v>0</v>
      </c>
      <c r="CZ183" s="39" t="n">
        <f aca="false">IF(CZ$4=0,0,IF(COUNTIFS(実績!$W$6:$W$505,CZ$3,実績!$AI$6:$AI$505,"&lt;="&amp;$A183,実績!$AJ$6:$AJ$505,"&gt;"&amp;$A183,実績!$AL$6:$AL$505,"○")&gt;0,1,0))</f>
        <v>0</v>
      </c>
      <c r="DA183" s="39" t="n">
        <f aca="false">IF(DA$4=0,0,IF(COUNTIFS(実績!$W$6:$W$505,DA$3,実績!$AI$6:$AI$505,"&lt;="&amp;$A183,実績!$AJ$6:$AJ$505,"&gt;"&amp;$A183,実績!$AL$6:$AL$505,"○")&gt;0,1,0))</f>
        <v>0</v>
      </c>
      <c r="DB183" s="39" t="n">
        <f aca="false">IF(DB$4=0,0,IF(COUNTIFS(実績!$W$6:$W$505,DB$3,実績!$AI$6:$AI$505,"&lt;="&amp;$A183,実績!$AJ$6:$AJ$505,"&gt;"&amp;$A183,実績!$AL$6:$AL$505,"○")&gt;0,1,0))</f>
        <v>0</v>
      </c>
      <c r="DC183" s="39" t="n">
        <f aca="false">IF(DC$4=0,0,IF(COUNTIFS(実績!$W$6:$W$505,DC$3,実績!$AI$6:$AI$505,"&lt;="&amp;$A183,実績!$AJ$6:$AJ$505,"&gt;"&amp;$A183,実績!$AL$6:$AL$505,"○")&gt;0,1,0))</f>
        <v>0</v>
      </c>
      <c r="DD183" s="39" t="n">
        <f aca="false">IF(DD$4=0,0,IF(COUNTIFS(実績!$W$6:$W$505,DD$3,実績!$AI$6:$AI$505,"&lt;="&amp;$A183,実績!$AJ$6:$AJ$505,"&gt;"&amp;$A183,実績!$AL$6:$AL$505,"○")&gt;0,1,0))</f>
        <v>0</v>
      </c>
      <c r="DE183" s="39" t="n">
        <f aca="false">IF(DE$4=0,0,IF(COUNTIFS(実績!$W$6:$W$505,DE$3,実績!$AI$6:$AI$505,"&lt;="&amp;$A183,実績!$AJ$6:$AJ$505,"&gt;"&amp;$A183,実績!$AL$6:$AL$505,"○")&gt;0,1,0))</f>
        <v>0</v>
      </c>
      <c r="DF183" s="39" t="n">
        <f aca="false">IF(DF$4=0,0,IF(COUNTIFS(実績!$W$6:$W$505,DF$3,実績!$AI$6:$AI$505,"&lt;="&amp;$A183,実績!$AJ$6:$AJ$505,"&gt;"&amp;$A183,実績!$AL$6:$AL$505,"○")&gt;0,1,0))</f>
        <v>0</v>
      </c>
      <c r="DG183" s="39" t="n">
        <f aca="false">IF(DG$4=0,0,IF(COUNTIFS(実績!$W$6:$W$505,DG$3,実績!$AI$6:$AI$505,"&lt;="&amp;$A183,実績!$AJ$6:$AJ$505,"&gt;"&amp;$A183,実績!$AL$6:$AL$505,"○")&gt;0,1,0))</f>
        <v>0</v>
      </c>
      <c r="DH183" s="39" t="n">
        <f aca="false">IF(DH$4=0,0,IF(COUNTIFS(実績!$W$6:$W$505,DH$3,実績!$AI$6:$AI$505,"&lt;="&amp;$A183,実績!$AJ$6:$AJ$505,"&gt;"&amp;$A183,実績!$AL$6:$AL$505,"○")&gt;0,1,0))</f>
        <v>0</v>
      </c>
      <c r="DI183" s="39" t="n">
        <f aca="false">IF(DI$4=0,0,IF(COUNTIFS(実績!$W$6:$W$505,DI$3,実績!$AI$6:$AI$505,"&lt;="&amp;$A183,実績!$AJ$6:$AJ$505,"&gt;"&amp;$A183,実績!$AL$6:$AL$505,"○")&gt;0,1,0))</f>
        <v>0</v>
      </c>
      <c r="DJ183" s="39" t="n">
        <f aca="false">IF(DJ$4=0,0,IF(COUNTIFS(実績!$W$6:$W$505,DJ$3,実績!$AI$6:$AI$505,"&lt;="&amp;$A183,実績!$AJ$6:$AJ$505,"&gt;"&amp;$A183,実績!$AL$6:$AL$505,"○")&gt;0,1,0))</f>
        <v>0</v>
      </c>
      <c r="DK183" s="39" t="n">
        <f aca="false">IF(DK$4=0,0,IF(COUNTIFS(実績!$W$6:$W$505,DK$3,実績!$AI$6:$AI$505,"&lt;="&amp;$A183,実績!$AJ$6:$AJ$505,"&gt;"&amp;$A183,実績!$AL$6:$AL$505,"○")&gt;0,1,0))</f>
        <v>0</v>
      </c>
      <c r="DL183" s="39" t="n">
        <f aca="false">IF(DL$4=0,0,IF(COUNTIFS(実績!$W$6:$W$505,DL$3,実績!$AI$6:$AI$505,"&lt;="&amp;$A183,実績!$AJ$6:$AJ$505,"&gt;"&amp;$A183,実績!$AL$6:$AL$505,"○")&gt;0,1,0))</f>
        <v>0</v>
      </c>
      <c r="DM183" s="39" t="n">
        <f aca="false">IF(DM$4=0,0,IF(COUNTIFS(実績!$W$6:$W$505,DM$3,実績!$AI$6:$AI$505,"&lt;="&amp;$A183,実績!$AJ$6:$AJ$505,"&gt;"&amp;$A183,実績!$AL$6:$AL$505,"○")&gt;0,1,0))</f>
        <v>0</v>
      </c>
      <c r="DN183" s="39" t="n">
        <f aca="false">IF(DN$4=0,0,IF(COUNTIFS(実績!$W$6:$W$505,DN$3,実績!$AI$6:$AI$505,"&lt;="&amp;$A183,実績!$AJ$6:$AJ$505,"&gt;"&amp;$A183,実績!$AL$6:$AL$505,"○")&gt;0,1,0))</f>
        <v>0</v>
      </c>
      <c r="DO183" s="39" t="n">
        <f aca="false">IF(DO$4=0,0,IF(COUNTIFS(実績!$W$6:$W$505,DO$3,実績!$AI$6:$AI$505,"&lt;="&amp;$A183,実績!$AJ$6:$AJ$505,"&gt;"&amp;$A183,実績!$AL$6:$AL$505,"○")&gt;0,1,0))</f>
        <v>0</v>
      </c>
      <c r="DP183" s="39" t="n">
        <f aca="false">IF(DP$4=0,0,IF(COUNTIFS(実績!$W$6:$W$505,DP$3,実績!$AI$6:$AI$505,"&lt;="&amp;$A183,実績!$AJ$6:$AJ$505,"&gt;"&amp;$A183,実績!$AL$6:$AL$505,"○")&gt;0,1,0))</f>
        <v>0</v>
      </c>
      <c r="DQ183" s="39" t="n">
        <f aca="false">IF(DQ$4=0,0,IF(COUNTIFS(実績!$W$6:$W$505,DQ$3,実績!$AI$6:$AI$505,"&lt;="&amp;$A183,実績!$AJ$6:$AJ$505,"&gt;"&amp;$A183,実績!$AL$6:$AL$505,"○")&gt;0,1,0))</f>
        <v>0</v>
      </c>
      <c r="DR183" s="39" t="n">
        <f aca="false">IF(DR$4=0,0,IF(COUNTIFS(実績!$W$6:$W$505,DR$3,実績!$AI$6:$AI$505,"&lt;="&amp;$A183,実績!$AJ$6:$AJ$505,"&gt;"&amp;$A183,実績!$AL$6:$AL$505,"○")&gt;0,1,0))</f>
        <v>0</v>
      </c>
      <c r="DS183" s="39" t="n">
        <f aca="false">SUM(C183:DR183)</f>
        <v>0</v>
      </c>
    </row>
    <row r="184" customFormat="false" ht="15" hidden="false" customHeight="false" outlineLevel="0" collapsed="false">
      <c r="A184" s="0" t="n">
        <v>890</v>
      </c>
      <c r="B184" s="38" t="n">
        <f aca="false">A184/1440</f>
        <v>0.618055555555556</v>
      </c>
      <c r="C184" s="39" t="n">
        <f aca="false">IF(C$4=0,0,IF(COUNTIFS(実績!$W$6:$W$505,C$3,実績!$AI$6:$AI$505,"&lt;="&amp;$A184,実績!$AJ$6:$AJ$505,"&gt;"&amp;$A184,実績!$AL$6:$AL$505,"○")&gt;0,1,0))</f>
        <v>0</v>
      </c>
      <c r="D184" s="39" t="n">
        <f aca="false">IF(D$4=0,0,IF(COUNTIFS(実績!$W$6:$W$505,D$3,実績!$AI$6:$AI$505,"&lt;="&amp;$A184,実績!$AJ$6:$AJ$505,"&gt;"&amp;$A184,実績!$AL$6:$AL$505,"○")&gt;0,1,0))</f>
        <v>0</v>
      </c>
      <c r="E184" s="39" t="n">
        <f aca="false">IF(E$4=0,0,IF(COUNTIFS(実績!$W$6:$W$505,E$3,実績!$AI$6:$AI$505,"&lt;="&amp;$A184,実績!$AJ$6:$AJ$505,"&gt;"&amp;$A184,実績!$AL$6:$AL$505,"○")&gt;0,1,0))</f>
        <v>0</v>
      </c>
      <c r="F184" s="39" t="n">
        <f aca="false">IF(F$4=0,0,IF(COUNTIFS(実績!$W$6:$W$505,F$3,実績!$AI$6:$AI$505,"&lt;="&amp;$A184,実績!$AJ$6:$AJ$505,"&gt;"&amp;$A184,実績!$AL$6:$AL$505,"○")&gt;0,1,0))</f>
        <v>0</v>
      </c>
      <c r="G184" s="39" t="n">
        <f aca="false">IF(G$4=0,0,IF(COUNTIFS(実績!$W$6:$W$505,G$3,実績!$AI$6:$AI$505,"&lt;="&amp;$A184,実績!$AJ$6:$AJ$505,"&gt;"&amp;$A184,実績!$AL$6:$AL$505,"○")&gt;0,1,0))</f>
        <v>0</v>
      </c>
      <c r="H184" s="39" t="n">
        <f aca="false">IF(H$4=0,0,IF(COUNTIFS(実績!$W$6:$W$505,H$3,実績!$AI$6:$AI$505,"&lt;="&amp;$A184,実績!$AJ$6:$AJ$505,"&gt;"&amp;$A184,実績!$AL$6:$AL$505,"○")&gt;0,1,0))</f>
        <v>0</v>
      </c>
      <c r="I184" s="39" t="n">
        <f aca="false">IF(I$4=0,0,IF(COUNTIFS(実績!$W$6:$W$505,I$3,実績!$AI$6:$AI$505,"&lt;="&amp;$A184,実績!$AJ$6:$AJ$505,"&gt;"&amp;$A184,実績!$AL$6:$AL$505,"○")&gt;0,1,0))</f>
        <v>0</v>
      </c>
      <c r="J184" s="39" t="n">
        <f aca="false">IF(J$4=0,0,IF(COUNTIFS(実績!$W$6:$W$505,J$3,実績!$AI$6:$AI$505,"&lt;="&amp;$A184,実績!$AJ$6:$AJ$505,"&gt;"&amp;$A184,実績!$AL$6:$AL$505,"○")&gt;0,1,0))</f>
        <v>0</v>
      </c>
      <c r="K184" s="39" t="n">
        <f aca="false">IF(K$4=0,0,IF(COUNTIFS(実績!$W$6:$W$505,K$3,実績!$AI$6:$AI$505,"&lt;="&amp;$A184,実績!$AJ$6:$AJ$505,"&gt;"&amp;$A184,実績!$AL$6:$AL$505,"○")&gt;0,1,0))</f>
        <v>0</v>
      </c>
      <c r="L184" s="39" t="n">
        <f aca="false">IF(L$4=0,0,IF(COUNTIFS(実績!$W$6:$W$505,L$3,実績!$AI$6:$AI$505,"&lt;="&amp;$A184,実績!$AJ$6:$AJ$505,"&gt;"&amp;$A184,実績!$AL$6:$AL$505,"○")&gt;0,1,0))</f>
        <v>0</v>
      </c>
      <c r="M184" s="39" t="n">
        <f aca="false">IF(M$4=0,0,IF(COUNTIFS(実績!$W$6:$W$505,M$3,実績!$AI$6:$AI$505,"&lt;="&amp;$A184,実績!$AJ$6:$AJ$505,"&gt;"&amp;$A184,実績!$AL$6:$AL$505,"○")&gt;0,1,0))</f>
        <v>0</v>
      </c>
      <c r="N184" s="39" t="n">
        <f aca="false">IF(N$4=0,0,IF(COUNTIFS(実績!$W$6:$W$505,N$3,実績!$AI$6:$AI$505,"&lt;="&amp;$A184,実績!$AJ$6:$AJ$505,"&gt;"&amp;$A184,実績!$AL$6:$AL$505,"○")&gt;0,1,0))</f>
        <v>0</v>
      </c>
      <c r="O184" s="39" t="n">
        <f aca="false">IF(O$4=0,0,IF(COUNTIFS(実績!$W$6:$W$505,O$3,実績!$AI$6:$AI$505,"&lt;="&amp;$A184,実績!$AJ$6:$AJ$505,"&gt;"&amp;$A184,実績!$AL$6:$AL$505,"○")&gt;0,1,0))</f>
        <v>0</v>
      </c>
      <c r="P184" s="39" t="n">
        <f aca="false">IF(P$4=0,0,IF(COUNTIFS(実績!$W$6:$W$505,P$3,実績!$AI$6:$AI$505,"&lt;="&amp;$A184,実績!$AJ$6:$AJ$505,"&gt;"&amp;$A184,実績!$AL$6:$AL$505,"○")&gt;0,1,0))</f>
        <v>0</v>
      </c>
      <c r="Q184" s="39" t="n">
        <f aca="false">IF(Q$4=0,0,IF(COUNTIFS(実績!$W$6:$W$505,Q$3,実績!$AI$6:$AI$505,"&lt;="&amp;$A184,実績!$AJ$6:$AJ$505,"&gt;"&amp;$A184,実績!$AL$6:$AL$505,"○")&gt;0,1,0))</f>
        <v>0</v>
      </c>
      <c r="R184" s="39" t="n">
        <f aca="false">IF(R$4=0,0,IF(COUNTIFS(実績!$W$6:$W$505,R$3,実績!$AI$6:$AI$505,"&lt;="&amp;$A184,実績!$AJ$6:$AJ$505,"&gt;"&amp;$A184,実績!$AL$6:$AL$505,"○")&gt;0,1,0))</f>
        <v>0</v>
      </c>
      <c r="S184" s="39" t="n">
        <f aca="false">IF(S$4=0,0,IF(COUNTIFS(実績!$W$6:$W$505,S$3,実績!$AI$6:$AI$505,"&lt;="&amp;$A184,実績!$AJ$6:$AJ$505,"&gt;"&amp;$A184,実績!$AL$6:$AL$505,"○")&gt;0,1,0))</f>
        <v>0</v>
      </c>
      <c r="T184" s="39" t="n">
        <f aca="false">IF(T$4=0,0,IF(COUNTIFS(実績!$W$6:$W$505,T$3,実績!$AI$6:$AI$505,"&lt;="&amp;$A184,実績!$AJ$6:$AJ$505,"&gt;"&amp;$A184,実績!$AL$6:$AL$505,"○")&gt;0,1,0))</f>
        <v>0</v>
      </c>
      <c r="U184" s="39" t="n">
        <f aca="false">IF(U$4=0,0,IF(COUNTIFS(実績!$W$6:$W$505,U$3,実績!$AI$6:$AI$505,"&lt;="&amp;$A184,実績!$AJ$6:$AJ$505,"&gt;"&amp;$A184,実績!$AL$6:$AL$505,"○")&gt;0,1,0))</f>
        <v>0</v>
      </c>
      <c r="V184" s="39" t="n">
        <f aca="false">IF(V$4=0,0,IF(COUNTIFS(実績!$W$6:$W$505,V$3,実績!$AI$6:$AI$505,"&lt;="&amp;$A184,実績!$AJ$6:$AJ$505,"&gt;"&amp;$A184,実績!$AL$6:$AL$505,"○")&gt;0,1,0))</f>
        <v>0</v>
      </c>
      <c r="W184" s="39" t="n">
        <f aca="false">IF(W$4=0,0,IF(COUNTIFS(実績!$W$6:$W$505,W$3,実績!$AI$6:$AI$505,"&lt;="&amp;$A184,実績!$AJ$6:$AJ$505,"&gt;"&amp;$A184,実績!$AL$6:$AL$505,"○")&gt;0,1,0))</f>
        <v>0</v>
      </c>
      <c r="X184" s="39" t="n">
        <f aca="false">IF(X$4=0,0,IF(COUNTIFS(実績!$W$6:$W$505,X$3,実績!$AI$6:$AI$505,"&lt;="&amp;$A184,実績!$AJ$6:$AJ$505,"&gt;"&amp;$A184,実績!$AL$6:$AL$505,"○")&gt;0,1,0))</f>
        <v>0</v>
      </c>
      <c r="Y184" s="39" t="n">
        <f aca="false">IF(Y$4=0,0,IF(COUNTIFS(実績!$W$6:$W$505,Y$3,実績!$AI$6:$AI$505,"&lt;="&amp;$A184,実績!$AJ$6:$AJ$505,"&gt;"&amp;$A184,実績!$AL$6:$AL$505,"○")&gt;0,1,0))</f>
        <v>0</v>
      </c>
      <c r="Z184" s="39" t="n">
        <f aca="false">IF(Z$4=0,0,IF(COUNTIFS(実績!$W$6:$W$505,Z$3,実績!$AI$6:$AI$505,"&lt;="&amp;$A184,実績!$AJ$6:$AJ$505,"&gt;"&amp;$A184,実績!$AL$6:$AL$505,"○")&gt;0,1,0))</f>
        <v>0</v>
      </c>
      <c r="AA184" s="39" t="n">
        <f aca="false">IF(AA$4=0,0,IF(COUNTIFS(実績!$W$6:$W$505,AA$3,実績!$AI$6:$AI$505,"&lt;="&amp;$A184,実績!$AJ$6:$AJ$505,"&gt;"&amp;$A184,実績!$AL$6:$AL$505,"○")&gt;0,1,0))</f>
        <v>0</v>
      </c>
      <c r="AB184" s="39" t="n">
        <f aca="false">IF(AB$4=0,0,IF(COUNTIFS(実績!$W$6:$W$505,AB$3,実績!$AI$6:$AI$505,"&lt;="&amp;$A184,実績!$AJ$6:$AJ$505,"&gt;"&amp;$A184,実績!$AL$6:$AL$505,"○")&gt;0,1,0))</f>
        <v>0</v>
      </c>
      <c r="AC184" s="39" t="n">
        <f aca="false">IF(AC$4=0,0,IF(COUNTIFS(実績!$W$6:$W$505,AC$3,実績!$AI$6:$AI$505,"&lt;="&amp;$A184,実績!$AJ$6:$AJ$505,"&gt;"&amp;$A184,実績!$AL$6:$AL$505,"○")&gt;0,1,0))</f>
        <v>0</v>
      </c>
      <c r="AD184" s="39" t="n">
        <f aca="false">IF(AD$4=0,0,IF(COUNTIFS(実績!$W$6:$W$505,AD$3,実績!$AI$6:$AI$505,"&lt;="&amp;$A184,実績!$AJ$6:$AJ$505,"&gt;"&amp;$A184,実績!$AL$6:$AL$505,"○")&gt;0,1,0))</f>
        <v>0</v>
      </c>
      <c r="AE184" s="39" t="n">
        <f aca="false">IF(AE$4=0,0,IF(COUNTIFS(実績!$W$6:$W$505,AE$3,実績!$AI$6:$AI$505,"&lt;="&amp;$A184,実績!$AJ$6:$AJ$505,"&gt;"&amp;$A184,実績!$AL$6:$AL$505,"○")&gt;0,1,0))</f>
        <v>0</v>
      </c>
      <c r="AF184" s="39" t="n">
        <f aca="false">IF(AF$4=0,0,IF(COUNTIFS(実績!$W$6:$W$505,AF$3,実績!$AI$6:$AI$505,"&lt;="&amp;$A184,実績!$AJ$6:$AJ$505,"&gt;"&amp;$A184,実績!$AL$6:$AL$505,"○")&gt;0,1,0))</f>
        <v>0</v>
      </c>
      <c r="AG184" s="39" t="n">
        <f aca="false">IF(AG$4=0,0,IF(COUNTIFS(実績!$W$6:$W$505,AG$3,実績!$AI$6:$AI$505,"&lt;="&amp;$A184,実績!$AJ$6:$AJ$505,"&gt;"&amp;$A184,実績!$AL$6:$AL$505,"○")&gt;0,1,0))</f>
        <v>0</v>
      </c>
      <c r="AH184" s="39" t="n">
        <f aca="false">IF(AH$4=0,0,IF(COUNTIFS(実績!$W$6:$W$505,AH$3,実績!$AI$6:$AI$505,"&lt;="&amp;$A184,実績!$AJ$6:$AJ$505,"&gt;"&amp;$A184,実績!$AL$6:$AL$505,"○")&gt;0,1,0))</f>
        <v>0</v>
      </c>
      <c r="AI184" s="39" t="n">
        <f aca="false">IF(AI$4=0,0,IF(COUNTIFS(実績!$W$6:$W$505,AI$3,実績!$AI$6:$AI$505,"&lt;="&amp;$A184,実績!$AJ$6:$AJ$505,"&gt;"&amp;$A184,実績!$AL$6:$AL$505,"○")&gt;0,1,0))</f>
        <v>0</v>
      </c>
      <c r="AJ184" s="39" t="n">
        <f aca="false">IF(AJ$4=0,0,IF(COUNTIFS(実績!$W$6:$W$505,AJ$3,実績!$AI$6:$AI$505,"&lt;="&amp;$A184,実績!$AJ$6:$AJ$505,"&gt;"&amp;$A184,実績!$AL$6:$AL$505,"○")&gt;0,1,0))</f>
        <v>0</v>
      </c>
      <c r="AK184" s="39" t="n">
        <f aca="false">IF(AK$4=0,0,IF(COUNTIFS(実績!$W$6:$W$505,AK$3,実績!$AI$6:$AI$505,"&lt;="&amp;$A184,実績!$AJ$6:$AJ$505,"&gt;"&amp;$A184,実績!$AL$6:$AL$505,"○")&gt;0,1,0))</f>
        <v>0</v>
      </c>
      <c r="AL184" s="39" t="n">
        <f aca="false">IF(AL$4=0,0,IF(COUNTIFS(実績!$W$6:$W$505,AL$3,実績!$AI$6:$AI$505,"&lt;="&amp;$A184,実績!$AJ$6:$AJ$505,"&gt;"&amp;$A184,実績!$AL$6:$AL$505,"○")&gt;0,1,0))</f>
        <v>0</v>
      </c>
      <c r="AM184" s="39" t="n">
        <f aca="false">IF(AM$4=0,0,IF(COUNTIFS(実績!$W$6:$W$505,AM$3,実績!$AI$6:$AI$505,"&lt;="&amp;$A184,実績!$AJ$6:$AJ$505,"&gt;"&amp;$A184,実績!$AL$6:$AL$505,"○")&gt;0,1,0))</f>
        <v>0</v>
      </c>
      <c r="AN184" s="39" t="n">
        <f aca="false">IF(AN$4=0,0,IF(COUNTIFS(実績!$W$6:$W$505,AN$3,実績!$AI$6:$AI$505,"&lt;="&amp;$A184,実績!$AJ$6:$AJ$505,"&gt;"&amp;$A184,実績!$AL$6:$AL$505,"○")&gt;0,1,0))</f>
        <v>0</v>
      </c>
      <c r="AO184" s="39" t="n">
        <f aca="false">IF(AO$4=0,0,IF(COUNTIFS(実績!$W$6:$W$505,AO$3,実績!$AI$6:$AI$505,"&lt;="&amp;$A184,実績!$AJ$6:$AJ$505,"&gt;"&amp;$A184,実績!$AL$6:$AL$505,"○")&gt;0,1,0))</f>
        <v>0</v>
      </c>
      <c r="AP184" s="39" t="n">
        <f aca="false">IF(AP$4=0,0,IF(COUNTIFS(実績!$W$6:$W$505,AP$3,実績!$AI$6:$AI$505,"&lt;="&amp;$A184,実績!$AJ$6:$AJ$505,"&gt;"&amp;$A184,実績!$AL$6:$AL$505,"○")&gt;0,1,0))</f>
        <v>0</v>
      </c>
      <c r="AQ184" s="39" t="n">
        <f aca="false">IF(AQ$4=0,0,IF(COUNTIFS(実績!$W$6:$W$505,AQ$3,実績!$AI$6:$AI$505,"&lt;="&amp;$A184,実績!$AJ$6:$AJ$505,"&gt;"&amp;$A184,実績!$AL$6:$AL$505,"○")&gt;0,1,0))</f>
        <v>0</v>
      </c>
      <c r="AR184" s="39" t="n">
        <f aca="false">IF(AR$4=0,0,IF(COUNTIFS(実績!$W$6:$W$505,AR$3,実績!$AI$6:$AI$505,"&lt;="&amp;$A184,実績!$AJ$6:$AJ$505,"&gt;"&amp;$A184,実績!$AL$6:$AL$505,"○")&gt;0,1,0))</f>
        <v>0</v>
      </c>
      <c r="AS184" s="39" t="n">
        <f aca="false">IF(AS$4=0,0,IF(COUNTIFS(実績!$W$6:$W$505,AS$3,実績!$AI$6:$AI$505,"&lt;="&amp;$A184,実績!$AJ$6:$AJ$505,"&gt;"&amp;$A184,実績!$AL$6:$AL$505,"○")&gt;0,1,0))</f>
        <v>0</v>
      </c>
      <c r="AT184" s="39" t="n">
        <f aca="false">IF(AT$4=0,0,IF(COUNTIFS(実績!$W$6:$W$505,AT$3,実績!$AI$6:$AI$505,"&lt;="&amp;$A184,実績!$AJ$6:$AJ$505,"&gt;"&amp;$A184,実績!$AL$6:$AL$505,"○")&gt;0,1,0))</f>
        <v>0</v>
      </c>
      <c r="AU184" s="39" t="n">
        <f aca="false">IF(AU$4=0,0,IF(COUNTIFS(実績!$W$6:$W$505,AU$3,実績!$AI$6:$AI$505,"&lt;="&amp;$A184,実績!$AJ$6:$AJ$505,"&gt;"&amp;$A184,実績!$AL$6:$AL$505,"○")&gt;0,1,0))</f>
        <v>0</v>
      </c>
      <c r="AV184" s="39" t="n">
        <f aca="false">IF(AV$4=0,0,IF(COUNTIFS(実績!$W$6:$W$505,AV$3,実績!$AI$6:$AI$505,"&lt;="&amp;$A184,実績!$AJ$6:$AJ$505,"&gt;"&amp;$A184,実績!$AL$6:$AL$505,"○")&gt;0,1,0))</f>
        <v>0</v>
      </c>
      <c r="AW184" s="39" t="n">
        <f aca="false">IF(AW$4=0,0,IF(COUNTIFS(実績!$W$6:$W$505,AW$3,実績!$AI$6:$AI$505,"&lt;="&amp;$A184,実績!$AJ$6:$AJ$505,"&gt;"&amp;$A184,実績!$AL$6:$AL$505,"○")&gt;0,1,0))</f>
        <v>0</v>
      </c>
      <c r="AX184" s="39" t="n">
        <f aca="false">IF(AX$4=0,0,IF(COUNTIFS(実績!$W$6:$W$505,AX$3,実績!$AI$6:$AI$505,"&lt;="&amp;$A184,実績!$AJ$6:$AJ$505,"&gt;"&amp;$A184,実績!$AL$6:$AL$505,"○")&gt;0,1,0))</f>
        <v>0</v>
      </c>
      <c r="AY184" s="39" t="n">
        <f aca="false">IF(AY$4=0,0,IF(COUNTIFS(実績!$W$6:$W$505,AY$3,実績!$AI$6:$AI$505,"&lt;="&amp;$A184,実績!$AJ$6:$AJ$505,"&gt;"&amp;$A184,実績!$AL$6:$AL$505,"○")&gt;0,1,0))</f>
        <v>0</v>
      </c>
      <c r="AZ184" s="39" t="n">
        <f aca="false">IF(AZ$4=0,0,IF(COUNTIFS(実績!$W$6:$W$505,AZ$3,実績!$AI$6:$AI$505,"&lt;="&amp;$A184,実績!$AJ$6:$AJ$505,"&gt;"&amp;$A184,実績!$AL$6:$AL$505,"○")&gt;0,1,0))</f>
        <v>0</v>
      </c>
      <c r="BA184" s="39" t="n">
        <f aca="false">IF(BA$4=0,0,IF(COUNTIFS(実績!$W$6:$W$505,BA$3,実績!$AI$6:$AI$505,"&lt;="&amp;$A184,実績!$AJ$6:$AJ$505,"&gt;"&amp;$A184,実績!$AL$6:$AL$505,"○")&gt;0,1,0))</f>
        <v>0</v>
      </c>
      <c r="BB184" s="39" t="n">
        <f aca="false">IF(BB$4=0,0,IF(COUNTIFS(実績!$W$6:$W$505,BB$3,実績!$AI$6:$AI$505,"&lt;="&amp;$A184,実績!$AJ$6:$AJ$505,"&gt;"&amp;$A184,実績!$AL$6:$AL$505,"○")&gt;0,1,0))</f>
        <v>0</v>
      </c>
      <c r="BC184" s="39" t="n">
        <f aca="false">IF(BC$4=0,0,IF(COUNTIFS(実績!$W$6:$W$505,BC$3,実績!$AI$6:$AI$505,"&lt;="&amp;$A184,実績!$AJ$6:$AJ$505,"&gt;"&amp;$A184,実績!$AL$6:$AL$505,"○")&gt;0,1,0))</f>
        <v>0</v>
      </c>
      <c r="BD184" s="39" t="n">
        <f aca="false">IF(BD$4=0,0,IF(COUNTIFS(実績!$W$6:$W$505,BD$3,実績!$AI$6:$AI$505,"&lt;="&amp;$A184,実績!$AJ$6:$AJ$505,"&gt;"&amp;$A184,実績!$AL$6:$AL$505,"○")&gt;0,1,0))</f>
        <v>0</v>
      </c>
      <c r="BE184" s="39" t="n">
        <f aca="false">IF(BE$4=0,0,IF(COUNTIFS(実績!$W$6:$W$505,BE$3,実績!$AI$6:$AI$505,"&lt;="&amp;$A184,実績!$AJ$6:$AJ$505,"&gt;"&amp;$A184,実績!$AL$6:$AL$505,"○")&gt;0,1,0))</f>
        <v>0</v>
      </c>
      <c r="BF184" s="39" t="n">
        <f aca="false">IF(BF$4=0,0,IF(COUNTIFS(実績!$W$6:$W$505,BF$3,実績!$AI$6:$AI$505,"&lt;="&amp;$A184,実績!$AJ$6:$AJ$505,"&gt;"&amp;$A184,実績!$AL$6:$AL$505,"○")&gt;0,1,0))</f>
        <v>0</v>
      </c>
      <c r="BG184" s="39" t="n">
        <f aca="false">IF(BG$4=0,0,IF(COUNTIFS(実績!$W$6:$W$505,BG$3,実績!$AI$6:$AI$505,"&lt;="&amp;$A184,実績!$AJ$6:$AJ$505,"&gt;"&amp;$A184,実績!$AL$6:$AL$505,"○")&gt;0,1,0))</f>
        <v>0</v>
      </c>
      <c r="BH184" s="39" t="n">
        <f aca="false">IF(BH$4=0,0,IF(COUNTIFS(実績!$W$6:$W$505,BH$3,実績!$AI$6:$AI$505,"&lt;="&amp;$A184,実績!$AJ$6:$AJ$505,"&gt;"&amp;$A184,実績!$AL$6:$AL$505,"○")&gt;0,1,0))</f>
        <v>0</v>
      </c>
      <c r="BI184" s="39" t="n">
        <f aca="false">IF(BI$4=0,0,IF(COUNTIFS(実績!$W$6:$W$505,BI$3,実績!$AI$6:$AI$505,"&lt;="&amp;$A184,実績!$AJ$6:$AJ$505,"&gt;"&amp;$A184,実績!$AL$6:$AL$505,"○")&gt;0,1,0))</f>
        <v>0</v>
      </c>
      <c r="BJ184" s="39" t="n">
        <f aca="false">IF(BJ$4=0,0,IF(COUNTIFS(実績!$W$6:$W$505,BJ$3,実績!$AI$6:$AI$505,"&lt;="&amp;$A184,実績!$AJ$6:$AJ$505,"&gt;"&amp;$A184,実績!$AL$6:$AL$505,"○")&gt;0,1,0))</f>
        <v>0</v>
      </c>
      <c r="BK184" s="39" t="n">
        <f aca="false">IF(BK$4=0,0,IF(COUNTIFS(実績!$W$6:$W$505,BK$3,実績!$AI$6:$AI$505,"&lt;="&amp;$A184,実績!$AJ$6:$AJ$505,"&gt;"&amp;$A184,実績!$AL$6:$AL$505,"○")&gt;0,1,0))</f>
        <v>0</v>
      </c>
      <c r="BL184" s="39" t="n">
        <f aca="false">IF(BL$4=0,0,IF(COUNTIFS(実績!$W$6:$W$505,BL$3,実績!$AI$6:$AI$505,"&lt;="&amp;$A184,実績!$AJ$6:$AJ$505,"&gt;"&amp;$A184,実績!$AL$6:$AL$505,"○")&gt;0,1,0))</f>
        <v>0</v>
      </c>
      <c r="BM184" s="39" t="n">
        <f aca="false">IF(BM$4=0,0,IF(COUNTIFS(実績!$W$6:$W$505,BM$3,実績!$AI$6:$AI$505,"&lt;="&amp;$A184,実績!$AJ$6:$AJ$505,"&gt;"&amp;$A184,実績!$AL$6:$AL$505,"○")&gt;0,1,0))</f>
        <v>0</v>
      </c>
      <c r="BN184" s="39" t="n">
        <f aca="false">IF(BN$4=0,0,IF(COUNTIFS(実績!$W$6:$W$505,BN$3,実績!$AI$6:$AI$505,"&lt;="&amp;$A184,実績!$AJ$6:$AJ$505,"&gt;"&amp;$A184,実績!$AL$6:$AL$505,"○")&gt;0,1,0))</f>
        <v>0</v>
      </c>
      <c r="BO184" s="39" t="n">
        <f aca="false">IF(BO$4=0,0,IF(COUNTIFS(実績!$W$6:$W$505,BO$3,実績!$AI$6:$AI$505,"&lt;="&amp;$A184,実績!$AJ$6:$AJ$505,"&gt;"&amp;$A184,実績!$AL$6:$AL$505,"○")&gt;0,1,0))</f>
        <v>0</v>
      </c>
      <c r="BP184" s="39" t="n">
        <f aca="false">IF(BP$4=0,0,IF(COUNTIFS(実績!$W$6:$W$505,BP$3,実績!$AI$6:$AI$505,"&lt;="&amp;$A184,実績!$AJ$6:$AJ$505,"&gt;"&amp;$A184,実績!$AL$6:$AL$505,"○")&gt;0,1,0))</f>
        <v>0</v>
      </c>
      <c r="BQ184" s="39" t="n">
        <f aca="false">IF(BQ$4=0,0,IF(COUNTIFS(実績!$W$6:$W$505,BQ$3,実績!$AI$6:$AI$505,"&lt;="&amp;$A184,実績!$AJ$6:$AJ$505,"&gt;"&amp;$A184,実績!$AL$6:$AL$505,"○")&gt;0,1,0))</f>
        <v>0</v>
      </c>
      <c r="BR184" s="39" t="n">
        <f aca="false">IF(BR$4=0,0,IF(COUNTIFS(実績!$W$6:$W$505,BR$3,実績!$AI$6:$AI$505,"&lt;="&amp;$A184,実績!$AJ$6:$AJ$505,"&gt;"&amp;$A184,実績!$AL$6:$AL$505,"○")&gt;0,1,0))</f>
        <v>0</v>
      </c>
      <c r="BS184" s="39" t="n">
        <f aca="false">IF(BS$4=0,0,IF(COUNTIFS(実績!$W$6:$W$505,BS$3,実績!$AI$6:$AI$505,"&lt;="&amp;$A184,実績!$AJ$6:$AJ$505,"&gt;"&amp;$A184,実績!$AL$6:$AL$505,"○")&gt;0,1,0))</f>
        <v>0</v>
      </c>
      <c r="BT184" s="39" t="n">
        <f aca="false">IF(BT$4=0,0,IF(COUNTIFS(実績!$W$6:$W$505,BT$3,実績!$AI$6:$AI$505,"&lt;="&amp;$A184,実績!$AJ$6:$AJ$505,"&gt;"&amp;$A184,実績!$AL$6:$AL$505,"○")&gt;0,1,0))</f>
        <v>0</v>
      </c>
      <c r="BU184" s="39" t="n">
        <f aca="false">IF(BU$4=0,0,IF(COUNTIFS(実績!$W$6:$W$505,BU$3,実績!$AI$6:$AI$505,"&lt;="&amp;$A184,実績!$AJ$6:$AJ$505,"&gt;"&amp;$A184,実績!$AL$6:$AL$505,"○")&gt;0,1,0))</f>
        <v>0</v>
      </c>
      <c r="BV184" s="39" t="n">
        <f aca="false">IF(BV$4=0,0,IF(COUNTIFS(実績!$W$6:$W$505,BV$3,実績!$AI$6:$AI$505,"&lt;="&amp;$A184,実績!$AJ$6:$AJ$505,"&gt;"&amp;$A184,実績!$AL$6:$AL$505,"○")&gt;0,1,0))</f>
        <v>0</v>
      </c>
      <c r="BW184" s="39" t="n">
        <f aca="false">IF(BW$4=0,0,IF(COUNTIFS(実績!$W$6:$W$505,BW$3,実績!$AI$6:$AI$505,"&lt;="&amp;$A184,実績!$AJ$6:$AJ$505,"&gt;"&amp;$A184,実績!$AL$6:$AL$505,"○")&gt;0,1,0))</f>
        <v>0</v>
      </c>
      <c r="BX184" s="39" t="n">
        <f aca="false">IF(BX$4=0,0,IF(COUNTIFS(実績!$W$6:$W$505,BX$3,実績!$AI$6:$AI$505,"&lt;="&amp;$A184,実績!$AJ$6:$AJ$505,"&gt;"&amp;$A184,実績!$AL$6:$AL$505,"○")&gt;0,1,0))</f>
        <v>0</v>
      </c>
      <c r="BY184" s="39" t="n">
        <f aca="false">IF(BY$4=0,0,IF(COUNTIFS(実績!$W$6:$W$505,BY$3,実績!$AI$6:$AI$505,"&lt;="&amp;$A184,実績!$AJ$6:$AJ$505,"&gt;"&amp;$A184,実績!$AL$6:$AL$505,"○")&gt;0,1,0))</f>
        <v>0</v>
      </c>
      <c r="BZ184" s="39" t="n">
        <f aca="false">IF(BZ$4=0,0,IF(COUNTIFS(実績!$W$6:$W$505,BZ$3,実績!$AI$6:$AI$505,"&lt;="&amp;$A184,実績!$AJ$6:$AJ$505,"&gt;"&amp;$A184,実績!$AL$6:$AL$505,"○")&gt;0,1,0))</f>
        <v>0</v>
      </c>
      <c r="CA184" s="39" t="n">
        <f aca="false">IF(CA$4=0,0,IF(COUNTIFS(実績!$W$6:$W$505,CA$3,実績!$AI$6:$AI$505,"&lt;="&amp;$A184,実績!$AJ$6:$AJ$505,"&gt;"&amp;$A184,実績!$AL$6:$AL$505,"○")&gt;0,1,0))</f>
        <v>0</v>
      </c>
      <c r="CB184" s="39" t="n">
        <f aca="false">IF(CB$4=0,0,IF(COUNTIFS(実績!$W$6:$W$505,CB$3,実績!$AI$6:$AI$505,"&lt;="&amp;$A184,実績!$AJ$6:$AJ$505,"&gt;"&amp;$A184,実績!$AL$6:$AL$505,"○")&gt;0,1,0))</f>
        <v>0</v>
      </c>
      <c r="CC184" s="39" t="n">
        <f aca="false">IF(CC$4=0,0,IF(COUNTIFS(実績!$W$6:$W$505,CC$3,実績!$AI$6:$AI$505,"&lt;="&amp;$A184,実績!$AJ$6:$AJ$505,"&gt;"&amp;$A184,実績!$AL$6:$AL$505,"○")&gt;0,1,0))</f>
        <v>0</v>
      </c>
      <c r="CD184" s="39" t="n">
        <f aca="false">IF(CD$4=0,0,IF(COUNTIFS(実績!$W$6:$W$505,CD$3,実績!$AI$6:$AI$505,"&lt;="&amp;$A184,実績!$AJ$6:$AJ$505,"&gt;"&amp;$A184,実績!$AL$6:$AL$505,"○")&gt;0,1,0))</f>
        <v>0</v>
      </c>
      <c r="CE184" s="39" t="n">
        <f aca="false">IF(CE$4=0,0,IF(COUNTIFS(実績!$W$6:$W$505,CE$3,実績!$AI$6:$AI$505,"&lt;="&amp;$A184,実績!$AJ$6:$AJ$505,"&gt;"&amp;$A184,実績!$AL$6:$AL$505,"○")&gt;0,1,0))</f>
        <v>0</v>
      </c>
      <c r="CF184" s="39" t="n">
        <f aca="false">IF(CF$4=0,0,IF(COUNTIFS(実績!$W$6:$W$505,CF$3,実績!$AI$6:$AI$505,"&lt;="&amp;$A184,実績!$AJ$6:$AJ$505,"&gt;"&amp;$A184,実績!$AL$6:$AL$505,"○")&gt;0,1,0))</f>
        <v>0</v>
      </c>
      <c r="CG184" s="39" t="n">
        <f aca="false">IF(CG$4=0,0,IF(COUNTIFS(実績!$W$6:$W$505,CG$3,実績!$AI$6:$AI$505,"&lt;="&amp;$A184,実績!$AJ$6:$AJ$505,"&gt;"&amp;$A184,実績!$AL$6:$AL$505,"○")&gt;0,1,0))</f>
        <v>0</v>
      </c>
      <c r="CH184" s="39" t="n">
        <f aca="false">IF(CH$4=0,0,IF(COUNTIFS(実績!$W$6:$W$505,CH$3,実績!$AI$6:$AI$505,"&lt;="&amp;$A184,実績!$AJ$6:$AJ$505,"&gt;"&amp;$A184,実績!$AL$6:$AL$505,"○")&gt;0,1,0))</f>
        <v>0</v>
      </c>
      <c r="CI184" s="39" t="n">
        <f aca="false">IF(CI$4=0,0,IF(COUNTIFS(実績!$W$6:$W$505,CI$3,実績!$AI$6:$AI$505,"&lt;="&amp;$A184,実績!$AJ$6:$AJ$505,"&gt;"&amp;$A184,実績!$AL$6:$AL$505,"○")&gt;0,1,0))</f>
        <v>0</v>
      </c>
      <c r="CJ184" s="39" t="n">
        <f aca="false">IF(CJ$4=0,0,IF(COUNTIFS(実績!$W$6:$W$505,CJ$3,実績!$AI$6:$AI$505,"&lt;="&amp;$A184,実績!$AJ$6:$AJ$505,"&gt;"&amp;$A184,実績!$AL$6:$AL$505,"○")&gt;0,1,0))</f>
        <v>0</v>
      </c>
      <c r="CK184" s="39" t="n">
        <f aca="false">IF(CK$4=0,0,IF(COUNTIFS(実績!$W$6:$W$505,CK$3,実績!$AI$6:$AI$505,"&lt;="&amp;$A184,実績!$AJ$6:$AJ$505,"&gt;"&amp;$A184,実績!$AL$6:$AL$505,"○")&gt;0,1,0))</f>
        <v>0</v>
      </c>
      <c r="CL184" s="39" t="n">
        <f aca="false">IF(CL$4=0,0,IF(COUNTIFS(実績!$W$6:$W$505,CL$3,実績!$AI$6:$AI$505,"&lt;="&amp;$A184,実績!$AJ$6:$AJ$505,"&gt;"&amp;$A184,実績!$AL$6:$AL$505,"○")&gt;0,1,0))</f>
        <v>0</v>
      </c>
      <c r="CM184" s="39" t="n">
        <f aca="false">IF(CM$4=0,0,IF(COUNTIFS(実績!$W$6:$W$505,CM$3,実績!$AI$6:$AI$505,"&lt;="&amp;$A184,実績!$AJ$6:$AJ$505,"&gt;"&amp;$A184,実績!$AL$6:$AL$505,"○")&gt;0,1,0))</f>
        <v>0</v>
      </c>
      <c r="CN184" s="39" t="n">
        <f aca="false">IF(CN$4=0,0,IF(COUNTIFS(実績!$W$6:$W$505,CN$3,実績!$AI$6:$AI$505,"&lt;="&amp;$A184,実績!$AJ$6:$AJ$505,"&gt;"&amp;$A184,実績!$AL$6:$AL$505,"○")&gt;0,1,0))</f>
        <v>0</v>
      </c>
      <c r="CO184" s="39" t="n">
        <f aca="false">IF(CO$4=0,0,IF(COUNTIFS(実績!$W$6:$W$505,CO$3,実績!$AI$6:$AI$505,"&lt;="&amp;$A184,実績!$AJ$6:$AJ$505,"&gt;"&amp;$A184,実績!$AL$6:$AL$505,"○")&gt;0,1,0))</f>
        <v>0</v>
      </c>
      <c r="CP184" s="39" t="n">
        <f aca="false">IF(CP$4=0,0,IF(COUNTIFS(実績!$W$6:$W$505,CP$3,実績!$AI$6:$AI$505,"&lt;="&amp;$A184,実績!$AJ$6:$AJ$505,"&gt;"&amp;$A184,実績!$AL$6:$AL$505,"○")&gt;0,1,0))</f>
        <v>0</v>
      </c>
      <c r="CQ184" s="39" t="n">
        <f aca="false">IF(CQ$4=0,0,IF(COUNTIFS(実績!$W$6:$W$505,CQ$3,実績!$AI$6:$AI$505,"&lt;="&amp;$A184,実績!$AJ$6:$AJ$505,"&gt;"&amp;$A184,実績!$AL$6:$AL$505,"○")&gt;0,1,0))</f>
        <v>0</v>
      </c>
      <c r="CR184" s="39" t="n">
        <f aca="false">IF(CR$4=0,0,IF(COUNTIFS(実績!$W$6:$W$505,CR$3,実績!$AI$6:$AI$505,"&lt;="&amp;$A184,実績!$AJ$6:$AJ$505,"&gt;"&amp;$A184,実績!$AL$6:$AL$505,"○")&gt;0,1,0))</f>
        <v>0</v>
      </c>
      <c r="CS184" s="39" t="n">
        <f aca="false">IF(CS$4=0,0,IF(COUNTIFS(実績!$W$6:$W$505,CS$3,実績!$AI$6:$AI$505,"&lt;="&amp;$A184,実績!$AJ$6:$AJ$505,"&gt;"&amp;$A184,実績!$AL$6:$AL$505,"○")&gt;0,1,0))</f>
        <v>0</v>
      </c>
      <c r="CT184" s="39" t="n">
        <f aca="false">IF(CT$4=0,0,IF(COUNTIFS(実績!$W$6:$W$505,CT$3,実績!$AI$6:$AI$505,"&lt;="&amp;$A184,実績!$AJ$6:$AJ$505,"&gt;"&amp;$A184,実績!$AL$6:$AL$505,"○")&gt;0,1,0))</f>
        <v>0</v>
      </c>
      <c r="CU184" s="39" t="n">
        <f aca="false">IF(CU$4=0,0,IF(COUNTIFS(実績!$W$6:$W$505,CU$3,実績!$AI$6:$AI$505,"&lt;="&amp;$A184,実績!$AJ$6:$AJ$505,"&gt;"&amp;$A184,実績!$AL$6:$AL$505,"○")&gt;0,1,0))</f>
        <v>0</v>
      </c>
      <c r="CV184" s="39" t="n">
        <f aca="false">IF(CV$4=0,0,IF(COUNTIFS(実績!$W$6:$W$505,CV$3,実績!$AI$6:$AI$505,"&lt;="&amp;$A184,実績!$AJ$6:$AJ$505,"&gt;"&amp;$A184,実績!$AL$6:$AL$505,"○")&gt;0,1,0))</f>
        <v>0</v>
      </c>
      <c r="CW184" s="39" t="n">
        <f aca="false">IF(CW$4=0,0,IF(COUNTIFS(実績!$W$6:$W$505,CW$3,実績!$AI$6:$AI$505,"&lt;="&amp;$A184,実績!$AJ$6:$AJ$505,"&gt;"&amp;$A184,実績!$AL$6:$AL$505,"○")&gt;0,1,0))</f>
        <v>0</v>
      </c>
      <c r="CX184" s="39" t="n">
        <f aca="false">IF(CX$4=0,0,IF(COUNTIFS(実績!$W$6:$W$505,CX$3,実績!$AI$6:$AI$505,"&lt;="&amp;$A184,実績!$AJ$6:$AJ$505,"&gt;"&amp;$A184,実績!$AL$6:$AL$505,"○")&gt;0,1,0))</f>
        <v>0</v>
      </c>
      <c r="CY184" s="39" t="n">
        <f aca="false">IF(CY$4=0,0,IF(COUNTIFS(実績!$W$6:$W$505,CY$3,実績!$AI$6:$AI$505,"&lt;="&amp;$A184,実績!$AJ$6:$AJ$505,"&gt;"&amp;$A184,実績!$AL$6:$AL$505,"○")&gt;0,1,0))</f>
        <v>0</v>
      </c>
      <c r="CZ184" s="39" t="n">
        <f aca="false">IF(CZ$4=0,0,IF(COUNTIFS(実績!$W$6:$W$505,CZ$3,実績!$AI$6:$AI$505,"&lt;="&amp;$A184,実績!$AJ$6:$AJ$505,"&gt;"&amp;$A184,実績!$AL$6:$AL$505,"○")&gt;0,1,0))</f>
        <v>0</v>
      </c>
      <c r="DA184" s="39" t="n">
        <f aca="false">IF(DA$4=0,0,IF(COUNTIFS(実績!$W$6:$W$505,DA$3,実績!$AI$6:$AI$505,"&lt;="&amp;$A184,実績!$AJ$6:$AJ$505,"&gt;"&amp;$A184,実績!$AL$6:$AL$505,"○")&gt;0,1,0))</f>
        <v>0</v>
      </c>
      <c r="DB184" s="39" t="n">
        <f aca="false">IF(DB$4=0,0,IF(COUNTIFS(実績!$W$6:$W$505,DB$3,実績!$AI$6:$AI$505,"&lt;="&amp;$A184,実績!$AJ$6:$AJ$505,"&gt;"&amp;$A184,実績!$AL$6:$AL$505,"○")&gt;0,1,0))</f>
        <v>0</v>
      </c>
      <c r="DC184" s="39" t="n">
        <f aca="false">IF(DC$4=0,0,IF(COUNTIFS(実績!$W$6:$W$505,DC$3,実績!$AI$6:$AI$505,"&lt;="&amp;$A184,実績!$AJ$6:$AJ$505,"&gt;"&amp;$A184,実績!$AL$6:$AL$505,"○")&gt;0,1,0))</f>
        <v>0</v>
      </c>
      <c r="DD184" s="39" t="n">
        <f aca="false">IF(DD$4=0,0,IF(COUNTIFS(実績!$W$6:$W$505,DD$3,実績!$AI$6:$AI$505,"&lt;="&amp;$A184,実績!$AJ$6:$AJ$505,"&gt;"&amp;$A184,実績!$AL$6:$AL$505,"○")&gt;0,1,0))</f>
        <v>0</v>
      </c>
      <c r="DE184" s="39" t="n">
        <f aca="false">IF(DE$4=0,0,IF(COUNTIFS(実績!$W$6:$W$505,DE$3,実績!$AI$6:$AI$505,"&lt;="&amp;$A184,実績!$AJ$6:$AJ$505,"&gt;"&amp;$A184,実績!$AL$6:$AL$505,"○")&gt;0,1,0))</f>
        <v>0</v>
      </c>
      <c r="DF184" s="39" t="n">
        <f aca="false">IF(DF$4=0,0,IF(COUNTIFS(実績!$W$6:$W$505,DF$3,実績!$AI$6:$AI$505,"&lt;="&amp;$A184,実績!$AJ$6:$AJ$505,"&gt;"&amp;$A184,実績!$AL$6:$AL$505,"○")&gt;0,1,0))</f>
        <v>0</v>
      </c>
      <c r="DG184" s="39" t="n">
        <f aca="false">IF(DG$4=0,0,IF(COUNTIFS(実績!$W$6:$W$505,DG$3,実績!$AI$6:$AI$505,"&lt;="&amp;$A184,実績!$AJ$6:$AJ$505,"&gt;"&amp;$A184,実績!$AL$6:$AL$505,"○")&gt;0,1,0))</f>
        <v>0</v>
      </c>
      <c r="DH184" s="39" t="n">
        <f aca="false">IF(DH$4=0,0,IF(COUNTIFS(実績!$W$6:$W$505,DH$3,実績!$AI$6:$AI$505,"&lt;="&amp;$A184,実績!$AJ$6:$AJ$505,"&gt;"&amp;$A184,実績!$AL$6:$AL$505,"○")&gt;0,1,0))</f>
        <v>0</v>
      </c>
      <c r="DI184" s="39" t="n">
        <f aca="false">IF(DI$4=0,0,IF(COUNTIFS(実績!$W$6:$W$505,DI$3,実績!$AI$6:$AI$505,"&lt;="&amp;$A184,実績!$AJ$6:$AJ$505,"&gt;"&amp;$A184,実績!$AL$6:$AL$505,"○")&gt;0,1,0))</f>
        <v>0</v>
      </c>
      <c r="DJ184" s="39" t="n">
        <f aca="false">IF(DJ$4=0,0,IF(COUNTIFS(実績!$W$6:$W$505,DJ$3,実績!$AI$6:$AI$505,"&lt;="&amp;$A184,実績!$AJ$6:$AJ$505,"&gt;"&amp;$A184,実績!$AL$6:$AL$505,"○")&gt;0,1,0))</f>
        <v>0</v>
      </c>
      <c r="DK184" s="39" t="n">
        <f aca="false">IF(DK$4=0,0,IF(COUNTIFS(実績!$W$6:$W$505,DK$3,実績!$AI$6:$AI$505,"&lt;="&amp;$A184,実績!$AJ$6:$AJ$505,"&gt;"&amp;$A184,実績!$AL$6:$AL$505,"○")&gt;0,1,0))</f>
        <v>0</v>
      </c>
      <c r="DL184" s="39" t="n">
        <f aca="false">IF(DL$4=0,0,IF(COUNTIFS(実績!$W$6:$W$505,DL$3,実績!$AI$6:$AI$505,"&lt;="&amp;$A184,実績!$AJ$6:$AJ$505,"&gt;"&amp;$A184,実績!$AL$6:$AL$505,"○")&gt;0,1,0))</f>
        <v>0</v>
      </c>
      <c r="DM184" s="39" t="n">
        <f aca="false">IF(DM$4=0,0,IF(COUNTIFS(実績!$W$6:$W$505,DM$3,実績!$AI$6:$AI$505,"&lt;="&amp;$A184,実績!$AJ$6:$AJ$505,"&gt;"&amp;$A184,実績!$AL$6:$AL$505,"○")&gt;0,1,0))</f>
        <v>0</v>
      </c>
      <c r="DN184" s="39" t="n">
        <f aca="false">IF(DN$4=0,0,IF(COUNTIFS(実績!$W$6:$W$505,DN$3,実績!$AI$6:$AI$505,"&lt;="&amp;$A184,実績!$AJ$6:$AJ$505,"&gt;"&amp;$A184,実績!$AL$6:$AL$505,"○")&gt;0,1,0))</f>
        <v>0</v>
      </c>
      <c r="DO184" s="39" t="n">
        <f aca="false">IF(DO$4=0,0,IF(COUNTIFS(実績!$W$6:$W$505,DO$3,実績!$AI$6:$AI$505,"&lt;="&amp;$A184,実績!$AJ$6:$AJ$505,"&gt;"&amp;$A184,実績!$AL$6:$AL$505,"○")&gt;0,1,0))</f>
        <v>0</v>
      </c>
      <c r="DP184" s="39" t="n">
        <f aca="false">IF(DP$4=0,0,IF(COUNTIFS(実績!$W$6:$W$505,DP$3,実績!$AI$6:$AI$505,"&lt;="&amp;$A184,実績!$AJ$6:$AJ$505,"&gt;"&amp;$A184,実績!$AL$6:$AL$505,"○")&gt;0,1,0))</f>
        <v>0</v>
      </c>
      <c r="DQ184" s="39" t="n">
        <f aca="false">IF(DQ$4=0,0,IF(COUNTIFS(実績!$W$6:$W$505,DQ$3,実績!$AI$6:$AI$505,"&lt;="&amp;$A184,実績!$AJ$6:$AJ$505,"&gt;"&amp;$A184,実績!$AL$6:$AL$505,"○")&gt;0,1,0))</f>
        <v>0</v>
      </c>
      <c r="DR184" s="39" t="n">
        <f aca="false">IF(DR$4=0,0,IF(COUNTIFS(実績!$W$6:$W$505,DR$3,実績!$AI$6:$AI$505,"&lt;="&amp;$A184,実績!$AJ$6:$AJ$505,"&gt;"&amp;$A184,実績!$AL$6:$AL$505,"○")&gt;0,1,0))</f>
        <v>0</v>
      </c>
      <c r="DS184" s="39" t="n">
        <f aca="false">SUM(C184:DR184)</f>
        <v>0</v>
      </c>
    </row>
    <row r="185" customFormat="false" ht="15" hidden="false" customHeight="false" outlineLevel="0" collapsed="false">
      <c r="A185" s="0" t="n">
        <v>895</v>
      </c>
      <c r="B185" s="38" t="n">
        <f aca="false">A185/1440</f>
        <v>0.621527777777778</v>
      </c>
      <c r="C185" s="39" t="n">
        <f aca="false">IF(C$4=0,0,IF(COUNTIFS(実績!$W$6:$W$505,C$3,実績!$AI$6:$AI$505,"&lt;="&amp;$A185,実績!$AJ$6:$AJ$505,"&gt;"&amp;$A185,実績!$AL$6:$AL$505,"○")&gt;0,1,0))</f>
        <v>0</v>
      </c>
      <c r="D185" s="39" t="n">
        <f aca="false">IF(D$4=0,0,IF(COUNTIFS(実績!$W$6:$W$505,D$3,実績!$AI$6:$AI$505,"&lt;="&amp;$A185,実績!$AJ$6:$AJ$505,"&gt;"&amp;$A185,実績!$AL$6:$AL$505,"○")&gt;0,1,0))</f>
        <v>0</v>
      </c>
      <c r="E185" s="39" t="n">
        <f aca="false">IF(E$4=0,0,IF(COUNTIFS(実績!$W$6:$W$505,E$3,実績!$AI$6:$AI$505,"&lt;="&amp;$A185,実績!$AJ$6:$AJ$505,"&gt;"&amp;$A185,実績!$AL$6:$AL$505,"○")&gt;0,1,0))</f>
        <v>0</v>
      </c>
      <c r="F185" s="39" t="n">
        <f aca="false">IF(F$4=0,0,IF(COUNTIFS(実績!$W$6:$W$505,F$3,実績!$AI$6:$AI$505,"&lt;="&amp;$A185,実績!$AJ$6:$AJ$505,"&gt;"&amp;$A185,実績!$AL$6:$AL$505,"○")&gt;0,1,0))</f>
        <v>0</v>
      </c>
      <c r="G185" s="39" t="n">
        <f aca="false">IF(G$4=0,0,IF(COUNTIFS(実績!$W$6:$W$505,G$3,実績!$AI$6:$AI$505,"&lt;="&amp;$A185,実績!$AJ$6:$AJ$505,"&gt;"&amp;$A185,実績!$AL$6:$AL$505,"○")&gt;0,1,0))</f>
        <v>0</v>
      </c>
      <c r="H185" s="39" t="n">
        <f aca="false">IF(H$4=0,0,IF(COUNTIFS(実績!$W$6:$W$505,H$3,実績!$AI$6:$AI$505,"&lt;="&amp;$A185,実績!$AJ$6:$AJ$505,"&gt;"&amp;$A185,実績!$AL$6:$AL$505,"○")&gt;0,1,0))</f>
        <v>0</v>
      </c>
      <c r="I185" s="39" t="n">
        <f aca="false">IF(I$4=0,0,IF(COUNTIFS(実績!$W$6:$W$505,I$3,実績!$AI$6:$AI$505,"&lt;="&amp;$A185,実績!$AJ$6:$AJ$505,"&gt;"&amp;$A185,実績!$AL$6:$AL$505,"○")&gt;0,1,0))</f>
        <v>0</v>
      </c>
      <c r="J185" s="39" t="n">
        <f aca="false">IF(J$4=0,0,IF(COUNTIFS(実績!$W$6:$W$505,J$3,実績!$AI$6:$AI$505,"&lt;="&amp;$A185,実績!$AJ$6:$AJ$505,"&gt;"&amp;$A185,実績!$AL$6:$AL$505,"○")&gt;0,1,0))</f>
        <v>0</v>
      </c>
      <c r="K185" s="39" t="n">
        <f aca="false">IF(K$4=0,0,IF(COUNTIFS(実績!$W$6:$W$505,K$3,実績!$AI$6:$AI$505,"&lt;="&amp;$A185,実績!$AJ$6:$AJ$505,"&gt;"&amp;$A185,実績!$AL$6:$AL$505,"○")&gt;0,1,0))</f>
        <v>0</v>
      </c>
      <c r="L185" s="39" t="n">
        <f aca="false">IF(L$4=0,0,IF(COUNTIFS(実績!$W$6:$W$505,L$3,実績!$AI$6:$AI$505,"&lt;="&amp;$A185,実績!$AJ$6:$AJ$505,"&gt;"&amp;$A185,実績!$AL$6:$AL$505,"○")&gt;0,1,0))</f>
        <v>0</v>
      </c>
      <c r="M185" s="39" t="n">
        <f aca="false">IF(M$4=0,0,IF(COUNTIFS(実績!$W$6:$W$505,M$3,実績!$AI$6:$AI$505,"&lt;="&amp;$A185,実績!$AJ$6:$AJ$505,"&gt;"&amp;$A185,実績!$AL$6:$AL$505,"○")&gt;0,1,0))</f>
        <v>0</v>
      </c>
      <c r="N185" s="39" t="n">
        <f aca="false">IF(N$4=0,0,IF(COUNTIFS(実績!$W$6:$W$505,N$3,実績!$AI$6:$AI$505,"&lt;="&amp;$A185,実績!$AJ$6:$AJ$505,"&gt;"&amp;$A185,実績!$AL$6:$AL$505,"○")&gt;0,1,0))</f>
        <v>0</v>
      </c>
      <c r="O185" s="39" t="n">
        <f aca="false">IF(O$4=0,0,IF(COUNTIFS(実績!$W$6:$W$505,O$3,実績!$AI$6:$AI$505,"&lt;="&amp;$A185,実績!$AJ$6:$AJ$505,"&gt;"&amp;$A185,実績!$AL$6:$AL$505,"○")&gt;0,1,0))</f>
        <v>0</v>
      </c>
      <c r="P185" s="39" t="n">
        <f aca="false">IF(P$4=0,0,IF(COUNTIFS(実績!$W$6:$W$505,P$3,実績!$AI$6:$AI$505,"&lt;="&amp;$A185,実績!$AJ$6:$AJ$505,"&gt;"&amp;$A185,実績!$AL$6:$AL$505,"○")&gt;0,1,0))</f>
        <v>0</v>
      </c>
      <c r="Q185" s="39" t="n">
        <f aca="false">IF(Q$4=0,0,IF(COUNTIFS(実績!$W$6:$W$505,Q$3,実績!$AI$6:$AI$505,"&lt;="&amp;$A185,実績!$AJ$6:$AJ$505,"&gt;"&amp;$A185,実績!$AL$6:$AL$505,"○")&gt;0,1,0))</f>
        <v>0</v>
      </c>
      <c r="R185" s="39" t="n">
        <f aca="false">IF(R$4=0,0,IF(COUNTIFS(実績!$W$6:$W$505,R$3,実績!$AI$6:$AI$505,"&lt;="&amp;$A185,実績!$AJ$6:$AJ$505,"&gt;"&amp;$A185,実績!$AL$6:$AL$505,"○")&gt;0,1,0))</f>
        <v>0</v>
      </c>
      <c r="S185" s="39" t="n">
        <f aca="false">IF(S$4=0,0,IF(COUNTIFS(実績!$W$6:$W$505,S$3,実績!$AI$6:$AI$505,"&lt;="&amp;$A185,実績!$AJ$6:$AJ$505,"&gt;"&amp;$A185,実績!$AL$6:$AL$505,"○")&gt;0,1,0))</f>
        <v>0</v>
      </c>
      <c r="T185" s="39" t="n">
        <f aca="false">IF(T$4=0,0,IF(COUNTIFS(実績!$W$6:$W$505,T$3,実績!$AI$6:$AI$505,"&lt;="&amp;$A185,実績!$AJ$6:$AJ$505,"&gt;"&amp;$A185,実績!$AL$6:$AL$505,"○")&gt;0,1,0))</f>
        <v>0</v>
      </c>
      <c r="U185" s="39" t="n">
        <f aca="false">IF(U$4=0,0,IF(COUNTIFS(実績!$W$6:$W$505,U$3,実績!$AI$6:$AI$505,"&lt;="&amp;$A185,実績!$AJ$6:$AJ$505,"&gt;"&amp;$A185,実績!$AL$6:$AL$505,"○")&gt;0,1,0))</f>
        <v>0</v>
      </c>
      <c r="V185" s="39" t="n">
        <f aca="false">IF(V$4=0,0,IF(COUNTIFS(実績!$W$6:$W$505,V$3,実績!$AI$6:$AI$505,"&lt;="&amp;$A185,実績!$AJ$6:$AJ$505,"&gt;"&amp;$A185,実績!$AL$6:$AL$505,"○")&gt;0,1,0))</f>
        <v>0</v>
      </c>
      <c r="W185" s="39" t="n">
        <f aca="false">IF(W$4=0,0,IF(COUNTIFS(実績!$W$6:$W$505,W$3,実績!$AI$6:$AI$505,"&lt;="&amp;$A185,実績!$AJ$6:$AJ$505,"&gt;"&amp;$A185,実績!$AL$6:$AL$505,"○")&gt;0,1,0))</f>
        <v>0</v>
      </c>
      <c r="X185" s="39" t="n">
        <f aca="false">IF(X$4=0,0,IF(COUNTIFS(実績!$W$6:$W$505,X$3,実績!$AI$6:$AI$505,"&lt;="&amp;$A185,実績!$AJ$6:$AJ$505,"&gt;"&amp;$A185,実績!$AL$6:$AL$505,"○")&gt;0,1,0))</f>
        <v>0</v>
      </c>
      <c r="Y185" s="39" t="n">
        <f aca="false">IF(Y$4=0,0,IF(COUNTIFS(実績!$W$6:$W$505,Y$3,実績!$AI$6:$AI$505,"&lt;="&amp;$A185,実績!$AJ$6:$AJ$505,"&gt;"&amp;$A185,実績!$AL$6:$AL$505,"○")&gt;0,1,0))</f>
        <v>0</v>
      </c>
      <c r="Z185" s="39" t="n">
        <f aca="false">IF(Z$4=0,0,IF(COUNTIFS(実績!$W$6:$W$505,Z$3,実績!$AI$6:$AI$505,"&lt;="&amp;$A185,実績!$AJ$6:$AJ$505,"&gt;"&amp;$A185,実績!$AL$6:$AL$505,"○")&gt;0,1,0))</f>
        <v>0</v>
      </c>
      <c r="AA185" s="39" t="n">
        <f aca="false">IF(AA$4=0,0,IF(COUNTIFS(実績!$W$6:$W$505,AA$3,実績!$AI$6:$AI$505,"&lt;="&amp;$A185,実績!$AJ$6:$AJ$505,"&gt;"&amp;$A185,実績!$AL$6:$AL$505,"○")&gt;0,1,0))</f>
        <v>0</v>
      </c>
      <c r="AB185" s="39" t="n">
        <f aca="false">IF(AB$4=0,0,IF(COUNTIFS(実績!$W$6:$W$505,AB$3,実績!$AI$6:$AI$505,"&lt;="&amp;$A185,実績!$AJ$6:$AJ$505,"&gt;"&amp;$A185,実績!$AL$6:$AL$505,"○")&gt;0,1,0))</f>
        <v>0</v>
      </c>
      <c r="AC185" s="39" t="n">
        <f aca="false">IF(AC$4=0,0,IF(COUNTIFS(実績!$W$6:$W$505,AC$3,実績!$AI$6:$AI$505,"&lt;="&amp;$A185,実績!$AJ$6:$AJ$505,"&gt;"&amp;$A185,実績!$AL$6:$AL$505,"○")&gt;0,1,0))</f>
        <v>0</v>
      </c>
      <c r="AD185" s="39" t="n">
        <f aca="false">IF(AD$4=0,0,IF(COUNTIFS(実績!$W$6:$W$505,AD$3,実績!$AI$6:$AI$505,"&lt;="&amp;$A185,実績!$AJ$6:$AJ$505,"&gt;"&amp;$A185,実績!$AL$6:$AL$505,"○")&gt;0,1,0))</f>
        <v>0</v>
      </c>
      <c r="AE185" s="39" t="n">
        <f aca="false">IF(AE$4=0,0,IF(COUNTIFS(実績!$W$6:$W$505,AE$3,実績!$AI$6:$AI$505,"&lt;="&amp;$A185,実績!$AJ$6:$AJ$505,"&gt;"&amp;$A185,実績!$AL$6:$AL$505,"○")&gt;0,1,0))</f>
        <v>0</v>
      </c>
      <c r="AF185" s="39" t="n">
        <f aca="false">IF(AF$4=0,0,IF(COUNTIFS(実績!$W$6:$W$505,AF$3,実績!$AI$6:$AI$505,"&lt;="&amp;$A185,実績!$AJ$6:$AJ$505,"&gt;"&amp;$A185,実績!$AL$6:$AL$505,"○")&gt;0,1,0))</f>
        <v>0</v>
      </c>
      <c r="AG185" s="39" t="n">
        <f aca="false">IF(AG$4=0,0,IF(COUNTIFS(実績!$W$6:$W$505,AG$3,実績!$AI$6:$AI$505,"&lt;="&amp;$A185,実績!$AJ$6:$AJ$505,"&gt;"&amp;$A185,実績!$AL$6:$AL$505,"○")&gt;0,1,0))</f>
        <v>0</v>
      </c>
      <c r="AH185" s="39" t="n">
        <f aca="false">IF(AH$4=0,0,IF(COUNTIFS(実績!$W$6:$W$505,AH$3,実績!$AI$6:$AI$505,"&lt;="&amp;$A185,実績!$AJ$6:$AJ$505,"&gt;"&amp;$A185,実績!$AL$6:$AL$505,"○")&gt;0,1,0))</f>
        <v>0</v>
      </c>
      <c r="AI185" s="39" t="n">
        <f aca="false">IF(AI$4=0,0,IF(COUNTIFS(実績!$W$6:$W$505,AI$3,実績!$AI$6:$AI$505,"&lt;="&amp;$A185,実績!$AJ$6:$AJ$505,"&gt;"&amp;$A185,実績!$AL$6:$AL$505,"○")&gt;0,1,0))</f>
        <v>0</v>
      </c>
      <c r="AJ185" s="39" t="n">
        <f aca="false">IF(AJ$4=0,0,IF(COUNTIFS(実績!$W$6:$W$505,AJ$3,実績!$AI$6:$AI$505,"&lt;="&amp;$A185,実績!$AJ$6:$AJ$505,"&gt;"&amp;$A185,実績!$AL$6:$AL$505,"○")&gt;0,1,0))</f>
        <v>0</v>
      </c>
      <c r="AK185" s="39" t="n">
        <f aca="false">IF(AK$4=0,0,IF(COUNTIFS(実績!$W$6:$W$505,AK$3,実績!$AI$6:$AI$505,"&lt;="&amp;$A185,実績!$AJ$6:$AJ$505,"&gt;"&amp;$A185,実績!$AL$6:$AL$505,"○")&gt;0,1,0))</f>
        <v>0</v>
      </c>
      <c r="AL185" s="39" t="n">
        <f aca="false">IF(AL$4=0,0,IF(COUNTIFS(実績!$W$6:$W$505,AL$3,実績!$AI$6:$AI$505,"&lt;="&amp;$A185,実績!$AJ$6:$AJ$505,"&gt;"&amp;$A185,実績!$AL$6:$AL$505,"○")&gt;0,1,0))</f>
        <v>0</v>
      </c>
      <c r="AM185" s="39" t="n">
        <f aca="false">IF(AM$4=0,0,IF(COUNTIFS(実績!$W$6:$W$505,AM$3,実績!$AI$6:$AI$505,"&lt;="&amp;$A185,実績!$AJ$6:$AJ$505,"&gt;"&amp;$A185,実績!$AL$6:$AL$505,"○")&gt;0,1,0))</f>
        <v>0</v>
      </c>
      <c r="AN185" s="39" t="n">
        <f aca="false">IF(AN$4=0,0,IF(COUNTIFS(実績!$W$6:$W$505,AN$3,実績!$AI$6:$AI$505,"&lt;="&amp;$A185,実績!$AJ$6:$AJ$505,"&gt;"&amp;$A185,実績!$AL$6:$AL$505,"○")&gt;0,1,0))</f>
        <v>0</v>
      </c>
      <c r="AO185" s="39" t="n">
        <f aca="false">IF(AO$4=0,0,IF(COUNTIFS(実績!$W$6:$W$505,AO$3,実績!$AI$6:$AI$505,"&lt;="&amp;$A185,実績!$AJ$6:$AJ$505,"&gt;"&amp;$A185,実績!$AL$6:$AL$505,"○")&gt;0,1,0))</f>
        <v>0</v>
      </c>
      <c r="AP185" s="39" t="n">
        <f aca="false">IF(AP$4=0,0,IF(COUNTIFS(実績!$W$6:$W$505,AP$3,実績!$AI$6:$AI$505,"&lt;="&amp;$A185,実績!$AJ$6:$AJ$505,"&gt;"&amp;$A185,実績!$AL$6:$AL$505,"○")&gt;0,1,0))</f>
        <v>0</v>
      </c>
      <c r="AQ185" s="39" t="n">
        <f aca="false">IF(AQ$4=0,0,IF(COUNTIFS(実績!$W$6:$W$505,AQ$3,実績!$AI$6:$AI$505,"&lt;="&amp;$A185,実績!$AJ$6:$AJ$505,"&gt;"&amp;$A185,実績!$AL$6:$AL$505,"○")&gt;0,1,0))</f>
        <v>0</v>
      </c>
      <c r="AR185" s="39" t="n">
        <f aca="false">IF(AR$4=0,0,IF(COUNTIFS(実績!$W$6:$W$505,AR$3,実績!$AI$6:$AI$505,"&lt;="&amp;$A185,実績!$AJ$6:$AJ$505,"&gt;"&amp;$A185,実績!$AL$6:$AL$505,"○")&gt;0,1,0))</f>
        <v>0</v>
      </c>
      <c r="AS185" s="39" t="n">
        <f aca="false">IF(AS$4=0,0,IF(COUNTIFS(実績!$W$6:$W$505,AS$3,実績!$AI$6:$AI$505,"&lt;="&amp;$A185,実績!$AJ$6:$AJ$505,"&gt;"&amp;$A185,実績!$AL$6:$AL$505,"○")&gt;0,1,0))</f>
        <v>0</v>
      </c>
      <c r="AT185" s="39" t="n">
        <f aca="false">IF(AT$4=0,0,IF(COUNTIFS(実績!$W$6:$W$505,AT$3,実績!$AI$6:$AI$505,"&lt;="&amp;$A185,実績!$AJ$6:$AJ$505,"&gt;"&amp;$A185,実績!$AL$6:$AL$505,"○")&gt;0,1,0))</f>
        <v>0</v>
      </c>
      <c r="AU185" s="39" t="n">
        <f aca="false">IF(AU$4=0,0,IF(COUNTIFS(実績!$W$6:$W$505,AU$3,実績!$AI$6:$AI$505,"&lt;="&amp;$A185,実績!$AJ$6:$AJ$505,"&gt;"&amp;$A185,実績!$AL$6:$AL$505,"○")&gt;0,1,0))</f>
        <v>0</v>
      </c>
      <c r="AV185" s="39" t="n">
        <f aca="false">IF(AV$4=0,0,IF(COUNTIFS(実績!$W$6:$W$505,AV$3,実績!$AI$6:$AI$505,"&lt;="&amp;$A185,実績!$AJ$6:$AJ$505,"&gt;"&amp;$A185,実績!$AL$6:$AL$505,"○")&gt;0,1,0))</f>
        <v>0</v>
      </c>
      <c r="AW185" s="39" t="n">
        <f aca="false">IF(AW$4=0,0,IF(COUNTIFS(実績!$W$6:$W$505,AW$3,実績!$AI$6:$AI$505,"&lt;="&amp;$A185,実績!$AJ$6:$AJ$505,"&gt;"&amp;$A185,実績!$AL$6:$AL$505,"○")&gt;0,1,0))</f>
        <v>0</v>
      </c>
      <c r="AX185" s="39" t="n">
        <f aca="false">IF(AX$4=0,0,IF(COUNTIFS(実績!$W$6:$W$505,AX$3,実績!$AI$6:$AI$505,"&lt;="&amp;$A185,実績!$AJ$6:$AJ$505,"&gt;"&amp;$A185,実績!$AL$6:$AL$505,"○")&gt;0,1,0))</f>
        <v>0</v>
      </c>
      <c r="AY185" s="39" t="n">
        <f aca="false">IF(AY$4=0,0,IF(COUNTIFS(実績!$W$6:$W$505,AY$3,実績!$AI$6:$AI$505,"&lt;="&amp;$A185,実績!$AJ$6:$AJ$505,"&gt;"&amp;$A185,実績!$AL$6:$AL$505,"○")&gt;0,1,0))</f>
        <v>0</v>
      </c>
      <c r="AZ185" s="39" t="n">
        <f aca="false">IF(AZ$4=0,0,IF(COUNTIFS(実績!$W$6:$W$505,AZ$3,実績!$AI$6:$AI$505,"&lt;="&amp;$A185,実績!$AJ$6:$AJ$505,"&gt;"&amp;$A185,実績!$AL$6:$AL$505,"○")&gt;0,1,0))</f>
        <v>0</v>
      </c>
      <c r="BA185" s="39" t="n">
        <f aca="false">IF(BA$4=0,0,IF(COUNTIFS(実績!$W$6:$W$505,BA$3,実績!$AI$6:$AI$505,"&lt;="&amp;$A185,実績!$AJ$6:$AJ$505,"&gt;"&amp;$A185,実績!$AL$6:$AL$505,"○")&gt;0,1,0))</f>
        <v>0</v>
      </c>
      <c r="BB185" s="39" t="n">
        <f aca="false">IF(BB$4=0,0,IF(COUNTIFS(実績!$W$6:$W$505,BB$3,実績!$AI$6:$AI$505,"&lt;="&amp;$A185,実績!$AJ$6:$AJ$505,"&gt;"&amp;$A185,実績!$AL$6:$AL$505,"○")&gt;0,1,0))</f>
        <v>0</v>
      </c>
      <c r="BC185" s="39" t="n">
        <f aca="false">IF(BC$4=0,0,IF(COUNTIFS(実績!$W$6:$W$505,BC$3,実績!$AI$6:$AI$505,"&lt;="&amp;$A185,実績!$AJ$6:$AJ$505,"&gt;"&amp;$A185,実績!$AL$6:$AL$505,"○")&gt;0,1,0))</f>
        <v>0</v>
      </c>
      <c r="BD185" s="39" t="n">
        <f aca="false">IF(BD$4=0,0,IF(COUNTIFS(実績!$W$6:$W$505,BD$3,実績!$AI$6:$AI$505,"&lt;="&amp;$A185,実績!$AJ$6:$AJ$505,"&gt;"&amp;$A185,実績!$AL$6:$AL$505,"○")&gt;0,1,0))</f>
        <v>0</v>
      </c>
      <c r="BE185" s="39" t="n">
        <f aca="false">IF(BE$4=0,0,IF(COUNTIFS(実績!$W$6:$W$505,BE$3,実績!$AI$6:$AI$505,"&lt;="&amp;$A185,実績!$AJ$6:$AJ$505,"&gt;"&amp;$A185,実績!$AL$6:$AL$505,"○")&gt;0,1,0))</f>
        <v>0</v>
      </c>
      <c r="BF185" s="39" t="n">
        <f aca="false">IF(BF$4=0,0,IF(COUNTIFS(実績!$W$6:$W$505,BF$3,実績!$AI$6:$AI$505,"&lt;="&amp;$A185,実績!$AJ$6:$AJ$505,"&gt;"&amp;$A185,実績!$AL$6:$AL$505,"○")&gt;0,1,0))</f>
        <v>0</v>
      </c>
      <c r="BG185" s="39" t="n">
        <f aca="false">IF(BG$4=0,0,IF(COUNTIFS(実績!$W$6:$W$505,BG$3,実績!$AI$6:$AI$505,"&lt;="&amp;$A185,実績!$AJ$6:$AJ$505,"&gt;"&amp;$A185,実績!$AL$6:$AL$505,"○")&gt;0,1,0))</f>
        <v>0</v>
      </c>
      <c r="BH185" s="39" t="n">
        <f aca="false">IF(BH$4=0,0,IF(COUNTIFS(実績!$W$6:$W$505,BH$3,実績!$AI$6:$AI$505,"&lt;="&amp;$A185,実績!$AJ$6:$AJ$505,"&gt;"&amp;$A185,実績!$AL$6:$AL$505,"○")&gt;0,1,0))</f>
        <v>0</v>
      </c>
      <c r="BI185" s="39" t="n">
        <f aca="false">IF(BI$4=0,0,IF(COUNTIFS(実績!$W$6:$W$505,BI$3,実績!$AI$6:$AI$505,"&lt;="&amp;$A185,実績!$AJ$6:$AJ$505,"&gt;"&amp;$A185,実績!$AL$6:$AL$505,"○")&gt;0,1,0))</f>
        <v>0</v>
      </c>
      <c r="BJ185" s="39" t="n">
        <f aca="false">IF(BJ$4=0,0,IF(COUNTIFS(実績!$W$6:$W$505,BJ$3,実績!$AI$6:$AI$505,"&lt;="&amp;$A185,実績!$AJ$6:$AJ$505,"&gt;"&amp;$A185,実績!$AL$6:$AL$505,"○")&gt;0,1,0))</f>
        <v>0</v>
      </c>
      <c r="BK185" s="39" t="n">
        <f aca="false">IF(BK$4=0,0,IF(COUNTIFS(実績!$W$6:$W$505,BK$3,実績!$AI$6:$AI$505,"&lt;="&amp;$A185,実績!$AJ$6:$AJ$505,"&gt;"&amp;$A185,実績!$AL$6:$AL$505,"○")&gt;0,1,0))</f>
        <v>0</v>
      </c>
      <c r="BL185" s="39" t="n">
        <f aca="false">IF(BL$4=0,0,IF(COUNTIFS(実績!$W$6:$W$505,BL$3,実績!$AI$6:$AI$505,"&lt;="&amp;$A185,実績!$AJ$6:$AJ$505,"&gt;"&amp;$A185,実績!$AL$6:$AL$505,"○")&gt;0,1,0))</f>
        <v>0</v>
      </c>
      <c r="BM185" s="39" t="n">
        <f aca="false">IF(BM$4=0,0,IF(COUNTIFS(実績!$W$6:$W$505,BM$3,実績!$AI$6:$AI$505,"&lt;="&amp;$A185,実績!$AJ$6:$AJ$505,"&gt;"&amp;$A185,実績!$AL$6:$AL$505,"○")&gt;0,1,0))</f>
        <v>0</v>
      </c>
      <c r="BN185" s="39" t="n">
        <f aca="false">IF(BN$4=0,0,IF(COUNTIFS(実績!$W$6:$W$505,BN$3,実績!$AI$6:$AI$505,"&lt;="&amp;$A185,実績!$AJ$6:$AJ$505,"&gt;"&amp;$A185,実績!$AL$6:$AL$505,"○")&gt;0,1,0))</f>
        <v>0</v>
      </c>
      <c r="BO185" s="39" t="n">
        <f aca="false">IF(BO$4=0,0,IF(COUNTIFS(実績!$W$6:$W$505,BO$3,実績!$AI$6:$AI$505,"&lt;="&amp;$A185,実績!$AJ$6:$AJ$505,"&gt;"&amp;$A185,実績!$AL$6:$AL$505,"○")&gt;0,1,0))</f>
        <v>0</v>
      </c>
      <c r="BP185" s="39" t="n">
        <f aca="false">IF(BP$4=0,0,IF(COUNTIFS(実績!$W$6:$W$505,BP$3,実績!$AI$6:$AI$505,"&lt;="&amp;$A185,実績!$AJ$6:$AJ$505,"&gt;"&amp;$A185,実績!$AL$6:$AL$505,"○")&gt;0,1,0))</f>
        <v>0</v>
      </c>
      <c r="BQ185" s="39" t="n">
        <f aca="false">IF(BQ$4=0,0,IF(COUNTIFS(実績!$W$6:$W$505,BQ$3,実績!$AI$6:$AI$505,"&lt;="&amp;$A185,実績!$AJ$6:$AJ$505,"&gt;"&amp;$A185,実績!$AL$6:$AL$505,"○")&gt;0,1,0))</f>
        <v>0</v>
      </c>
      <c r="BR185" s="39" t="n">
        <f aca="false">IF(BR$4=0,0,IF(COUNTIFS(実績!$W$6:$W$505,BR$3,実績!$AI$6:$AI$505,"&lt;="&amp;$A185,実績!$AJ$6:$AJ$505,"&gt;"&amp;$A185,実績!$AL$6:$AL$505,"○")&gt;0,1,0))</f>
        <v>0</v>
      </c>
      <c r="BS185" s="39" t="n">
        <f aca="false">IF(BS$4=0,0,IF(COUNTIFS(実績!$W$6:$W$505,BS$3,実績!$AI$6:$AI$505,"&lt;="&amp;$A185,実績!$AJ$6:$AJ$505,"&gt;"&amp;$A185,実績!$AL$6:$AL$505,"○")&gt;0,1,0))</f>
        <v>0</v>
      </c>
      <c r="BT185" s="39" t="n">
        <f aca="false">IF(BT$4=0,0,IF(COUNTIFS(実績!$W$6:$W$505,BT$3,実績!$AI$6:$AI$505,"&lt;="&amp;$A185,実績!$AJ$6:$AJ$505,"&gt;"&amp;$A185,実績!$AL$6:$AL$505,"○")&gt;0,1,0))</f>
        <v>0</v>
      </c>
      <c r="BU185" s="39" t="n">
        <f aca="false">IF(BU$4=0,0,IF(COUNTIFS(実績!$W$6:$W$505,BU$3,実績!$AI$6:$AI$505,"&lt;="&amp;$A185,実績!$AJ$6:$AJ$505,"&gt;"&amp;$A185,実績!$AL$6:$AL$505,"○")&gt;0,1,0))</f>
        <v>0</v>
      </c>
      <c r="BV185" s="39" t="n">
        <f aca="false">IF(BV$4=0,0,IF(COUNTIFS(実績!$W$6:$W$505,BV$3,実績!$AI$6:$AI$505,"&lt;="&amp;$A185,実績!$AJ$6:$AJ$505,"&gt;"&amp;$A185,実績!$AL$6:$AL$505,"○")&gt;0,1,0))</f>
        <v>0</v>
      </c>
      <c r="BW185" s="39" t="n">
        <f aca="false">IF(BW$4=0,0,IF(COUNTIFS(実績!$W$6:$W$505,BW$3,実績!$AI$6:$AI$505,"&lt;="&amp;$A185,実績!$AJ$6:$AJ$505,"&gt;"&amp;$A185,実績!$AL$6:$AL$505,"○")&gt;0,1,0))</f>
        <v>0</v>
      </c>
      <c r="BX185" s="39" t="n">
        <f aca="false">IF(BX$4=0,0,IF(COUNTIFS(実績!$W$6:$W$505,BX$3,実績!$AI$6:$AI$505,"&lt;="&amp;$A185,実績!$AJ$6:$AJ$505,"&gt;"&amp;$A185,実績!$AL$6:$AL$505,"○")&gt;0,1,0))</f>
        <v>0</v>
      </c>
      <c r="BY185" s="39" t="n">
        <f aca="false">IF(BY$4=0,0,IF(COUNTIFS(実績!$W$6:$W$505,BY$3,実績!$AI$6:$AI$505,"&lt;="&amp;$A185,実績!$AJ$6:$AJ$505,"&gt;"&amp;$A185,実績!$AL$6:$AL$505,"○")&gt;0,1,0))</f>
        <v>0</v>
      </c>
      <c r="BZ185" s="39" t="n">
        <f aca="false">IF(BZ$4=0,0,IF(COUNTIFS(実績!$W$6:$W$505,BZ$3,実績!$AI$6:$AI$505,"&lt;="&amp;$A185,実績!$AJ$6:$AJ$505,"&gt;"&amp;$A185,実績!$AL$6:$AL$505,"○")&gt;0,1,0))</f>
        <v>0</v>
      </c>
      <c r="CA185" s="39" t="n">
        <f aca="false">IF(CA$4=0,0,IF(COUNTIFS(実績!$W$6:$W$505,CA$3,実績!$AI$6:$AI$505,"&lt;="&amp;$A185,実績!$AJ$6:$AJ$505,"&gt;"&amp;$A185,実績!$AL$6:$AL$505,"○")&gt;0,1,0))</f>
        <v>0</v>
      </c>
      <c r="CB185" s="39" t="n">
        <f aca="false">IF(CB$4=0,0,IF(COUNTIFS(実績!$W$6:$W$505,CB$3,実績!$AI$6:$AI$505,"&lt;="&amp;$A185,実績!$AJ$6:$AJ$505,"&gt;"&amp;$A185,実績!$AL$6:$AL$505,"○")&gt;0,1,0))</f>
        <v>0</v>
      </c>
      <c r="CC185" s="39" t="n">
        <f aca="false">IF(CC$4=0,0,IF(COUNTIFS(実績!$W$6:$W$505,CC$3,実績!$AI$6:$AI$505,"&lt;="&amp;$A185,実績!$AJ$6:$AJ$505,"&gt;"&amp;$A185,実績!$AL$6:$AL$505,"○")&gt;0,1,0))</f>
        <v>0</v>
      </c>
      <c r="CD185" s="39" t="n">
        <f aca="false">IF(CD$4=0,0,IF(COUNTIFS(実績!$W$6:$W$505,CD$3,実績!$AI$6:$AI$505,"&lt;="&amp;$A185,実績!$AJ$6:$AJ$505,"&gt;"&amp;$A185,実績!$AL$6:$AL$505,"○")&gt;0,1,0))</f>
        <v>0</v>
      </c>
      <c r="CE185" s="39" t="n">
        <f aca="false">IF(CE$4=0,0,IF(COUNTIFS(実績!$W$6:$W$505,CE$3,実績!$AI$6:$AI$505,"&lt;="&amp;$A185,実績!$AJ$6:$AJ$505,"&gt;"&amp;$A185,実績!$AL$6:$AL$505,"○")&gt;0,1,0))</f>
        <v>0</v>
      </c>
      <c r="CF185" s="39" t="n">
        <f aca="false">IF(CF$4=0,0,IF(COUNTIFS(実績!$W$6:$W$505,CF$3,実績!$AI$6:$AI$505,"&lt;="&amp;$A185,実績!$AJ$6:$AJ$505,"&gt;"&amp;$A185,実績!$AL$6:$AL$505,"○")&gt;0,1,0))</f>
        <v>0</v>
      </c>
      <c r="CG185" s="39" t="n">
        <f aca="false">IF(CG$4=0,0,IF(COUNTIFS(実績!$W$6:$W$505,CG$3,実績!$AI$6:$AI$505,"&lt;="&amp;$A185,実績!$AJ$6:$AJ$505,"&gt;"&amp;$A185,実績!$AL$6:$AL$505,"○")&gt;0,1,0))</f>
        <v>0</v>
      </c>
      <c r="CH185" s="39" t="n">
        <f aca="false">IF(CH$4=0,0,IF(COUNTIFS(実績!$W$6:$W$505,CH$3,実績!$AI$6:$AI$505,"&lt;="&amp;$A185,実績!$AJ$6:$AJ$505,"&gt;"&amp;$A185,実績!$AL$6:$AL$505,"○")&gt;0,1,0))</f>
        <v>0</v>
      </c>
      <c r="CI185" s="39" t="n">
        <f aca="false">IF(CI$4=0,0,IF(COUNTIFS(実績!$W$6:$W$505,CI$3,実績!$AI$6:$AI$505,"&lt;="&amp;$A185,実績!$AJ$6:$AJ$505,"&gt;"&amp;$A185,実績!$AL$6:$AL$505,"○")&gt;0,1,0))</f>
        <v>0</v>
      </c>
      <c r="CJ185" s="39" t="n">
        <f aca="false">IF(CJ$4=0,0,IF(COUNTIFS(実績!$W$6:$W$505,CJ$3,実績!$AI$6:$AI$505,"&lt;="&amp;$A185,実績!$AJ$6:$AJ$505,"&gt;"&amp;$A185,実績!$AL$6:$AL$505,"○")&gt;0,1,0))</f>
        <v>0</v>
      </c>
      <c r="CK185" s="39" t="n">
        <f aca="false">IF(CK$4=0,0,IF(COUNTIFS(実績!$W$6:$W$505,CK$3,実績!$AI$6:$AI$505,"&lt;="&amp;$A185,実績!$AJ$6:$AJ$505,"&gt;"&amp;$A185,実績!$AL$6:$AL$505,"○")&gt;0,1,0))</f>
        <v>0</v>
      </c>
      <c r="CL185" s="39" t="n">
        <f aca="false">IF(CL$4=0,0,IF(COUNTIFS(実績!$W$6:$W$505,CL$3,実績!$AI$6:$AI$505,"&lt;="&amp;$A185,実績!$AJ$6:$AJ$505,"&gt;"&amp;$A185,実績!$AL$6:$AL$505,"○")&gt;0,1,0))</f>
        <v>0</v>
      </c>
      <c r="CM185" s="39" t="n">
        <f aca="false">IF(CM$4=0,0,IF(COUNTIFS(実績!$W$6:$W$505,CM$3,実績!$AI$6:$AI$505,"&lt;="&amp;$A185,実績!$AJ$6:$AJ$505,"&gt;"&amp;$A185,実績!$AL$6:$AL$505,"○")&gt;0,1,0))</f>
        <v>0</v>
      </c>
      <c r="CN185" s="39" t="n">
        <f aca="false">IF(CN$4=0,0,IF(COUNTIFS(実績!$W$6:$W$505,CN$3,実績!$AI$6:$AI$505,"&lt;="&amp;$A185,実績!$AJ$6:$AJ$505,"&gt;"&amp;$A185,実績!$AL$6:$AL$505,"○")&gt;0,1,0))</f>
        <v>0</v>
      </c>
      <c r="CO185" s="39" t="n">
        <f aca="false">IF(CO$4=0,0,IF(COUNTIFS(実績!$W$6:$W$505,CO$3,実績!$AI$6:$AI$505,"&lt;="&amp;$A185,実績!$AJ$6:$AJ$505,"&gt;"&amp;$A185,実績!$AL$6:$AL$505,"○")&gt;0,1,0))</f>
        <v>0</v>
      </c>
      <c r="CP185" s="39" t="n">
        <f aca="false">IF(CP$4=0,0,IF(COUNTIFS(実績!$W$6:$W$505,CP$3,実績!$AI$6:$AI$505,"&lt;="&amp;$A185,実績!$AJ$6:$AJ$505,"&gt;"&amp;$A185,実績!$AL$6:$AL$505,"○")&gt;0,1,0))</f>
        <v>0</v>
      </c>
      <c r="CQ185" s="39" t="n">
        <f aca="false">IF(CQ$4=0,0,IF(COUNTIFS(実績!$W$6:$W$505,CQ$3,実績!$AI$6:$AI$505,"&lt;="&amp;$A185,実績!$AJ$6:$AJ$505,"&gt;"&amp;$A185,実績!$AL$6:$AL$505,"○")&gt;0,1,0))</f>
        <v>0</v>
      </c>
      <c r="CR185" s="39" t="n">
        <f aca="false">IF(CR$4=0,0,IF(COUNTIFS(実績!$W$6:$W$505,CR$3,実績!$AI$6:$AI$505,"&lt;="&amp;$A185,実績!$AJ$6:$AJ$505,"&gt;"&amp;$A185,実績!$AL$6:$AL$505,"○")&gt;0,1,0))</f>
        <v>0</v>
      </c>
      <c r="CS185" s="39" t="n">
        <f aca="false">IF(CS$4=0,0,IF(COUNTIFS(実績!$W$6:$W$505,CS$3,実績!$AI$6:$AI$505,"&lt;="&amp;$A185,実績!$AJ$6:$AJ$505,"&gt;"&amp;$A185,実績!$AL$6:$AL$505,"○")&gt;0,1,0))</f>
        <v>0</v>
      </c>
      <c r="CT185" s="39" t="n">
        <f aca="false">IF(CT$4=0,0,IF(COUNTIFS(実績!$W$6:$W$505,CT$3,実績!$AI$6:$AI$505,"&lt;="&amp;$A185,実績!$AJ$6:$AJ$505,"&gt;"&amp;$A185,実績!$AL$6:$AL$505,"○")&gt;0,1,0))</f>
        <v>0</v>
      </c>
      <c r="CU185" s="39" t="n">
        <f aca="false">IF(CU$4=0,0,IF(COUNTIFS(実績!$W$6:$W$505,CU$3,実績!$AI$6:$AI$505,"&lt;="&amp;$A185,実績!$AJ$6:$AJ$505,"&gt;"&amp;$A185,実績!$AL$6:$AL$505,"○")&gt;0,1,0))</f>
        <v>0</v>
      </c>
      <c r="CV185" s="39" t="n">
        <f aca="false">IF(CV$4=0,0,IF(COUNTIFS(実績!$W$6:$W$505,CV$3,実績!$AI$6:$AI$505,"&lt;="&amp;$A185,実績!$AJ$6:$AJ$505,"&gt;"&amp;$A185,実績!$AL$6:$AL$505,"○")&gt;0,1,0))</f>
        <v>0</v>
      </c>
      <c r="CW185" s="39" t="n">
        <f aca="false">IF(CW$4=0,0,IF(COUNTIFS(実績!$W$6:$W$505,CW$3,実績!$AI$6:$AI$505,"&lt;="&amp;$A185,実績!$AJ$6:$AJ$505,"&gt;"&amp;$A185,実績!$AL$6:$AL$505,"○")&gt;0,1,0))</f>
        <v>0</v>
      </c>
      <c r="CX185" s="39" t="n">
        <f aca="false">IF(CX$4=0,0,IF(COUNTIFS(実績!$W$6:$W$505,CX$3,実績!$AI$6:$AI$505,"&lt;="&amp;$A185,実績!$AJ$6:$AJ$505,"&gt;"&amp;$A185,実績!$AL$6:$AL$505,"○")&gt;0,1,0))</f>
        <v>0</v>
      </c>
      <c r="CY185" s="39" t="n">
        <f aca="false">IF(CY$4=0,0,IF(COUNTIFS(実績!$W$6:$W$505,CY$3,実績!$AI$6:$AI$505,"&lt;="&amp;$A185,実績!$AJ$6:$AJ$505,"&gt;"&amp;$A185,実績!$AL$6:$AL$505,"○")&gt;0,1,0))</f>
        <v>0</v>
      </c>
      <c r="CZ185" s="39" t="n">
        <f aca="false">IF(CZ$4=0,0,IF(COUNTIFS(実績!$W$6:$W$505,CZ$3,実績!$AI$6:$AI$505,"&lt;="&amp;$A185,実績!$AJ$6:$AJ$505,"&gt;"&amp;$A185,実績!$AL$6:$AL$505,"○")&gt;0,1,0))</f>
        <v>0</v>
      </c>
      <c r="DA185" s="39" t="n">
        <f aca="false">IF(DA$4=0,0,IF(COUNTIFS(実績!$W$6:$W$505,DA$3,実績!$AI$6:$AI$505,"&lt;="&amp;$A185,実績!$AJ$6:$AJ$505,"&gt;"&amp;$A185,実績!$AL$6:$AL$505,"○")&gt;0,1,0))</f>
        <v>0</v>
      </c>
      <c r="DB185" s="39" t="n">
        <f aca="false">IF(DB$4=0,0,IF(COUNTIFS(実績!$W$6:$W$505,DB$3,実績!$AI$6:$AI$505,"&lt;="&amp;$A185,実績!$AJ$6:$AJ$505,"&gt;"&amp;$A185,実績!$AL$6:$AL$505,"○")&gt;0,1,0))</f>
        <v>0</v>
      </c>
      <c r="DC185" s="39" t="n">
        <f aca="false">IF(DC$4=0,0,IF(COUNTIFS(実績!$W$6:$W$505,DC$3,実績!$AI$6:$AI$505,"&lt;="&amp;$A185,実績!$AJ$6:$AJ$505,"&gt;"&amp;$A185,実績!$AL$6:$AL$505,"○")&gt;0,1,0))</f>
        <v>0</v>
      </c>
      <c r="DD185" s="39" t="n">
        <f aca="false">IF(DD$4=0,0,IF(COUNTIFS(実績!$W$6:$W$505,DD$3,実績!$AI$6:$AI$505,"&lt;="&amp;$A185,実績!$AJ$6:$AJ$505,"&gt;"&amp;$A185,実績!$AL$6:$AL$505,"○")&gt;0,1,0))</f>
        <v>0</v>
      </c>
      <c r="DE185" s="39" t="n">
        <f aca="false">IF(DE$4=0,0,IF(COUNTIFS(実績!$W$6:$W$505,DE$3,実績!$AI$6:$AI$505,"&lt;="&amp;$A185,実績!$AJ$6:$AJ$505,"&gt;"&amp;$A185,実績!$AL$6:$AL$505,"○")&gt;0,1,0))</f>
        <v>0</v>
      </c>
      <c r="DF185" s="39" t="n">
        <f aca="false">IF(DF$4=0,0,IF(COUNTIFS(実績!$W$6:$W$505,DF$3,実績!$AI$6:$AI$505,"&lt;="&amp;$A185,実績!$AJ$6:$AJ$505,"&gt;"&amp;$A185,実績!$AL$6:$AL$505,"○")&gt;0,1,0))</f>
        <v>0</v>
      </c>
      <c r="DG185" s="39" t="n">
        <f aca="false">IF(DG$4=0,0,IF(COUNTIFS(実績!$W$6:$W$505,DG$3,実績!$AI$6:$AI$505,"&lt;="&amp;$A185,実績!$AJ$6:$AJ$505,"&gt;"&amp;$A185,実績!$AL$6:$AL$505,"○")&gt;0,1,0))</f>
        <v>0</v>
      </c>
      <c r="DH185" s="39" t="n">
        <f aca="false">IF(DH$4=0,0,IF(COUNTIFS(実績!$W$6:$W$505,DH$3,実績!$AI$6:$AI$505,"&lt;="&amp;$A185,実績!$AJ$6:$AJ$505,"&gt;"&amp;$A185,実績!$AL$6:$AL$505,"○")&gt;0,1,0))</f>
        <v>0</v>
      </c>
      <c r="DI185" s="39" t="n">
        <f aca="false">IF(DI$4=0,0,IF(COUNTIFS(実績!$W$6:$W$505,DI$3,実績!$AI$6:$AI$505,"&lt;="&amp;$A185,実績!$AJ$6:$AJ$505,"&gt;"&amp;$A185,実績!$AL$6:$AL$505,"○")&gt;0,1,0))</f>
        <v>0</v>
      </c>
      <c r="DJ185" s="39" t="n">
        <f aca="false">IF(DJ$4=0,0,IF(COUNTIFS(実績!$W$6:$W$505,DJ$3,実績!$AI$6:$AI$505,"&lt;="&amp;$A185,実績!$AJ$6:$AJ$505,"&gt;"&amp;$A185,実績!$AL$6:$AL$505,"○")&gt;0,1,0))</f>
        <v>0</v>
      </c>
      <c r="DK185" s="39" t="n">
        <f aca="false">IF(DK$4=0,0,IF(COUNTIFS(実績!$W$6:$W$505,DK$3,実績!$AI$6:$AI$505,"&lt;="&amp;$A185,実績!$AJ$6:$AJ$505,"&gt;"&amp;$A185,実績!$AL$6:$AL$505,"○")&gt;0,1,0))</f>
        <v>0</v>
      </c>
      <c r="DL185" s="39" t="n">
        <f aca="false">IF(DL$4=0,0,IF(COUNTIFS(実績!$W$6:$W$505,DL$3,実績!$AI$6:$AI$505,"&lt;="&amp;$A185,実績!$AJ$6:$AJ$505,"&gt;"&amp;$A185,実績!$AL$6:$AL$505,"○")&gt;0,1,0))</f>
        <v>0</v>
      </c>
      <c r="DM185" s="39" t="n">
        <f aca="false">IF(DM$4=0,0,IF(COUNTIFS(実績!$W$6:$W$505,DM$3,実績!$AI$6:$AI$505,"&lt;="&amp;$A185,実績!$AJ$6:$AJ$505,"&gt;"&amp;$A185,実績!$AL$6:$AL$505,"○")&gt;0,1,0))</f>
        <v>0</v>
      </c>
      <c r="DN185" s="39" t="n">
        <f aca="false">IF(DN$4=0,0,IF(COUNTIFS(実績!$W$6:$W$505,DN$3,実績!$AI$6:$AI$505,"&lt;="&amp;$A185,実績!$AJ$6:$AJ$505,"&gt;"&amp;$A185,実績!$AL$6:$AL$505,"○")&gt;0,1,0))</f>
        <v>0</v>
      </c>
      <c r="DO185" s="39" t="n">
        <f aca="false">IF(DO$4=0,0,IF(COUNTIFS(実績!$W$6:$W$505,DO$3,実績!$AI$6:$AI$505,"&lt;="&amp;$A185,実績!$AJ$6:$AJ$505,"&gt;"&amp;$A185,実績!$AL$6:$AL$505,"○")&gt;0,1,0))</f>
        <v>0</v>
      </c>
      <c r="DP185" s="39" t="n">
        <f aca="false">IF(DP$4=0,0,IF(COUNTIFS(実績!$W$6:$W$505,DP$3,実績!$AI$6:$AI$505,"&lt;="&amp;$A185,実績!$AJ$6:$AJ$505,"&gt;"&amp;$A185,実績!$AL$6:$AL$505,"○")&gt;0,1,0))</f>
        <v>0</v>
      </c>
      <c r="DQ185" s="39" t="n">
        <f aca="false">IF(DQ$4=0,0,IF(COUNTIFS(実績!$W$6:$W$505,DQ$3,実績!$AI$6:$AI$505,"&lt;="&amp;$A185,実績!$AJ$6:$AJ$505,"&gt;"&amp;$A185,実績!$AL$6:$AL$505,"○")&gt;0,1,0))</f>
        <v>0</v>
      </c>
      <c r="DR185" s="39" t="n">
        <f aca="false">IF(DR$4=0,0,IF(COUNTIFS(実績!$W$6:$W$505,DR$3,実績!$AI$6:$AI$505,"&lt;="&amp;$A185,実績!$AJ$6:$AJ$505,"&gt;"&amp;$A185,実績!$AL$6:$AL$505,"○")&gt;0,1,0))</f>
        <v>0</v>
      </c>
      <c r="DS185" s="39" t="n">
        <f aca="false">SUM(C185:DR185)</f>
        <v>0</v>
      </c>
    </row>
    <row r="186" customFormat="false" ht="15" hidden="false" customHeight="false" outlineLevel="0" collapsed="false">
      <c r="A186" s="0" t="n">
        <v>900</v>
      </c>
      <c r="B186" s="38" t="n">
        <f aca="false">A186/1440</f>
        <v>0.625</v>
      </c>
      <c r="C186" s="39" t="n">
        <f aca="false">IF(C$4=0,0,IF(COUNTIFS(実績!$W$6:$W$505,C$3,実績!$AI$6:$AI$505,"&lt;="&amp;$A186,実績!$AJ$6:$AJ$505,"&gt;"&amp;$A186,実績!$AL$6:$AL$505,"○")&gt;0,1,0))</f>
        <v>0</v>
      </c>
      <c r="D186" s="39" t="n">
        <f aca="false">IF(D$4=0,0,IF(COUNTIFS(実績!$W$6:$W$505,D$3,実績!$AI$6:$AI$505,"&lt;="&amp;$A186,実績!$AJ$6:$AJ$505,"&gt;"&amp;$A186,実績!$AL$6:$AL$505,"○")&gt;0,1,0))</f>
        <v>0</v>
      </c>
      <c r="E186" s="39" t="n">
        <f aca="false">IF(E$4=0,0,IF(COUNTIFS(実績!$W$6:$W$505,E$3,実績!$AI$6:$AI$505,"&lt;="&amp;$A186,実績!$AJ$6:$AJ$505,"&gt;"&amp;$A186,実績!$AL$6:$AL$505,"○")&gt;0,1,0))</f>
        <v>0</v>
      </c>
      <c r="F186" s="39" t="n">
        <f aca="false">IF(F$4=0,0,IF(COUNTIFS(実績!$W$6:$W$505,F$3,実績!$AI$6:$AI$505,"&lt;="&amp;$A186,実績!$AJ$6:$AJ$505,"&gt;"&amp;$A186,実績!$AL$6:$AL$505,"○")&gt;0,1,0))</f>
        <v>0</v>
      </c>
      <c r="G186" s="39" t="n">
        <f aca="false">IF(G$4=0,0,IF(COUNTIFS(実績!$W$6:$W$505,G$3,実績!$AI$6:$AI$505,"&lt;="&amp;$A186,実績!$AJ$6:$AJ$505,"&gt;"&amp;$A186,実績!$AL$6:$AL$505,"○")&gt;0,1,0))</f>
        <v>0</v>
      </c>
      <c r="H186" s="39" t="n">
        <f aca="false">IF(H$4=0,0,IF(COUNTIFS(実績!$W$6:$W$505,H$3,実績!$AI$6:$AI$505,"&lt;="&amp;$A186,実績!$AJ$6:$AJ$505,"&gt;"&amp;$A186,実績!$AL$6:$AL$505,"○")&gt;0,1,0))</f>
        <v>0</v>
      </c>
      <c r="I186" s="39" t="n">
        <f aca="false">IF(I$4=0,0,IF(COUNTIFS(実績!$W$6:$W$505,I$3,実績!$AI$6:$AI$505,"&lt;="&amp;$A186,実績!$AJ$6:$AJ$505,"&gt;"&amp;$A186,実績!$AL$6:$AL$505,"○")&gt;0,1,0))</f>
        <v>0</v>
      </c>
      <c r="J186" s="39" t="n">
        <f aca="false">IF(J$4=0,0,IF(COUNTIFS(実績!$W$6:$W$505,J$3,実績!$AI$6:$AI$505,"&lt;="&amp;$A186,実績!$AJ$6:$AJ$505,"&gt;"&amp;$A186,実績!$AL$6:$AL$505,"○")&gt;0,1,0))</f>
        <v>0</v>
      </c>
      <c r="K186" s="39" t="n">
        <f aca="false">IF(K$4=0,0,IF(COUNTIFS(実績!$W$6:$W$505,K$3,実績!$AI$6:$AI$505,"&lt;="&amp;$A186,実績!$AJ$6:$AJ$505,"&gt;"&amp;$A186,実績!$AL$6:$AL$505,"○")&gt;0,1,0))</f>
        <v>0</v>
      </c>
      <c r="L186" s="39" t="n">
        <f aca="false">IF(L$4=0,0,IF(COUNTIFS(実績!$W$6:$W$505,L$3,実績!$AI$6:$AI$505,"&lt;="&amp;$A186,実績!$AJ$6:$AJ$505,"&gt;"&amp;$A186,実績!$AL$6:$AL$505,"○")&gt;0,1,0))</f>
        <v>0</v>
      </c>
      <c r="M186" s="39" t="n">
        <f aca="false">IF(M$4=0,0,IF(COUNTIFS(実績!$W$6:$W$505,M$3,実績!$AI$6:$AI$505,"&lt;="&amp;$A186,実績!$AJ$6:$AJ$505,"&gt;"&amp;$A186,実績!$AL$6:$AL$505,"○")&gt;0,1,0))</f>
        <v>0</v>
      </c>
      <c r="N186" s="39" t="n">
        <f aca="false">IF(N$4=0,0,IF(COUNTIFS(実績!$W$6:$W$505,N$3,実績!$AI$6:$AI$505,"&lt;="&amp;$A186,実績!$AJ$6:$AJ$505,"&gt;"&amp;$A186,実績!$AL$6:$AL$505,"○")&gt;0,1,0))</f>
        <v>0</v>
      </c>
      <c r="O186" s="39" t="n">
        <f aca="false">IF(O$4=0,0,IF(COUNTIFS(実績!$W$6:$W$505,O$3,実績!$AI$6:$AI$505,"&lt;="&amp;$A186,実績!$AJ$6:$AJ$505,"&gt;"&amp;$A186,実績!$AL$6:$AL$505,"○")&gt;0,1,0))</f>
        <v>0</v>
      </c>
      <c r="P186" s="39" t="n">
        <f aca="false">IF(P$4=0,0,IF(COUNTIFS(実績!$W$6:$W$505,P$3,実績!$AI$6:$AI$505,"&lt;="&amp;$A186,実績!$AJ$6:$AJ$505,"&gt;"&amp;$A186,実績!$AL$6:$AL$505,"○")&gt;0,1,0))</f>
        <v>0</v>
      </c>
      <c r="Q186" s="39" t="n">
        <f aca="false">IF(Q$4=0,0,IF(COUNTIFS(実績!$W$6:$W$505,Q$3,実績!$AI$6:$AI$505,"&lt;="&amp;$A186,実績!$AJ$6:$AJ$505,"&gt;"&amp;$A186,実績!$AL$6:$AL$505,"○")&gt;0,1,0))</f>
        <v>0</v>
      </c>
      <c r="R186" s="39" t="n">
        <f aca="false">IF(R$4=0,0,IF(COUNTIFS(実績!$W$6:$W$505,R$3,実績!$AI$6:$AI$505,"&lt;="&amp;$A186,実績!$AJ$6:$AJ$505,"&gt;"&amp;$A186,実績!$AL$6:$AL$505,"○")&gt;0,1,0))</f>
        <v>0</v>
      </c>
      <c r="S186" s="39" t="n">
        <f aca="false">IF(S$4=0,0,IF(COUNTIFS(実績!$W$6:$W$505,S$3,実績!$AI$6:$AI$505,"&lt;="&amp;$A186,実績!$AJ$6:$AJ$505,"&gt;"&amp;$A186,実績!$AL$6:$AL$505,"○")&gt;0,1,0))</f>
        <v>0</v>
      </c>
      <c r="T186" s="39" t="n">
        <f aca="false">IF(T$4=0,0,IF(COUNTIFS(実績!$W$6:$W$505,T$3,実績!$AI$6:$AI$505,"&lt;="&amp;$A186,実績!$AJ$6:$AJ$505,"&gt;"&amp;$A186,実績!$AL$6:$AL$505,"○")&gt;0,1,0))</f>
        <v>0</v>
      </c>
      <c r="U186" s="39" t="n">
        <f aca="false">IF(U$4=0,0,IF(COUNTIFS(実績!$W$6:$W$505,U$3,実績!$AI$6:$AI$505,"&lt;="&amp;$A186,実績!$AJ$6:$AJ$505,"&gt;"&amp;$A186,実績!$AL$6:$AL$505,"○")&gt;0,1,0))</f>
        <v>0</v>
      </c>
      <c r="V186" s="39" t="n">
        <f aca="false">IF(V$4=0,0,IF(COUNTIFS(実績!$W$6:$W$505,V$3,実績!$AI$6:$AI$505,"&lt;="&amp;$A186,実績!$AJ$6:$AJ$505,"&gt;"&amp;$A186,実績!$AL$6:$AL$505,"○")&gt;0,1,0))</f>
        <v>0</v>
      </c>
      <c r="W186" s="39" t="n">
        <f aca="false">IF(W$4=0,0,IF(COUNTIFS(実績!$W$6:$W$505,W$3,実績!$AI$6:$AI$505,"&lt;="&amp;$A186,実績!$AJ$6:$AJ$505,"&gt;"&amp;$A186,実績!$AL$6:$AL$505,"○")&gt;0,1,0))</f>
        <v>0</v>
      </c>
      <c r="X186" s="39" t="n">
        <f aca="false">IF(X$4=0,0,IF(COUNTIFS(実績!$W$6:$W$505,X$3,実績!$AI$6:$AI$505,"&lt;="&amp;$A186,実績!$AJ$6:$AJ$505,"&gt;"&amp;$A186,実績!$AL$6:$AL$505,"○")&gt;0,1,0))</f>
        <v>0</v>
      </c>
      <c r="Y186" s="39" t="n">
        <f aca="false">IF(Y$4=0,0,IF(COUNTIFS(実績!$W$6:$W$505,Y$3,実績!$AI$6:$AI$505,"&lt;="&amp;$A186,実績!$AJ$6:$AJ$505,"&gt;"&amp;$A186,実績!$AL$6:$AL$505,"○")&gt;0,1,0))</f>
        <v>0</v>
      </c>
      <c r="Z186" s="39" t="n">
        <f aca="false">IF(Z$4=0,0,IF(COUNTIFS(実績!$W$6:$W$505,Z$3,実績!$AI$6:$AI$505,"&lt;="&amp;$A186,実績!$AJ$6:$AJ$505,"&gt;"&amp;$A186,実績!$AL$6:$AL$505,"○")&gt;0,1,0))</f>
        <v>0</v>
      </c>
      <c r="AA186" s="39" t="n">
        <f aca="false">IF(AA$4=0,0,IF(COUNTIFS(実績!$W$6:$W$505,AA$3,実績!$AI$6:$AI$505,"&lt;="&amp;$A186,実績!$AJ$6:$AJ$505,"&gt;"&amp;$A186,実績!$AL$6:$AL$505,"○")&gt;0,1,0))</f>
        <v>0</v>
      </c>
      <c r="AB186" s="39" t="n">
        <f aca="false">IF(AB$4=0,0,IF(COUNTIFS(実績!$W$6:$W$505,AB$3,実績!$AI$6:$AI$505,"&lt;="&amp;$A186,実績!$AJ$6:$AJ$505,"&gt;"&amp;$A186,実績!$AL$6:$AL$505,"○")&gt;0,1,0))</f>
        <v>0</v>
      </c>
      <c r="AC186" s="39" t="n">
        <f aca="false">IF(AC$4=0,0,IF(COUNTIFS(実績!$W$6:$W$505,AC$3,実績!$AI$6:$AI$505,"&lt;="&amp;$A186,実績!$AJ$6:$AJ$505,"&gt;"&amp;$A186,実績!$AL$6:$AL$505,"○")&gt;0,1,0))</f>
        <v>0</v>
      </c>
      <c r="AD186" s="39" t="n">
        <f aca="false">IF(AD$4=0,0,IF(COUNTIFS(実績!$W$6:$W$505,AD$3,実績!$AI$6:$AI$505,"&lt;="&amp;$A186,実績!$AJ$6:$AJ$505,"&gt;"&amp;$A186,実績!$AL$6:$AL$505,"○")&gt;0,1,0))</f>
        <v>0</v>
      </c>
      <c r="AE186" s="39" t="n">
        <f aca="false">IF(AE$4=0,0,IF(COUNTIFS(実績!$W$6:$W$505,AE$3,実績!$AI$6:$AI$505,"&lt;="&amp;$A186,実績!$AJ$6:$AJ$505,"&gt;"&amp;$A186,実績!$AL$6:$AL$505,"○")&gt;0,1,0))</f>
        <v>0</v>
      </c>
      <c r="AF186" s="39" t="n">
        <f aca="false">IF(AF$4=0,0,IF(COUNTIFS(実績!$W$6:$W$505,AF$3,実績!$AI$6:$AI$505,"&lt;="&amp;$A186,実績!$AJ$6:$AJ$505,"&gt;"&amp;$A186,実績!$AL$6:$AL$505,"○")&gt;0,1,0))</f>
        <v>0</v>
      </c>
      <c r="AG186" s="39" t="n">
        <f aca="false">IF(AG$4=0,0,IF(COUNTIFS(実績!$W$6:$W$505,AG$3,実績!$AI$6:$AI$505,"&lt;="&amp;$A186,実績!$AJ$6:$AJ$505,"&gt;"&amp;$A186,実績!$AL$6:$AL$505,"○")&gt;0,1,0))</f>
        <v>0</v>
      </c>
      <c r="AH186" s="39" t="n">
        <f aca="false">IF(AH$4=0,0,IF(COUNTIFS(実績!$W$6:$W$505,AH$3,実績!$AI$6:$AI$505,"&lt;="&amp;$A186,実績!$AJ$6:$AJ$505,"&gt;"&amp;$A186,実績!$AL$6:$AL$505,"○")&gt;0,1,0))</f>
        <v>0</v>
      </c>
      <c r="AI186" s="39" t="n">
        <f aca="false">IF(AI$4=0,0,IF(COUNTIFS(実績!$W$6:$W$505,AI$3,実績!$AI$6:$AI$505,"&lt;="&amp;$A186,実績!$AJ$6:$AJ$505,"&gt;"&amp;$A186,実績!$AL$6:$AL$505,"○")&gt;0,1,0))</f>
        <v>0</v>
      </c>
      <c r="AJ186" s="39" t="n">
        <f aca="false">IF(AJ$4=0,0,IF(COUNTIFS(実績!$W$6:$W$505,AJ$3,実績!$AI$6:$AI$505,"&lt;="&amp;$A186,実績!$AJ$6:$AJ$505,"&gt;"&amp;$A186,実績!$AL$6:$AL$505,"○")&gt;0,1,0))</f>
        <v>0</v>
      </c>
      <c r="AK186" s="39" t="n">
        <f aca="false">IF(AK$4=0,0,IF(COUNTIFS(実績!$W$6:$W$505,AK$3,実績!$AI$6:$AI$505,"&lt;="&amp;$A186,実績!$AJ$6:$AJ$505,"&gt;"&amp;$A186,実績!$AL$6:$AL$505,"○")&gt;0,1,0))</f>
        <v>0</v>
      </c>
      <c r="AL186" s="39" t="n">
        <f aca="false">IF(AL$4=0,0,IF(COUNTIFS(実績!$W$6:$W$505,AL$3,実績!$AI$6:$AI$505,"&lt;="&amp;$A186,実績!$AJ$6:$AJ$505,"&gt;"&amp;$A186,実績!$AL$6:$AL$505,"○")&gt;0,1,0))</f>
        <v>0</v>
      </c>
      <c r="AM186" s="39" t="n">
        <f aca="false">IF(AM$4=0,0,IF(COUNTIFS(実績!$W$6:$W$505,AM$3,実績!$AI$6:$AI$505,"&lt;="&amp;$A186,実績!$AJ$6:$AJ$505,"&gt;"&amp;$A186,実績!$AL$6:$AL$505,"○")&gt;0,1,0))</f>
        <v>0</v>
      </c>
      <c r="AN186" s="39" t="n">
        <f aca="false">IF(AN$4=0,0,IF(COUNTIFS(実績!$W$6:$W$505,AN$3,実績!$AI$6:$AI$505,"&lt;="&amp;$A186,実績!$AJ$6:$AJ$505,"&gt;"&amp;$A186,実績!$AL$6:$AL$505,"○")&gt;0,1,0))</f>
        <v>0</v>
      </c>
      <c r="AO186" s="39" t="n">
        <f aca="false">IF(AO$4=0,0,IF(COUNTIFS(実績!$W$6:$W$505,AO$3,実績!$AI$6:$AI$505,"&lt;="&amp;$A186,実績!$AJ$6:$AJ$505,"&gt;"&amp;$A186,実績!$AL$6:$AL$505,"○")&gt;0,1,0))</f>
        <v>0</v>
      </c>
      <c r="AP186" s="39" t="n">
        <f aca="false">IF(AP$4=0,0,IF(COUNTIFS(実績!$W$6:$W$505,AP$3,実績!$AI$6:$AI$505,"&lt;="&amp;$A186,実績!$AJ$6:$AJ$505,"&gt;"&amp;$A186,実績!$AL$6:$AL$505,"○")&gt;0,1,0))</f>
        <v>0</v>
      </c>
      <c r="AQ186" s="39" t="n">
        <f aca="false">IF(AQ$4=0,0,IF(COUNTIFS(実績!$W$6:$W$505,AQ$3,実績!$AI$6:$AI$505,"&lt;="&amp;$A186,実績!$AJ$6:$AJ$505,"&gt;"&amp;$A186,実績!$AL$6:$AL$505,"○")&gt;0,1,0))</f>
        <v>0</v>
      </c>
      <c r="AR186" s="39" t="n">
        <f aca="false">IF(AR$4=0,0,IF(COUNTIFS(実績!$W$6:$W$505,AR$3,実績!$AI$6:$AI$505,"&lt;="&amp;$A186,実績!$AJ$6:$AJ$505,"&gt;"&amp;$A186,実績!$AL$6:$AL$505,"○")&gt;0,1,0))</f>
        <v>0</v>
      </c>
      <c r="AS186" s="39" t="n">
        <f aca="false">IF(AS$4=0,0,IF(COUNTIFS(実績!$W$6:$W$505,AS$3,実績!$AI$6:$AI$505,"&lt;="&amp;$A186,実績!$AJ$6:$AJ$505,"&gt;"&amp;$A186,実績!$AL$6:$AL$505,"○")&gt;0,1,0))</f>
        <v>0</v>
      </c>
      <c r="AT186" s="39" t="n">
        <f aca="false">IF(AT$4=0,0,IF(COUNTIFS(実績!$W$6:$W$505,AT$3,実績!$AI$6:$AI$505,"&lt;="&amp;$A186,実績!$AJ$6:$AJ$505,"&gt;"&amp;$A186,実績!$AL$6:$AL$505,"○")&gt;0,1,0))</f>
        <v>0</v>
      </c>
      <c r="AU186" s="39" t="n">
        <f aca="false">IF(AU$4=0,0,IF(COUNTIFS(実績!$W$6:$W$505,AU$3,実績!$AI$6:$AI$505,"&lt;="&amp;$A186,実績!$AJ$6:$AJ$505,"&gt;"&amp;$A186,実績!$AL$6:$AL$505,"○")&gt;0,1,0))</f>
        <v>0</v>
      </c>
      <c r="AV186" s="39" t="n">
        <f aca="false">IF(AV$4=0,0,IF(COUNTIFS(実績!$W$6:$W$505,AV$3,実績!$AI$6:$AI$505,"&lt;="&amp;$A186,実績!$AJ$6:$AJ$505,"&gt;"&amp;$A186,実績!$AL$6:$AL$505,"○")&gt;0,1,0))</f>
        <v>0</v>
      </c>
      <c r="AW186" s="39" t="n">
        <f aca="false">IF(AW$4=0,0,IF(COUNTIFS(実績!$W$6:$W$505,AW$3,実績!$AI$6:$AI$505,"&lt;="&amp;$A186,実績!$AJ$6:$AJ$505,"&gt;"&amp;$A186,実績!$AL$6:$AL$505,"○")&gt;0,1,0))</f>
        <v>0</v>
      </c>
      <c r="AX186" s="39" t="n">
        <f aca="false">IF(AX$4=0,0,IF(COUNTIFS(実績!$W$6:$W$505,AX$3,実績!$AI$6:$AI$505,"&lt;="&amp;$A186,実績!$AJ$6:$AJ$505,"&gt;"&amp;$A186,実績!$AL$6:$AL$505,"○")&gt;0,1,0))</f>
        <v>0</v>
      </c>
      <c r="AY186" s="39" t="n">
        <f aca="false">IF(AY$4=0,0,IF(COUNTIFS(実績!$W$6:$W$505,AY$3,実績!$AI$6:$AI$505,"&lt;="&amp;$A186,実績!$AJ$6:$AJ$505,"&gt;"&amp;$A186,実績!$AL$6:$AL$505,"○")&gt;0,1,0))</f>
        <v>0</v>
      </c>
      <c r="AZ186" s="39" t="n">
        <f aca="false">IF(AZ$4=0,0,IF(COUNTIFS(実績!$W$6:$W$505,AZ$3,実績!$AI$6:$AI$505,"&lt;="&amp;$A186,実績!$AJ$6:$AJ$505,"&gt;"&amp;$A186,実績!$AL$6:$AL$505,"○")&gt;0,1,0))</f>
        <v>0</v>
      </c>
      <c r="BA186" s="39" t="n">
        <f aca="false">IF(BA$4=0,0,IF(COUNTIFS(実績!$W$6:$W$505,BA$3,実績!$AI$6:$AI$505,"&lt;="&amp;$A186,実績!$AJ$6:$AJ$505,"&gt;"&amp;$A186,実績!$AL$6:$AL$505,"○")&gt;0,1,0))</f>
        <v>0</v>
      </c>
      <c r="BB186" s="39" t="n">
        <f aca="false">IF(BB$4=0,0,IF(COUNTIFS(実績!$W$6:$W$505,BB$3,実績!$AI$6:$AI$505,"&lt;="&amp;$A186,実績!$AJ$6:$AJ$505,"&gt;"&amp;$A186,実績!$AL$6:$AL$505,"○")&gt;0,1,0))</f>
        <v>0</v>
      </c>
      <c r="BC186" s="39" t="n">
        <f aca="false">IF(BC$4=0,0,IF(COUNTIFS(実績!$W$6:$W$505,BC$3,実績!$AI$6:$AI$505,"&lt;="&amp;$A186,実績!$AJ$6:$AJ$505,"&gt;"&amp;$A186,実績!$AL$6:$AL$505,"○")&gt;0,1,0))</f>
        <v>0</v>
      </c>
      <c r="BD186" s="39" t="n">
        <f aca="false">IF(BD$4=0,0,IF(COUNTIFS(実績!$W$6:$W$505,BD$3,実績!$AI$6:$AI$505,"&lt;="&amp;$A186,実績!$AJ$6:$AJ$505,"&gt;"&amp;$A186,実績!$AL$6:$AL$505,"○")&gt;0,1,0))</f>
        <v>0</v>
      </c>
      <c r="BE186" s="39" t="n">
        <f aca="false">IF(BE$4=0,0,IF(COUNTIFS(実績!$W$6:$W$505,BE$3,実績!$AI$6:$AI$505,"&lt;="&amp;$A186,実績!$AJ$6:$AJ$505,"&gt;"&amp;$A186,実績!$AL$6:$AL$505,"○")&gt;0,1,0))</f>
        <v>0</v>
      </c>
      <c r="BF186" s="39" t="n">
        <f aca="false">IF(BF$4=0,0,IF(COUNTIFS(実績!$W$6:$W$505,BF$3,実績!$AI$6:$AI$505,"&lt;="&amp;$A186,実績!$AJ$6:$AJ$505,"&gt;"&amp;$A186,実績!$AL$6:$AL$505,"○")&gt;0,1,0))</f>
        <v>0</v>
      </c>
      <c r="BG186" s="39" t="n">
        <f aca="false">IF(BG$4=0,0,IF(COUNTIFS(実績!$W$6:$W$505,BG$3,実績!$AI$6:$AI$505,"&lt;="&amp;$A186,実績!$AJ$6:$AJ$505,"&gt;"&amp;$A186,実績!$AL$6:$AL$505,"○")&gt;0,1,0))</f>
        <v>0</v>
      </c>
      <c r="BH186" s="39" t="n">
        <f aca="false">IF(BH$4=0,0,IF(COUNTIFS(実績!$W$6:$W$505,BH$3,実績!$AI$6:$AI$505,"&lt;="&amp;$A186,実績!$AJ$6:$AJ$505,"&gt;"&amp;$A186,実績!$AL$6:$AL$505,"○")&gt;0,1,0))</f>
        <v>0</v>
      </c>
      <c r="BI186" s="39" t="n">
        <f aca="false">IF(BI$4=0,0,IF(COUNTIFS(実績!$W$6:$W$505,BI$3,実績!$AI$6:$AI$505,"&lt;="&amp;$A186,実績!$AJ$6:$AJ$505,"&gt;"&amp;$A186,実績!$AL$6:$AL$505,"○")&gt;0,1,0))</f>
        <v>0</v>
      </c>
      <c r="BJ186" s="39" t="n">
        <f aca="false">IF(BJ$4=0,0,IF(COUNTIFS(実績!$W$6:$W$505,BJ$3,実績!$AI$6:$AI$505,"&lt;="&amp;$A186,実績!$AJ$6:$AJ$505,"&gt;"&amp;$A186,実績!$AL$6:$AL$505,"○")&gt;0,1,0))</f>
        <v>0</v>
      </c>
      <c r="BK186" s="39" t="n">
        <f aca="false">IF(BK$4=0,0,IF(COUNTIFS(実績!$W$6:$W$505,BK$3,実績!$AI$6:$AI$505,"&lt;="&amp;$A186,実績!$AJ$6:$AJ$505,"&gt;"&amp;$A186,実績!$AL$6:$AL$505,"○")&gt;0,1,0))</f>
        <v>0</v>
      </c>
      <c r="BL186" s="39" t="n">
        <f aca="false">IF(BL$4=0,0,IF(COUNTIFS(実績!$W$6:$W$505,BL$3,実績!$AI$6:$AI$505,"&lt;="&amp;$A186,実績!$AJ$6:$AJ$505,"&gt;"&amp;$A186,実績!$AL$6:$AL$505,"○")&gt;0,1,0))</f>
        <v>0</v>
      </c>
      <c r="BM186" s="39" t="n">
        <f aca="false">IF(BM$4=0,0,IF(COUNTIFS(実績!$W$6:$W$505,BM$3,実績!$AI$6:$AI$505,"&lt;="&amp;$A186,実績!$AJ$6:$AJ$505,"&gt;"&amp;$A186,実績!$AL$6:$AL$505,"○")&gt;0,1,0))</f>
        <v>0</v>
      </c>
      <c r="BN186" s="39" t="n">
        <f aca="false">IF(BN$4=0,0,IF(COUNTIFS(実績!$W$6:$W$505,BN$3,実績!$AI$6:$AI$505,"&lt;="&amp;$A186,実績!$AJ$6:$AJ$505,"&gt;"&amp;$A186,実績!$AL$6:$AL$505,"○")&gt;0,1,0))</f>
        <v>0</v>
      </c>
      <c r="BO186" s="39" t="n">
        <f aca="false">IF(BO$4=0,0,IF(COUNTIFS(実績!$W$6:$W$505,BO$3,実績!$AI$6:$AI$505,"&lt;="&amp;$A186,実績!$AJ$6:$AJ$505,"&gt;"&amp;$A186,実績!$AL$6:$AL$505,"○")&gt;0,1,0))</f>
        <v>0</v>
      </c>
      <c r="BP186" s="39" t="n">
        <f aca="false">IF(BP$4=0,0,IF(COUNTIFS(実績!$W$6:$W$505,BP$3,実績!$AI$6:$AI$505,"&lt;="&amp;$A186,実績!$AJ$6:$AJ$505,"&gt;"&amp;$A186,実績!$AL$6:$AL$505,"○")&gt;0,1,0))</f>
        <v>0</v>
      </c>
      <c r="BQ186" s="39" t="n">
        <f aca="false">IF(BQ$4=0,0,IF(COUNTIFS(実績!$W$6:$W$505,BQ$3,実績!$AI$6:$AI$505,"&lt;="&amp;$A186,実績!$AJ$6:$AJ$505,"&gt;"&amp;$A186,実績!$AL$6:$AL$505,"○")&gt;0,1,0))</f>
        <v>0</v>
      </c>
      <c r="BR186" s="39" t="n">
        <f aca="false">IF(BR$4=0,0,IF(COUNTIFS(実績!$W$6:$W$505,BR$3,実績!$AI$6:$AI$505,"&lt;="&amp;$A186,実績!$AJ$6:$AJ$505,"&gt;"&amp;$A186,実績!$AL$6:$AL$505,"○")&gt;0,1,0))</f>
        <v>0</v>
      </c>
      <c r="BS186" s="39" t="n">
        <f aca="false">IF(BS$4=0,0,IF(COUNTIFS(実績!$W$6:$W$505,BS$3,実績!$AI$6:$AI$505,"&lt;="&amp;$A186,実績!$AJ$6:$AJ$505,"&gt;"&amp;$A186,実績!$AL$6:$AL$505,"○")&gt;0,1,0))</f>
        <v>0</v>
      </c>
      <c r="BT186" s="39" t="n">
        <f aca="false">IF(BT$4=0,0,IF(COUNTIFS(実績!$W$6:$W$505,BT$3,実績!$AI$6:$AI$505,"&lt;="&amp;$A186,実績!$AJ$6:$AJ$505,"&gt;"&amp;$A186,実績!$AL$6:$AL$505,"○")&gt;0,1,0))</f>
        <v>0</v>
      </c>
      <c r="BU186" s="39" t="n">
        <f aca="false">IF(BU$4=0,0,IF(COUNTIFS(実績!$W$6:$W$505,BU$3,実績!$AI$6:$AI$505,"&lt;="&amp;$A186,実績!$AJ$6:$AJ$505,"&gt;"&amp;$A186,実績!$AL$6:$AL$505,"○")&gt;0,1,0))</f>
        <v>0</v>
      </c>
      <c r="BV186" s="39" t="n">
        <f aca="false">IF(BV$4=0,0,IF(COUNTIFS(実績!$W$6:$W$505,BV$3,実績!$AI$6:$AI$505,"&lt;="&amp;$A186,実績!$AJ$6:$AJ$505,"&gt;"&amp;$A186,実績!$AL$6:$AL$505,"○")&gt;0,1,0))</f>
        <v>0</v>
      </c>
      <c r="BW186" s="39" t="n">
        <f aca="false">IF(BW$4=0,0,IF(COUNTIFS(実績!$W$6:$W$505,BW$3,実績!$AI$6:$AI$505,"&lt;="&amp;$A186,実績!$AJ$6:$AJ$505,"&gt;"&amp;$A186,実績!$AL$6:$AL$505,"○")&gt;0,1,0))</f>
        <v>0</v>
      </c>
      <c r="BX186" s="39" t="n">
        <f aca="false">IF(BX$4=0,0,IF(COUNTIFS(実績!$W$6:$W$505,BX$3,実績!$AI$6:$AI$505,"&lt;="&amp;$A186,実績!$AJ$6:$AJ$505,"&gt;"&amp;$A186,実績!$AL$6:$AL$505,"○")&gt;0,1,0))</f>
        <v>0</v>
      </c>
      <c r="BY186" s="39" t="n">
        <f aca="false">IF(BY$4=0,0,IF(COUNTIFS(実績!$W$6:$W$505,BY$3,実績!$AI$6:$AI$505,"&lt;="&amp;$A186,実績!$AJ$6:$AJ$505,"&gt;"&amp;$A186,実績!$AL$6:$AL$505,"○")&gt;0,1,0))</f>
        <v>0</v>
      </c>
      <c r="BZ186" s="39" t="n">
        <f aca="false">IF(BZ$4=0,0,IF(COUNTIFS(実績!$W$6:$W$505,BZ$3,実績!$AI$6:$AI$505,"&lt;="&amp;$A186,実績!$AJ$6:$AJ$505,"&gt;"&amp;$A186,実績!$AL$6:$AL$505,"○")&gt;0,1,0))</f>
        <v>0</v>
      </c>
      <c r="CA186" s="39" t="n">
        <f aca="false">IF(CA$4=0,0,IF(COUNTIFS(実績!$W$6:$W$505,CA$3,実績!$AI$6:$AI$505,"&lt;="&amp;$A186,実績!$AJ$6:$AJ$505,"&gt;"&amp;$A186,実績!$AL$6:$AL$505,"○")&gt;0,1,0))</f>
        <v>0</v>
      </c>
      <c r="CB186" s="39" t="n">
        <f aca="false">IF(CB$4=0,0,IF(COUNTIFS(実績!$W$6:$W$505,CB$3,実績!$AI$6:$AI$505,"&lt;="&amp;$A186,実績!$AJ$6:$AJ$505,"&gt;"&amp;$A186,実績!$AL$6:$AL$505,"○")&gt;0,1,0))</f>
        <v>0</v>
      </c>
      <c r="CC186" s="39" t="n">
        <f aca="false">IF(CC$4=0,0,IF(COUNTIFS(実績!$W$6:$W$505,CC$3,実績!$AI$6:$AI$505,"&lt;="&amp;$A186,実績!$AJ$6:$AJ$505,"&gt;"&amp;$A186,実績!$AL$6:$AL$505,"○")&gt;0,1,0))</f>
        <v>0</v>
      </c>
      <c r="CD186" s="39" t="n">
        <f aca="false">IF(CD$4=0,0,IF(COUNTIFS(実績!$W$6:$W$505,CD$3,実績!$AI$6:$AI$505,"&lt;="&amp;$A186,実績!$AJ$6:$AJ$505,"&gt;"&amp;$A186,実績!$AL$6:$AL$505,"○")&gt;0,1,0))</f>
        <v>0</v>
      </c>
      <c r="CE186" s="39" t="n">
        <f aca="false">IF(CE$4=0,0,IF(COUNTIFS(実績!$W$6:$W$505,CE$3,実績!$AI$6:$AI$505,"&lt;="&amp;$A186,実績!$AJ$6:$AJ$505,"&gt;"&amp;$A186,実績!$AL$6:$AL$505,"○")&gt;0,1,0))</f>
        <v>0</v>
      </c>
      <c r="CF186" s="39" t="n">
        <f aca="false">IF(CF$4=0,0,IF(COUNTIFS(実績!$W$6:$W$505,CF$3,実績!$AI$6:$AI$505,"&lt;="&amp;$A186,実績!$AJ$6:$AJ$505,"&gt;"&amp;$A186,実績!$AL$6:$AL$505,"○")&gt;0,1,0))</f>
        <v>0</v>
      </c>
      <c r="CG186" s="39" t="n">
        <f aca="false">IF(CG$4=0,0,IF(COUNTIFS(実績!$W$6:$W$505,CG$3,実績!$AI$6:$AI$505,"&lt;="&amp;$A186,実績!$AJ$6:$AJ$505,"&gt;"&amp;$A186,実績!$AL$6:$AL$505,"○")&gt;0,1,0))</f>
        <v>0</v>
      </c>
      <c r="CH186" s="39" t="n">
        <f aca="false">IF(CH$4=0,0,IF(COUNTIFS(実績!$W$6:$W$505,CH$3,実績!$AI$6:$AI$505,"&lt;="&amp;$A186,実績!$AJ$6:$AJ$505,"&gt;"&amp;$A186,実績!$AL$6:$AL$505,"○")&gt;0,1,0))</f>
        <v>0</v>
      </c>
      <c r="CI186" s="39" t="n">
        <f aca="false">IF(CI$4=0,0,IF(COUNTIFS(実績!$W$6:$W$505,CI$3,実績!$AI$6:$AI$505,"&lt;="&amp;$A186,実績!$AJ$6:$AJ$505,"&gt;"&amp;$A186,実績!$AL$6:$AL$505,"○")&gt;0,1,0))</f>
        <v>0</v>
      </c>
      <c r="CJ186" s="39" t="n">
        <f aca="false">IF(CJ$4=0,0,IF(COUNTIFS(実績!$W$6:$W$505,CJ$3,実績!$AI$6:$AI$505,"&lt;="&amp;$A186,実績!$AJ$6:$AJ$505,"&gt;"&amp;$A186,実績!$AL$6:$AL$505,"○")&gt;0,1,0))</f>
        <v>0</v>
      </c>
      <c r="CK186" s="39" t="n">
        <f aca="false">IF(CK$4=0,0,IF(COUNTIFS(実績!$W$6:$W$505,CK$3,実績!$AI$6:$AI$505,"&lt;="&amp;$A186,実績!$AJ$6:$AJ$505,"&gt;"&amp;$A186,実績!$AL$6:$AL$505,"○")&gt;0,1,0))</f>
        <v>0</v>
      </c>
      <c r="CL186" s="39" t="n">
        <f aca="false">IF(CL$4=0,0,IF(COUNTIFS(実績!$W$6:$W$505,CL$3,実績!$AI$6:$AI$505,"&lt;="&amp;$A186,実績!$AJ$6:$AJ$505,"&gt;"&amp;$A186,実績!$AL$6:$AL$505,"○")&gt;0,1,0))</f>
        <v>0</v>
      </c>
      <c r="CM186" s="39" t="n">
        <f aca="false">IF(CM$4=0,0,IF(COUNTIFS(実績!$W$6:$W$505,CM$3,実績!$AI$6:$AI$505,"&lt;="&amp;$A186,実績!$AJ$6:$AJ$505,"&gt;"&amp;$A186,実績!$AL$6:$AL$505,"○")&gt;0,1,0))</f>
        <v>0</v>
      </c>
      <c r="CN186" s="39" t="n">
        <f aca="false">IF(CN$4=0,0,IF(COUNTIFS(実績!$W$6:$W$505,CN$3,実績!$AI$6:$AI$505,"&lt;="&amp;$A186,実績!$AJ$6:$AJ$505,"&gt;"&amp;$A186,実績!$AL$6:$AL$505,"○")&gt;0,1,0))</f>
        <v>0</v>
      </c>
      <c r="CO186" s="39" t="n">
        <f aca="false">IF(CO$4=0,0,IF(COUNTIFS(実績!$W$6:$W$505,CO$3,実績!$AI$6:$AI$505,"&lt;="&amp;$A186,実績!$AJ$6:$AJ$505,"&gt;"&amp;$A186,実績!$AL$6:$AL$505,"○")&gt;0,1,0))</f>
        <v>0</v>
      </c>
      <c r="CP186" s="39" t="n">
        <f aca="false">IF(CP$4=0,0,IF(COUNTIFS(実績!$W$6:$W$505,CP$3,実績!$AI$6:$AI$505,"&lt;="&amp;$A186,実績!$AJ$6:$AJ$505,"&gt;"&amp;$A186,実績!$AL$6:$AL$505,"○")&gt;0,1,0))</f>
        <v>0</v>
      </c>
      <c r="CQ186" s="39" t="n">
        <f aca="false">IF(CQ$4=0,0,IF(COUNTIFS(実績!$W$6:$W$505,CQ$3,実績!$AI$6:$AI$505,"&lt;="&amp;$A186,実績!$AJ$6:$AJ$505,"&gt;"&amp;$A186,実績!$AL$6:$AL$505,"○")&gt;0,1,0))</f>
        <v>0</v>
      </c>
      <c r="CR186" s="39" t="n">
        <f aca="false">IF(CR$4=0,0,IF(COUNTIFS(実績!$W$6:$W$505,CR$3,実績!$AI$6:$AI$505,"&lt;="&amp;$A186,実績!$AJ$6:$AJ$505,"&gt;"&amp;$A186,実績!$AL$6:$AL$505,"○")&gt;0,1,0))</f>
        <v>0</v>
      </c>
      <c r="CS186" s="39" t="n">
        <f aca="false">IF(CS$4=0,0,IF(COUNTIFS(実績!$W$6:$W$505,CS$3,実績!$AI$6:$AI$505,"&lt;="&amp;$A186,実績!$AJ$6:$AJ$505,"&gt;"&amp;$A186,実績!$AL$6:$AL$505,"○")&gt;0,1,0))</f>
        <v>0</v>
      </c>
      <c r="CT186" s="39" t="n">
        <f aca="false">IF(CT$4=0,0,IF(COUNTIFS(実績!$W$6:$W$505,CT$3,実績!$AI$6:$AI$505,"&lt;="&amp;$A186,実績!$AJ$6:$AJ$505,"&gt;"&amp;$A186,実績!$AL$6:$AL$505,"○")&gt;0,1,0))</f>
        <v>0</v>
      </c>
      <c r="CU186" s="39" t="n">
        <f aca="false">IF(CU$4=0,0,IF(COUNTIFS(実績!$W$6:$W$505,CU$3,実績!$AI$6:$AI$505,"&lt;="&amp;$A186,実績!$AJ$6:$AJ$505,"&gt;"&amp;$A186,実績!$AL$6:$AL$505,"○")&gt;0,1,0))</f>
        <v>0</v>
      </c>
      <c r="CV186" s="39" t="n">
        <f aca="false">IF(CV$4=0,0,IF(COUNTIFS(実績!$W$6:$W$505,CV$3,実績!$AI$6:$AI$505,"&lt;="&amp;$A186,実績!$AJ$6:$AJ$505,"&gt;"&amp;$A186,実績!$AL$6:$AL$505,"○")&gt;0,1,0))</f>
        <v>0</v>
      </c>
      <c r="CW186" s="39" t="n">
        <f aca="false">IF(CW$4=0,0,IF(COUNTIFS(実績!$W$6:$W$505,CW$3,実績!$AI$6:$AI$505,"&lt;="&amp;$A186,実績!$AJ$6:$AJ$505,"&gt;"&amp;$A186,実績!$AL$6:$AL$505,"○")&gt;0,1,0))</f>
        <v>0</v>
      </c>
      <c r="CX186" s="39" t="n">
        <f aca="false">IF(CX$4=0,0,IF(COUNTIFS(実績!$W$6:$W$505,CX$3,実績!$AI$6:$AI$505,"&lt;="&amp;$A186,実績!$AJ$6:$AJ$505,"&gt;"&amp;$A186,実績!$AL$6:$AL$505,"○")&gt;0,1,0))</f>
        <v>0</v>
      </c>
      <c r="CY186" s="39" t="n">
        <f aca="false">IF(CY$4=0,0,IF(COUNTIFS(実績!$W$6:$W$505,CY$3,実績!$AI$6:$AI$505,"&lt;="&amp;$A186,実績!$AJ$6:$AJ$505,"&gt;"&amp;$A186,実績!$AL$6:$AL$505,"○")&gt;0,1,0))</f>
        <v>0</v>
      </c>
      <c r="CZ186" s="39" t="n">
        <f aca="false">IF(CZ$4=0,0,IF(COUNTIFS(実績!$W$6:$W$505,CZ$3,実績!$AI$6:$AI$505,"&lt;="&amp;$A186,実績!$AJ$6:$AJ$505,"&gt;"&amp;$A186,実績!$AL$6:$AL$505,"○")&gt;0,1,0))</f>
        <v>0</v>
      </c>
      <c r="DA186" s="39" t="n">
        <f aca="false">IF(DA$4=0,0,IF(COUNTIFS(実績!$W$6:$W$505,DA$3,実績!$AI$6:$AI$505,"&lt;="&amp;$A186,実績!$AJ$6:$AJ$505,"&gt;"&amp;$A186,実績!$AL$6:$AL$505,"○")&gt;0,1,0))</f>
        <v>0</v>
      </c>
      <c r="DB186" s="39" t="n">
        <f aca="false">IF(DB$4=0,0,IF(COUNTIFS(実績!$W$6:$W$505,DB$3,実績!$AI$6:$AI$505,"&lt;="&amp;$A186,実績!$AJ$6:$AJ$505,"&gt;"&amp;$A186,実績!$AL$6:$AL$505,"○")&gt;0,1,0))</f>
        <v>0</v>
      </c>
      <c r="DC186" s="39" t="n">
        <f aca="false">IF(DC$4=0,0,IF(COUNTIFS(実績!$W$6:$W$505,DC$3,実績!$AI$6:$AI$505,"&lt;="&amp;$A186,実績!$AJ$6:$AJ$505,"&gt;"&amp;$A186,実績!$AL$6:$AL$505,"○")&gt;0,1,0))</f>
        <v>0</v>
      </c>
      <c r="DD186" s="39" t="n">
        <f aca="false">IF(DD$4=0,0,IF(COUNTIFS(実績!$W$6:$W$505,DD$3,実績!$AI$6:$AI$505,"&lt;="&amp;$A186,実績!$AJ$6:$AJ$505,"&gt;"&amp;$A186,実績!$AL$6:$AL$505,"○")&gt;0,1,0))</f>
        <v>0</v>
      </c>
      <c r="DE186" s="39" t="n">
        <f aca="false">IF(DE$4=0,0,IF(COUNTIFS(実績!$W$6:$W$505,DE$3,実績!$AI$6:$AI$505,"&lt;="&amp;$A186,実績!$AJ$6:$AJ$505,"&gt;"&amp;$A186,実績!$AL$6:$AL$505,"○")&gt;0,1,0))</f>
        <v>0</v>
      </c>
      <c r="DF186" s="39" t="n">
        <f aca="false">IF(DF$4=0,0,IF(COUNTIFS(実績!$W$6:$W$505,DF$3,実績!$AI$6:$AI$505,"&lt;="&amp;$A186,実績!$AJ$6:$AJ$505,"&gt;"&amp;$A186,実績!$AL$6:$AL$505,"○")&gt;0,1,0))</f>
        <v>0</v>
      </c>
      <c r="DG186" s="39" t="n">
        <f aca="false">IF(DG$4=0,0,IF(COUNTIFS(実績!$W$6:$W$505,DG$3,実績!$AI$6:$AI$505,"&lt;="&amp;$A186,実績!$AJ$6:$AJ$505,"&gt;"&amp;$A186,実績!$AL$6:$AL$505,"○")&gt;0,1,0))</f>
        <v>0</v>
      </c>
      <c r="DH186" s="39" t="n">
        <f aca="false">IF(DH$4=0,0,IF(COUNTIFS(実績!$W$6:$W$505,DH$3,実績!$AI$6:$AI$505,"&lt;="&amp;$A186,実績!$AJ$6:$AJ$505,"&gt;"&amp;$A186,実績!$AL$6:$AL$505,"○")&gt;0,1,0))</f>
        <v>0</v>
      </c>
      <c r="DI186" s="39" t="n">
        <f aca="false">IF(DI$4=0,0,IF(COUNTIFS(実績!$W$6:$W$505,DI$3,実績!$AI$6:$AI$505,"&lt;="&amp;$A186,実績!$AJ$6:$AJ$505,"&gt;"&amp;$A186,実績!$AL$6:$AL$505,"○")&gt;0,1,0))</f>
        <v>0</v>
      </c>
      <c r="DJ186" s="39" t="n">
        <f aca="false">IF(DJ$4=0,0,IF(COUNTIFS(実績!$W$6:$W$505,DJ$3,実績!$AI$6:$AI$505,"&lt;="&amp;$A186,実績!$AJ$6:$AJ$505,"&gt;"&amp;$A186,実績!$AL$6:$AL$505,"○")&gt;0,1,0))</f>
        <v>0</v>
      </c>
      <c r="DK186" s="39" t="n">
        <f aca="false">IF(DK$4=0,0,IF(COUNTIFS(実績!$W$6:$W$505,DK$3,実績!$AI$6:$AI$505,"&lt;="&amp;$A186,実績!$AJ$6:$AJ$505,"&gt;"&amp;$A186,実績!$AL$6:$AL$505,"○")&gt;0,1,0))</f>
        <v>0</v>
      </c>
      <c r="DL186" s="39" t="n">
        <f aca="false">IF(DL$4=0,0,IF(COUNTIFS(実績!$W$6:$W$505,DL$3,実績!$AI$6:$AI$505,"&lt;="&amp;$A186,実績!$AJ$6:$AJ$505,"&gt;"&amp;$A186,実績!$AL$6:$AL$505,"○")&gt;0,1,0))</f>
        <v>0</v>
      </c>
      <c r="DM186" s="39" t="n">
        <f aca="false">IF(DM$4=0,0,IF(COUNTIFS(実績!$W$6:$W$505,DM$3,実績!$AI$6:$AI$505,"&lt;="&amp;$A186,実績!$AJ$6:$AJ$505,"&gt;"&amp;$A186,実績!$AL$6:$AL$505,"○")&gt;0,1,0))</f>
        <v>0</v>
      </c>
      <c r="DN186" s="39" t="n">
        <f aca="false">IF(DN$4=0,0,IF(COUNTIFS(実績!$W$6:$W$505,DN$3,実績!$AI$6:$AI$505,"&lt;="&amp;$A186,実績!$AJ$6:$AJ$505,"&gt;"&amp;$A186,実績!$AL$6:$AL$505,"○")&gt;0,1,0))</f>
        <v>0</v>
      </c>
      <c r="DO186" s="39" t="n">
        <f aca="false">IF(DO$4=0,0,IF(COUNTIFS(実績!$W$6:$W$505,DO$3,実績!$AI$6:$AI$505,"&lt;="&amp;$A186,実績!$AJ$6:$AJ$505,"&gt;"&amp;$A186,実績!$AL$6:$AL$505,"○")&gt;0,1,0))</f>
        <v>0</v>
      </c>
      <c r="DP186" s="39" t="n">
        <f aca="false">IF(DP$4=0,0,IF(COUNTIFS(実績!$W$6:$W$505,DP$3,実績!$AI$6:$AI$505,"&lt;="&amp;$A186,実績!$AJ$6:$AJ$505,"&gt;"&amp;$A186,実績!$AL$6:$AL$505,"○")&gt;0,1,0))</f>
        <v>0</v>
      </c>
      <c r="DQ186" s="39" t="n">
        <f aca="false">IF(DQ$4=0,0,IF(COUNTIFS(実績!$W$6:$W$505,DQ$3,実績!$AI$6:$AI$505,"&lt;="&amp;$A186,実績!$AJ$6:$AJ$505,"&gt;"&amp;$A186,実績!$AL$6:$AL$505,"○")&gt;0,1,0))</f>
        <v>0</v>
      </c>
      <c r="DR186" s="39" t="n">
        <f aca="false">IF(DR$4=0,0,IF(COUNTIFS(実績!$W$6:$W$505,DR$3,実績!$AI$6:$AI$505,"&lt;="&amp;$A186,実績!$AJ$6:$AJ$505,"&gt;"&amp;$A186,実績!$AL$6:$AL$505,"○")&gt;0,1,0))</f>
        <v>0</v>
      </c>
      <c r="DS186" s="39" t="n">
        <f aca="false">SUM(C186:DR186)</f>
        <v>0</v>
      </c>
    </row>
    <row r="187" customFormat="false" ht="15" hidden="false" customHeight="false" outlineLevel="0" collapsed="false">
      <c r="A187" s="0" t="n">
        <v>905</v>
      </c>
      <c r="B187" s="38" t="n">
        <f aca="false">A187/1440</f>
        <v>0.628472222222222</v>
      </c>
      <c r="C187" s="39" t="n">
        <f aca="false">IF(C$4=0,0,IF(COUNTIFS(実績!$W$6:$W$505,C$3,実績!$AI$6:$AI$505,"&lt;="&amp;$A187,実績!$AJ$6:$AJ$505,"&gt;"&amp;$A187,実績!$AL$6:$AL$505,"○")&gt;0,1,0))</f>
        <v>0</v>
      </c>
      <c r="D187" s="39" t="n">
        <f aca="false">IF(D$4=0,0,IF(COUNTIFS(実績!$W$6:$W$505,D$3,実績!$AI$6:$AI$505,"&lt;="&amp;$A187,実績!$AJ$6:$AJ$505,"&gt;"&amp;$A187,実績!$AL$6:$AL$505,"○")&gt;0,1,0))</f>
        <v>0</v>
      </c>
      <c r="E187" s="39" t="n">
        <f aca="false">IF(E$4=0,0,IF(COUNTIFS(実績!$W$6:$W$505,E$3,実績!$AI$6:$AI$505,"&lt;="&amp;$A187,実績!$AJ$6:$AJ$505,"&gt;"&amp;$A187,実績!$AL$6:$AL$505,"○")&gt;0,1,0))</f>
        <v>0</v>
      </c>
      <c r="F187" s="39" t="n">
        <f aca="false">IF(F$4=0,0,IF(COUNTIFS(実績!$W$6:$W$505,F$3,実績!$AI$6:$AI$505,"&lt;="&amp;$A187,実績!$AJ$6:$AJ$505,"&gt;"&amp;$A187,実績!$AL$6:$AL$505,"○")&gt;0,1,0))</f>
        <v>0</v>
      </c>
      <c r="G187" s="39" t="n">
        <f aca="false">IF(G$4=0,0,IF(COUNTIFS(実績!$W$6:$W$505,G$3,実績!$AI$6:$AI$505,"&lt;="&amp;$A187,実績!$AJ$6:$AJ$505,"&gt;"&amp;$A187,実績!$AL$6:$AL$505,"○")&gt;0,1,0))</f>
        <v>0</v>
      </c>
      <c r="H187" s="39" t="n">
        <f aca="false">IF(H$4=0,0,IF(COUNTIFS(実績!$W$6:$W$505,H$3,実績!$AI$6:$AI$505,"&lt;="&amp;$A187,実績!$AJ$6:$AJ$505,"&gt;"&amp;$A187,実績!$AL$6:$AL$505,"○")&gt;0,1,0))</f>
        <v>0</v>
      </c>
      <c r="I187" s="39" t="n">
        <f aca="false">IF(I$4=0,0,IF(COUNTIFS(実績!$W$6:$W$505,I$3,実績!$AI$6:$AI$505,"&lt;="&amp;$A187,実績!$AJ$6:$AJ$505,"&gt;"&amp;$A187,実績!$AL$6:$AL$505,"○")&gt;0,1,0))</f>
        <v>0</v>
      </c>
      <c r="J187" s="39" t="n">
        <f aca="false">IF(J$4=0,0,IF(COUNTIFS(実績!$W$6:$W$505,J$3,実績!$AI$6:$AI$505,"&lt;="&amp;$A187,実績!$AJ$6:$AJ$505,"&gt;"&amp;$A187,実績!$AL$6:$AL$505,"○")&gt;0,1,0))</f>
        <v>0</v>
      </c>
      <c r="K187" s="39" t="n">
        <f aca="false">IF(K$4=0,0,IF(COUNTIFS(実績!$W$6:$W$505,K$3,実績!$AI$6:$AI$505,"&lt;="&amp;$A187,実績!$AJ$6:$AJ$505,"&gt;"&amp;$A187,実績!$AL$6:$AL$505,"○")&gt;0,1,0))</f>
        <v>0</v>
      </c>
      <c r="L187" s="39" t="n">
        <f aca="false">IF(L$4=0,0,IF(COUNTIFS(実績!$W$6:$W$505,L$3,実績!$AI$6:$AI$505,"&lt;="&amp;$A187,実績!$AJ$6:$AJ$505,"&gt;"&amp;$A187,実績!$AL$6:$AL$505,"○")&gt;0,1,0))</f>
        <v>0</v>
      </c>
      <c r="M187" s="39" t="n">
        <f aca="false">IF(M$4=0,0,IF(COUNTIFS(実績!$W$6:$W$505,M$3,実績!$AI$6:$AI$505,"&lt;="&amp;$A187,実績!$AJ$6:$AJ$505,"&gt;"&amp;$A187,実績!$AL$6:$AL$505,"○")&gt;0,1,0))</f>
        <v>0</v>
      </c>
      <c r="N187" s="39" t="n">
        <f aca="false">IF(N$4=0,0,IF(COUNTIFS(実績!$W$6:$W$505,N$3,実績!$AI$6:$AI$505,"&lt;="&amp;$A187,実績!$AJ$6:$AJ$505,"&gt;"&amp;$A187,実績!$AL$6:$AL$505,"○")&gt;0,1,0))</f>
        <v>0</v>
      </c>
      <c r="O187" s="39" t="n">
        <f aca="false">IF(O$4=0,0,IF(COUNTIFS(実績!$W$6:$W$505,O$3,実績!$AI$6:$AI$505,"&lt;="&amp;$A187,実績!$AJ$6:$AJ$505,"&gt;"&amp;$A187,実績!$AL$6:$AL$505,"○")&gt;0,1,0))</f>
        <v>0</v>
      </c>
      <c r="P187" s="39" t="n">
        <f aca="false">IF(P$4=0,0,IF(COUNTIFS(実績!$W$6:$W$505,P$3,実績!$AI$6:$AI$505,"&lt;="&amp;$A187,実績!$AJ$6:$AJ$505,"&gt;"&amp;$A187,実績!$AL$6:$AL$505,"○")&gt;0,1,0))</f>
        <v>0</v>
      </c>
      <c r="Q187" s="39" t="n">
        <f aca="false">IF(Q$4=0,0,IF(COUNTIFS(実績!$W$6:$W$505,Q$3,実績!$AI$6:$AI$505,"&lt;="&amp;$A187,実績!$AJ$6:$AJ$505,"&gt;"&amp;$A187,実績!$AL$6:$AL$505,"○")&gt;0,1,0))</f>
        <v>0</v>
      </c>
      <c r="R187" s="39" t="n">
        <f aca="false">IF(R$4=0,0,IF(COUNTIFS(実績!$W$6:$W$505,R$3,実績!$AI$6:$AI$505,"&lt;="&amp;$A187,実績!$AJ$6:$AJ$505,"&gt;"&amp;$A187,実績!$AL$6:$AL$505,"○")&gt;0,1,0))</f>
        <v>0</v>
      </c>
      <c r="S187" s="39" t="n">
        <f aca="false">IF(S$4=0,0,IF(COUNTIFS(実績!$W$6:$W$505,S$3,実績!$AI$6:$AI$505,"&lt;="&amp;$A187,実績!$AJ$6:$AJ$505,"&gt;"&amp;$A187,実績!$AL$6:$AL$505,"○")&gt;0,1,0))</f>
        <v>0</v>
      </c>
      <c r="T187" s="39" t="n">
        <f aca="false">IF(T$4=0,0,IF(COUNTIFS(実績!$W$6:$W$505,T$3,実績!$AI$6:$AI$505,"&lt;="&amp;$A187,実績!$AJ$6:$AJ$505,"&gt;"&amp;$A187,実績!$AL$6:$AL$505,"○")&gt;0,1,0))</f>
        <v>0</v>
      </c>
      <c r="U187" s="39" t="n">
        <f aca="false">IF(U$4=0,0,IF(COUNTIFS(実績!$W$6:$W$505,U$3,実績!$AI$6:$AI$505,"&lt;="&amp;$A187,実績!$AJ$6:$AJ$505,"&gt;"&amp;$A187,実績!$AL$6:$AL$505,"○")&gt;0,1,0))</f>
        <v>0</v>
      </c>
      <c r="V187" s="39" t="n">
        <f aca="false">IF(V$4=0,0,IF(COUNTIFS(実績!$W$6:$W$505,V$3,実績!$AI$6:$AI$505,"&lt;="&amp;$A187,実績!$AJ$6:$AJ$505,"&gt;"&amp;$A187,実績!$AL$6:$AL$505,"○")&gt;0,1,0))</f>
        <v>0</v>
      </c>
      <c r="W187" s="39" t="n">
        <f aca="false">IF(W$4=0,0,IF(COUNTIFS(実績!$W$6:$W$505,W$3,実績!$AI$6:$AI$505,"&lt;="&amp;$A187,実績!$AJ$6:$AJ$505,"&gt;"&amp;$A187,実績!$AL$6:$AL$505,"○")&gt;0,1,0))</f>
        <v>0</v>
      </c>
      <c r="X187" s="39" t="n">
        <f aca="false">IF(X$4=0,0,IF(COUNTIFS(実績!$W$6:$W$505,X$3,実績!$AI$6:$AI$505,"&lt;="&amp;$A187,実績!$AJ$6:$AJ$505,"&gt;"&amp;$A187,実績!$AL$6:$AL$505,"○")&gt;0,1,0))</f>
        <v>0</v>
      </c>
      <c r="Y187" s="39" t="n">
        <f aca="false">IF(Y$4=0,0,IF(COUNTIFS(実績!$W$6:$W$505,Y$3,実績!$AI$6:$AI$505,"&lt;="&amp;$A187,実績!$AJ$6:$AJ$505,"&gt;"&amp;$A187,実績!$AL$6:$AL$505,"○")&gt;0,1,0))</f>
        <v>0</v>
      </c>
      <c r="Z187" s="39" t="n">
        <f aca="false">IF(Z$4=0,0,IF(COUNTIFS(実績!$W$6:$W$505,Z$3,実績!$AI$6:$AI$505,"&lt;="&amp;$A187,実績!$AJ$6:$AJ$505,"&gt;"&amp;$A187,実績!$AL$6:$AL$505,"○")&gt;0,1,0))</f>
        <v>0</v>
      </c>
      <c r="AA187" s="39" t="n">
        <f aca="false">IF(AA$4=0,0,IF(COUNTIFS(実績!$W$6:$W$505,AA$3,実績!$AI$6:$AI$505,"&lt;="&amp;$A187,実績!$AJ$6:$AJ$505,"&gt;"&amp;$A187,実績!$AL$6:$AL$505,"○")&gt;0,1,0))</f>
        <v>0</v>
      </c>
      <c r="AB187" s="39" t="n">
        <f aca="false">IF(AB$4=0,0,IF(COUNTIFS(実績!$W$6:$W$505,AB$3,実績!$AI$6:$AI$505,"&lt;="&amp;$A187,実績!$AJ$6:$AJ$505,"&gt;"&amp;$A187,実績!$AL$6:$AL$505,"○")&gt;0,1,0))</f>
        <v>0</v>
      </c>
      <c r="AC187" s="39" t="n">
        <f aca="false">IF(AC$4=0,0,IF(COUNTIFS(実績!$W$6:$W$505,AC$3,実績!$AI$6:$AI$505,"&lt;="&amp;$A187,実績!$AJ$6:$AJ$505,"&gt;"&amp;$A187,実績!$AL$6:$AL$505,"○")&gt;0,1,0))</f>
        <v>0</v>
      </c>
      <c r="AD187" s="39" t="n">
        <f aca="false">IF(AD$4=0,0,IF(COUNTIFS(実績!$W$6:$W$505,AD$3,実績!$AI$6:$AI$505,"&lt;="&amp;$A187,実績!$AJ$6:$AJ$505,"&gt;"&amp;$A187,実績!$AL$6:$AL$505,"○")&gt;0,1,0))</f>
        <v>0</v>
      </c>
      <c r="AE187" s="39" t="n">
        <f aca="false">IF(AE$4=0,0,IF(COUNTIFS(実績!$W$6:$W$505,AE$3,実績!$AI$6:$AI$505,"&lt;="&amp;$A187,実績!$AJ$6:$AJ$505,"&gt;"&amp;$A187,実績!$AL$6:$AL$505,"○")&gt;0,1,0))</f>
        <v>0</v>
      </c>
      <c r="AF187" s="39" t="n">
        <f aca="false">IF(AF$4=0,0,IF(COUNTIFS(実績!$W$6:$W$505,AF$3,実績!$AI$6:$AI$505,"&lt;="&amp;$A187,実績!$AJ$6:$AJ$505,"&gt;"&amp;$A187,実績!$AL$6:$AL$505,"○")&gt;0,1,0))</f>
        <v>0</v>
      </c>
      <c r="AG187" s="39" t="n">
        <f aca="false">IF(AG$4=0,0,IF(COUNTIFS(実績!$W$6:$W$505,AG$3,実績!$AI$6:$AI$505,"&lt;="&amp;$A187,実績!$AJ$6:$AJ$505,"&gt;"&amp;$A187,実績!$AL$6:$AL$505,"○")&gt;0,1,0))</f>
        <v>0</v>
      </c>
      <c r="AH187" s="39" t="n">
        <f aca="false">IF(AH$4=0,0,IF(COUNTIFS(実績!$W$6:$W$505,AH$3,実績!$AI$6:$AI$505,"&lt;="&amp;$A187,実績!$AJ$6:$AJ$505,"&gt;"&amp;$A187,実績!$AL$6:$AL$505,"○")&gt;0,1,0))</f>
        <v>0</v>
      </c>
      <c r="AI187" s="39" t="n">
        <f aca="false">IF(AI$4=0,0,IF(COUNTIFS(実績!$W$6:$W$505,AI$3,実績!$AI$6:$AI$505,"&lt;="&amp;$A187,実績!$AJ$6:$AJ$505,"&gt;"&amp;$A187,実績!$AL$6:$AL$505,"○")&gt;0,1,0))</f>
        <v>0</v>
      </c>
      <c r="AJ187" s="39" t="n">
        <f aca="false">IF(AJ$4=0,0,IF(COUNTIFS(実績!$W$6:$W$505,AJ$3,実績!$AI$6:$AI$505,"&lt;="&amp;$A187,実績!$AJ$6:$AJ$505,"&gt;"&amp;$A187,実績!$AL$6:$AL$505,"○")&gt;0,1,0))</f>
        <v>0</v>
      </c>
      <c r="AK187" s="39" t="n">
        <f aca="false">IF(AK$4=0,0,IF(COUNTIFS(実績!$W$6:$W$505,AK$3,実績!$AI$6:$AI$505,"&lt;="&amp;$A187,実績!$AJ$6:$AJ$505,"&gt;"&amp;$A187,実績!$AL$6:$AL$505,"○")&gt;0,1,0))</f>
        <v>0</v>
      </c>
      <c r="AL187" s="39" t="n">
        <f aca="false">IF(AL$4=0,0,IF(COUNTIFS(実績!$W$6:$W$505,AL$3,実績!$AI$6:$AI$505,"&lt;="&amp;$A187,実績!$AJ$6:$AJ$505,"&gt;"&amp;$A187,実績!$AL$6:$AL$505,"○")&gt;0,1,0))</f>
        <v>0</v>
      </c>
      <c r="AM187" s="39" t="n">
        <f aca="false">IF(AM$4=0,0,IF(COUNTIFS(実績!$W$6:$W$505,AM$3,実績!$AI$6:$AI$505,"&lt;="&amp;$A187,実績!$AJ$6:$AJ$505,"&gt;"&amp;$A187,実績!$AL$6:$AL$505,"○")&gt;0,1,0))</f>
        <v>0</v>
      </c>
      <c r="AN187" s="39" t="n">
        <f aca="false">IF(AN$4=0,0,IF(COUNTIFS(実績!$W$6:$W$505,AN$3,実績!$AI$6:$AI$505,"&lt;="&amp;$A187,実績!$AJ$6:$AJ$505,"&gt;"&amp;$A187,実績!$AL$6:$AL$505,"○")&gt;0,1,0))</f>
        <v>0</v>
      </c>
      <c r="AO187" s="39" t="n">
        <f aca="false">IF(AO$4=0,0,IF(COUNTIFS(実績!$W$6:$W$505,AO$3,実績!$AI$6:$AI$505,"&lt;="&amp;$A187,実績!$AJ$6:$AJ$505,"&gt;"&amp;$A187,実績!$AL$6:$AL$505,"○")&gt;0,1,0))</f>
        <v>0</v>
      </c>
      <c r="AP187" s="39" t="n">
        <f aca="false">IF(AP$4=0,0,IF(COUNTIFS(実績!$W$6:$W$505,AP$3,実績!$AI$6:$AI$505,"&lt;="&amp;$A187,実績!$AJ$6:$AJ$505,"&gt;"&amp;$A187,実績!$AL$6:$AL$505,"○")&gt;0,1,0))</f>
        <v>0</v>
      </c>
      <c r="AQ187" s="39" t="n">
        <f aca="false">IF(AQ$4=0,0,IF(COUNTIFS(実績!$W$6:$W$505,AQ$3,実績!$AI$6:$AI$505,"&lt;="&amp;$A187,実績!$AJ$6:$AJ$505,"&gt;"&amp;$A187,実績!$AL$6:$AL$505,"○")&gt;0,1,0))</f>
        <v>0</v>
      </c>
      <c r="AR187" s="39" t="n">
        <f aca="false">IF(AR$4=0,0,IF(COUNTIFS(実績!$W$6:$W$505,AR$3,実績!$AI$6:$AI$505,"&lt;="&amp;$A187,実績!$AJ$6:$AJ$505,"&gt;"&amp;$A187,実績!$AL$6:$AL$505,"○")&gt;0,1,0))</f>
        <v>0</v>
      </c>
      <c r="AS187" s="39" t="n">
        <f aca="false">IF(AS$4=0,0,IF(COUNTIFS(実績!$W$6:$W$505,AS$3,実績!$AI$6:$AI$505,"&lt;="&amp;$A187,実績!$AJ$6:$AJ$505,"&gt;"&amp;$A187,実績!$AL$6:$AL$505,"○")&gt;0,1,0))</f>
        <v>0</v>
      </c>
      <c r="AT187" s="39" t="n">
        <f aca="false">IF(AT$4=0,0,IF(COUNTIFS(実績!$W$6:$W$505,AT$3,実績!$AI$6:$AI$505,"&lt;="&amp;$A187,実績!$AJ$6:$AJ$505,"&gt;"&amp;$A187,実績!$AL$6:$AL$505,"○")&gt;0,1,0))</f>
        <v>0</v>
      </c>
      <c r="AU187" s="39" t="n">
        <f aca="false">IF(AU$4=0,0,IF(COUNTIFS(実績!$W$6:$W$505,AU$3,実績!$AI$6:$AI$505,"&lt;="&amp;$A187,実績!$AJ$6:$AJ$505,"&gt;"&amp;$A187,実績!$AL$6:$AL$505,"○")&gt;0,1,0))</f>
        <v>0</v>
      </c>
      <c r="AV187" s="39" t="n">
        <f aca="false">IF(AV$4=0,0,IF(COUNTIFS(実績!$W$6:$W$505,AV$3,実績!$AI$6:$AI$505,"&lt;="&amp;$A187,実績!$AJ$6:$AJ$505,"&gt;"&amp;$A187,実績!$AL$6:$AL$505,"○")&gt;0,1,0))</f>
        <v>0</v>
      </c>
      <c r="AW187" s="39" t="n">
        <f aca="false">IF(AW$4=0,0,IF(COUNTIFS(実績!$W$6:$W$505,AW$3,実績!$AI$6:$AI$505,"&lt;="&amp;$A187,実績!$AJ$6:$AJ$505,"&gt;"&amp;$A187,実績!$AL$6:$AL$505,"○")&gt;0,1,0))</f>
        <v>0</v>
      </c>
      <c r="AX187" s="39" t="n">
        <f aca="false">IF(AX$4=0,0,IF(COUNTIFS(実績!$W$6:$W$505,AX$3,実績!$AI$6:$AI$505,"&lt;="&amp;$A187,実績!$AJ$6:$AJ$505,"&gt;"&amp;$A187,実績!$AL$6:$AL$505,"○")&gt;0,1,0))</f>
        <v>0</v>
      </c>
      <c r="AY187" s="39" t="n">
        <f aca="false">IF(AY$4=0,0,IF(COUNTIFS(実績!$W$6:$W$505,AY$3,実績!$AI$6:$AI$505,"&lt;="&amp;$A187,実績!$AJ$6:$AJ$505,"&gt;"&amp;$A187,実績!$AL$6:$AL$505,"○")&gt;0,1,0))</f>
        <v>0</v>
      </c>
      <c r="AZ187" s="39" t="n">
        <f aca="false">IF(AZ$4=0,0,IF(COUNTIFS(実績!$W$6:$W$505,AZ$3,実績!$AI$6:$AI$505,"&lt;="&amp;$A187,実績!$AJ$6:$AJ$505,"&gt;"&amp;$A187,実績!$AL$6:$AL$505,"○")&gt;0,1,0))</f>
        <v>0</v>
      </c>
      <c r="BA187" s="39" t="n">
        <f aca="false">IF(BA$4=0,0,IF(COUNTIFS(実績!$W$6:$W$505,BA$3,実績!$AI$6:$AI$505,"&lt;="&amp;$A187,実績!$AJ$6:$AJ$505,"&gt;"&amp;$A187,実績!$AL$6:$AL$505,"○")&gt;0,1,0))</f>
        <v>0</v>
      </c>
      <c r="BB187" s="39" t="n">
        <f aca="false">IF(BB$4=0,0,IF(COUNTIFS(実績!$W$6:$W$505,BB$3,実績!$AI$6:$AI$505,"&lt;="&amp;$A187,実績!$AJ$6:$AJ$505,"&gt;"&amp;$A187,実績!$AL$6:$AL$505,"○")&gt;0,1,0))</f>
        <v>0</v>
      </c>
      <c r="BC187" s="39" t="n">
        <f aca="false">IF(BC$4=0,0,IF(COUNTIFS(実績!$W$6:$W$505,BC$3,実績!$AI$6:$AI$505,"&lt;="&amp;$A187,実績!$AJ$6:$AJ$505,"&gt;"&amp;$A187,実績!$AL$6:$AL$505,"○")&gt;0,1,0))</f>
        <v>0</v>
      </c>
      <c r="BD187" s="39" t="n">
        <f aca="false">IF(BD$4=0,0,IF(COUNTIFS(実績!$W$6:$W$505,BD$3,実績!$AI$6:$AI$505,"&lt;="&amp;$A187,実績!$AJ$6:$AJ$505,"&gt;"&amp;$A187,実績!$AL$6:$AL$505,"○")&gt;0,1,0))</f>
        <v>0</v>
      </c>
      <c r="BE187" s="39" t="n">
        <f aca="false">IF(BE$4=0,0,IF(COUNTIFS(実績!$W$6:$W$505,BE$3,実績!$AI$6:$AI$505,"&lt;="&amp;$A187,実績!$AJ$6:$AJ$505,"&gt;"&amp;$A187,実績!$AL$6:$AL$505,"○")&gt;0,1,0))</f>
        <v>0</v>
      </c>
      <c r="BF187" s="39" t="n">
        <f aca="false">IF(BF$4=0,0,IF(COUNTIFS(実績!$W$6:$W$505,BF$3,実績!$AI$6:$AI$505,"&lt;="&amp;$A187,実績!$AJ$6:$AJ$505,"&gt;"&amp;$A187,実績!$AL$6:$AL$505,"○")&gt;0,1,0))</f>
        <v>0</v>
      </c>
      <c r="BG187" s="39" t="n">
        <f aca="false">IF(BG$4=0,0,IF(COUNTIFS(実績!$W$6:$W$505,BG$3,実績!$AI$6:$AI$505,"&lt;="&amp;$A187,実績!$AJ$6:$AJ$505,"&gt;"&amp;$A187,実績!$AL$6:$AL$505,"○")&gt;0,1,0))</f>
        <v>0</v>
      </c>
      <c r="BH187" s="39" t="n">
        <f aca="false">IF(BH$4=0,0,IF(COUNTIFS(実績!$W$6:$W$505,BH$3,実績!$AI$6:$AI$505,"&lt;="&amp;$A187,実績!$AJ$6:$AJ$505,"&gt;"&amp;$A187,実績!$AL$6:$AL$505,"○")&gt;0,1,0))</f>
        <v>0</v>
      </c>
      <c r="BI187" s="39" t="n">
        <f aca="false">IF(BI$4=0,0,IF(COUNTIFS(実績!$W$6:$W$505,BI$3,実績!$AI$6:$AI$505,"&lt;="&amp;$A187,実績!$AJ$6:$AJ$505,"&gt;"&amp;$A187,実績!$AL$6:$AL$505,"○")&gt;0,1,0))</f>
        <v>0</v>
      </c>
      <c r="BJ187" s="39" t="n">
        <f aca="false">IF(BJ$4=0,0,IF(COUNTIFS(実績!$W$6:$W$505,BJ$3,実績!$AI$6:$AI$505,"&lt;="&amp;$A187,実績!$AJ$6:$AJ$505,"&gt;"&amp;$A187,実績!$AL$6:$AL$505,"○")&gt;0,1,0))</f>
        <v>0</v>
      </c>
      <c r="BK187" s="39" t="n">
        <f aca="false">IF(BK$4=0,0,IF(COUNTIFS(実績!$W$6:$W$505,BK$3,実績!$AI$6:$AI$505,"&lt;="&amp;$A187,実績!$AJ$6:$AJ$505,"&gt;"&amp;$A187,実績!$AL$6:$AL$505,"○")&gt;0,1,0))</f>
        <v>0</v>
      </c>
      <c r="BL187" s="39" t="n">
        <f aca="false">IF(BL$4=0,0,IF(COUNTIFS(実績!$W$6:$W$505,BL$3,実績!$AI$6:$AI$505,"&lt;="&amp;$A187,実績!$AJ$6:$AJ$505,"&gt;"&amp;$A187,実績!$AL$6:$AL$505,"○")&gt;0,1,0))</f>
        <v>0</v>
      </c>
      <c r="BM187" s="39" t="n">
        <f aca="false">IF(BM$4=0,0,IF(COUNTIFS(実績!$W$6:$W$505,BM$3,実績!$AI$6:$AI$505,"&lt;="&amp;$A187,実績!$AJ$6:$AJ$505,"&gt;"&amp;$A187,実績!$AL$6:$AL$505,"○")&gt;0,1,0))</f>
        <v>0</v>
      </c>
      <c r="BN187" s="39" t="n">
        <f aca="false">IF(BN$4=0,0,IF(COUNTIFS(実績!$W$6:$W$505,BN$3,実績!$AI$6:$AI$505,"&lt;="&amp;$A187,実績!$AJ$6:$AJ$505,"&gt;"&amp;$A187,実績!$AL$6:$AL$505,"○")&gt;0,1,0))</f>
        <v>0</v>
      </c>
      <c r="BO187" s="39" t="n">
        <f aca="false">IF(BO$4=0,0,IF(COUNTIFS(実績!$W$6:$W$505,BO$3,実績!$AI$6:$AI$505,"&lt;="&amp;$A187,実績!$AJ$6:$AJ$505,"&gt;"&amp;$A187,実績!$AL$6:$AL$505,"○")&gt;0,1,0))</f>
        <v>0</v>
      </c>
      <c r="BP187" s="39" t="n">
        <f aca="false">IF(BP$4=0,0,IF(COUNTIFS(実績!$W$6:$W$505,BP$3,実績!$AI$6:$AI$505,"&lt;="&amp;$A187,実績!$AJ$6:$AJ$505,"&gt;"&amp;$A187,実績!$AL$6:$AL$505,"○")&gt;0,1,0))</f>
        <v>0</v>
      </c>
      <c r="BQ187" s="39" t="n">
        <f aca="false">IF(BQ$4=0,0,IF(COUNTIFS(実績!$W$6:$W$505,BQ$3,実績!$AI$6:$AI$505,"&lt;="&amp;$A187,実績!$AJ$6:$AJ$505,"&gt;"&amp;$A187,実績!$AL$6:$AL$505,"○")&gt;0,1,0))</f>
        <v>0</v>
      </c>
      <c r="BR187" s="39" t="n">
        <f aca="false">IF(BR$4=0,0,IF(COUNTIFS(実績!$W$6:$W$505,BR$3,実績!$AI$6:$AI$505,"&lt;="&amp;$A187,実績!$AJ$6:$AJ$505,"&gt;"&amp;$A187,実績!$AL$6:$AL$505,"○")&gt;0,1,0))</f>
        <v>0</v>
      </c>
      <c r="BS187" s="39" t="n">
        <f aca="false">IF(BS$4=0,0,IF(COUNTIFS(実績!$W$6:$W$505,BS$3,実績!$AI$6:$AI$505,"&lt;="&amp;$A187,実績!$AJ$6:$AJ$505,"&gt;"&amp;$A187,実績!$AL$6:$AL$505,"○")&gt;0,1,0))</f>
        <v>0</v>
      </c>
      <c r="BT187" s="39" t="n">
        <f aca="false">IF(BT$4=0,0,IF(COUNTIFS(実績!$W$6:$W$505,BT$3,実績!$AI$6:$AI$505,"&lt;="&amp;$A187,実績!$AJ$6:$AJ$505,"&gt;"&amp;$A187,実績!$AL$6:$AL$505,"○")&gt;0,1,0))</f>
        <v>0</v>
      </c>
      <c r="BU187" s="39" t="n">
        <f aca="false">IF(BU$4=0,0,IF(COUNTIFS(実績!$W$6:$W$505,BU$3,実績!$AI$6:$AI$505,"&lt;="&amp;$A187,実績!$AJ$6:$AJ$505,"&gt;"&amp;$A187,実績!$AL$6:$AL$505,"○")&gt;0,1,0))</f>
        <v>0</v>
      </c>
      <c r="BV187" s="39" t="n">
        <f aca="false">IF(BV$4=0,0,IF(COUNTIFS(実績!$W$6:$W$505,BV$3,実績!$AI$6:$AI$505,"&lt;="&amp;$A187,実績!$AJ$6:$AJ$505,"&gt;"&amp;$A187,実績!$AL$6:$AL$505,"○")&gt;0,1,0))</f>
        <v>0</v>
      </c>
      <c r="BW187" s="39" t="n">
        <f aca="false">IF(BW$4=0,0,IF(COUNTIFS(実績!$W$6:$W$505,BW$3,実績!$AI$6:$AI$505,"&lt;="&amp;$A187,実績!$AJ$6:$AJ$505,"&gt;"&amp;$A187,実績!$AL$6:$AL$505,"○")&gt;0,1,0))</f>
        <v>0</v>
      </c>
      <c r="BX187" s="39" t="n">
        <f aca="false">IF(BX$4=0,0,IF(COUNTIFS(実績!$W$6:$W$505,BX$3,実績!$AI$6:$AI$505,"&lt;="&amp;$A187,実績!$AJ$6:$AJ$505,"&gt;"&amp;$A187,実績!$AL$6:$AL$505,"○")&gt;0,1,0))</f>
        <v>0</v>
      </c>
      <c r="BY187" s="39" t="n">
        <f aca="false">IF(BY$4=0,0,IF(COUNTIFS(実績!$W$6:$W$505,BY$3,実績!$AI$6:$AI$505,"&lt;="&amp;$A187,実績!$AJ$6:$AJ$505,"&gt;"&amp;$A187,実績!$AL$6:$AL$505,"○")&gt;0,1,0))</f>
        <v>0</v>
      </c>
      <c r="BZ187" s="39" t="n">
        <f aca="false">IF(BZ$4=0,0,IF(COUNTIFS(実績!$W$6:$W$505,BZ$3,実績!$AI$6:$AI$505,"&lt;="&amp;$A187,実績!$AJ$6:$AJ$505,"&gt;"&amp;$A187,実績!$AL$6:$AL$505,"○")&gt;0,1,0))</f>
        <v>0</v>
      </c>
      <c r="CA187" s="39" t="n">
        <f aca="false">IF(CA$4=0,0,IF(COUNTIFS(実績!$W$6:$W$505,CA$3,実績!$AI$6:$AI$505,"&lt;="&amp;$A187,実績!$AJ$6:$AJ$505,"&gt;"&amp;$A187,実績!$AL$6:$AL$505,"○")&gt;0,1,0))</f>
        <v>0</v>
      </c>
      <c r="CB187" s="39" t="n">
        <f aca="false">IF(CB$4=0,0,IF(COUNTIFS(実績!$W$6:$W$505,CB$3,実績!$AI$6:$AI$505,"&lt;="&amp;$A187,実績!$AJ$6:$AJ$505,"&gt;"&amp;$A187,実績!$AL$6:$AL$505,"○")&gt;0,1,0))</f>
        <v>0</v>
      </c>
      <c r="CC187" s="39" t="n">
        <f aca="false">IF(CC$4=0,0,IF(COUNTIFS(実績!$W$6:$W$505,CC$3,実績!$AI$6:$AI$505,"&lt;="&amp;$A187,実績!$AJ$6:$AJ$505,"&gt;"&amp;$A187,実績!$AL$6:$AL$505,"○")&gt;0,1,0))</f>
        <v>0</v>
      </c>
      <c r="CD187" s="39" t="n">
        <f aca="false">IF(CD$4=0,0,IF(COUNTIFS(実績!$W$6:$W$505,CD$3,実績!$AI$6:$AI$505,"&lt;="&amp;$A187,実績!$AJ$6:$AJ$505,"&gt;"&amp;$A187,実績!$AL$6:$AL$505,"○")&gt;0,1,0))</f>
        <v>0</v>
      </c>
      <c r="CE187" s="39" t="n">
        <f aca="false">IF(CE$4=0,0,IF(COUNTIFS(実績!$W$6:$W$505,CE$3,実績!$AI$6:$AI$505,"&lt;="&amp;$A187,実績!$AJ$6:$AJ$505,"&gt;"&amp;$A187,実績!$AL$6:$AL$505,"○")&gt;0,1,0))</f>
        <v>0</v>
      </c>
      <c r="CF187" s="39" t="n">
        <f aca="false">IF(CF$4=0,0,IF(COUNTIFS(実績!$W$6:$W$505,CF$3,実績!$AI$6:$AI$505,"&lt;="&amp;$A187,実績!$AJ$6:$AJ$505,"&gt;"&amp;$A187,実績!$AL$6:$AL$505,"○")&gt;0,1,0))</f>
        <v>0</v>
      </c>
      <c r="CG187" s="39" t="n">
        <f aca="false">IF(CG$4=0,0,IF(COUNTIFS(実績!$W$6:$W$505,CG$3,実績!$AI$6:$AI$505,"&lt;="&amp;$A187,実績!$AJ$6:$AJ$505,"&gt;"&amp;$A187,実績!$AL$6:$AL$505,"○")&gt;0,1,0))</f>
        <v>0</v>
      </c>
      <c r="CH187" s="39" t="n">
        <f aca="false">IF(CH$4=0,0,IF(COUNTIFS(実績!$W$6:$W$505,CH$3,実績!$AI$6:$AI$505,"&lt;="&amp;$A187,実績!$AJ$6:$AJ$505,"&gt;"&amp;$A187,実績!$AL$6:$AL$505,"○")&gt;0,1,0))</f>
        <v>0</v>
      </c>
      <c r="CI187" s="39" t="n">
        <f aca="false">IF(CI$4=0,0,IF(COUNTIFS(実績!$W$6:$W$505,CI$3,実績!$AI$6:$AI$505,"&lt;="&amp;$A187,実績!$AJ$6:$AJ$505,"&gt;"&amp;$A187,実績!$AL$6:$AL$505,"○")&gt;0,1,0))</f>
        <v>0</v>
      </c>
      <c r="CJ187" s="39" t="n">
        <f aca="false">IF(CJ$4=0,0,IF(COUNTIFS(実績!$W$6:$W$505,CJ$3,実績!$AI$6:$AI$505,"&lt;="&amp;$A187,実績!$AJ$6:$AJ$505,"&gt;"&amp;$A187,実績!$AL$6:$AL$505,"○")&gt;0,1,0))</f>
        <v>0</v>
      </c>
      <c r="CK187" s="39" t="n">
        <f aca="false">IF(CK$4=0,0,IF(COUNTIFS(実績!$W$6:$W$505,CK$3,実績!$AI$6:$AI$505,"&lt;="&amp;$A187,実績!$AJ$6:$AJ$505,"&gt;"&amp;$A187,実績!$AL$6:$AL$505,"○")&gt;0,1,0))</f>
        <v>0</v>
      </c>
      <c r="CL187" s="39" t="n">
        <f aca="false">IF(CL$4=0,0,IF(COUNTIFS(実績!$W$6:$W$505,CL$3,実績!$AI$6:$AI$505,"&lt;="&amp;$A187,実績!$AJ$6:$AJ$505,"&gt;"&amp;$A187,実績!$AL$6:$AL$505,"○")&gt;0,1,0))</f>
        <v>0</v>
      </c>
      <c r="CM187" s="39" t="n">
        <f aca="false">IF(CM$4=0,0,IF(COUNTIFS(実績!$W$6:$W$505,CM$3,実績!$AI$6:$AI$505,"&lt;="&amp;$A187,実績!$AJ$6:$AJ$505,"&gt;"&amp;$A187,実績!$AL$6:$AL$505,"○")&gt;0,1,0))</f>
        <v>0</v>
      </c>
      <c r="CN187" s="39" t="n">
        <f aca="false">IF(CN$4=0,0,IF(COUNTIFS(実績!$W$6:$W$505,CN$3,実績!$AI$6:$AI$505,"&lt;="&amp;$A187,実績!$AJ$6:$AJ$505,"&gt;"&amp;$A187,実績!$AL$6:$AL$505,"○")&gt;0,1,0))</f>
        <v>0</v>
      </c>
      <c r="CO187" s="39" t="n">
        <f aca="false">IF(CO$4=0,0,IF(COUNTIFS(実績!$W$6:$W$505,CO$3,実績!$AI$6:$AI$505,"&lt;="&amp;$A187,実績!$AJ$6:$AJ$505,"&gt;"&amp;$A187,実績!$AL$6:$AL$505,"○")&gt;0,1,0))</f>
        <v>0</v>
      </c>
      <c r="CP187" s="39" t="n">
        <f aca="false">IF(CP$4=0,0,IF(COUNTIFS(実績!$W$6:$W$505,CP$3,実績!$AI$6:$AI$505,"&lt;="&amp;$A187,実績!$AJ$6:$AJ$505,"&gt;"&amp;$A187,実績!$AL$6:$AL$505,"○")&gt;0,1,0))</f>
        <v>0</v>
      </c>
      <c r="CQ187" s="39" t="n">
        <f aca="false">IF(CQ$4=0,0,IF(COUNTIFS(実績!$W$6:$W$505,CQ$3,実績!$AI$6:$AI$505,"&lt;="&amp;$A187,実績!$AJ$6:$AJ$505,"&gt;"&amp;$A187,実績!$AL$6:$AL$505,"○")&gt;0,1,0))</f>
        <v>0</v>
      </c>
      <c r="CR187" s="39" t="n">
        <f aca="false">IF(CR$4=0,0,IF(COUNTIFS(実績!$W$6:$W$505,CR$3,実績!$AI$6:$AI$505,"&lt;="&amp;$A187,実績!$AJ$6:$AJ$505,"&gt;"&amp;$A187,実績!$AL$6:$AL$505,"○")&gt;0,1,0))</f>
        <v>0</v>
      </c>
      <c r="CS187" s="39" t="n">
        <f aca="false">IF(CS$4=0,0,IF(COUNTIFS(実績!$W$6:$W$505,CS$3,実績!$AI$6:$AI$505,"&lt;="&amp;$A187,実績!$AJ$6:$AJ$505,"&gt;"&amp;$A187,実績!$AL$6:$AL$505,"○")&gt;0,1,0))</f>
        <v>0</v>
      </c>
      <c r="CT187" s="39" t="n">
        <f aca="false">IF(CT$4=0,0,IF(COUNTIFS(実績!$W$6:$W$505,CT$3,実績!$AI$6:$AI$505,"&lt;="&amp;$A187,実績!$AJ$6:$AJ$505,"&gt;"&amp;$A187,実績!$AL$6:$AL$505,"○")&gt;0,1,0))</f>
        <v>0</v>
      </c>
      <c r="CU187" s="39" t="n">
        <f aca="false">IF(CU$4=0,0,IF(COUNTIFS(実績!$W$6:$W$505,CU$3,実績!$AI$6:$AI$505,"&lt;="&amp;$A187,実績!$AJ$6:$AJ$505,"&gt;"&amp;$A187,実績!$AL$6:$AL$505,"○")&gt;0,1,0))</f>
        <v>0</v>
      </c>
      <c r="CV187" s="39" t="n">
        <f aca="false">IF(CV$4=0,0,IF(COUNTIFS(実績!$W$6:$W$505,CV$3,実績!$AI$6:$AI$505,"&lt;="&amp;$A187,実績!$AJ$6:$AJ$505,"&gt;"&amp;$A187,実績!$AL$6:$AL$505,"○")&gt;0,1,0))</f>
        <v>0</v>
      </c>
      <c r="CW187" s="39" t="n">
        <f aca="false">IF(CW$4=0,0,IF(COUNTIFS(実績!$W$6:$W$505,CW$3,実績!$AI$6:$AI$505,"&lt;="&amp;$A187,実績!$AJ$6:$AJ$505,"&gt;"&amp;$A187,実績!$AL$6:$AL$505,"○")&gt;0,1,0))</f>
        <v>0</v>
      </c>
      <c r="CX187" s="39" t="n">
        <f aca="false">IF(CX$4=0,0,IF(COUNTIFS(実績!$W$6:$W$505,CX$3,実績!$AI$6:$AI$505,"&lt;="&amp;$A187,実績!$AJ$6:$AJ$505,"&gt;"&amp;$A187,実績!$AL$6:$AL$505,"○")&gt;0,1,0))</f>
        <v>0</v>
      </c>
      <c r="CY187" s="39" t="n">
        <f aca="false">IF(CY$4=0,0,IF(COUNTIFS(実績!$W$6:$W$505,CY$3,実績!$AI$6:$AI$505,"&lt;="&amp;$A187,実績!$AJ$6:$AJ$505,"&gt;"&amp;$A187,実績!$AL$6:$AL$505,"○")&gt;0,1,0))</f>
        <v>0</v>
      </c>
      <c r="CZ187" s="39" t="n">
        <f aca="false">IF(CZ$4=0,0,IF(COUNTIFS(実績!$W$6:$W$505,CZ$3,実績!$AI$6:$AI$505,"&lt;="&amp;$A187,実績!$AJ$6:$AJ$505,"&gt;"&amp;$A187,実績!$AL$6:$AL$505,"○")&gt;0,1,0))</f>
        <v>0</v>
      </c>
      <c r="DA187" s="39" t="n">
        <f aca="false">IF(DA$4=0,0,IF(COUNTIFS(実績!$W$6:$W$505,DA$3,実績!$AI$6:$AI$505,"&lt;="&amp;$A187,実績!$AJ$6:$AJ$505,"&gt;"&amp;$A187,実績!$AL$6:$AL$505,"○")&gt;0,1,0))</f>
        <v>0</v>
      </c>
      <c r="DB187" s="39" t="n">
        <f aca="false">IF(DB$4=0,0,IF(COUNTIFS(実績!$W$6:$W$505,DB$3,実績!$AI$6:$AI$505,"&lt;="&amp;$A187,実績!$AJ$6:$AJ$505,"&gt;"&amp;$A187,実績!$AL$6:$AL$505,"○")&gt;0,1,0))</f>
        <v>0</v>
      </c>
      <c r="DC187" s="39" t="n">
        <f aca="false">IF(DC$4=0,0,IF(COUNTIFS(実績!$W$6:$W$505,DC$3,実績!$AI$6:$AI$505,"&lt;="&amp;$A187,実績!$AJ$6:$AJ$505,"&gt;"&amp;$A187,実績!$AL$6:$AL$505,"○")&gt;0,1,0))</f>
        <v>0</v>
      </c>
      <c r="DD187" s="39" t="n">
        <f aca="false">IF(DD$4=0,0,IF(COUNTIFS(実績!$W$6:$W$505,DD$3,実績!$AI$6:$AI$505,"&lt;="&amp;$A187,実績!$AJ$6:$AJ$505,"&gt;"&amp;$A187,実績!$AL$6:$AL$505,"○")&gt;0,1,0))</f>
        <v>0</v>
      </c>
      <c r="DE187" s="39" t="n">
        <f aca="false">IF(DE$4=0,0,IF(COUNTIFS(実績!$W$6:$W$505,DE$3,実績!$AI$6:$AI$505,"&lt;="&amp;$A187,実績!$AJ$6:$AJ$505,"&gt;"&amp;$A187,実績!$AL$6:$AL$505,"○")&gt;0,1,0))</f>
        <v>0</v>
      </c>
      <c r="DF187" s="39" t="n">
        <f aca="false">IF(DF$4=0,0,IF(COUNTIFS(実績!$W$6:$W$505,DF$3,実績!$AI$6:$AI$505,"&lt;="&amp;$A187,実績!$AJ$6:$AJ$505,"&gt;"&amp;$A187,実績!$AL$6:$AL$505,"○")&gt;0,1,0))</f>
        <v>0</v>
      </c>
      <c r="DG187" s="39" t="n">
        <f aca="false">IF(DG$4=0,0,IF(COUNTIFS(実績!$W$6:$W$505,DG$3,実績!$AI$6:$AI$505,"&lt;="&amp;$A187,実績!$AJ$6:$AJ$505,"&gt;"&amp;$A187,実績!$AL$6:$AL$505,"○")&gt;0,1,0))</f>
        <v>0</v>
      </c>
      <c r="DH187" s="39" t="n">
        <f aca="false">IF(DH$4=0,0,IF(COUNTIFS(実績!$W$6:$W$505,DH$3,実績!$AI$6:$AI$505,"&lt;="&amp;$A187,実績!$AJ$6:$AJ$505,"&gt;"&amp;$A187,実績!$AL$6:$AL$505,"○")&gt;0,1,0))</f>
        <v>0</v>
      </c>
      <c r="DI187" s="39" t="n">
        <f aca="false">IF(DI$4=0,0,IF(COUNTIFS(実績!$W$6:$W$505,DI$3,実績!$AI$6:$AI$505,"&lt;="&amp;$A187,実績!$AJ$6:$AJ$505,"&gt;"&amp;$A187,実績!$AL$6:$AL$505,"○")&gt;0,1,0))</f>
        <v>0</v>
      </c>
      <c r="DJ187" s="39" t="n">
        <f aca="false">IF(DJ$4=0,0,IF(COUNTIFS(実績!$W$6:$W$505,DJ$3,実績!$AI$6:$AI$505,"&lt;="&amp;$A187,実績!$AJ$6:$AJ$505,"&gt;"&amp;$A187,実績!$AL$6:$AL$505,"○")&gt;0,1,0))</f>
        <v>0</v>
      </c>
      <c r="DK187" s="39" t="n">
        <f aca="false">IF(DK$4=0,0,IF(COUNTIFS(実績!$W$6:$W$505,DK$3,実績!$AI$6:$AI$505,"&lt;="&amp;$A187,実績!$AJ$6:$AJ$505,"&gt;"&amp;$A187,実績!$AL$6:$AL$505,"○")&gt;0,1,0))</f>
        <v>0</v>
      </c>
      <c r="DL187" s="39" t="n">
        <f aca="false">IF(DL$4=0,0,IF(COUNTIFS(実績!$W$6:$W$505,DL$3,実績!$AI$6:$AI$505,"&lt;="&amp;$A187,実績!$AJ$6:$AJ$505,"&gt;"&amp;$A187,実績!$AL$6:$AL$505,"○")&gt;0,1,0))</f>
        <v>0</v>
      </c>
      <c r="DM187" s="39" t="n">
        <f aca="false">IF(DM$4=0,0,IF(COUNTIFS(実績!$W$6:$W$505,DM$3,実績!$AI$6:$AI$505,"&lt;="&amp;$A187,実績!$AJ$6:$AJ$505,"&gt;"&amp;$A187,実績!$AL$6:$AL$505,"○")&gt;0,1,0))</f>
        <v>0</v>
      </c>
      <c r="DN187" s="39" t="n">
        <f aca="false">IF(DN$4=0,0,IF(COUNTIFS(実績!$W$6:$W$505,DN$3,実績!$AI$6:$AI$505,"&lt;="&amp;$A187,実績!$AJ$6:$AJ$505,"&gt;"&amp;$A187,実績!$AL$6:$AL$505,"○")&gt;0,1,0))</f>
        <v>0</v>
      </c>
      <c r="DO187" s="39" t="n">
        <f aca="false">IF(DO$4=0,0,IF(COUNTIFS(実績!$W$6:$W$505,DO$3,実績!$AI$6:$AI$505,"&lt;="&amp;$A187,実績!$AJ$6:$AJ$505,"&gt;"&amp;$A187,実績!$AL$6:$AL$505,"○")&gt;0,1,0))</f>
        <v>0</v>
      </c>
      <c r="DP187" s="39" t="n">
        <f aca="false">IF(DP$4=0,0,IF(COUNTIFS(実績!$W$6:$W$505,DP$3,実績!$AI$6:$AI$505,"&lt;="&amp;$A187,実績!$AJ$6:$AJ$505,"&gt;"&amp;$A187,実績!$AL$6:$AL$505,"○")&gt;0,1,0))</f>
        <v>0</v>
      </c>
      <c r="DQ187" s="39" t="n">
        <f aca="false">IF(DQ$4=0,0,IF(COUNTIFS(実績!$W$6:$W$505,DQ$3,実績!$AI$6:$AI$505,"&lt;="&amp;$A187,実績!$AJ$6:$AJ$505,"&gt;"&amp;$A187,実績!$AL$6:$AL$505,"○")&gt;0,1,0))</f>
        <v>0</v>
      </c>
      <c r="DR187" s="39" t="n">
        <f aca="false">IF(DR$4=0,0,IF(COUNTIFS(実績!$W$6:$W$505,DR$3,実績!$AI$6:$AI$505,"&lt;="&amp;$A187,実績!$AJ$6:$AJ$505,"&gt;"&amp;$A187,実績!$AL$6:$AL$505,"○")&gt;0,1,0))</f>
        <v>0</v>
      </c>
      <c r="DS187" s="39" t="n">
        <f aca="false">SUM(C187:DR187)</f>
        <v>0</v>
      </c>
    </row>
    <row r="188" customFormat="false" ht="15" hidden="false" customHeight="false" outlineLevel="0" collapsed="false">
      <c r="A188" s="0" t="n">
        <v>910</v>
      </c>
      <c r="B188" s="38" t="n">
        <f aca="false">A188/1440</f>
        <v>0.631944444444444</v>
      </c>
      <c r="C188" s="39" t="n">
        <f aca="false">IF(C$4=0,0,IF(COUNTIFS(実績!$W$6:$W$505,C$3,実績!$AI$6:$AI$505,"&lt;="&amp;$A188,実績!$AJ$6:$AJ$505,"&gt;"&amp;$A188,実績!$AL$6:$AL$505,"○")&gt;0,1,0))</f>
        <v>0</v>
      </c>
      <c r="D188" s="39" t="n">
        <f aca="false">IF(D$4=0,0,IF(COUNTIFS(実績!$W$6:$W$505,D$3,実績!$AI$6:$AI$505,"&lt;="&amp;$A188,実績!$AJ$6:$AJ$505,"&gt;"&amp;$A188,実績!$AL$6:$AL$505,"○")&gt;0,1,0))</f>
        <v>0</v>
      </c>
      <c r="E188" s="39" t="n">
        <f aca="false">IF(E$4=0,0,IF(COUNTIFS(実績!$W$6:$W$505,E$3,実績!$AI$6:$AI$505,"&lt;="&amp;$A188,実績!$AJ$6:$AJ$505,"&gt;"&amp;$A188,実績!$AL$6:$AL$505,"○")&gt;0,1,0))</f>
        <v>0</v>
      </c>
      <c r="F188" s="39" t="n">
        <f aca="false">IF(F$4=0,0,IF(COUNTIFS(実績!$W$6:$W$505,F$3,実績!$AI$6:$AI$505,"&lt;="&amp;$A188,実績!$AJ$6:$AJ$505,"&gt;"&amp;$A188,実績!$AL$6:$AL$505,"○")&gt;0,1,0))</f>
        <v>0</v>
      </c>
      <c r="G188" s="39" t="n">
        <f aca="false">IF(G$4=0,0,IF(COUNTIFS(実績!$W$6:$W$505,G$3,実績!$AI$6:$AI$505,"&lt;="&amp;$A188,実績!$AJ$6:$AJ$505,"&gt;"&amp;$A188,実績!$AL$6:$AL$505,"○")&gt;0,1,0))</f>
        <v>0</v>
      </c>
      <c r="H188" s="39" t="n">
        <f aca="false">IF(H$4=0,0,IF(COUNTIFS(実績!$W$6:$W$505,H$3,実績!$AI$6:$AI$505,"&lt;="&amp;$A188,実績!$AJ$6:$AJ$505,"&gt;"&amp;$A188,実績!$AL$6:$AL$505,"○")&gt;0,1,0))</f>
        <v>0</v>
      </c>
      <c r="I188" s="39" t="n">
        <f aca="false">IF(I$4=0,0,IF(COUNTIFS(実績!$W$6:$W$505,I$3,実績!$AI$6:$AI$505,"&lt;="&amp;$A188,実績!$AJ$6:$AJ$505,"&gt;"&amp;$A188,実績!$AL$6:$AL$505,"○")&gt;0,1,0))</f>
        <v>0</v>
      </c>
      <c r="J188" s="39" t="n">
        <f aca="false">IF(J$4=0,0,IF(COUNTIFS(実績!$W$6:$W$505,J$3,実績!$AI$6:$AI$505,"&lt;="&amp;$A188,実績!$AJ$6:$AJ$505,"&gt;"&amp;$A188,実績!$AL$6:$AL$505,"○")&gt;0,1,0))</f>
        <v>0</v>
      </c>
      <c r="K188" s="39" t="n">
        <f aca="false">IF(K$4=0,0,IF(COUNTIFS(実績!$W$6:$W$505,K$3,実績!$AI$6:$AI$505,"&lt;="&amp;$A188,実績!$AJ$6:$AJ$505,"&gt;"&amp;$A188,実績!$AL$6:$AL$505,"○")&gt;0,1,0))</f>
        <v>0</v>
      </c>
      <c r="L188" s="39" t="n">
        <f aca="false">IF(L$4=0,0,IF(COUNTIFS(実績!$W$6:$W$505,L$3,実績!$AI$6:$AI$505,"&lt;="&amp;$A188,実績!$AJ$6:$AJ$505,"&gt;"&amp;$A188,実績!$AL$6:$AL$505,"○")&gt;0,1,0))</f>
        <v>0</v>
      </c>
      <c r="M188" s="39" t="n">
        <f aca="false">IF(M$4=0,0,IF(COUNTIFS(実績!$W$6:$W$505,M$3,実績!$AI$6:$AI$505,"&lt;="&amp;$A188,実績!$AJ$6:$AJ$505,"&gt;"&amp;$A188,実績!$AL$6:$AL$505,"○")&gt;0,1,0))</f>
        <v>0</v>
      </c>
      <c r="N188" s="39" t="n">
        <f aca="false">IF(N$4=0,0,IF(COUNTIFS(実績!$W$6:$W$505,N$3,実績!$AI$6:$AI$505,"&lt;="&amp;$A188,実績!$AJ$6:$AJ$505,"&gt;"&amp;$A188,実績!$AL$6:$AL$505,"○")&gt;0,1,0))</f>
        <v>0</v>
      </c>
      <c r="O188" s="39" t="n">
        <f aca="false">IF(O$4=0,0,IF(COUNTIFS(実績!$W$6:$W$505,O$3,実績!$AI$6:$AI$505,"&lt;="&amp;$A188,実績!$AJ$6:$AJ$505,"&gt;"&amp;$A188,実績!$AL$6:$AL$505,"○")&gt;0,1,0))</f>
        <v>0</v>
      </c>
      <c r="P188" s="39" t="n">
        <f aca="false">IF(P$4=0,0,IF(COUNTIFS(実績!$W$6:$W$505,P$3,実績!$AI$6:$AI$505,"&lt;="&amp;$A188,実績!$AJ$6:$AJ$505,"&gt;"&amp;$A188,実績!$AL$6:$AL$505,"○")&gt;0,1,0))</f>
        <v>0</v>
      </c>
      <c r="Q188" s="39" t="n">
        <f aca="false">IF(Q$4=0,0,IF(COUNTIFS(実績!$W$6:$W$505,Q$3,実績!$AI$6:$AI$505,"&lt;="&amp;$A188,実績!$AJ$6:$AJ$505,"&gt;"&amp;$A188,実績!$AL$6:$AL$505,"○")&gt;0,1,0))</f>
        <v>0</v>
      </c>
      <c r="R188" s="39" t="n">
        <f aca="false">IF(R$4=0,0,IF(COUNTIFS(実績!$W$6:$W$505,R$3,実績!$AI$6:$AI$505,"&lt;="&amp;$A188,実績!$AJ$6:$AJ$505,"&gt;"&amp;$A188,実績!$AL$6:$AL$505,"○")&gt;0,1,0))</f>
        <v>0</v>
      </c>
      <c r="S188" s="39" t="n">
        <f aca="false">IF(S$4=0,0,IF(COUNTIFS(実績!$W$6:$W$505,S$3,実績!$AI$6:$AI$505,"&lt;="&amp;$A188,実績!$AJ$6:$AJ$505,"&gt;"&amp;$A188,実績!$AL$6:$AL$505,"○")&gt;0,1,0))</f>
        <v>0</v>
      </c>
      <c r="T188" s="39" t="n">
        <f aca="false">IF(T$4=0,0,IF(COUNTIFS(実績!$W$6:$W$505,T$3,実績!$AI$6:$AI$505,"&lt;="&amp;$A188,実績!$AJ$6:$AJ$505,"&gt;"&amp;$A188,実績!$AL$6:$AL$505,"○")&gt;0,1,0))</f>
        <v>0</v>
      </c>
      <c r="U188" s="39" t="n">
        <f aca="false">IF(U$4=0,0,IF(COUNTIFS(実績!$W$6:$W$505,U$3,実績!$AI$6:$AI$505,"&lt;="&amp;$A188,実績!$AJ$6:$AJ$505,"&gt;"&amp;$A188,実績!$AL$6:$AL$505,"○")&gt;0,1,0))</f>
        <v>0</v>
      </c>
      <c r="V188" s="39" t="n">
        <f aca="false">IF(V$4=0,0,IF(COUNTIFS(実績!$W$6:$W$505,V$3,実績!$AI$6:$AI$505,"&lt;="&amp;$A188,実績!$AJ$6:$AJ$505,"&gt;"&amp;$A188,実績!$AL$6:$AL$505,"○")&gt;0,1,0))</f>
        <v>0</v>
      </c>
      <c r="W188" s="39" t="n">
        <f aca="false">IF(W$4=0,0,IF(COUNTIFS(実績!$W$6:$W$505,W$3,実績!$AI$6:$AI$505,"&lt;="&amp;$A188,実績!$AJ$6:$AJ$505,"&gt;"&amp;$A188,実績!$AL$6:$AL$505,"○")&gt;0,1,0))</f>
        <v>0</v>
      </c>
      <c r="X188" s="39" t="n">
        <f aca="false">IF(X$4=0,0,IF(COUNTIFS(実績!$W$6:$W$505,X$3,実績!$AI$6:$AI$505,"&lt;="&amp;$A188,実績!$AJ$6:$AJ$505,"&gt;"&amp;$A188,実績!$AL$6:$AL$505,"○")&gt;0,1,0))</f>
        <v>0</v>
      </c>
      <c r="Y188" s="39" t="n">
        <f aca="false">IF(Y$4=0,0,IF(COUNTIFS(実績!$W$6:$W$505,Y$3,実績!$AI$6:$AI$505,"&lt;="&amp;$A188,実績!$AJ$6:$AJ$505,"&gt;"&amp;$A188,実績!$AL$6:$AL$505,"○")&gt;0,1,0))</f>
        <v>0</v>
      </c>
      <c r="Z188" s="39" t="n">
        <f aca="false">IF(Z$4=0,0,IF(COUNTIFS(実績!$W$6:$W$505,Z$3,実績!$AI$6:$AI$505,"&lt;="&amp;$A188,実績!$AJ$6:$AJ$505,"&gt;"&amp;$A188,実績!$AL$6:$AL$505,"○")&gt;0,1,0))</f>
        <v>0</v>
      </c>
      <c r="AA188" s="39" t="n">
        <f aca="false">IF(AA$4=0,0,IF(COUNTIFS(実績!$W$6:$W$505,AA$3,実績!$AI$6:$AI$505,"&lt;="&amp;$A188,実績!$AJ$6:$AJ$505,"&gt;"&amp;$A188,実績!$AL$6:$AL$505,"○")&gt;0,1,0))</f>
        <v>0</v>
      </c>
      <c r="AB188" s="39" t="n">
        <f aca="false">IF(AB$4=0,0,IF(COUNTIFS(実績!$W$6:$W$505,AB$3,実績!$AI$6:$AI$505,"&lt;="&amp;$A188,実績!$AJ$6:$AJ$505,"&gt;"&amp;$A188,実績!$AL$6:$AL$505,"○")&gt;0,1,0))</f>
        <v>0</v>
      </c>
      <c r="AC188" s="39" t="n">
        <f aca="false">IF(AC$4=0,0,IF(COUNTIFS(実績!$W$6:$W$505,AC$3,実績!$AI$6:$AI$505,"&lt;="&amp;$A188,実績!$AJ$6:$AJ$505,"&gt;"&amp;$A188,実績!$AL$6:$AL$505,"○")&gt;0,1,0))</f>
        <v>0</v>
      </c>
      <c r="AD188" s="39" t="n">
        <f aca="false">IF(AD$4=0,0,IF(COUNTIFS(実績!$W$6:$W$505,AD$3,実績!$AI$6:$AI$505,"&lt;="&amp;$A188,実績!$AJ$6:$AJ$505,"&gt;"&amp;$A188,実績!$AL$6:$AL$505,"○")&gt;0,1,0))</f>
        <v>0</v>
      </c>
      <c r="AE188" s="39" t="n">
        <f aca="false">IF(AE$4=0,0,IF(COUNTIFS(実績!$W$6:$W$505,AE$3,実績!$AI$6:$AI$505,"&lt;="&amp;$A188,実績!$AJ$6:$AJ$505,"&gt;"&amp;$A188,実績!$AL$6:$AL$505,"○")&gt;0,1,0))</f>
        <v>0</v>
      </c>
      <c r="AF188" s="39" t="n">
        <f aca="false">IF(AF$4=0,0,IF(COUNTIFS(実績!$W$6:$W$505,AF$3,実績!$AI$6:$AI$505,"&lt;="&amp;$A188,実績!$AJ$6:$AJ$505,"&gt;"&amp;$A188,実績!$AL$6:$AL$505,"○")&gt;0,1,0))</f>
        <v>0</v>
      </c>
      <c r="AG188" s="39" t="n">
        <f aca="false">IF(AG$4=0,0,IF(COUNTIFS(実績!$W$6:$W$505,AG$3,実績!$AI$6:$AI$505,"&lt;="&amp;$A188,実績!$AJ$6:$AJ$505,"&gt;"&amp;$A188,実績!$AL$6:$AL$505,"○")&gt;0,1,0))</f>
        <v>0</v>
      </c>
      <c r="AH188" s="39" t="n">
        <f aca="false">IF(AH$4=0,0,IF(COUNTIFS(実績!$W$6:$W$505,AH$3,実績!$AI$6:$AI$505,"&lt;="&amp;$A188,実績!$AJ$6:$AJ$505,"&gt;"&amp;$A188,実績!$AL$6:$AL$505,"○")&gt;0,1,0))</f>
        <v>0</v>
      </c>
      <c r="AI188" s="39" t="n">
        <f aca="false">IF(AI$4=0,0,IF(COUNTIFS(実績!$W$6:$W$505,AI$3,実績!$AI$6:$AI$505,"&lt;="&amp;$A188,実績!$AJ$6:$AJ$505,"&gt;"&amp;$A188,実績!$AL$6:$AL$505,"○")&gt;0,1,0))</f>
        <v>0</v>
      </c>
      <c r="AJ188" s="39" t="n">
        <f aca="false">IF(AJ$4=0,0,IF(COUNTIFS(実績!$W$6:$W$505,AJ$3,実績!$AI$6:$AI$505,"&lt;="&amp;$A188,実績!$AJ$6:$AJ$505,"&gt;"&amp;$A188,実績!$AL$6:$AL$505,"○")&gt;0,1,0))</f>
        <v>0</v>
      </c>
      <c r="AK188" s="39" t="n">
        <f aca="false">IF(AK$4=0,0,IF(COUNTIFS(実績!$W$6:$W$505,AK$3,実績!$AI$6:$AI$505,"&lt;="&amp;$A188,実績!$AJ$6:$AJ$505,"&gt;"&amp;$A188,実績!$AL$6:$AL$505,"○")&gt;0,1,0))</f>
        <v>0</v>
      </c>
      <c r="AL188" s="39" t="n">
        <f aca="false">IF(AL$4=0,0,IF(COUNTIFS(実績!$W$6:$W$505,AL$3,実績!$AI$6:$AI$505,"&lt;="&amp;$A188,実績!$AJ$6:$AJ$505,"&gt;"&amp;$A188,実績!$AL$6:$AL$505,"○")&gt;0,1,0))</f>
        <v>0</v>
      </c>
      <c r="AM188" s="39" t="n">
        <f aca="false">IF(AM$4=0,0,IF(COUNTIFS(実績!$W$6:$W$505,AM$3,実績!$AI$6:$AI$505,"&lt;="&amp;$A188,実績!$AJ$6:$AJ$505,"&gt;"&amp;$A188,実績!$AL$6:$AL$505,"○")&gt;0,1,0))</f>
        <v>0</v>
      </c>
      <c r="AN188" s="39" t="n">
        <f aca="false">IF(AN$4=0,0,IF(COUNTIFS(実績!$W$6:$W$505,AN$3,実績!$AI$6:$AI$505,"&lt;="&amp;$A188,実績!$AJ$6:$AJ$505,"&gt;"&amp;$A188,実績!$AL$6:$AL$505,"○")&gt;0,1,0))</f>
        <v>0</v>
      </c>
      <c r="AO188" s="39" t="n">
        <f aca="false">IF(AO$4=0,0,IF(COUNTIFS(実績!$W$6:$W$505,AO$3,実績!$AI$6:$AI$505,"&lt;="&amp;$A188,実績!$AJ$6:$AJ$505,"&gt;"&amp;$A188,実績!$AL$6:$AL$505,"○")&gt;0,1,0))</f>
        <v>0</v>
      </c>
      <c r="AP188" s="39" t="n">
        <f aca="false">IF(AP$4=0,0,IF(COUNTIFS(実績!$W$6:$W$505,AP$3,実績!$AI$6:$AI$505,"&lt;="&amp;$A188,実績!$AJ$6:$AJ$505,"&gt;"&amp;$A188,実績!$AL$6:$AL$505,"○")&gt;0,1,0))</f>
        <v>0</v>
      </c>
      <c r="AQ188" s="39" t="n">
        <f aca="false">IF(AQ$4=0,0,IF(COUNTIFS(実績!$W$6:$W$505,AQ$3,実績!$AI$6:$AI$505,"&lt;="&amp;$A188,実績!$AJ$6:$AJ$505,"&gt;"&amp;$A188,実績!$AL$6:$AL$505,"○")&gt;0,1,0))</f>
        <v>0</v>
      </c>
      <c r="AR188" s="39" t="n">
        <f aca="false">IF(AR$4=0,0,IF(COUNTIFS(実績!$W$6:$W$505,AR$3,実績!$AI$6:$AI$505,"&lt;="&amp;$A188,実績!$AJ$6:$AJ$505,"&gt;"&amp;$A188,実績!$AL$6:$AL$505,"○")&gt;0,1,0))</f>
        <v>0</v>
      </c>
      <c r="AS188" s="39" t="n">
        <f aca="false">IF(AS$4=0,0,IF(COUNTIFS(実績!$W$6:$W$505,AS$3,実績!$AI$6:$AI$505,"&lt;="&amp;$A188,実績!$AJ$6:$AJ$505,"&gt;"&amp;$A188,実績!$AL$6:$AL$505,"○")&gt;0,1,0))</f>
        <v>0</v>
      </c>
      <c r="AT188" s="39" t="n">
        <f aca="false">IF(AT$4=0,0,IF(COUNTIFS(実績!$W$6:$W$505,AT$3,実績!$AI$6:$AI$505,"&lt;="&amp;$A188,実績!$AJ$6:$AJ$505,"&gt;"&amp;$A188,実績!$AL$6:$AL$505,"○")&gt;0,1,0))</f>
        <v>0</v>
      </c>
      <c r="AU188" s="39" t="n">
        <f aca="false">IF(AU$4=0,0,IF(COUNTIFS(実績!$W$6:$W$505,AU$3,実績!$AI$6:$AI$505,"&lt;="&amp;$A188,実績!$AJ$6:$AJ$505,"&gt;"&amp;$A188,実績!$AL$6:$AL$505,"○")&gt;0,1,0))</f>
        <v>0</v>
      </c>
      <c r="AV188" s="39" t="n">
        <f aca="false">IF(AV$4=0,0,IF(COUNTIFS(実績!$W$6:$W$505,AV$3,実績!$AI$6:$AI$505,"&lt;="&amp;$A188,実績!$AJ$6:$AJ$505,"&gt;"&amp;$A188,実績!$AL$6:$AL$505,"○")&gt;0,1,0))</f>
        <v>0</v>
      </c>
      <c r="AW188" s="39" t="n">
        <f aca="false">IF(AW$4=0,0,IF(COUNTIFS(実績!$W$6:$W$505,AW$3,実績!$AI$6:$AI$505,"&lt;="&amp;$A188,実績!$AJ$6:$AJ$505,"&gt;"&amp;$A188,実績!$AL$6:$AL$505,"○")&gt;0,1,0))</f>
        <v>0</v>
      </c>
      <c r="AX188" s="39" t="n">
        <f aca="false">IF(AX$4=0,0,IF(COUNTIFS(実績!$W$6:$W$505,AX$3,実績!$AI$6:$AI$505,"&lt;="&amp;$A188,実績!$AJ$6:$AJ$505,"&gt;"&amp;$A188,実績!$AL$6:$AL$505,"○")&gt;0,1,0))</f>
        <v>0</v>
      </c>
      <c r="AY188" s="39" t="n">
        <f aca="false">IF(AY$4=0,0,IF(COUNTIFS(実績!$W$6:$W$505,AY$3,実績!$AI$6:$AI$505,"&lt;="&amp;$A188,実績!$AJ$6:$AJ$505,"&gt;"&amp;$A188,実績!$AL$6:$AL$505,"○")&gt;0,1,0))</f>
        <v>0</v>
      </c>
      <c r="AZ188" s="39" t="n">
        <f aca="false">IF(AZ$4=0,0,IF(COUNTIFS(実績!$W$6:$W$505,AZ$3,実績!$AI$6:$AI$505,"&lt;="&amp;$A188,実績!$AJ$6:$AJ$505,"&gt;"&amp;$A188,実績!$AL$6:$AL$505,"○")&gt;0,1,0))</f>
        <v>0</v>
      </c>
      <c r="BA188" s="39" t="n">
        <f aca="false">IF(BA$4=0,0,IF(COUNTIFS(実績!$W$6:$W$505,BA$3,実績!$AI$6:$AI$505,"&lt;="&amp;$A188,実績!$AJ$6:$AJ$505,"&gt;"&amp;$A188,実績!$AL$6:$AL$505,"○")&gt;0,1,0))</f>
        <v>0</v>
      </c>
      <c r="BB188" s="39" t="n">
        <f aca="false">IF(BB$4=0,0,IF(COUNTIFS(実績!$W$6:$W$505,BB$3,実績!$AI$6:$AI$505,"&lt;="&amp;$A188,実績!$AJ$6:$AJ$505,"&gt;"&amp;$A188,実績!$AL$6:$AL$505,"○")&gt;0,1,0))</f>
        <v>0</v>
      </c>
      <c r="BC188" s="39" t="n">
        <f aca="false">IF(BC$4=0,0,IF(COUNTIFS(実績!$W$6:$W$505,BC$3,実績!$AI$6:$AI$505,"&lt;="&amp;$A188,実績!$AJ$6:$AJ$505,"&gt;"&amp;$A188,実績!$AL$6:$AL$505,"○")&gt;0,1,0))</f>
        <v>0</v>
      </c>
      <c r="BD188" s="39" t="n">
        <f aca="false">IF(BD$4=0,0,IF(COUNTIFS(実績!$W$6:$W$505,BD$3,実績!$AI$6:$AI$505,"&lt;="&amp;$A188,実績!$AJ$6:$AJ$505,"&gt;"&amp;$A188,実績!$AL$6:$AL$505,"○")&gt;0,1,0))</f>
        <v>0</v>
      </c>
      <c r="BE188" s="39" t="n">
        <f aca="false">IF(BE$4=0,0,IF(COUNTIFS(実績!$W$6:$W$505,BE$3,実績!$AI$6:$AI$505,"&lt;="&amp;$A188,実績!$AJ$6:$AJ$505,"&gt;"&amp;$A188,実績!$AL$6:$AL$505,"○")&gt;0,1,0))</f>
        <v>0</v>
      </c>
      <c r="BF188" s="39" t="n">
        <f aca="false">IF(BF$4=0,0,IF(COUNTIFS(実績!$W$6:$W$505,BF$3,実績!$AI$6:$AI$505,"&lt;="&amp;$A188,実績!$AJ$6:$AJ$505,"&gt;"&amp;$A188,実績!$AL$6:$AL$505,"○")&gt;0,1,0))</f>
        <v>0</v>
      </c>
      <c r="BG188" s="39" t="n">
        <f aca="false">IF(BG$4=0,0,IF(COUNTIFS(実績!$W$6:$W$505,BG$3,実績!$AI$6:$AI$505,"&lt;="&amp;$A188,実績!$AJ$6:$AJ$505,"&gt;"&amp;$A188,実績!$AL$6:$AL$505,"○")&gt;0,1,0))</f>
        <v>0</v>
      </c>
      <c r="BH188" s="39" t="n">
        <f aca="false">IF(BH$4=0,0,IF(COUNTIFS(実績!$W$6:$W$505,BH$3,実績!$AI$6:$AI$505,"&lt;="&amp;$A188,実績!$AJ$6:$AJ$505,"&gt;"&amp;$A188,実績!$AL$6:$AL$505,"○")&gt;0,1,0))</f>
        <v>0</v>
      </c>
      <c r="BI188" s="39" t="n">
        <f aca="false">IF(BI$4=0,0,IF(COUNTIFS(実績!$W$6:$W$505,BI$3,実績!$AI$6:$AI$505,"&lt;="&amp;$A188,実績!$AJ$6:$AJ$505,"&gt;"&amp;$A188,実績!$AL$6:$AL$505,"○")&gt;0,1,0))</f>
        <v>0</v>
      </c>
      <c r="BJ188" s="39" t="n">
        <f aca="false">IF(BJ$4=0,0,IF(COUNTIFS(実績!$W$6:$W$505,BJ$3,実績!$AI$6:$AI$505,"&lt;="&amp;$A188,実績!$AJ$6:$AJ$505,"&gt;"&amp;$A188,実績!$AL$6:$AL$505,"○")&gt;0,1,0))</f>
        <v>0</v>
      </c>
      <c r="BK188" s="39" t="n">
        <f aca="false">IF(BK$4=0,0,IF(COUNTIFS(実績!$W$6:$W$505,BK$3,実績!$AI$6:$AI$505,"&lt;="&amp;$A188,実績!$AJ$6:$AJ$505,"&gt;"&amp;$A188,実績!$AL$6:$AL$505,"○")&gt;0,1,0))</f>
        <v>0</v>
      </c>
      <c r="BL188" s="39" t="n">
        <f aca="false">IF(BL$4=0,0,IF(COUNTIFS(実績!$W$6:$W$505,BL$3,実績!$AI$6:$AI$505,"&lt;="&amp;$A188,実績!$AJ$6:$AJ$505,"&gt;"&amp;$A188,実績!$AL$6:$AL$505,"○")&gt;0,1,0))</f>
        <v>0</v>
      </c>
      <c r="BM188" s="39" t="n">
        <f aca="false">IF(BM$4=0,0,IF(COUNTIFS(実績!$W$6:$W$505,BM$3,実績!$AI$6:$AI$505,"&lt;="&amp;$A188,実績!$AJ$6:$AJ$505,"&gt;"&amp;$A188,実績!$AL$6:$AL$505,"○")&gt;0,1,0))</f>
        <v>0</v>
      </c>
      <c r="BN188" s="39" t="n">
        <f aca="false">IF(BN$4=0,0,IF(COUNTIFS(実績!$W$6:$W$505,BN$3,実績!$AI$6:$AI$505,"&lt;="&amp;$A188,実績!$AJ$6:$AJ$505,"&gt;"&amp;$A188,実績!$AL$6:$AL$505,"○")&gt;0,1,0))</f>
        <v>0</v>
      </c>
      <c r="BO188" s="39" t="n">
        <f aca="false">IF(BO$4=0,0,IF(COUNTIFS(実績!$W$6:$W$505,BO$3,実績!$AI$6:$AI$505,"&lt;="&amp;$A188,実績!$AJ$6:$AJ$505,"&gt;"&amp;$A188,実績!$AL$6:$AL$505,"○")&gt;0,1,0))</f>
        <v>0</v>
      </c>
      <c r="BP188" s="39" t="n">
        <f aca="false">IF(BP$4=0,0,IF(COUNTIFS(実績!$W$6:$W$505,BP$3,実績!$AI$6:$AI$505,"&lt;="&amp;$A188,実績!$AJ$6:$AJ$505,"&gt;"&amp;$A188,実績!$AL$6:$AL$505,"○")&gt;0,1,0))</f>
        <v>0</v>
      </c>
      <c r="BQ188" s="39" t="n">
        <f aca="false">IF(BQ$4=0,0,IF(COUNTIFS(実績!$W$6:$W$505,BQ$3,実績!$AI$6:$AI$505,"&lt;="&amp;$A188,実績!$AJ$6:$AJ$505,"&gt;"&amp;$A188,実績!$AL$6:$AL$505,"○")&gt;0,1,0))</f>
        <v>0</v>
      </c>
      <c r="BR188" s="39" t="n">
        <f aca="false">IF(BR$4=0,0,IF(COUNTIFS(実績!$W$6:$W$505,BR$3,実績!$AI$6:$AI$505,"&lt;="&amp;$A188,実績!$AJ$6:$AJ$505,"&gt;"&amp;$A188,実績!$AL$6:$AL$505,"○")&gt;0,1,0))</f>
        <v>0</v>
      </c>
      <c r="BS188" s="39" t="n">
        <f aca="false">IF(BS$4=0,0,IF(COUNTIFS(実績!$W$6:$W$505,BS$3,実績!$AI$6:$AI$505,"&lt;="&amp;$A188,実績!$AJ$6:$AJ$505,"&gt;"&amp;$A188,実績!$AL$6:$AL$505,"○")&gt;0,1,0))</f>
        <v>0</v>
      </c>
      <c r="BT188" s="39" t="n">
        <f aca="false">IF(BT$4=0,0,IF(COUNTIFS(実績!$W$6:$W$505,BT$3,実績!$AI$6:$AI$505,"&lt;="&amp;$A188,実績!$AJ$6:$AJ$505,"&gt;"&amp;$A188,実績!$AL$6:$AL$505,"○")&gt;0,1,0))</f>
        <v>0</v>
      </c>
      <c r="BU188" s="39" t="n">
        <f aca="false">IF(BU$4=0,0,IF(COUNTIFS(実績!$W$6:$W$505,BU$3,実績!$AI$6:$AI$505,"&lt;="&amp;$A188,実績!$AJ$6:$AJ$505,"&gt;"&amp;$A188,実績!$AL$6:$AL$505,"○")&gt;0,1,0))</f>
        <v>0</v>
      </c>
      <c r="BV188" s="39" t="n">
        <f aca="false">IF(BV$4=0,0,IF(COUNTIFS(実績!$W$6:$W$505,BV$3,実績!$AI$6:$AI$505,"&lt;="&amp;$A188,実績!$AJ$6:$AJ$505,"&gt;"&amp;$A188,実績!$AL$6:$AL$505,"○")&gt;0,1,0))</f>
        <v>0</v>
      </c>
      <c r="BW188" s="39" t="n">
        <f aca="false">IF(BW$4=0,0,IF(COUNTIFS(実績!$W$6:$W$505,BW$3,実績!$AI$6:$AI$505,"&lt;="&amp;$A188,実績!$AJ$6:$AJ$505,"&gt;"&amp;$A188,実績!$AL$6:$AL$505,"○")&gt;0,1,0))</f>
        <v>0</v>
      </c>
      <c r="BX188" s="39" t="n">
        <f aca="false">IF(BX$4=0,0,IF(COUNTIFS(実績!$W$6:$W$505,BX$3,実績!$AI$6:$AI$505,"&lt;="&amp;$A188,実績!$AJ$6:$AJ$505,"&gt;"&amp;$A188,実績!$AL$6:$AL$505,"○")&gt;0,1,0))</f>
        <v>0</v>
      </c>
      <c r="BY188" s="39" t="n">
        <f aca="false">IF(BY$4=0,0,IF(COUNTIFS(実績!$W$6:$W$505,BY$3,実績!$AI$6:$AI$505,"&lt;="&amp;$A188,実績!$AJ$6:$AJ$505,"&gt;"&amp;$A188,実績!$AL$6:$AL$505,"○")&gt;0,1,0))</f>
        <v>0</v>
      </c>
      <c r="BZ188" s="39" t="n">
        <f aca="false">IF(BZ$4=0,0,IF(COUNTIFS(実績!$W$6:$W$505,BZ$3,実績!$AI$6:$AI$505,"&lt;="&amp;$A188,実績!$AJ$6:$AJ$505,"&gt;"&amp;$A188,実績!$AL$6:$AL$505,"○")&gt;0,1,0))</f>
        <v>0</v>
      </c>
      <c r="CA188" s="39" t="n">
        <f aca="false">IF(CA$4=0,0,IF(COUNTIFS(実績!$W$6:$W$505,CA$3,実績!$AI$6:$AI$505,"&lt;="&amp;$A188,実績!$AJ$6:$AJ$505,"&gt;"&amp;$A188,実績!$AL$6:$AL$505,"○")&gt;0,1,0))</f>
        <v>0</v>
      </c>
      <c r="CB188" s="39" t="n">
        <f aca="false">IF(CB$4=0,0,IF(COUNTIFS(実績!$W$6:$W$505,CB$3,実績!$AI$6:$AI$505,"&lt;="&amp;$A188,実績!$AJ$6:$AJ$505,"&gt;"&amp;$A188,実績!$AL$6:$AL$505,"○")&gt;0,1,0))</f>
        <v>0</v>
      </c>
      <c r="CC188" s="39" t="n">
        <f aca="false">IF(CC$4=0,0,IF(COUNTIFS(実績!$W$6:$W$505,CC$3,実績!$AI$6:$AI$505,"&lt;="&amp;$A188,実績!$AJ$6:$AJ$505,"&gt;"&amp;$A188,実績!$AL$6:$AL$505,"○")&gt;0,1,0))</f>
        <v>0</v>
      </c>
      <c r="CD188" s="39" t="n">
        <f aca="false">IF(CD$4=0,0,IF(COUNTIFS(実績!$W$6:$W$505,CD$3,実績!$AI$6:$AI$505,"&lt;="&amp;$A188,実績!$AJ$6:$AJ$505,"&gt;"&amp;$A188,実績!$AL$6:$AL$505,"○")&gt;0,1,0))</f>
        <v>0</v>
      </c>
      <c r="CE188" s="39" t="n">
        <f aca="false">IF(CE$4=0,0,IF(COUNTIFS(実績!$W$6:$W$505,CE$3,実績!$AI$6:$AI$505,"&lt;="&amp;$A188,実績!$AJ$6:$AJ$505,"&gt;"&amp;$A188,実績!$AL$6:$AL$505,"○")&gt;0,1,0))</f>
        <v>0</v>
      </c>
      <c r="CF188" s="39" t="n">
        <f aca="false">IF(CF$4=0,0,IF(COUNTIFS(実績!$W$6:$W$505,CF$3,実績!$AI$6:$AI$505,"&lt;="&amp;$A188,実績!$AJ$6:$AJ$505,"&gt;"&amp;$A188,実績!$AL$6:$AL$505,"○")&gt;0,1,0))</f>
        <v>0</v>
      </c>
      <c r="CG188" s="39" t="n">
        <f aca="false">IF(CG$4=0,0,IF(COUNTIFS(実績!$W$6:$W$505,CG$3,実績!$AI$6:$AI$505,"&lt;="&amp;$A188,実績!$AJ$6:$AJ$505,"&gt;"&amp;$A188,実績!$AL$6:$AL$505,"○")&gt;0,1,0))</f>
        <v>0</v>
      </c>
      <c r="CH188" s="39" t="n">
        <f aca="false">IF(CH$4=0,0,IF(COUNTIFS(実績!$W$6:$W$505,CH$3,実績!$AI$6:$AI$505,"&lt;="&amp;$A188,実績!$AJ$6:$AJ$505,"&gt;"&amp;$A188,実績!$AL$6:$AL$505,"○")&gt;0,1,0))</f>
        <v>0</v>
      </c>
      <c r="CI188" s="39" t="n">
        <f aca="false">IF(CI$4=0,0,IF(COUNTIFS(実績!$W$6:$W$505,CI$3,実績!$AI$6:$AI$505,"&lt;="&amp;$A188,実績!$AJ$6:$AJ$505,"&gt;"&amp;$A188,実績!$AL$6:$AL$505,"○")&gt;0,1,0))</f>
        <v>0</v>
      </c>
      <c r="CJ188" s="39" t="n">
        <f aca="false">IF(CJ$4=0,0,IF(COUNTIFS(実績!$W$6:$W$505,CJ$3,実績!$AI$6:$AI$505,"&lt;="&amp;$A188,実績!$AJ$6:$AJ$505,"&gt;"&amp;$A188,実績!$AL$6:$AL$505,"○")&gt;0,1,0))</f>
        <v>0</v>
      </c>
      <c r="CK188" s="39" t="n">
        <f aca="false">IF(CK$4=0,0,IF(COUNTIFS(実績!$W$6:$W$505,CK$3,実績!$AI$6:$AI$505,"&lt;="&amp;$A188,実績!$AJ$6:$AJ$505,"&gt;"&amp;$A188,実績!$AL$6:$AL$505,"○")&gt;0,1,0))</f>
        <v>0</v>
      </c>
      <c r="CL188" s="39" t="n">
        <f aca="false">IF(CL$4=0,0,IF(COUNTIFS(実績!$W$6:$W$505,CL$3,実績!$AI$6:$AI$505,"&lt;="&amp;$A188,実績!$AJ$6:$AJ$505,"&gt;"&amp;$A188,実績!$AL$6:$AL$505,"○")&gt;0,1,0))</f>
        <v>0</v>
      </c>
      <c r="CM188" s="39" t="n">
        <f aca="false">IF(CM$4=0,0,IF(COUNTIFS(実績!$W$6:$W$505,CM$3,実績!$AI$6:$AI$505,"&lt;="&amp;$A188,実績!$AJ$6:$AJ$505,"&gt;"&amp;$A188,実績!$AL$6:$AL$505,"○")&gt;0,1,0))</f>
        <v>0</v>
      </c>
      <c r="CN188" s="39" t="n">
        <f aca="false">IF(CN$4=0,0,IF(COUNTIFS(実績!$W$6:$W$505,CN$3,実績!$AI$6:$AI$505,"&lt;="&amp;$A188,実績!$AJ$6:$AJ$505,"&gt;"&amp;$A188,実績!$AL$6:$AL$505,"○")&gt;0,1,0))</f>
        <v>0</v>
      </c>
      <c r="CO188" s="39" t="n">
        <f aca="false">IF(CO$4=0,0,IF(COUNTIFS(実績!$W$6:$W$505,CO$3,実績!$AI$6:$AI$505,"&lt;="&amp;$A188,実績!$AJ$6:$AJ$505,"&gt;"&amp;$A188,実績!$AL$6:$AL$505,"○")&gt;0,1,0))</f>
        <v>0</v>
      </c>
      <c r="CP188" s="39" t="n">
        <f aca="false">IF(CP$4=0,0,IF(COUNTIFS(実績!$W$6:$W$505,CP$3,実績!$AI$6:$AI$505,"&lt;="&amp;$A188,実績!$AJ$6:$AJ$505,"&gt;"&amp;$A188,実績!$AL$6:$AL$505,"○")&gt;0,1,0))</f>
        <v>0</v>
      </c>
      <c r="CQ188" s="39" t="n">
        <f aca="false">IF(CQ$4=0,0,IF(COUNTIFS(実績!$W$6:$W$505,CQ$3,実績!$AI$6:$AI$505,"&lt;="&amp;$A188,実績!$AJ$6:$AJ$505,"&gt;"&amp;$A188,実績!$AL$6:$AL$505,"○")&gt;0,1,0))</f>
        <v>0</v>
      </c>
      <c r="CR188" s="39" t="n">
        <f aca="false">IF(CR$4=0,0,IF(COUNTIFS(実績!$W$6:$W$505,CR$3,実績!$AI$6:$AI$505,"&lt;="&amp;$A188,実績!$AJ$6:$AJ$505,"&gt;"&amp;$A188,実績!$AL$6:$AL$505,"○")&gt;0,1,0))</f>
        <v>0</v>
      </c>
      <c r="CS188" s="39" t="n">
        <f aca="false">IF(CS$4=0,0,IF(COUNTIFS(実績!$W$6:$W$505,CS$3,実績!$AI$6:$AI$505,"&lt;="&amp;$A188,実績!$AJ$6:$AJ$505,"&gt;"&amp;$A188,実績!$AL$6:$AL$505,"○")&gt;0,1,0))</f>
        <v>0</v>
      </c>
      <c r="CT188" s="39" t="n">
        <f aca="false">IF(CT$4=0,0,IF(COUNTIFS(実績!$W$6:$W$505,CT$3,実績!$AI$6:$AI$505,"&lt;="&amp;$A188,実績!$AJ$6:$AJ$505,"&gt;"&amp;$A188,実績!$AL$6:$AL$505,"○")&gt;0,1,0))</f>
        <v>0</v>
      </c>
      <c r="CU188" s="39" t="n">
        <f aca="false">IF(CU$4=0,0,IF(COUNTIFS(実績!$W$6:$W$505,CU$3,実績!$AI$6:$AI$505,"&lt;="&amp;$A188,実績!$AJ$6:$AJ$505,"&gt;"&amp;$A188,実績!$AL$6:$AL$505,"○")&gt;0,1,0))</f>
        <v>0</v>
      </c>
      <c r="CV188" s="39" t="n">
        <f aca="false">IF(CV$4=0,0,IF(COUNTIFS(実績!$W$6:$W$505,CV$3,実績!$AI$6:$AI$505,"&lt;="&amp;$A188,実績!$AJ$6:$AJ$505,"&gt;"&amp;$A188,実績!$AL$6:$AL$505,"○")&gt;0,1,0))</f>
        <v>0</v>
      </c>
      <c r="CW188" s="39" t="n">
        <f aca="false">IF(CW$4=0,0,IF(COUNTIFS(実績!$W$6:$W$505,CW$3,実績!$AI$6:$AI$505,"&lt;="&amp;$A188,実績!$AJ$6:$AJ$505,"&gt;"&amp;$A188,実績!$AL$6:$AL$505,"○")&gt;0,1,0))</f>
        <v>0</v>
      </c>
      <c r="CX188" s="39" t="n">
        <f aca="false">IF(CX$4=0,0,IF(COUNTIFS(実績!$W$6:$W$505,CX$3,実績!$AI$6:$AI$505,"&lt;="&amp;$A188,実績!$AJ$6:$AJ$505,"&gt;"&amp;$A188,実績!$AL$6:$AL$505,"○")&gt;0,1,0))</f>
        <v>0</v>
      </c>
      <c r="CY188" s="39" t="n">
        <f aca="false">IF(CY$4=0,0,IF(COUNTIFS(実績!$W$6:$W$505,CY$3,実績!$AI$6:$AI$505,"&lt;="&amp;$A188,実績!$AJ$6:$AJ$505,"&gt;"&amp;$A188,実績!$AL$6:$AL$505,"○")&gt;0,1,0))</f>
        <v>0</v>
      </c>
      <c r="CZ188" s="39" t="n">
        <f aca="false">IF(CZ$4=0,0,IF(COUNTIFS(実績!$W$6:$W$505,CZ$3,実績!$AI$6:$AI$505,"&lt;="&amp;$A188,実績!$AJ$6:$AJ$505,"&gt;"&amp;$A188,実績!$AL$6:$AL$505,"○")&gt;0,1,0))</f>
        <v>0</v>
      </c>
      <c r="DA188" s="39" t="n">
        <f aca="false">IF(DA$4=0,0,IF(COUNTIFS(実績!$W$6:$W$505,DA$3,実績!$AI$6:$AI$505,"&lt;="&amp;$A188,実績!$AJ$6:$AJ$505,"&gt;"&amp;$A188,実績!$AL$6:$AL$505,"○")&gt;0,1,0))</f>
        <v>0</v>
      </c>
      <c r="DB188" s="39" t="n">
        <f aca="false">IF(DB$4=0,0,IF(COUNTIFS(実績!$W$6:$W$505,DB$3,実績!$AI$6:$AI$505,"&lt;="&amp;$A188,実績!$AJ$6:$AJ$505,"&gt;"&amp;$A188,実績!$AL$6:$AL$505,"○")&gt;0,1,0))</f>
        <v>0</v>
      </c>
      <c r="DC188" s="39" t="n">
        <f aca="false">IF(DC$4=0,0,IF(COUNTIFS(実績!$W$6:$W$505,DC$3,実績!$AI$6:$AI$505,"&lt;="&amp;$A188,実績!$AJ$6:$AJ$505,"&gt;"&amp;$A188,実績!$AL$6:$AL$505,"○")&gt;0,1,0))</f>
        <v>0</v>
      </c>
      <c r="DD188" s="39" t="n">
        <f aca="false">IF(DD$4=0,0,IF(COUNTIFS(実績!$W$6:$W$505,DD$3,実績!$AI$6:$AI$505,"&lt;="&amp;$A188,実績!$AJ$6:$AJ$505,"&gt;"&amp;$A188,実績!$AL$6:$AL$505,"○")&gt;0,1,0))</f>
        <v>0</v>
      </c>
      <c r="DE188" s="39" t="n">
        <f aca="false">IF(DE$4=0,0,IF(COUNTIFS(実績!$W$6:$W$505,DE$3,実績!$AI$6:$AI$505,"&lt;="&amp;$A188,実績!$AJ$6:$AJ$505,"&gt;"&amp;$A188,実績!$AL$6:$AL$505,"○")&gt;0,1,0))</f>
        <v>0</v>
      </c>
      <c r="DF188" s="39" t="n">
        <f aca="false">IF(DF$4=0,0,IF(COUNTIFS(実績!$W$6:$W$505,DF$3,実績!$AI$6:$AI$505,"&lt;="&amp;$A188,実績!$AJ$6:$AJ$505,"&gt;"&amp;$A188,実績!$AL$6:$AL$505,"○")&gt;0,1,0))</f>
        <v>0</v>
      </c>
      <c r="DG188" s="39" t="n">
        <f aca="false">IF(DG$4=0,0,IF(COUNTIFS(実績!$W$6:$W$505,DG$3,実績!$AI$6:$AI$505,"&lt;="&amp;$A188,実績!$AJ$6:$AJ$505,"&gt;"&amp;$A188,実績!$AL$6:$AL$505,"○")&gt;0,1,0))</f>
        <v>0</v>
      </c>
      <c r="DH188" s="39" t="n">
        <f aca="false">IF(DH$4=0,0,IF(COUNTIFS(実績!$W$6:$W$505,DH$3,実績!$AI$6:$AI$505,"&lt;="&amp;$A188,実績!$AJ$6:$AJ$505,"&gt;"&amp;$A188,実績!$AL$6:$AL$505,"○")&gt;0,1,0))</f>
        <v>0</v>
      </c>
      <c r="DI188" s="39" t="n">
        <f aca="false">IF(DI$4=0,0,IF(COUNTIFS(実績!$W$6:$W$505,DI$3,実績!$AI$6:$AI$505,"&lt;="&amp;$A188,実績!$AJ$6:$AJ$505,"&gt;"&amp;$A188,実績!$AL$6:$AL$505,"○")&gt;0,1,0))</f>
        <v>0</v>
      </c>
      <c r="DJ188" s="39" t="n">
        <f aca="false">IF(DJ$4=0,0,IF(COUNTIFS(実績!$W$6:$W$505,DJ$3,実績!$AI$6:$AI$505,"&lt;="&amp;$A188,実績!$AJ$6:$AJ$505,"&gt;"&amp;$A188,実績!$AL$6:$AL$505,"○")&gt;0,1,0))</f>
        <v>0</v>
      </c>
      <c r="DK188" s="39" t="n">
        <f aca="false">IF(DK$4=0,0,IF(COUNTIFS(実績!$W$6:$W$505,DK$3,実績!$AI$6:$AI$505,"&lt;="&amp;$A188,実績!$AJ$6:$AJ$505,"&gt;"&amp;$A188,実績!$AL$6:$AL$505,"○")&gt;0,1,0))</f>
        <v>0</v>
      </c>
      <c r="DL188" s="39" t="n">
        <f aca="false">IF(DL$4=0,0,IF(COUNTIFS(実績!$W$6:$W$505,DL$3,実績!$AI$6:$AI$505,"&lt;="&amp;$A188,実績!$AJ$6:$AJ$505,"&gt;"&amp;$A188,実績!$AL$6:$AL$505,"○")&gt;0,1,0))</f>
        <v>0</v>
      </c>
      <c r="DM188" s="39" t="n">
        <f aca="false">IF(DM$4=0,0,IF(COUNTIFS(実績!$W$6:$W$505,DM$3,実績!$AI$6:$AI$505,"&lt;="&amp;$A188,実績!$AJ$6:$AJ$505,"&gt;"&amp;$A188,実績!$AL$6:$AL$505,"○")&gt;0,1,0))</f>
        <v>0</v>
      </c>
      <c r="DN188" s="39" t="n">
        <f aca="false">IF(DN$4=0,0,IF(COUNTIFS(実績!$W$6:$W$505,DN$3,実績!$AI$6:$AI$505,"&lt;="&amp;$A188,実績!$AJ$6:$AJ$505,"&gt;"&amp;$A188,実績!$AL$6:$AL$505,"○")&gt;0,1,0))</f>
        <v>0</v>
      </c>
      <c r="DO188" s="39" t="n">
        <f aca="false">IF(DO$4=0,0,IF(COUNTIFS(実績!$W$6:$W$505,DO$3,実績!$AI$6:$AI$505,"&lt;="&amp;$A188,実績!$AJ$6:$AJ$505,"&gt;"&amp;$A188,実績!$AL$6:$AL$505,"○")&gt;0,1,0))</f>
        <v>0</v>
      </c>
      <c r="DP188" s="39" t="n">
        <f aca="false">IF(DP$4=0,0,IF(COUNTIFS(実績!$W$6:$W$505,DP$3,実績!$AI$6:$AI$505,"&lt;="&amp;$A188,実績!$AJ$6:$AJ$505,"&gt;"&amp;$A188,実績!$AL$6:$AL$505,"○")&gt;0,1,0))</f>
        <v>0</v>
      </c>
      <c r="DQ188" s="39" t="n">
        <f aca="false">IF(DQ$4=0,0,IF(COUNTIFS(実績!$W$6:$W$505,DQ$3,実績!$AI$6:$AI$505,"&lt;="&amp;$A188,実績!$AJ$6:$AJ$505,"&gt;"&amp;$A188,実績!$AL$6:$AL$505,"○")&gt;0,1,0))</f>
        <v>0</v>
      </c>
      <c r="DR188" s="39" t="n">
        <f aca="false">IF(DR$4=0,0,IF(COUNTIFS(実績!$W$6:$W$505,DR$3,実績!$AI$6:$AI$505,"&lt;="&amp;$A188,実績!$AJ$6:$AJ$505,"&gt;"&amp;$A188,実績!$AL$6:$AL$505,"○")&gt;0,1,0))</f>
        <v>0</v>
      </c>
      <c r="DS188" s="39" t="n">
        <f aca="false">SUM(C188:DR188)</f>
        <v>0</v>
      </c>
    </row>
    <row r="189" customFormat="false" ht="15" hidden="false" customHeight="false" outlineLevel="0" collapsed="false">
      <c r="A189" s="0" t="n">
        <v>915</v>
      </c>
      <c r="B189" s="38" t="n">
        <f aca="false">A189/1440</f>
        <v>0.635416666666667</v>
      </c>
      <c r="C189" s="39" t="n">
        <f aca="false">IF(C$4=0,0,IF(COUNTIFS(実績!$W$6:$W$505,C$3,実績!$AI$6:$AI$505,"&lt;="&amp;$A189,実績!$AJ$6:$AJ$505,"&gt;"&amp;$A189,実績!$AL$6:$AL$505,"○")&gt;0,1,0))</f>
        <v>0</v>
      </c>
      <c r="D189" s="39" t="n">
        <f aca="false">IF(D$4=0,0,IF(COUNTIFS(実績!$W$6:$W$505,D$3,実績!$AI$6:$AI$505,"&lt;="&amp;$A189,実績!$AJ$6:$AJ$505,"&gt;"&amp;$A189,実績!$AL$6:$AL$505,"○")&gt;0,1,0))</f>
        <v>0</v>
      </c>
      <c r="E189" s="39" t="n">
        <f aca="false">IF(E$4=0,0,IF(COUNTIFS(実績!$W$6:$W$505,E$3,実績!$AI$6:$AI$505,"&lt;="&amp;$A189,実績!$AJ$6:$AJ$505,"&gt;"&amp;$A189,実績!$AL$6:$AL$505,"○")&gt;0,1,0))</f>
        <v>0</v>
      </c>
      <c r="F189" s="39" t="n">
        <f aca="false">IF(F$4=0,0,IF(COUNTIFS(実績!$W$6:$W$505,F$3,実績!$AI$6:$AI$505,"&lt;="&amp;$A189,実績!$AJ$6:$AJ$505,"&gt;"&amp;$A189,実績!$AL$6:$AL$505,"○")&gt;0,1,0))</f>
        <v>0</v>
      </c>
      <c r="G189" s="39" t="n">
        <f aca="false">IF(G$4=0,0,IF(COUNTIFS(実績!$W$6:$W$505,G$3,実績!$AI$6:$AI$505,"&lt;="&amp;$A189,実績!$AJ$6:$AJ$505,"&gt;"&amp;$A189,実績!$AL$6:$AL$505,"○")&gt;0,1,0))</f>
        <v>0</v>
      </c>
      <c r="H189" s="39" t="n">
        <f aca="false">IF(H$4=0,0,IF(COUNTIFS(実績!$W$6:$W$505,H$3,実績!$AI$6:$AI$505,"&lt;="&amp;$A189,実績!$AJ$6:$AJ$505,"&gt;"&amp;$A189,実績!$AL$6:$AL$505,"○")&gt;0,1,0))</f>
        <v>0</v>
      </c>
      <c r="I189" s="39" t="n">
        <f aca="false">IF(I$4=0,0,IF(COUNTIFS(実績!$W$6:$W$505,I$3,実績!$AI$6:$AI$505,"&lt;="&amp;$A189,実績!$AJ$6:$AJ$505,"&gt;"&amp;$A189,実績!$AL$6:$AL$505,"○")&gt;0,1,0))</f>
        <v>0</v>
      </c>
      <c r="J189" s="39" t="n">
        <f aca="false">IF(J$4=0,0,IF(COUNTIFS(実績!$W$6:$W$505,J$3,実績!$AI$6:$AI$505,"&lt;="&amp;$A189,実績!$AJ$6:$AJ$505,"&gt;"&amp;$A189,実績!$AL$6:$AL$505,"○")&gt;0,1,0))</f>
        <v>0</v>
      </c>
      <c r="K189" s="39" t="n">
        <f aca="false">IF(K$4=0,0,IF(COUNTIFS(実績!$W$6:$W$505,K$3,実績!$AI$6:$AI$505,"&lt;="&amp;$A189,実績!$AJ$6:$AJ$505,"&gt;"&amp;$A189,実績!$AL$6:$AL$505,"○")&gt;0,1,0))</f>
        <v>0</v>
      </c>
      <c r="L189" s="39" t="n">
        <f aca="false">IF(L$4=0,0,IF(COUNTIFS(実績!$W$6:$W$505,L$3,実績!$AI$6:$AI$505,"&lt;="&amp;$A189,実績!$AJ$6:$AJ$505,"&gt;"&amp;$A189,実績!$AL$6:$AL$505,"○")&gt;0,1,0))</f>
        <v>0</v>
      </c>
      <c r="M189" s="39" t="n">
        <f aca="false">IF(M$4=0,0,IF(COUNTIFS(実績!$W$6:$W$505,M$3,実績!$AI$6:$AI$505,"&lt;="&amp;$A189,実績!$AJ$6:$AJ$505,"&gt;"&amp;$A189,実績!$AL$6:$AL$505,"○")&gt;0,1,0))</f>
        <v>0</v>
      </c>
      <c r="N189" s="39" t="n">
        <f aca="false">IF(N$4=0,0,IF(COUNTIFS(実績!$W$6:$W$505,N$3,実績!$AI$6:$AI$505,"&lt;="&amp;$A189,実績!$AJ$6:$AJ$505,"&gt;"&amp;$A189,実績!$AL$6:$AL$505,"○")&gt;0,1,0))</f>
        <v>0</v>
      </c>
      <c r="O189" s="39" t="n">
        <f aca="false">IF(O$4=0,0,IF(COUNTIFS(実績!$W$6:$W$505,O$3,実績!$AI$6:$AI$505,"&lt;="&amp;$A189,実績!$AJ$6:$AJ$505,"&gt;"&amp;$A189,実績!$AL$6:$AL$505,"○")&gt;0,1,0))</f>
        <v>0</v>
      </c>
      <c r="P189" s="39" t="n">
        <f aca="false">IF(P$4=0,0,IF(COUNTIFS(実績!$W$6:$W$505,P$3,実績!$AI$6:$AI$505,"&lt;="&amp;$A189,実績!$AJ$6:$AJ$505,"&gt;"&amp;$A189,実績!$AL$6:$AL$505,"○")&gt;0,1,0))</f>
        <v>0</v>
      </c>
      <c r="Q189" s="39" t="n">
        <f aca="false">IF(Q$4=0,0,IF(COUNTIFS(実績!$W$6:$W$505,Q$3,実績!$AI$6:$AI$505,"&lt;="&amp;$A189,実績!$AJ$6:$AJ$505,"&gt;"&amp;$A189,実績!$AL$6:$AL$505,"○")&gt;0,1,0))</f>
        <v>0</v>
      </c>
      <c r="R189" s="39" t="n">
        <f aca="false">IF(R$4=0,0,IF(COUNTIFS(実績!$W$6:$W$505,R$3,実績!$AI$6:$AI$505,"&lt;="&amp;$A189,実績!$AJ$6:$AJ$505,"&gt;"&amp;$A189,実績!$AL$6:$AL$505,"○")&gt;0,1,0))</f>
        <v>0</v>
      </c>
      <c r="S189" s="39" t="n">
        <f aca="false">IF(S$4=0,0,IF(COUNTIFS(実績!$W$6:$W$505,S$3,実績!$AI$6:$AI$505,"&lt;="&amp;$A189,実績!$AJ$6:$AJ$505,"&gt;"&amp;$A189,実績!$AL$6:$AL$505,"○")&gt;0,1,0))</f>
        <v>0</v>
      </c>
      <c r="T189" s="39" t="n">
        <f aca="false">IF(T$4=0,0,IF(COUNTIFS(実績!$W$6:$W$505,T$3,実績!$AI$6:$AI$505,"&lt;="&amp;$A189,実績!$AJ$6:$AJ$505,"&gt;"&amp;$A189,実績!$AL$6:$AL$505,"○")&gt;0,1,0))</f>
        <v>0</v>
      </c>
      <c r="U189" s="39" t="n">
        <f aca="false">IF(U$4=0,0,IF(COUNTIFS(実績!$W$6:$W$505,U$3,実績!$AI$6:$AI$505,"&lt;="&amp;$A189,実績!$AJ$6:$AJ$505,"&gt;"&amp;$A189,実績!$AL$6:$AL$505,"○")&gt;0,1,0))</f>
        <v>0</v>
      </c>
      <c r="V189" s="39" t="n">
        <f aca="false">IF(V$4=0,0,IF(COUNTIFS(実績!$W$6:$W$505,V$3,実績!$AI$6:$AI$505,"&lt;="&amp;$A189,実績!$AJ$6:$AJ$505,"&gt;"&amp;$A189,実績!$AL$6:$AL$505,"○")&gt;0,1,0))</f>
        <v>0</v>
      </c>
      <c r="W189" s="39" t="n">
        <f aca="false">IF(W$4=0,0,IF(COUNTIFS(実績!$W$6:$W$505,W$3,実績!$AI$6:$AI$505,"&lt;="&amp;$A189,実績!$AJ$6:$AJ$505,"&gt;"&amp;$A189,実績!$AL$6:$AL$505,"○")&gt;0,1,0))</f>
        <v>0</v>
      </c>
      <c r="X189" s="39" t="n">
        <f aca="false">IF(X$4=0,0,IF(COUNTIFS(実績!$W$6:$W$505,X$3,実績!$AI$6:$AI$505,"&lt;="&amp;$A189,実績!$AJ$6:$AJ$505,"&gt;"&amp;$A189,実績!$AL$6:$AL$505,"○")&gt;0,1,0))</f>
        <v>0</v>
      </c>
      <c r="Y189" s="39" t="n">
        <f aca="false">IF(Y$4=0,0,IF(COUNTIFS(実績!$W$6:$W$505,Y$3,実績!$AI$6:$AI$505,"&lt;="&amp;$A189,実績!$AJ$6:$AJ$505,"&gt;"&amp;$A189,実績!$AL$6:$AL$505,"○")&gt;0,1,0))</f>
        <v>0</v>
      </c>
      <c r="Z189" s="39" t="n">
        <f aca="false">IF(Z$4=0,0,IF(COUNTIFS(実績!$W$6:$W$505,Z$3,実績!$AI$6:$AI$505,"&lt;="&amp;$A189,実績!$AJ$6:$AJ$505,"&gt;"&amp;$A189,実績!$AL$6:$AL$505,"○")&gt;0,1,0))</f>
        <v>0</v>
      </c>
      <c r="AA189" s="39" t="n">
        <f aca="false">IF(AA$4=0,0,IF(COUNTIFS(実績!$W$6:$W$505,AA$3,実績!$AI$6:$AI$505,"&lt;="&amp;$A189,実績!$AJ$6:$AJ$505,"&gt;"&amp;$A189,実績!$AL$6:$AL$505,"○")&gt;0,1,0))</f>
        <v>0</v>
      </c>
      <c r="AB189" s="39" t="n">
        <f aca="false">IF(AB$4=0,0,IF(COUNTIFS(実績!$W$6:$W$505,AB$3,実績!$AI$6:$AI$505,"&lt;="&amp;$A189,実績!$AJ$6:$AJ$505,"&gt;"&amp;$A189,実績!$AL$6:$AL$505,"○")&gt;0,1,0))</f>
        <v>0</v>
      </c>
      <c r="AC189" s="39" t="n">
        <f aca="false">IF(AC$4=0,0,IF(COUNTIFS(実績!$W$6:$W$505,AC$3,実績!$AI$6:$AI$505,"&lt;="&amp;$A189,実績!$AJ$6:$AJ$505,"&gt;"&amp;$A189,実績!$AL$6:$AL$505,"○")&gt;0,1,0))</f>
        <v>0</v>
      </c>
      <c r="AD189" s="39" t="n">
        <f aca="false">IF(AD$4=0,0,IF(COUNTIFS(実績!$W$6:$W$505,AD$3,実績!$AI$6:$AI$505,"&lt;="&amp;$A189,実績!$AJ$6:$AJ$505,"&gt;"&amp;$A189,実績!$AL$6:$AL$505,"○")&gt;0,1,0))</f>
        <v>0</v>
      </c>
      <c r="AE189" s="39" t="n">
        <f aca="false">IF(AE$4=0,0,IF(COUNTIFS(実績!$W$6:$W$505,AE$3,実績!$AI$6:$AI$505,"&lt;="&amp;$A189,実績!$AJ$6:$AJ$505,"&gt;"&amp;$A189,実績!$AL$6:$AL$505,"○")&gt;0,1,0))</f>
        <v>0</v>
      </c>
      <c r="AF189" s="39" t="n">
        <f aca="false">IF(AF$4=0,0,IF(COUNTIFS(実績!$W$6:$W$505,AF$3,実績!$AI$6:$AI$505,"&lt;="&amp;$A189,実績!$AJ$6:$AJ$505,"&gt;"&amp;$A189,実績!$AL$6:$AL$505,"○")&gt;0,1,0))</f>
        <v>0</v>
      </c>
      <c r="AG189" s="39" t="n">
        <f aca="false">IF(AG$4=0,0,IF(COUNTIFS(実績!$W$6:$W$505,AG$3,実績!$AI$6:$AI$505,"&lt;="&amp;$A189,実績!$AJ$6:$AJ$505,"&gt;"&amp;$A189,実績!$AL$6:$AL$505,"○")&gt;0,1,0))</f>
        <v>0</v>
      </c>
      <c r="AH189" s="39" t="n">
        <f aca="false">IF(AH$4=0,0,IF(COUNTIFS(実績!$W$6:$W$505,AH$3,実績!$AI$6:$AI$505,"&lt;="&amp;$A189,実績!$AJ$6:$AJ$505,"&gt;"&amp;$A189,実績!$AL$6:$AL$505,"○")&gt;0,1,0))</f>
        <v>0</v>
      </c>
      <c r="AI189" s="39" t="n">
        <f aca="false">IF(AI$4=0,0,IF(COUNTIFS(実績!$W$6:$W$505,AI$3,実績!$AI$6:$AI$505,"&lt;="&amp;$A189,実績!$AJ$6:$AJ$505,"&gt;"&amp;$A189,実績!$AL$6:$AL$505,"○")&gt;0,1,0))</f>
        <v>0</v>
      </c>
      <c r="AJ189" s="39" t="n">
        <f aca="false">IF(AJ$4=0,0,IF(COUNTIFS(実績!$W$6:$W$505,AJ$3,実績!$AI$6:$AI$505,"&lt;="&amp;$A189,実績!$AJ$6:$AJ$505,"&gt;"&amp;$A189,実績!$AL$6:$AL$505,"○")&gt;0,1,0))</f>
        <v>0</v>
      </c>
      <c r="AK189" s="39" t="n">
        <f aca="false">IF(AK$4=0,0,IF(COUNTIFS(実績!$W$6:$W$505,AK$3,実績!$AI$6:$AI$505,"&lt;="&amp;$A189,実績!$AJ$6:$AJ$505,"&gt;"&amp;$A189,実績!$AL$6:$AL$505,"○")&gt;0,1,0))</f>
        <v>0</v>
      </c>
      <c r="AL189" s="39" t="n">
        <f aca="false">IF(AL$4=0,0,IF(COUNTIFS(実績!$W$6:$W$505,AL$3,実績!$AI$6:$AI$505,"&lt;="&amp;$A189,実績!$AJ$6:$AJ$505,"&gt;"&amp;$A189,実績!$AL$6:$AL$505,"○")&gt;0,1,0))</f>
        <v>0</v>
      </c>
      <c r="AM189" s="39" t="n">
        <f aca="false">IF(AM$4=0,0,IF(COUNTIFS(実績!$W$6:$W$505,AM$3,実績!$AI$6:$AI$505,"&lt;="&amp;$A189,実績!$AJ$6:$AJ$505,"&gt;"&amp;$A189,実績!$AL$6:$AL$505,"○")&gt;0,1,0))</f>
        <v>0</v>
      </c>
      <c r="AN189" s="39" t="n">
        <f aca="false">IF(AN$4=0,0,IF(COUNTIFS(実績!$W$6:$W$505,AN$3,実績!$AI$6:$AI$505,"&lt;="&amp;$A189,実績!$AJ$6:$AJ$505,"&gt;"&amp;$A189,実績!$AL$6:$AL$505,"○")&gt;0,1,0))</f>
        <v>0</v>
      </c>
      <c r="AO189" s="39" t="n">
        <f aca="false">IF(AO$4=0,0,IF(COUNTIFS(実績!$W$6:$W$505,AO$3,実績!$AI$6:$AI$505,"&lt;="&amp;$A189,実績!$AJ$6:$AJ$505,"&gt;"&amp;$A189,実績!$AL$6:$AL$505,"○")&gt;0,1,0))</f>
        <v>0</v>
      </c>
      <c r="AP189" s="39" t="n">
        <f aca="false">IF(AP$4=0,0,IF(COUNTIFS(実績!$W$6:$W$505,AP$3,実績!$AI$6:$AI$505,"&lt;="&amp;$A189,実績!$AJ$6:$AJ$505,"&gt;"&amp;$A189,実績!$AL$6:$AL$505,"○")&gt;0,1,0))</f>
        <v>0</v>
      </c>
      <c r="AQ189" s="39" t="n">
        <f aca="false">IF(AQ$4=0,0,IF(COUNTIFS(実績!$W$6:$W$505,AQ$3,実績!$AI$6:$AI$505,"&lt;="&amp;$A189,実績!$AJ$6:$AJ$505,"&gt;"&amp;$A189,実績!$AL$6:$AL$505,"○")&gt;0,1,0))</f>
        <v>0</v>
      </c>
      <c r="AR189" s="39" t="n">
        <f aca="false">IF(AR$4=0,0,IF(COUNTIFS(実績!$W$6:$W$505,AR$3,実績!$AI$6:$AI$505,"&lt;="&amp;$A189,実績!$AJ$6:$AJ$505,"&gt;"&amp;$A189,実績!$AL$6:$AL$505,"○")&gt;0,1,0))</f>
        <v>0</v>
      </c>
      <c r="AS189" s="39" t="n">
        <f aca="false">IF(AS$4=0,0,IF(COUNTIFS(実績!$W$6:$W$505,AS$3,実績!$AI$6:$AI$505,"&lt;="&amp;$A189,実績!$AJ$6:$AJ$505,"&gt;"&amp;$A189,実績!$AL$6:$AL$505,"○")&gt;0,1,0))</f>
        <v>0</v>
      </c>
      <c r="AT189" s="39" t="n">
        <f aca="false">IF(AT$4=0,0,IF(COUNTIFS(実績!$W$6:$W$505,AT$3,実績!$AI$6:$AI$505,"&lt;="&amp;$A189,実績!$AJ$6:$AJ$505,"&gt;"&amp;$A189,実績!$AL$6:$AL$505,"○")&gt;0,1,0))</f>
        <v>0</v>
      </c>
      <c r="AU189" s="39" t="n">
        <f aca="false">IF(AU$4=0,0,IF(COUNTIFS(実績!$W$6:$W$505,AU$3,実績!$AI$6:$AI$505,"&lt;="&amp;$A189,実績!$AJ$6:$AJ$505,"&gt;"&amp;$A189,実績!$AL$6:$AL$505,"○")&gt;0,1,0))</f>
        <v>0</v>
      </c>
      <c r="AV189" s="39" t="n">
        <f aca="false">IF(AV$4=0,0,IF(COUNTIFS(実績!$W$6:$W$505,AV$3,実績!$AI$6:$AI$505,"&lt;="&amp;$A189,実績!$AJ$6:$AJ$505,"&gt;"&amp;$A189,実績!$AL$6:$AL$505,"○")&gt;0,1,0))</f>
        <v>0</v>
      </c>
      <c r="AW189" s="39" t="n">
        <f aca="false">IF(AW$4=0,0,IF(COUNTIFS(実績!$W$6:$W$505,AW$3,実績!$AI$6:$AI$505,"&lt;="&amp;$A189,実績!$AJ$6:$AJ$505,"&gt;"&amp;$A189,実績!$AL$6:$AL$505,"○")&gt;0,1,0))</f>
        <v>0</v>
      </c>
      <c r="AX189" s="39" t="n">
        <f aca="false">IF(AX$4=0,0,IF(COUNTIFS(実績!$W$6:$W$505,AX$3,実績!$AI$6:$AI$505,"&lt;="&amp;$A189,実績!$AJ$6:$AJ$505,"&gt;"&amp;$A189,実績!$AL$6:$AL$505,"○")&gt;0,1,0))</f>
        <v>0</v>
      </c>
      <c r="AY189" s="39" t="n">
        <f aca="false">IF(AY$4=0,0,IF(COUNTIFS(実績!$W$6:$W$505,AY$3,実績!$AI$6:$AI$505,"&lt;="&amp;$A189,実績!$AJ$6:$AJ$505,"&gt;"&amp;$A189,実績!$AL$6:$AL$505,"○")&gt;0,1,0))</f>
        <v>0</v>
      </c>
      <c r="AZ189" s="39" t="n">
        <f aca="false">IF(AZ$4=0,0,IF(COUNTIFS(実績!$W$6:$W$505,AZ$3,実績!$AI$6:$AI$505,"&lt;="&amp;$A189,実績!$AJ$6:$AJ$505,"&gt;"&amp;$A189,実績!$AL$6:$AL$505,"○")&gt;0,1,0))</f>
        <v>0</v>
      </c>
      <c r="BA189" s="39" t="n">
        <f aca="false">IF(BA$4=0,0,IF(COUNTIFS(実績!$W$6:$W$505,BA$3,実績!$AI$6:$AI$505,"&lt;="&amp;$A189,実績!$AJ$6:$AJ$505,"&gt;"&amp;$A189,実績!$AL$6:$AL$505,"○")&gt;0,1,0))</f>
        <v>0</v>
      </c>
      <c r="BB189" s="39" t="n">
        <f aca="false">IF(BB$4=0,0,IF(COUNTIFS(実績!$W$6:$W$505,BB$3,実績!$AI$6:$AI$505,"&lt;="&amp;$A189,実績!$AJ$6:$AJ$505,"&gt;"&amp;$A189,実績!$AL$6:$AL$505,"○")&gt;0,1,0))</f>
        <v>0</v>
      </c>
      <c r="BC189" s="39" t="n">
        <f aca="false">IF(BC$4=0,0,IF(COUNTIFS(実績!$W$6:$W$505,BC$3,実績!$AI$6:$AI$505,"&lt;="&amp;$A189,実績!$AJ$6:$AJ$505,"&gt;"&amp;$A189,実績!$AL$6:$AL$505,"○")&gt;0,1,0))</f>
        <v>0</v>
      </c>
      <c r="BD189" s="39" t="n">
        <f aca="false">IF(BD$4=0,0,IF(COUNTIFS(実績!$W$6:$W$505,BD$3,実績!$AI$6:$AI$505,"&lt;="&amp;$A189,実績!$AJ$6:$AJ$505,"&gt;"&amp;$A189,実績!$AL$6:$AL$505,"○")&gt;0,1,0))</f>
        <v>0</v>
      </c>
      <c r="BE189" s="39" t="n">
        <f aca="false">IF(BE$4=0,0,IF(COUNTIFS(実績!$W$6:$W$505,BE$3,実績!$AI$6:$AI$505,"&lt;="&amp;$A189,実績!$AJ$6:$AJ$505,"&gt;"&amp;$A189,実績!$AL$6:$AL$505,"○")&gt;0,1,0))</f>
        <v>0</v>
      </c>
      <c r="BF189" s="39" t="n">
        <f aca="false">IF(BF$4=0,0,IF(COUNTIFS(実績!$W$6:$W$505,BF$3,実績!$AI$6:$AI$505,"&lt;="&amp;$A189,実績!$AJ$6:$AJ$505,"&gt;"&amp;$A189,実績!$AL$6:$AL$505,"○")&gt;0,1,0))</f>
        <v>0</v>
      </c>
      <c r="BG189" s="39" t="n">
        <f aca="false">IF(BG$4=0,0,IF(COUNTIFS(実績!$W$6:$W$505,BG$3,実績!$AI$6:$AI$505,"&lt;="&amp;$A189,実績!$AJ$6:$AJ$505,"&gt;"&amp;$A189,実績!$AL$6:$AL$505,"○")&gt;0,1,0))</f>
        <v>0</v>
      </c>
      <c r="BH189" s="39" t="n">
        <f aca="false">IF(BH$4=0,0,IF(COUNTIFS(実績!$W$6:$W$505,BH$3,実績!$AI$6:$AI$505,"&lt;="&amp;$A189,実績!$AJ$6:$AJ$505,"&gt;"&amp;$A189,実績!$AL$6:$AL$505,"○")&gt;0,1,0))</f>
        <v>0</v>
      </c>
      <c r="BI189" s="39" t="n">
        <f aca="false">IF(BI$4=0,0,IF(COUNTIFS(実績!$W$6:$W$505,BI$3,実績!$AI$6:$AI$505,"&lt;="&amp;$A189,実績!$AJ$6:$AJ$505,"&gt;"&amp;$A189,実績!$AL$6:$AL$505,"○")&gt;0,1,0))</f>
        <v>0</v>
      </c>
      <c r="BJ189" s="39" t="n">
        <f aca="false">IF(BJ$4=0,0,IF(COUNTIFS(実績!$W$6:$W$505,BJ$3,実績!$AI$6:$AI$505,"&lt;="&amp;$A189,実績!$AJ$6:$AJ$505,"&gt;"&amp;$A189,実績!$AL$6:$AL$505,"○")&gt;0,1,0))</f>
        <v>0</v>
      </c>
      <c r="BK189" s="39" t="n">
        <f aca="false">IF(BK$4=0,0,IF(COUNTIFS(実績!$W$6:$W$505,BK$3,実績!$AI$6:$AI$505,"&lt;="&amp;$A189,実績!$AJ$6:$AJ$505,"&gt;"&amp;$A189,実績!$AL$6:$AL$505,"○")&gt;0,1,0))</f>
        <v>0</v>
      </c>
      <c r="BL189" s="39" t="n">
        <f aca="false">IF(BL$4=0,0,IF(COUNTIFS(実績!$W$6:$W$505,BL$3,実績!$AI$6:$AI$505,"&lt;="&amp;$A189,実績!$AJ$6:$AJ$505,"&gt;"&amp;$A189,実績!$AL$6:$AL$505,"○")&gt;0,1,0))</f>
        <v>0</v>
      </c>
      <c r="BM189" s="39" t="n">
        <f aca="false">IF(BM$4=0,0,IF(COUNTIFS(実績!$W$6:$W$505,BM$3,実績!$AI$6:$AI$505,"&lt;="&amp;$A189,実績!$AJ$6:$AJ$505,"&gt;"&amp;$A189,実績!$AL$6:$AL$505,"○")&gt;0,1,0))</f>
        <v>0</v>
      </c>
      <c r="BN189" s="39" t="n">
        <f aca="false">IF(BN$4=0,0,IF(COUNTIFS(実績!$W$6:$W$505,BN$3,実績!$AI$6:$AI$505,"&lt;="&amp;$A189,実績!$AJ$6:$AJ$505,"&gt;"&amp;$A189,実績!$AL$6:$AL$505,"○")&gt;0,1,0))</f>
        <v>0</v>
      </c>
      <c r="BO189" s="39" t="n">
        <f aca="false">IF(BO$4=0,0,IF(COUNTIFS(実績!$W$6:$W$505,BO$3,実績!$AI$6:$AI$505,"&lt;="&amp;$A189,実績!$AJ$6:$AJ$505,"&gt;"&amp;$A189,実績!$AL$6:$AL$505,"○")&gt;0,1,0))</f>
        <v>0</v>
      </c>
      <c r="BP189" s="39" t="n">
        <f aca="false">IF(BP$4=0,0,IF(COUNTIFS(実績!$W$6:$W$505,BP$3,実績!$AI$6:$AI$505,"&lt;="&amp;$A189,実績!$AJ$6:$AJ$505,"&gt;"&amp;$A189,実績!$AL$6:$AL$505,"○")&gt;0,1,0))</f>
        <v>0</v>
      </c>
      <c r="BQ189" s="39" t="n">
        <f aca="false">IF(BQ$4=0,0,IF(COUNTIFS(実績!$W$6:$W$505,BQ$3,実績!$AI$6:$AI$505,"&lt;="&amp;$A189,実績!$AJ$6:$AJ$505,"&gt;"&amp;$A189,実績!$AL$6:$AL$505,"○")&gt;0,1,0))</f>
        <v>0</v>
      </c>
      <c r="BR189" s="39" t="n">
        <f aca="false">IF(BR$4=0,0,IF(COUNTIFS(実績!$W$6:$W$505,BR$3,実績!$AI$6:$AI$505,"&lt;="&amp;$A189,実績!$AJ$6:$AJ$505,"&gt;"&amp;$A189,実績!$AL$6:$AL$505,"○")&gt;0,1,0))</f>
        <v>0</v>
      </c>
      <c r="BS189" s="39" t="n">
        <f aca="false">IF(BS$4=0,0,IF(COUNTIFS(実績!$W$6:$W$505,BS$3,実績!$AI$6:$AI$505,"&lt;="&amp;$A189,実績!$AJ$6:$AJ$505,"&gt;"&amp;$A189,実績!$AL$6:$AL$505,"○")&gt;0,1,0))</f>
        <v>0</v>
      </c>
      <c r="BT189" s="39" t="n">
        <f aca="false">IF(BT$4=0,0,IF(COUNTIFS(実績!$W$6:$W$505,BT$3,実績!$AI$6:$AI$505,"&lt;="&amp;$A189,実績!$AJ$6:$AJ$505,"&gt;"&amp;$A189,実績!$AL$6:$AL$505,"○")&gt;0,1,0))</f>
        <v>0</v>
      </c>
      <c r="BU189" s="39" t="n">
        <f aca="false">IF(BU$4=0,0,IF(COUNTIFS(実績!$W$6:$W$505,BU$3,実績!$AI$6:$AI$505,"&lt;="&amp;$A189,実績!$AJ$6:$AJ$505,"&gt;"&amp;$A189,実績!$AL$6:$AL$505,"○")&gt;0,1,0))</f>
        <v>0</v>
      </c>
      <c r="BV189" s="39" t="n">
        <f aca="false">IF(BV$4=0,0,IF(COUNTIFS(実績!$W$6:$W$505,BV$3,実績!$AI$6:$AI$505,"&lt;="&amp;$A189,実績!$AJ$6:$AJ$505,"&gt;"&amp;$A189,実績!$AL$6:$AL$505,"○")&gt;0,1,0))</f>
        <v>0</v>
      </c>
      <c r="BW189" s="39" t="n">
        <f aca="false">IF(BW$4=0,0,IF(COUNTIFS(実績!$W$6:$W$505,BW$3,実績!$AI$6:$AI$505,"&lt;="&amp;$A189,実績!$AJ$6:$AJ$505,"&gt;"&amp;$A189,実績!$AL$6:$AL$505,"○")&gt;0,1,0))</f>
        <v>0</v>
      </c>
      <c r="BX189" s="39" t="n">
        <f aca="false">IF(BX$4=0,0,IF(COUNTIFS(実績!$W$6:$W$505,BX$3,実績!$AI$6:$AI$505,"&lt;="&amp;$A189,実績!$AJ$6:$AJ$505,"&gt;"&amp;$A189,実績!$AL$6:$AL$505,"○")&gt;0,1,0))</f>
        <v>0</v>
      </c>
      <c r="BY189" s="39" t="n">
        <f aca="false">IF(BY$4=0,0,IF(COUNTIFS(実績!$W$6:$W$505,BY$3,実績!$AI$6:$AI$505,"&lt;="&amp;$A189,実績!$AJ$6:$AJ$505,"&gt;"&amp;$A189,実績!$AL$6:$AL$505,"○")&gt;0,1,0))</f>
        <v>0</v>
      </c>
      <c r="BZ189" s="39" t="n">
        <f aca="false">IF(BZ$4=0,0,IF(COUNTIFS(実績!$W$6:$W$505,BZ$3,実績!$AI$6:$AI$505,"&lt;="&amp;$A189,実績!$AJ$6:$AJ$505,"&gt;"&amp;$A189,実績!$AL$6:$AL$505,"○")&gt;0,1,0))</f>
        <v>0</v>
      </c>
      <c r="CA189" s="39" t="n">
        <f aca="false">IF(CA$4=0,0,IF(COUNTIFS(実績!$W$6:$W$505,CA$3,実績!$AI$6:$AI$505,"&lt;="&amp;$A189,実績!$AJ$6:$AJ$505,"&gt;"&amp;$A189,実績!$AL$6:$AL$505,"○")&gt;0,1,0))</f>
        <v>0</v>
      </c>
      <c r="CB189" s="39" t="n">
        <f aca="false">IF(CB$4=0,0,IF(COUNTIFS(実績!$W$6:$W$505,CB$3,実績!$AI$6:$AI$505,"&lt;="&amp;$A189,実績!$AJ$6:$AJ$505,"&gt;"&amp;$A189,実績!$AL$6:$AL$505,"○")&gt;0,1,0))</f>
        <v>0</v>
      </c>
      <c r="CC189" s="39" t="n">
        <f aca="false">IF(CC$4=0,0,IF(COUNTIFS(実績!$W$6:$W$505,CC$3,実績!$AI$6:$AI$505,"&lt;="&amp;$A189,実績!$AJ$6:$AJ$505,"&gt;"&amp;$A189,実績!$AL$6:$AL$505,"○")&gt;0,1,0))</f>
        <v>0</v>
      </c>
      <c r="CD189" s="39" t="n">
        <f aca="false">IF(CD$4=0,0,IF(COUNTIFS(実績!$W$6:$W$505,CD$3,実績!$AI$6:$AI$505,"&lt;="&amp;$A189,実績!$AJ$6:$AJ$505,"&gt;"&amp;$A189,実績!$AL$6:$AL$505,"○")&gt;0,1,0))</f>
        <v>0</v>
      </c>
      <c r="CE189" s="39" t="n">
        <f aca="false">IF(CE$4=0,0,IF(COUNTIFS(実績!$W$6:$W$505,CE$3,実績!$AI$6:$AI$505,"&lt;="&amp;$A189,実績!$AJ$6:$AJ$505,"&gt;"&amp;$A189,実績!$AL$6:$AL$505,"○")&gt;0,1,0))</f>
        <v>0</v>
      </c>
      <c r="CF189" s="39" t="n">
        <f aca="false">IF(CF$4=0,0,IF(COUNTIFS(実績!$W$6:$W$505,CF$3,実績!$AI$6:$AI$505,"&lt;="&amp;$A189,実績!$AJ$6:$AJ$505,"&gt;"&amp;$A189,実績!$AL$6:$AL$505,"○")&gt;0,1,0))</f>
        <v>0</v>
      </c>
      <c r="CG189" s="39" t="n">
        <f aca="false">IF(CG$4=0,0,IF(COUNTIFS(実績!$W$6:$W$505,CG$3,実績!$AI$6:$AI$505,"&lt;="&amp;$A189,実績!$AJ$6:$AJ$505,"&gt;"&amp;$A189,実績!$AL$6:$AL$505,"○")&gt;0,1,0))</f>
        <v>0</v>
      </c>
      <c r="CH189" s="39" t="n">
        <f aca="false">IF(CH$4=0,0,IF(COUNTIFS(実績!$W$6:$W$505,CH$3,実績!$AI$6:$AI$505,"&lt;="&amp;$A189,実績!$AJ$6:$AJ$505,"&gt;"&amp;$A189,実績!$AL$6:$AL$505,"○")&gt;0,1,0))</f>
        <v>0</v>
      </c>
      <c r="CI189" s="39" t="n">
        <f aca="false">IF(CI$4=0,0,IF(COUNTIFS(実績!$W$6:$W$505,CI$3,実績!$AI$6:$AI$505,"&lt;="&amp;$A189,実績!$AJ$6:$AJ$505,"&gt;"&amp;$A189,実績!$AL$6:$AL$505,"○")&gt;0,1,0))</f>
        <v>0</v>
      </c>
      <c r="CJ189" s="39" t="n">
        <f aca="false">IF(CJ$4=0,0,IF(COUNTIFS(実績!$W$6:$W$505,CJ$3,実績!$AI$6:$AI$505,"&lt;="&amp;$A189,実績!$AJ$6:$AJ$505,"&gt;"&amp;$A189,実績!$AL$6:$AL$505,"○")&gt;0,1,0))</f>
        <v>0</v>
      </c>
      <c r="CK189" s="39" t="n">
        <f aca="false">IF(CK$4=0,0,IF(COUNTIFS(実績!$W$6:$W$505,CK$3,実績!$AI$6:$AI$505,"&lt;="&amp;$A189,実績!$AJ$6:$AJ$505,"&gt;"&amp;$A189,実績!$AL$6:$AL$505,"○")&gt;0,1,0))</f>
        <v>0</v>
      </c>
      <c r="CL189" s="39" t="n">
        <f aca="false">IF(CL$4=0,0,IF(COUNTIFS(実績!$W$6:$W$505,CL$3,実績!$AI$6:$AI$505,"&lt;="&amp;$A189,実績!$AJ$6:$AJ$505,"&gt;"&amp;$A189,実績!$AL$6:$AL$505,"○")&gt;0,1,0))</f>
        <v>0</v>
      </c>
      <c r="CM189" s="39" t="n">
        <f aca="false">IF(CM$4=0,0,IF(COUNTIFS(実績!$W$6:$W$505,CM$3,実績!$AI$6:$AI$505,"&lt;="&amp;$A189,実績!$AJ$6:$AJ$505,"&gt;"&amp;$A189,実績!$AL$6:$AL$505,"○")&gt;0,1,0))</f>
        <v>0</v>
      </c>
      <c r="CN189" s="39" t="n">
        <f aca="false">IF(CN$4=0,0,IF(COUNTIFS(実績!$W$6:$W$505,CN$3,実績!$AI$6:$AI$505,"&lt;="&amp;$A189,実績!$AJ$6:$AJ$505,"&gt;"&amp;$A189,実績!$AL$6:$AL$505,"○")&gt;0,1,0))</f>
        <v>0</v>
      </c>
      <c r="CO189" s="39" t="n">
        <f aca="false">IF(CO$4=0,0,IF(COUNTIFS(実績!$W$6:$W$505,CO$3,実績!$AI$6:$AI$505,"&lt;="&amp;$A189,実績!$AJ$6:$AJ$505,"&gt;"&amp;$A189,実績!$AL$6:$AL$505,"○")&gt;0,1,0))</f>
        <v>0</v>
      </c>
      <c r="CP189" s="39" t="n">
        <f aca="false">IF(CP$4=0,0,IF(COUNTIFS(実績!$W$6:$W$505,CP$3,実績!$AI$6:$AI$505,"&lt;="&amp;$A189,実績!$AJ$6:$AJ$505,"&gt;"&amp;$A189,実績!$AL$6:$AL$505,"○")&gt;0,1,0))</f>
        <v>0</v>
      </c>
      <c r="CQ189" s="39" t="n">
        <f aca="false">IF(CQ$4=0,0,IF(COUNTIFS(実績!$W$6:$W$505,CQ$3,実績!$AI$6:$AI$505,"&lt;="&amp;$A189,実績!$AJ$6:$AJ$505,"&gt;"&amp;$A189,実績!$AL$6:$AL$505,"○")&gt;0,1,0))</f>
        <v>0</v>
      </c>
      <c r="CR189" s="39" t="n">
        <f aca="false">IF(CR$4=0,0,IF(COUNTIFS(実績!$W$6:$W$505,CR$3,実績!$AI$6:$AI$505,"&lt;="&amp;$A189,実績!$AJ$6:$AJ$505,"&gt;"&amp;$A189,実績!$AL$6:$AL$505,"○")&gt;0,1,0))</f>
        <v>0</v>
      </c>
      <c r="CS189" s="39" t="n">
        <f aca="false">IF(CS$4=0,0,IF(COUNTIFS(実績!$W$6:$W$505,CS$3,実績!$AI$6:$AI$505,"&lt;="&amp;$A189,実績!$AJ$6:$AJ$505,"&gt;"&amp;$A189,実績!$AL$6:$AL$505,"○")&gt;0,1,0))</f>
        <v>0</v>
      </c>
      <c r="CT189" s="39" t="n">
        <f aca="false">IF(CT$4=0,0,IF(COUNTIFS(実績!$W$6:$W$505,CT$3,実績!$AI$6:$AI$505,"&lt;="&amp;$A189,実績!$AJ$6:$AJ$505,"&gt;"&amp;$A189,実績!$AL$6:$AL$505,"○")&gt;0,1,0))</f>
        <v>0</v>
      </c>
      <c r="CU189" s="39" t="n">
        <f aca="false">IF(CU$4=0,0,IF(COUNTIFS(実績!$W$6:$W$505,CU$3,実績!$AI$6:$AI$505,"&lt;="&amp;$A189,実績!$AJ$6:$AJ$505,"&gt;"&amp;$A189,実績!$AL$6:$AL$505,"○")&gt;0,1,0))</f>
        <v>0</v>
      </c>
      <c r="CV189" s="39" t="n">
        <f aca="false">IF(CV$4=0,0,IF(COUNTIFS(実績!$W$6:$W$505,CV$3,実績!$AI$6:$AI$505,"&lt;="&amp;$A189,実績!$AJ$6:$AJ$505,"&gt;"&amp;$A189,実績!$AL$6:$AL$505,"○")&gt;0,1,0))</f>
        <v>0</v>
      </c>
      <c r="CW189" s="39" t="n">
        <f aca="false">IF(CW$4=0,0,IF(COUNTIFS(実績!$W$6:$W$505,CW$3,実績!$AI$6:$AI$505,"&lt;="&amp;$A189,実績!$AJ$6:$AJ$505,"&gt;"&amp;$A189,実績!$AL$6:$AL$505,"○")&gt;0,1,0))</f>
        <v>0</v>
      </c>
      <c r="CX189" s="39" t="n">
        <f aca="false">IF(CX$4=0,0,IF(COUNTIFS(実績!$W$6:$W$505,CX$3,実績!$AI$6:$AI$505,"&lt;="&amp;$A189,実績!$AJ$6:$AJ$505,"&gt;"&amp;$A189,実績!$AL$6:$AL$505,"○")&gt;0,1,0))</f>
        <v>0</v>
      </c>
      <c r="CY189" s="39" t="n">
        <f aca="false">IF(CY$4=0,0,IF(COUNTIFS(実績!$W$6:$W$505,CY$3,実績!$AI$6:$AI$505,"&lt;="&amp;$A189,実績!$AJ$6:$AJ$505,"&gt;"&amp;$A189,実績!$AL$6:$AL$505,"○")&gt;0,1,0))</f>
        <v>0</v>
      </c>
      <c r="CZ189" s="39" t="n">
        <f aca="false">IF(CZ$4=0,0,IF(COUNTIFS(実績!$W$6:$W$505,CZ$3,実績!$AI$6:$AI$505,"&lt;="&amp;$A189,実績!$AJ$6:$AJ$505,"&gt;"&amp;$A189,実績!$AL$6:$AL$505,"○")&gt;0,1,0))</f>
        <v>0</v>
      </c>
      <c r="DA189" s="39" t="n">
        <f aca="false">IF(DA$4=0,0,IF(COUNTIFS(実績!$W$6:$W$505,DA$3,実績!$AI$6:$AI$505,"&lt;="&amp;$A189,実績!$AJ$6:$AJ$505,"&gt;"&amp;$A189,実績!$AL$6:$AL$505,"○")&gt;0,1,0))</f>
        <v>0</v>
      </c>
      <c r="DB189" s="39" t="n">
        <f aca="false">IF(DB$4=0,0,IF(COUNTIFS(実績!$W$6:$W$505,DB$3,実績!$AI$6:$AI$505,"&lt;="&amp;$A189,実績!$AJ$6:$AJ$505,"&gt;"&amp;$A189,実績!$AL$6:$AL$505,"○")&gt;0,1,0))</f>
        <v>0</v>
      </c>
      <c r="DC189" s="39" t="n">
        <f aca="false">IF(DC$4=0,0,IF(COUNTIFS(実績!$W$6:$W$505,DC$3,実績!$AI$6:$AI$505,"&lt;="&amp;$A189,実績!$AJ$6:$AJ$505,"&gt;"&amp;$A189,実績!$AL$6:$AL$505,"○")&gt;0,1,0))</f>
        <v>0</v>
      </c>
      <c r="DD189" s="39" t="n">
        <f aca="false">IF(DD$4=0,0,IF(COUNTIFS(実績!$W$6:$W$505,DD$3,実績!$AI$6:$AI$505,"&lt;="&amp;$A189,実績!$AJ$6:$AJ$505,"&gt;"&amp;$A189,実績!$AL$6:$AL$505,"○")&gt;0,1,0))</f>
        <v>0</v>
      </c>
      <c r="DE189" s="39" t="n">
        <f aca="false">IF(DE$4=0,0,IF(COUNTIFS(実績!$W$6:$W$505,DE$3,実績!$AI$6:$AI$505,"&lt;="&amp;$A189,実績!$AJ$6:$AJ$505,"&gt;"&amp;$A189,実績!$AL$6:$AL$505,"○")&gt;0,1,0))</f>
        <v>0</v>
      </c>
      <c r="DF189" s="39" t="n">
        <f aca="false">IF(DF$4=0,0,IF(COUNTIFS(実績!$W$6:$W$505,DF$3,実績!$AI$6:$AI$505,"&lt;="&amp;$A189,実績!$AJ$6:$AJ$505,"&gt;"&amp;$A189,実績!$AL$6:$AL$505,"○")&gt;0,1,0))</f>
        <v>0</v>
      </c>
      <c r="DG189" s="39" t="n">
        <f aca="false">IF(DG$4=0,0,IF(COUNTIFS(実績!$W$6:$W$505,DG$3,実績!$AI$6:$AI$505,"&lt;="&amp;$A189,実績!$AJ$6:$AJ$505,"&gt;"&amp;$A189,実績!$AL$6:$AL$505,"○")&gt;0,1,0))</f>
        <v>0</v>
      </c>
      <c r="DH189" s="39" t="n">
        <f aca="false">IF(DH$4=0,0,IF(COUNTIFS(実績!$W$6:$W$505,DH$3,実績!$AI$6:$AI$505,"&lt;="&amp;$A189,実績!$AJ$6:$AJ$505,"&gt;"&amp;$A189,実績!$AL$6:$AL$505,"○")&gt;0,1,0))</f>
        <v>0</v>
      </c>
      <c r="DI189" s="39" t="n">
        <f aca="false">IF(DI$4=0,0,IF(COUNTIFS(実績!$W$6:$W$505,DI$3,実績!$AI$6:$AI$505,"&lt;="&amp;$A189,実績!$AJ$6:$AJ$505,"&gt;"&amp;$A189,実績!$AL$6:$AL$505,"○")&gt;0,1,0))</f>
        <v>0</v>
      </c>
      <c r="DJ189" s="39" t="n">
        <f aca="false">IF(DJ$4=0,0,IF(COUNTIFS(実績!$W$6:$W$505,DJ$3,実績!$AI$6:$AI$505,"&lt;="&amp;$A189,実績!$AJ$6:$AJ$505,"&gt;"&amp;$A189,実績!$AL$6:$AL$505,"○")&gt;0,1,0))</f>
        <v>0</v>
      </c>
      <c r="DK189" s="39" t="n">
        <f aca="false">IF(DK$4=0,0,IF(COUNTIFS(実績!$W$6:$W$505,DK$3,実績!$AI$6:$AI$505,"&lt;="&amp;$A189,実績!$AJ$6:$AJ$505,"&gt;"&amp;$A189,実績!$AL$6:$AL$505,"○")&gt;0,1,0))</f>
        <v>0</v>
      </c>
      <c r="DL189" s="39" t="n">
        <f aca="false">IF(DL$4=0,0,IF(COUNTIFS(実績!$W$6:$W$505,DL$3,実績!$AI$6:$AI$505,"&lt;="&amp;$A189,実績!$AJ$6:$AJ$505,"&gt;"&amp;$A189,実績!$AL$6:$AL$505,"○")&gt;0,1,0))</f>
        <v>0</v>
      </c>
      <c r="DM189" s="39" t="n">
        <f aca="false">IF(DM$4=0,0,IF(COUNTIFS(実績!$W$6:$W$505,DM$3,実績!$AI$6:$AI$505,"&lt;="&amp;$A189,実績!$AJ$6:$AJ$505,"&gt;"&amp;$A189,実績!$AL$6:$AL$505,"○")&gt;0,1,0))</f>
        <v>0</v>
      </c>
      <c r="DN189" s="39" t="n">
        <f aca="false">IF(DN$4=0,0,IF(COUNTIFS(実績!$W$6:$W$505,DN$3,実績!$AI$6:$AI$505,"&lt;="&amp;$A189,実績!$AJ$6:$AJ$505,"&gt;"&amp;$A189,実績!$AL$6:$AL$505,"○")&gt;0,1,0))</f>
        <v>0</v>
      </c>
      <c r="DO189" s="39" t="n">
        <f aca="false">IF(DO$4=0,0,IF(COUNTIFS(実績!$W$6:$W$505,DO$3,実績!$AI$6:$AI$505,"&lt;="&amp;$A189,実績!$AJ$6:$AJ$505,"&gt;"&amp;$A189,実績!$AL$6:$AL$505,"○")&gt;0,1,0))</f>
        <v>0</v>
      </c>
      <c r="DP189" s="39" t="n">
        <f aca="false">IF(DP$4=0,0,IF(COUNTIFS(実績!$W$6:$W$505,DP$3,実績!$AI$6:$AI$505,"&lt;="&amp;$A189,実績!$AJ$6:$AJ$505,"&gt;"&amp;$A189,実績!$AL$6:$AL$505,"○")&gt;0,1,0))</f>
        <v>0</v>
      </c>
      <c r="DQ189" s="39" t="n">
        <f aca="false">IF(DQ$4=0,0,IF(COUNTIFS(実績!$W$6:$W$505,DQ$3,実績!$AI$6:$AI$505,"&lt;="&amp;$A189,実績!$AJ$6:$AJ$505,"&gt;"&amp;$A189,実績!$AL$6:$AL$505,"○")&gt;0,1,0))</f>
        <v>0</v>
      </c>
      <c r="DR189" s="39" t="n">
        <f aca="false">IF(DR$4=0,0,IF(COUNTIFS(実績!$W$6:$W$505,DR$3,実績!$AI$6:$AI$505,"&lt;="&amp;$A189,実績!$AJ$6:$AJ$505,"&gt;"&amp;$A189,実績!$AL$6:$AL$505,"○")&gt;0,1,0))</f>
        <v>0</v>
      </c>
      <c r="DS189" s="39" t="n">
        <f aca="false">SUM(C189:DR189)</f>
        <v>0</v>
      </c>
    </row>
    <row r="190" customFormat="false" ht="15" hidden="false" customHeight="false" outlineLevel="0" collapsed="false">
      <c r="A190" s="0" t="n">
        <v>920</v>
      </c>
      <c r="B190" s="38" t="n">
        <f aca="false">A190/1440</f>
        <v>0.638888888888889</v>
      </c>
      <c r="C190" s="39" t="n">
        <f aca="false">IF(C$4=0,0,IF(COUNTIFS(実績!$W$6:$W$505,C$3,実績!$AI$6:$AI$505,"&lt;="&amp;$A190,実績!$AJ$6:$AJ$505,"&gt;"&amp;$A190,実績!$AL$6:$AL$505,"○")&gt;0,1,0))</f>
        <v>0</v>
      </c>
      <c r="D190" s="39" t="n">
        <f aca="false">IF(D$4=0,0,IF(COUNTIFS(実績!$W$6:$W$505,D$3,実績!$AI$6:$AI$505,"&lt;="&amp;$A190,実績!$AJ$6:$AJ$505,"&gt;"&amp;$A190,実績!$AL$6:$AL$505,"○")&gt;0,1,0))</f>
        <v>0</v>
      </c>
      <c r="E190" s="39" t="n">
        <f aca="false">IF(E$4=0,0,IF(COUNTIFS(実績!$W$6:$W$505,E$3,実績!$AI$6:$AI$505,"&lt;="&amp;$A190,実績!$AJ$6:$AJ$505,"&gt;"&amp;$A190,実績!$AL$6:$AL$505,"○")&gt;0,1,0))</f>
        <v>0</v>
      </c>
      <c r="F190" s="39" t="n">
        <f aca="false">IF(F$4=0,0,IF(COUNTIFS(実績!$W$6:$W$505,F$3,実績!$AI$6:$AI$505,"&lt;="&amp;$A190,実績!$AJ$6:$AJ$505,"&gt;"&amp;$A190,実績!$AL$6:$AL$505,"○")&gt;0,1,0))</f>
        <v>0</v>
      </c>
      <c r="G190" s="39" t="n">
        <f aca="false">IF(G$4=0,0,IF(COUNTIFS(実績!$W$6:$W$505,G$3,実績!$AI$6:$AI$505,"&lt;="&amp;$A190,実績!$AJ$6:$AJ$505,"&gt;"&amp;$A190,実績!$AL$6:$AL$505,"○")&gt;0,1,0))</f>
        <v>0</v>
      </c>
      <c r="H190" s="39" t="n">
        <f aca="false">IF(H$4=0,0,IF(COUNTIFS(実績!$W$6:$W$505,H$3,実績!$AI$6:$AI$505,"&lt;="&amp;$A190,実績!$AJ$6:$AJ$505,"&gt;"&amp;$A190,実績!$AL$6:$AL$505,"○")&gt;0,1,0))</f>
        <v>0</v>
      </c>
      <c r="I190" s="39" t="n">
        <f aca="false">IF(I$4=0,0,IF(COUNTIFS(実績!$W$6:$W$505,I$3,実績!$AI$6:$AI$505,"&lt;="&amp;$A190,実績!$AJ$6:$AJ$505,"&gt;"&amp;$A190,実績!$AL$6:$AL$505,"○")&gt;0,1,0))</f>
        <v>0</v>
      </c>
      <c r="J190" s="39" t="n">
        <f aca="false">IF(J$4=0,0,IF(COUNTIFS(実績!$W$6:$W$505,J$3,実績!$AI$6:$AI$505,"&lt;="&amp;$A190,実績!$AJ$6:$AJ$505,"&gt;"&amp;$A190,実績!$AL$6:$AL$505,"○")&gt;0,1,0))</f>
        <v>0</v>
      </c>
      <c r="K190" s="39" t="n">
        <f aca="false">IF(K$4=0,0,IF(COUNTIFS(実績!$W$6:$W$505,K$3,実績!$AI$6:$AI$505,"&lt;="&amp;$A190,実績!$AJ$6:$AJ$505,"&gt;"&amp;$A190,実績!$AL$6:$AL$505,"○")&gt;0,1,0))</f>
        <v>0</v>
      </c>
      <c r="L190" s="39" t="n">
        <f aca="false">IF(L$4=0,0,IF(COUNTIFS(実績!$W$6:$W$505,L$3,実績!$AI$6:$AI$505,"&lt;="&amp;$A190,実績!$AJ$6:$AJ$505,"&gt;"&amp;$A190,実績!$AL$6:$AL$505,"○")&gt;0,1,0))</f>
        <v>0</v>
      </c>
      <c r="M190" s="39" t="n">
        <f aca="false">IF(M$4=0,0,IF(COUNTIFS(実績!$W$6:$W$505,M$3,実績!$AI$6:$AI$505,"&lt;="&amp;$A190,実績!$AJ$6:$AJ$505,"&gt;"&amp;$A190,実績!$AL$6:$AL$505,"○")&gt;0,1,0))</f>
        <v>0</v>
      </c>
      <c r="N190" s="39" t="n">
        <f aca="false">IF(N$4=0,0,IF(COUNTIFS(実績!$W$6:$W$505,N$3,実績!$AI$6:$AI$505,"&lt;="&amp;$A190,実績!$AJ$6:$AJ$505,"&gt;"&amp;$A190,実績!$AL$6:$AL$505,"○")&gt;0,1,0))</f>
        <v>0</v>
      </c>
      <c r="O190" s="39" t="n">
        <f aca="false">IF(O$4=0,0,IF(COUNTIFS(実績!$W$6:$W$505,O$3,実績!$AI$6:$AI$505,"&lt;="&amp;$A190,実績!$AJ$6:$AJ$505,"&gt;"&amp;$A190,実績!$AL$6:$AL$505,"○")&gt;0,1,0))</f>
        <v>0</v>
      </c>
      <c r="P190" s="39" t="n">
        <f aca="false">IF(P$4=0,0,IF(COUNTIFS(実績!$W$6:$W$505,P$3,実績!$AI$6:$AI$505,"&lt;="&amp;$A190,実績!$AJ$6:$AJ$505,"&gt;"&amp;$A190,実績!$AL$6:$AL$505,"○")&gt;0,1,0))</f>
        <v>0</v>
      </c>
      <c r="Q190" s="39" t="n">
        <f aca="false">IF(Q$4=0,0,IF(COUNTIFS(実績!$W$6:$W$505,Q$3,実績!$AI$6:$AI$505,"&lt;="&amp;$A190,実績!$AJ$6:$AJ$505,"&gt;"&amp;$A190,実績!$AL$6:$AL$505,"○")&gt;0,1,0))</f>
        <v>0</v>
      </c>
      <c r="R190" s="39" t="n">
        <f aca="false">IF(R$4=0,0,IF(COUNTIFS(実績!$W$6:$W$505,R$3,実績!$AI$6:$AI$505,"&lt;="&amp;$A190,実績!$AJ$6:$AJ$505,"&gt;"&amp;$A190,実績!$AL$6:$AL$505,"○")&gt;0,1,0))</f>
        <v>0</v>
      </c>
      <c r="S190" s="39" t="n">
        <f aca="false">IF(S$4=0,0,IF(COUNTIFS(実績!$W$6:$W$505,S$3,実績!$AI$6:$AI$505,"&lt;="&amp;$A190,実績!$AJ$6:$AJ$505,"&gt;"&amp;$A190,実績!$AL$6:$AL$505,"○")&gt;0,1,0))</f>
        <v>0</v>
      </c>
      <c r="T190" s="39" t="n">
        <f aca="false">IF(T$4=0,0,IF(COUNTIFS(実績!$W$6:$W$505,T$3,実績!$AI$6:$AI$505,"&lt;="&amp;$A190,実績!$AJ$6:$AJ$505,"&gt;"&amp;$A190,実績!$AL$6:$AL$505,"○")&gt;0,1,0))</f>
        <v>0</v>
      </c>
      <c r="U190" s="39" t="n">
        <f aca="false">IF(U$4=0,0,IF(COUNTIFS(実績!$W$6:$W$505,U$3,実績!$AI$6:$AI$505,"&lt;="&amp;$A190,実績!$AJ$6:$AJ$505,"&gt;"&amp;$A190,実績!$AL$6:$AL$505,"○")&gt;0,1,0))</f>
        <v>0</v>
      </c>
      <c r="V190" s="39" t="n">
        <f aca="false">IF(V$4=0,0,IF(COUNTIFS(実績!$W$6:$W$505,V$3,実績!$AI$6:$AI$505,"&lt;="&amp;$A190,実績!$AJ$6:$AJ$505,"&gt;"&amp;$A190,実績!$AL$6:$AL$505,"○")&gt;0,1,0))</f>
        <v>0</v>
      </c>
      <c r="W190" s="39" t="n">
        <f aca="false">IF(W$4=0,0,IF(COUNTIFS(実績!$W$6:$W$505,W$3,実績!$AI$6:$AI$505,"&lt;="&amp;$A190,実績!$AJ$6:$AJ$505,"&gt;"&amp;$A190,実績!$AL$6:$AL$505,"○")&gt;0,1,0))</f>
        <v>0</v>
      </c>
      <c r="X190" s="39" t="n">
        <f aca="false">IF(X$4=0,0,IF(COUNTIFS(実績!$W$6:$W$505,X$3,実績!$AI$6:$AI$505,"&lt;="&amp;$A190,実績!$AJ$6:$AJ$505,"&gt;"&amp;$A190,実績!$AL$6:$AL$505,"○")&gt;0,1,0))</f>
        <v>0</v>
      </c>
      <c r="Y190" s="39" t="n">
        <f aca="false">IF(Y$4=0,0,IF(COUNTIFS(実績!$W$6:$W$505,Y$3,実績!$AI$6:$AI$505,"&lt;="&amp;$A190,実績!$AJ$6:$AJ$505,"&gt;"&amp;$A190,実績!$AL$6:$AL$505,"○")&gt;0,1,0))</f>
        <v>0</v>
      </c>
      <c r="Z190" s="39" t="n">
        <f aca="false">IF(Z$4=0,0,IF(COUNTIFS(実績!$W$6:$W$505,Z$3,実績!$AI$6:$AI$505,"&lt;="&amp;$A190,実績!$AJ$6:$AJ$505,"&gt;"&amp;$A190,実績!$AL$6:$AL$505,"○")&gt;0,1,0))</f>
        <v>0</v>
      </c>
      <c r="AA190" s="39" t="n">
        <f aca="false">IF(AA$4=0,0,IF(COUNTIFS(実績!$W$6:$W$505,AA$3,実績!$AI$6:$AI$505,"&lt;="&amp;$A190,実績!$AJ$6:$AJ$505,"&gt;"&amp;$A190,実績!$AL$6:$AL$505,"○")&gt;0,1,0))</f>
        <v>0</v>
      </c>
      <c r="AB190" s="39" t="n">
        <f aca="false">IF(AB$4=0,0,IF(COUNTIFS(実績!$W$6:$W$505,AB$3,実績!$AI$6:$AI$505,"&lt;="&amp;$A190,実績!$AJ$6:$AJ$505,"&gt;"&amp;$A190,実績!$AL$6:$AL$505,"○")&gt;0,1,0))</f>
        <v>0</v>
      </c>
      <c r="AC190" s="39" t="n">
        <f aca="false">IF(AC$4=0,0,IF(COUNTIFS(実績!$W$6:$W$505,AC$3,実績!$AI$6:$AI$505,"&lt;="&amp;$A190,実績!$AJ$6:$AJ$505,"&gt;"&amp;$A190,実績!$AL$6:$AL$505,"○")&gt;0,1,0))</f>
        <v>0</v>
      </c>
      <c r="AD190" s="39" t="n">
        <f aca="false">IF(AD$4=0,0,IF(COUNTIFS(実績!$W$6:$W$505,AD$3,実績!$AI$6:$AI$505,"&lt;="&amp;$A190,実績!$AJ$6:$AJ$505,"&gt;"&amp;$A190,実績!$AL$6:$AL$505,"○")&gt;0,1,0))</f>
        <v>0</v>
      </c>
      <c r="AE190" s="39" t="n">
        <f aca="false">IF(AE$4=0,0,IF(COUNTIFS(実績!$W$6:$W$505,AE$3,実績!$AI$6:$AI$505,"&lt;="&amp;$A190,実績!$AJ$6:$AJ$505,"&gt;"&amp;$A190,実績!$AL$6:$AL$505,"○")&gt;0,1,0))</f>
        <v>0</v>
      </c>
      <c r="AF190" s="39" t="n">
        <f aca="false">IF(AF$4=0,0,IF(COUNTIFS(実績!$W$6:$W$505,AF$3,実績!$AI$6:$AI$505,"&lt;="&amp;$A190,実績!$AJ$6:$AJ$505,"&gt;"&amp;$A190,実績!$AL$6:$AL$505,"○")&gt;0,1,0))</f>
        <v>0</v>
      </c>
      <c r="AG190" s="39" t="n">
        <f aca="false">IF(AG$4=0,0,IF(COUNTIFS(実績!$W$6:$W$505,AG$3,実績!$AI$6:$AI$505,"&lt;="&amp;$A190,実績!$AJ$6:$AJ$505,"&gt;"&amp;$A190,実績!$AL$6:$AL$505,"○")&gt;0,1,0))</f>
        <v>0</v>
      </c>
      <c r="AH190" s="39" t="n">
        <f aca="false">IF(AH$4=0,0,IF(COUNTIFS(実績!$W$6:$W$505,AH$3,実績!$AI$6:$AI$505,"&lt;="&amp;$A190,実績!$AJ$6:$AJ$505,"&gt;"&amp;$A190,実績!$AL$6:$AL$505,"○")&gt;0,1,0))</f>
        <v>0</v>
      </c>
      <c r="AI190" s="39" t="n">
        <f aca="false">IF(AI$4=0,0,IF(COUNTIFS(実績!$W$6:$W$505,AI$3,実績!$AI$6:$AI$505,"&lt;="&amp;$A190,実績!$AJ$6:$AJ$505,"&gt;"&amp;$A190,実績!$AL$6:$AL$505,"○")&gt;0,1,0))</f>
        <v>0</v>
      </c>
      <c r="AJ190" s="39" t="n">
        <f aca="false">IF(AJ$4=0,0,IF(COUNTIFS(実績!$W$6:$W$505,AJ$3,実績!$AI$6:$AI$505,"&lt;="&amp;$A190,実績!$AJ$6:$AJ$505,"&gt;"&amp;$A190,実績!$AL$6:$AL$505,"○")&gt;0,1,0))</f>
        <v>0</v>
      </c>
      <c r="AK190" s="39" t="n">
        <f aca="false">IF(AK$4=0,0,IF(COUNTIFS(実績!$W$6:$W$505,AK$3,実績!$AI$6:$AI$505,"&lt;="&amp;$A190,実績!$AJ$6:$AJ$505,"&gt;"&amp;$A190,実績!$AL$6:$AL$505,"○")&gt;0,1,0))</f>
        <v>0</v>
      </c>
      <c r="AL190" s="39" t="n">
        <f aca="false">IF(AL$4=0,0,IF(COUNTIFS(実績!$W$6:$W$505,AL$3,実績!$AI$6:$AI$505,"&lt;="&amp;$A190,実績!$AJ$6:$AJ$505,"&gt;"&amp;$A190,実績!$AL$6:$AL$505,"○")&gt;0,1,0))</f>
        <v>0</v>
      </c>
      <c r="AM190" s="39" t="n">
        <f aca="false">IF(AM$4=0,0,IF(COUNTIFS(実績!$W$6:$W$505,AM$3,実績!$AI$6:$AI$505,"&lt;="&amp;$A190,実績!$AJ$6:$AJ$505,"&gt;"&amp;$A190,実績!$AL$6:$AL$505,"○")&gt;0,1,0))</f>
        <v>0</v>
      </c>
      <c r="AN190" s="39" t="n">
        <f aca="false">IF(AN$4=0,0,IF(COUNTIFS(実績!$W$6:$W$505,AN$3,実績!$AI$6:$AI$505,"&lt;="&amp;$A190,実績!$AJ$6:$AJ$505,"&gt;"&amp;$A190,実績!$AL$6:$AL$505,"○")&gt;0,1,0))</f>
        <v>0</v>
      </c>
      <c r="AO190" s="39" t="n">
        <f aca="false">IF(AO$4=0,0,IF(COUNTIFS(実績!$W$6:$W$505,AO$3,実績!$AI$6:$AI$505,"&lt;="&amp;$A190,実績!$AJ$6:$AJ$505,"&gt;"&amp;$A190,実績!$AL$6:$AL$505,"○")&gt;0,1,0))</f>
        <v>0</v>
      </c>
      <c r="AP190" s="39" t="n">
        <f aca="false">IF(AP$4=0,0,IF(COUNTIFS(実績!$W$6:$W$505,AP$3,実績!$AI$6:$AI$505,"&lt;="&amp;$A190,実績!$AJ$6:$AJ$505,"&gt;"&amp;$A190,実績!$AL$6:$AL$505,"○")&gt;0,1,0))</f>
        <v>0</v>
      </c>
      <c r="AQ190" s="39" t="n">
        <f aca="false">IF(AQ$4=0,0,IF(COUNTIFS(実績!$W$6:$W$505,AQ$3,実績!$AI$6:$AI$505,"&lt;="&amp;$A190,実績!$AJ$6:$AJ$505,"&gt;"&amp;$A190,実績!$AL$6:$AL$505,"○")&gt;0,1,0))</f>
        <v>0</v>
      </c>
      <c r="AR190" s="39" t="n">
        <f aca="false">IF(AR$4=0,0,IF(COUNTIFS(実績!$W$6:$W$505,AR$3,実績!$AI$6:$AI$505,"&lt;="&amp;$A190,実績!$AJ$6:$AJ$505,"&gt;"&amp;$A190,実績!$AL$6:$AL$505,"○")&gt;0,1,0))</f>
        <v>0</v>
      </c>
      <c r="AS190" s="39" t="n">
        <f aca="false">IF(AS$4=0,0,IF(COUNTIFS(実績!$W$6:$W$505,AS$3,実績!$AI$6:$AI$505,"&lt;="&amp;$A190,実績!$AJ$6:$AJ$505,"&gt;"&amp;$A190,実績!$AL$6:$AL$505,"○")&gt;0,1,0))</f>
        <v>0</v>
      </c>
      <c r="AT190" s="39" t="n">
        <f aca="false">IF(AT$4=0,0,IF(COUNTIFS(実績!$W$6:$W$505,AT$3,実績!$AI$6:$AI$505,"&lt;="&amp;$A190,実績!$AJ$6:$AJ$505,"&gt;"&amp;$A190,実績!$AL$6:$AL$505,"○")&gt;0,1,0))</f>
        <v>0</v>
      </c>
      <c r="AU190" s="39" t="n">
        <f aca="false">IF(AU$4=0,0,IF(COUNTIFS(実績!$W$6:$W$505,AU$3,実績!$AI$6:$AI$505,"&lt;="&amp;$A190,実績!$AJ$6:$AJ$505,"&gt;"&amp;$A190,実績!$AL$6:$AL$505,"○")&gt;0,1,0))</f>
        <v>0</v>
      </c>
      <c r="AV190" s="39" t="n">
        <f aca="false">IF(AV$4=0,0,IF(COUNTIFS(実績!$W$6:$W$505,AV$3,実績!$AI$6:$AI$505,"&lt;="&amp;$A190,実績!$AJ$6:$AJ$505,"&gt;"&amp;$A190,実績!$AL$6:$AL$505,"○")&gt;0,1,0))</f>
        <v>0</v>
      </c>
      <c r="AW190" s="39" t="n">
        <f aca="false">IF(AW$4=0,0,IF(COUNTIFS(実績!$W$6:$W$505,AW$3,実績!$AI$6:$AI$505,"&lt;="&amp;$A190,実績!$AJ$6:$AJ$505,"&gt;"&amp;$A190,実績!$AL$6:$AL$505,"○")&gt;0,1,0))</f>
        <v>0</v>
      </c>
      <c r="AX190" s="39" t="n">
        <f aca="false">IF(AX$4=0,0,IF(COUNTIFS(実績!$W$6:$W$505,AX$3,実績!$AI$6:$AI$505,"&lt;="&amp;$A190,実績!$AJ$6:$AJ$505,"&gt;"&amp;$A190,実績!$AL$6:$AL$505,"○")&gt;0,1,0))</f>
        <v>0</v>
      </c>
      <c r="AY190" s="39" t="n">
        <f aca="false">IF(AY$4=0,0,IF(COUNTIFS(実績!$W$6:$W$505,AY$3,実績!$AI$6:$AI$505,"&lt;="&amp;$A190,実績!$AJ$6:$AJ$505,"&gt;"&amp;$A190,実績!$AL$6:$AL$505,"○")&gt;0,1,0))</f>
        <v>0</v>
      </c>
      <c r="AZ190" s="39" t="n">
        <f aca="false">IF(AZ$4=0,0,IF(COUNTIFS(実績!$W$6:$W$505,AZ$3,実績!$AI$6:$AI$505,"&lt;="&amp;$A190,実績!$AJ$6:$AJ$505,"&gt;"&amp;$A190,実績!$AL$6:$AL$505,"○")&gt;0,1,0))</f>
        <v>0</v>
      </c>
      <c r="BA190" s="39" t="n">
        <f aca="false">IF(BA$4=0,0,IF(COUNTIFS(実績!$W$6:$W$505,BA$3,実績!$AI$6:$AI$505,"&lt;="&amp;$A190,実績!$AJ$6:$AJ$505,"&gt;"&amp;$A190,実績!$AL$6:$AL$505,"○")&gt;0,1,0))</f>
        <v>0</v>
      </c>
      <c r="BB190" s="39" t="n">
        <f aca="false">IF(BB$4=0,0,IF(COUNTIFS(実績!$W$6:$W$505,BB$3,実績!$AI$6:$AI$505,"&lt;="&amp;$A190,実績!$AJ$6:$AJ$505,"&gt;"&amp;$A190,実績!$AL$6:$AL$505,"○")&gt;0,1,0))</f>
        <v>0</v>
      </c>
      <c r="BC190" s="39" t="n">
        <f aca="false">IF(BC$4=0,0,IF(COUNTIFS(実績!$W$6:$W$505,BC$3,実績!$AI$6:$AI$505,"&lt;="&amp;$A190,実績!$AJ$6:$AJ$505,"&gt;"&amp;$A190,実績!$AL$6:$AL$505,"○")&gt;0,1,0))</f>
        <v>0</v>
      </c>
      <c r="BD190" s="39" t="n">
        <f aca="false">IF(BD$4=0,0,IF(COUNTIFS(実績!$W$6:$W$505,BD$3,実績!$AI$6:$AI$505,"&lt;="&amp;$A190,実績!$AJ$6:$AJ$505,"&gt;"&amp;$A190,実績!$AL$6:$AL$505,"○")&gt;0,1,0))</f>
        <v>0</v>
      </c>
      <c r="BE190" s="39" t="n">
        <f aca="false">IF(BE$4=0,0,IF(COUNTIFS(実績!$W$6:$W$505,BE$3,実績!$AI$6:$AI$505,"&lt;="&amp;$A190,実績!$AJ$6:$AJ$505,"&gt;"&amp;$A190,実績!$AL$6:$AL$505,"○")&gt;0,1,0))</f>
        <v>0</v>
      </c>
      <c r="BF190" s="39" t="n">
        <f aca="false">IF(BF$4=0,0,IF(COUNTIFS(実績!$W$6:$W$505,BF$3,実績!$AI$6:$AI$505,"&lt;="&amp;$A190,実績!$AJ$6:$AJ$505,"&gt;"&amp;$A190,実績!$AL$6:$AL$505,"○")&gt;0,1,0))</f>
        <v>0</v>
      </c>
      <c r="BG190" s="39" t="n">
        <f aca="false">IF(BG$4=0,0,IF(COUNTIFS(実績!$W$6:$W$505,BG$3,実績!$AI$6:$AI$505,"&lt;="&amp;$A190,実績!$AJ$6:$AJ$505,"&gt;"&amp;$A190,実績!$AL$6:$AL$505,"○")&gt;0,1,0))</f>
        <v>0</v>
      </c>
      <c r="BH190" s="39" t="n">
        <f aca="false">IF(BH$4=0,0,IF(COUNTIFS(実績!$W$6:$W$505,BH$3,実績!$AI$6:$AI$505,"&lt;="&amp;$A190,実績!$AJ$6:$AJ$505,"&gt;"&amp;$A190,実績!$AL$6:$AL$505,"○")&gt;0,1,0))</f>
        <v>0</v>
      </c>
      <c r="BI190" s="39" t="n">
        <f aca="false">IF(BI$4=0,0,IF(COUNTIFS(実績!$W$6:$W$505,BI$3,実績!$AI$6:$AI$505,"&lt;="&amp;$A190,実績!$AJ$6:$AJ$505,"&gt;"&amp;$A190,実績!$AL$6:$AL$505,"○")&gt;0,1,0))</f>
        <v>0</v>
      </c>
      <c r="BJ190" s="39" t="n">
        <f aca="false">IF(BJ$4=0,0,IF(COUNTIFS(実績!$W$6:$W$505,BJ$3,実績!$AI$6:$AI$505,"&lt;="&amp;$A190,実績!$AJ$6:$AJ$505,"&gt;"&amp;$A190,実績!$AL$6:$AL$505,"○")&gt;0,1,0))</f>
        <v>0</v>
      </c>
      <c r="BK190" s="39" t="n">
        <f aca="false">IF(BK$4=0,0,IF(COUNTIFS(実績!$W$6:$W$505,BK$3,実績!$AI$6:$AI$505,"&lt;="&amp;$A190,実績!$AJ$6:$AJ$505,"&gt;"&amp;$A190,実績!$AL$6:$AL$505,"○")&gt;0,1,0))</f>
        <v>0</v>
      </c>
      <c r="BL190" s="39" t="n">
        <f aca="false">IF(BL$4=0,0,IF(COUNTIFS(実績!$W$6:$W$505,BL$3,実績!$AI$6:$AI$505,"&lt;="&amp;$A190,実績!$AJ$6:$AJ$505,"&gt;"&amp;$A190,実績!$AL$6:$AL$505,"○")&gt;0,1,0))</f>
        <v>0</v>
      </c>
      <c r="BM190" s="39" t="n">
        <f aca="false">IF(BM$4=0,0,IF(COUNTIFS(実績!$W$6:$W$505,BM$3,実績!$AI$6:$AI$505,"&lt;="&amp;$A190,実績!$AJ$6:$AJ$505,"&gt;"&amp;$A190,実績!$AL$6:$AL$505,"○")&gt;0,1,0))</f>
        <v>0</v>
      </c>
      <c r="BN190" s="39" t="n">
        <f aca="false">IF(BN$4=0,0,IF(COUNTIFS(実績!$W$6:$W$505,BN$3,実績!$AI$6:$AI$505,"&lt;="&amp;$A190,実績!$AJ$6:$AJ$505,"&gt;"&amp;$A190,実績!$AL$6:$AL$505,"○")&gt;0,1,0))</f>
        <v>0</v>
      </c>
      <c r="BO190" s="39" t="n">
        <f aca="false">IF(BO$4=0,0,IF(COUNTIFS(実績!$W$6:$W$505,BO$3,実績!$AI$6:$AI$505,"&lt;="&amp;$A190,実績!$AJ$6:$AJ$505,"&gt;"&amp;$A190,実績!$AL$6:$AL$505,"○")&gt;0,1,0))</f>
        <v>0</v>
      </c>
      <c r="BP190" s="39" t="n">
        <f aca="false">IF(BP$4=0,0,IF(COUNTIFS(実績!$W$6:$W$505,BP$3,実績!$AI$6:$AI$505,"&lt;="&amp;$A190,実績!$AJ$6:$AJ$505,"&gt;"&amp;$A190,実績!$AL$6:$AL$505,"○")&gt;0,1,0))</f>
        <v>0</v>
      </c>
      <c r="BQ190" s="39" t="n">
        <f aca="false">IF(BQ$4=0,0,IF(COUNTIFS(実績!$W$6:$W$505,BQ$3,実績!$AI$6:$AI$505,"&lt;="&amp;$A190,実績!$AJ$6:$AJ$505,"&gt;"&amp;$A190,実績!$AL$6:$AL$505,"○")&gt;0,1,0))</f>
        <v>0</v>
      </c>
      <c r="BR190" s="39" t="n">
        <f aca="false">IF(BR$4=0,0,IF(COUNTIFS(実績!$W$6:$W$505,BR$3,実績!$AI$6:$AI$505,"&lt;="&amp;$A190,実績!$AJ$6:$AJ$505,"&gt;"&amp;$A190,実績!$AL$6:$AL$505,"○")&gt;0,1,0))</f>
        <v>0</v>
      </c>
      <c r="BS190" s="39" t="n">
        <f aca="false">IF(BS$4=0,0,IF(COUNTIFS(実績!$W$6:$W$505,BS$3,実績!$AI$6:$AI$505,"&lt;="&amp;$A190,実績!$AJ$6:$AJ$505,"&gt;"&amp;$A190,実績!$AL$6:$AL$505,"○")&gt;0,1,0))</f>
        <v>0</v>
      </c>
      <c r="BT190" s="39" t="n">
        <f aca="false">IF(BT$4=0,0,IF(COUNTIFS(実績!$W$6:$W$505,BT$3,実績!$AI$6:$AI$505,"&lt;="&amp;$A190,実績!$AJ$6:$AJ$505,"&gt;"&amp;$A190,実績!$AL$6:$AL$505,"○")&gt;0,1,0))</f>
        <v>0</v>
      </c>
      <c r="BU190" s="39" t="n">
        <f aca="false">IF(BU$4=0,0,IF(COUNTIFS(実績!$W$6:$W$505,BU$3,実績!$AI$6:$AI$505,"&lt;="&amp;$A190,実績!$AJ$6:$AJ$505,"&gt;"&amp;$A190,実績!$AL$6:$AL$505,"○")&gt;0,1,0))</f>
        <v>0</v>
      </c>
      <c r="BV190" s="39" t="n">
        <f aca="false">IF(BV$4=0,0,IF(COUNTIFS(実績!$W$6:$W$505,BV$3,実績!$AI$6:$AI$505,"&lt;="&amp;$A190,実績!$AJ$6:$AJ$505,"&gt;"&amp;$A190,実績!$AL$6:$AL$505,"○")&gt;0,1,0))</f>
        <v>0</v>
      </c>
      <c r="BW190" s="39" t="n">
        <f aca="false">IF(BW$4=0,0,IF(COUNTIFS(実績!$W$6:$W$505,BW$3,実績!$AI$6:$AI$505,"&lt;="&amp;$A190,実績!$AJ$6:$AJ$505,"&gt;"&amp;$A190,実績!$AL$6:$AL$505,"○")&gt;0,1,0))</f>
        <v>0</v>
      </c>
      <c r="BX190" s="39" t="n">
        <f aca="false">IF(BX$4=0,0,IF(COUNTIFS(実績!$W$6:$W$505,BX$3,実績!$AI$6:$AI$505,"&lt;="&amp;$A190,実績!$AJ$6:$AJ$505,"&gt;"&amp;$A190,実績!$AL$6:$AL$505,"○")&gt;0,1,0))</f>
        <v>0</v>
      </c>
      <c r="BY190" s="39" t="n">
        <f aca="false">IF(BY$4=0,0,IF(COUNTIFS(実績!$W$6:$W$505,BY$3,実績!$AI$6:$AI$505,"&lt;="&amp;$A190,実績!$AJ$6:$AJ$505,"&gt;"&amp;$A190,実績!$AL$6:$AL$505,"○")&gt;0,1,0))</f>
        <v>0</v>
      </c>
      <c r="BZ190" s="39" t="n">
        <f aca="false">IF(BZ$4=0,0,IF(COUNTIFS(実績!$W$6:$W$505,BZ$3,実績!$AI$6:$AI$505,"&lt;="&amp;$A190,実績!$AJ$6:$AJ$505,"&gt;"&amp;$A190,実績!$AL$6:$AL$505,"○")&gt;0,1,0))</f>
        <v>0</v>
      </c>
      <c r="CA190" s="39" t="n">
        <f aca="false">IF(CA$4=0,0,IF(COUNTIFS(実績!$W$6:$W$505,CA$3,実績!$AI$6:$AI$505,"&lt;="&amp;$A190,実績!$AJ$6:$AJ$505,"&gt;"&amp;$A190,実績!$AL$6:$AL$505,"○")&gt;0,1,0))</f>
        <v>0</v>
      </c>
      <c r="CB190" s="39" t="n">
        <f aca="false">IF(CB$4=0,0,IF(COUNTIFS(実績!$W$6:$W$505,CB$3,実績!$AI$6:$AI$505,"&lt;="&amp;$A190,実績!$AJ$6:$AJ$505,"&gt;"&amp;$A190,実績!$AL$6:$AL$505,"○")&gt;0,1,0))</f>
        <v>0</v>
      </c>
      <c r="CC190" s="39" t="n">
        <f aca="false">IF(CC$4=0,0,IF(COUNTIFS(実績!$W$6:$W$505,CC$3,実績!$AI$6:$AI$505,"&lt;="&amp;$A190,実績!$AJ$6:$AJ$505,"&gt;"&amp;$A190,実績!$AL$6:$AL$505,"○")&gt;0,1,0))</f>
        <v>0</v>
      </c>
      <c r="CD190" s="39" t="n">
        <f aca="false">IF(CD$4=0,0,IF(COUNTIFS(実績!$W$6:$W$505,CD$3,実績!$AI$6:$AI$505,"&lt;="&amp;$A190,実績!$AJ$6:$AJ$505,"&gt;"&amp;$A190,実績!$AL$6:$AL$505,"○")&gt;0,1,0))</f>
        <v>0</v>
      </c>
      <c r="CE190" s="39" t="n">
        <f aca="false">IF(CE$4=0,0,IF(COUNTIFS(実績!$W$6:$W$505,CE$3,実績!$AI$6:$AI$505,"&lt;="&amp;$A190,実績!$AJ$6:$AJ$505,"&gt;"&amp;$A190,実績!$AL$6:$AL$505,"○")&gt;0,1,0))</f>
        <v>0</v>
      </c>
      <c r="CF190" s="39" t="n">
        <f aca="false">IF(CF$4=0,0,IF(COUNTIFS(実績!$W$6:$W$505,CF$3,実績!$AI$6:$AI$505,"&lt;="&amp;$A190,実績!$AJ$6:$AJ$505,"&gt;"&amp;$A190,実績!$AL$6:$AL$505,"○")&gt;0,1,0))</f>
        <v>0</v>
      </c>
      <c r="CG190" s="39" t="n">
        <f aca="false">IF(CG$4=0,0,IF(COUNTIFS(実績!$W$6:$W$505,CG$3,実績!$AI$6:$AI$505,"&lt;="&amp;$A190,実績!$AJ$6:$AJ$505,"&gt;"&amp;$A190,実績!$AL$6:$AL$505,"○")&gt;0,1,0))</f>
        <v>0</v>
      </c>
      <c r="CH190" s="39" t="n">
        <f aca="false">IF(CH$4=0,0,IF(COUNTIFS(実績!$W$6:$W$505,CH$3,実績!$AI$6:$AI$505,"&lt;="&amp;$A190,実績!$AJ$6:$AJ$505,"&gt;"&amp;$A190,実績!$AL$6:$AL$505,"○")&gt;0,1,0))</f>
        <v>0</v>
      </c>
      <c r="CI190" s="39" t="n">
        <f aca="false">IF(CI$4=0,0,IF(COUNTIFS(実績!$W$6:$W$505,CI$3,実績!$AI$6:$AI$505,"&lt;="&amp;$A190,実績!$AJ$6:$AJ$505,"&gt;"&amp;$A190,実績!$AL$6:$AL$505,"○")&gt;0,1,0))</f>
        <v>0</v>
      </c>
      <c r="CJ190" s="39" t="n">
        <f aca="false">IF(CJ$4=0,0,IF(COUNTIFS(実績!$W$6:$W$505,CJ$3,実績!$AI$6:$AI$505,"&lt;="&amp;$A190,実績!$AJ$6:$AJ$505,"&gt;"&amp;$A190,実績!$AL$6:$AL$505,"○")&gt;0,1,0))</f>
        <v>0</v>
      </c>
      <c r="CK190" s="39" t="n">
        <f aca="false">IF(CK$4=0,0,IF(COUNTIFS(実績!$W$6:$W$505,CK$3,実績!$AI$6:$AI$505,"&lt;="&amp;$A190,実績!$AJ$6:$AJ$505,"&gt;"&amp;$A190,実績!$AL$6:$AL$505,"○")&gt;0,1,0))</f>
        <v>0</v>
      </c>
      <c r="CL190" s="39" t="n">
        <f aca="false">IF(CL$4=0,0,IF(COUNTIFS(実績!$W$6:$W$505,CL$3,実績!$AI$6:$AI$505,"&lt;="&amp;$A190,実績!$AJ$6:$AJ$505,"&gt;"&amp;$A190,実績!$AL$6:$AL$505,"○")&gt;0,1,0))</f>
        <v>0</v>
      </c>
      <c r="CM190" s="39" t="n">
        <f aca="false">IF(CM$4=0,0,IF(COUNTIFS(実績!$W$6:$W$505,CM$3,実績!$AI$6:$AI$505,"&lt;="&amp;$A190,実績!$AJ$6:$AJ$505,"&gt;"&amp;$A190,実績!$AL$6:$AL$505,"○")&gt;0,1,0))</f>
        <v>0</v>
      </c>
      <c r="CN190" s="39" t="n">
        <f aca="false">IF(CN$4=0,0,IF(COUNTIFS(実績!$W$6:$W$505,CN$3,実績!$AI$6:$AI$505,"&lt;="&amp;$A190,実績!$AJ$6:$AJ$505,"&gt;"&amp;$A190,実績!$AL$6:$AL$505,"○")&gt;0,1,0))</f>
        <v>0</v>
      </c>
      <c r="CO190" s="39" t="n">
        <f aca="false">IF(CO$4=0,0,IF(COUNTIFS(実績!$W$6:$W$505,CO$3,実績!$AI$6:$AI$505,"&lt;="&amp;$A190,実績!$AJ$6:$AJ$505,"&gt;"&amp;$A190,実績!$AL$6:$AL$505,"○")&gt;0,1,0))</f>
        <v>0</v>
      </c>
      <c r="CP190" s="39" t="n">
        <f aca="false">IF(CP$4=0,0,IF(COUNTIFS(実績!$W$6:$W$505,CP$3,実績!$AI$6:$AI$505,"&lt;="&amp;$A190,実績!$AJ$6:$AJ$505,"&gt;"&amp;$A190,実績!$AL$6:$AL$505,"○")&gt;0,1,0))</f>
        <v>0</v>
      </c>
      <c r="CQ190" s="39" t="n">
        <f aca="false">IF(CQ$4=0,0,IF(COUNTIFS(実績!$W$6:$W$505,CQ$3,実績!$AI$6:$AI$505,"&lt;="&amp;$A190,実績!$AJ$6:$AJ$505,"&gt;"&amp;$A190,実績!$AL$6:$AL$505,"○")&gt;0,1,0))</f>
        <v>0</v>
      </c>
      <c r="CR190" s="39" t="n">
        <f aca="false">IF(CR$4=0,0,IF(COUNTIFS(実績!$W$6:$W$505,CR$3,実績!$AI$6:$AI$505,"&lt;="&amp;$A190,実績!$AJ$6:$AJ$505,"&gt;"&amp;$A190,実績!$AL$6:$AL$505,"○")&gt;0,1,0))</f>
        <v>0</v>
      </c>
      <c r="CS190" s="39" t="n">
        <f aca="false">IF(CS$4=0,0,IF(COUNTIFS(実績!$W$6:$W$505,CS$3,実績!$AI$6:$AI$505,"&lt;="&amp;$A190,実績!$AJ$6:$AJ$505,"&gt;"&amp;$A190,実績!$AL$6:$AL$505,"○")&gt;0,1,0))</f>
        <v>0</v>
      </c>
      <c r="CT190" s="39" t="n">
        <f aca="false">IF(CT$4=0,0,IF(COUNTIFS(実績!$W$6:$W$505,CT$3,実績!$AI$6:$AI$505,"&lt;="&amp;$A190,実績!$AJ$6:$AJ$505,"&gt;"&amp;$A190,実績!$AL$6:$AL$505,"○")&gt;0,1,0))</f>
        <v>0</v>
      </c>
      <c r="CU190" s="39" t="n">
        <f aca="false">IF(CU$4=0,0,IF(COUNTIFS(実績!$W$6:$W$505,CU$3,実績!$AI$6:$AI$505,"&lt;="&amp;$A190,実績!$AJ$6:$AJ$505,"&gt;"&amp;$A190,実績!$AL$6:$AL$505,"○")&gt;0,1,0))</f>
        <v>0</v>
      </c>
      <c r="CV190" s="39" t="n">
        <f aca="false">IF(CV$4=0,0,IF(COUNTIFS(実績!$W$6:$W$505,CV$3,実績!$AI$6:$AI$505,"&lt;="&amp;$A190,実績!$AJ$6:$AJ$505,"&gt;"&amp;$A190,実績!$AL$6:$AL$505,"○")&gt;0,1,0))</f>
        <v>0</v>
      </c>
      <c r="CW190" s="39" t="n">
        <f aca="false">IF(CW$4=0,0,IF(COUNTIFS(実績!$W$6:$W$505,CW$3,実績!$AI$6:$AI$505,"&lt;="&amp;$A190,実績!$AJ$6:$AJ$505,"&gt;"&amp;$A190,実績!$AL$6:$AL$505,"○")&gt;0,1,0))</f>
        <v>0</v>
      </c>
      <c r="CX190" s="39" t="n">
        <f aca="false">IF(CX$4=0,0,IF(COUNTIFS(実績!$W$6:$W$505,CX$3,実績!$AI$6:$AI$505,"&lt;="&amp;$A190,実績!$AJ$6:$AJ$505,"&gt;"&amp;$A190,実績!$AL$6:$AL$505,"○")&gt;0,1,0))</f>
        <v>0</v>
      </c>
      <c r="CY190" s="39" t="n">
        <f aca="false">IF(CY$4=0,0,IF(COUNTIFS(実績!$W$6:$W$505,CY$3,実績!$AI$6:$AI$505,"&lt;="&amp;$A190,実績!$AJ$6:$AJ$505,"&gt;"&amp;$A190,実績!$AL$6:$AL$505,"○")&gt;0,1,0))</f>
        <v>0</v>
      </c>
      <c r="CZ190" s="39" t="n">
        <f aca="false">IF(CZ$4=0,0,IF(COUNTIFS(実績!$W$6:$W$505,CZ$3,実績!$AI$6:$AI$505,"&lt;="&amp;$A190,実績!$AJ$6:$AJ$505,"&gt;"&amp;$A190,実績!$AL$6:$AL$505,"○")&gt;0,1,0))</f>
        <v>0</v>
      </c>
      <c r="DA190" s="39" t="n">
        <f aca="false">IF(DA$4=0,0,IF(COUNTIFS(実績!$W$6:$W$505,DA$3,実績!$AI$6:$AI$505,"&lt;="&amp;$A190,実績!$AJ$6:$AJ$505,"&gt;"&amp;$A190,実績!$AL$6:$AL$505,"○")&gt;0,1,0))</f>
        <v>0</v>
      </c>
      <c r="DB190" s="39" t="n">
        <f aca="false">IF(DB$4=0,0,IF(COUNTIFS(実績!$W$6:$W$505,DB$3,実績!$AI$6:$AI$505,"&lt;="&amp;$A190,実績!$AJ$6:$AJ$505,"&gt;"&amp;$A190,実績!$AL$6:$AL$505,"○")&gt;0,1,0))</f>
        <v>0</v>
      </c>
      <c r="DC190" s="39" t="n">
        <f aca="false">IF(DC$4=0,0,IF(COUNTIFS(実績!$W$6:$W$505,DC$3,実績!$AI$6:$AI$505,"&lt;="&amp;$A190,実績!$AJ$6:$AJ$505,"&gt;"&amp;$A190,実績!$AL$6:$AL$505,"○")&gt;0,1,0))</f>
        <v>0</v>
      </c>
      <c r="DD190" s="39" t="n">
        <f aca="false">IF(DD$4=0,0,IF(COUNTIFS(実績!$W$6:$W$505,DD$3,実績!$AI$6:$AI$505,"&lt;="&amp;$A190,実績!$AJ$6:$AJ$505,"&gt;"&amp;$A190,実績!$AL$6:$AL$505,"○")&gt;0,1,0))</f>
        <v>0</v>
      </c>
      <c r="DE190" s="39" t="n">
        <f aca="false">IF(DE$4=0,0,IF(COUNTIFS(実績!$W$6:$W$505,DE$3,実績!$AI$6:$AI$505,"&lt;="&amp;$A190,実績!$AJ$6:$AJ$505,"&gt;"&amp;$A190,実績!$AL$6:$AL$505,"○")&gt;0,1,0))</f>
        <v>0</v>
      </c>
      <c r="DF190" s="39" t="n">
        <f aca="false">IF(DF$4=0,0,IF(COUNTIFS(実績!$W$6:$W$505,DF$3,実績!$AI$6:$AI$505,"&lt;="&amp;$A190,実績!$AJ$6:$AJ$505,"&gt;"&amp;$A190,実績!$AL$6:$AL$505,"○")&gt;0,1,0))</f>
        <v>0</v>
      </c>
      <c r="DG190" s="39" t="n">
        <f aca="false">IF(DG$4=0,0,IF(COUNTIFS(実績!$W$6:$W$505,DG$3,実績!$AI$6:$AI$505,"&lt;="&amp;$A190,実績!$AJ$6:$AJ$505,"&gt;"&amp;$A190,実績!$AL$6:$AL$505,"○")&gt;0,1,0))</f>
        <v>0</v>
      </c>
      <c r="DH190" s="39" t="n">
        <f aca="false">IF(DH$4=0,0,IF(COUNTIFS(実績!$W$6:$W$505,DH$3,実績!$AI$6:$AI$505,"&lt;="&amp;$A190,実績!$AJ$6:$AJ$505,"&gt;"&amp;$A190,実績!$AL$6:$AL$505,"○")&gt;0,1,0))</f>
        <v>0</v>
      </c>
      <c r="DI190" s="39" t="n">
        <f aca="false">IF(DI$4=0,0,IF(COUNTIFS(実績!$W$6:$W$505,DI$3,実績!$AI$6:$AI$505,"&lt;="&amp;$A190,実績!$AJ$6:$AJ$505,"&gt;"&amp;$A190,実績!$AL$6:$AL$505,"○")&gt;0,1,0))</f>
        <v>0</v>
      </c>
      <c r="DJ190" s="39" t="n">
        <f aca="false">IF(DJ$4=0,0,IF(COUNTIFS(実績!$W$6:$W$505,DJ$3,実績!$AI$6:$AI$505,"&lt;="&amp;$A190,実績!$AJ$6:$AJ$505,"&gt;"&amp;$A190,実績!$AL$6:$AL$505,"○")&gt;0,1,0))</f>
        <v>0</v>
      </c>
      <c r="DK190" s="39" t="n">
        <f aca="false">IF(DK$4=0,0,IF(COUNTIFS(実績!$W$6:$W$505,DK$3,実績!$AI$6:$AI$505,"&lt;="&amp;$A190,実績!$AJ$6:$AJ$505,"&gt;"&amp;$A190,実績!$AL$6:$AL$505,"○")&gt;0,1,0))</f>
        <v>0</v>
      </c>
      <c r="DL190" s="39" t="n">
        <f aca="false">IF(DL$4=0,0,IF(COUNTIFS(実績!$W$6:$W$505,DL$3,実績!$AI$6:$AI$505,"&lt;="&amp;$A190,実績!$AJ$6:$AJ$505,"&gt;"&amp;$A190,実績!$AL$6:$AL$505,"○")&gt;0,1,0))</f>
        <v>0</v>
      </c>
      <c r="DM190" s="39" t="n">
        <f aca="false">IF(DM$4=0,0,IF(COUNTIFS(実績!$W$6:$W$505,DM$3,実績!$AI$6:$AI$505,"&lt;="&amp;$A190,実績!$AJ$6:$AJ$505,"&gt;"&amp;$A190,実績!$AL$6:$AL$505,"○")&gt;0,1,0))</f>
        <v>0</v>
      </c>
      <c r="DN190" s="39" t="n">
        <f aca="false">IF(DN$4=0,0,IF(COUNTIFS(実績!$W$6:$W$505,DN$3,実績!$AI$6:$AI$505,"&lt;="&amp;$A190,実績!$AJ$6:$AJ$505,"&gt;"&amp;$A190,実績!$AL$6:$AL$505,"○")&gt;0,1,0))</f>
        <v>0</v>
      </c>
      <c r="DO190" s="39" t="n">
        <f aca="false">IF(DO$4=0,0,IF(COUNTIFS(実績!$W$6:$W$505,DO$3,実績!$AI$6:$AI$505,"&lt;="&amp;$A190,実績!$AJ$6:$AJ$505,"&gt;"&amp;$A190,実績!$AL$6:$AL$505,"○")&gt;0,1,0))</f>
        <v>0</v>
      </c>
      <c r="DP190" s="39" t="n">
        <f aca="false">IF(DP$4=0,0,IF(COUNTIFS(実績!$W$6:$W$505,DP$3,実績!$AI$6:$AI$505,"&lt;="&amp;$A190,実績!$AJ$6:$AJ$505,"&gt;"&amp;$A190,実績!$AL$6:$AL$505,"○")&gt;0,1,0))</f>
        <v>0</v>
      </c>
      <c r="DQ190" s="39" t="n">
        <f aca="false">IF(DQ$4=0,0,IF(COUNTIFS(実績!$W$6:$W$505,DQ$3,実績!$AI$6:$AI$505,"&lt;="&amp;$A190,実績!$AJ$6:$AJ$505,"&gt;"&amp;$A190,実績!$AL$6:$AL$505,"○")&gt;0,1,0))</f>
        <v>0</v>
      </c>
      <c r="DR190" s="39" t="n">
        <f aca="false">IF(DR$4=0,0,IF(COUNTIFS(実績!$W$6:$W$505,DR$3,実績!$AI$6:$AI$505,"&lt;="&amp;$A190,実績!$AJ$6:$AJ$505,"&gt;"&amp;$A190,実績!$AL$6:$AL$505,"○")&gt;0,1,0))</f>
        <v>0</v>
      </c>
      <c r="DS190" s="39" t="n">
        <f aca="false">SUM(C190:DR190)</f>
        <v>0</v>
      </c>
    </row>
    <row r="191" customFormat="false" ht="15" hidden="false" customHeight="false" outlineLevel="0" collapsed="false">
      <c r="A191" s="0" t="n">
        <v>925</v>
      </c>
      <c r="B191" s="38" t="n">
        <f aca="false">A191/1440</f>
        <v>0.642361111111111</v>
      </c>
      <c r="C191" s="39" t="n">
        <f aca="false">IF(C$4=0,0,IF(COUNTIFS(実績!$W$6:$W$505,C$3,実績!$AI$6:$AI$505,"&lt;="&amp;$A191,実績!$AJ$6:$AJ$505,"&gt;"&amp;$A191,実績!$AL$6:$AL$505,"○")&gt;0,1,0))</f>
        <v>0</v>
      </c>
      <c r="D191" s="39" t="n">
        <f aca="false">IF(D$4=0,0,IF(COUNTIFS(実績!$W$6:$W$505,D$3,実績!$AI$6:$AI$505,"&lt;="&amp;$A191,実績!$AJ$6:$AJ$505,"&gt;"&amp;$A191,実績!$AL$6:$AL$505,"○")&gt;0,1,0))</f>
        <v>0</v>
      </c>
      <c r="E191" s="39" t="n">
        <f aca="false">IF(E$4=0,0,IF(COUNTIFS(実績!$W$6:$W$505,E$3,実績!$AI$6:$AI$505,"&lt;="&amp;$A191,実績!$AJ$6:$AJ$505,"&gt;"&amp;$A191,実績!$AL$6:$AL$505,"○")&gt;0,1,0))</f>
        <v>0</v>
      </c>
      <c r="F191" s="39" t="n">
        <f aca="false">IF(F$4=0,0,IF(COUNTIFS(実績!$W$6:$W$505,F$3,実績!$AI$6:$AI$505,"&lt;="&amp;$A191,実績!$AJ$6:$AJ$505,"&gt;"&amp;$A191,実績!$AL$6:$AL$505,"○")&gt;0,1,0))</f>
        <v>0</v>
      </c>
      <c r="G191" s="39" t="n">
        <f aca="false">IF(G$4=0,0,IF(COUNTIFS(実績!$W$6:$W$505,G$3,実績!$AI$6:$AI$505,"&lt;="&amp;$A191,実績!$AJ$6:$AJ$505,"&gt;"&amp;$A191,実績!$AL$6:$AL$505,"○")&gt;0,1,0))</f>
        <v>0</v>
      </c>
      <c r="H191" s="39" t="n">
        <f aca="false">IF(H$4=0,0,IF(COUNTIFS(実績!$W$6:$W$505,H$3,実績!$AI$6:$AI$505,"&lt;="&amp;$A191,実績!$AJ$6:$AJ$505,"&gt;"&amp;$A191,実績!$AL$6:$AL$505,"○")&gt;0,1,0))</f>
        <v>0</v>
      </c>
      <c r="I191" s="39" t="n">
        <f aca="false">IF(I$4=0,0,IF(COUNTIFS(実績!$W$6:$W$505,I$3,実績!$AI$6:$AI$505,"&lt;="&amp;$A191,実績!$AJ$6:$AJ$505,"&gt;"&amp;$A191,実績!$AL$6:$AL$505,"○")&gt;0,1,0))</f>
        <v>0</v>
      </c>
      <c r="J191" s="39" t="n">
        <f aca="false">IF(J$4=0,0,IF(COUNTIFS(実績!$W$6:$W$505,J$3,実績!$AI$6:$AI$505,"&lt;="&amp;$A191,実績!$AJ$6:$AJ$505,"&gt;"&amp;$A191,実績!$AL$6:$AL$505,"○")&gt;0,1,0))</f>
        <v>0</v>
      </c>
      <c r="K191" s="39" t="n">
        <f aca="false">IF(K$4=0,0,IF(COUNTIFS(実績!$W$6:$W$505,K$3,実績!$AI$6:$AI$505,"&lt;="&amp;$A191,実績!$AJ$6:$AJ$505,"&gt;"&amp;$A191,実績!$AL$6:$AL$505,"○")&gt;0,1,0))</f>
        <v>0</v>
      </c>
      <c r="L191" s="39" t="n">
        <f aca="false">IF(L$4=0,0,IF(COUNTIFS(実績!$W$6:$W$505,L$3,実績!$AI$6:$AI$505,"&lt;="&amp;$A191,実績!$AJ$6:$AJ$505,"&gt;"&amp;$A191,実績!$AL$6:$AL$505,"○")&gt;0,1,0))</f>
        <v>0</v>
      </c>
      <c r="M191" s="39" t="n">
        <f aca="false">IF(M$4=0,0,IF(COUNTIFS(実績!$W$6:$W$505,M$3,実績!$AI$6:$AI$505,"&lt;="&amp;$A191,実績!$AJ$6:$AJ$505,"&gt;"&amp;$A191,実績!$AL$6:$AL$505,"○")&gt;0,1,0))</f>
        <v>0</v>
      </c>
      <c r="N191" s="39" t="n">
        <f aca="false">IF(N$4=0,0,IF(COUNTIFS(実績!$W$6:$W$505,N$3,実績!$AI$6:$AI$505,"&lt;="&amp;$A191,実績!$AJ$6:$AJ$505,"&gt;"&amp;$A191,実績!$AL$6:$AL$505,"○")&gt;0,1,0))</f>
        <v>0</v>
      </c>
      <c r="O191" s="39" t="n">
        <f aca="false">IF(O$4=0,0,IF(COUNTIFS(実績!$W$6:$W$505,O$3,実績!$AI$6:$AI$505,"&lt;="&amp;$A191,実績!$AJ$6:$AJ$505,"&gt;"&amp;$A191,実績!$AL$6:$AL$505,"○")&gt;0,1,0))</f>
        <v>0</v>
      </c>
      <c r="P191" s="39" t="n">
        <f aca="false">IF(P$4=0,0,IF(COUNTIFS(実績!$W$6:$W$505,P$3,実績!$AI$6:$AI$505,"&lt;="&amp;$A191,実績!$AJ$6:$AJ$505,"&gt;"&amp;$A191,実績!$AL$6:$AL$505,"○")&gt;0,1,0))</f>
        <v>0</v>
      </c>
      <c r="Q191" s="39" t="n">
        <f aca="false">IF(Q$4=0,0,IF(COUNTIFS(実績!$W$6:$W$505,Q$3,実績!$AI$6:$AI$505,"&lt;="&amp;$A191,実績!$AJ$6:$AJ$505,"&gt;"&amp;$A191,実績!$AL$6:$AL$505,"○")&gt;0,1,0))</f>
        <v>0</v>
      </c>
      <c r="R191" s="39" t="n">
        <f aca="false">IF(R$4=0,0,IF(COUNTIFS(実績!$W$6:$W$505,R$3,実績!$AI$6:$AI$505,"&lt;="&amp;$A191,実績!$AJ$6:$AJ$505,"&gt;"&amp;$A191,実績!$AL$6:$AL$505,"○")&gt;0,1,0))</f>
        <v>0</v>
      </c>
      <c r="S191" s="39" t="n">
        <f aca="false">IF(S$4=0,0,IF(COUNTIFS(実績!$W$6:$W$505,S$3,実績!$AI$6:$AI$505,"&lt;="&amp;$A191,実績!$AJ$6:$AJ$505,"&gt;"&amp;$A191,実績!$AL$6:$AL$505,"○")&gt;0,1,0))</f>
        <v>0</v>
      </c>
      <c r="T191" s="39" t="n">
        <f aca="false">IF(T$4=0,0,IF(COUNTIFS(実績!$W$6:$W$505,T$3,実績!$AI$6:$AI$505,"&lt;="&amp;$A191,実績!$AJ$6:$AJ$505,"&gt;"&amp;$A191,実績!$AL$6:$AL$505,"○")&gt;0,1,0))</f>
        <v>0</v>
      </c>
      <c r="U191" s="39" t="n">
        <f aca="false">IF(U$4=0,0,IF(COUNTIFS(実績!$W$6:$W$505,U$3,実績!$AI$6:$AI$505,"&lt;="&amp;$A191,実績!$AJ$6:$AJ$505,"&gt;"&amp;$A191,実績!$AL$6:$AL$505,"○")&gt;0,1,0))</f>
        <v>0</v>
      </c>
      <c r="V191" s="39" t="n">
        <f aca="false">IF(V$4=0,0,IF(COUNTIFS(実績!$W$6:$W$505,V$3,実績!$AI$6:$AI$505,"&lt;="&amp;$A191,実績!$AJ$6:$AJ$505,"&gt;"&amp;$A191,実績!$AL$6:$AL$505,"○")&gt;0,1,0))</f>
        <v>0</v>
      </c>
      <c r="W191" s="39" t="n">
        <f aca="false">IF(W$4=0,0,IF(COUNTIFS(実績!$W$6:$W$505,W$3,実績!$AI$6:$AI$505,"&lt;="&amp;$A191,実績!$AJ$6:$AJ$505,"&gt;"&amp;$A191,実績!$AL$6:$AL$505,"○")&gt;0,1,0))</f>
        <v>0</v>
      </c>
      <c r="X191" s="39" t="n">
        <f aca="false">IF(X$4=0,0,IF(COUNTIFS(実績!$W$6:$W$505,X$3,実績!$AI$6:$AI$505,"&lt;="&amp;$A191,実績!$AJ$6:$AJ$505,"&gt;"&amp;$A191,実績!$AL$6:$AL$505,"○")&gt;0,1,0))</f>
        <v>0</v>
      </c>
      <c r="Y191" s="39" t="n">
        <f aca="false">IF(Y$4=0,0,IF(COUNTIFS(実績!$W$6:$W$505,Y$3,実績!$AI$6:$AI$505,"&lt;="&amp;$A191,実績!$AJ$6:$AJ$505,"&gt;"&amp;$A191,実績!$AL$6:$AL$505,"○")&gt;0,1,0))</f>
        <v>0</v>
      </c>
      <c r="Z191" s="39" t="n">
        <f aca="false">IF(Z$4=0,0,IF(COUNTIFS(実績!$W$6:$W$505,Z$3,実績!$AI$6:$AI$505,"&lt;="&amp;$A191,実績!$AJ$6:$AJ$505,"&gt;"&amp;$A191,実績!$AL$6:$AL$505,"○")&gt;0,1,0))</f>
        <v>0</v>
      </c>
      <c r="AA191" s="39" t="n">
        <f aca="false">IF(AA$4=0,0,IF(COUNTIFS(実績!$W$6:$W$505,AA$3,実績!$AI$6:$AI$505,"&lt;="&amp;$A191,実績!$AJ$6:$AJ$505,"&gt;"&amp;$A191,実績!$AL$6:$AL$505,"○")&gt;0,1,0))</f>
        <v>0</v>
      </c>
      <c r="AB191" s="39" t="n">
        <f aca="false">IF(AB$4=0,0,IF(COUNTIFS(実績!$W$6:$W$505,AB$3,実績!$AI$6:$AI$505,"&lt;="&amp;$A191,実績!$AJ$6:$AJ$505,"&gt;"&amp;$A191,実績!$AL$6:$AL$505,"○")&gt;0,1,0))</f>
        <v>0</v>
      </c>
      <c r="AC191" s="39" t="n">
        <f aca="false">IF(AC$4=0,0,IF(COUNTIFS(実績!$W$6:$W$505,AC$3,実績!$AI$6:$AI$505,"&lt;="&amp;$A191,実績!$AJ$6:$AJ$505,"&gt;"&amp;$A191,実績!$AL$6:$AL$505,"○")&gt;0,1,0))</f>
        <v>0</v>
      </c>
      <c r="AD191" s="39" t="n">
        <f aca="false">IF(AD$4=0,0,IF(COUNTIFS(実績!$W$6:$W$505,AD$3,実績!$AI$6:$AI$505,"&lt;="&amp;$A191,実績!$AJ$6:$AJ$505,"&gt;"&amp;$A191,実績!$AL$6:$AL$505,"○")&gt;0,1,0))</f>
        <v>0</v>
      </c>
      <c r="AE191" s="39" t="n">
        <f aca="false">IF(AE$4=0,0,IF(COUNTIFS(実績!$W$6:$W$505,AE$3,実績!$AI$6:$AI$505,"&lt;="&amp;$A191,実績!$AJ$6:$AJ$505,"&gt;"&amp;$A191,実績!$AL$6:$AL$505,"○")&gt;0,1,0))</f>
        <v>0</v>
      </c>
      <c r="AF191" s="39" t="n">
        <f aca="false">IF(AF$4=0,0,IF(COUNTIFS(実績!$W$6:$W$505,AF$3,実績!$AI$6:$AI$505,"&lt;="&amp;$A191,実績!$AJ$6:$AJ$505,"&gt;"&amp;$A191,実績!$AL$6:$AL$505,"○")&gt;0,1,0))</f>
        <v>0</v>
      </c>
      <c r="AG191" s="39" t="n">
        <f aca="false">IF(AG$4=0,0,IF(COUNTIFS(実績!$W$6:$W$505,AG$3,実績!$AI$6:$AI$505,"&lt;="&amp;$A191,実績!$AJ$6:$AJ$505,"&gt;"&amp;$A191,実績!$AL$6:$AL$505,"○")&gt;0,1,0))</f>
        <v>0</v>
      </c>
      <c r="AH191" s="39" t="n">
        <f aca="false">IF(AH$4=0,0,IF(COUNTIFS(実績!$W$6:$W$505,AH$3,実績!$AI$6:$AI$505,"&lt;="&amp;$A191,実績!$AJ$6:$AJ$505,"&gt;"&amp;$A191,実績!$AL$6:$AL$505,"○")&gt;0,1,0))</f>
        <v>0</v>
      </c>
      <c r="AI191" s="39" t="n">
        <f aca="false">IF(AI$4=0,0,IF(COUNTIFS(実績!$W$6:$W$505,AI$3,実績!$AI$6:$AI$505,"&lt;="&amp;$A191,実績!$AJ$6:$AJ$505,"&gt;"&amp;$A191,実績!$AL$6:$AL$505,"○")&gt;0,1,0))</f>
        <v>0</v>
      </c>
      <c r="AJ191" s="39" t="n">
        <f aca="false">IF(AJ$4=0,0,IF(COUNTIFS(実績!$W$6:$W$505,AJ$3,実績!$AI$6:$AI$505,"&lt;="&amp;$A191,実績!$AJ$6:$AJ$505,"&gt;"&amp;$A191,実績!$AL$6:$AL$505,"○")&gt;0,1,0))</f>
        <v>0</v>
      </c>
      <c r="AK191" s="39" t="n">
        <f aca="false">IF(AK$4=0,0,IF(COUNTIFS(実績!$W$6:$W$505,AK$3,実績!$AI$6:$AI$505,"&lt;="&amp;$A191,実績!$AJ$6:$AJ$505,"&gt;"&amp;$A191,実績!$AL$6:$AL$505,"○")&gt;0,1,0))</f>
        <v>0</v>
      </c>
      <c r="AL191" s="39" t="n">
        <f aca="false">IF(AL$4=0,0,IF(COUNTIFS(実績!$W$6:$W$505,AL$3,実績!$AI$6:$AI$505,"&lt;="&amp;$A191,実績!$AJ$6:$AJ$505,"&gt;"&amp;$A191,実績!$AL$6:$AL$505,"○")&gt;0,1,0))</f>
        <v>0</v>
      </c>
      <c r="AM191" s="39" t="n">
        <f aca="false">IF(AM$4=0,0,IF(COUNTIFS(実績!$W$6:$W$505,AM$3,実績!$AI$6:$AI$505,"&lt;="&amp;$A191,実績!$AJ$6:$AJ$505,"&gt;"&amp;$A191,実績!$AL$6:$AL$505,"○")&gt;0,1,0))</f>
        <v>0</v>
      </c>
      <c r="AN191" s="39" t="n">
        <f aca="false">IF(AN$4=0,0,IF(COUNTIFS(実績!$W$6:$W$505,AN$3,実績!$AI$6:$AI$505,"&lt;="&amp;$A191,実績!$AJ$6:$AJ$505,"&gt;"&amp;$A191,実績!$AL$6:$AL$505,"○")&gt;0,1,0))</f>
        <v>0</v>
      </c>
      <c r="AO191" s="39" t="n">
        <f aca="false">IF(AO$4=0,0,IF(COUNTIFS(実績!$W$6:$W$505,AO$3,実績!$AI$6:$AI$505,"&lt;="&amp;$A191,実績!$AJ$6:$AJ$505,"&gt;"&amp;$A191,実績!$AL$6:$AL$505,"○")&gt;0,1,0))</f>
        <v>0</v>
      </c>
      <c r="AP191" s="39" t="n">
        <f aca="false">IF(AP$4=0,0,IF(COUNTIFS(実績!$W$6:$W$505,AP$3,実績!$AI$6:$AI$505,"&lt;="&amp;$A191,実績!$AJ$6:$AJ$505,"&gt;"&amp;$A191,実績!$AL$6:$AL$505,"○")&gt;0,1,0))</f>
        <v>0</v>
      </c>
      <c r="AQ191" s="39" t="n">
        <f aca="false">IF(AQ$4=0,0,IF(COUNTIFS(実績!$W$6:$W$505,AQ$3,実績!$AI$6:$AI$505,"&lt;="&amp;$A191,実績!$AJ$6:$AJ$505,"&gt;"&amp;$A191,実績!$AL$6:$AL$505,"○")&gt;0,1,0))</f>
        <v>0</v>
      </c>
      <c r="AR191" s="39" t="n">
        <f aca="false">IF(AR$4=0,0,IF(COUNTIFS(実績!$W$6:$W$505,AR$3,実績!$AI$6:$AI$505,"&lt;="&amp;$A191,実績!$AJ$6:$AJ$505,"&gt;"&amp;$A191,実績!$AL$6:$AL$505,"○")&gt;0,1,0))</f>
        <v>0</v>
      </c>
      <c r="AS191" s="39" t="n">
        <f aca="false">IF(AS$4=0,0,IF(COUNTIFS(実績!$W$6:$W$505,AS$3,実績!$AI$6:$AI$505,"&lt;="&amp;$A191,実績!$AJ$6:$AJ$505,"&gt;"&amp;$A191,実績!$AL$6:$AL$505,"○")&gt;0,1,0))</f>
        <v>0</v>
      </c>
      <c r="AT191" s="39" t="n">
        <f aca="false">IF(AT$4=0,0,IF(COUNTIFS(実績!$W$6:$W$505,AT$3,実績!$AI$6:$AI$505,"&lt;="&amp;$A191,実績!$AJ$6:$AJ$505,"&gt;"&amp;$A191,実績!$AL$6:$AL$505,"○")&gt;0,1,0))</f>
        <v>0</v>
      </c>
      <c r="AU191" s="39" t="n">
        <f aca="false">IF(AU$4=0,0,IF(COUNTIFS(実績!$W$6:$W$505,AU$3,実績!$AI$6:$AI$505,"&lt;="&amp;$A191,実績!$AJ$6:$AJ$505,"&gt;"&amp;$A191,実績!$AL$6:$AL$505,"○")&gt;0,1,0))</f>
        <v>0</v>
      </c>
      <c r="AV191" s="39" t="n">
        <f aca="false">IF(AV$4=0,0,IF(COUNTIFS(実績!$W$6:$W$505,AV$3,実績!$AI$6:$AI$505,"&lt;="&amp;$A191,実績!$AJ$6:$AJ$505,"&gt;"&amp;$A191,実績!$AL$6:$AL$505,"○")&gt;0,1,0))</f>
        <v>0</v>
      </c>
      <c r="AW191" s="39" t="n">
        <f aca="false">IF(AW$4=0,0,IF(COUNTIFS(実績!$W$6:$W$505,AW$3,実績!$AI$6:$AI$505,"&lt;="&amp;$A191,実績!$AJ$6:$AJ$505,"&gt;"&amp;$A191,実績!$AL$6:$AL$505,"○")&gt;0,1,0))</f>
        <v>0</v>
      </c>
      <c r="AX191" s="39" t="n">
        <f aca="false">IF(AX$4=0,0,IF(COUNTIFS(実績!$W$6:$W$505,AX$3,実績!$AI$6:$AI$505,"&lt;="&amp;$A191,実績!$AJ$6:$AJ$505,"&gt;"&amp;$A191,実績!$AL$6:$AL$505,"○")&gt;0,1,0))</f>
        <v>0</v>
      </c>
      <c r="AY191" s="39" t="n">
        <f aca="false">IF(AY$4=0,0,IF(COUNTIFS(実績!$W$6:$W$505,AY$3,実績!$AI$6:$AI$505,"&lt;="&amp;$A191,実績!$AJ$6:$AJ$505,"&gt;"&amp;$A191,実績!$AL$6:$AL$505,"○")&gt;0,1,0))</f>
        <v>0</v>
      </c>
      <c r="AZ191" s="39" t="n">
        <f aca="false">IF(AZ$4=0,0,IF(COUNTIFS(実績!$W$6:$W$505,AZ$3,実績!$AI$6:$AI$505,"&lt;="&amp;$A191,実績!$AJ$6:$AJ$505,"&gt;"&amp;$A191,実績!$AL$6:$AL$505,"○")&gt;0,1,0))</f>
        <v>0</v>
      </c>
      <c r="BA191" s="39" t="n">
        <f aca="false">IF(BA$4=0,0,IF(COUNTIFS(実績!$W$6:$W$505,BA$3,実績!$AI$6:$AI$505,"&lt;="&amp;$A191,実績!$AJ$6:$AJ$505,"&gt;"&amp;$A191,実績!$AL$6:$AL$505,"○")&gt;0,1,0))</f>
        <v>0</v>
      </c>
      <c r="BB191" s="39" t="n">
        <f aca="false">IF(BB$4=0,0,IF(COUNTIFS(実績!$W$6:$W$505,BB$3,実績!$AI$6:$AI$505,"&lt;="&amp;$A191,実績!$AJ$6:$AJ$505,"&gt;"&amp;$A191,実績!$AL$6:$AL$505,"○")&gt;0,1,0))</f>
        <v>0</v>
      </c>
      <c r="BC191" s="39" t="n">
        <f aca="false">IF(BC$4=0,0,IF(COUNTIFS(実績!$W$6:$W$505,BC$3,実績!$AI$6:$AI$505,"&lt;="&amp;$A191,実績!$AJ$6:$AJ$505,"&gt;"&amp;$A191,実績!$AL$6:$AL$505,"○")&gt;0,1,0))</f>
        <v>0</v>
      </c>
      <c r="BD191" s="39" t="n">
        <f aca="false">IF(BD$4=0,0,IF(COUNTIFS(実績!$W$6:$W$505,BD$3,実績!$AI$6:$AI$505,"&lt;="&amp;$A191,実績!$AJ$6:$AJ$505,"&gt;"&amp;$A191,実績!$AL$6:$AL$505,"○")&gt;0,1,0))</f>
        <v>0</v>
      </c>
      <c r="BE191" s="39" t="n">
        <f aca="false">IF(BE$4=0,0,IF(COUNTIFS(実績!$W$6:$W$505,BE$3,実績!$AI$6:$AI$505,"&lt;="&amp;$A191,実績!$AJ$6:$AJ$505,"&gt;"&amp;$A191,実績!$AL$6:$AL$505,"○")&gt;0,1,0))</f>
        <v>0</v>
      </c>
      <c r="BF191" s="39" t="n">
        <f aca="false">IF(BF$4=0,0,IF(COUNTIFS(実績!$W$6:$W$505,BF$3,実績!$AI$6:$AI$505,"&lt;="&amp;$A191,実績!$AJ$6:$AJ$505,"&gt;"&amp;$A191,実績!$AL$6:$AL$505,"○")&gt;0,1,0))</f>
        <v>0</v>
      </c>
      <c r="BG191" s="39" t="n">
        <f aca="false">IF(BG$4=0,0,IF(COUNTIFS(実績!$W$6:$W$505,BG$3,実績!$AI$6:$AI$505,"&lt;="&amp;$A191,実績!$AJ$6:$AJ$505,"&gt;"&amp;$A191,実績!$AL$6:$AL$505,"○")&gt;0,1,0))</f>
        <v>0</v>
      </c>
      <c r="BH191" s="39" t="n">
        <f aca="false">IF(BH$4=0,0,IF(COUNTIFS(実績!$W$6:$W$505,BH$3,実績!$AI$6:$AI$505,"&lt;="&amp;$A191,実績!$AJ$6:$AJ$505,"&gt;"&amp;$A191,実績!$AL$6:$AL$505,"○")&gt;0,1,0))</f>
        <v>0</v>
      </c>
      <c r="BI191" s="39" t="n">
        <f aca="false">IF(BI$4=0,0,IF(COUNTIFS(実績!$W$6:$W$505,BI$3,実績!$AI$6:$AI$505,"&lt;="&amp;$A191,実績!$AJ$6:$AJ$505,"&gt;"&amp;$A191,実績!$AL$6:$AL$505,"○")&gt;0,1,0))</f>
        <v>0</v>
      </c>
      <c r="BJ191" s="39" t="n">
        <f aca="false">IF(BJ$4=0,0,IF(COUNTIFS(実績!$W$6:$W$505,BJ$3,実績!$AI$6:$AI$505,"&lt;="&amp;$A191,実績!$AJ$6:$AJ$505,"&gt;"&amp;$A191,実績!$AL$6:$AL$505,"○")&gt;0,1,0))</f>
        <v>0</v>
      </c>
      <c r="BK191" s="39" t="n">
        <f aca="false">IF(BK$4=0,0,IF(COUNTIFS(実績!$W$6:$W$505,BK$3,実績!$AI$6:$AI$505,"&lt;="&amp;$A191,実績!$AJ$6:$AJ$505,"&gt;"&amp;$A191,実績!$AL$6:$AL$505,"○")&gt;0,1,0))</f>
        <v>0</v>
      </c>
      <c r="BL191" s="39" t="n">
        <f aca="false">IF(BL$4=0,0,IF(COUNTIFS(実績!$W$6:$W$505,BL$3,実績!$AI$6:$AI$505,"&lt;="&amp;$A191,実績!$AJ$6:$AJ$505,"&gt;"&amp;$A191,実績!$AL$6:$AL$505,"○")&gt;0,1,0))</f>
        <v>0</v>
      </c>
      <c r="BM191" s="39" t="n">
        <f aca="false">IF(BM$4=0,0,IF(COUNTIFS(実績!$W$6:$W$505,BM$3,実績!$AI$6:$AI$505,"&lt;="&amp;$A191,実績!$AJ$6:$AJ$505,"&gt;"&amp;$A191,実績!$AL$6:$AL$505,"○")&gt;0,1,0))</f>
        <v>0</v>
      </c>
      <c r="BN191" s="39" t="n">
        <f aca="false">IF(BN$4=0,0,IF(COUNTIFS(実績!$W$6:$W$505,BN$3,実績!$AI$6:$AI$505,"&lt;="&amp;$A191,実績!$AJ$6:$AJ$505,"&gt;"&amp;$A191,実績!$AL$6:$AL$505,"○")&gt;0,1,0))</f>
        <v>0</v>
      </c>
      <c r="BO191" s="39" t="n">
        <f aca="false">IF(BO$4=0,0,IF(COUNTIFS(実績!$W$6:$W$505,BO$3,実績!$AI$6:$AI$505,"&lt;="&amp;$A191,実績!$AJ$6:$AJ$505,"&gt;"&amp;$A191,実績!$AL$6:$AL$505,"○")&gt;0,1,0))</f>
        <v>0</v>
      </c>
      <c r="BP191" s="39" t="n">
        <f aca="false">IF(BP$4=0,0,IF(COUNTIFS(実績!$W$6:$W$505,BP$3,実績!$AI$6:$AI$505,"&lt;="&amp;$A191,実績!$AJ$6:$AJ$505,"&gt;"&amp;$A191,実績!$AL$6:$AL$505,"○")&gt;0,1,0))</f>
        <v>0</v>
      </c>
      <c r="BQ191" s="39" t="n">
        <f aca="false">IF(BQ$4=0,0,IF(COUNTIFS(実績!$W$6:$W$505,BQ$3,実績!$AI$6:$AI$505,"&lt;="&amp;$A191,実績!$AJ$6:$AJ$505,"&gt;"&amp;$A191,実績!$AL$6:$AL$505,"○")&gt;0,1,0))</f>
        <v>0</v>
      </c>
      <c r="BR191" s="39" t="n">
        <f aca="false">IF(BR$4=0,0,IF(COUNTIFS(実績!$W$6:$W$505,BR$3,実績!$AI$6:$AI$505,"&lt;="&amp;$A191,実績!$AJ$6:$AJ$505,"&gt;"&amp;$A191,実績!$AL$6:$AL$505,"○")&gt;0,1,0))</f>
        <v>0</v>
      </c>
      <c r="BS191" s="39" t="n">
        <f aca="false">IF(BS$4=0,0,IF(COUNTIFS(実績!$W$6:$W$505,BS$3,実績!$AI$6:$AI$505,"&lt;="&amp;$A191,実績!$AJ$6:$AJ$505,"&gt;"&amp;$A191,実績!$AL$6:$AL$505,"○")&gt;0,1,0))</f>
        <v>0</v>
      </c>
      <c r="BT191" s="39" t="n">
        <f aca="false">IF(BT$4=0,0,IF(COUNTIFS(実績!$W$6:$W$505,BT$3,実績!$AI$6:$AI$505,"&lt;="&amp;$A191,実績!$AJ$6:$AJ$505,"&gt;"&amp;$A191,実績!$AL$6:$AL$505,"○")&gt;0,1,0))</f>
        <v>0</v>
      </c>
      <c r="BU191" s="39" t="n">
        <f aca="false">IF(BU$4=0,0,IF(COUNTIFS(実績!$W$6:$W$505,BU$3,実績!$AI$6:$AI$505,"&lt;="&amp;$A191,実績!$AJ$6:$AJ$505,"&gt;"&amp;$A191,実績!$AL$6:$AL$505,"○")&gt;0,1,0))</f>
        <v>0</v>
      </c>
      <c r="BV191" s="39" t="n">
        <f aca="false">IF(BV$4=0,0,IF(COUNTIFS(実績!$W$6:$W$505,BV$3,実績!$AI$6:$AI$505,"&lt;="&amp;$A191,実績!$AJ$6:$AJ$505,"&gt;"&amp;$A191,実績!$AL$6:$AL$505,"○")&gt;0,1,0))</f>
        <v>0</v>
      </c>
      <c r="BW191" s="39" t="n">
        <f aca="false">IF(BW$4=0,0,IF(COUNTIFS(実績!$W$6:$W$505,BW$3,実績!$AI$6:$AI$505,"&lt;="&amp;$A191,実績!$AJ$6:$AJ$505,"&gt;"&amp;$A191,実績!$AL$6:$AL$505,"○")&gt;0,1,0))</f>
        <v>0</v>
      </c>
      <c r="BX191" s="39" t="n">
        <f aca="false">IF(BX$4=0,0,IF(COUNTIFS(実績!$W$6:$W$505,BX$3,実績!$AI$6:$AI$505,"&lt;="&amp;$A191,実績!$AJ$6:$AJ$505,"&gt;"&amp;$A191,実績!$AL$6:$AL$505,"○")&gt;0,1,0))</f>
        <v>0</v>
      </c>
      <c r="BY191" s="39" t="n">
        <f aca="false">IF(BY$4=0,0,IF(COUNTIFS(実績!$W$6:$W$505,BY$3,実績!$AI$6:$AI$505,"&lt;="&amp;$A191,実績!$AJ$6:$AJ$505,"&gt;"&amp;$A191,実績!$AL$6:$AL$505,"○")&gt;0,1,0))</f>
        <v>0</v>
      </c>
      <c r="BZ191" s="39" t="n">
        <f aca="false">IF(BZ$4=0,0,IF(COUNTIFS(実績!$W$6:$W$505,BZ$3,実績!$AI$6:$AI$505,"&lt;="&amp;$A191,実績!$AJ$6:$AJ$505,"&gt;"&amp;$A191,実績!$AL$6:$AL$505,"○")&gt;0,1,0))</f>
        <v>0</v>
      </c>
      <c r="CA191" s="39" t="n">
        <f aca="false">IF(CA$4=0,0,IF(COUNTIFS(実績!$W$6:$W$505,CA$3,実績!$AI$6:$AI$505,"&lt;="&amp;$A191,実績!$AJ$6:$AJ$505,"&gt;"&amp;$A191,実績!$AL$6:$AL$505,"○")&gt;0,1,0))</f>
        <v>0</v>
      </c>
      <c r="CB191" s="39" t="n">
        <f aca="false">IF(CB$4=0,0,IF(COUNTIFS(実績!$W$6:$W$505,CB$3,実績!$AI$6:$AI$505,"&lt;="&amp;$A191,実績!$AJ$6:$AJ$505,"&gt;"&amp;$A191,実績!$AL$6:$AL$505,"○")&gt;0,1,0))</f>
        <v>0</v>
      </c>
      <c r="CC191" s="39" t="n">
        <f aca="false">IF(CC$4=0,0,IF(COUNTIFS(実績!$W$6:$W$505,CC$3,実績!$AI$6:$AI$505,"&lt;="&amp;$A191,実績!$AJ$6:$AJ$505,"&gt;"&amp;$A191,実績!$AL$6:$AL$505,"○")&gt;0,1,0))</f>
        <v>0</v>
      </c>
      <c r="CD191" s="39" t="n">
        <f aca="false">IF(CD$4=0,0,IF(COUNTIFS(実績!$W$6:$W$505,CD$3,実績!$AI$6:$AI$505,"&lt;="&amp;$A191,実績!$AJ$6:$AJ$505,"&gt;"&amp;$A191,実績!$AL$6:$AL$505,"○")&gt;0,1,0))</f>
        <v>0</v>
      </c>
      <c r="CE191" s="39" t="n">
        <f aca="false">IF(CE$4=0,0,IF(COUNTIFS(実績!$W$6:$W$505,CE$3,実績!$AI$6:$AI$505,"&lt;="&amp;$A191,実績!$AJ$6:$AJ$505,"&gt;"&amp;$A191,実績!$AL$6:$AL$505,"○")&gt;0,1,0))</f>
        <v>0</v>
      </c>
      <c r="CF191" s="39" t="n">
        <f aca="false">IF(CF$4=0,0,IF(COUNTIFS(実績!$W$6:$W$505,CF$3,実績!$AI$6:$AI$505,"&lt;="&amp;$A191,実績!$AJ$6:$AJ$505,"&gt;"&amp;$A191,実績!$AL$6:$AL$505,"○")&gt;0,1,0))</f>
        <v>0</v>
      </c>
      <c r="CG191" s="39" t="n">
        <f aca="false">IF(CG$4=0,0,IF(COUNTIFS(実績!$W$6:$W$505,CG$3,実績!$AI$6:$AI$505,"&lt;="&amp;$A191,実績!$AJ$6:$AJ$505,"&gt;"&amp;$A191,実績!$AL$6:$AL$505,"○")&gt;0,1,0))</f>
        <v>0</v>
      </c>
      <c r="CH191" s="39" t="n">
        <f aca="false">IF(CH$4=0,0,IF(COUNTIFS(実績!$W$6:$W$505,CH$3,実績!$AI$6:$AI$505,"&lt;="&amp;$A191,実績!$AJ$6:$AJ$505,"&gt;"&amp;$A191,実績!$AL$6:$AL$505,"○")&gt;0,1,0))</f>
        <v>0</v>
      </c>
      <c r="CI191" s="39" t="n">
        <f aca="false">IF(CI$4=0,0,IF(COUNTIFS(実績!$W$6:$W$505,CI$3,実績!$AI$6:$AI$505,"&lt;="&amp;$A191,実績!$AJ$6:$AJ$505,"&gt;"&amp;$A191,実績!$AL$6:$AL$505,"○")&gt;0,1,0))</f>
        <v>0</v>
      </c>
      <c r="CJ191" s="39" t="n">
        <f aca="false">IF(CJ$4=0,0,IF(COUNTIFS(実績!$W$6:$W$505,CJ$3,実績!$AI$6:$AI$505,"&lt;="&amp;$A191,実績!$AJ$6:$AJ$505,"&gt;"&amp;$A191,実績!$AL$6:$AL$505,"○")&gt;0,1,0))</f>
        <v>0</v>
      </c>
      <c r="CK191" s="39" t="n">
        <f aca="false">IF(CK$4=0,0,IF(COUNTIFS(実績!$W$6:$W$505,CK$3,実績!$AI$6:$AI$505,"&lt;="&amp;$A191,実績!$AJ$6:$AJ$505,"&gt;"&amp;$A191,実績!$AL$6:$AL$505,"○")&gt;0,1,0))</f>
        <v>0</v>
      </c>
      <c r="CL191" s="39" t="n">
        <f aca="false">IF(CL$4=0,0,IF(COUNTIFS(実績!$W$6:$W$505,CL$3,実績!$AI$6:$AI$505,"&lt;="&amp;$A191,実績!$AJ$6:$AJ$505,"&gt;"&amp;$A191,実績!$AL$6:$AL$505,"○")&gt;0,1,0))</f>
        <v>0</v>
      </c>
      <c r="CM191" s="39" t="n">
        <f aca="false">IF(CM$4=0,0,IF(COUNTIFS(実績!$W$6:$W$505,CM$3,実績!$AI$6:$AI$505,"&lt;="&amp;$A191,実績!$AJ$6:$AJ$505,"&gt;"&amp;$A191,実績!$AL$6:$AL$505,"○")&gt;0,1,0))</f>
        <v>0</v>
      </c>
      <c r="CN191" s="39" t="n">
        <f aca="false">IF(CN$4=0,0,IF(COUNTIFS(実績!$W$6:$W$505,CN$3,実績!$AI$6:$AI$505,"&lt;="&amp;$A191,実績!$AJ$6:$AJ$505,"&gt;"&amp;$A191,実績!$AL$6:$AL$505,"○")&gt;0,1,0))</f>
        <v>0</v>
      </c>
      <c r="CO191" s="39" t="n">
        <f aca="false">IF(CO$4=0,0,IF(COUNTIFS(実績!$W$6:$W$505,CO$3,実績!$AI$6:$AI$505,"&lt;="&amp;$A191,実績!$AJ$6:$AJ$505,"&gt;"&amp;$A191,実績!$AL$6:$AL$505,"○")&gt;0,1,0))</f>
        <v>0</v>
      </c>
      <c r="CP191" s="39" t="n">
        <f aca="false">IF(CP$4=0,0,IF(COUNTIFS(実績!$W$6:$W$505,CP$3,実績!$AI$6:$AI$505,"&lt;="&amp;$A191,実績!$AJ$6:$AJ$505,"&gt;"&amp;$A191,実績!$AL$6:$AL$505,"○")&gt;0,1,0))</f>
        <v>0</v>
      </c>
      <c r="CQ191" s="39" t="n">
        <f aca="false">IF(CQ$4=0,0,IF(COUNTIFS(実績!$W$6:$W$505,CQ$3,実績!$AI$6:$AI$505,"&lt;="&amp;$A191,実績!$AJ$6:$AJ$505,"&gt;"&amp;$A191,実績!$AL$6:$AL$505,"○")&gt;0,1,0))</f>
        <v>0</v>
      </c>
      <c r="CR191" s="39" t="n">
        <f aca="false">IF(CR$4=0,0,IF(COUNTIFS(実績!$W$6:$W$505,CR$3,実績!$AI$6:$AI$505,"&lt;="&amp;$A191,実績!$AJ$6:$AJ$505,"&gt;"&amp;$A191,実績!$AL$6:$AL$505,"○")&gt;0,1,0))</f>
        <v>0</v>
      </c>
      <c r="CS191" s="39" t="n">
        <f aca="false">IF(CS$4=0,0,IF(COUNTIFS(実績!$W$6:$W$505,CS$3,実績!$AI$6:$AI$505,"&lt;="&amp;$A191,実績!$AJ$6:$AJ$505,"&gt;"&amp;$A191,実績!$AL$6:$AL$505,"○")&gt;0,1,0))</f>
        <v>0</v>
      </c>
      <c r="CT191" s="39" t="n">
        <f aca="false">IF(CT$4=0,0,IF(COUNTIFS(実績!$W$6:$W$505,CT$3,実績!$AI$6:$AI$505,"&lt;="&amp;$A191,実績!$AJ$6:$AJ$505,"&gt;"&amp;$A191,実績!$AL$6:$AL$505,"○")&gt;0,1,0))</f>
        <v>0</v>
      </c>
      <c r="CU191" s="39" t="n">
        <f aca="false">IF(CU$4=0,0,IF(COUNTIFS(実績!$W$6:$W$505,CU$3,実績!$AI$6:$AI$505,"&lt;="&amp;$A191,実績!$AJ$6:$AJ$505,"&gt;"&amp;$A191,実績!$AL$6:$AL$505,"○")&gt;0,1,0))</f>
        <v>0</v>
      </c>
      <c r="CV191" s="39" t="n">
        <f aca="false">IF(CV$4=0,0,IF(COUNTIFS(実績!$W$6:$W$505,CV$3,実績!$AI$6:$AI$505,"&lt;="&amp;$A191,実績!$AJ$6:$AJ$505,"&gt;"&amp;$A191,実績!$AL$6:$AL$505,"○")&gt;0,1,0))</f>
        <v>0</v>
      </c>
      <c r="CW191" s="39" t="n">
        <f aca="false">IF(CW$4=0,0,IF(COUNTIFS(実績!$W$6:$W$505,CW$3,実績!$AI$6:$AI$505,"&lt;="&amp;$A191,実績!$AJ$6:$AJ$505,"&gt;"&amp;$A191,実績!$AL$6:$AL$505,"○")&gt;0,1,0))</f>
        <v>0</v>
      </c>
      <c r="CX191" s="39" t="n">
        <f aca="false">IF(CX$4=0,0,IF(COUNTIFS(実績!$W$6:$W$505,CX$3,実績!$AI$6:$AI$505,"&lt;="&amp;$A191,実績!$AJ$6:$AJ$505,"&gt;"&amp;$A191,実績!$AL$6:$AL$505,"○")&gt;0,1,0))</f>
        <v>0</v>
      </c>
      <c r="CY191" s="39" t="n">
        <f aca="false">IF(CY$4=0,0,IF(COUNTIFS(実績!$W$6:$W$505,CY$3,実績!$AI$6:$AI$505,"&lt;="&amp;$A191,実績!$AJ$6:$AJ$505,"&gt;"&amp;$A191,実績!$AL$6:$AL$505,"○")&gt;0,1,0))</f>
        <v>0</v>
      </c>
      <c r="CZ191" s="39" t="n">
        <f aca="false">IF(CZ$4=0,0,IF(COUNTIFS(実績!$W$6:$W$505,CZ$3,実績!$AI$6:$AI$505,"&lt;="&amp;$A191,実績!$AJ$6:$AJ$505,"&gt;"&amp;$A191,実績!$AL$6:$AL$505,"○")&gt;0,1,0))</f>
        <v>0</v>
      </c>
      <c r="DA191" s="39" t="n">
        <f aca="false">IF(DA$4=0,0,IF(COUNTIFS(実績!$W$6:$W$505,DA$3,実績!$AI$6:$AI$505,"&lt;="&amp;$A191,実績!$AJ$6:$AJ$505,"&gt;"&amp;$A191,実績!$AL$6:$AL$505,"○")&gt;0,1,0))</f>
        <v>0</v>
      </c>
      <c r="DB191" s="39" t="n">
        <f aca="false">IF(DB$4=0,0,IF(COUNTIFS(実績!$W$6:$W$505,DB$3,実績!$AI$6:$AI$505,"&lt;="&amp;$A191,実績!$AJ$6:$AJ$505,"&gt;"&amp;$A191,実績!$AL$6:$AL$505,"○")&gt;0,1,0))</f>
        <v>0</v>
      </c>
      <c r="DC191" s="39" t="n">
        <f aca="false">IF(DC$4=0,0,IF(COUNTIFS(実績!$W$6:$W$505,DC$3,実績!$AI$6:$AI$505,"&lt;="&amp;$A191,実績!$AJ$6:$AJ$505,"&gt;"&amp;$A191,実績!$AL$6:$AL$505,"○")&gt;0,1,0))</f>
        <v>0</v>
      </c>
      <c r="DD191" s="39" t="n">
        <f aca="false">IF(DD$4=0,0,IF(COUNTIFS(実績!$W$6:$W$505,DD$3,実績!$AI$6:$AI$505,"&lt;="&amp;$A191,実績!$AJ$6:$AJ$505,"&gt;"&amp;$A191,実績!$AL$6:$AL$505,"○")&gt;0,1,0))</f>
        <v>0</v>
      </c>
      <c r="DE191" s="39" t="n">
        <f aca="false">IF(DE$4=0,0,IF(COUNTIFS(実績!$W$6:$W$505,DE$3,実績!$AI$6:$AI$505,"&lt;="&amp;$A191,実績!$AJ$6:$AJ$505,"&gt;"&amp;$A191,実績!$AL$6:$AL$505,"○")&gt;0,1,0))</f>
        <v>0</v>
      </c>
      <c r="DF191" s="39" t="n">
        <f aca="false">IF(DF$4=0,0,IF(COUNTIFS(実績!$W$6:$W$505,DF$3,実績!$AI$6:$AI$505,"&lt;="&amp;$A191,実績!$AJ$6:$AJ$505,"&gt;"&amp;$A191,実績!$AL$6:$AL$505,"○")&gt;0,1,0))</f>
        <v>0</v>
      </c>
      <c r="DG191" s="39" t="n">
        <f aca="false">IF(DG$4=0,0,IF(COUNTIFS(実績!$W$6:$W$505,DG$3,実績!$AI$6:$AI$505,"&lt;="&amp;$A191,実績!$AJ$6:$AJ$505,"&gt;"&amp;$A191,実績!$AL$6:$AL$505,"○")&gt;0,1,0))</f>
        <v>0</v>
      </c>
      <c r="DH191" s="39" t="n">
        <f aca="false">IF(DH$4=0,0,IF(COUNTIFS(実績!$W$6:$W$505,DH$3,実績!$AI$6:$AI$505,"&lt;="&amp;$A191,実績!$AJ$6:$AJ$505,"&gt;"&amp;$A191,実績!$AL$6:$AL$505,"○")&gt;0,1,0))</f>
        <v>0</v>
      </c>
      <c r="DI191" s="39" t="n">
        <f aca="false">IF(DI$4=0,0,IF(COUNTIFS(実績!$W$6:$W$505,DI$3,実績!$AI$6:$AI$505,"&lt;="&amp;$A191,実績!$AJ$6:$AJ$505,"&gt;"&amp;$A191,実績!$AL$6:$AL$505,"○")&gt;0,1,0))</f>
        <v>0</v>
      </c>
      <c r="DJ191" s="39" t="n">
        <f aca="false">IF(DJ$4=0,0,IF(COUNTIFS(実績!$W$6:$W$505,DJ$3,実績!$AI$6:$AI$505,"&lt;="&amp;$A191,実績!$AJ$6:$AJ$505,"&gt;"&amp;$A191,実績!$AL$6:$AL$505,"○")&gt;0,1,0))</f>
        <v>0</v>
      </c>
      <c r="DK191" s="39" t="n">
        <f aca="false">IF(DK$4=0,0,IF(COUNTIFS(実績!$W$6:$W$505,DK$3,実績!$AI$6:$AI$505,"&lt;="&amp;$A191,実績!$AJ$6:$AJ$505,"&gt;"&amp;$A191,実績!$AL$6:$AL$505,"○")&gt;0,1,0))</f>
        <v>0</v>
      </c>
      <c r="DL191" s="39" t="n">
        <f aca="false">IF(DL$4=0,0,IF(COUNTIFS(実績!$W$6:$W$505,DL$3,実績!$AI$6:$AI$505,"&lt;="&amp;$A191,実績!$AJ$6:$AJ$505,"&gt;"&amp;$A191,実績!$AL$6:$AL$505,"○")&gt;0,1,0))</f>
        <v>0</v>
      </c>
      <c r="DM191" s="39" t="n">
        <f aca="false">IF(DM$4=0,0,IF(COUNTIFS(実績!$W$6:$W$505,DM$3,実績!$AI$6:$AI$505,"&lt;="&amp;$A191,実績!$AJ$6:$AJ$505,"&gt;"&amp;$A191,実績!$AL$6:$AL$505,"○")&gt;0,1,0))</f>
        <v>0</v>
      </c>
      <c r="DN191" s="39" t="n">
        <f aca="false">IF(DN$4=0,0,IF(COUNTIFS(実績!$W$6:$W$505,DN$3,実績!$AI$6:$AI$505,"&lt;="&amp;$A191,実績!$AJ$6:$AJ$505,"&gt;"&amp;$A191,実績!$AL$6:$AL$505,"○")&gt;0,1,0))</f>
        <v>0</v>
      </c>
      <c r="DO191" s="39" t="n">
        <f aca="false">IF(DO$4=0,0,IF(COUNTIFS(実績!$W$6:$W$505,DO$3,実績!$AI$6:$AI$505,"&lt;="&amp;$A191,実績!$AJ$6:$AJ$505,"&gt;"&amp;$A191,実績!$AL$6:$AL$505,"○")&gt;0,1,0))</f>
        <v>0</v>
      </c>
      <c r="DP191" s="39" t="n">
        <f aca="false">IF(DP$4=0,0,IF(COUNTIFS(実績!$W$6:$W$505,DP$3,実績!$AI$6:$AI$505,"&lt;="&amp;$A191,実績!$AJ$6:$AJ$505,"&gt;"&amp;$A191,実績!$AL$6:$AL$505,"○")&gt;0,1,0))</f>
        <v>0</v>
      </c>
      <c r="DQ191" s="39" t="n">
        <f aca="false">IF(DQ$4=0,0,IF(COUNTIFS(実績!$W$6:$W$505,DQ$3,実績!$AI$6:$AI$505,"&lt;="&amp;$A191,実績!$AJ$6:$AJ$505,"&gt;"&amp;$A191,実績!$AL$6:$AL$505,"○")&gt;0,1,0))</f>
        <v>0</v>
      </c>
      <c r="DR191" s="39" t="n">
        <f aca="false">IF(DR$4=0,0,IF(COUNTIFS(実績!$W$6:$W$505,DR$3,実績!$AI$6:$AI$505,"&lt;="&amp;$A191,実績!$AJ$6:$AJ$505,"&gt;"&amp;$A191,実績!$AL$6:$AL$505,"○")&gt;0,1,0))</f>
        <v>0</v>
      </c>
      <c r="DS191" s="39" t="n">
        <f aca="false">SUM(C191:DR191)</f>
        <v>0</v>
      </c>
    </row>
    <row r="192" customFormat="false" ht="15" hidden="false" customHeight="false" outlineLevel="0" collapsed="false">
      <c r="A192" s="0" t="n">
        <v>930</v>
      </c>
      <c r="B192" s="38" t="n">
        <f aca="false">A192/1440</f>
        <v>0.645833333333333</v>
      </c>
      <c r="C192" s="39" t="n">
        <f aca="false">IF(C$4=0,0,IF(COUNTIFS(実績!$W$6:$W$505,C$3,実績!$AI$6:$AI$505,"&lt;="&amp;$A192,実績!$AJ$6:$AJ$505,"&gt;"&amp;$A192,実績!$AL$6:$AL$505,"○")&gt;0,1,0))</f>
        <v>0</v>
      </c>
      <c r="D192" s="39" t="n">
        <f aca="false">IF(D$4=0,0,IF(COUNTIFS(実績!$W$6:$W$505,D$3,実績!$AI$6:$AI$505,"&lt;="&amp;$A192,実績!$AJ$6:$AJ$505,"&gt;"&amp;$A192,実績!$AL$6:$AL$505,"○")&gt;0,1,0))</f>
        <v>0</v>
      </c>
      <c r="E192" s="39" t="n">
        <f aca="false">IF(E$4=0,0,IF(COUNTIFS(実績!$W$6:$W$505,E$3,実績!$AI$6:$AI$505,"&lt;="&amp;$A192,実績!$AJ$6:$AJ$505,"&gt;"&amp;$A192,実績!$AL$6:$AL$505,"○")&gt;0,1,0))</f>
        <v>0</v>
      </c>
      <c r="F192" s="39" t="n">
        <f aca="false">IF(F$4=0,0,IF(COUNTIFS(実績!$W$6:$W$505,F$3,実績!$AI$6:$AI$505,"&lt;="&amp;$A192,実績!$AJ$6:$AJ$505,"&gt;"&amp;$A192,実績!$AL$6:$AL$505,"○")&gt;0,1,0))</f>
        <v>0</v>
      </c>
      <c r="G192" s="39" t="n">
        <f aca="false">IF(G$4=0,0,IF(COUNTIFS(実績!$W$6:$W$505,G$3,実績!$AI$6:$AI$505,"&lt;="&amp;$A192,実績!$AJ$6:$AJ$505,"&gt;"&amp;$A192,実績!$AL$6:$AL$505,"○")&gt;0,1,0))</f>
        <v>0</v>
      </c>
      <c r="H192" s="39" t="n">
        <f aca="false">IF(H$4=0,0,IF(COUNTIFS(実績!$W$6:$W$505,H$3,実績!$AI$6:$AI$505,"&lt;="&amp;$A192,実績!$AJ$6:$AJ$505,"&gt;"&amp;$A192,実績!$AL$6:$AL$505,"○")&gt;0,1,0))</f>
        <v>0</v>
      </c>
      <c r="I192" s="39" t="n">
        <f aca="false">IF(I$4=0,0,IF(COUNTIFS(実績!$W$6:$W$505,I$3,実績!$AI$6:$AI$505,"&lt;="&amp;$A192,実績!$AJ$6:$AJ$505,"&gt;"&amp;$A192,実績!$AL$6:$AL$505,"○")&gt;0,1,0))</f>
        <v>0</v>
      </c>
      <c r="J192" s="39" t="n">
        <f aca="false">IF(J$4=0,0,IF(COUNTIFS(実績!$W$6:$W$505,J$3,実績!$AI$6:$AI$505,"&lt;="&amp;$A192,実績!$AJ$6:$AJ$505,"&gt;"&amp;$A192,実績!$AL$6:$AL$505,"○")&gt;0,1,0))</f>
        <v>0</v>
      </c>
      <c r="K192" s="39" t="n">
        <f aca="false">IF(K$4=0,0,IF(COUNTIFS(実績!$W$6:$W$505,K$3,実績!$AI$6:$AI$505,"&lt;="&amp;$A192,実績!$AJ$6:$AJ$505,"&gt;"&amp;$A192,実績!$AL$6:$AL$505,"○")&gt;0,1,0))</f>
        <v>0</v>
      </c>
      <c r="L192" s="39" t="n">
        <f aca="false">IF(L$4=0,0,IF(COUNTIFS(実績!$W$6:$W$505,L$3,実績!$AI$6:$AI$505,"&lt;="&amp;$A192,実績!$AJ$6:$AJ$505,"&gt;"&amp;$A192,実績!$AL$6:$AL$505,"○")&gt;0,1,0))</f>
        <v>0</v>
      </c>
      <c r="M192" s="39" t="n">
        <f aca="false">IF(M$4=0,0,IF(COUNTIFS(実績!$W$6:$W$505,M$3,実績!$AI$6:$AI$505,"&lt;="&amp;$A192,実績!$AJ$6:$AJ$505,"&gt;"&amp;$A192,実績!$AL$6:$AL$505,"○")&gt;0,1,0))</f>
        <v>0</v>
      </c>
      <c r="N192" s="39" t="n">
        <f aca="false">IF(N$4=0,0,IF(COUNTIFS(実績!$W$6:$W$505,N$3,実績!$AI$6:$AI$505,"&lt;="&amp;$A192,実績!$AJ$6:$AJ$505,"&gt;"&amp;$A192,実績!$AL$6:$AL$505,"○")&gt;0,1,0))</f>
        <v>0</v>
      </c>
      <c r="O192" s="39" t="n">
        <f aca="false">IF(O$4=0,0,IF(COUNTIFS(実績!$W$6:$W$505,O$3,実績!$AI$6:$AI$505,"&lt;="&amp;$A192,実績!$AJ$6:$AJ$505,"&gt;"&amp;$A192,実績!$AL$6:$AL$505,"○")&gt;0,1,0))</f>
        <v>0</v>
      </c>
      <c r="P192" s="39" t="n">
        <f aca="false">IF(P$4=0,0,IF(COUNTIFS(実績!$W$6:$W$505,P$3,実績!$AI$6:$AI$505,"&lt;="&amp;$A192,実績!$AJ$6:$AJ$505,"&gt;"&amp;$A192,実績!$AL$6:$AL$505,"○")&gt;0,1,0))</f>
        <v>0</v>
      </c>
      <c r="Q192" s="39" t="n">
        <f aca="false">IF(Q$4=0,0,IF(COUNTIFS(実績!$W$6:$W$505,Q$3,実績!$AI$6:$AI$505,"&lt;="&amp;$A192,実績!$AJ$6:$AJ$505,"&gt;"&amp;$A192,実績!$AL$6:$AL$505,"○")&gt;0,1,0))</f>
        <v>0</v>
      </c>
      <c r="R192" s="39" t="n">
        <f aca="false">IF(R$4=0,0,IF(COUNTIFS(実績!$W$6:$W$505,R$3,実績!$AI$6:$AI$505,"&lt;="&amp;$A192,実績!$AJ$6:$AJ$505,"&gt;"&amp;$A192,実績!$AL$6:$AL$505,"○")&gt;0,1,0))</f>
        <v>0</v>
      </c>
      <c r="S192" s="39" t="n">
        <f aca="false">IF(S$4=0,0,IF(COUNTIFS(実績!$W$6:$W$505,S$3,実績!$AI$6:$AI$505,"&lt;="&amp;$A192,実績!$AJ$6:$AJ$505,"&gt;"&amp;$A192,実績!$AL$6:$AL$505,"○")&gt;0,1,0))</f>
        <v>0</v>
      </c>
      <c r="T192" s="39" t="n">
        <f aca="false">IF(T$4=0,0,IF(COUNTIFS(実績!$W$6:$W$505,T$3,実績!$AI$6:$AI$505,"&lt;="&amp;$A192,実績!$AJ$6:$AJ$505,"&gt;"&amp;$A192,実績!$AL$6:$AL$505,"○")&gt;0,1,0))</f>
        <v>0</v>
      </c>
      <c r="U192" s="39" t="n">
        <f aca="false">IF(U$4=0,0,IF(COUNTIFS(実績!$W$6:$W$505,U$3,実績!$AI$6:$AI$505,"&lt;="&amp;$A192,実績!$AJ$6:$AJ$505,"&gt;"&amp;$A192,実績!$AL$6:$AL$505,"○")&gt;0,1,0))</f>
        <v>0</v>
      </c>
      <c r="V192" s="39" t="n">
        <f aca="false">IF(V$4=0,0,IF(COUNTIFS(実績!$W$6:$W$505,V$3,実績!$AI$6:$AI$505,"&lt;="&amp;$A192,実績!$AJ$6:$AJ$505,"&gt;"&amp;$A192,実績!$AL$6:$AL$505,"○")&gt;0,1,0))</f>
        <v>0</v>
      </c>
      <c r="W192" s="39" t="n">
        <f aca="false">IF(W$4=0,0,IF(COUNTIFS(実績!$W$6:$W$505,W$3,実績!$AI$6:$AI$505,"&lt;="&amp;$A192,実績!$AJ$6:$AJ$505,"&gt;"&amp;$A192,実績!$AL$6:$AL$505,"○")&gt;0,1,0))</f>
        <v>0</v>
      </c>
      <c r="X192" s="39" t="n">
        <f aca="false">IF(X$4=0,0,IF(COUNTIFS(実績!$W$6:$W$505,X$3,実績!$AI$6:$AI$505,"&lt;="&amp;$A192,実績!$AJ$6:$AJ$505,"&gt;"&amp;$A192,実績!$AL$6:$AL$505,"○")&gt;0,1,0))</f>
        <v>0</v>
      </c>
      <c r="Y192" s="39" t="n">
        <f aca="false">IF(Y$4=0,0,IF(COUNTIFS(実績!$W$6:$W$505,Y$3,実績!$AI$6:$AI$505,"&lt;="&amp;$A192,実績!$AJ$6:$AJ$505,"&gt;"&amp;$A192,実績!$AL$6:$AL$505,"○")&gt;0,1,0))</f>
        <v>0</v>
      </c>
      <c r="Z192" s="39" t="n">
        <f aca="false">IF(Z$4=0,0,IF(COUNTIFS(実績!$W$6:$W$505,Z$3,実績!$AI$6:$AI$505,"&lt;="&amp;$A192,実績!$AJ$6:$AJ$505,"&gt;"&amp;$A192,実績!$AL$6:$AL$505,"○")&gt;0,1,0))</f>
        <v>0</v>
      </c>
      <c r="AA192" s="39" t="n">
        <f aca="false">IF(AA$4=0,0,IF(COUNTIFS(実績!$W$6:$W$505,AA$3,実績!$AI$6:$AI$505,"&lt;="&amp;$A192,実績!$AJ$6:$AJ$505,"&gt;"&amp;$A192,実績!$AL$6:$AL$505,"○")&gt;0,1,0))</f>
        <v>0</v>
      </c>
      <c r="AB192" s="39" t="n">
        <f aca="false">IF(AB$4=0,0,IF(COUNTIFS(実績!$W$6:$W$505,AB$3,実績!$AI$6:$AI$505,"&lt;="&amp;$A192,実績!$AJ$6:$AJ$505,"&gt;"&amp;$A192,実績!$AL$6:$AL$505,"○")&gt;0,1,0))</f>
        <v>0</v>
      </c>
      <c r="AC192" s="39" t="n">
        <f aca="false">IF(AC$4=0,0,IF(COUNTIFS(実績!$W$6:$W$505,AC$3,実績!$AI$6:$AI$505,"&lt;="&amp;$A192,実績!$AJ$6:$AJ$505,"&gt;"&amp;$A192,実績!$AL$6:$AL$505,"○")&gt;0,1,0))</f>
        <v>0</v>
      </c>
      <c r="AD192" s="39" t="n">
        <f aca="false">IF(AD$4=0,0,IF(COUNTIFS(実績!$W$6:$W$505,AD$3,実績!$AI$6:$AI$505,"&lt;="&amp;$A192,実績!$AJ$6:$AJ$505,"&gt;"&amp;$A192,実績!$AL$6:$AL$505,"○")&gt;0,1,0))</f>
        <v>0</v>
      </c>
      <c r="AE192" s="39" t="n">
        <f aca="false">IF(AE$4=0,0,IF(COUNTIFS(実績!$W$6:$W$505,AE$3,実績!$AI$6:$AI$505,"&lt;="&amp;$A192,実績!$AJ$6:$AJ$505,"&gt;"&amp;$A192,実績!$AL$6:$AL$505,"○")&gt;0,1,0))</f>
        <v>0</v>
      </c>
      <c r="AF192" s="39" t="n">
        <f aca="false">IF(AF$4=0,0,IF(COUNTIFS(実績!$W$6:$W$505,AF$3,実績!$AI$6:$AI$505,"&lt;="&amp;$A192,実績!$AJ$6:$AJ$505,"&gt;"&amp;$A192,実績!$AL$6:$AL$505,"○")&gt;0,1,0))</f>
        <v>0</v>
      </c>
      <c r="AG192" s="39" t="n">
        <f aca="false">IF(AG$4=0,0,IF(COUNTIFS(実績!$W$6:$W$505,AG$3,実績!$AI$6:$AI$505,"&lt;="&amp;$A192,実績!$AJ$6:$AJ$505,"&gt;"&amp;$A192,実績!$AL$6:$AL$505,"○")&gt;0,1,0))</f>
        <v>0</v>
      </c>
      <c r="AH192" s="39" t="n">
        <f aca="false">IF(AH$4=0,0,IF(COUNTIFS(実績!$W$6:$W$505,AH$3,実績!$AI$6:$AI$505,"&lt;="&amp;$A192,実績!$AJ$6:$AJ$505,"&gt;"&amp;$A192,実績!$AL$6:$AL$505,"○")&gt;0,1,0))</f>
        <v>0</v>
      </c>
      <c r="AI192" s="39" t="n">
        <f aca="false">IF(AI$4=0,0,IF(COUNTIFS(実績!$W$6:$W$505,AI$3,実績!$AI$6:$AI$505,"&lt;="&amp;$A192,実績!$AJ$6:$AJ$505,"&gt;"&amp;$A192,実績!$AL$6:$AL$505,"○")&gt;0,1,0))</f>
        <v>0</v>
      </c>
      <c r="AJ192" s="39" t="n">
        <f aca="false">IF(AJ$4=0,0,IF(COUNTIFS(実績!$W$6:$W$505,AJ$3,実績!$AI$6:$AI$505,"&lt;="&amp;$A192,実績!$AJ$6:$AJ$505,"&gt;"&amp;$A192,実績!$AL$6:$AL$505,"○")&gt;0,1,0))</f>
        <v>0</v>
      </c>
      <c r="AK192" s="39" t="n">
        <f aca="false">IF(AK$4=0,0,IF(COUNTIFS(実績!$W$6:$W$505,AK$3,実績!$AI$6:$AI$505,"&lt;="&amp;$A192,実績!$AJ$6:$AJ$505,"&gt;"&amp;$A192,実績!$AL$6:$AL$505,"○")&gt;0,1,0))</f>
        <v>0</v>
      </c>
      <c r="AL192" s="39" t="n">
        <f aca="false">IF(AL$4=0,0,IF(COUNTIFS(実績!$W$6:$W$505,AL$3,実績!$AI$6:$AI$505,"&lt;="&amp;$A192,実績!$AJ$6:$AJ$505,"&gt;"&amp;$A192,実績!$AL$6:$AL$505,"○")&gt;0,1,0))</f>
        <v>0</v>
      </c>
      <c r="AM192" s="39" t="n">
        <f aca="false">IF(AM$4=0,0,IF(COUNTIFS(実績!$W$6:$W$505,AM$3,実績!$AI$6:$AI$505,"&lt;="&amp;$A192,実績!$AJ$6:$AJ$505,"&gt;"&amp;$A192,実績!$AL$6:$AL$505,"○")&gt;0,1,0))</f>
        <v>0</v>
      </c>
      <c r="AN192" s="39" t="n">
        <f aca="false">IF(AN$4=0,0,IF(COUNTIFS(実績!$W$6:$W$505,AN$3,実績!$AI$6:$AI$505,"&lt;="&amp;$A192,実績!$AJ$6:$AJ$505,"&gt;"&amp;$A192,実績!$AL$6:$AL$505,"○")&gt;0,1,0))</f>
        <v>0</v>
      </c>
      <c r="AO192" s="39" t="n">
        <f aca="false">IF(AO$4=0,0,IF(COUNTIFS(実績!$W$6:$W$505,AO$3,実績!$AI$6:$AI$505,"&lt;="&amp;$A192,実績!$AJ$6:$AJ$505,"&gt;"&amp;$A192,実績!$AL$6:$AL$505,"○")&gt;0,1,0))</f>
        <v>0</v>
      </c>
      <c r="AP192" s="39" t="n">
        <f aca="false">IF(AP$4=0,0,IF(COUNTIFS(実績!$W$6:$W$505,AP$3,実績!$AI$6:$AI$505,"&lt;="&amp;$A192,実績!$AJ$6:$AJ$505,"&gt;"&amp;$A192,実績!$AL$6:$AL$505,"○")&gt;0,1,0))</f>
        <v>0</v>
      </c>
      <c r="AQ192" s="39" t="n">
        <f aca="false">IF(AQ$4=0,0,IF(COUNTIFS(実績!$W$6:$W$505,AQ$3,実績!$AI$6:$AI$505,"&lt;="&amp;$A192,実績!$AJ$6:$AJ$505,"&gt;"&amp;$A192,実績!$AL$6:$AL$505,"○")&gt;0,1,0))</f>
        <v>0</v>
      </c>
      <c r="AR192" s="39" t="n">
        <f aca="false">IF(AR$4=0,0,IF(COUNTIFS(実績!$W$6:$W$505,AR$3,実績!$AI$6:$AI$505,"&lt;="&amp;$A192,実績!$AJ$6:$AJ$505,"&gt;"&amp;$A192,実績!$AL$6:$AL$505,"○")&gt;0,1,0))</f>
        <v>0</v>
      </c>
      <c r="AS192" s="39" t="n">
        <f aca="false">IF(AS$4=0,0,IF(COUNTIFS(実績!$W$6:$W$505,AS$3,実績!$AI$6:$AI$505,"&lt;="&amp;$A192,実績!$AJ$6:$AJ$505,"&gt;"&amp;$A192,実績!$AL$6:$AL$505,"○")&gt;0,1,0))</f>
        <v>0</v>
      </c>
      <c r="AT192" s="39" t="n">
        <f aca="false">IF(AT$4=0,0,IF(COUNTIFS(実績!$W$6:$W$505,AT$3,実績!$AI$6:$AI$505,"&lt;="&amp;$A192,実績!$AJ$6:$AJ$505,"&gt;"&amp;$A192,実績!$AL$6:$AL$505,"○")&gt;0,1,0))</f>
        <v>0</v>
      </c>
      <c r="AU192" s="39" t="n">
        <f aca="false">IF(AU$4=0,0,IF(COUNTIFS(実績!$W$6:$W$505,AU$3,実績!$AI$6:$AI$505,"&lt;="&amp;$A192,実績!$AJ$6:$AJ$505,"&gt;"&amp;$A192,実績!$AL$6:$AL$505,"○")&gt;0,1,0))</f>
        <v>0</v>
      </c>
      <c r="AV192" s="39" t="n">
        <f aca="false">IF(AV$4=0,0,IF(COUNTIFS(実績!$W$6:$W$505,AV$3,実績!$AI$6:$AI$505,"&lt;="&amp;$A192,実績!$AJ$6:$AJ$505,"&gt;"&amp;$A192,実績!$AL$6:$AL$505,"○")&gt;0,1,0))</f>
        <v>0</v>
      </c>
      <c r="AW192" s="39" t="n">
        <f aca="false">IF(AW$4=0,0,IF(COUNTIFS(実績!$W$6:$W$505,AW$3,実績!$AI$6:$AI$505,"&lt;="&amp;$A192,実績!$AJ$6:$AJ$505,"&gt;"&amp;$A192,実績!$AL$6:$AL$505,"○")&gt;0,1,0))</f>
        <v>0</v>
      </c>
      <c r="AX192" s="39" t="n">
        <f aca="false">IF(AX$4=0,0,IF(COUNTIFS(実績!$W$6:$W$505,AX$3,実績!$AI$6:$AI$505,"&lt;="&amp;$A192,実績!$AJ$6:$AJ$505,"&gt;"&amp;$A192,実績!$AL$6:$AL$505,"○")&gt;0,1,0))</f>
        <v>0</v>
      </c>
      <c r="AY192" s="39" t="n">
        <f aca="false">IF(AY$4=0,0,IF(COUNTIFS(実績!$W$6:$W$505,AY$3,実績!$AI$6:$AI$505,"&lt;="&amp;$A192,実績!$AJ$6:$AJ$505,"&gt;"&amp;$A192,実績!$AL$6:$AL$505,"○")&gt;0,1,0))</f>
        <v>0</v>
      </c>
      <c r="AZ192" s="39" t="n">
        <f aca="false">IF(AZ$4=0,0,IF(COUNTIFS(実績!$W$6:$W$505,AZ$3,実績!$AI$6:$AI$505,"&lt;="&amp;$A192,実績!$AJ$6:$AJ$505,"&gt;"&amp;$A192,実績!$AL$6:$AL$505,"○")&gt;0,1,0))</f>
        <v>0</v>
      </c>
      <c r="BA192" s="39" t="n">
        <f aca="false">IF(BA$4=0,0,IF(COUNTIFS(実績!$W$6:$W$505,BA$3,実績!$AI$6:$AI$505,"&lt;="&amp;$A192,実績!$AJ$6:$AJ$505,"&gt;"&amp;$A192,実績!$AL$6:$AL$505,"○")&gt;0,1,0))</f>
        <v>0</v>
      </c>
      <c r="BB192" s="39" t="n">
        <f aca="false">IF(BB$4=0,0,IF(COUNTIFS(実績!$W$6:$W$505,BB$3,実績!$AI$6:$AI$505,"&lt;="&amp;$A192,実績!$AJ$6:$AJ$505,"&gt;"&amp;$A192,実績!$AL$6:$AL$505,"○")&gt;0,1,0))</f>
        <v>0</v>
      </c>
      <c r="BC192" s="39" t="n">
        <f aca="false">IF(BC$4=0,0,IF(COUNTIFS(実績!$W$6:$W$505,BC$3,実績!$AI$6:$AI$505,"&lt;="&amp;$A192,実績!$AJ$6:$AJ$505,"&gt;"&amp;$A192,実績!$AL$6:$AL$505,"○")&gt;0,1,0))</f>
        <v>0</v>
      </c>
      <c r="BD192" s="39" t="n">
        <f aca="false">IF(BD$4=0,0,IF(COUNTIFS(実績!$W$6:$W$505,BD$3,実績!$AI$6:$AI$505,"&lt;="&amp;$A192,実績!$AJ$6:$AJ$505,"&gt;"&amp;$A192,実績!$AL$6:$AL$505,"○")&gt;0,1,0))</f>
        <v>0</v>
      </c>
      <c r="BE192" s="39" t="n">
        <f aca="false">IF(BE$4=0,0,IF(COUNTIFS(実績!$W$6:$W$505,BE$3,実績!$AI$6:$AI$505,"&lt;="&amp;$A192,実績!$AJ$6:$AJ$505,"&gt;"&amp;$A192,実績!$AL$6:$AL$505,"○")&gt;0,1,0))</f>
        <v>0</v>
      </c>
      <c r="BF192" s="39" t="n">
        <f aca="false">IF(BF$4=0,0,IF(COUNTIFS(実績!$W$6:$W$505,BF$3,実績!$AI$6:$AI$505,"&lt;="&amp;$A192,実績!$AJ$6:$AJ$505,"&gt;"&amp;$A192,実績!$AL$6:$AL$505,"○")&gt;0,1,0))</f>
        <v>0</v>
      </c>
      <c r="BG192" s="39" t="n">
        <f aca="false">IF(BG$4=0,0,IF(COUNTIFS(実績!$W$6:$W$505,BG$3,実績!$AI$6:$AI$505,"&lt;="&amp;$A192,実績!$AJ$6:$AJ$505,"&gt;"&amp;$A192,実績!$AL$6:$AL$505,"○")&gt;0,1,0))</f>
        <v>0</v>
      </c>
      <c r="BH192" s="39" t="n">
        <f aca="false">IF(BH$4=0,0,IF(COUNTIFS(実績!$W$6:$W$505,BH$3,実績!$AI$6:$AI$505,"&lt;="&amp;$A192,実績!$AJ$6:$AJ$505,"&gt;"&amp;$A192,実績!$AL$6:$AL$505,"○")&gt;0,1,0))</f>
        <v>0</v>
      </c>
      <c r="BI192" s="39" t="n">
        <f aca="false">IF(BI$4=0,0,IF(COUNTIFS(実績!$W$6:$W$505,BI$3,実績!$AI$6:$AI$505,"&lt;="&amp;$A192,実績!$AJ$6:$AJ$505,"&gt;"&amp;$A192,実績!$AL$6:$AL$505,"○")&gt;0,1,0))</f>
        <v>0</v>
      </c>
      <c r="BJ192" s="39" t="n">
        <f aca="false">IF(BJ$4=0,0,IF(COUNTIFS(実績!$W$6:$W$505,BJ$3,実績!$AI$6:$AI$505,"&lt;="&amp;$A192,実績!$AJ$6:$AJ$505,"&gt;"&amp;$A192,実績!$AL$6:$AL$505,"○")&gt;0,1,0))</f>
        <v>0</v>
      </c>
      <c r="BK192" s="39" t="n">
        <f aca="false">IF(BK$4=0,0,IF(COUNTIFS(実績!$W$6:$W$505,BK$3,実績!$AI$6:$AI$505,"&lt;="&amp;$A192,実績!$AJ$6:$AJ$505,"&gt;"&amp;$A192,実績!$AL$6:$AL$505,"○")&gt;0,1,0))</f>
        <v>0</v>
      </c>
      <c r="BL192" s="39" t="n">
        <f aca="false">IF(BL$4=0,0,IF(COUNTIFS(実績!$W$6:$W$505,BL$3,実績!$AI$6:$AI$505,"&lt;="&amp;$A192,実績!$AJ$6:$AJ$505,"&gt;"&amp;$A192,実績!$AL$6:$AL$505,"○")&gt;0,1,0))</f>
        <v>0</v>
      </c>
      <c r="BM192" s="39" t="n">
        <f aca="false">IF(BM$4=0,0,IF(COUNTIFS(実績!$W$6:$W$505,BM$3,実績!$AI$6:$AI$505,"&lt;="&amp;$A192,実績!$AJ$6:$AJ$505,"&gt;"&amp;$A192,実績!$AL$6:$AL$505,"○")&gt;0,1,0))</f>
        <v>0</v>
      </c>
      <c r="BN192" s="39" t="n">
        <f aca="false">IF(BN$4=0,0,IF(COUNTIFS(実績!$W$6:$W$505,BN$3,実績!$AI$6:$AI$505,"&lt;="&amp;$A192,実績!$AJ$6:$AJ$505,"&gt;"&amp;$A192,実績!$AL$6:$AL$505,"○")&gt;0,1,0))</f>
        <v>0</v>
      </c>
      <c r="BO192" s="39" t="n">
        <f aca="false">IF(BO$4=0,0,IF(COUNTIFS(実績!$W$6:$W$505,BO$3,実績!$AI$6:$AI$505,"&lt;="&amp;$A192,実績!$AJ$6:$AJ$505,"&gt;"&amp;$A192,実績!$AL$6:$AL$505,"○")&gt;0,1,0))</f>
        <v>0</v>
      </c>
      <c r="BP192" s="39" t="n">
        <f aca="false">IF(BP$4=0,0,IF(COUNTIFS(実績!$W$6:$W$505,BP$3,実績!$AI$6:$AI$505,"&lt;="&amp;$A192,実績!$AJ$6:$AJ$505,"&gt;"&amp;$A192,実績!$AL$6:$AL$505,"○")&gt;0,1,0))</f>
        <v>0</v>
      </c>
      <c r="BQ192" s="39" t="n">
        <f aca="false">IF(BQ$4=0,0,IF(COUNTIFS(実績!$W$6:$W$505,BQ$3,実績!$AI$6:$AI$505,"&lt;="&amp;$A192,実績!$AJ$6:$AJ$505,"&gt;"&amp;$A192,実績!$AL$6:$AL$505,"○")&gt;0,1,0))</f>
        <v>0</v>
      </c>
      <c r="BR192" s="39" t="n">
        <f aca="false">IF(BR$4=0,0,IF(COUNTIFS(実績!$W$6:$W$505,BR$3,実績!$AI$6:$AI$505,"&lt;="&amp;$A192,実績!$AJ$6:$AJ$505,"&gt;"&amp;$A192,実績!$AL$6:$AL$505,"○")&gt;0,1,0))</f>
        <v>0</v>
      </c>
      <c r="BS192" s="39" t="n">
        <f aca="false">IF(BS$4=0,0,IF(COUNTIFS(実績!$W$6:$W$505,BS$3,実績!$AI$6:$AI$505,"&lt;="&amp;$A192,実績!$AJ$6:$AJ$505,"&gt;"&amp;$A192,実績!$AL$6:$AL$505,"○")&gt;0,1,0))</f>
        <v>0</v>
      </c>
      <c r="BT192" s="39" t="n">
        <f aca="false">IF(BT$4=0,0,IF(COUNTIFS(実績!$W$6:$W$505,BT$3,実績!$AI$6:$AI$505,"&lt;="&amp;$A192,実績!$AJ$6:$AJ$505,"&gt;"&amp;$A192,実績!$AL$6:$AL$505,"○")&gt;0,1,0))</f>
        <v>0</v>
      </c>
      <c r="BU192" s="39" t="n">
        <f aca="false">IF(BU$4=0,0,IF(COUNTIFS(実績!$W$6:$W$505,BU$3,実績!$AI$6:$AI$505,"&lt;="&amp;$A192,実績!$AJ$6:$AJ$505,"&gt;"&amp;$A192,実績!$AL$6:$AL$505,"○")&gt;0,1,0))</f>
        <v>0</v>
      </c>
      <c r="BV192" s="39" t="n">
        <f aca="false">IF(BV$4=0,0,IF(COUNTIFS(実績!$W$6:$W$505,BV$3,実績!$AI$6:$AI$505,"&lt;="&amp;$A192,実績!$AJ$6:$AJ$505,"&gt;"&amp;$A192,実績!$AL$6:$AL$505,"○")&gt;0,1,0))</f>
        <v>0</v>
      </c>
      <c r="BW192" s="39" t="n">
        <f aca="false">IF(BW$4=0,0,IF(COUNTIFS(実績!$W$6:$W$505,BW$3,実績!$AI$6:$AI$505,"&lt;="&amp;$A192,実績!$AJ$6:$AJ$505,"&gt;"&amp;$A192,実績!$AL$6:$AL$505,"○")&gt;0,1,0))</f>
        <v>0</v>
      </c>
      <c r="BX192" s="39" t="n">
        <f aca="false">IF(BX$4=0,0,IF(COUNTIFS(実績!$W$6:$W$505,BX$3,実績!$AI$6:$AI$505,"&lt;="&amp;$A192,実績!$AJ$6:$AJ$505,"&gt;"&amp;$A192,実績!$AL$6:$AL$505,"○")&gt;0,1,0))</f>
        <v>0</v>
      </c>
      <c r="BY192" s="39" t="n">
        <f aca="false">IF(BY$4=0,0,IF(COUNTIFS(実績!$W$6:$W$505,BY$3,実績!$AI$6:$AI$505,"&lt;="&amp;$A192,実績!$AJ$6:$AJ$505,"&gt;"&amp;$A192,実績!$AL$6:$AL$505,"○")&gt;0,1,0))</f>
        <v>0</v>
      </c>
      <c r="BZ192" s="39" t="n">
        <f aca="false">IF(BZ$4=0,0,IF(COUNTIFS(実績!$W$6:$W$505,BZ$3,実績!$AI$6:$AI$505,"&lt;="&amp;$A192,実績!$AJ$6:$AJ$505,"&gt;"&amp;$A192,実績!$AL$6:$AL$505,"○")&gt;0,1,0))</f>
        <v>0</v>
      </c>
      <c r="CA192" s="39" t="n">
        <f aca="false">IF(CA$4=0,0,IF(COUNTIFS(実績!$W$6:$W$505,CA$3,実績!$AI$6:$AI$505,"&lt;="&amp;$A192,実績!$AJ$6:$AJ$505,"&gt;"&amp;$A192,実績!$AL$6:$AL$505,"○")&gt;0,1,0))</f>
        <v>0</v>
      </c>
      <c r="CB192" s="39" t="n">
        <f aca="false">IF(CB$4=0,0,IF(COUNTIFS(実績!$W$6:$W$505,CB$3,実績!$AI$6:$AI$505,"&lt;="&amp;$A192,実績!$AJ$6:$AJ$505,"&gt;"&amp;$A192,実績!$AL$6:$AL$505,"○")&gt;0,1,0))</f>
        <v>0</v>
      </c>
      <c r="CC192" s="39" t="n">
        <f aca="false">IF(CC$4=0,0,IF(COUNTIFS(実績!$W$6:$W$505,CC$3,実績!$AI$6:$AI$505,"&lt;="&amp;$A192,実績!$AJ$6:$AJ$505,"&gt;"&amp;$A192,実績!$AL$6:$AL$505,"○")&gt;0,1,0))</f>
        <v>0</v>
      </c>
      <c r="CD192" s="39" t="n">
        <f aca="false">IF(CD$4=0,0,IF(COUNTIFS(実績!$W$6:$W$505,CD$3,実績!$AI$6:$AI$505,"&lt;="&amp;$A192,実績!$AJ$6:$AJ$505,"&gt;"&amp;$A192,実績!$AL$6:$AL$505,"○")&gt;0,1,0))</f>
        <v>0</v>
      </c>
      <c r="CE192" s="39" t="n">
        <f aca="false">IF(CE$4=0,0,IF(COUNTIFS(実績!$W$6:$W$505,CE$3,実績!$AI$6:$AI$505,"&lt;="&amp;$A192,実績!$AJ$6:$AJ$505,"&gt;"&amp;$A192,実績!$AL$6:$AL$505,"○")&gt;0,1,0))</f>
        <v>0</v>
      </c>
      <c r="CF192" s="39" t="n">
        <f aca="false">IF(CF$4=0,0,IF(COUNTIFS(実績!$W$6:$W$505,CF$3,実績!$AI$6:$AI$505,"&lt;="&amp;$A192,実績!$AJ$6:$AJ$505,"&gt;"&amp;$A192,実績!$AL$6:$AL$505,"○")&gt;0,1,0))</f>
        <v>0</v>
      </c>
      <c r="CG192" s="39" t="n">
        <f aca="false">IF(CG$4=0,0,IF(COUNTIFS(実績!$W$6:$W$505,CG$3,実績!$AI$6:$AI$505,"&lt;="&amp;$A192,実績!$AJ$6:$AJ$505,"&gt;"&amp;$A192,実績!$AL$6:$AL$505,"○")&gt;0,1,0))</f>
        <v>0</v>
      </c>
      <c r="CH192" s="39" t="n">
        <f aca="false">IF(CH$4=0,0,IF(COUNTIFS(実績!$W$6:$W$505,CH$3,実績!$AI$6:$AI$505,"&lt;="&amp;$A192,実績!$AJ$6:$AJ$505,"&gt;"&amp;$A192,実績!$AL$6:$AL$505,"○")&gt;0,1,0))</f>
        <v>0</v>
      </c>
      <c r="CI192" s="39" t="n">
        <f aca="false">IF(CI$4=0,0,IF(COUNTIFS(実績!$W$6:$W$505,CI$3,実績!$AI$6:$AI$505,"&lt;="&amp;$A192,実績!$AJ$6:$AJ$505,"&gt;"&amp;$A192,実績!$AL$6:$AL$505,"○")&gt;0,1,0))</f>
        <v>0</v>
      </c>
      <c r="CJ192" s="39" t="n">
        <f aca="false">IF(CJ$4=0,0,IF(COUNTIFS(実績!$W$6:$W$505,CJ$3,実績!$AI$6:$AI$505,"&lt;="&amp;$A192,実績!$AJ$6:$AJ$505,"&gt;"&amp;$A192,実績!$AL$6:$AL$505,"○")&gt;0,1,0))</f>
        <v>0</v>
      </c>
      <c r="CK192" s="39" t="n">
        <f aca="false">IF(CK$4=0,0,IF(COUNTIFS(実績!$W$6:$W$505,CK$3,実績!$AI$6:$AI$505,"&lt;="&amp;$A192,実績!$AJ$6:$AJ$505,"&gt;"&amp;$A192,実績!$AL$6:$AL$505,"○")&gt;0,1,0))</f>
        <v>0</v>
      </c>
      <c r="CL192" s="39" t="n">
        <f aca="false">IF(CL$4=0,0,IF(COUNTIFS(実績!$W$6:$W$505,CL$3,実績!$AI$6:$AI$505,"&lt;="&amp;$A192,実績!$AJ$6:$AJ$505,"&gt;"&amp;$A192,実績!$AL$6:$AL$505,"○")&gt;0,1,0))</f>
        <v>0</v>
      </c>
      <c r="CM192" s="39" t="n">
        <f aca="false">IF(CM$4=0,0,IF(COUNTIFS(実績!$W$6:$W$505,CM$3,実績!$AI$6:$AI$505,"&lt;="&amp;$A192,実績!$AJ$6:$AJ$505,"&gt;"&amp;$A192,実績!$AL$6:$AL$505,"○")&gt;0,1,0))</f>
        <v>0</v>
      </c>
      <c r="CN192" s="39" t="n">
        <f aca="false">IF(CN$4=0,0,IF(COUNTIFS(実績!$W$6:$W$505,CN$3,実績!$AI$6:$AI$505,"&lt;="&amp;$A192,実績!$AJ$6:$AJ$505,"&gt;"&amp;$A192,実績!$AL$6:$AL$505,"○")&gt;0,1,0))</f>
        <v>0</v>
      </c>
      <c r="CO192" s="39" t="n">
        <f aca="false">IF(CO$4=0,0,IF(COUNTIFS(実績!$W$6:$W$505,CO$3,実績!$AI$6:$AI$505,"&lt;="&amp;$A192,実績!$AJ$6:$AJ$505,"&gt;"&amp;$A192,実績!$AL$6:$AL$505,"○")&gt;0,1,0))</f>
        <v>0</v>
      </c>
      <c r="CP192" s="39" t="n">
        <f aca="false">IF(CP$4=0,0,IF(COUNTIFS(実績!$W$6:$W$505,CP$3,実績!$AI$6:$AI$505,"&lt;="&amp;$A192,実績!$AJ$6:$AJ$505,"&gt;"&amp;$A192,実績!$AL$6:$AL$505,"○")&gt;0,1,0))</f>
        <v>0</v>
      </c>
      <c r="CQ192" s="39" t="n">
        <f aca="false">IF(CQ$4=0,0,IF(COUNTIFS(実績!$W$6:$W$505,CQ$3,実績!$AI$6:$AI$505,"&lt;="&amp;$A192,実績!$AJ$6:$AJ$505,"&gt;"&amp;$A192,実績!$AL$6:$AL$505,"○")&gt;0,1,0))</f>
        <v>0</v>
      </c>
      <c r="CR192" s="39" t="n">
        <f aca="false">IF(CR$4=0,0,IF(COUNTIFS(実績!$W$6:$W$505,CR$3,実績!$AI$6:$AI$505,"&lt;="&amp;$A192,実績!$AJ$6:$AJ$505,"&gt;"&amp;$A192,実績!$AL$6:$AL$505,"○")&gt;0,1,0))</f>
        <v>0</v>
      </c>
      <c r="CS192" s="39" t="n">
        <f aca="false">IF(CS$4=0,0,IF(COUNTIFS(実績!$W$6:$W$505,CS$3,実績!$AI$6:$AI$505,"&lt;="&amp;$A192,実績!$AJ$6:$AJ$505,"&gt;"&amp;$A192,実績!$AL$6:$AL$505,"○")&gt;0,1,0))</f>
        <v>0</v>
      </c>
      <c r="CT192" s="39" t="n">
        <f aca="false">IF(CT$4=0,0,IF(COUNTIFS(実績!$W$6:$W$505,CT$3,実績!$AI$6:$AI$505,"&lt;="&amp;$A192,実績!$AJ$6:$AJ$505,"&gt;"&amp;$A192,実績!$AL$6:$AL$505,"○")&gt;0,1,0))</f>
        <v>0</v>
      </c>
      <c r="CU192" s="39" t="n">
        <f aca="false">IF(CU$4=0,0,IF(COUNTIFS(実績!$W$6:$W$505,CU$3,実績!$AI$6:$AI$505,"&lt;="&amp;$A192,実績!$AJ$6:$AJ$505,"&gt;"&amp;$A192,実績!$AL$6:$AL$505,"○")&gt;0,1,0))</f>
        <v>0</v>
      </c>
      <c r="CV192" s="39" t="n">
        <f aca="false">IF(CV$4=0,0,IF(COUNTIFS(実績!$W$6:$W$505,CV$3,実績!$AI$6:$AI$505,"&lt;="&amp;$A192,実績!$AJ$6:$AJ$505,"&gt;"&amp;$A192,実績!$AL$6:$AL$505,"○")&gt;0,1,0))</f>
        <v>0</v>
      </c>
      <c r="CW192" s="39" t="n">
        <f aca="false">IF(CW$4=0,0,IF(COUNTIFS(実績!$W$6:$W$505,CW$3,実績!$AI$6:$AI$505,"&lt;="&amp;$A192,実績!$AJ$6:$AJ$505,"&gt;"&amp;$A192,実績!$AL$6:$AL$505,"○")&gt;0,1,0))</f>
        <v>0</v>
      </c>
      <c r="CX192" s="39" t="n">
        <f aca="false">IF(CX$4=0,0,IF(COUNTIFS(実績!$W$6:$W$505,CX$3,実績!$AI$6:$AI$505,"&lt;="&amp;$A192,実績!$AJ$6:$AJ$505,"&gt;"&amp;$A192,実績!$AL$6:$AL$505,"○")&gt;0,1,0))</f>
        <v>0</v>
      </c>
      <c r="CY192" s="39" t="n">
        <f aca="false">IF(CY$4=0,0,IF(COUNTIFS(実績!$W$6:$W$505,CY$3,実績!$AI$6:$AI$505,"&lt;="&amp;$A192,実績!$AJ$6:$AJ$505,"&gt;"&amp;$A192,実績!$AL$6:$AL$505,"○")&gt;0,1,0))</f>
        <v>0</v>
      </c>
      <c r="CZ192" s="39" t="n">
        <f aca="false">IF(CZ$4=0,0,IF(COUNTIFS(実績!$W$6:$W$505,CZ$3,実績!$AI$6:$AI$505,"&lt;="&amp;$A192,実績!$AJ$6:$AJ$505,"&gt;"&amp;$A192,実績!$AL$6:$AL$505,"○")&gt;0,1,0))</f>
        <v>0</v>
      </c>
      <c r="DA192" s="39" t="n">
        <f aca="false">IF(DA$4=0,0,IF(COUNTIFS(実績!$W$6:$W$505,DA$3,実績!$AI$6:$AI$505,"&lt;="&amp;$A192,実績!$AJ$6:$AJ$505,"&gt;"&amp;$A192,実績!$AL$6:$AL$505,"○")&gt;0,1,0))</f>
        <v>0</v>
      </c>
      <c r="DB192" s="39" t="n">
        <f aca="false">IF(DB$4=0,0,IF(COUNTIFS(実績!$W$6:$W$505,DB$3,実績!$AI$6:$AI$505,"&lt;="&amp;$A192,実績!$AJ$6:$AJ$505,"&gt;"&amp;$A192,実績!$AL$6:$AL$505,"○")&gt;0,1,0))</f>
        <v>0</v>
      </c>
      <c r="DC192" s="39" t="n">
        <f aca="false">IF(DC$4=0,0,IF(COUNTIFS(実績!$W$6:$W$505,DC$3,実績!$AI$6:$AI$505,"&lt;="&amp;$A192,実績!$AJ$6:$AJ$505,"&gt;"&amp;$A192,実績!$AL$6:$AL$505,"○")&gt;0,1,0))</f>
        <v>0</v>
      </c>
      <c r="DD192" s="39" t="n">
        <f aca="false">IF(DD$4=0,0,IF(COUNTIFS(実績!$W$6:$W$505,DD$3,実績!$AI$6:$AI$505,"&lt;="&amp;$A192,実績!$AJ$6:$AJ$505,"&gt;"&amp;$A192,実績!$AL$6:$AL$505,"○")&gt;0,1,0))</f>
        <v>0</v>
      </c>
      <c r="DE192" s="39" t="n">
        <f aca="false">IF(DE$4=0,0,IF(COUNTIFS(実績!$W$6:$W$505,DE$3,実績!$AI$6:$AI$505,"&lt;="&amp;$A192,実績!$AJ$6:$AJ$505,"&gt;"&amp;$A192,実績!$AL$6:$AL$505,"○")&gt;0,1,0))</f>
        <v>0</v>
      </c>
      <c r="DF192" s="39" t="n">
        <f aca="false">IF(DF$4=0,0,IF(COUNTIFS(実績!$W$6:$W$505,DF$3,実績!$AI$6:$AI$505,"&lt;="&amp;$A192,実績!$AJ$6:$AJ$505,"&gt;"&amp;$A192,実績!$AL$6:$AL$505,"○")&gt;0,1,0))</f>
        <v>0</v>
      </c>
      <c r="DG192" s="39" t="n">
        <f aca="false">IF(DG$4=0,0,IF(COUNTIFS(実績!$W$6:$W$505,DG$3,実績!$AI$6:$AI$505,"&lt;="&amp;$A192,実績!$AJ$6:$AJ$505,"&gt;"&amp;$A192,実績!$AL$6:$AL$505,"○")&gt;0,1,0))</f>
        <v>0</v>
      </c>
      <c r="DH192" s="39" t="n">
        <f aca="false">IF(DH$4=0,0,IF(COUNTIFS(実績!$W$6:$W$505,DH$3,実績!$AI$6:$AI$505,"&lt;="&amp;$A192,実績!$AJ$6:$AJ$505,"&gt;"&amp;$A192,実績!$AL$6:$AL$505,"○")&gt;0,1,0))</f>
        <v>0</v>
      </c>
      <c r="DI192" s="39" t="n">
        <f aca="false">IF(DI$4=0,0,IF(COUNTIFS(実績!$W$6:$W$505,DI$3,実績!$AI$6:$AI$505,"&lt;="&amp;$A192,実績!$AJ$6:$AJ$505,"&gt;"&amp;$A192,実績!$AL$6:$AL$505,"○")&gt;0,1,0))</f>
        <v>0</v>
      </c>
      <c r="DJ192" s="39" t="n">
        <f aca="false">IF(DJ$4=0,0,IF(COUNTIFS(実績!$W$6:$W$505,DJ$3,実績!$AI$6:$AI$505,"&lt;="&amp;$A192,実績!$AJ$6:$AJ$505,"&gt;"&amp;$A192,実績!$AL$6:$AL$505,"○")&gt;0,1,0))</f>
        <v>0</v>
      </c>
      <c r="DK192" s="39" t="n">
        <f aca="false">IF(DK$4=0,0,IF(COUNTIFS(実績!$W$6:$W$505,DK$3,実績!$AI$6:$AI$505,"&lt;="&amp;$A192,実績!$AJ$6:$AJ$505,"&gt;"&amp;$A192,実績!$AL$6:$AL$505,"○")&gt;0,1,0))</f>
        <v>0</v>
      </c>
      <c r="DL192" s="39" t="n">
        <f aca="false">IF(DL$4=0,0,IF(COUNTIFS(実績!$W$6:$W$505,DL$3,実績!$AI$6:$AI$505,"&lt;="&amp;$A192,実績!$AJ$6:$AJ$505,"&gt;"&amp;$A192,実績!$AL$6:$AL$505,"○")&gt;0,1,0))</f>
        <v>0</v>
      </c>
      <c r="DM192" s="39" t="n">
        <f aca="false">IF(DM$4=0,0,IF(COUNTIFS(実績!$W$6:$W$505,DM$3,実績!$AI$6:$AI$505,"&lt;="&amp;$A192,実績!$AJ$6:$AJ$505,"&gt;"&amp;$A192,実績!$AL$6:$AL$505,"○")&gt;0,1,0))</f>
        <v>0</v>
      </c>
      <c r="DN192" s="39" t="n">
        <f aca="false">IF(DN$4=0,0,IF(COUNTIFS(実績!$W$6:$W$505,DN$3,実績!$AI$6:$AI$505,"&lt;="&amp;$A192,実績!$AJ$6:$AJ$505,"&gt;"&amp;$A192,実績!$AL$6:$AL$505,"○")&gt;0,1,0))</f>
        <v>0</v>
      </c>
      <c r="DO192" s="39" t="n">
        <f aca="false">IF(DO$4=0,0,IF(COUNTIFS(実績!$W$6:$W$505,DO$3,実績!$AI$6:$AI$505,"&lt;="&amp;$A192,実績!$AJ$6:$AJ$505,"&gt;"&amp;$A192,実績!$AL$6:$AL$505,"○")&gt;0,1,0))</f>
        <v>0</v>
      </c>
      <c r="DP192" s="39" t="n">
        <f aca="false">IF(DP$4=0,0,IF(COUNTIFS(実績!$W$6:$W$505,DP$3,実績!$AI$6:$AI$505,"&lt;="&amp;$A192,実績!$AJ$6:$AJ$505,"&gt;"&amp;$A192,実績!$AL$6:$AL$505,"○")&gt;0,1,0))</f>
        <v>0</v>
      </c>
      <c r="DQ192" s="39" t="n">
        <f aca="false">IF(DQ$4=0,0,IF(COUNTIFS(実績!$W$6:$W$505,DQ$3,実績!$AI$6:$AI$505,"&lt;="&amp;$A192,実績!$AJ$6:$AJ$505,"&gt;"&amp;$A192,実績!$AL$6:$AL$505,"○")&gt;0,1,0))</f>
        <v>0</v>
      </c>
      <c r="DR192" s="39" t="n">
        <f aca="false">IF(DR$4=0,0,IF(COUNTIFS(実績!$W$6:$W$505,DR$3,実績!$AI$6:$AI$505,"&lt;="&amp;$A192,実績!$AJ$6:$AJ$505,"&gt;"&amp;$A192,実績!$AL$6:$AL$505,"○")&gt;0,1,0))</f>
        <v>0</v>
      </c>
      <c r="DS192" s="39" t="n">
        <f aca="false">SUM(C192:DR192)</f>
        <v>0</v>
      </c>
    </row>
    <row r="193" customFormat="false" ht="15" hidden="false" customHeight="false" outlineLevel="0" collapsed="false">
      <c r="A193" s="0" t="n">
        <v>935</v>
      </c>
      <c r="B193" s="38" t="n">
        <f aca="false">A193/1440</f>
        <v>0.649305555555556</v>
      </c>
      <c r="C193" s="39" t="n">
        <f aca="false">IF(C$4=0,0,IF(COUNTIFS(実績!$W$6:$W$505,C$3,実績!$AI$6:$AI$505,"&lt;="&amp;$A193,実績!$AJ$6:$AJ$505,"&gt;"&amp;$A193,実績!$AL$6:$AL$505,"○")&gt;0,1,0))</f>
        <v>0</v>
      </c>
      <c r="D193" s="39" t="n">
        <f aca="false">IF(D$4=0,0,IF(COUNTIFS(実績!$W$6:$W$505,D$3,実績!$AI$6:$AI$505,"&lt;="&amp;$A193,実績!$AJ$6:$AJ$505,"&gt;"&amp;$A193,実績!$AL$6:$AL$505,"○")&gt;0,1,0))</f>
        <v>0</v>
      </c>
      <c r="E193" s="39" t="n">
        <f aca="false">IF(E$4=0,0,IF(COUNTIFS(実績!$W$6:$W$505,E$3,実績!$AI$6:$AI$505,"&lt;="&amp;$A193,実績!$AJ$6:$AJ$505,"&gt;"&amp;$A193,実績!$AL$6:$AL$505,"○")&gt;0,1,0))</f>
        <v>0</v>
      </c>
      <c r="F193" s="39" t="n">
        <f aca="false">IF(F$4=0,0,IF(COUNTIFS(実績!$W$6:$W$505,F$3,実績!$AI$6:$AI$505,"&lt;="&amp;$A193,実績!$AJ$6:$AJ$505,"&gt;"&amp;$A193,実績!$AL$6:$AL$505,"○")&gt;0,1,0))</f>
        <v>0</v>
      </c>
      <c r="G193" s="39" t="n">
        <f aca="false">IF(G$4=0,0,IF(COUNTIFS(実績!$W$6:$W$505,G$3,実績!$AI$6:$AI$505,"&lt;="&amp;$A193,実績!$AJ$6:$AJ$505,"&gt;"&amp;$A193,実績!$AL$6:$AL$505,"○")&gt;0,1,0))</f>
        <v>0</v>
      </c>
      <c r="H193" s="39" t="n">
        <f aca="false">IF(H$4=0,0,IF(COUNTIFS(実績!$W$6:$W$505,H$3,実績!$AI$6:$AI$505,"&lt;="&amp;$A193,実績!$AJ$6:$AJ$505,"&gt;"&amp;$A193,実績!$AL$6:$AL$505,"○")&gt;0,1,0))</f>
        <v>0</v>
      </c>
      <c r="I193" s="39" t="n">
        <f aca="false">IF(I$4=0,0,IF(COUNTIFS(実績!$W$6:$W$505,I$3,実績!$AI$6:$AI$505,"&lt;="&amp;$A193,実績!$AJ$6:$AJ$505,"&gt;"&amp;$A193,実績!$AL$6:$AL$505,"○")&gt;0,1,0))</f>
        <v>0</v>
      </c>
      <c r="J193" s="39" t="n">
        <f aca="false">IF(J$4=0,0,IF(COUNTIFS(実績!$W$6:$W$505,J$3,実績!$AI$6:$AI$505,"&lt;="&amp;$A193,実績!$AJ$6:$AJ$505,"&gt;"&amp;$A193,実績!$AL$6:$AL$505,"○")&gt;0,1,0))</f>
        <v>0</v>
      </c>
      <c r="K193" s="39" t="n">
        <f aca="false">IF(K$4=0,0,IF(COUNTIFS(実績!$W$6:$W$505,K$3,実績!$AI$6:$AI$505,"&lt;="&amp;$A193,実績!$AJ$6:$AJ$505,"&gt;"&amp;$A193,実績!$AL$6:$AL$505,"○")&gt;0,1,0))</f>
        <v>0</v>
      </c>
      <c r="L193" s="39" t="n">
        <f aca="false">IF(L$4=0,0,IF(COUNTIFS(実績!$W$6:$W$505,L$3,実績!$AI$6:$AI$505,"&lt;="&amp;$A193,実績!$AJ$6:$AJ$505,"&gt;"&amp;$A193,実績!$AL$6:$AL$505,"○")&gt;0,1,0))</f>
        <v>0</v>
      </c>
      <c r="M193" s="39" t="n">
        <f aca="false">IF(M$4=0,0,IF(COUNTIFS(実績!$W$6:$W$505,M$3,実績!$AI$6:$AI$505,"&lt;="&amp;$A193,実績!$AJ$6:$AJ$505,"&gt;"&amp;$A193,実績!$AL$6:$AL$505,"○")&gt;0,1,0))</f>
        <v>0</v>
      </c>
      <c r="N193" s="39" t="n">
        <f aca="false">IF(N$4=0,0,IF(COUNTIFS(実績!$W$6:$W$505,N$3,実績!$AI$6:$AI$505,"&lt;="&amp;$A193,実績!$AJ$6:$AJ$505,"&gt;"&amp;$A193,実績!$AL$6:$AL$505,"○")&gt;0,1,0))</f>
        <v>0</v>
      </c>
      <c r="O193" s="39" t="n">
        <f aca="false">IF(O$4=0,0,IF(COUNTIFS(実績!$W$6:$W$505,O$3,実績!$AI$6:$AI$505,"&lt;="&amp;$A193,実績!$AJ$6:$AJ$505,"&gt;"&amp;$A193,実績!$AL$6:$AL$505,"○")&gt;0,1,0))</f>
        <v>0</v>
      </c>
      <c r="P193" s="39" t="n">
        <f aca="false">IF(P$4=0,0,IF(COUNTIFS(実績!$W$6:$W$505,P$3,実績!$AI$6:$AI$505,"&lt;="&amp;$A193,実績!$AJ$6:$AJ$505,"&gt;"&amp;$A193,実績!$AL$6:$AL$505,"○")&gt;0,1,0))</f>
        <v>0</v>
      </c>
      <c r="Q193" s="39" t="n">
        <f aca="false">IF(Q$4=0,0,IF(COUNTIFS(実績!$W$6:$W$505,Q$3,実績!$AI$6:$AI$505,"&lt;="&amp;$A193,実績!$AJ$6:$AJ$505,"&gt;"&amp;$A193,実績!$AL$6:$AL$505,"○")&gt;0,1,0))</f>
        <v>0</v>
      </c>
      <c r="R193" s="39" t="n">
        <f aca="false">IF(R$4=0,0,IF(COUNTIFS(実績!$W$6:$W$505,R$3,実績!$AI$6:$AI$505,"&lt;="&amp;$A193,実績!$AJ$6:$AJ$505,"&gt;"&amp;$A193,実績!$AL$6:$AL$505,"○")&gt;0,1,0))</f>
        <v>0</v>
      </c>
      <c r="S193" s="39" t="n">
        <f aca="false">IF(S$4=0,0,IF(COUNTIFS(実績!$W$6:$W$505,S$3,実績!$AI$6:$AI$505,"&lt;="&amp;$A193,実績!$AJ$6:$AJ$505,"&gt;"&amp;$A193,実績!$AL$6:$AL$505,"○")&gt;0,1,0))</f>
        <v>0</v>
      </c>
      <c r="T193" s="39" t="n">
        <f aca="false">IF(T$4=0,0,IF(COUNTIFS(実績!$W$6:$W$505,T$3,実績!$AI$6:$AI$505,"&lt;="&amp;$A193,実績!$AJ$6:$AJ$505,"&gt;"&amp;$A193,実績!$AL$6:$AL$505,"○")&gt;0,1,0))</f>
        <v>0</v>
      </c>
      <c r="U193" s="39" t="n">
        <f aca="false">IF(U$4=0,0,IF(COUNTIFS(実績!$W$6:$W$505,U$3,実績!$AI$6:$AI$505,"&lt;="&amp;$A193,実績!$AJ$6:$AJ$505,"&gt;"&amp;$A193,実績!$AL$6:$AL$505,"○")&gt;0,1,0))</f>
        <v>0</v>
      </c>
      <c r="V193" s="39" t="n">
        <f aca="false">IF(V$4=0,0,IF(COUNTIFS(実績!$W$6:$W$505,V$3,実績!$AI$6:$AI$505,"&lt;="&amp;$A193,実績!$AJ$6:$AJ$505,"&gt;"&amp;$A193,実績!$AL$6:$AL$505,"○")&gt;0,1,0))</f>
        <v>0</v>
      </c>
      <c r="W193" s="39" t="n">
        <f aca="false">IF(W$4=0,0,IF(COUNTIFS(実績!$W$6:$W$505,W$3,実績!$AI$6:$AI$505,"&lt;="&amp;$A193,実績!$AJ$6:$AJ$505,"&gt;"&amp;$A193,実績!$AL$6:$AL$505,"○")&gt;0,1,0))</f>
        <v>0</v>
      </c>
      <c r="X193" s="39" t="n">
        <f aca="false">IF(X$4=0,0,IF(COUNTIFS(実績!$W$6:$W$505,X$3,実績!$AI$6:$AI$505,"&lt;="&amp;$A193,実績!$AJ$6:$AJ$505,"&gt;"&amp;$A193,実績!$AL$6:$AL$505,"○")&gt;0,1,0))</f>
        <v>0</v>
      </c>
      <c r="Y193" s="39" t="n">
        <f aca="false">IF(Y$4=0,0,IF(COUNTIFS(実績!$W$6:$W$505,Y$3,実績!$AI$6:$AI$505,"&lt;="&amp;$A193,実績!$AJ$6:$AJ$505,"&gt;"&amp;$A193,実績!$AL$6:$AL$505,"○")&gt;0,1,0))</f>
        <v>0</v>
      </c>
      <c r="Z193" s="39" t="n">
        <f aca="false">IF(Z$4=0,0,IF(COUNTIFS(実績!$W$6:$W$505,Z$3,実績!$AI$6:$AI$505,"&lt;="&amp;$A193,実績!$AJ$6:$AJ$505,"&gt;"&amp;$A193,実績!$AL$6:$AL$505,"○")&gt;0,1,0))</f>
        <v>0</v>
      </c>
      <c r="AA193" s="39" t="n">
        <f aca="false">IF(AA$4=0,0,IF(COUNTIFS(実績!$W$6:$W$505,AA$3,実績!$AI$6:$AI$505,"&lt;="&amp;$A193,実績!$AJ$6:$AJ$505,"&gt;"&amp;$A193,実績!$AL$6:$AL$505,"○")&gt;0,1,0))</f>
        <v>0</v>
      </c>
      <c r="AB193" s="39" t="n">
        <f aca="false">IF(AB$4=0,0,IF(COUNTIFS(実績!$W$6:$W$505,AB$3,実績!$AI$6:$AI$505,"&lt;="&amp;$A193,実績!$AJ$6:$AJ$505,"&gt;"&amp;$A193,実績!$AL$6:$AL$505,"○")&gt;0,1,0))</f>
        <v>0</v>
      </c>
      <c r="AC193" s="39" t="n">
        <f aca="false">IF(AC$4=0,0,IF(COUNTIFS(実績!$W$6:$W$505,AC$3,実績!$AI$6:$AI$505,"&lt;="&amp;$A193,実績!$AJ$6:$AJ$505,"&gt;"&amp;$A193,実績!$AL$6:$AL$505,"○")&gt;0,1,0))</f>
        <v>0</v>
      </c>
      <c r="AD193" s="39" t="n">
        <f aca="false">IF(AD$4=0,0,IF(COUNTIFS(実績!$W$6:$W$505,AD$3,実績!$AI$6:$AI$505,"&lt;="&amp;$A193,実績!$AJ$6:$AJ$505,"&gt;"&amp;$A193,実績!$AL$6:$AL$505,"○")&gt;0,1,0))</f>
        <v>0</v>
      </c>
      <c r="AE193" s="39" t="n">
        <f aca="false">IF(AE$4=0,0,IF(COUNTIFS(実績!$W$6:$W$505,AE$3,実績!$AI$6:$AI$505,"&lt;="&amp;$A193,実績!$AJ$6:$AJ$505,"&gt;"&amp;$A193,実績!$AL$6:$AL$505,"○")&gt;0,1,0))</f>
        <v>0</v>
      </c>
      <c r="AF193" s="39" t="n">
        <f aca="false">IF(AF$4=0,0,IF(COUNTIFS(実績!$W$6:$W$505,AF$3,実績!$AI$6:$AI$505,"&lt;="&amp;$A193,実績!$AJ$6:$AJ$505,"&gt;"&amp;$A193,実績!$AL$6:$AL$505,"○")&gt;0,1,0))</f>
        <v>0</v>
      </c>
      <c r="AG193" s="39" t="n">
        <f aca="false">IF(AG$4=0,0,IF(COUNTIFS(実績!$W$6:$W$505,AG$3,実績!$AI$6:$AI$505,"&lt;="&amp;$A193,実績!$AJ$6:$AJ$505,"&gt;"&amp;$A193,実績!$AL$6:$AL$505,"○")&gt;0,1,0))</f>
        <v>0</v>
      </c>
      <c r="AH193" s="39" t="n">
        <f aca="false">IF(AH$4=0,0,IF(COUNTIFS(実績!$W$6:$W$505,AH$3,実績!$AI$6:$AI$505,"&lt;="&amp;$A193,実績!$AJ$6:$AJ$505,"&gt;"&amp;$A193,実績!$AL$6:$AL$505,"○")&gt;0,1,0))</f>
        <v>0</v>
      </c>
      <c r="AI193" s="39" t="n">
        <f aca="false">IF(AI$4=0,0,IF(COUNTIFS(実績!$W$6:$W$505,AI$3,実績!$AI$6:$AI$505,"&lt;="&amp;$A193,実績!$AJ$6:$AJ$505,"&gt;"&amp;$A193,実績!$AL$6:$AL$505,"○")&gt;0,1,0))</f>
        <v>0</v>
      </c>
      <c r="AJ193" s="39" t="n">
        <f aca="false">IF(AJ$4=0,0,IF(COUNTIFS(実績!$W$6:$W$505,AJ$3,実績!$AI$6:$AI$505,"&lt;="&amp;$A193,実績!$AJ$6:$AJ$505,"&gt;"&amp;$A193,実績!$AL$6:$AL$505,"○")&gt;0,1,0))</f>
        <v>0</v>
      </c>
      <c r="AK193" s="39" t="n">
        <f aca="false">IF(AK$4=0,0,IF(COUNTIFS(実績!$W$6:$W$505,AK$3,実績!$AI$6:$AI$505,"&lt;="&amp;$A193,実績!$AJ$6:$AJ$505,"&gt;"&amp;$A193,実績!$AL$6:$AL$505,"○")&gt;0,1,0))</f>
        <v>0</v>
      </c>
      <c r="AL193" s="39" t="n">
        <f aca="false">IF(AL$4=0,0,IF(COUNTIFS(実績!$W$6:$W$505,AL$3,実績!$AI$6:$AI$505,"&lt;="&amp;$A193,実績!$AJ$6:$AJ$505,"&gt;"&amp;$A193,実績!$AL$6:$AL$505,"○")&gt;0,1,0))</f>
        <v>0</v>
      </c>
      <c r="AM193" s="39" t="n">
        <f aca="false">IF(AM$4=0,0,IF(COUNTIFS(実績!$W$6:$W$505,AM$3,実績!$AI$6:$AI$505,"&lt;="&amp;$A193,実績!$AJ$6:$AJ$505,"&gt;"&amp;$A193,実績!$AL$6:$AL$505,"○")&gt;0,1,0))</f>
        <v>0</v>
      </c>
      <c r="AN193" s="39" t="n">
        <f aca="false">IF(AN$4=0,0,IF(COUNTIFS(実績!$W$6:$W$505,AN$3,実績!$AI$6:$AI$505,"&lt;="&amp;$A193,実績!$AJ$6:$AJ$505,"&gt;"&amp;$A193,実績!$AL$6:$AL$505,"○")&gt;0,1,0))</f>
        <v>0</v>
      </c>
      <c r="AO193" s="39" t="n">
        <f aca="false">IF(AO$4=0,0,IF(COUNTIFS(実績!$W$6:$W$505,AO$3,実績!$AI$6:$AI$505,"&lt;="&amp;$A193,実績!$AJ$6:$AJ$505,"&gt;"&amp;$A193,実績!$AL$6:$AL$505,"○")&gt;0,1,0))</f>
        <v>0</v>
      </c>
      <c r="AP193" s="39" t="n">
        <f aca="false">IF(AP$4=0,0,IF(COUNTIFS(実績!$W$6:$W$505,AP$3,実績!$AI$6:$AI$505,"&lt;="&amp;$A193,実績!$AJ$6:$AJ$505,"&gt;"&amp;$A193,実績!$AL$6:$AL$505,"○")&gt;0,1,0))</f>
        <v>0</v>
      </c>
      <c r="AQ193" s="39" t="n">
        <f aca="false">IF(AQ$4=0,0,IF(COUNTIFS(実績!$W$6:$W$505,AQ$3,実績!$AI$6:$AI$505,"&lt;="&amp;$A193,実績!$AJ$6:$AJ$505,"&gt;"&amp;$A193,実績!$AL$6:$AL$505,"○")&gt;0,1,0))</f>
        <v>0</v>
      </c>
      <c r="AR193" s="39" t="n">
        <f aca="false">IF(AR$4=0,0,IF(COUNTIFS(実績!$W$6:$W$505,AR$3,実績!$AI$6:$AI$505,"&lt;="&amp;$A193,実績!$AJ$6:$AJ$505,"&gt;"&amp;$A193,実績!$AL$6:$AL$505,"○")&gt;0,1,0))</f>
        <v>0</v>
      </c>
      <c r="AS193" s="39" t="n">
        <f aca="false">IF(AS$4=0,0,IF(COUNTIFS(実績!$W$6:$W$505,AS$3,実績!$AI$6:$AI$505,"&lt;="&amp;$A193,実績!$AJ$6:$AJ$505,"&gt;"&amp;$A193,実績!$AL$6:$AL$505,"○")&gt;0,1,0))</f>
        <v>0</v>
      </c>
      <c r="AT193" s="39" t="n">
        <f aca="false">IF(AT$4=0,0,IF(COUNTIFS(実績!$W$6:$W$505,AT$3,実績!$AI$6:$AI$505,"&lt;="&amp;$A193,実績!$AJ$6:$AJ$505,"&gt;"&amp;$A193,実績!$AL$6:$AL$505,"○")&gt;0,1,0))</f>
        <v>0</v>
      </c>
      <c r="AU193" s="39" t="n">
        <f aca="false">IF(AU$4=0,0,IF(COUNTIFS(実績!$W$6:$W$505,AU$3,実績!$AI$6:$AI$505,"&lt;="&amp;$A193,実績!$AJ$6:$AJ$505,"&gt;"&amp;$A193,実績!$AL$6:$AL$505,"○")&gt;0,1,0))</f>
        <v>0</v>
      </c>
      <c r="AV193" s="39" t="n">
        <f aca="false">IF(AV$4=0,0,IF(COUNTIFS(実績!$W$6:$W$505,AV$3,実績!$AI$6:$AI$505,"&lt;="&amp;$A193,実績!$AJ$6:$AJ$505,"&gt;"&amp;$A193,実績!$AL$6:$AL$505,"○")&gt;0,1,0))</f>
        <v>0</v>
      </c>
      <c r="AW193" s="39" t="n">
        <f aca="false">IF(AW$4=0,0,IF(COUNTIFS(実績!$W$6:$W$505,AW$3,実績!$AI$6:$AI$505,"&lt;="&amp;$A193,実績!$AJ$6:$AJ$505,"&gt;"&amp;$A193,実績!$AL$6:$AL$505,"○")&gt;0,1,0))</f>
        <v>0</v>
      </c>
      <c r="AX193" s="39" t="n">
        <f aca="false">IF(AX$4=0,0,IF(COUNTIFS(実績!$W$6:$W$505,AX$3,実績!$AI$6:$AI$505,"&lt;="&amp;$A193,実績!$AJ$6:$AJ$505,"&gt;"&amp;$A193,実績!$AL$6:$AL$505,"○")&gt;0,1,0))</f>
        <v>0</v>
      </c>
      <c r="AY193" s="39" t="n">
        <f aca="false">IF(AY$4=0,0,IF(COUNTIFS(実績!$W$6:$W$505,AY$3,実績!$AI$6:$AI$505,"&lt;="&amp;$A193,実績!$AJ$6:$AJ$505,"&gt;"&amp;$A193,実績!$AL$6:$AL$505,"○")&gt;0,1,0))</f>
        <v>0</v>
      </c>
      <c r="AZ193" s="39" t="n">
        <f aca="false">IF(AZ$4=0,0,IF(COUNTIFS(実績!$W$6:$W$505,AZ$3,実績!$AI$6:$AI$505,"&lt;="&amp;$A193,実績!$AJ$6:$AJ$505,"&gt;"&amp;$A193,実績!$AL$6:$AL$505,"○")&gt;0,1,0))</f>
        <v>0</v>
      </c>
      <c r="BA193" s="39" t="n">
        <f aca="false">IF(BA$4=0,0,IF(COUNTIFS(実績!$W$6:$W$505,BA$3,実績!$AI$6:$AI$505,"&lt;="&amp;$A193,実績!$AJ$6:$AJ$505,"&gt;"&amp;$A193,実績!$AL$6:$AL$505,"○")&gt;0,1,0))</f>
        <v>0</v>
      </c>
      <c r="BB193" s="39" t="n">
        <f aca="false">IF(BB$4=0,0,IF(COUNTIFS(実績!$W$6:$W$505,BB$3,実績!$AI$6:$AI$505,"&lt;="&amp;$A193,実績!$AJ$6:$AJ$505,"&gt;"&amp;$A193,実績!$AL$6:$AL$505,"○")&gt;0,1,0))</f>
        <v>0</v>
      </c>
      <c r="BC193" s="39" t="n">
        <f aca="false">IF(BC$4=0,0,IF(COUNTIFS(実績!$W$6:$W$505,BC$3,実績!$AI$6:$AI$505,"&lt;="&amp;$A193,実績!$AJ$6:$AJ$505,"&gt;"&amp;$A193,実績!$AL$6:$AL$505,"○")&gt;0,1,0))</f>
        <v>0</v>
      </c>
      <c r="BD193" s="39" t="n">
        <f aca="false">IF(BD$4=0,0,IF(COUNTIFS(実績!$W$6:$W$505,BD$3,実績!$AI$6:$AI$505,"&lt;="&amp;$A193,実績!$AJ$6:$AJ$505,"&gt;"&amp;$A193,実績!$AL$6:$AL$505,"○")&gt;0,1,0))</f>
        <v>0</v>
      </c>
      <c r="BE193" s="39" t="n">
        <f aca="false">IF(BE$4=0,0,IF(COUNTIFS(実績!$W$6:$W$505,BE$3,実績!$AI$6:$AI$505,"&lt;="&amp;$A193,実績!$AJ$6:$AJ$505,"&gt;"&amp;$A193,実績!$AL$6:$AL$505,"○")&gt;0,1,0))</f>
        <v>0</v>
      </c>
      <c r="BF193" s="39" t="n">
        <f aca="false">IF(BF$4=0,0,IF(COUNTIFS(実績!$W$6:$W$505,BF$3,実績!$AI$6:$AI$505,"&lt;="&amp;$A193,実績!$AJ$6:$AJ$505,"&gt;"&amp;$A193,実績!$AL$6:$AL$505,"○")&gt;0,1,0))</f>
        <v>0</v>
      </c>
      <c r="BG193" s="39" t="n">
        <f aca="false">IF(BG$4=0,0,IF(COUNTIFS(実績!$W$6:$W$505,BG$3,実績!$AI$6:$AI$505,"&lt;="&amp;$A193,実績!$AJ$6:$AJ$505,"&gt;"&amp;$A193,実績!$AL$6:$AL$505,"○")&gt;0,1,0))</f>
        <v>0</v>
      </c>
      <c r="BH193" s="39" t="n">
        <f aca="false">IF(BH$4=0,0,IF(COUNTIFS(実績!$W$6:$W$505,BH$3,実績!$AI$6:$AI$505,"&lt;="&amp;$A193,実績!$AJ$6:$AJ$505,"&gt;"&amp;$A193,実績!$AL$6:$AL$505,"○")&gt;0,1,0))</f>
        <v>0</v>
      </c>
      <c r="BI193" s="39" t="n">
        <f aca="false">IF(BI$4=0,0,IF(COUNTIFS(実績!$W$6:$W$505,BI$3,実績!$AI$6:$AI$505,"&lt;="&amp;$A193,実績!$AJ$6:$AJ$505,"&gt;"&amp;$A193,実績!$AL$6:$AL$505,"○")&gt;0,1,0))</f>
        <v>0</v>
      </c>
      <c r="BJ193" s="39" t="n">
        <f aca="false">IF(BJ$4=0,0,IF(COUNTIFS(実績!$W$6:$W$505,BJ$3,実績!$AI$6:$AI$505,"&lt;="&amp;$A193,実績!$AJ$6:$AJ$505,"&gt;"&amp;$A193,実績!$AL$6:$AL$505,"○")&gt;0,1,0))</f>
        <v>0</v>
      </c>
      <c r="BK193" s="39" t="n">
        <f aca="false">IF(BK$4=0,0,IF(COUNTIFS(実績!$W$6:$W$505,BK$3,実績!$AI$6:$AI$505,"&lt;="&amp;$A193,実績!$AJ$6:$AJ$505,"&gt;"&amp;$A193,実績!$AL$6:$AL$505,"○")&gt;0,1,0))</f>
        <v>0</v>
      </c>
      <c r="BL193" s="39" t="n">
        <f aca="false">IF(BL$4=0,0,IF(COUNTIFS(実績!$W$6:$W$505,BL$3,実績!$AI$6:$AI$505,"&lt;="&amp;$A193,実績!$AJ$6:$AJ$505,"&gt;"&amp;$A193,実績!$AL$6:$AL$505,"○")&gt;0,1,0))</f>
        <v>0</v>
      </c>
      <c r="BM193" s="39" t="n">
        <f aca="false">IF(BM$4=0,0,IF(COUNTIFS(実績!$W$6:$W$505,BM$3,実績!$AI$6:$AI$505,"&lt;="&amp;$A193,実績!$AJ$6:$AJ$505,"&gt;"&amp;$A193,実績!$AL$6:$AL$505,"○")&gt;0,1,0))</f>
        <v>0</v>
      </c>
      <c r="BN193" s="39" t="n">
        <f aca="false">IF(BN$4=0,0,IF(COUNTIFS(実績!$W$6:$W$505,BN$3,実績!$AI$6:$AI$505,"&lt;="&amp;$A193,実績!$AJ$6:$AJ$505,"&gt;"&amp;$A193,実績!$AL$6:$AL$505,"○")&gt;0,1,0))</f>
        <v>0</v>
      </c>
      <c r="BO193" s="39" t="n">
        <f aca="false">IF(BO$4=0,0,IF(COUNTIFS(実績!$W$6:$W$505,BO$3,実績!$AI$6:$AI$505,"&lt;="&amp;$A193,実績!$AJ$6:$AJ$505,"&gt;"&amp;$A193,実績!$AL$6:$AL$505,"○")&gt;0,1,0))</f>
        <v>0</v>
      </c>
      <c r="BP193" s="39" t="n">
        <f aca="false">IF(BP$4=0,0,IF(COUNTIFS(実績!$W$6:$W$505,BP$3,実績!$AI$6:$AI$505,"&lt;="&amp;$A193,実績!$AJ$6:$AJ$505,"&gt;"&amp;$A193,実績!$AL$6:$AL$505,"○")&gt;0,1,0))</f>
        <v>0</v>
      </c>
      <c r="BQ193" s="39" t="n">
        <f aca="false">IF(BQ$4=0,0,IF(COUNTIFS(実績!$W$6:$W$505,BQ$3,実績!$AI$6:$AI$505,"&lt;="&amp;$A193,実績!$AJ$6:$AJ$505,"&gt;"&amp;$A193,実績!$AL$6:$AL$505,"○")&gt;0,1,0))</f>
        <v>0</v>
      </c>
      <c r="BR193" s="39" t="n">
        <f aca="false">IF(BR$4=0,0,IF(COUNTIFS(実績!$W$6:$W$505,BR$3,実績!$AI$6:$AI$505,"&lt;="&amp;$A193,実績!$AJ$6:$AJ$505,"&gt;"&amp;$A193,実績!$AL$6:$AL$505,"○")&gt;0,1,0))</f>
        <v>0</v>
      </c>
      <c r="BS193" s="39" t="n">
        <f aca="false">IF(BS$4=0,0,IF(COUNTIFS(実績!$W$6:$W$505,BS$3,実績!$AI$6:$AI$505,"&lt;="&amp;$A193,実績!$AJ$6:$AJ$505,"&gt;"&amp;$A193,実績!$AL$6:$AL$505,"○")&gt;0,1,0))</f>
        <v>0</v>
      </c>
      <c r="BT193" s="39" t="n">
        <f aca="false">IF(BT$4=0,0,IF(COUNTIFS(実績!$W$6:$W$505,BT$3,実績!$AI$6:$AI$505,"&lt;="&amp;$A193,実績!$AJ$6:$AJ$505,"&gt;"&amp;$A193,実績!$AL$6:$AL$505,"○")&gt;0,1,0))</f>
        <v>0</v>
      </c>
      <c r="BU193" s="39" t="n">
        <f aca="false">IF(BU$4=0,0,IF(COUNTIFS(実績!$W$6:$W$505,BU$3,実績!$AI$6:$AI$505,"&lt;="&amp;$A193,実績!$AJ$6:$AJ$505,"&gt;"&amp;$A193,実績!$AL$6:$AL$505,"○")&gt;0,1,0))</f>
        <v>0</v>
      </c>
      <c r="BV193" s="39" t="n">
        <f aca="false">IF(BV$4=0,0,IF(COUNTIFS(実績!$W$6:$W$505,BV$3,実績!$AI$6:$AI$505,"&lt;="&amp;$A193,実績!$AJ$6:$AJ$505,"&gt;"&amp;$A193,実績!$AL$6:$AL$505,"○")&gt;0,1,0))</f>
        <v>0</v>
      </c>
      <c r="BW193" s="39" t="n">
        <f aca="false">IF(BW$4=0,0,IF(COUNTIFS(実績!$W$6:$W$505,BW$3,実績!$AI$6:$AI$505,"&lt;="&amp;$A193,実績!$AJ$6:$AJ$505,"&gt;"&amp;$A193,実績!$AL$6:$AL$505,"○")&gt;0,1,0))</f>
        <v>0</v>
      </c>
      <c r="BX193" s="39" t="n">
        <f aca="false">IF(BX$4=0,0,IF(COUNTIFS(実績!$W$6:$W$505,BX$3,実績!$AI$6:$AI$505,"&lt;="&amp;$A193,実績!$AJ$6:$AJ$505,"&gt;"&amp;$A193,実績!$AL$6:$AL$505,"○")&gt;0,1,0))</f>
        <v>0</v>
      </c>
      <c r="BY193" s="39" t="n">
        <f aca="false">IF(BY$4=0,0,IF(COUNTIFS(実績!$W$6:$W$505,BY$3,実績!$AI$6:$AI$505,"&lt;="&amp;$A193,実績!$AJ$6:$AJ$505,"&gt;"&amp;$A193,実績!$AL$6:$AL$505,"○")&gt;0,1,0))</f>
        <v>0</v>
      </c>
      <c r="BZ193" s="39" t="n">
        <f aca="false">IF(BZ$4=0,0,IF(COUNTIFS(実績!$W$6:$W$505,BZ$3,実績!$AI$6:$AI$505,"&lt;="&amp;$A193,実績!$AJ$6:$AJ$505,"&gt;"&amp;$A193,実績!$AL$6:$AL$505,"○")&gt;0,1,0))</f>
        <v>0</v>
      </c>
      <c r="CA193" s="39" t="n">
        <f aca="false">IF(CA$4=0,0,IF(COUNTIFS(実績!$W$6:$W$505,CA$3,実績!$AI$6:$AI$505,"&lt;="&amp;$A193,実績!$AJ$6:$AJ$505,"&gt;"&amp;$A193,実績!$AL$6:$AL$505,"○")&gt;0,1,0))</f>
        <v>0</v>
      </c>
      <c r="CB193" s="39" t="n">
        <f aca="false">IF(CB$4=0,0,IF(COUNTIFS(実績!$W$6:$W$505,CB$3,実績!$AI$6:$AI$505,"&lt;="&amp;$A193,実績!$AJ$6:$AJ$505,"&gt;"&amp;$A193,実績!$AL$6:$AL$505,"○")&gt;0,1,0))</f>
        <v>0</v>
      </c>
      <c r="CC193" s="39" t="n">
        <f aca="false">IF(CC$4=0,0,IF(COUNTIFS(実績!$W$6:$W$505,CC$3,実績!$AI$6:$AI$505,"&lt;="&amp;$A193,実績!$AJ$6:$AJ$505,"&gt;"&amp;$A193,実績!$AL$6:$AL$505,"○")&gt;0,1,0))</f>
        <v>0</v>
      </c>
      <c r="CD193" s="39" t="n">
        <f aca="false">IF(CD$4=0,0,IF(COUNTIFS(実績!$W$6:$W$505,CD$3,実績!$AI$6:$AI$505,"&lt;="&amp;$A193,実績!$AJ$6:$AJ$505,"&gt;"&amp;$A193,実績!$AL$6:$AL$505,"○")&gt;0,1,0))</f>
        <v>0</v>
      </c>
      <c r="CE193" s="39" t="n">
        <f aca="false">IF(CE$4=0,0,IF(COUNTIFS(実績!$W$6:$W$505,CE$3,実績!$AI$6:$AI$505,"&lt;="&amp;$A193,実績!$AJ$6:$AJ$505,"&gt;"&amp;$A193,実績!$AL$6:$AL$505,"○")&gt;0,1,0))</f>
        <v>0</v>
      </c>
      <c r="CF193" s="39" t="n">
        <f aca="false">IF(CF$4=0,0,IF(COUNTIFS(実績!$W$6:$W$505,CF$3,実績!$AI$6:$AI$505,"&lt;="&amp;$A193,実績!$AJ$6:$AJ$505,"&gt;"&amp;$A193,実績!$AL$6:$AL$505,"○")&gt;0,1,0))</f>
        <v>0</v>
      </c>
      <c r="CG193" s="39" t="n">
        <f aca="false">IF(CG$4=0,0,IF(COUNTIFS(実績!$W$6:$W$505,CG$3,実績!$AI$6:$AI$505,"&lt;="&amp;$A193,実績!$AJ$6:$AJ$505,"&gt;"&amp;$A193,実績!$AL$6:$AL$505,"○")&gt;0,1,0))</f>
        <v>0</v>
      </c>
      <c r="CH193" s="39" t="n">
        <f aca="false">IF(CH$4=0,0,IF(COUNTIFS(実績!$W$6:$W$505,CH$3,実績!$AI$6:$AI$505,"&lt;="&amp;$A193,実績!$AJ$6:$AJ$505,"&gt;"&amp;$A193,実績!$AL$6:$AL$505,"○")&gt;0,1,0))</f>
        <v>0</v>
      </c>
      <c r="CI193" s="39" t="n">
        <f aca="false">IF(CI$4=0,0,IF(COUNTIFS(実績!$W$6:$W$505,CI$3,実績!$AI$6:$AI$505,"&lt;="&amp;$A193,実績!$AJ$6:$AJ$505,"&gt;"&amp;$A193,実績!$AL$6:$AL$505,"○")&gt;0,1,0))</f>
        <v>0</v>
      </c>
      <c r="CJ193" s="39" t="n">
        <f aca="false">IF(CJ$4=0,0,IF(COUNTIFS(実績!$W$6:$W$505,CJ$3,実績!$AI$6:$AI$505,"&lt;="&amp;$A193,実績!$AJ$6:$AJ$505,"&gt;"&amp;$A193,実績!$AL$6:$AL$505,"○")&gt;0,1,0))</f>
        <v>0</v>
      </c>
      <c r="CK193" s="39" t="n">
        <f aca="false">IF(CK$4=0,0,IF(COUNTIFS(実績!$W$6:$W$505,CK$3,実績!$AI$6:$AI$505,"&lt;="&amp;$A193,実績!$AJ$6:$AJ$505,"&gt;"&amp;$A193,実績!$AL$6:$AL$505,"○")&gt;0,1,0))</f>
        <v>0</v>
      </c>
      <c r="CL193" s="39" t="n">
        <f aca="false">IF(CL$4=0,0,IF(COUNTIFS(実績!$W$6:$W$505,CL$3,実績!$AI$6:$AI$505,"&lt;="&amp;$A193,実績!$AJ$6:$AJ$505,"&gt;"&amp;$A193,実績!$AL$6:$AL$505,"○")&gt;0,1,0))</f>
        <v>0</v>
      </c>
      <c r="CM193" s="39" t="n">
        <f aca="false">IF(CM$4=0,0,IF(COUNTIFS(実績!$W$6:$W$505,CM$3,実績!$AI$6:$AI$505,"&lt;="&amp;$A193,実績!$AJ$6:$AJ$505,"&gt;"&amp;$A193,実績!$AL$6:$AL$505,"○")&gt;0,1,0))</f>
        <v>0</v>
      </c>
      <c r="CN193" s="39" t="n">
        <f aca="false">IF(CN$4=0,0,IF(COUNTIFS(実績!$W$6:$W$505,CN$3,実績!$AI$6:$AI$505,"&lt;="&amp;$A193,実績!$AJ$6:$AJ$505,"&gt;"&amp;$A193,実績!$AL$6:$AL$505,"○")&gt;0,1,0))</f>
        <v>0</v>
      </c>
      <c r="CO193" s="39" t="n">
        <f aca="false">IF(CO$4=0,0,IF(COUNTIFS(実績!$W$6:$W$505,CO$3,実績!$AI$6:$AI$505,"&lt;="&amp;$A193,実績!$AJ$6:$AJ$505,"&gt;"&amp;$A193,実績!$AL$6:$AL$505,"○")&gt;0,1,0))</f>
        <v>0</v>
      </c>
      <c r="CP193" s="39" t="n">
        <f aca="false">IF(CP$4=0,0,IF(COUNTIFS(実績!$W$6:$W$505,CP$3,実績!$AI$6:$AI$505,"&lt;="&amp;$A193,実績!$AJ$6:$AJ$505,"&gt;"&amp;$A193,実績!$AL$6:$AL$505,"○")&gt;0,1,0))</f>
        <v>0</v>
      </c>
      <c r="CQ193" s="39" t="n">
        <f aca="false">IF(CQ$4=0,0,IF(COUNTIFS(実績!$W$6:$W$505,CQ$3,実績!$AI$6:$AI$505,"&lt;="&amp;$A193,実績!$AJ$6:$AJ$505,"&gt;"&amp;$A193,実績!$AL$6:$AL$505,"○")&gt;0,1,0))</f>
        <v>0</v>
      </c>
      <c r="CR193" s="39" t="n">
        <f aca="false">IF(CR$4=0,0,IF(COUNTIFS(実績!$W$6:$W$505,CR$3,実績!$AI$6:$AI$505,"&lt;="&amp;$A193,実績!$AJ$6:$AJ$505,"&gt;"&amp;$A193,実績!$AL$6:$AL$505,"○")&gt;0,1,0))</f>
        <v>0</v>
      </c>
      <c r="CS193" s="39" t="n">
        <f aca="false">IF(CS$4=0,0,IF(COUNTIFS(実績!$W$6:$W$505,CS$3,実績!$AI$6:$AI$505,"&lt;="&amp;$A193,実績!$AJ$6:$AJ$505,"&gt;"&amp;$A193,実績!$AL$6:$AL$505,"○")&gt;0,1,0))</f>
        <v>0</v>
      </c>
      <c r="CT193" s="39" t="n">
        <f aca="false">IF(CT$4=0,0,IF(COUNTIFS(実績!$W$6:$W$505,CT$3,実績!$AI$6:$AI$505,"&lt;="&amp;$A193,実績!$AJ$6:$AJ$505,"&gt;"&amp;$A193,実績!$AL$6:$AL$505,"○")&gt;0,1,0))</f>
        <v>0</v>
      </c>
      <c r="CU193" s="39" t="n">
        <f aca="false">IF(CU$4=0,0,IF(COUNTIFS(実績!$W$6:$W$505,CU$3,実績!$AI$6:$AI$505,"&lt;="&amp;$A193,実績!$AJ$6:$AJ$505,"&gt;"&amp;$A193,実績!$AL$6:$AL$505,"○")&gt;0,1,0))</f>
        <v>0</v>
      </c>
      <c r="CV193" s="39" t="n">
        <f aca="false">IF(CV$4=0,0,IF(COUNTIFS(実績!$W$6:$W$505,CV$3,実績!$AI$6:$AI$505,"&lt;="&amp;$A193,実績!$AJ$6:$AJ$505,"&gt;"&amp;$A193,実績!$AL$6:$AL$505,"○")&gt;0,1,0))</f>
        <v>0</v>
      </c>
      <c r="CW193" s="39" t="n">
        <f aca="false">IF(CW$4=0,0,IF(COUNTIFS(実績!$W$6:$W$505,CW$3,実績!$AI$6:$AI$505,"&lt;="&amp;$A193,実績!$AJ$6:$AJ$505,"&gt;"&amp;$A193,実績!$AL$6:$AL$505,"○")&gt;0,1,0))</f>
        <v>0</v>
      </c>
      <c r="CX193" s="39" t="n">
        <f aca="false">IF(CX$4=0,0,IF(COUNTIFS(実績!$W$6:$W$505,CX$3,実績!$AI$6:$AI$505,"&lt;="&amp;$A193,実績!$AJ$6:$AJ$505,"&gt;"&amp;$A193,実績!$AL$6:$AL$505,"○")&gt;0,1,0))</f>
        <v>0</v>
      </c>
      <c r="CY193" s="39" t="n">
        <f aca="false">IF(CY$4=0,0,IF(COUNTIFS(実績!$W$6:$W$505,CY$3,実績!$AI$6:$AI$505,"&lt;="&amp;$A193,実績!$AJ$6:$AJ$505,"&gt;"&amp;$A193,実績!$AL$6:$AL$505,"○")&gt;0,1,0))</f>
        <v>0</v>
      </c>
      <c r="CZ193" s="39" t="n">
        <f aca="false">IF(CZ$4=0,0,IF(COUNTIFS(実績!$W$6:$W$505,CZ$3,実績!$AI$6:$AI$505,"&lt;="&amp;$A193,実績!$AJ$6:$AJ$505,"&gt;"&amp;$A193,実績!$AL$6:$AL$505,"○")&gt;0,1,0))</f>
        <v>0</v>
      </c>
      <c r="DA193" s="39" t="n">
        <f aca="false">IF(DA$4=0,0,IF(COUNTIFS(実績!$W$6:$W$505,DA$3,実績!$AI$6:$AI$505,"&lt;="&amp;$A193,実績!$AJ$6:$AJ$505,"&gt;"&amp;$A193,実績!$AL$6:$AL$505,"○")&gt;0,1,0))</f>
        <v>0</v>
      </c>
      <c r="DB193" s="39" t="n">
        <f aca="false">IF(DB$4=0,0,IF(COUNTIFS(実績!$W$6:$W$505,DB$3,実績!$AI$6:$AI$505,"&lt;="&amp;$A193,実績!$AJ$6:$AJ$505,"&gt;"&amp;$A193,実績!$AL$6:$AL$505,"○")&gt;0,1,0))</f>
        <v>0</v>
      </c>
      <c r="DC193" s="39" t="n">
        <f aca="false">IF(DC$4=0,0,IF(COUNTIFS(実績!$W$6:$W$505,DC$3,実績!$AI$6:$AI$505,"&lt;="&amp;$A193,実績!$AJ$6:$AJ$505,"&gt;"&amp;$A193,実績!$AL$6:$AL$505,"○")&gt;0,1,0))</f>
        <v>0</v>
      </c>
      <c r="DD193" s="39" t="n">
        <f aca="false">IF(DD$4=0,0,IF(COUNTIFS(実績!$W$6:$W$505,DD$3,実績!$AI$6:$AI$505,"&lt;="&amp;$A193,実績!$AJ$6:$AJ$505,"&gt;"&amp;$A193,実績!$AL$6:$AL$505,"○")&gt;0,1,0))</f>
        <v>0</v>
      </c>
      <c r="DE193" s="39" t="n">
        <f aca="false">IF(DE$4=0,0,IF(COUNTIFS(実績!$W$6:$W$505,DE$3,実績!$AI$6:$AI$505,"&lt;="&amp;$A193,実績!$AJ$6:$AJ$505,"&gt;"&amp;$A193,実績!$AL$6:$AL$505,"○")&gt;0,1,0))</f>
        <v>0</v>
      </c>
      <c r="DF193" s="39" t="n">
        <f aca="false">IF(DF$4=0,0,IF(COUNTIFS(実績!$W$6:$W$505,DF$3,実績!$AI$6:$AI$505,"&lt;="&amp;$A193,実績!$AJ$6:$AJ$505,"&gt;"&amp;$A193,実績!$AL$6:$AL$505,"○")&gt;0,1,0))</f>
        <v>0</v>
      </c>
      <c r="DG193" s="39" t="n">
        <f aca="false">IF(DG$4=0,0,IF(COUNTIFS(実績!$W$6:$W$505,DG$3,実績!$AI$6:$AI$505,"&lt;="&amp;$A193,実績!$AJ$6:$AJ$505,"&gt;"&amp;$A193,実績!$AL$6:$AL$505,"○")&gt;0,1,0))</f>
        <v>0</v>
      </c>
      <c r="DH193" s="39" t="n">
        <f aca="false">IF(DH$4=0,0,IF(COUNTIFS(実績!$W$6:$W$505,DH$3,実績!$AI$6:$AI$505,"&lt;="&amp;$A193,実績!$AJ$6:$AJ$505,"&gt;"&amp;$A193,実績!$AL$6:$AL$505,"○")&gt;0,1,0))</f>
        <v>0</v>
      </c>
      <c r="DI193" s="39" t="n">
        <f aca="false">IF(DI$4=0,0,IF(COUNTIFS(実績!$W$6:$W$505,DI$3,実績!$AI$6:$AI$505,"&lt;="&amp;$A193,実績!$AJ$6:$AJ$505,"&gt;"&amp;$A193,実績!$AL$6:$AL$505,"○")&gt;0,1,0))</f>
        <v>0</v>
      </c>
      <c r="DJ193" s="39" t="n">
        <f aca="false">IF(DJ$4=0,0,IF(COUNTIFS(実績!$W$6:$W$505,DJ$3,実績!$AI$6:$AI$505,"&lt;="&amp;$A193,実績!$AJ$6:$AJ$505,"&gt;"&amp;$A193,実績!$AL$6:$AL$505,"○")&gt;0,1,0))</f>
        <v>0</v>
      </c>
      <c r="DK193" s="39" t="n">
        <f aca="false">IF(DK$4=0,0,IF(COUNTIFS(実績!$W$6:$W$505,DK$3,実績!$AI$6:$AI$505,"&lt;="&amp;$A193,実績!$AJ$6:$AJ$505,"&gt;"&amp;$A193,実績!$AL$6:$AL$505,"○")&gt;0,1,0))</f>
        <v>0</v>
      </c>
      <c r="DL193" s="39" t="n">
        <f aca="false">IF(DL$4=0,0,IF(COUNTIFS(実績!$W$6:$W$505,DL$3,実績!$AI$6:$AI$505,"&lt;="&amp;$A193,実績!$AJ$6:$AJ$505,"&gt;"&amp;$A193,実績!$AL$6:$AL$505,"○")&gt;0,1,0))</f>
        <v>0</v>
      </c>
      <c r="DM193" s="39" t="n">
        <f aca="false">IF(DM$4=0,0,IF(COUNTIFS(実績!$W$6:$W$505,DM$3,実績!$AI$6:$AI$505,"&lt;="&amp;$A193,実績!$AJ$6:$AJ$505,"&gt;"&amp;$A193,実績!$AL$6:$AL$505,"○")&gt;0,1,0))</f>
        <v>0</v>
      </c>
      <c r="DN193" s="39" t="n">
        <f aca="false">IF(DN$4=0,0,IF(COUNTIFS(実績!$W$6:$W$505,DN$3,実績!$AI$6:$AI$505,"&lt;="&amp;$A193,実績!$AJ$6:$AJ$505,"&gt;"&amp;$A193,実績!$AL$6:$AL$505,"○")&gt;0,1,0))</f>
        <v>0</v>
      </c>
      <c r="DO193" s="39" t="n">
        <f aca="false">IF(DO$4=0,0,IF(COUNTIFS(実績!$W$6:$W$505,DO$3,実績!$AI$6:$AI$505,"&lt;="&amp;$A193,実績!$AJ$6:$AJ$505,"&gt;"&amp;$A193,実績!$AL$6:$AL$505,"○")&gt;0,1,0))</f>
        <v>0</v>
      </c>
      <c r="DP193" s="39" t="n">
        <f aca="false">IF(DP$4=0,0,IF(COUNTIFS(実績!$W$6:$W$505,DP$3,実績!$AI$6:$AI$505,"&lt;="&amp;$A193,実績!$AJ$6:$AJ$505,"&gt;"&amp;$A193,実績!$AL$6:$AL$505,"○")&gt;0,1,0))</f>
        <v>0</v>
      </c>
      <c r="DQ193" s="39" t="n">
        <f aca="false">IF(DQ$4=0,0,IF(COUNTIFS(実績!$W$6:$W$505,DQ$3,実績!$AI$6:$AI$505,"&lt;="&amp;$A193,実績!$AJ$6:$AJ$505,"&gt;"&amp;$A193,実績!$AL$6:$AL$505,"○")&gt;0,1,0))</f>
        <v>0</v>
      </c>
      <c r="DR193" s="39" t="n">
        <f aca="false">IF(DR$4=0,0,IF(COUNTIFS(実績!$W$6:$W$505,DR$3,実績!$AI$6:$AI$505,"&lt;="&amp;$A193,実績!$AJ$6:$AJ$505,"&gt;"&amp;$A193,実績!$AL$6:$AL$505,"○")&gt;0,1,0))</f>
        <v>0</v>
      </c>
      <c r="DS193" s="39" t="n">
        <f aca="false">SUM(C193:DR193)</f>
        <v>0</v>
      </c>
    </row>
    <row r="194" customFormat="false" ht="15" hidden="false" customHeight="false" outlineLevel="0" collapsed="false">
      <c r="A194" s="0" t="n">
        <v>940</v>
      </c>
      <c r="B194" s="38" t="n">
        <f aca="false">A194/1440</f>
        <v>0.652777777777778</v>
      </c>
      <c r="C194" s="39" t="n">
        <f aca="false">IF(C$4=0,0,IF(COUNTIFS(実績!$W$6:$W$505,C$3,実績!$AI$6:$AI$505,"&lt;="&amp;$A194,実績!$AJ$6:$AJ$505,"&gt;"&amp;$A194,実績!$AL$6:$AL$505,"○")&gt;0,1,0))</f>
        <v>0</v>
      </c>
      <c r="D194" s="39" t="n">
        <f aca="false">IF(D$4=0,0,IF(COUNTIFS(実績!$W$6:$W$505,D$3,実績!$AI$6:$AI$505,"&lt;="&amp;$A194,実績!$AJ$6:$AJ$505,"&gt;"&amp;$A194,実績!$AL$6:$AL$505,"○")&gt;0,1,0))</f>
        <v>0</v>
      </c>
      <c r="E194" s="39" t="n">
        <f aca="false">IF(E$4=0,0,IF(COUNTIFS(実績!$W$6:$W$505,E$3,実績!$AI$6:$AI$505,"&lt;="&amp;$A194,実績!$AJ$6:$AJ$505,"&gt;"&amp;$A194,実績!$AL$6:$AL$505,"○")&gt;0,1,0))</f>
        <v>0</v>
      </c>
      <c r="F194" s="39" t="n">
        <f aca="false">IF(F$4=0,0,IF(COUNTIFS(実績!$W$6:$W$505,F$3,実績!$AI$6:$AI$505,"&lt;="&amp;$A194,実績!$AJ$6:$AJ$505,"&gt;"&amp;$A194,実績!$AL$6:$AL$505,"○")&gt;0,1,0))</f>
        <v>0</v>
      </c>
      <c r="G194" s="39" t="n">
        <f aca="false">IF(G$4=0,0,IF(COUNTIFS(実績!$W$6:$W$505,G$3,実績!$AI$6:$AI$505,"&lt;="&amp;$A194,実績!$AJ$6:$AJ$505,"&gt;"&amp;$A194,実績!$AL$6:$AL$505,"○")&gt;0,1,0))</f>
        <v>0</v>
      </c>
      <c r="H194" s="39" t="n">
        <f aca="false">IF(H$4=0,0,IF(COUNTIFS(実績!$W$6:$W$505,H$3,実績!$AI$6:$AI$505,"&lt;="&amp;$A194,実績!$AJ$6:$AJ$505,"&gt;"&amp;$A194,実績!$AL$6:$AL$505,"○")&gt;0,1,0))</f>
        <v>0</v>
      </c>
      <c r="I194" s="39" t="n">
        <f aca="false">IF(I$4=0,0,IF(COUNTIFS(実績!$W$6:$W$505,I$3,実績!$AI$6:$AI$505,"&lt;="&amp;$A194,実績!$AJ$6:$AJ$505,"&gt;"&amp;$A194,実績!$AL$6:$AL$505,"○")&gt;0,1,0))</f>
        <v>0</v>
      </c>
      <c r="J194" s="39" t="n">
        <f aca="false">IF(J$4=0,0,IF(COUNTIFS(実績!$W$6:$W$505,J$3,実績!$AI$6:$AI$505,"&lt;="&amp;$A194,実績!$AJ$6:$AJ$505,"&gt;"&amp;$A194,実績!$AL$6:$AL$505,"○")&gt;0,1,0))</f>
        <v>0</v>
      </c>
      <c r="K194" s="39" t="n">
        <f aca="false">IF(K$4=0,0,IF(COUNTIFS(実績!$W$6:$W$505,K$3,実績!$AI$6:$AI$505,"&lt;="&amp;$A194,実績!$AJ$6:$AJ$505,"&gt;"&amp;$A194,実績!$AL$6:$AL$505,"○")&gt;0,1,0))</f>
        <v>0</v>
      </c>
      <c r="L194" s="39" t="n">
        <f aca="false">IF(L$4=0,0,IF(COUNTIFS(実績!$W$6:$W$505,L$3,実績!$AI$6:$AI$505,"&lt;="&amp;$A194,実績!$AJ$6:$AJ$505,"&gt;"&amp;$A194,実績!$AL$6:$AL$505,"○")&gt;0,1,0))</f>
        <v>0</v>
      </c>
      <c r="M194" s="39" t="n">
        <f aca="false">IF(M$4=0,0,IF(COUNTIFS(実績!$W$6:$W$505,M$3,実績!$AI$6:$AI$505,"&lt;="&amp;$A194,実績!$AJ$6:$AJ$505,"&gt;"&amp;$A194,実績!$AL$6:$AL$505,"○")&gt;0,1,0))</f>
        <v>0</v>
      </c>
      <c r="N194" s="39" t="n">
        <f aca="false">IF(N$4=0,0,IF(COUNTIFS(実績!$W$6:$W$505,N$3,実績!$AI$6:$AI$505,"&lt;="&amp;$A194,実績!$AJ$6:$AJ$505,"&gt;"&amp;$A194,実績!$AL$6:$AL$505,"○")&gt;0,1,0))</f>
        <v>0</v>
      </c>
      <c r="O194" s="39" t="n">
        <f aca="false">IF(O$4=0,0,IF(COUNTIFS(実績!$W$6:$W$505,O$3,実績!$AI$6:$AI$505,"&lt;="&amp;$A194,実績!$AJ$6:$AJ$505,"&gt;"&amp;$A194,実績!$AL$6:$AL$505,"○")&gt;0,1,0))</f>
        <v>0</v>
      </c>
      <c r="P194" s="39" t="n">
        <f aca="false">IF(P$4=0,0,IF(COUNTIFS(実績!$W$6:$W$505,P$3,実績!$AI$6:$AI$505,"&lt;="&amp;$A194,実績!$AJ$6:$AJ$505,"&gt;"&amp;$A194,実績!$AL$6:$AL$505,"○")&gt;0,1,0))</f>
        <v>0</v>
      </c>
      <c r="Q194" s="39" t="n">
        <f aca="false">IF(Q$4=0,0,IF(COUNTIFS(実績!$W$6:$W$505,Q$3,実績!$AI$6:$AI$505,"&lt;="&amp;$A194,実績!$AJ$6:$AJ$505,"&gt;"&amp;$A194,実績!$AL$6:$AL$505,"○")&gt;0,1,0))</f>
        <v>0</v>
      </c>
      <c r="R194" s="39" t="n">
        <f aca="false">IF(R$4=0,0,IF(COUNTIFS(実績!$W$6:$W$505,R$3,実績!$AI$6:$AI$505,"&lt;="&amp;$A194,実績!$AJ$6:$AJ$505,"&gt;"&amp;$A194,実績!$AL$6:$AL$505,"○")&gt;0,1,0))</f>
        <v>0</v>
      </c>
      <c r="S194" s="39" t="n">
        <f aca="false">IF(S$4=0,0,IF(COUNTIFS(実績!$W$6:$W$505,S$3,実績!$AI$6:$AI$505,"&lt;="&amp;$A194,実績!$AJ$6:$AJ$505,"&gt;"&amp;$A194,実績!$AL$6:$AL$505,"○")&gt;0,1,0))</f>
        <v>0</v>
      </c>
      <c r="T194" s="39" t="n">
        <f aca="false">IF(T$4=0,0,IF(COUNTIFS(実績!$W$6:$W$505,T$3,実績!$AI$6:$AI$505,"&lt;="&amp;$A194,実績!$AJ$6:$AJ$505,"&gt;"&amp;$A194,実績!$AL$6:$AL$505,"○")&gt;0,1,0))</f>
        <v>0</v>
      </c>
      <c r="U194" s="39" t="n">
        <f aca="false">IF(U$4=0,0,IF(COUNTIFS(実績!$W$6:$W$505,U$3,実績!$AI$6:$AI$505,"&lt;="&amp;$A194,実績!$AJ$6:$AJ$505,"&gt;"&amp;$A194,実績!$AL$6:$AL$505,"○")&gt;0,1,0))</f>
        <v>0</v>
      </c>
      <c r="V194" s="39" t="n">
        <f aca="false">IF(V$4=0,0,IF(COUNTIFS(実績!$W$6:$W$505,V$3,実績!$AI$6:$AI$505,"&lt;="&amp;$A194,実績!$AJ$6:$AJ$505,"&gt;"&amp;$A194,実績!$AL$6:$AL$505,"○")&gt;0,1,0))</f>
        <v>0</v>
      </c>
      <c r="W194" s="39" t="n">
        <f aca="false">IF(W$4=0,0,IF(COUNTIFS(実績!$W$6:$W$505,W$3,実績!$AI$6:$AI$505,"&lt;="&amp;$A194,実績!$AJ$6:$AJ$505,"&gt;"&amp;$A194,実績!$AL$6:$AL$505,"○")&gt;0,1,0))</f>
        <v>0</v>
      </c>
      <c r="X194" s="39" t="n">
        <f aca="false">IF(X$4=0,0,IF(COUNTIFS(実績!$W$6:$W$505,X$3,実績!$AI$6:$AI$505,"&lt;="&amp;$A194,実績!$AJ$6:$AJ$505,"&gt;"&amp;$A194,実績!$AL$6:$AL$505,"○")&gt;0,1,0))</f>
        <v>0</v>
      </c>
      <c r="Y194" s="39" t="n">
        <f aca="false">IF(Y$4=0,0,IF(COUNTIFS(実績!$W$6:$W$505,Y$3,実績!$AI$6:$AI$505,"&lt;="&amp;$A194,実績!$AJ$6:$AJ$505,"&gt;"&amp;$A194,実績!$AL$6:$AL$505,"○")&gt;0,1,0))</f>
        <v>0</v>
      </c>
      <c r="Z194" s="39" t="n">
        <f aca="false">IF(Z$4=0,0,IF(COUNTIFS(実績!$W$6:$W$505,Z$3,実績!$AI$6:$AI$505,"&lt;="&amp;$A194,実績!$AJ$6:$AJ$505,"&gt;"&amp;$A194,実績!$AL$6:$AL$505,"○")&gt;0,1,0))</f>
        <v>0</v>
      </c>
      <c r="AA194" s="39" t="n">
        <f aca="false">IF(AA$4=0,0,IF(COUNTIFS(実績!$W$6:$W$505,AA$3,実績!$AI$6:$AI$505,"&lt;="&amp;$A194,実績!$AJ$6:$AJ$505,"&gt;"&amp;$A194,実績!$AL$6:$AL$505,"○")&gt;0,1,0))</f>
        <v>0</v>
      </c>
      <c r="AB194" s="39" t="n">
        <f aca="false">IF(AB$4=0,0,IF(COUNTIFS(実績!$W$6:$W$505,AB$3,実績!$AI$6:$AI$505,"&lt;="&amp;$A194,実績!$AJ$6:$AJ$505,"&gt;"&amp;$A194,実績!$AL$6:$AL$505,"○")&gt;0,1,0))</f>
        <v>0</v>
      </c>
      <c r="AC194" s="39" t="n">
        <f aca="false">IF(AC$4=0,0,IF(COUNTIFS(実績!$W$6:$W$505,AC$3,実績!$AI$6:$AI$505,"&lt;="&amp;$A194,実績!$AJ$6:$AJ$505,"&gt;"&amp;$A194,実績!$AL$6:$AL$505,"○")&gt;0,1,0))</f>
        <v>0</v>
      </c>
      <c r="AD194" s="39" t="n">
        <f aca="false">IF(AD$4=0,0,IF(COUNTIFS(実績!$W$6:$W$505,AD$3,実績!$AI$6:$AI$505,"&lt;="&amp;$A194,実績!$AJ$6:$AJ$505,"&gt;"&amp;$A194,実績!$AL$6:$AL$505,"○")&gt;0,1,0))</f>
        <v>0</v>
      </c>
      <c r="AE194" s="39" t="n">
        <f aca="false">IF(AE$4=0,0,IF(COUNTIFS(実績!$W$6:$W$505,AE$3,実績!$AI$6:$AI$505,"&lt;="&amp;$A194,実績!$AJ$6:$AJ$505,"&gt;"&amp;$A194,実績!$AL$6:$AL$505,"○")&gt;0,1,0))</f>
        <v>0</v>
      </c>
      <c r="AF194" s="39" t="n">
        <f aca="false">IF(AF$4=0,0,IF(COUNTIFS(実績!$W$6:$W$505,AF$3,実績!$AI$6:$AI$505,"&lt;="&amp;$A194,実績!$AJ$6:$AJ$505,"&gt;"&amp;$A194,実績!$AL$6:$AL$505,"○")&gt;0,1,0))</f>
        <v>0</v>
      </c>
      <c r="AG194" s="39" t="n">
        <f aca="false">IF(AG$4=0,0,IF(COUNTIFS(実績!$W$6:$W$505,AG$3,実績!$AI$6:$AI$505,"&lt;="&amp;$A194,実績!$AJ$6:$AJ$505,"&gt;"&amp;$A194,実績!$AL$6:$AL$505,"○")&gt;0,1,0))</f>
        <v>0</v>
      </c>
      <c r="AH194" s="39" t="n">
        <f aca="false">IF(AH$4=0,0,IF(COUNTIFS(実績!$W$6:$W$505,AH$3,実績!$AI$6:$AI$505,"&lt;="&amp;$A194,実績!$AJ$6:$AJ$505,"&gt;"&amp;$A194,実績!$AL$6:$AL$505,"○")&gt;0,1,0))</f>
        <v>0</v>
      </c>
      <c r="AI194" s="39" t="n">
        <f aca="false">IF(AI$4=0,0,IF(COUNTIFS(実績!$W$6:$W$505,AI$3,実績!$AI$6:$AI$505,"&lt;="&amp;$A194,実績!$AJ$6:$AJ$505,"&gt;"&amp;$A194,実績!$AL$6:$AL$505,"○")&gt;0,1,0))</f>
        <v>0</v>
      </c>
      <c r="AJ194" s="39" t="n">
        <f aca="false">IF(AJ$4=0,0,IF(COUNTIFS(実績!$W$6:$W$505,AJ$3,実績!$AI$6:$AI$505,"&lt;="&amp;$A194,実績!$AJ$6:$AJ$505,"&gt;"&amp;$A194,実績!$AL$6:$AL$505,"○")&gt;0,1,0))</f>
        <v>0</v>
      </c>
      <c r="AK194" s="39" t="n">
        <f aca="false">IF(AK$4=0,0,IF(COUNTIFS(実績!$W$6:$W$505,AK$3,実績!$AI$6:$AI$505,"&lt;="&amp;$A194,実績!$AJ$6:$AJ$505,"&gt;"&amp;$A194,実績!$AL$6:$AL$505,"○")&gt;0,1,0))</f>
        <v>0</v>
      </c>
      <c r="AL194" s="39" t="n">
        <f aca="false">IF(AL$4=0,0,IF(COUNTIFS(実績!$W$6:$W$505,AL$3,実績!$AI$6:$AI$505,"&lt;="&amp;$A194,実績!$AJ$6:$AJ$505,"&gt;"&amp;$A194,実績!$AL$6:$AL$505,"○")&gt;0,1,0))</f>
        <v>0</v>
      </c>
      <c r="AM194" s="39" t="n">
        <f aca="false">IF(AM$4=0,0,IF(COUNTIFS(実績!$W$6:$W$505,AM$3,実績!$AI$6:$AI$505,"&lt;="&amp;$A194,実績!$AJ$6:$AJ$505,"&gt;"&amp;$A194,実績!$AL$6:$AL$505,"○")&gt;0,1,0))</f>
        <v>0</v>
      </c>
      <c r="AN194" s="39" t="n">
        <f aca="false">IF(AN$4=0,0,IF(COUNTIFS(実績!$W$6:$W$505,AN$3,実績!$AI$6:$AI$505,"&lt;="&amp;$A194,実績!$AJ$6:$AJ$505,"&gt;"&amp;$A194,実績!$AL$6:$AL$505,"○")&gt;0,1,0))</f>
        <v>0</v>
      </c>
      <c r="AO194" s="39" t="n">
        <f aca="false">IF(AO$4=0,0,IF(COUNTIFS(実績!$W$6:$W$505,AO$3,実績!$AI$6:$AI$505,"&lt;="&amp;$A194,実績!$AJ$6:$AJ$505,"&gt;"&amp;$A194,実績!$AL$6:$AL$505,"○")&gt;0,1,0))</f>
        <v>0</v>
      </c>
      <c r="AP194" s="39" t="n">
        <f aca="false">IF(AP$4=0,0,IF(COUNTIFS(実績!$W$6:$W$505,AP$3,実績!$AI$6:$AI$505,"&lt;="&amp;$A194,実績!$AJ$6:$AJ$505,"&gt;"&amp;$A194,実績!$AL$6:$AL$505,"○")&gt;0,1,0))</f>
        <v>0</v>
      </c>
      <c r="AQ194" s="39" t="n">
        <f aca="false">IF(AQ$4=0,0,IF(COUNTIFS(実績!$W$6:$W$505,AQ$3,実績!$AI$6:$AI$505,"&lt;="&amp;$A194,実績!$AJ$6:$AJ$505,"&gt;"&amp;$A194,実績!$AL$6:$AL$505,"○")&gt;0,1,0))</f>
        <v>0</v>
      </c>
      <c r="AR194" s="39" t="n">
        <f aca="false">IF(AR$4=0,0,IF(COUNTIFS(実績!$W$6:$W$505,AR$3,実績!$AI$6:$AI$505,"&lt;="&amp;$A194,実績!$AJ$6:$AJ$505,"&gt;"&amp;$A194,実績!$AL$6:$AL$505,"○")&gt;0,1,0))</f>
        <v>0</v>
      </c>
      <c r="AS194" s="39" t="n">
        <f aca="false">IF(AS$4=0,0,IF(COUNTIFS(実績!$W$6:$W$505,AS$3,実績!$AI$6:$AI$505,"&lt;="&amp;$A194,実績!$AJ$6:$AJ$505,"&gt;"&amp;$A194,実績!$AL$6:$AL$505,"○")&gt;0,1,0))</f>
        <v>0</v>
      </c>
      <c r="AT194" s="39" t="n">
        <f aca="false">IF(AT$4=0,0,IF(COUNTIFS(実績!$W$6:$W$505,AT$3,実績!$AI$6:$AI$505,"&lt;="&amp;$A194,実績!$AJ$6:$AJ$505,"&gt;"&amp;$A194,実績!$AL$6:$AL$505,"○")&gt;0,1,0))</f>
        <v>0</v>
      </c>
      <c r="AU194" s="39" t="n">
        <f aca="false">IF(AU$4=0,0,IF(COUNTIFS(実績!$W$6:$W$505,AU$3,実績!$AI$6:$AI$505,"&lt;="&amp;$A194,実績!$AJ$6:$AJ$505,"&gt;"&amp;$A194,実績!$AL$6:$AL$505,"○")&gt;0,1,0))</f>
        <v>0</v>
      </c>
      <c r="AV194" s="39" t="n">
        <f aca="false">IF(AV$4=0,0,IF(COUNTIFS(実績!$W$6:$W$505,AV$3,実績!$AI$6:$AI$505,"&lt;="&amp;$A194,実績!$AJ$6:$AJ$505,"&gt;"&amp;$A194,実績!$AL$6:$AL$505,"○")&gt;0,1,0))</f>
        <v>0</v>
      </c>
      <c r="AW194" s="39" t="n">
        <f aca="false">IF(AW$4=0,0,IF(COUNTIFS(実績!$W$6:$W$505,AW$3,実績!$AI$6:$AI$505,"&lt;="&amp;$A194,実績!$AJ$6:$AJ$505,"&gt;"&amp;$A194,実績!$AL$6:$AL$505,"○")&gt;0,1,0))</f>
        <v>0</v>
      </c>
      <c r="AX194" s="39" t="n">
        <f aca="false">IF(AX$4=0,0,IF(COUNTIFS(実績!$W$6:$W$505,AX$3,実績!$AI$6:$AI$505,"&lt;="&amp;$A194,実績!$AJ$6:$AJ$505,"&gt;"&amp;$A194,実績!$AL$6:$AL$505,"○")&gt;0,1,0))</f>
        <v>0</v>
      </c>
      <c r="AY194" s="39" t="n">
        <f aca="false">IF(AY$4=0,0,IF(COUNTIFS(実績!$W$6:$W$505,AY$3,実績!$AI$6:$AI$505,"&lt;="&amp;$A194,実績!$AJ$6:$AJ$505,"&gt;"&amp;$A194,実績!$AL$6:$AL$505,"○")&gt;0,1,0))</f>
        <v>0</v>
      </c>
      <c r="AZ194" s="39" t="n">
        <f aca="false">IF(AZ$4=0,0,IF(COUNTIFS(実績!$W$6:$W$505,AZ$3,実績!$AI$6:$AI$505,"&lt;="&amp;$A194,実績!$AJ$6:$AJ$505,"&gt;"&amp;$A194,実績!$AL$6:$AL$505,"○")&gt;0,1,0))</f>
        <v>0</v>
      </c>
      <c r="BA194" s="39" t="n">
        <f aca="false">IF(BA$4=0,0,IF(COUNTIFS(実績!$W$6:$W$505,BA$3,実績!$AI$6:$AI$505,"&lt;="&amp;$A194,実績!$AJ$6:$AJ$505,"&gt;"&amp;$A194,実績!$AL$6:$AL$505,"○")&gt;0,1,0))</f>
        <v>0</v>
      </c>
      <c r="BB194" s="39" t="n">
        <f aca="false">IF(BB$4=0,0,IF(COUNTIFS(実績!$W$6:$W$505,BB$3,実績!$AI$6:$AI$505,"&lt;="&amp;$A194,実績!$AJ$6:$AJ$505,"&gt;"&amp;$A194,実績!$AL$6:$AL$505,"○")&gt;0,1,0))</f>
        <v>0</v>
      </c>
      <c r="BC194" s="39" t="n">
        <f aca="false">IF(BC$4=0,0,IF(COUNTIFS(実績!$W$6:$W$505,BC$3,実績!$AI$6:$AI$505,"&lt;="&amp;$A194,実績!$AJ$6:$AJ$505,"&gt;"&amp;$A194,実績!$AL$6:$AL$505,"○")&gt;0,1,0))</f>
        <v>0</v>
      </c>
      <c r="BD194" s="39" t="n">
        <f aca="false">IF(BD$4=0,0,IF(COUNTIFS(実績!$W$6:$W$505,BD$3,実績!$AI$6:$AI$505,"&lt;="&amp;$A194,実績!$AJ$6:$AJ$505,"&gt;"&amp;$A194,実績!$AL$6:$AL$505,"○")&gt;0,1,0))</f>
        <v>0</v>
      </c>
      <c r="BE194" s="39" t="n">
        <f aca="false">IF(BE$4=0,0,IF(COUNTIFS(実績!$W$6:$W$505,BE$3,実績!$AI$6:$AI$505,"&lt;="&amp;$A194,実績!$AJ$6:$AJ$505,"&gt;"&amp;$A194,実績!$AL$6:$AL$505,"○")&gt;0,1,0))</f>
        <v>0</v>
      </c>
      <c r="BF194" s="39" t="n">
        <f aca="false">IF(BF$4=0,0,IF(COUNTIFS(実績!$W$6:$W$505,BF$3,実績!$AI$6:$AI$505,"&lt;="&amp;$A194,実績!$AJ$6:$AJ$505,"&gt;"&amp;$A194,実績!$AL$6:$AL$505,"○")&gt;0,1,0))</f>
        <v>0</v>
      </c>
      <c r="BG194" s="39" t="n">
        <f aca="false">IF(BG$4=0,0,IF(COUNTIFS(実績!$W$6:$W$505,BG$3,実績!$AI$6:$AI$505,"&lt;="&amp;$A194,実績!$AJ$6:$AJ$505,"&gt;"&amp;$A194,実績!$AL$6:$AL$505,"○")&gt;0,1,0))</f>
        <v>0</v>
      </c>
      <c r="BH194" s="39" t="n">
        <f aca="false">IF(BH$4=0,0,IF(COUNTIFS(実績!$W$6:$W$505,BH$3,実績!$AI$6:$AI$505,"&lt;="&amp;$A194,実績!$AJ$6:$AJ$505,"&gt;"&amp;$A194,実績!$AL$6:$AL$505,"○")&gt;0,1,0))</f>
        <v>0</v>
      </c>
      <c r="BI194" s="39" t="n">
        <f aca="false">IF(BI$4=0,0,IF(COUNTIFS(実績!$W$6:$W$505,BI$3,実績!$AI$6:$AI$505,"&lt;="&amp;$A194,実績!$AJ$6:$AJ$505,"&gt;"&amp;$A194,実績!$AL$6:$AL$505,"○")&gt;0,1,0))</f>
        <v>0</v>
      </c>
      <c r="BJ194" s="39" t="n">
        <f aca="false">IF(BJ$4=0,0,IF(COUNTIFS(実績!$W$6:$W$505,BJ$3,実績!$AI$6:$AI$505,"&lt;="&amp;$A194,実績!$AJ$6:$AJ$505,"&gt;"&amp;$A194,実績!$AL$6:$AL$505,"○")&gt;0,1,0))</f>
        <v>0</v>
      </c>
      <c r="BK194" s="39" t="n">
        <f aca="false">IF(BK$4=0,0,IF(COUNTIFS(実績!$W$6:$W$505,BK$3,実績!$AI$6:$AI$505,"&lt;="&amp;$A194,実績!$AJ$6:$AJ$505,"&gt;"&amp;$A194,実績!$AL$6:$AL$505,"○")&gt;0,1,0))</f>
        <v>0</v>
      </c>
      <c r="BL194" s="39" t="n">
        <f aca="false">IF(BL$4=0,0,IF(COUNTIFS(実績!$W$6:$W$505,BL$3,実績!$AI$6:$AI$505,"&lt;="&amp;$A194,実績!$AJ$6:$AJ$505,"&gt;"&amp;$A194,実績!$AL$6:$AL$505,"○")&gt;0,1,0))</f>
        <v>0</v>
      </c>
      <c r="BM194" s="39" t="n">
        <f aca="false">IF(BM$4=0,0,IF(COUNTIFS(実績!$W$6:$W$505,BM$3,実績!$AI$6:$AI$505,"&lt;="&amp;$A194,実績!$AJ$6:$AJ$505,"&gt;"&amp;$A194,実績!$AL$6:$AL$505,"○")&gt;0,1,0))</f>
        <v>0</v>
      </c>
      <c r="BN194" s="39" t="n">
        <f aca="false">IF(BN$4=0,0,IF(COUNTIFS(実績!$W$6:$W$505,BN$3,実績!$AI$6:$AI$505,"&lt;="&amp;$A194,実績!$AJ$6:$AJ$505,"&gt;"&amp;$A194,実績!$AL$6:$AL$505,"○")&gt;0,1,0))</f>
        <v>0</v>
      </c>
      <c r="BO194" s="39" t="n">
        <f aca="false">IF(BO$4=0,0,IF(COUNTIFS(実績!$W$6:$W$505,BO$3,実績!$AI$6:$AI$505,"&lt;="&amp;$A194,実績!$AJ$6:$AJ$505,"&gt;"&amp;$A194,実績!$AL$6:$AL$505,"○")&gt;0,1,0))</f>
        <v>0</v>
      </c>
      <c r="BP194" s="39" t="n">
        <f aca="false">IF(BP$4=0,0,IF(COUNTIFS(実績!$W$6:$W$505,BP$3,実績!$AI$6:$AI$505,"&lt;="&amp;$A194,実績!$AJ$6:$AJ$505,"&gt;"&amp;$A194,実績!$AL$6:$AL$505,"○")&gt;0,1,0))</f>
        <v>0</v>
      </c>
      <c r="BQ194" s="39" t="n">
        <f aca="false">IF(BQ$4=0,0,IF(COUNTIFS(実績!$W$6:$W$505,BQ$3,実績!$AI$6:$AI$505,"&lt;="&amp;$A194,実績!$AJ$6:$AJ$505,"&gt;"&amp;$A194,実績!$AL$6:$AL$505,"○")&gt;0,1,0))</f>
        <v>0</v>
      </c>
      <c r="BR194" s="39" t="n">
        <f aca="false">IF(BR$4=0,0,IF(COUNTIFS(実績!$W$6:$W$505,BR$3,実績!$AI$6:$AI$505,"&lt;="&amp;$A194,実績!$AJ$6:$AJ$505,"&gt;"&amp;$A194,実績!$AL$6:$AL$505,"○")&gt;0,1,0))</f>
        <v>0</v>
      </c>
      <c r="BS194" s="39" t="n">
        <f aca="false">IF(BS$4=0,0,IF(COUNTIFS(実績!$W$6:$W$505,BS$3,実績!$AI$6:$AI$505,"&lt;="&amp;$A194,実績!$AJ$6:$AJ$505,"&gt;"&amp;$A194,実績!$AL$6:$AL$505,"○")&gt;0,1,0))</f>
        <v>0</v>
      </c>
      <c r="BT194" s="39" t="n">
        <f aca="false">IF(BT$4=0,0,IF(COUNTIFS(実績!$W$6:$W$505,BT$3,実績!$AI$6:$AI$505,"&lt;="&amp;$A194,実績!$AJ$6:$AJ$505,"&gt;"&amp;$A194,実績!$AL$6:$AL$505,"○")&gt;0,1,0))</f>
        <v>0</v>
      </c>
      <c r="BU194" s="39" t="n">
        <f aca="false">IF(BU$4=0,0,IF(COUNTIFS(実績!$W$6:$W$505,BU$3,実績!$AI$6:$AI$505,"&lt;="&amp;$A194,実績!$AJ$6:$AJ$505,"&gt;"&amp;$A194,実績!$AL$6:$AL$505,"○")&gt;0,1,0))</f>
        <v>0</v>
      </c>
      <c r="BV194" s="39" t="n">
        <f aca="false">IF(BV$4=0,0,IF(COUNTIFS(実績!$W$6:$W$505,BV$3,実績!$AI$6:$AI$505,"&lt;="&amp;$A194,実績!$AJ$6:$AJ$505,"&gt;"&amp;$A194,実績!$AL$6:$AL$505,"○")&gt;0,1,0))</f>
        <v>0</v>
      </c>
      <c r="BW194" s="39" t="n">
        <f aca="false">IF(BW$4=0,0,IF(COUNTIFS(実績!$W$6:$W$505,BW$3,実績!$AI$6:$AI$505,"&lt;="&amp;$A194,実績!$AJ$6:$AJ$505,"&gt;"&amp;$A194,実績!$AL$6:$AL$505,"○")&gt;0,1,0))</f>
        <v>0</v>
      </c>
      <c r="BX194" s="39" t="n">
        <f aca="false">IF(BX$4=0,0,IF(COUNTIFS(実績!$W$6:$W$505,BX$3,実績!$AI$6:$AI$505,"&lt;="&amp;$A194,実績!$AJ$6:$AJ$505,"&gt;"&amp;$A194,実績!$AL$6:$AL$505,"○")&gt;0,1,0))</f>
        <v>0</v>
      </c>
      <c r="BY194" s="39" t="n">
        <f aca="false">IF(BY$4=0,0,IF(COUNTIFS(実績!$W$6:$W$505,BY$3,実績!$AI$6:$AI$505,"&lt;="&amp;$A194,実績!$AJ$6:$AJ$505,"&gt;"&amp;$A194,実績!$AL$6:$AL$505,"○")&gt;0,1,0))</f>
        <v>0</v>
      </c>
      <c r="BZ194" s="39" t="n">
        <f aca="false">IF(BZ$4=0,0,IF(COUNTIFS(実績!$W$6:$W$505,BZ$3,実績!$AI$6:$AI$505,"&lt;="&amp;$A194,実績!$AJ$6:$AJ$505,"&gt;"&amp;$A194,実績!$AL$6:$AL$505,"○")&gt;0,1,0))</f>
        <v>0</v>
      </c>
      <c r="CA194" s="39" t="n">
        <f aca="false">IF(CA$4=0,0,IF(COUNTIFS(実績!$W$6:$W$505,CA$3,実績!$AI$6:$AI$505,"&lt;="&amp;$A194,実績!$AJ$6:$AJ$505,"&gt;"&amp;$A194,実績!$AL$6:$AL$505,"○")&gt;0,1,0))</f>
        <v>0</v>
      </c>
      <c r="CB194" s="39" t="n">
        <f aca="false">IF(CB$4=0,0,IF(COUNTIFS(実績!$W$6:$W$505,CB$3,実績!$AI$6:$AI$505,"&lt;="&amp;$A194,実績!$AJ$6:$AJ$505,"&gt;"&amp;$A194,実績!$AL$6:$AL$505,"○")&gt;0,1,0))</f>
        <v>0</v>
      </c>
      <c r="CC194" s="39" t="n">
        <f aca="false">IF(CC$4=0,0,IF(COUNTIFS(実績!$W$6:$W$505,CC$3,実績!$AI$6:$AI$505,"&lt;="&amp;$A194,実績!$AJ$6:$AJ$505,"&gt;"&amp;$A194,実績!$AL$6:$AL$505,"○")&gt;0,1,0))</f>
        <v>0</v>
      </c>
      <c r="CD194" s="39" t="n">
        <f aca="false">IF(CD$4=0,0,IF(COUNTIFS(実績!$W$6:$W$505,CD$3,実績!$AI$6:$AI$505,"&lt;="&amp;$A194,実績!$AJ$6:$AJ$505,"&gt;"&amp;$A194,実績!$AL$6:$AL$505,"○")&gt;0,1,0))</f>
        <v>0</v>
      </c>
      <c r="CE194" s="39" t="n">
        <f aca="false">IF(CE$4=0,0,IF(COUNTIFS(実績!$W$6:$W$505,CE$3,実績!$AI$6:$AI$505,"&lt;="&amp;$A194,実績!$AJ$6:$AJ$505,"&gt;"&amp;$A194,実績!$AL$6:$AL$505,"○")&gt;0,1,0))</f>
        <v>0</v>
      </c>
      <c r="CF194" s="39" t="n">
        <f aca="false">IF(CF$4=0,0,IF(COUNTIFS(実績!$W$6:$W$505,CF$3,実績!$AI$6:$AI$505,"&lt;="&amp;$A194,実績!$AJ$6:$AJ$505,"&gt;"&amp;$A194,実績!$AL$6:$AL$505,"○")&gt;0,1,0))</f>
        <v>0</v>
      </c>
      <c r="CG194" s="39" t="n">
        <f aca="false">IF(CG$4=0,0,IF(COUNTIFS(実績!$W$6:$W$505,CG$3,実績!$AI$6:$AI$505,"&lt;="&amp;$A194,実績!$AJ$6:$AJ$505,"&gt;"&amp;$A194,実績!$AL$6:$AL$505,"○")&gt;0,1,0))</f>
        <v>0</v>
      </c>
      <c r="CH194" s="39" t="n">
        <f aca="false">IF(CH$4=0,0,IF(COUNTIFS(実績!$W$6:$W$505,CH$3,実績!$AI$6:$AI$505,"&lt;="&amp;$A194,実績!$AJ$6:$AJ$505,"&gt;"&amp;$A194,実績!$AL$6:$AL$505,"○")&gt;0,1,0))</f>
        <v>0</v>
      </c>
      <c r="CI194" s="39" t="n">
        <f aca="false">IF(CI$4=0,0,IF(COUNTIFS(実績!$W$6:$W$505,CI$3,実績!$AI$6:$AI$505,"&lt;="&amp;$A194,実績!$AJ$6:$AJ$505,"&gt;"&amp;$A194,実績!$AL$6:$AL$505,"○")&gt;0,1,0))</f>
        <v>0</v>
      </c>
      <c r="CJ194" s="39" t="n">
        <f aca="false">IF(CJ$4=0,0,IF(COUNTIFS(実績!$W$6:$W$505,CJ$3,実績!$AI$6:$AI$505,"&lt;="&amp;$A194,実績!$AJ$6:$AJ$505,"&gt;"&amp;$A194,実績!$AL$6:$AL$505,"○")&gt;0,1,0))</f>
        <v>0</v>
      </c>
      <c r="CK194" s="39" t="n">
        <f aca="false">IF(CK$4=0,0,IF(COUNTIFS(実績!$W$6:$W$505,CK$3,実績!$AI$6:$AI$505,"&lt;="&amp;$A194,実績!$AJ$6:$AJ$505,"&gt;"&amp;$A194,実績!$AL$6:$AL$505,"○")&gt;0,1,0))</f>
        <v>0</v>
      </c>
      <c r="CL194" s="39" t="n">
        <f aca="false">IF(CL$4=0,0,IF(COUNTIFS(実績!$W$6:$W$505,CL$3,実績!$AI$6:$AI$505,"&lt;="&amp;$A194,実績!$AJ$6:$AJ$505,"&gt;"&amp;$A194,実績!$AL$6:$AL$505,"○")&gt;0,1,0))</f>
        <v>0</v>
      </c>
      <c r="CM194" s="39" t="n">
        <f aca="false">IF(CM$4=0,0,IF(COUNTIFS(実績!$W$6:$W$505,CM$3,実績!$AI$6:$AI$505,"&lt;="&amp;$A194,実績!$AJ$6:$AJ$505,"&gt;"&amp;$A194,実績!$AL$6:$AL$505,"○")&gt;0,1,0))</f>
        <v>0</v>
      </c>
      <c r="CN194" s="39" t="n">
        <f aca="false">IF(CN$4=0,0,IF(COUNTIFS(実績!$W$6:$W$505,CN$3,実績!$AI$6:$AI$505,"&lt;="&amp;$A194,実績!$AJ$6:$AJ$505,"&gt;"&amp;$A194,実績!$AL$6:$AL$505,"○")&gt;0,1,0))</f>
        <v>0</v>
      </c>
      <c r="CO194" s="39" t="n">
        <f aca="false">IF(CO$4=0,0,IF(COUNTIFS(実績!$W$6:$W$505,CO$3,実績!$AI$6:$AI$505,"&lt;="&amp;$A194,実績!$AJ$6:$AJ$505,"&gt;"&amp;$A194,実績!$AL$6:$AL$505,"○")&gt;0,1,0))</f>
        <v>0</v>
      </c>
      <c r="CP194" s="39" t="n">
        <f aca="false">IF(CP$4=0,0,IF(COUNTIFS(実績!$W$6:$W$505,CP$3,実績!$AI$6:$AI$505,"&lt;="&amp;$A194,実績!$AJ$6:$AJ$505,"&gt;"&amp;$A194,実績!$AL$6:$AL$505,"○")&gt;0,1,0))</f>
        <v>0</v>
      </c>
      <c r="CQ194" s="39" t="n">
        <f aca="false">IF(CQ$4=0,0,IF(COUNTIFS(実績!$W$6:$W$505,CQ$3,実績!$AI$6:$AI$505,"&lt;="&amp;$A194,実績!$AJ$6:$AJ$505,"&gt;"&amp;$A194,実績!$AL$6:$AL$505,"○")&gt;0,1,0))</f>
        <v>0</v>
      </c>
      <c r="CR194" s="39" t="n">
        <f aca="false">IF(CR$4=0,0,IF(COUNTIFS(実績!$W$6:$W$505,CR$3,実績!$AI$6:$AI$505,"&lt;="&amp;$A194,実績!$AJ$6:$AJ$505,"&gt;"&amp;$A194,実績!$AL$6:$AL$505,"○")&gt;0,1,0))</f>
        <v>0</v>
      </c>
      <c r="CS194" s="39" t="n">
        <f aca="false">IF(CS$4=0,0,IF(COUNTIFS(実績!$W$6:$W$505,CS$3,実績!$AI$6:$AI$505,"&lt;="&amp;$A194,実績!$AJ$6:$AJ$505,"&gt;"&amp;$A194,実績!$AL$6:$AL$505,"○")&gt;0,1,0))</f>
        <v>0</v>
      </c>
      <c r="CT194" s="39" t="n">
        <f aca="false">IF(CT$4=0,0,IF(COUNTIFS(実績!$W$6:$W$505,CT$3,実績!$AI$6:$AI$505,"&lt;="&amp;$A194,実績!$AJ$6:$AJ$505,"&gt;"&amp;$A194,実績!$AL$6:$AL$505,"○")&gt;0,1,0))</f>
        <v>0</v>
      </c>
      <c r="CU194" s="39" t="n">
        <f aca="false">IF(CU$4=0,0,IF(COUNTIFS(実績!$W$6:$W$505,CU$3,実績!$AI$6:$AI$505,"&lt;="&amp;$A194,実績!$AJ$6:$AJ$505,"&gt;"&amp;$A194,実績!$AL$6:$AL$505,"○")&gt;0,1,0))</f>
        <v>0</v>
      </c>
      <c r="CV194" s="39" t="n">
        <f aca="false">IF(CV$4=0,0,IF(COUNTIFS(実績!$W$6:$W$505,CV$3,実績!$AI$6:$AI$505,"&lt;="&amp;$A194,実績!$AJ$6:$AJ$505,"&gt;"&amp;$A194,実績!$AL$6:$AL$505,"○")&gt;0,1,0))</f>
        <v>0</v>
      </c>
      <c r="CW194" s="39" t="n">
        <f aca="false">IF(CW$4=0,0,IF(COUNTIFS(実績!$W$6:$W$505,CW$3,実績!$AI$6:$AI$505,"&lt;="&amp;$A194,実績!$AJ$6:$AJ$505,"&gt;"&amp;$A194,実績!$AL$6:$AL$505,"○")&gt;0,1,0))</f>
        <v>0</v>
      </c>
      <c r="CX194" s="39" t="n">
        <f aca="false">IF(CX$4=0,0,IF(COUNTIFS(実績!$W$6:$W$505,CX$3,実績!$AI$6:$AI$505,"&lt;="&amp;$A194,実績!$AJ$6:$AJ$505,"&gt;"&amp;$A194,実績!$AL$6:$AL$505,"○")&gt;0,1,0))</f>
        <v>0</v>
      </c>
      <c r="CY194" s="39" t="n">
        <f aca="false">IF(CY$4=0,0,IF(COUNTIFS(実績!$W$6:$W$505,CY$3,実績!$AI$6:$AI$505,"&lt;="&amp;$A194,実績!$AJ$6:$AJ$505,"&gt;"&amp;$A194,実績!$AL$6:$AL$505,"○")&gt;0,1,0))</f>
        <v>0</v>
      </c>
      <c r="CZ194" s="39" t="n">
        <f aca="false">IF(CZ$4=0,0,IF(COUNTIFS(実績!$W$6:$W$505,CZ$3,実績!$AI$6:$AI$505,"&lt;="&amp;$A194,実績!$AJ$6:$AJ$505,"&gt;"&amp;$A194,実績!$AL$6:$AL$505,"○")&gt;0,1,0))</f>
        <v>0</v>
      </c>
      <c r="DA194" s="39" t="n">
        <f aca="false">IF(DA$4=0,0,IF(COUNTIFS(実績!$W$6:$W$505,DA$3,実績!$AI$6:$AI$505,"&lt;="&amp;$A194,実績!$AJ$6:$AJ$505,"&gt;"&amp;$A194,実績!$AL$6:$AL$505,"○")&gt;0,1,0))</f>
        <v>0</v>
      </c>
      <c r="DB194" s="39" t="n">
        <f aca="false">IF(DB$4=0,0,IF(COUNTIFS(実績!$W$6:$W$505,DB$3,実績!$AI$6:$AI$505,"&lt;="&amp;$A194,実績!$AJ$6:$AJ$505,"&gt;"&amp;$A194,実績!$AL$6:$AL$505,"○")&gt;0,1,0))</f>
        <v>0</v>
      </c>
      <c r="DC194" s="39" t="n">
        <f aca="false">IF(DC$4=0,0,IF(COUNTIFS(実績!$W$6:$W$505,DC$3,実績!$AI$6:$AI$505,"&lt;="&amp;$A194,実績!$AJ$6:$AJ$505,"&gt;"&amp;$A194,実績!$AL$6:$AL$505,"○")&gt;0,1,0))</f>
        <v>0</v>
      </c>
      <c r="DD194" s="39" t="n">
        <f aca="false">IF(DD$4=0,0,IF(COUNTIFS(実績!$W$6:$W$505,DD$3,実績!$AI$6:$AI$505,"&lt;="&amp;$A194,実績!$AJ$6:$AJ$505,"&gt;"&amp;$A194,実績!$AL$6:$AL$505,"○")&gt;0,1,0))</f>
        <v>0</v>
      </c>
      <c r="DE194" s="39" t="n">
        <f aca="false">IF(DE$4=0,0,IF(COUNTIFS(実績!$W$6:$W$505,DE$3,実績!$AI$6:$AI$505,"&lt;="&amp;$A194,実績!$AJ$6:$AJ$505,"&gt;"&amp;$A194,実績!$AL$6:$AL$505,"○")&gt;0,1,0))</f>
        <v>0</v>
      </c>
      <c r="DF194" s="39" t="n">
        <f aca="false">IF(DF$4=0,0,IF(COUNTIFS(実績!$W$6:$W$505,DF$3,実績!$AI$6:$AI$505,"&lt;="&amp;$A194,実績!$AJ$6:$AJ$505,"&gt;"&amp;$A194,実績!$AL$6:$AL$505,"○")&gt;0,1,0))</f>
        <v>0</v>
      </c>
      <c r="DG194" s="39" t="n">
        <f aca="false">IF(DG$4=0,0,IF(COUNTIFS(実績!$W$6:$W$505,DG$3,実績!$AI$6:$AI$505,"&lt;="&amp;$A194,実績!$AJ$6:$AJ$505,"&gt;"&amp;$A194,実績!$AL$6:$AL$505,"○")&gt;0,1,0))</f>
        <v>0</v>
      </c>
      <c r="DH194" s="39" t="n">
        <f aca="false">IF(DH$4=0,0,IF(COUNTIFS(実績!$W$6:$W$505,DH$3,実績!$AI$6:$AI$505,"&lt;="&amp;$A194,実績!$AJ$6:$AJ$505,"&gt;"&amp;$A194,実績!$AL$6:$AL$505,"○")&gt;0,1,0))</f>
        <v>0</v>
      </c>
      <c r="DI194" s="39" t="n">
        <f aca="false">IF(DI$4=0,0,IF(COUNTIFS(実績!$W$6:$W$505,DI$3,実績!$AI$6:$AI$505,"&lt;="&amp;$A194,実績!$AJ$6:$AJ$505,"&gt;"&amp;$A194,実績!$AL$6:$AL$505,"○")&gt;0,1,0))</f>
        <v>0</v>
      </c>
      <c r="DJ194" s="39" t="n">
        <f aca="false">IF(DJ$4=0,0,IF(COUNTIFS(実績!$W$6:$W$505,DJ$3,実績!$AI$6:$AI$505,"&lt;="&amp;$A194,実績!$AJ$6:$AJ$505,"&gt;"&amp;$A194,実績!$AL$6:$AL$505,"○")&gt;0,1,0))</f>
        <v>0</v>
      </c>
      <c r="DK194" s="39" t="n">
        <f aca="false">IF(DK$4=0,0,IF(COUNTIFS(実績!$W$6:$W$505,DK$3,実績!$AI$6:$AI$505,"&lt;="&amp;$A194,実績!$AJ$6:$AJ$505,"&gt;"&amp;$A194,実績!$AL$6:$AL$505,"○")&gt;0,1,0))</f>
        <v>0</v>
      </c>
      <c r="DL194" s="39" t="n">
        <f aca="false">IF(DL$4=0,0,IF(COUNTIFS(実績!$W$6:$W$505,DL$3,実績!$AI$6:$AI$505,"&lt;="&amp;$A194,実績!$AJ$6:$AJ$505,"&gt;"&amp;$A194,実績!$AL$6:$AL$505,"○")&gt;0,1,0))</f>
        <v>0</v>
      </c>
      <c r="DM194" s="39" t="n">
        <f aca="false">IF(DM$4=0,0,IF(COUNTIFS(実績!$W$6:$W$505,DM$3,実績!$AI$6:$AI$505,"&lt;="&amp;$A194,実績!$AJ$6:$AJ$505,"&gt;"&amp;$A194,実績!$AL$6:$AL$505,"○")&gt;0,1,0))</f>
        <v>0</v>
      </c>
      <c r="DN194" s="39" t="n">
        <f aca="false">IF(DN$4=0,0,IF(COUNTIFS(実績!$W$6:$W$505,DN$3,実績!$AI$6:$AI$505,"&lt;="&amp;$A194,実績!$AJ$6:$AJ$505,"&gt;"&amp;$A194,実績!$AL$6:$AL$505,"○")&gt;0,1,0))</f>
        <v>0</v>
      </c>
      <c r="DO194" s="39" t="n">
        <f aca="false">IF(DO$4=0,0,IF(COUNTIFS(実績!$W$6:$W$505,DO$3,実績!$AI$6:$AI$505,"&lt;="&amp;$A194,実績!$AJ$6:$AJ$505,"&gt;"&amp;$A194,実績!$AL$6:$AL$505,"○")&gt;0,1,0))</f>
        <v>0</v>
      </c>
      <c r="DP194" s="39" t="n">
        <f aca="false">IF(DP$4=0,0,IF(COUNTIFS(実績!$W$6:$W$505,DP$3,実績!$AI$6:$AI$505,"&lt;="&amp;$A194,実績!$AJ$6:$AJ$505,"&gt;"&amp;$A194,実績!$AL$6:$AL$505,"○")&gt;0,1,0))</f>
        <v>0</v>
      </c>
      <c r="DQ194" s="39" t="n">
        <f aca="false">IF(DQ$4=0,0,IF(COUNTIFS(実績!$W$6:$W$505,DQ$3,実績!$AI$6:$AI$505,"&lt;="&amp;$A194,実績!$AJ$6:$AJ$505,"&gt;"&amp;$A194,実績!$AL$6:$AL$505,"○")&gt;0,1,0))</f>
        <v>0</v>
      </c>
      <c r="DR194" s="39" t="n">
        <f aca="false">IF(DR$4=0,0,IF(COUNTIFS(実績!$W$6:$W$505,DR$3,実績!$AI$6:$AI$505,"&lt;="&amp;$A194,実績!$AJ$6:$AJ$505,"&gt;"&amp;$A194,実績!$AL$6:$AL$505,"○")&gt;0,1,0))</f>
        <v>0</v>
      </c>
      <c r="DS194" s="39" t="n">
        <f aca="false">SUM(C194:DR194)</f>
        <v>0</v>
      </c>
    </row>
    <row r="195" customFormat="false" ht="15" hidden="false" customHeight="false" outlineLevel="0" collapsed="false">
      <c r="A195" s="0" t="n">
        <v>945</v>
      </c>
      <c r="B195" s="38" t="n">
        <f aca="false">A195/1440</f>
        <v>0.65625</v>
      </c>
      <c r="C195" s="39" t="n">
        <f aca="false">IF(C$4=0,0,IF(COUNTIFS(実績!$W$6:$W$505,C$3,実績!$AI$6:$AI$505,"&lt;="&amp;$A195,実績!$AJ$6:$AJ$505,"&gt;"&amp;$A195,実績!$AL$6:$AL$505,"○")&gt;0,1,0))</f>
        <v>0</v>
      </c>
      <c r="D195" s="39" t="n">
        <f aca="false">IF(D$4=0,0,IF(COUNTIFS(実績!$W$6:$W$505,D$3,実績!$AI$6:$AI$505,"&lt;="&amp;$A195,実績!$AJ$6:$AJ$505,"&gt;"&amp;$A195,実績!$AL$6:$AL$505,"○")&gt;0,1,0))</f>
        <v>0</v>
      </c>
      <c r="E195" s="39" t="n">
        <f aca="false">IF(E$4=0,0,IF(COUNTIFS(実績!$W$6:$W$505,E$3,実績!$AI$6:$AI$505,"&lt;="&amp;$A195,実績!$AJ$6:$AJ$505,"&gt;"&amp;$A195,実績!$AL$6:$AL$505,"○")&gt;0,1,0))</f>
        <v>0</v>
      </c>
      <c r="F195" s="39" t="n">
        <f aca="false">IF(F$4=0,0,IF(COUNTIFS(実績!$W$6:$W$505,F$3,実績!$AI$6:$AI$505,"&lt;="&amp;$A195,実績!$AJ$6:$AJ$505,"&gt;"&amp;$A195,実績!$AL$6:$AL$505,"○")&gt;0,1,0))</f>
        <v>0</v>
      </c>
      <c r="G195" s="39" t="n">
        <f aca="false">IF(G$4=0,0,IF(COUNTIFS(実績!$W$6:$W$505,G$3,実績!$AI$6:$AI$505,"&lt;="&amp;$A195,実績!$AJ$6:$AJ$505,"&gt;"&amp;$A195,実績!$AL$6:$AL$505,"○")&gt;0,1,0))</f>
        <v>0</v>
      </c>
      <c r="H195" s="39" t="n">
        <f aca="false">IF(H$4=0,0,IF(COUNTIFS(実績!$W$6:$W$505,H$3,実績!$AI$6:$AI$505,"&lt;="&amp;$A195,実績!$AJ$6:$AJ$505,"&gt;"&amp;$A195,実績!$AL$6:$AL$505,"○")&gt;0,1,0))</f>
        <v>0</v>
      </c>
      <c r="I195" s="39" t="n">
        <f aca="false">IF(I$4=0,0,IF(COUNTIFS(実績!$W$6:$W$505,I$3,実績!$AI$6:$AI$505,"&lt;="&amp;$A195,実績!$AJ$6:$AJ$505,"&gt;"&amp;$A195,実績!$AL$6:$AL$505,"○")&gt;0,1,0))</f>
        <v>0</v>
      </c>
      <c r="J195" s="39" t="n">
        <f aca="false">IF(J$4=0,0,IF(COUNTIFS(実績!$W$6:$W$505,J$3,実績!$AI$6:$AI$505,"&lt;="&amp;$A195,実績!$AJ$6:$AJ$505,"&gt;"&amp;$A195,実績!$AL$6:$AL$505,"○")&gt;0,1,0))</f>
        <v>0</v>
      </c>
      <c r="K195" s="39" t="n">
        <f aca="false">IF(K$4=0,0,IF(COUNTIFS(実績!$W$6:$W$505,K$3,実績!$AI$6:$AI$505,"&lt;="&amp;$A195,実績!$AJ$6:$AJ$505,"&gt;"&amp;$A195,実績!$AL$6:$AL$505,"○")&gt;0,1,0))</f>
        <v>0</v>
      </c>
      <c r="L195" s="39" t="n">
        <f aca="false">IF(L$4=0,0,IF(COUNTIFS(実績!$W$6:$W$505,L$3,実績!$AI$6:$AI$505,"&lt;="&amp;$A195,実績!$AJ$6:$AJ$505,"&gt;"&amp;$A195,実績!$AL$6:$AL$505,"○")&gt;0,1,0))</f>
        <v>0</v>
      </c>
      <c r="M195" s="39" t="n">
        <f aca="false">IF(M$4=0,0,IF(COUNTIFS(実績!$W$6:$W$505,M$3,実績!$AI$6:$AI$505,"&lt;="&amp;$A195,実績!$AJ$6:$AJ$505,"&gt;"&amp;$A195,実績!$AL$6:$AL$505,"○")&gt;0,1,0))</f>
        <v>0</v>
      </c>
      <c r="N195" s="39" t="n">
        <f aca="false">IF(N$4=0,0,IF(COUNTIFS(実績!$W$6:$W$505,N$3,実績!$AI$6:$AI$505,"&lt;="&amp;$A195,実績!$AJ$6:$AJ$505,"&gt;"&amp;$A195,実績!$AL$6:$AL$505,"○")&gt;0,1,0))</f>
        <v>0</v>
      </c>
      <c r="O195" s="39" t="n">
        <f aca="false">IF(O$4=0,0,IF(COUNTIFS(実績!$W$6:$W$505,O$3,実績!$AI$6:$AI$505,"&lt;="&amp;$A195,実績!$AJ$6:$AJ$505,"&gt;"&amp;$A195,実績!$AL$6:$AL$505,"○")&gt;0,1,0))</f>
        <v>0</v>
      </c>
      <c r="P195" s="39" t="n">
        <f aca="false">IF(P$4=0,0,IF(COUNTIFS(実績!$W$6:$W$505,P$3,実績!$AI$6:$AI$505,"&lt;="&amp;$A195,実績!$AJ$6:$AJ$505,"&gt;"&amp;$A195,実績!$AL$6:$AL$505,"○")&gt;0,1,0))</f>
        <v>0</v>
      </c>
      <c r="Q195" s="39" t="n">
        <f aca="false">IF(Q$4=0,0,IF(COUNTIFS(実績!$W$6:$W$505,Q$3,実績!$AI$6:$AI$505,"&lt;="&amp;$A195,実績!$AJ$6:$AJ$505,"&gt;"&amp;$A195,実績!$AL$6:$AL$505,"○")&gt;0,1,0))</f>
        <v>0</v>
      </c>
      <c r="R195" s="39" t="n">
        <f aca="false">IF(R$4=0,0,IF(COUNTIFS(実績!$W$6:$W$505,R$3,実績!$AI$6:$AI$505,"&lt;="&amp;$A195,実績!$AJ$6:$AJ$505,"&gt;"&amp;$A195,実績!$AL$6:$AL$505,"○")&gt;0,1,0))</f>
        <v>0</v>
      </c>
      <c r="S195" s="39" t="n">
        <f aca="false">IF(S$4=0,0,IF(COUNTIFS(実績!$W$6:$W$505,S$3,実績!$AI$6:$AI$505,"&lt;="&amp;$A195,実績!$AJ$6:$AJ$505,"&gt;"&amp;$A195,実績!$AL$6:$AL$505,"○")&gt;0,1,0))</f>
        <v>0</v>
      </c>
      <c r="T195" s="39" t="n">
        <f aca="false">IF(T$4=0,0,IF(COUNTIFS(実績!$W$6:$W$505,T$3,実績!$AI$6:$AI$505,"&lt;="&amp;$A195,実績!$AJ$6:$AJ$505,"&gt;"&amp;$A195,実績!$AL$6:$AL$505,"○")&gt;0,1,0))</f>
        <v>0</v>
      </c>
      <c r="U195" s="39" t="n">
        <f aca="false">IF(U$4=0,0,IF(COUNTIFS(実績!$W$6:$W$505,U$3,実績!$AI$6:$AI$505,"&lt;="&amp;$A195,実績!$AJ$6:$AJ$505,"&gt;"&amp;$A195,実績!$AL$6:$AL$505,"○")&gt;0,1,0))</f>
        <v>0</v>
      </c>
      <c r="V195" s="39" t="n">
        <f aca="false">IF(V$4=0,0,IF(COUNTIFS(実績!$W$6:$W$505,V$3,実績!$AI$6:$AI$505,"&lt;="&amp;$A195,実績!$AJ$6:$AJ$505,"&gt;"&amp;$A195,実績!$AL$6:$AL$505,"○")&gt;0,1,0))</f>
        <v>0</v>
      </c>
      <c r="W195" s="39" t="n">
        <f aca="false">IF(W$4=0,0,IF(COUNTIFS(実績!$W$6:$W$505,W$3,実績!$AI$6:$AI$505,"&lt;="&amp;$A195,実績!$AJ$6:$AJ$505,"&gt;"&amp;$A195,実績!$AL$6:$AL$505,"○")&gt;0,1,0))</f>
        <v>0</v>
      </c>
      <c r="X195" s="39" t="n">
        <f aca="false">IF(X$4=0,0,IF(COUNTIFS(実績!$W$6:$W$505,X$3,実績!$AI$6:$AI$505,"&lt;="&amp;$A195,実績!$AJ$6:$AJ$505,"&gt;"&amp;$A195,実績!$AL$6:$AL$505,"○")&gt;0,1,0))</f>
        <v>0</v>
      </c>
      <c r="Y195" s="39" t="n">
        <f aca="false">IF(Y$4=0,0,IF(COUNTIFS(実績!$W$6:$W$505,Y$3,実績!$AI$6:$AI$505,"&lt;="&amp;$A195,実績!$AJ$6:$AJ$505,"&gt;"&amp;$A195,実績!$AL$6:$AL$505,"○")&gt;0,1,0))</f>
        <v>0</v>
      </c>
      <c r="Z195" s="39" t="n">
        <f aca="false">IF(Z$4=0,0,IF(COUNTIFS(実績!$W$6:$W$505,Z$3,実績!$AI$6:$AI$505,"&lt;="&amp;$A195,実績!$AJ$6:$AJ$505,"&gt;"&amp;$A195,実績!$AL$6:$AL$505,"○")&gt;0,1,0))</f>
        <v>0</v>
      </c>
      <c r="AA195" s="39" t="n">
        <f aca="false">IF(AA$4=0,0,IF(COUNTIFS(実績!$W$6:$W$505,AA$3,実績!$AI$6:$AI$505,"&lt;="&amp;$A195,実績!$AJ$6:$AJ$505,"&gt;"&amp;$A195,実績!$AL$6:$AL$505,"○")&gt;0,1,0))</f>
        <v>0</v>
      </c>
      <c r="AB195" s="39" t="n">
        <f aca="false">IF(AB$4=0,0,IF(COUNTIFS(実績!$W$6:$W$505,AB$3,実績!$AI$6:$AI$505,"&lt;="&amp;$A195,実績!$AJ$6:$AJ$505,"&gt;"&amp;$A195,実績!$AL$6:$AL$505,"○")&gt;0,1,0))</f>
        <v>0</v>
      </c>
      <c r="AC195" s="39" t="n">
        <f aca="false">IF(AC$4=0,0,IF(COUNTIFS(実績!$W$6:$W$505,AC$3,実績!$AI$6:$AI$505,"&lt;="&amp;$A195,実績!$AJ$6:$AJ$505,"&gt;"&amp;$A195,実績!$AL$6:$AL$505,"○")&gt;0,1,0))</f>
        <v>0</v>
      </c>
      <c r="AD195" s="39" t="n">
        <f aca="false">IF(AD$4=0,0,IF(COUNTIFS(実績!$W$6:$W$505,AD$3,実績!$AI$6:$AI$505,"&lt;="&amp;$A195,実績!$AJ$6:$AJ$505,"&gt;"&amp;$A195,実績!$AL$6:$AL$505,"○")&gt;0,1,0))</f>
        <v>0</v>
      </c>
      <c r="AE195" s="39" t="n">
        <f aca="false">IF(AE$4=0,0,IF(COUNTIFS(実績!$W$6:$W$505,AE$3,実績!$AI$6:$AI$505,"&lt;="&amp;$A195,実績!$AJ$6:$AJ$505,"&gt;"&amp;$A195,実績!$AL$6:$AL$505,"○")&gt;0,1,0))</f>
        <v>0</v>
      </c>
      <c r="AF195" s="39" t="n">
        <f aca="false">IF(AF$4=0,0,IF(COUNTIFS(実績!$W$6:$W$505,AF$3,実績!$AI$6:$AI$505,"&lt;="&amp;$A195,実績!$AJ$6:$AJ$505,"&gt;"&amp;$A195,実績!$AL$6:$AL$505,"○")&gt;0,1,0))</f>
        <v>0</v>
      </c>
      <c r="AG195" s="39" t="n">
        <f aca="false">IF(AG$4=0,0,IF(COUNTIFS(実績!$W$6:$W$505,AG$3,実績!$AI$6:$AI$505,"&lt;="&amp;$A195,実績!$AJ$6:$AJ$505,"&gt;"&amp;$A195,実績!$AL$6:$AL$505,"○")&gt;0,1,0))</f>
        <v>0</v>
      </c>
      <c r="AH195" s="39" t="n">
        <f aca="false">IF(AH$4=0,0,IF(COUNTIFS(実績!$W$6:$W$505,AH$3,実績!$AI$6:$AI$505,"&lt;="&amp;$A195,実績!$AJ$6:$AJ$505,"&gt;"&amp;$A195,実績!$AL$6:$AL$505,"○")&gt;0,1,0))</f>
        <v>0</v>
      </c>
      <c r="AI195" s="39" t="n">
        <f aca="false">IF(AI$4=0,0,IF(COUNTIFS(実績!$W$6:$W$505,AI$3,実績!$AI$6:$AI$505,"&lt;="&amp;$A195,実績!$AJ$6:$AJ$505,"&gt;"&amp;$A195,実績!$AL$6:$AL$505,"○")&gt;0,1,0))</f>
        <v>0</v>
      </c>
      <c r="AJ195" s="39" t="n">
        <f aca="false">IF(AJ$4=0,0,IF(COUNTIFS(実績!$W$6:$W$505,AJ$3,実績!$AI$6:$AI$505,"&lt;="&amp;$A195,実績!$AJ$6:$AJ$505,"&gt;"&amp;$A195,実績!$AL$6:$AL$505,"○")&gt;0,1,0))</f>
        <v>0</v>
      </c>
      <c r="AK195" s="39" t="n">
        <f aca="false">IF(AK$4=0,0,IF(COUNTIFS(実績!$W$6:$W$505,AK$3,実績!$AI$6:$AI$505,"&lt;="&amp;$A195,実績!$AJ$6:$AJ$505,"&gt;"&amp;$A195,実績!$AL$6:$AL$505,"○")&gt;0,1,0))</f>
        <v>0</v>
      </c>
      <c r="AL195" s="39" t="n">
        <f aca="false">IF(AL$4=0,0,IF(COUNTIFS(実績!$W$6:$W$505,AL$3,実績!$AI$6:$AI$505,"&lt;="&amp;$A195,実績!$AJ$6:$AJ$505,"&gt;"&amp;$A195,実績!$AL$6:$AL$505,"○")&gt;0,1,0))</f>
        <v>0</v>
      </c>
      <c r="AM195" s="39" t="n">
        <f aca="false">IF(AM$4=0,0,IF(COUNTIFS(実績!$W$6:$W$505,AM$3,実績!$AI$6:$AI$505,"&lt;="&amp;$A195,実績!$AJ$6:$AJ$505,"&gt;"&amp;$A195,実績!$AL$6:$AL$505,"○")&gt;0,1,0))</f>
        <v>0</v>
      </c>
      <c r="AN195" s="39" t="n">
        <f aca="false">IF(AN$4=0,0,IF(COUNTIFS(実績!$W$6:$W$505,AN$3,実績!$AI$6:$AI$505,"&lt;="&amp;$A195,実績!$AJ$6:$AJ$505,"&gt;"&amp;$A195,実績!$AL$6:$AL$505,"○")&gt;0,1,0))</f>
        <v>0</v>
      </c>
      <c r="AO195" s="39" t="n">
        <f aca="false">IF(AO$4=0,0,IF(COUNTIFS(実績!$W$6:$W$505,AO$3,実績!$AI$6:$AI$505,"&lt;="&amp;$A195,実績!$AJ$6:$AJ$505,"&gt;"&amp;$A195,実績!$AL$6:$AL$505,"○")&gt;0,1,0))</f>
        <v>0</v>
      </c>
      <c r="AP195" s="39" t="n">
        <f aca="false">IF(AP$4=0,0,IF(COUNTIFS(実績!$W$6:$W$505,AP$3,実績!$AI$6:$AI$505,"&lt;="&amp;$A195,実績!$AJ$6:$AJ$505,"&gt;"&amp;$A195,実績!$AL$6:$AL$505,"○")&gt;0,1,0))</f>
        <v>0</v>
      </c>
      <c r="AQ195" s="39" t="n">
        <f aca="false">IF(AQ$4=0,0,IF(COUNTIFS(実績!$W$6:$W$505,AQ$3,実績!$AI$6:$AI$505,"&lt;="&amp;$A195,実績!$AJ$6:$AJ$505,"&gt;"&amp;$A195,実績!$AL$6:$AL$505,"○")&gt;0,1,0))</f>
        <v>0</v>
      </c>
      <c r="AR195" s="39" t="n">
        <f aca="false">IF(AR$4=0,0,IF(COUNTIFS(実績!$W$6:$W$505,AR$3,実績!$AI$6:$AI$505,"&lt;="&amp;$A195,実績!$AJ$6:$AJ$505,"&gt;"&amp;$A195,実績!$AL$6:$AL$505,"○")&gt;0,1,0))</f>
        <v>0</v>
      </c>
      <c r="AS195" s="39" t="n">
        <f aca="false">IF(AS$4=0,0,IF(COUNTIFS(実績!$W$6:$W$505,AS$3,実績!$AI$6:$AI$505,"&lt;="&amp;$A195,実績!$AJ$6:$AJ$505,"&gt;"&amp;$A195,実績!$AL$6:$AL$505,"○")&gt;0,1,0))</f>
        <v>0</v>
      </c>
      <c r="AT195" s="39" t="n">
        <f aca="false">IF(AT$4=0,0,IF(COUNTIFS(実績!$W$6:$W$505,AT$3,実績!$AI$6:$AI$505,"&lt;="&amp;$A195,実績!$AJ$6:$AJ$505,"&gt;"&amp;$A195,実績!$AL$6:$AL$505,"○")&gt;0,1,0))</f>
        <v>0</v>
      </c>
      <c r="AU195" s="39" t="n">
        <f aca="false">IF(AU$4=0,0,IF(COUNTIFS(実績!$W$6:$W$505,AU$3,実績!$AI$6:$AI$505,"&lt;="&amp;$A195,実績!$AJ$6:$AJ$505,"&gt;"&amp;$A195,実績!$AL$6:$AL$505,"○")&gt;0,1,0))</f>
        <v>0</v>
      </c>
      <c r="AV195" s="39" t="n">
        <f aca="false">IF(AV$4=0,0,IF(COUNTIFS(実績!$W$6:$W$505,AV$3,実績!$AI$6:$AI$505,"&lt;="&amp;$A195,実績!$AJ$6:$AJ$505,"&gt;"&amp;$A195,実績!$AL$6:$AL$505,"○")&gt;0,1,0))</f>
        <v>0</v>
      </c>
      <c r="AW195" s="39" t="n">
        <f aca="false">IF(AW$4=0,0,IF(COUNTIFS(実績!$W$6:$W$505,AW$3,実績!$AI$6:$AI$505,"&lt;="&amp;$A195,実績!$AJ$6:$AJ$505,"&gt;"&amp;$A195,実績!$AL$6:$AL$505,"○")&gt;0,1,0))</f>
        <v>0</v>
      </c>
      <c r="AX195" s="39" t="n">
        <f aca="false">IF(AX$4=0,0,IF(COUNTIFS(実績!$W$6:$W$505,AX$3,実績!$AI$6:$AI$505,"&lt;="&amp;$A195,実績!$AJ$6:$AJ$505,"&gt;"&amp;$A195,実績!$AL$6:$AL$505,"○")&gt;0,1,0))</f>
        <v>0</v>
      </c>
      <c r="AY195" s="39" t="n">
        <f aca="false">IF(AY$4=0,0,IF(COUNTIFS(実績!$W$6:$W$505,AY$3,実績!$AI$6:$AI$505,"&lt;="&amp;$A195,実績!$AJ$6:$AJ$505,"&gt;"&amp;$A195,実績!$AL$6:$AL$505,"○")&gt;0,1,0))</f>
        <v>0</v>
      </c>
      <c r="AZ195" s="39" t="n">
        <f aca="false">IF(AZ$4=0,0,IF(COUNTIFS(実績!$W$6:$W$505,AZ$3,実績!$AI$6:$AI$505,"&lt;="&amp;$A195,実績!$AJ$6:$AJ$505,"&gt;"&amp;$A195,実績!$AL$6:$AL$505,"○")&gt;0,1,0))</f>
        <v>0</v>
      </c>
      <c r="BA195" s="39" t="n">
        <f aca="false">IF(BA$4=0,0,IF(COUNTIFS(実績!$W$6:$W$505,BA$3,実績!$AI$6:$AI$505,"&lt;="&amp;$A195,実績!$AJ$6:$AJ$505,"&gt;"&amp;$A195,実績!$AL$6:$AL$505,"○")&gt;0,1,0))</f>
        <v>0</v>
      </c>
      <c r="BB195" s="39" t="n">
        <f aca="false">IF(BB$4=0,0,IF(COUNTIFS(実績!$W$6:$W$505,BB$3,実績!$AI$6:$AI$505,"&lt;="&amp;$A195,実績!$AJ$6:$AJ$505,"&gt;"&amp;$A195,実績!$AL$6:$AL$505,"○")&gt;0,1,0))</f>
        <v>0</v>
      </c>
      <c r="BC195" s="39" t="n">
        <f aca="false">IF(BC$4=0,0,IF(COUNTIFS(実績!$W$6:$W$505,BC$3,実績!$AI$6:$AI$505,"&lt;="&amp;$A195,実績!$AJ$6:$AJ$505,"&gt;"&amp;$A195,実績!$AL$6:$AL$505,"○")&gt;0,1,0))</f>
        <v>0</v>
      </c>
      <c r="BD195" s="39" t="n">
        <f aca="false">IF(BD$4=0,0,IF(COUNTIFS(実績!$W$6:$W$505,BD$3,実績!$AI$6:$AI$505,"&lt;="&amp;$A195,実績!$AJ$6:$AJ$505,"&gt;"&amp;$A195,実績!$AL$6:$AL$505,"○")&gt;0,1,0))</f>
        <v>0</v>
      </c>
      <c r="BE195" s="39" t="n">
        <f aca="false">IF(BE$4=0,0,IF(COUNTIFS(実績!$W$6:$W$505,BE$3,実績!$AI$6:$AI$505,"&lt;="&amp;$A195,実績!$AJ$6:$AJ$505,"&gt;"&amp;$A195,実績!$AL$6:$AL$505,"○")&gt;0,1,0))</f>
        <v>0</v>
      </c>
      <c r="BF195" s="39" t="n">
        <f aca="false">IF(BF$4=0,0,IF(COUNTIFS(実績!$W$6:$W$505,BF$3,実績!$AI$6:$AI$505,"&lt;="&amp;$A195,実績!$AJ$6:$AJ$505,"&gt;"&amp;$A195,実績!$AL$6:$AL$505,"○")&gt;0,1,0))</f>
        <v>0</v>
      </c>
      <c r="BG195" s="39" t="n">
        <f aca="false">IF(BG$4=0,0,IF(COUNTIFS(実績!$W$6:$W$505,BG$3,実績!$AI$6:$AI$505,"&lt;="&amp;$A195,実績!$AJ$6:$AJ$505,"&gt;"&amp;$A195,実績!$AL$6:$AL$505,"○")&gt;0,1,0))</f>
        <v>0</v>
      </c>
      <c r="BH195" s="39" t="n">
        <f aca="false">IF(BH$4=0,0,IF(COUNTIFS(実績!$W$6:$W$505,BH$3,実績!$AI$6:$AI$505,"&lt;="&amp;$A195,実績!$AJ$6:$AJ$505,"&gt;"&amp;$A195,実績!$AL$6:$AL$505,"○")&gt;0,1,0))</f>
        <v>0</v>
      </c>
      <c r="BI195" s="39" t="n">
        <f aca="false">IF(BI$4=0,0,IF(COUNTIFS(実績!$W$6:$W$505,BI$3,実績!$AI$6:$AI$505,"&lt;="&amp;$A195,実績!$AJ$6:$AJ$505,"&gt;"&amp;$A195,実績!$AL$6:$AL$505,"○")&gt;0,1,0))</f>
        <v>0</v>
      </c>
      <c r="BJ195" s="39" t="n">
        <f aca="false">IF(BJ$4=0,0,IF(COUNTIFS(実績!$W$6:$W$505,BJ$3,実績!$AI$6:$AI$505,"&lt;="&amp;$A195,実績!$AJ$6:$AJ$505,"&gt;"&amp;$A195,実績!$AL$6:$AL$505,"○")&gt;0,1,0))</f>
        <v>0</v>
      </c>
      <c r="BK195" s="39" t="n">
        <f aca="false">IF(BK$4=0,0,IF(COUNTIFS(実績!$W$6:$W$505,BK$3,実績!$AI$6:$AI$505,"&lt;="&amp;$A195,実績!$AJ$6:$AJ$505,"&gt;"&amp;$A195,実績!$AL$6:$AL$505,"○")&gt;0,1,0))</f>
        <v>0</v>
      </c>
      <c r="BL195" s="39" t="n">
        <f aca="false">IF(BL$4=0,0,IF(COUNTIFS(実績!$W$6:$W$505,BL$3,実績!$AI$6:$AI$505,"&lt;="&amp;$A195,実績!$AJ$6:$AJ$505,"&gt;"&amp;$A195,実績!$AL$6:$AL$505,"○")&gt;0,1,0))</f>
        <v>0</v>
      </c>
      <c r="BM195" s="39" t="n">
        <f aca="false">IF(BM$4=0,0,IF(COUNTIFS(実績!$W$6:$W$505,BM$3,実績!$AI$6:$AI$505,"&lt;="&amp;$A195,実績!$AJ$6:$AJ$505,"&gt;"&amp;$A195,実績!$AL$6:$AL$505,"○")&gt;0,1,0))</f>
        <v>0</v>
      </c>
      <c r="BN195" s="39" t="n">
        <f aca="false">IF(BN$4=0,0,IF(COUNTIFS(実績!$W$6:$W$505,BN$3,実績!$AI$6:$AI$505,"&lt;="&amp;$A195,実績!$AJ$6:$AJ$505,"&gt;"&amp;$A195,実績!$AL$6:$AL$505,"○")&gt;0,1,0))</f>
        <v>0</v>
      </c>
      <c r="BO195" s="39" t="n">
        <f aca="false">IF(BO$4=0,0,IF(COUNTIFS(実績!$W$6:$W$505,BO$3,実績!$AI$6:$AI$505,"&lt;="&amp;$A195,実績!$AJ$6:$AJ$505,"&gt;"&amp;$A195,実績!$AL$6:$AL$505,"○")&gt;0,1,0))</f>
        <v>0</v>
      </c>
      <c r="BP195" s="39" t="n">
        <f aca="false">IF(BP$4=0,0,IF(COUNTIFS(実績!$W$6:$W$505,BP$3,実績!$AI$6:$AI$505,"&lt;="&amp;$A195,実績!$AJ$6:$AJ$505,"&gt;"&amp;$A195,実績!$AL$6:$AL$505,"○")&gt;0,1,0))</f>
        <v>0</v>
      </c>
      <c r="BQ195" s="39" t="n">
        <f aca="false">IF(BQ$4=0,0,IF(COUNTIFS(実績!$W$6:$W$505,BQ$3,実績!$AI$6:$AI$505,"&lt;="&amp;$A195,実績!$AJ$6:$AJ$505,"&gt;"&amp;$A195,実績!$AL$6:$AL$505,"○")&gt;0,1,0))</f>
        <v>0</v>
      </c>
      <c r="BR195" s="39" t="n">
        <f aca="false">IF(BR$4=0,0,IF(COUNTIFS(実績!$W$6:$W$505,BR$3,実績!$AI$6:$AI$505,"&lt;="&amp;$A195,実績!$AJ$6:$AJ$505,"&gt;"&amp;$A195,実績!$AL$6:$AL$505,"○")&gt;0,1,0))</f>
        <v>0</v>
      </c>
      <c r="BS195" s="39" t="n">
        <f aca="false">IF(BS$4=0,0,IF(COUNTIFS(実績!$W$6:$W$505,BS$3,実績!$AI$6:$AI$505,"&lt;="&amp;$A195,実績!$AJ$6:$AJ$505,"&gt;"&amp;$A195,実績!$AL$6:$AL$505,"○")&gt;0,1,0))</f>
        <v>0</v>
      </c>
      <c r="BT195" s="39" t="n">
        <f aca="false">IF(BT$4=0,0,IF(COUNTIFS(実績!$W$6:$W$505,BT$3,実績!$AI$6:$AI$505,"&lt;="&amp;$A195,実績!$AJ$6:$AJ$505,"&gt;"&amp;$A195,実績!$AL$6:$AL$505,"○")&gt;0,1,0))</f>
        <v>0</v>
      </c>
      <c r="BU195" s="39" t="n">
        <f aca="false">IF(BU$4=0,0,IF(COUNTIFS(実績!$W$6:$W$505,BU$3,実績!$AI$6:$AI$505,"&lt;="&amp;$A195,実績!$AJ$6:$AJ$505,"&gt;"&amp;$A195,実績!$AL$6:$AL$505,"○")&gt;0,1,0))</f>
        <v>0</v>
      </c>
      <c r="BV195" s="39" t="n">
        <f aca="false">IF(BV$4=0,0,IF(COUNTIFS(実績!$W$6:$W$505,BV$3,実績!$AI$6:$AI$505,"&lt;="&amp;$A195,実績!$AJ$6:$AJ$505,"&gt;"&amp;$A195,実績!$AL$6:$AL$505,"○")&gt;0,1,0))</f>
        <v>0</v>
      </c>
      <c r="BW195" s="39" t="n">
        <f aca="false">IF(BW$4=0,0,IF(COUNTIFS(実績!$W$6:$W$505,BW$3,実績!$AI$6:$AI$505,"&lt;="&amp;$A195,実績!$AJ$6:$AJ$505,"&gt;"&amp;$A195,実績!$AL$6:$AL$505,"○")&gt;0,1,0))</f>
        <v>0</v>
      </c>
      <c r="BX195" s="39" t="n">
        <f aca="false">IF(BX$4=0,0,IF(COUNTIFS(実績!$W$6:$W$505,BX$3,実績!$AI$6:$AI$505,"&lt;="&amp;$A195,実績!$AJ$6:$AJ$505,"&gt;"&amp;$A195,実績!$AL$6:$AL$505,"○")&gt;0,1,0))</f>
        <v>0</v>
      </c>
      <c r="BY195" s="39" t="n">
        <f aca="false">IF(BY$4=0,0,IF(COUNTIFS(実績!$W$6:$W$505,BY$3,実績!$AI$6:$AI$505,"&lt;="&amp;$A195,実績!$AJ$6:$AJ$505,"&gt;"&amp;$A195,実績!$AL$6:$AL$505,"○")&gt;0,1,0))</f>
        <v>0</v>
      </c>
      <c r="BZ195" s="39" t="n">
        <f aca="false">IF(BZ$4=0,0,IF(COUNTIFS(実績!$W$6:$W$505,BZ$3,実績!$AI$6:$AI$505,"&lt;="&amp;$A195,実績!$AJ$6:$AJ$505,"&gt;"&amp;$A195,実績!$AL$6:$AL$505,"○")&gt;0,1,0))</f>
        <v>0</v>
      </c>
      <c r="CA195" s="39" t="n">
        <f aca="false">IF(CA$4=0,0,IF(COUNTIFS(実績!$W$6:$W$505,CA$3,実績!$AI$6:$AI$505,"&lt;="&amp;$A195,実績!$AJ$6:$AJ$505,"&gt;"&amp;$A195,実績!$AL$6:$AL$505,"○")&gt;0,1,0))</f>
        <v>0</v>
      </c>
      <c r="CB195" s="39" t="n">
        <f aca="false">IF(CB$4=0,0,IF(COUNTIFS(実績!$W$6:$W$505,CB$3,実績!$AI$6:$AI$505,"&lt;="&amp;$A195,実績!$AJ$6:$AJ$505,"&gt;"&amp;$A195,実績!$AL$6:$AL$505,"○")&gt;0,1,0))</f>
        <v>0</v>
      </c>
      <c r="CC195" s="39" t="n">
        <f aca="false">IF(CC$4=0,0,IF(COUNTIFS(実績!$W$6:$W$505,CC$3,実績!$AI$6:$AI$505,"&lt;="&amp;$A195,実績!$AJ$6:$AJ$505,"&gt;"&amp;$A195,実績!$AL$6:$AL$505,"○")&gt;0,1,0))</f>
        <v>0</v>
      </c>
      <c r="CD195" s="39" t="n">
        <f aca="false">IF(CD$4=0,0,IF(COUNTIFS(実績!$W$6:$W$505,CD$3,実績!$AI$6:$AI$505,"&lt;="&amp;$A195,実績!$AJ$6:$AJ$505,"&gt;"&amp;$A195,実績!$AL$6:$AL$505,"○")&gt;0,1,0))</f>
        <v>0</v>
      </c>
      <c r="CE195" s="39" t="n">
        <f aca="false">IF(CE$4=0,0,IF(COUNTIFS(実績!$W$6:$W$505,CE$3,実績!$AI$6:$AI$505,"&lt;="&amp;$A195,実績!$AJ$6:$AJ$505,"&gt;"&amp;$A195,実績!$AL$6:$AL$505,"○")&gt;0,1,0))</f>
        <v>0</v>
      </c>
      <c r="CF195" s="39" t="n">
        <f aca="false">IF(CF$4=0,0,IF(COUNTIFS(実績!$W$6:$W$505,CF$3,実績!$AI$6:$AI$505,"&lt;="&amp;$A195,実績!$AJ$6:$AJ$505,"&gt;"&amp;$A195,実績!$AL$6:$AL$505,"○")&gt;0,1,0))</f>
        <v>0</v>
      </c>
      <c r="CG195" s="39" t="n">
        <f aca="false">IF(CG$4=0,0,IF(COUNTIFS(実績!$W$6:$W$505,CG$3,実績!$AI$6:$AI$505,"&lt;="&amp;$A195,実績!$AJ$6:$AJ$505,"&gt;"&amp;$A195,実績!$AL$6:$AL$505,"○")&gt;0,1,0))</f>
        <v>0</v>
      </c>
      <c r="CH195" s="39" t="n">
        <f aca="false">IF(CH$4=0,0,IF(COUNTIFS(実績!$W$6:$W$505,CH$3,実績!$AI$6:$AI$505,"&lt;="&amp;$A195,実績!$AJ$6:$AJ$505,"&gt;"&amp;$A195,実績!$AL$6:$AL$505,"○")&gt;0,1,0))</f>
        <v>0</v>
      </c>
      <c r="CI195" s="39" t="n">
        <f aca="false">IF(CI$4=0,0,IF(COUNTIFS(実績!$W$6:$W$505,CI$3,実績!$AI$6:$AI$505,"&lt;="&amp;$A195,実績!$AJ$6:$AJ$505,"&gt;"&amp;$A195,実績!$AL$6:$AL$505,"○")&gt;0,1,0))</f>
        <v>0</v>
      </c>
      <c r="CJ195" s="39" t="n">
        <f aca="false">IF(CJ$4=0,0,IF(COUNTIFS(実績!$W$6:$W$505,CJ$3,実績!$AI$6:$AI$505,"&lt;="&amp;$A195,実績!$AJ$6:$AJ$505,"&gt;"&amp;$A195,実績!$AL$6:$AL$505,"○")&gt;0,1,0))</f>
        <v>0</v>
      </c>
      <c r="CK195" s="39" t="n">
        <f aca="false">IF(CK$4=0,0,IF(COUNTIFS(実績!$W$6:$W$505,CK$3,実績!$AI$6:$AI$505,"&lt;="&amp;$A195,実績!$AJ$6:$AJ$505,"&gt;"&amp;$A195,実績!$AL$6:$AL$505,"○")&gt;0,1,0))</f>
        <v>0</v>
      </c>
      <c r="CL195" s="39" t="n">
        <f aca="false">IF(CL$4=0,0,IF(COUNTIFS(実績!$W$6:$W$505,CL$3,実績!$AI$6:$AI$505,"&lt;="&amp;$A195,実績!$AJ$6:$AJ$505,"&gt;"&amp;$A195,実績!$AL$6:$AL$505,"○")&gt;0,1,0))</f>
        <v>0</v>
      </c>
      <c r="CM195" s="39" t="n">
        <f aca="false">IF(CM$4=0,0,IF(COUNTIFS(実績!$W$6:$W$505,CM$3,実績!$AI$6:$AI$505,"&lt;="&amp;$A195,実績!$AJ$6:$AJ$505,"&gt;"&amp;$A195,実績!$AL$6:$AL$505,"○")&gt;0,1,0))</f>
        <v>0</v>
      </c>
      <c r="CN195" s="39" t="n">
        <f aca="false">IF(CN$4=0,0,IF(COUNTIFS(実績!$W$6:$W$505,CN$3,実績!$AI$6:$AI$505,"&lt;="&amp;$A195,実績!$AJ$6:$AJ$505,"&gt;"&amp;$A195,実績!$AL$6:$AL$505,"○")&gt;0,1,0))</f>
        <v>0</v>
      </c>
      <c r="CO195" s="39" t="n">
        <f aca="false">IF(CO$4=0,0,IF(COUNTIFS(実績!$W$6:$W$505,CO$3,実績!$AI$6:$AI$505,"&lt;="&amp;$A195,実績!$AJ$6:$AJ$505,"&gt;"&amp;$A195,実績!$AL$6:$AL$505,"○")&gt;0,1,0))</f>
        <v>0</v>
      </c>
      <c r="CP195" s="39" t="n">
        <f aca="false">IF(CP$4=0,0,IF(COUNTIFS(実績!$W$6:$W$505,CP$3,実績!$AI$6:$AI$505,"&lt;="&amp;$A195,実績!$AJ$6:$AJ$505,"&gt;"&amp;$A195,実績!$AL$6:$AL$505,"○")&gt;0,1,0))</f>
        <v>0</v>
      </c>
      <c r="CQ195" s="39" t="n">
        <f aca="false">IF(CQ$4=0,0,IF(COUNTIFS(実績!$W$6:$W$505,CQ$3,実績!$AI$6:$AI$505,"&lt;="&amp;$A195,実績!$AJ$6:$AJ$505,"&gt;"&amp;$A195,実績!$AL$6:$AL$505,"○")&gt;0,1,0))</f>
        <v>0</v>
      </c>
      <c r="CR195" s="39" t="n">
        <f aca="false">IF(CR$4=0,0,IF(COUNTIFS(実績!$W$6:$W$505,CR$3,実績!$AI$6:$AI$505,"&lt;="&amp;$A195,実績!$AJ$6:$AJ$505,"&gt;"&amp;$A195,実績!$AL$6:$AL$505,"○")&gt;0,1,0))</f>
        <v>0</v>
      </c>
      <c r="CS195" s="39" t="n">
        <f aca="false">IF(CS$4=0,0,IF(COUNTIFS(実績!$W$6:$W$505,CS$3,実績!$AI$6:$AI$505,"&lt;="&amp;$A195,実績!$AJ$6:$AJ$505,"&gt;"&amp;$A195,実績!$AL$6:$AL$505,"○")&gt;0,1,0))</f>
        <v>0</v>
      </c>
      <c r="CT195" s="39" t="n">
        <f aca="false">IF(CT$4=0,0,IF(COUNTIFS(実績!$W$6:$W$505,CT$3,実績!$AI$6:$AI$505,"&lt;="&amp;$A195,実績!$AJ$6:$AJ$505,"&gt;"&amp;$A195,実績!$AL$6:$AL$505,"○")&gt;0,1,0))</f>
        <v>0</v>
      </c>
      <c r="CU195" s="39" t="n">
        <f aca="false">IF(CU$4=0,0,IF(COUNTIFS(実績!$W$6:$W$505,CU$3,実績!$AI$6:$AI$505,"&lt;="&amp;$A195,実績!$AJ$6:$AJ$505,"&gt;"&amp;$A195,実績!$AL$6:$AL$505,"○")&gt;0,1,0))</f>
        <v>0</v>
      </c>
      <c r="CV195" s="39" t="n">
        <f aca="false">IF(CV$4=0,0,IF(COUNTIFS(実績!$W$6:$W$505,CV$3,実績!$AI$6:$AI$505,"&lt;="&amp;$A195,実績!$AJ$6:$AJ$505,"&gt;"&amp;$A195,実績!$AL$6:$AL$505,"○")&gt;0,1,0))</f>
        <v>0</v>
      </c>
      <c r="CW195" s="39" t="n">
        <f aca="false">IF(CW$4=0,0,IF(COUNTIFS(実績!$W$6:$W$505,CW$3,実績!$AI$6:$AI$505,"&lt;="&amp;$A195,実績!$AJ$6:$AJ$505,"&gt;"&amp;$A195,実績!$AL$6:$AL$505,"○")&gt;0,1,0))</f>
        <v>0</v>
      </c>
      <c r="CX195" s="39" t="n">
        <f aca="false">IF(CX$4=0,0,IF(COUNTIFS(実績!$W$6:$W$505,CX$3,実績!$AI$6:$AI$505,"&lt;="&amp;$A195,実績!$AJ$6:$AJ$505,"&gt;"&amp;$A195,実績!$AL$6:$AL$505,"○")&gt;0,1,0))</f>
        <v>0</v>
      </c>
      <c r="CY195" s="39" t="n">
        <f aca="false">IF(CY$4=0,0,IF(COUNTIFS(実績!$W$6:$W$505,CY$3,実績!$AI$6:$AI$505,"&lt;="&amp;$A195,実績!$AJ$6:$AJ$505,"&gt;"&amp;$A195,実績!$AL$6:$AL$505,"○")&gt;0,1,0))</f>
        <v>0</v>
      </c>
      <c r="CZ195" s="39" t="n">
        <f aca="false">IF(CZ$4=0,0,IF(COUNTIFS(実績!$W$6:$W$505,CZ$3,実績!$AI$6:$AI$505,"&lt;="&amp;$A195,実績!$AJ$6:$AJ$505,"&gt;"&amp;$A195,実績!$AL$6:$AL$505,"○")&gt;0,1,0))</f>
        <v>0</v>
      </c>
      <c r="DA195" s="39" t="n">
        <f aca="false">IF(DA$4=0,0,IF(COUNTIFS(実績!$W$6:$W$505,DA$3,実績!$AI$6:$AI$505,"&lt;="&amp;$A195,実績!$AJ$6:$AJ$505,"&gt;"&amp;$A195,実績!$AL$6:$AL$505,"○")&gt;0,1,0))</f>
        <v>0</v>
      </c>
      <c r="DB195" s="39" t="n">
        <f aca="false">IF(DB$4=0,0,IF(COUNTIFS(実績!$W$6:$W$505,DB$3,実績!$AI$6:$AI$505,"&lt;="&amp;$A195,実績!$AJ$6:$AJ$505,"&gt;"&amp;$A195,実績!$AL$6:$AL$505,"○")&gt;0,1,0))</f>
        <v>0</v>
      </c>
      <c r="DC195" s="39" t="n">
        <f aca="false">IF(DC$4=0,0,IF(COUNTIFS(実績!$W$6:$W$505,DC$3,実績!$AI$6:$AI$505,"&lt;="&amp;$A195,実績!$AJ$6:$AJ$505,"&gt;"&amp;$A195,実績!$AL$6:$AL$505,"○")&gt;0,1,0))</f>
        <v>0</v>
      </c>
      <c r="DD195" s="39" t="n">
        <f aca="false">IF(DD$4=0,0,IF(COUNTIFS(実績!$W$6:$W$505,DD$3,実績!$AI$6:$AI$505,"&lt;="&amp;$A195,実績!$AJ$6:$AJ$505,"&gt;"&amp;$A195,実績!$AL$6:$AL$505,"○")&gt;0,1,0))</f>
        <v>0</v>
      </c>
      <c r="DE195" s="39" t="n">
        <f aca="false">IF(DE$4=0,0,IF(COUNTIFS(実績!$W$6:$W$505,DE$3,実績!$AI$6:$AI$505,"&lt;="&amp;$A195,実績!$AJ$6:$AJ$505,"&gt;"&amp;$A195,実績!$AL$6:$AL$505,"○")&gt;0,1,0))</f>
        <v>0</v>
      </c>
      <c r="DF195" s="39" t="n">
        <f aca="false">IF(DF$4=0,0,IF(COUNTIFS(実績!$W$6:$W$505,DF$3,実績!$AI$6:$AI$505,"&lt;="&amp;$A195,実績!$AJ$6:$AJ$505,"&gt;"&amp;$A195,実績!$AL$6:$AL$505,"○")&gt;0,1,0))</f>
        <v>0</v>
      </c>
      <c r="DG195" s="39" t="n">
        <f aca="false">IF(DG$4=0,0,IF(COUNTIFS(実績!$W$6:$W$505,DG$3,実績!$AI$6:$AI$505,"&lt;="&amp;$A195,実績!$AJ$6:$AJ$505,"&gt;"&amp;$A195,実績!$AL$6:$AL$505,"○")&gt;0,1,0))</f>
        <v>0</v>
      </c>
      <c r="DH195" s="39" t="n">
        <f aca="false">IF(DH$4=0,0,IF(COUNTIFS(実績!$W$6:$W$505,DH$3,実績!$AI$6:$AI$505,"&lt;="&amp;$A195,実績!$AJ$6:$AJ$505,"&gt;"&amp;$A195,実績!$AL$6:$AL$505,"○")&gt;0,1,0))</f>
        <v>0</v>
      </c>
      <c r="DI195" s="39" t="n">
        <f aca="false">IF(DI$4=0,0,IF(COUNTIFS(実績!$W$6:$W$505,DI$3,実績!$AI$6:$AI$505,"&lt;="&amp;$A195,実績!$AJ$6:$AJ$505,"&gt;"&amp;$A195,実績!$AL$6:$AL$505,"○")&gt;0,1,0))</f>
        <v>0</v>
      </c>
      <c r="DJ195" s="39" t="n">
        <f aca="false">IF(DJ$4=0,0,IF(COUNTIFS(実績!$W$6:$W$505,DJ$3,実績!$AI$6:$AI$505,"&lt;="&amp;$A195,実績!$AJ$6:$AJ$505,"&gt;"&amp;$A195,実績!$AL$6:$AL$505,"○")&gt;0,1,0))</f>
        <v>0</v>
      </c>
      <c r="DK195" s="39" t="n">
        <f aca="false">IF(DK$4=0,0,IF(COUNTIFS(実績!$W$6:$W$505,DK$3,実績!$AI$6:$AI$505,"&lt;="&amp;$A195,実績!$AJ$6:$AJ$505,"&gt;"&amp;$A195,実績!$AL$6:$AL$505,"○")&gt;0,1,0))</f>
        <v>0</v>
      </c>
      <c r="DL195" s="39" t="n">
        <f aca="false">IF(DL$4=0,0,IF(COUNTIFS(実績!$W$6:$W$505,DL$3,実績!$AI$6:$AI$505,"&lt;="&amp;$A195,実績!$AJ$6:$AJ$505,"&gt;"&amp;$A195,実績!$AL$6:$AL$505,"○")&gt;0,1,0))</f>
        <v>0</v>
      </c>
      <c r="DM195" s="39" t="n">
        <f aca="false">IF(DM$4=0,0,IF(COUNTIFS(実績!$W$6:$W$505,DM$3,実績!$AI$6:$AI$505,"&lt;="&amp;$A195,実績!$AJ$6:$AJ$505,"&gt;"&amp;$A195,実績!$AL$6:$AL$505,"○")&gt;0,1,0))</f>
        <v>0</v>
      </c>
      <c r="DN195" s="39" t="n">
        <f aca="false">IF(DN$4=0,0,IF(COUNTIFS(実績!$W$6:$W$505,DN$3,実績!$AI$6:$AI$505,"&lt;="&amp;$A195,実績!$AJ$6:$AJ$505,"&gt;"&amp;$A195,実績!$AL$6:$AL$505,"○")&gt;0,1,0))</f>
        <v>0</v>
      </c>
      <c r="DO195" s="39" t="n">
        <f aca="false">IF(DO$4=0,0,IF(COUNTIFS(実績!$W$6:$W$505,DO$3,実績!$AI$6:$AI$505,"&lt;="&amp;$A195,実績!$AJ$6:$AJ$505,"&gt;"&amp;$A195,実績!$AL$6:$AL$505,"○")&gt;0,1,0))</f>
        <v>0</v>
      </c>
      <c r="DP195" s="39" t="n">
        <f aca="false">IF(DP$4=0,0,IF(COUNTIFS(実績!$W$6:$W$505,DP$3,実績!$AI$6:$AI$505,"&lt;="&amp;$A195,実績!$AJ$6:$AJ$505,"&gt;"&amp;$A195,実績!$AL$6:$AL$505,"○")&gt;0,1,0))</f>
        <v>0</v>
      </c>
      <c r="DQ195" s="39" t="n">
        <f aca="false">IF(DQ$4=0,0,IF(COUNTIFS(実績!$W$6:$W$505,DQ$3,実績!$AI$6:$AI$505,"&lt;="&amp;$A195,実績!$AJ$6:$AJ$505,"&gt;"&amp;$A195,実績!$AL$6:$AL$505,"○")&gt;0,1,0))</f>
        <v>0</v>
      </c>
      <c r="DR195" s="39" t="n">
        <f aca="false">IF(DR$4=0,0,IF(COUNTIFS(実績!$W$6:$W$505,DR$3,実績!$AI$6:$AI$505,"&lt;="&amp;$A195,実績!$AJ$6:$AJ$505,"&gt;"&amp;$A195,実績!$AL$6:$AL$505,"○")&gt;0,1,0))</f>
        <v>0</v>
      </c>
      <c r="DS195" s="39" t="n">
        <f aca="false">SUM(C195:DR195)</f>
        <v>0</v>
      </c>
    </row>
    <row r="196" customFormat="false" ht="15" hidden="false" customHeight="false" outlineLevel="0" collapsed="false">
      <c r="A196" s="0" t="n">
        <v>950</v>
      </c>
      <c r="B196" s="38" t="n">
        <f aca="false">A196/1440</f>
        <v>0.659722222222222</v>
      </c>
      <c r="C196" s="39" t="n">
        <f aca="false">IF(C$4=0,0,IF(COUNTIFS(実績!$W$6:$W$505,C$3,実績!$AI$6:$AI$505,"&lt;="&amp;$A196,実績!$AJ$6:$AJ$505,"&gt;"&amp;$A196,実績!$AL$6:$AL$505,"○")&gt;0,1,0))</f>
        <v>0</v>
      </c>
      <c r="D196" s="39" t="n">
        <f aca="false">IF(D$4=0,0,IF(COUNTIFS(実績!$W$6:$W$505,D$3,実績!$AI$6:$AI$505,"&lt;="&amp;$A196,実績!$AJ$6:$AJ$505,"&gt;"&amp;$A196,実績!$AL$6:$AL$505,"○")&gt;0,1,0))</f>
        <v>0</v>
      </c>
      <c r="E196" s="39" t="n">
        <f aca="false">IF(E$4=0,0,IF(COUNTIFS(実績!$W$6:$W$505,E$3,実績!$AI$6:$AI$505,"&lt;="&amp;$A196,実績!$AJ$6:$AJ$505,"&gt;"&amp;$A196,実績!$AL$6:$AL$505,"○")&gt;0,1,0))</f>
        <v>0</v>
      </c>
      <c r="F196" s="39" t="n">
        <f aca="false">IF(F$4=0,0,IF(COUNTIFS(実績!$W$6:$W$505,F$3,実績!$AI$6:$AI$505,"&lt;="&amp;$A196,実績!$AJ$6:$AJ$505,"&gt;"&amp;$A196,実績!$AL$6:$AL$505,"○")&gt;0,1,0))</f>
        <v>0</v>
      </c>
      <c r="G196" s="39" t="n">
        <f aca="false">IF(G$4=0,0,IF(COUNTIFS(実績!$W$6:$W$505,G$3,実績!$AI$6:$AI$505,"&lt;="&amp;$A196,実績!$AJ$6:$AJ$505,"&gt;"&amp;$A196,実績!$AL$6:$AL$505,"○")&gt;0,1,0))</f>
        <v>0</v>
      </c>
      <c r="H196" s="39" t="n">
        <f aca="false">IF(H$4=0,0,IF(COUNTIFS(実績!$W$6:$W$505,H$3,実績!$AI$6:$AI$505,"&lt;="&amp;$A196,実績!$AJ$6:$AJ$505,"&gt;"&amp;$A196,実績!$AL$6:$AL$505,"○")&gt;0,1,0))</f>
        <v>0</v>
      </c>
      <c r="I196" s="39" t="n">
        <f aca="false">IF(I$4=0,0,IF(COUNTIFS(実績!$W$6:$W$505,I$3,実績!$AI$6:$AI$505,"&lt;="&amp;$A196,実績!$AJ$6:$AJ$505,"&gt;"&amp;$A196,実績!$AL$6:$AL$505,"○")&gt;0,1,0))</f>
        <v>0</v>
      </c>
      <c r="J196" s="39" t="n">
        <f aca="false">IF(J$4=0,0,IF(COUNTIFS(実績!$W$6:$W$505,J$3,実績!$AI$6:$AI$505,"&lt;="&amp;$A196,実績!$AJ$6:$AJ$505,"&gt;"&amp;$A196,実績!$AL$6:$AL$505,"○")&gt;0,1,0))</f>
        <v>0</v>
      </c>
      <c r="K196" s="39" t="n">
        <f aca="false">IF(K$4=0,0,IF(COUNTIFS(実績!$W$6:$W$505,K$3,実績!$AI$6:$AI$505,"&lt;="&amp;$A196,実績!$AJ$6:$AJ$505,"&gt;"&amp;$A196,実績!$AL$6:$AL$505,"○")&gt;0,1,0))</f>
        <v>0</v>
      </c>
      <c r="L196" s="39" t="n">
        <f aca="false">IF(L$4=0,0,IF(COUNTIFS(実績!$W$6:$W$505,L$3,実績!$AI$6:$AI$505,"&lt;="&amp;$A196,実績!$AJ$6:$AJ$505,"&gt;"&amp;$A196,実績!$AL$6:$AL$505,"○")&gt;0,1,0))</f>
        <v>0</v>
      </c>
      <c r="M196" s="39" t="n">
        <f aca="false">IF(M$4=0,0,IF(COUNTIFS(実績!$W$6:$W$505,M$3,実績!$AI$6:$AI$505,"&lt;="&amp;$A196,実績!$AJ$6:$AJ$505,"&gt;"&amp;$A196,実績!$AL$6:$AL$505,"○")&gt;0,1,0))</f>
        <v>0</v>
      </c>
      <c r="N196" s="39" t="n">
        <f aca="false">IF(N$4=0,0,IF(COUNTIFS(実績!$W$6:$W$505,N$3,実績!$AI$6:$AI$505,"&lt;="&amp;$A196,実績!$AJ$6:$AJ$505,"&gt;"&amp;$A196,実績!$AL$6:$AL$505,"○")&gt;0,1,0))</f>
        <v>0</v>
      </c>
      <c r="O196" s="39" t="n">
        <f aca="false">IF(O$4=0,0,IF(COUNTIFS(実績!$W$6:$W$505,O$3,実績!$AI$6:$AI$505,"&lt;="&amp;$A196,実績!$AJ$6:$AJ$505,"&gt;"&amp;$A196,実績!$AL$6:$AL$505,"○")&gt;0,1,0))</f>
        <v>0</v>
      </c>
      <c r="P196" s="39" t="n">
        <f aca="false">IF(P$4=0,0,IF(COUNTIFS(実績!$W$6:$W$505,P$3,実績!$AI$6:$AI$505,"&lt;="&amp;$A196,実績!$AJ$6:$AJ$505,"&gt;"&amp;$A196,実績!$AL$6:$AL$505,"○")&gt;0,1,0))</f>
        <v>0</v>
      </c>
      <c r="Q196" s="39" t="n">
        <f aca="false">IF(Q$4=0,0,IF(COUNTIFS(実績!$W$6:$W$505,Q$3,実績!$AI$6:$AI$505,"&lt;="&amp;$A196,実績!$AJ$6:$AJ$505,"&gt;"&amp;$A196,実績!$AL$6:$AL$505,"○")&gt;0,1,0))</f>
        <v>0</v>
      </c>
      <c r="R196" s="39" t="n">
        <f aca="false">IF(R$4=0,0,IF(COUNTIFS(実績!$W$6:$W$505,R$3,実績!$AI$6:$AI$505,"&lt;="&amp;$A196,実績!$AJ$6:$AJ$505,"&gt;"&amp;$A196,実績!$AL$6:$AL$505,"○")&gt;0,1,0))</f>
        <v>0</v>
      </c>
      <c r="S196" s="39" t="n">
        <f aca="false">IF(S$4=0,0,IF(COUNTIFS(実績!$W$6:$W$505,S$3,実績!$AI$6:$AI$505,"&lt;="&amp;$A196,実績!$AJ$6:$AJ$505,"&gt;"&amp;$A196,実績!$AL$6:$AL$505,"○")&gt;0,1,0))</f>
        <v>0</v>
      </c>
      <c r="T196" s="39" t="n">
        <f aca="false">IF(T$4=0,0,IF(COUNTIFS(実績!$W$6:$W$505,T$3,実績!$AI$6:$AI$505,"&lt;="&amp;$A196,実績!$AJ$6:$AJ$505,"&gt;"&amp;$A196,実績!$AL$6:$AL$505,"○")&gt;0,1,0))</f>
        <v>0</v>
      </c>
      <c r="U196" s="39" t="n">
        <f aca="false">IF(U$4=0,0,IF(COUNTIFS(実績!$W$6:$W$505,U$3,実績!$AI$6:$AI$505,"&lt;="&amp;$A196,実績!$AJ$6:$AJ$505,"&gt;"&amp;$A196,実績!$AL$6:$AL$505,"○")&gt;0,1,0))</f>
        <v>0</v>
      </c>
      <c r="V196" s="39" t="n">
        <f aca="false">IF(V$4=0,0,IF(COUNTIFS(実績!$W$6:$W$505,V$3,実績!$AI$6:$AI$505,"&lt;="&amp;$A196,実績!$AJ$6:$AJ$505,"&gt;"&amp;$A196,実績!$AL$6:$AL$505,"○")&gt;0,1,0))</f>
        <v>0</v>
      </c>
      <c r="W196" s="39" t="n">
        <f aca="false">IF(W$4=0,0,IF(COUNTIFS(実績!$W$6:$W$505,W$3,実績!$AI$6:$AI$505,"&lt;="&amp;$A196,実績!$AJ$6:$AJ$505,"&gt;"&amp;$A196,実績!$AL$6:$AL$505,"○")&gt;0,1,0))</f>
        <v>0</v>
      </c>
      <c r="X196" s="39" t="n">
        <f aca="false">IF(X$4=0,0,IF(COUNTIFS(実績!$W$6:$W$505,X$3,実績!$AI$6:$AI$505,"&lt;="&amp;$A196,実績!$AJ$6:$AJ$505,"&gt;"&amp;$A196,実績!$AL$6:$AL$505,"○")&gt;0,1,0))</f>
        <v>0</v>
      </c>
      <c r="Y196" s="39" t="n">
        <f aca="false">IF(Y$4=0,0,IF(COUNTIFS(実績!$W$6:$W$505,Y$3,実績!$AI$6:$AI$505,"&lt;="&amp;$A196,実績!$AJ$6:$AJ$505,"&gt;"&amp;$A196,実績!$AL$6:$AL$505,"○")&gt;0,1,0))</f>
        <v>0</v>
      </c>
      <c r="Z196" s="39" t="n">
        <f aca="false">IF(Z$4=0,0,IF(COUNTIFS(実績!$W$6:$W$505,Z$3,実績!$AI$6:$AI$505,"&lt;="&amp;$A196,実績!$AJ$6:$AJ$505,"&gt;"&amp;$A196,実績!$AL$6:$AL$505,"○")&gt;0,1,0))</f>
        <v>0</v>
      </c>
      <c r="AA196" s="39" t="n">
        <f aca="false">IF(AA$4=0,0,IF(COUNTIFS(実績!$W$6:$W$505,AA$3,実績!$AI$6:$AI$505,"&lt;="&amp;$A196,実績!$AJ$6:$AJ$505,"&gt;"&amp;$A196,実績!$AL$6:$AL$505,"○")&gt;0,1,0))</f>
        <v>0</v>
      </c>
      <c r="AB196" s="39" t="n">
        <f aca="false">IF(AB$4=0,0,IF(COUNTIFS(実績!$W$6:$W$505,AB$3,実績!$AI$6:$AI$505,"&lt;="&amp;$A196,実績!$AJ$6:$AJ$505,"&gt;"&amp;$A196,実績!$AL$6:$AL$505,"○")&gt;0,1,0))</f>
        <v>0</v>
      </c>
      <c r="AC196" s="39" t="n">
        <f aca="false">IF(AC$4=0,0,IF(COUNTIFS(実績!$W$6:$W$505,AC$3,実績!$AI$6:$AI$505,"&lt;="&amp;$A196,実績!$AJ$6:$AJ$505,"&gt;"&amp;$A196,実績!$AL$6:$AL$505,"○")&gt;0,1,0))</f>
        <v>0</v>
      </c>
      <c r="AD196" s="39" t="n">
        <f aca="false">IF(AD$4=0,0,IF(COUNTIFS(実績!$W$6:$W$505,AD$3,実績!$AI$6:$AI$505,"&lt;="&amp;$A196,実績!$AJ$6:$AJ$505,"&gt;"&amp;$A196,実績!$AL$6:$AL$505,"○")&gt;0,1,0))</f>
        <v>0</v>
      </c>
      <c r="AE196" s="39" t="n">
        <f aca="false">IF(AE$4=0,0,IF(COUNTIFS(実績!$W$6:$W$505,AE$3,実績!$AI$6:$AI$505,"&lt;="&amp;$A196,実績!$AJ$6:$AJ$505,"&gt;"&amp;$A196,実績!$AL$6:$AL$505,"○")&gt;0,1,0))</f>
        <v>0</v>
      </c>
      <c r="AF196" s="39" t="n">
        <f aca="false">IF(AF$4=0,0,IF(COUNTIFS(実績!$W$6:$W$505,AF$3,実績!$AI$6:$AI$505,"&lt;="&amp;$A196,実績!$AJ$6:$AJ$505,"&gt;"&amp;$A196,実績!$AL$6:$AL$505,"○")&gt;0,1,0))</f>
        <v>0</v>
      </c>
      <c r="AG196" s="39" t="n">
        <f aca="false">IF(AG$4=0,0,IF(COUNTIFS(実績!$W$6:$W$505,AG$3,実績!$AI$6:$AI$505,"&lt;="&amp;$A196,実績!$AJ$6:$AJ$505,"&gt;"&amp;$A196,実績!$AL$6:$AL$505,"○")&gt;0,1,0))</f>
        <v>0</v>
      </c>
      <c r="AH196" s="39" t="n">
        <f aca="false">IF(AH$4=0,0,IF(COUNTIFS(実績!$W$6:$W$505,AH$3,実績!$AI$6:$AI$505,"&lt;="&amp;$A196,実績!$AJ$6:$AJ$505,"&gt;"&amp;$A196,実績!$AL$6:$AL$505,"○")&gt;0,1,0))</f>
        <v>0</v>
      </c>
      <c r="AI196" s="39" t="n">
        <f aca="false">IF(AI$4=0,0,IF(COUNTIFS(実績!$W$6:$W$505,AI$3,実績!$AI$6:$AI$505,"&lt;="&amp;$A196,実績!$AJ$6:$AJ$505,"&gt;"&amp;$A196,実績!$AL$6:$AL$505,"○")&gt;0,1,0))</f>
        <v>0</v>
      </c>
      <c r="AJ196" s="39" t="n">
        <f aca="false">IF(AJ$4=0,0,IF(COUNTIFS(実績!$W$6:$W$505,AJ$3,実績!$AI$6:$AI$505,"&lt;="&amp;$A196,実績!$AJ$6:$AJ$505,"&gt;"&amp;$A196,実績!$AL$6:$AL$505,"○")&gt;0,1,0))</f>
        <v>0</v>
      </c>
      <c r="AK196" s="39" t="n">
        <f aca="false">IF(AK$4=0,0,IF(COUNTIFS(実績!$W$6:$W$505,AK$3,実績!$AI$6:$AI$505,"&lt;="&amp;$A196,実績!$AJ$6:$AJ$505,"&gt;"&amp;$A196,実績!$AL$6:$AL$505,"○")&gt;0,1,0))</f>
        <v>0</v>
      </c>
      <c r="AL196" s="39" t="n">
        <f aca="false">IF(AL$4=0,0,IF(COUNTIFS(実績!$W$6:$W$505,AL$3,実績!$AI$6:$AI$505,"&lt;="&amp;$A196,実績!$AJ$6:$AJ$505,"&gt;"&amp;$A196,実績!$AL$6:$AL$505,"○")&gt;0,1,0))</f>
        <v>0</v>
      </c>
      <c r="AM196" s="39" t="n">
        <f aca="false">IF(AM$4=0,0,IF(COUNTIFS(実績!$W$6:$W$505,AM$3,実績!$AI$6:$AI$505,"&lt;="&amp;$A196,実績!$AJ$6:$AJ$505,"&gt;"&amp;$A196,実績!$AL$6:$AL$505,"○")&gt;0,1,0))</f>
        <v>0</v>
      </c>
      <c r="AN196" s="39" t="n">
        <f aca="false">IF(AN$4=0,0,IF(COUNTIFS(実績!$W$6:$W$505,AN$3,実績!$AI$6:$AI$505,"&lt;="&amp;$A196,実績!$AJ$6:$AJ$505,"&gt;"&amp;$A196,実績!$AL$6:$AL$505,"○")&gt;0,1,0))</f>
        <v>0</v>
      </c>
      <c r="AO196" s="39" t="n">
        <f aca="false">IF(AO$4=0,0,IF(COUNTIFS(実績!$W$6:$W$505,AO$3,実績!$AI$6:$AI$505,"&lt;="&amp;$A196,実績!$AJ$6:$AJ$505,"&gt;"&amp;$A196,実績!$AL$6:$AL$505,"○")&gt;0,1,0))</f>
        <v>0</v>
      </c>
      <c r="AP196" s="39" t="n">
        <f aca="false">IF(AP$4=0,0,IF(COUNTIFS(実績!$W$6:$W$505,AP$3,実績!$AI$6:$AI$505,"&lt;="&amp;$A196,実績!$AJ$6:$AJ$505,"&gt;"&amp;$A196,実績!$AL$6:$AL$505,"○")&gt;0,1,0))</f>
        <v>0</v>
      </c>
      <c r="AQ196" s="39" t="n">
        <f aca="false">IF(AQ$4=0,0,IF(COUNTIFS(実績!$W$6:$W$505,AQ$3,実績!$AI$6:$AI$505,"&lt;="&amp;$A196,実績!$AJ$6:$AJ$505,"&gt;"&amp;$A196,実績!$AL$6:$AL$505,"○")&gt;0,1,0))</f>
        <v>0</v>
      </c>
      <c r="AR196" s="39" t="n">
        <f aca="false">IF(AR$4=0,0,IF(COUNTIFS(実績!$W$6:$W$505,AR$3,実績!$AI$6:$AI$505,"&lt;="&amp;$A196,実績!$AJ$6:$AJ$505,"&gt;"&amp;$A196,実績!$AL$6:$AL$505,"○")&gt;0,1,0))</f>
        <v>0</v>
      </c>
      <c r="AS196" s="39" t="n">
        <f aca="false">IF(AS$4=0,0,IF(COUNTIFS(実績!$W$6:$W$505,AS$3,実績!$AI$6:$AI$505,"&lt;="&amp;$A196,実績!$AJ$6:$AJ$505,"&gt;"&amp;$A196,実績!$AL$6:$AL$505,"○")&gt;0,1,0))</f>
        <v>0</v>
      </c>
      <c r="AT196" s="39" t="n">
        <f aca="false">IF(AT$4=0,0,IF(COUNTIFS(実績!$W$6:$W$505,AT$3,実績!$AI$6:$AI$505,"&lt;="&amp;$A196,実績!$AJ$6:$AJ$505,"&gt;"&amp;$A196,実績!$AL$6:$AL$505,"○")&gt;0,1,0))</f>
        <v>0</v>
      </c>
      <c r="AU196" s="39" t="n">
        <f aca="false">IF(AU$4=0,0,IF(COUNTIFS(実績!$W$6:$W$505,AU$3,実績!$AI$6:$AI$505,"&lt;="&amp;$A196,実績!$AJ$6:$AJ$505,"&gt;"&amp;$A196,実績!$AL$6:$AL$505,"○")&gt;0,1,0))</f>
        <v>0</v>
      </c>
      <c r="AV196" s="39" t="n">
        <f aca="false">IF(AV$4=0,0,IF(COUNTIFS(実績!$W$6:$W$505,AV$3,実績!$AI$6:$AI$505,"&lt;="&amp;$A196,実績!$AJ$6:$AJ$505,"&gt;"&amp;$A196,実績!$AL$6:$AL$505,"○")&gt;0,1,0))</f>
        <v>0</v>
      </c>
      <c r="AW196" s="39" t="n">
        <f aca="false">IF(AW$4=0,0,IF(COUNTIFS(実績!$W$6:$W$505,AW$3,実績!$AI$6:$AI$505,"&lt;="&amp;$A196,実績!$AJ$6:$AJ$505,"&gt;"&amp;$A196,実績!$AL$6:$AL$505,"○")&gt;0,1,0))</f>
        <v>0</v>
      </c>
      <c r="AX196" s="39" t="n">
        <f aca="false">IF(AX$4=0,0,IF(COUNTIFS(実績!$W$6:$W$505,AX$3,実績!$AI$6:$AI$505,"&lt;="&amp;$A196,実績!$AJ$6:$AJ$505,"&gt;"&amp;$A196,実績!$AL$6:$AL$505,"○")&gt;0,1,0))</f>
        <v>0</v>
      </c>
      <c r="AY196" s="39" t="n">
        <f aca="false">IF(AY$4=0,0,IF(COUNTIFS(実績!$W$6:$W$505,AY$3,実績!$AI$6:$AI$505,"&lt;="&amp;$A196,実績!$AJ$6:$AJ$505,"&gt;"&amp;$A196,実績!$AL$6:$AL$505,"○")&gt;0,1,0))</f>
        <v>0</v>
      </c>
      <c r="AZ196" s="39" t="n">
        <f aca="false">IF(AZ$4=0,0,IF(COUNTIFS(実績!$W$6:$W$505,AZ$3,実績!$AI$6:$AI$505,"&lt;="&amp;$A196,実績!$AJ$6:$AJ$505,"&gt;"&amp;$A196,実績!$AL$6:$AL$505,"○")&gt;0,1,0))</f>
        <v>0</v>
      </c>
      <c r="BA196" s="39" t="n">
        <f aca="false">IF(BA$4=0,0,IF(COUNTIFS(実績!$W$6:$W$505,BA$3,実績!$AI$6:$AI$505,"&lt;="&amp;$A196,実績!$AJ$6:$AJ$505,"&gt;"&amp;$A196,実績!$AL$6:$AL$505,"○")&gt;0,1,0))</f>
        <v>0</v>
      </c>
      <c r="BB196" s="39" t="n">
        <f aca="false">IF(BB$4=0,0,IF(COUNTIFS(実績!$W$6:$W$505,BB$3,実績!$AI$6:$AI$505,"&lt;="&amp;$A196,実績!$AJ$6:$AJ$505,"&gt;"&amp;$A196,実績!$AL$6:$AL$505,"○")&gt;0,1,0))</f>
        <v>0</v>
      </c>
      <c r="BC196" s="39" t="n">
        <f aca="false">IF(BC$4=0,0,IF(COUNTIFS(実績!$W$6:$W$505,BC$3,実績!$AI$6:$AI$505,"&lt;="&amp;$A196,実績!$AJ$6:$AJ$505,"&gt;"&amp;$A196,実績!$AL$6:$AL$505,"○")&gt;0,1,0))</f>
        <v>0</v>
      </c>
      <c r="BD196" s="39" t="n">
        <f aca="false">IF(BD$4=0,0,IF(COUNTIFS(実績!$W$6:$W$505,BD$3,実績!$AI$6:$AI$505,"&lt;="&amp;$A196,実績!$AJ$6:$AJ$505,"&gt;"&amp;$A196,実績!$AL$6:$AL$505,"○")&gt;0,1,0))</f>
        <v>0</v>
      </c>
      <c r="BE196" s="39" t="n">
        <f aca="false">IF(BE$4=0,0,IF(COUNTIFS(実績!$W$6:$W$505,BE$3,実績!$AI$6:$AI$505,"&lt;="&amp;$A196,実績!$AJ$6:$AJ$505,"&gt;"&amp;$A196,実績!$AL$6:$AL$505,"○")&gt;0,1,0))</f>
        <v>0</v>
      </c>
      <c r="BF196" s="39" t="n">
        <f aca="false">IF(BF$4=0,0,IF(COUNTIFS(実績!$W$6:$W$505,BF$3,実績!$AI$6:$AI$505,"&lt;="&amp;$A196,実績!$AJ$6:$AJ$505,"&gt;"&amp;$A196,実績!$AL$6:$AL$505,"○")&gt;0,1,0))</f>
        <v>0</v>
      </c>
      <c r="BG196" s="39" t="n">
        <f aca="false">IF(BG$4=0,0,IF(COUNTIFS(実績!$W$6:$W$505,BG$3,実績!$AI$6:$AI$505,"&lt;="&amp;$A196,実績!$AJ$6:$AJ$505,"&gt;"&amp;$A196,実績!$AL$6:$AL$505,"○")&gt;0,1,0))</f>
        <v>0</v>
      </c>
      <c r="BH196" s="39" t="n">
        <f aca="false">IF(BH$4=0,0,IF(COUNTIFS(実績!$W$6:$W$505,BH$3,実績!$AI$6:$AI$505,"&lt;="&amp;$A196,実績!$AJ$6:$AJ$505,"&gt;"&amp;$A196,実績!$AL$6:$AL$505,"○")&gt;0,1,0))</f>
        <v>0</v>
      </c>
      <c r="BI196" s="39" t="n">
        <f aca="false">IF(BI$4=0,0,IF(COUNTIFS(実績!$W$6:$W$505,BI$3,実績!$AI$6:$AI$505,"&lt;="&amp;$A196,実績!$AJ$6:$AJ$505,"&gt;"&amp;$A196,実績!$AL$6:$AL$505,"○")&gt;0,1,0))</f>
        <v>0</v>
      </c>
      <c r="BJ196" s="39" t="n">
        <f aca="false">IF(BJ$4=0,0,IF(COUNTIFS(実績!$W$6:$W$505,BJ$3,実績!$AI$6:$AI$505,"&lt;="&amp;$A196,実績!$AJ$6:$AJ$505,"&gt;"&amp;$A196,実績!$AL$6:$AL$505,"○")&gt;0,1,0))</f>
        <v>0</v>
      </c>
      <c r="BK196" s="39" t="n">
        <f aca="false">IF(BK$4=0,0,IF(COUNTIFS(実績!$W$6:$W$505,BK$3,実績!$AI$6:$AI$505,"&lt;="&amp;$A196,実績!$AJ$6:$AJ$505,"&gt;"&amp;$A196,実績!$AL$6:$AL$505,"○")&gt;0,1,0))</f>
        <v>0</v>
      </c>
      <c r="BL196" s="39" t="n">
        <f aca="false">IF(BL$4=0,0,IF(COUNTIFS(実績!$W$6:$W$505,BL$3,実績!$AI$6:$AI$505,"&lt;="&amp;$A196,実績!$AJ$6:$AJ$505,"&gt;"&amp;$A196,実績!$AL$6:$AL$505,"○")&gt;0,1,0))</f>
        <v>0</v>
      </c>
      <c r="BM196" s="39" t="n">
        <f aca="false">IF(BM$4=0,0,IF(COUNTIFS(実績!$W$6:$W$505,BM$3,実績!$AI$6:$AI$505,"&lt;="&amp;$A196,実績!$AJ$6:$AJ$505,"&gt;"&amp;$A196,実績!$AL$6:$AL$505,"○")&gt;0,1,0))</f>
        <v>0</v>
      </c>
      <c r="BN196" s="39" t="n">
        <f aca="false">IF(BN$4=0,0,IF(COUNTIFS(実績!$W$6:$W$505,BN$3,実績!$AI$6:$AI$505,"&lt;="&amp;$A196,実績!$AJ$6:$AJ$505,"&gt;"&amp;$A196,実績!$AL$6:$AL$505,"○")&gt;0,1,0))</f>
        <v>0</v>
      </c>
      <c r="BO196" s="39" t="n">
        <f aca="false">IF(BO$4=0,0,IF(COUNTIFS(実績!$W$6:$W$505,BO$3,実績!$AI$6:$AI$505,"&lt;="&amp;$A196,実績!$AJ$6:$AJ$505,"&gt;"&amp;$A196,実績!$AL$6:$AL$505,"○")&gt;0,1,0))</f>
        <v>0</v>
      </c>
      <c r="BP196" s="39" t="n">
        <f aca="false">IF(BP$4=0,0,IF(COUNTIFS(実績!$W$6:$W$505,BP$3,実績!$AI$6:$AI$505,"&lt;="&amp;$A196,実績!$AJ$6:$AJ$505,"&gt;"&amp;$A196,実績!$AL$6:$AL$505,"○")&gt;0,1,0))</f>
        <v>0</v>
      </c>
      <c r="BQ196" s="39" t="n">
        <f aca="false">IF(BQ$4=0,0,IF(COUNTIFS(実績!$W$6:$W$505,BQ$3,実績!$AI$6:$AI$505,"&lt;="&amp;$A196,実績!$AJ$6:$AJ$505,"&gt;"&amp;$A196,実績!$AL$6:$AL$505,"○")&gt;0,1,0))</f>
        <v>0</v>
      </c>
      <c r="BR196" s="39" t="n">
        <f aca="false">IF(BR$4=0,0,IF(COUNTIFS(実績!$W$6:$W$505,BR$3,実績!$AI$6:$AI$505,"&lt;="&amp;$A196,実績!$AJ$6:$AJ$505,"&gt;"&amp;$A196,実績!$AL$6:$AL$505,"○")&gt;0,1,0))</f>
        <v>0</v>
      </c>
      <c r="BS196" s="39" t="n">
        <f aca="false">IF(BS$4=0,0,IF(COUNTIFS(実績!$W$6:$W$505,BS$3,実績!$AI$6:$AI$505,"&lt;="&amp;$A196,実績!$AJ$6:$AJ$505,"&gt;"&amp;$A196,実績!$AL$6:$AL$505,"○")&gt;0,1,0))</f>
        <v>0</v>
      </c>
      <c r="BT196" s="39" t="n">
        <f aca="false">IF(BT$4=0,0,IF(COUNTIFS(実績!$W$6:$W$505,BT$3,実績!$AI$6:$AI$505,"&lt;="&amp;$A196,実績!$AJ$6:$AJ$505,"&gt;"&amp;$A196,実績!$AL$6:$AL$505,"○")&gt;0,1,0))</f>
        <v>0</v>
      </c>
      <c r="BU196" s="39" t="n">
        <f aca="false">IF(BU$4=0,0,IF(COUNTIFS(実績!$W$6:$W$505,BU$3,実績!$AI$6:$AI$505,"&lt;="&amp;$A196,実績!$AJ$6:$AJ$505,"&gt;"&amp;$A196,実績!$AL$6:$AL$505,"○")&gt;0,1,0))</f>
        <v>0</v>
      </c>
      <c r="BV196" s="39" t="n">
        <f aca="false">IF(BV$4=0,0,IF(COUNTIFS(実績!$W$6:$W$505,BV$3,実績!$AI$6:$AI$505,"&lt;="&amp;$A196,実績!$AJ$6:$AJ$505,"&gt;"&amp;$A196,実績!$AL$6:$AL$505,"○")&gt;0,1,0))</f>
        <v>0</v>
      </c>
      <c r="BW196" s="39" t="n">
        <f aca="false">IF(BW$4=0,0,IF(COUNTIFS(実績!$W$6:$W$505,BW$3,実績!$AI$6:$AI$505,"&lt;="&amp;$A196,実績!$AJ$6:$AJ$505,"&gt;"&amp;$A196,実績!$AL$6:$AL$505,"○")&gt;0,1,0))</f>
        <v>0</v>
      </c>
      <c r="BX196" s="39" t="n">
        <f aca="false">IF(BX$4=0,0,IF(COUNTIFS(実績!$W$6:$W$505,BX$3,実績!$AI$6:$AI$505,"&lt;="&amp;$A196,実績!$AJ$6:$AJ$505,"&gt;"&amp;$A196,実績!$AL$6:$AL$505,"○")&gt;0,1,0))</f>
        <v>0</v>
      </c>
      <c r="BY196" s="39" t="n">
        <f aca="false">IF(BY$4=0,0,IF(COUNTIFS(実績!$W$6:$W$505,BY$3,実績!$AI$6:$AI$505,"&lt;="&amp;$A196,実績!$AJ$6:$AJ$505,"&gt;"&amp;$A196,実績!$AL$6:$AL$505,"○")&gt;0,1,0))</f>
        <v>0</v>
      </c>
      <c r="BZ196" s="39" t="n">
        <f aca="false">IF(BZ$4=0,0,IF(COUNTIFS(実績!$W$6:$W$505,BZ$3,実績!$AI$6:$AI$505,"&lt;="&amp;$A196,実績!$AJ$6:$AJ$505,"&gt;"&amp;$A196,実績!$AL$6:$AL$505,"○")&gt;0,1,0))</f>
        <v>0</v>
      </c>
      <c r="CA196" s="39" t="n">
        <f aca="false">IF(CA$4=0,0,IF(COUNTIFS(実績!$W$6:$W$505,CA$3,実績!$AI$6:$AI$505,"&lt;="&amp;$A196,実績!$AJ$6:$AJ$505,"&gt;"&amp;$A196,実績!$AL$6:$AL$505,"○")&gt;0,1,0))</f>
        <v>0</v>
      </c>
      <c r="CB196" s="39" t="n">
        <f aca="false">IF(CB$4=0,0,IF(COUNTIFS(実績!$W$6:$W$505,CB$3,実績!$AI$6:$AI$505,"&lt;="&amp;$A196,実績!$AJ$6:$AJ$505,"&gt;"&amp;$A196,実績!$AL$6:$AL$505,"○")&gt;0,1,0))</f>
        <v>0</v>
      </c>
      <c r="CC196" s="39" t="n">
        <f aca="false">IF(CC$4=0,0,IF(COUNTIFS(実績!$W$6:$W$505,CC$3,実績!$AI$6:$AI$505,"&lt;="&amp;$A196,実績!$AJ$6:$AJ$505,"&gt;"&amp;$A196,実績!$AL$6:$AL$505,"○")&gt;0,1,0))</f>
        <v>0</v>
      </c>
      <c r="CD196" s="39" t="n">
        <f aca="false">IF(CD$4=0,0,IF(COUNTIFS(実績!$W$6:$W$505,CD$3,実績!$AI$6:$AI$505,"&lt;="&amp;$A196,実績!$AJ$6:$AJ$505,"&gt;"&amp;$A196,実績!$AL$6:$AL$505,"○")&gt;0,1,0))</f>
        <v>0</v>
      </c>
      <c r="CE196" s="39" t="n">
        <f aca="false">IF(CE$4=0,0,IF(COUNTIFS(実績!$W$6:$W$505,CE$3,実績!$AI$6:$AI$505,"&lt;="&amp;$A196,実績!$AJ$6:$AJ$505,"&gt;"&amp;$A196,実績!$AL$6:$AL$505,"○")&gt;0,1,0))</f>
        <v>0</v>
      </c>
      <c r="CF196" s="39" t="n">
        <f aca="false">IF(CF$4=0,0,IF(COUNTIFS(実績!$W$6:$W$505,CF$3,実績!$AI$6:$AI$505,"&lt;="&amp;$A196,実績!$AJ$6:$AJ$505,"&gt;"&amp;$A196,実績!$AL$6:$AL$505,"○")&gt;0,1,0))</f>
        <v>0</v>
      </c>
      <c r="CG196" s="39" t="n">
        <f aca="false">IF(CG$4=0,0,IF(COUNTIFS(実績!$W$6:$W$505,CG$3,実績!$AI$6:$AI$505,"&lt;="&amp;$A196,実績!$AJ$6:$AJ$505,"&gt;"&amp;$A196,実績!$AL$6:$AL$505,"○")&gt;0,1,0))</f>
        <v>0</v>
      </c>
      <c r="CH196" s="39" t="n">
        <f aca="false">IF(CH$4=0,0,IF(COUNTIFS(実績!$W$6:$W$505,CH$3,実績!$AI$6:$AI$505,"&lt;="&amp;$A196,実績!$AJ$6:$AJ$505,"&gt;"&amp;$A196,実績!$AL$6:$AL$505,"○")&gt;0,1,0))</f>
        <v>0</v>
      </c>
      <c r="CI196" s="39" t="n">
        <f aca="false">IF(CI$4=0,0,IF(COUNTIFS(実績!$W$6:$W$505,CI$3,実績!$AI$6:$AI$505,"&lt;="&amp;$A196,実績!$AJ$6:$AJ$505,"&gt;"&amp;$A196,実績!$AL$6:$AL$505,"○")&gt;0,1,0))</f>
        <v>0</v>
      </c>
      <c r="CJ196" s="39" t="n">
        <f aca="false">IF(CJ$4=0,0,IF(COUNTIFS(実績!$W$6:$W$505,CJ$3,実績!$AI$6:$AI$505,"&lt;="&amp;$A196,実績!$AJ$6:$AJ$505,"&gt;"&amp;$A196,実績!$AL$6:$AL$505,"○")&gt;0,1,0))</f>
        <v>0</v>
      </c>
      <c r="CK196" s="39" t="n">
        <f aca="false">IF(CK$4=0,0,IF(COUNTIFS(実績!$W$6:$W$505,CK$3,実績!$AI$6:$AI$505,"&lt;="&amp;$A196,実績!$AJ$6:$AJ$505,"&gt;"&amp;$A196,実績!$AL$6:$AL$505,"○")&gt;0,1,0))</f>
        <v>0</v>
      </c>
      <c r="CL196" s="39" t="n">
        <f aca="false">IF(CL$4=0,0,IF(COUNTIFS(実績!$W$6:$W$505,CL$3,実績!$AI$6:$AI$505,"&lt;="&amp;$A196,実績!$AJ$6:$AJ$505,"&gt;"&amp;$A196,実績!$AL$6:$AL$505,"○")&gt;0,1,0))</f>
        <v>0</v>
      </c>
      <c r="CM196" s="39" t="n">
        <f aca="false">IF(CM$4=0,0,IF(COUNTIFS(実績!$W$6:$W$505,CM$3,実績!$AI$6:$AI$505,"&lt;="&amp;$A196,実績!$AJ$6:$AJ$505,"&gt;"&amp;$A196,実績!$AL$6:$AL$505,"○")&gt;0,1,0))</f>
        <v>0</v>
      </c>
      <c r="CN196" s="39" t="n">
        <f aca="false">IF(CN$4=0,0,IF(COUNTIFS(実績!$W$6:$W$505,CN$3,実績!$AI$6:$AI$505,"&lt;="&amp;$A196,実績!$AJ$6:$AJ$505,"&gt;"&amp;$A196,実績!$AL$6:$AL$505,"○")&gt;0,1,0))</f>
        <v>0</v>
      </c>
      <c r="CO196" s="39" t="n">
        <f aca="false">IF(CO$4=0,0,IF(COUNTIFS(実績!$W$6:$W$505,CO$3,実績!$AI$6:$AI$505,"&lt;="&amp;$A196,実績!$AJ$6:$AJ$505,"&gt;"&amp;$A196,実績!$AL$6:$AL$505,"○")&gt;0,1,0))</f>
        <v>0</v>
      </c>
      <c r="CP196" s="39" t="n">
        <f aca="false">IF(CP$4=0,0,IF(COUNTIFS(実績!$W$6:$W$505,CP$3,実績!$AI$6:$AI$505,"&lt;="&amp;$A196,実績!$AJ$6:$AJ$505,"&gt;"&amp;$A196,実績!$AL$6:$AL$505,"○")&gt;0,1,0))</f>
        <v>0</v>
      </c>
      <c r="CQ196" s="39" t="n">
        <f aca="false">IF(CQ$4=0,0,IF(COUNTIFS(実績!$W$6:$W$505,CQ$3,実績!$AI$6:$AI$505,"&lt;="&amp;$A196,実績!$AJ$6:$AJ$505,"&gt;"&amp;$A196,実績!$AL$6:$AL$505,"○")&gt;0,1,0))</f>
        <v>0</v>
      </c>
      <c r="CR196" s="39" t="n">
        <f aca="false">IF(CR$4=0,0,IF(COUNTIFS(実績!$W$6:$W$505,CR$3,実績!$AI$6:$AI$505,"&lt;="&amp;$A196,実績!$AJ$6:$AJ$505,"&gt;"&amp;$A196,実績!$AL$6:$AL$505,"○")&gt;0,1,0))</f>
        <v>0</v>
      </c>
      <c r="CS196" s="39" t="n">
        <f aca="false">IF(CS$4=0,0,IF(COUNTIFS(実績!$W$6:$W$505,CS$3,実績!$AI$6:$AI$505,"&lt;="&amp;$A196,実績!$AJ$6:$AJ$505,"&gt;"&amp;$A196,実績!$AL$6:$AL$505,"○")&gt;0,1,0))</f>
        <v>0</v>
      </c>
      <c r="CT196" s="39" t="n">
        <f aca="false">IF(CT$4=0,0,IF(COUNTIFS(実績!$W$6:$W$505,CT$3,実績!$AI$6:$AI$505,"&lt;="&amp;$A196,実績!$AJ$6:$AJ$505,"&gt;"&amp;$A196,実績!$AL$6:$AL$505,"○")&gt;0,1,0))</f>
        <v>0</v>
      </c>
      <c r="CU196" s="39" t="n">
        <f aca="false">IF(CU$4=0,0,IF(COUNTIFS(実績!$W$6:$W$505,CU$3,実績!$AI$6:$AI$505,"&lt;="&amp;$A196,実績!$AJ$6:$AJ$505,"&gt;"&amp;$A196,実績!$AL$6:$AL$505,"○")&gt;0,1,0))</f>
        <v>0</v>
      </c>
      <c r="CV196" s="39" t="n">
        <f aca="false">IF(CV$4=0,0,IF(COUNTIFS(実績!$W$6:$W$505,CV$3,実績!$AI$6:$AI$505,"&lt;="&amp;$A196,実績!$AJ$6:$AJ$505,"&gt;"&amp;$A196,実績!$AL$6:$AL$505,"○")&gt;0,1,0))</f>
        <v>0</v>
      </c>
      <c r="CW196" s="39" t="n">
        <f aca="false">IF(CW$4=0,0,IF(COUNTIFS(実績!$W$6:$W$505,CW$3,実績!$AI$6:$AI$505,"&lt;="&amp;$A196,実績!$AJ$6:$AJ$505,"&gt;"&amp;$A196,実績!$AL$6:$AL$505,"○")&gt;0,1,0))</f>
        <v>0</v>
      </c>
      <c r="CX196" s="39" t="n">
        <f aca="false">IF(CX$4=0,0,IF(COUNTIFS(実績!$W$6:$W$505,CX$3,実績!$AI$6:$AI$505,"&lt;="&amp;$A196,実績!$AJ$6:$AJ$505,"&gt;"&amp;$A196,実績!$AL$6:$AL$505,"○")&gt;0,1,0))</f>
        <v>0</v>
      </c>
      <c r="CY196" s="39" t="n">
        <f aca="false">IF(CY$4=0,0,IF(COUNTIFS(実績!$W$6:$W$505,CY$3,実績!$AI$6:$AI$505,"&lt;="&amp;$A196,実績!$AJ$6:$AJ$505,"&gt;"&amp;$A196,実績!$AL$6:$AL$505,"○")&gt;0,1,0))</f>
        <v>0</v>
      </c>
      <c r="CZ196" s="39" t="n">
        <f aca="false">IF(CZ$4=0,0,IF(COUNTIFS(実績!$W$6:$W$505,CZ$3,実績!$AI$6:$AI$505,"&lt;="&amp;$A196,実績!$AJ$6:$AJ$505,"&gt;"&amp;$A196,実績!$AL$6:$AL$505,"○")&gt;0,1,0))</f>
        <v>0</v>
      </c>
      <c r="DA196" s="39" t="n">
        <f aca="false">IF(DA$4=0,0,IF(COUNTIFS(実績!$W$6:$W$505,DA$3,実績!$AI$6:$AI$505,"&lt;="&amp;$A196,実績!$AJ$6:$AJ$505,"&gt;"&amp;$A196,実績!$AL$6:$AL$505,"○")&gt;0,1,0))</f>
        <v>0</v>
      </c>
      <c r="DB196" s="39" t="n">
        <f aca="false">IF(DB$4=0,0,IF(COUNTIFS(実績!$W$6:$W$505,DB$3,実績!$AI$6:$AI$505,"&lt;="&amp;$A196,実績!$AJ$6:$AJ$505,"&gt;"&amp;$A196,実績!$AL$6:$AL$505,"○")&gt;0,1,0))</f>
        <v>0</v>
      </c>
      <c r="DC196" s="39" t="n">
        <f aca="false">IF(DC$4=0,0,IF(COUNTIFS(実績!$W$6:$W$505,DC$3,実績!$AI$6:$AI$505,"&lt;="&amp;$A196,実績!$AJ$6:$AJ$505,"&gt;"&amp;$A196,実績!$AL$6:$AL$505,"○")&gt;0,1,0))</f>
        <v>0</v>
      </c>
      <c r="DD196" s="39" t="n">
        <f aca="false">IF(DD$4=0,0,IF(COUNTIFS(実績!$W$6:$W$505,DD$3,実績!$AI$6:$AI$505,"&lt;="&amp;$A196,実績!$AJ$6:$AJ$505,"&gt;"&amp;$A196,実績!$AL$6:$AL$505,"○")&gt;0,1,0))</f>
        <v>0</v>
      </c>
      <c r="DE196" s="39" t="n">
        <f aca="false">IF(DE$4=0,0,IF(COUNTIFS(実績!$W$6:$W$505,DE$3,実績!$AI$6:$AI$505,"&lt;="&amp;$A196,実績!$AJ$6:$AJ$505,"&gt;"&amp;$A196,実績!$AL$6:$AL$505,"○")&gt;0,1,0))</f>
        <v>0</v>
      </c>
      <c r="DF196" s="39" t="n">
        <f aca="false">IF(DF$4=0,0,IF(COUNTIFS(実績!$W$6:$W$505,DF$3,実績!$AI$6:$AI$505,"&lt;="&amp;$A196,実績!$AJ$6:$AJ$505,"&gt;"&amp;$A196,実績!$AL$6:$AL$505,"○")&gt;0,1,0))</f>
        <v>0</v>
      </c>
      <c r="DG196" s="39" t="n">
        <f aca="false">IF(DG$4=0,0,IF(COUNTIFS(実績!$W$6:$W$505,DG$3,実績!$AI$6:$AI$505,"&lt;="&amp;$A196,実績!$AJ$6:$AJ$505,"&gt;"&amp;$A196,実績!$AL$6:$AL$505,"○")&gt;0,1,0))</f>
        <v>0</v>
      </c>
      <c r="DH196" s="39" t="n">
        <f aca="false">IF(DH$4=0,0,IF(COUNTIFS(実績!$W$6:$W$505,DH$3,実績!$AI$6:$AI$505,"&lt;="&amp;$A196,実績!$AJ$6:$AJ$505,"&gt;"&amp;$A196,実績!$AL$6:$AL$505,"○")&gt;0,1,0))</f>
        <v>0</v>
      </c>
      <c r="DI196" s="39" t="n">
        <f aca="false">IF(DI$4=0,0,IF(COUNTIFS(実績!$W$6:$W$505,DI$3,実績!$AI$6:$AI$505,"&lt;="&amp;$A196,実績!$AJ$6:$AJ$505,"&gt;"&amp;$A196,実績!$AL$6:$AL$505,"○")&gt;0,1,0))</f>
        <v>0</v>
      </c>
      <c r="DJ196" s="39" t="n">
        <f aca="false">IF(DJ$4=0,0,IF(COUNTIFS(実績!$W$6:$W$505,DJ$3,実績!$AI$6:$AI$505,"&lt;="&amp;$A196,実績!$AJ$6:$AJ$505,"&gt;"&amp;$A196,実績!$AL$6:$AL$505,"○")&gt;0,1,0))</f>
        <v>0</v>
      </c>
      <c r="DK196" s="39" t="n">
        <f aca="false">IF(DK$4=0,0,IF(COUNTIFS(実績!$W$6:$W$505,DK$3,実績!$AI$6:$AI$505,"&lt;="&amp;$A196,実績!$AJ$6:$AJ$505,"&gt;"&amp;$A196,実績!$AL$6:$AL$505,"○")&gt;0,1,0))</f>
        <v>0</v>
      </c>
      <c r="DL196" s="39" t="n">
        <f aca="false">IF(DL$4=0,0,IF(COUNTIFS(実績!$W$6:$W$505,DL$3,実績!$AI$6:$AI$505,"&lt;="&amp;$A196,実績!$AJ$6:$AJ$505,"&gt;"&amp;$A196,実績!$AL$6:$AL$505,"○")&gt;0,1,0))</f>
        <v>0</v>
      </c>
      <c r="DM196" s="39" t="n">
        <f aca="false">IF(DM$4=0,0,IF(COUNTIFS(実績!$W$6:$W$505,DM$3,実績!$AI$6:$AI$505,"&lt;="&amp;$A196,実績!$AJ$6:$AJ$505,"&gt;"&amp;$A196,実績!$AL$6:$AL$505,"○")&gt;0,1,0))</f>
        <v>0</v>
      </c>
      <c r="DN196" s="39" t="n">
        <f aca="false">IF(DN$4=0,0,IF(COUNTIFS(実績!$W$6:$W$505,DN$3,実績!$AI$6:$AI$505,"&lt;="&amp;$A196,実績!$AJ$6:$AJ$505,"&gt;"&amp;$A196,実績!$AL$6:$AL$505,"○")&gt;0,1,0))</f>
        <v>0</v>
      </c>
      <c r="DO196" s="39" t="n">
        <f aca="false">IF(DO$4=0,0,IF(COUNTIFS(実績!$W$6:$W$505,DO$3,実績!$AI$6:$AI$505,"&lt;="&amp;$A196,実績!$AJ$6:$AJ$505,"&gt;"&amp;$A196,実績!$AL$6:$AL$505,"○")&gt;0,1,0))</f>
        <v>0</v>
      </c>
      <c r="DP196" s="39" t="n">
        <f aca="false">IF(DP$4=0,0,IF(COUNTIFS(実績!$W$6:$W$505,DP$3,実績!$AI$6:$AI$505,"&lt;="&amp;$A196,実績!$AJ$6:$AJ$505,"&gt;"&amp;$A196,実績!$AL$6:$AL$505,"○")&gt;0,1,0))</f>
        <v>0</v>
      </c>
      <c r="DQ196" s="39" t="n">
        <f aca="false">IF(DQ$4=0,0,IF(COUNTIFS(実績!$W$6:$W$505,DQ$3,実績!$AI$6:$AI$505,"&lt;="&amp;$A196,実績!$AJ$6:$AJ$505,"&gt;"&amp;$A196,実績!$AL$6:$AL$505,"○")&gt;0,1,0))</f>
        <v>0</v>
      </c>
      <c r="DR196" s="39" t="n">
        <f aca="false">IF(DR$4=0,0,IF(COUNTIFS(実績!$W$6:$W$505,DR$3,実績!$AI$6:$AI$505,"&lt;="&amp;$A196,実績!$AJ$6:$AJ$505,"&gt;"&amp;$A196,実績!$AL$6:$AL$505,"○")&gt;0,1,0))</f>
        <v>0</v>
      </c>
      <c r="DS196" s="39" t="n">
        <f aca="false">SUM(C196:DR196)</f>
        <v>0</v>
      </c>
    </row>
    <row r="197" customFormat="false" ht="15" hidden="false" customHeight="false" outlineLevel="0" collapsed="false">
      <c r="A197" s="0" t="n">
        <v>955</v>
      </c>
      <c r="B197" s="38" t="n">
        <f aca="false">A197/1440</f>
        <v>0.663194444444444</v>
      </c>
      <c r="C197" s="39" t="n">
        <f aca="false">IF(C$4=0,0,IF(COUNTIFS(実績!$W$6:$W$505,C$3,実績!$AI$6:$AI$505,"&lt;="&amp;$A197,実績!$AJ$6:$AJ$505,"&gt;"&amp;$A197,実績!$AL$6:$AL$505,"○")&gt;0,1,0))</f>
        <v>0</v>
      </c>
      <c r="D197" s="39" t="n">
        <f aca="false">IF(D$4=0,0,IF(COUNTIFS(実績!$W$6:$W$505,D$3,実績!$AI$6:$AI$505,"&lt;="&amp;$A197,実績!$AJ$6:$AJ$505,"&gt;"&amp;$A197,実績!$AL$6:$AL$505,"○")&gt;0,1,0))</f>
        <v>0</v>
      </c>
      <c r="E197" s="39" t="n">
        <f aca="false">IF(E$4=0,0,IF(COUNTIFS(実績!$W$6:$W$505,E$3,実績!$AI$6:$AI$505,"&lt;="&amp;$A197,実績!$AJ$6:$AJ$505,"&gt;"&amp;$A197,実績!$AL$6:$AL$505,"○")&gt;0,1,0))</f>
        <v>0</v>
      </c>
      <c r="F197" s="39" t="n">
        <f aca="false">IF(F$4=0,0,IF(COUNTIFS(実績!$W$6:$W$505,F$3,実績!$AI$6:$AI$505,"&lt;="&amp;$A197,実績!$AJ$6:$AJ$505,"&gt;"&amp;$A197,実績!$AL$6:$AL$505,"○")&gt;0,1,0))</f>
        <v>0</v>
      </c>
      <c r="G197" s="39" t="n">
        <f aca="false">IF(G$4=0,0,IF(COUNTIFS(実績!$W$6:$W$505,G$3,実績!$AI$6:$AI$505,"&lt;="&amp;$A197,実績!$AJ$6:$AJ$505,"&gt;"&amp;$A197,実績!$AL$6:$AL$505,"○")&gt;0,1,0))</f>
        <v>0</v>
      </c>
      <c r="H197" s="39" t="n">
        <f aca="false">IF(H$4=0,0,IF(COUNTIFS(実績!$W$6:$W$505,H$3,実績!$AI$6:$AI$505,"&lt;="&amp;$A197,実績!$AJ$6:$AJ$505,"&gt;"&amp;$A197,実績!$AL$6:$AL$505,"○")&gt;0,1,0))</f>
        <v>0</v>
      </c>
      <c r="I197" s="39" t="n">
        <f aca="false">IF(I$4=0,0,IF(COUNTIFS(実績!$W$6:$W$505,I$3,実績!$AI$6:$AI$505,"&lt;="&amp;$A197,実績!$AJ$6:$AJ$505,"&gt;"&amp;$A197,実績!$AL$6:$AL$505,"○")&gt;0,1,0))</f>
        <v>0</v>
      </c>
      <c r="J197" s="39" t="n">
        <f aca="false">IF(J$4=0,0,IF(COUNTIFS(実績!$W$6:$W$505,J$3,実績!$AI$6:$AI$505,"&lt;="&amp;$A197,実績!$AJ$6:$AJ$505,"&gt;"&amp;$A197,実績!$AL$6:$AL$505,"○")&gt;0,1,0))</f>
        <v>0</v>
      </c>
      <c r="K197" s="39" t="n">
        <f aca="false">IF(K$4=0,0,IF(COUNTIFS(実績!$W$6:$W$505,K$3,実績!$AI$6:$AI$505,"&lt;="&amp;$A197,実績!$AJ$6:$AJ$505,"&gt;"&amp;$A197,実績!$AL$6:$AL$505,"○")&gt;0,1,0))</f>
        <v>0</v>
      </c>
      <c r="L197" s="39" t="n">
        <f aca="false">IF(L$4=0,0,IF(COUNTIFS(実績!$W$6:$W$505,L$3,実績!$AI$6:$AI$505,"&lt;="&amp;$A197,実績!$AJ$6:$AJ$505,"&gt;"&amp;$A197,実績!$AL$6:$AL$505,"○")&gt;0,1,0))</f>
        <v>0</v>
      </c>
      <c r="M197" s="39" t="n">
        <f aca="false">IF(M$4=0,0,IF(COUNTIFS(実績!$W$6:$W$505,M$3,実績!$AI$6:$AI$505,"&lt;="&amp;$A197,実績!$AJ$6:$AJ$505,"&gt;"&amp;$A197,実績!$AL$6:$AL$505,"○")&gt;0,1,0))</f>
        <v>0</v>
      </c>
      <c r="N197" s="39" t="n">
        <f aca="false">IF(N$4=0,0,IF(COUNTIFS(実績!$W$6:$W$505,N$3,実績!$AI$6:$AI$505,"&lt;="&amp;$A197,実績!$AJ$6:$AJ$505,"&gt;"&amp;$A197,実績!$AL$6:$AL$505,"○")&gt;0,1,0))</f>
        <v>0</v>
      </c>
      <c r="O197" s="39" t="n">
        <f aca="false">IF(O$4=0,0,IF(COUNTIFS(実績!$W$6:$W$505,O$3,実績!$AI$6:$AI$505,"&lt;="&amp;$A197,実績!$AJ$6:$AJ$505,"&gt;"&amp;$A197,実績!$AL$6:$AL$505,"○")&gt;0,1,0))</f>
        <v>0</v>
      </c>
      <c r="P197" s="39" t="n">
        <f aca="false">IF(P$4=0,0,IF(COUNTIFS(実績!$W$6:$W$505,P$3,実績!$AI$6:$AI$505,"&lt;="&amp;$A197,実績!$AJ$6:$AJ$505,"&gt;"&amp;$A197,実績!$AL$6:$AL$505,"○")&gt;0,1,0))</f>
        <v>0</v>
      </c>
      <c r="Q197" s="39" t="n">
        <f aca="false">IF(Q$4=0,0,IF(COUNTIFS(実績!$W$6:$W$505,Q$3,実績!$AI$6:$AI$505,"&lt;="&amp;$A197,実績!$AJ$6:$AJ$505,"&gt;"&amp;$A197,実績!$AL$6:$AL$505,"○")&gt;0,1,0))</f>
        <v>0</v>
      </c>
      <c r="R197" s="39" t="n">
        <f aca="false">IF(R$4=0,0,IF(COUNTIFS(実績!$W$6:$W$505,R$3,実績!$AI$6:$AI$505,"&lt;="&amp;$A197,実績!$AJ$6:$AJ$505,"&gt;"&amp;$A197,実績!$AL$6:$AL$505,"○")&gt;0,1,0))</f>
        <v>0</v>
      </c>
      <c r="S197" s="39" t="n">
        <f aca="false">IF(S$4=0,0,IF(COUNTIFS(実績!$W$6:$W$505,S$3,実績!$AI$6:$AI$505,"&lt;="&amp;$A197,実績!$AJ$6:$AJ$505,"&gt;"&amp;$A197,実績!$AL$6:$AL$505,"○")&gt;0,1,0))</f>
        <v>0</v>
      </c>
      <c r="T197" s="39" t="n">
        <f aca="false">IF(T$4=0,0,IF(COUNTIFS(実績!$W$6:$W$505,T$3,実績!$AI$6:$AI$505,"&lt;="&amp;$A197,実績!$AJ$6:$AJ$505,"&gt;"&amp;$A197,実績!$AL$6:$AL$505,"○")&gt;0,1,0))</f>
        <v>0</v>
      </c>
      <c r="U197" s="39" t="n">
        <f aca="false">IF(U$4=0,0,IF(COUNTIFS(実績!$W$6:$W$505,U$3,実績!$AI$6:$AI$505,"&lt;="&amp;$A197,実績!$AJ$6:$AJ$505,"&gt;"&amp;$A197,実績!$AL$6:$AL$505,"○")&gt;0,1,0))</f>
        <v>0</v>
      </c>
      <c r="V197" s="39" t="n">
        <f aca="false">IF(V$4=0,0,IF(COUNTIFS(実績!$W$6:$W$505,V$3,実績!$AI$6:$AI$505,"&lt;="&amp;$A197,実績!$AJ$6:$AJ$505,"&gt;"&amp;$A197,実績!$AL$6:$AL$505,"○")&gt;0,1,0))</f>
        <v>0</v>
      </c>
      <c r="W197" s="39" t="n">
        <f aca="false">IF(W$4=0,0,IF(COUNTIFS(実績!$W$6:$W$505,W$3,実績!$AI$6:$AI$505,"&lt;="&amp;$A197,実績!$AJ$6:$AJ$505,"&gt;"&amp;$A197,実績!$AL$6:$AL$505,"○")&gt;0,1,0))</f>
        <v>0</v>
      </c>
      <c r="X197" s="39" t="n">
        <f aca="false">IF(X$4=0,0,IF(COUNTIFS(実績!$W$6:$W$505,X$3,実績!$AI$6:$AI$505,"&lt;="&amp;$A197,実績!$AJ$6:$AJ$505,"&gt;"&amp;$A197,実績!$AL$6:$AL$505,"○")&gt;0,1,0))</f>
        <v>0</v>
      </c>
      <c r="Y197" s="39" t="n">
        <f aca="false">IF(Y$4=0,0,IF(COUNTIFS(実績!$W$6:$W$505,Y$3,実績!$AI$6:$AI$505,"&lt;="&amp;$A197,実績!$AJ$6:$AJ$505,"&gt;"&amp;$A197,実績!$AL$6:$AL$505,"○")&gt;0,1,0))</f>
        <v>0</v>
      </c>
      <c r="Z197" s="39" t="n">
        <f aca="false">IF(Z$4=0,0,IF(COUNTIFS(実績!$W$6:$W$505,Z$3,実績!$AI$6:$AI$505,"&lt;="&amp;$A197,実績!$AJ$6:$AJ$505,"&gt;"&amp;$A197,実績!$AL$6:$AL$505,"○")&gt;0,1,0))</f>
        <v>0</v>
      </c>
      <c r="AA197" s="39" t="n">
        <f aca="false">IF(AA$4=0,0,IF(COUNTIFS(実績!$W$6:$W$505,AA$3,実績!$AI$6:$AI$505,"&lt;="&amp;$A197,実績!$AJ$6:$AJ$505,"&gt;"&amp;$A197,実績!$AL$6:$AL$505,"○")&gt;0,1,0))</f>
        <v>0</v>
      </c>
      <c r="AB197" s="39" t="n">
        <f aca="false">IF(AB$4=0,0,IF(COUNTIFS(実績!$W$6:$W$505,AB$3,実績!$AI$6:$AI$505,"&lt;="&amp;$A197,実績!$AJ$6:$AJ$505,"&gt;"&amp;$A197,実績!$AL$6:$AL$505,"○")&gt;0,1,0))</f>
        <v>0</v>
      </c>
      <c r="AC197" s="39" t="n">
        <f aca="false">IF(AC$4=0,0,IF(COUNTIFS(実績!$W$6:$W$505,AC$3,実績!$AI$6:$AI$505,"&lt;="&amp;$A197,実績!$AJ$6:$AJ$505,"&gt;"&amp;$A197,実績!$AL$6:$AL$505,"○")&gt;0,1,0))</f>
        <v>0</v>
      </c>
      <c r="AD197" s="39" t="n">
        <f aca="false">IF(AD$4=0,0,IF(COUNTIFS(実績!$W$6:$W$505,AD$3,実績!$AI$6:$AI$505,"&lt;="&amp;$A197,実績!$AJ$6:$AJ$505,"&gt;"&amp;$A197,実績!$AL$6:$AL$505,"○")&gt;0,1,0))</f>
        <v>0</v>
      </c>
      <c r="AE197" s="39" t="n">
        <f aca="false">IF(AE$4=0,0,IF(COUNTIFS(実績!$W$6:$W$505,AE$3,実績!$AI$6:$AI$505,"&lt;="&amp;$A197,実績!$AJ$6:$AJ$505,"&gt;"&amp;$A197,実績!$AL$6:$AL$505,"○")&gt;0,1,0))</f>
        <v>0</v>
      </c>
      <c r="AF197" s="39" t="n">
        <f aca="false">IF(AF$4=0,0,IF(COUNTIFS(実績!$W$6:$W$505,AF$3,実績!$AI$6:$AI$505,"&lt;="&amp;$A197,実績!$AJ$6:$AJ$505,"&gt;"&amp;$A197,実績!$AL$6:$AL$505,"○")&gt;0,1,0))</f>
        <v>0</v>
      </c>
      <c r="AG197" s="39" t="n">
        <f aca="false">IF(AG$4=0,0,IF(COUNTIFS(実績!$W$6:$W$505,AG$3,実績!$AI$6:$AI$505,"&lt;="&amp;$A197,実績!$AJ$6:$AJ$505,"&gt;"&amp;$A197,実績!$AL$6:$AL$505,"○")&gt;0,1,0))</f>
        <v>0</v>
      </c>
      <c r="AH197" s="39" t="n">
        <f aca="false">IF(AH$4=0,0,IF(COUNTIFS(実績!$W$6:$W$505,AH$3,実績!$AI$6:$AI$505,"&lt;="&amp;$A197,実績!$AJ$6:$AJ$505,"&gt;"&amp;$A197,実績!$AL$6:$AL$505,"○")&gt;0,1,0))</f>
        <v>0</v>
      </c>
      <c r="AI197" s="39" t="n">
        <f aca="false">IF(AI$4=0,0,IF(COUNTIFS(実績!$W$6:$W$505,AI$3,実績!$AI$6:$AI$505,"&lt;="&amp;$A197,実績!$AJ$6:$AJ$505,"&gt;"&amp;$A197,実績!$AL$6:$AL$505,"○")&gt;0,1,0))</f>
        <v>0</v>
      </c>
      <c r="AJ197" s="39" t="n">
        <f aca="false">IF(AJ$4=0,0,IF(COUNTIFS(実績!$W$6:$W$505,AJ$3,実績!$AI$6:$AI$505,"&lt;="&amp;$A197,実績!$AJ$6:$AJ$505,"&gt;"&amp;$A197,実績!$AL$6:$AL$505,"○")&gt;0,1,0))</f>
        <v>0</v>
      </c>
      <c r="AK197" s="39" t="n">
        <f aca="false">IF(AK$4=0,0,IF(COUNTIFS(実績!$W$6:$W$505,AK$3,実績!$AI$6:$AI$505,"&lt;="&amp;$A197,実績!$AJ$6:$AJ$505,"&gt;"&amp;$A197,実績!$AL$6:$AL$505,"○")&gt;0,1,0))</f>
        <v>0</v>
      </c>
      <c r="AL197" s="39" t="n">
        <f aca="false">IF(AL$4=0,0,IF(COUNTIFS(実績!$W$6:$W$505,AL$3,実績!$AI$6:$AI$505,"&lt;="&amp;$A197,実績!$AJ$6:$AJ$505,"&gt;"&amp;$A197,実績!$AL$6:$AL$505,"○")&gt;0,1,0))</f>
        <v>0</v>
      </c>
      <c r="AM197" s="39" t="n">
        <f aca="false">IF(AM$4=0,0,IF(COUNTIFS(実績!$W$6:$W$505,AM$3,実績!$AI$6:$AI$505,"&lt;="&amp;$A197,実績!$AJ$6:$AJ$505,"&gt;"&amp;$A197,実績!$AL$6:$AL$505,"○")&gt;0,1,0))</f>
        <v>0</v>
      </c>
      <c r="AN197" s="39" t="n">
        <f aca="false">IF(AN$4=0,0,IF(COUNTIFS(実績!$W$6:$W$505,AN$3,実績!$AI$6:$AI$505,"&lt;="&amp;$A197,実績!$AJ$6:$AJ$505,"&gt;"&amp;$A197,実績!$AL$6:$AL$505,"○")&gt;0,1,0))</f>
        <v>0</v>
      </c>
      <c r="AO197" s="39" t="n">
        <f aca="false">IF(AO$4=0,0,IF(COUNTIFS(実績!$W$6:$W$505,AO$3,実績!$AI$6:$AI$505,"&lt;="&amp;$A197,実績!$AJ$6:$AJ$505,"&gt;"&amp;$A197,実績!$AL$6:$AL$505,"○")&gt;0,1,0))</f>
        <v>0</v>
      </c>
      <c r="AP197" s="39" t="n">
        <f aca="false">IF(AP$4=0,0,IF(COUNTIFS(実績!$W$6:$W$505,AP$3,実績!$AI$6:$AI$505,"&lt;="&amp;$A197,実績!$AJ$6:$AJ$505,"&gt;"&amp;$A197,実績!$AL$6:$AL$505,"○")&gt;0,1,0))</f>
        <v>0</v>
      </c>
      <c r="AQ197" s="39" t="n">
        <f aca="false">IF(AQ$4=0,0,IF(COUNTIFS(実績!$W$6:$W$505,AQ$3,実績!$AI$6:$AI$505,"&lt;="&amp;$A197,実績!$AJ$6:$AJ$505,"&gt;"&amp;$A197,実績!$AL$6:$AL$505,"○")&gt;0,1,0))</f>
        <v>0</v>
      </c>
      <c r="AR197" s="39" t="n">
        <f aca="false">IF(AR$4=0,0,IF(COUNTIFS(実績!$W$6:$W$505,AR$3,実績!$AI$6:$AI$505,"&lt;="&amp;$A197,実績!$AJ$6:$AJ$505,"&gt;"&amp;$A197,実績!$AL$6:$AL$505,"○")&gt;0,1,0))</f>
        <v>0</v>
      </c>
      <c r="AS197" s="39" t="n">
        <f aca="false">IF(AS$4=0,0,IF(COUNTIFS(実績!$W$6:$W$505,AS$3,実績!$AI$6:$AI$505,"&lt;="&amp;$A197,実績!$AJ$6:$AJ$505,"&gt;"&amp;$A197,実績!$AL$6:$AL$505,"○")&gt;0,1,0))</f>
        <v>0</v>
      </c>
      <c r="AT197" s="39" t="n">
        <f aca="false">IF(AT$4=0,0,IF(COUNTIFS(実績!$W$6:$W$505,AT$3,実績!$AI$6:$AI$505,"&lt;="&amp;$A197,実績!$AJ$6:$AJ$505,"&gt;"&amp;$A197,実績!$AL$6:$AL$505,"○")&gt;0,1,0))</f>
        <v>0</v>
      </c>
      <c r="AU197" s="39" t="n">
        <f aca="false">IF(AU$4=0,0,IF(COUNTIFS(実績!$W$6:$W$505,AU$3,実績!$AI$6:$AI$505,"&lt;="&amp;$A197,実績!$AJ$6:$AJ$505,"&gt;"&amp;$A197,実績!$AL$6:$AL$505,"○")&gt;0,1,0))</f>
        <v>0</v>
      </c>
      <c r="AV197" s="39" t="n">
        <f aca="false">IF(AV$4=0,0,IF(COUNTIFS(実績!$W$6:$W$505,AV$3,実績!$AI$6:$AI$505,"&lt;="&amp;$A197,実績!$AJ$6:$AJ$505,"&gt;"&amp;$A197,実績!$AL$6:$AL$505,"○")&gt;0,1,0))</f>
        <v>0</v>
      </c>
      <c r="AW197" s="39" t="n">
        <f aca="false">IF(AW$4=0,0,IF(COUNTIFS(実績!$W$6:$W$505,AW$3,実績!$AI$6:$AI$505,"&lt;="&amp;$A197,実績!$AJ$6:$AJ$505,"&gt;"&amp;$A197,実績!$AL$6:$AL$505,"○")&gt;0,1,0))</f>
        <v>0</v>
      </c>
      <c r="AX197" s="39" t="n">
        <f aca="false">IF(AX$4=0,0,IF(COUNTIFS(実績!$W$6:$W$505,AX$3,実績!$AI$6:$AI$505,"&lt;="&amp;$A197,実績!$AJ$6:$AJ$505,"&gt;"&amp;$A197,実績!$AL$6:$AL$505,"○")&gt;0,1,0))</f>
        <v>0</v>
      </c>
      <c r="AY197" s="39" t="n">
        <f aca="false">IF(AY$4=0,0,IF(COUNTIFS(実績!$W$6:$W$505,AY$3,実績!$AI$6:$AI$505,"&lt;="&amp;$A197,実績!$AJ$6:$AJ$505,"&gt;"&amp;$A197,実績!$AL$6:$AL$505,"○")&gt;0,1,0))</f>
        <v>0</v>
      </c>
      <c r="AZ197" s="39" t="n">
        <f aca="false">IF(AZ$4=0,0,IF(COUNTIFS(実績!$W$6:$W$505,AZ$3,実績!$AI$6:$AI$505,"&lt;="&amp;$A197,実績!$AJ$6:$AJ$505,"&gt;"&amp;$A197,実績!$AL$6:$AL$505,"○")&gt;0,1,0))</f>
        <v>0</v>
      </c>
      <c r="BA197" s="39" t="n">
        <f aca="false">IF(BA$4=0,0,IF(COUNTIFS(実績!$W$6:$W$505,BA$3,実績!$AI$6:$AI$505,"&lt;="&amp;$A197,実績!$AJ$6:$AJ$505,"&gt;"&amp;$A197,実績!$AL$6:$AL$505,"○")&gt;0,1,0))</f>
        <v>0</v>
      </c>
      <c r="BB197" s="39" t="n">
        <f aca="false">IF(BB$4=0,0,IF(COUNTIFS(実績!$W$6:$W$505,BB$3,実績!$AI$6:$AI$505,"&lt;="&amp;$A197,実績!$AJ$6:$AJ$505,"&gt;"&amp;$A197,実績!$AL$6:$AL$505,"○")&gt;0,1,0))</f>
        <v>0</v>
      </c>
      <c r="BC197" s="39" t="n">
        <f aca="false">IF(BC$4=0,0,IF(COUNTIFS(実績!$W$6:$W$505,BC$3,実績!$AI$6:$AI$505,"&lt;="&amp;$A197,実績!$AJ$6:$AJ$505,"&gt;"&amp;$A197,実績!$AL$6:$AL$505,"○")&gt;0,1,0))</f>
        <v>0</v>
      </c>
      <c r="BD197" s="39" t="n">
        <f aca="false">IF(BD$4=0,0,IF(COUNTIFS(実績!$W$6:$W$505,BD$3,実績!$AI$6:$AI$505,"&lt;="&amp;$A197,実績!$AJ$6:$AJ$505,"&gt;"&amp;$A197,実績!$AL$6:$AL$505,"○")&gt;0,1,0))</f>
        <v>0</v>
      </c>
      <c r="BE197" s="39" t="n">
        <f aca="false">IF(BE$4=0,0,IF(COUNTIFS(実績!$W$6:$W$505,BE$3,実績!$AI$6:$AI$505,"&lt;="&amp;$A197,実績!$AJ$6:$AJ$505,"&gt;"&amp;$A197,実績!$AL$6:$AL$505,"○")&gt;0,1,0))</f>
        <v>0</v>
      </c>
      <c r="BF197" s="39" t="n">
        <f aca="false">IF(BF$4=0,0,IF(COUNTIFS(実績!$W$6:$W$505,BF$3,実績!$AI$6:$AI$505,"&lt;="&amp;$A197,実績!$AJ$6:$AJ$505,"&gt;"&amp;$A197,実績!$AL$6:$AL$505,"○")&gt;0,1,0))</f>
        <v>0</v>
      </c>
      <c r="BG197" s="39" t="n">
        <f aca="false">IF(BG$4=0,0,IF(COUNTIFS(実績!$W$6:$W$505,BG$3,実績!$AI$6:$AI$505,"&lt;="&amp;$A197,実績!$AJ$6:$AJ$505,"&gt;"&amp;$A197,実績!$AL$6:$AL$505,"○")&gt;0,1,0))</f>
        <v>0</v>
      </c>
      <c r="BH197" s="39" t="n">
        <f aca="false">IF(BH$4=0,0,IF(COUNTIFS(実績!$W$6:$W$505,BH$3,実績!$AI$6:$AI$505,"&lt;="&amp;$A197,実績!$AJ$6:$AJ$505,"&gt;"&amp;$A197,実績!$AL$6:$AL$505,"○")&gt;0,1,0))</f>
        <v>0</v>
      </c>
      <c r="BI197" s="39" t="n">
        <f aca="false">IF(BI$4=0,0,IF(COUNTIFS(実績!$W$6:$W$505,BI$3,実績!$AI$6:$AI$505,"&lt;="&amp;$A197,実績!$AJ$6:$AJ$505,"&gt;"&amp;$A197,実績!$AL$6:$AL$505,"○")&gt;0,1,0))</f>
        <v>0</v>
      </c>
      <c r="BJ197" s="39" t="n">
        <f aca="false">IF(BJ$4=0,0,IF(COUNTIFS(実績!$W$6:$W$505,BJ$3,実績!$AI$6:$AI$505,"&lt;="&amp;$A197,実績!$AJ$6:$AJ$505,"&gt;"&amp;$A197,実績!$AL$6:$AL$505,"○")&gt;0,1,0))</f>
        <v>0</v>
      </c>
      <c r="BK197" s="39" t="n">
        <f aca="false">IF(BK$4=0,0,IF(COUNTIFS(実績!$W$6:$W$505,BK$3,実績!$AI$6:$AI$505,"&lt;="&amp;$A197,実績!$AJ$6:$AJ$505,"&gt;"&amp;$A197,実績!$AL$6:$AL$505,"○")&gt;0,1,0))</f>
        <v>0</v>
      </c>
      <c r="BL197" s="39" t="n">
        <f aca="false">IF(BL$4=0,0,IF(COUNTIFS(実績!$W$6:$W$505,BL$3,実績!$AI$6:$AI$505,"&lt;="&amp;$A197,実績!$AJ$6:$AJ$505,"&gt;"&amp;$A197,実績!$AL$6:$AL$505,"○")&gt;0,1,0))</f>
        <v>0</v>
      </c>
      <c r="BM197" s="39" t="n">
        <f aca="false">IF(BM$4=0,0,IF(COUNTIFS(実績!$W$6:$W$505,BM$3,実績!$AI$6:$AI$505,"&lt;="&amp;$A197,実績!$AJ$6:$AJ$505,"&gt;"&amp;$A197,実績!$AL$6:$AL$505,"○")&gt;0,1,0))</f>
        <v>0</v>
      </c>
      <c r="BN197" s="39" t="n">
        <f aca="false">IF(BN$4=0,0,IF(COUNTIFS(実績!$W$6:$W$505,BN$3,実績!$AI$6:$AI$505,"&lt;="&amp;$A197,実績!$AJ$6:$AJ$505,"&gt;"&amp;$A197,実績!$AL$6:$AL$505,"○")&gt;0,1,0))</f>
        <v>0</v>
      </c>
      <c r="BO197" s="39" t="n">
        <f aca="false">IF(BO$4=0,0,IF(COUNTIFS(実績!$W$6:$W$505,BO$3,実績!$AI$6:$AI$505,"&lt;="&amp;$A197,実績!$AJ$6:$AJ$505,"&gt;"&amp;$A197,実績!$AL$6:$AL$505,"○")&gt;0,1,0))</f>
        <v>0</v>
      </c>
      <c r="BP197" s="39" t="n">
        <f aca="false">IF(BP$4=0,0,IF(COUNTIFS(実績!$W$6:$W$505,BP$3,実績!$AI$6:$AI$505,"&lt;="&amp;$A197,実績!$AJ$6:$AJ$505,"&gt;"&amp;$A197,実績!$AL$6:$AL$505,"○")&gt;0,1,0))</f>
        <v>0</v>
      </c>
      <c r="BQ197" s="39" t="n">
        <f aca="false">IF(BQ$4=0,0,IF(COUNTIFS(実績!$W$6:$W$505,BQ$3,実績!$AI$6:$AI$505,"&lt;="&amp;$A197,実績!$AJ$6:$AJ$505,"&gt;"&amp;$A197,実績!$AL$6:$AL$505,"○")&gt;0,1,0))</f>
        <v>0</v>
      </c>
      <c r="BR197" s="39" t="n">
        <f aca="false">IF(BR$4=0,0,IF(COUNTIFS(実績!$W$6:$W$505,BR$3,実績!$AI$6:$AI$505,"&lt;="&amp;$A197,実績!$AJ$6:$AJ$505,"&gt;"&amp;$A197,実績!$AL$6:$AL$505,"○")&gt;0,1,0))</f>
        <v>0</v>
      </c>
      <c r="BS197" s="39" t="n">
        <f aca="false">IF(BS$4=0,0,IF(COUNTIFS(実績!$W$6:$W$505,BS$3,実績!$AI$6:$AI$505,"&lt;="&amp;$A197,実績!$AJ$6:$AJ$505,"&gt;"&amp;$A197,実績!$AL$6:$AL$505,"○")&gt;0,1,0))</f>
        <v>0</v>
      </c>
      <c r="BT197" s="39" t="n">
        <f aca="false">IF(BT$4=0,0,IF(COUNTIFS(実績!$W$6:$W$505,BT$3,実績!$AI$6:$AI$505,"&lt;="&amp;$A197,実績!$AJ$6:$AJ$505,"&gt;"&amp;$A197,実績!$AL$6:$AL$505,"○")&gt;0,1,0))</f>
        <v>0</v>
      </c>
      <c r="BU197" s="39" t="n">
        <f aca="false">IF(BU$4=0,0,IF(COUNTIFS(実績!$W$6:$W$505,BU$3,実績!$AI$6:$AI$505,"&lt;="&amp;$A197,実績!$AJ$6:$AJ$505,"&gt;"&amp;$A197,実績!$AL$6:$AL$505,"○")&gt;0,1,0))</f>
        <v>0</v>
      </c>
      <c r="BV197" s="39" t="n">
        <f aca="false">IF(BV$4=0,0,IF(COUNTIFS(実績!$W$6:$W$505,BV$3,実績!$AI$6:$AI$505,"&lt;="&amp;$A197,実績!$AJ$6:$AJ$505,"&gt;"&amp;$A197,実績!$AL$6:$AL$505,"○")&gt;0,1,0))</f>
        <v>0</v>
      </c>
      <c r="BW197" s="39" t="n">
        <f aca="false">IF(BW$4=0,0,IF(COUNTIFS(実績!$W$6:$W$505,BW$3,実績!$AI$6:$AI$505,"&lt;="&amp;$A197,実績!$AJ$6:$AJ$505,"&gt;"&amp;$A197,実績!$AL$6:$AL$505,"○")&gt;0,1,0))</f>
        <v>0</v>
      </c>
      <c r="BX197" s="39" t="n">
        <f aca="false">IF(BX$4=0,0,IF(COUNTIFS(実績!$W$6:$W$505,BX$3,実績!$AI$6:$AI$505,"&lt;="&amp;$A197,実績!$AJ$6:$AJ$505,"&gt;"&amp;$A197,実績!$AL$6:$AL$505,"○")&gt;0,1,0))</f>
        <v>0</v>
      </c>
      <c r="BY197" s="39" t="n">
        <f aca="false">IF(BY$4=0,0,IF(COUNTIFS(実績!$W$6:$W$505,BY$3,実績!$AI$6:$AI$505,"&lt;="&amp;$A197,実績!$AJ$6:$AJ$505,"&gt;"&amp;$A197,実績!$AL$6:$AL$505,"○")&gt;0,1,0))</f>
        <v>0</v>
      </c>
      <c r="BZ197" s="39" t="n">
        <f aca="false">IF(BZ$4=0,0,IF(COUNTIFS(実績!$W$6:$W$505,BZ$3,実績!$AI$6:$AI$505,"&lt;="&amp;$A197,実績!$AJ$6:$AJ$505,"&gt;"&amp;$A197,実績!$AL$6:$AL$505,"○")&gt;0,1,0))</f>
        <v>0</v>
      </c>
      <c r="CA197" s="39" t="n">
        <f aca="false">IF(CA$4=0,0,IF(COUNTIFS(実績!$W$6:$W$505,CA$3,実績!$AI$6:$AI$505,"&lt;="&amp;$A197,実績!$AJ$6:$AJ$505,"&gt;"&amp;$A197,実績!$AL$6:$AL$505,"○")&gt;0,1,0))</f>
        <v>0</v>
      </c>
      <c r="CB197" s="39" t="n">
        <f aca="false">IF(CB$4=0,0,IF(COUNTIFS(実績!$W$6:$W$505,CB$3,実績!$AI$6:$AI$505,"&lt;="&amp;$A197,実績!$AJ$6:$AJ$505,"&gt;"&amp;$A197,実績!$AL$6:$AL$505,"○")&gt;0,1,0))</f>
        <v>0</v>
      </c>
      <c r="CC197" s="39" t="n">
        <f aca="false">IF(CC$4=0,0,IF(COUNTIFS(実績!$W$6:$W$505,CC$3,実績!$AI$6:$AI$505,"&lt;="&amp;$A197,実績!$AJ$6:$AJ$505,"&gt;"&amp;$A197,実績!$AL$6:$AL$505,"○")&gt;0,1,0))</f>
        <v>0</v>
      </c>
      <c r="CD197" s="39" t="n">
        <f aca="false">IF(CD$4=0,0,IF(COUNTIFS(実績!$W$6:$W$505,CD$3,実績!$AI$6:$AI$505,"&lt;="&amp;$A197,実績!$AJ$6:$AJ$505,"&gt;"&amp;$A197,実績!$AL$6:$AL$505,"○")&gt;0,1,0))</f>
        <v>0</v>
      </c>
      <c r="CE197" s="39" t="n">
        <f aca="false">IF(CE$4=0,0,IF(COUNTIFS(実績!$W$6:$W$505,CE$3,実績!$AI$6:$AI$505,"&lt;="&amp;$A197,実績!$AJ$6:$AJ$505,"&gt;"&amp;$A197,実績!$AL$6:$AL$505,"○")&gt;0,1,0))</f>
        <v>0</v>
      </c>
      <c r="CF197" s="39" t="n">
        <f aca="false">IF(CF$4=0,0,IF(COUNTIFS(実績!$W$6:$W$505,CF$3,実績!$AI$6:$AI$505,"&lt;="&amp;$A197,実績!$AJ$6:$AJ$505,"&gt;"&amp;$A197,実績!$AL$6:$AL$505,"○")&gt;0,1,0))</f>
        <v>0</v>
      </c>
      <c r="CG197" s="39" t="n">
        <f aca="false">IF(CG$4=0,0,IF(COUNTIFS(実績!$W$6:$W$505,CG$3,実績!$AI$6:$AI$505,"&lt;="&amp;$A197,実績!$AJ$6:$AJ$505,"&gt;"&amp;$A197,実績!$AL$6:$AL$505,"○")&gt;0,1,0))</f>
        <v>0</v>
      </c>
      <c r="CH197" s="39" t="n">
        <f aca="false">IF(CH$4=0,0,IF(COUNTIFS(実績!$W$6:$W$505,CH$3,実績!$AI$6:$AI$505,"&lt;="&amp;$A197,実績!$AJ$6:$AJ$505,"&gt;"&amp;$A197,実績!$AL$6:$AL$505,"○")&gt;0,1,0))</f>
        <v>0</v>
      </c>
      <c r="CI197" s="39" t="n">
        <f aca="false">IF(CI$4=0,0,IF(COUNTIFS(実績!$W$6:$W$505,CI$3,実績!$AI$6:$AI$505,"&lt;="&amp;$A197,実績!$AJ$6:$AJ$505,"&gt;"&amp;$A197,実績!$AL$6:$AL$505,"○")&gt;0,1,0))</f>
        <v>0</v>
      </c>
      <c r="CJ197" s="39" t="n">
        <f aca="false">IF(CJ$4=0,0,IF(COUNTIFS(実績!$W$6:$W$505,CJ$3,実績!$AI$6:$AI$505,"&lt;="&amp;$A197,実績!$AJ$6:$AJ$505,"&gt;"&amp;$A197,実績!$AL$6:$AL$505,"○")&gt;0,1,0))</f>
        <v>0</v>
      </c>
      <c r="CK197" s="39" t="n">
        <f aca="false">IF(CK$4=0,0,IF(COUNTIFS(実績!$W$6:$W$505,CK$3,実績!$AI$6:$AI$505,"&lt;="&amp;$A197,実績!$AJ$6:$AJ$505,"&gt;"&amp;$A197,実績!$AL$6:$AL$505,"○")&gt;0,1,0))</f>
        <v>0</v>
      </c>
      <c r="CL197" s="39" t="n">
        <f aca="false">IF(CL$4=0,0,IF(COUNTIFS(実績!$W$6:$W$505,CL$3,実績!$AI$6:$AI$505,"&lt;="&amp;$A197,実績!$AJ$6:$AJ$505,"&gt;"&amp;$A197,実績!$AL$6:$AL$505,"○")&gt;0,1,0))</f>
        <v>0</v>
      </c>
      <c r="CM197" s="39" t="n">
        <f aca="false">IF(CM$4=0,0,IF(COUNTIFS(実績!$W$6:$W$505,CM$3,実績!$AI$6:$AI$505,"&lt;="&amp;$A197,実績!$AJ$6:$AJ$505,"&gt;"&amp;$A197,実績!$AL$6:$AL$505,"○")&gt;0,1,0))</f>
        <v>0</v>
      </c>
      <c r="CN197" s="39" t="n">
        <f aca="false">IF(CN$4=0,0,IF(COUNTIFS(実績!$W$6:$W$505,CN$3,実績!$AI$6:$AI$505,"&lt;="&amp;$A197,実績!$AJ$6:$AJ$505,"&gt;"&amp;$A197,実績!$AL$6:$AL$505,"○")&gt;0,1,0))</f>
        <v>0</v>
      </c>
      <c r="CO197" s="39" t="n">
        <f aca="false">IF(CO$4=0,0,IF(COUNTIFS(実績!$W$6:$W$505,CO$3,実績!$AI$6:$AI$505,"&lt;="&amp;$A197,実績!$AJ$6:$AJ$505,"&gt;"&amp;$A197,実績!$AL$6:$AL$505,"○")&gt;0,1,0))</f>
        <v>0</v>
      </c>
      <c r="CP197" s="39" t="n">
        <f aca="false">IF(CP$4=0,0,IF(COUNTIFS(実績!$W$6:$W$505,CP$3,実績!$AI$6:$AI$505,"&lt;="&amp;$A197,実績!$AJ$6:$AJ$505,"&gt;"&amp;$A197,実績!$AL$6:$AL$505,"○")&gt;0,1,0))</f>
        <v>0</v>
      </c>
      <c r="CQ197" s="39" t="n">
        <f aca="false">IF(CQ$4=0,0,IF(COUNTIFS(実績!$W$6:$W$505,CQ$3,実績!$AI$6:$AI$505,"&lt;="&amp;$A197,実績!$AJ$6:$AJ$505,"&gt;"&amp;$A197,実績!$AL$6:$AL$505,"○")&gt;0,1,0))</f>
        <v>0</v>
      </c>
      <c r="CR197" s="39" t="n">
        <f aca="false">IF(CR$4=0,0,IF(COUNTIFS(実績!$W$6:$W$505,CR$3,実績!$AI$6:$AI$505,"&lt;="&amp;$A197,実績!$AJ$6:$AJ$505,"&gt;"&amp;$A197,実績!$AL$6:$AL$505,"○")&gt;0,1,0))</f>
        <v>0</v>
      </c>
      <c r="CS197" s="39" t="n">
        <f aca="false">IF(CS$4=0,0,IF(COUNTIFS(実績!$W$6:$W$505,CS$3,実績!$AI$6:$AI$505,"&lt;="&amp;$A197,実績!$AJ$6:$AJ$505,"&gt;"&amp;$A197,実績!$AL$6:$AL$505,"○")&gt;0,1,0))</f>
        <v>0</v>
      </c>
      <c r="CT197" s="39" t="n">
        <f aca="false">IF(CT$4=0,0,IF(COUNTIFS(実績!$W$6:$W$505,CT$3,実績!$AI$6:$AI$505,"&lt;="&amp;$A197,実績!$AJ$6:$AJ$505,"&gt;"&amp;$A197,実績!$AL$6:$AL$505,"○")&gt;0,1,0))</f>
        <v>0</v>
      </c>
      <c r="CU197" s="39" t="n">
        <f aca="false">IF(CU$4=0,0,IF(COUNTIFS(実績!$W$6:$W$505,CU$3,実績!$AI$6:$AI$505,"&lt;="&amp;$A197,実績!$AJ$6:$AJ$505,"&gt;"&amp;$A197,実績!$AL$6:$AL$505,"○")&gt;0,1,0))</f>
        <v>0</v>
      </c>
      <c r="CV197" s="39" t="n">
        <f aca="false">IF(CV$4=0,0,IF(COUNTIFS(実績!$W$6:$W$505,CV$3,実績!$AI$6:$AI$505,"&lt;="&amp;$A197,実績!$AJ$6:$AJ$505,"&gt;"&amp;$A197,実績!$AL$6:$AL$505,"○")&gt;0,1,0))</f>
        <v>0</v>
      </c>
      <c r="CW197" s="39" t="n">
        <f aca="false">IF(CW$4=0,0,IF(COUNTIFS(実績!$W$6:$W$505,CW$3,実績!$AI$6:$AI$505,"&lt;="&amp;$A197,実績!$AJ$6:$AJ$505,"&gt;"&amp;$A197,実績!$AL$6:$AL$505,"○")&gt;0,1,0))</f>
        <v>0</v>
      </c>
      <c r="CX197" s="39" t="n">
        <f aca="false">IF(CX$4=0,0,IF(COUNTIFS(実績!$W$6:$W$505,CX$3,実績!$AI$6:$AI$505,"&lt;="&amp;$A197,実績!$AJ$6:$AJ$505,"&gt;"&amp;$A197,実績!$AL$6:$AL$505,"○")&gt;0,1,0))</f>
        <v>0</v>
      </c>
      <c r="CY197" s="39" t="n">
        <f aca="false">IF(CY$4=0,0,IF(COUNTIFS(実績!$W$6:$W$505,CY$3,実績!$AI$6:$AI$505,"&lt;="&amp;$A197,実績!$AJ$6:$AJ$505,"&gt;"&amp;$A197,実績!$AL$6:$AL$505,"○")&gt;0,1,0))</f>
        <v>0</v>
      </c>
      <c r="CZ197" s="39" t="n">
        <f aca="false">IF(CZ$4=0,0,IF(COUNTIFS(実績!$W$6:$W$505,CZ$3,実績!$AI$6:$AI$505,"&lt;="&amp;$A197,実績!$AJ$6:$AJ$505,"&gt;"&amp;$A197,実績!$AL$6:$AL$505,"○")&gt;0,1,0))</f>
        <v>0</v>
      </c>
      <c r="DA197" s="39" t="n">
        <f aca="false">IF(DA$4=0,0,IF(COUNTIFS(実績!$W$6:$W$505,DA$3,実績!$AI$6:$AI$505,"&lt;="&amp;$A197,実績!$AJ$6:$AJ$505,"&gt;"&amp;$A197,実績!$AL$6:$AL$505,"○")&gt;0,1,0))</f>
        <v>0</v>
      </c>
      <c r="DB197" s="39" t="n">
        <f aca="false">IF(DB$4=0,0,IF(COUNTIFS(実績!$W$6:$W$505,DB$3,実績!$AI$6:$AI$505,"&lt;="&amp;$A197,実績!$AJ$6:$AJ$505,"&gt;"&amp;$A197,実績!$AL$6:$AL$505,"○")&gt;0,1,0))</f>
        <v>0</v>
      </c>
      <c r="DC197" s="39" t="n">
        <f aca="false">IF(DC$4=0,0,IF(COUNTIFS(実績!$W$6:$W$505,DC$3,実績!$AI$6:$AI$505,"&lt;="&amp;$A197,実績!$AJ$6:$AJ$505,"&gt;"&amp;$A197,実績!$AL$6:$AL$505,"○")&gt;0,1,0))</f>
        <v>0</v>
      </c>
      <c r="DD197" s="39" t="n">
        <f aca="false">IF(DD$4=0,0,IF(COUNTIFS(実績!$W$6:$W$505,DD$3,実績!$AI$6:$AI$505,"&lt;="&amp;$A197,実績!$AJ$6:$AJ$505,"&gt;"&amp;$A197,実績!$AL$6:$AL$505,"○")&gt;0,1,0))</f>
        <v>0</v>
      </c>
      <c r="DE197" s="39" t="n">
        <f aca="false">IF(DE$4=0,0,IF(COUNTIFS(実績!$W$6:$W$505,DE$3,実績!$AI$6:$AI$505,"&lt;="&amp;$A197,実績!$AJ$6:$AJ$505,"&gt;"&amp;$A197,実績!$AL$6:$AL$505,"○")&gt;0,1,0))</f>
        <v>0</v>
      </c>
      <c r="DF197" s="39" t="n">
        <f aca="false">IF(DF$4=0,0,IF(COUNTIFS(実績!$W$6:$W$505,DF$3,実績!$AI$6:$AI$505,"&lt;="&amp;$A197,実績!$AJ$6:$AJ$505,"&gt;"&amp;$A197,実績!$AL$6:$AL$505,"○")&gt;0,1,0))</f>
        <v>0</v>
      </c>
      <c r="DG197" s="39" t="n">
        <f aca="false">IF(DG$4=0,0,IF(COUNTIFS(実績!$W$6:$W$505,DG$3,実績!$AI$6:$AI$505,"&lt;="&amp;$A197,実績!$AJ$6:$AJ$505,"&gt;"&amp;$A197,実績!$AL$6:$AL$505,"○")&gt;0,1,0))</f>
        <v>0</v>
      </c>
      <c r="DH197" s="39" t="n">
        <f aca="false">IF(DH$4=0,0,IF(COUNTIFS(実績!$W$6:$W$505,DH$3,実績!$AI$6:$AI$505,"&lt;="&amp;$A197,実績!$AJ$6:$AJ$505,"&gt;"&amp;$A197,実績!$AL$6:$AL$505,"○")&gt;0,1,0))</f>
        <v>0</v>
      </c>
      <c r="DI197" s="39" t="n">
        <f aca="false">IF(DI$4=0,0,IF(COUNTIFS(実績!$W$6:$W$505,DI$3,実績!$AI$6:$AI$505,"&lt;="&amp;$A197,実績!$AJ$6:$AJ$505,"&gt;"&amp;$A197,実績!$AL$6:$AL$505,"○")&gt;0,1,0))</f>
        <v>0</v>
      </c>
      <c r="DJ197" s="39" t="n">
        <f aca="false">IF(DJ$4=0,0,IF(COUNTIFS(実績!$W$6:$W$505,DJ$3,実績!$AI$6:$AI$505,"&lt;="&amp;$A197,実績!$AJ$6:$AJ$505,"&gt;"&amp;$A197,実績!$AL$6:$AL$505,"○")&gt;0,1,0))</f>
        <v>0</v>
      </c>
      <c r="DK197" s="39" t="n">
        <f aca="false">IF(DK$4=0,0,IF(COUNTIFS(実績!$W$6:$W$505,DK$3,実績!$AI$6:$AI$505,"&lt;="&amp;$A197,実績!$AJ$6:$AJ$505,"&gt;"&amp;$A197,実績!$AL$6:$AL$505,"○")&gt;0,1,0))</f>
        <v>0</v>
      </c>
      <c r="DL197" s="39" t="n">
        <f aca="false">IF(DL$4=0,0,IF(COUNTIFS(実績!$W$6:$W$505,DL$3,実績!$AI$6:$AI$505,"&lt;="&amp;$A197,実績!$AJ$6:$AJ$505,"&gt;"&amp;$A197,実績!$AL$6:$AL$505,"○")&gt;0,1,0))</f>
        <v>0</v>
      </c>
      <c r="DM197" s="39" t="n">
        <f aca="false">IF(DM$4=0,0,IF(COUNTIFS(実績!$W$6:$W$505,DM$3,実績!$AI$6:$AI$505,"&lt;="&amp;$A197,実績!$AJ$6:$AJ$505,"&gt;"&amp;$A197,実績!$AL$6:$AL$505,"○")&gt;0,1,0))</f>
        <v>0</v>
      </c>
      <c r="DN197" s="39" t="n">
        <f aca="false">IF(DN$4=0,0,IF(COUNTIFS(実績!$W$6:$W$505,DN$3,実績!$AI$6:$AI$505,"&lt;="&amp;$A197,実績!$AJ$6:$AJ$505,"&gt;"&amp;$A197,実績!$AL$6:$AL$505,"○")&gt;0,1,0))</f>
        <v>0</v>
      </c>
      <c r="DO197" s="39" t="n">
        <f aca="false">IF(DO$4=0,0,IF(COUNTIFS(実績!$W$6:$W$505,DO$3,実績!$AI$6:$AI$505,"&lt;="&amp;$A197,実績!$AJ$6:$AJ$505,"&gt;"&amp;$A197,実績!$AL$6:$AL$505,"○")&gt;0,1,0))</f>
        <v>0</v>
      </c>
      <c r="DP197" s="39" t="n">
        <f aca="false">IF(DP$4=0,0,IF(COUNTIFS(実績!$W$6:$W$505,DP$3,実績!$AI$6:$AI$505,"&lt;="&amp;$A197,実績!$AJ$6:$AJ$505,"&gt;"&amp;$A197,実績!$AL$6:$AL$505,"○")&gt;0,1,0))</f>
        <v>0</v>
      </c>
      <c r="DQ197" s="39" t="n">
        <f aca="false">IF(DQ$4=0,0,IF(COUNTIFS(実績!$W$6:$W$505,DQ$3,実績!$AI$6:$AI$505,"&lt;="&amp;$A197,実績!$AJ$6:$AJ$505,"&gt;"&amp;$A197,実績!$AL$6:$AL$505,"○")&gt;0,1,0))</f>
        <v>0</v>
      </c>
      <c r="DR197" s="39" t="n">
        <f aca="false">IF(DR$4=0,0,IF(COUNTIFS(実績!$W$6:$W$505,DR$3,実績!$AI$6:$AI$505,"&lt;="&amp;$A197,実績!$AJ$6:$AJ$505,"&gt;"&amp;$A197,実績!$AL$6:$AL$505,"○")&gt;0,1,0))</f>
        <v>0</v>
      </c>
      <c r="DS197" s="39" t="n">
        <f aca="false">SUM(C197:DR197)</f>
        <v>0</v>
      </c>
    </row>
    <row r="198" customFormat="false" ht="15" hidden="false" customHeight="false" outlineLevel="0" collapsed="false">
      <c r="A198" s="0" t="n">
        <v>960</v>
      </c>
      <c r="B198" s="38" t="n">
        <f aca="false">A198/1440</f>
        <v>0.666666666666667</v>
      </c>
      <c r="C198" s="39" t="n">
        <f aca="false">IF(C$4=0,0,IF(COUNTIFS(実績!$W$6:$W$505,C$3,実績!$AI$6:$AI$505,"&lt;="&amp;$A198,実績!$AJ$6:$AJ$505,"&gt;"&amp;$A198,実績!$AL$6:$AL$505,"○")&gt;0,1,0))</f>
        <v>0</v>
      </c>
      <c r="D198" s="39" t="n">
        <f aca="false">IF(D$4=0,0,IF(COUNTIFS(実績!$W$6:$W$505,D$3,実績!$AI$6:$AI$505,"&lt;="&amp;$A198,実績!$AJ$6:$AJ$505,"&gt;"&amp;$A198,実績!$AL$6:$AL$505,"○")&gt;0,1,0))</f>
        <v>0</v>
      </c>
      <c r="E198" s="39" t="n">
        <f aca="false">IF(E$4=0,0,IF(COUNTIFS(実績!$W$6:$W$505,E$3,実績!$AI$6:$AI$505,"&lt;="&amp;$A198,実績!$AJ$6:$AJ$505,"&gt;"&amp;$A198,実績!$AL$6:$AL$505,"○")&gt;0,1,0))</f>
        <v>0</v>
      </c>
      <c r="F198" s="39" t="n">
        <f aca="false">IF(F$4=0,0,IF(COUNTIFS(実績!$W$6:$W$505,F$3,実績!$AI$6:$AI$505,"&lt;="&amp;$A198,実績!$AJ$6:$AJ$505,"&gt;"&amp;$A198,実績!$AL$6:$AL$505,"○")&gt;0,1,0))</f>
        <v>0</v>
      </c>
      <c r="G198" s="39" t="n">
        <f aca="false">IF(G$4=0,0,IF(COUNTIFS(実績!$W$6:$W$505,G$3,実績!$AI$6:$AI$505,"&lt;="&amp;$A198,実績!$AJ$6:$AJ$505,"&gt;"&amp;$A198,実績!$AL$6:$AL$505,"○")&gt;0,1,0))</f>
        <v>0</v>
      </c>
      <c r="H198" s="39" t="n">
        <f aca="false">IF(H$4=0,0,IF(COUNTIFS(実績!$W$6:$W$505,H$3,実績!$AI$6:$AI$505,"&lt;="&amp;$A198,実績!$AJ$6:$AJ$505,"&gt;"&amp;$A198,実績!$AL$6:$AL$505,"○")&gt;0,1,0))</f>
        <v>0</v>
      </c>
      <c r="I198" s="39" t="n">
        <f aca="false">IF(I$4=0,0,IF(COUNTIFS(実績!$W$6:$W$505,I$3,実績!$AI$6:$AI$505,"&lt;="&amp;$A198,実績!$AJ$6:$AJ$505,"&gt;"&amp;$A198,実績!$AL$6:$AL$505,"○")&gt;0,1,0))</f>
        <v>0</v>
      </c>
      <c r="J198" s="39" t="n">
        <f aca="false">IF(J$4=0,0,IF(COUNTIFS(実績!$W$6:$W$505,J$3,実績!$AI$6:$AI$505,"&lt;="&amp;$A198,実績!$AJ$6:$AJ$505,"&gt;"&amp;$A198,実績!$AL$6:$AL$505,"○")&gt;0,1,0))</f>
        <v>0</v>
      </c>
      <c r="K198" s="39" t="n">
        <f aca="false">IF(K$4=0,0,IF(COUNTIFS(実績!$W$6:$W$505,K$3,実績!$AI$6:$AI$505,"&lt;="&amp;$A198,実績!$AJ$6:$AJ$505,"&gt;"&amp;$A198,実績!$AL$6:$AL$505,"○")&gt;0,1,0))</f>
        <v>0</v>
      </c>
      <c r="L198" s="39" t="n">
        <f aca="false">IF(L$4=0,0,IF(COUNTIFS(実績!$W$6:$W$505,L$3,実績!$AI$6:$AI$505,"&lt;="&amp;$A198,実績!$AJ$6:$AJ$505,"&gt;"&amp;$A198,実績!$AL$6:$AL$505,"○")&gt;0,1,0))</f>
        <v>0</v>
      </c>
      <c r="M198" s="39" t="n">
        <f aca="false">IF(M$4=0,0,IF(COUNTIFS(実績!$W$6:$W$505,M$3,実績!$AI$6:$AI$505,"&lt;="&amp;$A198,実績!$AJ$6:$AJ$505,"&gt;"&amp;$A198,実績!$AL$6:$AL$505,"○")&gt;0,1,0))</f>
        <v>0</v>
      </c>
      <c r="N198" s="39" t="n">
        <f aca="false">IF(N$4=0,0,IF(COUNTIFS(実績!$W$6:$W$505,N$3,実績!$AI$6:$AI$505,"&lt;="&amp;$A198,実績!$AJ$6:$AJ$505,"&gt;"&amp;$A198,実績!$AL$6:$AL$505,"○")&gt;0,1,0))</f>
        <v>0</v>
      </c>
      <c r="O198" s="39" t="n">
        <f aca="false">IF(O$4=0,0,IF(COUNTIFS(実績!$W$6:$W$505,O$3,実績!$AI$6:$AI$505,"&lt;="&amp;$A198,実績!$AJ$6:$AJ$505,"&gt;"&amp;$A198,実績!$AL$6:$AL$505,"○")&gt;0,1,0))</f>
        <v>0</v>
      </c>
      <c r="P198" s="39" t="n">
        <f aca="false">IF(P$4=0,0,IF(COUNTIFS(実績!$W$6:$W$505,P$3,実績!$AI$6:$AI$505,"&lt;="&amp;$A198,実績!$AJ$6:$AJ$505,"&gt;"&amp;$A198,実績!$AL$6:$AL$505,"○")&gt;0,1,0))</f>
        <v>0</v>
      </c>
      <c r="Q198" s="39" t="n">
        <f aca="false">IF(Q$4=0,0,IF(COUNTIFS(実績!$W$6:$W$505,Q$3,実績!$AI$6:$AI$505,"&lt;="&amp;$A198,実績!$AJ$6:$AJ$505,"&gt;"&amp;$A198,実績!$AL$6:$AL$505,"○")&gt;0,1,0))</f>
        <v>0</v>
      </c>
      <c r="R198" s="39" t="n">
        <f aca="false">IF(R$4=0,0,IF(COUNTIFS(実績!$W$6:$W$505,R$3,実績!$AI$6:$AI$505,"&lt;="&amp;$A198,実績!$AJ$6:$AJ$505,"&gt;"&amp;$A198,実績!$AL$6:$AL$505,"○")&gt;0,1,0))</f>
        <v>0</v>
      </c>
      <c r="S198" s="39" t="n">
        <f aca="false">IF(S$4=0,0,IF(COUNTIFS(実績!$W$6:$W$505,S$3,実績!$AI$6:$AI$505,"&lt;="&amp;$A198,実績!$AJ$6:$AJ$505,"&gt;"&amp;$A198,実績!$AL$6:$AL$505,"○")&gt;0,1,0))</f>
        <v>0</v>
      </c>
      <c r="T198" s="39" t="n">
        <f aca="false">IF(T$4=0,0,IF(COUNTIFS(実績!$W$6:$W$505,T$3,実績!$AI$6:$AI$505,"&lt;="&amp;$A198,実績!$AJ$6:$AJ$505,"&gt;"&amp;$A198,実績!$AL$6:$AL$505,"○")&gt;0,1,0))</f>
        <v>0</v>
      </c>
      <c r="U198" s="39" t="n">
        <f aca="false">IF(U$4=0,0,IF(COUNTIFS(実績!$W$6:$W$505,U$3,実績!$AI$6:$AI$505,"&lt;="&amp;$A198,実績!$AJ$6:$AJ$505,"&gt;"&amp;$A198,実績!$AL$6:$AL$505,"○")&gt;0,1,0))</f>
        <v>0</v>
      </c>
      <c r="V198" s="39" t="n">
        <f aca="false">IF(V$4=0,0,IF(COUNTIFS(実績!$W$6:$W$505,V$3,実績!$AI$6:$AI$505,"&lt;="&amp;$A198,実績!$AJ$6:$AJ$505,"&gt;"&amp;$A198,実績!$AL$6:$AL$505,"○")&gt;0,1,0))</f>
        <v>0</v>
      </c>
      <c r="W198" s="39" t="n">
        <f aca="false">IF(W$4=0,0,IF(COUNTIFS(実績!$W$6:$W$505,W$3,実績!$AI$6:$AI$505,"&lt;="&amp;$A198,実績!$AJ$6:$AJ$505,"&gt;"&amp;$A198,実績!$AL$6:$AL$505,"○")&gt;0,1,0))</f>
        <v>0</v>
      </c>
      <c r="X198" s="39" t="n">
        <f aca="false">IF(X$4=0,0,IF(COUNTIFS(実績!$W$6:$W$505,X$3,実績!$AI$6:$AI$505,"&lt;="&amp;$A198,実績!$AJ$6:$AJ$505,"&gt;"&amp;$A198,実績!$AL$6:$AL$505,"○")&gt;0,1,0))</f>
        <v>0</v>
      </c>
      <c r="Y198" s="39" t="n">
        <f aca="false">IF(Y$4=0,0,IF(COUNTIFS(実績!$W$6:$W$505,Y$3,実績!$AI$6:$AI$505,"&lt;="&amp;$A198,実績!$AJ$6:$AJ$505,"&gt;"&amp;$A198,実績!$AL$6:$AL$505,"○")&gt;0,1,0))</f>
        <v>0</v>
      </c>
      <c r="Z198" s="39" t="n">
        <f aca="false">IF(Z$4=0,0,IF(COUNTIFS(実績!$W$6:$W$505,Z$3,実績!$AI$6:$AI$505,"&lt;="&amp;$A198,実績!$AJ$6:$AJ$505,"&gt;"&amp;$A198,実績!$AL$6:$AL$505,"○")&gt;0,1,0))</f>
        <v>0</v>
      </c>
      <c r="AA198" s="39" t="n">
        <f aca="false">IF(AA$4=0,0,IF(COUNTIFS(実績!$W$6:$W$505,AA$3,実績!$AI$6:$AI$505,"&lt;="&amp;$A198,実績!$AJ$6:$AJ$505,"&gt;"&amp;$A198,実績!$AL$6:$AL$505,"○")&gt;0,1,0))</f>
        <v>0</v>
      </c>
      <c r="AB198" s="39" t="n">
        <f aca="false">IF(AB$4=0,0,IF(COUNTIFS(実績!$W$6:$W$505,AB$3,実績!$AI$6:$AI$505,"&lt;="&amp;$A198,実績!$AJ$6:$AJ$505,"&gt;"&amp;$A198,実績!$AL$6:$AL$505,"○")&gt;0,1,0))</f>
        <v>0</v>
      </c>
      <c r="AC198" s="39" t="n">
        <f aca="false">IF(AC$4=0,0,IF(COUNTIFS(実績!$W$6:$W$505,AC$3,実績!$AI$6:$AI$505,"&lt;="&amp;$A198,実績!$AJ$6:$AJ$505,"&gt;"&amp;$A198,実績!$AL$6:$AL$505,"○")&gt;0,1,0))</f>
        <v>0</v>
      </c>
      <c r="AD198" s="39" t="n">
        <f aca="false">IF(AD$4=0,0,IF(COUNTIFS(実績!$W$6:$W$505,AD$3,実績!$AI$6:$AI$505,"&lt;="&amp;$A198,実績!$AJ$6:$AJ$505,"&gt;"&amp;$A198,実績!$AL$6:$AL$505,"○")&gt;0,1,0))</f>
        <v>0</v>
      </c>
      <c r="AE198" s="39" t="n">
        <f aca="false">IF(AE$4=0,0,IF(COUNTIFS(実績!$W$6:$W$505,AE$3,実績!$AI$6:$AI$505,"&lt;="&amp;$A198,実績!$AJ$6:$AJ$505,"&gt;"&amp;$A198,実績!$AL$6:$AL$505,"○")&gt;0,1,0))</f>
        <v>0</v>
      </c>
      <c r="AF198" s="39" t="n">
        <f aca="false">IF(AF$4=0,0,IF(COUNTIFS(実績!$W$6:$W$505,AF$3,実績!$AI$6:$AI$505,"&lt;="&amp;$A198,実績!$AJ$6:$AJ$505,"&gt;"&amp;$A198,実績!$AL$6:$AL$505,"○")&gt;0,1,0))</f>
        <v>0</v>
      </c>
      <c r="AG198" s="39" t="n">
        <f aca="false">IF(AG$4=0,0,IF(COUNTIFS(実績!$W$6:$W$505,AG$3,実績!$AI$6:$AI$505,"&lt;="&amp;$A198,実績!$AJ$6:$AJ$505,"&gt;"&amp;$A198,実績!$AL$6:$AL$505,"○")&gt;0,1,0))</f>
        <v>0</v>
      </c>
      <c r="AH198" s="39" t="n">
        <f aca="false">IF(AH$4=0,0,IF(COUNTIFS(実績!$W$6:$W$505,AH$3,実績!$AI$6:$AI$505,"&lt;="&amp;$A198,実績!$AJ$6:$AJ$505,"&gt;"&amp;$A198,実績!$AL$6:$AL$505,"○")&gt;0,1,0))</f>
        <v>0</v>
      </c>
      <c r="AI198" s="39" t="n">
        <f aca="false">IF(AI$4=0,0,IF(COUNTIFS(実績!$W$6:$W$505,AI$3,実績!$AI$6:$AI$505,"&lt;="&amp;$A198,実績!$AJ$6:$AJ$505,"&gt;"&amp;$A198,実績!$AL$6:$AL$505,"○")&gt;0,1,0))</f>
        <v>0</v>
      </c>
      <c r="AJ198" s="39" t="n">
        <f aca="false">IF(AJ$4=0,0,IF(COUNTIFS(実績!$W$6:$W$505,AJ$3,実績!$AI$6:$AI$505,"&lt;="&amp;$A198,実績!$AJ$6:$AJ$505,"&gt;"&amp;$A198,実績!$AL$6:$AL$505,"○")&gt;0,1,0))</f>
        <v>0</v>
      </c>
      <c r="AK198" s="39" t="n">
        <f aca="false">IF(AK$4=0,0,IF(COUNTIFS(実績!$W$6:$W$505,AK$3,実績!$AI$6:$AI$505,"&lt;="&amp;$A198,実績!$AJ$6:$AJ$505,"&gt;"&amp;$A198,実績!$AL$6:$AL$505,"○")&gt;0,1,0))</f>
        <v>0</v>
      </c>
      <c r="AL198" s="39" t="n">
        <f aca="false">IF(AL$4=0,0,IF(COUNTIFS(実績!$W$6:$W$505,AL$3,実績!$AI$6:$AI$505,"&lt;="&amp;$A198,実績!$AJ$6:$AJ$505,"&gt;"&amp;$A198,実績!$AL$6:$AL$505,"○")&gt;0,1,0))</f>
        <v>0</v>
      </c>
      <c r="AM198" s="39" t="n">
        <f aca="false">IF(AM$4=0,0,IF(COUNTIFS(実績!$W$6:$W$505,AM$3,実績!$AI$6:$AI$505,"&lt;="&amp;$A198,実績!$AJ$6:$AJ$505,"&gt;"&amp;$A198,実績!$AL$6:$AL$505,"○")&gt;0,1,0))</f>
        <v>0</v>
      </c>
      <c r="AN198" s="39" t="n">
        <f aca="false">IF(AN$4=0,0,IF(COUNTIFS(実績!$W$6:$W$505,AN$3,実績!$AI$6:$AI$505,"&lt;="&amp;$A198,実績!$AJ$6:$AJ$505,"&gt;"&amp;$A198,実績!$AL$6:$AL$505,"○")&gt;0,1,0))</f>
        <v>0</v>
      </c>
      <c r="AO198" s="39" t="n">
        <f aca="false">IF(AO$4=0,0,IF(COUNTIFS(実績!$W$6:$W$505,AO$3,実績!$AI$6:$AI$505,"&lt;="&amp;$A198,実績!$AJ$6:$AJ$505,"&gt;"&amp;$A198,実績!$AL$6:$AL$505,"○")&gt;0,1,0))</f>
        <v>0</v>
      </c>
      <c r="AP198" s="39" t="n">
        <f aca="false">IF(AP$4=0,0,IF(COUNTIFS(実績!$W$6:$W$505,AP$3,実績!$AI$6:$AI$505,"&lt;="&amp;$A198,実績!$AJ$6:$AJ$505,"&gt;"&amp;$A198,実績!$AL$6:$AL$505,"○")&gt;0,1,0))</f>
        <v>0</v>
      </c>
      <c r="AQ198" s="39" t="n">
        <f aca="false">IF(AQ$4=0,0,IF(COUNTIFS(実績!$W$6:$W$505,AQ$3,実績!$AI$6:$AI$505,"&lt;="&amp;$A198,実績!$AJ$6:$AJ$505,"&gt;"&amp;$A198,実績!$AL$6:$AL$505,"○")&gt;0,1,0))</f>
        <v>0</v>
      </c>
      <c r="AR198" s="39" t="n">
        <f aca="false">IF(AR$4=0,0,IF(COUNTIFS(実績!$W$6:$W$505,AR$3,実績!$AI$6:$AI$505,"&lt;="&amp;$A198,実績!$AJ$6:$AJ$505,"&gt;"&amp;$A198,実績!$AL$6:$AL$505,"○")&gt;0,1,0))</f>
        <v>0</v>
      </c>
      <c r="AS198" s="39" t="n">
        <f aca="false">IF(AS$4=0,0,IF(COUNTIFS(実績!$W$6:$W$505,AS$3,実績!$AI$6:$AI$505,"&lt;="&amp;$A198,実績!$AJ$6:$AJ$505,"&gt;"&amp;$A198,実績!$AL$6:$AL$505,"○")&gt;0,1,0))</f>
        <v>0</v>
      </c>
      <c r="AT198" s="39" t="n">
        <f aca="false">IF(AT$4=0,0,IF(COUNTIFS(実績!$W$6:$W$505,AT$3,実績!$AI$6:$AI$505,"&lt;="&amp;$A198,実績!$AJ$6:$AJ$505,"&gt;"&amp;$A198,実績!$AL$6:$AL$505,"○")&gt;0,1,0))</f>
        <v>0</v>
      </c>
      <c r="AU198" s="39" t="n">
        <f aca="false">IF(AU$4=0,0,IF(COUNTIFS(実績!$W$6:$W$505,AU$3,実績!$AI$6:$AI$505,"&lt;="&amp;$A198,実績!$AJ$6:$AJ$505,"&gt;"&amp;$A198,実績!$AL$6:$AL$505,"○")&gt;0,1,0))</f>
        <v>0</v>
      </c>
      <c r="AV198" s="39" t="n">
        <f aca="false">IF(AV$4=0,0,IF(COUNTIFS(実績!$W$6:$W$505,AV$3,実績!$AI$6:$AI$505,"&lt;="&amp;$A198,実績!$AJ$6:$AJ$505,"&gt;"&amp;$A198,実績!$AL$6:$AL$505,"○")&gt;0,1,0))</f>
        <v>0</v>
      </c>
      <c r="AW198" s="39" t="n">
        <f aca="false">IF(AW$4=0,0,IF(COUNTIFS(実績!$W$6:$W$505,AW$3,実績!$AI$6:$AI$505,"&lt;="&amp;$A198,実績!$AJ$6:$AJ$505,"&gt;"&amp;$A198,実績!$AL$6:$AL$505,"○")&gt;0,1,0))</f>
        <v>0</v>
      </c>
      <c r="AX198" s="39" t="n">
        <f aca="false">IF(AX$4=0,0,IF(COUNTIFS(実績!$W$6:$W$505,AX$3,実績!$AI$6:$AI$505,"&lt;="&amp;$A198,実績!$AJ$6:$AJ$505,"&gt;"&amp;$A198,実績!$AL$6:$AL$505,"○")&gt;0,1,0))</f>
        <v>0</v>
      </c>
      <c r="AY198" s="39" t="n">
        <f aca="false">IF(AY$4=0,0,IF(COUNTIFS(実績!$W$6:$W$505,AY$3,実績!$AI$6:$AI$505,"&lt;="&amp;$A198,実績!$AJ$6:$AJ$505,"&gt;"&amp;$A198,実績!$AL$6:$AL$505,"○")&gt;0,1,0))</f>
        <v>0</v>
      </c>
      <c r="AZ198" s="39" t="n">
        <f aca="false">IF(AZ$4=0,0,IF(COUNTIFS(実績!$W$6:$W$505,AZ$3,実績!$AI$6:$AI$505,"&lt;="&amp;$A198,実績!$AJ$6:$AJ$505,"&gt;"&amp;$A198,実績!$AL$6:$AL$505,"○")&gt;0,1,0))</f>
        <v>0</v>
      </c>
      <c r="BA198" s="39" t="n">
        <f aca="false">IF(BA$4=0,0,IF(COUNTIFS(実績!$W$6:$W$505,BA$3,実績!$AI$6:$AI$505,"&lt;="&amp;$A198,実績!$AJ$6:$AJ$505,"&gt;"&amp;$A198,実績!$AL$6:$AL$505,"○")&gt;0,1,0))</f>
        <v>0</v>
      </c>
      <c r="BB198" s="39" t="n">
        <f aca="false">IF(BB$4=0,0,IF(COUNTIFS(実績!$W$6:$W$505,BB$3,実績!$AI$6:$AI$505,"&lt;="&amp;$A198,実績!$AJ$6:$AJ$505,"&gt;"&amp;$A198,実績!$AL$6:$AL$505,"○")&gt;0,1,0))</f>
        <v>0</v>
      </c>
      <c r="BC198" s="39" t="n">
        <f aca="false">IF(BC$4=0,0,IF(COUNTIFS(実績!$W$6:$W$505,BC$3,実績!$AI$6:$AI$505,"&lt;="&amp;$A198,実績!$AJ$6:$AJ$505,"&gt;"&amp;$A198,実績!$AL$6:$AL$505,"○")&gt;0,1,0))</f>
        <v>0</v>
      </c>
      <c r="BD198" s="39" t="n">
        <f aca="false">IF(BD$4=0,0,IF(COUNTIFS(実績!$W$6:$W$505,BD$3,実績!$AI$6:$AI$505,"&lt;="&amp;$A198,実績!$AJ$6:$AJ$505,"&gt;"&amp;$A198,実績!$AL$6:$AL$505,"○")&gt;0,1,0))</f>
        <v>0</v>
      </c>
      <c r="BE198" s="39" t="n">
        <f aca="false">IF(BE$4=0,0,IF(COUNTIFS(実績!$W$6:$W$505,BE$3,実績!$AI$6:$AI$505,"&lt;="&amp;$A198,実績!$AJ$6:$AJ$505,"&gt;"&amp;$A198,実績!$AL$6:$AL$505,"○")&gt;0,1,0))</f>
        <v>0</v>
      </c>
      <c r="BF198" s="39" t="n">
        <f aca="false">IF(BF$4=0,0,IF(COUNTIFS(実績!$W$6:$W$505,BF$3,実績!$AI$6:$AI$505,"&lt;="&amp;$A198,実績!$AJ$6:$AJ$505,"&gt;"&amp;$A198,実績!$AL$6:$AL$505,"○")&gt;0,1,0))</f>
        <v>0</v>
      </c>
      <c r="BG198" s="39" t="n">
        <f aca="false">IF(BG$4=0,0,IF(COUNTIFS(実績!$W$6:$W$505,BG$3,実績!$AI$6:$AI$505,"&lt;="&amp;$A198,実績!$AJ$6:$AJ$505,"&gt;"&amp;$A198,実績!$AL$6:$AL$505,"○")&gt;0,1,0))</f>
        <v>0</v>
      </c>
      <c r="BH198" s="39" t="n">
        <f aca="false">IF(BH$4=0,0,IF(COUNTIFS(実績!$W$6:$W$505,BH$3,実績!$AI$6:$AI$505,"&lt;="&amp;$A198,実績!$AJ$6:$AJ$505,"&gt;"&amp;$A198,実績!$AL$6:$AL$505,"○")&gt;0,1,0))</f>
        <v>0</v>
      </c>
      <c r="BI198" s="39" t="n">
        <f aca="false">IF(BI$4=0,0,IF(COUNTIFS(実績!$W$6:$W$505,BI$3,実績!$AI$6:$AI$505,"&lt;="&amp;$A198,実績!$AJ$6:$AJ$505,"&gt;"&amp;$A198,実績!$AL$6:$AL$505,"○")&gt;0,1,0))</f>
        <v>0</v>
      </c>
      <c r="BJ198" s="39" t="n">
        <f aca="false">IF(BJ$4=0,0,IF(COUNTIFS(実績!$W$6:$W$505,BJ$3,実績!$AI$6:$AI$505,"&lt;="&amp;$A198,実績!$AJ$6:$AJ$505,"&gt;"&amp;$A198,実績!$AL$6:$AL$505,"○")&gt;0,1,0))</f>
        <v>0</v>
      </c>
      <c r="BK198" s="39" t="n">
        <f aca="false">IF(BK$4=0,0,IF(COUNTIFS(実績!$W$6:$W$505,BK$3,実績!$AI$6:$AI$505,"&lt;="&amp;$A198,実績!$AJ$6:$AJ$505,"&gt;"&amp;$A198,実績!$AL$6:$AL$505,"○")&gt;0,1,0))</f>
        <v>0</v>
      </c>
      <c r="BL198" s="39" t="n">
        <f aca="false">IF(BL$4=0,0,IF(COUNTIFS(実績!$W$6:$W$505,BL$3,実績!$AI$6:$AI$505,"&lt;="&amp;$A198,実績!$AJ$6:$AJ$505,"&gt;"&amp;$A198,実績!$AL$6:$AL$505,"○")&gt;0,1,0))</f>
        <v>0</v>
      </c>
      <c r="BM198" s="39" t="n">
        <f aca="false">IF(BM$4=0,0,IF(COUNTIFS(実績!$W$6:$W$505,BM$3,実績!$AI$6:$AI$505,"&lt;="&amp;$A198,実績!$AJ$6:$AJ$505,"&gt;"&amp;$A198,実績!$AL$6:$AL$505,"○")&gt;0,1,0))</f>
        <v>0</v>
      </c>
      <c r="BN198" s="39" t="n">
        <f aca="false">IF(BN$4=0,0,IF(COUNTIFS(実績!$W$6:$W$505,BN$3,実績!$AI$6:$AI$505,"&lt;="&amp;$A198,実績!$AJ$6:$AJ$505,"&gt;"&amp;$A198,実績!$AL$6:$AL$505,"○")&gt;0,1,0))</f>
        <v>0</v>
      </c>
      <c r="BO198" s="39" t="n">
        <f aca="false">IF(BO$4=0,0,IF(COUNTIFS(実績!$W$6:$W$505,BO$3,実績!$AI$6:$AI$505,"&lt;="&amp;$A198,実績!$AJ$6:$AJ$505,"&gt;"&amp;$A198,実績!$AL$6:$AL$505,"○")&gt;0,1,0))</f>
        <v>0</v>
      </c>
      <c r="BP198" s="39" t="n">
        <f aca="false">IF(BP$4=0,0,IF(COUNTIFS(実績!$W$6:$W$505,BP$3,実績!$AI$6:$AI$505,"&lt;="&amp;$A198,実績!$AJ$6:$AJ$505,"&gt;"&amp;$A198,実績!$AL$6:$AL$505,"○")&gt;0,1,0))</f>
        <v>0</v>
      </c>
      <c r="BQ198" s="39" t="n">
        <f aca="false">IF(BQ$4=0,0,IF(COUNTIFS(実績!$W$6:$W$505,BQ$3,実績!$AI$6:$AI$505,"&lt;="&amp;$A198,実績!$AJ$6:$AJ$505,"&gt;"&amp;$A198,実績!$AL$6:$AL$505,"○")&gt;0,1,0))</f>
        <v>0</v>
      </c>
      <c r="BR198" s="39" t="n">
        <f aca="false">IF(BR$4=0,0,IF(COUNTIFS(実績!$W$6:$W$505,BR$3,実績!$AI$6:$AI$505,"&lt;="&amp;$A198,実績!$AJ$6:$AJ$505,"&gt;"&amp;$A198,実績!$AL$6:$AL$505,"○")&gt;0,1,0))</f>
        <v>0</v>
      </c>
      <c r="BS198" s="39" t="n">
        <f aca="false">IF(BS$4=0,0,IF(COUNTIFS(実績!$W$6:$W$505,BS$3,実績!$AI$6:$AI$505,"&lt;="&amp;$A198,実績!$AJ$6:$AJ$505,"&gt;"&amp;$A198,実績!$AL$6:$AL$505,"○")&gt;0,1,0))</f>
        <v>0</v>
      </c>
      <c r="BT198" s="39" t="n">
        <f aca="false">IF(BT$4=0,0,IF(COUNTIFS(実績!$W$6:$W$505,BT$3,実績!$AI$6:$AI$505,"&lt;="&amp;$A198,実績!$AJ$6:$AJ$505,"&gt;"&amp;$A198,実績!$AL$6:$AL$505,"○")&gt;0,1,0))</f>
        <v>0</v>
      </c>
      <c r="BU198" s="39" t="n">
        <f aca="false">IF(BU$4=0,0,IF(COUNTIFS(実績!$W$6:$W$505,BU$3,実績!$AI$6:$AI$505,"&lt;="&amp;$A198,実績!$AJ$6:$AJ$505,"&gt;"&amp;$A198,実績!$AL$6:$AL$505,"○")&gt;0,1,0))</f>
        <v>0</v>
      </c>
      <c r="BV198" s="39" t="n">
        <f aca="false">IF(BV$4=0,0,IF(COUNTIFS(実績!$W$6:$W$505,BV$3,実績!$AI$6:$AI$505,"&lt;="&amp;$A198,実績!$AJ$6:$AJ$505,"&gt;"&amp;$A198,実績!$AL$6:$AL$505,"○")&gt;0,1,0))</f>
        <v>0</v>
      </c>
      <c r="BW198" s="39" t="n">
        <f aca="false">IF(BW$4=0,0,IF(COUNTIFS(実績!$W$6:$W$505,BW$3,実績!$AI$6:$AI$505,"&lt;="&amp;$A198,実績!$AJ$6:$AJ$505,"&gt;"&amp;$A198,実績!$AL$6:$AL$505,"○")&gt;0,1,0))</f>
        <v>0</v>
      </c>
      <c r="BX198" s="39" t="n">
        <f aca="false">IF(BX$4=0,0,IF(COUNTIFS(実績!$W$6:$W$505,BX$3,実績!$AI$6:$AI$505,"&lt;="&amp;$A198,実績!$AJ$6:$AJ$505,"&gt;"&amp;$A198,実績!$AL$6:$AL$505,"○")&gt;0,1,0))</f>
        <v>0</v>
      </c>
      <c r="BY198" s="39" t="n">
        <f aca="false">IF(BY$4=0,0,IF(COUNTIFS(実績!$W$6:$W$505,BY$3,実績!$AI$6:$AI$505,"&lt;="&amp;$A198,実績!$AJ$6:$AJ$505,"&gt;"&amp;$A198,実績!$AL$6:$AL$505,"○")&gt;0,1,0))</f>
        <v>0</v>
      </c>
      <c r="BZ198" s="39" t="n">
        <f aca="false">IF(BZ$4=0,0,IF(COUNTIFS(実績!$W$6:$W$505,BZ$3,実績!$AI$6:$AI$505,"&lt;="&amp;$A198,実績!$AJ$6:$AJ$505,"&gt;"&amp;$A198,実績!$AL$6:$AL$505,"○")&gt;0,1,0))</f>
        <v>0</v>
      </c>
      <c r="CA198" s="39" t="n">
        <f aca="false">IF(CA$4=0,0,IF(COUNTIFS(実績!$W$6:$W$505,CA$3,実績!$AI$6:$AI$505,"&lt;="&amp;$A198,実績!$AJ$6:$AJ$505,"&gt;"&amp;$A198,実績!$AL$6:$AL$505,"○")&gt;0,1,0))</f>
        <v>0</v>
      </c>
      <c r="CB198" s="39" t="n">
        <f aca="false">IF(CB$4=0,0,IF(COUNTIFS(実績!$W$6:$W$505,CB$3,実績!$AI$6:$AI$505,"&lt;="&amp;$A198,実績!$AJ$6:$AJ$505,"&gt;"&amp;$A198,実績!$AL$6:$AL$505,"○")&gt;0,1,0))</f>
        <v>0</v>
      </c>
      <c r="CC198" s="39" t="n">
        <f aca="false">IF(CC$4=0,0,IF(COUNTIFS(実績!$W$6:$W$505,CC$3,実績!$AI$6:$AI$505,"&lt;="&amp;$A198,実績!$AJ$6:$AJ$505,"&gt;"&amp;$A198,実績!$AL$6:$AL$505,"○")&gt;0,1,0))</f>
        <v>0</v>
      </c>
      <c r="CD198" s="39" t="n">
        <f aca="false">IF(CD$4=0,0,IF(COUNTIFS(実績!$W$6:$W$505,CD$3,実績!$AI$6:$AI$505,"&lt;="&amp;$A198,実績!$AJ$6:$AJ$505,"&gt;"&amp;$A198,実績!$AL$6:$AL$505,"○")&gt;0,1,0))</f>
        <v>0</v>
      </c>
      <c r="CE198" s="39" t="n">
        <f aca="false">IF(CE$4=0,0,IF(COUNTIFS(実績!$W$6:$W$505,CE$3,実績!$AI$6:$AI$505,"&lt;="&amp;$A198,実績!$AJ$6:$AJ$505,"&gt;"&amp;$A198,実績!$AL$6:$AL$505,"○")&gt;0,1,0))</f>
        <v>0</v>
      </c>
      <c r="CF198" s="39" t="n">
        <f aca="false">IF(CF$4=0,0,IF(COUNTIFS(実績!$W$6:$W$505,CF$3,実績!$AI$6:$AI$505,"&lt;="&amp;$A198,実績!$AJ$6:$AJ$505,"&gt;"&amp;$A198,実績!$AL$6:$AL$505,"○")&gt;0,1,0))</f>
        <v>0</v>
      </c>
      <c r="CG198" s="39" t="n">
        <f aca="false">IF(CG$4=0,0,IF(COUNTIFS(実績!$W$6:$W$505,CG$3,実績!$AI$6:$AI$505,"&lt;="&amp;$A198,実績!$AJ$6:$AJ$505,"&gt;"&amp;$A198,実績!$AL$6:$AL$505,"○")&gt;0,1,0))</f>
        <v>0</v>
      </c>
      <c r="CH198" s="39" t="n">
        <f aca="false">IF(CH$4=0,0,IF(COUNTIFS(実績!$W$6:$W$505,CH$3,実績!$AI$6:$AI$505,"&lt;="&amp;$A198,実績!$AJ$6:$AJ$505,"&gt;"&amp;$A198,実績!$AL$6:$AL$505,"○")&gt;0,1,0))</f>
        <v>0</v>
      </c>
      <c r="CI198" s="39" t="n">
        <f aca="false">IF(CI$4=0,0,IF(COUNTIFS(実績!$W$6:$W$505,CI$3,実績!$AI$6:$AI$505,"&lt;="&amp;$A198,実績!$AJ$6:$AJ$505,"&gt;"&amp;$A198,実績!$AL$6:$AL$505,"○")&gt;0,1,0))</f>
        <v>0</v>
      </c>
      <c r="CJ198" s="39" t="n">
        <f aca="false">IF(CJ$4=0,0,IF(COUNTIFS(実績!$W$6:$W$505,CJ$3,実績!$AI$6:$AI$505,"&lt;="&amp;$A198,実績!$AJ$6:$AJ$505,"&gt;"&amp;$A198,実績!$AL$6:$AL$505,"○")&gt;0,1,0))</f>
        <v>0</v>
      </c>
      <c r="CK198" s="39" t="n">
        <f aca="false">IF(CK$4=0,0,IF(COUNTIFS(実績!$W$6:$W$505,CK$3,実績!$AI$6:$AI$505,"&lt;="&amp;$A198,実績!$AJ$6:$AJ$505,"&gt;"&amp;$A198,実績!$AL$6:$AL$505,"○")&gt;0,1,0))</f>
        <v>0</v>
      </c>
      <c r="CL198" s="39" t="n">
        <f aca="false">IF(CL$4=0,0,IF(COUNTIFS(実績!$W$6:$W$505,CL$3,実績!$AI$6:$AI$505,"&lt;="&amp;$A198,実績!$AJ$6:$AJ$505,"&gt;"&amp;$A198,実績!$AL$6:$AL$505,"○")&gt;0,1,0))</f>
        <v>0</v>
      </c>
      <c r="CM198" s="39" t="n">
        <f aca="false">IF(CM$4=0,0,IF(COUNTIFS(実績!$W$6:$W$505,CM$3,実績!$AI$6:$AI$505,"&lt;="&amp;$A198,実績!$AJ$6:$AJ$505,"&gt;"&amp;$A198,実績!$AL$6:$AL$505,"○")&gt;0,1,0))</f>
        <v>0</v>
      </c>
      <c r="CN198" s="39" t="n">
        <f aca="false">IF(CN$4=0,0,IF(COUNTIFS(実績!$W$6:$W$505,CN$3,実績!$AI$6:$AI$505,"&lt;="&amp;$A198,実績!$AJ$6:$AJ$505,"&gt;"&amp;$A198,実績!$AL$6:$AL$505,"○")&gt;0,1,0))</f>
        <v>0</v>
      </c>
      <c r="CO198" s="39" t="n">
        <f aca="false">IF(CO$4=0,0,IF(COUNTIFS(実績!$W$6:$W$505,CO$3,実績!$AI$6:$AI$505,"&lt;="&amp;$A198,実績!$AJ$6:$AJ$505,"&gt;"&amp;$A198,実績!$AL$6:$AL$505,"○")&gt;0,1,0))</f>
        <v>0</v>
      </c>
      <c r="CP198" s="39" t="n">
        <f aca="false">IF(CP$4=0,0,IF(COUNTIFS(実績!$W$6:$W$505,CP$3,実績!$AI$6:$AI$505,"&lt;="&amp;$A198,実績!$AJ$6:$AJ$505,"&gt;"&amp;$A198,実績!$AL$6:$AL$505,"○")&gt;0,1,0))</f>
        <v>0</v>
      </c>
      <c r="CQ198" s="39" t="n">
        <f aca="false">IF(CQ$4=0,0,IF(COUNTIFS(実績!$W$6:$W$505,CQ$3,実績!$AI$6:$AI$505,"&lt;="&amp;$A198,実績!$AJ$6:$AJ$505,"&gt;"&amp;$A198,実績!$AL$6:$AL$505,"○")&gt;0,1,0))</f>
        <v>0</v>
      </c>
      <c r="CR198" s="39" t="n">
        <f aca="false">IF(CR$4=0,0,IF(COUNTIFS(実績!$W$6:$W$505,CR$3,実績!$AI$6:$AI$505,"&lt;="&amp;$A198,実績!$AJ$6:$AJ$505,"&gt;"&amp;$A198,実績!$AL$6:$AL$505,"○")&gt;0,1,0))</f>
        <v>0</v>
      </c>
      <c r="CS198" s="39" t="n">
        <f aca="false">IF(CS$4=0,0,IF(COUNTIFS(実績!$W$6:$W$505,CS$3,実績!$AI$6:$AI$505,"&lt;="&amp;$A198,実績!$AJ$6:$AJ$505,"&gt;"&amp;$A198,実績!$AL$6:$AL$505,"○")&gt;0,1,0))</f>
        <v>0</v>
      </c>
      <c r="CT198" s="39" t="n">
        <f aca="false">IF(CT$4=0,0,IF(COUNTIFS(実績!$W$6:$W$505,CT$3,実績!$AI$6:$AI$505,"&lt;="&amp;$A198,実績!$AJ$6:$AJ$505,"&gt;"&amp;$A198,実績!$AL$6:$AL$505,"○")&gt;0,1,0))</f>
        <v>0</v>
      </c>
      <c r="CU198" s="39" t="n">
        <f aca="false">IF(CU$4=0,0,IF(COUNTIFS(実績!$W$6:$W$505,CU$3,実績!$AI$6:$AI$505,"&lt;="&amp;$A198,実績!$AJ$6:$AJ$505,"&gt;"&amp;$A198,実績!$AL$6:$AL$505,"○")&gt;0,1,0))</f>
        <v>0</v>
      </c>
      <c r="CV198" s="39" t="n">
        <f aca="false">IF(CV$4=0,0,IF(COUNTIFS(実績!$W$6:$W$505,CV$3,実績!$AI$6:$AI$505,"&lt;="&amp;$A198,実績!$AJ$6:$AJ$505,"&gt;"&amp;$A198,実績!$AL$6:$AL$505,"○")&gt;0,1,0))</f>
        <v>0</v>
      </c>
      <c r="CW198" s="39" t="n">
        <f aca="false">IF(CW$4=0,0,IF(COUNTIFS(実績!$W$6:$W$505,CW$3,実績!$AI$6:$AI$505,"&lt;="&amp;$A198,実績!$AJ$6:$AJ$505,"&gt;"&amp;$A198,実績!$AL$6:$AL$505,"○")&gt;0,1,0))</f>
        <v>0</v>
      </c>
      <c r="CX198" s="39" t="n">
        <f aca="false">IF(CX$4=0,0,IF(COUNTIFS(実績!$W$6:$W$505,CX$3,実績!$AI$6:$AI$505,"&lt;="&amp;$A198,実績!$AJ$6:$AJ$505,"&gt;"&amp;$A198,実績!$AL$6:$AL$505,"○")&gt;0,1,0))</f>
        <v>0</v>
      </c>
      <c r="CY198" s="39" t="n">
        <f aca="false">IF(CY$4=0,0,IF(COUNTIFS(実績!$W$6:$W$505,CY$3,実績!$AI$6:$AI$505,"&lt;="&amp;$A198,実績!$AJ$6:$AJ$505,"&gt;"&amp;$A198,実績!$AL$6:$AL$505,"○")&gt;0,1,0))</f>
        <v>0</v>
      </c>
      <c r="CZ198" s="39" t="n">
        <f aca="false">IF(CZ$4=0,0,IF(COUNTIFS(実績!$W$6:$W$505,CZ$3,実績!$AI$6:$AI$505,"&lt;="&amp;$A198,実績!$AJ$6:$AJ$505,"&gt;"&amp;$A198,実績!$AL$6:$AL$505,"○")&gt;0,1,0))</f>
        <v>0</v>
      </c>
      <c r="DA198" s="39" t="n">
        <f aca="false">IF(DA$4=0,0,IF(COUNTIFS(実績!$W$6:$W$505,DA$3,実績!$AI$6:$AI$505,"&lt;="&amp;$A198,実績!$AJ$6:$AJ$505,"&gt;"&amp;$A198,実績!$AL$6:$AL$505,"○")&gt;0,1,0))</f>
        <v>0</v>
      </c>
      <c r="DB198" s="39" t="n">
        <f aca="false">IF(DB$4=0,0,IF(COUNTIFS(実績!$W$6:$W$505,DB$3,実績!$AI$6:$AI$505,"&lt;="&amp;$A198,実績!$AJ$6:$AJ$505,"&gt;"&amp;$A198,実績!$AL$6:$AL$505,"○")&gt;0,1,0))</f>
        <v>0</v>
      </c>
      <c r="DC198" s="39" t="n">
        <f aca="false">IF(DC$4=0,0,IF(COUNTIFS(実績!$W$6:$W$505,DC$3,実績!$AI$6:$AI$505,"&lt;="&amp;$A198,実績!$AJ$6:$AJ$505,"&gt;"&amp;$A198,実績!$AL$6:$AL$505,"○")&gt;0,1,0))</f>
        <v>0</v>
      </c>
      <c r="DD198" s="39" t="n">
        <f aca="false">IF(DD$4=0,0,IF(COUNTIFS(実績!$W$6:$W$505,DD$3,実績!$AI$6:$AI$505,"&lt;="&amp;$A198,実績!$AJ$6:$AJ$505,"&gt;"&amp;$A198,実績!$AL$6:$AL$505,"○")&gt;0,1,0))</f>
        <v>0</v>
      </c>
      <c r="DE198" s="39" t="n">
        <f aca="false">IF(DE$4=0,0,IF(COUNTIFS(実績!$W$6:$W$505,DE$3,実績!$AI$6:$AI$505,"&lt;="&amp;$A198,実績!$AJ$6:$AJ$505,"&gt;"&amp;$A198,実績!$AL$6:$AL$505,"○")&gt;0,1,0))</f>
        <v>0</v>
      </c>
      <c r="DF198" s="39" t="n">
        <f aca="false">IF(DF$4=0,0,IF(COUNTIFS(実績!$W$6:$W$505,DF$3,実績!$AI$6:$AI$505,"&lt;="&amp;$A198,実績!$AJ$6:$AJ$505,"&gt;"&amp;$A198,実績!$AL$6:$AL$505,"○")&gt;0,1,0))</f>
        <v>0</v>
      </c>
      <c r="DG198" s="39" t="n">
        <f aca="false">IF(DG$4=0,0,IF(COUNTIFS(実績!$W$6:$W$505,DG$3,実績!$AI$6:$AI$505,"&lt;="&amp;$A198,実績!$AJ$6:$AJ$505,"&gt;"&amp;$A198,実績!$AL$6:$AL$505,"○")&gt;0,1,0))</f>
        <v>0</v>
      </c>
      <c r="DH198" s="39" t="n">
        <f aca="false">IF(DH$4=0,0,IF(COUNTIFS(実績!$W$6:$W$505,DH$3,実績!$AI$6:$AI$505,"&lt;="&amp;$A198,実績!$AJ$6:$AJ$505,"&gt;"&amp;$A198,実績!$AL$6:$AL$505,"○")&gt;0,1,0))</f>
        <v>0</v>
      </c>
      <c r="DI198" s="39" t="n">
        <f aca="false">IF(DI$4=0,0,IF(COUNTIFS(実績!$W$6:$W$505,DI$3,実績!$AI$6:$AI$505,"&lt;="&amp;$A198,実績!$AJ$6:$AJ$505,"&gt;"&amp;$A198,実績!$AL$6:$AL$505,"○")&gt;0,1,0))</f>
        <v>0</v>
      </c>
      <c r="DJ198" s="39" t="n">
        <f aca="false">IF(DJ$4=0,0,IF(COUNTIFS(実績!$W$6:$W$505,DJ$3,実績!$AI$6:$AI$505,"&lt;="&amp;$A198,実績!$AJ$6:$AJ$505,"&gt;"&amp;$A198,実績!$AL$6:$AL$505,"○")&gt;0,1,0))</f>
        <v>0</v>
      </c>
      <c r="DK198" s="39" t="n">
        <f aca="false">IF(DK$4=0,0,IF(COUNTIFS(実績!$W$6:$W$505,DK$3,実績!$AI$6:$AI$505,"&lt;="&amp;$A198,実績!$AJ$6:$AJ$505,"&gt;"&amp;$A198,実績!$AL$6:$AL$505,"○")&gt;0,1,0))</f>
        <v>0</v>
      </c>
      <c r="DL198" s="39" t="n">
        <f aca="false">IF(DL$4=0,0,IF(COUNTIFS(実績!$W$6:$W$505,DL$3,実績!$AI$6:$AI$505,"&lt;="&amp;$A198,実績!$AJ$6:$AJ$505,"&gt;"&amp;$A198,実績!$AL$6:$AL$505,"○")&gt;0,1,0))</f>
        <v>0</v>
      </c>
      <c r="DM198" s="39" t="n">
        <f aca="false">IF(DM$4=0,0,IF(COUNTIFS(実績!$W$6:$W$505,DM$3,実績!$AI$6:$AI$505,"&lt;="&amp;$A198,実績!$AJ$6:$AJ$505,"&gt;"&amp;$A198,実績!$AL$6:$AL$505,"○")&gt;0,1,0))</f>
        <v>0</v>
      </c>
      <c r="DN198" s="39" t="n">
        <f aca="false">IF(DN$4=0,0,IF(COUNTIFS(実績!$W$6:$W$505,DN$3,実績!$AI$6:$AI$505,"&lt;="&amp;$A198,実績!$AJ$6:$AJ$505,"&gt;"&amp;$A198,実績!$AL$6:$AL$505,"○")&gt;0,1,0))</f>
        <v>0</v>
      </c>
      <c r="DO198" s="39" t="n">
        <f aca="false">IF(DO$4=0,0,IF(COUNTIFS(実績!$W$6:$W$505,DO$3,実績!$AI$6:$AI$505,"&lt;="&amp;$A198,実績!$AJ$6:$AJ$505,"&gt;"&amp;$A198,実績!$AL$6:$AL$505,"○")&gt;0,1,0))</f>
        <v>0</v>
      </c>
      <c r="DP198" s="39" t="n">
        <f aca="false">IF(DP$4=0,0,IF(COUNTIFS(実績!$W$6:$W$505,DP$3,実績!$AI$6:$AI$505,"&lt;="&amp;$A198,実績!$AJ$6:$AJ$505,"&gt;"&amp;$A198,実績!$AL$6:$AL$505,"○")&gt;0,1,0))</f>
        <v>0</v>
      </c>
      <c r="DQ198" s="39" t="n">
        <f aca="false">IF(DQ$4=0,0,IF(COUNTIFS(実績!$W$6:$W$505,DQ$3,実績!$AI$6:$AI$505,"&lt;="&amp;$A198,実績!$AJ$6:$AJ$505,"&gt;"&amp;$A198,実績!$AL$6:$AL$505,"○")&gt;0,1,0))</f>
        <v>0</v>
      </c>
      <c r="DR198" s="39" t="n">
        <f aca="false">IF(DR$4=0,0,IF(COUNTIFS(実績!$W$6:$W$505,DR$3,実績!$AI$6:$AI$505,"&lt;="&amp;$A198,実績!$AJ$6:$AJ$505,"&gt;"&amp;$A198,実績!$AL$6:$AL$505,"○")&gt;0,1,0))</f>
        <v>0</v>
      </c>
      <c r="DS198" s="39" t="n">
        <f aca="false">SUM(C198:DR198)</f>
        <v>0</v>
      </c>
    </row>
    <row r="199" customFormat="false" ht="15" hidden="false" customHeight="false" outlineLevel="0" collapsed="false">
      <c r="A199" s="0" t="n">
        <v>965</v>
      </c>
      <c r="B199" s="38" t="n">
        <f aca="false">A199/1440</f>
        <v>0.670138888888889</v>
      </c>
      <c r="C199" s="39" t="n">
        <f aca="false">IF(C$4=0,0,IF(COUNTIFS(実績!$W$6:$W$505,C$3,実績!$AI$6:$AI$505,"&lt;="&amp;$A199,実績!$AJ$6:$AJ$505,"&gt;"&amp;$A199,実績!$AL$6:$AL$505,"○")&gt;0,1,0))</f>
        <v>0</v>
      </c>
      <c r="D199" s="39" t="n">
        <f aca="false">IF(D$4=0,0,IF(COUNTIFS(実績!$W$6:$W$505,D$3,実績!$AI$6:$AI$505,"&lt;="&amp;$A199,実績!$AJ$6:$AJ$505,"&gt;"&amp;$A199,実績!$AL$6:$AL$505,"○")&gt;0,1,0))</f>
        <v>0</v>
      </c>
      <c r="E199" s="39" t="n">
        <f aca="false">IF(E$4=0,0,IF(COUNTIFS(実績!$W$6:$W$505,E$3,実績!$AI$6:$AI$505,"&lt;="&amp;$A199,実績!$AJ$6:$AJ$505,"&gt;"&amp;$A199,実績!$AL$6:$AL$505,"○")&gt;0,1,0))</f>
        <v>0</v>
      </c>
      <c r="F199" s="39" t="n">
        <f aca="false">IF(F$4=0,0,IF(COUNTIFS(実績!$W$6:$W$505,F$3,実績!$AI$6:$AI$505,"&lt;="&amp;$A199,実績!$AJ$6:$AJ$505,"&gt;"&amp;$A199,実績!$AL$6:$AL$505,"○")&gt;0,1,0))</f>
        <v>0</v>
      </c>
      <c r="G199" s="39" t="n">
        <f aca="false">IF(G$4=0,0,IF(COUNTIFS(実績!$W$6:$W$505,G$3,実績!$AI$6:$AI$505,"&lt;="&amp;$A199,実績!$AJ$6:$AJ$505,"&gt;"&amp;$A199,実績!$AL$6:$AL$505,"○")&gt;0,1,0))</f>
        <v>0</v>
      </c>
      <c r="H199" s="39" t="n">
        <f aca="false">IF(H$4=0,0,IF(COUNTIFS(実績!$W$6:$W$505,H$3,実績!$AI$6:$AI$505,"&lt;="&amp;$A199,実績!$AJ$6:$AJ$505,"&gt;"&amp;$A199,実績!$AL$6:$AL$505,"○")&gt;0,1,0))</f>
        <v>0</v>
      </c>
      <c r="I199" s="39" t="n">
        <f aca="false">IF(I$4=0,0,IF(COUNTIFS(実績!$W$6:$W$505,I$3,実績!$AI$6:$AI$505,"&lt;="&amp;$A199,実績!$AJ$6:$AJ$505,"&gt;"&amp;$A199,実績!$AL$6:$AL$505,"○")&gt;0,1,0))</f>
        <v>0</v>
      </c>
      <c r="J199" s="39" t="n">
        <f aca="false">IF(J$4=0,0,IF(COUNTIFS(実績!$W$6:$W$505,J$3,実績!$AI$6:$AI$505,"&lt;="&amp;$A199,実績!$AJ$6:$AJ$505,"&gt;"&amp;$A199,実績!$AL$6:$AL$505,"○")&gt;0,1,0))</f>
        <v>0</v>
      </c>
      <c r="K199" s="39" t="n">
        <f aca="false">IF(K$4=0,0,IF(COUNTIFS(実績!$W$6:$W$505,K$3,実績!$AI$6:$AI$505,"&lt;="&amp;$A199,実績!$AJ$6:$AJ$505,"&gt;"&amp;$A199,実績!$AL$6:$AL$505,"○")&gt;0,1,0))</f>
        <v>0</v>
      </c>
      <c r="L199" s="39" t="n">
        <f aca="false">IF(L$4=0,0,IF(COUNTIFS(実績!$W$6:$W$505,L$3,実績!$AI$6:$AI$505,"&lt;="&amp;$A199,実績!$AJ$6:$AJ$505,"&gt;"&amp;$A199,実績!$AL$6:$AL$505,"○")&gt;0,1,0))</f>
        <v>0</v>
      </c>
      <c r="M199" s="39" t="n">
        <f aca="false">IF(M$4=0,0,IF(COUNTIFS(実績!$W$6:$W$505,M$3,実績!$AI$6:$AI$505,"&lt;="&amp;$A199,実績!$AJ$6:$AJ$505,"&gt;"&amp;$A199,実績!$AL$6:$AL$505,"○")&gt;0,1,0))</f>
        <v>0</v>
      </c>
      <c r="N199" s="39" t="n">
        <f aca="false">IF(N$4=0,0,IF(COUNTIFS(実績!$W$6:$W$505,N$3,実績!$AI$6:$AI$505,"&lt;="&amp;$A199,実績!$AJ$6:$AJ$505,"&gt;"&amp;$A199,実績!$AL$6:$AL$505,"○")&gt;0,1,0))</f>
        <v>0</v>
      </c>
      <c r="O199" s="39" t="n">
        <f aca="false">IF(O$4=0,0,IF(COUNTIFS(実績!$W$6:$W$505,O$3,実績!$AI$6:$AI$505,"&lt;="&amp;$A199,実績!$AJ$6:$AJ$505,"&gt;"&amp;$A199,実績!$AL$6:$AL$505,"○")&gt;0,1,0))</f>
        <v>0</v>
      </c>
      <c r="P199" s="39" t="n">
        <f aca="false">IF(P$4=0,0,IF(COUNTIFS(実績!$W$6:$W$505,P$3,実績!$AI$6:$AI$505,"&lt;="&amp;$A199,実績!$AJ$6:$AJ$505,"&gt;"&amp;$A199,実績!$AL$6:$AL$505,"○")&gt;0,1,0))</f>
        <v>0</v>
      </c>
      <c r="Q199" s="39" t="n">
        <f aca="false">IF(Q$4=0,0,IF(COUNTIFS(実績!$W$6:$W$505,Q$3,実績!$AI$6:$AI$505,"&lt;="&amp;$A199,実績!$AJ$6:$AJ$505,"&gt;"&amp;$A199,実績!$AL$6:$AL$505,"○")&gt;0,1,0))</f>
        <v>0</v>
      </c>
      <c r="R199" s="39" t="n">
        <f aca="false">IF(R$4=0,0,IF(COUNTIFS(実績!$W$6:$W$505,R$3,実績!$AI$6:$AI$505,"&lt;="&amp;$A199,実績!$AJ$6:$AJ$505,"&gt;"&amp;$A199,実績!$AL$6:$AL$505,"○")&gt;0,1,0))</f>
        <v>0</v>
      </c>
      <c r="S199" s="39" t="n">
        <f aca="false">IF(S$4=0,0,IF(COUNTIFS(実績!$W$6:$W$505,S$3,実績!$AI$6:$AI$505,"&lt;="&amp;$A199,実績!$AJ$6:$AJ$505,"&gt;"&amp;$A199,実績!$AL$6:$AL$505,"○")&gt;0,1,0))</f>
        <v>0</v>
      </c>
      <c r="T199" s="39" t="n">
        <f aca="false">IF(T$4=0,0,IF(COUNTIFS(実績!$W$6:$W$505,T$3,実績!$AI$6:$AI$505,"&lt;="&amp;$A199,実績!$AJ$6:$AJ$505,"&gt;"&amp;$A199,実績!$AL$6:$AL$505,"○")&gt;0,1,0))</f>
        <v>0</v>
      </c>
      <c r="U199" s="39" t="n">
        <f aca="false">IF(U$4=0,0,IF(COUNTIFS(実績!$W$6:$W$505,U$3,実績!$AI$6:$AI$505,"&lt;="&amp;$A199,実績!$AJ$6:$AJ$505,"&gt;"&amp;$A199,実績!$AL$6:$AL$505,"○")&gt;0,1,0))</f>
        <v>0</v>
      </c>
      <c r="V199" s="39" t="n">
        <f aca="false">IF(V$4=0,0,IF(COUNTIFS(実績!$W$6:$W$505,V$3,実績!$AI$6:$AI$505,"&lt;="&amp;$A199,実績!$AJ$6:$AJ$505,"&gt;"&amp;$A199,実績!$AL$6:$AL$505,"○")&gt;0,1,0))</f>
        <v>0</v>
      </c>
      <c r="W199" s="39" t="n">
        <f aca="false">IF(W$4=0,0,IF(COUNTIFS(実績!$W$6:$W$505,W$3,実績!$AI$6:$AI$505,"&lt;="&amp;$A199,実績!$AJ$6:$AJ$505,"&gt;"&amp;$A199,実績!$AL$6:$AL$505,"○")&gt;0,1,0))</f>
        <v>0</v>
      </c>
      <c r="X199" s="39" t="n">
        <f aca="false">IF(X$4=0,0,IF(COUNTIFS(実績!$W$6:$W$505,X$3,実績!$AI$6:$AI$505,"&lt;="&amp;$A199,実績!$AJ$6:$AJ$505,"&gt;"&amp;$A199,実績!$AL$6:$AL$505,"○")&gt;0,1,0))</f>
        <v>0</v>
      </c>
      <c r="Y199" s="39" t="n">
        <f aca="false">IF(Y$4=0,0,IF(COUNTIFS(実績!$W$6:$W$505,Y$3,実績!$AI$6:$AI$505,"&lt;="&amp;$A199,実績!$AJ$6:$AJ$505,"&gt;"&amp;$A199,実績!$AL$6:$AL$505,"○")&gt;0,1,0))</f>
        <v>0</v>
      </c>
      <c r="Z199" s="39" t="n">
        <f aca="false">IF(Z$4=0,0,IF(COUNTIFS(実績!$W$6:$W$505,Z$3,実績!$AI$6:$AI$505,"&lt;="&amp;$A199,実績!$AJ$6:$AJ$505,"&gt;"&amp;$A199,実績!$AL$6:$AL$505,"○")&gt;0,1,0))</f>
        <v>0</v>
      </c>
      <c r="AA199" s="39" t="n">
        <f aca="false">IF(AA$4=0,0,IF(COUNTIFS(実績!$W$6:$W$505,AA$3,実績!$AI$6:$AI$505,"&lt;="&amp;$A199,実績!$AJ$6:$AJ$505,"&gt;"&amp;$A199,実績!$AL$6:$AL$505,"○")&gt;0,1,0))</f>
        <v>0</v>
      </c>
      <c r="AB199" s="39" t="n">
        <f aca="false">IF(AB$4=0,0,IF(COUNTIFS(実績!$W$6:$W$505,AB$3,実績!$AI$6:$AI$505,"&lt;="&amp;$A199,実績!$AJ$6:$AJ$505,"&gt;"&amp;$A199,実績!$AL$6:$AL$505,"○")&gt;0,1,0))</f>
        <v>0</v>
      </c>
      <c r="AC199" s="39" t="n">
        <f aca="false">IF(AC$4=0,0,IF(COUNTIFS(実績!$W$6:$W$505,AC$3,実績!$AI$6:$AI$505,"&lt;="&amp;$A199,実績!$AJ$6:$AJ$505,"&gt;"&amp;$A199,実績!$AL$6:$AL$505,"○")&gt;0,1,0))</f>
        <v>0</v>
      </c>
      <c r="AD199" s="39" t="n">
        <f aca="false">IF(AD$4=0,0,IF(COUNTIFS(実績!$W$6:$W$505,AD$3,実績!$AI$6:$AI$505,"&lt;="&amp;$A199,実績!$AJ$6:$AJ$505,"&gt;"&amp;$A199,実績!$AL$6:$AL$505,"○")&gt;0,1,0))</f>
        <v>0</v>
      </c>
      <c r="AE199" s="39" t="n">
        <f aca="false">IF(AE$4=0,0,IF(COUNTIFS(実績!$W$6:$W$505,AE$3,実績!$AI$6:$AI$505,"&lt;="&amp;$A199,実績!$AJ$6:$AJ$505,"&gt;"&amp;$A199,実績!$AL$6:$AL$505,"○")&gt;0,1,0))</f>
        <v>0</v>
      </c>
      <c r="AF199" s="39" t="n">
        <f aca="false">IF(AF$4=0,0,IF(COUNTIFS(実績!$W$6:$W$505,AF$3,実績!$AI$6:$AI$505,"&lt;="&amp;$A199,実績!$AJ$6:$AJ$505,"&gt;"&amp;$A199,実績!$AL$6:$AL$505,"○")&gt;0,1,0))</f>
        <v>0</v>
      </c>
      <c r="AG199" s="39" t="n">
        <f aca="false">IF(AG$4=0,0,IF(COUNTIFS(実績!$W$6:$W$505,AG$3,実績!$AI$6:$AI$505,"&lt;="&amp;$A199,実績!$AJ$6:$AJ$505,"&gt;"&amp;$A199,実績!$AL$6:$AL$505,"○")&gt;0,1,0))</f>
        <v>0</v>
      </c>
      <c r="AH199" s="39" t="n">
        <f aca="false">IF(AH$4=0,0,IF(COUNTIFS(実績!$W$6:$W$505,AH$3,実績!$AI$6:$AI$505,"&lt;="&amp;$A199,実績!$AJ$6:$AJ$505,"&gt;"&amp;$A199,実績!$AL$6:$AL$505,"○")&gt;0,1,0))</f>
        <v>0</v>
      </c>
      <c r="AI199" s="39" t="n">
        <f aca="false">IF(AI$4=0,0,IF(COUNTIFS(実績!$W$6:$W$505,AI$3,実績!$AI$6:$AI$505,"&lt;="&amp;$A199,実績!$AJ$6:$AJ$505,"&gt;"&amp;$A199,実績!$AL$6:$AL$505,"○")&gt;0,1,0))</f>
        <v>0</v>
      </c>
      <c r="AJ199" s="39" t="n">
        <f aca="false">IF(AJ$4=0,0,IF(COUNTIFS(実績!$W$6:$W$505,AJ$3,実績!$AI$6:$AI$505,"&lt;="&amp;$A199,実績!$AJ$6:$AJ$505,"&gt;"&amp;$A199,実績!$AL$6:$AL$505,"○")&gt;0,1,0))</f>
        <v>0</v>
      </c>
      <c r="AK199" s="39" t="n">
        <f aca="false">IF(AK$4=0,0,IF(COUNTIFS(実績!$W$6:$W$505,AK$3,実績!$AI$6:$AI$505,"&lt;="&amp;$A199,実績!$AJ$6:$AJ$505,"&gt;"&amp;$A199,実績!$AL$6:$AL$505,"○")&gt;0,1,0))</f>
        <v>0</v>
      </c>
      <c r="AL199" s="39" t="n">
        <f aca="false">IF(AL$4=0,0,IF(COUNTIFS(実績!$W$6:$W$505,AL$3,実績!$AI$6:$AI$505,"&lt;="&amp;$A199,実績!$AJ$6:$AJ$505,"&gt;"&amp;$A199,実績!$AL$6:$AL$505,"○")&gt;0,1,0))</f>
        <v>0</v>
      </c>
      <c r="AM199" s="39" t="n">
        <f aca="false">IF(AM$4=0,0,IF(COUNTIFS(実績!$W$6:$W$505,AM$3,実績!$AI$6:$AI$505,"&lt;="&amp;$A199,実績!$AJ$6:$AJ$505,"&gt;"&amp;$A199,実績!$AL$6:$AL$505,"○")&gt;0,1,0))</f>
        <v>0</v>
      </c>
      <c r="AN199" s="39" t="n">
        <f aca="false">IF(AN$4=0,0,IF(COUNTIFS(実績!$W$6:$W$505,AN$3,実績!$AI$6:$AI$505,"&lt;="&amp;$A199,実績!$AJ$6:$AJ$505,"&gt;"&amp;$A199,実績!$AL$6:$AL$505,"○")&gt;0,1,0))</f>
        <v>0</v>
      </c>
      <c r="AO199" s="39" t="n">
        <f aca="false">IF(AO$4=0,0,IF(COUNTIFS(実績!$W$6:$W$505,AO$3,実績!$AI$6:$AI$505,"&lt;="&amp;$A199,実績!$AJ$6:$AJ$505,"&gt;"&amp;$A199,実績!$AL$6:$AL$505,"○")&gt;0,1,0))</f>
        <v>0</v>
      </c>
      <c r="AP199" s="39" t="n">
        <f aca="false">IF(AP$4=0,0,IF(COUNTIFS(実績!$W$6:$W$505,AP$3,実績!$AI$6:$AI$505,"&lt;="&amp;$A199,実績!$AJ$6:$AJ$505,"&gt;"&amp;$A199,実績!$AL$6:$AL$505,"○")&gt;0,1,0))</f>
        <v>0</v>
      </c>
      <c r="AQ199" s="39" t="n">
        <f aca="false">IF(AQ$4=0,0,IF(COUNTIFS(実績!$W$6:$W$505,AQ$3,実績!$AI$6:$AI$505,"&lt;="&amp;$A199,実績!$AJ$6:$AJ$505,"&gt;"&amp;$A199,実績!$AL$6:$AL$505,"○")&gt;0,1,0))</f>
        <v>0</v>
      </c>
      <c r="AR199" s="39" t="n">
        <f aca="false">IF(AR$4=0,0,IF(COUNTIFS(実績!$W$6:$W$505,AR$3,実績!$AI$6:$AI$505,"&lt;="&amp;$A199,実績!$AJ$6:$AJ$505,"&gt;"&amp;$A199,実績!$AL$6:$AL$505,"○")&gt;0,1,0))</f>
        <v>0</v>
      </c>
      <c r="AS199" s="39" t="n">
        <f aca="false">IF(AS$4=0,0,IF(COUNTIFS(実績!$W$6:$W$505,AS$3,実績!$AI$6:$AI$505,"&lt;="&amp;$A199,実績!$AJ$6:$AJ$505,"&gt;"&amp;$A199,実績!$AL$6:$AL$505,"○")&gt;0,1,0))</f>
        <v>0</v>
      </c>
      <c r="AT199" s="39" t="n">
        <f aca="false">IF(AT$4=0,0,IF(COUNTIFS(実績!$W$6:$W$505,AT$3,実績!$AI$6:$AI$505,"&lt;="&amp;$A199,実績!$AJ$6:$AJ$505,"&gt;"&amp;$A199,実績!$AL$6:$AL$505,"○")&gt;0,1,0))</f>
        <v>0</v>
      </c>
      <c r="AU199" s="39" t="n">
        <f aca="false">IF(AU$4=0,0,IF(COUNTIFS(実績!$W$6:$W$505,AU$3,実績!$AI$6:$AI$505,"&lt;="&amp;$A199,実績!$AJ$6:$AJ$505,"&gt;"&amp;$A199,実績!$AL$6:$AL$505,"○")&gt;0,1,0))</f>
        <v>0</v>
      </c>
      <c r="AV199" s="39" t="n">
        <f aca="false">IF(AV$4=0,0,IF(COUNTIFS(実績!$W$6:$W$505,AV$3,実績!$AI$6:$AI$505,"&lt;="&amp;$A199,実績!$AJ$6:$AJ$505,"&gt;"&amp;$A199,実績!$AL$6:$AL$505,"○")&gt;0,1,0))</f>
        <v>0</v>
      </c>
      <c r="AW199" s="39" t="n">
        <f aca="false">IF(AW$4=0,0,IF(COUNTIFS(実績!$W$6:$W$505,AW$3,実績!$AI$6:$AI$505,"&lt;="&amp;$A199,実績!$AJ$6:$AJ$505,"&gt;"&amp;$A199,実績!$AL$6:$AL$505,"○")&gt;0,1,0))</f>
        <v>0</v>
      </c>
      <c r="AX199" s="39" t="n">
        <f aca="false">IF(AX$4=0,0,IF(COUNTIFS(実績!$W$6:$W$505,AX$3,実績!$AI$6:$AI$505,"&lt;="&amp;$A199,実績!$AJ$6:$AJ$505,"&gt;"&amp;$A199,実績!$AL$6:$AL$505,"○")&gt;0,1,0))</f>
        <v>0</v>
      </c>
      <c r="AY199" s="39" t="n">
        <f aca="false">IF(AY$4=0,0,IF(COUNTIFS(実績!$W$6:$W$505,AY$3,実績!$AI$6:$AI$505,"&lt;="&amp;$A199,実績!$AJ$6:$AJ$505,"&gt;"&amp;$A199,実績!$AL$6:$AL$505,"○")&gt;0,1,0))</f>
        <v>0</v>
      </c>
      <c r="AZ199" s="39" t="n">
        <f aca="false">IF(AZ$4=0,0,IF(COUNTIFS(実績!$W$6:$W$505,AZ$3,実績!$AI$6:$AI$505,"&lt;="&amp;$A199,実績!$AJ$6:$AJ$505,"&gt;"&amp;$A199,実績!$AL$6:$AL$505,"○")&gt;0,1,0))</f>
        <v>0</v>
      </c>
      <c r="BA199" s="39" t="n">
        <f aca="false">IF(BA$4=0,0,IF(COUNTIFS(実績!$W$6:$W$505,BA$3,実績!$AI$6:$AI$505,"&lt;="&amp;$A199,実績!$AJ$6:$AJ$505,"&gt;"&amp;$A199,実績!$AL$6:$AL$505,"○")&gt;0,1,0))</f>
        <v>0</v>
      </c>
      <c r="BB199" s="39" t="n">
        <f aca="false">IF(BB$4=0,0,IF(COUNTIFS(実績!$W$6:$W$505,BB$3,実績!$AI$6:$AI$505,"&lt;="&amp;$A199,実績!$AJ$6:$AJ$505,"&gt;"&amp;$A199,実績!$AL$6:$AL$505,"○")&gt;0,1,0))</f>
        <v>0</v>
      </c>
      <c r="BC199" s="39" t="n">
        <f aca="false">IF(BC$4=0,0,IF(COUNTIFS(実績!$W$6:$W$505,BC$3,実績!$AI$6:$AI$505,"&lt;="&amp;$A199,実績!$AJ$6:$AJ$505,"&gt;"&amp;$A199,実績!$AL$6:$AL$505,"○")&gt;0,1,0))</f>
        <v>0</v>
      </c>
      <c r="BD199" s="39" t="n">
        <f aca="false">IF(BD$4=0,0,IF(COUNTIFS(実績!$W$6:$W$505,BD$3,実績!$AI$6:$AI$505,"&lt;="&amp;$A199,実績!$AJ$6:$AJ$505,"&gt;"&amp;$A199,実績!$AL$6:$AL$505,"○")&gt;0,1,0))</f>
        <v>0</v>
      </c>
      <c r="BE199" s="39" t="n">
        <f aca="false">IF(BE$4=0,0,IF(COUNTIFS(実績!$W$6:$W$505,BE$3,実績!$AI$6:$AI$505,"&lt;="&amp;$A199,実績!$AJ$6:$AJ$505,"&gt;"&amp;$A199,実績!$AL$6:$AL$505,"○")&gt;0,1,0))</f>
        <v>0</v>
      </c>
      <c r="BF199" s="39" t="n">
        <f aca="false">IF(BF$4=0,0,IF(COUNTIFS(実績!$W$6:$W$505,BF$3,実績!$AI$6:$AI$505,"&lt;="&amp;$A199,実績!$AJ$6:$AJ$505,"&gt;"&amp;$A199,実績!$AL$6:$AL$505,"○")&gt;0,1,0))</f>
        <v>0</v>
      </c>
      <c r="BG199" s="39" t="n">
        <f aca="false">IF(BG$4=0,0,IF(COUNTIFS(実績!$W$6:$W$505,BG$3,実績!$AI$6:$AI$505,"&lt;="&amp;$A199,実績!$AJ$6:$AJ$505,"&gt;"&amp;$A199,実績!$AL$6:$AL$505,"○")&gt;0,1,0))</f>
        <v>0</v>
      </c>
      <c r="BH199" s="39" t="n">
        <f aca="false">IF(BH$4=0,0,IF(COUNTIFS(実績!$W$6:$W$505,BH$3,実績!$AI$6:$AI$505,"&lt;="&amp;$A199,実績!$AJ$6:$AJ$505,"&gt;"&amp;$A199,実績!$AL$6:$AL$505,"○")&gt;0,1,0))</f>
        <v>0</v>
      </c>
      <c r="BI199" s="39" t="n">
        <f aca="false">IF(BI$4=0,0,IF(COUNTIFS(実績!$W$6:$W$505,BI$3,実績!$AI$6:$AI$505,"&lt;="&amp;$A199,実績!$AJ$6:$AJ$505,"&gt;"&amp;$A199,実績!$AL$6:$AL$505,"○")&gt;0,1,0))</f>
        <v>0</v>
      </c>
      <c r="BJ199" s="39" t="n">
        <f aca="false">IF(BJ$4=0,0,IF(COUNTIFS(実績!$W$6:$W$505,BJ$3,実績!$AI$6:$AI$505,"&lt;="&amp;$A199,実績!$AJ$6:$AJ$505,"&gt;"&amp;$A199,実績!$AL$6:$AL$505,"○")&gt;0,1,0))</f>
        <v>0</v>
      </c>
      <c r="BK199" s="39" t="n">
        <f aca="false">IF(BK$4=0,0,IF(COUNTIFS(実績!$W$6:$W$505,BK$3,実績!$AI$6:$AI$505,"&lt;="&amp;$A199,実績!$AJ$6:$AJ$505,"&gt;"&amp;$A199,実績!$AL$6:$AL$505,"○")&gt;0,1,0))</f>
        <v>0</v>
      </c>
      <c r="BL199" s="39" t="n">
        <f aca="false">IF(BL$4=0,0,IF(COUNTIFS(実績!$W$6:$W$505,BL$3,実績!$AI$6:$AI$505,"&lt;="&amp;$A199,実績!$AJ$6:$AJ$505,"&gt;"&amp;$A199,実績!$AL$6:$AL$505,"○")&gt;0,1,0))</f>
        <v>0</v>
      </c>
      <c r="BM199" s="39" t="n">
        <f aca="false">IF(BM$4=0,0,IF(COUNTIFS(実績!$W$6:$W$505,BM$3,実績!$AI$6:$AI$505,"&lt;="&amp;$A199,実績!$AJ$6:$AJ$505,"&gt;"&amp;$A199,実績!$AL$6:$AL$505,"○")&gt;0,1,0))</f>
        <v>0</v>
      </c>
      <c r="BN199" s="39" t="n">
        <f aca="false">IF(BN$4=0,0,IF(COUNTIFS(実績!$W$6:$W$505,BN$3,実績!$AI$6:$AI$505,"&lt;="&amp;$A199,実績!$AJ$6:$AJ$505,"&gt;"&amp;$A199,実績!$AL$6:$AL$505,"○")&gt;0,1,0))</f>
        <v>0</v>
      </c>
      <c r="BO199" s="39" t="n">
        <f aca="false">IF(BO$4=0,0,IF(COUNTIFS(実績!$W$6:$W$505,BO$3,実績!$AI$6:$AI$505,"&lt;="&amp;$A199,実績!$AJ$6:$AJ$505,"&gt;"&amp;$A199,実績!$AL$6:$AL$505,"○")&gt;0,1,0))</f>
        <v>0</v>
      </c>
      <c r="BP199" s="39" t="n">
        <f aca="false">IF(BP$4=0,0,IF(COUNTIFS(実績!$W$6:$W$505,BP$3,実績!$AI$6:$AI$505,"&lt;="&amp;$A199,実績!$AJ$6:$AJ$505,"&gt;"&amp;$A199,実績!$AL$6:$AL$505,"○")&gt;0,1,0))</f>
        <v>0</v>
      </c>
      <c r="BQ199" s="39" t="n">
        <f aca="false">IF(BQ$4=0,0,IF(COUNTIFS(実績!$W$6:$W$505,BQ$3,実績!$AI$6:$AI$505,"&lt;="&amp;$A199,実績!$AJ$6:$AJ$505,"&gt;"&amp;$A199,実績!$AL$6:$AL$505,"○")&gt;0,1,0))</f>
        <v>0</v>
      </c>
      <c r="BR199" s="39" t="n">
        <f aca="false">IF(BR$4=0,0,IF(COUNTIFS(実績!$W$6:$W$505,BR$3,実績!$AI$6:$AI$505,"&lt;="&amp;$A199,実績!$AJ$6:$AJ$505,"&gt;"&amp;$A199,実績!$AL$6:$AL$505,"○")&gt;0,1,0))</f>
        <v>0</v>
      </c>
      <c r="BS199" s="39" t="n">
        <f aca="false">IF(BS$4=0,0,IF(COUNTIFS(実績!$W$6:$W$505,BS$3,実績!$AI$6:$AI$505,"&lt;="&amp;$A199,実績!$AJ$6:$AJ$505,"&gt;"&amp;$A199,実績!$AL$6:$AL$505,"○")&gt;0,1,0))</f>
        <v>0</v>
      </c>
      <c r="BT199" s="39" t="n">
        <f aca="false">IF(BT$4=0,0,IF(COUNTIFS(実績!$W$6:$W$505,BT$3,実績!$AI$6:$AI$505,"&lt;="&amp;$A199,実績!$AJ$6:$AJ$505,"&gt;"&amp;$A199,実績!$AL$6:$AL$505,"○")&gt;0,1,0))</f>
        <v>0</v>
      </c>
      <c r="BU199" s="39" t="n">
        <f aca="false">IF(BU$4=0,0,IF(COUNTIFS(実績!$W$6:$W$505,BU$3,実績!$AI$6:$AI$505,"&lt;="&amp;$A199,実績!$AJ$6:$AJ$505,"&gt;"&amp;$A199,実績!$AL$6:$AL$505,"○")&gt;0,1,0))</f>
        <v>0</v>
      </c>
      <c r="BV199" s="39" t="n">
        <f aca="false">IF(BV$4=0,0,IF(COUNTIFS(実績!$W$6:$W$505,BV$3,実績!$AI$6:$AI$505,"&lt;="&amp;$A199,実績!$AJ$6:$AJ$505,"&gt;"&amp;$A199,実績!$AL$6:$AL$505,"○")&gt;0,1,0))</f>
        <v>0</v>
      </c>
      <c r="BW199" s="39" t="n">
        <f aca="false">IF(BW$4=0,0,IF(COUNTIFS(実績!$W$6:$W$505,BW$3,実績!$AI$6:$AI$505,"&lt;="&amp;$A199,実績!$AJ$6:$AJ$505,"&gt;"&amp;$A199,実績!$AL$6:$AL$505,"○")&gt;0,1,0))</f>
        <v>0</v>
      </c>
      <c r="BX199" s="39" t="n">
        <f aca="false">IF(BX$4=0,0,IF(COUNTIFS(実績!$W$6:$W$505,BX$3,実績!$AI$6:$AI$505,"&lt;="&amp;$A199,実績!$AJ$6:$AJ$505,"&gt;"&amp;$A199,実績!$AL$6:$AL$505,"○")&gt;0,1,0))</f>
        <v>0</v>
      </c>
      <c r="BY199" s="39" t="n">
        <f aca="false">IF(BY$4=0,0,IF(COUNTIFS(実績!$W$6:$W$505,BY$3,実績!$AI$6:$AI$505,"&lt;="&amp;$A199,実績!$AJ$6:$AJ$505,"&gt;"&amp;$A199,実績!$AL$6:$AL$505,"○")&gt;0,1,0))</f>
        <v>0</v>
      </c>
      <c r="BZ199" s="39" t="n">
        <f aca="false">IF(BZ$4=0,0,IF(COUNTIFS(実績!$W$6:$W$505,BZ$3,実績!$AI$6:$AI$505,"&lt;="&amp;$A199,実績!$AJ$6:$AJ$505,"&gt;"&amp;$A199,実績!$AL$6:$AL$505,"○")&gt;0,1,0))</f>
        <v>0</v>
      </c>
      <c r="CA199" s="39" t="n">
        <f aca="false">IF(CA$4=0,0,IF(COUNTIFS(実績!$W$6:$W$505,CA$3,実績!$AI$6:$AI$505,"&lt;="&amp;$A199,実績!$AJ$6:$AJ$505,"&gt;"&amp;$A199,実績!$AL$6:$AL$505,"○")&gt;0,1,0))</f>
        <v>0</v>
      </c>
      <c r="CB199" s="39" t="n">
        <f aca="false">IF(CB$4=0,0,IF(COUNTIFS(実績!$W$6:$W$505,CB$3,実績!$AI$6:$AI$505,"&lt;="&amp;$A199,実績!$AJ$6:$AJ$505,"&gt;"&amp;$A199,実績!$AL$6:$AL$505,"○")&gt;0,1,0))</f>
        <v>0</v>
      </c>
      <c r="CC199" s="39" t="n">
        <f aca="false">IF(CC$4=0,0,IF(COUNTIFS(実績!$W$6:$W$505,CC$3,実績!$AI$6:$AI$505,"&lt;="&amp;$A199,実績!$AJ$6:$AJ$505,"&gt;"&amp;$A199,実績!$AL$6:$AL$505,"○")&gt;0,1,0))</f>
        <v>0</v>
      </c>
      <c r="CD199" s="39" t="n">
        <f aca="false">IF(CD$4=0,0,IF(COUNTIFS(実績!$W$6:$W$505,CD$3,実績!$AI$6:$AI$505,"&lt;="&amp;$A199,実績!$AJ$6:$AJ$505,"&gt;"&amp;$A199,実績!$AL$6:$AL$505,"○")&gt;0,1,0))</f>
        <v>0</v>
      </c>
      <c r="CE199" s="39" t="n">
        <f aca="false">IF(CE$4=0,0,IF(COUNTIFS(実績!$W$6:$W$505,CE$3,実績!$AI$6:$AI$505,"&lt;="&amp;$A199,実績!$AJ$6:$AJ$505,"&gt;"&amp;$A199,実績!$AL$6:$AL$505,"○")&gt;0,1,0))</f>
        <v>0</v>
      </c>
      <c r="CF199" s="39" t="n">
        <f aca="false">IF(CF$4=0,0,IF(COUNTIFS(実績!$W$6:$W$505,CF$3,実績!$AI$6:$AI$505,"&lt;="&amp;$A199,実績!$AJ$6:$AJ$505,"&gt;"&amp;$A199,実績!$AL$6:$AL$505,"○")&gt;0,1,0))</f>
        <v>0</v>
      </c>
      <c r="CG199" s="39" t="n">
        <f aca="false">IF(CG$4=0,0,IF(COUNTIFS(実績!$W$6:$W$505,CG$3,実績!$AI$6:$AI$505,"&lt;="&amp;$A199,実績!$AJ$6:$AJ$505,"&gt;"&amp;$A199,実績!$AL$6:$AL$505,"○")&gt;0,1,0))</f>
        <v>0</v>
      </c>
      <c r="CH199" s="39" t="n">
        <f aca="false">IF(CH$4=0,0,IF(COUNTIFS(実績!$W$6:$W$505,CH$3,実績!$AI$6:$AI$505,"&lt;="&amp;$A199,実績!$AJ$6:$AJ$505,"&gt;"&amp;$A199,実績!$AL$6:$AL$505,"○")&gt;0,1,0))</f>
        <v>0</v>
      </c>
      <c r="CI199" s="39" t="n">
        <f aca="false">IF(CI$4=0,0,IF(COUNTIFS(実績!$W$6:$W$505,CI$3,実績!$AI$6:$AI$505,"&lt;="&amp;$A199,実績!$AJ$6:$AJ$505,"&gt;"&amp;$A199,実績!$AL$6:$AL$505,"○")&gt;0,1,0))</f>
        <v>0</v>
      </c>
      <c r="CJ199" s="39" t="n">
        <f aca="false">IF(CJ$4=0,0,IF(COUNTIFS(実績!$W$6:$W$505,CJ$3,実績!$AI$6:$AI$505,"&lt;="&amp;$A199,実績!$AJ$6:$AJ$505,"&gt;"&amp;$A199,実績!$AL$6:$AL$505,"○")&gt;0,1,0))</f>
        <v>0</v>
      </c>
      <c r="CK199" s="39" t="n">
        <f aca="false">IF(CK$4=0,0,IF(COUNTIFS(実績!$W$6:$W$505,CK$3,実績!$AI$6:$AI$505,"&lt;="&amp;$A199,実績!$AJ$6:$AJ$505,"&gt;"&amp;$A199,実績!$AL$6:$AL$505,"○")&gt;0,1,0))</f>
        <v>0</v>
      </c>
      <c r="CL199" s="39" t="n">
        <f aca="false">IF(CL$4=0,0,IF(COUNTIFS(実績!$W$6:$W$505,CL$3,実績!$AI$6:$AI$505,"&lt;="&amp;$A199,実績!$AJ$6:$AJ$505,"&gt;"&amp;$A199,実績!$AL$6:$AL$505,"○")&gt;0,1,0))</f>
        <v>0</v>
      </c>
      <c r="CM199" s="39" t="n">
        <f aca="false">IF(CM$4=0,0,IF(COUNTIFS(実績!$W$6:$W$505,CM$3,実績!$AI$6:$AI$505,"&lt;="&amp;$A199,実績!$AJ$6:$AJ$505,"&gt;"&amp;$A199,実績!$AL$6:$AL$505,"○")&gt;0,1,0))</f>
        <v>0</v>
      </c>
      <c r="CN199" s="39" t="n">
        <f aca="false">IF(CN$4=0,0,IF(COUNTIFS(実績!$W$6:$W$505,CN$3,実績!$AI$6:$AI$505,"&lt;="&amp;$A199,実績!$AJ$6:$AJ$505,"&gt;"&amp;$A199,実績!$AL$6:$AL$505,"○")&gt;0,1,0))</f>
        <v>0</v>
      </c>
      <c r="CO199" s="39" t="n">
        <f aca="false">IF(CO$4=0,0,IF(COUNTIFS(実績!$W$6:$W$505,CO$3,実績!$AI$6:$AI$505,"&lt;="&amp;$A199,実績!$AJ$6:$AJ$505,"&gt;"&amp;$A199,実績!$AL$6:$AL$505,"○")&gt;0,1,0))</f>
        <v>0</v>
      </c>
      <c r="CP199" s="39" t="n">
        <f aca="false">IF(CP$4=0,0,IF(COUNTIFS(実績!$W$6:$W$505,CP$3,実績!$AI$6:$AI$505,"&lt;="&amp;$A199,実績!$AJ$6:$AJ$505,"&gt;"&amp;$A199,実績!$AL$6:$AL$505,"○")&gt;0,1,0))</f>
        <v>0</v>
      </c>
      <c r="CQ199" s="39" t="n">
        <f aca="false">IF(CQ$4=0,0,IF(COUNTIFS(実績!$W$6:$W$505,CQ$3,実績!$AI$6:$AI$505,"&lt;="&amp;$A199,実績!$AJ$6:$AJ$505,"&gt;"&amp;$A199,実績!$AL$6:$AL$505,"○")&gt;0,1,0))</f>
        <v>0</v>
      </c>
      <c r="CR199" s="39" t="n">
        <f aca="false">IF(CR$4=0,0,IF(COUNTIFS(実績!$W$6:$W$505,CR$3,実績!$AI$6:$AI$505,"&lt;="&amp;$A199,実績!$AJ$6:$AJ$505,"&gt;"&amp;$A199,実績!$AL$6:$AL$505,"○")&gt;0,1,0))</f>
        <v>0</v>
      </c>
      <c r="CS199" s="39" t="n">
        <f aca="false">IF(CS$4=0,0,IF(COUNTIFS(実績!$W$6:$W$505,CS$3,実績!$AI$6:$AI$505,"&lt;="&amp;$A199,実績!$AJ$6:$AJ$505,"&gt;"&amp;$A199,実績!$AL$6:$AL$505,"○")&gt;0,1,0))</f>
        <v>0</v>
      </c>
      <c r="CT199" s="39" t="n">
        <f aca="false">IF(CT$4=0,0,IF(COUNTIFS(実績!$W$6:$W$505,CT$3,実績!$AI$6:$AI$505,"&lt;="&amp;$A199,実績!$AJ$6:$AJ$505,"&gt;"&amp;$A199,実績!$AL$6:$AL$505,"○")&gt;0,1,0))</f>
        <v>0</v>
      </c>
      <c r="CU199" s="39" t="n">
        <f aca="false">IF(CU$4=0,0,IF(COUNTIFS(実績!$W$6:$W$505,CU$3,実績!$AI$6:$AI$505,"&lt;="&amp;$A199,実績!$AJ$6:$AJ$505,"&gt;"&amp;$A199,実績!$AL$6:$AL$505,"○")&gt;0,1,0))</f>
        <v>0</v>
      </c>
      <c r="CV199" s="39" t="n">
        <f aca="false">IF(CV$4=0,0,IF(COUNTIFS(実績!$W$6:$W$505,CV$3,実績!$AI$6:$AI$505,"&lt;="&amp;$A199,実績!$AJ$6:$AJ$505,"&gt;"&amp;$A199,実績!$AL$6:$AL$505,"○")&gt;0,1,0))</f>
        <v>0</v>
      </c>
      <c r="CW199" s="39" t="n">
        <f aca="false">IF(CW$4=0,0,IF(COUNTIFS(実績!$W$6:$W$505,CW$3,実績!$AI$6:$AI$505,"&lt;="&amp;$A199,実績!$AJ$6:$AJ$505,"&gt;"&amp;$A199,実績!$AL$6:$AL$505,"○")&gt;0,1,0))</f>
        <v>0</v>
      </c>
      <c r="CX199" s="39" t="n">
        <f aca="false">IF(CX$4=0,0,IF(COUNTIFS(実績!$W$6:$W$505,CX$3,実績!$AI$6:$AI$505,"&lt;="&amp;$A199,実績!$AJ$6:$AJ$505,"&gt;"&amp;$A199,実績!$AL$6:$AL$505,"○")&gt;0,1,0))</f>
        <v>0</v>
      </c>
      <c r="CY199" s="39" t="n">
        <f aca="false">IF(CY$4=0,0,IF(COUNTIFS(実績!$W$6:$W$505,CY$3,実績!$AI$6:$AI$505,"&lt;="&amp;$A199,実績!$AJ$6:$AJ$505,"&gt;"&amp;$A199,実績!$AL$6:$AL$505,"○")&gt;0,1,0))</f>
        <v>0</v>
      </c>
      <c r="CZ199" s="39" t="n">
        <f aca="false">IF(CZ$4=0,0,IF(COUNTIFS(実績!$W$6:$W$505,CZ$3,実績!$AI$6:$AI$505,"&lt;="&amp;$A199,実績!$AJ$6:$AJ$505,"&gt;"&amp;$A199,実績!$AL$6:$AL$505,"○")&gt;0,1,0))</f>
        <v>0</v>
      </c>
      <c r="DA199" s="39" t="n">
        <f aca="false">IF(DA$4=0,0,IF(COUNTIFS(実績!$W$6:$W$505,DA$3,実績!$AI$6:$AI$505,"&lt;="&amp;$A199,実績!$AJ$6:$AJ$505,"&gt;"&amp;$A199,実績!$AL$6:$AL$505,"○")&gt;0,1,0))</f>
        <v>0</v>
      </c>
      <c r="DB199" s="39" t="n">
        <f aca="false">IF(DB$4=0,0,IF(COUNTIFS(実績!$W$6:$W$505,DB$3,実績!$AI$6:$AI$505,"&lt;="&amp;$A199,実績!$AJ$6:$AJ$505,"&gt;"&amp;$A199,実績!$AL$6:$AL$505,"○")&gt;0,1,0))</f>
        <v>0</v>
      </c>
      <c r="DC199" s="39" t="n">
        <f aca="false">IF(DC$4=0,0,IF(COUNTIFS(実績!$W$6:$W$505,DC$3,実績!$AI$6:$AI$505,"&lt;="&amp;$A199,実績!$AJ$6:$AJ$505,"&gt;"&amp;$A199,実績!$AL$6:$AL$505,"○")&gt;0,1,0))</f>
        <v>0</v>
      </c>
      <c r="DD199" s="39" t="n">
        <f aca="false">IF(DD$4=0,0,IF(COUNTIFS(実績!$W$6:$W$505,DD$3,実績!$AI$6:$AI$505,"&lt;="&amp;$A199,実績!$AJ$6:$AJ$505,"&gt;"&amp;$A199,実績!$AL$6:$AL$505,"○")&gt;0,1,0))</f>
        <v>0</v>
      </c>
      <c r="DE199" s="39" t="n">
        <f aca="false">IF(DE$4=0,0,IF(COUNTIFS(実績!$W$6:$W$505,DE$3,実績!$AI$6:$AI$505,"&lt;="&amp;$A199,実績!$AJ$6:$AJ$505,"&gt;"&amp;$A199,実績!$AL$6:$AL$505,"○")&gt;0,1,0))</f>
        <v>0</v>
      </c>
      <c r="DF199" s="39" t="n">
        <f aca="false">IF(DF$4=0,0,IF(COUNTIFS(実績!$W$6:$W$505,DF$3,実績!$AI$6:$AI$505,"&lt;="&amp;$A199,実績!$AJ$6:$AJ$505,"&gt;"&amp;$A199,実績!$AL$6:$AL$505,"○")&gt;0,1,0))</f>
        <v>0</v>
      </c>
      <c r="DG199" s="39" t="n">
        <f aca="false">IF(DG$4=0,0,IF(COUNTIFS(実績!$W$6:$W$505,DG$3,実績!$AI$6:$AI$505,"&lt;="&amp;$A199,実績!$AJ$6:$AJ$505,"&gt;"&amp;$A199,実績!$AL$6:$AL$505,"○")&gt;0,1,0))</f>
        <v>0</v>
      </c>
      <c r="DH199" s="39" t="n">
        <f aca="false">IF(DH$4=0,0,IF(COUNTIFS(実績!$W$6:$W$505,DH$3,実績!$AI$6:$AI$505,"&lt;="&amp;$A199,実績!$AJ$6:$AJ$505,"&gt;"&amp;$A199,実績!$AL$6:$AL$505,"○")&gt;0,1,0))</f>
        <v>0</v>
      </c>
      <c r="DI199" s="39" t="n">
        <f aca="false">IF(DI$4=0,0,IF(COUNTIFS(実績!$W$6:$W$505,DI$3,実績!$AI$6:$AI$505,"&lt;="&amp;$A199,実績!$AJ$6:$AJ$505,"&gt;"&amp;$A199,実績!$AL$6:$AL$505,"○")&gt;0,1,0))</f>
        <v>0</v>
      </c>
      <c r="DJ199" s="39" t="n">
        <f aca="false">IF(DJ$4=0,0,IF(COUNTIFS(実績!$W$6:$W$505,DJ$3,実績!$AI$6:$AI$505,"&lt;="&amp;$A199,実績!$AJ$6:$AJ$505,"&gt;"&amp;$A199,実績!$AL$6:$AL$505,"○")&gt;0,1,0))</f>
        <v>0</v>
      </c>
      <c r="DK199" s="39" t="n">
        <f aca="false">IF(DK$4=0,0,IF(COUNTIFS(実績!$W$6:$W$505,DK$3,実績!$AI$6:$AI$505,"&lt;="&amp;$A199,実績!$AJ$6:$AJ$505,"&gt;"&amp;$A199,実績!$AL$6:$AL$505,"○")&gt;0,1,0))</f>
        <v>0</v>
      </c>
      <c r="DL199" s="39" t="n">
        <f aca="false">IF(DL$4=0,0,IF(COUNTIFS(実績!$W$6:$W$505,DL$3,実績!$AI$6:$AI$505,"&lt;="&amp;$A199,実績!$AJ$6:$AJ$505,"&gt;"&amp;$A199,実績!$AL$6:$AL$505,"○")&gt;0,1,0))</f>
        <v>0</v>
      </c>
      <c r="DM199" s="39" t="n">
        <f aca="false">IF(DM$4=0,0,IF(COUNTIFS(実績!$W$6:$W$505,DM$3,実績!$AI$6:$AI$505,"&lt;="&amp;$A199,実績!$AJ$6:$AJ$505,"&gt;"&amp;$A199,実績!$AL$6:$AL$505,"○")&gt;0,1,0))</f>
        <v>0</v>
      </c>
      <c r="DN199" s="39" t="n">
        <f aca="false">IF(DN$4=0,0,IF(COUNTIFS(実績!$W$6:$W$505,DN$3,実績!$AI$6:$AI$505,"&lt;="&amp;$A199,実績!$AJ$6:$AJ$505,"&gt;"&amp;$A199,実績!$AL$6:$AL$505,"○")&gt;0,1,0))</f>
        <v>0</v>
      </c>
      <c r="DO199" s="39" t="n">
        <f aca="false">IF(DO$4=0,0,IF(COUNTIFS(実績!$W$6:$W$505,DO$3,実績!$AI$6:$AI$505,"&lt;="&amp;$A199,実績!$AJ$6:$AJ$505,"&gt;"&amp;$A199,実績!$AL$6:$AL$505,"○")&gt;0,1,0))</f>
        <v>0</v>
      </c>
      <c r="DP199" s="39" t="n">
        <f aca="false">IF(DP$4=0,0,IF(COUNTIFS(実績!$W$6:$W$505,DP$3,実績!$AI$6:$AI$505,"&lt;="&amp;$A199,実績!$AJ$6:$AJ$505,"&gt;"&amp;$A199,実績!$AL$6:$AL$505,"○")&gt;0,1,0))</f>
        <v>0</v>
      </c>
      <c r="DQ199" s="39" t="n">
        <f aca="false">IF(DQ$4=0,0,IF(COUNTIFS(実績!$W$6:$W$505,DQ$3,実績!$AI$6:$AI$505,"&lt;="&amp;$A199,実績!$AJ$6:$AJ$505,"&gt;"&amp;$A199,実績!$AL$6:$AL$505,"○")&gt;0,1,0))</f>
        <v>0</v>
      </c>
      <c r="DR199" s="39" t="n">
        <f aca="false">IF(DR$4=0,0,IF(COUNTIFS(実績!$W$6:$W$505,DR$3,実績!$AI$6:$AI$505,"&lt;="&amp;$A199,実績!$AJ$6:$AJ$505,"&gt;"&amp;$A199,実績!$AL$6:$AL$505,"○")&gt;0,1,0))</f>
        <v>0</v>
      </c>
      <c r="DS199" s="39" t="n">
        <f aca="false">SUM(C199:DR199)</f>
        <v>0</v>
      </c>
    </row>
    <row r="200" customFormat="false" ht="15" hidden="false" customHeight="false" outlineLevel="0" collapsed="false">
      <c r="A200" s="0" t="n">
        <v>970</v>
      </c>
      <c r="B200" s="38" t="n">
        <f aca="false">A200/1440</f>
        <v>0.673611111111111</v>
      </c>
      <c r="C200" s="39" t="n">
        <f aca="false">IF(C$4=0,0,IF(COUNTIFS(実績!$W$6:$W$505,C$3,実績!$AI$6:$AI$505,"&lt;="&amp;$A200,実績!$AJ$6:$AJ$505,"&gt;"&amp;$A200,実績!$AL$6:$AL$505,"○")&gt;0,1,0))</f>
        <v>0</v>
      </c>
      <c r="D200" s="39" t="n">
        <f aca="false">IF(D$4=0,0,IF(COUNTIFS(実績!$W$6:$W$505,D$3,実績!$AI$6:$AI$505,"&lt;="&amp;$A200,実績!$AJ$6:$AJ$505,"&gt;"&amp;$A200,実績!$AL$6:$AL$505,"○")&gt;0,1,0))</f>
        <v>0</v>
      </c>
      <c r="E200" s="39" t="n">
        <f aca="false">IF(E$4=0,0,IF(COUNTIFS(実績!$W$6:$W$505,E$3,実績!$AI$6:$AI$505,"&lt;="&amp;$A200,実績!$AJ$6:$AJ$505,"&gt;"&amp;$A200,実績!$AL$6:$AL$505,"○")&gt;0,1,0))</f>
        <v>0</v>
      </c>
      <c r="F200" s="39" t="n">
        <f aca="false">IF(F$4=0,0,IF(COUNTIFS(実績!$W$6:$W$505,F$3,実績!$AI$6:$AI$505,"&lt;="&amp;$A200,実績!$AJ$6:$AJ$505,"&gt;"&amp;$A200,実績!$AL$6:$AL$505,"○")&gt;0,1,0))</f>
        <v>0</v>
      </c>
      <c r="G200" s="39" t="n">
        <f aca="false">IF(G$4=0,0,IF(COUNTIFS(実績!$W$6:$W$505,G$3,実績!$AI$6:$AI$505,"&lt;="&amp;$A200,実績!$AJ$6:$AJ$505,"&gt;"&amp;$A200,実績!$AL$6:$AL$505,"○")&gt;0,1,0))</f>
        <v>0</v>
      </c>
      <c r="H200" s="39" t="n">
        <f aca="false">IF(H$4=0,0,IF(COUNTIFS(実績!$W$6:$W$505,H$3,実績!$AI$6:$AI$505,"&lt;="&amp;$A200,実績!$AJ$6:$AJ$505,"&gt;"&amp;$A200,実績!$AL$6:$AL$505,"○")&gt;0,1,0))</f>
        <v>0</v>
      </c>
      <c r="I200" s="39" t="n">
        <f aca="false">IF(I$4=0,0,IF(COUNTIFS(実績!$W$6:$W$505,I$3,実績!$AI$6:$AI$505,"&lt;="&amp;$A200,実績!$AJ$6:$AJ$505,"&gt;"&amp;$A200,実績!$AL$6:$AL$505,"○")&gt;0,1,0))</f>
        <v>0</v>
      </c>
      <c r="J200" s="39" t="n">
        <f aca="false">IF(J$4=0,0,IF(COUNTIFS(実績!$W$6:$W$505,J$3,実績!$AI$6:$AI$505,"&lt;="&amp;$A200,実績!$AJ$6:$AJ$505,"&gt;"&amp;$A200,実績!$AL$6:$AL$505,"○")&gt;0,1,0))</f>
        <v>0</v>
      </c>
      <c r="K200" s="39" t="n">
        <f aca="false">IF(K$4=0,0,IF(COUNTIFS(実績!$W$6:$W$505,K$3,実績!$AI$6:$AI$505,"&lt;="&amp;$A200,実績!$AJ$6:$AJ$505,"&gt;"&amp;$A200,実績!$AL$6:$AL$505,"○")&gt;0,1,0))</f>
        <v>0</v>
      </c>
      <c r="L200" s="39" t="n">
        <f aca="false">IF(L$4=0,0,IF(COUNTIFS(実績!$W$6:$W$505,L$3,実績!$AI$6:$AI$505,"&lt;="&amp;$A200,実績!$AJ$6:$AJ$505,"&gt;"&amp;$A200,実績!$AL$6:$AL$505,"○")&gt;0,1,0))</f>
        <v>0</v>
      </c>
      <c r="M200" s="39" t="n">
        <f aca="false">IF(M$4=0,0,IF(COUNTIFS(実績!$W$6:$W$505,M$3,実績!$AI$6:$AI$505,"&lt;="&amp;$A200,実績!$AJ$6:$AJ$505,"&gt;"&amp;$A200,実績!$AL$6:$AL$505,"○")&gt;0,1,0))</f>
        <v>0</v>
      </c>
      <c r="N200" s="39" t="n">
        <f aca="false">IF(N$4=0,0,IF(COUNTIFS(実績!$W$6:$W$505,N$3,実績!$AI$6:$AI$505,"&lt;="&amp;$A200,実績!$AJ$6:$AJ$505,"&gt;"&amp;$A200,実績!$AL$6:$AL$505,"○")&gt;0,1,0))</f>
        <v>0</v>
      </c>
      <c r="O200" s="39" t="n">
        <f aca="false">IF(O$4=0,0,IF(COUNTIFS(実績!$W$6:$W$505,O$3,実績!$AI$6:$AI$505,"&lt;="&amp;$A200,実績!$AJ$6:$AJ$505,"&gt;"&amp;$A200,実績!$AL$6:$AL$505,"○")&gt;0,1,0))</f>
        <v>0</v>
      </c>
      <c r="P200" s="39" t="n">
        <f aca="false">IF(P$4=0,0,IF(COUNTIFS(実績!$W$6:$W$505,P$3,実績!$AI$6:$AI$505,"&lt;="&amp;$A200,実績!$AJ$6:$AJ$505,"&gt;"&amp;$A200,実績!$AL$6:$AL$505,"○")&gt;0,1,0))</f>
        <v>0</v>
      </c>
      <c r="Q200" s="39" t="n">
        <f aca="false">IF(Q$4=0,0,IF(COUNTIFS(実績!$W$6:$W$505,Q$3,実績!$AI$6:$AI$505,"&lt;="&amp;$A200,実績!$AJ$6:$AJ$505,"&gt;"&amp;$A200,実績!$AL$6:$AL$505,"○")&gt;0,1,0))</f>
        <v>0</v>
      </c>
      <c r="R200" s="39" t="n">
        <f aca="false">IF(R$4=0,0,IF(COUNTIFS(実績!$W$6:$W$505,R$3,実績!$AI$6:$AI$505,"&lt;="&amp;$A200,実績!$AJ$6:$AJ$505,"&gt;"&amp;$A200,実績!$AL$6:$AL$505,"○")&gt;0,1,0))</f>
        <v>0</v>
      </c>
      <c r="S200" s="39" t="n">
        <f aca="false">IF(S$4=0,0,IF(COUNTIFS(実績!$W$6:$W$505,S$3,実績!$AI$6:$AI$505,"&lt;="&amp;$A200,実績!$AJ$6:$AJ$505,"&gt;"&amp;$A200,実績!$AL$6:$AL$505,"○")&gt;0,1,0))</f>
        <v>0</v>
      </c>
      <c r="T200" s="39" t="n">
        <f aca="false">IF(T$4=0,0,IF(COUNTIFS(実績!$W$6:$W$505,T$3,実績!$AI$6:$AI$505,"&lt;="&amp;$A200,実績!$AJ$6:$AJ$505,"&gt;"&amp;$A200,実績!$AL$6:$AL$505,"○")&gt;0,1,0))</f>
        <v>0</v>
      </c>
      <c r="U200" s="39" t="n">
        <f aca="false">IF(U$4=0,0,IF(COUNTIFS(実績!$W$6:$W$505,U$3,実績!$AI$6:$AI$505,"&lt;="&amp;$A200,実績!$AJ$6:$AJ$505,"&gt;"&amp;$A200,実績!$AL$6:$AL$505,"○")&gt;0,1,0))</f>
        <v>0</v>
      </c>
      <c r="V200" s="39" t="n">
        <f aca="false">IF(V$4=0,0,IF(COUNTIFS(実績!$W$6:$W$505,V$3,実績!$AI$6:$AI$505,"&lt;="&amp;$A200,実績!$AJ$6:$AJ$505,"&gt;"&amp;$A200,実績!$AL$6:$AL$505,"○")&gt;0,1,0))</f>
        <v>0</v>
      </c>
      <c r="W200" s="39" t="n">
        <f aca="false">IF(W$4=0,0,IF(COUNTIFS(実績!$W$6:$W$505,W$3,実績!$AI$6:$AI$505,"&lt;="&amp;$A200,実績!$AJ$6:$AJ$505,"&gt;"&amp;$A200,実績!$AL$6:$AL$505,"○")&gt;0,1,0))</f>
        <v>0</v>
      </c>
      <c r="X200" s="39" t="n">
        <f aca="false">IF(X$4=0,0,IF(COUNTIFS(実績!$W$6:$W$505,X$3,実績!$AI$6:$AI$505,"&lt;="&amp;$A200,実績!$AJ$6:$AJ$505,"&gt;"&amp;$A200,実績!$AL$6:$AL$505,"○")&gt;0,1,0))</f>
        <v>0</v>
      </c>
      <c r="Y200" s="39" t="n">
        <f aca="false">IF(Y$4=0,0,IF(COUNTIFS(実績!$W$6:$W$505,Y$3,実績!$AI$6:$AI$505,"&lt;="&amp;$A200,実績!$AJ$6:$AJ$505,"&gt;"&amp;$A200,実績!$AL$6:$AL$505,"○")&gt;0,1,0))</f>
        <v>0</v>
      </c>
      <c r="Z200" s="39" t="n">
        <f aca="false">IF(Z$4=0,0,IF(COUNTIFS(実績!$W$6:$W$505,Z$3,実績!$AI$6:$AI$505,"&lt;="&amp;$A200,実績!$AJ$6:$AJ$505,"&gt;"&amp;$A200,実績!$AL$6:$AL$505,"○")&gt;0,1,0))</f>
        <v>0</v>
      </c>
      <c r="AA200" s="39" t="n">
        <f aca="false">IF(AA$4=0,0,IF(COUNTIFS(実績!$W$6:$W$505,AA$3,実績!$AI$6:$AI$505,"&lt;="&amp;$A200,実績!$AJ$6:$AJ$505,"&gt;"&amp;$A200,実績!$AL$6:$AL$505,"○")&gt;0,1,0))</f>
        <v>0</v>
      </c>
      <c r="AB200" s="39" t="n">
        <f aca="false">IF(AB$4=0,0,IF(COUNTIFS(実績!$W$6:$W$505,AB$3,実績!$AI$6:$AI$505,"&lt;="&amp;$A200,実績!$AJ$6:$AJ$505,"&gt;"&amp;$A200,実績!$AL$6:$AL$505,"○")&gt;0,1,0))</f>
        <v>0</v>
      </c>
      <c r="AC200" s="39" t="n">
        <f aca="false">IF(AC$4=0,0,IF(COUNTIFS(実績!$W$6:$W$505,AC$3,実績!$AI$6:$AI$505,"&lt;="&amp;$A200,実績!$AJ$6:$AJ$505,"&gt;"&amp;$A200,実績!$AL$6:$AL$505,"○")&gt;0,1,0))</f>
        <v>0</v>
      </c>
      <c r="AD200" s="39" t="n">
        <f aca="false">IF(AD$4=0,0,IF(COUNTIFS(実績!$W$6:$W$505,AD$3,実績!$AI$6:$AI$505,"&lt;="&amp;$A200,実績!$AJ$6:$AJ$505,"&gt;"&amp;$A200,実績!$AL$6:$AL$505,"○")&gt;0,1,0))</f>
        <v>0</v>
      </c>
      <c r="AE200" s="39" t="n">
        <f aca="false">IF(AE$4=0,0,IF(COUNTIFS(実績!$W$6:$W$505,AE$3,実績!$AI$6:$AI$505,"&lt;="&amp;$A200,実績!$AJ$6:$AJ$505,"&gt;"&amp;$A200,実績!$AL$6:$AL$505,"○")&gt;0,1,0))</f>
        <v>0</v>
      </c>
      <c r="AF200" s="39" t="n">
        <f aca="false">IF(AF$4=0,0,IF(COUNTIFS(実績!$W$6:$W$505,AF$3,実績!$AI$6:$AI$505,"&lt;="&amp;$A200,実績!$AJ$6:$AJ$505,"&gt;"&amp;$A200,実績!$AL$6:$AL$505,"○")&gt;0,1,0))</f>
        <v>0</v>
      </c>
      <c r="AG200" s="39" t="n">
        <f aca="false">IF(AG$4=0,0,IF(COUNTIFS(実績!$W$6:$W$505,AG$3,実績!$AI$6:$AI$505,"&lt;="&amp;$A200,実績!$AJ$6:$AJ$505,"&gt;"&amp;$A200,実績!$AL$6:$AL$505,"○")&gt;0,1,0))</f>
        <v>0</v>
      </c>
      <c r="AH200" s="39" t="n">
        <f aca="false">IF(AH$4=0,0,IF(COUNTIFS(実績!$W$6:$W$505,AH$3,実績!$AI$6:$AI$505,"&lt;="&amp;$A200,実績!$AJ$6:$AJ$505,"&gt;"&amp;$A200,実績!$AL$6:$AL$505,"○")&gt;0,1,0))</f>
        <v>0</v>
      </c>
      <c r="AI200" s="39" t="n">
        <f aca="false">IF(AI$4=0,0,IF(COUNTIFS(実績!$W$6:$W$505,AI$3,実績!$AI$6:$AI$505,"&lt;="&amp;$A200,実績!$AJ$6:$AJ$505,"&gt;"&amp;$A200,実績!$AL$6:$AL$505,"○")&gt;0,1,0))</f>
        <v>0</v>
      </c>
      <c r="AJ200" s="39" t="n">
        <f aca="false">IF(AJ$4=0,0,IF(COUNTIFS(実績!$W$6:$W$505,AJ$3,実績!$AI$6:$AI$505,"&lt;="&amp;$A200,実績!$AJ$6:$AJ$505,"&gt;"&amp;$A200,実績!$AL$6:$AL$505,"○")&gt;0,1,0))</f>
        <v>0</v>
      </c>
      <c r="AK200" s="39" t="n">
        <f aca="false">IF(AK$4=0,0,IF(COUNTIFS(実績!$W$6:$W$505,AK$3,実績!$AI$6:$AI$505,"&lt;="&amp;$A200,実績!$AJ$6:$AJ$505,"&gt;"&amp;$A200,実績!$AL$6:$AL$505,"○")&gt;0,1,0))</f>
        <v>0</v>
      </c>
      <c r="AL200" s="39" t="n">
        <f aca="false">IF(AL$4=0,0,IF(COUNTIFS(実績!$W$6:$W$505,AL$3,実績!$AI$6:$AI$505,"&lt;="&amp;$A200,実績!$AJ$6:$AJ$505,"&gt;"&amp;$A200,実績!$AL$6:$AL$505,"○")&gt;0,1,0))</f>
        <v>0</v>
      </c>
      <c r="AM200" s="39" t="n">
        <f aca="false">IF(AM$4=0,0,IF(COUNTIFS(実績!$W$6:$W$505,AM$3,実績!$AI$6:$AI$505,"&lt;="&amp;$A200,実績!$AJ$6:$AJ$505,"&gt;"&amp;$A200,実績!$AL$6:$AL$505,"○")&gt;0,1,0))</f>
        <v>0</v>
      </c>
      <c r="AN200" s="39" t="n">
        <f aca="false">IF(AN$4=0,0,IF(COUNTIFS(実績!$W$6:$W$505,AN$3,実績!$AI$6:$AI$505,"&lt;="&amp;$A200,実績!$AJ$6:$AJ$505,"&gt;"&amp;$A200,実績!$AL$6:$AL$505,"○")&gt;0,1,0))</f>
        <v>0</v>
      </c>
      <c r="AO200" s="39" t="n">
        <f aca="false">IF(AO$4=0,0,IF(COUNTIFS(実績!$W$6:$W$505,AO$3,実績!$AI$6:$AI$505,"&lt;="&amp;$A200,実績!$AJ$6:$AJ$505,"&gt;"&amp;$A200,実績!$AL$6:$AL$505,"○")&gt;0,1,0))</f>
        <v>0</v>
      </c>
      <c r="AP200" s="39" t="n">
        <f aca="false">IF(AP$4=0,0,IF(COUNTIFS(実績!$W$6:$W$505,AP$3,実績!$AI$6:$AI$505,"&lt;="&amp;$A200,実績!$AJ$6:$AJ$505,"&gt;"&amp;$A200,実績!$AL$6:$AL$505,"○")&gt;0,1,0))</f>
        <v>0</v>
      </c>
      <c r="AQ200" s="39" t="n">
        <f aca="false">IF(AQ$4=0,0,IF(COUNTIFS(実績!$W$6:$W$505,AQ$3,実績!$AI$6:$AI$505,"&lt;="&amp;$A200,実績!$AJ$6:$AJ$505,"&gt;"&amp;$A200,実績!$AL$6:$AL$505,"○")&gt;0,1,0))</f>
        <v>0</v>
      </c>
      <c r="AR200" s="39" t="n">
        <f aca="false">IF(AR$4=0,0,IF(COUNTIFS(実績!$W$6:$W$505,AR$3,実績!$AI$6:$AI$505,"&lt;="&amp;$A200,実績!$AJ$6:$AJ$505,"&gt;"&amp;$A200,実績!$AL$6:$AL$505,"○")&gt;0,1,0))</f>
        <v>0</v>
      </c>
      <c r="AS200" s="39" t="n">
        <f aca="false">IF(AS$4=0,0,IF(COUNTIFS(実績!$W$6:$W$505,AS$3,実績!$AI$6:$AI$505,"&lt;="&amp;$A200,実績!$AJ$6:$AJ$505,"&gt;"&amp;$A200,実績!$AL$6:$AL$505,"○")&gt;0,1,0))</f>
        <v>0</v>
      </c>
      <c r="AT200" s="39" t="n">
        <f aca="false">IF(AT$4=0,0,IF(COUNTIFS(実績!$W$6:$W$505,AT$3,実績!$AI$6:$AI$505,"&lt;="&amp;$A200,実績!$AJ$6:$AJ$505,"&gt;"&amp;$A200,実績!$AL$6:$AL$505,"○")&gt;0,1,0))</f>
        <v>0</v>
      </c>
      <c r="AU200" s="39" t="n">
        <f aca="false">IF(AU$4=0,0,IF(COUNTIFS(実績!$W$6:$W$505,AU$3,実績!$AI$6:$AI$505,"&lt;="&amp;$A200,実績!$AJ$6:$AJ$505,"&gt;"&amp;$A200,実績!$AL$6:$AL$505,"○")&gt;0,1,0))</f>
        <v>0</v>
      </c>
      <c r="AV200" s="39" t="n">
        <f aca="false">IF(AV$4=0,0,IF(COUNTIFS(実績!$W$6:$W$505,AV$3,実績!$AI$6:$AI$505,"&lt;="&amp;$A200,実績!$AJ$6:$AJ$505,"&gt;"&amp;$A200,実績!$AL$6:$AL$505,"○")&gt;0,1,0))</f>
        <v>0</v>
      </c>
      <c r="AW200" s="39" t="n">
        <f aca="false">IF(AW$4=0,0,IF(COUNTIFS(実績!$W$6:$W$505,AW$3,実績!$AI$6:$AI$505,"&lt;="&amp;$A200,実績!$AJ$6:$AJ$505,"&gt;"&amp;$A200,実績!$AL$6:$AL$505,"○")&gt;0,1,0))</f>
        <v>0</v>
      </c>
      <c r="AX200" s="39" t="n">
        <f aca="false">IF(AX$4=0,0,IF(COUNTIFS(実績!$W$6:$W$505,AX$3,実績!$AI$6:$AI$505,"&lt;="&amp;$A200,実績!$AJ$6:$AJ$505,"&gt;"&amp;$A200,実績!$AL$6:$AL$505,"○")&gt;0,1,0))</f>
        <v>0</v>
      </c>
      <c r="AY200" s="39" t="n">
        <f aca="false">IF(AY$4=0,0,IF(COUNTIFS(実績!$W$6:$W$505,AY$3,実績!$AI$6:$AI$505,"&lt;="&amp;$A200,実績!$AJ$6:$AJ$505,"&gt;"&amp;$A200,実績!$AL$6:$AL$505,"○")&gt;0,1,0))</f>
        <v>0</v>
      </c>
      <c r="AZ200" s="39" t="n">
        <f aca="false">IF(AZ$4=0,0,IF(COUNTIFS(実績!$W$6:$W$505,AZ$3,実績!$AI$6:$AI$505,"&lt;="&amp;$A200,実績!$AJ$6:$AJ$505,"&gt;"&amp;$A200,実績!$AL$6:$AL$505,"○")&gt;0,1,0))</f>
        <v>0</v>
      </c>
      <c r="BA200" s="39" t="n">
        <f aca="false">IF(BA$4=0,0,IF(COUNTIFS(実績!$W$6:$W$505,BA$3,実績!$AI$6:$AI$505,"&lt;="&amp;$A200,実績!$AJ$6:$AJ$505,"&gt;"&amp;$A200,実績!$AL$6:$AL$505,"○")&gt;0,1,0))</f>
        <v>0</v>
      </c>
      <c r="BB200" s="39" t="n">
        <f aca="false">IF(BB$4=0,0,IF(COUNTIFS(実績!$W$6:$W$505,BB$3,実績!$AI$6:$AI$505,"&lt;="&amp;$A200,実績!$AJ$6:$AJ$505,"&gt;"&amp;$A200,実績!$AL$6:$AL$505,"○")&gt;0,1,0))</f>
        <v>0</v>
      </c>
      <c r="BC200" s="39" t="n">
        <f aca="false">IF(BC$4=0,0,IF(COUNTIFS(実績!$W$6:$W$505,BC$3,実績!$AI$6:$AI$505,"&lt;="&amp;$A200,実績!$AJ$6:$AJ$505,"&gt;"&amp;$A200,実績!$AL$6:$AL$505,"○")&gt;0,1,0))</f>
        <v>0</v>
      </c>
      <c r="BD200" s="39" t="n">
        <f aca="false">IF(BD$4=0,0,IF(COUNTIFS(実績!$W$6:$W$505,BD$3,実績!$AI$6:$AI$505,"&lt;="&amp;$A200,実績!$AJ$6:$AJ$505,"&gt;"&amp;$A200,実績!$AL$6:$AL$505,"○")&gt;0,1,0))</f>
        <v>0</v>
      </c>
      <c r="BE200" s="39" t="n">
        <f aca="false">IF(BE$4=0,0,IF(COUNTIFS(実績!$W$6:$W$505,BE$3,実績!$AI$6:$AI$505,"&lt;="&amp;$A200,実績!$AJ$6:$AJ$505,"&gt;"&amp;$A200,実績!$AL$6:$AL$505,"○")&gt;0,1,0))</f>
        <v>0</v>
      </c>
      <c r="BF200" s="39" t="n">
        <f aca="false">IF(BF$4=0,0,IF(COUNTIFS(実績!$W$6:$W$505,BF$3,実績!$AI$6:$AI$505,"&lt;="&amp;$A200,実績!$AJ$6:$AJ$505,"&gt;"&amp;$A200,実績!$AL$6:$AL$505,"○")&gt;0,1,0))</f>
        <v>0</v>
      </c>
      <c r="BG200" s="39" t="n">
        <f aca="false">IF(BG$4=0,0,IF(COUNTIFS(実績!$W$6:$W$505,BG$3,実績!$AI$6:$AI$505,"&lt;="&amp;$A200,実績!$AJ$6:$AJ$505,"&gt;"&amp;$A200,実績!$AL$6:$AL$505,"○")&gt;0,1,0))</f>
        <v>0</v>
      </c>
      <c r="BH200" s="39" t="n">
        <f aca="false">IF(BH$4=0,0,IF(COUNTIFS(実績!$W$6:$W$505,BH$3,実績!$AI$6:$AI$505,"&lt;="&amp;$A200,実績!$AJ$6:$AJ$505,"&gt;"&amp;$A200,実績!$AL$6:$AL$505,"○")&gt;0,1,0))</f>
        <v>0</v>
      </c>
      <c r="BI200" s="39" t="n">
        <f aca="false">IF(BI$4=0,0,IF(COUNTIFS(実績!$W$6:$W$505,BI$3,実績!$AI$6:$AI$505,"&lt;="&amp;$A200,実績!$AJ$6:$AJ$505,"&gt;"&amp;$A200,実績!$AL$6:$AL$505,"○")&gt;0,1,0))</f>
        <v>0</v>
      </c>
      <c r="BJ200" s="39" t="n">
        <f aca="false">IF(BJ$4=0,0,IF(COUNTIFS(実績!$W$6:$W$505,BJ$3,実績!$AI$6:$AI$505,"&lt;="&amp;$A200,実績!$AJ$6:$AJ$505,"&gt;"&amp;$A200,実績!$AL$6:$AL$505,"○")&gt;0,1,0))</f>
        <v>0</v>
      </c>
      <c r="BK200" s="39" t="n">
        <f aca="false">IF(BK$4=0,0,IF(COUNTIFS(実績!$W$6:$W$505,BK$3,実績!$AI$6:$AI$505,"&lt;="&amp;$A200,実績!$AJ$6:$AJ$505,"&gt;"&amp;$A200,実績!$AL$6:$AL$505,"○")&gt;0,1,0))</f>
        <v>0</v>
      </c>
      <c r="BL200" s="39" t="n">
        <f aca="false">IF(BL$4=0,0,IF(COUNTIFS(実績!$W$6:$W$505,BL$3,実績!$AI$6:$AI$505,"&lt;="&amp;$A200,実績!$AJ$6:$AJ$505,"&gt;"&amp;$A200,実績!$AL$6:$AL$505,"○")&gt;0,1,0))</f>
        <v>0</v>
      </c>
      <c r="BM200" s="39" t="n">
        <f aca="false">IF(BM$4=0,0,IF(COUNTIFS(実績!$W$6:$W$505,BM$3,実績!$AI$6:$AI$505,"&lt;="&amp;$A200,実績!$AJ$6:$AJ$505,"&gt;"&amp;$A200,実績!$AL$6:$AL$505,"○")&gt;0,1,0))</f>
        <v>0</v>
      </c>
      <c r="BN200" s="39" t="n">
        <f aca="false">IF(BN$4=0,0,IF(COUNTIFS(実績!$W$6:$W$505,BN$3,実績!$AI$6:$AI$505,"&lt;="&amp;$A200,実績!$AJ$6:$AJ$505,"&gt;"&amp;$A200,実績!$AL$6:$AL$505,"○")&gt;0,1,0))</f>
        <v>0</v>
      </c>
      <c r="BO200" s="39" t="n">
        <f aca="false">IF(BO$4=0,0,IF(COUNTIFS(実績!$W$6:$W$505,BO$3,実績!$AI$6:$AI$505,"&lt;="&amp;$A200,実績!$AJ$6:$AJ$505,"&gt;"&amp;$A200,実績!$AL$6:$AL$505,"○")&gt;0,1,0))</f>
        <v>0</v>
      </c>
      <c r="BP200" s="39" t="n">
        <f aca="false">IF(BP$4=0,0,IF(COUNTIFS(実績!$W$6:$W$505,BP$3,実績!$AI$6:$AI$505,"&lt;="&amp;$A200,実績!$AJ$6:$AJ$505,"&gt;"&amp;$A200,実績!$AL$6:$AL$505,"○")&gt;0,1,0))</f>
        <v>0</v>
      </c>
      <c r="BQ200" s="39" t="n">
        <f aca="false">IF(BQ$4=0,0,IF(COUNTIFS(実績!$W$6:$W$505,BQ$3,実績!$AI$6:$AI$505,"&lt;="&amp;$A200,実績!$AJ$6:$AJ$505,"&gt;"&amp;$A200,実績!$AL$6:$AL$505,"○")&gt;0,1,0))</f>
        <v>0</v>
      </c>
      <c r="BR200" s="39" t="n">
        <f aca="false">IF(BR$4=0,0,IF(COUNTIFS(実績!$W$6:$W$505,BR$3,実績!$AI$6:$AI$505,"&lt;="&amp;$A200,実績!$AJ$6:$AJ$505,"&gt;"&amp;$A200,実績!$AL$6:$AL$505,"○")&gt;0,1,0))</f>
        <v>0</v>
      </c>
      <c r="BS200" s="39" t="n">
        <f aca="false">IF(BS$4=0,0,IF(COUNTIFS(実績!$W$6:$W$505,BS$3,実績!$AI$6:$AI$505,"&lt;="&amp;$A200,実績!$AJ$6:$AJ$505,"&gt;"&amp;$A200,実績!$AL$6:$AL$505,"○")&gt;0,1,0))</f>
        <v>0</v>
      </c>
      <c r="BT200" s="39" t="n">
        <f aca="false">IF(BT$4=0,0,IF(COUNTIFS(実績!$W$6:$W$505,BT$3,実績!$AI$6:$AI$505,"&lt;="&amp;$A200,実績!$AJ$6:$AJ$505,"&gt;"&amp;$A200,実績!$AL$6:$AL$505,"○")&gt;0,1,0))</f>
        <v>0</v>
      </c>
      <c r="BU200" s="39" t="n">
        <f aca="false">IF(BU$4=0,0,IF(COUNTIFS(実績!$W$6:$W$505,BU$3,実績!$AI$6:$AI$505,"&lt;="&amp;$A200,実績!$AJ$6:$AJ$505,"&gt;"&amp;$A200,実績!$AL$6:$AL$505,"○")&gt;0,1,0))</f>
        <v>0</v>
      </c>
      <c r="BV200" s="39" t="n">
        <f aca="false">IF(BV$4=0,0,IF(COUNTIFS(実績!$W$6:$W$505,BV$3,実績!$AI$6:$AI$505,"&lt;="&amp;$A200,実績!$AJ$6:$AJ$505,"&gt;"&amp;$A200,実績!$AL$6:$AL$505,"○")&gt;0,1,0))</f>
        <v>0</v>
      </c>
      <c r="BW200" s="39" t="n">
        <f aca="false">IF(BW$4=0,0,IF(COUNTIFS(実績!$W$6:$W$505,BW$3,実績!$AI$6:$AI$505,"&lt;="&amp;$A200,実績!$AJ$6:$AJ$505,"&gt;"&amp;$A200,実績!$AL$6:$AL$505,"○")&gt;0,1,0))</f>
        <v>0</v>
      </c>
      <c r="BX200" s="39" t="n">
        <f aca="false">IF(BX$4=0,0,IF(COUNTIFS(実績!$W$6:$W$505,BX$3,実績!$AI$6:$AI$505,"&lt;="&amp;$A200,実績!$AJ$6:$AJ$505,"&gt;"&amp;$A200,実績!$AL$6:$AL$505,"○")&gt;0,1,0))</f>
        <v>0</v>
      </c>
      <c r="BY200" s="39" t="n">
        <f aca="false">IF(BY$4=0,0,IF(COUNTIFS(実績!$W$6:$W$505,BY$3,実績!$AI$6:$AI$505,"&lt;="&amp;$A200,実績!$AJ$6:$AJ$505,"&gt;"&amp;$A200,実績!$AL$6:$AL$505,"○")&gt;0,1,0))</f>
        <v>0</v>
      </c>
      <c r="BZ200" s="39" t="n">
        <f aca="false">IF(BZ$4=0,0,IF(COUNTIFS(実績!$W$6:$W$505,BZ$3,実績!$AI$6:$AI$505,"&lt;="&amp;$A200,実績!$AJ$6:$AJ$505,"&gt;"&amp;$A200,実績!$AL$6:$AL$505,"○")&gt;0,1,0))</f>
        <v>0</v>
      </c>
      <c r="CA200" s="39" t="n">
        <f aca="false">IF(CA$4=0,0,IF(COUNTIFS(実績!$W$6:$W$505,CA$3,実績!$AI$6:$AI$505,"&lt;="&amp;$A200,実績!$AJ$6:$AJ$505,"&gt;"&amp;$A200,実績!$AL$6:$AL$505,"○")&gt;0,1,0))</f>
        <v>0</v>
      </c>
      <c r="CB200" s="39" t="n">
        <f aca="false">IF(CB$4=0,0,IF(COUNTIFS(実績!$W$6:$W$505,CB$3,実績!$AI$6:$AI$505,"&lt;="&amp;$A200,実績!$AJ$6:$AJ$505,"&gt;"&amp;$A200,実績!$AL$6:$AL$505,"○")&gt;0,1,0))</f>
        <v>0</v>
      </c>
      <c r="CC200" s="39" t="n">
        <f aca="false">IF(CC$4=0,0,IF(COUNTIFS(実績!$W$6:$W$505,CC$3,実績!$AI$6:$AI$505,"&lt;="&amp;$A200,実績!$AJ$6:$AJ$505,"&gt;"&amp;$A200,実績!$AL$6:$AL$505,"○")&gt;0,1,0))</f>
        <v>0</v>
      </c>
      <c r="CD200" s="39" t="n">
        <f aca="false">IF(CD$4=0,0,IF(COUNTIFS(実績!$W$6:$W$505,CD$3,実績!$AI$6:$AI$505,"&lt;="&amp;$A200,実績!$AJ$6:$AJ$505,"&gt;"&amp;$A200,実績!$AL$6:$AL$505,"○")&gt;0,1,0))</f>
        <v>0</v>
      </c>
      <c r="CE200" s="39" t="n">
        <f aca="false">IF(CE$4=0,0,IF(COUNTIFS(実績!$W$6:$W$505,CE$3,実績!$AI$6:$AI$505,"&lt;="&amp;$A200,実績!$AJ$6:$AJ$505,"&gt;"&amp;$A200,実績!$AL$6:$AL$505,"○")&gt;0,1,0))</f>
        <v>0</v>
      </c>
      <c r="CF200" s="39" t="n">
        <f aca="false">IF(CF$4=0,0,IF(COUNTIFS(実績!$W$6:$W$505,CF$3,実績!$AI$6:$AI$505,"&lt;="&amp;$A200,実績!$AJ$6:$AJ$505,"&gt;"&amp;$A200,実績!$AL$6:$AL$505,"○")&gt;0,1,0))</f>
        <v>0</v>
      </c>
      <c r="CG200" s="39" t="n">
        <f aca="false">IF(CG$4=0,0,IF(COUNTIFS(実績!$W$6:$W$505,CG$3,実績!$AI$6:$AI$505,"&lt;="&amp;$A200,実績!$AJ$6:$AJ$505,"&gt;"&amp;$A200,実績!$AL$6:$AL$505,"○")&gt;0,1,0))</f>
        <v>0</v>
      </c>
      <c r="CH200" s="39" t="n">
        <f aca="false">IF(CH$4=0,0,IF(COUNTIFS(実績!$W$6:$W$505,CH$3,実績!$AI$6:$AI$505,"&lt;="&amp;$A200,実績!$AJ$6:$AJ$505,"&gt;"&amp;$A200,実績!$AL$6:$AL$505,"○")&gt;0,1,0))</f>
        <v>0</v>
      </c>
      <c r="CI200" s="39" t="n">
        <f aca="false">IF(CI$4=0,0,IF(COUNTIFS(実績!$W$6:$W$505,CI$3,実績!$AI$6:$AI$505,"&lt;="&amp;$A200,実績!$AJ$6:$AJ$505,"&gt;"&amp;$A200,実績!$AL$6:$AL$505,"○")&gt;0,1,0))</f>
        <v>0</v>
      </c>
      <c r="CJ200" s="39" t="n">
        <f aca="false">IF(CJ$4=0,0,IF(COUNTIFS(実績!$W$6:$W$505,CJ$3,実績!$AI$6:$AI$505,"&lt;="&amp;$A200,実績!$AJ$6:$AJ$505,"&gt;"&amp;$A200,実績!$AL$6:$AL$505,"○")&gt;0,1,0))</f>
        <v>0</v>
      </c>
      <c r="CK200" s="39" t="n">
        <f aca="false">IF(CK$4=0,0,IF(COUNTIFS(実績!$W$6:$W$505,CK$3,実績!$AI$6:$AI$505,"&lt;="&amp;$A200,実績!$AJ$6:$AJ$505,"&gt;"&amp;$A200,実績!$AL$6:$AL$505,"○")&gt;0,1,0))</f>
        <v>0</v>
      </c>
      <c r="CL200" s="39" t="n">
        <f aca="false">IF(CL$4=0,0,IF(COUNTIFS(実績!$W$6:$W$505,CL$3,実績!$AI$6:$AI$505,"&lt;="&amp;$A200,実績!$AJ$6:$AJ$505,"&gt;"&amp;$A200,実績!$AL$6:$AL$505,"○")&gt;0,1,0))</f>
        <v>0</v>
      </c>
      <c r="CM200" s="39" t="n">
        <f aca="false">IF(CM$4=0,0,IF(COUNTIFS(実績!$W$6:$W$505,CM$3,実績!$AI$6:$AI$505,"&lt;="&amp;$A200,実績!$AJ$6:$AJ$505,"&gt;"&amp;$A200,実績!$AL$6:$AL$505,"○")&gt;0,1,0))</f>
        <v>0</v>
      </c>
      <c r="CN200" s="39" t="n">
        <f aca="false">IF(CN$4=0,0,IF(COUNTIFS(実績!$W$6:$W$505,CN$3,実績!$AI$6:$AI$505,"&lt;="&amp;$A200,実績!$AJ$6:$AJ$505,"&gt;"&amp;$A200,実績!$AL$6:$AL$505,"○")&gt;0,1,0))</f>
        <v>0</v>
      </c>
      <c r="CO200" s="39" t="n">
        <f aca="false">IF(CO$4=0,0,IF(COUNTIFS(実績!$W$6:$W$505,CO$3,実績!$AI$6:$AI$505,"&lt;="&amp;$A200,実績!$AJ$6:$AJ$505,"&gt;"&amp;$A200,実績!$AL$6:$AL$505,"○")&gt;0,1,0))</f>
        <v>0</v>
      </c>
      <c r="CP200" s="39" t="n">
        <f aca="false">IF(CP$4=0,0,IF(COUNTIFS(実績!$W$6:$W$505,CP$3,実績!$AI$6:$AI$505,"&lt;="&amp;$A200,実績!$AJ$6:$AJ$505,"&gt;"&amp;$A200,実績!$AL$6:$AL$505,"○")&gt;0,1,0))</f>
        <v>0</v>
      </c>
      <c r="CQ200" s="39" t="n">
        <f aca="false">IF(CQ$4=0,0,IF(COUNTIFS(実績!$W$6:$W$505,CQ$3,実績!$AI$6:$AI$505,"&lt;="&amp;$A200,実績!$AJ$6:$AJ$505,"&gt;"&amp;$A200,実績!$AL$6:$AL$505,"○")&gt;0,1,0))</f>
        <v>0</v>
      </c>
      <c r="CR200" s="39" t="n">
        <f aca="false">IF(CR$4=0,0,IF(COUNTIFS(実績!$W$6:$W$505,CR$3,実績!$AI$6:$AI$505,"&lt;="&amp;$A200,実績!$AJ$6:$AJ$505,"&gt;"&amp;$A200,実績!$AL$6:$AL$505,"○")&gt;0,1,0))</f>
        <v>0</v>
      </c>
      <c r="CS200" s="39" t="n">
        <f aca="false">IF(CS$4=0,0,IF(COUNTIFS(実績!$W$6:$W$505,CS$3,実績!$AI$6:$AI$505,"&lt;="&amp;$A200,実績!$AJ$6:$AJ$505,"&gt;"&amp;$A200,実績!$AL$6:$AL$505,"○")&gt;0,1,0))</f>
        <v>0</v>
      </c>
      <c r="CT200" s="39" t="n">
        <f aca="false">IF(CT$4=0,0,IF(COUNTIFS(実績!$W$6:$W$505,CT$3,実績!$AI$6:$AI$505,"&lt;="&amp;$A200,実績!$AJ$6:$AJ$505,"&gt;"&amp;$A200,実績!$AL$6:$AL$505,"○")&gt;0,1,0))</f>
        <v>0</v>
      </c>
      <c r="CU200" s="39" t="n">
        <f aca="false">IF(CU$4=0,0,IF(COUNTIFS(実績!$W$6:$W$505,CU$3,実績!$AI$6:$AI$505,"&lt;="&amp;$A200,実績!$AJ$6:$AJ$505,"&gt;"&amp;$A200,実績!$AL$6:$AL$505,"○")&gt;0,1,0))</f>
        <v>0</v>
      </c>
      <c r="CV200" s="39" t="n">
        <f aca="false">IF(CV$4=0,0,IF(COUNTIFS(実績!$W$6:$W$505,CV$3,実績!$AI$6:$AI$505,"&lt;="&amp;$A200,実績!$AJ$6:$AJ$505,"&gt;"&amp;$A200,実績!$AL$6:$AL$505,"○")&gt;0,1,0))</f>
        <v>0</v>
      </c>
      <c r="CW200" s="39" t="n">
        <f aca="false">IF(CW$4=0,0,IF(COUNTIFS(実績!$W$6:$W$505,CW$3,実績!$AI$6:$AI$505,"&lt;="&amp;$A200,実績!$AJ$6:$AJ$505,"&gt;"&amp;$A200,実績!$AL$6:$AL$505,"○")&gt;0,1,0))</f>
        <v>0</v>
      </c>
      <c r="CX200" s="39" t="n">
        <f aca="false">IF(CX$4=0,0,IF(COUNTIFS(実績!$W$6:$W$505,CX$3,実績!$AI$6:$AI$505,"&lt;="&amp;$A200,実績!$AJ$6:$AJ$505,"&gt;"&amp;$A200,実績!$AL$6:$AL$505,"○")&gt;0,1,0))</f>
        <v>0</v>
      </c>
      <c r="CY200" s="39" t="n">
        <f aca="false">IF(CY$4=0,0,IF(COUNTIFS(実績!$W$6:$W$505,CY$3,実績!$AI$6:$AI$505,"&lt;="&amp;$A200,実績!$AJ$6:$AJ$505,"&gt;"&amp;$A200,実績!$AL$6:$AL$505,"○")&gt;0,1,0))</f>
        <v>0</v>
      </c>
      <c r="CZ200" s="39" t="n">
        <f aca="false">IF(CZ$4=0,0,IF(COUNTIFS(実績!$W$6:$W$505,CZ$3,実績!$AI$6:$AI$505,"&lt;="&amp;$A200,実績!$AJ$6:$AJ$505,"&gt;"&amp;$A200,実績!$AL$6:$AL$505,"○")&gt;0,1,0))</f>
        <v>0</v>
      </c>
      <c r="DA200" s="39" t="n">
        <f aca="false">IF(DA$4=0,0,IF(COUNTIFS(実績!$W$6:$W$505,DA$3,実績!$AI$6:$AI$505,"&lt;="&amp;$A200,実績!$AJ$6:$AJ$505,"&gt;"&amp;$A200,実績!$AL$6:$AL$505,"○")&gt;0,1,0))</f>
        <v>0</v>
      </c>
      <c r="DB200" s="39" t="n">
        <f aca="false">IF(DB$4=0,0,IF(COUNTIFS(実績!$W$6:$W$505,DB$3,実績!$AI$6:$AI$505,"&lt;="&amp;$A200,実績!$AJ$6:$AJ$505,"&gt;"&amp;$A200,実績!$AL$6:$AL$505,"○")&gt;0,1,0))</f>
        <v>0</v>
      </c>
      <c r="DC200" s="39" t="n">
        <f aca="false">IF(DC$4=0,0,IF(COUNTIFS(実績!$W$6:$W$505,DC$3,実績!$AI$6:$AI$505,"&lt;="&amp;$A200,実績!$AJ$6:$AJ$505,"&gt;"&amp;$A200,実績!$AL$6:$AL$505,"○")&gt;0,1,0))</f>
        <v>0</v>
      </c>
      <c r="DD200" s="39" t="n">
        <f aca="false">IF(DD$4=0,0,IF(COUNTIFS(実績!$W$6:$W$505,DD$3,実績!$AI$6:$AI$505,"&lt;="&amp;$A200,実績!$AJ$6:$AJ$505,"&gt;"&amp;$A200,実績!$AL$6:$AL$505,"○")&gt;0,1,0))</f>
        <v>0</v>
      </c>
      <c r="DE200" s="39" t="n">
        <f aca="false">IF(DE$4=0,0,IF(COUNTIFS(実績!$W$6:$W$505,DE$3,実績!$AI$6:$AI$505,"&lt;="&amp;$A200,実績!$AJ$6:$AJ$505,"&gt;"&amp;$A200,実績!$AL$6:$AL$505,"○")&gt;0,1,0))</f>
        <v>0</v>
      </c>
      <c r="DF200" s="39" t="n">
        <f aca="false">IF(DF$4=0,0,IF(COUNTIFS(実績!$W$6:$W$505,DF$3,実績!$AI$6:$AI$505,"&lt;="&amp;$A200,実績!$AJ$6:$AJ$505,"&gt;"&amp;$A200,実績!$AL$6:$AL$505,"○")&gt;0,1,0))</f>
        <v>0</v>
      </c>
      <c r="DG200" s="39" t="n">
        <f aca="false">IF(DG$4=0,0,IF(COUNTIFS(実績!$W$6:$W$505,DG$3,実績!$AI$6:$AI$505,"&lt;="&amp;$A200,実績!$AJ$6:$AJ$505,"&gt;"&amp;$A200,実績!$AL$6:$AL$505,"○")&gt;0,1,0))</f>
        <v>0</v>
      </c>
      <c r="DH200" s="39" t="n">
        <f aca="false">IF(DH$4=0,0,IF(COUNTIFS(実績!$W$6:$W$505,DH$3,実績!$AI$6:$AI$505,"&lt;="&amp;$A200,実績!$AJ$6:$AJ$505,"&gt;"&amp;$A200,実績!$AL$6:$AL$505,"○")&gt;0,1,0))</f>
        <v>0</v>
      </c>
      <c r="DI200" s="39" t="n">
        <f aca="false">IF(DI$4=0,0,IF(COUNTIFS(実績!$W$6:$W$505,DI$3,実績!$AI$6:$AI$505,"&lt;="&amp;$A200,実績!$AJ$6:$AJ$505,"&gt;"&amp;$A200,実績!$AL$6:$AL$505,"○")&gt;0,1,0))</f>
        <v>0</v>
      </c>
      <c r="DJ200" s="39" t="n">
        <f aca="false">IF(DJ$4=0,0,IF(COUNTIFS(実績!$W$6:$W$505,DJ$3,実績!$AI$6:$AI$505,"&lt;="&amp;$A200,実績!$AJ$6:$AJ$505,"&gt;"&amp;$A200,実績!$AL$6:$AL$505,"○")&gt;0,1,0))</f>
        <v>0</v>
      </c>
      <c r="DK200" s="39" t="n">
        <f aca="false">IF(DK$4=0,0,IF(COUNTIFS(実績!$W$6:$W$505,DK$3,実績!$AI$6:$AI$505,"&lt;="&amp;$A200,実績!$AJ$6:$AJ$505,"&gt;"&amp;$A200,実績!$AL$6:$AL$505,"○")&gt;0,1,0))</f>
        <v>0</v>
      </c>
      <c r="DL200" s="39" t="n">
        <f aca="false">IF(DL$4=0,0,IF(COUNTIFS(実績!$W$6:$W$505,DL$3,実績!$AI$6:$AI$505,"&lt;="&amp;$A200,実績!$AJ$6:$AJ$505,"&gt;"&amp;$A200,実績!$AL$6:$AL$505,"○")&gt;0,1,0))</f>
        <v>0</v>
      </c>
      <c r="DM200" s="39" t="n">
        <f aca="false">IF(DM$4=0,0,IF(COUNTIFS(実績!$W$6:$W$505,DM$3,実績!$AI$6:$AI$505,"&lt;="&amp;$A200,実績!$AJ$6:$AJ$505,"&gt;"&amp;$A200,実績!$AL$6:$AL$505,"○")&gt;0,1,0))</f>
        <v>0</v>
      </c>
      <c r="DN200" s="39" t="n">
        <f aca="false">IF(DN$4=0,0,IF(COUNTIFS(実績!$W$6:$W$505,DN$3,実績!$AI$6:$AI$505,"&lt;="&amp;$A200,実績!$AJ$6:$AJ$505,"&gt;"&amp;$A200,実績!$AL$6:$AL$505,"○")&gt;0,1,0))</f>
        <v>0</v>
      </c>
      <c r="DO200" s="39" t="n">
        <f aca="false">IF(DO$4=0,0,IF(COUNTIFS(実績!$W$6:$W$505,DO$3,実績!$AI$6:$AI$505,"&lt;="&amp;$A200,実績!$AJ$6:$AJ$505,"&gt;"&amp;$A200,実績!$AL$6:$AL$505,"○")&gt;0,1,0))</f>
        <v>0</v>
      </c>
      <c r="DP200" s="39" t="n">
        <f aca="false">IF(DP$4=0,0,IF(COUNTIFS(実績!$W$6:$W$505,DP$3,実績!$AI$6:$AI$505,"&lt;="&amp;$A200,実績!$AJ$6:$AJ$505,"&gt;"&amp;$A200,実績!$AL$6:$AL$505,"○")&gt;0,1,0))</f>
        <v>0</v>
      </c>
      <c r="DQ200" s="39" t="n">
        <f aca="false">IF(DQ$4=0,0,IF(COUNTIFS(実績!$W$6:$W$505,DQ$3,実績!$AI$6:$AI$505,"&lt;="&amp;$A200,実績!$AJ$6:$AJ$505,"&gt;"&amp;$A200,実績!$AL$6:$AL$505,"○")&gt;0,1,0))</f>
        <v>0</v>
      </c>
      <c r="DR200" s="39" t="n">
        <f aca="false">IF(DR$4=0,0,IF(COUNTIFS(実績!$W$6:$W$505,DR$3,実績!$AI$6:$AI$505,"&lt;="&amp;$A200,実績!$AJ$6:$AJ$505,"&gt;"&amp;$A200,実績!$AL$6:$AL$505,"○")&gt;0,1,0))</f>
        <v>0</v>
      </c>
      <c r="DS200" s="39" t="n">
        <f aca="false">SUM(C200:DR200)</f>
        <v>0</v>
      </c>
    </row>
    <row r="201" customFormat="false" ht="15" hidden="false" customHeight="false" outlineLevel="0" collapsed="false">
      <c r="A201" s="0" t="n">
        <v>975</v>
      </c>
      <c r="B201" s="38" t="n">
        <f aca="false">A201/1440</f>
        <v>0.677083333333333</v>
      </c>
      <c r="C201" s="39" t="n">
        <f aca="false">IF(C$4=0,0,IF(COUNTIFS(実績!$W$6:$W$505,C$3,実績!$AI$6:$AI$505,"&lt;="&amp;$A201,実績!$AJ$6:$AJ$505,"&gt;"&amp;$A201,実績!$AL$6:$AL$505,"○")&gt;0,1,0))</f>
        <v>0</v>
      </c>
      <c r="D201" s="39" t="n">
        <f aca="false">IF(D$4=0,0,IF(COUNTIFS(実績!$W$6:$W$505,D$3,実績!$AI$6:$AI$505,"&lt;="&amp;$A201,実績!$AJ$6:$AJ$505,"&gt;"&amp;$A201,実績!$AL$6:$AL$505,"○")&gt;0,1,0))</f>
        <v>0</v>
      </c>
      <c r="E201" s="39" t="n">
        <f aca="false">IF(E$4=0,0,IF(COUNTIFS(実績!$W$6:$W$505,E$3,実績!$AI$6:$AI$505,"&lt;="&amp;$A201,実績!$AJ$6:$AJ$505,"&gt;"&amp;$A201,実績!$AL$6:$AL$505,"○")&gt;0,1,0))</f>
        <v>0</v>
      </c>
      <c r="F201" s="39" t="n">
        <f aca="false">IF(F$4=0,0,IF(COUNTIFS(実績!$W$6:$W$505,F$3,実績!$AI$6:$AI$505,"&lt;="&amp;$A201,実績!$AJ$6:$AJ$505,"&gt;"&amp;$A201,実績!$AL$6:$AL$505,"○")&gt;0,1,0))</f>
        <v>0</v>
      </c>
      <c r="G201" s="39" t="n">
        <f aca="false">IF(G$4=0,0,IF(COUNTIFS(実績!$W$6:$W$505,G$3,実績!$AI$6:$AI$505,"&lt;="&amp;$A201,実績!$AJ$6:$AJ$505,"&gt;"&amp;$A201,実績!$AL$6:$AL$505,"○")&gt;0,1,0))</f>
        <v>0</v>
      </c>
      <c r="H201" s="39" t="n">
        <f aca="false">IF(H$4=0,0,IF(COUNTIFS(実績!$W$6:$W$505,H$3,実績!$AI$6:$AI$505,"&lt;="&amp;$A201,実績!$AJ$6:$AJ$505,"&gt;"&amp;$A201,実績!$AL$6:$AL$505,"○")&gt;0,1,0))</f>
        <v>0</v>
      </c>
      <c r="I201" s="39" t="n">
        <f aca="false">IF(I$4=0,0,IF(COUNTIFS(実績!$W$6:$W$505,I$3,実績!$AI$6:$AI$505,"&lt;="&amp;$A201,実績!$AJ$6:$AJ$505,"&gt;"&amp;$A201,実績!$AL$6:$AL$505,"○")&gt;0,1,0))</f>
        <v>0</v>
      </c>
      <c r="J201" s="39" t="n">
        <f aca="false">IF(J$4=0,0,IF(COUNTIFS(実績!$W$6:$W$505,J$3,実績!$AI$6:$AI$505,"&lt;="&amp;$A201,実績!$AJ$6:$AJ$505,"&gt;"&amp;$A201,実績!$AL$6:$AL$505,"○")&gt;0,1,0))</f>
        <v>0</v>
      </c>
      <c r="K201" s="39" t="n">
        <f aca="false">IF(K$4=0,0,IF(COUNTIFS(実績!$W$6:$W$505,K$3,実績!$AI$6:$AI$505,"&lt;="&amp;$A201,実績!$AJ$6:$AJ$505,"&gt;"&amp;$A201,実績!$AL$6:$AL$505,"○")&gt;0,1,0))</f>
        <v>0</v>
      </c>
      <c r="L201" s="39" t="n">
        <f aca="false">IF(L$4=0,0,IF(COUNTIFS(実績!$W$6:$W$505,L$3,実績!$AI$6:$AI$505,"&lt;="&amp;$A201,実績!$AJ$6:$AJ$505,"&gt;"&amp;$A201,実績!$AL$6:$AL$505,"○")&gt;0,1,0))</f>
        <v>0</v>
      </c>
      <c r="M201" s="39" t="n">
        <f aca="false">IF(M$4=0,0,IF(COUNTIFS(実績!$W$6:$W$505,M$3,実績!$AI$6:$AI$505,"&lt;="&amp;$A201,実績!$AJ$6:$AJ$505,"&gt;"&amp;$A201,実績!$AL$6:$AL$505,"○")&gt;0,1,0))</f>
        <v>0</v>
      </c>
      <c r="N201" s="39" t="n">
        <f aca="false">IF(N$4=0,0,IF(COUNTIFS(実績!$W$6:$W$505,N$3,実績!$AI$6:$AI$505,"&lt;="&amp;$A201,実績!$AJ$6:$AJ$505,"&gt;"&amp;$A201,実績!$AL$6:$AL$505,"○")&gt;0,1,0))</f>
        <v>0</v>
      </c>
      <c r="O201" s="39" t="n">
        <f aca="false">IF(O$4=0,0,IF(COUNTIFS(実績!$W$6:$W$505,O$3,実績!$AI$6:$AI$505,"&lt;="&amp;$A201,実績!$AJ$6:$AJ$505,"&gt;"&amp;$A201,実績!$AL$6:$AL$505,"○")&gt;0,1,0))</f>
        <v>0</v>
      </c>
      <c r="P201" s="39" t="n">
        <f aca="false">IF(P$4=0,0,IF(COUNTIFS(実績!$W$6:$W$505,P$3,実績!$AI$6:$AI$505,"&lt;="&amp;$A201,実績!$AJ$6:$AJ$505,"&gt;"&amp;$A201,実績!$AL$6:$AL$505,"○")&gt;0,1,0))</f>
        <v>0</v>
      </c>
      <c r="Q201" s="39" t="n">
        <f aca="false">IF(Q$4=0,0,IF(COUNTIFS(実績!$W$6:$W$505,Q$3,実績!$AI$6:$AI$505,"&lt;="&amp;$A201,実績!$AJ$6:$AJ$505,"&gt;"&amp;$A201,実績!$AL$6:$AL$505,"○")&gt;0,1,0))</f>
        <v>0</v>
      </c>
      <c r="R201" s="39" t="n">
        <f aca="false">IF(R$4=0,0,IF(COUNTIFS(実績!$W$6:$W$505,R$3,実績!$AI$6:$AI$505,"&lt;="&amp;$A201,実績!$AJ$6:$AJ$505,"&gt;"&amp;$A201,実績!$AL$6:$AL$505,"○")&gt;0,1,0))</f>
        <v>0</v>
      </c>
      <c r="S201" s="39" t="n">
        <f aca="false">IF(S$4=0,0,IF(COUNTIFS(実績!$W$6:$W$505,S$3,実績!$AI$6:$AI$505,"&lt;="&amp;$A201,実績!$AJ$6:$AJ$505,"&gt;"&amp;$A201,実績!$AL$6:$AL$505,"○")&gt;0,1,0))</f>
        <v>0</v>
      </c>
      <c r="T201" s="39" t="n">
        <f aca="false">IF(T$4=0,0,IF(COUNTIFS(実績!$W$6:$W$505,T$3,実績!$AI$6:$AI$505,"&lt;="&amp;$A201,実績!$AJ$6:$AJ$505,"&gt;"&amp;$A201,実績!$AL$6:$AL$505,"○")&gt;0,1,0))</f>
        <v>0</v>
      </c>
      <c r="U201" s="39" t="n">
        <f aca="false">IF(U$4=0,0,IF(COUNTIFS(実績!$W$6:$W$505,U$3,実績!$AI$6:$AI$505,"&lt;="&amp;$A201,実績!$AJ$6:$AJ$505,"&gt;"&amp;$A201,実績!$AL$6:$AL$505,"○")&gt;0,1,0))</f>
        <v>0</v>
      </c>
      <c r="V201" s="39" t="n">
        <f aca="false">IF(V$4=0,0,IF(COUNTIFS(実績!$W$6:$W$505,V$3,実績!$AI$6:$AI$505,"&lt;="&amp;$A201,実績!$AJ$6:$AJ$505,"&gt;"&amp;$A201,実績!$AL$6:$AL$505,"○")&gt;0,1,0))</f>
        <v>0</v>
      </c>
      <c r="W201" s="39" t="n">
        <f aca="false">IF(W$4=0,0,IF(COUNTIFS(実績!$W$6:$W$505,W$3,実績!$AI$6:$AI$505,"&lt;="&amp;$A201,実績!$AJ$6:$AJ$505,"&gt;"&amp;$A201,実績!$AL$6:$AL$505,"○")&gt;0,1,0))</f>
        <v>0</v>
      </c>
      <c r="X201" s="39" t="n">
        <f aca="false">IF(X$4=0,0,IF(COUNTIFS(実績!$W$6:$W$505,X$3,実績!$AI$6:$AI$505,"&lt;="&amp;$A201,実績!$AJ$6:$AJ$505,"&gt;"&amp;$A201,実績!$AL$6:$AL$505,"○")&gt;0,1,0))</f>
        <v>0</v>
      </c>
      <c r="Y201" s="39" t="n">
        <f aca="false">IF(Y$4=0,0,IF(COUNTIFS(実績!$W$6:$W$505,Y$3,実績!$AI$6:$AI$505,"&lt;="&amp;$A201,実績!$AJ$6:$AJ$505,"&gt;"&amp;$A201,実績!$AL$6:$AL$505,"○")&gt;0,1,0))</f>
        <v>0</v>
      </c>
      <c r="Z201" s="39" t="n">
        <f aca="false">IF(Z$4=0,0,IF(COUNTIFS(実績!$W$6:$W$505,Z$3,実績!$AI$6:$AI$505,"&lt;="&amp;$A201,実績!$AJ$6:$AJ$505,"&gt;"&amp;$A201,実績!$AL$6:$AL$505,"○")&gt;0,1,0))</f>
        <v>0</v>
      </c>
      <c r="AA201" s="39" t="n">
        <f aca="false">IF(AA$4=0,0,IF(COUNTIFS(実績!$W$6:$W$505,AA$3,実績!$AI$6:$AI$505,"&lt;="&amp;$A201,実績!$AJ$6:$AJ$505,"&gt;"&amp;$A201,実績!$AL$6:$AL$505,"○")&gt;0,1,0))</f>
        <v>0</v>
      </c>
      <c r="AB201" s="39" t="n">
        <f aca="false">IF(AB$4=0,0,IF(COUNTIFS(実績!$W$6:$W$505,AB$3,実績!$AI$6:$AI$505,"&lt;="&amp;$A201,実績!$AJ$6:$AJ$505,"&gt;"&amp;$A201,実績!$AL$6:$AL$505,"○")&gt;0,1,0))</f>
        <v>0</v>
      </c>
      <c r="AC201" s="39" t="n">
        <f aca="false">IF(AC$4=0,0,IF(COUNTIFS(実績!$W$6:$W$505,AC$3,実績!$AI$6:$AI$505,"&lt;="&amp;$A201,実績!$AJ$6:$AJ$505,"&gt;"&amp;$A201,実績!$AL$6:$AL$505,"○")&gt;0,1,0))</f>
        <v>0</v>
      </c>
      <c r="AD201" s="39" t="n">
        <f aca="false">IF(AD$4=0,0,IF(COUNTIFS(実績!$W$6:$W$505,AD$3,実績!$AI$6:$AI$505,"&lt;="&amp;$A201,実績!$AJ$6:$AJ$505,"&gt;"&amp;$A201,実績!$AL$6:$AL$505,"○")&gt;0,1,0))</f>
        <v>0</v>
      </c>
      <c r="AE201" s="39" t="n">
        <f aca="false">IF(AE$4=0,0,IF(COUNTIFS(実績!$W$6:$W$505,AE$3,実績!$AI$6:$AI$505,"&lt;="&amp;$A201,実績!$AJ$6:$AJ$505,"&gt;"&amp;$A201,実績!$AL$6:$AL$505,"○")&gt;0,1,0))</f>
        <v>0</v>
      </c>
      <c r="AF201" s="39" t="n">
        <f aca="false">IF(AF$4=0,0,IF(COUNTIFS(実績!$W$6:$W$505,AF$3,実績!$AI$6:$AI$505,"&lt;="&amp;$A201,実績!$AJ$6:$AJ$505,"&gt;"&amp;$A201,実績!$AL$6:$AL$505,"○")&gt;0,1,0))</f>
        <v>0</v>
      </c>
      <c r="AG201" s="39" t="n">
        <f aca="false">IF(AG$4=0,0,IF(COUNTIFS(実績!$W$6:$W$505,AG$3,実績!$AI$6:$AI$505,"&lt;="&amp;$A201,実績!$AJ$6:$AJ$505,"&gt;"&amp;$A201,実績!$AL$6:$AL$505,"○")&gt;0,1,0))</f>
        <v>0</v>
      </c>
      <c r="AH201" s="39" t="n">
        <f aca="false">IF(AH$4=0,0,IF(COUNTIFS(実績!$W$6:$W$505,AH$3,実績!$AI$6:$AI$505,"&lt;="&amp;$A201,実績!$AJ$6:$AJ$505,"&gt;"&amp;$A201,実績!$AL$6:$AL$505,"○")&gt;0,1,0))</f>
        <v>0</v>
      </c>
      <c r="AI201" s="39" t="n">
        <f aca="false">IF(AI$4=0,0,IF(COUNTIFS(実績!$W$6:$W$505,AI$3,実績!$AI$6:$AI$505,"&lt;="&amp;$A201,実績!$AJ$6:$AJ$505,"&gt;"&amp;$A201,実績!$AL$6:$AL$505,"○")&gt;0,1,0))</f>
        <v>0</v>
      </c>
      <c r="AJ201" s="39" t="n">
        <f aca="false">IF(AJ$4=0,0,IF(COUNTIFS(実績!$W$6:$W$505,AJ$3,実績!$AI$6:$AI$505,"&lt;="&amp;$A201,実績!$AJ$6:$AJ$505,"&gt;"&amp;$A201,実績!$AL$6:$AL$505,"○")&gt;0,1,0))</f>
        <v>0</v>
      </c>
      <c r="AK201" s="39" t="n">
        <f aca="false">IF(AK$4=0,0,IF(COUNTIFS(実績!$W$6:$W$505,AK$3,実績!$AI$6:$AI$505,"&lt;="&amp;$A201,実績!$AJ$6:$AJ$505,"&gt;"&amp;$A201,実績!$AL$6:$AL$505,"○")&gt;0,1,0))</f>
        <v>0</v>
      </c>
      <c r="AL201" s="39" t="n">
        <f aca="false">IF(AL$4=0,0,IF(COUNTIFS(実績!$W$6:$W$505,AL$3,実績!$AI$6:$AI$505,"&lt;="&amp;$A201,実績!$AJ$6:$AJ$505,"&gt;"&amp;$A201,実績!$AL$6:$AL$505,"○")&gt;0,1,0))</f>
        <v>0</v>
      </c>
      <c r="AM201" s="39" t="n">
        <f aca="false">IF(AM$4=0,0,IF(COUNTIFS(実績!$W$6:$W$505,AM$3,実績!$AI$6:$AI$505,"&lt;="&amp;$A201,実績!$AJ$6:$AJ$505,"&gt;"&amp;$A201,実績!$AL$6:$AL$505,"○")&gt;0,1,0))</f>
        <v>0</v>
      </c>
      <c r="AN201" s="39" t="n">
        <f aca="false">IF(AN$4=0,0,IF(COUNTIFS(実績!$W$6:$W$505,AN$3,実績!$AI$6:$AI$505,"&lt;="&amp;$A201,実績!$AJ$6:$AJ$505,"&gt;"&amp;$A201,実績!$AL$6:$AL$505,"○")&gt;0,1,0))</f>
        <v>0</v>
      </c>
      <c r="AO201" s="39" t="n">
        <f aca="false">IF(AO$4=0,0,IF(COUNTIFS(実績!$W$6:$W$505,AO$3,実績!$AI$6:$AI$505,"&lt;="&amp;$A201,実績!$AJ$6:$AJ$505,"&gt;"&amp;$A201,実績!$AL$6:$AL$505,"○")&gt;0,1,0))</f>
        <v>0</v>
      </c>
      <c r="AP201" s="39" t="n">
        <f aca="false">IF(AP$4=0,0,IF(COUNTIFS(実績!$W$6:$W$505,AP$3,実績!$AI$6:$AI$505,"&lt;="&amp;$A201,実績!$AJ$6:$AJ$505,"&gt;"&amp;$A201,実績!$AL$6:$AL$505,"○")&gt;0,1,0))</f>
        <v>0</v>
      </c>
      <c r="AQ201" s="39" t="n">
        <f aca="false">IF(AQ$4=0,0,IF(COUNTIFS(実績!$W$6:$W$505,AQ$3,実績!$AI$6:$AI$505,"&lt;="&amp;$A201,実績!$AJ$6:$AJ$505,"&gt;"&amp;$A201,実績!$AL$6:$AL$505,"○")&gt;0,1,0))</f>
        <v>0</v>
      </c>
      <c r="AR201" s="39" t="n">
        <f aca="false">IF(AR$4=0,0,IF(COUNTIFS(実績!$W$6:$W$505,AR$3,実績!$AI$6:$AI$505,"&lt;="&amp;$A201,実績!$AJ$6:$AJ$505,"&gt;"&amp;$A201,実績!$AL$6:$AL$505,"○")&gt;0,1,0))</f>
        <v>0</v>
      </c>
      <c r="AS201" s="39" t="n">
        <f aca="false">IF(AS$4=0,0,IF(COUNTIFS(実績!$W$6:$W$505,AS$3,実績!$AI$6:$AI$505,"&lt;="&amp;$A201,実績!$AJ$6:$AJ$505,"&gt;"&amp;$A201,実績!$AL$6:$AL$505,"○")&gt;0,1,0))</f>
        <v>0</v>
      </c>
      <c r="AT201" s="39" t="n">
        <f aca="false">IF(AT$4=0,0,IF(COUNTIFS(実績!$W$6:$W$505,AT$3,実績!$AI$6:$AI$505,"&lt;="&amp;$A201,実績!$AJ$6:$AJ$505,"&gt;"&amp;$A201,実績!$AL$6:$AL$505,"○")&gt;0,1,0))</f>
        <v>0</v>
      </c>
      <c r="AU201" s="39" t="n">
        <f aca="false">IF(AU$4=0,0,IF(COUNTIFS(実績!$W$6:$W$505,AU$3,実績!$AI$6:$AI$505,"&lt;="&amp;$A201,実績!$AJ$6:$AJ$505,"&gt;"&amp;$A201,実績!$AL$6:$AL$505,"○")&gt;0,1,0))</f>
        <v>0</v>
      </c>
      <c r="AV201" s="39" t="n">
        <f aca="false">IF(AV$4=0,0,IF(COUNTIFS(実績!$W$6:$W$505,AV$3,実績!$AI$6:$AI$505,"&lt;="&amp;$A201,実績!$AJ$6:$AJ$505,"&gt;"&amp;$A201,実績!$AL$6:$AL$505,"○")&gt;0,1,0))</f>
        <v>0</v>
      </c>
      <c r="AW201" s="39" t="n">
        <f aca="false">IF(AW$4=0,0,IF(COUNTIFS(実績!$W$6:$W$505,AW$3,実績!$AI$6:$AI$505,"&lt;="&amp;$A201,実績!$AJ$6:$AJ$505,"&gt;"&amp;$A201,実績!$AL$6:$AL$505,"○")&gt;0,1,0))</f>
        <v>0</v>
      </c>
      <c r="AX201" s="39" t="n">
        <f aca="false">IF(AX$4=0,0,IF(COUNTIFS(実績!$W$6:$W$505,AX$3,実績!$AI$6:$AI$505,"&lt;="&amp;$A201,実績!$AJ$6:$AJ$505,"&gt;"&amp;$A201,実績!$AL$6:$AL$505,"○")&gt;0,1,0))</f>
        <v>0</v>
      </c>
      <c r="AY201" s="39" t="n">
        <f aca="false">IF(AY$4=0,0,IF(COUNTIFS(実績!$W$6:$W$505,AY$3,実績!$AI$6:$AI$505,"&lt;="&amp;$A201,実績!$AJ$6:$AJ$505,"&gt;"&amp;$A201,実績!$AL$6:$AL$505,"○")&gt;0,1,0))</f>
        <v>0</v>
      </c>
      <c r="AZ201" s="39" t="n">
        <f aca="false">IF(AZ$4=0,0,IF(COUNTIFS(実績!$W$6:$W$505,AZ$3,実績!$AI$6:$AI$505,"&lt;="&amp;$A201,実績!$AJ$6:$AJ$505,"&gt;"&amp;$A201,実績!$AL$6:$AL$505,"○")&gt;0,1,0))</f>
        <v>0</v>
      </c>
      <c r="BA201" s="39" t="n">
        <f aca="false">IF(BA$4=0,0,IF(COUNTIFS(実績!$W$6:$W$505,BA$3,実績!$AI$6:$AI$505,"&lt;="&amp;$A201,実績!$AJ$6:$AJ$505,"&gt;"&amp;$A201,実績!$AL$6:$AL$505,"○")&gt;0,1,0))</f>
        <v>0</v>
      </c>
      <c r="BB201" s="39" t="n">
        <f aca="false">IF(BB$4=0,0,IF(COUNTIFS(実績!$W$6:$W$505,BB$3,実績!$AI$6:$AI$505,"&lt;="&amp;$A201,実績!$AJ$6:$AJ$505,"&gt;"&amp;$A201,実績!$AL$6:$AL$505,"○")&gt;0,1,0))</f>
        <v>0</v>
      </c>
      <c r="BC201" s="39" t="n">
        <f aca="false">IF(BC$4=0,0,IF(COUNTIFS(実績!$W$6:$W$505,BC$3,実績!$AI$6:$AI$505,"&lt;="&amp;$A201,実績!$AJ$6:$AJ$505,"&gt;"&amp;$A201,実績!$AL$6:$AL$505,"○")&gt;0,1,0))</f>
        <v>0</v>
      </c>
      <c r="BD201" s="39" t="n">
        <f aca="false">IF(BD$4=0,0,IF(COUNTIFS(実績!$W$6:$W$505,BD$3,実績!$AI$6:$AI$505,"&lt;="&amp;$A201,実績!$AJ$6:$AJ$505,"&gt;"&amp;$A201,実績!$AL$6:$AL$505,"○")&gt;0,1,0))</f>
        <v>0</v>
      </c>
      <c r="BE201" s="39" t="n">
        <f aca="false">IF(BE$4=0,0,IF(COUNTIFS(実績!$W$6:$W$505,BE$3,実績!$AI$6:$AI$505,"&lt;="&amp;$A201,実績!$AJ$6:$AJ$505,"&gt;"&amp;$A201,実績!$AL$6:$AL$505,"○")&gt;0,1,0))</f>
        <v>0</v>
      </c>
      <c r="BF201" s="39" t="n">
        <f aca="false">IF(BF$4=0,0,IF(COUNTIFS(実績!$W$6:$W$505,BF$3,実績!$AI$6:$AI$505,"&lt;="&amp;$A201,実績!$AJ$6:$AJ$505,"&gt;"&amp;$A201,実績!$AL$6:$AL$505,"○")&gt;0,1,0))</f>
        <v>0</v>
      </c>
      <c r="BG201" s="39" t="n">
        <f aca="false">IF(BG$4=0,0,IF(COUNTIFS(実績!$W$6:$W$505,BG$3,実績!$AI$6:$AI$505,"&lt;="&amp;$A201,実績!$AJ$6:$AJ$505,"&gt;"&amp;$A201,実績!$AL$6:$AL$505,"○")&gt;0,1,0))</f>
        <v>0</v>
      </c>
      <c r="BH201" s="39" t="n">
        <f aca="false">IF(BH$4=0,0,IF(COUNTIFS(実績!$W$6:$W$505,BH$3,実績!$AI$6:$AI$505,"&lt;="&amp;$A201,実績!$AJ$6:$AJ$505,"&gt;"&amp;$A201,実績!$AL$6:$AL$505,"○")&gt;0,1,0))</f>
        <v>0</v>
      </c>
      <c r="BI201" s="39" t="n">
        <f aca="false">IF(BI$4=0,0,IF(COUNTIFS(実績!$W$6:$W$505,BI$3,実績!$AI$6:$AI$505,"&lt;="&amp;$A201,実績!$AJ$6:$AJ$505,"&gt;"&amp;$A201,実績!$AL$6:$AL$505,"○")&gt;0,1,0))</f>
        <v>0</v>
      </c>
      <c r="BJ201" s="39" t="n">
        <f aca="false">IF(BJ$4=0,0,IF(COUNTIFS(実績!$W$6:$W$505,BJ$3,実績!$AI$6:$AI$505,"&lt;="&amp;$A201,実績!$AJ$6:$AJ$505,"&gt;"&amp;$A201,実績!$AL$6:$AL$505,"○")&gt;0,1,0))</f>
        <v>0</v>
      </c>
      <c r="BK201" s="39" t="n">
        <f aca="false">IF(BK$4=0,0,IF(COUNTIFS(実績!$W$6:$W$505,BK$3,実績!$AI$6:$AI$505,"&lt;="&amp;$A201,実績!$AJ$6:$AJ$505,"&gt;"&amp;$A201,実績!$AL$6:$AL$505,"○")&gt;0,1,0))</f>
        <v>0</v>
      </c>
      <c r="BL201" s="39" t="n">
        <f aca="false">IF(BL$4=0,0,IF(COUNTIFS(実績!$W$6:$W$505,BL$3,実績!$AI$6:$AI$505,"&lt;="&amp;$A201,実績!$AJ$6:$AJ$505,"&gt;"&amp;$A201,実績!$AL$6:$AL$505,"○")&gt;0,1,0))</f>
        <v>0</v>
      </c>
      <c r="BM201" s="39" t="n">
        <f aca="false">IF(BM$4=0,0,IF(COUNTIFS(実績!$W$6:$W$505,BM$3,実績!$AI$6:$AI$505,"&lt;="&amp;$A201,実績!$AJ$6:$AJ$505,"&gt;"&amp;$A201,実績!$AL$6:$AL$505,"○")&gt;0,1,0))</f>
        <v>0</v>
      </c>
      <c r="BN201" s="39" t="n">
        <f aca="false">IF(BN$4=0,0,IF(COUNTIFS(実績!$W$6:$W$505,BN$3,実績!$AI$6:$AI$505,"&lt;="&amp;$A201,実績!$AJ$6:$AJ$505,"&gt;"&amp;$A201,実績!$AL$6:$AL$505,"○")&gt;0,1,0))</f>
        <v>0</v>
      </c>
      <c r="BO201" s="39" t="n">
        <f aca="false">IF(BO$4=0,0,IF(COUNTIFS(実績!$W$6:$W$505,BO$3,実績!$AI$6:$AI$505,"&lt;="&amp;$A201,実績!$AJ$6:$AJ$505,"&gt;"&amp;$A201,実績!$AL$6:$AL$505,"○")&gt;0,1,0))</f>
        <v>0</v>
      </c>
      <c r="BP201" s="39" t="n">
        <f aca="false">IF(BP$4=0,0,IF(COUNTIFS(実績!$W$6:$W$505,BP$3,実績!$AI$6:$AI$505,"&lt;="&amp;$A201,実績!$AJ$6:$AJ$505,"&gt;"&amp;$A201,実績!$AL$6:$AL$505,"○")&gt;0,1,0))</f>
        <v>0</v>
      </c>
      <c r="BQ201" s="39" t="n">
        <f aca="false">IF(BQ$4=0,0,IF(COUNTIFS(実績!$W$6:$W$505,BQ$3,実績!$AI$6:$AI$505,"&lt;="&amp;$A201,実績!$AJ$6:$AJ$505,"&gt;"&amp;$A201,実績!$AL$6:$AL$505,"○")&gt;0,1,0))</f>
        <v>0</v>
      </c>
      <c r="BR201" s="39" t="n">
        <f aca="false">IF(BR$4=0,0,IF(COUNTIFS(実績!$W$6:$W$505,BR$3,実績!$AI$6:$AI$505,"&lt;="&amp;$A201,実績!$AJ$6:$AJ$505,"&gt;"&amp;$A201,実績!$AL$6:$AL$505,"○")&gt;0,1,0))</f>
        <v>0</v>
      </c>
      <c r="BS201" s="39" t="n">
        <f aca="false">IF(BS$4=0,0,IF(COUNTIFS(実績!$W$6:$W$505,BS$3,実績!$AI$6:$AI$505,"&lt;="&amp;$A201,実績!$AJ$6:$AJ$505,"&gt;"&amp;$A201,実績!$AL$6:$AL$505,"○")&gt;0,1,0))</f>
        <v>0</v>
      </c>
      <c r="BT201" s="39" t="n">
        <f aca="false">IF(BT$4=0,0,IF(COUNTIFS(実績!$W$6:$W$505,BT$3,実績!$AI$6:$AI$505,"&lt;="&amp;$A201,実績!$AJ$6:$AJ$505,"&gt;"&amp;$A201,実績!$AL$6:$AL$505,"○")&gt;0,1,0))</f>
        <v>0</v>
      </c>
      <c r="BU201" s="39" t="n">
        <f aca="false">IF(BU$4=0,0,IF(COUNTIFS(実績!$W$6:$W$505,BU$3,実績!$AI$6:$AI$505,"&lt;="&amp;$A201,実績!$AJ$6:$AJ$505,"&gt;"&amp;$A201,実績!$AL$6:$AL$505,"○")&gt;0,1,0))</f>
        <v>0</v>
      </c>
      <c r="BV201" s="39" t="n">
        <f aca="false">IF(BV$4=0,0,IF(COUNTIFS(実績!$W$6:$W$505,BV$3,実績!$AI$6:$AI$505,"&lt;="&amp;$A201,実績!$AJ$6:$AJ$505,"&gt;"&amp;$A201,実績!$AL$6:$AL$505,"○")&gt;0,1,0))</f>
        <v>0</v>
      </c>
      <c r="BW201" s="39" t="n">
        <f aca="false">IF(BW$4=0,0,IF(COUNTIFS(実績!$W$6:$W$505,BW$3,実績!$AI$6:$AI$505,"&lt;="&amp;$A201,実績!$AJ$6:$AJ$505,"&gt;"&amp;$A201,実績!$AL$6:$AL$505,"○")&gt;0,1,0))</f>
        <v>0</v>
      </c>
      <c r="BX201" s="39" t="n">
        <f aca="false">IF(BX$4=0,0,IF(COUNTIFS(実績!$W$6:$W$505,BX$3,実績!$AI$6:$AI$505,"&lt;="&amp;$A201,実績!$AJ$6:$AJ$505,"&gt;"&amp;$A201,実績!$AL$6:$AL$505,"○")&gt;0,1,0))</f>
        <v>0</v>
      </c>
      <c r="BY201" s="39" t="n">
        <f aca="false">IF(BY$4=0,0,IF(COUNTIFS(実績!$W$6:$W$505,BY$3,実績!$AI$6:$AI$505,"&lt;="&amp;$A201,実績!$AJ$6:$AJ$505,"&gt;"&amp;$A201,実績!$AL$6:$AL$505,"○")&gt;0,1,0))</f>
        <v>0</v>
      </c>
      <c r="BZ201" s="39" t="n">
        <f aca="false">IF(BZ$4=0,0,IF(COUNTIFS(実績!$W$6:$W$505,BZ$3,実績!$AI$6:$AI$505,"&lt;="&amp;$A201,実績!$AJ$6:$AJ$505,"&gt;"&amp;$A201,実績!$AL$6:$AL$505,"○")&gt;0,1,0))</f>
        <v>0</v>
      </c>
      <c r="CA201" s="39" t="n">
        <f aca="false">IF(CA$4=0,0,IF(COUNTIFS(実績!$W$6:$W$505,CA$3,実績!$AI$6:$AI$505,"&lt;="&amp;$A201,実績!$AJ$6:$AJ$505,"&gt;"&amp;$A201,実績!$AL$6:$AL$505,"○")&gt;0,1,0))</f>
        <v>0</v>
      </c>
      <c r="CB201" s="39" t="n">
        <f aca="false">IF(CB$4=0,0,IF(COUNTIFS(実績!$W$6:$W$505,CB$3,実績!$AI$6:$AI$505,"&lt;="&amp;$A201,実績!$AJ$6:$AJ$505,"&gt;"&amp;$A201,実績!$AL$6:$AL$505,"○")&gt;0,1,0))</f>
        <v>0</v>
      </c>
      <c r="CC201" s="39" t="n">
        <f aca="false">IF(CC$4=0,0,IF(COUNTIFS(実績!$W$6:$W$505,CC$3,実績!$AI$6:$AI$505,"&lt;="&amp;$A201,実績!$AJ$6:$AJ$505,"&gt;"&amp;$A201,実績!$AL$6:$AL$505,"○")&gt;0,1,0))</f>
        <v>0</v>
      </c>
      <c r="CD201" s="39" t="n">
        <f aca="false">IF(CD$4=0,0,IF(COUNTIFS(実績!$W$6:$W$505,CD$3,実績!$AI$6:$AI$505,"&lt;="&amp;$A201,実績!$AJ$6:$AJ$505,"&gt;"&amp;$A201,実績!$AL$6:$AL$505,"○")&gt;0,1,0))</f>
        <v>0</v>
      </c>
      <c r="CE201" s="39" t="n">
        <f aca="false">IF(CE$4=0,0,IF(COUNTIFS(実績!$W$6:$W$505,CE$3,実績!$AI$6:$AI$505,"&lt;="&amp;$A201,実績!$AJ$6:$AJ$505,"&gt;"&amp;$A201,実績!$AL$6:$AL$505,"○")&gt;0,1,0))</f>
        <v>0</v>
      </c>
      <c r="CF201" s="39" t="n">
        <f aca="false">IF(CF$4=0,0,IF(COUNTIFS(実績!$W$6:$W$505,CF$3,実績!$AI$6:$AI$505,"&lt;="&amp;$A201,実績!$AJ$6:$AJ$505,"&gt;"&amp;$A201,実績!$AL$6:$AL$505,"○")&gt;0,1,0))</f>
        <v>0</v>
      </c>
      <c r="CG201" s="39" t="n">
        <f aca="false">IF(CG$4=0,0,IF(COUNTIFS(実績!$W$6:$W$505,CG$3,実績!$AI$6:$AI$505,"&lt;="&amp;$A201,実績!$AJ$6:$AJ$505,"&gt;"&amp;$A201,実績!$AL$6:$AL$505,"○")&gt;0,1,0))</f>
        <v>0</v>
      </c>
      <c r="CH201" s="39" t="n">
        <f aca="false">IF(CH$4=0,0,IF(COUNTIFS(実績!$W$6:$W$505,CH$3,実績!$AI$6:$AI$505,"&lt;="&amp;$A201,実績!$AJ$6:$AJ$505,"&gt;"&amp;$A201,実績!$AL$6:$AL$505,"○")&gt;0,1,0))</f>
        <v>0</v>
      </c>
      <c r="CI201" s="39" t="n">
        <f aca="false">IF(CI$4=0,0,IF(COUNTIFS(実績!$W$6:$W$505,CI$3,実績!$AI$6:$AI$505,"&lt;="&amp;$A201,実績!$AJ$6:$AJ$505,"&gt;"&amp;$A201,実績!$AL$6:$AL$505,"○")&gt;0,1,0))</f>
        <v>0</v>
      </c>
      <c r="CJ201" s="39" t="n">
        <f aca="false">IF(CJ$4=0,0,IF(COUNTIFS(実績!$W$6:$W$505,CJ$3,実績!$AI$6:$AI$505,"&lt;="&amp;$A201,実績!$AJ$6:$AJ$505,"&gt;"&amp;$A201,実績!$AL$6:$AL$505,"○")&gt;0,1,0))</f>
        <v>0</v>
      </c>
      <c r="CK201" s="39" t="n">
        <f aca="false">IF(CK$4=0,0,IF(COUNTIFS(実績!$W$6:$W$505,CK$3,実績!$AI$6:$AI$505,"&lt;="&amp;$A201,実績!$AJ$6:$AJ$505,"&gt;"&amp;$A201,実績!$AL$6:$AL$505,"○")&gt;0,1,0))</f>
        <v>0</v>
      </c>
      <c r="CL201" s="39" t="n">
        <f aca="false">IF(CL$4=0,0,IF(COUNTIFS(実績!$W$6:$W$505,CL$3,実績!$AI$6:$AI$505,"&lt;="&amp;$A201,実績!$AJ$6:$AJ$505,"&gt;"&amp;$A201,実績!$AL$6:$AL$505,"○")&gt;0,1,0))</f>
        <v>0</v>
      </c>
      <c r="CM201" s="39" t="n">
        <f aca="false">IF(CM$4=0,0,IF(COUNTIFS(実績!$W$6:$W$505,CM$3,実績!$AI$6:$AI$505,"&lt;="&amp;$A201,実績!$AJ$6:$AJ$505,"&gt;"&amp;$A201,実績!$AL$6:$AL$505,"○")&gt;0,1,0))</f>
        <v>0</v>
      </c>
      <c r="CN201" s="39" t="n">
        <f aca="false">IF(CN$4=0,0,IF(COUNTIFS(実績!$W$6:$W$505,CN$3,実績!$AI$6:$AI$505,"&lt;="&amp;$A201,実績!$AJ$6:$AJ$505,"&gt;"&amp;$A201,実績!$AL$6:$AL$505,"○")&gt;0,1,0))</f>
        <v>0</v>
      </c>
      <c r="CO201" s="39" t="n">
        <f aca="false">IF(CO$4=0,0,IF(COUNTIFS(実績!$W$6:$W$505,CO$3,実績!$AI$6:$AI$505,"&lt;="&amp;$A201,実績!$AJ$6:$AJ$505,"&gt;"&amp;$A201,実績!$AL$6:$AL$505,"○")&gt;0,1,0))</f>
        <v>0</v>
      </c>
      <c r="CP201" s="39" t="n">
        <f aca="false">IF(CP$4=0,0,IF(COUNTIFS(実績!$W$6:$W$505,CP$3,実績!$AI$6:$AI$505,"&lt;="&amp;$A201,実績!$AJ$6:$AJ$505,"&gt;"&amp;$A201,実績!$AL$6:$AL$505,"○")&gt;0,1,0))</f>
        <v>0</v>
      </c>
      <c r="CQ201" s="39" t="n">
        <f aca="false">IF(CQ$4=0,0,IF(COUNTIFS(実績!$W$6:$W$505,CQ$3,実績!$AI$6:$AI$505,"&lt;="&amp;$A201,実績!$AJ$6:$AJ$505,"&gt;"&amp;$A201,実績!$AL$6:$AL$505,"○")&gt;0,1,0))</f>
        <v>0</v>
      </c>
      <c r="CR201" s="39" t="n">
        <f aca="false">IF(CR$4=0,0,IF(COUNTIFS(実績!$W$6:$W$505,CR$3,実績!$AI$6:$AI$505,"&lt;="&amp;$A201,実績!$AJ$6:$AJ$505,"&gt;"&amp;$A201,実績!$AL$6:$AL$505,"○")&gt;0,1,0))</f>
        <v>0</v>
      </c>
      <c r="CS201" s="39" t="n">
        <f aca="false">IF(CS$4=0,0,IF(COUNTIFS(実績!$W$6:$W$505,CS$3,実績!$AI$6:$AI$505,"&lt;="&amp;$A201,実績!$AJ$6:$AJ$505,"&gt;"&amp;$A201,実績!$AL$6:$AL$505,"○")&gt;0,1,0))</f>
        <v>0</v>
      </c>
      <c r="CT201" s="39" t="n">
        <f aca="false">IF(CT$4=0,0,IF(COUNTIFS(実績!$W$6:$W$505,CT$3,実績!$AI$6:$AI$505,"&lt;="&amp;$A201,実績!$AJ$6:$AJ$505,"&gt;"&amp;$A201,実績!$AL$6:$AL$505,"○")&gt;0,1,0))</f>
        <v>0</v>
      </c>
      <c r="CU201" s="39" t="n">
        <f aca="false">IF(CU$4=0,0,IF(COUNTIFS(実績!$W$6:$W$505,CU$3,実績!$AI$6:$AI$505,"&lt;="&amp;$A201,実績!$AJ$6:$AJ$505,"&gt;"&amp;$A201,実績!$AL$6:$AL$505,"○")&gt;0,1,0))</f>
        <v>0</v>
      </c>
      <c r="CV201" s="39" t="n">
        <f aca="false">IF(CV$4=0,0,IF(COUNTIFS(実績!$W$6:$W$505,CV$3,実績!$AI$6:$AI$505,"&lt;="&amp;$A201,実績!$AJ$6:$AJ$505,"&gt;"&amp;$A201,実績!$AL$6:$AL$505,"○")&gt;0,1,0))</f>
        <v>0</v>
      </c>
      <c r="CW201" s="39" t="n">
        <f aca="false">IF(CW$4=0,0,IF(COUNTIFS(実績!$W$6:$W$505,CW$3,実績!$AI$6:$AI$505,"&lt;="&amp;$A201,実績!$AJ$6:$AJ$505,"&gt;"&amp;$A201,実績!$AL$6:$AL$505,"○")&gt;0,1,0))</f>
        <v>0</v>
      </c>
      <c r="CX201" s="39" t="n">
        <f aca="false">IF(CX$4=0,0,IF(COUNTIFS(実績!$W$6:$W$505,CX$3,実績!$AI$6:$AI$505,"&lt;="&amp;$A201,実績!$AJ$6:$AJ$505,"&gt;"&amp;$A201,実績!$AL$6:$AL$505,"○")&gt;0,1,0))</f>
        <v>0</v>
      </c>
      <c r="CY201" s="39" t="n">
        <f aca="false">IF(CY$4=0,0,IF(COUNTIFS(実績!$W$6:$W$505,CY$3,実績!$AI$6:$AI$505,"&lt;="&amp;$A201,実績!$AJ$6:$AJ$505,"&gt;"&amp;$A201,実績!$AL$6:$AL$505,"○")&gt;0,1,0))</f>
        <v>0</v>
      </c>
      <c r="CZ201" s="39" t="n">
        <f aca="false">IF(CZ$4=0,0,IF(COUNTIFS(実績!$W$6:$W$505,CZ$3,実績!$AI$6:$AI$505,"&lt;="&amp;$A201,実績!$AJ$6:$AJ$505,"&gt;"&amp;$A201,実績!$AL$6:$AL$505,"○")&gt;0,1,0))</f>
        <v>0</v>
      </c>
      <c r="DA201" s="39" t="n">
        <f aca="false">IF(DA$4=0,0,IF(COUNTIFS(実績!$W$6:$W$505,DA$3,実績!$AI$6:$AI$505,"&lt;="&amp;$A201,実績!$AJ$6:$AJ$505,"&gt;"&amp;$A201,実績!$AL$6:$AL$505,"○")&gt;0,1,0))</f>
        <v>0</v>
      </c>
      <c r="DB201" s="39" t="n">
        <f aca="false">IF(DB$4=0,0,IF(COUNTIFS(実績!$W$6:$W$505,DB$3,実績!$AI$6:$AI$505,"&lt;="&amp;$A201,実績!$AJ$6:$AJ$505,"&gt;"&amp;$A201,実績!$AL$6:$AL$505,"○")&gt;0,1,0))</f>
        <v>0</v>
      </c>
      <c r="DC201" s="39" t="n">
        <f aca="false">IF(DC$4=0,0,IF(COUNTIFS(実績!$W$6:$W$505,DC$3,実績!$AI$6:$AI$505,"&lt;="&amp;$A201,実績!$AJ$6:$AJ$505,"&gt;"&amp;$A201,実績!$AL$6:$AL$505,"○")&gt;0,1,0))</f>
        <v>0</v>
      </c>
      <c r="DD201" s="39" t="n">
        <f aca="false">IF(DD$4=0,0,IF(COUNTIFS(実績!$W$6:$W$505,DD$3,実績!$AI$6:$AI$505,"&lt;="&amp;$A201,実績!$AJ$6:$AJ$505,"&gt;"&amp;$A201,実績!$AL$6:$AL$505,"○")&gt;0,1,0))</f>
        <v>0</v>
      </c>
      <c r="DE201" s="39" t="n">
        <f aca="false">IF(DE$4=0,0,IF(COUNTIFS(実績!$W$6:$W$505,DE$3,実績!$AI$6:$AI$505,"&lt;="&amp;$A201,実績!$AJ$6:$AJ$505,"&gt;"&amp;$A201,実績!$AL$6:$AL$505,"○")&gt;0,1,0))</f>
        <v>0</v>
      </c>
      <c r="DF201" s="39" t="n">
        <f aca="false">IF(DF$4=0,0,IF(COUNTIFS(実績!$W$6:$W$505,DF$3,実績!$AI$6:$AI$505,"&lt;="&amp;$A201,実績!$AJ$6:$AJ$505,"&gt;"&amp;$A201,実績!$AL$6:$AL$505,"○")&gt;0,1,0))</f>
        <v>0</v>
      </c>
      <c r="DG201" s="39" t="n">
        <f aca="false">IF(DG$4=0,0,IF(COUNTIFS(実績!$W$6:$W$505,DG$3,実績!$AI$6:$AI$505,"&lt;="&amp;$A201,実績!$AJ$6:$AJ$505,"&gt;"&amp;$A201,実績!$AL$6:$AL$505,"○")&gt;0,1,0))</f>
        <v>0</v>
      </c>
      <c r="DH201" s="39" t="n">
        <f aca="false">IF(DH$4=0,0,IF(COUNTIFS(実績!$W$6:$W$505,DH$3,実績!$AI$6:$AI$505,"&lt;="&amp;$A201,実績!$AJ$6:$AJ$505,"&gt;"&amp;$A201,実績!$AL$6:$AL$505,"○")&gt;0,1,0))</f>
        <v>0</v>
      </c>
      <c r="DI201" s="39" t="n">
        <f aca="false">IF(DI$4=0,0,IF(COUNTIFS(実績!$W$6:$W$505,DI$3,実績!$AI$6:$AI$505,"&lt;="&amp;$A201,実績!$AJ$6:$AJ$505,"&gt;"&amp;$A201,実績!$AL$6:$AL$505,"○")&gt;0,1,0))</f>
        <v>0</v>
      </c>
      <c r="DJ201" s="39" t="n">
        <f aca="false">IF(DJ$4=0,0,IF(COUNTIFS(実績!$W$6:$W$505,DJ$3,実績!$AI$6:$AI$505,"&lt;="&amp;$A201,実績!$AJ$6:$AJ$505,"&gt;"&amp;$A201,実績!$AL$6:$AL$505,"○")&gt;0,1,0))</f>
        <v>0</v>
      </c>
      <c r="DK201" s="39" t="n">
        <f aca="false">IF(DK$4=0,0,IF(COUNTIFS(実績!$W$6:$W$505,DK$3,実績!$AI$6:$AI$505,"&lt;="&amp;$A201,実績!$AJ$6:$AJ$505,"&gt;"&amp;$A201,実績!$AL$6:$AL$505,"○")&gt;0,1,0))</f>
        <v>0</v>
      </c>
      <c r="DL201" s="39" t="n">
        <f aca="false">IF(DL$4=0,0,IF(COUNTIFS(実績!$W$6:$W$505,DL$3,実績!$AI$6:$AI$505,"&lt;="&amp;$A201,実績!$AJ$6:$AJ$505,"&gt;"&amp;$A201,実績!$AL$6:$AL$505,"○")&gt;0,1,0))</f>
        <v>0</v>
      </c>
      <c r="DM201" s="39" t="n">
        <f aca="false">IF(DM$4=0,0,IF(COUNTIFS(実績!$W$6:$W$505,DM$3,実績!$AI$6:$AI$505,"&lt;="&amp;$A201,実績!$AJ$6:$AJ$505,"&gt;"&amp;$A201,実績!$AL$6:$AL$505,"○")&gt;0,1,0))</f>
        <v>0</v>
      </c>
      <c r="DN201" s="39" t="n">
        <f aca="false">IF(DN$4=0,0,IF(COUNTIFS(実績!$W$6:$W$505,DN$3,実績!$AI$6:$AI$505,"&lt;="&amp;$A201,実績!$AJ$6:$AJ$505,"&gt;"&amp;$A201,実績!$AL$6:$AL$505,"○")&gt;0,1,0))</f>
        <v>0</v>
      </c>
      <c r="DO201" s="39" t="n">
        <f aca="false">IF(DO$4=0,0,IF(COUNTIFS(実績!$W$6:$W$505,DO$3,実績!$AI$6:$AI$505,"&lt;="&amp;$A201,実績!$AJ$6:$AJ$505,"&gt;"&amp;$A201,実績!$AL$6:$AL$505,"○")&gt;0,1,0))</f>
        <v>0</v>
      </c>
      <c r="DP201" s="39" t="n">
        <f aca="false">IF(DP$4=0,0,IF(COUNTIFS(実績!$W$6:$W$505,DP$3,実績!$AI$6:$AI$505,"&lt;="&amp;$A201,実績!$AJ$6:$AJ$505,"&gt;"&amp;$A201,実績!$AL$6:$AL$505,"○")&gt;0,1,0))</f>
        <v>0</v>
      </c>
      <c r="DQ201" s="39" t="n">
        <f aca="false">IF(DQ$4=0,0,IF(COUNTIFS(実績!$W$6:$W$505,DQ$3,実績!$AI$6:$AI$505,"&lt;="&amp;$A201,実績!$AJ$6:$AJ$505,"&gt;"&amp;$A201,実績!$AL$6:$AL$505,"○")&gt;0,1,0))</f>
        <v>0</v>
      </c>
      <c r="DR201" s="39" t="n">
        <f aca="false">IF(DR$4=0,0,IF(COUNTIFS(実績!$W$6:$W$505,DR$3,実績!$AI$6:$AI$505,"&lt;="&amp;$A201,実績!$AJ$6:$AJ$505,"&gt;"&amp;$A201,実績!$AL$6:$AL$505,"○")&gt;0,1,0))</f>
        <v>0</v>
      </c>
      <c r="DS201" s="39" t="n">
        <f aca="false">SUM(C201:DR201)</f>
        <v>0</v>
      </c>
    </row>
    <row r="202" customFormat="false" ht="15" hidden="false" customHeight="false" outlineLevel="0" collapsed="false">
      <c r="A202" s="0" t="n">
        <v>980</v>
      </c>
      <c r="B202" s="38" t="n">
        <f aca="false">A202/1440</f>
        <v>0.680555555555556</v>
      </c>
      <c r="C202" s="39" t="n">
        <f aca="false">IF(C$4=0,0,IF(COUNTIFS(実績!$W$6:$W$505,C$3,実績!$AI$6:$AI$505,"&lt;="&amp;$A202,実績!$AJ$6:$AJ$505,"&gt;"&amp;$A202,実績!$AL$6:$AL$505,"○")&gt;0,1,0))</f>
        <v>0</v>
      </c>
      <c r="D202" s="39" t="n">
        <f aca="false">IF(D$4=0,0,IF(COUNTIFS(実績!$W$6:$W$505,D$3,実績!$AI$6:$AI$505,"&lt;="&amp;$A202,実績!$AJ$6:$AJ$505,"&gt;"&amp;$A202,実績!$AL$6:$AL$505,"○")&gt;0,1,0))</f>
        <v>0</v>
      </c>
      <c r="E202" s="39" t="n">
        <f aca="false">IF(E$4=0,0,IF(COUNTIFS(実績!$W$6:$W$505,E$3,実績!$AI$6:$AI$505,"&lt;="&amp;$A202,実績!$AJ$6:$AJ$505,"&gt;"&amp;$A202,実績!$AL$6:$AL$505,"○")&gt;0,1,0))</f>
        <v>0</v>
      </c>
      <c r="F202" s="39" t="n">
        <f aca="false">IF(F$4=0,0,IF(COUNTIFS(実績!$W$6:$W$505,F$3,実績!$AI$6:$AI$505,"&lt;="&amp;$A202,実績!$AJ$6:$AJ$505,"&gt;"&amp;$A202,実績!$AL$6:$AL$505,"○")&gt;0,1,0))</f>
        <v>0</v>
      </c>
      <c r="G202" s="39" t="n">
        <f aca="false">IF(G$4=0,0,IF(COUNTIFS(実績!$W$6:$W$505,G$3,実績!$AI$6:$AI$505,"&lt;="&amp;$A202,実績!$AJ$6:$AJ$505,"&gt;"&amp;$A202,実績!$AL$6:$AL$505,"○")&gt;0,1,0))</f>
        <v>0</v>
      </c>
      <c r="H202" s="39" t="n">
        <f aca="false">IF(H$4=0,0,IF(COUNTIFS(実績!$W$6:$W$505,H$3,実績!$AI$6:$AI$505,"&lt;="&amp;$A202,実績!$AJ$6:$AJ$505,"&gt;"&amp;$A202,実績!$AL$6:$AL$505,"○")&gt;0,1,0))</f>
        <v>0</v>
      </c>
      <c r="I202" s="39" t="n">
        <f aca="false">IF(I$4=0,0,IF(COUNTIFS(実績!$W$6:$W$505,I$3,実績!$AI$6:$AI$505,"&lt;="&amp;$A202,実績!$AJ$6:$AJ$505,"&gt;"&amp;$A202,実績!$AL$6:$AL$505,"○")&gt;0,1,0))</f>
        <v>0</v>
      </c>
      <c r="J202" s="39" t="n">
        <f aca="false">IF(J$4=0,0,IF(COUNTIFS(実績!$W$6:$W$505,J$3,実績!$AI$6:$AI$505,"&lt;="&amp;$A202,実績!$AJ$6:$AJ$505,"&gt;"&amp;$A202,実績!$AL$6:$AL$505,"○")&gt;0,1,0))</f>
        <v>0</v>
      </c>
      <c r="K202" s="39" t="n">
        <f aca="false">IF(K$4=0,0,IF(COUNTIFS(実績!$W$6:$W$505,K$3,実績!$AI$6:$AI$505,"&lt;="&amp;$A202,実績!$AJ$6:$AJ$505,"&gt;"&amp;$A202,実績!$AL$6:$AL$505,"○")&gt;0,1,0))</f>
        <v>0</v>
      </c>
      <c r="L202" s="39" t="n">
        <f aca="false">IF(L$4=0,0,IF(COUNTIFS(実績!$W$6:$W$505,L$3,実績!$AI$6:$AI$505,"&lt;="&amp;$A202,実績!$AJ$6:$AJ$505,"&gt;"&amp;$A202,実績!$AL$6:$AL$505,"○")&gt;0,1,0))</f>
        <v>0</v>
      </c>
      <c r="M202" s="39" t="n">
        <f aca="false">IF(M$4=0,0,IF(COUNTIFS(実績!$W$6:$W$505,M$3,実績!$AI$6:$AI$505,"&lt;="&amp;$A202,実績!$AJ$6:$AJ$505,"&gt;"&amp;$A202,実績!$AL$6:$AL$505,"○")&gt;0,1,0))</f>
        <v>0</v>
      </c>
      <c r="N202" s="39" t="n">
        <f aca="false">IF(N$4=0,0,IF(COUNTIFS(実績!$W$6:$W$505,N$3,実績!$AI$6:$AI$505,"&lt;="&amp;$A202,実績!$AJ$6:$AJ$505,"&gt;"&amp;$A202,実績!$AL$6:$AL$505,"○")&gt;0,1,0))</f>
        <v>0</v>
      </c>
      <c r="O202" s="39" t="n">
        <f aca="false">IF(O$4=0,0,IF(COUNTIFS(実績!$W$6:$W$505,O$3,実績!$AI$6:$AI$505,"&lt;="&amp;$A202,実績!$AJ$6:$AJ$505,"&gt;"&amp;$A202,実績!$AL$6:$AL$505,"○")&gt;0,1,0))</f>
        <v>0</v>
      </c>
      <c r="P202" s="39" t="n">
        <f aca="false">IF(P$4=0,0,IF(COUNTIFS(実績!$W$6:$W$505,P$3,実績!$AI$6:$AI$505,"&lt;="&amp;$A202,実績!$AJ$6:$AJ$505,"&gt;"&amp;$A202,実績!$AL$6:$AL$505,"○")&gt;0,1,0))</f>
        <v>0</v>
      </c>
      <c r="Q202" s="39" t="n">
        <f aca="false">IF(Q$4=0,0,IF(COUNTIFS(実績!$W$6:$W$505,Q$3,実績!$AI$6:$AI$505,"&lt;="&amp;$A202,実績!$AJ$6:$AJ$505,"&gt;"&amp;$A202,実績!$AL$6:$AL$505,"○")&gt;0,1,0))</f>
        <v>0</v>
      </c>
      <c r="R202" s="39" t="n">
        <f aca="false">IF(R$4=0,0,IF(COUNTIFS(実績!$W$6:$W$505,R$3,実績!$AI$6:$AI$505,"&lt;="&amp;$A202,実績!$AJ$6:$AJ$505,"&gt;"&amp;$A202,実績!$AL$6:$AL$505,"○")&gt;0,1,0))</f>
        <v>0</v>
      </c>
      <c r="S202" s="39" t="n">
        <f aca="false">IF(S$4=0,0,IF(COUNTIFS(実績!$W$6:$W$505,S$3,実績!$AI$6:$AI$505,"&lt;="&amp;$A202,実績!$AJ$6:$AJ$505,"&gt;"&amp;$A202,実績!$AL$6:$AL$505,"○")&gt;0,1,0))</f>
        <v>0</v>
      </c>
      <c r="T202" s="39" t="n">
        <f aca="false">IF(T$4=0,0,IF(COUNTIFS(実績!$W$6:$W$505,T$3,実績!$AI$6:$AI$505,"&lt;="&amp;$A202,実績!$AJ$6:$AJ$505,"&gt;"&amp;$A202,実績!$AL$6:$AL$505,"○")&gt;0,1,0))</f>
        <v>0</v>
      </c>
      <c r="U202" s="39" t="n">
        <f aca="false">IF(U$4=0,0,IF(COUNTIFS(実績!$W$6:$W$505,U$3,実績!$AI$6:$AI$505,"&lt;="&amp;$A202,実績!$AJ$6:$AJ$505,"&gt;"&amp;$A202,実績!$AL$6:$AL$505,"○")&gt;0,1,0))</f>
        <v>0</v>
      </c>
      <c r="V202" s="39" t="n">
        <f aca="false">IF(V$4=0,0,IF(COUNTIFS(実績!$W$6:$W$505,V$3,実績!$AI$6:$AI$505,"&lt;="&amp;$A202,実績!$AJ$6:$AJ$505,"&gt;"&amp;$A202,実績!$AL$6:$AL$505,"○")&gt;0,1,0))</f>
        <v>0</v>
      </c>
      <c r="W202" s="39" t="n">
        <f aca="false">IF(W$4=0,0,IF(COUNTIFS(実績!$W$6:$W$505,W$3,実績!$AI$6:$AI$505,"&lt;="&amp;$A202,実績!$AJ$6:$AJ$505,"&gt;"&amp;$A202,実績!$AL$6:$AL$505,"○")&gt;0,1,0))</f>
        <v>0</v>
      </c>
      <c r="X202" s="39" t="n">
        <f aca="false">IF(X$4=0,0,IF(COUNTIFS(実績!$W$6:$W$505,X$3,実績!$AI$6:$AI$505,"&lt;="&amp;$A202,実績!$AJ$6:$AJ$505,"&gt;"&amp;$A202,実績!$AL$6:$AL$505,"○")&gt;0,1,0))</f>
        <v>0</v>
      </c>
      <c r="Y202" s="39" t="n">
        <f aca="false">IF(Y$4=0,0,IF(COUNTIFS(実績!$W$6:$W$505,Y$3,実績!$AI$6:$AI$505,"&lt;="&amp;$A202,実績!$AJ$6:$AJ$505,"&gt;"&amp;$A202,実績!$AL$6:$AL$505,"○")&gt;0,1,0))</f>
        <v>0</v>
      </c>
      <c r="Z202" s="39" t="n">
        <f aca="false">IF(Z$4=0,0,IF(COUNTIFS(実績!$W$6:$W$505,Z$3,実績!$AI$6:$AI$505,"&lt;="&amp;$A202,実績!$AJ$6:$AJ$505,"&gt;"&amp;$A202,実績!$AL$6:$AL$505,"○")&gt;0,1,0))</f>
        <v>0</v>
      </c>
      <c r="AA202" s="39" t="n">
        <f aca="false">IF(AA$4=0,0,IF(COUNTIFS(実績!$W$6:$W$505,AA$3,実績!$AI$6:$AI$505,"&lt;="&amp;$A202,実績!$AJ$6:$AJ$505,"&gt;"&amp;$A202,実績!$AL$6:$AL$505,"○")&gt;0,1,0))</f>
        <v>0</v>
      </c>
      <c r="AB202" s="39" t="n">
        <f aca="false">IF(AB$4=0,0,IF(COUNTIFS(実績!$W$6:$W$505,AB$3,実績!$AI$6:$AI$505,"&lt;="&amp;$A202,実績!$AJ$6:$AJ$505,"&gt;"&amp;$A202,実績!$AL$6:$AL$505,"○")&gt;0,1,0))</f>
        <v>0</v>
      </c>
      <c r="AC202" s="39" t="n">
        <f aca="false">IF(AC$4=0,0,IF(COUNTIFS(実績!$W$6:$W$505,AC$3,実績!$AI$6:$AI$505,"&lt;="&amp;$A202,実績!$AJ$6:$AJ$505,"&gt;"&amp;$A202,実績!$AL$6:$AL$505,"○")&gt;0,1,0))</f>
        <v>0</v>
      </c>
      <c r="AD202" s="39" t="n">
        <f aca="false">IF(AD$4=0,0,IF(COUNTIFS(実績!$W$6:$W$505,AD$3,実績!$AI$6:$AI$505,"&lt;="&amp;$A202,実績!$AJ$6:$AJ$505,"&gt;"&amp;$A202,実績!$AL$6:$AL$505,"○")&gt;0,1,0))</f>
        <v>0</v>
      </c>
      <c r="AE202" s="39" t="n">
        <f aca="false">IF(AE$4=0,0,IF(COUNTIFS(実績!$W$6:$W$505,AE$3,実績!$AI$6:$AI$505,"&lt;="&amp;$A202,実績!$AJ$6:$AJ$505,"&gt;"&amp;$A202,実績!$AL$6:$AL$505,"○")&gt;0,1,0))</f>
        <v>0</v>
      </c>
      <c r="AF202" s="39" t="n">
        <f aca="false">IF(AF$4=0,0,IF(COUNTIFS(実績!$W$6:$W$505,AF$3,実績!$AI$6:$AI$505,"&lt;="&amp;$A202,実績!$AJ$6:$AJ$505,"&gt;"&amp;$A202,実績!$AL$6:$AL$505,"○")&gt;0,1,0))</f>
        <v>0</v>
      </c>
      <c r="AG202" s="39" t="n">
        <f aca="false">IF(AG$4=0,0,IF(COUNTIFS(実績!$W$6:$W$505,AG$3,実績!$AI$6:$AI$505,"&lt;="&amp;$A202,実績!$AJ$6:$AJ$505,"&gt;"&amp;$A202,実績!$AL$6:$AL$505,"○")&gt;0,1,0))</f>
        <v>0</v>
      </c>
      <c r="AH202" s="39" t="n">
        <f aca="false">IF(AH$4=0,0,IF(COUNTIFS(実績!$W$6:$W$505,AH$3,実績!$AI$6:$AI$505,"&lt;="&amp;$A202,実績!$AJ$6:$AJ$505,"&gt;"&amp;$A202,実績!$AL$6:$AL$505,"○")&gt;0,1,0))</f>
        <v>0</v>
      </c>
      <c r="AI202" s="39" t="n">
        <f aca="false">IF(AI$4=0,0,IF(COUNTIFS(実績!$W$6:$W$505,AI$3,実績!$AI$6:$AI$505,"&lt;="&amp;$A202,実績!$AJ$6:$AJ$505,"&gt;"&amp;$A202,実績!$AL$6:$AL$505,"○")&gt;0,1,0))</f>
        <v>0</v>
      </c>
      <c r="AJ202" s="39" t="n">
        <f aca="false">IF(AJ$4=0,0,IF(COUNTIFS(実績!$W$6:$W$505,AJ$3,実績!$AI$6:$AI$505,"&lt;="&amp;$A202,実績!$AJ$6:$AJ$505,"&gt;"&amp;$A202,実績!$AL$6:$AL$505,"○")&gt;0,1,0))</f>
        <v>0</v>
      </c>
      <c r="AK202" s="39" t="n">
        <f aca="false">IF(AK$4=0,0,IF(COUNTIFS(実績!$W$6:$W$505,AK$3,実績!$AI$6:$AI$505,"&lt;="&amp;$A202,実績!$AJ$6:$AJ$505,"&gt;"&amp;$A202,実績!$AL$6:$AL$505,"○")&gt;0,1,0))</f>
        <v>0</v>
      </c>
      <c r="AL202" s="39" t="n">
        <f aca="false">IF(AL$4=0,0,IF(COUNTIFS(実績!$W$6:$W$505,AL$3,実績!$AI$6:$AI$505,"&lt;="&amp;$A202,実績!$AJ$6:$AJ$505,"&gt;"&amp;$A202,実績!$AL$6:$AL$505,"○")&gt;0,1,0))</f>
        <v>0</v>
      </c>
      <c r="AM202" s="39" t="n">
        <f aca="false">IF(AM$4=0,0,IF(COUNTIFS(実績!$W$6:$W$505,AM$3,実績!$AI$6:$AI$505,"&lt;="&amp;$A202,実績!$AJ$6:$AJ$505,"&gt;"&amp;$A202,実績!$AL$6:$AL$505,"○")&gt;0,1,0))</f>
        <v>0</v>
      </c>
      <c r="AN202" s="39" t="n">
        <f aca="false">IF(AN$4=0,0,IF(COUNTIFS(実績!$W$6:$W$505,AN$3,実績!$AI$6:$AI$505,"&lt;="&amp;$A202,実績!$AJ$6:$AJ$505,"&gt;"&amp;$A202,実績!$AL$6:$AL$505,"○")&gt;0,1,0))</f>
        <v>0</v>
      </c>
      <c r="AO202" s="39" t="n">
        <f aca="false">IF(AO$4=0,0,IF(COUNTIFS(実績!$W$6:$W$505,AO$3,実績!$AI$6:$AI$505,"&lt;="&amp;$A202,実績!$AJ$6:$AJ$505,"&gt;"&amp;$A202,実績!$AL$6:$AL$505,"○")&gt;0,1,0))</f>
        <v>0</v>
      </c>
      <c r="AP202" s="39" t="n">
        <f aca="false">IF(AP$4=0,0,IF(COUNTIFS(実績!$W$6:$W$505,AP$3,実績!$AI$6:$AI$505,"&lt;="&amp;$A202,実績!$AJ$6:$AJ$505,"&gt;"&amp;$A202,実績!$AL$6:$AL$505,"○")&gt;0,1,0))</f>
        <v>0</v>
      </c>
      <c r="AQ202" s="39" t="n">
        <f aca="false">IF(AQ$4=0,0,IF(COUNTIFS(実績!$W$6:$W$505,AQ$3,実績!$AI$6:$AI$505,"&lt;="&amp;$A202,実績!$AJ$6:$AJ$505,"&gt;"&amp;$A202,実績!$AL$6:$AL$505,"○")&gt;0,1,0))</f>
        <v>0</v>
      </c>
      <c r="AR202" s="39" t="n">
        <f aca="false">IF(AR$4=0,0,IF(COUNTIFS(実績!$W$6:$W$505,AR$3,実績!$AI$6:$AI$505,"&lt;="&amp;$A202,実績!$AJ$6:$AJ$505,"&gt;"&amp;$A202,実績!$AL$6:$AL$505,"○")&gt;0,1,0))</f>
        <v>0</v>
      </c>
      <c r="AS202" s="39" t="n">
        <f aca="false">IF(AS$4=0,0,IF(COUNTIFS(実績!$W$6:$W$505,AS$3,実績!$AI$6:$AI$505,"&lt;="&amp;$A202,実績!$AJ$6:$AJ$505,"&gt;"&amp;$A202,実績!$AL$6:$AL$505,"○")&gt;0,1,0))</f>
        <v>0</v>
      </c>
      <c r="AT202" s="39" t="n">
        <f aca="false">IF(AT$4=0,0,IF(COUNTIFS(実績!$W$6:$W$505,AT$3,実績!$AI$6:$AI$505,"&lt;="&amp;$A202,実績!$AJ$6:$AJ$505,"&gt;"&amp;$A202,実績!$AL$6:$AL$505,"○")&gt;0,1,0))</f>
        <v>0</v>
      </c>
      <c r="AU202" s="39" t="n">
        <f aca="false">IF(AU$4=0,0,IF(COUNTIFS(実績!$W$6:$W$505,AU$3,実績!$AI$6:$AI$505,"&lt;="&amp;$A202,実績!$AJ$6:$AJ$505,"&gt;"&amp;$A202,実績!$AL$6:$AL$505,"○")&gt;0,1,0))</f>
        <v>0</v>
      </c>
      <c r="AV202" s="39" t="n">
        <f aca="false">IF(AV$4=0,0,IF(COUNTIFS(実績!$W$6:$W$505,AV$3,実績!$AI$6:$AI$505,"&lt;="&amp;$A202,実績!$AJ$6:$AJ$505,"&gt;"&amp;$A202,実績!$AL$6:$AL$505,"○")&gt;0,1,0))</f>
        <v>0</v>
      </c>
      <c r="AW202" s="39" t="n">
        <f aca="false">IF(AW$4=0,0,IF(COUNTIFS(実績!$W$6:$W$505,AW$3,実績!$AI$6:$AI$505,"&lt;="&amp;$A202,実績!$AJ$6:$AJ$505,"&gt;"&amp;$A202,実績!$AL$6:$AL$505,"○")&gt;0,1,0))</f>
        <v>0</v>
      </c>
      <c r="AX202" s="39" t="n">
        <f aca="false">IF(AX$4=0,0,IF(COUNTIFS(実績!$W$6:$W$505,AX$3,実績!$AI$6:$AI$505,"&lt;="&amp;$A202,実績!$AJ$6:$AJ$505,"&gt;"&amp;$A202,実績!$AL$6:$AL$505,"○")&gt;0,1,0))</f>
        <v>0</v>
      </c>
      <c r="AY202" s="39" t="n">
        <f aca="false">IF(AY$4=0,0,IF(COUNTIFS(実績!$W$6:$W$505,AY$3,実績!$AI$6:$AI$505,"&lt;="&amp;$A202,実績!$AJ$6:$AJ$505,"&gt;"&amp;$A202,実績!$AL$6:$AL$505,"○")&gt;0,1,0))</f>
        <v>0</v>
      </c>
      <c r="AZ202" s="39" t="n">
        <f aca="false">IF(AZ$4=0,0,IF(COUNTIFS(実績!$W$6:$W$505,AZ$3,実績!$AI$6:$AI$505,"&lt;="&amp;$A202,実績!$AJ$6:$AJ$505,"&gt;"&amp;$A202,実績!$AL$6:$AL$505,"○")&gt;0,1,0))</f>
        <v>0</v>
      </c>
      <c r="BA202" s="39" t="n">
        <f aca="false">IF(BA$4=0,0,IF(COUNTIFS(実績!$W$6:$W$505,BA$3,実績!$AI$6:$AI$505,"&lt;="&amp;$A202,実績!$AJ$6:$AJ$505,"&gt;"&amp;$A202,実績!$AL$6:$AL$505,"○")&gt;0,1,0))</f>
        <v>0</v>
      </c>
      <c r="BB202" s="39" t="n">
        <f aca="false">IF(BB$4=0,0,IF(COUNTIFS(実績!$W$6:$W$505,BB$3,実績!$AI$6:$AI$505,"&lt;="&amp;$A202,実績!$AJ$6:$AJ$505,"&gt;"&amp;$A202,実績!$AL$6:$AL$505,"○")&gt;0,1,0))</f>
        <v>0</v>
      </c>
      <c r="BC202" s="39" t="n">
        <f aca="false">IF(BC$4=0,0,IF(COUNTIFS(実績!$W$6:$W$505,BC$3,実績!$AI$6:$AI$505,"&lt;="&amp;$A202,実績!$AJ$6:$AJ$505,"&gt;"&amp;$A202,実績!$AL$6:$AL$505,"○")&gt;0,1,0))</f>
        <v>0</v>
      </c>
      <c r="BD202" s="39" t="n">
        <f aca="false">IF(BD$4=0,0,IF(COUNTIFS(実績!$W$6:$W$505,BD$3,実績!$AI$6:$AI$505,"&lt;="&amp;$A202,実績!$AJ$6:$AJ$505,"&gt;"&amp;$A202,実績!$AL$6:$AL$505,"○")&gt;0,1,0))</f>
        <v>0</v>
      </c>
      <c r="BE202" s="39" t="n">
        <f aca="false">IF(BE$4=0,0,IF(COUNTIFS(実績!$W$6:$W$505,BE$3,実績!$AI$6:$AI$505,"&lt;="&amp;$A202,実績!$AJ$6:$AJ$505,"&gt;"&amp;$A202,実績!$AL$6:$AL$505,"○")&gt;0,1,0))</f>
        <v>0</v>
      </c>
      <c r="BF202" s="39" t="n">
        <f aca="false">IF(BF$4=0,0,IF(COUNTIFS(実績!$W$6:$W$505,BF$3,実績!$AI$6:$AI$505,"&lt;="&amp;$A202,実績!$AJ$6:$AJ$505,"&gt;"&amp;$A202,実績!$AL$6:$AL$505,"○")&gt;0,1,0))</f>
        <v>0</v>
      </c>
      <c r="BG202" s="39" t="n">
        <f aca="false">IF(BG$4=0,0,IF(COUNTIFS(実績!$W$6:$W$505,BG$3,実績!$AI$6:$AI$505,"&lt;="&amp;$A202,実績!$AJ$6:$AJ$505,"&gt;"&amp;$A202,実績!$AL$6:$AL$505,"○")&gt;0,1,0))</f>
        <v>0</v>
      </c>
      <c r="BH202" s="39" t="n">
        <f aca="false">IF(BH$4=0,0,IF(COUNTIFS(実績!$W$6:$W$505,BH$3,実績!$AI$6:$AI$505,"&lt;="&amp;$A202,実績!$AJ$6:$AJ$505,"&gt;"&amp;$A202,実績!$AL$6:$AL$505,"○")&gt;0,1,0))</f>
        <v>0</v>
      </c>
      <c r="BI202" s="39" t="n">
        <f aca="false">IF(BI$4=0,0,IF(COUNTIFS(実績!$W$6:$W$505,BI$3,実績!$AI$6:$AI$505,"&lt;="&amp;$A202,実績!$AJ$6:$AJ$505,"&gt;"&amp;$A202,実績!$AL$6:$AL$505,"○")&gt;0,1,0))</f>
        <v>0</v>
      </c>
      <c r="BJ202" s="39" t="n">
        <f aca="false">IF(BJ$4=0,0,IF(COUNTIFS(実績!$W$6:$W$505,BJ$3,実績!$AI$6:$AI$505,"&lt;="&amp;$A202,実績!$AJ$6:$AJ$505,"&gt;"&amp;$A202,実績!$AL$6:$AL$505,"○")&gt;0,1,0))</f>
        <v>0</v>
      </c>
      <c r="BK202" s="39" t="n">
        <f aca="false">IF(BK$4=0,0,IF(COUNTIFS(実績!$W$6:$W$505,BK$3,実績!$AI$6:$AI$505,"&lt;="&amp;$A202,実績!$AJ$6:$AJ$505,"&gt;"&amp;$A202,実績!$AL$6:$AL$505,"○")&gt;0,1,0))</f>
        <v>0</v>
      </c>
      <c r="BL202" s="39" t="n">
        <f aca="false">IF(BL$4=0,0,IF(COUNTIFS(実績!$W$6:$W$505,BL$3,実績!$AI$6:$AI$505,"&lt;="&amp;$A202,実績!$AJ$6:$AJ$505,"&gt;"&amp;$A202,実績!$AL$6:$AL$505,"○")&gt;0,1,0))</f>
        <v>0</v>
      </c>
      <c r="BM202" s="39" t="n">
        <f aca="false">IF(BM$4=0,0,IF(COUNTIFS(実績!$W$6:$W$505,BM$3,実績!$AI$6:$AI$505,"&lt;="&amp;$A202,実績!$AJ$6:$AJ$505,"&gt;"&amp;$A202,実績!$AL$6:$AL$505,"○")&gt;0,1,0))</f>
        <v>0</v>
      </c>
      <c r="BN202" s="39" t="n">
        <f aca="false">IF(BN$4=0,0,IF(COUNTIFS(実績!$W$6:$W$505,BN$3,実績!$AI$6:$AI$505,"&lt;="&amp;$A202,実績!$AJ$6:$AJ$505,"&gt;"&amp;$A202,実績!$AL$6:$AL$505,"○")&gt;0,1,0))</f>
        <v>0</v>
      </c>
      <c r="BO202" s="39" t="n">
        <f aca="false">IF(BO$4=0,0,IF(COUNTIFS(実績!$W$6:$W$505,BO$3,実績!$AI$6:$AI$505,"&lt;="&amp;$A202,実績!$AJ$6:$AJ$505,"&gt;"&amp;$A202,実績!$AL$6:$AL$505,"○")&gt;0,1,0))</f>
        <v>0</v>
      </c>
      <c r="BP202" s="39" t="n">
        <f aca="false">IF(BP$4=0,0,IF(COUNTIFS(実績!$W$6:$W$505,BP$3,実績!$AI$6:$AI$505,"&lt;="&amp;$A202,実績!$AJ$6:$AJ$505,"&gt;"&amp;$A202,実績!$AL$6:$AL$505,"○")&gt;0,1,0))</f>
        <v>0</v>
      </c>
      <c r="BQ202" s="39" t="n">
        <f aca="false">IF(BQ$4=0,0,IF(COUNTIFS(実績!$W$6:$W$505,BQ$3,実績!$AI$6:$AI$505,"&lt;="&amp;$A202,実績!$AJ$6:$AJ$505,"&gt;"&amp;$A202,実績!$AL$6:$AL$505,"○")&gt;0,1,0))</f>
        <v>0</v>
      </c>
      <c r="BR202" s="39" t="n">
        <f aca="false">IF(BR$4=0,0,IF(COUNTIFS(実績!$W$6:$W$505,BR$3,実績!$AI$6:$AI$505,"&lt;="&amp;$A202,実績!$AJ$6:$AJ$505,"&gt;"&amp;$A202,実績!$AL$6:$AL$505,"○")&gt;0,1,0))</f>
        <v>0</v>
      </c>
      <c r="BS202" s="39" t="n">
        <f aca="false">IF(BS$4=0,0,IF(COUNTIFS(実績!$W$6:$W$505,BS$3,実績!$AI$6:$AI$505,"&lt;="&amp;$A202,実績!$AJ$6:$AJ$505,"&gt;"&amp;$A202,実績!$AL$6:$AL$505,"○")&gt;0,1,0))</f>
        <v>0</v>
      </c>
      <c r="BT202" s="39" t="n">
        <f aca="false">IF(BT$4=0,0,IF(COUNTIFS(実績!$W$6:$W$505,BT$3,実績!$AI$6:$AI$505,"&lt;="&amp;$A202,実績!$AJ$6:$AJ$505,"&gt;"&amp;$A202,実績!$AL$6:$AL$505,"○")&gt;0,1,0))</f>
        <v>0</v>
      </c>
      <c r="BU202" s="39" t="n">
        <f aca="false">IF(BU$4=0,0,IF(COUNTIFS(実績!$W$6:$W$505,BU$3,実績!$AI$6:$AI$505,"&lt;="&amp;$A202,実績!$AJ$6:$AJ$505,"&gt;"&amp;$A202,実績!$AL$6:$AL$505,"○")&gt;0,1,0))</f>
        <v>0</v>
      </c>
      <c r="BV202" s="39" t="n">
        <f aca="false">IF(BV$4=0,0,IF(COUNTIFS(実績!$W$6:$W$505,BV$3,実績!$AI$6:$AI$505,"&lt;="&amp;$A202,実績!$AJ$6:$AJ$505,"&gt;"&amp;$A202,実績!$AL$6:$AL$505,"○")&gt;0,1,0))</f>
        <v>0</v>
      </c>
      <c r="BW202" s="39" t="n">
        <f aca="false">IF(BW$4=0,0,IF(COUNTIFS(実績!$W$6:$W$505,BW$3,実績!$AI$6:$AI$505,"&lt;="&amp;$A202,実績!$AJ$6:$AJ$505,"&gt;"&amp;$A202,実績!$AL$6:$AL$505,"○")&gt;0,1,0))</f>
        <v>0</v>
      </c>
      <c r="BX202" s="39" t="n">
        <f aca="false">IF(BX$4=0,0,IF(COUNTIFS(実績!$W$6:$W$505,BX$3,実績!$AI$6:$AI$505,"&lt;="&amp;$A202,実績!$AJ$6:$AJ$505,"&gt;"&amp;$A202,実績!$AL$6:$AL$505,"○")&gt;0,1,0))</f>
        <v>0</v>
      </c>
      <c r="BY202" s="39" t="n">
        <f aca="false">IF(BY$4=0,0,IF(COUNTIFS(実績!$W$6:$W$505,BY$3,実績!$AI$6:$AI$505,"&lt;="&amp;$A202,実績!$AJ$6:$AJ$505,"&gt;"&amp;$A202,実績!$AL$6:$AL$505,"○")&gt;0,1,0))</f>
        <v>0</v>
      </c>
      <c r="BZ202" s="39" t="n">
        <f aca="false">IF(BZ$4=0,0,IF(COUNTIFS(実績!$W$6:$W$505,BZ$3,実績!$AI$6:$AI$505,"&lt;="&amp;$A202,実績!$AJ$6:$AJ$505,"&gt;"&amp;$A202,実績!$AL$6:$AL$505,"○")&gt;0,1,0))</f>
        <v>0</v>
      </c>
      <c r="CA202" s="39" t="n">
        <f aca="false">IF(CA$4=0,0,IF(COUNTIFS(実績!$W$6:$W$505,CA$3,実績!$AI$6:$AI$505,"&lt;="&amp;$A202,実績!$AJ$6:$AJ$505,"&gt;"&amp;$A202,実績!$AL$6:$AL$505,"○")&gt;0,1,0))</f>
        <v>0</v>
      </c>
      <c r="CB202" s="39" t="n">
        <f aca="false">IF(CB$4=0,0,IF(COUNTIFS(実績!$W$6:$W$505,CB$3,実績!$AI$6:$AI$505,"&lt;="&amp;$A202,実績!$AJ$6:$AJ$505,"&gt;"&amp;$A202,実績!$AL$6:$AL$505,"○")&gt;0,1,0))</f>
        <v>0</v>
      </c>
      <c r="CC202" s="39" t="n">
        <f aca="false">IF(CC$4=0,0,IF(COUNTIFS(実績!$W$6:$W$505,CC$3,実績!$AI$6:$AI$505,"&lt;="&amp;$A202,実績!$AJ$6:$AJ$505,"&gt;"&amp;$A202,実績!$AL$6:$AL$505,"○")&gt;0,1,0))</f>
        <v>0</v>
      </c>
      <c r="CD202" s="39" t="n">
        <f aca="false">IF(CD$4=0,0,IF(COUNTIFS(実績!$W$6:$W$505,CD$3,実績!$AI$6:$AI$505,"&lt;="&amp;$A202,実績!$AJ$6:$AJ$505,"&gt;"&amp;$A202,実績!$AL$6:$AL$505,"○")&gt;0,1,0))</f>
        <v>0</v>
      </c>
      <c r="CE202" s="39" t="n">
        <f aca="false">IF(CE$4=0,0,IF(COUNTIFS(実績!$W$6:$W$505,CE$3,実績!$AI$6:$AI$505,"&lt;="&amp;$A202,実績!$AJ$6:$AJ$505,"&gt;"&amp;$A202,実績!$AL$6:$AL$505,"○")&gt;0,1,0))</f>
        <v>0</v>
      </c>
      <c r="CF202" s="39" t="n">
        <f aca="false">IF(CF$4=0,0,IF(COUNTIFS(実績!$W$6:$W$505,CF$3,実績!$AI$6:$AI$505,"&lt;="&amp;$A202,実績!$AJ$6:$AJ$505,"&gt;"&amp;$A202,実績!$AL$6:$AL$505,"○")&gt;0,1,0))</f>
        <v>0</v>
      </c>
      <c r="CG202" s="39" t="n">
        <f aca="false">IF(CG$4=0,0,IF(COUNTIFS(実績!$W$6:$W$505,CG$3,実績!$AI$6:$AI$505,"&lt;="&amp;$A202,実績!$AJ$6:$AJ$505,"&gt;"&amp;$A202,実績!$AL$6:$AL$505,"○")&gt;0,1,0))</f>
        <v>0</v>
      </c>
      <c r="CH202" s="39" t="n">
        <f aca="false">IF(CH$4=0,0,IF(COUNTIFS(実績!$W$6:$W$505,CH$3,実績!$AI$6:$AI$505,"&lt;="&amp;$A202,実績!$AJ$6:$AJ$505,"&gt;"&amp;$A202,実績!$AL$6:$AL$505,"○")&gt;0,1,0))</f>
        <v>0</v>
      </c>
      <c r="CI202" s="39" t="n">
        <f aca="false">IF(CI$4=0,0,IF(COUNTIFS(実績!$W$6:$W$505,CI$3,実績!$AI$6:$AI$505,"&lt;="&amp;$A202,実績!$AJ$6:$AJ$505,"&gt;"&amp;$A202,実績!$AL$6:$AL$505,"○")&gt;0,1,0))</f>
        <v>0</v>
      </c>
      <c r="CJ202" s="39" t="n">
        <f aca="false">IF(CJ$4=0,0,IF(COUNTIFS(実績!$W$6:$W$505,CJ$3,実績!$AI$6:$AI$505,"&lt;="&amp;$A202,実績!$AJ$6:$AJ$505,"&gt;"&amp;$A202,実績!$AL$6:$AL$505,"○")&gt;0,1,0))</f>
        <v>0</v>
      </c>
      <c r="CK202" s="39" t="n">
        <f aca="false">IF(CK$4=0,0,IF(COUNTIFS(実績!$W$6:$W$505,CK$3,実績!$AI$6:$AI$505,"&lt;="&amp;$A202,実績!$AJ$6:$AJ$505,"&gt;"&amp;$A202,実績!$AL$6:$AL$505,"○")&gt;0,1,0))</f>
        <v>0</v>
      </c>
      <c r="CL202" s="39" t="n">
        <f aca="false">IF(CL$4=0,0,IF(COUNTIFS(実績!$W$6:$W$505,CL$3,実績!$AI$6:$AI$505,"&lt;="&amp;$A202,実績!$AJ$6:$AJ$505,"&gt;"&amp;$A202,実績!$AL$6:$AL$505,"○")&gt;0,1,0))</f>
        <v>0</v>
      </c>
      <c r="CM202" s="39" t="n">
        <f aca="false">IF(CM$4=0,0,IF(COUNTIFS(実績!$W$6:$W$505,CM$3,実績!$AI$6:$AI$505,"&lt;="&amp;$A202,実績!$AJ$6:$AJ$505,"&gt;"&amp;$A202,実績!$AL$6:$AL$505,"○")&gt;0,1,0))</f>
        <v>0</v>
      </c>
      <c r="CN202" s="39" t="n">
        <f aca="false">IF(CN$4=0,0,IF(COUNTIFS(実績!$W$6:$W$505,CN$3,実績!$AI$6:$AI$505,"&lt;="&amp;$A202,実績!$AJ$6:$AJ$505,"&gt;"&amp;$A202,実績!$AL$6:$AL$505,"○")&gt;0,1,0))</f>
        <v>0</v>
      </c>
      <c r="CO202" s="39" t="n">
        <f aca="false">IF(CO$4=0,0,IF(COUNTIFS(実績!$W$6:$W$505,CO$3,実績!$AI$6:$AI$505,"&lt;="&amp;$A202,実績!$AJ$6:$AJ$505,"&gt;"&amp;$A202,実績!$AL$6:$AL$505,"○")&gt;0,1,0))</f>
        <v>0</v>
      </c>
      <c r="CP202" s="39" t="n">
        <f aca="false">IF(CP$4=0,0,IF(COUNTIFS(実績!$W$6:$W$505,CP$3,実績!$AI$6:$AI$505,"&lt;="&amp;$A202,実績!$AJ$6:$AJ$505,"&gt;"&amp;$A202,実績!$AL$6:$AL$505,"○")&gt;0,1,0))</f>
        <v>0</v>
      </c>
      <c r="CQ202" s="39" t="n">
        <f aca="false">IF(CQ$4=0,0,IF(COUNTIFS(実績!$W$6:$W$505,CQ$3,実績!$AI$6:$AI$505,"&lt;="&amp;$A202,実績!$AJ$6:$AJ$505,"&gt;"&amp;$A202,実績!$AL$6:$AL$505,"○")&gt;0,1,0))</f>
        <v>0</v>
      </c>
      <c r="CR202" s="39" t="n">
        <f aca="false">IF(CR$4=0,0,IF(COUNTIFS(実績!$W$6:$W$505,CR$3,実績!$AI$6:$AI$505,"&lt;="&amp;$A202,実績!$AJ$6:$AJ$505,"&gt;"&amp;$A202,実績!$AL$6:$AL$505,"○")&gt;0,1,0))</f>
        <v>0</v>
      </c>
      <c r="CS202" s="39" t="n">
        <f aca="false">IF(CS$4=0,0,IF(COUNTIFS(実績!$W$6:$W$505,CS$3,実績!$AI$6:$AI$505,"&lt;="&amp;$A202,実績!$AJ$6:$AJ$505,"&gt;"&amp;$A202,実績!$AL$6:$AL$505,"○")&gt;0,1,0))</f>
        <v>0</v>
      </c>
      <c r="CT202" s="39" t="n">
        <f aca="false">IF(CT$4=0,0,IF(COUNTIFS(実績!$W$6:$W$505,CT$3,実績!$AI$6:$AI$505,"&lt;="&amp;$A202,実績!$AJ$6:$AJ$505,"&gt;"&amp;$A202,実績!$AL$6:$AL$505,"○")&gt;0,1,0))</f>
        <v>0</v>
      </c>
      <c r="CU202" s="39" t="n">
        <f aca="false">IF(CU$4=0,0,IF(COUNTIFS(実績!$W$6:$W$505,CU$3,実績!$AI$6:$AI$505,"&lt;="&amp;$A202,実績!$AJ$6:$AJ$505,"&gt;"&amp;$A202,実績!$AL$6:$AL$505,"○")&gt;0,1,0))</f>
        <v>0</v>
      </c>
      <c r="CV202" s="39" t="n">
        <f aca="false">IF(CV$4=0,0,IF(COUNTIFS(実績!$W$6:$W$505,CV$3,実績!$AI$6:$AI$505,"&lt;="&amp;$A202,実績!$AJ$6:$AJ$505,"&gt;"&amp;$A202,実績!$AL$6:$AL$505,"○")&gt;0,1,0))</f>
        <v>0</v>
      </c>
      <c r="CW202" s="39" t="n">
        <f aca="false">IF(CW$4=0,0,IF(COUNTIFS(実績!$W$6:$W$505,CW$3,実績!$AI$6:$AI$505,"&lt;="&amp;$A202,実績!$AJ$6:$AJ$505,"&gt;"&amp;$A202,実績!$AL$6:$AL$505,"○")&gt;0,1,0))</f>
        <v>0</v>
      </c>
      <c r="CX202" s="39" t="n">
        <f aca="false">IF(CX$4=0,0,IF(COUNTIFS(実績!$W$6:$W$505,CX$3,実績!$AI$6:$AI$505,"&lt;="&amp;$A202,実績!$AJ$6:$AJ$505,"&gt;"&amp;$A202,実績!$AL$6:$AL$505,"○")&gt;0,1,0))</f>
        <v>0</v>
      </c>
      <c r="CY202" s="39" t="n">
        <f aca="false">IF(CY$4=0,0,IF(COUNTIFS(実績!$W$6:$W$505,CY$3,実績!$AI$6:$AI$505,"&lt;="&amp;$A202,実績!$AJ$6:$AJ$505,"&gt;"&amp;$A202,実績!$AL$6:$AL$505,"○")&gt;0,1,0))</f>
        <v>0</v>
      </c>
      <c r="CZ202" s="39" t="n">
        <f aca="false">IF(CZ$4=0,0,IF(COUNTIFS(実績!$W$6:$W$505,CZ$3,実績!$AI$6:$AI$505,"&lt;="&amp;$A202,実績!$AJ$6:$AJ$505,"&gt;"&amp;$A202,実績!$AL$6:$AL$505,"○")&gt;0,1,0))</f>
        <v>0</v>
      </c>
      <c r="DA202" s="39" t="n">
        <f aca="false">IF(DA$4=0,0,IF(COUNTIFS(実績!$W$6:$W$505,DA$3,実績!$AI$6:$AI$505,"&lt;="&amp;$A202,実績!$AJ$6:$AJ$505,"&gt;"&amp;$A202,実績!$AL$6:$AL$505,"○")&gt;0,1,0))</f>
        <v>0</v>
      </c>
      <c r="DB202" s="39" t="n">
        <f aca="false">IF(DB$4=0,0,IF(COUNTIFS(実績!$W$6:$W$505,DB$3,実績!$AI$6:$AI$505,"&lt;="&amp;$A202,実績!$AJ$6:$AJ$505,"&gt;"&amp;$A202,実績!$AL$6:$AL$505,"○")&gt;0,1,0))</f>
        <v>0</v>
      </c>
      <c r="DC202" s="39" t="n">
        <f aca="false">IF(DC$4=0,0,IF(COUNTIFS(実績!$W$6:$W$505,DC$3,実績!$AI$6:$AI$505,"&lt;="&amp;$A202,実績!$AJ$6:$AJ$505,"&gt;"&amp;$A202,実績!$AL$6:$AL$505,"○")&gt;0,1,0))</f>
        <v>0</v>
      </c>
      <c r="DD202" s="39" t="n">
        <f aca="false">IF(DD$4=0,0,IF(COUNTIFS(実績!$W$6:$W$505,DD$3,実績!$AI$6:$AI$505,"&lt;="&amp;$A202,実績!$AJ$6:$AJ$505,"&gt;"&amp;$A202,実績!$AL$6:$AL$505,"○")&gt;0,1,0))</f>
        <v>0</v>
      </c>
      <c r="DE202" s="39" t="n">
        <f aca="false">IF(DE$4=0,0,IF(COUNTIFS(実績!$W$6:$W$505,DE$3,実績!$AI$6:$AI$505,"&lt;="&amp;$A202,実績!$AJ$6:$AJ$505,"&gt;"&amp;$A202,実績!$AL$6:$AL$505,"○")&gt;0,1,0))</f>
        <v>0</v>
      </c>
      <c r="DF202" s="39" t="n">
        <f aca="false">IF(DF$4=0,0,IF(COUNTIFS(実績!$W$6:$W$505,DF$3,実績!$AI$6:$AI$505,"&lt;="&amp;$A202,実績!$AJ$6:$AJ$505,"&gt;"&amp;$A202,実績!$AL$6:$AL$505,"○")&gt;0,1,0))</f>
        <v>0</v>
      </c>
      <c r="DG202" s="39" t="n">
        <f aca="false">IF(DG$4=0,0,IF(COUNTIFS(実績!$W$6:$W$505,DG$3,実績!$AI$6:$AI$505,"&lt;="&amp;$A202,実績!$AJ$6:$AJ$505,"&gt;"&amp;$A202,実績!$AL$6:$AL$505,"○")&gt;0,1,0))</f>
        <v>0</v>
      </c>
      <c r="DH202" s="39" t="n">
        <f aca="false">IF(DH$4=0,0,IF(COUNTIFS(実績!$W$6:$W$505,DH$3,実績!$AI$6:$AI$505,"&lt;="&amp;$A202,実績!$AJ$6:$AJ$505,"&gt;"&amp;$A202,実績!$AL$6:$AL$505,"○")&gt;0,1,0))</f>
        <v>0</v>
      </c>
      <c r="DI202" s="39" t="n">
        <f aca="false">IF(DI$4=0,0,IF(COUNTIFS(実績!$W$6:$W$505,DI$3,実績!$AI$6:$AI$505,"&lt;="&amp;$A202,実績!$AJ$6:$AJ$505,"&gt;"&amp;$A202,実績!$AL$6:$AL$505,"○")&gt;0,1,0))</f>
        <v>0</v>
      </c>
      <c r="DJ202" s="39" t="n">
        <f aca="false">IF(DJ$4=0,0,IF(COUNTIFS(実績!$W$6:$W$505,DJ$3,実績!$AI$6:$AI$505,"&lt;="&amp;$A202,実績!$AJ$6:$AJ$505,"&gt;"&amp;$A202,実績!$AL$6:$AL$505,"○")&gt;0,1,0))</f>
        <v>0</v>
      </c>
      <c r="DK202" s="39" t="n">
        <f aca="false">IF(DK$4=0,0,IF(COUNTIFS(実績!$W$6:$W$505,DK$3,実績!$AI$6:$AI$505,"&lt;="&amp;$A202,実績!$AJ$6:$AJ$505,"&gt;"&amp;$A202,実績!$AL$6:$AL$505,"○")&gt;0,1,0))</f>
        <v>0</v>
      </c>
      <c r="DL202" s="39" t="n">
        <f aca="false">IF(DL$4=0,0,IF(COUNTIFS(実績!$W$6:$W$505,DL$3,実績!$AI$6:$AI$505,"&lt;="&amp;$A202,実績!$AJ$6:$AJ$505,"&gt;"&amp;$A202,実績!$AL$6:$AL$505,"○")&gt;0,1,0))</f>
        <v>0</v>
      </c>
      <c r="DM202" s="39" t="n">
        <f aca="false">IF(DM$4=0,0,IF(COUNTIFS(実績!$W$6:$W$505,DM$3,実績!$AI$6:$AI$505,"&lt;="&amp;$A202,実績!$AJ$6:$AJ$505,"&gt;"&amp;$A202,実績!$AL$6:$AL$505,"○")&gt;0,1,0))</f>
        <v>0</v>
      </c>
      <c r="DN202" s="39" t="n">
        <f aca="false">IF(DN$4=0,0,IF(COUNTIFS(実績!$W$6:$W$505,DN$3,実績!$AI$6:$AI$505,"&lt;="&amp;$A202,実績!$AJ$6:$AJ$505,"&gt;"&amp;$A202,実績!$AL$6:$AL$505,"○")&gt;0,1,0))</f>
        <v>0</v>
      </c>
      <c r="DO202" s="39" t="n">
        <f aca="false">IF(DO$4=0,0,IF(COUNTIFS(実績!$W$6:$W$505,DO$3,実績!$AI$6:$AI$505,"&lt;="&amp;$A202,実績!$AJ$6:$AJ$505,"&gt;"&amp;$A202,実績!$AL$6:$AL$505,"○")&gt;0,1,0))</f>
        <v>0</v>
      </c>
      <c r="DP202" s="39" t="n">
        <f aca="false">IF(DP$4=0,0,IF(COUNTIFS(実績!$W$6:$W$505,DP$3,実績!$AI$6:$AI$505,"&lt;="&amp;$A202,実績!$AJ$6:$AJ$505,"&gt;"&amp;$A202,実績!$AL$6:$AL$505,"○")&gt;0,1,0))</f>
        <v>0</v>
      </c>
      <c r="DQ202" s="39" t="n">
        <f aca="false">IF(DQ$4=0,0,IF(COUNTIFS(実績!$W$6:$W$505,DQ$3,実績!$AI$6:$AI$505,"&lt;="&amp;$A202,実績!$AJ$6:$AJ$505,"&gt;"&amp;$A202,実績!$AL$6:$AL$505,"○")&gt;0,1,0))</f>
        <v>0</v>
      </c>
      <c r="DR202" s="39" t="n">
        <f aca="false">IF(DR$4=0,0,IF(COUNTIFS(実績!$W$6:$W$505,DR$3,実績!$AI$6:$AI$505,"&lt;="&amp;$A202,実績!$AJ$6:$AJ$505,"&gt;"&amp;$A202,実績!$AL$6:$AL$505,"○")&gt;0,1,0))</f>
        <v>0</v>
      </c>
      <c r="DS202" s="39" t="n">
        <f aca="false">SUM(C202:DR202)</f>
        <v>0</v>
      </c>
    </row>
    <row r="203" customFormat="false" ht="15" hidden="false" customHeight="false" outlineLevel="0" collapsed="false">
      <c r="A203" s="0" t="n">
        <v>985</v>
      </c>
      <c r="B203" s="38" t="n">
        <f aca="false">A203/1440</f>
        <v>0.684027777777778</v>
      </c>
      <c r="C203" s="39" t="n">
        <f aca="false">IF(C$4=0,0,IF(COUNTIFS(実績!$W$6:$W$505,C$3,実績!$AI$6:$AI$505,"&lt;="&amp;$A203,実績!$AJ$6:$AJ$505,"&gt;"&amp;$A203,実績!$AL$6:$AL$505,"○")&gt;0,1,0))</f>
        <v>0</v>
      </c>
      <c r="D203" s="39" t="n">
        <f aca="false">IF(D$4=0,0,IF(COUNTIFS(実績!$W$6:$W$505,D$3,実績!$AI$6:$AI$505,"&lt;="&amp;$A203,実績!$AJ$6:$AJ$505,"&gt;"&amp;$A203,実績!$AL$6:$AL$505,"○")&gt;0,1,0))</f>
        <v>0</v>
      </c>
      <c r="E203" s="39" t="n">
        <f aca="false">IF(E$4=0,0,IF(COUNTIFS(実績!$W$6:$W$505,E$3,実績!$AI$6:$AI$505,"&lt;="&amp;$A203,実績!$AJ$6:$AJ$505,"&gt;"&amp;$A203,実績!$AL$6:$AL$505,"○")&gt;0,1,0))</f>
        <v>0</v>
      </c>
      <c r="F203" s="39" t="n">
        <f aca="false">IF(F$4=0,0,IF(COUNTIFS(実績!$W$6:$W$505,F$3,実績!$AI$6:$AI$505,"&lt;="&amp;$A203,実績!$AJ$6:$AJ$505,"&gt;"&amp;$A203,実績!$AL$6:$AL$505,"○")&gt;0,1,0))</f>
        <v>0</v>
      </c>
      <c r="G203" s="39" t="n">
        <f aca="false">IF(G$4=0,0,IF(COUNTIFS(実績!$W$6:$W$505,G$3,実績!$AI$6:$AI$505,"&lt;="&amp;$A203,実績!$AJ$6:$AJ$505,"&gt;"&amp;$A203,実績!$AL$6:$AL$505,"○")&gt;0,1,0))</f>
        <v>0</v>
      </c>
      <c r="H203" s="39" t="n">
        <f aca="false">IF(H$4=0,0,IF(COUNTIFS(実績!$W$6:$W$505,H$3,実績!$AI$6:$AI$505,"&lt;="&amp;$A203,実績!$AJ$6:$AJ$505,"&gt;"&amp;$A203,実績!$AL$6:$AL$505,"○")&gt;0,1,0))</f>
        <v>0</v>
      </c>
      <c r="I203" s="39" t="n">
        <f aca="false">IF(I$4=0,0,IF(COUNTIFS(実績!$W$6:$W$505,I$3,実績!$AI$6:$AI$505,"&lt;="&amp;$A203,実績!$AJ$6:$AJ$505,"&gt;"&amp;$A203,実績!$AL$6:$AL$505,"○")&gt;0,1,0))</f>
        <v>0</v>
      </c>
      <c r="J203" s="39" t="n">
        <f aca="false">IF(J$4=0,0,IF(COUNTIFS(実績!$W$6:$W$505,J$3,実績!$AI$6:$AI$505,"&lt;="&amp;$A203,実績!$AJ$6:$AJ$505,"&gt;"&amp;$A203,実績!$AL$6:$AL$505,"○")&gt;0,1,0))</f>
        <v>0</v>
      </c>
      <c r="K203" s="39" t="n">
        <f aca="false">IF(K$4=0,0,IF(COUNTIFS(実績!$W$6:$W$505,K$3,実績!$AI$6:$AI$505,"&lt;="&amp;$A203,実績!$AJ$6:$AJ$505,"&gt;"&amp;$A203,実績!$AL$6:$AL$505,"○")&gt;0,1,0))</f>
        <v>0</v>
      </c>
      <c r="L203" s="39" t="n">
        <f aca="false">IF(L$4=0,0,IF(COUNTIFS(実績!$W$6:$W$505,L$3,実績!$AI$6:$AI$505,"&lt;="&amp;$A203,実績!$AJ$6:$AJ$505,"&gt;"&amp;$A203,実績!$AL$6:$AL$505,"○")&gt;0,1,0))</f>
        <v>0</v>
      </c>
      <c r="M203" s="39" t="n">
        <f aca="false">IF(M$4=0,0,IF(COUNTIFS(実績!$W$6:$W$505,M$3,実績!$AI$6:$AI$505,"&lt;="&amp;$A203,実績!$AJ$6:$AJ$505,"&gt;"&amp;$A203,実績!$AL$6:$AL$505,"○")&gt;0,1,0))</f>
        <v>0</v>
      </c>
      <c r="N203" s="39" t="n">
        <f aca="false">IF(N$4=0,0,IF(COUNTIFS(実績!$W$6:$W$505,N$3,実績!$AI$6:$AI$505,"&lt;="&amp;$A203,実績!$AJ$6:$AJ$505,"&gt;"&amp;$A203,実績!$AL$6:$AL$505,"○")&gt;0,1,0))</f>
        <v>0</v>
      </c>
      <c r="O203" s="39" t="n">
        <f aca="false">IF(O$4=0,0,IF(COUNTIFS(実績!$W$6:$W$505,O$3,実績!$AI$6:$AI$505,"&lt;="&amp;$A203,実績!$AJ$6:$AJ$505,"&gt;"&amp;$A203,実績!$AL$6:$AL$505,"○")&gt;0,1,0))</f>
        <v>0</v>
      </c>
      <c r="P203" s="39" t="n">
        <f aca="false">IF(P$4=0,0,IF(COUNTIFS(実績!$W$6:$W$505,P$3,実績!$AI$6:$AI$505,"&lt;="&amp;$A203,実績!$AJ$6:$AJ$505,"&gt;"&amp;$A203,実績!$AL$6:$AL$505,"○")&gt;0,1,0))</f>
        <v>0</v>
      </c>
      <c r="Q203" s="39" t="n">
        <f aca="false">IF(Q$4=0,0,IF(COUNTIFS(実績!$W$6:$W$505,Q$3,実績!$AI$6:$AI$505,"&lt;="&amp;$A203,実績!$AJ$6:$AJ$505,"&gt;"&amp;$A203,実績!$AL$6:$AL$505,"○")&gt;0,1,0))</f>
        <v>0</v>
      </c>
      <c r="R203" s="39" t="n">
        <f aca="false">IF(R$4=0,0,IF(COUNTIFS(実績!$W$6:$W$505,R$3,実績!$AI$6:$AI$505,"&lt;="&amp;$A203,実績!$AJ$6:$AJ$505,"&gt;"&amp;$A203,実績!$AL$6:$AL$505,"○")&gt;0,1,0))</f>
        <v>0</v>
      </c>
      <c r="S203" s="39" t="n">
        <f aca="false">IF(S$4=0,0,IF(COUNTIFS(実績!$W$6:$W$505,S$3,実績!$AI$6:$AI$505,"&lt;="&amp;$A203,実績!$AJ$6:$AJ$505,"&gt;"&amp;$A203,実績!$AL$6:$AL$505,"○")&gt;0,1,0))</f>
        <v>0</v>
      </c>
      <c r="T203" s="39" t="n">
        <f aca="false">IF(T$4=0,0,IF(COUNTIFS(実績!$W$6:$W$505,T$3,実績!$AI$6:$AI$505,"&lt;="&amp;$A203,実績!$AJ$6:$AJ$505,"&gt;"&amp;$A203,実績!$AL$6:$AL$505,"○")&gt;0,1,0))</f>
        <v>0</v>
      </c>
      <c r="U203" s="39" t="n">
        <f aca="false">IF(U$4=0,0,IF(COUNTIFS(実績!$W$6:$W$505,U$3,実績!$AI$6:$AI$505,"&lt;="&amp;$A203,実績!$AJ$6:$AJ$505,"&gt;"&amp;$A203,実績!$AL$6:$AL$505,"○")&gt;0,1,0))</f>
        <v>0</v>
      </c>
      <c r="V203" s="39" t="n">
        <f aca="false">IF(V$4=0,0,IF(COUNTIFS(実績!$W$6:$W$505,V$3,実績!$AI$6:$AI$505,"&lt;="&amp;$A203,実績!$AJ$6:$AJ$505,"&gt;"&amp;$A203,実績!$AL$6:$AL$505,"○")&gt;0,1,0))</f>
        <v>0</v>
      </c>
      <c r="W203" s="39" t="n">
        <f aca="false">IF(W$4=0,0,IF(COUNTIFS(実績!$W$6:$W$505,W$3,実績!$AI$6:$AI$505,"&lt;="&amp;$A203,実績!$AJ$6:$AJ$505,"&gt;"&amp;$A203,実績!$AL$6:$AL$505,"○")&gt;0,1,0))</f>
        <v>0</v>
      </c>
      <c r="X203" s="39" t="n">
        <f aca="false">IF(X$4=0,0,IF(COUNTIFS(実績!$W$6:$W$505,X$3,実績!$AI$6:$AI$505,"&lt;="&amp;$A203,実績!$AJ$6:$AJ$505,"&gt;"&amp;$A203,実績!$AL$6:$AL$505,"○")&gt;0,1,0))</f>
        <v>0</v>
      </c>
      <c r="Y203" s="39" t="n">
        <f aca="false">IF(Y$4=0,0,IF(COUNTIFS(実績!$W$6:$W$505,Y$3,実績!$AI$6:$AI$505,"&lt;="&amp;$A203,実績!$AJ$6:$AJ$505,"&gt;"&amp;$A203,実績!$AL$6:$AL$505,"○")&gt;0,1,0))</f>
        <v>0</v>
      </c>
      <c r="Z203" s="39" t="n">
        <f aca="false">IF(Z$4=0,0,IF(COUNTIFS(実績!$W$6:$W$505,Z$3,実績!$AI$6:$AI$505,"&lt;="&amp;$A203,実績!$AJ$6:$AJ$505,"&gt;"&amp;$A203,実績!$AL$6:$AL$505,"○")&gt;0,1,0))</f>
        <v>0</v>
      </c>
      <c r="AA203" s="39" t="n">
        <f aca="false">IF(AA$4=0,0,IF(COUNTIFS(実績!$W$6:$W$505,AA$3,実績!$AI$6:$AI$505,"&lt;="&amp;$A203,実績!$AJ$6:$AJ$505,"&gt;"&amp;$A203,実績!$AL$6:$AL$505,"○")&gt;0,1,0))</f>
        <v>0</v>
      </c>
      <c r="AB203" s="39" t="n">
        <f aca="false">IF(AB$4=0,0,IF(COUNTIFS(実績!$W$6:$W$505,AB$3,実績!$AI$6:$AI$505,"&lt;="&amp;$A203,実績!$AJ$6:$AJ$505,"&gt;"&amp;$A203,実績!$AL$6:$AL$505,"○")&gt;0,1,0))</f>
        <v>0</v>
      </c>
      <c r="AC203" s="39" t="n">
        <f aca="false">IF(AC$4=0,0,IF(COUNTIFS(実績!$W$6:$W$505,AC$3,実績!$AI$6:$AI$505,"&lt;="&amp;$A203,実績!$AJ$6:$AJ$505,"&gt;"&amp;$A203,実績!$AL$6:$AL$505,"○")&gt;0,1,0))</f>
        <v>0</v>
      </c>
      <c r="AD203" s="39" t="n">
        <f aca="false">IF(AD$4=0,0,IF(COUNTIFS(実績!$W$6:$W$505,AD$3,実績!$AI$6:$AI$505,"&lt;="&amp;$A203,実績!$AJ$6:$AJ$505,"&gt;"&amp;$A203,実績!$AL$6:$AL$505,"○")&gt;0,1,0))</f>
        <v>0</v>
      </c>
      <c r="AE203" s="39" t="n">
        <f aca="false">IF(AE$4=0,0,IF(COUNTIFS(実績!$W$6:$W$505,AE$3,実績!$AI$6:$AI$505,"&lt;="&amp;$A203,実績!$AJ$6:$AJ$505,"&gt;"&amp;$A203,実績!$AL$6:$AL$505,"○")&gt;0,1,0))</f>
        <v>0</v>
      </c>
      <c r="AF203" s="39" t="n">
        <f aca="false">IF(AF$4=0,0,IF(COUNTIFS(実績!$W$6:$W$505,AF$3,実績!$AI$6:$AI$505,"&lt;="&amp;$A203,実績!$AJ$6:$AJ$505,"&gt;"&amp;$A203,実績!$AL$6:$AL$505,"○")&gt;0,1,0))</f>
        <v>0</v>
      </c>
      <c r="AG203" s="39" t="n">
        <f aca="false">IF(AG$4=0,0,IF(COUNTIFS(実績!$W$6:$W$505,AG$3,実績!$AI$6:$AI$505,"&lt;="&amp;$A203,実績!$AJ$6:$AJ$505,"&gt;"&amp;$A203,実績!$AL$6:$AL$505,"○")&gt;0,1,0))</f>
        <v>0</v>
      </c>
      <c r="AH203" s="39" t="n">
        <f aca="false">IF(AH$4=0,0,IF(COUNTIFS(実績!$W$6:$W$505,AH$3,実績!$AI$6:$AI$505,"&lt;="&amp;$A203,実績!$AJ$6:$AJ$505,"&gt;"&amp;$A203,実績!$AL$6:$AL$505,"○")&gt;0,1,0))</f>
        <v>0</v>
      </c>
      <c r="AI203" s="39" t="n">
        <f aca="false">IF(AI$4=0,0,IF(COUNTIFS(実績!$W$6:$W$505,AI$3,実績!$AI$6:$AI$505,"&lt;="&amp;$A203,実績!$AJ$6:$AJ$505,"&gt;"&amp;$A203,実績!$AL$6:$AL$505,"○")&gt;0,1,0))</f>
        <v>0</v>
      </c>
      <c r="AJ203" s="39" t="n">
        <f aca="false">IF(AJ$4=0,0,IF(COUNTIFS(実績!$W$6:$W$505,AJ$3,実績!$AI$6:$AI$505,"&lt;="&amp;$A203,実績!$AJ$6:$AJ$505,"&gt;"&amp;$A203,実績!$AL$6:$AL$505,"○")&gt;0,1,0))</f>
        <v>0</v>
      </c>
      <c r="AK203" s="39" t="n">
        <f aca="false">IF(AK$4=0,0,IF(COUNTIFS(実績!$W$6:$W$505,AK$3,実績!$AI$6:$AI$505,"&lt;="&amp;$A203,実績!$AJ$6:$AJ$505,"&gt;"&amp;$A203,実績!$AL$6:$AL$505,"○")&gt;0,1,0))</f>
        <v>0</v>
      </c>
      <c r="AL203" s="39" t="n">
        <f aca="false">IF(AL$4=0,0,IF(COUNTIFS(実績!$W$6:$W$505,AL$3,実績!$AI$6:$AI$505,"&lt;="&amp;$A203,実績!$AJ$6:$AJ$505,"&gt;"&amp;$A203,実績!$AL$6:$AL$505,"○")&gt;0,1,0))</f>
        <v>0</v>
      </c>
      <c r="AM203" s="39" t="n">
        <f aca="false">IF(AM$4=0,0,IF(COUNTIFS(実績!$W$6:$W$505,AM$3,実績!$AI$6:$AI$505,"&lt;="&amp;$A203,実績!$AJ$6:$AJ$505,"&gt;"&amp;$A203,実績!$AL$6:$AL$505,"○")&gt;0,1,0))</f>
        <v>0</v>
      </c>
      <c r="AN203" s="39" t="n">
        <f aca="false">IF(AN$4=0,0,IF(COUNTIFS(実績!$W$6:$W$505,AN$3,実績!$AI$6:$AI$505,"&lt;="&amp;$A203,実績!$AJ$6:$AJ$505,"&gt;"&amp;$A203,実績!$AL$6:$AL$505,"○")&gt;0,1,0))</f>
        <v>0</v>
      </c>
      <c r="AO203" s="39" t="n">
        <f aca="false">IF(AO$4=0,0,IF(COUNTIFS(実績!$W$6:$W$505,AO$3,実績!$AI$6:$AI$505,"&lt;="&amp;$A203,実績!$AJ$6:$AJ$505,"&gt;"&amp;$A203,実績!$AL$6:$AL$505,"○")&gt;0,1,0))</f>
        <v>0</v>
      </c>
      <c r="AP203" s="39" t="n">
        <f aca="false">IF(AP$4=0,0,IF(COUNTIFS(実績!$W$6:$W$505,AP$3,実績!$AI$6:$AI$505,"&lt;="&amp;$A203,実績!$AJ$6:$AJ$505,"&gt;"&amp;$A203,実績!$AL$6:$AL$505,"○")&gt;0,1,0))</f>
        <v>0</v>
      </c>
      <c r="AQ203" s="39" t="n">
        <f aca="false">IF(AQ$4=0,0,IF(COUNTIFS(実績!$W$6:$W$505,AQ$3,実績!$AI$6:$AI$505,"&lt;="&amp;$A203,実績!$AJ$6:$AJ$505,"&gt;"&amp;$A203,実績!$AL$6:$AL$505,"○")&gt;0,1,0))</f>
        <v>0</v>
      </c>
      <c r="AR203" s="39" t="n">
        <f aca="false">IF(AR$4=0,0,IF(COUNTIFS(実績!$W$6:$W$505,AR$3,実績!$AI$6:$AI$505,"&lt;="&amp;$A203,実績!$AJ$6:$AJ$505,"&gt;"&amp;$A203,実績!$AL$6:$AL$505,"○")&gt;0,1,0))</f>
        <v>0</v>
      </c>
      <c r="AS203" s="39" t="n">
        <f aca="false">IF(AS$4=0,0,IF(COUNTIFS(実績!$W$6:$W$505,AS$3,実績!$AI$6:$AI$505,"&lt;="&amp;$A203,実績!$AJ$6:$AJ$505,"&gt;"&amp;$A203,実績!$AL$6:$AL$505,"○")&gt;0,1,0))</f>
        <v>0</v>
      </c>
      <c r="AT203" s="39" t="n">
        <f aca="false">IF(AT$4=0,0,IF(COUNTIFS(実績!$W$6:$W$505,AT$3,実績!$AI$6:$AI$505,"&lt;="&amp;$A203,実績!$AJ$6:$AJ$505,"&gt;"&amp;$A203,実績!$AL$6:$AL$505,"○")&gt;0,1,0))</f>
        <v>0</v>
      </c>
      <c r="AU203" s="39" t="n">
        <f aca="false">IF(AU$4=0,0,IF(COUNTIFS(実績!$W$6:$W$505,AU$3,実績!$AI$6:$AI$505,"&lt;="&amp;$A203,実績!$AJ$6:$AJ$505,"&gt;"&amp;$A203,実績!$AL$6:$AL$505,"○")&gt;0,1,0))</f>
        <v>0</v>
      </c>
      <c r="AV203" s="39" t="n">
        <f aca="false">IF(AV$4=0,0,IF(COUNTIFS(実績!$W$6:$W$505,AV$3,実績!$AI$6:$AI$505,"&lt;="&amp;$A203,実績!$AJ$6:$AJ$505,"&gt;"&amp;$A203,実績!$AL$6:$AL$505,"○")&gt;0,1,0))</f>
        <v>0</v>
      </c>
      <c r="AW203" s="39" t="n">
        <f aca="false">IF(AW$4=0,0,IF(COUNTIFS(実績!$W$6:$W$505,AW$3,実績!$AI$6:$AI$505,"&lt;="&amp;$A203,実績!$AJ$6:$AJ$505,"&gt;"&amp;$A203,実績!$AL$6:$AL$505,"○")&gt;0,1,0))</f>
        <v>0</v>
      </c>
      <c r="AX203" s="39" t="n">
        <f aca="false">IF(AX$4=0,0,IF(COUNTIFS(実績!$W$6:$W$505,AX$3,実績!$AI$6:$AI$505,"&lt;="&amp;$A203,実績!$AJ$6:$AJ$505,"&gt;"&amp;$A203,実績!$AL$6:$AL$505,"○")&gt;0,1,0))</f>
        <v>0</v>
      </c>
      <c r="AY203" s="39" t="n">
        <f aca="false">IF(AY$4=0,0,IF(COUNTIFS(実績!$W$6:$W$505,AY$3,実績!$AI$6:$AI$505,"&lt;="&amp;$A203,実績!$AJ$6:$AJ$505,"&gt;"&amp;$A203,実績!$AL$6:$AL$505,"○")&gt;0,1,0))</f>
        <v>0</v>
      </c>
      <c r="AZ203" s="39" t="n">
        <f aca="false">IF(AZ$4=0,0,IF(COUNTIFS(実績!$W$6:$W$505,AZ$3,実績!$AI$6:$AI$505,"&lt;="&amp;$A203,実績!$AJ$6:$AJ$505,"&gt;"&amp;$A203,実績!$AL$6:$AL$505,"○")&gt;0,1,0))</f>
        <v>0</v>
      </c>
      <c r="BA203" s="39" t="n">
        <f aca="false">IF(BA$4=0,0,IF(COUNTIFS(実績!$W$6:$W$505,BA$3,実績!$AI$6:$AI$505,"&lt;="&amp;$A203,実績!$AJ$6:$AJ$505,"&gt;"&amp;$A203,実績!$AL$6:$AL$505,"○")&gt;0,1,0))</f>
        <v>0</v>
      </c>
      <c r="BB203" s="39" t="n">
        <f aca="false">IF(BB$4=0,0,IF(COUNTIFS(実績!$W$6:$W$505,BB$3,実績!$AI$6:$AI$505,"&lt;="&amp;$A203,実績!$AJ$6:$AJ$505,"&gt;"&amp;$A203,実績!$AL$6:$AL$505,"○")&gt;0,1,0))</f>
        <v>0</v>
      </c>
      <c r="BC203" s="39" t="n">
        <f aca="false">IF(BC$4=0,0,IF(COUNTIFS(実績!$W$6:$W$505,BC$3,実績!$AI$6:$AI$505,"&lt;="&amp;$A203,実績!$AJ$6:$AJ$505,"&gt;"&amp;$A203,実績!$AL$6:$AL$505,"○")&gt;0,1,0))</f>
        <v>0</v>
      </c>
      <c r="BD203" s="39" t="n">
        <f aca="false">IF(BD$4=0,0,IF(COUNTIFS(実績!$W$6:$W$505,BD$3,実績!$AI$6:$AI$505,"&lt;="&amp;$A203,実績!$AJ$6:$AJ$505,"&gt;"&amp;$A203,実績!$AL$6:$AL$505,"○")&gt;0,1,0))</f>
        <v>0</v>
      </c>
      <c r="BE203" s="39" t="n">
        <f aca="false">IF(BE$4=0,0,IF(COUNTIFS(実績!$W$6:$W$505,BE$3,実績!$AI$6:$AI$505,"&lt;="&amp;$A203,実績!$AJ$6:$AJ$505,"&gt;"&amp;$A203,実績!$AL$6:$AL$505,"○")&gt;0,1,0))</f>
        <v>0</v>
      </c>
      <c r="BF203" s="39" t="n">
        <f aca="false">IF(BF$4=0,0,IF(COUNTIFS(実績!$W$6:$W$505,BF$3,実績!$AI$6:$AI$505,"&lt;="&amp;$A203,実績!$AJ$6:$AJ$505,"&gt;"&amp;$A203,実績!$AL$6:$AL$505,"○")&gt;0,1,0))</f>
        <v>0</v>
      </c>
      <c r="BG203" s="39" t="n">
        <f aca="false">IF(BG$4=0,0,IF(COUNTIFS(実績!$W$6:$W$505,BG$3,実績!$AI$6:$AI$505,"&lt;="&amp;$A203,実績!$AJ$6:$AJ$505,"&gt;"&amp;$A203,実績!$AL$6:$AL$505,"○")&gt;0,1,0))</f>
        <v>0</v>
      </c>
      <c r="BH203" s="39" t="n">
        <f aca="false">IF(BH$4=0,0,IF(COUNTIFS(実績!$W$6:$W$505,BH$3,実績!$AI$6:$AI$505,"&lt;="&amp;$A203,実績!$AJ$6:$AJ$505,"&gt;"&amp;$A203,実績!$AL$6:$AL$505,"○")&gt;0,1,0))</f>
        <v>0</v>
      </c>
      <c r="BI203" s="39" t="n">
        <f aca="false">IF(BI$4=0,0,IF(COUNTIFS(実績!$W$6:$W$505,BI$3,実績!$AI$6:$AI$505,"&lt;="&amp;$A203,実績!$AJ$6:$AJ$505,"&gt;"&amp;$A203,実績!$AL$6:$AL$505,"○")&gt;0,1,0))</f>
        <v>0</v>
      </c>
      <c r="BJ203" s="39" t="n">
        <f aca="false">IF(BJ$4=0,0,IF(COUNTIFS(実績!$W$6:$W$505,BJ$3,実績!$AI$6:$AI$505,"&lt;="&amp;$A203,実績!$AJ$6:$AJ$505,"&gt;"&amp;$A203,実績!$AL$6:$AL$505,"○")&gt;0,1,0))</f>
        <v>0</v>
      </c>
      <c r="BK203" s="39" t="n">
        <f aca="false">IF(BK$4=0,0,IF(COUNTIFS(実績!$W$6:$W$505,BK$3,実績!$AI$6:$AI$505,"&lt;="&amp;$A203,実績!$AJ$6:$AJ$505,"&gt;"&amp;$A203,実績!$AL$6:$AL$505,"○")&gt;0,1,0))</f>
        <v>0</v>
      </c>
      <c r="BL203" s="39" t="n">
        <f aca="false">IF(BL$4=0,0,IF(COUNTIFS(実績!$W$6:$W$505,BL$3,実績!$AI$6:$AI$505,"&lt;="&amp;$A203,実績!$AJ$6:$AJ$505,"&gt;"&amp;$A203,実績!$AL$6:$AL$505,"○")&gt;0,1,0))</f>
        <v>0</v>
      </c>
      <c r="BM203" s="39" t="n">
        <f aca="false">IF(BM$4=0,0,IF(COUNTIFS(実績!$W$6:$W$505,BM$3,実績!$AI$6:$AI$505,"&lt;="&amp;$A203,実績!$AJ$6:$AJ$505,"&gt;"&amp;$A203,実績!$AL$6:$AL$505,"○")&gt;0,1,0))</f>
        <v>0</v>
      </c>
      <c r="BN203" s="39" t="n">
        <f aca="false">IF(BN$4=0,0,IF(COUNTIFS(実績!$W$6:$W$505,BN$3,実績!$AI$6:$AI$505,"&lt;="&amp;$A203,実績!$AJ$6:$AJ$505,"&gt;"&amp;$A203,実績!$AL$6:$AL$505,"○")&gt;0,1,0))</f>
        <v>0</v>
      </c>
      <c r="BO203" s="39" t="n">
        <f aca="false">IF(BO$4=0,0,IF(COUNTIFS(実績!$W$6:$W$505,BO$3,実績!$AI$6:$AI$505,"&lt;="&amp;$A203,実績!$AJ$6:$AJ$505,"&gt;"&amp;$A203,実績!$AL$6:$AL$505,"○")&gt;0,1,0))</f>
        <v>0</v>
      </c>
      <c r="BP203" s="39" t="n">
        <f aca="false">IF(BP$4=0,0,IF(COUNTIFS(実績!$W$6:$W$505,BP$3,実績!$AI$6:$AI$505,"&lt;="&amp;$A203,実績!$AJ$6:$AJ$505,"&gt;"&amp;$A203,実績!$AL$6:$AL$505,"○")&gt;0,1,0))</f>
        <v>0</v>
      </c>
      <c r="BQ203" s="39" t="n">
        <f aca="false">IF(BQ$4=0,0,IF(COUNTIFS(実績!$W$6:$W$505,BQ$3,実績!$AI$6:$AI$505,"&lt;="&amp;$A203,実績!$AJ$6:$AJ$505,"&gt;"&amp;$A203,実績!$AL$6:$AL$505,"○")&gt;0,1,0))</f>
        <v>0</v>
      </c>
      <c r="BR203" s="39" t="n">
        <f aca="false">IF(BR$4=0,0,IF(COUNTIFS(実績!$W$6:$W$505,BR$3,実績!$AI$6:$AI$505,"&lt;="&amp;$A203,実績!$AJ$6:$AJ$505,"&gt;"&amp;$A203,実績!$AL$6:$AL$505,"○")&gt;0,1,0))</f>
        <v>0</v>
      </c>
      <c r="BS203" s="39" t="n">
        <f aca="false">IF(BS$4=0,0,IF(COUNTIFS(実績!$W$6:$W$505,BS$3,実績!$AI$6:$AI$505,"&lt;="&amp;$A203,実績!$AJ$6:$AJ$505,"&gt;"&amp;$A203,実績!$AL$6:$AL$505,"○")&gt;0,1,0))</f>
        <v>0</v>
      </c>
      <c r="BT203" s="39" t="n">
        <f aca="false">IF(BT$4=0,0,IF(COUNTIFS(実績!$W$6:$W$505,BT$3,実績!$AI$6:$AI$505,"&lt;="&amp;$A203,実績!$AJ$6:$AJ$505,"&gt;"&amp;$A203,実績!$AL$6:$AL$505,"○")&gt;0,1,0))</f>
        <v>0</v>
      </c>
      <c r="BU203" s="39" t="n">
        <f aca="false">IF(BU$4=0,0,IF(COUNTIFS(実績!$W$6:$W$505,BU$3,実績!$AI$6:$AI$505,"&lt;="&amp;$A203,実績!$AJ$6:$AJ$505,"&gt;"&amp;$A203,実績!$AL$6:$AL$505,"○")&gt;0,1,0))</f>
        <v>0</v>
      </c>
      <c r="BV203" s="39" t="n">
        <f aca="false">IF(BV$4=0,0,IF(COUNTIFS(実績!$W$6:$W$505,BV$3,実績!$AI$6:$AI$505,"&lt;="&amp;$A203,実績!$AJ$6:$AJ$505,"&gt;"&amp;$A203,実績!$AL$6:$AL$505,"○")&gt;0,1,0))</f>
        <v>0</v>
      </c>
      <c r="BW203" s="39" t="n">
        <f aca="false">IF(BW$4=0,0,IF(COUNTIFS(実績!$W$6:$W$505,BW$3,実績!$AI$6:$AI$505,"&lt;="&amp;$A203,実績!$AJ$6:$AJ$505,"&gt;"&amp;$A203,実績!$AL$6:$AL$505,"○")&gt;0,1,0))</f>
        <v>0</v>
      </c>
      <c r="BX203" s="39" t="n">
        <f aca="false">IF(BX$4=0,0,IF(COUNTIFS(実績!$W$6:$W$505,BX$3,実績!$AI$6:$AI$505,"&lt;="&amp;$A203,実績!$AJ$6:$AJ$505,"&gt;"&amp;$A203,実績!$AL$6:$AL$505,"○")&gt;0,1,0))</f>
        <v>0</v>
      </c>
      <c r="BY203" s="39" t="n">
        <f aca="false">IF(BY$4=0,0,IF(COUNTIFS(実績!$W$6:$W$505,BY$3,実績!$AI$6:$AI$505,"&lt;="&amp;$A203,実績!$AJ$6:$AJ$505,"&gt;"&amp;$A203,実績!$AL$6:$AL$505,"○")&gt;0,1,0))</f>
        <v>0</v>
      </c>
      <c r="BZ203" s="39" t="n">
        <f aca="false">IF(BZ$4=0,0,IF(COUNTIFS(実績!$W$6:$W$505,BZ$3,実績!$AI$6:$AI$505,"&lt;="&amp;$A203,実績!$AJ$6:$AJ$505,"&gt;"&amp;$A203,実績!$AL$6:$AL$505,"○")&gt;0,1,0))</f>
        <v>0</v>
      </c>
      <c r="CA203" s="39" t="n">
        <f aca="false">IF(CA$4=0,0,IF(COUNTIFS(実績!$W$6:$W$505,CA$3,実績!$AI$6:$AI$505,"&lt;="&amp;$A203,実績!$AJ$6:$AJ$505,"&gt;"&amp;$A203,実績!$AL$6:$AL$505,"○")&gt;0,1,0))</f>
        <v>0</v>
      </c>
      <c r="CB203" s="39" t="n">
        <f aca="false">IF(CB$4=0,0,IF(COUNTIFS(実績!$W$6:$W$505,CB$3,実績!$AI$6:$AI$505,"&lt;="&amp;$A203,実績!$AJ$6:$AJ$505,"&gt;"&amp;$A203,実績!$AL$6:$AL$505,"○")&gt;0,1,0))</f>
        <v>0</v>
      </c>
      <c r="CC203" s="39" t="n">
        <f aca="false">IF(CC$4=0,0,IF(COUNTIFS(実績!$W$6:$W$505,CC$3,実績!$AI$6:$AI$505,"&lt;="&amp;$A203,実績!$AJ$6:$AJ$505,"&gt;"&amp;$A203,実績!$AL$6:$AL$505,"○")&gt;0,1,0))</f>
        <v>0</v>
      </c>
      <c r="CD203" s="39" t="n">
        <f aca="false">IF(CD$4=0,0,IF(COUNTIFS(実績!$W$6:$W$505,CD$3,実績!$AI$6:$AI$505,"&lt;="&amp;$A203,実績!$AJ$6:$AJ$505,"&gt;"&amp;$A203,実績!$AL$6:$AL$505,"○")&gt;0,1,0))</f>
        <v>0</v>
      </c>
      <c r="CE203" s="39" t="n">
        <f aca="false">IF(CE$4=0,0,IF(COUNTIFS(実績!$W$6:$W$505,CE$3,実績!$AI$6:$AI$505,"&lt;="&amp;$A203,実績!$AJ$6:$AJ$505,"&gt;"&amp;$A203,実績!$AL$6:$AL$505,"○")&gt;0,1,0))</f>
        <v>0</v>
      </c>
      <c r="CF203" s="39" t="n">
        <f aca="false">IF(CF$4=0,0,IF(COUNTIFS(実績!$W$6:$W$505,CF$3,実績!$AI$6:$AI$505,"&lt;="&amp;$A203,実績!$AJ$6:$AJ$505,"&gt;"&amp;$A203,実績!$AL$6:$AL$505,"○")&gt;0,1,0))</f>
        <v>0</v>
      </c>
      <c r="CG203" s="39" t="n">
        <f aca="false">IF(CG$4=0,0,IF(COUNTIFS(実績!$W$6:$W$505,CG$3,実績!$AI$6:$AI$505,"&lt;="&amp;$A203,実績!$AJ$6:$AJ$505,"&gt;"&amp;$A203,実績!$AL$6:$AL$505,"○")&gt;0,1,0))</f>
        <v>0</v>
      </c>
      <c r="CH203" s="39" t="n">
        <f aca="false">IF(CH$4=0,0,IF(COUNTIFS(実績!$W$6:$W$505,CH$3,実績!$AI$6:$AI$505,"&lt;="&amp;$A203,実績!$AJ$6:$AJ$505,"&gt;"&amp;$A203,実績!$AL$6:$AL$505,"○")&gt;0,1,0))</f>
        <v>0</v>
      </c>
      <c r="CI203" s="39" t="n">
        <f aca="false">IF(CI$4=0,0,IF(COUNTIFS(実績!$W$6:$W$505,CI$3,実績!$AI$6:$AI$505,"&lt;="&amp;$A203,実績!$AJ$6:$AJ$505,"&gt;"&amp;$A203,実績!$AL$6:$AL$505,"○")&gt;0,1,0))</f>
        <v>0</v>
      </c>
      <c r="CJ203" s="39" t="n">
        <f aca="false">IF(CJ$4=0,0,IF(COUNTIFS(実績!$W$6:$W$505,CJ$3,実績!$AI$6:$AI$505,"&lt;="&amp;$A203,実績!$AJ$6:$AJ$505,"&gt;"&amp;$A203,実績!$AL$6:$AL$505,"○")&gt;0,1,0))</f>
        <v>0</v>
      </c>
      <c r="CK203" s="39" t="n">
        <f aca="false">IF(CK$4=0,0,IF(COUNTIFS(実績!$W$6:$W$505,CK$3,実績!$AI$6:$AI$505,"&lt;="&amp;$A203,実績!$AJ$6:$AJ$505,"&gt;"&amp;$A203,実績!$AL$6:$AL$505,"○")&gt;0,1,0))</f>
        <v>0</v>
      </c>
      <c r="CL203" s="39" t="n">
        <f aca="false">IF(CL$4=0,0,IF(COUNTIFS(実績!$W$6:$W$505,CL$3,実績!$AI$6:$AI$505,"&lt;="&amp;$A203,実績!$AJ$6:$AJ$505,"&gt;"&amp;$A203,実績!$AL$6:$AL$505,"○")&gt;0,1,0))</f>
        <v>0</v>
      </c>
      <c r="CM203" s="39" t="n">
        <f aca="false">IF(CM$4=0,0,IF(COUNTIFS(実績!$W$6:$W$505,CM$3,実績!$AI$6:$AI$505,"&lt;="&amp;$A203,実績!$AJ$6:$AJ$505,"&gt;"&amp;$A203,実績!$AL$6:$AL$505,"○")&gt;0,1,0))</f>
        <v>0</v>
      </c>
      <c r="CN203" s="39" t="n">
        <f aca="false">IF(CN$4=0,0,IF(COUNTIFS(実績!$W$6:$W$505,CN$3,実績!$AI$6:$AI$505,"&lt;="&amp;$A203,実績!$AJ$6:$AJ$505,"&gt;"&amp;$A203,実績!$AL$6:$AL$505,"○")&gt;0,1,0))</f>
        <v>0</v>
      </c>
      <c r="CO203" s="39" t="n">
        <f aca="false">IF(CO$4=0,0,IF(COUNTIFS(実績!$W$6:$W$505,CO$3,実績!$AI$6:$AI$505,"&lt;="&amp;$A203,実績!$AJ$6:$AJ$505,"&gt;"&amp;$A203,実績!$AL$6:$AL$505,"○")&gt;0,1,0))</f>
        <v>0</v>
      </c>
      <c r="CP203" s="39" t="n">
        <f aca="false">IF(CP$4=0,0,IF(COUNTIFS(実績!$W$6:$W$505,CP$3,実績!$AI$6:$AI$505,"&lt;="&amp;$A203,実績!$AJ$6:$AJ$505,"&gt;"&amp;$A203,実績!$AL$6:$AL$505,"○")&gt;0,1,0))</f>
        <v>0</v>
      </c>
      <c r="CQ203" s="39" t="n">
        <f aca="false">IF(CQ$4=0,0,IF(COUNTIFS(実績!$W$6:$W$505,CQ$3,実績!$AI$6:$AI$505,"&lt;="&amp;$A203,実績!$AJ$6:$AJ$505,"&gt;"&amp;$A203,実績!$AL$6:$AL$505,"○")&gt;0,1,0))</f>
        <v>0</v>
      </c>
      <c r="CR203" s="39" t="n">
        <f aca="false">IF(CR$4=0,0,IF(COUNTIFS(実績!$W$6:$W$505,CR$3,実績!$AI$6:$AI$505,"&lt;="&amp;$A203,実績!$AJ$6:$AJ$505,"&gt;"&amp;$A203,実績!$AL$6:$AL$505,"○")&gt;0,1,0))</f>
        <v>0</v>
      </c>
      <c r="CS203" s="39" t="n">
        <f aca="false">IF(CS$4=0,0,IF(COUNTIFS(実績!$W$6:$W$505,CS$3,実績!$AI$6:$AI$505,"&lt;="&amp;$A203,実績!$AJ$6:$AJ$505,"&gt;"&amp;$A203,実績!$AL$6:$AL$505,"○")&gt;0,1,0))</f>
        <v>0</v>
      </c>
      <c r="CT203" s="39" t="n">
        <f aca="false">IF(CT$4=0,0,IF(COUNTIFS(実績!$W$6:$W$505,CT$3,実績!$AI$6:$AI$505,"&lt;="&amp;$A203,実績!$AJ$6:$AJ$505,"&gt;"&amp;$A203,実績!$AL$6:$AL$505,"○")&gt;0,1,0))</f>
        <v>0</v>
      </c>
      <c r="CU203" s="39" t="n">
        <f aca="false">IF(CU$4=0,0,IF(COUNTIFS(実績!$W$6:$W$505,CU$3,実績!$AI$6:$AI$505,"&lt;="&amp;$A203,実績!$AJ$6:$AJ$505,"&gt;"&amp;$A203,実績!$AL$6:$AL$505,"○")&gt;0,1,0))</f>
        <v>0</v>
      </c>
      <c r="CV203" s="39" t="n">
        <f aca="false">IF(CV$4=0,0,IF(COUNTIFS(実績!$W$6:$W$505,CV$3,実績!$AI$6:$AI$505,"&lt;="&amp;$A203,実績!$AJ$6:$AJ$505,"&gt;"&amp;$A203,実績!$AL$6:$AL$505,"○")&gt;0,1,0))</f>
        <v>0</v>
      </c>
      <c r="CW203" s="39" t="n">
        <f aca="false">IF(CW$4=0,0,IF(COUNTIFS(実績!$W$6:$W$505,CW$3,実績!$AI$6:$AI$505,"&lt;="&amp;$A203,実績!$AJ$6:$AJ$505,"&gt;"&amp;$A203,実績!$AL$6:$AL$505,"○")&gt;0,1,0))</f>
        <v>0</v>
      </c>
      <c r="CX203" s="39" t="n">
        <f aca="false">IF(CX$4=0,0,IF(COUNTIFS(実績!$W$6:$W$505,CX$3,実績!$AI$6:$AI$505,"&lt;="&amp;$A203,実績!$AJ$6:$AJ$505,"&gt;"&amp;$A203,実績!$AL$6:$AL$505,"○")&gt;0,1,0))</f>
        <v>0</v>
      </c>
      <c r="CY203" s="39" t="n">
        <f aca="false">IF(CY$4=0,0,IF(COUNTIFS(実績!$W$6:$W$505,CY$3,実績!$AI$6:$AI$505,"&lt;="&amp;$A203,実績!$AJ$6:$AJ$505,"&gt;"&amp;$A203,実績!$AL$6:$AL$505,"○")&gt;0,1,0))</f>
        <v>0</v>
      </c>
      <c r="CZ203" s="39" t="n">
        <f aca="false">IF(CZ$4=0,0,IF(COUNTIFS(実績!$W$6:$W$505,CZ$3,実績!$AI$6:$AI$505,"&lt;="&amp;$A203,実績!$AJ$6:$AJ$505,"&gt;"&amp;$A203,実績!$AL$6:$AL$505,"○")&gt;0,1,0))</f>
        <v>0</v>
      </c>
      <c r="DA203" s="39" t="n">
        <f aca="false">IF(DA$4=0,0,IF(COUNTIFS(実績!$W$6:$W$505,DA$3,実績!$AI$6:$AI$505,"&lt;="&amp;$A203,実績!$AJ$6:$AJ$505,"&gt;"&amp;$A203,実績!$AL$6:$AL$505,"○")&gt;0,1,0))</f>
        <v>0</v>
      </c>
      <c r="DB203" s="39" t="n">
        <f aca="false">IF(DB$4=0,0,IF(COUNTIFS(実績!$W$6:$W$505,DB$3,実績!$AI$6:$AI$505,"&lt;="&amp;$A203,実績!$AJ$6:$AJ$505,"&gt;"&amp;$A203,実績!$AL$6:$AL$505,"○")&gt;0,1,0))</f>
        <v>0</v>
      </c>
      <c r="DC203" s="39" t="n">
        <f aca="false">IF(DC$4=0,0,IF(COUNTIFS(実績!$W$6:$W$505,DC$3,実績!$AI$6:$AI$505,"&lt;="&amp;$A203,実績!$AJ$6:$AJ$505,"&gt;"&amp;$A203,実績!$AL$6:$AL$505,"○")&gt;0,1,0))</f>
        <v>0</v>
      </c>
      <c r="DD203" s="39" t="n">
        <f aca="false">IF(DD$4=0,0,IF(COUNTIFS(実績!$W$6:$W$505,DD$3,実績!$AI$6:$AI$505,"&lt;="&amp;$A203,実績!$AJ$6:$AJ$505,"&gt;"&amp;$A203,実績!$AL$6:$AL$505,"○")&gt;0,1,0))</f>
        <v>0</v>
      </c>
      <c r="DE203" s="39" t="n">
        <f aca="false">IF(DE$4=0,0,IF(COUNTIFS(実績!$W$6:$W$505,DE$3,実績!$AI$6:$AI$505,"&lt;="&amp;$A203,実績!$AJ$6:$AJ$505,"&gt;"&amp;$A203,実績!$AL$6:$AL$505,"○")&gt;0,1,0))</f>
        <v>0</v>
      </c>
      <c r="DF203" s="39" t="n">
        <f aca="false">IF(DF$4=0,0,IF(COUNTIFS(実績!$W$6:$W$505,DF$3,実績!$AI$6:$AI$505,"&lt;="&amp;$A203,実績!$AJ$6:$AJ$505,"&gt;"&amp;$A203,実績!$AL$6:$AL$505,"○")&gt;0,1,0))</f>
        <v>0</v>
      </c>
      <c r="DG203" s="39" t="n">
        <f aca="false">IF(DG$4=0,0,IF(COUNTIFS(実績!$W$6:$W$505,DG$3,実績!$AI$6:$AI$505,"&lt;="&amp;$A203,実績!$AJ$6:$AJ$505,"&gt;"&amp;$A203,実績!$AL$6:$AL$505,"○")&gt;0,1,0))</f>
        <v>0</v>
      </c>
      <c r="DH203" s="39" t="n">
        <f aca="false">IF(DH$4=0,0,IF(COUNTIFS(実績!$W$6:$W$505,DH$3,実績!$AI$6:$AI$505,"&lt;="&amp;$A203,実績!$AJ$6:$AJ$505,"&gt;"&amp;$A203,実績!$AL$6:$AL$505,"○")&gt;0,1,0))</f>
        <v>0</v>
      </c>
      <c r="DI203" s="39" t="n">
        <f aca="false">IF(DI$4=0,0,IF(COUNTIFS(実績!$W$6:$W$505,DI$3,実績!$AI$6:$AI$505,"&lt;="&amp;$A203,実績!$AJ$6:$AJ$505,"&gt;"&amp;$A203,実績!$AL$6:$AL$505,"○")&gt;0,1,0))</f>
        <v>0</v>
      </c>
      <c r="DJ203" s="39" t="n">
        <f aca="false">IF(DJ$4=0,0,IF(COUNTIFS(実績!$W$6:$W$505,DJ$3,実績!$AI$6:$AI$505,"&lt;="&amp;$A203,実績!$AJ$6:$AJ$505,"&gt;"&amp;$A203,実績!$AL$6:$AL$505,"○")&gt;0,1,0))</f>
        <v>0</v>
      </c>
      <c r="DK203" s="39" t="n">
        <f aca="false">IF(DK$4=0,0,IF(COUNTIFS(実績!$W$6:$W$505,DK$3,実績!$AI$6:$AI$505,"&lt;="&amp;$A203,実績!$AJ$6:$AJ$505,"&gt;"&amp;$A203,実績!$AL$6:$AL$505,"○")&gt;0,1,0))</f>
        <v>0</v>
      </c>
      <c r="DL203" s="39" t="n">
        <f aca="false">IF(DL$4=0,0,IF(COUNTIFS(実績!$W$6:$W$505,DL$3,実績!$AI$6:$AI$505,"&lt;="&amp;$A203,実績!$AJ$6:$AJ$505,"&gt;"&amp;$A203,実績!$AL$6:$AL$505,"○")&gt;0,1,0))</f>
        <v>0</v>
      </c>
      <c r="DM203" s="39" t="n">
        <f aca="false">IF(DM$4=0,0,IF(COUNTIFS(実績!$W$6:$W$505,DM$3,実績!$AI$6:$AI$505,"&lt;="&amp;$A203,実績!$AJ$6:$AJ$505,"&gt;"&amp;$A203,実績!$AL$6:$AL$505,"○")&gt;0,1,0))</f>
        <v>0</v>
      </c>
      <c r="DN203" s="39" t="n">
        <f aca="false">IF(DN$4=0,0,IF(COUNTIFS(実績!$W$6:$W$505,DN$3,実績!$AI$6:$AI$505,"&lt;="&amp;$A203,実績!$AJ$6:$AJ$505,"&gt;"&amp;$A203,実績!$AL$6:$AL$505,"○")&gt;0,1,0))</f>
        <v>0</v>
      </c>
      <c r="DO203" s="39" t="n">
        <f aca="false">IF(DO$4=0,0,IF(COUNTIFS(実績!$W$6:$W$505,DO$3,実績!$AI$6:$AI$505,"&lt;="&amp;$A203,実績!$AJ$6:$AJ$505,"&gt;"&amp;$A203,実績!$AL$6:$AL$505,"○")&gt;0,1,0))</f>
        <v>0</v>
      </c>
      <c r="DP203" s="39" t="n">
        <f aca="false">IF(DP$4=0,0,IF(COUNTIFS(実績!$W$6:$W$505,DP$3,実績!$AI$6:$AI$505,"&lt;="&amp;$A203,実績!$AJ$6:$AJ$505,"&gt;"&amp;$A203,実績!$AL$6:$AL$505,"○")&gt;0,1,0))</f>
        <v>0</v>
      </c>
      <c r="DQ203" s="39" t="n">
        <f aca="false">IF(DQ$4=0,0,IF(COUNTIFS(実績!$W$6:$W$505,DQ$3,実績!$AI$6:$AI$505,"&lt;="&amp;$A203,実績!$AJ$6:$AJ$505,"&gt;"&amp;$A203,実績!$AL$6:$AL$505,"○")&gt;0,1,0))</f>
        <v>0</v>
      </c>
      <c r="DR203" s="39" t="n">
        <f aca="false">IF(DR$4=0,0,IF(COUNTIFS(実績!$W$6:$W$505,DR$3,実績!$AI$6:$AI$505,"&lt;="&amp;$A203,実績!$AJ$6:$AJ$505,"&gt;"&amp;$A203,実績!$AL$6:$AL$505,"○")&gt;0,1,0))</f>
        <v>0</v>
      </c>
      <c r="DS203" s="39" t="n">
        <f aca="false">SUM(C203:DR203)</f>
        <v>0</v>
      </c>
    </row>
    <row r="204" customFormat="false" ht="15" hidden="false" customHeight="false" outlineLevel="0" collapsed="false">
      <c r="A204" s="0" t="n">
        <v>990</v>
      </c>
      <c r="B204" s="38" t="n">
        <f aca="false">A204/1440</f>
        <v>0.6875</v>
      </c>
      <c r="C204" s="39" t="n">
        <f aca="false">IF(C$4=0,0,IF(COUNTIFS(実績!$W$6:$W$505,C$3,実績!$AI$6:$AI$505,"&lt;="&amp;$A204,実績!$AJ$6:$AJ$505,"&gt;"&amp;$A204,実績!$AL$6:$AL$505,"○")&gt;0,1,0))</f>
        <v>0</v>
      </c>
      <c r="D204" s="39" t="n">
        <f aca="false">IF(D$4=0,0,IF(COUNTIFS(実績!$W$6:$W$505,D$3,実績!$AI$6:$AI$505,"&lt;="&amp;$A204,実績!$AJ$6:$AJ$505,"&gt;"&amp;$A204,実績!$AL$6:$AL$505,"○")&gt;0,1,0))</f>
        <v>0</v>
      </c>
      <c r="E204" s="39" t="n">
        <f aca="false">IF(E$4=0,0,IF(COUNTIFS(実績!$W$6:$W$505,E$3,実績!$AI$6:$AI$505,"&lt;="&amp;$A204,実績!$AJ$6:$AJ$505,"&gt;"&amp;$A204,実績!$AL$6:$AL$505,"○")&gt;0,1,0))</f>
        <v>0</v>
      </c>
      <c r="F204" s="39" t="n">
        <f aca="false">IF(F$4=0,0,IF(COUNTIFS(実績!$W$6:$W$505,F$3,実績!$AI$6:$AI$505,"&lt;="&amp;$A204,実績!$AJ$6:$AJ$505,"&gt;"&amp;$A204,実績!$AL$6:$AL$505,"○")&gt;0,1,0))</f>
        <v>0</v>
      </c>
      <c r="G204" s="39" t="n">
        <f aca="false">IF(G$4=0,0,IF(COUNTIFS(実績!$W$6:$W$505,G$3,実績!$AI$6:$AI$505,"&lt;="&amp;$A204,実績!$AJ$6:$AJ$505,"&gt;"&amp;$A204,実績!$AL$6:$AL$505,"○")&gt;0,1,0))</f>
        <v>0</v>
      </c>
      <c r="H204" s="39" t="n">
        <f aca="false">IF(H$4=0,0,IF(COUNTIFS(実績!$W$6:$W$505,H$3,実績!$AI$6:$AI$505,"&lt;="&amp;$A204,実績!$AJ$6:$AJ$505,"&gt;"&amp;$A204,実績!$AL$6:$AL$505,"○")&gt;0,1,0))</f>
        <v>0</v>
      </c>
      <c r="I204" s="39" t="n">
        <f aca="false">IF(I$4=0,0,IF(COUNTIFS(実績!$W$6:$W$505,I$3,実績!$AI$6:$AI$505,"&lt;="&amp;$A204,実績!$AJ$6:$AJ$505,"&gt;"&amp;$A204,実績!$AL$6:$AL$505,"○")&gt;0,1,0))</f>
        <v>0</v>
      </c>
      <c r="J204" s="39" t="n">
        <f aca="false">IF(J$4=0,0,IF(COUNTIFS(実績!$W$6:$W$505,J$3,実績!$AI$6:$AI$505,"&lt;="&amp;$A204,実績!$AJ$6:$AJ$505,"&gt;"&amp;$A204,実績!$AL$6:$AL$505,"○")&gt;0,1,0))</f>
        <v>0</v>
      </c>
      <c r="K204" s="39" t="n">
        <f aca="false">IF(K$4=0,0,IF(COUNTIFS(実績!$W$6:$W$505,K$3,実績!$AI$6:$AI$505,"&lt;="&amp;$A204,実績!$AJ$6:$AJ$505,"&gt;"&amp;$A204,実績!$AL$6:$AL$505,"○")&gt;0,1,0))</f>
        <v>0</v>
      </c>
      <c r="L204" s="39" t="n">
        <f aca="false">IF(L$4=0,0,IF(COUNTIFS(実績!$W$6:$W$505,L$3,実績!$AI$6:$AI$505,"&lt;="&amp;$A204,実績!$AJ$6:$AJ$505,"&gt;"&amp;$A204,実績!$AL$6:$AL$505,"○")&gt;0,1,0))</f>
        <v>0</v>
      </c>
      <c r="M204" s="39" t="n">
        <f aca="false">IF(M$4=0,0,IF(COUNTIFS(実績!$W$6:$W$505,M$3,実績!$AI$6:$AI$505,"&lt;="&amp;$A204,実績!$AJ$6:$AJ$505,"&gt;"&amp;$A204,実績!$AL$6:$AL$505,"○")&gt;0,1,0))</f>
        <v>0</v>
      </c>
      <c r="N204" s="39" t="n">
        <f aca="false">IF(N$4=0,0,IF(COUNTIFS(実績!$W$6:$W$505,N$3,実績!$AI$6:$AI$505,"&lt;="&amp;$A204,実績!$AJ$6:$AJ$505,"&gt;"&amp;$A204,実績!$AL$6:$AL$505,"○")&gt;0,1,0))</f>
        <v>0</v>
      </c>
      <c r="O204" s="39" t="n">
        <f aca="false">IF(O$4=0,0,IF(COUNTIFS(実績!$W$6:$W$505,O$3,実績!$AI$6:$AI$505,"&lt;="&amp;$A204,実績!$AJ$6:$AJ$505,"&gt;"&amp;$A204,実績!$AL$6:$AL$505,"○")&gt;0,1,0))</f>
        <v>0</v>
      </c>
      <c r="P204" s="39" t="n">
        <f aca="false">IF(P$4=0,0,IF(COUNTIFS(実績!$W$6:$W$505,P$3,実績!$AI$6:$AI$505,"&lt;="&amp;$A204,実績!$AJ$6:$AJ$505,"&gt;"&amp;$A204,実績!$AL$6:$AL$505,"○")&gt;0,1,0))</f>
        <v>0</v>
      </c>
      <c r="Q204" s="39" t="n">
        <f aca="false">IF(Q$4=0,0,IF(COUNTIFS(実績!$W$6:$W$505,Q$3,実績!$AI$6:$AI$505,"&lt;="&amp;$A204,実績!$AJ$6:$AJ$505,"&gt;"&amp;$A204,実績!$AL$6:$AL$505,"○")&gt;0,1,0))</f>
        <v>0</v>
      </c>
      <c r="R204" s="39" t="n">
        <f aca="false">IF(R$4=0,0,IF(COUNTIFS(実績!$W$6:$W$505,R$3,実績!$AI$6:$AI$505,"&lt;="&amp;$A204,実績!$AJ$6:$AJ$505,"&gt;"&amp;$A204,実績!$AL$6:$AL$505,"○")&gt;0,1,0))</f>
        <v>0</v>
      </c>
      <c r="S204" s="39" t="n">
        <f aca="false">IF(S$4=0,0,IF(COUNTIFS(実績!$W$6:$W$505,S$3,実績!$AI$6:$AI$505,"&lt;="&amp;$A204,実績!$AJ$6:$AJ$505,"&gt;"&amp;$A204,実績!$AL$6:$AL$505,"○")&gt;0,1,0))</f>
        <v>0</v>
      </c>
      <c r="T204" s="39" t="n">
        <f aca="false">IF(T$4=0,0,IF(COUNTIFS(実績!$W$6:$W$505,T$3,実績!$AI$6:$AI$505,"&lt;="&amp;$A204,実績!$AJ$6:$AJ$505,"&gt;"&amp;$A204,実績!$AL$6:$AL$505,"○")&gt;0,1,0))</f>
        <v>0</v>
      </c>
      <c r="U204" s="39" t="n">
        <f aca="false">IF(U$4=0,0,IF(COUNTIFS(実績!$W$6:$W$505,U$3,実績!$AI$6:$AI$505,"&lt;="&amp;$A204,実績!$AJ$6:$AJ$505,"&gt;"&amp;$A204,実績!$AL$6:$AL$505,"○")&gt;0,1,0))</f>
        <v>0</v>
      </c>
      <c r="V204" s="39" t="n">
        <f aca="false">IF(V$4=0,0,IF(COUNTIFS(実績!$W$6:$W$505,V$3,実績!$AI$6:$AI$505,"&lt;="&amp;$A204,実績!$AJ$6:$AJ$505,"&gt;"&amp;$A204,実績!$AL$6:$AL$505,"○")&gt;0,1,0))</f>
        <v>0</v>
      </c>
      <c r="W204" s="39" t="n">
        <f aca="false">IF(W$4=0,0,IF(COUNTIFS(実績!$W$6:$W$505,W$3,実績!$AI$6:$AI$505,"&lt;="&amp;$A204,実績!$AJ$6:$AJ$505,"&gt;"&amp;$A204,実績!$AL$6:$AL$505,"○")&gt;0,1,0))</f>
        <v>0</v>
      </c>
      <c r="X204" s="39" t="n">
        <f aca="false">IF(X$4=0,0,IF(COUNTIFS(実績!$W$6:$W$505,X$3,実績!$AI$6:$AI$505,"&lt;="&amp;$A204,実績!$AJ$6:$AJ$505,"&gt;"&amp;$A204,実績!$AL$6:$AL$505,"○")&gt;0,1,0))</f>
        <v>0</v>
      </c>
      <c r="Y204" s="39" t="n">
        <f aca="false">IF(Y$4=0,0,IF(COUNTIFS(実績!$W$6:$W$505,Y$3,実績!$AI$6:$AI$505,"&lt;="&amp;$A204,実績!$AJ$6:$AJ$505,"&gt;"&amp;$A204,実績!$AL$6:$AL$505,"○")&gt;0,1,0))</f>
        <v>0</v>
      </c>
      <c r="Z204" s="39" t="n">
        <f aca="false">IF(Z$4=0,0,IF(COUNTIFS(実績!$W$6:$W$505,Z$3,実績!$AI$6:$AI$505,"&lt;="&amp;$A204,実績!$AJ$6:$AJ$505,"&gt;"&amp;$A204,実績!$AL$6:$AL$505,"○")&gt;0,1,0))</f>
        <v>0</v>
      </c>
      <c r="AA204" s="39" t="n">
        <f aca="false">IF(AA$4=0,0,IF(COUNTIFS(実績!$W$6:$W$505,AA$3,実績!$AI$6:$AI$505,"&lt;="&amp;$A204,実績!$AJ$6:$AJ$505,"&gt;"&amp;$A204,実績!$AL$6:$AL$505,"○")&gt;0,1,0))</f>
        <v>0</v>
      </c>
      <c r="AB204" s="39" t="n">
        <f aca="false">IF(AB$4=0,0,IF(COUNTIFS(実績!$W$6:$W$505,AB$3,実績!$AI$6:$AI$505,"&lt;="&amp;$A204,実績!$AJ$6:$AJ$505,"&gt;"&amp;$A204,実績!$AL$6:$AL$505,"○")&gt;0,1,0))</f>
        <v>0</v>
      </c>
      <c r="AC204" s="39" t="n">
        <f aca="false">IF(AC$4=0,0,IF(COUNTIFS(実績!$W$6:$W$505,AC$3,実績!$AI$6:$AI$505,"&lt;="&amp;$A204,実績!$AJ$6:$AJ$505,"&gt;"&amp;$A204,実績!$AL$6:$AL$505,"○")&gt;0,1,0))</f>
        <v>0</v>
      </c>
      <c r="AD204" s="39" t="n">
        <f aca="false">IF(AD$4=0,0,IF(COUNTIFS(実績!$W$6:$W$505,AD$3,実績!$AI$6:$AI$505,"&lt;="&amp;$A204,実績!$AJ$6:$AJ$505,"&gt;"&amp;$A204,実績!$AL$6:$AL$505,"○")&gt;0,1,0))</f>
        <v>0</v>
      </c>
      <c r="AE204" s="39" t="n">
        <f aca="false">IF(AE$4=0,0,IF(COUNTIFS(実績!$W$6:$W$505,AE$3,実績!$AI$6:$AI$505,"&lt;="&amp;$A204,実績!$AJ$6:$AJ$505,"&gt;"&amp;$A204,実績!$AL$6:$AL$505,"○")&gt;0,1,0))</f>
        <v>0</v>
      </c>
      <c r="AF204" s="39" t="n">
        <f aca="false">IF(AF$4=0,0,IF(COUNTIFS(実績!$W$6:$W$505,AF$3,実績!$AI$6:$AI$505,"&lt;="&amp;$A204,実績!$AJ$6:$AJ$505,"&gt;"&amp;$A204,実績!$AL$6:$AL$505,"○")&gt;0,1,0))</f>
        <v>0</v>
      </c>
      <c r="AG204" s="39" t="n">
        <f aca="false">IF(AG$4=0,0,IF(COUNTIFS(実績!$W$6:$W$505,AG$3,実績!$AI$6:$AI$505,"&lt;="&amp;$A204,実績!$AJ$6:$AJ$505,"&gt;"&amp;$A204,実績!$AL$6:$AL$505,"○")&gt;0,1,0))</f>
        <v>0</v>
      </c>
      <c r="AH204" s="39" t="n">
        <f aca="false">IF(AH$4=0,0,IF(COUNTIFS(実績!$W$6:$W$505,AH$3,実績!$AI$6:$AI$505,"&lt;="&amp;$A204,実績!$AJ$6:$AJ$505,"&gt;"&amp;$A204,実績!$AL$6:$AL$505,"○")&gt;0,1,0))</f>
        <v>0</v>
      </c>
      <c r="AI204" s="39" t="n">
        <f aca="false">IF(AI$4=0,0,IF(COUNTIFS(実績!$W$6:$W$505,AI$3,実績!$AI$6:$AI$505,"&lt;="&amp;$A204,実績!$AJ$6:$AJ$505,"&gt;"&amp;$A204,実績!$AL$6:$AL$505,"○")&gt;0,1,0))</f>
        <v>0</v>
      </c>
      <c r="AJ204" s="39" t="n">
        <f aca="false">IF(AJ$4=0,0,IF(COUNTIFS(実績!$W$6:$W$505,AJ$3,実績!$AI$6:$AI$505,"&lt;="&amp;$A204,実績!$AJ$6:$AJ$505,"&gt;"&amp;$A204,実績!$AL$6:$AL$505,"○")&gt;0,1,0))</f>
        <v>0</v>
      </c>
      <c r="AK204" s="39" t="n">
        <f aca="false">IF(AK$4=0,0,IF(COUNTIFS(実績!$W$6:$W$505,AK$3,実績!$AI$6:$AI$505,"&lt;="&amp;$A204,実績!$AJ$6:$AJ$505,"&gt;"&amp;$A204,実績!$AL$6:$AL$505,"○")&gt;0,1,0))</f>
        <v>0</v>
      </c>
      <c r="AL204" s="39" t="n">
        <f aca="false">IF(AL$4=0,0,IF(COUNTIFS(実績!$W$6:$W$505,AL$3,実績!$AI$6:$AI$505,"&lt;="&amp;$A204,実績!$AJ$6:$AJ$505,"&gt;"&amp;$A204,実績!$AL$6:$AL$505,"○")&gt;0,1,0))</f>
        <v>0</v>
      </c>
      <c r="AM204" s="39" t="n">
        <f aca="false">IF(AM$4=0,0,IF(COUNTIFS(実績!$W$6:$W$505,AM$3,実績!$AI$6:$AI$505,"&lt;="&amp;$A204,実績!$AJ$6:$AJ$505,"&gt;"&amp;$A204,実績!$AL$6:$AL$505,"○")&gt;0,1,0))</f>
        <v>0</v>
      </c>
      <c r="AN204" s="39" t="n">
        <f aca="false">IF(AN$4=0,0,IF(COUNTIFS(実績!$W$6:$W$505,AN$3,実績!$AI$6:$AI$505,"&lt;="&amp;$A204,実績!$AJ$6:$AJ$505,"&gt;"&amp;$A204,実績!$AL$6:$AL$505,"○")&gt;0,1,0))</f>
        <v>0</v>
      </c>
      <c r="AO204" s="39" t="n">
        <f aca="false">IF(AO$4=0,0,IF(COUNTIFS(実績!$W$6:$W$505,AO$3,実績!$AI$6:$AI$505,"&lt;="&amp;$A204,実績!$AJ$6:$AJ$505,"&gt;"&amp;$A204,実績!$AL$6:$AL$505,"○")&gt;0,1,0))</f>
        <v>0</v>
      </c>
      <c r="AP204" s="39" t="n">
        <f aca="false">IF(AP$4=0,0,IF(COUNTIFS(実績!$W$6:$W$505,AP$3,実績!$AI$6:$AI$505,"&lt;="&amp;$A204,実績!$AJ$6:$AJ$505,"&gt;"&amp;$A204,実績!$AL$6:$AL$505,"○")&gt;0,1,0))</f>
        <v>0</v>
      </c>
      <c r="AQ204" s="39" t="n">
        <f aca="false">IF(AQ$4=0,0,IF(COUNTIFS(実績!$W$6:$W$505,AQ$3,実績!$AI$6:$AI$505,"&lt;="&amp;$A204,実績!$AJ$6:$AJ$505,"&gt;"&amp;$A204,実績!$AL$6:$AL$505,"○")&gt;0,1,0))</f>
        <v>0</v>
      </c>
      <c r="AR204" s="39" t="n">
        <f aca="false">IF(AR$4=0,0,IF(COUNTIFS(実績!$W$6:$W$505,AR$3,実績!$AI$6:$AI$505,"&lt;="&amp;$A204,実績!$AJ$6:$AJ$505,"&gt;"&amp;$A204,実績!$AL$6:$AL$505,"○")&gt;0,1,0))</f>
        <v>0</v>
      </c>
      <c r="AS204" s="39" t="n">
        <f aca="false">IF(AS$4=0,0,IF(COUNTIFS(実績!$W$6:$W$505,AS$3,実績!$AI$6:$AI$505,"&lt;="&amp;$A204,実績!$AJ$6:$AJ$505,"&gt;"&amp;$A204,実績!$AL$6:$AL$505,"○")&gt;0,1,0))</f>
        <v>0</v>
      </c>
      <c r="AT204" s="39" t="n">
        <f aca="false">IF(AT$4=0,0,IF(COUNTIFS(実績!$W$6:$W$505,AT$3,実績!$AI$6:$AI$505,"&lt;="&amp;$A204,実績!$AJ$6:$AJ$505,"&gt;"&amp;$A204,実績!$AL$6:$AL$505,"○")&gt;0,1,0))</f>
        <v>0</v>
      </c>
      <c r="AU204" s="39" t="n">
        <f aca="false">IF(AU$4=0,0,IF(COUNTIFS(実績!$W$6:$W$505,AU$3,実績!$AI$6:$AI$505,"&lt;="&amp;$A204,実績!$AJ$6:$AJ$505,"&gt;"&amp;$A204,実績!$AL$6:$AL$505,"○")&gt;0,1,0))</f>
        <v>0</v>
      </c>
      <c r="AV204" s="39" t="n">
        <f aca="false">IF(AV$4=0,0,IF(COUNTIFS(実績!$W$6:$W$505,AV$3,実績!$AI$6:$AI$505,"&lt;="&amp;$A204,実績!$AJ$6:$AJ$505,"&gt;"&amp;$A204,実績!$AL$6:$AL$505,"○")&gt;0,1,0))</f>
        <v>0</v>
      </c>
      <c r="AW204" s="39" t="n">
        <f aca="false">IF(AW$4=0,0,IF(COUNTIFS(実績!$W$6:$W$505,AW$3,実績!$AI$6:$AI$505,"&lt;="&amp;$A204,実績!$AJ$6:$AJ$505,"&gt;"&amp;$A204,実績!$AL$6:$AL$505,"○")&gt;0,1,0))</f>
        <v>0</v>
      </c>
      <c r="AX204" s="39" t="n">
        <f aca="false">IF(AX$4=0,0,IF(COUNTIFS(実績!$W$6:$W$505,AX$3,実績!$AI$6:$AI$505,"&lt;="&amp;$A204,実績!$AJ$6:$AJ$505,"&gt;"&amp;$A204,実績!$AL$6:$AL$505,"○")&gt;0,1,0))</f>
        <v>0</v>
      </c>
      <c r="AY204" s="39" t="n">
        <f aca="false">IF(AY$4=0,0,IF(COUNTIFS(実績!$W$6:$W$505,AY$3,実績!$AI$6:$AI$505,"&lt;="&amp;$A204,実績!$AJ$6:$AJ$505,"&gt;"&amp;$A204,実績!$AL$6:$AL$505,"○")&gt;0,1,0))</f>
        <v>0</v>
      </c>
      <c r="AZ204" s="39" t="n">
        <f aca="false">IF(AZ$4=0,0,IF(COUNTIFS(実績!$W$6:$W$505,AZ$3,実績!$AI$6:$AI$505,"&lt;="&amp;$A204,実績!$AJ$6:$AJ$505,"&gt;"&amp;$A204,実績!$AL$6:$AL$505,"○")&gt;0,1,0))</f>
        <v>0</v>
      </c>
      <c r="BA204" s="39" t="n">
        <f aca="false">IF(BA$4=0,0,IF(COUNTIFS(実績!$W$6:$W$505,BA$3,実績!$AI$6:$AI$505,"&lt;="&amp;$A204,実績!$AJ$6:$AJ$505,"&gt;"&amp;$A204,実績!$AL$6:$AL$505,"○")&gt;0,1,0))</f>
        <v>0</v>
      </c>
      <c r="BB204" s="39" t="n">
        <f aca="false">IF(BB$4=0,0,IF(COUNTIFS(実績!$W$6:$W$505,BB$3,実績!$AI$6:$AI$505,"&lt;="&amp;$A204,実績!$AJ$6:$AJ$505,"&gt;"&amp;$A204,実績!$AL$6:$AL$505,"○")&gt;0,1,0))</f>
        <v>0</v>
      </c>
      <c r="BC204" s="39" t="n">
        <f aca="false">IF(BC$4=0,0,IF(COUNTIFS(実績!$W$6:$W$505,BC$3,実績!$AI$6:$AI$505,"&lt;="&amp;$A204,実績!$AJ$6:$AJ$505,"&gt;"&amp;$A204,実績!$AL$6:$AL$505,"○")&gt;0,1,0))</f>
        <v>0</v>
      </c>
      <c r="BD204" s="39" t="n">
        <f aca="false">IF(BD$4=0,0,IF(COUNTIFS(実績!$W$6:$W$505,BD$3,実績!$AI$6:$AI$505,"&lt;="&amp;$A204,実績!$AJ$6:$AJ$505,"&gt;"&amp;$A204,実績!$AL$6:$AL$505,"○")&gt;0,1,0))</f>
        <v>0</v>
      </c>
      <c r="BE204" s="39" t="n">
        <f aca="false">IF(BE$4=0,0,IF(COUNTIFS(実績!$W$6:$W$505,BE$3,実績!$AI$6:$AI$505,"&lt;="&amp;$A204,実績!$AJ$6:$AJ$505,"&gt;"&amp;$A204,実績!$AL$6:$AL$505,"○")&gt;0,1,0))</f>
        <v>0</v>
      </c>
      <c r="BF204" s="39" t="n">
        <f aca="false">IF(BF$4=0,0,IF(COUNTIFS(実績!$W$6:$W$505,BF$3,実績!$AI$6:$AI$505,"&lt;="&amp;$A204,実績!$AJ$6:$AJ$505,"&gt;"&amp;$A204,実績!$AL$6:$AL$505,"○")&gt;0,1,0))</f>
        <v>0</v>
      </c>
      <c r="BG204" s="39" t="n">
        <f aca="false">IF(BG$4=0,0,IF(COUNTIFS(実績!$W$6:$W$505,BG$3,実績!$AI$6:$AI$505,"&lt;="&amp;$A204,実績!$AJ$6:$AJ$505,"&gt;"&amp;$A204,実績!$AL$6:$AL$505,"○")&gt;0,1,0))</f>
        <v>0</v>
      </c>
      <c r="BH204" s="39" t="n">
        <f aca="false">IF(BH$4=0,0,IF(COUNTIFS(実績!$W$6:$W$505,BH$3,実績!$AI$6:$AI$505,"&lt;="&amp;$A204,実績!$AJ$6:$AJ$505,"&gt;"&amp;$A204,実績!$AL$6:$AL$505,"○")&gt;0,1,0))</f>
        <v>0</v>
      </c>
      <c r="BI204" s="39" t="n">
        <f aca="false">IF(BI$4=0,0,IF(COUNTIFS(実績!$W$6:$W$505,BI$3,実績!$AI$6:$AI$505,"&lt;="&amp;$A204,実績!$AJ$6:$AJ$505,"&gt;"&amp;$A204,実績!$AL$6:$AL$505,"○")&gt;0,1,0))</f>
        <v>0</v>
      </c>
      <c r="BJ204" s="39" t="n">
        <f aca="false">IF(BJ$4=0,0,IF(COUNTIFS(実績!$W$6:$W$505,BJ$3,実績!$AI$6:$AI$505,"&lt;="&amp;$A204,実績!$AJ$6:$AJ$505,"&gt;"&amp;$A204,実績!$AL$6:$AL$505,"○")&gt;0,1,0))</f>
        <v>0</v>
      </c>
      <c r="BK204" s="39" t="n">
        <f aca="false">IF(BK$4=0,0,IF(COUNTIFS(実績!$W$6:$W$505,BK$3,実績!$AI$6:$AI$505,"&lt;="&amp;$A204,実績!$AJ$6:$AJ$505,"&gt;"&amp;$A204,実績!$AL$6:$AL$505,"○")&gt;0,1,0))</f>
        <v>0</v>
      </c>
      <c r="BL204" s="39" t="n">
        <f aca="false">IF(BL$4=0,0,IF(COUNTIFS(実績!$W$6:$W$505,BL$3,実績!$AI$6:$AI$505,"&lt;="&amp;$A204,実績!$AJ$6:$AJ$505,"&gt;"&amp;$A204,実績!$AL$6:$AL$505,"○")&gt;0,1,0))</f>
        <v>0</v>
      </c>
      <c r="BM204" s="39" t="n">
        <f aca="false">IF(BM$4=0,0,IF(COUNTIFS(実績!$W$6:$W$505,BM$3,実績!$AI$6:$AI$505,"&lt;="&amp;$A204,実績!$AJ$6:$AJ$505,"&gt;"&amp;$A204,実績!$AL$6:$AL$505,"○")&gt;0,1,0))</f>
        <v>0</v>
      </c>
      <c r="BN204" s="39" t="n">
        <f aca="false">IF(BN$4=0,0,IF(COUNTIFS(実績!$W$6:$W$505,BN$3,実績!$AI$6:$AI$505,"&lt;="&amp;$A204,実績!$AJ$6:$AJ$505,"&gt;"&amp;$A204,実績!$AL$6:$AL$505,"○")&gt;0,1,0))</f>
        <v>0</v>
      </c>
      <c r="BO204" s="39" t="n">
        <f aca="false">IF(BO$4=0,0,IF(COUNTIFS(実績!$W$6:$W$505,BO$3,実績!$AI$6:$AI$505,"&lt;="&amp;$A204,実績!$AJ$6:$AJ$505,"&gt;"&amp;$A204,実績!$AL$6:$AL$505,"○")&gt;0,1,0))</f>
        <v>0</v>
      </c>
      <c r="BP204" s="39" t="n">
        <f aca="false">IF(BP$4=0,0,IF(COUNTIFS(実績!$W$6:$W$505,BP$3,実績!$AI$6:$AI$505,"&lt;="&amp;$A204,実績!$AJ$6:$AJ$505,"&gt;"&amp;$A204,実績!$AL$6:$AL$505,"○")&gt;0,1,0))</f>
        <v>0</v>
      </c>
      <c r="BQ204" s="39" t="n">
        <f aca="false">IF(BQ$4=0,0,IF(COUNTIFS(実績!$W$6:$W$505,BQ$3,実績!$AI$6:$AI$505,"&lt;="&amp;$A204,実績!$AJ$6:$AJ$505,"&gt;"&amp;$A204,実績!$AL$6:$AL$505,"○")&gt;0,1,0))</f>
        <v>0</v>
      </c>
      <c r="BR204" s="39" t="n">
        <f aca="false">IF(BR$4=0,0,IF(COUNTIFS(実績!$W$6:$W$505,BR$3,実績!$AI$6:$AI$505,"&lt;="&amp;$A204,実績!$AJ$6:$AJ$505,"&gt;"&amp;$A204,実績!$AL$6:$AL$505,"○")&gt;0,1,0))</f>
        <v>0</v>
      </c>
      <c r="BS204" s="39" t="n">
        <f aca="false">IF(BS$4=0,0,IF(COUNTIFS(実績!$W$6:$W$505,BS$3,実績!$AI$6:$AI$505,"&lt;="&amp;$A204,実績!$AJ$6:$AJ$505,"&gt;"&amp;$A204,実績!$AL$6:$AL$505,"○")&gt;0,1,0))</f>
        <v>0</v>
      </c>
      <c r="BT204" s="39" t="n">
        <f aca="false">IF(BT$4=0,0,IF(COUNTIFS(実績!$W$6:$W$505,BT$3,実績!$AI$6:$AI$505,"&lt;="&amp;$A204,実績!$AJ$6:$AJ$505,"&gt;"&amp;$A204,実績!$AL$6:$AL$505,"○")&gt;0,1,0))</f>
        <v>0</v>
      </c>
      <c r="BU204" s="39" t="n">
        <f aca="false">IF(BU$4=0,0,IF(COUNTIFS(実績!$W$6:$W$505,BU$3,実績!$AI$6:$AI$505,"&lt;="&amp;$A204,実績!$AJ$6:$AJ$505,"&gt;"&amp;$A204,実績!$AL$6:$AL$505,"○")&gt;0,1,0))</f>
        <v>0</v>
      </c>
      <c r="BV204" s="39" t="n">
        <f aca="false">IF(BV$4=0,0,IF(COUNTIFS(実績!$W$6:$W$505,BV$3,実績!$AI$6:$AI$505,"&lt;="&amp;$A204,実績!$AJ$6:$AJ$505,"&gt;"&amp;$A204,実績!$AL$6:$AL$505,"○")&gt;0,1,0))</f>
        <v>0</v>
      </c>
      <c r="BW204" s="39" t="n">
        <f aca="false">IF(BW$4=0,0,IF(COUNTIFS(実績!$W$6:$W$505,BW$3,実績!$AI$6:$AI$505,"&lt;="&amp;$A204,実績!$AJ$6:$AJ$505,"&gt;"&amp;$A204,実績!$AL$6:$AL$505,"○")&gt;0,1,0))</f>
        <v>0</v>
      </c>
      <c r="BX204" s="39" t="n">
        <f aca="false">IF(BX$4=0,0,IF(COUNTIFS(実績!$W$6:$W$505,BX$3,実績!$AI$6:$AI$505,"&lt;="&amp;$A204,実績!$AJ$6:$AJ$505,"&gt;"&amp;$A204,実績!$AL$6:$AL$505,"○")&gt;0,1,0))</f>
        <v>0</v>
      </c>
      <c r="BY204" s="39" t="n">
        <f aca="false">IF(BY$4=0,0,IF(COUNTIFS(実績!$W$6:$W$505,BY$3,実績!$AI$6:$AI$505,"&lt;="&amp;$A204,実績!$AJ$6:$AJ$505,"&gt;"&amp;$A204,実績!$AL$6:$AL$505,"○")&gt;0,1,0))</f>
        <v>0</v>
      </c>
      <c r="BZ204" s="39" t="n">
        <f aca="false">IF(BZ$4=0,0,IF(COUNTIFS(実績!$W$6:$W$505,BZ$3,実績!$AI$6:$AI$505,"&lt;="&amp;$A204,実績!$AJ$6:$AJ$505,"&gt;"&amp;$A204,実績!$AL$6:$AL$505,"○")&gt;0,1,0))</f>
        <v>0</v>
      </c>
      <c r="CA204" s="39" t="n">
        <f aca="false">IF(CA$4=0,0,IF(COUNTIFS(実績!$W$6:$W$505,CA$3,実績!$AI$6:$AI$505,"&lt;="&amp;$A204,実績!$AJ$6:$AJ$505,"&gt;"&amp;$A204,実績!$AL$6:$AL$505,"○")&gt;0,1,0))</f>
        <v>0</v>
      </c>
      <c r="CB204" s="39" t="n">
        <f aca="false">IF(CB$4=0,0,IF(COUNTIFS(実績!$W$6:$W$505,CB$3,実績!$AI$6:$AI$505,"&lt;="&amp;$A204,実績!$AJ$6:$AJ$505,"&gt;"&amp;$A204,実績!$AL$6:$AL$505,"○")&gt;0,1,0))</f>
        <v>0</v>
      </c>
      <c r="CC204" s="39" t="n">
        <f aca="false">IF(CC$4=0,0,IF(COUNTIFS(実績!$W$6:$W$505,CC$3,実績!$AI$6:$AI$505,"&lt;="&amp;$A204,実績!$AJ$6:$AJ$505,"&gt;"&amp;$A204,実績!$AL$6:$AL$505,"○")&gt;0,1,0))</f>
        <v>0</v>
      </c>
      <c r="CD204" s="39" t="n">
        <f aca="false">IF(CD$4=0,0,IF(COUNTIFS(実績!$W$6:$W$505,CD$3,実績!$AI$6:$AI$505,"&lt;="&amp;$A204,実績!$AJ$6:$AJ$505,"&gt;"&amp;$A204,実績!$AL$6:$AL$505,"○")&gt;0,1,0))</f>
        <v>0</v>
      </c>
      <c r="CE204" s="39" t="n">
        <f aca="false">IF(CE$4=0,0,IF(COUNTIFS(実績!$W$6:$W$505,CE$3,実績!$AI$6:$AI$505,"&lt;="&amp;$A204,実績!$AJ$6:$AJ$505,"&gt;"&amp;$A204,実績!$AL$6:$AL$505,"○")&gt;0,1,0))</f>
        <v>0</v>
      </c>
      <c r="CF204" s="39" t="n">
        <f aca="false">IF(CF$4=0,0,IF(COUNTIFS(実績!$W$6:$W$505,CF$3,実績!$AI$6:$AI$505,"&lt;="&amp;$A204,実績!$AJ$6:$AJ$505,"&gt;"&amp;$A204,実績!$AL$6:$AL$505,"○")&gt;0,1,0))</f>
        <v>0</v>
      </c>
      <c r="CG204" s="39" t="n">
        <f aca="false">IF(CG$4=0,0,IF(COUNTIFS(実績!$W$6:$W$505,CG$3,実績!$AI$6:$AI$505,"&lt;="&amp;$A204,実績!$AJ$6:$AJ$505,"&gt;"&amp;$A204,実績!$AL$6:$AL$505,"○")&gt;0,1,0))</f>
        <v>0</v>
      </c>
      <c r="CH204" s="39" t="n">
        <f aca="false">IF(CH$4=0,0,IF(COUNTIFS(実績!$W$6:$W$505,CH$3,実績!$AI$6:$AI$505,"&lt;="&amp;$A204,実績!$AJ$6:$AJ$505,"&gt;"&amp;$A204,実績!$AL$6:$AL$505,"○")&gt;0,1,0))</f>
        <v>0</v>
      </c>
      <c r="CI204" s="39" t="n">
        <f aca="false">IF(CI$4=0,0,IF(COUNTIFS(実績!$W$6:$W$505,CI$3,実績!$AI$6:$AI$505,"&lt;="&amp;$A204,実績!$AJ$6:$AJ$505,"&gt;"&amp;$A204,実績!$AL$6:$AL$505,"○")&gt;0,1,0))</f>
        <v>0</v>
      </c>
      <c r="CJ204" s="39" t="n">
        <f aca="false">IF(CJ$4=0,0,IF(COUNTIFS(実績!$W$6:$W$505,CJ$3,実績!$AI$6:$AI$505,"&lt;="&amp;$A204,実績!$AJ$6:$AJ$505,"&gt;"&amp;$A204,実績!$AL$6:$AL$505,"○")&gt;0,1,0))</f>
        <v>0</v>
      </c>
      <c r="CK204" s="39" t="n">
        <f aca="false">IF(CK$4=0,0,IF(COUNTIFS(実績!$W$6:$W$505,CK$3,実績!$AI$6:$AI$505,"&lt;="&amp;$A204,実績!$AJ$6:$AJ$505,"&gt;"&amp;$A204,実績!$AL$6:$AL$505,"○")&gt;0,1,0))</f>
        <v>0</v>
      </c>
      <c r="CL204" s="39" t="n">
        <f aca="false">IF(CL$4=0,0,IF(COUNTIFS(実績!$W$6:$W$505,CL$3,実績!$AI$6:$AI$505,"&lt;="&amp;$A204,実績!$AJ$6:$AJ$505,"&gt;"&amp;$A204,実績!$AL$6:$AL$505,"○")&gt;0,1,0))</f>
        <v>0</v>
      </c>
      <c r="CM204" s="39" t="n">
        <f aca="false">IF(CM$4=0,0,IF(COUNTIFS(実績!$W$6:$W$505,CM$3,実績!$AI$6:$AI$505,"&lt;="&amp;$A204,実績!$AJ$6:$AJ$505,"&gt;"&amp;$A204,実績!$AL$6:$AL$505,"○")&gt;0,1,0))</f>
        <v>0</v>
      </c>
      <c r="CN204" s="39" t="n">
        <f aca="false">IF(CN$4=0,0,IF(COUNTIFS(実績!$W$6:$W$505,CN$3,実績!$AI$6:$AI$505,"&lt;="&amp;$A204,実績!$AJ$6:$AJ$505,"&gt;"&amp;$A204,実績!$AL$6:$AL$505,"○")&gt;0,1,0))</f>
        <v>0</v>
      </c>
      <c r="CO204" s="39" t="n">
        <f aca="false">IF(CO$4=0,0,IF(COUNTIFS(実績!$W$6:$W$505,CO$3,実績!$AI$6:$AI$505,"&lt;="&amp;$A204,実績!$AJ$6:$AJ$505,"&gt;"&amp;$A204,実績!$AL$6:$AL$505,"○")&gt;0,1,0))</f>
        <v>0</v>
      </c>
      <c r="CP204" s="39" t="n">
        <f aca="false">IF(CP$4=0,0,IF(COUNTIFS(実績!$W$6:$W$505,CP$3,実績!$AI$6:$AI$505,"&lt;="&amp;$A204,実績!$AJ$6:$AJ$505,"&gt;"&amp;$A204,実績!$AL$6:$AL$505,"○")&gt;0,1,0))</f>
        <v>0</v>
      </c>
      <c r="CQ204" s="39" t="n">
        <f aca="false">IF(CQ$4=0,0,IF(COUNTIFS(実績!$W$6:$W$505,CQ$3,実績!$AI$6:$AI$505,"&lt;="&amp;$A204,実績!$AJ$6:$AJ$505,"&gt;"&amp;$A204,実績!$AL$6:$AL$505,"○")&gt;0,1,0))</f>
        <v>0</v>
      </c>
      <c r="CR204" s="39" t="n">
        <f aca="false">IF(CR$4=0,0,IF(COUNTIFS(実績!$W$6:$W$505,CR$3,実績!$AI$6:$AI$505,"&lt;="&amp;$A204,実績!$AJ$6:$AJ$505,"&gt;"&amp;$A204,実績!$AL$6:$AL$505,"○")&gt;0,1,0))</f>
        <v>0</v>
      </c>
      <c r="CS204" s="39" t="n">
        <f aca="false">IF(CS$4=0,0,IF(COUNTIFS(実績!$W$6:$W$505,CS$3,実績!$AI$6:$AI$505,"&lt;="&amp;$A204,実績!$AJ$6:$AJ$505,"&gt;"&amp;$A204,実績!$AL$6:$AL$505,"○")&gt;0,1,0))</f>
        <v>0</v>
      </c>
      <c r="CT204" s="39" t="n">
        <f aca="false">IF(CT$4=0,0,IF(COUNTIFS(実績!$W$6:$W$505,CT$3,実績!$AI$6:$AI$505,"&lt;="&amp;$A204,実績!$AJ$6:$AJ$505,"&gt;"&amp;$A204,実績!$AL$6:$AL$505,"○")&gt;0,1,0))</f>
        <v>0</v>
      </c>
      <c r="CU204" s="39" t="n">
        <f aca="false">IF(CU$4=0,0,IF(COUNTIFS(実績!$W$6:$W$505,CU$3,実績!$AI$6:$AI$505,"&lt;="&amp;$A204,実績!$AJ$6:$AJ$505,"&gt;"&amp;$A204,実績!$AL$6:$AL$505,"○")&gt;0,1,0))</f>
        <v>0</v>
      </c>
      <c r="CV204" s="39" t="n">
        <f aca="false">IF(CV$4=0,0,IF(COUNTIFS(実績!$W$6:$W$505,CV$3,実績!$AI$6:$AI$505,"&lt;="&amp;$A204,実績!$AJ$6:$AJ$505,"&gt;"&amp;$A204,実績!$AL$6:$AL$505,"○")&gt;0,1,0))</f>
        <v>0</v>
      </c>
      <c r="CW204" s="39" t="n">
        <f aca="false">IF(CW$4=0,0,IF(COUNTIFS(実績!$W$6:$W$505,CW$3,実績!$AI$6:$AI$505,"&lt;="&amp;$A204,実績!$AJ$6:$AJ$505,"&gt;"&amp;$A204,実績!$AL$6:$AL$505,"○")&gt;0,1,0))</f>
        <v>0</v>
      </c>
      <c r="CX204" s="39" t="n">
        <f aca="false">IF(CX$4=0,0,IF(COUNTIFS(実績!$W$6:$W$505,CX$3,実績!$AI$6:$AI$505,"&lt;="&amp;$A204,実績!$AJ$6:$AJ$505,"&gt;"&amp;$A204,実績!$AL$6:$AL$505,"○")&gt;0,1,0))</f>
        <v>0</v>
      </c>
      <c r="CY204" s="39" t="n">
        <f aca="false">IF(CY$4=0,0,IF(COUNTIFS(実績!$W$6:$W$505,CY$3,実績!$AI$6:$AI$505,"&lt;="&amp;$A204,実績!$AJ$6:$AJ$505,"&gt;"&amp;$A204,実績!$AL$6:$AL$505,"○")&gt;0,1,0))</f>
        <v>0</v>
      </c>
      <c r="CZ204" s="39" t="n">
        <f aca="false">IF(CZ$4=0,0,IF(COUNTIFS(実績!$W$6:$W$505,CZ$3,実績!$AI$6:$AI$505,"&lt;="&amp;$A204,実績!$AJ$6:$AJ$505,"&gt;"&amp;$A204,実績!$AL$6:$AL$505,"○")&gt;0,1,0))</f>
        <v>0</v>
      </c>
      <c r="DA204" s="39" t="n">
        <f aca="false">IF(DA$4=0,0,IF(COUNTIFS(実績!$W$6:$W$505,DA$3,実績!$AI$6:$AI$505,"&lt;="&amp;$A204,実績!$AJ$6:$AJ$505,"&gt;"&amp;$A204,実績!$AL$6:$AL$505,"○")&gt;0,1,0))</f>
        <v>0</v>
      </c>
      <c r="DB204" s="39" t="n">
        <f aca="false">IF(DB$4=0,0,IF(COUNTIFS(実績!$W$6:$W$505,DB$3,実績!$AI$6:$AI$505,"&lt;="&amp;$A204,実績!$AJ$6:$AJ$505,"&gt;"&amp;$A204,実績!$AL$6:$AL$505,"○")&gt;0,1,0))</f>
        <v>0</v>
      </c>
      <c r="DC204" s="39" t="n">
        <f aca="false">IF(DC$4=0,0,IF(COUNTIFS(実績!$W$6:$W$505,DC$3,実績!$AI$6:$AI$505,"&lt;="&amp;$A204,実績!$AJ$6:$AJ$505,"&gt;"&amp;$A204,実績!$AL$6:$AL$505,"○")&gt;0,1,0))</f>
        <v>0</v>
      </c>
      <c r="DD204" s="39" t="n">
        <f aca="false">IF(DD$4=0,0,IF(COUNTIFS(実績!$W$6:$W$505,DD$3,実績!$AI$6:$AI$505,"&lt;="&amp;$A204,実績!$AJ$6:$AJ$505,"&gt;"&amp;$A204,実績!$AL$6:$AL$505,"○")&gt;0,1,0))</f>
        <v>0</v>
      </c>
      <c r="DE204" s="39" t="n">
        <f aca="false">IF(DE$4=0,0,IF(COUNTIFS(実績!$W$6:$W$505,DE$3,実績!$AI$6:$AI$505,"&lt;="&amp;$A204,実績!$AJ$6:$AJ$505,"&gt;"&amp;$A204,実績!$AL$6:$AL$505,"○")&gt;0,1,0))</f>
        <v>0</v>
      </c>
      <c r="DF204" s="39" t="n">
        <f aca="false">IF(DF$4=0,0,IF(COUNTIFS(実績!$W$6:$W$505,DF$3,実績!$AI$6:$AI$505,"&lt;="&amp;$A204,実績!$AJ$6:$AJ$505,"&gt;"&amp;$A204,実績!$AL$6:$AL$505,"○")&gt;0,1,0))</f>
        <v>0</v>
      </c>
      <c r="DG204" s="39" t="n">
        <f aca="false">IF(DG$4=0,0,IF(COUNTIFS(実績!$W$6:$W$505,DG$3,実績!$AI$6:$AI$505,"&lt;="&amp;$A204,実績!$AJ$6:$AJ$505,"&gt;"&amp;$A204,実績!$AL$6:$AL$505,"○")&gt;0,1,0))</f>
        <v>0</v>
      </c>
      <c r="DH204" s="39" t="n">
        <f aca="false">IF(DH$4=0,0,IF(COUNTIFS(実績!$W$6:$W$505,DH$3,実績!$AI$6:$AI$505,"&lt;="&amp;$A204,実績!$AJ$6:$AJ$505,"&gt;"&amp;$A204,実績!$AL$6:$AL$505,"○")&gt;0,1,0))</f>
        <v>0</v>
      </c>
      <c r="DI204" s="39" t="n">
        <f aca="false">IF(DI$4=0,0,IF(COUNTIFS(実績!$W$6:$W$505,DI$3,実績!$AI$6:$AI$505,"&lt;="&amp;$A204,実績!$AJ$6:$AJ$505,"&gt;"&amp;$A204,実績!$AL$6:$AL$505,"○")&gt;0,1,0))</f>
        <v>0</v>
      </c>
      <c r="DJ204" s="39" t="n">
        <f aca="false">IF(DJ$4=0,0,IF(COUNTIFS(実績!$W$6:$W$505,DJ$3,実績!$AI$6:$AI$505,"&lt;="&amp;$A204,実績!$AJ$6:$AJ$505,"&gt;"&amp;$A204,実績!$AL$6:$AL$505,"○")&gt;0,1,0))</f>
        <v>0</v>
      </c>
      <c r="DK204" s="39" t="n">
        <f aca="false">IF(DK$4=0,0,IF(COUNTIFS(実績!$W$6:$W$505,DK$3,実績!$AI$6:$AI$505,"&lt;="&amp;$A204,実績!$AJ$6:$AJ$505,"&gt;"&amp;$A204,実績!$AL$6:$AL$505,"○")&gt;0,1,0))</f>
        <v>0</v>
      </c>
      <c r="DL204" s="39" t="n">
        <f aca="false">IF(DL$4=0,0,IF(COUNTIFS(実績!$W$6:$W$505,DL$3,実績!$AI$6:$AI$505,"&lt;="&amp;$A204,実績!$AJ$6:$AJ$505,"&gt;"&amp;$A204,実績!$AL$6:$AL$505,"○")&gt;0,1,0))</f>
        <v>0</v>
      </c>
      <c r="DM204" s="39" t="n">
        <f aca="false">IF(DM$4=0,0,IF(COUNTIFS(実績!$W$6:$W$505,DM$3,実績!$AI$6:$AI$505,"&lt;="&amp;$A204,実績!$AJ$6:$AJ$505,"&gt;"&amp;$A204,実績!$AL$6:$AL$505,"○")&gt;0,1,0))</f>
        <v>0</v>
      </c>
      <c r="DN204" s="39" t="n">
        <f aca="false">IF(DN$4=0,0,IF(COUNTIFS(実績!$W$6:$W$505,DN$3,実績!$AI$6:$AI$505,"&lt;="&amp;$A204,実績!$AJ$6:$AJ$505,"&gt;"&amp;$A204,実績!$AL$6:$AL$505,"○")&gt;0,1,0))</f>
        <v>0</v>
      </c>
      <c r="DO204" s="39" t="n">
        <f aca="false">IF(DO$4=0,0,IF(COUNTIFS(実績!$W$6:$W$505,DO$3,実績!$AI$6:$AI$505,"&lt;="&amp;$A204,実績!$AJ$6:$AJ$505,"&gt;"&amp;$A204,実績!$AL$6:$AL$505,"○")&gt;0,1,0))</f>
        <v>0</v>
      </c>
      <c r="DP204" s="39" t="n">
        <f aca="false">IF(DP$4=0,0,IF(COUNTIFS(実績!$W$6:$W$505,DP$3,実績!$AI$6:$AI$505,"&lt;="&amp;$A204,実績!$AJ$6:$AJ$505,"&gt;"&amp;$A204,実績!$AL$6:$AL$505,"○")&gt;0,1,0))</f>
        <v>0</v>
      </c>
      <c r="DQ204" s="39" t="n">
        <f aca="false">IF(DQ$4=0,0,IF(COUNTIFS(実績!$W$6:$W$505,DQ$3,実績!$AI$6:$AI$505,"&lt;="&amp;$A204,実績!$AJ$6:$AJ$505,"&gt;"&amp;$A204,実績!$AL$6:$AL$505,"○")&gt;0,1,0))</f>
        <v>0</v>
      </c>
      <c r="DR204" s="39" t="n">
        <f aca="false">IF(DR$4=0,0,IF(COUNTIFS(実績!$W$6:$W$505,DR$3,実績!$AI$6:$AI$505,"&lt;="&amp;$A204,実績!$AJ$6:$AJ$505,"&gt;"&amp;$A204,実績!$AL$6:$AL$505,"○")&gt;0,1,0))</f>
        <v>0</v>
      </c>
      <c r="DS204" s="39" t="n">
        <f aca="false">SUM(C204:DR204)</f>
        <v>0</v>
      </c>
    </row>
    <row r="205" customFormat="false" ht="15" hidden="false" customHeight="false" outlineLevel="0" collapsed="false">
      <c r="A205" s="0" t="n">
        <v>995</v>
      </c>
      <c r="B205" s="38" t="n">
        <f aca="false">A205/1440</f>
        <v>0.690972222222222</v>
      </c>
      <c r="C205" s="39" t="n">
        <f aca="false">IF(C$4=0,0,IF(COUNTIFS(実績!$W$6:$W$505,C$3,実績!$AI$6:$AI$505,"&lt;="&amp;$A205,実績!$AJ$6:$AJ$505,"&gt;"&amp;$A205,実績!$AL$6:$AL$505,"○")&gt;0,1,0))</f>
        <v>0</v>
      </c>
      <c r="D205" s="39" t="n">
        <f aca="false">IF(D$4=0,0,IF(COUNTIFS(実績!$W$6:$W$505,D$3,実績!$AI$6:$AI$505,"&lt;="&amp;$A205,実績!$AJ$6:$AJ$505,"&gt;"&amp;$A205,実績!$AL$6:$AL$505,"○")&gt;0,1,0))</f>
        <v>0</v>
      </c>
      <c r="E205" s="39" t="n">
        <f aca="false">IF(E$4=0,0,IF(COUNTIFS(実績!$W$6:$W$505,E$3,実績!$AI$6:$AI$505,"&lt;="&amp;$A205,実績!$AJ$6:$AJ$505,"&gt;"&amp;$A205,実績!$AL$6:$AL$505,"○")&gt;0,1,0))</f>
        <v>0</v>
      </c>
      <c r="F205" s="39" t="n">
        <f aca="false">IF(F$4=0,0,IF(COUNTIFS(実績!$W$6:$W$505,F$3,実績!$AI$6:$AI$505,"&lt;="&amp;$A205,実績!$AJ$6:$AJ$505,"&gt;"&amp;$A205,実績!$AL$6:$AL$505,"○")&gt;0,1,0))</f>
        <v>0</v>
      </c>
      <c r="G205" s="39" t="n">
        <f aca="false">IF(G$4=0,0,IF(COUNTIFS(実績!$W$6:$W$505,G$3,実績!$AI$6:$AI$505,"&lt;="&amp;$A205,実績!$AJ$6:$AJ$505,"&gt;"&amp;$A205,実績!$AL$6:$AL$505,"○")&gt;0,1,0))</f>
        <v>0</v>
      </c>
      <c r="H205" s="39" t="n">
        <f aca="false">IF(H$4=0,0,IF(COUNTIFS(実績!$W$6:$W$505,H$3,実績!$AI$6:$AI$505,"&lt;="&amp;$A205,実績!$AJ$6:$AJ$505,"&gt;"&amp;$A205,実績!$AL$6:$AL$505,"○")&gt;0,1,0))</f>
        <v>0</v>
      </c>
      <c r="I205" s="39" t="n">
        <f aca="false">IF(I$4=0,0,IF(COUNTIFS(実績!$W$6:$W$505,I$3,実績!$AI$6:$AI$505,"&lt;="&amp;$A205,実績!$AJ$6:$AJ$505,"&gt;"&amp;$A205,実績!$AL$6:$AL$505,"○")&gt;0,1,0))</f>
        <v>0</v>
      </c>
      <c r="J205" s="39" t="n">
        <f aca="false">IF(J$4=0,0,IF(COUNTIFS(実績!$W$6:$W$505,J$3,実績!$AI$6:$AI$505,"&lt;="&amp;$A205,実績!$AJ$6:$AJ$505,"&gt;"&amp;$A205,実績!$AL$6:$AL$505,"○")&gt;0,1,0))</f>
        <v>0</v>
      </c>
      <c r="K205" s="39" t="n">
        <f aca="false">IF(K$4=0,0,IF(COUNTIFS(実績!$W$6:$W$505,K$3,実績!$AI$6:$AI$505,"&lt;="&amp;$A205,実績!$AJ$6:$AJ$505,"&gt;"&amp;$A205,実績!$AL$6:$AL$505,"○")&gt;0,1,0))</f>
        <v>0</v>
      </c>
      <c r="L205" s="39" t="n">
        <f aca="false">IF(L$4=0,0,IF(COUNTIFS(実績!$W$6:$W$505,L$3,実績!$AI$6:$AI$505,"&lt;="&amp;$A205,実績!$AJ$6:$AJ$505,"&gt;"&amp;$A205,実績!$AL$6:$AL$505,"○")&gt;0,1,0))</f>
        <v>0</v>
      </c>
      <c r="M205" s="39" t="n">
        <f aca="false">IF(M$4=0,0,IF(COUNTIFS(実績!$W$6:$W$505,M$3,実績!$AI$6:$AI$505,"&lt;="&amp;$A205,実績!$AJ$6:$AJ$505,"&gt;"&amp;$A205,実績!$AL$6:$AL$505,"○")&gt;0,1,0))</f>
        <v>0</v>
      </c>
      <c r="N205" s="39" t="n">
        <f aca="false">IF(N$4=0,0,IF(COUNTIFS(実績!$W$6:$W$505,N$3,実績!$AI$6:$AI$505,"&lt;="&amp;$A205,実績!$AJ$6:$AJ$505,"&gt;"&amp;$A205,実績!$AL$6:$AL$505,"○")&gt;0,1,0))</f>
        <v>0</v>
      </c>
      <c r="O205" s="39" t="n">
        <f aca="false">IF(O$4=0,0,IF(COUNTIFS(実績!$W$6:$W$505,O$3,実績!$AI$6:$AI$505,"&lt;="&amp;$A205,実績!$AJ$6:$AJ$505,"&gt;"&amp;$A205,実績!$AL$6:$AL$505,"○")&gt;0,1,0))</f>
        <v>0</v>
      </c>
      <c r="P205" s="39" t="n">
        <f aca="false">IF(P$4=0,0,IF(COUNTIFS(実績!$W$6:$W$505,P$3,実績!$AI$6:$AI$505,"&lt;="&amp;$A205,実績!$AJ$6:$AJ$505,"&gt;"&amp;$A205,実績!$AL$6:$AL$505,"○")&gt;0,1,0))</f>
        <v>0</v>
      </c>
      <c r="Q205" s="39" t="n">
        <f aca="false">IF(Q$4=0,0,IF(COUNTIFS(実績!$W$6:$W$505,Q$3,実績!$AI$6:$AI$505,"&lt;="&amp;$A205,実績!$AJ$6:$AJ$505,"&gt;"&amp;$A205,実績!$AL$6:$AL$505,"○")&gt;0,1,0))</f>
        <v>0</v>
      </c>
      <c r="R205" s="39" t="n">
        <f aca="false">IF(R$4=0,0,IF(COUNTIFS(実績!$W$6:$W$505,R$3,実績!$AI$6:$AI$505,"&lt;="&amp;$A205,実績!$AJ$6:$AJ$505,"&gt;"&amp;$A205,実績!$AL$6:$AL$505,"○")&gt;0,1,0))</f>
        <v>0</v>
      </c>
      <c r="S205" s="39" t="n">
        <f aca="false">IF(S$4=0,0,IF(COUNTIFS(実績!$W$6:$W$505,S$3,実績!$AI$6:$AI$505,"&lt;="&amp;$A205,実績!$AJ$6:$AJ$505,"&gt;"&amp;$A205,実績!$AL$6:$AL$505,"○")&gt;0,1,0))</f>
        <v>0</v>
      </c>
      <c r="T205" s="39" t="n">
        <f aca="false">IF(T$4=0,0,IF(COUNTIFS(実績!$W$6:$W$505,T$3,実績!$AI$6:$AI$505,"&lt;="&amp;$A205,実績!$AJ$6:$AJ$505,"&gt;"&amp;$A205,実績!$AL$6:$AL$505,"○")&gt;0,1,0))</f>
        <v>0</v>
      </c>
      <c r="U205" s="39" t="n">
        <f aca="false">IF(U$4=0,0,IF(COUNTIFS(実績!$W$6:$W$505,U$3,実績!$AI$6:$AI$505,"&lt;="&amp;$A205,実績!$AJ$6:$AJ$505,"&gt;"&amp;$A205,実績!$AL$6:$AL$505,"○")&gt;0,1,0))</f>
        <v>0</v>
      </c>
      <c r="V205" s="39" t="n">
        <f aca="false">IF(V$4=0,0,IF(COUNTIFS(実績!$W$6:$W$505,V$3,実績!$AI$6:$AI$505,"&lt;="&amp;$A205,実績!$AJ$6:$AJ$505,"&gt;"&amp;$A205,実績!$AL$6:$AL$505,"○")&gt;0,1,0))</f>
        <v>0</v>
      </c>
      <c r="W205" s="39" t="n">
        <f aca="false">IF(W$4=0,0,IF(COUNTIFS(実績!$W$6:$W$505,W$3,実績!$AI$6:$AI$505,"&lt;="&amp;$A205,実績!$AJ$6:$AJ$505,"&gt;"&amp;$A205,実績!$AL$6:$AL$505,"○")&gt;0,1,0))</f>
        <v>0</v>
      </c>
      <c r="X205" s="39" t="n">
        <f aca="false">IF(X$4=0,0,IF(COUNTIFS(実績!$W$6:$W$505,X$3,実績!$AI$6:$AI$505,"&lt;="&amp;$A205,実績!$AJ$6:$AJ$505,"&gt;"&amp;$A205,実績!$AL$6:$AL$505,"○")&gt;0,1,0))</f>
        <v>0</v>
      </c>
      <c r="Y205" s="39" t="n">
        <f aca="false">IF(Y$4=0,0,IF(COUNTIFS(実績!$W$6:$W$505,Y$3,実績!$AI$6:$AI$505,"&lt;="&amp;$A205,実績!$AJ$6:$AJ$505,"&gt;"&amp;$A205,実績!$AL$6:$AL$505,"○")&gt;0,1,0))</f>
        <v>0</v>
      </c>
      <c r="Z205" s="39" t="n">
        <f aca="false">IF(Z$4=0,0,IF(COUNTIFS(実績!$W$6:$W$505,Z$3,実績!$AI$6:$AI$505,"&lt;="&amp;$A205,実績!$AJ$6:$AJ$505,"&gt;"&amp;$A205,実績!$AL$6:$AL$505,"○")&gt;0,1,0))</f>
        <v>0</v>
      </c>
      <c r="AA205" s="39" t="n">
        <f aca="false">IF(AA$4=0,0,IF(COUNTIFS(実績!$W$6:$W$505,AA$3,実績!$AI$6:$AI$505,"&lt;="&amp;$A205,実績!$AJ$6:$AJ$505,"&gt;"&amp;$A205,実績!$AL$6:$AL$505,"○")&gt;0,1,0))</f>
        <v>0</v>
      </c>
      <c r="AB205" s="39" t="n">
        <f aca="false">IF(AB$4=0,0,IF(COUNTIFS(実績!$W$6:$W$505,AB$3,実績!$AI$6:$AI$505,"&lt;="&amp;$A205,実績!$AJ$6:$AJ$505,"&gt;"&amp;$A205,実績!$AL$6:$AL$505,"○")&gt;0,1,0))</f>
        <v>0</v>
      </c>
      <c r="AC205" s="39" t="n">
        <f aca="false">IF(AC$4=0,0,IF(COUNTIFS(実績!$W$6:$W$505,AC$3,実績!$AI$6:$AI$505,"&lt;="&amp;$A205,実績!$AJ$6:$AJ$505,"&gt;"&amp;$A205,実績!$AL$6:$AL$505,"○")&gt;0,1,0))</f>
        <v>0</v>
      </c>
      <c r="AD205" s="39" t="n">
        <f aca="false">IF(AD$4=0,0,IF(COUNTIFS(実績!$W$6:$W$505,AD$3,実績!$AI$6:$AI$505,"&lt;="&amp;$A205,実績!$AJ$6:$AJ$505,"&gt;"&amp;$A205,実績!$AL$6:$AL$505,"○")&gt;0,1,0))</f>
        <v>0</v>
      </c>
      <c r="AE205" s="39" t="n">
        <f aca="false">IF(AE$4=0,0,IF(COUNTIFS(実績!$W$6:$W$505,AE$3,実績!$AI$6:$AI$505,"&lt;="&amp;$A205,実績!$AJ$6:$AJ$505,"&gt;"&amp;$A205,実績!$AL$6:$AL$505,"○")&gt;0,1,0))</f>
        <v>0</v>
      </c>
      <c r="AF205" s="39" t="n">
        <f aca="false">IF(AF$4=0,0,IF(COUNTIFS(実績!$W$6:$W$505,AF$3,実績!$AI$6:$AI$505,"&lt;="&amp;$A205,実績!$AJ$6:$AJ$505,"&gt;"&amp;$A205,実績!$AL$6:$AL$505,"○")&gt;0,1,0))</f>
        <v>0</v>
      </c>
      <c r="AG205" s="39" t="n">
        <f aca="false">IF(AG$4=0,0,IF(COUNTIFS(実績!$W$6:$W$505,AG$3,実績!$AI$6:$AI$505,"&lt;="&amp;$A205,実績!$AJ$6:$AJ$505,"&gt;"&amp;$A205,実績!$AL$6:$AL$505,"○")&gt;0,1,0))</f>
        <v>0</v>
      </c>
      <c r="AH205" s="39" t="n">
        <f aca="false">IF(AH$4=0,0,IF(COUNTIFS(実績!$W$6:$W$505,AH$3,実績!$AI$6:$AI$505,"&lt;="&amp;$A205,実績!$AJ$6:$AJ$505,"&gt;"&amp;$A205,実績!$AL$6:$AL$505,"○")&gt;0,1,0))</f>
        <v>0</v>
      </c>
      <c r="AI205" s="39" t="n">
        <f aca="false">IF(AI$4=0,0,IF(COUNTIFS(実績!$W$6:$W$505,AI$3,実績!$AI$6:$AI$505,"&lt;="&amp;$A205,実績!$AJ$6:$AJ$505,"&gt;"&amp;$A205,実績!$AL$6:$AL$505,"○")&gt;0,1,0))</f>
        <v>0</v>
      </c>
      <c r="AJ205" s="39" t="n">
        <f aca="false">IF(AJ$4=0,0,IF(COUNTIFS(実績!$W$6:$W$505,AJ$3,実績!$AI$6:$AI$505,"&lt;="&amp;$A205,実績!$AJ$6:$AJ$505,"&gt;"&amp;$A205,実績!$AL$6:$AL$505,"○")&gt;0,1,0))</f>
        <v>0</v>
      </c>
      <c r="AK205" s="39" t="n">
        <f aca="false">IF(AK$4=0,0,IF(COUNTIFS(実績!$W$6:$W$505,AK$3,実績!$AI$6:$AI$505,"&lt;="&amp;$A205,実績!$AJ$6:$AJ$505,"&gt;"&amp;$A205,実績!$AL$6:$AL$505,"○")&gt;0,1,0))</f>
        <v>0</v>
      </c>
      <c r="AL205" s="39" t="n">
        <f aca="false">IF(AL$4=0,0,IF(COUNTIFS(実績!$W$6:$W$505,AL$3,実績!$AI$6:$AI$505,"&lt;="&amp;$A205,実績!$AJ$6:$AJ$505,"&gt;"&amp;$A205,実績!$AL$6:$AL$505,"○")&gt;0,1,0))</f>
        <v>0</v>
      </c>
      <c r="AM205" s="39" t="n">
        <f aca="false">IF(AM$4=0,0,IF(COUNTIFS(実績!$W$6:$W$505,AM$3,実績!$AI$6:$AI$505,"&lt;="&amp;$A205,実績!$AJ$6:$AJ$505,"&gt;"&amp;$A205,実績!$AL$6:$AL$505,"○")&gt;0,1,0))</f>
        <v>0</v>
      </c>
      <c r="AN205" s="39" t="n">
        <f aca="false">IF(AN$4=0,0,IF(COUNTIFS(実績!$W$6:$W$505,AN$3,実績!$AI$6:$AI$505,"&lt;="&amp;$A205,実績!$AJ$6:$AJ$505,"&gt;"&amp;$A205,実績!$AL$6:$AL$505,"○")&gt;0,1,0))</f>
        <v>0</v>
      </c>
      <c r="AO205" s="39" t="n">
        <f aca="false">IF(AO$4=0,0,IF(COUNTIFS(実績!$W$6:$W$505,AO$3,実績!$AI$6:$AI$505,"&lt;="&amp;$A205,実績!$AJ$6:$AJ$505,"&gt;"&amp;$A205,実績!$AL$6:$AL$505,"○")&gt;0,1,0))</f>
        <v>0</v>
      </c>
      <c r="AP205" s="39" t="n">
        <f aca="false">IF(AP$4=0,0,IF(COUNTIFS(実績!$W$6:$W$505,AP$3,実績!$AI$6:$AI$505,"&lt;="&amp;$A205,実績!$AJ$6:$AJ$505,"&gt;"&amp;$A205,実績!$AL$6:$AL$505,"○")&gt;0,1,0))</f>
        <v>0</v>
      </c>
      <c r="AQ205" s="39" t="n">
        <f aca="false">IF(AQ$4=0,0,IF(COUNTIFS(実績!$W$6:$W$505,AQ$3,実績!$AI$6:$AI$505,"&lt;="&amp;$A205,実績!$AJ$6:$AJ$505,"&gt;"&amp;$A205,実績!$AL$6:$AL$505,"○")&gt;0,1,0))</f>
        <v>0</v>
      </c>
      <c r="AR205" s="39" t="n">
        <f aca="false">IF(AR$4=0,0,IF(COUNTIFS(実績!$W$6:$W$505,AR$3,実績!$AI$6:$AI$505,"&lt;="&amp;$A205,実績!$AJ$6:$AJ$505,"&gt;"&amp;$A205,実績!$AL$6:$AL$505,"○")&gt;0,1,0))</f>
        <v>0</v>
      </c>
      <c r="AS205" s="39" t="n">
        <f aca="false">IF(AS$4=0,0,IF(COUNTIFS(実績!$W$6:$W$505,AS$3,実績!$AI$6:$AI$505,"&lt;="&amp;$A205,実績!$AJ$6:$AJ$505,"&gt;"&amp;$A205,実績!$AL$6:$AL$505,"○")&gt;0,1,0))</f>
        <v>0</v>
      </c>
      <c r="AT205" s="39" t="n">
        <f aca="false">IF(AT$4=0,0,IF(COUNTIFS(実績!$W$6:$W$505,AT$3,実績!$AI$6:$AI$505,"&lt;="&amp;$A205,実績!$AJ$6:$AJ$505,"&gt;"&amp;$A205,実績!$AL$6:$AL$505,"○")&gt;0,1,0))</f>
        <v>0</v>
      </c>
      <c r="AU205" s="39" t="n">
        <f aca="false">IF(AU$4=0,0,IF(COUNTIFS(実績!$W$6:$W$505,AU$3,実績!$AI$6:$AI$505,"&lt;="&amp;$A205,実績!$AJ$6:$AJ$505,"&gt;"&amp;$A205,実績!$AL$6:$AL$505,"○")&gt;0,1,0))</f>
        <v>0</v>
      </c>
      <c r="AV205" s="39" t="n">
        <f aca="false">IF(AV$4=0,0,IF(COUNTIFS(実績!$W$6:$W$505,AV$3,実績!$AI$6:$AI$505,"&lt;="&amp;$A205,実績!$AJ$6:$AJ$505,"&gt;"&amp;$A205,実績!$AL$6:$AL$505,"○")&gt;0,1,0))</f>
        <v>0</v>
      </c>
      <c r="AW205" s="39" t="n">
        <f aca="false">IF(AW$4=0,0,IF(COUNTIFS(実績!$W$6:$W$505,AW$3,実績!$AI$6:$AI$505,"&lt;="&amp;$A205,実績!$AJ$6:$AJ$505,"&gt;"&amp;$A205,実績!$AL$6:$AL$505,"○")&gt;0,1,0))</f>
        <v>0</v>
      </c>
      <c r="AX205" s="39" t="n">
        <f aca="false">IF(AX$4=0,0,IF(COUNTIFS(実績!$W$6:$W$505,AX$3,実績!$AI$6:$AI$505,"&lt;="&amp;$A205,実績!$AJ$6:$AJ$505,"&gt;"&amp;$A205,実績!$AL$6:$AL$505,"○")&gt;0,1,0))</f>
        <v>0</v>
      </c>
      <c r="AY205" s="39" t="n">
        <f aca="false">IF(AY$4=0,0,IF(COUNTIFS(実績!$W$6:$W$505,AY$3,実績!$AI$6:$AI$505,"&lt;="&amp;$A205,実績!$AJ$6:$AJ$505,"&gt;"&amp;$A205,実績!$AL$6:$AL$505,"○")&gt;0,1,0))</f>
        <v>0</v>
      </c>
      <c r="AZ205" s="39" t="n">
        <f aca="false">IF(AZ$4=0,0,IF(COUNTIFS(実績!$W$6:$W$505,AZ$3,実績!$AI$6:$AI$505,"&lt;="&amp;$A205,実績!$AJ$6:$AJ$505,"&gt;"&amp;$A205,実績!$AL$6:$AL$505,"○")&gt;0,1,0))</f>
        <v>0</v>
      </c>
      <c r="BA205" s="39" t="n">
        <f aca="false">IF(BA$4=0,0,IF(COUNTIFS(実績!$W$6:$W$505,BA$3,実績!$AI$6:$AI$505,"&lt;="&amp;$A205,実績!$AJ$6:$AJ$505,"&gt;"&amp;$A205,実績!$AL$6:$AL$505,"○")&gt;0,1,0))</f>
        <v>0</v>
      </c>
      <c r="BB205" s="39" t="n">
        <f aca="false">IF(BB$4=0,0,IF(COUNTIFS(実績!$W$6:$W$505,BB$3,実績!$AI$6:$AI$505,"&lt;="&amp;$A205,実績!$AJ$6:$AJ$505,"&gt;"&amp;$A205,実績!$AL$6:$AL$505,"○")&gt;0,1,0))</f>
        <v>0</v>
      </c>
      <c r="BC205" s="39" t="n">
        <f aca="false">IF(BC$4=0,0,IF(COUNTIFS(実績!$W$6:$W$505,BC$3,実績!$AI$6:$AI$505,"&lt;="&amp;$A205,実績!$AJ$6:$AJ$505,"&gt;"&amp;$A205,実績!$AL$6:$AL$505,"○")&gt;0,1,0))</f>
        <v>0</v>
      </c>
      <c r="BD205" s="39" t="n">
        <f aca="false">IF(BD$4=0,0,IF(COUNTIFS(実績!$W$6:$W$505,BD$3,実績!$AI$6:$AI$505,"&lt;="&amp;$A205,実績!$AJ$6:$AJ$505,"&gt;"&amp;$A205,実績!$AL$6:$AL$505,"○")&gt;0,1,0))</f>
        <v>0</v>
      </c>
      <c r="BE205" s="39" t="n">
        <f aca="false">IF(BE$4=0,0,IF(COUNTIFS(実績!$W$6:$W$505,BE$3,実績!$AI$6:$AI$505,"&lt;="&amp;$A205,実績!$AJ$6:$AJ$505,"&gt;"&amp;$A205,実績!$AL$6:$AL$505,"○")&gt;0,1,0))</f>
        <v>0</v>
      </c>
      <c r="BF205" s="39" t="n">
        <f aca="false">IF(BF$4=0,0,IF(COUNTIFS(実績!$W$6:$W$505,BF$3,実績!$AI$6:$AI$505,"&lt;="&amp;$A205,実績!$AJ$6:$AJ$505,"&gt;"&amp;$A205,実績!$AL$6:$AL$505,"○")&gt;0,1,0))</f>
        <v>0</v>
      </c>
      <c r="BG205" s="39" t="n">
        <f aca="false">IF(BG$4=0,0,IF(COUNTIFS(実績!$W$6:$W$505,BG$3,実績!$AI$6:$AI$505,"&lt;="&amp;$A205,実績!$AJ$6:$AJ$505,"&gt;"&amp;$A205,実績!$AL$6:$AL$505,"○")&gt;0,1,0))</f>
        <v>0</v>
      </c>
      <c r="BH205" s="39" t="n">
        <f aca="false">IF(BH$4=0,0,IF(COUNTIFS(実績!$W$6:$W$505,BH$3,実績!$AI$6:$AI$505,"&lt;="&amp;$A205,実績!$AJ$6:$AJ$505,"&gt;"&amp;$A205,実績!$AL$6:$AL$505,"○")&gt;0,1,0))</f>
        <v>0</v>
      </c>
      <c r="BI205" s="39" t="n">
        <f aca="false">IF(BI$4=0,0,IF(COUNTIFS(実績!$W$6:$W$505,BI$3,実績!$AI$6:$AI$505,"&lt;="&amp;$A205,実績!$AJ$6:$AJ$505,"&gt;"&amp;$A205,実績!$AL$6:$AL$505,"○")&gt;0,1,0))</f>
        <v>0</v>
      </c>
      <c r="BJ205" s="39" t="n">
        <f aca="false">IF(BJ$4=0,0,IF(COUNTIFS(実績!$W$6:$W$505,BJ$3,実績!$AI$6:$AI$505,"&lt;="&amp;$A205,実績!$AJ$6:$AJ$505,"&gt;"&amp;$A205,実績!$AL$6:$AL$505,"○")&gt;0,1,0))</f>
        <v>0</v>
      </c>
      <c r="BK205" s="39" t="n">
        <f aca="false">IF(BK$4=0,0,IF(COUNTIFS(実績!$W$6:$W$505,BK$3,実績!$AI$6:$AI$505,"&lt;="&amp;$A205,実績!$AJ$6:$AJ$505,"&gt;"&amp;$A205,実績!$AL$6:$AL$505,"○")&gt;0,1,0))</f>
        <v>0</v>
      </c>
      <c r="BL205" s="39" t="n">
        <f aca="false">IF(BL$4=0,0,IF(COUNTIFS(実績!$W$6:$W$505,BL$3,実績!$AI$6:$AI$505,"&lt;="&amp;$A205,実績!$AJ$6:$AJ$505,"&gt;"&amp;$A205,実績!$AL$6:$AL$505,"○")&gt;0,1,0))</f>
        <v>0</v>
      </c>
      <c r="BM205" s="39" t="n">
        <f aca="false">IF(BM$4=0,0,IF(COUNTIFS(実績!$W$6:$W$505,BM$3,実績!$AI$6:$AI$505,"&lt;="&amp;$A205,実績!$AJ$6:$AJ$505,"&gt;"&amp;$A205,実績!$AL$6:$AL$505,"○")&gt;0,1,0))</f>
        <v>0</v>
      </c>
      <c r="BN205" s="39" t="n">
        <f aca="false">IF(BN$4=0,0,IF(COUNTIFS(実績!$W$6:$W$505,BN$3,実績!$AI$6:$AI$505,"&lt;="&amp;$A205,実績!$AJ$6:$AJ$505,"&gt;"&amp;$A205,実績!$AL$6:$AL$505,"○")&gt;0,1,0))</f>
        <v>0</v>
      </c>
      <c r="BO205" s="39" t="n">
        <f aca="false">IF(BO$4=0,0,IF(COUNTIFS(実績!$W$6:$W$505,BO$3,実績!$AI$6:$AI$505,"&lt;="&amp;$A205,実績!$AJ$6:$AJ$505,"&gt;"&amp;$A205,実績!$AL$6:$AL$505,"○")&gt;0,1,0))</f>
        <v>0</v>
      </c>
      <c r="BP205" s="39" t="n">
        <f aca="false">IF(BP$4=0,0,IF(COUNTIFS(実績!$W$6:$W$505,BP$3,実績!$AI$6:$AI$505,"&lt;="&amp;$A205,実績!$AJ$6:$AJ$505,"&gt;"&amp;$A205,実績!$AL$6:$AL$505,"○")&gt;0,1,0))</f>
        <v>0</v>
      </c>
      <c r="BQ205" s="39" t="n">
        <f aca="false">IF(BQ$4=0,0,IF(COUNTIFS(実績!$W$6:$W$505,BQ$3,実績!$AI$6:$AI$505,"&lt;="&amp;$A205,実績!$AJ$6:$AJ$505,"&gt;"&amp;$A205,実績!$AL$6:$AL$505,"○")&gt;0,1,0))</f>
        <v>0</v>
      </c>
      <c r="BR205" s="39" t="n">
        <f aca="false">IF(BR$4=0,0,IF(COUNTIFS(実績!$W$6:$W$505,BR$3,実績!$AI$6:$AI$505,"&lt;="&amp;$A205,実績!$AJ$6:$AJ$505,"&gt;"&amp;$A205,実績!$AL$6:$AL$505,"○")&gt;0,1,0))</f>
        <v>0</v>
      </c>
      <c r="BS205" s="39" t="n">
        <f aca="false">IF(BS$4=0,0,IF(COUNTIFS(実績!$W$6:$W$505,BS$3,実績!$AI$6:$AI$505,"&lt;="&amp;$A205,実績!$AJ$6:$AJ$505,"&gt;"&amp;$A205,実績!$AL$6:$AL$505,"○")&gt;0,1,0))</f>
        <v>0</v>
      </c>
      <c r="BT205" s="39" t="n">
        <f aca="false">IF(BT$4=0,0,IF(COUNTIFS(実績!$W$6:$W$505,BT$3,実績!$AI$6:$AI$505,"&lt;="&amp;$A205,実績!$AJ$6:$AJ$505,"&gt;"&amp;$A205,実績!$AL$6:$AL$505,"○")&gt;0,1,0))</f>
        <v>0</v>
      </c>
      <c r="BU205" s="39" t="n">
        <f aca="false">IF(BU$4=0,0,IF(COUNTIFS(実績!$W$6:$W$505,BU$3,実績!$AI$6:$AI$505,"&lt;="&amp;$A205,実績!$AJ$6:$AJ$505,"&gt;"&amp;$A205,実績!$AL$6:$AL$505,"○")&gt;0,1,0))</f>
        <v>0</v>
      </c>
      <c r="BV205" s="39" t="n">
        <f aca="false">IF(BV$4=0,0,IF(COUNTIFS(実績!$W$6:$W$505,BV$3,実績!$AI$6:$AI$505,"&lt;="&amp;$A205,実績!$AJ$6:$AJ$505,"&gt;"&amp;$A205,実績!$AL$6:$AL$505,"○")&gt;0,1,0))</f>
        <v>0</v>
      </c>
      <c r="BW205" s="39" t="n">
        <f aca="false">IF(BW$4=0,0,IF(COUNTIFS(実績!$W$6:$W$505,BW$3,実績!$AI$6:$AI$505,"&lt;="&amp;$A205,実績!$AJ$6:$AJ$505,"&gt;"&amp;$A205,実績!$AL$6:$AL$505,"○")&gt;0,1,0))</f>
        <v>0</v>
      </c>
      <c r="BX205" s="39" t="n">
        <f aca="false">IF(BX$4=0,0,IF(COUNTIFS(実績!$W$6:$W$505,BX$3,実績!$AI$6:$AI$505,"&lt;="&amp;$A205,実績!$AJ$6:$AJ$505,"&gt;"&amp;$A205,実績!$AL$6:$AL$505,"○")&gt;0,1,0))</f>
        <v>0</v>
      </c>
      <c r="BY205" s="39" t="n">
        <f aca="false">IF(BY$4=0,0,IF(COUNTIFS(実績!$W$6:$W$505,BY$3,実績!$AI$6:$AI$505,"&lt;="&amp;$A205,実績!$AJ$6:$AJ$505,"&gt;"&amp;$A205,実績!$AL$6:$AL$505,"○")&gt;0,1,0))</f>
        <v>0</v>
      </c>
      <c r="BZ205" s="39" t="n">
        <f aca="false">IF(BZ$4=0,0,IF(COUNTIFS(実績!$W$6:$W$505,BZ$3,実績!$AI$6:$AI$505,"&lt;="&amp;$A205,実績!$AJ$6:$AJ$505,"&gt;"&amp;$A205,実績!$AL$6:$AL$505,"○")&gt;0,1,0))</f>
        <v>0</v>
      </c>
      <c r="CA205" s="39" t="n">
        <f aca="false">IF(CA$4=0,0,IF(COUNTIFS(実績!$W$6:$W$505,CA$3,実績!$AI$6:$AI$505,"&lt;="&amp;$A205,実績!$AJ$6:$AJ$505,"&gt;"&amp;$A205,実績!$AL$6:$AL$505,"○")&gt;0,1,0))</f>
        <v>0</v>
      </c>
      <c r="CB205" s="39" t="n">
        <f aca="false">IF(CB$4=0,0,IF(COUNTIFS(実績!$W$6:$W$505,CB$3,実績!$AI$6:$AI$505,"&lt;="&amp;$A205,実績!$AJ$6:$AJ$505,"&gt;"&amp;$A205,実績!$AL$6:$AL$505,"○")&gt;0,1,0))</f>
        <v>0</v>
      </c>
      <c r="CC205" s="39" t="n">
        <f aca="false">IF(CC$4=0,0,IF(COUNTIFS(実績!$W$6:$W$505,CC$3,実績!$AI$6:$AI$505,"&lt;="&amp;$A205,実績!$AJ$6:$AJ$505,"&gt;"&amp;$A205,実績!$AL$6:$AL$505,"○")&gt;0,1,0))</f>
        <v>0</v>
      </c>
      <c r="CD205" s="39" t="n">
        <f aca="false">IF(CD$4=0,0,IF(COUNTIFS(実績!$W$6:$W$505,CD$3,実績!$AI$6:$AI$505,"&lt;="&amp;$A205,実績!$AJ$6:$AJ$505,"&gt;"&amp;$A205,実績!$AL$6:$AL$505,"○")&gt;0,1,0))</f>
        <v>0</v>
      </c>
      <c r="CE205" s="39" t="n">
        <f aca="false">IF(CE$4=0,0,IF(COUNTIFS(実績!$W$6:$W$505,CE$3,実績!$AI$6:$AI$505,"&lt;="&amp;$A205,実績!$AJ$6:$AJ$505,"&gt;"&amp;$A205,実績!$AL$6:$AL$505,"○")&gt;0,1,0))</f>
        <v>0</v>
      </c>
      <c r="CF205" s="39" t="n">
        <f aca="false">IF(CF$4=0,0,IF(COUNTIFS(実績!$W$6:$W$505,CF$3,実績!$AI$6:$AI$505,"&lt;="&amp;$A205,実績!$AJ$6:$AJ$505,"&gt;"&amp;$A205,実績!$AL$6:$AL$505,"○")&gt;0,1,0))</f>
        <v>0</v>
      </c>
      <c r="CG205" s="39" t="n">
        <f aca="false">IF(CG$4=0,0,IF(COUNTIFS(実績!$W$6:$W$505,CG$3,実績!$AI$6:$AI$505,"&lt;="&amp;$A205,実績!$AJ$6:$AJ$505,"&gt;"&amp;$A205,実績!$AL$6:$AL$505,"○")&gt;0,1,0))</f>
        <v>0</v>
      </c>
      <c r="CH205" s="39" t="n">
        <f aca="false">IF(CH$4=0,0,IF(COUNTIFS(実績!$W$6:$W$505,CH$3,実績!$AI$6:$AI$505,"&lt;="&amp;$A205,実績!$AJ$6:$AJ$505,"&gt;"&amp;$A205,実績!$AL$6:$AL$505,"○")&gt;0,1,0))</f>
        <v>0</v>
      </c>
      <c r="CI205" s="39" t="n">
        <f aca="false">IF(CI$4=0,0,IF(COUNTIFS(実績!$W$6:$W$505,CI$3,実績!$AI$6:$AI$505,"&lt;="&amp;$A205,実績!$AJ$6:$AJ$505,"&gt;"&amp;$A205,実績!$AL$6:$AL$505,"○")&gt;0,1,0))</f>
        <v>0</v>
      </c>
      <c r="CJ205" s="39" t="n">
        <f aca="false">IF(CJ$4=0,0,IF(COUNTIFS(実績!$W$6:$W$505,CJ$3,実績!$AI$6:$AI$505,"&lt;="&amp;$A205,実績!$AJ$6:$AJ$505,"&gt;"&amp;$A205,実績!$AL$6:$AL$505,"○")&gt;0,1,0))</f>
        <v>0</v>
      </c>
      <c r="CK205" s="39" t="n">
        <f aca="false">IF(CK$4=0,0,IF(COUNTIFS(実績!$W$6:$W$505,CK$3,実績!$AI$6:$AI$505,"&lt;="&amp;$A205,実績!$AJ$6:$AJ$505,"&gt;"&amp;$A205,実績!$AL$6:$AL$505,"○")&gt;0,1,0))</f>
        <v>0</v>
      </c>
      <c r="CL205" s="39" t="n">
        <f aca="false">IF(CL$4=0,0,IF(COUNTIFS(実績!$W$6:$W$505,CL$3,実績!$AI$6:$AI$505,"&lt;="&amp;$A205,実績!$AJ$6:$AJ$505,"&gt;"&amp;$A205,実績!$AL$6:$AL$505,"○")&gt;0,1,0))</f>
        <v>0</v>
      </c>
      <c r="CM205" s="39" t="n">
        <f aca="false">IF(CM$4=0,0,IF(COUNTIFS(実績!$W$6:$W$505,CM$3,実績!$AI$6:$AI$505,"&lt;="&amp;$A205,実績!$AJ$6:$AJ$505,"&gt;"&amp;$A205,実績!$AL$6:$AL$505,"○")&gt;0,1,0))</f>
        <v>0</v>
      </c>
      <c r="CN205" s="39" t="n">
        <f aca="false">IF(CN$4=0,0,IF(COUNTIFS(実績!$W$6:$W$505,CN$3,実績!$AI$6:$AI$505,"&lt;="&amp;$A205,実績!$AJ$6:$AJ$505,"&gt;"&amp;$A205,実績!$AL$6:$AL$505,"○")&gt;0,1,0))</f>
        <v>0</v>
      </c>
      <c r="CO205" s="39" t="n">
        <f aca="false">IF(CO$4=0,0,IF(COUNTIFS(実績!$W$6:$W$505,CO$3,実績!$AI$6:$AI$505,"&lt;="&amp;$A205,実績!$AJ$6:$AJ$505,"&gt;"&amp;$A205,実績!$AL$6:$AL$505,"○")&gt;0,1,0))</f>
        <v>0</v>
      </c>
      <c r="CP205" s="39" t="n">
        <f aca="false">IF(CP$4=0,0,IF(COUNTIFS(実績!$W$6:$W$505,CP$3,実績!$AI$6:$AI$505,"&lt;="&amp;$A205,実績!$AJ$6:$AJ$505,"&gt;"&amp;$A205,実績!$AL$6:$AL$505,"○")&gt;0,1,0))</f>
        <v>0</v>
      </c>
      <c r="CQ205" s="39" t="n">
        <f aca="false">IF(CQ$4=0,0,IF(COUNTIFS(実績!$W$6:$W$505,CQ$3,実績!$AI$6:$AI$505,"&lt;="&amp;$A205,実績!$AJ$6:$AJ$505,"&gt;"&amp;$A205,実績!$AL$6:$AL$505,"○")&gt;0,1,0))</f>
        <v>0</v>
      </c>
      <c r="CR205" s="39" t="n">
        <f aca="false">IF(CR$4=0,0,IF(COUNTIFS(実績!$W$6:$W$505,CR$3,実績!$AI$6:$AI$505,"&lt;="&amp;$A205,実績!$AJ$6:$AJ$505,"&gt;"&amp;$A205,実績!$AL$6:$AL$505,"○")&gt;0,1,0))</f>
        <v>0</v>
      </c>
      <c r="CS205" s="39" t="n">
        <f aca="false">IF(CS$4=0,0,IF(COUNTIFS(実績!$W$6:$W$505,CS$3,実績!$AI$6:$AI$505,"&lt;="&amp;$A205,実績!$AJ$6:$AJ$505,"&gt;"&amp;$A205,実績!$AL$6:$AL$505,"○")&gt;0,1,0))</f>
        <v>0</v>
      </c>
      <c r="CT205" s="39" t="n">
        <f aca="false">IF(CT$4=0,0,IF(COUNTIFS(実績!$W$6:$W$505,CT$3,実績!$AI$6:$AI$505,"&lt;="&amp;$A205,実績!$AJ$6:$AJ$505,"&gt;"&amp;$A205,実績!$AL$6:$AL$505,"○")&gt;0,1,0))</f>
        <v>0</v>
      </c>
      <c r="CU205" s="39" t="n">
        <f aca="false">IF(CU$4=0,0,IF(COUNTIFS(実績!$W$6:$W$505,CU$3,実績!$AI$6:$AI$505,"&lt;="&amp;$A205,実績!$AJ$6:$AJ$505,"&gt;"&amp;$A205,実績!$AL$6:$AL$505,"○")&gt;0,1,0))</f>
        <v>0</v>
      </c>
      <c r="CV205" s="39" t="n">
        <f aca="false">IF(CV$4=0,0,IF(COUNTIFS(実績!$W$6:$W$505,CV$3,実績!$AI$6:$AI$505,"&lt;="&amp;$A205,実績!$AJ$6:$AJ$505,"&gt;"&amp;$A205,実績!$AL$6:$AL$505,"○")&gt;0,1,0))</f>
        <v>0</v>
      </c>
      <c r="CW205" s="39" t="n">
        <f aca="false">IF(CW$4=0,0,IF(COUNTIFS(実績!$W$6:$W$505,CW$3,実績!$AI$6:$AI$505,"&lt;="&amp;$A205,実績!$AJ$6:$AJ$505,"&gt;"&amp;$A205,実績!$AL$6:$AL$505,"○")&gt;0,1,0))</f>
        <v>0</v>
      </c>
      <c r="CX205" s="39" t="n">
        <f aca="false">IF(CX$4=0,0,IF(COUNTIFS(実績!$W$6:$W$505,CX$3,実績!$AI$6:$AI$505,"&lt;="&amp;$A205,実績!$AJ$6:$AJ$505,"&gt;"&amp;$A205,実績!$AL$6:$AL$505,"○")&gt;0,1,0))</f>
        <v>0</v>
      </c>
      <c r="CY205" s="39" t="n">
        <f aca="false">IF(CY$4=0,0,IF(COUNTIFS(実績!$W$6:$W$505,CY$3,実績!$AI$6:$AI$505,"&lt;="&amp;$A205,実績!$AJ$6:$AJ$505,"&gt;"&amp;$A205,実績!$AL$6:$AL$505,"○")&gt;0,1,0))</f>
        <v>0</v>
      </c>
      <c r="CZ205" s="39" t="n">
        <f aca="false">IF(CZ$4=0,0,IF(COUNTIFS(実績!$W$6:$W$505,CZ$3,実績!$AI$6:$AI$505,"&lt;="&amp;$A205,実績!$AJ$6:$AJ$505,"&gt;"&amp;$A205,実績!$AL$6:$AL$505,"○")&gt;0,1,0))</f>
        <v>0</v>
      </c>
      <c r="DA205" s="39" t="n">
        <f aca="false">IF(DA$4=0,0,IF(COUNTIFS(実績!$W$6:$W$505,DA$3,実績!$AI$6:$AI$505,"&lt;="&amp;$A205,実績!$AJ$6:$AJ$505,"&gt;"&amp;$A205,実績!$AL$6:$AL$505,"○")&gt;0,1,0))</f>
        <v>0</v>
      </c>
      <c r="DB205" s="39" t="n">
        <f aca="false">IF(DB$4=0,0,IF(COUNTIFS(実績!$W$6:$W$505,DB$3,実績!$AI$6:$AI$505,"&lt;="&amp;$A205,実績!$AJ$6:$AJ$505,"&gt;"&amp;$A205,実績!$AL$6:$AL$505,"○")&gt;0,1,0))</f>
        <v>0</v>
      </c>
      <c r="DC205" s="39" t="n">
        <f aca="false">IF(DC$4=0,0,IF(COUNTIFS(実績!$W$6:$W$505,DC$3,実績!$AI$6:$AI$505,"&lt;="&amp;$A205,実績!$AJ$6:$AJ$505,"&gt;"&amp;$A205,実績!$AL$6:$AL$505,"○")&gt;0,1,0))</f>
        <v>0</v>
      </c>
      <c r="DD205" s="39" t="n">
        <f aca="false">IF(DD$4=0,0,IF(COUNTIFS(実績!$W$6:$W$505,DD$3,実績!$AI$6:$AI$505,"&lt;="&amp;$A205,実績!$AJ$6:$AJ$505,"&gt;"&amp;$A205,実績!$AL$6:$AL$505,"○")&gt;0,1,0))</f>
        <v>0</v>
      </c>
      <c r="DE205" s="39" t="n">
        <f aca="false">IF(DE$4=0,0,IF(COUNTIFS(実績!$W$6:$W$505,DE$3,実績!$AI$6:$AI$505,"&lt;="&amp;$A205,実績!$AJ$6:$AJ$505,"&gt;"&amp;$A205,実績!$AL$6:$AL$505,"○")&gt;0,1,0))</f>
        <v>0</v>
      </c>
      <c r="DF205" s="39" t="n">
        <f aca="false">IF(DF$4=0,0,IF(COUNTIFS(実績!$W$6:$W$505,DF$3,実績!$AI$6:$AI$505,"&lt;="&amp;$A205,実績!$AJ$6:$AJ$505,"&gt;"&amp;$A205,実績!$AL$6:$AL$505,"○")&gt;0,1,0))</f>
        <v>0</v>
      </c>
      <c r="DG205" s="39" t="n">
        <f aca="false">IF(DG$4=0,0,IF(COUNTIFS(実績!$W$6:$W$505,DG$3,実績!$AI$6:$AI$505,"&lt;="&amp;$A205,実績!$AJ$6:$AJ$505,"&gt;"&amp;$A205,実績!$AL$6:$AL$505,"○")&gt;0,1,0))</f>
        <v>0</v>
      </c>
      <c r="DH205" s="39" t="n">
        <f aca="false">IF(DH$4=0,0,IF(COUNTIFS(実績!$W$6:$W$505,DH$3,実績!$AI$6:$AI$505,"&lt;="&amp;$A205,実績!$AJ$6:$AJ$505,"&gt;"&amp;$A205,実績!$AL$6:$AL$505,"○")&gt;0,1,0))</f>
        <v>0</v>
      </c>
      <c r="DI205" s="39" t="n">
        <f aca="false">IF(DI$4=0,0,IF(COUNTIFS(実績!$W$6:$W$505,DI$3,実績!$AI$6:$AI$505,"&lt;="&amp;$A205,実績!$AJ$6:$AJ$505,"&gt;"&amp;$A205,実績!$AL$6:$AL$505,"○")&gt;0,1,0))</f>
        <v>0</v>
      </c>
      <c r="DJ205" s="39" t="n">
        <f aca="false">IF(DJ$4=0,0,IF(COUNTIFS(実績!$W$6:$W$505,DJ$3,実績!$AI$6:$AI$505,"&lt;="&amp;$A205,実績!$AJ$6:$AJ$505,"&gt;"&amp;$A205,実績!$AL$6:$AL$505,"○")&gt;0,1,0))</f>
        <v>0</v>
      </c>
      <c r="DK205" s="39" t="n">
        <f aca="false">IF(DK$4=0,0,IF(COUNTIFS(実績!$W$6:$W$505,DK$3,実績!$AI$6:$AI$505,"&lt;="&amp;$A205,実績!$AJ$6:$AJ$505,"&gt;"&amp;$A205,実績!$AL$6:$AL$505,"○")&gt;0,1,0))</f>
        <v>0</v>
      </c>
      <c r="DL205" s="39" t="n">
        <f aca="false">IF(DL$4=0,0,IF(COUNTIFS(実績!$W$6:$W$505,DL$3,実績!$AI$6:$AI$505,"&lt;="&amp;$A205,実績!$AJ$6:$AJ$505,"&gt;"&amp;$A205,実績!$AL$6:$AL$505,"○")&gt;0,1,0))</f>
        <v>0</v>
      </c>
      <c r="DM205" s="39" t="n">
        <f aca="false">IF(DM$4=0,0,IF(COUNTIFS(実績!$W$6:$W$505,DM$3,実績!$AI$6:$AI$505,"&lt;="&amp;$A205,実績!$AJ$6:$AJ$505,"&gt;"&amp;$A205,実績!$AL$6:$AL$505,"○")&gt;0,1,0))</f>
        <v>0</v>
      </c>
      <c r="DN205" s="39" t="n">
        <f aca="false">IF(DN$4=0,0,IF(COUNTIFS(実績!$W$6:$W$505,DN$3,実績!$AI$6:$AI$505,"&lt;="&amp;$A205,実績!$AJ$6:$AJ$505,"&gt;"&amp;$A205,実績!$AL$6:$AL$505,"○")&gt;0,1,0))</f>
        <v>0</v>
      </c>
      <c r="DO205" s="39" t="n">
        <f aca="false">IF(DO$4=0,0,IF(COUNTIFS(実績!$W$6:$W$505,DO$3,実績!$AI$6:$AI$505,"&lt;="&amp;$A205,実績!$AJ$6:$AJ$505,"&gt;"&amp;$A205,実績!$AL$6:$AL$505,"○")&gt;0,1,0))</f>
        <v>0</v>
      </c>
      <c r="DP205" s="39" t="n">
        <f aca="false">IF(DP$4=0,0,IF(COUNTIFS(実績!$W$6:$W$505,DP$3,実績!$AI$6:$AI$505,"&lt;="&amp;$A205,実績!$AJ$6:$AJ$505,"&gt;"&amp;$A205,実績!$AL$6:$AL$505,"○")&gt;0,1,0))</f>
        <v>0</v>
      </c>
      <c r="DQ205" s="39" t="n">
        <f aca="false">IF(DQ$4=0,0,IF(COUNTIFS(実績!$W$6:$W$505,DQ$3,実績!$AI$6:$AI$505,"&lt;="&amp;$A205,実績!$AJ$6:$AJ$505,"&gt;"&amp;$A205,実績!$AL$6:$AL$505,"○")&gt;0,1,0))</f>
        <v>0</v>
      </c>
      <c r="DR205" s="39" t="n">
        <f aca="false">IF(DR$4=0,0,IF(COUNTIFS(実績!$W$6:$W$505,DR$3,実績!$AI$6:$AI$505,"&lt;="&amp;$A205,実績!$AJ$6:$AJ$505,"&gt;"&amp;$A205,実績!$AL$6:$AL$505,"○")&gt;0,1,0))</f>
        <v>0</v>
      </c>
      <c r="DS205" s="39" t="n">
        <f aca="false">SUM(C205:DR205)</f>
        <v>0</v>
      </c>
    </row>
    <row r="206" customFormat="false" ht="15" hidden="false" customHeight="false" outlineLevel="0" collapsed="false">
      <c r="A206" s="0" t="n">
        <v>1000</v>
      </c>
      <c r="B206" s="38" t="n">
        <f aca="false">A206/1440</f>
        <v>0.694444444444444</v>
      </c>
      <c r="C206" s="39" t="n">
        <f aca="false">IF(C$4=0,0,IF(COUNTIFS(実績!$W$6:$W$505,C$3,実績!$AI$6:$AI$505,"&lt;="&amp;$A206,実績!$AJ$6:$AJ$505,"&gt;"&amp;$A206,実績!$AL$6:$AL$505,"○")&gt;0,1,0))</f>
        <v>0</v>
      </c>
      <c r="D206" s="39" t="n">
        <f aca="false">IF(D$4=0,0,IF(COUNTIFS(実績!$W$6:$W$505,D$3,実績!$AI$6:$AI$505,"&lt;="&amp;$A206,実績!$AJ$6:$AJ$505,"&gt;"&amp;$A206,実績!$AL$6:$AL$505,"○")&gt;0,1,0))</f>
        <v>0</v>
      </c>
      <c r="E206" s="39" t="n">
        <f aca="false">IF(E$4=0,0,IF(COUNTIFS(実績!$W$6:$W$505,E$3,実績!$AI$6:$AI$505,"&lt;="&amp;$A206,実績!$AJ$6:$AJ$505,"&gt;"&amp;$A206,実績!$AL$6:$AL$505,"○")&gt;0,1,0))</f>
        <v>0</v>
      </c>
      <c r="F206" s="39" t="n">
        <f aca="false">IF(F$4=0,0,IF(COUNTIFS(実績!$W$6:$W$505,F$3,実績!$AI$6:$AI$505,"&lt;="&amp;$A206,実績!$AJ$6:$AJ$505,"&gt;"&amp;$A206,実績!$AL$6:$AL$505,"○")&gt;0,1,0))</f>
        <v>0</v>
      </c>
      <c r="G206" s="39" t="n">
        <f aca="false">IF(G$4=0,0,IF(COUNTIFS(実績!$W$6:$W$505,G$3,実績!$AI$6:$AI$505,"&lt;="&amp;$A206,実績!$AJ$6:$AJ$505,"&gt;"&amp;$A206,実績!$AL$6:$AL$505,"○")&gt;0,1,0))</f>
        <v>0</v>
      </c>
      <c r="H206" s="39" t="n">
        <f aca="false">IF(H$4=0,0,IF(COUNTIFS(実績!$W$6:$W$505,H$3,実績!$AI$6:$AI$505,"&lt;="&amp;$A206,実績!$AJ$6:$AJ$505,"&gt;"&amp;$A206,実績!$AL$6:$AL$505,"○")&gt;0,1,0))</f>
        <v>0</v>
      </c>
      <c r="I206" s="39" t="n">
        <f aca="false">IF(I$4=0,0,IF(COUNTIFS(実績!$W$6:$W$505,I$3,実績!$AI$6:$AI$505,"&lt;="&amp;$A206,実績!$AJ$6:$AJ$505,"&gt;"&amp;$A206,実績!$AL$6:$AL$505,"○")&gt;0,1,0))</f>
        <v>0</v>
      </c>
      <c r="J206" s="39" t="n">
        <f aca="false">IF(J$4=0,0,IF(COUNTIFS(実績!$W$6:$W$505,J$3,実績!$AI$6:$AI$505,"&lt;="&amp;$A206,実績!$AJ$6:$AJ$505,"&gt;"&amp;$A206,実績!$AL$6:$AL$505,"○")&gt;0,1,0))</f>
        <v>0</v>
      </c>
      <c r="K206" s="39" t="n">
        <f aca="false">IF(K$4=0,0,IF(COUNTIFS(実績!$W$6:$W$505,K$3,実績!$AI$6:$AI$505,"&lt;="&amp;$A206,実績!$AJ$6:$AJ$505,"&gt;"&amp;$A206,実績!$AL$6:$AL$505,"○")&gt;0,1,0))</f>
        <v>0</v>
      </c>
      <c r="L206" s="39" t="n">
        <f aca="false">IF(L$4=0,0,IF(COUNTIFS(実績!$W$6:$W$505,L$3,実績!$AI$6:$AI$505,"&lt;="&amp;$A206,実績!$AJ$6:$AJ$505,"&gt;"&amp;$A206,実績!$AL$6:$AL$505,"○")&gt;0,1,0))</f>
        <v>0</v>
      </c>
      <c r="M206" s="39" t="n">
        <f aca="false">IF(M$4=0,0,IF(COUNTIFS(実績!$W$6:$W$505,M$3,実績!$AI$6:$AI$505,"&lt;="&amp;$A206,実績!$AJ$6:$AJ$505,"&gt;"&amp;$A206,実績!$AL$6:$AL$505,"○")&gt;0,1,0))</f>
        <v>0</v>
      </c>
      <c r="N206" s="39" t="n">
        <f aca="false">IF(N$4=0,0,IF(COUNTIFS(実績!$W$6:$W$505,N$3,実績!$AI$6:$AI$505,"&lt;="&amp;$A206,実績!$AJ$6:$AJ$505,"&gt;"&amp;$A206,実績!$AL$6:$AL$505,"○")&gt;0,1,0))</f>
        <v>0</v>
      </c>
      <c r="O206" s="39" t="n">
        <f aca="false">IF(O$4=0,0,IF(COUNTIFS(実績!$W$6:$W$505,O$3,実績!$AI$6:$AI$505,"&lt;="&amp;$A206,実績!$AJ$6:$AJ$505,"&gt;"&amp;$A206,実績!$AL$6:$AL$505,"○")&gt;0,1,0))</f>
        <v>0</v>
      </c>
      <c r="P206" s="39" t="n">
        <f aca="false">IF(P$4=0,0,IF(COUNTIFS(実績!$W$6:$W$505,P$3,実績!$AI$6:$AI$505,"&lt;="&amp;$A206,実績!$AJ$6:$AJ$505,"&gt;"&amp;$A206,実績!$AL$6:$AL$505,"○")&gt;0,1,0))</f>
        <v>0</v>
      </c>
      <c r="Q206" s="39" t="n">
        <f aca="false">IF(Q$4=0,0,IF(COUNTIFS(実績!$W$6:$W$505,Q$3,実績!$AI$6:$AI$505,"&lt;="&amp;$A206,実績!$AJ$6:$AJ$505,"&gt;"&amp;$A206,実績!$AL$6:$AL$505,"○")&gt;0,1,0))</f>
        <v>0</v>
      </c>
      <c r="R206" s="39" t="n">
        <f aca="false">IF(R$4=0,0,IF(COUNTIFS(実績!$W$6:$W$505,R$3,実績!$AI$6:$AI$505,"&lt;="&amp;$A206,実績!$AJ$6:$AJ$505,"&gt;"&amp;$A206,実績!$AL$6:$AL$505,"○")&gt;0,1,0))</f>
        <v>0</v>
      </c>
      <c r="S206" s="39" t="n">
        <f aca="false">IF(S$4=0,0,IF(COUNTIFS(実績!$W$6:$W$505,S$3,実績!$AI$6:$AI$505,"&lt;="&amp;$A206,実績!$AJ$6:$AJ$505,"&gt;"&amp;$A206,実績!$AL$6:$AL$505,"○")&gt;0,1,0))</f>
        <v>0</v>
      </c>
      <c r="T206" s="39" t="n">
        <f aca="false">IF(T$4=0,0,IF(COUNTIFS(実績!$W$6:$W$505,T$3,実績!$AI$6:$AI$505,"&lt;="&amp;$A206,実績!$AJ$6:$AJ$505,"&gt;"&amp;$A206,実績!$AL$6:$AL$505,"○")&gt;0,1,0))</f>
        <v>0</v>
      </c>
      <c r="U206" s="39" t="n">
        <f aca="false">IF(U$4=0,0,IF(COUNTIFS(実績!$W$6:$W$505,U$3,実績!$AI$6:$AI$505,"&lt;="&amp;$A206,実績!$AJ$6:$AJ$505,"&gt;"&amp;$A206,実績!$AL$6:$AL$505,"○")&gt;0,1,0))</f>
        <v>0</v>
      </c>
      <c r="V206" s="39" t="n">
        <f aca="false">IF(V$4=0,0,IF(COUNTIFS(実績!$W$6:$W$505,V$3,実績!$AI$6:$AI$505,"&lt;="&amp;$A206,実績!$AJ$6:$AJ$505,"&gt;"&amp;$A206,実績!$AL$6:$AL$505,"○")&gt;0,1,0))</f>
        <v>0</v>
      </c>
      <c r="W206" s="39" t="n">
        <f aca="false">IF(W$4=0,0,IF(COUNTIFS(実績!$W$6:$W$505,W$3,実績!$AI$6:$AI$505,"&lt;="&amp;$A206,実績!$AJ$6:$AJ$505,"&gt;"&amp;$A206,実績!$AL$6:$AL$505,"○")&gt;0,1,0))</f>
        <v>0</v>
      </c>
      <c r="X206" s="39" t="n">
        <f aca="false">IF(X$4=0,0,IF(COUNTIFS(実績!$W$6:$W$505,X$3,実績!$AI$6:$AI$505,"&lt;="&amp;$A206,実績!$AJ$6:$AJ$505,"&gt;"&amp;$A206,実績!$AL$6:$AL$505,"○")&gt;0,1,0))</f>
        <v>0</v>
      </c>
      <c r="Y206" s="39" t="n">
        <f aca="false">IF(Y$4=0,0,IF(COUNTIFS(実績!$W$6:$W$505,Y$3,実績!$AI$6:$AI$505,"&lt;="&amp;$A206,実績!$AJ$6:$AJ$505,"&gt;"&amp;$A206,実績!$AL$6:$AL$505,"○")&gt;0,1,0))</f>
        <v>0</v>
      </c>
      <c r="Z206" s="39" t="n">
        <f aca="false">IF(Z$4=0,0,IF(COUNTIFS(実績!$W$6:$W$505,Z$3,実績!$AI$6:$AI$505,"&lt;="&amp;$A206,実績!$AJ$6:$AJ$505,"&gt;"&amp;$A206,実績!$AL$6:$AL$505,"○")&gt;0,1,0))</f>
        <v>0</v>
      </c>
      <c r="AA206" s="39" t="n">
        <f aca="false">IF(AA$4=0,0,IF(COUNTIFS(実績!$W$6:$W$505,AA$3,実績!$AI$6:$AI$505,"&lt;="&amp;$A206,実績!$AJ$6:$AJ$505,"&gt;"&amp;$A206,実績!$AL$6:$AL$505,"○")&gt;0,1,0))</f>
        <v>0</v>
      </c>
      <c r="AB206" s="39" t="n">
        <f aca="false">IF(AB$4=0,0,IF(COUNTIFS(実績!$W$6:$W$505,AB$3,実績!$AI$6:$AI$505,"&lt;="&amp;$A206,実績!$AJ$6:$AJ$505,"&gt;"&amp;$A206,実績!$AL$6:$AL$505,"○")&gt;0,1,0))</f>
        <v>0</v>
      </c>
      <c r="AC206" s="39" t="n">
        <f aca="false">IF(AC$4=0,0,IF(COUNTIFS(実績!$W$6:$W$505,AC$3,実績!$AI$6:$AI$505,"&lt;="&amp;$A206,実績!$AJ$6:$AJ$505,"&gt;"&amp;$A206,実績!$AL$6:$AL$505,"○")&gt;0,1,0))</f>
        <v>0</v>
      </c>
      <c r="AD206" s="39" t="n">
        <f aca="false">IF(AD$4=0,0,IF(COUNTIFS(実績!$W$6:$W$505,AD$3,実績!$AI$6:$AI$505,"&lt;="&amp;$A206,実績!$AJ$6:$AJ$505,"&gt;"&amp;$A206,実績!$AL$6:$AL$505,"○")&gt;0,1,0))</f>
        <v>0</v>
      </c>
      <c r="AE206" s="39" t="n">
        <f aca="false">IF(AE$4=0,0,IF(COUNTIFS(実績!$W$6:$W$505,AE$3,実績!$AI$6:$AI$505,"&lt;="&amp;$A206,実績!$AJ$6:$AJ$505,"&gt;"&amp;$A206,実績!$AL$6:$AL$505,"○")&gt;0,1,0))</f>
        <v>0</v>
      </c>
      <c r="AF206" s="39" t="n">
        <f aca="false">IF(AF$4=0,0,IF(COUNTIFS(実績!$W$6:$W$505,AF$3,実績!$AI$6:$AI$505,"&lt;="&amp;$A206,実績!$AJ$6:$AJ$505,"&gt;"&amp;$A206,実績!$AL$6:$AL$505,"○")&gt;0,1,0))</f>
        <v>0</v>
      </c>
      <c r="AG206" s="39" t="n">
        <f aca="false">IF(AG$4=0,0,IF(COUNTIFS(実績!$W$6:$W$505,AG$3,実績!$AI$6:$AI$505,"&lt;="&amp;$A206,実績!$AJ$6:$AJ$505,"&gt;"&amp;$A206,実績!$AL$6:$AL$505,"○")&gt;0,1,0))</f>
        <v>0</v>
      </c>
      <c r="AH206" s="39" t="n">
        <f aca="false">IF(AH$4=0,0,IF(COUNTIFS(実績!$W$6:$W$505,AH$3,実績!$AI$6:$AI$505,"&lt;="&amp;$A206,実績!$AJ$6:$AJ$505,"&gt;"&amp;$A206,実績!$AL$6:$AL$505,"○")&gt;0,1,0))</f>
        <v>0</v>
      </c>
      <c r="AI206" s="39" t="n">
        <f aca="false">IF(AI$4=0,0,IF(COUNTIFS(実績!$W$6:$W$505,AI$3,実績!$AI$6:$AI$505,"&lt;="&amp;$A206,実績!$AJ$6:$AJ$505,"&gt;"&amp;$A206,実績!$AL$6:$AL$505,"○")&gt;0,1,0))</f>
        <v>0</v>
      </c>
      <c r="AJ206" s="39" t="n">
        <f aca="false">IF(AJ$4=0,0,IF(COUNTIFS(実績!$W$6:$W$505,AJ$3,実績!$AI$6:$AI$505,"&lt;="&amp;$A206,実績!$AJ$6:$AJ$505,"&gt;"&amp;$A206,実績!$AL$6:$AL$505,"○")&gt;0,1,0))</f>
        <v>0</v>
      </c>
      <c r="AK206" s="39" t="n">
        <f aca="false">IF(AK$4=0,0,IF(COUNTIFS(実績!$W$6:$W$505,AK$3,実績!$AI$6:$AI$505,"&lt;="&amp;$A206,実績!$AJ$6:$AJ$505,"&gt;"&amp;$A206,実績!$AL$6:$AL$505,"○")&gt;0,1,0))</f>
        <v>0</v>
      </c>
      <c r="AL206" s="39" t="n">
        <f aca="false">IF(AL$4=0,0,IF(COUNTIFS(実績!$W$6:$W$505,AL$3,実績!$AI$6:$AI$505,"&lt;="&amp;$A206,実績!$AJ$6:$AJ$505,"&gt;"&amp;$A206,実績!$AL$6:$AL$505,"○")&gt;0,1,0))</f>
        <v>0</v>
      </c>
      <c r="AM206" s="39" t="n">
        <f aca="false">IF(AM$4=0,0,IF(COUNTIFS(実績!$W$6:$W$505,AM$3,実績!$AI$6:$AI$505,"&lt;="&amp;$A206,実績!$AJ$6:$AJ$505,"&gt;"&amp;$A206,実績!$AL$6:$AL$505,"○")&gt;0,1,0))</f>
        <v>0</v>
      </c>
      <c r="AN206" s="39" t="n">
        <f aca="false">IF(AN$4=0,0,IF(COUNTIFS(実績!$W$6:$W$505,AN$3,実績!$AI$6:$AI$505,"&lt;="&amp;$A206,実績!$AJ$6:$AJ$505,"&gt;"&amp;$A206,実績!$AL$6:$AL$505,"○")&gt;0,1,0))</f>
        <v>0</v>
      </c>
      <c r="AO206" s="39" t="n">
        <f aca="false">IF(AO$4=0,0,IF(COUNTIFS(実績!$W$6:$W$505,AO$3,実績!$AI$6:$AI$505,"&lt;="&amp;$A206,実績!$AJ$6:$AJ$505,"&gt;"&amp;$A206,実績!$AL$6:$AL$505,"○")&gt;0,1,0))</f>
        <v>0</v>
      </c>
      <c r="AP206" s="39" t="n">
        <f aca="false">IF(AP$4=0,0,IF(COUNTIFS(実績!$W$6:$W$505,AP$3,実績!$AI$6:$AI$505,"&lt;="&amp;$A206,実績!$AJ$6:$AJ$505,"&gt;"&amp;$A206,実績!$AL$6:$AL$505,"○")&gt;0,1,0))</f>
        <v>0</v>
      </c>
      <c r="AQ206" s="39" t="n">
        <f aca="false">IF(AQ$4=0,0,IF(COUNTIFS(実績!$W$6:$W$505,AQ$3,実績!$AI$6:$AI$505,"&lt;="&amp;$A206,実績!$AJ$6:$AJ$505,"&gt;"&amp;$A206,実績!$AL$6:$AL$505,"○")&gt;0,1,0))</f>
        <v>0</v>
      </c>
      <c r="AR206" s="39" t="n">
        <f aca="false">IF(AR$4=0,0,IF(COUNTIFS(実績!$W$6:$W$505,AR$3,実績!$AI$6:$AI$505,"&lt;="&amp;$A206,実績!$AJ$6:$AJ$505,"&gt;"&amp;$A206,実績!$AL$6:$AL$505,"○")&gt;0,1,0))</f>
        <v>0</v>
      </c>
      <c r="AS206" s="39" t="n">
        <f aca="false">IF(AS$4=0,0,IF(COUNTIFS(実績!$W$6:$W$505,AS$3,実績!$AI$6:$AI$505,"&lt;="&amp;$A206,実績!$AJ$6:$AJ$505,"&gt;"&amp;$A206,実績!$AL$6:$AL$505,"○")&gt;0,1,0))</f>
        <v>0</v>
      </c>
      <c r="AT206" s="39" t="n">
        <f aca="false">IF(AT$4=0,0,IF(COUNTIFS(実績!$W$6:$W$505,AT$3,実績!$AI$6:$AI$505,"&lt;="&amp;$A206,実績!$AJ$6:$AJ$505,"&gt;"&amp;$A206,実績!$AL$6:$AL$505,"○")&gt;0,1,0))</f>
        <v>0</v>
      </c>
      <c r="AU206" s="39" t="n">
        <f aca="false">IF(AU$4=0,0,IF(COUNTIFS(実績!$W$6:$W$505,AU$3,実績!$AI$6:$AI$505,"&lt;="&amp;$A206,実績!$AJ$6:$AJ$505,"&gt;"&amp;$A206,実績!$AL$6:$AL$505,"○")&gt;0,1,0))</f>
        <v>0</v>
      </c>
      <c r="AV206" s="39" t="n">
        <f aca="false">IF(AV$4=0,0,IF(COUNTIFS(実績!$W$6:$W$505,AV$3,実績!$AI$6:$AI$505,"&lt;="&amp;$A206,実績!$AJ$6:$AJ$505,"&gt;"&amp;$A206,実績!$AL$6:$AL$505,"○")&gt;0,1,0))</f>
        <v>0</v>
      </c>
      <c r="AW206" s="39" t="n">
        <f aca="false">IF(AW$4=0,0,IF(COUNTIFS(実績!$W$6:$W$505,AW$3,実績!$AI$6:$AI$505,"&lt;="&amp;$A206,実績!$AJ$6:$AJ$505,"&gt;"&amp;$A206,実績!$AL$6:$AL$505,"○")&gt;0,1,0))</f>
        <v>0</v>
      </c>
      <c r="AX206" s="39" t="n">
        <f aca="false">IF(AX$4=0,0,IF(COUNTIFS(実績!$W$6:$W$505,AX$3,実績!$AI$6:$AI$505,"&lt;="&amp;$A206,実績!$AJ$6:$AJ$505,"&gt;"&amp;$A206,実績!$AL$6:$AL$505,"○")&gt;0,1,0))</f>
        <v>0</v>
      </c>
      <c r="AY206" s="39" t="n">
        <f aca="false">IF(AY$4=0,0,IF(COUNTIFS(実績!$W$6:$W$505,AY$3,実績!$AI$6:$AI$505,"&lt;="&amp;$A206,実績!$AJ$6:$AJ$505,"&gt;"&amp;$A206,実績!$AL$6:$AL$505,"○")&gt;0,1,0))</f>
        <v>0</v>
      </c>
      <c r="AZ206" s="39" t="n">
        <f aca="false">IF(AZ$4=0,0,IF(COUNTIFS(実績!$W$6:$W$505,AZ$3,実績!$AI$6:$AI$505,"&lt;="&amp;$A206,実績!$AJ$6:$AJ$505,"&gt;"&amp;$A206,実績!$AL$6:$AL$505,"○")&gt;0,1,0))</f>
        <v>0</v>
      </c>
      <c r="BA206" s="39" t="n">
        <f aca="false">IF(BA$4=0,0,IF(COUNTIFS(実績!$W$6:$W$505,BA$3,実績!$AI$6:$AI$505,"&lt;="&amp;$A206,実績!$AJ$6:$AJ$505,"&gt;"&amp;$A206,実績!$AL$6:$AL$505,"○")&gt;0,1,0))</f>
        <v>0</v>
      </c>
      <c r="BB206" s="39" t="n">
        <f aca="false">IF(BB$4=0,0,IF(COUNTIFS(実績!$W$6:$W$505,BB$3,実績!$AI$6:$AI$505,"&lt;="&amp;$A206,実績!$AJ$6:$AJ$505,"&gt;"&amp;$A206,実績!$AL$6:$AL$505,"○")&gt;0,1,0))</f>
        <v>0</v>
      </c>
      <c r="BC206" s="39" t="n">
        <f aca="false">IF(BC$4=0,0,IF(COUNTIFS(実績!$W$6:$W$505,BC$3,実績!$AI$6:$AI$505,"&lt;="&amp;$A206,実績!$AJ$6:$AJ$505,"&gt;"&amp;$A206,実績!$AL$6:$AL$505,"○")&gt;0,1,0))</f>
        <v>0</v>
      </c>
      <c r="BD206" s="39" t="n">
        <f aca="false">IF(BD$4=0,0,IF(COUNTIFS(実績!$W$6:$W$505,BD$3,実績!$AI$6:$AI$505,"&lt;="&amp;$A206,実績!$AJ$6:$AJ$505,"&gt;"&amp;$A206,実績!$AL$6:$AL$505,"○")&gt;0,1,0))</f>
        <v>0</v>
      </c>
      <c r="BE206" s="39" t="n">
        <f aca="false">IF(BE$4=0,0,IF(COUNTIFS(実績!$W$6:$W$505,BE$3,実績!$AI$6:$AI$505,"&lt;="&amp;$A206,実績!$AJ$6:$AJ$505,"&gt;"&amp;$A206,実績!$AL$6:$AL$505,"○")&gt;0,1,0))</f>
        <v>0</v>
      </c>
      <c r="BF206" s="39" t="n">
        <f aca="false">IF(BF$4=0,0,IF(COUNTIFS(実績!$W$6:$W$505,BF$3,実績!$AI$6:$AI$505,"&lt;="&amp;$A206,実績!$AJ$6:$AJ$505,"&gt;"&amp;$A206,実績!$AL$6:$AL$505,"○")&gt;0,1,0))</f>
        <v>0</v>
      </c>
      <c r="BG206" s="39" t="n">
        <f aca="false">IF(BG$4=0,0,IF(COUNTIFS(実績!$W$6:$W$505,BG$3,実績!$AI$6:$AI$505,"&lt;="&amp;$A206,実績!$AJ$6:$AJ$505,"&gt;"&amp;$A206,実績!$AL$6:$AL$505,"○")&gt;0,1,0))</f>
        <v>0</v>
      </c>
      <c r="BH206" s="39" t="n">
        <f aca="false">IF(BH$4=0,0,IF(COUNTIFS(実績!$W$6:$W$505,BH$3,実績!$AI$6:$AI$505,"&lt;="&amp;$A206,実績!$AJ$6:$AJ$505,"&gt;"&amp;$A206,実績!$AL$6:$AL$505,"○")&gt;0,1,0))</f>
        <v>0</v>
      </c>
      <c r="BI206" s="39" t="n">
        <f aca="false">IF(BI$4=0,0,IF(COUNTIFS(実績!$W$6:$W$505,BI$3,実績!$AI$6:$AI$505,"&lt;="&amp;$A206,実績!$AJ$6:$AJ$505,"&gt;"&amp;$A206,実績!$AL$6:$AL$505,"○")&gt;0,1,0))</f>
        <v>0</v>
      </c>
      <c r="BJ206" s="39" t="n">
        <f aca="false">IF(BJ$4=0,0,IF(COUNTIFS(実績!$W$6:$W$505,BJ$3,実績!$AI$6:$AI$505,"&lt;="&amp;$A206,実績!$AJ$6:$AJ$505,"&gt;"&amp;$A206,実績!$AL$6:$AL$505,"○")&gt;0,1,0))</f>
        <v>0</v>
      </c>
      <c r="BK206" s="39" t="n">
        <f aca="false">IF(BK$4=0,0,IF(COUNTIFS(実績!$W$6:$W$505,BK$3,実績!$AI$6:$AI$505,"&lt;="&amp;$A206,実績!$AJ$6:$AJ$505,"&gt;"&amp;$A206,実績!$AL$6:$AL$505,"○")&gt;0,1,0))</f>
        <v>0</v>
      </c>
      <c r="BL206" s="39" t="n">
        <f aca="false">IF(BL$4=0,0,IF(COUNTIFS(実績!$W$6:$W$505,BL$3,実績!$AI$6:$AI$505,"&lt;="&amp;$A206,実績!$AJ$6:$AJ$505,"&gt;"&amp;$A206,実績!$AL$6:$AL$505,"○")&gt;0,1,0))</f>
        <v>0</v>
      </c>
      <c r="BM206" s="39" t="n">
        <f aca="false">IF(BM$4=0,0,IF(COUNTIFS(実績!$W$6:$W$505,BM$3,実績!$AI$6:$AI$505,"&lt;="&amp;$A206,実績!$AJ$6:$AJ$505,"&gt;"&amp;$A206,実績!$AL$6:$AL$505,"○")&gt;0,1,0))</f>
        <v>0</v>
      </c>
      <c r="BN206" s="39" t="n">
        <f aca="false">IF(BN$4=0,0,IF(COUNTIFS(実績!$W$6:$W$505,BN$3,実績!$AI$6:$AI$505,"&lt;="&amp;$A206,実績!$AJ$6:$AJ$505,"&gt;"&amp;$A206,実績!$AL$6:$AL$505,"○")&gt;0,1,0))</f>
        <v>0</v>
      </c>
      <c r="BO206" s="39" t="n">
        <f aca="false">IF(BO$4=0,0,IF(COUNTIFS(実績!$W$6:$W$505,BO$3,実績!$AI$6:$AI$505,"&lt;="&amp;$A206,実績!$AJ$6:$AJ$505,"&gt;"&amp;$A206,実績!$AL$6:$AL$505,"○")&gt;0,1,0))</f>
        <v>0</v>
      </c>
      <c r="BP206" s="39" t="n">
        <f aca="false">IF(BP$4=0,0,IF(COUNTIFS(実績!$W$6:$W$505,BP$3,実績!$AI$6:$AI$505,"&lt;="&amp;$A206,実績!$AJ$6:$AJ$505,"&gt;"&amp;$A206,実績!$AL$6:$AL$505,"○")&gt;0,1,0))</f>
        <v>0</v>
      </c>
      <c r="BQ206" s="39" t="n">
        <f aca="false">IF(BQ$4=0,0,IF(COUNTIFS(実績!$W$6:$W$505,BQ$3,実績!$AI$6:$AI$505,"&lt;="&amp;$A206,実績!$AJ$6:$AJ$505,"&gt;"&amp;$A206,実績!$AL$6:$AL$505,"○")&gt;0,1,0))</f>
        <v>0</v>
      </c>
      <c r="BR206" s="39" t="n">
        <f aca="false">IF(BR$4=0,0,IF(COUNTIFS(実績!$W$6:$W$505,BR$3,実績!$AI$6:$AI$505,"&lt;="&amp;$A206,実績!$AJ$6:$AJ$505,"&gt;"&amp;$A206,実績!$AL$6:$AL$505,"○")&gt;0,1,0))</f>
        <v>0</v>
      </c>
      <c r="BS206" s="39" t="n">
        <f aca="false">IF(BS$4=0,0,IF(COUNTIFS(実績!$W$6:$W$505,BS$3,実績!$AI$6:$AI$505,"&lt;="&amp;$A206,実績!$AJ$6:$AJ$505,"&gt;"&amp;$A206,実績!$AL$6:$AL$505,"○")&gt;0,1,0))</f>
        <v>0</v>
      </c>
      <c r="BT206" s="39" t="n">
        <f aca="false">IF(BT$4=0,0,IF(COUNTIFS(実績!$W$6:$W$505,BT$3,実績!$AI$6:$AI$505,"&lt;="&amp;$A206,実績!$AJ$6:$AJ$505,"&gt;"&amp;$A206,実績!$AL$6:$AL$505,"○")&gt;0,1,0))</f>
        <v>0</v>
      </c>
      <c r="BU206" s="39" t="n">
        <f aca="false">IF(BU$4=0,0,IF(COUNTIFS(実績!$W$6:$W$505,BU$3,実績!$AI$6:$AI$505,"&lt;="&amp;$A206,実績!$AJ$6:$AJ$505,"&gt;"&amp;$A206,実績!$AL$6:$AL$505,"○")&gt;0,1,0))</f>
        <v>0</v>
      </c>
      <c r="BV206" s="39" t="n">
        <f aca="false">IF(BV$4=0,0,IF(COUNTIFS(実績!$W$6:$W$505,BV$3,実績!$AI$6:$AI$505,"&lt;="&amp;$A206,実績!$AJ$6:$AJ$505,"&gt;"&amp;$A206,実績!$AL$6:$AL$505,"○")&gt;0,1,0))</f>
        <v>0</v>
      </c>
      <c r="BW206" s="39" t="n">
        <f aca="false">IF(BW$4=0,0,IF(COUNTIFS(実績!$W$6:$W$505,BW$3,実績!$AI$6:$AI$505,"&lt;="&amp;$A206,実績!$AJ$6:$AJ$505,"&gt;"&amp;$A206,実績!$AL$6:$AL$505,"○")&gt;0,1,0))</f>
        <v>0</v>
      </c>
      <c r="BX206" s="39" t="n">
        <f aca="false">IF(BX$4=0,0,IF(COUNTIFS(実績!$W$6:$W$505,BX$3,実績!$AI$6:$AI$505,"&lt;="&amp;$A206,実績!$AJ$6:$AJ$505,"&gt;"&amp;$A206,実績!$AL$6:$AL$505,"○")&gt;0,1,0))</f>
        <v>0</v>
      </c>
      <c r="BY206" s="39" t="n">
        <f aca="false">IF(BY$4=0,0,IF(COUNTIFS(実績!$W$6:$W$505,BY$3,実績!$AI$6:$AI$505,"&lt;="&amp;$A206,実績!$AJ$6:$AJ$505,"&gt;"&amp;$A206,実績!$AL$6:$AL$505,"○")&gt;0,1,0))</f>
        <v>0</v>
      </c>
      <c r="BZ206" s="39" t="n">
        <f aca="false">IF(BZ$4=0,0,IF(COUNTIFS(実績!$W$6:$W$505,BZ$3,実績!$AI$6:$AI$505,"&lt;="&amp;$A206,実績!$AJ$6:$AJ$505,"&gt;"&amp;$A206,実績!$AL$6:$AL$505,"○")&gt;0,1,0))</f>
        <v>0</v>
      </c>
      <c r="CA206" s="39" t="n">
        <f aca="false">IF(CA$4=0,0,IF(COUNTIFS(実績!$W$6:$W$505,CA$3,実績!$AI$6:$AI$505,"&lt;="&amp;$A206,実績!$AJ$6:$AJ$505,"&gt;"&amp;$A206,実績!$AL$6:$AL$505,"○")&gt;0,1,0))</f>
        <v>0</v>
      </c>
      <c r="CB206" s="39" t="n">
        <f aca="false">IF(CB$4=0,0,IF(COUNTIFS(実績!$W$6:$W$505,CB$3,実績!$AI$6:$AI$505,"&lt;="&amp;$A206,実績!$AJ$6:$AJ$505,"&gt;"&amp;$A206,実績!$AL$6:$AL$505,"○")&gt;0,1,0))</f>
        <v>0</v>
      </c>
      <c r="CC206" s="39" t="n">
        <f aca="false">IF(CC$4=0,0,IF(COUNTIFS(実績!$W$6:$W$505,CC$3,実績!$AI$6:$AI$505,"&lt;="&amp;$A206,実績!$AJ$6:$AJ$505,"&gt;"&amp;$A206,実績!$AL$6:$AL$505,"○")&gt;0,1,0))</f>
        <v>0</v>
      </c>
      <c r="CD206" s="39" t="n">
        <f aca="false">IF(CD$4=0,0,IF(COUNTIFS(実績!$W$6:$W$505,CD$3,実績!$AI$6:$AI$505,"&lt;="&amp;$A206,実績!$AJ$6:$AJ$505,"&gt;"&amp;$A206,実績!$AL$6:$AL$505,"○")&gt;0,1,0))</f>
        <v>0</v>
      </c>
      <c r="CE206" s="39" t="n">
        <f aca="false">IF(CE$4=0,0,IF(COUNTIFS(実績!$W$6:$W$505,CE$3,実績!$AI$6:$AI$505,"&lt;="&amp;$A206,実績!$AJ$6:$AJ$505,"&gt;"&amp;$A206,実績!$AL$6:$AL$505,"○")&gt;0,1,0))</f>
        <v>0</v>
      </c>
      <c r="CF206" s="39" t="n">
        <f aca="false">IF(CF$4=0,0,IF(COUNTIFS(実績!$W$6:$W$505,CF$3,実績!$AI$6:$AI$505,"&lt;="&amp;$A206,実績!$AJ$6:$AJ$505,"&gt;"&amp;$A206,実績!$AL$6:$AL$505,"○")&gt;0,1,0))</f>
        <v>0</v>
      </c>
      <c r="CG206" s="39" t="n">
        <f aca="false">IF(CG$4=0,0,IF(COUNTIFS(実績!$W$6:$W$505,CG$3,実績!$AI$6:$AI$505,"&lt;="&amp;$A206,実績!$AJ$6:$AJ$505,"&gt;"&amp;$A206,実績!$AL$6:$AL$505,"○")&gt;0,1,0))</f>
        <v>0</v>
      </c>
      <c r="CH206" s="39" t="n">
        <f aca="false">IF(CH$4=0,0,IF(COUNTIFS(実績!$W$6:$W$505,CH$3,実績!$AI$6:$AI$505,"&lt;="&amp;$A206,実績!$AJ$6:$AJ$505,"&gt;"&amp;$A206,実績!$AL$6:$AL$505,"○")&gt;0,1,0))</f>
        <v>0</v>
      </c>
      <c r="CI206" s="39" t="n">
        <f aca="false">IF(CI$4=0,0,IF(COUNTIFS(実績!$W$6:$W$505,CI$3,実績!$AI$6:$AI$505,"&lt;="&amp;$A206,実績!$AJ$6:$AJ$505,"&gt;"&amp;$A206,実績!$AL$6:$AL$505,"○")&gt;0,1,0))</f>
        <v>0</v>
      </c>
      <c r="CJ206" s="39" t="n">
        <f aca="false">IF(CJ$4=0,0,IF(COUNTIFS(実績!$W$6:$W$505,CJ$3,実績!$AI$6:$AI$505,"&lt;="&amp;$A206,実績!$AJ$6:$AJ$505,"&gt;"&amp;$A206,実績!$AL$6:$AL$505,"○")&gt;0,1,0))</f>
        <v>0</v>
      </c>
      <c r="CK206" s="39" t="n">
        <f aca="false">IF(CK$4=0,0,IF(COUNTIFS(実績!$W$6:$W$505,CK$3,実績!$AI$6:$AI$505,"&lt;="&amp;$A206,実績!$AJ$6:$AJ$505,"&gt;"&amp;$A206,実績!$AL$6:$AL$505,"○")&gt;0,1,0))</f>
        <v>0</v>
      </c>
      <c r="CL206" s="39" t="n">
        <f aca="false">IF(CL$4=0,0,IF(COUNTIFS(実績!$W$6:$W$505,CL$3,実績!$AI$6:$AI$505,"&lt;="&amp;$A206,実績!$AJ$6:$AJ$505,"&gt;"&amp;$A206,実績!$AL$6:$AL$505,"○")&gt;0,1,0))</f>
        <v>0</v>
      </c>
      <c r="CM206" s="39" t="n">
        <f aca="false">IF(CM$4=0,0,IF(COUNTIFS(実績!$W$6:$W$505,CM$3,実績!$AI$6:$AI$505,"&lt;="&amp;$A206,実績!$AJ$6:$AJ$505,"&gt;"&amp;$A206,実績!$AL$6:$AL$505,"○")&gt;0,1,0))</f>
        <v>0</v>
      </c>
      <c r="CN206" s="39" t="n">
        <f aca="false">IF(CN$4=0,0,IF(COUNTIFS(実績!$W$6:$W$505,CN$3,実績!$AI$6:$AI$505,"&lt;="&amp;$A206,実績!$AJ$6:$AJ$505,"&gt;"&amp;$A206,実績!$AL$6:$AL$505,"○")&gt;0,1,0))</f>
        <v>0</v>
      </c>
      <c r="CO206" s="39" t="n">
        <f aca="false">IF(CO$4=0,0,IF(COUNTIFS(実績!$W$6:$W$505,CO$3,実績!$AI$6:$AI$505,"&lt;="&amp;$A206,実績!$AJ$6:$AJ$505,"&gt;"&amp;$A206,実績!$AL$6:$AL$505,"○")&gt;0,1,0))</f>
        <v>0</v>
      </c>
      <c r="CP206" s="39" t="n">
        <f aca="false">IF(CP$4=0,0,IF(COUNTIFS(実績!$W$6:$W$505,CP$3,実績!$AI$6:$AI$505,"&lt;="&amp;$A206,実績!$AJ$6:$AJ$505,"&gt;"&amp;$A206,実績!$AL$6:$AL$505,"○")&gt;0,1,0))</f>
        <v>0</v>
      </c>
      <c r="CQ206" s="39" t="n">
        <f aca="false">IF(CQ$4=0,0,IF(COUNTIFS(実績!$W$6:$W$505,CQ$3,実績!$AI$6:$AI$505,"&lt;="&amp;$A206,実績!$AJ$6:$AJ$505,"&gt;"&amp;$A206,実績!$AL$6:$AL$505,"○")&gt;0,1,0))</f>
        <v>0</v>
      </c>
      <c r="CR206" s="39" t="n">
        <f aca="false">IF(CR$4=0,0,IF(COUNTIFS(実績!$W$6:$W$505,CR$3,実績!$AI$6:$AI$505,"&lt;="&amp;$A206,実績!$AJ$6:$AJ$505,"&gt;"&amp;$A206,実績!$AL$6:$AL$505,"○")&gt;0,1,0))</f>
        <v>0</v>
      </c>
      <c r="CS206" s="39" t="n">
        <f aca="false">IF(CS$4=0,0,IF(COUNTIFS(実績!$W$6:$W$505,CS$3,実績!$AI$6:$AI$505,"&lt;="&amp;$A206,実績!$AJ$6:$AJ$505,"&gt;"&amp;$A206,実績!$AL$6:$AL$505,"○")&gt;0,1,0))</f>
        <v>0</v>
      </c>
      <c r="CT206" s="39" t="n">
        <f aca="false">IF(CT$4=0,0,IF(COUNTIFS(実績!$W$6:$W$505,CT$3,実績!$AI$6:$AI$505,"&lt;="&amp;$A206,実績!$AJ$6:$AJ$505,"&gt;"&amp;$A206,実績!$AL$6:$AL$505,"○")&gt;0,1,0))</f>
        <v>0</v>
      </c>
      <c r="CU206" s="39" t="n">
        <f aca="false">IF(CU$4=0,0,IF(COUNTIFS(実績!$W$6:$W$505,CU$3,実績!$AI$6:$AI$505,"&lt;="&amp;$A206,実績!$AJ$6:$AJ$505,"&gt;"&amp;$A206,実績!$AL$6:$AL$505,"○")&gt;0,1,0))</f>
        <v>0</v>
      </c>
      <c r="CV206" s="39" t="n">
        <f aca="false">IF(CV$4=0,0,IF(COUNTIFS(実績!$W$6:$W$505,CV$3,実績!$AI$6:$AI$505,"&lt;="&amp;$A206,実績!$AJ$6:$AJ$505,"&gt;"&amp;$A206,実績!$AL$6:$AL$505,"○")&gt;0,1,0))</f>
        <v>0</v>
      </c>
      <c r="CW206" s="39" t="n">
        <f aca="false">IF(CW$4=0,0,IF(COUNTIFS(実績!$W$6:$W$505,CW$3,実績!$AI$6:$AI$505,"&lt;="&amp;$A206,実績!$AJ$6:$AJ$505,"&gt;"&amp;$A206,実績!$AL$6:$AL$505,"○")&gt;0,1,0))</f>
        <v>0</v>
      </c>
      <c r="CX206" s="39" t="n">
        <f aca="false">IF(CX$4=0,0,IF(COUNTIFS(実績!$W$6:$W$505,CX$3,実績!$AI$6:$AI$505,"&lt;="&amp;$A206,実績!$AJ$6:$AJ$505,"&gt;"&amp;$A206,実績!$AL$6:$AL$505,"○")&gt;0,1,0))</f>
        <v>0</v>
      </c>
      <c r="CY206" s="39" t="n">
        <f aca="false">IF(CY$4=0,0,IF(COUNTIFS(実績!$W$6:$W$505,CY$3,実績!$AI$6:$AI$505,"&lt;="&amp;$A206,実績!$AJ$6:$AJ$505,"&gt;"&amp;$A206,実績!$AL$6:$AL$505,"○")&gt;0,1,0))</f>
        <v>0</v>
      </c>
      <c r="CZ206" s="39" t="n">
        <f aca="false">IF(CZ$4=0,0,IF(COUNTIFS(実績!$W$6:$W$505,CZ$3,実績!$AI$6:$AI$505,"&lt;="&amp;$A206,実績!$AJ$6:$AJ$505,"&gt;"&amp;$A206,実績!$AL$6:$AL$505,"○")&gt;0,1,0))</f>
        <v>0</v>
      </c>
      <c r="DA206" s="39" t="n">
        <f aca="false">IF(DA$4=0,0,IF(COUNTIFS(実績!$W$6:$W$505,DA$3,実績!$AI$6:$AI$505,"&lt;="&amp;$A206,実績!$AJ$6:$AJ$505,"&gt;"&amp;$A206,実績!$AL$6:$AL$505,"○")&gt;0,1,0))</f>
        <v>0</v>
      </c>
      <c r="DB206" s="39" t="n">
        <f aca="false">IF(DB$4=0,0,IF(COUNTIFS(実績!$W$6:$W$505,DB$3,実績!$AI$6:$AI$505,"&lt;="&amp;$A206,実績!$AJ$6:$AJ$505,"&gt;"&amp;$A206,実績!$AL$6:$AL$505,"○")&gt;0,1,0))</f>
        <v>0</v>
      </c>
      <c r="DC206" s="39" t="n">
        <f aca="false">IF(DC$4=0,0,IF(COUNTIFS(実績!$W$6:$W$505,DC$3,実績!$AI$6:$AI$505,"&lt;="&amp;$A206,実績!$AJ$6:$AJ$505,"&gt;"&amp;$A206,実績!$AL$6:$AL$505,"○")&gt;0,1,0))</f>
        <v>0</v>
      </c>
      <c r="DD206" s="39" t="n">
        <f aca="false">IF(DD$4=0,0,IF(COUNTIFS(実績!$W$6:$W$505,DD$3,実績!$AI$6:$AI$505,"&lt;="&amp;$A206,実績!$AJ$6:$AJ$505,"&gt;"&amp;$A206,実績!$AL$6:$AL$505,"○")&gt;0,1,0))</f>
        <v>0</v>
      </c>
      <c r="DE206" s="39" t="n">
        <f aca="false">IF(DE$4=0,0,IF(COUNTIFS(実績!$W$6:$W$505,DE$3,実績!$AI$6:$AI$505,"&lt;="&amp;$A206,実績!$AJ$6:$AJ$505,"&gt;"&amp;$A206,実績!$AL$6:$AL$505,"○")&gt;0,1,0))</f>
        <v>0</v>
      </c>
      <c r="DF206" s="39" t="n">
        <f aca="false">IF(DF$4=0,0,IF(COUNTIFS(実績!$W$6:$W$505,DF$3,実績!$AI$6:$AI$505,"&lt;="&amp;$A206,実績!$AJ$6:$AJ$505,"&gt;"&amp;$A206,実績!$AL$6:$AL$505,"○")&gt;0,1,0))</f>
        <v>0</v>
      </c>
      <c r="DG206" s="39" t="n">
        <f aca="false">IF(DG$4=0,0,IF(COUNTIFS(実績!$W$6:$W$505,DG$3,実績!$AI$6:$AI$505,"&lt;="&amp;$A206,実績!$AJ$6:$AJ$505,"&gt;"&amp;$A206,実績!$AL$6:$AL$505,"○")&gt;0,1,0))</f>
        <v>0</v>
      </c>
      <c r="DH206" s="39" t="n">
        <f aca="false">IF(DH$4=0,0,IF(COUNTIFS(実績!$W$6:$W$505,DH$3,実績!$AI$6:$AI$505,"&lt;="&amp;$A206,実績!$AJ$6:$AJ$505,"&gt;"&amp;$A206,実績!$AL$6:$AL$505,"○")&gt;0,1,0))</f>
        <v>0</v>
      </c>
      <c r="DI206" s="39" t="n">
        <f aca="false">IF(DI$4=0,0,IF(COUNTIFS(実績!$W$6:$W$505,DI$3,実績!$AI$6:$AI$505,"&lt;="&amp;$A206,実績!$AJ$6:$AJ$505,"&gt;"&amp;$A206,実績!$AL$6:$AL$505,"○")&gt;0,1,0))</f>
        <v>0</v>
      </c>
      <c r="DJ206" s="39" t="n">
        <f aca="false">IF(DJ$4=0,0,IF(COUNTIFS(実績!$W$6:$W$505,DJ$3,実績!$AI$6:$AI$505,"&lt;="&amp;$A206,実績!$AJ$6:$AJ$505,"&gt;"&amp;$A206,実績!$AL$6:$AL$505,"○")&gt;0,1,0))</f>
        <v>0</v>
      </c>
      <c r="DK206" s="39" t="n">
        <f aca="false">IF(DK$4=0,0,IF(COUNTIFS(実績!$W$6:$W$505,DK$3,実績!$AI$6:$AI$505,"&lt;="&amp;$A206,実績!$AJ$6:$AJ$505,"&gt;"&amp;$A206,実績!$AL$6:$AL$505,"○")&gt;0,1,0))</f>
        <v>0</v>
      </c>
      <c r="DL206" s="39" t="n">
        <f aca="false">IF(DL$4=0,0,IF(COUNTIFS(実績!$W$6:$W$505,DL$3,実績!$AI$6:$AI$505,"&lt;="&amp;$A206,実績!$AJ$6:$AJ$505,"&gt;"&amp;$A206,実績!$AL$6:$AL$505,"○")&gt;0,1,0))</f>
        <v>0</v>
      </c>
      <c r="DM206" s="39" t="n">
        <f aca="false">IF(DM$4=0,0,IF(COUNTIFS(実績!$W$6:$W$505,DM$3,実績!$AI$6:$AI$505,"&lt;="&amp;$A206,実績!$AJ$6:$AJ$505,"&gt;"&amp;$A206,実績!$AL$6:$AL$505,"○")&gt;0,1,0))</f>
        <v>0</v>
      </c>
      <c r="DN206" s="39" t="n">
        <f aca="false">IF(DN$4=0,0,IF(COUNTIFS(実績!$W$6:$W$505,DN$3,実績!$AI$6:$AI$505,"&lt;="&amp;$A206,実績!$AJ$6:$AJ$505,"&gt;"&amp;$A206,実績!$AL$6:$AL$505,"○")&gt;0,1,0))</f>
        <v>0</v>
      </c>
      <c r="DO206" s="39" t="n">
        <f aca="false">IF(DO$4=0,0,IF(COUNTIFS(実績!$W$6:$W$505,DO$3,実績!$AI$6:$AI$505,"&lt;="&amp;$A206,実績!$AJ$6:$AJ$505,"&gt;"&amp;$A206,実績!$AL$6:$AL$505,"○")&gt;0,1,0))</f>
        <v>0</v>
      </c>
      <c r="DP206" s="39" t="n">
        <f aca="false">IF(DP$4=0,0,IF(COUNTIFS(実績!$W$6:$W$505,DP$3,実績!$AI$6:$AI$505,"&lt;="&amp;$A206,実績!$AJ$6:$AJ$505,"&gt;"&amp;$A206,実績!$AL$6:$AL$505,"○")&gt;0,1,0))</f>
        <v>0</v>
      </c>
      <c r="DQ206" s="39" t="n">
        <f aca="false">IF(DQ$4=0,0,IF(COUNTIFS(実績!$W$6:$W$505,DQ$3,実績!$AI$6:$AI$505,"&lt;="&amp;$A206,実績!$AJ$6:$AJ$505,"&gt;"&amp;$A206,実績!$AL$6:$AL$505,"○")&gt;0,1,0))</f>
        <v>0</v>
      </c>
      <c r="DR206" s="39" t="n">
        <f aca="false">IF(DR$4=0,0,IF(COUNTIFS(実績!$W$6:$W$505,DR$3,実績!$AI$6:$AI$505,"&lt;="&amp;$A206,実績!$AJ$6:$AJ$505,"&gt;"&amp;$A206,実績!$AL$6:$AL$505,"○")&gt;0,1,0))</f>
        <v>0</v>
      </c>
      <c r="DS206" s="39" t="n">
        <f aca="false">SUM(C206:DR206)</f>
        <v>0</v>
      </c>
    </row>
    <row r="207" customFormat="false" ht="15" hidden="false" customHeight="false" outlineLevel="0" collapsed="false">
      <c r="A207" s="0" t="n">
        <v>1005</v>
      </c>
      <c r="B207" s="38" t="n">
        <f aca="false">A207/1440</f>
        <v>0.697916666666667</v>
      </c>
      <c r="C207" s="39" t="n">
        <f aca="false">IF(C$4=0,0,IF(COUNTIFS(実績!$W$6:$W$505,C$3,実績!$AI$6:$AI$505,"&lt;="&amp;$A207,実績!$AJ$6:$AJ$505,"&gt;"&amp;$A207,実績!$AL$6:$AL$505,"○")&gt;0,1,0))</f>
        <v>0</v>
      </c>
      <c r="D207" s="39" t="n">
        <f aca="false">IF(D$4=0,0,IF(COUNTIFS(実績!$W$6:$W$505,D$3,実績!$AI$6:$AI$505,"&lt;="&amp;$A207,実績!$AJ$6:$AJ$505,"&gt;"&amp;$A207,実績!$AL$6:$AL$505,"○")&gt;0,1,0))</f>
        <v>0</v>
      </c>
      <c r="E207" s="39" t="n">
        <f aca="false">IF(E$4=0,0,IF(COUNTIFS(実績!$W$6:$W$505,E$3,実績!$AI$6:$AI$505,"&lt;="&amp;$A207,実績!$AJ$6:$AJ$505,"&gt;"&amp;$A207,実績!$AL$6:$AL$505,"○")&gt;0,1,0))</f>
        <v>0</v>
      </c>
      <c r="F207" s="39" t="n">
        <f aca="false">IF(F$4=0,0,IF(COUNTIFS(実績!$W$6:$W$505,F$3,実績!$AI$6:$AI$505,"&lt;="&amp;$A207,実績!$AJ$6:$AJ$505,"&gt;"&amp;$A207,実績!$AL$6:$AL$505,"○")&gt;0,1,0))</f>
        <v>0</v>
      </c>
      <c r="G207" s="39" t="n">
        <f aca="false">IF(G$4=0,0,IF(COUNTIFS(実績!$W$6:$W$505,G$3,実績!$AI$6:$AI$505,"&lt;="&amp;$A207,実績!$AJ$6:$AJ$505,"&gt;"&amp;$A207,実績!$AL$6:$AL$505,"○")&gt;0,1,0))</f>
        <v>0</v>
      </c>
      <c r="H207" s="39" t="n">
        <f aca="false">IF(H$4=0,0,IF(COUNTIFS(実績!$W$6:$W$505,H$3,実績!$AI$6:$AI$505,"&lt;="&amp;$A207,実績!$AJ$6:$AJ$505,"&gt;"&amp;$A207,実績!$AL$6:$AL$505,"○")&gt;0,1,0))</f>
        <v>0</v>
      </c>
      <c r="I207" s="39" t="n">
        <f aca="false">IF(I$4=0,0,IF(COUNTIFS(実績!$W$6:$W$505,I$3,実績!$AI$6:$AI$505,"&lt;="&amp;$A207,実績!$AJ$6:$AJ$505,"&gt;"&amp;$A207,実績!$AL$6:$AL$505,"○")&gt;0,1,0))</f>
        <v>0</v>
      </c>
      <c r="J207" s="39" t="n">
        <f aca="false">IF(J$4=0,0,IF(COUNTIFS(実績!$W$6:$W$505,J$3,実績!$AI$6:$AI$505,"&lt;="&amp;$A207,実績!$AJ$6:$AJ$505,"&gt;"&amp;$A207,実績!$AL$6:$AL$505,"○")&gt;0,1,0))</f>
        <v>0</v>
      </c>
      <c r="K207" s="39" t="n">
        <f aca="false">IF(K$4=0,0,IF(COUNTIFS(実績!$W$6:$W$505,K$3,実績!$AI$6:$AI$505,"&lt;="&amp;$A207,実績!$AJ$6:$AJ$505,"&gt;"&amp;$A207,実績!$AL$6:$AL$505,"○")&gt;0,1,0))</f>
        <v>0</v>
      </c>
      <c r="L207" s="39" t="n">
        <f aca="false">IF(L$4=0,0,IF(COUNTIFS(実績!$W$6:$W$505,L$3,実績!$AI$6:$AI$505,"&lt;="&amp;$A207,実績!$AJ$6:$AJ$505,"&gt;"&amp;$A207,実績!$AL$6:$AL$505,"○")&gt;0,1,0))</f>
        <v>0</v>
      </c>
      <c r="M207" s="39" t="n">
        <f aca="false">IF(M$4=0,0,IF(COUNTIFS(実績!$W$6:$W$505,M$3,実績!$AI$6:$AI$505,"&lt;="&amp;$A207,実績!$AJ$6:$AJ$505,"&gt;"&amp;$A207,実績!$AL$6:$AL$505,"○")&gt;0,1,0))</f>
        <v>0</v>
      </c>
      <c r="N207" s="39" t="n">
        <f aca="false">IF(N$4=0,0,IF(COUNTIFS(実績!$W$6:$W$505,N$3,実績!$AI$6:$AI$505,"&lt;="&amp;$A207,実績!$AJ$6:$AJ$505,"&gt;"&amp;$A207,実績!$AL$6:$AL$505,"○")&gt;0,1,0))</f>
        <v>0</v>
      </c>
      <c r="O207" s="39" t="n">
        <f aca="false">IF(O$4=0,0,IF(COUNTIFS(実績!$W$6:$W$505,O$3,実績!$AI$6:$AI$505,"&lt;="&amp;$A207,実績!$AJ$6:$AJ$505,"&gt;"&amp;$A207,実績!$AL$6:$AL$505,"○")&gt;0,1,0))</f>
        <v>0</v>
      </c>
      <c r="P207" s="39" t="n">
        <f aca="false">IF(P$4=0,0,IF(COUNTIFS(実績!$W$6:$W$505,P$3,実績!$AI$6:$AI$505,"&lt;="&amp;$A207,実績!$AJ$6:$AJ$505,"&gt;"&amp;$A207,実績!$AL$6:$AL$505,"○")&gt;0,1,0))</f>
        <v>0</v>
      </c>
      <c r="Q207" s="39" t="n">
        <f aca="false">IF(Q$4=0,0,IF(COUNTIFS(実績!$W$6:$W$505,Q$3,実績!$AI$6:$AI$505,"&lt;="&amp;$A207,実績!$AJ$6:$AJ$505,"&gt;"&amp;$A207,実績!$AL$6:$AL$505,"○")&gt;0,1,0))</f>
        <v>0</v>
      </c>
      <c r="R207" s="39" t="n">
        <f aca="false">IF(R$4=0,0,IF(COUNTIFS(実績!$W$6:$W$505,R$3,実績!$AI$6:$AI$505,"&lt;="&amp;$A207,実績!$AJ$6:$AJ$505,"&gt;"&amp;$A207,実績!$AL$6:$AL$505,"○")&gt;0,1,0))</f>
        <v>0</v>
      </c>
      <c r="S207" s="39" t="n">
        <f aca="false">IF(S$4=0,0,IF(COUNTIFS(実績!$W$6:$W$505,S$3,実績!$AI$6:$AI$505,"&lt;="&amp;$A207,実績!$AJ$6:$AJ$505,"&gt;"&amp;$A207,実績!$AL$6:$AL$505,"○")&gt;0,1,0))</f>
        <v>0</v>
      </c>
      <c r="T207" s="39" t="n">
        <f aca="false">IF(T$4=0,0,IF(COUNTIFS(実績!$W$6:$W$505,T$3,実績!$AI$6:$AI$505,"&lt;="&amp;$A207,実績!$AJ$6:$AJ$505,"&gt;"&amp;$A207,実績!$AL$6:$AL$505,"○")&gt;0,1,0))</f>
        <v>0</v>
      </c>
      <c r="U207" s="39" t="n">
        <f aca="false">IF(U$4=0,0,IF(COUNTIFS(実績!$W$6:$W$505,U$3,実績!$AI$6:$AI$505,"&lt;="&amp;$A207,実績!$AJ$6:$AJ$505,"&gt;"&amp;$A207,実績!$AL$6:$AL$505,"○")&gt;0,1,0))</f>
        <v>0</v>
      </c>
      <c r="V207" s="39" t="n">
        <f aca="false">IF(V$4=0,0,IF(COUNTIFS(実績!$W$6:$W$505,V$3,実績!$AI$6:$AI$505,"&lt;="&amp;$A207,実績!$AJ$6:$AJ$505,"&gt;"&amp;$A207,実績!$AL$6:$AL$505,"○")&gt;0,1,0))</f>
        <v>0</v>
      </c>
      <c r="W207" s="39" t="n">
        <f aca="false">IF(W$4=0,0,IF(COUNTIFS(実績!$W$6:$W$505,W$3,実績!$AI$6:$AI$505,"&lt;="&amp;$A207,実績!$AJ$6:$AJ$505,"&gt;"&amp;$A207,実績!$AL$6:$AL$505,"○")&gt;0,1,0))</f>
        <v>0</v>
      </c>
      <c r="X207" s="39" t="n">
        <f aca="false">IF(X$4=0,0,IF(COUNTIFS(実績!$W$6:$W$505,X$3,実績!$AI$6:$AI$505,"&lt;="&amp;$A207,実績!$AJ$6:$AJ$505,"&gt;"&amp;$A207,実績!$AL$6:$AL$505,"○")&gt;0,1,0))</f>
        <v>0</v>
      </c>
      <c r="Y207" s="39" t="n">
        <f aca="false">IF(Y$4=0,0,IF(COUNTIFS(実績!$W$6:$W$505,Y$3,実績!$AI$6:$AI$505,"&lt;="&amp;$A207,実績!$AJ$6:$AJ$505,"&gt;"&amp;$A207,実績!$AL$6:$AL$505,"○")&gt;0,1,0))</f>
        <v>0</v>
      </c>
      <c r="Z207" s="39" t="n">
        <f aca="false">IF(Z$4=0,0,IF(COUNTIFS(実績!$W$6:$W$505,Z$3,実績!$AI$6:$AI$505,"&lt;="&amp;$A207,実績!$AJ$6:$AJ$505,"&gt;"&amp;$A207,実績!$AL$6:$AL$505,"○")&gt;0,1,0))</f>
        <v>0</v>
      </c>
      <c r="AA207" s="39" t="n">
        <f aca="false">IF(AA$4=0,0,IF(COUNTIFS(実績!$W$6:$W$505,AA$3,実績!$AI$6:$AI$505,"&lt;="&amp;$A207,実績!$AJ$6:$AJ$505,"&gt;"&amp;$A207,実績!$AL$6:$AL$505,"○")&gt;0,1,0))</f>
        <v>0</v>
      </c>
      <c r="AB207" s="39" t="n">
        <f aca="false">IF(AB$4=0,0,IF(COUNTIFS(実績!$W$6:$W$505,AB$3,実績!$AI$6:$AI$505,"&lt;="&amp;$A207,実績!$AJ$6:$AJ$505,"&gt;"&amp;$A207,実績!$AL$6:$AL$505,"○")&gt;0,1,0))</f>
        <v>0</v>
      </c>
      <c r="AC207" s="39" t="n">
        <f aca="false">IF(AC$4=0,0,IF(COUNTIFS(実績!$W$6:$W$505,AC$3,実績!$AI$6:$AI$505,"&lt;="&amp;$A207,実績!$AJ$6:$AJ$505,"&gt;"&amp;$A207,実績!$AL$6:$AL$505,"○")&gt;0,1,0))</f>
        <v>0</v>
      </c>
      <c r="AD207" s="39" t="n">
        <f aca="false">IF(AD$4=0,0,IF(COUNTIFS(実績!$W$6:$W$505,AD$3,実績!$AI$6:$AI$505,"&lt;="&amp;$A207,実績!$AJ$6:$AJ$505,"&gt;"&amp;$A207,実績!$AL$6:$AL$505,"○")&gt;0,1,0))</f>
        <v>0</v>
      </c>
      <c r="AE207" s="39" t="n">
        <f aca="false">IF(AE$4=0,0,IF(COUNTIFS(実績!$W$6:$W$505,AE$3,実績!$AI$6:$AI$505,"&lt;="&amp;$A207,実績!$AJ$6:$AJ$505,"&gt;"&amp;$A207,実績!$AL$6:$AL$505,"○")&gt;0,1,0))</f>
        <v>0</v>
      </c>
      <c r="AF207" s="39" t="n">
        <f aca="false">IF(AF$4=0,0,IF(COUNTIFS(実績!$W$6:$W$505,AF$3,実績!$AI$6:$AI$505,"&lt;="&amp;$A207,実績!$AJ$6:$AJ$505,"&gt;"&amp;$A207,実績!$AL$6:$AL$505,"○")&gt;0,1,0))</f>
        <v>0</v>
      </c>
      <c r="AG207" s="39" t="n">
        <f aca="false">IF(AG$4=0,0,IF(COUNTIFS(実績!$W$6:$W$505,AG$3,実績!$AI$6:$AI$505,"&lt;="&amp;$A207,実績!$AJ$6:$AJ$505,"&gt;"&amp;$A207,実績!$AL$6:$AL$505,"○")&gt;0,1,0))</f>
        <v>0</v>
      </c>
      <c r="AH207" s="39" t="n">
        <f aca="false">IF(AH$4=0,0,IF(COUNTIFS(実績!$W$6:$W$505,AH$3,実績!$AI$6:$AI$505,"&lt;="&amp;$A207,実績!$AJ$6:$AJ$505,"&gt;"&amp;$A207,実績!$AL$6:$AL$505,"○")&gt;0,1,0))</f>
        <v>0</v>
      </c>
      <c r="AI207" s="39" t="n">
        <f aca="false">IF(AI$4=0,0,IF(COUNTIFS(実績!$W$6:$W$505,AI$3,実績!$AI$6:$AI$505,"&lt;="&amp;$A207,実績!$AJ$6:$AJ$505,"&gt;"&amp;$A207,実績!$AL$6:$AL$505,"○")&gt;0,1,0))</f>
        <v>0</v>
      </c>
      <c r="AJ207" s="39" t="n">
        <f aca="false">IF(AJ$4=0,0,IF(COUNTIFS(実績!$W$6:$W$505,AJ$3,実績!$AI$6:$AI$505,"&lt;="&amp;$A207,実績!$AJ$6:$AJ$505,"&gt;"&amp;$A207,実績!$AL$6:$AL$505,"○")&gt;0,1,0))</f>
        <v>0</v>
      </c>
      <c r="AK207" s="39" t="n">
        <f aca="false">IF(AK$4=0,0,IF(COUNTIFS(実績!$W$6:$W$505,AK$3,実績!$AI$6:$AI$505,"&lt;="&amp;$A207,実績!$AJ$6:$AJ$505,"&gt;"&amp;$A207,実績!$AL$6:$AL$505,"○")&gt;0,1,0))</f>
        <v>0</v>
      </c>
      <c r="AL207" s="39" t="n">
        <f aca="false">IF(AL$4=0,0,IF(COUNTIFS(実績!$W$6:$W$505,AL$3,実績!$AI$6:$AI$505,"&lt;="&amp;$A207,実績!$AJ$6:$AJ$505,"&gt;"&amp;$A207,実績!$AL$6:$AL$505,"○")&gt;0,1,0))</f>
        <v>0</v>
      </c>
      <c r="AM207" s="39" t="n">
        <f aca="false">IF(AM$4=0,0,IF(COUNTIFS(実績!$W$6:$W$505,AM$3,実績!$AI$6:$AI$505,"&lt;="&amp;$A207,実績!$AJ$6:$AJ$505,"&gt;"&amp;$A207,実績!$AL$6:$AL$505,"○")&gt;0,1,0))</f>
        <v>0</v>
      </c>
      <c r="AN207" s="39" t="n">
        <f aca="false">IF(AN$4=0,0,IF(COUNTIFS(実績!$W$6:$W$505,AN$3,実績!$AI$6:$AI$505,"&lt;="&amp;$A207,実績!$AJ$6:$AJ$505,"&gt;"&amp;$A207,実績!$AL$6:$AL$505,"○")&gt;0,1,0))</f>
        <v>0</v>
      </c>
      <c r="AO207" s="39" t="n">
        <f aca="false">IF(AO$4=0,0,IF(COUNTIFS(実績!$W$6:$W$505,AO$3,実績!$AI$6:$AI$505,"&lt;="&amp;$A207,実績!$AJ$6:$AJ$505,"&gt;"&amp;$A207,実績!$AL$6:$AL$505,"○")&gt;0,1,0))</f>
        <v>0</v>
      </c>
      <c r="AP207" s="39" t="n">
        <f aca="false">IF(AP$4=0,0,IF(COUNTIFS(実績!$W$6:$W$505,AP$3,実績!$AI$6:$AI$505,"&lt;="&amp;$A207,実績!$AJ$6:$AJ$505,"&gt;"&amp;$A207,実績!$AL$6:$AL$505,"○")&gt;0,1,0))</f>
        <v>0</v>
      </c>
      <c r="AQ207" s="39" t="n">
        <f aca="false">IF(AQ$4=0,0,IF(COUNTIFS(実績!$W$6:$W$505,AQ$3,実績!$AI$6:$AI$505,"&lt;="&amp;$A207,実績!$AJ$6:$AJ$505,"&gt;"&amp;$A207,実績!$AL$6:$AL$505,"○")&gt;0,1,0))</f>
        <v>0</v>
      </c>
      <c r="AR207" s="39" t="n">
        <f aca="false">IF(AR$4=0,0,IF(COUNTIFS(実績!$W$6:$W$505,AR$3,実績!$AI$6:$AI$505,"&lt;="&amp;$A207,実績!$AJ$6:$AJ$505,"&gt;"&amp;$A207,実績!$AL$6:$AL$505,"○")&gt;0,1,0))</f>
        <v>0</v>
      </c>
      <c r="AS207" s="39" t="n">
        <f aca="false">IF(AS$4=0,0,IF(COUNTIFS(実績!$W$6:$W$505,AS$3,実績!$AI$6:$AI$505,"&lt;="&amp;$A207,実績!$AJ$6:$AJ$505,"&gt;"&amp;$A207,実績!$AL$6:$AL$505,"○")&gt;0,1,0))</f>
        <v>0</v>
      </c>
      <c r="AT207" s="39" t="n">
        <f aca="false">IF(AT$4=0,0,IF(COUNTIFS(実績!$W$6:$W$505,AT$3,実績!$AI$6:$AI$505,"&lt;="&amp;$A207,実績!$AJ$6:$AJ$505,"&gt;"&amp;$A207,実績!$AL$6:$AL$505,"○")&gt;0,1,0))</f>
        <v>0</v>
      </c>
      <c r="AU207" s="39" t="n">
        <f aca="false">IF(AU$4=0,0,IF(COUNTIFS(実績!$W$6:$W$505,AU$3,実績!$AI$6:$AI$505,"&lt;="&amp;$A207,実績!$AJ$6:$AJ$505,"&gt;"&amp;$A207,実績!$AL$6:$AL$505,"○")&gt;0,1,0))</f>
        <v>0</v>
      </c>
      <c r="AV207" s="39" t="n">
        <f aca="false">IF(AV$4=0,0,IF(COUNTIFS(実績!$W$6:$W$505,AV$3,実績!$AI$6:$AI$505,"&lt;="&amp;$A207,実績!$AJ$6:$AJ$505,"&gt;"&amp;$A207,実績!$AL$6:$AL$505,"○")&gt;0,1,0))</f>
        <v>0</v>
      </c>
      <c r="AW207" s="39" t="n">
        <f aca="false">IF(AW$4=0,0,IF(COUNTIFS(実績!$W$6:$W$505,AW$3,実績!$AI$6:$AI$505,"&lt;="&amp;$A207,実績!$AJ$6:$AJ$505,"&gt;"&amp;$A207,実績!$AL$6:$AL$505,"○")&gt;0,1,0))</f>
        <v>0</v>
      </c>
      <c r="AX207" s="39" t="n">
        <f aca="false">IF(AX$4=0,0,IF(COUNTIFS(実績!$W$6:$W$505,AX$3,実績!$AI$6:$AI$505,"&lt;="&amp;$A207,実績!$AJ$6:$AJ$505,"&gt;"&amp;$A207,実績!$AL$6:$AL$505,"○")&gt;0,1,0))</f>
        <v>0</v>
      </c>
      <c r="AY207" s="39" t="n">
        <f aca="false">IF(AY$4=0,0,IF(COUNTIFS(実績!$W$6:$W$505,AY$3,実績!$AI$6:$AI$505,"&lt;="&amp;$A207,実績!$AJ$6:$AJ$505,"&gt;"&amp;$A207,実績!$AL$6:$AL$505,"○")&gt;0,1,0))</f>
        <v>0</v>
      </c>
      <c r="AZ207" s="39" t="n">
        <f aca="false">IF(AZ$4=0,0,IF(COUNTIFS(実績!$W$6:$W$505,AZ$3,実績!$AI$6:$AI$505,"&lt;="&amp;$A207,実績!$AJ$6:$AJ$505,"&gt;"&amp;$A207,実績!$AL$6:$AL$505,"○")&gt;0,1,0))</f>
        <v>0</v>
      </c>
      <c r="BA207" s="39" t="n">
        <f aca="false">IF(BA$4=0,0,IF(COUNTIFS(実績!$W$6:$W$505,BA$3,実績!$AI$6:$AI$505,"&lt;="&amp;$A207,実績!$AJ$6:$AJ$505,"&gt;"&amp;$A207,実績!$AL$6:$AL$505,"○")&gt;0,1,0))</f>
        <v>0</v>
      </c>
      <c r="BB207" s="39" t="n">
        <f aca="false">IF(BB$4=0,0,IF(COUNTIFS(実績!$W$6:$W$505,BB$3,実績!$AI$6:$AI$505,"&lt;="&amp;$A207,実績!$AJ$6:$AJ$505,"&gt;"&amp;$A207,実績!$AL$6:$AL$505,"○")&gt;0,1,0))</f>
        <v>0</v>
      </c>
      <c r="BC207" s="39" t="n">
        <f aca="false">IF(BC$4=0,0,IF(COUNTIFS(実績!$W$6:$W$505,BC$3,実績!$AI$6:$AI$505,"&lt;="&amp;$A207,実績!$AJ$6:$AJ$505,"&gt;"&amp;$A207,実績!$AL$6:$AL$505,"○")&gt;0,1,0))</f>
        <v>0</v>
      </c>
      <c r="BD207" s="39" t="n">
        <f aca="false">IF(BD$4=0,0,IF(COUNTIFS(実績!$W$6:$W$505,BD$3,実績!$AI$6:$AI$505,"&lt;="&amp;$A207,実績!$AJ$6:$AJ$505,"&gt;"&amp;$A207,実績!$AL$6:$AL$505,"○")&gt;0,1,0))</f>
        <v>0</v>
      </c>
      <c r="BE207" s="39" t="n">
        <f aca="false">IF(BE$4=0,0,IF(COUNTIFS(実績!$W$6:$W$505,BE$3,実績!$AI$6:$AI$505,"&lt;="&amp;$A207,実績!$AJ$6:$AJ$505,"&gt;"&amp;$A207,実績!$AL$6:$AL$505,"○")&gt;0,1,0))</f>
        <v>0</v>
      </c>
      <c r="BF207" s="39" t="n">
        <f aca="false">IF(BF$4=0,0,IF(COUNTIFS(実績!$W$6:$W$505,BF$3,実績!$AI$6:$AI$505,"&lt;="&amp;$A207,実績!$AJ$6:$AJ$505,"&gt;"&amp;$A207,実績!$AL$6:$AL$505,"○")&gt;0,1,0))</f>
        <v>0</v>
      </c>
      <c r="BG207" s="39" t="n">
        <f aca="false">IF(BG$4=0,0,IF(COUNTIFS(実績!$W$6:$W$505,BG$3,実績!$AI$6:$AI$505,"&lt;="&amp;$A207,実績!$AJ$6:$AJ$505,"&gt;"&amp;$A207,実績!$AL$6:$AL$505,"○")&gt;0,1,0))</f>
        <v>0</v>
      </c>
      <c r="BH207" s="39" t="n">
        <f aca="false">IF(BH$4=0,0,IF(COUNTIFS(実績!$W$6:$W$505,BH$3,実績!$AI$6:$AI$505,"&lt;="&amp;$A207,実績!$AJ$6:$AJ$505,"&gt;"&amp;$A207,実績!$AL$6:$AL$505,"○")&gt;0,1,0))</f>
        <v>0</v>
      </c>
      <c r="BI207" s="39" t="n">
        <f aca="false">IF(BI$4=0,0,IF(COUNTIFS(実績!$W$6:$W$505,BI$3,実績!$AI$6:$AI$505,"&lt;="&amp;$A207,実績!$AJ$6:$AJ$505,"&gt;"&amp;$A207,実績!$AL$6:$AL$505,"○")&gt;0,1,0))</f>
        <v>0</v>
      </c>
      <c r="BJ207" s="39" t="n">
        <f aca="false">IF(BJ$4=0,0,IF(COUNTIFS(実績!$W$6:$W$505,BJ$3,実績!$AI$6:$AI$505,"&lt;="&amp;$A207,実績!$AJ$6:$AJ$505,"&gt;"&amp;$A207,実績!$AL$6:$AL$505,"○")&gt;0,1,0))</f>
        <v>0</v>
      </c>
      <c r="BK207" s="39" t="n">
        <f aca="false">IF(BK$4=0,0,IF(COUNTIFS(実績!$W$6:$W$505,BK$3,実績!$AI$6:$AI$505,"&lt;="&amp;$A207,実績!$AJ$6:$AJ$505,"&gt;"&amp;$A207,実績!$AL$6:$AL$505,"○")&gt;0,1,0))</f>
        <v>0</v>
      </c>
      <c r="BL207" s="39" t="n">
        <f aca="false">IF(BL$4=0,0,IF(COUNTIFS(実績!$W$6:$W$505,BL$3,実績!$AI$6:$AI$505,"&lt;="&amp;$A207,実績!$AJ$6:$AJ$505,"&gt;"&amp;$A207,実績!$AL$6:$AL$505,"○")&gt;0,1,0))</f>
        <v>0</v>
      </c>
      <c r="BM207" s="39" t="n">
        <f aca="false">IF(BM$4=0,0,IF(COUNTIFS(実績!$W$6:$W$505,BM$3,実績!$AI$6:$AI$505,"&lt;="&amp;$A207,実績!$AJ$6:$AJ$505,"&gt;"&amp;$A207,実績!$AL$6:$AL$505,"○")&gt;0,1,0))</f>
        <v>0</v>
      </c>
      <c r="BN207" s="39" t="n">
        <f aca="false">IF(BN$4=0,0,IF(COUNTIFS(実績!$W$6:$W$505,BN$3,実績!$AI$6:$AI$505,"&lt;="&amp;$A207,実績!$AJ$6:$AJ$505,"&gt;"&amp;$A207,実績!$AL$6:$AL$505,"○")&gt;0,1,0))</f>
        <v>0</v>
      </c>
      <c r="BO207" s="39" t="n">
        <f aca="false">IF(BO$4=0,0,IF(COUNTIFS(実績!$W$6:$W$505,BO$3,実績!$AI$6:$AI$505,"&lt;="&amp;$A207,実績!$AJ$6:$AJ$505,"&gt;"&amp;$A207,実績!$AL$6:$AL$505,"○")&gt;0,1,0))</f>
        <v>0</v>
      </c>
      <c r="BP207" s="39" t="n">
        <f aca="false">IF(BP$4=0,0,IF(COUNTIFS(実績!$W$6:$W$505,BP$3,実績!$AI$6:$AI$505,"&lt;="&amp;$A207,実績!$AJ$6:$AJ$505,"&gt;"&amp;$A207,実績!$AL$6:$AL$505,"○")&gt;0,1,0))</f>
        <v>0</v>
      </c>
      <c r="BQ207" s="39" t="n">
        <f aca="false">IF(BQ$4=0,0,IF(COUNTIFS(実績!$W$6:$W$505,BQ$3,実績!$AI$6:$AI$505,"&lt;="&amp;$A207,実績!$AJ$6:$AJ$505,"&gt;"&amp;$A207,実績!$AL$6:$AL$505,"○")&gt;0,1,0))</f>
        <v>0</v>
      </c>
      <c r="BR207" s="39" t="n">
        <f aca="false">IF(BR$4=0,0,IF(COUNTIFS(実績!$W$6:$W$505,BR$3,実績!$AI$6:$AI$505,"&lt;="&amp;$A207,実績!$AJ$6:$AJ$505,"&gt;"&amp;$A207,実績!$AL$6:$AL$505,"○")&gt;0,1,0))</f>
        <v>0</v>
      </c>
      <c r="BS207" s="39" t="n">
        <f aca="false">IF(BS$4=0,0,IF(COUNTIFS(実績!$W$6:$W$505,BS$3,実績!$AI$6:$AI$505,"&lt;="&amp;$A207,実績!$AJ$6:$AJ$505,"&gt;"&amp;$A207,実績!$AL$6:$AL$505,"○")&gt;0,1,0))</f>
        <v>0</v>
      </c>
      <c r="BT207" s="39" t="n">
        <f aca="false">IF(BT$4=0,0,IF(COUNTIFS(実績!$W$6:$W$505,BT$3,実績!$AI$6:$AI$505,"&lt;="&amp;$A207,実績!$AJ$6:$AJ$505,"&gt;"&amp;$A207,実績!$AL$6:$AL$505,"○")&gt;0,1,0))</f>
        <v>0</v>
      </c>
      <c r="BU207" s="39" t="n">
        <f aca="false">IF(BU$4=0,0,IF(COUNTIFS(実績!$W$6:$W$505,BU$3,実績!$AI$6:$AI$505,"&lt;="&amp;$A207,実績!$AJ$6:$AJ$505,"&gt;"&amp;$A207,実績!$AL$6:$AL$505,"○")&gt;0,1,0))</f>
        <v>0</v>
      </c>
      <c r="BV207" s="39" t="n">
        <f aca="false">IF(BV$4=0,0,IF(COUNTIFS(実績!$W$6:$W$505,BV$3,実績!$AI$6:$AI$505,"&lt;="&amp;$A207,実績!$AJ$6:$AJ$505,"&gt;"&amp;$A207,実績!$AL$6:$AL$505,"○")&gt;0,1,0))</f>
        <v>0</v>
      </c>
      <c r="BW207" s="39" t="n">
        <f aca="false">IF(BW$4=0,0,IF(COUNTIFS(実績!$W$6:$W$505,BW$3,実績!$AI$6:$AI$505,"&lt;="&amp;$A207,実績!$AJ$6:$AJ$505,"&gt;"&amp;$A207,実績!$AL$6:$AL$505,"○")&gt;0,1,0))</f>
        <v>0</v>
      </c>
      <c r="BX207" s="39" t="n">
        <f aca="false">IF(BX$4=0,0,IF(COUNTIFS(実績!$W$6:$W$505,BX$3,実績!$AI$6:$AI$505,"&lt;="&amp;$A207,実績!$AJ$6:$AJ$505,"&gt;"&amp;$A207,実績!$AL$6:$AL$505,"○")&gt;0,1,0))</f>
        <v>0</v>
      </c>
      <c r="BY207" s="39" t="n">
        <f aca="false">IF(BY$4=0,0,IF(COUNTIFS(実績!$W$6:$W$505,BY$3,実績!$AI$6:$AI$505,"&lt;="&amp;$A207,実績!$AJ$6:$AJ$505,"&gt;"&amp;$A207,実績!$AL$6:$AL$505,"○")&gt;0,1,0))</f>
        <v>0</v>
      </c>
      <c r="BZ207" s="39" t="n">
        <f aca="false">IF(BZ$4=0,0,IF(COUNTIFS(実績!$W$6:$W$505,BZ$3,実績!$AI$6:$AI$505,"&lt;="&amp;$A207,実績!$AJ$6:$AJ$505,"&gt;"&amp;$A207,実績!$AL$6:$AL$505,"○")&gt;0,1,0))</f>
        <v>0</v>
      </c>
      <c r="CA207" s="39" t="n">
        <f aca="false">IF(CA$4=0,0,IF(COUNTIFS(実績!$W$6:$W$505,CA$3,実績!$AI$6:$AI$505,"&lt;="&amp;$A207,実績!$AJ$6:$AJ$505,"&gt;"&amp;$A207,実績!$AL$6:$AL$505,"○")&gt;0,1,0))</f>
        <v>0</v>
      </c>
      <c r="CB207" s="39" t="n">
        <f aca="false">IF(CB$4=0,0,IF(COUNTIFS(実績!$W$6:$W$505,CB$3,実績!$AI$6:$AI$505,"&lt;="&amp;$A207,実績!$AJ$6:$AJ$505,"&gt;"&amp;$A207,実績!$AL$6:$AL$505,"○")&gt;0,1,0))</f>
        <v>0</v>
      </c>
      <c r="CC207" s="39" t="n">
        <f aca="false">IF(CC$4=0,0,IF(COUNTIFS(実績!$W$6:$W$505,CC$3,実績!$AI$6:$AI$505,"&lt;="&amp;$A207,実績!$AJ$6:$AJ$505,"&gt;"&amp;$A207,実績!$AL$6:$AL$505,"○")&gt;0,1,0))</f>
        <v>0</v>
      </c>
      <c r="CD207" s="39" t="n">
        <f aca="false">IF(CD$4=0,0,IF(COUNTIFS(実績!$W$6:$W$505,CD$3,実績!$AI$6:$AI$505,"&lt;="&amp;$A207,実績!$AJ$6:$AJ$505,"&gt;"&amp;$A207,実績!$AL$6:$AL$505,"○")&gt;0,1,0))</f>
        <v>0</v>
      </c>
      <c r="CE207" s="39" t="n">
        <f aca="false">IF(CE$4=0,0,IF(COUNTIFS(実績!$W$6:$W$505,CE$3,実績!$AI$6:$AI$505,"&lt;="&amp;$A207,実績!$AJ$6:$AJ$505,"&gt;"&amp;$A207,実績!$AL$6:$AL$505,"○")&gt;0,1,0))</f>
        <v>0</v>
      </c>
      <c r="CF207" s="39" t="n">
        <f aca="false">IF(CF$4=0,0,IF(COUNTIFS(実績!$W$6:$W$505,CF$3,実績!$AI$6:$AI$505,"&lt;="&amp;$A207,実績!$AJ$6:$AJ$505,"&gt;"&amp;$A207,実績!$AL$6:$AL$505,"○")&gt;0,1,0))</f>
        <v>0</v>
      </c>
      <c r="CG207" s="39" t="n">
        <f aca="false">IF(CG$4=0,0,IF(COUNTIFS(実績!$W$6:$W$505,CG$3,実績!$AI$6:$AI$505,"&lt;="&amp;$A207,実績!$AJ$6:$AJ$505,"&gt;"&amp;$A207,実績!$AL$6:$AL$505,"○")&gt;0,1,0))</f>
        <v>0</v>
      </c>
      <c r="CH207" s="39" t="n">
        <f aca="false">IF(CH$4=0,0,IF(COUNTIFS(実績!$W$6:$W$505,CH$3,実績!$AI$6:$AI$505,"&lt;="&amp;$A207,実績!$AJ$6:$AJ$505,"&gt;"&amp;$A207,実績!$AL$6:$AL$505,"○")&gt;0,1,0))</f>
        <v>0</v>
      </c>
      <c r="CI207" s="39" t="n">
        <f aca="false">IF(CI$4=0,0,IF(COUNTIFS(実績!$W$6:$W$505,CI$3,実績!$AI$6:$AI$505,"&lt;="&amp;$A207,実績!$AJ$6:$AJ$505,"&gt;"&amp;$A207,実績!$AL$6:$AL$505,"○")&gt;0,1,0))</f>
        <v>0</v>
      </c>
      <c r="CJ207" s="39" t="n">
        <f aca="false">IF(CJ$4=0,0,IF(COUNTIFS(実績!$W$6:$W$505,CJ$3,実績!$AI$6:$AI$505,"&lt;="&amp;$A207,実績!$AJ$6:$AJ$505,"&gt;"&amp;$A207,実績!$AL$6:$AL$505,"○")&gt;0,1,0))</f>
        <v>0</v>
      </c>
      <c r="CK207" s="39" t="n">
        <f aca="false">IF(CK$4=0,0,IF(COUNTIFS(実績!$W$6:$W$505,CK$3,実績!$AI$6:$AI$505,"&lt;="&amp;$A207,実績!$AJ$6:$AJ$505,"&gt;"&amp;$A207,実績!$AL$6:$AL$505,"○")&gt;0,1,0))</f>
        <v>0</v>
      </c>
      <c r="CL207" s="39" t="n">
        <f aca="false">IF(CL$4=0,0,IF(COUNTIFS(実績!$W$6:$W$505,CL$3,実績!$AI$6:$AI$505,"&lt;="&amp;$A207,実績!$AJ$6:$AJ$505,"&gt;"&amp;$A207,実績!$AL$6:$AL$505,"○")&gt;0,1,0))</f>
        <v>0</v>
      </c>
      <c r="CM207" s="39" t="n">
        <f aca="false">IF(CM$4=0,0,IF(COUNTIFS(実績!$W$6:$W$505,CM$3,実績!$AI$6:$AI$505,"&lt;="&amp;$A207,実績!$AJ$6:$AJ$505,"&gt;"&amp;$A207,実績!$AL$6:$AL$505,"○")&gt;0,1,0))</f>
        <v>0</v>
      </c>
      <c r="CN207" s="39" t="n">
        <f aca="false">IF(CN$4=0,0,IF(COUNTIFS(実績!$W$6:$W$505,CN$3,実績!$AI$6:$AI$505,"&lt;="&amp;$A207,実績!$AJ$6:$AJ$505,"&gt;"&amp;$A207,実績!$AL$6:$AL$505,"○")&gt;0,1,0))</f>
        <v>0</v>
      </c>
      <c r="CO207" s="39" t="n">
        <f aca="false">IF(CO$4=0,0,IF(COUNTIFS(実績!$W$6:$W$505,CO$3,実績!$AI$6:$AI$505,"&lt;="&amp;$A207,実績!$AJ$6:$AJ$505,"&gt;"&amp;$A207,実績!$AL$6:$AL$505,"○")&gt;0,1,0))</f>
        <v>0</v>
      </c>
      <c r="CP207" s="39" t="n">
        <f aca="false">IF(CP$4=0,0,IF(COUNTIFS(実績!$W$6:$W$505,CP$3,実績!$AI$6:$AI$505,"&lt;="&amp;$A207,実績!$AJ$6:$AJ$505,"&gt;"&amp;$A207,実績!$AL$6:$AL$505,"○")&gt;0,1,0))</f>
        <v>0</v>
      </c>
      <c r="CQ207" s="39" t="n">
        <f aca="false">IF(CQ$4=0,0,IF(COUNTIFS(実績!$W$6:$W$505,CQ$3,実績!$AI$6:$AI$505,"&lt;="&amp;$A207,実績!$AJ$6:$AJ$505,"&gt;"&amp;$A207,実績!$AL$6:$AL$505,"○")&gt;0,1,0))</f>
        <v>0</v>
      </c>
      <c r="CR207" s="39" t="n">
        <f aca="false">IF(CR$4=0,0,IF(COUNTIFS(実績!$W$6:$W$505,CR$3,実績!$AI$6:$AI$505,"&lt;="&amp;$A207,実績!$AJ$6:$AJ$505,"&gt;"&amp;$A207,実績!$AL$6:$AL$505,"○")&gt;0,1,0))</f>
        <v>0</v>
      </c>
      <c r="CS207" s="39" t="n">
        <f aca="false">IF(CS$4=0,0,IF(COUNTIFS(実績!$W$6:$W$505,CS$3,実績!$AI$6:$AI$505,"&lt;="&amp;$A207,実績!$AJ$6:$AJ$505,"&gt;"&amp;$A207,実績!$AL$6:$AL$505,"○")&gt;0,1,0))</f>
        <v>0</v>
      </c>
      <c r="CT207" s="39" t="n">
        <f aca="false">IF(CT$4=0,0,IF(COUNTIFS(実績!$W$6:$W$505,CT$3,実績!$AI$6:$AI$505,"&lt;="&amp;$A207,実績!$AJ$6:$AJ$505,"&gt;"&amp;$A207,実績!$AL$6:$AL$505,"○")&gt;0,1,0))</f>
        <v>0</v>
      </c>
      <c r="CU207" s="39" t="n">
        <f aca="false">IF(CU$4=0,0,IF(COUNTIFS(実績!$W$6:$W$505,CU$3,実績!$AI$6:$AI$505,"&lt;="&amp;$A207,実績!$AJ$6:$AJ$505,"&gt;"&amp;$A207,実績!$AL$6:$AL$505,"○")&gt;0,1,0))</f>
        <v>0</v>
      </c>
      <c r="CV207" s="39" t="n">
        <f aca="false">IF(CV$4=0,0,IF(COUNTIFS(実績!$W$6:$W$505,CV$3,実績!$AI$6:$AI$505,"&lt;="&amp;$A207,実績!$AJ$6:$AJ$505,"&gt;"&amp;$A207,実績!$AL$6:$AL$505,"○")&gt;0,1,0))</f>
        <v>0</v>
      </c>
      <c r="CW207" s="39" t="n">
        <f aca="false">IF(CW$4=0,0,IF(COUNTIFS(実績!$W$6:$W$505,CW$3,実績!$AI$6:$AI$505,"&lt;="&amp;$A207,実績!$AJ$6:$AJ$505,"&gt;"&amp;$A207,実績!$AL$6:$AL$505,"○")&gt;0,1,0))</f>
        <v>0</v>
      </c>
      <c r="CX207" s="39" t="n">
        <f aca="false">IF(CX$4=0,0,IF(COUNTIFS(実績!$W$6:$W$505,CX$3,実績!$AI$6:$AI$505,"&lt;="&amp;$A207,実績!$AJ$6:$AJ$505,"&gt;"&amp;$A207,実績!$AL$6:$AL$505,"○")&gt;0,1,0))</f>
        <v>0</v>
      </c>
      <c r="CY207" s="39" t="n">
        <f aca="false">IF(CY$4=0,0,IF(COUNTIFS(実績!$W$6:$W$505,CY$3,実績!$AI$6:$AI$505,"&lt;="&amp;$A207,実績!$AJ$6:$AJ$505,"&gt;"&amp;$A207,実績!$AL$6:$AL$505,"○")&gt;0,1,0))</f>
        <v>0</v>
      </c>
      <c r="CZ207" s="39" t="n">
        <f aca="false">IF(CZ$4=0,0,IF(COUNTIFS(実績!$W$6:$W$505,CZ$3,実績!$AI$6:$AI$505,"&lt;="&amp;$A207,実績!$AJ$6:$AJ$505,"&gt;"&amp;$A207,実績!$AL$6:$AL$505,"○")&gt;0,1,0))</f>
        <v>0</v>
      </c>
      <c r="DA207" s="39" t="n">
        <f aca="false">IF(DA$4=0,0,IF(COUNTIFS(実績!$W$6:$W$505,DA$3,実績!$AI$6:$AI$505,"&lt;="&amp;$A207,実績!$AJ$6:$AJ$505,"&gt;"&amp;$A207,実績!$AL$6:$AL$505,"○")&gt;0,1,0))</f>
        <v>0</v>
      </c>
      <c r="DB207" s="39" t="n">
        <f aca="false">IF(DB$4=0,0,IF(COUNTIFS(実績!$W$6:$W$505,DB$3,実績!$AI$6:$AI$505,"&lt;="&amp;$A207,実績!$AJ$6:$AJ$505,"&gt;"&amp;$A207,実績!$AL$6:$AL$505,"○")&gt;0,1,0))</f>
        <v>0</v>
      </c>
      <c r="DC207" s="39" t="n">
        <f aca="false">IF(DC$4=0,0,IF(COUNTIFS(実績!$W$6:$W$505,DC$3,実績!$AI$6:$AI$505,"&lt;="&amp;$A207,実績!$AJ$6:$AJ$505,"&gt;"&amp;$A207,実績!$AL$6:$AL$505,"○")&gt;0,1,0))</f>
        <v>0</v>
      </c>
      <c r="DD207" s="39" t="n">
        <f aca="false">IF(DD$4=0,0,IF(COUNTIFS(実績!$W$6:$W$505,DD$3,実績!$AI$6:$AI$505,"&lt;="&amp;$A207,実績!$AJ$6:$AJ$505,"&gt;"&amp;$A207,実績!$AL$6:$AL$505,"○")&gt;0,1,0))</f>
        <v>0</v>
      </c>
      <c r="DE207" s="39" t="n">
        <f aca="false">IF(DE$4=0,0,IF(COUNTIFS(実績!$W$6:$W$505,DE$3,実績!$AI$6:$AI$505,"&lt;="&amp;$A207,実績!$AJ$6:$AJ$505,"&gt;"&amp;$A207,実績!$AL$6:$AL$505,"○")&gt;0,1,0))</f>
        <v>0</v>
      </c>
      <c r="DF207" s="39" t="n">
        <f aca="false">IF(DF$4=0,0,IF(COUNTIFS(実績!$W$6:$W$505,DF$3,実績!$AI$6:$AI$505,"&lt;="&amp;$A207,実績!$AJ$6:$AJ$505,"&gt;"&amp;$A207,実績!$AL$6:$AL$505,"○")&gt;0,1,0))</f>
        <v>0</v>
      </c>
      <c r="DG207" s="39" t="n">
        <f aca="false">IF(DG$4=0,0,IF(COUNTIFS(実績!$W$6:$W$505,DG$3,実績!$AI$6:$AI$505,"&lt;="&amp;$A207,実績!$AJ$6:$AJ$505,"&gt;"&amp;$A207,実績!$AL$6:$AL$505,"○")&gt;0,1,0))</f>
        <v>0</v>
      </c>
      <c r="DH207" s="39" t="n">
        <f aca="false">IF(DH$4=0,0,IF(COUNTIFS(実績!$W$6:$W$505,DH$3,実績!$AI$6:$AI$505,"&lt;="&amp;$A207,実績!$AJ$6:$AJ$505,"&gt;"&amp;$A207,実績!$AL$6:$AL$505,"○")&gt;0,1,0))</f>
        <v>0</v>
      </c>
      <c r="DI207" s="39" t="n">
        <f aca="false">IF(DI$4=0,0,IF(COUNTIFS(実績!$W$6:$W$505,DI$3,実績!$AI$6:$AI$505,"&lt;="&amp;$A207,実績!$AJ$6:$AJ$505,"&gt;"&amp;$A207,実績!$AL$6:$AL$505,"○")&gt;0,1,0))</f>
        <v>0</v>
      </c>
      <c r="DJ207" s="39" t="n">
        <f aca="false">IF(DJ$4=0,0,IF(COUNTIFS(実績!$W$6:$W$505,DJ$3,実績!$AI$6:$AI$505,"&lt;="&amp;$A207,実績!$AJ$6:$AJ$505,"&gt;"&amp;$A207,実績!$AL$6:$AL$505,"○")&gt;0,1,0))</f>
        <v>0</v>
      </c>
      <c r="DK207" s="39" t="n">
        <f aca="false">IF(DK$4=0,0,IF(COUNTIFS(実績!$W$6:$W$505,DK$3,実績!$AI$6:$AI$505,"&lt;="&amp;$A207,実績!$AJ$6:$AJ$505,"&gt;"&amp;$A207,実績!$AL$6:$AL$505,"○")&gt;0,1,0))</f>
        <v>0</v>
      </c>
      <c r="DL207" s="39" t="n">
        <f aca="false">IF(DL$4=0,0,IF(COUNTIFS(実績!$W$6:$W$505,DL$3,実績!$AI$6:$AI$505,"&lt;="&amp;$A207,実績!$AJ$6:$AJ$505,"&gt;"&amp;$A207,実績!$AL$6:$AL$505,"○")&gt;0,1,0))</f>
        <v>0</v>
      </c>
      <c r="DM207" s="39" t="n">
        <f aca="false">IF(DM$4=0,0,IF(COUNTIFS(実績!$W$6:$W$505,DM$3,実績!$AI$6:$AI$505,"&lt;="&amp;$A207,実績!$AJ$6:$AJ$505,"&gt;"&amp;$A207,実績!$AL$6:$AL$505,"○")&gt;0,1,0))</f>
        <v>0</v>
      </c>
      <c r="DN207" s="39" t="n">
        <f aca="false">IF(DN$4=0,0,IF(COUNTIFS(実績!$W$6:$W$505,DN$3,実績!$AI$6:$AI$505,"&lt;="&amp;$A207,実績!$AJ$6:$AJ$505,"&gt;"&amp;$A207,実績!$AL$6:$AL$505,"○")&gt;0,1,0))</f>
        <v>0</v>
      </c>
      <c r="DO207" s="39" t="n">
        <f aca="false">IF(DO$4=0,0,IF(COUNTIFS(実績!$W$6:$W$505,DO$3,実績!$AI$6:$AI$505,"&lt;="&amp;$A207,実績!$AJ$6:$AJ$505,"&gt;"&amp;$A207,実績!$AL$6:$AL$505,"○")&gt;0,1,0))</f>
        <v>0</v>
      </c>
      <c r="DP207" s="39" t="n">
        <f aca="false">IF(DP$4=0,0,IF(COUNTIFS(実績!$W$6:$W$505,DP$3,実績!$AI$6:$AI$505,"&lt;="&amp;$A207,実績!$AJ$6:$AJ$505,"&gt;"&amp;$A207,実績!$AL$6:$AL$505,"○")&gt;0,1,0))</f>
        <v>0</v>
      </c>
      <c r="DQ207" s="39" t="n">
        <f aca="false">IF(DQ$4=0,0,IF(COUNTIFS(実績!$W$6:$W$505,DQ$3,実績!$AI$6:$AI$505,"&lt;="&amp;$A207,実績!$AJ$6:$AJ$505,"&gt;"&amp;$A207,実績!$AL$6:$AL$505,"○")&gt;0,1,0))</f>
        <v>0</v>
      </c>
      <c r="DR207" s="39" t="n">
        <f aca="false">IF(DR$4=0,0,IF(COUNTIFS(実績!$W$6:$W$505,DR$3,実績!$AI$6:$AI$505,"&lt;="&amp;$A207,実績!$AJ$6:$AJ$505,"&gt;"&amp;$A207,実績!$AL$6:$AL$505,"○")&gt;0,1,0))</f>
        <v>0</v>
      </c>
      <c r="DS207" s="39" t="n">
        <f aca="false">SUM(C207:DR207)</f>
        <v>0</v>
      </c>
    </row>
    <row r="208" customFormat="false" ht="15" hidden="false" customHeight="false" outlineLevel="0" collapsed="false">
      <c r="A208" s="0" t="n">
        <v>1010</v>
      </c>
      <c r="B208" s="38" t="n">
        <f aca="false">A208/1440</f>
        <v>0.701388888888889</v>
      </c>
      <c r="C208" s="39" t="n">
        <f aca="false">IF(C$4=0,0,IF(COUNTIFS(実績!$W$6:$W$505,C$3,実績!$AI$6:$AI$505,"&lt;="&amp;$A208,実績!$AJ$6:$AJ$505,"&gt;"&amp;$A208,実績!$AL$6:$AL$505,"○")&gt;0,1,0))</f>
        <v>0</v>
      </c>
      <c r="D208" s="39" t="n">
        <f aca="false">IF(D$4=0,0,IF(COUNTIFS(実績!$W$6:$W$505,D$3,実績!$AI$6:$AI$505,"&lt;="&amp;$A208,実績!$AJ$6:$AJ$505,"&gt;"&amp;$A208,実績!$AL$6:$AL$505,"○")&gt;0,1,0))</f>
        <v>0</v>
      </c>
      <c r="E208" s="39" t="n">
        <f aca="false">IF(E$4=0,0,IF(COUNTIFS(実績!$W$6:$W$505,E$3,実績!$AI$6:$AI$505,"&lt;="&amp;$A208,実績!$AJ$6:$AJ$505,"&gt;"&amp;$A208,実績!$AL$6:$AL$505,"○")&gt;0,1,0))</f>
        <v>0</v>
      </c>
      <c r="F208" s="39" t="n">
        <f aca="false">IF(F$4=0,0,IF(COUNTIFS(実績!$W$6:$W$505,F$3,実績!$AI$6:$AI$505,"&lt;="&amp;$A208,実績!$AJ$6:$AJ$505,"&gt;"&amp;$A208,実績!$AL$6:$AL$505,"○")&gt;0,1,0))</f>
        <v>0</v>
      </c>
      <c r="G208" s="39" t="n">
        <f aca="false">IF(G$4=0,0,IF(COUNTIFS(実績!$W$6:$W$505,G$3,実績!$AI$6:$AI$505,"&lt;="&amp;$A208,実績!$AJ$6:$AJ$505,"&gt;"&amp;$A208,実績!$AL$6:$AL$505,"○")&gt;0,1,0))</f>
        <v>0</v>
      </c>
      <c r="H208" s="39" t="n">
        <f aca="false">IF(H$4=0,0,IF(COUNTIFS(実績!$W$6:$W$505,H$3,実績!$AI$6:$AI$505,"&lt;="&amp;$A208,実績!$AJ$6:$AJ$505,"&gt;"&amp;$A208,実績!$AL$6:$AL$505,"○")&gt;0,1,0))</f>
        <v>0</v>
      </c>
      <c r="I208" s="39" t="n">
        <f aca="false">IF(I$4=0,0,IF(COUNTIFS(実績!$W$6:$W$505,I$3,実績!$AI$6:$AI$505,"&lt;="&amp;$A208,実績!$AJ$6:$AJ$505,"&gt;"&amp;$A208,実績!$AL$6:$AL$505,"○")&gt;0,1,0))</f>
        <v>0</v>
      </c>
      <c r="J208" s="39" t="n">
        <f aca="false">IF(J$4=0,0,IF(COUNTIFS(実績!$W$6:$W$505,J$3,実績!$AI$6:$AI$505,"&lt;="&amp;$A208,実績!$AJ$6:$AJ$505,"&gt;"&amp;$A208,実績!$AL$6:$AL$505,"○")&gt;0,1,0))</f>
        <v>0</v>
      </c>
      <c r="K208" s="39" t="n">
        <f aca="false">IF(K$4=0,0,IF(COUNTIFS(実績!$W$6:$W$505,K$3,実績!$AI$6:$AI$505,"&lt;="&amp;$A208,実績!$AJ$6:$AJ$505,"&gt;"&amp;$A208,実績!$AL$6:$AL$505,"○")&gt;0,1,0))</f>
        <v>0</v>
      </c>
      <c r="L208" s="39" t="n">
        <f aca="false">IF(L$4=0,0,IF(COUNTIFS(実績!$W$6:$W$505,L$3,実績!$AI$6:$AI$505,"&lt;="&amp;$A208,実績!$AJ$6:$AJ$505,"&gt;"&amp;$A208,実績!$AL$6:$AL$505,"○")&gt;0,1,0))</f>
        <v>0</v>
      </c>
      <c r="M208" s="39" t="n">
        <f aca="false">IF(M$4=0,0,IF(COUNTIFS(実績!$W$6:$W$505,M$3,実績!$AI$6:$AI$505,"&lt;="&amp;$A208,実績!$AJ$6:$AJ$505,"&gt;"&amp;$A208,実績!$AL$6:$AL$505,"○")&gt;0,1,0))</f>
        <v>0</v>
      </c>
      <c r="N208" s="39" t="n">
        <f aca="false">IF(N$4=0,0,IF(COUNTIFS(実績!$W$6:$W$505,N$3,実績!$AI$6:$AI$505,"&lt;="&amp;$A208,実績!$AJ$6:$AJ$505,"&gt;"&amp;$A208,実績!$AL$6:$AL$505,"○")&gt;0,1,0))</f>
        <v>0</v>
      </c>
      <c r="O208" s="39" t="n">
        <f aca="false">IF(O$4=0,0,IF(COUNTIFS(実績!$W$6:$W$505,O$3,実績!$AI$6:$AI$505,"&lt;="&amp;$A208,実績!$AJ$6:$AJ$505,"&gt;"&amp;$A208,実績!$AL$6:$AL$505,"○")&gt;0,1,0))</f>
        <v>0</v>
      </c>
      <c r="P208" s="39" t="n">
        <f aca="false">IF(P$4=0,0,IF(COUNTIFS(実績!$W$6:$W$505,P$3,実績!$AI$6:$AI$505,"&lt;="&amp;$A208,実績!$AJ$6:$AJ$505,"&gt;"&amp;$A208,実績!$AL$6:$AL$505,"○")&gt;0,1,0))</f>
        <v>0</v>
      </c>
      <c r="Q208" s="39" t="n">
        <f aca="false">IF(Q$4=0,0,IF(COUNTIFS(実績!$W$6:$W$505,Q$3,実績!$AI$6:$AI$505,"&lt;="&amp;$A208,実績!$AJ$6:$AJ$505,"&gt;"&amp;$A208,実績!$AL$6:$AL$505,"○")&gt;0,1,0))</f>
        <v>0</v>
      </c>
      <c r="R208" s="39" t="n">
        <f aca="false">IF(R$4=0,0,IF(COUNTIFS(実績!$W$6:$W$505,R$3,実績!$AI$6:$AI$505,"&lt;="&amp;$A208,実績!$AJ$6:$AJ$505,"&gt;"&amp;$A208,実績!$AL$6:$AL$505,"○")&gt;0,1,0))</f>
        <v>0</v>
      </c>
      <c r="S208" s="39" t="n">
        <f aca="false">IF(S$4=0,0,IF(COUNTIFS(実績!$W$6:$W$505,S$3,実績!$AI$6:$AI$505,"&lt;="&amp;$A208,実績!$AJ$6:$AJ$505,"&gt;"&amp;$A208,実績!$AL$6:$AL$505,"○")&gt;0,1,0))</f>
        <v>0</v>
      </c>
      <c r="T208" s="39" t="n">
        <f aca="false">IF(T$4=0,0,IF(COUNTIFS(実績!$W$6:$W$505,T$3,実績!$AI$6:$AI$505,"&lt;="&amp;$A208,実績!$AJ$6:$AJ$505,"&gt;"&amp;$A208,実績!$AL$6:$AL$505,"○")&gt;0,1,0))</f>
        <v>0</v>
      </c>
      <c r="U208" s="39" t="n">
        <f aca="false">IF(U$4=0,0,IF(COUNTIFS(実績!$W$6:$W$505,U$3,実績!$AI$6:$AI$505,"&lt;="&amp;$A208,実績!$AJ$6:$AJ$505,"&gt;"&amp;$A208,実績!$AL$6:$AL$505,"○")&gt;0,1,0))</f>
        <v>0</v>
      </c>
      <c r="V208" s="39" t="n">
        <f aca="false">IF(V$4=0,0,IF(COUNTIFS(実績!$W$6:$W$505,V$3,実績!$AI$6:$AI$505,"&lt;="&amp;$A208,実績!$AJ$6:$AJ$505,"&gt;"&amp;$A208,実績!$AL$6:$AL$505,"○")&gt;0,1,0))</f>
        <v>0</v>
      </c>
      <c r="W208" s="39" t="n">
        <f aca="false">IF(W$4=0,0,IF(COUNTIFS(実績!$W$6:$W$505,W$3,実績!$AI$6:$AI$505,"&lt;="&amp;$A208,実績!$AJ$6:$AJ$505,"&gt;"&amp;$A208,実績!$AL$6:$AL$505,"○")&gt;0,1,0))</f>
        <v>0</v>
      </c>
      <c r="X208" s="39" t="n">
        <f aca="false">IF(X$4=0,0,IF(COUNTIFS(実績!$W$6:$W$505,X$3,実績!$AI$6:$AI$505,"&lt;="&amp;$A208,実績!$AJ$6:$AJ$505,"&gt;"&amp;$A208,実績!$AL$6:$AL$505,"○")&gt;0,1,0))</f>
        <v>0</v>
      </c>
      <c r="Y208" s="39" t="n">
        <f aca="false">IF(Y$4=0,0,IF(COUNTIFS(実績!$W$6:$W$505,Y$3,実績!$AI$6:$AI$505,"&lt;="&amp;$A208,実績!$AJ$6:$AJ$505,"&gt;"&amp;$A208,実績!$AL$6:$AL$505,"○")&gt;0,1,0))</f>
        <v>0</v>
      </c>
      <c r="Z208" s="39" t="n">
        <f aca="false">IF(Z$4=0,0,IF(COUNTIFS(実績!$W$6:$W$505,Z$3,実績!$AI$6:$AI$505,"&lt;="&amp;$A208,実績!$AJ$6:$AJ$505,"&gt;"&amp;$A208,実績!$AL$6:$AL$505,"○")&gt;0,1,0))</f>
        <v>0</v>
      </c>
      <c r="AA208" s="39" t="n">
        <f aca="false">IF(AA$4=0,0,IF(COUNTIFS(実績!$W$6:$W$505,AA$3,実績!$AI$6:$AI$505,"&lt;="&amp;$A208,実績!$AJ$6:$AJ$505,"&gt;"&amp;$A208,実績!$AL$6:$AL$505,"○")&gt;0,1,0))</f>
        <v>0</v>
      </c>
      <c r="AB208" s="39" t="n">
        <f aca="false">IF(AB$4=0,0,IF(COUNTIFS(実績!$W$6:$W$505,AB$3,実績!$AI$6:$AI$505,"&lt;="&amp;$A208,実績!$AJ$6:$AJ$505,"&gt;"&amp;$A208,実績!$AL$6:$AL$505,"○")&gt;0,1,0))</f>
        <v>0</v>
      </c>
      <c r="AC208" s="39" t="n">
        <f aca="false">IF(AC$4=0,0,IF(COUNTIFS(実績!$W$6:$W$505,AC$3,実績!$AI$6:$AI$505,"&lt;="&amp;$A208,実績!$AJ$6:$AJ$505,"&gt;"&amp;$A208,実績!$AL$6:$AL$505,"○")&gt;0,1,0))</f>
        <v>0</v>
      </c>
      <c r="AD208" s="39" t="n">
        <f aca="false">IF(AD$4=0,0,IF(COUNTIFS(実績!$W$6:$W$505,AD$3,実績!$AI$6:$AI$505,"&lt;="&amp;$A208,実績!$AJ$6:$AJ$505,"&gt;"&amp;$A208,実績!$AL$6:$AL$505,"○")&gt;0,1,0))</f>
        <v>0</v>
      </c>
      <c r="AE208" s="39" t="n">
        <f aca="false">IF(AE$4=0,0,IF(COUNTIFS(実績!$W$6:$W$505,AE$3,実績!$AI$6:$AI$505,"&lt;="&amp;$A208,実績!$AJ$6:$AJ$505,"&gt;"&amp;$A208,実績!$AL$6:$AL$505,"○")&gt;0,1,0))</f>
        <v>0</v>
      </c>
      <c r="AF208" s="39" t="n">
        <f aca="false">IF(AF$4=0,0,IF(COUNTIFS(実績!$W$6:$W$505,AF$3,実績!$AI$6:$AI$505,"&lt;="&amp;$A208,実績!$AJ$6:$AJ$505,"&gt;"&amp;$A208,実績!$AL$6:$AL$505,"○")&gt;0,1,0))</f>
        <v>0</v>
      </c>
      <c r="AG208" s="39" t="n">
        <f aca="false">IF(AG$4=0,0,IF(COUNTIFS(実績!$W$6:$W$505,AG$3,実績!$AI$6:$AI$505,"&lt;="&amp;$A208,実績!$AJ$6:$AJ$505,"&gt;"&amp;$A208,実績!$AL$6:$AL$505,"○")&gt;0,1,0))</f>
        <v>0</v>
      </c>
      <c r="AH208" s="39" t="n">
        <f aca="false">IF(AH$4=0,0,IF(COUNTIFS(実績!$W$6:$W$505,AH$3,実績!$AI$6:$AI$505,"&lt;="&amp;$A208,実績!$AJ$6:$AJ$505,"&gt;"&amp;$A208,実績!$AL$6:$AL$505,"○")&gt;0,1,0))</f>
        <v>0</v>
      </c>
      <c r="AI208" s="39" t="n">
        <f aca="false">IF(AI$4=0,0,IF(COUNTIFS(実績!$W$6:$W$505,AI$3,実績!$AI$6:$AI$505,"&lt;="&amp;$A208,実績!$AJ$6:$AJ$505,"&gt;"&amp;$A208,実績!$AL$6:$AL$505,"○")&gt;0,1,0))</f>
        <v>0</v>
      </c>
      <c r="AJ208" s="39" t="n">
        <f aca="false">IF(AJ$4=0,0,IF(COUNTIFS(実績!$W$6:$W$505,AJ$3,実績!$AI$6:$AI$505,"&lt;="&amp;$A208,実績!$AJ$6:$AJ$505,"&gt;"&amp;$A208,実績!$AL$6:$AL$505,"○")&gt;0,1,0))</f>
        <v>0</v>
      </c>
      <c r="AK208" s="39" t="n">
        <f aca="false">IF(AK$4=0,0,IF(COUNTIFS(実績!$W$6:$W$505,AK$3,実績!$AI$6:$AI$505,"&lt;="&amp;$A208,実績!$AJ$6:$AJ$505,"&gt;"&amp;$A208,実績!$AL$6:$AL$505,"○")&gt;0,1,0))</f>
        <v>0</v>
      </c>
      <c r="AL208" s="39" t="n">
        <f aca="false">IF(AL$4=0,0,IF(COUNTIFS(実績!$W$6:$W$505,AL$3,実績!$AI$6:$AI$505,"&lt;="&amp;$A208,実績!$AJ$6:$AJ$505,"&gt;"&amp;$A208,実績!$AL$6:$AL$505,"○")&gt;0,1,0))</f>
        <v>0</v>
      </c>
      <c r="AM208" s="39" t="n">
        <f aca="false">IF(AM$4=0,0,IF(COUNTIFS(実績!$W$6:$W$505,AM$3,実績!$AI$6:$AI$505,"&lt;="&amp;$A208,実績!$AJ$6:$AJ$505,"&gt;"&amp;$A208,実績!$AL$6:$AL$505,"○")&gt;0,1,0))</f>
        <v>0</v>
      </c>
      <c r="AN208" s="39" t="n">
        <f aca="false">IF(AN$4=0,0,IF(COUNTIFS(実績!$W$6:$W$505,AN$3,実績!$AI$6:$AI$505,"&lt;="&amp;$A208,実績!$AJ$6:$AJ$505,"&gt;"&amp;$A208,実績!$AL$6:$AL$505,"○")&gt;0,1,0))</f>
        <v>0</v>
      </c>
      <c r="AO208" s="39" t="n">
        <f aca="false">IF(AO$4=0,0,IF(COUNTIFS(実績!$W$6:$W$505,AO$3,実績!$AI$6:$AI$505,"&lt;="&amp;$A208,実績!$AJ$6:$AJ$505,"&gt;"&amp;$A208,実績!$AL$6:$AL$505,"○")&gt;0,1,0))</f>
        <v>0</v>
      </c>
      <c r="AP208" s="39" t="n">
        <f aca="false">IF(AP$4=0,0,IF(COUNTIFS(実績!$W$6:$W$505,AP$3,実績!$AI$6:$AI$505,"&lt;="&amp;$A208,実績!$AJ$6:$AJ$505,"&gt;"&amp;$A208,実績!$AL$6:$AL$505,"○")&gt;0,1,0))</f>
        <v>0</v>
      </c>
      <c r="AQ208" s="39" t="n">
        <f aca="false">IF(AQ$4=0,0,IF(COUNTIFS(実績!$W$6:$W$505,AQ$3,実績!$AI$6:$AI$505,"&lt;="&amp;$A208,実績!$AJ$6:$AJ$505,"&gt;"&amp;$A208,実績!$AL$6:$AL$505,"○")&gt;0,1,0))</f>
        <v>0</v>
      </c>
      <c r="AR208" s="39" t="n">
        <f aca="false">IF(AR$4=0,0,IF(COUNTIFS(実績!$W$6:$W$505,AR$3,実績!$AI$6:$AI$505,"&lt;="&amp;$A208,実績!$AJ$6:$AJ$505,"&gt;"&amp;$A208,実績!$AL$6:$AL$505,"○")&gt;0,1,0))</f>
        <v>0</v>
      </c>
      <c r="AS208" s="39" t="n">
        <f aca="false">IF(AS$4=0,0,IF(COUNTIFS(実績!$W$6:$W$505,AS$3,実績!$AI$6:$AI$505,"&lt;="&amp;$A208,実績!$AJ$6:$AJ$505,"&gt;"&amp;$A208,実績!$AL$6:$AL$505,"○")&gt;0,1,0))</f>
        <v>0</v>
      </c>
      <c r="AT208" s="39" t="n">
        <f aca="false">IF(AT$4=0,0,IF(COUNTIFS(実績!$W$6:$W$505,AT$3,実績!$AI$6:$AI$505,"&lt;="&amp;$A208,実績!$AJ$6:$AJ$505,"&gt;"&amp;$A208,実績!$AL$6:$AL$505,"○")&gt;0,1,0))</f>
        <v>0</v>
      </c>
      <c r="AU208" s="39" t="n">
        <f aca="false">IF(AU$4=0,0,IF(COUNTIFS(実績!$W$6:$W$505,AU$3,実績!$AI$6:$AI$505,"&lt;="&amp;$A208,実績!$AJ$6:$AJ$505,"&gt;"&amp;$A208,実績!$AL$6:$AL$505,"○")&gt;0,1,0))</f>
        <v>0</v>
      </c>
      <c r="AV208" s="39" t="n">
        <f aca="false">IF(AV$4=0,0,IF(COUNTIFS(実績!$W$6:$W$505,AV$3,実績!$AI$6:$AI$505,"&lt;="&amp;$A208,実績!$AJ$6:$AJ$505,"&gt;"&amp;$A208,実績!$AL$6:$AL$505,"○")&gt;0,1,0))</f>
        <v>0</v>
      </c>
      <c r="AW208" s="39" t="n">
        <f aca="false">IF(AW$4=0,0,IF(COUNTIFS(実績!$W$6:$W$505,AW$3,実績!$AI$6:$AI$505,"&lt;="&amp;$A208,実績!$AJ$6:$AJ$505,"&gt;"&amp;$A208,実績!$AL$6:$AL$505,"○")&gt;0,1,0))</f>
        <v>0</v>
      </c>
      <c r="AX208" s="39" t="n">
        <f aca="false">IF(AX$4=0,0,IF(COUNTIFS(実績!$W$6:$W$505,AX$3,実績!$AI$6:$AI$505,"&lt;="&amp;$A208,実績!$AJ$6:$AJ$505,"&gt;"&amp;$A208,実績!$AL$6:$AL$505,"○")&gt;0,1,0))</f>
        <v>0</v>
      </c>
      <c r="AY208" s="39" t="n">
        <f aca="false">IF(AY$4=0,0,IF(COUNTIFS(実績!$W$6:$W$505,AY$3,実績!$AI$6:$AI$505,"&lt;="&amp;$A208,実績!$AJ$6:$AJ$505,"&gt;"&amp;$A208,実績!$AL$6:$AL$505,"○")&gt;0,1,0))</f>
        <v>0</v>
      </c>
      <c r="AZ208" s="39" t="n">
        <f aca="false">IF(AZ$4=0,0,IF(COUNTIFS(実績!$W$6:$W$505,AZ$3,実績!$AI$6:$AI$505,"&lt;="&amp;$A208,実績!$AJ$6:$AJ$505,"&gt;"&amp;$A208,実績!$AL$6:$AL$505,"○")&gt;0,1,0))</f>
        <v>0</v>
      </c>
      <c r="BA208" s="39" t="n">
        <f aca="false">IF(BA$4=0,0,IF(COUNTIFS(実績!$W$6:$W$505,BA$3,実績!$AI$6:$AI$505,"&lt;="&amp;$A208,実績!$AJ$6:$AJ$505,"&gt;"&amp;$A208,実績!$AL$6:$AL$505,"○")&gt;0,1,0))</f>
        <v>0</v>
      </c>
      <c r="BB208" s="39" t="n">
        <f aca="false">IF(BB$4=0,0,IF(COUNTIFS(実績!$W$6:$W$505,BB$3,実績!$AI$6:$AI$505,"&lt;="&amp;$A208,実績!$AJ$6:$AJ$505,"&gt;"&amp;$A208,実績!$AL$6:$AL$505,"○")&gt;0,1,0))</f>
        <v>0</v>
      </c>
      <c r="BC208" s="39" t="n">
        <f aca="false">IF(BC$4=0,0,IF(COUNTIFS(実績!$W$6:$W$505,BC$3,実績!$AI$6:$AI$505,"&lt;="&amp;$A208,実績!$AJ$6:$AJ$505,"&gt;"&amp;$A208,実績!$AL$6:$AL$505,"○")&gt;0,1,0))</f>
        <v>0</v>
      </c>
      <c r="BD208" s="39" t="n">
        <f aca="false">IF(BD$4=0,0,IF(COUNTIFS(実績!$W$6:$W$505,BD$3,実績!$AI$6:$AI$505,"&lt;="&amp;$A208,実績!$AJ$6:$AJ$505,"&gt;"&amp;$A208,実績!$AL$6:$AL$505,"○")&gt;0,1,0))</f>
        <v>0</v>
      </c>
      <c r="BE208" s="39" t="n">
        <f aca="false">IF(BE$4=0,0,IF(COUNTIFS(実績!$W$6:$W$505,BE$3,実績!$AI$6:$AI$505,"&lt;="&amp;$A208,実績!$AJ$6:$AJ$505,"&gt;"&amp;$A208,実績!$AL$6:$AL$505,"○")&gt;0,1,0))</f>
        <v>0</v>
      </c>
      <c r="BF208" s="39" t="n">
        <f aca="false">IF(BF$4=0,0,IF(COUNTIFS(実績!$W$6:$W$505,BF$3,実績!$AI$6:$AI$505,"&lt;="&amp;$A208,実績!$AJ$6:$AJ$505,"&gt;"&amp;$A208,実績!$AL$6:$AL$505,"○")&gt;0,1,0))</f>
        <v>0</v>
      </c>
      <c r="BG208" s="39" t="n">
        <f aca="false">IF(BG$4=0,0,IF(COUNTIFS(実績!$W$6:$W$505,BG$3,実績!$AI$6:$AI$505,"&lt;="&amp;$A208,実績!$AJ$6:$AJ$505,"&gt;"&amp;$A208,実績!$AL$6:$AL$505,"○")&gt;0,1,0))</f>
        <v>0</v>
      </c>
      <c r="BH208" s="39" t="n">
        <f aca="false">IF(BH$4=0,0,IF(COUNTIFS(実績!$W$6:$W$505,BH$3,実績!$AI$6:$AI$505,"&lt;="&amp;$A208,実績!$AJ$6:$AJ$505,"&gt;"&amp;$A208,実績!$AL$6:$AL$505,"○")&gt;0,1,0))</f>
        <v>0</v>
      </c>
      <c r="BI208" s="39" t="n">
        <f aca="false">IF(BI$4=0,0,IF(COUNTIFS(実績!$W$6:$W$505,BI$3,実績!$AI$6:$AI$505,"&lt;="&amp;$A208,実績!$AJ$6:$AJ$505,"&gt;"&amp;$A208,実績!$AL$6:$AL$505,"○")&gt;0,1,0))</f>
        <v>0</v>
      </c>
      <c r="BJ208" s="39" t="n">
        <f aca="false">IF(BJ$4=0,0,IF(COUNTIFS(実績!$W$6:$W$505,BJ$3,実績!$AI$6:$AI$505,"&lt;="&amp;$A208,実績!$AJ$6:$AJ$505,"&gt;"&amp;$A208,実績!$AL$6:$AL$505,"○")&gt;0,1,0))</f>
        <v>0</v>
      </c>
      <c r="BK208" s="39" t="n">
        <f aca="false">IF(BK$4=0,0,IF(COUNTIFS(実績!$W$6:$W$505,BK$3,実績!$AI$6:$AI$505,"&lt;="&amp;$A208,実績!$AJ$6:$AJ$505,"&gt;"&amp;$A208,実績!$AL$6:$AL$505,"○")&gt;0,1,0))</f>
        <v>0</v>
      </c>
      <c r="BL208" s="39" t="n">
        <f aca="false">IF(BL$4=0,0,IF(COUNTIFS(実績!$W$6:$W$505,BL$3,実績!$AI$6:$AI$505,"&lt;="&amp;$A208,実績!$AJ$6:$AJ$505,"&gt;"&amp;$A208,実績!$AL$6:$AL$505,"○")&gt;0,1,0))</f>
        <v>0</v>
      </c>
      <c r="BM208" s="39" t="n">
        <f aca="false">IF(BM$4=0,0,IF(COUNTIFS(実績!$W$6:$W$505,BM$3,実績!$AI$6:$AI$505,"&lt;="&amp;$A208,実績!$AJ$6:$AJ$505,"&gt;"&amp;$A208,実績!$AL$6:$AL$505,"○")&gt;0,1,0))</f>
        <v>0</v>
      </c>
      <c r="BN208" s="39" t="n">
        <f aca="false">IF(BN$4=0,0,IF(COUNTIFS(実績!$W$6:$W$505,BN$3,実績!$AI$6:$AI$505,"&lt;="&amp;$A208,実績!$AJ$6:$AJ$505,"&gt;"&amp;$A208,実績!$AL$6:$AL$505,"○")&gt;0,1,0))</f>
        <v>0</v>
      </c>
      <c r="BO208" s="39" t="n">
        <f aca="false">IF(BO$4=0,0,IF(COUNTIFS(実績!$W$6:$W$505,BO$3,実績!$AI$6:$AI$505,"&lt;="&amp;$A208,実績!$AJ$6:$AJ$505,"&gt;"&amp;$A208,実績!$AL$6:$AL$505,"○")&gt;0,1,0))</f>
        <v>0</v>
      </c>
      <c r="BP208" s="39" t="n">
        <f aca="false">IF(BP$4=0,0,IF(COUNTIFS(実績!$W$6:$W$505,BP$3,実績!$AI$6:$AI$505,"&lt;="&amp;$A208,実績!$AJ$6:$AJ$505,"&gt;"&amp;$A208,実績!$AL$6:$AL$505,"○")&gt;0,1,0))</f>
        <v>0</v>
      </c>
      <c r="BQ208" s="39" t="n">
        <f aca="false">IF(BQ$4=0,0,IF(COUNTIFS(実績!$W$6:$W$505,BQ$3,実績!$AI$6:$AI$505,"&lt;="&amp;$A208,実績!$AJ$6:$AJ$505,"&gt;"&amp;$A208,実績!$AL$6:$AL$505,"○")&gt;0,1,0))</f>
        <v>0</v>
      </c>
      <c r="BR208" s="39" t="n">
        <f aca="false">IF(BR$4=0,0,IF(COUNTIFS(実績!$W$6:$W$505,BR$3,実績!$AI$6:$AI$505,"&lt;="&amp;$A208,実績!$AJ$6:$AJ$505,"&gt;"&amp;$A208,実績!$AL$6:$AL$505,"○")&gt;0,1,0))</f>
        <v>0</v>
      </c>
      <c r="BS208" s="39" t="n">
        <f aca="false">IF(BS$4=0,0,IF(COUNTIFS(実績!$W$6:$W$505,BS$3,実績!$AI$6:$AI$505,"&lt;="&amp;$A208,実績!$AJ$6:$AJ$505,"&gt;"&amp;$A208,実績!$AL$6:$AL$505,"○")&gt;0,1,0))</f>
        <v>0</v>
      </c>
      <c r="BT208" s="39" t="n">
        <f aca="false">IF(BT$4=0,0,IF(COUNTIFS(実績!$W$6:$W$505,BT$3,実績!$AI$6:$AI$505,"&lt;="&amp;$A208,実績!$AJ$6:$AJ$505,"&gt;"&amp;$A208,実績!$AL$6:$AL$505,"○")&gt;0,1,0))</f>
        <v>0</v>
      </c>
      <c r="BU208" s="39" t="n">
        <f aca="false">IF(BU$4=0,0,IF(COUNTIFS(実績!$W$6:$W$505,BU$3,実績!$AI$6:$AI$505,"&lt;="&amp;$A208,実績!$AJ$6:$AJ$505,"&gt;"&amp;$A208,実績!$AL$6:$AL$505,"○")&gt;0,1,0))</f>
        <v>0</v>
      </c>
      <c r="BV208" s="39" t="n">
        <f aca="false">IF(BV$4=0,0,IF(COUNTIFS(実績!$W$6:$W$505,BV$3,実績!$AI$6:$AI$505,"&lt;="&amp;$A208,実績!$AJ$6:$AJ$505,"&gt;"&amp;$A208,実績!$AL$6:$AL$505,"○")&gt;0,1,0))</f>
        <v>0</v>
      </c>
      <c r="BW208" s="39" t="n">
        <f aca="false">IF(BW$4=0,0,IF(COUNTIFS(実績!$W$6:$W$505,BW$3,実績!$AI$6:$AI$505,"&lt;="&amp;$A208,実績!$AJ$6:$AJ$505,"&gt;"&amp;$A208,実績!$AL$6:$AL$505,"○")&gt;0,1,0))</f>
        <v>0</v>
      </c>
      <c r="BX208" s="39" t="n">
        <f aca="false">IF(BX$4=0,0,IF(COUNTIFS(実績!$W$6:$W$505,BX$3,実績!$AI$6:$AI$505,"&lt;="&amp;$A208,実績!$AJ$6:$AJ$505,"&gt;"&amp;$A208,実績!$AL$6:$AL$505,"○")&gt;0,1,0))</f>
        <v>0</v>
      </c>
      <c r="BY208" s="39" t="n">
        <f aca="false">IF(BY$4=0,0,IF(COUNTIFS(実績!$W$6:$W$505,BY$3,実績!$AI$6:$AI$505,"&lt;="&amp;$A208,実績!$AJ$6:$AJ$505,"&gt;"&amp;$A208,実績!$AL$6:$AL$505,"○")&gt;0,1,0))</f>
        <v>0</v>
      </c>
      <c r="BZ208" s="39" t="n">
        <f aca="false">IF(BZ$4=0,0,IF(COUNTIFS(実績!$W$6:$W$505,BZ$3,実績!$AI$6:$AI$505,"&lt;="&amp;$A208,実績!$AJ$6:$AJ$505,"&gt;"&amp;$A208,実績!$AL$6:$AL$505,"○")&gt;0,1,0))</f>
        <v>0</v>
      </c>
      <c r="CA208" s="39" t="n">
        <f aca="false">IF(CA$4=0,0,IF(COUNTIFS(実績!$W$6:$W$505,CA$3,実績!$AI$6:$AI$505,"&lt;="&amp;$A208,実績!$AJ$6:$AJ$505,"&gt;"&amp;$A208,実績!$AL$6:$AL$505,"○")&gt;0,1,0))</f>
        <v>0</v>
      </c>
      <c r="CB208" s="39" t="n">
        <f aca="false">IF(CB$4=0,0,IF(COUNTIFS(実績!$W$6:$W$505,CB$3,実績!$AI$6:$AI$505,"&lt;="&amp;$A208,実績!$AJ$6:$AJ$505,"&gt;"&amp;$A208,実績!$AL$6:$AL$505,"○")&gt;0,1,0))</f>
        <v>0</v>
      </c>
      <c r="CC208" s="39" t="n">
        <f aca="false">IF(CC$4=0,0,IF(COUNTIFS(実績!$W$6:$W$505,CC$3,実績!$AI$6:$AI$505,"&lt;="&amp;$A208,実績!$AJ$6:$AJ$505,"&gt;"&amp;$A208,実績!$AL$6:$AL$505,"○")&gt;0,1,0))</f>
        <v>0</v>
      </c>
      <c r="CD208" s="39" t="n">
        <f aca="false">IF(CD$4=0,0,IF(COUNTIFS(実績!$W$6:$W$505,CD$3,実績!$AI$6:$AI$505,"&lt;="&amp;$A208,実績!$AJ$6:$AJ$505,"&gt;"&amp;$A208,実績!$AL$6:$AL$505,"○")&gt;0,1,0))</f>
        <v>0</v>
      </c>
      <c r="CE208" s="39" t="n">
        <f aca="false">IF(CE$4=0,0,IF(COUNTIFS(実績!$W$6:$W$505,CE$3,実績!$AI$6:$AI$505,"&lt;="&amp;$A208,実績!$AJ$6:$AJ$505,"&gt;"&amp;$A208,実績!$AL$6:$AL$505,"○")&gt;0,1,0))</f>
        <v>0</v>
      </c>
      <c r="CF208" s="39" t="n">
        <f aca="false">IF(CF$4=0,0,IF(COUNTIFS(実績!$W$6:$W$505,CF$3,実績!$AI$6:$AI$505,"&lt;="&amp;$A208,実績!$AJ$6:$AJ$505,"&gt;"&amp;$A208,実績!$AL$6:$AL$505,"○")&gt;0,1,0))</f>
        <v>0</v>
      </c>
      <c r="CG208" s="39" t="n">
        <f aca="false">IF(CG$4=0,0,IF(COUNTIFS(実績!$W$6:$W$505,CG$3,実績!$AI$6:$AI$505,"&lt;="&amp;$A208,実績!$AJ$6:$AJ$505,"&gt;"&amp;$A208,実績!$AL$6:$AL$505,"○")&gt;0,1,0))</f>
        <v>0</v>
      </c>
      <c r="CH208" s="39" t="n">
        <f aca="false">IF(CH$4=0,0,IF(COUNTIFS(実績!$W$6:$W$505,CH$3,実績!$AI$6:$AI$505,"&lt;="&amp;$A208,実績!$AJ$6:$AJ$505,"&gt;"&amp;$A208,実績!$AL$6:$AL$505,"○")&gt;0,1,0))</f>
        <v>0</v>
      </c>
      <c r="CI208" s="39" t="n">
        <f aca="false">IF(CI$4=0,0,IF(COUNTIFS(実績!$W$6:$W$505,CI$3,実績!$AI$6:$AI$505,"&lt;="&amp;$A208,実績!$AJ$6:$AJ$505,"&gt;"&amp;$A208,実績!$AL$6:$AL$505,"○")&gt;0,1,0))</f>
        <v>0</v>
      </c>
      <c r="CJ208" s="39" t="n">
        <f aca="false">IF(CJ$4=0,0,IF(COUNTIFS(実績!$W$6:$W$505,CJ$3,実績!$AI$6:$AI$505,"&lt;="&amp;$A208,実績!$AJ$6:$AJ$505,"&gt;"&amp;$A208,実績!$AL$6:$AL$505,"○")&gt;0,1,0))</f>
        <v>0</v>
      </c>
      <c r="CK208" s="39" t="n">
        <f aca="false">IF(CK$4=0,0,IF(COUNTIFS(実績!$W$6:$W$505,CK$3,実績!$AI$6:$AI$505,"&lt;="&amp;$A208,実績!$AJ$6:$AJ$505,"&gt;"&amp;$A208,実績!$AL$6:$AL$505,"○")&gt;0,1,0))</f>
        <v>0</v>
      </c>
      <c r="CL208" s="39" t="n">
        <f aca="false">IF(CL$4=0,0,IF(COUNTIFS(実績!$W$6:$W$505,CL$3,実績!$AI$6:$AI$505,"&lt;="&amp;$A208,実績!$AJ$6:$AJ$505,"&gt;"&amp;$A208,実績!$AL$6:$AL$505,"○")&gt;0,1,0))</f>
        <v>0</v>
      </c>
      <c r="CM208" s="39" t="n">
        <f aca="false">IF(CM$4=0,0,IF(COUNTIFS(実績!$W$6:$W$505,CM$3,実績!$AI$6:$AI$505,"&lt;="&amp;$A208,実績!$AJ$6:$AJ$505,"&gt;"&amp;$A208,実績!$AL$6:$AL$505,"○")&gt;0,1,0))</f>
        <v>0</v>
      </c>
      <c r="CN208" s="39" t="n">
        <f aca="false">IF(CN$4=0,0,IF(COUNTIFS(実績!$W$6:$W$505,CN$3,実績!$AI$6:$AI$505,"&lt;="&amp;$A208,実績!$AJ$6:$AJ$505,"&gt;"&amp;$A208,実績!$AL$6:$AL$505,"○")&gt;0,1,0))</f>
        <v>0</v>
      </c>
      <c r="CO208" s="39" t="n">
        <f aca="false">IF(CO$4=0,0,IF(COUNTIFS(実績!$W$6:$W$505,CO$3,実績!$AI$6:$AI$505,"&lt;="&amp;$A208,実績!$AJ$6:$AJ$505,"&gt;"&amp;$A208,実績!$AL$6:$AL$505,"○")&gt;0,1,0))</f>
        <v>0</v>
      </c>
      <c r="CP208" s="39" t="n">
        <f aca="false">IF(CP$4=0,0,IF(COUNTIFS(実績!$W$6:$W$505,CP$3,実績!$AI$6:$AI$505,"&lt;="&amp;$A208,実績!$AJ$6:$AJ$505,"&gt;"&amp;$A208,実績!$AL$6:$AL$505,"○")&gt;0,1,0))</f>
        <v>0</v>
      </c>
      <c r="CQ208" s="39" t="n">
        <f aca="false">IF(CQ$4=0,0,IF(COUNTIFS(実績!$W$6:$W$505,CQ$3,実績!$AI$6:$AI$505,"&lt;="&amp;$A208,実績!$AJ$6:$AJ$505,"&gt;"&amp;$A208,実績!$AL$6:$AL$505,"○")&gt;0,1,0))</f>
        <v>0</v>
      </c>
      <c r="CR208" s="39" t="n">
        <f aca="false">IF(CR$4=0,0,IF(COUNTIFS(実績!$W$6:$W$505,CR$3,実績!$AI$6:$AI$505,"&lt;="&amp;$A208,実績!$AJ$6:$AJ$505,"&gt;"&amp;$A208,実績!$AL$6:$AL$505,"○")&gt;0,1,0))</f>
        <v>0</v>
      </c>
      <c r="CS208" s="39" t="n">
        <f aca="false">IF(CS$4=0,0,IF(COUNTIFS(実績!$W$6:$W$505,CS$3,実績!$AI$6:$AI$505,"&lt;="&amp;$A208,実績!$AJ$6:$AJ$505,"&gt;"&amp;$A208,実績!$AL$6:$AL$505,"○")&gt;0,1,0))</f>
        <v>0</v>
      </c>
      <c r="CT208" s="39" t="n">
        <f aca="false">IF(CT$4=0,0,IF(COUNTIFS(実績!$W$6:$W$505,CT$3,実績!$AI$6:$AI$505,"&lt;="&amp;$A208,実績!$AJ$6:$AJ$505,"&gt;"&amp;$A208,実績!$AL$6:$AL$505,"○")&gt;0,1,0))</f>
        <v>0</v>
      </c>
      <c r="CU208" s="39" t="n">
        <f aca="false">IF(CU$4=0,0,IF(COUNTIFS(実績!$W$6:$W$505,CU$3,実績!$AI$6:$AI$505,"&lt;="&amp;$A208,実績!$AJ$6:$AJ$505,"&gt;"&amp;$A208,実績!$AL$6:$AL$505,"○")&gt;0,1,0))</f>
        <v>0</v>
      </c>
      <c r="CV208" s="39" t="n">
        <f aca="false">IF(CV$4=0,0,IF(COUNTIFS(実績!$W$6:$W$505,CV$3,実績!$AI$6:$AI$505,"&lt;="&amp;$A208,実績!$AJ$6:$AJ$505,"&gt;"&amp;$A208,実績!$AL$6:$AL$505,"○")&gt;0,1,0))</f>
        <v>0</v>
      </c>
      <c r="CW208" s="39" t="n">
        <f aca="false">IF(CW$4=0,0,IF(COUNTIFS(実績!$W$6:$W$505,CW$3,実績!$AI$6:$AI$505,"&lt;="&amp;$A208,実績!$AJ$6:$AJ$505,"&gt;"&amp;$A208,実績!$AL$6:$AL$505,"○")&gt;0,1,0))</f>
        <v>0</v>
      </c>
      <c r="CX208" s="39" t="n">
        <f aca="false">IF(CX$4=0,0,IF(COUNTIFS(実績!$W$6:$W$505,CX$3,実績!$AI$6:$AI$505,"&lt;="&amp;$A208,実績!$AJ$6:$AJ$505,"&gt;"&amp;$A208,実績!$AL$6:$AL$505,"○")&gt;0,1,0))</f>
        <v>0</v>
      </c>
      <c r="CY208" s="39" t="n">
        <f aca="false">IF(CY$4=0,0,IF(COUNTIFS(実績!$W$6:$W$505,CY$3,実績!$AI$6:$AI$505,"&lt;="&amp;$A208,実績!$AJ$6:$AJ$505,"&gt;"&amp;$A208,実績!$AL$6:$AL$505,"○")&gt;0,1,0))</f>
        <v>0</v>
      </c>
      <c r="CZ208" s="39" t="n">
        <f aca="false">IF(CZ$4=0,0,IF(COUNTIFS(実績!$W$6:$W$505,CZ$3,実績!$AI$6:$AI$505,"&lt;="&amp;$A208,実績!$AJ$6:$AJ$505,"&gt;"&amp;$A208,実績!$AL$6:$AL$505,"○")&gt;0,1,0))</f>
        <v>0</v>
      </c>
      <c r="DA208" s="39" t="n">
        <f aca="false">IF(DA$4=0,0,IF(COUNTIFS(実績!$W$6:$W$505,DA$3,実績!$AI$6:$AI$505,"&lt;="&amp;$A208,実績!$AJ$6:$AJ$505,"&gt;"&amp;$A208,実績!$AL$6:$AL$505,"○")&gt;0,1,0))</f>
        <v>0</v>
      </c>
      <c r="DB208" s="39" t="n">
        <f aca="false">IF(DB$4=0,0,IF(COUNTIFS(実績!$W$6:$W$505,DB$3,実績!$AI$6:$AI$505,"&lt;="&amp;$A208,実績!$AJ$6:$AJ$505,"&gt;"&amp;$A208,実績!$AL$6:$AL$505,"○")&gt;0,1,0))</f>
        <v>0</v>
      </c>
      <c r="DC208" s="39" t="n">
        <f aca="false">IF(DC$4=0,0,IF(COUNTIFS(実績!$W$6:$W$505,DC$3,実績!$AI$6:$AI$505,"&lt;="&amp;$A208,実績!$AJ$6:$AJ$505,"&gt;"&amp;$A208,実績!$AL$6:$AL$505,"○")&gt;0,1,0))</f>
        <v>0</v>
      </c>
      <c r="DD208" s="39" t="n">
        <f aca="false">IF(DD$4=0,0,IF(COUNTIFS(実績!$W$6:$W$505,DD$3,実績!$AI$6:$AI$505,"&lt;="&amp;$A208,実績!$AJ$6:$AJ$505,"&gt;"&amp;$A208,実績!$AL$6:$AL$505,"○")&gt;0,1,0))</f>
        <v>0</v>
      </c>
      <c r="DE208" s="39" t="n">
        <f aca="false">IF(DE$4=0,0,IF(COUNTIFS(実績!$W$6:$W$505,DE$3,実績!$AI$6:$AI$505,"&lt;="&amp;$A208,実績!$AJ$6:$AJ$505,"&gt;"&amp;$A208,実績!$AL$6:$AL$505,"○")&gt;0,1,0))</f>
        <v>0</v>
      </c>
      <c r="DF208" s="39" t="n">
        <f aca="false">IF(DF$4=0,0,IF(COUNTIFS(実績!$W$6:$W$505,DF$3,実績!$AI$6:$AI$505,"&lt;="&amp;$A208,実績!$AJ$6:$AJ$505,"&gt;"&amp;$A208,実績!$AL$6:$AL$505,"○")&gt;0,1,0))</f>
        <v>0</v>
      </c>
      <c r="DG208" s="39" t="n">
        <f aca="false">IF(DG$4=0,0,IF(COUNTIFS(実績!$W$6:$W$505,DG$3,実績!$AI$6:$AI$505,"&lt;="&amp;$A208,実績!$AJ$6:$AJ$505,"&gt;"&amp;$A208,実績!$AL$6:$AL$505,"○")&gt;0,1,0))</f>
        <v>0</v>
      </c>
      <c r="DH208" s="39" t="n">
        <f aca="false">IF(DH$4=0,0,IF(COUNTIFS(実績!$W$6:$W$505,DH$3,実績!$AI$6:$AI$505,"&lt;="&amp;$A208,実績!$AJ$6:$AJ$505,"&gt;"&amp;$A208,実績!$AL$6:$AL$505,"○")&gt;0,1,0))</f>
        <v>0</v>
      </c>
      <c r="DI208" s="39" t="n">
        <f aca="false">IF(DI$4=0,0,IF(COUNTIFS(実績!$W$6:$W$505,DI$3,実績!$AI$6:$AI$505,"&lt;="&amp;$A208,実績!$AJ$6:$AJ$505,"&gt;"&amp;$A208,実績!$AL$6:$AL$505,"○")&gt;0,1,0))</f>
        <v>0</v>
      </c>
      <c r="DJ208" s="39" t="n">
        <f aca="false">IF(DJ$4=0,0,IF(COUNTIFS(実績!$W$6:$W$505,DJ$3,実績!$AI$6:$AI$505,"&lt;="&amp;$A208,実績!$AJ$6:$AJ$505,"&gt;"&amp;$A208,実績!$AL$6:$AL$505,"○")&gt;0,1,0))</f>
        <v>0</v>
      </c>
      <c r="DK208" s="39" t="n">
        <f aca="false">IF(DK$4=0,0,IF(COUNTIFS(実績!$W$6:$W$505,DK$3,実績!$AI$6:$AI$505,"&lt;="&amp;$A208,実績!$AJ$6:$AJ$505,"&gt;"&amp;$A208,実績!$AL$6:$AL$505,"○")&gt;0,1,0))</f>
        <v>0</v>
      </c>
      <c r="DL208" s="39" t="n">
        <f aca="false">IF(DL$4=0,0,IF(COUNTIFS(実績!$W$6:$W$505,DL$3,実績!$AI$6:$AI$505,"&lt;="&amp;$A208,実績!$AJ$6:$AJ$505,"&gt;"&amp;$A208,実績!$AL$6:$AL$505,"○")&gt;0,1,0))</f>
        <v>0</v>
      </c>
      <c r="DM208" s="39" t="n">
        <f aca="false">IF(DM$4=0,0,IF(COUNTIFS(実績!$W$6:$W$505,DM$3,実績!$AI$6:$AI$505,"&lt;="&amp;$A208,実績!$AJ$6:$AJ$505,"&gt;"&amp;$A208,実績!$AL$6:$AL$505,"○")&gt;0,1,0))</f>
        <v>0</v>
      </c>
      <c r="DN208" s="39" t="n">
        <f aca="false">IF(DN$4=0,0,IF(COUNTIFS(実績!$W$6:$W$505,DN$3,実績!$AI$6:$AI$505,"&lt;="&amp;$A208,実績!$AJ$6:$AJ$505,"&gt;"&amp;$A208,実績!$AL$6:$AL$505,"○")&gt;0,1,0))</f>
        <v>0</v>
      </c>
      <c r="DO208" s="39" t="n">
        <f aca="false">IF(DO$4=0,0,IF(COUNTIFS(実績!$W$6:$W$505,DO$3,実績!$AI$6:$AI$505,"&lt;="&amp;$A208,実績!$AJ$6:$AJ$505,"&gt;"&amp;$A208,実績!$AL$6:$AL$505,"○")&gt;0,1,0))</f>
        <v>0</v>
      </c>
      <c r="DP208" s="39" t="n">
        <f aca="false">IF(DP$4=0,0,IF(COUNTIFS(実績!$W$6:$W$505,DP$3,実績!$AI$6:$AI$505,"&lt;="&amp;$A208,実績!$AJ$6:$AJ$505,"&gt;"&amp;$A208,実績!$AL$6:$AL$505,"○")&gt;0,1,0))</f>
        <v>0</v>
      </c>
      <c r="DQ208" s="39" t="n">
        <f aca="false">IF(DQ$4=0,0,IF(COUNTIFS(実績!$W$6:$W$505,DQ$3,実績!$AI$6:$AI$505,"&lt;="&amp;$A208,実績!$AJ$6:$AJ$505,"&gt;"&amp;$A208,実績!$AL$6:$AL$505,"○")&gt;0,1,0))</f>
        <v>0</v>
      </c>
      <c r="DR208" s="39" t="n">
        <f aca="false">IF(DR$4=0,0,IF(COUNTIFS(実績!$W$6:$W$505,DR$3,実績!$AI$6:$AI$505,"&lt;="&amp;$A208,実績!$AJ$6:$AJ$505,"&gt;"&amp;$A208,実績!$AL$6:$AL$505,"○")&gt;0,1,0))</f>
        <v>0</v>
      </c>
      <c r="DS208" s="39" t="n">
        <f aca="false">SUM(C208:DR208)</f>
        <v>0</v>
      </c>
    </row>
    <row r="209" customFormat="false" ht="15" hidden="false" customHeight="false" outlineLevel="0" collapsed="false">
      <c r="A209" s="0" t="n">
        <v>1015</v>
      </c>
      <c r="B209" s="38" t="n">
        <f aca="false">A209/1440</f>
        <v>0.704861111111111</v>
      </c>
      <c r="C209" s="39" t="n">
        <f aca="false">IF(C$4=0,0,IF(COUNTIFS(実績!$W$6:$W$505,C$3,実績!$AI$6:$AI$505,"&lt;="&amp;$A209,実績!$AJ$6:$AJ$505,"&gt;"&amp;$A209,実績!$AL$6:$AL$505,"○")&gt;0,1,0))</f>
        <v>0</v>
      </c>
      <c r="D209" s="39" t="n">
        <f aca="false">IF(D$4=0,0,IF(COUNTIFS(実績!$W$6:$W$505,D$3,実績!$AI$6:$AI$505,"&lt;="&amp;$A209,実績!$AJ$6:$AJ$505,"&gt;"&amp;$A209,実績!$AL$6:$AL$505,"○")&gt;0,1,0))</f>
        <v>0</v>
      </c>
      <c r="E209" s="39" t="n">
        <f aca="false">IF(E$4=0,0,IF(COUNTIFS(実績!$W$6:$W$505,E$3,実績!$AI$6:$AI$505,"&lt;="&amp;$A209,実績!$AJ$6:$AJ$505,"&gt;"&amp;$A209,実績!$AL$6:$AL$505,"○")&gt;0,1,0))</f>
        <v>0</v>
      </c>
      <c r="F209" s="39" t="n">
        <f aca="false">IF(F$4=0,0,IF(COUNTIFS(実績!$W$6:$W$505,F$3,実績!$AI$6:$AI$505,"&lt;="&amp;$A209,実績!$AJ$6:$AJ$505,"&gt;"&amp;$A209,実績!$AL$6:$AL$505,"○")&gt;0,1,0))</f>
        <v>0</v>
      </c>
      <c r="G209" s="39" t="n">
        <f aca="false">IF(G$4=0,0,IF(COUNTIFS(実績!$W$6:$W$505,G$3,実績!$AI$6:$AI$505,"&lt;="&amp;$A209,実績!$AJ$6:$AJ$505,"&gt;"&amp;$A209,実績!$AL$6:$AL$505,"○")&gt;0,1,0))</f>
        <v>0</v>
      </c>
      <c r="H209" s="39" t="n">
        <f aca="false">IF(H$4=0,0,IF(COUNTIFS(実績!$W$6:$W$505,H$3,実績!$AI$6:$AI$505,"&lt;="&amp;$A209,実績!$AJ$6:$AJ$505,"&gt;"&amp;$A209,実績!$AL$6:$AL$505,"○")&gt;0,1,0))</f>
        <v>0</v>
      </c>
      <c r="I209" s="39" t="n">
        <f aca="false">IF(I$4=0,0,IF(COUNTIFS(実績!$W$6:$W$505,I$3,実績!$AI$6:$AI$505,"&lt;="&amp;$A209,実績!$AJ$6:$AJ$505,"&gt;"&amp;$A209,実績!$AL$6:$AL$505,"○")&gt;0,1,0))</f>
        <v>0</v>
      </c>
      <c r="J209" s="39" t="n">
        <f aca="false">IF(J$4=0,0,IF(COUNTIFS(実績!$W$6:$W$505,J$3,実績!$AI$6:$AI$505,"&lt;="&amp;$A209,実績!$AJ$6:$AJ$505,"&gt;"&amp;$A209,実績!$AL$6:$AL$505,"○")&gt;0,1,0))</f>
        <v>0</v>
      </c>
      <c r="K209" s="39" t="n">
        <f aca="false">IF(K$4=0,0,IF(COUNTIFS(実績!$W$6:$W$505,K$3,実績!$AI$6:$AI$505,"&lt;="&amp;$A209,実績!$AJ$6:$AJ$505,"&gt;"&amp;$A209,実績!$AL$6:$AL$505,"○")&gt;0,1,0))</f>
        <v>0</v>
      </c>
      <c r="L209" s="39" t="n">
        <f aca="false">IF(L$4=0,0,IF(COUNTIFS(実績!$W$6:$W$505,L$3,実績!$AI$6:$AI$505,"&lt;="&amp;$A209,実績!$AJ$6:$AJ$505,"&gt;"&amp;$A209,実績!$AL$6:$AL$505,"○")&gt;0,1,0))</f>
        <v>0</v>
      </c>
      <c r="M209" s="39" t="n">
        <f aca="false">IF(M$4=0,0,IF(COUNTIFS(実績!$W$6:$W$505,M$3,実績!$AI$6:$AI$505,"&lt;="&amp;$A209,実績!$AJ$6:$AJ$505,"&gt;"&amp;$A209,実績!$AL$6:$AL$505,"○")&gt;0,1,0))</f>
        <v>0</v>
      </c>
      <c r="N209" s="39" t="n">
        <f aca="false">IF(N$4=0,0,IF(COUNTIFS(実績!$W$6:$W$505,N$3,実績!$AI$6:$AI$505,"&lt;="&amp;$A209,実績!$AJ$6:$AJ$505,"&gt;"&amp;$A209,実績!$AL$6:$AL$505,"○")&gt;0,1,0))</f>
        <v>0</v>
      </c>
      <c r="O209" s="39" t="n">
        <f aca="false">IF(O$4=0,0,IF(COUNTIFS(実績!$W$6:$W$505,O$3,実績!$AI$6:$AI$505,"&lt;="&amp;$A209,実績!$AJ$6:$AJ$505,"&gt;"&amp;$A209,実績!$AL$6:$AL$505,"○")&gt;0,1,0))</f>
        <v>0</v>
      </c>
      <c r="P209" s="39" t="n">
        <f aca="false">IF(P$4=0,0,IF(COUNTIFS(実績!$W$6:$W$505,P$3,実績!$AI$6:$AI$505,"&lt;="&amp;$A209,実績!$AJ$6:$AJ$505,"&gt;"&amp;$A209,実績!$AL$6:$AL$505,"○")&gt;0,1,0))</f>
        <v>0</v>
      </c>
      <c r="Q209" s="39" t="n">
        <f aca="false">IF(Q$4=0,0,IF(COUNTIFS(実績!$W$6:$W$505,Q$3,実績!$AI$6:$AI$505,"&lt;="&amp;$A209,実績!$AJ$6:$AJ$505,"&gt;"&amp;$A209,実績!$AL$6:$AL$505,"○")&gt;0,1,0))</f>
        <v>0</v>
      </c>
      <c r="R209" s="39" t="n">
        <f aca="false">IF(R$4=0,0,IF(COUNTIFS(実績!$W$6:$W$505,R$3,実績!$AI$6:$AI$505,"&lt;="&amp;$A209,実績!$AJ$6:$AJ$505,"&gt;"&amp;$A209,実績!$AL$6:$AL$505,"○")&gt;0,1,0))</f>
        <v>0</v>
      </c>
      <c r="S209" s="39" t="n">
        <f aca="false">IF(S$4=0,0,IF(COUNTIFS(実績!$W$6:$W$505,S$3,実績!$AI$6:$AI$505,"&lt;="&amp;$A209,実績!$AJ$6:$AJ$505,"&gt;"&amp;$A209,実績!$AL$6:$AL$505,"○")&gt;0,1,0))</f>
        <v>0</v>
      </c>
      <c r="T209" s="39" t="n">
        <f aca="false">IF(T$4=0,0,IF(COUNTIFS(実績!$W$6:$W$505,T$3,実績!$AI$6:$AI$505,"&lt;="&amp;$A209,実績!$AJ$6:$AJ$505,"&gt;"&amp;$A209,実績!$AL$6:$AL$505,"○")&gt;0,1,0))</f>
        <v>0</v>
      </c>
      <c r="U209" s="39" t="n">
        <f aca="false">IF(U$4=0,0,IF(COUNTIFS(実績!$W$6:$W$505,U$3,実績!$AI$6:$AI$505,"&lt;="&amp;$A209,実績!$AJ$6:$AJ$505,"&gt;"&amp;$A209,実績!$AL$6:$AL$505,"○")&gt;0,1,0))</f>
        <v>0</v>
      </c>
      <c r="V209" s="39" t="n">
        <f aca="false">IF(V$4=0,0,IF(COUNTIFS(実績!$W$6:$W$505,V$3,実績!$AI$6:$AI$505,"&lt;="&amp;$A209,実績!$AJ$6:$AJ$505,"&gt;"&amp;$A209,実績!$AL$6:$AL$505,"○")&gt;0,1,0))</f>
        <v>0</v>
      </c>
      <c r="W209" s="39" t="n">
        <f aca="false">IF(W$4=0,0,IF(COUNTIFS(実績!$W$6:$W$505,W$3,実績!$AI$6:$AI$505,"&lt;="&amp;$A209,実績!$AJ$6:$AJ$505,"&gt;"&amp;$A209,実績!$AL$6:$AL$505,"○")&gt;0,1,0))</f>
        <v>0</v>
      </c>
      <c r="X209" s="39" t="n">
        <f aca="false">IF(X$4=0,0,IF(COUNTIFS(実績!$W$6:$W$505,X$3,実績!$AI$6:$AI$505,"&lt;="&amp;$A209,実績!$AJ$6:$AJ$505,"&gt;"&amp;$A209,実績!$AL$6:$AL$505,"○")&gt;0,1,0))</f>
        <v>0</v>
      </c>
      <c r="Y209" s="39" t="n">
        <f aca="false">IF(Y$4=0,0,IF(COUNTIFS(実績!$W$6:$W$505,Y$3,実績!$AI$6:$AI$505,"&lt;="&amp;$A209,実績!$AJ$6:$AJ$505,"&gt;"&amp;$A209,実績!$AL$6:$AL$505,"○")&gt;0,1,0))</f>
        <v>0</v>
      </c>
      <c r="Z209" s="39" t="n">
        <f aca="false">IF(Z$4=0,0,IF(COUNTIFS(実績!$W$6:$W$505,Z$3,実績!$AI$6:$AI$505,"&lt;="&amp;$A209,実績!$AJ$6:$AJ$505,"&gt;"&amp;$A209,実績!$AL$6:$AL$505,"○")&gt;0,1,0))</f>
        <v>0</v>
      </c>
      <c r="AA209" s="39" t="n">
        <f aca="false">IF(AA$4=0,0,IF(COUNTIFS(実績!$W$6:$W$505,AA$3,実績!$AI$6:$AI$505,"&lt;="&amp;$A209,実績!$AJ$6:$AJ$505,"&gt;"&amp;$A209,実績!$AL$6:$AL$505,"○")&gt;0,1,0))</f>
        <v>0</v>
      </c>
      <c r="AB209" s="39" t="n">
        <f aca="false">IF(AB$4=0,0,IF(COUNTIFS(実績!$W$6:$W$505,AB$3,実績!$AI$6:$AI$505,"&lt;="&amp;$A209,実績!$AJ$6:$AJ$505,"&gt;"&amp;$A209,実績!$AL$6:$AL$505,"○")&gt;0,1,0))</f>
        <v>0</v>
      </c>
      <c r="AC209" s="39" t="n">
        <f aca="false">IF(AC$4=0,0,IF(COUNTIFS(実績!$W$6:$W$505,AC$3,実績!$AI$6:$AI$505,"&lt;="&amp;$A209,実績!$AJ$6:$AJ$505,"&gt;"&amp;$A209,実績!$AL$6:$AL$505,"○")&gt;0,1,0))</f>
        <v>0</v>
      </c>
      <c r="AD209" s="39" t="n">
        <f aca="false">IF(AD$4=0,0,IF(COUNTIFS(実績!$W$6:$W$505,AD$3,実績!$AI$6:$AI$505,"&lt;="&amp;$A209,実績!$AJ$6:$AJ$505,"&gt;"&amp;$A209,実績!$AL$6:$AL$505,"○")&gt;0,1,0))</f>
        <v>0</v>
      </c>
      <c r="AE209" s="39" t="n">
        <f aca="false">IF(AE$4=0,0,IF(COUNTIFS(実績!$W$6:$W$505,AE$3,実績!$AI$6:$AI$505,"&lt;="&amp;$A209,実績!$AJ$6:$AJ$505,"&gt;"&amp;$A209,実績!$AL$6:$AL$505,"○")&gt;0,1,0))</f>
        <v>0</v>
      </c>
      <c r="AF209" s="39" t="n">
        <f aca="false">IF(AF$4=0,0,IF(COUNTIFS(実績!$W$6:$W$505,AF$3,実績!$AI$6:$AI$505,"&lt;="&amp;$A209,実績!$AJ$6:$AJ$505,"&gt;"&amp;$A209,実績!$AL$6:$AL$505,"○")&gt;0,1,0))</f>
        <v>0</v>
      </c>
      <c r="AG209" s="39" t="n">
        <f aca="false">IF(AG$4=0,0,IF(COUNTIFS(実績!$W$6:$W$505,AG$3,実績!$AI$6:$AI$505,"&lt;="&amp;$A209,実績!$AJ$6:$AJ$505,"&gt;"&amp;$A209,実績!$AL$6:$AL$505,"○")&gt;0,1,0))</f>
        <v>0</v>
      </c>
      <c r="AH209" s="39" t="n">
        <f aca="false">IF(AH$4=0,0,IF(COUNTIFS(実績!$W$6:$W$505,AH$3,実績!$AI$6:$AI$505,"&lt;="&amp;$A209,実績!$AJ$6:$AJ$505,"&gt;"&amp;$A209,実績!$AL$6:$AL$505,"○")&gt;0,1,0))</f>
        <v>0</v>
      </c>
      <c r="AI209" s="39" t="n">
        <f aca="false">IF(AI$4=0,0,IF(COUNTIFS(実績!$W$6:$W$505,AI$3,実績!$AI$6:$AI$505,"&lt;="&amp;$A209,実績!$AJ$6:$AJ$505,"&gt;"&amp;$A209,実績!$AL$6:$AL$505,"○")&gt;0,1,0))</f>
        <v>0</v>
      </c>
      <c r="AJ209" s="39" t="n">
        <f aca="false">IF(AJ$4=0,0,IF(COUNTIFS(実績!$W$6:$W$505,AJ$3,実績!$AI$6:$AI$505,"&lt;="&amp;$A209,実績!$AJ$6:$AJ$505,"&gt;"&amp;$A209,実績!$AL$6:$AL$505,"○")&gt;0,1,0))</f>
        <v>0</v>
      </c>
      <c r="AK209" s="39" t="n">
        <f aca="false">IF(AK$4=0,0,IF(COUNTIFS(実績!$W$6:$W$505,AK$3,実績!$AI$6:$AI$505,"&lt;="&amp;$A209,実績!$AJ$6:$AJ$505,"&gt;"&amp;$A209,実績!$AL$6:$AL$505,"○")&gt;0,1,0))</f>
        <v>0</v>
      </c>
      <c r="AL209" s="39" t="n">
        <f aca="false">IF(AL$4=0,0,IF(COUNTIFS(実績!$W$6:$W$505,AL$3,実績!$AI$6:$AI$505,"&lt;="&amp;$A209,実績!$AJ$6:$AJ$505,"&gt;"&amp;$A209,実績!$AL$6:$AL$505,"○")&gt;0,1,0))</f>
        <v>0</v>
      </c>
      <c r="AM209" s="39" t="n">
        <f aca="false">IF(AM$4=0,0,IF(COUNTIFS(実績!$W$6:$W$505,AM$3,実績!$AI$6:$AI$505,"&lt;="&amp;$A209,実績!$AJ$6:$AJ$505,"&gt;"&amp;$A209,実績!$AL$6:$AL$505,"○")&gt;0,1,0))</f>
        <v>0</v>
      </c>
      <c r="AN209" s="39" t="n">
        <f aca="false">IF(AN$4=0,0,IF(COUNTIFS(実績!$W$6:$W$505,AN$3,実績!$AI$6:$AI$505,"&lt;="&amp;$A209,実績!$AJ$6:$AJ$505,"&gt;"&amp;$A209,実績!$AL$6:$AL$505,"○")&gt;0,1,0))</f>
        <v>0</v>
      </c>
      <c r="AO209" s="39" t="n">
        <f aca="false">IF(AO$4=0,0,IF(COUNTIFS(実績!$W$6:$W$505,AO$3,実績!$AI$6:$AI$505,"&lt;="&amp;$A209,実績!$AJ$6:$AJ$505,"&gt;"&amp;$A209,実績!$AL$6:$AL$505,"○")&gt;0,1,0))</f>
        <v>0</v>
      </c>
      <c r="AP209" s="39" t="n">
        <f aca="false">IF(AP$4=0,0,IF(COUNTIFS(実績!$W$6:$W$505,AP$3,実績!$AI$6:$AI$505,"&lt;="&amp;$A209,実績!$AJ$6:$AJ$505,"&gt;"&amp;$A209,実績!$AL$6:$AL$505,"○")&gt;0,1,0))</f>
        <v>0</v>
      </c>
      <c r="AQ209" s="39" t="n">
        <f aca="false">IF(AQ$4=0,0,IF(COUNTIFS(実績!$W$6:$W$505,AQ$3,実績!$AI$6:$AI$505,"&lt;="&amp;$A209,実績!$AJ$6:$AJ$505,"&gt;"&amp;$A209,実績!$AL$6:$AL$505,"○")&gt;0,1,0))</f>
        <v>0</v>
      </c>
      <c r="AR209" s="39" t="n">
        <f aca="false">IF(AR$4=0,0,IF(COUNTIFS(実績!$W$6:$W$505,AR$3,実績!$AI$6:$AI$505,"&lt;="&amp;$A209,実績!$AJ$6:$AJ$505,"&gt;"&amp;$A209,実績!$AL$6:$AL$505,"○")&gt;0,1,0))</f>
        <v>0</v>
      </c>
      <c r="AS209" s="39" t="n">
        <f aca="false">IF(AS$4=0,0,IF(COUNTIFS(実績!$W$6:$W$505,AS$3,実績!$AI$6:$AI$505,"&lt;="&amp;$A209,実績!$AJ$6:$AJ$505,"&gt;"&amp;$A209,実績!$AL$6:$AL$505,"○")&gt;0,1,0))</f>
        <v>0</v>
      </c>
      <c r="AT209" s="39" t="n">
        <f aca="false">IF(AT$4=0,0,IF(COUNTIFS(実績!$W$6:$W$505,AT$3,実績!$AI$6:$AI$505,"&lt;="&amp;$A209,実績!$AJ$6:$AJ$505,"&gt;"&amp;$A209,実績!$AL$6:$AL$505,"○")&gt;0,1,0))</f>
        <v>0</v>
      </c>
      <c r="AU209" s="39" t="n">
        <f aca="false">IF(AU$4=0,0,IF(COUNTIFS(実績!$W$6:$W$505,AU$3,実績!$AI$6:$AI$505,"&lt;="&amp;$A209,実績!$AJ$6:$AJ$505,"&gt;"&amp;$A209,実績!$AL$6:$AL$505,"○")&gt;0,1,0))</f>
        <v>0</v>
      </c>
      <c r="AV209" s="39" t="n">
        <f aca="false">IF(AV$4=0,0,IF(COUNTIFS(実績!$W$6:$W$505,AV$3,実績!$AI$6:$AI$505,"&lt;="&amp;$A209,実績!$AJ$6:$AJ$505,"&gt;"&amp;$A209,実績!$AL$6:$AL$505,"○")&gt;0,1,0))</f>
        <v>0</v>
      </c>
      <c r="AW209" s="39" t="n">
        <f aca="false">IF(AW$4=0,0,IF(COUNTIFS(実績!$W$6:$W$505,AW$3,実績!$AI$6:$AI$505,"&lt;="&amp;$A209,実績!$AJ$6:$AJ$505,"&gt;"&amp;$A209,実績!$AL$6:$AL$505,"○")&gt;0,1,0))</f>
        <v>0</v>
      </c>
      <c r="AX209" s="39" t="n">
        <f aca="false">IF(AX$4=0,0,IF(COUNTIFS(実績!$W$6:$W$505,AX$3,実績!$AI$6:$AI$505,"&lt;="&amp;$A209,実績!$AJ$6:$AJ$505,"&gt;"&amp;$A209,実績!$AL$6:$AL$505,"○")&gt;0,1,0))</f>
        <v>0</v>
      </c>
      <c r="AY209" s="39" t="n">
        <f aca="false">IF(AY$4=0,0,IF(COUNTIFS(実績!$W$6:$W$505,AY$3,実績!$AI$6:$AI$505,"&lt;="&amp;$A209,実績!$AJ$6:$AJ$505,"&gt;"&amp;$A209,実績!$AL$6:$AL$505,"○")&gt;0,1,0))</f>
        <v>0</v>
      </c>
      <c r="AZ209" s="39" t="n">
        <f aca="false">IF(AZ$4=0,0,IF(COUNTIFS(実績!$W$6:$W$505,AZ$3,実績!$AI$6:$AI$505,"&lt;="&amp;$A209,実績!$AJ$6:$AJ$505,"&gt;"&amp;$A209,実績!$AL$6:$AL$505,"○")&gt;0,1,0))</f>
        <v>0</v>
      </c>
      <c r="BA209" s="39" t="n">
        <f aca="false">IF(BA$4=0,0,IF(COUNTIFS(実績!$W$6:$W$505,BA$3,実績!$AI$6:$AI$505,"&lt;="&amp;$A209,実績!$AJ$6:$AJ$505,"&gt;"&amp;$A209,実績!$AL$6:$AL$505,"○")&gt;0,1,0))</f>
        <v>0</v>
      </c>
      <c r="BB209" s="39" t="n">
        <f aca="false">IF(BB$4=0,0,IF(COUNTIFS(実績!$W$6:$W$505,BB$3,実績!$AI$6:$AI$505,"&lt;="&amp;$A209,実績!$AJ$6:$AJ$505,"&gt;"&amp;$A209,実績!$AL$6:$AL$505,"○")&gt;0,1,0))</f>
        <v>0</v>
      </c>
      <c r="BC209" s="39" t="n">
        <f aca="false">IF(BC$4=0,0,IF(COUNTIFS(実績!$W$6:$W$505,BC$3,実績!$AI$6:$AI$505,"&lt;="&amp;$A209,実績!$AJ$6:$AJ$505,"&gt;"&amp;$A209,実績!$AL$6:$AL$505,"○")&gt;0,1,0))</f>
        <v>0</v>
      </c>
      <c r="BD209" s="39" t="n">
        <f aca="false">IF(BD$4=0,0,IF(COUNTIFS(実績!$W$6:$W$505,BD$3,実績!$AI$6:$AI$505,"&lt;="&amp;$A209,実績!$AJ$6:$AJ$505,"&gt;"&amp;$A209,実績!$AL$6:$AL$505,"○")&gt;0,1,0))</f>
        <v>0</v>
      </c>
      <c r="BE209" s="39" t="n">
        <f aca="false">IF(BE$4=0,0,IF(COUNTIFS(実績!$W$6:$W$505,BE$3,実績!$AI$6:$AI$505,"&lt;="&amp;$A209,実績!$AJ$6:$AJ$505,"&gt;"&amp;$A209,実績!$AL$6:$AL$505,"○")&gt;0,1,0))</f>
        <v>0</v>
      </c>
      <c r="BF209" s="39" t="n">
        <f aca="false">IF(BF$4=0,0,IF(COUNTIFS(実績!$W$6:$W$505,BF$3,実績!$AI$6:$AI$505,"&lt;="&amp;$A209,実績!$AJ$6:$AJ$505,"&gt;"&amp;$A209,実績!$AL$6:$AL$505,"○")&gt;0,1,0))</f>
        <v>0</v>
      </c>
      <c r="BG209" s="39" t="n">
        <f aca="false">IF(BG$4=0,0,IF(COUNTIFS(実績!$W$6:$W$505,BG$3,実績!$AI$6:$AI$505,"&lt;="&amp;$A209,実績!$AJ$6:$AJ$505,"&gt;"&amp;$A209,実績!$AL$6:$AL$505,"○")&gt;0,1,0))</f>
        <v>0</v>
      </c>
      <c r="BH209" s="39" t="n">
        <f aca="false">IF(BH$4=0,0,IF(COUNTIFS(実績!$W$6:$W$505,BH$3,実績!$AI$6:$AI$505,"&lt;="&amp;$A209,実績!$AJ$6:$AJ$505,"&gt;"&amp;$A209,実績!$AL$6:$AL$505,"○")&gt;0,1,0))</f>
        <v>0</v>
      </c>
      <c r="BI209" s="39" t="n">
        <f aca="false">IF(BI$4=0,0,IF(COUNTIFS(実績!$W$6:$W$505,BI$3,実績!$AI$6:$AI$505,"&lt;="&amp;$A209,実績!$AJ$6:$AJ$505,"&gt;"&amp;$A209,実績!$AL$6:$AL$505,"○")&gt;0,1,0))</f>
        <v>0</v>
      </c>
      <c r="BJ209" s="39" t="n">
        <f aca="false">IF(BJ$4=0,0,IF(COUNTIFS(実績!$W$6:$W$505,BJ$3,実績!$AI$6:$AI$505,"&lt;="&amp;$A209,実績!$AJ$6:$AJ$505,"&gt;"&amp;$A209,実績!$AL$6:$AL$505,"○")&gt;0,1,0))</f>
        <v>0</v>
      </c>
      <c r="BK209" s="39" t="n">
        <f aca="false">IF(BK$4=0,0,IF(COUNTIFS(実績!$W$6:$W$505,BK$3,実績!$AI$6:$AI$505,"&lt;="&amp;$A209,実績!$AJ$6:$AJ$505,"&gt;"&amp;$A209,実績!$AL$6:$AL$505,"○")&gt;0,1,0))</f>
        <v>0</v>
      </c>
      <c r="BL209" s="39" t="n">
        <f aca="false">IF(BL$4=0,0,IF(COUNTIFS(実績!$W$6:$W$505,BL$3,実績!$AI$6:$AI$505,"&lt;="&amp;$A209,実績!$AJ$6:$AJ$505,"&gt;"&amp;$A209,実績!$AL$6:$AL$505,"○")&gt;0,1,0))</f>
        <v>0</v>
      </c>
      <c r="BM209" s="39" t="n">
        <f aca="false">IF(BM$4=0,0,IF(COUNTIFS(実績!$W$6:$W$505,BM$3,実績!$AI$6:$AI$505,"&lt;="&amp;$A209,実績!$AJ$6:$AJ$505,"&gt;"&amp;$A209,実績!$AL$6:$AL$505,"○")&gt;0,1,0))</f>
        <v>0</v>
      </c>
      <c r="BN209" s="39" t="n">
        <f aca="false">IF(BN$4=0,0,IF(COUNTIFS(実績!$W$6:$W$505,BN$3,実績!$AI$6:$AI$505,"&lt;="&amp;$A209,実績!$AJ$6:$AJ$505,"&gt;"&amp;$A209,実績!$AL$6:$AL$505,"○")&gt;0,1,0))</f>
        <v>0</v>
      </c>
      <c r="BO209" s="39" t="n">
        <f aca="false">IF(BO$4=0,0,IF(COUNTIFS(実績!$W$6:$W$505,BO$3,実績!$AI$6:$AI$505,"&lt;="&amp;$A209,実績!$AJ$6:$AJ$505,"&gt;"&amp;$A209,実績!$AL$6:$AL$505,"○")&gt;0,1,0))</f>
        <v>0</v>
      </c>
      <c r="BP209" s="39" t="n">
        <f aca="false">IF(BP$4=0,0,IF(COUNTIFS(実績!$W$6:$W$505,BP$3,実績!$AI$6:$AI$505,"&lt;="&amp;$A209,実績!$AJ$6:$AJ$505,"&gt;"&amp;$A209,実績!$AL$6:$AL$505,"○")&gt;0,1,0))</f>
        <v>0</v>
      </c>
      <c r="BQ209" s="39" t="n">
        <f aca="false">IF(BQ$4=0,0,IF(COUNTIFS(実績!$W$6:$W$505,BQ$3,実績!$AI$6:$AI$505,"&lt;="&amp;$A209,実績!$AJ$6:$AJ$505,"&gt;"&amp;$A209,実績!$AL$6:$AL$505,"○")&gt;0,1,0))</f>
        <v>0</v>
      </c>
      <c r="BR209" s="39" t="n">
        <f aca="false">IF(BR$4=0,0,IF(COUNTIFS(実績!$W$6:$W$505,BR$3,実績!$AI$6:$AI$505,"&lt;="&amp;$A209,実績!$AJ$6:$AJ$505,"&gt;"&amp;$A209,実績!$AL$6:$AL$505,"○")&gt;0,1,0))</f>
        <v>0</v>
      </c>
      <c r="BS209" s="39" t="n">
        <f aca="false">IF(BS$4=0,0,IF(COUNTIFS(実績!$W$6:$W$505,BS$3,実績!$AI$6:$AI$505,"&lt;="&amp;$A209,実績!$AJ$6:$AJ$505,"&gt;"&amp;$A209,実績!$AL$6:$AL$505,"○")&gt;0,1,0))</f>
        <v>0</v>
      </c>
      <c r="BT209" s="39" t="n">
        <f aca="false">IF(BT$4=0,0,IF(COUNTIFS(実績!$W$6:$W$505,BT$3,実績!$AI$6:$AI$505,"&lt;="&amp;$A209,実績!$AJ$6:$AJ$505,"&gt;"&amp;$A209,実績!$AL$6:$AL$505,"○")&gt;0,1,0))</f>
        <v>0</v>
      </c>
      <c r="BU209" s="39" t="n">
        <f aca="false">IF(BU$4=0,0,IF(COUNTIFS(実績!$W$6:$W$505,BU$3,実績!$AI$6:$AI$505,"&lt;="&amp;$A209,実績!$AJ$6:$AJ$505,"&gt;"&amp;$A209,実績!$AL$6:$AL$505,"○")&gt;0,1,0))</f>
        <v>0</v>
      </c>
      <c r="BV209" s="39" t="n">
        <f aca="false">IF(BV$4=0,0,IF(COUNTIFS(実績!$W$6:$W$505,BV$3,実績!$AI$6:$AI$505,"&lt;="&amp;$A209,実績!$AJ$6:$AJ$505,"&gt;"&amp;$A209,実績!$AL$6:$AL$505,"○")&gt;0,1,0))</f>
        <v>0</v>
      </c>
      <c r="BW209" s="39" t="n">
        <f aca="false">IF(BW$4=0,0,IF(COUNTIFS(実績!$W$6:$W$505,BW$3,実績!$AI$6:$AI$505,"&lt;="&amp;$A209,実績!$AJ$6:$AJ$505,"&gt;"&amp;$A209,実績!$AL$6:$AL$505,"○")&gt;0,1,0))</f>
        <v>0</v>
      </c>
      <c r="BX209" s="39" t="n">
        <f aca="false">IF(BX$4=0,0,IF(COUNTIFS(実績!$W$6:$W$505,BX$3,実績!$AI$6:$AI$505,"&lt;="&amp;$A209,実績!$AJ$6:$AJ$505,"&gt;"&amp;$A209,実績!$AL$6:$AL$505,"○")&gt;0,1,0))</f>
        <v>0</v>
      </c>
      <c r="BY209" s="39" t="n">
        <f aca="false">IF(BY$4=0,0,IF(COUNTIFS(実績!$W$6:$W$505,BY$3,実績!$AI$6:$AI$505,"&lt;="&amp;$A209,実績!$AJ$6:$AJ$505,"&gt;"&amp;$A209,実績!$AL$6:$AL$505,"○")&gt;0,1,0))</f>
        <v>0</v>
      </c>
      <c r="BZ209" s="39" t="n">
        <f aca="false">IF(BZ$4=0,0,IF(COUNTIFS(実績!$W$6:$W$505,BZ$3,実績!$AI$6:$AI$505,"&lt;="&amp;$A209,実績!$AJ$6:$AJ$505,"&gt;"&amp;$A209,実績!$AL$6:$AL$505,"○")&gt;0,1,0))</f>
        <v>0</v>
      </c>
      <c r="CA209" s="39" t="n">
        <f aca="false">IF(CA$4=0,0,IF(COUNTIFS(実績!$W$6:$W$505,CA$3,実績!$AI$6:$AI$505,"&lt;="&amp;$A209,実績!$AJ$6:$AJ$505,"&gt;"&amp;$A209,実績!$AL$6:$AL$505,"○")&gt;0,1,0))</f>
        <v>0</v>
      </c>
      <c r="CB209" s="39" t="n">
        <f aca="false">IF(CB$4=0,0,IF(COUNTIFS(実績!$W$6:$W$505,CB$3,実績!$AI$6:$AI$505,"&lt;="&amp;$A209,実績!$AJ$6:$AJ$505,"&gt;"&amp;$A209,実績!$AL$6:$AL$505,"○")&gt;0,1,0))</f>
        <v>0</v>
      </c>
      <c r="CC209" s="39" t="n">
        <f aca="false">IF(CC$4=0,0,IF(COUNTIFS(実績!$W$6:$W$505,CC$3,実績!$AI$6:$AI$505,"&lt;="&amp;$A209,実績!$AJ$6:$AJ$505,"&gt;"&amp;$A209,実績!$AL$6:$AL$505,"○")&gt;0,1,0))</f>
        <v>0</v>
      </c>
      <c r="CD209" s="39" t="n">
        <f aca="false">IF(CD$4=0,0,IF(COUNTIFS(実績!$W$6:$W$505,CD$3,実績!$AI$6:$AI$505,"&lt;="&amp;$A209,実績!$AJ$6:$AJ$505,"&gt;"&amp;$A209,実績!$AL$6:$AL$505,"○")&gt;0,1,0))</f>
        <v>0</v>
      </c>
      <c r="CE209" s="39" t="n">
        <f aca="false">IF(CE$4=0,0,IF(COUNTIFS(実績!$W$6:$W$505,CE$3,実績!$AI$6:$AI$505,"&lt;="&amp;$A209,実績!$AJ$6:$AJ$505,"&gt;"&amp;$A209,実績!$AL$6:$AL$505,"○")&gt;0,1,0))</f>
        <v>0</v>
      </c>
      <c r="CF209" s="39" t="n">
        <f aca="false">IF(CF$4=0,0,IF(COUNTIFS(実績!$W$6:$W$505,CF$3,実績!$AI$6:$AI$505,"&lt;="&amp;$A209,実績!$AJ$6:$AJ$505,"&gt;"&amp;$A209,実績!$AL$6:$AL$505,"○")&gt;0,1,0))</f>
        <v>0</v>
      </c>
      <c r="CG209" s="39" t="n">
        <f aca="false">IF(CG$4=0,0,IF(COUNTIFS(実績!$W$6:$W$505,CG$3,実績!$AI$6:$AI$505,"&lt;="&amp;$A209,実績!$AJ$6:$AJ$505,"&gt;"&amp;$A209,実績!$AL$6:$AL$505,"○")&gt;0,1,0))</f>
        <v>0</v>
      </c>
      <c r="CH209" s="39" t="n">
        <f aca="false">IF(CH$4=0,0,IF(COUNTIFS(実績!$W$6:$W$505,CH$3,実績!$AI$6:$AI$505,"&lt;="&amp;$A209,実績!$AJ$6:$AJ$505,"&gt;"&amp;$A209,実績!$AL$6:$AL$505,"○")&gt;0,1,0))</f>
        <v>0</v>
      </c>
      <c r="CI209" s="39" t="n">
        <f aca="false">IF(CI$4=0,0,IF(COUNTIFS(実績!$W$6:$W$505,CI$3,実績!$AI$6:$AI$505,"&lt;="&amp;$A209,実績!$AJ$6:$AJ$505,"&gt;"&amp;$A209,実績!$AL$6:$AL$505,"○")&gt;0,1,0))</f>
        <v>0</v>
      </c>
      <c r="CJ209" s="39" t="n">
        <f aca="false">IF(CJ$4=0,0,IF(COUNTIFS(実績!$W$6:$W$505,CJ$3,実績!$AI$6:$AI$505,"&lt;="&amp;$A209,実績!$AJ$6:$AJ$505,"&gt;"&amp;$A209,実績!$AL$6:$AL$505,"○")&gt;0,1,0))</f>
        <v>0</v>
      </c>
      <c r="CK209" s="39" t="n">
        <f aca="false">IF(CK$4=0,0,IF(COUNTIFS(実績!$W$6:$W$505,CK$3,実績!$AI$6:$AI$505,"&lt;="&amp;$A209,実績!$AJ$6:$AJ$505,"&gt;"&amp;$A209,実績!$AL$6:$AL$505,"○")&gt;0,1,0))</f>
        <v>0</v>
      </c>
      <c r="CL209" s="39" t="n">
        <f aca="false">IF(CL$4=0,0,IF(COUNTIFS(実績!$W$6:$W$505,CL$3,実績!$AI$6:$AI$505,"&lt;="&amp;$A209,実績!$AJ$6:$AJ$505,"&gt;"&amp;$A209,実績!$AL$6:$AL$505,"○")&gt;0,1,0))</f>
        <v>0</v>
      </c>
      <c r="CM209" s="39" t="n">
        <f aca="false">IF(CM$4=0,0,IF(COUNTIFS(実績!$W$6:$W$505,CM$3,実績!$AI$6:$AI$505,"&lt;="&amp;$A209,実績!$AJ$6:$AJ$505,"&gt;"&amp;$A209,実績!$AL$6:$AL$505,"○")&gt;0,1,0))</f>
        <v>0</v>
      </c>
      <c r="CN209" s="39" t="n">
        <f aca="false">IF(CN$4=0,0,IF(COUNTIFS(実績!$W$6:$W$505,CN$3,実績!$AI$6:$AI$505,"&lt;="&amp;$A209,実績!$AJ$6:$AJ$505,"&gt;"&amp;$A209,実績!$AL$6:$AL$505,"○")&gt;0,1,0))</f>
        <v>0</v>
      </c>
      <c r="CO209" s="39" t="n">
        <f aca="false">IF(CO$4=0,0,IF(COUNTIFS(実績!$W$6:$W$505,CO$3,実績!$AI$6:$AI$505,"&lt;="&amp;$A209,実績!$AJ$6:$AJ$505,"&gt;"&amp;$A209,実績!$AL$6:$AL$505,"○")&gt;0,1,0))</f>
        <v>0</v>
      </c>
      <c r="CP209" s="39" t="n">
        <f aca="false">IF(CP$4=0,0,IF(COUNTIFS(実績!$W$6:$W$505,CP$3,実績!$AI$6:$AI$505,"&lt;="&amp;$A209,実績!$AJ$6:$AJ$505,"&gt;"&amp;$A209,実績!$AL$6:$AL$505,"○")&gt;0,1,0))</f>
        <v>0</v>
      </c>
      <c r="CQ209" s="39" t="n">
        <f aca="false">IF(CQ$4=0,0,IF(COUNTIFS(実績!$W$6:$W$505,CQ$3,実績!$AI$6:$AI$505,"&lt;="&amp;$A209,実績!$AJ$6:$AJ$505,"&gt;"&amp;$A209,実績!$AL$6:$AL$505,"○")&gt;0,1,0))</f>
        <v>0</v>
      </c>
      <c r="CR209" s="39" t="n">
        <f aca="false">IF(CR$4=0,0,IF(COUNTIFS(実績!$W$6:$W$505,CR$3,実績!$AI$6:$AI$505,"&lt;="&amp;$A209,実績!$AJ$6:$AJ$505,"&gt;"&amp;$A209,実績!$AL$6:$AL$505,"○")&gt;0,1,0))</f>
        <v>0</v>
      </c>
      <c r="CS209" s="39" t="n">
        <f aca="false">IF(CS$4=0,0,IF(COUNTIFS(実績!$W$6:$W$505,CS$3,実績!$AI$6:$AI$505,"&lt;="&amp;$A209,実績!$AJ$6:$AJ$505,"&gt;"&amp;$A209,実績!$AL$6:$AL$505,"○")&gt;0,1,0))</f>
        <v>0</v>
      </c>
      <c r="CT209" s="39" t="n">
        <f aca="false">IF(CT$4=0,0,IF(COUNTIFS(実績!$W$6:$W$505,CT$3,実績!$AI$6:$AI$505,"&lt;="&amp;$A209,実績!$AJ$6:$AJ$505,"&gt;"&amp;$A209,実績!$AL$6:$AL$505,"○")&gt;0,1,0))</f>
        <v>0</v>
      </c>
      <c r="CU209" s="39" t="n">
        <f aca="false">IF(CU$4=0,0,IF(COUNTIFS(実績!$W$6:$W$505,CU$3,実績!$AI$6:$AI$505,"&lt;="&amp;$A209,実績!$AJ$6:$AJ$505,"&gt;"&amp;$A209,実績!$AL$6:$AL$505,"○")&gt;0,1,0))</f>
        <v>0</v>
      </c>
      <c r="CV209" s="39" t="n">
        <f aca="false">IF(CV$4=0,0,IF(COUNTIFS(実績!$W$6:$W$505,CV$3,実績!$AI$6:$AI$505,"&lt;="&amp;$A209,実績!$AJ$6:$AJ$505,"&gt;"&amp;$A209,実績!$AL$6:$AL$505,"○")&gt;0,1,0))</f>
        <v>0</v>
      </c>
      <c r="CW209" s="39" t="n">
        <f aca="false">IF(CW$4=0,0,IF(COUNTIFS(実績!$W$6:$W$505,CW$3,実績!$AI$6:$AI$505,"&lt;="&amp;$A209,実績!$AJ$6:$AJ$505,"&gt;"&amp;$A209,実績!$AL$6:$AL$505,"○")&gt;0,1,0))</f>
        <v>0</v>
      </c>
      <c r="CX209" s="39" t="n">
        <f aca="false">IF(CX$4=0,0,IF(COUNTIFS(実績!$W$6:$W$505,CX$3,実績!$AI$6:$AI$505,"&lt;="&amp;$A209,実績!$AJ$6:$AJ$505,"&gt;"&amp;$A209,実績!$AL$6:$AL$505,"○")&gt;0,1,0))</f>
        <v>0</v>
      </c>
      <c r="CY209" s="39" t="n">
        <f aca="false">IF(CY$4=0,0,IF(COUNTIFS(実績!$W$6:$W$505,CY$3,実績!$AI$6:$AI$505,"&lt;="&amp;$A209,実績!$AJ$6:$AJ$505,"&gt;"&amp;$A209,実績!$AL$6:$AL$505,"○")&gt;0,1,0))</f>
        <v>0</v>
      </c>
      <c r="CZ209" s="39" t="n">
        <f aca="false">IF(CZ$4=0,0,IF(COUNTIFS(実績!$W$6:$W$505,CZ$3,実績!$AI$6:$AI$505,"&lt;="&amp;$A209,実績!$AJ$6:$AJ$505,"&gt;"&amp;$A209,実績!$AL$6:$AL$505,"○")&gt;0,1,0))</f>
        <v>0</v>
      </c>
      <c r="DA209" s="39" t="n">
        <f aca="false">IF(DA$4=0,0,IF(COUNTIFS(実績!$W$6:$W$505,DA$3,実績!$AI$6:$AI$505,"&lt;="&amp;$A209,実績!$AJ$6:$AJ$505,"&gt;"&amp;$A209,実績!$AL$6:$AL$505,"○")&gt;0,1,0))</f>
        <v>0</v>
      </c>
      <c r="DB209" s="39" t="n">
        <f aca="false">IF(DB$4=0,0,IF(COUNTIFS(実績!$W$6:$W$505,DB$3,実績!$AI$6:$AI$505,"&lt;="&amp;$A209,実績!$AJ$6:$AJ$505,"&gt;"&amp;$A209,実績!$AL$6:$AL$505,"○")&gt;0,1,0))</f>
        <v>0</v>
      </c>
      <c r="DC209" s="39" t="n">
        <f aca="false">IF(DC$4=0,0,IF(COUNTIFS(実績!$W$6:$W$505,DC$3,実績!$AI$6:$AI$505,"&lt;="&amp;$A209,実績!$AJ$6:$AJ$505,"&gt;"&amp;$A209,実績!$AL$6:$AL$505,"○")&gt;0,1,0))</f>
        <v>0</v>
      </c>
      <c r="DD209" s="39" t="n">
        <f aca="false">IF(DD$4=0,0,IF(COUNTIFS(実績!$W$6:$W$505,DD$3,実績!$AI$6:$AI$505,"&lt;="&amp;$A209,実績!$AJ$6:$AJ$505,"&gt;"&amp;$A209,実績!$AL$6:$AL$505,"○")&gt;0,1,0))</f>
        <v>0</v>
      </c>
      <c r="DE209" s="39" t="n">
        <f aca="false">IF(DE$4=0,0,IF(COUNTIFS(実績!$W$6:$W$505,DE$3,実績!$AI$6:$AI$505,"&lt;="&amp;$A209,実績!$AJ$6:$AJ$505,"&gt;"&amp;$A209,実績!$AL$6:$AL$505,"○")&gt;0,1,0))</f>
        <v>0</v>
      </c>
      <c r="DF209" s="39" t="n">
        <f aca="false">IF(DF$4=0,0,IF(COUNTIFS(実績!$W$6:$W$505,DF$3,実績!$AI$6:$AI$505,"&lt;="&amp;$A209,実績!$AJ$6:$AJ$505,"&gt;"&amp;$A209,実績!$AL$6:$AL$505,"○")&gt;0,1,0))</f>
        <v>0</v>
      </c>
      <c r="DG209" s="39" t="n">
        <f aca="false">IF(DG$4=0,0,IF(COUNTIFS(実績!$W$6:$W$505,DG$3,実績!$AI$6:$AI$505,"&lt;="&amp;$A209,実績!$AJ$6:$AJ$505,"&gt;"&amp;$A209,実績!$AL$6:$AL$505,"○")&gt;0,1,0))</f>
        <v>0</v>
      </c>
      <c r="DH209" s="39" t="n">
        <f aca="false">IF(DH$4=0,0,IF(COUNTIFS(実績!$W$6:$W$505,DH$3,実績!$AI$6:$AI$505,"&lt;="&amp;$A209,実績!$AJ$6:$AJ$505,"&gt;"&amp;$A209,実績!$AL$6:$AL$505,"○")&gt;0,1,0))</f>
        <v>0</v>
      </c>
      <c r="DI209" s="39" t="n">
        <f aca="false">IF(DI$4=0,0,IF(COUNTIFS(実績!$W$6:$W$505,DI$3,実績!$AI$6:$AI$505,"&lt;="&amp;$A209,実績!$AJ$6:$AJ$505,"&gt;"&amp;$A209,実績!$AL$6:$AL$505,"○")&gt;0,1,0))</f>
        <v>0</v>
      </c>
      <c r="DJ209" s="39" t="n">
        <f aca="false">IF(DJ$4=0,0,IF(COUNTIFS(実績!$W$6:$W$505,DJ$3,実績!$AI$6:$AI$505,"&lt;="&amp;$A209,実績!$AJ$6:$AJ$505,"&gt;"&amp;$A209,実績!$AL$6:$AL$505,"○")&gt;0,1,0))</f>
        <v>0</v>
      </c>
      <c r="DK209" s="39" t="n">
        <f aca="false">IF(DK$4=0,0,IF(COUNTIFS(実績!$W$6:$W$505,DK$3,実績!$AI$6:$AI$505,"&lt;="&amp;$A209,実績!$AJ$6:$AJ$505,"&gt;"&amp;$A209,実績!$AL$6:$AL$505,"○")&gt;0,1,0))</f>
        <v>0</v>
      </c>
      <c r="DL209" s="39" t="n">
        <f aca="false">IF(DL$4=0,0,IF(COUNTIFS(実績!$W$6:$W$505,DL$3,実績!$AI$6:$AI$505,"&lt;="&amp;$A209,実績!$AJ$6:$AJ$505,"&gt;"&amp;$A209,実績!$AL$6:$AL$505,"○")&gt;0,1,0))</f>
        <v>0</v>
      </c>
      <c r="DM209" s="39" t="n">
        <f aca="false">IF(DM$4=0,0,IF(COUNTIFS(実績!$W$6:$W$505,DM$3,実績!$AI$6:$AI$505,"&lt;="&amp;$A209,実績!$AJ$6:$AJ$505,"&gt;"&amp;$A209,実績!$AL$6:$AL$505,"○")&gt;0,1,0))</f>
        <v>0</v>
      </c>
      <c r="DN209" s="39" t="n">
        <f aca="false">IF(DN$4=0,0,IF(COUNTIFS(実績!$W$6:$W$505,DN$3,実績!$AI$6:$AI$505,"&lt;="&amp;$A209,実績!$AJ$6:$AJ$505,"&gt;"&amp;$A209,実績!$AL$6:$AL$505,"○")&gt;0,1,0))</f>
        <v>0</v>
      </c>
      <c r="DO209" s="39" t="n">
        <f aca="false">IF(DO$4=0,0,IF(COUNTIFS(実績!$W$6:$W$505,DO$3,実績!$AI$6:$AI$505,"&lt;="&amp;$A209,実績!$AJ$6:$AJ$505,"&gt;"&amp;$A209,実績!$AL$6:$AL$505,"○")&gt;0,1,0))</f>
        <v>0</v>
      </c>
      <c r="DP209" s="39" t="n">
        <f aca="false">IF(DP$4=0,0,IF(COUNTIFS(実績!$W$6:$W$505,DP$3,実績!$AI$6:$AI$505,"&lt;="&amp;$A209,実績!$AJ$6:$AJ$505,"&gt;"&amp;$A209,実績!$AL$6:$AL$505,"○")&gt;0,1,0))</f>
        <v>0</v>
      </c>
      <c r="DQ209" s="39" t="n">
        <f aca="false">IF(DQ$4=0,0,IF(COUNTIFS(実績!$W$6:$W$505,DQ$3,実績!$AI$6:$AI$505,"&lt;="&amp;$A209,実績!$AJ$6:$AJ$505,"&gt;"&amp;$A209,実績!$AL$6:$AL$505,"○")&gt;0,1,0))</f>
        <v>0</v>
      </c>
      <c r="DR209" s="39" t="n">
        <f aca="false">IF(DR$4=0,0,IF(COUNTIFS(実績!$W$6:$W$505,DR$3,実績!$AI$6:$AI$505,"&lt;="&amp;$A209,実績!$AJ$6:$AJ$505,"&gt;"&amp;$A209,実績!$AL$6:$AL$505,"○")&gt;0,1,0))</f>
        <v>0</v>
      </c>
      <c r="DS209" s="39" t="n">
        <f aca="false">SUM(C209:DR209)</f>
        <v>0</v>
      </c>
    </row>
    <row r="210" customFormat="false" ht="15" hidden="false" customHeight="false" outlineLevel="0" collapsed="false">
      <c r="A210" s="0" t="n">
        <v>1020</v>
      </c>
      <c r="B210" s="38" t="n">
        <f aca="false">A210/1440</f>
        <v>0.708333333333333</v>
      </c>
      <c r="C210" s="39" t="n">
        <f aca="false">IF(C$4=0,0,IF(COUNTIFS(実績!$W$6:$W$505,C$3,実績!$AI$6:$AI$505,"&lt;="&amp;$A210,実績!$AJ$6:$AJ$505,"&gt;"&amp;$A210,実績!$AL$6:$AL$505,"○")&gt;0,1,0))</f>
        <v>0</v>
      </c>
      <c r="D210" s="39" t="n">
        <f aca="false">IF(D$4=0,0,IF(COUNTIFS(実績!$W$6:$W$505,D$3,実績!$AI$6:$AI$505,"&lt;="&amp;$A210,実績!$AJ$6:$AJ$505,"&gt;"&amp;$A210,実績!$AL$6:$AL$505,"○")&gt;0,1,0))</f>
        <v>0</v>
      </c>
      <c r="E210" s="39" t="n">
        <f aca="false">IF(E$4=0,0,IF(COUNTIFS(実績!$W$6:$W$505,E$3,実績!$AI$6:$AI$505,"&lt;="&amp;$A210,実績!$AJ$6:$AJ$505,"&gt;"&amp;$A210,実績!$AL$6:$AL$505,"○")&gt;0,1,0))</f>
        <v>0</v>
      </c>
      <c r="F210" s="39" t="n">
        <f aca="false">IF(F$4=0,0,IF(COUNTIFS(実績!$W$6:$W$505,F$3,実績!$AI$6:$AI$505,"&lt;="&amp;$A210,実績!$AJ$6:$AJ$505,"&gt;"&amp;$A210,実績!$AL$6:$AL$505,"○")&gt;0,1,0))</f>
        <v>0</v>
      </c>
      <c r="G210" s="39" t="n">
        <f aca="false">IF(G$4=0,0,IF(COUNTIFS(実績!$W$6:$W$505,G$3,実績!$AI$6:$AI$505,"&lt;="&amp;$A210,実績!$AJ$6:$AJ$505,"&gt;"&amp;$A210,実績!$AL$6:$AL$505,"○")&gt;0,1,0))</f>
        <v>0</v>
      </c>
      <c r="H210" s="39" t="n">
        <f aca="false">IF(H$4=0,0,IF(COUNTIFS(実績!$W$6:$W$505,H$3,実績!$AI$6:$AI$505,"&lt;="&amp;$A210,実績!$AJ$6:$AJ$505,"&gt;"&amp;$A210,実績!$AL$6:$AL$505,"○")&gt;0,1,0))</f>
        <v>0</v>
      </c>
      <c r="I210" s="39" t="n">
        <f aca="false">IF(I$4=0,0,IF(COUNTIFS(実績!$W$6:$W$505,I$3,実績!$AI$6:$AI$505,"&lt;="&amp;$A210,実績!$AJ$6:$AJ$505,"&gt;"&amp;$A210,実績!$AL$6:$AL$505,"○")&gt;0,1,0))</f>
        <v>0</v>
      </c>
      <c r="J210" s="39" t="n">
        <f aca="false">IF(J$4=0,0,IF(COUNTIFS(実績!$W$6:$W$505,J$3,実績!$AI$6:$AI$505,"&lt;="&amp;$A210,実績!$AJ$6:$AJ$505,"&gt;"&amp;$A210,実績!$AL$6:$AL$505,"○")&gt;0,1,0))</f>
        <v>0</v>
      </c>
      <c r="K210" s="39" t="n">
        <f aca="false">IF(K$4=0,0,IF(COUNTIFS(実績!$W$6:$W$505,K$3,実績!$AI$6:$AI$505,"&lt;="&amp;$A210,実績!$AJ$6:$AJ$505,"&gt;"&amp;$A210,実績!$AL$6:$AL$505,"○")&gt;0,1,0))</f>
        <v>0</v>
      </c>
      <c r="L210" s="39" t="n">
        <f aca="false">IF(L$4=0,0,IF(COUNTIFS(実績!$W$6:$W$505,L$3,実績!$AI$6:$AI$505,"&lt;="&amp;$A210,実績!$AJ$6:$AJ$505,"&gt;"&amp;$A210,実績!$AL$6:$AL$505,"○")&gt;0,1,0))</f>
        <v>0</v>
      </c>
      <c r="M210" s="39" t="n">
        <f aca="false">IF(M$4=0,0,IF(COUNTIFS(実績!$W$6:$W$505,M$3,実績!$AI$6:$AI$505,"&lt;="&amp;$A210,実績!$AJ$6:$AJ$505,"&gt;"&amp;$A210,実績!$AL$6:$AL$505,"○")&gt;0,1,0))</f>
        <v>0</v>
      </c>
      <c r="N210" s="39" t="n">
        <f aca="false">IF(N$4=0,0,IF(COUNTIFS(実績!$W$6:$W$505,N$3,実績!$AI$6:$AI$505,"&lt;="&amp;$A210,実績!$AJ$6:$AJ$505,"&gt;"&amp;$A210,実績!$AL$6:$AL$505,"○")&gt;0,1,0))</f>
        <v>0</v>
      </c>
      <c r="O210" s="39" t="n">
        <f aca="false">IF(O$4=0,0,IF(COUNTIFS(実績!$W$6:$W$505,O$3,実績!$AI$6:$AI$505,"&lt;="&amp;$A210,実績!$AJ$6:$AJ$505,"&gt;"&amp;$A210,実績!$AL$6:$AL$505,"○")&gt;0,1,0))</f>
        <v>0</v>
      </c>
      <c r="P210" s="39" t="n">
        <f aca="false">IF(P$4=0,0,IF(COUNTIFS(実績!$W$6:$W$505,P$3,実績!$AI$6:$AI$505,"&lt;="&amp;$A210,実績!$AJ$6:$AJ$505,"&gt;"&amp;$A210,実績!$AL$6:$AL$505,"○")&gt;0,1,0))</f>
        <v>0</v>
      </c>
      <c r="Q210" s="39" t="n">
        <f aca="false">IF(Q$4=0,0,IF(COUNTIFS(実績!$W$6:$W$505,Q$3,実績!$AI$6:$AI$505,"&lt;="&amp;$A210,実績!$AJ$6:$AJ$505,"&gt;"&amp;$A210,実績!$AL$6:$AL$505,"○")&gt;0,1,0))</f>
        <v>0</v>
      </c>
      <c r="R210" s="39" t="n">
        <f aca="false">IF(R$4=0,0,IF(COUNTIFS(実績!$W$6:$W$505,R$3,実績!$AI$6:$AI$505,"&lt;="&amp;$A210,実績!$AJ$6:$AJ$505,"&gt;"&amp;$A210,実績!$AL$6:$AL$505,"○")&gt;0,1,0))</f>
        <v>0</v>
      </c>
      <c r="S210" s="39" t="n">
        <f aca="false">IF(S$4=0,0,IF(COUNTIFS(実績!$W$6:$W$505,S$3,実績!$AI$6:$AI$505,"&lt;="&amp;$A210,実績!$AJ$6:$AJ$505,"&gt;"&amp;$A210,実績!$AL$6:$AL$505,"○")&gt;0,1,0))</f>
        <v>0</v>
      </c>
      <c r="T210" s="39" t="n">
        <f aca="false">IF(T$4=0,0,IF(COUNTIFS(実績!$W$6:$W$505,T$3,実績!$AI$6:$AI$505,"&lt;="&amp;$A210,実績!$AJ$6:$AJ$505,"&gt;"&amp;$A210,実績!$AL$6:$AL$505,"○")&gt;0,1,0))</f>
        <v>0</v>
      </c>
      <c r="U210" s="39" t="n">
        <f aca="false">IF(U$4=0,0,IF(COUNTIFS(実績!$W$6:$W$505,U$3,実績!$AI$6:$AI$505,"&lt;="&amp;$A210,実績!$AJ$6:$AJ$505,"&gt;"&amp;$A210,実績!$AL$6:$AL$505,"○")&gt;0,1,0))</f>
        <v>0</v>
      </c>
      <c r="V210" s="39" t="n">
        <f aca="false">IF(V$4=0,0,IF(COUNTIFS(実績!$W$6:$W$505,V$3,実績!$AI$6:$AI$505,"&lt;="&amp;$A210,実績!$AJ$6:$AJ$505,"&gt;"&amp;$A210,実績!$AL$6:$AL$505,"○")&gt;0,1,0))</f>
        <v>0</v>
      </c>
      <c r="W210" s="39" t="n">
        <f aca="false">IF(W$4=0,0,IF(COUNTIFS(実績!$W$6:$W$505,W$3,実績!$AI$6:$AI$505,"&lt;="&amp;$A210,実績!$AJ$6:$AJ$505,"&gt;"&amp;$A210,実績!$AL$6:$AL$505,"○")&gt;0,1,0))</f>
        <v>0</v>
      </c>
      <c r="X210" s="39" t="n">
        <f aca="false">IF(X$4=0,0,IF(COUNTIFS(実績!$W$6:$W$505,X$3,実績!$AI$6:$AI$505,"&lt;="&amp;$A210,実績!$AJ$6:$AJ$505,"&gt;"&amp;$A210,実績!$AL$6:$AL$505,"○")&gt;0,1,0))</f>
        <v>0</v>
      </c>
      <c r="Y210" s="39" t="n">
        <f aca="false">IF(Y$4=0,0,IF(COUNTIFS(実績!$W$6:$W$505,Y$3,実績!$AI$6:$AI$505,"&lt;="&amp;$A210,実績!$AJ$6:$AJ$505,"&gt;"&amp;$A210,実績!$AL$6:$AL$505,"○")&gt;0,1,0))</f>
        <v>0</v>
      </c>
      <c r="Z210" s="39" t="n">
        <f aca="false">IF(Z$4=0,0,IF(COUNTIFS(実績!$W$6:$W$505,Z$3,実績!$AI$6:$AI$505,"&lt;="&amp;$A210,実績!$AJ$6:$AJ$505,"&gt;"&amp;$A210,実績!$AL$6:$AL$505,"○")&gt;0,1,0))</f>
        <v>0</v>
      </c>
      <c r="AA210" s="39" t="n">
        <f aca="false">IF(AA$4=0,0,IF(COUNTIFS(実績!$W$6:$W$505,AA$3,実績!$AI$6:$AI$505,"&lt;="&amp;$A210,実績!$AJ$6:$AJ$505,"&gt;"&amp;$A210,実績!$AL$6:$AL$505,"○")&gt;0,1,0))</f>
        <v>0</v>
      </c>
      <c r="AB210" s="39" t="n">
        <f aca="false">IF(AB$4=0,0,IF(COUNTIFS(実績!$W$6:$W$505,AB$3,実績!$AI$6:$AI$505,"&lt;="&amp;$A210,実績!$AJ$6:$AJ$505,"&gt;"&amp;$A210,実績!$AL$6:$AL$505,"○")&gt;0,1,0))</f>
        <v>0</v>
      </c>
      <c r="AC210" s="39" t="n">
        <f aca="false">IF(AC$4=0,0,IF(COUNTIFS(実績!$W$6:$W$505,AC$3,実績!$AI$6:$AI$505,"&lt;="&amp;$A210,実績!$AJ$6:$AJ$505,"&gt;"&amp;$A210,実績!$AL$6:$AL$505,"○")&gt;0,1,0))</f>
        <v>0</v>
      </c>
      <c r="AD210" s="39" t="n">
        <f aca="false">IF(AD$4=0,0,IF(COUNTIFS(実績!$W$6:$W$505,AD$3,実績!$AI$6:$AI$505,"&lt;="&amp;$A210,実績!$AJ$6:$AJ$505,"&gt;"&amp;$A210,実績!$AL$6:$AL$505,"○")&gt;0,1,0))</f>
        <v>0</v>
      </c>
      <c r="AE210" s="39" t="n">
        <f aca="false">IF(AE$4=0,0,IF(COUNTIFS(実績!$W$6:$W$505,AE$3,実績!$AI$6:$AI$505,"&lt;="&amp;$A210,実績!$AJ$6:$AJ$505,"&gt;"&amp;$A210,実績!$AL$6:$AL$505,"○")&gt;0,1,0))</f>
        <v>0</v>
      </c>
      <c r="AF210" s="39" t="n">
        <f aca="false">IF(AF$4=0,0,IF(COUNTIFS(実績!$W$6:$W$505,AF$3,実績!$AI$6:$AI$505,"&lt;="&amp;$A210,実績!$AJ$6:$AJ$505,"&gt;"&amp;$A210,実績!$AL$6:$AL$505,"○")&gt;0,1,0))</f>
        <v>0</v>
      </c>
      <c r="AG210" s="39" t="n">
        <f aca="false">IF(AG$4=0,0,IF(COUNTIFS(実績!$W$6:$W$505,AG$3,実績!$AI$6:$AI$505,"&lt;="&amp;$A210,実績!$AJ$6:$AJ$505,"&gt;"&amp;$A210,実績!$AL$6:$AL$505,"○")&gt;0,1,0))</f>
        <v>0</v>
      </c>
      <c r="AH210" s="39" t="n">
        <f aca="false">IF(AH$4=0,0,IF(COUNTIFS(実績!$W$6:$W$505,AH$3,実績!$AI$6:$AI$505,"&lt;="&amp;$A210,実績!$AJ$6:$AJ$505,"&gt;"&amp;$A210,実績!$AL$6:$AL$505,"○")&gt;0,1,0))</f>
        <v>0</v>
      </c>
      <c r="AI210" s="39" t="n">
        <f aca="false">IF(AI$4=0,0,IF(COUNTIFS(実績!$W$6:$W$505,AI$3,実績!$AI$6:$AI$505,"&lt;="&amp;$A210,実績!$AJ$6:$AJ$505,"&gt;"&amp;$A210,実績!$AL$6:$AL$505,"○")&gt;0,1,0))</f>
        <v>0</v>
      </c>
      <c r="AJ210" s="39" t="n">
        <f aca="false">IF(AJ$4=0,0,IF(COUNTIFS(実績!$W$6:$W$505,AJ$3,実績!$AI$6:$AI$505,"&lt;="&amp;$A210,実績!$AJ$6:$AJ$505,"&gt;"&amp;$A210,実績!$AL$6:$AL$505,"○")&gt;0,1,0))</f>
        <v>0</v>
      </c>
      <c r="AK210" s="39" t="n">
        <f aca="false">IF(AK$4=0,0,IF(COUNTIFS(実績!$W$6:$W$505,AK$3,実績!$AI$6:$AI$505,"&lt;="&amp;$A210,実績!$AJ$6:$AJ$505,"&gt;"&amp;$A210,実績!$AL$6:$AL$505,"○")&gt;0,1,0))</f>
        <v>0</v>
      </c>
      <c r="AL210" s="39" t="n">
        <f aca="false">IF(AL$4=0,0,IF(COUNTIFS(実績!$W$6:$W$505,AL$3,実績!$AI$6:$AI$505,"&lt;="&amp;$A210,実績!$AJ$6:$AJ$505,"&gt;"&amp;$A210,実績!$AL$6:$AL$505,"○")&gt;0,1,0))</f>
        <v>0</v>
      </c>
      <c r="AM210" s="39" t="n">
        <f aca="false">IF(AM$4=0,0,IF(COUNTIFS(実績!$W$6:$W$505,AM$3,実績!$AI$6:$AI$505,"&lt;="&amp;$A210,実績!$AJ$6:$AJ$505,"&gt;"&amp;$A210,実績!$AL$6:$AL$505,"○")&gt;0,1,0))</f>
        <v>0</v>
      </c>
      <c r="AN210" s="39" t="n">
        <f aca="false">IF(AN$4=0,0,IF(COUNTIFS(実績!$W$6:$W$505,AN$3,実績!$AI$6:$AI$505,"&lt;="&amp;$A210,実績!$AJ$6:$AJ$505,"&gt;"&amp;$A210,実績!$AL$6:$AL$505,"○")&gt;0,1,0))</f>
        <v>0</v>
      </c>
      <c r="AO210" s="39" t="n">
        <f aca="false">IF(AO$4=0,0,IF(COUNTIFS(実績!$W$6:$W$505,AO$3,実績!$AI$6:$AI$505,"&lt;="&amp;$A210,実績!$AJ$6:$AJ$505,"&gt;"&amp;$A210,実績!$AL$6:$AL$505,"○")&gt;0,1,0))</f>
        <v>0</v>
      </c>
      <c r="AP210" s="39" t="n">
        <f aca="false">IF(AP$4=0,0,IF(COUNTIFS(実績!$W$6:$W$505,AP$3,実績!$AI$6:$AI$505,"&lt;="&amp;$A210,実績!$AJ$6:$AJ$505,"&gt;"&amp;$A210,実績!$AL$6:$AL$505,"○")&gt;0,1,0))</f>
        <v>0</v>
      </c>
      <c r="AQ210" s="39" t="n">
        <f aca="false">IF(AQ$4=0,0,IF(COUNTIFS(実績!$W$6:$W$505,AQ$3,実績!$AI$6:$AI$505,"&lt;="&amp;$A210,実績!$AJ$6:$AJ$505,"&gt;"&amp;$A210,実績!$AL$6:$AL$505,"○")&gt;0,1,0))</f>
        <v>0</v>
      </c>
      <c r="AR210" s="39" t="n">
        <f aca="false">IF(AR$4=0,0,IF(COUNTIFS(実績!$W$6:$W$505,AR$3,実績!$AI$6:$AI$505,"&lt;="&amp;$A210,実績!$AJ$6:$AJ$505,"&gt;"&amp;$A210,実績!$AL$6:$AL$505,"○")&gt;0,1,0))</f>
        <v>0</v>
      </c>
      <c r="AS210" s="39" t="n">
        <f aca="false">IF(AS$4=0,0,IF(COUNTIFS(実績!$W$6:$W$505,AS$3,実績!$AI$6:$AI$505,"&lt;="&amp;$A210,実績!$AJ$6:$AJ$505,"&gt;"&amp;$A210,実績!$AL$6:$AL$505,"○")&gt;0,1,0))</f>
        <v>0</v>
      </c>
      <c r="AT210" s="39" t="n">
        <f aca="false">IF(AT$4=0,0,IF(COUNTIFS(実績!$W$6:$W$505,AT$3,実績!$AI$6:$AI$505,"&lt;="&amp;$A210,実績!$AJ$6:$AJ$505,"&gt;"&amp;$A210,実績!$AL$6:$AL$505,"○")&gt;0,1,0))</f>
        <v>0</v>
      </c>
      <c r="AU210" s="39" t="n">
        <f aca="false">IF(AU$4=0,0,IF(COUNTIFS(実績!$W$6:$W$505,AU$3,実績!$AI$6:$AI$505,"&lt;="&amp;$A210,実績!$AJ$6:$AJ$505,"&gt;"&amp;$A210,実績!$AL$6:$AL$505,"○")&gt;0,1,0))</f>
        <v>0</v>
      </c>
      <c r="AV210" s="39" t="n">
        <f aca="false">IF(AV$4=0,0,IF(COUNTIFS(実績!$W$6:$W$505,AV$3,実績!$AI$6:$AI$505,"&lt;="&amp;$A210,実績!$AJ$6:$AJ$505,"&gt;"&amp;$A210,実績!$AL$6:$AL$505,"○")&gt;0,1,0))</f>
        <v>0</v>
      </c>
      <c r="AW210" s="39" t="n">
        <f aca="false">IF(AW$4=0,0,IF(COUNTIFS(実績!$W$6:$W$505,AW$3,実績!$AI$6:$AI$505,"&lt;="&amp;$A210,実績!$AJ$6:$AJ$505,"&gt;"&amp;$A210,実績!$AL$6:$AL$505,"○")&gt;0,1,0))</f>
        <v>0</v>
      </c>
      <c r="AX210" s="39" t="n">
        <f aca="false">IF(AX$4=0,0,IF(COUNTIFS(実績!$W$6:$W$505,AX$3,実績!$AI$6:$AI$505,"&lt;="&amp;$A210,実績!$AJ$6:$AJ$505,"&gt;"&amp;$A210,実績!$AL$6:$AL$505,"○")&gt;0,1,0))</f>
        <v>0</v>
      </c>
      <c r="AY210" s="39" t="n">
        <f aca="false">IF(AY$4=0,0,IF(COUNTIFS(実績!$W$6:$W$505,AY$3,実績!$AI$6:$AI$505,"&lt;="&amp;$A210,実績!$AJ$6:$AJ$505,"&gt;"&amp;$A210,実績!$AL$6:$AL$505,"○")&gt;0,1,0))</f>
        <v>0</v>
      </c>
      <c r="AZ210" s="39" t="n">
        <f aca="false">IF(AZ$4=0,0,IF(COUNTIFS(実績!$W$6:$W$505,AZ$3,実績!$AI$6:$AI$505,"&lt;="&amp;$A210,実績!$AJ$6:$AJ$505,"&gt;"&amp;$A210,実績!$AL$6:$AL$505,"○")&gt;0,1,0))</f>
        <v>0</v>
      </c>
      <c r="BA210" s="39" t="n">
        <f aca="false">IF(BA$4=0,0,IF(COUNTIFS(実績!$W$6:$W$505,BA$3,実績!$AI$6:$AI$505,"&lt;="&amp;$A210,実績!$AJ$6:$AJ$505,"&gt;"&amp;$A210,実績!$AL$6:$AL$505,"○")&gt;0,1,0))</f>
        <v>0</v>
      </c>
      <c r="BB210" s="39" t="n">
        <f aca="false">IF(BB$4=0,0,IF(COUNTIFS(実績!$W$6:$W$505,BB$3,実績!$AI$6:$AI$505,"&lt;="&amp;$A210,実績!$AJ$6:$AJ$505,"&gt;"&amp;$A210,実績!$AL$6:$AL$505,"○")&gt;0,1,0))</f>
        <v>0</v>
      </c>
      <c r="BC210" s="39" t="n">
        <f aca="false">IF(BC$4=0,0,IF(COUNTIFS(実績!$W$6:$W$505,BC$3,実績!$AI$6:$AI$505,"&lt;="&amp;$A210,実績!$AJ$6:$AJ$505,"&gt;"&amp;$A210,実績!$AL$6:$AL$505,"○")&gt;0,1,0))</f>
        <v>0</v>
      </c>
      <c r="BD210" s="39" t="n">
        <f aca="false">IF(BD$4=0,0,IF(COUNTIFS(実績!$W$6:$W$505,BD$3,実績!$AI$6:$AI$505,"&lt;="&amp;$A210,実績!$AJ$6:$AJ$505,"&gt;"&amp;$A210,実績!$AL$6:$AL$505,"○")&gt;0,1,0))</f>
        <v>0</v>
      </c>
      <c r="BE210" s="39" t="n">
        <f aca="false">IF(BE$4=0,0,IF(COUNTIFS(実績!$W$6:$W$505,BE$3,実績!$AI$6:$AI$505,"&lt;="&amp;$A210,実績!$AJ$6:$AJ$505,"&gt;"&amp;$A210,実績!$AL$6:$AL$505,"○")&gt;0,1,0))</f>
        <v>0</v>
      </c>
      <c r="BF210" s="39" t="n">
        <f aca="false">IF(BF$4=0,0,IF(COUNTIFS(実績!$W$6:$W$505,BF$3,実績!$AI$6:$AI$505,"&lt;="&amp;$A210,実績!$AJ$6:$AJ$505,"&gt;"&amp;$A210,実績!$AL$6:$AL$505,"○")&gt;0,1,0))</f>
        <v>0</v>
      </c>
      <c r="BG210" s="39" t="n">
        <f aca="false">IF(BG$4=0,0,IF(COUNTIFS(実績!$W$6:$W$505,BG$3,実績!$AI$6:$AI$505,"&lt;="&amp;$A210,実績!$AJ$6:$AJ$505,"&gt;"&amp;$A210,実績!$AL$6:$AL$505,"○")&gt;0,1,0))</f>
        <v>0</v>
      </c>
      <c r="BH210" s="39" t="n">
        <f aca="false">IF(BH$4=0,0,IF(COUNTIFS(実績!$W$6:$W$505,BH$3,実績!$AI$6:$AI$505,"&lt;="&amp;$A210,実績!$AJ$6:$AJ$505,"&gt;"&amp;$A210,実績!$AL$6:$AL$505,"○")&gt;0,1,0))</f>
        <v>0</v>
      </c>
      <c r="BI210" s="39" t="n">
        <f aca="false">IF(BI$4=0,0,IF(COUNTIFS(実績!$W$6:$W$505,BI$3,実績!$AI$6:$AI$505,"&lt;="&amp;$A210,実績!$AJ$6:$AJ$505,"&gt;"&amp;$A210,実績!$AL$6:$AL$505,"○")&gt;0,1,0))</f>
        <v>0</v>
      </c>
      <c r="BJ210" s="39" t="n">
        <f aca="false">IF(BJ$4=0,0,IF(COUNTIFS(実績!$W$6:$W$505,BJ$3,実績!$AI$6:$AI$505,"&lt;="&amp;$A210,実績!$AJ$6:$AJ$505,"&gt;"&amp;$A210,実績!$AL$6:$AL$505,"○")&gt;0,1,0))</f>
        <v>0</v>
      </c>
      <c r="BK210" s="39" t="n">
        <f aca="false">IF(BK$4=0,0,IF(COUNTIFS(実績!$W$6:$W$505,BK$3,実績!$AI$6:$AI$505,"&lt;="&amp;$A210,実績!$AJ$6:$AJ$505,"&gt;"&amp;$A210,実績!$AL$6:$AL$505,"○")&gt;0,1,0))</f>
        <v>0</v>
      </c>
      <c r="BL210" s="39" t="n">
        <f aca="false">IF(BL$4=0,0,IF(COUNTIFS(実績!$W$6:$W$505,BL$3,実績!$AI$6:$AI$505,"&lt;="&amp;$A210,実績!$AJ$6:$AJ$505,"&gt;"&amp;$A210,実績!$AL$6:$AL$505,"○")&gt;0,1,0))</f>
        <v>0</v>
      </c>
      <c r="BM210" s="39" t="n">
        <f aca="false">IF(BM$4=0,0,IF(COUNTIFS(実績!$W$6:$W$505,BM$3,実績!$AI$6:$AI$505,"&lt;="&amp;$A210,実績!$AJ$6:$AJ$505,"&gt;"&amp;$A210,実績!$AL$6:$AL$505,"○")&gt;0,1,0))</f>
        <v>0</v>
      </c>
      <c r="BN210" s="39" t="n">
        <f aca="false">IF(BN$4=0,0,IF(COUNTIFS(実績!$W$6:$W$505,BN$3,実績!$AI$6:$AI$505,"&lt;="&amp;$A210,実績!$AJ$6:$AJ$505,"&gt;"&amp;$A210,実績!$AL$6:$AL$505,"○")&gt;0,1,0))</f>
        <v>0</v>
      </c>
      <c r="BO210" s="39" t="n">
        <f aca="false">IF(BO$4=0,0,IF(COUNTIFS(実績!$W$6:$W$505,BO$3,実績!$AI$6:$AI$505,"&lt;="&amp;$A210,実績!$AJ$6:$AJ$505,"&gt;"&amp;$A210,実績!$AL$6:$AL$505,"○")&gt;0,1,0))</f>
        <v>0</v>
      </c>
      <c r="BP210" s="39" t="n">
        <f aca="false">IF(BP$4=0,0,IF(COUNTIFS(実績!$W$6:$W$505,BP$3,実績!$AI$6:$AI$505,"&lt;="&amp;$A210,実績!$AJ$6:$AJ$505,"&gt;"&amp;$A210,実績!$AL$6:$AL$505,"○")&gt;0,1,0))</f>
        <v>0</v>
      </c>
      <c r="BQ210" s="39" t="n">
        <f aca="false">IF(BQ$4=0,0,IF(COUNTIFS(実績!$W$6:$W$505,BQ$3,実績!$AI$6:$AI$505,"&lt;="&amp;$A210,実績!$AJ$6:$AJ$505,"&gt;"&amp;$A210,実績!$AL$6:$AL$505,"○")&gt;0,1,0))</f>
        <v>0</v>
      </c>
      <c r="BR210" s="39" t="n">
        <f aca="false">IF(BR$4=0,0,IF(COUNTIFS(実績!$W$6:$W$505,BR$3,実績!$AI$6:$AI$505,"&lt;="&amp;$A210,実績!$AJ$6:$AJ$505,"&gt;"&amp;$A210,実績!$AL$6:$AL$505,"○")&gt;0,1,0))</f>
        <v>0</v>
      </c>
      <c r="BS210" s="39" t="n">
        <f aca="false">IF(BS$4=0,0,IF(COUNTIFS(実績!$W$6:$W$505,BS$3,実績!$AI$6:$AI$505,"&lt;="&amp;$A210,実績!$AJ$6:$AJ$505,"&gt;"&amp;$A210,実績!$AL$6:$AL$505,"○")&gt;0,1,0))</f>
        <v>0</v>
      </c>
      <c r="BT210" s="39" t="n">
        <f aca="false">IF(BT$4=0,0,IF(COUNTIFS(実績!$W$6:$W$505,BT$3,実績!$AI$6:$AI$505,"&lt;="&amp;$A210,実績!$AJ$6:$AJ$505,"&gt;"&amp;$A210,実績!$AL$6:$AL$505,"○")&gt;0,1,0))</f>
        <v>0</v>
      </c>
      <c r="BU210" s="39" t="n">
        <f aca="false">IF(BU$4=0,0,IF(COUNTIFS(実績!$W$6:$W$505,BU$3,実績!$AI$6:$AI$505,"&lt;="&amp;$A210,実績!$AJ$6:$AJ$505,"&gt;"&amp;$A210,実績!$AL$6:$AL$505,"○")&gt;0,1,0))</f>
        <v>0</v>
      </c>
      <c r="BV210" s="39" t="n">
        <f aca="false">IF(BV$4=0,0,IF(COUNTIFS(実績!$W$6:$W$505,BV$3,実績!$AI$6:$AI$505,"&lt;="&amp;$A210,実績!$AJ$6:$AJ$505,"&gt;"&amp;$A210,実績!$AL$6:$AL$505,"○")&gt;0,1,0))</f>
        <v>0</v>
      </c>
      <c r="BW210" s="39" t="n">
        <f aca="false">IF(BW$4=0,0,IF(COUNTIFS(実績!$W$6:$W$505,BW$3,実績!$AI$6:$AI$505,"&lt;="&amp;$A210,実績!$AJ$6:$AJ$505,"&gt;"&amp;$A210,実績!$AL$6:$AL$505,"○")&gt;0,1,0))</f>
        <v>0</v>
      </c>
      <c r="BX210" s="39" t="n">
        <f aca="false">IF(BX$4=0,0,IF(COUNTIFS(実績!$W$6:$W$505,BX$3,実績!$AI$6:$AI$505,"&lt;="&amp;$A210,実績!$AJ$6:$AJ$505,"&gt;"&amp;$A210,実績!$AL$6:$AL$505,"○")&gt;0,1,0))</f>
        <v>0</v>
      </c>
      <c r="BY210" s="39" t="n">
        <f aca="false">IF(BY$4=0,0,IF(COUNTIFS(実績!$W$6:$W$505,BY$3,実績!$AI$6:$AI$505,"&lt;="&amp;$A210,実績!$AJ$6:$AJ$505,"&gt;"&amp;$A210,実績!$AL$6:$AL$505,"○")&gt;0,1,0))</f>
        <v>0</v>
      </c>
      <c r="BZ210" s="39" t="n">
        <f aca="false">IF(BZ$4=0,0,IF(COUNTIFS(実績!$W$6:$W$505,BZ$3,実績!$AI$6:$AI$505,"&lt;="&amp;$A210,実績!$AJ$6:$AJ$505,"&gt;"&amp;$A210,実績!$AL$6:$AL$505,"○")&gt;0,1,0))</f>
        <v>0</v>
      </c>
      <c r="CA210" s="39" t="n">
        <f aca="false">IF(CA$4=0,0,IF(COUNTIFS(実績!$W$6:$W$505,CA$3,実績!$AI$6:$AI$505,"&lt;="&amp;$A210,実績!$AJ$6:$AJ$505,"&gt;"&amp;$A210,実績!$AL$6:$AL$505,"○")&gt;0,1,0))</f>
        <v>0</v>
      </c>
      <c r="CB210" s="39" t="n">
        <f aca="false">IF(CB$4=0,0,IF(COUNTIFS(実績!$W$6:$W$505,CB$3,実績!$AI$6:$AI$505,"&lt;="&amp;$A210,実績!$AJ$6:$AJ$505,"&gt;"&amp;$A210,実績!$AL$6:$AL$505,"○")&gt;0,1,0))</f>
        <v>0</v>
      </c>
      <c r="CC210" s="39" t="n">
        <f aca="false">IF(CC$4=0,0,IF(COUNTIFS(実績!$W$6:$W$505,CC$3,実績!$AI$6:$AI$505,"&lt;="&amp;$A210,実績!$AJ$6:$AJ$505,"&gt;"&amp;$A210,実績!$AL$6:$AL$505,"○")&gt;0,1,0))</f>
        <v>0</v>
      </c>
      <c r="CD210" s="39" t="n">
        <f aca="false">IF(CD$4=0,0,IF(COUNTIFS(実績!$W$6:$W$505,CD$3,実績!$AI$6:$AI$505,"&lt;="&amp;$A210,実績!$AJ$6:$AJ$505,"&gt;"&amp;$A210,実績!$AL$6:$AL$505,"○")&gt;0,1,0))</f>
        <v>0</v>
      </c>
      <c r="CE210" s="39" t="n">
        <f aca="false">IF(CE$4=0,0,IF(COUNTIFS(実績!$W$6:$W$505,CE$3,実績!$AI$6:$AI$505,"&lt;="&amp;$A210,実績!$AJ$6:$AJ$505,"&gt;"&amp;$A210,実績!$AL$6:$AL$505,"○")&gt;0,1,0))</f>
        <v>0</v>
      </c>
      <c r="CF210" s="39" t="n">
        <f aca="false">IF(CF$4=0,0,IF(COUNTIFS(実績!$W$6:$W$505,CF$3,実績!$AI$6:$AI$505,"&lt;="&amp;$A210,実績!$AJ$6:$AJ$505,"&gt;"&amp;$A210,実績!$AL$6:$AL$505,"○")&gt;0,1,0))</f>
        <v>0</v>
      </c>
      <c r="CG210" s="39" t="n">
        <f aca="false">IF(CG$4=0,0,IF(COUNTIFS(実績!$W$6:$W$505,CG$3,実績!$AI$6:$AI$505,"&lt;="&amp;$A210,実績!$AJ$6:$AJ$505,"&gt;"&amp;$A210,実績!$AL$6:$AL$505,"○")&gt;0,1,0))</f>
        <v>0</v>
      </c>
      <c r="CH210" s="39" t="n">
        <f aca="false">IF(CH$4=0,0,IF(COUNTIFS(実績!$W$6:$W$505,CH$3,実績!$AI$6:$AI$505,"&lt;="&amp;$A210,実績!$AJ$6:$AJ$505,"&gt;"&amp;$A210,実績!$AL$6:$AL$505,"○")&gt;0,1,0))</f>
        <v>0</v>
      </c>
      <c r="CI210" s="39" t="n">
        <f aca="false">IF(CI$4=0,0,IF(COUNTIFS(実績!$W$6:$W$505,CI$3,実績!$AI$6:$AI$505,"&lt;="&amp;$A210,実績!$AJ$6:$AJ$505,"&gt;"&amp;$A210,実績!$AL$6:$AL$505,"○")&gt;0,1,0))</f>
        <v>0</v>
      </c>
      <c r="CJ210" s="39" t="n">
        <f aca="false">IF(CJ$4=0,0,IF(COUNTIFS(実績!$W$6:$W$505,CJ$3,実績!$AI$6:$AI$505,"&lt;="&amp;$A210,実績!$AJ$6:$AJ$505,"&gt;"&amp;$A210,実績!$AL$6:$AL$505,"○")&gt;0,1,0))</f>
        <v>0</v>
      </c>
      <c r="CK210" s="39" t="n">
        <f aca="false">IF(CK$4=0,0,IF(COUNTIFS(実績!$W$6:$W$505,CK$3,実績!$AI$6:$AI$505,"&lt;="&amp;$A210,実績!$AJ$6:$AJ$505,"&gt;"&amp;$A210,実績!$AL$6:$AL$505,"○")&gt;0,1,0))</f>
        <v>0</v>
      </c>
      <c r="CL210" s="39" t="n">
        <f aca="false">IF(CL$4=0,0,IF(COUNTIFS(実績!$W$6:$W$505,CL$3,実績!$AI$6:$AI$505,"&lt;="&amp;$A210,実績!$AJ$6:$AJ$505,"&gt;"&amp;$A210,実績!$AL$6:$AL$505,"○")&gt;0,1,0))</f>
        <v>0</v>
      </c>
      <c r="CM210" s="39" t="n">
        <f aca="false">IF(CM$4=0,0,IF(COUNTIFS(実績!$W$6:$W$505,CM$3,実績!$AI$6:$AI$505,"&lt;="&amp;$A210,実績!$AJ$6:$AJ$505,"&gt;"&amp;$A210,実績!$AL$6:$AL$505,"○")&gt;0,1,0))</f>
        <v>0</v>
      </c>
      <c r="CN210" s="39" t="n">
        <f aca="false">IF(CN$4=0,0,IF(COUNTIFS(実績!$W$6:$W$505,CN$3,実績!$AI$6:$AI$505,"&lt;="&amp;$A210,実績!$AJ$6:$AJ$505,"&gt;"&amp;$A210,実績!$AL$6:$AL$505,"○")&gt;0,1,0))</f>
        <v>0</v>
      </c>
      <c r="CO210" s="39" t="n">
        <f aca="false">IF(CO$4=0,0,IF(COUNTIFS(実績!$W$6:$W$505,CO$3,実績!$AI$6:$AI$505,"&lt;="&amp;$A210,実績!$AJ$6:$AJ$505,"&gt;"&amp;$A210,実績!$AL$6:$AL$505,"○")&gt;0,1,0))</f>
        <v>0</v>
      </c>
      <c r="CP210" s="39" t="n">
        <f aca="false">IF(CP$4=0,0,IF(COUNTIFS(実績!$W$6:$W$505,CP$3,実績!$AI$6:$AI$505,"&lt;="&amp;$A210,実績!$AJ$6:$AJ$505,"&gt;"&amp;$A210,実績!$AL$6:$AL$505,"○")&gt;0,1,0))</f>
        <v>0</v>
      </c>
      <c r="CQ210" s="39" t="n">
        <f aca="false">IF(CQ$4=0,0,IF(COUNTIFS(実績!$W$6:$W$505,CQ$3,実績!$AI$6:$AI$505,"&lt;="&amp;$A210,実績!$AJ$6:$AJ$505,"&gt;"&amp;$A210,実績!$AL$6:$AL$505,"○")&gt;0,1,0))</f>
        <v>0</v>
      </c>
      <c r="CR210" s="39" t="n">
        <f aca="false">IF(CR$4=0,0,IF(COUNTIFS(実績!$W$6:$W$505,CR$3,実績!$AI$6:$AI$505,"&lt;="&amp;$A210,実績!$AJ$6:$AJ$505,"&gt;"&amp;$A210,実績!$AL$6:$AL$505,"○")&gt;0,1,0))</f>
        <v>0</v>
      </c>
      <c r="CS210" s="39" t="n">
        <f aca="false">IF(CS$4=0,0,IF(COUNTIFS(実績!$W$6:$W$505,CS$3,実績!$AI$6:$AI$505,"&lt;="&amp;$A210,実績!$AJ$6:$AJ$505,"&gt;"&amp;$A210,実績!$AL$6:$AL$505,"○")&gt;0,1,0))</f>
        <v>0</v>
      </c>
      <c r="CT210" s="39" t="n">
        <f aca="false">IF(CT$4=0,0,IF(COUNTIFS(実績!$W$6:$W$505,CT$3,実績!$AI$6:$AI$505,"&lt;="&amp;$A210,実績!$AJ$6:$AJ$505,"&gt;"&amp;$A210,実績!$AL$6:$AL$505,"○")&gt;0,1,0))</f>
        <v>0</v>
      </c>
      <c r="CU210" s="39" t="n">
        <f aca="false">IF(CU$4=0,0,IF(COUNTIFS(実績!$W$6:$W$505,CU$3,実績!$AI$6:$AI$505,"&lt;="&amp;$A210,実績!$AJ$6:$AJ$505,"&gt;"&amp;$A210,実績!$AL$6:$AL$505,"○")&gt;0,1,0))</f>
        <v>0</v>
      </c>
      <c r="CV210" s="39" t="n">
        <f aca="false">IF(CV$4=0,0,IF(COUNTIFS(実績!$W$6:$W$505,CV$3,実績!$AI$6:$AI$505,"&lt;="&amp;$A210,実績!$AJ$6:$AJ$505,"&gt;"&amp;$A210,実績!$AL$6:$AL$505,"○")&gt;0,1,0))</f>
        <v>0</v>
      </c>
      <c r="CW210" s="39" t="n">
        <f aca="false">IF(CW$4=0,0,IF(COUNTIFS(実績!$W$6:$W$505,CW$3,実績!$AI$6:$AI$505,"&lt;="&amp;$A210,実績!$AJ$6:$AJ$505,"&gt;"&amp;$A210,実績!$AL$6:$AL$505,"○")&gt;0,1,0))</f>
        <v>0</v>
      </c>
      <c r="CX210" s="39" t="n">
        <f aca="false">IF(CX$4=0,0,IF(COUNTIFS(実績!$W$6:$W$505,CX$3,実績!$AI$6:$AI$505,"&lt;="&amp;$A210,実績!$AJ$6:$AJ$505,"&gt;"&amp;$A210,実績!$AL$6:$AL$505,"○")&gt;0,1,0))</f>
        <v>0</v>
      </c>
      <c r="CY210" s="39" t="n">
        <f aca="false">IF(CY$4=0,0,IF(COUNTIFS(実績!$W$6:$W$505,CY$3,実績!$AI$6:$AI$505,"&lt;="&amp;$A210,実績!$AJ$6:$AJ$505,"&gt;"&amp;$A210,実績!$AL$6:$AL$505,"○")&gt;0,1,0))</f>
        <v>0</v>
      </c>
      <c r="CZ210" s="39" t="n">
        <f aca="false">IF(CZ$4=0,0,IF(COUNTIFS(実績!$W$6:$W$505,CZ$3,実績!$AI$6:$AI$505,"&lt;="&amp;$A210,実績!$AJ$6:$AJ$505,"&gt;"&amp;$A210,実績!$AL$6:$AL$505,"○")&gt;0,1,0))</f>
        <v>0</v>
      </c>
      <c r="DA210" s="39" t="n">
        <f aca="false">IF(DA$4=0,0,IF(COUNTIFS(実績!$W$6:$W$505,DA$3,実績!$AI$6:$AI$505,"&lt;="&amp;$A210,実績!$AJ$6:$AJ$505,"&gt;"&amp;$A210,実績!$AL$6:$AL$505,"○")&gt;0,1,0))</f>
        <v>0</v>
      </c>
      <c r="DB210" s="39" t="n">
        <f aca="false">IF(DB$4=0,0,IF(COUNTIFS(実績!$W$6:$W$505,DB$3,実績!$AI$6:$AI$505,"&lt;="&amp;$A210,実績!$AJ$6:$AJ$505,"&gt;"&amp;$A210,実績!$AL$6:$AL$505,"○")&gt;0,1,0))</f>
        <v>0</v>
      </c>
      <c r="DC210" s="39" t="n">
        <f aca="false">IF(DC$4=0,0,IF(COUNTIFS(実績!$W$6:$W$505,DC$3,実績!$AI$6:$AI$505,"&lt;="&amp;$A210,実績!$AJ$6:$AJ$505,"&gt;"&amp;$A210,実績!$AL$6:$AL$505,"○")&gt;0,1,0))</f>
        <v>0</v>
      </c>
      <c r="DD210" s="39" t="n">
        <f aca="false">IF(DD$4=0,0,IF(COUNTIFS(実績!$W$6:$W$505,DD$3,実績!$AI$6:$AI$505,"&lt;="&amp;$A210,実績!$AJ$6:$AJ$505,"&gt;"&amp;$A210,実績!$AL$6:$AL$505,"○")&gt;0,1,0))</f>
        <v>0</v>
      </c>
      <c r="DE210" s="39" t="n">
        <f aca="false">IF(DE$4=0,0,IF(COUNTIFS(実績!$W$6:$W$505,DE$3,実績!$AI$6:$AI$505,"&lt;="&amp;$A210,実績!$AJ$6:$AJ$505,"&gt;"&amp;$A210,実績!$AL$6:$AL$505,"○")&gt;0,1,0))</f>
        <v>0</v>
      </c>
      <c r="DF210" s="39" t="n">
        <f aca="false">IF(DF$4=0,0,IF(COUNTIFS(実績!$W$6:$W$505,DF$3,実績!$AI$6:$AI$505,"&lt;="&amp;$A210,実績!$AJ$6:$AJ$505,"&gt;"&amp;$A210,実績!$AL$6:$AL$505,"○")&gt;0,1,0))</f>
        <v>0</v>
      </c>
      <c r="DG210" s="39" t="n">
        <f aca="false">IF(DG$4=0,0,IF(COUNTIFS(実績!$W$6:$W$505,DG$3,実績!$AI$6:$AI$505,"&lt;="&amp;$A210,実績!$AJ$6:$AJ$505,"&gt;"&amp;$A210,実績!$AL$6:$AL$505,"○")&gt;0,1,0))</f>
        <v>0</v>
      </c>
      <c r="DH210" s="39" t="n">
        <f aca="false">IF(DH$4=0,0,IF(COUNTIFS(実績!$W$6:$W$505,DH$3,実績!$AI$6:$AI$505,"&lt;="&amp;$A210,実績!$AJ$6:$AJ$505,"&gt;"&amp;$A210,実績!$AL$6:$AL$505,"○")&gt;0,1,0))</f>
        <v>0</v>
      </c>
      <c r="DI210" s="39" t="n">
        <f aca="false">IF(DI$4=0,0,IF(COUNTIFS(実績!$W$6:$W$505,DI$3,実績!$AI$6:$AI$505,"&lt;="&amp;$A210,実績!$AJ$6:$AJ$505,"&gt;"&amp;$A210,実績!$AL$6:$AL$505,"○")&gt;0,1,0))</f>
        <v>0</v>
      </c>
      <c r="DJ210" s="39" t="n">
        <f aca="false">IF(DJ$4=0,0,IF(COUNTIFS(実績!$W$6:$W$505,DJ$3,実績!$AI$6:$AI$505,"&lt;="&amp;$A210,実績!$AJ$6:$AJ$505,"&gt;"&amp;$A210,実績!$AL$6:$AL$505,"○")&gt;0,1,0))</f>
        <v>0</v>
      </c>
      <c r="DK210" s="39" t="n">
        <f aca="false">IF(DK$4=0,0,IF(COUNTIFS(実績!$W$6:$W$505,DK$3,実績!$AI$6:$AI$505,"&lt;="&amp;$A210,実績!$AJ$6:$AJ$505,"&gt;"&amp;$A210,実績!$AL$6:$AL$505,"○")&gt;0,1,0))</f>
        <v>0</v>
      </c>
      <c r="DL210" s="39" t="n">
        <f aca="false">IF(DL$4=0,0,IF(COUNTIFS(実績!$W$6:$W$505,DL$3,実績!$AI$6:$AI$505,"&lt;="&amp;$A210,実績!$AJ$6:$AJ$505,"&gt;"&amp;$A210,実績!$AL$6:$AL$505,"○")&gt;0,1,0))</f>
        <v>0</v>
      </c>
      <c r="DM210" s="39" t="n">
        <f aca="false">IF(DM$4=0,0,IF(COUNTIFS(実績!$W$6:$W$505,DM$3,実績!$AI$6:$AI$505,"&lt;="&amp;$A210,実績!$AJ$6:$AJ$505,"&gt;"&amp;$A210,実績!$AL$6:$AL$505,"○")&gt;0,1,0))</f>
        <v>0</v>
      </c>
      <c r="DN210" s="39" t="n">
        <f aca="false">IF(DN$4=0,0,IF(COUNTIFS(実績!$W$6:$W$505,DN$3,実績!$AI$6:$AI$505,"&lt;="&amp;$A210,実績!$AJ$6:$AJ$505,"&gt;"&amp;$A210,実績!$AL$6:$AL$505,"○")&gt;0,1,0))</f>
        <v>0</v>
      </c>
      <c r="DO210" s="39" t="n">
        <f aca="false">IF(DO$4=0,0,IF(COUNTIFS(実績!$W$6:$W$505,DO$3,実績!$AI$6:$AI$505,"&lt;="&amp;$A210,実績!$AJ$6:$AJ$505,"&gt;"&amp;$A210,実績!$AL$6:$AL$505,"○")&gt;0,1,0))</f>
        <v>0</v>
      </c>
      <c r="DP210" s="39" t="n">
        <f aca="false">IF(DP$4=0,0,IF(COUNTIFS(実績!$W$6:$W$505,DP$3,実績!$AI$6:$AI$505,"&lt;="&amp;$A210,実績!$AJ$6:$AJ$505,"&gt;"&amp;$A210,実績!$AL$6:$AL$505,"○")&gt;0,1,0))</f>
        <v>0</v>
      </c>
      <c r="DQ210" s="39" t="n">
        <f aca="false">IF(DQ$4=0,0,IF(COUNTIFS(実績!$W$6:$W$505,DQ$3,実績!$AI$6:$AI$505,"&lt;="&amp;$A210,実績!$AJ$6:$AJ$505,"&gt;"&amp;$A210,実績!$AL$6:$AL$505,"○")&gt;0,1,0))</f>
        <v>0</v>
      </c>
      <c r="DR210" s="39" t="n">
        <f aca="false">IF(DR$4=0,0,IF(COUNTIFS(実績!$W$6:$W$505,DR$3,実績!$AI$6:$AI$505,"&lt;="&amp;$A210,実績!$AJ$6:$AJ$505,"&gt;"&amp;$A210,実績!$AL$6:$AL$505,"○")&gt;0,1,0))</f>
        <v>0</v>
      </c>
      <c r="DS210" s="39" t="n">
        <f aca="false">SUM(C210:DR210)</f>
        <v>0</v>
      </c>
    </row>
    <row r="211" customFormat="false" ht="15" hidden="false" customHeight="false" outlineLevel="0" collapsed="false">
      <c r="A211" s="0" t="n">
        <v>1025</v>
      </c>
      <c r="B211" s="38" t="n">
        <f aca="false">A211/1440</f>
        <v>0.711805555555556</v>
      </c>
      <c r="C211" s="39" t="n">
        <f aca="false">IF(C$4=0,0,IF(COUNTIFS(実績!$W$6:$W$505,C$3,実績!$AI$6:$AI$505,"&lt;="&amp;$A211,実績!$AJ$6:$AJ$505,"&gt;"&amp;$A211,実績!$AL$6:$AL$505,"○")&gt;0,1,0))</f>
        <v>0</v>
      </c>
      <c r="D211" s="39" t="n">
        <f aca="false">IF(D$4=0,0,IF(COUNTIFS(実績!$W$6:$W$505,D$3,実績!$AI$6:$AI$505,"&lt;="&amp;$A211,実績!$AJ$6:$AJ$505,"&gt;"&amp;$A211,実績!$AL$6:$AL$505,"○")&gt;0,1,0))</f>
        <v>0</v>
      </c>
      <c r="E211" s="39" t="n">
        <f aca="false">IF(E$4=0,0,IF(COUNTIFS(実績!$W$6:$W$505,E$3,実績!$AI$6:$AI$505,"&lt;="&amp;$A211,実績!$AJ$6:$AJ$505,"&gt;"&amp;$A211,実績!$AL$6:$AL$505,"○")&gt;0,1,0))</f>
        <v>0</v>
      </c>
      <c r="F211" s="39" t="n">
        <f aca="false">IF(F$4=0,0,IF(COUNTIFS(実績!$W$6:$W$505,F$3,実績!$AI$6:$AI$505,"&lt;="&amp;$A211,実績!$AJ$6:$AJ$505,"&gt;"&amp;$A211,実績!$AL$6:$AL$505,"○")&gt;0,1,0))</f>
        <v>0</v>
      </c>
      <c r="G211" s="39" t="n">
        <f aca="false">IF(G$4=0,0,IF(COUNTIFS(実績!$W$6:$W$505,G$3,実績!$AI$6:$AI$505,"&lt;="&amp;$A211,実績!$AJ$6:$AJ$505,"&gt;"&amp;$A211,実績!$AL$6:$AL$505,"○")&gt;0,1,0))</f>
        <v>0</v>
      </c>
      <c r="H211" s="39" t="n">
        <f aca="false">IF(H$4=0,0,IF(COUNTIFS(実績!$W$6:$W$505,H$3,実績!$AI$6:$AI$505,"&lt;="&amp;$A211,実績!$AJ$6:$AJ$505,"&gt;"&amp;$A211,実績!$AL$6:$AL$505,"○")&gt;0,1,0))</f>
        <v>0</v>
      </c>
      <c r="I211" s="39" t="n">
        <f aca="false">IF(I$4=0,0,IF(COUNTIFS(実績!$W$6:$W$505,I$3,実績!$AI$6:$AI$505,"&lt;="&amp;$A211,実績!$AJ$6:$AJ$505,"&gt;"&amp;$A211,実績!$AL$6:$AL$505,"○")&gt;0,1,0))</f>
        <v>0</v>
      </c>
      <c r="J211" s="39" t="n">
        <f aca="false">IF(J$4=0,0,IF(COUNTIFS(実績!$W$6:$W$505,J$3,実績!$AI$6:$AI$505,"&lt;="&amp;$A211,実績!$AJ$6:$AJ$505,"&gt;"&amp;$A211,実績!$AL$6:$AL$505,"○")&gt;0,1,0))</f>
        <v>0</v>
      </c>
      <c r="K211" s="39" t="n">
        <f aca="false">IF(K$4=0,0,IF(COUNTIFS(実績!$W$6:$W$505,K$3,実績!$AI$6:$AI$505,"&lt;="&amp;$A211,実績!$AJ$6:$AJ$505,"&gt;"&amp;$A211,実績!$AL$6:$AL$505,"○")&gt;0,1,0))</f>
        <v>0</v>
      </c>
      <c r="L211" s="39" t="n">
        <f aca="false">IF(L$4=0,0,IF(COUNTIFS(実績!$W$6:$W$505,L$3,実績!$AI$6:$AI$505,"&lt;="&amp;$A211,実績!$AJ$6:$AJ$505,"&gt;"&amp;$A211,実績!$AL$6:$AL$505,"○")&gt;0,1,0))</f>
        <v>0</v>
      </c>
      <c r="M211" s="39" t="n">
        <f aca="false">IF(M$4=0,0,IF(COUNTIFS(実績!$W$6:$W$505,M$3,実績!$AI$6:$AI$505,"&lt;="&amp;$A211,実績!$AJ$6:$AJ$505,"&gt;"&amp;$A211,実績!$AL$6:$AL$505,"○")&gt;0,1,0))</f>
        <v>0</v>
      </c>
      <c r="N211" s="39" t="n">
        <f aca="false">IF(N$4=0,0,IF(COUNTIFS(実績!$W$6:$W$505,N$3,実績!$AI$6:$AI$505,"&lt;="&amp;$A211,実績!$AJ$6:$AJ$505,"&gt;"&amp;$A211,実績!$AL$6:$AL$505,"○")&gt;0,1,0))</f>
        <v>0</v>
      </c>
      <c r="O211" s="39" t="n">
        <f aca="false">IF(O$4=0,0,IF(COUNTIFS(実績!$W$6:$W$505,O$3,実績!$AI$6:$AI$505,"&lt;="&amp;$A211,実績!$AJ$6:$AJ$505,"&gt;"&amp;$A211,実績!$AL$6:$AL$505,"○")&gt;0,1,0))</f>
        <v>0</v>
      </c>
      <c r="P211" s="39" t="n">
        <f aca="false">IF(P$4=0,0,IF(COUNTIFS(実績!$W$6:$W$505,P$3,実績!$AI$6:$AI$505,"&lt;="&amp;$A211,実績!$AJ$6:$AJ$505,"&gt;"&amp;$A211,実績!$AL$6:$AL$505,"○")&gt;0,1,0))</f>
        <v>0</v>
      </c>
      <c r="Q211" s="39" t="n">
        <f aca="false">IF(Q$4=0,0,IF(COUNTIFS(実績!$W$6:$W$505,Q$3,実績!$AI$6:$AI$505,"&lt;="&amp;$A211,実績!$AJ$6:$AJ$505,"&gt;"&amp;$A211,実績!$AL$6:$AL$505,"○")&gt;0,1,0))</f>
        <v>0</v>
      </c>
      <c r="R211" s="39" t="n">
        <f aca="false">IF(R$4=0,0,IF(COUNTIFS(実績!$W$6:$W$505,R$3,実績!$AI$6:$AI$505,"&lt;="&amp;$A211,実績!$AJ$6:$AJ$505,"&gt;"&amp;$A211,実績!$AL$6:$AL$505,"○")&gt;0,1,0))</f>
        <v>0</v>
      </c>
      <c r="S211" s="39" t="n">
        <f aca="false">IF(S$4=0,0,IF(COUNTIFS(実績!$W$6:$W$505,S$3,実績!$AI$6:$AI$505,"&lt;="&amp;$A211,実績!$AJ$6:$AJ$505,"&gt;"&amp;$A211,実績!$AL$6:$AL$505,"○")&gt;0,1,0))</f>
        <v>0</v>
      </c>
      <c r="T211" s="39" t="n">
        <f aca="false">IF(T$4=0,0,IF(COUNTIFS(実績!$W$6:$W$505,T$3,実績!$AI$6:$AI$505,"&lt;="&amp;$A211,実績!$AJ$6:$AJ$505,"&gt;"&amp;$A211,実績!$AL$6:$AL$505,"○")&gt;0,1,0))</f>
        <v>0</v>
      </c>
      <c r="U211" s="39" t="n">
        <f aca="false">IF(U$4=0,0,IF(COUNTIFS(実績!$W$6:$W$505,U$3,実績!$AI$6:$AI$505,"&lt;="&amp;$A211,実績!$AJ$6:$AJ$505,"&gt;"&amp;$A211,実績!$AL$6:$AL$505,"○")&gt;0,1,0))</f>
        <v>0</v>
      </c>
      <c r="V211" s="39" t="n">
        <f aca="false">IF(V$4=0,0,IF(COUNTIFS(実績!$W$6:$W$505,V$3,実績!$AI$6:$AI$505,"&lt;="&amp;$A211,実績!$AJ$6:$AJ$505,"&gt;"&amp;$A211,実績!$AL$6:$AL$505,"○")&gt;0,1,0))</f>
        <v>0</v>
      </c>
      <c r="W211" s="39" t="n">
        <f aca="false">IF(W$4=0,0,IF(COUNTIFS(実績!$W$6:$W$505,W$3,実績!$AI$6:$AI$505,"&lt;="&amp;$A211,実績!$AJ$6:$AJ$505,"&gt;"&amp;$A211,実績!$AL$6:$AL$505,"○")&gt;0,1,0))</f>
        <v>0</v>
      </c>
      <c r="X211" s="39" t="n">
        <f aca="false">IF(X$4=0,0,IF(COUNTIFS(実績!$W$6:$W$505,X$3,実績!$AI$6:$AI$505,"&lt;="&amp;$A211,実績!$AJ$6:$AJ$505,"&gt;"&amp;$A211,実績!$AL$6:$AL$505,"○")&gt;0,1,0))</f>
        <v>0</v>
      </c>
      <c r="Y211" s="39" t="n">
        <f aca="false">IF(Y$4=0,0,IF(COUNTIFS(実績!$W$6:$W$505,Y$3,実績!$AI$6:$AI$505,"&lt;="&amp;$A211,実績!$AJ$6:$AJ$505,"&gt;"&amp;$A211,実績!$AL$6:$AL$505,"○")&gt;0,1,0))</f>
        <v>0</v>
      </c>
      <c r="Z211" s="39" t="n">
        <f aca="false">IF(Z$4=0,0,IF(COUNTIFS(実績!$W$6:$W$505,Z$3,実績!$AI$6:$AI$505,"&lt;="&amp;$A211,実績!$AJ$6:$AJ$505,"&gt;"&amp;$A211,実績!$AL$6:$AL$505,"○")&gt;0,1,0))</f>
        <v>0</v>
      </c>
      <c r="AA211" s="39" t="n">
        <f aca="false">IF(AA$4=0,0,IF(COUNTIFS(実績!$W$6:$W$505,AA$3,実績!$AI$6:$AI$505,"&lt;="&amp;$A211,実績!$AJ$6:$AJ$505,"&gt;"&amp;$A211,実績!$AL$6:$AL$505,"○")&gt;0,1,0))</f>
        <v>0</v>
      </c>
      <c r="AB211" s="39" t="n">
        <f aca="false">IF(AB$4=0,0,IF(COUNTIFS(実績!$W$6:$W$505,AB$3,実績!$AI$6:$AI$505,"&lt;="&amp;$A211,実績!$AJ$6:$AJ$505,"&gt;"&amp;$A211,実績!$AL$6:$AL$505,"○")&gt;0,1,0))</f>
        <v>0</v>
      </c>
      <c r="AC211" s="39" t="n">
        <f aca="false">IF(AC$4=0,0,IF(COUNTIFS(実績!$W$6:$W$505,AC$3,実績!$AI$6:$AI$505,"&lt;="&amp;$A211,実績!$AJ$6:$AJ$505,"&gt;"&amp;$A211,実績!$AL$6:$AL$505,"○")&gt;0,1,0))</f>
        <v>0</v>
      </c>
      <c r="AD211" s="39" t="n">
        <f aca="false">IF(AD$4=0,0,IF(COUNTIFS(実績!$W$6:$W$505,AD$3,実績!$AI$6:$AI$505,"&lt;="&amp;$A211,実績!$AJ$6:$AJ$505,"&gt;"&amp;$A211,実績!$AL$6:$AL$505,"○")&gt;0,1,0))</f>
        <v>0</v>
      </c>
      <c r="AE211" s="39" t="n">
        <f aca="false">IF(AE$4=0,0,IF(COUNTIFS(実績!$W$6:$W$505,AE$3,実績!$AI$6:$AI$505,"&lt;="&amp;$A211,実績!$AJ$6:$AJ$505,"&gt;"&amp;$A211,実績!$AL$6:$AL$505,"○")&gt;0,1,0))</f>
        <v>0</v>
      </c>
      <c r="AF211" s="39" t="n">
        <f aca="false">IF(AF$4=0,0,IF(COUNTIFS(実績!$W$6:$W$505,AF$3,実績!$AI$6:$AI$505,"&lt;="&amp;$A211,実績!$AJ$6:$AJ$505,"&gt;"&amp;$A211,実績!$AL$6:$AL$505,"○")&gt;0,1,0))</f>
        <v>0</v>
      </c>
      <c r="AG211" s="39" t="n">
        <f aca="false">IF(AG$4=0,0,IF(COUNTIFS(実績!$W$6:$W$505,AG$3,実績!$AI$6:$AI$505,"&lt;="&amp;$A211,実績!$AJ$6:$AJ$505,"&gt;"&amp;$A211,実績!$AL$6:$AL$505,"○")&gt;0,1,0))</f>
        <v>0</v>
      </c>
      <c r="AH211" s="39" t="n">
        <f aca="false">IF(AH$4=0,0,IF(COUNTIFS(実績!$W$6:$W$505,AH$3,実績!$AI$6:$AI$505,"&lt;="&amp;$A211,実績!$AJ$6:$AJ$505,"&gt;"&amp;$A211,実績!$AL$6:$AL$505,"○")&gt;0,1,0))</f>
        <v>0</v>
      </c>
      <c r="AI211" s="39" t="n">
        <f aca="false">IF(AI$4=0,0,IF(COUNTIFS(実績!$W$6:$W$505,AI$3,実績!$AI$6:$AI$505,"&lt;="&amp;$A211,実績!$AJ$6:$AJ$505,"&gt;"&amp;$A211,実績!$AL$6:$AL$505,"○")&gt;0,1,0))</f>
        <v>0</v>
      </c>
      <c r="AJ211" s="39" t="n">
        <f aca="false">IF(AJ$4=0,0,IF(COUNTIFS(実績!$W$6:$W$505,AJ$3,実績!$AI$6:$AI$505,"&lt;="&amp;$A211,実績!$AJ$6:$AJ$505,"&gt;"&amp;$A211,実績!$AL$6:$AL$505,"○")&gt;0,1,0))</f>
        <v>0</v>
      </c>
      <c r="AK211" s="39" t="n">
        <f aca="false">IF(AK$4=0,0,IF(COUNTIFS(実績!$W$6:$W$505,AK$3,実績!$AI$6:$AI$505,"&lt;="&amp;$A211,実績!$AJ$6:$AJ$505,"&gt;"&amp;$A211,実績!$AL$6:$AL$505,"○")&gt;0,1,0))</f>
        <v>0</v>
      </c>
      <c r="AL211" s="39" t="n">
        <f aca="false">IF(AL$4=0,0,IF(COUNTIFS(実績!$W$6:$W$505,AL$3,実績!$AI$6:$AI$505,"&lt;="&amp;$A211,実績!$AJ$6:$AJ$505,"&gt;"&amp;$A211,実績!$AL$6:$AL$505,"○")&gt;0,1,0))</f>
        <v>0</v>
      </c>
      <c r="AM211" s="39" t="n">
        <f aca="false">IF(AM$4=0,0,IF(COUNTIFS(実績!$W$6:$W$505,AM$3,実績!$AI$6:$AI$505,"&lt;="&amp;$A211,実績!$AJ$6:$AJ$505,"&gt;"&amp;$A211,実績!$AL$6:$AL$505,"○")&gt;0,1,0))</f>
        <v>0</v>
      </c>
      <c r="AN211" s="39" t="n">
        <f aca="false">IF(AN$4=0,0,IF(COUNTIFS(実績!$W$6:$W$505,AN$3,実績!$AI$6:$AI$505,"&lt;="&amp;$A211,実績!$AJ$6:$AJ$505,"&gt;"&amp;$A211,実績!$AL$6:$AL$505,"○")&gt;0,1,0))</f>
        <v>0</v>
      </c>
      <c r="AO211" s="39" t="n">
        <f aca="false">IF(AO$4=0,0,IF(COUNTIFS(実績!$W$6:$W$505,AO$3,実績!$AI$6:$AI$505,"&lt;="&amp;$A211,実績!$AJ$6:$AJ$505,"&gt;"&amp;$A211,実績!$AL$6:$AL$505,"○")&gt;0,1,0))</f>
        <v>0</v>
      </c>
      <c r="AP211" s="39" t="n">
        <f aca="false">IF(AP$4=0,0,IF(COUNTIFS(実績!$W$6:$W$505,AP$3,実績!$AI$6:$AI$505,"&lt;="&amp;$A211,実績!$AJ$6:$AJ$505,"&gt;"&amp;$A211,実績!$AL$6:$AL$505,"○")&gt;0,1,0))</f>
        <v>0</v>
      </c>
      <c r="AQ211" s="39" t="n">
        <f aca="false">IF(AQ$4=0,0,IF(COUNTIFS(実績!$W$6:$W$505,AQ$3,実績!$AI$6:$AI$505,"&lt;="&amp;$A211,実績!$AJ$6:$AJ$505,"&gt;"&amp;$A211,実績!$AL$6:$AL$505,"○")&gt;0,1,0))</f>
        <v>0</v>
      </c>
      <c r="AR211" s="39" t="n">
        <f aca="false">IF(AR$4=0,0,IF(COUNTIFS(実績!$W$6:$W$505,AR$3,実績!$AI$6:$AI$505,"&lt;="&amp;$A211,実績!$AJ$6:$AJ$505,"&gt;"&amp;$A211,実績!$AL$6:$AL$505,"○")&gt;0,1,0))</f>
        <v>0</v>
      </c>
      <c r="AS211" s="39" t="n">
        <f aca="false">IF(AS$4=0,0,IF(COUNTIFS(実績!$W$6:$W$505,AS$3,実績!$AI$6:$AI$505,"&lt;="&amp;$A211,実績!$AJ$6:$AJ$505,"&gt;"&amp;$A211,実績!$AL$6:$AL$505,"○")&gt;0,1,0))</f>
        <v>0</v>
      </c>
      <c r="AT211" s="39" t="n">
        <f aca="false">IF(AT$4=0,0,IF(COUNTIFS(実績!$W$6:$W$505,AT$3,実績!$AI$6:$AI$505,"&lt;="&amp;$A211,実績!$AJ$6:$AJ$505,"&gt;"&amp;$A211,実績!$AL$6:$AL$505,"○")&gt;0,1,0))</f>
        <v>0</v>
      </c>
      <c r="AU211" s="39" t="n">
        <f aca="false">IF(AU$4=0,0,IF(COUNTIFS(実績!$W$6:$W$505,AU$3,実績!$AI$6:$AI$505,"&lt;="&amp;$A211,実績!$AJ$6:$AJ$505,"&gt;"&amp;$A211,実績!$AL$6:$AL$505,"○")&gt;0,1,0))</f>
        <v>0</v>
      </c>
      <c r="AV211" s="39" t="n">
        <f aca="false">IF(AV$4=0,0,IF(COUNTIFS(実績!$W$6:$W$505,AV$3,実績!$AI$6:$AI$505,"&lt;="&amp;$A211,実績!$AJ$6:$AJ$505,"&gt;"&amp;$A211,実績!$AL$6:$AL$505,"○")&gt;0,1,0))</f>
        <v>0</v>
      </c>
      <c r="AW211" s="39" t="n">
        <f aca="false">IF(AW$4=0,0,IF(COUNTIFS(実績!$W$6:$W$505,AW$3,実績!$AI$6:$AI$505,"&lt;="&amp;$A211,実績!$AJ$6:$AJ$505,"&gt;"&amp;$A211,実績!$AL$6:$AL$505,"○")&gt;0,1,0))</f>
        <v>0</v>
      </c>
      <c r="AX211" s="39" t="n">
        <f aca="false">IF(AX$4=0,0,IF(COUNTIFS(実績!$W$6:$W$505,AX$3,実績!$AI$6:$AI$505,"&lt;="&amp;$A211,実績!$AJ$6:$AJ$505,"&gt;"&amp;$A211,実績!$AL$6:$AL$505,"○")&gt;0,1,0))</f>
        <v>0</v>
      </c>
      <c r="AY211" s="39" t="n">
        <f aca="false">IF(AY$4=0,0,IF(COUNTIFS(実績!$W$6:$W$505,AY$3,実績!$AI$6:$AI$505,"&lt;="&amp;$A211,実績!$AJ$6:$AJ$505,"&gt;"&amp;$A211,実績!$AL$6:$AL$505,"○")&gt;0,1,0))</f>
        <v>0</v>
      </c>
      <c r="AZ211" s="39" t="n">
        <f aca="false">IF(AZ$4=0,0,IF(COUNTIFS(実績!$W$6:$W$505,AZ$3,実績!$AI$6:$AI$505,"&lt;="&amp;$A211,実績!$AJ$6:$AJ$505,"&gt;"&amp;$A211,実績!$AL$6:$AL$505,"○")&gt;0,1,0))</f>
        <v>0</v>
      </c>
      <c r="BA211" s="39" t="n">
        <f aca="false">IF(BA$4=0,0,IF(COUNTIFS(実績!$W$6:$W$505,BA$3,実績!$AI$6:$AI$505,"&lt;="&amp;$A211,実績!$AJ$6:$AJ$505,"&gt;"&amp;$A211,実績!$AL$6:$AL$505,"○")&gt;0,1,0))</f>
        <v>0</v>
      </c>
      <c r="BB211" s="39" t="n">
        <f aca="false">IF(BB$4=0,0,IF(COUNTIFS(実績!$W$6:$W$505,BB$3,実績!$AI$6:$AI$505,"&lt;="&amp;$A211,実績!$AJ$6:$AJ$505,"&gt;"&amp;$A211,実績!$AL$6:$AL$505,"○")&gt;0,1,0))</f>
        <v>0</v>
      </c>
      <c r="BC211" s="39" t="n">
        <f aca="false">IF(BC$4=0,0,IF(COUNTIFS(実績!$W$6:$W$505,BC$3,実績!$AI$6:$AI$505,"&lt;="&amp;$A211,実績!$AJ$6:$AJ$505,"&gt;"&amp;$A211,実績!$AL$6:$AL$505,"○")&gt;0,1,0))</f>
        <v>0</v>
      </c>
      <c r="BD211" s="39" t="n">
        <f aca="false">IF(BD$4=0,0,IF(COUNTIFS(実績!$W$6:$W$505,BD$3,実績!$AI$6:$AI$505,"&lt;="&amp;$A211,実績!$AJ$6:$AJ$505,"&gt;"&amp;$A211,実績!$AL$6:$AL$505,"○")&gt;0,1,0))</f>
        <v>0</v>
      </c>
      <c r="BE211" s="39" t="n">
        <f aca="false">IF(BE$4=0,0,IF(COUNTIFS(実績!$W$6:$W$505,BE$3,実績!$AI$6:$AI$505,"&lt;="&amp;$A211,実績!$AJ$6:$AJ$505,"&gt;"&amp;$A211,実績!$AL$6:$AL$505,"○")&gt;0,1,0))</f>
        <v>0</v>
      </c>
      <c r="BF211" s="39" t="n">
        <f aca="false">IF(BF$4=0,0,IF(COUNTIFS(実績!$W$6:$W$505,BF$3,実績!$AI$6:$AI$505,"&lt;="&amp;$A211,実績!$AJ$6:$AJ$505,"&gt;"&amp;$A211,実績!$AL$6:$AL$505,"○")&gt;0,1,0))</f>
        <v>0</v>
      </c>
      <c r="BG211" s="39" t="n">
        <f aca="false">IF(BG$4=0,0,IF(COUNTIFS(実績!$W$6:$W$505,BG$3,実績!$AI$6:$AI$505,"&lt;="&amp;$A211,実績!$AJ$6:$AJ$505,"&gt;"&amp;$A211,実績!$AL$6:$AL$505,"○")&gt;0,1,0))</f>
        <v>0</v>
      </c>
      <c r="BH211" s="39" t="n">
        <f aca="false">IF(BH$4=0,0,IF(COUNTIFS(実績!$W$6:$W$505,BH$3,実績!$AI$6:$AI$505,"&lt;="&amp;$A211,実績!$AJ$6:$AJ$505,"&gt;"&amp;$A211,実績!$AL$6:$AL$505,"○")&gt;0,1,0))</f>
        <v>0</v>
      </c>
      <c r="BI211" s="39" t="n">
        <f aca="false">IF(BI$4=0,0,IF(COUNTIFS(実績!$W$6:$W$505,BI$3,実績!$AI$6:$AI$505,"&lt;="&amp;$A211,実績!$AJ$6:$AJ$505,"&gt;"&amp;$A211,実績!$AL$6:$AL$505,"○")&gt;0,1,0))</f>
        <v>0</v>
      </c>
      <c r="BJ211" s="39" t="n">
        <f aca="false">IF(BJ$4=0,0,IF(COUNTIFS(実績!$W$6:$W$505,BJ$3,実績!$AI$6:$AI$505,"&lt;="&amp;$A211,実績!$AJ$6:$AJ$505,"&gt;"&amp;$A211,実績!$AL$6:$AL$505,"○")&gt;0,1,0))</f>
        <v>0</v>
      </c>
      <c r="BK211" s="39" t="n">
        <f aca="false">IF(BK$4=0,0,IF(COUNTIFS(実績!$W$6:$W$505,BK$3,実績!$AI$6:$AI$505,"&lt;="&amp;$A211,実績!$AJ$6:$AJ$505,"&gt;"&amp;$A211,実績!$AL$6:$AL$505,"○")&gt;0,1,0))</f>
        <v>0</v>
      </c>
      <c r="BL211" s="39" t="n">
        <f aca="false">IF(BL$4=0,0,IF(COUNTIFS(実績!$W$6:$W$505,BL$3,実績!$AI$6:$AI$505,"&lt;="&amp;$A211,実績!$AJ$6:$AJ$505,"&gt;"&amp;$A211,実績!$AL$6:$AL$505,"○")&gt;0,1,0))</f>
        <v>0</v>
      </c>
      <c r="BM211" s="39" t="n">
        <f aca="false">IF(BM$4=0,0,IF(COUNTIFS(実績!$W$6:$W$505,BM$3,実績!$AI$6:$AI$505,"&lt;="&amp;$A211,実績!$AJ$6:$AJ$505,"&gt;"&amp;$A211,実績!$AL$6:$AL$505,"○")&gt;0,1,0))</f>
        <v>0</v>
      </c>
      <c r="BN211" s="39" t="n">
        <f aca="false">IF(BN$4=0,0,IF(COUNTIFS(実績!$W$6:$W$505,BN$3,実績!$AI$6:$AI$505,"&lt;="&amp;$A211,実績!$AJ$6:$AJ$505,"&gt;"&amp;$A211,実績!$AL$6:$AL$505,"○")&gt;0,1,0))</f>
        <v>0</v>
      </c>
      <c r="BO211" s="39" t="n">
        <f aca="false">IF(BO$4=0,0,IF(COUNTIFS(実績!$W$6:$W$505,BO$3,実績!$AI$6:$AI$505,"&lt;="&amp;$A211,実績!$AJ$6:$AJ$505,"&gt;"&amp;$A211,実績!$AL$6:$AL$505,"○")&gt;0,1,0))</f>
        <v>0</v>
      </c>
      <c r="BP211" s="39" t="n">
        <f aca="false">IF(BP$4=0,0,IF(COUNTIFS(実績!$W$6:$W$505,BP$3,実績!$AI$6:$AI$505,"&lt;="&amp;$A211,実績!$AJ$6:$AJ$505,"&gt;"&amp;$A211,実績!$AL$6:$AL$505,"○")&gt;0,1,0))</f>
        <v>0</v>
      </c>
      <c r="BQ211" s="39" t="n">
        <f aca="false">IF(BQ$4=0,0,IF(COUNTIFS(実績!$W$6:$W$505,BQ$3,実績!$AI$6:$AI$505,"&lt;="&amp;$A211,実績!$AJ$6:$AJ$505,"&gt;"&amp;$A211,実績!$AL$6:$AL$505,"○")&gt;0,1,0))</f>
        <v>0</v>
      </c>
      <c r="BR211" s="39" t="n">
        <f aca="false">IF(BR$4=0,0,IF(COUNTIFS(実績!$W$6:$W$505,BR$3,実績!$AI$6:$AI$505,"&lt;="&amp;$A211,実績!$AJ$6:$AJ$505,"&gt;"&amp;$A211,実績!$AL$6:$AL$505,"○")&gt;0,1,0))</f>
        <v>0</v>
      </c>
      <c r="BS211" s="39" t="n">
        <f aca="false">IF(BS$4=0,0,IF(COUNTIFS(実績!$W$6:$W$505,BS$3,実績!$AI$6:$AI$505,"&lt;="&amp;$A211,実績!$AJ$6:$AJ$505,"&gt;"&amp;$A211,実績!$AL$6:$AL$505,"○")&gt;0,1,0))</f>
        <v>0</v>
      </c>
      <c r="BT211" s="39" t="n">
        <f aca="false">IF(BT$4=0,0,IF(COUNTIFS(実績!$W$6:$W$505,BT$3,実績!$AI$6:$AI$505,"&lt;="&amp;$A211,実績!$AJ$6:$AJ$505,"&gt;"&amp;$A211,実績!$AL$6:$AL$505,"○")&gt;0,1,0))</f>
        <v>0</v>
      </c>
      <c r="BU211" s="39" t="n">
        <f aca="false">IF(BU$4=0,0,IF(COUNTIFS(実績!$W$6:$W$505,BU$3,実績!$AI$6:$AI$505,"&lt;="&amp;$A211,実績!$AJ$6:$AJ$505,"&gt;"&amp;$A211,実績!$AL$6:$AL$505,"○")&gt;0,1,0))</f>
        <v>0</v>
      </c>
      <c r="BV211" s="39" t="n">
        <f aca="false">IF(BV$4=0,0,IF(COUNTIFS(実績!$W$6:$W$505,BV$3,実績!$AI$6:$AI$505,"&lt;="&amp;$A211,実績!$AJ$6:$AJ$505,"&gt;"&amp;$A211,実績!$AL$6:$AL$505,"○")&gt;0,1,0))</f>
        <v>0</v>
      </c>
      <c r="BW211" s="39" t="n">
        <f aca="false">IF(BW$4=0,0,IF(COUNTIFS(実績!$W$6:$W$505,BW$3,実績!$AI$6:$AI$505,"&lt;="&amp;$A211,実績!$AJ$6:$AJ$505,"&gt;"&amp;$A211,実績!$AL$6:$AL$505,"○")&gt;0,1,0))</f>
        <v>0</v>
      </c>
      <c r="BX211" s="39" t="n">
        <f aca="false">IF(BX$4=0,0,IF(COUNTIFS(実績!$W$6:$W$505,BX$3,実績!$AI$6:$AI$505,"&lt;="&amp;$A211,実績!$AJ$6:$AJ$505,"&gt;"&amp;$A211,実績!$AL$6:$AL$505,"○")&gt;0,1,0))</f>
        <v>0</v>
      </c>
      <c r="BY211" s="39" t="n">
        <f aca="false">IF(BY$4=0,0,IF(COUNTIFS(実績!$W$6:$W$505,BY$3,実績!$AI$6:$AI$505,"&lt;="&amp;$A211,実績!$AJ$6:$AJ$505,"&gt;"&amp;$A211,実績!$AL$6:$AL$505,"○")&gt;0,1,0))</f>
        <v>0</v>
      </c>
      <c r="BZ211" s="39" t="n">
        <f aca="false">IF(BZ$4=0,0,IF(COUNTIFS(実績!$W$6:$W$505,BZ$3,実績!$AI$6:$AI$505,"&lt;="&amp;$A211,実績!$AJ$6:$AJ$505,"&gt;"&amp;$A211,実績!$AL$6:$AL$505,"○")&gt;0,1,0))</f>
        <v>0</v>
      </c>
      <c r="CA211" s="39" t="n">
        <f aca="false">IF(CA$4=0,0,IF(COUNTIFS(実績!$W$6:$W$505,CA$3,実績!$AI$6:$AI$505,"&lt;="&amp;$A211,実績!$AJ$6:$AJ$505,"&gt;"&amp;$A211,実績!$AL$6:$AL$505,"○")&gt;0,1,0))</f>
        <v>0</v>
      </c>
      <c r="CB211" s="39" t="n">
        <f aca="false">IF(CB$4=0,0,IF(COUNTIFS(実績!$W$6:$W$505,CB$3,実績!$AI$6:$AI$505,"&lt;="&amp;$A211,実績!$AJ$6:$AJ$505,"&gt;"&amp;$A211,実績!$AL$6:$AL$505,"○")&gt;0,1,0))</f>
        <v>0</v>
      </c>
      <c r="CC211" s="39" t="n">
        <f aca="false">IF(CC$4=0,0,IF(COUNTIFS(実績!$W$6:$W$505,CC$3,実績!$AI$6:$AI$505,"&lt;="&amp;$A211,実績!$AJ$6:$AJ$505,"&gt;"&amp;$A211,実績!$AL$6:$AL$505,"○")&gt;0,1,0))</f>
        <v>0</v>
      </c>
      <c r="CD211" s="39" t="n">
        <f aca="false">IF(CD$4=0,0,IF(COUNTIFS(実績!$W$6:$W$505,CD$3,実績!$AI$6:$AI$505,"&lt;="&amp;$A211,実績!$AJ$6:$AJ$505,"&gt;"&amp;$A211,実績!$AL$6:$AL$505,"○")&gt;0,1,0))</f>
        <v>0</v>
      </c>
      <c r="CE211" s="39" t="n">
        <f aca="false">IF(CE$4=0,0,IF(COUNTIFS(実績!$W$6:$W$505,CE$3,実績!$AI$6:$AI$505,"&lt;="&amp;$A211,実績!$AJ$6:$AJ$505,"&gt;"&amp;$A211,実績!$AL$6:$AL$505,"○")&gt;0,1,0))</f>
        <v>0</v>
      </c>
      <c r="CF211" s="39" t="n">
        <f aca="false">IF(CF$4=0,0,IF(COUNTIFS(実績!$W$6:$W$505,CF$3,実績!$AI$6:$AI$505,"&lt;="&amp;$A211,実績!$AJ$6:$AJ$505,"&gt;"&amp;$A211,実績!$AL$6:$AL$505,"○")&gt;0,1,0))</f>
        <v>0</v>
      </c>
      <c r="CG211" s="39" t="n">
        <f aca="false">IF(CG$4=0,0,IF(COUNTIFS(実績!$W$6:$W$505,CG$3,実績!$AI$6:$AI$505,"&lt;="&amp;$A211,実績!$AJ$6:$AJ$505,"&gt;"&amp;$A211,実績!$AL$6:$AL$505,"○")&gt;0,1,0))</f>
        <v>0</v>
      </c>
      <c r="CH211" s="39" t="n">
        <f aca="false">IF(CH$4=0,0,IF(COUNTIFS(実績!$W$6:$W$505,CH$3,実績!$AI$6:$AI$505,"&lt;="&amp;$A211,実績!$AJ$6:$AJ$505,"&gt;"&amp;$A211,実績!$AL$6:$AL$505,"○")&gt;0,1,0))</f>
        <v>0</v>
      </c>
      <c r="CI211" s="39" t="n">
        <f aca="false">IF(CI$4=0,0,IF(COUNTIFS(実績!$W$6:$W$505,CI$3,実績!$AI$6:$AI$505,"&lt;="&amp;$A211,実績!$AJ$6:$AJ$505,"&gt;"&amp;$A211,実績!$AL$6:$AL$505,"○")&gt;0,1,0))</f>
        <v>0</v>
      </c>
      <c r="CJ211" s="39" t="n">
        <f aca="false">IF(CJ$4=0,0,IF(COUNTIFS(実績!$W$6:$W$505,CJ$3,実績!$AI$6:$AI$505,"&lt;="&amp;$A211,実績!$AJ$6:$AJ$505,"&gt;"&amp;$A211,実績!$AL$6:$AL$505,"○")&gt;0,1,0))</f>
        <v>0</v>
      </c>
      <c r="CK211" s="39" t="n">
        <f aca="false">IF(CK$4=0,0,IF(COUNTIFS(実績!$W$6:$W$505,CK$3,実績!$AI$6:$AI$505,"&lt;="&amp;$A211,実績!$AJ$6:$AJ$505,"&gt;"&amp;$A211,実績!$AL$6:$AL$505,"○")&gt;0,1,0))</f>
        <v>0</v>
      </c>
      <c r="CL211" s="39" t="n">
        <f aca="false">IF(CL$4=0,0,IF(COUNTIFS(実績!$W$6:$W$505,CL$3,実績!$AI$6:$AI$505,"&lt;="&amp;$A211,実績!$AJ$6:$AJ$505,"&gt;"&amp;$A211,実績!$AL$6:$AL$505,"○")&gt;0,1,0))</f>
        <v>0</v>
      </c>
      <c r="CM211" s="39" t="n">
        <f aca="false">IF(CM$4=0,0,IF(COUNTIFS(実績!$W$6:$W$505,CM$3,実績!$AI$6:$AI$505,"&lt;="&amp;$A211,実績!$AJ$6:$AJ$505,"&gt;"&amp;$A211,実績!$AL$6:$AL$505,"○")&gt;0,1,0))</f>
        <v>0</v>
      </c>
      <c r="CN211" s="39" t="n">
        <f aca="false">IF(CN$4=0,0,IF(COUNTIFS(実績!$W$6:$W$505,CN$3,実績!$AI$6:$AI$505,"&lt;="&amp;$A211,実績!$AJ$6:$AJ$505,"&gt;"&amp;$A211,実績!$AL$6:$AL$505,"○")&gt;0,1,0))</f>
        <v>0</v>
      </c>
      <c r="CO211" s="39" t="n">
        <f aca="false">IF(CO$4=0,0,IF(COUNTIFS(実績!$W$6:$W$505,CO$3,実績!$AI$6:$AI$505,"&lt;="&amp;$A211,実績!$AJ$6:$AJ$505,"&gt;"&amp;$A211,実績!$AL$6:$AL$505,"○")&gt;0,1,0))</f>
        <v>0</v>
      </c>
      <c r="CP211" s="39" t="n">
        <f aca="false">IF(CP$4=0,0,IF(COUNTIFS(実績!$W$6:$W$505,CP$3,実績!$AI$6:$AI$505,"&lt;="&amp;$A211,実績!$AJ$6:$AJ$505,"&gt;"&amp;$A211,実績!$AL$6:$AL$505,"○")&gt;0,1,0))</f>
        <v>0</v>
      </c>
      <c r="CQ211" s="39" t="n">
        <f aca="false">IF(CQ$4=0,0,IF(COUNTIFS(実績!$W$6:$W$505,CQ$3,実績!$AI$6:$AI$505,"&lt;="&amp;$A211,実績!$AJ$6:$AJ$505,"&gt;"&amp;$A211,実績!$AL$6:$AL$505,"○")&gt;0,1,0))</f>
        <v>0</v>
      </c>
      <c r="CR211" s="39" t="n">
        <f aca="false">IF(CR$4=0,0,IF(COUNTIFS(実績!$W$6:$W$505,CR$3,実績!$AI$6:$AI$505,"&lt;="&amp;$A211,実績!$AJ$6:$AJ$505,"&gt;"&amp;$A211,実績!$AL$6:$AL$505,"○")&gt;0,1,0))</f>
        <v>0</v>
      </c>
      <c r="CS211" s="39" t="n">
        <f aca="false">IF(CS$4=0,0,IF(COUNTIFS(実績!$W$6:$W$505,CS$3,実績!$AI$6:$AI$505,"&lt;="&amp;$A211,実績!$AJ$6:$AJ$505,"&gt;"&amp;$A211,実績!$AL$6:$AL$505,"○")&gt;0,1,0))</f>
        <v>0</v>
      </c>
      <c r="CT211" s="39" t="n">
        <f aca="false">IF(CT$4=0,0,IF(COUNTIFS(実績!$W$6:$W$505,CT$3,実績!$AI$6:$AI$505,"&lt;="&amp;$A211,実績!$AJ$6:$AJ$505,"&gt;"&amp;$A211,実績!$AL$6:$AL$505,"○")&gt;0,1,0))</f>
        <v>0</v>
      </c>
      <c r="CU211" s="39" t="n">
        <f aca="false">IF(CU$4=0,0,IF(COUNTIFS(実績!$W$6:$W$505,CU$3,実績!$AI$6:$AI$505,"&lt;="&amp;$A211,実績!$AJ$6:$AJ$505,"&gt;"&amp;$A211,実績!$AL$6:$AL$505,"○")&gt;0,1,0))</f>
        <v>0</v>
      </c>
      <c r="CV211" s="39" t="n">
        <f aca="false">IF(CV$4=0,0,IF(COUNTIFS(実績!$W$6:$W$505,CV$3,実績!$AI$6:$AI$505,"&lt;="&amp;$A211,実績!$AJ$6:$AJ$505,"&gt;"&amp;$A211,実績!$AL$6:$AL$505,"○")&gt;0,1,0))</f>
        <v>0</v>
      </c>
      <c r="CW211" s="39" t="n">
        <f aca="false">IF(CW$4=0,0,IF(COUNTIFS(実績!$W$6:$W$505,CW$3,実績!$AI$6:$AI$505,"&lt;="&amp;$A211,実績!$AJ$6:$AJ$505,"&gt;"&amp;$A211,実績!$AL$6:$AL$505,"○")&gt;0,1,0))</f>
        <v>0</v>
      </c>
      <c r="CX211" s="39" t="n">
        <f aca="false">IF(CX$4=0,0,IF(COUNTIFS(実績!$W$6:$W$505,CX$3,実績!$AI$6:$AI$505,"&lt;="&amp;$A211,実績!$AJ$6:$AJ$505,"&gt;"&amp;$A211,実績!$AL$6:$AL$505,"○")&gt;0,1,0))</f>
        <v>0</v>
      </c>
      <c r="CY211" s="39" t="n">
        <f aca="false">IF(CY$4=0,0,IF(COUNTIFS(実績!$W$6:$W$505,CY$3,実績!$AI$6:$AI$505,"&lt;="&amp;$A211,実績!$AJ$6:$AJ$505,"&gt;"&amp;$A211,実績!$AL$6:$AL$505,"○")&gt;0,1,0))</f>
        <v>0</v>
      </c>
      <c r="CZ211" s="39" t="n">
        <f aca="false">IF(CZ$4=0,0,IF(COUNTIFS(実績!$W$6:$W$505,CZ$3,実績!$AI$6:$AI$505,"&lt;="&amp;$A211,実績!$AJ$6:$AJ$505,"&gt;"&amp;$A211,実績!$AL$6:$AL$505,"○")&gt;0,1,0))</f>
        <v>0</v>
      </c>
      <c r="DA211" s="39" t="n">
        <f aca="false">IF(DA$4=0,0,IF(COUNTIFS(実績!$W$6:$W$505,DA$3,実績!$AI$6:$AI$505,"&lt;="&amp;$A211,実績!$AJ$6:$AJ$505,"&gt;"&amp;$A211,実績!$AL$6:$AL$505,"○")&gt;0,1,0))</f>
        <v>0</v>
      </c>
      <c r="DB211" s="39" t="n">
        <f aca="false">IF(DB$4=0,0,IF(COUNTIFS(実績!$W$6:$W$505,DB$3,実績!$AI$6:$AI$505,"&lt;="&amp;$A211,実績!$AJ$6:$AJ$505,"&gt;"&amp;$A211,実績!$AL$6:$AL$505,"○")&gt;0,1,0))</f>
        <v>0</v>
      </c>
      <c r="DC211" s="39" t="n">
        <f aca="false">IF(DC$4=0,0,IF(COUNTIFS(実績!$W$6:$W$505,DC$3,実績!$AI$6:$AI$505,"&lt;="&amp;$A211,実績!$AJ$6:$AJ$505,"&gt;"&amp;$A211,実績!$AL$6:$AL$505,"○")&gt;0,1,0))</f>
        <v>0</v>
      </c>
      <c r="DD211" s="39" t="n">
        <f aca="false">IF(DD$4=0,0,IF(COUNTIFS(実績!$W$6:$W$505,DD$3,実績!$AI$6:$AI$505,"&lt;="&amp;$A211,実績!$AJ$6:$AJ$505,"&gt;"&amp;$A211,実績!$AL$6:$AL$505,"○")&gt;0,1,0))</f>
        <v>0</v>
      </c>
      <c r="DE211" s="39" t="n">
        <f aca="false">IF(DE$4=0,0,IF(COUNTIFS(実績!$W$6:$W$505,DE$3,実績!$AI$6:$AI$505,"&lt;="&amp;$A211,実績!$AJ$6:$AJ$505,"&gt;"&amp;$A211,実績!$AL$6:$AL$505,"○")&gt;0,1,0))</f>
        <v>0</v>
      </c>
      <c r="DF211" s="39" t="n">
        <f aca="false">IF(DF$4=0,0,IF(COUNTIFS(実績!$W$6:$W$505,DF$3,実績!$AI$6:$AI$505,"&lt;="&amp;$A211,実績!$AJ$6:$AJ$505,"&gt;"&amp;$A211,実績!$AL$6:$AL$505,"○")&gt;0,1,0))</f>
        <v>0</v>
      </c>
      <c r="DG211" s="39" t="n">
        <f aca="false">IF(DG$4=0,0,IF(COUNTIFS(実績!$W$6:$W$505,DG$3,実績!$AI$6:$AI$505,"&lt;="&amp;$A211,実績!$AJ$6:$AJ$505,"&gt;"&amp;$A211,実績!$AL$6:$AL$505,"○")&gt;0,1,0))</f>
        <v>0</v>
      </c>
      <c r="DH211" s="39" t="n">
        <f aca="false">IF(DH$4=0,0,IF(COUNTIFS(実績!$W$6:$W$505,DH$3,実績!$AI$6:$AI$505,"&lt;="&amp;$A211,実績!$AJ$6:$AJ$505,"&gt;"&amp;$A211,実績!$AL$6:$AL$505,"○")&gt;0,1,0))</f>
        <v>0</v>
      </c>
      <c r="DI211" s="39" t="n">
        <f aca="false">IF(DI$4=0,0,IF(COUNTIFS(実績!$W$6:$W$505,DI$3,実績!$AI$6:$AI$505,"&lt;="&amp;$A211,実績!$AJ$6:$AJ$505,"&gt;"&amp;$A211,実績!$AL$6:$AL$505,"○")&gt;0,1,0))</f>
        <v>0</v>
      </c>
      <c r="DJ211" s="39" t="n">
        <f aca="false">IF(DJ$4=0,0,IF(COUNTIFS(実績!$W$6:$W$505,DJ$3,実績!$AI$6:$AI$505,"&lt;="&amp;$A211,実績!$AJ$6:$AJ$505,"&gt;"&amp;$A211,実績!$AL$6:$AL$505,"○")&gt;0,1,0))</f>
        <v>0</v>
      </c>
      <c r="DK211" s="39" t="n">
        <f aca="false">IF(DK$4=0,0,IF(COUNTIFS(実績!$W$6:$W$505,DK$3,実績!$AI$6:$AI$505,"&lt;="&amp;$A211,実績!$AJ$6:$AJ$505,"&gt;"&amp;$A211,実績!$AL$6:$AL$505,"○")&gt;0,1,0))</f>
        <v>0</v>
      </c>
      <c r="DL211" s="39" t="n">
        <f aca="false">IF(DL$4=0,0,IF(COUNTIFS(実績!$W$6:$W$505,DL$3,実績!$AI$6:$AI$505,"&lt;="&amp;$A211,実績!$AJ$6:$AJ$505,"&gt;"&amp;$A211,実績!$AL$6:$AL$505,"○")&gt;0,1,0))</f>
        <v>0</v>
      </c>
      <c r="DM211" s="39" t="n">
        <f aca="false">IF(DM$4=0,0,IF(COUNTIFS(実績!$W$6:$W$505,DM$3,実績!$AI$6:$AI$505,"&lt;="&amp;$A211,実績!$AJ$6:$AJ$505,"&gt;"&amp;$A211,実績!$AL$6:$AL$505,"○")&gt;0,1,0))</f>
        <v>0</v>
      </c>
      <c r="DN211" s="39" t="n">
        <f aca="false">IF(DN$4=0,0,IF(COUNTIFS(実績!$W$6:$W$505,DN$3,実績!$AI$6:$AI$505,"&lt;="&amp;$A211,実績!$AJ$6:$AJ$505,"&gt;"&amp;$A211,実績!$AL$6:$AL$505,"○")&gt;0,1,0))</f>
        <v>0</v>
      </c>
      <c r="DO211" s="39" t="n">
        <f aca="false">IF(DO$4=0,0,IF(COUNTIFS(実績!$W$6:$W$505,DO$3,実績!$AI$6:$AI$505,"&lt;="&amp;$A211,実績!$AJ$6:$AJ$505,"&gt;"&amp;$A211,実績!$AL$6:$AL$505,"○")&gt;0,1,0))</f>
        <v>0</v>
      </c>
      <c r="DP211" s="39" t="n">
        <f aca="false">IF(DP$4=0,0,IF(COUNTIFS(実績!$W$6:$W$505,DP$3,実績!$AI$6:$AI$505,"&lt;="&amp;$A211,実績!$AJ$6:$AJ$505,"&gt;"&amp;$A211,実績!$AL$6:$AL$505,"○")&gt;0,1,0))</f>
        <v>0</v>
      </c>
      <c r="DQ211" s="39" t="n">
        <f aca="false">IF(DQ$4=0,0,IF(COUNTIFS(実績!$W$6:$W$505,DQ$3,実績!$AI$6:$AI$505,"&lt;="&amp;$A211,実績!$AJ$6:$AJ$505,"&gt;"&amp;$A211,実績!$AL$6:$AL$505,"○")&gt;0,1,0))</f>
        <v>0</v>
      </c>
      <c r="DR211" s="39" t="n">
        <f aca="false">IF(DR$4=0,0,IF(COUNTIFS(実績!$W$6:$W$505,DR$3,実績!$AI$6:$AI$505,"&lt;="&amp;$A211,実績!$AJ$6:$AJ$505,"&gt;"&amp;$A211,実績!$AL$6:$AL$505,"○")&gt;0,1,0))</f>
        <v>0</v>
      </c>
      <c r="DS211" s="39" t="n">
        <f aca="false">SUM(C211:DR211)</f>
        <v>0</v>
      </c>
    </row>
    <row r="212" customFormat="false" ht="15" hidden="false" customHeight="false" outlineLevel="0" collapsed="false">
      <c r="A212" s="0" t="n">
        <v>1030</v>
      </c>
      <c r="B212" s="38" t="n">
        <f aca="false">A212/1440</f>
        <v>0.715277777777778</v>
      </c>
      <c r="C212" s="39" t="n">
        <f aca="false">IF(C$4=0,0,IF(COUNTIFS(実績!$W$6:$W$505,C$3,実績!$AI$6:$AI$505,"&lt;="&amp;$A212,実績!$AJ$6:$AJ$505,"&gt;"&amp;$A212,実績!$AL$6:$AL$505,"○")&gt;0,1,0))</f>
        <v>0</v>
      </c>
      <c r="D212" s="39" t="n">
        <f aca="false">IF(D$4=0,0,IF(COUNTIFS(実績!$W$6:$W$505,D$3,実績!$AI$6:$AI$505,"&lt;="&amp;$A212,実績!$AJ$6:$AJ$505,"&gt;"&amp;$A212,実績!$AL$6:$AL$505,"○")&gt;0,1,0))</f>
        <v>0</v>
      </c>
      <c r="E212" s="39" t="n">
        <f aca="false">IF(E$4=0,0,IF(COUNTIFS(実績!$W$6:$W$505,E$3,実績!$AI$6:$AI$505,"&lt;="&amp;$A212,実績!$AJ$6:$AJ$505,"&gt;"&amp;$A212,実績!$AL$6:$AL$505,"○")&gt;0,1,0))</f>
        <v>0</v>
      </c>
      <c r="F212" s="39" t="n">
        <f aca="false">IF(F$4=0,0,IF(COUNTIFS(実績!$W$6:$W$505,F$3,実績!$AI$6:$AI$505,"&lt;="&amp;$A212,実績!$AJ$6:$AJ$505,"&gt;"&amp;$A212,実績!$AL$6:$AL$505,"○")&gt;0,1,0))</f>
        <v>0</v>
      </c>
      <c r="G212" s="39" t="n">
        <f aca="false">IF(G$4=0,0,IF(COUNTIFS(実績!$W$6:$W$505,G$3,実績!$AI$6:$AI$505,"&lt;="&amp;$A212,実績!$AJ$6:$AJ$505,"&gt;"&amp;$A212,実績!$AL$6:$AL$505,"○")&gt;0,1,0))</f>
        <v>0</v>
      </c>
      <c r="H212" s="39" t="n">
        <f aca="false">IF(H$4=0,0,IF(COUNTIFS(実績!$W$6:$W$505,H$3,実績!$AI$6:$AI$505,"&lt;="&amp;$A212,実績!$AJ$6:$AJ$505,"&gt;"&amp;$A212,実績!$AL$6:$AL$505,"○")&gt;0,1,0))</f>
        <v>0</v>
      </c>
      <c r="I212" s="39" t="n">
        <f aca="false">IF(I$4=0,0,IF(COUNTIFS(実績!$W$6:$W$505,I$3,実績!$AI$6:$AI$505,"&lt;="&amp;$A212,実績!$AJ$6:$AJ$505,"&gt;"&amp;$A212,実績!$AL$6:$AL$505,"○")&gt;0,1,0))</f>
        <v>0</v>
      </c>
      <c r="J212" s="39" t="n">
        <f aca="false">IF(J$4=0,0,IF(COUNTIFS(実績!$W$6:$W$505,J$3,実績!$AI$6:$AI$505,"&lt;="&amp;$A212,実績!$AJ$6:$AJ$505,"&gt;"&amp;$A212,実績!$AL$6:$AL$505,"○")&gt;0,1,0))</f>
        <v>0</v>
      </c>
      <c r="K212" s="39" t="n">
        <f aca="false">IF(K$4=0,0,IF(COUNTIFS(実績!$W$6:$W$505,K$3,実績!$AI$6:$AI$505,"&lt;="&amp;$A212,実績!$AJ$6:$AJ$505,"&gt;"&amp;$A212,実績!$AL$6:$AL$505,"○")&gt;0,1,0))</f>
        <v>0</v>
      </c>
      <c r="L212" s="39" t="n">
        <f aca="false">IF(L$4=0,0,IF(COUNTIFS(実績!$W$6:$W$505,L$3,実績!$AI$6:$AI$505,"&lt;="&amp;$A212,実績!$AJ$6:$AJ$505,"&gt;"&amp;$A212,実績!$AL$6:$AL$505,"○")&gt;0,1,0))</f>
        <v>0</v>
      </c>
      <c r="M212" s="39" t="n">
        <f aca="false">IF(M$4=0,0,IF(COUNTIFS(実績!$W$6:$W$505,M$3,実績!$AI$6:$AI$505,"&lt;="&amp;$A212,実績!$AJ$6:$AJ$505,"&gt;"&amp;$A212,実績!$AL$6:$AL$505,"○")&gt;0,1,0))</f>
        <v>0</v>
      </c>
      <c r="N212" s="39" t="n">
        <f aca="false">IF(N$4=0,0,IF(COUNTIFS(実績!$W$6:$W$505,N$3,実績!$AI$6:$AI$505,"&lt;="&amp;$A212,実績!$AJ$6:$AJ$505,"&gt;"&amp;$A212,実績!$AL$6:$AL$505,"○")&gt;0,1,0))</f>
        <v>0</v>
      </c>
      <c r="O212" s="39" t="n">
        <f aca="false">IF(O$4=0,0,IF(COUNTIFS(実績!$W$6:$W$505,O$3,実績!$AI$6:$AI$505,"&lt;="&amp;$A212,実績!$AJ$6:$AJ$505,"&gt;"&amp;$A212,実績!$AL$6:$AL$505,"○")&gt;0,1,0))</f>
        <v>0</v>
      </c>
      <c r="P212" s="39" t="n">
        <f aca="false">IF(P$4=0,0,IF(COUNTIFS(実績!$W$6:$W$505,P$3,実績!$AI$6:$AI$505,"&lt;="&amp;$A212,実績!$AJ$6:$AJ$505,"&gt;"&amp;$A212,実績!$AL$6:$AL$505,"○")&gt;0,1,0))</f>
        <v>0</v>
      </c>
      <c r="Q212" s="39" t="n">
        <f aca="false">IF(Q$4=0,0,IF(COUNTIFS(実績!$W$6:$W$505,Q$3,実績!$AI$6:$AI$505,"&lt;="&amp;$A212,実績!$AJ$6:$AJ$505,"&gt;"&amp;$A212,実績!$AL$6:$AL$505,"○")&gt;0,1,0))</f>
        <v>0</v>
      </c>
      <c r="R212" s="39" t="n">
        <f aca="false">IF(R$4=0,0,IF(COUNTIFS(実績!$W$6:$W$505,R$3,実績!$AI$6:$AI$505,"&lt;="&amp;$A212,実績!$AJ$6:$AJ$505,"&gt;"&amp;$A212,実績!$AL$6:$AL$505,"○")&gt;0,1,0))</f>
        <v>0</v>
      </c>
      <c r="S212" s="39" t="n">
        <f aca="false">IF(S$4=0,0,IF(COUNTIFS(実績!$W$6:$W$505,S$3,実績!$AI$6:$AI$505,"&lt;="&amp;$A212,実績!$AJ$6:$AJ$505,"&gt;"&amp;$A212,実績!$AL$6:$AL$505,"○")&gt;0,1,0))</f>
        <v>0</v>
      </c>
      <c r="T212" s="39" t="n">
        <f aca="false">IF(T$4=0,0,IF(COUNTIFS(実績!$W$6:$W$505,T$3,実績!$AI$6:$AI$505,"&lt;="&amp;$A212,実績!$AJ$6:$AJ$505,"&gt;"&amp;$A212,実績!$AL$6:$AL$505,"○")&gt;0,1,0))</f>
        <v>0</v>
      </c>
      <c r="U212" s="39" t="n">
        <f aca="false">IF(U$4=0,0,IF(COUNTIFS(実績!$W$6:$W$505,U$3,実績!$AI$6:$AI$505,"&lt;="&amp;$A212,実績!$AJ$6:$AJ$505,"&gt;"&amp;$A212,実績!$AL$6:$AL$505,"○")&gt;0,1,0))</f>
        <v>0</v>
      </c>
      <c r="V212" s="39" t="n">
        <f aca="false">IF(V$4=0,0,IF(COUNTIFS(実績!$W$6:$W$505,V$3,実績!$AI$6:$AI$505,"&lt;="&amp;$A212,実績!$AJ$6:$AJ$505,"&gt;"&amp;$A212,実績!$AL$6:$AL$505,"○")&gt;0,1,0))</f>
        <v>0</v>
      </c>
      <c r="W212" s="39" t="n">
        <f aca="false">IF(W$4=0,0,IF(COUNTIFS(実績!$W$6:$W$505,W$3,実績!$AI$6:$AI$505,"&lt;="&amp;$A212,実績!$AJ$6:$AJ$505,"&gt;"&amp;$A212,実績!$AL$6:$AL$505,"○")&gt;0,1,0))</f>
        <v>0</v>
      </c>
      <c r="X212" s="39" t="n">
        <f aca="false">IF(X$4=0,0,IF(COUNTIFS(実績!$W$6:$W$505,X$3,実績!$AI$6:$AI$505,"&lt;="&amp;$A212,実績!$AJ$6:$AJ$505,"&gt;"&amp;$A212,実績!$AL$6:$AL$505,"○")&gt;0,1,0))</f>
        <v>0</v>
      </c>
      <c r="Y212" s="39" t="n">
        <f aca="false">IF(Y$4=0,0,IF(COUNTIFS(実績!$W$6:$W$505,Y$3,実績!$AI$6:$AI$505,"&lt;="&amp;$A212,実績!$AJ$6:$AJ$505,"&gt;"&amp;$A212,実績!$AL$6:$AL$505,"○")&gt;0,1,0))</f>
        <v>0</v>
      </c>
      <c r="Z212" s="39" t="n">
        <f aca="false">IF(Z$4=0,0,IF(COUNTIFS(実績!$W$6:$W$505,Z$3,実績!$AI$6:$AI$505,"&lt;="&amp;$A212,実績!$AJ$6:$AJ$505,"&gt;"&amp;$A212,実績!$AL$6:$AL$505,"○")&gt;0,1,0))</f>
        <v>0</v>
      </c>
      <c r="AA212" s="39" t="n">
        <f aca="false">IF(AA$4=0,0,IF(COUNTIFS(実績!$W$6:$W$505,AA$3,実績!$AI$6:$AI$505,"&lt;="&amp;$A212,実績!$AJ$6:$AJ$505,"&gt;"&amp;$A212,実績!$AL$6:$AL$505,"○")&gt;0,1,0))</f>
        <v>0</v>
      </c>
      <c r="AB212" s="39" t="n">
        <f aca="false">IF(AB$4=0,0,IF(COUNTIFS(実績!$W$6:$W$505,AB$3,実績!$AI$6:$AI$505,"&lt;="&amp;$A212,実績!$AJ$6:$AJ$505,"&gt;"&amp;$A212,実績!$AL$6:$AL$505,"○")&gt;0,1,0))</f>
        <v>0</v>
      </c>
      <c r="AC212" s="39" t="n">
        <f aca="false">IF(AC$4=0,0,IF(COUNTIFS(実績!$W$6:$W$505,AC$3,実績!$AI$6:$AI$505,"&lt;="&amp;$A212,実績!$AJ$6:$AJ$505,"&gt;"&amp;$A212,実績!$AL$6:$AL$505,"○")&gt;0,1,0))</f>
        <v>0</v>
      </c>
      <c r="AD212" s="39" t="n">
        <f aca="false">IF(AD$4=0,0,IF(COUNTIFS(実績!$W$6:$W$505,AD$3,実績!$AI$6:$AI$505,"&lt;="&amp;$A212,実績!$AJ$6:$AJ$505,"&gt;"&amp;$A212,実績!$AL$6:$AL$505,"○")&gt;0,1,0))</f>
        <v>0</v>
      </c>
      <c r="AE212" s="39" t="n">
        <f aca="false">IF(AE$4=0,0,IF(COUNTIFS(実績!$W$6:$W$505,AE$3,実績!$AI$6:$AI$505,"&lt;="&amp;$A212,実績!$AJ$6:$AJ$505,"&gt;"&amp;$A212,実績!$AL$6:$AL$505,"○")&gt;0,1,0))</f>
        <v>0</v>
      </c>
      <c r="AF212" s="39" t="n">
        <f aca="false">IF(AF$4=0,0,IF(COUNTIFS(実績!$W$6:$W$505,AF$3,実績!$AI$6:$AI$505,"&lt;="&amp;$A212,実績!$AJ$6:$AJ$505,"&gt;"&amp;$A212,実績!$AL$6:$AL$505,"○")&gt;0,1,0))</f>
        <v>0</v>
      </c>
      <c r="AG212" s="39" t="n">
        <f aca="false">IF(AG$4=0,0,IF(COUNTIFS(実績!$W$6:$W$505,AG$3,実績!$AI$6:$AI$505,"&lt;="&amp;$A212,実績!$AJ$6:$AJ$505,"&gt;"&amp;$A212,実績!$AL$6:$AL$505,"○")&gt;0,1,0))</f>
        <v>0</v>
      </c>
      <c r="AH212" s="39" t="n">
        <f aca="false">IF(AH$4=0,0,IF(COUNTIFS(実績!$W$6:$W$505,AH$3,実績!$AI$6:$AI$505,"&lt;="&amp;$A212,実績!$AJ$6:$AJ$505,"&gt;"&amp;$A212,実績!$AL$6:$AL$505,"○")&gt;0,1,0))</f>
        <v>0</v>
      </c>
      <c r="AI212" s="39" t="n">
        <f aca="false">IF(AI$4=0,0,IF(COUNTIFS(実績!$W$6:$W$505,AI$3,実績!$AI$6:$AI$505,"&lt;="&amp;$A212,実績!$AJ$6:$AJ$505,"&gt;"&amp;$A212,実績!$AL$6:$AL$505,"○")&gt;0,1,0))</f>
        <v>0</v>
      </c>
      <c r="AJ212" s="39" t="n">
        <f aca="false">IF(AJ$4=0,0,IF(COUNTIFS(実績!$W$6:$W$505,AJ$3,実績!$AI$6:$AI$505,"&lt;="&amp;$A212,実績!$AJ$6:$AJ$505,"&gt;"&amp;$A212,実績!$AL$6:$AL$505,"○")&gt;0,1,0))</f>
        <v>0</v>
      </c>
      <c r="AK212" s="39" t="n">
        <f aca="false">IF(AK$4=0,0,IF(COUNTIFS(実績!$W$6:$W$505,AK$3,実績!$AI$6:$AI$505,"&lt;="&amp;$A212,実績!$AJ$6:$AJ$505,"&gt;"&amp;$A212,実績!$AL$6:$AL$505,"○")&gt;0,1,0))</f>
        <v>0</v>
      </c>
      <c r="AL212" s="39" t="n">
        <f aca="false">IF(AL$4=0,0,IF(COUNTIFS(実績!$W$6:$W$505,AL$3,実績!$AI$6:$AI$505,"&lt;="&amp;$A212,実績!$AJ$6:$AJ$505,"&gt;"&amp;$A212,実績!$AL$6:$AL$505,"○")&gt;0,1,0))</f>
        <v>0</v>
      </c>
      <c r="AM212" s="39" t="n">
        <f aca="false">IF(AM$4=0,0,IF(COUNTIFS(実績!$W$6:$W$505,AM$3,実績!$AI$6:$AI$505,"&lt;="&amp;$A212,実績!$AJ$6:$AJ$505,"&gt;"&amp;$A212,実績!$AL$6:$AL$505,"○")&gt;0,1,0))</f>
        <v>0</v>
      </c>
      <c r="AN212" s="39" t="n">
        <f aca="false">IF(AN$4=0,0,IF(COUNTIFS(実績!$W$6:$W$505,AN$3,実績!$AI$6:$AI$505,"&lt;="&amp;$A212,実績!$AJ$6:$AJ$505,"&gt;"&amp;$A212,実績!$AL$6:$AL$505,"○")&gt;0,1,0))</f>
        <v>0</v>
      </c>
      <c r="AO212" s="39" t="n">
        <f aca="false">IF(AO$4=0,0,IF(COUNTIFS(実績!$W$6:$W$505,AO$3,実績!$AI$6:$AI$505,"&lt;="&amp;$A212,実績!$AJ$6:$AJ$505,"&gt;"&amp;$A212,実績!$AL$6:$AL$505,"○")&gt;0,1,0))</f>
        <v>0</v>
      </c>
      <c r="AP212" s="39" t="n">
        <f aca="false">IF(AP$4=0,0,IF(COUNTIFS(実績!$W$6:$W$505,AP$3,実績!$AI$6:$AI$505,"&lt;="&amp;$A212,実績!$AJ$6:$AJ$505,"&gt;"&amp;$A212,実績!$AL$6:$AL$505,"○")&gt;0,1,0))</f>
        <v>0</v>
      </c>
      <c r="AQ212" s="39" t="n">
        <f aca="false">IF(AQ$4=0,0,IF(COUNTIFS(実績!$W$6:$W$505,AQ$3,実績!$AI$6:$AI$505,"&lt;="&amp;$A212,実績!$AJ$6:$AJ$505,"&gt;"&amp;$A212,実績!$AL$6:$AL$505,"○")&gt;0,1,0))</f>
        <v>0</v>
      </c>
      <c r="AR212" s="39" t="n">
        <f aca="false">IF(AR$4=0,0,IF(COUNTIFS(実績!$W$6:$W$505,AR$3,実績!$AI$6:$AI$505,"&lt;="&amp;$A212,実績!$AJ$6:$AJ$505,"&gt;"&amp;$A212,実績!$AL$6:$AL$505,"○")&gt;0,1,0))</f>
        <v>0</v>
      </c>
      <c r="AS212" s="39" t="n">
        <f aca="false">IF(AS$4=0,0,IF(COUNTIFS(実績!$W$6:$W$505,AS$3,実績!$AI$6:$AI$505,"&lt;="&amp;$A212,実績!$AJ$6:$AJ$505,"&gt;"&amp;$A212,実績!$AL$6:$AL$505,"○")&gt;0,1,0))</f>
        <v>0</v>
      </c>
      <c r="AT212" s="39" t="n">
        <f aca="false">IF(AT$4=0,0,IF(COUNTIFS(実績!$W$6:$W$505,AT$3,実績!$AI$6:$AI$505,"&lt;="&amp;$A212,実績!$AJ$6:$AJ$505,"&gt;"&amp;$A212,実績!$AL$6:$AL$505,"○")&gt;0,1,0))</f>
        <v>0</v>
      </c>
      <c r="AU212" s="39" t="n">
        <f aca="false">IF(AU$4=0,0,IF(COUNTIFS(実績!$W$6:$W$505,AU$3,実績!$AI$6:$AI$505,"&lt;="&amp;$A212,実績!$AJ$6:$AJ$505,"&gt;"&amp;$A212,実績!$AL$6:$AL$505,"○")&gt;0,1,0))</f>
        <v>0</v>
      </c>
      <c r="AV212" s="39" t="n">
        <f aca="false">IF(AV$4=0,0,IF(COUNTIFS(実績!$W$6:$W$505,AV$3,実績!$AI$6:$AI$505,"&lt;="&amp;$A212,実績!$AJ$6:$AJ$505,"&gt;"&amp;$A212,実績!$AL$6:$AL$505,"○")&gt;0,1,0))</f>
        <v>0</v>
      </c>
      <c r="AW212" s="39" t="n">
        <f aca="false">IF(AW$4=0,0,IF(COUNTIFS(実績!$W$6:$W$505,AW$3,実績!$AI$6:$AI$505,"&lt;="&amp;$A212,実績!$AJ$6:$AJ$505,"&gt;"&amp;$A212,実績!$AL$6:$AL$505,"○")&gt;0,1,0))</f>
        <v>0</v>
      </c>
      <c r="AX212" s="39" t="n">
        <f aca="false">IF(AX$4=0,0,IF(COUNTIFS(実績!$W$6:$W$505,AX$3,実績!$AI$6:$AI$505,"&lt;="&amp;$A212,実績!$AJ$6:$AJ$505,"&gt;"&amp;$A212,実績!$AL$6:$AL$505,"○")&gt;0,1,0))</f>
        <v>0</v>
      </c>
      <c r="AY212" s="39" t="n">
        <f aca="false">IF(AY$4=0,0,IF(COUNTIFS(実績!$W$6:$W$505,AY$3,実績!$AI$6:$AI$505,"&lt;="&amp;$A212,実績!$AJ$6:$AJ$505,"&gt;"&amp;$A212,実績!$AL$6:$AL$505,"○")&gt;0,1,0))</f>
        <v>0</v>
      </c>
      <c r="AZ212" s="39" t="n">
        <f aca="false">IF(AZ$4=0,0,IF(COUNTIFS(実績!$W$6:$W$505,AZ$3,実績!$AI$6:$AI$505,"&lt;="&amp;$A212,実績!$AJ$6:$AJ$505,"&gt;"&amp;$A212,実績!$AL$6:$AL$505,"○")&gt;0,1,0))</f>
        <v>0</v>
      </c>
      <c r="BA212" s="39" t="n">
        <f aca="false">IF(BA$4=0,0,IF(COUNTIFS(実績!$W$6:$W$505,BA$3,実績!$AI$6:$AI$505,"&lt;="&amp;$A212,実績!$AJ$6:$AJ$505,"&gt;"&amp;$A212,実績!$AL$6:$AL$505,"○")&gt;0,1,0))</f>
        <v>0</v>
      </c>
      <c r="BB212" s="39" t="n">
        <f aca="false">IF(BB$4=0,0,IF(COUNTIFS(実績!$W$6:$W$505,BB$3,実績!$AI$6:$AI$505,"&lt;="&amp;$A212,実績!$AJ$6:$AJ$505,"&gt;"&amp;$A212,実績!$AL$6:$AL$505,"○")&gt;0,1,0))</f>
        <v>0</v>
      </c>
      <c r="BC212" s="39" t="n">
        <f aca="false">IF(BC$4=0,0,IF(COUNTIFS(実績!$W$6:$W$505,BC$3,実績!$AI$6:$AI$505,"&lt;="&amp;$A212,実績!$AJ$6:$AJ$505,"&gt;"&amp;$A212,実績!$AL$6:$AL$505,"○")&gt;0,1,0))</f>
        <v>0</v>
      </c>
      <c r="BD212" s="39" t="n">
        <f aca="false">IF(BD$4=0,0,IF(COUNTIFS(実績!$W$6:$W$505,BD$3,実績!$AI$6:$AI$505,"&lt;="&amp;$A212,実績!$AJ$6:$AJ$505,"&gt;"&amp;$A212,実績!$AL$6:$AL$505,"○")&gt;0,1,0))</f>
        <v>0</v>
      </c>
      <c r="BE212" s="39" t="n">
        <f aca="false">IF(BE$4=0,0,IF(COUNTIFS(実績!$W$6:$W$505,BE$3,実績!$AI$6:$AI$505,"&lt;="&amp;$A212,実績!$AJ$6:$AJ$505,"&gt;"&amp;$A212,実績!$AL$6:$AL$505,"○")&gt;0,1,0))</f>
        <v>0</v>
      </c>
      <c r="BF212" s="39" t="n">
        <f aca="false">IF(BF$4=0,0,IF(COUNTIFS(実績!$W$6:$W$505,BF$3,実績!$AI$6:$AI$505,"&lt;="&amp;$A212,実績!$AJ$6:$AJ$505,"&gt;"&amp;$A212,実績!$AL$6:$AL$505,"○")&gt;0,1,0))</f>
        <v>0</v>
      </c>
      <c r="BG212" s="39" t="n">
        <f aca="false">IF(BG$4=0,0,IF(COUNTIFS(実績!$W$6:$W$505,BG$3,実績!$AI$6:$AI$505,"&lt;="&amp;$A212,実績!$AJ$6:$AJ$505,"&gt;"&amp;$A212,実績!$AL$6:$AL$505,"○")&gt;0,1,0))</f>
        <v>0</v>
      </c>
      <c r="BH212" s="39" t="n">
        <f aca="false">IF(BH$4=0,0,IF(COUNTIFS(実績!$W$6:$W$505,BH$3,実績!$AI$6:$AI$505,"&lt;="&amp;$A212,実績!$AJ$6:$AJ$505,"&gt;"&amp;$A212,実績!$AL$6:$AL$505,"○")&gt;0,1,0))</f>
        <v>0</v>
      </c>
      <c r="BI212" s="39" t="n">
        <f aca="false">IF(BI$4=0,0,IF(COUNTIFS(実績!$W$6:$W$505,BI$3,実績!$AI$6:$AI$505,"&lt;="&amp;$A212,実績!$AJ$6:$AJ$505,"&gt;"&amp;$A212,実績!$AL$6:$AL$505,"○")&gt;0,1,0))</f>
        <v>0</v>
      </c>
      <c r="BJ212" s="39" t="n">
        <f aca="false">IF(BJ$4=0,0,IF(COUNTIFS(実績!$W$6:$W$505,BJ$3,実績!$AI$6:$AI$505,"&lt;="&amp;$A212,実績!$AJ$6:$AJ$505,"&gt;"&amp;$A212,実績!$AL$6:$AL$505,"○")&gt;0,1,0))</f>
        <v>0</v>
      </c>
      <c r="BK212" s="39" t="n">
        <f aca="false">IF(BK$4=0,0,IF(COUNTIFS(実績!$W$6:$W$505,BK$3,実績!$AI$6:$AI$505,"&lt;="&amp;$A212,実績!$AJ$6:$AJ$505,"&gt;"&amp;$A212,実績!$AL$6:$AL$505,"○")&gt;0,1,0))</f>
        <v>0</v>
      </c>
      <c r="BL212" s="39" t="n">
        <f aca="false">IF(BL$4=0,0,IF(COUNTIFS(実績!$W$6:$W$505,BL$3,実績!$AI$6:$AI$505,"&lt;="&amp;$A212,実績!$AJ$6:$AJ$505,"&gt;"&amp;$A212,実績!$AL$6:$AL$505,"○")&gt;0,1,0))</f>
        <v>0</v>
      </c>
      <c r="BM212" s="39" t="n">
        <f aca="false">IF(BM$4=0,0,IF(COUNTIFS(実績!$W$6:$W$505,BM$3,実績!$AI$6:$AI$505,"&lt;="&amp;$A212,実績!$AJ$6:$AJ$505,"&gt;"&amp;$A212,実績!$AL$6:$AL$505,"○")&gt;0,1,0))</f>
        <v>0</v>
      </c>
      <c r="BN212" s="39" t="n">
        <f aca="false">IF(BN$4=0,0,IF(COUNTIFS(実績!$W$6:$W$505,BN$3,実績!$AI$6:$AI$505,"&lt;="&amp;$A212,実績!$AJ$6:$AJ$505,"&gt;"&amp;$A212,実績!$AL$6:$AL$505,"○")&gt;0,1,0))</f>
        <v>0</v>
      </c>
      <c r="BO212" s="39" t="n">
        <f aca="false">IF(BO$4=0,0,IF(COUNTIFS(実績!$W$6:$W$505,BO$3,実績!$AI$6:$AI$505,"&lt;="&amp;$A212,実績!$AJ$6:$AJ$505,"&gt;"&amp;$A212,実績!$AL$6:$AL$505,"○")&gt;0,1,0))</f>
        <v>0</v>
      </c>
      <c r="BP212" s="39" t="n">
        <f aca="false">IF(BP$4=0,0,IF(COUNTIFS(実績!$W$6:$W$505,BP$3,実績!$AI$6:$AI$505,"&lt;="&amp;$A212,実績!$AJ$6:$AJ$505,"&gt;"&amp;$A212,実績!$AL$6:$AL$505,"○")&gt;0,1,0))</f>
        <v>0</v>
      </c>
      <c r="BQ212" s="39" t="n">
        <f aca="false">IF(BQ$4=0,0,IF(COUNTIFS(実績!$W$6:$W$505,BQ$3,実績!$AI$6:$AI$505,"&lt;="&amp;$A212,実績!$AJ$6:$AJ$505,"&gt;"&amp;$A212,実績!$AL$6:$AL$505,"○")&gt;0,1,0))</f>
        <v>0</v>
      </c>
      <c r="BR212" s="39" t="n">
        <f aca="false">IF(BR$4=0,0,IF(COUNTIFS(実績!$W$6:$W$505,BR$3,実績!$AI$6:$AI$505,"&lt;="&amp;$A212,実績!$AJ$6:$AJ$505,"&gt;"&amp;$A212,実績!$AL$6:$AL$505,"○")&gt;0,1,0))</f>
        <v>0</v>
      </c>
      <c r="BS212" s="39" t="n">
        <f aca="false">IF(BS$4=0,0,IF(COUNTIFS(実績!$W$6:$W$505,BS$3,実績!$AI$6:$AI$505,"&lt;="&amp;$A212,実績!$AJ$6:$AJ$505,"&gt;"&amp;$A212,実績!$AL$6:$AL$505,"○")&gt;0,1,0))</f>
        <v>0</v>
      </c>
      <c r="BT212" s="39" t="n">
        <f aca="false">IF(BT$4=0,0,IF(COUNTIFS(実績!$W$6:$W$505,BT$3,実績!$AI$6:$AI$505,"&lt;="&amp;$A212,実績!$AJ$6:$AJ$505,"&gt;"&amp;$A212,実績!$AL$6:$AL$505,"○")&gt;0,1,0))</f>
        <v>0</v>
      </c>
      <c r="BU212" s="39" t="n">
        <f aca="false">IF(BU$4=0,0,IF(COUNTIFS(実績!$W$6:$W$505,BU$3,実績!$AI$6:$AI$505,"&lt;="&amp;$A212,実績!$AJ$6:$AJ$505,"&gt;"&amp;$A212,実績!$AL$6:$AL$505,"○")&gt;0,1,0))</f>
        <v>0</v>
      </c>
      <c r="BV212" s="39" t="n">
        <f aca="false">IF(BV$4=0,0,IF(COUNTIFS(実績!$W$6:$W$505,BV$3,実績!$AI$6:$AI$505,"&lt;="&amp;$A212,実績!$AJ$6:$AJ$505,"&gt;"&amp;$A212,実績!$AL$6:$AL$505,"○")&gt;0,1,0))</f>
        <v>0</v>
      </c>
      <c r="BW212" s="39" t="n">
        <f aca="false">IF(BW$4=0,0,IF(COUNTIFS(実績!$W$6:$W$505,BW$3,実績!$AI$6:$AI$505,"&lt;="&amp;$A212,実績!$AJ$6:$AJ$505,"&gt;"&amp;$A212,実績!$AL$6:$AL$505,"○")&gt;0,1,0))</f>
        <v>0</v>
      </c>
      <c r="BX212" s="39" t="n">
        <f aca="false">IF(BX$4=0,0,IF(COUNTIFS(実績!$W$6:$W$505,BX$3,実績!$AI$6:$AI$505,"&lt;="&amp;$A212,実績!$AJ$6:$AJ$505,"&gt;"&amp;$A212,実績!$AL$6:$AL$505,"○")&gt;0,1,0))</f>
        <v>0</v>
      </c>
      <c r="BY212" s="39" t="n">
        <f aca="false">IF(BY$4=0,0,IF(COUNTIFS(実績!$W$6:$W$505,BY$3,実績!$AI$6:$AI$505,"&lt;="&amp;$A212,実績!$AJ$6:$AJ$505,"&gt;"&amp;$A212,実績!$AL$6:$AL$505,"○")&gt;0,1,0))</f>
        <v>0</v>
      </c>
      <c r="BZ212" s="39" t="n">
        <f aca="false">IF(BZ$4=0,0,IF(COUNTIFS(実績!$W$6:$W$505,BZ$3,実績!$AI$6:$AI$505,"&lt;="&amp;$A212,実績!$AJ$6:$AJ$505,"&gt;"&amp;$A212,実績!$AL$6:$AL$505,"○")&gt;0,1,0))</f>
        <v>0</v>
      </c>
      <c r="CA212" s="39" t="n">
        <f aca="false">IF(CA$4=0,0,IF(COUNTIFS(実績!$W$6:$W$505,CA$3,実績!$AI$6:$AI$505,"&lt;="&amp;$A212,実績!$AJ$6:$AJ$505,"&gt;"&amp;$A212,実績!$AL$6:$AL$505,"○")&gt;0,1,0))</f>
        <v>0</v>
      </c>
      <c r="CB212" s="39" t="n">
        <f aca="false">IF(CB$4=0,0,IF(COUNTIFS(実績!$W$6:$W$505,CB$3,実績!$AI$6:$AI$505,"&lt;="&amp;$A212,実績!$AJ$6:$AJ$505,"&gt;"&amp;$A212,実績!$AL$6:$AL$505,"○")&gt;0,1,0))</f>
        <v>0</v>
      </c>
      <c r="CC212" s="39" t="n">
        <f aca="false">IF(CC$4=0,0,IF(COUNTIFS(実績!$W$6:$W$505,CC$3,実績!$AI$6:$AI$505,"&lt;="&amp;$A212,実績!$AJ$6:$AJ$505,"&gt;"&amp;$A212,実績!$AL$6:$AL$505,"○")&gt;0,1,0))</f>
        <v>0</v>
      </c>
      <c r="CD212" s="39" t="n">
        <f aca="false">IF(CD$4=0,0,IF(COUNTIFS(実績!$W$6:$W$505,CD$3,実績!$AI$6:$AI$505,"&lt;="&amp;$A212,実績!$AJ$6:$AJ$505,"&gt;"&amp;$A212,実績!$AL$6:$AL$505,"○")&gt;0,1,0))</f>
        <v>0</v>
      </c>
      <c r="CE212" s="39" t="n">
        <f aca="false">IF(CE$4=0,0,IF(COUNTIFS(実績!$W$6:$W$505,CE$3,実績!$AI$6:$AI$505,"&lt;="&amp;$A212,実績!$AJ$6:$AJ$505,"&gt;"&amp;$A212,実績!$AL$6:$AL$505,"○")&gt;0,1,0))</f>
        <v>0</v>
      </c>
      <c r="CF212" s="39" t="n">
        <f aca="false">IF(CF$4=0,0,IF(COUNTIFS(実績!$W$6:$W$505,CF$3,実績!$AI$6:$AI$505,"&lt;="&amp;$A212,実績!$AJ$6:$AJ$505,"&gt;"&amp;$A212,実績!$AL$6:$AL$505,"○")&gt;0,1,0))</f>
        <v>0</v>
      </c>
      <c r="CG212" s="39" t="n">
        <f aca="false">IF(CG$4=0,0,IF(COUNTIFS(実績!$W$6:$W$505,CG$3,実績!$AI$6:$AI$505,"&lt;="&amp;$A212,実績!$AJ$6:$AJ$505,"&gt;"&amp;$A212,実績!$AL$6:$AL$505,"○")&gt;0,1,0))</f>
        <v>0</v>
      </c>
      <c r="CH212" s="39" t="n">
        <f aca="false">IF(CH$4=0,0,IF(COUNTIFS(実績!$W$6:$W$505,CH$3,実績!$AI$6:$AI$505,"&lt;="&amp;$A212,実績!$AJ$6:$AJ$505,"&gt;"&amp;$A212,実績!$AL$6:$AL$505,"○")&gt;0,1,0))</f>
        <v>0</v>
      </c>
      <c r="CI212" s="39" t="n">
        <f aca="false">IF(CI$4=0,0,IF(COUNTIFS(実績!$W$6:$W$505,CI$3,実績!$AI$6:$AI$505,"&lt;="&amp;$A212,実績!$AJ$6:$AJ$505,"&gt;"&amp;$A212,実績!$AL$6:$AL$505,"○")&gt;0,1,0))</f>
        <v>0</v>
      </c>
      <c r="CJ212" s="39" t="n">
        <f aca="false">IF(CJ$4=0,0,IF(COUNTIFS(実績!$W$6:$W$505,CJ$3,実績!$AI$6:$AI$505,"&lt;="&amp;$A212,実績!$AJ$6:$AJ$505,"&gt;"&amp;$A212,実績!$AL$6:$AL$505,"○")&gt;0,1,0))</f>
        <v>0</v>
      </c>
      <c r="CK212" s="39" t="n">
        <f aca="false">IF(CK$4=0,0,IF(COUNTIFS(実績!$W$6:$W$505,CK$3,実績!$AI$6:$AI$505,"&lt;="&amp;$A212,実績!$AJ$6:$AJ$505,"&gt;"&amp;$A212,実績!$AL$6:$AL$505,"○")&gt;0,1,0))</f>
        <v>0</v>
      </c>
      <c r="CL212" s="39" t="n">
        <f aca="false">IF(CL$4=0,0,IF(COUNTIFS(実績!$W$6:$W$505,CL$3,実績!$AI$6:$AI$505,"&lt;="&amp;$A212,実績!$AJ$6:$AJ$505,"&gt;"&amp;$A212,実績!$AL$6:$AL$505,"○")&gt;0,1,0))</f>
        <v>0</v>
      </c>
      <c r="CM212" s="39" t="n">
        <f aca="false">IF(CM$4=0,0,IF(COUNTIFS(実績!$W$6:$W$505,CM$3,実績!$AI$6:$AI$505,"&lt;="&amp;$A212,実績!$AJ$6:$AJ$505,"&gt;"&amp;$A212,実績!$AL$6:$AL$505,"○")&gt;0,1,0))</f>
        <v>0</v>
      </c>
      <c r="CN212" s="39" t="n">
        <f aca="false">IF(CN$4=0,0,IF(COUNTIFS(実績!$W$6:$W$505,CN$3,実績!$AI$6:$AI$505,"&lt;="&amp;$A212,実績!$AJ$6:$AJ$505,"&gt;"&amp;$A212,実績!$AL$6:$AL$505,"○")&gt;0,1,0))</f>
        <v>0</v>
      </c>
      <c r="CO212" s="39" t="n">
        <f aca="false">IF(CO$4=0,0,IF(COUNTIFS(実績!$W$6:$W$505,CO$3,実績!$AI$6:$AI$505,"&lt;="&amp;$A212,実績!$AJ$6:$AJ$505,"&gt;"&amp;$A212,実績!$AL$6:$AL$505,"○")&gt;0,1,0))</f>
        <v>0</v>
      </c>
      <c r="CP212" s="39" t="n">
        <f aca="false">IF(CP$4=0,0,IF(COUNTIFS(実績!$W$6:$W$505,CP$3,実績!$AI$6:$AI$505,"&lt;="&amp;$A212,実績!$AJ$6:$AJ$505,"&gt;"&amp;$A212,実績!$AL$6:$AL$505,"○")&gt;0,1,0))</f>
        <v>0</v>
      </c>
      <c r="CQ212" s="39" t="n">
        <f aca="false">IF(CQ$4=0,0,IF(COUNTIFS(実績!$W$6:$W$505,CQ$3,実績!$AI$6:$AI$505,"&lt;="&amp;$A212,実績!$AJ$6:$AJ$505,"&gt;"&amp;$A212,実績!$AL$6:$AL$505,"○")&gt;0,1,0))</f>
        <v>0</v>
      </c>
      <c r="CR212" s="39" t="n">
        <f aca="false">IF(CR$4=0,0,IF(COUNTIFS(実績!$W$6:$W$505,CR$3,実績!$AI$6:$AI$505,"&lt;="&amp;$A212,実績!$AJ$6:$AJ$505,"&gt;"&amp;$A212,実績!$AL$6:$AL$505,"○")&gt;0,1,0))</f>
        <v>0</v>
      </c>
      <c r="CS212" s="39" t="n">
        <f aca="false">IF(CS$4=0,0,IF(COUNTIFS(実績!$W$6:$W$505,CS$3,実績!$AI$6:$AI$505,"&lt;="&amp;$A212,実績!$AJ$6:$AJ$505,"&gt;"&amp;$A212,実績!$AL$6:$AL$505,"○")&gt;0,1,0))</f>
        <v>0</v>
      </c>
      <c r="CT212" s="39" t="n">
        <f aca="false">IF(CT$4=0,0,IF(COUNTIFS(実績!$W$6:$W$505,CT$3,実績!$AI$6:$AI$505,"&lt;="&amp;$A212,実績!$AJ$6:$AJ$505,"&gt;"&amp;$A212,実績!$AL$6:$AL$505,"○")&gt;0,1,0))</f>
        <v>0</v>
      </c>
      <c r="CU212" s="39" t="n">
        <f aca="false">IF(CU$4=0,0,IF(COUNTIFS(実績!$W$6:$W$505,CU$3,実績!$AI$6:$AI$505,"&lt;="&amp;$A212,実績!$AJ$6:$AJ$505,"&gt;"&amp;$A212,実績!$AL$6:$AL$505,"○")&gt;0,1,0))</f>
        <v>0</v>
      </c>
      <c r="CV212" s="39" t="n">
        <f aca="false">IF(CV$4=0,0,IF(COUNTIFS(実績!$W$6:$W$505,CV$3,実績!$AI$6:$AI$505,"&lt;="&amp;$A212,実績!$AJ$6:$AJ$505,"&gt;"&amp;$A212,実績!$AL$6:$AL$505,"○")&gt;0,1,0))</f>
        <v>0</v>
      </c>
      <c r="CW212" s="39" t="n">
        <f aca="false">IF(CW$4=0,0,IF(COUNTIFS(実績!$W$6:$W$505,CW$3,実績!$AI$6:$AI$505,"&lt;="&amp;$A212,実績!$AJ$6:$AJ$505,"&gt;"&amp;$A212,実績!$AL$6:$AL$505,"○")&gt;0,1,0))</f>
        <v>0</v>
      </c>
      <c r="CX212" s="39" t="n">
        <f aca="false">IF(CX$4=0,0,IF(COUNTIFS(実績!$W$6:$W$505,CX$3,実績!$AI$6:$AI$505,"&lt;="&amp;$A212,実績!$AJ$6:$AJ$505,"&gt;"&amp;$A212,実績!$AL$6:$AL$505,"○")&gt;0,1,0))</f>
        <v>0</v>
      </c>
      <c r="CY212" s="39" t="n">
        <f aca="false">IF(CY$4=0,0,IF(COUNTIFS(実績!$W$6:$W$505,CY$3,実績!$AI$6:$AI$505,"&lt;="&amp;$A212,実績!$AJ$6:$AJ$505,"&gt;"&amp;$A212,実績!$AL$6:$AL$505,"○")&gt;0,1,0))</f>
        <v>0</v>
      </c>
      <c r="CZ212" s="39" t="n">
        <f aca="false">IF(CZ$4=0,0,IF(COUNTIFS(実績!$W$6:$W$505,CZ$3,実績!$AI$6:$AI$505,"&lt;="&amp;$A212,実績!$AJ$6:$AJ$505,"&gt;"&amp;$A212,実績!$AL$6:$AL$505,"○")&gt;0,1,0))</f>
        <v>0</v>
      </c>
      <c r="DA212" s="39" t="n">
        <f aca="false">IF(DA$4=0,0,IF(COUNTIFS(実績!$W$6:$W$505,DA$3,実績!$AI$6:$AI$505,"&lt;="&amp;$A212,実績!$AJ$6:$AJ$505,"&gt;"&amp;$A212,実績!$AL$6:$AL$505,"○")&gt;0,1,0))</f>
        <v>0</v>
      </c>
      <c r="DB212" s="39" t="n">
        <f aca="false">IF(DB$4=0,0,IF(COUNTIFS(実績!$W$6:$W$505,DB$3,実績!$AI$6:$AI$505,"&lt;="&amp;$A212,実績!$AJ$6:$AJ$505,"&gt;"&amp;$A212,実績!$AL$6:$AL$505,"○")&gt;0,1,0))</f>
        <v>0</v>
      </c>
      <c r="DC212" s="39" t="n">
        <f aca="false">IF(DC$4=0,0,IF(COUNTIFS(実績!$W$6:$W$505,DC$3,実績!$AI$6:$AI$505,"&lt;="&amp;$A212,実績!$AJ$6:$AJ$505,"&gt;"&amp;$A212,実績!$AL$6:$AL$505,"○")&gt;0,1,0))</f>
        <v>0</v>
      </c>
      <c r="DD212" s="39" t="n">
        <f aca="false">IF(DD$4=0,0,IF(COUNTIFS(実績!$W$6:$W$505,DD$3,実績!$AI$6:$AI$505,"&lt;="&amp;$A212,実績!$AJ$6:$AJ$505,"&gt;"&amp;$A212,実績!$AL$6:$AL$505,"○")&gt;0,1,0))</f>
        <v>0</v>
      </c>
      <c r="DE212" s="39" t="n">
        <f aca="false">IF(DE$4=0,0,IF(COUNTIFS(実績!$W$6:$W$505,DE$3,実績!$AI$6:$AI$505,"&lt;="&amp;$A212,実績!$AJ$6:$AJ$505,"&gt;"&amp;$A212,実績!$AL$6:$AL$505,"○")&gt;0,1,0))</f>
        <v>0</v>
      </c>
      <c r="DF212" s="39" t="n">
        <f aca="false">IF(DF$4=0,0,IF(COUNTIFS(実績!$W$6:$W$505,DF$3,実績!$AI$6:$AI$505,"&lt;="&amp;$A212,実績!$AJ$6:$AJ$505,"&gt;"&amp;$A212,実績!$AL$6:$AL$505,"○")&gt;0,1,0))</f>
        <v>0</v>
      </c>
      <c r="DG212" s="39" t="n">
        <f aca="false">IF(DG$4=0,0,IF(COUNTIFS(実績!$W$6:$W$505,DG$3,実績!$AI$6:$AI$505,"&lt;="&amp;$A212,実績!$AJ$6:$AJ$505,"&gt;"&amp;$A212,実績!$AL$6:$AL$505,"○")&gt;0,1,0))</f>
        <v>0</v>
      </c>
      <c r="DH212" s="39" t="n">
        <f aca="false">IF(DH$4=0,0,IF(COUNTIFS(実績!$W$6:$W$505,DH$3,実績!$AI$6:$AI$505,"&lt;="&amp;$A212,実績!$AJ$6:$AJ$505,"&gt;"&amp;$A212,実績!$AL$6:$AL$505,"○")&gt;0,1,0))</f>
        <v>0</v>
      </c>
      <c r="DI212" s="39" t="n">
        <f aca="false">IF(DI$4=0,0,IF(COUNTIFS(実績!$W$6:$W$505,DI$3,実績!$AI$6:$AI$505,"&lt;="&amp;$A212,実績!$AJ$6:$AJ$505,"&gt;"&amp;$A212,実績!$AL$6:$AL$505,"○")&gt;0,1,0))</f>
        <v>0</v>
      </c>
      <c r="DJ212" s="39" t="n">
        <f aca="false">IF(DJ$4=0,0,IF(COUNTIFS(実績!$W$6:$W$505,DJ$3,実績!$AI$6:$AI$505,"&lt;="&amp;$A212,実績!$AJ$6:$AJ$505,"&gt;"&amp;$A212,実績!$AL$6:$AL$505,"○")&gt;0,1,0))</f>
        <v>0</v>
      </c>
      <c r="DK212" s="39" t="n">
        <f aca="false">IF(DK$4=0,0,IF(COUNTIFS(実績!$W$6:$W$505,DK$3,実績!$AI$6:$AI$505,"&lt;="&amp;$A212,実績!$AJ$6:$AJ$505,"&gt;"&amp;$A212,実績!$AL$6:$AL$505,"○")&gt;0,1,0))</f>
        <v>0</v>
      </c>
      <c r="DL212" s="39" t="n">
        <f aca="false">IF(DL$4=0,0,IF(COUNTIFS(実績!$W$6:$W$505,DL$3,実績!$AI$6:$AI$505,"&lt;="&amp;$A212,実績!$AJ$6:$AJ$505,"&gt;"&amp;$A212,実績!$AL$6:$AL$505,"○")&gt;0,1,0))</f>
        <v>0</v>
      </c>
      <c r="DM212" s="39" t="n">
        <f aca="false">IF(DM$4=0,0,IF(COUNTIFS(実績!$W$6:$W$505,DM$3,実績!$AI$6:$AI$505,"&lt;="&amp;$A212,実績!$AJ$6:$AJ$505,"&gt;"&amp;$A212,実績!$AL$6:$AL$505,"○")&gt;0,1,0))</f>
        <v>0</v>
      </c>
      <c r="DN212" s="39" t="n">
        <f aca="false">IF(DN$4=0,0,IF(COUNTIFS(実績!$W$6:$W$505,DN$3,実績!$AI$6:$AI$505,"&lt;="&amp;$A212,実績!$AJ$6:$AJ$505,"&gt;"&amp;$A212,実績!$AL$6:$AL$505,"○")&gt;0,1,0))</f>
        <v>0</v>
      </c>
      <c r="DO212" s="39" t="n">
        <f aca="false">IF(DO$4=0,0,IF(COUNTIFS(実績!$W$6:$W$505,DO$3,実績!$AI$6:$AI$505,"&lt;="&amp;$A212,実績!$AJ$6:$AJ$505,"&gt;"&amp;$A212,実績!$AL$6:$AL$505,"○")&gt;0,1,0))</f>
        <v>0</v>
      </c>
      <c r="DP212" s="39" t="n">
        <f aca="false">IF(DP$4=0,0,IF(COUNTIFS(実績!$W$6:$W$505,DP$3,実績!$AI$6:$AI$505,"&lt;="&amp;$A212,実績!$AJ$6:$AJ$505,"&gt;"&amp;$A212,実績!$AL$6:$AL$505,"○")&gt;0,1,0))</f>
        <v>0</v>
      </c>
      <c r="DQ212" s="39" t="n">
        <f aca="false">IF(DQ$4=0,0,IF(COUNTIFS(実績!$W$6:$W$505,DQ$3,実績!$AI$6:$AI$505,"&lt;="&amp;$A212,実績!$AJ$6:$AJ$505,"&gt;"&amp;$A212,実績!$AL$6:$AL$505,"○")&gt;0,1,0))</f>
        <v>0</v>
      </c>
      <c r="DR212" s="39" t="n">
        <f aca="false">IF(DR$4=0,0,IF(COUNTIFS(実績!$W$6:$W$505,DR$3,実績!$AI$6:$AI$505,"&lt;="&amp;$A212,実績!$AJ$6:$AJ$505,"&gt;"&amp;$A212,実績!$AL$6:$AL$505,"○")&gt;0,1,0))</f>
        <v>0</v>
      </c>
      <c r="DS212" s="39" t="n">
        <f aca="false">SUM(C212:DR212)</f>
        <v>0</v>
      </c>
    </row>
    <row r="213" customFormat="false" ht="15" hidden="false" customHeight="false" outlineLevel="0" collapsed="false">
      <c r="A213" s="0" t="n">
        <v>1035</v>
      </c>
      <c r="B213" s="38" t="n">
        <f aca="false">A213/1440</f>
        <v>0.71875</v>
      </c>
      <c r="C213" s="39" t="n">
        <f aca="false">IF(C$4=0,0,IF(COUNTIFS(実績!$W$6:$W$505,C$3,実績!$AI$6:$AI$505,"&lt;="&amp;$A213,実績!$AJ$6:$AJ$505,"&gt;"&amp;$A213,実績!$AL$6:$AL$505,"○")&gt;0,1,0))</f>
        <v>0</v>
      </c>
      <c r="D213" s="39" t="n">
        <f aca="false">IF(D$4=0,0,IF(COUNTIFS(実績!$W$6:$W$505,D$3,実績!$AI$6:$AI$505,"&lt;="&amp;$A213,実績!$AJ$6:$AJ$505,"&gt;"&amp;$A213,実績!$AL$6:$AL$505,"○")&gt;0,1,0))</f>
        <v>0</v>
      </c>
      <c r="E213" s="39" t="n">
        <f aca="false">IF(E$4=0,0,IF(COUNTIFS(実績!$W$6:$W$505,E$3,実績!$AI$6:$AI$505,"&lt;="&amp;$A213,実績!$AJ$6:$AJ$505,"&gt;"&amp;$A213,実績!$AL$6:$AL$505,"○")&gt;0,1,0))</f>
        <v>0</v>
      </c>
      <c r="F213" s="39" t="n">
        <f aca="false">IF(F$4=0,0,IF(COUNTIFS(実績!$W$6:$W$505,F$3,実績!$AI$6:$AI$505,"&lt;="&amp;$A213,実績!$AJ$6:$AJ$505,"&gt;"&amp;$A213,実績!$AL$6:$AL$505,"○")&gt;0,1,0))</f>
        <v>0</v>
      </c>
      <c r="G213" s="39" t="n">
        <f aca="false">IF(G$4=0,0,IF(COUNTIFS(実績!$W$6:$W$505,G$3,実績!$AI$6:$AI$505,"&lt;="&amp;$A213,実績!$AJ$6:$AJ$505,"&gt;"&amp;$A213,実績!$AL$6:$AL$505,"○")&gt;0,1,0))</f>
        <v>0</v>
      </c>
      <c r="H213" s="39" t="n">
        <f aca="false">IF(H$4=0,0,IF(COUNTIFS(実績!$W$6:$W$505,H$3,実績!$AI$6:$AI$505,"&lt;="&amp;$A213,実績!$AJ$6:$AJ$505,"&gt;"&amp;$A213,実績!$AL$6:$AL$505,"○")&gt;0,1,0))</f>
        <v>0</v>
      </c>
      <c r="I213" s="39" t="n">
        <f aca="false">IF(I$4=0,0,IF(COUNTIFS(実績!$W$6:$W$505,I$3,実績!$AI$6:$AI$505,"&lt;="&amp;$A213,実績!$AJ$6:$AJ$505,"&gt;"&amp;$A213,実績!$AL$6:$AL$505,"○")&gt;0,1,0))</f>
        <v>0</v>
      </c>
      <c r="J213" s="39" t="n">
        <f aca="false">IF(J$4=0,0,IF(COUNTIFS(実績!$W$6:$W$505,J$3,実績!$AI$6:$AI$505,"&lt;="&amp;$A213,実績!$AJ$6:$AJ$505,"&gt;"&amp;$A213,実績!$AL$6:$AL$505,"○")&gt;0,1,0))</f>
        <v>0</v>
      </c>
      <c r="K213" s="39" t="n">
        <f aca="false">IF(K$4=0,0,IF(COUNTIFS(実績!$W$6:$W$505,K$3,実績!$AI$6:$AI$505,"&lt;="&amp;$A213,実績!$AJ$6:$AJ$505,"&gt;"&amp;$A213,実績!$AL$6:$AL$505,"○")&gt;0,1,0))</f>
        <v>0</v>
      </c>
      <c r="L213" s="39" t="n">
        <f aca="false">IF(L$4=0,0,IF(COUNTIFS(実績!$W$6:$W$505,L$3,実績!$AI$6:$AI$505,"&lt;="&amp;$A213,実績!$AJ$6:$AJ$505,"&gt;"&amp;$A213,実績!$AL$6:$AL$505,"○")&gt;0,1,0))</f>
        <v>0</v>
      </c>
      <c r="M213" s="39" t="n">
        <f aca="false">IF(M$4=0,0,IF(COUNTIFS(実績!$W$6:$W$505,M$3,実績!$AI$6:$AI$505,"&lt;="&amp;$A213,実績!$AJ$6:$AJ$505,"&gt;"&amp;$A213,実績!$AL$6:$AL$505,"○")&gt;0,1,0))</f>
        <v>0</v>
      </c>
      <c r="N213" s="39" t="n">
        <f aca="false">IF(N$4=0,0,IF(COUNTIFS(実績!$W$6:$W$505,N$3,実績!$AI$6:$AI$505,"&lt;="&amp;$A213,実績!$AJ$6:$AJ$505,"&gt;"&amp;$A213,実績!$AL$6:$AL$505,"○")&gt;0,1,0))</f>
        <v>0</v>
      </c>
      <c r="O213" s="39" t="n">
        <f aca="false">IF(O$4=0,0,IF(COUNTIFS(実績!$W$6:$W$505,O$3,実績!$AI$6:$AI$505,"&lt;="&amp;$A213,実績!$AJ$6:$AJ$505,"&gt;"&amp;$A213,実績!$AL$6:$AL$505,"○")&gt;0,1,0))</f>
        <v>0</v>
      </c>
      <c r="P213" s="39" t="n">
        <f aca="false">IF(P$4=0,0,IF(COUNTIFS(実績!$W$6:$W$505,P$3,実績!$AI$6:$AI$505,"&lt;="&amp;$A213,実績!$AJ$6:$AJ$505,"&gt;"&amp;$A213,実績!$AL$6:$AL$505,"○")&gt;0,1,0))</f>
        <v>0</v>
      </c>
      <c r="Q213" s="39" t="n">
        <f aca="false">IF(Q$4=0,0,IF(COUNTIFS(実績!$W$6:$W$505,Q$3,実績!$AI$6:$AI$505,"&lt;="&amp;$A213,実績!$AJ$6:$AJ$505,"&gt;"&amp;$A213,実績!$AL$6:$AL$505,"○")&gt;0,1,0))</f>
        <v>0</v>
      </c>
      <c r="R213" s="39" t="n">
        <f aca="false">IF(R$4=0,0,IF(COUNTIFS(実績!$W$6:$W$505,R$3,実績!$AI$6:$AI$505,"&lt;="&amp;$A213,実績!$AJ$6:$AJ$505,"&gt;"&amp;$A213,実績!$AL$6:$AL$505,"○")&gt;0,1,0))</f>
        <v>0</v>
      </c>
      <c r="S213" s="39" t="n">
        <f aca="false">IF(S$4=0,0,IF(COUNTIFS(実績!$W$6:$W$505,S$3,実績!$AI$6:$AI$505,"&lt;="&amp;$A213,実績!$AJ$6:$AJ$505,"&gt;"&amp;$A213,実績!$AL$6:$AL$505,"○")&gt;0,1,0))</f>
        <v>0</v>
      </c>
      <c r="T213" s="39" t="n">
        <f aca="false">IF(T$4=0,0,IF(COUNTIFS(実績!$W$6:$W$505,T$3,実績!$AI$6:$AI$505,"&lt;="&amp;$A213,実績!$AJ$6:$AJ$505,"&gt;"&amp;$A213,実績!$AL$6:$AL$505,"○")&gt;0,1,0))</f>
        <v>0</v>
      </c>
      <c r="U213" s="39" t="n">
        <f aca="false">IF(U$4=0,0,IF(COUNTIFS(実績!$W$6:$W$505,U$3,実績!$AI$6:$AI$505,"&lt;="&amp;$A213,実績!$AJ$6:$AJ$505,"&gt;"&amp;$A213,実績!$AL$6:$AL$505,"○")&gt;0,1,0))</f>
        <v>0</v>
      </c>
      <c r="V213" s="39" t="n">
        <f aca="false">IF(V$4=0,0,IF(COUNTIFS(実績!$W$6:$W$505,V$3,実績!$AI$6:$AI$505,"&lt;="&amp;$A213,実績!$AJ$6:$AJ$505,"&gt;"&amp;$A213,実績!$AL$6:$AL$505,"○")&gt;0,1,0))</f>
        <v>0</v>
      </c>
      <c r="W213" s="39" t="n">
        <f aca="false">IF(W$4=0,0,IF(COUNTIFS(実績!$W$6:$W$505,W$3,実績!$AI$6:$AI$505,"&lt;="&amp;$A213,実績!$AJ$6:$AJ$505,"&gt;"&amp;$A213,実績!$AL$6:$AL$505,"○")&gt;0,1,0))</f>
        <v>0</v>
      </c>
      <c r="X213" s="39" t="n">
        <f aca="false">IF(X$4=0,0,IF(COUNTIFS(実績!$W$6:$W$505,X$3,実績!$AI$6:$AI$505,"&lt;="&amp;$A213,実績!$AJ$6:$AJ$505,"&gt;"&amp;$A213,実績!$AL$6:$AL$505,"○")&gt;0,1,0))</f>
        <v>0</v>
      </c>
      <c r="Y213" s="39" t="n">
        <f aca="false">IF(Y$4=0,0,IF(COUNTIFS(実績!$W$6:$W$505,Y$3,実績!$AI$6:$AI$505,"&lt;="&amp;$A213,実績!$AJ$6:$AJ$505,"&gt;"&amp;$A213,実績!$AL$6:$AL$505,"○")&gt;0,1,0))</f>
        <v>0</v>
      </c>
      <c r="Z213" s="39" t="n">
        <f aca="false">IF(Z$4=0,0,IF(COUNTIFS(実績!$W$6:$W$505,Z$3,実績!$AI$6:$AI$505,"&lt;="&amp;$A213,実績!$AJ$6:$AJ$505,"&gt;"&amp;$A213,実績!$AL$6:$AL$505,"○")&gt;0,1,0))</f>
        <v>0</v>
      </c>
      <c r="AA213" s="39" t="n">
        <f aca="false">IF(AA$4=0,0,IF(COUNTIFS(実績!$W$6:$W$505,AA$3,実績!$AI$6:$AI$505,"&lt;="&amp;$A213,実績!$AJ$6:$AJ$505,"&gt;"&amp;$A213,実績!$AL$6:$AL$505,"○")&gt;0,1,0))</f>
        <v>0</v>
      </c>
      <c r="AB213" s="39" t="n">
        <f aca="false">IF(AB$4=0,0,IF(COUNTIFS(実績!$W$6:$W$505,AB$3,実績!$AI$6:$AI$505,"&lt;="&amp;$A213,実績!$AJ$6:$AJ$505,"&gt;"&amp;$A213,実績!$AL$6:$AL$505,"○")&gt;0,1,0))</f>
        <v>0</v>
      </c>
      <c r="AC213" s="39" t="n">
        <f aca="false">IF(AC$4=0,0,IF(COUNTIFS(実績!$W$6:$W$505,AC$3,実績!$AI$6:$AI$505,"&lt;="&amp;$A213,実績!$AJ$6:$AJ$505,"&gt;"&amp;$A213,実績!$AL$6:$AL$505,"○")&gt;0,1,0))</f>
        <v>0</v>
      </c>
      <c r="AD213" s="39" t="n">
        <f aca="false">IF(AD$4=0,0,IF(COUNTIFS(実績!$W$6:$W$505,AD$3,実績!$AI$6:$AI$505,"&lt;="&amp;$A213,実績!$AJ$6:$AJ$505,"&gt;"&amp;$A213,実績!$AL$6:$AL$505,"○")&gt;0,1,0))</f>
        <v>0</v>
      </c>
      <c r="AE213" s="39" t="n">
        <f aca="false">IF(AE$4=0,0,IF(COUNTIFS(実績!$W$6:$W$505,AE$3,実績!$AI$6:$AI$505,"&lt;="&amp;$A213,実績!$AJ$6:$AJ$505,"&gt;"&amp;$A213,実績!$AL$6:$AL$505,"○")&gt;0,1,0))</f>
        <v>0</v>
      </c>
      <c r="AF213" s="39" t="n">
        <f aca="false">IF(AF$4=0,0,IF(COUNTIFS(実績!$W$6:$W$505,AF$3,実績!$AI$6:$AI$505,"&lt;="&amp;$A213,実績!$AJ$6:$AJ$505,"&gt;"&amp;$A213,実績!$AL$6:$AL$505,"○")&gt;0,1,0))</f>
        <v>0</v>
      </c>
      <c r="AG213" s="39" t="n">
        <f aca="false">IF(AG$4=0,0,IF(COUNTIFS(実績!$W$6:$W$505,AG$3,実績!$AI$6:$AI$505,"&lt;="&amp;$A213,実績!$AJ$6:$AJ$505,"&gt;"&amp;$A213,実績!$AL$6:$AL$505,"○")&gt;0,1,0))</f>
        <v>0</v>
      </c>
      <c r="AH213" s="39" t="n">
        <f aca="false">IF(AH$4=0,0,IF(COUNTIFS(実績!$W$6:$W$505,AH$3,実績!$AI$6:$AI$505,"&lt;="&amp;$A213,実績!$AJ$6:$AJ$505,"&gt;"&amp;$A213,実績!$AL$6:$AL$505,"○")&gt;0,1,0))</f>
        <v>0</v>
      </c>
      <c r="AI213" s="39" t="n">
        <f aca="false">IF(AI$4=0,0,IF(COUNTIFS(実績!$W$6:$W$505,AI$3,実績!$AI$6:$AI$505,"&lt;="&amp;$A213,実績!$AJ$6:$AJ$505,"&gt;"&amp;$A213,実績!$AL$6:$AL$505,"○")&gt;0,1,0))</f>
        <v>0</v>
      </c>
      <c r="AJ213" s="39" t="n">
        <f aca="false">IF(AJ$4=0,0,IF(COUNTIFS(実績!$W$6:$W$505,AJ$3,実績!$AI$6:$AI$505,"&lt;="&amp;$A213,実績!$AJ$6:$AJ$505,"&gt;"&amp;$A213,実績!$AL$6:$AL$505,"○")&gt;0,1,0))</f>
        <v>0</v>
      </c>
      <c r="AK213" s="39" t="n">
        <f aca="false">IF(AK$4=0,0,IF(COUNTIFS(実績!$W$6:$W$505,AK$3,実績!$AI$6:$AI$505,"&lt;="&amp;$A213,実績!$AJ$6:$AJ$505,"&gt;"&amp;$A213,実績!$AL$6:$AL$505,"○")&gt;0,1,0))</f>
        <v>0</v>
      </c>
      <c r="AL213" s="39" t="n">
        <f aca="false">IF(AL$4=0,0,IF(COUNTIFS(実績!$W$6:$W$505,AL$3,実績!$AI$6:$AI$505,"&lt;="&amp;$A213,実績!$AJ$6:$AJ$505,"&gt;"&amp;$A213,実績!$AL$6:$AL$505,"○")&gt;0,1,0))</f>
        <v>0</v>
      </c>
      <c r="AM213" s="39" t="n">
        <f aca="false">IF(AM$4=0,0,IF(COUNTIFS(実績!$W$6:$W$505,AM$3,実績!$AI$6:$AI$505,"&lt;="&amp;$A213,実績!$AJ$6:$AJ$505,"&gt;"&amp;$A213,実績!$AL$6:$AL$505,"○")&gt;0,1,0))</f>
        <v>0</v>
      </c>
      <c r="AN213" s="39" t="n">
        <f aca="false">IF(AN$4=0,0,IF(COUNTIFS(実績!$W$6:$W$505,AN$3,実績!$AI$6:$AI$505,"&lt;="&amp;$A213,実績!$AJ$6:$AJ$505,"&gt;"&amp;$A213,実績!$AL$6:$AL$505,"○")&gt;0,1,0))</f>
        <v>0</v>
      </c>
      <c r="AO213" s="39" t="n">
        <f aca="false">IF(AO$4=0,0,IF(COUNTIFS(実績!$W$6:$W$505,AO$3,実績!$AI$6:$AI$505,"&lt;="&amp;$A213,実績!$AJ$6:$AJ$505,"&gt;"&amp;$A213,実績!$AL$6:$AL$505,"○")&gt;0,1,0))</f>
        <v>0</v>
      </c>
      <c r="AP213" s="39" t="n">
        <f aca="false">IF(AP$4=0,0,IF(COUNTIFS(実績!$W$6:$W$505,AP$3,実績!$AI$6:$AI$505,"&lt;="&amp;$A213,実績!$AJ$6:$AJ$505,"&gt;"&amp;$A213,実績!$AL$6:$AL$505,"○")&gt;0,1,0))</f>
        <v>0</v>
      </c>
      <c r="AQ213" s="39" t="n">
        <f aca="false">IF(AQ$4=0,0,IF(COUNTIFS(実績!$W$6:$W$505,AQ$3,実績!$AI$6:$AI$505,"&lt;="&amp;$A213,実績!$AJ$6:$AJ$505,"&gt;"&amp;$A213,実績!$AL$6:$AL$505,"○")&gt;0,1,0))</f>
        <v>0</v>
      </c>
      <c r="AR213" s="39" t="n">
        <f aca="false">IF(AR$4=0,0,IF(COUNTIFS(実績!$W$6:$W$505,AR$3,実績!$AI$6:$AI$505,"&lt;="&amp;$A213,実績!$AJ$6:$AJ$505,"&gt;"&amp;$A213,実績!$AL$6:$AL$505,"○")&gt;0,1,0))</f>
        <v>0</v>
      </c>
      <c r="AS213" s="39" t="n">
        <f aca="false">IF(AS$4=0,0,IF(COUNTIFS(実績!$W$6:$W$505,AS$3,実績!$AI$6:$AI$505,"&lt;="&amp;$A213,実績!$AJ$6:$AJ$505,"&gt;"&amp;$A213,実績!$AL$6:$AL$505,"○")&gt;0,1,0))</f>
        <v>0</v>
      </c>
      <c r="AT213" s="39" t="n">
        <f aca="false">IF(AT$4=0,0,IF(COUNTIFS(実績!$W$6:$W$505,AT$3,実績!$AI$6:$AI$505,"&lt;="&amp;$A213,実績!$AJ$6:$AJ$505,"&gt;"&amp;$A213,実績!$AL$6:$AL$505,"○")&gt;0,1,0))</f>
        <v>0</v>
      </c>
      <c r="AU213" s="39" t="n">
        <f aca="false">IF(AU$4=0,0,IF(COUNTIFS(実績!$W$6:$W$505,AU$3,実績!$AI$6:$AI$505,"&lt;="&amp;$A213,実績!$AJ$6:$AJ$505,"&gt;"&amp;$A213,実績!$AL$6:$AL$505,"○")&gt;0,1,0))</f>
        <v>0</v>
      </c>
      <c r="AV213" s="39" t="n">
        <f aca="false">IF(AV$4=0,0,IF(COUNTIFS(実績!$W$6:$W$505,AV$3,実績!$AI$6:$AI$505,"&lt;="&amp;$A213,実績!$AJ$6:$AJ$505,"&gt;"&amp;$A213,実績!$AL$6:$AL$505,"○")&gt;0,1,0))</f>
        <v>0</v>
      </c>
      <c r="AW213" s="39" t="n">
        <f aca="false">IF(AW$4=0,0,IF(COUNTIFS(実績!$W$6:$W$505,AW$3,実績!$AI$6:$AI$505,"&lt;="&amp;$A213,実績!$AJ$6:$AJ$505,"&gt;"&amp;$A213,実績!$AL$6:$AL$505,"○")&gt;0,1,0))</f>
        <v>0</v>
      </c>
      <c r="AX213" s="39" t="n">
        <f aca="false">IF(AX$4=0,0,IF(COUNTIFS(実績!$W$6:$W$505,AX$3,実績!$AI$6:$AI$505,"&lt;="&amp;$A213,実績!$AJ$6:$AJ$505,"&gt;"&amp;$A213,実績!$AL$6:$AL$505,"○")&gt;0,1,0))</f>
        <v>0</v>
      </c>
      <c r="AY213" s="39" t="n">
        <f aca="false">IF(AY$4=0,0,IF(COUNTIFS(実績!$W$6:$W$505,AY$3,実績!$AI$6:$AI$505,"&lt;="&amp;$A213,実績!$AJ$6:$AJ$505,"&gt;"&amp;$A213,実績!$AL$6:$AL$505,"○")&gt;0,1,0))</f>
        <v>0</v>
      </c>
      <c r="AZ213" s="39" t="n">
        <f aca="false">IF(AZ$4=0,0,IF(COUNTIFS(実績!$W$6:$W$505,AZ$3,実績!$AI$6:$AI$505,"&lt;="&amp;$A213,実績!$AJ$6:$AJ$505,"&gt;"&amp;$A213,実績!$AL$6:$AL$505,"○")&gt;0,1,0))</f>
        <v>0</v>
      </c>
      <c r="BA213" s="39" t="n">
        <f aca="false">IF(BA$4=0,0,IF(COUNTIFS(実績!$W$6:$W$505,BA$3,実績!$AI$6:$AI$505,"&lt;="&amp;$A213,実績!$AJ$6:$AJ$505,"&gt;"&amp;$A213,実績!$AL$6:$AL$505,"○")&gt;0,1,0))</f>
        <v>0</v>
      </c>
      <c r="BB213" s="39" t="n">
        <f aca="false">IF(BB$4=0,0,IF(COUNTIFS(実績!$W$6:$W$505,BB$3,実績!$AI$6:$AI$505,"&lt;="&amp;$A213,実績!$AJ$6:$AJ$505,"&gt;"&amp;$A213,実績!$AL$6:$AL$505,"○")&gt;0,1,0))</f>
        <v>0</v>
      </c>
      <c r="BC213" s="39" t="n">
        <f aca="false">IF(BC$4=0,0,IF(COUNTIFS(実績!$W$6:$W$505,BC$3,実績!$AI$6:$AI$505,"&lt;="&amp;$A213,実績!$AJ$6:$AJ$505,"&gt;"&amp;$A213,実績!$AL$6:$AL$505,"○")&gt;0,1,0))</f>
        <v>0</v>
      </c>
      <c r="BD213" s="39" t="n">
        <f aca="false">IF(BD$4=0,0,IF(COUNTIFS(実績!$W$6:$W$505,BD$3,実績!$AI$6:$AI$505,"&lt;="&amp;$A213,実績!$AJ$6:$AJ$505,"&gt;"&amp;$A213,実績!$AL$6:$AL$505,"○")&gt;0,1,0))</f>
        <v>0</v>
      </c>
      <c r="BE213" s="39" t="n">
        <f aca="false">IF(BE$4=0,0,IF(COUNTIFS(実績!$W$6:$W$505,BE$3,実績!$AI$6:$AI$505,"&lt;="&amp;$A213,実績!$AJ$6:$AJ$505,"&gt;"&amp;$A213,実績!$AL$6:$AL$505,"○")&gt;0,1,0))</f>
        <v>0</v>
      </c>
      <c r="BF213" s="39" t="n">
        <f aca="false">IF(BF$4=0,0,IF(COUNTIFS(実績!$W$6:$W$505,BF$3,実績!$AI$6:$AI$505,"&lt;="&amp;$A213,実績!$AJ$6:$AJ$505,"&gt;"&amp;$A213,実績!$AL$6:$AL$505,"○")&gt;0,1,0))</f>
        <v>0</v>
      </c>
      <c r="BG213" s="39" t="n">
        <f aca="false">IF(BG$4=0,0,IF(COUNTIFS(実績!$W$6:$W$505,BG$3,実績!$AI$6:$AI$505,"&lt;="&amp;$A213,実績!$AJ$6:$AJ$505,"&gt;"&amp;$A213,実績!$AL$6:$AL$505,"○")&gt;0,1,0))</f>
        <v>0</v>
      </c>
      <c r="BH213" s="39" t="n">
        <f aca="false">IF(BH$4=0,0,IF(COUNTIFS(実績!$W$6:$W$505,BH$3,実績!$AI$6:$AI$505,"&lt;="&amp;$A213,実績!$AJ$6:$AJ$505,"&gt;"&amp;$A213,実績!$AL$6:$AL$505,"○")&gt;0,1,0))</f>
        <v>0</v>
      </c>
      <c r="BI213" s="39" t="n">
        <f aca="false">IF(BI$4=0,0,IF(COUNTIFS(実績!$W$6:$W$505,BI$3,実績!$AI$6:$AI$505,"&lt;="&amp;$A213,実績!$AJ$6:$AJ$505,"&gt;"&amp;$A213,実績!$AL$6:$AL$505,"○")&gt;0,1,0))</f>
        <v>0</v>
      </c>
      <c r="BJ213" s="39" t="n">
        <f aca="false">IF(BJ$4=0,0,IF(COUNTIFS(実績!$W$6:$W$505,BJ$3,実績!$AI$6:$AI$505,"&lt;="&amp;$A213,実績!$AJ$6:$AJ$505,"&gt;"&amp;$A213,実績!$AL$6:$AL$505,"○")&gt;0,1,0))</f>
        <v>0</v>
      </c>
      <c r="BK213" s="39" t="n">
        <f aca="false">IF(BK$4=0,0,IF(COUNTIFS(実績!$W$6:$W$505,BK$3,実績!$AI$6:$AI$505,"&lt;="&amp;$A213,実績!$AJ$6:$AJ$505,"&gt;"&amp;$A213,実績!$AL$6:$AL$505,"○")&gt;0,1,0))</f>
        <v>0</v>
      </c>
      <c r="BL213" s="39" t="n">
        <f aca="false">IF(BL$4=0,0,IF(COUNTIFS(実績!$W$6:$W$505,BL$3,実績!$AI$6:$AI$505,"&lt;="&amp;$A213,実績!$AJ$6:$AJ$505,"&gt;"&amp;$A213,実績!$AL$6:$AL$505,"○")&gt;0,1,0))</f>
        <v>0</v>
      </c>
      <c r="BM213" s="39" t="n">
        <f aca="false">IF(BM$4=0,0,IF(COUNTIFS(実績!$W$6:$W$505,BM$3,実績!$AI$6:$AI$505,"&lt;="&amp;$A213,実績!$AJ$6:$AJ$505,"&gt;"&amp;$A213,実績!$AL$6:$AL$505,"○")&gt;0,1,0))</f>
        <v>0</v>
      </c>
      <c r="BN213" s="39" t="n">
        <f aca="false">IF(BN$4=0,0,IF(COUNTIFS(実績!$W$6:$W$505,BN$3,実績!$AI$6:$AI$505,"&lt;="&amp;$A213,実績!$AJ$6:$AJ$505,"&gt;"&amp;$A213,実績!$AL$6:$AL$505,"○")&gt;0,1,0))</f>
        <v>0</v>
      </c>
      <c r="BO213" s="39" t="n">
        <f aca="false">IF(BO$4=0,0,IF(COUNTIFS(実績!$W$6:$W$505,BO$3,実績!$AI$6:$AI$505,"&lt;="&amp;$A213,実績!$AJ$6:$AJ$505,"&gt;"&amp;$A213,実績!$AL$6:$AL$505,"○")&gt;0,1,0))</f>
        <v>0</v>
      </c>
      <c r="BP213" s="39" t="n">
        <f aca="false">IF(BP$4=0,0,IF(COUNTIFS(実績!$W$6:$W$505,BP$3,実績!$AI$6:$AI$505,"&lt;="&amp;$A213,実績!$AJ$6:$AJ$505,"&gt;"&amp;$A213,実績!$AL$6:$AL$505,"○")&gt;0,1,0))</f>
        <v>0</v>
      </c>
      <c r="BQ213" s="39" t="n">
        <f aca="false">IF(BQ$4=0,0,IF(COUNTIFS(実績!$W$6:$W$505,BQ$3,実績!$AI$6:$AI$505,"&lt;="&amp;$A213,実績!$AJ$6:$AJ$505,"&gt;"&amp;$A213,実績!$AL$6:$AL$505,"○")&gt;0,1,0))</f>
        <v>0</v>
      </c>
      <c r="BR213" s="39" t="n">
        <f aca="false">IF(BR$4=0,0,IF(COUNTIFS(実績!$W$6:$W$505,BR$3,実績!$AI$6:$AI$505,"&lt;="&amp;$A213,実績!$AJ$6:$AJ$505,"&gt;"&amp;$A213,実績!$AL$6:$AL$505,"○")&gt;0,1,0))</f>
        <v>0</v>
      </c>
      <c r="BS213" s="39" t="n">
        <f aca="false">IF(BS$4=0,0,IF(COUNTIFS(実績!$W$6:$W$505,BS$3,実績!$AI$6:$AI$505,"&lt;="&amp;$A213,実績!$AJ$6:$AJ$505,"&gt;"&amp;$A213,実績!$AL$6:$AL$505,"○")&gt;0,1,0))</f>
        <v>0</v>
      </c>
      <c r="BT213" s="39" t="n">
        <f aca="false">IF(BT$4=0,0,IF(COUNTIFS(実績!$W$6:$W$505,BT$3,実績!$AI$6:$AI$505,"&lt;="&amp;$A213,実績!$AJ$6:$AJ$505,"&gt;"&amp;$A213,実績!$AL$6:$AL$505,"○")&gt;0,1,0))</f>
        <v>0</v>
      </c>
      <c r="BU213" s="39" t="n">
        <f aca="false">IF(BU$4=0,0,IF(COUNTIFS(実績!$W$6:$W$505,BU$3,実績!$AI$6:$AI$505,"&lt;="&amp;$A213,実績!$AJ$6:$AJ$505,"&gt;"&amp;$A213,実績!$AL$6:$AL$505,"○")&gt;0,1,0))</f>
        <v>0</v>
      </c>
      <c r="BV213" s="39" t="n">
        <f aca="false">IF(BV$4=0,0,IF(COUNTIFS(実績!$W$6:$W$505,BV$3,実績!$AI$6:$AI$505,"&lt;="&amp;$A213,実績!$AJ$6:$AJ$505,"&gt;"&amp;$A213,実績!$AL$6:$AL$505,"○")&gt;0,1,0))</f>
        <v>0</v>
      </c>
      <c r="BW213" s="39" t="n">
        <f aca="false">IF(BW$4=0,0,IF(COUNTIFS(実績!$W$6:$W$505,BW$3,実績!$AI$6:$AI$505,"&lt;="&amp;$A213,実績!$AJ$6:$AJ$505,"&gt;"&amp;$A213,実績!$AL$6:$AL$505,"○")&gt;0,1,0))</f>
        <v>0</v>
      </c>
      <c r="BX213" s="39" t="n">
        <f aca="false">IF(BX$4=0,0,IF(COUNTIFS(実績!$W$6:$W$505,BX$3,実績!$AI$6:$AI$505,"&lt;="&amp;$A213,実績!$AJ$6:$AJ$505,"&gt;"&amp;$A213,実績!$AL$6:$AL$505,"○")&gt;0,1,0))</f>
        <v>0</v>
      </c>
      <c r="BY213" s="39" t="n">
        <f aca="false">IF(BY$4=0,0,IF(COUNTIFS(実績!$W$6:$W$505,BY$3,実績!$AI$6:$AI$505,"&lt;="&amp;$A213,実績!$AJ$6:$AJ$505,"&gt;"&amp;$A213,実績!$AL$6:$AL$505,"○")&gt;0,1,0))</f>
        <v>0</v>
      </c>
      <c r="BZ213" s="39" t="n">
        <f aca="false">IF(BZ$4=0,0,IF(COUNTIFS(実績!$W$6:$W$505,BZ$3,実績!$AI$6:$AI$505,"&lt;="&amp;$A213,実績!$AJ$6:$AJ$505,"&gt;"&amp;$A213,実績!$AL$6:$AL$505,"○")&gt;0,1,0))</f>
        <v>0</v>
      </c>
      <c r="CA213" s="39" t="n">
        <f aca="false">IF(CA$4=0,0,IF(COUNTIFS(実績!$W$6:$W$505,CA$3,実績!$AI$6:$AI$505,"&lt;="&amp;$A213,実績!$AJ$6:$AJ$505,"&gt;"&amp;$A213,実績!$AL$6:$AL$505,"○")&gt;0,1,0))</f>
        <v>0</v>
      </c>
      <c r="CB213" s="39" t="n">
        <f aca="false">IF(CB$4=0,0,IF(COUNTIFS(実績!$W$6:$W$505,CB$3,実績!$AI$6:$AI$505,"&lt;="&amp;$A213,実績!$AJ$6:$AJ$505,"&gt;"&amp;$A213,実績!$AL$6:$AL$505,"○")&gt;0,1,0))</f>
        <v>0</v>
      </c>
      <c r="CC213" s="39" t="n">
        <f aca="false">IF(CC$4=0,0,IF(COUNTIFS(実績!$W$6:$W$505,CC$3,実績!$AI$6:$AI$505,"&lt;="&amp;$A213,実績!$AJ$6:$AJ$505,"&gt;"&amp;$A213,実績!$AL$6:$AL$505,"○")&gt;0,1,0))</f>
        <v>0</v>
      </c>
      <c r="CD213" s="39" t="n">
        <f aca="false">IF(CD$4=0,0,IF(COUNTIFS(実績!$W$6:$W$505,CD$3,実績!$AI$6:$AI$505,"&lt;="&amp;$A213,実績!$AJ$6:$AJ$505,"&gt;"&amp;$A213,実績!$AL$6:$AL$505,"○")&gt;0,1,0))</f>
        <v>0</v>
      </c>
      <c r="CE213" s="39" t="n">
        <f aca="false">IF(CE$4=0,0,IF(COUNTIFS(実績!$W$6:$W$505,CE$3,実績!$AI$6:$AI$505,"&lt;="&amp;$A213,実績!$AJ$6:$AJ$505,"&gt;"&amp;$A213,実績!$AL$6:$AL$505,"○")&gt;0,1,0))</f>
        <v>0</v>
      </c>
      <c r="CF213" s="39" t="n">
        <f aca="false">IF(CF$4=0,0,IF(COUNTIFS(実績!$W$6:$W$505,CF$3,実績!$AI$6:$AI$505,"&lt;="&amp;$A213,実績!$AJ$6:$AJ$505,"&gt;"&amp;$A213,実績!$AL$6:$AL$505,"○")&gt;0,1,0))</f>
        <v>0</v>
      </c>
      <c r="CG213" s="39" t="n">
        <f aca="false">IF(CG$4=0,0,IF(COUNTIFS(実績!$W$6:$W$505,CG$3,実績!$AI$6:$AI$505,"&lt;="&amp;$A213,実績!$AJ$6:$AJ$505,"&gt;"&amp;$A213,実績!$AL$6:$AL$505,"○")&gt;0,1,0))</f>
        <v>0</v>
      </c>
      <c r="CH213" s="39" t="n">
        <f aca="false">IF(CH$4=0,0,IF(COUNTIFS(実績!$W$6:$W$505,CH$3,実績!$AI$6:$AI$505,"&lt;="&amp;$A213,実績!$AJ$6:$AJ$505,"&gt;"&amp;$A213,実績!$AL$6:$AL$505,"○")&gt;0,1,0))</f>
        <v>0</v>
      </c>
      <c r="CI213" s="39" t="n">
        <f aca="false">IF(CI$4=0,0,IF(COUNTIFS(実績!$W$6:$W$505,CI$3,実績!$AI$6:$AI$505,"&lt;="&amp;$A213,実績!$AJ$6:$AJ$505,"&gt;"&amp;$A213,実績!$AL$6:$AL$505,"○")&gt;0,1,0))</f>
        <v>0</v>
      </c>
      <c r="CJ213" s="39" t="n">
        <f aca="false">IF(CJ$4=0,0,IF(COUNTIFS(実績!$W$6:$W$505,CJ$3,実績!$AI$6:$AI$505,"&lt;="&amp;$A213,実績!$AJ$6:$AJ$505,"&gt;"&amp;$A213,実績!$AL$6:$AL$505,"○")&gt;0,1,0))</f>
        <v>0</v>
      </c>
      <c r="CK213" s="39" t="n">
        <f aca="false">IF(CK$4=0,0,IF(COUNTIFS(実績!$W$6:$W$505,CK$3,実績!$AI$6:$AI$505,"&lt;="&amp;$A213,実績!$AJ$6:$AJ$505,"&gt;"&amp;$A213,実績!$AL$6:$AL$505,"○")&gt;0,1,0))</f>
        <v>0</v>
      </c>
      <c r="CL213" s="39" t="n">
        <f aca="false">IF(CL$4=0,0,IF(COUNTIFS(実績!$W$6:$W$505,CL$3,実績!$AI$6:$AI$505,"&lt;="&amp;$A213,実績!$AJ$6:$AJ$505,"&gt;"&amp;$A213,実績!$AL$6:$AL$505,"○")&gt;0,1,0))</f>
        <v>0</v>
      </c>
      <c r="CM213" s="39" t="n">
        <f aca="false">IF(CM$4=0,0,IF(COUNTIFS(実績!$W$6:$W$505,CM$3,実績!$AI$6:$AI$505,"&lt;="&amp;$A213,実績!$AJ$6:$AJ$505,"&gt;"&amp;$A213,実績!$AL$6:$AL$505,"○")&gt;0,1,0))</f>
        <v>0</v>
      </c>
      <c r="CN213" s="39" t="n">
        <f aca="false">IF(CN$4=0,0,IF(COUNTIFS(実績!$W$6:$W$505,CN$3,実績!$AI$6:$AI$505,"&lt;="&amp;$A213,実績!$AJ$6:$AJ$505,"&gt;"&amp;$A213,実績!$AL$6:$AL$505,"○")&gt;0,1,0))</f>
        <v>0</v>
      </c>
      <c r="CO213" s="39" t="n">
        <f aca="false">IF(CO$4=0,0,IF(COUNTIFS(実績!$W$6:$W$505,CO$3,実績!$AI$6:$AI$505,"&lt;="&amp;$A213,実績!$AJ$6:$AJ$505,"&gt;"&amp;$A213,実績!$AL$6:$AL$505,"○")&gt;0,1,0))</f>
        <v>0</v>
      </c>
      <c r="CP213" s="39" t="n">
        <f aca="false">IF(CP$4=0,0,IF(COUNTIFS(実績!$W$6:$W$505,CP$3,実績!$AI$6:$AI$505,"&lt;="&amp;$A213,実績!$AJ$6:$AJ$505,"&gt;"&amp;$A213,実績!$AL$6:$AL$505,"○")&gt;0,1,0))</f>
        <v>0</v>
      </c>
      <c r="CQ213" s="39" t="n">
        <f aca="false">IF(CQ$4=0,0,IF(COUNTIFS(実績!$W$6:$W$505,CQ$3,実績!$AI$6:$AI$505,"&lt;="&amp;$A213,実績!$AJ$6:$AJ$505,"&gt;"&amp;$A213,実績!$AL$6:$AL$505,"○")&gt;0,1,0))</f>
        <v>0</v>
      </c>
      <c r="CR213" s="39" t="n">
        <f aca="false">IF(CR$4=0,0,IF(COUNTIFS(実績!$W$6:$W$505,CR$3,実績!$AI$6:$AI$505,"&lt;="&amp;$A213,実績!$AJ$6:$AJ$505,"&gt;"&amp;$A213,実績!$AL$6:$AL$505,"○")&gt;0,1,0))</f>
        <v>0</v>
      </c>
      <c r="CS213" s="39" t="n">
        <f aca="false">IF(CS$4=0,0,IF(COUNTIFS(実績!$W$6:$W$505,CS$3,実績!$AI$6:$AI$505,"&lt;="&amp;$A213,実績!$AJ$6:$AJ$505,"&gt;"&amp;$A213,実績!$AL$6:$AL$505,"○")&gt;0,1,0))</f>
        <v>0</v>
      </c>
      <c r="CT213" s="39" t="n">
        <f aca="false">IF(CT$4=0,0,IF(COUNTIFS(実績!$W$6:$W$505,CT$3,実績!$AI$6:$AI$505,"&lt;="&amp;$A213,実績!$AJ$6:$AJ$505,"&gt;"&amp;$A213,実績!$AL$6:$AL$505,"○")&gt;0,1,0))</f>
        <v>0</v>
      </c>
      <c r="CU213" s="39" t="n">
        <f aca="false">IF(CU$4=0,0,IF(COUNTIFS(実績!$W$6:$W$505,CU$3,実績!$AI$6:$AI$505,"&lt;="&amp;$A213,実績!$AJ$6:$AJ$505,"&gt;"&amp;$A213,実績!$AL$6:$AL$505,"○")&gt;0,1,0))</f>
        <v>0</v>
      </c>
      <c r="CV213" s="39" t="n">
        <f aca="false">IF(CV$4=0,0,IF(COUNTIFS(実績!$W$6:$W$505,CV$3,実績!$AI$6:$AI$505,"&lt;="&amp;$A213,実績!$AJ$6:$AJ$505,"&gt;"&amp;$A213,実績!$AL$6:$AL$505,"○")&gt;0,1,0))</f>
        <v>0</v>
      </c>
      <c r="CW213" s="39" t="n">
        <f aca="false">IF(CW$4=0,0,IF(COUNTIFS(実績!$W$6:$W$505,CW$3,実績!$AI$6:$AI$505,"&lt;="&amp;$A213,実績!$AJ$6:$AJ$505,"&gt;"&amp;$A213,実績!$AL$6:$AL$505,"○")&gt;0,1,0))</f>
        <v>0</v>
      </c>
      <c r="CX213" s="39" t="n">
        <f aca="false">IF(CX$4=0,0,IF(COUNTIFS(実績!$W$6:$W$505,CX$3,実績!$AI$6:$AI$505,"&lt;="&amp;$A213,実績!$AJ$6:$AJ$505,"&gt;"&amp;$A213,実績!$AL$6:$AL$505,"○")&gt;0,1,0))</f>
        <v>0</v>
      </c>
      <c r="CY213" s="39" t="n">
        <f aca="false">IF(CY$4=0,0,IF(COUNTIFS(実績!$W$6:$W$505,CY$3,実績!$AI$6:$AI$505,"&lt;="&amp;$A213,実績!$AJ$6:$AJ$505,"&gt;"&amp;$A213,実績!$AL$6:$AL$505,"○")&gt;0,1,0))</f>
        <v>0</v>
      </c>
      <c r="CZ213" s="39" t="n">
        <f aca="false">IF(CZ$4=0,0,IF(COUNTIFS(実績!$W$6:$W$505,CZ$3,実績!$AI$6:$AI$505,"&lt;="&amp;$A213,実績!$AJ$6:$AJ$505,"&gt;"&amp;$A213,実績!$AL$6:$AL$505,"○")&gt;0,1,0))</f>
        <v>0</v>
      </c>
      <c r="DA213" s="39" t="n">
        <f aca="false">IF(DA$4=0,0,IF(COUNTIFS(実績!$W$6:$W$505,DA$3,実績!$AI$6:$AI$505,"&lt;="&amp;$A213,実績!$AJ$6:$AJ$505,"&gt;"&amp;$A213,実績!$AL$6:$AL$505,"○")&gt;0,1,0))</f>
        <v>0</v>
      </c>
      <c r="DB213" s="39" t="n">
        <f aca="false">IF(DB$4=0,0,IF(COUNTIFS(実績!$W$6:$W$505,DB$3,実績!$AI$6:$AI$505,"&lt;="&amp;$A213,実績!$AJ$6:$AJ$505,"&gt;"&amp;$A213,実績!$AL$6:$AL$505,"○")&gt;0,1,0))</f>
        <v>0</v>
      </c>
      <c r="DC213" s="39" t="n">
        <f aca="false">IF(DC$4=0,0,IF(COUNTIFS(実績!$W$6:$W$505,DC$3,実績!$AI$6:$AI$505,"&lt;="&amp;$A213,実績!$AJ$6:$AJ$505,"&gt;"&amp;$A213,実績!$AL$6:$AL$505,"○")&gt;0,1,0))</f>
        <v>0</v>
      </c>
      <c r="DD213" s="39" t="n">
        <f aca="false">IF(DD$4=0,0,IF(COUNTIFS(実績!$W$6:$W$505,DD$3,実績!$AI$6:$AI$505,"&lt;="&amp;$A213,実績!$AJ$6:$AJ$505,"&gt;"&amp;$A213,実績!$AL$6:$AL$505,"○")&gt;0,1,0))</f>
        <v>0</v>
      </c>
      <c r="DE213" s="39" t="n">
        <f aca="false">IF(DE$4=0,0,IF(COUNTIFS(実績!$W$6:$W$505,DE$3,実績!$AI$6:$AI$505,"&lt;="&amp;$A213,実績!$AJ$6:$AJ$505,"&gt;"&amp;$A213,実績!$AL$6:$AL$505,"○")&gt;0,1,0))</f>
        <v>0</v>
      </c>
      <c r="DF213" s="39" t="n">
        <f aca="false">IF(DF$4=0,0,IF(COUNTIFS(実績!$W$6:$W$505,DF$3,実績!$AI$6:$AI$505,"&lt;="&amp;$A213,実績!$AJ$6:$AJ$505,"&gt;"&amp;$A213,実績!$AL$6:$AL$505,"○")&gt;0,1,0))</f>
        <v>0</v>
      </c>
      <c r="DG213" s="39" t="n">
        <f aca="false">IF(DG$4=0,0,IF(COUNTIFS(実績!$W$6:$W$505,DG$3,実績!$AI$6:$AI$505,"&lt;="&amp;$A213,実績!$AJ$6:$AJ$505,"&gt;"&amp;$A213,実績!$AL$6:$AL$505,"○")&gt;0,1,0))</f>
        <v>0</v>
      </c>
      <c r="DH213" s="39" t="n">
        <f aca="false">IF(DH$4=0,0,IF(COUNTIFS(実績!$W$6:$W$505,DH$3,実績!$AI$6:$AI$505,"&lt;="&amp;$A213,実績!$AJ$6:$AJ$505,"&gt;"&amp;$A213,実績!$AL$6:$AL$505,"○")&gt;0,1,0))</f>
        <v>0</v>
      </c>
      <c r="DI213" s="39" t="n">
        <f aca="false">IF(DI$4=0,0,IF(COUNTIFS(実績!$W$6:$W$505,DI$3,実績!$AI$6:$AI$505,"&lt;="&amp;$A213,実績!$AJ$6:$AJ$505,"&gt;"&amp;$A213,実績!$AL$6:$AL$505,"○")&gt;0,1,0))</f>
        <v>0</v>
      </c>
      <c r="DJ213" s="39" t="n">
        <f aca="false">IF(DJ$4=0,0,IF(COUNTIFS(実績!$W$6:$W$505,DJ$3,実績!$AI$6:$AI$505,"&lt;="&amp;$A213,実績!$AJ$6:$AJ$505,"&gt;"&amp;$A213,実績!$AL$6:$AL$505,"○")&gt;0,1,0))</f>
        <v>0</v>
      </c>
      <c r="DK213" s="39" t="n">
        <f aca="false">IF(DK$4=0,0,IF(COUNTIFS(実績!$W$6:$W$505,DK$3,実績!$AI$6:$AI$505,"&lt;="&amp;$A213,実績!$AJ$6:$AJ$505,"&gt;"&amp;$A213,実績!$AL$6:$AL$505,"○")&gt;0,1,0))</f>
        <v>0</v>
      </c>
      <c r="DL213" s="39" t="n">
        <f aca="false">IF(DL$4=0,0,IF(COUNTIFS(実績!$W$6:$W$505,DL$3,実績!$AI$6:$AI$505,"&lt;="&amp;$A213,実績!$AJ$6:$AJ$505,"&gt;"&amp;$A213,実績!$AL$6:$AL$505,"○")&gt;0,1,0))</f>
        <v>0</v>
      </c>
      <c r="DM213" s="39" t="n">
        <f aca="false">IF(DM$4=0,0,IF(COUNTIFS(実績!$W$6:$W$505,DM$3,実績!$AI$6:$AI$505,"&lt;="&amp;$A213,実績!$AJ$6:$AJ$505,"&gt;"&amp;$A213,実績!$AL$6:$AL$505,"○")&gt;0,1,0))</f>
        <v>0</v>
      </c>
      <c r="DN213" s="39" t="n">
        <f aca="false">IF(DN$4=0,0,IF(COUNTIFS(実績!$W$6:$W$505,DN$3,実績!$AI$6:$AI$505,"&lt;="&amp;$A213,実績!$AJ$6:$AJ$505,"&gt;"&amp;$A213,実績!$AL$6:$AL$505,"○")&gt;0,1,0))</f>
        <v>0</v>
      </c>
      <c r="DO213" s="39" t="n">
        <f aca="false">IF(DO$4=0,0,IF(COUNTIFS(実績!$W$6:$W$505,DO$3,実績!$AI$6:$AI$505,"&lt;="&amp;$A213,実績!$AJ$6:$AJ$505,"&gt;"&amp;$A213,実績!$AL$6:$AL$505,"○")&gt;0,1,0))</f>
        <v>0</v>
      </c>
      <c r="DP213" s="39" t="n">
        <f aca="false">IF(DP$4=0,0,IF(COUNTIFS(実績!$W$6:$W$505,DP$3,実績!$AI$6:$AI$505,"&lt;="&amp;$A213,実績!$AJ$6:$AJ$505,"&gt;"&amp;$A213,実績!$AL$6:$AL$505,"○")&gt;0,1,0))</f>
        <v>0</v>
      </c>
      <c r="DQ213" s="39" t="n">
        <f aca="false">IF(DQ$4=0,0,IF(COUNTIFS(実績!$W$6:$W$505,DQ$3,実績!$AI$6:$AI$505,"&lt;="&amp;$A213,実績!$AJ$6:$AJ$505,"&gt;"&amp;$A213,実績!$AL$6:$AL$505,"○")&gt;0,1,0))</f>
        <v>0</v>
      </c>
      <c r="DR213" s="39" t="n">
        <f aca="false">IF(DR$4=0,0,IF(COUNTIFS(実績!$W$6:$W$505,DR$3,実績!$AI$6:$AI$505,"&lt;="&amp;$A213,実績!$AJ$6:$AJ$505,"&gt;"&amp;$A213,実績!$AL$6:$AL$505,"○")&gt;0,1,0))</f>
        <v>0</v>
      </c>
      <c r="DS213" s="39" t="n">
        <f aca="false">SUM(C213:DR213)</f>
        <v>0</v>
      </c>
    </row>
    <row r="214" customFormat="false" ht="15" hidden="false" customHeight="false" outlineLevel="0" collapsed="false">
      <c r="A214" s="0" t="n">
        <v>1040</v>
      </c>
      <c r="B214" s="38" t="n">
        <f aca="false">A214/1440</f>
        <v>0.722222222222222</v>
      </c>
      <c r="C214" s="39" t="n">
        <f aca="false">IF(C$4=0,0,IF(COUNTIFS(実績!$W$6:$W$505,C$3,実績!$AI$6:$AI$505,"&lt;="&amp;$A214,実績!$AJ$6:$AJ$505,"&gt;"&amp;$A214,実績!$AL$6:$AL$505,"○")&gt;0,1,0))</f>
        <v>0</v>
      </c>
      <c r="D214" s="39" t="n">
        <f aca="false">IF(D$4=0,0,IF(COUNTIFS(実績!$W$6:$W$505,D$3,実績!$AI$6:$AI$505,"&lt;="&amp;$A214,実績!$AJ$6:$AJ$505,"&gt;"&amp;$A214,実績!$AL$6:$AL$505,"○")&gt;0,1,0))</f>
        <v>0</v>
      </c>
      <c r="E214" s="39" t="n">
        <f aca="false">IF(E$4=0,0,IF(COUNTIFS(実績!$W$6:$W$505,E$3,実績!$AI$6:$AI$505,"&lt;="&amp;$A214,実績!$AJ$6:$AJ$505,"&gt;"&amp;$A214,実績!$AL$6:$AL$505,"○")&gt;0,1,0))</f>
        <v>0</v>
      </c>
      <c r="F214" s="39" t="n">
        <f aca="false">IF(F$4=0,0,IF(COUNTIFS(実績!$W$6:$W$505,F$3,実績!$AI$6:$AI$505,"&lt;="&amp;$A214,実績!$AJ$6:$AJ$505,"&gt;"&amp;$A214,実績!$AL$6:$AL$505,"○")&gt;0,1,0))</f>
        <v>0</v>
      </c>
      <c r="G214" s="39" t="n">
        <f aca="false">IF(G$4=0,0,IF(COUNTIFS(実績!$W$6:$W$505,G$3,実績!$AI$6:$AI$505,"&lt;="&amp;$A214,実績!$AJ$6:$AJ$505,"&gt;"&amp;$A214,実績!$AL$6:$AL$505,"○")&gt;0,1,0))</f>
        <v>0</v>
      </c>
      <c r="H214" s="39" t="n">
        <f aca="false">IF(H$4=0,0,IF(COUNTIFS(実績!$W$6:$W$505,H$3,実績!$AI$6:$AI$505,"&lt;="&amp;$A214,実績!$AJ$6:$AJ$505,"&gt;"&amp;$A214,実績!$AL$6:$AL$505,"○")&gt;0,1,0))</f>
        <v>0</v>
      </c>
      <c r="I214" s="39" t="n">
        <f aca="false">IF(I$4=0,0,IF(COUNTIFS(実績!$W$6:$W$505,I$3,実績!$AI$6:$AI$505,"&lt;="&amp;$A214,実績!$AJ$6:$AJ$505,"&gt;"&amp;$A214,実績!$AL$6:$AL$505,"○")&gt;0,1,0))</f>
        <v>0</v>
      </c>
      <c r="J214" s="39" t="n">
        <f aca="false">IF(J$4=0,0,IF(COUNTIFS(実績!$W$6:$W$505,J$3,実績!$AI$6:$AI$505,"&lt;="&amp;$A214,実績!$AJ$6:$AJ$505,"&gt;"&amp;$A214,実績!$AL$6:$AL$505,"○")&gt;0,1,0))</f>
        <v>0</v>
      </c>
      <c r="K214" s="39" t="n">
        <f aca="false">IF(K$4=0,0,IF(COUNTIFS(実績!$W$6:$W$505,K$3,実績!$AI$6:$AI$505,"&lt;="&amp;$A214,実績!$AJ$6:$AJ$505,"&gt;"&amp;$A214,実績!$AL$6:$AL$505,"○")&gt;0,1,0))</f>
        <v>0</v>
      </c>
      <c r="L214" s="39" t="n">
        <f aca="false">IF(L$4=0,0,IF(COUNTIFS(実績!$W$6:$W$505,L$3,実績!$AI$6:$AI$505,"&lt;="&amp;$A214,実績!$AJ$6:$AJ$505,"&gt;"&amp;$A214,実績!$AL$6:$AL$505,"○")&gt;0,1,0))</f>
        <v>0</v>
      </c>
      <c r="M214" s="39" t="n">
        <f aca="false">IF(M$4=0,0,IF(COUNTIFS(実績!$W$6:$W$505,M$3,実績!$AI$6:$AI$505,"&lt;="&amp;$A214,実績!$AJ$6:$AJ$505,"&gt;"&amp;$A214,実績!$AL$6:$AL$505,"○")&gt;0,1,0))</f>
        <v>0</v>
      </c>
      <c r="N214" s="39" t="n">
        <f aca="false">IF(N$4=0,0,IF(COUNTIFS(実績!$W$6:$W$505,N$3,実績!$AI$6:$AI$505,"&lt;="&amp;$A214,実績!$AJ$6:$AJ$505,"&gt;"&amp;$A214,実績!$AL$6:$AL$505,"○")&gt;0,1,0))</f>
        <v>0</v>
      </c>
      <c r="O214" s="39" t="n">
        <f aca="false">IF(O$4=0,0,IF(COUNTIFS(実績!$W$6:$W$505,O$3,実績!$AI$6:$AI$505,"&lt;="&amp;$A214,実績!$AJ$6:$AJ$505,"&gt;"&amp;$A214,実績!$AL$6:$AL$505,"○")&gt;0,1,0))</f>
        <v>0</v>
      </c>
      <c r="P214" s="39" t="n">
        <f aca="false">IF(P$4=0,0,IF(COUNTIFS(実績!$W$6:$W$505,P$3,実績!$AI$6:$AI$505,"&lt;="&amp;$A214,実績!$AJ$6:$AJ$505,"&gt;"&amp;$A214,実績!$AL$6:$AL$505,"○")&gt;0,1,0))</f>
        <v>0</v>
      </c>
      <c r="Q214" s="39" t="n">
        <f aca="false">IF(Q$4=0,0,IF(COUNTIFS(実績!$W$6:$W$505,Q$3,実績!$AI$6:$AI$505,"&lt;="&amp;$A214,実績!$AJ$6:$AJ$505,"&gt;"&amp;$A214,実績!$AL$6:$AL$505,"○")&gt;0,1,0))</f>
        <v>0</v>
      </c>
      <c r="R214" s="39" t="n">
        <f aca="false">IF(R$4=0,0,IF(COUNTIFS(実績!$W$6:$W$505,R$3,実績!$AI$6:$AI$505,"&lt;="&amp;$A214,実績!$AJ$6:$AJ$505,"&gt;"&amp;$A214,実績!$AL$6:$AL$505,"○")&gt;0,1,0))</f>
        <v>0</v>
      </c>
      <c r="S214" s="39" t="n">
        <f aca="false">IF(S$4=0,0,IF(COUNTIFS(実績!$W$6:$W$505,S$3,実績!$AI$6:$AI$505,"&lt;="&amp;$A214,実績!$AJ$6:$AJ$505,"&gt;"&amp;$A214,実績!$AL$6:$AL$505,"○")&gt;0,1,0))</f>
        <v>0</v>
      </c>
      <c r="T214" s="39" t="n">
        <f aca="false">IF(T$4=0,0,IF(COUNTIFS(実績!$W$6:$W$505,T$3,実績!$AI$6:$AI$505,"&lt;="&amp;$A214,実績!$AJ$6:$AJ$505,"&gt;"&amp;$A214,実績!$AL$6:$AL$505,"○")&gt;0,1,0))</f>
        <v>0</v>
      </c>
      <c r="U214" s="39" t="n">
        <f aca="false">IF(U$4=0,0,IF(COUNTIFS(実績!$W$6:$W$505,U$3,実績!$AI$6:$AI$505,"&lt;="&amp;$A214,実績!$AJ$6:$AJ$505,"&gt;"&amp;$A214,実績!$AL$6:$AL$505,"○")&gt;0,1,0))</f>
        <v>0</v>
      </c>
      <c r="V214" s="39" t="n">
        <f aca="false">IF(V$4=0,0,IF(COUNTIFS(実績!$W$6:$W$505,V$3,実績!$AI$6:$AI$505,"&lt;="&amp;$A214,実績!$AJ$6:$AJ$505,"&gt;"&amp;$A214,実績!$AL$6:$AL$505,"○")&gt;0,1,0))</f>
        <v>0</v>
      </c>
      <c r="W214" s="39" t="n">
        <f aca="false">IF(W$4=0,0,IF(COUNTIFS(実績!$W$6:$W$505,W$3,実績!$AI$6:$AI$505,"&lt;="&amp;$A214,実績!$AJ$6:$AJ$505,"&gt;"&amp;$A214,実績!$AL$6:$AL$505,"○")&gt;0,1,0))</f>
        <v>0</v>
      </c>
      <c r="X214" s="39" t="n">
        <f aca="false">IF(X$4=0,0,IF(COUNTIFS(実績!$W$6:$W$505,X$3,実績!$AI$6:$AI$505,"&lt;="&amp;$A214,実績!$AJ$6:$AJ$505,"&gt;"&amp;$A214,実績!$AL$6:$AL$505,"○")&gt;0,1,0))</f>
        <v>0</v>
      </c>
      <c r="Y214" s="39" t="n">
        <f aca="false">IF(Y$4=0,0,IF(COUNTIFS(実績!$W$6:$W$505,Y$3,実績!$AI$6:$AI$505,"&lt;="&amp;$A214,実績!$AJ$6:$AJ$505,"&gt;"&amp;$A214,実績!$AL$6:$AL$505,"○")&gt;0,1,0))</f>
        <v>0</v>
      </c>
      <c r="Z214" s="39" t="n">
        <f aca="false">IF(Z$4=0,0,IF(COUNTIFS(実績!$W$6:$W$505,Z$3,実績!$AI$6:$AI$505,"&lt;="&amp;$A214,実績!$AJ$6:$AJ$505,"&gt;"&amp;$A214,実績!$AL$6:$AL$505,"○")&gt;0,1,0))</f>
        <v>0</v>
      </c>
      <c r="AA214" s="39" t="n">
        <f aca="false">IF(AA$4=0,0,IF(COUNTIFS(実績!$W$6:$W$505,AA$3,実績!$AI$6:$AI$505,"&lt;="&amp;$A214,実績!$AJ$6:$AJ$505,"&gt;"&amp;$A214,実績!$AL$6:$AL$505,"○")&gt;0,1,0))</f>
        <v>0</v>
      </c>
      <c r="AB214" s="39" t="n">
        <f aca="false">IF(AB$4=0,0,IF(COUNTIFS(実績!$W$6:$W$505,AB$3,実績!$AI$6:$AI$505,"&lt;="&amp;$A214,実績!$AJ$6:$AJ$505,"&gt;"&amp;$A214,実績!$AL$6:$AL$505,"○")&gt;0,1,0))</f>
        <v>0</v>
      </c>
      <c r="AC214" s="39" t="n">
        <f aca="false">IF(AC$4=0,0,IF(COUNTIFS(実績!$W$6:$W$505,AC$3,実績!$AI$6:$AI$505,"&lt;="&amp;$A214,実績!$AJ$6:$AJ$505,"&gt;"&amp;$A214,実績!$AL$6:$AL$505,"○")&gt;0,1,0))</f>
        <v>0</v>
      </c>
      <c r="AD214" s="39" t="n">
        <f aca="false">IF(AD$4=0,0,IF(COUNTIFS(実績!$W$6:$W$505,AD$3,実績!$AI$6:$AI$505,"&lt;="&amp;$A214,実績!$AJ$6:$AJ$505,"&gt;"&amp;$A214,実績!$AL$6:$AL$505,"○")&gt;0,1,0))</f>
        <v>0</v>
      </c>
      <c r="AE214" s="39" t="n">
        <f aca="false">IF(AE$4=0,0,IF(COUNTIFS(実績!$W$6:$W$505,AE$3,実績!$AI$6:$AI$505,"&lt;="&amp;$A214,実績!$AJ$6:$AJ$505,"&gt;"&amp;$A214,実績!$AL$6:$AL$505,"○")&gt;0,1,0))</f>
        <v>0</v>
      </c>
      <c r="AF214" s="39" t="n">
        <f aca="false">IF(AF$4=0,0,IF(COUNTIFS(実績!$W$6:$W$505,AF$3,実績!$AI$6:$AI$505,"&lt;="&amp;$A214,実績!$AJ$6:$AJ$505,"&gt;"&amp;$A214,実績!$AL$6:$AL$505,"○")&gt;0,1,0))</f>
        <v>0</v>
      </c>
      <c r="AG214" s="39" t="n">
        <f aca="false">IF(AG$4=0,0,IF(COUNTIFS(実績!$W$6:$W$505,AG$3,実績!$AI$6:$AI$505,"&lt;="&amp;$A214,実績!$AJ$6:$AJ$505,"&gt;"&amp;$A214,実績!$AL$6:$AL$505,"○")&gt;0,1,0))</f>
        <v>0</v>
      </c>
      <c r="AH214" s="39" t="n">
        <f aca="false">IF(AH$4=0,0,IF(COUNTIFS(実績!$W$6:$W$505,AH$3,実績!$AI$6:$AI$505,"&lt;="&amp;$A214,実績!$AJ$6:$AJ$505,"&gt;"&amp;$A214,実績!$AL$6:$AL$505,"○")&gt;0,1,0))</f>
        <v>0</v>
      </c>
      <c r="AI214" s="39" t="n">
        <f aca="false">IF(AI$4=0,0,IF(COUNTIFS(実績!$W$6:$W$505,AI$3,実績!$AI$6:$AI$505,"&lt;="&amp;$A214,実績!$AJ$6:$AJ$505,"&gt;"&amp;$A214,実績!$AL$6:$AL$505,"○")&gt;0,1,0))</f>
        <v>0</v>
      </c>
      <c r="AJ214" s="39" t="n">
        <f aca="false">IF(AJ$4=0,0,IF(COUNTIFS(実績!$W$6:$W$505,AJ$3,実績!$AI$6:$AI$505,"&lt;="&amp;$A214,実績!$AJ$6:$AJ$505,"&gt;"&amp;$A214,実績!$AL$6:$AL$505,"○")&gt;0,1,0))</f>
        <v>0</v>
      </c>
      <c r="AK214" s="39" t="n">
        <f aca="false">IF(AK$4=0,0,IF(COUNTIFS(実績!$W$6:$W$505,AK$3,実績!$AI$6:$AI$505,"&lt;="&amp;$A214,実績!$AJ$6:$AJ$505,"&gt;"&amp;$A214,実績!$AL$6:$AL$505,"○")&gt;0,1,0))</f>
        <v>0</v>
      </c>
      <c r="AL214" s="39" t="n">
        <f aca="false">IF(AL$4=0,0,IF(COUNTIFS(実績!$W$6:$W$505,AL$3,実績!$AI$6:$AI$505,"&lt;="&amp;$A214,実績!$AJ$6:$AJ$505,"&gt;"&amp;$A214,実績!$AL$6:$AL$505,"○")&gt;0,1,0))</f>
        <v>0</v>
      </c>
      <c r="AM214" s="39" t="n">
        <f aca="false">IF(AM$4=0,0,IF(COUNTIFS(実績!$W$6:$W$505,AM$3,実績!$AI$6:$AI$505,"&lt;="&amp;$A214,実績!$AJ$6:$AJ$505,"&gt;"&amp;$A214,実績!$AL$6:$AL$505,"○")&gt;0,1,0))</f>
        <v>0</v>
      </c>
      <c r="AN214" s="39" t="n">
        <f aca="false">IF(AN$4=0,0,IF(COUNTIFS(実績!$W$6:$W$505,AN$3,実績!$AI$6:$AI$505,"&lt;="&amp;$A214,実績!$AJ$6:$AJ$505,"&gt;"&amp;$A214,実績!$AL$6:$AL$505,"○")&gt;0,1,0))</f>
        <v>0</v>
      </c>
      <c r="AO214" s="39" t="n">
        <f aca="false">IF(AO$4=0,0,IF(COUNTIFS(実績!$W$6:$W$505,AO$3,実績!$AI$6:$AI$505,"&lt;="&amp;$A214,実績!$AJ$6:$AJ$505,"&gt;"&amp;$A214,実績!$AL$6:$AL$505,"○")&gt;0,1,0))</f>
        <v>0</v>
      </c>
      <c r="AP214" s="39" t="n">
        <f aca="false">IF(AP$4=0,0,IF(COUNTIFS(実績!$W$6:$W$505,AP$3,実績!$AI$6:$AI$505,"&lt;="&amp;$A214,実績!$AJ$6:$AJ$505,"&gt;"&amp;$A214,実績!$AL$6:$AL$505,"○")&gt;0,1,0))</f>
        <v>0</v>
      </c>
      <c r="AQ214" s="39" t="n">
        <f aca="false">IF(AQ$4=0,0,IF(COUNTIFS(実績!$W$6:$W$505,AQ$3,実績!$AI$6:$AI$505,"&lt;="&amp;$A214,実績!$AJ$6:$AJ$505,"&gt;"&amp;$A214,実績!$AL$6:$AL$505,"○")&gt;0,1,0))</f>
        <v>0</v>
      </c>
      <c r="AR214" s="39" t="n">
        <f aca="false">IF(AR$4=0,0,IF(COUNTIFS(実績!$W$6:$W$505,AR$3,実績!$AI$6:$AI$505,"&lt;="&amp;$A214,実績!$AJ$6:$AJ$505,"&gt;"&amp;$A214,実績!$AL$6:$AL$505,"○")&gt;0,1,0))</f>
        <v>0</v>
      </c>
      <c r="AS214" s="39" t="n">
        <f aca="false">IF(AS$4=0,0,IF(COUNTIFS(実績!$W$6:$W$505,AS$3,実績!$AI$6:$AI$505,"&lt;="&amp;$A214,実績!$AJ$6:$AJ$505,"&gt;"&amp;$A214,実績!$AL$6:$AL$505,"○")&gt;0,1,0))</f>
        <v>0</v>
      </c>
      <c r="AT214" s="39" t="n">
        <f aca="false">IF(AT$4=0,0,IF(COUNTIFS(実績!$W$6:$W$505,AT$3,実績!$AI$6:$AI$505,"&lt;="&amp;$A214,実績!$AJ$6:$AJ$505,"&gt;"&amp;$A214,実績!$AL$6:$AL$505,"○")&gt;0,1,0))</f>
        <v>0</v>
      </c>
      <c r="AU214" s="39" t="n">
        <f aca="false">IF(AU$4=0,0,IF(COUNTIFS(実績!$W$6:$W$505,AU$3,実績!$AI$6:$AI$505,"&lt;="&amp;$A214,実績!$AJ$6:$AJ$505,"&gt;"&amp;$A214,実績!$AL$6:$AL$505,"○")&gt;0,1,0))</f>
        <v>0</v>
      </c>
      <c r="AV214" s="39" t="n">
        <f aca="false">IF(AV$4=0,0,IF(COUNTIFS(実績!$W$6:$W$505,AV$3,実績!$AI$6:$AI$505,"&lt;="&amp;$A214,実績!$AJ$6:$AJ$505,"&gt;"&amp;$A214,実績!$AL$6:$AL$505,"○")&gt;0,1,0))</f>
        <v>0</v>
      </c>
      <c r="AW214" s="39" t="n">
        <f aca="false">IF(AW$4=0,0,IF(COUNTIFS(実績!$W$6:$W$505,AW$3,実績!$AI$6:$AI$505,"&lt;="&amp;$A214,実績!$AJ$6:$AJ$505,"&gt;"&amp;$A214,実績!$AL$6:$AL$505,"○")&gt;0,1,0))</f>
        <v>0</v>
      </c>
      <c r="AX214" s="39" t="n">
        <f aca="false">IF(AX$4=0,0,IF(COUNTIFS(実績!$W$6:$W$505,AX$3,実績!$AI$6:$AI$505,"&lt;="&amp;$A214,実績!$AJ$6:$AJ$505,"&gt;"&amp;$A214,実績!$AL$6:$AL$505,"○")&gt;0,1,0))</f>
        <v>0</v>
      </c>
      <c r="AY214" s="39" t="n">
        <f aca="false">IF(AY$4=0,0,IF(COUNTIFS(実績!$W$6:$W$505,AY$3,実績!$AI$6:$AI$505,"&lt;="&amp;$A214,実績!$AJ$6:$AJ$505,"&gt;"&amp;$A214,実績!$AL$6:$AL$505,"○")&gt;0,1,0))</f>
        <v>0</v>
      </c>
      <c r="AZ214" s="39" t="n">
        <f aca="false">IF(AZ$4=0,0,IF(COUNTIFS(実績!$W$6:$W$505,AZ$3,実績!$AI$6:$AI$505,"&lt;="&amp;$A214,実績!$AJ$6:$AJ$505,"&gt;"&amp;$A214,実績!$AL$6:$AL$505,"○")&gt;0,1,0))</f>
        <v>0</v>
      </c>
      <c r="BA214" s="39" t="n">
        <f aca="false">IF(BA$4=0,0,IF(COUNTIFS(実績!$W$6:$W$505,BA$3,実績!$AI$6:$AI$505,"&lt;="&amp;$A214,実績!$AJ$6:$AJ$505,"&gt;"&amp;$A214,実績!$AL$6:$AL$505,"○")&gt;0,1,0))</f>
        <v>0</v>
      </c>
      <c r="BB214" s="39" t="n">
        <f aca="false">IF(BB$4=0,0,IF(COUNTIFS(実績!$W$6:$W$505,BB$3,実績!$AI$6:$AI$505,"&lt;="&amp;$A214,実績!$AJ$6:$AJ$505,"&gt;"&amp;$A214,実績!$AL$6:$AL$505,"○")&gt;0,1,0))</f>
        <v>0</v>
      </c>
      <c r="BC214" s="39" t="n">
        <f aca="false">IF(BC$4=0,0,IF(COUNTIFS(実績!$W$6:$W$505,BC$3,実績!$AI$6:$AI$505,"&lt;="&amp;$A214,実績!$AJ$6:$AJ$505,"&gt;"&amp;$A214,実績!$AL$6:$AL$505,"○")&gt;0,1,0))</f>
        <v>0</v>
      </c>
      <c r="BD214" s="39" t="n">
        <f aca="false">IF(BD$4=0,0,IF(COUNTIFS(実績!$W$6:$W$505,BD$3,実績!$AI$6:$AI$505,"&lt;="&amp;$A214,実績!$AJ$6:$AJ$505,"&gt;"&amp;$A214,実績!$AL$6:$AL$505,"○")&gt;0,1,0))</f>
        <v>0</v>
      </c>
      <c r="BE214" s="39" t="n">
        <f aca="false">IF(BE$4=0,0,IF(COUNTIFS(実績!$W$6:$W$505,BE$3,実績!$AI$6:$AI$505,"&lt;="&amp;$A214,実績!$AJ$6:$AJ$505,"&gt;"&amp;$A214,実績!$AL$6:$AL$505,"○")&gt;0,1,0))</f>
        <v>0</v>
      </c>
      <c r="BF214" s="39" t="n">
        <f aca="false">IF(BF$4=0,0,IF(COUNTIFS(実績!$W$6:$W$505,BF$3,実績!$AI$6:$AI$505,"&lt;="&amp;$A214,実績!$AJ$6:$AJ$505,"&gt;"&amp;$A214,実績!$AL$6:$AL$505,"○")&gt;0,1,0))</f>
        <v>0</v>
      </c>
      <c r="BG214" s="39" t="n">
        <f aca="false">IF(BG$4=0,0,IF(COUNTIFS(実績!$W$6:$W$505,BG$3,実績!$AI$6:$AI$505,"&lt;="&amp;$A214,実績!$AJ$6:$AJ$505,"&gt;"&amp;$A214,実績!$AL$6:$AL$505,"○")&gt;0,1,0))</f>
        <v>0</v>
      </c>
      <c r="BH214" s="39" t="n">
        <f aca="false">IF(BH$4=0,0,IF(COUNTIFS(実績!$W$6:$W$505,BH$3,実績!$AI$6:$AI$505,"&lt;="&amp;$A214,実績!$AJ$6:$AJ$505,"&gt;"&amp;$A214,実績!$AL$6:$AL$505,"○")&gt;0,1,0))</f>
        <v>0</v>
      </c>
      <c r="BI214" s="39" t="n">
        <f aca="false">IF(BI$4=0,0,IF(COUNTIFS(実績!$W$6:$W$505,BI$3,実績!$AI$6:$AI$505,"&lt;="&amp;$A214,実績!$AJ$6:$AJ$505,"&gt;"&amp;$A214,実績!$AL$6:$AL$505,"○")&gt;0,1,0))</f>
        <v>0</v>
      </c>
      <c r="BJ214" s="39" t="n">
        <f aca="false">IF(BJ$4=0,0,IF(COUNTIFS(実績!$W$6:$W$505,BJ$3,実績!$AI$6:$AI$505,"&lt;="&amp;$A214,実績!$AJ$6:$AJ$505,"&gt;"&amp;$A214,実績!$AL$6:$AL$505,"○")&gt;0,1,0))</f>
        <v>0</v>
      </c>
      <c r="BK214" s="39" t="n">
        <f aca="false">IF(BK$4=0,0,IF(COUNTIFS(実績!$W$6:$W$505,BK$3,実績!$AI$6:$AI$505,"&lt;="&amp;$A214,実績!$AJ$6:$AJ$505,"&gt;"&amp;$A214,実績!$AL$6:$AL$505,"○")&gt;0,1,0))</f>
        <v>0</v>
      </c>
      <c r="BL214" s="39" t="n">
        <f aca="false">IF(BL$4=0,0,IF(COUNTIFS(実績!$W$6:$W$505,BL$3,実績!$AI$6:$AI$505,"&lt;="&amp;$A214,実績!$AJ$6:$AJ$505,"&gt;"&amp;$A214,実績!$AL$6:$AL$505,"○")&gt;0,1,0))</f>
        <v>0</v>
      </c>
      <c r="BM214" s="39" t="n">
        <f aca="false">IF(BM$4=0,0,IF(COUNTIFS(実績!$W$6:$W$505,BM$3,実績!$AI$6:$AI$505,"&lt;="&amp;$A214,実績!$AJ$6:$AJ$505,"&gt;"&amp;$A214,実績!$AL$6:$AL$505,"○")&gt;0,1,0))</f>
        <v>0</v>
      </c>
      <c r="BN214" s="39" t="n">
        <f aca="false">IF(BN$4=0,0,IF(COUNTIFS(実績!$W$6:$W$505,BN$3,実績!$AI$6:$AI$505,"&lt;="&amp;$A214,実績!$AJ$6:$AJ$505,"&gt;"&amp;$A214,実績!$AL$6:$AL$505,"○")&gt;0,1,0))</f>
        <v>0</v>
      </c>
      <c r="BO214" s="39" t="n">
        <f aca="false">IF(BO$4=0,0,IF(COUNTIFS(実績!$W$6:$W$505,BO$3,実績!$AI$6:$AI$505,"&lt;="&amp;$A214,実績!$AJ$6:$AJ$505,"&gt;"&amp;$A214,実績!$AL$6:$AL$505,"○")&gt;0,1,0))</f>
        <v>0</v>
      </c>
      <c r="BP214" s="39" t="n">
        <f aca="false">IF(BP$4=0,0,IF(COUNTIFS(実績!$W$6:$W$505,BP$3,実績!$AI$6:$AI$505,"&lt;="&amp;$A214,実績!$AJ$6:$AJ$505,"&gt;"&amp;$A214,実績!$AL$6:$AL$505,"○")&gt;0,1,0))</f>
        <v>0</v>
      </c>
      <c r="BQ214" s="39" t="n">
        <f aca="false">IF(BQ$4=0,0,IF(COUNTIFS(実績!$W$6:$W$505,BQ$3,実績!$AI$6:$AI$505,"&lt;="&amp;$A214,実績!$AJ$6:$AJ$505,"&gt;"&amp;$A214,実績!$AL$6:$AL$505,"○")&gt;0,1,0))</f>
        <v>0</v>
      </c>
      <c r="BR214" s="39" t="n">
        <f aca="false">IF(BR$4=0,0,IF(COUNTIFS(実績!$W$6:$W$505,BR$3,実績!$AI$6:$AI$505,"&lt;="&amp;$A214,実績!$AJ$6:$AJ$505,"&gt;"&amp;$A214,実績!$AL$6:$AL$505,"○")&gt;0,1,0))</f>
        <v>0</v>
      </c>
      <c r="BS214" s="39" t="n">
        <f aca="false">IF(BS$4=0,0,IF(COUNTIFS(実績!$W$6:$W$505,BS$3,実績!$AI$6:$AI$505,"&lt;="&amp;$A214,実績!$AJ$6:$AJ$505,"&gt;"&amp;$A214,実績!$AL$6:$AL$505,"○")&gt;0,1,0))</f>
        <v>0</v>
      </c>
      <c r="BT214" s="39" t="n">
        <f aca="false">IF(BT$4=0,0,IF(COUNTIFS(実績!$W$6:$W$505,BT$3,実績!$AI$6:$AI$505,"&lt;="&amp;$A214,実績!$AJ$6:$AJ$505,"&gt;"&amp;$A214,実績!$AL$6:$AL$505,"○")&gt;0,1,0))</f>
        <v>0</v>
      </c>
      <c r="BU214" s="39" t="n">
        <f aca="false">IF(BU$4=0,0,IF(COUNTIFS(実績!$W$6:$W$505,BU$3,実績!$AI$6:$AI$505,"&lt;="&amp;$A214,実績!$AJ$6:$AJ$505,"&gt;"&amp;$A214,実績!$AL$6:$AL$505,"○")&gt;0,1,0))</f>
        <v>0</v>
      </c>
      <c r="BV214" s="39" t="n">
        <f aca="false">IF(BV$4=0,0,IF(COUNTIFS(実績!$W$6:$W$505,BV$3,実績!$AI$6:$AI$505,"&lt;="&amp;$A214,実績!$AJ$6:$AJ$505,"&gt;"&amp;$A214,実績!$AL$6:$AL$505,"○")&gt;0,1,0))</f>
        <v>0</v>
      </c>
      <c r="BW214" s="39" t="n">
        <f aca="false">IF(BW$4=0,0,IF(COUNTIFS(実績!$W$6:$W$505,BW$3,実績!$AI$6:$AI$505,"&lt;="&amp;$A214,実績!$AJ$6:$AJ$505,"&gt;"&amp;$A214,実績!$AL$6:$AL$505,"○")&gt;0,1,0))</f>
        <v>0</v>
      </c>
      <c r="BX214" s="39" t="n">
        <f aca="false">IF(BX$4=0,0,IF(COUNTIFS(実績!$W$6:$W$505,BX$3,実績!$AI$6:$AI$505,"&lt;="&amp;$A214,実績!$AJ$6:$AJ$505,"&gt;"&amp;$A214,実績!$AL$6:$AL$505,"○")&gt;0,1,0))</f>
        <v>0</v>
      </c>
      <c r="BY214" s="39" t="n">
        <f aca="false">IF(BY$4=0,0,IF(COUNTIFS(実績!$W$6:$W$505,BY$3,実績!$AI$6:$AI$505,"&lt;="&amp;$A214,実績!$AJ$6:$AJ$505,"&gt;"&amp;$A214,実績!$AL$6:$AL$505,"○")&gt;0,1,0))</f>
        <v>0</v>
      </c>
      <c r="BZ214" s="39" t="n">
        <f aca="false">IF(BZ$4=0,0,IF(COUNTIFS(実績!$W$6:$W$505,BZ$3,実績!$AI$6:$AI$505,"&lt;="&amp;$A214,実績!$AJ$6:$AJ$505,"&gt;"&amp;$A214,実績!$AL$6:$AL$505,"○")&gt;0,1,0))</f>
        <v>0</v>
      </c>
      <c r="CA214" s="39" t="n">
        <f aca="false">IF(CA$4=0,0,IF(COUNTIFS(実績!$W$6:$W$505,CA$3,実績!$AI$6:$AI$505,"&lt;="&amp;$A214,実績!$AJ$6:$AJ$505,"&gt;"&amp;$A214,実績!$AL$6:$AL$505,"○")&gt;0,1,0))</f>
        <v>0</v>
      </c>
      <c r="CB214" s="39" t="n">
        <f aca="false">IF(CB$4=0,0,IF(COUNTIFS(実績!$W$6:$W$505,CB$3,実績!$AI$6:$AI$505,"&lt;="&amp;$A214,実績!$AJ$6:$AJ$505,"&gt;"&amp;$A214,実績!$AL$6:$AL$505,"○")&gt;0,1,0))</f>
        <v>0</v>
      </c>
      <c r="CC214" s="39" t="n">
        <f aca="false">IF(CC$4=0,0,IF(COUNTIFS(実績!$W$6:$W$505,CC$3,実績!$AI$6:$AI$505,"&lt;="&amp;$A214,実績!$AJ$6:$AJ$505,"&gt;"&amp;$A214,実績!$AL$6:$AL$505,"○")&gt;0,1,0))</f>
        <v>0</v>
      </c>
      <c r="CD214" s="39" t="n">
        <f aca="false">IF(CD$4=0,0,IF(COUNTIFS(実績!$W$6:$W$505,CD$3,実績!$AI$6:$AI$505,"&lt;="&amp;$A214,実績!$AJ$6:$AJ$505,"&gt;"&amp;$A214,実績!$AL$6:$AL$505,"○")&gt;0,1,0))</f>
        <v>0</v>
      </c>
      <c r="CE214" s="39" t="n">
        <f aca="false">IF(CE$4=0,0,IF(COUNTIFS(実績!$W$6:$W$505,CE$3,実績!$AI$6:$AI$505,"&lt;="&amp;$A214,実績!$AJ$6:$AJ$505,"&gt;"&amp;$A214,実績!$AL$6:$AL$505,"○")&gt;0,1,0))</f>
        <v>0</v>
      </c>
      <c r="CF214" s="39" t="n">
        <f aca="false">IF(CF$4=0,0,IF(COUNTIFS(実績!$W$6:$W$505,CF$3,実績!$AI$6:$AI$505,"&lt;="&amp;$A214,実績!$AJ$6:$AJ$505,"&gt;"&amp;$A214,実績!$AL$6:$AL$505,"○")&gt;0,1,0))</f>
        <v>0</v>
      </c>
      <c r="CG214" s="39" t="n">
        <f aca="false">IF(CG$4=0,0,IF(COUNTIFS(実績!$W$6:$W$505,CG$3,実績!$AI$6:$AI$505,"&lt;="&amp;$A214,実績!$AJ$6:$AJ$505,"&gt;"&amp;$A214,実績!$AL$6:$AL$505,"○")&gt;0,1,0))</f>
        <v>0</v>
      </c>
      <c r="CH214" s="39" t="n">
        <f aca="false">IF(CH$4=0,0,IF(COUNTIFS(実績!$W$6:$W$505,CH$3,実績!$AI$6:$AI$505,"&lt;="&amp;$A214,実績!$AJ$6:$AJ$505,"&gt;"&amp;$A214,実績!$AL$6:$AL$505,"○")&gt;0,1,0))</f>
        <v>0</v>
      </c>
      <c r="CI214" s="39" t="n">
        <f aca="false">IF(CI$4=0,0,IF(COUNTIFS(実績!$W$6:$W$505,CI$3,実績!$AI$6:$AI$505,"&lt;="&amp;$A214,実績!$AJ$6:$AJ$505,"&gt;"&amp;$A214,実績!$AL$6:$AL$505,"○")&gt;0,1,0))</f>
        <v>0</v>
      </c>
      <c r="CJ214" s="39" t="n">
        <f aca="false">IF(CJ$4=0,0,IF(COUNTIFS(実績!$W$6:$W$505,CJ$3,実績!$AI$6:$AI$505,"&lt;="&amp;$A214,実績!$AJ$6:$AJ$505,"&gt;"&amp;$A214,実績!$AL$6:$AL$505,"○")&gt;0,1,0))</f>
        <v>0</v>
      </c>
      <c r="CK214" s="39" t="n">
        <f aca="false">IF(CK$4=0,0,IF(COUNTIFS(実績!$W$6:$W$505,CK$3,実績!$AI$6:$AI$505,"&lt;="&amp;$A214,実績!$AJ$6:$AJ$505,"&gt;"&amp;$A214,実績!$AL$6:$AL$505,"○")&gt;0,1,0))</f>
        <v>0</v>
      </c>
      <c r="CL214" s="39" t="n">
        <f aca="false">IF(CL$4=0,0,IF(COUNTIFS(実績!$W$6:$W$505,CL$3,実績!$AI$6:$AI$505,"&lt;="&amp;$A214,実績!$AJ$6:$AJ$505,"&gt;"&amp;$A214,実績!$AL$6:$AL$505,"○")&gt;0,1,0))</f>
        <v>0</v>
      </c>
      <c r="CM214" s="39" t="n">
        <f aca="false">IF(CM$4=0,0,IF(COUNTIFS(実績!$W$6:$W$505,CM$3,実績!$AI$6:$AI$505,"&lt;="&amp;$A214,実績!$AJ$6:$AJ$505,"&gt;"&amp;$A214,実績!$AL$6:$AL$505,"○")&gt;0,1,0))</f>
        <v>0</v>
      </c>
      <c r="CN214" s="39" t="n">
        <f aca="false">IF(CN$4=0,0,IF(COUNTIFS(実績!$W$6:$W$505,CN$3,実績!$AI$6:$AI$505,"&lt;="&amp;$A214,実績!$AJ$6:$AJ$505,"&gt;"&amp;$A214,実績!$AL$6:$AL$505,"○")&gt;0,1,0))</f>
        <v>0</v>
      </c>
      <c r="CO214" s="39" t="n">
        <f aca="false">IF(CO$4=0,0,IF(COUNTIFS(実績!$W$6:$W$505,CO$3,実績!$AI$6:$AI$505,"&lt;="&amp;$A214,実績!$AJ$6:$AJ$505,"&gt;"&amp;$A214,実績!$AL$6:$AL$505,"○")&gt;0,1,0))</f>
        <v>0</v>
      </c>
      <c r="CP214" s="39" t="n">
        <f aca="false">IF(CP$4=0,0,IF(COUNTIFS(実績!$W$6:$W$505,CP$3,実績!$AI$6:$AI$505,"&lt;="&amp;$A214,実績!$AJ$6:$AJ$505,"&gt;"&amp;$A214,実績!$AL$6:$AL$505,"○")&gt;0,1,0))</f>
        <v>0</v>
      </c>
      <c r="CQ214" s="39" t="n">
        <f aca="false">IF(CQ$4=0,0,IF(COUNTIFS(実績!$W$6:$W$505,CQ$3,実績!$AI$6:$AI$505,"&lt;="&amp;$A214,実績!$AJ$6:$AJ$505,"&gt;"&amp;$A214,実績!$AL$6:$AL$505,"○")&gt;0,1,0))</f>
        <v>0</v>
      </c>
      <c r="CR214" s="39" t="n">
        <f aca="false">IF(CR$4=0,0,IF(COUNTIFS(実績!$W$6:$W$505,CR$3,実績!$AI$6:$AI$505,"&lt;="&amp;$A214,実績!$AJ$6:$AJ$505,"&gt;"&amp;$A214,実績!$AL$6:$AL$505,"○")&gt;0,1,0))</f>
        <v>0</v>
      </c>
      <c r="CS214" s="39" t="n">
        <f aca="false">IF(CS$4=0,0,IF(COUNTIFS(実績!$W$6:$W$505,CS$3,実績!$AI$6:$AI$505,"&lt;="&amp;$A214,実績!$AJ$6:$AJ$505,"&gt;"&amp;$A214,実績!$AL$6:$AL$505,"○")&gt;0,1,0))</f>
        <v>0</v>
      </c>
      <c r="CT214" s="39" t="n">
        <f aca="false">IF(CT$4=0,0,IF(COUNTIFS(実績!$W$6:$W$505,CT$3,実績!$AI$6:$AI$505,"&lt;="&amp;$A214,実績!$AJ$6:$AJ$505,"&gt;"&amp;$A214,実績!$AL$6:$AL$505,"○")&gt;0,1,0))</f>
        <v>0</v>
      </c>
      <c r="CU214" s="39" t="n">
        <f aca="false">IF(CU$4=0,0,IF(COUNTIFS(実績!$W$6:$W$505,CU$3,実績!$AI$6:$AI$505,"&lt;="&amp;$A214,実績!$AJ$6:$AJ$505,"&gt;"&amp;$A214,実績!$AL$6:$AL$505,"○")&gt;0,1,0))</f>
        <v>0</v>
      </c>
      <c r="CV214" s="39" t="n">
        <f aca="false">IF(CV$4=0,0,IF(COUNTIFS(実績!$W$6:$W$505,CV$3,実績!$AI$6:$AI$505,"&lt;="&amp;$A214,実績!$AJ$6:$AJ$505,"&gt;"&amp;$A214,実績!$AL$6:$AL$505,"○")&gt;0,1,0))</f>
        <v>0</v>
      </c>
      <c r="CW214" s="39" t="n">
        <f aca="false">IF(CW$4=0,0,IF(COUNTIFS(実績!$W$6:$W$505,CW$3,実績!$AI$6:$AI$505,"&lt;="&amp;$A214,実績!$AJ$6:$AJ$505,"&gt;"&amp;$A214,実績!$AL$6:$AL$505,"○")&gt;0,1,0))</f>
        <v>0</v>
      </c>
      <c r="CX214" s="39" t="n">
        <f aca="false">IF(CX$4=0,0,IF(COUNTIFS(実績!$W$6:$W$505,CX$3,実績!$AI$6:$AI$505,"&lt;="&amp;$A214,実績!$AJ$6:$AJ$505,"&gt;"&amp;$A214,実績!$AL$6:$AL$505,"○")&gt;0,1,0))</f>
        <v>0</v>
      </c>
      <c r="CY214" s="39" t="n">
        <f aca="false">IF(CY$4=0,0,IF(COUNTIFS(実績!$W$6:$W$505,CY$3,実績!$AI$6:$AI$505,"&lt;="&amp;$A214,実績!$AJ$6:$AJ$505,"&gt;"&amp;$A214,実績!$AL$6:$AL$505,"○")&gt;0,1,0))</f>
        <v>0</v>
      </c>
      <c r="CZ214" s="39" t="n">
        <f aca="false">IF(CZ$4=0,0,IF(COUNTIFS(実績!$W$6:$W$505,CZ$3,実績!$AI$6:$AI$505,"&lt;="&amp;$A214,実績!$AJ$6:$AJ$505,"&gt;"&amp;$A214,実績!$AL$6:$AL$505,"○")&gt;0,1,0))</f>
        <v>0</v>
      </c>
      <c r="DA214" s="39" t="n">
        <f aca="false">IF(DA$4=0,0,IF(COUNTIFS(実績!$W$6:$W$505,DA$3,実績!$AI$6:$AI$505,"&lt;="&amp;$A214,実績!$AJ$6:$AJ$505,"&gt;"&amp;$A214,実績!$AL$6:$AL$505,"○")&gt;0,1,0))</f>
        <v>0</v>
      </c>
      <c r="DB214" s="39" t="n">
        <f aca="false">IF(DB$4=0,0,IF(COUNTIFS(実績!$W$6:$W$505,DB$3,実績!$AI$6:$AI$505,"&lt;="&amp;$A214,実績!$AJ$6:$AJ$505,"&gt;"&amp;$A214,実績!$AL$6:$AL$505,"○")&gt;0,1,0))</f>
        <v>0</v>
      </c>
      <c r="DC214" s="39" t="n">
        <f aca="false">IF(DC$4=0,0,IF(COUNTIFS(実績!$W$6:$W$505,DC$3,実績!$AI$6:$AI$505,"&lt;="&amp;$A214,実績!$AJ$6:$AJ$505,"&gt;"&amp;$A214,実績!$AL$6:$AL$505,"○")&gt;0,1,0))</f>
        <v>0</v>
      </c>
      <c r="DD214" s="39" t="n">
        <f aca="false">IF(DD$4=0,0,IF(COUNTIFS(実績!$W$6:$W$505,DD$3,実績!$AI$6:$AI$505,"&lt;="&amp;$A214,実績!$AJ$6:$AJ$505,"&gt;"&amp;$A214,実績!$AL$6:$AL$505,"○")&gt;0,1,0))</f>
        <v>0</v>
      </c>
      <c r="DE214" s="39" t="n">
        <f aca="false">IF(DE$4=0,0,IF(COUNTIFS(実績!$W$6:$W$505,DE$3,実績!$AI$6:$AI$505,"&lt;="&amp;$A214,実績!$AJ$6:$AJ$505,"&gt;"&amp;$A214,実績!$AL$6:$AL$505,"○")&gt;0,1,0))</f>
        <v>0</v>
      </c>
      <c r="DF214" s="39" t="n">
        <f aca="false">IF(DF$4=0,0,IF(COUNTIFS(実績!$W$6:$W$505,DF$3,実績!$AI$6:$AI$505,"&lt;="&amp;$A214,実績!$AJ$6:$AJ$505,"&gt;"&amp;$A214,実績!$AL$6:$AL$505,"○")&gt;0,1,0))</f>
        <v>0</v>
      </c>
      <c r="DG214" s="39" t="n">
        <f aca="false">IF(DG$4=0,0,IF(COUNTIFS(実績!$W$6:$W$505,DG$3,実績!$AI$6:$AI$505,"&lt;="&amp;$A214,実績!$AJ$6:$AJ$505,"&gt;"&amp;$A214,実績!$AL$6:$AL$505,"○")&gt;0,1,0))</f>
        <v>0</v>
      </c>
      <c r="DH214" s="39" t="n">
        <f aca="false">IF(DH$4=0,0,IF(COUNTIFS(実績!$W$6:$W$505,DH$3,実績!$AI$6:$AI$505,"&lt;="&amp;$A214,実績!$AJ$6:$AJ$505,"&gt;"&amp;$A214,実績!$AL$6:$AL$505,"○")&gt;0,1,0))</f>
        <v>0</v>
      </c>
      <c r="DI214" s="39" t="n">
        <f aca="false">IF(DI$4=0,0,IF(COUNTIFS(実績!$W$6:$W$505,DI$3,実績!$AI$6:$AI$505,"&lt;="&amp;$A214,実績!$AJ$6:$AJ$505,"&gt;"&amp;$A214,実績!$AL$6:$AL$505,"○")&gt;0,1,0))</f>
        <v>0</v>
      </c>
      <c r="DJ214" s="39" t="n">
        <f aca="false">IF(DJ$4=0,0,IF(COUNTIFS(実績!$W$6:$W$505,DJ$3,実績!$AI$6:$AI$505,"&lt;="&amp;$A214,実績!$AJ$6:$AJ$505,"&gt;"&amp;$A214,実績!$AL$6:$AL$505,"○")&gt;0,1,0))</f>
        <v>0</v>
      </c>
      <c r="DK214" s="39" t="n">
        <f aca="false">IF(DK$4=0,0,IF(COUNTIFS(実績!$W$6:$W$505,DK$3,実績!$AI$6:$AI$505,"&lt;="&amp;$A214,実績!$AJ$6:$AJ$505,"&gt;"&amp;$A214,実績!$AL$6:$AL$505,"○")&gt;0,1,0))</f>
        <v>0</v>
      </c>
      <c r="DL214" s="39" t="n">
        <f aca="false">IF(DL$4=0,0,IF(COUNTIFS(実績!$W$6:$W$505,DL$3,実績!$AI$6:$AI$505,"&lt;="&amp;$A214,実績!$AJ$6:$AJ$505,"&gt;"&amp;$A214,実績!$AL$6:$AL$505,"○")&gt;0,1,0))</f>
        <v>0</v>
      </c>
      <c r="DM214" s="39" t="n">
        <f aca="false">IF(DM$4=0,0,IF(COUNTIFS(実績!$W$6:$W$505,DM$3,実績!$AI$6:$AI$505,"&lt;="&amp;$A214,実績!$AJ$6:$AJ$505,"&gt;"&amp;$A214,実績!$AL$6:$AL$505,"○")&gt;0,1,0))</f>
        <v>0</v>
      </c>
      <c r="DN214" s="39" t="n">
        <f aca="false">IF(DN$4=0,0,IF(COUNTIFS(実績!$W$6:$W$505,DN$3,実績!$AI$6:$AI$505,"&lt;="&amp;$A214,実績!$AJ$6:$AJ$505,"&gt;"&amp;$A214,実績!$AL$6:$AL$505,"○")&gt;0,1,0))</f>
        <v>0</v>
      </c>
      <c r="DO214" s="39" t="n">
        <f aca="false">IF(DO$4=0,0,IF(COUNTIFS(実績!$W$6:$W$505,DO$3,実績!$AI$6:$AI$505,"&lt;="&amp;$A214,実績!$AJ$6:$AJ$505,"&gt;"&amp;$A214,実績!$AL$6:$AL$505,"○")&gt;0,1,0))</f>
        <v>0</v>
      </c>
      <c r="DP214" s="39" t="n">
        <f aca="false">IF(DP$4=0,0,IF(COUNTIFS(実績!$W$6:$W$505,DP$3,実績!$AI$6:$AI$505,"&lt;="&amp;$A214,実績!$AJ$6:$AJ$505,"&gt;"&amp;$A214,実績!$AL$6:$AL$505,"○")&gt;0,1,0))</f>
        <v>0</v>
      </c>
      <c r="DQ214" s="39" t="n">
        <f aca="false">IF(DQ$4=0,0,IF(COUNTIFS(実績!$W$6:$W$505,DQ$3,実績!$AI$6:$AI$505,"&lt;="&amp;$A214,実績!$AJ$6:$AJ$505,"&gt;"&amp;$A214,実績!$AL$6:$AL$505,"○")&gt;0,1,0))</f>
        <v>0</v>
      </c>
      <c r="DR214" s="39" t="n">
        <f aca="false">IF(DR$4=0,0,IF(COUNTIFS(実績!$W$6:$W$505,DR$3,実績!$AI$6:$AI$505,"&lt;="&amp;$A214,実績!$AJ$6:$AJ$505,"&gt;"&amp;$A214,実績!$AL$6:$AL$505,"○")&gt;0,1,0))</f>
        <v>0</v>
      </c>
      <c r="DS214" s="39" t="n">
        <f aca="false">SUM(C214:DR214)</f>
        <v>0</v>
      </c>
    </row>
    <row r="215" customFormat="false" ht="15" hidden="false" customHeight="false" outlineLevel="0" collapsed="false">
      <c r="A215" s="0" t="n">
        <v>1045</v>
      </c>
      <c r="B215" s="38" t="n">
        <f aca="false">A215/1440</f>
        <v>0.725694444444444</v>
      </c>
      <c r="C215" s="39" t="n">
        <f aca="false">IF(C$4=0,0,IF(COUNTIFS(実績!$W$6:$W$505,C$3,実績!$AI$6:$AI$505,"&lt;="&amp;$A215,実績!$AJ$6:$AJ$505,"&gt;"&amp;$A215,実績!$AL$6:$AL$505,"○")&gt;0,1,0))</f>
        <v>0</v>
      </c>
      <c r="D215" s="39" t="n">
        <f aca="false">IF(D$4=0,0,IF(COUNTIFS(実績!$W$6:$W$505,D$3,実績!$AI$6:$AI$505,"&lt;="&amp;$A215,実績!$AJ$6:$AJ$505,"&gt;"&amp;$A215,実績!$AL$6:$AL$505,"○")&gt;0,1,0))</f>
        <v>0</v>
      </c>
      <c r="E215" s="39" t="n">
        <f aca="false">IF(E$4=0,0,IF(COUNTIFS(実績!$W$6:$W$505,E$3,実績!$AI$6:$AI$505,"&lt;="&amp;$A215,実績!$AJ$6:$AJ$505,"&gt;"&amp;$A215,実績!$AL$6:$AL$505,"○")&gt;0,1,0))</f>
        <v>0</v>
      </c>
      <c r="F215" s="39" t="n">
        <f aca="false">IF(F$4=0,0,IF(COUNTIFS(実績!$W$6:$W$505,F$3,実績!$AI$6:$AI$505,"&lt;="&amp;$A215,実績!$AJ$6:$AJ$505,"&gt;"&amp;$A215,実績!$AL$6:$AL$505,"○")&gt;0,1,0))</f>
        <v>0</v>
      </c>
      <c r="G215" s="39" t="n">
        <f aca="false">IF(G$4=0,0,IF(COUNTIFS(実績!$W$6:$W$505,G$3,実績!$AI$6:$AI$505,"&lt;="&amp;$A215,実績!$AJ$6:$AJ$505,"&gt;"&amp;$A215,実績!$AL$6:$AL$505,"○")&gt;0,1,0))</f>
        <v>0</v>
      </c>
      <c r="H215" s="39" t="n">
        <f aca="false">IF(H$4=0,0,IF(COUNTIFS(実績!$W$6:$W$505,H$3,実績!$AI$6:$AI$505,"&lt;="&amp;$A215,実績!$AJ$6:$AJ$505,"&gt;"&amp;$A215,実績!$AL$6:$AL$505,"○")&gt;0,1,0))</f>
        <v>0</v>
      </c>
      <c r="I215" s="39" t="n">
        <f aca="false">IF(I$4=0,0,IF(COUNTIFS(実績!$W$6:$W$505,I$3,実績!$AI$6:$AI$505,"&lt;="&amp;$A215,実績!$AJ$6:$AJ$505,"&gt;"&amp;$A215,実績!$AL$6:$AL$505,"○")&gt;0,1,0))</f>
        <v>0</v>
      </c>
      <c r="J215" s="39" t="n">
        <f aca="false">IF(J$4=0,0,IF(COUNTIFS(実績!$W$6:$W$505,J$3,実績!$AI$6:$AI$505,"&lt;="&amp;$A215,実績!$AJ$6:$AJ$505,"&gt;"&amp;$A215,実績!$AL$6:$AL$505,"○")&gt;0,1,0))</f>
        <v>0</v>
      </c>
      <c r="K215" s="39" t="n">
        <f aca="false">IF(K$4=0,0,IF(COUNTIFS(実績!$W$6:$W$505,K$3,実績!$AI$6:$AI$505,"&lt;="&amp;$A215,実績!$AJ$6:$AJ$505,"&gt;"&amp;$A215,実績!$AL$6:$AL$505,"○")&gt;0,1,0))</f>
        <v>0</v>
      </c>
      <c r="L215" s="39" t="n">
        <f aca="false">IF(L$4=0,0,IF(COUNTIFS(実績!$W$6:$W$505,L$3,実績!$AI$6:$AI$505,"&lt;="&amp;$A215,実績!$AJ$6:$AJ$505,"&gt;"&amp;$A215,実績!$AL$6:$AL$505,"○")&gt;0,1,0))</f>
        <v>0</v>
      </c>
      <c r="M215" s="39" t="n">
        <f aca="false">IF(M$4=0,0,IF(COUNTIFS(実績!$W$6:$W$505,M$3,実績!$AI$6:$AI$505,"&lt;="&amp;$A215,実績!$AJ$6:$AJ$505,"&gt;"&amp;$A215,実績!$AL$6:$AL$505,"○")&gt;0,1,0))</f>
        <v>0</v>
      </c>
      <c r="N215" s="39" t="n">
        <f aca="false">IF(N$4=0,0,IF(COUNTIFS(実績!$W$6:$W$505,N$3,実績!$AI$6:$AI$505,"&lt;="&amp;$A215,実績!$AJ$6:$AJ$505,"&gt;"&amp;$A215,実績!$AL$6:$AL$505,"○")&gt;0,1,0))</f>
        <v>0</v>
      </c>
      <c r="O215" s="39" t="n">
        <f aca="false">IF(O$4=0,0,IF(COUNTIFS(実績!$W$6:$W$505,O$3,実績!$AI$6:$AI$505,"&lt;="&amp;$A215,実績!$AJ$6:$AJ$505,"&gt;"&amp;$A215,実績!$AL$6:$AL$505,"○")&gt;0,1,0))</f>
        <v>0</v>
      </c>
      <c r="P215" s="39" t="n">
        <f aca="false">IF(P$4=0,0,IF(COUNTIFS(実績!$W$6:$W$505,P$3,実績!$AI$6:$AI$505,"&lt;="&amp;$A215,実績!$AJ$6:$AJ$505,"&gt;"&amp;$A215,実績!$AL$6:$AL$505,"○")&gt;0,1,0))</f>
        <v>0</v>
      </c>
      <c r="Q215" s="39" t="n">
        <f aca="false">IF(Q$4=0,0,IF(COUNTIFS(実績!$W$6:$W$505,Q$3,実績!$AI$6:$AI$505,"&lt;="&amp;$A215,実績!$AJ$6:$AJ$505,"&gt;"&amp;$A215,実績!$AL$6:$AL$505,"○")&gt;0,1,0))</f>
        <v>0</v>
      </c>
      <c r="R215" s="39" t="n">
        <f aca="false">IF(R$4=0,0,IF(COUNTIFS(実績!$W$6:$W$505,R$3,実績!$AI$6:$AI$505,"&lt;="&amp;$A215,実績!$AJ$6:$AJ$505,"&gt;"&amp;$A215,実績!$AL$6:$AL$505,"○")&gt;0,1,0))</f>
        <v>0</v>
      </c>
      <c r="S215" s="39" t="n">
        <f aca="false">IF(S$4=0,0,IF(COUNTIFS(実績!$W$6:$W$505,S$3,実績!$AI$6:$AI$505,"&lt;="&amp;$A215,実績!$AJ$6:$AJ$505,"&gt;"&amp;$A215,実績!$AL$6:$AL$505,"○")&gt;0,1,0))</f>
        <v>0</v>
      </c>
      <c r="T215" s="39" t="n">
        <f aca="false">IF(T$4=0,0,IF(COUNTIFS(実績!$W$6:$W$505,T$3,実績!$AI$6:$AI$505,"&lt;="&amp;$A215,実績!$AJ$6:$AJ$505,"&gt;"&amp;$A215,実績!$AL$6:$AL$505,"○")&gt;0,1,0))</f>
        <v>0</v>
      </c>
      <c r="U215" s="39" t="n">
        <f aca="false">IF(U$4=0,0,IF(COUNTIFS(実績!$W$6:$W$505,U$3,実績!$AI$6:$AI$505,"&lt;="&amp;$A215,実績!$AJ$6:$AJ$505,"&gt;"&amp;$A215,実績!$AL$6:$AL$505,"○")&gt;0,1,0))</f>
        <v>0</v>
      </c>
      <c r="V215" s="39" t="n">
        <f aca="false">IF(V$4=0,0,IF(COUNTIFS(実績!$W$6:$W$505,V$3,実績!$AI$6:$AI$505,"&lt;="&amp;$A215,実績!$AJ$6:$AJ$505,"&gt;"&amp;$A215,実績!$AL$6:$AL$505,"○")&gt;0,1,0))</f>
        <v>0</v>
      </c>
      <c r="W215" s="39" t="n">
        <f aca="false">IF(W$4=0,0,IF(COUNTIFS(実績!$W$6:$W$505,W$3,実績!$AI$6:$AI$505,"&lt;="&amp;$A215,実績!$AJ$6:$AJ$505,"&gt;"&amp;$A215,実績!$AL$6:$AL$505,"○")&gt;0,1,0))</f>
        <v>0</v>
      </c>
      <c r="X215" s="39" t="n">
        <f aca="false">IF(X$4=0,0,IF(COUNTIFS(実績!$W$6:$W$505,X$3,実績!$AI$6:$AI$505,"&lt;="&amp;$A215,実績!$AJ$6:$AJ$505,"&gt;"&amp;$A215,実績!$AL$6:$AL$505,"○")&gt;0,1,0))</f>
        <v>0</v>
      </c>
      <c r="Y215" s="39" t="n">
        <f aca="false">IF(Y$4=0,0,IF(COUNTIFS(実績!$W$6:$W$505,Y$3,実績!$AI$6:$AI$505,"&lt;="&amp;$A215,実績!$AJ$6:$AJ$505,"&gt;"&amp;$A215,実績!$AL$6:$AL$505,"○")&gt;0,1,0))</f>
        <v>0</v>
      </c>
      <c r="Z215" s="39" t="n">
        <f aca="false">IF(Z$4=0,0,IF(COUNTIFS(実績!$W$6:$W$505,Z$3,実績!$AI$6:$AI$505,"&lt;="&amp;$A215,実績!$AJ$6:$AJ$505,"&gt;"&amp;$A215,実績!$AL$6:$AL$505,"○")&gt;0,1,0))</f>
        <v>0</v>
      </c>
      <c r="AA215" s="39" t="n">
        <f aca="false">IF(AA$4=0,0,IF(COUNTIFS(実績!$W$6:$W$505,AA$3,実績!$AI$6:$AI$505,"&lt;="&amp;$A215,実績!$AJ$6:$AJ$505,"&gt;"&amp;$A215,実績!$AL$6:$AL$505,"○")&gt;0,1,0))</f>
        <v>0</v>
      </c>
      <c r="AB215" s="39" t="n">
        <f aca="false">IF(AB$4=0,0,IF(COUNTIFS(実績!$W$6:$W$505,AB$3,実績!$AI$6:$AI$505,"&lt;="&amp;$A215,実績!$AJ$6:$AJ$505,"&gt;"&amp;$A215,実績!$AL$6:$AL$505,"○")&gt;0,1,0))</f>
        <v>0</v>
      </c>
      <c r="AC215" s="39" t="n">
        <f aca="false">IF(AC$4=0,0,IF(COUNTIFS(実績!$W$6:$W$505,AC$3,実績!$AI$6:$AI$505,"&lt;="&amp;$A215,実績!$AJ$6:$AJ$505,"&gt;"&amp;$A215,実績!$AL$6:$AL$505,"○")&gt;0,1,0))</f>
        <v>0</v>
      </c>
      <c r="AD215" s="39" t="n">
        <f aca="false">IF(AD$4=0,0,IF(COUNTIFS(実績!$W$6:$W$505,AD$3,実績!$AI$6:$AI$505,"&lt;="&amp;$A215,実績!$AJ$6:$AJ$505,"&gt;"&amp;$A215,実績!$AL$6:$AL$505,"○")&gt;0,1,0))</f>
        <v>0</v>
      </c>
      <c r="AE215" s="39" t="n">
        <f aca="false">IF(AE$4=0,0,IF(COUNTIFS(実績!$W$6:$W$505,AE$3,実績!$AI$6:$AI$505,"&lt;="&amp;$A215,実績!$AJ$6:$AJ$505,"&gt;"&amp;$A215,実績!$AL$6:$AL$505,"○")&gt;0,1,0))</f>
        <v>0</v>
      </c>
      <c r="AF215" s="39" t="n">
        <f aca="false">IF(AF$4=0,0,IF(COUNTIFS(実績!$W$6:$W$505,AF$3,実績!$AI$6:$AI$505,"&lt;="&amp;$A215,実績!$AJ$6:$AJ$505,"&gt;"&amp;$A215,実績!$AL$6:$AL$505,"○")&gt;0,1,0))</f>
        <v>0</v>
      </c>
      <c r="AG215" s="39" t="n">
        <f aca="false">IF(AG$4=0,0,IF(COUNTIFS(実績!$W$6:$W$505,AG$3,実績!$AI$6:$AI$505,"&lt;="&amp;$A215,実績!$AJ$6:$AJ$505,"&gt;"&amp;$A215,実績!$AL$6:$AL$505,"○")&gt;0,1,0))</f>
        <v>0</v>
      </c>
      <c r="AH215" s="39" t="n">
        <f aca="false">IF(AH$4=0,0,IF(COUNTIFS(実績!$W$6:$W$505,AH$3,実績!$AI$6:$AI$505,"&lt;="&amp;$A215,実績!$AJ$6:$AJ$505,"&gt;"&amp;$A215,実績!$AL$6:$AL$505,"○")&gt;0,1,0))</f>
        <v>0</v>
      </c>
      <c r="AI215" s="39" t="n">
        <f aca="false">IF(AI$4=0,0,IF(COUNTIFS(実績!$W$6:$W$505,AI$3,実績!$AI$6:$AI$505,"&lt;="&amp;$A215,実績!$AJ$6:$AJ$505,"&gt;"&amp;$A215,実績!$AL$6:$AL$505,"○")&gt;0,1,0))</f>
        <v>0</v>
      </c>
      <c r="AJ215" s="39" t="n">
        <f aca="false">IF(AJ$4=0,0,IF(COUNTIFS(実績!$W$6:$W$505,AJ$3,実績!$AI$6:$AI$505,"&lt;="&amp;$A215,実績!$AJ$6:$AJ$505,"&gt;"&amp;$A215,実績!$AL$6:$AL$505,"○")&gt;0,1,0))</f>
        <v>0</v>
      </c>
      <c r="AK215" s="39" t="n">
        <f aca="false">IF(AK$4=0,0,IF(COUNTIFS(実績!$W$6:$W$505,AK$3,実績!$AI$6:$AI$505,"&lt;="&amp;$A215,実績!$AJ$6:$AJ$505,"&gt;"&amp;$A215,実績!$AL$6:$AL$505,"○")&gt;0,1,0))</f>
        <v>0</v>
      </c>
      <c r="AL215" s="39" t="n">
        <f aca="false">IF(AL$4=0,0,IF(COUNTIFS(実績!$W$6:$W$505,AL$3,実績!$AI$6:$AI$505,"&lt;="&amp;$A215,実績!$AJ$6:$AJ$505,"&gt;"&amp;$A215,実績!$AL$6:$AL$505,"○")&gt;0,1,0))</f>
        <v>0</v>
      </c>
      <c r="AM215" s="39" t="n">
        <f aca="false">IF(AM$4=0,0,IF(COUNTIFS(実績!$W$6:$W$505,AM$3,実績!$AI$6:$AI$505,"&lt;="&amp;$A215,実績!$AJ$6:$AJ$505,"&gt;"&amp;$A215,実績!$AL$6:$AL$505,"○")&gt;0,1,0))</f>
        <v>0</v>
      </c>
      <c r="AN215" s="39" t="n">
        <f aca="false">IF(AN$4=0,0,IF(COUNTIFS(実績!$W$6:$W$505,AN$3,実績!$AI$6:$AI$505,"&lt;="&amp;$A215,実績!$AJ$6:$AJ$505,"&gt;"&amp;$A215,実績!$AL$6:$AL$505,"○")&gt;0,1,0))</f>
        <v>0</v>
      </c>
      <c r="AO215" s="39" t="n">
        <f aca="false">IF(AO$4=0,0,IF(COUNTIFS(実績!$W$6:$W$505,AO$3,実績!$AI$6:$AI$505,"&lt;="&amp;$A215,実績!$AJ$6:$AJ$505,"&gt;"&amp;$A215,実績!$AL$6:$AL$505,"○")&gt;0,1,0))</f>
        <v>0</v>
      </c>
      <c r="AP215" s="39" t="n">
        <f aca="false">IF(AP$4=0,0,IF(COUNTIFS(実績!$W$6:$W$505,AP$3,実績!$AI$6:$AI$505,"&lt;="&amp;$A215,実績!$AJ$6:$AJ$505,"&gt;"&amp;$A215,実績!$AL$6:$AL$505,"○")&gt;0,1,0))</f>
        <v>0</v>
      </c>
      <c r="AQ215" s="39" t="n">
        <f aca="false">IF(AQ$4=0,0,IF(COUNTIFS(実績!$W$6:$W$505,AQ$3,実績!$AI$6:$AI$505,"&lt;="&amp;$A215,実績!$AJ$6:$AJ$505,"&gt;"&amp;$A215,実績!$AL$6:$AL$505,"○")&gt;0,1,0))</f>
        <v>0</v>
      </c>
      <c r="AR215" s="39" t="n">
        <f aca="false">IF(AR$4=0,0,IF(COUNTIFS(実績!$W$6:$W$505,AR$3,実績!$AI$6:$AI$505,"&lt;="&amp;$A215,実績!$AJ$6:$AJ$505,"&gt;"&amp;$A215,実績!$AL$6:$AL$505,"○")&gt;0,1,0))</f>
        <v>0</v>
      </c>
      <c r="AS215" s="39" t="n">
        <f aca="false">IF(AS$4=0,0,IF(COUNTIFS(実績!$W$6:$W$505,AS$3,実績!$AI$6:$AI$505,"&lt;="&amp;$A215,実績!$AJ$6:$AJ$505,"&gt;"&amp;$A215,実績!$AL$6:$AL$505,"○")&gt;0,1,0))</f>
        <v>0</v>
      </c>
      <c r="AT215" s="39" t="n">
        <f aca="false">IF(AT$4=0,0,IF(COUNTIFS(実績!$W$6:$W$505,AT$3,実績!$AI$6:$AI$505,"&lt;="&amp;$A215,実績!$AJ$6:$AJ$505,"&gt;"&amp;$A215,実績!$AL$6:$AL$505,"○")&gt;0,1,0))</f>
        <v>0</v>
      </c>
      <c r="AU215" s="39" t="n">
        <f aca="false">IF(AU$4=0,0,IF(COUNTIFS(実績!$W$6:$W$505,AU$3,実績!$AI$6:$AI$505,"&lt;="&amp;$A215,実績!$AJ$6:$AJ$505,"&gt;"&amp;$A215,実績!$AL$6:$AL$505,"○")&gt;0,1,0))</f>
        <v>0</v>
      </c>
      <c r="AV215" s="39" t="n">
        <f aca="false">IF(AV$4=0,0,IF(COUNTIFS(実績!$W$6:$W$505,AV$3,実績!$AI$6:$AI$505,"&lt;="&amp;$A215,実績!$AJ$6:$AJ$505,"&gt;"&amp;$A215,実績!$AL$6:$AL$505,"○")&gt;0,1,0))</f>
        <v>0</v>
      </c>
      <c r="AW215" s="39" t="n">
        <f aca="false">IF(AW$4=0,0,IF(COUNTIFS(実績!$W$6:$W$505,AW$3,実績!$AI$6:$AI$505,"&lt;="&amp;$A215,実績!$AJ$6:$AJ$505,"&gt;"&amp;$A215,実績!$AL$6:$AL$505,"○")&gt;0,1,0))</f>
        <v>0</v>
      </c>
      <c r="AX215" s="39" t="n">
        <f aca="false">IF(AX$4=0,0,IF(COUNTIFS(実績!$W$6:$W$505,AX$3,実績!$AI$6:$AI$505,"&lt;="&amp;$A215,実績!$AJ$6:$AJ$505,"&gt;"&amp;$A215,実績!$AL$6:$AL$505,"○")&gt;0,1,0))</f>
        <v>0</v>
      </c>
      <c r="AY215" s="39" t="n">
        <f aca="false">IF(AY$4=0,0,IF(COUNTIFS(実績!$W$6:$W$505,AY$3,実績!$AI$6:$AI$505,"&lt;="&amp;$A215,実績!$AJ$6:$AJ$505,"&gt;"&amp;$A215,実績!$AL$6:$AL$505,"○")&gt;0,1,0))</f>
        <v>0</v>
      </c>
      <c r="AZ215" s="39" t="n">
        <f aca="false">IF(AZ$4=0,0,IF(COUNTIFS(実績!$W$6:$W$505,AZ$3,実績!$AI$6:$AI$505,"&lt;="&amp;$A215,実績!$AJ$6:$AJ$505,"&gt;"&amp;$A215,実績!$AL$6:$AL$505,"○")&gt;0,1,0))</f>
        <v>0</v>
      </c>
      <c r="BA215" s="39" t="n">
        <f aca="false">IF(BA$4=0,0,IF(COUNTIFS(実績!$W$6:$W$505,BA$3,実績!$AI$6:$AI$505,"&lt;="&amp;$A215,実績!$AJ$6:$AJ$505,"&gt;"&amp;$A215,実績!$AL$6:$AL$505,"○")&gt;0,1,0))</f>
        <v>0</v>
      </c>
      <c r="BB215" s="39" t="n">
        <f aca="false">IF(BB$4=0,0,IF(COUNTIFS(実績!$W$6:$W$505,BB$3,実績!$AI$6:$AI$505,"&lt;="&amp;$A215,実績!$AJ$6:$AJ$505,"&gt;"&amp;$A215,実績!$AL$6:$AL$505,"○")&gt;0,1,0))</f>
        <v>0</v>
      </c>
      <c r="BC215" s="39" t="n">
        <f aca="false">IF(BC$4=0,0,IF(COUNTIFS(実績!$W$6:$W$505,BC$3,実績!$AI$6:$AI$505,"&lt;="&amp;$A215,実績!$AJ$6:$AJ$505,"&gt;"&amp;$A215,実績!$AL$6:$AL$505,"○")&gt;0,1,0))</f>
        <v>0</v>
      </c>
      <c r="BD215" s="39" t="n">
        <f aca="false">IF(BD$4=0,0,IF(COUNTIFS(実績!$W$6:$W$505,BD$3,実績!$AI$6:$AI$505,"&lt;="&amp;$A215,実績!$AJ$6:$AJ$505,"&gt;"&amp;$A215,実績!$AL$6:$AL$505,"○")&gt;0,1,0))</f>
        <v>0</v>
      </c>
      <c r="BE215" s="39" t="n">
        <f aca="false">IF(BE$4=0,0,IF(COUNTIFS(実績!$W$6:$W$505,BE$3,実績!$AI$6:$AI$505,"&lt;="&amp;$A215,実績!$AJ$6:$AJ$505,"&gt;"&amp;$A215,実績!$AL$6:$AL$505,"○")&gt;0,1,0))</f>
        <v>0</v>
      </c>
      <c r="BF215" s="39" t="n">
        <f aca="false">IF(BF$4=0,0,IF(COUNTIFS(実績!$W$6:$W$505,BF$3,実績!$AI$6:$AI$505,"&lt;="&amp;$A215,実績!$AJ$6:$AJ$505,"&gt;"&amp;$A215,実績!$AL$6:$AL$505,"○")&gt;0,1,0))</f>
        <v>0</v>
      </c>
      <c r="BG215" s="39" t="n">
        <f aca="false">IF(BG$4=0,0,IF(COUNTIFS(実績!$W$6:$W$505,BG$3,実績!$AI$6:$AI$505,"&lt;="&amp;$A215,実績!$AJ$6:$AJ$505,"&gt;"&amp;$A215,実績!$AL$6:$AL$505,"○")&gt;0,1,0))</f>
        <v>0</v>
      </c>
      <c r="BH215" s="39" t="n">
        <f aca="false">IF(BH$4=0,0,IF(COUNTIFS(実績!$W$6:$W$505,BH$3,実績!$AI$6:$AI$505,"&lt;="&amp;$A215,実績!$AJ$6:$AJ$505,"&gt;"&amp;$A215,実績!$AL$6:$AL$505,"○")&gt;0,1,0))</f>
        <v>0</v>
      </c>
      <c r="BI215" s="39" t="n">
        <f aca="false">IF(BI$4=0,0,IF(COUNTIFS(実績!$W$6:$W$505,BI$3,実績!$AI$6:$AI$505,"&lt;="&amp;$A215,実績!$AJ$6:$AJ$505,"&gt;"&amp;$A215,実績!$AL$6:$AL$505,"○")&gt;0,1,0))</f>
        <v>0</v>
      </c>
      <c r="BJ215" s="39" t="n">
        <f aca="false">IF(BJ$4=0,0,IF(COUNTIFS(実績!$W$6:$W$505,BJ$3,実績!$AI$6:$AI$505,"&lt;="&amp;$A215,実績!$AJ$6:$AJ$505,"&gt;"&amp;$A215,実績!$AL$6:$AL$505,"○")&gt;0,1,0))</f>
        <v>0</v>
      </c>
      <c r="BK215" s="39" t="n">
        <f aca="false">IF(BK$4=0,0,IF(COUNTIFS(実績!$W$6:$W$505,BK$3,実績!$AI$6:$AI$505,"&lt;="&amp;$A215,実績!$AJ$6:$AJ$505,"&gt;"&amp;$A215,実績!$AL$6:$AL$505,"○")&gt;0,1,0))</f>
        <v>0</v>
      </c>
      <c r="BL215" s="39" t="n">
        <f aca="false">IF(BL$4=0,0,IF(COUNTIFS(実績!$W$6:$W$505,BL$3,実績!$AI$6:$AI$505,"&lt;="&amp;$A215,実績!$AJ$6:$AJ$505,"&gt;"&amp;$A215,実績!$AL$6:$AL$505,"○")&gt;0,1,0))</f>
        <v>0</v>
      </c>
      <c r="BM215" s="39" t="n">
        <f aca="false">IF(BM$4=0,0,IF(COUNTIFS(実績!$W$6:$W$505,BM$3,実績!$AI$6:$AI$505,"&lt;="&amp;$A215,実績!$AJ$6:$AJ$505,"&gt;"&amp;$A215,実績!$AL$6:$AL$505,"○")&gt;0,1,0))</f>
        <v>0</v>
      </c>
      <c r="BN215" s="39" t="n">
        <f aca="false">IF(BN$4=0,0,IF(COUNTIFS(実績!$W$6:$W$505,BN$3,実績!$AI$6:$AI$505,"&lt;="&amp;$A215,実績!$AJ$6:$AJ$505,"&gt;"&amp;$A215,実績!$AL$6:$AL$505,"○")&gt;0,1,0))</f>
        <v>0</v>
      </c>
      <c r="BO215" s="39" t="n">
        <f aca="false">IF(BO$4=0,0,IF(COUNTIFS(実績!$W$6:$W$505,BO$3,実績!$AI$6:$AI$505,"&lt;="&amp;$A215,実績!$AJ$6:$AJ$505,"&gt;"&amp;$A215,実績!$AL$6:$AL$505,"○")&gt;0,1,0))</f>
        <v>0</v>
      </c>
      <c r="BP215" s="39" t="n">
        <f aca="false">IF(BP$4=0,0,IF(COUNTIFS(実績!$W$6:$W$505,BP$3,実績!$AI$6:$AI$505,"&lt;="&amp;$A215,実績!$AJ$6:$AJ$505,"&gt;"&amp;$A215,実績!$AL$6:$AL$505,"○")&gt;0,1,0))</f>
        <v>0</v>
      </c>
      <c r="BQ215" s="39" t="n">
        <f aca="false">IF(BQ$4=0,0,IF(COUNTIFS(実績!$W$6:$W$505,BQ$3,実績!$AI$6:$AI$505,"&lt;="&amp;$A215,実績!$AJ$6:$AJ$505,"&gt;"&amp;$A215,実績!$AL$6:$AL$505,"○")&gt;0,1,0))</f>
        <v>0</v>
      </c>
      <c r="BR215" s="39" t="n">
        <f aca="false">IF(BR$4=0,0,IF(COUNTIFS(実績!$W$6:$W$505,BR$3,実績!$AI$6:$AI$505,"&lt;="&amp;$A215,実績!$AJ$6:$AJ$505,"&gt;"&amp;$A215,実績!$AL$6:$AL$505,"○")&gt;0,1,0))</f>
        <v>0</v>
      </c>
      <c r="BS215" s="39" t="n">
        <f aca="false">IF(BS$4=0,0,IF(COUNTIFS(実績!$W$6:$W$505,BS$3,実績!$AI$6:$AI$505,"&lt;="&amp;$A215,実績!$AJ$6:$AJ$505,"&gt;"&amp;$A215,実績!$AL$6:$AL$505,"○")&gt;0,1,0))</f>
        <v>0</v>
      </c>
      <c r="BT215" s="39" t="n">
        <f aca="false">IF(BT$4=0,0,IF(COUNTIFS(実績!$W$6:$W$505,BT$3,実績!$AI$6:$AI$505,"&lt;="&amp;$A215,実績!$AJ$6:$AJ$505,"&gt;"&amp;$A215,実績!$AL$6:$AL$505,"○")&gt;0,1,0))</f>
        <v>0</v>
      </c>
      <c r="BU215" s="39" t="n">
        <f aca="false">IF(BU$4=0,0,IF(COUNTIFS(実績!$W$6:$W$505,BU$3,実績!$AI$6:$AI$505,"&lt;="&amp;$A215,実績!$AJ$6:$AJ$505,"&gt;"&amp;$A215,実績!$AL$6:$AL$505,"○")&gt;0,1,0))</f>
        <v>0</v>
      </c>
      <c r="BV215" s="39" t="n">
        <f aca="false">IF(BV$4=0,0,IF(COUNTIFS(実績!$W$6:$W$505,BV$3,実績!$AI$6:$AI$505,"&lt;="&amp;$A215,実績!$AJ$6:$AJ$505,"&gt;"&amp;$A215,実績!$AL$6:$AL$505,"○")&gt;0,1,0))</f>
        <v>0</v>
      </c>
      <c r="BW215" s="39" t="n">
        <f aca="false">IF(BW$4=0,0,IF(COUNTIFS(実績!$W$6:$W$505,BW$3,実績!$AI$6:$AI$505,"&lt;="&amp;$A215,実績!$AJ$6:$AJ$505,"&gt;"&amp;$A215,実績!$AL$6:$AL$505,"○")&gt;0,1,0))</f>
        <v>0</v>
      </c>
      <c r="BX215" s="39" t="n">
        <f aca="false">IF(BX$4=0,0,IF(COUNTIFS(実績!$W$6:$W$505,BX$3,実績!$AI$6:$AI$505,"&lt;="&amp;$A215,実績!$AJ$6:$AJ$505,"&gt;"&amp;$A215,実績!$AL$6:$AL$505,"○")&gt;0,1,0))</f>
        <v>0</v>
      </c>
      <c r="BY215" s="39" t="n">
        <f aca="false">IF(BY$4=0,0,IF(COUNTIFS(実績!$W$6:$W$505,BY$3,実績!$AI$6:$AI$505,"&lt;="&amp;$A215,実績!$AJ$6:$AJ$505,"&gt;"&amp;$A215,実績!$AL$6:$AL$505,"○")&gt;0,1,0))</f>
        <v>0</v>
      </c>
      <c r="BZ215" s="39" t="n">
        <f aca="false">IF(BZ$4=0,0,IF(COUNTIFS(実績!$W$6:$W$505,BZ$3,実績!$AI$6:$AI$505,"&lt;="&amp;$A215,実績!$AJ$6:$AJ$505,"&gt;"&amp;$A215,実績!$AL$6:$AL$505,"○")&gt;0,1,0))</f>
        <v>0</v>
      </c>
      <c r="CA215" s="39" t="n">
        <f aca="false">IF(CA$4=0,0,IF(COUNTIFS(実績!$W$6:$W$505,CA$3,実績!$AI$6:$AI$505,"&lt;="&amp;$A215,実績!$AJ$6:$AJ$505,"&gt;"&amp;$A215,実績!$AL$6:$AL$505,"○")&gt;0,1,0))</f>
        <v>0</v>
      </c>
      <c r="CB215" s="39" t="n">
        <f aca="false">IF(CB$4=0,0,IF(COUNTIFS(実績!$W$6:$W$505,CB$3,実績!$AI$6:$AI$505,"&lt;="&amp;$A215,実績!$AJ$6:$AJ$505,"&gt;"&amp;$A215,実績!$AL$6:$AL$505,"○")&gt;0,1,0))</f>
        <v>0</v>
      </c>
      <c r="CC215" s="39" t="n">
        <f aca="false">IF(CC$4=0,0,IF(COUNTIFS(実績!$W$6:$W$505,CC$3,実績!$AI$6:$AI$505,"&lt;="&amp;$A215,実績!$AJ$6:$AJ$505,"&gt;"&amp;$A215,実績!$AL$6:$AL$505,"○")&gt;0,1,0))</f>
        <v>0</v>
      </c>
      <c r="CD215" s="39" t="n">
        <f aca="false">IF(CD$4=0,0,IF(COUNTIFS(実績!$W$6:$W$505,CD$3,実績!$AI$6:$AI$505,"&lt;="&amp;$A215,実績!$AJ$6:$AJ$505,"&gt;"&amp;$A215,実績!$AL$6:$AL$505,"○")&gt;0,1,0))</f>
        <v>0</v>
      </c>
      <c r="CE215" s="39" t="n">
        <f aca="false">IF(CE$4=0,0,IF(COUNTIFS(実績!$W$6:$W$505,CE$3,実績!$AI$6:$AI$505,"&lt;="&amp;$A215,実績!$AJ$6:$AJ$505,"&gt;"&amp;$A215,実績!$AL$6:$AL$505,"○")&gt;0,1,0))</f>
        <v>0</v>
      </c>
      <c r="CF215" s="39" t="n">
        <f aca="false">IF(CF$4=0,0,IF(COUNTIFS(実績!$W$6:$W$505,CF$3,実績!$AI$6:$AI$505,"&lt;="&amp;$A215,実績!$AJ$6:$AJ$505,"&gt;"&amp;$A215,実績!$AL$6:$AL$505,"○")&gt;0,1,0))</f>
        <v>0</v>
      </c>
      <c r="CG215" s="39" t="n">
        <f aca="false">IF(CG$4=0,0,IF(COUNTIFS(実績!$W$6:$W$505,CG$3,実績!$AI$6:$AI$505,"&lt;="&amp;$A215,実績!$AJ$6:$AJ$505,"&gt;"&amp;$A215,実績!$AL$6:$AL$505,"○")&gt;0,1,0))</f>
        <v>0</v>
      </c>
      <c r="CH215" s="39" t="n">
        <f aca="false">IF(CH$4=0,0,IF(COUNTIFS(実績!$W$6:$W$505,CH$3,実績!$AI$6:$AI$505,"&lt;="&amp;$A215,実績!$AJ$6:$AJ$505,"&gt;"&amp;$A215,実績!$AL$6:$AL$505,"○")&gt;0,1,0))</f>
        <v>0</v>
      </c>
      <c r="CI215" s="39" t="n">
        <f aca="false">IF(CI$4=0,0,IF(COUNTIFS(実績!$W$6:$W$505,CI$3,実績!$AI$6:$AI$505,"&lt;="&amp;$A215,実績!$AJ$6:$AJ$505,"&gt;"&amp;$A215,実績!$AL$6:$AL$505,"○")&gt;0,1,0))</f>
        <v>0</v>
      </c>
      <c r="CJ215" s="39" t="n">
        <f aca="false">IF(CJ$4=0,0,IF(COUNTIFS(実績!$W$6:$W$505,CJ$3,実績!$AI$6:$AI$505,"&lt;="&amp;$A215,実績!$AJ$6:$AJ$505,"&gt;"&amp;$A215,実績!$AL$6:$AL$505,"○")&gt;0,1,0))</f>
        <v>0</v>
      </c>
      <c r="CK215" s="39" t="n">
        <f aca="false">IF(CK$4=0,0,IF(COUNTIFS(実績!$W$6:$W$505,CK$3,実績!$AI$6:$AI$505,"&lt;="&amp;$A215,実績!$AJ$6:$AJ$505,"&gt;"&amp;$A215,実績!$AL$6:$AL$505,"○")&gt;0,1,0))</f>
        <v>0</v>
      </c>
      <c r="CL215" s="39" t="n">
        <f aca="false">IF(CL$4=0,0,IF(COUNTIFS(実績!$W$6:$W$505,CL$3,実績!$AI$6:$AI$505,"&lt;="&amp;$A215,実績!$AJ$6:$AJ$505,"&gt;"&amp;$A215,実績!$AL$6:$AL$505,"○")&gt;0,1,0))</f>
        <v>0</v>
      </c>
      <c r="CM215" s="39" t="n">
        <f aca="false">IF(CM$4=0,0,IF(COUNTIFS(実績!$W$6:$W$505,CM$3,実績!$AI$6:$AI$505,"&lt;="&amp;$A215,実績!$AJ$6:$AJ$505,"&gt;"&amp;$A215,実績!$AL$6:$AL$505,"○")&gt;0,1,0))</f>
        <v>0</v>
      </c>
      <c r="CN215" s="39" t="n">
        <f aca="false">IF(CN$4=0,0,IF(COUNTIFS(実績!$W$6:$W$505,CN$3,実績!$AI$6:$AI$505,"&lt;="&amp;$A215,実績!$AJ$6:$AJ$505,"&gt;"&amp;$A215,実績!$AL$6:$AL$505,"○")&gt;0,1,0))</f>
        <v>0</v>
      </c>
      <c r="CO215" s="39" t="n">
        <f aca="false">IF(CO$4=0,0,IF(COUNTIFS(実績!$W$6:$W$505,CO$3,実績!$AI$6:$AI$505,"&lt;="&amp;$A215,実績!$AJ$6:$AJ$505,"&gt;"&amp;$A215,実績!$AL$6:$AL$505,"○")&gt;0,1,0))</f>
        <v>0</v>
      </c>
      <c r="CP215" s="39" t="n">
        <f aca="false">IF(CP$4=0,0,IF(COUNTIFS(実績!$W$6:$W$505,CP$3,実績!$AI$6:$AI$505,"&lt;="&amp;$A215,実績!$AJ$6:$AJ$505,"&gt;"&amp;$A215,実績!$AL$6:$AL$505,"○")&gt;0,1,0))</f>
        <v>0</v>
      </c>
      <c r="CQ215" s="39" t="n">
        <f aca="false">IF(CQ$4=0,0,IF(COUNTIFS(実績!$W$6:$W$505,CQ$3,実績!$AI$6:$AI$505,"&lt;="&amp;$A215,実績!$AJ$6:$AJ$505,"&gt;"&amp;$A215,実績!$AL$6:$AL$505,"○")&gt;0,1,0))</f>
        <v>0</v>
      </c>
      <c r="CR215" s="39" t="n">
        <f aca="false">IF(CR$4=0,0,IF(COUNTIFS(実績!$W$6:$W$505,CR$3,実績!$AI$6:$AI$505,"&lt;="&amp;$A215,実績!$AJ$6:$AJ$505,"&gt;"&amp;$A215,実績!$AL$6:$AL$505,"○")&gt;0,1,0))</f>
        <v>0</v>
      </c>
      <c r="CS215" s="39" t="n">
        <f aca="false">IF(CS$4=0,0,IF(COUNTIFS(実績!$W$6:$W$505,CS$3,実績!$AI$6:$AI$505,"&lt;="&amp;$A215,実績!$AJ$6:$AJ$505,"&gt;"&amp;$A215,実績!$AL$6:$AL$505,"○")&gt;0,1,0))</f>
        <v>0</v>
      </c>
      <c r="CT215" s="39" t="n">
        <f aca="false">IF(CT$4=0,0,IF(COUNTIFS(実績!$W$6:$W$505,CT$3,実績!$AI$6:$AI$505,"&lt;="&amp;$A215,実績!$AJ$6:$AJ$505,"&gt;"&amp;$A215,実績!$AL$6:$AL$505,"○")&gt;0,1,0))</f>
        <v>0</v>
      </c>
      <c r="CU215" s="39" t="n">
        <f aca="false">IF(CU$4=0,0,IF(COUNTIFS(実績!$W$6:$W$505,CU$3,実績!$AI$6:$AI$505,"&lt;="&amp;$A215,実績!$AJ$6:$AJ$505,"&gt;"&amp;$A215,実績!$AL$6:$AL$505,"○")&gt;0,1,0))</f>
        <v>0</v>
      </c>
      <c r="CV215" s="39" t="n">
        <f aca="false">IF(CV$4=0,0,IF(COUNTIFS(実績!$W$6:$W$505,CV$3,実績!$AI$6:$AI$505,"&lt;="&amp;$A215,実績!$AJ$6:$AJ$505,"&gt;"&amp;$A215,実績!$AL$6:$AL$505,"○")&gt;0,1,0))</f>
        <v>0</v>
      </c>
      <c r="CW215" s="39" t="n">
        <f aca="false">IF(CW$4=0,0,IF(COUNTIFS(実績!$W$6:$W$505,CW$3,実績!$AI$6:$AI$505,"&lt;="&amp;$A215,実績!$AJ$6:$AJ$505,"&gt;"&amp;$A215,実績!$AL$6:$AL$505,"○")&gt;0,1,0))</f>
        <v>0</v>
      </c>
      <c r="CX215" s="39" t="n">
        <f aca="false">IF(CX$4=0,0,IF(COUNTIFS(実績!$W$6:$W$505,CX$3,実績!$AI$6:$AI$505,"&lt;="&amp;$A215,実績!$AJ$6:$AJ$505,"&gt;"&amp;$A215,実績!$AL$6:$AL$505,"○")&gt;0,1,0))</f>
        <v>0</v>
      </c>
      <c r="CY215" s="39" t="n">
        <f aca="false">IF(CY$4=0,0,IF(COUNTIFS(実績!$W$6:$W$505,CY$3,実績!$AI$6:$AI$505,"&lt;="&amp;$A215,実績!$AJ$6:$AJ$505,"&gt;"&amp;$A215,実績!$AL$6:$AL$505,"○")&gt;0,1,0))</f>
        <v>0</v>
      </c>
      <c r="CZ215" s="39" t="n">
        <f aca="false">IF(CZ$4=0,0,IF(COUNTIFS(実績!$W$6:$W$505,CZ$3,実績!$AI$6:$AI$505,"&lt;="&amp;$A215,実績!$AJ$6:$AJ$505,"&gt;"&amp;$A215,実績!$AL$6:$AL$505,"○")&gt;0,1,0))</f>
        <v>0</v>
      </c>
      <c r="DA215" s="39" t="n">
        <f aca="false">IF(DA$4=0,0,IF(COUNTIFS(実績!$W$6:$W$505,DA$3,実績!$AI$6:$AI$505,"&lt;="&amp;$A215,実績!$AJ$6:$AJ$505,"&gt;"&amp;$A215,実績!$AL$6:$AL$505,"○")&gt;0,1,0))</f>
        <v>0</v>
      </c>
      <c r="DB215" s="39" t="n">
        <f aca="false">IF(DB$4=0,0,IF(COUNTIFS(実績!$W$6:$W$505,DB$3,実績!$AI$6:$AI$505,"&lt;="&amp;$A215,実績!$AJ$6:$AJ$505,"&gt;"&amp;$A215,実績!$AL$6:$AL$505,"○")&gt;0,1,0))</f>
        <v>0</v>
      </c>
      <c r="DC215" s="39" t="n">
        <f aca="false">IF(DC$4=0,0,IF(COUNTIFS(実績!$W$6:$W$505,DC$3,実績!$AI$6:$AI$505,"&lt;="&amp;$A215,実績!$AJ$6:$AJ$505,"&gt;"&amp;$A215,実績!$AL$6:$AL$505,"○")&gt;0,1,0))</f>
        <v>0</v>
      </c>
      <c r="DD215" s="39" t="n">
        <f aca="false">IF(DD$4=0,0,IF(COUNTIFS(実績!$W$6:$W$505,DD$3,実績!$AI$6:$AI$505,"&lt;="&amp;$A215,実績!$AJ$6:$AJ$505,"&gt;"&amp;$A215,実績!$AL$6:$AL$505,"○")&gt;0,1,0))</f>
        <v>0</v>
      </c>
      <c r="DE215" s="39" t="n">
        <f aca="false">IF(DE$4=0,0,IF(COUNTIFS(実績!$W$6:$W$505,DE$3,実績!$AI$6:$AI$505,"&lt;="&amp;$A215,実績!$AJ$6:$AJ$505,"&gt;"&amp;$A215,実績!$AL$6:$AL$505,"○")&gt;0,1,0))</f>
        <v>0</v>
      </c>
      <c r="DF215" s="39" t="n">
        <f aca="false">IF(DF$4=0,0,IF(COUNTIFS(実績!$W$6:$W$505,DF$3,実績!$AI$6:$AI$505,"&lt;="&amp;$A215,実績!$AJ$6:$AJ$505,"&gt;"&amp;$A215,実績!$AL$6:$AL$505,"○")&gt;0,1,0))</f>
        <v>0</v>
      </c>
      <c r="DG215" s="39" t="n">
        <f aca="false">IF(DG$4=0,0,IF(COUNTIFS(実績!$W$6:$W$505,DG$3,実績!$AI$6:$AI$505,"&lt;="&amp;$A215,実績!$AJ$6:$AJ$505,"&gt;"&amp;$A215,実績!$AL$6:$AL$505,"○")&gt;0,1,0))</f>
        <v>0</v>
      </c>
      <c r="DH215" s="39" t="n">
        <f aca="false">IF(DH$4=0,0,IF(COUNTIFS(実績!$W$6:$W$505,DH$3,実績!$AI$6:$AI$505,"&lt;="&amp;$A215,実績!$AJ$6:$AJ$505,"&gt;"&amp;$A215,実績!$AL$6:$AL$505,"○")&gt;0,1,0))</f>
        <v>0</v>
      </c>
      <c r="DI215" s="39" t="n">
        <f aca="false">IF(DI$4=0,0,IF(COUNTIFS(実績!$W$6:$W$505,DI$3,実績!$AI$6:$AI$505,"&lt;="&amp;$A215,実績!$AJ$6:$AJ$505,"&gt;"&amp;$A215,実績!$AL$6:$AL$505,"○")&gt;0,1,0))</f>
        <v>0</v>
      </c>
      <c r="DJ215" s="39" t="n">
        <f aca="false">IF(DJ$4=0,0,IF(COUNTIFS(実績!$W$6:$W$505,DJ$3,実績!$AI$6:$AI$505,"&lt;="&amp;$A215,実績!$AJ$6:$AJ$505,"&gt;"&amp;$A215,実績!$AL$6:$AL$505,"○")&gt;0,1,0))</f>
        <v>0</v>
      </c>
      <c r="DK215" s="39" t="n">
        <f aca="false">IF(DK$4=0,0,IF(COUNTIFS(実績!$W$6:$W$505,DK$3,実績!$AI$6:$AI$505,"&lt;="&amp;$A215,実績!$AJ$6:$AJ$505,"&gt;"&amp;$A215,実績!$AL$6:$AL$505,"○")&gt;0,1,0))</f>
        <v>0</v>
      </c>
      <c r="DL215" s="39" t="n">
        <f aca="false">IF(DL$4=0,0,IF(COUNTIFS(実績!$W$6:$W$505,DL$3,実績!$AI$6:$AI$505,"&lt;="&amp;$A215,実績!$AJ$6:$AJ$505,"&gt;"&amp;$A215,実績!$AL$6:$AL$505,"○")&gt;0,1,0))</f>
        <v>0</v>
      </c>
      <c r="DM215" s="39" t="n">
        <f aca="false">IF(DM$4=0,0,IF(COUNTIFS(実績!$W$6:$W$505,DM$3,実績!$AI$6:$AI$505,"&lt;="&amp;$A215,実績!$AJ$6:$AJ$505,"&gt;"&amp;$A215,実績!$AL$6:$AL$505,"○")&gt;0,1,0))</f>
        <v>0</v>
      </c>
      <c r="DN215" s="39" t="n">
        <f aca="false">IF(DN$4=0,0,IF(COUNTIFS(実績!$W$6:$W$505,DN$3,実績!$AI$6:$AI$505,"&lt;="&amp;$A215,実績!$AJ$6:$AJ$505,"&gt;"&amp;$A215,実績!$AL$6:$AL$505,"○")&gt;0,1,0))</f>
        <v>0</v>
      </c>
      <c r="DO215" s="39" t="n">
        <f aca="false">IF(DO$4=0,0,IF(COUNTIFS(実績!$W$6:$W$505,DO$3,実績!$AI$6:$AI$505,"&lt;="&amp;$A215,実績!$AJ$6:$AJ$505,"&gt;"&amp;$A215,実績!$AL$6:$AL$505,"○")&gt;0,1,0))</f>
        <v>0</v>
      </c>
      <c r="DP215" s="39" t="n">
        <f aca="false">IF(DP$4=0,0,IF(COUNTIFS(実績!$W$6:$W$505,DP$3,実績!$AI$6:$AI$505,"&lt;="&amp;$A215,実績!$AJ$6:$AJ$505,"&gt;"&amp;$A215,実績!$AL$6:$AL$505,"○")&gt;0,1,0))</f>
        <v>0</v>
      </c>
      <c r="DQ215" s="39" t="n">
        <f aca="false">IF(DQ$4=0,0,IF(COUNTIFS(実績!$W$6:$W$505,DQ$3,実績!$AI$6:$AI$505,"&lt;="&amp;$A215,実績!$AJ$6:$AJ$505,"&gt;"&amp;$A215,実績!$AL$6:$AL$505,"○")&gt;0,1,0))</f>
        <v>0</v>
      </c>
      <c r="DR215" s="39" t="n">
        <f aca="false">IF(DR$4=0,0,IF(COUNTIFS(実績!$W$6:$W$505,DR$3,実績!$AI$6:$AI$505,"&lt;="&amp;$A215,実績!$AJ$6:$AJ$505,"&gt;"&amp;$A215,実績!$AL$6:$AL$505,"○")&gt;0,1,0))</f>
        <v>0</v>
      </c>
      <c r="DS215" s="39" t="n">
        <f aca="false">SUM(C215:DR215)</f>
        <v>0</v>
      </c>
    </row>
    <row r="216" customFormat="false" ht="15" hidden="false" customHeight="false" outlineLevel="0" collapsed="false">
      <c r="A216" s="0" t="n">
        <v>1050</v>
      </c>
      <c r="B216" s="38" t="n">
        <f aca="false">A216/1440</f>
        <v>0.729166666666667</v>
      </c>
      <c r="C216" s="39" t="n">
        <f aca="false">IF(C$4=0,0,IF(COUNTIFS(実績!$W$6:$W$505,C$3,実績!$AI$6:$AI$505,"&lt;="&amp;$A216,実績!$AJ$6:$AJ$505,"&gt;"&amp;$A216,実績!$AL$6:$AL$505,"○")&gt;0,1,0))</f>
        <v>0</v>
      </c>
      <c r="D216" s="39" t="n">
        <f aca="false">IF(D$4=0,0,IF(COUNTIFS(実績!$W$6:$W$505,D$3,実績!$AI$6:$AI$505,"&lt;="&amp;$A216,実績!$AJ$6:$AJ$505,"&gt;"&amp;$A216,実績!$AL$6:$AL$505,"○")&gt;0,1,0))</f>
        <v>0</v>
      </c>
      <c r="E216" s="39" t="n">
        <f aca="false">IF(E$4=0,0,IF(COUNTIFS(実績!$W$6:$W$505,E$3,実績!$AI$6:$AI$505,"&lt;="&amp;$A216,実績!$AJ$6:$AJ$505,"&gt;"&amp;$A216,実績!$AL$6:$AL$505,"○")&gt;0,1,0))</f>
        <v>0</v>
      </c>
      <c r="F216" s="39" t="n">
        <f aca="false">IF(F$4=0,0,IF(COUNTIFS(実績!$W$6:$W$505,F$3,実績!$AI$6:$AI$505,"&lt;="&amp;$A216,実績!$AJ$6:$AJ$505,"&gt;"&amp;$A216,実績!$AL$6:$AL$505,"○")&gt;0,1,0))</f>
        <v>0</v>
      </c>
      <c r="G216" s="39" t="n">
        <f aca="false">IF(G$4=0,0,IF(COUNTIFS(実績!$W$6:$W$505,G$3,実績!$AI$6:$AI$505,"&lt;="&amp;$A216,実績!$AJ$6:$AJ$505,"&gt;"&amp;$A216,実績!$AL$6:$AL$505,"○")&gt;0,1,0))</f>
        <v>0</v>
      </c>
      <c r="H216" s="39" t="n">
        <f aca="false">IF(H$4=0,0,IF(COUNTIFS(実績!$W$6:$W$505,H$3,実績!$AI$6:$AI$505,"&lt;="&amp;$A216,実績!$AJ$6:$AJ$505,"&gt;"&amp;$A216,実績!$AL$6:$AL$505,"○")&gt;0,1,0))</f>
        <v>0</v>
      </c>
      <c r="I216" s="39" t="n">
        <f aca="false">IF(I$4=0,0,IF(COUNTIFS(実績!$W$6:$W$505,I$3,実績!$AI$6:$AI$505,"&lt;="&amp;$A216,実績!$AJ$6:$AJ$505,"&gt;"&amp;$A216,実績!$AL$6:$AL$505,"○")&gt;0,1,0))</f>
        <v>0</v>
      </c>
      <c r="J216" s="39" t="n">
        <f aca="false">IF(J$4=0,0,IF(COUNTIFS(実績!$W$6:$W$505,J$3,実績!$AI$6:$AI$505,"&lt;="&amp;$A216,実績!$AJ$6:$AJ$505,"&gt;"&amp;$A216,実績!$AL$6:$AL$505,"○")&gt;0,1,0))</f>
        <v>0</v>
      </c>
      <c r="K216" s="39" t="n">
        <f aca="false">IF(K$4=0,0,IF(COUNTIFS(実績!$W$6:$W$505,K$3,実績!$AI$6:$AI$505,"&lt;="&amp;$A216,実績!$AJ$6:$AJ$505,"&gt;"&amp;$A216,実績!$AL$6:$AL$505,"○")&gt;0,1,0))</f>
        <v>0</v>
      </c>
      <c r="L216" s="39" t="n">
        <f aca="false">IF(L$4=0,0,IF(COUNTIFS(実績!$W$6:$W$505,L$3,実績!$AI$6:$AI$505,"&lt;="&amp;$A216,実績!$AJ$6:$AJ$505,"&gt;"&amp;$A216,実績!$AL$6:$AL$505,"○")&gt;0,1,0))</f>
        <v>0</v>
      </c>
      <c r="M216" s="39" t="n">
        <f aca="false">IF(M$4=0,0,IF(COUNTIFS(実績!$W$6:$W$505,M$3,実績!$AI$6:$AI$505,"&lt;="&amp;$A216,実績!$AJ$6:$AJ$505,"&gt;"&amp;$A216,実績!$AL$6:$AL$505,"○")&gt;0,1,0))</f>
        <v>0</v>
      </c>
      <c r="N216" s="39" t="n">
        <f aca="false">IF(N$4=0,0,IF(COUNTIFS(実績!$W$6:$W$505,N$3,実績!$AI$6:$AI$505,"&lt;="&amp;$A216,実績!$AJ$6:$AJ$505,"&gt;"&amp;$A216,実績!$AL$6:$AL$505,"○")&gt;0,1,0))</f>
        <v>0</v>
      </c>
      <c r="O216" s="39" t="n">
        <f aca="false">IF(O$4=0,0,IF(COUNTIFS(実績!$W$6:$W$505,O$3,実績!$AI$6:$AI$505,"&lt;="&amp;$A216,実績!$AJ$6:$AJ$505,"&gt;"&amp;$A216,実績!$AL$6:$AL$505,"○")&gt;0,1,0))</f>
        <v>0</v>
      </c>
      <c r="P216" s="39" t="n">
        <f aca="false">IF(P$4=0,0,IF(COUNTIFS(実績!$W$6:$W$505,P$3,実績!$AI$6:$AI$505,"&lt;="&amp;$A216,実績!$AJ$6:$AJ$505,"&gt;"&amp;$A216,実績!$AL$6:$AL$505,"○")&gt;0,1,0))</f>
        <v>0</v>
      </c>
      <c r="Q216" s="39" t="n">
        <f aca="false">IF(Q$4=0,0,IF(COUNTIFS(実績!$W$6:$W$505,Q$3,実績!$AI$6:$AI$505,"&lt;="&amp;$A216,実績!$AJ$6:$AJ$505,"&gt;"&amp;$A216,実績!$AL$6:$AL$505,"○")&gt;0,1,0))</f>
        <v>0</v>
      </c>
      <c r="R216" s="39" t="n">
        <f aca="false">IF(R$4=0,0,IF(COUNTIFS(実績!$W$6:$W$505,R$3,実績!$AI$6:$AI$505,"&lt;="&amp;$A216,実績!$AJ$6:$AJ$505,"&gt;"&amp;$A216,実績!$AL$6:$AL$505,"○")&gt;0,1,0))</f>
        <v>0</v>
      </c>
      <c r="S216" s="39" t="n">
        <f aca="false">IF(S$4=0,0,IF(COUNTIFS(実績!$W$6:$W$505,S$3,実績!$AI$6:$AI$505,"&lt;="&amp;$A216,実績!$AJ$6:$AJ$505,"&gt;"&amp;$A216,実績!$AL$6:$AL$505,"○")&gt;0,1,0))</f>
        <v>0</v>
      </c>
      <c r="T216" s="39" t="n">
        <f aca="false">IF(T$4=0,0,IF(COUNTIFS(実績!$W$6:$W$505,T$3,実績!$AI$6:$AI$505,"&lt;="&amp;$A216,実績!$AJ$6:$AJ$505,"&gt;"&amp;$A216,実績!$AL$6:$AL$505,"○")&gt;0,1,0))</f>
        <v>0</v>
      </c>
      <c r="U216" s="39" t="n">
        <f aca="false">IF(U$4=0,0,IF(COUNTIFS(実績!$W$6:$W$505,U$3,実績!$AI$6:$AI$505,"&lt;="&amp;$A216,実績!$AJ$6:$AJ$505,"&gt;"&amp;$A216,実績!$AL$6:$AL$505,"○")&gt;0,1,0))</f>
        <v>0</v>
      </c>
      <c r="V216" s="39" t="n">
        <f aca="false">IF(V$4=0,0,IF(COUNTIFS(実績!$W$6:$W$505,V$3,実績!$AI$6:$AI$505,"&lt;="&amp;$A216,実績!$AJ$6:$AJ$505,"&gt;"&amp;$A216,実績!$AL$6:$AL$505,"○")&gt;0,1,0))</f>
        <v>0</v>
      </c>
      <c r="W216" s="39" t="n">
        <f aca="false">IF(W$4=0,0,IF(COUNTIFS(実績!$W$6:$W$505,W$3,実績!$AI$6:$AI$505,"&lt;="&amp;$A216,実績!$AJ$6:$AJ$505,"&gt;"&amp;$A216,実績!$AL$6:$AL$505,"○")&gt;0,1,0))</f>
        <v>0</v>
      </c>
      <c r="X216" s="39" t="n">
        <f aca="false">IF(X$4=0,0,IF(COUNTIFS(実績!$W$6:$W$505,X$3,実績!$AI$6:$AI$505,"&lt;="&amp;$A216,実績!$AJ$6:$AJ$505,"&gt;"&amp;$A216,実績!$AL$6:$AL$505,"○")&gt;0,1,0))</f>
        <v>0</v>
      </c>
      <c r="Y216" s="39" t="n">
        <f aca="false">IF(Y$4=0,0,IF(COUNTIFS(実績!$W$6:$W$505,Y$3,実績!$AI$6:$AI$505,"&lt;="&amp;$A216,実績!$AJ$6:$AJ$505,"&gt;"&amp;$A216,実績!$AL$6:$AL$505,"○")&gt;0,1,0))</f>
        <v>0</v>
      </c>
      <c r="Z216" s="39" t="n">
        <f aca="false">IF(Z$4=0,0,IF(COUNTIFS(実績!$W$6:$W$505,Z$3,実績!$AI$6:$AI$505,"&lt;="&amp;$A216,実績!$AJ$6:$AJ$505,"&gt;"&amp;$A216,実績!$AL$6:$AL$505,"○")&gt;0,1,0))</f>
        <v>0</v>
      </c>
      <c r="AA216" s="39" t="n">
        <f aca="false">IF(AA$4=0,0,IF(COUNTIFS(実績!$W$6:$W$505,AA$3,実績!$AI$6:$AI$505,"&lt;="&amp;$A216,実績!$AJ$6:$AJ$505,"&gt;"&amp;$A216,実績!$AL$6:$AL$505,"○")&gt;0,1,0))</f>
        <v>0</v>
      </c>
      <c r="AB216" s="39" t="n">
        <f aca="false">IF(AB$4=0,0,IF(COUNTIFS(実績!$W$6:$W$505,AB$3,実績!$AI$6:$AI$505,"&lt;="&amp;$A216,実績!$AJ$6:$AJ$505,"&gt;"&amp;$A216,実績!$AL$6:$AL$505,"○")&gt;0,1,0))</f>
        <v>0</v>
      </c>
      <c r="AC216" s="39" t="n">
        <f aca="false">IF(AC$4=0,0,IF(COUNTIFS(実績!$W$6:$W$505,AC$3,実績!$AI$6:$AI$505,"&lt;="&amp;$A216,実績!$AJ$6:$AJ$505,"&gt;"&amp;$A216,実績!$AL$6:$AL$505,"○")&gt;0,1,0))</f>
        <v>0</v>
      </c>
      <c r="AD216" s="39" t="n">
        <f aca="false">IF(AD$4=0,0,IF(COUNTIFS(実績!$W$6:$W$505,AD$3,実績!$AI$6:$AI$505,"&lt;="&amp;$A216,実績!$AJ$6:$AJ$505,"&gt;"&amp;$A216,実績!$AL$6:$AL$505,"○")&gt;0,1,0))</f>
        <v>0</v>
      </c>
      <c r="AE216" s="39" t="n">
        <f aca="false">IF(AE$4=0,0,IF(COUNTIFS(実績!$W$6:$W$505,AE$3,実績!$AI$6:$AI$505,"&lt;="&amp;$A216,実績!$AJ$6:$AJ$505,"&gt;"&amp;$A216,実績!$AL$6:$AL$505,"○")&gt;0,1,0))</f>
        <v>0</v>
      </c>
      <c r="AF216" s="39" t="n">
        <f aca="false">IF(AF$4=0,0,IF(COUNTIFS(実績!$W$6:$W$505,AF$3,実績!$AI$6:$AI$505,"&lt;="&amp;$A216,実績!$AJ$6:$AJ$505,"&gt;"&amp;$A216,実績!$AL$6:$AL$505,"○")&gt;0,1,0))</f>
        <v>0</v>
      </c>
      <c r="AG216" s="39" t="n">
        <f aca="false">IF(AG$4=0,0,IF(COUNTIFS(実績!$W$6:$W$505,AG$3,実績!$AI$6:$AI$505,"&lt;="&amp;$A216,実績!$AJ$6:$AJ$505,"&gt;"&amp;$A216,実績!$AL$6:$AL$505,"○")&gt;0,1,0))</f>
        <v>0</v>
      </c>
      <c r="AH216" s="39" t="n">
        <f aca="false">IF(AH$4=0,0,IF(COUNTIFS(実績!$W$6:$W$505,AH$3,実績!$AI$6:$AI$505,"&lt;="&amp;$A216,実績!$AJ$6:$AJ$505,"&gt;"&amp;$A216,実績!$AL$6:$AL$505,"○")&gt;0,1,0))</f>
        <v>0</v>
      </c>
      <c r="AI216" s="39" t="n">
        <f aca="false">IF(AI$4=0,0,IF(COUNTIFS(実績!$W$6:$W$505,AI$3,実績!$AI$6:$AI$505,"&lt;="&amp;$A216,実績!$AJ$6:$AJ$505,"&gt;"&amp;$A216,実績!$AL$6:$AL$505,"○")&gt;0,1,0))</f>
        <v>0</v>
      </c>
      <c r="AJ216" s="39" t="n">
        <f aca="false">IF(AJ$4=0,0,IF(COUNTIFS(実績!$W$6:$W$505,AJ$3,実績!$AI$6:$AI$505,"&lt;="&amp;$A216,実績!$AJ$6:$AJ$505,"&gt;"&amp;$A216,実績!$AL$6:$AL$505,"○")&gt;0,1,0))</f>
        <v>0</v>
      </c>
      <c r="AK216" s="39" t="n">
        <f aca="false">IF(AK$4=0,0,IF(COUNTIFS(実績!$W$6:$W$505,AK$3,実績!$AI$6:$AI$505,"&lt;="&amp;$A216,実績!$AJ$6:$AJ$505,"&gt;"&amp;$A216,実績!$AL$6:$AL$505,"○")&gt;0,1,0))</f>
        <v>0</v>
      </c>
      <c r="AL216" s="39" t="n">
        <f aca="false">IF(AL$4=0,0,IF(COUNTIFS(実績!$W$6:$W$505,AL$3,実績!$AI$6:$AI$505,"&lt;="&amp;$A216,実績!$AJ$6:$AJ$505,"&gt;"&amp;$A216,実績!$AL$6:$AL$505,"○")&gt;0,1,0))</f>
        <v>0</v>
      </c>
      <c r="AM216" s="39" t="n">
        <f aca="false">IF(AM$4=0,0,IF(COUNTIFS(実績!$W$6:$W$505,AM$3,実績!$AI$6:$AI$505,"&lt;="&amp;$A216,実績!$AJ$6:$AJ$505,"&gt;"&amp;$A216,実績!$AL$6:$AL$505,"○")&gt;0,1,0))</f>
        <v>0</v>
      </c>
      <c r="AN216" s="39" t="n">
        <f aca="false">IF(AN$4=0,0,IF(COUNTIFS(実績!$W$6:$W$505,AN$3,実績!$AI$6:$AI$505,"&lt;="&amp;$A216,実績!$AJ$6:$AJ$505,"&gt;"&amp;$A216,実績!$AL$6:$AL$505,"○")&gt;0,1,0))</f>
        <v>0</v>
      </c>
      <c r="AO216" s="39" t="n">
        <f aca="false">IF(AO$4=0,0,IF(COUNTIFS(実績!$W$6:$W$505,AO$3,実績!$AI$6:$AI$505,"&lt;="&amp;$A216,実績!$AJ$6:$AJ$505,"&gt;"&amp;$A216,実績!$AL$6:$AL$505,"○")&gt;0,1,0))</f>
        <v>0</v>
      </c>
      <c r="AP216" s="39" t="n">
        <f aca="false">IF(AP$4=0,0,IF(COUNTIFS(実績!$W$6:$W$505,AP$3,実績!$AI$6:$AI$505,"&lt;="&amp;$A216,実績!$AJ$6:$AJ$505,"&gt;"&amp;$A216,実績!$AL$6:$AL$505,"○")&gt;0,1,0))</f>
        <v>0</v>
      </c>
      <c r="AQ216" s="39" t="n">
        <f aca="false">IF(AQ$4=0,0,IF(COUNTIFS(実績!$W$6:$W$505,AQ$3,実績!$AI$6:$AI$505,"&lt;="&amp;$A216,実績!$AJ$6:$AJ$505,"&gt;"&amp;$A216,実績!$AL$6:$AL$505,"○")&gt;0,1,0))</f>
        <v>0</v>
      </c>
      <c r="AR216" s="39" t="n">
        <f aca="false">IF(AR$4=0,0,IF(COUNTIFS(実績!$W$6:$W$505,AR$3,実績!$AI$6:$AI$505,"&lt;="&amp;$A216,実績!$AJ$6:$AJ$505,"&gt;"&amp;$A216,実績!$AL$6:$AL$505,"○")&gt;0,1,0))</f>
        <v>0</v>
      </c>
      <c r="AS216" s="39" t="n">
        <f aca="false">IF(AS$4=0,0,IF(COUNTIFS(実績!$W$6:$W$505,AS$3,実績!$AI$6:$AI$505,"&lt;="&amp;$A216,実績!$AJ$6:$AJ$505,"&gt;"&amp;$A216,実績!$AL$6:$AL$505,"○")&gt;0,1,0))</f>
        <v>0</v>
      </c>
      <c r="AT216" s="39" t="n">
        <f aca="false">IF(AT$4=0,0,IF(COUNTIFS(実績!$W$6:$W$505,AT$3,実績!$AI$6:$AI$505,"&lt;="&amp;$A216,実績!$AJ$6:$AJ$505,"&gt;"&amp;$A216,実績!$AL$6:$AL$505,"○")&gt;0,1,0))</f>
        <v>0</v>
      </c>
      <c r="AU216" s="39" t="n">
        <f aca="false">IF(AU$4=0,0,IF(COUNTIFS(実績!$W$6:$W$505,AU$3,実績!$AI$6:$AI$505,"&lt;="&amp;$A216,実績!$AJ$6:$AJ$505,"&gt;"&amp;$A216,実績!$AL$6:$AL$505,"○")&gt;0,1,0))</f>
        <v>0</v>
      </c>
      <c r="AV216" s="39" t="n">
        <f aca="false">IF(AV$4=0,0,IF(COUNTIFS(実績!$W$6:$W$505,AV$3,実績!$AI$6:$AI$505,"&lt;="&amp;$A216,実績!$AJ$6:$AJ$505,"&gt;"&amp;$A216,実績!$AL$6:$AL$505,"○")&gt;0,1,0))</f>
        <v>0</v>
      </c>
      <c r="AW216" s="39" t="n">
        <f aca="false">IF(AW$4=0,0,IF(COUNTIFS(実績!$W$6:$W$505,AW$3,実績!$AI$6:$AI$505,"&lt;="&amp;$A216,実績!$AJ$6:$AJ$505,"&gt;"&amp;$A216,実績!$AL$6:$AL$505,"○")&gt;0,1,0))</f>
        <v>0</v>
      </c>
      <c r="AX216" s="39" t="n">
        <f aca="false">IF(AX$4=0,0,IF(COUNTIFS(実績!$W$6:$W$505,AX$3,実績!$AI$6:$AI$505,"&lt;="&amp;$A216,実績!$AJ$6:$AJ$505,"&gt;"&amp;$A216,実績!$AL$6:$AL$505,"○")&gt;0,1,0))</f>
        <v>0</v>
      </c>
      <c r="AY216" s="39" t="n">
        <f aca="false">IF(AY$4=0,0,IF(COUNTIFS(実績!$W$6:$W$505,AY$3,実績!$AI$6:$AI$505,"&lt;="&amp;$A216,実績!$AJ$6:$AJ$505,"&gt;"&amp;$A216,実績!$AL$6:$AL$505,"○")&gt;0,1,0))</f>
        <v>0</v>
      </c>
      <c r="AZ216" s="39" t="n">
        <f aca="false">IF(AZ$4=0,0,IF(COUNTIFS(実績!$W$6:$W$505,AZ$3,実績!$AI$6:$AI$505,"&lt;="&amp;$A216,実績!$AJ$6:$AJ$505,"&gt;"&amp;$A216,実績!$AL$6:$AL$505,"○")&gt;0,1,0))</f>
        <v>0</v>
      </c>
      <c r="BA216" s="39" t="n">
        <f aca="false">IF(BA$4=0,0,IF(COUNTIFS(実績!$W$6:$W$505,BA$3,実績!$AI$6:$AI$505,"&lt;="&amp;$A216,実績!$AJ$6:$AJ$505,"&gt;"&amp;$A216,実績!$AL$6:$AL$505,"○")&gt;0,1,0))</f>
        <v>0</v>
      </c>
      <c r="BB216" s="39" t="n">
        <f aca="false">IF(BB$4=0,0,IF(COUNTIFS(実績!$W$6:$W$505,BB$3,実績!$AI$6:$AI$505,"&lt;="&amp;$A216,実績!$AJ$6:$AJ$505,"&gt;"&amp;$A216,実績!$AL$6:$AL$505,"○")&gt;0,1,0))</f>
        <v>0</v>
      </c>
      <c r="BC216" s="39" t="n">
        <f aca="false">IF(BC$4=0,0,IF(COUNTIFS(実績!$W$6:$W$505,BC$3,実績!$AI$6:$AI$505,"&lt;="&amp;$A216,実績!$AJ$6:$AJ$505,"&gt;"&amp;$A216,実績!$AL$6:$AL$505,"○")&gt;0,1,0))</f>
        <v>0</v>
      </c>
      <c r="BD216" s="39" t="n">
        <f aca="false">IF(BD$4=0,0,IF(COUNTIFS(実績!$W$6:$W$505,BD$3,実績!$AI$6:$AI$505,"&lt;="&amp;$A216,実績!$AJ$6:$AJ$505,"&gt;"&amp;$A216,実績!$AL$6:$AL$505,"○")&gt;0,1,0))</f>
        <v>0</v>
      </c>
      <c r="BE216" s="39" t="n">
        <f aca="false">IF(BE$4=0,0,IF(COUNTIFS(実績!$W$6:$W$505,BE$3,実績!$AI$6:$AI$505,"&lt;="&amp;$A216,実績!$AJ$6:$AJ$505,"&gt;"&amp;$A216,実績!$AL$6:$AL$505,"○")&gt;0,1,0))</f>
        <v>0</v>
      </c>
      <c r="BF216" s="39" t="n">
        <f aca="false">IF(BF$4=0,0,IF(COUNTIFS(実績!$W$6:$W$505,BF$3,実績!$AI$6:$AI$505,"&lt;="&amp;$A216,実績!$AJ$6:$AJ$505,"&gt;"&amp;$A216,実績!$AL$6:$AL$505,"○")&gt;0,1,0))</f>
        <v>0</v>
      </c>
      <c r="BG216" s="39" t="n">
        <f aca="false">IF(BG$4=0,0,IF(COUNTIFS(実績!$W$6:$W$505,BG$3,実績!$AI$6:$AI$505,"&lt;="&amp;$A216,実績!$AJ$6:$AJ$505,"&gt;"&amp;$A216,実績!$AL$6:$AL$505,"○")&gt;0,1,0))</f>
        <v>0</v>
      </c>
      <c r="BH216" s="39" t="n">
        <f aca="false">IF(BH$4=0,0,IF(COUNTIFS(実績!$W$6:$W$505,BH$3,実績!$AI$6:$AI$505,"&lt;="&amp;$A216,実績!$AJ$6:$AJ$505,"&gt;"&amp;$A216,実績!$AL$6:$AL$505,"○")&gt;0,1,0))</f>
        <v>0</v>
      </c>
      <c r="BI216" s="39" t="n">
        <f aca="false">IF(BI$4=0,0,IF(COUNTIFS(実績!$W$6:$W$505,BI$3,実績!$AI$6:$AI$505,"&lt;="&amp;$A216,実績!$AJ$6:$AJ$505,"&gt;"&amp;$A216,実績!$AL$6:$AL$505,"○")&gt;0,1,0))</f>
        <v>0</v>
      </c>
      <c r="BJ216" s="39" t="n">
        <f aca="false">IF(BJ$4=0,0,IF(COUNTIFS(実績!$W$6:$W$505,BJ$3,実績!$AI$6:$AI$505,"&lt;="&amp;$A216,実績!$AJ$6:$AJ$505,"&gt;"&amp;$A216,実績!$AL$6:$AL$505,"○")&gt;0,1,0))</f>
        <v>0</v>
      </c>
      <c r="BK216" s="39" t="n">
        <f aca="false">IF(BK$4=0,0,IF(COUNTIFS(実績!$W$6:$W$505,BK$3,実績!$AI$6:$AI$505,"&lt;="&amp;$A216,実績!$AJ$6:$AJ$505,"&gt;"&amp;$A216,実績!$AL$6:$AL$505,"○")&gt;0,1,0))</f>
        <v>0</v>
      </c>
      <c r="BL216" s="39" t="n">
        <f aca="false">IF(BL$4=0,0,IF(COUNTIFS(実績!$W$6:$W$505,BL$3,実績!$AI$6:$AI$505,"&lt;="&amp;$A216,実績!$AJ$6:$AJ$505,"&gt;"&amp;$A216,実績!$AL$6:$AL$505,"○")&gt;0,1,0))</f>
        <v>0</v>
      </c>
      <c r="BM216" s="39" t="n">
        <f aca="false">IF(BM$4=0,0,IF(COUNTIFS(実績!$W$6:$W$505,BM$3,実績!$AI$6:$AI$505,"&lt;="&amp;$A216,実績!$AJ$6:$AJ$505,"&gt;"&amp;$A216,実績!$AL$6:$AL$505,"○")&gt;0,1,0))</f>
        <v>0</v>
      </c>
      <c r="BN216" s="39" t="n">
        <f aca="false">IF(BN$4=0,0,IF(COUNTIFS(実績!$W$6:$W$505,BN$3,実績!$AI$6:$AI$505,"&lt;="&amp;$A216,実績!$AJ$6:$AJ$505,"&gt;"&amp;$A216,実績!$AL$6:$AL$505,"○")&gt;0,1,0))</f>
        <v>0</v>
      </c>
      <c r="BO216" s="39" t="n">
        <f aca="false">IF(BO$4=0,0,IF(COUNTIFS(実績!$W$6:$W$505,BO$3,実績!$AI$6:$AI$505,"&lt;="&amp;$A216,実績!$AJ$6:$AJ$505,"&gt;"&amp;$A216,実績!$AL$6:$AL$505,"○")&gt;0,1,0))</f>
        <v>0</v>
      </c>
      <c r="BP216" s="39" t="n">
        <f aca="false">IF(BP$4=0,0,IF(COUNTIFS(実績!$W$6:$W$505,BP$3,実績!$AI$6:$AI$505,"&lt;="&amp;$A216,実績!$AJ$6:$AJ$505,"&gt;"&amp;$A216,実績!$AL$6:$AL$505,"○")&gt;0,1,0))</f>
        <v>0</v>
      </c>
      <c r="BQ216" s="39" t="n">
        <f aca="false">IF(BQ$4=0,0,IF(COUNTIFS(実績!$W$6:$W$505,BQ$3,実績!$AI$6:$AI$505,"&lt;="&amp;$A216,実績!$AJ$6:$AJ$505,"&gt;"&amp;$A216,実績!$AL$6:$AL$505,"○")&gt;0,1,0))</f>
        <v>0</v>
      </c>
      <c r="BR216" s="39" t="n">
        <f aca="false">IF(BR$4=0,0,IF(COUNTIFS(実績!$W$6:$W$505,BR$3,実績!$AI$6:$AI$505,"&lt;="&amp;$A216,実績!$AJ$6:$AJ$505,"&gt;"&amp;$A216,実績!$AL$6:$AL$505,"○")&gt;0,1,0))</f>
        <v>0</v>
      </c>
      <c r="BS216" s="39" t="n">
        <f aca="false">IF(BS$4=0,0,IF(COUNTIFS(実績!$W$6:$W$505,BS$3,実績!$AI$6:$AI$505,"&lt;="&amp;$A216,実績!$AJ$6:$AJ$505,"&gt;"&amp;$A216,実績!$AL$6:$AL$505,"○")&gt;0,1,0))</f>
        <v>0</v>
      </c>
      <c r="BT216" s="39" t="n">
        <f aca="false">IF(BT$4=0,0,IF(COUNTIFS(実績!$W$6:$W$505,BT$3,実績!$AI$6:$AI$505,"&lt;="&amp;$A216,実績!$AJ$6:$AJ$505,"&gt;"&amp;$A216,実績!$AL$6:$AL$505,"○")&gt;0,1,0))</f>
        <v>0</v>
      </c>
      <c r="BU216" s="39" t="n">
        <f aca="false">IF(BU$4=0,0,IF(COUNTIFS(実績!$W$6:$W$505,BU$3,実績!$AI$6:$AI$505,"&lt;="&amp;$A216,実績!$AJ$6:$AJ$505,"&gt;"&amp;$A216,実績!$AL$6:$AL$505,"○")&gt;0,1,0))</f>
        <v>0</v>
      </c>
      <c r="BV216" s="39" t="n">
        <f aca="false">IF(BV$4=0,0,IF(COUNTIFS(実績!$W$6:$W$505,BV$3,実績!$AI$6:$AI$505,"&lt;="&amp;$A216,実績!$AJ$6:$AJ$505,"&gt;"&amp;$A216,実績!$AL$6:$AL$505,"○")&gt;0,1,0))</f>
        <v>0</v>
      </c>
      <c r="BW216" s="39" t="n">
        <f aca="false">IF(BW$4=0,0,IF(COUNTIFS(実績!$W$6:$W$505,BW$3,実績!$AI$6:$AI$505,"&lt;="&amp;$A216,実績!$AJ$6:$AJ$505,"&gt;"&amp;$A216,実績!$AL$6:$AL$505,"○")&gt;0,1,0))</f>
        <v>0</v>
      </c>
      <c r="BX216" s="39" t="n">
        <f aca="false">IF(BX$4=0,0,IF(COUNTIFS(実績!$W$6:$W$505,BX$3,実績!$AI$6:$AI$505,"&lt;="&amp;$A216,実績!$AJ$6:$AJ$505,"&gt;"&amp;$A216,実績!$AL$6:$AL$505,"○")&gt;0,1,0))</f>
        <v>0</v>
      </c>
      <c r="BY216" s="39" t="n">
        <f aca="false">IF(BY$4=0,0,IF(COUNTIFS(実績!$W$6:$W$505,BY$3,実績!$AI$6:$AI$505,"&lt;="&amp;$A216,実績!$AJ$6:$AJ$505,"&gt;"&amp;$A216,実績!$AL$6:$AL$505,"○")&gt;0,1,0))</f>
        <v>0</v>
      </c>
      <c r="BZ216" s="39" t="n">
        <f aca="false">IF(BZ$4=0,0,IF(COUNTIFS(実績!$W$6:$W$505,BZ$3,実績!$AI$6:$AI$505,"&lt;="&amp;$A216,実績!$AJ$6:$AJ$505,"&gt;"&amp;$A216,実績!$AL$6:$AL$505,"○")&gt;0,1,0))</f>
        <v>0</v>
      </c>
      <c r="CA216" s="39" t="n">
        <f aca="false">IF(CA$4=0,0,IF(COUNTIFS(実績!$W$6:$W$505,CA$3,実績!$AI$6:$AI$505,"&lt;="&amp;$A216,実績!$AJ$6:$AJ$505,"&gt;"&amp;$A216,実績!$AL$6:$AL$505,"○")&gt;0,1,0))</f>
        <v>0</v>
      </c>
      <c r="CB216" s="39" t="n">
        <f aca="false">IF(CB$4=0,0,IF(COUNTIFS(実績!$W$6:$W$505,CB$3,実績!$AI$6:$AI$505,"&lt;="&amp;$A216,実績!$AJ$6:$AJ$505,"&gt;"&amp;$A216,実績!$AL$6:$AL$505,"○")&gt;0,1,0))</f>
        <v>0</v>
      </c>
      <c r="CC216" s="39" t="n">
        <f aca="false">IF(CC$4=0,0,IF(COUNTIFS(実績!$W$6:$W$505,CC$3,実績!$AI$6:$AI$505,"&lt;="&amp;$A216,実績!$AJ$6:$AJ$505,"&gt;"&amp;$A216,実績!$AL$6:$AL$505,"○")&gt;0,1,0))</f>
        <v>0</v>
      </c>
      <c r="CD216" s="39" t="n">
        <f aca="false">IF(CD$4=0,0,IF(COUNTIFS(実績!$W$6:$W$505,CD$3,実績!$AI$6:$AI$505,"&lt;="&amp;$A216,実績!$AJ$6:$AJ$505,"&gt;"&amp;$A216,実績!$AL$6:$AL$505,"○")&gt;0,1,0))</f>
        <v>0</v>
      </c>
      <c r="CE216" s="39" t="n">
        <f aca="false">IF(CE$4=0,0,IF(COUNTIFS(実績!$W$6:$W$505,CE$3,実績!$AI$6:$AI$505,"&lt;="&amp;$A216,実績!$AJ$6:$AJ$505,"&gt;"&amp;$A216,実績!$AL$6:$AL$505,"○")&gt;0,1,0))</f>
        <v>0</v>
      </c>
      <c r="CF216" s="39" t="n">
        <f aca="false">IF(CF$4=0,0,IF(COUNTIFS(実績!$W$6:$W$505,CF$3,実績!$AI$6:$AI$505,"&lt;="&amp;$A216,実績!$AJ$6:$AJ$505,"&gt;"&amp;$A216,実績!$AL$6:$AL$505,"○")&gt;0,1,0))</f>
        <v>0</v>
      </c>
      <c r="CG216" s="39" t="n">
        <f aca="false">IF(CG$4=0,0,IF(COUNTIFS(実績!$W$6:$W$505,CG$3,実績!$AI$6:$AI$505,"&lt;="&amp;$A216,実績!$AJ$6:$AJ$505,"&gt;"&amp;$A216,実績!$AL$6:$AL$505,"○")&gt;0,1,0))</f>
        <v>0</v>
      </c>
      <c r="CH216" s="39" t="n">
        <f aca="false">IF(CH$4=0,0,IF(COUNTIFS(実績!$W$6:$W$505,CH$3,実績!$AI$6:$AI$505,"&lt;="&amp;$A216,実績!$AJ$6:$AJ$505,"&gt;"&amp;$A216,実績!$AL$6:$AL$505,"○")&gt;0,1,0))</f>
        <v>0</v>
      </c>
      <c r="CI216" s="39" t="n">
        <f aca="false">IF(CI$4=0,0,IF(COUNTIFS(実績!$W$6:$W$505,CI$3,実績!$AI$6:$AI$505,"&lt;="&amp;$A216,実績!$AJ$6:$AJ$505,"&gt;"&amp;$A216,実績!$AL$6:$AL$505,"○")&gt;0,1,0))</f>
        <v>0</v>
      </c>
      <c r="CJ216" s="39" t="n">
        <f aca="false">IF(CJ$4=0,0,IF(COUNTIFS(実績!$W$6:$W$505,CJ$3,実績!$AI$6:$AI$505,"&lt;="&amp;$A216,実績!$AJ$6:$AJ$505,"&gt;"&amp;$A216,実績!$AL$6:$AL$505,"○")&gt;0,1,0))</f>
        <v>0</v>
      </c>
      <c r="CK216" s="39" t="n">
        <f aca="false">IF(CK$4=0,0,IF(COUNTIFS(実績!$W$6:$W$505,CK$3,実績!$AI$6:$AI$505,"&lt;="&amp;$A216,実績!$AJ$6:$AJ$505,"&gt;"&amp;$A216,実績!$AL$6:$AL$505,"○")&gt;0,1,0))</f>
        <v>0</v>
      </c>
      <c r="CL216" s="39" t="n">
        <f aca="false">IF(CL$4=0,0,IF(COUNTIFS(実績!$W$6:$W$505,CL$3,実績!$AI$6:$AI$505,"&lt;="&amp;$A216,実績!$AJ$6:$AJ$505,"&gt;"&amp;$A216,実績!$AL$6:$AL$505,"○")&gt;0,1,0))</f>
        <v>0</v>
      </c>
      <c r="CM216" s="39" t="n">
        <f aca="false">IF(CM$4=0,0,IF(COUNTIFS(実績!$W$6:$W$505,CM$3,実績!$AI$6:$AI$505,"&lt;="&amp;$A216,実績!$AJ$6:$AJ$505,"&gt;"&amp;$A216,実績!$AL$6:$AL$505,"○")&gt;0,1,0))</f>
        <v>0</v>
      </c>
      <c r="CN216" s="39" t="n">
        <f aca="false">IF(CN$4=0,0,IF(COUNTIFS(実績!$W$6:$W$505,CN$3,実績!$AI$6:$AI$505,"&lt;="&amp;$A216,実績!$AJ$6:$AJ$505,"&gt;"&amp;$A216,実績!$AL$6:$AL$505,"○")&gt;0,1,0))</f>
        <v>0</v>
      </c>
      <c r="CO216" s="39" t="n">
        <f aca="false">IF(CO$4=0,0,IF(COUNTIFS(実績!$W$6:$W$505,CO$3,実績!$AI$6:$AI$505,"&lt;="&amp;$A216,実績!$AJ$6:$AJ$505,"&gt;"&amp;$A216,実績!$AL$6:$AL$505,"○")&gt;0,1,0))</f>
        <v>0</v>
      </c>
      <c r="CP216" s="39" t="n">
        <f aca="false">IF(CP$4=0,0,IF(COUNTIFS(実績!$W$6:$W$505,CP$3,実績!$AI$6:$AI$505,"&lt;="&amp;$A216,実績!$AJ$6:$AJ$505,"&gt;"&amp;$A216,実績!$AL$6:$AL$505,"○")&gt;0,1,0))</f>
        <v>0</v>
      </c>
      <c r="CQ216" s="39" t="n">
        <f aca="false">IF(CQ$4=0,0,IF(COUNTIFS(実績!$W$6:$W$505,CQ$3,実績!$AI$6:$AI$505,"&lt;="&amp;$A216,実績!$AJ$6:$AJ$505,"&gt;"&amp;$A216,実績!$AL$6:$AL$505,"○")&gt;0,1,0))</f>
        <v>0</v>
      </c>
      <c r="CR216" s="39" t="n">
        <f aca="false">IF(CR$4=0,0,IF(COUNTIFS(実績!$W$6:$W$505,CR$3,実績!$AI$6:$AI$505,"&lt;="&amp;$A216,実績!$AJ$6:$AJ$505,"&gt;"&amp;$A216,実績!$AL$6:$AL$505,"○")&gt;0,1,0))</f>
        <v>0</v>
      </c>
      <c r="CS216" s="39" t="n">
        <f aca="false">IF(CS$4=0,0,IF(COUNTIFS(実績!$W$6:$W$505,CS$3,実績!$AI$6:$AI$505,"&lt;="&amp;$A216,実績!$AJ$6:$AJ$505,"&gt;"&amp;$A216,実績!$AL$6:$AL$505,"○")&gt;0,1,0))</f>
        <v>0</v>
      </c>
      <c r="CT216" s="39" t="n">
        <f aca="false">IF(CT$4=0,0,IF(COUNTIFS(実績!$W$6:$W$505,CT$3,実績!$AI$6:$AI$505,"&lt;="&amp;$A216,実績!$AJ$6:$AJ$505,"&gt;"&amp;$A216,実績!$AL$6:$AL$505,"○")&gt;0,1,0))</f>
        <v>0</v>
      </c>
      <c r="CU216" s="39" t="n">
        <f aca="false">IF(CU$4=0,0,IF(COUNTIFS(実績!$W$6:$W$505,CU$3,実績!$AI$6:$AI$505,"&lt;="&amp;$A216,実績!$AJ$6:$AJ$505,"&gt;"&amp;$A216,実績!$AL$6:$AL$505,"○")&gt;0,1,0))</f>
        <v>0</v>
      </c>
      <c r="CV216" s="39" t="n">
        <f aca="false">IF(CV$4=0,0,IF(COUNTIFS(実績!$W$6:$W$505,CV$3,実績!$AI$6:$AI$505,"&lt;="&amp;$A216,実績!$AJ$6:$AJ$505,"&gt;"&amp;$A216,実績!$AL$6:$AL$505,"○")&gt;0,1,0))</f>
        <v>0</v>
      </c>
      <c r="CW216" s="39" t="n">
        <f aca="false">IF(CW$4=0,0,IF(COUNTIFS(実績!$W$6:$W$505,CW$3,実績!$AI$6:$AI$505,"&lt;="&amp;$A216,実績!$AJ$6:$AJ$505,"&gt;"&amp;$A216,実績!$AL$6:$AL$505,"○")&gt;0,1,0))</f>
        <v>0</v>
      </c>
      <c r="CX216" s="39" t="n">
        <f aca="false">IF(CX$4=0,0,IF(COUNTIFS(実績!$W$6:$W$505,CX$3,実績!$AI$6:$AI$505,"&lt;="&amp;$A216,実績!$AJ$6:$AJ$505,"&gt;"&amp;$A216,実績!$AL$6:$AL$505,"○")&gt;0,1,0))</f>
        <v>0</v>
      </c>
      <c r="CY216" s="39" t="n">
        <f aca="false">IF(CY$4=0,0,IF(COUNTIFS(実績!$W$6:$W$505,CY$3,実績!$AI$6:$AI$505,"&lt;="&amp;$A216,実績!$AJ$6:$AJ$505,"&gt;"&amp;$A216,実績!$AL$6:$AL$505,"○")&gt;0,1,0))</f>
        <v>0</v>
      </c>
      <c r="CZ216" s="39" t="n">
        <f aca="false">IF(CZ$4=0,0,IF(COUNTIFS(実績!$W$6:$W$505,CZ$3,実績!$AI$6:$AI$505,"&lt;="&amp;$A216,実績!$AJ$6:$AJ$505,"&gt;"&amp;$A216,実績!$AL$6:$AL$505,"○")&gt;0,1,0))</f>
        <v>0</v>
      </c>
      <c r="DA216" s="39" t="n">
        <f aca="false">IF(DA$4=0,0,IF(COUNTIFS(実績!$W$6:$W$505,DA$3,実績!$AI$6:$AI$505,"&lt;="&amp;$A216,実績!$AJ$6:$AJ$505,"&gt;"&amp;$A216,実績!$AL$6:$AL$505,"○")&gt;0,1,0))</f>
        <v>0</v>
      </c>
      <c r="DB216" s="39" t="n">
        <f aca="false">IF(DB$4=0,0,IF(COUNTIFS(実績!$W$6:$W$505,DB$3,実績!$AI$6:$AI$505,"&lt;="&amp;$A216,実績!$AJ$6:$AJ$505,"&gt;"&amp;$A216,実績!$AL$6:$AL$505,"○")&gt;0,1,0))</f>
        <v>0</v>
      </c>
      <c r="DC216" s="39" t="n">
        <f aca="false">IF(DC$4=0,0,IF(COUNTIFS(実績!$W$6:$W$505,DC$3,実績!$AI$6:$AI$505,"&lt;="&amp;$A216,実績!$AJ$6:$AJ$505,"&gt;"&amp;$A216,実績!$AL$6:$AL$505,"○")&gt;0,1,0))</f>
        <v>0</v>
      </c>
      <c r="DD216" s="39" t="n">
        <f aca="false">IF(DD$4=0,0,IF(COUNTIFS(実績!$W$6:$W$505,DD$3,実績!$AI$6:$AI$505,"&lt;="&amp;$A216,実績!$AJ$6:$AJ$505,"&gt;"&amp;$A216,実績!$AL$6:$AL$505,"○")&gt;0,1,0))</f>
        <v>0</v>
      </c>
      <c r="DE216" s="39" t="n">
        <f aca="false">IF(DE$4=0,0,IF(COUNTIFS(実績!$W$6:$W$505,DE$3,実績!$AI$6:$AI$505,"&lt;="&amp;$A216,実績!$AJ$6:$AJ$505,"&gt;"&amp;$A216,実績!$AL$6:$AL$505,"○")&gt;0,1,0))</f>
        <v>0</v>
      </c>
      <c r="DF216" s="39" t="n">
        <f aca="false">IF(DF$4=0,0,IF(COUNTIFS(実績!$W$6:$W$505,DF$3,実績!$AI$6:$AI$505,"&lt;="&amp;$A216,実績!$AJ$6:$AJ$505,"&gt;"&amp;$A216,実績!$AL$6:$AL$505,"○")&gt;0,1,0))</f>
        <v>0</v>
      </c>
      <c r="DG216" s="39" t="n">
        <f aca="false">IF(DG$4=0,0,IF(COUNTIFS(実績!$W$6:$W$505,DG$3,実績!$AI$6:$AI$505,"&lt;="&amp;$A216,実績!$AJ$6:$AJ$505,"&gt;"&amp;$A216,実績!$AL$6:$AL$505,"○")&gt;0,1,0))</f>
        <v>0</v>
      </c>
      <c r="DH216" s="39" t="n">
        <f aca="false">IF(DH$4=0,0,IF(COUNTIFS(実績!$W$6:$W$505,DH$3,実績!$AI$6:$AI$505,"&lt;="&amp;$A216,実績!$AJ$6:$AJ$505,"&gt;"&amp;$A216,実績!$AL$6:$AL$505,"○")&gt;0,1,0))</f>
        <v>0</v>
      </c>
      <c r="DI216" s="39" t="n">
        <f aca="false">IF(DI$4=0,0,IF(COUNTIFS(実績!$W$6:$W$505,DI$3,実績!$AI$6:$AI$505,"&lt;="&amp;$A216,実績!$AJ$6:$AJ$505,"&gt;"&amp;$A216,実績!$AL$6:$AL$505,"○")&gt;0,1,0))</f>
        <v>0</v>
      </c>
      <c r="DJ216" s="39" t="n">
        <f aca="false">IF(DJ$4=0,0,IF(COUNTIFS(実績!$W$6:$W$505,DJ$3,実績!$AI$6:$AI$505,"&lt;="&amp;$A216,実績!$AJ$6:$AJ$505,"&gt;"&amp;$A216,実績!$AL$6:$AL$505,"○")&gt;0,1,0))</f>
        <v>0</v>
      </c>
      <c r="DK216" s="39" t="n">
        <f aca="false">IF(DK$4=0,0,IF(COUNTIFS(実績!$W$6:$W$505,DK$3,実績!$AI$6:$AI$505,"&lt;="&amp;$A216,実績!$AJ$6:$AJ$505,"&gt;"&amp;$A216,実績!$AL$6:$AL$505,"○")&gt;0,1,0))</f>
        <v>0</v>
      </c>
      <c r="DL216" s="39" t="n">
        <f aca="false">IF(DL$4=0,0,IF(COUNTIFS(実績!$W$6:$W$505,DL$3,実績!$AI$6:$AI$505,"&lt;="&amp;$A216,実績!$AJ$6:$AJ$505,"&gt;"&amp;$A216,実績!$AL$6:$AL$505,"○")&gt;0,1,0))</f>
        <v>0</v>
      </c>
      <c r="DM216" s="39" t="n">
        <f aca="false">IF(DM$4=0,0,IF(COUNTIFS(実績!$W$6:$W$505,DM$3,実績!$AI$6:$AI$505,"&lt;="&amp;$A216,実績!$AJ$6:$AJ$505,"&gt;"&amp;$A216,実績!$AL$6:$AL$505,"○")&gt;0,1,0))</f>
        <v>0</v>
      </c>
      <c r="DN216" s="39" t="n">
        <f aca="false">IF(DN$4=0,0,IF(COUNTIFS(実績!$W$6:$W$505,DN$3,実績!$AI$6:$AI$505,"&lt;="&amp;$A216,実績!$AJ$6:$AJ$505,"&gt;"&amp;$A216,実績!$AL$6:$AL$505,"○")&gt;0,1,0))</f>
        <v>0</v>
      </c>
      <c r="DO216" s="39" t="n">
        <f aca="false">IF(DO$4=0,0,IF(COUNTIFS(実績!$W$6:$W$505,DO$3,実績!$AI$6:$AI$505,"&lt;="&amp;$A216,実績!$AJ$6:$AJ$505,"&gt;"&amp;$A216,実績!$AL$6:$AL$505,"○")&gt;0,1,0))</f>
        <v>0</v>
      </c>
      <c r="DP216" s="39" t="n">
        <f aca="false">IF(DP$4=0,0,IF(COUNTIFS(実績!$W$6:$W$505,DP$3,実績!$AI$6:$AI$505,"&lt;="&amp;$A216,実績!$AJ$6:$AJ$505,"&gt;"&amp;$A216,実績!$AL$6:$AL$505,"○")&gt;0,1,0))</f>
        <v>0</v>
      </c>
      <c r="DQ216" s="39" t="n">
        <f aca="false">IF(DQ$4=0,0,IF(COUNTIFS(実績!$W$6:$W$505,DQ$3,実績!$AI$6:$AI$505,"&lt;="&amp;$A216,実績!$AJ$6:$AJ$505,"&gt;"&amp;$A216,実績!$AL$6:$AL$505,"○")&gt;0,1,0))</f>
        <v>0</v>
      </c>
      <c r="DR216" s="39" t="n">
        <f aca="false">IF(DR$4=0,0,IF(COUNTIFS(実績!$W$6:$W$505,DR$3,実績!$AI$6:$AI$505,"&lt;="&amp;$A216,実績!$AJ$6:$AJ$505,"&gt;"&amp;$A216,実績!$AL$6:$AL$505,"○")&gt;0,1,0))</f>
        <v>0</v>
      </c>
      <c r="DS216" s="39" t="n">
        <f aca="false">SUM(C216:DR216)</f>
        <v>0</v>
      </c>
    </row>
    <row r="217" customFormat="false" ht="15" hidden="false" customHeight="false" outlineLevel="0" collapsed="false">
      <c r="A217" s="0" t="n">
        <v>1055</v>
      </c>
      <c r="B217" s="38" t="n">
        <f aca="false">A217/1440</f>
        <v>0.732638888888889</v>
      </c>
      <c r="C217" s="39" t="n">
        <f aca="false">IF(C$4=0,0,IF(COUNTIFS(実績!$W$6:$W$505,C$3,実績!$AI$6:$AI$505,"&lt;="&amp;$A217,実績!$AJ$6:$AJ$505,"&gt;"&amp;$A217,実績!$AL$6:$AL$505,"○")&gt;0,1,0))</f>
        <v>0</v>
      </c>
      <c r="D217" s="39" t="n">
        <f aca="false">IF(D$4=0,0,IF(COUNTIFS(実績!$W$6:$W$505,D$3,実績!$AI$6:$AI$505,"&lt;="&amp;$A217,実績!$AJ$6:$AJ$505,"&gt;"&amp;$A217,実績!$AL$6:$AL$505,"○")&gt;0,1,0))</f>
        <v>0</v>
      </c>
      <c r="E217" s="39" t="n">
        <f aca="false">IF(E$4=0,0,IF(COUNTIFS(実績!$W$6:$W$505,E$3,実績!$AI$6:$AI$505,"&lt;="&amp;$A217,実績!$AJ$6:$AJ$505,"&gt;"&amp;$A217,実績!$AL$6:$AL$505,"○")&gt;0,1,0))</f>
        <v>0</v>
      </c>
      <c r="F217" s="39" t="n">
        <f aca="false">IF(F$4=0,0,IF(COUNTIFS(実績!$W$6:$W$505,F$3,実績!$AI$6:$AI$505,"&lt;="&amp;$A217,実績!$AJ$6:$AJ$505,"&gt;"&amp;$A217,実績!$AL$6:$AL$505,"○")&gt;0,1,0))</f>
        <v>0</v>
      </c>
      <c r="G217" s="39" t="n">
        <f aca="false">IF(G$4=0,0,IF(COUNTIFS(実績!$W$6:$W$505,G$3,実績!$AI$6:$AI$505,"&lt;="&amp;$A217,実績!$AJ$6:$AJ$505,"&gt;"&amp;$A217,実績!$AL$6:$AL$505,"○")&gt;0,1,0))</f>
        <v>0</v>
      </c>
      <c r="H217" s="39" t="n">
        <f aca="false">IF(H$4=0,0,IF(COUNTIFS(実績!$W$6:$W$505,H$3,実績!$AI$6:$AI$505,"&lt;="&amp;$A217,実績!$AJ$6:$AJ$505,"&gt;"&amp;$A217,実績!$AL$6:$AL$505,"○")&gt;0,1,0))</f>
        <v>0</v>
      </c>
      <c r="I217" s="39" t="n">
        <f aca="false">IF(I$4=0,0,IF(COUNTIFS(実績!$W$6:$W$505,I$3,実績!$AI$6:$AI$505,"&lt;="&amp;$A217,実績!$AJ$6:$AJ$505,"&gt;"&amp;$A217,実績!$AL$6:$AL$505,"○")&gt;0,1,0))</f>
        <v>0</v>
      </c>
      <c r="J217" s="39" t="n">
        <f aca="false">IF(J$4=0,0,IF(COUNTIFS(実績!$W$6:$W$505,J$3,実績!$AI$6:$AI$505,"&lt;="&amp;$A217,実績!$AJ$6:$AJ$505,"&gt;"&amp;$A217,実績!$AL$6:$AL$505,"○")&gt;0,1,0))</f>
        <v>0</v>
      </c>
      <c r="K217" s="39" t="n">
        <f aca="false">IF(K$4=0,0,IF(COUNTIFS(実績!$W$6:$W$505,K$3,実績!$AI$6:$AI$505,"&lt;="&amp;$A217,実績!$AJ$6:$AJ$505,"&gt;"&amp;$A217,実績!$AL$6:$AL$505,"○")&gt;0,1,0))</f>
        <v>0</v>
      </c>
      <c r="L217" s="39" t="n">
        <f aca="false">IF(L$4=0,0,IF(COUNTIFS(実績!$W$6:$W$505,L$3,実績!$AI$6:$AI$505,"&lt;="&amp;$A217,実績!$AJ$6:$AJ$505,"&gt;"&amp;$A217,実績!$AL$6:$AL$505,"○")&gt;0,1,0))</f>
        <v>0</v>
      </c>
      <c r="M217" s="39" t="n">
        <f aca="false">IF(M$4=0,0,IF(COUNTIFS(実績!$W$6:$W$505,M$3,実績!$AI$6:$AI$505,"&lt;="&amp;$A217,実績!$AJ$6:$AJ$505,"&gt;"&amp;$A217,実績!$AL$6:$AL$505,"○")&gt;0,1,0))</f>
        <v>0</v>
      </c>
      <c r="N217" s="39" t="n">
        <f aca="false">IF(N$4=0,0,IF(COUNTIFS(実績!$W$6:$W$505,N$3,実績!$AI$6:$AI$505,"&lt;="&amp;$A217,実績!$AJ$6:$AJ$505,"&gt;"&amp;$A217,実績!$AL$6:$AL$505,"○")&gt;0,1,0))</f>
        <v>0</v>
      </c>
      <c r="O217" s="39" t="n">
        <f aca="false">IF(O$4=0,0,IF(COUNTIFS(実績!$W$6:$W$505,O$3,実績!$AI$6:$AI$505,"&lt;="&amp;$A217,実績!$AJ$6:$AJ$505,"&gt;"&amp;$A217,実績!$AL$6:$AL$505,"○")&gt;0,1,0))</f>
        <v>0</v>
      </c>
      <c r="P217" s="39" t="n">
        <f aca="false">IF(P$4=0,0,IF(COUNTIFS(実績!$W$6:$W$505,P$3,実績!$AI$6:$AI$505,"&lt;="&amp;$A217,実績!$AJ$6:$AJ$505,"&gt;"&amp;$A217,実績!$AL$6:$AL$505,"○")&gt;0,1,0))</f>
        <v>0</v>
      </c>
      <c r="Q217" s="39" t="n">
        <f aca="false">IF(Q$4=0,0,IF(COUNTIFS(実績!$W$6:$W$505,Q$3,実績!$AI$6:$AI$505,"&lt;="&amp;$A217,実績!$AJ$6:$AJ$505,"&gt;"&amp;$A217,実績!$AL$6:$AL$505,"○")&gt;0,1,0))</f>
        <v>0</v>
      </c>
      <c r="R217" s="39" t="n">
        <f aca="false">IF(R$4=0,0,IF(COUNTIFS(実績!$W$6:$W$505,R$3,実績!$AI$6:$AI$505,"&lt;="&amp;$A217,実績!$AJ$6:$AJ$505,"&gt;"&amp;$A217,実績!$AL$6:$AL$505,"○")&gt;0,1,0))</f>
        <v>0</v>
      </c>
      <c r="S217" s="39" t="n">
        <f aca="false">IF(S$4=0,0,IF(COUNTIFS(実績!$W$6:$W$505,S$3,実績!$AI$6:$AI$505,"&lt;="&amp;$A217,実績!$AJ$6:$AJ$505,"&gt;"&amp;$A217,実績!$AL$6:$AL$505,"○")&gt;0,1,0))</f>
        <v>0</v>
      </c>
      <c r="T217" s="39" t="n">
        <f aca="false">IF(T$4=0,0,IF(COUNTIFS(実績!$W$6:$W$505,T$3,実績!$AI$6:$AI$505,"&lt;="&amp;$A217,実績!$AJ$6:$AJ$505,"&gt;"&amp;$A217,実績!$AL$6:$AL$505,"○")&gt;0,1,0))</f>
        <v>0</v>
      </c>
      <c r="U217" s="39" t="n">
        <f aca="false">IF(U$4=0,0,IF(COUNTIFS(実績!$W$6:$W$505,U$3,実績!$AI$6:$AI$505,"&lt;="&amp;$A217,実績!$AJ$6:$AJ$505,"&gt;"&amp;$A217,実績!$AL$6:$AL$505,"○")&gt;0,1,0))</f>
        <v>0</v>
      </c>
      <c r="V217" s="39" t="n">
        <f aca="false">IF(V$4=0,0,IF(COUNTIFS(実績!$W$6:$W$505,V$3,実績!$AI$6:$AI$505,"&lt;="&amp;$A217,実績!$AJ$6:$AJ$505,"&gt;"&amp;$A217,実績!$AL$6:$AL$505,"○")&gt;0,1,0))</f>
        <v>0</v>
      </c>
      <c r="W217" s="39" t="n">
        <f aca="false">IF(W$4=0,0,IF(COUNTIFS(実績!$W$6:$W$505,W$3,実績!$AI$6:$AI$505,"&lt;="&amp;$A217,実績!$AJ$6:$AJ$505,"&gt;"&amp;$A217,実績!$AL$6:$AL$505,"○")&gt;0,1,0))</f>
        <v>0</v>
      </c>
      <c r="X217" s="39" t="n">
        <f aca="false">IF(X$4=0,0,IF(COUNTIFS(実績!$W$6:$W$505,X$3,実績!$AI$6:$AI$505,"&lt;="&amp;$A217,実績!$AJ$6:$AJ$505,"&gt;"&amp;$A217,実績!$AL$6:$AL$505,"○")&gt;0,1,0))</f>
        <v>0</v>
      </c>
      <c r="Y217" s="39" t="n">
        <f aca="false">IF(Y$4=0,0,IF(COUNTIFS(実績!$W$6:$W$505,Y$3,実績!$AI$6:$AI$505,"&lt;="&amp;$A217,実績!$AJ$6:$AJ$505,"&gt;"&amp;$A217,実績!$AL$6:$AL$505,"○")&gt;0,1,0))</f>
        <v>0</v>
      </c>
      <c r="Z217" s="39" t="n">
        <f aca="false">IF(Z$4=0,0,IF(COUNTIFS(実績!$W$6:$W$505,Z$3,実績!$AI$6:$AI$505,"&lt;="&amp;$A217,実績!$AJ$6:$AJ$505,"&gt;"&amp;$A217,実績!$AL$6:$AL$505,"○")&gt;0,1,0))</f>
        <v>0</v>
      </c>
      <c r="AA217" s="39" t="n">
        <f aca="false">IF(AA$4=0,0,IF(COUNTIFS(実績!$W$6:$W$505,AA$3,実績!$AI$6:$AI$505,"&lt;="&amp;$A217,実績!$AJ$6:$AJ$505,"&gt;"&amp;$A217,実績!$AL$6:$AL$505,"○")&gt;0,1,0))</f>
        <v>0</v>
      </c>
      <c r="AB217" s="39" t="n">
        <f aca="false">IF(AB$4=0,0,IF(COUNTIFS(実績!$W$6:$W$505,AB$3,実績!$AI$6:$AI$505,"&lt;="&amp;$A217,実績!$AJ$6:$AJ$505,"&gt;"&amp;$A217,実績!$AL$6:$AL$505,"○")&gt;0,1,0))</f>
        <v>0</v>
      </c>
      <c r="AC217" s="39" t="n">
        <f aca="false">IF(AC$4=0,0,IF(COUNTIFS(実績!$W$6:$W$505,AC$3,実績!$AI$6:$AI$505,"&lt;="&amp;$A217,実績!$AJ$6:$AJ$505,"&gt;"&amp;$A217,実績!$AL$6:$AL$505,"○")&gt;0,1,0))</f>
        <v>0</v>
      </c>
      <c r="AD217" s="39" t="n">
        <f aca="false">IF(AD$4=0,0,IF(COUNTIFS(実績!$W$6:$W$505,AD$3,実績!$AI$6:$AI$505,"&lt;="&amp;$A217,実績!$AJ$6:$AJ$505,"&gt;"&amp;$A217,実績!$AL$6:$AL$505,"○")&gt;0,1,0))</f>
        <v>0</v>
      </c>
      <c r="AE217" s="39" t="n">
        <f aca="false">IF(AE$4=0,0,IF(COUNTIFS(実績!$W$6:$W$505,AE$3,実績!$AI$6:$AI$505,"&lt;="&amp;$A217,実績!$AJ$6:$AJ$505,"&gt;"&amp;$A217,実績!$AL$6:$AL$505,"○")&gt;0,1,0))</f>
        <v>0</v>
      </c>
      <c r="AF217" s="39" t="n">
        <f aca="false">IF(AF$4=0,0,IF(COUNTIFS(実績!$W$6:$W$505,AF$3,実績!$AI$6:$AI$505,"&lt;="&amp;$A217,実績!$AJ$6:$AJ$505,"&gt;"&amp;$A217,実績!$AL$6:$AL$505,"○")&gt;0,1,0))</f>
        <v>0</v>
      </c>
      <c r="AG217" s="39" t="n">
        <f aca="false">IF(AG$4=0,0,IF(COUNTIFS(実績!$W$6:$W$505,AG$3,実績!$AI$6:$AI$505,"&lt;="&amp;$A217,実績!$AJ$6:$AJ$505,"&gt;"&amp;$A217,実績!$AL$6:$AL$505,"○")&gt;0,1,0))</f>
        <v>0</v>
      </c>
      <c r="AH217" s="39" t="n">
        <f aca="false">IF(AH$4=0,0,IF(COUNTIFS(実績!$W$6:$W$505,AH$3,実績!$AI$6:$AI$505,"&lt;="&amp;$A217,実績!$AJ$6:$AJ$505,"&gt;"&amp;$A217,実績!$AL$6:$AL$505,"○")&gt;0,1,0))</f>
        <v>0</v>
      </c>
      <c r="AI217" s="39" t="n">
        <f aca="false">IF(AI$4=0,0,IF(COUNTIFS(実績!$W$6:$W$505,AI$3,実績!$AI$6:$AI$505,"&lt;="&amp;$A217,実績!$AJ$6:$AJ$505,"&gt;"&amp;$A217,実績!$AL$6:$AL$505,"○")&gt;0,1,0))</f>
        <v>0</v>
      </c>
      <c r="AJ217" s="39" t="n">
        <f aca="false">IF(AJ$4=0,0,IF(COUNTIFS(実績!$W$6:$W$505,AJ$3,実績!$AI$6:$AI$505,"&lt;="&amp;$A217,実績!$AJ$6:$AJ$505,"&gt;"&amp;$A217,実績!$AL$6:$AL$505,"○")&gt;0,1,0))</f>
        <v>0</v>
      </c>
      <c r="AK217" s="39" t="n">
        <f aca="false">IF(AK$4=0,0,IF(COUNTIFS(実績!$W$6:$W$505,AK$3,実績!$AI$6:$AI$505,"&lt;="&amp;$A217,実績!$AJ$6:$AJ$505,"&gt;"&amp;$A217,実績!$AL$6:$AL$505,"○")&gt;0,1,0))</f>
        <v>0</v>
      </c>
      <c r="AL217" s="39" t="n">
        <f aca="false">IF(AL$4=0,0,IF(COUNTIFS(実績!$W$6:$W$505,AL$3,実績!$AI$6:$AI$505,"&lt;="&amp;$A217,実績!$AJ$6:$AJ$505,"&gt;"&amp;$A217,実績!$AL$6:$AL$505,"○")&gt;0,1,0))</f>
        <v>0</v>
      </c>
      <c r="AM217" s="39" t="n">
        <f aca="false">IF(AM$4=0,0,IF(COUNTIFS(実績!$W$6:$W$505,AM$3,実績!$AI$6:$AI$505,"&lt;="&amp;$A217,実績!$AJ$6:$AJ$505,"&gt;"&amp;$A217,実績!$AL$6:$AL$505,"○")&gt;0,1,0))</f>
        <v>0</v>
      </c>
      <c r="AN217" s="39" t="n">
        <f aca="false">IF(AN$4=0,0,IF(COUNTIFS(実績!$W$6:$W$505,AN$3,実績!$AI$6:$AI$505,"&lt;="&amp;$A217,実績!$AJ$6:$AJ$505,"&gt;"&amp;$A217,実績!$AL$6:$AL$505,"○")&gt;0,1,0))</f>
        <v>0</v>
      </c>
      <c r="AO217" s="39" t="n">
        <f aca="false">IF(AO$4=0,0,IF(COUNTIFS(実績!$W$6:$W$505,AO$3,実績!$AI$6:$AI$505,"&lt;="&amp;$A217,実績!$AJ$6:$AJ$505,"&gt;"&amp;$A217,実績!$AL$6:$AL$505,"○")&gt;0,1,0))</f>
        <v>0</v>
      </c>
      <c r="AP217" s="39" t="n">
        <f aca="false">IF(AP$4=0,0,IF(COUNTIFS(実績!$W$6:$W$505,AP$3,実績!$AI$6:$AI$505,"&lt;="&amp;$A217,実績!$AJ$6:$AJ$505,"&gt;"&amp;$A217,実績!$AL$6:$AL$505,"○")&gt;0,1,0))</f>
        <v>0</v>
      </c>
      <c r="AQ217" s="39" t="n">
        <f aca="false">IF(AQ$4=0,0,IF(COUNTIFS(実績!$W$6:$W$505,AQ$3,実績!$AI$6:$AI$505,"&lt;="&amp;$A217,実績!$AJ$6:$AJ$505,"&gt;"&amp;$A217,実績!$AL$6:$AL$505,"○")&gt;0,1,0))</f>
        <v>0</v>
      </c>
      <c r="AR217" s="39" t="n">
        <f aca="false">IF(AR$4=0,0,IF(COUNTIFS(実績!$W$6:$W$505,AR$3,実績!$AI$6:$AI$505,"&lt;="&amp;$A217,実績!$AJ$6:$AJ$505,"&gt;"&amp;$A217,実績!$AL$6:$AL$505,"○")&gt;0,1,0))</f>
        <v>0</v>
      </c>
      <c r="AS217" s="39" t="n">
        <f aca="false">IF(AS$4=0,0,IF(COUNTIFS(実績!$W$6:$W$505,AS$3,実績!$AI$6:$AI$505,"&lt;="&amp;$A217,実績!$AJ$6:$AJ$505,"&gt;"&amp;$A217,実績!$AL$6:$AL$505,"○")&gt;0,1,0))</f>
        <v>0</v>
      </c>
      <c r="AT217" s="39" t="n">
        <f aca="false">IF(AT$4=0,0,IF(COUNTIFS(実績!$W$6:$W$505,AT$3,実績!$AI$6:$AI$505,"&lt;="&amp;$A217,実績!$AJ$6:$AJ$505,"&gt;"&amp;$A217,実績!$AL$6:$AL$505,"○")&gt;0,1,0))</f>
        <v>0</v>
      </c>
      <c r="AU217" s="39" t="n">
        <f aca="false">IF(AU$4=0,0,IF(COUNTIFS(実績!$W$6:$W$505,AU$3,実績!$AI$6:$AI$505,"&lt;="&amp;$A217,実績!$AJ$6:$AJ$505,"&gt;"&amp;$A217,実績!$AL$6:$AL$505,"○")&gt;0,1,0))</f>
        <v>0</v>
      </c>
      <c r="AV217" s="39" t="n">
        <f aca="false">IF(AV$4=0,0,IF(COUNTIFS(実績!$W$6:$W$505,AV$3,実績!$AI$6:$AI$505,"&lt;="&amp;$A217,実績!$AJ$6:$AJ$505,"&gt;"&amp;$A217,実績!$AL$6:$AL$505,"○")&gt;0,1,0))</f>
        <v>0</v>
      </c>
      <c r="AW217" s="39" t="n">
        <f aca="false">IF(AW$4=0,0,IF(COUNTIFS(実績!$W$6:$W$505,AW$3,実績!$AI$6:$AI$505,"&lt;="&amp;$A217,実績!$AJ$6:$AJ$505,"&gt;"&amp;$A217,実績!$AL$6:$AL$505,"○")&gt;0,1,0))</f>
        <v>0</v>
      </c>
      <c r="AX217" s="39" t="n">
        <f aca="false">IF(AX$4=0,0,IF(COUNTIFS(実績!$W$6:$W$505,AX$3,実績!$AI$6:$AI$505,"&lt;="&amp;$A217,実績!$AJ$6:$AJ$505,"&gt;"&amp;$A217,実績!$AL$6:$AL$505,"○")&gt;0,1,0))</f>
        <v>0</v>
      </c>
      <c r="AY217" s="39" t="n">
        <f aca="false">IF(AY$4=0,0,IF(COUNTIFS(実績!$W$6:$W$505,AY$3,実績!$AI$6:$AI$505,"&lt;="&amp;$A217,実績!$AJ$6:$AJ$505,"&gt;"&amp;$A217,実績!$AL$6:$AL$505,"○")&gt;0,1,0))</f>
        <v>0</v>
      </c>
      <c r="AZ217" s="39" t="n">
        <f aca="false">IF(AZ$4=0,0,IF(COUNTIFS(実績!$W$6:$W$505,AZ$3,実績!$AI$6:$AI$505,"&lt;="&amp;$A217,実績!$AJ$6:$AJ$505,"&gt;"&amp;$A217,実績!$AL$6:$AL$505,"○")&gt;0,1,0))</f>
        <v>0</v>
      </c>
      <c r="BA217" s="39" t="n">
        <f aca="false">IF(BA$4=0,0,IF(COUNTIFS(実績!$W$6:$W$505,BA$3,実績!$AI$6:$AI$505,"&lt;="&amp;$A217,実績!$AJ$6:$AJ$505,"&gt;"&amp;$A217,実績!$AL$6:$AL$505,"○")&gt;0,1,0))</f>
        <v>0</v>
      </c>
      <c r="BB217" s="39" t="n">
        <f aca="false">IF(BB$4=0,0,IF(COUNTIFS(実績!$W$6:$W$505,BB$3,実績!$AI$6:$AI$505,"&lt;="&amp;$A217,実績!$AJ$6:$AJ$505,"&gt;"&amp;$A217,実績!$AL$6:$AL$505,"○")&gt;0,1,0))</f>
        <v>0</v>
      </c>
      <c r="BC217" s="39" t="n">
        <f aca="false">IF(BC$4=0,0,IF(COUNTIFS(実績!$W$6:$W$505,BC$3,実績!$AI$6:$AI$505,"&lt;="&amp;$A217,実績!$AJ$6:$AJ$505,"&gt;"&amp;$A217,実績!$AL$6:$AL$505,"○")&gt;0,1,0))</f>
        <v>0</v>
      </c>
      <c r="BD217" s="39" t="n">
        <f aca="false">IF(BD$4=0,0,IF(COUNTIFS(実績!$W$6:$W$505,BD$3,実績!$AI$6:$AI$505,"&lt;="&amp;$A217,実績!$AJ$6:$AJ$505,"&gt;"&amp;$A217,実績!$AL$6:$AL$505,"○")&gt;0,1,0))</f>
        <v>0</v>
      </c>
      <c r="BE217" s="39" t="n">
        <f aca="false">IF(BE$4=0,0,IF(COUNTIFS(実績!$W$6:$W$505,BE$3,実績!$AI$6:$AI$505,"&lt;="&amp;$A217,実績!$AJ$6:$AJ$505,"&gt;"&amp;$A217,実績!$AL$6:$AL$505,"○")&gt;0,1,0))</f>
        <v>0</v>
      </c>
      <c r="BF217" s="39" t="n">
        <f aca="false">IF(BF$4=0,0,IF(COUNTIFS(実績!$W$6:$W$505,BF$3,実績!$AI$6:$AI$505,"&lt;="&amp;$A217,実績!$AJ$6:$AJ$505,"&gt;"&amp;$A217,実績!$AL$6:$AL$505,"○")&gt;0,1,0))</f>
        <v>0</v>
      </c>
      <c r="BG217" s="39" t="n">
        <f aca="false">IF(BG$4=0,0,IF(COUNTIFS(実績!$W$6:$W$505,BG$3,実績!$AI$6:$AI$505,"&lt;="&amp;$A217,実績!$AJ$6:$AJ$505,"&gt;"&amp;$A217,実績!$AL$6:$AL$505,"○")&gt;0,1,0))</f>
        <v>0</v>
      </c>
      <c r="BH217" s="39" t="n">
        <f aca="false">IF(BH$4=0,0,IF(COUNTIFS(実績!$W$6:$W$505,BH$3,実績!$AI$6:$AI$505,"&lt;="&amp;$A217,実績!$AJ$6:$AJ$505,"&gt;"&amp;$A217,実績!$AL$6:$AL$505,"○")&gt;0,1,0))</f>
        <v>0</v>
      </c>
      <c r="BI217" s="39" t="n">
        <f aca="false">IF(BI$4=0,0,IF(COUNTIFS(実績!$W$6:$W$505,BI$3,実績!$AI$6:$AI$505,"&lt;="&amp;$A217,実績!$AJ$6:$AJ$505,"&gt;"&amp;$A217,実績!$AL$6:$AL$505,"○")&gt;0,1,0))</f>
        <v>0</v>
      </c>
      <c r="BJ217" s="39" t="n">
        <f aca="false">IF(BJ$4=0,0,IF(COUNTIFS(実績!$W$6:$W$505,BJ$3,実績!$AI$6:$AI$505,"&lt;="&amp;$A217,実績!$AJ$6:$AJ$505,"&gt;"&amp;$A217,実績!$AL$6:$AL$505,"○")&gt;0,1,0))</f>
        <v>0</v>
      </c>
      <c r="BK217" s="39" t="n">
        <f aca="false">IF(BK$4=0,0,IF(COUNTIFS(実績!$W$6:$W$505,BK$3,実績!$AI$6:$AI$505,"&lt;="&amp;$A217,実績!$AJ$6:$AJ$505,"&gt;"&amp;$A217,実績!$AL$6:$AL$505,"○")&gt;0,1,0))</f>
        <v>0</v>
      </c>
      <c r="BL217" s="39" t="n">
        <f aca="false">IF(BL$4=0,0,IF(COUNTIFS(実績!$W$6:$W$505,BL$3,実績!$AI$6:$AI$505,"&lt;="&amp;$A217,実績!$AJ$6:$AJ$505,"&gt;"&amp;$A217,実績!$AL$6:$AL$505,"○")&gt;0,1,0))</f>
        <v>0</v>
      </c>
      <c r="BM217" s="39" t="n">
        <f aca="false">IF(BM$4=0,0,IF(COUNTIFS(実績!$W$6:$W$505,BM$3,実績!$AI$6:$AI$505,"&lt;="&amp;$A217,実績!$AJ$6:$AJ$505,"&gt;"&amp;$A217,実績!$AL$6:$AL$505,"○")&gt;0,1,0))</f>
        <v>0</v>
      </c>
      <c r="BN217" s="39" t="n">
        <f aca="false">IF(BN$4=0,0,IF(COUNTIFS(実績!$W$6:$W$505,BN$3,実績!$AI$6:$AI$505,"&lt;="&amp;$A217,実績!$AJ$6:$AJ$505,"&gt;"&amp;$A217,実績!$AL$6:$AL$505,"○")&gt;0,1,0))</f>
        <v>0</v>
      </c>
      <c r="BO217" s="39" t="n">
        <f aca="false">IF(BO$4=0,0,IF(COUNTIFS(実績!$W$6:$W$505,BO$3,実績!$AI$6:$AI$505,"&lt;="&amp;$A217,実績!$AJ$6:$AJ$505,"&gt;"&amp;$A217,実績!$AL$6:$AL$505,"○")&gt;0,1,0))</f>
        <v>0</v>
      </c>
      <c r="BP217" s="39" t="n">
        <f aca="false">IF(BP$4=0,0,IF(COUNTIFS(実績!$W$6:$W$505,BP$3,実績!$AI$6:$AI$505,"&lt;="&amp;$A217,実績!$AJ$6:$AJ$505,"&gt;"&amp;$A217,実績!$AL$6:$AL$505,"○")&gt;0,1,0))</f>
        <v>0</v>
      </c>
      <c r="BQ217" s="39" t="n">
        <f aca="false">IF(BQ$4=0,0,IF(COUNTIFS(実績!$W$6:$W$505,BQ$3,実績!$AI$6:$AI$505,"&lt;="&amp;$A217,実績!$AJ$6:$AJ$505,"&gt;"&amp;$A217,実績!$AL$6:$AL$505,"○")&gt;0,1,0))</f>
        <v>0</v>
      </c>
      <c r="BR217" s="39" t="n">
        <f aca="false">IF(BR$4=0,0,IF(COUNTIFS(実績!$W$6:$W$505,BR$3,実績!$AI$6:$AI$505,"&lt;="&amp;$A217,実績!$AJ$6:$AJ$505,"&gt;"&amp;$A217,実績!$AL$6:$AL$505,"○")&gt;0,1,0))</f>
        <v>0</v>
      </c>
      <c r="BS217" s="39" t="n">
        <f aca="false">IF(BS$4=0,0,IF(COUNTIFS(実績!$W$6:$W$505,BS$3,実績!$AI$6:$AI$505,"&lt;="&amp;$A217,実績!$AJ$6:$AJ$505,"&gt;"&amp;$A217,実績!$AL$6:$AL$505,"○")&gt;0,1,0))</f>
        <v>0</v>
      </c>
      <c r="BT217" s="39" t="n">
        <f aca="false">IF(BT$4=0,0,IF(COUNTIFS(実績!$W$6:$W$505,BT$3,実績!$AI$6:$AI$505,"&lt;="&amp;$A217,実績!$AJ$6:$AJ$505,"&gt;"&amp;$A217,実績!$AL$6:$AL$505,"○")&gt;0,1,0))</f>
        <v>0</v>
      </c>
      <c r="BU217" s="39" t="n">
        <f aca="false">IF(BU$4=0,0,IF(COUNTIFS(実績!$W$6:$W$505,BU$3,実績!$AI$6:$AI$505,"&lt;="&amp;$A217,実績!$AJ$6:$AJ$505,"&gt;"&amp;$A217,実績!$AL$6:$AL$505,"○")&gt;0,1,0))</f>
        <v>0</v>
      </c>
      <c r="BV217" s="39" t="n">
        <f aca="false">IF(BV$4=0,0,IF(COUNTIFS(実績!$W$6:$W$505,BV$3,実績!$AI$6:$AI$505,"&lt;="&amp;$A217,実績!$AJ$6:$AJ$505,"&gt;"&amp;$A217,実績!$AL$6:$AL$505,"○")&gt;0,1,0))</f>
        <v>0</v>
      </c>
      <c r="BW217" s="39" t="n">
        <f aca="false">IF(BW$4=0,0,IF(COUNTIFS(実績!$W$6:$W$505,BW$3,実績!$AI$6:$AI$505,"&lt;="&amp;$A217,実績!$AJ$6:$AJ$505,"&gt;"&amp;$A217,実績!$AL$6:$AL$505,"○")&gt;0,1,0))</f>
        <v>0</v>
      </c>
      <c r="BX217" s="39" t="n">
        <f aca="false">IF(BX$4=0,0,IF(COUNTIFS(実績!$W$6:$W$505,BX$3,実績!$AI$6:$AI$505,"&lt;="&amp;$A217,実績!$AJ$6:$AJ$505,"&gt;"&amp;$A217,実績!$AL$6:$AL$505,"○")&gt;0,1,0))</f>
        <v>0</v>
      </c>
      <c r="BY217" s="39" t="n">
        <f aca="false">IF(BY$4=0,0,IF(COUNTIFS(実績!$W$6:$W$505,BY$3,実績!$AI$6:$AI$505,"&lt;="&amp;$A217,実績!$AJ$6:$AJ$505,"&gt;"&amp;$A217,実績!$AL$6:$AL$505,"○")&gt;0,1,0))</f>
        <v>0</v>
      </c>
      <c r="BZ217" s="39" t="n">
        <f aca="false">IF(BZ$4=0,0,IF(COUNTIFS(実績!$W$6:$W$505,BZ$3,実績!$AI$6:$AI$505,"&lt;="&amp;$A217,実績!$AJ$6:$AJ$505,"&gt;"&amp;$A217,実績!$AL$6:$AL$505,"○")&gt;0,1,0))</f>
        <v>0</v>
      </c>
      <c r="CA217" s="39" t="n">
        <f aca="false">IF(CA$4=0,0,IF(COUNTIFS(実績!$W$6:$W$505,CA$3,実績!$AI$6:$AI$505,"&lt;="&amp;$A217,実績!$AJ$6:$AJ$505,"&gt;"&amp;$A217,実績!$AL$6:$AL$505,"○")&gt;0,1,0))</f>
        <v>0</v>
      </c>
      <c r="CB217" s="39" t="n">
        <f aca="false">IF(CB$4=0,0,IF(COUNTIFS(実績!$W$6:$W$505,CB$3,実績!$AI$6:$AI$505,"&lt;="&amp;$A217,実績!$AJ$6:$AJ$505,"&gt;"&amp;$A217,実績!$AL$6:$AL$505,"○")&gt;0,1,0))</f>
        <v>0</v>
      </c>
      <c r="CC217" s="39" t="n">
        <f aca="false">IF(CC$4=0,0,IF(COUNTIFS(実績!$W$6:$W$505,CC$3,実績!$AI$6:$AI$505,"&lt;="&amp;$A217,実績!$AJ$6:$AJ$505,"&gt;"&amp;$A217,実績!$AL$6:$AL$505,"○")&gt;0,1,0))</f>
        <v>0</v>
      </c>
      <c r="CD217" s="39" t="n">
        <f aca="false">IF(CD$4=0,0,IF(COUNTIFS(実績!$W$6:$W$505,CD$3,実績!$AI$6:$AI$505,"&lt;="&amp;$A217,実績!$AJ$6:$AJ$505,"&gt;"&amp;$A217,実績!$AL$6:$AL$505,"○")&gt;0,1,0))</f>
        <v>0</v>
      </c>
      <c r="CE217" s="39" t="n">
        <f aca="false">IF(CE$4=0,0,IF(COUNTIFS(実績!$W$6:$W$505,CE$3,実績!$AI$6:$AI$505,"&lt;="&amp;$A217,実績!$AJ$6:$AJ$505,"&gt;"&amp;$A217,実績!$AL$6:$AL$505,"○")&gt;0,1,0))</f>
        <v>0</v>
      </c>
      <c r="CF217" s="39" t="n">
        <f aca="false">IF(CF$4=0,0,IF(COUNTIFS(実績!$W$6:$W$505,CF$3,実績!$AI$6:$AI$505,"&lt;="&amp;$A217,実績!$AJ$6:$AJ$505,"&gt;"&amp;$A217,実績!$AL$6:$AL$505,"○")&gt;0,1,0))</f>
        <v>0</v>
      </c>
      <c r="CG217" s="39" t="n">
        <f aca="false">IF(CG$4=0,0,IF(COUNTIFS(実績!$W$6:$W$505,CG$3,実績!$AI$6:$AI$505,"&lt;="&amp;$A217,実績!$AJ$6:$AJ$505,"&gt;"&amp;$A217,実績!$AL$6:$AL$505,"○")&gt;0,1,0))</f>
        <v>0</v>
      </c>
      <c r="CH217" s="39" t="n">
        <f aca="false">IF(CH$4=0,0,IF(COUNTIFS(実績!$W$6:$W$505,CH$3,実績!$AI$6:$AI$505,"&lt;="&amp;$A217,実績!$AJ$6:$AJ$505,"&gt;"&amp;$A217,実績!$AL$6:$AL$505,"○")&gt;0,1,0))</f>
        <v>0</v>
      </c>
      <c r="CI217" s="39" t="n">
        <f aca="false">IF(CI$4=0,0,IF(COUNTIFS(実績!$W$6:$W$505,CI$3,実績!$AI$6:$AI$505,"&lt;="&amp;$A217,実績!$AJ$6:$AJ$505,"&gt;"&amp;$A217,実績!$AL$6:$AL$505,"○")&gt;0,1,0))</f>
        <v>0</v>
      </c>
      <c r="CJ217" s="39" t="n">
        <f aca="false">IF(CJ$4=0,0,IF(COUNTIFS(実績!$W$6:$W$505,CJ$3,実績!$AI$6:$AI$505,"&lt;="&amp;$A217,実績!$AJ$6:$AJ$505,"&gt;"&amp;$A217,実績!$AL$6:$AL$505,"○")&gt;0,1,0))</f>
        <v>0</v>
      </c>
      <c r="CK217" s="39" t="n">
        <f aca="false">IF(CK$4=0,0,IF(COUNTIFS(実績!$W$6:$W$505,CK$3,実績!$AI$6:$AI$505,"&lt;="&amp;$A217,実績!$AJ$6:$AJ$505,"&gt;"&amp;$A217,実績!$AL$6:$AL$505,"○")&gt;0,1,0))</f>
        <v>0</v>
      </c>
      <c r="CL217" s="39" t="n">
        <f aca="false">IF(CL$4=0,0,IF(COUNTIFS(実績!$W$6:$W$505,CL$3,実績!$AI$6:$AI$505,"&lt;="&amp;$A217,実績!$AJ$6:$AJ$505,"&gt;"&amp;$A217,実績!$AL$6:$AL$505,"○")&gt;0,1,0))</f>
        <v>0</v>
      </c>
      <c r="CM217" s="39" t="n">
        <f aca="false">IF(CM$4=0,0,IF(COUNTIFS(実績!$W$6:$W$505,CM$3,実績!$AI$6:$AI$505,"&lt;="&amp;$A217,実績!$AJ$6:$AJ$505,"&gt;"&amp;$A217,実績!$AL$6:$AL$505,"○")&gt;0,1,0))</f>
        <v>0</v>
      </c>
      <c r="CN217" s="39" t="n">
        <f aca="false">IF(CN$4=0,0,IF(COUNTIFS(実績!$W$6:$W$505,CN$3,実績!$AI$6:$AI$505,"&lt;="&amp;$A217,実績!$AJ$6:$AJ$505,"&gt;"&amp;$A217,実績!$AL$6:$AL$505,"○")&gt;0,1,0))</f>
        <v>0</v>
      </c>
      <c r="CO217" s="39" t="n">
        <f aca="false">IF(CO$4=0,0,IF(COUNTIFS(実績!$W$6:$W$505,CO$3,実績!$AI$6:$AI$505,"&lt;="&amp;$A217,実績!$AJ$6:$AJ$505,"&gt;"&amp;$A217,実績!$AL$6:$AL$505,"○")&gt;0,1,0))</f>
        <v>0</v>
      </c>
      <c r="CP217" s="39" t="n">
        <f aca="false">IF(CP$4=0,0,IF(COUNTIFS(実績!$W$6:$W$505,CP$3,実績!$AI$6:$AI$505,"&lt;="&amp;$A217,実績!$AJ$6:$AJ$505,"&gt;"&amp;$A217,実績!$AL$6:$AL$505,"○")&gt;0,1,0))</f>
        <v>0</v>
      </c>
      <c r="CQ217" s="39" t="n">
        <f aca="false">IF(CQ$4=0,0,IF(COUNTIFS(実績!$W$6:$W$505,CQ$3,実績!$AI$6:$AI$505,"&lt;="&amp;$A217,実績!$AJ$6:$AJ$505,"&gt;"&amp;$A217,実績!$AL$6:$AL$505,"○")&gt;0,1,0))</f>
        <v>0</v>
      </c>
      <c r="CR217" s="39" t="n">
        <f aca="false">IF(CR$4=0,0,IF(COUNTIFS(実績!$W$6:$W$505,CR$3,実績!$AI$6:$AI$505,"&lt;="&amp;$A217,実績!$AJ$6:$AJ$505,"&gt;"&amp;$A217,実績!$AL$6:$AL$505,"○")&gt;0,1,0))</f>
        <v>0</v>
      </c>
      <c r="CS217" s="39" t="n">
        <f aca="false">IF(CS$4=0,0,IF(COUNTIFS(実績!$W$6:$W$505,CS$3,実績!$AI$6:$AI$505,"&lt;="&amp;$A217,実績!$AJ$6:$AJ$505,"&gt;"&amp;$A217,実績!$AL$6:$AL$505,"○")&gt;0,1,0))</f>
        <v>0</v>
      </c>
      <c r="CT217" s="39" t="n">
        <f aca="false">IF(CT$4=0,0,IF(COUNTIFS(実績!$W$6:$W$505,CT$3,実績!$AI$6:$AI$505,"&lt;="&amp;$A217,実績!$AJ$6:$AJ$505,"&gt;"&amp;$A217,実績!$AL$6:$AL$505,"○")&gt;0,1,0))</f>
        <v>0</v>
      </c>
      <c r="CU217" s="39" t="n">
        <f aca="false">IF(CU$4=0,0,IF(COUNTIFS(実績!$W$6:$W$505,CU$3,実績!$AI$6:$AI$505,"&lt;="&amp;$A217,実績!$AJ$6:$AJ$505,"&gt;"&amp;$A217,実績!$AL$6:$AL$505,"○")&gt;0,1,0))</f>
        <v>0</v>
      </c>
      <c r="CV217" s="39" t="n">
        <f aca="false">IF(CV$4=0,0,IF(COUNTIFS(実績!$W$6:$W$505,CV$3,実績!$AI$6:$AI$505,"&lt;="&amp;$A217,実績!$AJ$6:$AJ$505,"&gt;"&amp;$A217,実績!$AL$6:$AL$505,"○")&gt;0,1,0))</f>
        <v>0</v>
      </c>
      <c r="CW217" s="39" t="n">
        <f aca="false">IF(CW$4=0,0,IF(COUNTIFS(実績!$W$6:$W$505,CW$3,実績!$AI$6:$AI$505,"&lt;="&amp;$A217,実績!$AJ$6:$AJ$505,"&gt;"&amp;$A217,実績!$AL$6:$AL$505,"○")&gt;0,1,0))</f>
        <v>0</v>
      </c>
      <c r="CX217" s="39" t="n">
        <f aca="false">IF(CX$4=0,0,IF(COUNTIFS(実績!$W$6:$W$505,CX$3,実績!$AI$6:$AI$505,"&lt;="&amp;$A217,実績!$AJ$6:$AJ$505,"&gt;"&amp;$A217,実績!$AL$6:$AL$505,"○")&gt;0,1,0))</f>
        <v>0</v>
      </c>
      <c r="CY217" s="39" t="n">
        <f aca="false">IF(CY$4=0,0,IF(COUNTIFS(実績!$W$6:$W$505,CY$3,実績!$AI$6:$AI$505,"&lt;="&amp;$A217,実績!$AJ$6:$AJ$505,"&gt;"&amp;$A217,実績!$AL$6:$AL$505,"○")&gt;0,1,0))</f>
        <v>0</v>
      </c>
      <c r="CZ217" s="39" t="n">
        <f aca="false">IF(CZ$4=0,0,IF(COUNTIFS(実績!$W$6:$W$505,CZ$3,実績!$AI$6:$AI$505,"&lt;="&amp;$A217,実績!$AJ$6:$AJ$505,"&gt;"&amp;$A217,実績!$AL$6:$AL$505,"○")&gt;0,1,0))</f>
        <v>0</v>
      </c>
      <c r="DA217" s="39" t="n">
        <f aca="false">IF(DA$4=0,0,IF(COUNTIFS(実績!$W$6:$W$505,DA$3,実績!$AI$6:$AI$505,"&lt;="&amp;$A217,実績!$AJ$6:$AJ$505,"&gt;"&amp;$A217,実績!$AL$6:$AL$505,"○")&gt;0,1,0))</f>
        <v>0</v>
      </c>
      <c r="DB217" s="39" t="n">
        <f aca="false">IF(DB$4=0,0,IF(COUNTIFS(実績!$W$6:$W$505,DB$3,実績!$AI$6:$AI$505,"&lt;="&amp;$A217,実績!$AJ$6:$AJ$505,"&gt;"&amp;$A217,実績!$AL$6:$AL$505,"○")&gt;0,1,0))</f>
        <v>0</v>
      </c>
      <c r="DC217" s="39" t="n">
        <f aca="false">IF(DC$4=0,0,IF(COUNTIFS(実績!$W$6:$W$505,DC$3,実績!$AI$6:$AI$505,"&lt;="&amp;$A217,実績!$AJ$6:$AJ$505,"&gt;"&amp;$A217,実績!$AL$6:$AL$505,"○")&gt;0,1,0))</f>
        <v>0</v>
      </c>
      <c r="DD217" s="39" t="n">
        <f aca="false">IF(DD$4=0,0,IF(COUNTIFS(実績!$W$6:$W$505,DD$3,実績!$AI$6:$AI$505,"&lt;="&amp;$A217,実績!$AJ$6:$AJ$505,"&gt;"&amp;$A217,実績!$AL$6:$AL$505,"○")&gt;0,1,0))</f>
        <v>0</v>
      </c>
      <c r="DE217" s="39" t="n">
        <f aca="false">IF(DE$4=0,0,IF(COUNTIFS(実績!$W$6:$W$505,DE$3,実績!$AI$6:$AI$505,"&lt;="&amp;$A217,実績!$AJ$6:$AJ$505,"&gt;"&amp;$A217,実績!$AL$6:$AL$505,"○")&gt;0,1,0))</f>
        <v>0</v>
      </c>
      <c r="DF217" s="39" t="n">
        <f aca="false">IF(DF$4=0,0,IF(COUNTIFS(実績!$W$6:$W$505,DF$3,実績!$AI$6:$AI$505,"&lt;="&amp;$A217,実績!$AJ$6:$AJ$505,"&gt;"&amp;$A217,実績!$AL$6:$AL$505,"○")&gt;0,1,0))</f>
        <v>0</v>
      </c>
      <c r="DG217" s="39" t="n">
        <f aca="false">IF(DG$4=0,0,IF(COUNTIFS(実績!$W$6:$W$505,DG$3,実績!$AI$6:$AI$505,"&lt;="&amp;$A217,実績!$AJ$6:$AJ$505,"&gt;"&amp;$A217,実績!$AL$6:$AL$505,"○")&gt;0,1,0))</f>
        <v>0</v>
      </c>
      <c r="DH217" s="39" t="n">
        <f aca="false">IF(DH$4=0,0,IF(COUNTIFS(実績!$W$6:$W$505,DH$3,実績!$AI$6:$AI$505,"&lt;="&amp;$A217,実績!$AJ$6:$AJ$505,"&gt;"&amp;$A217,実績!$AL$6:$AL$505,"○")&gt;0,1,0))</f>
        <v>0</v>
      </c>
      <c r="DI217" s="39" t="n">
        <f aca="false">IF(DI$4=0,0,IF(COUNTIFS(実績!$W$6:$W$505,DI$3,実績!$AI$6:$AI$505,"&lt;="&amp;$A217,実績!$AJ$6:$AJ$505,"&gt;"&amp;$A217,実績!$AL$6:$AL$505,"○")&gt;0,1,0))</f>
        <v>0</v>
      </c>
      <c r="DJ217" s="39" t="n">
        <f aca="false">IF(DJ$4=0,0,IF(COUNTIFS(実績!$W$6:$W$505,DJ$3,実績!$AI$6:$AI$505,"&lt;="&amp;$A217,実績!$AJ$6:$AJ$505,"&gt;"&amp;$A217,実績!$AL$6:$AL$505,"○")&gt;0,1,0))</f>
        <v>0</v>
      </c>
      <c r="DK217" s="39" t="n">
        <f aca="false">IF(DK$4=0,0,IF(COUNTIFS(実績!$W$6:$W$505,DK$3,実績!$AI$6:$AI$505,"&lt;="&amp;$A217,実績!$AJ$6:$AJ$505,"&gt;"&amp;$A217,実績!$AL$6:$AL$505,"○")&gt;0,1,0))</f>
        <v>0</v>
      </c>
      <c r="DL217" s="39" t="n">
        <f aca="false">IF(DL$4=0,0,IF(COUNTIFS(実績!$W$6:$W$505,DL$3,実績!$AI$6:$AI$505,"&lt;="&amp;$A217,実績!$AJ$6:$AJ$505,"&gt;"&amp;$A217,実績!$AL$6:$AL$505,"○")&gt;0,1,0))</f>
        <v>0</v>
      </c>
      <c r="DM217" s="39" t="n">
        <f aca="false">IF(DM$4=0,0,IF(COUNTIFS(実績!$W$6:$W$505,DM$3,実績!$AI$6:$AI$505,"&lt;="&amp;$A217,実績!$AJ$6:$AJ$505,"&gt;"&amp;$A217,実績!$AL$6:$AL$505,"○")&gt;0,1,0))</f>
        <v>0</v>
      </c>
      <c r="DN217" s="39" t="n">
        <f aca="false">IF(DN$4=0,0,IF(COUNTIFS(実績!$W$6:$W$505,DN$3,実績!$AI$6:$AI$505,"&lt;="&amp;$A217,実績!$AJ$6:$AJ$505,"&gt;"&amp;$A217,実績!$AL$6:$AL$505,"○")&gt;0,1,0))</f>
        <v>0</v>
      </c>
      <c r="DO217" s="39" t="n">
        <f aca="false">IF(DO$4=0,0,IF(COUNTIFS(実績!$W$6:$W$505,DO$3,実績!$AI$6:$AI$505,"&lt;="&amp;$A217,実績!$AJ$6:$AJ$505,"&gt;"&amp;$A217,実績!$AL$6:$AL$505,"○")&gt;0,1,0))</f>
        <v>0</v>
      </c>
      <c r="DP217" s="39" t="n">
        <f aca="false">IF(DP$4=0,0,IF(COUNTIFS(実績!$W$6:$W$505,DP$3,実績!$AI$6:$AI$505,"&lt;="&amp;$A217,実績!$AJ$6:$AJ$505,"&gt;"&amp;$A217,実績!$AL$6:$AL$505,"○")&gt;0,1,0))</f>
        <v>0</v>
      </c>
      <c r="DQ217" s="39" t="n">
        <f aca="false">IF(DQ$4=0,0,IF(COUNTIFS(実績!$W$6:$W$505,DQ$3,実績!$AI$6:$AI$505,"&lt;="&amp;$A217,実績!$AJ$6:$AJ$505,"&gt;"&amp;$A217,実績!$AL$6:$AL$505,"○")&gt;0,1,0))</f>
        <v>0</v>
      </c>
      <c r="DR217" s="39" t="n">
        <f aca="false">IF(DR$4=0,0,IF(COUNTIFS(実績!$W$6:$W$505,DR$3,実績!$AI$6:$AI$505,"&lt;="&amp;$A217,実績!$AJ$6:$AJ$505,"&gt;"&amp;$A217,実績!$AL$6:$AL$505,"○")&gt;0,1,0))</f>
        <v>0</v>
      </c>
      <c r="DS217" s="39" t="n">
        <f aca="false">SUM(C217:DR217)</f>
        <v>0</v>
      </c>
    </row>
    <row r="218" customFormat="false" ht="15" hidden="false" customHeight="false" outlineLevel="0" collapsed="false">
      <c r="A218" s="0" t="n">
        <v>1060</v>
      </c>
      <c r="B218" s="38" t="n">
        <f aca="false">A218/1440</f>
        <v>0.736111111111111</v>
      </c>
      <c r="C218" s="39" t="n">
        <f aca="false">IF(C$4=0,0,IF(COUNTIFS(実績!$W$6:$W$505,C$3,実績!$AI$6:$AI$505,"&lt;="&amp;$A218,実績!$AJ$6:$AJ$505,"&gt;"&amp;$A218,実績!$AL$6:$AL$505,"○")&gt;0,1,0))</f>
        <v>0</v>
      </c>
      <c r="D218" s="39" t="n">
        <f aca="false">IF(D$4=0,0,IF(COUNTIFS(実績!$W$6:$W$505,D$3,実績!$AI$6:$AI$505,"&lt;="&amp;$A218,実績!$AJ$6:$AJ$505,"&gt;"&amp;$A218,実績!$AL$6:$AL$505,"○")&gt;0,1,0))</f>
        <v>0</v>
      </c>
      <c r="E218" s="39" t="n">
        <f aca="false">IF(E$4=0,0,IF(COUNTIFS(実績!$W$6:$W$505,E$3,実績!$AI$6:$AI$505,"&lt;="&amp;$A218,実績!$AJ$6:$AJ$505,"&gt;"&amp;$A218,実績!$AL$6:$AL$505,"○")&gt;0,1,0))</f>
        <v>0</v>
      </c>
      <c r="F218" s="39" t="n">
        <f aca="false">IF(F$4=0,0,IF(COUNTIFS(実績!$W$6:$W$505,F$3,実績!$AI$6:$AI$505,"&lt;="&amp;$A218,実績!$AJ$6:$AJ$505,"&gt;"&amp;$A218,実績!$AL$6:$AL$505,"○")&gt;0,1,0))</f>
        <v>0</v>
      </c>
      <c r="G218" s="39" t="n">
        <f aca="false">IF(G$4=0,0,IF(COUNTIFS(実績!$W$6:$W$505,G$3,実績!$AI$6:$AI$505,"&lt;="&amp;$A218,実績!$AJ$6:$AJ$505,"&gt;"&amp;$A218,実績!$AL$6:$AL$505,"○")&gt;0,1,0))</f>
        <v>0</v>
      </c>
      <c r="H218" s="39" t="n">
        <f aca="false">IF(H$4=0,0,IF(COUNTIFS(実績!$W$6:$W$505,H$3,実績!$AI$6:$AI$505,"&lt;="&amp;$A218,実績!$AJ$6:$AJ$505,"&gt;"&amp;$A218,実績!$AL$6:$AL$505,"○")&gt;0,1,0))</f>
        <v>0</v>
      </c>
      <c r="I218" s="39" t="n">
        <f aca="false">IF(I$4=0,0,IF(COUNTIFS(実績!$W$6:$W$505,I$3,実績!$AI$6:$AI$505,"&lt;="&amp;$A218,実績!$AJ$6:$AJ$505,"&gt;"&amp;$A218,実績!$AL$6:$AL$505,"○")&gt;0,1,0))</f>
        <v>0</v>
      </c>
      <c r="J218" s="39" t="n">
        <f aca="false">IF(J$4=0,0,IF(COUNTIFS(実績!$W$6:$W$505,J$3,実績!$AI$6:$AI$505,"&lt;="&amp;$A218,実績!$AJ$6:$AJ$505,"&gt;"&amp;$A218,実績!$AL$6:$AL$505,"○")&gt;0,1,0))</f>
        <v>0</v>
      </c>
      <c r="K218" s="39" t="n">
        <f aca="false">IF(K$4=0,0,IF(COUNTIFS(実績!$W$6:$W$505,K$3,実績!$AI$6:$AI$505,"&lt;="&amp;$A218,実績!$AJ$6:$AJ$505,"&gt;"&amp;$A218,実績!$AL$6:$AL$505,"○")&gt;0,1,0))</f>
        <v>0</v>
      </c>
      <c r="L218" s="39" t="n">
        <f aca="false">IF(L$4=0,0,IF(COUNTIFS(実績!$W$6:$W$505,L$3,実績!$AI$6:$AI$505,"&lt;="&amp;$A218,実績!$AJ$6:$AJ$505,"&gt;"&amp;$A218,実績!$AL$6:$AL$505,"○")&gt;0,1,0))</f>
        <v>0</v>
      </c>
      <c r="M218" s="39" t="n">
        <f aca="false">IF(M$4=0,0,IF(COUNTIFS(実績!$W$6:$W$505,M$3,実績!$AI$6:$AI$505,"&lt;="&amp;$A218,実績!$AJ$6:$AJ$505,"&gt;"&amp;$A218,実績!$AL$6:$AL$505,"○")&gt;0,1,0))</f>
        <v>0</v>
      </c>
      <c r="N218" s="39" t="n">
        <f aca="false">IF(N$4=0,0,IF(COUNTIFS(実績!$W$6:$W$505,N$3,実績!$AI$6:$AI$505,"&lt;="&amp;$A218,実績!$AJ$6:$AJ$505,"&gt;"&amp;$A218,実績!$AL$6:$AL$505,"○")&gt;0,1,0))</f>
        <v>0</v>
      </c>
      <c r="O218" s="39" t="n">
        <f aca="false">IF(O$4=0,0,IF(COUNTIFS(実績!$W$6:$W$505,O$3,実績!$AI$6:$AI$505,"&lt;="&amp;$A218,実績!$AJ$6:$AJ$505,"&gt;"&amp;$A218,実績!$AL$6:$AL$505,"○")&gt;0,1,0))</f>
        <v>0</v>
      </c>
      <c r="P218" s="39" t="n">
        <f aca="false">IF(P$4=0,0,IF(COUNTIFS(実績!$W$6:$W$505,P$3,実績!$AI$6:$AI$505,"&lt;="&amp;$A218,実績!$AJ$6:$AJ$505,"&gt;"&amp;$A218,実績!$AL$6:$AL$505,"○")&gt;0,1,0))</f>
        <v>0</v>
      </c>
      <c r="Q218" s="39" t="n">
        <f aca="false">IF(Q$4=0,0,IF(COUNTIFS(実績!$W$6:$W$505,Q$3,実績!$AI$6:$AI$505,"&lt;="&amp;$A218,実績!$AJ$6:$AJ$505,"&gt;"&amp;$A218,実績!$AL$6:$AL$505,"○")&gt;0,1,0))</f>
        <v>0</v>
      </c>
      <c r="R218" s="39" t="n">
        <f aca="false">IF(R$4=0,0,IF(COUNTIFS(実績!$W$6:$W$505,R$3,実績!$AI$6:$AI$505,"&lt;="&amp;$A218,実績!$AJ$6:$AJ$505,"&gt;"&amp;$A218,実績!$AL$6:$AL$505,"○")&gt;0,1,0))</f>
        <v>0</v>
      </c>
      <c r="S218" s="39" t="n">
        <f aca="false">IF(S$4=0,0,IF(COUNTIFS(実績!$W$6:$W$505,S$3,実績!$AI$6:$AI$505,"&lt;="&amp;$A218,実績!$AJ$6:$AJ$505,"&gt;"&amp;$A218,実績!$AL$6:$AL$505,"○")&gt;0,1,0))</f>
        <v>0</v>
      </c>
      <c r="T218" s="39" t="n">
        <f aca="false">IF(T$4=0,0,IF(COUNTIFS(実績!$W$6:$W$505,T$3,実績!$AI$6:$AI$505,"&lt;="&amp;$A218,実績!$AJ$6:$AJ$505,"&gt;"&amp;$A218,実績!$AL$6:$AL$505,"○")&gt;0,1,0))</f>
        <v>0</v>
      </c>
      <c r="U218" s="39" t="n">
        <f aca="false">IF(U$4=0,0,IF(COUNTIFS(実績!$W$6:$W$505,U$3,実績!$AI$6:$AI$505,"&lt;="&amp;$A218,実績!$AJ$6:$AJ$505,"&gt;"&amp;$A218,実績!$AL$6:$AL$505,"○")&gt;0,1,0))</f>
        <v>0</v>
      </c>
      <c r="V218" s="39" t="n">
        <f aca="false">IF(V$4=0,0,IF(COUNTIFS(実績!$W$6:$W$505,V$3,実績!$AI$6:$AI$505,"&lt;="&amp;$A218,実績!$AJ$6:$AJ$505,"&gt;"&amp;$A218,実績!$AL$6:$AL$505,"○")&gt;0,1,0))</f>
        <v>0</v>
      </c>
      <c r="W218" s="39" t="n">
        <f aca="false">IF(W$4=0,0,IF(COUNTIFS(実績!$W$6:$W$505,W$3,実績!$AI$6:$AI$505,"&lt;="&amp;$A218,実績!$AJ$6:$AJ$505,"&gt;"&amp;$A218,実績!$AL$6:$AL$505,"○")&gt;0,1,0))</f>
        <v>0</v>
      </c>
      <c r="X218" s="39" t="n">
        <f aca="false">IF(X$4=0,0,IF(COUNTIFS(実績!$W$6:$W$505,X$3,実績!$AI$6:$AI$505,"&lt;="&amp;$A218,実績!$AJ$6:$AJ$505,"&gt;"&amp;$A218,実績!$AL$6:$AL$505,"○")&gt;0,1,0))</f>
        <v>0</v>
      </c>
      <c r="Y218" s="39" t="n">
        <f aca="false">IF(Y$4=0,0,IF(COUNTIFS(実績!$W$6:$W$505,Y$3,実績!$AI$6:$AI$505,"&lt;="&amp;$A218,実績!$AJ$6:$AJ$505,"&gt;"&amp;$A218,実績!$AL$6:$AL$505,"○")&gt;0,1,0))</f>
        <v>0</v>
      </c>
      <c r="Z218" s="39" t="n">
        <f aca="false">IF(Z$4=0,0,IF(COUNTIFS(実績!$W$6:$W$505,Z$3,実績!$AI$6:$AI$505,"&lt;="&amp;$A218,実績!$AJ$6:$AJ$505,"&gt;"&amp;$A218,実績!$AL$6:$AL$505,"○")&gt;0,1,0))</f>
        <v>0</v>
      </c>
      <c r="AA218" s="39" t="n">
        <f aca="false">IF(AA$4=0,0,IF(COUNTIFS(実績!$W$6:$W$505,AA$3,実績!$AI$6:$AI$505,"&lt;="&amp;$A218,実績!$AJ$6:$AJ$505,"&gt;"&amp;$A218,実績!$AL$6:$AL$505,"○")&gt;0,1,0))</f>
        <v>0</v>
      </c>
      <c r="AB218" s="39" t="n">
        <f aca="false">IF(AB$4=0,0,IF(COUNTIFS(実績!$W$6:$W$505,AB$3,実績!$AI$6:$AI$505,"&lt;="&amp;$A218,実績!$AJ$6:$AJ$505,"&gt;"&amp;$A218,実績!$AL$6:$AL$505,"○")&gt;0,1,0))</f>
        <v>0</v>
      </c>
      <c r="AC218" s="39" t="n">
        <f aca="false">IF(AC$4=0,0,IF(COUNTIFS(実績!$W$6:$W$505,AC$3,実績!$AI$6:$AI$505,"&lt;="&amp;$A218,実績!$AJ$6:$AJ$505,"&gt;"&amp;$A218,実績!$AL$6:$AL$505,"○")&gt;0,1,0))</f>
        <v>0</v>
      </c>
      <c r="AD218" s="39" t="n">
        <f aca="false">IF(AD$4=0,0,IF(COUNTIFS(実績!$W$6:$W$505,AD$3,実績!$AI$6:$AI$505,"&lt;="&amp;$A218,実績!$AJ$6:$AJ$505,"&gt;"&amp;$A218,実績!$AL$6:$AL$505,"○")&gt;0,1,0))</f>
        <v>0</v>
      </c>
      <c r="AE218" s="39" t="n">
        <f aca="false">IF(AE$4=0,0,IF(COUNTIFS(実績!$W$6:$W$505,AE$3,実績!$AI$6:$AI$505,"&lt;="&amp;$A218,実績!$AJ$6:$AJ$505,"&gt;"&amp;$A218,実績!$AL$6:$AL$505,"○")&gt;0,1,0))</f>
        <v>0</v>
      </c>
      <c r="AF218" s="39" t="n">
        <f aca="false">IF(AF$4=0,0,IF(COUNTIFS(実績!$W$6:$W$505,AF$3,実績!$AI$6:$AI$505,"&lt;="&amp;$A218,実績!$AJ$6:$AJ$505,"&gt;"&amp;$A218,実績!$AL$6:$AL$505,"○")&gt;0,1,0))</f>
        <v>0</v>
      </c>
      <c r="AG218" s="39" t="n">
        <f aca="false">IF(AG$4=0,0,IF(COUNTIFS(実績!$W$6:$W$505,AG$3,実績!$AI$6:$AI$505,"&lt;="&amp;$A218,実績!$AJ$6:$AJ$505,"&gt;"&amp;$A218,実績!$AL$6:$AL$505,"○")&gt;0,1,0))</f>
        <v>0</v>
      </c>
      <c r="AH218" s="39" t="n">
        <f aca="false">IF(AH$4=0,0,IF(COUNTIFS(実績!$W$6:$W$505,AH$3,実績!$AI$6:$AI$505,"&lt;="&amp;$A218,実績!$AJ$6:$AJ$505,"&gt;"&amp;$A218,実績!$AL$6:$AL$505,"○")&gt;0,1,0))</f>
        <v>0</v>
      </c>
      <c r="AI218" s="39" t="n">
        <f aca="false">IF(AI$4=0,0,IF(COUNTIFS(実績!$W$6:$W$505,AI$3,実績!$AI$6:$AI$505,"&lt;="&amp;$A218,実績!$AJ$6:$AJ$505,"&gt;"&amp;$A218,実績!$AL$6:$AL$505,"○")&gt;0,1,0))</f>
        <v>0</v>
      </c>
      <c r="AJ218" s="39" t="n">
        <f aca="false">IF(AJ$4=0,0,IF(COUNTIFS(実績!$W$6:$W$505,AJ$3,実績!$AI$6:$AI$505,"&lt;="&amp;$A218,実績!$AJ$6:$AJ$505,"&gt;"&amp;$A218,実績!$AL$6:$AL$505,"○")&gt;0,1,0))</f>
        <v>0</v>
      </c>
      <c r="AK218" s="39" t="n">
        <f aca="false">IF(AK$4=0,0,IF(COUNTIFS(実績!$W$6:$W$505,AK$3,実績!$AI$6:$AI$505,"&lt;="&amp;$A218,実績!$AJ$6:$AJ$505,"&gt;"&amp;$A218,実績!$AL$6:$AL$505,"○")&gt;0,1,0))</f>
        <v>0</v>
      </c>
      <c r="AL218" s="39" t="n">
        <f aca="false">IF(AL$4=0,0,IF(COUNTIFS(実績!$W$6:$W$505,AL$3,実績!$AI$6:$AI$505,"&lt;="&amp;$A218,実績!$AJ$6:$AJ$505,"&gt;"&amp;$A218,実績!$AL$6:$AL$505,"○")&gt;0,1,0))</f>
        <v>0</v>
      </c>
      <c r="AM218" s="39" t="n">
        <f aca="false">IF(AM$4=0,0,IF(COUNTIFS(実績!$W$6:$W$505,AM$3,実績!$AI$6:$AI$505,"&lt;="&amp;$A218,実績!$AJ$6:$AJ$505,"&gt;"&amp;$A218,実績!$AL$6:$AL$505,"○")&gt;0,1,0))</f>
        <v>0</v>
      </c>
      <c r="AN218" s="39" t="n">
        <f aca="false">IF(AN$4=0,0,IF(COUNTIFS(実績!$W$6:$W$505,AN$3,実績!$AI$6:$AI$505,"&lt;="&amp;$A218,実績!$AJ$6:$AJ$505,"&gt;"&amp;$A218,実績!$AL$6:$AL$505,"○")&gt;0,1,0))</f>
        <v>0</v>
      </c>
      <c r="AO218" s="39" t="n">
        <f aca="false">IF(AO$4=0,0,IF(COUNTIFS(実績!$W$6:$W$505,AO$3,実績!$AI$6:$AI$505,"&lt;="&amp;$A218,実績!$AJ$6:$AJ$505,"&gt;"&amp;$A218,実績!$AL$6:$AL$505,"○")&gt;0,1,0))</f>
        <v>0</v>
      </c>
      <c r="AP218" s="39" t="n">
        <f aca="false">IF(AP$4=0,0,IF(COUNTIFS(実績!$W$6:$W$505,AP$3,実績!$AI$6:$AI$505,"&lt;="&amp;$A218,実績!$AJ$6:$AJ$505,"&gt;"&amp;$A218,実績!$AL$6:$AL$505,"○")&gt;0,1,0))</f>
        <v>0</v>
      </c>
      <c r="AQ218" s="39" t="n">
        <f aca="false">IF(AQ$4=0,0,IF(COUNTIFS(実績!$W$6:$W$505,AQ$3,実績!$AI$6:$AI$505,"&lt;="&amp;$A218,実績!$AJ$6:$AJ$505,"&gt;"&amp;$A218,実績!$AL$6:$AL$505,"○")&gt;0,1,0))</f>
        <v>0</v>
      </c>
      <c r="AR218" s="39" t="n">
        <f aca="false">IF(AR$4=0,0,IF(COUNTIFS(実績!$W$6:$W$505,AR$3,実績!$AI$6:$AI$505,"&lt;="&amp;$A218,実績!$AJ$6:$AJ$505,"&gt;"&amp;$A218,実績!$AL$6:$AL$505,"○")&gt;0,1,0))</f>
        <v>0</v>
      </c>
      <c r="AS218" s="39" t="n">
        <f aca="false">IF(AS$4=0,0,IF(COUNTIFS(実績!$W$6:$W$505,AS$3,実績!$AI$6:$AI$505,"&lt;="&amp;$A218,実績!$AJ$6:$AJ$505,"&gt;"&amp;$A218,実績!$AL$6:$AL$505,"○")&gt;0,1,0))</f>
        <v>0</v>
      </c>
      <c r="AT218" s="39" t="n">
        <f aca="false">IF(AT$4=0,0,IF(COUNTIFS(実績!$W$6:$W$505,AT$3,実績!$AI$6:$AI$505,"&lt;="&amp;$A218,実績!$AJ$6:$AJ$505,"&gt;"&amp;$A218,実績!$AL$6:$AL$505,"○")&gt;0,1,0))</f>
        <v>0</v>
      </c>
      <c r="AU218" s="39" t="n">
        <f aca="false">IF(AU$4=0,0,IF(COUNTIFS(実績!$W$6:$W$505,AU$3,実績!$AI$6:$AI$505,"&lt;="&amp;$A218,実績!$AJ$6:$AJ$505,"&gt;"&amp;$A218,実績!$AL$6:$AL$505,"○")&gt;0,1,0))</f>
        <v>0</v>
      </c>
      <c r="AV218" s="39" t="n">
        <f aca="false">IF(AV$4=0,0,IF(COUNTIFS(実績!$W$6:$W$505,AV$3,実績!$AI$6:$AI$505,"&lt;="&amp;$A218,実績!$AJ$6:$AJ$505,"&gt;"&amp;$A218,実績!$AL$6:$AL$505,"○")&gt;0,1,0))</f>
        <v>0</v>
      </c>
      <c r="AW218" s="39" t="n">
        <f aca="false">IF(AW$4=0,0,IF(COUNTIFS(実績!$W$6:$W$505,AW$3,実績!$AI$6:$AI$505,"&lt;="&amp;$A218,実績!$AJ$6:$AJ$505,"&gt;"&amp;$A218,実績!$AL$6:$AL$505,"○")&gt;0,1,0))</f>
        <v>0</v>
      </c>
      <c r="AX218" s="39" t="n">
        <f aca="false">IF(AX$4=0,0,IF(COUNTIFS(実績!$W$6:$W$505,AX$3,実績!$AI$6:$AI$505,"&lt;="&amp;$A218,実績!$AJ$6:$AJ$505,"&gt;"&amp;$A218,実績!$AL$6:$AL$505,"○")&gt;0,1,0))</f>
        <v>0</v>
      </c>
      <c r="AY218" s="39" t="n">
        <f aca="false">IF(AY$4=0,0,IF(COUNTIFS(実績!$W$6:$W$505,AY$3,実績!$AI$6:$AI$505,"&lt;="&amp;$A218,実績!$AJ$6:$AJ$505,"&gt;"&amp;$A218,実績!$AL$6:$AL$505,"○")&gt;0,1,0))</f>
        <v>0</v>
      </c>
      <c r="AZ218" s="39" t="n">
        <f aca="false">IF(AZ$4=0,0,IF(COUNTIFS(実績!$W$6:$W$505,AZ$3,実績!$AI$6:$AI$505,"&lt;="&amp;$A218,実績!$AJ$6:$AJ$505,"&gt;"&amp;$A218,実績!$AL$6:$AL$505,"○")&gt;0,1,0))</f>
        <v>0</v>
      </c>
      <c r="BA218" s="39" t="n">
        <f aca="false">IF(BA$4=0,0,IF(COUNTIFS(実績!$W$6:$W$505,BA$3,実績!$AI$6:$AI$505,"&lt;="&amp;$A218,実績!$AJ$6:$AJ$505,"&gt;"&amp;$A218,実績!$AL$6:$AL$505,"○")&gt;0,1,0))</f>
        <v>0</v>
      </c>
      <c r="BB218" s="39" t="n">
        <f aca="false">IF(BB$4=0,0,IF(COUNTIFS(実績!$W$6:$W$505,BB$3,実績!$AI$6:$AI$505,"&lt;="&amp;$A218,実績!$AJ$6:$AJ$505,"&gt;"&amp;$A218,実績!$AL$6:$AL$505,"○")&gt;0,1,0))</f>
        <v>0</v>
      </c>
      <c r="BC218" s="39" t="n">
        <f aca="false">IF(BC$4=0,0,IF(COUNTIFS(実績!$W$6:$W$505,BC$3,実績!$AI$6:$AI$505,"&lt;="&amp;$A218,実績!$AJ$6:$AJ$505,"&gt;"&amp;$A218,実績!$AL$6:$AL$505,"○")&gt;0,1,0))</f>
        <v>0</v>
      </c>
      <c r="BD218" s="39" t="n">
        <f aca="false">IF(BD$4=0,0,IF(COUNTIFS(実績!$W$6:$W$505,BD$3,実績!$AI$6:$AI$505,"&lt;="&amp;$A218,実績!$AJ$6:$AJ$505,"&gt;"&amp;$A218,実績!$AL$6:$AL$505,"○")&gt;0,1,0))</f>
        <v>0</v>
      </c>
      <c r="BE218" s="39" t="n">
        <f aca="false">IF(BE$4=0,0,IF(COUNTIFS(実績!$W$6:$W$505,BE$3,実績!$AI$6:$AI$505,"&lt;="&amp;$A218,実績!$AJ$6:$AJ$505,"&gt;"&amp;$A218,実績!$AL$6:$AL$505,"○")&gt;0,1,0))</f>
        <v>0</v>
      </c>
      <c r="BF218" s="39" t="n">
        <f aca="false">IF(BF$4=0,0,IF(COUNTIFS(実績!$W$6:$W$505,BF$3,実績!$AI$6:$AI$505,"&lt;="&amp;$A218,実績!$AJ$6:$AJ$505,"&gt;"&amp;$A218,実績!$AL$6:$AL$505,"○")&gt;0,1,0))</f>
        <v>0</v>
      </c>
      <c r="BG218" s="39" t="n">
        <f aca="false">IF(BG$4=0,0,IF(COUNTIFS(実績!$W$6:$W$505,BG$3,実績!$AI$6:$AI$505,"&lt;="&amp;$A218,実績!$AJ$6:$AJ$505,"&gt;"&amp;$A218,実績!$AL$6:$AL$505,"○")&gt;0,1,0))</f>
        <v>0</v>
      </c>
      <c r="BH218" s="39" t="n">
        <f aca="false">IF(BH$4=0,0,IF(COUNTIFS(実績!$W$6:$W$505,BH$3,実績!$AI$6:$AI$505,"&lt;="&amp;$A218,実績!$AJ$6:$AJ$505,"&gt;"&amp;$A218,実績!$AL$6:$AL$505,"○")&gt;0,1,0))</f>
        <v>0</v>
      </c>
      <c r="BI218" s="39" t="n">
        <f aca="false">IF(BI$4=0,0,IF(COUNTIFS(実績!$W$6:$W$505,BI$3,実績!$AI$6:$AI$505,"&lt;="&amp;$A218,実績!$AJ$6:$AJ$505,"&gt;"&amp;$A218,実績!$AL$6:$AL$505,"○")&gt;0,1,0))</f>
        <v>0</v>
      </c>
      <c r="BJ218" s="39" t="n">
        <f aca="false">IF(BJ$4=0,0,IF(COUNTIFS(実績!$W$6:$W$505,BJ$3,実績!$AI$6:$AI$505,"&lt;="&amp;$A218,実績!$AJ$6:$AJ$505,"&gt;"&amp;$A218,実績!$AL$6:$AL$505,"○")&gt;0,1,0))</f>
        <v>0</v>
      </c>
      <c r="BK218" s="39" t="n">
        <f aca="false">IF(BK$4=0,0,IF(COUNTIFS(実績!$W$6:$W$505,BK$3,実績!$AI$6:$AI$505,"&lt;="&amp;$A218,実績!$AJ$6:$AJ$505,"&gt;"&amp;$A218,実績!$AL$6:$AL$505,"○")&gt;0,1,0))</f>
        <v>0</v>
      </c>
      <c r="BL218" s="39" t="n">
        <f aca="false">IF(BL$4=0,0,IF(COUNTIFS(実績!$W$6:$W$505,BL$3,実績!$AI$6:$AI$505,"&lt;="&amp;$A218,実績!$AJ$6:$AJ$505,"&gt;"&amp;$A218,実績!$AL$6:$AL$505,"○")&gt;0,1,0))</f>
        <v>0</v>
      </c>
      <c r="BM218" s="39" t="n">
        <f aca="false">IF(BM$4=0,0,IF(COUNTIFS(実績!$W$6:$W$505,BM$3,実績!$AI$6:$AI$505,"&lt;="&amp;$A218,実績!$AJ$6:$AJ$505,"&gt;"&amp;$A218,実績!$AL$6:$AL$505,"○")&gt;0,1,0))</f>
        <v>0</v>
      </c>
      <c r="BN218" s="39" t="n">
        <f aca="false">IF(BN$4=0,0,IF(COUNTIFS(実績!$W$6:$W$505,BN$3,実績!$AI$6:$AI$505,"&lt;="&amp;$A218,実績!$AJ$6:$AJ$505,"&gt;"&amp;$A218,実績!$AL$6:$AL$505,"○")&gt;0,1,0))</f>
        <v>0</v>
      </c>
      <c r="BO218" s="39" t="n">
        <f aca="false">IF(BO$4=0,0,IF(COUNTIFS(実績!$W$6:$W$505,BO$3,実績!$AI$6:$AI$505,"&lt;="&amp;$A218,実績!$AJ$6:$AJ$505,"&gt;"&amp;$A218,実績!$AL$6:$AL$505,"○")&gt;0,1,0))</f>
        <v>0</v>
      </c>
      <c r="BP218" s="39" t="n">
        <f aca="false">IF(BP$4=0,0,IF(COUNTIFS(実績!$W$6:$W$505,BP$3,実績!$AI$6:$AI$505,"&lt;="&amp;$A218,実績!$AJ$6:$AJ$505,"&gt;"&amp;$A218,実績!$AL$6:$AL$505,"○")&gt;0,1,0))</f>
        <v>0</v>
      </c>
      <c r="BQ218" s="39" t="n">
        <f aca="false">IF(BQ$4=0,0,IF(COUNTIFS(実績!$W$6:$W$505,BQ$3,実績!$AI$6:$AI$505,"&lt;="&amp;$A218,実績!$AJ$6:$AJ$505,"&gt;"&amp;$A218,実績!$AL$6:$AL$505,"○")&gt;0,1,0))</f>
        <v>0</v>
      </c>
      <c r="BR218" s="39" t="n">
        <f aca="false">IF(BR$4=0,0,IF(COUNTIFS(実績!$W$6:$W$505,BR$3,実績!$AI$6:$AI$505,"&lt;="&amp;$A218,実績!$AJ$6:$AJ$505,"&gt;"&amp;$A218,実績!$AL$6:$AL$505,"○")&gt;0,1,0))</f>
        <v>0</v>
      </c>
      <c r="BS218" s="39" t="n">
        <f aca="false">IF(BS$4=0,0,IF(COUNTIFS(実績!$W$6:$W$505,BS$3,実績!$AI$6:$AI$505,"&lt;="&amp;$A218,実績!$AJ$6:$AJ$505,"&gt;"&amp;$A218,実績!$AL$6:$AL$505,"○")&gt;0,1,0))</f>
        <v>0</v>
      </c>
      <c r="BT218" s="39" t="n">
        <f aca="false">IF(BT$4=0,0,IF(COUNTIFS(実績!$W$6:$W$505,BT$3,実績!$AI$6:$AI$505,"&lt;="&amp;$A218,実績!$AJ$6:$AJ$505,"&gt;"&amp;$A218,実績!$AL$6:$AL$505,"○")&gt;0,1,0))</f>
        <v>0</v>
      </c>
      <c r="BU218" s="39" t="n">
        <f aca="false">IF(BU$4=0,0,IF(COUNTIFS(実績!$W$6:$W$505,BU$3,実績!$AI$6:$AI$505,"&lt;="&amp;$A218,実績!$AJ$6:$AJ$505,"&gt;"&amp;$A218,実績!$AL$6:$AL$505,"○")&gt;0,1,0))</f>
        <v>0</v>
      </c>
      <c r="BV218" s="39" t="n">
        <f aca="false">IF(BV$4=0,0,IF(COUNTIFS(実績!$W$6:$W$505,BV$3,実績!$AI$6:$AI$505,"&lt;="&amp;$A218,実績!$AJ$6:$AJ$505,"&gt;"&amp;$A218,実績!$AL$6:$AL$505,"○")&gt;0,1,0))</f>
        <v>0</v>
      </c>
      <c r="BW218" s="39" t="n">
        <f aca="false">IF(BW$4=0,0,IF(COUNTIFS(実績!$W$6:$W$505,BW$3,実績!$AI$6:$AI$505,"&lt;="&amp;$A218,実績!$AJ$6:$AJ$505,"&gt;"&amp;$A218,実績!$AL$6:$AL$505,"○")&gt;0,1,0))</f>
        <v>0</v>
      </c>
      <c r="BX218" s="39" t="n">
        <f aca="false">IF(BX$4=0,0,IF(COUNTIFS(実績!$W$6:$W$505,BX$3,実績!$AI$6:$AI$505,"&lt;="&amp;$A218,実績!$AJ$6:$AJ$505,"&gt;"&amp;$A218,実績!$AL$6:$AL$505,"○")&gt;0,1,0))</f>
        <v>0</v>
      </c>
      <c r="BY218" s="39" t="n">
        <f aca="false">IF(BY$4=0,0,IF(COUNTIFS(実績!$W$6:$W$505,BY$3,実績!$AI$6:$AI$505,"&lt;="&amp;$A218,実績!$AJ$6:$AJ$505,"&gt;"&amp;$A218,実績!$AL$6:$AL$505,"○")&gt;0,1,0))</f>
        <v>0</v>
      </c>
      <c r="BZ218" s="39" t="n">
        <f aca="false">IF(BZ$4=0,0,IF(COUNTIFS(実績!$W$6:$W$505,BZ$3,実績!$AI$6:$AI$505,"&lt;="&amp;$A218,実績!$AJ$6:$AJ$505,"&gt;"&amp;$A218,実績!$AL$6:$AL$505,"○")&gt;0,1,0))</f>
        <v>0</v>
      </c>
      <c r="CA218" s="39" t="n">
        <f aca="false">IF(CA$4=0,0,IF(COUNTIFS(実績!$W$6:$W$505,CA$3,実績!$AI$6:$AI$505,"&lt;="&amp;$A218,実績!$AJ$6:$AJ$505,"&gt;"&amp;$A218,実績!$AL$6:$AL$505,"○")&gt;0,1,0))</f>
        <v>0</v>
      </c>
      <c r="CB218" s="39" t="n">
        <f aca="false">IF(CB$4=0,0,IF(COUNTIFS(実績!$W$6:$W$505,CB$3,実績!$AI$6:$AI$505,"&lt;="&amp;$A218,実績!$AJ$6:$AJ$505,"&gt;"&amp;$A218,実績!$AL$6:$AL$505,"○")&gt;0,1,0))</f>
        <v>0</v>
      </c>
      <c r="CC218" s="39" t="n">
        <f aca="false">IF(CC$4=0,0,IF(COUNTIFS(実績!$W$6:$W$505,CC$3,実績!$AI$6:$AI$505,"&lt;="&amp;$A218,実績!$AJ$6:$AJ$505,"&gt;"&amp;$A218,実績!$AL$6:$AL$505,"○")&gt;0,1,0))</f>
        <v>0</v>
      </c>
      <c r="CD218" s="39" t="n">
        <f aca="false">IF(CD$4=0,0,IF(COUNTIFS(実績!$W$6:$W$505,CD$3,実績!$AI$6:$AI$505,"&lt;="&amp;$A218,実績!$AJ$6:$AJ$505,"&gt;"&amp;$A218,実績!$AL$6:$AL$505,"○")&gt;0,1,0))</f>
        <v>0</v>
      </c>
      <c r="CE218" s="39" t="n">
        <f aca="false">IF(CE$4=0,0,IF(COUNTIFS(実績!$W$6:$W$505,CE$3,実績!$AI$6:$AI$505,"&lt;="&amp;$A218,実績!$AJ$6:$AJ$505,"&gt;"&amp;$A218,実績!$AL$6:$AL$505,"○")&gt;0,1,0))</f>
        <v>0</v>
      </c>
      <c r="CF218" s="39" t="n">
        <f aca="false">IF(CF$4=0,0,IF(COUNTIFS(実績!$W$6:$W$505,CF$3,実績!$AI$6:$AI$505,"&lt;="&amp;$A218,実績!$AJ$6:$AJ$505,"&gt;"&amp;$A218,実績!$AL$6:$AL$505,"○")&gt;0,1,0))</f>
        <v>0</v>
      </c>
      <c r="CG218" s="39" t="n">
        <f aca="false">IF(CG$4=0,0,IF(COUNTIFS(実績!$W$6:$W$505,CG$3,実績!$AI$6:$AI$505,"&lt;="&amp;$A218,実績!$AJ$6:$AJ$505,"&gt;"&amp;$A218,実績!$AL$6:$AL$505,"○")&gt;0,1,0))</f>
        <v>0</v>
      </c>
      <c r="CH218" s="39" t="n">
        <f aca="false">IF(CH$4=0,0,IF(COUNTIFS(実績!$W$6:$W$505,CH$3,実績!$AI$6:$AI$505,"&lt;="&amp;$A218,実績!$AJ$6:$AJ$505,"&gt;"&amp;$A218,実績!$AL$6:$AL$505,"○")&gt;0,1,0))</f>
        <v>0</v>
      </c>
      <c r="CI218" s="39" t="n">
        <f aca="false">IF(CI$4=0,0,IF(COUNTIFS(実績!$W$6:$W$505,CI$3,実績!$AI$6:$AI$505,"&lt;="&amp;$A218,実績!$AJ$6:$AJ$505,"&gt;"&amp;$A218,実績!$AL$6:$AL$505,"○")&gt;0,1,0))</f>
        <v>0</v>
      </c>
      <c r="CJ218" s="39" t="n">
        <f aca="false">IF(CJ$4=0,0,IF(COUNTIFS(実績!$W$6:$W$505,CJ$3,実績!$AI$6:$AI$505,"&lt;="&amp;$A218,実績!$AJ$6:$AJ$505,"&gt;"&amp;$A218,実績!$AL$6:$AL$505,"○")&gt;0,1,0))</f>
        <v>0</v>
      </c>
      <c r="CK218" s="39" t="n">
        <f aca="false">IF(CK$4=0,0,IF(COUNTIFS(実績!$W$6:$W$505,CK$3,実績!$AI$6:$AI$505,"&lt;="&amp;$A218,実績!$AJ$6:$AJ$505,"&gt;"&amp;$A218,実績!$AL$6:$AL$505,"○")&gt;0,1,0))</f>
        <v>0</v>
      </c>
      <c r="CL218" s="39" t="n">
        <f aca="false">IF(CL$4=0,0,IF(COUNTIFS(実績!$W$6:$W$505,CL$3,実績!$AI$6:$AI$505,"&lt;="&amp;$A218,実績!$AJ$6:$AJ$505,"&gt;"&amp;$A218,実績!$AL$6:$AL$505,"○")&gt;0,1,0))</f>
        <v>0</v>
      </c>
      <c r="CM218" s="39" t="n">
        <f aca="false">IF(CM$4=0,0,IF(COUNTIFS(実績!$W$6:$W$505,CM$3,実績!$AI$6:$AI$505,"&lt;="&amp;$A218,実績!$AJ$6:$AJ$505,"&gt;"&amp;$A218,実績!$AL$6:$AL$505,"○")&gt;0,1,0))</f>
        <v>0</v>
      </c>
      <c r="CN218" s="39" t="n">
        <f aca="false">IF(CN$4=0,0,IF(COUNTIFS(実績!$W$6:$W$505,CN$3,実績!$AI$6:$AI$505,"&lt;="&amp;$A218,実績!$AJ$6:$AJ$505,"&gt;"&amp;$A218,実績!$AL$6:$AL$505,"○")&gt;0,1,0))</f>
        <v>0</v>
      </c>
      <c r="CO218" s="39" t="n">
        <f aca="false">IF(CO$4=0,0,IF(COUNTIFS(実績!$W$6:$W$505,CO$3,実績!$AI$6:$AI$505,"&lt;="&amp;$A218,実績!$AJ$6:$AJ$505,"&gt;"&amp;$A218,実績!$AL$6:$AL$505,"○")&gt;0,1,0))</f>
        <v>0</v>
      </c>
      <c r="CP218" s="39" t="n">
        <f aca="false">IF(CP$4=0,0,IF(COUNTIFS(実績!$W$6:$W$505,CP$3,実績!$AI$6:$AI$505,"&lt;="&amp;$A218,実績!$AJ$6:$AJ$505,"&gt;"&amp;$A218,実績!$AL$6:$AL$505,"○")&gt;0,1,0))</f>
        <v>0</v>
      </c>
      <c r="CQ218" s="39" t="n">
        <f aca="false">IF(CQ$4=0,0,IF(COUNTIFS(実績!$W$6:$W$505,CQ$3,実績!$AI$6:$AI$505,"&lt;="&amp;$A218,実績!$AJ$6:$AJ$505,"&gt;"&amp;$A218,実績!$AL$6:$AL$505,"○")&gt;0,1,0))</f>
        <v>0</v>
      </c>
      <c r="CR218" s="39" t="n">
        <f aca="false">IF(CR$4=0,0,IF(COUNTIFS(実績!$W$6:$W$505,CR$3,実績!$AI$6:$AI$505,"&lt;="&amp;$A218,実績!$AJ$6:$AJ$505,"&gt;"&amp;$A218,実績!$AL$6:$AL$505,"○")&gt;0,1,0))</f>
        <v>0</v>
      </c>
      <c r="CS218" s="39" t="n">
        <f aca="false">IF(CS$4=0,0,IF(COUNTIFS(実績!$W$6:$W$505,CS$3,実績!$AI$6:$AI$505,"&lt;="&amp;$A218,実績!$AJ$6:$AJ$505,"&gt;"&amp;$A218,実績!$AL$6:$AL$505,"○")&gt;0,1,0))</f>
        <v>0</v>
      </c>
      <c r="CT218" s="39" t="n">
        <f aca="false">IF(CT$4=0,0,IF(COUNTIFS(実績!$W$6:$W$505,CT$3,実績!$AI$6:$AI$505,"&lt;="&amp;$A218,実績!$AJ$6:$AJ$505,"&gt;"&amp;$A218,実績!$AL$6:$AL$505,"○")&gt;0,1,0))</f>
        <v>0</v>
      </c>
      <c r="CU218" s="39" t="n">
        <f aca="false">IF(CU$4=0,0,IF(COUNTIFS(実績!$W$6:$W$505,CU$3,実績!$AI$6:$AI$505,"&lt;="&amp;$A218,実績!$AJ$6:$AJ$505,"&gt;"&amp;$A218,実績!$AL$6:$AL$505,"○")&gt;0,1,0))</f>
        <v>0</v>
      </c>
      <c r="CV218" s="39" t="n">
        <f aca="false">IF(CV$4=0,0,IF(COUNTIFS(実績!$W$6:$W$505,CV$3,実績!$AI$6:$AI$505,"&lt;="&amp;$A218,実績!$AJ$6:$AJ$505,"&gt;"&amp;$A218,実績!$AL$6:$AL$505,"○")&gt;0,1,0))</f>
        <v>0</v>
      </c>
      <c r="CW218" s="39" t="n">
        <f aca="false">IF(CW$4=0,0,IF(COUNTIFS(実績!$W$6:$W$505,CW$3,実績!$AI$6:$AI$505,"&lt;="&amp;$A218,実績!$AJ$6:$AJ$505,"&gt;"&amp;$A218,実績!$AL$6:$AL$505,"○")&gt;0,1,0))</f>
        <v>0</v>
      </c>
      <c r="CX218" s="39" t="n">
        <f aca="false">IF(CX$4=0,0,IF(COUNTIFS(実績!$W$6:$W$505,CX$3,実績!$AI$6:$AI$505,"&lt;="&amp;$A218,実績!$AJ$6:$AJ$505,"&gt;"&amp;$A218,実績!$AL$6:$AL$505,"○")&gt;0,1,0))</f>
        <v>0</v>
      </c>
      <c r="CY218" s="39" t="n">
        <f aca="false">IF(CY$4=0,0,IF(COUNTIFS(実績!$W$6:$W$505,CY$3,実績!$AI$6:$AI$505,"&lt;="&amp;$A218,実績!$AJ$6:$AJ$505,"&gt;"&amp;$A218,実績!$AL$6:$AL$505,"○")&gt;0,1,0))</f>
        <v>0</v>
      </c>
      <c r="CZ218" s="39" t="n">
        <f aca="false">IF(CZ$4=0,0,IF(COUNTIFS(実績!$W$6:$W$505,CZ$3,実績!$AI$6:$AI$505,"&lt;="&amp;$A218,実績!$AJ$6:$AJ$505,"&gt;"&amp;$A218,実績!$AL$6:$AL$505,"○")&gt;0,1,0))</f>
        <v>0</v>
      </c>
      <c r="DA218" s="39" t="n">
        <f aca="false">IF(DA$4=0,0,IF(COUNTIFS(実績!$W$6:$W$505,DA$3,実績!$AI$6:$AI$505,"&lt;="&amp;$A218,実績!$AJ$6:$AJ$505,"&gt;"&amp;$A218,実績!$AL$6:$AL$505,"○")&gt;0,1,0))</f>
        <v>0</v>
      </c>
      <c r="DB218" s="39" t="n">
        <f aca="false">IF(DB$4=0,0,IF(COUNTIFS(実績!$W$6:$W$505,DB$3,実績!$AI$6:$AI$505,"&lt;="&amp;$A218,実績!$AJ$6:$AJ$505,"&gt;"&amp;$A218,実績!$AL$6:$AL$505,"○")&gt;0,1,0))</f>
        <v>0</v>
      </c>
      <c r="DC218" s="39" t="n">
        <f aca="false">IF(DC$4=0,0,IF(COUNTIFS(実績!$W$6:$W$505,DC$3,実績!$AI$6:$AI$505,"&lt;="&amp;$A218,実績!$AJ$6:$AJ$505,"&gt;"&amp;$A218,実績!$AL$6:$AL$505,"○")&gt;0,1,0))</f>
        <v>0</v>
      </c>
      <c r="DD218" s="39" t="n">
        <f aca="false">IF(DD$4=0,0,IF(COUNTIFS(実績!$W$6:$W$505,DD$3,実績!$AI$6:$AI$505,"&lt;="&amp;$A218,実績!$AJ$6:$AJ$505,"&gt;"&amp;$A218,実績!$AL$6:$AL$505,"○")&gt;0,1,0))</f>
        <v>0</v>
      </c>
      <c r="DE218" s="39" t="n">
        <f aca="false">IF(DE$4=0,0,IF(COUNTIFS(実績!$W$6:$W$505,DE$3,実績!$AI$6:$AI$505,"&lt;="&amp;$A218,実績!$AJ$6:$AJ$505,"&gt;"&amp;$A218,実績!$AL$6:$AL$505,"○")&gt;0,1,0))</f>
        <v>0</v>
      </c>
      <c r="DF218" s="39" t="n">
        <f aca="false">IF(DF$4=0,0,IF(COUNTIFS(実績!$W$6:$W$505,DF$3,実績!$AI$6:$AI$505,"&lt;="&amp;$A218,実績!$AJ$6:$AJ$505,"&gt;"&amp;$A218,実績!$AL$6:$AL$505,"○")&gt;0,1,0))</f>
        <v>0</v>
      </c>
      <c r="DG218" s="39" t="n">
        <f aca="false">IF(DG$4=0,0,IF(COUNTIFS(実績!$W$6:$W$505,DG$3,実績!$AI$6:$AI$505,"&lt;="&amp;$A218,実績!$AJ$6:$AJ$505,"&gt;"&amp;$A218,実績!$AL$6:$AL$505,"○")&gt;0,1,0))</f>
        <v>0</v>
      </c>
      <c r="DH218" s="39" t="n">
        <f aca="false">IF(DH$4=0,0,IF(COUNTIFS(実績!$W$6:$W$505,DH$3,実績!$AI$6:$AI$505,"&lt;="&amp;$A218,実績!$AJ$6:$AJ$505,"&gt;"&amp;$A218,実績!$AL$6:$AL$505,"○")&gt;0,1,0))</f>
        <v>0</v>
      </c>
      <c r="DI218" s="39" t="n">
        <f aca="false">IF(DI$4=0,0,IF(COUNTIFS(実績!$W$6:$W$505,DI$3,実績!$AI$6:$AI$505,"&lt;="&amp;$A218,実績!$AJ$6:$AJ$505,"&gt;"&amp;$A218,実績!$AL$6:$AL$505,"○")&gt;0,1,0))</f>
        <v>0</v>
      </c>
      <c r="DJ218" s="39" t="n">
        <f aca="false">IF(DJ$4=0,0,IF(COUNTIFS(実績!$W$6:$W$505,DJ$3,実績!$AI$6:$AI$505,"&lt;="&amp;$A218,実績!$AJ$6:$AJ$505,"&gt;"&amp;$A218,実績!$AL$6:$AL$505,"○")&gt;0,1,0))</f>
        <v>0</v>
      </c>
      <c r="DK218" s="39" t="n">
        <f aca="false">IF(DK$4=0,0,IF(COUNTIFS(実績!$W$6:$W$505,DK$3,実績!$AI$6:$AI$505,"&lt;="&amp;$A218,実績!$AJ$6:$AJ$505,"&gt;"&amp;$A218,実績!$AL$6:$AL$505,"○")&gt;0,1,0))</f>
        <v>0</v>
      </c>
      <c r="DL218" s="39" t="n">
        <f aca="false">IF(DL$4=0,0,IF(COUNTIFS(実績!$W$6:$W$505,DL$3,実績!$AI$6:$AI$505,"&lt;="&amp;$A218,実績!$AJ$6:$AJ$505,"&gt;"&amp;$A218,実績!$AL$6:$AL$505,"○")&gt;0,1,0))</f>
        <v>0</v>
      </c>
      <c r="DM218" s="39" t="n">
        <f aca="false">IF(DM$4=0,0,IF(COUNTIFS(実績!$W$6:$W$505,DM$3,実績!$AI$6:$AI$505,"&lt;="&amp;$A218,実績!$AJ$6:$AJ$505,"&gt;"&amp;$A218,実績!$AL$6:$AL$505,"○")&gt;0,1,0))</f>
        <v>0</v>
      </c>
      <c r="DN218" s="39" t="n">
        <f aca="false">IF(DN$4=0,0,IF(COUNTIFS(実績!$W$6:$W$505,DN$3,実績!$AI$6:$AI$505,"&lt;="&amp;$A218,実績!$AJ$6:$AJ$505,"&gt;"&amp;$A218,実績!$AL$6:$AL$505,"○")&gt;0,1,0))</f>
        <v>0</v>
      </c>
      <c r="DO218" s="39" t="n">
        <f aca="false">IF(DO$4=0,0,IF(COUNTIFS(実績!$W$6:$W$505,DO$3,実績!$AI$6:$AI$505,"&lt;="&amp;$A218,実績!$AJ$6:$AJ$505,"&gt;"&amp;$A218,実績!$AL$6:$AL$505,"○")&gt;0,1,0))</f>
        <v>0</v>
      </c>
      <c r="DP218" s="39" t="n">
        <f aca="false">IF(DP$4=0,0,IF(COUNTIFS(実績!$W$6:$W$505,DP$3,実績!$AI$6:$AI$505,"&lt;="&amp;$A218,実績!$AJ$6:$AJ$505,"&gt;"&amp;$A218,実績!$AL$6:$AL$505,"○")&gt;0,1,0))</f>
        <v>0</v>
      </c>
      <c r="DQ218" s="39" t="n">
        <f aca="false">IF(DQ$4=0,0,IF(COUNTIFS(実績!$W$6:$W$505,DQ$3,実績!$AI$6:$AI$505,"&lt;="&amp;$A218,実績!$AJ$6:$AJ$505,"&gt;"&amp;$A218,実績!$AL$6:$AL$505,"○")&gt;0,1,0))</f>
        <v>0</v>
      </c>
      <c r="DR218" s="39" t="n">
        <f aca="false">IF(DR$4=0,0,IF(COUNTIFS(実績!$W$6:$W$505,DR$3,実績!$AI$6:$AI$505,"&lt;="&amp;$A218,実績!$AJ$6:$AJ$505,"&gt;"&amp;$A218,実績!$AL$6:$AL$505,"○")&gt;0,1,0))</f>
        <v>0</v>
      </c>
      <c r="DS218" s="39" t="n">
        <f aca="false">SUM(C218:DR218)</f>
        <v>0</v>
      </c>
    </row>
    <row r="219" customFormat="false" ht="15" hidden="false" customHeight="false" outlineLevel="0" collapsed="false">
      <c r="A219" s="0" t="n">
        <v>1065</v>
      </c>
      <c r="B219" s="38" t="n">
        <f aca="false">A219/1440</f>
        <v>0.739583333333333</v>
      </c>
      <c r="C219" s="39" t="n">
        <f aca="false">IF(C$4=0,0,IF(COUNTIFS(実績!$W$6:$W$505,C$3,実績!$AI$6:$AI$505,"&lt;="&amp;$A219,実績!$AJ$6:$AJ$505,"&gt;"&amp;$A219,実績!$AL$6:$AL$505,"○")&gt;0,1,0))</f>
        <v>0</v>
      </c>
      <c r="D219" s="39" t="n">
        <f aca="false">IF(D$4=0,0,IF(COUNTIFS(実績!$W$6:$W$505,D$3,実績!$AI$6:$AI$505,"&lt;="&amp;$A219,実績!$AJ$6:$AJ$505,"&gt;"&amp;$A219,実績!$AL$6:$AL$505,"○")&gt;0,1,0))</f>
        <v>0</v>
      </c>
      <c r="E219" s="39" t="n">
        <f aca="false">IF(E$4=0,0,IF(COUNTIFS(実績!$W$6:$W$505,E$3,実績!$AI$6:$AI$505,"&lt;="&amp;$A219,実績!$AJ$6:$AJ$505,"&gt;"&amp;$A219,実績!$AL$6:$AL$505,"○")&gt;0,1,0))</f>
        <v>0</v>
      </c>
      <c r="F219" s="39" t="n">
        <f aca="false">IF(F$4=0,0,IF(COUNTIFS(実績!$W$6:$W$505,F$3,実績!$AI$6:$AI$505,"&lt;="&amp;$A219,実績!$AJ$6:$AJ$505,"&gt;"&amp;$A219,実績!$AL$6:$AL$505,"○")&gt;0,1,0))</f>
        <v>0</v>
      </c>
      <c r="G219" s="39" t="n">
        <f aca="false">IF(G$4=0,0,IF(COUNTIFS(実績!$W$6:$W$505,G$3,実績!$AI$6:$AI$505,"&lt;="&amp;$A219,実績!$AJ$6:$AJ$505,"&gt;"&amp;$A219,実績!$AL$6:$AL$505,"○")&gt;0,1,0))</f>
        <v>0</v>
      </c>
      <c r="H219" s="39" t="n">
        <f aca="false">IF(H$4=0,0,IF(COUNTIFS(実績!$W$6:$W$505,H$3,実績!$AI$6:$AI$505,"&lt;="&amp;$A219,実績!$AJ$6:$AJ$505,"&gt;"&amp;$A219,実績!$AL$6:$AL$505,"○")&gt;0,1,0))</f>
        <v>0</v>
      </c>
      <c r="I219" s="39" t="n">
        <f aca="false">IF(I$4=0,0,IF(COUNTIFS(実績!$W$6:$W$505,I$3,実績!$AI$6:$AI$505,"&lt;="&amp;$A219,実績!$AJ$6:$AJ$505,"&gt;"&amp;$A219,実績!$AL$6:$AL$505,"○")&gt;0,1,0))</f>
        <v>0</v>
      </c>
      <c r="J219" s="39" t="n">
        <f aca="false">IF(J$4=0,0,IF(COUNTIFS(実績!$W$6:$W$505,J$3,実績!$AI$6:$AI$505,"&lt;="&amp;$A219,実績!$AJ$6:$AJ$505,"&gt;"&amp;$A219,実績!$AL$6:$AL$505,"○")&gt;0,1,0))</f>
        <v>0</v>
      </c>
      <c r="K219" s="39" t="n">
        <f aca="false">IF(K$4=0,0,IF(COUNTIFS(実績!$W$6:$W$505,K$3,実績!$AI$6:$AI$505,"&lt;="&amp;$A219,実績!$AJ$6:$AJ$505,"&gt;"&amp;$A219,実績!$AL$6:$AL$505,"○")&gt;0,1,0))</f>
        <v>0</v>
      </c>
      <c r="L219" s="39" t="n">
        <f aca="false">IF(L$4=0,0,IF(COUNTIFS(実績!$W$6:$W$505,L$3,実績!$AI$6:$AI$505,"&lt;="&amp;$A219,実績!$AJ$6:$AJ$505,"&gt;"&amp;$A219,実績!$AL$6:$AL$505,"○")&gt;0,1,0))</f>
        <v>0</v>
      </c>
      <c r="M219" s="39" t="n">
        <f aca="false">IF(M$4=0,0,IF(COUNTIFS(実績!$W$6:$W$505,M$3,実績!$AI$6:$AI$505,"&lt;="&amp;$A219,実績!$AJ$6:$AJ$505,"&gt;"&amp;$A219,実績!$AL$6:$AL$505,"○")&gt;0,1,0))</f>
        <v>0</v>
      </c>
      <c r="N219" s="39" t="n">
        <f aca="false">IF(N$4=0,0,IF(COUNTIFS(実績!$W$6:$W$505,N$3,実績!$AI$6:$AI$505,"&lt;="&amp;$A219,実績!$AJ$6:$AJ$505,"&gt;"&amp;$A219,実績!$AL$6:$AL$505,"○")&gt;0,1,0))</f>
        <v>0</v>
      </c>
      <c r="O219" s="39" t="n">
        <f aca="false">IF(O$4=0,0,IF(COUNTIFS(実績!$W$6:$W$505,O$3,実績!$AI$6:$AI$505,"&lt;="&amp;$A219,実績!$AJ$6:$AJ$505,"&gt;"&amp;$A219,実績!$AL$6:$AL$505,"○")&gt;0,1,0))</f>
        <v>0</v>
      </c>
      <c r="P219" s="39" t="n">
        <f aca="false">IF(P$4=0,0,IF(COUNTIFS(実績!$W$6:$W$505,P$3,実績!$AI$6:$AI$505,"&lt;="&amp;$A219,実績!$AJ$6:$AJ$505,"&gt;"&amp;$A219,実績!$AL$6:$AL$505,"○")&gt;0,1,0))</f>
        <v>0</v>
      </c>
      <c r="Q219" s="39" t="n">
        <f aca="false">IF(Q$4=0,0,IF(COUNTIFS(実績!$W$6:$W$505,Q$3,実績!$AI$6:$AI$505,"&lt;="&amp;$A219,実績!$AJ$6:$AJ$505,"&gt;"&amp;$A219,実績!$AL$6:$AL$505,"○")&gt;0,1,0))</f>
        <v>0</v>
      </c>
      <c r="R219" s="39" t="n">
        <f aca="false">IF(R$4=0,0,IF(COUNTIFS(実績!$W$6:$W$505,R$3,実績!$AI$6:$AI$505,"&lt;="&amp;$A219,実績!$AJ$6:$AJ$505,"&gt;"&amp;$A219,実績!$AL$6:$AL$505,"○")&gt;0,1,0))</f>
        <v>0</v>
      </c>
      <c r="S219" s="39" t="n">
        <f aca="false">IF(S$4=0,0,IF(COUNTIFS(実績!$W$6:$W$505,S$3,実績!$AI$6:$AI$505,"&lt;="&amp;$A219,実績!$AJ$6:$AJ$505,"&gt;"&amp;$A219,実績!$AL$6:$AL$505,"○")&gt;0,1,0))</f>
        <v>0</v>
      </c>
      <c r="T219" s="39" t="n">
        <f aca="false">IF(T$4=0,0,IF(COUNTIFS(実績!$W$6:$W$505,T$3,実績!$AI$6:$AI$505,"&lt;="&amp;$A219,実績!$AJ$6:$AJ$505,"&gt;"&amp;$A219,実績!$AL$6:$AL$505,"○")&gt;0,1,0))</f>
        <v>0</v>
      </c>
      <c r="U219" s="39" t="n">
        <f aca="false">IF(U$4=0,0,IF(COUNTIFS(実績!$W$6:$W$505,U$3,実績!$AI$6:$AI$505,"&lt;="&amp;$A219,実績!$AJ$6:$AJ$505,"&gt;"&amp;$A219,実績!$AL$6:$AL$505,"○")&gt;0,1,0))</f>
        <v>0</v>
      </c>
      <c r="V219" s="39" t="n">
        <f aca="false">IF(V$4=0,0,IF(COUNTIFS(実績!$W$6:$W$505,V$3,実績!$AI$6:$AI$505,"&lt;="&amp;$A219,実績!$AJ$6:$AJ$505,"&gt;"&amp;$A219,実績!$AL$6:$AL$505,"○")&gt;0,1,0))</f>
        <v>0</v>
      </c>
      <c r="W219" s="39" t="n">
        <f aca="false">IF(W$4=0,0,IF(COUNTIFS(実績!$W$6:$W$505,W$3,実績!$AI$6:$AI$505,"&lt;="&amp;$A219,実績!$AJ$6:$AJ$505,"&gt;"&amp;$A219,実績!$AL$6:$AL$505,"○")&gt;0,1,0))</f>
        <v>0</v>
      </c>
      <c r="X219" s="39" t="n">
        <f aca="false">IF(X$4=0,0,IF(COUNTIFS(実績!$W$6:$W$505,X$3,実績!$AI$6:$AI$505,"&lt;="&amp;$A219,実績!$AJ$6:$AJ$505,"&gt;"&amp;$A219,実績!$AL$6:$AL$505,"○")&gt;0,1,0))</f>
        <v>0</v>
      </c>
      <c r="Y219" s="39" t="n">
        <f aca="false">IF(Y$4=0,0,IF(COUNTIFS(実績!$W$6:$W$505,Y$3,実績!$AI$6:$AI$505,"&lt;="&amp;$A219,実績!$AJ$6:$AJ$505,"&gt;"&amp;$A219,実績!$AL$6:$AL$505,"○")&gt;0,1,0))</f>
        <v>0</v>
      </c>
      <c r="Z219" s="39" t="n">
        <f aca="false">IF(Z$4=0,0,IF(COUNTIFS(実績!$W$6:$W$505,Z$3,実績!$AI$6:$AI$505,"&lt;="&amp;$A219,実績!$AJ$6:$AJ$505,"&gt;"&amp;$A219,実績!$AL$6:$AL$505,"○")&gt;0,1,0))</f>
        <v>0</v>
      </c>
      <c r="AA219" s="39" t="n">
        <f aca="false">IF(AA$4=0,0,IF(COUNTIFS(実績!$W$6:$W$505,AA$3,実績!$AI$6:$AI$505,"&lt;="&amp;$A219,実績!$AJ$6:$AJ$505,"&gt;"&amp;$A219,実績!$AL$6:$AL$505,"○")&gt;0,1,0))</f>
        <v>0</v>
      </c>
      <c r="AB219" s="39" t="n">
        <f aca="false">IF(AB$4=0,0,IF(COUNTIFS(実績!$W$6:$W$505,AB$3,実績!$AI$6:$AI$505,"&lt;="&amp;$A219,実績!$AJ$6:$AJ$505,"&gt;"&amp;$A219,実績!$AL$6:$AL$505,"○")&gt;0,1,0))</f>
        <v>0</v>
      </c>
      <c r="AC219" s="39" t="n">
        <f aca="false">IF(AC$4=0,0,IF(COUNTIFS(実績!$W$6:$W$505,AC$3,実績!$AI$6:$AI$505,"&lt;="&amp;$A219,実績!$AJ$6:$AJ$505,"&gt;"&amp;$A219,実績!$AL$6:$AL$505,"○")&gt;0,1,0))</f>
        <v>0</v>
      </c>
      <c r="AD219" s="39" t="n">
        <f aca="false">IF(AD$4=0,0,IF(COUNTIFS(実績!$W$6:$W$505,AD$3,実績!$AI$6:$AI$505,"&lt;="&amp;$A219,実績!$AJ$6:$AJ$505,"&gt;"&amp;$A219,実績!$AL$6:$AL$505,"○")&gt;0,1,0))</f>
        <v>0</v>
      </c>
      <c r="AE219" s="39" t="n">
        <f aca="false">IF(AE$4=0,0,IF(COUNTIFS(実績!$W$6:$W$505,AE$3,実績!$AI$6:$AI$505,"&lt;="&amp;$A219,実績!$AJ$6:$AJ$505,"&gt;"&amp;$A219,実績!$AL$6:$AL$505,"○")&gt;0,1,0))</f>
        <v>0</v>
      </c>
      <c r="AF219" s="39" t="n">
        <f aca="false">IF(AF$4=0,0,IF(COUNTIFS(実績!$W$6:$W$505,AF$3,実績!$AI$6:$AI$505,"&lt;="&amp;$A219,実績!$AJ$6:$AJ$505,"&gt;"&amp;$A219,実績!$AL$6:$AL$505,"○")&gt;0,1,0))</f>
        <v>0</v>
      </c>
      <c r="AG219" s="39" t="n">
        <f aca="false">IF(AG$4=0,0,IF(COUNTIFS(実績!$W$6:$W$505,AG$3,実績!$AI$6:$AI$505,"&lt;="&amp;$A219,実績!$AJ$6:$AJ$505,"&gt;"&amp;$A219,実績!$AL$6:$AL$505,"○")&gt;0,1,0))</f>
        <v>0</v>
      </c>
      <c r="AH219" s="39" t="n">
        <f aca="false">IF(AH$4=0,0,IF(COUNTIFS(実績!$W$6:$W$505,AH$3,実績!$AI$6:$AI$505,"&lt;="&amp;$A219,実績!$AJ$6:$AJ$505,"&gt;"&amp;$A219,実績!$AL$6:$AL$505,"○")&gt;0,1,0))</f>
        <v>0</v>
      </c>
      <c r="AI219" s="39" t="n">
        <f aca="false">IF(AI$4=0,0,IF(COUNTIFS(実績!$W$6:$W$505,AI$3,実績!$AI$6:$AI$505,"&lt;="&amp;$A219,実績!$AJ$6:$AJ$505,"&gt;"&amp;$A219,実績!$AL$6:$AL$505,"○")&gt;0,1,0))</f>
        <v>0</v>
      </c>
      <c r="AJ219" s="39" t="n">
        <f aca="false">IF(AJ$4=0,0,IF(COUNTIFS(実績!$W$6:$W$505,AJ$3,実績!$AI$6:$AI$505,"&lt;="&amp;$A219,実績!$AJ$6:$AJ$505,"&gt;"&amp;$A219,実績!$AL$6:$AL$505,"○")&gt;0,1,0))</f>
        <v>0</v>
      </c>
      <c r="AK219" s="39" t="n">
        <f aca="false">IF(AK$4=0,0,IF(COUNTIFS(実績!$W$6:$W$505,AK$3,実績!$AI$6:$AI$505,"&lt;="&amp;$A219,実績!$AJ$6:$AJ$505,"&gt;"&amp;$A219,実績!$AL$6:$AL$505,"○")&gt;0,1,0))</f>
        <v>0</v>
      </c>
      <c r="AL219" s="39" t="n">
        <f aca="false">IF(AL$4=0,0,IF(COUNTIFS(実績!$W$6:$W$505,AL$3,実績!$AI$6:$AI$505,"&lt;="&amp;$A219,実績!$AJ$6:$AJ$505,"&gt;"&amp;$A219,実績!$AL$6:$AL$505,"○")&gt;0,1,0))</f>
        <v>0</v>
      </c>
      <c r="AM219" s="39" t="n">
        <f aca="false">IF(AM$4=0,0,IF(COUNTIFS(実績!$W$6:$W$505,AM$3,実績!$AI$6:$AI$505,"&lt;="&amp;$A219,実績!$AJ$6:$AJ$505,"&gt;"&amp;$A219,実績!$AL$6:$AL$505,"○")&gt;0,1,0))</f>
        <v>0</v>
      </c>
      <c r="AN219" s="39" t="n">
        <f aca="false">IF(AN$4=0,0,IF(COUNTIFS(実績!$W$6:$W$505,AN$3,実績!$AI$6:$AI$505,"&lt;="&amp;$A219,実績!$AJ$6:$AJ$505,"&gt;"&amp;$A219,実績!$AL$6:$AL$505,"○")&gt;0,1,0))</f>
        <v>0</v>
      </c>
      <c r="AO219" s="39" t="n">
        <f aca="false">IF(AO$4=0,0,IF(COUNTIFS(実績!$W$6:$W$505,AO$3,実績!$AI$6:$AI$505,"&lt;="&amp;$A219,実績!$AJ$6:$AJ$505,"&gt;"&amp;$A219,実績!$AL$6:$AL$505,"○")&gt;0,1,0))</f>
        <v>0</v>
      </c>
      <c r="AP219" s="39" t="n">
        <f aca="false">IF(AP$4=0,0,IF(COUNTIFS(実績!$W$6:$W$505,AP$3,実績!$AI$6:$AI$505,"&lt;="&amp;$A219,実績!$AJ$6:$AJ$505,"&gt;"&amp;$A219,実績!$AL$6:$AL$505,"○")&gt;0,1,0))</f>
        <v>0</v>
      </c>
      <c r="AQ219" s="39" t="n">
        <f aca="false">IF(AQ$4=0,0,IF(COUNTIFS(実績!$W$6:$W$505,AQ$3,実績!$AI$6:$AI$505,"&lt;="&amp;$A219,実績!$AJ$6:$AJ$505,"&gt;"&amp;$A219,実績!$AL$6:$AL$505,"○")&gt;0,1,0))</f>
        <v>0</v>
      </c>
      <c r="AR219" s="39" t="n">
        <f aca="false">IF(AR$4=0,0,IF(COUNTIFS(実績!$W$6:$W$505,AR$3,実績!$AI$6:$AI$505,"&lt;="&amp;$A219,実績!$AJ$6:$AJ$505,"&gt;"&amp;$A219,実績!$AL$6:$AL$505,"○")&gt;0,1,0))</f>
        <v>0</v>
      </c>
      <c r="AS219" s="39" t="n">
        <f aca="false">IF(AS$4=0,0,IF(COUNTIFS(実績!$W$6:$W$505,AS$3,実績!$AI$6:$AI$505,"&lt;="&amp;$A219,実績!$AJ$6:$AJ$505,"&gt;"&amp;$A219,実績!$AL$6:$AL$505,"○")&gt;0,1,0))</f>
        <v>0</v>
      </c>
      <c r="AT219" s="39" t="n">
        <f aca="false">IF(AT$4=0,0,IF(COUNTIFS(実績!$W$6:$W$505,AT$3,実績!$AI$6:$AI$505,"&lt;="&amp;$A219,実績!$AJ$6:$AJ$505,"&gt;"&amp;$A219,実績!$AL$6:$AL$505,"○")&gt;0,1,0))</f>
        <v>0</v>
      </c>
      <c r="AU219" s="39" t="n">
        <f aca="false">IF(AU$4=0,0,IF(COUNTIFS(実績!$W$6:$W$505,AU$3,実績!$AI$6:$AI$505,"&lt;="&amp;$A219,実績!$AJ$6:$AJ$505,"&gt;"&amp;$A219,実績!$AL$6:$AL$505,"○")&gt;0,1,0))</f>
        <v>0</v>
      </c>
      <c r="AV219" s="39" t="n">
        <f aca="false">IF(AV$4=0,0,IF(COUNTIFS(実績!$W$6:$W$505,AV$3,実績!$AI$6:$AI$505,"&lt;="&amp;$A219,実績!$AJ$6:$AJ$505,"&gt;"&amp;$A219,実績!$AL$6:$AL$505,"○")&gt;0,1,0))</f>
        <v>0</v>
      </c>
      <c r="AW219" s="39" t="n">
        <f aca="false">IF(AW$4=0,0,IF(COUNTIFS(実績!$W$6:$W$505,AW$3,実績!$AI$6:$AI$505,"&lt;="&amp;$A219,実績!$AJ$6:$AJ$505,"&gt;"&amp;$A219,実績!$AL$6:$AL$505,"○")&gt;0,1,0))</f>
        <v>0</v>
      </c>
      <c r="AX219" s="39" t="n">
        <f aca="false">IF(AX$4=0,0,IF(COUNTIFS(実績!$W$6:$W$505,AX$3,実績!$AI$6:$AI$505,"&lt;="&amp;$A219,実績!$AJ$6:$AJ$505,"&gt;"&amp;$A219,実績!$AL$6:$AL$505,"○")&gt;0,1,0))</f>
        <v>0</v>
      </c>
      <c r="AY219" s="39" t="n">
        <f aca="false">IF(AY$4=0,0,IF(COUNTIFS(実績!$W$6:$W$505,AY$3,実績!$AI$6:$AI$505,"&lt;="&amp;$A219,実績!$AJ$6:$AJ$505,"&gt;"&amp;$A219,実績!$AL$6:$AL$505,"○")&gt;0,1,0))</f>
        <v>0</v>
      </c>
      <c r="AZ219" s="39" t="n">
        <f aca="false">IF(AZ$4=0,0,IF(COUNTIFS(実績!$W$6:$W$505,AZ$3,実績!$AI$6:$AI$505,"&lt;="&amp;$A219,実績!$AJ$6:$AJ$505,"&gt;"&amp;$A219,実績!$AL$6:$AL$505,"○")&gt;0,1,0))</f>
        <v>0</v>
      </c>
      <c r="BA219" s="39" t="n">
        <f aca="false">IF(BA$4=0,0,IF(COUNTIFS(実績!$W$6:$W$505,BA$3,実績!$AI$6:$AI$505,"&lt;="&amp;$A219,実績!$AJ$6:$AJ$505,"&gt;"&amp;$A219,実績!$AL$6:$AL$505,"○")&gt;0,1,0))</f>
        <v>0</v>
      </c>
      <c r="BB219" s="39" t="n">
        <f aca="false">IF(BB$4=0,0,IF(COUNTIFS(実績!$W$6:$W$505,BB$3,実績!$AI$6:$AI$505,"&lt;="&amp;$A219,実績!$AJ$6:$AJ$505,"&gt;"&amp;$A219,実績!$AL$6:$AL$505,"○")&gt;0,1,0))</f>
        <v>0</v>
      </c>
      <c r="BC219" s="39" t="n">
        <f aca="false">IF(BC$4=0,0,IF(COUNTIFS(実績!$W$6:$W$505,BC$3,実績!$AI$6:$AI$505,"&lt;="&amp;$A219,実績!$AJ$6:$AJ$505,"&gt;"&amp;$A219,実績!$AL$6:$AL$505,"○")&gt;0,1,0))</f>
        <v>0</v>
      </c>
      <c r="BD219" s="39" t="n">
        <f aca="false">IF(BD$4=0,0,IF(COUNTIFS(実績!$W$6:$W$505,BD$3,実績!$AI$6:$AI$505,"&lt;="&amp;$A219,実績!$AJ$6:$AJ$505,"&gt;"&amp;$A219,実績!$AL$6:$AL$505,"○")&gt;0,1,0))</f>
        <v>0</v>
      </c>
      <c r="BE219" s="39" t="n">
        <f aca="false">IF(BE$4=0,0,IF(COUNTIFS(実績!$W$6:$W$505,BE$3,実績!$AI$6:$AI$505,"&lt;="&amp;$A219,実績!$AJ$6:$AJ$505,"&gt;"&amp;$A219,実績!$AL$6:$AL$505,"○")&gt;0,1,0))</f>
        <v>0</v>
      </c>
      <c r="BF219" s="39" t="n">
        <f aca="false">IF(BF$4=0,0,IF(COUNTIFS(実績!$W$6:$W$505,BF$3,実績!$AI$6:$AI$505,"&lt;="&amp;$A219,実績!$AJ$6:$AJ$505,"&gt;"&amp;$A219,実績!$AL$6:$AL$505,"○")&gt;0,1,0))</f>
        <v>0</v>
      </c>
      <c r="BG219" s="39" t="n">
        <f aca="false">IF(BG$4=0,0,IF(COUNTIFS(実績!$W$6:$W$505,BG$3,実績!$AI$6:$AI$505,"&lt;="&amp;$A219,実績!$AJ$6:$AJ$505,"&gt;"&amp;$A219,実績!$AL$6:$AL$505,"○")&gt;0,1,0))</f>
        <v>0</v>
      </c>
      <c r="BH219" s="39" t="n">
        <f aca="false">IF(BH$4=0,0,IF(COUNTIFS(実績!$W$6:$W$505,BH$3,実績!$AI$6:$AI$505,"&lt;="&amp;$A219,実績!$AJ$6:$AJ$505,"&gt;"&amp;$A219,実績!$AL$6:$AL$505,"○")&gt;0,1,0))</f>
        <v>0</v>
      </c>
      <c r="BI219" s="39" t="n">
        <f aca="false">IF(BI$4=0,0,IF(COUNTIFS(実績!$W$6:$W$505,BI$3,実績!$AI$6:$AI$505,"&lt;="&amp;$A219,実績!$AJ$6:$AJ$505,"&gt;"&amp;$A219,実績!$AL$6:$AL$505,"○")&gt;0,1,0))</f>
        <v>0</v>
      </c>
      <c r="BJ219" s="39" t="n">
        <f aca="false">IF(BJ$4=0,0,IF(COUNTIFS(実績!$W$6:$W$505,BJ$3,実績!$AI$6:$AI$505,"&lt;="&amp;$A219,実績!$AJ$6:$AJ$505,"&gt;"&amp;$A219,実績!$AL$6:$AL$505,"○")&gt;0,1,0))</f>
        <v>0</v>
      </c>
      <c r="BK219" s="39" t="n">
        <f aca="false">IF(BK$4=0,0,IF(COUNTIFS(実績!$W$6:$W$505,BK$3,実績!$AI$6:$AI$505,"&lt;="&amp;$A219,実績!$AJ$6:$AJ$505,"&gt;"&amp;$A219,実績!$AL$6:$AL$505,"○")&gt;0,1,0))</f>
        <v>0</v>
      </c>
      <c r="BL219" s="39" t="n">
        <f aca="false">IF(BL$4=0,0,IF(COUNTIFS(実績!$W$6:$W$505,BL$3,実績!$AI$6:$AI$505,"&lt;="&amp;$A219,実績!$AJ$6:$AJ$505,"&gt;"&amp;$A219,実績!$AL$6:$AL$505,"○")&gt;0,1,0))</f>
        <v>0</v>
      </c>
      <c r="BM219" s="39" t="n">
        <f aca="false">IF(BM$4=0,0,IF(COUNTIFS(実績!$W$6:$W$505,BM$3,実績!$AI$6:$AI$505,"&lt;="&amp;$A219,実績!$AJ$6:$AJ$505,"&gt;"&amp;$A219,実績!$AL$6:$AL$505,"○")&gt;0,1,0))</f>
        <v>0</v>
      </c>
      <c r="BN219" s="39" t="n">
        <f aca="false">IF(BN$4=0,0,IF(COUNTIFS(実績!$W$6:$W$505,BN$3,実績!$AI$6:$AI$505,"&lt;="&amp;$A219,実績!$AJ$6:$AJ$505,"&gt;"&amp;$A219,実績!$AL$6:$AL$505,"○")&gt;0,1,0))</f>
        <v>0</v>
      </c>
      <c r="BO219" s="39" t="n">
        <f aca="false">IF(BO$4=0,0,IF(COUNTIFS(実績!$W$6:$W$505,BO$3,実績!$AI$6:$AI$505,"&lt;="&amp;$A219,実績!$AJ$6:$AJ$505,"&gt;"&amp;$A219,実績!$AL$6:$AL$505,"○")&gt;0,1,0))</f>
        <v>0</v>
      </c>
      <c r="BP219" s="39" t="n">
        <f aca="false">IF(BP$4=0,0,IF(COUNTIFS(実績!$W$6:$W$505,BP$3,実績!$AI$6:$AI$505,"&lt;="&amp;$A219,実績!$AJ$6:$AJ$505,"&gt;"&amp;$A219,実績!$AL$6:$AL$505,"○")&gt;0,1,0))</f>
        <v>0</v>
      </c>
      <c r="BQ219" s="39" t="n">
        <f aca="false">IF(BQ$4=0,0,IF(COUNTIFS(実績!$W$6:$W$505,BQ$3,実績!$AI$6:$AI$505,"&lt;="&amp;$A219,実績!$AJ$6:$AJ$505,"&gt;"&amp;$A219,実績!$AL$6:$AL$505,"○")&gt;0,1,0))</f>
        <v>0</v>
      </c>
      <c r="BR219" s="39" t="n">
        <f aca="false">IF(BR$4=0,0,IF(COUNTIFS(実績!$W$6:$W$505,BR$3,実績!$AI$6:$AI$505,"&lt;="&amp;$A219,実績!$AJ$6:$AJ$505,"&gt;"&amp;$A219,実績!$AL$6:$AL$505,"○")&gt;0,1,0))</f>
        <v>0</v>
      </c>
      <c r="BS219" s="39" t="n">
        <f aca="false">IF(BS$4=0,0,IF(COUNTIFS(実績!$W$6:$W$505,BS$3,実績!$AI$6:$AI$505,"&lt;="&amp;$A219,実績!$AJ$6:$AJ$505,"&gt;"&amp;$A219,実績!$AL$6:$AL$505,"○")&gt;0,1,0))</f>
        <v>0</v>
      </c>
      <c r="BT219" s="39" t="n">
        <f aca="false">IF(BT$4=0,0,IF(COUNTIFS(実績!$W$6:$W$505,BT$3,実績!$AI$6:$AI$505,"&lt;="&amp;$A219,実績!$AJ$6:$AJ$505,"&gt;"&amp;$A219,実績!$AL$6:$AL$505,"○")&gt;0,1,0))</f>
        <v>0</v>
      </c>
      <c r="BU219" s="39" t="n">
        <f aca="false">IF(BU$4=0,0,IF(COUNTIFS(実績!$W$6:$W$505,BU$3,実績!$AI$6:$AI$505,"&lt;="&amp;$A219,実績!$AJ$6:$AJ$505,"&gt;"&amp;$A219,実績!$AL$6:$AL$505,"○")&gt;0,1,0))</f>
        <v>0</v>
      </c>
      <c r="BV219" s="39" t="n">
        <f aca="false">IF(BV$4=0,0,IF(COUNTIFS(実績!$W$6:$W$505,BV$3,実績!$AI$6:$AI$505,"&lt;="&amp;$A219,実績!$AJ$6:$AJ$505,"&gt;"&amp;$A219,実績!$AL$6:$AL$505,"○")&gt;0,1,0))</f>
        <v>0</v>
      </c>
      <c r="BW219" s="39" t="n">
        <f aca="false">IF(BW$4=0,0,IF(COUNTIFS(実績!$W$6:$W$505,BW$3,実績!$AI$6:$AI$505,"&lt;="&amp;$A219,実績!$AJ$6:$AJ$505,"&gt;"&amp;$A219,実績!$AL$6:$AL$505,"○")&gt;0,1,0))</f>
        <v>0</v>
      </c>
      <c r="BX219" s="39" t="n">
        <f aca="false">IF(BX$4=0,0,IF(COUNTIFS(実績!$W$6:$W$505,BX$3,実績!$AI$6:$AI$505,"&lt;="&amp;$A219,実績!$AJ$6:$AJ$505,"&gt;"&amp;$A219,実績!$AL$6:$AL$505,"○")&gt;0,1,0))</f>
        <v>0</v>
      </c>
      <c r="BY219" s="39" t="n">
        <f aca="false">IF(BY$4=0,0,IF(COUNTIFS(実績!$W$6:$W$505,BY$3,実績!$AI$6:$AI$505,"&lt;="&amp;$A219,実績!$AJ$6:$AJ$505,"&gt;"&amp;$A219,実績!$AL$6:$AL$505,"○")&gt;0,1,0))</f>
        <v>0</v>
      </c>
      <c r="BZ219" s="39" t="n">
        <f aca="false">IF(BZ$4=0,0,IF(COUNTIFS(実績!$W$6:$W$505,BZ$3,実績!$AI$6:$AI$505,"&lt;="&amp;$A219,実績!$AJ$6:$AJ$505,"&gt;"&amp;$A219,実績!$AL$6:$AL$505,"○")&gt;0,1,0))</f>
        <v>0</v>
      </c>
      <c r="CA219" s="39" t="n">
        <f aca="false">IF(CA$4=0,0,IF(COUNTIFS(実績!$W$6:$W$505,CA$3,実績!$AI$6:$AI$505,"&lt;="&amp;$A219,実績!$AJ$6:$AJ$505,"&gt;"&amp;$A219,実績!$AL$6:$AL$505,"○")&gt;0,1,0))</f>
        <v>0</v>
      </c>
      <c r="CB219" s="39" t="n">
        <f aca="false">IF(CB$4=0,0,IF(COUNTIFS(実績!$W$6:$W$505,CB$3,実績!$AI$6:$AI$505,"&lt;="&amp;$A219,実績!$AJ$6:$AJ$505,"&gt;"&amp;$A219,実績!$AL$6:$AL$505,"○")&gt;0,1,0))</f>
        <v>0</v>
      </c>
      <c r="CC219" s="39" t="n">
        <f aca="false">IF(CC$4=0,0,IF(COUNTIFS(実績!$W$6:$W$505,CC$3,実績!$AI$6:$AI$505,"&lt;="&amp;$A219,実績!$AJ$6:$AJ$505,"&gt;"&amp;$A219,実績!$AL$6:$AL$505,"○")&gt;0,1,0))</f>
        <v>0</v>
      </c>
      <c r="CD219" s="39" t="n">
        <f aca="false">IF(CD$4=0,0,IF(COUNTIFS(実績!$W$6:$W$505,CD$3,実績!$AI$6:$AI$505,"&lt;="&amp;$A219,実績!$AJ$6:$AJ$505,"&gt;"&amp;$A219,実績!$AL$6:$AL$505,"○")&gt;0,1,0))</f>
        <v>0</v>
      </c>
      <c r="CE219" s="39" t="n">
        <f aca="false">IF(CE$4=0,0,IF(COUNTIFS(実績!$W$6:$W$505,CE$3,実績!$AI$6:$AI$505,"&lt;="&amp;$A219,実績!$AJ$6:$AJ$505,"&gt;"&amp;$A219,実績!$AL$6:$AL$505,"○")&gt;0,1,0))</f>
        <v>0</v>
      </c>
      <c r="CF219" s="39" t="n">
        <f aca="false">IF(CF$4=0,0,IF(COUNTIFS(実績!$W$6:$W$505,CF$3,実績!$AI$6:$AI$505,"&lt;="&amp;$A219,実績!$AJ$6:$AJ$505,"&gt;"&amp;$A219,実績!$AL$6:$AL$505,"○")&gt;0,1,0))</f>
        <v>0</v>
      </c>
      <c r="CG219" s="39" t="n">
        <f aca="false">IF(CG$4=0,0,IF(COUNTIFS(実績!$W$6:$W$505,CG$3,実績!$AI$6:$AI$505,"&lt;="&amp;$A219,実績!$AJ$6:$AJ$505,"&gt;"&amp;$A219,実績!$AL$6:$AL$505,"○")&gt;0,1,0))</f>
        <v>0</v>
      </c>
      <c r="CH219" s="39" t="n">
        <f aca="false">IF(CH$4=0,0,IF(COUNTIFS(実績!$W$6:$W$505,CH$3,実績!$AI$6:$AI$505,"&lt;="&amp;$A219,実績!$AJ$6:$AJ$505,"&gt;"&amp;$A219,実績!$AL$6:$AL$505,"○")&gt;0,1,0))</f>
        <v>0</v>
      </c>
      <c r="CI219" s="39" t="n">
        <f aca="false">IF(CI$4=0,0,IF(COUNTIFS(実績!$W$6:$W$505,CI$3,実績!$AI$6:$AI$505,"&lt;="&amp;$A219,実績!$AJ$6:$AJ$505,"&gt;"&amp;$A219,実績!$AL$6:$AL$505,"○")&gt;0,1,0))</f>
        <v>0</v>
      </c>
      <c r="CJ219" s="39" t="n">
        <f aca="false">IF(CJ$4=0,0,IF(COUNTIFS(実績!$W$6:$W$505,CJ$3,実績!$AI$6:$AI$505,"&lt;="&amp;$A219,実績!$AJ$6:$AJ$505,"&gt;"&amp;$A219,実績!$AL$6:$AL$505,"○")&gt;0,1,0))</f>
        <v>0</v>
      </c>
      <c r="CK219" s="39" t="n">
        <f aca="false">IF(CK$4=0,0,IF(COUNTIFS(実績!$W$6:$W$505,CK$3,実績!$AI$6:$AI$505,"&lt;="&amp;$A219,実績!$AJ$6:$AJ$505,"&gt;"&amp;$A219,実績!$AL$6:$AL$505,"○")&gt;0,1,0))</f>
        <v>0</v>
      </c>
      <c r="CL219" s="39" t="n">
        <f aca="false">IF(CL$4=0,0,IF(COUNTIFS(実績!$W$6:$W$505,CL$3,実績!$AI$6:$AI$505,"&lt;="&amp;$A219,実績!$AJ$6:$AJ$505,"&gt;"&amp;$A219,実績!$AL$6:$AL$505,"○")&gt;0,1,0))</f>
        <v>0</v>
      </c>
      <c r="CM219" s="39" t="n">
        <f aca="false">IF(CM$4=0,0,IF(COUNTIFS(実績!$W$6:$W$505,CM$3,実績!$AI$6:$AI$505,"&lt;="&amp;$A219,実績!$AJ$6:$AJ$505,"&gt;"&amp;$A219,実績!$AL$6:$AL$505,"○")&gt;0,1,0))</f>
        <v>0</v>
      </c>
      <c r="CN219" s="39" t="n">
        <f aca="false">IF(CN$4=0,0,IF(COUNTIFS(実績!$W$6:$W$505,CN$3,実績!$AI$6:$AI$505,"&lt;="&amp;$A219,実績!$AJ$6:$AJ$505,"&gt;"&amp;$A219,実績!$AL$6:$AL$505,"○")&gt;0,1,0))</f>
        <v>0</v>
      </c>
      <c r="CO219" s="39" t="n">
        <f aca="false">IF(CO$4=0,0,IF(COUNTIFS(実績!$W$6:$W$505,CO$3,実績!$AI$6:$AI$505,"&lt;="&amp;$A219,実績!$AJ$6:$AJ$505,"&gt;"&amp;$A219,実績!$AL$6:$AL$505,"○")&gt;0,1,0))</f>
        <v>0</v>
      </c>
      <c r="CP219" s="39" t="n">
        <f aca="false">IF(CP$4=0,0,IF(COUNTIFS(実績!$W$6:$W$505,CP$3,実績!$AI$6:$AI$505,"&lt;="&amp;$A219,実績!$AJ$6:$AJ$505,"&gt;"&amp;$A219,実績!$AL$6:$AL$505,"○")&gt;0,1,0))</f>
        <v>0</v>
      </c>
      <c r="CQ219" s="39" t="n">
        <f aca="false">IF(CQ$4=0,0,IF(COUNTIFS(実績!$W$6:$W$505,CQ$3,実績!$AI$6:$AI$505,"&lt;="&amp;$A219,実績!$AJ$6:$AJ$505,"&gt;"&amp;$A219,実績!$AL$6:$AL$505,"○")&gt;0,1,0))</f>
        <v>0</v>
      </c>
      <c r="CR219" s="39" t="n">
        <f aca="false">IF(CR$4=0,0,IF(COUNTIFS(実績!$W$6:$W$505,CR$3,実績!$AI$6:$AI$505,"&lt;="&amp;$A219,実績!$AJ$6:$AJ$505,"&gt;"&amp;$A219,実績!$AL$6:$AL$505,"○")&gt;0,1,0))</f>
        <v>0</v>
      </c>
      <c r="CS219" s="39" t="n">
        <f aca="false">IF(CS$4=0,0,IF(COUNTIFS(実績!$W$6:$W$505,CS$3,実績!$AI$6:$AI$505,"&lt;="&amp;$A219,実績!$AJ$6:$AJ$505,"&gt;"&amp;$A219,実績!$AL$6:$AL$505,"○")&gt;0,1,0))</f>
        <v>0</v>
      </c>
      <c r="CT219" s="39" t="n">
        <f aca="false">IF(CT$4=0,0,IF(COUNTIFS(実績!$W$6:$W$505,CT$3,実績!$AI$6:$AI$505,"&lt;="&amp;$A219,実績!$AJ$6:$AJ$505,"&gt;"&amp;$A219,実績!$AL$6:$AL$505,"○")&gt;0,1,0))</f>
        <v>0</v>
      </c>
      <c r="CU219" s="39" t="n">
        <f aca="false">IF(CU$4=0,0,IF(COUNTIFS(実績!$W$6:$W$505,CU$3,実績!$AI$6:$AI$505,"&lt;="&amp;$A219,実績!$AJ$6:$AJ$505,"&gt;"&amp;$A219,実績!$AL$6:$AL$505,"○")&gt;0,1,0))</f>
        <v>0</v>
      </c>
      <c r="CV219" s="39" t="n">
        <f aca="false">IF(CV$4=0,0,IF(COUNTIFS(実績!$W$6:$W$505,CV$3,実績!$AI$6:$AI$505,"&lt;="&amp;$A219,実績!$AJ$6:$AJ$505,"&gt;"&amp;$A219,実績!$AL$6:$AL$505,"○")&gt;0,1,0))</f>
        <v>0</v>
      </c>
      <c r="CW219" s="39" t="n">
        <f aca="false">IF(CW$4=0,0,IF(COUNTIFS(実績!$W$6:$W$505,CW$3,実績!$AI$6:$AI$505,"&lt;="&amp;$A219,実績!$AJ$6:$AJ$505,"&gt;"&amp;$A219,実績!$AL$6:$AL$505,"○")&gt;0,1,0))</f>
        <v>0</v>
      </c>
      <c r="CX219" s="39" t="n">
        <f aca="false">IF(CX$4=0,0,IF(COUNTIFS(実績!$W$6:$W$505,CX$3,実績!$AI$6:$AI$505,"&lt;="&amp;$A219,実績!$AJ$6:$AJ$505,"&gt;"&amp;$A219,実績!$AL$6:$AL$505,"○")&gt;0,1,0))</f>
        <v>0</v>
      </c>
      <c r="CY219" s="39" t="n">
        <f aca="false">IF(CY$4=0,0,IF(COUNTIFS(実績!$W$6:$W$505,CY$3,実績!$AI$6:$AI$505,"&lt;="&amp;$A219,実績!$AJ$6:$AJ$505,"&gt;"&amp;$A219,実績!$AL$6:$AL$505,"○")&gt;0,1,0))</f>
        <v>0</v>
      </c>
      <c r="CZ219" s="39" t="n">
        <f aca="false">IF(CZ$4=0,0,IF(COUNTIFS(実績!$W$6:$W$505,CZ$3,実績!$AI$6:$AI$505,"&lt;="&amp;$A219,実績!$AJ$6:$AJ$505,"&gt;"&amp;$A219,実績!$AL$6:$AL$505,"○")&gt;0,1,0))</f>
        <v>0</v>
      </c>
      <c r="DA219" s="39" t="n">
        <f aca="false">IF(DA$4=0,0,IF(COUNTIFS(実績!$W$6:$W$505,DA$3,実績!$AI$6:$AI$505,"&lt;="&amp;$A219,実績!$AJ$6:$AJ$505,"&gt;"&amp;$A219,実績!$AL$6:$AL$505,"○")&gt;0,1,0))</f>
        <v>0</v>
      </c>
      <c r="DB219" s="39" t="n">
        <f aca="false">IF(DB$4=0,0,IF(COUNTIFS(実績!$W$6:$W$505,DB$3,実績!$AI$6:$AI$505,"&lt;="&amp;$A219,実績!$AJ$6:$AJ$505,"&gt;"&amp;$A219,実績!$AL$6:$AL$505,"○")&gt;0,1,0))</f>
        <v>0</v>
      </c>
      <c r="DC219" s="39" t="n">
        <f aca="false">IF(DC$4=0,0,IF(COUNTIFS(実績!$W$6:$W$505,DC$3,実績!$AI$6:$AI$505,"&lt;="&amp;$A219,実績!$AJ$6:$AJ$505,"&gt;"&amp;$A219,実績!$AL$6:$AL$505,"○")&gt;0,1,0))</f>
        <v>0</v>
      </c>
      <c r="DD219" s="39" t="n">
        <f aca="false">IF(DD$4=0,0,IF(COUNTIFS(実績!$W$6:$W$505,DD$3,実績!$AI$6:$AI$505,"&lt;="&amp;$A219,実績!$AJ$6:$AJ$505,"&gt;"&amp;$A219,実績!$AL$6:$AL$505,"○")&gt;0,1,0))</f>
        <v>0</v>
      </c>
      <c r="DE219" s="39" t="n">
        <f aca="false">IF(DE$4=0,0,IF(COUNTIFS(実績!$W$6:$W$505,DE$3,実績!$AI$6:$AI$505,"&lt;="&amp;$A219,実績!$AJ$6:$AJ$505,"&gt;"&amp;$A219,実績!$AL$6:$AL$505,"○")&gt;0,1,0))</f>
        <v>0</v>
      </c>
      <c r="DF219" s="39" t="n">
        <f aca="false">IF(DF$4=0,0,IF(COUNTIFS(実績!$W$6:$W$505,DF$3,実績!$AI$6:$AI$505,"&lt;="&amp;$A219,実績!$AJ$6:$AJ$505,"&gt;"&amp;$A219,実績!$AL$6:$AL$505,"○")&gt;0,1,0))</f>
        <v>0</v>
      </c>
      <c r="DG219" s="39" t="n">
        <f aca="false">IF(DG$4=0,0,IF(COUNTIFS(実績!$W$6:$W$505,DG$3,実績!$AI$6:$AI$505,"&lt;="&amp;$A219,実績!$AJ$6:$AJ$505,"&gt;"&amp;$A219,実績!$AL$6:$AL$505,"○")&gt;0,1,0))</f>
        <v>0</v>
      </c>
      <c r="DH219" s="39" t="n">
        <f aca="false">IF(DH$4=0,0,IF(COUNTIFS(実績!$W$6:$W$505,DH$3,実績!$AI$6:$AI$505,"&lt;="&amp;$A219,実績!$AJ$6:$AJ$505,"&gt;"&amp;$A219,実績!$AL$6:$AL$505,"○")&gt;0,1,0))</f>
        <v>0</v>
      </c>
      <c r="DI219" s="39" t="n">
        <f aca="false">IF(DI$4=0,0,IF(COUNTIFS(実績!$W$6:$W$505,DI$3,実績!$AI$6:$AI$505,"&lt;="&amp;$A219,実績!$AJ$6:$AJ$505,"&gt;"&amp;$A219,実績!$AL$6:$AL$505,"○")&gt;0,1,0))</f>
        <v>0</v>
      </c>
      <c r="DJ219" s="39" t="n">
        <f aca="false">IF(DJ$4=0,0,IF(COUNTIFS(実績!$W$6:$W$505,DJ$3,実績!$AI$6:$AI$505,"&lt;="&amp;$A219,実績!$AJ$6:$AJ$505,"&gt;"&amp;$A219,実績!$AL$6:$AL$505,"○")&gt;0,1,0))</f>
        <v>0</v>
      </c>
      <c r="DK219" s="39" t="n">
        <f aca="false">IF(DK$4=0,0,IF(COUNTIFS(実績!$W$6:$W$505,DK$3,実績!$AI$6:$AI$505,"&lt;="&amp;$A219,実績!$AJ$6:$AJ$505,"&gt;"&amp;$A219,実績!$AL$6:$AL$505,"○")&gt;0,1,0))</f>
        <v>0</v>
      </c>
      <c r="DL219" s="39" t="n">
        <f aca="false">IF(DL$4=0,0,IF(COUNTIFS(実績!$W$6:$W$505,DL$3,実績!$AI$6:$AI$505,"&lt;="&amp;$A219,実績!$AJ$6:$AJ$505,"&gt;"&amp;$A219,実績!$AL$6:$AL$505,"○")&gt;0,1,0))</f>
        <v>0</v>
      </c>
      <c r="DM219" s="39" t="n">
        <f aca="false">IF(DM$4=0,0,IF(COUNTIFS(実績!$W$6:$W$505,DM$3,実績!$AI$6:$AI$505,"&lt;="&amp;$A219,実績!$AJ$6:$AJ$505,"&gt;"&amp;$A219,実績!$AL$6:$AL$505,"○")&gt;0,1,0))</f>
        <v>0</v>
      </c>
      <c r="DN219" s="39" t="n">
        <f aca="false">IF(DN$4=0,0,IF(COUNTIFS(実績!$W$6:$W$505,DN$3,実績!$AI$6:$AI$505,"&lt;="&amp;$A219,実績!$AJ$6:$AJ$505,"&gt;"&amp;$A219,実績!$AL$6:$AL$505,"○")&gt;0,1,0))</f>
        <v>0</v>
      </c>
      <c r="DO219" s="39" t="n">
        <f aca="false">IF(DO$4=0,0,IF(COUNTIFS(実績!$W$6:$W$505,DO$3,実績!$AI$6:$AI$505,"&lt;="&amp;$A219,実績!$AJ$6:$AJ$505,"&gt;"&amp;$A219,実績!$AL$6:$AL$505,"○")&gt;0,1,0))</f>
        <v>0</v>
      </c>
      <c r="DP219" s="39" t="n">
        <f aca="false">IF(DP$4=0,0,IF(COUNTIFS(実績!$W$6:$W$505,DP$3,実績!$AI$6:$AI$505,"&lt;="&amp;$A219,実績!$AJ$6:$AJ$505,"&gt;"&amp;$A219,実績!$AL$6:$AL$505,"○")&gt;0,1,0))</f>
        <v>0</v>
      </c>
      <c r="DQ219" s="39" t="n">
        <f aca="false">IF(DQ$4=0,0,IF(COUNTIFS(実績!$W$6:$W$505,DQ$3,実績!$AI$6:$AI$505,"&lt;="&amp;$A219,実績!$AJ$6:$AJ$505,"&gt;"&amp;$A219,実績!$AL$6:$AL$505,"○")&gt;0,1,0))</f>
        <v>0</v>
      </c>
      <c r="DR219" s="39" t="n">
        <f aca="false">IF(DR$4=0,0,IF(COUNTIFS(実績!$W$6:$W$505,DR$3,実績!$AI$6:$AI$505,"&lt;="&amp;$A219,実績!$AJ$6:$AJ$505,"&gt;"&amp;$A219,実績!$AL$6:$AL$505,"○")&gt;0,1,0))</f>
        <v>0</v>
      </c>
      <c r="DS219" s="39" t="n">
        <f aca="false">SUM(C219:DR219)</f>
        <v>0</v>
      </c>
    </row>
    <row r="220" customFormat="false" ht="15" hidden="false" customHeight="false" outlineLevel="0" collapsed="false">
      <c r="A220" s="0" t="n">
        <v>1070</v>
      </c>
      <c r="B220" s="38" t="n">
        <f aca="false">A220/1440</f>
        <v>0.743055555555556</v>
      </c>
      <c r="C220" s="39" t="n">
        <f aca="false">IF(C$4=0,0,IF(COUNTIFS(実績!$W$6:$W$505,C$3,実績!$AI$6:$AI$505,"&lt;="&amp;$A220,実績!$AJ$6:$AJ$505,"&gt;"&amp;$A220,実績!$AL$6:$AL$505,"○")&gt;0,1,0))</f>
        <v>0</v>
      </c>
      <c r="D220" s="39" t="n">
        <f aca="false">IF(D$4=0,0,IF(COUNTIFS(実績!$W$6:$W$505,D$3,実績!$AI$6:$AI$505,"&lt;="&amp;$A220,実績!$AJ$6:$AJ$505,"&gt;"&amp;$A220,実績!$AL$6:$AL$505,"○")&gt;0,1,0))</f>
        <v>0</v>
      </c>
      <c r="E220" s="39" t="n">
        <f aca="false">IF(E$4=0,0,IF(COUNTIFS(実績!$W$6:$W$505,E$3,実績!$AI$6:$AI$505,"&lt;="&amp;$A220,実績!$AJ$6:$AJ$505,"&gt;"&amp;$A220,実績!$AL$6:$AL$505,"○")&gt;0,1,0))</f>
        <v>0</v>
      </c>
      <c r="F220" s="39" t="n">
        <f aca="false">IF(F$4=0,0,IF(COUNTIFS(実績!$W$6:$W$505,F$3,実績!$AI$6:$AI$505,"&lt;="&amp;$A220,実績!$AJ$6:$AJ$505,"&gt;"&amp;$A220,実績!$AL$6:$AL$505,"○")&gt;0,1,0))</f>
        <v>0</v>
      </c>
      <c r="G220" s="39" t="n">
        <f aca="false">IF(G$4=0,0,IF(COUNTIFS(実績!$W$6:$W$505,G$3,実績!$AI$6:$AI$505,"&lt;="&amp;$A220,実績!$AJ$6:$AJ$505,"&gt;"&amp;$A220,実績!$AL$6:$AL$505,"○")&gt;0,1,0))</f>
        <v>0</v>
      </c>
      <c r="H220" s="39" t="n">
        <f aca="false">IF(H$4=0,0,IF(COUNTIFS(実績!$W$6:$W$505,H$3,実績!$AI$6:$AI$505,"&lt;="&amp;$A220,実績!$AJ$6:$AJ$505,"&gt;"&amp;$A220,実績!$AL$6:$AL$505,"○")&gt;0,1,0))</f>
        <v>0</v>
      </c>
      <c r="I220" s="39" t="n">
        <f aca="false">IF(I$4=0,0,IF(COUNTIFS(実績!$W$6:$W$505,I$3,実績!$AI$6:$AI$505,"&lt;="&amp;$A220,実績!$AJ$6:$AJ$505,"&gt;"&amp;$A220,実績!$AL$6:$AL$505,"○")&gt;0,1,0))</f>
        <v>0</v>
      </c>
      <c r="J220" s="39" t="n">
        <f aca="false">IF(J$4=0,0,IF(COUNTIFS(実績!$W$6:$W$505,J$3,実績!$AI$6:$AI$505,"&lt;="&amp;$A220,実績!$AJ$6:$AJ$505,"&gt;"&amp;$A220,実績!$AL$6:$AL$505,"○")&gt;0,1,0))</f>
        <v>0</v>
      </c>
      <c r="K220" s="39" t="n">
        <f aca="false">IF(K$4=0,0,IF(COUNTIFS(実績!$W$6:$W$505,K$3,実績!$AI$6:$AI$505,"&lt;="&amp;$A220,実績!$AJ$6:$AJ$505,"&gt;"&amp;$A220,実績!$AL$6:$AL$505,"○")&gt;0,1,0))</f>
        <v>0</v>
      </c>
      <c r="L220" s="39" t="n">
        <f aca="false">IF(L$4=0,0,IF(COUNTIFS(実績!$W$6:$W$505,L$3,実績!$AI$6:$AI$505,"&lt;="&amp;$A220,実績!$AJ$6:$AJ$505,"&gt;"&amp;$A220,実績!$AL$6:$AL$505,"○")&gt;0,1,0))</f>
        <v>0</v>
      </c>
      <c r="M220" s="39" t="n">
        <f aca="false">IF(M$4=0,0,IF(COUNTIFS(実績!$W$6:$W$505,M$3,実績!$AI$6:$AI$505,"&lt;="&amp;$A220,実績!$AJ$6:$AJ$505,"&gt;"&amp;$A220,実績!$AL$6:$AL$505,"○")&gt;0,1,0))</f>
        <v>0</v>
      </c>
      <c r="N220" s="39" t="n">
        <f aca="false">IF(N$4=0,0,IF(COUNTIFS(実績!$W$6:$W$505,N$3,実績!$AI$6:$AI$505,"&lt;="&amp;$A220,実績!$AJ$6:$AJ$505,"&gt;"&amp;$A220,実績!$AL$6:$AL$505,"○")&gt;0,1,0))</f>
        <v>0</v>
      </c>
      <c r="O220" s="39" t="n">
        <f aca="false">IF(O$4=0,0,IF(COUNTIFS(実績!$W$6:$W$505,O$3,実績!$AI$6:$AI$505,"&lt;="&amp;$A220,実績!$AJ$6:$AJ$505,"&gt;"&amp;$A220,実績!$AL$6:$AL$505,"○")&gt;0,1,0))</f>
        <v>0</v>
      </c>
      <c r="P220" s="39" t="n">
        <f aca="false">IF(P$4=0,0,IF(COUNTIFS(実績!$W$6:$W$505,P$3,実績!$AI$6:$AI$505,"&lt;="&amp;$A220,実績!$AJ$6:$AJ$505,"&gt;"&amp;$A220,実績!$AL$6:$AL$505,"○")&gt;0,1,0))</f>
        <v>0</v>
      </c>
      <c r="Q220" s="39" t="n">
        <f aca="false">IF(Q$4=0,0,IF(COUNTIFS(実績!$W$6:$W$505,Q$3,実績!$AI$6:$AI$505,"&lt;="&amp;$A220,実績!$AJ$6:$AJ$505,"&gt;"&amp;$A220,実績!$AL$6:$AL$505,"○")&gt;0,1,0))</f>
        <v>0</v>
      </c>
      <c r="R220" s="39" t="n">
        <f aca="false">IF(R$4=0,0,IF(COUNTIFS(実績!$W$6:$W$505,R$3,実績!$AI$6:$AI$505,"&lt;="&amp;$A220,実績!$AJ$6:$AJ$505,"&gt;"&amp;$A220,実績!$AL$6:$AL$505,"○")&gt;0,1,0))</f>
        <v>0</v>
      </c>
      <c r="S220" s="39" t="n">
        <f aca="false">IF(S$4=0,0,IF(COUNTIFS(実績!$W$6:$W$505,S$3,実績!$AI$6:$AI$505,"&lt;="&amp;$A220,実績!$AJ$6:$AJ$505,"&gt;"&amp;$A220,実績!$AL$6:$AL$505,"○")&gt;0,1,0))</f>
        <v>0</v>
      </c>
      <c r="T220" s="39" t="n">
        <f aca="false">IF(T$4=0,0,IF(COUNTIFS(実績!$W$6:$W$505,T$3,実績!$AI$6:$AI$505,"&lt;="&amp;$A220,実績!$AJ$6:$AJ$505,"&gt;"&amp;$A220,実績!$AL$6:$AL$505,"○")&gt;0,1,0))</f>
        <v>0</v>
      </c>
      <c r="U220" s="39" t="n">
        <f aca="false">IF(U$4=0,0,IF(COUNTIFS(実績!$W$6:$W$505,U$3,実績!$AI$6:$AI$505,"&lt;="&amp;$A220,実績!$AJ$6:$AJ$505,"&gt;"&amp;$A220,実績!$AL$6:$AL$505,"○")&gt;0,1,0))</f>
        <v>0</v>
      </c>
      <c r="V220" s="39" t="n">
        <f aca="false">IF(V$4=0,0,IF(COUNTIFS(実績!$W$6:$W$505,V$3,実績!$AI$6:$AI$505,"&lt;="&amp;$A220,実績!$AJ$6:$AJ$505,"&gt;"&amp;$A220,実績!$AL$6:$AL$505,"○")&gt;0,1,0))</f>
        <v>0</v>
      </c>
      <c r="W220" s="39" t="n">
        <f aca="false">IF(W$4=0,0,IF(COUNTIFS(実績!$W$6:$W$505,W$3,実績!$AI$6:$AI$505,"&lt;="&amp;$A220,実績!$AJ$6:$AJ$505,"&gt;"&amp;$A220,実績!$AL$6:$AL$505,"○")&gt;0,1,0))</f>
        <v>0</v>
      </c>
      <c r="X220" s="39" t="n">
        <f aca="false">IF(X$4=0,0,IF(COUNTIFS(実績!$W$6:$W$505,X$3,実績!$AI$6:$AI$505,"&lt;="&amp;$A220,実績!$AJ$6:$AJ$505,"&gt;"&amp;$A220,実績!$AL$6:$AL$505,"○")&gt;0,1,0))</f>
        <v>0</v>
      </c>
      <c r="Y220" s="39" t="n">
        <f aca="false">IF(Y$4=0,0,IF(COUNTIFS(実績!$W$6:$W$505,Y$3,実績!$AI$6:$AI$505,"&lt;="&amp;$A220,実績!$AJ$6:$AJ$505,"&gt;"&amp;$A220,実績!$AL$6:$AL$505,"○")&gt;0,1,0))</f>
        <v>0</v>
      </c>
      <c r="Z220" s="39" t="n">
        <f aca="false">IF(Z$4=0,0,IF(COUNTIFS(実績!$W$6:$W$505,Z$3,実績!$AI$6:$AI$505,"&lt;="&amp;$A220,実績!$AJ$6:$AJ$505,"&gt;"&amp;$A220,実績!$AL$6:$AL$505,"○")&gt;0,1,0))</f>
        <v>0</v>
      </c>
      <c r="AA220" s="39" t="n">
        <f aca="false">IF(AA$4=0,0,IF(COUNTIFS(実績!$W$6:$W$505,AA$3,実績!$AI$6:$AI$505,"&lt;="&amp;$A220,実績!$AJ$6:$AJ$505,"&gt;"&amp;$A220,実績!$AL$6:$AL$505,"○")&gt;0,1,0))</f>
        <v>0</v>
      </c>
      <c r="AB220" s="39" t="n">
        <f aca="false">IF(AB$4=0,0,IF(COUNTIFS(実績!$W$6:$W$505,AB$3,実績!$AI$6:$AI$505,"&lt;="&amp;$A220,実績!$AJ$6:$AJ$505,"&gt;"&amp;$A220,実績!$AL$6:$AL$505,"○")&gt;0,1,0))</f>
        <v>0</v>
      </c>
      <c r="AC220" s="39" t="n">
        <f aca="false">IF(AC$4=0,0,IF(COUNTIFS(実績!$W$6:$W$505,AC$3,実績!$AI$6:$AI$505,"&lt;="&amp;$A220,実績!$AJ$6:$AJ$505,"&gt;"&amp;$A220,実績!$AL$6:$AL$505,"○")&gt;0,1,0))</f>
        <v>0</v>
      </c>
      <c r="AD220" s="39" t="n">
        <f aca="false">IF(AD$4=0,0,IF(COUNTIFS(実績!$W$6:$W$505,AD$3,実績!$AI$6:$AI$505,"&lt;="&amp;$A220,実績!$AJ$6:$AJ$505,"&gt;"&amp;$A220,実績!$AL$6:$AL$505,"○")&gt;0,1,0))</f>
        <v>0</v>
      </c>
      <c r="AE220" s="39" t="n">
        <f aca="false">IF(AE$4=0,0,IF(COUNTIFS(実績!$W$6:$W$505,AE$3,実績!$AI$6:$AI$505,"&lt;="&amp;$A220,実績!$AJ$6:$AJ$505,"&gt;"&amp;$A220,実績!$AL$6:$AL$505,"○")&gt;0,1,0))</f>
        <v>0</v>
      </c>
      <c r="AF220" s="39" t="n">
        <f aca="false">IF(AF$4=0,0,IF(COUNTIFS(実績!$W$6:$W$505,AF$3,実績!$AI$6:$AI$505,"&lt;="&amp;$A220,実績!$AJ$6:$AJ$505,"&gt;"&amp;$A220,実績!$AL$6:$AL$505,"○")&gt;0,1,0))</f>
        <v>0</v>
      </c>
      <c r="AG220" s="39" t="n">
        <f aca="false">IF(AG$4=0,0,IF(COUNTIFS(実績!$W$6:$W$505,AG$3,実績!$AI$6:$AI$505,"&lt;="&amp;$A220,実績!$AJ$6:$AJ$505,"&gt;"&amp;$A220,実績!$AL$6:$AL$505,"○")&gt;0,1,0))</f>
        <v>0</v>
      </c>
      <c r="AH220" s="39" t="n">
        <f aca="false">IF(AH$4=0,0,IF(COUNTIFS(実績!$W$6:$W$505,AH$3,実績!$AI$6:$AI$505,"&lt;="&amp;$A220,実績!$AJ$6:$AJ$505,"&gt;"&amp;$A220,実績!$AL$6:$AL$505,"○")&gt;0,1,0))</f>
        <v>0</v>
      </c>
      <c r="AI220" s="39" t="n">
        <f aca="false">IF(AI$4=0,0,IF(COUNTIFS(実績!$W$6:$W$505,AI$3,実績!$AI$6:$AI$505,"&lt;="&amp;$A220,実績!$AJ$6:$AJ$505,"&gt;"&amp;$A220,実績!$AL$6:$AL$505,"○")&gt;0,1,0))</f>
        <v>0</v>
      </c>
      <c r="AJ220" s="39" t="n">
        <f aca="false">IF(AJ$4=0,0,IF(COUNTIFS(実績!$W$6:$W$505,AJ$3,実績!$AI$6:$AI$505,"&lt;="&amp;$A220,実績!$AJ$6:$AJ$505,"&gt;"&amp;$A220,実績!$AL$6:$AL$505,"○")&gt;0,1,0))</f>
        <v>0</v>
      </c>
      <c r="AK220" s="39" t="n">
        <f aca="false">IF(AK$4=0,0,IF(COUNTIFS(実績!$W$6:$W$505,AK$3,実績!$AI$6:$AI$505,"&lt;="&amp;$A220,実績!$AJ$6:$AJ$505,"&gt;"&amp;$A220,実績!$AL$6:$AL$505,"○")&gt;0,1,0))</f>
        <v>0</v>
      </c>
      <c r="AL220" s="39" t="n">
        <f aca="false">IF(AL$4=0,0,IF(COUNTIFS(実績!$W$6:$W$505,AL$3,実績!$AI$6:$AI$505,"&lt;="&amp;$A220,実績!$AJ$6:$AJ$505,"&gt;"&amp;$A220,実績!$AL$6:$AL$505,"○")&gt;0,1,0))</f>
        <v>0</v>
      </c>
      <c r="AM220" s="39" t="n">
        <f aca="false">IF(AM$4=0,0,IF(COUNTIFS(実績!$W$6:$W$505,AM$3,実績!$AI$6:$AI$505,"&lt;="&amp;$A220,実績!$AJ$6:$AJ$505,"&gt;"&amp;$A220,実績!$AL$6:$AL$505,"○")&gt;0,1,0))</f>
        <v>0</v>
      </c>
      <c r="AN220" s="39" t="n">
        <f aca="false">IF(AN$4=0,0,IF(COUNTIFS(実績!$W$6:$W$505,AN$3,実績!$AI$6:$AI$505,"&lt;="&amp;$A220,実績!$AJ$6:$AJ$505,"&gt;"&amp;$A220,実績!$AL$6:$AL$505,"○")&gt;0,1,0))</f>
        <v>0</v>
      </c>
      <c r="AO220" s="39" t="n">
        <f aca="false">IF(AO$4=0,0,IF(COUNTIFS(実績!$W$6:$W$505,AO$3,実績!$AI$6:$AI$505,"&lt;="&amp;$A220,実績!$AJ$6:$AJ$505,"&gt;"&amp;$A220,実績!$AL$6:$AL$505,"○")&gt;0,1,0))</f>
        <v>0</v>
      </c>
      <c r="AP220" s="39" t="n">
        <f aca="false">IF(AP$4=0,0,IF(COUNTIFS(実績!$W$6:$W$505,AP$3,実績!$AI$6:$AI$505,"&lt;="&amp;$A220,実績!$AJ$6:$AJ$505,"&gt;"&amp;$A220,実績!$AL$6:$AL$505,"○")&gt;0,1,0))</f>
        <v>0</v>
      </c>
      <c r="AQ220" s="39" t="n">
        <f aca="false">IF(AQ$4=0,0,IF(COUNTIFS(実績!$W$6:$W$505,AQ$3,実績!$AI$6:$AI$505,"&lt;="&amp;$A220,実績!$AJ$6:$AJ$505,"&gt;"&amp;$A220,実績!$AL$6:$AL$505,"○")&gt;0,1,0))</f>
        <v>0</v>
      </c>
      <c r="AR220" s="39" t="n">
        <f aca="false">IF(AR$4=0,0,IF(COUNTIFS(実績!$W$6:$W$505,AR$3,実績!$AI$6:$AI$505,"&lt;="&amp;$A220,実績!$AJ$6:$AJ$505,"&gt;"&amp;$A220,実績!$AL$6:$AL$505,"○")&gt;0,1,0))</f>
        <v>0</v>
      </c>
      <c r="AS220" s="39" t="n">
        <f aca="false">IF(AS$4=0,0,IF(COUNTIFS(実績!$W$6:$W$505,AS$3,実績!$AI$6:$AI$505,"&lt;="&amp;$A220,実績!$AJ$6:$AJ$505,"&gt;"&amp;$A220,実績!$AL$6:$AL$505,"○")&gt;0,1,0))</f>
        <v>0</v>
      </c>
      <c r="AT220" s="39" t="n">
        <f aca="false">IF(AT$4=0,0,IF(COUNTIFS(実績!$W$6:$W$505,AT$3,実績!$AI$6:$AI$505,"&lt;="&amp;$A220,実績!$AJ$6:$AJ$505,"&gt;"&amp;$A220,実績!$AL$6:$AL$505,"○")&gt;0,1,0))</f>
        <v>0</v>
      </c>
      <c r="AU220" s="39" t="n">
        <f aca="false">IF(AU$4=0,0,IF(COUNTIFS(実績!$W$6:$W$505,AU$3,実績!$AI$6:$AI$505,"&lt;="&amp;$A220,実績!$AJ$6:$AJ$505,"&gt;"&amp;$A220,実績!$AL$6:$AL$505,"○")&gt;0,1,0))</f>
        <v>0</v>
      </c>
      <c r="AV220" s="39" t="n">
        <f aca="false">IF(AV$4=0,0,IF(COUNTIFS(実績!$W$6:$W$505,AV$3,実績!$AI$6:$AI$505,"&lt;="&amp;$A220,実績!$AJ$6:$AJ$505,"&gt;"&amp;$A220,実績!$AL$6:$AL$505,"○")&gt;0,1,0))</f>
        <v>0</v>
      </c>
      <c r="AW220" s="39" t="n">
        <f aca="false">IF(AW$4=0,0,IF(COUNTIFS(実績!$W$6:$W$505,AW$3,実績!$AI$6:$AI$505,"&lt;="&amp;$A220,実績!$AJ$6:$AJ$505,"&gt;"&amp;$A220,実績!$AL$6:$AL$505,"○")&gt;0,1,0))</f>
        <v>0</v>
      </c>
      <c r="AX220" s="39" t="n">
        <f aca="false">IF(AX$4=0,0,IF(COUNTIFS(実績!$W$6:$W$505,AX$3,実績!$AI$6:$AI$505,"&lt;="&amp;$A220,実績!$AJ$6:$AJ$505,"&gt;"&amp;$A220,実績!$AL$6:$AL$505,"○")&gt;0,1,0))</f>
        <v>0</v>
      </c>
      <c r="AY220" s="39" t="n">
        <f aca="false">IF(AY$4=0,0,IF(COUNTIFS(実績!$W$6:$W$505,AY$3,実績!$AI$6:$AI$505,"&lt;="&amp;$A220,実績!$AJ$6:$AJ$505,"&gt;"&amp;$A220,実績!$AL$6:$AL$505,"○")&gt;0,1,0))</f>
        <v>0</v>
      </c>
      <c r="AZ220" s="39" t="n">
        <f aca="false">IF(AZ$4=0,0,IF(COUNTIFS(実績!$W$6:$W$505,AZ$3,実績!$AI$6:$AI$505,"&lt;="&amp;$A220,実績!$AJ$6:$AJ$505,"&gt;"&amp;$A220,実績!$AL$6:$AL$505,"○")&gt;0,1,0))</f>
        <v>0</v>
      </c>
      <c r="BA220" s="39" t="n">
        <f aca="false">IF(BA$4=0,0,IF(COUNTIFS(実績!$W$6:$W$505,BA$3,実績!$AI$6:$AI$505,"&lt;="&amp;$A220,実績!$AJ$6:$AJ$505,"&gt;"&amp;$A220,実績!$AL$6:$AL$505,"○")&gt;0,1,0))</f>
        <v>0</v>
      </c>
      <c r="BB220" s="39" t="n">
        <f aca="false">IF(BB$4=0,0,IF(COUNTIFS(実績!$W$6:$W$505,BB$3,実績!$AI$6:$AI$505,"&lt;="&amp;$A220,実績!$AJ$6:$AJ$505,"&gt;"&amp;$A220,実績!$AL$6:$AL$505,"○")&gt;0,1,0))</f>
        <v>0</v>
      </c>
      <c r="BC220" s="39" t="n">
        <f aca="false">IF(BC$4=0,0,IF(COUNTIFS(実績!$W$6:$W$505,BC$3,実績!$AI$6:$AI$505,"&lt;="&amp;$A220,実績!$AJ$6:$AJ$505,"&gt;"&amp;$A220,実績!$AL$6:$AL$505,"○")&gt;0,1,0))</f>
        <v>0</v>
      </c>
      <c r="BD220" s="39" t="n">
        <f aca="false">IF(BD$4=0,0,IF(COUNTIFS(実績!$W$6:$W$505,BD$3,実績!$AI$6:$AI$505,"&lt;="&amp;$A220,実績!$AJ$6:$AJ$505,"&gt;"&amp;$A220,実績!$AL$6:$AL$505,"○")&gt;0,1,0))</f>
        <v>0</v>
      </c>
      <c r="BE220" s="39" t="n">
        <f aca="false">IF(BE$4=0,0,IF(COUNTIFS(実績!$W$6:$W$505,BE$3,実績!$AI$6:$AI$505,"&lt;="&amp;$A220,実績!$AJ$6:$AJ$505,"&gt;"&amp;$A220,実績!$AL$6:$AL$505,"○")&gt;0,1,0))</f>
        <v>0</v>
      </c>
      <c r="BF220" s="39" t="n">
        <f aca="false">IF(BF$4=0,0,IF(COUNTIFS(実績!$W$6:$W$505,BF$3,実績!$AI$6:$AI$505,"&lt;="&amp;$A220,実績!$AJ$6:$AJ$505,"&gt;"&amp;$A220,実績!$AL$6:$AL$505,"○")&gt;0,1,0))</f>
        <v>0</v>
      </c>
      <c r="BG220" s="39" t="n">
        <f aca="false">IF(BG$4=0,0,IF(COUNTIFS(実績!$W$6:$W$505,BG$3,実績!$AI$6:$AI$505,"&lt;="&amp;$A220,実績!$AJ$6:$AJ$505,"&gt;"&amp;$A220,実績!$AL$6:$AL$505,"○")&gt;0,1,0))</f>
        <v>0</v>
      </c>
      <c r="BH220" s="39" t="n">
        <f aca="false">IF(BH$4=0,0,IF(COUNTIFS(実績!$W$6:$W$505,BH$3,実績!$AI$6:$AI$505,"&lt;="&amp;$A220,実績!$AJ$6:$AJ$505,"&gt;"&amp;$A220,実績!$AL$6:$AL$505,"○")&gt;0,1,0))</f>
        <v>0</v>
      </c>
      <c r="BI220" s="39" t="n">
        <f aca="false">IF(BI$4=0,0,IF(COUNTIFS(実績!$W$6:$W$505,BI$3,実績!$AI$6:$AI$505,"&lt;="&amp;$A220,実績!$AJ$6:$AJ$505,"&gt;"&amp;$A220,実績!$AL$6:$AL$505,"○")&gt;0,1,0))</f>
        <v>0</v>
      </c>
      <c r="BJ220" s="39" t="n">
        <f aca="false">IF(BJ$4=0,0,IF(COUNTIFS(実績!$W$6:$W$505,BJ$3,実績!$AI$6:$AI$505,"&lt;="&amp;$A220,実績!$AJ$6:$AJ$505,"&gt;"&amp;$A220,実績!$AL$6:$AL$505,"○")&gt;0,1,0))</f>
        <v>0</v>
      </c>
      <c r="BK220" s="39" t="n">
        <f aca="false">IF(BK$4=0,0,IF(COUNTIFS(実績!$W$6:$W$505,BK$3,実績!$AI$6:$AI$505,"&lt;="&amp;$A220,実績!$AJ$6:$AJ$505,"&gt;"&amp;$A220,実績!$AL$6:$AL$505,"○")&gt;0,1,0))</f>
        <v>0</v>
      </c>
      <c r="BL220" s="39" t="n">
        <f aca="false">IF(BL$4=0,0,IF(COUNTIFS(実績!$W$6:$W$505,BL$3,実績!$AI$6:$AI$505,"&lt;="&amp;$A220,実績!$AJ$6:$AJ$505,"&gt;"&amp;$A220,実績!$AL$6:$AL$505,"○")&gt;0,1,0))</f>
        <v>0</v>
      </c>
      <c r="BM220" s="39" t="n">
        <f aca="false">IF(BM$4=0,0,IF(COUNTIFS(実績!$W$6:$W$505,BM$3,実績!$AI$6:$AI$505,"&lt;="&amp;$A220,実績!$AJ$6:$AJ$505,"&gt;"&amp;$A220,実績!$AL$6:$AL$505,"○")&gt;0,1,0))</f>
        <v>0</v>
      </c>
      <c r="BN220" s="39" t="n">
        <f aca="false">IF(BN$4=0,0,IF(COUNTIFS(実績!$W$6:$W$505,BN$3,実績!$AI$6:$AI$505,"&lt;="&amp;$A220,実績!$AJ$6:$AJ$505,"&gt;"&amp;$A220,実績!$AL$6:$AL$505,"○")&gt;0,1,0))</f>
        <v>0</v>
      </c>
      <c r="BO220" s="39" t="n">
        <f aca="false">IF(BO$4=0,0,IF(COUNTIFS(実績!$W$6:$W$505,BO$3,実績!$AI$6:$AI$505,"&lt;="&amp;$A220,実績!$AJ$6:$AJ$505,"&gt;"&amp;$A220,実績!$AL$6:$AL$505,"○")&gt;0,1,0))</f>
        <v>0</v>
      </c>
      <c r="BP220" s="39" t="n">
        <f aca="false">IF(BP$4=0,0,IF(COUNTIFS(実績!$W$6:$W$505,BP$3,実績!$AI$6:$AI$505,"&lt;="&amp;$A220,実績!$AJ$6:$AJ$505,"&gt;"&amp;$A220,実績!$AL$6:$AL$505,"○")&gt;0,1,0))</f>
        <v>0</v>
      </c>
      <c r="BQ220" s="39" t="n">
        <f aca="false">IF(BQ$4=0,0,IF(COUNTIFS(実績!$W$6:$W$505,BQ$3,実績!$AI$6:$AI$505,"&lt;="&amp;$A220,実績!$AJ$6:$AJ$505,"&gt;"&amp;$A220,実績!$AL$6:$AL$505,"○")&gt;0,1,0))</f>
        <v>0</v>
      </c>
      <c r="BR220" s="39" t="n">
        <f aca="false">IF(BR$4=0,0,IF(COUNTIFS(実績!$W$6:$W$505,BR$3,実績!$AI$6:$AI$505,"&lt;="&amp;$A220,実績!$AJ$6:$AJ$505,"&gt;"&amp;$A220,実績!$AL$6:$AL$505,"○")&gt;0,1,0))</f>
        <v>0</v>
      </c>
      <c r="BS220" s="39" t="n">
        <f aca="false">IF(BS$4=0,0,IF(COUNTIFS(実績!$W$6:$W$505,BS$3,実績!$AI$6:$AI$505,"&lt;="&amp;$A220,実績!$AJ$6:$AJ$505,"&gt;"&amp;$A220,実績!$AL$6:$AL$505,"○")&gt;0,1,0))</f>
        <v>0</v>
      </c>
      <c r="BT220" s="39" t="n">
        <f aca="false">IF(BT$4=0,0,IF(COUNTIFS(実績!$W$6:$W$505,BT$3,実績!$AI$6:$AI$505,"&lt;="&amp;$A220,実績!$AJ$6:$AJ$505,"&gt;"&amp;$A220,実績!$AL$6:$AL$505,"○")&gt;0,1,0))</f>
        <v>0</v>
      </c>
      <c r="BU220" s="39" t="n">
        <f aca="false">IF(BU$4=0,0,IF(COUNTIFS(実績!$W$6:$W$505,BU$3,実績!$AI$6:$AI$505,"&lt;="&amp;$A220,実績!$AJ$6:$AJ$505,"&gt;"&amp;$A220,実績!$AL$6:$AL$505,"○")&gt;0,1,0))</f>
        <v>0</v>
      </c>
      <c r="BV220" s="39" t="n">
        <f aca="false">IF(BV$4=0,0,IF(COUNTIFS(実績!$W$6:$W$505,BV$3,実績!$AI$6:$AI$505,"&lt;="&amp;$A220,実績!$AJ$6:$AJ$505,"&gt;"&amp;$A220,実績!$AL$6:$AL$505,"○")&gt;0,1,0))</f>
        <v>0</v>
      </c>
      <c r="BW220" s="39" t="n">
        <f aca="false">IF(BW$4=0,0,IF(COUNTIFS(実績!$W$6:$W$505,BW$3,実績!$AI$6:$AI$505,"&lt;="&amp;$A220,実績!$AJ$6:$AJ$505,"&gt;"&amp;$A220,実績!$AL$6:$AL$505,"○")&gt;0,1,0))</f>
        <v>0</v>
      </c>
      <c r="BX220" s="39" t="n">
        <f aca="false">IF(BX$4=0,0,IF(COUNTIFS(実績!$W$6:$W$505,BX$3,実績!$AI$6:$AI$505,"&lt;="&amp;$A220,実績!$AJ$6:$AJ$505,"&gt;"&amp;$A220,実績!$AL$6:$AL$505,"○")&gt;0,1,0))</f>
        <v>0</v>
      </c>
      <c r="BY220" s="39" t="n">
        <f aca="false">IF(BY$4=0,0,IF(COUNTIFS(実績!$W$6:$W$505,BY$3,実績!$AI$6:$AI$505,"&lt;="&amp;$A220,実績!$AJ$6:$AJ$505,"&gt;"&amp;$A220,実績!$AL$6:$AL$505,"○")&gt;0,1,0))</f>
        <v>0</v>
      </c>
      <c r="BZ220" s="39" t="n">
        <f aca="false">IF(BZ$4=0,0,IF(COUNTIFS(実績!$W$6:$W$505,BZ$3,実績!$AI$6:$AI$505,"&lt;="&amp;$A220,実績!$AJ$6:$AJ$505,"&gt;"&amp;$A220,実績!$AL$6:$AL$505,"○")&gt;0,1,0))</f>
        <v>0</v>
      </c>
      <c r="CA220" s="39" t="n">
        <f aca="false">IF(CA$4=0,0,IF(COUNTIFS(実績!$W$6:$W$505,CA$3,実績!$AI$6:$AI$505,"&lt;="&amp;$A220,実績!$AJ$6:$AJ$505,"&gt;"&amp;$A220,実績!$AL$6:$AL$505,"○")&gt;0,1,0))</f>
        <v>0</v>
      </c>
      <c r="CB220" s="39" t="n">
        <f aca="false">IF(CB$4=0,0,IF(COUNTIFS(実績!$W$6:$W$505,CB$3,実績!$AI$6:$AI$505,"&lt;="&amp;$A220,実績!$AJ$6:$AJ$505,"&gt;"&amp;$A220,実績!$AL$6:$AL$505,"○")&gt;0,1,0))</f>
        <v>0</v>
      </c>
      <c r="CC220" s="39" t="n">
        <f aca="false">IF(CC$4=0,0,IF(COUNTIFS(実績!$W$6:$W$505,CC$3,実績!$AI$6:$AI$505,"&lt;="&amp;$A220,実績!$AJ$6:$AJ$505,"&gt;"&amp;$A220,実績!$AL$6:$AL$505,"○")&gt;0,1,0))</f>
        <v>0</v>
      </c>
      <c r="CD220" s="39" t="n">
        <f aca="false">IF(CD$4=0,0,IF(COUNTIFS(実績!$W$6:$W$505,CD$3,実績!$AI$6:$AI$505,"&lt;="&amp;$A220,実績!$AJ$6:$AJ$505,"&gt;"&amp;$A220,実績!$AL$6:$AL$505,"○")&gt;0,1,0))</f>
        <v>0</v>
      </c>
      <c r="CE220" s="39" t="n">
        <f aca="false">IF(CE$4=0,0,IF(COUNTIFS(実績!$W$6:$W$505,CE$3,実績!$AI$6:$AI$505,"&lt;="&amp;$A220,実績!$AJ$6:$AJ$505,"&gt;"&amp;$A220,実績!$AL$6:$AL$505,"○")&gt;0,1,0))</f>
        <v>0</v>
      </c>
      <c r="CF220" s="39" t="n">
        <f aca="false">IF(CF$4=0,0,IF(COUNTIFS(実績!$W$6:$W$505,CF$3,実績!$AI$6:$AI$505,"&lt;="&amp;$A220,実績!$AJ$6:$AJ$505,"&gt;"&amp;$A220,実績!$AL$6:$AL$505,"○")&gt;0,1,0))</f>
        <v>0</v>
      </c>
      <c r="CG220" s="39" t="n">
        <f aca="false">IF(CG$4=0,0,IF(COUNTIFS(実績!$W$6:$W$505,CG$3,実績!$AI$6:$AI$505,"&lt;="&amp;$A220,実績!$AJ$6:$AJ$505,"&gt;"&amp;$A220,実績!$AL$6:$AL$505,"○")&gt;0,1,0))</f>
        <v>0</v>
      </c>
      <c r="CH220" s="39" t="n">
        <f aca="false">IF(CH$4=0,0,IF(COUNTIFS(実績!$W$6:$W$505,CH$3,実績!$AI$6:$AI$505,"&lt;="&amp;$A220,実績!$AJ$6:$AJ$505,"&gt;"&amp;$A220,実績!$AL$6:$AL$505,"○")&gt;0,1,0))</f>
        <v>0</v>
      </c>
      <c r="CI220" s="39" t="n">
        <f aca="false">IF(CI$4=0,0,IF(COUNTIFS(実績!$W$6:$W$505,CI$3,実績!$AI$6:$AI$505,"&lt;="&amp;$A220,実績!$AJ$6:$AJ$505,"&gt;"&amp;$A220,実績!$AL$6:$AL$505,"○")&gt;0,1,0))</f>
        <v>0</v>
      </c>
      <c r="CJ220" s="39" t="n">
        <f aca="false">IF(CJ$4=0,0,IF(COUNTIFS(実績!$W$6:$W$505,CJ$3,実績!$AI$6:$AI$505,"&lt;="&amp;$A220,実績!$AJ$6:$AJ$505,"&gt;"&amp;$A220,実績!$AL$6:$AL$505,"○")&gt;0,1,0))</f>
        <v>0</v>
      </c>
      <c r="CK220" s="39" t="n">
        <f aca="false">IF(CK$4=0,0,IF(COUNTIFS(実績!$W$6:$W$505,CK$3,実績!$AI$6:$AI$505,"&lt;="&amp;$A220,実績!$AJ$6:$AJ$505,"&gt;"&amp;$A220,実績!$AL$6:$AL$505,"○")&gt;0,1,0))</f>
        <v>0</v>
      </c>
      <c r="CL220" s="39" t="n">
        <f aca="false">IF(CL$4=0,0,IF(COUNTIFS(実績!$W$6:$W$505,CL$3,実績!$AI$6:$AI$505,"&lt;="&amp;$A220,実績!$AJ$6:$AJ$505,"&gt;"&amp;$A220,実績!$AL$6:$AL$505,"○")&gt;0,1,0))</f>
        <v>0</v>
      </c>
      <c r="CM220" s="39" t="n">
        <f aca="false">IF(CM$4=0,0,IF(COUNTIFS(実績!$W$6:$W$505,CM$3,実績!$AI$6:$AI$505,"&lt;="&amp;$A220,実績!$AJ$6:$AJ$505,"&gt;"&amp;$A220,実績!$AL$6:$AL$505,"○")&gt;0,1,0))</f>
        <v>0</v>
      </c>
      <c r="CN220" s="39" t="n">
        <f aca="false">IF(CN$4=0,0,IF(COUNTIFS(実績!$W$6:$W$505,CN$3,実績!$AI$6:$AI$505,"&lt;="&amp;$A220,実績!$AJ$6:$AJ$505,"&gt;"&amp;$A220,実績!$AL$6:$AL$505,"○")&gt;0,1,0))</f>
        <v>0</v>
      </c>
      <c r="CO220" s="39" t="n">
        <f aca="false">IF(CO$4=0,0,IF(COUNTIFS(実績!$W$6:$W$505,CO$3,実績!$AI$6:$AI$505,"&lt;="&amp;$A220,実績!$AJ$6:$AJ$505,"&gt;"&amp;$A220,実績!$AL$6:$AL$505,"○")&gt;0,1,0))</f>
        <v>0</v>
      </c>
      <c r="CP220" s="39" t="n">
        <f aca="false">IF(CP$4=0,0,IF(COUNTIFS(実績!$W$6:$W$505,CP$3,実績!$AI$6:$AI$505,"&lt;="&amp;$A220,実績!$AJ$6:$AJ$505,"&gt;"&amp;$A220,実績!$AL$6:$AL$505,"○")&gt;0,1,0))</f>
        <v>0</v>
      </c>
      <c r="CQ220" s="39" t="n">
        <f aca="false">IF(CQ$4=0,0,IF(COUNTIFS(実績!$W$6:$W$505,CQ$3,実績!$AI$6:$AI$505,"&lt;="&amp;$A220,実績!$AJ$6:$AJ$505,"&gt;"&amp;$A220,実績!$AL$6:$AL$505,"○")&gt;0,1,0))</f>
        <v>0</v>
      </c>
      <c r="CR220" s="39" t="n">
        <f aca="false">IF(CR$4=0,0,IF(COUNTIFS(実績!$W$6:$W$505,CR$3,実績!$AI$6:$AI$505,"&lt;="&amp;$A220,実績!$AJ$6:$AJ$505,"&gt;"&amp;$A220,実績!$AL$6:$AL$505,"○")&gt;0,1,0))</f>
        <v>0</v>
      </c>
      <c r="CS220" s="39" t="n">
        <f aca="false">IF(CS$4=0,0,IF(COUNTIFS(実績!$W$6:$W$505,CS$3,実績!$AI$6:$AI$505,"&lt;="&amp;$A220,実績!$AJ$6:$AJ$505,"&gt;"&amp;$A220,実績!$AL$6:$AL$505,"○")&gt;0,1,0))</f>
        <v>0</v>
      </c>
      <c r="CT220" s="39" t="n">
        <f aca="false">IF(CT$4=0,0,IF(COUNTIFS(実績!$W$6:$W$505,CT$3,実績!$AI$6:$AI$505,"&lt;="&amp;$A220,実績!$AJ$6:$AJ$505,"&gt;"&amp;$A220,実績!$AL$6:$AL$505,"○")&gt;0,1,0))</f>
        <v>0</v>
      </c>
      <c r="CU220" s="39" t="n">
        <f aca="false">IF(CU$4=0,0,IF(COUNTIFS(実績!$W$6:$W$505,CU$3,実績!$AI$6:$AI$505,"&lt;="&amp;$A220,実績!$AJ$6:$AJ$505,"&gt;"&amp;$A220,実績!$AL$6:$AL$505,"○")&gt;0,1,0))</f>
        <v>0</v>
      </c>
      <c r="CV220" s="39" t="n">
        <f aca="false">IF(CV$4=0,0,IF(COUNTIFS(実績!$W$6:$W$505,CV$3,実績!$AI$6:$AI$505,"&lt;="&amp;$A220,実績!$AJ$6:$AJ$505,"&gt;"&amp;$A220,実績!$AL$6:$AL$505,"○")&gt;0,1,0))</f>
        <v>0</v>
      </c>
      <c r="CW220" s="39" t="n">
        <f aca="false">IF(CW$4=0,0,IF(COUNTIFS(実績!$W$6:$W$505,CW$3,実績!$AI$6:$AI$505,"&lt;="&amp;$A220,実績!$AJ$6:$AJ$505,"&gt;"&amp;$A220,実績!$AL$6:$AL$505,"○")&gt;0,1,0))</f>
        <v>0</v>
      </c>
      <c r="CX220" s="39" t="n">
        <f aca="false">IF(CX$4=0,0,IF(COUNTIFS(実績!$W$6:$W$505,CX$3,実績!$AI$6:$AI$505,"&lt;="&amp;$A220,実績!$AJ$6:$AJ$505,"&gt;"&amp;$A220,実績!$AL$6:$AL$505,"○")&gt;0,1,0))</f>
        <v>0</v>
      </c>
      <c r="CY220" s="39" t="n">
        <f aca="false">IF(CY$4=0,0,IF(COUNTIFS(実績!$W$6:$W$505,CY$3,実績!$AI$6:$AI$505,"&lt;="&amp;$A220,実績!$AJ$6:$AJ$505,"&gt;"&amp;$A220,実績!$AL$6:$AL$505,"○")&gt;0,1,0))</f>
        <v>0</v>
      </c>
      <c r="CZ220" s="39" t="n">
        <f aca="false">IF(CZ$4=0,0,IF(COUNTIFS(実績!$W$6:$W$505,CZ$3,実績!$AI$6:$AI$505,"&lt;="&amp;$A220,実績!$AJ$6:$AJ$505,"&gt;"&amp;$A220,実績!$AL$6:$AL$505,"○")&gt;0,1,0))</f>
        <v>0</v>
      </c>
      <c r="DA220" s="39" t="n">
        <f aca="false">IF(DA$4=0,0,IF(COUNTIFS(実績!$W$6:$W$505,DA$3,実績!$AI$6:$AI$505,"&lt;="&amp;$A220,実績!$AJ$6:$AJ$505,"&gt;"&amp;$A220,実績!$AL$6:$AL$505,"○")&gt;0,1,0))</f>
        <v>0</v>
      </c>
      <c r="DB220" s="39" t="n">
        <f aca="false">IF(DB$4=0,0,IF(COUNTIFS(実績!$W$6:$W$505,DB$3,実績!$AI$6:$AI$505,"&lt;="&amp;$A220,実績!$AJ$6:$AJ$505,"&gt;"&amp;$A220,実績!$AL$6:$AL$505,"○")&gt;0,1,0))</f>
        <v>0</v>
      </c>
      <c r="DC220" s="39" t="n">
        <f aca="false">IF(DC$4=0,0,IF(COUNTIFS(実績!$W$6:$W$505,DC$3,実績!$AI$6:$AI$505,"&lt;="&amp;$A220,実績!$AJ$6:$AJ$505,"&gt;"&amp;$A220,実績!$AL$6:$AL$505,"○")&gt;0,1,0))</f>
        <v>0</v>
      </c>
      <c r="DD220" s="39" t="n">
        <f aca="false">IF(DD$4=0,0,IF(COUNTIFS(実績!$W$6:$W$505,DD$3,実績!$AI$6:$AI$505,"&lt;="&amp;$A220,実績!$AJ$6:$AJ$505,"&gt;"&amp;$A220,実績!$AL$6:$AL$505,"○")&gt;0,1,0))</f>
        <v>0</v>
      </c>
      <c r="DE220" s="39" t="n">
        <f aca="false">IF(DE$4=0,0,IF(COUNTIFS(実績!$W$6:$W$505,DE$3,実績!$AI$6:$AI$505,"&lt;="&amp;$A220,実績!$AJ$6:$AJ$505,"&gt;"&amp;$A220,実績!$AL$6:$AL$505,"○")&gt;0,1,0))</f>
        <v>0</v>
      </c>
      <c r="DF220" s="39" t="n">
        <f aca="false">IF(DF$4=0,0,IF(COUNTIFS(実績!$W$6:$W$505,DF$3,実績!$AI$6:$AI$505,"&lt;="&amp;$A220,実績!$AJ$6:$AJ$505,"&gt;"&amp;$A220,実績!$AL$6:$AL$505,"○")&gt;0,1,0))</f>
        <v>0</v>
      </c>
      <c r="DG220" s="39" t="n">
        <f aca="false">IF(DG$4=0,0,IF(COUNTIFS(実績!$W$6:$W$505,DG$3,実績!$AI$6:$AI$505,"&lt;="&amp;$A220,実績!$AJ$6:$AJ$505,"&gt;"&amp;$A220,実績!$AL$6:$AL$505,"○")&gt;0,1,0))</f>
        <v>0</v>
      </c>
      <c r="DH220" s="39" t="n">
        <f aca="false">IF(DH$4=0,0,IF(COUNTIFS(実績!$W$6:$W$505,DH$3,実績!$AI$6:$AI$505,"&lt;="&amp;$A220,実績!$AJ$6:$AJ$505,"&gt;"&amp;$A220,実績!$AL$6:$AL$505,"○")&gt;0,1,0))</f>
        <v>0</v>
      </c>
      <c r="DI220" s="39" t="n">
        <f aca="false">IF(DI$4=0,0,IF(COUNTIFS(実績!$W$6:$W$505,DI$3,実績!$AI$6:$AI$505,"&lt;="&amp;$A220,実績!$AJ$6:$AJ$505,"&gt;"&amp;$A220,実績!$AL$6:$AL$505,"○")&gt;0,1,0))</f>
        <v>0</v>
      </c>
      <c r="DJ220" s="39" t="n">
        <f aca="false">IF(DJ$4=0,0,IF(COUNTIFS(実績!$W$6:$W$505,DJ$3,実績!$AI$6:$AI$505,"&lt;="&amp;$A220,実績!$AJ$6:$AJ$505,"&gt;"&amp;$A220,実績!$AL$6:$AL$505,"○")&gt;0,1,0))</f>
        <v>0</v>
      </c>
      <c r="DK220" s="39" t="n">
        <f aca="false">IF(DK$4=0,0,IF(COUNTIFS(実績!$W$6:$W$505,DK$3,実績!$AI$6:$AI$505,"&lt;="&amp;$A220,実績!$AJ$6:$AJ$505,"&gt;"&amp;$A220,実績!$AL$6:$AL$505,"○")&gt;0,1,0))</f>
        <v>0</v>
      </c>
      <c r="DL220" s="39" t="n">
        <f aca="false">IF(DL$4=0,0,IF(COUNTIFS(実績!$W$6:$W$505,DL$3,実績!$AI$6:$AI$505,"&lt;="&amp;$A220,実績!$AJ$6:$AJ$505,"&gt;"&amp;$A220,実績!$AL$6:$AL$505,"○")&gt;0,1,0))</f>
        <v>0</v>
      </c>
      <c r="DM220" s="39" t="n">
        <f aca="false">IF(DM$4=0,0,IF(COUNTIFS(実績!$W$6:$W$505,DM$3,実績!$AI$6:$AI$505,"&lt;="&amp;$A220,実績!$AJ$6:$AJ$505,"&gt;"&amp;$A220,実績!$AL$6:$AL$505,"○")&gt;0,1,0))</f>
        <v>0</v>
      </c>
      <c r="DN220" s="39" t="n">
        <f aca="false">IF(DN$4=0,0,IF(COUNTIFS(実績!$W$6:$W$505,DN$3,実績!$AI$6:$AI$505,"&lt;="&amp;$A220,実績!$AJ$6:$AJ$505,"&gt;"&amp;$A220,実績!$AL$6:$AL$505,"○")&gt;0,1,0))</f>
        <v>0</v>
      </c>
      <c r="DO220" s="39" t="n">
        <f aca="false">IF(DO$4=0,0,IF(COUNTIFS(実績!$W$6:$W$505,DO$3,実績!$AI$6:$AI$505,"&lt;="&amp;$A220,実績!$AJ$6:$AJ$505,"&gt;"&amp;$A220,実績!$AL$6:$AL$505,"○")&gt;0,1,0))</f>
        <v>0</v>
      </c>
      <c r="DP220" s="39" t="n">
        <f aca="false">IF(DP$4=0,0,IF(COUNTIFS(実績!$W$6:$W$505,DP$3,実績!$AI$6:$AI$505,"&lt;="&amp;$A220,実績!$AJ$6:$AJ$505,"&gt;"&amp;$A220,実績!$AL$6:$AL$505,"○")&gt;0,1,0))</f>
        <v>0</v>
      </c>
      <c r="DQ220" s="39" t="n">
        <f aca="false">IF(DQ$4=0,0,IF(COUNTIFS(実績!$W$6:$W$505,DQ$3,実績!$AI$6:$AI$505,"&lt;="&amp;$A220,実績!$AJ$6:$AJ$505,"&gt;"&amp;$A220,実績!$AL$6:$AL$505,"○")&gt;0,1,0))</f>
        <v>0</v>
      </c>
      <c r="DR220" s="39" t="n">
        <f aca="false">IF(DR$4=0,0,IF(COUNTIFS(実績!$W$6:$W$505,DR$3,実績!$AI$6:$AI$505,"&lt;="&amp;$A220,実績!$AJ$6:$AJ$505,"&gt;"&amp;$A220,実績!$AL$6:$AL$505,"○")&gt;0,1,0))</f>
        <v>0</v>
      </c>
      <c r="DS220" s="39" t="n">
        <f aca="false">SUM(C220:DR220)</f>
        <v>0</v>
      </c>
    </row>
    <row r="221" customFormat="false" ht="15" hidden="false" customHeight="false" outlineLevel="0" collapsed="false">
      <c r="A221" s="0" t="n">
        <v>1075</v>
      </c>
      <c r="B221" s="38" t="n">
        <f aca="false">A221/1440</f>
        <v>0.746527777777778</v>
      </c>
      <c r="C221" s="39" t="n">
        <f aca="false">IF(C$4=0,0,IF(COUNTIFS(実績!$W$6:$W$505,C$3,実績!$AI$6:$AI$505,"&lt;="&amp;$A221,実績!$AJ$6:$AJ$505,"&gt;"&amp;$A221,実績!$AL$6:$AL$505,"○")&gt;0,1,0))</f>
        <v>0</v>
      </c>
      <c r="D221" s="39" t="n">
        <f aca="false">IF(D$4=0,0,IF(COUNTIFS(実績!$W$6:$W$505,D$3,実績!$AI$6:$AI$505,"&lt;="&amp;$A221,実績!$AJ$6:$AJ$505,"&gt;"&amp;$A221,実績!$AL$6:$AL$505,"○")&gt;0,1,0))</f>
        <v>0</v>
      </c>
      <c r="E221" s="39" t="n">
        <f aca="false">IF(E$4=0,0,IF(COUNTIFS(実績!$W$6:$W$505,E$3,実績!$AI$6:$AI$505,"&lt;="&amp;$A221,実績!$AJ$6:$AJ$505,"&gt;"&amp;$A221,実績!$AL$6:$AL$505,"○")&gt;0,1,0))</f>
        <v>0</v>
      </c>
      <c r="F221" s="39" t="n">
        <f aca="false">IF(F$4=0,0,IF(COUNTIFS(実績!$W$6:$W$505,F$3,実績!$AI$6:$AI$505,"&lt;="&amp;$A221,実績!$AJ$6:$AJ$505,"&gt;"&amp;$A221,実績!$AL$6:$AL$505,"○")&gt;0,1,0))</f>
        <v>0</v>
      </c>
      <c r="G221" s="39" t="n">
        <f aca="false">IF(G$4=0,0,IF(COUNTIFS(実績!$W$6:$W$505,G$3,実績!$AI$6:$AI$505,"&lt;="&amp;$A221,実績!$AJ$6:$AJ$505,"&gt;"&amp;$A221,実績!$AL$6:$AL$505,"○")&gt;0,1,0))</f>
        <v>0</v>
      </c>
      <c r="H221" s="39" t="n">
        <f aca="false">IF(H$4=0,0,IF(COUNTIFS(実績!$W$6:$W$505,H$3,実績!$AI$6:$AI$505,"&lt;="&amp;$A221,実績!$AJ$6:$AJ$505,"&gt;"&amp;$A221,実績!$AL$6:$AL$505,"○")&gt;0,1,0))</f>
        <v>0</v>
      </c>
      <c r="I221" s="39" t="n">
        <f aca="false">IF(I$4=0,0,IF(COUNTIFS(実績!$W$6:$W$505,I$3,実績!$AI$6:$AI$505,"&lt;="&amp;$A221,実績!$AJ$6:$AJ$505,"&gt;"&amp;$A221,実績!$AL$6:$AL$505,"○")&gt;0,1,0))</f>
        <v>0</v>
      </c>
      <c r="J221" s="39" t="n">
        <f aca="false">IF(J$4=0,0,IF(COUNTIFS(実績!$W$6:$W$505,J$3,実績!$AI$6:$AI$505,"&lt;="&amp;$A221,実績!$AJ$6:$AJ$505,"&gt;"&amp;$A221,実績!$AL$6:$AL$505,"○")&gt;0,1,0))</f>
        <v>0</v>
      </c>
      <c r="K221" s="39" t="n">
        <f aca="false">IF(K$4=0,0,IF(COUNTIFS(実績!$W$6:$W$505,K$3,実績!$AI$6:$AI$505,"&lt;="&amp;$A221,実績!$AJ$6:$AJ$505,"&gt;"&amp;$A221,実績!$AL$6:$AL$505,"○")&gt;0,1,0))</f>
        <v>0</v>
      </c>
      <c r="L221" s="39" t="n">
        <f aca="false">IF(L$4=0,0,IF(COUNTIFS(実績!$W$6:$W$505,L$3,実績!$AI$6:$AI$505,"&lt;="&amp;$A221,実績!$AJ$6:$AJ$505,"&gt;"&amp;$A221,実績!$AL$6:$AL$505,"○")&gt;0,1,0))</f>
        <v>0</v>
      </c>
      <c r="M221" s="39" t="n">
        <f aca="false">IF(M$4=0,0,IF(COUNTIFS(実績!$W$6:$W$505,M$3,実績!$AI$6:$AI$505,"&lt;="&amp;$A221,実績!$AJ$6:$AJ$505,"&gt;"&amp;$A221,実績!$AL$6:$AL$505,"○")&gt;0,1,0))</f>
        <v>0</v>
      </c>
      <c r="N221" s="39" t="n">
        <f aca="false">IF(N$4=0,0,IF(COUNTIFS(実績!$W$6:$W$505,N$3,実績!$AI$6:$AI$505,"&lt;="&amp;$A221,実績!$AJ$6:$AJ$505,"&gt;"&amp;$A221,実績!$AL$6:$AL$505,"○")&gt;0,1,0))</f>
        <v>0</v>
      </c>
      <c r="O221" s="39" t="n">
        <f aca="false">IF(O$4=0,0,IF(COUNTIFS(実績!$W$6:$W$505,O$3,実績!$AI$6:$AI$505,"&lt;="&amp;$A221,実績!$AJ$6:$AJ$505,"&gt;"&amp;$A221,実績!$AL$6:$AL$505,"○")&gt;0,1,0))</f>
        <v>0</v>
      </c>
      <c r="P221" s="39" t="n">
        <f aca="false">IF(P$4=0,0,IF(COUNTIFS(実績!$W$6:$W$505,P$3,実績!$AI$6:$AI$505,"&lt;="&amp;$A221,実績!$AJ$6:$AJ$505,"&gt;"&amp;$A221,実績!$AL$6:$AL$505,"○")&gt;0,1,0))</f>
        <v>0</v>
      </c>
      <c r="Q221" s="39" t="n">
        <f aca="false">IF(Q$4=0,0,IF(COUNTIFS(実績!$W$6:$W$505,Q$3,実績!$AI$6:$AI$505,"&lt;="&amp;$A221,実績!$AJ$6:$AJ$505,"&gt;"&amp;$A221,実績!$AL$6:$AL$505,"○")&gt;0,1,0))</f>
        <v>0</v>
      </c>
      <c r="R221" s="39" t="n">
        <f aca="false">IF(R$4=0,0,IF(COUNTIFS(実績!$W$6:$W$505,R$3,実績!$AI$6:$AI$505,"&lt;="&amp;$A221,実績!$AJ$6:$AJ$505,"&gt;"&amp;$A221,実績!$AL$6:$AL$505,"○")&gt;0,1,0))</f>
        <v>0</v>
      </c>
      <c r="S221" s="39" t="n">
        <f aca="false">IF(S$4=0,0,IF(COUNTIFS(実績!$W$6:$W$505,S$3,実績!$AI$6:$AI$505,"&lt;="&amp;$A221,実績!$AJ$6:$AJ$505,"&gt;"&amp;$A221,実績!$AL$6:$AL$505,"○")&gt;0,1,0))</f>
        <v>0</v>
      </c>
      <c r="T221" s="39" t="n">
        <f aca="false">IF(T$4=0,0,IF(COUNTIFS(実績!$W$6:$W$505,T$3,実績!$AI$6:$AI$505,"&lt;="&amp;$A221,実績!$AJ$6:$AJ$505,"&gt;"&amp;$A221,実績!$AL$6:$AL$505,"○")&gt;0,1,0))</f>
        <v>0</v>
      </c>
      <c r="U221" s="39" t="n">
        <f aca="false">IF(U$4=0,0,IF(COUNTIFS(実績!$W$6:$W$505,U$3,実績!$AI$6:$AI$505,"&lt;="&amp;$A221,実績!$AJ$6:$AJ$505,"&gt;"&amp;$A221,実績!$AL$6:$AL$505,"○")&gt;0,1,0))</f>
        <v>0</v>
      </c>
      <c r="V221" s="39" t="n">
        <f aca="false">IF(V$4=0,0,IF(COUNTIFS(実績!$W$6:$W$505,V$3,実績!$AI$6:$AI$505,"&lt;="&amp;$A221,実績!$AJ$6:$AJ$505,"&gt;"&amp;$A221,実績!$AL$6:$AL$505,"○")&gt;0,1,0))</f>
        <v>0</v>
      </c>
      <c r="W221" s="39" t="n">
        <f aca="false">IF(W$4=0,0,IF(COUNTIFS(実績!$W$6:$W$505,W$3,実績!$AI$6:$AI$505,"&lt;="&amp;$A221,実績!$AJ$6:$AJ$505,"&gt;"&amp;$A221,実績!$AL$6:$AL$505,"○")&gt;0,1,0))</f>
        <v>0</v>
      </c>
      <c r="X221" s="39" t="n">
        <f aca="false">IF(X$4=0,0,IF(COUNTIFS(実績!$W$6:$W$505,X$3,実績!$AI$6:$AI$505,"&lt;="&amp;$A221,実績!$AJ$6:$AJ$505,"&gt;"&amp;$A221,実績!$AL$6:$AL$505,"○")&gt;0,1,0))</f>
        <v>0</v>
      </c>
      <c r="Y221" s="39" t="n">
        <f aca="false">IF(Y$4=0,0,IF(COUNTIFS(実績!$W$6:$W$505,Y$3,実績!$AI$6:$AI$505,"&lt;="&amp;$A221,実績!$AJ$6:$AJ$505,"&gt;"&amp;$A221,実績!$AL$6:$AL$505,"○")&gt;0,1,0))</f>
        <v>0</v>
      </c>
      <c r="Z221" s="39" t="n">
        <f aca="false">IF(Z$4=0,0,IF(COUNTIFS(実績!$W$6:$W$505,Z$3,実績!$AI$6:$AI$505,"&lt;="&amp;$A221,実績!$AJ$6:$AJ$505,"&gt;"&amp;$A221,実績!$AL$6:$AL$505,"○")&gt;0,1,0))</f>
        <v>0</v>
      </c>
      <c r="AA221" s="39" t="n">
        <f aca="false">IF(AA$4=0,0,IF(COUNTIFS(実績!$W$6:$W$505,AA$3,実績!$AI$6:$AI$505,"&lt;="&amp;$A221,実績!$AJ$6:$AJ$505,"&gt;"&amp;$A221,実績!$AL$6:$AL$505,"○")&gt;0,1,0))</f>
        <v>0</v>
      </c>
      <c r="AB221" s="39" t="n">
        <f aca="false">IF(AB$4=0,0,IF(COUNTIFS(実績!$W$6:$W$505,AB$3,実績!$AI$6:$AI$505,"&lt;="&amp;$A221,実績!$AJ$6:$AJ$505,"&gt;"&amp;$A221,実績!$AL$6:$AL$505,"○")&gt;0,1,0))</f>
        <v>0</v>
      </c>
      <c r="AC221" s="39" t="n">
        <f aca="false">IF(AC$4=0,0,IF(COUNTIFS(実績!$W$6:$W$505,AC$3,実績!$AI$6:$AI$505,"&lt;="&amp;$A221,実績!$AJ$6:$AJ$505,"&gt;"&amp;$A221,実績!$AL$6:$AL$505,"○")&gt;0,1,0))</f>
        <v>0</v>
      </c>
      <c r="AD221" s="39" t="n">
        <f aca="false">IF(AD$4=0,0,IF(COUNTIFS(実績!$W$6:$W$505,AD$3,実績!$AI$6:$AI$505,"&lt;="&amp;$A221,実績!$AJ$6:$AJ$505,"&gt;"&amp;$A221,実績!$AL$6:$AL$505,"○")&gt;0,1,0))</f>
        <v>0</v>
      </c>
      <c r="AE221" s="39" t="n">
        <f aca="false">IF(AE$4=0,0,IF(COUNTIFS(実績!$W$6:$W$505,AE$3,実績!$AI$6:$AI$505,"&lt;="&amp;$A221,実績!$AJ$6:$AJ$505,"&gt;"&amp;$A221,実績!$AL$6:$AL$505,"○")&gt;0,1,0))</f>
        <v>0</v>
      </c>
      <c r="AF221" s="39" t="n">
        <f aca="false">IF(AF$4=0,0,IF(COUNTIFS(実績!$W$6:$W$505,AF$3,実績!$AI$6:$AI$505,"&lt;="&amp;$A221,実績!$AJ$6:$AJ$505,"&gt;"&amp;$A221,実績!$AL$6:$AL$505,"○")&gt;0,1,0))</f>
        <v>0</v>
      </c>
      <c r="AG221" s="39" t="n">
        <f aca="false">IF(AG$4=0,0,IF(COUNTIFS(実績!$W$6:$W$505,AG$3,実績!$AI$6:$AI$505,"&lt;="&amp;$A221,実績!$AJ$6:$AJ$505,"&gt;"&amp;$A221,実績!$AL$6:$AL$505,"○")&gt;0,1,0))</f>
        <v>0</v>
      </c>
      <c r="AH221" s="39" t="n">
        <f aca="false">IF(AH$4=0,0,IF(COUNTIFS(実績!$W$6:$W$505,AH$3,実績!$AI$6:$AI$505,"&lt;="&amp;$A221,実績!$AJ$6:$AJ$505,"&gt;"&amp;$A221,実績!$AL$6:$AL$505,"○")&gt;0,1,0))</f>
        <v>0</v>
      </c>
      <c r="AI221" s="39" t="n">
        <f aca="false">IF(AI$4=0,0,IF(COUNTIFS(実績!$W$6:$W$505,AI$3,実績!$AI$6:$AI$505,"&lt;="&amp;$A221,実績!$AJ$6:$AJ$505,"&gt;"&amp;$A221,実績!$AL$6:$AL$505,"○")&gt;0,1,0))</f>
        <v>0</v>
      </c>
      <c r="AJ221" s="39" t="n">
        <f aca="false">IF(AJ$4=0,0,IF(COUNTIFS(実績!$W$6:$W$505,AJ$3,実績!$AI$6:$AI$505,"&lt;="&amp;$A221,実績!$AJ$6:$AJ$505,"&gt;"&amp;$A221,実績!$AL$6:$AL$505,"○")&gt;0,1,0))</f>
        <v>0</v>
      </c>
      <c r="AK221" s="39" t="n">
        <f aca="false">IF(AK$4=0,0,IF(COUNTIFS(実績!$W$6:$W$505,AK$3,実績!$AI$6:$AI$505,"&lt;="&amp;$A221,実績!$AJ$6:$AJ$505,"&gt;"&amp;$A221,実績!$AL$6:$AL$505,"○")&gt;0,1,0))</f>
        <v>0</v>
      </c>
      <c r="AL221" s="39" t="n">
        <f aca="false">IF(AL$4=0,0,IF(COUNTIFS(実績!$W$6:$W$505,AL$3,実績!$AI$6:$AI$505,"&lt;="&amp;$A221,実績!$AJ$6:$AJ$505,"&gt;"&amp;$A221,実績!$AL$6:$AL$505,"○")&gt;0,1,0))</f>
        <v>0</v>
      </c>
      <c r="AM221" s="39" t="n">
        <f aca="false">IF(AM$4=0,0,IF(COUNTIFS(実績!$W$6:$W$505,AM$3,実績!$AI$6:$AI$505,"&lt;="&amp;$A221,実績!$AJ$6:$AJ$505,"&gt;"&amp;$A221,実績!$AL$6:$AL$505,"○")&gt;0,1,0))</f>
        <v>0</v>
      </c>
      <c r="AN221" s="39" t="n">
        <f aca="false">IF(AN$4=0,0,IF(COUNTIFS(実績!$W$6:$W$505,AN$3,実績!$AI$6:$AI$505,"&lt;="&amp;$A221,実績!$AJ$6:$AJ$505,"&gt;"&amp;$A221,実績!$AL$6:$AL$505,"○")&gt;0,1,0))</f>
        <v>0</v>
      </c>
      <c r="AO221" s="39" t="n">
        <f aca="false">IF(AO$4=0,0,IF(COUNTIFS(実績!$W$6:$W$505,AO$3,実績!$AI$6:$AI$505,"&lt;="&amp;$A221,実績!$AJ$6:$AJ$505,"&gt;"&amp;$A221,実績!$AL$6:$AL$505,"○")&gt;0,1,0))</f>
        <v>0</v>
      </c>
      <c r="AP221" s="39" t="n">
        <f aca="false">IF(AP$4=0,0,IF(COUNTIFS(実績!$W$6:$W$505,AP$3,実績!$AI$6:$AI$505,"&lt;="&amp;$A221,実績!$AJ$6:$AJ$505,"&gt;"&amp;$A221,実績!$AL$6:$AL$505,"○")&gt;0,1,0))</f>
        <v>0</v>
      </c>
      <c r="AQ221" s="39" t="n">
        <f aca="false">IF(AQ$4=0,0,IF(COUNTIFS(実績!$W$6:$W$505,AQ$3,実績!$AI$6:$AI$505,"&lt;="&amp;$A221,実績!$AJ$6:$AJ$505,"&gt;"&amp;$A221,実績!$AL$6:$AL$505,"○")&gt;0,1,0))</f>
        <v>0</v>
      </c>
      <c r="AR221" s="39" t="n">
        <f aca="false">IF(AR$4=0,0,IF(COUNTIFS(実績!$W$6:$W$505,AR$3,実績!$AI$6:$AI$505,"&lt;="&amp;$A221,実績!$AJ$6:$AJ$505,"&gt;"&amp;$A221,実績!$AL$6:$AL$505,"○")&gt;0,1,0))</f>
        <v>0</v>
      </c>
      <c r="AS221" s="39" t="n">
        <f aca="false">IF(AS$4=0,0,IF(COUNTIFS(実績!$W$6:$W$505,AS$3,実績!$AI$6:$AI$505,"&lt;="&amp;$A221,実績!$AJ$6:$AJ$505,"&gt;"&amp;$A221,実績!$AL$6:$AL$505,"○")&gt;0,1,0))</f>
        <v>0</v>
      </c>
      <c r="AT221" s="39" t="n">
        <f aca="false">IF(AT$4=0,0,IF(COUNTIFS(実績!$W$6:$W$505,AT$3,実績!$AI$6:$AI$505,"&lt;="&amp;$A221,実績!$AJ$6:$AJ$505,"&gt;"&amp;$A221,実績!$AL$6:$AL$505,"○")&gt;0,1,0))</f>
        <v>0</v>
      </c>
      <c r="AU221" s="39" t="n">
        <f aca="false">IF(AU$4=0,0,IF(COUNTIFS(実績!$W$6:$W$505,AU$3,実績!$AI$6:$AI$505,"&lt;="&amp;$A221,実績!$AJ$6:$AJ$505,"&gt;"&amp;$A221,実績!$AL$6:$AL$505,"○")&gt;0,1,0))</f>
        <v>0</v>
      </c>
      <c r="AV221" s="39" t="n">
        <f aca="false">IF(AV$4=0,0,IF(COUNTIFS(実績!$W$6:$W$505,AV$3,実績!$AI$6:$AI$505,"&lt;="&amp;$A221,実績!$AJ$6:$AJ$505,"&gt;"&amp;$A221,実績!$AL$6:$AL$505,"○")&gt;0,1,0))</f>
        <v>0</v>
      </c>
      <c r="AW221" s="39" t="n">
        <f aca="false">IF(AW$4=0,0,IF(COUNTIFS(実績!$W$6:$W$505,AW$3,実績!$AI$6:$AI$505,"&lt;="&amp;$A221,実績!$AJ$6:$AJ$505,"&gt;"&amp;$A221,実績!$AL$6:$AL$505,"○")&gt;0,1,0))</f>
        <v>0</v>
      </c>
      <c r="AX221" s="39" t="n">
        <f aca="false">IF(AX$4=0,0,IF(COUNTIFS(実績!$W$6:$W$505,AX$3,実績!$AI$6:$AI$505,"&lt;="&amp;$A221,実績!$AJ$6:$AJ$505,"&gt;"&amp;$A221,実績!$AL$6:$AL$505,"○")&gt;0,1,0))</f>
        <v>0</v>
      </c>
      <c r="AY221" s="39" t="n">
        <f aca="false">IF(AY$4=0,0,IF(COUNTIFS(実績!$W$6:$W$505,AY$3,実績!$AI$6:$AI$505,"&lt;="&amp;$A221,実績!$AJ$6:$AJ$505,"&gt;"&amp;$A221,実績!$AL$6:$AL$505,"○")&gt;0,1,0))</f>
        <v>0</v>
      </c>
      <c r="AZ221" s="39" t="n">
        <f aca="false">IF(AZ$4=0,0,IF(COUNTIFS(実績!$W$6:$W$505,AZ$3,実績!$AI$6:$AI$505,"&lt;="&amp;$A221,実績!$AJ$6:$AJ$505,"&gt;"&amp;$A221,実績!$AL$6:$AL$505,"○")&gt;0,1,0))</f>
        <v>0</v>
      </c>
      <c r="BA221" s="39" t="n">
        <f aca="false">IF(BA$4=0,0,IF(COUNTIFS(実績!$W$6:$W$505,BA$3,実績!$AI$6:$AI$505,"&lt;="&amp;$A221,実績!$AJ$6:$AJ$505,"&gt;"&amp;$A221,実績!$AL$6:$AL$505,"○")&gt;0,1,0))</f>
        <v>0</v>
      </c>
      <c r="BB221" s="39" t="n">
        <f aca="false">IF(BB$4=0,0,IF(COUNTIFS(実績!$W$6:$W$505,BB$3,実績!$AI$6:$AI$505,"&lt;="&amp;$A221,実績!$AJ$6:$AJ$505,"&gt;"&amp;$A221,実績!$AL$6:$AL$505,"○")&gt;0,1,0))</f>
        <v>0</v>
      </c>
      <c r="BC221" s="39" t="n">
        <f aca="false">IF(BC$4=0,0,IF(COUNTIFS(実績!$W$6:$W$505,BC$3,実績!$AI$6:$AI$505,"&lt;="&amp;$A221,実績!$AJ$6:$AJ$505,"&gt;"&amp;$A221,実績!$AL$6:$AL$505,"○")&gt;0,1,0))</f>
        <v>0</v>
      </c>
      <c r="BD221" s="39" t="n">
        <f aca="false">IF(BD$4=0,0,IF(COUNTIFS(実績!$W$6:$W$505,BD$3,実績!$AI$6:$AI$505,"&lt;="&amp;$A221,実績!$AJ$6:$AJ$505,"&gt;"&amp;$A221,実績!$AL$6:$AL$505,"○")&gt;0,1,0))</f>
        <v>0</v>
      </c>
      <c r="BE221" s="39" t="n">
        <f aca="false">IF(BE$4=0,0,IF(COUNTIFS(実績!$W$6:$W$505,BE$3,実績!$AI$6:$AI$505,"&lt;="&amp;$A221,実績!$AJ$6:$AJ$505,"&gt;"&amp;$A221,実績!$AL$6:$AL$505,"○")&gt;0,1,0))</f>
        <v>0</v>
      </c>
      <c r="BF221" s="39" t="n">
        <f aca="false">IF(BF$4=0,0,IF(COUNTIFS(実績!$W$6:$W$505,BF$3,実績!$AI$6:$AI$505,"&lt;="&amp;$A221,実績!$AJ$6:$AJ$505,"&gt;"&amp;$A221,実績!$AL$6:$AL$505,"○")&gt;0,1,0))</f>
        <v>0</v>
      </c>
      <c r="BG221" s="39" t="n">
        <f aca="false">IF(BG$4=0,0,IF(COUNTIFS(実績!$W$6:$W$505,BG$3,実績!$AI$6:$AI$505,"&lt;="&amp;$A221,実績!$AJ$6:$AJ$505,"&gt;"&amp;$A221,実績!$AL$6:$AL$505,"○")&gt;0,1,0))</f>
        <v>0</v>
      </c>
      <c r="BH221" s="39" t="n">
        <f aca="false">IF(BH$4=0,0,IF(COUNTIFS(実績!$W$6:$W$505,BH$3,実績!$AI$6:$AI$505,"&lt;="&amp;$A221,実績!$AJ$6:$AJ$505,"&gt;"&amp;$A221,実績!$AL$6:$AL$505,"○")&gt;0,1,0))</f>
        <v>0</v>
      </c>
      <c r="BI221" s="39" t="n">
        <f aca="false">IF(BI$4=0,0,IF(COUNTIFS(実績!$W$6:$W$505,BI$3,実績!$AI$6:$AI$505,"&lt;="&amp;$A221,実績!$AJ$6:$AJ$505,"&gt;"&amp;$A221,実績!$AL$6:$AL$505,"○")&gt;0,1,0))</f>
        <v>0</v>
      </c>
      <c r="BJ221" s="39" t="n">
        <f aca="false">IF(BJ$4=0,0,IF(COUNTIFS(実績!$W$6:$W$505,BJ$3,実績!$AI$6:$AI$505,"&lt;="&amp;$A221,実績!$AJ$6:$AJ$505,"&gt;"&amp;$A221,実績!$AL$6:$AL$505,"○")&gt;0,1,0))</f>
        <v>0</v>
      </c>
      <c r="BK221" s="39" t="n">
        <f aca="false">IF(BK$4=0,0,IF(COUNTIFS(実績!$W$6:$W$505,BK$3,実績!$AI$6:$AI$505,"&lt;="&amp;$A221,実績!$AJ$6:$AJ$505,"&gt;"&amp;$A221,実績!$AL$6:$AL$505,"○")&gt;0,1,0))</f>
        <v>0</v>
      </c>
      <c r="BL221" s="39" t="n">
        <f aca="false">IF(BL$4=0,0,IF(COUNTIFS(実績!$W$6:$W$505,BL$3,実績!$AI$6:$AI$505,"&lt;="&amp;$A221,実績!$AJ$6:$AJ$505,"&gt;"&amp;$A221,実績!$AL$6:$AL$505,"○")&gt;0,1,0))</f>
        <v>0</v>
      </c>
      <c r="BM221" s="39" t="n">
        <f aca="false">IF(BM$4=0,0,IF(COUNTIFS(実績!$W$6:$W$505,BM$3,実績!$AI$6:$AI$505,"&lt;="&amp;$A221,実績!$AJ$6:$AJ$505,"&gt;"&amp;$A221,実績!$AL$6:$AL$505,"○")&gt;0,1,0))</f>
        <v>0</v>
      </c>
      <c r="BN221" s="39" t="n">
        <f aca="false">IF(BN$4=0,0,IF(COUNTIFS(実績!$W$6:$W$505,BN$3,実績!$AI$6:$AI$505,"&lt;="&amp;$A221,実績!$AJ$6:$AJ$505,"&gt;"&amp;$A221,実績!$AL$6:$AL$505,"○")&gt;0,1,0))</f>
        <v>0</v>
      </c>
      <c r="BO221" s="39" t="n">
        <f aca="false">IF(BO$4=0,0,IF(COUNTIFS(実績!$W$6:$W$505,BO$3,実績!$AI$6:$AI$505,"&lt;="&amp;$A221,実績!$AJ$6:$AJ$505,"&gt;"&amp;$A221,実績!$AL$6:$AL$505,"○")&gt;0,1,0))</f>
        <v>0</v>
      </c>
      <c r="BP221" s="39" t="n">
        <f aca="false">IF(BP$4=0,0,IF(COUNTIFS(実績!$W$6:$W$505,BP$3,実績!$AI$6:$AI$505,"&lt;="&amp;$A221,実績!$AJ$6:$AJ$505,"&gt;"&amp;$A221,実績!$AL$6:$AL$505,"○")&gt;0,1,0))</f>
        <v>0</v>
      </c>
      <c r="BQ221" s="39" t="n">
        <f aca="false">IF(BQ$4=0,0,IF(COUNTIFS(実績!$W$6:$W$505,BQ$3,実績!$AI$6:$AI$505,"&lt;="&amp;$A221,実績!$AJ$6:$AJ$505,"&gt;"&amp;$A221,実績!$AL$6:$AL$505,"○")&gt;0,1,0))</f>
        <v>0</v>
      </c>
      <c r="BR221" s="39" t="n">
        <f aca="false">IF(BR$4=0,0,IF(COUNTIFS(実績!$W$6:$W$505,BR$3,実績!$AI$6:$AI$505,"&lt;="&amp;$A221,実績!$AJ$6:$AJ$505,"&gt;"&amp;$A221,実績!$AL$6:$AL$505,"○")&gt;0,1,0))</f>
        <v>0</v>
      </c>
      <c r="BS221" s="39" t="n">
        <f aca="false">IF(BS$4=0,0,IF(COUNTIFS(実績!$W$6:$W$505,BS$3,実績!$AI$6:$AI$505,"&lt;="&amp;$A221,実績!$AJ$6:$AJ$505,"&gt;"&amp;$A221,実績!$AL$6:$AL$505,"○")&gt;0,1,0))</f>
        <v>0</v>
      </c>
      <c r="BT221" s="39" t="n">
        <f aca="false">IF(BT$4=0,0,IF(COUNTIFS(実績!$W$6:$W$505,BT$3,実績!$AI$6:$AI$505,"&lt;="&amp;$A221,実績!$AJ$6:$AJ$505,"&gt;"&amp;$A221,実績!$AL$6:$AL$505,"○")&gt;0,1,0))</f>
        <v>0</v>
      </c>
      <c r="BU221" s="39" t="n">
        <f aca="false">IF(BU$4=0,0,IF(COUNTIFS(実績!$W$6:$W$505,BU$3,実績!$AI$6:$AI$505,"&lt;="&amp;$A221,実績!$AJ$6:$AJ$505,"&gt;"&amp;$A221,実績!$AL$6:$AL$505,"○")&gt;0,1,0))</f>
        <v>0</v>
      </c>
      <c r="BV221" s="39" t="n">
        <f aca="false">IF(BV$4=0,0,IF(COUNTIFS(実績!$W$6:$W$505,BV$3,実績!$AI$6:$AI$505,"&lt;="&amp;$A221,実績!$AJ$6:$AJ$505,"&gt;"&amp;$A221,実績!$AL$6:$AL$505,"○")&gt;0,1,0))</f>
        <v>0</v>
      </c>
      <c r="BW221" s="39" t="n">
        <f aca="false">IF(BW$4=0,0,IF(COUNTIFS(実績!$W$6:$W$505,BW$3,実績!$AI$6:$AI$505,"&lt;="&amp;$A221,実績!$AJ$6:$AJ$505,"&gt;"&amp;$A221,実績!$AL$6:$AL$505,"○")&gt;0,1,0))</f>
        <v>0</v>
      </c>
      <c r="BX221" s="39" t="n">
        <f aca="false">IF(BX$4=0,0,IF(COUNTIFS(実績!$W$6:$W$505,BX$3,実績!$AI$6:$AI$505,"&lt;="&amp;$A221,実績!$AJ$6:$AJ$505,"&gt;"&amp;$A221,実績!$AL$6:$AL$505,"○")&gt;0,1,0))</f>
        <v>0</v>
      </c>
      <c r="BY221" s="39" t="n">
        <f aca="false">IF(BY$4=0,0,IF(COUNTIFS(実績!$W$6:$W$505,BY$3,実績!$AI$6:$AI$505,"&lt;="&amp;$A221,実績!$AJ$6:$AJ$505,"&gt;"&amp;$A221,実績!$AL$6:$AL$505,"○")&gt;0,1,0))</f>
        <v>0</v>
      </c>
      <c r="BZ221" s="39" t="n">
        <f aca="false">IF(BZ$4=0,0,IF(COUNTIFS(実績!$W$6:$W$505,BZ$3,実績!$AI$6:$AI$505,"&lt;="&amp;$A221,実績!$AJ$6:$AJ$505,"&gt;"&amp;$A221,実績!$AL$6:$AL$505,"○")&gt;0,1,0))</f>
        <v>0</v>
      </c>
      <c r="CA221" s="39" t="n">
        <f aca="false">IF(CA$4=0,0,IF(COUNTIFS(実績!$W$6:$W$505,CA$3,実績!$AI$6:$AI$505,"&lt;="&amp;$A221,実績!$AJ$6:$AJ$505,"&gt;"&amp;$A221,実績!$AL$6:$AL$505,"○")&gt;0,1,0))</f>
        <v>0</v>
      </c>
      <c r="CB221" s="39" t="n">
        <f aca="false">IF(CB$4=0,0,IF(COUNTIFS(実績!$W$6:$W$505,CB$3,実績!$AI$6:$AI$505,"&lt;="&amp;$A221,実績!$AJ$6:$AJ$505,"&gt;"&amp;$A221,実績!$AL$6:$AL$505,"○")&gt;0,1,0))</f>
        <v>0</v>
      </c>
      <c r="CC221" s="39" t="n">
        <f aca="false">IF(CC$4=0,0,IF(COUNTIFS(実績!$W$6:$W$505,CC$3,実績!$AI$6:$AI$505,"&lt;="&amp;$A221,実績!$AJ$6:$AJ$505,"&gt;"&amp;$A221,実績!$AL$6:$AL$505,"○")&gt;0,1,0))</f>
        <v>0</v>
      </c>
      <c r="CD221" s="39" t="n">
        <f aca="false">IF(CD$4=0,0,IF(COUNTIFS(実績!$W$6:$W$505,CD$3,実績!$AI$6:$AI$505,"&lt;="&amp;$A221,実績!$AJ$6:$AJ$505,"&gt;"&amp;$A221,実績!$AL$6:$AL$505,"○")&gt;0,1,0))</f>
        <v>0</v>
      </c>
      <c r="CE221" s="39" t="n">
        <f aca="false">IF(CE$4=0,0,IF(COUNTIFS(実績!$W$6:$W$505,CE$3,実績!$AI$6:$AI$505,"&lt;="&amp;$A221,実績!$AJ$6:$AJ$505,"&gt;"&amp;$A221,実績!$AL$6:$AL$505,"○")&gt;0,1,0))</f>
        <v>0</v>
      </c>
      <c r="CF221" s="39" t="n">
        <f aca="false">IF(CF$4=0,0,IF(COUNTIFS(実績!$W$6:$W$505,CF$3,実績!$AI$6:$AI$505,"&lt;="&amp;$A221,実績!$AJ$6:$AJ$505,"&gt;"&amp;$A221,実績!$AL$6:$AL$505,"○")&gt;0,1,0))</f>
        <v>0</v>
      </c>
      <c r="CG221" s="39" t="n">
        <f aca="false">IF(CG$4=0,0,IF(COUNTIFS(実績!$W$6:$W$505,CG$3,実績!$AI$6:$AI$505,"&lt;="&amp;$A221,実績!$AJ$6:$AJ$505,"&gt;"&amp;$A221,実績!$AL$6:$AL$505,"○")&gt;0,1,0))</f>
        <v>0</v>
      </c>
      <c r="CH221" s="39" t="n">
        <f aca="false">IF(CH$4=0,0,IF(COUNTIFS(実績!$W$6:$W$505,CH$3,実績!$AI$6:$AI$505,"&lt;="&amp;$A221,実績!$AJ$6:$AJ$505,"&gt;"&amp;$A221,実績!$AL$6:$AL$505,"○")&gt;0,1,0))</f>
        <v>0</v>
      </c>
      <c r="CI221" s="39" t="n">
        <f aca="false">IF(CI$4=0,0,IF(COUNTIFS(実績!$W$6:$W$505,CI$3,実績!$AI$6:$AI$505,"&lt;="&amp;$A221,実績!$AJ$6:$AJ$505,"&gt;"&amp;$A221,実績!$AL$6:$AL$505,"○")&gt;0,1,0))</f>
        <v>0</v>
      </c>
      <c r="CJ221" s="39" t="n">
        <f aca="false">IF(CJ$4=0,0,IF(COUNTIFS(実績!$W$6:$W$505,CJ$3,実績!$AI$6:$AI$505,"&lt;="&amp;$A221,実績!$AJ$6:$AJ$505,"&gt;"&amp;$A221,実績!$AL$6:$AL$505,"○")&gt;0,1,0))</f>
        <v>0</v>
      </c>
      <c r="CK221" s="39" t="n">
        <f aca="false">IF(CK$4=0,0,IF(COUNTIFS(実績!$W$6:$W$505,CK$3,実績!$AI$6:$AI$505,"&lt;="&amp;$A221,実績!$AJ$6:$AJ$505,"&gt;"&amp;$A221,実績!$AL$6:$AL$505,"○")&gt;0,1,0))</f>
        <v>0</v>
      </c>
      <c r="CL221" s="39" t="n">
        <f aca="false">IF(CL$4=0,0,IF(COUNTIFS(実績!$W$6:$W$505,CL$3,実績!$AI$6:$AI$505,"&lt;="&amp;$A221,実績!$AJ$6:$AJ$505,"&gt;"&amp;$A221,実績!$AL$6:$AL$505,"○")&gt;0,1,0))</f>
        <v>0</v>
      </c>
      <c r="CM221" s="39" t="n">
        <f aca="false">IF(CM$4=0,0,IF(COUNTIFS(実績!$W$6:$W$505,CM$3,実績!$AI$6:$AI$505,"&lt;="&amp;$A221,実績!$AJ$6:$AJ$505,"&gt;"&amp;$A221,実績!$AL$6:$AL$505,"○")&gt;0,1,0))</f>
        <v>0</v>
      </c>
      <c r="CN221" s="39" t="n">
        <f aca="false">IF(CN$4=0,0,IF(COUNTIFS(実績!$W$6:$W$505,CN$3,実績!$AI$6:$AI$505,"&lt;="&amp;$A221,実績!$AJ$6:$AJ$505,"&gt;"&amp;$A221,実績!$AL$6:$AL$505,"○")&gt;0,1,0))</f>
        <v>0</v>
      </c>
      <c r="CO221" s="39" t="n">
        <f aca="false">IF(CO$4=0,0,IF(COUNTIFS(実績!$W$6:$W$505,CO$3,実績!$AI$6:$AI$505,"&lt;="&amp;$A221,実績!$AJ$6:$AJ$505,"&gt;"&amp;$A221,実績!$AL$6:$AL$505,"○")&gt;0,1,0))</f>
        <v>0</v>
      </c>
      <c r="CP221" s="39" t="n">
        <f aca="false">IF(CP$4=0,0,IF(COUNTIFS(実績!$W$6:$W$505,CP$3,実績!$AI$6:$AI$505,"&lt;="&amp;$A221,実績!$AJ$6:$AJ$505,"&gt;"&amp;$A221,実績!$AL$6:$AL$505,"○")&gt;0,1,0))</f>
        <v>0</v>
      </c>
      <c r="CQ221" s="39" t="n">
        <f aca="false">IF(CQ$4=0,0,IF(COUNTIFS(実績!$W$6:$W$505,CQ$3,実績!$AI$6:$AI$505,"&lt;="&amp;$A221,実績!$AJ$6:$AJ$505,"&gt;"&amp;$A221,実績!$AL$6:$AL$505,"○")&gt;0,1,0))</f>
        <v>0</v>
      </c>
      <c r="CR221" s="39" t="n">
        <f aca="false">IF(CR$4=0,0,IF(COUNTIFS(実績!$W$6:$W$505,CR$3,実績!$AI$6:$AI$505,"&lt;="&amp;$A221,実績!$AJ$6:$AJ$505,"&gt;"&amp;$A221,実績!$AL$6:$AL$505,"○")&gt;0,1,0))</f>
        <v>0</v>
      </c>
      <c r="CS221" s="39" t="n">
        <f aca="false">IF(CS$4=0,0,IF(COUNTIFS(実績!$W$6:$W$505,CS$3,実績!$AI$6:$AI$505,"&lt;="&amp;$A221,実績!$AJ$6:$AJ$505,"&gt;"&amp;$A221,実績!$AL$6:$AL$505,"○")&gt;0,1,0))</f>
        <v>0</v>
      </c>
      <c r="CT221" s="39" t="n">
        <f aca="false">IF(CT$4=0,0,IF(COUNTIFS(実績!$W$6:$W$505,CT$3,実績!$AI$6:$AI$505,"&lt;="&amp;$A221,実績!$AJ$6:$AJ$505,"&gt;"&amp;$A221,実績!$AL$6:$AL$505,"○")&gt;0,1,0))</f>
        <v>0</v>
      </c>
      <c r="CU221" s="39" t="n">
        <f aca="false">IF(CU$4=0,0,IF(COUNTIFS(実績!$W$6:$W$505,CU$3,実績!$AI$6:$AI$505,"&lt;="&amp;$A221,実績!$AJ$6:$AJ$505,"&gt;"&amp;$A221,実績!$AL$6:$AL$505,"○")&gt;0,1,0))</f>
        <v>0</v>
      </c>
      <c r="CV221" s="39" t="n">
        <f aca="false">IF(CV$4=0,0,IF(COUNTIFS(実績!$W$6:$W$505,CV$3,実績!$AI$6:$AI$505,"&lt;="&amp;$A221,実績!$AJ$6:$AJ$505,"&gt;"&amp;$A221,実績!$AL$6:$AL$505,"○")&gt;0,1,0))</f>
        <v>0</v>
      </c>
      <c r="CW221" s="39" t="n">
        <f aca="false">IF(CW$4=0,0,IF(COUNTIFS(実績!$W$6:$W$505,CW$3,実績!$AI$6:$AI$505,"&lt;="&amp;$A221,実績!$AJ$6:$AJ$505,"&gt;"&amp;$A221,実績!$AL$6:$AL$505,"○")&gt;0,1,0))</f>
        <v>0</v>
      </c>
      <c r="CX221" s="39" t="n">
        <f aca="false">IF(CX$4=0,0,IF(COUNTIFS(実績!$W$6:$W$505,CX$3,実績!$AI$6:$AI$505,"&lt;="&amp;$A221,実績!$AJ$6:$AJ$505,"&gt;"&amp;$A221,実績!$AL$6:$AL$505,"○")&gt;0,1,0))</f>
        <v>0</v>
      </c>
      <c r="CY221" s="39" t="n">
        <f aca="false">IF(CY$4=0,0,IF(COUNTIFS(実績!$W$6:$W$505,CY$3,実績!$AI$6:$AI$505,"&lt;="&amp;$A221,実績!$AJ$6:$AJ$505,"&gt;"&amp;$A221,実績!$AL$6:$AL$505,"○")&gt;0,1,0))</f>
        <v>0</v>
      </c>
      <c r="CZ221" s="39" t="n">
        <f aca="false">IF(CZ$4=0,0,IF(COUNTIFS(実績!$W$6:$W$505,CZ$3,実績!$AI$6:$AI$505,"&lt;="&amp;$A221,実績!$AJ$6:$AJ$505,"&gt;"&amp;$A221,実績!$AL$6:$AL$505,"○")&gt;0,1,0))</f>
        <v>0</v>
      </c>
      <c r="DA221" s="39" t="n">
        <f aca="false">IF(DA$4=0,0,IF(COUNTIFS(実績!$W$6:$W$505,DA$3,実績!$AI$6:$AI$505,"&lt;="&amp;$A221,実績!$AJ$6:$AJ$505,"&gt;"&amp;$A221,実績!$AL$6:$AL$505,"○")&gt;0,1,0))</f>
        <v>0</v>
      </c>
      <c r="DB221" s="39" t="n">
        <f aca="false">IF(DB$4=0,0,IF(COUNTIFS(実績!$W$6:$W$505,DB$3,実績!$AI$6:$AI$505,"&lt;="&amp;$A221,実績!$AJ$6:$AJ$505,"&gt;"&amp;$A221,実績!$AL$6:$AL$505,"○")&gt;0,1,0))</f>
        <v>0</v>
      </c>
      <c r="DC221" s="39" t="n">
        <f aca="false">IF(DC$4=0,0,IF(COUNTIFS(実績!$W$6:$W$505,DC$3,実績!$AI$6:$AI$505,"&lt;="&amp;$A221,実績!$AJ$6:$AJ$505,"&gt;"&amp;$A221,実績!$AL$6:$AL$505,"○")&gt;0,1,0))</f>
        <v>0</v>
      </c>
      <c r="DD221" s="39" t="n">
        <f aca="false">IF(DD$4=0,0,IF(COUNTIFS(実績!$W$6:$W$505,DD$3,実績!$AI$6:$AI$505,"&lt;="&amp;$A221,実績!$AJ$6:$AJ$505,"&gt;"&amp;$A221,実績!$AL$6:$AL$505,"○")&gt;0,1,0))</f>
        <v>0</v>
      </c>
      <c r="DE221" s="39" t="n">
        <f aca="false">IF(DE$4=0,0,IF(COUNTIFS(実績!$W$6:$W$505,DE$3,実績!$AI$6:$AI$505,"&lt;="&amp;$A221,実績!$AJ$6:$AJ$505,"&gt;"&amp;$A221,実績!$AL$6:$AL$505,"○")&gt;0,1,0))</f>
        <v>0</v>
      </c>
      <c r="DF221" s="39" t="n">
        <f aca="false">IF(DF$4=0,0,IF(COUNTIFS(実績!$W$6:$W$505,DF$3,実績!$AI$6:$AI$505,"&lt;="&amp;$A221,実績!$AJ$6:$AJ$505,"&gt;"&amp;$A221,実績!$AL$6:$AL$505,"○")&gt;0,1,0))</f>
        <v>0</v>
      </c>
      <c r="DG221" s="39" t="n">
        <f aca="false">IF(DG$4=0,0,IF(COUNTIFS(実績!$W$6:$W$505,DG$3,実績!$AI$6:$AI$505,"&lt;="&amp;$A221,実績!$AJ$6:$AJ$505,"&gt;"&amp;$A221,実績!$AL$6:$AL$505,"○")&gt;0,1,0))</f>
        <v>0</v>
      </c>
      <c r="DH221" s="39" t="n">
        <f aca="false">IF(DH$4=0,0,IF(COUNTIFS(実績!$W$6:$W$505,DH$3,実績!$AI$6:$AI$505,"&lt;="&amp;$A221,実績!$AJ$6:$AJ$505,"&gt;"&amp;$A221,実績!$AL$6:$AL$505,"○")&gt;0,1,0))</f>
        <v>0</v>
      </c>
      <c r="DI221" s="39" t="n">
        <f aca="false">IF(DI$4=0,0,IF(COUNTIFS(実績!$W$6:$W$505,DI$3,実績!$AI$6:$AI$505,"&lt;="&amp;$A221,実績!$AJ$6:$AJ$505,"&gt;"&amp;$A221,実績!$AL$6:$AL$505,"○")&gt;0,1,0))</f>
        <v>0</v>
      </c>
      <c r="DJ221" s="39" t="n">
        <f aca="false">IF(DJ$4=0,0,IF(COUNTIFS(実績!$W$6:$W$505,DJ$3,実績!$AI$6:$AI$505,"&lt;="&amp;$A221,実績!$AJ$6:$AJ$505,"&gt;"&amp;$A221,実績!$AL$6:$AL$505,"○")&gt;0,1,0))</f>
        <v>0</v>
      </c>
      <c r="DK221" s="39" t="n">
        <f aca="false">IF(DK$4=0,0,IF(COUNTIFS(実績!$W$6:$W$505,DK$3,実績!$AI$6:$AI$505,"&lt;="&amp;$A221,実績!$AJ$6:$AJ$505,"&gt;"&amp;$A221,実績!$AL$6:$AL$505,"○")&gt;0,1,0))</f>
        <v>0</v>
      </c>
      <c r="DL221" s="39" t="n">
        <f aca="false">IF(DL$4=0,0,IF(COUNTIFS(実績!$W$6:$W$505,DL$3,実績!$AI$6:$AI$505,"&lt;="&amp;$A221,実績!$AJ$6:$AJ$505,"&gt;"&amp;$A221,実績!$AL$6:$AL$505,"○")&gt;0,1,0))</f>
        <v>0</v>
      </c>
      <c r="DM221" s="39" t="n">
        <f aca="false">IF(DM$4=0,0,IF(COUNTIFS(実績!$W$6:$W$505,DM$3,実績!$AI$6:$AI$505,"&lt;="&amp;$A221,実績!$AJ$6:$AJ$505,"&gt;"&amp;$A221,実績!$AL$6:$AL$505,"○")&gt;0,1,0))</f>
        <v>0</v>
      </c>
      <c r="DN221" s="39" t="n">
        <f aca="false">IF(DN$4=0,0,IF(COUNTIFS(実績!$W$6:$W$505,DN$3,実績!$AI$6:$AI$505,"&lt;="&amp;$A221,実績!$AJ$6:$AJ$505,"&gt;"&amp;$A221,実績!$AL$6:$AL$505,"○")&gt;0,1,0))</f>
        <v>0</v>
      </c>
      <c r="DO221" s="39" t="n">
        <f aca="false">IF(DO$4=0,0,IF(COUNTIFS(実績!$W$6:$W$505,DO$3,実績!$AI$6:$AI$505,"&lt;="&amp;$A221,実績!$AJ$6:$AJ$505,"&gt;"&amp;$A221,実績!$AL$6:$AL$505,"○")&gt;0,1,0))</f>
        <v>0</v>
      </c>
      <c r="DP221" s="39" t="n">
        <f aca="false">IF(DP$4=0,0,IF(COUNTIFS(実績!$W$6:$W$505,DP$3,実績!$AI$6:$AI$505,"&lt;="&amp;$A221,実績!$AJ$6:$AJ$505,"&gt;"&amp;$A221,実績!$AL$6:$AL$505,"○")&gt;0,1,0))</f>
        <v>0</v>
      </c>
      <c r="DQ221" s="39" t="n">
        <f aca="false">IF(DQ$4=0,0,IF(COUNTIFS(実績!$W$6:$W$505,DQ$3,実績!$AI$6:$AI$505,"&lt;="&amp;$A221,実績!$AJ$6:$AJ$505,"&gt;"&amp;$A221,実績!$AL$6:$AL$505,"○")&gt;0,1,0))</f>
        <v>0</v>
      </c>
      <c r="DR221" s="39" t="n">
        <f aca="false">IF(DR$4=0,0,IF(COUNTIFS(実績!$W$6:$W$505,DR$3,実績!$AI$6:$AI$505,"&lt;="&amp;$A221,実績!$AJ$6:$AJ$505,"&gt;"&amp;$A221,実績!$AL$6:$AL$505,"○")&gt;0,1,0))</f>
        <v>0</v>
      </c>
      <c r="DS221" s="39" t="n">
        <f aca="false">SUM(C221:DR221)</f>
        <v>0</v>
      </c>
    </row>
    <row r="222" customFormat="false" ht="15" hidden="false" customHeight="false" outlineLevel="0" collapsed="false">
      <c r="A222" s="0" t="n">
        <v>1080</v>
      </c>
      <c r="B222" s="38" t="n">
        <f aca="false">A222/1440</f>
        <v>0.75</v>
      </c>
      <c r="C222" s="39" t="n">
        <f aca="false">IF(C$4=0,0,IF(COUNTIFS(実績!$W$6:$W$505,C$3,実績!$AI$6:$AI$505,"&lt;="&amp;$A222,実績!$AJ$6:$AJ$505,"&gt;"&amp;$A222,実績!$AL$6:$AL$505,"○")&gt;0,1,0))</f>
        <v>0</v>
      </c>
      <c r="D222" s="39" t="n">
        <f aca="false">IF(D$4=0,0,IF(COUNTIFS(実績!$W$6:$W$505,D$3,実績!$AI$6:$AI$505,"&lt;="&amp;$A222,実績!$AJ$6:$AJ$505,"&gt;"&amp;$A222,実績!$AL$6:$AL$505,"○")&gt;0,1,0))</f>
        <v>0</v>
      </c>
      <c r="E222" s="39" t="n">
        <f aca="false">IF(E$4=0,0,IF(COUNTIFS(実績!$W$6:$W$505,E$3,実績!$AI$6:$AI$505,"&lt;="&amp;$A222,実績!$AJ$6:$AJ$505,"&gt;"&amp;$A222,実績!$AL$6:$AL$505,"○")&gt;0,1,0))</f>
        <v>0</v>
      </c>
      <c r="F222" s="39" t="n">
        <f aca="false">IF(F$4=0,0,IF(COUNTIFS(実績!$W$6:$W$505,F$3,実績!$AI$6:$AI$505,"&lt;="&amp;$A222,実績!$AJ$6:$AJ$505,"&gt;"&amp;$A222,実績!$AL$6:$AL$505,"○")&gt;0,1,0))</f>
        <v>0</v>
      </c>
      <c r="G222" s="39" t="n">
        <f aca="false">IF(G$4=0,0,IF(COUNTIFS(実績!$W$6:$W$505,G$3,実績!$AI$6:$AI$505,"&lt;="&amp;$A222,実績!$AJ$6:$AJ$505,"&gt;"&amp;$A222,実績!$AL$6:$AL$505,"○")&gt;0,1,0))</f>
        <v>0</v>
      </c>
      <c r="H222" s="39" t="n">
        <f aca="false">IF(H$4=0,0,IF(COUNTIFS(実績!$W$6:$W$505,H$3,実績!$AI$6:$AI$505,"&lt;="&amp;$A222,実績!$AJ$6:$AJ$505,"&gt;"&amp;$A222,実績!$AL$6:$AL$505,"○")&gt;0,1,0))</f>
        <v>0</v>
      </c>
      <c r="I222" s="39" t="n">
        <f aca="false">IF(I$4=0,0,IF(COUNTIFS(実績!$W$6:$W$505,I$3,実績!$AI$6:$AI$505,"&lt;="&amp;$A222,実績!$AJ$6:$AJ$505,"&gt;"&amp;$A222,実績!$AL$6:$AL$505,"○")&gt;0,1,0))</f>
        <v>0</v>
      </c>
      <c r="J222" s="39" t="n">
        <f aca="false">IF(J$4=0,0,IF(COUNTIFS(実績!$W$6:$W$505,J$3,実績!$AI$6:$AI$505,"&lt;="&amp;$A222,実績!$AJ$6:$AJ$505,"&gt;"&amp;$A222,実績!$AL$6:$AL$505,"○")&gt;0,1,0))</f>
        <v>0</v>
      </c>
      <c r="K222" s="39" t="n">
        <f aca="false">IF(K$4=0,0,IF(COUNTIFS(実績!$W$6:$W$505,K$3,実績!$AI$6:$AI$505,"&lt;="&amp;$A222,実績!$AJ$6:$AJ$505,"&gt;"&amp;$A222,実績!$AL$6:$AL$505,"○")&gt;0,1,0))</f>
        <v>0</v>
      </c>
      <c r="L222" s="39" t="n">
        <f aca="false">IF(L$4=0,0,IF(COUNTIFS(実績!$W$6:$W$505,L$3,実績!$AI$6:$AI$505,"&lt;="&amp;$A222,実績!$AJ$6:$AJ$505,"&gt;"&amp;$A222,実績!$AL$6:$AL$505,"○")&gt;0,1,0))</f>
        <v>0</v>
      </c>
      <c r="M222" s="39" t="n">
        <f aca="false">IF(M$4=0,0,IF(COUNTIFS(実績!$W$6:$W$505,M$3,実績!$AI$6:$AI$505,"&lt;="&amp;$A222,実績!$AJ$6:$AJ$505,"&gt;"&amp;$A222,実績!$AL$6:$AL$505,"○")&gt;0,1,0))</f>
        <v>0</v>
      </c>
      <c r="N222" s="39" t="n">
        <f aca="false">IF(N$4=0,0,IF(COUNTIFS(実績!$W$6:$W$505,N$3,実績!$AI$6:$AI$505,"&lt;="&amp;$A222,実績!$AJ$6:$AJ$505,"&gt;"&amp;$A222,実績!$AL$6:$AL$505,"○")&gt;0,1,0))</f>
        <v>0</v>
      </c>
      <c r="O222" s="39" t="n">
        <f aca="false">IF(O$4=0,0,IF(COUNTIFS(実績!$W$6:$W$505,O$3,実績!$AI$6:$AI$505,"&lt;="&amp;$A222,実績!$AJ$6:$AJ$505,"&gt;"&amp;$A222,実績!$AL$6:$AL$505,"○")&gt;0,1,0))</f>
        <v>0</v>
      </c>
      <c r="P222" s="39" t="n">
        <f aca="false">IF(P$4=0,0,IF(COUNTIFS(実績!$W$6:$W$505,P$3,実績!$AI$6:$AI$505,"&lt;="&amp;$A222,実績!$AJ$6:$AJ$505,"&gt;"&amp;$A222,実績!$AL$6:$AL$505,"○")&gt;0,1,0))</f>
        <v>0</v>
      </c>
      <c r="Q222" s="39" t="n">
        <f aca="false">IF(Q$4=0,0,IF(COUNTIFS(実績!$W$6:$W$505,Q$3,実績!$AI$6:$AI$505,"&lt;="&amp;$A222,実績!$AJ$6:$AJ$505,"&gt;"&amp;$A222,実績!$AL$6:$AL$505,"○")&gt;0,1,0))</f>
        <v>0</v>
      </c>
      <c r="R222" s="39" t="n">
        <f aca="false">IF(R$4=0,0,IF(COUNTIFS(実績!$W$6:$W$505,R$3,実績!$AI$6:$AI$505,"&lt;="&amp;$A222,実績!$AJ$6:$AJ$505,"&gt;"&amp;$A222,実績!$AL$6:$AL$505,"○")&gt;0,1,0))</f>
        <v>0</v>
      </c>
      <c r="S222" s="39" t="n">
        <f aca="false">IF(S$4=0,0,IF(COUNTIFS(実績!$W$6:$W$505,S$3,実績!$AI$6:$AI$505,"&lt;="&amp;$A222,実績!$AJ$6:$AJ$505,"&gt;"&amp;$A222,実績!$AL$6:$AL$505,"○")&gt;0,1,0))</f>
        <v>0</v>
      </c>
      <c r="T222" s="39" t="n">
        <f aca="false">IF(T$4=0,0,IF(COUNTIFS(実績!$W$6:$W$505,T$3,実績!$AI$6:$AI$505,"&lt;="&amp;$A222,実績!$AJ$6:$AJ$505,"&gt;"&amp;$A222,実績!$AL$6:$AL$505,"○")&gt;0,1,0))</f>
        <v>0</v>
      </c>
      <c r="U222" s="39" t="n">
        <f aca="false">IF(U$4=0,0,IF(COUNTIFS(実績!$W$6:$W$505,U$3,実績!$AI$6:$AI$505,"&lt;="&amp;$A222,実績!$AJ$6:$AJ$505,"&gt;"&amp;$A222,実績!$AL$6:$AL$505,"○")&gt;0,1,0))</f>
        <v>0</v>
      </c>
      <c r="V222" s="39" t="n">
        <f aca="false">IF(V$4=0,0,IF(COUNTIFS(実績!$W$6:$W$505,V$3,実績!$AI$6:$AI$505,"&lt;="&amp;$A222,実績!$AJ$6:$AJ$505,"&gt;"&amp;$A222,実績!$AL$6:$AL$505,"○")&gt;0,1,0))</f>
        <v>0</v>
      </c>
      <c r="W222" s="39" t="n">
        <f aca="false">IF(W$4=0,0,IF(COUNTIFS(実績!$W$6:$W$505,W$3,実績!$AI$6:$AI$505,"&lt;="&amp;$A222,実績!$AJ$6:$AJ$505,"&gt;"&amp;$A222,実績!$AL$6:$AL$505,"○")&gt;0,1,0))</f>
        <v>0</v>
      </c>
      <c r="X222" s="39" t="n">
        <f aca="false">IF(X$4=0,0,IF(COUNTIFS(実績!$W$6:$W$505,X$3,実績!$AI$6:$AI$505,"&lt;="&amp;$A222,実績!$AJ$6:$AJ$505,"&gt;"&amp;$A222,実績!$AL$6:$AL$505,"○")&gt;0,1,0))</f>
        <v>0</v>
      </c>
      <c r="Y222" s="39" t="n">
        <f aca="false">IF(Y$4=0,0,IF(COUNTIFS(実績!$W$6:$W$505,Y$3,実績!$AI$6:$AI$505,"&lt;="&amp;$A222,実績!$AJ$6:$AJ$505,"&gt;"&amp;$A222,実績!$AL$6:$AL$505,"○")&gt;0,1,0))</f>
        <v>0</v>
      </c>
      <c r="Z222" s="39" t="n">
        <f aca="false">IF(Z$4=0,0,IF(COUNTIFS(実績!$W$6:$W$505,Z$3,実績!$AI$6:$AI$505,"&lt;="&amp;$A222,実績!$AJ$6:$AJ$505,"&gt;"&amp;$A222,実績!$AL$6:$AL$505,"○")&gt;0,1,0))</f>
        <v>0</v>
      </c>
      <c r="AA222" s="39" t="n">
        <f aca="false">IF(AA$4=0,0,IF(COUNTIFS(実績!$W$6:$W$505,AA$3,実績!$AI$6:$AI$505,"&lt;="&amp;$A222,実績!$AJ$6:$AJ$505,"&gt;"&amp;$A222,実績!$AL$6:$AL$505,"○")&gt;0,1,0))</f>
        <v>0</v>
      </c>
      <c r="AB222" s="39" t="n">
        <f aca="false">IF(AB$4=0,0,IF(COUNTIFS(実績!$W$6:$W$505,AB$3,実績!$AI$6:$AI$505,"&lt;="&amp;$A222,実績!$AJ$6:$AJ$505,"&gt;"&amp;$A222,実績!$AL$6:$AL$505,"○")&gt;0,1,0))</f>
        <v>0</v>
      </c>
      <c r="AC222" s="39" t="n">
        <f aca="false">IF(AC$4=0,0,IF(COUNTIFS(実績!$W$6:$W$505,AC$3,実績!$AI$6:$AI$505,"&lt;="&amp;$A222,実績!$AJ$6:$AJ$505,"&gt;"&amp;$A222,実績!$AL$6:$AL$505,"○")&gt;0,1,0))</f>
        <v>0</v>
      </c>
      <c r="AD222" s="39" t="n">
        <f aca="false">IF(AD$4=0,0,IF(COUNTIFS(実績!$W$6:$W$505,AD$3,実績!$AI$6:$AI$505,"&lt;="&amp;$A222,実績!$AJ$6:$AJ$505,"&gt;"&amp;$A222,実績!$AL$6:$AL$505,"○")&gt;0,1,0))</f>
        <v>0</v>
      </c>
      <c r="AE222" s="39" t="n">
        <f aca="false">IF(AE$4=0,0,IF(COUNTIFS(実績!$W$6:$W$505,AE$3,実績!$AI$6:$AI$505,"&lt;="&amp;$A222,実績!$AJ$6:$AJ$505,"&gt;"&amp;$A222,実績!$AL$6:$AL$505,"○")&gt;0,1,0))</f>
        <v>0</v>
      </c>
      <c r="AF222" s="39" t="n">
        <f aca="false">IF(AF$4=0,0,IF(COUNTIFS(実績!$W$6:$W$505,AF$3,実績!$AI$6:$AI$505,"&lt;="&amp;$A222,実績!$AJ$6:$AJ$505,"&gt;"&amp;$A222,実績!$AL$6:$AL$505,"○")&gt;0,1,0))</f>
        <v>0</v>
      </c>
      <c r="AG222" s="39" t="n">
        <f aca="false">IF(AG$4=0,0,IF(COUNTIFS(実績!$W$6:$W$505,AG$3,実績!$AI$6:$AI$505,"&lt;="&amp;$A222,実績!$AJ$6:$AJ$505,"&gt;"&amp;$A222,実績!$AL$6:$AL$505,"○")&gt;0,1,0))</f>
        <v>0</v>
      </c>
      <c r="AH222" s="39" t="n">
        <f aca="false">IF(AH$4=0,0,IF(COUNTIFS(実績!$W$6:$W$505,AH$3,実績!$AI$6:$AI$505,"&lt;="&amp;$A222,実績!$AJ$6:$AJ$505,"&gt;"&amp;$A222,実績!$AL$6:$AL$505,"○")&gt;0,1,0))</f>
        <v>0</v>
      </c>
      <c r="AI222" s="39" t="n">
        <f aca="false">IF(AI$4=0,0,IF(COUNTIFS(実績!$W$6:$W$505,AI$3,実績!$AI$6:$AI$505,"&lt;="&amp;$A222,実績!$AJ$6:$AJ$505,"&gt;"&amp;$A222,実績!$AL$6:$AL$505,"○")&gt;0,1,0))</f>
        <v>0</v>
      </c>
      <c r="AJ222" s="39" t="n">
        <f aca="false">IF(AJ$4=0,0,IF(COUNTIFS(実績!$W$6:$W$505,AJ$3,実績!$AI$6:$AI$505,"&lt;="&amp;$A222,実績!$AJ$6:$AJ$505,"&gt;"&amp;$A222,実績!$AL$6:$AL$505,"○")&gt;0,1,0))</f>
        <v>0</v>
      </c>
      <c r="AK222" s="39" t="n">
        <f aca="false">IF(AK$4=0,0,IF(COUNTIFS(実績!$W$6:$W$505,AK$3,実績!$AI$6:$AI$505,"&lt;="&amp;$A222,実績!$AJ$6:$AJ$505,"&gt;"&amp;$A222,実績!$AL$6:$AL$505,"○")&gt;0,1,0))</f>
        <v>0</v>
      </c>
      <c r="AL222" s="39" t="n">
        <f aca="false">IF(AL$4=0,0,IF(COUNTIFS(実績!$W$6:$W$505,AL$3,実績!$AI$6:$AI$505,"&lt;="&amp;$A222,実績!$AJ$6:$AJ$505,"&gt;"&amp;$A222,実績!$AL$6:$AL$505,"○")&gt;0,1,0))</f>
        <v>0</v>
      </c>
      <c r="AM222" s="39" t="n">
        <f aca="false">IF(AM$4=0,0,IF(COUNTIFS(実績!$W$6:$W$505,AM$3,実績!$AI$6:$AI$505,"&lt;="&amp;$A222,実績!$AJ$6:$AJ$505,"&gt;"&amp;$A222,実績!$AL$6:$AL$505,"○")&gt;0,1,0))</f>
        <v>0</v>
      </c>
      <c r="AN222" s="39" t="n">
        <f aca="false">IF(AN$4=0,0,IF(COUNTIFS(実績!$W$6:$W$505,AN$3,実績!$AI$6:$AI$505,"&lt;="&amp;$A222,実績!$AJ$6:$AJ$505,"&gt;"&amp;$A222,実績!$AL$6:$AL$505,"○")&gt;0,1,0))</f>
        <v>0</v>
      </c>
      <c r="AO222" s="39" t="n">
        <f aca="false">IF(AO$4=0,0,IF(COUNTIFS(実績!$W$6:$W$505,AO$3,実績!$AI$6:$AI$505,"&lt;="&amp;$A222,実績!$AJ$6:$AJ$505,"&gt;"&amp;$A222,実績!$AL$6:$AL$505,"○")&gt;0,1,0))</f>
        <v>0</v>
      </c>
      <c r="AP222" s="39" t="n">
        <f aca="false">IF(AP$4=0,0,IF(COUNTIFS(実績!$W$6:$W$505,AP$3,実績!$AI$6:$AI$505,"&lt;="&amp;$A222,実績!$AJ$6:$AJ$505,"&gt;"&amp;$A222,実績!$AL$6:$AL$505,"○")&gt;0,1,0))</f>
        <v>0</v>
      </c>
      <c r="AQ222" s="39" t="n">
        <f aca="false">IF(AQ$4=0,0,IF(COUNTIFS(実績!$W$6:$W$505,AQ$3,実績!$AI$6:$AI$505,"&lt;="&amp;$A222,実績!$AJ$6:$AJ$505,"&gt;"&amp;$A222,実績!$AL$6:$AL$505,"○")&gt;0,1,0))</f>
        <v>0</v>
      </c>
      <c r="AR222" s="39" t="n">
        <f aca="false">IF(AR$4=0,0,IF(COUNTIFS(実績!$W$6:$W$505,AR$3,実績!$AI$6:$AI$505,"&lt;="&amp;$A222,実績!$AJ$6:$AJ$505,"&gt;"&amp;$A222,実績!$AL$6:$AL$505,"○")&gt;0,1,0))</f>
        <v>0</v>
      </c>
      <c r="AS222" s="39" t="n">
        <f aca="false">IF(AS$4=0,0,IF(COUNTIFS(実績!$W$6:$W$505,AS$3,実績!$AI$6:$AI$505,"&lt;="&amp;$A222,実績!$AJ$6:$AJ$505,"&gt;"&amp;$A222,実績!$AL$6:$AL$505,"○")&gt;0,1,0))</f>
        <v>0</v>
      </c>
      <c r="AT222" s="39" t="n">
        <f aca="false">IF(AT$4=0,0,IF(COUNTIFS(実績!$W$6:$W$505,AT$3,実績!$AI$6:$AI$505,"&lt;="&amp;$A222,実績!$AJ$6:$AJ$505,"&gt;"&amp;$A222,実績!$AL$6:$AL$505,"○")&gt;0,1,0))</f>
        <v>0</v>
      </c>
      <c r="AU222" s="39" t="n">
        <f aca="false">IF(AU$4=0,0,IF(COUNTIFS(実績!$W$6:$W$505,AU$3,実績!$AI$6:$AI$505,"&lt;="&amp;$A222,実績!$AJ$6:$AJ$505,"&gt;"&amp;$A222,実績!$AL$6:$AL$505,"○")&gt;0,1,0))</f>
        <v>0</v>
      </c>
      <c r="AV222" s="39" t="n">
        <f aca="false">IF(AV$4=0,0,IF(COUNTIFS(実績!$W$6:$W$505,AV$3,実績!$AI$6:$AI$505,"&lt;="&amp;$A222,実績!$AJ$6:$AJ$505,"&gt;"&amp;$A222,実績!$AL$6:$AL$505,"○")&gt;0,1,0))</f>
        <v>0</v>
      </c>
      <c r="AW222" s="39" t="n">
        <f aca="false">IF(AW$4=0,0,IF(COUNTIFS(実績!$W$6:$W$505,AW$3,実績!$AI$6:$AI$505,"&lt;="&amp;$A222,実績!$AJ$6:$AJ$505,"&gt;"&amp;$A222,実績!$AL$6:$AL$505,"○")&gt;0,1,0))</f>
        <v>0</v>
      </c>
      <c r="AX222" s="39" t="n">
        <f aca="false">IF(AX$4=0,0,IF(COUNTIFS(実績!$W$6:$W$505,AX$3,実績!$AI$6:$AI$505,"&lt;="&amp;$A222,実績!$AJ$6:$AJ$505,"&gt;"&amp;$A222,実績!$AL$6:$AL$505,"○")&gt;0,1,0))</f>
        <v>0</v>
      </c>
      <c r="AY222" s="39" t="n">
        <f aca="false">IF(AY$4=0,0,IF(COUNTIFS(実績!$W$6:$W$505,AY$3,実績!$AI$6:$AI$505,"&lt;="&amp;$A222,実績!$AJ$6:$AJ$505,"&gt;"&amp;$A222,実績!$AL$6:$AL$505,"○")&gt;0,1,0))</f>
        <v>0</v>
      </c>
      <c r="AZ222" s="39" t="n">
        <f aca="false">IF(AZ$4=0,0,IF(COUNTIFS(実績!$W$6:$W$505,AZ$3,実績!$AI$6:$AI$505,"&lt;="&amp;$A222,実績!$AJ$6:$AJ$505,"&gt;"&amp;$A222,実績!$AL$6:$AL$505,"○")&gt;0,1,0))</f>
        <v>0</v>
      </c>
      <c r="BA222" s="39" t="n">
        <f aca="false">IF(BA$4=0,0,IF(COUNTIFS(実績!$W$6:$W$505,BA$3,実績!$AI$6:$AI$505,"&lt;="&amp;$A222,実績!$AJ$6:$AJ$505,"&gt;"&amp;$A222,実績!$AL$6:$AL$505,"○")&gt;0,1,0))</f>
        <v>0</v>
      </c>
      <c r="BB222" s="39" t="n">
        <f aca="false">IF(BB$4=0,0,IF(COUNTIFS(実績!$W$6:$W$505,BB$3,実績!$AI$6:$AI$505,"&lt;="&amp;$A222,実績!$AJ$6:$AJ$505,"&gt;"&amp;$A222,実績!$AL$6:$AL$505,"○")&gt;0,1,0))</f>
        <v>0</v>
      </c>
      <c r="BC222" s="39" t="n">
        <f aca="false">IF(BC$4=0,0,IF(COUNTIFS(実績!$W$6:$W$505,BC$3,実績!$AI$6:$AI$505,"&lt;="&amp;$A222,実績!$AJ$6:$AJ$505,"&gt;"&amp;$A222,実績!$AL$6:$AL$505,"○")&gt;0,1,0))</f>
        <v>0</v>
      </c>
      <c r="BD222" s="39" t="n">
        <f aca="false">IF(BD$4=0,0,IF(COUNTIFS(実績!$W$6:$W$505,BD$3,実績!$AI$6:$AI$505,"&lt;="&amp;$A222,実績!$AJ$6:$AJ$505,"&gt;"&amp;$A222,実績!$AL$6:$AL$505,"○")&gt;0,1,0))</f>
        <v>0</v>
      </c>
      <c r="BE222" s="39" t="n">
        <f aca="false">IF(BE$4=0,0,IF(COUNTIFS(実績!$W$6:$W$505,BE$3,実績!$AI$6:$AI$505,"&lt;="&amp;$A222,実績!$AJ$6:$AJ$505,"&gt;"&amp;$A222,実績!$AL$6:$AL$505,"○")&gt;0,1,0))</f>
        <v>0</v>
      </c>
      <c r="BF222" s="39" t="n">
        <f aca="false">IF(BF$4=0,0,IF(COUNTIFS(実績!$W$6:$W$505,BF$3,実績!$AI$6:$AI$505,"&lt;="&amp;$A222,実績!$AJ$6:$AJ$505,"&gt;"&amp;$A222,実績!$AL$6:$AL$505,"○")&gt;0,1,0))</f>
        <v>0</v>
      </c>
      <c r="BG222" s="39" t="n">
        <f aca="false">IF(BG$4=0,0,IF(COUNTIFS(実績!$W$6:$W$505,BG$3,実績!$AI$6:$AI$505,"&lt;="&amp;$A222,実績!$AJ$6:$AJ$505,"&gt;"&amp;$A222,実績!$AL$6:$AL$505,"○")&gt;0,1,0))</f>
        <v>0</v>
      </c>
      <c r="BH222" s="39" t="n">
        <f aca="false">IF(BH$4=0,0,IF(COUNTIFS(実績!$W$6:$W$505,BH$3,実績!$AI$6:$AI$505,"&lt;="&amp;$A222,実績!$AJ$6:$AJ$505,"&gt;"&amp;$A222,実績!$AL$6:$AL$505,"○")&gt;0,1,0))</f>
        <v>0</v>
      </c>
      <c r="BI222" s="39" t="n">
        <f aca="false">IF(BI$4=0,0,IF(COUNTIFS(実績!$W$6:$W$505,BI$3,実績!$AI$6:$AI$505,"&lt;="&amp;$A222,実績!$AJ$6:$AJ$505,"&gt;"&amp;$A222,実績!$AL$6:$AL$505,"○")&gt;0,1,0))</f>
        <v>0</v>
      </c>
      <c r="BJ222" s="39" t="n">
        <f aca="false">IF(BJ$4=0,0,IF(COUNTIFS(実績!$W$6:$W$505,BJ$3,実績!$AI$6:$AI$505,"&lt;="&amp;$A222,実績!$AJ$6:$AJ$505,"&gt;"&amp;$A222,実績!$AL$6:$AL$505,"○")&gt;0,1,0))</f>
        <v>0</v>
      </c>
      <c r="BK222" s="39" t="n">
        <f aca="false">IF(BK$4=0,0,IF(COUNTIFS(実績!$W$6:$W$505,BK$3,実績!$AI$6:$AI$505,"&lt;="&amp;$A222,実績!$AJ$6:$AJ$505,"&gt;"&amp;$A222,実績!$AL$6:$AL$505,"○")&gt;0,1,0))</f>
        <v>0</v>
      </c>
      <c r="BL222" s="39" t="n">
        <f aca="false">IF(BL$4=0,0,IF(COUNTIFS(実績!$W$6:$W$505,BL$3,実績!$AI$6:$AI$505,"&lt;="&amp;$A222,実績!$AJ$6:$AJ$505,"&gt;"&amp;$A222,実績!$AL$6:$AL$505,"○")&gt;0,1,0))</f>
        <v>0</v>
      </c>
      <c r="BM222" s="39" t="n">
        <f aca="false">IF(BM$4=0,0,IF(COUNTIFS(実績!$W$6:$W$505,BM$3,実績!$AI$6:$AI$505,"&lt;="&amp;$A222,実績!$AJ$6:$AJ$505,"&gt;"&amp;$A222,実績!$AL$6:$AL$505,"○")&gt;0,1,0))</f>
        <v>0</v>
      </c>
      <c r="BN222" s="39" t="n">
        <f aca="false">IF(BN$4=0,0,IF(COUNTIFS(実績!$W$6:$W$505,BN$3,実績!$AI$6:$AI$505,"&lt;="&amp;$A222,実績!$AJ$6:$AJ$505,"&gt;"&amp;$A222,実績!$AL$6:$AL$505,"○")&gt;0,1,0))</f>
        <v>0</v>
      </c>
      <c r="BO222" s="39" t="n">
        <f aca="false">IF(BO$4=0,0,IF(COUNTIFS(実績!$W$6:$W$505,BO$3,実績!$AI$6:$AI$505,"&lt;="&amp;$A222,実績!$AJ$6:$AJ$505,"&gt;"&amp;$A222,実績!$AL$6:$AL$505,"○")&gt;0,1,0))</f>
        <v>0</v>
      </c>
      <c r="BP222" s="39" t="n">
        <f aca="false">IF(BP$4=0,0,IF(COUNTIFS(実績!$W$6:$W$505,BP$3,実績!$AI$6:$AI$505,"&lt;="&amp;$A222,実績!$AJ$6:$AJ$505,"&gt;"&amp;$A222,実績!$AL$6:$AL$505,"○")&gt;0,1,0))</f>
        <v>0</v>
      </c>
      <c r="BQ222" s="39" t="n">
        <f aca="false">IF(BQ$4=0,0,IF(COUNTIFS(実績!$W$6:$W$505,BQ$3,実績!$AI$6:$AI$505,"&lt;="&amp;$A222,実績!$AJ$6:$AJ$505,"&gt;"&amp;$A222,実績!$AL$6:$AL$505,"○")&gt;0,1,0))</f>
        <v>0</v>
      </c>
      <c r="BR222" s="39" t="n">
        <f aca="false">IF(BR$4=0,0,IF(COUNTIFS(実績!$W$6:$W$505,BR$3,実績!$AI$6:$AI$505,"&lt;="&amp;$A222,実績!$AJ$6:$AJ$505,"&gt;"&amp;$A222,実績!$AL$6:$AL$505,"○")&gt;0,1,0))</f>
        <v>0</v>
      </c>
      <c r="BS222" s="39" t="n">
        <f aca="false">IF(BS$4=0,0,IF(COUNTIFS(実績!$W$6:$W$505,BS$3,実績!$AI$6:$AI$505,"&lt;="&amp;$A222,実績!$AJ$6:$AJ$505,"&gt;"&amp;$A222,実績!$AL$6:$AL$505,"○")&gt;0,1,0))</f>
        <v>0</v>
      </c>
      <c r="BT222" s="39" t="n">
        <f aca="false">IF(BT$4=0,0,IF(COUNTIFS(実績!$W$6:$W$505,BT$3,実績!$AI$6:$AI$505,"&lt;="&amp;$A222,実績!$AJ$6:$AJ$505,"&gt;"&amp;$A222,実績!$AL$6:$AL$505,"○")&gt;0,1,0))</f>
        <v>0</v>
      </c>
      <c r="BU222" s="39" t="n">
        <f aca="false">IF(BU$4=0,0,IF(COUNTIFS(実績!$W$6:$W$505,BU$3,実績!$AI$6:$AI$505,"&lt;="&amp;$A222,実績!$AJ$6:$AJ$505,"&gt;"&amp;$A222,実績!$AL$6:$AL$505,"○")&gt;0,1,0))</f>
        <v>0</v>
      </c>
      <c r="BV222" s="39" t="n">
        <f aca="false">IF(BV$4=0,0,IF(COUNTIFS(実績!$W$6:$W$505,BV$3,実績!$AI$6:$AI$505,"&lt;="&amp;$A222,実績!$AJ$6:$AJ$505,"&gt;"&amp;$A222,実績!$AL$6:$AL$505,"○")&gt;0,1,0))</f>
        <v>0</v>
      </c>
      <c r="BW222" s="39" t="n">
        <f aca="false">IF(BW$4=0,0,IF(COUNTIFS(実績!$W$6:$W$505,BW$3,実績!$AI$6:$AI$505,"&lt;="&amp;$A222,実績!$AJ$6:$AJ$505,"&gt;"&amp;$A222,実績!$AL$6:$AL$505,"○")&gt;0,1,0))</f>
        <v>0</v>
      </c>
      <c r="BX222" s="39" t="n">
        <f aca="false">IF(BX$4=0,0,IF(COUNTIFS(実績!$W$6:$W$505,BX$3,実績!$AI$6:$AI$505,"&lt;="&amp;$A222,実績!$AJ$6:$AJ$505,"&gt;"&amp;$A222,実績!$AL$6:$AL$505,"○")&gt;0,1,0))</f>
        <v>0</v>
      </c>
      <c r="BY222" s="39" t="n">
        <f aca="false">IF(BY$4=0,0,IF(COUNTIFS(実績!$W$6:$W$505,BY$3,実績!$AI$6:$AI$505,"&lt;="&amp;$A222,実績!$AJ$6:$AJ$505,"&gt;"&amp;$A222,実績!$AL$6:$AL$505,"○")&gt;0,1,0))</f>
        <v>0</v>
      </c>
      <c r="BZ222" s="39" t="n">
        <f aca="false">IF(BZ$4=0,0,IF(COUNTIFS(実績!$W$6:$W$505,BZ$3,実績!$AI$6:$AI$505,"&lt;="&amp;$A222,実績!$AJ$6:$AJ$505,"&gt;"&amp;$A222,実績!$AL$6:$AL$505,"○")&gt;0,1,0))</f>
        <v>0</v>
      </c>
      <c r="CA222" s="39" t="n">
        <f aca="false">IF(CA$4=0,0,IF(COUNTIFS(実績!$W$6:$W$505,CA$3,実績!$AI$6:$AI$505,"&lt;="&amp;$A222,実績!$AJ$6:$AJ$505,"&gt;"&amp;$A222,実績!$AL$6:$AL$505,"○")&gt;0,1,0))</f>
        <v>0</v>
      </c>
      <c r="CB222" s="39" t="n">
        <f aca="false">IF(CB$4=0,0,IF(COUNTIFS(実績!$W$6:$W$505,CB$3,実績!$AI$6:$AI$505,"&lt;="&amp;$A222,実績!$AJ$6:$AJ$505,"&gt;"&amp;$A222,実績!$AL$6:$AL$505,"○")&gt;0,1,0))</f>
        <v>0</v>
      </c>
      <c r="CC222" s="39" t="n">
        <f aca="false">IF(CC$4=0,0,IF(COUNTIFS(実績!$W$6:$W$505,CC$3,実績!$AI$6:$AI$505,"&lt;="&amp;$A222,実績!$AJ$6:$AJ$505,"&gt;"&amp;$A222,実績!$AL$6:$AL$505,"○")&gt;0,1,0))</f>
        <v>0</v>
      </c>
      <c r="CD222" s="39" t="n">
        <f aca="false">IF(CD$4=0,0,IF(COUNTIFS(実績!$W$6:$W$505,CD$3,実績!$AI$6:$AI$505,"&lt;="&amp;$A222,実績!$AJ$6:$AJ$505,"&gt;"&amp;$A222,実績!$AL$6:$AL$505,"○")&gt;0,1,0))</f>
        <v>0</v>
      </c>
      <c r="CE222" s="39" t="n">
        <f aca="false">IF(CE$4=0,0,IF(COUNTIFS(実績!$W$6:$W$505,CE$3,実績!$AI$6:$AI$505,"&lt;="&amp;$A222,実績!$AJ$6:$AJ$505,"&gt;"&amp;$A222,実績!$AL$6:$AL$505,"○")&gt;0,1,0))</f>
        <v>0</v>
      </c>
      <c r="CF222" s="39" t="n">
        <f aca="false">IF(CF$4=0,0,IF(COUNTIFS(実績!$W$6:$W$505,CF$3,実績!$AI$6:$AI$505,"&lt;="&amp;$A222,実績!$AJ$6:$AJ$505,"&gt;"&amp;$A222,実績!$AL$6:$AL$505,"○")&gt;0,1,0))</f>
        <v>0</v>
      </c>
      <c r="CG222" s="39" t="n">
        <f aca="false">IF(CG$4=0,0,IF(COUNTIFS(実績!$W$6:$W$505,CG$3,実績!$AI$6:$AI$505,"&lt;="&amp;$A222,実績!$AJ$6:$AJ$505,"&gt;"&amp;$A222,実績!$AL$6:$AL$505,"○")&gt;0,1,0))</f>
        <v>0</v>
      </c>
      <c r="CH222" s="39" t="n">
        <f aca="false">IF(CH$4=0,0,IF(COUNTIFS(実績!$W$6:$W$505,CH$3,実績!$AI$6:$AI$505,"&lt;="&amp;$A222,実績!$AJ$6:$AJ$505,"&gt;"&amp;$A222,実績!$AL$6:$AL$505,"○")&gt;0,1,0))</f>
        <v>0</v>
      </c>
      <c r="CI222" s="39" t="n">
        <f aca="false">IF(CI$4=0,0,IF(COUNTIFS(実績!$W$6:$W$505,CI$3,実績!$AI$6:$AI$505,"&lt;="&amp;$A222,実績!$AJ$6:$AJ$505,"&gt;"&amp;$A222,実績!$AL$6:$AL$505,"○")&gt;0,1,0))</f>
        <v>0</v>
      </c>
      <c r="CJ222" s="39" t="n">
        <f aca="false">IF(CJ$4=0,0,IF(COUNTIFS(実績!$W$6:$W$505,CJ$3,実績!$AI$6:$AI$505,"&lt;="&amp;$A222,実績!$AJ$6:$AJ$505,"&gt;"&amp;$A222,実績!$AL$6:$AL$505,"○")&gt;0,1,0))</f>
        <v>0</v>
      </c>
      <c r="CK222" s="39" t="n">
        <f aca="false">IF(CK$4=0,0,IF(COUNTIFS(実績!$W$6:$W$505,CK$3,実績!$AI$6:$AI$505,"&lt;="&amp;$A222,実績!$AJ$6:$AJ$505,"&gt;"&amp;$A222,実績!$AL$6:$AL$505,"○")&gt;0,1,0))</f>
        <v>0</v>
      </c>
      <c r="CL222" s="39" t="n">
        <f aca="false">IF(CL$4=0,0,IF(COUNTIFS(実績!$W$6:$W$505,CL$3,実績!$AI$6:$AI$505,"&lt;="&amp;$A222,実績!$AJ$6:$AJ$505,"&gt;"&amp;$A222,実績!$AL$6:$AL$505,"○")&gt;0,1,0))</f>
        <v>0</v>
      </c>
      <c r="CM222" s="39" t="n">
        <f aca="false">IF(CM$4=0,0,IF(COUNTIFS(実績!$W$6:$W$505,CM$3,実績!$AI$6:$AI$505,"&lt;="&amp;$A222,実績!$AJ$6:$AJ$505,"&gt;"&amp;$A222,実績!$AL$6:$AL$505,"○")&gt;0,1,0))</f>
        <v>0</v>
      </c>
      <c r="CN222" s="39" t="n">
        <f aca="false">IF(CN$4=0,0,IF(COUNTIFS(実績!$W$6:$W$505,CN$3,実績!$AI$6:$AI$505,"&lt;="&amp;$A222,実績!$AJ$6:$AJ$505,"&gt;"&amp;$A222,実績!$AL$6:$AL$505,"○")&gt;0,1,0))</f>
        <v>0</v>
      </c>
      <c r="CO222" s="39" t="n">
        <f aca="false">IF(CO$4=0,0,IF(COUNTIFS(実績!$W$6:$W$505,CO$3,実績!$AI$6:$AI$505,"&lt;="&amp;$A222,実績!$AJ$6:$AJ$505,"&gt;"&amp;$A222,実績!$AL$6:$AL$505,"○")&gt;0,1,0))</f>
        <v>0</v>
      </c>
      <c r="CP222" s="39" t="n">
        <f aca="false">IF(CP$4=0,0,IF(COUNTIFS(実績!$W$6:$W$505,CP$3,実績!$AI$6:$AI$505,"&lt;="&amp;$A222,実績!$AJ$6:$AJ$505,"&gt;"&amp;$A222,実績!$AL$6:$AL$505,"○")&gt;0,1,0))</f>
        <v>0</v>
      </c>
      <c r="CQ222" s="39" t="n">
        <f aca="false">IF(CQ$4=0,0,IF(COUNTIFS(実績!$W$6:$W$505,CQ$3,実績!$AI$6:$AI$505,"&lt;="&amp;$A222,実績!$AJ$6:$AJ$505,"&gt;"&amp;$A222,実績!$AL$6:$AL$505,"○")&gt;0,1,0))</f>
        <v>0</v>
      </c>
      <c r="CR222" s="39" t="n">
        <f aca="false">IF(CR$4=0,0,IF(COUNTIFS(実績!$W$6:$W$505,CR$3,実績!$AI$6:$AI$505,"&lt;="&amp;$A222,実績!$AJ$6:$AJ$505,"&gt;"&amp;$A222,実績!$AL$6:$AL$505,"○")&gt;0,1,0))</f>
        <v>0</v>
      </c>
      <c r="CS222" s="39" t="n">
        <f aca="false">IF(CS$4=0,0,IF(COUNTIFS(実績!$W$6:$W$505,CS$3,実績!$AI$6:$AI$505,"&lt;="&amp;$A222,実績!$AJ$6:$AJ$505,"&gt;"&amp;$A222,実績!$AL$6:$AL$505,"○")&gt;0,1,0))</f>
        <v>0</v>
      </c>
      <c r="CT222" s="39" t="n">
        <f aca="false">IF(CT$4=0,0,IF(COUNTIFS(実績!$W$6:$W$505,CT$3,実績!$AI$6:$AI$505,"&lt;="&amp;$A222,実績!$AJ$6:$AJ$505,"&gt;"&amp;$A222,実績!$AL$6:$AL$505,"○")&gt;0,1,0))</f>
        <v>0</v>
      </c>
      <c r="CU222" s="39" t="n">
        <f aca="false">IF(CU$4=0,0,IF(COUNTIFS(実績!$W$6:$W$505,CU$3,実績!$AI$6:$AI$505,"&lt;="&amp;$A222,実績!$AJ$6:$AJ$505,"&gt;"&amp;$A222,実績!$AL$6:$AL$505,"○")&gt;0,1,0))</f>
        <v>0</v>
      </c>
      <c r="CV222" s="39" t="n">
        <f aca="false">IF(CV$4=0,0,IF(COUNTIFS(実績!$W$6:$W$505,CV$3,実績!$AI$6:$AI$505,"&lt;="&amp;$A222,実績!$AJ$6:$AJ$505,"&gt;"&amp;$A222,実績!$AL$6:$AL$505,"○")&gt;0,1,0))</f>
        <v>0</v>
      </c>
      <c r="CW222" s="39" t="n">
        <f aca="false">IF(CW$4=0,0,IF(COUNTIFS(実績!$W$6:$W$505,CW$3,実績!$AI$6:$AI$505,"&lt;="&amp;$A222,実績!$AJ$6:$AJ$505,"&gt;"&amp;$A222,実績!$AL$6:$AL$505,"○")&gt;0,1,0))</f>
        <v>0</v>
      </c>
      <c r="CX222" s="39" t="n">
        <f aca="false">IF(CX$4=0,0,IF(COUNTIFS(実績!$W$6:$W$505,CX$3,実績!$AI$6:$AI$505,"&lt;="&amp;$A222,実績!$AJ$6:$AJ$505,"&gt;"&amp;$A222,実績!$AL$6:$AL$505,"○")&gt;0,1,0))</f>
        <v>0</v>
      </c>
      <c r="CY222" s="39" t="n">
        <f aca="false">IF(CY$4=0,0,IF(COUNTIFS(実績!$W$6:$W$505,CY$3,実績!$AI$6:$AI$505,"&lt;="&amp;$A222,実績!$AJ$6:$AJ$505,"&gt;"&amp;$A222,実績!$AL$6:$AL$505,"○")&gt;0,1,0))</f>
        <v>0</v>
      </c>
      <c r="CZ222" s="39" t="n">
        <f aca="false">IF(CZ$4=0,0,IF(COUNTIFS(実績!$W$6:$W$505,CZ$3,実績!$AI$6:$AI$505,"&lt;="&amp;$A222,実績!$AJ$6:$AJ$505,"&gt;"&amp;$A222,実績!$AL$6:$AL$505,"○")&gt;0,1,0))</f>
        <v>0</v>
      </c>
      <c r="DA222" s="39" t="n">
        <f aca="false">IF(DA$4=0,0,IF(COUNTIFS(実績!$W$6:$W$505,DA$3,実績!$AI$6:$AI$505,"&lt;="&amp;$A222,実績!$AJ$6:$AJ$505,"&gt;"&amp;$A222,実績!$AL$6:$AL$505,"○")&gt;0,1,0))</f>
        <v>0</v>
      </c>
      <c r="DB222" s="39" t="n">
        <f aca="false">IF(DB$4=0,0,IF(COUNTIFS(実績!$W$6:$W$505,DB$3,実績!$AI$6:$AI$505,"&lt;="&amp;$A222,実績!$AJ$6:$AJ$505,"&gt;"&amp;$A222,実績!$AL$6:$AL$505,"○")&gt;0,1,0))</f>
        <v>0</v>
      </c>
      <c r="DC222" s="39" t="n">
        <f aca="false">IF(DC$4=0,0,IF(COUNTIFS(実績!$W$6:$W$505,DC$3,実績!$AI$6:$AI$505,"&lt;="&amp;$A222,実績!$AJ$6:$AJ$505,"&gt;"&amp;$A222,実績!$AL$6:$AL$505,"○")&gt;0,1,0))</f>
        <v>0</v>
      </c>
      <c r="DD222" s="39" t="n">
        <f aca="false">IF(DD$4=0,0,IF(COUNTIFS(実績!$W$6:$W$505,DD$3,実績!$AI$6:$AI$505,"&lt;="&amp;$A222,実績!$AJ$6:$AJ$505,"&gt;"&amp;$A222,実績!$AL$6:$AL$505,"○")&gt;0,1,0))</f>
        <v>0</v>
      </c>
      <c r="DE222" s="39" t="n">
        <f aca="false">IF(DE$4=0,0,IF(COUNTIFS(実績!$W$6:$W$505,DE$3,実績!$AI$6:$AI$505,"&lt;="&amp;$A222,実績!$AJ$6:$AJ$505,"&gt;"&amp;$A222,実績!$AL$6:$AL$505,"○")&gt;0,1,0))</f>
        <v>0</v>
      </c>
      <c r="DF222" s="39" t="n">
        <f aca="false">IF(DF$4=0,0,IF(COUNTIFS(実績!$W$6:$W$505,DF$3,実績!$AI$6:$AI$505,"&lt;="&amp;$A222,実績!$AJ$6:$AJ$505,"&gt;"&amp;$A222,実績!$AL$6:$AL$505,"○")&gt;0,1,0))</f>
        <v>0</v>
      </c>
      <c r="DG222" s="39" t="n">
        <f aca="false">IF(DG$4=0,0,IF(COUNTIFS(実績!$W$6:$W$505,DG$3,実績!$AI$6:$AI$505,"&lt;="&amp;$A222,実績!$AJ$6:$AJ$505,"&gt;"&amp;$A222,実績!$AL$6:$AL$505,"○")&gt;0,1,0))</f>
        <v>0</v>
      </c>
      <c r="DH222" s="39" t="n">
        <f aca="false">IF(DH$4=0,0,IF(COUNTIFS(実績!$W$6:$W$505,DH$3,実績!$AI$6:$AI$505,"&lt;="&amp;$A222,実績!$AJ$6:$AJ$505,"&gt;"&amp;$A222,実績!$AL$6:$AL$505,"○")&gt;0,1,0))</f>
        <v>0</v>
      </c>
      <c r="DI222" s="39" t="n">
        <f aca="false">IF(DI$4=0,0,IF(COUNTIFS(実績!$W$6:$W$505,DI$3,実績!$AI$6:$AI$505,"&lt;="&amp;$A222,実績!$AJ$6:$AJ$505,"&gt;"&amp;$A222,実績!$AL$6:$AL$505,"○")&gt;0,1,0))</f>
        <v>0</v>
      </c>
      <c r="DJ222" s="39" t="n">
        <f aca="false">IF(DJ$4=0,0,IF(COUNTIFS(実績!$W$6:$W$505,DJ$3,実績!$AI$6:$AI$505,"&lt;="&amp;$A222,実績!$AJ$6:$AJ$505,"&gt;"&amp;$A222,実績!$AL$6:$AL$505,"○")&gt;0,1,0))</f>
        <v>0</v>
      </c>
      <c r="DK222" s="39" t="n">
        <f aca="false">IF(DK$4=0,0,IF(COUNTIFS(実績!$W$6:$W$505,DK$3,実績!$AI$6:$AI$505,"&lt;="&amp;$A222,実績!$AJ$6:$AJ$505,"&gt;"&amp;$A222,実績!$AL$6:$AL$505,"○")&gt;0,1,0))</f>
        <v>0</v>
      </c>
      <c r="DL222" s="39" t="n">
        <f aca="false">IF(DL$4=0,0,IF(COUNTIFS(実績!$W$6:$W$505,DL$3,実績!$AI$6:$AI$505,"&lt;="&amp;$A222,実績!$AJ$6:$AJ$505,"&gt;"&amp;$A222,実績!$AL$6:$AL$505,"○")&gt;0,1,0))</f>
        <v>0</v>
      </c>
      <c r="DM222" s="39" t="n">
        <f aca="false">IF(DM$4=0,0,IF(COUNTIFS(実績!$W$6:$W$505,DM$3,実績!$AI$6:$AI$505,"&lt;="&amp;$A222,実績!$AJ$6:$AJ$505,"&gt;"&amp;$A222,実績!$AL$6:$AL$505,"○")&gt;0,1,0))</f>
        <v>0</v>
      </c>
      <c r="DN222" s="39" t="n">
        <f aca="false">IF(DN$4=0,0,IF(COUNTIFS(実績!$W$6:$W$505,DN$3,実績!$AI$6:$AI$505,"&lt;="&amp;$A222,実績!$AJ$6:$AJ$505,"&gt;"&amp;$A222,実績!$AL$6:$AL$505,"○")&gt;0,1,0))</f>
        <v>0</v>
      </c>
      <c r="DO222" s="39" t="n">
        <f aca="false">IF(DO$4=0,0,IF(COUNTIFS(実績!$W$6:$W$505,DO$3,実績!$AI$6:$AI$505,"&lt;="&amp;$A222,実績!$AJ$6:$AJ$505,"&gt;"&amp;$A222,実績!$AL$6:$AL$505,"○")&gt;0,1,0))</f>
        <v>0</v>
      </c>
      <c r="DP222" s="39" t="n">
        <f aca="false">IF(DP$4=0,0,IF(COUNTIFS(実績!$W$6:$W$505,DP$3,実績!$AI$6:$AI$505,"&lt;="&amp;$A222,実績!$AJ$6:$AJ$505,"&gt;"&amp;$A222,実績!$AL$6:$AL$505,"○")&gt;0,1,0))</f>
        <v>0</v>
      </c>
      <c r="DQ222" s="39" t="n">
        <f aca="false">IF(DQ$4=0,0,IF(COUNTIFS(実績!$W$6:$W$505,DQ$3,実績!$AI$6:$AI$505,"&lt;="&amp;$A222,実績!$AJ$6:$AJ$505,"&gt;"&amp;$A222,実績!$AL$6:$AL$505,"○")&gt;0,1,0))</f>
        <v>0</v>
      </c>
      <c r="DR222" s="39" t="n">
        <f aca="false">IF(DR$4=0,0,IF(COUNTIFS(実績!$W$6:$W$505,DR$3,実績!$AI$6:$AI$505,"&lt;="&amp;$A222,実績!$AJ$6:$AJ$505,"&gt;"&amp;$A222,実績!$AL$6:$AL$505,"○")&gt;0,1,0))</f>
        <v>0</v>
      </c>
      <c r="DS222" s="39" t="n">
        <f aca="false">SUM(C222:DR222)</f>
        <v>0</v>
      </c>
    </row>
    <row r="223" customFormat="false" ht="15" hidden="false" customHeight="false" outlineLevel="0" collapsed="false">
      <c r="A223" s="0" t="n">
        <v>1085</v>
      </c>
      <c r="B223" s="38" t="n">
        <f aca="false">A223/1440</f>
        <v>0.753472222222222</v>
      </c>
      <c r="C223" s="39" t="n">
        <f aca="false">IF(C$4=0,0,IF(COUNTIFS(実績!$W$6:$W$505,C$3,実績!$AI$6:$AI$505,"&lt;="&amp;$A223,実績!$AJ$6:$AJ$505,"&gt;"&amp;$A223,実績!$AL$6:$AL$505,"○")&gt;0,1,0))</f>
        <v>0</v>
      </c>
      <c r="D223" s="39" t="n">
        <f aca="false">IF(D$4=0,0,IF(COUNTIFS(実績!$W$6:$W$505,D$3,実績!$AI$6:$AI$505,"&lt;="&amp;$A223,実績!$AJ$6:$AJ$505,"&gt;"&amp;$A223,実績!$AL$6:$AL$505,"○")&gt;0,1,0))</f>
        <v>0</v>
      </c>
      <c r="E223" s="39" t="n">
        <f aca="false">IF(E$4=0,0,IF(COUNTIFS(実績!$W$6:$W$505,E$3,実績!$AI$6:$AI$505,"&lt;="&amp;$A223,実績!$AJ$6:$AJ$505,"&gt;"&amp;$A223,実績!$AL$6:$AL$505,"○")&gt;0,1,0))</f>
        <v>0</v>
      </c>
      <c r="F223" s="39" t="n">
        <f aca="false">IF(F$4=0,0,IF(COUNTIFS(実績!$W$6:$W$505,F$3,実績!$AI$6:$AI$505,"&lt;="&amp;$A223,実績!$AJ$6:$AJ$505,"&gt;"&amp;$A223,実績!$AL$6:$AL$505,"○")&gt;0,1,0))</f>
        <v>0</v>
      </c>
      <c r="G223" s="39" t="n">
        <f aca="false">IF(G$4=0,0,IF(COUNTIFS(実績!$W$6:$W$505,G$3,実績!$AI$6:$AI$505,"&lt;="&amp;$A223,実績!$AJ$6:$AJ$505,"&gt;"&amp;$A223,実績!$AL$6:$AL$505,"○")&gt;0,1,0))</f>
        <v>0</v>
      </c>
      <c r="H223" s="39" t="n">
        <f aca="false">IF(H$4=0,0,IF(COUNTIFS(実績!$W$6:$W$505,H$3,実績!$AI$6:$AI$505,"&lt;="&amp;$A223,実績!$AJ$6:$AJ$505,"&gt;"&amp;$A223,実績!$AL$6:$AL$505,"○")&gt;0,1,0))</f>
        <v>0</v>
      </c>
      <c r="I223" s="39" t="n">
        <f aca="false">IF(I$4=0,0,IF(COUNTIFS(実績!$W$6:$W$505,I$3,実績!$AI$6:$AI$505,"&lt;="&amp;$A223,実績!$AJ$6:$AJ$505,"&gt;"&amp;$A223,実績!$AL$6:$AL$505,"○")&gt;0,1,0))</f>
        <v>0</v>
      </c>
      <c r="J223" s="39" t="n">
        <f aca="false">IF(J$4=0,0,IF(COUNTIFS(実績!$W$6:$W$505,J$3,実績!$AI$6:$AI$505,"&lt;="&amp;$A223,実績!$AJ$6:$AJ$505,"&gt;"&amp;$A223,実績!$AL$6:$AL$505,"○")&gt;0,1,0))</f>
        <v>0</v>
      </c>
      <c r="K223" s="39" t="n">
        <f aca="false">IF(K$4=0,0,IF(COUNTIFS(実績!$W$6:$W$505,K$3,実績!$AI$6:$AI$505,"&lt;="&amp;$A223,実績!$AJ$6:$AJ$505,"&gt;"&amp;$A223,実績!$AL$6:$AL$505,"○")&gt;0,1,0))</f>
        <v>0</v>
      </c>
      <c r="L223" s="39" t="n">
        <f aca="false">IF(L$4=0,0,IF(COUNTIFS(実績!$W$6:$W$505,L$3,実績!$AI$6:$AI$505,"&lt;="&amp;$A223,実績!$AJ$6:$AJ$505,"&gt;"&amp;$A223,実績!$AL$6:$AL$505,"○")&gt;0,1,0))</f>
        <v>0</v>
      </c>
      <c r="M223" s="39" t="n">
        <f aca="false">IF(M$4=0,0,IF(COUNTIFS(実績!$W$6:$W$505,M$3,実績!$AI$6:$AI$505,"&lt;="&amp;$A223,実績!$AJ$6:$AJ$505,"&gt;"&amp;$A223,実績!$AL$6:$AL$505,"○")&gt;0,1,0))</f>
        <v>0</v>
      </c>
      <c r="N223" s="39" t="n">
        <f aca="false">IF(N$4=0,0,IF(COUNTIFS(実績!$W$6:$W$505,N$3,実績!$AI$6:$AI$505,"&lt;="&amp;$A223,実績!$AJ$6:$AJ$505,"&gt;"&amp;$A223,実績!$AL$6:$AL$505,"○")&gt;0,1,0))</f>
        <v>0</v>
      </c>
      <c r="O223" s="39" t="n">
        <f aca="false">IF(O$4=0,0,IF(COUNTIFS(実績!$W$6:$W$505,O$3,実績!$AI$6:$AI$505,"&lt;="&amp;$A223,実績!$AJ$6:$AJ$505,"&gt;"&amp;$A223,実績!$AL$6:$AL$505,"○")&gt;0,1,0))</f>
        <v>0</v>
      </c>
      <c r="P223" s="39" t="n">
        <f aca="false">IF(P$4=0,0,IF(COUNTIFS(実績!$W$6:$W$505,P$3,実績!$AI$6:$AI$505,"&lt;="&amp;$A223,実績!$AJ$6:$AJ$505,"&gt;"&amp;$A223,実績!$AL$6:$AL$505,"○")&gt;0,1,0))</f>
        <v>0</v>
      </c>
      <c r="Q223" s="39" t="n">
        <f aca="false">IF(Q$4=0,0,IF(COUNTIFS(実績!$W$6:$W$505,Q$3,実績!$AI$6:$AI$505,"&lt;="&amp;$A223,実績!$AJ$6:$AJ$505,"&gt;"&amp;$A223,実績!$AL$6:$AL$505,"○")&gt;0,1,0))</f>
        <v>0</v>
      </c>
      <c r="R223" s="39" t="n">
        <f aca="false">IF(R$4=0,0,IF(COUNTIFS(実績!$W$6:$W$505,R$3,実績!$AI$6:$AI$505,"&lt;="&amp;$A223,実績!$AJ$6:$AJ$505,"&gt;"&amp;$A223,実績!$AL$6:$AL$505,"○")&gt;0,1,0))</f>
        <v>0</v>
      </c>
      <c r="S223" s="39" t="n">
        <f aca="false">IF(S$4=0,0,IF(COUNTIFS(実績!$W$6:$W$505,S$3,実績!$AI$6:$AI$505,"&lt;="&amp;$A223,実績!$AJ$6:$AJ$505,"&gt;"&amp;$A223,実績!$AL$6:$AL$505,"○")&gt;0,1,0))</f>
        <v>0</v>
      </c>
      <c r="T223" s="39" t="n">
        <f aca="false">IF(T$4=0,0,IF(COUNTIFS(実績!$W$6:$W$505,T$3,実績!$AI$6:$AI$505,"&lt;="&amp;$A223,実績!$AJ$6:$AJ$505,"&gt;"&amp;$A223,実績!$AL$6:$AL$505,"○")&gt;0,1,0))</f>
        <v>0</v>
      </c>
      <c r="U223" s="39" t="n">
        <f aca="false">IF(U$4=0,0,IF(COUNTIFS(実績!$W$6:$W$505,U$3,実績!$AI$6:$AI$505,"&lt;="&amp;$A223,実績!$AJ$6:$AJ$505,"&gt;"&amp;$A223,実績!$AL$6:$AL$505,"○")&gt;0,1,0))</f>
        <v>0</v>
      </c>
      <c r="V223" s="39" t="n">
        <f aca="false">IF(V$4=0,0,IF(COUNTIFS(実績!$W$6:$W$505,V$3,実績!$AI$6:$AI$505,"&lt;="&amp;$A223,実績!$AJ$6:$AJ$505,"&gt;"&amp;$A223,実績!$AL$6:$AL$505,"○")&gt;0,1,0))</f>
        <v>0</v>
      </c>
      <c r="W223" s="39" t="n">
        <f aca="false">IF(W$4=0,0,IF(COUNTIFS(実績!$W$6:$W$505,W$3,実績!$AI$6:$AI$505,"&lt;="&amp;$A223,実績!$AJ$6:$AJ$505,"&gt;"&amp;$A223,実績!$AL$6:$AL$505,"○")&gt;0,1,0))</f>
        <v>0</v>
      </c>
      <c r="X223" s="39" t="n">
        <f aca="false">IF(X$4=0,0,IF(COUNTIFS(実績!$W$6:$W$505,X$3,実績!$AI$6:$AI$505,"&lt;="&amp;$A223,実績!$AJ$6:$AJ$505,"&gt;"&amp;$A223,実績!$AL$6:$AL$505,"○")&gt;0,1,0))</f>
        <v>0</v>
      </c>
      <c r="Y223" s="39" t="n">
        <f aca="false">IF(Y$4=0,0,IF(COUNTIFS(実績!$W$6:$W$505,Y$3,実績!$AI$6:$AI$505,"&lt;="&amp;$A223,実績!$AJ$6:$AJ$505,"&gt;"&amp;$A223,実績!$AL$6:$AL$505,"○")&gt;0,1,0))</f>
        <v>0</v>
      </c>
      <c r="Z223" s="39" t="n">
        <f aca="false">IF(Z$4=0,0,IF(COUNTIFS(実績!$W$6:$W$505,Z$3,実績!$AI$6:$AI$505,"&lt;="&amp;$A223,実績!$AJ$6:$AJ$505,"&gt;"&amp;$A223,実績!$AL$6:$AL$505,"○")&gt;0,1,0))</f>
        <v>0</v>
      </c>
      <c r="AA223" s="39" t="n">
        <f aca="false">IF(AA$4=0,0,IF(COUNTIFS(実績!$W$6:$W$505,AA$3,実績!$AI$6:$AI$505,"&lt;="&amp;$A223,実績!$AJ$6:$AJ$505,"&gt;"&amp;$A223,実績!$AL$6:$AL$505,"○")&gt;0,1,0))</f>
        <v>0</v>
      </c>
      <c r="AB223" s="39" t="n">
        <f aca="false">IF(AB$4=0,0,IF(COUNTIFS(実績!$W$6:$W$505,AB$3,実績!$AI$6:$AI$505,"&lt;="&amp;$A223,実績!$AJ$6:$AJ$505,"&gt;"&amp;$A223,実績!$AL$6:$AL$505,"○")&gt;0,1,0))</f>
        <v>0</v>
      </c>
      <c r="AC223" s="39" t="n">
        <f aca="false">IF(AC$4=0,0,IF(COUNTIFS(実績!$W$6:$W$505,AC$3,実績!$AI$6:$AI$505,"&lt;="&amp;$A223,実績!$AJ$6:$AJ$505,"&gt;"&amp;$A223,実績!$AL$6:$AL$505,"○")&gt;0,1,0))</f>
        <v>0</v>
      </c>
      <c r="AD223" s="39" t="n">
        <f aca="false">IF(AD$4=0,0,IF(COUNTIFS(実績!$W$6:$W$505,AD$3,実績!$AI$6:$AI$505,"&lt;="&amp;$A223,実績!$AJ$6:$AJ$505,"&gt;"&amp;$A223,実績!$AL$6:$AL$505,"○")&gt;0,1,0))</f>
        <v>0</v>
      </c>
      <c r="AE223" s="39" t="n">
        <f aca="false">IF(AE$4=0,0,IF(COUNTIFS(実績!$W$6:$W$505,AE$3,実績!$AI$6:$AI$505,"&lt;="&amp;$A223,実績!$AJ$6:$AJ$505,"&gt;"&amp;$A223,実績!$AL$6:$AL$505,"○")&gt;0,1,0))</f>
        <v>0</v>
      </c>
      <c r="AF223" s="39" t="n">
        <f aca="false">IF(AF$4=0,0,IF(COUNTIFS(実績!$W$6:$W$505,AF$3,実績!$AI$6:$AI$505,"&lt;="&amp;$A223,実績!$AJ$6:$AJ$505,"&gt;"&amp;$A223,実績!$AL$6:$AL$505,"○")&gt;0,1,0))</f>
        <v>0</v>
      </c>
      <c r="AG223" s="39" t="n">
        <f aca="false">IF(AG$4=0,0,IF(COUNTIFS(実績!$W$6:$W$505,AG$3,実績!$AI$6:$AI$505,"&lt;="&amp;$A223,実績!$AJ$6:$AJ$505,"&gt;"&amp;$A223,実績!$AL$6:$AL$505,"○")&gt;0,1,0))</f>
        <v>0</v>
      </c>
      <c r="AH223" s="39" t="n">
        <f aca="false">IF(AH$4=0,0,IF(COUNTIFS(実績!$W$6:$W$505,AH$3,実績!$AI$6:$AI$505,"&lt;="&amp;$A223,実績!$AJ$6:$AJ$505,"&gt;"&amp;$A223,実績!$AL$6:$AL$505,"○")&gt;0,1,0))</f>
        <v>0</v>
      </c>
      <c r="AI223" s="39" t="n">
        <f aca="false">IF(AI$4=0,0,IF(COUNTIFS(実績!$W$6:$W$505,AI$3,実績!$AI$6:$AI$505,"&lt;="&amp;$A223,実績!$AJ$6:$AJ$505,"&gt;"&amp;$A223,実績!$AL$6:$AL$505,"○")&gt;0,1,0))</f>
        <v>0</v>
      </c>
      <c r="AJ223" s="39" t="n">
        <f aca="false">IF(AJ$4=0,0,IF(COUNTIFS(実績!$W$6:$W$505,AJ$3,実績!$AI$6:$AI$505,"&lt;="&amp;$A223,実績!$AJ$6:$AJ$505,"&gt;"&amp;$A223,実績!$AL$6:$AL$505,"○")&gt;0,1,0))</f>
        <v>0</v>
      </c>
      <c r="AK223" s="39" t="n">
        <f aca="false">IF(AK$4=0,0,IF(COUNTIFS(実績!$W$6:$W$505,AK$3,実績!$AI$6:$AI$505,"&lt;="&amp;$A223,実績!$AJ$6:$AJ$505,"&gt;"&amp;$A223,実績!$AL$6:$AL$505,"○")&gt;0,1,0))</f>
        <v>0</v>
      </c>
      <c r="AL223" s="39" t="n">
        <f aca="false">IF(AL$4=0,0,IF(COUNTIFS(実績!$W$6:$W$505,AL$3,実績!$AI$6:$AI$505,"&lt;="&amp;$A223,実績!$AJ$6:$AJ$505,"&gt;"&amp;$A223,実績!$AL$6:$AL$505,"○")&gt;0,1,0))</f>
        <v>0</v>
      </c>
      <c r="AM223" s="39" t="n">
        <f aca="false">IF(AM$4=0,0,IF(COUNTIFS(実績!$W$6:$W$505,AM$3,実績!$AI$6:$AI$505,"&lt;="&amp;$A223,実績!$AJ$6:$AJ$505,"&gt;"&amp;$A223,実績!$AL$6:$AL$505,"○")&gt;0,1,0))</f>
        <v>0</v>
      </c>
      <c r="AN223" s="39" t="n">
        <f aca="false">IF(AN$4=0,0,IF(COUNTIFS(実績!$W$6:$W$505,AN$3,実績!$AI$6:$AI$505,"&lt;="&amp;$A223,実績!$AJ$6:$AJ$505,"&gt;"&amp;$A223,実績!$AL$6:$AL$505,"○")&gt;0,1,0))</f>
        <v>0</v>
      </c>
      <c r="AO223" s="39" t="n">
        <f aca="false">IF(AO$4=0,0,IF(COUNTIFS(実績!$W$6:$W$505,AO$3,実績!$AI$6:$AI$505,"&lt;="&amp;$A223,実績!$AJ$6:$AJ$505,"&gt;"&amp;$A223,実績!$AL$6:$AL$505,"○")&gt;0,1,0))</f>
        <v>0</v>
      </c>
      <c r="AP223" s="39" t="n">
        <f aca="false">IF(AP$4=0,0,IF(COUNTIFS(実績!$W$6:$W$505,AP$3,実績!$AI$6:$AI$505,"&lt;="&amp;$A223,実績!$AJ$6:$AJ$505,"&gt;"&amp;$A223,実績!$AL$6:$AL$505,"○")&gt;0,1,0))</f>
        <v>0</v>
      </c>
      <c r="AQ223" s="39" t="n">
        <f aca="false">IF(AQ$4=0,0,IF(COUNTIFS(実績!$W$6:$W$505,AQ$3,実績!$AI$6:$AI$505,"&lt;="&amp;$A223,実績!$AJ$6:$AJ$505,"&gt;"&amp;$A223,実績!$AL$6:$AL$505,"○")&gt;0,1,0))</f>
        <v>0</v>
      </c>
      <c r="AR223" s="39" t="n">
        <f aca="false">IF(AR$4=0,0,IF(COUNTIFS(実績!$W$6:$W$505,AR$3,実績!$AI$6:$AI$505,"&lt;="&amp;$A223,実績!$AJ$6:$AJ$505,"&gt;"&amp;$A223,実績!$AL$6:$AL$505,"○")&gt;0,1,0))</f>
        <v>0</v>
      </c>
      <c r="AS223" s="39" t="n">
        <f aca="false">IF(AS$4=0,0,IF(COUNTIFS(実績!$W$6:$W$505,AS$3,実績!$AI$6:$AI$505,"&lt;="&amp;$A223,実績!$AJ$6:$AJ$505,"&gt;"&amp;$A223,実績!$AL$6:$AL$505,"○")&gt;0,1,0))</f>
        <v>0</v>
      </c>
      <c r="AT223" s="39" t="n">
        <f aca="false">IF(AT$4=0,0,IF(COUNTIFS(実績!$W$6:$W$505,AT$3,実績!$AI$6:$AI$505,"&lt;="&amp;$A223,実績!$AJ$6:$AJ$505,"&gt;"&amp;$A223,実績!$AL$6:$AL$505,"○")&gt;0,1,0))</f>
        <v>0</v>
      </c>
      <c r="AU223" s="39" t="n">
        <f aca="false">IF(AU$4=0,0,IF(COUNTIFS(実績!$W$6:$W$505,AU$3,実績!$AI$6:$AI$505,"&lt;="&amp;$A223,実績!$AJ$6:$AJ$505,"&gt;"&amp;$A223,実績!$AL$6:$AL$505,"○")&gt;0,1,0))</f>
        <v>0</v>
      </c>
      <c r="AV223" s="39" t="n">
        <f aca="false">IF(AV$4=0,0,IF(COUNTIFS(実績!$W$6:$W$505,AV$3,実績!$AI$6:$AI$505,"&lt;="&amp;$A223,実績!$AJ$6:$AJ$505,"&gt;"&amp;$A223,実績!$AL$6:$AL$505,"○")&gt;0,1,0))</f>
        <v>0</v>
      </c>
      <c r="AW223" s="39" t="n">
        <f aca="false">IF(AW$4=0,0,IF(COUNTIFS(実績!$W$6:$W$505,AW$3,実績!$AI$6:$AI$505,"&lt;="&amp;$A223,実績!$AJ$6:$AJ$505,"&gt;"&amp;$A223,実績!$AL$6:$AL$505,"○")&gt;0,1,0))</f>
        <v>0</v>
      </c>
      <c r="AX223" s="39" t="n">
        <f aca="false">IF(AX$4=0,0,IF(COUNTIFS(実績!$W$6:$W$505,AX$3,実績!$AI$6:$AI$505,"&lt;="&amp;$A223,実績!$AJ$6:$AJ$505,"&gt;"&amp;$A223,実績!$AL$6:$AL$505,"○")&gt;0,1,0))</f>
        <v>0</v>
      </c>
      <c r="AY223" s="39" t="n">
        <f aca="false">IF(AY$4=0,0,IF(COUNTIFS(実績!$W$6:$W$505,AY$3,実績!$AI$6:$AI$505,"&lt;="&amp;$A223,実績!$AJ$6:$AJ$505,"&gt;"&amp;$A223,実績!$AL$6:$AL$505,"○")&gt;0,1,0))</f>
        <v>0</v>
      </c>
      <c r="AZ223" s="39" t="n">
        <f aca="false">IF(AZ$4=0,0,IF(COUNTIFS(実績!$W$6:$W$505,AZ$3,実績!$AI$6:$AI$505,"&lt;="&amp;$A223,実績!$AJ$6:$AJ$505,"&gt;"&amp;$A223,実績!$AL$6:$AL$505,"○")&gt;0,1,0))</f>
        <v>0</v>
      </c>
      <c r="BA223" s="39" t="n">
        <f aca="false">IF(BA$4=0,0,IF(COUNTIFS(実績!$W$6:$W$505,BA$3,実績!$AI$6:$AI$505,"&lt;="&amp;$A223,実績!$AJ$6:$AJ$505,"&gt;"&amp;$A223,実績!$AL$6:$AL$505,"○")&gt;0,1,0))</f>
        <v>0</v>
      </c>
      <c r="BB223" s="39" t="n">
        <f aca="false">IF(BB$4=0,0,IF(COUNTIFS(実績!$W$6:$W$505,BB$3,実績!$AI$6:$AI$505,"&lt;="&amp;$A223,実績!$AJ$6:$AJ$505,"&gt;"&amp;$A223,実績!$AL$6:$AL$505,"○")&gt;0,1,0))</f>
        <v>0</v>
      </c>
      <c r="BC223" s="39" t="n">
        <f aca="false">IF(BC$4=0,0,IF(COUNTIFS(実績!$W$6:$W$505,BC$3,実績!$AI$6:$AI$505,"&lt;="&amp;$A223,実績!$AJ$6:$AJ$505,"&gt;"&amp;$A223,実績!$AL$6:$AL$505,"○")&gt;0,1,0))</f>
        <v>0</v>
      </c>
      <c r="BD223" s="39" t="n">
        <f aca="false">IF(BD$4=0,0,IF(COUNTIFS(実績!$W$6:$W$505,BD$3,実績!$AI$6:$AI$505,"&lt;="&amp;$A223,実績!$AJ$6:$AJ$505,"&gt;"&amp;$A223,実績!$AL$6:$AL$505,"○")&gt;0,1,0))</f>
        <v>0</v>
      </c>
      <c r="BE223" s="39" t="n">
        <f aca="false">IF(BE$4=0,0,IF(COUNTIFS(実績!$W$6:$W$505,BE$3,実績!$AI$6:$AI$505,"&lt;="&amp;$A223,実績!$AJ$6:$AJ$505,"&gt;"&amp;$A223,実績!$AL$6:$AL$505,"○")&gt;0,1,0))</f>
        <v>0</v>
      </c>
      <c r="BF223" s="39" t="n">
        <f aca="false">IF(BF$4=0,0,IF(COUNTIFS(実績!$W$6:$W$505,BF$3,実績!$AI$6:$AI$505,"&lt;="&amp;$A223,実績!$AJ$6:$AJ$505,"&gt;"&amp;$A223,実績!$AL$6:$AL$505,"○")&gt;0,1,0))</f>
        <v>0</v>
      </c>
      <c r="BG223" s="39" t="n">
        <f aca="false">IF(BG$4=0,0,IF(COUNTIFS(実績!$W$6:$W$505,BG$3,実績!$AI$6:$AI$505,"&lt;="&amp;$A223,実績!$AJ$6:$AJ$505,"&gt;"&amp;$A223,実績!$AL$6:$AL$505,"○")&gt;0,1,0))</f>
        <v>0</v>
      </c>
      <c r="BH223" s="39" t="n">
        <f aca="false">IF(BH$4=0,0,IF(COUNTIFS(実績!$W$6:$W$505,BH$3,実績!$AI$6:$AI$505,"&lt;="&amp;$A223,実績!$AJ$6:$AJ$505,"&gt;"&amp;$A223,実績!$AL$6:$AL$505,"○")&gt;0,1,0))</f>
        <v>0</v>
      </c>
      <c r="BI223" s="39" t="n">
        <f aca="false">IF(BI$4=0,0,IF(COUNTIFS(実績!$W$6:$W$505,BI$3,実績!$AI$6:$AI$505,"&lt;="&amp;$A223,実績!$AJ$6:$AJ$505,"&gt;"&amp;$A223,実績!$AL$6:$AL$505,"○")&gt;0,1,0))</f>
        <v>0</v>
      </c>
      <c r="BJ223" s="39" t="n">
        <f aca="false">IF(BJ$4=0,0,IF(COUNTIFS(実績!$W$6:$W$505,BJ$3,実績!$AI$6:$AI$505,"&lt;="&amp;$A223,実績!$AJ$6:$AJ$505,"&gt;"&amp;$A223,実績!$AL$6:$AL$505,"○")&gt;0,1,0))</f>
        <v>0</v>
      </c>
      <c r="BK223" s="39" t="n">
        <f aca="false">IF(BK$4=0,0,IF(COUNTIFS(実績!$W$6:$W$505,BK$3,実績!$AI$6:$AI$505,"&lt;="&amp;$A223,実績!$AJ$6:$AJ$505,"&gt;"&amp;$A223,実績!$AL$6:$AL$505,"○")&gt;0,1,0))</f>
        <v>0</v>
      </c>
      <c r="BL223" s="39" t="n">
        <f aca="false">IF(BL$4=0,0,IF(COUNTIFS(実績!$W$6:$W$505,BL$3,実績!$AI$6:$AI$505,"&lt;="&amp;$A223,実績!$AJ$6:$AJ$505,"&gt;"&amp;$A223,実績!$AL$6:$AL$505,"○")&gt;0,1,0))</f>
        <v>0</v>
      </c>
      <c r="BM223" s="39" t="n">
        <f aca="false">IF(BM$4=0,0,IF(COUNTIFS(実績!$W$6:$W$505,BM$3,実績!$AI$6:$AI$505,"&lt;="&amp;$A223,実績!$AJ$6:$AJ$505,"&gt;"&amp;$A223,実績!$AL$6:$AL$505,"○")&gt;0,1,0))</f>
        <v>0</v>
      </c>
      <c r="BN223" s="39" t="n">
        <f aca="false">IF(BN$4=0,0,IF(COUNTIFS(実績!$W$6:$W$505,BN$3,実績!$AI$6:$AI$505,"&lt;="&amp;$A223,実績!$AJ$6:$AJ$505,"&gt;"&amp;$A223,実績!$AL$6:$AL$505,"○")&gt;0,1,0))</f>
        <v>0</v>
      </c>
      <c r="BO223" s="39" t="n">
        <f aca="false">IF(BO$4=0,0,IF(COUNTIFS(実績!$W$6:$W$505,BO$3,実績!$AI$6:$AI$505,"&lt;="&amp;$A223,実績!$AJ$6:$AJ$505,"&gt;"&amp;$A223,実績!$AL$6:$AL$505,"○")&gt;0,1,0))</f>
        <v>0</v>
      </c>
      <c r="BP223" s="39" t="n">
        <f aca="false">IF(BP$4=0,0,IF(COUNTIFS(実績!$W$6:$W$505,BP$3,実績!$AI$6:$AI$505,"&lt;="&amp;$A223,実績!$AJ$6:$AJ$505,"&gt;"&amp;$A223,実績!$AL$6:$AL$505,"○")&gt;0,1,0))</f>
        <v>0</v>
      </c>
      <c r="BQ223" s="39" t="n">
        <f aca="false">IF(BQ$4=0,0,IF(COUNTIFS(実績!$W$6:$W$505,BQ$3,実績!$AI$6:$AI$505,"&lt;="&amp;$A223,実績!$AJ$6:$AJ$505,"&gt;"&amp;$A223,実績!$AL$6:$AL$505,"○")&gt;0,1,0))</f>
        <v>0</v>
      </c>
      <c r="BR223" s="39" t="n">
        <f aca="false">IF(BR$4=0,0,IF(COUNTIFS(実績!$W$6:$W$505,BR$3,実績!$AI$6:$AI$505,"&lt;="&amp;$A223,実績!$AJ$6:$AJ$505,"&gt;"&amp;$A223,実績!$AL$6:$AL$505,"○")&gt;0,1,0))</f>
        <v>0</v>
      </c>
      <c r="BS223" s="39" t="n">
        <f aca="false">IF(BS$4=0,0,IF(COUNTIFS(実績!$W$6:$W$505,BS$3,実績!$AI$6:$AI$505,"&lt;="&amp;$A223,実績!$AJ$6:$AJ$505,"&gt;"&amp;$A223,実績!$AL$6:$AL$505,"○")&gt;0,1,0))</f>
        <v>0</v>
      </c>
      <c r="BT223" s="39" t="n">
        <f aca="false">IF(BT$4=0,0,IF(COUNTIFS(実績!$W$6:$W$505,BT$3,実績!$AI$6:$AI$505,"&lt;="&amp;$A223,実績!$AJ$6:$AJ$505,"&gt;"&amp;$A223,実績!$AL$6:$AL$505,"○")&gt;0,1,0))</f>
        <v>0</v>
      </c>
      <c r="BU223" s="39" t="n">
        <f aca="false">IF(BU$4=0,0,IF(COUNTIFS(実績!$W$6:$W$505,BU$3,実績!$AI$6:$AI$505,"&lt;="&amp;$A223,実績!$AJ$6:$AJ$505,"&gt;"&amp;$A223,実績!$AL$6:$AL$505,"○")&gt;0,1,0))</f>
        <v>0</v>
      </c>
      <c r="BV223" s="39" t="n">
        <f aca="false">IF(BV$4=0,0,IF(COUNTIFS(実績!$W$6:$W$505,BV$3,実績!$AI$6:$AI$505,"&lt;="&amp;$A223,実績!$AJ$6:$AJ$505,"&gt;"&amp;$A223,実績!$AL$6:$AL$505,"○")&gt;0,1,0))</f>
        <v>0</v>
      </c>
      <c r="BW223" s="39" t="n">
        <f aca="false">IF(BW$4=0,0,IF(COUNTIFS(実績!$W$6:$W$505,BW$3,実績!$AI$6:$AI$505,"&lt;="&amp;$A223,実績!$AJ$6:$AJ$505,"&gt;"&amp;$A223,実績!$AL$6:$AL$505,"○")&gt;0,1,0))</f>
        <v>0</v>
      </c>
      <c r="BX223" s="39" t="n">
        <f aca="false">IF(BX$4=0,0,IF(COUNTIFS(実績!$W$6:$W$505,BX$3,実績!$AI$6:$AI$505,"&lt;="&amp;$A223,実績!$AJ$6:$AJ$505,"&gt;"&amp;$A223,実績!$AL$6:$AL$505,"○")&gt;0,1,0))</f>
        <v>0</v>
      </c>
      <c r="BY223" s="39" t="n">
        <f aca="false">IF(BY$4=0,0,IF(COUNTIFS(実績!$W$6:$W$505,BY$3,実績!$AI$6:$AI$505,"&lt;="&amp;$A223,実績!$AJ$6:$AJ$505,"&gt;"&amp;$A223,実績!$AL$6:$AL$505,"○")&gt;0,1,0))</f>
        <v>0</v>
      </c>
      <c r="BZ223" s="39" t="n">
        <f aca="false">IF(BZ$4=0,0,IF(COUNTIFS(実績!$W$6:$W$505,BZ$3,実績!$AI$6:$AI$505,"&lt;="&amp;$A223,実績!$AJ$6:$AJ$505,"&gt;"&amp;$A223,実績!$AL$6:$AL$505,"○")&gt;0,1,0))</f>
        <v>0</v>
      </c>
      <c r="CA223" s="39" t="n">
        <f aca="false">IF(CA$4=0,0,IF(COUNTIFS(実績!$W$6:$W$505,CA$3,実績!$AI$6:$AI$505,"&lt;="&amp;$A223,実績!$AJ$6:$AJ$505,"&gt;"&amp;$A223,実績!$AL$6:$AL$505,"○")&gt;0,1,0))</f>
        <v>0</v>
      </c>
      <c r="CB223" s="39" t="n">
        <f aca="false">IF(CB$4=0,0,IF(COUNTIFS(実績!$W$6:$W$505,CB$3,実績!$AI$6:$AI$505,"&lt;="&amp;$A223,実績!$AJ$6:$AJ$505,"&gt;"&amp;$A223,実績!$AL$6:$AL$505,"○")&gt;0,1,0))</f>
        <v>0</v>
      </c>
      <c r="CC223" s="39" t="n">
        <f aca="false">IF(CC$4=0,0,IF(COUNTIFS(実績!$W$6:$W$505,CC$3,実績!$AI$6:$AI$505,"&lt;="&amp;$A223,実績!$AJ$6:$AJ$505,"&gt;"&amp;$A223,実績!$AL$6:$AL$505,"○")&gt;0,1,0))</f>
        <v>0</v>
      </c>
      <c r="CD223" s="39" t="n">
        <f aca="false">IF(CD$4=0,0,IF(COUNTIFS(実績!$W$6:$W$505,CD$3,実績!$AI$6:$AI$505,"&lt;="&amp;$A223,実績!$AJ$6:$AJ$505,"&gt;"&amp;$A223,実績!$AL$6:$AL$505,"○")&gt;0,1,0))</f>
        <v>0</v>
      </c>
      <c r="CE223" s="39" t="n">
        <f aca="false">IF(CE$4=0,0,IF(COUNTIFS(実績!$W$6:$W$505,CE$3,実績!$AI$6:$AI$505,"&lt;="&amp;$A223,実績!$AJ$6:$AJ$505,"&gt;"&amp;$A223,実績!$AL$6:$AL$505,"○")&gt;0,1,0))</f>
        <v>0</v>
      </c>
      <c r="CF223" s="39" t="n">
        <f aca="false">IF(CF$4=0,0,IF(COUNTIFS(実績!$W$6:$W$505,CF$3,実績!$AI$6:$AI$505,"&lt;="&amp;$A223,実績!$AJ$6:$AJ$505,"&gt;"&amp;$A223,実績!$AL$6:$AL$505,"○")&gt;0,1,0))</f>
        <v>0</v>
      </c>
      <c r="CG223" s="39" t="n">
        <f aca="false">IF(CG$4=0,0,IF(COUNTIFS(実績!$W$6:$W$505,CG$3,実績!$AI$6:$AI$505,"&lt;="&amp;$A223,実績!$AJ$6:$AJ$505,"&gt;"&amp;$A223,実績!$AL$6:$AL$505,"○")&gt;0,1,0))</f>
        <v>0</v>
      </c>
      <c r="CH223" s="39" t="n">
        <f aca="false">IF(CH$4=0,0,IF(COUNTIFS(実績!$W$6:$W$505,CH$3,実績!$AI$6:$AI$505,"&lt;="&amp;$A223,実績!$AJ$6:$AJ$505,"&gt;"&amp;$A223,実績!$AL$6:$AL$505,"○")&gt;0,1,0))</f>
        <v>0</v>
      </c>
      <c r="CI223" s="39" t="n">
        <f aca="false">IF(CI$4=0,0,IF(COUNTIFS(実績!$W$6:$W$505,CI$3,実績!$AI$6:$AI$505,"&lt;="&amp;$A223,実績!$AJ$6:$AJ$505,"&gt;"&amp;$A223,実績!$AL$6:$AL$505,"○")&gt;0,1,0))</f>
        <v>0</v>
      </c>
      <c r="CJ223" s="39" t="n">
        <f aca="false">IF(CJ$4=0,0,IF(COUNTIFS(実績!$W$6:$W$505,CJ$3,実績!$AI$6:$AI$505,"&lt;="&amp;$A223,実績!$AJ$6:$AJ$505,"&gt;"&amp;$A223,実績!$AL$6:$AL$505,"○")&gt;0,1,0))</f>
        <v>0</v>
      </c>
      <c r="CK223" s="39" t="n">
        <f aca="false">IF(CK$4=0,0,IF(COUNTIFS(実績!$W$6:$W$505,CK$3,実績!$AI$6:$AI$505,"&lt;="&amp;$A223,実績!$AJ$6:$AJ$505,"&gt;"&amp;$A223,実績!$AL$6:$AL$505,"○")&gt;0,1,0))</f>
        <v>0</v>
      </c>
      <c r="CL223" s="39" t="n">
        <f aca="false">IF(CL$4=0,0,IF(COUNTIFS(実績!$W$6:$W$505,CL$3,実績!$AI$6:$AI$505,"&lt;="&amp;$A223,実績!$AJ$6:$AJ$505,"&gt;"&amp;$A223,実績!$AL$6:$AL$505,"○")&gt;0,1,0))</f>
        <v>0</v>
      </c>
      <c r="CM223" s="39" t="n">
        <f aca="false">IF(CM$4=0,0,IF(COUNTIFS(実績!$W$6:$W$505,CM$3,実績!$AI$6:$AI$505,"&lt;="&amp;$A223,実績!$AJ$6:$AJ$505,"&gt;"&amp;$A223,実績!$AL$6:$AL$505,"○")&gt;0,1,0))</f>
        <v>0</v>
      </c>
      <c r="CN223" s="39" t="n">
        <f aca="false">IF(CN$4=0,0,IF(COUNTIFS(実績!$W$6:$W$505,CN$3,実績!$AI$6:$AI$505,"&lt;="&amp;$A223,実績!$AJ$6:$AJ$505,"&gt;"&amp;$A223,実績!$AL$6:$AL$505,"○")&gt;0,1,0))</f>
        <v>0</v>
      </c>
      <c r="CO223" s="39" t="n">
        <f aca="false">IF(CO$4=0,0,IF(COUNTIFS(実績!$W$6:$W$505,CO$3,実績!$AI$6:$AI$505,"&lt;="&amp;$A223,実績!$AJ$6:$AJ$505,"&gt;"&amp;$A223,実績!$AL$6:$AL$505,"○")&gt;0,1,0))</f>
        <v>0</v>
      </c>
      <c r="CP223" s="39" t="n">
        <f aca="false">IF(CP$4=0,0,IF(COUNTIFS(実績!$W$6:$W$505,CP$3,実績!$AI$6:$AI$505,"&lt;="&amp;$A223,実績!$AJ$6:$AJ$505,"&gt;"&amp;$A223,実績!$AL$6:$AL$505,"○")&gt;0,1,0))</f>
        <v>0</v>
      </c>
      <c r="CQ223" s="39" t="n">
        <f aca="false">IF(CQ$4=0,0,IF(COUNTIFS(実績!$W$6:$W$505,CQ$3,実績!$AI$6:$AI$505,"&lt;="&amp;$A223,実績!$AJ$6:$AJ$505,"&gt;"&amp;$A223,実績!$AL$6:$AL$505,"○")&gt;0,1,0))</f>
        <v>0</v>
      </c>
      <c r="CR223" s="39" t="n">
        <f aca="false">IF(CR$4=0,0,IF(COUNTIFS(実績!$W$6:$W$505,CR$3,実績!$AI$6:$AI$505,"&lt;="&amp;$A223,実績!$AJ$6:$AJ$505,"&gt;"&amp;$A223,実績!$AL$6:$AL$505,"○")&gt;0,1,0))</f>
        <v>0</v>
      </c>
      <c r="CS223" s="39" t="n">
        <f aca="false">IF(CS$4=0,0,IF(COUNTIFS(実績!$W$6:$W$505,CS$3,実績!$AI$6:$AI$505,"&lt;="&amp;$A223,実績!$AJ$6:$AJ$505,"&gt;"&amp;$A223,実績!$AL$6:$AL$505,"○")&gt;0,1,0))</f>
        <v>0</v>
      </c>
      <c r="CT223" s="39" t="n">
        <f aca="false">IF(CT$4=0,0,IF(COUNTIFS(実績!$W$6:$W$505,CT$3,実績!$AI$6:$AI$505,"&lt;="&amp;$A223,実績!$AJ$6:$AJ$505,"&gt;"&amp;$A223,実績!$AL$6:$AL$505,"○")&gt;0,1,0))</f>
        <v>0</v>
      </c>
      <c r="CU223" s="39" t="n">
        <f aca="false">IF(CU$4=0,0,IF(COUNTIFS(実績!$W$6:$W$505,CU$3,実績!$AI$6:$AI$505,"&lt;="&amp;$A223,実績!$AJ$6:$AJ$505,"&gt;"&amp;$A223,実績!$AL$6:$AL$505,"○")&gt;0,1,0))</f>
        <v>0</v>
      </c>
      <c r="CV223" s="39" t="n">
        <f aca="false">IF(CV$4=0,0,IF(COUNTIFS(実績!$W$6:$W$505,CV$3,実績!$AI$6:$AI$505,"&lt;="&amp;$A223,実績!$AJ$6:$AJ$505,"&gt;"&amp;$A223,実績!$AL$6:$AL$505,"○")&gt;0,1,0))</f>
        <v>0</v>
      </c>
      <c r="CW223" s="39" t="n">
        <f aca="false">IF(CW$4=0,0,IF(COUNTIFS(実績!$W$6:$W$505,CW$3,実績!$AI$6:$AI$505,"&lt;="&amp;$A223,実績!$AJ$6:$AJ$505,"&gt;"&amp;$A223,実績!$AL$6:$AL$505,"○")&gt;0,1,0))</f>
        <v>0</v>
      </c>
      <c r="CX223" s="39" t="n">
        <f aca="false">IF(CX$4=0,0,IF(COUNTIFS(実績!$W$6:$W$505,CX$3,実績!$AI$6:$AI$505,"&lt;="&amp;$A223,実績!$AJ$6:$AJ$505,"&gt;"&amp;$A223,実績!$AL$6:$AL$505,"○")&gt;0,1,0))</f>
        <v>0</v>
      </c>
      <c r="CY223" s="39" t="n">
        <f aca="false">IF(CY$4=0,0,IF(COUNTIFS(実績!$W$6:$W$505,CY$3,実績!$AI$6:$AI$505,"&lt;="&amp;$A223,実績!$AJ$6:$AJ$505,"&gt;"&amp;$A223,実績!$AL$6:$AL$505,"○")&gt;0,1,0))</f>
        <v>0</v>
      </c>
      <c r="CZ223" s="39" t="n">
        <f aca="false">IF(CZ$4=0,0,IF(COUNTIFS(実績!$W$6:$W$505,CZ$3,実績!$AI$6:$AI$505,"&lt;="&amp;$A223,実績!$AJ$6:$AJ$505,"&gt;"&amp;$A223,実績!$AL$6:$AL$505,"○")&gt;0,1,0))</f>
        <v>0</v>
      </c>
      <c r="DA223" s="39" t="n">
        <f aca="false">IF(DA$4=0,0,IF(COUNTIFS(実績!$W$6:$W$505,DA$3,実績!$AI$6:$AI$505,"&lt;="&amp;$A223,実績!$AJ$6:$AJ$505,"&gt;"&amp;$A223,実績!$AL$6:$AL$505,"○")&gt;0,1,0))</f>
        <v>0</v>
      </c>
      <c r="DB223" s="39" t="n">
        <f aca="false">IF(DB$4=0,0,IF(COUNTIFS(実績!$W$6:$W$505,DB$3,実績!$AI$6:$AI$505,"&lt;="&amp;$A223,実績!$AJ$6:$AJ$505,"&gt;"&amp;$A223,実績!$AL$6:$AL$505,"○")&gt;0,1,0))</f>
        <v>0</v>
      </c>
      <c r="DC223" s="39" t="n">
        <f aca="false">IF(DC$4=0,0,IF(COUNTIFS(実績!$W$6:$W$505,DC$3,実績!$AI$6:$AI$505,"&lt;="&amp;$A223,実績!$AJ$6:$AJ$505,"&gt;"&amp;$A223,実績!$AL$6:$AL$505,"○")&gt;0,1,0))</f>
        <v>0</v>
      </c>
      <c r="DD223" s="39" t="n">
        <f aca="false">IF(DD$4=0,0,IF(COUNTIFS(実績!$W$6:$W$505,DD$3,実績!$AI$6:$AI$505,"&lt;="&amp;$A223,実績!$AJ$6:$AJ$505,"&gt;"&amp;$A223,実績!$AL$6:$AL$505,"○")&gt;0,1,0))</f>
        <v>0</v>
      </c>
      <c r="DE223" s="39" t="n">
        <f aca="false">IF(DE$4=0,0,IF(COUNTIFS(実績!$W$6:$W$505,DE$3,実績!$AI$6:$AI$505,"&lt;="&amp;$A223,実績!$AJ$6:$AJ$505,"&gt;"&amp;$A223,実績!$AL$6:$AL$505,"○")&gt;0,1,0))</f>
        <v>0</v>
      </c>
      <c r="DF223" s="39" t="n">
        <f aca="false">IF(DF$4=0,0,IF(COUNTIFS(実績!$W$6:$W$505,DF$3,実績!$AI$6:$AI$505,"&lt;="&amp;$A223,実績!$AJ$6:$AJ$505,"&gt;"&amp;$A223,実績!$AL$6:$AL$505,"○")&gt;0,1,0))</f>
        <v>0</v>
      </c>
      <c r="DG223" s="39" t="n">
        <f aca="false">IF(DG$4=0,0,IF(COUNTIFS(実績!$W$6:$W$505,DG$3,実績!$AI$6:$AI$505,"&lt;="&amp;$A223,実績!$AJ$6:$AJ$505,"&gt;"&amp;$A223,実績!$AL$6:$AL$505,"○")&gt;0,1,0))</f>
        <v>0</v>
      </c>
      <c r="DH223" s="39" t="n">
        <f aca="false">IF(DH$4=0,0,IF(COUNTIFS(実績!$W$6:$W$505,DH$3,実績!$AI$6:$AI$505,"&lt;="&amp;$A223,実績!$AJ$6:$AJ$505,"&gt;"&amp;$A223,実績!$AL$6:$AL$505,"○")&gt;0,1,0))</f>
        <v>0</v>
      </c>
      <c r="DI223" s="39" t="n">
        <f aca="false">IF(DI$4=0,0,IF(COUNTIFS(実績!$W$6:$W$505,DI$3,実績!$AI$6:$AI$505,"&lt;="&amp;$A223,実績!$AJ$6:$AJ$505,"&gt;"&amp;$A223,実績!$AL$6:$AL$505,"○")&gt;0,1,0))</f>
        <v>0</v>
      </c>
      <c r="DJ223" s="39" t="n">
        <f aca="false">IF(DJ$4=0,0,IF(COUNTIFS(実績!$W$6:$W$505,DJ$3,実績!$AI$6:$AI$505,"&lt;="&amp;$A223,実績!$AJ$6:$AJ$505,"&gt;"&amp;$A223,実績!$AL$6:$AL$505,"○")&gt;0,1,0))</f>
        <v>0</v>
      </c>
      <c r="DK223" s="39" t="n">
        <f aca="false">IF(DK$4=0,0,IF(COUNTIFS(実績!$W$6:$W$505,DK$3,実績!$AI$6:$AI$505,"&lt;="&amp;$A223,実績!$AJ$6:$AJ$505,"&gt;"&amp;$A223,実績!$AL$6:$AL$505,"○")&gt;0,1,0))</f>
        <v>0</v>
      </c>
      <c r="DL223" s="39" t="n">
        <f aca="false">IF(DL$4=0,0,IF(COUNTIFS(実績!$W$6:$W$505,DL$3,実績!$AI$6:$AI$505,"&lt;="&amp;$A223,実績!$AJ$6:$AJ$505,"&gt;"&amp;$A223,実績!$AL$6:$AL$505,"○")&gt;0,1,0))</f>
        <v>0</v>
      </c>
      <c r="DM223" s="39" t="n">
        <f aca="false">IF(DM$4=0,0,IF(COUNTIFS(実績!$W$6:$W$505,DM$3,実績!$AI$6:$AI$505,"&lt;="&amp;$A223,実績!$AJ$6:$AJ$505,"&gt;"&amp;$A223,実績!$AL$6:$AL$505,"○")&gt;0,1,0))</f>
        <v>0</v>
      </c>
      <c r="DN223" s="39" t="n">
        <f aca="false">IF(DN$4=0,0,IF(COUNTIFS(実績!$W$6:$W$505,DN$3,実績!$AI$6:$AI$505,"&lt;="&amp;$A223,実績!$AJ$6:$AJ$505,"&gt;"&amp;$A223,実績!$AL$6:$AL$505,"○")&gt;0,1,0))</f>
        <v>0</v>
      </c>
      <c r="DO223" s="39" t="n">
        <f aca="false">IF(DO$4=0,0,IF(COUNTIFS(実績!$W$6:$W$505,DO$3,実績!$AI$6:$AI$505,"&lt;="&amp;$A223,実績!$AJ$6:$AJ$505,"&gt;"&amp;$A223,実績!$AL$6:$AL$505,"○")&gt;0,1,0))</f>
        <v>0</v>
      </c>
      <c r="DP223" s="39" t="n">
        <f aca="false">IF(DP$4=0,0,IF(COUNTIFS(実績!$W$6:$W$505,DP$3,実績!$AI$6:$AI$505,"&lt;="&amp;$A223,実績!$AJ$6:$AJ$505,"&gt;"&amp;$A223,実績!$AL$6:$AL$505,"○")&gt;0,1,0))</f>
        <v>0</v>
      </c>
      <c r="DQ223" s="39" t="n">
        <f aca="false">IF(DQ$4=0,0,IF(COUNTIFS(実績!$W$6:$W$505,DQ$3,実績!$AI$6:$AI$505,"&lt;="&amp;$A223,実績!$AJ$6:$AJ$505,"&gt;"&amp;$A223,実績!$AL$6:$AL$505,"○")&gt;0,1,0))</f>
        <v>0</v>
      </c>
      <c r="DR223" s="39" t="n">
        <f aca="false">IF(DR$4=0,0,IF(COUNTIFS(実績!$W$6:$W$505,DR$3,実績!$AI$6:$AI$505,"&lt;="&amp;$A223,実績!$AJ$6:$AJ$505,"&gt;"&amp;$A223,実績!$AL$6:$AL$505,"○")&gt;0,1,0))</f>
        <v>0</v>
      </c>
      <c r="DS223" s="39" t="n">
        <f aca="false">SUM(C223:DR223)</f>
        <v>0</v>
      </c>
    </row>
    <row r="224" customFormat="false" ht="15" hidden="false" customHeight="false" outlineLevel="0" collapsed="false">
      <c r="A224" s="0" t="n">
        <v>1090</v>
      </c>
      <c r="B224" s="38" t="n">
        <f aca="false">A224/1440</f>
        <v>0.756944444444444</v>
      </c>
      <c r="C224" s="39" t="n">
        <f aca="false">IF(C$4=0,0,IF(COUNTIFS(実績!$W$6:$W$505,C$3,実績!$AI$6:$AI$505,"&lt;="&amp;$A224,実績!$AJ$6:$AJ$505,"&gt;"&amp;$A224,実績!$AL$6:$AL$505,"○")&gt;0,1,0))</f>
        <v>0</v>
      </c>
      <c r="D224" s="39" t="n">
        <f aca="false">IF(D$4=0,0,IF(COUNTIFS(実績!$W$6:$W$505,D$3,実績!$AI$6:$AI$505,"&lt;="&amp;$A224,実績!$AJ$6:$AJ$505,"&gt;"&amp;$A224,実績!$AL$6:$AL$505,"○")&gt;0,1,0))</f>
        <v>0</v>
      </c>
      <c r="E224" s="39" t="n">
        <f aca="false">IF(E$4=0,0,IF(COUNTIFS(実績!$W$6:$W$505,E$3,実績!$AI$6:$AI$505,"&lt;="&amp;$A224,実績!$AJ$6:$AJ$505,"&gt;"&amp;$A224,実績!$AL$6:$AL$505,"○")&gt;0,1,0))</f>
        <v>0</v>
      </c>
      <c r="F224" s="39" t="n">
        <f aca="false">IF(F$4=0,0,IF(COUNTIFS(実績!$W$6:$W$505,F$3,実績!$AI$6:$AI$505,"&lt;="&amp;$A224,実績!$AJ$6:$AJ$505,"&gt;"&amp;$A224,実績!$AL$6:$AL$505,"○")&gt;0,1,0))</f>
        <v>0</v>
      </c>
      <c r="G224" s="39" t="n">
        <f aca="false">IF(G$4=0,0,IF(COUNTIFS(実績!$W$6:$W$505,G$3,実績!$AI$6:$AI$505,"&lt;="&amp;$A224,実績!$AJ$6:$AJ$505,"&gt;"&amp;$A224,実績!$AL$6:$AL$505,"○")&gt;0,1,0))</f>
        <v>0</v>
      </c>
      <c r="H224" s="39" t="n">
        <f aca="false">IF(H$4=0,0,IF(COUNTIFS(実績!$W$6:$W$505,H$3,実績!$AI$6:$AI$505,"&lt;="&amp;$A224,実績!$AJ$6:$AJ$505,"&gt;"&amp;$A224,実績!$AL$6:$AL$505,"○")&gt;0,1,0))</f>
        <v>0</v>
      </c>
      <c r="I224" s="39" t="n">
        <f aca="false">IF(I$4=0,0,IF(COUNTIFS(実績!$W$6:$W$505,I$3,実績!$AI$6:$AI$505,"&lt;="&amp;$A224,実績!$AJ$6:$AJ$505,"&gt;"&amp;$A224,実績!$AL$6:$AL$505,"○")&gt;0,1,0))</f>
        <v>0</v>
      </c>
      <c r="J224" s="39" t="n">
        <f aca="false">IF(J$4=0,0,IF(COUNTIFS(実績!$W$6:$W$505,J$3,実績!$AI$6:$AI$505,"&lt;="&amp;$A224,実績!$AJ$6:$AJ$505,"&gt;"&amp;$A224,実績!$AL$6:$AL$505,"○")&gt;0,1,0))</f>
        <v>0</v>
      </c>
      <c r="K224" s="39" t="n">
        <f aca="false">IF(K$4=0,0,IF(COUNTIFS(実績!$W$6:$W$505,K$3,実績!$AI$6:$AI$505,"&lt;="&amp;$A224,実績!$AJ$6:$AJ$505,"&gt;"&amp;$A224,実績!$AL$6:$AL$505,"○")&gt;0,1,0))</f>
        <v>0</v>
      </c>
      <c r="L224" s="39" t="n">
        <f aca="false">IF(L$4=0,0,IF(COUNTIFS(実績!$W$6:$W$505,L$3,実績!$AI$6:$AI$505,"&lt;="&amp;$A224,実績!$AJ$6:$AJ$505,"&gt;"&amp;$A224,実績!$AL$6:$AL$505,"○")&gt;0,1,0))</f>
        <v>0</v>
      </c>
      <c r="M224" s="39" t="n">
        <f aca="false">IF(M$4=0,0,IF(COUNTIFS(実績!$W$6:$W$505,M$3,実績!$AI$6:$AI$505,"&lt;="&amp;$A224,実績!$AJ$6:$AJ$505,"&gt;"&amp;$A224,実績!$AL$6:$AL$505,"○")&gt;0,1,0))</f>
        <v>0</v>
      </c>
      <c r="N224" s="39" t="n">
        <f aca="false">IF(N$4=0,0,IF(COUNTIFS(実績!$W$6:$W$505,N$3,実績!$AI$6:$AI$505,"&lt;="&amp;$A224,実績!$AJ$6:$AJ$505,"&gt;"&amp;$A224,実績!$AL$6:$AL$505,"○")&gt;0,1,0))</f>
        <v>0</v>
      </c>
      <c r="O224" s="39" t="n">
        <f aca="false">IF(O$4=0,0,IF(COUNTIFS(実績!$W$6:$W$505,O$3,実績!$AI$6:$AI$505,"&lt;="&amp;$A224,実績!$AJ$6:$AJ$505,"&gt;"&amp;$A224,実績!$AL$6:$AL$505,"○")&gt;0,1,0))</f>
        <v>0</v>
      </c>
      <c r="P224" s="39" t="n">
        <f aca="false">IF(P$4=0,0,IF(COUNTIFS(実績!$W$6:$W$505,P$3,実績!$AI$6:$AI$505,"&lt;="&amp;$A224,実績!$AJ$6:$AJ$505,"&gt;"&amp;$A224,実績!$AL$6:$AL$505,"○")&gt;0,1,0))</f>
        <v>0</v>
      </c>
      <c r="Q224" s="39" t="n">
        <f aca="false">IF(Q$4=0,0,IF(COUNTIFS(実績!$W$6:$W$505,Q$3,実績!$AI$6:$AI$505,"&lt;="&amp;$A224,実績!$AJ$6:$AJ$505,"&gt;"&amp;$A224,実績!$AL$6:$AL$505,"○")&gt;0,1,0))</f>
        <v>0</v>
      </c>
      <c r="R224" s="39" t="n">
        <f aca="false">IF(R$4=0,0,IF(COUNTIFS(実績!$W$6:$W$505,R$3,実績!$AI$6:$AI$505,"&lt;="&amp;$A224,実績!$AJ$6:$AJ$505,"&gt;"&amp;$A224,実績!$AL$6:$AL$505,"○")&gt;0,1,0))</f>
        <v>0</v>
      </c>
      <c r="S224" s="39" t="n">
        <f aca="false">IF(S$4=0,0,IF(COUNTIFS(実績!$W$6:$W$505,S$3,実績!$AI$6:$AI$505,"&lt;="&amp;$A224,実績!$AJ$6:$AJ$505,"&gt;"&amp;$A224,実績!$AL$6:$AL$505,"○")&gt;0,1,0))</f>
        <v>0</v>
      </c>
      <c r="T224" s="39" t="n">
        <f aca="false">IF(T$4=0,0,IF(COUNTIFS(実績!$W$6:$W$505,T$3,実績!$AI$6:$AI$505,"&lt;="&amp;$A224,実績!$AJ$6:$AJ$505,"&gt;"&amp;$A224,実績!$AL$6:$AL$505,"○")&gt;0,1,0))</f>
        <v>0</v>
      </c>
      <c r="U224" s="39" t="n">
        <f aca="false">IF(U$4=0,0,IF(COUNTIFS(実績!$W$6:$W$505,U$3,実績!$AI$6:$AI$505,"&lt;="&amp;$A224,実績!$AJ$6:$AJ$505,"&gt;"&amp;$A224,実績!$AL$6:$AL$505,"○")&gt;0,1,0))</f>
        <v>0</v>
      </c>
      <c r="V224" s="39" t="n">
        <f aca="false">IF(V$4=0,0,IF(COUNTIFS(実績!$W$6:$W$505,V$3,実績!$AI$6:$AI$505,"&lt;="&amp;$A224,実績!$AJ$6:$AJ$505,"&gt;"&amp;$A224,実績!$AL$6:$AL$505,"○")&gt;0,1,0))</f>
        <v>0</v>
      </c>
      <c r="W224" s="39" t="n">
        <f aca="false">IF(W$4=0,0,IF(COUNTIFS(実績!$W$6:$W$505,W$3,実績!$AI$6:$AI$505,"&lt;="&amp;$A224,実績!$AJ$6:$AJ$505,"&gt;"&amp;$A224,実績!$AL$6:$AL$505,"○")&gt;0,1,0))</f>
        <v>0</v>
      </c>
      <c r="X224" s="39" t="n">
        <f aca="false">IF(X$4=0,0,IF(COUNTIFS(実績!$W$6:$W$505,X$3,実績!$AI$6:$AI$505,"&lt;="&amp;$A224,実績!$AJ$6:$AJ$505,"&gt;"&amp;$A224,実績!$AL$6:$AL$505,"○")&gt;0,1,0))</f>
        <v>0</v>
      </c>
      <c r="Y224" s="39" t="n">
        <f aca="false">IF(Y$4=0,0,IF(COUNTIFS(実績!$W$6:$W$505,Y$3,実績!$AI$6:$AI$505,"&lt;="&amp;$A224,実績!$AJ$6:$AJ$505,"&gt;"&amp;$A224,実績!$AL$6:$AL$505,"○")&gt;0,1,0))</f>
        <v>0</v>
      </c>
      <c r="Z224" s="39" t="n">
        <f aca="false">IF(Z$4=0,0,IF(COUNTIFS(実績!$W$6:$W$505,Z$3,実績!$AI$6:$AI$505,"&lt;="&amp;$A224,実績!$AJ$6:$AJ$505,"&gt;"&amp;$A224,実績!$AL$6:$AL$505,"○")&gt;0,1,0))</f>
        <v>0</v>
      </c>
      <c r="AA224" s="39" t="n">
        <f aca="false">IF(AA$4=0,0,IF(COUNTIFS(実績!$W$6:$W$505,AA$3,実績!$AI$6:$AI$505,"&lt;="&amp;$A224,実績!$AJ$6:$AJ$505,"&gt;"&amp;$A224,実績!$AL$6:$AL$505,"○")&gt;0,1,0))</f>
        <v>0</v>
      </c>
      <c r="AB224" s="39" t="n">
        <f aca="false">IF(AB$4=0,0,IF(COUNTIFS(実績!$W$6:$W$505,AB$3,実績!$AI$6:$AI$505,"&lt;="&amp;$A224,実績!$AJ$6:$AJ$505,"&gt;"&amp;$A224,実績!$AL$6:$AL$505,"○")&gt;0,1,0))</f>
        <v>0</v>
      </c>
      <c r="AC224" s="39" t="n">
        <f aca="false">IF(AC$4=0,0,IF(COUNTIFS(実績!$W$6:$W$505,AC$3,実績!$AI$6:$AI$505,"&lt;="&amp;$A224,実績!$AJ$6:$AJ$505,"&gt;"&amp;$A224,実績!$AL$6:$AL$505,"○")&gt;0,1,0))</f>
        <v>0</v>
      </c>
      <c r="AD224" s="39" t="n">
        <f aca="false">IF(AD$4=0,0,IF(COUNTIFS(実績!$W$6:$W$505,AD$3,実績!$AI$6:$AI$505,"&lt;="&amp;$A224,実績!$AJ$6:$AJ$505,"&gt;"&amp;$A224,実績!$AL$6:$AL$505,"○")&gt;0,1,0))</f>
        <v>0</v>
      </c>
      <c r="AE224" s="39" t="n">
        <f aca="false">IF(AE$4=0,0,IF(COUNTIFS(実績!$W$6:$W$505,AE$3,実績!$AI$6:$AI$505,"&lt;="&amp;$A224,実績!$AJ$6:$AJ$505,"&gt;"&amp;$A224,実績!$AL$6:$AL$505,"○")&gt;0,1,0))</f>
        <v>0</v>
      </c>
      <c r="AF224" s="39" t="n">
        <f aca="false">IF(AF$4=0,0,IF(COUNTIFS(実績!$W$6:$W$505,AF$3,実績!$AI$6:$AI$505,"&lt;="&amp;$A224,実績!$AJ$6:$AJ$505,"&gt;"&amp;$A224,実績!$AL$6:$AL$505,"○")&gt;0,1,0))</f>
        <v>0</v>
      </c>
      <c r="AG224" s="39" t="n">
        <f aca="false">IF(AG$4=0,0,IF(COUNTIFS(実績!$W$6:$W$505,AG$3,実績!$AI$6:$AI$505,"&lt;="&amp;$A224,実績!$AJ$6:$AJ$505,"&gt;"&amp;$A224,実績!$AL$6:$AL$505,"○")&gt;0,1,0))</f>
        <v>0</v>
      </c>
      <c r="AH224" s="39" t="n">
        <f aca="false">IF(AH$4=0,0,IF(COUNTIFS(実績!$W$6:$W$505,AH$3,実績!$AI$6:$AI$505,"&lt;="&amp;$A224,実績!$AJ$6:$AJ$505,"&gt;"&amp;$A224,実績!$AL$6:$AL$505,"○")&gt;0,1,0))</f>
        <v>0</v>
      </c>
      <c r="AI224" s="39" t="n">
        <f aca="false">IF(AI$4=0,0,IF(COUNTIFS(実績!$W$6:$W$505,AI$3,実績!$AI$6:$AI$505,"&lt;="&amp;$A224,実績!$AJ$6:$AJ$505,"&gt;"&amp;$A224,実績!$AL$6:$AL$505,"○")&gt;0,1,0))</f>
        <v>0</v>
      </c>
      <c r="AJ224" s="39" t="n">
        <f aca="false">IF(AJ$4=0,0,IF(COUNTIFS(実績!$W$6:$W$505,AJ$3,実績!$AI$6:$AI$505,"&lt;="&amp;$A224,実績!$AJ$6:$AJ$505,"&gt;"&amp;$A224,実績!$AL$6:$AL$505,"○")&gt;0,1,0))</f>
        <v>0</v>
      </c>
      <c r="AK224" s="39" t="n">
        <f aca="false">IF(AK$4=0,0,IF(COUNTIFS(実績!$W$6:$W$505,AK$3,実績!$AI$6:$AI$505,"&lt;="&amp;$A224,実績!$AJ$6:$AJ$505,"&gt;"&amp;$A224,実績!$AL$6:$AL$505,"○")&gt;0,1,0))</f>
        <v>0</v>
      </c>
      <c r="AL224" s="39" t="n">
        <f aca="false">IF(AL$4=0,0,IF(COUNTIFS(実績!$W$6:$W$505,AL$3,実績!$AI$6:$AI$505,"&lt;="&amp;$A224,実績!$AJ$6:$AJ$505,"&gt;"&amp;$A224,実績!$AL$6:$AL$505,"○")&gt;0,1,0))</f>
        <v>0</v>
      </c>
      <c r="AM224" s="39" t="n">
        <f aca="false">IF(AM$4=0,0,IF(COUNTIFS(実績!$W$6:$W$505,AM$3,実績!$AI$6:$AI$505,"&lt;="&amp;$A224,実績!$AJ$6:$AJ$505,"&gt;"&amp;$A224,実績!$AL$6:$AL$505,"○")&gt;0,1,0))</f>
        <v>0</v>
      </c>
      <c r="AN224" s="39" t="n">
        <f aca="false">IF(AN$4=0,0,IF(COUNTIFS(実績!$W$6:$W$505,AN$3,実績!$AI$6:$AI$505,"&lt;="&amp;$A224,実績!$AJ$6:$AJ$505,"&gt;"&amp;$A224,実績!$AL$6:$AL$505,"○")&gt;0,1,0))</f>
        <v>0</v>
      </c>
      <c r="AO224" s="39" t="n">
        <f aca="false">IF(AO$4=0,0,IF(COUNTIFS(実績!$W$6:$W$505,AO$3,実績!$AI$6:$AI$505,"&lt;="&amp;$A224,実績!$AJ$6:$AJ$505,"&gt;"&amp;$A224,実績!$AL$6:$AL$505,"○")&gt;0,1,0))</f>
        <v>0</v>
      </c>
      <c r="AP224" s="39" t="n">
        <f aca="false">IF(AP$4=0,0,IF(COUNTIFS(実績!$W$6:$W$505,AP$3,実績!$AI$6:$AI$505,"&lt;="&amp;$A224,実績!$AJ$6:$AJ$505,"&gt;"&amp;$A224,実績!$AL$6:$AL$505,"○")&gt;0,1,0))</f>
        <v>0</v>
      </c>
      <c r="AQ224" s="39" t="n">
        <f aca="false">IF(AQ$4=0,0,IF(COUNTIFS(実績!$W$6:$W$505,AQ$3,実績!$AI$6:$AI$505,"&lt;="&amp;$A224,実績!$AJ$6:$AJ$505,"&gt;"&amp;$A224,実績!$AL$6:$AL$505,"○")&gt;0,1,0))</f>
        <v>0</v>
      </c>
      <c r="AR224" s="39" t="n">
        <f aca="false">IF(AR$4=0,0,IF(COUNTIFS(実績!$W$6:$W$505,AR$3,実績!$AI$6:$AI$505,"&lt;="&amp;$A224,実績!$AJ$6:$AJ$505,"&gt;"&amp;$A224,実績!$AL$6:$AL$505,"○")&gt;0,1,0))</f>
        <v>0</v>
      </c>
      <c r="AS224" s="39" t="n">
        <f aca="false">IF(AS$4=0,0,IF(COUNTIFS(実績!$W$6:$W$505,AS$3,実績!$AI$6:$AI$505,"&lt;="&amp;$A224,実績!$AJ$6:$AJ$505,"&gt;"&amp;$A224,実績!$AL$6:$AL$505,"○")&gt;0,1,0))</f>
        <v>0</v>
      </c>
      <c r="AT224" s="39" t="n">
        <f aca="false">IF(AT$4=0,0,IF(COUNTIFS(実績!$W$6:$W$505,AT$3,実績!$AI$6:$AI$505,"&lt;="&amp;$A224,実績!$AJ$6:$AJ$505,"&gt;"&amp;$A224,実績!$AL$6:$AL$505,"○")&gt;0,1,0))</f>
        <v>0</v>
      </c>
      <c r="AU224" s="39" t="n">
        <f aca="false">IF(AU$4=0,0,IF(COUNTIFS(実績!$W$6:$W$505,AU$3,実績!$AI$6:$AI$505,"&lt;="&amp;$A224,実績!$AJ$6:$AJ$505,"&gt;"&amp;$A224,実績!$AL$6:$AL$505,"○")&gt;0,1,0))</f>
        <v>0</v>
      </c>
      <c r="AV224" s="39" t="n">
        <f aca="false">IF(AV$4=0,0,IF(COUNTIFS(実績!$W$6:$W$505,AV$3,実績!$AI$6:$AI$505,"&lt;="&amp;$A224,実績!$AJ$6:$AJ$505,"&gt;"&amp;$A224,実績!$AL$6:$AL$505,"○")&gt;0,1,0))</f>
        <v>0</v>
      </c>
      <c r="AW224" s="39" t="n">
        <f aca="false">IF(AW$4=0,0,IF(COUNTIFS(実績!$W$6:$W$505,AW$3,実績!$AI$6:$AI$505,"&lt;="&amp;$A224,実績!$AJ$6:$AJ$505,"&gt;"&amp;$A224,実績!$AL$6:$AL$505,"○")&gt;0,1,0))</f>
        <v>0</v>
      </c>
      <c r="AX224" s="39" t="n">
        <f aca="false">IF(AX$4=0,0,IF(COUNTIFS(実績!$W$6:$W$505,AX$3,実績!$AI$6:$AI$505,"&lt;="&amp;$A224,実績!$AJ$6:$AJ$505,"&gt;"&amp;$A224,実績!$AL$6:$AL$505,"○")&gt;0,1,0))</f>
        <v>0</v>
      </c>
      <c r="AY224" s="39" t="n">
        <f aca="false">IF(AY$4=0,0,IF(COUNTIFS(実績!$W$6:$W$505,AY$3,実績!$AI$6:$AI$505,"&lt;="&amp;$A224,実績!$AJ$6:$AJ$505,"&gt;"&amp;$A224,実績!$AL$6:$AL$505,"○")&gt;0,1,0))</f>
        <v>0</v>
      </c>
      <c r="AZ224" s="39" t="n">
        <f aca="false">IF(AZ$4=0,0,IF(COUNTIFS(実績!$W$6:$W$505,AZ$3,実績!$AI$6:$AI$505,"&lt;="&amp;$A224,実績!$AJ$6:$AJ$505,"&gt;"&amp;$A224,実績!$AL$6:$AL$505,"○")&gt;0,1,0))</f>
        <v>0</v>
      </c>
      <c r="BA224" s="39" t="n">
        <f aca="false">IF(BA$4=0,0,IF(COUNTIFS(実績!$W$6:$W$505,BA$3,実績!$AI$6:$AI$505,"&lt;="&amp;$A224,実績!$AJ$6:$AJ$505,"&gt;"&amp;$A224,実績!$AL$6:$AL$505,"○")&gt;0,1,0))</f>
        <v>0</v>
      </c>
      <c r="BB224" s="39" t="n">
        <f aca="false">IF(BB$4=0,0,IF(COUNTIFS(実績!$W$6:$W$505,BB$3,実績!$AI$6:$AI$505,"&lt;="&amp;$A224,実績!$AJ$6:$AJ$505,"&gt;"&amp;$A224,実績!$AL$6:$AL$505,"○")&gt;0,1,0))</f>
        <v>0</v>
      </c>
      <c r="BC224" s="39" t="n">
        <f aca="false">IF(BC$4=0,0,IF(COUNTIFS(実績!$W$6:$W$505,BC$3,実績!$AI$6:$AI$505,"&lt;="&amp;$A224,実績!$AJ$6:$AJ$505,"&gt;"&amp;$A224,実績!$AL$6:$AL$505,"○")&gt;0,1,0))</f>
        <v>0</v>
      </c>
      <c r="BD224" s="39" t="n">
        <f aca="false">IF(BD$4=0,0,IF(COUNTIFS(実績!$W$6:$W$505,BD$3,実績!$AI$6:$AI$505,"&lt;="&amp;$A224,実績!$AJ$6:$AJ$505,"&gt;"&amp;$A224,実績!$AL$6:$AL$505,"○")&gt;0,1,0))</f>
        <v>0</v>
      </c>
      <c r="BE224" s="39" t="n">
        <f aca="false">IF(BE$4=0,0,IF(COUNTIFS(実績!$W$6:$W$505,BE$3,実績!$AI$6:$AI$505,"&lt;="&amp;$A224,実績!$AJ$6:$AJ$505,"&gt;"&amp;$A224,実績!$AL$6:$AL$505,"○")&gt;0,1,0))</f>
        <v>0</v>
      </c>
      <c r="BF224" s="39" t="n">
        <f aca="false">IF(BF$4=0,0,IF(COUNTIFS(実績!$W$6:$W$505,BF$3,実績!$AI$6:$AI$505,"&lt;="&amp;$A224,実績!$AJ$6:$AJ$505,"&gt;"&amp;$A224,実績!$AL$6:$AL$505,"○")&gt;0,1,0))</f>
        <v>0</v>
      </c>
      <c r="BG224" s="39" t="n">
        <f aca="false">IF(BG$4=0,0,IF(COUNTIFS(実績!$W$6:$W$505,BG$3,実績!$AI$6:$AI$505,"&lt;="&amp;$A224,実績!$AJ$6:$AJ$505,"&gt;"&amp;$A224,実績!$AL$6:$AL$505,"○")&gt;0,1,0))</f>
        <v>0</v>
      </c>
      <c r="BH224" s="39" t="n">
        <f aca="false">IF(BH$4=0,0,IF(COUNTIFS(実績!$W$6:$W$505,BH$3,実績!$AI$6:$AI$505,"&lt;="&amp;$A224,実績!$AJ$6:$AJ$505,"&gt;"&amp;$A224,実績!$AL$6:$AL$505,"○")&gt;0,1,0))</f>
        <v>0</v>
      </c>
      <c r="BI224" s="39" t="n">
        <f aca="false">IF(BI$4=0,0,IF(COUNTIFS(実績!$W$6:$W$505,BI$3,実績!$AI$6:$AI$505,"&lt;="&amp;$A224,実績!$AJ$6:$AJ$505,"&gt;"&amp;$A224,実績!$AL$6:$AL$505,"○")&gt;0,1,0))</f>
        <v>0</v>
      </c>
      <c r="BJ224" s="39" t="n">
        <f aca="false">IF(BJ$4=0,0,IF(COUNTIFS(実績!$W$6:$W$505,BJ$3,実績!$AI$6:$AI$505,"&lt;="&amp;$A224,実績!$AJ$6:$AJ$505,"&gt;"&amp;$A224,実績!$AL$6:$AL$505,"○")&gt;0,1,0))</f>
        <v>0</v>
      </c>
      <c r="BK224" s="39" t="n">
        <f aca="false">IF(BK$4=0,0,IF(COUNTIFS(実績!$W$6:$W$505,BK$3,実績!$AI$6:$AI$505,"&lt;="&amp;$A224,実績!$AJ$6:$AJ$505,"&gt;"&amp;$A224,実績!$AL$6:$AL$505,"○")&gt;0,1,0))</f>
        <v>0</v>
      </c>
      <c r="BL224" s="39" t="n">
        <f aca="false">IF(BL$4=0,0,IF(COUNTIFS(実績!$W$6:$W$505,BL$3,実績!$AI$6:$AI$505,"&lt;="&amp;$A224,実績!$AJ$6:$AJ$505,"&gt;"&amp;$A224,実績!$AL$6:$AL$505,"○")&gt;0,1,0))</f>
        <v>0</v>
      </c>
      <c r="BM224" s="39" t="n">
        <f aca="false">IF(BM$4=0,0,IF(COUNTIFS(実績!$W$6:$W$505,BM$3,実績!$AI$6:$AI$505,"&lt;="&amp;$A224,実績!$AJ$6:$AJ$505,"&gt;"&amp;$A224,実績!$AL$6:$AL$505,"○")&gt;0,1,0))</f>
        <v>0</v>
      </c>
      <c r="BN224" s="39" t="n">
        <f aca="false">IF(BN$4=0,0,IF(COUNTIFS(実績!$W$6:$W$505,BN$3,実績!$AI$6:$AI$505,"&lt;="&amp;$A224,実績!$AJ$6:$AJ$505,"&gt;"&amp;$A224,実績!$AL$6:$AL$505,"○")&gt;0,1,0))</f>
        <v>0</v>
      </c>
      <c r="BO224" s="39" t="n">
        <f aca="false">IF(BO$4=0,0,IF(COUNTIFS(実績!$W$6:$W$505,BO$3,実績!$AI$6:$AI$505,"&lt;="&amp;$A224,実績!$AJ$6:$AJ$505,"&gt;"&amp;$A224,実績!$AL$6:$AL$505,"○")&gt;0,1,0))</f>
        <v>0</v>
      </c>
      <c r="BP224" s="39" t="n">
        <f aca="false">IF(BP$4=0,0,IF(COUNTIFS(実績!$W$6:$W$505,BP$3,実績!$AI$6:$AI$505,"&lt;="&amp;$A224,実績!$AJ$6:$AJ$505,"&gt;"&amp;$A224,実績!$AL$6:$AL$505,"○")&gt;0,1,0))</f>
        <v>0</v>
      </c>
      <c r="BQ224" s="39" t="n">
        <f aca="false">IF(BQ$4=0,0,IF(COUNTIFS(実績!$W$6:$W$505,BQ$3,実績!$AI$6:$AI$505,"&lt;="&amp;$A224,実績!$AJ$6:$AJ$505,"&gt;"&amp;$A224,実績!$AL$6:$AL$505,"○")&gt;0,1,0))</f>
        <v>0</v>
      </c>
      <c r="BR224" s="39" t="n">
        <f aca="false">IF(BR$4=0,0,IF(COUNTIFS(実績!$W$6:$W$505,BR$3,実績!$AI$6:$AI$505,"&lt;="&amp;$A224,実績!$AJ$6:$AJ$505,"&gt;"&amp;$A224,実績!$AL$6:$AL$505,"○")&gt;0,1,0))</f>
        <v>0</v>
      </c>
      <c r="BS224" s="39" t="n">
        <f aca="false">IF(BS$4=0,0,IF(COUNTIFS(実績!$W$6:$W$505,BS$3,実績!$AI$6:$AI$505,"&lt;="&amp;$A224,実績!$AJ$6:$AJ$505,"&gt;"&amp;$A224,実績!$AL$6:$AL$505,"○")&gt;0,1,0))</f>
        <v>0</v>
      </c>
      <c r="BT224" s="39" t="n">
        <f aca="false">IF(BT$4=0,0,IF(COUNTIFS(実績!$W$6:$W$505,BT$3,実績!$AI$6:$AI$505,"&lt;="&amp;$A224,実績!$AJ$6:$AJ$505,"&gt;"&amp;$A224,実績!$AL$6:$AL$505,"○")&gt;0,1,0))</f>
        <v>0</v>
      </c>
      <c r="BU224" s="39" t="n">
        <f aca="false">IF(BU$4=0,0,IF(COUNTIFS(実績!$W$6:$W$505,BU$3,実績!$AI$6:$AI$505,"&lt;="&amp;$A224,実績!$AJ$6:$AJ$505,"&gt;"&amp;$A224,実績!$AL$6:$AL$505,"○")&gt;0,1,0))</f>
        <v>0</v>
      </c>
      <c r="BV224" s="39" t="n">
        <f aca="false">IF(BV$4=0,0,IF(COUNTIFS(実績!$W$6:$W$505,BV$3,実績!$AI$6:$AI$505,"&lt;="&amp;$A224,実績!$AJ$6:$AJ$505,"&gt;"&amp;$A224,実績!$AL$6:$AL$505,"○")&gt;0,1,0))</f>
        <v>0</v>
      </c>
      <c r="BW224" s="39" t="n">
        <f aca="false">IF(BW$4=0,0,IF(COUNTIFS(実績!$W$6:$W$505,BW$3,実績!$AI$6:$AI$505,"&lt;="&amp;$A224,実績!$AJ$6:$AJ$505,"&gt;"&amp;$A224,実績!$AL$6:$AL$505,"○")&gt;0,1,0))</f>
        <v>0</v>
      </c>
      <c r="BX224" s="39" t="n">
        <f aca="false">IF(BX$4=0,0,IF(COUNTIFS(実績!$W$6:$W$505,BX$3,実績!$AI$6:$AI$505,"&lt;="&amp;$A224,実績!$AJ$6:$AJ$505,"&gt;"&amp;$A224,実績!$AL$6:$AL$505,"○")&gt;0,1,0))</f>
        <v>0</v>
      </c>
      <c r="BY224" s="39" t="n">
        <f aca="false">IF(BY$4=0,0,IF(COUNTIFS(実績!$W$6:$W$505,BY$3,実績!$AI$6:$AI$505,"&lt;="&amp;$A224,実績!$AJ$6:$AJ$505,"&gt;"&amp;$A224,実績!$AL$6:$AL$505,"○")&gt;0,1,0))</f>
        <v>0</v>
      </c>
      <c r="BZ224" s="39" t="n">
        <f aca="false">IF(BZ$4=0,0,IF(COUNTIFS(実績!$W$6:$W$505,BZ$3,実績!$AI$6:$AI$505,"&lt;="&amp;$A224,実績!$AJ$6:$AJ$505,"&gt;"&amp;$A224,実績!$AL$6:$AL$505,"○")&gt;0,1,0))</f>
        <v>0</v>
      </c>
      <c r="CA224" s="39" t="n">
        <f aca="false">IF(CA$4=0,0,IF(COUNTIFS(実績!$W$6:$W$505,CA$3,実績!$AI$6:$AI$505,"&lt;="&amp;$A224,実績!$AJ$6:$AJ$505,"&gt;"&amp;$A224,実績!$AL$6:$AL$505,"○")&gt;0,1,0))</f>
        <v>0</v>
      </c>
      <c r="CB224" s="39" t="n">
        <f aca="false">IF(CB$4=0,0,IF(COUNTIFS(実績!$W$6:$W$505,CB$3,実績!$AI$6:$AI$505,"&lt;="&amp;$A224,実績!$AJ$6:$AJ$505,"&gt;"&amp;$A224,実績!$AL$6:$AL$505,"○")&gt;0,1,0))</f>
        <v>0</v>
      </c>
      <c r="CC224" s="39" t="n">
        <f aca="false">IF(CC$4=0,0,IF(COUNTIFS(実績!$W$6:$W$505,CC$3,実績!$AI$6:$AI$505,"&lt;="&amp;$A224,実績!$AJ$6:$AJ$505,"&gt;"&amp;$A224,実績!$AL$6:$AL$505,"○")&gt;0,1,0))</f>
        <v>0</v>
      </c>
      <c r="CD224" s="39" t="n">
        <f aca="false">IF(CD$4=0,0,IF(COUNTIFS(実績!$W$6:$W$505,CD$3,実績!$AI$6:$AI$505,"&lt;="&amp;$A224,実績!$AJ$6:$AJ$505,"&gt;"&amp;$A224,実績!$AL$6:$AL$505,"○")&gt;0,1,0))</f>
        <v>0</v>
      </c>
      <c r="CE224" s="39" t="n">
        <f aca="false">IF(CE$4=0,0,IF(COUNTIFS(実績!$W$6:$W$505,CE$3,実績!$AI$6:$AI$505,"&lt;="&amp;$A224,実績!$AJ$6:$AJ$505,"&gt;"&amp;$A224,実績!$AL$6:$AL$505,"○")&gt;0,1,0))</f>
        <v>0</v>
      </c>
      <c r="CF224" s="39" t="n">
        <f aca="false">IF(CF$4=0,0,IF(COUNTIFS(実績!$W$6:$W$505,CF$3,実績!$AI$6:$AI$505,"&lt;="&amp;$A224,実績!$AJ$6:$AJ$505,"&gt;"&amp;$A224,実績!$AL$6:$AL$505,"○")&gt;0,1,0))</f>
        <v>0</v>
      </c>
      <c r="CG224" s="39" t="n">
        <f aca="false">IF(CG$4=0,0,IF(COUNTIFS(実績!$W$6:$W$505,CG$3,実績!$AI$6:$AI$505,"&lt;="&amp;$A224,実績!$AJ$6:$AJ$505,"&gt;"&amp;$A224,実績!$AL$6:$AL$505,"○")&gt;0,1,0))</f>
        <v>0</v>
      </c>
      <c r="CH224" s="39" t="n">
        <f aca="false">IF(CH$4=0,0,IF(COUNTIFS(実績!$W$6:$W$505,CH$3,実績!$AI$6:$AI$505,"&lt;="&amp;$A224,実績!$AJ$6:$AJ$505,"&gt;"&amp;$A224,実績!$AL$6:$AL$505,"○")&gt;0,1,0))</f>
        <v>0</v>
      </c>
      <c r="CI224" s="39" t="n">
        <f aca="false">IF(CI$4=0,0,IF(COUNTIFS(実績!$W$6:$W$505,CI$3,実績!$AI$6:$AI$505,"&lt;="&amp;$A224,実績!$AJ$6:$AJ$505,"&gt;"&amp;$A224,実績!$AL$6:$AL$505,"○")&gt;0,1,0))</f>
        <v>0</v>
      </c>
      <c r="CJ224" s="39" t="n">
        <f aca="false">IF(CJ$4=0,0,IF(COUNTIFS(実績!$W$6:$W$505,CJ$3,実績!$AI$6:$AI$505,"&lt;="&amp;$A224,実績!$AJ$6:$AJ$505,"&gt;"&amp;$A224,実績!$AL$6:$AL$505,"○")&gt;0,1,0))</f>
        <v>0</v>
      </c>
      <c r="CK224" s="39" t="n">
        <f aca="false">IF(CK$4=0,0,IF(COUNTIFS(実績!$W$6:$W$505,CK$3,実績!$AI$6:$AI$505,"&lt;="&amp;$A224,実績!$AJ$6:$AJ$505,"&gt;"&amp;$A224,実績!$AL$6:$AL$505,"○")&gt;0,1,0))</f>
        <v>0</v>
      </c>
      <c r="CL224" s="39" t="n">
        <f aca="false">IF(CL$4=0,0,IF(COUNTIFS(実績!$W$6:$W$505,CL$3,実績!$AI$6:$AI$505,"&lt;="&amp;$A224,実績!$AJ$6:$AJ$505,"&gt;"&amp;$A224,実績!$AL$6:$AL$505,"○")&gt;0,1,0))</f>
        <v>0</v>
      </c>
      <c r="CM224" s="39" t="n">
        <f aca="false">IF(CM$4=0,0,IF(COUNTIFS(実績!$W$6:$W$505,CM$3,実績!$AI$6:$AI$505,"&lt;="&amp;$A224,実績!$AJ$6:$AJ$505,"&gt;"&amp;$A224,実績!$AL$6:$AL$505,"○")&gt;0,1,0))</f>
        <v>0</v>
      </c>
      <c r="CN224" s="39" t="n">
        <f aca="false">IF(CN$4=0,0,IF(COUNTIFS(実績!$W$6:$W$505,CN$3,実績!$AI$6:$AI$505,"&lt;="&amp;$A224,実績!$AJ$6:$AJ$505,"&gt;"&amp;$A224,実績!$AL$6:$AL$505,"○")&gt;0,1,0))</f>
        <v>0</v>
      </c>
      <c r="CO224" s="39" t="n">
        <f aca="false">IF(CO$4=0,0,IF(COUNTIFS(実績!$W$6:$W$505,CO$3,実績!$AI$6:$AI$505,"&lt;="&amp;$A224,実績!$AJ$6:$AJ$505,"&gt;"&amp;$A224,実績!$AL$6:$AL$505,"○")&gt;0,1,0))</f>
        <v>0</v>
      </c>
      <c r="CP224" s="39" t="n">
        <f aca="false">IF(CP$4=0,0,IF(COUNTIFS(実績!$W$6:$W$505,CP$3,実績!$AI$6:$AI$505,"&lt;="&amp;$A224,実績!$AJ$6:$AJ$505,"&gt;"&amp;$A224,実績!$AL$6:$AL$505,"○")&gt;0,1,0))</f>
        <v>0</v>
      </c>
      <c r="CQ224" s="39" t="n">
        <f aca="false">IF(CQ$4=0,0,IF(COUNTIFS(実績!$W$6:$W$505,CQ$3,実績!$AI$6:$AI$505,"&lt;="&amp;$A224,実績!$AJ$6:$AJ$505,"&gt;"&amp;$A224,実績!$AL$6:$AL$505,"○")&gt;0,1,0))</f>
        <v>0</v>
      </c>
      <c r="CR224" s="39" t="n">
        <f aca="false">IF(CR$4=0,0,IF(COUNTIFS(実績!$W$6:$W$505,CR$3,実績!$AI$6:$AI$505,"&lt;="&amp;$A224,実績!$AJ$6:$AJ$505,"&gt;"&amp;$A224,実績!$AL$6:$AL$505,"○")&gt;0,1,0))</f>
        <v>0</v>
      </c>
      <c r="CS224" s="39" t="n">
        <f aca="false">IF(CS$4=0,0,IF(COUNTIFS(実績!$W$6:$W$505,CS$3,実績!$AI$6:$AI$505,"&lt;="&amp;$A224,実績!$AJ$6:$AJ$505,"&gt;"&amp;$A224,実績!$AL$6:$AL$505,"○")&gt;0,1,0))</f>
        <v>0</v>
      </c>
      <c r="CT224" s="39" t="n">
        <f aca="false">IF(CT$4=0,0,IF(COUNTIFS(実績!$W$6:$W$505,CT$3,実績!$AI$6:$AI$505,"&lt;="&amp;$A224,実績!$AJ$6:$AJ$505,"&gt;"&amp;$A224,実績!$AL$6:$AL$505,"○")&gt;0,1,0))</f>
        <v>0</v>
      </c>
      <c r="CU224" s="39" t="n">
        <f aca="false">IF(CU$4=0,0,IF(COUNTIFS(実績!$W$6:$W$505,CU$3,実績!$AI$6:$AI$505,"&lt;="&amp;$A224,実績!$AJ$6:$AJ$505,"&gt;"&amp;$A224,実績!$AL$6:$AL$505,"○")&gt;0,1,0))</f>
        <v>0</v>
      </c>
      <c r="CV224" s="39" t="n">
        <f aca="false">IF(CV$4=0,0,IF(COUNTIFS(実績!$W$6:$W$505,CV$3,実績!$AI$6:$AI$505,"&lt;="&amp;$A224,実績!$AJ$6:$AJ$505,"&gt;"&amp;$A224,実績!$AL$6:$AL$505,"○")&gt;0,1,0))</f>
        <v>0</v>
      </c>
      <c r="CW224" s="39" t="n">
        <f aca="false">IF(CW$4=0,0,IF(COUNTIFS(実績!$W$6:$W$505,CW$3,実績!$AI$6:$AI$505,"&lt;="&amp;$A224,実績!$AJ$6:$AJ$505,"&gt;"&amp;$A224,実績!$AL$6:$AL$505,"○")&gt;0,1,0))</f>
        <v>0</v>
      </c>
      <c r="CX224" s="39" t="n">
        <f aca="false">IF(CX$4=0,0,IF(COUNTIFS(実績!$W$6:$W$505,CX$3,実績!$AI$6:$AI$505,"&lt;="&amp;$A224,実績!$AJ$6:$AJ$505,"&gt;"&amp;$A224,実績!$AL$6:$AL$505,"○")&gt;0,1,0))</f>
        <v>0</v>
      </c>
      <c r="CY224" s="39" t="n">
        <f aca="false">IF(CY$4=0,0,IF(COUNTIFS(実績!$W$6:$W$505,CY$3,実績!$AI$6:$AI$505,"&lt;="&amp;$A224,実績!$AJ$6:$AJ$505,"&gt;"&amp;$A224,実績!$AL$6:$AL$505,"○")&gt;0,1,0))</f>
        <v>0</v>
      </c>
      <c r="CZ224" s="39" t="n">
        <f aca="false">IF(CZ$4=0,0,IF(COUNTIFS(実績!$W$6:$W$505,CZ$3,実績!$AI$6:$AI$505,"&lt;="&amp;$A224,実績!$AJ$6:$AJ$505,"&gt;"&amp;$A224,実績!$AL$6:$AL$505,"○")&gt;0,1,0))</f>
        <v>0</v>
      </c>
      <c r="DA224" s="39" t="n">
        <f aca="false">IF(DA$4=0,0,IF(COUNTIFS(実績!$W$6:$W$505,DA$3,実績!$AI$6:$AI$505,"&lt;="&amp;$A224,実績!$AJ$6:$AJ$505,"&gt;"&amp;$A224,実績!$AL$6:$AL$505,"○")&gt;0,1,0))</f>
        <v>0</v>
      </c>
      <c r="DB224" s="39" t="n">
        <f aca="false">IF(DB$4=0,0,IF(COUNTIFS(実績!$W$6:$W$505,DB$3,実績!$AI$6:$AI$505,"&lt;="&amp;$A224,実績!$AJ$6:$AJ$505,"&gt;"&amp;$A224,実績!$AL$6:$AL$505,"○")&gt;0,1,0))</f>
        <v>0</v>
      </c>
      <c r="DC224" s="39" t="n">
        <f aca="false">IF(DC$4=0,0,IF(COUNTIFS(実績!$W$6:$W$505,DC$3,実績!$AI$6:$AI$505,"&lt;="&amp;$A224,実績!$AJ$6:$AJ$505,"&gt;"&amp;$A224,実績!$AL$6:$AL$505,"○")&gt;0,1,0))</f>
        <v>0</v>
      </c>
      <c r="DD224" s="39" t="n">
        <f aca="false">IF(DD$4=0,0,IF(COUNTIFS(実績!$W$6:$W$505,DD$3,実績!$AI$6:$AI$505,"&lt;="&amp;$A224,実績!$AJ$6:$AJ$505,"&gt;"&amp;$A224,実績!$AL$6:$AL$505,"○")&gt;0,1,0))</f>
        <v>0</v>
      </c>
      <c r="DE224" s="39" t="n">
        <f aca="false">IF(DE$4=0,0,IF(COUNTIFS(実績!$W$6:$W$505,DE$3,実績!$AI$6:$AI$505,"&lt;="&amp;$A224,実績!$AJ$6:$AJ$505,"&gt;"&amp;$A224,実績!$AL$6:$AL$505,"○")&gt;0,1,0))</f>
        <v>0</v>
      </c>
      <c r="DF224" s="39" t="n">
        <f aca="false">IF(DF$4=0,0,IF(COUNTIFS(実績!$W$6:$W$505,DF$3,実績!$AI$6:$AI$505,"&lt;="&amp;$A224,実績!$AJ$6:$AJ$505,"&gt;"&amp;$A224,実績!$AL$6:$AL$505,"○")&gt;0,1,0))</f>
        <v>0</v>
      </c>
      <c r="DG224" s="39" t="n">
        <f aca="false">IF(DG$4=0,0,IF(COUNTIFS(実績!$W$6:$W$505,DG$3,実績!$AI$6:$AI$505,"&lt;="&amp;$A224,実績!$AJ$6:$AJ$505,"&gt;"&amp;$A224,実績!$AL$6:$AL$505,"○")&gt;0,1,0))</f>
        <v>0</v>
      </c>
      <c r="DH224" s="39" t="n">
        <f aca="false">IF(DH$4=0,0,IF(COUNTIFS(実績!$W$6:$W$505,DH$3,実績!$AI$6:$AI$505,"&lt;="&amp;$A224,実績!$AJ$6:$AJ$505,"&gt;"&amp;$A224,実績!$AL$6:$AL$505,"○")&gt;0,1,0))</f>
        <v>0</v>
      </c>
      <c r="DI224" s="39" t="n">
        <f aca="false">IF(DI$4=0,0,IF(COUNTIFS(実績!$W$6:$W$505,DI$3,実績!$AI$6:$AI$505,"&lt;="&amp;$A224,実績!$AJ$6:$AJ$505,"&gt;"&amp;$A224,実績!$AL$6:$AL$505,"○")&gt;0,1,0))</f>
        <v>0</v>
      </c>
      <c r="DJ224" s="39" t="n">
        <f aca="false">IF(DJ$4=0,0,IF(COUNTIFS(実績!$W$6:$W$505,DJ$3,実績!$AI$6:$AI$505,"&lt;="&amp;$A224,実績!$AJ$6:$AJ$505,"&gt;"&amp;$A224,実績!$AL$6:$AL$505,"○")&gt;0,1,0))</f>
        <v>0</v>
      </c>
      <c r="DK224" s="39" t="n">
        <f aca="false">IF(DK$4=0,0,IF(COUNTIFS(実績!$W$6:$W$505,DK$3,実績!$AI$6:$AI$505,"&lt;="&amp;$A224,実績!$AJ$6:$AJ$505,"&gt;"&amp;$A224,実績!$AL$6:$AL$505,"○")&gt;0,1,0))</f>
        <v>0</v>
      </c>
      <c r="DL224" s="39" t="n">
        <f aca="false">IF(DL$4=0,0,IF(COUNTIFS(実績!$W$6:$W$505,DL$3,実績!$AI$6:$AI$505,"&lt;="&amp;$A224,実績!$AJ$6:$AJ$505,"&gt;"&amp;$A224,実績!$AL$6:$AL$505,"○")&gt;0,1,0))</f>
        <v>0</v>
      </c>
      <c r="DM224" s="39" t="n">
        <f aca="false">IF(DM$4=0,0,IF(COUNTIFS(実績!$W$6:$W$505,DM$3,実績!$AI$6:$AI$505,"&lt;="&amp;$A224,実績!$AJ$6:$AJ$505,"&gt;"&amp;$A224,実績!$AL$6:$AL$505,"○")&gt;0,1,0))</f>
        <v>0</v>
      </c>
      <c r="DN224" s="39" t="n">
        <f aca="false">IF(DN$4=0,0,IF(COUNTIFS(実績!$W$6:$W$505,DN$3,実績!$AI$6:$AI$505,"&lt;="&amp;$A224,実績!$AJ$6:$AJ$505,"&gt;"&amp;$A224,実績!$AL$6:$AL$505,"○")&gt;0,1,0))</f>
        <v>0</v>
      </c>
      <c r="DO224" s="39" t="n">
        <f aca="false">IF(DO$4=0,0,IF(COUNTIFS(実績!$W$6:$W$505,DO$3,実績!$AI$6:$AI$505,"&lt;="&amp;$A224,実績!$AJ$6:$AJ$505,"&gt;"&amp;$A224,実績!$AL$6:$AL$505,"○")&gt;0,1,0))</f>
        <v>0</v>
      </c>
      <c r="DP224" s="39" t="n">
        <f aca="false">IF(DP$4=0,0,IF(COUNTIFS(実績!$W$6:$W$505,DP$3,実績!$AI$6:$AI$505,"&lt;="&amp;$A224,実績!$AJ$6:$AJ$505,"&gt;"&amp;$A224,実績!$AL$6:$AL$505,"○")&gt;0,1,0))</f>
        <v>0</v>
      </c>
      <c r="DQ224" s="39" t="n">
        <f aca="false">IF(DQ$4=0,0,IF(COUNTIFS(実績!$W$6:$W$505,DQ$3,実績!$AI$6:$AI$505,"&lt;="&amp;$A224,実績!$AJ$6:$AJ$505,"&gt;"&amp;$A224,実績!$AL$6:$AL$505,"○")&gt;0,1,0))</f>
        <v>0</v>
      </c>
      <c r="DR224" s="39" t="n">
        <f aca="false">IF(DR$4=0,0,IF(COUNTIFS(実績!$W$6:$W$505,DR$3,実績!$AI$6:$AI$505,"&lt;="&amp;$A224,実績!$AJ$6:$AJ$505,"&gt;"&amp;$A224,実績!$AL$6:$AL$505,"○")&gt;0,1,0))</f>
        <v>0</v>
      </c>
      <c r="DS224" s="39" t="n">
        <f aca="false">SUM(C224:DR224)</f>
        <v>0</v>
      </c>
    </row>
    <row r="225" customFormat="false" ht="15" hidden="false" customHeight="false" outlineLevel="0" collapsed="false">
      <c r="A225" s="0" t="n">
        <v>1095</v>
      </c>
      <c r="B225" s="38" t="n">
        <f aca="false">A225/1440</f>
        <v>0.760416666666667</v>
      </c>
      <c r="C225" s="39" t="n">
        <f aca="false">IF(C$4=0,0,IF(COUNTIFS(実績!$W$6:$W$505,C$3,実績!$AI$6:$AI$505,"&lt;="&amp;$A225,実績!$AJ$6:$AJ$505,"&gt;"&amp;$A225,実績!$AL$6:$AL$505,"○")&gt;0,1,0))</f>
        <v>0</v>
      </c>
      <c r="D225" s="39" t="n">
        <f aca="false">IF(D$4=0,0,IF(COUNTIFS(実績!$W$6:$W$505,D$3,実績!$AI$6:$AI$505,"&lt;="&amp;$A225,実績!$AJ$6:$AJ$505,"&gt;"&amp;$A225,実績!$AL$6:$AL$505,"○")&gt;0,1,0))</f>
        <v>0</v>
      </c>
      <c r="E225" s="39" t="n">
        <f aca="false">IF(E$4=0,0,IF(COUNTIFS(実績!$W$6:$W$505,E$3,実績!$AI$6:$AI$505,"&lt;="&amp;$A225,実績!$AJ$6:$AJ$505,"&gt;"&amp;$A225,実績!$AL$6:$AL$505,"○")&gt;0,1,0))</f>
        <v>0</v>
      </c>
      <c r="F225" s="39" t="n">
        <f aca="false">IF(F$4=0,0,IF(COUNTIFS(実績!$W$6:$W$505,F$3,実績!$AI$6:$AI$505,"&lt;="&amp;$A225,実績!$AJ$6:$AJ$505,"&gt;"&amp;$A225,実績!$AL$6:$AL$505,"○")&gt;0,1,0))</f>
        <v>0</v>
      </c>
      <c r="G225" s="39" t="n">
        <f aca="false">IF(G$4=0,0,IF(COUNTIFS(実績!$W$6:$W$505,G$3,実績!$AI$6:$AI$505,"&lt;="&amp;$A225,実績!$AJ$6:$AJ$505,"&gt;"&amp;$A225,実績!$AL$6:$AL$505,"○")&gt;0,1,0))</f>
        <v>0</v>
      </c>
      <c r="H225" s="39" t="n">
        <f aca="false">IF(H$4=0,0,IF(COUNTIFS(実績!$W$6:$W$505,H$3,実績!$AI$6:$AI$505,"&lt;="&amp;$A225,実績!$AJ$6:$AJ$505,"&gt;"&amp;$A225,実績!$AL$6:$AL$505,"○")&gt;0,1,0))</f>
        <v>0</v>
      </c>
      <c r="I225" s="39" t="n">
        <f aca="false">IF(I$4=0,0,IF(COUNTIFS(実績!$W$6:$W$505,I$3,実績!$AI$6:$AI$505,"&lt;="&amp;$A225,実績!$AJ$6:$AJ$505,"&gt;"&amp;$A225,実績!$AL$6:$AL$505,"○")&gt;0,1,0))</f>
        <v>0</v>
      </c>
      <c r="J225" s="39" t="n">
        <f aca="false">IF(J$4=0,0,IF(COUNTIFS(実績!$W$6:$W$505,J$3,実績!$AI$6:$AI$505,"&lt;="&amp;$A225,実績!$AJ$6:$AJ$505,"&gt;"&amp;$A225,実績!$AL$6:$AL$505,"○")&gt;0,1,0))</f>
        <v>0</v>
      </c>
      <c r="K225" s="39" t="n">
        <f aca="false">IF(K$4=0,0,IF(COUNTIFS(実績!$W$6:$W$505,K$3,実績!$AI$6:$AI$505,"&lt;="&amp;$A225,実績!$AJ$6:$AJ$505,"&gt;"&amp;$A225,実績!$AL$6:$AL$505,"○")&gt;0,1,0))</f>
        <v>0</v>
      </c>
      <c r="L225" s="39" t="n">
        <f aca="false">IF(L$4=0,0,IF(COUNTIFS(実績!$W$6:$W$505,L$3,実績!$AI$6:$AI$505,"&lt;="&amp;$A225,実績!$AJ$6:$AJ$505,"&gt;"&amp;$A225,実績!$AL$6:$AL$505,"○")&gt;0,1,0))</f>
        <v>0</v>
      </c>
      <c r="M225" s="39" t="n">
        <f aca="false">IF(M$4=0,0,IF(COUNTIFS(実績!$W$6:$W$505,M$3,実績!$AI$6:$AI$505,"&lt;="&amp;$A225,実績!$AJ$6:$AJ$505,"&gt;"&amp;$A225,実績!$AL$6:$AL$505,"○")&gt;0,1,0))</f>
        <v>0</v>
      </c>
      <c r="N225" s="39" t="n">
        <f aca="false">IF(N$4=0,0,IF(COUNTIFS(実績!$W$6:$W$505,N$3,実績!$AI$6:$AI$505,"&lt;="&amp;$A225,実績!$AJ$6:$AJ$505,"&gt;"&amp;$A225,実績!$AL$6:$AL$505,"○")&gt;0,1,0))</f>
        <v>0</v>
      </c>
      <c r="O225" s="39" t="n">
        <f aca="false">IF(O$4=0,0,IF(COUNTIFS(実績!$W$6:$W$505,O$3,実績!$AI$6:$AI$505,"&lt;="&amp;$A225,実績!$AJ$6:$AJ$505,"&gt;"&amp;$A225,実績!$AL$6:$AL$505,"○")&gt;0,1,0))</f>
        <v>0</v>
      </c>
      <c r="P225" s="39" t="n">
        <f aca="false">IF(P$4=0,0,IF(COUNTIFS(実績!$W$6:$W$505,P$3,実績!$AI$6:$AI$505,"&lt;="&amp;$A225,実績!$AJ$6:$AJ$505,"&gt;"&amp;$A225,実績!$AL$6:$AL$505,"○")&gt;0,1,0))</f>
        <v>0</v>
      </c>
      <c r="Q225" s="39" t="n">
        <f aca="false">IF(Q$4=0,0,IF(COUNTIFS(実績!$W$6:$W$505,Q$3,実績!$AI$6:$AI$505,"&lt;="&amp;$A225,実績!$AJ$6:$AJ$505,"&gt;"&amp;$A225,実績!$AL$6:$AL$505,"○")&gt;0,1,0))</f>
        <v>0</v>
      </c>
      <c r="R225" s="39" t="n">
        <f aca="false">IF(R$4=0,0,IF(COUNTIFS(実績!$W$6:$W$505,R$3,実績!$AI$6:$AI$505,"&lt;="&amp;$A225,実績!$AJ$6:$AJ$505,"&gt;"&amp;$A225,実績!$AL$6:$AL$505,"○")&gt;0,1,0))</f>
        <v>0</v>
      </c>
      <c r="S225" s="39" t="n">
        <f aca="false">IF(S$4=0,0,IF(COUNTIFS(実績!$W$6:$W$505,S$3,実績!$AI$6:$AI$505,"&lt;="&amp;$A225,実績!$AJ$6:$AJ$505,"&gt;"&amp;$A225,実績!$AL$6:$AL$505,"○")&gt;0,1,0))</f>
        <v>0</v>
      </c>
      <c r="T225" s="39" t="n">
        <f aca="false">IF(T$4=0,0,IF(COUNTIFS(実績!$W$6:$W$505,T$3,実績!$AI$6:$AI$505,"&lt;="&amp;$A225,実績!$AJ$6:$AJ$505,"&gt;"&amp;$A225,実績!$AL$6:$AL$505,"○")&gt;0,1,0))</f>
        <v>0</v>
      </c>
      <c r="U225" s="39" t="n">
        <f aca="false">IF(U$4=0,0,IF(COUNTIFS(実績!$W$6:$W$505,U$3,実績!$AI$6:$AI$505,"&lt;="&amp;$A225,実績!$AJ$6:$AJ$505,"&gt;"&amp;$A225,実績!$AL$6:$AL$505,"○")&gt;0,1,0))</f>
        <v>0</v>
      </c>
      <c r="V225" s="39" t="n">
        <f aca="false">IF(V$4=0,0,IF(COUNTIFS(実績!$W$6:$W$505,V$3,実績!$AI$6:$AI$505,"&lt;="&amp;$A225,実績!$AJ$6:$AJ$505,"&gt;"&amp;$A225,実績!$AL$6:$AL$505,"○")&gt;0,1,0))</f>
        <v>0</v>
      </c>
      <c r="W225" s="39" t="n">
        <f aca="false">IF(W$4=0,0,IF(COUNTIFS(実績!$W$6:$W$505,W$3,実績!$AI$6:$AI$505,"&lt;="&amp;$A225,実績!$AJ$6:$AJ$505,"&gt;"&amp;$A225,実績!$AL$6:$AL$505,"○")&gt;0,1,0))</f>
        <v>0</v>
      </c>
      <c r="X225" s="39" t="n">
        <f aca="false">IF(X$4=0,0,IF(COUNTIFS(実績!$W$6:$W$505,X$3,実績!$AI$6:$AI$505,"&lt;="&amp;$A225,実績!$AJ$6:$AJ$505,"&gt;"&amp;$A225,実績!$AL$6:$AL$505,"○")&gt;0,1,0))</f>
        <v>0</v>
      </c>
      <c r="Y225" s="39" t="n">
        <f aca="false">IF(Y$4=0,0,IF(COUNTIFS(実績!$W$6:$W$505,Y$3,実績!$AI$6:$AI$505,"&lt;="&amp;$A225,実績!$AJ$6:$AJ$505,"&gt;"&amp;$A225,実績!$AL$6:$AL$505,"○")&gt;0,1,0))</f>
        <v>0</v>
      </c>
      <c r="Z225" s="39" t="n">
        <f aca="false">IF(Z$4=0,0,IF(COUNTIFS(実績!$W$6:$W$505,Z$3,実績!$AI$6:$AI$505,"&lt;="&amp;$A225,実績!$AJ$6:$AJ$505,"&gt;"&amp;$A225,実績!$AL$6:$AL$505,"○")&gt;0,1,0))</f>
        <v>0</v>
      </c>
      <c r="AA225" s="39" t="n">
        <f aca="false">IF(AA$4=0,0,IF(COUNTIFS(実績!$W$6:$W$505,AA$3,実績!$AI$6:$AI$505,"&lt;="&amp;$A225,実績!$AJ$6:$AJ$505,"&gt;"&amp;$A225,実績!$AL$6:$AL$505,"○")&gt;0,1,0))</f>
        <v>0</v>
      </c>
      <c r="AB225" s="39" t="n">
        <f aca="false">IF(AB$4=0,0,IF(COUNTIFS(実績!$W$6:$W$505,AB$3,実績!$AI$6:$AI$505,"&lt;="&amp;$A225,実績!$AJ$6:$AJ$505,"&gt;"&amp;$A225,実績!$AL$6:$AL$505,"○")&gt;0,1,0))</f>
        <v>0</v>
      </c>
      <c r="AC225" s="39" t="n">
        <f aca="false">IF(AC$4=0,0,IF(COUNTIFS(実績!$W$6:$W$505,AC$3,実績!$AI$6:$AI$505,"&lt;="&amp;$A225,実績!$AJ$6:$AJ$505,"&gt;"&amp;$A225,実績!$AL$6:$AL$505,"○")&gt;0,1,0))</f>
        <v>0</v>
      </c>
      <c r="AD225" s="39" t="n">
        <f aca="false">IF(AD$4=0,0,IF(COUNTIFS(実績!$W$6:$W$505,AD$3,実績!$AI$6:$AI$505,"&lt;="&amp;$A225,実績!$AJ$6:$AJ$505,"&gt;"&amp;$A225,実績!$AL$6:$AL$505,"○")&gt;0,1,0))</f>
        <v>0</v>
      </c>
      <c r="AE225" s="39" t="n">
        <f aca="false">IF(AE$4=0,0,IF(COUNTIFS(実績!$W$6:$W$505,AE$3,実績!$AI$6:$AI$505,"&lt;="&amp;$A225,実績!$AJ$6:$AJ$505,"&gt;"&amp;$A225,実績!$AL$6:$AL$505,"○")&gt;0,1,0))</f>
        <v>0</v>
      </c>
      <c r="AF225" s="39" t="n">
        <f aca="false">IF(AF$4=0,0,IF(COUNTIFS(実績!$W$6:$W$505,AF$3,実績!$AI$6:$AI$505,"&lt;="&amp;$A225,実績!$AJ$6:$AJ$505,"&gt;"&amp;$A225,実績!$AL$6:$AL$505,"○")&gt;0,1,0))</f>
        <v>0</v>
      </c>
      <c r="AG225" s="39" t="n">
        <f aca="false">IF(AG$4=0,0,IF(COUNTIFS(実績!$W$6:$W$505,AG$3,実績!$AI$6:$AI$505,"&lt;="&amp;$A225,実績!$AJ$6:$AJ$505,"&gt;"&amp;$A225,実績!$AL$6:$AL$505,"○")&gt;0,1,0))</f>
        <v>0</v>
      </c>
      <c r="AH225" s="39" t="n">
        <f aca="false">IF(AH$4=0,0,IF(COUNTIFS(実績!$W$6:$W$505,AH$3,実績!$AI$6:$AI$505,"&lt;="&amp;$A225,実績!$AJ$6:$AJ$505,"&gt;"&amp;$A225,実績!$AL$6:$AL$505,"○")&gt;0,1,0))</f>
        <v>0</v>
      </c>
      <c r="AI225" s="39" t="n">
        <f aca="false">IF(AI$4=0,0,IF(COUNTIFS(実績!$W$6:$W$505,AI$3,実績!$AI$6:$AI$505,"&lt;="&amp;$A225,実績!$AJ$6:$AJ$505,"&gt;"&amp;$A225,実績!$AL$6:$AL$505,"○")&gt;0,1,0))</f>
        <v>0</v>
      </c>
      <c r="AJ225" s="39" t="n">
        <f aca="false">IF(AJ$4=0,0,IF(COUNTIFS(実績!$W$6:$W$505,AJ$3,実績!$AI$6:$AI$505,"&lt;="&amp;$A225,実績!$AJ$6:$AJ$505,"&gt;"&amp;$A225,実績!$AL$6:$AL$505,"○")&gt;0,1,0))</f>
        <v>0</v>
      </c>
      <c r="AK225" s="39" t="n">
        <f aca="false">IF(AK$4=0,0,IF(COUNTIFS(実績!$W$6:$W$505,AK$3,実績!$AI$6:$AI$505,"&lt;="&amp;$A225,実績!$AJ$6:$AJ$505,"&gt;"&amp;$A225,実績!$AL$6:$AL$505,"○")&gt;0,1,0))</f>
        <v>0</v>
      </c>
      <c r="AL225" s="39" t="n">
        <f aca="false">IF(AL$4=0,0,IF(COUNTIFS(実績!$W$6:$W$505,AL$3,実績!$AI$6:$AI$505,"&lt;="&amp;$A225,実績!$AJ$6:$AJ$505,"&gt;"&amp;$A225,実績!$AL$6:$AL$505,"○")&gt;0,1,0))</f>
        <v>0</v>
      </c>
      <c r="AM225" s="39" t="n">
        <f aca="false">IF(AM$4=0,0,IF(COUNTIFS(実績!$W$6:$W$505,AM$3,実績!$AI$6:$AI$505,"&lt;="&amp;$A225,実績!$AJ$6:$AJ$505,"&gt;"&amp;$A225,実績!$AL$6:$AL$505,"○")&gt;0,1,0))</f>
        <v>0</v>
      </c>
      <c r="AN225" s="39" t="n">
        <f aca="false">IF(AN$4=0,0,IF(COUNTIFS(実績!$W$6:$W$505,AN$3,実績!$AI$6:$AI$505,"&lt;="&amp;$A225,実績!$AJ$6:$AJ$505,"&gt;"&amp;$A225,実績!$AL$6:$AL$505,"○")&gt;0,1,0))</f>
        <v>0</v>
      </c>
      <c r="AO225" s="39" t="n">
        <f aca="false">IF(AO$4=0,0,IF(COUNTIFS(実績!$W$6:$W$505,AO$3,実績!$AI$6:$AI$505,"&lt;="&amp;$A225,実績!$AJ$6:$AJ$505,"&gt;"&amp;$A225,実績!$AL$6:$AL$505,"○")&gt;0,1,0))</f>
        <v>0</v>
      </c>
      <c r="AP225" s="39" t="n">
        <f aca="false">IF(AP$4=0,0,IF(COUNTIFS(実績!$W$6:$W$505,AP$3,実績!$AI$6:$AI$505,"&lt;="&amp;$A225,実績!$AJ$6:$AJ$505,"&gt;"&amp;$A225,実績!$AL$6:$AL$505,"○")&gt;0,1,0))</f>
        <v>0</v>
      </c>
      <c r="AQ225" s="39" t="n">
        <f aca="false">IF(AQ$4=0,0,IF(COUNTIFS(実績!$W$6:$W$505,AQ$3,実績!$AI$6:$AI$505,"&lt;="&amp;$A225,実績!$AJ$6:$AJ$505,"&gt;"&amp;$A225,実績!$AL$6:$AL$505,"○")&gt;0,1,0))</f>
        <v>0</v>
      </c>
      <c r="AR225" s="39" t="n">
        <f aca="false">IF(AR$4=0,0,IF(COUNTIFS(実績!$W$6:$W$505,AR$3,実績!$AI$6:$AI$505,"&lt;="&amp;$A225,実績!$AJ$6:$AJ$505,"&gt;"&amp;$A225,実績!$AL$6:$AL$505,"○")&gt;0,1,0))</f>
        <v>0</v>
      </c>
      <c r="AS225" s="39" t="n">
        <f aca="false">IF(AS$4=0,0,IF(COUNTIFS(実績!$W$6:$W$505,AS$3,実績!$AI$6:$AI$505,"&lt;="&amp;$A225,実績!$AJ$6:$AJ$505,"&gt;"&amp;$A225,実績!$AL$6:$AL$505,"○")&gt;0,1,0))</f>
        <v>0</v>
      </c>
      <c r="AT225" s="39" t="n">
        <f aca="false">IF(AT$4=0,0,IF(COUNTIFS(実績!$W$6:$W$505,AT$3,実績!$AI$6:$AI$505,"&lt;="&amp;$A225,実績!$AJ$6:$AJ$505,"&gt;"&amp;$A225,実績!$AL$6:$AL$505,"○")&gt;0,1,0))</f>
        <v>0</v>
      </c>
      <c r="AU225" s="39" t="n">
        <f aca="false">IF(AU$4=0,0,IF(COUNTIFS(実績!$W$6:$W$505,AU$3,実績!$AI$6:$AI$505,"&lt;="&amp;$A225,実績!$AJ$6:$AJ$505,"&gt;"&amp;$A225,実績!$AL$6:$AL$505,"○")&gt;0,1,0))</f>
        <v>0</v>
      </c>
      <c r="AV225" s="39" t="n">
        <f aca="false">IF(AV$4=0,0,IF(COUNTIFS(実績!$W$6:$W$505,AV$3,実績!$AI$6:$AI$505,"&lt;="&amp;$A225,実績!$AJ$6:$AJ$505,"&gt;"&amp;$A225,実績!$AL$6:$AL$505,"○")&gt;0,1,0))</f>
        <v>0</v>
      </c>
      <c r="AW225" s="39" t="n">
        <f aca="false">IF(AW$4=0,0,IF(COUNTIFS(実績!$W$6:$W$505,AW$3,実績!$AI$6:$AI$505,"&lt;="&amp;$A225,実績!$AJ$6:$AJ$505,"&gt;"&amp;$A225,実績!$AL$6:$AL$505,"○")&gt;0,1,0))</f>
        <v>0</v>
      </c>
      <c r="AX225" s="39" t="n">
        <f aca="false">IF(AX$4=0,0,IF(COUNTIFS(実績!$W$6:$W$505,AX$3,実績!$AI$6:$AI$505,"&lt;="&amp;$A225,実績!$AJ$6:$AJ$505,"&gt;"&amp;$A225,実績!$AL$6:$AL$505,"○")&gt;0,1,0))</f>
        <v>0</v>
      </c>
      <c r="AY225" s="39" t="n">
        <f aca="false">IF(AY$4=0,0,IF(COUNTIFS(実績!$W$6:$W$505,AY$3,実績!$AI$6:$AI$505,"&lt;="&amp;$A225,実績!$AJ$6:$AJ$505,"&gt;"&amp;$A225,実績!$AL$6:$AL$505,"○")&gt;0,1,0))</f>
        <v>0</v>
      </c>
      <c r="AZ225" s="39" t="n">
        <f aca="false">IF(AZ$4=0,0,IF(COUNTIFS(実績!$W$6:$W$505,AZ$3,実績!$AI$6:$AI$505,"&lt;="&amp;$A225,実績!$AJ$6:$AJ$505,"&gt;"&amp;$A225,実績!$AL$6:$AL$505,"○")&gt;0,1,0))</f>
        <v>0</v>
      </c>
      <c r="BA225" s="39" t="n">
        <f aca="false">IF(BA$4=0,0,IF(COUNTIFS(実績!$W$6:$W$505,BA$3,実績!$AI$6:$AI$505,"&lt;="&amp;$A225,実績!$AJ$6:$AJ$505,"&gt;"&amp;$A225,実績!$AL$6:$AL$505,"○")&gt;0,1,0))</f>
        <v>0</v>
      </c>
      <c r="BB225" s="39" t="n">
        <f aca="false">IF(BB$4=0,0,IF(COUNTIFS(実績!$W$6:$W$505,BB$3,実績!$AI$6:$AI$505,"&lt;="&amp;$A225,実績!$AJ$6:$AJ$505,"&gt;"&amp;$A225,実績!$AL$6:$AL$505,"○")&gt;0,1,0))</f>
        <v>0</v>
      </c>
      <c r="BC225" s="39" t="n">
        <f aca="false">IF(BC$4=0,0,IF(COUNTIFS(実績!$W$6:$W$505,BC$3,実績!$AI$6:$AI$505,"&lt;="&amp;$A225,実績!$AJ$6:$AJ$505,"&gt;"&amp;$A225,実績!$AL$6:$AL$505,"○")&gt;0,1,0))</f>
        <v>0</v>
      </c>
      <c r="BD225" s="39" t="n">
        <f aca="false">IF(BD$4=0,0,IF(COUNTIFS(実績!$W$6:$W$505,BD$3,実績!$AI$6:$AI$505,"&lt;="&amp;$A225,実績!$AJ$6:$AJ$505,"&gt;"&amp;$A225,実績!$AL$6:$AL$505,"○")&gt;0,1,0))</f>
        <v>0</v>
      </c>
      <c r="BE225" s="39" t="n">
        <f aca="false">IF(BE$4=0,0,IF(COUNTIFS(実績!$W$6:$W$505,BE$3,実績!$AI$6:$AI$505,"&lt;="&amp;$A225,実績!$AJ$6:$AJ$505,"&gt;"&amp;$A225,実績!$AL$6:$AL$505,"○")&gt;0,1,0))</f>
        <v>0</v>
      </c>
      <c r="BF225" s="39" t="n">
        <f aca="false">IF(BF$4=0,0,IF(COUNTIFS(実績!$W$6:$W$505,BF$3,実績!$AI$6:$AI$505,"&lt;="&amp;$A225,実績!$AJ$6:$AJ$505,"&gt;"&amp;$A225,実績!$AL$6:$AL$505,"○")&gt;0,1,0))</f>
        <v>0</v>
      </c>
      <c r="BG225" s="39" t="n">
        <f aca="false">IF(BG$4=0,0,IF(COUNTIFS(実績!$W$6:$W$505,BG$3,実績!$AI$6:$AI$505,"&lt;="&amp;$A225,実績!$AJ$6:$AJ$505,"&gt;"&amp;$A225,実績!$AL$6:$AL$505,"○")&gt;0,1,0))</f>
        <v>0</v>
      </c>
      <c r="BH225" s="39" t="n">
        <f aca="false">IF(BH$4=0,0,IF(COUNTIFS(実績!$W$6:$W$505,BH$3,実績!$AI$6:$AI$505,"&lt;="&amp;$A225,実績!$AJ$6:$AJ$505,"&gt;"&amp;$A225,実績!$AL$6:$AL$505,"○")&gt;0,1,0))</f>
        <v>0</v>
      </c>
      <c r="BI225" s="39" t="n">
        <f aca="false">IF(BI$4=0,0,IF(COUNTIFS(実績!$W$6:$W$505,BI$3,実績!$AI$6:$AI$505,"&lt;="&amp;$A225,実績!$AJ$6:$AJ$505,"&gt;"&amp;$A225,実績!$AL$6:$AL$505,"○")&gt;0,1,0))</f>
        <v>0</v>
      </c>
      <c r="BJ225" s="39" t="n">
        <f aca="false">IF(BJ$4=0,0,IF(COUNTIFS(実績!$W$6:$W$505,BJ$3,実績!$AI$6:$AI$505,"&lt;="&amp;$A225,実績!$AJ$6:$AJ$505,"&gt;"&amp;$A225,実績!$AL$6:$AL$505,"○")&gt;0,1,0))</f>
        <v>0</v>
      </c>
      <c r="BK225" s="39" t="n">
        <f aca="false">IF(BK$4=0,0,IF(COUNTIFS(実績!$W$6:$W$505,BK$3,実績!$AI$6:$AI$505,"&lt;="&amp;$A225,実績!$AJ$6:$AJ$505,"&gt;"&amp;$A225,実績!$AL$6:$AL$505,"○")&gt;0,1,0))</f>
        <v>0</v>
      </c>
      <c r="BL225" s="39" t="n">
        <f aca="false">IF(BL$4=0,0,IF(COUNTIFS(実績!$W$6:$W$505,BL$3,実績!$AI$6:$AI$505,"&lt;="&amp;$A225,実績!$AJ$6:$AJ$505,"&gt;"&amp;$A225,実績!$AL$6:$AL$505,"○")&gt;0,1,0))</f>
        <v>0</v>
      </c>
      <c r="BM225" s="39" t="n">
        <f aca="false">IF(BM$4=0,0,IF(COUNTIFS(実績!$W$6:$W$505,BM$3,実績!$AI$6:$AI$505,"&lt;="&amp;$A225,実績!$AJ$6:$AJ$505,"&gt;"&amp;$A225,実績!$AL$6:$AL$505,"○")&gt;0,1,0))</f>
        <v>0</v>
      </c>
      <c r="BN225" s="39" t="n">
        <f aca="false">IF(BN$4=0,0,IF(COUNTIFS(実績!$W$6:$W$505,BN$3,実績!$AI$6:$AI$505,"&lt;="&amp;$A225,実績!$AJ$6:$AJ$505,"&gt;"&amp;$A225,実績!$AL$6:$AL$505,"○")&gt;0,1,0))</f>
        <v>0</v>
      </c>
      <c r="BO225" s="39" t="n">
        <f aca="false">IF(BO$4=0,0,IF(COUNTIFS(実績!$W$6:$W$505,BO$3,実績!$AI$6:$AI$505,"&lt;="&amp;$A225,実績!$AJ$6:$AJ$505,"&gt;"&amp;$A225,実績!$AL$6:$AL$505,"○")&gt;0,1,0))</f>
        <v>0</v>
      </c>
      <c r="BP225" s="39" t="n">
        <f aca="false">IF(BP$4=0,0,IF(COUNTIFS(実績!$W$6:$W$505,BP$3,実績!$AI$6:$AI$505,"&lt;="&amp;$A225,実績!$AJ$6:$AJ$505,"&gt;"&amp;$A225,実績!$AL$6:$AL$505,"○")&gt;0,1,0))</f>
        <v>0</v>
      </c>
      <c r="BQ225" s="39" t="n">
        <f aca="false">IF(BQ$4=0,0,IF(COUNTIFS(実績!$W$6:$W$505,BQ$3,実績!$AI$6:$AI$505,"&lt;="&amp;$A225,実績!$AJ$6:$AJ$505,"&gt;"&amp;$A225,実績!$AL$6:$AL$505,"○")&gt;0,1,0))</f>
        <v>0</v>
      </c>
      <c r="BR225" s="39" t="n">
        <f aca="false">IF(BR$4=0,0,IF(COUNTIFS(実績!$W$6:$W$505,BR$3,実績!$AI$6:$AI$505,"&lt;="&amp;$A225,実績!$AJ$6:$AJ$505,"&gt;"&amp;$A225,実績!$AL$6:$AL$505,"○")&gt;0,1,0))</f>
        <v>0</v>
      </c>
      <c r="BS225" s="39" t="n">
        <f aca="false">IF(BS$4=0,0,IF(COUNTIFS(実績!$W$6:$W$505,BS$3,実績!$AI$6:$AI$505,"&lt;="&amp;$A225,実績!$AJ$6:$AJ$505,"&gt;"&amp;$A225,実績!$AL$6:$AL$505,"○")&gt;0,1,0))</f>
        <v>0</v>
      </c>
      <c r="BT225" s="39" t="n">
        <f aca="false">IF(BT$4=0,0,IF(COUNTIFS(実績!$W$6:$W$505,BT$3,実績!$AI$6:$AI$505,"&lt;="&amp;$A225,実績!$AJ$6:$AJ$505,"&gt;"&amp;$A225,実績!$AL$6:$AL$505,"○")&gt;0,1,0))</f>
        <v>0</v>
      </c>
      <c r="BU225" s="39" t="n">
        <f aca="false">IF(BU$4=0,0,IF(COUNTIFS(実績!$W$6:$W$505,BU$3,実績!$AI$6:$AI$505,"&lt;="&amp;$A225,実績!$AJ$6:$AJ$505,"&gt;"&amp;$A225,実績!$AL$6:$AL$505,"○")&gt;0,1,0))</f>
        <v>0</v>
      </c>
      <c r="BV225" s="39" t="n">
        <f aca="false">IF(BV$4=0,0,IF(COUNTIFS(実績!$W$6:$W$505,BV$3,実績!$AI$6:$AI$505,"&lt;="&amp;$A225,実績!$AJ$6:$AJ$505,"&gt;"&amp;$A225,実績!$AL$6:$AL$505,"○")&gt;0,1,0))</f>
        <v>0</v>
      </c>
      <c r="BW225" s="39" t="n">
        <f aca="false">IF(BW$4=0,0,IF(COUNTIFS(実績!$W$6:$W$505,BW$3,実績!$AI$6:$AI$505,"&lt;="&amp;$A225,実績!$AJ$6:$AJ$505,"&gt;"&amp;$A225,実績!$AL$6:$AL$505,"○")&gt;0,1,0))</f>
        <v>0</v>
      </c>
      <c r="BX225" s="39" t="n">
        <f aca="false">IF(BX$4=0,0,IF(COUNTIFS(実績!$W$6:$W$505,BX$3,実績!$AI$6:$AI$505,"&lt;="&amp;$A225,実績!$AJ$6:$AJ$505,"&gt;"&amp;$A225,実績!$AL$6:$AL$505,"○")&gt;0,1,0))</f>
        <v>0</v>
      </c>
      <c r="BY225" s="39" t="n">
        <f aca="false">IF(BY$4=0,0,IF(COUNTIFS(実績!$W$6:$W$505,BY$3,実績!$AI$6:$AI$505,"&lt;="&amp;$A225,実績!$AJ$6:$AJ$505,"&gt;"&amp;$A225,実績!$AL$6:$AL$505,"○")&gt;0,1,0))</f>
        <v>0</v>
      </c>
      <c r="BZ225" s="39" t="n">
        <f aca="false">IF(BZ$4=0,0,IF(COUNTIFS(実績!$W$6:$W$505,BZ$3,実績!$AI$6:$AI$505,"&lt;="&amp;$A225,実績!$AJ$6:$AJ$505,"&gt;"&amp;$A225,実績!$AL$6:$AL$505,"○")&gt;0,1,0))</f>
        <v>0</v>
      </c>
      <c r="CA225" s="39" t="n">
        <f aca="false">IF(CA$4=0,0,IF(COUNTIFS(実績!$W$6:$W$505,CA$3,実績!$AI$6:$AI$505,"&lt;="&amp;$A225,実績!$AJ$6:$AJ$505,"&gt;"&amp;$A225,実績!$AL$6:$AL$505,"○")&gt;0,1,0))</f>
        <v>0</v>
      </c>
      <c r="CB225" s="39" t="n">
        <f aca="false">IF(CB$4=0,0,IF(COUNTIFS(実績!$W$6:$W$505,CB$3,実績!$AI$6:$AI$505,"&lt;="&amp;$A225,実績!$AJ$6:$AJ$505,"&gt;"&amp;$A225,実績!$AL$6:$AL$505,"○")&gt;0,1,0))</f>
        <v>0</v>
      </c>
      <c r="CC225" s="39" t="n">
        <f aca="false">IF(CC$4=0,0,IF(COUNTIFS(実績!$W$6:$W$505,CC$3,実績!$AI$6:$AI$505,"&lt;="&amp;$A225,実績!$AJ$6:$AJ$505,"&gt;"&amp;$A225,実績!$AL$6:$AL$505,"○")&gt;0,1,0))</f>
        <v>0</v>
      </c>
      <c r="CD225" s="39" t="n">
        <f aca="false">IF(CD$4=0,0,IF(COUNTIFS(実績!$W$6:$W$505,CD$3,実績!$AI$6:$AI$505,"&lt;="&amp;$A225,実績!$AJ$6:$AJ$505,"&gt;"&amp;$A225,実績!$AL$6:$AL$505,"○")&gt;0,1,0))</f>
        <v>0</v>
      </c>
      <c r="CE225" s="39" t="n">
        <f aca="false">IF(CE$4=0,0,IF(COUNTIFS(実績!$W$6:$W$505,CE$3,実績!$AI$6:$AI$505,"&lt;="&amp;$A225,実績!$AJ$6:$AJ$505,"&gt;"&amp;$A225,実績!$AL$6:$AL$505,"○")&gt;0,1,0))</f>
        <v>0</v>
      </c>
      <c r="CF225" s="39" t="n">
        <f aca="false">IF(CF$4=0,0,IF(COUNTIFS(実績!$W$6:$W$505,CF$3,実績!$AI$6:$AI$505,"&lt;="&amp;$A225,実績!$AJ$6:$AJ$505,"&gt;"&amp;$A225,実績!$AL$6:$AL$505,"○")&gt;0,1,0))</f>
        <v>0</v>
      </c>
      <c r="CG225" s="39" t="n">
        <f aca="false">IF(CG$4=0,0,IF(COUNTIFS(実績!$W$6:$W$505,CG$3,実績!$AI$6:$AI$505,"&lt;="&amp;$A225,実績!$AJ$6:$AJ$505,"&gt;"&amp;$A225,実績!$AL$6:$AL$505,"○")&gt;0,1,0))</f>
        <v>0</v>
      </c>
      <c r="CH225" s="39" t="n">
        <f aca="false">IF(CH$4=0,0,IF(COUNTIFS(実績!$W$6:$W$505,CH$3,実績!$AI$6:$AI$505,"&lt;="&amp;$A225,実績!$AJ$6:$AJ$505,"&gt;"&amp;$A225,実績!$AL$6:$AL$505,"○")&gt;0,1,0))</f>
        <v>0</v>
      </c>
      <c r="CI225" s="39" t="n">
        <f aca="false">IF(CI$4=0,0,IF(COUNTIFS(実績!$W$6:$W$505,CI$3,実績!$AI$6:$AI$505,"&lt;="&amp;$A225,実績!$AJ$6:$AJ$505,"&gt;"&amp;$A225,実績!$AL$6:$AL$505,"○")&gt;0,1,0))</f>
        <v>0</v>
      </c>
      <c r="CJ225" s="39" t="n">
        <f aca="false">IF(CJ$4=0,0,IF(COUNTIFS(実績!$W$6:$W$505,CJ$3,実績!$AI$6:$AI$505,"&lt;="&amp;$A225,実績!$AJ$6:$AJ$505,"&gt;"&amp;$A225,実績!$AL$6:$AL$505,"○")&gt;0,1,0))</f>
        <v>0</v>
      </c>
      <c r="CK225" s="39" t="n">
        <f aca="false">IF(CK$4=0,0,IF(COUNTIFS(実績!$W$6:$W$505,CK$3,実績!$AI$6:$AI$505,"&lt;="&amp;$A225,実績!$AJ$6:$AJ$505,"&gt;"&amp;$A225,実績!$AL$6:$AL$505,"○")&gt;0,1,0))</f>
        <v>0</v>
      </c>
      <c r="CL225" s="39" t="n">
        <f aca="false">IF(CL$4=0,0,IF(COUNTIFS(実績!$W$6:$W$505,CL$3,実績!$AI$6:$AI$505,"&lt;="&amp;$A225,実績!$AJ$6:$AJ$505,"&gt;"&amp;$A225,実績!$AL$6:$AL$505,"○")&gt;0,1,0))</f>
        <v>0</v>
      </c>
      <c r="CM225" s="39" t="n">
        <f aca="false">IF(CM$4=0,0,IF(COUNTIFS(実績!$W$6:$W$505,CM$3,実績!$AI$6:$AI$505,"&lt;="&amp;$A225,実績!$AJ$6:$AJ$505,"&gt;"&amp;$A225,実績!$AL$6:$AL$505,"○")&gt;0,1,0))</f>
        <v>0</v>
      </c>
      <c r="CN225" s="39" t="n">
        <f aca="false">IF(CN$4=0,0,IF(COUNTIFS(実績!$W$6:$W$505,CN$3,実績!$AI$6:$AI$505,"&lt;="&amp;$A225,実績!$AJ$6:$AJ$505,"&gt;"&amp;$A225,実績!$AL$6:$AL$505,"○")&gt;0,1,0))</f>
        <v>0</v>
      </c>
      <c r="CO225" s="39" t="n">
        <f aca="false">IF(CO$4=0,0,IF(COUNTIFS(実績!$W$6:$W$505,CO$3,実績!$AI$6:$AI$505,"&lt;="&amp;$A225,実績!$AJ$6:$AJ$505,"&gt;"&amp;$A225,実績!$AL$6:$AL$505,"○")&gt;0,1,0))</f>
        <v>0</v>
      </c>
      <c r="CP225" s="39" t="n">
        <f aca="false">IF(CP$4=0,0,IF(COUNTIFS(実績!$W$6:$W$505,CP$3,実績!$AI$6:$AI$505,"&lt;="&amp;$A225,実績!$AJ$6:$AJ$505,"&gt;"&amp;$A225,実績!$AL$6:$AL$505,"○")&gt;0,1,0))</f>
        <v>0</v>
      </c>
      <c r="CQ225" s="39" t="n">
        <f aca="false">IF(CQ$4=0,0,IF(COUNTIFS(実績!$W$6:$W$505,CQ$3,実績!$AI$6:$AI$505,"&lt;="&amp;$A225,実績!$AJ$6:$AJ$505,"&gt;"&amp;$A225,実績!$AL$6:$AL$505,"○")&gt;0,1,0))</f>
        <v>0</v>
      </c>
      <c r="CR225" s="39" t="n">
        <f aca="false">IF(CR$4=0,0,IF(COUNTIFS(実績!$W$6:$W$505,CR$3,実績!$AI$6:$AI$505,"&lt;="&amp;$A225,実績!$AJ$6:$AJ$505,"&gt;"&amp;$A225,実績!$AL$6:$AL$505,"○")&gt;0,1,0))</f>
        <v>0</v>
      </c>
      <c r="CS225" s="39" t="n">
        <f aca="false">IF(CS$4=0,0,IF(COUNTIFS(実績!$W$6:$W$505,CS$3,実績!$AI$6:$AI$505,"&lt;="&amp;$A225,実績!$AJ$6:$AJ$505,"&gt;"&amp;$A225,実績!$AL$6:$AL$505,"○")&gt;0,1,0))</f>
        <v>0</v>
      </c>
      <c r="CT225" s="39" t="n">
        <f aca="false">IF(CT$4=0,0,IF(COUNTIFS(実績!$W$6:$W$505,CT$3,実績!$AI$6:$AI$505,"&lt;="&amp;$A225,実績!$AJ$6:$AJ$505,"&gt;"&amp;$A225,実績!$AL$6:$AL$505,"○")&gt;0,1,0))</f>
        <v>0</v>
      </c>
      <c r="CU225" s="39" t="n">
        <f aca="false">IF(CU$4=0,0,IF(COUNTIFS(実績!$W$6:$W$505,CU$3,実績!$AI$6:$AI$505,"&lt;="&amp;$A225,実績!$AJ$6:$AJ$505,"&gt;"&amp;$A225,実績!$AL$6:$AL$505,"○")&gt;0,1,0))</f>
        <v>0</v>
      </c>
      <c r="CV225" s="39" t="n">
        <f aca="false">IF(CV$4=0,0,IF(COUNTIFS(実績!$W$6:$W$505,CV$3,実績!$AI$6:$AI$505,"&lt;="&amp;$A225,実績!$AJ$6:$AJ$505,"&gt;"&amp;$A225,実績!$AL$6:$AL$505,"○")&gt;0,1,0))</f>
        <v>0</v>
      </c>
      <c r="CW225" s="39" t="n">
        <f aca="false">IF(CW$4=0,0,IF(COUNTIFS(実績!$W$6:$W$505,CW$3,実績!$AI$6:$AI$505,"&lt;="&amp;$A225,実績!$AJ$6:$AJ$505,"&gt;"&amp;$A225,実績!$AL$6:$AL$505,"○")&gt;0,1,0))</f>
        <v>0</v>
      </c>
      <c r="CX225" s="39" t="n">
        <f aca="false">IF(CX$4=0,0,IF(COUNTIFS(実績!$W$6:$W$505,CX$3,実績!$AI$6:$AI$505,"&lt;="&amp;$A225,実績!$AJ$6:$AJ$505,"&gt;"&amp;$A225,実績!$AL$6:$AL$505,"○")&gt;0,1,0))</f>
        <v>0</v>
      </c>
      <c r="CY225" s="39" t="n">
        <f aca="false">IF(CY$4=0,0,IF(COUNTIFS(実績!$W$6:$W$505,CY$3,実績!$AI$6:$AI$505,"&lt;="&amp;$A225,実績!$AJ$6:$AJ$505,"&gt;"&amp;$A225,実績!$AL$6:$AL$505,"○")&gt;0,1,0))</f>
        <v>0</v>
      </c>
      <c r="CZ225" s="39" t="n">
        <f aca="false">IF(CZ$4=0,0,IF(COUNTIFS(実績!$W$6:$W$505,CZ$3,実績!$AI$6:$AI$505,"&lt;="&amp;$A225,実績!$AJ$6:$AJ$505,"&gt;"&amp;$A225,実績!$AL$6:$AL$505,"○")&gt;0,1,0))</f>
        <v>0</v>
      </c>
      <c r="DA225" s="39" t="n">
        <f aca="false">IF(DA$4=0,0,IF(COUNTIFS(実績!$W$6:$W$505,DA$3,実績!$AI$6:$AI$505,"&lt;="&amp;$A225,実績!$AJ$6:$AJ$505,"&gt;"&amp;$A225,実績!$AL$6:$AL$505,"○")&gt;0,1,0))</f>
        <v>0</v>
      </c>
      <c r="DB225" s="39" t="n">
        <f aca="false">IF(DB$4=0,0,IF(COUNTIFS(実績!$W$6:$W$505,DB$3,実績!$AI$6:$AI$505,"&lt;="&amp;$A225,実績!$AJ$6:$AJ$505,"&gt;"&amp;$A225,実績!$AL$6:$AL$505,"○")&gt;0,1,0))</f>
        <v>0</v>
      </c>
      <c r="DC225" s="39" t="n">
        <f aca="false">IF(DC$4=0,0,IF(COUNTIFS(実績!$W$6:$W$505,DC$3,実績!$AI$6:$AI$505,"&lt;="&amp;$A225,実績!$AJ$6:$AJ$505,"&gt;"&amp;$A225,実績!$AL$6:$AL$505,"○")&gt;0,1,0))</f>
        <v>0</v>
      </c>
      <c r="DD225" s="39" t="n">
        <f aca="false">IF(DD$4=0,0,IF(COUNTIFS(実績!$W$6:$W$505,DD$3,実績!$AI$6:$AI$505,"&lt;="&amp;$A225,実績!$AJ$6:$AJ$505,"&gt;"&amp;$A225,実績!$AL$6:$AL$505,"○")&gt;0,1,0))</f>
        <v>0</v>
      </c>
      <c r="DE225" s="39" t="n">
        <f aca="false">IF(DE$4=0,0,IF(COUNTIFS(実績!$W$6:$W$505,DE$3,実績!$AI$6:$AI$505,"&lt;="&amp;$A225,実績!$AJ$6:$AJ$505,"&gt;"&amp;$A225,実績!$AL$6:$AL$505,"○")&gt;0,1,0))</f>
        <v>0</v>
      </c>
      <c r="DF225" s="39" t="n">
        <f aca="false">IF(DF$4=0,0,IF(COUNTIFS(実績!$W$6:$W$505,DF$3,実績!$AI$6:$AI$505,"&lt;="&amp;$A225,実績!$AJ$6:$AJ$505,"&gt;"&amp;$A225,実績!$AL$6:$AL$505,"○")&gt;0,1,0))</f>
        <v>0</v>
      </c>
      <c r="DG225" s="39" t="n">
        <f aca="false">IF(DG$4=0,0,IF(COUNTIFS(実績!$W$6:$W$505,DG$3,実績!$AI$6:$AI$505,"&lt;="&amp;$A225,実績!$AJ$6:$AJ$505,"&gt;"&amp;$A225,実績!$AL$6:$AL$505,"○")&gt;0,1,0))</f>
        <v>0</v>
      </c>
      <c r="DH225" s="39" t="n">
        <f aca="false">IF(DH$4=0,0,IF(COUNTIFS(実績!$W$6:$W$505,DH$3,実績!$AI$6:$AI$505,"&lt;="&amp;$A225,実績!$AJ$6:$AJ$505,"&gt;"&amp;$A225,実績!$AL$6:$AL$505,"○")&gt;0,1,0))</f>
        <v>0</v>
      </c>
      <c r="DI225" s="39" t="n">
        <f aca="false">IF(DI$4=0,0,IF(COUNTIFS(実績!$W$6:$W$505,DI$3,実績!$AI$6:$AI$505,"&lt;="&amp;$A225,実績!$AJ$6:$AJ$505,"&gt;"&amp;$A225,実績!$AL$6:$AL$505,"○")&gt;0,1,0))</f>
        <v>0</v>
      </c>
      <c r="DJ225" s="39" t="n">
        <f aca="false">IF(DJ$4=0,0,IF(COUNTIFS(実績!$W$6:$W$505,DJ$3,実績!$AI$6:$AI$505,"&lt;="&amp;$A225,実績!$AJ$6:$AJ$505,"&gt;"&amp;$A225,実績!$AL$6:$AL$505,"○")&gt;0,1,0))</f>
        <v>0</v>
      </c>
      <c r="DK225" s="39" t="n">
        <f aca="false">IF(DK$4=0,0,IF(COUNTIFS(実績!$W$6:$W$505,DK$3,実績!$AI$6:$AI$505,"&lt;="&amp;$A225,実績!$AJ$6:$AJ$505,"&gt;"&amp;$A225,実績!$AL$6:$AL$505,"○")&gt;0,1,0))</f>
        <v>0</v>
      </c>
      <c r="DL225" s="39" t="n">
        <f aca="false">IF(DL$4=0,0,IF(COUNTIFS(実績!$W$6:$W$505,DL$3,実績!$AI$6:$AI$505,"&lt;="&amp;$A225,実績!$AJ$6:$AJ$505,"&gt;"&amp;$A225,実績!$AL$6:$AL$505,"○")&gt;0,1,0))</f>
        <v>0</v>
      </c>
      <c r="DM225" s="39" t="n">
        <f aca="false">IF(DM$4=0,0,IF(COUNTIFS(実績!$W$6:$W$505,DM$3,実績!$AI$6:$AI$505,"&lt;="&amp;$A225,実績!$AJ$6:$AJ$505,"&gt;"&amp;$A225,実績!$AL$6:$AL$505,"○")&gt;0,1,0))</f>
        <v>0</v>
      </c>
      <c r="DN225" s="39" t="n">
        <f aca="false">IF(DN$4=0,0,IF(COUNTIFS(実績!$W$6:$W$505,DN$3,実績!$AI$6:$AI$505,"&lt;="&amp;$A225,実績!$AJ$6:$AJ$505,"&gt;"&amp;$A225,実績!$AL$6:$AL$505,"○")&gt;0,1,0))</f>
        <v>0</v>
      </c>
      <c r="DO225" s="39" t="n">
        <f aca="false">IF(DO$4=0,0,IF(COUNTIFS(実績!$W$6:$W$505,DO$3,実績!$AI$6:$AI$505,"&lt;="&amp;$A225,実績!$AJ$6:$AJ$505,"&gt;"&amp;$A225,実績!$AL$6:$AL$505,"○")&gt;0,1,0))</f>
        <v>0</v>
      </c>
      <c r="DP225" s="39" t="n">
        <f aca="false">IF(DP$4=0,0,IF(COUNTIFS(実績!$W$6:$W$505,DP$3,実績!$AI$6:$AI$505,"&lt;="&amp;$A225,実績!$AJ$6:$AJ$505,"&gt;"&amp;$A225,実績!$AL$6:$AL$505,"○")&gt;0,1,0))</f>
        <v>0</v>
      </c>
      <c r="DQ225" s="39" t="n">
        <f aca="false">IF(DQ$4=0,0,IF(COUNTIFS(実績!$W$6:$W$505,DQ$3,実績!$AI$6:$AI$505,"&lt;="&amp;$A225,実績!$AJ$6:$AJ$505,"&gt;"&amp;$A225,実績!$AL$6:$AL$505,"○")&gt;0,1,0))</f>
        <v>0</v>
      </c>
      <c r="DR225" s="39" t="n">
        <f aca="false">IF(DR$4=0,0,IF(COUNTIFS(実績!$W$6:$W$505,DR$3,実績!$AI$6:$AI$505,"&lt;="&amp;$A225,実績!$AJ$6:$AJ$505,"&gt;"&amp;$A225,実績!$AL$6:$AL$505,"○")&gt;0,1,0))</f>
        <v>0</v>
      </c>
      <c r="DS225" s="39" t="n">
        <f aca="false">SUM(C225:DR225)</f>
        <v>0</v>
      </c>
    </row>
    <row r="226" customFormat="false" ht="15" hidden="false" customHeight="false" outlineLevel="0" collapsed="false">
      <c r="A226" s="0" t="n">
        <v>1100</v>
      </c>
      <c r="B226" s="38" t="n">
        <f aca="false">A226/1440</f>
        <v>0.763888888888889</v>
      </c>
      <c r="C226" s="39" t="n">
        <f aca="false">IF(C$4=0,0,IF(COUNTIFS(実績!$W$6:$W$505,C$3,実績!$AI$6:$AI$505,"&lt;="&amp;$A226,実績!$AJ$6:$AJ$505,"&gt;"&amp;$A226,実績!$AL$6:$AL$505,"○")&gt;0,1,0))</f>
        <v>0</v>
      </c>
      <c r="D226" s="39" t="n">
        <f aca="false">IF(D$4=0,0,IF(COUNTIFS(実績!$W$6:$W$505,D$3,実績!$AI$6:$AI$505,"&lt;="&amp;$A226,実績!$AJ$6:$AJ$505,"&gt;"&amp;$A226,実績!$AL$6:$AL$505,"○")&gt;0,1,0))</f>
        <v>0</v>
      </c>
      <c r="E226" s="39" t="n">
        <f aca="false">IF(E$4=0,0,IF(COUNTIFS(実績!$W$6:$W$505,E$3,実績!$AI$6:$AI$505,"&lt;="&amp;$A226,実績!$AJ$6:$AJ$505,"&gt;"&amp;$A226,実績!$AL$6:$AL$505,"○")&gt;0,1,0))</f>
        <v>0</v>
      </c>
      <c r="F226" s="39" t="n">
        <f aca="false">IF(F$4=0,0,IF(COUNTIFS(実績!$W$6:$W$505,F$3,実績!$AI$6:$AI$505,"&lt;="&amp;$A226,実績!$AJ$6:$AJ$505,"&gt;"&amp;$A226,実績!$AL$6:$AL$505,"○")&gt;0,1,0))</f>
        <v>0</v>
      </c>
      <c r="G226" s="39" t="n">
        <f aca="false">IF(G$4=0,0,IF(COUNTIFS(実績!$W$6:$W$505,G$3,実績!$AI$6:$AI$505,"&lt;="&amp;$A226,実績!$AJ$6:$AJ$505,"&gt;"&amp;$A226,実績!$AL$6:$AL$505,"○")&gt;0,1,0))</f>
        <v>0</v>
      </c>
      <c r="H226" s="39" t="n">
        <f aca="false">IF(H$4=0,0,IF(COUNTIFS(実績!$W$6:$W$505,H$3,実績!$AI$6:$AI$505,"&lt;="&amp;$A226,実績!$AJ$6:$AJ$505,"&gt;"&amp;$A226,実績!$AL$6:$AL$505,"○")&gt;0,1,0))</f>
        <v>0</v>
      </c>
      <c r="I226" s="39" t="n">
        <f aca="false">IF(I$4=0,0,IF(COUNTIFS(実績!$W$6:$W$505,I$3,実績!$AI$6:$AI$505,"&lt;="&amp;$A226,実績!$AJ$6:$AJ$505,"&gt;"&amp;$A226,実績!$AL$6:$AL$505,"○")&gt;0,1,0))</f>
        <v>0</v>
      </c>
      <c r="J226" s="39" t="n">
        <f aca="false">IF(J$4=0,0,IF(COUNTIFS(実績!$W$6:$W$505,J$3,実績!$AI$6:$AI$505,"&lt;="&amp;$A226,実績!$AJ$6:$AJ$505,"&gt;"&amp;$A226,実績!$AL$6:$AL$505,"○")&gt;0,1,0))</f>
        <v>0</v>
      </c>
      <c r="K226" s="39" t="n">
        <f aca="false">IF(K$4=0,0,IF(COUNTIFS(実績!$W$6:$W$505,K$3,実績!$AI$6:$AI$505,"&lt;="&amp;$A226,実績!$AJ$6:$AJ$505,"&gt;"&amp;$A226,実績!$AL$6:$AL$505,"○")&gt;0,1,0))</f>
        <v>0</v>
      </c>
      <c r="L226" s="39" t="n">
        <f aca="false">IF(L$4=0,0,IF(COUNTIFS(実績!$W$6:$W$505,L$3,実績!$AI$6:$AI$505,"&lt;="&amp;$A226,実績!$AJ$6:$AJ$505,"&gt;"&amp;$A226,実績!$AL$6:$AL$505,"○")&gt;0,1,0))</f>
        <v>0</v>
      </c>
      <c r="M226" s="39" t="n">
        <f aca="false">IF(M$4=0,0,IF(COUNTIFS(実績!$W$6:$W$505,M$3,実績!$AI$6:$AI$505,"&lt;="&amp;$A226,実績!$AJ$6:$AJ$505,"&gt;"&amp;$A226,実績!$AL$6:$AL$505,"○")&gt;0,1,0))</f>
        <v>0</v>
      </c>
      <c r="N226" s="39" t="n">
        <f aca="false">IF(N$4=0,0,IF(COUNTIFS(実績!$W$6:$W$505,N$3,実績!$AI$6:$AI$505,"&lt;="&amp;$A226,実績!$AJ$6:$AJ$505,"&gt;"&amp;$A226,実績!$AL$6:$AL$505,"○")&gt;0,1,0))</f>
        <v>0</v>
      </c>
      <c r="O226" s="39" t="n">
        <f aca="false">IF(O$4=0,0,IF(COUNTIFS(実績!$W$6:$W$505,O$3,実績!$AI$6:$AI$505,"&lt;="&amp;$A226,実績!$AJ$6:$AJ$505,"&gt;"&amp;$A226,実績!$AL$6:$AL$505,"○")&gt;0,1,0))</f>
        <v>0</v>
      </c>
      <c r="P226" s="39" t="n">
        <f aca="false">IF(P$4=0,0,IF(COUNTIFS(実績!$W$6:$W$505,P$3,実績!$AI$6:$AI$505,"&lt;="&amp;$A226,実績!$AJ$6:$AJ$505,"&gt;"&amp;$A226,実績!$AL$6:$AL$505,"○")&gt;0,1,0))</f>
        <v>0</v>
      </c>
      <c r="Q226" s="39" t="n">
        <f aca="false">IF(Q$4=0,0,IF(COUNTIFS(実績!$W$6:$W$505,Q$3,実績!$AI$6:$AI$505,"&lt;="&amp;$A226,実績!$AJ$6:$AJ$505,"&gt;"&amp;$A226,実績!$AL$6:$AL$505,"○")&gt;0,1,0))</f>
        <v>0</v>
      </c>
      <c r="R226" s="39" t="n">
        <f aca="false">IF(R$4=0,0,IF(COUNTIFS(実績!$W$6:$W$505,R$3,実績!$AI$6:$AI$505,"&lt;="&amp;$A226,実績!$AJ$6:$AJ$505,"&gt;"&amp;$A226,実績!$AL$6:$AL$505,"○")&gt;0,1,0))</f>
        <v>0</v>
      </c>
      <c r="S226" s="39" t="n">
        <f aca="false">IF(S$4=0,0,IF(COUNTIFS(実績!$W$6:$W$505,S$3,実績!$AI$6:$AI$505,"&lt;="&amp;$A226,実績!$AJ$6:$AJ$505,"&gt;"&amp;$A226,実績!$AL$6:$AL$505,"○")&gt;0,1,0))</f>
        <v>0</v>
      </c>
      <c r="T226" s="39" t="n">
        <f aca="false">IF(T$4=0,0,IF(COUNTIFS(実績!$W$6:$W$505,T$3,実績!$AI$6:$AI$505,"&lt;="&amp;$A226,実績!$AJ$6:$AJ$505,"&gt;"&amp;$A226,実績!$AL$6:$AL$505,"○")&gt;0,1,0))</f>
        <v>0</v>
      </c>
      <c r="U226" s="39" t="n">
        <f aca="false">IF(U$4=0,0,IF(COUNTIFS(実績!$W$6:$W$505,U$3,実績!$AI$6:$AI$505,"&lt;="&amp;$A226,実績!$AJ$6:$AJ$505,"&gt;"&amp;$A226,実績!$AL$6:$AL$505,"○")&gt;0,1,0))</f>
        <v>0</v>
      </c>
      <c r="V226" s="39" t="n">
        <f aca="false">IF(V$4=0,0,IF(COUNTIFS(実績!$W$6:$W$505,V$3,実績!$AI$6:$AI$505,"&lt;="&amp;$A226,実績!$AJ$6:$AJ$505,"&gt;"&amp;$A226,実績!$AL$6:$AL$505,"○")&gt;0,1,0))</f>
        <v>0</v>
      </c>
      <c r="W226" s="39" t="n">
        <f aca="false">IF(W$4=0,0,IF(COUNTIFS(実績!$W$6:$W$505,W$3,実績!$AI$6:$AI$505,"&lt;="&amp;$A226,実績!$AJ$6:$AJ$505,"&gt;"&amp;$A226,実績!$AL$6:$AL$505,"○")&gt;0,1,0))</f>
        <v>0</v>
      </c>
      <c r="X226" s="39" t="n">
        <f aca="false">IF(X$4=0,0,IF(COUNTIFS(実績!$W$6:$W$505,X$3,実績!$AI$6:$AI$505,"&lt;="&amp;$A226,実績!$AJ$6:$AJ$505,"&gt;"&amp;$A226,実績!$AL$6:$AL$505,"○")&gt;0,1,0))</f>
        <v>0</v>
      </c>
      <c r="Y226" s="39" t="n">
        <f aca="false">IF(Y$4=0,0,IF(COUNTIFS(実績!$W$6:$W$505,Y$3,実績!$AI$6:$AI$505,"&lt;="&amp;$A226,実績!$AJ$6:$AJ$505,"&gt;"&amp;$A226,実績!$AL$6:$AL$505,"○")&gt;0,1,0))</f>
        <v>0</v>
      </c>
      <c r="Z226" s="39" t="n">
        <f aca="false">IF(Z$4=0,0,IF(COUNTIFS(実績!$W$6:$W$505,Z$3,実績!$AI$6:$AI$505,"&lt;="&amp;$A226,実績!$AJ$6:$AJ$505,"&gt;"&amp;$A226,実績!$AL$6:$AL$505,"○")&gt;0,1,0))</f>
        <v>0</v>
      </c>
      <c r="AA226" s="39" t="n">
        <f aca="false">IF(AA$4=0,0,IF(COUNTIFS(実績!$W$6:$W$505,AA$3,実績!$AI$6:$AI$505,"&lt;="&amp;$A226,実績!$AJ$6:$AJ$505,"&gt;"&amp;$A226,実績!$AL$6:$AL$505,"○")&gt;0,1,0))</f>
        <v>0</v>
      </c>
      <c r="AB226" s="39" t="n">
        <f aca="false">IF(AB$4=0,0,IF(COUNTIFS(実績!$W$6:$W$505,AB$3,実績!$AI$6:$AI$505,"&lt;="&amp;$A226,実績!$AJ$6:$AJ$505,"&gt;"&amp;$A226,実績!$AL$6:$AL$505,"○")&gt;0,1,0))</f>
        <v>0</v>
      </c>
      <c r="AC226" s="39" t="n">
        <f aca="false">IF(AC$4=0,0,IF(COUNTIFS(実績!$W$6:$W$505,AC$3,実績!$AI$6:$AI$505,"&lt;="&amp;$A226,実績!$AJ$6:$AJ$505,"&gt;"&amp;$A226,実績!$AL$6:$AL$505,"○")&gt;0,1,0))</f>
        <v>0</v>
      </c>
      <c r="AD226" s="39" t="n">
        <f aca="false">IF(AD$4=0,0,IF(COUNTIFS(実績!$W$6:$W$505,AD$3,実績!$AI$6:$AI$505,"&lt;="&amp;$A226,実績!$AJ$6:$AJ$505,"&gt;"&amp;$A226,実績!$AL$6:$AL$505,"○")&gt;0,1,0))</f>
        <v>0</v>
      </c>
      <c r="AE226" s="39" t="n">
        <f aca="false">IF(AE$4=0,0,IF(COUNTIFS(実績!$W$6:$W$505,AE$3,実績!$AI$6:$AI$505,"&lt;="&amp;$A226,実績!$AJ$6:$AJ$505,"&gt;"&amp;$A226,実績!$AL$6:$AL$505,"○")&gt;0,1,0))</f>
        <v>0</v>
      </c>
      <c r="AF226" s="39" t="n">
        <f aca="false">IF(AF$4=0,0,IF(COUNTIFS(実績!$W$6:$W$505,AF$3,実績!$AI$6:$AI$505,"&lt;="&amp;$A226,実績!$AJ$6:$AJ$505,"&gt;"&amp;$A226,実績!$AL$6:$AL$505,"○")&gt;0,1,0))</f>
        <v>0</v>
      </c>
      <c r="AG226" s="39" t="n">
        <f aca="false">IF(AG$4=0,0,IF(COUNTIFS(実績!$W$6:$W$505,AG$3,実績!$AI$6:$AI$505,"&lt;="&amp;$A226,実績!$AJ$6:$AJ$505,"&gt;"&amp;$A226,実績!$AL$6:$AL$505,"○")&gt;0,1,0))</f>
        <v>0</v>
      </c>
      <c r="AH226" s="39" t="n">
        <f aca="false">IF(AH$4=0,0,IF(COUNTIFS(実績!$W$6:$W$505,AH$3,実績!$AI$6:$AI$505,"&lt;="&amp;$A226,実績!$AJ$6:$AJ$505,"&gt;"&amp;$A226,実績!$AL$6:$AL$505,"○")&gt;0,1,0))</f>
        <v>0</v>
      </c>
      <c r="AI226" s="39" t="n">
        <f aca="false">IF(AI$4=0,0,IF(COUNTIFS(実績!$W$6:$W$505,AI$3,実績!$AI$6:$AI$505,"&lt;="&amp;$A226,実績!$AJ$6:$AJ$505,"&gt;"&amp;$A226,実績!$AL$6:$AL$505,"○")&gt;0,1,0))</f>
        <v>0</v>
      </c>
      <c r="AJ226" s="39" t="n">
        <f aca="false">IF(AJ$4=0,0,IF(COUNTIFS(実績!$W$6:$W$505,AJ$3,実績!$AI$6:$AI$505,"&lt;="&amp;$A226,実績!$AJ$6:$AJ$505,"&gt;"&amp;$A226,実績!$AL$6:$AL$505,"○")&gt;0,1,0))</f>
        <v>0</v>
      </c>
      <c r="AK226" s="39" t="n">
        <f aca="false">IF(AK$4=0,0,IF(COUNTIFS(実績!$W$6:$W$505,AK$3,実績!$AI$6:$AI$505,"&lt;="&amp;$A226,実績!$AJ$6:$AJ$505,"&gt;"&amp;$A226,実績!$AL$6:$AL$505,"○")&gt;0,1,0))</f>
        <v>0</v>
      </c>
      <c r="AL226" s="39" t="n">
        <f aca="false">IF(AL$4=0,0,IF(COUNTIFS(実績!$W$6:$W$505,AL$3,実績!$AI$6:$AI$505,"&lt;="&amp;$A226,実績!$AJ$6:$AJ$505,"&gt;"&amp;$A226,実績!$AL$6:$AL$505,"○")&gt;0,1,0))</f>
        <v>0</v>
      </c>
      <c r="AM226" s="39" t="n">
        <f aca="false">IF(AM$4=0,0,IF(COUNTIFS(実績!$W$6:$W$505,AM$3,実績!$AI$6:$AI$505,"&lt;="&amp;$A226,実績!$AJ$6:$AJ$505,"&gt;"&amp;$A226,実績!$AL$6:$AL$505,"○")&gt;0,1,0))</f>
        <v>0</v>
      </c>
      <c r="AN226" s="39" t="n">
        <f aca="false">IF(AN$4=0,0,IF(COUNTIFS(実績!$W$6:$W$505,AN$3,実績!$AI$6:$AI$505,"&lt;="&amp;$A226,実績!$AJ$6:$AJ$505,"&gt;"&amp;$A226,実績!$AL$6:$AL$505,"○")&gt;0,1,0))</f>
        <v>0</v>
      </c>
      <c r="AO226" s="39" t="n">
        <f aca="false">IF(AO$4=0,0,IF(COUNTIFS(実績!$W$6:$W$505,AO$3,実績!$AI$6:$AI$505,"&lt;="&amp;$A226,実績!$AJ$6:$AJ$505,"&gt;"&amp;$A226,実績!$AL$6:$AL$505,"○")&gt;0,1,0))</f>
        <v>0</v>
      </c>
      <c r="AP226" s="39" t="n">
        <f aca="false">IF(AP$4=0,0,IF(COUNTIFS(実績!$W$6:$W$505,AP$3,実績!$AI$6:$AI$505,"&lt;="&amp;$A226,実績!$AJ$6:$AJ$505,"&gt;"&amp;$A226,実績!$AL$6:$AL$505,"○")&gt;0,1,0))</f>
        <v>0</v>
      </c>
      <c r="AQ226" s="39" t="n">
        <f aca="false">IF(AQ$4=0,0,IF(COUNTIFS(実績!$W$6:$W$505,AQ$3,実績!$AI$6:$AI$505,"&lt;="&amp;$A226,実績!$AJ$6:$AJ$505,"&gt;"&amp;$A226,実績!$AL$6:$AL$505,"○")&gt;0,1,0))</f>
        <v>0</v>
      </c>
      <c r="AR226" s="39" t="n">
        <f aca="false">IF(AR$4=0,0,IF(COUNTIFS(実績!$W$6:$W$505,AR$3,実績!$AI$6:$AI$505,"&lt;="&amp;$A226,実績!$AJ$6:$AJ$505,"&gt;"&amp;$A226,実績!$AL$6:$AL$505,"○")&gt;0,1,0))</f>
        <v>0</v>
      </c>
      <c r="AS226" s="39" t="n">
        <f aca="false">IF(AS$4=0,0,IF(COUNTIFS(実績!$W$6:$W$505,AS$3,実績!$AI$6:$AI$505,"&lt;="&amp;$A226,実績!$AJ$6:$AJ$505,"&gt;"&amp;$A226,実績!$AL$6:$AL$505,"○")&gt;0,1,0))</f>
        <v>0</v>
      </c>
      <c r="AT226" s="39" t="n">
        <f aca="false">IF(AT$4=0,0,IF(COUNTIFS(実績!$W$6:$W$505,AT$3,実績!$AI$6:$AI$505,"&lt;="&amp;$A226,実績!$AJ$6:$AJ$505,"&gt;"&amp;$A226,実績!$AL$6:$AL$505,"○")&gt;0,1,0))</f>
        <v>0</v>
      </c>
      <c r="AU226" s="39" t="n">
        <f aca="false">IF(AU$4=0,0,IF(COUNTIFS(実績!$W$6:$W$505,AU$3,実績!$AI$6:$AI$505,"&lt;="&amp;$A226,実績!$AJ$6:$AJ$505,"&gt;"&amp;$A226,実績!$AL$6:$AL$505,"○")&gt;0,1,0))</f>
        <v>0</v>
      </c>
      <c r="AV226" s="39" t="n">
        <f aca="false">IF(AV$4=0,0,IF(COUNTIFS(実績!$W$6:$W$505,AV$3,実績!$AI$6:$AI$505,"&lt;="&amp;$A226,実績!$AJ$6:$AJ$505,"&gt;"&amp;$A226,実績!$AL$6:$AL$505,"○")&gt;0,1,0))</f>
        <v>0</v>
      </c>
      <c r="AW226" s="39" t="n">
        <f aca="false">IF(AW$4=0,0,IF(COUNTIFS(実績!$W$6:$W$505,AW$3,実績!$AI$6:$AI$505,"&lt;="&amp;$A226,実績!$AJ$6:$AJ$505,"&gt;"&amp;$A226,実績!$AL$6:$AL$505,"○")&gt;0,1,0))</f>
        <v>0</v>
      </c>
      <c r="AX226" s="39" t="n">
        <f aca="false">IF(AX$4=0,0,IF(COUNTIFS(実績!$W$6:$W$505,AX$3,実績!$AI$6:$AI$505,"&lt;="&amp;$A226,実績!$AJ$6:$AJ$505,"&gt;"&amp;$A226,実績!$AL$6:$AL$505,"○")&gt;0,1,0))</f>
        <v>0</v>
      </c>
      <c r="AY226" s="39" t="n">
        <f aca="false">IF(AY$4=0,0,IF(COUNTIFS(実績!$W$6:$W$505,AY$3,実績!$AI$6:$AI$505,"&lt;="&amp;$A226,実績!$AJ$6:$AJ$505,"&gt;"&amp;$A226,実績!$AL$6:$AL$505,"○")&gt;0,1,0))</f>
        <v>0</v>
      </c>
      <c r="AZ226" s="39" t="n">
        <f aca="false">IF(AZ$4=0,0,IF(COUNTIFS(実績!$W$6:$W$505,AZ$3,実績!$AI$6:$AI$505,"&lt;="&amp;$A226,実績!$AJ$6:$AJ$505,"&gt;"&amp;$A226,実績!$AL$6:$AL$505,"○")&gt;0,1,0))</f>
        <v>0</v>
      </c>
      <c r="BA226" s="39" t="n">
        <f aca="false">IF(BA$4=0,0,IF(COUNTIFS(実績!$W$6:$W$505,BA$3,実績!$AI$6:$AI$505,"&lt;="&amp;$A226,実績!$AJ$6:$AJ$505,"&gt;"&amp;$A226,実績!$AL$6:$AL$505,"○")&gt;0,1,0))</f>
        <v>0</v>
      </c>
      <c r="BB226" s="39" t="n">
        <f aca="false">IF(BB$4=0,0,IF(COUNTIFS(実績!$W$6:$W$505,BB$3,実績!$AI$6:$AI$505,"&lt;="&amp;$A226,実績!$AJ$6:$AJ$505,"&gt;"&amp;$A226,実績!$AL$6:$AL$505,"○")&gt;0,1,0))</f>
        <v>0</v>
      </c>
      <c r="BC226" s="39" t="n">
        <f aca="false">IF(BC$4=0,0,IF(COUNTIFS(実績!$W$6:$W$505,BC$3,実績!$AI$6:$AI$505,"&lt;="&amp;$A226,実績!$AJ$6:$AJ$505,"&gt;"&amp;$A226,実績!$AL$6:$AL$505,"○")&gt;0,1,0))</f>
        <v>0</v>
      </c>
      <c r="BD226" s="39" t="n">
        <f aca="false">IF(BD$4=0,0,IF(COUNTIFS(実績!$W$6:$W$505,BD$3,実績!$AI$6:$AI$505,"&lt;="&amp;$A226,実績!$AJ$6:$AJ$505,"&gt;"&amp;$A226,実績!$AL$6:$AL$505,"○")&gt;0,1,0))</f>
        <v>0</v>
      </c>
      <c r="BE226" s="39" t="n">
        <f aca="false">IF(BE$4=0,0,IF(COUNTIFS(実績!$W$6:$W$505,BE$3,実績!$AI$6:$AI$505,"&lt;="&amp;$A226,実績!$AJ$6:$AJ$505,"&gt;"&amp;$A226,実績!$AL$6:$AL$505,"○")&gt;0,1,0))</f>
        <v>0</v>
      </c>
      <c r="BF226" s="39" t="n">
        <f aca="false">IF(BF$4=0,0,IF(COUNTIFS(実績!$W$6:$W$505,BF$3,実績!$AI$6:$AI$505,"&lt;="&amp;$A226,実績!$AJ$6:$AJ$505,"&gt;"&amp;$A226,実績!$AL$6:$AL$505,"○")&gt;0,1,0))</f>
        <v>0</v>
      </c>
      <c r="BG226" s="39" t="n">
        <f aca="false">IF(BG$4=0,0,IF(COUNTIFS(実績!$W$6:$W$505,BG$3,実績!$AI$6:$AI$505,"&lt;="&amp;$A226,実績!$AJ$6:$AJ$505,"&gt;"&amp;$A226,実績!$AL$6:$AL$505,"○")&gt;0,1,0))</f>
        <v>0</v>
      </c>
      <c r="BH226" s="39" t="n">
        <f aca="false">IF(BH$4=0,0,IF(COUNTIFS(実績!$W$6:$W$505,BH$3,実績!$AI$6:$AI$505,"&lt;="&amp;$A226,実績!$AJ$6:$AJ$505,"&gt;"&amp;$A226,実績!$AL$6:$AL$505,"○")&gt;0,1,0))</f>
        <v>0</v>
      </c>
      <c r="BI226" s="39" t="n">
        <f aca="false">IF(BI$4=0,0,IF(COUNTIFS(実績!$W$6:$W$505,BI$3,実績!$AI$6:$AI$505,"&lt;="&amp;$A226,実績!$AJ$6:$AJ$505,"&gt;"&amp;$A226,実績!$AL$6:$AL$505,"○")&gt;0,1,0))</f>
        <v>0</v>
      </c>
      <c r="BJ226" s="39" t="n">
        <f aca="false">IF(BJ$4=0,0,IF(COUNTIFS(実績!$W$6:$W$505,BJ$3,実績!$AI$6:$AI$505,"&lt;="&amp;$A226,実績!$AJ$6:$AJ$505,"&gt;"&amp;$A226,実績!$AL$6:$AL$505,"○")&gt;0,1,0))</f>
        <v>0</v>
      </c>
      <c r="BK226" s="39" t="n">
        <f aca="false">IF(BK$4=0,0,IF(COUNTIFS(実績!$W$6:$W$505,BK$3,実績!$AI$6:$AI$505,"&lt;="&amp;$A226,実績!$AJ$6:$AJ$505,"&gt;"&amp;$A226,実績!$AL$6:$AL$505,"○")&gt;0,1,0))</f>
        <v>0</v>
      </c>
      <c r="BL226" s="39" t="n">
        <f aca="false">IF(BL$4=0,0,IF(COUNTIFS(実績!$W$6:$W$505,BL$3,実績!$AI$6:$AI$505,"&lt;="&amp;$A226,実績!$AJ$6:$AJ$505,"&gt;"&amp;$A226,実績!$AL$6:$AL$505,"○")&gt;0,1,0))</f>
        <v>0</v>
      </c>
      <c r="BM226" s="39" t="n">
        <f aca="false">IF(BM$4=0,0,IF(COUNTIFS(実績!$W$6:$W$505,BM$3,実績!$AI$6:$AI$505,"&lt;="&amp;$A226,実績!$AJ$6:$AJ$505,"&gt;"&amp;$A226,実績!$AL$6:$AL$505,"○")&gt;0,1,0))</f>
        <v>0</v>
      </c>
      <c r="BN226" s="39" t="n">
        <f aca="false">IF(BN$4=0,0,IF(COUNTIFS(実績!$W$6:$W$505,BN$3,実績!$AI$6:$AI$505,"&lt;="&amp;$A226,実績!$AJ$6:$AJ$505,"&gt;"&amp;$A226,実績!$AL$6:$AL$505,"○")&gt;0,1,0))</f>
        <v>0</v>
      </c>
      <c r="BO226" s="39" t="n">
        <f aca="false">IF(BO$4=0,0,IF(COUNTIFS(実績!$W$6:$W$505,BO$3,実績!$AI$6:$AI$505,"&lt;="&amp;$A226,実績!$AJ$6:$AJ$505,"&gt;"&amp;$A226,実績!$AL$6:$AL$505,"○")&gt;0,1,0))</f>
        <v>0</v>
      </c>
      <c r="BP226" s="39" t="n">
        <f aca="false">IF(BP$4=0,0,IF(COUNTIFS(実績!$W$6:$W$505,BP$3,実績!$AI$6:$AI$505,"&lt;="&amp;$A226,実績!$AJ$6:$AJ$505,"&gt;"&amp;$A226,実績!$AL$6:$AL$505,"○")&gt;0,1,0))</f>
        <v>0</v>
      </c>
      <c r="BQ226" s="39" t="n">
        <f aca="false">IF(BQ$4=0,0,IF(COUNTIFS(実績!$W$6:$W$505,BQ$3,実績!$AI$6:$AI$505,"&lt;="&amp;$A226,実績!$AJ$6:$AJ$505,"&gt;"&amp;$A226,実績!$AL$6:$AL$505,"○")&gt;0,1,0))</f>
        <v>0</v>
      </c>
      <c r="BR226" s="39" t="n">
        <f aca="false">IF(BR$4=0,0,IF(COUNTIFS(実績!$W$6:$W$505,BR$3,実績!$AI$6:$AI$505,"&lt;="&amp;$A226,実績!$AJ$6:$AJ$505,"&gt;"&amp;$A226,実績!$AL$6:$AL$505,"○")&gt;0,1,0))</f>
        <v>0</v>
      </c>
      <c r="BS226" s="39" t="n">
        <f aca="false">IF(BS$4=0,0,IF(COUNTIFS(実績!$W$6:$W$505,BS$3,実績!$AI$6:$AI$505,"&lt;="&amp;$A226,実績!$AJ$6:$AJ$505,"&gt;"&amp;$A226,実績!$AL$6:$AL$505,"○")&gt;0,1,0))</f>
        <v>0</v>
      </c>
      <c r="BT226" s="39" t="n">
        <f aca="false">IF(BT$4=0,0,IF(COUNTIFS(実績!$W$6:$W$505,BT$3,実績!$AI$6:$AI$505,"&lt;="&amp;$A226,実績!$AJ$6:$AJ$505,"&gt;"&amp;$A226,実績!$AL$6:$AL$505,"○")&gt;0,1,0))</f>
        <v>0</v>
      </c>
      <c r="BU226" s="39" t="n">
        <f aca="false">IF(BU$4=0,0,IF(COUNTIFS(実績!$W$6:$W$505,BU$3,実績!$AI$6:$AI$505,"&lt;="&amp;$A226,実績!$AJ$6:$AJ$505,"&gt;"&amp;$A226,実績!$AL$6:$AL$505,"○")&gt;0,1,0))</f>
        <v>0</v>
      </c>
      <c r="BV226" s="39" t="n">
        <f aca="false">IF(BV$4=0,0,IF(COUNTIFS(実績!$W$6:$W$505,BV$3,実績!$AI$6:$AI$505,"&lt;="&amp;$A226,実績!$AJ$6:$AJ$505,"&gt;"&amp;$A226,実績!$AL$6:$AL$505,"○")&gt;0,1,0))</f>
        <v>0</v>
      </c>
      <c r="BW226" s="39" t="n">
        <f aca="false">IF(BW$4=0,0,IF(COUNTIFS(実績!$W$6:$W$505,BW$3,実績!$AI$6:$AI$505,"&lt;="&amp;$A226,実績!$AJ$6:$AJ$505,"&gt;"&amp;$A226,実績!$AL$6:$AL$505,"○")&gt;0,1,0))</f>
        <v>0</v>
      </c>
      <c r="BX226" s="39" t="n">
        <f aca="false">IF(BX$4=0,0,IF(COUNTIFS(実績!$W$6:$W$505,BX$3,実績!$AI$6:$AI$505,"&lt;="&amp;$A226,実績!$AJ$6:$AJ$505,"&gt;"&amp;$A226,実績!$AL$6:$AL$505,"○")&gt;0,1,0))</f>
        <v>0</v>
      </c>
      <c r="BY226" s="39" t="n">
        <f aca="false">IF(BY$4=0,0,IF(COUNTIFS(実績!$W$6:$W$505,BY$3,実績!$AI$6:$AI$505,"&lt;="&amp;$A226,実績!$AJ$6:$AJ$505,"&gt;"&amp;$A226,実績!$AL$6:$AL$505,"○")&gt;0,1,0))</f>
        <v>0</v>
      </c>
      <c r="BZ226" s="39" t="n">
        <f aca="false">IF(BZ$4=0,0,IF(COUNTIFS(実績!$W$6:$W$505,BZ$3,実績!$AI$6:$AI$505,"&lt;="&amp;$A226,実績!$AJ$6:$AJ$505,"&gt;"&amp;$A226,実績!$AL$6:$AL$505,"○")&gt;0,1,0))</f>
        <v>0</v>
      </c>
      <c r="CA226" s="39" t="n">
        <f aca="false">IF(CA$4=0,0,IF(COUNTIFS(実績!$W$6:$W$505,CA$3,実績!$AI$6:$AI$505,"&lt;="&amp;$A226,実績!$AJ$6:$AJ$505,"&gt;"&amp;$A226,実績!$AL$6:$AL$505,"○")&gt;0,1,0))</f>
        <v>0</v>
      </c>
      <c r="CB226" s="39" t="n">
        <f aca="false">IF(CB$4=0,0,IF(COUNTIFS(実績!$W$6:$W$505,CB$3,実績!$AI$6:$AI$505,"&lt;="&amp;$A226,実績!$AJ$6:$AJ$505,"&gt;"&amp;$A226,実績!$AL$6:$AL$505,"○")&gt;0,1,0))</f>
        <v>0</v>
      </c>
      <c r="CC226" s="39" t="n">
        <f aca="false">IF(CC$4=0,0,IF(COUNTIFS(実績!$W$6:$W$505,CC$3,実績!$AI$6:$AI$505,"&lt;="&amp;$A226,実績!$AJ$6:$AJ$505,"&gt;"&amp;$A226,実績!$AL$6:$AL$505,"○")&gt;0,1,0))</f>
        <v>0</v>
      </c>
      <c r="CD226" s="39" t="n">
        <f aca="false">IF(CD$4=0,0,IF(COUNTIFS(実績!$W$6:$W$505,CD$3,実績!$AI$6:$AI$505,"&lt;="&amp;$A226,実績!$AJ$6:$AJ$505,"&gt;"&amp;$A226,実績!$AL$6:$AL$505,"○")&gt;0,1,0))</f>
        <v>0</v>
      </c>
      <c r="CE226" s="39" t="n">
        <f aca="false">IF(CE$4=0,0,IF(COUNTIFS(実績!$W$6:$W$505,CE$3,実績!$AI$6:$AI$505,"&lt;="&amp;$A226,実績!$AJ$6:$AJ$505,"&gt;"&amp;$A226,実績!$AL$6:$AL$505,"○")&gt;0,1,0))</f>
        <v>0</v>
      </c>
      <c r="CF226" s="39" t="n">
        <f aca="false">IF(CF$4=0,0,IF(COUNTIFS(実績!$W$6:$W$505,CF$3,実績!$AI$6:$AI$505,"&lt;="&amp;$A226,実績!$AJ$6:$AJ$505,"&gt;"&amp;$A226,実績!$AL$6:$AL$505,"○")&gt;0,1,0))</f>
        <v>0</v>
      </c>
      <c r="CG226" s="39" t="n">
        <f aca="false">IF(CG$4=0,0,IF(COUNTIFS(実績!$W$6:$W$505,CG$3,実績!$AI$6:$AI$505,"&lt;="&amp;$A226,実績!$AJ$6:$AJ$505,"&gt;"&amp;$A226,実績!$AL$6:$AL$505,"○")&gt;0,1,0))</f>
        <v>0</v>
      </c>
      <c r="CH226" s="39" t="n">
        <f aca="false">IF(CH$4=0,0,IF(COUNTIFS(実績!$W$6:$W$505,CH$3,実績!$AI$6:$AI$505,"&lt;="&amp;$A226,実績!$AJ$6:$AJ$505,"&gt;"&amp;$A226,実績!$AL$6:$AL$505,"○")&gt;0,1,0))</f>
        <v>0</v>
      </c>
      <c r="CI226" s="39" t="n">
        <f aca="false">IF(CI$4=0,0,IF(COUNTIFS(実績!$W$6:$W$505,CI$3,実績!$AI$6:$AI$505,"&lt;="&amp;$A226,実績!$AJ$6:$AJ$505,"&gt;"&amp;$A226,実績!$AL$6:$AL$505,"○")&gt;0,1,0))</f>
        <v>0</v>
      </c>
      <c r="CJ226" s="39" t="n">
        <f aca="false">IF(CJ$4=0,0,IF(COUNTIFS(実績!$W$6:$W$505,CJ$3,実績!$AI$6:$AI$505,"&lt;="&amp;$A226,実績!$AJ$6:$AJ$505,"&gt;"&amp;$A226,実績!$AL$6:$AL$505,"○")&gt;0,1,0))</f>
        <v>0</v>
      </c>
      <c r="CK226" s="39" t="n">
        <f aca="false">IF(CK$4=0,0,IF(COUNTIFS(実績!$W$6:$W$505,CK$3,実績!$AI$6:$AI$505,"&lt;="&amp;$A226,実績!$AJ$6:$AJ$505,"&gt;"&amp;$A226,実績!$AL$6:$AL$505,"○")&gt;0,1,0))</f>
        <v>0</v>
      </c>
      <c r="CL226" s="39" t="n">
        <f aca="false">IF(CL$4=0,0,IF(COUNTIFS(実績!$W$6:$W$505,CL$3,実績!$AI$6:$AI$505,"&lt;="&amp;$A226,実績!$AJ$6:$AJ$505,"&gt;"&amp;$A226,実績!$AL$6:$AL$505,"○")&gt;0,1,0))</f>
        <v>0</v>
      </c>
      <c r="CM226" s="39" t="n">
        <f aca="false">IF(CM$4=0,0,IF(COUNTIFS(実績!$W$6:$W$505,CM$3,実績!$AI$6:$AI$505,"&lt;="&amp;$A226,実績!$AJ$6:$AJ$505,"&gt;"&amp;$A226,実績!$AL$6:$AL$505,"○")&gt;0,1,0))</f>
        <v>0</v>
      </c>
      <c r="CN226" s="39" t="n">
        <f aca="false">IF(CN$4=0,0,IF(COUNTIFS(実績!$W$6:$W$505,CN$3,実績!$AI$6:$AI$505,"&lt;="&amp;$A226,実績!$AJ$6:$AJ$505,"&gt;"&amp;$A226,実績!$AL$6:$AL$505,"○")&gt;0,1,0))</f>
        <v>0</v>
      </c>
      <c r="CO226" s="39" t="n">
        <f aca="false">IF(CO$4=0,0,IF(COUNTIFS(実績!$W$6:$W$505,CO$3,実績!$AI$6:$AI$505,"&lt;="&amp;$A226,実績!$AJ$6:$AJ$505,"&gt;"&amp;$A226,実績!$AL$6:$AL$505,"○")&gt;0,1,0))</f>
        <v>0</v>
      </c>
      <c r="CP226" s="39" t="n">
        <f aca="false">IF(CP$4=0,0,IF(COUNTIFS(実績!$W$6:$W$505,CP$3,実績!$AI$6:$AI$505,"&lt;="&amp;$A226,実績!$AJ$6:$AJ$505,"&gt;"&amp;$A226,実績!$AL$6:$AL$505,"○")&gt;0,1,0))</f>
        <v>0</v>
      </c>
      <c r="CQ226" s="39" t="n">
        <f aca="false">IF(CQ$4=0,0,IF(COUNTIFS(実績!$W$6:$W$505,CQ$3,実績!$AI$6:$AI$505,"&lt;="&amp;$A226,実績!$AJ$6:$AJ$505,"&gt;"&amp;$A226,実績!$AL$6:$AL$505,"○")&gt;0,1,0))</f>
        <v>0</v>
      </c>
      <c r="CR226" s="39" t="n">
        <f aca="false">IF(CR$4=0,0,IF(COUNTIFS(実績!$W$6:$W$505,CR$3,実績!$AI$6:$AI$505,"&lt;="&amp;$A226,実績!$AJ$6:$AJ$505,"&gt;"&amp;$A226,実績!$AL$6:$AL$505,"○")&gt;0,1,0))</f>
        <v>0</v>
      </c>
      <c r="CS226" s="39" t="n">
        <f aca="false">IF(CS$4=0,0,IF(COUNTIFS(実績!$W$6:$W$505,CS$3,実績!$AI$6:$AI$505,"&lt;="&amp;$A226,実績!$AJ$6:$AJ$505,"&gt;"&amp;$A226,実績!$AL$6:$AL$505,"○")&gt;0,1,0))</f>
        <v>0</v>
      </c>
      <c r="CT226" s="39" t="n">
        <f aca="false">IF(CT$4=0,0,IF(COUNTIFS(実績!$W$6:$W$505,CT$3,実績!$AI$6:$AI$505,"&lt;="&amp;$A226,実績!$AJ$6:$AJ$505,"&gt;"&amp;$A226,実績!$AL$6:$AL$505,"○")&gt;0,1,0))</f>
        <v>0</v>
      </c>
      <c r="CU226" s="39" t="n">
        <f aca="false">IF(CU$4=0,0,IF(COUNTIFS(実績!$W$6:$W$505,CU$3,実績!$AI$6:$AI$505,"&lt;="&amp;$A226,実績!$AJ$6:$AJ$505,"&gt;"&amp;$A226,実績!$AL$6:$AL$505,"○")&gt;0,1,0))</f>
        <v>0</v>
      </c>
      <c r="CV226" s="39" t="n">
        <f aca="false">IF(CV$4=0,0,IF(COUNTIFS(実績!$W$6:$W$505,CV$3,実績!$AI$6:$AI$505,"&lt;="&amp;$A226,実績!$AJ$6:$AJ$505,"&gt;"&amp;$A226,実績!$AL$6:$AL$505,"○")&gt;0,1,0))</f>
        <v>0</v>
      </c>
      <c r="CW226" s="39" t="n">
        <f aca="false">IF(CW$4=0,0,IF(COUNTIFS(実績!$W$6:$W$505,CW$3,実績!$AI$6:$AI$505,"&lt;="&amp;$A226,実績!$AJ$6:$AJ$505,"&gt;"&amp;$A226,実績!$AL$6:$AL$505,"○")&gt;0,1,0))</f>
        <v>0</v>
      </c>
      <c r="CX226" s="39" t="n">
        <f aca="false">IF(CX$4=0,0,IF(COUNTIFS(実績!$W$6:$W$505,CX$3,実績!$AI$6:$AI$505,"&lt;="&amp;$A226,実績!$AJ$6:$AJ$505,"&gt;"&amp;$A226,実績!$AL$6:$AL$505,"○")&gt;0,1,0))</f>
        <v>0</v>
      </c>
      <c r="CY226" s="39" t="n">
        <f aca="false">IF(CY$4=0,0,IF(COUNTIFS(実績!$W$6:$W$505,CY$3,実績!$AI$6:$AI$505,"&lt;="&amp;$A226,実績!$AJ$6:$AJ$505,"&gt;"&amp;$A226,実績!$AL$6:$AL$505,"○")&gt;0,1,0))</f>
        <v>0</v>
      </c>
      <c r="CZ226" s="39" t="n">
        <f aca="false">IF(CZ$4=0,0,IF(COUNTIFS(実績!$W$6:$W$505,CZ$3,実績!$AI$6:$AI$505,"&lt;="&amp;$A226,実績!$AJ$6:$AJ$505,"&gt;"&amp;$A226,実績!$AL$6:$AL$505,"○")&gt;0,1,0))</f>
        <v>0</v>
      </c>
      <c r="DA226" s="39" t="n">
        <f aca="false">IF(DA$4=0,0,IF(COUNTIFS(実績!$W$6:$W$505,DA$3,実績!$AI$6:$AI$505,"&lt;="&amp;$A226,実績!$AJ$6:$AJ$505,"&gt;"&amp;$A226,実績!$AL$6:$AL$505,"○")&gt;0,1,0))</f>
        <v>0</v>
      </c>
      <c r="DB226" s="39" t="n">
        <f aca="false">IF(DB$4=0,0,IF(COUNTIFS(実績!$W$6:$W$505,DB$3,実績!$AI$6:$AI$505,"&lt;="&amp;$A226,実績!$AJ$6:$AJ$505,"&gt;"&amp;$A226,実績!$AL$6:$AL$505,"○")&gt;0,1,0))</f>
        <v>0</v>
      </c>
      <c r="DC226" s="39" t="n">
        <f aca="false">IF(DC$4=0,0,IF(COUNTIFS(実績!$W$6:$W$505,DC$3,実績!$AI$6:$AI$505,"&lt;="&amp;$A226,実績!$AJ$6:$AJ$505,"&gt;"&amp;$A226,実績!$AL$6:$AL$505,"○")&gt;0,1,0))</f>
        <v>0</v>
      </c>
      <c r="DD226" s="39" t="n">
        <f aca="false">IF(DD$4=0,0,IF(COUNTIFS(実績!$W$6:$W$505,DD$3,実績!$AI$6:$AI$505,"&lt;="&amp;$A226,実績!$AJ$6:$AJ$505,"&gt;"&amp;$A226,実績!$AL$6:$AL$505,"○")&gt;0,1,0))</f>
        <v>0</v>
      </c>
      <c r="DE226" s="39" t="n">
        <f aca="false">IF(DE$4=0,0,IF(COUNTIFS(実績!$W$6:$W$505,DE$3,実績!$AI$6:$AI$505,"&lt;="&amp;$A226,実績!$AJ$6:$AJ$505,"&gt;"&amp;$A226,実績!$AL$6:$AL$505,"○")&gt;0,1,0))</f>
        <v>0</v>
      </c>
      <c r="DF226" s="39" t="n">
        <f aca="false">IF(DF$4=0,0,IF(COUNTIFS(実績!$W$6:$W$505,DF$3,実績!$AI$6:$AI$505,"&lt;="&amp;$A226,実績!$AJ$6:$AJ$505,"&gt;"&amp;$A226,実績!$AL$6:$AL$505,"○")&gt;0,1,0))</f>
        <v>0</v>
      </c>
      <c r="DG226" s="39" t="n">
        <f aca="false">IF(DG$4=0,0,IF(COUNTIFS(実績!$W$6:$W$505,DG$3,実績!$AI$6:$AI$505,"&lt;="&amp;$A226,実績!$AJ$6:$AJ$505,"&gt;"&amp;$A226,実績!$AL$6:$AL$505,"○")&gt;0,1,0))</f>
        <v>0</v>
      </c>
      <c r="DH226" s="39" t="n">
        <f aca="false">IF(DH$4=0,0,IF(COUNTIFS(実績!$W$6:$W$505,DH$3,実績!$AI$6:$AI$505,"&lt;="&amp;$A226,実績!$AJ$6:$AJ$505,"&gt;"&amp;$A226,実績!$AL$6:$AL$505,"○")&gt;0,1,0))</f>
        <v>0</v>
      </c>
      <c r="DI226" s="39" t="n">
        <f aca="false">IF(DI$4=0,0,IF(COUNTIFS(実績!$W$6:$W$505,DI$3,実績!$AI$6:$AI$505,"&lt;="&amp;$A226,実績!$AJ$6:$AJ$505,"&gt;"&amp;$A226,実績!$AL$6:$AL$505,"○")&gt;0,1,0))</f>
        <v>0</v>
      </c>
      <c r="DJ226" s="39" t="n">
        <f aca="false">IF(DJ$4=0,0,IF(COUNTIFS(実績!$W$6:$W$505,DJ$3,実績!$AI$6:$AI$505,"&lt;="&amp;$A226,実績!$AJ$6:$AJ$505,"&gt;"&amp;$A226,実績!$AL$6:$AL$505,"○")&gt;0,1,0))</f>
        <v>0</v>
      </c>
      <c r="DK226" s="39" t="n">
        <f aca="false">IF(DK$4=0,0,IF(COUNTIFS(実績!$W$6:$W$505,DK$3,実績!$AI$6:$AI$505,"&lt;="&amp;$A226,実績!$AJ$6:$AJ$505,"&gt;"&amp;$A226,実績!$AL$6:$AL$505,"○")&gt;0,1,0))</f>
        <v>0</v>
      </c>
      <c r="DL226" s="39" t="n">
        <f aca="false">IF(DL$4=0,0,IF(COUNTIFS(実績!$W$6:$W$505,DL$3,実績!$AI$6:$AI$505,"&lt;="&amp;$A226,実績!$AJ$6:$AJ$505,"&gt;"&amp;$A226,実績!$AL$6:$AL$505,"○")&gt;0,1,0))</f>
        <v>0</v>
      </c>
      <c r="DM226" s="39" t="n">
        <f aca="false">IF(DM$4=0,0,IF(COUNTIFS(実績!$W$6:$W$505,DM$3,実績!$AI$6:$AI$505,"&lt;="&amp;$A226,実績!$AJ$6:$AJ$505,"&gt;"&amp;$A226,実績!$AL$6:$AL$505,"○")&gt;0,1,0))</f>
        <v>0</v>
      </c>
      <c r="DN226" s="39" t="n">
        <f aca="false">IF(DN$4=0,0,IF(COUNTIFS(実績!$W$6:$W$505,DN$3,実績!$AI$6:$AI$505,"&lt;="&amp;$A226,実績!$AJ$6:$AJ$505,"&gt;"&amp;$A226,実績!$AL$6:$AL$505,"○")&gt;0,1,0))</f>
        <v>0</v>
      </c>
      <c r="DO226" s="39" t="n">
        <f aca="false">IF(DO$4=0,0,IF(COUNTIFS(実績!$W$6:$W$505,DO$3,実績!$AI$6:$AI$505,"&lt;="&amp;$A226,実績!$AJ$6:$AJ$505,"&gt;"&amp;$A226,実績!$AL$6:$AL$505,"○")&gt;0,1,0))</f>
        <v>0</v>
      </c>
      <c r="DP226" s="39" t="n">
        <f aca="false">IF(DP$4=0,0,IF(COUNTIFS(実績!$W$6:$W$505,DP$3,実績!$AI$6:$AI$505,"&lt;="&amp;$A226,実績!$AJ$6:$AJ$505,"&gt;"&amp;$A226,実績!$AL$6:$AL$505,"○")&gt;0,1,0))</f>
        <v>0</v>
      </c>
      <c r="DQ226" s="39" t="n">
        <f aca="false">IF(DQ$4=0,0,IF(COUNTIFS(実績!$W$6:$W$505,DQ$3,実績!$AI$6:$AI$505,"&lt;="&amp;$A226,実績!$AJ$6:$AJ$505,"&gt;"&amp;$A226,実績!$AL$6:$AL$505,"○")&gt;0,1,0))</f>
        <v>0</v>
      </c>
      <c r="DR226" s="39" t="n">
        <f aca="false">IF(DR$4=0,0,IF(COUNTIFS(実績!$W$6:$W$505,DR$3,実績!$AI$6:$AI$505,"&lt;="&amp;$A226,実績!$AJ$6:$AJ$505,"&gt;"&amp;$A226,実績!$AL$6:$AL$505,"○")&gt;0,1,0))</f>
        <v>0</v>
      </c>
      <c r="DS226" s="39" t="n">
        <f aca="false">SUM(C226:DR226)</f>
        <v>0</v>
      </c>
    </row>
    <row r="227" customFormat="false" ht="15" hidden="false" customHeight="false" outlineLevel="0" collapsed="false">
      <c r="A227" s="0" t="n">
        <v>1105</v>
      </c>
      <c r="B227" s="38" t="n">
        <f aca="false">A227/1440</f>
        <v>0.767361111111111</v>
      </c>
      <c r="C227" s="39" t="n">
        <f aca="false">IF(C$4=0,0,IF(COUNTIFS(実績!$W$6:$W$505,C$3,実績!$AI$6:$AI$505,"&lt;="&amp;$A227,実績!$AJ$6:$AJ$505,"&gt;"&amp;$A227,実績!$AL$6:$AL$505,"○")&gt;0,1,0))</f>
        <v>0</v>
      </c>
      <c r="D227" s="39" t="n">
        <f aca="false">IF(D$4=0,0,IF(COUNTIFS(実績!$W$6:$W$505,D$3,実績!$AI$6:$AI$505,"&lt;="&amp;$A227,実績!$AJ$6:$AJ$505,"&gt;"&amp;$A227,実績!$AL$6:$AL$505,"○")&gt;0,1,0))</f>
        <v>0</v>
      </c>
      <c r="E227" s="39" t="n">
        <f aca="false">IF(E$4=0,0,IF(COUNTIFS(実績!$W$6:$W$505,E$3,実績!$AI$6:$AI$505,"&lt;="&amp;$A227,実績!$AJ$6:$AJ$505,"&gt;"&amp;$A227,実績!$AL$6:$AL$505,"○")&gt;0,1,0))</f>
        <v>0</v>
      </c>
      <c r="F227" s="39" t="n">
        <f aca="false">IF(F$4=0,0,IF(COUNTIFS(実績!$W$6:$W$505,F$3,実績!$AI$6:$AI$505,"&lt;="&amp;$A227,実績!$AJ$6:$AJ$505,"&gt;"&amp;$A227,実績!$AL$6:$AL$505,"○")&gt;0,1,0))</f>
        <v>0</v>
      </c>
      <c r="G227" s="39" t="n">
        <f aca="false">IF(G$4=0,0,IF(COUNTIFS(実績!$W$6:$W$505,G$3,実績!$AI$6:$AI$505,"&lt;="&amp;$A227,実績!$AJ$6:$AJ$505,"&gt;"&amp;$A227,実績!$AL$6:$AL$505,"○")&gt;0,1,0))</f>
        <v>0</v>
      </c>
      <c r="H227" s="39" t="n">
        <f aca="false">IF(H$4=0,0,IF(COUNTIFS(実績!$W$6:$W$505,H$3,実績!$AI$6:$AI$505,"&lt;="&amp;$A227,実績!$AJ$6:$AJ$505,"&gt;"&amp;$A227,実績!$AL$6:$AL$505,"○")&gt;0,1,0))</f>
        <v>0</v>
      </c>
      <c r="I227" s="39" t="n">
        <f aca="false">IF(I$4=0,0,IF(COUNTIFS(実績!$W$6:$W$505,I$3,実績!$AI$6:$AI$505,"&lt;="&amp;$A227,実績!$AJ$6:$AJ$505,"&gt;"&amp;$A227,実績!$AL$6:$AL$505,"○")&gt;0,1,0))</f>
        <v>0</v>
      </c>
      <c r="J227" s="39" t="n">
        <f aca="false">IF(J$4=0,0,IF(COUNTIFS(実績!$W$6:$W$505,J$3,実績!$AI$6:$AI$505,"&lt;="&amp;$A227,実績!$AJ$6:$AJ$505,"&gt;"&amp;$A227,実績!$AL$6:$AL$505,"○")&gt;0,1,0))</f>
        <v>0</v>
      </c>
      <c r="K227" s="39" t="n">
        <f aca="false">IF(K$4=0,0,IF(COUNTIFS(実績!$W$6:$W$505,K$3,実績!$AI$6:$AI$505,"&lt;="&amp;$A227,実績!$AJ$6:$AJ$505,"&gt;"&amp;$A227,実績!$AL$6:$AL$505,"○")&gt;0,1,0))</f>
        <v>0</v>
      </c>
      <c r="L227" s="39" t="n">
        <f aca="false">IF(L$4=0,0,IF(COUNTIFS(実績!$W$6:$W$505,L$3,実績!$AI$6:$AI$505,"&lt;="&amp;$A227,実績!$AJ$6:$AJ$505,"&gt;"&amp;$A227,実績!$AL$6:$AL$505,"○")&gt;0,1,0))</f>
        <v>0</v>
      </c>
      <c r="M227" s="39" t="n">
        <f aca="false">IF(M$4=0,0,IF(COUNTIFS(実績!$W$6:$W$505,M$3,実績!$AI$6:$AI$505,"&lt;="&amp;$A227,実績!$AJ$6:$AJ$505,"&gt;"&amp;$A227,実績!$AL$6:$AL$505,"○")&gt;0,1,0))</f>
        <v>0</v>
      </c>
      <c r="N227" s="39" t="n">
        <f aca="false">IF(N$4=0,0,IF(COUNTIFS(実績!$W$6:$W$505,N$3,実績!$AI$6:$AI$505,"&lt;="&amp;$A227,実績!$AJ$6:$AJ$505,"&gt;"&amp;$A227,実績!$AL$6:$AL$505,"○")&gt;0,1,0))</f>
        <v>0</v>
      </c>
      <c r="O227" s="39" t="n">
        <f aca="false">IF(O$4=0,0,IF(COUNTIFS(実績!$W$6:$W$505,O$3,実績!$AI$6:$AI$505,"&lt;="&amp;$A227,実績!$AJ$6:$AJ$505,"&gt;"&amp;$A227,実績!$AL$6:$AL$505,"○")&gt;0,1,0))</f>
        <v>0</v>
      </c>
      <c r="P227" s="39" t="n">
        <f aca="false">IF(P$4=0,0,IF(COUNTIFS(実績!$W$6:$W$505,P$3,実績!$AI$6:$AI$505,"&lt;="&amp;$A227,実績!$AJ$6:$AJ$505,"&gt;"&amp;$A227,実績!$AL$6:$AL$505,"○")&gt;0,1,0))</f>
        <v>0</v>
      </c>
      <c r="Q227" s="39" t="n">
        <f aca="false">IF(Q$4=0,0,IF(COUNTIFS(実績!$W$6:$W$505,Q$3,実績!$AI$6:$AI$505,"&lt;="&amp;$A227,実績!$AJ$6:$AJ$505,"&gt;"&amp;$A227,実績!$AL$6:$AL$505,"○")&gt;0,1,0))</f>
        <v>0</v>
      </c>
      <c r="R227" s="39" t="n">
        <f aca="false">IF(R$4=0,0,IF(COUNTIFS(実績!$W$6:$W$505,R$3,実績!$AI$6:$AI$505,"&lt;="&amp;$A227,実績!$AJ$6:$AJ$505,"&gt;"&amp;$A227,実績!$AL$6:$AL$505,"○")&gt;0,1,0))</f>
        <v>0</v>
      </c>
      <c r="S227" s="39" t="n">
        <f aca="false">IF(S$4=0,0,IF(COUNTIFS(実績!$W$6:$W$505,S$3,実績!$AI$6:$AI$505,"&lt;="&amp;$A227,実績!$AJ$6:$AJ$505,"&gt;"&amp;$A227,実績!$AL$6:$AL$505,"○")&gt;0,1,0))</f>
        <v>0</v>
      </c>
      <c r="T227" s="39" t="n">
        <f aca="false">IF(T$4=0,0,IF(COUNTIFS(実績!$W$6:$W$505,T$3,実績!$AI$6:$AI$505,"&lt;="&amp;$A227,実績!$AJ$6:$AJ$505,"&gt;"&amp;$A227,実績!$AL$6:$AL$505,"○")&gt;0,1,0))</f>
        <v>0</v>
      </c>
      <c r="U227" s="39" t="n">
        <f aca="false">IF(U$4=0,0,IF(COUNTIFS(実績!$W$6:$W$505,U$3,実績!$AI$6:$AI$505,"&lt;="&amp;$A227,実績!$AJ$6:$AJ$505,"&gt;"&amp;$A227,実績!$AL$6:$AL$505,"○")&gt;0,1,0))</f>
        <v>0</v>
      </c>
      <c r="V227" s="39" t="n">
        <f aca="false">IF(V$4=0,0,IF(COUNTIFS(実績!$W$6:$W$505,V$3,実績!$AI$6:$AI$505,"&lt;="&amp;$A227,実績!$AJ$6:$AJ$505,"&gt;"&amp;$A227,実績!$AL$6:$AL$505,"○")&gt;0,1,0))</f>
        <v>0</v>
      </c>
      <c r="W227" s="39" t="n">
        <f aca="false">IF(W$4=0,0,IF(COUNTIFS(実績!$W$6:$W$505,W$3,実績!$AI$6:$AI$505,"&lt;="&amp;$A227,実績!$AJ$6:$AJ$505,"&gt;"&amp;$A227,実績!$AL$6:$AL$505,"○")&gt;0,1,0))</f>
        <v>0</v>
      </c>
      <c r="X227" s="39" t="n">
        <f aca="false">IF(X$4=0,0,IF(COUNTIFS(実績!$W$6:$W$505,X$3,実績!$AI$6:$AI$505,"&lt;="&amp;$A227,実績!$AJ$6:$AJ$505,"&gt;"&amp;$A227,実績!$AL$6:$AL$505,"○")&gt;0,1,0))</f>
        <v>0</v>
      </c>
      <c r="Y227" s="39" t="n">
        <f aca="false">IF(Y$4=0,0,IF(COUNTIFS(実績!$W$6:$W$505,Y$3,実績!$AI$6:$AI$505,"&lt;="&amp;$A227,実績!$AJ$6:$AJ$505,"&gt;"&amp;$A227,実績!$AL$6:$AL$505,"○")&gt;0,1,0))</f>
        <v>0</v>
      </c>
      <c r="Z227" s="39" t="n">
        <f aca="false">IF(Z$4=0,0,IF(COUNTIFS(実績!$W$6:$W$505,Z$3,実績!$AI$6:$AI$505,"&lt;="&amp;$A227,実績!$AJ$6:$AJ$505,"&gt;"&amp;$A227,実績!$AL$6:$AL$505,"○")&gt;0,1,0))</f>
        <v>0</v>
      </c>
      <c r="AA227" s="39" t="n">
        <f aca="false">IF(AA$4=0,0,IF(COUNTIFS(実績!$W$6:$W$505,AA$3,実績!$AI$6:$AI$505,"&lt;="&amp;$A227,実績!$AJ$6:$AJ$505,"&gt;"&amp;$A227,実績!$AL$6:$AL$505,"○")&gt;0,1,0))</f>
        <v>0</v>
      </c>
      <c r="AB227" s="39" t="n">
        <f aca="false">IF(AB$4=0,0,IF(COUNTIFS(実績!$W$6:$W$505,AB$3,実績!$AI$6:$AI$505,"&lt;="&amp;$A227,実績!$AJ$6:$AJ$505,"&gt;"&amp;$A227,実績!$AL$6:$AL$505,"○")&gt;0,1,0))</f>
        <v>0</v>
      </c>
      <c r="AC227" s="39" t="n">
        <f aca="false">IF(AC$4=0,0,IF(COUNTIFS(実績!$W$6:$W$505,AC$3,実績!$AI$6:$AI$505,"&lt;="&amp;$A227,実績!$AJ$6:$AJ$505,"&gt;"&amp;$A227,実績!$AL$6:$AL$505,"○")&gt;0,1,0))</f>
        <v>0</v>
      </c>
      <c r="AD227" s="39" t="n">
        <f aca="false">IF(AD$4=0,0,IF(COUNTIFS(実績!$W$6:$W$505,AD$3,実績!$AI$6:$AI$505,"&lt;="&amp;$A227,実績!$AJ$6:$AJ$505,"&gt;"&amp;$A227,実績!$AL$6:$AL$505,"○")&gt;0,1,0))</f>
        <v>0</v>
      </c>
      <c r="AE227" s="39" t="n">
        <f aca="false">IF(AE$4=0,0,IF(COUNTIFS(実績!$W$6:$W$505,AE$3,実績!$AI$6:$AI$505,"&lt;="&amp;$A227,実績!$AJ$6:$AJ$505,"&gt;"&amp;$A227,実績!$AL$6:$AL$505,"○")&gt;0,1,0))</f>
        <v>0</v>
      </c>
      <c r="AF227" s="39" t="n">
        <f aca="false">IF(AF$4=0,0,IF(COUNTIFS(実績!$W$6:$W$505,AF$3,実績!$AI$6:$AI$505,"&lt;="&amp;$A227,実績!$AJ$6:$AJ$505,"&gt;"&amp;$A227,実績!$AL$6:$AL$505,"○")&gt;0,1,0))</f>
        <v>0</v>
      </c>
      <c r="AG227" s="39" t="n">
        <f aca="false">IF(AG$4=0,0,IF(COUNTIFS(実績!$W$6:$W$505,AG$3,実績!$AI$6:$AI$505,"&lt;="&amp;$A227,実績!$AJ$6:$AJ$505,"&gt;"&amp;$A227,実績!$AL$6:$AL$505,"○")&gt;0,1,0))</f>
        <v>0</v>
      </c>
      <c r="AH227" s="39" t="n">
        <f aca="false">IF(AH$4=0,0,IF(COUNTIFS(実績!$W$6:$W$505,AH$3,実績!$AI$6:$AI$505,"&lt;="&amp;$A227,実績!$AJ$6:$AJ$505,"&gt;"&amp;$A227,実績!$AL$6:$AL$505,"○")&gt;0,1,0))</f>
        <v>0</v>
      </c>
      <c r="AI227" s="39" t="n">
        <f aca="false">IF(AI$4=0,0,IF(COUNTIFS(実績!$W$6:$W$505,AI$3,実績!$AI$6:$AI$505,"&lt;="&amp;$A227,実績!$AJ$6:$AJ$505,"&gt;"&amp;$A227,実績!$AL$6:$AL$505,"○")&gt;0,1,0))</f>
        <v>0</v>
      </c>
      <c r="AJ227" s="39" t="n">
        <f aca="false">IF(AJ$4=0,0,IF(COUNTIFS(実績!$W$6:$W$505,AJ$3,実績!$AI$6:$AI$505,"&lt;="&amp;$A227,実績!$AJ$6:$AJ$505,"&gt;"&amp;$A227,実績!$AL$6:$AL$505,"○")&gt;0,1,0))</f>
        <v>0</v>
      </c>
      <c r="AK227" s="39" t="n">
        <f aca="false">IF(AK$4=0,0,IF(COUNTIFS(実績!$W$6:$W$505,AK$3,実績!$AI$6:$AI$505,"&lt;="&amp;$A227,実績!$AJ$6:$AJ$505,"&gt;"&amp;$A227,実績!$AL$6:$AL$505,"○")&gt;0,1,0))</f>
        <v>0</v>
      </c>
      <c r="AL227" s="39" t="n">
        <f aca="false">IF(AL$4=0,0,IF(COUNTIFS(実績!$W$6:$W$505,AL$3,実績!$AI$6:$AI$505,"&lt;="&amp;$A227,実績!$AJ$6:$AJ$505,"&gt;"&amp;$A227,実績!$AL$6:$AL$505,"○")&gt;0,1,0))</f>
        <v>0</v>
      </c>
      <c r="AM227" s="39" t="n">
        <f aca="false">IF(AM$4=0,0,IF(COUNTIFS(実績!$W$6:$W$505,AM$3,実績!$AI$6:$AI$505,"&lt;="&amp;$A227,実績!$AJ$6:$AJ$505,"&gt;"&amp;$A227,実績!$AL$6:$AL$505,"○")&gt;0,1,0))</f>
        <v>0</v>
      </c>
      <c r="AN227" s="39" t="n">
        <f aca="false">IF(AN$4=0,0,IF(COUNTIFS(実績!$W$6:$W$505,AN$3,実績!$AI$6:$AI$505,"&lt;="&amp;$A227,実績!$AJ$6:$AJ$505,"&gt;"&amp;$A227,実績!$AL$6:$AL$505,"○")&gt;0,1,0))</f>
        <v>0</v>
      </c>
      <c r="AO227" s="39" t="n">
        <f aca="false">IF(AO$4=0,0,IF(COUNTIFS(実績!$W$6:$W$505,AO$3,実績!$AI$6:$AI$505,"&lt;="&amp;$A227,実績!$AJ$6:$AJ$505,"&gt;"&amp;$A227,実績!$AL$6:$AL$505,"○")&gt;0,1,0))</f>
        <v>0</v>
      </c>
      <c r="AP227" s="39" t="n">
        <f aca="false">IF(AP$4=0,0,IF(COUNTIFS(実績!$W$6:$W$505,AP$3,実績!$AI$6:$AI$505,"&lt;="&amp;$A227,実績!$AJ$6:$AJ$505,"&gt;"&amp;$A227,実績!$AL$6:$AL$505,"○")&gt;0,1,0))</f>
        <v>0</v>
      </c>
      <c r="AQ227" s="39" t="n">
        <f aca="false">IF(AQ$4=0,0,IF(COUNTIFS(実績!$W$6:$W$505,AQ$3,実績!$AI$6:$AI$505,"&lt;="&amp;$A227,実績!$AJ$6:$AJ$505,"&gt;"&amp;$A227,実績!$AL$6:$AL$505,"○")&gt;0,1,0))</f>
        <v>0</v>
      </c>
      <c r="AR227" s="39" t="n">
        <f aca="false">IF(AR$4=0,0,IF(COUNTIFS(実績!$W$6:$W$505,AR$3,実績!$AI$6:$AI$505,"&lt;="&amp;$A227,実績!$AJ$6:$AJ$505,"&gt;"&amp;$A227,実績!$AL$6:$AL$505,"○")&gt;0,1,0))</f>
        <v>0</v>
      </c>
      <c r="AS227" s="39" t="n">
        <f aca="false">IF(AS$4=0,0,IF(COUNTIFS(実績!$W$6:$W$505,AS$3,実績!$AI$6:$AI$505,"&lt;="&amp;$A227,実績!$AJ$6:$AJ$505,"&gt;"&amp;$A227,実績!$AL$6:$AL$505,"○")&gt;0,1,0))</f>
        <v>0</v>
      </c>
      <c r="AT227" s="39" t="n">
        <f aca="false">IF(AT$4=0,0,IF(COUNTIFS(実績!$W$6:$W$505,AT$3,実績!$AI$6:$AI$505,"&lt;="&amp;$A227,実績!$AJ$6:$AJ$505,"&gt;"&amp;$A227,実績!$AL$6:$AL$505,"○")&gt;0,1,0))</f>
        <v>0</v>
      </c>
      <c r="AU227" s="39" t="n">
        <f aca="false">IF(AU$4=0,0,IF(COUNTIFS(実績!$W$6:$W$505,AU$3,実績!$AI$6:$AI$505,"&lt;="&amp;$A227,実績!$AJ$6:$AJ$505,"&gt;"&amp;$A227,実績!$AL$6:$AL$505,"○")&gt;0,1,0))</f>
        <v>0</v>
      </c>
      <c r="AV227" s="39" t="n">
        <f aca="false">IF(AV$4=0,0,IF(COUNTIFS(実績!$W$6:$W$505,AV$3,実績!$AI$6:$AI$505,"&lt;="&amp;$A227,実績!$AJ$6:$AJ$505,"&gt;"&amp;$A227,実績!$AL$6:$AL$505,"○")&gt;0,1,0))</f>
        <v>0</v>
      </c>
      <c r="AW227" s="39" t="n">
        <f aca="false">IF(AW$4=0,0,IF(COUNTIFS(実績!$W$6:$W$505,AW$3,実績!$AI$6:$AI$505,"&lt;="&amp;$A227,実績!$AJ$6:$AJ$505,"&gt;"&amp;$A227,実績!$AL$6:$AL$505,"○")&gt;0,1,0))</f>
        <v>0</v>
      </c>
      <c r="AX227" s="39" t="n">
        <f aca="false">IF(AX$4=0,0,IF(COUNTIFS(実績!$W$6:$W$505,AX$3,実績!$AI$6:$AI$505,"&lt;="&amp;$A227,実績!$AJ$6:$AJ$505,"&gt;"&amp;$A227,実績!$AL$6:$AL$505,"○")&gt;0,1,0))</f>
        <v>0</v>
      </c>
      <c r="AY227" s="39" t="n">
        <f aca="false">IF(AY$4=0,0,IF(COUNTIFS(実績!$W$6:$W$505,AY$3,実績!$AI$6:$AI$505,"&lt;="&amp;$A227,実績!$AJ$6:$AJ$505,"&gt;"&amp;$A227,実績!$AL$6:$AL$505,"○")&gt;0,1,0))</f>
        <v>0</v>
      </c>
      <c r="AZ227" s="39" t="n">
        <f aca="false">IF(AZ$4=0,0,IF(COUNTIFS(実績!$W$6:$W$505,AZ$3,実績!$AI$6:$AI$505,"&lt;="&amp;$A227,実績!$AJ$6:$AJ$505,"&gt;"&amp;$A227,実績!$AL$6:$AL$505,"○")&gt;0,1,0))</f>
        <v>0</v>
      </c>
      <c r="BA227" s="39" t="n">
        <f aca="false">IF(BA$4=0,0,IF(COUNTIFS(実績!$W$6:$W$505,BA$3,実績!$AI$6:$AI$505,"&lt;="&amp;$A227,実績!$AJ$6:$AJ$505,"&gt;"&amp;$A227,実績!$AL$6:$AL$505,"○")&gt;0,1,0))</f>
        <v>0</v>
      </c>
      <c r="BB227" s="39" t="n">
        <f aca="false">IF(BB$4=0,0,IF(COUNTIFS(実績!$W$6:$W$505,BB$3,実績!$AI$6:$AI$505,"&lt;="&amp;$A227,実績!$AJ$6:$AJ$505,"&gt;"&amp;$A227,実績!$AL$6:$AL$505,"○")&gt;0,1,0))</f>
        <v>0</v>
      </c>
      <c r="BC227" s="39" t="n">
        <f aca="false">IF(BC$4=0,0,IF(COUNTIFS(実績!$W$6:$W$505,BC$3,実績!$AI$6:$AI$505,"&lt;="&amp;$A227,実績!$AJ$6:$AJ$505,"&gt;"&amp;$A227,実績!$AL$6:$AL$505,"○")&gt;0,1,0))</f>
        <v>0</v>
      </c>
      <c r="BD227" s="39" t="n">
        <f aca="false">IF(BD$4=0,0,IF(COUNTIFS(実績!$W$6:$W$505,BD$3,実績!$AI$6:$AI$505,"&lt;="&amp;$A227,実績!$AJ$6:$AJ$505,"&gt;"&amp;$A227,実績!$AL$6:$AL$505,"○")&gt;0,1,0))</f>
        <v>0</v>
      </c>
      <c r="BE227" s="39" t="n">
        <f aca="false">IF(BE$4=0,0,IF(COUNTIFS(実績!$W$6:$W$505,BE$3,実績!$AI$6:$AI$505,"&lt;="&amp;$A227,実績!$AJ$6:$AJ$505,"&gt;"&amp;$A227,実績!$AL$6:$AL$505,"○")&gt;0,1,0))</f>
        <v>0</v>
      </c>
      <c r="BF227" s="39" t="n">
        <f aca="false">IF(BF$4=0,0,IF(COUNTIFS(実績!$W$6:$W$505,BF$3,実績!$AI$6:$AI$505,"&lt;="&amp;$A227,実績!$AJ$6:$AJ$505,"&gt;"&amp;$A227,実績!$AL$6:$AL$505,"○")&gt;0,1,0))</f>
        <v>0</v>
      </c>
      <c r="BG227" s="39" t="n">
        <f aca="false">IF(BG$4=0,0,IF(COUNTIFS(実績!$W$6:$W$505,BG$3,実績!$AI$6:$AI$505,"&lt;="&amp;$A227,実績!$AJ$6:$AJ$505,"&gt;"&amp;$A227,実績!$AL$6:$AL$505,"○")&gt;0,1,0))</f>
        <v>0</v>
      </c>
      <c r="BH227" s="39" t="n">
        <f aca="false">IF(BH$4=0,0,IF(COUNTIFS(実績!$W$6:$W$505,BH$3,実績!$AI$6:$AI$505,"&lt;="&amp;$A227,実績!$AJ$6:$AJ$505,"&gt;"&amp;$A227,実績!$AL$6:$AL$505,"○")&gt;0,1,0))</f>
        <v>0</v>
      </c>
      <c r="BI227" s="39" t="n">
        <f aca="false">IF(BI$4=0,0,IF(COUNTIFS(実績!$W$6:$W$505,BI$3,実績!$AI$6:$AI$505,"&lt;="&amp;$A227,実績!$AJ$6:$AJ$505,"&gt;"&amp;$A227,実績!$AL$6:$AL$505,"○")&gt;0,1,0))</f>
        <v>0</v>
      </c>
      <c r="BJ227" s="39" t="n">
        <f aca="false">IF(BJ$4=0,0,IF(COUNTIFS(実績!$W$6:$W$505,BJ$3,実績!$AI$6:$AI$505,"&lt;="&amp;$A227,実績!$AJ$6:$AJ$505,"&gt;"&amp;$A227,実績!$AL$6:$AL$505,"○")&gt;0,1,0))</f>
        <v>0</v>
      </c>
      <c r="BK227" s="39" t="n">
        <f aca="false">IF(BK$4=0,0,IF(COUNTIFS(実績!$W$6:$W$505,BK$3,実績!$AI$6:$AI$505,"&lt;="&amp;$A227,実績!$AJ$6:$AJ$505,"&gt;"&amp;$A227,実績!$AL$6:$AL$505,"○")&gt;0,1,0))</f>
        <v>0</v>
      </c>
      <c r="BL227" s="39" t="n">
        <f aca="false">IF(BL$4=0,0,IF(COUNTIFS(実績!$W$6:$W$505,BL$3,実績!$AI$6:$AI$505,"&lt;="&amp;$A227,実績!$AJ$6:$AJ$505,"&gt;"&amp;$A227,実績!$AL$6:$AL$505,"○")&gt;0,1,0))</f>
        <v>0</v>
      </c>
      <c r="BM227" s="39" t="n">
        <f aca="false">IF(BM$4=0,0,IF(COUNTIFS(実績!$W$6:$W$505,BM$3,実績!$AI$6:$AI$505,"&lt;="&amp;$A227,実績!$AJ$6:$AJ$505,"&gt;"&amp;$A227,実績!$AL$6:$AL$505,"○")&gt;0,1,0))</f>
        <v>0</v>
      </c>
      <c r="BN227" s="39" t="n">
        <f aca="false">IF(BN$4=0,0,IF(COUNTIFS(実績!$W$6:$W$505,BN$3,実績!$AI$6:$AI$505,"&lt;="&amp;$A227,実績!$AJ$6:$AJ$505,"&gt;"&amp;$A227,実績!$AL$6:$AL$505,"○")&gt;0,1,0))</f>
        <v>0</v>
      </c>
      <c r="BO227" s="39" t="n">
        <f aca="false">IF(BO$4=0,0,IF(COUNTIFS(実績!$W$6:$W$505,BO$3,実績!$AI$6:$AI$505,"&lt;="&amp;$A227,実績!$AJ$6:$AJ$505,"&gt;"&amp;$A227,実績!$AL$6:$AL$505,"○")&gt;0,1,0))</f>
        <v>0</v>
      </c>
      <c r="BP227" s="39" t="n">
        <f aca="false">IF(BP$4=0,0,IF(COUNTIFS(実績!$W$6:$W$505,BP$3,実績!$AI$6:$AI$505,"&lt;="&amp;$A227,実績!$AJ$6:$AJ$505,"&gt;"&amp;$A227,実績!$AL$6:$AL$505,"○")&gt;0,1,0))</f>
        <v>0</v>
      </c>
      <c r="BQ227" s="39" t="n">
        <f aca="false">IF(BQ$4=0,0,IF(COUNTIFS(実績!$W$6:$W$505,BQ$3,実績!$AI$6:$AI$505,"&lt;="&amp;$A227,実績!$AJ$6:$AJ$505,"&gt;"&amp;$A227,実績!$AL$6:$AL$505,"○")&gt;0,1,0))</f>
        <v>0</v>
      </c>
      <c r="BR227" s="39" t="n">
        <f aca="false">IF(BR$4=0,0,IF(COUNTIFS(実績!$W$6:$W$505,BR$3,実績!$AI$6:$AI$505,"&lt;="&amp;$A227,実績!$AJ$6:$AJ$505,"&gt;"&amp;$A227,実績!$AL$6:$AL$505,"○")&gt;0,1,0))</f>
        <v>0</v>
      </c>
      <c r="BS227" s="39" t="n">
        <f aca="false">IF(BS$4=0,0,IF(COUNTIFS(実績!$W$6:$W$505,BS$3,実績!$AI$6:$AI$505,"&lt;="&amp;$A227,実績!$AJ$6:$AJ$505,"&gt;"&amp;$A227,実績!$AL$6:$AL$505,"○")&gt;0,1,0))</f>
        <v>0</v>
      </c>
      <c r="BT227" s="39" t="n">
        <f aca="false">IF(BT$4=0,0,IF(COUNTIFS(実績!$W$6:$W$505,BT$3,実績!$AI$6:$AI$505,"&lt;="&amp;$A227,実績!$AJ$6:$AJ$505,"&gt;"&amp;$A227,実績!$AL$6:$AL$505,"○")&gt;0,1,0))</f>
        <v>0</v>
      </c>
      <c r="BU227" s="39" t="n">
        <f aca="false">IF(BU$4=0,0,IF(COUNTIFS(実績!$W$6:$W$505,BU$3,実績!$AI$6:$AI$505,"&lt;="&amp;$A227,実績!$AJ$6:$AJ$505,"&gt;"&amp;$A227,実績!$AL$6:$AL$505,"○")&gt;0,1,0))</f>
        <v>0</v>
      </c>
      <c r="BV227" s="39" t="n">
        <f aca="false">IF(BV$4=0,0,IF(COUNTIFS(実績!$W$6:$W$505,BV$3,実績!$AI$6:$AI$505,"&lt;="&amp;$A227,実績!$AJ$6:$AJ$505,"&gt;"&amp;$A227,実績!$AL$6:$AL$505,"○")&gt;0,1,0))</f>
        <v>0</v>
      </c>
      <c r="BW227" s="39" t="n">
        <f aca="false">IF(BW$4=0,0,IF(COUNTIFS(実績!$W$6:$W$505,BW$3,実績!$AI$6:$AI$505,"&lt;="&amp;$A227,実績!$AJ$6:$AJ$505,"&gt;"&amp;$A227,実績!$AL$6:$AL$505,"○")&gt;0,1,0))</f>
        <v>0</v>
      </c>
      <c r="BX227" s="39" t="n">
        <f aca="false">IF(BX$4=0,0,IF(COUNTIFS(実績!$W$6:$W$505,BX$3,実績!$AI$6:$AI$505,"&lt;="&amp;$A227,実績!$AJ$6:$AJ$505,"&gt;"&amp;$A227,実績!$AL$6:$AL$505,"○")&gt;0,1,0))</f>
        <v>0</v>
      </c>
      <c r="BY227" s="39" t="n">
        <f aca="false">IF(BY$4=0,0,IF(COUNTIFS(実績!$W$6:$W$505,BY$3,実績!$AI$6:$AI$505,"&lt;="&amp;$A227,実績!$AJ$6:$AJ$505,"&gt;"&amp;$A227,実績!$AL$6:$AL$505,"○")&gt;0,1,0))</f>
        <v>0</v>
      </c>
      <c r="BZ227" s="39" t="n">
        <f aca="false">IF(BZ$4=0,0,IF(COUNTIFS(実績!$W$6:$W$505,BZ$3,実績!$AI$6:$AI$505,"&lt;="&amp;$A227,実績!$AJ$6:$AJ$505,"&gt;"&amp;$A227,実績!$AL$6:$AL$505,"○")&gt;0,1,0))</f>
        <v>0</v>
      </c>
      <c r="CA227" s="39" t="n">
        <f aca="false">IF(CA$4=0,0,IF(COUNTIFS(実績!$W$6:$W$505,CA$3,実績!$AI$6:$AI$505,"&lt;="&amp;$A227,実績!$AJ$6:$AJ$505,"&gt;"&amp;$A227,実績!$AL$6:$AL$505,"○")&gt;0,1,0))</f>
        <v>0</v>
      </c>
      <c r="CB227" s="39" t="n">
        <f aca="false">IF(CB$4=0,0,IF(COUNTIFS(実績!$W$6:$W$505,CB$3,実績!$AI$6:$AI$505,"&lt;="&amp;$A227,実績!$AJ$6:$AJ$505,"&gt;"&amp;$A227,実績!$AL$6:$AL$505,"○")&gt;0,1,0))</f>
        <v>0</v>
      </c>
      <c r="CC227" s="39" t="n">
        <f aca="false">IF(CC$4=0,0,IF(COUNTIFS(実績!$W$6:$W$505,CC$3,実績!$AI$6:$AI$505,"&lt;="&amp;$A227,実績!$AJ$6:$AJ$505,"&gt;"&amp;$A227,実績!$AL$6:$AL$505,"○")&gt;0,1,0))</f>
        <v>0</v>
      </c>
      <c r="CD227" s="39" t="n">
        <f aca="false">IF(CD$4=0,0,IF(COUNTIFS(実績!$W$6:$W$505,CD$3,実績!$AI$6:$AI$505,"&lt;="&amp;$A227,実績!$AJ$6:$AJ$505,"&gt;"&amp;$A227,実績!$AL$6:$AL$505,"○")&gt;0,1,0))</f>
        <v>0</v>
      </c>
      <c r="CE227" s="39" t="n">
        <f aca="false">IF(CE$4=0,0,IF(COUNTIFS(実績!$W$6:$W$505,CE$3,実績!$AI$6:$AI$505,"&lt;="&amp;$A227,実績!$AJ$6:$AJ$505,"&gt;"&amp;$A227,実績!$AL$6:$AL$505,"○")&gt;0,1,0))</f>
        <v>0</v>
      </c>
      <c r="CF227" s="39" t="n">
        <f aca="false">IF(CF$4=0,0,IF(COUNTIFS(実績!$W$6:$W$505,CF$3,実績!$AI$6:$AI$505,"&lt;="&amp;$A227,実績!$AJ$6:$AJ$505,"&gt;"&amp;$A227,実績!$AL$6:$AL$505,"○")&gt;0,1,0))</f>
        <v>0</v>
      </c>
      <c r="CG227" s="39" t="n">
        <f aca="false">IF(CG$4=0,0,IF(COUNTIFS(実績!$W$6:$W$505,CG$3,実績!$AI$6:$AI$505,"&lt;="&amp;$A227,実績!$AJ$6:$AJ$505,"&gt;"&amp;$A227,実績!$AL$6:$AL$505,"○")&gt;0,1,0))</f>
        <v>0</v>
      </c>
      <c r="CH227" s="39" t="n">
        <f aca="false">IF(CH$4=0,0,IF(COUNTIFS(実績!$W$6:$W$505,CH$3,実績!$AI$6:$AI$505,"&lt;="&amp;$A227,実績!$AJ$6:$AJ$505,"&gt;"&amp;$A227,実績!$AL$6:$AL$505,"○")&gt;0,1,0))</f>
        <v>0</v>
      </c>
      <c r="CI227" s="39" t="n">
        <f aca="false">IF(CI$4=0,0,IF(COUNTIFS(実績!$W$6:$W$505,CI$3,実績!$AI$6:$AI$505,"&lt;="&amp;$A227,実績!$AJ$6:$AJ$505,"&gt;"&amp;$A227,実績!$AL$6:$AL$505,"○")&gt;0,1,0))</f>
        <v>0</v>
      </c>
      <c r="CJ227" s="39" t="n">
        <f aca="false">IF(CJ$4=0,0,IF(COUNTIFS(実績!$W$6:$W$505,CJ$3,実績!$AI$6:$AI$505,"&lt;="&amp;$A227,実績!$AJ$6:$AJ$505,"&gt;"&amp;$A227,実績!$AL$6:$AL$505,"○")&gt;0,1,0))</f>
        <v>0</v>
      </c>
      <c r="CK227" s="39" t="n">
        <f aca="false">IF(CK$4=0,0,IF(COUNTIFS(実績!$W$6:$W$505,CK$3,実績!$AI$6:$AI$505,"&lt;="&amp;$A227,実績!$AJ$6:$AJ$505,"&gt;"&amp;$A227,実績!$AL$6:$AL$505,"○")&gt;0,1,0))</f>
        <v>0</v>
      </c>
      <c r="CL227" s="39" t="n">
        <f aca="false">IF(CL$4=0,0,IF(COUNTIFS(実績!$W$6:$W$505,CL$3,実績!$AI$6:$AI$505,"&lt;="&amp;$A227,実績!$AJ$6:$AJ$505,"&gt;"&amp;$A227,実績!$AL$6:$AL$505,"○")&gt;0,1,0))</f>
        <v>0</v>
      </c>
      <c r="CM227" s="39" t="n">
        <f aca="false">IF(CM$4=0,0,IF(COUNTIFS(実績!$W$6:$W$505,CM$3,実績!$AI$6:$AI$505,"&lt;="&amp;$A227,実績!$AJ$6:$AJ$505,"&gt;"&amp;$A227,実績!$AL$6:$AL$505,"○")&gt;0,1,0))</f>
        <v>0</v>
      </c>
      <c r="CN227" s="39" t="n">
        <f aca="false">IF(CN$4=0,0,IF(COUNTIFS(実績!$W$6:$W$505,CN$3,実績!$AI$6:$AI$505,"&lt;="&amp;$A227,実績!$AJ$6:$AJ$505,"&gt;"&amp;$A227,実績!$AL$6:$AL$505,"○")&gt;0,1,0))</f>
        <v>0</v>
      </c>
      <c r="CO227" s="39" t="n">
        <f aca="false">IF(CO$4=0,0,IF(COUNTIFS(実績!$W$6:$W$505,CO$3,実績!$AI$6:$AI$505,"&lt;="&amp;$A227,実績!$AJ$6:$AJ$505,"&gt;"&amp;$A227,実績!$AL$6:$AL$505,"○")&gt;0,1,0))</f>
        <v>0</v>
      </c>
      <c r="CP227" s="39" t="n">
        <f aca="false">IF(CP$4=0,0,IF(COUNTIFS(実績!$W$6:$W$505,CP$3,実績!$AI$6:$AI$505,"&lt;="&amp;$A227,実績!$AJ$6:$AJ$505,"&gt;"&amp;$A227,実績!$AL$6:$AL$505,"○")&gt;0,1,0))</f>
        <v>0</v>
      </c>
      <c r="CQ227" s="39" t="n">
        <f aca="false">IF(CQ$4=0,0,IF(COUNTIFS(実績!$W$6:$W$505,CQ$3,実績!$AI$6:$AI$505,"&lt;="&amp;$A227,実績!$AJ$6:$AJ$505,"&gt;"&amp;$A227,実績!$AL$6:$AL$505,"○")&gt;0,1,0))</f>
        <v>0</v>
      </c>
      <c r="CR227" s="39" t="n">
        <f aca="false">IF(CR$4=0,0,IF(COUNTIFS(実績!$W$6:$W$505,CR$3,実績!$AI$6:$AI$505,"&lt;="&amp;$A227,実績!$AJ$6:$AJ$505,"&gt;"&amp;$A227,実績!$AL$6:$AL$505,"○")&gt;0,1,0))</f>
        <v>0</v>
      </c>
      <c r="CS227" s="39" t="n">
        <f aca="false">IF(CS$4=0,0,IF(COUNTIFS(実績!$W$6:$W$505,CS$3,実績!$AI$6:$AI$505,"&lt;="&amp;$A227,実績!$AJ$6:$AJ$505,"&gt;"&amp;$A227,実績!$AL$6:$AL$505,"○")&gt;0,1,0))</f>
        <v>0</v>
      </c>
      <c r="CT227" s="39" t="n">
        <f aca="false">IF(CT$4=0,0,IF(COUNTIFS(実績!$W$6:$W$505,CT$3,実績!$AI$6:$AI$505,"&lt;="&amp;$A227,実績!$AJ$6:$AJ$505,"&gt;"&amp;$A227,実績!$AL$6:$AL$505,"○")&gt;0,1,0))</f>
        <v>0</v>
      </c>
      <c r="CU227" s="39" t="n">
        <f aca="false">IF(CU$4=0,0,IF(COUNTIFS(実績!$W$6:$W$505,CU$3,実績!$AI$6:$AI$505,"&lt;="&amp;$A227,実績!$AJ$6:$AJ$505,"&gt;"&amp;$A227,実績!$AL$6:$AL$505,"○")&gt;0,1,0))</f>
        <v>0</v>
      </c>
      <c r="CV227" s="39" t="n">
        <f aca="false">IF(CV$4=0,0,IF(COUNTIFS(実績!$W$6:$W$505,CV$3,実績!$AI$6:$AI$505,"&lt;="&amp;$A227,実績!$AJ$6:$AJ$505,"&gt;"&amp;$A227,実績!$AL$6:$AL$505,"○")&gt;0,1,0))</f>
        <v>0</v>
      </c>
      <c r="CW227" s="39" t="n">
        <f aca="false">IF(CW$4=0,0,IF(COUNTIFS(実績!$W$6:$W$505,CW$3,実績!$AI$6:$AI$505,"&lt;="&amp;$A227,実績!$AJ$6:$AJ$505,"&gt;"&amp;$A227,実績!$AL$6:$AL$505,"○")&gt;0,1,0))</f>
        <v>0</v>
      </c>
      <c r="CX227" s="39" t="n">
        <f aca="false">IF(CX$4=0,0,IF(COUNTIFS(実績!$W$6:$W$505,CX$3,実績!$AI$6:$AI$505,"&lt;="&amp;$A227,実績!$AJ$6:$AJ$505,"&gt;"&amp;$A227,実績!$AL$6:$AL$505,"○")&gt;0,1,0))</f>
        <v>0</v>
      </c>
      <c r="CY227" s="39" t="n">
        <f aca="false">IF(CY$4=0,0,IF(COUNTIFS(実績!$W$6:$W$505,CY$3,実績!$AI$6:$AI$505,"&lt;="&amp;$A227,実績!$AJ$6:$AJ$505,"&gt;"&amp;$A227,実績!$AL$6:$AL$505,"○")&gt;0,1,0))</f>
        <v>0</v>
      </c>
      <c r="CZ227" s="39" t="n">
        <f aca="false">IF(CZ$4=0,0,IF(COUNTIFS(実績!$W$6:$W$505,CZ$3,実績!$AI$6:$AI$505,"&lt;="&amp;$A227,実績!$AJ$6:$AJ$505,"&gt;"&amp;$A227,実績!$AL$6:$AL$505,"○")&gt;0,1,0))</f>
        <v>0</v>
      </c>
      <c r="DA227" s="39" t="n">
        <f aca="false">IF(DA$4=0,0,IF(COUNTIFS(実績!$W$6:$W$505,DA$3,実績!$AI$6:$AI$505,"&lt;="&amp;$A227,実績!$AJ$6:$AJ$505,"&gt;"&amp;$A227,実績!$AL$6:$AL$505,"○")&gt;0,1,0))</f>
        <v>0</v>
      </c>
      <c r="DB227" s="39" t="n">
        <f aca="false">IF(DB$4=0,0,IF(COUNTIFS(実績!$W$6:$W$505,DB$3,実績!$AI$6:$AI$505,"&lt;="&amp;$A227,実績!$AJ$6:$AJ$505,"&gt;"&amp;$A227,実績!$AL$6:$AL$505,"○")&gt;0,1,0))</f>
        <v>0</v>
      </c>
      <c r="DC227" s="39" t="n">
        <f aca="false">IF(DC$4=0,0,IF(COUNTIFS(実績!$W$6:$W$505,DC$3,実績!$AI$6:$AI$505,"&lt;="&amp;$A227,実績!$AJ$6:$AJ$505,"&gt;"&amp;$A227,実績!$AL$6:$AL$505,"○")&gt;0,1,0))</f>
        <v>0</v>
      </c>
      <c r="DD227" s="39" t="n">
        <f aca="false">IF(DD$4=0,0,IF(COUNTIFS(実績!$W$6:$W$505,DD$3,実績!$AI$6:$AI$505,"&lt;="&amp;$A227,実績!$AJ$6:$AJ$505,"&gt;"&amp;$A227,実績!$AL$6:$AL$505,"○")&gt;0,1,0))</f>
        <v>0</v>
      </c>
      <c r="DE227" s="39" t="n">
        <f aca="false">IF(DE$4=0,0,IF(COUNTIFS(実績!$W$6:$W$505,DE$3,実績!$AI$6:$AI$505,"&lt;="&amp;$A227,実績!$AJ$6:$AJ$505,"&gt;"&amp;$A227,実績!$AL$6:$AL$505,"○")&gt;0,1,0))</f>
        <v>0</v>
      </c>
      <c r="DF227" s="39" t="n">
        <f aca="false">IF(DF$4=0,0,IF(COUNTIFS(実績!$W$6:$W$505,DF$3,実績!$AI$6:$AI$505,"&lt;="&amp;$A227,実績!$AJ$6:$AJ$505,"&gt;"&amp;$A227,実績!$AL$6:$AL$505,"○")&gt;0,1,0))</f>
        <v>0</v>
      </c>
      <c r="DG227" s="39" t="n">
        <f aca="false">IF(DG$4=0,0,IF(COUNTIFS(実績!$W$6:$W$505,DG$3,実績!$AI$6:$AI$505,"&lt;="&amp;$A227,実績!$AJ$6:$AJ$505,"&gt;"&amp;$A227,実績!$AL$6:$AL$505,"○")&gt;0,1,0))</f>
        <v>0</v>
      </c>
      <c r="DH227" s="39" t="n">
        <f aca="false">IF(DH$4=0,0,IF(COUNTIFS(実績!$W$6:$W$505,DH$3,実績!$AI$6:$AI$505,"&lt;="&amp;$A227,実績!$AJ$6:$AJ$505,"&gt;"&amp;$A227,実績!$AL$6:$AL$505,"○")&gt;0,1,0))</f>
        <v>0</v>
      </c>
      <c r="DI227" s="39" t="n">
        <f aca="false">IF(DI$4=0,0,IF(COUNTIFS(実績!$W$6:$W$505,DI$3,実績!$AI$6:$AI$505,"&lt;="&amp;$A227,実績!$AJ$6:$AJ$505,"&gt;"&amp;$A227,実績!$AL$6:$AL$505,"○")&gt;0,1,0))</f>
        <v>0</v>
      </c>
      <c r="DJ227" s="39" t="n">
        <f aca="false">IF(DJ$4=0,0,IF(COUNTIFS(実績!$W$6:$W$505,DJ$3,実績!$AI$6:$AI$505,"&lt;="&amp;$A227,実績!$AJ$6:$AJ$505,"&gt;"&amp;$A227,実績!$AL$6:$AL$505,"○")&gt;0,1,0))</f>
        <v>0</v>
      </c>
      <c r="DK227" s="39" t="n">
        <f aca="false">IF(DK$4=0,0,IF(COUNTIFS(実績!$W$6:$W$505,DK$3,実績!$AI$6:$AI$505,"&lt;="&amp;$A227,実績!$AJ$6:$AJ$505,"&gt;"&amp;$A227,実績!$AL$6:$AL$505,"○")&gt;0,1,0))</f>
        <v>0</v>
      </c>
      <c r="DL227" s="39" t="n">
        <f aca="false">IF(DL$4=0,0,IF(COUNTIFS(実績!$W$6:$W$505,DL$3,実績!$AI$6:$AI$505,"&lt;="&amp;$A227,実績!$AJ$6:$AJ$505,"&gt;"&amp;$A227,実績!$AL$6:$AL$505,"○")&gt;0,1,0))</f>
        <v>0</v>
      </c>
      <c r="DM227" s="39" t="n">
        <f aca="false">IF(DM$4=0,0,IF(COUNTIFS(実績!$W$6:$W$505,DM$3,実績!$AI$6:$AI$505,"&lt;="&amp;$A227,実績!$AJ$6:$AJ$505,"&gt;"&amp;$A227,実績!$AL$6:$AL$505,"○")&gt;0,1,0))</f>
        <v>0</v>
      </c>
      <c r="DN227" s="39" t="n">
        <f aca="false">IF(DN$4=0,0,IF(COUNTIFS(実績!$W$6:$W$505,DN$3,実績!$AI$6:$AI$505,"&lt;="&amp;$A227,実績!$AJ$6:$AJ$505,"&gt;"&amp;$A227,実績!$AL$6:$AL$505,"○")&gt;0,1,0))</f>
        <v>0</v>
      </c>
      <c r="DO227" s="39" t="n">
        <f aca="false">IF(DO$4=0,0,IF(COUNTIFS(実績!$W$6:$W$505,DO$3,実績!$AI$6:$AI$505,"&lt;="&amp;$A227,実績!$AJ$6:$AJ$505,"&gt;"&amp;$A227,実績!$AL$6:$AL$505,"○")&gt;0,1,0))</f>
        <v>0</v>
      </c>
      <c r="DP227" s="39" t="n">
        <f aca="false">IF(DP$4=0,0,IF(COUNTIFS(実績!$W$6:$W$505,DP$3,実績!$AI$6:$AI$505,"&lt;="&amp;$A227,実績!$AJ$6:$AJ$505,"&gt;"&amp;$A227,実績!$AL$6:$AL$505,"○")&gt;0,1,0))</f>
        <v>0</v>
      </c>
      <c r="DQ227" s="39" t="n">
        <f aca="false">IF(DQ$4=0,0,IF(COUNTIFS(実績!$W$6:$W$505,DQ$3,実績!$AI$6:$AI$505,"&lt;="&amp;$A227,実績!$AJ$6:$AJ$505,"&gt;"&amp;$A227,実績!$AL$6:$AL$505,"○")&gt;0,1,0))</f>
        <v>0</v>
      </c>
      <c r="DR227" s="39" t="n">
        <f aca="false">IF(DR$4=0,0,IF(COUNTIFS(実績!$W$6:$W$505,DR$3,実績!$AI$6:$AI$505,"&lt;="&amp;$A227,実績!$AJ$6:$AJ$505,"&gt;"&amp;$A227,実績!$AL$6:$AL$505,"○")&gt;0,1,0))</f>
        <v>0</v>
      </c>
      <c r="DS227" s="39" t="n">
        <f aca="false">SUM(C227:DR227)</f>
        <v>0</v>
      </c>
    </row>
    <row r="228" customFormat="false" ht="15" hidden="false" customHeight="false" outlineLevel="0" collapsed="false">
      <c r="A228" s="0" t="n">
        <v>1110</v>
      </c>
      <c r="B228" s="38" t="n">
        <f aca="false">A228/1440</f>
        <v>0.770833333333333</v>
      </c>
      <c r="C228" s="39" t="n">
        <f aca="false">IF(C$4=0,0,IF(COUNTIFS(実績!$W$6:$W$505,C$3,実績!$AI$6:$AI$505,"&lt;="&amp;$A228,実績!$AJ$6:$AJ$505,"&gt;"&amp;$A228,実績!$AL$6:$AL$505,"○")&gt;0,1,0))</f>
        <v>0</v>
      </c>
      <c r="D228" s="39" t="n">
        <f aca="false">IF(D$4=0,0,IF(COUNTIFS(実績!$W$6:$W$505,D$3,実績!$AI$6:$AI$505,"&lt;="&amp;$A228,実績!$AJ$6:$AJ$505,"&gt;"&amp;$A228,実績!$AL$6:$AL$505,"○")&gt;0,1,0))</f>
        <v>0</v>
      </c>
      <c r="E228" s="39" t="n">
        <f aca="false">IF(E$4=0,0,IF(COUNTIFS(実績!$W$6:$W$505,E$3,実績!$AI$6:$AI$505,"&lt;="&amp;$A228,実績!$AJ$6:$AJ$505,"&gt;"&amp;$A228,実績!$AL$6:$AL$505,"○")&gt;0,1,0))</f>
        <v>0</v>
      </c>
      <c r="F228" s="39" t="n">
        <f aca="false">IF(F$4=0,0,IF(COUNTIFS(実績!$W$6:$W$505,F$3,実績!$AI$6:$AI$505,"&lt;="&amp;$A228,実績!$AJ$6:$AJ$505,"&gt;"&amp;$A228,実績!$AL$6:$AL$505,"○")&gt;0,1,0))</f>
        <v>0</v>
      </c>
      <c r="G228" s="39" t="n">
        <f aca="false">IF(G$4=0,0,IF(COUNTIFS(実績!$W$6:$W$505,G$3,実績!$AI$6:$AI$505,"&lt;="&amp;$A228,実績!$AJ$6:$AJ$505,"&gt;"&amp;$A228,実績!$AL$6:$AL$505,"○")&gt;0,1,0))</f>
        <v>0</v>
      </c>
      <c r="H228" s="39" t="n">
        <f aca="false">IF(H$4=0,0,IF(COUNTIFS(実績!$W$6:$W$505,H$3,実績!$AI$6:$AI$505,"&lt;="&amp;$A228,実績!$AJ$6:$AJ$505,"&gt;"&amp;$A228,実績!$AL$6:$AL$505,"○")&gt;0,1,0))</f>
        <v>0</v>
      </c>
      <c r="I228" s="39" t="n">
        <f aca="false">IF(I$4=0,0,IF(COUNTIFS(実績!$W$6:$W$505,I$3,実績!$AI$6:$AI$505,"&lt;="&amp;$A228,実績!$AJ$6:$AJ$505,"&gt;"&amp;$A228,実績!$AL$6:$AL$505,"○")&gt;0,1,0))</f>
        <v>0</v>
      </c>
      <c r="J228" s="39" t="n">
        <f aca="false">IF(J$4=0,0,IF(COUNTIFS(実績!$W$6:$W$505,J$3,実績!$AI$6:$AI$505,"&lt;="&amp;$A228,実績!$AJ$6:$AJ$505,"&gt;"&amp;$A228,実績!$AL$6:$AL$505,"○")&gt;0,1,0))</f>
        <v>0</v>
      </c>
      <c r="K228" s="39" t="n">
        <f aca="false">IF(K$4=0,0,IF(COUNTIFS(実績!$W$6:$W$505,K$3,実績!$AI$6:$AI$505,"&lt;="&amp;$A228,実績!$AJ$6:$AJ$505,"&gt;"&amp;$A228,実績!$AL$6:$AL$505,"○")&gt;0,1,0))</f>
        <v>0</v>
      </c>
      <c r="L228" s="39" t="n">
        <f aca="false">IF(L$4=0,0,IF(COUNTIFS(実績!$W$6:$W$505,L$3,実績!$AI$6:$AI$505,"&lt;="&amp;$A228,実績!$AJ$6:$AJ$505,"&gt;"&amp;$A228,実績!$AL$6:$AL$505,"○")&gt;0,1,0))</f>
        <v>0</v>
      </c>
      <c r="M228" s="39" t="n">
        <f aca="false">IF(M$4=0,0,IF(COUNTIFS(実績!$W$6:$W$505,M$3,実績!$AI$6:$AI$505,"&lt;="&amp;$A228,実績!$AJ$6:$AJ$505,"&gt;"&amp;$A228,実績!$AL$6:$AL$505,"○")&gt;0,1,0))</f>
        <v>0</v>
      </c>
      <c r="N228" s="39" t="n">
        <f aca="false">IF(N$4=0,0,IF(COUNTIFS(実績!$W$6:$W$505,N$3,実績!$AI$6:$AI$505,"&lt;="&amp;$A228,実績!$AJ$6:$AJ$505,"&gt;"&amp;$A228,実績!$AL$6:$AL$505,"○")&gt;0,1,0))</f>
        <v>0</v>
      </c>
      <c r="O228" s="39" t="n">
        <f aca="false">IF(O$4=0,0,IF(COUNTIFS(実績!$W$6:$W$505,O$3,実績!$AI$6:$AI$505,"&lt;="&amp;$A228,実績!$AJ$6:$AJ$505,"&gt;"&amp;$A228,実績!$AL$6:$AL$505,"○")&gt;0,1,0))</f>
        <v>0</v>
      </c>
      <c r="P228" s="39" t="n">
        <f aca="false">IF(P$4=0,0,IF(COUNTIFS(実績!$W$6:$W$505,P$3,実績!$AI$6:$AI$505,"&lt;="&amp;$A228,実績!$AJ$6:$AJ$505,"&gt;"&amp;$A228,実績!$AL$6:$AL$505,"○")&gt;0,1,0))</f>
        <v>0</v>
      </c>
      <c r="Q228" s="39" t="n">
        <f aca="false">IF(Q$4=0,0,IF(COUNTIFS(実績!$W$6:$W$505,Q$3,実績!$AI$6:$AI$505,"&lt;="&amp;$A228,実績!$AJ$6:$AJ$505,"&gt;"&amp;$A228,実績!$AL$6:$AL$505,"○")&gt;0,1,0))</f>
        <v>0</v>
      </c>
      <c r="R228" s="39" t="n">
        <f aca="false">IF(R$4=0,0,IF(COUNTIFS(実績!$W$6:$W$505,R$3,実績!$AI$6:$AI$505,"&lt;="&amp;$A228,実績!$AJ$6:$AJ$505,"&gt;"&amp;$A228,実績!$AL$6:$AL$505,"○")&gt;0,1,0))</f>
        <v>0</v>
      </c>
      <c r="S228" s="39" t="n">
        <f aca="false">IF(S$4=0,0,IF(COUNTIFS(実績!$W$6:$W$505,S$3,実績!$AI$6:$AI$505,"&lt;="&amp;$A228,実績!$AJ$6:$AJ$505,"&gt;"&amp;$A228,実績!$AL$6:$AL$505,"○")&gt;0,1,0))</f>
        <v>0</v>
      </c>
      <c r="T228" s="39" t="n">
        <f aca="false">IF(T$4=0,0,IF(COUNTIFS(実績!$W$6:$W$505,T$3,実績!$AI$6:$AI$505,"&lt;="&amp;$A228,実績!$AJ$6:$AJ$505,"&gt;"&amp;$A228,実績!$AL$6:$AL$505,"○")&gt;0,1,0))</f>
        <v>0</v>
      </c>
      <c r="U228" s="39" t="n">
        <f aca="false">IF(U$4=0,0,IF(COUNTIFS(実績!$W$6:$W$505,U$3,実績!$AI$6:$AI$505,"&lt;="&amp;$A228,実績!$AJ$6:$AJ$505,"&gt;"&amp;$A228,実績!$AL$6:$AL$505,"○")&gt;0,1,0))</f>
        <v>0</v>
      </c>
      <c r="V228" s="39" t="n">
        <f aca="false">IF(V$4=0,0,IF(COUNTIFS(実績!$W$6:$W$505,V$3,実績!$AI$6:$AI$505,"&lt;="&amp;$A228,実績!$AJ$6:$AJ$505,"&gt;"&amp;$A228,実績!$AL$6:$AL$505,"○")&gt;0,1,0))</f>
        <v>0</v>
      </c>
      <c r="W228" s="39" t="n">
        <f aca="false">IF(W$4=0,0,IF(COUNTIFS(実績!$W$6:$W$505,W$3,実績!$AI$6:$AI$505,"&lt;="&amp;$A228,実績!$AJ$6:$AJ$505,"&gt;"&amp;$A228,実績!$AL$6:$AL$505,"○")&gt;0,1,0))</f>
        <v>0</v>
      </c>
      <c r="X228" s="39" t="n">
        <f aca="false">IF(X$4=0,0,IF(COUNTIFS(実績!$W$6:$W$505,X$3,実績!$AI$6:$AI$505,"&lt;="&amp;$A228,実績!$AJ$6:$AJ$505,"&gt;"&amp;$A228,実績!$AL$6:$AL$505,"○")&gt;0,1,0))</f>
        <v>0</v>
      </c>
      <c r="Y228" s="39" t="n">
        <f aca="false">IF(Y$4=0,0,IF(COUNTIFS(実績!$W$6:$W$505,Y$3,実績!$AI$6:$AI$505,"&lt;="&amp;$A228,実績!$AJ$6:$AJ$505,"&gt;"&amp;$A228,実績!$AL$6:$AL$505,"○")&gt;0,1,0))</f>
        <v>0</v>
      </c>
      <c r="Z228" s="39" t="n">
        <f aca="false">IF(Z$4=0,0,IF(COUNTIFS(実績!$W$6:$W$505,Z$3,実績!$AI$6:$AI$505,"&lt;="&amp;$A228,実績!$AJ$6:$AJ$505,"&gt;"&amp;$A228,実績!$AL$6:$AL$505,"○")&gt;0,1,0))</f>
        <v>0</v>
      </c>
      <c r="AA228" s="39" t="n">
        <f aca="false">IF(AA$4=0,0,IF(COUNTIFS(実績!$W$6:$W$505,AA$3,実績!$AI$6:$AI$505,"&lt;="&amp;$A228,実績!$AJ$6:$AJ$505,"&gt;"&amp;$A228,実績!$AL$6:$AL$505,"○")&gt;0,1,0))</f>
        <v>0</v>
      </c>
      <c r="AB228" s="39" t="n">
        <f aca="false">IF(AB$4=0,0,IF(COUNTIFS(実績!$W$6:$W$505,AB$3,実績!$AI$6:$AI$505,"&lt;="&amp;$A228,実績!$AJ$6:$AJ$505,"&gt;"&amp;$A228,実績!$AL$6:$AL$505,"○")&gt;0,1,0))</f>
        <v>0</v>
      </c>
      <c r="AC228" s="39" t="n">
        <f aca="false">IF(AC$4=0,0,IF(COUNTIFS(実績!$W$6:$W$505,AC$3,実績!$AI$6:$AI$505,"&lt;="&amp;$A228,実績!$AJ$6:$AJ$505,"&gt;"&amp;$A228,実績!$AL$6:$AL$505,"○")&gt;0,1,0))</f>
        <v>0</v>
      </c>
      <c r="AD228" s="39" t="n">
        <f aca="false">IF(AD$4=0,0,IF(COUNTIFS(実績!$W$6:$W$505,AD$3,実績!$AI$6:$AI$505,"&lt;="&amp;$A228,実績!$AJ$6:$AJ$505,"&gt;"&amp;$A228,実績!$AL$6:$AL$505,"○")&gt;0,1,0))</f>
        <v>0</v>
      </c>
      <c r="AE228" s="39" t="n">
        <f aca="false">IF(AE$4=0,0,IF(COUNTIFS(実績!$W$6:$W$505,AE$3,実績!$AI$6:$AI$505,"&lt;="&amp;$A228,実績!$AJ$6:$AJ$505,"&gt;"&amp;$A228,実績!$AL$6:$AL$505,"○")&gt;0,1,0))</f>
        <v>0</v>
      </c>
      <c r="AF228" s="39" t="n">
        <f aca="false">IF(AF$4=0,0,IF(COUNTIFS(実績!$W$6:$W$505,AF$3,実績!$AI$6:$AI$505,"&lt;="&amp;$A228,実績!$AJ$6:$AJ$505,"&gt;"&amp;$A228,実績!$AL$6:$AL$505,"○")&gt;0,1,0))</f>
        <v>0</v>
      </c>
      <c r="AG228" s="39" t="n">
        <f aca="false">IF(AG$4=0,0,IF(COUNTIFS(実績!$W$6:$W$505,AG$3,実績!$AI$6:$AI$505,"&lt;="&amp;$A228,実績!$AJ$6:$AJ$505,"&gt;"&amp;$A228,実績!$AL$6:$AL$505,"○")&gt;0,1,0))</f>
        <v>0</v>
      </c>
      <c r="AH228" s="39" t="n">
        <f aca="false">IF(AH$4=0,0,IF(COUNTIFS(実績!$W$6:$W$505,AH$3,実績!$AI$6:$AI$505,"&lt;="&amp;$A228,実績!$AJ$6:$AJ$505,"&gt;"&amp;$A228,実績!$AL$6:$AL$505,"○")&gt;0,1,0))</f>
        <v>0</v>
      </c>
      <c r="AI228" s="39" t="n">
        <f aca="false">IF(AI$4=0,0,IF(COUNTIFS(実績!$W$6:$W$505,AI$3,実績!$AI$6:$AI$505,"&lt;="&amp;$A228,実績!$AJ$6:$AJ$505,"&gt;"&amp;$A228,実績!$AL$6:$AL$505,"○")&gt;0,1,0))</f>
        <v>0</v>
      </c>
      <c r="AJ228" s="39" t="n">
        <f aca="false">IF(AJ$4=0,0,IF(COUNTIFS(実績!$W$6:$W$505,AJ$3,実績!$AI$6:$AI$505,"&lt;="&amp;$A228,実績!$AJ$6:$AJ$505,"&gt;"&amp;$A228,実績!$AL$6:$AL$505,"○")&gt;0,1,0))</f>
        <v>0</v>
      </c>
      <c r="AK228" s="39" t="n">
        <f aca="false">IF(AK$4=0,0,IF(COUNTIFS(実績!$W$6:$W$505,AK$3,実績!$AI$6:$AI$505,"&lt;="&amp;$A228,実績!$AJ$6:$AJ$505,"&gt;"&amp;$A228,実績!$AL$6:$AL$505,"○")&gt;0,1,0))</f>
        <v>0</v>
      </c>
      <c r="AL228" s="39" t="n">
        <f aca="false">IF(AL$4=0,0,IF(COUNTIFS(実績!$W$6:$W$505,AL$3,実績!$AI$6:$AI$505,"&lt;="&amp;$A228,実績!$AJ$6:$AJ$505,"&gt;"&amp;$A228,実績!$AL$6:$AL$505,"○")&gt;0,1,0))</f>
        <v>0</v>
      </c>
      <c r="AM228" s="39" t="n">
        <f aca="false">IF(AM$4=0,0,IF(COUNTIFS(実績!$W$6:$W$505,AM$3,実績!$AI$6:$AI$505,"&lt;="&amp;$A228,実績!$AJ$6:$AJ$505,"&gt;"&amp;$A228,実績!$AL$6:$AL$505,"○")&gt;0,1,0))</f>
        <v>0</v>
      </c>
      <c r="AN228" s="39" t="n">
        <f aca="false">IF(AN$4=0,0,IF(COUNTIFS(実績!$W$6:$W$505,AN$3,実績!$AI$6:$AI$505,"&lt;="&amp;$A228,実績!$AJ$6:$AJ$505,"&gt;"&amp;$A228,実績!$AL$6:$AL$505,"○")&gt;0,1,0))</f>
        <v>0</v>
      </c>
      <c r="AO228" s="39" t="n">
        <f aca="false">IF(AO$4=0,0,IF(COUNTIFS(実績!$W$6:$W$505,AO$3,実績!$AI$6:$AI$505,"&lt;="&amp;$A228,実績!$AJ$6:$AJ$505,"&gt;"&amp;$A228,実績!$AL$6:$AL$505,"○")&gt;0,1,0))</f>
        <v>0</v>
      </c>
      <c r="AP228" s="39" t="n">
        <f aca="false">IF(AP$4=0,0,IF(COUNTIFS(実績!$W$6:$W$505,AP$3,実績!$AI$6:$AI$505,"&lt;="&amp;$A228,実績!$AJ$6:$AJ$505,"&gt;"&amp;$A228,実績!$AL$6:$AL$505,"○")&gt;0,1,0))</f>
        <v>0</v>
      </c>
      <c r="AQ228" s="39" t="n">
        <f aca="false">IF(AQ$4=0,0,IF(COUNTIFS(実績!$W$6:$W$505,AQ$3,実績!$AI$6:$AI$505,"&lt;="&amp;$A228,実績!$AJ$6:$AJ$505,"&gt;"&amp;$A228,実績!$AL$6:$AL$505,"○")&gt;0,1,0))</f>
        <v>0</v>
      </c>
      <c r="AR228" s="39" t="n">
        <f aca="false">IF(AR$4=0,0,IF(COUNTIFS(実績!$W$6:$W$505,AR$3,実績!$AI$6:$AI$505,"&lt;="&amp;$A228,実績!$AJ$6:$AJ$505,"&gt;"&amp;$A228,実績!$AL$6:$AL$505,"○")&gt;0,1,0))</f>
        <v>0</v>
      </c>
      <c r="AS228" s="39" t="n">
        <f aca="false">IF(AS$4=0,0,IF(COUNTIFS(実績!$W$6:$W$505,AS$3,実績!$AI$6:$AI$505,"&lt;="&amp;$A228,実績!$AJ$6:$AJ$505,"&gt;"&amp;$A228,実績!$AL$6:$AL$505,"○")&gt;0,1,0))</f>
        <v>0</v>
      </c>
      <c r="AT228" s="39" t="n">
        <f aca="false">IF(AT$4=0,0,IF(COUNTIFS(実績!$W$6:$W$505,AT$3,実績!$AI$6:$AI$505,"&lt;="&amp;$A228,実績!$AJ$6:$AJ$505,"&gt;"&amp;$A228,実績!$AL$6:$AL$505,"○")&gt;0,1,0))</f>
        <v>0</v>
      </c>
      <c r="AU228" s="39" t="n">
        <f aca="false">IF(AU$4=0,0,IF(COUNTIFS(実績!$W$6:$W$505,AU$3,実績!$AI$6:$AI$505,"&lt;="&amp;$A228,実績!$AJ$6:$AJ$505,"&gt;"&amp;$A228,実績!$AL$6:$AL$505,"○")&gt;0,1,0))</f>
        <v>0</v>
      </c>
      <c r="AV228" s="39" t="n">
        <f aca="false">IF(AV$4=0,0,IF(COUNTIFS(実績!$W$6:$W$505,AV$3,実績!$AI$6:$AI$505,"&lt;="&amp;$A228,実績!$AJ$6:$AJ$505,"&gt;"&amp;$A228,実績!$AL$6:$AL$505,"○")&gt;0,1,0))</f>
        <v>0</v>
      </c>
      <c r="AW228" s="39" t="n">
        <f aca="false">IF(AW$4=0,0,IF(COUNTIFS(実績!$W$6:$W$505,AW$3,実績!$AI$6:$AI$505,"&lt;="&amp;$A228,実績!$AJ$6:$AJ$505,"&gt;"&amp;$A228,実績!$AL$6:$AL$505,"○")&gt;0,1,0))</f>
        <v>0</v>
      </c>
      <c r="AX228" s="39" t="n">
        <f aca="false">IF(AX$4=0,0,IF(COUNTIFS(実績!$W$6:$W$505,AX$3,実績!$AI$6:$AI$505,"&lt;="&amp;$A228,実績!$AJ$6:$AJ$505,"&gt;"&amp;$A228,実績!$AL$6:$AL$505,"○")&gt;0,1,0))</f>
        <v>0</v>
      </c>
      <c r="AY228" s="39" t="n">
        <f aca="false">IF(AY$4=0,0,IF(COUNTIFS(実績!$W$6:$W$505,AY$3,実績!$AI$6:$AI$505,"&lt;="&amp;$A228,実績!$AJ$6:$AJ$505,"&gt;"&amp;$A228,実績!$AL$6:$AL$505,"○")&gt;0,1,0))</f>
        <v>0</v>
      </c>
      <c r="AZ228" s="39" t="n">
        <f aca="false">IF(AZ$4=0,0,IF(COUNTIFS(実績!$W$6:$W$505,AZ$3,実績!$AI$6:$AI$505,"&lt;="&amp;$A228,実績!$AJ$6:$AJ$505,"&gt;"&amp;$A228,実績!$AL$6:$AL$505,"○")&gt;0,1,0))</f>
        <v>0</v>
      </c>
      <c r="BA228" s="39" t="n">
        <f aca="false">IF(BA$4=0,0,IF(COUNTIFS(実績!$W$6:$W$505,BA$3,実績!$AI$6:$AI$505,"&lt;="&amp;$A228,実績!$AJ$6:$AJ$505,"&gt;"&amp;$A228,実績!$AL$6:$AL$505,"○")&gt;0,1,0))</f>
        <v>0</v>
      </c>
      <c r="BB228" s="39" t="n">
        <f aca="false">IF(BB$4=0,0,IF(COUNTIFS(実績!$W$6:$W$505,BB$3,実績!$AI$6:$AI$505,"&lt;="&amp;$A228,実績!$AJ$6:$AJ$505,"&gt;"&amp;$A228,実績!$AL$6:$AL$505,"○")&gt;0,1,0))</f>
        <v>0</v>
      </c>
      <c r="BC228" s="39" t="n">
        <f aca="false">IF(BC$4=0,0,IF(COUNTIFS(実績!$W$6:$W$505,BC$3,実績!$AI$6:$AI$505,"&lt;="&amp;$A228,実績!$AJ$6:$AJ$505,"&gt;"&amp;$A228,実績!$AL$6:$AL$505,"○")&gt;0,1,0))</f>
        <v>0</v>
      </c>
      <c r="BD228" s="39" t="n">
        <f aca="false">IF(BD$4=0,0,IF(COUNTIFS(実績!$W$6:$W$505,BD$3,実績!$AI$6:$AI$505,"&lt;="&amp;$A228,実績!$AJ$6:$AJ$505,"&gt;"&amp;$A228,実績!$AL$6:$AL$505,"○")&gt;0,1,0))</f>
        <v>0</v>
      </c>
      <c r="BE228" s="39" t="n">
        <f aca="false">IF(BE$4=0,0,IF(COUNTIFS(実績!$W$6:$W$505,BE$3,実績!$AI$6:$AI$505,"&lt;="&amp;$A228,実績!$AJ$6:$AJ$505,"&gt;"&amp;$A228,実績!$AL$6:$AL$505,"○")&gt;0,1,0))</f>
        <v>0</v>
      </c>
      <c r="BF228" s="39" t="n">
        <f aca="false">IF(BF$4=0,0,IF(COUNTIFS(実績!$W$6:$W$505,BF$3,実績!$AI$6:$AI$505,"&lt;="&amp;$A228,実績!$AJ$6:$AJ$505,"&gt;"&amp;$A228,実績!$AL$6:$AL$505,"○")&gt;0,1,0))</f>
        <v>0</v>
      </c>
      <c r="BG228" s="39" t="n">
        <f aca="false">IF(BG$4=0,0,IF(COUNTIFS(実績!$W$6:$W$505,BG$3,実績!$AI$6:$AI$505,"&lt;="&amp;$A228,実績!$AJ$6:$AJ$505,"&gt;"&amp;$A228,実績!$AL$6:$AL$505,"○")&gt;0,1,0))</f>
        <v>0</v>
      </c>
      <c r="BH228" s="39" t="n">
        <f aca="false">IF(BH$4=0,0,IF(COUNTIFS(実績!$W$6:$W$505,BH$3,実績!$AI$6:$AI$505,"&lt;="&amp;$A228,実績!$AJ$6:$AJ$505,"&gt;"&amp;$A228,実績!$AL$6:$AL$505,"○")&gt;0,1,0))</f>
        <v>0</v>
      </c>
      <c r="BI228" s="39" t="n">
        <f aca="false">IF(BI$4=0,0,IF(COUNTIFS(実績!$W$6:$W$505,BI$3,実績!$AI$6:$AI$505,"&lt;="&amp;$A228,実績!$AJ$6:$AJ$505,"&gt;"&amp;$A228,実績!$AL$6:$AL$505,"○")&gt;0,1,0))</f>
        <v>0</v>
      </c>
      <c r="BJ228" s="39" t="n">
        <f aca="false">IF(BJ$4=0,0,IF(COUNTIFS(実績!$W$6:$W$505,BJ$3,実績!$AI$6:$AI$505,"&lt;="&amp;$A228,実績!$AJ$6:$AJ$505,"&gt;"&amp;$A228,実績!$AL$6:$AL$505,"○")&gt;0,1,0))</f>
        <v>0</v>
      </c>
      <c r="BK228" s="39" t="n">
        <f aca="false">IF(BK$4=0,0,IF(COUNTIFS(実績!$W$6:$W$505,BK$3,実績!$AI$6:$AI$505,"&lt;="&amp;$A228,実績!$AJ$6:$AJ$505,"&gt;"&amp;$A228,実績!$AL$6:$AL$505,"○")&gt;0,1,0))</f>
        <v>0</v>
      </c>
      <c r="BL228" s="39" t="n">
        <f aca="false">IF(BL$4=0,0,IF(COUNTIFS(実績!$W$6:$W$505,BL$3,実績!$AI$6:$AI$505,"&lt;="&amp;$A228,実績!$AJ$6:$AJ$505,"&gt;"&amp;$A228,実績!$AL$6:$AL$505,"○")&gt;0,1,0))</f>
        <v>0</v>
      </c>
      <c r="BM228" s="39" t="n">
        <f aca="false">IF(BM$4=0,0,IF(COUNTIFS(実績!$W$6:$W$505,BM$3,実績!$AI$6:$AI$505,"&lt;="&amp;$A228,実績!$AJ$6:$AJ$505,"&gt;"&amp;$A228,実績!$AL$6:$AL$505,"○")&gt;0,1,0))</f>
        <v>0</v>
      </c>
      <c r="BN228" s="39" t="n">
        <f aca="false">IF(BN$4=0,0,IF(COUNTIFS(実績!$W$6:$W$505,BN$3,実績!$AI$6:$AI$505,"&lt;="&amp;$A228,実績!$AJ$6:$AJ$505,"&gt;"&amp;$A228,実績!$AL$6:$AL$505,"○")&gt;0,1,0))</f>
        <v>0</v>
      </c>
      <c r="BO228" s="39" t="n">
        <f aca="false">IF(BO$4=0,0,IF(COUNTIFS(実績!$W$6:$W$505,BO$3,実績!$AI$6:$AI$505,"&lt;="&amp;$A228,実績!$AJ$6:$AJ$505,"&gt;"&amp;$A228,実績!$AL$6:$AL$505,"○")&gt;0,1,0))</f>
        <v>0</v>
      </c>
      <c r="BP228" s="39" t="n">
        <f aca="false">IF(BP$4=0,0,IF(COUNTIFS(実績!$W$6:$W$505,BP$3,実績!$AI$6:$AI$505,"&lt;="&amp;$A228,実績!$AJ$6:$AJ$505,"&gt;"&amp;$A228,実績!$AL$6:$AL$505,"○")&gt;0,1,0))</f>
        <v>0</v>
      </c>
      <c r="BQ228" s="39" t="n">
        <f aca="false">IF(BQ$4=0,0,IF(COUNTIFS(実績!$W$6:$W$505,BQ$3,実績!$AI$6:$AI$505,"&lt;="&amp;$A228,実績!$AJ$6:$AJ$505,"&gt;"&amp;$A228,実績!$AL$6:$AL$505,"○")&gt;0,1,0))</f>
        <v>0</v>
      </c>
      <c r="BR228" s="39" t="n">
        <f aca="false">IF(BR$4=0,0,IF(COUNTIFS(実績!$W$6:$W$505,BR$3,実績!$AI$6:$AI$505,"&lt;="&amp;$A228,実績!$AJ$6:$AJ$505,"&gt;"&amp;$A228,実績!$AL$6:$AL$505,"○")&gt;0,1,0))</f>
        <v>0</v>
      </c>
      <c r="BS228" s="39" t="n">
        <f aca="false">IF(BS$4=0,0,IF(COUNTIFS(実績!$W$6:$W$505,BS$3,実績!$AI$6:$AI$505,"&lt;="&amp;$A228,実績!$AJ$6:$AJ$505,"&gt;"&amp;$A228,実績!$AL$6:$AL$505,"○")&gt;0,1,0))</f>
        <v>0</v>
      </c>
      <c r="BT228" s="39" t="n">
        <f aca="false">IF(BT$4=0,0,IF(COUNTIFS(実績!$W$6:$W$505,BT$3,実績!$AI$6:$AI$505,"&lt;="&amp;$A228,実績!$AJ$6:$AJ$505,"&gt;"&amp;$A228,実績!$AL$6:$AL$505,"○")&gt;0,1,0))</f>
        <v>0</v>
      </c>
      <c r="BU228" s="39" t="n">
        <f aca="false">IF(BU$4=0,0,IF(COUNTIFS(実績!$W$6:$W$505,BU$3,実績!$AI$6:$AI$505,"&lt;="&amp;$A228,実績!$AJ$6:$AJ$505,"&gt;"&amp;$A228,実績!$AL$6:$AL$505,"○")&gt;0,1,0))</f>
        <v>0</v>
      </c>
      <c r="BV228" s="39" t="n">
        <f aca="false">IF(BV$4=0,0,IF(COUNTIFS(実績!$W$6:$W$505,BV$3,実績!$AI$6:$AI$505,"&lt;="&amp;$A228,実績!$AJ$6:$AJ$505,"&gt;"&amp;$A228,実績!$AL$6:$AL$505,"○")&gt;0,1,0))</f>
        <v>0</v>
      </c>
      <c r="BW228" s="39" t="n">
        <f aca="false">IF(BW$4=0,0,IF(COUNTIFS(実績!$W$6:$W$505,BW$3,実績!$AI$6:$AI$505,"&lt;="&amp;$A228,実績!$AJ$6:$AJ$505,"&gt;"&amp;$A228,実績!$AL$6:$AL$505,"○")&gt;0,1,0))</f>
        <v>0</v>
      </c>
      <c r="BX228" s="39" t="n">
        <f aca="false">IF(BX$4=0,0,IF(COUNTIFS(実績!$W$6:$W$505,BX$3,実績!$AI$6:$AI$505,"&lt;="&amp;$A228,実績!$AJ$6:$AJ$505,"&gt;"&amp;$A228,実績!$AL$6:$AL$505,"○")&gt;0,1,0))</f>
        <v>0</v>
      </c>
      <c r="BY228" s="39" t="n">
        <f aca="false">IF(BY$4=0,0,IF(COUNTIFS(実績!$W$6:$W$505,BY$3,実績!$AI$6:$AI$505,"&lt;="&amp;$A228,実績!$AJ$6:$AJ$505,"&gt;"&amp;$A228,実績!$AL$6:$AL$505,"○")&gt;0,1,0))</f>
        <v>0</v>
      </c>
      <c r="BZ228" s="39" t="n">
        <f aca="false">IF(BZ$4=0,0,IF(COUNTIFS(実績!$W$6:$W$505,BZ$3,実績!$AI$6:$AI$505,"&lt;="&amp;$A228,実績!$AJ$6:$AJ$505,"&gt;"&amp;$A228,実績!$AL$6:$AL$505,"○")&gt;0,1,0))</f>
        <v>0</v>
      </c>
      <c r="CA228" s="39" t="n">
        <f aca="false">IF(CA$4=0,0,IF(COUNTIFS(実績!$W$6:$W$505,CA$3,実績!$AI$6:$AI$505,"&lt;="&amp;$A228,実績!$AJ$6:$AJ$505,"&gt;"&amp;$A228,実績!$AL$6:$AL$505,"○")&gt;0,1,0))</f>
        <v>0</v>
      </c>
      <c r="CB228" s="39" t="n">
        <f aca="false">IF(CB$4=0,0,IF(COUNTIFS(実績!$W$6:$W$505,CB$3,実績!$AI$6:$AI$505,"&lt;="&amp;$A228,実績!$AJ$6:$AJ$505,"&gt;"&amp;$A228,実績!$AL$6:$AL$505,"○")&gt;0,1,0))</f>
        <v>0</v>
      </c>
      <c r="CC228" s="39" t="n">
        <f aca="false">IF(CC$4=0,0,IF(COUNTIFS(実績!$W$6:$W$505,CC$3,実績!$AI$6:$AI$505,"&lt;="&amp;$A228,実績!$AJ$6:$AJ$505,"&gt;"&amp;$A228,実績!$AL$6:$AL$505,"○")&gt;0,1,0))</f>
        <v>0</v>
      </c>
      <c r="CD228" s="39" t="n">
        <f aca="false">IF(CD$4=0,0,IF(COUNTIFS(実績!$W$6:$W$505,CD$3,実績!$AI$6:$AI$505,"&lt;="&amp;$A228,実績!$AJ$6:$AJ$505,"&gt;"&amp;$A228,実績!$AL$6:$AL$505,"○")&gt;0,1,0))</f>
        <v>0</v>
      </c>
      <c r="CE228" s="39" t="n">
        <f aca="false">IF(CE$4=0,0,IF(COUNTIFS(実績!$W$6:$W$505,CE$3,実績!$AI$6:$AI$505,"&lt;="&amp;$A228,実績!$AJ$6:$AJ$505,"&gt;"&amp;$A228,実績!$AL$6:$AL$505,"○")&gt;0,1,0))</f>
        <v>0</v>
      </c>
      <c r="CF228" s="39" t="n">
        <f aca="false">IF(CF$4=0,0,IF(COUNTIFS(実績!$W$6:$W$505,CF$3,実績!$AI$6:$AI$505,"&lt;="&amp;$A228,実績!$AJ$6:$AJ$505,"&gt;"&amp;$A228,実績!$AL$6:$AL$505,"○")&gt;0,1,0))</f>
        <v>0</v>
      </c>
      <c r="CG228" s="39" t="n">
        <f aca="false">IF(CG$4=0,0,IF(COUNTIFS(実績!$W$6:$W$505,CG$3,実績!$AI$6:$AI$505,"&lt;="&amp;$A228,実績!$AJ$6:$AJ$505,"&gt;"&amp;$A228,実績!$AL$6:$AL$505,"○")&gt;0,1,0))</f>
        <v>0</v>
      </c>
      <c r="CH228" s="39" t="n">
        <f aca="false">IF(CH$4=0,0,IF(COUNTIFS(実績!$W$6:$W$505,CH$3,実績!$AI$6:$AI$505,"&lt;="&amp;$A228,実績!$AJ$6:$AJ$505,"&gt;"&amp;$A228,実績!$AL$6:$AL$505,"○")&gt;0,1,0))</f>
        <v>0</v>
      </c>
      <c r="CI228" s="39" t="n">
        <f aca="false">IF(CI$4=0,0,IF(COUNTIFS(実績!$W$6:$W$505,CI$3,実績!$AI$6:$AI$505,"&lt;="&amp;$A228,実績!$AJ$6:$AJ$505,"&gt;"&amp;$A228,実績!$AL$6:$AL$505,"○")&gt;0,1,0))</f>
        <v>0</v>
      </c>
      <c r="CJ228" s="39" t="n">
        <f aca="false">IF(CJ$4=0,0,IF(COUNTIFS(実績!$W$6:$W$505,CJ$3,実績!$AI$6:$AI$505,"&lt;="&amp;$A228,実績!$AJ$6:$AJ$505,"&gt;"&amp;$A228,実績!$AL$6:$AL$505,"○")&gt;0,1,0))</f>
        <v>0</v>
      </c>
      <c r="CK228" s="39" t="n">
        <f aca="false">IF(CK$4=0,0,IF(COUNTIFS(実績!$W$6:$W$505,CK$3,実績!$AI$6:$AI$505,"&lt;="&amp;$A228,実績!$AJ$6:$AJ$505,"&gt;"&amp;$A228,実績!$AL$6:$AL$505,"○")&gt;0,1,0))</f>
        <v>0</v>
      </c>
      <c r="CL228" s="39" t="n">
        <f aca="false">IF(CL$4=0,0,IF(COUNTIFS(実績!$W$6:$W$505,CL$3,実績!$AI$6:$AI$505,"&lt;="&amp;$A228,実績!$AJ$6:$AJ$505,"&gt;"&amp;$A228,実績!$AL$6:$AL$505,"○")&gt;0,1,0))</f>
        <v>0</v>
      </c>
      <c r="CM228" s="39" t="n">
        <f aca="false">IF(CM$4=0,0,IF(COUNTIFS(実績!$W$6:$W$505,CM$3,実績!$AI$6:$AI$505,"&lt;="&amp;$A228,実績!$AJ$6:$AJ$505,"&gt;"&amp;$A228,実績!$AL$6:$AL$505,"○")&gt;0,1,0))</f>
        <v>0</v>
      </c>
      <c r="CN228" s="39" t="n">
        <f aca="false">IF(CN$4=0,0,IF(COUNTIFS(実績!$W$6:$W$505,CN$3,実績!$AI$6:$AI$505,"&lt;="&amp;$A228,実績!$AJ$6:$AJ$505,"&gt;"&amp;$A228,実績!$AL$6:$AL$505,"○")&gt;0,1,0))</f>
        <v>0</v>
      </c>
      <c r="CO228" s="39" t="n">
        <f aca="false">IF(CO$4=0,0,IF(COUNTIFS(実績!$W$6:$W$505,CO$3,実績!$AI$6:$AI$505,"&lt;="&amp;$A228,実績!$AJ$6:$AJ$505,"&gt;"&amp;$A228,実績!$AL$6:$AL$505,"○")&gt;0,1,0))</f>
        <v>0</v>
      </c>
      <c r="CP228" s="39" t="n">
        <f aca="false">IF(CP$4=0,0,IF(COUNTIFS(実績!$W$6:$W$505,CP$3,実績!$AI$6:$AI$505,"&lt;="&amp;$A228,実績!$AJ$6:$AJ$505,"&gt;"&amp;$A228,実績!$AL$6:$AL$505,"○")&gt;0,1,0))</f>
        <v>0</v>
      </c>
      <c r="CQ228" s="39" t="n">
        <f aca="false">IF(CQ$4=0,0,IF(COUNTIFS(実績!$W$6:$W$505,CQ$3,実績!$AI$6:$AI$505,"&lt;="&amp;$A228,実績!$AJ$6:$AJ$505,"&gt;"&amp;$A228,実績!$AL$6:$AL$505,"○")&gt;0,1,0))</f>
        <v>0</v>
      </c>
      <c r="CR228" s="39" t="n">
        <f aca="false">IF(CR$4=0,0,IF(COUNTIFS(実績!$W$6:$W$505,CR$3,実績!$AI$6:$AI$505,"&lt;="&amp;$A228,実績!$AJ$6:$AJ$505,"&gt;"&amp;$A228,実績!$AL$6:$AL$505,"○")&gt;0,1,0))</f>
        <v>0</v>
      </c>
      <c r="CS228" s="39" t="n">
        <f aca="false">IF(CS$4=0,0,IF(COUNTIFS(実績!$W$6:$W$505,CS$3,実績!$AI$6:$AI$505,"&lt;="&amp;$A228,実績!$AJ$6:$AJ$505,"&gt;"&amp;$A228,実績!$AL$6:$AL$505,"○")&gt;0,1,0))</f>
        <v>0</v>
      </c>
      <c r="CT228" s="39" t="n">
        <f aca="false">IF(CT$4=0,0,IF(COUNTIFS(実績!$W$6:$W$505,CT$3,実績!$AI$6:$AI$505,"&lt;="&amp;$A228,実績!$AJ$6:$AJ$505,"&gt;"&amp;$A228,実績!$AL$6:$AL$505,"○")&gt;0,1,0))</f>
        <v>0</v>
      </c>
      <c r="CU228" s="39" t="n">
        <f aca="false">IF(CU$4=0,0,IF(COUNTIFS(実績!$W$6:$W$505,CU$3,実績!$AI$6:$AI$505,"&lt;="&amp;$A228,実績!$AJ$6:$AJ$505,"&gt;"&amp;$A228,実績!$AL$6:$AL$505,"○")&gt;0,1,0))</f>
        <v>0</v>
      </c>
      <c r="CV228" s="39" t="n">
        <f aca="false">IF(CV$4=0,0,IF(COUNTIFS(実績!$W$6:$W$505,CV$3,実績!$AI$6:$AI$505,"&lt;="&amp;$A228,実績!$AJ$6:$AJ$505,"&gt;"&amp;$A228,実績!$AL$6:$AL$505,"○")&gt;0,1,0))</f>
        <v>0</v>
      </c>
      <c r="CW228" s="39" t="n">
        <f aca="false">IF(CW$4=0,0,IF(COUNTIFS(実績!$W$6:$W$505,CW$3,実績!$AI$6:$AI$505,"&lt;="&amp;$A228,実績!$AJ$6:$AJ$505,"&gt;"&amp;$A228,実績!$AL$6:$AL$505,"○")&gt;0,1,0))</f>
        <v>0</v>
      </c>
      <c r="CX228" s="39" t="n">
        <f aca="false">IF(CX$4=0,0,IF(COUNTIFS(実績!$W$6:$W$505,CX$3,実績!$AI$6:$AI$505,"&lt;="&amp;$A228,実績!$AJ$6:$AJ$505,"&gt;"&amp;$A228,実績!$AL$6:$AL$505,"○")&gt;0,1,0))</f>
        <v>0</v>
      </c>
      <c r="CY228" s="39" t="n">
        <f aca="false">IF(CY$4=0,0,IF(COUNTIFS(実績!$W$6:$W$505,CY$3,実績!$AI$6:$AI$505,"&lt;="&amp;$A228,実績!$AJ$6:$AJ$505,"&gt;"&amp;$A228,実績!$AL$6:$AL$505,"○")&gt;0,1,0))</f>
        <v>0</v>
      </c>
      <c r="CZ228" s="39" t="n">
        <f aca="false">IF(CZ$4=0,0,IF(COUNTIFS(実績!$W$6:$W$505,CZ$3,実績!$AI$6:$AI$505,"&lt;="&amp;$A228,実績!$AJ$6:$AJ$505,"&gt;"&amp;$A228,実績!$AL$6:$AL$505,"○")&gt;0,1,0))</f>
        <v>0</v>
      </c>
      <c r="DA228" s="39" t="n">
        <f aca="false">IF(DA$4=0,0,IF(COUNTIFS(実績!$W$6:$W$505,DA$3,実績!$AI$6:$AI$505,"&lt;="&amp;$A228,実績!$AJ$6:$AJ$505,"&gt;"&amp;$A228,実績!$AL$6:$AL$505,"○")&gt;0,1,0))</f>
        <v>0</v>
      </c>
      <c r="DB228" s="39" t="n">
        <f aca="false">IF(DB$4=0,0,IF(COUNTIFS(実績!$W$6:$W$505,DB$3,実績!$AI$6:$AI$505,"&lt;="&amp;$A228,実績!$AJ$6:$AJ$505,"&gt;"&amp;$A228,実績!$AL$6:$AL$505,"○")&gt;0,1,0))</f>
        <v>0</v>
      </c>
      <c r="DC228" s="39" t="n">
        <f aca="false">IF(DC$4=0,0,IF(COUNTIFS(実績!$W$6:$W$505,DC$3,実績!$AI$6:$AI$505,"&lt;="&amp;$A228,実績!$AJ$6:$AJ$505,"&gt;"&amp;$A228,実績!$AL$6:$AL$505,"○")&gt;0,1,0))</f>
        <v>0</v>
      </c>
      <c r="DD228" s="39" t="n">
        <f aca="false">IF(DD$4=0,0,IF(COUNTIFS(実績!$W$6:$W$505,DD$3,実績!$AI$6:$AI$505,"&lt;="&amp;$A228,実績!$AJ$6:$AJ$505,"&gt;"&amp;$A228,実績!$AL$6:$AL$505,"○")&gt;0,1,0))</f>
        <v>0</v>
      </c>
      <c r="DE228" s="39" t="n">
        <f aca="false">IF(DE$4=0,0,IF(COUNTIFS(実績!$W$6:$W$505,DE$3,実績!$AI$6:$AI$505,"&lt;="&amp;$A228,実績!$AJ$6:$AJ$505,"&gt;"&amp;$A228,実績!$AL$6:$AL$505,"○")&gt;0,1,0))</f>
        <v>0</v>
      </c>
      <c r="DF228" s="39" t="n">
        <f aca="false">IF(DF$4=0,0,IF(COUNTIFS(実績!$W$6:$W$505,DF$3,実績!$AI$6:$AI$505,"&lt;="&amp;$A228,実績!$AJ$6:$AJ$505,"&gt;"&amp;$A228,実績!$AL$6:$AL$505,"○")&gt;0,1,0))</f>
        <v>0</v>
      </c>
      <c r="DG228" s="39" t="n">
        <f aca="false">IF(DG$4=0,0,IF(COUNTIFS(実績!$W$6:$W$505,DG$3,実績!$AI$6:$AI$505,"&lt;="&amp;$A228,実績!$AJ$6:$AJ$505,"&gt;"&amp;$A228,実績!$AL$6:$AL$505,"○")&gt;0,1,0))</f>
        <v>0</v>
      </c>
      <c r="DH228" s="39" t="n">
        <f aca="false">IF(DH$4=0,0,IF(COUNTIFS(実績!$W$6:$W$505,DH$3,実績!$AI$6:$AI$505,"&lt;="&amp;$A228,実績!$AJ$6:$AJ$505,"&gt;"&amp;$A228,実績!$AL$6:$AL$505,"○")&gt;0,1,0))</f>
        <v>0</v>
      </c>
      <c r="DI228" s="39" t="n">
        <f aca="false">IF(DI$4=0,0,IF(COUNTIFS(実績!$W$6:$W$505,DI$3,実績!$AI$6:$AI$505,"&lt;="&amp;$A228,実績!$AJ$6:$AJ$505,"&gt;"&amp;$A228,実績!$AL$6:$AL$505,"○")&gt;0,1,0))</f>
        <v>0</v>
      </c>
      <c r="DJ228" s="39" t="n">
        <f aca="false">IF(DJ$4=0,0,IF(COUNTIFS(実績!$W$6:$W$505,DJ$3,実績!$AI$6:$AI$505,"&lt;="&amp;$A228,実績!$AJ$6:$AJ$505,"&gt;"&amp;$A228,実績!$AL$6:$AL$505,"○")&gt;0,1,0))</f>
        <v>0</v>
      </c>
      <c r="DK228" s="39" t="n">
        <f aca="false">IF(DK$4=0,0,IF(COUNTIFS(実績!$W$6:$W$505,DK$3,実績!$AI$6:$AI$505,"&lt;="&amp;$A228,実績!$AJ$6:$AJ$505,"&gt;"&amp;$A228,実績!$AL$6:$AL$505,"○")&gt;0,1,0))</f>
        <v>0</v>
      </c>
      <c r="DL228" s="39" t="n">
        <f aca="false">IF(DL$4=0,0,IF(COUNTIFS(実績!$W$6:$W$505,DL$3,実績!$AI$6:$AI$505,"&lt;="&amp;$A228,実績!$AJ$6:$AJ$505,"&gt;"&amp;$A228,実績!$AL$6:$AL$505,"○")&gt;0,1,0))</f>
        <v>0</v>
      </c>
      <c r="DM228" s="39" t="n">
        <f aca="false">IF(DM$4=0,0,IF(COUNTIFS(実績!$W$6:$W$505,DM$3,実績!$AI$6:$AI$505,"&lt;="&amp;$A228,実績!$AJ$6:$AJ$505,"&gt;"&amp;$A228,実績!$AL$6:$AL$505,"○")&gt;0,1,0))</f>
        <v>0</v>
      </c>
      <c r="DN228" s="39" t="n">
        <f aca="false">IF(DN$4=0,0,IF(COUNTIFS(実績!$W$6:$W$505,DN$3,実績!$AI$6:$AI$505,"&lt;="&amp;$A228,実績!$AJ$6:$AJ$505,"&gt;"&amp;$A228,実績!$AL$6:$AL$505,"○")&gt;0,1,0))</f>
        <v>0</v>
      </c>
      <c r="DO228" s="39" t="n">
        <f aca="false">IF(DO$4=0,0,IF(COUNTIFS(実績!$W$6:$W$505,DO$3,実績!$AI$6:$AI$505,"&lt;="&amp;$A228,実績!$AJ$6:$AJ$505,"&gt;"&amp;$A228,実績!$AL$6:$AL$505,"○")&gt;0,1,0))</f>
        <v>0</v>
      </c>
      <c r="DP228" s="39" t="n">
        <f aca="false">IF(DP$4=0,0,IF(COUNTIFS(実績!$W$6:$W$505,DP$3,実績!$AI$6:$AI$505,"&lt;="&amp;$A228,実績!$AJ$6:$AJ$505,"&gt;"&amp;$A228,実績!$AL$6:$AL$505,"○")&gt;0,1,0))</f>
        <v>0</v>
      </c>
      <c r="DQ228" s="39" t="n">
        <f aca="false">IF(DQ$4=0,0,IF(COUNTIFS(実績!$W$6:$W$505,DQ$3,実績!$AI$6:$AI$505,"&lt;="&amp;$A228,実績!$AJ$6:$AJ$505,"&gt;"&amp;$A228,実績!$AL$6:$AL$505,"○")&gt;0,1,0))</f>
        <v>0</v>
      </c>
      <c r="DR228" s="39" t="n">
        <f aca="false">IF(DR$4=0,0,IF(COUNTIFS(実績!$W$6:$W$505,DR$3,実績!$AI$6:$AI$505,"&lt;="&amp;$A228,実績!$AJ$6:$AJ$505,"&gt;"&amp;$A228,実績!$AL$6:$AL$505,"○")&gt;0,1,0))</f>
        <v>0</v>
      </c>
      <c r="DS228" s="39" t="n">
        <f aca="false">SUM(C228:DR228)</f>
        <v>0</v>
      </c>
    </row>
    <row r="229" customFormat="false" ht="15" hidden="false" customHeight="false" outlineLevel="0" collapsed="false">
      <c r="A229" s="0" t="n">
        <v>1115</v>
      </c>
      <c r="B229" s="38" t="n">
        <f aca="false">A229/1440</f>
        <v>0.774305555555556</v>
      </c>
      <c r="C229" s="39" t="n">
        <f aca="false">IF(C$4=0,0,IF(COUNTIFS(実績!$W$6:$W$505,C$3,実績!$AI$6:$AI$505,"&lt;="&amp;$A229,実績!$AJ$6:$AJ$505,"&gt;"&amp;$A229,実績!$AL$6:$AL$505,"○")&gt;0,1,0))</f>
        <v>0</v>
      </c>
      <c r="D229" s="39" t="n">
        <f aca="false">IF(D$4=0,0,IF(COUNTIFS(実績!$W$6:$W$505,D$3,実績!$AI$6:$AI$505,"&lt;="&amp;$A229,実績!$AJ$6:$AJ$505,"&gt;"&amp;$A229,実績!$AL$6:$AL$505,"○")&gt;0,1,0))</f>
        <v>0</v>
      </c>
      <c r="E229" s="39" t="n">
        <f aca="false">IF(E$4=0,0,IF(COUNTIFS(実績!$W$6:$W$505,E$3,実績!$AI$6:$AI$505,"&lt;="&amp;$A229,実績!$AJ$6:$AJ$505,"&gt;"&amp;$A229,実績!$AL$6:$AL$505,"○")&gt;0,1,0))</f>
        <v>0</v>
      </c>
      <c r="F229" s="39" t="n">
        <f aca="false">IF(F$4=0,0,IF(COUNTIFS(実績!$W$6:$W$505,F$3,実績!$AI$6:$AI$505,"&lt;="&amp;$A229,実績!$AJ$6:$AJ$505,"&gt;"&amp;$A229,実績!$AL$6:$AL$505,"○")&gt;0,1,0))</f>
        <v>0</v>
      </c>
      <c r="G229" s="39" t="n">
        <f aca="false">IF(G$4=0,0,IF(COUNTIFS(実績!$W$6:$W$505,G$3,実績!$AI$6:$AI$505,"&lt;="&amp;$A229,実績!$AJ$6:$AJ$505,"&gt;"&amp;$A229,実績!$AL$6:$AL$505,"○")&gt;0,1,0))</f>
        <v>0</v>
      </c>
      <c r="H229" s="39" t="n">
        <f aca="false">IF(H$4=0,0,IF(COUNTIFS(実績!$W$6:$W$505,H$3,実績!$AI$6:$AI$505,"&lt;="&amp;$A229,実績!$AJ$6:$AJ$505,"&gt;"&amp;$A229,実績!$AL$6:$AL$505,"○")&gt;0,1,0))</f>
        <v>0</v>
      </c>
      <c r="I229" s="39" t="n">
        <f aca="false">IF(I$4=0,0,IF(COUNTIFS(実績!$W$6:$W$505,I$3,実績!$AI$6:$AI$505,"&lt;="&amp;$A229,実績!$AJ$6:$AJ$505,"&gt;"&amp;$A229,実績!$AL$6:$AL$505,"○")&gt;0,1,0))</f>
        <v>0</v>
      </c>
      <c r="J229" s="39" t="n">
        <f aca="false">IF(J$4=0,0,IF(COUNTIFS(実績!$W$6:$W$505,J$3,実績!$AI$6:$AI$505,"&lt;="&amp;$A229,実績!$AJ$6:$AJ$505,"&gt;"&amp;$A229,実績!$AL$6:$AL$505,"○")&gt;0,1,0))</f>
        <v>0</v>
      </c>
      <c r="K229" s="39" t="n">
        <f aca="false">IF(K$4=0,0,IF(COUNTIFS(実績!$W$6:$W$505,K$3,実績!$AI$6:$AI$505,"&lt;="&amp;$A229,実績!$AJ$6:$AJ$505,"&gt;"&amp;$A229,実績!$AL$6:$AL$505,"○")&gt;0,1,0))</f>
        <v>0</v>
      </c>
      <c r="L229" s="39" t="n">
        <f aca="false">IF(L$4=0,0,IF(COUNTIFS(実績!$W$6:$W$505,L$3,実績!$AI$6:$AI$505,"&lt;="&amp;$A229,実績!$AJ$6:$AJ$505,"&gt;"&amp;$A229,実績!$AL$6:$AL$505,"○")&gt;0,1,0))</f>
        <v>0</v>
      </c>
      <c r="M229" s="39" t="n">
        <f aca="false">IF(M$4=0,0,IF(COUNTIFS(実績!$W$6:$W$505,M$3,実績!$AI$6:$AI$505,"&lt;="&amp;$A229,実績!$AJ$6:$AJ$505,"&gt;"&amp;$A229,実績!$AL$6:$AL$505,"○")&gt;0,1,0))</f>
        <v>0</v>
      </c>
      <c r="N229" s="39" t="n">
        <f aca="false">IF(N$4=0,0,IF(COUNTIFS(実績!$W$6:$W$505,N$3,実績!$AI$6:$AI$505,"&lt;="&amp;$A229,実績!$AJ$6:$AJ$505,"&gt;"&amp;$A229,実績!$AL$6:$AL$505,"○")&gt;0,1,0))</f>
        <v>0</v>
      </c>
      <c r="O229" s="39" t="n">
        <f aca="false">IF(O$4=0,0,IF(COUNTIFS(実績!$W$6:$W$505,O$3,実績!$AI$6:$AI$505,"&lt;="&amp;$A229,実績!$AJ$6:$AJ$505,"&gt;"&amp;$A229,実績!$AL$6:$AL$505,"○")&gt;0,1,0))</f>
        <v>0</v>
      </c>
      <c r="P229" s="39" t="n">
        <f aca="false">IF(P$4=0,0,IF(COUNTIFS(実績!$W$6:$W$505,P$3,実績!$AI$6:$AI$505,"&lt;="&amp;$A229,実績!$AJ$6:$AJ$505,"&gt;"&amp;$A229,実績!$AL$6:$AL$505,"○")&gt;0,1,0))</f>
        <v>0</v>
      </c>
      <c r="Q229" s="39" t="n">
        <f aca="false">IF(Q$4=0,0,IF(COUNTIFS(実績!$W$6:$W$505,Q$3,実績!$AI$6:$AI$505,"&lt;="&amp;$A229,実績!$AJ$6:$AJ$505,"&gt;"&amp;$A229,実績!$AL$6:$AL$505,"○")&gt;0,1,0))</f>
        <v>0</v>
      </c>
      <c r="R229" s="39" t="n">
        <f aca="false">IF(R$4=0,0,IF(COUNTIFS(実績!$W$6:$W$505,R$3,実績!$AI$6:$AI$505,"&lt;="&amp;$A229,実績!$AJ$6:$AJ$505,"&gt;"&amp;$A229,実績!$AL$6:$AL$505,"○")&gt;0,1,0))</f>
        <v>0</v>
      </c>
      <c r="S229" s="39" t="n">
        <f aca="false">IF(S$4=0,0,IF(COUNTIFS(実績!$W$6:$W$505,S$3,実績!$AI$6:$AI$505,"&lt;="&amp;$A229,実績!$AJ$6:$AJ$505,"&gt;"&amp;$A229,実績!$AL$6:$AL$505,"○")&gt;0,1,0))</f>
        <v>0</v>
      </c>
      <c r="T229" s="39" t="n">
        <f aca="false">IF(T$4=0,0,IF(COUNTIFS(実績!$W$6:$W$505,T$3,実績!$AI$6:$AI$505,"&lt;="&amp;$A229,実績!$AJ$6:$AJ$505,"&gt;"&amp;$A229,実績!$AL$6:$AL$505,"○")&gt;0,1,0))</f>
        <v>0</v>
      </c>
      <c r="U229" s="39" t="n">
        <f aca="false">IF(U$4=0,0,IF(COUNTIFS(実績!$W$6:$W$505,U$3,実績!$AI$6:$AI$505,"&lt;="&amp;$A229,実績!$AJ$6:$AJ$505,"&gt;"&amp;$A229,実績!$AL$6:$AL$505,"○")&gt;0,1,0))</f>
        <v>0</v>
      </c>
      <c r="V229" s="39" t="n">
        <f aca="false">IF(V$4=0,0,IF(COUNTIFS(実績!$W$6:$W$505,V$3,実績!$AI$6:$AI$505,"&lt;="&amp;$A229,実績!$AJ$6:$AJ$505,"&gt;"&amp;$A229,実績!$AL$6:$AL$505,"○")&gt;0,1,0))</f>
        <v>0</v>
      </c>
      <c r="W229" s="39" t="n">
        <f aca="false">IF(W$4=0,0,IF(COUNTIFS(実績!$W$6:$W$505,W$3,実績!$AI$6:$AI$505,"&lt;="&amp;$A229,実績!$AJ$6:$AJ$505,"&gt;"&amp;$A229,実績!$AL$6:$AL$505,"○")&gt;0,1,0))</f>
        <v>0</v>
      </c>
      <c r="X229" s="39" t="n">
        <f aca="false">IF(X$4=0,0,IF(COUNTIFS(実績!$W$6:$W$505,X$3,実績!$AI$6:$AI$505,"&lt;="&amp;$A229,実績!$AJ$6:$AJ$505,"&gt;"&amp;$A229,実績!$AL$6:$AL$505,"○")&gt;0,1,0))</f>
        <v>0</v>
      </c>
      <c r="Y229" s="39" t="n">
        <f aca="false">IF(Y$4=0,0,IF(COUNTIFS(実績!$W$6:$W$505,Y$3,実績!$AI$6:$AI$505,"&lt;="&amp;$A229,実績!$AJ$6:$AJ$505,"&gt;"&amp;$A229,実績!$AL$6:$AL$505,"○")&gt;0,1,0))</f>
        <v>0</v>
      </c>
      <c r="Z229" s="39" t="n">
        <f aca="false">IF(Z$4=0,0,IF(COUNTIFS(実績!$W$6:$W$505,Z$3,実績!$AI$6:$AI$505,"&lt;="&amp;$A229,実績!$AJ$6:$AJ$505,"&gt;"&amp;$A229,実績!$AL$6:$AL$505,"○")&gt;0,1,0))</f>
        <v>0</v>
      </c>
      <c r="AA229" s="39" t="n">
        <f aca="false">IF(AA$4=0,0,IF(COUNTIFS(実績!$W$6:$W$505,AA$3,実績!$AI$6:$AI$505,"&lt;="&amp;$A229,実績!$AJ$6:$AJ$505,"&gt;"&amp;$A229,実績!$AL$6:$AL$505,"○")&gt;0,1,0))</f>
        <v>0</v>
      </c>
      <c r="AB229" s="39" t="n">
        <f aca="false">IF(AB$4=0,0,IF(COUNTIFS(実績!$W$6:$W$505,AB$3,実績!$AI$6:$AI$505,"&lt;="&amp;$A229,実績!$AJ$6:$AJ$505,"&gt;"&amp;$A229,実績!$AL$6:$AL$505,"○")&gt;0,1,0))</f>
        <v>0</v>
      </c>
      <c r="AC229" s="39" t="n">
        <f aca="false">IF(AC$4=0,0,IF(COUNTIFS(実績!$W$6:$W$505,AC$3,実績!$AI$6:$AI$505,"&lt;="&amp;$A229,実績!$AJ$6:$AJ$505,"&gt;"&amp;$A229,実績!$AL$6:$AL$505,"○")&gt;0,1,0))</f>
        <v>0</v>
      </c>
      <c r="AD229" s="39" t="n">
        <f aca="false">IF(AD$4=0,0,IF(COUNTIFS(実績!$W$6:$W$505,AD$3,実績!$AI$6:$AI$505,"&lt;="&amp;$A229,実績!$AJ$6:$AJ$505,"&gt;"&amp;$A229,実績!$AL$6:$AL$505,"○")&gt;0,1,0))</f>
        <v>0</v>
      </c>
      <c r="AE229" s="39" t="n">
        <f aca="false">IF(AE$4=0,0,IF(COUNTIFS(実績!$W$6:$W$505,AE$3,実績!$AI$6:$AI$505,"&lt;="&amp;$A229,実績!$AJ$6:$AJ$505,"&gt;"&amp;$A229,実績!$AL$6:$AL$505,"○")&gt;0,1,0))</f>
        <v>0</v>
      </c>
      <c r="AF229" s="39" t="n">
        <f aca="false">IF(AF$4=0,0,IF(COUNTIFS(実績!$W$6:$W$505,AF$3,実績!$AI$6:$AI$505,"&lt;="&amp;$A229,実績!$AJ$6:$AJ$505,"&gt;"&amp;$A229,実績!$AL$6:$AL$505,"○")&gt;0,1,0))</f>
        <v>0</v>
      </c>
      <c r="AG229" s="39" t="n">
        <f aca="false">IF(AG$4=0,0,IF(COUNTIFS(実績!$W$6:$W$505,AG$3,実績!$AI$6:$AI$505,"&lt;="&amp;$A229,実績!$AJ$6:$AJ$505,"&gt;"&amp;$A229,実績!$AL$6:$AL$505,"○")&gt;0,1,0))</f>
        <v>0</v>
      </c>
      <c r="AH229" s="39" t="n">
        <f aca="false">IF(AH$4=0,0,IF(COUNTIFS(実績!$W$6:$W$505,AH$3,実績!$AI$6:$AI$505,"&lt;="&amp;$A229,実績!$AJ$6:$AJ$505,"&gt;"&amp;$A229,実績!$AL$6:$AL$505,"○")&gt;0,1,0))</f>
        <v>0</v>
      </c>
      <c r="AI229" s="39" t="n">
        <f aca="false">IF(AI$4=0,0,IF(COUNTIFS(実績!$W$6:$W$505,AI$3,実績!$AI$6:$AI$505,"&lt;="&amp;$A229,実績!$AJ$6:$AJ$505,"&gt;"&amp;$A229,実績!$AL$6:$AL$505,"○")&gt;0,1,0))</f>
        <v>0</v>
      </c>
      <c r="AJ229" s="39" t="n">
        <f aca="false">IF(AJ$4=0,0,IF(COUNTIFS(実績!$W$6:$W$505,AJ$3,実績!$AI$6:$AI$505,"&lt;="&amp;$A229,実績!$AJ$6:$AJ$505,"&gt;"&amp;$A229,実績!$AL$6:$AL$505,"○")&gt;0,1,0))</f>
        <v>0</v>
      </c>
      <c r="AK229" s="39" t="n">
        <f aca="false">IF(AK$4=0,0,IF(COUNTIFS(実績!$W$6:$W$505,AK$3,実績!$AI$6:$AI$505,"&lt;="&amp;$A229,実績!$AJ$6:$AJ$505,"&gt;"&amp;$A229,実績!$AL$6:$AL$505,"○")&gt;0,1,0))</f>
        <v>0</v>
      </c>
      <c r="AL229" s="39" t="n">
        <f aca="false">IF(AL$4=0,0,IF(COUNTIFS(実績!$W$6:$W$505,AL$3,実績!$AI$6:$AI$505,"&lt;="&amp;$A229,実績!$AJ$6:$AJ$505,"&gt;"&amp;$A229,実績!$AL$6:$AL$505,"○")&gt;0,1,0))</f>
        <v>0</v>
      </c>
      <c r="AM229" s="39" t="n">
        <f aca="false">IF(AM$4=0,0,IF(COUNTIFS(実績!$W$6:$W$505,AM$3,実績!$AI$6:$AI$505,"&lt;="&amp;$A229,実績!$AJ$6:$AJ$505,"&gt;"&amp;$A229,実績!$AL$6:$AL$505,"○")&gt;0,1,0))</f>
        <v>0</v>
      </c>
      <c r="AN229" s="39" t="n">
        <f aca="false">IF(AN$4=0,0,IF(COUNTIFS(実績!$W$6:$W$505,AN$3,実績!$AI$6:$AI$505,"&lt;="&amp;$A229,実績!$AJ$6:$AJ$505,"&gt;"&amp;$A229,実績!$AL$6:$AL$505,"○")&gt;0,1,0))</f>
        <v>0</v>
      </c>
      <c r="AO229" s="39" t="n">
        <f aca="false">IF(AO$4=0,0,IF(COUNTIFS(実績!$W$6:$W$505,AO$3,実績!$AI$6:$AI$505,"&lt;="&amp;$A229,実績!$AJ$6:$AJ$505,"&gt;"&amp;$A229,実績!$AL$6:$AL$505,"○")&gt;0,1,0))</f>
        <v>0</v>
      </c>
      <c r="AP229" s="39" t="n">
        <f aca="false">IF(AP$4=0,0,IF(COUNTIFS(実績!$W$6:$W$505,AP$3,実績!$AI$6:$AI$505,"&lt;="&amp;$A229,実績!$AJ$6:$AJ$505,"&gt;"&amp;$A229,実績!$AL$6:$AL$505,"○")&gt;0,1,0))</f>
        <v>0</v>
      </c>
      <c r="AQ229" s="39" t="n">
        <f aca="false">IF(AQ$4=0,0,IF(COUNTIFS(実績!$W$6:$W$505,AQ$3,実績!$AI$6:$AI$505,"&lt;="&amp;$A229,実績!$AJ$6:$AJ$505,"&gt;"&amp;$A229,実績!$AL$6:$AL$505,"○")&gt;0,1,0))</f>
        <v>0</v>
      </c>
      <c r="AR229" s="39" t="n">
        <f aca="false">IF(AR$4=0,0,IF(COUNTIFS(実績!$W$6:$W$505,AR$3,実績!$AI$6:$AI$505,"&lt;="&amp;$A229,実績!$AJ$6:$AJ$505,"&gt;"&amp;$A229,実績!$AL$6:$AL$505,"○")&gt;0,1,0))</f>
        <v>0</v>
      </c>
      <c r="AS229" s="39" t="n">
        <f aca="false">IF(AS$4=0,0,IF(COUNTIFS(実績!$W$6:$W$505,AS$3,実績!$AI$6:$AI$505,"&lt;="&amp;$A229,実績!$AJ$6:$AJ$505,"&gt;"&amp;$A229,実績!$AL$6:$AL$505,"○")&gt;0,1,0))</f>
        <v>0</v>
      </c>
      <c r="AT229" s="39" t="n">
        <f aca="false">IF(AT$4=0,0,IF(COUNTIFS(実績!$W$6:$W$505,AT$3,実績!$AI$6:$AI$505,"&lt;="&amp;$A229,実績!$AJ$6:$AJ$505,"&gt;"&amp;$A229,実績!$AL$6:$AL$505,"○")&gt;0,1,0))</f>
        <v>0</v>
      </c>
      <c r="AU229" s="39" t="n">
        <f aca="false">IF(AU$4=0,0,IF(COUNTIFS(実績!$W$6:$W$505,AU$3,実績!$AI$6:$AI$505,"&lt;="&amp;$A229,実績!$AJ$6:$AJ$505,"&gt;"&amp;$A229,実績!$AL$6:$AL$505,"○")&gt;0,1,0))</f>
        <v>0</v>
      </c>
      <c r="AV229" s="39" t="n">
        <f aca="false">IF(AV$4=0,0,IF(COUNTIFS(実績!$W$6:$W$505,AV$3,実績!$AI$6:$AI$505,"&lt;="&amp;$A229,実績!$AJ$6:$AJ$505,"&gt;"&amp;$A229,実績!$AL$6:$AL$505,"○")&gt;0,1,0))</f>
        <v>0</v>
      </c>
      <c r="AW229" s="39" t="n">
        <f aca="false">IF(AW$4=0,0,IF(COUNTIFS(実績!$W$6:$W$505,AW$3,実績!$AI$6:$AI$505,"&lt;="&amp;$A229,実績!$AJ$6:$AJ$505,"&gt;"&amp;$A229,実績!$AL$6:$AL$505,"○")&gt;0,1,0))</f>
        <v>0</v>
      </c>
      <c r="AX229" s="39" t="n">
        <f aca="false">IF(AX$4=0,0,IF(COUNTIFS(実績!$W$6:$W$505,AX$3,実績!$AI$6:$AI$505,"&lt;="&amp;$A229,実績!$AJ$6:$AJ$505,"&gt;"&amp;$A229,実績!$AL$6:$AL$505,"○")&gt;0,1,0))</f>
        <v>0</v>
      </c>
      <c r="AY229" s="39" t="n">
        <f aca="false">IF(AY$4=0,0,IF(COUNTIFS(実績!$W$6:$W$505,AY$3,実績!$AI$6:$AI$505,"&lt;="&amp;$A229,実績!$AJ$6:$AJ$505,"&gt;"&amp;$A229,実績!$AL$6:$AL$505,"○")&gt;0,1,0))</f>
        <v>0</v>
      </c>
      <c r="AZ229" s="39" t="n">
        <f aca="false">IF(AZ$4=0,0,IF(COUNTIFS(実績!$W$6:$W$505,AZ$3,実績!$AI$6:$AI$505,"&lt;="&amp;$A229,実績!$AJ$6:$AJ$505,"&gt;"&amp;$A229,実績!$AL$6:$AL$505,"○")&gt;0,1,0))</f>
        <v>0</v>
      </c>
      <c r="BA229" s="39" t="n">
        <f aca="false">IF(BA$4=0,0,IF(COUNTIFS(実績!$W$6:$W$505,BA$3,実績!$AI$6:$AI$505,"&lt;="&amp;$A229,実績!$AJ$6:$AJ$505,"&gt;"&amp;$A229,実績!$AL$6:$AL$505,"○")&gt;0,1,0))</f>
        <v>0</v>
      </c>
      <c r="BB229" s="39" t="n">
        <f aca="false">IF(BB$4=0,0,IF(COUNTIFS(実績!$W$6:$W$505,BB$3,実績!$AI$6:$AI$505,"&lt;="&amp;$A229,実績!$AJ$6:$AJ$505,"&gt;"&amp;$A229,実績!$AL$6:$AL$505,"○")&gt;0,1,0))</f>
        <v>0</v>
      </c>
      <c r="BC229" s="39" t="n">
        <f aca="false">IF(BC$4=0,0,IF(COUNTIFS(実績!$W$6:$W$505,BC$3,実績!$AI$6:$AI$505,"&lt;="&amp;$A229,実績!$AJ$6:$AJ$505,"&gt;"&amp;$A229,実績!$AL$6:$AL$505,"○")&gt;0,1,0))</f>
        <v>0</v>
      </c>
      <c r="BD229" s="39" t="n">
        <f aca="false">IF(BD$4=0,0,IF(COUNTIFS(実績!$W$6:$W$505,BD$3,実績!$AI$6:$AI$505,"&lt;="&amp;$A229,実績!$AJ$6:$AJ$505,"&gt;"&amp;$A229,実績!$AL$6:$AL$505,"○")&gt;0,1,0))</f>
        <v>0</v>
      </c>
      <c r="BE229" s="39" t="n">
        <f aca="false">IF(BE$4=0,0,IF(COUNTIFS(実績!$W$6:$W$505,BE$3,実績!$AI$6:$AI$505,"&lt;="&amp;$A229,実績!$AJ$6:$AJ$505,"&gt;"&amp;$A229,実績!$AL$6:$AL$505,"○")&gt;0,1,0))</f>
        <v>0</v>
      </c>
      <c r="BF229" s="39" t="n">
        <f aca="false">IF(BF$4=0,0,IF(COUNTIFS(実績!$W$6:$W$505,BF$3,実績!$AI$6:$AI$505,"&lt;="&amp;$A229,実績!$AJ$6:$AJ$505,"&gt;"&amp;$A229,実績!$AL$6:$AL$505,"○")&gt;0,1,0))</f>
        <v>0</v>
      </c>
      <c r="BG229" s="39" t="n">
        <f aca="false">IF(BG$4=0,0,IF(COUNTIFS(実績!$W$6:$W$505,BG$3,実績!$AI$6:$AI$505,"&lt;="&amp;$A229,実績!$AJ$6:$AJ$505,"&gt;"&amp;$A229,実績!$AL$6:$AL$505,"○")&gt;0,1,0))</f>
        <v>0</v>
      </c>
      <c r="BH229" s="39" t="n">
        <f aca="false">IF(BH$4=0,0,IF(COUNTIFS(実績!$W$6:$W$505,BH$3,実績!$AI$6:$AI$505,"&lt;="&amp;$A229,実績!$AJ$6:$AJ$505,"&gt;"&amp;$A229,実績!$AL$6:$AL$505,"○")&gt;0,1,0))</f>
        <v>0</v>
      </c>
      <c r="BI229" s="39" t="n">
        <f aca="false">IF(BI$4=0,0,IF(COUNTIFS(実績!$W$6:$W$505,BI$3,実績!$AI$6:$AI$505,"&lt;="&amp;$A229,実績!$AJ$6:$AJ$505,"&gt;"&amp;$A229,実績!$AL$6:$AL$505,"○")&gt;0,1,0))</f>
        <v>0</v>
      </c>
      <c r="BJ229" s="39" t="n">
        <f aca="false">IF(BJ$4=0,0,IF(COUNTIFS(実績!$W$6:$W$505,BJ$3,実績!$AI$6:$AI$505,"&lt;="&amp;$A229,実績!$AJ$6:$AJ$505,"&gt;"&amp;$A229,実績!$AL$6:$AL$505,"○")&gt;0,1,0))</f>
        <v>0</v>
      </c>
      <c r="BK229" s="39" t="n">
        <f aca="false">IF(BK$4=0,0,IF(COUNTIFS(実績!$W$6:$W$505,BK$3,実績!$AI$6:$AI$505,"&lt;="&amp;$A229,実績!$AJ$6:$AJ$505,"&gt;"&amp;$A229,実績!$AL$6:$AL$505,"○")&gt;0,1,0))</f>
        <v>0</v>
      </c>
      <c r="BL229" s="39" t="n">
        <f aca="false">IF(BL$4=0,0,IF(COUNTIFS(実績!$W$6:$W$505,BL$3,実績!$AI$6:$AI$505,"&lt;="&amp;$A229,実績!$AJ$6:$AJ$505,"&gt;"&amp;$A229,実績!$AL$6:$AL$505,"○")&gt;0,1,0))</f>
        <v>0</v>
      </c>
      <c r="BM229" s="39" t="n">
        <f aca="false">IF(BM$4=0,0,IF(COUNTIFS(実績!$W$6:$W$505,BM$3,実績!$AI$6:$AI$505,"&lt;="&amp;$A229,実績!$AJ$6:$AJ$505,"&gt;"&amp;$A229,実績!$AL$6:$AL$505,"○")&gt;0,1,0))</f>
        <v>0</v>
      </c>
      <c r="BN229" s="39" t="n">
        <f aca="false">IF(BN$4=0,0,IF(COUNTIFS(実績!$W$6:$W$505,BN$3,実績!$AI$6:$AI$505,"&lt;="&amp;$A229,実績!$AJ$6:$AJ$505,"&gt;"&amp;$A229,実績!$AL$6:$AL$505,"○")&gt;0,1,0))</f>
        <v>0</v>
      </c>
      <c r="BO229" s="39" t="n">
        <f aca="false">IF(BO$4=0,0,IF(COUNTIFS(実績!$W$6:$W$505,BO$3,実績!$AI$6:$AI$505,"&lt;="&amp;$A229,実績!$AJ$6:$AJ$505,"&gt;"&amp;$A229,実績!$AL$6:$AL$505,"○")&gt;0,1,0))</f>
        <v>0</v>
      </c>
      <c r="BP229" s="39" t="n">
        <f aca="false">IF(BP$4=0,0,IF(COUNTIFS(実績!$W$6:$W$505,BP$3,実績!$AI$6:$AI$505,"&lt;="&amp;$A229,実績!$AJ$6:$AJ$505,"&gt;"&amp;$A229,実績!$AL$6:$AL$505,"○")&gt;0,1,0))</f>
        <v>0</v>
      </c>
      <c r="BQ229" s="39" t="n">
        <f aca="false">IF(BQ$4=0,0,IF(COUNTIFS(実績!$W$6:$W$505,BQ$3,実績!$AI$6:$AI$505,"&lt;="&amp;$A229,実績!$AJ$6:$AJ$505,"&gt;"&amp;$A229,実績!$AL$6:$AL$505,"○")&gt;0,1,0))</f>
        <v>0</v>
      </c>
      <c r="BR229" s="39" t="n">
        <f aca="false">IF(BR$4=0,0,IF(COUNTIFS(実績!$W$6:$W$505,BR$3,実績!$AI$6:$AI$505,"&lt;="&amp;$A229,実績!$AJ$6:$AJ$505,"&gt;"&amp;$A229,実績!$AL$6:$AL$505,"○")&gt;0,1,0))</f>
        <v>0</v>
      </c>
      <c r="BS229" s="39" t="n">
        <f aca="false">IF(BS$4=0,0,IF(COUNTIFS(実績!$W$6:$W$505,BS$3,実績!$AI$6:$AI$505,"&lt;="&amp;$A229,実績!$AJ$6:$AJ$505,"&gt;"&amp;$A229,実績!$AL$6:$AL$505,"○")&gt;0,1,0))</f>
        <v>0</v>
      </c>
      <c r="BT229" s="39" t="n">
        <f aca="false">IF(BT$4=0,0,IF(COUNTIFS(実績!$W$6:$W$505,BT$3,実績!$AI$6:$AI$505,"&lt;="&amp;$A229,実績!$AJ$6:$AJ$505,"&gt;"&amp;$A229,実績!$AL$6:$AL$505,"○")&gt;0,1,0))</f>
        <v>0</v>
      </c>
      <c r="BU229" s="39" t="n">
        <f aca="false">IF(BU$4=0,0,IF(COUNTIFS(実績!$W$6:$W$505,BU$3,実績!$AI$6:$AI$505,"&lt;="&amp;$A229,実績!$AJ$6:$AJ$505,"&gt;"&amp;$A229,実績!$AL$6:$AL$505,"○")&gt;0,1,0))</f>
        <v>0</v>
      </c>
      <c r="BV229" s="39" t="n">
        <f aca="false">IF(BV$4=0,0,IF(COUNTIFS(実績!$W$6:$W$505,BV$3,実績!$AI$6:$AI$505,"&lt;="&amp;$A229,実績!$AJ$6:$AJ$505,"&gt;"&amp;$A229,実績!$AL$6:$AL$505,"○")&gt;0,1,0))</f>
        <v>0</v>
      </c>
      <c r="BW229" s="39" t="n">
        <f aca="false">IF(BW$4=0,0,IF(COUNTIFS(実績!$W$6:$W$505,BW$3,実績!$AI$6:$AI$505,"&lt;="&amp;$A229,実績!$AJ$6:$AJ$505,"&gt;"&amp;$A229,実績!$AL$6:$AL$505,"○")&gt;0,1,0))</f>
        <v>0</v>
      </c>
      <c r="BX229" s="39" t="n">
        <f aca="false">IF(BX$4=0,0,IF(COUNTIFS(実績!$W$6:$W$505,BX$3,実績!$AI$6:$AI$505,"&lt;="&amp;$A229,実績!$AJ$6:$AJ$505,"&gt;"&amp;$A229,実績!$AL$6:$AL$505,"○")&gt;0,1,0))</f>
        <v>0</v>
      </c>
      <c r="BY229" s="39" t="n">
        <f aca="false">IF(BY$4=0,0,IF(COUNTIFS(実績!$W$6:$W$505,BY$3,実績!$AI$6:$AI$505,"&lt;="&amp;$A229,実績!$AJ$6:$AJ$505,"&gt;"&amp;$A229,実績!$AL$6:$AL$505,"○")&gt;0,1,0))</f>
        <v>0</v>
      </c>
      <c r="BZ229" s="39" t="n">
        <f aca="false">IF(BZ$4=0,0,IF(COUNTIFS(実績!$W$6:$W$505,BZ$3,実績!$AI$6:$AI$505,"&lt;="&amp;$A229,実績!$AJ$6:$AJ$505,"&gt;"&amp;$A229,実績!$AL$6:$AL$505,"○")&gt;0,1,0))</f>
        <v>0</v>
      </c>
      <c r="CA229" s="39" t="n">
        <f aca="false">IF(CA$4=0,0,IF(COUNTIFS(実績!$W$6:$W$505,CA$3,実績!$AI$6:$AI$505,"&lt;="&amp;$A229,実績!$AJ$6:$AJ$505,"&gt;"&amp;$A229,実績!$AL$6:$AL$505,"○")&gt;0,1,0))</f>
        <v>0</v>
      </c>
      <c r="CB229" s="39" t="n">
        <f aca="false">IF(CB$4=0,0,IF(COUNTIFS(実績!$W$6:$W$505,CB$3,実績!$AI$6:$AI$505,"&lt;="&amp;$A229,実績!$AJ$6:$AJ$505,"&gt;"&amp;$A229,実績!$AL$6:$AL$505,"○")&gt;0,1,0))</f>
        <v>0</v>
      </c>
      <c r="CC229" s="39" t="n">
        <f aca="false">IF(CC$4=0,0,IF(COUNTIFS(実績!$W$6:$W$505,CC$3,実績!$AI$6:$AI$505,"&lt;="&amp;$A229,実績!$AJ$6:$AJ$505,"&gt;"&amp;$A229,実績!$AL$6:$AL$505,"○")&gt;0,1,0))</f>
        <v>0</v>
      </c>
      <c r="CD229" s="39" t="n">
        <f aca="false">IF(CD$4=0,0,IF(COUNTIFS(実績!$W$6:$W$505,CD$3,実績!$AI$6:$AI$505,"&lt;="&amp;$A229,実績!$AJ$6:$AJ$505,"&gt;"&amp;$A229,実績!$AL$6:$AL$505,"○")&gt;0,1,0))</f>
        <v>0</v>
      </c>
      <c r="CE229" s="39" t="n">
        <f aca="false">IF(CE$4=0,0,IF(COUNTIFS(実績!$W$6:$W$505,CE$3,実績!$AI$6:$AI$505,"&lt;="&amp;$A229,実績!$AJ$6:$AJ$505,"&gt;"&amp;$A229,実績!$AL$6:$AL$505,"○")&gt;0,1,0))</f>
        <v>0</v>
      </c>
      <c r="CF229" s="39" t="n">
        <f aca="false">IF(CF$4=0,0,IF(COUNTIFS(実績!$W$6:$W$505,CF$3,実績!$AI$6:$AI$505,"&lt;="&amp;$A229,実績!$AJ$6:$AJ$505,"&gt;"&amp;$A229,実績!$AL$6:$AL$505,"○")&gt;0,1,0))</f>
        <v>0</v>
      </c>
      <c r="CG229" s="39" t="n">
        <f aca="false">IF(CG$4=0,0,IF(COUNTIFS(実績!$W$6:$W$505,CG$3,実績!$AI$6:$AI$505,"&lt;="&amp;$A229,実績!$AJ$6:$AJ$505,"&gt;"&amp;$A229,実績!$AL$6:$AL$505,"○")&gt;0,1,0))</f>
        <v>0</v>
      </c>
      <c r="CH229" s="39" t="n">
        <f aca="false">IF(CH$4=0,0,IF(COUNTIFS(実績!$W$6:$W$505,CH$3,実績!$AI$6:$AI$505,"&lt;="&amp;$A229,実績!$AJ$6:$AJ$505,"&gt;"&amp;$A229,実績!$AL$6:$AL$505,"○")&gt;0,1,0))</f>
        <v>0</v>
      </c>
      <c r="CI229" s="39" t="n">
        <f aca="false">IF(CI$4=0,0,IF(COUNTIFS(実績!$W$6:$W$505,CI$3,実績!$AI$6:$AI$505,"&lt;="&amp;$A229,実績!$AJ$6:$AJ$505,"&gt;"&amp;$A229,実績!$AL$6:$AL$505,"○")&gt;0,1,0))</f>
        <v>0</v>
      </c>
      <c r="CJ229" s="39" t="n">
        <f aca="false">IF(CJ$4=0,0,IF(COUNTIFS(実績!$W$6:$W$505,CJ$3,実績!$AI$6:$AI$505,"&lt;="&amp;$A229,実績!$AJ$6:$AJ$505,"&gt;"&amp;$A229,実績!$AL$6:$AL$505,"○")&gt;0,1,0))</f>
        <v>0</v>
      </c>
      <c r="CK229" s="39" t="n">
        <f aca="false">IF(CK$4=0,0,IF(COUNTIFS(実績!$W$6:$W$505,CK$3,実績!$AI$6:$AI$505,"&lt;="&amp;$A229,実績!$AJ$6:$AJ$505,"&gt;"&amp;$A229,実績!$AL$6:$AL$505,"○")&gt;0,1,0))</f>
        <v>0</v>
      </c>
      <c r="CL229" s="39" t="n">
        <f aca="false">IF(CL$4=0,0,IF(COUNTIFS(実績!$W$6:$W$505,CL$3,実績!$AI$6:$AI$505,"&lt;="&amp;$A229,実績!$AJ$6:$AJ$505,"&gt;"&amp;$A229,実績!$AL$6:$AL$505,"○")&gt;0,1,0))</f>
        <v>0</v>
      </c>
      <c r="CM229" s="39" t="n">
        <f aca="false">IF(CM$4=0,0,IF(COUNTIFS(実績!$W$6:$W$505,CM$3,実績!$AI$6:$AI$505,"&lt;="&amp;$A229,実績!$AJ$6:$AJ$505,"&gt;"&amp;$A229,実績!$AL$6:$AL$505,"○")&gt;0,1,0))</f>
        <v>0</v>
      </c>
      <c r="CN229" s="39" t="n">
        <f aca="false">IF(CN$4=0,0,IF(COUNTIFS(実績!$W$6:$W$505,CN$3,実績!$AI$6:$AI$505,"&lt;="&amp;$A229,実績!$AJ$6:$AJ$505,"&gt;"&amp;$A229,実績!$AL$6:$AL$505,"○")&gt;0,1,0))</f>
        <v>0</v>
      </c>
      <c r="CO229" s="39" t="n">
        <f aca="false">IF(CO$4=0,0,IF(COUNTIFS(実績!$W$6:$W$505,CO$3,実績!$AI$6:$AI$505,"&lt;="&amp;$A229,実績!$AJ$6:$AJ$505,"&gt;"&amp;$A229,実績!$AL$6:$AL$505,"○")&gt;0,1,0))</f>
        <v>0</v>
      </c>
      <c r="CP229" s="39" t="n">
        <f aca="false">IF(CP$4=0,0,IF(COUNTIFS(実績!$W$6:$W$505,CP$3,実績!$AI$6:$AI$505,"&lt;="&amp;$A229,実績!$AJ$6:$AJ$505,"&gt;"&amp;$A229,実績!$AL$6:$AL$505,"○")&gt;0,1,0))</f>
        <v>0</v>
      </c>
      <c r="CQ229" s="39" t="n">
        <f aca="false">IF(CQ$4=0,0,IF(COUNTIFS(実績!$W$6:$W$505,CQ$3,実績!$AI$6:$AI$505,"&lt;="&amp;$A229,実績!$AJ$6:$AJ$505,"&gt;"&amp;$A229,実績!$AL$6:$AL$505,"○")&gt;0,1,0))</f>
        <v>0</v>
      </c>
      <c r="CR229" s="39" t="n">
        <f aca="false">IF(CR$4=0,0,IF(COUNTIFS(実績!$W$6:$W$505,CR$3,実績!$AI$6:$AI$505,"&lt;="&amp;$A229,実績!$AJ$6:$AJ$505,"&gt;"&amp;$A229,実績!$AL$6:$AL$505,"○")&gt;0,1,0))</f>
        <v>0</v>
      </c>
      <c r="CS229" s="39" t="n">
        <f aca="false">IF(CS$4=0,0,IF(COUNTIFS(実績!$W$6:$W$505,CS$3,実績!$AI$6:$AI$505,"&lt;="&amp;$A229,実績!$AJ$6:$AJ$505,"&gt;"&amp;$A229,実績!$AL$6:$AL$505,"○")&gt;0,1,0))</f>
        <v>0</v>
      </c>
      <c r="CT229" s="39" t="n">
        <f aca="false">IF(CT$4=0,0,IF(COUNTIFS(実績!$W$6:$W$505,CT$3,実績!$AI$6:$AI$505,"&lt;="&amp;$A229,実績!$AJ$6:$AJ$505,"&gt;"&amp;$A229,実績!$AL$6:$AL$505,"○")&gt;0,1,0))</f>
        <v>0</v>
      </c>
      <c r="CU229" s="39" t="n">
        <f aca="false">IF(CU$4=0,0,IF(COUNTIFS(実績!$W$6:$W$505,CU$3,実績!$AI$6:$AI$505,"&lt;="&amp;$A229,実績!$AJ$6:$AJ$505,"&gt;"&amp;$A229,実績!$AL$6:$AL$505,"○")&gt;0,1,0))</f>
        <v>0</v>
      </c>
      <c r="CV229" s="39" t="n">
        <f aca="false">IF(CV$4=0,0,IF(COUNTIFS(実績!$W$6:$W$505,CV$3,実績!$AI$6:$AI$505,"&lt;="&amp;$A229,実績!$AJ$6:$AJ$505,"&gt;"&amp;$A229,実績!$AL$6:$AL$505,"○")&gt;0,1,0))</f>
        <v>0</v>
      </c>
      <c r="CW229" s="39" t="n">
        <f aca="false">IF(CW$4=0,0,IF(COUNTIFS(実績!$W$6:$W$505,CW$3,実績!$AI$6:$AI$505,"&lt;="&amp;$A229,実績!$AJ$6:$AJ$505,"&gt;"&amp;$A229,実績!$AL$6:$AL$505,"○")&gt;0,1,0))</f>
        <v>0</v>
      </c>
      <c r="CX229" s="39" t="n">
        <f aca="false">IF(CX$4=0,0,IF(COUNTIFS(実績!$W$6:$W$505,CX$3,実績!$AI$6:$AI$505,"&lt;="&amp;$A229,実績!$AJ$6:$AJ$505,"&gt;"&amp;$A229,実績!$AL$6:$AL$505,"○")&gt;0,1,0))</f>
        <v>0</v>
      </c>
      <c r="CY229" s="39" t="n">
        <f aca="false">IF(CY$4=0,0,IF(COUNTIFS(実績!$W$6:$W$505,CY$3,実績!$AI$6:$AI$505,"&lt;="&amp;$A229,実績!$AJ$6:$AJ$505,"&gt;"&amp;$A229,実績!$AL$6:$AL$505,"○")&gt;0,1,0))</f>
        <v>0</v>
      </c>
      <c r="CZ229" s="39" t="n">
        <f aca="false">IF(CZ$4=0,0,IF(COUNTIFS(実績!$W$6:$W$505,CZ$3,実績!$AI$6:$AI$505,"&lt;="&amp;$A229,実績!$AJ$6:$AJ$505,"&gt;"&amp;$A229,実績!$AL$6:$AL$505,"○")&gt;0,1,0))</f>
        <v>0</v>
      </c>
      <c r="DA229" s="39" t="n">
        <f aca="false">IF(DA$4=0,0,IF(COUNTIFS(実績!$W$6:$W$505,DA$3,実績!$AI$6:$AI$505,"&lt;="&amp;$A229,実績!$AJ$6:$AJ$505,"&gt;"&amp;$A229,実績!$AL$6:$AL$505,"○")&gt;0,1,0))</f>
        <v>0</v>
      </c>
      <c r="DB229" s="39" t="n">
        <f aca="false">IF(DB$4=0,0,IF(COUNTIFS(実績!$W$6:$W$505,DB$3,実績!$AI$6:$AI$505,"&lt;="&amp;$A229,実績!$AJ$6:$AJ$505,"&gt;"&amp;$A229,実績!$AL$6:$AL$505,"○")&gt;0,1,0))</f>
        <v>0</v>
      </c>
      <c r="DC229" s="39" t="n">
        <f aca="false">IF(DC$4=0,0,IF(COUNTIFS(実績!$W$6:$W$505,DC$3,実績!$AI$6:$AI$505,"&lt;="&amp;$A229,実績!$AJ$6:$AJ$505,"&gt;"&amp;$A229,実績!$AL$6:$AL$505,"○")&gt;0,1,0))</f>
        <v>0</v>
      </c>
      <c r="DD229" s="39" t="n">
        <f aca="false">IF(DD$4=0,0,IF(COUNTIFS(実績!$W$6:$W$505,DD$3,実績!$AI$6:$AI$505,"&lt;="&amp;$A229,実績!$AJ$6:$AJ$505,"&gt;"&amp;$A229,実績!$AL$6:$AL$505,"○")&gt;0,1,0))</f>
        <v>0</v>
      </c>
      <c r="DE229" s="39" t="n">
        <f aca="false">IF(DE$4=0,0,IF(COUNTIFS(実績!$W$6:$W$505,DE$3,実績!$AI$6:$AI$505,"&lt;="&amp;$A229,実績!$AJ$6:$AJ$505,"&gt;"&amp;$A229,実績!$AL$6:$AL$505,"○")&gt;0,1,0))</f>
        <v>0</v>
      </c>
      <c r="DF229" s="39" t="n">
        <f aca="false">IF(DF$4=0,0,IF(COUNTIFS(実績!$W$6:$W$505,DF$3,実績!$AI$6:$AI$505,"&lt;="&amp;$A229,実績!$AJ$6:$AJ$505,"&gt;"&amp;$A229,実績!$AL$6:$AL$505,"○")&gt;0,1,0))</f>
        <v>0</v>
      </c>
      <c r="DG229" s="39" t="n">
        <f aca="false">IF(DG$4=0,0,IF(COUNTIFS(実績!$W$6:$W$505,DG$3,実績!$AI$6:$AI$505,"&lt;="&amp;$A229,実績!$AJ$6:$AJ$505,"&gt;"&amp;$A229,実績!$AL$6:$AL$505,"○")&gt;0,1,0))</f>
        <v>0</v>
      </c>
      <c r="DH229" s="39" t="n">
        <f aca="false">IF(DH$4=0,0,IF(COUNTIFS(実績!$W$6:$W$505,DH$3,実績!$AI$6:$AI$505,"&lt;="&amp;$A229,実績!$AJ$6:$AJ$505,"&gt;"&amp;$A229,実績!$AL$6:$AL$505,"○")&gt;0,1,0))</f>
        <v>0</v>
      </c>
      <c r="DI229" s="39" t="n">
        <f aca="false">IF(DI$4=0,0,IF(COUNTIFS(実績!$W$6:$W$505,DI$3,実績!$AI$6:$AI$505,"&lt;="&amp;$A229,実績!$AJ$6:$AJ$505,"&gt;"&amp;$A229,実績!$AL$6:$AL$505,"○")&gt;0,1,0))</f>
        <v>0</v>
      </c>
      <c r="DJ229" s="39" t="n">
        <f aca="false">IF(DJ$4=0,0,IF(COUNTIFS(実績!$W$6:$W$505,DJ$3,実績!$AI$6:$AI$505,"&lt;="&amp;$A229,実績!$AJ$6:$AJ$505,"&gt;"&amp;$A229,実績!$AL$6:$AL$505,"○")&gt;0,1,0))</f>
        <v>0</v>
      </c>
      <c r="DK229" s="39" t="n">
        <f aca="false">IF(DK$4=0,0,IF(COUNTIFS(実績!$W$6:$W$505,DK$3,実績!$AI$6:$AI$505,"&lt;="&amp;$A229,実績!$AJ$6:$AJ$505,"&gt;"&amp;$A229,実績!$AL$6:$AL$505,"○")&gt;0,1,0))</f>
        <v>0</v>
      </c>
      <c r="DL229" s="39" t="n">
        <f aca="false">IF(DL$4=0,0,IF(COUNTIFS(実績!$W$6:$W$505,DL$3,実績!$AI$6:$AI$505,"&lt;="&amp;$A229,実績!$AJ$6:$AJ$505,"&gt;"&amp;$A229,実績!$AL$6:$AL$505,"○")&gt;0,1,0))</f>
        <v>0</v>
      </c>
      <c r="DM229" s="39" t="n">
        <f aca="false">IF(DM$4=0,0,IF(COUNTIFS(実績!$W$6:$W$505,DM$3,実績!$AI$6:$AI$505,"&lt;="&amp;$A229,実績!$AJ$6:$AJ$505,"&gt;"&amp;$A229,実績!$AL$6:$AL$505,"○")&gt;0,1,0))</f>
        <v>0</v>
      </c>
      <c r="DN229" s="39" t="n">
        <f aca="false">IF(DN$4=0,0,IF(COUNTIFS(実績!$W$6:$W$505,DN$3,実績!$AI$6:$AI$505,"&lt;="&amp;$A229,実績!$AJ$6:$AJ$505,"&gt;"&amp;$A229,実績!$AL$6:$AL$505,"○")&gt;0,1,0))</f>
        <v>0</v>
      </c>
      <c r="DO229" s="39" t="n">
        <f aca="false">IF(DO$4=0,0,IF(COUNTIFS(実績!$W$6:$W$505,DO$3,実績!$AI$6:$AI$505,"&lt;="&amp;$A229,実績!$AJ$6:$AJ$505,"&gt;"&amp;$A229,実績!$AL$6:$AL$505,"○")&gt;0,1,0))</f>
        <v>0</v>
      </c>
      <c r="DP229" s="39" t="n">
        <f aca="false">IF(DP$4=0,0,IF(COUNTIFS(実績!$W$6:$W$505,DP$3,実績!$AI$6:$AI$505,"&lt;="&amp;$A229,実績!$AJ$6:$AJ$505,"&gt;"&amp;$A229,実績!$AL$6:$AL$505,"○")&gt;0,1,0))</f>
        <v>0</v>
      </c>
      <c r="DQ229" s="39" t="n">
        <f aca="false">IF(DQ$4=0,0,IF(COUNTIFS(実績!$W$6:$W$505,DQ$3,実績!$AI$6:$AI$505,"&lt;="&amp;$A229,実績!$AJ$6:$AJ$505,"&gt;"&amp;$A229,実績!$AL$6:$AL$505,"○")&gt;0,1,0))</f>
        <v>0</v>
      </c>
      <c r="DR229" s="39" t="n">
        <f aca="false">IF(DR$4=0,0,IF(COUNTIFS(実績!$W$6:$W$505,DR$3,実績!$AI$6:$AI$505,"&lt;="&amp;$A229,実績!$AJ$6:$AJ$505,"&gt;"&amp;$A229,実績!$AL$6:$AL$505,"○")&gt;0,1,0))</f>
        <v>0</v>
      </c>
      <c r="DS229" s="39" t="n">
        <f aca="false">SUM(C229:DR229)</f>
        <v>0</v>
      </c>
    </row>
    <row r="230" customFormat="false" ht="15" hidden="false" customHeight="false" outlineLevel="0" collapsed="false">
      <c r="A230" s="0" t="n">
        <v>1120</v>
      </c>
      <c r="B230" s="38" t="n">
        <f aca="false">A230/1440</f>
        <v>0.777777777777778</v>
      </c>
      <c r="C230" s="39" t="n">
        <f aca="false">IF(C$4=0,0,IF(COUNTIFS(実績!$W$6:$W$505,C$3,実績!$AI$6:$AI$505,"&lt;="&amp;$A230,実績!$AJ$6:$AJ$505,"&gt;"&amp;$A230,実績!$AL$6:$AL$505,"○")&gt;0,1,0))</f>
        <v>0</v>
      </c>
      <c r="D230" s="39" t="n">
        <f aca="false">IF(D$4=0,0,IF(COUNTIFS(実績!$W$6:$W$505,D$3,実績!$AI$6:$AI$505,"&lt;="&amp;$A230,実績!$AJ$6:$AJ$505,"&gt;"&amp;$A230,実績!$AL$6:$AL$505,"○")&gt;0,1,0))</f>
        <v>0</v>
      </c>
      <c r="E230" s="39" t="n">
        <f aca="false">IF(E$4=0,0,IF(COUNTIFS(実績!$W$6:$W$505,E$3,実績!$AI$6:$AI$505,"&lt;="&amp;$A230,実績!$AJ$6:$AJ$505,"&gt;"&amp;$A230,実績!$AL$6:$AL$505,"○")&gt;0,1,0))</f>
        <v>0</v>
      </c>
      <c r="F230" s="39" t="n">
        <f aca="false">IF(F$4=0,0,IF(COUNTIFS(実績!$W$6:$W$505,F$3,実績!$AI$6:$AI$505,"&lt;="&amp;$A230,実績!$AJ$6:$AJ$505,"&gt;"&amp;$A230,実績!$AL$6:$AL$505,"○")&gt;0,1,0))</f>
        <v>0</v>
      </c>
      <c r="G230" s="39" t="n">
        <f aca="false">IF(G$4=0,0,IF(COUNTIFS(実績!$W$6:$W$505,G$3,実績!$AI$6:$AI$505,"&lt;="&amp;$A230,実績!$AJ$6:$AJ$505,"&gt;"&amp;$A230,実績!$AL$6:$AL$505,"○")&gt;0,1,0))</f>
        <v>0</v>
      </c>
      <c r="H230" s="39" t="n">
        <f aca="false">IF(H$4=0,0,IF(COUNTIFS(実績!$W$6:$W$505,H$3,実績!$AI$6:$AI$505,"&lt;="&amp;$A230,実績!$AJ$6:$AJ$505,"&gt;"&amp;$A230,実績!$AL$6:$AL$505,"○")&gt;0,1,0))</f>
        <v>0</v>
      </c>
      <c r="I230" s="39" t="n">
        <f aca="false">IF(I$4=0,0,IF(COUNTIFS(実績!$W$6:$W$505,I$3,実績!$AI$6:$AI$505,"&lt;="&amp;$A230,実績!$AJ$6:$AJ$505,"&gt;"&amp;$A230,実績!$AL$6:$AL$505,"○")&gt;0,1,0))</f>
        <v>0</v>
      </c>
      <c r="J230" s="39" t="n">
        <f aca="false">IF(J$4=0,0,IF(COUNTIFS(実績!$W$6:$W$505,J$3,実績!$AI$6:$AI$505,"&lt;="&amp;$A230,実績!$AJ$6:$AJ$505,"&gt;"&amp;$A230,実績!$AL$6:$AL$505,"○")&gt;0,1,0))</f>
        <v>0</v>
      </c>
      <c r="K230" s="39" t="n">
        <f aca="false">IF(K$4=0,0,IF(COUNTIFS(実績!$W$6:$W$505,K$3,実績!$AI$6:$AI$505,"&lt;="&amp;$A230,実績!$AJ$6:$AJ$505,"&gt;"&amp;$A230,実績!$AL$6:$AL$505,"○")&gt;0,1,0))</f>
        <v>0</v>
      </c>
      <c r="L230" s="39" t="n">
        <f aca="false">IF(L$4=0,0,IF(COUNTIFS(実績!$W$6:$W$505,L$3,実績!$AI$6:$AI$505,"&lt;="&amp;$A230,実績!$AJ$6:$AJ$505,"&gt;"&amp;$A230,実績!$AL$6:$AL$505,"○")&gt;0,1,0))</f>
        <v>0</v>
      </c>
      <c r="M230" s="39" t="n">
        <f aca="false">IF(M$4=0,0,IF(COUNTIFS(実績!$W$6:$W$505,M$3,実績!$AI$6:$AI$505,"&lt;="&amp;$A230,実績!$AJ$6:$AJ$505,"&gt;"&amp;$A230,実績!$AL$6:$AL$505,"○")&gt;0,1,0))</f>
        <v>0</v>
      </c>
      <c r="N230" s="39" t="n">
        <f aca="false">IF(N$4=0,0,IF(COUNTIFS(実績!$W$6:$W$505,N$3,実績!$AI$6:$AI$505,"&lt;="&amp;$A230,実績!$AJ$6:$AJ$505,"&gt;"&amp;$A230,実績!$AL$6:$AL$505,"○")&gt;0,1,0))</f>
        <v>0</v>
      </c>
      <c r="O230" s="39" t="n">
        <f aca="false">IF(O$4=0,0,IF(COUNTIFS(実績!$W$6:$W$505,O$3,実績!$AI$6:$AI$505,"&lt;="&amp;$A230,実績!$AJ$6:$AJ$505,"&gt;"&amp;$A230,実績!$AL$6:$AL$505,"○")&gt;0,1,0))</f>
        <v>0</v>
      </c>
      <c r="P230" s="39" t="n">
        <f aca="false">IF(P$4=0,0,IF(COUNTIFS(実績!$W$6:$W$505,P$3,実績!$AI$6:$AI$505,"&lt;="&amp;$A230,実績!$AJ$6:$AJ$505,"&gt;"&amp;$A230,実績!$AL$6:$AL$505,"○")&gt;0,1,0))</f>
        <v>0</v>
      </c>
      <c r="Q230" s="39" t="n">
        <f aca="false">IF(Q$4=0,0,IF(COUNTIFS(実績!$W$6:$W$505,Q$3,実績!$AI$6:$AI$505,"&lt;="&amp;$A230,実績!$AJ$6:$AJ$505,"&gt;"&amp;$A230,実績!$AL$6:$AL$505,"○")&gt;0,1,0))</f>
        <v>0</v>
      </c>
      <c r="R230" s="39" t="n">
        <f aca="false">IF(R$4=0,0,IF(COUNTIFS(実績!$W$6:$W$505,R$3,実績!$AI$6:$AI$505,"&lt;="&amp;$A230,実績!$AJ$6:$AJ$505,"&gt;"&amp;$A230,実績!$AL$6:$AL$505,"○")&gt;0,1,0))</f>
        <v>0</v>
      </c>
      <c r="S230" s="39" t="n">
        <f aca="false">IF(S$4=0,0,IF(COUNTIFS(実績!$W$6:$W$505,S$3,実績!$AI$6:$AI$505,"&lt;="&amp;$A230,実績!$AJ$6:$AJ$505,"&gt;"&amp;$A230,実績!$AL$6:$AL$505,"○")&gt;0,1,0))</f>
        <v>0</v>
      </c>
      <c r="T230" s="39" t="n">
        <f aca="false">IF(T$4=0,0,IF(COUNTIFS(実績!$W$6:$W$505,T$3,実績!$AI$6:$AI$505,"&lt;="&amp;$A230,実績!$AJ$6:$AJ$505,"&gt;"&amp;$A230,実績!$AL$6:$AL$505,"○")&gt;0,1,0))</f>
        <v>0</v>
      </c>
      <c r="U230" s="39" t="n">
        <f aca="false">IF(U$4=0,0,IF(COUNTIFS(実績!$W$6:$W$505,U$3,実績!$AI$6:$AI$505,"&lt;="&amp;$A230,実績!$AJ$6:$AJ$505,"&gt;"&amp;$A230,実績!$AL$6:$AL$505,"○")&gt;0,1,0))</f>
        <v>0</v>
      </c>
      <c r="V230" s="39" t="n">
        <f aca="false">IF(V$4=0,0,IF(COUNTIFS(実績!$W$6:$W$505,V$3,実績!$AI$6:$AI$505,"&lt;="&amp;$A230,実績!$AJ$6:$AJ$505,"&gt;"&amp;$A230,実績!$AL$6:$AL$505,"○")&gt;0,1,0))</f>
        <v>0</v>
      </c>
      <c r="W230" s="39" t="n">
        <f aca="false">IF(W$4=0,0,IF(COUNTIFS(実績!$W$6:$W$505,W$3,実績!$AI$6:$AI$505,"&lt;="&amp;$A230,実績!$AJ$6:$AJ$505,"&gt;"&amp;$A230,実績!$AL$6:$AL$505,"○")&gt;0,1,0))</f>
        <v>0</v>
      </c>
      <c r="X230" s="39" t="n">
        <f aca="false">IF(X$4=0,0,IF(COUNTIFS(実績!$W$6:$W$505,X$3,実績!$AI$6:$AI$505,"&lt;="&amp;$A230,実績!$AJ$6:$AJ$505,"&gt;"&amp;$A230,実績!$AL$6:$AL$505,"○")&gt;0,1,0))</f>
        <v>0</v>
      </c>
      <c r="Y230" s="39" t="n">
        <f aca="false">IF(Y$4=0,0,IF(COUNTIFS(実績!$W$6:$W$505,Y$3,実績!$AI$6:$AI$505,"&lt;="&amp;$A230,実績!$AJ$6:$AJ$505,"&gt;"&amp;$A230,実績!$AL$6:$AL$505,"○")&gt;0,1,0))</f>
        <v>0</v>
      </c>
      <c r="Z230" s="39" t="n">
        <f aca="false">IF(Z$4=0,0,IF(COUNTIFS(実績!$W$6:$W$505,Z$3,実績!$AI$6:$AI$505,"&lt;="&amp;$A230,実績!$AJ$6:$AJ$505,"&gt;"&amp;$A230,実績!$AL$6:$AL$505,"○")&gt;0,1,0))</f>
        <v>0</v>
      </c>
      <c r="AA230" s="39" t="n">
        <f aca="false">IF(AA$4=0,0,IF(COUNTIFS(実績!$W$6:$W$505,AA$3,実績!$AI$6:$AI$505,"&lt;="&amp;$A230,実績!$AJ$6:$AJ$505,"&gt;"&amp;$A230,実績!$AL$6:$AL$505,"○")&gt;0,1,0))</f>
        <v>0</v>
      </c>
      <c r="AB230" s="39" t="n">
        <f aca="false">IF(AB$4=0,0,IF(COUNTIFS(実績!$W$6:$W$505,AB$3,実績!$AI$6:$AI$505,"&lt;="&amp;$A230,実績!$AJ$6:$AJ$505,"&gt;"&amp;$A230,実績!$AL$6:$AL$505,"○")&gt;0,1,0))</f>
        <v>0</v>
      </c>
      <c r="AC230" s="39" t="n">
        <f aca="false">IF(AC$4=0,0,IF(COUNTIFS(実績!$W$6:$W$505,AC$3,実績!$AI$6:$AI$505,"&lt;="&amp;$A230,実績!$AJ$6:$AJ$505,"&gt;"&amp;$A230,実績!$AL$6:$AL$505,"○")&gt;0,1,0))</f>
        <v>0</v>
      </c>
      <c r="AD230" s="39" t="n">
        <f aca="false">IF(AD$4=0,0,IF(COUNTIFS(実績!$W$6:$W$505,AD$3,実績!$AI$6:$AI$505,"&lt;="&amp;$A230,実績!$AJ$6:$AJ$505,"&gt;"&amp;$A230,実績!$AL$6:$AL$505,"○")&gt;0,1,0))</f>
        <v>0</v>
      </c>
      <c r="AE230" s="39" t="n">
        <f aca="false">IF(AE$4=0,0,IF(COUNTIFS(実績!$W$6:$W$505,AE$3,実績!$AI$6:$AI$505,"&lt;="&amp;$A230,実績!$AJ$6:$AJ$505,"&gt;"&amp;$A230,実績!$AL$6:$AL$505,"○")&gt;0,1,0))</f>
        <v>0</v>
      </c>
      <c r="AF230" s="39" t="n">
        <f aca="false">IF(AF$4=0,0,IF(COUNTIFS(実績!$W$6:$W$505,AF$3,実績!$AI$6:$AI$505,"&lt;="&amp;$A230,実績!$AJ$6:$AJ$505,"&gt;"&amp;$A230,実績!$AL$6:$AL$505,"○")&gt;0,1,0))</f>
        <v>0</v>
      </c>
      <c r="AG230" s="39" t="n">
        <f aca="false">IF(AG$4=0,0,IF(COUNTIFS(実績!$W$6:$W$505,AG$3,実績!$AI$6:$AI$505,"&lt;="&amp;$A230,実績!$AJ$6:$AJ$505,"&gt;"&amp;$A230,実績!$AL$6:$AL$505,"○")&gt;0,1,0))</f>
        <v>0</v>
      </c>
      <c r="AH230" s="39" t="n">
        <f aca="false">IF(AH$4=0,0,IF(COUNTIFS(実績!$W$6:$W$505,AH$3,実績!$AI$6:$AI$505,"&lt;="&amp;$A230,実績!$AJ$6:$AJ$505,"&gt;"&amp;$A230,実績!$AL$6:$AL$505,"○")&gt;0,1,0))</f>
        <v>0</v>
      </c>
      <c r="AI230" s="39" t="n">
        <f aca="false">IF(AI$4=0,0,IF(COUNTIFS(実績!$W$6:$W$505,AI$3,実績!$AI$6:$AI$505,"&lt;="&amp;$A230,実績!$AJ$6:$AJ$505,"&gt;"&amp;$A230,実績!$AL$6:$AL$505,"○")&gt;0,1,0))</f>
        <v>0</v>
      </c>
      <c r="AJ230" s="39" t="n">
        <f aca="false">IF(AJ$4=0,0,IF(COUNTIFS(実績!$W$6:$W$505,AJ$3,実績!$AI$6:$AI$505,"&lt;="&amp;$A230,実績!$AJ$6:$AJ$505,"&gt;"&amp;$A230,実績!$AL$6:$AL$505,"○")&gt;0,1,0))</f>
        <v>0</v>
      </c>
      <c r="AK230" s="39" t="n">
        <f aca="false">IF(AK$4=0,0,IF(COUNTIFS(実績!$W$6:$W$505,AK$3,実績!$AI$6:$AI$505,"&lt;="&amp;$A230,実績!$AJ$6:$AJ$505,"&gt;"&amp;$A230,実績!$AL$6:$AL$505,"○")&gt;0,1,0))</f>
        <v>0</v>
      </c>
      <c r="AL230" s="39" t="n">
        <f aca="false">IF(AL$4=0,0,IF(COUNTIFS(実績!$W$6:$W$505,AL$3,実績!$AI$6:$AI$505,"&lt;="&amp;$A230,実績!$AJ$6:$AJ$505,"&gt;"&amp;$A230,実績!$AL$6:$AL$505,"○")&gt;0,1,0))</f>
        <v>0</v>
      </c>
      <c r="AM230" s="39" t="n">
        <f aca="false">IF(AM$4=0,0,IF(COUNTIFS(実績!$W$6:$W$505,AM$3,実績!$AI$6:$AI$505,"&lt;="&amp;$A230,実績!$AJ$6:$AJ$505,"&gt;"&amp;$A230,実績!$AL$6:$AL$505,"○")&gt;0,1,0))</f>
        <v>0</v>
      </c>
      <c r="AN230" s="39" t="n">
        <f aca="false">IF(AN$4=0,0,IF(COUNTIFS(実績!$W$6:$W$505,AN$3,実績!$AI$6:$AI$505,"&lt;="&amp;$A230,実績!$AJ$6:$AJ$505,"&gt;"&amp;$A230,実績!$AL$6:$AL$505,"○")&gt;0,1,0))</f>
        <v>0</v>
      </c>
      <c r="AO230" s="39" t="n">
        <f aca="false">IF(AO$4=0,0,IF(COUNTIFS(実績!$W$6:$W$505,AO$3,実績!$AI$6:$AI$505,"&lt;="&amp;$A230,実績!$AJ$6:$AJ$505,"&gt;"&amp;$A230,実績!$AL$6:$AL$505,"○")&gt;0,1,0))</f>
        <v>0</v>
      </c>
      <c r="AP230" s="39" t="n">
        <f aca="false">IF(AP$4=0,0,IF(COUNTIFS(実績!$W$6:$W$505,AP$3,実績!$AI$6:$AI$505,"&lt;="&amp;$A230,実績!$AJ$6:$AJ$505,"&gt;"&amp;$A230,実績!$AL$6:$AL$505,"○")&gt;0,1,0))</f>
        <v>0</v>
      </c>
      <c r="AQ230" s="39" t="n">
        <f aca="false">IF(AQ$4=0,0,IF(COUNTIFS(実績!$W$6:$W$505,AQ$3,実績!$AI$6:$AI$505,"&lt;="&amp;$A230,実績!$AJ$6:$AJ$505,"&gt;"&amp;$A230,実績!$AL$6:$AL$505,"○")&gt;0,1,0))</f>
        <v>0</v>
      </c>
      <c r="AR230" s="39" t="n">
        <f aca="false">IF(AR$4=0,0,IF(COUNTIFS(実績!$W$6:$W$505,AR$3,実績!$AI$6:$AI$505,"&lt;="&amp;$A230,実績!$AJ$6:$AJ$505,"&gt;"&amp;$A230,実績!$AL$6:$AL$505,"○")&gt;0,1,0))</f>
        <v>0</v>
      </c>
      <c r="AS230" s="39" t="n">
        <f aca="false">IF(AS$4=0,0,IF(COUNTIFS(実績!$W$6:$W$505,AS$3,実績!$AI$6:$AI$505,"&lt;="&amp;$A230,実績!$AJ$6:$AJ$505,"&gt;"&amp;$A230,実績!$AL$6:$AL$505,"○")&gt;0,1,0))</f>
        <v>0</v>
      </c>
      <c r="AT230" s="39" t="n">
        <f aca="false">IF(AT$4=0,0,IF(COUNTIFS(実績!$W$6:$W$505,AT$3,実績!$AI$6:$AI$505,"&lt;="&amp;$A230,実績!$AJ$6:$AJ$505,"&gt;"&amp;$A230,実績!$AL$6:$AL$505,"○")&gt;0,1,0))</f>
        <v>0</v>
      </c>
      <c r="AU230" s="39" t="n">
        <f aca="false">IF(AU$4=0,0,IF(COUNTIFS(実績!$W$6:$W$505,AU$3,実績!$AI$6:$AI$505,"&lt;="&amp;$A230,実績!$AJ$6:$AJ$505,"&gt;"&amp;$A230,実績!$AL$6:$AL$505,"○")&gt;0,1,0))</f>
        <v>0</v>
      </c>
      <c r="AV230" s="39" t="n">
        <f aca="false">IF(AV$4=0,0,IF(COUNTIFS(実績!$W$6:$W$505,AV$3,実績!$AI$6:$AI$505,"&lt;="&amp;$A230,実績!$AJ$6:$AJ$505,"&gt;"&amp;$A230,実績!$AL$6:$AL$505,"○")&gt;0,1,0))</f>
        <v>0</v>
      </c>
      <c r="AW230" s="39" t="n">
        <f aca="false">IF(AW$4=0,0,IF(COUNTIFS(実績!$W$6:$W$505,AW$3,実績!$AI$6:$AI$505,"&lt;="&amp;$A230,実績!$AJ$6:$AJ$505,"&gt;"&amp;$A230,実績!$AL$6:$AL$505,"○")&gt;0,1,0))</f>
        <v>0</v>
      </c>
      <c r="AX230" s="39" t="n">
        <f aca="false">IF(AX$4=0,0,IF(COUNTIFS(実績!$W$6:$W$505,AX$3,実績!$AI$6:$AI$505,"&lt;="&amp;$A230,実績!$AJ$6:$AJ$505,"&gt;"&amp;$A230,実績!$AL$6:$AL$505,"○")&gt;0,1,0))</f>
        <v>0</v>
      </c>
      <c r="AY230" s="39" t="n">
        <f aca="false">IF(AY$4=0,0,IF(COUNTIFS(実績!$W$6:$W$505,AY$3,実績!$AI$6:$AI$505,"&lt;="&amp;$A230,実績!$AJ$6:$AJ$505,"&gt;"&amp;$A230,実績!$AL$6:$AL$505,"○")&gt;0,1,0))</f>
        <v>0</v>
      </c>
      <c r="AZ230" s="39" t="n">
        <f aca="false">IF(AZ$4=0,0,IF(COUNTIFS(実績!$W$6:$W$505,AZ$3,実績!$AI$6:$AI$505,"&lt;="&amp;$A230,実績!$AJ$6:$AJ$505,"&gt;"&amp;$A230,実績!$AL$6:$AL$505,"○")&gt;0,1,0))</f>
        <v>0</v>
      </c>
      <c r="BA230" s="39" t="n">
        <f aca="false">IF(BA$4=0,0,IF(COUNTIFS(実績!$W$6:$W$505,BA$3,実績!$AI$6:$AI$505,"&lt;="&amp;$A230,実績!$AJ$6:$AJ$505,"&gt;"&amp;$A230,実績!$AL$6:$AL$505,"○")&gt;0,1,0))</f>
        <v>0</v>
      </c>
      <c r="BB230" s="39" t="n">
        <f aca="false">IF(BB$4=0,0,IF(COUNTIFS(実績!$W$6:$W$505,BB$3,実績!$AI$6:$AI$505,"&lt;="&amp;$A230,実績!$AJ$6:$AJ$505,"&gt;"&amp;$A230,実績!$AL$6:$AL$505,"○")&gt;0,1,0))</f>
        <v>0</v>
      </c>
      <c r="BC230" s="39" t="n">
        <f aca="false">IF(BC$4=0,0,IF(COUNTIFS(実績!$W$6:$W$505,BC$3,実績!$AI$6:$AI$505,"&lt;="&amp;$A230,実績!$AJ$6:$AJ$505,"&gt;"&amp;$A230,実績!$AL$6:$AL$505,"○")&gt;0,1,0))</f>
        <v>0</v>
      </c>
      <c r="BD230" s="39" t="n">
        <f aca="false">IF(BD$4=0,0,IF(COUNTIFS(実績!$W$6:$W$505,BD$3,実績!$AI$6:$AI$505,"&lt;="&amp;$A230,実績!$AJ$6:$AJ$505,"&gt;"&amp;$A230,実績!$AL$6:$AL$505,"○")&gt;0,1,0))</f>
        <v>0</v>
      </c>
      <c r="BE230" s="39" t="n">
        <f aca="false">IF(BE$4=0,0,IF(COUNTIFS(実績!$W$6:$W$505,BE$3,実績!$AI$6:$AI$505,"&lt;="&amp;$A230,実績!$AJ$6:$AJ$505,"&gt;"&amp;$A230,実績!$AL$6:$AL$505,"○")&gt;0,1,0))</f>
        <v>0</v>
      </c>
      <c r="BF230" s="39" t="n">
        <f aca="false">IF(BF$4=0,0,IF(COUNTIFS(実績!$W$6:$W$505,BF$3,実績!$AI$6:$AI$505,"&lt;="&amp;$A230,実績!$AJ$6:$AJ$505,"&gt;"&amp;$A230,実績!$AL$6:$AL$505,"○")&gt;0,1,0))</f>
        <v>0</v>
      </c>
      <c r="BG230" s="39" t="n">
        <f aca="false">IF(BG$4=0,0,IF(COUNTIFS(実績!$W$6:$W$505,BG$3,実績!$AI$6:$AI$505,"&lt;="&amp;$A230,実績!$AJ$6:$AJ$505,"&gt;"&amp;$A230,実績!$AL$6:$AL$505,"○")&gt;0,1,0))</f>
        <v>0</v>
      </c>
      <c r="BH230" s="39" t="n">
        <f aca="false">IF(BH$4=0,0,IF(COUNTIFS(実績!$W$6:$W$505,BH$3,実績!$AI$6:$AI$505,"&lt;="&amp;$A230,実績!$AJ$6:$AJ$505,"&gt;"&amp;$A230,実績!$AL$6:$AL$505,"○")&gt;0,1,0))</f>
        <v>0</v>
      </c>
      <c r="BI230" s="39" t="n">
        <f aca="false">IF(BI$4=0,0,IF(COUNTIFS(実績!$W$6:$W$505,BI$3,実績!$AI$6:$AI$505,"&lt;="&amp;$A230,実績!$AJ$6:$AJ$505,"&gt;"&amp;$A230,実績!$AL$6:$AL$505,"○")&gt;0,1,0))</f>
        <v>0</v>
      </c>
      <c r="BJ230" s="39" t="n">
        <f aca="false">IF(BJ$4=0,0,IF(COUNTIFS(実績!$W$6:$W$505,BJ$3,実績!$AI$6:$AI$505,"&lt;="&amp;$A230,実績!$AJ$6:$AJ$505,"&gt;"&amp;$A230,実績!$AL$6:$AL$505,"○")&gt;0,1,0))</f>
        <v>0</v>
      </c>
      <c r="BK230" s="39" t="n">
        <f aca="false">IF(BK$4=0,0,IF(COUNTIFS(実績!$W$6:$W$505,BK$3,実績!$AI$6:$AI$505,"&lt;="&amp;$A230,実績!$AJ$6:$AJ$505,"&gt;"&amp;$A230,実績!$AL$6:$AL$505,"○")&gt;0,1,0))</f>
        <v>0</v>
      </c>
      <c r="BL230" s="39" t="n">
        <f aca="false">IF(BL$4=0,0,IF(COUNTIFS(実績!$W$6:$W$505,BL$3,実績!$AI$6:$AI$505,"&lt;="&amp;$A230,実績!$AJ$6:$AJ$505,"&gt;"&amp;$A230,実績!$AL$6:$AL$505,"○")&gt;0,1,0))</f>
        <v>0</v>
      </c>
      <c r="BM230" s="39" t="n">
        <f aca="false">IF(BM$4=0,0,IF(COUNTIFS(実績!$W$6:$W$505,BM$3,実績!$AI$6:$AI$505,"&lt;="&amp;$A230,実績!$AJ$6:$AJ$505,"&gt;"&amp;$A230,実績!$AL$6:$AL$505,"○")&gt;0,1,0))</f>
        <v>0</v>
      </c>
      <c r="BN230" s="39" t="n">
        <f aca="false">IF(BN$4=0,0,IF(COUNTIFS(実績!$W$6:$W$505,BN$3,実績!$AI$6:$AI$505,"&lt;="&amp;$A230,実績!$AJ$6:$AJ$505,"&gt;"&amp;$A230,実績!$AL$6:$AL$505,"○")&gt;0,1,0))</f>
        <v>0</v>
      </c>
      <c r="BO230" s="39" t="n">
        <f aca="false">IF(BO$4=0,0,IF(COUNTIFS(実績!$W$6:$W$505,BO$3,実績!$AI$6:$AI$505,"&lt;="&amp;$A230,実績!$AJ$6:$AJ$505,"&gt;"&amp;$A230,実績!$AL$6:$AL$505,"○")&gt;0,1,0))</f>
        <v>0</v>
      </c>
      <c r="BP230" s="39" t="n">
        <f aca="false">IF(BP$4=0,0,IF(COUNTIFS(実績!$W$6:$W$505,BP$3,実績!$AI$6:$AI$505,"&lt;="&amp;$A230,実績!$AJ$6:$AJ$505,"&gt;"&amp;$A230,実績!$AL$6:$AL$505,"○")&gt;0,1,0))</f>
        <v>0</v>
      </c>
      <c r="BQ230" s="39" t="n">
        <f aca="false">IF(BQ$4=0,0,IF(COUNTIFS(実績!$W$6:$W$505,BQ$3,実績!$AI$6:$AI$505,"&lt;="&amp;$A230,実績!$AJ$6:$AJ$505,"&gt;"&amp;$A230,実績!$AL$6:$AL$505,"○")&gt;0,1,0))</f>
        <v>0</v>
      </c>
      <c r="BR230" s="39" t="n">
        <f aca="false">IF(BR$4=0,0,IF(COUNTIFS(実績!$W$6:$W$505,BR$3,実績!$AI$6:$AI$505,"&lt;="&amp;$A230,実績!$AJ$6:$AJ$505,"&gt;"&amp;$A230,実績!$AL$6:$AL$505,"○")&gt;0,1,0))</f>
        <v>0</v>
      </c>
      <c r="BS230" s="39" t="n">
        <f aca="false">IF(BS$4=0,0,IF(COUNTIFS(実績!$W$6:$W$505,BS$3,実績!$AI$6:$AI$505,"&lt;="&amp;$A230,実績!$AJ$6:$AJ$505,"&gt;"&amp;$A230,実績!$AL$6:$AL$505,"○")&gt;0,1,0))</f>
        <v>0</v>
      </c>
      <c r="BT230" s="39" t="n">
        <f aca="false">IF(BT$4=0,0,IF(COUNTIFS(実績!$W$6:$W$505,BT$3,実績!$AI$6:$AI$505,"&lt;="&amp;$A230,実績!$AJ$6:$AJ$505,"&gt;"&amp;$A230,実績!$AL$6:$AL$505,"○")&gt;0,1,0))</f>
        <v>0</v>
      </c>
      <c r="BU230" s="39" t="n">
        <f aca="false">IF(BU$4=0,0,IF(COUNTIFS(実績!$W$6:$W$505,BU$3,実績!$AI$6:$AI$505,"&lt;="&amp;$A230,実績!$AJ$6:$AJ$505,"&gt;"&amp;$A230,実績!$AL$6:$AL$505,"○")&gt;0,1,0))</f>
        <v>0</v>
      </c>
      <c r="BV230" s="39" t="n">
        <f aca="false">IF(BV$4=0,0,IF(COUNTIFS(実績!$W$6:$W$505,BV$3,実績!$AI$6:$AI$505,"&lt;="&amp;$A230,実績!$AJ$6:$AJ$505,"&gt;"&amp;$A230,実績!$AL$6:$AL$505,"○")&gt;0,1,0))</f>
        <v>0</v>
      </c>
      <c r="BW230" s="39" t="n">
        <f aca="false">IF(BW$4=0,0,IF(COUNTIFS(実績!$W$6:$W$505,BW$3,実績!$AI$6:$AI$505,"&lt;="&amp;$A230,実績!$AJ$6:$AJ$505,"&gt;"&amp;$A230,実績!$AL$6:$AL$505,"○")&gt;0,1,0))</f>
        <v>0</v>
      </c>
      <c r="BX230" s="39" t="n">
        <f aca="false">IF(BX$4=0,0,IF(COUNTIFS(実績!$W$6:$W$505,BX$3,実績!$AI$6:$AI$505,"&lt;="&amp;$A230,実績!$AJ$6:$AJ$505,"&gt;"&amp;$A230,実績!$AL$6:$AL$505,"○")&gt;0,1,0))</f>
        <v>0</v>
      </c>
      <c r="BY230" s="39" t="n">
        <f aca="false">IF(BY$4=0,0,IF(COUNTIFS(実績!$W$6:$W$505,BY$3,実績!$AI$6:$AI$505,"&lt;="&amp;$A230,実績!$AJ$6:$AJ$505,"&gt;"&amp;$A230,実績!$AL$6:$AL$505,"○")&gt;0,1,0))</f>
        <v>0</v>
      </c>
      <c r="BZ230" s="39" t="n">
        <f aca="false">IF(BZ$4=0,0,IF(COUNTIFS(実績!$W$6:$W$505,BZ$3,実績!$AI$6:$AI$505,"&lt;="&amp;$A230,実績!$AJ$6:$AJ$505,"&gt;"&amp;$A230,実績!$AL$6:$AL$505,"○")&gt;0,1,0))</f>
        <v>0</v>
      </c>
      <c r="CA230" s="39" t="n">
        <f aca="false">IF(CA$4=0,0,IF(COUNTIFS(実績!$W$6:$W$505,CA$3,実績!$AI$6:$AI$505,"&lt;="&amp;$A230,実績!$AJ$6:$AJ$505,"&gt;"&amp;$A230,実績!$AL$6:$AL$505,"○")&gt;0,1,0))</f>
        <v>0</v>
      </c>
      <c r="CB230" s="39" t="n">
        <f aca="false">IF(CB$4=0,0,IF(COUNTIFS(実績!$W$6:$W$505,CB$3,実績!$AI$6:$AI$505,"&lt;="&amp;$A230,実績!$AJ$6:$AJ$505,"&gt;"&amp;$A230,実績!$AL$6:$AL$505,"○")&gt;0,1,0))</f>
        <v>0</v>
      </c>
      <c r="CC230" s="39" t="n">
        <f aca="false">IF(CC$4=0,0,IF(COUNTIFS(実績!$W$6:$W$505,CC$3,実績!$AI$6:$AI$505,"&lt;="&amp;$A230,実績!$AJ$6:$AJ$505,"&gt;"&amp;$A230,実績!$AL$6:$AL$505,"○")&gt;0,1,0))</f>
        <v>0</v>
      </c>
      <c r="CD230" s="39" t="n">
        <f aca="false">IF(CD$4=0,0,IF(COUNTIFS(実績!$W$6:$W$505,CD$3,実績!$AI$6:$AI$505,"&lt;="&amp;$A230,実績!$AJ$6:$AJ$505,"&gt;"&amp;$A230,実績!$AL$6:$AL$505,"○")&gt;0,1,0))</f>
        <v>0</v>
      </c>
      <c r="CE230" s="39" t="n">
        <f aca="false">IF(CE$4=0,0,IF(COUNTIFS(実績!$W$6:$W$505,CE$3,実績!$AI$6:$AI$505,"&lt;="&amp;$A230,実績!$AJ$6:$AJ$505,"&gt;"&amp;$A230,実績!$AL$6:$AL$505,"○")&gt;0,1,0))</f>
        <v>0</v>
      </c>
      <c r="CF230" s="39" t="n">
        <f aca="false">IF(CF$4=0,0,IF(COUNTIFS(実績!$W$6:$W$505,CF$3,実績!$AI$6:$AI$505,"&lt;="&amp;$A230,実績!$AJ$6:$AJ$505,"&gt;"&amp;$A230,実績!$AL$6:$AL$505,"○")&gt;0,1,0))</f>
        <v>0</v>
      </c>
      <c r="CG230" s="39" t="n">
        <f aca="false">IF(CG$4=0,0,IF(COUNTIFS(実績!$W$6:$W$505,CG$3,実績!$AI$6:$AI$505,"&lt;="&amp;$A230,実績!$AJ$6:$AJ$505,"&gt;"&amp;$A230,実績!$AL$6:$AL$505,"○")&gt;0,1,0))</f>
        <v>0</v>
      </c>
      <c r="CH230" s="39" t="n">
        <f aca="false">IF(CH$4=0,0,IF(COUNTIFS(実績!$W$6:$W$505,CH$3,実績!$AI$6:$AI$505,"&lt;="&amp;$A230,実績!$AJ$6:$AJ$505,"&gt;"&amp;$A230,実績!$AL$6:$AL$505,"○")&gt;0,1,0))</f>
        <v>0</v>
      </c>
      <c r="CI230" s="39" t="n">
        <f aca="false">IF(CI$4=0,0,IF(COUNTIFS(実績!$W$6:$W$505,CI$3,実績!$AI$6:$AI$505,"&lt;="&amp;$A230,実績!$AJ$6:$AJ$505,"&gt;"&amp;$A230,実績!$AL$6:$AL$505,"○")&gt;0,1,0))</f>
        <v>0</v>
      </c>
      <c r="CJ230" s="39" t="n">
        <f aca="false">IF(CJ$4=0,0,IF(COUNTIFS(実績!$W$6:$W$505,CJ$3,実績!$AI$6:$AI$505,"&lt;="&amp;$A230,実績!$AJ$6:$AJ$505,"&gt;"&amp;$A230,実績!$AL$6:$AL$505,"○")&gt;0,1,0))</f>
        <v>0</v>
      </c>
      <c r="CK230" s="39" t="n">
        <f aca="false">IF(CK$4=0,0,IF(COUNTIFS(実績!$W$6:$W$505,CK$3,実績!$AI$6:$AI$505,"&lt;="&amp;$A230,実績!$AJ$6:$AJ$505,"&gt;"&amp;$A230,実績!$AL$6:$AL$505,"○")&gt;0,1,0))</f>
        <v>0</v>
      </c>
      <c r="CL230" s="39" t="n">
        <f aca="false">IF(CL$4=0,0,IF(COUNTIFS(実績!$W$6:$W$505,CL$3,実績!$AI$6:$AI$505,"&lt;="&amp;$A230,実績!$AJ$6:$AJ$505,"&gt;"&amp;$A230,実績!$AL$6:$AL$505,"○")&gt;0,1,0))</f>
        <v>0</v>
      </c>
      <c r="CM230" s="39" t="n">
        <f aca="false">IF(CM$4=0,0,IF(COUNTIFS(実績!$W$6:$W$505,CM$3,実績!$AI$6:$AI$505,"&lt;="&amp;$A230,実績!$AJ$6:$AJ$505,"&gt;"&amp;$A230,実績!$AL$6:$AL$505,"○")&gt;0,1,0))</f>
        <v>0</v>
      </c>
      <c r="CN230" s="39" t="n">
        <f aca="false">IF(CN$4=0,0,IF(COUNTIFS(実績!$W$6:$W$505,CN$3,実績!$AI$6:$AI$505,"&lt;="&amp;$A230,実績!$AJ$6:$AJ$505,"&gt;"&amp;$A230,実績!$AL$6:$AL$505,"○")&gt;0,1,0))</f>
        <v>0</v>
      </c>
      <c r="CO230" s="39" t="n">
        <f aca="false">IF(CO$4=0,0,IF(COUNTIFS(実績!$W$6:$W$505,CO$3,実績!$AI$6:$AI$505,"&lt;="&amp;$A230,実績!$AJ$6:$AJ$505,"&gt;"&amp;$A230,実績!$AL$6:$AL$505,"○")&gt;0,1,0))</f>
        <v>0</v>
      </c>
      <c r="CP230" s="39" t="n">
        <f aca="false">IF(CP$4=0,0,IF(COUNTIFS(実績!$W$6:$W$505,CP$3,実績!$AI$6:$AI$505,"&lt;="&amp;$A230,実績!$AJ$6:$AJ$505,"&gt;"&amp;$A230,実績!$AL$6:$AL$505,"○")&gt;0,1,0))</f>
        <v>0</v>
      </c>
      <c r="CQ230" s="39" t="n">
        <f aca="false">IF(CQ$4=0,0,IF(COUNTIFS(実績!$W$6:$W$505,CQ$3,実績!$AI$6:$AI$505,"&lt;="&amp;$A230,実績!$AJ$6:$AJ$505,"&gt;"&amp;$A230,実績!$AL$6:$AL$505,"○")&gt;0,1,0))</f>
        <v>0</v>
      </c>
      <c r="CR230" s="39" t="n">
        <f aca="false">IF(CR$4=0,0,IF(COUNTIFS(実績!$W$6:$W$505,CR$3,実績!$AI$6:$AI$505,"&lt;="&amp;$A230,実績!$AJ$6:$AJ$505,"&gt;"&amp;$A230,実績!$AL$6:$AL$505,"○")&gt;0,1,0))</f>
        <v>0</v>
      </c>
      <c r="CS230" s="39" t="n">
        <f aca="false">IF(CS$4=0,0,IF(COUNTIFS(実績!$W$6:$W$505,CS$3,実績!$AI$6:$AI$505,"&lt;="&amp;$A230,実績!$AJ$6:$AJ$505,"&gt;"&amp;$A230,実績!$AL$6:$AL$505,"○")&gt;0,1,0))</f>
        <v>0</v>
      </c>
      <c r="CT230" s="39" t="n">
        <f aca="false">IF(CT$4=0,0,IF(COUNTIFS(実績!$W$6:$W$505,CT$3,実績!$AI$6:$AI$505,"&lt;="&amp;$A230,実績!$AJ$6:$AJ$505,"&gt;"&amp;$A230,実績!$AL$6:$AL$505,"○")&gt;0,1,0))</f>
        <v>0</v>
      </c>
      <c r="CU230" s="39" t="n">
        <f aca="false">IF(CU$4=0,0,IF(COUNTIFS(実績!$W$6:$W$505,CU$3,実績!$AI$6:$AI$505,"&lt;="&amp;$A230,実績!$AJ$6:$AJ$505,"&gt;"&amp;$A230,実績!$AL$6:$AL$505,"○")&gt;0,1,0))</f>
        <v>0</v>
      </c>
      <c r="CV230" s="39" t="n">
        <f aca="false">IF(CV$4=0,0,IF(COUNTIFS(実績!$W$6:$W$505,CV$3,実績!$AI$6:$AI$505,"&lt;="&amp;$A230,実績!$AJ$6:$AJ$505,"&gt;"&amp;$A230,実績!$AL$6:$AL$505,"○")&gt;0,1,0))</f>
        <v>0</v>
      </c>
      <c r="CW230" s="39" t="n">
        <f aca="false">IF(CW$4=0,0,IF(COUNTIFS(実績!$W$6:$W$505,CW$3,実績!$AI$6:$AI$505,"&lt;="&amp;$A230,実績!$AJ$6:$AJ$505,"&gt;"&amp;$A230,実績!$AL$6:$AL$505,"○")&gt;0,1,0))</f>
        <v>0</v>
      </c>
      <c r="CX230" s="39" t="n">
        <f aca="false">IF(CX$4=0,0,IF(COUNTIFS(実績!$W$6:$W$505,CX$3,実績!$AI$6:$AI$505,"&lt;="&amp;$A230,実績!$AJ$6:$AJ$505,"&gt;"&amp;$A230,実績!$AL$6:$AL$505,"○")&gt;0,1,0))</f>
        <v>0</v>
      </c>
      <c r="CY230" s="39" t="n">
        <f aca="false">IF(CY$4=0,0,IF(COUNTIFS(実績!$W$6:$W$505,CY$3,実績!$AI$6:$AI$505,"&lt;="&amp;$A230,実績!$AJ$6:$AJ$505,"&gt;"&amp;$A230,実績!$AL$6:$AL$505,"○")&gt;0,1,0))</f>
        <v>0</v>
      </c>
      <c r="CZ230" s="39" t="n">
        <f aca="false">IF(CZ$4=0,0,IF(COUNTIFS(実績!$W$6:$W$505,CZ$3,実績!$AI$6:$AI$505,"&lt;="&amp;$A230,実績!$AJ$6:$AJ$505,"&gt;"&amp;$A230,実績!$AL$6:$AL$505,"○")&gt;0,1,0))</f>
        <v>0</v>
      </c>
      <c r="DA230" s="39" t="n">
        <f aca="false">IF(DA$4=0,0,IF(COUNTIFS(実績!$W$6:$W$505,DA$3,実績!$AI$6:$AI$505,"&lt;="&amp;$A230,実績!$AJ$6:$AJ$505,"&gt;"&amp;$A230,実績!$AL$6:$AL$505,"○")&gt;0,1,0))</f>
        <v>0</v>
      </c>
      <c r="DB230" s="39" t="n">
        <f aca="false">IF(DB$4=0,0,IF(COUNTIFS(実績!$W$6:$W$505,DB$3,実績!$AI$6:$AI$505,"&lt;="&amp;$A230,実績!$AJ$6:$AJ$505,"&gt;"&amp;$A230,実績!$AL$6:$AL$505,"○")&gt;0,1,0))</f>
        <v>0</v>
      </c>
      <c r="DC230" s="39" t="n">
        <f aca="false">IF(DC$4=0,0,IF(COUNTIFS(実績!$W$6:$W$505,DC$3,実績!$AI$6:$AI$505,"&lt;="&amp;$A230,実績!$AJ$6:$AJ$505,"&gt;"&amp;$A230,実績!$AL$6:$AL$505,"○")&gt;0,1,0))</f>
        <v>0</v>
      </c>
      <c r="DD230" s="39" t="n">
        <f aca="false">IF(DD$4=0,0,IF(COUNTIFS(実績!$W$6:$W$505,DD$3,実績!$AI$6:$AI$505,"&lt;="&amp;$A230,実績!$AJ$6:$AJ$505,"&gt;"&amp;$A230,実績!$AL$6:$AL$505,"○")&gt;0,1,0))</f>
        <v>0</v>
      </c>
      <c r="DE230" s="39" t="n">
        <f aca="false">IF(DE$4=0,0,IF(COUNTIFS(実績!$W$6:$W$505,DE$3,実績!$AI$6:$AI$505,"&lt;="&amp;$A230,実績!$AJ$6:$AJ$505,"&gt;"&amp;$A230,実績!$AL$6:$AL$505,"○")&gt;0,1,0))</f>
        <v>0</v>
      </c>
      <c r="DF230" s="39" t="n">
        <f aca="false">IF(DF$4=0,0,IF(COUNTIFS(実績!$W$6:$W$505,DF$3,実績!$AI$6:$AI$505,"&lt;="&amp;$A230,実績!$AJ$6:$AJ$505,"&gt;"&amp;$A230,実績!$AL$6:$AL$505,"○")&gt;0,1,0))</f>
        <v>0</v>
      </c>
      <c r="DG230" s="39" t="n">
        <f aca="false">IF(DG$4=0,0,IF(COUNTIFS(実績!$W$6:$W$505,DG$3,実績!$AI$6:$AI$505,"&lt;="&amp;$A230,実績!$AJ$6:$AJ$505,"&gt;"&amp;$A230,実績!$AL$6:$AL$505,"○")&gt;0,1,0))</f>
        <v>0</v>
      </c>
      <c r="DH230" s="39" t="n">
        <f aca="false">IF(DH$4=0,0,IF(COUNTIFS(実績!$W$6:$W$505,DH$3,実績!$AI$6:$AI$505,"&lt;="&amp;$A230,実績!$AJ$6:$AJ$505,"&gt;"&amp;$A230,実績!$AL$6:$AL$505,"○")&gt;0,1,0))</f>
        <v>0</v>
      </c>
      <c r="DI230" s="39" t="n">
        <f aca="false">IF(DI$4=0,0,IF(COUNTIFS(実績!$W$6:$W$505,DI$3,実績!$AI$6:$AI$505,"&lt;="&amp;$A230,実績!$AJ$6:$AJ$505,"&gt;"&amp;$A230,実績!$AL$6:$AL$505,"○")&gt;0,1,0))</f>
        <v>0</v>
      </c>
      <c r="DJ230" s="39" t="n">
        <f aca="false">IF(DJ$4=0,0,IF(COUNTIFS(実績!$W$6:$W$505,DJ$3,実績!$AI$6:$AI$505,"&lt;="&amp;$A230,実績!$AJ$6:$AJ$505,"&gt;"&amp;$A230,実績!$AL$6:$AL$505,"○")&gt;0,1,0))</f>
        <v>0</v>
      </c>
      <c r="DK230" s="39" t="n">
        <f aca="false">IF(DK$4=0,0,IF(COUNTIFS(実績!$W$6:$W$505,DK$3,実績!$AI$6:$AI$505,"&lt;="&amp;$A230,実績!$AJ$6:$AJ$505,"&gt;"&amp;$A230,実績!$AL$6:$AL$505,"○")&gt;0,1,0))</f>
        <v>0</v>
      </c>
      <c r="DL230" s="39" t="n">
        <f aca="false">IF(DL$4=0,0,IF(COUNTIFS(実績!$W$6:$W$505,DL$3,実績!$AI$6:$AI$505,"&lt;="&amp;$A230,実績!$AJ$6:$AJ$505,"&gt;"&amp;$A230,実績!$AL$6:$AL$505,"○")&gt;0,1,0))</f>
        <v>0</v>
      </c>
      <c r="DM230" s="39" t="n">
        <f aca="false">IF(DM$4=0,0,IF(COUNTIFS(実績!$W$6:$W$505,DM$3,実績!$AI$6:$AI$505,"&lt;="&amp;$A230,実績!$AJ$6:$AJ$505,"&gt;"&amp;$A230,実績!$AL$6:$AL$505,"○")&gt;0,1,0))</f>
        <v>0</v>
      </c>
      <c r="DN230" s="39" t="n">
        <f aca="false">IF(DN$4=0,0,IF(COUNTIFS(実績!$W$6:$W$505,DN$3,実績!$AI$6:$AI$505,"&lt;="&amp;$A230,実績!$AJ$6:$AJ$505,"&gt;"&amp;$A230,実績!$AL$6:$AL$505,"○")&gt;0,1,0))</f>
        <v>0</v>
      </c>
      <c r="DO230" s="39" t="n">
        <f aca="false">IF(DO$4=0,0,IF(COUNTIFS(実績!$W$6:$W$505,DO$3,実績!$AI$6:$AI$505,"&lt;="&amp;$A230,実績!$AJ$6:$AJ$505,"&gt;"&amp;$A230,実績!$AL$6:$AL$505,"○")&gt;0,1,0))</f>
        <v>0</v>
      </c>
      <c r="DP230" s="39" t="n">
        <f aca="false">IF(DP$4=0,0,IF(COUNTIFS(実績!$W$6:$W$505,DP$3,実績!$AI$6:$AI$505,"&lt;="&amp;$A230,実績!$AJ$6:$AJ$505,"&gt;"&amp;$A230,実績!$AL$6:$AL$505,"○")&gt;0,1,0))</f>
        <v>0</v>
      </c>
      <c r="DQ230" s="39" t="n">
        <f aca="false">IF(DQ$4=0,0,IF(COUNTIFS(実績!$W$6:$W$505,DQ$3,実績!$AI$6:$AI$505,"&lt;="&amp;$A230,実績!$AJ$6:$AJ$505,"&gt;"&amp;$A230,実績!$AL$6:$AL$505,"○")&gt;0,1,0))</f>
        <v>0</v>
      </c>
      <c r="DR230" s="39" t="n">
        <f aca="false">IF(DR$4=0,0,IF(COUNTIFS(実績!$W$6:$W$505,DR$3,実績!$AI$6:$AI$505,"&lt;="&amp;$A230,実績!$AJ$6:$AJ$505,"&gt;"&amp;$A230,実績!$AL$6:$AL$505,"○")&gt;0,1,0))</f>
        <v>0</v>
      </c>
      <c r="DS230" s="39" t="n">
        <f aca="false">SUM(C230:DR230)</f>
        <v>0</v>
      </c>
    </row>
    <row r="231" customFormat="false" ht="15" hidden="false" customHeight="false" outlineLevel="0" collapsed="false">
      <c r="A231" s="0" t="n">
        <v>1125</v>
      </c>
      <c r="B231" s="38" t="n">
        <f aca="false">A231/1440</f>
        <v>0.78125</v>
      </c>
      <c r="C231" s="39" t="n">
        <f aca="false">IF(C$4=0,0,IF(COUNTIFS(実績!$W$6:$W$505,C$3,実績!$AI$6:$AI$505,"&lt;="&amp;$A231,実績!$AJ$6:$AJ$505,"&gt;"&amp;$A231,実績!$AL$6:$AL$505,"○")&gt;0,1,0))</f>
        <v>0</v>
      </c>
      <c r="D231" s="39" t="n">
        <f aca="false">IF(D$4=0,0,IF(COUNTIFS(実績!$W$6:$W$505,D$3,実績!$AI$6:$AI$505,"&lt;="&amp;$A231,実績!$AJ$6:$AJ$505,"&gt;"&amp;$A231,実績!$AL$6:$AL$505,"○")&gt;0,1,0))</f>
        <v>0</v>
      </c>
      <c r="E231" s="39" t="n">
        <f aca="false">IF(E$4=0,0,IF(COUNTIFS(実績!$W$6:$W$505,E$3,実績!$AI$6:$AI$505,"&lt;="&amp;$A231,実績!$AJ$6:$AJ$505,"&gt;"&amp;$A231,実績!$AL$6:$AL$505,"○")&gt;0,1,0))</f>
        <v>0</v>
      </c>
      <c r="F231" s="39" t="n">
        <f aca="false">IF(F$4=0,0,IF(COUNTIFS(実績!$W$6:$W$505,F$3,実績!$AI$6:$AI$505,"&lt;="&amp;$A231,実績!$AJ$6:$AJ$505,"&gt;"&amp;$A231,実績!$AL$6:$AL$505,"○")&gt;0,1,0))</f>
        <v>0</v>
      </c>
      <c r="G231" s="39" t="n">
        <f aca="false">IF(G$4=0,0,IF(COUNTIFS(実績!$W$6:$W$505,G$3,実績!$AI$6:$AI$505,"&lt;="&amp;$A231,実績!$AJ$6:$AJ$505,"&gt;"&amp;$A231,実績!$AL$6:$AL$505,"○")&gt;0,1,0))</f>
        <v>0</v>
      </c>
      <c r="H231" s="39" t="n">
        <f aca="false">IF(H$4=0,0,IF(COUNTIFS(実績!$W$6:$W$505,H$3,実績!$AI$6:$AI$505,"&lt;="&amp;$A231,実績!$AJ$6:$AJ$505,"&gt;"&amp;$A231,実績!$AL$6:$AL$505,"○")&gt;0,1,0))</f>
        <v>0</v>
      </c>
      <c r="I231" s="39" t="n">
        <f aca="false">IF(I$4=0,0,IF(COUNTIFS(実績!$W$6:$W$505,I$3,実績!$AI$6:$AI$505,"&lt;="&amp;$A231,実績!$AJ$6:$AJ$505,"&gt;"&amp;$A231,実績!$AL$6:$AL$505,"○")&gt;0,1,0))</f>
        <v>0</v>
      </c>
      <c r="J231" s="39" t="n">
        <f aca="false">IF(J$4=0,0,IF(COUNTIFS(実績!$W$6:$W$505,J$3,実績!$AI$6:$AI$505,"&lt;="&amp;$A231,実績!$AJ$6:$AJ$505,"&gt;"&amp;$A231,実績!$AL$6:$AL$505,"○")&gt;0,1,0))</f>
        <v>0</v>
      </c>
      <c r="K231" s="39" t="n">
        <f aca="false">IF(K$4=0,0,IF(COUNTIFS(実績!$W$6:$W$505,K$3,実績!$AI$6:$AI$505,"&lt;="&amp;$A231,実績!$AJ$6:$AJ$505,"&gt;"&amp;$A231,実績!$AL$6:$AL$505,"○")&gt;0,1,0))</f>
        <v>0</v>
      </c>
      <c r="L231" s="39" t="n">
        <f aca="false">IF(L$4=0,0,IF(COUNTIFS(実績!$W$6:$W$505,L$3,実績!$AI$6:$AI$505,"&lt;="&amp;$A231,実績!$AJ$6:$AJ$505,"&gt;"&amp;$A231,実績!$AL$6:$AL$505,"○")&gt;0,1,0))</f>
        <v>0</v>
      </c>
      <c r="M231" s="39" t="n">
        <f aca="false">IF(M$4=0,0,IF(COUNTIFS(実績!$W$6:$W$505,M$3,実績!$AI$6:$AI$505,"&lt;="&amp;$A231,実績!$AJ$6:$AJ$505,"&gt;"&amp;$A231,実績!$AL$6:$AL$505,"○")&gt;0,1,0))</f>
        <v>0</v>
      </c>
      <c r="N231" s="39" t="n">
        <f aca="false">IF(N$4=0,0,IF(COUNTIFS(実績!$W$6:$W$505,N$3,実績!$AI$6:$AI$505,"&lt;="&amp;$A231,実績!$AJ$6:$AJ$505,"&gt;"&amp;$A231,実績!$AL$6:$AL$505,"○")&gt;0,1,0))</f>
        <v>0</v>
      </c>
      <c r="O231" s="39" t="n">
        <f aca="false">IF(O$4=0,0,IF(COUNTIFS(実績!$W$6:$W$505,O$3,実績!$AI$6:$AI$505,"&lt;="&amp;$A231,実績!$AJ$6:$AJ$505,"&gt;"&amp;$A231,実績!$AL$6:$AL$505,"○")&gt;0,1,0))</f>
        <v>0</v>
      </c>
      <c r="P231" s="39" t="n">
        <f aca="false">IF(P$4=0,0,IF(COUNTIFS(実績!$W$6:$W$505,P$3,実績!$AI$6:$AI$505,"&lt;="&amp;$A231,実績!$AJ$6:$AJ$505,"&gt;"&amp;$A231,実績!$AL$6:$AL$505,"○")&gt;0,1,0))</f>
        <v>0</v>
      </c>
      <c r="Q231" s="39" t="n">
        <f aca="false">IF(Q$4=0,0,IF(COUNTIFS(実績!$W$6:$W$505,Q$3,実績!$AI$6:$AI$505,"&lt;="&amp;$A231,実績!$AJ$6:$AJ$505,"&gt;"&amp;$A231,実績!$AL$6:$AL$505,"○")&gt;0,1,0))</f>
        <v>0</v>
      </c>
      <c r="R231" s="39" t="n">
        <f aca="false">IF(R$4=0,0,IF(COUNTIFS(実績!$W$6:$W$505,R$3,実績!$AI$6:$AI$505,"&lt;="&amp;$A231,実績!$AJ$6:$AJ$505,"&gt;"&amp;$A231,実績!$AL$6:$AL$505,"○")&gt;0,1,0))</f>
        <v>0</v>
      </c>
      <c r="S231" s="39" t="n">
        <f aca="false">IF(S$4=0,0,IF(COUNTIFS(実績!$W$6:$W$505,S$3,実績!$AI$6:$AI$505,"&lt;="&amp;$A231,実績!$AJ$6:$AJ$505,"&gt;"&amp;$A231,実績!$AL$6:$AL$505,"○")&gt;0,1,0))</f>
        <v>0</v>
      </c>
      <c r="T231" s="39" t="n">
        <f aca="false">IF(T$4=0,0,IF(COUNTIFS(実績!$W$6:$W$505,T$3,実績!$AI$6:$AI$505,"&lt;="&amp;$A231,実績!$AJ$6:$AJ$505,"&gt;"&amp;$A231,実績!$AL$6:$AL$505,"○")&gt;0,1,0))</f>
        <v>0</v>
      </c>
      <c r="U231" s="39" t="n">
        <f aca="false">IF(U$4=0,0,IF(COUNTIFS(実績!$W$6:$W$505,U$3,実績!$AI$6:$AI$505,"&lt;="&amp;$A231,実績!$AJ$6:$AJ$505,"&gt;"&amp;$A231,実績!$AL$6:$AL$505,"○")&gt;0,1,0))</f>
        <v>0</v>
      </c>
      <c r="V231" s="39" t="n">
        <f aca="false">IF(V$4=0,0,IF(COUNTIFS(実績!$W$6:$W$505,V$3,実績!$AI$6:$AI$505,"&lt;="&amp;$A231,実績!$AJ$6:$AJ$505,"&gt;"&amp;$A231,実績!$AL$6:$AL$505,"○")&gt;0,1,0))</f>
        <v>0</v>
      </c>
      <c r="W231" s="39" t="n">
        <f aca="false">IF(W$4=0,0,IF(COUNTIFS(実績!$W$6:$W$505,W$3,実績!$AI$6:$AI$505,"&lt;="&amp;$A231,実績!$AJ$6:$AJ$505,"&gt;"&amp;$A231,実績!$AL$6:$AL$505,"○")&gt;0,1,0))</f>
        <v>0</v>
      </c>
      <c r="X231" s="39" t="n">
        <f aca="false">IF(X$4=0,0,IF(COUNTIFS(実績!$W$6:$W$505,X$3,実績!$AI$6:$AI$505,"&lt;="&amp;$A231,実績!$AJ$6:$AJ$505,"&gt;"&amp;$A231,実績!$AL$6:$AL$505,"○")&gt;0,1,0))</f>
        <v>0</v>
      </c>
      <c r="Y231" s="39" t="n">
        <f aca="false">IF(Y$4=0,0,IF(COUNTIFS(実績!$W$6:$W$505,Y$3,実績!$AI$6:$AI$505,"&lt;="&amp;$A231,実績!$AJ$6:$AJ$505,"&gt;"&amp;$A231,実績!$AL$6:$AL$505,"○")&gt;0,1,0))</f>
        <v>0</v>
      </c>
      <c r="Z231" s="39" t="n">
        <f aca="false">IF(Z$4=0,0,IF(COUNTIFS(実績!$W$6:$W$505,Z$3,実績!$AI$6:$AI$505,"&lt;="&amp;$A231,実績!$AJ$6:$AJ$505,"&gt;"&amp;$A231,実績!$AL$6:$AL$505,"○")&gt;0,1,0))</f>
        <v>0</v>
      </c>
      <c r="AA231" s="39" t="n">
        <f aca="false">IF(AA$4=0,0,IF(COUNTIFS(実績!$W$6:$W$505,AA$3,実績!$AI$6:$AI$505,"&lt;="&amp;$A231,実績!$AJ$6:$AJ$505,"&gt;"&amp;$A231,実績!$AL$6:$AL$505,"○")&gt;0,1,0))</f>
        <v>0</v>
      </c>
      <c r="AB231" s="39" t="n">
        <f aca="false">IF(AB$4=0,0,IF(COUNTIFS(実績!$W$6:$W$505,AB$3,実績!$AI$6:$AI$505,"&lt;="&amp;$A231,実績!$AJ$6:$AJ$505,"&gt;"&amp;$A231,実績!$AL$6:$AL$505,"○")&gt;0,1,0))</f>
        <v>0</v>
      </c>
      <c r="AC231" s="39" t="n">
        <f aca="false">IF(AC$4=0,0,IF(COUNTIFS(実績!$W$6:$W$505,AC$3,実績!$AI$6:$AI$505,"&lt;="&amp;$A231,実績!$AJ$6:$AJ$505,"&gt;"&amp;$A231,実績!$AL$6:$AL$505,"○")&gt;0,1,0))</f>
        <v>0</v>
      </c>
      <c r="AD231" s="39" t="n">
        <f aca="false">IF(AD$4=0,0,IF(COUNTIFS(実績!$W$6:$W$505,AD$3,実績!$AI$6:$AI$505,"&lt;="&amp;$A231,実績!$AJ$6:$AJ$505,"&gt;"&amp;$A231,実績!$AL$6:$AL$505,"○")&gt;0,1,0))</f>
        <v>0</v>
      </c>
      <c r="AE231" s="39" t="n">
        <f aca="false">IF(AE$4=0,0,IF(COUNTIFS(実績!$W$6:$W$505,AE$3,実績!$AI$6:$AI$505,"&lt;="&amp;$A231,実績!$AJ$6:$AJ$505,"&gt;"&amp;$A231,実績!$AL$6:$AL$505,"○")&gt;0,1,0))</f>
        <v>0</v>
      </c>
      <c r="AF231" s="39" t="n">
        <f aca="false">IF(AF$4=0,0,IF(COUNTIFS(実績!$W$6:$W$505,AF$3,実績!$AI$6:$AI$505,"&lt;="&amp;$A231,実績!$AJ$6:$AJ$505,"&gt;"&amp;$A231,実績!$AL$6:$AL$505,"○")&gt;0,1,0))</f>
        <v>0</v>
      </c>
      <c r="AG231" s="39" t="n">
        <f aca="false">IF(AG$4=0,0,IF(COUNTIFS(実績!$W$6:$W$505,AG$3,実績!$AI$6:$AI$505,"&lt;="&amp;$A231,実績!$AJ$6:$AJ$505,"&gt;"&amp;$A231,実績!$AL$6:$AL$505,"○")&gt;0,1,0))</f>
        <v>0</v>
      </c>
      <c r="AH231" s="39" t="n">
        <f aca="false">IF(AH$4=0,0,IF(COUNTIFS(実績!$W$6:$W$505,AH$3,実績!$AI$6:$AI$505,"&lt;="&amp;$A231,実績!$AJ$6:$AJ$505,"&gt;"&amp;$A231,実績!$AL$6:$AL$505,"○")&gt;0,1,0))</f>
        <v>0</v>
      </c>
      <c r="AI231" s="39" t="n">
        <f aca="false">IF(AI$4=0,0,IF(COUNTIFS(実績!$W$6:$W$505,AI$3,実績!$AI$6:$AI$505,"&lt;="&amp;$A231,実績!$AJ$6:$AJ$505,"&gt;"&amp;$A231,実績!$AL$6:$AL$505,"○")&gt;0,1,0))</f>
        <v>0</v>
      </c>
      <c r="AJ231" s="39" t="n">
        <f aca="false">IF(AJ$4=0,0,IF(COUNTIFS(実績!$W$6:$W$505,AJ$3,実績!$AI$6:$AI$505,"&lt;="&amp;$A231,実績!$AJ$6:$AJ$505,"&gt;"&amp;$A231,実績!$AL$6:$AL$505,"○")&gt;0,1,0))</f>
        <v>0</v>
      </c>
      <c r="AK231" s="39" t="n">
        <f aca="false">IF(AK$4=0,0,IF(COUNTIFS(実績!$W$6:$W$505,AK$3,実績!$AI$6:$AI$505,"&lt;="&amp;$A231,実績!$AJ$6:$AJ$505,"&gt;"&amp;$A231,実績!$AL$6:$AL$505,"○")&gt;0,1,0))</f>
        <v>0</v>
      </c>
      <c r="AL231" s="39" t="n">
        <f aca="false">IF(AL$4=0,0,IF(COUNTIFS(実績!$W$6:$W$505,AL$3,実績!$AI$6:$AI$505,"&lt;="&amp;$A231,実績!$AJ$6:$AJ$505,"&gt;"&amp;$A231,実績!$AL$6:$AL$505,"○")&gt;0,1,0))</f>
        <v>0</v>
      </c>
      <c r="AM231" s="39" t="n">
        <f aca="false">IF(AM$4=0,0,IF(COUNTIFS(実績!$W$6:$W$505,AM$3,実績!$AI$6:$AI$505,"&lt;="&amp;$A231,実績!$AJ$6:$AJ$505,"&gt;"&amp;$A231,実績!$AL$6:$AL$505,"○")&gt;0,1,0))</f>
        <v>0</v>
      </c>
      <c r="AN231" s="39" t="n">
        <f aca="false">IF(AN$4=0,0,IF(COUNTIFS(実績!$W$6:$W$505,AN$3,実績!$AI$6:$AI$505,"&lt;="&amp;$A231,実績!$AJ$6:$AJ$505,"&gt;"&amp;$A231,実績!$AL$6:$AL$505,"○")&gt;0,1,0))</f>
        <v>0</v>
      </c>
      <c r="AO231" s="39" t="n">
        <f aca="false">IF(AO$4=0,0,IF(COUNTIFS(実績!$W$6:$W$505,AO$3,実績!$AI$6:$AI$505,"&lt;="&amp;$A231,実績!$AJ$6:$AJ$505,"&gt;"&amp;$A231,実績!$AL$6:$AL$505,"○")&gt;0,1,0))</f>
        <v>0</v>
      </c>
      <c r="AP231" s="39" t="n">
        <f aca="false">IF(AP$4=0,0,IF(COUNTIFS(実績!$W$6:$W$505,AP$3,実績!$AI$6:$AI$505,"&lt;="&amp;$A231,実績!$AJ$6:$AJ$505,"&gt;"&amp;$A231,実績!$AL$6:$AL$505,"○")&gt;0,1,0))</f>
        <v>0</v>
      </c>
      <c r="AQ231" s="39" t="n">
        <f aca="false">IF(AQ$4=0,0,IF(COUNTIFS(実績!$W$6:$W$505,AQ$3,実績!$AI$6:$AI$505,"&lt;="&amp;$A231,実績!$AJ$6:$AJ$505,"&gt;"&amp;$A231,実績!$AL$6:$AL$505,"○")&gt;0,1,0))</f>
        <v>0</v>
      </c>
      <c r="AR231" s="39" t="n">
        <f aca="false">IF(AR$4=0,0,IF(COUNTIFS(実績!$W$6:$W$505,AR$3,実績!$AI$6:$AI$505,"&lt;="&amp;$A231,実績!$AJ$6:$AJ$505,"&gt;"&amp;$A231,実績!$AL$6:$AL$505,"○")&gt;0,1,0))</f>
        <v>0</v>
      </c>
      <c r="AS231" s="39" t="n">
        <f aca="false">IF(AS$4=0,0,IF(COUNTIFS(実績!$W$6:$W$505,AS$3,実績!$AI$6:$AI$505,"&lt;="&amp;$A231,実績!$AJ$6:$AJ$505,"&gt;"&amp;$A231,実績!$AL$6:$AL$505,"○")&gt;0,1,0))</f>
        <v>0</v>
      </c>
      <c r="AT231" s="39" t="n">
        <f aca="false">IF(AT$4=0,0,IF(COUNTIFS(実績!$W$6:$W$505,AT$3,実績!$AI$6:$AI$505,"&lt;="&amp;$A231,実績!$AJ$6:$AJ$505,"&gt;"&amp;$A231,実績!$AL$6:$AL$505,"○")&gt;0,1,0))</f>
        <v>0</v>
      </c>
      <c r="AU231" s="39" t="n">
        <f aca="false">IF(AU$4=0,0,IF(COUNTIFS(実績!$W$6:$W$505,AU$3,実績!$AI$6:$AI$505,"&lt;="&amp;$A231,実績!$AJ$6:$AJ$505,"&gt;"&amp;$A231,実績!$AL$6:$AL$505,"○")&gt;0,1,0))</f>
        <v>0</v>
      </c>
      <c r="AV231" s="39" t="n">
        <f aca="false">IF(AV$4=0,0,IF(COUNTIFS(実績!$W$6:$W$505,AV$3,実績!$AI$6:$AI$505,"&lt;="&amp;$A231,実績!$AJ$6:$AJ$505,"&gt;"&amp;$A231,実績!$AL$6:$AL$505,"○")&gt;0,1,0))</f>
        <v>0</v>
      </c>
      <c r="AW231" s="39" t="n">
        <f aca="false">IF(AW$4=0,0,IF(COUNTIFS(実績!$W$6:$W$505,AW$3,実績!$AI$6:$AI$505,"&lt;="&amp;$A231,実績!$AJ$6:$AJ$505,"&gt;"&amp;$A231,実績!$AL$6:$AL$505,"○")&gt;0,1,0))</f>
        <v>0</v>
      </c>
      <c r="AX231" s="39" t="n">
        <f aca="false">IF(AX$4=0,0,IF(COUNTIFS(実績!$W$6:$W$505,AX$3,実績!$AI$6:$AI$505,"&lt;="&amp;$A231,実績!$AJ$6:$AJ$505,"&gt;"&amp;$A231,実績!$AL$6:$AL$505,"○")&gt;0,1,0))</f>
        <v>0</v>
      </c>
      <c r="AY231" s="39" t="n">
        <f aca="false">IF(AY$4=0,0,IF(COUNTIFS(実績!$W$6:$W$505,AY$3,実績!$AI$6:$AI$505,"&lt;="&amp;$A231,実績!$AJ$6:$AJ$505,"&gt;"&amp;$A231,実績!$AL$6:$AL$505,"○")&gt;0,1,0))</f>
        <v>0</v>
      </c>
      <c r="AZ231" s="39" t="n">
        <f aca="false">IF(AZ$4=0,0,IF(COUNTIFS(実績!$W$6:$W$505,AZ$3,実績!$AI$6:$AI$505,"&lt;="&amp;$A231,実績!$AJ$6:$AJ$505,"&gt;"&amp;$A231,実績!$AL$6:$AL$505,"○")&gt;0,1,0))</f>
        <v>0</v>
      </c>
      <c r="BA231" s="39" t="n">
        <f aca="false">IF(BA$4=0,0,IF(COUNTIFS(実績!$W$6:$W$505,BA$3,実績!$AI$6:$AI$505,"&lt;="&amp;$A231,実績!$AJ$6:$AJ$505,"&gt;"&amp;$A231,実績!$AL$6:$AL$505,"○")&gt;0,1,0))</f>
        <v>0</v>
      </c>
      <c r="BB231" s="39" t="n">
        <f aca="false">IF(BB$4=0,0,IF(COUNTIFS(実績!$W$6:$W$505,BB$3,実績!$AI$6:$AI$505,"&lt;="&amp;$A231,実績!$AJ$6:$AJ$505,"&gt;"&amp;$A231,実績!$AL$6:$AL$505,"○")&gt;0,1,0))</f>
        <v>0</v>
      </c>
      <c r="BC231" s="39" t="n">
        <f aca="false">IF(BC$4=0,0,IF(COUNTIFS(実績!$W$6:$W$505,BC$3,実績!$AI$6:$AI$505,"&lt;="&amp;$A231,実績!$AJ$6:$AJ$505,"&gt;"&amp;$A231,実績!$AL$6:$AL$505,"○")&gt;0,1,0))</f>
        <v>0</v>
      </c>
      <c r="BD231" s="39" t="n">
        <f aca="false">IF(BD$4=0,0,IF(COUNTIFS(実績!$W$6:$W$505,BD$3,実績!$AI$6:$AI$505,"&lt;="&amp;$A231,実績!$AJ$6:$AJ$505,"&gt;"&amp;$A231,実績!$AL$6:$AL$505,"○")&gt;0,1,0))</f>
        <v>0</v>
      </c>
      <c r="BE231" s="39" t="n">
        <f aca="false">IF(BE$4=0,0,IF(COUNTIFS(実績!$W$6:$W$505,BE$3,実績!$AI$6:$AI$505,"&lt;="&amp;$A231,実績!$AJ$6:$AJ$505,"&gt;"&amp;$A231,実績!$AL$6:$AL$505,"○")&gt;0,1,0))</f>
        <v>0</v>
      </c>
      <c r="BF231" s="39" t="n">
        <f aca="false">IF(BF$4=0,0,IF(COUNTIFS(実績!$W$6:$W$505,BF$3,実績!$AI$6:$AI$505,"&lt;="&amp;$A231,実績!$AJ$6:$AJ$505,"&gt;"&amp;$A231,実績!$AL$6:$AL$505,"○")&gt;0,1,0))</f>
        <v>0</v>
      </c>
      <c r="BG231" s="39" t="n">
        <f aca="false">IF(BG$4=0,0,IF(COUNTIFS(実績!$W$6:$W$505,BG$3,実績!$AI$6:$AI$505,"&lt;="&amp;$A231,実績!$AJ$6:$AJ$505,"&gt;"&amp;$A231,実績!$AL$6:$AL$505,"○")&gt;0,1,0))</f>
        <v>0</v>
      </c>
      <c r="BH231" s="39" t="n">
        <f aca="false">IF(BH$4=0,0,IF(COUNTIFS(実績!$W$6:$W$505,BH$3,実績!$AI$6:$AI$505,"&lt;="&amp;$A231,実績!$AJ$6:$AJ$505,"&gt;"&amp;$A231,実績!$AL$6:$AL$505,"○")&gt;0,1,0))</f>
        <v>0</v>
      </c>
      <c r="BI231" s="39" t="n">
        <f aca="false">IF(BI$4=0,0,IF(COUNTIFS(実績!$W$6:$W$505,BI$3,実績!$AI$6:$AI$505,"&lt;="&amp;$A231,実績!$AJ$6:$AJ$505,"&gt;"&amp;$A231,実績!$AL$6:$AL$505,"○")&gt;0,1,0))</f>
        <v>0</v>
      </c>
      <c r="BJ231" s="39" t="n">
        <f aca="false">IF(BJ$4=0,0,IF(COUNTIFS(実績!$W$6:$W$505,BJ$3,実績!$AI$6:$AI$505,"&lt;="&amp;$A231,実績!$AJ$6:$AJ$505,"&gt;"&amp;$A231,実績!$AL$6:$AL$505,"○")&gt;0,1,0))</f>
        <v>0</v>
      </c>
      <c r="BK231" s="39" t="n">
        <f aca="false">IF(BK$4=0,0,IF(COUNTIFS(実績!$W$6:$W$505,BK$3,実績!$AI$6:$AI$505,"&lt;="&amp;$A231,実績!$AJ$6:$AJ$505,"&gt;"&amp;$A231,実績!$AL$6:$AL$505,"○")&gt;0,1,0))</f>
        <v>0</v>
      </c>
      <c r="BL231" s="39" t="n">
        <f aca="false">IF(BL$4=0,0,IF(COUNTIFS(実績!$W$6:$W$505,BL$3,実績!$AI$6:$AI$505,"&lt;="&amp;$A231,実績!$AJ$6:$AJ$505,"&gt;"&amp;$A231,実績!$AL$6:$AL$505,"○")&gt;0,1,0))</f>
        <v>0</v>
      </c>
      <c r="BM231" s="39" t="n">
        <f aca="false">IF(BM$4=0,0,IF(COUNTIFS(実績!$W$6:$W$505,BM$3,実績!$AI$6:$AI$505,"&lt;="&amp;$A231,実績!$AJ$6:$AJ$505,"&gt;"&amp;$A231,実績!$AL$6:$AL$505,"○")&gt;0,1,0))</f>
        <v>0</v>
      </c>
      <c r="BN231" s="39" t="n">
        <f aca="false">IF(BN$4=0,0,IF(COUNTIFS(実績!$W$6:$W$505,BN$3,実績!$AI$6:$AI$505,"&lt;="&amp;$A231,実績!$AJ$6:$AJ$505,"&gt;"&amp;$A231,実績!$AL$6:$AL$505,"○")&gt;0,1,0))</f>
        <v>0</v>
      </c>
      <c r="BO231" s="39" t="n">
        <f aca="false">IF(BO$4=0,0,IF(COUNTIFS(実績!$W$6:$W$505,BO$3,実績!$AI$6:$AI$505,"&lt;="&amp;$A231,実績!$AJ$6:$AJ$505,"&gt;"&amp;$A231,実績!$AL$6:$AL$505,"○")&gt;0,1,0))</f>
        <v>0</v>
      </c>
      <c r="BP231" s="39" t="n">
        <f aca="false">IF(BP$4=0,0,IF(COUNTIFS(実績!$W$6:$W$505,BP$3,実績!$AI$6:$AI$505,"&lt;="&amp;$A231,実績!$AJ$6:$AJ$505,"&gt;"&amp;$A231,実績!$AL$6:$AL$505,"○")&gt;0,1,0))</f>
        <v>0</v>
      </c>
      <c r="BQ231" s="39" t="n">
        <f aca="false">IF(BQ$4=0,0,IF(COUNTIFS(実績!$W$6:$W$505,BQ$3,実績!$AI$6:$AI$505,"&lt;="&amp;$A231,実績!$AJ$6:$AJ$505,"&gt;"&amp;$A231,実績!$AL$6:$AL$505,"○")&gt;0,1,0))</f>
        <v>0</v>
      </c>
      <c r="BR231" s="39" t="n">
        <f aca="false">IF(BR$4=0,0,IF(COUNTIFS(実績!$W$6:$W$505,BR$3,実績!$AI$6:$AI$505,"&lt;="&amp;$A231,実績!$AJ$6:$AJ$505,"&gt;"&amp;$A231,実績!$AL$6:$AL$505,"○")&gt;0,1,0))</f>
        <v>0</v>
      </c>
      <c r="BS231" s="39" t="n">
        <f aca="false">IF(BS$4=0,0,IF(COUNTIFS(実績!$W$6:$W$505,BS$3,実績!$AI$6:$AI$505,"&lt;="&amp;$A231,実績!$AJ$6:$AJ$505,"&gt;"&amp;$A231,実績!$AL$6:$AL$505,"○")&gt;0,1,0))</f>
        <v>0</v>
      </c>
      <c r="BT231" s="39" t="n">
        <f aca="false">IF(BT$4=0,0,IF(COUNTIFS(実績!$W$6:$W$505,BT$3,実績!$AI$6:$AI$505,"&lt;="&amp;$A231,実績!$AJ$6:$AJ$505,"&gt;"&amp;$A231,実績!$AL$6:$AL$505,"○")&gt;0,1,0))</f>
        <v>0</v>
      </c>
      <c r="BU231" s="39" t="n">
        <f aca="false">IF(BU$4=0,0,IF(COUNTIFS(実績!$W$6:$W$505,BU$3,実績!$AI$6:$AI$505,"&lt;="&amp;$A231,実績!$AJ$6:$AJ$505,"&gt;"&amp;$A231,実績!$AL$6:$AL$505,"○")&gt;0,1,0))</f>
        <v>0</v>
      </c>
      <c r="BV231" s="39" t="n">
        <f aca="false">IF(BV$4=0,0,IF(COUNTIFS(実績!$W$6:$W$505,BV$3,実績!$AI$6:$AI$505,"&lt;="&amp;$A231,実績!$AJ$6:$AJ$505,"&gt;"&amp;$A231,実績!$AL$6:$AL$505,"○")&gt;0,1,0))</f>
        <v>0</v>
      </c>
      <c r="BW231" s="39" t="n">
        <f aca="false">IF(BW$4=0,0,IF(COUNTIFS(実績!$W$6:$W$505,BW$3,実績!$AI$6:$AI$505,"&lt;="&amp;$A231,実績!$AJ$6:$AJ$505,"&gt;"&amp;$A231,実績!$AL$6:$AL$505,"○")&gt;0,1,0))</f>
        <v>0</v>
      </c>
      <c r="BX231" s="39" t="n">
        <f aca="false">IF(BX$4=0,0,IF(COUNTIFS(実績!$W$6:$W$505,BX$3,実績!$AI$6:$AI$505,"&lt;="&amp;$A231,実績!$AJ$6:$AJ$505,"&gt;"&amp;$A231,実績!$AL$6:$AL$505,"○")&gt;0,1,0))</f>
        <v>0</v>
      </c>
      <c r="BY231" s="39" t="n">
        <f aca="false">IF(BY$4=0,0,IF(COUNTIFS(実績!$W$6:$W$505,BY$3,実績!$AI$6:$AI$505,"&lt;="&amp;$A231,実績!$AJ$6:$AJ$505,"&gt;"&amp;$A231,実績!$AL$6:$AL$505,"○")&gt;0,1,0))</f>
        <v>0</v>
      </c>
      <c r="BZ231" s="39" t="n">
        <f aca="false">IF(BZ$4=0,0,IF(COUNTIFS(実績!$W$6:$W$505,BZ$3,実績!$AI$6:$AI$505,"&lt;="&amp;$A231,実績!$AJ$6:$AJ$505,"&gt;"&amp;$A231,実績!$AL$6:$AL$505,"○")&gt;0,1,0))</f>
        <v>0</v>
      </c>
      <c r="CA231" s="39" t="n">
        <f aca="false">IF(CA$4=0,0,IF(COUNTIFS(実績!$W$6:$W$505,CA$3,実績!$AI$6:$AI$505,"&lt;="&amp;$A231,実績!$AJ$6:$AJ$505,"&gt;"&amp;$A231,実績!$AL$6:$AL$505,"○")&gt;0,1,0))</f>
        <v>0</v>
      </c>
      <c r="CB231" s="39" t="n">
        <f aca="false">IF(CB$4=0,0,IF(COUNTIFS(実績!$W$6:$W$505,CB$3,実績!$AI$6:$AI$505,"&lt;="&amp;$A231,実績!$AJ$6:$AJ$505,"&gt;"&amp;$A231,実績!$AL$6:$AL$505,"○")&gt;0,1,0))</f>
        <v>0</v>
      </c>
      <c r="CC231" s="39" t="n">
        <f aca="false">IF(CC$4=0,0,IF(COUNTIFS(実績!$W$6:$W$505,CC$3,実績!$AI$6:$AI$505,"&lt;="&amp;$A231,実績!$AJ$6:$AJ$505,"&gt;"&amp;$A231,実績!$AL$6:$AL$505,"○")&gt;0,1,0))</f>
        <v>0</v>
      </c>
      <c r="CD231" s="39" t="n">
        <f aca="false">IF(CD$4=0,0,IF(COUNTIFS(実績!$W$6:$W$505,CD$3,実績!$AI$6:$AI$505,"&lt;="&amp;$A231,実績!$AJ$6:$AJ$505,"&gt;"&amp;$A231,実績!$AL$6:$AL$505,"○")&gt;0,1,0))</f>
        <v>0</v>
      </c>
      <c r="CE231" s="39" t="n">
        <f aca="false">IF(CE$4=0,0,IF(COUNTIFS(実績!$W$6:$W$505,CE$3,実績!$AI$6:$AI$505,"&lt;="&amp;$A231,実績!$AJ$6:$AJ$505,"&gt;"&amp;$A231,実績!$AL$6:$AL$505,"○")&gt;0,1,0))</f>
        <v>0</v>
      </c>
      <c r="CF231" s="39" t="n">
        <f aca="false">IF(CF$4=0,0,IF(COUNTIFS(実績!$W$6:$W$505,CF$3,実績!$AI$6:$AI$505,"&lt;="&amp;$A231,実績!$AJ$6:$AJ$505,"&gt;"&amp;$A231,実績!$AL$6:$AL$505,"○")&gt;0,1,0))</f>
        <v>0</v>
      </c>
      <c r="CG231" s="39" t="n">
        <f aca="false">IF(CG$4=0,0,IF(COUNTIFS(実績!$W$6:$W$505,CG$3,実績!$AI$6:$AI$505,"&lt;="&amp;$A231,実績!$AJ$6:$AJ$505,"&gt;"&amp;$A231,実績!$AL$6:$AL$505,"○")&gt;0,1,0))</f>
        <v>0</v>
      </c>
      <c r="CH231" s="39" t="n">
        <f aca="false">IF(CH$4=0,0,IF(COUNTIFS(実績!$W$6:$W$505,CH$3,実績!$AI$6:$AI$505,"&lt;="&amp;$A231,実績!$AJ$6:$AJ$505,"&gt;"&amp;$A231,実績!$AL$6:$AL$505,"○")&gt;0,1,0))</f>
        <v>0</v>
      </c>
      <c r="CI231" s="39" t="n">
        <f aca="false">IF(CI$4=0,0,IF(COUNTIFS(実績!$W$6:$W$505,CI$3,実績!$AI$6:$AI$505,"&lt;="&amp;$A231,実績!$AJ$6:$AJ$505,"&gt;"&amp;$A231,実績!$AL$6:$AL$505,"○")&gt;0,1,0))</f>
        <v>0</v>
      </c>
      <c r="CJ231" s="39" t="n">
        <f aca="false">IF(CJ$4=0,0,IF(COUNTIFS(実績!$W$6:$W$505,CJ$3,実績!$AI$6:$AI$505,"&lt;="&amp;$A231,実績!$AJ$6:$AJ$505,"&gt;"&amp;$A231,実績!$AL$6:$AL$505,"○")&gt;0,1,0))</f>
        <v>0</v>
      </c>
      <c r="CK231" s="39" t="n">
        <f aca="false">IF(CK$4=0,0,IF(COUNTIFS(実績!$W$6:$W$505,CK$3,実績!$AI$6:$AI$505,"&lt;="&amp;$A231,実績!$AJ$6:$AJ$505,"&gt;"&amp;$A231,実績!$AL$6:$AL$505,"○")&gt;0,1,0))</f>
        <v>0</v>
      </c>
      <c r="CL231" s="39" t="n">
        <f aca="false">IF(CL$4=0,0,IF(COUNTIFS(実績!$W$6:$W$505,CL$3,実績!$AI$6:$AI$505,"&lt;="&amp;$A231,実績!$AJ$6:$AJ$505,"&gt;"&amp;$A231,実績!$AL$6:$AL$505,"○")&gt;0,1,0))</f>
        <v>0</v>
      </c>
      <c r="CM231" s="39" t="n">
        <f aca="false">IF(CM$4=0,0,IF(COUNTIFS(実績!$W$6:$W$505,CM$3,実績!$AI$6:$AI$505,"&lt;="&amp;$A231,実績!$AJ$6:$AJ$505,"&gt;"&amp;$A231,実績!$AL$6:$AL$505,"○")&gt;0,1,0))</f>
        <v>0</v>
      </c>
      <c r="CN231" s="39" t="n">
        <f aca="false">IF(CN$4=0,0,IF(COUNTIFS(実績!$W$6:$W$505,CN$3,実績!$AI$6:$AI$505,"&lt;="&amp;$A231,実績!$AJ$6:$AJ$505,"&gt;"&amp;$A231,実績!$AL$6:$AL$505,"○")&gt;0,1,0))</f>
        <v>0</v>
      </c>
      <c r="CO231" s="39" t="n">
        <f aca="false">IF(CO$4=0,0,IF(COUNTIFS(実績!$W$6:$W$505,CO$3,実績!$AI$6:$AI$505,"&lt;="&amp;$A231,実績!$AJ$6:$AJ$505,"&gt;"&amp;$A231,実績!$AL$6:$AL$505,"○")&gt;0,1,0))</f>
        <v>0</v>
      </c>
      <c r="CP231" s="39" t="n">
        <f aca="false">IF(CP$4=0,0,IF(COUNTIFS(実績!$W$6:$W$505,CP$3,実績!$AI$6:$AI$505,"&lt;="&amp;$A231,実績!$AJ$6:$AJ$505,"&gt;"&amp;$A231,実績!$AL$6:$AL$505,"○")&gt;0,1,0))</f>
        <v>0</v>
      </c>
      <c r="CQ231" s="39" t="n">
        <f aca="false">IF(CQ$4=0,0,IF(COUNTIFS(実績!$W$6:$W$505,CQ$3,実績!$AI$6:$AI$505,"&lt;="&amp;$A231,実績!$AJ$6:$AJ$505,"&gt;"&amp;$A231,実績!$AL$6:$AL$505,"○")&gt;0,1,0))</f>
        <v>0</v>
      </c>
      <c r="CR231" s="39" t="n">
        <f aca="false">IF(CR$4=0,0,IF(COUNTIFS(実績!$W$6:$W$505,CR$3,実績!$AI$6:$AI$505,"&lt;="&amp;$A231,実績!$AJ$6:$AJ$505,"&gt;"&amp;$A231,実績!$AL$6:$AL$505,"○")&gt;0,1,0))</f>
        <v>0</v>
      </c>
      <c r="CS231" s="39" t="n">
        <f aca="false">IF(CS$4=0,0,IF(COUNTIFS(実績!$W$6:$W$505,CS$3,実績!$AI$6:$AI$505,"&lt;="&amp;$A231,実績!$AJ$6:$AJ$505,"&gt;"&amp;$A231,実績!$AL$6:$AL$505,"○")&gt;0,1,0))</f>
        <v>0</v>
      </c>
      <c r="CT231" s="39" t="n">
        <f aca="false">IF(CT$4=0,0,IF(COUNTIFS(実績!$W$6:$W$505,CT$3,実績!$AI$6:$AI$505,"&lt;="&amp;$A231,実績!$AJ$6:$AJ$505,"&gt;"&amp;$A231,実績!$AL$6:$AL$505,"○")&gt;0,1,0))</f>
        <v>0</v>
      </c>
      <c r="CU231" s="39" t="n">
        <f aca="false">IF(CU$4=0,0,IF(COUNTIFS(実績!$W$6:$W$505,CU$3,実績!$AI$6:$AI$505,"&lt;="&amp;$A231,実績!$AJ$6:$AJ$505,"&gt;"&amp;$A231,実績!$AL$6:$AL$505,"○")&gt;0,1,0))</f>
        <v>0</v>
      </c>
      <c r="CV231" s="39" t="n">
        <f aca="false">IF(CV$4=0,0,IF(COUNTIFS(実績!$W$6:$W$505,CV$3,実績!$AI$6:$AI$505,"&lt;="&amp;$A231,実績!$AJ$6:$AJ$505,"&gt;"&amp;$A231,実績!$AL$6:$AL$505,"○")&gt;0,1,0))</f>
        <v>0</v>
      </c>
      <c r="CW231" s="39" t="n">
        <f aca="false">IF(CW$4=0,0,IF(COUNTIFS(実績!$W$6:$W$505,CW$3,実績!$AI$6:$AI$505,"&lt;="&amp;$A231,実績!$AJ$6:$AJ$505,"&gt;"&amp;$A231,実績!$AL$6:$AL$505,"○")&gt;0,1,0))</f>
        <v>0</v>
      </c>
      <c r="CX231" s="39" t="n">
        <f aca="false">IF(CX$4=0,0,IF(COUNTIFS(実績!$W$6:$W$505,CX$3,実績!$AI$6:$AI$505,"&lt;="&amp;$A231,実績!$AJ$6:$AJ$505,"&gt;"&amp;$A231,実績!$AL$6:$AL$505,"○")&gt;0,1,0))</f>
        <v>0</v>
      </c>
      <c r="CY231" s="39" t="n">
        <f aca="false">IF(CY$4=0,0,IF(COUNTIFS(実績!$W$6:$W$505,CY$3,実績!$AI$6:$AI$505,"&lt;="&amp;$A231,実績!$AJ$6:$AJ$505,"&gt;"&amp;$A231,実績!$AL$6:$AL$505,"○")&gt;0,1,0))</f>
        <v>0</v>
      </c>
      <c r="CZ231" s="39" t="n">
        <f aca="false">IF(CZ$4=0,0,IF(COUNTIFS(実績!$W$6:$W$505,CZ$3,実績!$AI$6:$AI$505,"&lt;="&amp;$A231,実績!$AJ$6:$AJ$505,"&gt;"&amp;$A231,実績!$AL$6:$AL$505,"○")&gt;0,1,0))</f>
        <v>0</v>
      </c>
      <c r="DA231" s="39" t="n">
        <f aca="false">IF(DA$4=0,0,IF(COUNTIFS(実績!$W$6:$W$505,DA$3,実績!$AI$6:$AI$505,"&lt;="&amp;$A231,実績!$AJ$6:$AJ$505,"&gt;"&amp;$A231,実績!$AL$6:$AL$505,"○")&gt;0,1,0))</f>
        <v>0</v>
      </c>
      <c r="DB231" s="39" t="n">
        <f aca="false">IF(DB$4=0,0,IF(COUNTIFS(実績!$W$6:$W$505,DB$3,実績!$AI$6:$AI$505,"&lt;="&amp;$A231,実績!$AJ$6:$AJ$505,"&gt;"&amp;$A231,実績!$AL$6:$AL$505,"○")&gt;0,1,0))</f>
        <v>0</v>
      </c>
      <c r="DC231" s="39" t="n">
        <f aca="false">IF(DC$4=0,0,IF(COUNTIFS(実績!$W$6:$W$505,DC$3,実績!$AI$6:$AI$505,"&lt;="&amp;$A231,実績!$AJ$6:$AJ$505,"&gt;"&amp;$A231,実績!$AL$6:$AL$505,"○")&gt;0,1,0))</f>
        <v>0</v>
      </c>
      <c r="DD231" s="39" t="n">
        <f aca="false">IF(DD$4=0,0,IF(COUNTIFS(実績!$W$6:$W$505,DD$3,実績!$AI$6:$AI$505,"&lt;="&amp;$A231,実績!$AJ$6:$AJ$505,"&gt;"&amp;$A231,実績!$AL$6:$AL$505,"○")&gt;0,1,0))</f>
        <v>0</v>
      </c>
      <c r="DE231" s="39" t="n">
        <f aca="false">IF(DE$4=0,0,IF(COUNTIFS(実績!$W$6:$W$505,DE$3,実績!$AI$6:$AI$505,"&lt;="&amp;$A231,実績!$AJ$6:$AJ$505,"&gt;"&amp;$A231,実績!$AL$6:$AL$505,"○")&gt;0,1,0))</f>
        <v>0</v>
      </c>
      <c r="DF231" s="39" t="n">
        <f aca="false">IF(DF$4=0,0,IF(COUNTIFS(実績!$W$6:$W$505,DF$3,実績!$AI$6:$AI$505,"&lt;="&amp;$A231,実績!$AJ$6:$AJ$505,"&gt;"&amp;$A231,実績!$AL$6:$AL$505,"○")&gt;0,1,0))</f>
        <v>0</v>
      </c>
      <c r="DG231" s="39" t="n">
        <f aca="false">IF(DG$4=0,0,IF(COUNTIFS(実績!$W$6:$W$505,DG$3,実績!$AI$6:$AI$505,"&lt;="&amp;$A231,実績!$AJ$6:$AJ$505,"&gt;"&amp;$A231,実績!$AL$6:$AL$505,"○")&gt;0,1,0))</f>
        <v>0</v>
      </c>
      <c r="DH231" s="39" t="n">
        <f aca="false">IF(DH$4=0,0,IF(COUNTIFS(実績!$W$6:$W$505,DH$3,実績!$AI$6:$AI$505,"&lt;="&amp;$A231,実績!$AJ$6:$AJ$505,"&gt;"&amp;$A231,実績!$AL$6:$AL$505,"○")&gt;0,1,0))</f>
        <v>0</v>
      </c>
      <c r="DI231" s="39" t="n">
        <f aca="false">IF(DI$4=0,0,IF(COUNTIFS(実績!$W$6:$W$505,DI$3,実績!$AI$6:$AI$505,"&lt;="&amp;$A231,実績!$AJ$6:$AJ$505,"&gt;"&amp;$A231,実績!$AL$6:$AL$505,"○")&gt;0,1,0))</f>
        <v>0</v>
      </c>
      <c r="DJ231" s="39" t="n">
        <f aca="false">IF(DJ$4=0,0,IF(COUNTIFS(実績!$W$6:$W$505,DJ$3,実績!$AI$6:$AI$505,"&lt;="&amp;$A231,実績!$AJ$6:$AJ$505,"&gt;"&amp;$A231,実績!$AL$6:$AL$505,"○")&gt;0,1,0))</f>
        <v>0</v>
      </c>
      <c r="DK231" s="39" t="n">
        <f aca="false">IF(DK$4=0,0,IF(COUNTIFS(実績!$W$6:$W$505,DK$3,実績!$AI$6:$AI$505,"&lt;="&amp;$A231,実績!$AJ$6:$AJ$505,"&gt;"&amp;$A231,実績!$AL$6:$AL$505,"○")&gt;0,1,0))</f>
        <v>0</v>
      </c>
      <c r="DL231" s="39" t="n">
        <f aca="false">IF(DL$4=0,0,IF(COUNTIFS(実績!$W$6:$W$505,DL$3,実績!$AI$6:$AI$505,"&lt;="&amp;$A231,実績!$AJ$6:$AJ$505,"&gt;"&amp;$A231,実績!$AL$6:$AL$505,"○")&gt;0,1,0))</f>
        <v>0</v>
      </c>
      <c r="DM231" s="39" t="n">
        <f aca="false">IF(DM$4=0,0,IF(COUNTIFS(実績!$W$6:$W$505,DM$3,実績!$AI$6:$AI$505,"&lt;="&amp;$A231,実績!$AJ$6:$AJ$505,"&gt;"&amp;$A231,実績!$AL$6:$AL$505,"○")&gt;0,1,0))</f>
        <v>0</v>
      </c>
      <c r="DN231" s="39" t="n">
        <f aca="false">IF(DN$4=0,0,IF(COUNTIFS(実績!$W$6:$W$505,DN$3,実績!$AI$6:$AI$505,"&lt;="&amp;$A231,実績!$AJ$6:$AJ$505,"&gt;"&amp;$A231,実績!$AL$6:$AL$505,"○")&gt;0,1,0))</f>
        <v>0</v>
      </c>
      <c r="DO231" s="39" t="n">
        <f aca="false">IF(DO$4=0,0,IF(COUNTIFS(実績!$W$6:$W$505,DO$3,実績!$AI$6:$AI$505,"&lt;="&amp;$A231,実績!$AJ$6:$AJ$505,"&gt;"&amp;$A231,実績!$AL$6:$AL$505,"○")&gt;0,1,0))</f>
        <v>0</v>
      </c>
      <c r="DP231" s="39" t="n">
        <f aca="false">IF(DP$4=0,0,IF(COUNTIFS(実績!$W$6:$W$505,DP$3,実績!$AI$6:$AI$505,"&lt;="&amp;$A231,実績!$AJ$6:$AJ$505,"&gt;"&amp;$A231,実績!$AL$6:$AL$505,"○")&gt;0,1,0))</f>
        <v>0</v>
      </c>
      <c r="DQ231" s="39" t="n">
        <f aca="false">IF(DQ$4=0,0,IF(COUNTIFS(実績!$W$6:$W$505,DQ$3,実績!$AI$6:$AI$505,"&lt;="&amp;$A231,実績!$AJ$6:$AJ$505,"&gt;"&amp;$A231,実績!$AL$6:$AL$505,"○")&gt;0,1,0))</f>
        <v>0</v>
      </c>
      <c r="DR231" s="39" t="n">
        <f aca="false">IF(DR$4=0,0,IF(COUNTIFS(実績!$W$6:$W$505,DR$3,実績!$AI$6:$AI$505,"&lt;="&amp;$A231,実績!$AJ$6:$AJ$505,"&gt;"&amp;$A231,実績!$AL$6:$AL$505,"○")&gt;0,1,0))</f>
        <v>0</v>
      </c>
      <c r="DS231" s="39" t="n">
        <f aca="false">SUM(C231:DR231)</f>
        <v>0</v>
      </c>
    </row>
    <row r="232" customFormat="false" ht="15" hidden="false" customHeight="false" outlineLevel="0" collapsed="false">
      <c r="A232" s="0" t="n">
        <v>1130</v>
      </c>
      <c r="B232" s="38" t="n">
        <f aca="false">A232/1440</f>
        <v>0.784722222222222</v>
      </c>
      <c r="C232" s="39" t="n">
        <f aca="false">IF(C$4=0,0,IF(COUNTIFS(実績!$W$6:$W$505,C$3,実績!$AI$6:$AI$505,"&lt;="&amp;$A232,実績!$AJ$6:$AJ$505,"&gt;"&amp;$A232,実績!$AL$6:$AL$505,"○")&gt;0,1,0))</f>
        <v>0</v>
      </c>
      <c r="D232" s="39" t="n">
        <f aca="false">IF(D$4=0,0,IF(COUNTIFS(実績!$W$6:$W$505,D$3,実績!$AI$6:$AI$505,"&lt;="&amp;$A232,実績!$AJ$6:$AJ$505,"&gt;"&amp;$A232,実績!$AL$6:$AL$505,"○")&gt;0,1,0))</f>
        <v>0</v>
      </c>
      <c r="E232" s="39" t="n">
        <f aca="false">IF(E$4=0,0,IF(COUNTIFS(実績!$W$6:$W$505,E$3,実績!$AI$6:$AI$505,"&lt;="&amp;$A232,実績!$AJ$6:$AJ$505,"&gt;"&amp;$A232,実績!$AL$6:$AL$505,"○")&gt;0,1,0))</f>
        <v>0</v>
      </c>
      <c r="F232" s="39" t="n">
        <f aca="false">IF(F$4=0,0,IF(COUNTIFS(実績!$W$6:$W$505,F$3,実績!$AI$6:$AI$505,"&lt;="&amp;$A232,実績!$AJ$6:$AJ$505,"&gt;"&amp;$A232,実績!$AL$6:$AL$505,"○")&gt;0,1,0))</f>
        <v>0</v>
      </c>
      <c r="G232" s="39" t="n">
        <f aca="false">IF(G$4=0,0,IF(COUNTIFS(実績!$W$6:$W$505,G$3,実績!$AI$6:$AI$505,"&lt;="&amp;$A232,実績!$AJ$6:$AJ$505,"&gt;"&amp;$A232,実績!$AL$6:$AL$505,"○")&gt;0,1,0))</f>
        <v>0</v>
      </c>
      <c r="H232" s="39" t="n">
        <f aca="false">IF(H$4=0,0,IF(COUNTIFS(実績!$W$6:$W$505,H$3,実績!$AI$6:$AI$505,"&lt;="&amp;$A232,実績!$AJ$6:$AJ$505,"&gt;"&amp;$A232,実績!$AL$6:$AL$505,"○")&gt;0,1,0))</f>
        <v>0</v>
      </c>
      <c r="I232" s="39" t="n">
        <f aca="false">IF(I$4=0,0,IF(COUNTIFS(実績!$W$6:$W$505,I$3,実績!$AI$6:$AI$505,"&lt;="&amp;$A232,実績!$AJ$6:$AJ$505,"&gt;"&amp;$A232,実績!$AL$6:$AL$505,"○")&gt;0,1,0))</f>
        <v>0</v>
      </c>
      <c r="J232" s="39" t="n">
        <f aca="false">IF(J$4=0,0,IF(COUNTIFS(実績!$W$6:$W$505,J$3,実績!$AI$6:$AI$505,"&lt;="&amp;$A232,実績!$AJ$6:$AJ$505,"&gt;"&amp;$A232,実績!$AL$6:$AL$505,"○")&gt;0,1,0))</f>
        <v>0</v>
      </c>
      <c r="K232" s="39" t="n">
        <f aca="false">IF(K$4=0,0,IF(COUNTIFS(実績!$W$6:$W$505,K$3,実績!$AI$6:$AI$505,"&lt;="&amp;$A232,実績!$AJ$6:$AJ$505,"&gt;"&amp;$A232,実績!$AL$6:$AL$505,"○")&gt;0,1,0))</f>
        <v>0</v>
      </c>
      <c r="L232" s="39" t="n">
        <f aca="false">IF(L$4=0,0,IF(COUNTIFS(実績!$W$6:$W$505,L$3,実績!$AI$6:$AI$505,"&lt;="&amp;$A232,実績!$AJ$6:$AJ$505,"&gt;"&amp;$A232,実績!$AL$6:$AL$505,"○")&gt;0,1,0))</f>
        <v>0</v>
      </c>
      <c r="M232" s="39" t="n">
        <f aca="false">IF(M$4=0,0,IF(COUNTIFS(実績!$W$6:$W$505,M$3,実績!$AI$6:$AI$505,"&lt;="&amp;$A232,実績!$AJ$6:$AJ$505,"&gt;"&amp;$A232,実績!$AL$6:$AL$505,"○")&gt;0,1,0))</f>
        <v>0</v>
      </c>
      <c r="N232" s="39" t="n">
        <f aca="false">IF(N$4=0,0,IF(COUNTIFS(実績!$W$6:$W$505,N$3,実績!$AI$6:$AI$505,"&lt;="&amp;$A232,実績!$AJ$6:$AJ$505,"&gt;"&amp;$A232,実績!$AL$6:$AL$505,"○")&gt;0,1,0))</f>
        <v>0</v>
      </c>
      <c r="O232" s="39" t="n">
        <f aca="false">IF(O$4=0,0,IF(COUNTIFS(実績!$W$6:$W$505,O$3,実績!$AI$6:$AI$505,"&lt;="&amp;$A232,実績!$AJ$6:$AJ$505,"&gt;"&amp;$A232,実績!$AL$6:$AL$505,"○")&gt;0,1,0))</f>
        <v>0</v>
      </c>
      <c r="P232" s="39" t="n">
        <f aca="false">IF(P$4=0,0,IF(COUNTIFS(実績!$W$6:$W$505,P$3,実績!$AI$6:$AI$505,"&lt;="&amp;$A232,実績!$AJ$6:$AJ$505,"&gt;"&amp;$A232,実績!$AL$6:$AL$505,"○")&gt;0,1,0))</f>
        <v>0</v>
      </c>
      <c r="Q232" s="39" t="n">
        <f aca="false">IF(Q$4=0,0,IF(COUNTIFS(実績!$W$6:$W$505,Q$3,実績!$AI$6:$AI$505,"&lt;="&amp;$A232,実績!$AJ$6:$AJ$505,"&gt;"&amp;$A232,実績!$AL$6:$AL$505,"○")&gt;0,1,0))</f>
        <v>0</v>
      </c>
      <c r="R232" s="39" t="n">
        <f aca="false">IF(R$4=0,0,IF(COUNTIFS(実績!$W$6:$W$505,R$3,実績!$AI$6:$AI$505,"&lt;="&amp;$A232,実績!$AJ$6:$AJ$505,"&gt;"&amp;$A232,実績!$AL$6:$AL$505,"○")&gt;0,1,0))</f>
        <v>0</v>
      </c>
      <c r="S232" s="39" t="n">
        <f aca="false">IF(S$4=0,0,IF(COUNTIFS(実績!$W$6:$W$505,S$3,実績!$AI$6:$AI$505,"&lt;="&amp;$A232,実績!$AJ$6:$AJ$505,"&gt;"&amp;$A232,実績!$AL$6:$AL$505,"○")&gt;0,1,0))</f>
        <v>0</v>
      </c>
      <c r="T232" s="39" t="n">
        <f aca="false">IF(T$4=0,0,IF(COUNTIFS(実績!$W$6:$W$505,T$3,実績!$AI$6:$AI$505,"&lt;="&amp;$A232,実績!$AJ$6:$AJ$505,"&gt;"&amp;$A232,実績!$AL$6:$AL$505,"○")&gt;0,1,0))</f>
        <v>0</v>
      </c>
      <c r="U232" s="39" t="n">
        <f aca="false">IF(U$4=0,0,IF(COUNTIFS(実績!$W$6:$W$505,U$3,実績!$AI$6:$AI$505,"&lt;="&amp;$A232,実績!$AJ$6:$AJ$505,"&gt;"&amp;$A232,実績!$AL$6:$AL$505,"○")&gt;0,1,0))</f>
        <v>0</v>
      </c>
      <c r="V232" s="39" t="n">
        <f aca="false">IF(V$4=0,0,IF(COUNTIFS(実績!$W$6:$W$505,V$3,実績!$AI$6:$AI$505,"&lt;="&amp;$A232,実績!$AJ$6:$AJ$505,"&gt;"&amp;$A232,実績!$AL$6:$AL$505,"○")&gt;0,1,0))</f>
        <v>0</v>
      </c>
      <c r="W232" s="39" t="n">
        <f aca="false">IF(W$4=0,0,IF(COUNTIFS(実績!$W$6:$W$505,W$3,実績!$AI$6:$AI$505,"&lt;="&amp;$A232,実績!$AJ$6:$AJ$505,"&gt;"&amp;$A232,実績!$AL$6:$AL$505,"○")&gt;0,1,0))</f>
        <v>0</v>
      </c>
      <c r="X232" s="39" t="n">
        <f aca="false">IF(X$4=0,0,IF(COUNTIFS(実績!$W$6:$W$505,X$3,実績!$AI$6:$AI$505,"&lt;="&amp;$A232,実績!$AJ$6:$AJ$505,"&gt;"&amp;$A232,実績!$AL$6:$AL$505,"○")&gt;0,1,0))</f>
        <v>0</v>
      </c>
      <c r="Y232" s="39" t="n">
        <f aca="false">IF(Y$4=0,0,IF(COUNTIFS(実績!$W$6:$W$505,Y$3,実績!$AI$6:$AI$505,"&lt;="&amp;$A232,実績!$AJ$6:$AJ$505,"&gt;"&amp;$A232,実績!$AL$6:$AL$505,"○")&gt;0,1,0))</f>
        <v>0</v>
      </c>
      <c r="Z232" s="39" t="n">
        <f aca="false">IF(Z$4=0,0,IF(COUNTIFS(実績!$W$6:$W$505,Z$3,実績!$AI$6:$AI$505,"&lt;="&amp;$A232,実績!$AJ$6:$AJ$505,"&gt;"&amp;$A232,実績!$AL$6:$AL$505,"○")&gt;0,1,0))</f>
        <v>0</v>
      </c>
      <c r="AA232" s="39" t="n">
        <f aca="false">IF(AA$4=0,0,IF(COUNTIFS(実績!$W$6:$W$505,AA$3,実績!$AI$6:$AI$505,"&lt;="&amp;$A232,実績!$AJ$6:$AJ$505,"&gt;"&amp;$A232,実績!$AL$6:$AL$505,"○")&gt;0,1,0))</f>
        <v>0</v>
      </c>
      <c r="AB232" s="39" t="n">
        <f aca="false">IF(AB$4=0,0,IF(COUNTIFS(実績!$W$6:$W$505,AB$3,実績!$AI$6:$AI$505,"&lt;="&amp;$A232,実績!$AJ$6:$AJ$505,"&gt;"&amp;$A232,実績!$AL$6:$AL$505,"○")&gt;0,1,0))</f>
        <v>0</v>
      </c>
      <c r="AC232" s="39" t="n">
        <f aca="false">IF(AC$4=0,0,IF(COUNTIFS(実績!$W$6:$W$505,AC$3,実績!$AI$6:$AI$505,"&lt;="&amp;$A232,実績!$AJ$6:$AJ$505,"&gt;"&amp;$A232,実績!$AL$6:$AL$505,"○")&gt;0,1,0))</f>
        <v>0</v>
      </c>
      <c r="AD232" s="39" t="n">
        <f aca="false">IF(AD$4=0,0,IF(COUNTIFS(実績!$W$6:$W$505,AD$3,実績!$AI$6:$AI$505,"&lt;="&amp;$A232,実績!$AJ$6:$AJ$505,"&gt;"&amp;$A232,実績!$AL$6:$AL$505,"○")&gt;0,1,0))</f>
        <v>0</v>
      </c>
      <c r="AE232" s="39" t="n">
        <f aca="false">IF(AE$4=0,0,IF(COUNTIFS(実績!$W$6:$W$505,AE$3,実績!$AI$6:$AI$505,"&lt;="&amp;$A232,実績!$AJ$6:$AJ$505,"&gt;"&amp;$A232,実績!$AL$6:$AL$505,"○")&gt;0,1,0))</f>
        <v>0</v>
      </c>
      <c r="AF232" s="39" t="n">
        <f aca="false">IF(AF$4=0,0,IF(COUNTIFS(実績!$W$6:$W$505,AF$3,実績!$AI$6:$AI$505,"&lt;="&amp;$A232,実績!$AJ$6:$AJ$505,"&gt;"&amp;$A232,実績!$AL$6:$AL$505,"○")&gt;0,1,0))</f>
        <v>0</v>
      </c>
      <c r="AG232" s="39" t="n">
        <f aca="false">IF(AG$4=0,0,IF(COUNTIFS(実績!$W$6:$W$505,AG$3,実績!$AI$6:$AI$505,"&lt;="&amp;$A232,実績!$AJ$6:$AJ$505,"&gt;"&amp;$A232,実績!$AL$6:$AL$505,"○")&gt;0,1,0))</f>
        <v>0</v>
      </c>
      <c r="AH232" s="39" t="n">
        <f aca="false">IF(AH$4=0,0,IF(COUNTIFS(実績!$W$6:$W$505,AH$3,実績!$AI$6:$AI$505,"&lt;="&amp;$A232,実績!$AJ$6:$AJ$505,"&gt;"&amp;$A232,実績!$AL$6:$AL$505,"○")&gt;0,1,0))</f>
        <v>0</v>
      </c>
      <c r="AI232" s="39" t="n">
        <f aca="false">IF(AI$4=0,0,IF(COUNTIFS(実績!$W$6:$W$505,AI$3,実績!$AI$6:$AI$505,"&lt;="&amp;$A232,実績!$AJ$6:$AJ$505,"&gt;"&amp;$A232,実績!$AL$6:$AL$505,"○")&gt;0,1,0))</f>
        <v>0</v>
      </c>
      <c r="AJ232" s="39" t="n">
        <f aca="false">IF(AJ$4=0,0,IF(COUNTIFS(実績!$W$6:$W$505,AJ$3,実績!$AI$6:$AI$505,"&lt;="&amp;$A232,実績!$AJ$6:$AJ$505,"&gt;"&amp;$A232,実績!$AL$6:$AL$505,"○")&gt;0,1,0))</f>
        <v>0</v>
      </c>
      <c r="AK232" s="39" t="n">
        <f aca="false">IF(AK$4=0,0,IF(COUNTIFS(実績!$W$6:$W$505,AK$3,実績!$AI$6:$AI$505,"&lt;="&amp;$A232,実績!$AJ$6:$AJ$505,"&gt;"&amp;$A232,実績!$AL$6:$AL$505,"○")&gt;0,1,0))</f>
        <v>0</v>
      </c>
      <c r="AL232" s="39" t="n">
        <f aca="false">IF(AL$4=0,0,IF(COUNTIFS(実績!$W$6:$W$505,AL$3,実績!$AI$6:$AI$505,"&lt;="&amp;$A232,実績!$AJ$6:$AJ$505,"&gt;"&amp;$A232,実績!$AL$6:$AL$505,"○")&gt;0,1,0))</f>
        <v>0</v>
      </c>
      <c r="AM232" s="39" t="n">
        <f aca="false">IF(AM$4=0,0,IF(COUNTIFS(実績!$W$6:$W$505,AM$3,実績!$AI$6:$AI$505,"&lt;="&amp;$A232,実績!$AJ$6:$AJ$505,"&gt;"&amp;$A232,実績!$AL$6:$AL$505,"○")&gt;0,1,0))</f>
        <v>0</v>
      </c>
      <c r="AN232" s="39" t="n">
        <f aca="false">IF(AN$4=0,0,IF(COUNTIFS(実績!$W$6:$W$505,AN$3,実績!$AI$6:$AI$505,"&lt;="&amp;$A232,実績!$AJ$6:$AJ$505,"&gt;"&amp;$A232,実績!$AL$6:$AL$505,"○")&gt;0,1,0))</f>
        <v>0</v>
      </c>
      <c r="AO232" s="39" t="n">
        <f aca="false">IF(AO$4=0,0,IF(COUNTIFS(実績!$W$6:$W$505,AO$3,実績!$AI$6:$AI$505,"&lt;="&amp;$A232,実績!$AJ$6:$AJ$505,"&gt;"&amp;$A232,実績!$AL$6:$AL$505,"○")&gt;0,1,0))</f>
        <v>0</v>
      </c>
      <c r="AP232" s="39" t="n">
        <f aca="false">IF(AP$4=0,0,IF(COUNTIFS(実績!$W$6:$W$505,AP$3,実績!$AI$6:$AI$505,"&lt;="&amp;$A232,実績!$AJ$6:$AJ$505,"&gt;"&amp;$A232,実績!$AL$6:$AL$505,"○")&gt;0,1,0))</f>
        <v>0</v>
      </c>
      <c r="AQ232" s="39" t="n">
        <f aca="false">IF(AQ$4=0,0,IF(COUNTIFS(実績!$W$6:$W$505,AQ$3,実績!$AI$6:$AI$505,"&lt;="&amp;$A232,実績!$AJ$6:$AJ$505,"&gt;"&amp;$A232,実績!$AL$6:$AL$505,"○")&gt;0,1,0))</f>
        <v>0</v>
      </c>
      <c r="AR232" s="39" t="n">
        <f aca="false">IF(AR$4=0,0,IF(COUNTIFS(実績!$W$6:$W$505,AR$3,実績!$AI$6:$AI$505,"&lt;="&amp;$A232,実績!$AJ$6:$AJ$505,"&gt;"&amp;$A232,実績!$AL$6:$AL$505,"○")&gt;0,1,0))</f>
        <v>0</v>
      </c>
      <c r="AS232" s="39" t="n">
        <f aca="false">IF(AS$4=0,0,IF(COUNTIFS(実績!$W$6:$W$505,AS$3,実績!$AI$6:$AI$505,"&lt;="&amp;$A232,実績!$AJ$6:$AJ$505,"&gt;"&amp;$A232,実績!$AL$6:$AL$505,"○")&gt;0,1,0))</f>
        <v>0</v>
      </c>
      <c r="AT232" s="39" t="n">
        <f aca="false">IF(AT$4=0,0,IF(COUNTIFS(実績!$W$6:$W$505,AT$3,実績!$AI$6:$AI$505,"&lt;="&amp;$A232,実績!$AJ$6:$AJ$505,"&gt;"&amp;$A232,実績!$AL$6:$AL$505,"○")&gt;0,1,0))</f>
        <v>0</v>
      </c>
      <c r="AU232" s="39" t="n">
        <f aca="false">IF(AU$4=0,0,IF(COUNTIFS(実績!$W$6:$W$505,AU$3,実績!$AI$6:$AI$505,"&lt;="&amp;$A232,実績!$AJ$6:$AJ$505,"&gt;"&amp;$A232,実績!$AL$6:$AL$505,"○")&gt;0,1,0))</f>
        <v>0</v>
      </c>
      <c r="AV232" s="39" t="n">
        <f aca="false">IF(AV$4=0,0,IF(COUNTIFS(実績!$W$6:$W$505,AV$3,実績!$AI$6:$AI$505,"&lt;="&amp;$A232,実績!$AJ$6:$AJ$505,"&gt;"&amp;$A232,実績!$AL$6:$AL$505,"○")&gt;0,1,0))</f>
        <v>0</v>
      </c>
      <c r="AW232" s="39" t="n">
        <f aca="false">IF(AW$4=0,0,IF(COUNTIFS(実績!$W$6:$W$505,AW$3,実績!$AI$6:$AI$505,"&lt;="&amp;$A232,実績!$AJ$6:$AJ$505,"&gt;"&amp;$A232,実績!$AL$6:$AL$505,"○")&gt;0,1,0))</f>
        <v>0</v>
      </c>
      <c r="AX232" s="39" t="n">
        <f aca="false">IF(AX$4=0,0,IF(COUNTIFS(実績!$W$6:$W$505,AX$3,実績!$AI$6:$AI$505,"&lt;="&amp;$A232,実績!$AJ$6:$AJ$505,"&gt;"&amp;$A232,実績!$AL$6:$AL$505,"○")&gt;0,1,0))</f>
        <v>0</v>
      </c>
      <c r="AY232" s="39" t="n">
        <f aca="false">IF(AY$4=0,0,IF(COUNTIFS(実績!$W$6:$W$505,AY$3,実績!$AI$6:$AI$505,"&lt;="&amp;$A232,実績!$AJ$6:$AJ$505,"&gt;"&amp;$A232,実績!$AL$6:$AL$505,"○")&gt;0,1,0))</f>
        <v>0</v>
      </c>
      <c r="AZ232" s="39" t="n">
        <f aca="false">IF(AZ$4=0,0,IF(COUNTIFS(実績!$W$6:$W$505,AZ$3,実績!$AI$6:$AI$505,"&lt;="&amp;$A232,実績!$AJ$6:$AJ$505,"&gt;"&amp;$A232,実績!$AL$6:$AL$505,"○")&gt;0,1,0))</f>
        <v>0</v>
      </c>
      <c r="BA232" s="39" t="n">
        <f aca="false">IF(BA$4=0,0,IF(COUNTIFS(実績!$W$6:$W$505,BA$3,実績!$AI$6:$AI$505,"&lt;="&amp;$A232,実績!$AJ$6:$AJ$505,"&gt;"&amp;$A232,実績!$AL$6:$AL$505,"○")&gt;0,1,0))</f>
        <v>0</v>
      </c>
      <c r="BB232" s="39" t="n">
        <f aca="false">IF(BB$4=0,0,IF(COUNTIFS(実績!$W$6:$W$505,BB$3,実績!$AI$6:$AI$505,"&lt;="&amp;$A232,実績!$AJ$6:$AJ$505,"&gt;"&amp;$A232,実績!$AL$6:$AL$505,"○")&gt;0,1,0))</f>
        <v>0</v>
      </c>
      <c r="BC232" s="39" t="n">
        <f aca="false">IF(BC$4=0,0,IF(COUNTIFS(実績!$W$6:$W$505,BC$3,実績!$AI$6:$AI$505,"&lt;="&amp;$A232,実績!$AJ$6:$AJ$505,"&gt;"&amp;$A232,実績!$AL$6:$AL$505,"○")&gt;0,1,0))</f>
        <v>0</v>
      </c>
      <c r="BD232" s="39" t="n">
        <f aca="false">IF(BD$4=0,0,IF(COUNTIFS(実績!$W$6:$W$505,BD$3,実績!$AI$6:$AI$505,"&lt;="&amp;$A232,実績!$AJ$6:$AJ$505,"&gt;"&amp;$A232,実績!$AL$6:$AL$505,"○")&gt;0,1,0))</f>
        <v>0</v>
      </c>
      <c r="BE232" s="39" t="n">
        <f aca="false">IF(BE$4=0,0,IF(COUNTIFS(実績!$W$6:$W$505,BE$3,実績!$AI$6:$AI$505,"&lt;="&amp;$A232,実績!$AJ$6:$AJ$505,"&gt;"&amp;$A232,実績!$AL$6:$AL$505,"○")&gt;0,1,0))</f>
        <v>0</v>
      </c>
      <c r="BF232" s="39" t="n">
        <f aca="false">IF(BF$4=0,0,IF(COUNTIFS(実績!$W$6:$W$505,BF$3,実績!$AI$6:$AI$505,"&lt;="&amp;$A232,実績!$AJ$6:$AJ$505,"&gt;"&amp;$A232,実績!$AL$6:$AL$505,"○")&gt;0,1,0))</f>
        <v>0</v>
      </c>
      <c r="BG232" s="39" t="n">
        <f aca="false">IF(BG$4=0,0,IF(COUNTIFS(実績!$W$6:$W$505,BG$3,実績!$AI$6:$AI$505,"&lt;="&amp;$A232,実績!$AJ$6:$AJ$505,"&gt;"&amp;$A232,実績!$AL$6:$AL$505,"○")&gt;0,1,0))</f>
        <v>0</v>
      </c>
      <c r="BH232" s="39" t="n">
        <f aca="false">IF(BH$4=0,0,IF(COUNTIFS(実績!$W$6:$W$505,BH$3,実績!$AI$6:$AI$505,"&lt;="&amp;$A232,実績!$AJ$6:$AJ$505,"&gt;"&amp;$A232,実績!$AL$6:$AL$505,"○")&gt;0,1,0))</f>
        <v>0</v>
      </c>
      <c r="BI232" s="39" t="n">
        <f aca="false">IF(BI$4=0,0,IF(COUNTIFS(実績!$W$6:$W$505,BI$3,実績!$AI$6:$AI$505,"&lt;="&amp;$A232,実績!$AJ$6:$AJ$505,"&gt;"&amp;$A232,実績!$AL$6:$AL$505,"○")&gt;0,1,0))</f>
        <v>0</v>
      </c>
      <c r="BJ232" s="39" t="n">
        <f aca="false">IF(BJ$4=0,0,IF(COUNTIFS(実績!$W$6:$W$505,BJ$3,実績!$AI$6:$AI$505,"&lt;="&amp;$A232,実績!$AJ$6:$AJ$505,"&gt;"&amp;$A232,実績!$AL$6:$AL$505,"○")&gt;0,1,0))</f>
        <v>0</v>
      </c>
      <c r="BK232" s="39" t="n">
        <f aca="false">IF(BK$4=0,0,IF(COUNTIFS(実績!$W$6:$W$505,BK$3,実績!$AI$6:$AI$505,"&lt;="&amp;$A232,実績!$AJ$6:$AJ$505,"&gt;"&amp;$A232,実績!$AL$6:$AL$505,"○")&gt;0,1,0))</f>
        <v>0</v>
      </c>
      <c r="BL232" s="39" t="n">
        <f aca="false">IF(BL$4=0,0,IF(COUNTIFS(実績!$W$6:$W$505,BL$3,実績!$AI$6:$AI$505,"&lt;="&amp;$A232,実績!$AJ$6:$AJ$505,"&gt;"&amp;$A232,実績!$AL$6:$AL$505,"○")&gt;0,1,0))</f>
        <v>0</v>
      </c>
      <c r="BM232" s="39" t="n">
        <f aca="false">IF(BM$4=0,0,IF(COUNTIFS(実績!$W$6:$W$505,BM$3,実績!$AI$6:$AI$505,"&lt;="&amp;$A232,実績!$AJ$6:$AJ$505,"&gt;"&amp;$A232,実績!$AL$6:$AL$505,"○")&gt;0,1,0))</f>
        <v>0</v>
      </c>
      <c r="BN232" s="39" t="n">
        <f aca="false">IF(BN$4=0,0,IF(COUNTIFS(実績!$W$6:$W$505,BN$3,実績!$AI$6:$AI$505,"&lt;="&amp;$A232,実績!$AJ$6:$AJ$505,"&gt;"&amp;$A232,実績!$AL$6:$AL$505,"○")&gt;0,1,0))</f>
        <v>0</v>
      </c>
      <c r="BO232" s="39" t="n">
        <f aca="false">IF(BO$4=0,0,IF(COUNTIFS(実績!$W$6:$W$505,BO$3,実績!$AI$6:$AI$505,"&lt;="&amp;$A232,実績!$AJ$6:$AJ$505,"&gt;"&amp;$A232,実績!$AL$6:$AL$505,"○")&gt;0,1,0))</f>
        <v>0</v>
      </c>
      <c r="BP232" s="39" t="n">
        <f aca="false">IF(BP$4=0,0,IF(COUNTIFS(実績!$W$6:$W$505,BP$3,実績!$AI$6:$AI$505,"&lt;="&amp;$A232,実績!$AJ$6:$AJ$505,"&gt;"&amp;$A232,実績!$AL$6:$AL$505,"○")&gt;0,1,0))</f>
        <v>0</v>
      </c>
      <c r="BQ232" s="39" t="n">
        <f aca="false">IF(BQ$4=0,0,IF(COUNTIFS(実績!$W$6:$W$505,BQ$3,実績!$AI$6:$AI$505,"&lt;="&amp;$A232,実績!$AJ$6:$AJ$505,"&gt;"&amp;$A232,実績!$AL$6:$AL$505,"○")&gt;0,1,0))</f>
        <v>0</v>
      </c>
      <c r="BR232" s="39" t="n">
        <f aca="false">IF(BR$4=0,0,IF(COUNTIFS(実績!$W$6:$W$505,BR$3,実績!$AI$6:$AI$505,"&lt;="&amp;$A232,実績!$AJ$6:$AJ$505,"&gt;"&amp;$A232,実績!$AL$6:$AL$505,"○")&gt;0,1,0))</f>
        <v>0</v>
      </c>
      <c r="BS232" s="39" t="n">
        <f aca="false">IF(BS$4=0,0,IF(COUNTIFS(実績!$W$6:$W$505,BS$3,実績!$AI$6:$AI$505,"&lt;="&amp;$A232,実績!$AJ$6:$AJ$505,"&gt;"&amp;$A232,実績!$AL$6:$AL$505,"○")&gt;0,1,0))</f>
        <v>0</v>
      </c>
      <c r="BT232" s="39" t="n">
        <f aca="false">IF(BT$4=0,0,IF(COUNTIFS(実績!$W$6:$W$505,BT$3,実績!$AI$6:$AI$505,"&lt;="&amp;$A232,実績!$AJ$6:$AJ$505,"&gt;"&amp;$A232,実績!$AL$6:$AL$505,"○")&gt;0,1,0))</f>
        <v>0</v>
      </c>
      <c r="BU232" s="39" t="n">
        <f aca="false">IF(BU$4=0,0,IF(COUNTIFS(実績!$W$6:$W$505,BU$3,実績!$AI$6:$AI$505,"&lt;="&amp;$A232,実績!$AJ$6:$AJ$505,"&gt;"&amp;$A232,実績!$AL$6:$AL$505,"○")&gt;0,1,0))</f>
        <v>0</v>
      </c>
      <c r="BV232" s="39" t="n">
        <f aca="false">IF(BV$4=0,0,IF(COUNTIFS(実績!$W$6:$W$505,BV$3,実績!$AI$6:$AI$505,"&lt;="&amp;$A232,実績!$AJ$6:$AJ$505,"&gt;"&amp;$A232,実績!$AL$6:$AL$505,"○")&gt;0,1,0))</f>
        <v>0</v>
      </c>
      <c r="BW232" s="39" t="n">
        <f aca="false">IF(BW$4=0,0,IF(COUNTIFS(実績!$W$6:$W$505,BW$3,実績!$AI$6:$AI$505,"&lt;="&amp;$A232,実績!$AJ$6:$AJ$505,"&gt;"&amp;$A232,実績!$AL$6:$AL$505,"○")&gt;0,1,0))</f>
        <v>0</v>
      </c>
      <c r="BX232" s="39" t="n">
        <f aca="false">IF(BX$4=0,0,IF(COUNTIFS(実績!$W$6:$W$505,BX$3,実績!$AI$6:$AI$505,"&lt;="&amp;$A232,実績!$AJ$6:$AJ$505,"&gt;"&amp;$A232,実績!$AL$6:$AL$505,"○")&gt;0,1,0))</f>
        <v>0</v>
      </c>
      <c r="BY232" s="39" t="n">
        <f aca="false">IF(BY$4=0,0,IF(COUNTIFS(実績!$W$6:$W$505,BY$3,実績!$AI$6:$AI$505,"&lt;="&amp;$A232,実績!$AJ$6:$AJ$505,"&gt;"&amp;$A232,実績!$AL$6:$AL$505,"○")&gt;0,1,0))</f>
        <v>0</v>
      </c>
      <c r="BZ232" s="39" t="n">
        <f aca="false">IF(BZ$4=0,0,IF(COUNTIFS(実績!$W$6:$W$505,BZ$3,実績!$AI$6:$AI$505,"&lt;="&amp;$A232,実績!$AJ$6:$AJ$505,"&gt;"&amp;$A232,実績!$AL$6:$AL$505,"○")&gt;0,1,0))</f>
        <v>0</v>
      </c>
      <c r="CA232" s="39" t="n">
        <f aca="false">IF(CA$4=0,0,IF(COUNTIFS(実績!$W$6:$W$505,CA$3,実績!$AI$6:$AI$505,"&lt;="&amp;$A232,実績!$AJ$6:$AJ$505,"&gt;"&amp;$A232,実績!$AL$6:$AL$505,"○")&gt;0,1,0))</f>
        <v>0</v>
      </c>
      <c r="CB232" s="39" t="n">
        <f aca="false">IF(CB$4=0,0,IF(COUNTIFS(実績!$W$6:$W$505,CB$3,実績!$AI$6:$AI$505,"&lt;="&amp;$A232,実績!$AJ$6:$AJ$505,"&gt;"&amp;$A232,実績!$AL$6:$AL$505,"○")&gt;0,1,0))</f>
        <v>0</v>
      </c>
      <c r="CC232" s="39" t="n">
        <f aca="false">IF(CC$4=0,0,IF(COUNTIFS(実績!$W$6:$W$505,CC$3,実績!$AI$6:$AI$505,"&lt;="&amp;$A232,実績!$AJ$6:$AJ$505,"&gt;"&amp;$A232,実績!$AL$6:$AL$505,"○")&gt;0,1,0))</f>
        <v>0</v>
      </c>
      <c r="CD232" s="39" t="n">
        <f aca="false">IF(CD$4=0,0,IF(COUNTIFS(実績!$W$6:$W$505,CD$3,実績!$AI$6:$AI$505,"&lt;="&amp;$A232,実績!$AJ$6:$AJ$505,"&gt;"&amp;$A232,実績!$AL$6:$AL$505,"○")&gt;0,1,0))</f>
        <v>0</v>
      </c>
      <c r="CE232" s="39" t="n">
        <f aca="false">IF(CE$4=0,0,IF(COUNTIFS(実績!$W$6:$W$505,CE$3,実績!$AI$6:$AI$505,"&lt;="&amp;$A232,実績!$AJ$6:$AJ$505,"&gt;"&amp;$A232,実績!$AL$6:$AL$505,"○")&gt;0,1,0))</f>
        <v>0</v>
      </c>
      <c r="CF232" s="39" t="n">
        <f aca="false">IF(CF$4=0,0,IF(COUNTIFS(実績!$W$6:$W$505,CF$3,実績!$AI$6:$AI$505,"&lt;="&amp;$A232,実績!$AJ$6:$AJ$505,"&gt;"&amp;$A232,実績!$AL$6:$AL$505,"○")&gt;0,1,0))</f>
        <v>0</v>
      </c>
      <c r="CG232" s="39" t="n">
        <f aca="false">IF(CG$4=0,0,IF(COUNTIFS(実績!$W$6:$W$505,CG$3,実績!$AI$6:$AI$505,"&lt;="&amp;$A232,実績!$AJ$6:$AJ$505,"&gt;"&amp;$A232,実績!$AL$6:$AL$505,"○")&gt;0,1,0))</f>
        <v>0</v>
      </c>
      <c r="CH232" s="39" t="n">
        <f aca="false">IF(CH$4=0,0,IF(COUNTIFS(実績!$W$6:$W$505,CH$3,実績!$AI$6:$AI$505,"&lt;="&amp;$A232,実績!$AJ$6:$AJ$505,"&gt;"&amp;$A232,実績!$AL$6:$AL$505,"○")&gt;0,1,0))</f>
        <v>0</v>
      </c>
      <c r="CI232" s="39" t="n">
        <f aca="false">IF(CI$4=0,0,IF(COUNTIFS(実績!$W$6:$W$505,CI$3,実績!$AI$6:$AI$505,"&lt;="&amp;$A232,実績!$AJ$6:$AJ$505,"&gt;"&amp;$A232,実績!$AL$6:$AL$505,"○")&gt;0,1,0))</f>
        <v>0</v>
      </c>
      <c r="CJ232" s="39" t="n">
        <f aca="false">IF(CJ$4=0,0,IF(COUNTIFS(実績!$W$6:$W$505,CJ$3,実績!$AI$6:$AI$505,"&lt;="&amp;$A232,実績!$AJ$6:$AJ$505,"&gt;"&amp;$A232,実績!$AL$6:$AL$505,"○")&gt;0,1,0))</f>
        <v>0</v>
      </c>
      <c r="CK232" s="39" t="n">
        <f aca="false">IF(CK$4=0,0,IF(COUNTIFS(実績!$W$6:$W$505,CK$3,実績!$AI$6:$AI$505,"&lt;="&amp;$A232,実績!$AJ$6:$AJ$505,"&gt;"&amp;$A232,実績!$AL$6:$AL$505,"○")&gt;0,1,0))</f>
        <v>0</v>
      </c>
      <c r="CL232" s="39" t="n">
        <f aca="false">IF(CL$4=0,0,IF(COUNTIFS(実績!$W$6:$W$505,CL$3,実績!$AI$6:$AI$505,"&lt;="&amp;$A232,実績!$AJ$6:$AJ$505,"&gt;"&amp;$A232,実績!$AL$6:$AL$505,"○")&gt;0,1,0))</f>
        <v>0</v>
      </c>
      <c r="CM232" s="39" t="n">
        <f aca="false">IF(CM$4=0,0,IF(COUNTIFS(実績!$W$6:$W$505,CM$3,実績!$AI$6:$AI$505,"&lt;="&amp;$A232,実績!$AJ$6:$AJ$505,"&gt;"&amp;$A232,実績!$AL$6:$AL$505,"○")&gt;0,1,0))</f>
        <v>0</v>
      </c>
      <c r="CN232" s="39" t="n">
        <f aca="false">IF(CN$4=0,0,IF(COUNTIFS(実績!$W$6:$W$505,CN$3,実績!$AI$6:$AI$505,"&lt;="&amp;$A232,実績!$AJ$6:$AJ$505,"&gt;"&amp;$A232,実績!$AL$6:$AL$505,"○")&gt;0,1,0))</f>
        <v>0</v>
      </c>
      <c r="CO232" s="39" t="n">
        <f aca="false">IF(CO$4=0,0,IF(COUNTIFS(実績!$W$6:$W$505,CO$3,実績!$AI$6:$AI$505,"&lt;="&amp;$A232,実績!$AJ$6:$AJ$505,"&gt;"&amp;$A232,実績!$AL$6:$AL$505,"○")&gt;0,1,0))</f>
        <v>0</v>
      </c>
      <c r="CP232" s="39" t="n">
        <f aca="false">IF(CP$4=0,0,IF(COUNTIFS(実績!$W$6:$W$505,CP$3,実績!$AI$6:$AI$505,"&lt;="&amp;$A232,実績!$AJ$6:$AJ$505,"&gt;"&amp;$A232,実績!$AL$6:$AL$505,"○")&gt;0,1,0))</f>
        <v>0</v>
      </c>
      <c r="CQ232" s="39" t="n">
        <f aca="false">IF(CQ$4=0,0,IF(COUNTIFS(実績!$W$6:$W$505,CQ$3,実績!$AI$6:$AI$505,"&lt;="&amp;$A232,実績!$AJ$6:$AJ$505,"&gt;"&amp;$A232,実績!$AL$6:$AL$505,"○")&gt;0,1,0))</f>
        <v>0</v>
      </c>
      <c r="CR232" s="39" t="n">
        <f aca="false">IF(CR$4=0,0,IF(COUNTIFS(実績!$W$6:$W$505,CR$3,実績!$AI$6:$AI$505,"&lt;="&amp;$A232,実績!$AJ$6:$AJ$505,"&gt;"&amp;$A232,実績!$AL$6:$AL$505,"○")&gt;0,1,0))</f>
        <v>0</v>
      </c>
      <c r="CS232" s="39" t="n">
        <f aca="false">IF(CS$4=0,0,IF(COUNTIFS(実績!$W$6:$W$505,CS$3,実績!$AI$6:$AI$505,"&lt;="&amp;$A232,実績!$AJ$6:$AJ$505,"&gt;"&amp;$A232,実績!$AL$6:$AL$505,"○")&gt;0,1,0))</f>
        <v>0</v>
      </c>
      <c r="CT232" s="39" t="n">
        <f aca="false">IF(CT$4=0,0,IF(COUNTIFS(実績!$W$6:$W$505,CT$3,実績!$AI$6:$AI$505,"&lt;="&amp;$A232,実績!$AJ$6:$AJ$505,"&gt;"&amp;$A232,実績!$AL$6:$AL$505,"○")&gt;0,1,0))</f>
        <v>0</v>
      </c>
      <c r="CU232" s="39" t="n">
        <f aca="false">IF(CU$4=0,0,IF(COUNTIFS(実績!$W$6:$W$505,CU$3,実績!$AI$6:$AI$505,"&lt;="&amp;$A232,実績!$AJ$6:$AJ$505,"&gt;"&amp;$A232,実績!$AL$6:$AL$505,"○")&gt;0,1,0))</f>
        <v>0</v>
      </c>
      <c r="CV232" s="39" t="n">
        <f aca="false">IF(CV$4=0,0,IF(COUNTIFS(実績!$W$6:$W$505,CV$3,実績!$AI$6:$AI$505,"&lt;="&amp;$A232,実績!$AJ$6:$AJ$505,"&gt;"&amp;$A232,実績!$AL$6:$AL$505,"○")&gt;0,1,0))</f>
        <v>0</v>
      </c>
      <c r="CW232" s="39" t="n">
        <f aca="false">IF(CW$4=0,0,IF(COUNTIFS(実績!$W$6:$W$505,CW$3,実績!$AI$6:$AI$505,"&lt;="&amp;$A232,実績!$AJ$6:$AJ$505,"&gt;"&amp;$A232,実績!$AL$6:$AL$505,"○")&gt;0,1,0))</f>
        <v>0</v>
      </c>
      <c r="CX232" s="39" t="n">
        <f aca="false">IF(CX$4=0,0,IF(COUNTIFS(実績!$W$6:$W$505,CX$3,実績!$AI$6:$AI$505,"&lt;="&amp;$A232,実績!$AJ$6:$AJ$505,"&gt;"&amp;$A232,実績!$AL$6:$AL$505,"○")&gt;0,1,0))</f>
        <v>0</v>
      </c>
      <c r="CY232" s="39" t="n">
        <f aca="false">IF(CY$4=0,0,IF(COUNTIFS(実績!$W$6:$W$505,CY$3,実績!$AI$6:$AI$505,"&lt;="&amp;$A232,実績!$AJ$6:$AJ$505,"&gt;"&amp;$A232,実績!$AL$6:$AL$505,"○")&gt;0,1,0))</f>
        <v>0</v>
      </c>
      <c r="CZ232" s="39" t="n">
        <f aca="false">IF(CZ$4=0,0,IF(COUNTIFS(実績!$W$6:$W$505,CZ$3,実績!$AI$6:$AI$505,"&lt;="&amp;$A232,実績!$AJ$6:$AJ$505,"&gt;"&amp;$A232,実績!$AL$6:$AL$505,"○")&gt;0,1,0))</f>
        <v>0</v>
      </c>
      <c r="DA232" s="39" t="n">
        <f aca="false">IF(DA$4=0,0,IF(COUNTIFS(実績!$W$6:$W$505,DA$3,実績!$AI$6:$AI$505,"&lt;="&amp;$A232,実績!$AJ$6:$AJ$505,"&gt;"&amp;$A232,実績!$AL$6:$AL$505,"○")&gt;0,1,0))</f>
        <v>0</v>
      </c>
      <c r="DB232" s="39" t="n">
        <f aca="false">IF(DB$4=0,0,IF(COUNTIFS(実績!$W$6:$W$505,DB$3,実績!$AI$6:$AI$505,"&lt;="&amp;$A232,実績!$AJ$6:$AJ$505,"&gt;"&amp;$A232,実績!$AL$6:$AL$505,"○")&gt;0,1,0))</f>
        <v>0</v>
      </c>
      <c r="DC232" s="39" t="n">
        <f aca="false">IF(DC$4=0,0,IF(COUNTIFS(実績!$W$6:$W$505,DC$3,実績!$AI$6:$AI$505,"&lt;="&amp;$A232,実績!$AJ$6:$AJ$505,"&gt;"&amp;$A232,実績!$AL$6:$AL$505,"○")&gt;0,1,0))</f>
        <v>0</v>
      </c>
      <c r="DD232" s="39" t="n">
        <f aca="false">IF(DD$4=0,0,IF(COUNTIFS(実績!$W$6:$W$505,DD$3,実績!$AI$6:$AI$505,"&lt;="&amp;$A232,実績!$AJ$6:$AJ$505,"&gt;"&amp;$A232,実績!$AL$6:$AL$505,"○")&gt;0,1,0))</f>
        <v>0</v>
      </c>
      <c r="DE232" s="39" t="n">
        <f aca="false">IF(DE$4=0,0,IF(COUNTIFS(実績!$W$6:$W$505,DE$3,実績!$AI$6:$AI$505,"&lt;="&amp;$A232,実績!$AJ$6:$AJ$505,"&gt;"&amp;$A232,実績!$AL$6:$AL$505,"○")&gt;0,1,0))</f>
        <v>0</v>
      </c>
      <c r="DF232" s="39" t="n">
        <f aca="false">IF(DF$4=0,0,IF(COUNTIFS(実績!$W$6:$W$505,DF$3,実績!$AI$6:$AI$505,"&lt;="&amp;$A232,実績!$AJ$6:$AJ$505,"&gt;"&amp;$A232,実績!$AL$6:$AL$505,"○")&gt;0,1,0))</f>
        <v>0</v>
      </c>
      <c r="DG232" s="39" t="n">
        <f aca="false">IF(DG$4=0,0,IF(COUNTIFS(実績!$W$6:$W$505,DG$3,実績!$AI$6:$AI$505,"&lt;="&amp;$A232,実績!$AJ$6:$AJ$505,"&gt;"&amp;$A232,実績!$AL$6:$AL$505,"○")&gt;0,1,0))</f>
        <v>0</v>
      </c>
      <c r="DH232" s="39" t="n">
        <f aca="false">IF(DH$4=0,0,IF(COUNTIFS(実績!$W$6:$W$505,DH$3,実績!$AI$6:$AI$505,"&lt;="&amp;$A232,実績!$AJ$6:$AJ$505,"&gt;"&amp;$A232,実績!$AL$6:$AL$505,"○")&gt;0,1,0))</f>
        <v>0</v>
      </c>
      <c r="DI232" s="39" t="n">
        <f aca="false">IF(DI$4=0,0,IF(COUNTIFS(実績!$W$6:$W$505,DI$3,実績!$AI$6:$AI$505,"&lt;="&amp;$A232,実績!$AJ$6:$AJ$505,"&gt;"&amp;$A232,実績!$AL$6:$AL$505,"○")&gt;0,1,0))</f>
        <v>0</v>
      </c>
      <c r="DJ232" s="39" t="n">
        <f aca="false">IF(DJ$4=0,0,IF(COUNTIFS(実績!$W$6:$W$505,DJ$3,実績!$AI$6:$AI$505,"&lt;="&amp;$A232,実績!$AJ$6:$AJ$505,"&gt;"&amp;$A232,実績!$AL$6:$AL$505,"○")&gt;0,1,0))</f>
        <v>0</v>
      </c>
      <c r="DK232" s="39" t="n">
        <f aca="false">IF(DK$4=0,0,IF(COUNTIFS(実績!$W$6:$W$505,DK$3,実績!$AI$6:$AI$505,"&lt;="&amp;$A232,実績!$AJ$6:$AJ$505,"&gt;"&amp;$A232,実績!$AL$6:$AL$505,"○")&gt;0,1,0))</f>
        <v>0</v>
      </c>
      <c r="DL232" s="39" t="n">
        <f aca="false">IF(DL$4=0,0,IF(COUNTIFS(実績!$W$6:$W$505,DL$3,実績!$AI$6:$AI$505,"&lt;="&amp;$A232,実績!$AJ$6:$AJ$505,"&gt;"&amp;$A232,実績!$AL$6:$AL$505,"○")&gt;0,1,0))</f>
        <v>0</v>
      </c>
      <c r="DM232" s="39" t="n">
        <f aca="false">IF(DM$4=0,0,IF(COUNTIFS(実績!$W$6:$W$505,DM$3,実績!$AI$6:$AI$505,"&lt;="&amp;$A232,実績!$AJ$6:$AJ$505,"&gt;"&amp;$A232,実績!$AL$6:$AL$505,"○")&gt;0,1,0))</f>
        <v>0</v>
      </c>
      <c r="DN232" s="39" t="n">
        <f aca="false">IF(DN$4=0,0,IF(COUNTIFS(実績!$W$6:$W$505,DN$3,実績!$AI$6:$AI$505,"&lt;="&amp;$A232,実績!$AJ$6:$AJ$505,"&gt;"&amp;$A232,実績!$AL$6:$AL$505,"○")&gt;0,1,0))</f>
        <v>0</v>
      </c>
      <c r="DO232" s="39" t="n">
        <f aca="false">IF(DO$4=0,0,IF(COUNTIFS(実績!$W$6:$W$505,DO$3,実績!$AI$6:$AI$505,"&lt;="&amp;$A232,実績!$AJ$6:$AJ$505,"&gt;"&amp;$A232,実績!$AL$6:$AL$505,"○")&gt;0,1,0))</f>
        <v>0</v>
      </c>
      <c r="DP232" s="39" t="n">
        <f aca="false">IF(DP$4=0,0,IF(COUNTIFS(実績!$W$6:$W$505,DP$3,実績!$AI$6:$AI$505,"&lt;="&amp;$A232,実績!$AJ$6:$AJ$505,"&gt;"&amp;$A232,実績!$AL$6:$AL$505,"○")&gt;0,1,0))</f>
        <v>0</v>
      </c>
      <c r="DQ232" s="39" t="n">
        <f aca="false">IF(DQ$4=0,0,IF(COUNTIFS(実績!$W$6:$W$505,DQ$3,実績!$AI$6:$AI$505,"&lt;="&amp;$A232,実績!$AJ$6:$AJ$505,"&gt;"&amp;$A232,実績!$AL$6:$AL$505,"○")&gt;0,1,0))</f>
        <v>0</v>
      </c>
      <c r="DR232" s="39" t="n">
        <f aca="false">IF(DR$4=0,0,IF(COUNTIFS(実績!$W$6:$W$505,DR$3,実績!$AI$6:$AI$505,"&lt;="&amp;$A232,実績!$AJ$6:$AJ$505,"&gt;"&amp;$A232,実績!$AL$6:$AL$505,"○")&gt;0,1,0))</f>
        <v>0</v>
      </c>
      <c r="DS232" s="39" t="n">
        <f aca="false">SUM(C232:DR232)</f>
        <v>0</v>
      </c>
    </row>
    <row r="233" customFormat="false" ht="15" hidden="false" customHeight="false" outlineLevel="0" collapsed="false">
      <c r="A233" s="0" t="n">
        <v>1135</v>
      </c>
      <c r="B233" s="38" t="n">
        <f aca="false">A233/1440</f>
        <v>0.788194444444444</v>
      </c>
      <c r="C233" s="39" t="n">
        <f aca="false">IF(C$4=0,0,IF(COUNTIFS(実績!$W$6:$W$505,C$3,実績!$AI$6:$AI$505,"&lt;="&amp;$A233,実績!$AJ$6:$AJ$505,"&gt;"&amp;$A233,実績!$AL$6:$AL$505,"○")&gt;0,1,0))</f>
        <v>0</v>
      </c>
      <c r="D233" s="39" t="n">
        <f aca="false">IF(D$4=0,0,IF(COUNTIFS(実績!$W$6:$W$505,D$3,実績!$AI$6:$AI$505,"&lt;="&amp;$A233,実績!$AJ$6:$AJ$505,"&gt;"&amp;$A233,実績!$AL$6:$AL$505,"○")&gt;0,1,0))</f>
        <v>0</v>
      </c>
      <c r="E233" s="39" t="n">
        <f aca="false">IF(E$4=0,0,IF(COUNTIFS(実績!$W$6:$W$505,E$3,実績!$AI$6:$AI$505,"&lt;="&amp;$A233,実績!$AJ$6:$AJ$505,"&gt;"&amp;$A233,実績!$AL$6:$AL$505,"○")&gt;0,1,0))</f>
        <v>0</v>
      </c>
      <c r="F233" s="39" t="n">
        <f aca="false">IF(F$4=0,0,IF(COUNTIFS(実績!$W$6:$W$505,F$3,実績!$AI$6:$AI$505,"&lt;="&amp;$A233,実績!$AJ$6:$AJ$505,"&gt;"&amp;$A233,実績!$AL$6:$AL$505,"○")&gt;0,1,0))</f>
        <v>0</v>
      </c>
      <c r="G233" s="39" t="n">
        <f aca="false">IF(G$4=0,0,IF(COUNTIFS(実績!$W$6:$W$505,G$3,実績!$AI$6:$AI$505,"&lt;="&amp;$A233,実績!$AJ$6:$AJ$505,"&gt;"&amp;$A233,実績!$AL$6:$AL$505,"○")&gt;0,1,0))</f>
        <v>0</v>
      </c>
      <c r="H233" s="39" t="n">
        <f aca="false">IF(H$4=0,0,IF(COUNTIFS(実績!$W$6:$W$505,H$3,実績!$AI$6:$AI$505,"&lt;="&amp;$A233,実績!$AJ$6:$AJ$505,"&gt;"&amp;$A233,実績!$AL$6:$AL$505,"○")&gt;0,1,0))</f>
        <v>0</v>
      </c>
      <c r="I233" s="39" t="n">
        <f aca="false">IF(I$4=0,0,IF(COUNTIFS(実績!$W$6:$W$505,I$3,実績!$AI$6:$AI$505,"&lt;="&amp;$A233,実績!$AJ$6:$AJ$505,"&gt;"&amp;$A233,実績!$AL$6:$AL$505,"○")&gt;0,1,0))</f>
        <v>0</v>
      </c>
      <c r="J233" s="39" t="n">
        <f aca="false">IF(J$4=0,0,IF(COUNTIFS(実績!$W$6:$W$505,J$3,実績!$AI$6:$AI$505,"&lt;="&amp;$A233,実績!$AJ$6:$AJ$505,"&gt;"&amp;$A233,実績!$AL$6:$AL$505,"○")&gt;0,1,0))</f>
        <v>0</v>
      </c>
      <c r="K233" s="39" t="n">
        <f aca="false">IF(K$4=0,0,IF(COUNTIFS(実績!$W$6:$W$505,K$3,実績!$AI$6:$AI$505,"&lt;="&amp;$A233,実績!$AJ$6:$AJ$505,"&gt;"&amp;$A233,実績!$AL$6:$AL$505,"○")&gt;0,1,0))</f>
        <v>0</v>
      </c>
      <c r="L233" s="39" t="n">
        <f aca="false">IF(L$4=0,0,IF(COUNTIFS(実績!$W$6:$W$505,L$3,実績!$AI$6:$AI$505,"&lt;="&amp;$A233,実績!$AJ$6:$AJ$505,"&gt;"&amp;$A233,実績!$AL$6:$AL$505,"○")&gt;0,1,0))</f>
        <v>0</v>
      </c>
      <c r="M233" s="39" t="n">
        <f aca="false">IF(M$4=0,0,IF(COUNTIFS(実績!$W$6:$W$505,M$3,実績!$AI$6:$AI$505,"&lt;="&amp;$A233,実績!$AJ$6:$AJ$505,"&gt;"&amp;$A233,実績!$AL$6:$AL$505,"○")&gt;0,1,0))</f>
        <v>0</v>
      </c>
      <c r="N233" s="39" t="n">
        <f aca="false">IF(N$4=0,0,IF(COUNTIFS(実績!$W$6:$W$505,N$3,実績!$AI$6:$AI$505,"&lt;="&amp;$A233,実績!$AJ$6:$AJ$505,"&gt;"&amp;$A233,実績!$AL$6:$AL$505,"○")&gt;0,1,0))</f>
        <v>0</v>
      </c>
      <c r="O233" s="39" t="n">
        <f aca="false">IF(O$4=0,0,IF(COUNTIFS(実績!$W$6:$W$505,O$3,実績!$AI$6:$AI$505,"&lt;="&amp;$A233,実績!$AJ$6:$AJ$505,"&gt;"&amp;$A233,実績!$AL$6:$AL$505,"○")&gt;0,1,0))</f>
        <v>0</v>
      </c>
      <c r="P233" s="39" t="n">
        <f aca="false">IF(P$4=0,0,IF(COUNTIFS(実績!$W$6:$W$505,P$3,実績!$AI$6:$AI$505,"&lt;="&amp;$A233,実績!$AJ$6:$AJ$505,"&gt;"&amp;$A233,実績!$AL$6:$AL$505,"○")&gt;0,1,0))</f>
        <v>0</v>
      </c>
      <c r="Q233" s="39" t="n">
        <f aca="false">IF(Q$4=0,0,IF(COUNTIFS(実績!$W$6:$W$505,Q$3,実績!$AI$6:$AI$505,"&lt;="&amp;$A233,実績!$AJ$6:$AJ$505,"&gt;"&amp;$A233,実績!$AL$6:$AL$505,"○")&gt;0,1,0))</f>
        <v>0</v>
      </c>
      <c r="R233" s="39" t="n">
        <f aca="false">IF(R$4=0,0,IF(COUNTIFS(実績!$W$6:$W$505,R$3,実績!$AI$6:$AI$505,"&lt;="&amp;$A233,実績!$AJ$6:$AJ$505,"&gt;"&amp;$A233,実績!$AL$6:$AL$505,"○")&gt;0,1,0))</f>
        <v>0</v>
      </c>
      <c r="S233" s="39" t="n">
        <f aca="false">IF(S$4=0,0,IF(COUNTIFS(実績!$W$6:$W$505,S$3,実績!$AI$6:$AI$505,"&lt;="&amp;$A233,実績!$AJ$6:$AJ$505,"&gt;"&amp;$A233,実績!$AL$6:$AL$505,"○")&gt;0,1,0))</f>
        <v>0</v>
      </c>
      <c r="T233" s="39" t="n">
        <f aca="false">IF(T$4=0,0,IF(COUNTIFS(実績!$W$6:$W$505,T$3,実績!$AI$6:$AI$505,"&lt;="&amp;$A233,実績!$AJ$6:$AJ$505,"&gt;"&amp;$A233,実績!$AL$6:$AL$505,"○")&gt;0,1,0))</f>
        <v>0</v>
      </c>
      <c r="U233" s="39" t="n">
        <f aca="false">IF(U$4=0,0,IF(COUNTIFS(実績!$W$6:$W$505,U$3,実績!$AI$6:$AI$505,"&lt;="&amp;$A233,実績!$AJ$6:$AJ$505,"&gt;"&amp;$A233,実績!$AL$6:$AL$505,"○")&gt;0,1,0))</f>
        <v>0</v>
      </c>
      <c r="V233" s="39" t="n">
        <f aca="false">IF(V$4=0,0,IF(COUNTIFS(実績!$W$6:$W$505,V$3,実績!$AI$6:$AI$505,"&lt;="&amp;$A233,実績!$AJ$6:$AJ$505,"&gt;"&amp;$A233,実績!$AL$6:$AL$505,"○")&gt;0,1,0))</f>
        <v>0</v>
      </c>
      <c r="W233" s="39" t="n">
        <f aca="false">IF(W$4=0,0,IF(COUNTIFS(実績!$W$6:$W$505,W$3,実績!$AI$6:$AI$505,"&lt;="&amp;$A233,実績!$AJ$6:$AJ$505,"&gt;"&amp;$A233,実績!$AL$6:$AL$505,"○")&gt;0,1,0))</f>
        <v>0</v>
      </c>
      <c r="X233" s="39" t="n">
        <f aca="false">IF(X$4=0,0,IF(COUNTIFS(実績!$W$6:$W$505,X$3,実績!$AI$6:$AI$505,"&lt;="&amp;$A233,実績!$AJ$6:$AJ$505,"&gt;"&amp;$A233,実績!$AL$6:$AL$505,"○")&gt;0,1,0))</f>
        <v>0</v>
      </c>
      <c r="Y233" s="39" t="n">
        <f aca="false">IF(Y$4=0,0,IF(COUNTIFS(実績!$W$6:$W$505,Y$3,実績!$AI$6:$AI$505,"&lt;="&amp;$A233,実績!$AJ$6:$AJ$505,"&gt;"&amp;$A233,実績!$AL$6:$AL$505,"○")&gt;0,1,0))</f>
        <v>0</v>
      </c>
      <c r="Z233" s="39" t="n">
        <f aca="false">IF(Z$4=0,0,IF(COUNTIFS(実績!$W$6:$W$505,Z$3,実績!$AI$6:$AI$505,"&lt;="&amp;$A233,実績!$AJ$6:$AJ$505,"&gt;"&amp;$A233,実績!$AL$6:$AL$505,"○")&gt;0,1,0))</f>
        <v>0</v>
      </c>
      <c r="AA233" s="39" t="n">
        <f aca="false">IF(AA$4=0,0,IF(COUNTIFS(実績!$W$6:$W$505,AA$3,実績!$AI$6:$AI$505,"&lt;="&amp;$A233,実績!$AJ$6:$AJ$505,"&gt;"&amp;$A233,実績!$AL$6:$AL$505,"○")&gt;0,1,0))</f>
        <v>0</v>
      </c>
      <c r="AB233" s="39" t="n">
        <f aca="false">IF(AB$4=0,0,IF(COUNTIFS(実績!$W$6:$W$505,AB$3,実績!$AI$6:$AI$505,"&lt;="&amp;$A233,実績!$AJ$6:$AJ$505,"&gt;"&amp;$A233,実績!$AL$6:$AL$505,"○")&gt;0,1,0))</f>
        <v>0</v>
      </c>
      <c r="AC233" s="39" t="n">
        <f aca="false">IF(AC$4=0,0,IF(COUNTIFS(実績!$W$6:$W$505,AC$3,実績!$AI$6:$AI$505,"&lt;="&amp;$A233,実績!$AJ$6:$AJ$505,"&gt;"&amp;$A233,実績!$AL$6:$AL$505,"○")&gt;0,1,0))</f>
        <v>0</v>
      </c>
      <c r="AD233" s="39" t="n">
        <f aca="false">IF(AD$4=0,0,IF(COUNTIFS(実績!$W$6:$W$505,AD$3,実績!$AI$6:$AI$505,"&lt;="&amp;$A233,実績!$AJ$6:$AJ$505,"&gt;"&amp;$A233,実績!$AL$6:$AL$505,"○")&gt;0,1,0))</f>
        <v>0</v>
      </c>
      <c r="AE233" s="39" t="n">
        <f aca="false">IF(AE$4=0,0,IF(COUNTIFS(実績!$W$6:$W$505,AE$3,実績!$AI$6:$AI$505,"&lt;="&amp;$A233,実績!$AJ$6:$AJ$505,"&gt;"&amp;$A233,実績!$AL$6:$AL$505,"○")&gt;0,1,0))</f>
        <v>0</v>
      </c>
      <c r="AF233" s="39" t="n">
        <f aca="false">IF(AF$4=0,0,IF(COUNTIFS(実績!$W$6:$W$505,AF$3,実績!$AI$6:$AI$505,"&lt;="&amp;$A233,実績!$AJ$6:$AJ$505,"&gt;"&amp;$A233,実績!$AL$6:$AL$505,"○")&gt;0,1,0))</f>
        <v>0</v>
      </c>
      <c r="AG233" s="39" t="n">
        <f aca="false">IF(AG$4=0,0,IF(COUNTIFS(実績!$W$6:$W$505,AG$3,実績!$AI$6:$AI$505,"&lt;="&amp;$A233,実績!$AJ$6:$AJ$505,"&gt;"&amp;$A233,実績!$AL$6:$AL$505,"○")&gt;0,1,0))</f>
        <v>0</v>
      </c>
      <c r="AH233" s="39" t="n">
        <f aca="false">IF(AH$4=0,0,IF(COUNTIFS(実績!$W$6:$W$505,AH$3,実績!$AI$6:$AI$505,"&lt;="&amp;$A233,実績!$AJ$6:$AJ$505,"&gt;"&amp;$A233,実績!$AL$6:$AL$505,"○")&gt;0,1,0))</f>
        <v>0</v>
      </c>
      <c r="AI233" s="39" t="n">
        <f aca="false">IF(AI$4=0,0,IF(COUNTIFS(実績!$W$6:$W$505,AI$3,実績!$AI$6:$AI$505,"&lt;="&amp;$A233,実績!$AJ$6:$AJ$505,"&gt;"&amp;$A233,実績!$AL$6:$AL$505,"○")&gt;0,1,0))</f>
        <v>0</v>
      </c>
      <c r="AJ233" s="39" t="n">
        <f aca="false">IF(AJ$4=0,0,IF(COUNTIFS(実績!$W$6:$W$505,AJ$3,実績!$AI$6:$AI$505,"&lt;="&amp;$A233,実績!$AJ$6:$AJ$505,"&gt;"&amp;$A233,実績!$AL$6:$AL$505,"○")&gt;0,1,0))</f>
        <v>0</v>
      </c>
      <c r="AK233" s="39" t="n">
        <f aca="false">IF(AK$4=0,0,IF(COUNTIFS(実績!$W$6:$W$505,AK$3,実績!$AI$6:$AI$505,"&lt;="&amp;$A233,実績!$AJ$6:$AJ$505,"&gt;"&amp;$A233,実績!$AL$6:$AL$505,"○")&gt;0,1,0))</f>
        <v>0</v>
      </c>
      <c r="AL233" s="39" t="n">
        <f aca="false">IF(AL$4=0,0,IF(COUNTIFS(実績!$W$6:$W$505,AL$3,実績!$AI$6:$AI$505,"&lt;="&amp;$A233,実績!$AJ$6:$AJ$505,"&gt;"&amp;$A233,実績!$AL$6:$AL$505,"○")&gt;0,1,0))</f>
        <v>0</v>
      </c>
      <c r="AM233" s="39" t="n">
        <f aca="false">IF(AM$4=0,0,IF(COUNTIFS(実績!$W$6:$W$505,AM$3,実績!$AI$6:$AI$505,"&lt;="&amp;$A233,実績!$AJ$6:$AJ$505,"&gt;"&amp;$A233,実績!$AL$6:$AL$505,"○")&gt;0,1,0))</f>
        <v>0</v>
      </c>
      <c r="AN233" s="39" t="n">
        <f aca="false">IF(AN$4=0,0,IF(COUNTIFS(実績!$W$6:$W$505,AN$3,実績!$AI$6:$AI$505,"&lt;="&amp;$A233,実績!$AJ$6:$AJ$505,"&gt;"&amp;$A233,実績!$AL$6:$AL$505,"○")&gt;0,1,0))</f>
        <v>0</v>
      </c>
      <c r="AO233" s="39" t="n">
        <f aca="false">IF(AO$4=0,0,IF(COUNTIFS(実績!$W$6:$W$505,AO$3,実績!$AI$6:$AI$505,"&lt;="&amp;$A233,実績!$AJ$6:$AJ$505,"&gt;"&amp;$A233,実績!$AL$6:$AL$505,"○")&gt;0,1,0))</f>
        <v>0</v>
      </c>
      <c r="AP233" s="39" t="n">
        <f aca="false">IF(AP$4=0,0,IF(COUNTIFS(実績!$W$6:$W$505,AP$3,実績!$AI$6:$AI$505,"&lt;="&amp;$A233,実績!$AJ$6:$AJ$505,"&gt;"&amp;$A233,実績!$AL$6:$AL$505,"○")&gt;0,1,0))</f>
        <v>0</v>
      </c>
      <c r="AQ233" s="39" t="n">
        <f aca="false">IF(AQ$4=0,0,IF(COUNTIFS(実績!$W$6:$W$505,AQ$3,実績!$AI$6:$AI$505,"&lt;="&amp;$A233,実績!$AJ$6:$AJ$505,"&gt;"&amp;$A233,実績!$AL$6:$AL$505,"○")&gt;0,1,0))</f>
        <v>0</v>
      </c>
      <c r="AR233" s="39" t="n">
        <f aca="false">IF(AR$4=0,0,IF(COUNTIFS(実績!$W$6:$W$505,AR$3,実績!$AI$6:$AI$505,"&lt;="&amp;$A233,実績!$AJ$6:$AJ$505,"&gt;"&amp;$A233,実績!$AL$6:$AL$505,"○")&gt;0,1,0))</f>
        <v>0</v>
      </c>
      <c r="AS233" s="39" t="n">
        <f aca="false">IF(AS$4=0,0,IF(COUNTIFS(実績!$W$6:$W$505,AS$3,実績!$AI$6:$AI$505,"&lt;="&amp;$A233,実績!$AJ$6:$AJ$505,"&gt;"&amp;$A233,実績!$AL$6:$AL$505,"○")&gt;0,1,0))</f>
        <v>0</v>
      </c>
      <c r="AT233" s="39" t="n">
        <f aca="false">IF(AT$4=0,0,IF(COUNTIFS(実績!$W$6:$W$505,AT$3,実績!$AI$6:$AI$505,"&lt;="&amp;$A233,実績!$AJ$6:$AJ$505,"&gt;"&amp;$A233,実績!$AL$6:$AL$505,"○")&gt;0,1,0))</f>
        <v>0</v>
      </c>
      <c r="AU233" s="39" t="n">
        <f aca="false">IF(AU$4=0,0,IF(COUNTIFS(実績!$W$6:$W$505,AU$3,実績!$AI$6:$AI$505,"&lt;="&amp;$A233,実績!$AJ$6:$AJ$505,"&gt;"&amp;$A233,実績!$AL$6:$AL$505,"○")&gt;0,1,0))</f>
        <v>0</v>
      </c>
      <c r="AV233" s="39" t="n">
        <f aca="false">IF(AV$4=0,0,IF(COUNTIFS(実績!$W$6:$W$505,AV$3,実績!$AI$6:$AI$505,"&lt;="&amp;$A233,実績!$AJ$6:$AJ$505,"&gt;"&amp;$A233,実績!$AL$6:$AL$505,"○")&gt;0,1,0))</f>
        <v>0</v>
      </c>
      <c r="AW233" s="39" t="n">
        <f aca="false">IF(AW$4=0,0,IF(COUNTIFS(実績!$W$6:$W$505,AW$3,実績!$AI$6:$AI$505,"&lt;="&amp;$A233,実績!$AJ$6:$AJ$505,"&gt;"&amp;$A233,実績!$AL$6:$AL$505,"○")&gt;0,1,0))</f>
        <v>0</v>
      </c>
      <c r="AX233" s="39" t="n">
        <f aca="false">IF(AX$4=0,0,IF(COUNTIFS(実績!$W$6:$W$505,AX$3,実績!$AI$6:$AI$505,"&lt;="&amp;$A233,実績!$AJ$6:$AJ$505,"&gt;"&amp;$A233,実績!$AL$6:$AL$505,"○")&gt;0,1,0))</f>
        <v>0</v>
      </c>
      <c r="AY233" s="39" t="n">
        <f aca="false">IF(AY$4=0,0,IF(COUNTIFS(実績!$W$6:$W$505,AY$3,実績!$AI$6:$AI$505,"&lt;="&amp;$A233,実績!$AJ$6:$AJ$505,"&gt;"&amp;$A233,実績!$AL$6:$AL$505,"○")&gt;0,1,0))</f>
        <v>0</v>
      </c>
      <c r="AZ233" s="39" t="n">
        <f aca="false">IF(AZ$4=0,0,IF(COUNTIFS(実績!$W$6:$W$505,AZ$3,実績!$AI$6:$AI$505,"&lt;="&amp;$A233,実績!$AJ$6:$AJ$505,"&gt;"&amp;$A233,実績!$AL$6:$AL$505,"○")&gt;0,1,0))</f>
        <v>0</v>
      </c>
      <c r="BA233" s="39" t="n">
        <f aca="false">IF(BA$4=0,0,IF(COUNTIFS(実績!$W$6:$W$505,BA$3,実績!$AI$6:$AI$505,"&lt;="&amp;$A233,実績!$AJ$6:$AJ$505,"&gt;"&amp;$A233,実績!$AL$6:$AL$505,"○")&gt;0,1,0))</f>
        <v>0</v>
      </c>
      <c r="BB233" s="39" t="n">
        <f aca="false">IF(BB$4=0,0,IF(COUNTIFS(実績!$W$6:$W$505,BB$3,実績!$AI$6:$AI$505,"&lt;="&amp;$A233,実績!$AJ$6:$AJ$505,"&gt;"&amp;$A233,実績!$AL$6:$AL$505,"○")&gt;0,1,0))</f>
        <v>0</v>
      </c>
      <c r="BC233" s="39" t="n">
        <f aca="false">IF(BC$4=0,0,IF(COUNTIFS(実績!$W$6:$W$505,BC$3,実績!$AI$6:$AI$505,"&lt;="&amp;$A233,実績!$AJ$6:$AJ$505,"&gt;"&amp;$A233,実績!$AL$6:$AL$505,"○")&gt;0,1,0))</f>
        <v>0</v>
      </c>
      <c r="BD233" s="39" t="n">
        <f aca="false">IF(BD$4=0,0,IF(COUNTIFS(実績!$W$6:$W$505,BD$3,実績!$AI$6:$AI$505,"&lt;="&amp;$A233,実績!$AJ$6:$AJ$505,"&gt;"&amp;$A233,実績!$AL$6:$AL$505,"○")&gt;0,1,0))</f>
        <v>0</v>
      </c>
      <c r="BE233" s="39" t="n">
        <f aca="false">IF(BE$4=0,0,IF(COUNTIFS(実績!$W$6:$W$505,BE$3,実績!$AI$6:$AI$505,"&lt;="&amp;$A233,実績!$AJ$6:$AJ$505,"&gt;"&amp;$A233,実績!$AL$6:$AL$505,"○")&gt;0,1,0))</f>
        <v>0</v>
      </c>
      <c r="BF233" s="39" t="n">
        <f aca="false">IF(BF$4=0,0,IF(COUNTIFS(実績!$W$6:$W$505,BF$3,実績!$AI$6:$AI$505,"&lt;="&amp;$A233,実績!$AJ$6:$AJ$505,"&gt;"&amp;$A233,実績!$AL$6:$AL$505,"○")&gt;0,1,0))</f>
        <v>0</v>
      </c>
      <c r="BG233" s="39" t="n">
        <f aca="false">IF(BG$4=0,0,IF(COUNTIFS(実績!$W$6:$W$505,BG$3,実績!$AI$6:$AI$505,"&lt;="&amp;$A233,実績!$AJ$6:$AJ$505,"&gt;"&amp;$A233,実績!$AL$6:$AL$505,"○")&gt;0,1,0))</f>
        <v>0</v>
      </c>
      <c r="BH233" s="39" t="n">
        <f aca="false">IF(BH$4=0,0,IF(COUNTIFS(実績!$W$6:$W$505,BH$3,実績!$AI$6:$AI$505,"&lt;="&amp;$A233,実績!$AJ$6:$AJ$505,"&gt;"&amp;$A233,実績!$AL$6:$AL$505,"○")&gt;0,1,0))</f>
        <v>0</v>
      </c>
      <c r="BI233" s="39" t="n">
        <f aca="false">IF(BI$4=0,0,IF(COUNTIFS(実績!$W$6:$W$505,BI$3,実績!$AI$6:$AI$505,"&lt;="&amp;$A233,実績!$AJ$6:$AJ$505,"&gt;"&amp;$A233,実績!$AL$6:$AL$505,"○")&gt;0,1,0))</f>
        <v>0</v>
      </c>
      <c r="BJ233" s="39" t="n">
        <f aca="false">IF(BJ$4=0,0,IF(COUNTIFS(実績!$W$6:$W$505,BJ$3,実績!$AI$6:$AI$505,"&lt;="&amp;$A233,実績!$AJ$6:$AJ$505,"&gt;"&amp;$A233,実績!$AL$6:$AL$505,"○")&gt;0,1,0))</f>
        <v>0</v>
      </c>
      <c r="BK233" s="39" t="n">
        <f aca="false">IF(BK$4=0,0,IF(COUNTIFS(実績!$W$6:$W$505,BK$3,実績!$AI$6:$AI$505,"&lt;="&amp;$A233,実績!$AJ$6:$AJ$505,"&gt;"&amp;$A233,実績!$AL$6:$AL$505,"○")&gt;0,1,0))</f>
        <v>0</v>
      </c>
      <c r="BL233" s="39" t="n">
        <f aca="false">IF(BL$4=0,0,IF(COUNTIFS(実績!$W$6:$W$505,BL$3,実績!$AI$6:$AI$505,"&lt;="&amp;$A233,実績!$AJ$6:$AJ$505,"&gt;"&amp;$A233,実績!$AL$6:$AL$505,"○")&gt;0,1,0))</f>
        <v>0</v>
      </c>
      <c r="BM233" s="39" t="n">
        <f aca="false">IF(BM$4=0,0,IF(COUNTIFS(実績!$W$6:$W$505,BM$3,実績!$AI$6:$AI$505,"&lt;="&amp;$A233,実績!$AJ$6:$AJ$505,"&gt;"&amp;$A233,実績!$AL$6:$AL$505,"○")&gt;0,1,0))</f>
        <v>0</v>
      </c>
      <c r="BN233" s="39" t="n">
        <f aca="false">IF(BN$4=0,0,IF(COUNTIFS(実績!$W$6:$W$505,BN$3,実績!$AI$6:$AI$505,"&lt;="&amp;$A233,実績!$AJ$6:$AJ$505,"&gt;"&amp;$A233,実績!$AL$6:$AL$505,"○")&gt;0,1,0))</f>
        <v>0</v>
      </c>
      <c r="BO233" s="39" t="n">
        <f aca="false">IF(BO$4=0,0,IF(COUNTIFS(実績!$W$6:$W$505,BO$3,実績!$AI$6:$AI$505,"&lt;="&amp;$A233,実績!$AJ$6:$AJ$505,"&gt;"&amp;$A233,実績!$AL$6:$AL$505,"○")&gt;0,1,0))</f>
        <v>0</v>
      </c>
      <c r="BP233" s="39" t="n">
        <f aca="false">IF(BP$4=0,0,IF(COUNTIFS(実績!$W$6:$W$505,BP$3,実績!$AI$6:$AI$505,"&lt;="&amp;$A233,実績!$AJ$6:$AJ$505,"&gt;"&amp;$A233,実績!$AL$6:$AL$505,"○")&gt;0,1,0))</f>
        <v>0</v>
      </c>
      <c r="BQ233" s="39" t="n">
        <f aca="false">IF(BQ$4=0,0,IF(COUNTIFS(実績!$W$6:$W$505,BQ$3,実績!$AI$6:$AI$505,"&lt;="&amp;$A233,実績!$AJ$6:$AJ$505,"&gt;"&amp;$A233,実績!$AL$6:$AL$505,"○")&gt;0,1,0))</f>
        <v>0</v>
      </c>
      <c r="BR233" s="39" t="n">
        <f aca="false">IF(BR$4=0,0,IF(COUNTIFS(実績!$W$6:$W$505,BR$3,実績!$AI$6:$AI$505,"&lt;="&amp;$A233,実績!$AJ$6:$AJ$505,"&gt;"&amp;$A233,実績!$AL$6:$AL$505,"○")&gt;0,1,0))</f>
        <v>0</v>
      </c>
      <c r="BS233" s="39" t="n">
        <f aca="false">IF(BS$4=0,0,IF(COUNTIFS(実績!$W$6:$W$505,BS$3,実績!$AI$6:$AI$505,"&lt;="&amp;$A233,実績!$AJ$6:$AJ$505,"&gt;"&amp;$A233,実績!$AL$6:$AL$505,"○")&gt;0,1,0))</f>
        <v>0</v>
      </c>
      <c r="BT233" s="39" t="n">
        <f aca="false">IF(BT$4=0,0,IF(COUNTIFS(実績!$W$6:$W$505,BT$3,実績!$AI$6:$AI$505,"&lt;="&amp;$A233,実績!$AJ$6:$AJ$505,"&gt;"&amp;$A233,実績!$AL$6:$AL$505,"○")&gt;0,1,0))</f>
        <v>0</v>
      </c>
      <c r="BU233" s="39" t="n">
        <f aca="false">IF(BU$4=0,0,IF(COUNTIFS(実績!$W$6:$W$505,BU$3,実績!$AI$6:$AI$505,"&lt;="&amp;$A233,実績!$AJ$6:$AJ$505,"&gt;"&amp;$A233,実績!$AL$6:$AL$505,"○")&gt;0,1,0))</f>
        <v>0</v>
      </c>
      <c r="BV233" s="39" t="n">
        <f aca="false">IF(BV$4=0,0,IF(COUNTIFS(実績!$W$6:$W$505,BV$3,実績!$AI$6:$AI$505,"&lt;="&amp;$A233,実績!$AJ$6:$AJ$505,"&gt;"&amp;$A233,実績!$AL$6:$AL$505,"○")&gt;0,1,0))</f>
        <v>0</v>
      </c>
      <c r="BW233" s="39" t="n">
        <f aca="false">IF(BW$4=0,0,IF(COUNTIFS(実績!$W$6:$W$505,BW$3,実績!$AI$6:$AI$505,"&lt;="&amp;$A233,実績!$AJ$6:$AJ$505,"&gt;"&amp;$A233,実績!$AL$6:$AL$505,"○")&gt;0,1,0))</f>
        <v>0</v>
      </c>
      <c r="BX233" s="39" t="n">
        <f aca="false">IF(BX$4=0,0,IF(COUNTIFS(実績!$W$6:$W$505,BX$3,実績!$AI$6:$AI$505,"&lt;="&amp;$A233,実績!$AJ$6:$AJ$505,"&gt;"&amp;$A233,実績!$AL$6:$AL$505,"○")&gt;0,1,0))</f>
        <v>0</v>
      </c>
      <c r="BY233" s="39" t="n">
        <f aca="false">IF(BY$4=0,0,IF(COUNTIFS(実績!$W$6:$W$505,BY$3,実績!$AI$6:$AI$505,"&lt;="&amp;$A233,実績!$AJ$6:$AJ$505,"&gt;"&amp;$A233,実績!$AL$6:$AL$505,"○")&gt;0,1,0))</f>
        <v>0</v>
      </c>
      <c r="BZ233" s="39" t="n">
        <f aca="false">IF(BZ$4=0,0,IF(COUNTIFS(実績!$W$6:$W$505,BZ$3,実績!$AI$6:$AI$505,"&lt;="&amp;$A233,実績!$AJ$6:$AJ$505,"&gt;"&amp;$A233,実績!$AL$6:$AL$505,"○")&gt;0,1,0))</f>
        <v>0</v>
      </c>
      <c r="CA233" s="39" t="n">
        <f aca="false">IF(CA$4=0,0,IF(COUNTIFS(実績!$W$6:$W$505,CA$3,実績!$AI$6:$AI$505,"&lt;="&amp;$A233,実績!$AJ$6:$AJ$505,"&gt;"&amp;$A233,実績!$AL$6:$AL$505,"○")&gt;0,1,0))</f>
        <v>0</v>
      </c>
      <c r="CB233" s="39" t="n">
        <f aca="false">IF(CB$4=0,0,IF(COUNTIFS(実績!$W$6:$W$505,CB$3,実績!$AI$6:$AI$505,"&lt;="&amp;$A233,実績!$AJ$6:$AJ$505,"&gt;"&amp;$A233,実績!$AL$6:$AL$505,"○")&gt;0,1,0))</f>
        <v>0</v>
      </c>
      <c r="CC233" s="39" t="n">
        <f aca="false">IF(CC$4=0,0,IF(COUNTIFS(実績!$W$6:$W$505,CC$3,実績!$AI$6:$AI$505,"&lt;="&amp;$A233,実績!$AJ$6:$AJ$505,"&gt;"&amp;$A233,実績!$AL$6:$AL$505,"○")&gt;0,1,0))</f>
        <v>0</v>
      </c>
      <c r="CD233" s="39" t="n">
        <f aca="false">IF(CD$4=0,0,IF(COUNTIFS(実績!$W$6:$W$505,CD$3,実績!$AI$6:$AI$505,"&lt;="&amp;$A233,実績!$AJ$6:$AJ$505,"&gt;"&amp;$A233,実績!$AL$6:$AL$505,"○")&gt;0,1,0))</f>
        <v>0</v>
      </c>
      <c r="CE233" s="39" t="n">
        <f aca="false">IF(CE$4=0,0,IF(COUNTIFS(実績!$W$6:$W$505,CE$3,実績!$AI$6:$AI$505,"&lt;="&amp;$A233,実績!$AJ$6:$AJ$505,"&gt;"&amp;$A233,実績!$AL$6:$AL$505,"○")&gt;0,1,0))</f>
        <v>0</v>
      </c>
      <c r="CF233" s="39" t="n">
        <f aca="false">IF(CF$4=0,0,IF(COUNTIFS(実績!$W$6:$W$505,CF$3,実績!$AI$6:$AI$505,"&lt;="&amp;$A233,実績!$AJ$6:$AJ$505,"&gt;"&amp;$A233,実績!$AL$6:$AL$505,"○")&gt;0,1,0))</f>
        <v>0</v>
      </c>
      <c r="CG233" s="39" t="n">
        <f aca="false">IF(CG$4=0,0,IF(COUNTIFS(実績!$W$6:$W$505,CG$3,実績!$AI$6:$AI$505,"&lt;="&amp;$A233,実績!$AJ$6:$AJ$505,"&gt;"&amp;$A233,実績!$AL$6:$AL$505,"○")&gt;0,1,0))</f>
        <v>0</v>
      </c>
      <c r="CH233" s="39" t="n">
        <f aca="false">IF(CH$4=0,0,IF(COUNTIFS(実績!$W$6:$W$505,CH$3,実績!$AI$6:$AI$505,"&lt;="&amp;$A233,実績!$AJ$6:$AJ$505,"&gt;"&amp;$A233,実績!$AL$6:$AL$505,"○")&gt;0,1,0))</f>
        <v>0</v>
      </c>
      <c r="CI233" s="39" t="n">
        <f aca="false">IF(CI$4=0,0,IF(COUNTIFS(実績!$W$6:$W$505,CI$3,実績!$AI$6:$AI$505,"&lt;="&amp;$A233,実績!$AJ$6:$AJ$505,"&gt;"&amp;$A233,実績!$AL$6:$AL$505,"○")&gt;0,1,0))</f>
        <v>0</v>
      </c>
      <c r="CJ233" s="39" t="n">
        <f aca="false">IF(CJ$4=0,0,IF(COUNTIFS(実績!$W$6:$W$505,CJ$3,実績!$AI$6:$AI$505,"&lt;="&amp;$A233,実績!$AJ$6:$AJ$505,"&gt;"&amp;$A233,実績!$AL$6:$AL$505,"○")&gt;0,1,0))</f>
        <v>0</v>
      </c>
      <c r="CK233" s="39" t="n">
        <f aca="false">IF(CK$4=0,0,IF(COUNTIFS(実績!$W$6:$W$505,CK$3,実績!$AI$6:$AI$505,"&lt;="&amp;$A233,実績!$AJ$6:$AJ$505,"&gt;"&amp;$A233,実績!$AL$6:$AL$505,"○")&gt;0,1,0))</f>
        <v>0</v>
      </c>
      <c r="CL233" s="39" t="n">
        <f aca="false">IF(CL$4=0,0,IF(COUNTIFS(実績!$W$6:$W$505,CL$3,実績!$AI$6:$AI$505,"&lt;="&amp;$A233,実績!$AJ$6:$AJ$505,"&gt;"&amp;$A233,実績!$AL$6:$AL$505,"○")&gt;0,1,0))</f>
        <v>0</v>
      </c>
      <c r="CM233" s="39" t="n">
        <f aca="false">IF(CM$4=0,0,IF(COUNTIFS(実績!$W$6:$W$505,CM$3,実績!$AI$6:$AI$505,"&lt;="&amp;$A233,実績!$AJ$6:$AJ$505,"&gt;"&amp;$A233,実績!$AL$6:$AL$505,"○")&gt;0,1,0))</f>
        <v>0</v>
      </c>
      <c r="CN233" s="39" t="n">
        <f aca="false">IF(CN$4=0,0,IF(COUNTIFS(実績!$W$6:$W$505,CN$3,実績!$AI$6:$AI$505,"&lt;="&amp;$A233,実績!$AJ$6:$AJ$505,"&gt;"&amp;$A233,実績!$AL$6:$AL$505,"○")&gt;0,1,0))</f>
        <v>0</v>
      </c>
      <c r="CO233" s="39" t="n">
        <f aca="false">IF(CO$4=0,0,IF(COUNTIFS(実績!$W$6:$W$505,CO$3,実績!$AI$6:$AI$505,"&lt;="&amp;$A233,実績!$AJ$6:$AJ$505,"&gt;"&amp;$A233,実績!$AL$6:$AL$505,"○")&gt;0,1,0))</f>
        <v>0</v>
      </c>
      <c r="CP233" s="39" t="n">
        <f aca="false">IF(CP$4=0,0,IF(COUNTIFS(実績!$W$6:$W$505,CP$3,実績!$AI$6:$AI$505,"&lt;="&amp;$A233,実績!$AJ$6:$AJ$505,"&gt;"&amp;$A233,実績!$AL$6:$AL$505,"○")&gt;0,1,0))</f>
        <v>0</v>
      </c>
      <c r="CQ233" s="39" t="n">
        <f aca="false">IF(CQ$4=0,0,IF(COUNTIFS(実績!$W$6:$W$505,CQ$3,実績!$AI$6:$AI$505,"&lt;="&amp;$A233,実績!$AJ$6:$AJ$505,"&gt;"&amp;$A233,実績!$AL$6:$AL$505,"○")&gt;0,1,0))</f>
        <v>0</v>
      </c>
      <c r="CR233" s="39" t="n">
        <f aca="false">IF(CR$4=0,0,IF(COUNTIFS(実績!$W$6:$W$505,CR$3,実績!$AI$6:$AI$505,"&lt;="&amp;$A233,実績!$AJ$6:$AJ$505,"&gt;"&amp;$A233,実績!$AL$6:$AL$505,"○")&gt;0,1,0))</f>
        <v>0</v>
      </c>
      <c r="CS233" s="39" t="n">
        <f aca="false">IF(CS$4=0,0,IF(COUNTIFS(実績!$W$6:$W$505,CS$3,実績!$AI$6:$AI$505,"&lt;="&amp;$A233,実績!$AJ$6:$AJ$505,"&gt;"&amp;$A233,実績!$AL$6:$AL$505,"○")&gt;0,1,0))</f>
        <v>0</v>
      </c>
      <c r="CT233" s="39" t="n">
        <f aca="false">IF(CT$4=0,0,IF(COUNTIFS(実績!$W$6:$W$505,CT$3,実績!$AI$6:$AI$505,"&lt;="&amp;$A233,実績!$AJ$6:$AJ$505,"&gt;"&amp;$A233,実績!$AL$6:$AL$505,"○")&gt;0,1,0))</f>
        <v>0</v>
      </c>
      <c r="CU233" s="39" t="n">
        <f aca="false">IF(CU$4=0,0,IF(COUNTIFS(実績!$W$6:$W$505,CU$3,実績!$AI$6:$AI$505,"&lt;="&amp;$A233,実績!$AJ$6:$AJ$505,"&gt;"&amp;$A233,実績!$AL$6:$AL$505,"○")&gt;0,1,0))</f>
        <v>0</v>
      </c>
      <c r="CV233" s="39" t="n">
        <f aca="false">IF(CV$4=0,0,IF(COUNTIFS(実績!$W$6:$W$505,CV$3,実績!$AI$6:$AI$505,"&lt;="&amp;$A233,実績!$AJ$6:$AJ$505,"&gt;"&amp;$A233,実績!$AL$6:$AL$505,"○")&gt;0,1,0))</f>
        <v>0</v>
      </c>
      <c r="CW233" s="39" t="n">
        <f aca="false">IF(CW$4=0,0,IF(COUNTIFS(実績!$W$6:$W$505,CW$3,実績!$AI$6:$AI$505,"&lt;="&amp;$A233,実績!$AJ$6:$AJ$505,"&gt;"&amp;$A233,実績!$AL$6:$AL$505,"○")&gt;0,1,0))</f>
        <v>0</v>
      </c>
      <c r="CX233" s="39" t="n">
        <f aca="false">IF(CX$4=0,0,IF(COUNTIFS(実績!$W$6:$W$505,CX$3,実績!$AI$6:$AI$505,"&lt;="&amp;$A233,実績!$AJ$6:$AJ$505,"&gt;"&amp;$A233,実績!$AL$6:$AL$505,"○")&gt;0,1,0))</f>
        <v>0</v>
      </c>
      <c r="CY233" s="39" t="n">
        <f aca="false">IF(CY$4=0,0,IF(COUNTIFS(実績!$W$6:$W$505,CY$3,実績!$AI$6:$AI$505,"&lt;="&amp;$A233,実績!$AJ$6:$AJ$505,"&gt;"&amp;$A233,実績!$AL$6:$AL$505,"○")&gt;0,1,0))</f>
        <v>0</v>
      </c>
      <c r="CZ233" s="39" t="n">
        <f aca="false">IF(CZ$4=0,0,IF(COUNTIFS(実績!$W$6:$W$505,CZ$3,実績!$AI$6:$AI$505,"&lt;="&amp;$A233,実績!$AJ$6:$AJ$505,"&gt;"&amp;$A233,実績!$AL$6:$AL$505,"○")&gt;0,1,0))</f>
        <v>0</v>
      </c>
      <c r="DA233" s="39" t="n">
        <f aca="false">IF(DA$4=0,0,IF(COUNTIFS(実績!$W$6:$W$505,DA$3,実績!$AI$6:$AI$505,"&lt;="&amp;$A233,実績!$AJ$6:$AJ$505,"&gt;"&amp;$A233,実績!$AL$6:$AL$505,"○")&gt;0,1,0))</f>
        <v>0</v>
      </c>
      <c r="DB233" s="39" t="n">
        <f aca="false">IF(DB$4=0,0,IF(COUNTIFS(実績!$W$6:$W$505,DB$3,実績!$AI$6:$AI$505,"&lt;="&amp;$A233,実績!$AJ$6:$AJ$505,"&gt;"&amp;$A233,実績!$AL$6:$AL$505,"○")&gt;0,1,0))</f>
        <v>0</v>
      </c>
      <c r="DC233" s="39" t="n">
        <f aca="false">IF(DC$4=0,0,IF(COUNTIFS(実績!$W$6:$W$505,DC$3,実績!$AI$6:$AI$505,"&lt;="&amp;$A233,実績!$AJ$6:$AJ$505,"&gt;"&amp;$A233,実績!$AL$6:$AL$505,"○")&gt;0,1,0))</f>
        <v>0</v>
      </c>
      <c r="DD233" s="39" t="n">
        <f aca="false">IF(DD$4=0,0,IF(COUNTIFS(実績!$W$6:$W$505,DD$3,実績!$AI$6:$AI$505,"&lt;="&amp;$A233,実績!$AJ$6:$AJ$505,"&gt;"&amp;$A233,実績!$AL$6:$AL$505,"○")&gt;0,1,0))</f>
        <v>0</v>
      </c>
      <c r="DE233" s="39" t="n">
        <f aca="false">IF(DE$4=0,0,IF(COUNTIFS(実績!$W$6:$W$505,DE$3,実績!$AI$6:$AI$505,"&lt;="&amp;$A233,実績!$AJ$6:$AJ$505,"&gt;"&amp;$A233,実績!$AL$6:$AL$505,"○")&gt;0,1,0))</f>
        <v>0</v>
      </c>
      <c r="DF233" s="39" t="n">
        <f aca="false">IF(DF$4=0,0,IF(COUNTIFS(実績!$W$6:$W$505,DF$3,実績!$AI$6:$AI$505,"&lt;="&amp;$A233,実績!$AJ$6:$AJ$505,"&gt;"&amp;$A233,実績!$AL$6:$AL$505,"○")&gt;0,1,0))</f>
        <v>0</v>
      </c>
      <c r="DG233" s="39" t="n">
        <f aca="false">IF(DG$4=0,0,IF(COUNTIFS(実績!$W$6:$W$505,DG$3,実績!$AI$6:$AI$505,"&lt;="&amp;$A233,実績!$AJ$6:$AJ$505,"&gt;"&amp;$A233,実績!$AL$6:$AL$505,"○")&gt;0,1,0))</f>
        <v>0</v>
      </c>
      <c r="DH233" s="39" t="n">
        <f aca="false">IF(DH$4=0,0,IF(COUNTIFS(実績!$W$6:$W$505,DH$3,実績!$AI$6:$AI$505,"&lt;="&amp;$A233,実績!$AJ$6:$AJ$505,"&gt;"&amp;$A233,実績!$AL$6:$AL$505,"○")&gt;0,1,0))</f>
        <v>0</v>
      </c>
      <c r="DI233" s="39" t="n">
        <f aca="false">IF(DI$4=0,0,IF(COUNTIFS(実績!$W$6:$W$505,DI$3,実績!$AI$6:$AI$505,"&lt;="&amp;$A233,実績!$AJ$6:$AJ$505,"&gt;"&amp;$A233,実績!$AL$6:$AL$505,"○")&gt;0,1,0))</f>
        <v>0</v>
      </c>
      <c r="DJ233" s="39" t="n">
        <f aca="false">IF(DJ$4=0,0,IF(COUNTIFS(実績!$W$6:$W$505,DJ$3,実績!$AI$6:$AI$505,"&lt;="&amp;$A233,実績!$AJ$6:$AJ$505,"&gt;"&amp;$A233,実績!$AL$6:$AL$505,"○")&gt;0,1,0))</f>
        <v>0</v>
      </c>
      <c r="DK233" s="39" t="n">
        <f aca="false">IF(DK$4=0,0,IF(COUNTIFS(実績!$W$6:$W$505,DK$3,実績!$AI$6:$AI$505,"&lt;="&amp;$A233,実績!$AJ$6:$AJ$505,"&gt;"&amp;$A233,実績!$AL$6:$AL$505,"○")&gt;0,1,0))</f>
        <v>0</v>
      </c>
      <c r="DL233" s="39" t="n">
        <f aca="false">IF(DL$4=0,0,IF(COUNTIFS(実績!$W$6:$W$505,DL$3,実績!$AI$6:$AI$505,"&lt;="&amp;$A233,実績!$AJ$6:$AJ$505,"&gt;"&amp;$A233,実績!$AL$6:$AL$505,"○")&gt;0,1,0))</f>
        <v>0</v>
      </c>
      <c r="DM233" s="39" t="n">
        <f aca="false">IF(DM$4=0,0,IF(COUNTIFS(実績!$W$6:$W$505,DM$3,実績!$AI$6:$AI$505,"&lt;="&amp;$A233,実績!$AJ$6:$AJ$505,"&gt;"&amp;$A233,実績!$AL$6:$AL$505,"○")&gt;0,1,0))</f>
        <v>0</v>
      </c>
      <c r="DN233" s="39" t="n">
        <f aca="false">IF(DN$4=0,0,IF(COUNTIFS(実績!$W$6:$W$505,DN$3,実績!$AI$6:$AI$505,"&lt;="&amp;$A233,実績!$AJ$6:$AJ$505,"&gt;"&amp;$A233,実績!$AL$6:$AL$505,"○")&gt;0,1,0))</f>
        <v>0</v>
      </c>
      <c r="DO233" s="39" t="n">
        <f aca="false">IF(DO$4=0,0,IF(COUNTIFS(実績!$W$6:$W$505,DO$3,実績!$AI$6:$AI$505,"&lt;="&amp;$A233,実績!$AJ$6:$AJ$505,"&gt;"&amp;$A233,実績!$AL$6:$AL$505,"○")&gt;0,1,0))</f>
        <v>0</v>
      </c>
      <c r="DP233" s="39" t="n">
        <f aca="false">IF(DP$4=0,0,IF(COUNTIFS(実績!$W$6:$W$505,DP$3,実績!$AI$6:$AI$505,"&lt;="&amp;$A233,実績!$AJ$6:$AJ$505,"&gt;"&amp;$A233,実績!$AL$6:$AL$505,"○")&gt;0,1,0))</f>
        <v>0</v>
      </c>
      <c r="DQ233" s="39" t="n">
        <f aca="false">IF(DQ$4=0,0,IF(COUNTIFS(実績!$W$6:$W$505,DQ$3,実績!$AI$6:$AI$505,"&lt;="&amp;$A233,実績!$AJ$6:$AJ$505,"&gt;"&amp;$A233,実績!$AL$6:$AL$505,"○")&gt;0,1,0))</f>
        <v>0</v>
      </c>
      <c r="DR233" s="39" t="n">
        <f aca="false">IF(DR$4=0,0,IF(COUNTIFS(実績!$W$6:$W$505,DR$3,実績!$AI$6:$AI$505,"&lt;="&amp;$A233,実績!$AJ$6:$AJ$505,"&gt;"&amp;$A233,実績!$AL$6:$AL$505,"○")&gt;0,1,0))</f>
        <v>0</v>
      </c>
      <c r="DS233" s="39" t="n">
        <f aca="false">SUM(C233:DR233)</f>
        <v>0</v>
      </c>
    </row>
    <row r="234" customFormat="false" ht="15" hidden="false" customHeight="false" outlineLevel="0" collapsed="false">
      <c r="A234" s="0" t="n">
        <v>1140</v>
      </c>
      <c r="B234" s="38" t="n">
        <f aca="false">A234/1440</f>
        <v>0.791666666666667</v>
      </c>
      <c r="C234" s="39" t="n">
        <f aca="false">IF(C$4=0,0,IF(COUNTIFS(実績!$W$6:$W$505,C$3,実績!$AI$6:$AI$505,"&lt;="&amp;$A234,実績!$AJ$6:$AJ$505,"&gt;"&amp;$A234,実績!$AL$6:$AL$505,"○")&gt;0,1,0))</f>
        <v>0</v>
      </c>
      <c r="D234" s="39" t="n">
        <f aca="false">IF(D$4=0,0,IF(COUNTIFS(実績!$W$6:$W$505,D$3,実績!$AI$6:$AI$505,"&lt;="&amp;$A234,実績!$AJ$6:$AJ$505,"&gt;"&amp;$A234,実績!$AL$6:$AL$505,"○")&gt;0,1,0))</f>
        <v>0</v>
      </c>
      <c r="E234" s="39" t="n">
        <f aca="false">IF(E$4=0,0,IF(COUNTIFS(実績!$W$6:$W$505,E$3,実績!$AI$6:$AI$505,"&lt;="&amp;$A234,実績!$AJ$6:$AJ$505,"&gt;"&amp;$A234,実績!$AL$6:$AL$505,"○")&gt;0,1,0))</f>
        <v>0</v>
      </c>
      <c r="F234" s="39" t="n">
        <f aca="false">IF(F$4=0,0,IF(COUNTIFS(実績!$W$6:$W$505,F$3,実績!$AI$6:$AI$505,"&lt;="&amp;$A234,実績!$AJ$6:$AJ$505,"&gt;"&amp;$A234,実績!$AL$6:$AL$505,"○")&gt;0,1,0))</f>
        <v>0</v>
      </c>
      <c r="G234" s="39" t="n">
        <f aca="false">IF(G$4=0,0,IF(COUNTIFS(実績!$W$6:$W$505,G$3,実績!$AI$6:$AI$505,"&lt;="&amp;$A234,実績!$AJ$6:$AJ$505,"&gt;"&amp;$A234,実績!$AL$6:$AL$505,"○")&gt;0,1,0))</f>
        <v>0</v>
      </c>
      <c r="H234" s="39" t="n">
        <f aca="false">IF(H$4=0,0,IF(COUNTIFS(実績!$W$6:$W$505,H$3,実績!$AI$6:$AI$505,"&lt;="&amp;$A234,実績!$AJ$6:$AJ$505,"&gt;"&amp;$A234,実績!$AL$6:$AL$505,"○")&gt;0,1,0))</f>
        <v>0</v>
      </c>
      <c r="I234" s="39" t="n">
        <f aca="false">IF(I$4=0,0,IF(COUNTIFS(実績!$W$6:$W$505,I$3,実績!$AI$6:$AI$505,"&lt;="&amp;$A234,実績!$AJ$6:$AJ$505,"&gt;"&amp;$A234,実績!$AL$6:$AL$505,"○")&gt;0,1,0))</f>
        <v>0</v>
      </c>
      <c r="J234" s="39" t="n">
        <f aca="false">IF(J$4=0,0,IF(COUNTIFS(実績!$W$6:$W$505,J$3,実績!$AI$6:$AI$505,"&lt;="&amp;$A234,実績!$AJ$6:$AJ$505,"&gt;"&amp;$A234,実績!$AL$6:$AL$505,"○")&gt;0,1,0))</f>
        <v>0</v>
      </c>
      <c r="K234" s="39" t="n">
        <f aca="false">IF(K$4=0,0,IF(COUNTIFS(実績!$W$6:$W$505,K$3,実績!$AI$6:$AI$505,"&lt;="&amp;$A234,実績!$AJ$6:$AJ$505,"&gt;"&amp;$A234,実績!$AL$6:$AL$505,"○")&gt;0,1,0))</f>
        <v>0</v>
      </c>
      <c r="L234" s="39" t="n">
        <f aca="false">IF(L$4=0,0,IF(COUNTIFS(実績!$W$6:$W$505,L$3,実績!$AI$6:$AI$505,"&lt;="&amp;$A234,実績!$AJ$6:$AJ$505,"&gt;"&amp;$A234,実績!$AL$6:$AL$505,"○")&gt;0,1,0))</f>
        <v>0</v>
      </c>
      <c r="M234" s="39" t="n">
        <f aca="false">IF(M$4=0,0,IF(COUNTIFS(実績!$W$6:$W$505,M$3,実績!$AI$6:$AI$505,"&lt;="&amp;$A234,実績!$AJ$6:$AJ$505,"&gt;"&amp;$A234,実績!$AL$6:$AL$505,"○")&gt;0,1,0))</f>
        <v>0</v>
      </c>
      <c r="N234" s="39" t="n">
        <f aca="false">IF(N$4=0,0,IF(COUNTIFS(実績!$W$6:$W$505,N$3,実績!$AI$6:$AI$505,"&lt;="&amp;$A234,実績!$AJ$6:$AJ$505,"&gt;"&amp;$A234,実績!$AL$6:$AL$505,"○")&gt;0,1,0))</f>
        <v>0</v>
      </c>
      <c r="O234" s="39" t="n">
        <f aca="false">IF(O$4=0,0,IF(COUNTIFS(実績!$W$6:$W$505,O$3,実績!$AI$6:$AI$505,"&lt;="&amp;$A234,実績!$AJ$6:$AJ$505,"&gt;"&amp;$A234,実績!$AL$6:$AL$505,"○")&gt;0,1,0))</f>
        <v>0</v>
      </c>
      <c r="P234" s="39" t="n">
        <f aca="false">IF(P$4=0,0,IF(COUNTIFS(実績!$W$6:$W$505,P$3,実績!$AI$6:$AI$505,"&lt;="&amp;$A234,実績!$AJ$6:$AJ$505,"&gt;"&amp;$A234,実績!$AL$6:$AL$505,"○")&gt;0,1,0))</f>
        <v>0</v>
      </c>
      <c r="Q234" s="39" t="n">
        <f aca="false">IF(Q$4=0,0,IF(COUNTIFS(実績!$W$6:$W$505,Q$3,実績!$AI$6:$AI$505,"&lt;="&amp;$A234,実績!$AJ$6:$AJ$505,"&gt;"&amp;$A234,実績!$AL$6:$AL$505,"○")&gt;0,1,0))</f>
        <v>0</v>
      </c>
      <c r="R234" s="39" t="n">
        <f aca="false">IF(R$4=0,0,IF(COUNTIFS(実績!$W$6:$W$505,R$3,実績!$AI$6:$AI$505,"&lt;="&amp;$A234,実績!$AJ$6:$AJ$505,"&gt;"&amp;$A234,実績!$AL$6:$AL$505,"○")&gt;0,1,0))</f>
        <v>0</v>
      </c>
      <c r="S234" s="39" t="n">
        <f aca="false">IF(S$4=0,0,IF(COUNTIFS(実績!$W$6:$W$505,S$3,実績!$AI$6:$AI$505,"&lt;="&amp;$A234,実績!$AJ$6:$AJ$505,"&gt;"&amp;$A234,実績!$AL$6:$AL$505,"○")&gt;0,1,0))</f>
        <v>0</v>
      </c>
      <c r="T234" s="39" t="n">
        <f aca="false">IF(T$4=0,0,IF(COUNTIFS(実績!$W$6:$W$505,T$3,実績!$AI$6:$AI$505,"&lt;="&amp;$A234,実績!$AJ$6:$AJ$505,"&gt;"&amp;$A234,実績!$AL$6:$AL$505,"○")&gt;0,1,0))</f>
        <v>0</v>
      </c>
      <c r="U234" s="39" t="n">
        <f aca="false">IF(U$4=0,0,IF(COUNTIFS(実績!$W$6:$W$505,U$3,実績!$AI$6:$AI$505,"&lt;="&amp;$A234,実績!$AJ$6:$AJ$505,"&gt;"&amp;$A234,実績!$AL$6:$AL$505,"○")&gt;0,1,0))</f>
        <v>0</v>
      </c>
      <c r="V234" s="39" t="n">
        <f aca="false">IF(V$4=0,0,IF(COUNTIFS(実績!$W$6:$W$505,V$3,実績!$AI$6:$AI$505,"&lt;="&amp;$A234,実績!$AJ$6:$AJ$505,"&gt;"&amp;$A234,実績!$AL$6:$AL$505,"○")&gt;0,1,0))</f>
        <v>0</v>
      </c>
      <c r="W234" s="39" t="n">
        <f aca="false">IF(W$4=0,0,IF(COUNTIFS(実績!$W$6:$W$505,W$3,実績!$AI$6:$AI$505,"&lt;="&amp;$A234,実績!$AJ$6:$AJ$505,"&gt;"&amp;$A234,実績!$AL$6:$AL$505,"○")&gt;0,1,0))</f>
        <v>0</v>
      </c>
      <c r="X234" s="39" t="n">
        <f aca="false">IF(X$4=0,0,IF(COUNTIFS(実績!$W$6:$W$505,X$3,実績!$AI$6:$AI$505,"&lt;="&amp;$A234,実績!$AJ$6:$AJ$505,"&gt;"&amp;$A234,実績!$AL$6:$AL$505,"○")&gt;0,1,0))</f>
        <v>0</v>
      </c>
      <c r="Y234" s="39" t="n">
        <f aca="false">IF(Y$4=0,0,IF(COUNTIFS(実績!$W$6:$W$505,Y$3,実績!$AI$6:$AI$505,"&lt;="&amp;$A234,実績!$AJ$6:$AJ$505,"&gt;"&amp;$A234,実績!$AL$6:$AL$505,"○")&gt;0,1,0))</f>
        <v>0</v>
      </c>
      <c r="Z234" s="39" t="n">
        <f aca="false">IF(Z$4=0,0,IF(COUNTIFS(実績!$W$6:$W$505,Z$3,実績!$AI$6:$AI$505,"&lt;="&amp;$A234,実績!$AJ$6:$AJ$505,"&gt;"&amp;$A234,実績!$AL$6:$AL$505,"○")&gt;0,1,0))</f>
        <v>0</v>
      </c>
      <c r="AA234" s="39" t="n">
        <f aca="false">IF(AA$4=0,0,IF(COUNTIFS(実績!$W$6:$W$505,AA$3,実績!$AI$6:$AI$505,"&lt;="&amp;$A234,実績!$AJ$6:$AJ$505,"&gt;"&amp;$A234,実績!$AL$6:$AL$505,"○")&gt;0,1,0))</f>
        <v>0</v>
      </c>
      <c r="AB234" s="39" t="n">
        <f aca="false">IF(AB$4=0,0,IF(COUNTIFS(実績!$W$6:$W$505,AB$3,実績!$AI$6:$AI$505,"&lt;="&amp;$A234,実績!$AJ$6:$AJ$505,"&gt;"&amp;$A234,実績!$AL$6:$AL$505,"○")&gt;0,1,0))</f>
        <v>0</v>
      </c>
      <c r="AC234" s="39" t="n">
        <f aca="false">IF(AC$4=0,0,IF(COUNTIFS(実績!$W$6:$W$505,AC$3,実績!$AI$6:$AI$505,"&lt;="&amp;$A234,実績!$AJ$6:$AJ$505,"&gt;"&amp;$A234,実績!$AL$6:$AL$505,"○")&gt;0,1,0))</f>
        <v>0</v>
      </c>
      <c r="AD234" s="39" t="n">
        <f aca="false">IF(AD$4=0,0,IF(COUNTIFS(実績!$W$6:$W$505,AD$3,実績!$AI$6:$AI$505,"&lt;="&amp;$A234,実績!$AJ$6:$AJ$505,"&gt;"&amp;$A234,実績!$AL$6:$AL$505,"○")&gt;0,1,0))</f>
        <v>0</v>
      </c>
      <c r="AE234" s="39" t="n">
        <f aca="false">IF(AE$4=0,0,IF(COUNTIFS(実績!$W$6:$W$505,AE$3,実績!$AI$6:$AI$505,"&lt;="&amp;$A234,実績!$AJ$6:$AJ$505,"&gt;"&amp;$A234,実績!$AL$6:$AL$505,"○")&gt;0,1,0))</f>
        <v>0</v>
      </c>
      <c r="AF234" s="39" t="n">
        <f aca="false">IF(AF$4=0,0,IF(COUNTIFS(実績!$W$6:$W$505,AF$3,実績!$AI$6:$AI$505,"&lt;="&amp;$A234,実績!$AJ$6:$AJ$505,"&gt;"&amp;$A234,実績!$AL$6:$AL$505,"○")&gt;0,1,0))</f>
        <v>0</v>
      </c>
      <c r="AG234" s="39" t="n">
        <f aca="false">IF(AG$4=0,0,IF(COUNTIFS(実績!$W$6:$W$505,AG$3,実績!$AI$6:$AI$505,"&lt;="&amp;$A234,実績!$AJ$6:$AJ$505,"&gt;"&amp;$A234,実績!$AL$6:$AL$505,"○")&gt;0,1,0))</f>
        <v>0</v>
      </c>
      <c r="AH234" s="39" t="n">
        <f aca="false">IF(AH$4=0,0,IF(COUNTIFS(実績!$W$6:$W$505,AH$3,実績!$AI$6:$AI$505,"&lt;="&amp;$A234,実績!$AJ$6:$AJ$505,"&gt;"&amp;$A234,実績!$AL$6:$AL$505,"○")&gt;0,1,0))</f>
        <v>0</v>
      </c>
      <c r="AI234" s="39" t="n">
        <f aca="false">IF(AI$4=0,0,IF(COUNTIFS(実績!$W$6:$W$505,AI$3,実績!$AI$6:$AI$505,"&lt;="&amp;$A234,実績!$AJ$6:$AJ$505,"&gt;"&amp;$A234,実績!$AL$6:$AL$505,"○")&gt;0,1,0))</f>
        <v>0</v>
      </c>
      <c r="AJ234" s="39" t="n">
        <f aca="false">IF(AJ$4=0,0,IF(COUNTIFS(実績!$W$6:$W$505,AJ$3,実績!$AI$6:$AI$505,"&lt;="&amp;$A234,実績!$AJ$6:$AJ$505,"&gt;"&amp;$A234,実績!$AL$6:$AL$505,"○")&gt;0,1,0))</f>
        <v>0</v>
      </c>
      <c r="AK234" s="39" t="n">
        <f aca="false">IF(AK$4=0,0,IF(COUNTIFS(実績!$W$6:$W$505,AK$3,実績!$AI$6:$AI$505,"&lt;="&amp;$A234,実績!$AJ$6:$AJ$505,"&gt;"&amp;$A234,実績!$AL$6:$AL$505,"○")&gt;0,1,0))</f>
        <v>0</v>
      </c>
      <c r="AL234" s="39" t="n">
        <f aca="false">IF(AL$4=0,0,IF(COUNTIFS(実績!$W$6:$W$505,AL$3,実績!$AI$6:$AI$505,"&lt;="&amp;$A234,実績!$AJ$6:$AJ$505,"&gt;"&amp;$A234,実績!$AL$6:$AL$505,"○")&gt;0,1,0))</f>
        <v>0</v>
      </c>
      <c r="AM234" s="39" t="n">
        <f aca="false">IF(AM$4=0,0,IF(COUNTIFS(実績!$W$6:$W$505,AM$3,実績!$AI$6:$AI$505,"&lt;="&amp;$A234,実績!$AJ$6:$AJ$505,"&gt;"&amp;$A234,実績!$AL$6:$AL$505,"○")&gt;0,1,0))</f>
        <v>0</v>
      </c>
      <c r="AN234" s="39" t="n">
        <f aca="false">IF(AN$4=0,0,IF(COUNTIFS(実績!$W$6:$W$505,AN$3,実績!$AI$6:$AI$505,"&lt;="&amp;$A234,実績!$AJ$6:$AJ$505,"&gt;"&amp;$A234,実績!$AL$6:$AL$505,"○")&gt;0,1,0))</f>
        <v>0</v>
      </c>
      <c r="AO234" s="39" t="n">
        <f aca="false">IF(AO$4=0,0,IF(COUNTIFS(実績!$W$6:$W$505,AO$3,実績!$AI$6:$AI$505,"&lt;="&amp;$A234,実績!$AJ$6:$AJ$505,"&gt;"&amp;$A234,実績!$AL$6:$AL$505,"○")&gt;0,1,0))</f>
        <v>0</v>
      </c>
      <c r="AP234" s="39" t="n">
        <f aca="false">IF(AP$4=0,0,IF(COUNTIFS(実績!$W$6:$W$505,AP$3,実績!$AI$6:$AI$505,"&lt;="&amp;$A234,実績!$AJ$6:$AJ$505,"&gt;"&amp;$A234,実績!$AL$6:$AL$505,"○")&gt;0,1,0))</f>
        <v>0</v>
      </c>
      <c r="AQ234" s="39" t="n">
        <f aca="false">IF(AQ$4=0,0,IF(COUNTIFS(実績!$W$6:$W$505,AQ$3,実績!$AI$6:$AI$505,"&lt;="&amp;$A234,実績!$AJ$6:$AJ$505,"&gt;"&amp;$A234,実績!$AL$6:$AL$505,"○")&gt;0,1,0))</f>
        <v>0</v>
      </c>
      <c r="AR234" s="39" t="n">
        <f aca="false">IF(AR$4=0,0,IF(COUNTIFS(実績!$W$6:$W$505,AR$3,実績!$AI$6:$AI$505,"&lt;="&amp;$A234,実績!$AJ$6:$AJ$505,"&gt;"&amp;$A234,実績!$AL$6:$AL$505,"○")&gt;0,1,0))</f>
        <v>0</v>
      </c>
      <c r="AS234" s="39" t="n">
        <f aca="false">IF(AS$4=0,0,IF(COUNTIFS(実績!$W$6:$W$505,AS$3,実績!$AI$6:$AI$505,"&lt;="&amp;$A234,実績!$AJ$6:$AJ$505,"&gt;"&amp;$A234,実績!$AL$6:$AL$505,"○")&gt;0,1,0))</f>
        <v>0</v>
      </c>
      <c r="AT234" s="39" t="n">
        <f aca="false">IF(AT$4=0,0,IF(COUNTIFS(実績!$W$6:$W$505,AT$3,実績!$AI$6:$AI$505,"&lt;="&amp;$A234,実績!$AJ$6:$AJ$505,"&gt;"&amp;$A234,実績!$AL$6:$AL$505,"○")&gt;0,1,0))</f>
        <v>0</v>
      </c>
      <c r="AU234" s="39" t="n">
        <f aca="false">IF(AU$4=0,0,IF(COUNTIFS(実績!$W$6:$W$505,AU$3,実績!$AI$6:$AI$505,"&lt;="&amp;$A234,実績!$AJ$6:$AJ$505,"&gt;"&amp;$A234,実績!$AL$6:$AL$505,"○")&gt;0,1,0))</f>
        <v>0</v>
      </c>
      <c r="AV234" s="39" t="n">
        <f aca="false">IF(AV$4=0,0,IF(COUNTIFS(実績!$W$6:$W$505,AV$3,実績!$AI$6:$AI$505,"&lt;="&amp;$A234,実績!$AJ$6:$AJ$505,"&gt;"&amp;$A234,実績!$AL$6:$AL$505,"○")&gt;0,1,0))</f>
        <v>0</v>
      </c>
      <c r="AW234" s="39" t="n">
        <f aca="false">IF(AW$4=0,0,IF(COUNTIFS(実績!$W$6:$W$505,AW$3,実績!$AI$6:$AI$505,"&lt;="&amp;$A234,実績!$AJ$6:$AJ$505,"&gt;"&amp;$A234,実績!$AL$6:$AL$505,"○")&gt;0,1,0))</f>
        <v>0</v>
      </c>
      <c r="AX234" s="39" t="n">
        <f aca="false">IF(AX$4=0,0,IF(COUNTIFS(実績!$W$6:$W$505,AX$3,実績!$AI$6:$AI$505,"&lt;="&amp;$A234,実績!$AJ$6:$AJ$505,"&gt;"&amp;$A234,実績!$AL$6:$AL$505,"○")&gt;0,1,0))</f>
        <v>0</v>
      </c>
      <c r="AY234" s="39" t="n">
        <f aca="false">IF(AY$4=0,0,IF(COUNTIFS(実績!$W$6:$W$505,AY$3,実績!$AI$6:$AI$505,"&lt;="&amp;$A234,実績!$AJ$6:$AJ$505,"&gt;"&amp;$A234,実績!$AL$6:$AL$505,"○")&gt;0,1,0))</f>
        <v>0</v>
      </c>
      <c r="AZ234" s="39" t="n">
        <f aca="false">IF(AZ$4=0,0,IF(COUNTIFS(実績!$W$6:$W$505,AZ$3,実績!$AI$6:$AI$505,"&lt;="&amp;$A234,実績!$AJ$6:$AJ$505,"&gt;"&amp;$A234,実績!$AL$6:$AL$505,"○")&gt;0,1,0))</f>
        <v>0</v>
      </c>
      <c r="BA234" s="39" t="n">
        <f aca="false">IF(BA$4=0,0,IF(COUNTIFS(実績!$W$6:$W$505,BA$3,実績!$AI$6:$AI$505,"&lt;="&amp;$A234,実績!$AJ$6:$AJ$505,"&gt;"&amp;$A234,実績!$AL$6:$AL$505,"○")&gt;0,1,0))</f>
        <v>0</v>
      </c>
      <c r="BB234" s="39" t="n">
        <f aca="false">IF(BB$4=0,0,IF(COUNTIFS(実績!$W$6:$W$505,BB$3,実績!$AI$6:$AI$505,"&lt;="&amp;$A234,実績!$AJ$6:$AJ$505,"&gt;"&amp;$A234,実績!$AL$6:$AL$505,"○")&gt;0,1,0))</f>
        <v>0</v>
      </c>
      <c r="BC234" s="39" t="n">
        <f aca="false">IF(BC$4=0,0,IF(COUNTIFS(実績!$W$6:$W$505,BC$3,実績!$AI$6:$AI$505,"&lt;="&amp;$A234,実績!$AJ$6:$AJ$505,"&gt;"&amp;$A234,実績!$AL$6:$AL$505,"○")&gt;0,1,0))</f>
        <v>0</v>
      </c>
      <c r="BD234" s="39" t="n">
        <f aca="false">IF(BD$4=0,0,IF(COUNTIFS(実績!$W$6:$W$505,BD$3,実績!$AI$6:$AI$505,"&lt;="&amp;$A234,実績!$AJ$6:$AJ$505,"&gt;"&amp;$A234,実績!$AL$6:$AL$505,"○")&gt;0,1,0))</f>
        <v>0</v>
      </c>
      <c r="BE234" s="39" t="n">
        <f aca="false">IF(BE$4=0,0,IF(COUNTIFS(実績!$W$6:$W$505,BE$3,実績!$AI$6:$AI$505,"&lt;="&amp;$A234,実績!$AJ$6:$AJ$505,"&gt;"&amp;$A234,実績!$AL$6:$AL$505,"○")&gt;0,1,0))</f>
        <v>0</v>
      </c>
      <c r="BF234" s="39" t="n">
        <f aca="false">IF(BF$4=0,0,IF(COUNTIFS(実績!$W$6:$W$505,BF$3,実績!$AI$6:$AI$505,"&lt;="&amp;$A234,実績!$AJ$6:$AJ$505,"&gt;"&amp;$A234,実績!$AL$6:$AL$505,"○")&gt;0,1,0))</f>
        <v>0</v>
      </c>
      <c r="BG234" s="39" t="n">
        <f aca="false">IF(BG$4=0,0,IF(COUNTIFS(実績!$W$6:$W$505,BG$3,実績!$AI$6:$AI$505,"&lt;="&amp;$A234,実績!$AJ$6:$AJ$505,"&gt;"&amp;$A234,実績!$AL$6:$AL$505,"○")&gt;0,1,0))</f>
        <v>0</v>
      </c>
      <c r="BH234" s="39" t="n">
        <f aca="false">IF(BH$4=0,0,IF(COUNTIFS(実績!$W$6:$W$505,BH$3,実績!$AI$6:$AI$505,"&lt;="&amp;$A234,実績!$AJ$6:$AJ$505,"&gt;"&amp;$A234,実績!$AL$6:$AL$505,"○")&gt;0,1,0))</f>
        <v>0</v>
      </c>
      <c r="BI234" s="39" t="n">
        <f aca="false">IF(BI$4=0,0,IF(COUNTIFS(実績!$W$6:$W$505,BI$3,実績!$AI$6:$AI$505,"&lt;="&amp;$A234,実績!$AJ$6:$AJ$505,"&gt;"&amp;$A234,実績!$AL$6:$AL$505,"○")&gt;0,1,0))</f>
        <v>0</v>
      </c>
      <c r="BJ234" s="39" t="n">
        <f aca="false">IF(BJ$4=0,0,IF(COUNTIFS(実績!$W$6:$W$505,BJ$3,実績!$AI$6:$AI$505,"&lt;="&amp;$A234,実績!$AJ$6:$AJ$505,"&gt;"&amp;$A234,実績!$AL$6:$AL$505,"○")&gt;0,1,0))</f>
        <v>0</v>
      </c>
      <c r="BK234" s="39" t="n">
        <f aca="false">IF(BK$4=0,0,IF(COUNTIFS(実績!$W$6:$W$505,BK$3,実績!$AI$6:$AI$505,"&lt;="&amp;$A234,実績!$AJ$6:$AJ$505,"&gt;"&amp;$A234,実績!$AL$6:$AL$505,"○")&gt;0,1,0))</f>
        <v>0</v>
      </c>
      <c r="BL234" s="39" t="n">
        <f aca="false">IF(BL$4=0,0,IF(COUNTIFS(実績!$W$6:$W$505,BL$3,実績!$AI$6:$AI$505,"&lt;="&amp;$A234,実績!$AJ$6:$AJ$505,"&gt;"&amp;$A234,実績!$AL$6:$AL$505,"○")&gt;0,1,0))</f>
        <v>0</v>
      </c>
      <c r="BM234" s="39" t="n">
        <f aca="false">IF(BM$4=0,0,IF(COUNTIFS(実績!$W$6:$W$505,BM$3,実績!$AI$6:$AI$505,"&lt;="&amp;$A234,実績!$AJ$6:$AJ$505,"&gt;"&amp;$A234,実績!$AL$6:$AL$505,"○")&gt;0,1,0))</f>
        <v>0</v>
      </c>
      <c r="BN234" s="39" t="n">
        <f aca="false">IF(BN$4=0,0,IF(COUNTIFS(実績!$W$6:$W$505,BN$3,実績!$AI$6:$AI$505,"&lt;="&amp;$A234,実績!$AJ$6:$AJ$505,"&gt;"&amp;$A234,実績!$AL$6:$AL$505,"○")&gt;0,1,0))</f>
        <v>0</v>
      </c>
      <c r="BO234" s="39" t="n">
        <f aca="false">IF(BO$4=0,0,IF(COUNTIFS(実績!$W$6:$W$505,BO$3,実績!$AI$6:$AI$505,"&lt;="&amp;$A234,実績!$AJ$6:$AJ$505,"&gt;"&amp;$A234,実績!$AL$6:$AL$505,"○")&gt;0,1,0))</f>
        <v>0</v>
      </c>
      <c r="BP234" s="39" t="n">
        <f aca="false">IF(BP$4=0,0,IF(COUNTIFS(実績!$W$6:$W$505,BP$3,実績!$AI$6:$AI$505,"&lt;="&amp;$A234,実績!$AJ$6:$AJ$505,"&gt;"&amp;$A234,実績!$AL$6:$AL$505,"○")&gt;0,1,0))</f>
        <v>0</v>
      </c>
      <c r="BQ234" s="39" t="n">
        <f aca="false">IF(BQ$4=0,0,IF(COUNTIFS(実績!$W$6:$W$505,BQ$3,実績!$AI$6:$AI$505,"&lt;="&amp;$A234,実績!$AJ$6:$AJ$505,"&gt;"&amp;$A234,実績!$AL$6:$AL$505,"○")&gt;0,1,0))</f>
        <v>0</v>
      </c>
      <c r="BR234" s="39" t="n">
        <f aca="false">IF(BR$4=0,0,IF(COUNTIFS(実績!$W$6:$W$505,BR$3,実績!$AI$6:$AI$505,"&lt;="&amp;$A234,実績!$AJ$6:$AJ$505,"&gt;"&amp;$A234,実績!$AL$6:$AL$505,"○")&gt;0,1,0))</f>
        <v>0</v>
      </c>
      <c r="BS234" s="39" t="n">
        <f aca="false">IF(BS$4=0,0,IF(COUNTIFS(実績!$W$6:$W$505,BS$3,実績!$AI$6:$AI$505,"&lt;="&amp;$A234,実績!$AJ$6:$AJ$505,"&gt;"&amp;$A234,実績!$AL$6:$AL$505,"○")&gt;0,1,0))</f>
        <v>0</v>
      </c>
      <c r="BT234" s="39" t="n">
        <f aca="false">IF(BT$4=0,0,IF(COUNTIFS(実績!$W$6:$W$505,BT$3,実績!$AI$6:$AI$505,"&lt;="&amp;$A234,実績!$AJ$6:$AJ$505,"&gt;"&amp;$A234,実績!$AL$6:$AL$505,"○")&gt;0,1,0))</f>
        <v>0</v>
      </c>
      <c r="BU234" s="39" t="n">
        <f aca="false">IF(BU$4=0,0,IF(COUNTIFS(実績!$W$6:$W$505,BU$3,実績!$AI$6:$AI$505,"&lt;="&amp;$A234,実績!$AJ$6:$AJ$505,"&gt;"&amp;$A234,実績!$AL$6:$AL$505,"○")&gt;0,1,0))</f>
        <v>0</v>
      </c>
      <c r="BV234" s="39" t="n">
        <f aca="false">IF(BV$4=0,0,IF(COUNTIFS(実績!$W$6:$W$505,BV$3,実績!$AI$6:$AI$505,"&lt;="&amp;$A234,実績!$AJ$6:$AJ$505,"&gt;"&amp;$A234,実績!$AL$6:$AL$505,"○")&gt;0,1,0))</f>
        <v>0</v>
      </c>
      <c r="BW234" s="39" t="n">
        <f aca="false">IF(BW$4=0,0,IF(COUNTIFS(実績!$W$6:$W$505,BW$3,実績!$AI$6:$AI$505,"&lt;="&amp;$A234,実績!$AJ$6:$AJ$505,"&gt;"&amp;$A234,実績!$AL$6:$AL$505,"○")&gt;0,1,0))</f>
        <v>0</v>
      </c>
      <c r="BX234" s="39" t="n">
        <f aca="false">IF(BX$4=0,0,IF(COUNTIFS(実績!$W$6:$W$505,BX$3,実績!$AI$6:$AI$505,"&lt;="&amp;$A234,実績!$AJ$6:$AJ$505,"&gt;"&amp;$A234,実績!$AL$6:$AL$505,"○")&gt;0,1,0))</f>
        <v>0</v>
      </c>
      <c r="BY234" s="39" t="n">
        <f aca="false">IF(BY$4=0,0,IF(COUNTIFS(実績!$W$6:$W$505,BY$3,実績!$AI$6:$AI$505,"&lt;="&amp;$A234,実績!$AJ$6:$AJ$505,"&gt;"&amp;$A234,実績!$AL$6:$AL$505,"○")&gt;0,1,0))</f>
        <v>0</v>
      </c>
      <c r="BZ234" s="39" t="n">
        <f aca="false">IF(BZ$4=0,0,IF(COUNTIFS(実績!$W$6:$W$505,BZ$3,実績!$AI$6:$AI$505,"&lt;="&amp;$A234,実績!$AJ$6:$AJ$505,"&gt;"&amp;$A234,実績!$AL$6:$AL$505,"○")&gt;0,1,0))</f>
        <v>0</v>
      </c>
      <c r="CA234" s="39" t="n">
        <f aca="false">IF(CA$4=0,0,IF(COUNTIFS(実績!$W$6:$W$505,CA$3,実績!$AI$6:$AI$505,"&lt;="&amp;$A234,実績!$AJ$6:$AJ$505,"&gt;"&amp;$A234,実績!$AL$6:$AL$505,"○")&gt;0,1,0))</f>
        <v>0</v>
      </c>
      <c r="CB234" s="39" t="n">
        <f aca="false">IF(CB$4=0,0,IF(COUNTIFS(実績!$W$6:$W$505,CB$3,実績!$AI$6:$AI$505,"&lt;="&amp;$A234,実績!$AJ$6:$AJ$505,"&gt;"&amp;$A234,実績!$AL$6:$AL$505,"○")&gt;0,1,0))</f>
        <v>0</v>
      </c>
      <c r="CC234" s="39" t="n">
        <f aca="false">IF(CC$4=0,0,IF(COUNTIFS(実績!$W$6:$W$505,CC$3,実績!$AI$6:$AI$505,"&lt;="&amp;$A234,実績!$AJ$6:$AJ$505,"&gt;"&amp;$A234,実績!$AL$6:$AL$505,"○")&gt;0,1,0))</f>
        <v>0</v>
      </c>
      <c r="CD234" s="39" t="n">
        <f aca="false">IF(CD$4=0,0,IF(COUNTIFS(実績!$W$6:$W$505,CD$3,実績!$AI$6:$AI$505,"&lt;="&amp;$A234,実績!$AJ$6:$AJ$505,"&gt;"&amp;$A234,実績!$AL$6:$AL$505,"○")&gt;0,1,0))</f>
        <v>0</v>
      </c>
      <c r="CE234" s="39" t="n">
        <f aca="false">IF(CE$4=0,0,IF(COUNTIFS(実績!$W$6:$W$505,CE$3,実績!$AI$6:$AI$505,"&lt;="&amp;$A234,実績!$AJ$6:$AJ$505,"&gt;"&amp;$A234,実績!$AL$6:$AL$505,"○")&gt;0,1,0))</f>
        <v>0</v>
      </c>
      <c r="CF234" s="39" t="n">
        <f aca="false">IF(CF$4=0,0,IF(COUNTIFS(実績!$W$6:$W$505,CF$3,実績!$AI$6:$AI$505,"&lt;="&amp;$A234,実績!$AJ$6:$AJ$505,"&gt;"&amp;$A234,実績!$AL$6:$AL$505,"○")&gt;0,1,0))</f>
        <v>0</v>
      </c>
      <c r="CG234" s="39" t="n">
        <f aca="false">IF(CG$4=0,0,IF(COUNTIFS(実績!$W$6:$W$505,CG$3,実績!$AI$6:$AI$505,"&lt;="&amp;$A234,実績!$AJ$6:$AJ$505,"&gt;"&amp;$A234,実績!$AL$6:$AL$505,"○")&gt;0,1,0))</f>
        <v>0</v>
      </c>
      <c r="CH234" s="39" t="n">
        <f aca="false">IF(CH$4=0,0,IF(COUNTIFS(実績!$W$6:$W$505,CH$3,実績!$AI$6:$AI$505,"&lt;="&amp;$A234,実績!$AJ$6:$AJ$505,"&gt;"&amp;$A234,実績!$AL$6:$AL$505,"○")&gt;0,1,0))</f>
        <v>0</v>
      </c>
      <c r="CI234" s="39" t="n">
        <f aca="false">IF(CI$4=0,0,IF(COUNTIFS(実績!$W$6:$W$505,CI$3,実績!$AI$6:$AI$505,"&lt;="&amp;$A234,実績!$AJ$6:$AJ$505,"&gt;"&amp;$A234,実績!$AL$6:$AL$505,"○")&gt;0,1,0))</f>
        <v>0</v>
      </c>
      <c r="CJ234" s="39" t="n">
        <f aca="false">IF(CJ$4=0,0,IF(COUNTIFS(実績!$W$6:$W$505,CJ$3,実績!$AI$6:$AI$505,"&lt;="&amp;$A234,実績!$AJ$6:$AJ$505,"&gt;"&amp;$A234,実績!$AL$6:$AL$505,"○")&gt;0,1,0))</f>
        <v>0</v>
      </c>
      <c r="CK234" s="39" t="n">
        <f aca="false">IF(CK$4=0,0,IF(COUNTIFS(実績!$W$6:$W$505,CK$3,実績!$AI$6:$AI$505,"&lt;="&amp;$A234,実績!$AJ$6:$AJ$505,"&gt;"&amp;$A234,実績!$AL$6:$AL$505,"○")&gt;0,1,0))</f>
        <v>0</v>
      </c>
      <c r="CL234" s="39" t="n">
        <f aca="false">IF(CL$4=0,0,IF(COUNTIFS(実績!$W$6:$W$505,CL$3,実績!$AI$6:$AI$505,"&lt;="&amp;$A234,実績!$AJ$6:$AJ$505,"&gt;"&amp;$A234,実績!$AL$6:$AL$505,"○")&gt;0,1,0))</f>
        <v>0</v>
      </c>
      <c r="CM234" s="39" t="n">
        <f aca="false">IF(CM$4=0,0,IF(COUNTIFS(実績!$W$6:$W$505,CM$3,実績!$AI$6:$AI$505,"&lt;="&amp;$A234,実績!$AJ$6:$AJ$505,"&gt;"&amp;$A234,実績!$AL$6:$AL$505,"○")&gt;0,1,0))</f>
        <v>0</v>
      </c>
      <c r="CN234" s="39" t="n">
        <f aca="false">IF(CN$4=0,0,IF(COUNTIFS(実績!$W$6:$W$505,CN$3,実績!$AI$6:$AI$505,"&lt;="&amp;$A234,実績!$AJ$6:$AJ$505,"&gt;"&amp;$A234,実績!$AL$6:$AL$505,"○")&gt;0,1,0))</f>
        <v>0</v>
      </c>
      <c r="CO234" s="39" t="n">
        <f aca="false">IF(CO$4=0,0,IF(COUNTIFS(実績!$W$6:$W$505,CO$3,実績!$AI$6:$AI$505,"&lt;="&amp;$A234,実績!$AJ$6:$AJ$505,"&gt;"&amp;$A234,実績!$AL$6:$AL$505,"○")&gt;0,1,0))</f>
        <v>0</v>
      </c>
      <c r="CP234" s="39" t="n">
        <f aca="false">IF(CP$4=0,0,IF(COUNTIFS(実績!$W$6:$W$505,CP$3,実績!$AI$6:$AI$505,"&lt;="&amp;$A234,実績!$AJ$6:$AJ$505,"&gt;"&amp;$A234,実績!$AL$6:$AL$505,"○")&gt;0,1,0))</f>
        <v>0</v>
      </c>
      <c r="CQ234" s="39" t="n">
        <f aca="false">IF(CQ$4=0,0,IF(COUNTIFS(実績!$W$6:$W$505,CQ$3,実績!$AI$6:$AI$505,"&lt;="&amp;$A234,実績!$AJ$6:$AJ$505,"&gt;"&amp;$A234,実績!$AL$6:$AL$505,"○")&gt;0,1,0))</f>
        <v>0</v>
      </c>
      <c r="CR234" s="39" t="n">
        <f aca="false">IF(CR$4=0,0,IF(COUNTIFS(実績!$W$6:$W$505,CR$3,実績!$AI$6:$AI$505,"&lt;="&amp;$A234,実績!$AJ$6:$AJ$505,"&gt;"&amp;$A234,実績!$AL$6:$AL$505,"○")&gt;0,1,0))</f>
        <v>0</v>
      </c>
      <c r="CS234" s="39" t="n">
        <f aca="false">IF(CS$4=0,0,IF(COUNTIFS(実績!$W$6:$W$505,CS$3,実績!$AI$6:$AI$505,"&lt;="&amp;$A234,実績!$AJ$6:$AJ$505,"&gt;"&amp;$A234,実績!$AL$6:$AL$505,"○")&gt;0,1,0))</f>
        <v>0</v>
      </c>
      <c r="CT234" s="39" t="n">
        <f aca="false">IF(CT$4=0,0,IF(COUNTIFS(実績!$W$6:$W$505,CT$3,実績!$AI$6:$AI$505,"&lt;="&amp;$A234,実績!$AJ$6:$AJ$505,"&gt;"&amp;$A234,実績!$AL$6:$AL$505,"○")&gt;0,1,0))</f>
        <v>0</v>
      </c>
      <c r="CU234" s="39" t="n">
        <f aca="false">IF(CU$4=0,0,IF(COUNTIFS(実績!$W$6:$W$505,CU$3,実績!$AI$6:$AI$505,"&lt;="&amp;$A234,実績!$AJ$6:$AJ$505,"&gt;"&amp;$A234,実績!$AL$6:$AL$505,"○")&gt;0,1,0))</f>
        <v>0</v>
      </c>
      <c r="CV234" s="39" t="n">
        <f aca="false">IF(CV$4=0,0,IF(COUNTIFS(実績!$W$6:$W$505,CV$3,実績!$AI$6:$AI$505,"&lt;="&amp;$A234,実績!$AJ$6:$AJ$505,"&gt;"&amp;$A234,実績!$AL$6:$AL$505,"○")&gt;0,1,0))</f>
        <v>0</v>
      </c>
      <c r="CW234" s="39" t="n">
        <f aca="false">IF(CW$4=0,0,IF(COUNTIFS(実績!$W$6:$W$505,CW$3,実績!$AI$6:$AI$505,"&lt;="&amp;$A234,実績!$AJ$6:$AJ$505,"&gt;"&amp;$A234,実績!$AL$6:$AL$505,"○")&gt;0,1,0))</f>
        <v>0</v>
      </c>
      <c r="CX234" s="39" t="n">
        <f aca="false">IF(CX$4=0,0,IF(COUNTIFS(実績!$W$6:$W$505,CX$3,実績!$AI$6:$AI$505,"&lt;="&amp;$A234,実績!$AJ$6:$AJ$505,"&gt;"&amp;$A234,実績!$AL$6:$AL$505,"○")&gt;0,1,0))</f>
        <v>0</v>
      </c>
      <c r="CY234" s="39" t="n">
        <f aca="false">IF(CY$4=0,0,IF(COUNTIFS(実績!$W$6:$W$505,CY$3,実績!$AI$6:$AI$505,"&lt;="&amp;$A234,実績!$AJ$6:$AJ$505,"&gt;"&amp;$A234,実績!$AL$6:$AL$505,"○")&gt;0,1,0))</f>
        <v>0</v>
      </c>
      <c r="CZ234" s="39" t="n">
        <f aca="false">IF(CZ$4=0,0,IF(COUNTIFS(実績!$W$6:$W$505,CZ$3,実績!$AI$6:$AI$505,"&lt;="&amp;$A234,実績!$AJ$6:$AJ$505,"&gt;"&amp;$A234,実績!$AL$6:$AL$505,"○")&gt;0,1,0))</f>
        <v>0</v>
      </c>
      <c r="DA234" s="39" t="n">
        <f aca="false">IF(DA$4=0,0,IF(COUNTIFS(実績!$W$6:$W$505,DA$3,実績!$AI$6:$AI$505,"&lt;="&amp;$A234,実績!$AJ$6:$AJ$505,"&gt;"&amp;$A234,実績!$AL$6:$AL$505,"○")&gt;0,1,0))</f>
        <v>0</v>
      </c>
      <c r="DB234" s="39" t="n">
        <f aca="false">IF(DB$4=0,0,IF(COUNTIFS(実績!$W$6:$W$505,DB$3,実績!$AI$6:$AI$505,"&lt;="&amp;$A234,実績!$AJ$6:$AJ$505,"&gt;"&amp;$A234,実績!$AL$6:$AL$505,"○")&gt;0,1,0))</f>
        <v>0</v>
      </c>
      <c r="DC234" s="39" t="n">
        <f aca="false">IF(DC$4=0,0,IF(COUNTIFS(実績!$W$6:$W$505,DC$3,実績!$AI$6:$AI$505,"&lt;="&amp;$A234,実績!$AJ$6:$AJ$505,"&gt;"&amp;$A234,実績!$AL$6:$AL$505,"○")&gt;0,1,0))</f>
        <v>0</v>
      </c>
      <c r="DD234" s="39" t="n">
        <f aca="false">IF(DD$4=0,0,IF(COUNTIFS(実績!$W$6:$W$505,DD$3,実績!$AI$6:$AI$505,"&lt;="&amp;$A234,実績!$AJ$6:$AJ$505,"&gt;"&amp;$A234,実績!$AL$6:$AL$505,"○")&gt;0,1,0))</f>
        <v>0</v>
      </c>
      <c r="DE234" s="39" t="n">
        <f aca="false">IF(DE$4=0,0,IF(COUNTIFS(実績!$W$6:$W$505,DE$3,実績!$AI$6:$AI$505,"&lt;="&amp;$A234,実績!$AJ$6:$AJ$505,"&gt;"&amp;$A234,実績!$AL$6:$AL$505,"○")&gt;0,1,0))</f>
        <v>0</v>
      </c>
      <c r="DF234" s="39" t="n">
        <f aca="false">IF(DF$4=0,0,IF(COUNTIFS(実績!$W$6:$W$505,DF$3,実績!$AI$6:$AI$505,"&lt;="&amp;$A234,実績!$AJ$6:$AJ$505,"&gt;"&amp;$A234,実績!$AL$6:$AL$505,"○")&gt;0,1,0))</f>
        <v>0</v>
      </c>
      <c r="DG234" s="39" t="n">
        <f aca="false">IF(DG$4=0,0,IF(COUNTIFS(実績!$W$6:$W$505,DG$3,実績!$AI$6:$AI$505,"&lt;="&amp;$A234,実績!$AJ$6:$AJ$505,"&gt;"&amp;$A234,実績!$AL$6:$AL$505,"○")&gt;0,1,0))</f>
        <v>0</v>
      </c>
      <c r="DH234" s="39" t="n">
        <f aca="false">IF(DH$4=0,0,IF(COUNTIFS(実績!$W$6:$W$505,DH$3,実績!$AI$6:$AI$505,"&lt;="&amp;$A234,実績!$AJ$6:$AJ$505,"&gt;"&amp;$A234,実績!$AL$6:$AL$505,"○")&gt;0,1,0))</f>
        <v>0</v>
      </c>
      <c r="DI234" s="39" t="n">
        <f aca="false">IF(DI$4=0,0,IF(COUNTIFS(実績!$W$6:$W$505,DI$3,実績!$AI$6:$AI$505,"&lt;="&amp;$A234,実績!$AJ$6:$AJ$505,"&gt;"&amp;$A234,実績!$AL$6:$AL$505,"○")&gt;0,1,0))</f>
        <v>0</v>
      </c>
      <c r="DJ234" s="39" t="n">
        <f aca="false">IF(DJ$4=0,0,IF(COUNTIFS(実績!$W$6:$W$505,DJ$3,実績!$AI$6:$AI$505,"&lt;="&amp;$A234,実績!$AJ$6:$AJ$505,"&gt;"&amp;$A234,実績!$AL$6:$AL$505,"○")&gt;0,1,0))</f>
        <v>0</v>
      </c>
      <c r="DK234" s="39" t="n">
        <f aca="false">IF(DK$4=0,0,IF(COUNTIFS(実績!$W$6:$W$505,DK$3,実績!$AI$6:$AI$505,"&lt;="&amp;$A234,実績!$AJ$6:$AJ$505,"&gt;"&amp;$A234,実績!$AL$6:$AL$505,"○")&gt;0,1,0))</f>
        <v>0</v>
      </c>
      <c r="DL234" s="39" t="n">
        <f aca="false">IF(DL$4=0,0,IF(COUNTIFS(実績!$W$6:$W$505,DL$3,実績!$AI$6:$AI$505,"&lt;="&amp;$A234,実績!$AJ$6:$AJ$505,"&gt;"&amp;$A234,実績!$AL$6:$AL$505,"○")&gt;0,1,0))</f>
        <v>0</v>
      </c>
      <c r="DM234" s="39" t="n">
        <f aca="false">IF(DM$4=0,0,IF(COUNTIFS(実績!$W$6:$W$505,DM$3,実績!$AI$6:$AI$505,"&lt;="&amp;$A234,実績!$AJ$6:$AJ$505,"&gt;"&amp;$A234,実績!$AL$6:$AL$505,"○")&gt;0,1,0))</f>
        <v>0</v>
      </c>
      <c r="DN234" s="39" t="n">
        <f aca="false">IF(DN$4=0,0,IF(COUNTIFS(実績!$W$6:$W$505,DN$3,実績!$AI$6:$AI$505,"&lt;="&amp;$A234,実績!$AJ$6:$AJ$505,"&gt;"&amp;$A234,実績!$AL$6:$AL$505,"○")&gt;0,1,0))</f>
        <v>0</v>
      </c>
      <c r="DO234" s="39" t="n">
        <f aca="false">IF(DO$4=0,0,IF(COUNTIFS(実績!$W$6:$W$505,DO$3,実績!$AI$6:$AI$505,"&lt;="&amp;$A234,実績!$AJ$6:$AJ$505,"&gt;"&amp;$A234,実績!$AL$6:$AL$505,"○")&gt;0,1,0))</f>
        <v>0</v>
      </c>
      <c r="DP234" s="39" t="n">
        <f aca="false">IF(DP$4=0,0,IF(COUNTIFS(実績!$W$6:$W$505,DP$3,実績!$AI$6:$AI$505,"&lt;="&amp;$A234,実績!$AJ$6:$AJ$505,"&gt;"&amp;$A234,実績!$AL$6:$AL$505,"○")&gt;0,1,0))</f>
        <v>0</v>
      </c>
      <c r="DQ234" s="39" t="n">
        <f aca="false">IF(DQ$4=0,0,IF(COUNTIFS(実績!$W$6:$W$505,DQ$3,実績!$AI$6:$AI$505,"&lt;="&amp;$A234,実績!$AJ$6:$AJ$505,"&gt;"&amp;$A234,実績!$AL$6:$AL$505,"○")&gt;0,1,0))</f>
        <v>0</v>
      </c>
      <c r="DR234" s="39" t="n">
        <f aca="false">IF(DR$4=0,0,IF(COUNTIFS(実績!$W$6:$W$505,DR$3,実績!$AI$6:$AI$505,"&lt;="&amp;$A234,実績!$AJ$6:$AJ$505,"&gt;"&amp;$A234,実績!$AL$6:$AL$505,"○")&gt;0,1,0))</f>
        <v>0</v>
      </c>
      <c r="DS234" s="39" t="n">
        <f aca="false">SUM(C234:DR234)</f>
        <v>0</v>
      </c>
    </row>
    <row r="235" customFormat="false" ht="15" hidden="false" customHeight="false" outlineLevel="0" collapsed="false">
      <c r="A235" s="0" t="n">
        <v>1145</v>
      </c>
      <c r="B235" s="38" t="n">
        <f aca="false">A235/1440</f>
        <v>0.795138888888889</v>
      </c>
      <c r="C235" s="39" t="n">
        <f aca="false">IF(C$4=0,0,IF(COUNTIFS(実績!$W$6:$W$505,C$3,実績!$AI$6:$AI$505,"&lt;="&amp;$A235,実績!$AJ$6:$AJ$505,"&gt;"&amp;$A235,実績!$AL$6:$AL$505,"○")&gt;0,1,0))</f>
        <v>0</v>
      </c>
      <c r="D235" s="39" t="n">
        <f aca="false">IF(D$4=0,0,IF(COUNTIFS(実績!$W$6:$W$505,D$3,実績!$AI$6:$AI$505,"&lt;="&amp;$A235,実績!$AJ$6:$AJ$505,"&gt;"&amp;$A235,実績!$AL$6:$AL$505,"○")&gt;0,1,0))</f>
        <v>0</v>
      </c>
      <c r="E235" s="39" t="n">
        <f aca="false">IF(E$4=0,0,IF(COUNTIFS(実績!$W$6:$W$505,E$3,実績!$AI$6:$AI$505,"&lt;="&amp;$A235,実績!$AJ$6:$AJ$505,"&gt;"&amp;$A235,実績!$AL$6:$AL$505,"○")&gt;0,1,0))</f>
        <v>0</v>
      </c>
      <c r="F235" s="39" t="n">
        <f aca="false">IF(F$4=0,0,IF(COUNTIFS(実績!$W$6:$W$505,F$3,実績!$AI$6:$AI$505,"&lt;="&amp;$A235,実績!$AJ$6:$AJ$505,"&gt;"&amp;$A235,実績!$AL$6:$AL$505,"○")&gt;0,1,0))</f>
        <v>0</v>
      </c>
      <c r="G235" s="39" t="n">
        <f aca="false">IF(G$4=0,0,IF(COUNTIFS(実績!$W$6:$W$505,G$3,実績!$AI$6:$AI$505,"&lt;="&amp;$A235,実績!$AJ$6:$AJ$505,"&gt;"&amp;$A235,実績!$AL$6:$AL$505,"○")&gt;0,1,0))</f>
        <v>0</v>
      </c>
      <c r="H235" s="39" t="n">
        <f aca="false">IF(H$4=0,0,IF(COUNTIFS(実績!$W$6:$W$505,H$3,実績!$AI$6:$AI$505,"&lt;="&amp;$A235,実績!$AJ$6:$AJ$505,"&gt;"&amp;$A235,実績!$AL$6:$AL$505,"○")&gt;0,1,0))</f>
        <v>0</v>
      </c>
      <c r="I235" s="39" t="n">
        <f aca="false">IF(I$4=0,0,IF(COUNTIFS(実績!$W$6:$W$505,I$3,実績!$AI$6:$AI$505,"&lt;="&amp;$A235,実績!$AJ$6:$AJ$505,"&gt;"&amp;$A235,実績!$AL$6:$AL$505,"○")&gt;0,1,0))</f>
        <v>0</v>
      </c>
      <c r="J235" s="39" t="n">
        <f aca="false">IF(J$4=0,0,IF(COUNTIFS(実績!$W$6:$W$505,J$3,実績!$AI$6:$AI$505,"&lt;="&amp;$A235,実績!$AJ$6:$AJ$505,"&gt;"&amp;$A235,実績!$AL$6:$AL$505,"○")&gt;0,1,0))</f>
        <v>0</v>
      </c>
      <c r="K235" s="39" t="n">
        <f aca="false">IF(K$4=0,0,IF(COUNTIFS(実績!$W$6:$W$505,K$3,実績!$AI$6:$AI$505,"&lt;="&amp;$A235,実績!$AJ$6:$AJ$505,"&gt;"&amp;$A235,実績!$AL$6:$AL$505,"○")&gt;0,1,0))</f>
        <v>0</v>
      </c>
      <c r="L235" s="39" t="n">
        <f aca="false">IF(L$4=0,0,IF(COUNTIFS(実績!$W$6:$W$505,L$3,実績!$AI$6:$AI$505,"&lt;="&amp;$A235,実績!$AJ$6:$AJ$505,"&gt;"&amp;$A235,実績!$AL$6:$AL$505,"○")&gt;0,1,0))</f>
        <v>0</v>
      </c>
      <c r="M235" s="39" t="n">
        <f aca="false">IF(M$4=0,0,IF(COUNTIFS(実績!$W$6:$W$505,M$3,実績!$AI$6:$AI$505,"&lt;="&amp;$A235,実績!$AJ$6:$AJ$505,"&gt;"&amp;$A235,実績!$AL$6:$AL$505,"○")&gt;0,1,0))</f>
        <v>0</v>
      </c>
      <c r="N235" s="39" t="n">
        <f aca="false">IF(N$4=0,0,IF(COUNTIFS(実績!$W$6:$W$505,N$3,実績!$AI$6:$AI$505,"&lt;="&amp;$A235,実績!$AJ$6:$AJ$505,"&gt;"&amp;$A235,実績!$AL$6:$AL$505,"○")&gt;0,1,0))</f>
        <v>0</v>
      </c>
      <c r="O235" s="39" t="n">
        <f aca="false">IF(O$4=0,0,IF(COUNTIFS(実績!$W$6:$W$505,O$3,実績!$AI$6:$AI$505,"&lt;="&amp;$A235,実績!$AJ$6:$AJ$505,"&gt;"&amp;$A235,実績!$AL$6:$AL$505,"○")&gt;0,1,0))</f>
        <v>0</v>
      </c>
      <c r="P235" s="39" t="n">
        <f aca="false">IF(P$4=0,0,IF(COUNTIFS(実績!$W$6:$W$505,P$3,実績!$AI$6:$AI$505,"&lt;="&amp;$A235,実績!$AJ$6:$AJ$505,"&gt;"&amp;$A235,実績!$AL$6:$AL$505,"○")&gt;0,1,0))</f>
        <v>0</v>
      </c>
      <c r="Q235" s="39" t="n">
        <f aca="false">IF(Q$4=0,0,IF(COUNTIFS(実績!$W$6:$W$505,Q$3,実績!$AI$6:$AI$505,"&lt;="&amp;$A235,実績!$AJ$6:$AJ$505,"&gt;"&amp;$A235,実績!$AL$6:$AL$505,"○")&gt;0,1,0))</f>
        <v>0</v>
      </c>
      <c r="R235" s="39" t="n">
        <f aca="false">IF(R$4=0,0,IF(COUNTIFS(実績!$W$6:$W$505,R$3,実績!$AI$6:$AI$505,"&lt;="&amp;$A235,実績!$AJ$6:$AJ$505,"&gt;"&amp;$A235,実績!$AL$6:$AL$505,"○")&gt;0,1,0))</f>
        <v>0</v>
      </c>
      <c r="S235" s="39" t="n">
        <f aca="false">IF(S$4=0,0,IF(COUNTIFS(実績!$W$6:$W$505,S$3,実績!$AI$6:$AI$505,"&lt;="&amp;$A235,実績!$AJ$6:$AJ$505,"&gt;"&amp;$A235,実績!$AL$6:$AL$505,"○")&gt;0,1,0))</f>
        <v>0</v>
      </c>
      <c r="T235" s="39" t="n">
        <f aca="false">IF(T$4=0,0,IF(COUNTIFS(実績!$W$6:$W$505,T$3,実績!$AI$6:$AI$505,"&lt;="&amp;$A235,実績!$AJ$6:$AJ$505,"&gt;"&amp;$A235,実績!$AL$6:$AL$505,"○")&gt;0,1,0))</f>
        <v>0</v>
      </c>
      <c r="U235" s="39" t="n">
        <f aca="false">IF(U$4=0,0,IF(COUNTIFS(実績!$W$6:$W$505,U$3,実績!$AI$6:$AI$505,"&lt;="&amp;$A235,実績!$AJ$6:$AJ$505,"&gt;"&amp;$A235,実績!$AL$6:$AL$505,"○")&gt;0,1,0))</f>
        <v>0</v>
      </c>
      <c r="V235" s="39" t="n">
        <f aca="false">IF(V$4=0,0,IF(COUNTIFS(実績!$W$6:$W$505,V$3,実績!$AI$6:$AI$505,"&lt;="&amp;$A235,実績!$AJ$6:$AJ$505,"&gt;"&amp;$A235,実績!$AL$6:$AL$505,"○")&gt;0,1,0))</f>
        <v>0</v>
      </c>
      <c r="W235" s="39" t="n">
        <f aca="false">IF(W$4=0,0,IF(COUNTIFS(実績!$W$6:$W$505,W$3,実績!$AI$6:$AI$505,"&lt;="&amp;$A235,実績!$AJ$6:$AJ$505,"&gt;"&amp;$A235,実績!$AL$6:$AL$505,"○")&gt;0,1,0))</f>
        <v>0</v>
      </c>
      <c r="X235" s="39" t="n">
        <f aca="false">IF(X$4=0,0,IF(COUNTIFS(実績!$W$6:$W$505,X$3,実績!$AI$6:$AI$505,"&lt;="&amp;$A235,実績!$AJ$6:$AJ$505,"&gt;"&amp;$A235,実績!$AL$6:$AL$505,"○")&gt;0,1,0))</f>
        <v>0</v>
      </c>
      <c r="Y235" s="39" t="n">
        <f aca="false">IF(Y$4=0,0,IF(COUNTIFS(実績!$W$6:$W$505,Y$3,実績!$AI$6:$AI$505,"&lt;="&amp;$A235,実績!$AJ$6:$AJ$505,"&gt;"&amp;$A235,実績!$AL$6:$AL$505,"○")&gt;0,1,0))</f>
        <v>0</v>
      </c>
      <c r="Z235" s="39" t="n">
        <f aca="false">IF(Z$4=0,0,IF(COUNTIFS(実績!$W$6:$W$505,Z$3,実績!$AI$6:$AI$505,"&lt;="&amp;$A235,実績!$AJ$6:$AJ$505,"&gt;"&amp;$A235,実績!$AL$6:$AL$505,"○")&gt;0,1,0))</f>
        <v>0</v>
      </c>
      <c r="AA235" s="39" t="n">
        <f aca="false">IF(AA$4=0,0,IF(COUNTIFS(実績!$W$6:$W$505,AA$3,実績!$AI$6:$AI$505,"&lt;="&amp;$A235,実績!$AJ$6:$AJ$505,"&gt;"&amp;$A235,実績!$AL$6:$AL$505,"○")&gt;0,1,0))</f>
        <v>0</v>
      </c>
      <c r="AB235" s="39" t="n">
        <f aca="false">IF(AB$4=0,0,IF(COUNTIFS(実績!$W$6:$W$505,AB$3,実績!$AI$6:$AI$505,"&lt;="&amp;$A235,実績!$AJ$6:$AJ$505,"&gt;"&amp;$A235,実績!$AL$6:$AL$505,"○")&gt;0,1,0))</f>
        <v>0</v>
      </c>
      <c r="AC235" s="39" t="n">
        <f aca="false">IF(AC$4=0,0,IF(COUNTIFS(実績!$W$6:$W$505,AC$3,実績!$AI$6:$AI$505,"&lt;="&amp;$A235,実績!$AJ$6:$AJ$505,"&gt;"&amp;$A235,実績!$AL$6:$AL$505,"○")&gt;0,1,0))</f>
        <v>0</v>
      </c>
      <c r="AD235" s="39" t="n">
        <f aca="false">IF(AD$4=0,0,IF(COUNTIFS(実績!$W$6:$W$505,AD$3,実績!$AI$6:$AI$505,"&lt;="&amp;$A235,実績!$AJ$6:$AJ$505,"&gt;"&amp;$A235,実績!$AL$6:$AL$505,"○")&gt;0,1,0))</f>
        <v>0</v>
      </c>
      <c r="AE235" s="39" t="n">
        <f aca="false">IF(AE$4=0,0,IF(COUNTIFS(実績!$W$6:$W$505,AE$3,実績!$AI$6:$AI$505,"&lt;="&amp;$A235,実績!$AJ$6:$AJ$505,"&gt;"&amp;$A235,実績!$AL$6:$AL$505,"○")&gt;0,1,0))</f>
        <v>0</v>
      </c>
      <c r="AF235" s="39" t="n">
        <f aca="false">IF(AF$4=0,0,IF(COUNTIFS(実績!$W$6:$W$505,AF$3,実績!$AI$6:$AI$505,"&lt;="&amp;$A235,実績!$AJ$6:$AJ$505,"&gt;"&amp;$A235,実績!$AL$6:$AL$505,"○")&gt;0,1,0))</f>
        <v>0</v>
      </c>
      <c r="AG235" s="39" t="n">
        <f aca="false">IF(AG$4=0,0,IF(COUNTIFS(実績!$W$6:$W$505,AG$3,実績!$AI$6:$AI$505,"&lt;="&amp;$A235,実績!$AJ$6:$AJ$505,"&gt;"&amp;$A235,実績!$AL$6:$AL$505,"○")&gt;0,1,0))</f>
        <v>0</v>
      </c>
      <c r="AH235" s="39" t="n">
        <f aca="false">IF(AH$4=0,0,IF(COUNTIFS(実績!$W$6:$W$505,AH$3,実績!$AI$6:$AI$505,"&lt;="&amp;$A235,実績!$AJ$6:$AJ$505,"&gt;"&amp;$A235,実績!$AL$6:$AL$505,"○")&gt;0,1,0))</f>
        <v>0</v>
      </c>
      <c r="AI235" s="39" t="n">
        <f aca="false">IF(AI$4=0,0,IF(COUNTIFS(実績!$W$6:$W$505,AI$3,実績!$AI$6:$AI$505,"&lt;="&amp;$A235,実績!$AJ$6:$AJ$505,"&gt;"&amp;$A235,実績!$AL$6:$AL$505,"○")&gt;0,1,0))</f>
        <v>0</v>
      </c>
      <c r="AJ235" s="39" t="n">
        <f aca="false">IF(AJ$4=0,0,IF(COUNTIFS(実績!$W$6:$W$505,AJ$3,実績!$AI$6:$AI$505,"&lt;="&amp;$A235,実績!$AJ$6:$AJ$505,"&gt;"&amp;$A235,実績!$AL$6:$AL$505,"○")&gt;0,1,0))</f>
        <v>0</v>
      </c>
      <c r="AK235" s="39" t="n">
        <f aca="false">IF(AK$4=0,0,IF(COUNTIFS(実績!$W$6:$W$505,AK$3,実績!$AI$6:$AI$505,"&lt;="&amp;$A235,実績!$AJ$6:$AJ$505,"&gt;"&amp;$A235,実績!$AL$6:$AL$505,"○")&gt;0,1,0))</f>
        <v>0</v>
      </c>
      <c r="AL235" s="39" t="n">
        <f aca="false">IF(AL$4=0,0,IF(COUNTIFS(実績!$W$6:$W$505,AL$3,実績!$AI$6:$AI$505,"&lt;="&amp;$A235,実績!$AJ$6:$AJ$505,"&gt;"&amp;$A235,実績!$AL$6:$AL$505,"○")&gt;0,1,0))</f>
        <v>0</v>
      </c>
      <c r="AM235" s="39" t="n">
        <f aca="false">IF(AM$4=0,0,IF(COUNTIFS(実績!$W$6:$W$505,AM$3,実績!$AI$6:$AI$505,"&lt;="&amp;$A235,実績!$AJ$6:$AJ$505,"&gt;"&amp;$A235,実績!$AL$6:$AL$505,"○")&gt;0,1,0))</f>
        <v>0</v>
      </c>
      <c r="AN235" s="39" t="n">
        <f aca="false">IF(AN$4=0,0,IF(COUNTIFS(実績!$W$6:$W$505,AN$3,実績!$AI$6:$AI$505,"&lt;="&amp;$A235,実績!$AJ$6:$AJ$505,"&gt;"&amp;$A235,実績!$AL$6:$AL$505,"○")&gt;0,1,0))</f>
        <v>0</v>
      </c>
      <c r="AO235" s="39" t="n">
        <f aca="false">IF(AO$4=0,0,IF(COUNTIFS(実績!$W$6:$W$505,AO$3,実績!$AI$6:$AI$505,"&lt;="&amp;$A235,実績!$AJ$6:$AJ$505,"&gt;"&amp;$A235,実績!$AL$6:$AL$505,"○")&gt;0,1,0))</f>
        <v>0</v>
      </c>
      <c r="AP235" s="39" t="n">
        <f aca="false">IF(AP$4=0,0,IF(COUNTIFS(実績!$W$6:$W$505,AP$3,実績!$AI$6:$AI$505,"&lt;="&amp;$A235,実績!$AJ$6:$AJ$505,"&gt;"&amp;$A235,実績!$AL$6:$AL$505,"○")&gt;0,1,0))</f>
        <v>0</v>
      </c>
      <c r="AQ235" s="39" t="n">
        <f aca="false">IF(AQ$4=0,0,IF(COUNTIFS(実績!$W$6:$W$505,AQ$3,実績!$AI$6:$AI$505,"&lt;="&amp;$A235,実績!$AJ$6:$AJ$505,"&gt;"&amp;$A235,実績!$AL$6:$AL$505,"○")&gt;0,1,0))</f>
        <v>0</v>
      </c>
      <c r="AR235" s="39" t="n">
        <f aca="false">IF(AR$4=0,0,IF(COUNTIFS(実績!$W$6:$W$505,AR$3,実績!$AI$6:$AI$505,"&lt;="&amp;$A235,実績!$AJ$6:$AJ$505,"&gt;"&amp;$A235,実績!$AL$6:$AL$505,"○")&gt;0,1,0))</f>
        <v>0</v>
      </c>
      <c r="AS235" s="39" t="n">
        <f aca="false">IF(AS$4=0,0,IF(COUNTIFS(実績!$W$6:$W$505,AS$3,実績!$AI$6:$AI$505,"&lt;="&amp;$A235,実績!$AJ$6:$AJ$505,"&gt;"&amp;$A235,実績!$AL$6:$AL$505,"○")&gt;0,1,0))</f>
        <v>0</v>
      </c>
      <c r="AT235" s="39" t="n">
        <f aca="false">IF(AT$4=0,0,IF(COUNTIFS(実績!$W$6:$W$505,AT$3,実績!$AI$6:$AI$505,"&lt;="&amp;$A235,実績!$AJ$6:$AJ$505,"&gt;"&amp;$A235,実績!$AL$6:$AL$505,"○")&gt;0,1,0))</f>
        <v>0</v>
      </c>
      <c r="AU235" s="39" t="n">
        <f aca="false">IF(AU$4=0,0,IF(COUNTIFS(実績!$W$6:$W$505,AU$3,実績!$AI$6:$AI$505,"&lt;="&amp;$A235,実績!$AJ$6:$AJ$505,"&gt;"&amp;$A235,実績!$AL$6:$AL$505,"○")&gt;0,1,0))</f>
        <v>0</v>
      </c>
      <c r="AV235" s="39" t="n">
        <f aca="false">IF(AV$4=0,0,IF(COUNTIFS(実績!$W$6:$W$505,AV$3,実績!$AI$6:$AI$505,"&lt;="&amp;$A235,実績!$AJ$6:$AJ$505,"&gt;"&amp;$A235,実績!$AL$6:$AL$505,"○")&gt;0,1,0))</f>
        <v>0</v>
      </c>
      <c r="AW235" s="39" t="n">
        <f aca="false">IF(AW$4=0,0,IF(COUNTIFS(実績!$W$6:$W$505,AW$3,実績!$AI$6:$AI$505,"&lt;="&amp;$A235,実績!$AJ$6:$AJ$505,"&gt;"&amp;$A235,実績!$AL$6:$AL$505,"○")&gt;0,1,0))</f>
        <v>0</v>
      </c>
      <c r="AX235" s="39" t="n">
        <f aca="false">IF(AX$4=0,0,IF(COUNTIFS(実績!$W$6:$W$505,AX$3,実績!$AI$6:$AI$505,"&lt;="&amp;$A235,実績!$AJ$6:$AJ$505,"&gt;"&amp;$A235,実績!$AL$6:$AL$505,"○")&gt;0,1,0))</f>
        <v>0</v>
      </c>
      <c r="AY235" s="39" t="n">
        <f aca="false">IF(AY$4=0,0,IF(COUNTIFS(実績!$W$6:$W$505,AY$3,実績!$AI$6:$AI$505,"&lt;="&amp;$A235,実績!$AJ$6:$AJ$505,"&gt;"&amp;$A235,実績!$AL$6:$AL$505,"○")&gt;0,1,0))</f>
        <v>0</v>
      </c>
      <c r="AZ235" s="39" t="n">
        <f aca="false">IF(AZ$4=0,0,IF(COUNTIFS(実績!$W$6:$W$505,AZ$3,実績!$AI$6:$AI$505,"&lt;="&amp;$A235,実績!$AJ$6:$AJ$505,"&gt;"&amp;$A235,実績!$AL$6:$AL$505,"○")&gt;0,1,0))</f>
        <v>0</v>
      </c>
      <c r="BA235" s="39" t="n">
        <f aca="false">IF(BA$4=0,0,IF(COUNTIFS(実績!$W$6:$W$505,BA$3,実績!$AI$6:$AI$505,"&lt;="&amp;$A235,実績!$AJ$6:$AJ$505,"&gt;"&amp;$A235,実績!$AL$6:$AL$505,"○")&gt;0,1,0))</f>
        <v>0</v>
      </c>
      <c r="BB235" s="39" t="n">
        <f aca="false">IF(BB$4=0,0,IF(COUNTIFS(実績!$W$6:$W$505,BB$3,実績!$AI$6:$AI$505,"&lt;="&amp;$A235,実績!$AJ$6:$AJ$505,"&gt;"&amp;$A235,実績!$AL$6:$AL$505,"○")&gt;0,1,0))</f>
        <v>0</v>
      </c>
      <c r="BC235" s="39" t="n">
        <f aca="false">IF(BC$4=0,0,IF(COUNTIFS(実績!$W$6:$W$505,BC$3,実績!$AI$6:$AI$505,"&lt;="&amp;$A235,実績!$AJ$6:$AJ$505,"&gt;"&amp;$A235,実績!$AL$6:$AL$505,"○")&gt;0,1,0))</f>
        <v>0</v>
      </c>
      <c r="BD235" s="39" t="n">
        <f aca="false">IF(BD$4=0,0,IF(COUNTIFS(実績!$W$6:$W$505,BD$3,実績!$AI$6:$AI$505,"&lt;="&amp;$A235,実績!$AJ$6:$AJ$505,"&gt;"&amp;$A235,実績!$AL$6:$AL$505,"○")&gt;0,1,0))</f>
        <v>0</v>
      </c>
      <c r="BE235" s="39" t="n">
        <f aca="false">IF(BE$4=0,0,IF(COUNTIFS(実績!$W$6:$W$505,BE$3,実績!$AI$6:$AI$505,"&lt;="&amp;$A235,実績!$AJ$6:$AJ$505,"&gt;"&amp;$A235,実績!$AL$6:$AL$505,"○")&gt;0,1,0))</f>
        <v>0</v>
      </c>
      <c r="BF235" s="39" t="n">
        <f aca="false">IF(BF$4=0,0,IF(COUNTIFS(実績!$W$6:$W$505,BF$3,実績!$AI$6:$AI$505,"&lt;="&amp;$A235,実績!$AJ$6:$AJ$505,"&gt;"&amp;$A235,実績!$AL$6:$AL$505,"○")&gt;0,1,0))</f>
        <v>0</v>
      </c>
      <c r="BG235" s="39" t="n">
        <f aca="false">IF(BG$4=0,0,IF(COUNTIFS(実績!$W$6:$W$505,BG$3,実績!$AI$6:$AI$505,"&lt;="&amp;$A235,実績!$AJ$6:$AJ$505,"&gt;"&amp;$A235,実績!$AL$6:$AL$505,"○")&gt;0,1,0))</f>
        <v>0</v>
      </c>
      <c r="BH235" s="39" t="n">
        <f aca="false">IF(BH$4=0,0,IF(COUNTIFS(実績!$W$6:$W$505,BH$3,実績!$AI$6:$AI$505,"&lt;="&amp;$A235,実績!$AJ$6:$AJ$505,"&gt;"&amp;$A235,実績!$AL$6:$AL$505,"○")&gt;0,1,0))</f>
        <v>0</v>
      </c>
      <c r="BI235" s="39" t="n">
        <f aca="false">IF(BI$4=0,0,IF(COUNTIFS(実績!$W$6:$W$505,BI$3,実績!$AI$6:$AI$505,"&lt;="&amp;$A235,実績!$AJ$6:$AJ$505,"&gt;"&amp;$A235,実績!$AL$6:$AL$505,"○")&gt;0,1,0))</f>
        <v>0</v>
      </c>
      <c r="BJ235" s="39" t="n">
        <f aca="false">IF(BJ$4=0,0,IF(COUNTIFS(実績!$W$6:$W$505,BJ$3,実績!$AI$6:$AI$505,"&lt;="&amp;$A235,実績!$AJ$6:$AJ$505,"&gt;"&amp;$A235,実績!$AL$6:$AL$505,"○")&gt;0,1,0))</f>
        <v>0</v>
      </c>
      <c r="BK235" s="39" t="n">
        <f aca="false">IF(BK$4=0,0,IF(COUNTIFS(実績!$W$6:$W$505,BK$3,実績!$AI$6:$AI$505,"&lt;="&amp;$A235,実績!$AJ$6:$AJ$505,"&gt;"&amp;$A235,実績!$AL$6:$AL$505,"○")&gt;0,1,0))</f>
        <v>0</v>
      </c>
      <c r="BL235" s="39" t="n">
        <f aca="false">IF(BL$4=0,0,IF(COUNTIFS(実績!$W$6:$W$505,BL$3,実績!$AI$6:$AI$505,"&lt;="&amp;$A235,実績!$AJ$6:$AJ$505,"&gt;"&amp;$A235,実績!$AL$6:$AL$505,"○")&gt;0,1,0))</f>
        <v>0</v>
      </c>
      <c r="BM235" s="39" t="n">
        <f aca="false">IF(BM$4=0,0,IF(COUNTIFS(実績!$W$6:$W$505,BM$3,実績!$AI$6:$AI$505,"&lt;="&amp;$A235,実績!$AJ$6:$AJ$505,"&gt;"&amp;$A235,実績!$AL$6:$AL$505,"○")&gt;0,1,0))</f>
        <v>0</v>
      </c>
      <c r="BN235" s="39" t="n">
        <f aca="false">IF(BN$4=0,0,IF(COUNTIFS(実績!$W$6:$W$505,BN$3,実績!$AI$6:$AI$505,"&lt;="&amp;$A235,実績!$AJ$6:$AJ$505,"&gt;"&amp;$A235,実績!$AL$6:$AL$505,"○")&gt;0,1,0))</f>
        <v>0</v>
      </c>
      <c r="BO235" s="39" t="n">
        <f aca="false">IF(BO$4=0,0,IF(COUNTIFS(実績!$W$6:$W$505,BO$3,実績!$AI$6:$AI$505,"&lt;="&amp;$A235,実績!$AJ$6:$AJ$505,"&gt;"&amp;$A235,実績!$AL$6:$AL$505,"○")&gt;0,1,0))</f>
        <v>0</v>
      </c>
      <c r="BP235" s="39" t="n">
        <f aca="false">IF(BP$4=0,0,IF(COUNTIFS(実績!$W$6:$W$505,BP$3,実績!$AI$6:$AI$505,"&lt;="&amp;$A235,実績!$AJ$6:$AJ$505,"&gt;"&amp;$A235,実績!$AL$6:$AL$505,"○")&gt;0,1,0))</f>
        <v>0</v>
      </c>
      <c r="BQ235" s="39" t="n">
        <f aca="false">IF(BQ$4=0,0,IF(COUNTIFS(実績!$W$6:$W$505,BQ$3,実績!$AI$6:$AI$505,"&lt;="&amp;$A235,実績!$AJ$6:$AJ$505,"&gt;"&amp;$A235,実績!$AL$6:$AL$505,"○")&gt;0,1,0))</f>
        <v>0</v>
      </c>
      <c r="BR235" s="39" t="n">
        <f aca="false">IF(BR$4=0,0,IF(COUNTIFS(実績!$W$6:$W$505,BR$3,実績!$AI$6:$AI$505,"&lt;="&amp;$A235,実績!$AJ$6:$AJ$505,"&gt;"&amp;$A235,実績!$AL$6:$AL$505,"○")&gt;0,1,0))</f>
        <v>0</v>
      </c>
      <c r="BS235" s="39" t="n">
        <f aca="false">IF(BS$4=0,0,IF(COUNTIFS(実績!$W$6:$W$505,BS$3,実績!$AI$6:$AI$505,"&lt;="&amp;$A235,実績!$AJ$6:$AJ$505,"&gt;"&amp;$A235,実績!$AL$6:$AL$505,"○")&gt;0,1,0))</f>
        <v>0</v>
      </c>
      <c r="BT235" s="39" t="n">
        <f aca="false">IF(BT$4=0,0,IF(COUNTIFS(実績!$W$6:$W$505,BT$3,実績!$AI$6:$AI$505,"&lt;="&amp;$A235,実績!$AJ$6:$AJ$505,"&gt;"&amp;$A235,実績!$AL$6:$AL$505,"○")&gt;0,1,0))</f>
        <v>0</v>
      </c>
      <c r="BU235" s="39" t="n">
        <f aca="false">IF(BU$4=0,0,IF(COUNTIFS(実績!$W$6:$W$505,BU$3,実績!$AI$6:$AI$505,"&lt;="&amp;$A235,実績!$AJ$6:$AJ$505,"&gt;"&amp;$A235,実績!$AL$6:$AL$505,"○")&gt;0,1,0))</f>
        <v>0</v>
      </c>
      <c r="BV235" s="39" t="n">
        <f aca="false">IF(BV$4=0,0,IF(COUNTIFS(実績!$W$6:$W$505,BV$3,実績!$AI$6:$AI$505,"&lt;="&amp;$A235,実績!$AJ$6:$AJ$505,"&gt;"&amp;$A235,実績!$AL$6:$AL$505,"○")&gt;0,1,0))</f>
        <v>0</v>
      </c>
      <c r="BW235" s="39" t="n">
        <f aca="false">IF(BW$4=0,0,IF(COUNTIFS(実績!$W$6:$W$505,BW$3,実績!$AI$6:$AI$505,"&lt;="&amp;$A235,実績!$AJ$6:$AJ$505,"&gt;"&amp;$A235,実績!$AL$6:$AL$505,"○")&gt;0,1,0))</f>
        <v>0</v>
      </c>
      <c r="BX235" s="39" t="n">
        <f aca="false">IF(BX$4=0,0,IF(COUNTIFS(実績!$W$6:$W$505,BX$3,実績!$AI$6:$AI$505,"&lt;="&amp;$A235,実績!$AJ$6:$AJ$505,"&gt;"&amp;$A235,実績!$AL$6:$AL$505,"○")&gt;0,1,0))</f>
        <v>0</v>
      </c>
      <c r="BY235" s="39" t="n">
        <f aca="false">IF(BY$4=0,0,IF(COUNTIFS(実績!$W$6:$W$505,BY$3,実績!$AI$6:$AI$505,"&lt;="&amp;$A235,実績!$AJ$6:$AJ$505,"&gt;"&amp;$A235,実績!$AL$6:$AL$505,"○")&gt;0,1,0))</f>
        <v>0</v>
      </c>
      <c r="BZ235" s="39" t="n">
        <f aca="false">IF(BZ$4=0,0,IF(COUNTIFS(実績!$W$6:$W$505,BZ$3,実績!$AI$6:$AI$505,"&lt;="&amp;$A235,実績!$AJ$6:$AJ$505,"&gt;"&amp;$A235,実績!$AL$6:$AL$505,"○")&gt;0,1,0))</f>
        <v>0</v>
      </c>
      <c r="CA235" s="39" t="n">
        <f aca="false">IF(CA$4=0,0,IF(COUNTIFS(実績!$W$6:$W$505,CA$3,実績!$AI$6:$AI$505,"&lt;="&amp;$A235,実績!$AJ$6:$AJ$505,"&gt;"&amp;$A235,実績!$AL$6:$AL$505,"○")&gt;0,1,0))</f>
        <v>0</v>
      </c>
      <c r="CB235" s="39" t="n">
        <f aca="false">IF(CB$4=0,0,IF(COUNTIFS(実績!$W$6:$W$505,CB$3,実績!$AI$6:$AI$505,"&lt;="&amp;$A235,実績!$AJ$6:$AJ$505,"&gt;"&amp;$A235,実績!$AL$6:$AL$505,"○")&gt;0,1,0))</f>
        <v>0</v>
      </c>
      <c r="CC235" s="39" t="n">
        <f aca="false">IF(CC$4=0,0,IF(COUNTIFS(実績!$W$6:$W$505,CC$3,実績!$AI$6:$AI$505,"&lt;="&amp;$A235,実績!$AJ$6:$AJ$505,"&gt;"&amp;$A235,実績!$AL$6:$AL$505,"○")&gt;0,1,0))</f>
        <v>0</v>
      </c>
      <c r="CD235" s="39" t="n">
        <f aca="false">IF(CD$4=0,0,IF(COUNTIFS(実績!$W$6:$W$505,CD$3,実績!$AI$6:$AI$505,"&lt;="&amp;$A235,実績!$AJ$6:$AJ$505,"&gt;"&amp;$A235,実績!$AL$6:$AL$505,"○")&gt;0,1,0))</f>
        <v>0</v>
      </c>
      <c r="CE235" s="39" t="n">
        <f aca="false">IF(CE$4=0,0,IF(COUNTIFS(実績!$W$6:$W$505,CE$3,実績!$AI$6:$AI$505,"&lt;="&amp;$A235,実績!$AJ$6:$AJ$505,"&gt;"&amp;$A235,実績!$AL$6:$AL$505,"○")&gt;0,1,0))</f>
        <v>0</v>
      </c>
      <c r="CF235" s="39" t="n">
        <f aca="false">IF(CF$4=0,0,IF(COUNTIFS(実績!$W$6:$W$505,CF$3,実績!$AI$6:$AI$505,"&lt;="&amp;$A235,実績!$AJ$6:$AJ$505,"&gt;"&amp;$A235,実績!$AL$6:$AL$505,"○")&gt;0,1,0))</f>
        <v>0</v>
      </c>
      <c r="CG235" s="39" t="n">
        <f aca="false">IF(CG$4=0,0,IF(COUNTIFS(実績!$W$6:$W$505,CG$3,実績!$AI$6:$AI$505,"&lt;="&amp;$A235,実績!$AJ$6:$AJ$505,"&gt;"&amp;$A235,実績!$AL$6:$AL$505,"○")&gt;0,1,0))</f>
        <v>0</v>
      </c>
      <c r="CH235" s="39" t="n">
        <f aca="false">IF(CH$4=0,0,IF(COUNTIFS(実績!$W$6:$W$505,CH$3,実績!$AI$6:$AI$505,"&lt;="&amp;$A235,実績!$AJ$6:$AJ$505,"&gt;"&amp;$A235,実績!$AL$6:$AL$505,"○")&gt;0,1,0))</f>
        <v>0</v>
      </c>
      <c r="CI235" s="39" t="n">
        <f aca="false">IF(CI$4=0,0,IF(COUNTIFS(実績!$W$6:$W$505,CI$3,実績!$AI$6:$AI$505,"&lt;="&amp;$A235,実績!$AJ$6:$AJ$505,"&gt;"&amp;$A235,実績!$AL$6:$AL$505,"○")&gt;0,1,0))</f>
        <v>0</v>
      </c>
      <c r="CJ235" s="39" t="n">
        <f aca="false">IF(CJ$4=0,0,IF(COUNTIFS(実績!$W$6:$W$505,CJ$3,実績!$AI$6:$AI$505,"&lt;="&amp;$A235,実績!$AJ$6:$AJ$505,"&gt;"&amp;$A235,実績!$AL$6:$AL$505,"○")&gt;0,1,0))</f>
        <v>0</v>
      </c>
      <c r="CK235" s="39" t="n">
        <f aca="false">IF(CK$4=0,0,IF(COUNTIFS(実績!$W$6:$W$505,CK$3,実績!$AI$6:$AI$505,"&lt;="&amp;$A235,実績!$AJ$6:$AJ$505,"&gt;"&amp;$A235,実績!$AL$6:$AL$505,"○")&gt;0,1,0))</f>
        <v>0</v>
      </c>
      <c r="CL235" s="39" t="n">
        <f aca="false">IF(CL$4=0,0,IF(COUNTIFS(実績!$W$6:$W$505,CL$3,実績!$AI$6:$AI$505,"&lt;="&amp;$A235,実績!$AJ$6:$AJ$505,"&gt;"&amp;$A235,実績!$AL$6:$AL$505,"○")&gt;0,1,0))</f>
        <v>0</v>
      </c>
      <c r="CM235" s="39" t="n">
        <f aca="false">IF(CM$4=0,0,IF(COUNTIFS(実績!$W$6:$W$505,CM$3,実績!$AI$6:$AI$505,"&lt;="&amp;$A235,実績!$AJ$6:$AJ$505,"&gt;"&amp;$A235,実績!$AL$6:$AL$505,"○")&gt;0,1,0))</f>
        <v>0</v>
      </c>
      <c r="CN235" s="39" t="n">
        <f aca="false">IF(CN$4=0,0,IF(COUNTIFS(実績!$W$6:$W$505,CN$3,実績!$AI$6:$AI$505,"&lt;="&amp;$A235,実績!$AJ$6:$AJ$505,"&gt;"&amp;$A235,実績!$AL$6:$AL$505,"○")&gt;0,1,0))</f>
        <v>0</v>
      </c>
      <c r="CO235" s="39" t="n">
        <f aca="false">IF(CO$4=0,0,IF(COUNTIFS(実績!$W$6:$W$505,CO$3,実績!$AI$6:$AI$505,"&lt;="&amp;$A235,実績!$AJ$6:$AJ$505,"&gt;"&amp;$A235,実績!$AL$6:$AL$505,"○")&gt;0,1,0))</f>
        <v>0</v>
      </c>
      <c r="CP235" s="39" t="n">
        <f aca="false">IF(CP$4=0,0,IF(COUNTIFS(実績!$W$6:$W$505,CP$3,実績!$AI$6:$AI$505,"&lt;="&amp;$A235,実績!$AJ$6:$AJ$505,"&gt;"&amp;$A235,実績!$AL$6:$AL$505,"○")&gt;0,1,0))</f>
        <v>0</v>
      </c>
      <c r="CQ235" s="39" t="n">
        <f aca="false">IF(CQ$4=0,0,IF(COUNTIFS(実績!$W$6:$W$505,CQ$3,実績!$AI$6:$AI$505,"&lt;="&amp;$A235,実績!$AJ$6:$AJ$505,"&gt;"&amp;$A235,実績!$AL$6:$AL$505,"○")&gt;0,1,0))</f>
        <v>0</v>
      </c>
      <c r="CR235" s="39" t="n">
        <f aca="false">IF(CR$4=0,0,IF(COUNTIFS(実績!$W$6:$W$505,CR$3,実績!$AI$6:$AI$505,"&lt;="&amp;$A235,実績!$AJ$6:$AJ$505,"&gt;"&amp;$A235,実績!$AL$6:$AL$505,"○")&gt;0,1,0))</f>
        <v>0</v>
      </c>
      <c r="CS235" s="39" t="n">
        <f aca="false">IF(CS$4=0,0,IF(COUNTIFS(実績!$W$6:$W$505,CS$3,実績!$AI$6:$AI$505,"&lt;="&amp;$A235,実績!$AJ$6:$AJ$505,"&gt;"&amp;$A235,実績!$AL$6:$AL$505,"○")&gt;0,1,0))</f>
        <v>0</v>
      </c>
      <c r="CT235" s="39" t="n">
        <f aca="false">IF(CT$4=0,0,IF(COUNTIFS(実績!$W$6:$W$505,CT$3,実績!$AI$6:$AI$505,"&lt;="&amp;$A235,実績!$AJ$6:$AJ$505,"&gt;"&amp;$A235,実績!$AL$6:$AL$505,"○")&gt;0,1,0))</f>
        <v>0</v>
      </c>
      <c r="CU235" s="39" t="n">
        <f aca="false">IF(CU$4=0,0,IF(COUNTIFS(実績!$W$6:$W$505,CU$3,実績!$AI$6:$AI$505,"&lt;="&amp;$A235,実績!$AJ$6:$AJ$505,"&gt;"&amp;$A235,実績!$AL$6:$AL$505,"○")&gt;0,1,0))</f>
        <v>0</v>
      </c>
      <c r="CV235" s="39" t="n">
        <f aca="false">IF(CV$4=0,0,IF(COUNTIFS(実績!$W$6:$W$505,CV$3,実績!$AI$6:$AI$505,"&lt;="&amp;$A235,実績!$AJ$6:$AJ$505,"&gt;"&amp;$A235,実績!$AL$6:$AL$505,"○")&gt;0,1,0))</f>
        <v>0</v>
      </c>
      <c r="CW235" s="39" t="n">
        <f aca="false">IF(CW$4=0,0,IF(COUNTIFS(実績!$W$6:$W$505,CW$3,実績!$AI$6:$AI$505,"&lt;="&amp;$A235,実績!$AJ$6:$AJ$505,"&gt;"&amp;$A235,実績!$AL$6:$AL$505,"○")&gt;0,1,0))</f>
        <v>0</v>
      </c>
      <c r="CX235" s="39" t="n">
        <f aca="false">IF(CX$4=0,0,IF(COUNTIFS(実績!$W$6:$W$505,CX$3,実績!$AI$6:$AI$505,"&lt;="&amp;$A235,実績!$AJ$6:$AJ$505,"&gt;"&amp;$A235,実績!$AL$6:$AL$505,"○")&gt;0,1,0))</f>
        <v>0</v>
      </c>
      <c r="CY235" s="39" t="n">
        <f aca="false">IF(CY$4=0,0,IF(COUNTIFS(実績!$W$6:$W$505,CY$3,実績!$AI$6:$AI$505,"&lt;="&amp;$A235,実績!$AJ$6:$AJ$505,"&gt;"&amp;$A235,実績!$AL$6:$AL$505,"○")&gt;0,1,0))</f>
        <v>0</v>
      </c>
      <c r="CZ235" s="39" t="n">
        <f aca="false">IF(CZ$4=0,0,IF(COUNTIFS(実績!$W$6:$W$505,CZ$3,実績!$AI$6:$AI$505,"&lt;="&amp;$A235,実績!$AJ$6:$AJ$505,"&gt;"&amp;$A235,実績!$AL$6:$AL$505,"○")&gt;0,1,0))</f>
        <v>0</v>
      </c>
      <c r="DA235" s="39" t="n">
        <f aca="false">IF(DA$4=0,0,IF(COUNTIFS(実績!$W$6:$W$505,DA$3,実績!$AI$6:$AI$505,"&lt;="&amp;$A235,実績!$AJ$6:$AJ$505,"&gt;"&amp;$A235,実績!$AL$6:$AL$505,"○")&gt;0,1,0))</f>
        <v>0</v>
      </c>
      <c r="DB235" s="39" t="n">
        <f aca="false">IF(DB$4=0,0,IF(COUNTIFS(実績!$W$6:$W$505,DB$3,実績!$AI$6:$AI$505,"&lt;="&amp;$A235,実績!$AJ$6:$AJ$505,"&gt;"&amp;$A235,実績!$AL$6:$AL$505,"○")&gt;0,1,0))</f>
        <v>0</v>
      </c>
      <c r="DC235" s="39" t="n">
        <f aca="false">IF(DC$4=0,0,IF(COUNTIFS(実績!$W$6:$W$505,DC$3,実績!$AI$6:$AI$505,"&lt;="&amp;$A235,実績!$AJ$6:$AJ$505,"&gt;"&amp;$A235,実績!$AL$6:$AL$505,"○")&gt;0,1,0))</f>
        <v>0</v>
      </c>
      <c r="DD235" s="39" t="n">
        <f aca="false">IF(DD$4=0,0,IF(COUNTIFS(実績!$W$6:$W$505,DD$3,実績!$AI$6:$AI$505,"&lt;="&amp;$A235,実績!$AJ$6:$AJ$505,"&gt;"&amp;$A235,実績!$AL$6:$AL$505,"○")&gt;0,1,0))</f>
        <v>0</v>
      </c>
      <c r="DE235" s="39" t="n">
        <f aca="false">IF(DE$4=0,0,IF(COUNTIFS(実績!$W$6:$W$505,DE$3,実績!$AI$6:$AI$505,"&lt;="&amp;$A235,実績!$AJ$6:$AJ$505,"&gt;"&amp;$A235,実績!$AL$6:$AL$505,"○")&gt;0,1,0))</f>
        <v>0</v>
      </c>
      <c r="DF235" s="39" t="n">
        <f aca="false">IF(DF$4=0,0,IF(COUNTIFS(実績!$W$6:$W$505,DF$3,実績!$AI$6:$AI$505,"&lt;="&amp;$A235,実績!$AJ$6:$AJ$505,"&gt;"&amp;$A235,実績!$AL$6:$AL$505,"○")&gt;0,1,0))</f>
        <v>0</v>
      </c>
      <c r="DG235" s="39" t="n">
        <f aca="false">IF(DG$4=0,0,IF(COUNTIFS(実績!$W$6:$W$505,DG$3,実績!$AI$6:$AI$505,"&lt;="&amp;$A235,実績!$AJ$6:$AJ$505,"&gt;"&amp;$A235,実績!$AL$6:$AL$505,"○")&gt;0,1,0))</f>
        <v>0</v>
      </c>
      <c r="DH235" s="39" t="n">
        <f aca="false">IF(DH$4=0,0,IF(COUNTIFS(実績!$W$6:$W$505,DH$3,実績!$AI$6:$AI$505,"&lt;="&amp;$A235,実績!$AJ$6:$AJ$505,"&gt;"&amp;$A235,実績!$AL$6:$AL$505,"○")&gt;0,1,0))</f>
        <v>0</v>
      </c>
      <c r="DI235" s="39" t="n">
        <f aca="false">IF(DI$4=0,0,IF(COUNTIFS(実績!$W$6:$W$505,DI$3,実績!$AI$6:$AI$505,"&lt;="&amp;$A235,実績!$AJ$6:$AJ$505,"&gt;"&amp;$A235,実績!$AL$6:$AL$505,"○")&gt;0,1,0))</f>
        <v>0</v>
      </c>
      <c r="DJ235" s="39" t="n">
        <f aca="false">IF(DJ$4=0,0,IF(COUNTIFS(実績!$W$6:$W$505,DJ$3,実績!$AI$6:$AI$505,"&lt;="&amp;$A235,実績!$AJ$6:$AJ$505,"&gt;"&amp;$A235,実績!$AL$6:$AL$505,"○")&gt;0,1,0))</f>
        <v>0</v>
      </c>
      <c r="DK235" s="39" t="n">
        <f aca="false">IF(DK$4=0,0,IF(COUNTIFS(実績!$W$6:$W$505,DK$3,実績!$AI$6:$AI$505,"&lt;="&amp;$A235,実績!$AJ$6:$AJ$505,"&gt;"&amp;$A235,実績!$AL$6:$AL$505,"○")&gt;0,1,0))</f>
        <v>0</v>
      </c>
      <c r="DL235" s="39" t="n">
        <f aca="false">IF(DL$4=0,0,IF(COUNTIFS(実績!$W$6:$W$505,DL$3,実績!$AI$6:$AI$505,"&lt;="&amp;$A235,実績!$AJ$6:$AJ$505,"&gt;"&amp;$A235,実績!$AL$6:$AL$505,"○")&gt;0,1,0))</f>
        <v>0</v>
      </c>
      <c r="DM235" s="39" t="n">
        <f aca="false">IF(DM$4=0,0,IF(COUNTIFS(実績!$W$6:$W$505,DM$3,実績!$AI$6:$AI$505,"&lt;="&amp;$A235,実績!$AJ$6:$AJ$505,"&gt;"&amp;$A235,実績!$AL$6:$AL$505,"○")&gt;0,1,0))</f>
        <v>0</v>
      </c>
      <c r="DN235" s="39" t="n">
        <f aca="false">IF(DN$4=0,0,IF(COUNTIFS(実績!$W$6:$W$505,DN$3,実績!$AI$6:$AI$505,"&lt;="&amp;$A235,実績!$AJ$6:$AJ$505,"&gt;"&amp;$A235,実績!$AL$6:$AL$505,"○")&gt;0,1,0))</f>
        <v>0</v>
      </c>
      <c r="DO235" s="39" t="n">
        <f aca="false">IF(DO$4=0,0,IF(COUNTIFS(実績!$W$6:$W$505,DO$3,実績!$AI$6:$AI$505,"&lt;="&amp;$A235,実績!$AJ$6:$AJ$505,"&gt;"&amp;$A235,実績!$AL$6:$AL$505,"○")&gt;0,1,0))</f>
        <v>0</v>
      </c>
      <c r="DP235" s="39" t="n">
        <f aca="false">IF(DP$4=0,0,IF(COUNTIFS(実績!$W$6:$W$505,DP$3,実績!$AI$6:$AI$505,"&lt;="&amp;$A235,実績!$AJ$6:$AJ$505,"&gt;"&amp;$A235,実績!$AL$6:$AL$505,"○")&gt;0,1,0))</f>
        <v>0</v>
      </c>
      <c r="DQ235" s="39" t="n">
        <f aca="false">IF(DQ$4=0,0,IF(COUNTIFS(実績!$W$6:$W$505,DQ$3,実績!$AI$6:$AI$505,"&lt;="&amp;$A235,実績!$AJ$6:$AJ$505,"&gt;"&amp;$A235,実績!$AL$6:$AL$505,"○")&gt;0,1,0))</f>
        <v>0</v>
      </c>
      <c r="DR235" s="39" t="n">
        <f aca="false">IF(DR$4=0,0,IF(COUNTIFS(実績!$W$6:$W$505,DR$3,実績!$AI$6:$AI$505,"&lt;="&amp;$A235,実績!$AJ$6:$AJ$505,"&gt;"&amp;$A235,実績!$AL$6:$AL$505,"○")&gt;0,1,0))</f>
        <v>0</v>
      </c>
      <c r="DS235" s="39" t="n">
        <f aca="false">SUM(C235:DR235)</f>
        <v>0</v>
      </c>
    </row>
    <row r="236" customFormat="false" ht="15" hidden="false" customHeight="false" outlineLevel="0" collapsed="false">
      <c r="A236" s="0" t="n">
        <v>1150</v>
      </c>
      <c r="B236" s="38" t="n">
        <f aca="false">A236/1440</f>
        <v>0.798611111111111</v>
      </c>
      <c r="C236" s="39" t="n">
        <f aca="false">IF(C$4=0,0,IF(COUNTIFS(実績!$W$6:$W$505,C$3,実績!$AI$6:$AI$505,"&lt;="&amp;$A236,実績!$AJ$6:$AJ$505,"&gt;"&amp;$A236,実績!$AL$6:$AL$505,"○")&gt;0,1,0))</f>
        <v>0</v>
      </c>
      <c r="D236" s="39" t="n">
        <f aca="false">IF(D$4=0,0,IF(COUNTIFS(実績!$W$6:$W$505,D$3,実績!$AI$6:$AI$505,"&lt;="&amp;$A236,実績!$AJ$6:$AJ$505,"&gt;"&amp;$A236,実績!$AL$6:$AL$505,"○")&gt;0,1,0))</f>
        <v>0</v>
      </c>
      <c r="E236" s="39" t="n">
        <f aca="false">IF(E$4=0,0,IF(COUNTIFS(実績!$W$6:$W$505,E$3,実績!$AI$6:$AI$505,"&lt;="&amp;$A236,実績!$AJ$6:$AJ$505,"&gt;"&amp;$A236,実績!$AL$6:$AL$505,"○")&gt;0,1,0))</f>
        <v>0</v>
      </c>
      <c r="F236" s="39" t="n">
        <f aca="false">IF(F$4=0,0,IF(COUNTIFS(実績!$W$6:$W$505,F$3,実績!$AI$6:$AI$505,"&lt;="&amp;$A236,実績!$AJ$6:$AJ$505,"&gt;"&amp;$A236,実績!$AL$6:$AL$505,"○")&gt;0,1,0))</f>
        <v>0</v>
      </c>
      <c r="G236" s="39" t="n">
        <f aca="false">IF(G$4=0,0,IF(COUNTIFS(実績!$W$6:$W$505,G$3,実績!$AI$6:$AI$505,"&lt;="&amp;$A236,実績!$AJ$6:$AJ$505,"&gt;"&amp;$A236,実績!$AL$6:$AL$505,"○")&gt;0,1,0))</f>
        <v>0</v>
      </c>
      <c r="H236" s="39" t="n">
        <f aca="false">IF(H$4=0,0,IF(COUNTIFS(実績!$W$6:$W$505,H$3,実績!$AI$6:$AI$505,"&lt;="&amp;$A236,実績!$AJ$6:$AJ$505,"&gt;"&amp;$A236,実績!$AL$6:$AL$505,"○")&gt;0,1,0))</f>
        <v>0</v>
      </c>
      <c r="I236" s="39" t="n">
        <f aca="false">IF(I$4=0,0,IF(COUNTIFS(実績!$W$6:$W$505,I$3,実績!$AI$6:$AI$505,"&lt;="&amp;$A236,実績!$AJ$6:$AJ$505,"&gt;"&amp;$A236,実績!$AL$6:$AL$505,"○")&gt;0,1,0))</f>
        <v>0</v>
      </c>
      <c r="J236" s="39" t="n">
        <f aca="false">IF(J$4=0,0,IF(COUNTIFS(実績!$W$6:$W$505,J$3,実績!$AI$6:$AI$505,"&lt;="&amp;$A236,実績!$AJ$6:$AJ$505,"&gt;"&amp;$A236,実績!$AL$6:$AL$505,"○")&gt;0,1,0))</f>
        <v>0</v>
      </c>
      <c r="K236" s="39" t="n">
        <f aca="false">IF(K$4=0,0,IF(COUNTIFS(実績!$W$6:$W$505,K$3,実績!$AI$6:$AI$505,"&lt;="&amp;$A236,実績!$AJ$6:$AJ$505,"&gt;"&amp;$A236,実績!$AL$6:$AL$505,"○")&gt;0,1,0))</f>
        <v>0</v>
      </c>
      <c r="L236" s="39" t="n">
        <f aca="false">IF(L$4=0,0,IF(COUNTIFS(実績!$W$6:$W$505,L$3,実績!$AI$6:$AI$505,"&lt;="&amp;$A236,実績!$AJ$6:$AJ$505,"&gt;"&amp;$A236,実績!$AL$6:$AL$505,"○")&gt;0,1,0))</f>
        <v>0</v>
      </c>
      <c r="M236" s="39" t="n">
        <f aca="false">IF(M$4=0,0,IF(COUNTIFS(実績!$W$6:$W$505,M$3,実績!$AI$6:$AI$505,"&lt;="&amp;$A236,実績!$AJ$6:$AJ$505,"&gt;"&amp;$A236,実績!$AL$6:$AL$505,"○")&gt;0,1,0))</f>
        <v>0</v>
      </c>
      <c r="N236" s="39" t="n">
        <f aca="false">IF(N$4=0,0,IF(COUNTIFS(実績!$W$6:$W$505,N$3,実績!$AI$6:$AI$505,"&lt;="&amp;$A236,実績!$AJ$6:$AJ$505,"&gt;"&amp;$A236,実績!$AL$6:$AL$505,"○")&gt;0,1,0))</f>
        <v>0</v>
      </c>
      <c r="O236" s="39" t="n">
        <f aca="false">IF(O$4=0,0,IF(COUNTIFS(実績!$W$6:$W$505,O$3,実績!$AI$6:$AI$505,"&lt;="&amp;$A236,実績!$AJ$6:$AJ$505,"&gt;"&amp;$A236,実績!$AL$6:$AL$505,"○")&gt;0,1,0))</f>
        <v>0</v>
      </c>
      <c r="P236" s="39" t="n">
        <f aca="false">IF(P$4=0,0,IF(COUNTIFS(実績!$W$6:$W$505,P$3,実績!$AI$6:$AI$505,"&lt;="&amp;$A236,実績!$AJ$6:$AJ$505,"&gt;"&amp;$A236,実績!$AL$6:$AL$505,"○")&gt;0,1,0))</f>
        <v>0</v>
      </c>
      <c r="Q236" s="39" t="n">
        <f aca="false">IF(Q$4=0,0,IF(COUNTIFS(実績!$W$6:$W$505,Q$3,実績!$AI$6:$AI$505,"&lt;="&amp;$A236,実績!$AJ$6:$AJ$505,"&gt;"&amp;$A236,実績!$AL$6:$AL$505,"○")&gt;0,1,0))</f>
        <v>0</v>
      </c>
      <c r="R236" s="39" t="n">
        <f aca="false">IF(R$4=0,0,IF(COUNTIFS(実績!$W$6:$W$505,R$3,実績!$AI$6:$AI$505,"&lt;="&amp;$A236,実績!$AJ$6:$AJ$505,"&gt;"&amp;$A236,実績!$AL$6:$AL$505,"○")&gt;0,1,0))</f>
        <v>0</v>
      </c>
      <c r="S236" s="39" t="n">
        <f aca="false">IF(S$4=0,0,IF(COUNTIFS(実績!$W$6:$W$505,S$3,実績!$AI$6:$AI$505,"&lt;="&amp;$A236,実績!$AJ$6:$AJ$505,"&gt;"&amp;$A236,実績!$AL$6:$AL$505,"○")&gt;0,1,0))</f>
        <v>0</v>
      </c>
      <c r="T236" s="39" t="n">
        <f aca="false">IF(T$4=0,0,IF(COUNTIFS(実績!$W$6:$W$505,T$3,実績!$AI$6:$AI$505,"&lt;="&amp;$A236,実績!$AJ$6:$AJ$505,"&gt;"&amp;$A236,実績!$AL$6:$AL$505,"○")&gt;0,1,0))</f>
        <v>0</v>
      </c>
      <c r="U236" s="39" t="n">
        <f aca="false">IF(U$4=0,0,IF(COUNTIFS(実績!$W$6:$W$505,U$3,実績!$AI$6:$AI$505,"&lt;="&amp;$A236,実績!$AJ$6:$AJ$505,"&gt;"&amp;$A236,実績!$AL$6:$AL$505,"○")&gt;0,1,0))</f>
        <v>0</v>
      </c>
      <c r="V236" s="39" t="n">
        <f aca="false">IF(V$4=0,0,IF(COUNTIFS(実績!$W$6:$W$505,V$3,実績!$AI$6:$AI$505,"&lt;="&amp;$A236,実績!$AJ$6:$AJ$505,"&gt;"&amp;$A236,実績!$AL$6:$AL$505,"○")&gt;0,1,0))</f>
        <v>0</v>
      </c>
      <c r="W236" s="39" t="n">
        <f aca="false">IF(W$4=0,0,IF(COUNTIFS(実績!$W$6:$W$505,W$3,実績!$AI$6:$AI$505,"&lt;="&amp;$A236,実績!$AJ$6:$AJ$505,"&gt;"&amp;$A236,実績!$AL$6:$AL$505,"○")&gt;0,1,0))</f>
        <v>0</v>
      </c>
      <c r="X236" s="39" t="n">
        <f aca="false">IF(X$4=0,0,IF(COUNTIFS(実績!$W$6:$W$505,X$3,実績!$AI$6:$AI$505,"&lt;="&amp;$A236,実績!$AJ$6:$AJ$505,"&gt;"&amp;$A236,実績!$AL$6:$AL$505,"○")&gt;0,1,0))</f>
        <v>0</v>
      </c>
      <c r="Y236" s="39" t="n">
        <f aca="false">IF(Y$4=0,0,IF(COUNTIFS(実績!$W$6:$W$505,Y$3,実績!$AI$6:$AI$505,"&lt;="&amp;$A236,実績!$AJ$6:$AJ$505,"&gt;"&amp;$A236,実績!$AL$6:$AL$505,"○")&gt;0,1,0))</f>
        <v>0</v>
      </c>
      <c r="Z236" s="39" t="n">
        <f aca="false">IF(Z$4=0,0,IF(COUNTIFS(実績!$W$6:$W$505,Z$3,実績!$AI$6:$AI$505,"&lt;="&amp;$A236,実績!$AJ$6:$AJ$505,"&gt;"&amp;$A236,実績!$AL$6:$AL$505,"○")&gt;0,1,0))</f>
        <v>0</v>
      </c>
      <c r="AA236" s="39" t="n">
        <f aca="false">IF(AA$4=0,0,IF(COUNTIFS(実績!$W$6:$W$505,AA$3,実績!$AI$6:$AI$505,"&lt;="&amp;$A236,実績!$AJ$6:$AJ$505,"&gt;"&amp;$A236,実績!$AL$6:$AL$505,"○")&gt;0,1,0))</f>
        <v>0</v>
      </c>
      <c r="AB236" s="39" t="n">
        <f aca="false">IF(AB$4=0,0,IF(COUNTIFS(実績!$W$6:$W$505,AB$3,実績!$AI$6:$AI$505,"&lt;="&amp;$A236,実績!$AJ$6:$AJ$505,"&gt;"&amp;$A236,実績!$AL$6:$AL$505,"○")&gt;0,1,0))</f>
        <v>0</v>
      </c>
      <c r="AC236" s="39" t="n">
        <f aca="false">IF(AC$4=0,0,IF(COUNTIFS(実績!$W$6:$W$505,AC$3,実績!$AI$6:$AI$505,"&lt;="&amp;$A236,実績!$AJ$6:$AJ$505,"&gt;"&amp;$A236,実績!$AL$6:$AL$505,"○")&gt;0,1,0))</f>
        <v>0</v>
      </c>
      <c r="AD236" s="39" t="n">
        <f aca="false">IF(AD$4=0,0,IF(COUNTIFS(実績!$W$6:$W$505,AD$3,実績!$AI$6:$AI$505,"&lt;="&amp;$A236,実績!$AJ$6:$AJ$505,"&gt;"&amp;$A236,実績!$AL$6:$AL$505,"○")&gt;0,1,0))</f>
        <v>0</v>
      </c>
      <c r="AE236" s="39" t="n">
        <f aca="false">IF(AE$4=0,0,IF(COUNTIFS(実績!$W$6:$W$505,AE$3,実績!$AI$6:$AI$505,"&lt;="&amp;$A236,実績!$AJ$6:$AJ$505,"&gt;"&amp;$A236,実績!$AL$6:$AL$505,"○")&gt;0,1,0))</f>
        <v>0</v>
      </c>
      <c r="AF236" s="39" t="n">
        <f aca="false">IF(AF$4=0,0,IF(COUNTIFS(実績!$W$6:$W$505,AF$3,実績!$AI$6:$AI$505,"&lt;="&amp;$A236,実績!$AJ$6:$AJ$505,"&gt;"&amp;$A236,実績!$AL$6:$AL$505,"○")&gt;0,1,0))</f>
        <v>0</v>
      </c>
      <c r="AG236" s="39" t="n">
        <f aca="false">IF(AG$4=0,0,IF(COUNTIFS(実績!$W$6:$W$505,AG$3,実績!$AI$6:$AI$505,"&lt;="&amp;$A236,実績!$AJ$6:$AJ$505,"&gt;"&amp;$A236,実績!$AL$6:$AL$505,"○")&gt;0,1,0))</f>
        <v>0</v>
      </c>
      <c r="AH236" s="39" t="n">
        <f aca="false">IF(AH$4=0,0,IF(COUNTIFS(実績!$W$6:$W$505,AH$3,実績!$AI$6:$AI$505,"&lt;="&amp;$A236,実績!$AJ$6:$AJ$505,"&gt;"&amp;$A236,実績!$AL$6:$AL$505,"○")&gt;0,1,0))</f>
        <v>0</v>
      </c>
      <c r="AI236" s="39" t="n">
        <f aca="false">IF(AI$4=0,0,IF(COUNTIFS(実績!$W$6:$W$505,AI$3,実績!$AI$6:$AI$505,"&lt;="&amp;$A236,実績!$AJ$6:$AJ$505,"&gt;"&amp;$A236,実績!$AL$6:$AL$505,"○")&gt;0,1,0))</f>
        <v>0</v>
      </c>
      <c r="AJ236" s="39" t="n">
        <f aca="false">IF(AJ$4=0,0,IF(COUNTIFS(実績!$W$6:$W$505,AJ$3,実績!$AI$6:$AI$505,"&lt;="&amp;$A236,実績!$AJ$6:$AJ$505,"&gt;"&amp;$A236,実績!$AL$6:$AL$505,"○")&gt;0,1,0))</f>
        <v>0</v>
      </c>
      <c r="AK236" s="39" t="n">
        <f aca="false">IF(AK$4=0,0,IF(COUNTIFS(実績!$W$6:$W$505,AK$3,実績!$AI$6:$AI$505,"&lt;="&amp;$A236,実績!$AJ$6:$AJ$505,"&gt;"&amp;$A236,実績!$AL$6:$AL$505,"○")&gt;0,1,0))</f>
        <v>0</v>
      </c>
      <c r="AL236" s="39" t="n">
        <f aca="false">IF(AL$4=0,0,IF(COUNTIFS(実績!$W$6:$W$505,AL$3,実績!$AI$6:$AI$505,"&lt;="&amp;$A236,実績!$AJ$6:$AJ$505,"&gt;"&amp;$A236,実績!$AL$6:$AL$505,"○")&gt;0,1,0))</f>
        <v>0</v>
      </c>
      <c r="AM236" s="39" t="n">
        <f aca="false">IF(AM$4=0,0,IF(COUNTIFS(実績!$W$6:$W$505,AM$3,実績!$AI$6:$AI$505,"&lt;="&amp;$A236,実績!$AJ$6:$AJ$505,"&gt;"&amp;$A236,実績!$AL$6:$AL$505,"○")&gt;0,1,0))</f>
        <v>0</v>
      </c>
      <c r="AN236" s="39" t="n">
        <f aca="false">IF(AN$4=0,0,IF(COUNTIFS(実績!$W$6:$W$505,AN$3,実績!$AI$6:$AI$505,"&lt;="&amp;$A236,実績!$AJ$6:$AJ$505,"&gt;"&amp;$A236,実績!$AL$6:$AL$505,"○")&gt;0,1,0))</f>
        <v>0</v>
      </c>
      <c r="AO236" s="39" t="n">
        <f aca="false">IF(AO$4=0,0,IF(COUNTIFS(実績!$W$6:$W$505,AO$3,実績!$AI$6:$AI$505,"&lt;="&amp;$A236,実績!$AJ$6:$AJ$505,"&gt;"&amp;$A236,実績!$AL$6:$AL$505,"○")&gt;0,1,0))</f>
        <v>0</v>
      </c>
      <c r="AP236" s="39" t="n">
        <f aca="false">IF(AP$4=0,0,IF(COUNTIFS(実績!$W$6:$W$505,AP$3,実績!$AI$6:$AI$505,"&lt;="&amp;$A236,実績!$AJ$6:$AJ$505,"&gt;"&amp;$A236,実績!$AL$6:$AL$505,"○")&gt;0,1,0))</f>
        <v>0</v>
      </c>
      <c r="AQ236" s="39" t="n">
        <f aca="false">IF(AQ$4=0,0,IF(COUNTIFS(実績!$W$6:$W$505,AQ$3,実績!$AI$6:$AI$505,"&lt;="&amp;$A236,実績!$AJ$6:$AJ$505,"&gt;"&amp;$A236,実績!$AL$6:$AL$505,"○")&gt;0,1,0))</f>
        <v>0</v>
      </c>
      <c r="AR236" s="39" t="n">
        <f aca="false">IF(AR$4=0,0,IF(COUNTIFS(実績!$W$6:$W$505,AR$3,実績!$AI$6:$AI$505,"&lt;="&amp;$A236,実績!$AJ$6:$AJ$505,"&gt;"&amp;$A236,実績!$AL$6:$AL$505,"○")&gt;0,1,0))</f>
        <v>0</v>
      </c>
      <c r="AS236" s="39" t="n">
        <f aca="false">IF(AS$4=0,0,IF(COUNTIFS(実績!$W$6:$W$505,AS$3,実績!$AI$6:$AI$505,"&lt;="&amp;$A236,実績!$AJ$6:$AJ$505,"&gt;"&amp;$A236,実績!$AL$6:$AL$505,"○")&gt;0,1,0))</f>
        <v>0</v>
      </c>
      <c r="AT236" s="39" t="n">
        <f aca="false">IF(AT$4=0,0,IF(COUNTIFS(実績!$W$6:$W$505,AT$3,実績!$AI$6:$AI$505,"&lt;="&amp;$A236,実績!$AJ$6:$AJ$505,"&gt;"&amp;$A236,実績!$AL$6:$AL$505,"○")&gt;0,1,0))</f>
        <v>0</v>
      </c>
      <c r="AU236" s="39" t="n">
        <f aca="false">IF(AU$4=0,0,IF(COUNTIFS(実績!$W$6:$W$505,AU$3,実績!$AI$6:$AI$505,"&lt;="&amp;$A236,実績!$AJ$6:$AJ$505,"&gt;"&amp;$A236,実績!$AL$6:$AL$505,"○")&gt;0,1,0))</f>
        <v>0</v>
      </c>
      <c r="AV236" s="39" t="n">
        <f aca="false">IF(AV$4=0,0,IF(COUNTIFS(実績!$W$6:$W$505,AV$3,実績!$AI$6:$AI$505,"&lt;="&amp;$A236,実績!$AJ$6:$AJ$505,"&gt;"&amp;$A236,実績!$AL$6:$AL$505,"○")&gt;0,1,0))</f>
        <v>0</v>
      </c>
      <c r="AW236" s="39" t="n">
        <f aca="false">IF(AW$4=0,0,IF(COUNTIFS(実績!$W$6:$W$505,AW$3,実績!$AI$6:$AI$505,"&lt;="&amp;$A236,実績!$AJ$6:$AJ$505,"&gt;"&amp;$A236,実績!$AL$6:$AL$505,"○")&gt;0,1,0))</f>
        <v>0</v>
      </c>
      <c r="AX236" s="39" t="n">
        <f aca="false">IF(AX$4=0,0,IF(COUNTIFS(実績!$W$6:$W$505,AX$3,実績!$AI$6:$AI$505,"&lt;="&amp;$A236,実績!$AJ$6:$AJ$505,"&gt;"&amp;$A236,実績!$AL$6:$AL$505,"○")&gt;0,1,0))</f>
        <v>0</v>
      </c>
      <c r="AY236" s="39" t="n">
        <f aca="false">IF(AY$4=0,0,IF(COUNTIFS(実績!$W$6:$W$505,AY$3,実績!$AI$6:$AI$505,"&lt;="&amp;$A236,実績!$AJ$6:$AJ$505,"&gt;"&amp;$A236,実績!$AL$6:$AL$505,"○")&gt;0,1,0))</f>
        <v>0</v>
      </c>
      <c r="AZ236" s="39" t="n">
        <f aca="false">IF(AZ$4=0,0,IF(COUNTIFS(実績!$W$6:$W$505,AZ$3,実績!$AI$6:$AI$505,"&lt;="&amp;$A236,実績!$AJ$6:$AJ$505,"&gt;"&amp;$A236,実績!$AL$6:$AL$505,"○")&gt;0,1,0))</f>
        <v>0</v>
      </c>
      <c r="BA236" s="39" t="n">
        <f aca="false">IF(BA$4=0,0,IF(COUNTIFS(実績!$W$6:$W$505,BA$3,実績!$AI$6:$AI$505,"&lt;="&amp;$A236,実績!$AJ$6:$AJ$505,"&gt;"&amp;$A236,実績!$AL$6:$AL$505,"○")&gt;0,1,0))</f>
        <v>0</v>
      </c>
      <c r="BB236" s="39" t="n">
        <f aca="false">IF(BB$4=0,0,IF(COUNTIFS(実績!$W$6:$W$505,BB$3,実績!$AI$6:$AI$505,"&lt;="&amp;$A236,実績!$AJ$6:$AJ$505,"&gt;"&amp;$A236,実績!$AL$6:$AL$505,"○")&gt;0,1,0))</f>
        <v>0</v>
      </c>
      <c r="BC236" s="39" t="n">
        <f aca="false">IF(BC$4=0,0,IF(COUNTIFS(実績!$W$6:$W$505,BC$3,実績!$AI$6:$AI$505,"&lt;="&amp;$A236,実績!$AJ$6:$AJ$505,"&gt;"&amp;$A236,実績!$AL$6:$AL$505,"○")&gt;0,1,0))</f>
        <v>0</v>
      </c>
      <c r="BD236" s="39" t="n">
        <f aca="false">IF(BD$4=0,0,IF(COUNTIFS(実績!$W$6:$W$505,BD$3,実績!$AI$6:$AI$505,"&lt;="&amp;$A236,実績!$AJ$6:$AJ$505,"&gt;"&amp;$A236,実績!$AL$6:$AL$505,"○")&gt;0,1,0))</f>
        <v>0</v>
      </c>
      <c r="BE236" s="39" t="n">
        <f aca="false">IF(BE$4=0,0,IF(COUNTIFS(実績!$W$6:$W$505,BE$3,実績!$AI$6:$AI$505,"&lt;="&amp;$A236,実績!$AJ$6:$AJ$505,"&gt;"&amp;$A236,実績!$AL$6:$AL$505,"○")&gt;0,1,0))</f>
        <v>0</v>
      </c>
      <c r="BF236" s="39" t="n">
        <f aca="false">IF(BF$4=0,0,IF(COUNTIFS(実績!$W$6:$W$505,BF$3,実績!$AI$6:$AI$505,"&lt;="&amp;$A236,実績!$AJ$6:$AJ$505,"&gt;"&amp;$A236,実績!$AL$6:$AL$505,"○")&gt;0,1,0))</f>
        <v>0</v>
      </c>
      <c r="BG236" s="39" t="n">
        <f aca="false">IF(BG$4=0,0,IF(COUNTIFS(実績!$W$6:$W$505,BG$3,実績!$AI$6:$AI$505,"&lt;="&amp;$A236,実績!$AJ$6:$AJ$505,"&gt;"&amp;$A236,実績!$AL$6:$AL$505,"○")&gt;0,1,0))</f>
        <v>0</v>
      </c>
      <c r="BH236" s="39" t="n">
        <f aca="false">IF(BH$4=0,0,IF(COUNTIFS(実績!$W$6:$W$505,BH$3,実績!$AI$6:$AI$505,"&lt;="&amp;$A236,実績!$AJ$6:$AJ$505,"&gt;"&amp;$A236,実績!$AL$6:$AL$505,"○")&gt;0,1,0))</f>
        <v>0</v>
      </c>
      <c r="BI236" s="39" t="n">
        <f aca="false">IF(BI$4=0,0,IF(COUNTIFS(実績!$W$6:$W$505,BI$3,実績!$AI$6:$AI$505,"&lt;="&amp;$A236,実績!$AJ$6:$AJ$505,"&gt;"&amp;$A236,実績!$AL$6:$AL$505,"○")&gt;0,1,0))</f>
        <v>0</v>
      </c>
      <c r="BJ236" s="39" t="n">
        <f aca="false">IF(BJ$4=0,0,IF(COUNTIFS(実績!$W$6:$W$505,BJ$3,実績!$AI$6:$AI$505,"&lt;="&amp;$A236,実績!$AJ$6:$AJ$505,"&gt;"&amp;$A236,実績!$AL$6:$AL$505,"○")&gt;0,1,0))</f>
        <v>0</v>
      </c>
      <c r="BK236" s="39" t="n">
        <f aca="false">IF(BK$4=0,0,IF(COUNTIFS(実績!$W$6:$W$505,BK$3,実績!$AI$6:$AI$505,"&lt;="&amp;$A236,実績!$AJ$6:$AJ$505,"&gt;"&amp;$A236,実績!$AL$6:$AL$505,"○")&gt;0,1,0))</f>
        <v>0</v>
      </c>
      <c r="BL236" s="39" t="n">
        <f aca="false">IF(BL$4=0,0,IF(COUNTIFS(実績!$W$6:$W$505,BL$3,実績!$AI$6:$AI$505,"&lt;="&amp;$A236,実績!$AJ$6:$AJ$505,"&gt;"&amp;$A236,実績!$AL$6:$AL$505,"○")&gt;0,1,0))</f>
        <v>0</v>
      </c>
      <c r="BM236" s="39" t="n">
        <f aca="false">IF(BM$4=0,0,IF(COUNTIFS(実績!$W$6:$W$505,BM$3,実績!$AI$6:$AI$505,"&lt;="&amp;$A236,実績!$AJ$6:$AJ$505,"&gt;"&amp;$A236,実績!$AL$6:$AL$505,"○")&gt;0,1,0))</f>
        <v>0</v>
      </c>
      <c r="BN236" s="39" t="n">
        <f aca="false">IF(BN$4=0,0,IF(COUNTIFS(実績!$W$6:$W$505,BN$3,実績!$AI$6:$AI$505,"&lt;="&amp;$A236,実績!$AJ$6:$AJ$505,"&gt;"&amp;$A236,実績!$AL$6:$AL$505,"○")&gt;0,1,0))</f>
        <v>0</v>
      </c>
      <c r="BO236" s="39" t="n">
        <f aca="false">IF(BO$4=0,0,IF(COUNTIFS(実績!$W$6:$W$505,BO$3,実績!$AI$6:$AI$505,"&lt;="&amp;$A236,実績!$AJ$6:$AJ$505,"&gt;"&amp;$A236,実績!$AL$6:$AL$505,"○")&gt;0,1,0))</f>
        <v>0</v>
      </c>
      <c r="BP236" s="39" t="n">
        <f aca="false">IF(BP$4=0,0,IF(COUNTIFS(実績!$W$6:$W$505,BP$3,実績!$AI$6:$AI$505,"&lt;="&amp;$A236,実績!$AJ$6:$AJ$505,"&gt;"&amp;$A236,実績!$AL$6:$AL$505,"○")&gt;0,1,0))</f>
        <v>0</v>
      </c>
      <c r="BQ236" s="39" t="n">
        <f aca="false">IF(BQ$4=0,0,IF(COUNTIFS(実績!$W$6:$W$505,BQ$3,実績!$AI$6:$AI$505,"&lt;="&amp;$A236,実績!$AJ$6:$AJ$505,"&gt;"&amp;$A236,実績!$AL$6:$AL$505,"○")&gt;0,1,0))</f>
        <v>0</v>
      </c>
      <c r="BR236" s="39" t="n">
        <f aca="false">IF(BR$4=0,0,IF(COUNTIFS(実績!$W$6:$W$505,BR$3,実績!$AI$6:$AI$505,"&lt;="&amp;$A236,実績!$AJ$6:$AJ$505,"&gt;"&amp;$A236,実績!$AL$6:$AL$505,"○")&gt;0,1,0))</f>
        <v>0</v>
      </c>
      <c r="BS236" s="39" t="n">
        <f aca="false">IF(BS$4=0,0,IF(COUNTIFS(実績!$W$6:$W$505,BS$3,実績!$AI$6:$AI$505,"&lt;="&amp;$A236,実績!$AJ$6:$AJ$505,"&gt;"&amp;$A236,実績!$AL$6:$AL$505,"○")&gt;0,1,0))</f>
        <v>0</v>
      </c>
      <c r="BT236" s="39" t="n">
        <f aca="false">IF(BT$4=0,0,IF(COUNTIFS(実績!$W$6:$W$505,BT$3,実績!$AI$6:$AI$505,"&lt;="&amp;$A236,実績!$AJ$6:$AJ$505,"&gt;"&amp;$A236,実績!$AL$6:$AL$505,"○")&gt;0,1,0))</f>
        <v>0</v>
      </c>
      <c r="BU236" s="39" t="n">
        <f aca="false">IF(BU$4=0,0,IF(COUNTIFS(実績!$W$6:$W$505,BU$3,実績!$AI$6:$AI$505,"&lt;="&amp;$A236,実績!$AJ$6:$AJ$505,"&gt;"&amp;$A236,実績!$AL$6:$AL$505,"○")&gt;0,1,0))</f>
        <v>0</v>
      </c>
      <c r="BV236" s="39" t="n">
        <f aca="false">IF(BV$4=0,0,IF(COUNTIFS(実績!$W$6:$W$505,BV$3,実績!$AI$6:$AI$505,"&lt;="&amp;$A236,実績!$AJ$6:$AJ$505,"&gt;"&amp;$A236,実績!$AL$6:$AL$505,"○")&gt;0,1,0))</f>
        <v>0</v>
      </c>
      <c r="BW236" s="39" t="n">
        <f aca="false">IF(BW$4=0,0,IF(COUNTIFS(実績!$W$6:$W$505,BW$3,実績!$AI$6:$AI$505,"&lt;="&amp;$A236,実績!$AJ$6:$AJ$505,"&gt;"&amp;$A236,実績!$AL$6:$AL$505,"○")&gt;0,1,0))</f>
        <v>0</v>
      </c>
      <c r="BX236" s="39" t="n">
        <f aca="false">IF(BX$4=0,0,IF(COUNTIFS(実績!$W$6:$W$505,BX$3,実績!$AI$6:$AI$505,"&lt;="&amp;$A236,実績!$AJ$6:$AJ$505,"&gt;"&amp;$A236,実績!$AL$6:$AL$505,"○")&gt;0,1,0))</f>
        <v>0</v>
      </c>
      <c r="BY236" s="39" t="n">
        <f aca="false">IF(BY$4=0,0,IF(COUNTIFS(実績!$W$6:$W$505,BY$3,実績!$AI$6:$AI$505,"&lt;="&amp;$A236,実績!$AJ$6:$AJ$505,"&gt;"&amp;$A236,実績!$AL$6:$AL$505,"○")&gt;0,1,0))</f>
        <v>0</v>
      </c>
      <c r="BZ236" s="39" t="n">
        <f aca="false">IF(BZ$4=0,0,IF(COUNTIFS(実績!$W$6:$W$505,BZ$3,実績!$AI$6:$AI$505,"&lt;="&amp;$A236,実績!$AJ$6:$AJ$505,"&gt;"&amp;$A236,実績!$AL$6:$AL$505,"○")&gt;0,1,0))</f>
        <v>0</v>
      </c>
      <c r="CA236" s="39" t="n">
        <f aca="false">IF(CA$4=0,0,IF(COUNTIFS(実績!$W$6:$W$505,CA$3,実績!$AI$6:$AI$505,"&lt;="&amp;$A236,実績!$AJ$6:$AJ$505,"&gt;"&amp;$A236,実績!$AL$6:$AL$505,"○")&gt;0,1,0))</f>
        <v>0</v>
      </c>
      <c r="CB236" s="39" t="n">
        <f aca="false">IF(CB$4=0,0,IF(COUNTIFS(実績!$W$6:$W$505,CB$3,実績!$AI$6:$AI$505,"&lt;="&amp;$A236,実績!$AJ$6:$AJ$505,"&gt;"&amp;$A236,実績!$AL$6:$AL$505,"○")&gt;0,1,0))</f>
        <v>0</v>
      </c>
      <c r="CC236" s="39" t="n">
        <f aca="false">IF(CC$4=0,0,IF(COUNTIFS(実績!$W$6:$W$505,CC$3,実績!$AI$6:$AI$505,"&lt;="&amp;$A236,実績!$AJ$6:$AJ$505,"&gt;"&amp;$A236,実績!$AL$6:$AL$505,"○")&gt;0,1,0))</f>
        <v>0</v>
      </c>
      <c r="CD236" s="39" t="n">
        <f aca="false">IF(CD$4=0,0,IF(COUNTIFS(実績!$W$6:$W$505,CD$3,実績!$AI$6:$AI$505,"&lt;="&amp;$A236,実績!$AJ$6:$AJ$505,"&gt;"&amp;$A236,実績!$AL$6:$AL$505,"○")&gt;0,1,0))</f>
        <v>0</v>
      </c>
      <c r="CE236" s="39" t="n">
        <f aca="false">IF(CE$4=0,0,IF(COUNTIFS(実績!$W$6:$W$505,CE$3,実績!$AI$6:$AI$505,"&lt;="&amp;$A236,実績!$AJ$6:$AJ$505,"&gt;"&amp;$A236,実績!$AL$6:$AL$505,"○")&gt;0,1,0))</f>
        <v>0</v>
      </c>
      <c r="CF236" s="39" t="n">
        <f aca="false">IF(CF$4=0,0,IF(COUNTIFS(実績!$W$6:$W$505,CF$3,実績!$AI$6:$AI$505,"&lt;="&amp;$A236,実績!$AJ$6:$AJ$505,"&gt;"&amp;$A236,実績!$AL$6:$AL$505,"○")&gt;0,1,0))</f>
        <v>0</v>
      </c>
      <c r="CG236" s="39" t="n">
        <f aca="false">IF(CG$4=0,0,IF(COUNTIFS(実績!$W$6:$W$505,CG$3,実績!$AI$6:$AI$505,"&lt;="&amp;$A236,実績!$AJ$6:$AJ$505,"&gt;"&amp;$A236,実績!$AL$6:$AL$505,"○")&gt;0,1,0))</f>
        <v>0</v>
      </c>
      <c r="CH236" s="39" t="n">
        <f aca="false">IF(CH$4=0,0,IF(COUNTIFS(実績!$W$6:$W$505,CH$3,実績!$AI$6:$AI$505,"&lt;="&amp;$A236,実績!$AJ$6:$AJ$505,"&gt;"&amp;$A236,実績!$AL$6:$AL$505,"○")&gt;0,1,0))</f>
        <v>0</v>
      </c>
      <c r="CI236" s="39" t="n">
        <f aca="false">IF(CI$4=0,0,IF(COUNTIFS(実績!$W$6:$W$505,CI$3,実績!$AI$6:$AI$505,"&lt;="&amp;$A236,実績!$AJ$6:$AJ$505,"&gt;"&amp;$A236,実績!$AL$6:$AL$505,"○")&gt;0,1,0))</f>
        <v>0</v>
      </c>
      <c r="CJ236" s="39" t="n">
        <f aca="false">IF(CJ$4=0,0,IF(COUNTIFS(実績!$W$6:$W$505,CJ$3,実績!$AI$6:$AI$505,"&lt;="&amp;$A236,実績!$AJ$6:$AJ$505,"&gt;"&amp;$A236,実績!$AL$6:$AL$505,"○")&gt;0,1,0))</f>
        <v>0</v>
      </c>
      <c r="CK236" s="39" t="n">
        <f aca="false">IF(CK$4=0,0,IF(COUNTIFS(実績!$W$6:$W$505,CK$3,実績!$AI$6:$AI$505,"&lt;="&amp;$A236,実績!$AJ$6:$AJ$505,"&gt;"&amp;$A236,実績!$AL$6:$AL$505,"○")&gt;0,1,0))</f>
        <v>0</v>
      </c>
      <c r="CL236" s="39" t="n">
        <f aca="false">IF(CL$4=0,0,IF(COUNTIFS(実績!$W$6:$W$505,CL$3,実績!$AI$6:$AI$505,"&lt;="&amp;$A236,実績!$AJ$6:$AJ$505,"&gt;"&amp;$A236,実績!$AL$6:$AL$505,"○")&gt;0,1,0))</f>
        <v>0</v>
      </c>
      <c r="CM236" s="39" t="n">
        <f aca="false">IF(CM$4=0,0,IF(COUNTIFS(実績!$W$6:$W$505,CM$3,実績!$AI$6:$AI$505,"&lt;="&amp;$A236,実績!$AJ$6:$AJ$505,"&gt;"&amp;$A236,実績!$AL$6:$AL$505,"○")&gt;0,1,0))</f>
        <v>0</v>
      </c>
      <c r="CN236" s="39" t="n">
        <f aca="false">IF(CN$4=0,0,IF(COUNTIFS(実績!$W$6:$W$505,CN$3,実績!$AI$6:$AI$505,"&lt;="&amp;$A236,実績!$AJ$6:$AJ$505,"&gt;"&amp;$A236,実績!$AL$6:$AL$505,"○")&gt;0,1,0))</f>
        <v>0</v>
      </c>
      <c r="CO236" s="39" t="n">
        <f aca="false">IF(CO$4=0,0,IF(COUNTIFS(実績!$W$6:$W$505,CO$3,実績!$AI$6:$AI$505,"&lt;="&amp;$A236,実績!$AJ$6:$AJ$505,"&gt;"&amp;$A236,実績!$AL$6:$AL$505,"○")&gt;0,1,0))</f>
        <v>0</v>
      </c>
      <c r="CP236" s="39" t="n">
        <f aca="false">IF(CP$4=0,0,IF(COUNTIFS(実績!$W$6:$W$505,CP$3,実績!$AI$6:$AI$505,"&lt;="&amp;$A236,実績!$AJ$6:$AJ$505,"&gt;"&amp;$A236,実績!$AL$6:$AL$505,"○")&gt;0,1,0))</f>
        <v>0</v>
      </c>
      <c r="CQ236" s="39" t="n">
        <f aca="false">IF(CQ$4=0,0,IF(COUNTIFS(実績!$W$6:$W$505,CQ$3,実績!$AI$6:$AI$505,"&lt;="&amp;$A236,実績!$AJ$6:$AJ$505,"&gt;"&amp;$A236,実績!$AL$6:$AL$505,"○")&gt;0,1,0))</f>
        <v>0</v>
      </c>
      <c r="CR236" s="39" t="n">
        <f aca="false">IF(CR$4=0,0,IF(COUNTIFS(実績!$W$6:$W$505,CR$3,実績!$AI$6:$AI$505,"&lt;="&amp;$A236,実績!$AJ$6:$AJ$505,"&gt;"&amp;$A236,実績!$AL$6:$AL$505,"○")&gt;0,1,0))</f>
        <v>0</v>
      </c>
      <c r="CS236" s="39" t="n">
        <f aca="false">IF(CS$4=0,0,IF(COUNTIFS(実績!$W$6:$W$505,CS$3,実績!$AI$6:$AI$505,"&lt;="&amp;$A236,実績!$AJ$6:$AJ$505,"&gt;"&amp;$A236,実績!$AL$6:$AL$505,"○")&gt;0,1,0))</f>
        <v>0</v>
      </c>
      <c r="CT236" s="39" t="n">
        <f aca="false">IF(CT$4=0,0,IF(COUNTIFS(実績!$W$6:$W$505,CT$3,実績!$AI$6:$AI$505,"&lt;="&amp;$A236,実績!$AJ$6:$AJ$505,"&gt;"&amp;$A236,実績!$AL$6:$AL$505,"○")&gt;0,1,0))</f>
        <v>0</v>
      </c>
      <c r="CU236" s="39" t="n">
        <f aca="false">IF(CU$4=0,0,IF(COUNTIFS(実績!$W$6:$W$505,CU$3,実績!$AI$6:$AI$505,"&lt;="&amp;$A236,実績!$AJ$6:$AJ$505,"&gt;"&amp;$A236,実績!$AL$6:$AL$505,"○")&gt;0,1,0))</f>
        <v>0</v>
      </c>
      <c r="CV236" s="39" t="n">
        <f aca="false">IF(CV$4=0,0,IF(COUNTIFS(実績!$W$6:$W$505,CV$3,実績!$AI$6:$AI$505,"&lt;="&amp;$A236,実績!$AJ$6:$AJ$505,"&gt;"&amp;$A236,実績!$AL$6:$AL$505,"○")&gt;0,1,0))</f>
        <v>0</v>
      </c>
      <c r="CW236" s="39" t="n">
        <f aca="false">IF(CW$4=0,0,IF(COUNTIFS(実績!$W$6:$W$505,CW$3,実績!$AI$6:$AI$505,"&lt;="&amp;$A236,実績!$AJ$6:$AJ$505,"&gt;"&amp;$A236,実績!$AL$6:$AL$505,"○")&gt;0,1,0))</f>
        <v>0</v>
      </c>
      <c r="CX236" s="39" t="n">
        <f aca="false">IF(CX$4=0,0,IF(COUNTIFS(実績!$W$6:$W$505,CX$3,実績!$AI$6:$AI$505,"&lt;="&amp;$A236,実績!$AJ$6:$AJ$505,"&gt;"&amp;$A236,実績!$AL$6:$AL$505,"○")&gt;0,1,0))</f>
        <v>0</v>
      </c>
      <c r="CY236" s="39" t="n">
        <f aca="false">IF(CY$4=0,0,IF(COUNTIFS(実績!$W$6:$W$505,CY$3,実績!$AI$6:$AI$505,"&lt;="&amp;$A236,実績!$AJ$6:$AJ$505,"&gt;"&amp;$A236,実績!$AL$6:$AL$505,"○")&gt;0,1,0))</f>
        <v>0</v>
      </c>
      <c r="CZ236" s="39" t="n">
        <f aca="false">IF(CZ$4=0,0,IF(COUNTIFS(実績!$W$6:$W$505,CZ$3,実績!$AI$6:$AI$505,"&lt;="&amp;$A236,実績!$AJ$6:$AJ$505,"&gt;"&amp;$A236,実績!$AL$6:$AL$505,"○")&gt;0,1,0))</f>
        <v>0</v>
      </c>
      <c r="DA236" s="39" t="n">
        <f aca="false">IF(DA$4=0,0,IF(COUNTIFS(実績!$W$6:$W$505,DA$3,実績!$AI$6:$AI$505,"&lt;="&amp;$A236,実績!$AJ$6:$AJ$505,"&gt;"&amp;$A236,実績!$AL$6:$AL$505,"○")&gt;0,1,0))</f>
        <v>0</v>
      </c>
      <c r="DB236" s="39" t="n">
        <f aca="false">IF(DB$4=0,0,IF(COUNTIFS(実績!$W$6:$W$505,DB$3,実績!$AI$6:$AI$505,"&lt;="&amp;$A236,実績!$AJ$6:$AJ$505,"&gt;"&amp;$A236,実績!$AL$6:$AL$505,"○")&gt;0,1,0))</f>
        <v>0</v>
      </c>
      <c r="DC236" s="39" t="n">
        <f aca="false">IF(DC$4=0,0,IF(COUNTIFS(実績!$W$6:$W$505,DC$3,実績!$AI$6:$AI$505,"&lt;="&amp;$A236,実績!$AJ$6:$AJ$505,"&gt;"&amp;$A236,実績!$AL$6:$AL$505,"○")&gt;0,1,0))</f>
        <v>0</v>
      </c>
      <c r="DD236" s="39" t="n">
        <f aca="false">IF(DD$4=0,0,IF(COUNTIFS(実績!$W$6:$W$505,DD$3,実績!$AI$6:$AI$505,"&lt;="&amp;$A236,実績!$AJ$6:$AJ$505,"&gt;"&amp;$A236,実績!$AL$6:$AL$505,"○")&gt;0,1,0))</f>
        <v>0</v>
      </c>
      <c r="DE236" s="39" t="n">
        <f aca="false">IF(DE$4=0,0,IF(COUNTIFS(実績!$W$6:$W$505,DE$3,実績!$AI$6:$AI$505,"&lt;="&amp;$A236,実績!$AJ$6:$AJ$505,"&gt;"&amp;$A236,実績!$AL$6:$AL$505,"○")&gt;0,1,0))</f>
        <v>0</v>
      </c>
      <c r="DF236" s="39" t="n">
        <f aca="false">IF(DF$4=0,0,IF(COUNTIFS(実績!$W$6:$W$505,DF$3,実績!$AI$6:$AI$505,"&lt;="&amp;$A236,実績!$AJ$6:$AJ$505,"&gt;"&amp;$A236,実績!$AL$6:$AL$505,"○")&gt;0,1,0))</f>
        <v>0</v>
      </c>
      <c r="DG236" s="39" t="n">
        <f aca="false">IF(DG$4=0,0,IF(COUNTIFS(実績!$W$6:$W$505,DG$3,実績!$AI$6:$AI$505,"&lt;="&amp;$A236,実績!$AJ$6:$AJ$505,"&gt;"&amp;$A236,実績!$AL$6:$AL$505,"○")&gt;0,1,0))</f>
        <v>0</v>
      </c>
      <c r="DH236" s="39" t="n">
        <f aca="false">IF(DH$4=0,0,IF(COUNTIFS(実績!$W$6:$W$505,DH$3,実績!$AI$6:$AI$505,"&lt;="&amp;$A236,実績!$AJ$6:$AJ$505,"&gt;"&amp;$A236,実績!$AL$6:$AL$505,"○")&gt;0,1,0))</f>
        <v>0</v>
      </c>
      <c r="DI236" s="39" t="n">
        <f aca="false">IF(DI$4=0,0,IF(COUNTIFS(実績!$W$6:$W$505,DI$3,実績!$AI$6:$AI$505,"&lt;="&amp;$A236,実績!$AJ$6:$AJ$505,"&gt;"&amp;$A236,実績!$AL$6:$AL$505,"○")&gt;0,1,0))</f>
        <v>0</v>
      </c>
      <c r="DJ236" s="39" t="n">
        <f aca="false">IF(DJ$4=0,0,IF(COUNTIFS(実績!$W$6:$W$505,DJ$3,実績!$AI$6:$AI$505,"&lt;="&amp;$A236,実績!$AJ$6:$AJ$505,"&gt;"&amp;$A236,実績!$AL$6:$AL$505,"○")&gt;0,1,0))</f>
        <v>0</v>
      </c>
      <c r="DK236" s="39" t="n">
        <f aca="false">IF(DK$4=0,0,IF(COUNTIFS(実績!$W$6:$W$505,DK$3,実績!$AI$6:$AI$505,"&lt;="&amp;$A236,実績!$AJ$6:$AJ$505,"&gt;"&amp;$A236,実績!$AL$6:$AL$505,"○")&gt;0,1,0))</f>
        <v>0</v>
      </c>
      <c r="DL236" s="39" t="n">
        <f aca="false">IF(DL$4=0,0,IF(COUNTIFS(実績!$W$6:$W$505,DL$3,実績!$AI$6:$AI$505,"&lt;="&amp;$A236,実績!$AJ$6:$AJ$505,"&gt;"&amp;$A236,実績!$AL$6:$AL$505,"○")&gt;0,1,0))</f>
        <v>0</v>
      </c>
      <c r="DM236" s="39" t="n">
        <f aca="false">IF(DM$4=0,0,IF(COUNTIFS(実績!$W$6:$W$505,DM$3,実績!$AI$6:$AI$505,"&lt;="&amp;$A236,実績!$AJ$6:$AJ$505,"&gt;"&amp;$A236,実績!$AL$6:$AL$505,"○")&gt;0,1,0))</f>
        <v>0</v>
      </c>
      <c r="DN236" s="39" t="n">
        <f aca="false">IF(DN$4=0,0,IF(COUNTIFS(実績!$W$6:$W$505,DN$3,実績!$AI$6:$AI$505,"&lt;="&amp;$A236,実績!$AJ$6:$AJ$505,"&gt;"&amp;$A236,実績!$AL$6:$AL$505,"○")&gt;0,1,0))</f>
        <v>0</v>
      </c>
      <c r="DO236" s="39" t="n">
        <f aca="false">IF(DO$4=0,0,IF(COUNTIFS(実績!$W$6:$W$505,DO$3,実績!$AI$6:$AI$505,"&lt;="&amp;$A236,実績!$AJ$6:$AJ$505,"&gt;"&amp;$A236,実績!$AL$6:$AL$505,"○")&gt;0,1,0))</f>
        <v>0</v>
      </c>
      <c r="DP236" s="39" t="n">
        <f aca="false">IF(DP$4=0,0,IF(COUNTIFS(実績!$W$6:$W$505,DP$3,実績!$AI$6:$AI$505,"&lt;="&amp;$A236,実績!$AJ$6:$AJ$505,"&gt;"&amp;$A236,実績!$AL$6:$AL$505,"○")&gt;0,1,0))</f>
        <v>0</v>
      </c>
      <c r="DQ236" s="39" t="n">
        <f aca="false">IF(DQ$4=0,0,IF(COUNTIFS(実績!$W$6:$W$505,DQ$3,実績!$AI$6:$AI$505,"&lt;="&amp;$A236,実績!$AJ$6:$AJ$505,"&gt;"&amp;$A236,実績!$AL$6:$AL$505,"○")&gt;0,1,0))</f>
        <v>0</v>
      </c>
      <c r="DR236" s="39" t="n">
        <f aca="false">IF(DR$4=0,0,IF(COUNTIFS(実績!$W$6:$W$505,DR$3,実績!$AI$6:$AI$505,"&lt;="&amp;$A236,実績!$AJ$6:$AJ$505,"&gt;"&amp;$A236,実績!$AL$6:$AL$505,"○")&gt;0,1,0))</f>
        <v>0</v>
      </c>
      <c r="DS236" s="39" t="n">
        <f aca="false">SUM(C236:DR236)</f>
        <v>0</v>
      </c>
    </row>
    <row r="237" customFormat="false" ht="15" hidden="false" customHeight="false" outlineLevel="0" collapsed="false">
      <c r="A237" s="0" t="n">
        <v>1155</v>
      </c>
      <c r="B237" s="38" t="n">
        <f aca="false">A237/1440</f>
        <v>0.802083333333333</v>
      </c>
      <c r="C237" s="39" t="n">
        <f aca="false">IF(C$4=0,0,IF(COUNTIFS(実績!$W$6:$W$505,C$3,実績!$AI$6:$AI$505,"&lt;="&amp;$A237,実績!$AJ$6:$AJ$505,"&gt;"&amp;$A237,実績!$AL$6:$AL$505,"○")&gt;0,1,0))</f>
        <v>0</v>
      </c>
      <c r="D237" s="39" t="n">
        <f aca="false">IF(D$4=0,0,IF(COUNTIFS(実績!$W$6:$W$505,D$3,実績!$AI$6:$AI$505,"&lt;="&amp;$A237,実績!$AJ$6:$AJ$505,"&gt;"&amp;$A237,実績!$AL$6:$AL$505,"○")&gt;0,1,0))</f>
        <v>0</v>
      </c>
      <c r="E237" s="39" t="n">
        <f aca="false">IF(E$4=0,0,IF(COUNTIFS(実績!$W$6:$W$505,E$3,実績!$AI$6:$AI$505,"&lt;="&amp;$A237,実績!$AJ$6:$AJ$505,"&gt;"&amp;$A237,実績!$AL$6:$AL$505,"○")&gt;0,1,0))</f>
        <v>0</v>
      </c>
      <c r="F237" s="39" t="n">
        <f aca="false">IF(F$4=0,0,IF(COUNTIFS(実績!$W$6:$W$505,F$3,実績!$AI$6:$AI$505,"&lt;="&amp;$A237,実績!$AJ$6:$AJ$505,"&gt;"&amp;$A237,実績!$AL$6:$AL$505,"○")&gt;0,1,0))</f>
        <v>0</v>
      </c>
      <c r="G237" s="39" t="n">
        <f aca="false">IF(G$4=0,0,IF(COUNTIFS(実績!$W$6:$W$505,G$3,実績!$AI$6:$AI$505,"&lt;="&amp;$A237,実績!$AJ$6:$AJ$505,"&gt;"&amp;$A237,実績!$AL$6:$AL$505,"○")&gt;0,1,0))</f>
        <v>0</v>
      </c>
      <c r="H237" s="39" t="n">
        <f aca="false">IF(H$4=0,0,IF(COUNTIFS(実績!$W$6:$W$505,H$3,実績!$AI$6:$AI$505,"&lt;="&amp;$A237,実績!$AJ$6:$AJ$505,"&gt;"&amp;$A237,実績!$AL$6:$AL$505,"○")&gt;0,1,0))</f>
        <v>0</v>
      </c>
      <c r="I237" s="39" t="n">
        <f aca="false">IF(I$4=0,0,IF(COUNTIFS(実績!$W$6:$W$505,I$3,実績!$AI$6:$AI$505,"&lt;="&amp;$A237,実績!$AJ$6:$AJ$505,"&gt;"&amp;$A237,実績!$AL$6:$AL$505,"○")&gt;0,1,0))</f>
        <v>0</v>
      </c>
      <c r="J237" s="39" t="n">
        <f aca="false">IF(J$4=0,0,IF(COUNTIFS(実績!$W$6:$W$505,J$3,実績!$AI$6:$AI$505,"&lt;="&amp;$A237,実績!$AJ$6:$AJ$505,"&gt;"&amp;$A237,実績!$AL$6:$AL$505,"○")&gt;0,1,0))</f>
        <v>0</v>
      </c>
      <c r="K237" s="39" t="n">
        <f aca="false">IF(K$4=0,0,IF(COUNTIFS(実績!$W$6:$W$505,K$3,実績!$AI$6:$AI$505,"&lt;="&amp;$A237,実績!$AJ$6:$AJ$505,"&gt;"&amp;$A237,実績!$AL$6:$AL$505,"○")&gt;0,1,0))</f>
        <v>0</v>
      </c>
      <c r="L237" s="39" t="n">
        <f aca="false">IF(L$4=0,0,IF(COUNTIFS(実績!$W$6:$W$505,L$3,実績!$AI$6:$AI$505,"&lt;="&amp;$A237,実績!$AJ$6:$AJ$505,"&gt;"&amp;$A237,実績!$AL$6:$AL$505,"○")&gt;0,1,0))</f>
        <v>0</v>
      </c>
      <c r="M237" s="39" t="n">
        <f aca="false">IF(M$4=0,0,IF(COUNTIFS(実績!$W$6:$W$505,M$3,実績!$AI$6:$AI$505,"&lt;="&amp;$A237,実績!$AJ$6:$AJ$505,"&gt;"&amp;$A237,実績!$AL$6:$AL$505,"○")&gt;0,1,0))</f>
        <v>0</v>
      </c>
      <c r="N237" s="39" t="n">
        <f aca="false">IF(N$4=0,0,IF(COUNTIFS(実績!$W$6:$W$505,N$3,実績!$AI$6:$AI$505,"&lt;="&amp;$A237,実績!$AJ$6:$AJ$505,"&gt;"&amp;$A237,実績!$AL$6:$AL$505,"○")&gt;0,1,0))</f>
        <v>0</v>
      </c>
      <c r="O237" s="39" t="n">
        <f aca="false">IF(O$4=0,0,IF(COUNTIFS(実績!$W$6:$W$505,O$3,実績!$AI$6:$AI$505,"&lt;="&amp;$A237,実績!$AJ$6:$AJ$505,"&gt;"&amp;$A237,実績!$AL$6:$AL$505,"○")&gt;0,1,0))</f>
        <v>0</v>
      </c>
      <c r="P237" s="39" t="n">
        <f aca="false">IF(P$4=0,0,IF(COUNTIFS(実績!$W$6:$W$505,P$3,実績!$AI$6:$AI$505,"&lt;="&amp;$A237,実績!$AJ$6:$AJ$505,"&gt;"&amp;$A237,実績!$AL$6:$AL$505,"○")&gt;0,1,0))</f>
        <v>0</v>
      </c>
      <c r="Q237" s="39" t="n">
        <f aca="false">IF(Q$4=0,0,IF(COUNTIFS(実績!$W$6:$W$505,Q$3,実績!$AI$6:$AI$505,"&lt;="&amp;$A237,実績!$AJ$6:$AJ$505,"&gt;"&amp;$A237,実績!$AL$6:$AL$505,"○")&gt;0,1,0))</f>
        <v>0</v>
      </c>
      <c r="R237" s="39" t="n">
        <f aca="false">IF(R$4=0,0,IF(COUNTIFS(実績!$W$6:$W$505,R$3,実績!$AI$6:$AI$505,"&lt;="&amp;$A237,実績!$AJ$6:$AJ$505,"&gt;"&amp;$A237,実績!$AL$6:$AL$505,"○")&gt;0,1,0))</f>
        <v>0</v>
      </c>
      <c r="S237" s="39" t="n">
        <f aca="false">IF(S$4=0,0,IF(COUNTIFS(実績!$W$6:$W$505,S$3,実績!$AI$6:$AI$505,"&lt;="&amp;$A237,実績!$AJ$6:$AJ$505,"&gt;"&amp;$A237,実績!$AL$6:$AL$505,"○")&gt;0,1,0))</f>
        <v>0</v>
      </c>
      <c r="T237" s="39" t="n">
        <f aca="false">IF(T$4=0,0,IF(COUNTIFS(実績!$W$6:$W$505,T$3,実績!$AI$6:$AI$505,"&lt;="&amp;$A237,実績!$AJ$6:$AJ$505,"&gt;"&amp;$A237,実績!$AL$6:$AL$505,"○")&gt;0,1,0))</f>
        <v>0</v>
      </c>
      <c r="U237" s="39" t="n">
        <f aca="false">IF(U$4=0,0,IF(COUNTIFS(実績!$W$6:$W$505,U$3,実績!$AI$6:$AI$505,"&lt;="&amp;$A237,実績!$AJ$6:$AJ$505,"&gt;"&amp;$A237,実績!$AL$6:$AL$505,"○")&gt;0,1,0))</f>
        <v>0</v>
      </c>
      <c r="V237" s="39" t="n">
        <f aca="false">IF(V$4=0,0,IF(COUNTIFS(実績!$W$6:$W$505,V$3,実績!$AI$6:$AI$505,"&lt;="&amp;$A237,実績!$AJ$6:$AJ$505,"&gt;"&amp;$A237,実績!$AL$6:$AL$505,"○")&gt;0,1,0))</f>
        <v>0</v>
      </c>
      <c r="W237" s="39" t="n">
        <f aca="false">IF(W$4=0,0,IF(COUNTIFS(実績!$W$6:$W$505,W$3,実績!$AI$6:$AI$505,"&lt;="&amp;$A237,実績!$AJ$6:$AJ$505,"&gt;"&amp;$A237,実績!$AL$6:$AL$505,"○")&gt;0,1,0))</f>
        <v>0</v>
      </c>
      <c r="X237" s="39" t="n">
        <f aca="false">IF(X$4=0,0,IF(COUNTIFS(実績!$W$6:$W$505,X$3,実績!$AI$6:$AI$505,"&lt;="&amp;$A237,実績!$AJ$6:$AJ$505,"&gt;"&amp;$A237,実績!$AL$6:$AL$505,"○")&gt;0,1,0))</f>
        <v>0</v>
      </c>
      <c r="Y237" s="39" t="n">
        <f aca="false">IF(Y$4=0,0,IF(COUNTIFS(実績!$W$6:$W$505,Y$3,実績!$AI$6:$AI$505,"&lt;="&amp;$A237,実績!$AJ$6:$AJ$505,"&gt;"&amp;$A237,実績!$AL$6:$AL$505,"○")&gt;0,1,0))</f>
        <v>0</v>
      </c>
      <c r="Z237" s="39" t="n">
        <f aca="false">IF(Z$4=0,0,IF(COUNTIFS(実績!$W$6:$W$505,Z$3,実績!$AI$6:$AI$505,"&lt;="&amp;$A237,実績!$AJ$6:$AJ$505,"&gt;"&amp;$A237,実績!$AL$6:$AL$505,"○")&gt;0,1,0))</f>
        <v>0</v>
      </c>
      <c r="AA237" s="39" t="n">
        <f aca="false">IF(AA$4=0,0,IF(COUNTIFS(実績!$W$6:$W$505,AA$3,実績!$AI$6:$AI$505,"&lt;="&amp;$A237,実績!$AJ$6:$AJ$505,"&gt;"&amp;$A237,実績!$AL$6:$AL$505,"○")&gt;0,1,0))</f>
        <v>0</v>
      </c>
      <c r="AB237" s="39" t="n">
        <f aca="false">IF(AB$4=0,0,IF(COUNTIFS(実績!$W$6:$W$505,AB$3,実績!$AI$6:$AI$505,"&lt;="&amp;$A237,実績!$AJ$6:$AJ$505,"&gt;"&amp;$A237,実績!$AL$6:$AL$505,"○")&gt;0,1,0))</f>
        <v>0</v>
      </c>
      <c r="AC237" s="39" t="n">
        <f aca="false">IF(AC$4=0,0,IF(COUNTIFS(実績!$W$6:$W$505,AC$3,実績!$AI$6:$AI$505,"&lt;="&amp;$A237,実績!$AJ$6:$AJ$505,"&gt;"&amp;$A237,実績!$AL$6:$AL$505,"○")&gt;0,1,0))</f>
        <v>0</v>
      </c>
      <c r="AD237" s="39" t="n">
        <f aca="false">IF(AD$4=0,0,IF(COUNTIFS(実績!$W$6:$W$505,AD$3,実績!$AI$6:$AI$505,"&lt;="&amp;$A237,実績!$AJ$6:$AJ$505,"&gt;"&amp;$A237,実績!$AL$6:$AL$505,"○")&gt;0,1,0))</f>
        <v>0</v>
      </c>
      <c r="AE237" s="39" t="n">
        <f aca="false">IF(AE$4=0,0,IF(COUNTIFS(実績!$W$6:$W$505,AE$3,実績!$AI$6:$AI$505,"&lt;="&amp;$A237,実績!$AJ$6:$AJ$505,"&gt;"&amp;$A237,実績!$AL$6:$AL$505,"○")&gt;0,1,0))</f>
        <v>0</v>
      </c>
      <c r="AF237" s="39" t="n">
        <f aca="false">IF(AF$4=0,0,IF(COUNTIFS(実績!$W$6:$W$505,AF$3,実績!$AI$6:$AI$505,"&lt;="&amp;$A237,実績!$AJ$6:$AJ$505,"&gt;"&amp;$A237,実績!$AL$6:$AL$505,"○")&gt;0,1,0))</f>
        <v>0</v>
      </c>
      <c r="AG237" s="39" t="n">
        <f aca="false">IF(AG$4=0,0,IF(COUNTIFS(実績!$W$6:$W$505,AG$3,実績!$AI$6:$AI$505,"&lt;="&amp;$A237,実績!$AJ$6:$AJ$505,"&gt;"&amp;$A237,実績!$AL$6:$AL$505,"○")&gt;0,1,0))</f>
        <v>0</v>
      </c>
      <c r="AH237" s="39" t="n">
        <f aca="false">IF(AH$4=0,0,IF(COUNTIFS(実績!$W$6:$W$505,AH$3,実績!$AI$6:$AI$505,"&lt;="&amp;$A237,実績!$AJ$6:$AJ$505,"&gt;"&amp;$A237,実績!$AL$6:$AL$505,"○")&gt;0,1,0))</f>
        <v>0</v>
      </c>
      <c r="AI237" s="39" t="n">
        <f aca="false">IF(AI$4=0,0,IF(COUNTIFS(実績!$W$6:$W$505,AI$3,実績!$AI$6:$AI$505,"&lt;="&amp;$A237,実績!$AJ$6:$AJ$505,"&gt;"&amp;$A237,実績!$AL$6:$AL$505,"○")&gt;0,1,0))</f>
        <v>0</v>
      </c>
      <c r="AJ237" s="39" t="n">
        <f aca="false">IF(AJ$4=0,0,IF(COUNTIFS(実績!$W$6:$W$505,AJ$3,実績!$AI$6:$AI$505,"&lt;="&amp;$A237,実績!$AJ$6:$AJ$505,"&gt;"&amp;$A237,実績!$AL$6:$AL$505,"○")&gt;0,1,0))</f>
        <v>0</v>
      </c>
      <c r="AK237" s="39" t="n">
        <f aca="false">IF(AK$4=0,0,IF(COUNTIFS(実績!$W$6:$W$505,AK$3,実績!$AI$6:$AI$505,"&lt;="&amp;$A237,実績!$AJ$6:$AJ$505,"&gt;"&amp;$A237,実績!$AL$6:$AL$505,"○")&gt;0,1,0))</f>
        <v>0</v>
      </c>
      <c r="AL237" s="39" t="n">
        <f aca="false">IF(AL$4=0,0,IF(COUNTIFS(実績!$W$6:$W$505,AL$3,実績!$AI$6:$AI$505,"&lt;="&amp;$A237,実績!$AJ$6:$AJ$505,"&gt;"&amp;$A237,実績!$AL$6:$AL$505,"○")&gt;0,1,0))</f>
        <v>0</v>
      </c>
      <c r="AM237" s="39" t="n">
        <f aca="false">IF(AM$4=0,0,IF(COUNTIFS(実績!$W$6:$W$505,AM$3,実績!$AI$6:$AI$505,"&lt;="&amp;$A237,実績!$AJ$6:$AJ$505,"&gt;"&amp;$A237,実績!$AL$6:$AL$505,"○")&gt;0,1,0))</f>
        <v>0</v>
      </c>
      <c r="AN237" s="39" t="n">
        <f aca="false">IF(AN$4=0,0,IF(COUNTIFS(実績!$W$6:$W$505,AN$3,実績!$AI$6:$AI$505,"&lt;="&amp;$A237,実績!$AJ$6:$AJ$505,"&gt;"&amp;$A237,実績!$AL$6:$AL$505,"○")&gt;0,1,0))</f>
        <v>0</v>
      </c>
      <c r="AO237" s="39" t="n">
        <f aca="false">IF(AO$4=0,0,IF(COUNTIFS(実績!$W$6:$W$505,AO$3,実績!$AI$6:$AI$505,"&lt;="&amp;$A237,実績!$AJ$6:$AJ$505,"&gt;"&amp;$A237,実績!$AL$6:$AL$505,"○")&gt;0,1,0))</f>
        <v>0</v>
      </c>
      <c r="AP237" s="39" t="n">
        <f aca="false">IF(AP$4=0,0,IF(COUNTIFS(実績!$W$6:$W$505,AP$3,実績!$AI$6:$AI$505,"&lt;="&amp;$A237,実績!$AJ$6:$AJ$505,"&gt;"&amp;$A237,実績!$AL$6:$AL$505,"○")&gt;0,1,0))</f>
        <v>0</v>
      </c>
      <c r="AQ237" s="39" t="n">
        <f aca="false">IF(AQ$4=0,0,IF(COUNTIFS(実績!$W$6:$W$505,AQ$3,実績!$AI$6:$AI$505,"&lt;="&amp;$A237,実績!$AJ$6:$AJ$505,"&gt;"&amp;$A237,実績!$AL$6:$AL$505,"○")&gt;0,1,0))</f>
        <v>0</v>
      </c>
      <c r="AR237" s="39" t="n">
        <f aca="false">IF(AR$4=0,0,IF(COUNTIFS(実績!$W$6:$W$505,AR$3,実績!$AI$6:$AI$505,"&lt;="&amp;$A237,実績!$AJ$6:$AJ$505,"&gt;"&amp;$A237,実績!$AL$6:$AL$505,"○")&gt;0,1,0))</f>
        <v>0</v>
      </c>
      <c r="AS237" s="39" t="n">
        <f aca="false">IF(AS$4=0,0,IF(COUNTIFS(実績!$W$6:$W$505,AS$3,実績!$AI$6:$AI$505,"&lt;="&amp;$A237,実績!$AJ$6:$AJ$505,"&gt;"&amp;$A237,実績!$AL$6:$AL$505,"○")&gt;0,1,0))</f>
        <v>0</v>
      </c>
      <c r="AT237" s="39" t="n">
        <f aca="false">IF(AT$4=0,0,IF(COUNTIFS(実績!$W$6:$W$505,AT$3,実績!$AI$6:$AI$505,"&lt;="&amp;$A237,実績!$AJ$6:$AJ$505,"&gt;"&amp;$A237,実績!$AL$6:$AL$505,"○")&gt;0,1,0))</f>
        <v>0</v>
      </c>
      <c r="AU237" s="39" t="n">
        <f aca="false">IF(AU$4=0,0,IF(COUNTIFS(実績!$W$6:$W$505,AU$3,実績!$AI$6:$AI$505,"&lt;="&amp;$A237,実績!$AJ$6:$AJ$505,"&gt;"&amp;$A237,実績!$AL$6:$AL$505,"○")&gt;0,1,0))</f>
        <v>0</v>
      </c>
      <c r="AV237" s="39" t="n">
        <f aca="false">IF(AV$4=0,0,IF(COUNTIFS(実績!$W$6:$W$505,AV$3,実績!$AI$6:$AI$505,"&lt;="&amp;$A237,実績!$AJ$6:$AJ$505,"&gt;"&amp;$A237,実績!$AL$6:$AL$505,"○")&gt;0,1,0))</f>
        <v>0</v>
      </c>
      <c r="AW237" s="39" t="n">
        <f aca="false">IF(AW$4=0,0,IF(COUNTIFS(実績!$W$6:$W$505,AW$3,実績!$AI$6:$AI$505,"&lt;="&amp;$A237,実績!$AJ$6:$AJ$505,"&gt;"&amp;$A237,実績!$AL$6:$AL$505,"○")&gt;0,1,0))</f>
        <v>0</v>
      </c>
      <c r="AX237" s="39" t="n">
        <f aca="false">IF(AX$4=0,0,IF(COUNTIFS(実績!$W$6:$W$505,AX$3,実績!$AI$6:$AI$505,"&lt;="&amp;$A237,実績!$AJ$6:$AJ$505,"&gt;"&amp;$A237,実績!$AL$6:$AL$505,"○")&gt;0,1,0))</f>
        <v>0</v>
      </c>
      <c r="AY237" s="39" t="n">
        <f aca="false">IF(AY$4=0,0,IF(COUNTIFS(実績!$W$6:$W$505,AY$3,実績!$AI$6:$AI$505,"&lt;="&amp;$A237,実績!$AJ$6:$AJ$505,"&gt;"&amp;$A237,実績!$AL$6:$AL$505,"○")&gt;0,1,0))</f>
        <v>0</v>
      </c>
      <c r="AZ237" s="39" t="n">
        <f aca="false">IF(AZ$4=0,0,IF(COUNTIFS(実績!$W$6:$W$505,AZ$3,実績!$AI$6:$AI$505,"&lt;="&amp;$A237,実績!$AJ$6:$AJ$505,"&gt;"&amp;$A237,実績!$AL$6:$AL$505,"○")&gt;0,1,0))</f>
        <v>0</v>
      </c>
      <c r="BA237" s="39" t="n">
        <f aca="false">IF(BA$4=0,0,IF(COUNTIFS(実績!$W$6:$W$505,BA$3,実績!$AI$6:$AI$505,"&lt;="&amp;$A237,実績!$AJ$6:$AJ$505,"&gt;"&amp;$A237,実績!$AL$6:$AL$505,"○")&gt;0,1,0))</f>
        <v>0</v>
      </c>
      <c r="BB237" s="39" t="n">
        <f aca="false">IF(BB$4=0,0,IF(COUNTIFS(実績!$W$6:$W$505,BB$3,実績!$AI$6:$AI$505,"&lt;="&amp;$A237,実績!$AJ$6:$AJ$505,"&gt;"&amp;$A237,実績!$AL$6:$AL$505,"○")&gt;0,1,0))</f>
        <v>0</v>
      </c>
      <c r="BC237" s="39" t="n">
        <f aca="false">IF(BC$4=0,0,IF(COUNTIFS(実績!$W$6:$W$505,BC$3,実績!$AI$6:$AI$505,"&lt;="&amp;$A237,実績!$AJ$6:$AJ$505,"&gt;"&amp;$A237,実績!$AL$6:$AL$505,"○")&gt;0,1,0))</f>
        <v>0</v>
      </c>
      <c r="BD237" s="39" t="n">
        <f aca="false">IF(BD$4=0,0,IF(COUNTIFS(実績!$W$6:$W$505,BD$3,実績!$AI$6:$AI$505,"&lt;="&amp;$A237,実績!$AJ$6:$AJ$505,"&gt;"&amp;$A237,実績!$AL$6:$AL$505,"○")&gt;0,1,0))</f>
        <v>0</v>
      </c>
      <c r="BE237" s="39" t="n">
        <f aca="false">IF(BE$4=0,0,IF(COUNTIFS(実績!$W$6:$W$505,BE$3,実績!$AI$6:$AI$505,"&lt;="&amp;$A237,実績!$AJ$6:$AJ$505,"&gt;"&amp;$A237,実績!$AL$6:$AL$505,"○")&gt;0,1,0))</f>
        <v>0</v>
      </c>
      <c r="BF237" s="39" t="n">
        <f aca="false">IF(BF$4=0,0,IF(COUNTIFS(実績!$W$6:$W$505,BF$3,実績!$AI$6:$AI$505,"&lt;="&amp;$A237,実績!$AJ$6:$AJ$505,"&gt;"&amp;$A237,実績!$AL$6:$AL$505,"○")&gt;0,1,0))</f>
        <v>0</v>
      </c>
      <c r="BG237" s="39" t="n">
        <f aca="false">IF(BG$4=0,0,IF(COUNTIFS(実績!$W$6:$W$505,BG$3,実績!$AI$6:$AI$505,"&lt;="&amp;$A237,実績!$AJ$6:$AJ$505,"&gt;"&amp;$A237,実績!$AL$6:$AL$505,"○")&gt;0,1,0))</f>
        <v>0</v>
      </c>
      <c r="BH237" s="39" t="n">
        <f aca="false">IF(BH$4=0,0,IF(COUNTIFS(実績!$W$6:$W$505,BH$3,実績!$AI$6:$AI$505,"&lt;="&amp;$A237,実績!$AJ$6:$AJ$505,"&gt;"&amp;$A237,実績!$AL$6:$AL$505,"○")&gt;0,1,0))</f>
        <v>0</v>
      </c>
      <c r="BI237" s="39" t="n">
        <f aca="false">IF(BI$4=0,0,IF(COUNTIFS(実績!$W$6:$W$505,BI$3,実績!$AI$6:$AI$505,"&lt;="&amp;$A237,実績!$AJ$6:$AJ$505,"&gt;"&amp;$A237,実績!$AL$6:$AL$505,"○")&gt;0,1,0))</f>
        <v>0</v>
      </c>
      <c r="BJ237" s="39" t="n">
        <f aca="false">IF(BJ$4=0,0,IF(COUNTIFS(実績!$W$6:$W$505,BJ$3,実績!$AI$6:$AI$505,"&lt;="&amp;$A237,実績!$AJ$6:$AJ$505,"&gt;"&amp;$A237,実績!$AL$6:$AL$505,"○")&gt;0,1,0))</f>
        <v>0</v>
      </c>
      <c r="BK237" s="39" t="n">
        <f aca="false">IF(BK$4=0,0,IF(COUNTIFS(実績!$W$6:$W$505,BK$3,実績!$AI$6:$AI$505,"&lt;="&amp;$A237,実績!$AJ$6:$AJ$505,"&gt;"&amp;$A237,実績!$AL$6:$AL$505,"○")&gt;0,1,0))</f>
        <v>0</v>
      </c>
      <c r="BL237" s="39" t="n">
        <f aca="false">IF(BL$4=0,0,IF(COUNTIFS(実績!$W$6:$W$505,BL$3,実績!$AI$6:$AI$505,"&lt;="&amp;$A237,実績!$AJ$6:$AJ$505,"&gt;"&amp;$A237,実績!$AL$6:$AL$505,"○")&gt;0,1,0))</f>
        <v>0</v>
      </c>
      <c r="BM237" s="39" t="n">
        <f aca="false">IF(BM$4=0,0,IF(COUNTIFS(実績!$W$6:$W$505,BM$3,実績!$AI$6:$AI$505,"&lt;="&amp;$A237,実績!$AJ$6:$AJ$505,"&gt;"&amp;$A237,実績!$AL$6:$AL$505,"○")&gt;0,1,0))</f>
        <v>0</v>
      </c>
      <c r="BN237" s="39" t="n">
        <f aca="false">IF(BN$4=0,0,IF(COUNTIFS(実績!$W$6:$W$505,BN$3,実績!$AI$6:$AI$505,"&lt;="&amp;$A237,実績!$AJ$6:$AJ$505,"&gt;"&amp;$A237,実績!$AL$6:$AL$505,"○")&gt;0,1,0))</f>
        <v>0</v>
      </c>
      <c r="BO237" s="39" t="n">
        <f aca="false">IF(BO$4=0,0,IF(COUNTIFS(実績!$W$6:$W$505,BO$3,実績!$AI$6:$AI$505,"&lt;="&amp;$A237,実績!$AJ$6:$AJ$505,"&gt;"&amp;$A237,実績!$AL$6:$AL$505,"○")&gt;0,1,0))</f>
        <v>0</v>
      </c>
      <c r="BP237" s="39" t="n">
        <f aca="false">IF(BP$4=0,0,IF(COUNTIFS(実績!$W$6:$W$505,BP$3,実績!$AI$6:$AI$505,"&lt;="&amp;$A237,実績!$AJ$6:$AJ$505,"&gt;"&amp;$A237,実績!$AL$6:$AL$505,"○")&gt;0,1,0))</f>
        <v>0</v>
      </c>
      <c r="BQ237" s="39" t="n">
        <f aca="false">IF(BQ$4=0,0,IF(COUNTIFS(実績!$W$6:$W$505,BQ$3,実績!$AI$6:$AI$505,"&lt;="&amp;$A237,実績!$AJ$6:$AJ$505,"&gt;"&amp;$A237,実績!$AL$6:$AL$505,"○")&gt;0,1,0))</f>
        <v>0</v>
      </c>
      <c r="BR237" s="39" t="n">
        <f aca="false">IF(BR$4=0,0,IF(COUNTIFS(実績!$W$6:$W$505,BR$3,実績!$AI$6:$AI$505,"&lt;="&amp;$A237,実績!$AJ$6:$AJ$505,"&gt;"&amp;$A237,実績!$AL$6:$AL$505,"○")&gt;0,1,0))</f>
        <v>0</v>
      </c>
      <c r="BS237" s="39" t="n">
        <f aca="false">IF(BS$4=0,0,IF(COUNTIFS(実績!$W$6:$W$505,BS$3,実績!$AI$6:$AI$505,"&lt;="&amp;$A237,実績!$AJ$6:$AJ$505,"&gt;"&amp;$A237,実績!$AL$6:$AL$505,"○")&gt;0,1,0))</f>
        <v>0</v>
      </c>
      <c r="BT237" s="39" t="n">
        <f aca="false">IF(BT$4=0,0,IF(COUNTIFS(実績!$W$6:$W$505,BT$3,実績!$AI$6:$AI$505,"&lt;="&amp;$A237,実績!$AJ$6:$AJ$505,"&gt;"&amp;$A237,実績!$AL$6:$AL$505,"○")&gt;0,1,0))</f>
        <v>0</v>
      </c>
      <c r="BU237" s="39" t="n">
        <f aca="false">IF(BU$4=0,0,IF(COUNTIFS(実績!$W$6:$W$505,BU$3,実績!$AI$6:$AI$505,"&lt;="&amp;$A237,実績!$AJ$6:$AJ$505,"&gt;"&amp;$A237,実績!$AL$6:$AL$505,"○")&gt;0,1,0))</f>
        <v>0</v>
      </c>
      <c r="BV237" s="39" t="n">
        <f aca="false">IF(BV$4=0,0,IF(COUNTIFS(実績!$W$6:$W$505,BV$3,実績!$AI$6:$AI$505,"&lt;="&amp;$A237,実績!$AJ$6:$AJ$505,"&gt;"&amp;$A237,実績!$AL$6:$AL$505,"○")&gt;0,1,0))</f>
        <v>0</v>
      </c>
      <c r="BW237" s="39" t="n">
        <f aca="false">IF(BW$4=0,0,IF(COUNTIFS(実績!$W$6:$W$505,BW$3,実績!$AI$6:$AI$505,"&lt;="&amp;$A237,実績!$AJ$6:$AJ$505,"&gt;"&amp;$A237,実績!$AL$6:$AL$505,"○")&gt;0,1,0))</f>
        <v>0</v>
      </c>
      <c r="BX237" s="39" t="n">
        <f aca="false">IF(BX$4=0,0,IF(COUNTIFS(実績!$W$6:$W$505,BX$3,実績!$AI$6:$AI$505,"&lt;="&amp;$A237,実績!$AJ$6:$AJ$505,"&gt;"&amp;$A237,実績!$AL$6:$AL$505,"○")&gt;0,1,0))</f>
        <v>0</v>
      </c>
      <c r="BY237" s="39" t="n">
        <f aca="false">IF(BY$4=0,0,IF(COUNTIFS(実績!$W$6:$W$505,BY$3,実績!$AI$6:$AI$505,"&lt;="&amp;$A237,実績!$AJ$6:$AJ$505,"&gt;"&amp;$A237,実績!$AL$6:$AL$505,"○")&gt;0,1,0))</f>
        <v>0</v>
      </c>
      <c r="BZ237" s="39" t="n">
        <f aca="false">IF(BZ$4=0,0,IF(COUNTIFS(実績!$W$6:$W$505,BZ$3,実績!$AI$6:$AI$505,"&lt;="&amp;$A237,実績!$AJ$6:$AJ$505,"&gt;"&amp;$A237,実績!$AL$6:$AL$505,"○")&gt;0,1,0))</f>
        <v>0</v>
      </c>
      <c r="CA237" s="39" t="n">
        <f aca="false">IF(CA$4=0,0,IF(COUNTIFS(実績!$W$6:$W$505,CA$3,実績!$AI$6:$AI$505,"&lt;="&amp;$A237,実績!$AJ$6:$AJ$505,"&gt;"&amp;$A237,実績!$AL$6:$AL$505,"○")&gt;0,1,0))</f>
        <v>0</v>
      </c>
      <c r="CB237" s="39" t="n">
        <f aca="false">IF(CB$4=0,0,IF(COUNTIFS(実績!$W$6:$W$505,CB$3,実績!$AI$6:$AI$505,"&lt;="&amp;$A237,実績!$AJ$6:$AJ$505,"&gt;"&amp;$A237,実績!$AL$6:$AL$505,"○")&gt;0,1,0))</f>
        <v>0</v>
      </c>
      <c r="CC237" s="39" t="n">
        <f aca="false">IF(CC$4=0,0,IF(COUNTIFS(実績!$W$6:$W$505,CC$3,実績!$AI$6:$AI$505,"&lt;="&amp;$A237,実績!$AJ$6:$AJ$505,"&gt;"&amp;$A237,実績!$AL$6:$AL$505,"○")&gt;0,1,0))</f>
        <v>0</v>
      </c>
      <c r="CD237" s="39" t="n">
        <f aca="false">IF(CD$4=0,0,IF(COUNTIFS(実績!$W$6:$W$505,CD$3,実績!$AI$6:$AI$505,"&lt;="&amp;$A237,実績!$AJ$6:$AJ$505,"&gt;"&amp;$A237,実績!$AL$6:$AL$505,"○")&gt;0,1,0))</f>
        <v>0</v>
      </c>
      <c r="CE237" s="39" t="n">
        <f aca="false">IF(CE$4=0,0,IF(COUNTIFS(実績!$W$6:$W$505,CE$3,実績!$AI$6:$AI$505,"&lt;="&amp;$A237,実績!$AJ$6:$AJ$505,"&gt;"&amp;$A237,実績!$AL$6:$AL$505,"○")&gt;0,1,0))</f>
        <v>0</v>
      </c>
      <c r="CF237" s="39" t="n">
        <f aca="false">IF(CF$4=0,0,IF(COUNTIFS(実績!$W$6:$W$505,CF$3,実績!$AI$6:$AI$505,"&lt;="&amp;$A237,実績!$AJ$6:$AJ$505,"&gt;"&amp;$A237,実績!$AL$6:$AL$505,"○")&gt;0,1,0))</f>
        <v>0</v>
      </c>
      <c r="CG237" s="39" t="n">
        <f aca="false">IF(CG$4=0,0,IF(COUNTIFS(実績!$W$6:$W$505,CG$3,実績!$AI$6:$AI$505,"&lt;="&amp;$A237,実績!$AJ$6:$AJ$505,"&gt;"&amp;$A237,実績!$AL$6:$AL$505,"○")&gt;0,1,0))</f>
        <v>0</v>
      </c>
      <c r="CH237" s="39" t="n">
        <f aca="false">IF(CH$4=0,0,IF(COUNTIFS(実績!$W$6:$W$505,CH$3,実績!$AI$6:$AI$505,"&lt;="&amp;$A237,実績!$AJ$6:$AJ$505,"&gt;"&amp;$A237,実績!$AL$6:$AL$505,"○")&gt;0,1,0))</f>
        <v>0</v>
      </c>
      <c r="CI237" s="39" t="n">
        <f aca="false">IF(CI$4=0,0,IF(COUNTIFS(実績!$W$6:$W$505,CI$3,実績!$AI$6:$AI$505,"&lt;="&amp;$A237,実績!$AJ$6:$AJ$505,"&gt;"&amp;$A237,実績!$AL$6:$AL$505,"○")&gt;0,1,0))</f>
        <v>0</v>
      </c>
      <c r="CJ237" s="39" t="n">
        <f aca="false">IF(CJ$4=0,0,IF(COUNTIFS(実績!$W$6:$W$505,CJ$3,実績!$AI$6:$AI$505,"&lt;="&amp;$A237,実績!$AJ$6:$AJ$505,"&gt;"&amp;$A237,実績!$AL$6:$AL$505,"○")&gt;0,1,0))</f>
        <v>0</v>
      </c>
      <c r="CK237" s="39" t="n">
        <f aca="false">IF(CK$4=0,0,IF(COUNTIFS(実績!$W$6:$W$505,CK$3,実績!$AI$6:$AI$505,"&lt;="&amp;$A237,実績!$AJ$6:$AJ$505,"&gt;"&amp;$A237,実績!$AL$6:$AL$505,"○")&gt;0,1,0))</f>
        <v>0</v>
      </c>
      <c r="CL237" s="39" t="n">
        <f aca="false">IF(CL$4=0,0,IF(COUNTIFS(実績!$W$6:$W$505,CL$3,実績!$AI$6:$AI$505,"&lt;="&amp;$A237,実績!$AJ$6:$AJ$505,"&gt;"&amp;$A237,実績!$AL$6:$AL$505,"○")&gt;0,1,0))</f>
        <v>0</v>
      </c>
      <c r="CM237" s="39" t="n">
        <f aca="false">IF(CM$4=0,0,IF(COUNTIFS(実績!$W$6:$W$505,CM$3,実績!$AI$6:$AI$505,"&lt;="&amp;$A237,実績!$AJ$6:$AJ$505,"&gt;"&amp;$A237,実績!$AL$6:$AL$505,"○")&gt;0,1,0))</f>
        <v>0</v>
      </c>
      <c r="CN237" s="39" t="n">
        <f aca="false">IF(CN$4=0,0,IF(COUNTIFS(実績!$W$6:$W$505,CN$3,実績!$AI$6:$AI$505,"&lt;="&amp;$A237,実績!$AJ$6:$AJ$505,"&gt;"&amp;$A237,実績!$AL$6:$AL$505,"○")&gt;0,1,0))</f>
        <v>0</v>
      </c>
      <c r="CO237" s="39" t="n">
        <f aca="false">IF(CO$4=0,0,IF(COUNTIFS(実績!$W$6:$W$505,CO$3,実績!$AI$6:$AI$505,"&lt;="&amp;$A237,実績!$AJ$6:$AJ$505,"&gt;"&amp;$A237,実績!$AL$6:$AL$505,"○")&gt;0,1,0))</f>
        <v>0</v>
      </c>
      <c r="CP237" s="39" t="n">
        <f aca="false">IF(CP$4=0,0,IF(COUNTIFS(実績!$W$6:$W$505,CP$3,実績!$AI$6:$AI$505,"&lt;="&amp;$A237,実績!$AJ$6:$AJ$505,"&gt;"&amp;$A237,実績!$AL$6:$AL$505,"○")&gt;0,1,0))</f>
        <v>0</v>
      </c>
      <c r="CQ237" s="39" t="n">
        <f aca="false">IF(CQ$4=0,0,IF(COUNTIFS(実績!$W$6:$W$505,CQ$3,実績!$AI$6:$AI$505,"&lt;="&amp;$A237,実績!$AJ$6:$AJ$505,"&gt;"&amp;$A237,実績!$AL$6:$AL$505,"○")&gt;0,1,0))</f>
        <v>0</v>
      </c>
      <c r="CR237" s="39" t="n">
        <f aca="false">IF(CR$4=0,0,IF(COUNTIFS(実績!$W$6:$W$505,CR$3,実績!$AI$6:$AI$505,"&lt;="&amp;$A237,実績!$AJ$6:$AJ$505,"&gt;"&amp;$A237,実績!$AL$6:$AL$505,"○")&gt;0,1,0))</f>
        <v>0</v>
      </c>
      <c r="CS237" s="39" t="n">
        <f aca="false">IF(CS$4=0,0,IF(COUNTIFS(実績!$W$6:$W$505,CS$3,実績!$AI$6:$AI$505,"&lt;="&amp;$A237,実績!$AJ$6:$AJ$505,"&gt;"&amp;$A237,実績!$AL$6:$AL$505,"○")&gt;0,1,0))</f>
        <v>0</v>
      </c>
      <c r="CT237" s="39" t="n">
        <f aca="false">IF(CT$4=0,0,IF(COUNTIFS(実績!$W$6:$W$505,CT$3,実績!$AI$6:$AI$505,"&lt;="&amp;$A237,実績!$AJ$6:$AJ$505,"&gt;"&amp;$A237,実績!$AL$6:$AL$505,"○")&gt;0,1,0))</f>
        <v>0</v>
      </c>
      <c r="CU237" s="39" t="n">
        <f aca="false">IF(CU$4=0,0,IF(COUNTIFS(実績!$W$6:$W$505,CU$3,実績!$AI$6:$AI$505,"&lt;="&amp;$A237,実績!$AJ$6:$AJ$505,"&gt;"&amp;$A237,実績!$AL$6:$AL$505,"○")&gt;0,1,0))</f>
        <v>0</v>
      </c>
      <c r="CV237" s="39" t="n">
        <f aca="false">IF(CV$4=0,0,IF(COUNTIFS(実績!$W$6:$W$505,CV$3,実績!$AI$6:$AI$505,"&lt;="&amp;$A237,実績!$AJ$6:$AJ$505,"&gt;"&amp;$A237,実績!$AL$6:$AL$505,"○")&gt;0,1,0))</f>
        <v>0</v>
      </c>
      <c r="CW237" s="39" t="n">
        <f aca="false">IF(CW$4=0,0,IF(COUNTIFS(実績!$W$6:$W$505,CW$3,実績!$AI$6:$AI$505,"&lt;="&amp;$A237,実績!$AJ$6:$AJ$505,"&gt;"&amp;$A237,実績!$AL$6:$AL$505,"○")&gt;0,1,0))</f>
        <v>0</v>
      </c>
      <c r="CX237" s="39" t="n">
        <f aca="false">IF(CX$4=0,0,IF(COUNTIFS(実績!$W$6:$W$505,CX$3,実績!$AI$6:$AI$505,"&lt;="&amp;$A237,実績!$AJ$6:$AJ$505,"&gt;"&amp;$A237,実績!$AL$6:$AL$505,"○")&gt;0,1,0))</f>
        <v>0</v>
      </c>
      <c r="CY237" s="39" t="n">
        <f aca="false">IF(CY$4=0,0,IF(COUNTIFS(実績!$W$6:$W$505,CY$3,実績!$AI$6:$AI$505,"&lt;="&amp;$A237,実績!$AJ$6:$AJ$505,"&gt;"&amp;$A237,実績!$AL$6:$AL$505,"○")&gt;0,1,0))</f>
        <v>0</v>
      </c>
      <c r="CZ237" s="39" t="n">
        <f aca="false">IF(CZ$4=0,0,IF(COUNTIFS(実績!$W$6:$W$505,CZ$3,実績!$AI$6:$AI$505,"&lt;="&amp;$A237,実績!$AJ$6:$AJ$505,"&gt;"&amp;$A237,実績!$AL$6:$AL$505,"○")&gt;0,1,0))</f>
        <v>0</v>
      </c>
      <c r="DA237" s="39" t="n">
        <f aca="false">IF(DA$4=0,0,IF(COUNTIFS(実績!$W$6:$W$505,DA$3,実績!$AI$6:$AI$505,"&lt;="&amp;$A237,実績!$AJ$6:$AJ$505,"&gt;"&amp;$A237,実績!$AL$6:$AL$505,"○")&gt;0,1,0))</f>
        <v>0</v>
      </c>
      <c r="DB237" s="39" t="n">
        <f aca="false">IF(DB$4=0,0,IF(COUNTIFS(実績!$W$6:$W$505,DB$3,実績!$AI$6:$AI$505,"&lt;="&amp;$A237,実績!$AJ$6:$AJ$505,"&gt;"&amp;$A237,実績!$AL$6:$AL$505,"○")&gt;0,1,0))</f>
        <v>0</v>
      </c>
      <c r="DC237" s="39" t="n">
        <f aca="false">IF(DC$4=0,0,IF(COUNTIFS(実績!$W$6:$W$505,DC$3,実績!$AI$6:$AI$505,"&lt;="&amp;$A237,実績!$AJ$6:$AJ$505,"&gt;"&amp;$A237,実績!$AL$6:$AL$505,"○")&gt;0,1,0))</f>
        <v>0</v>
      </c>
      <c r="DD237" s="39" t="n">
        <f aca="false">IF(DD$4=0,0,IF(COUNTIFS(実績!$W$6:$W$505,DD$3,実績!$AI$6:$AI$505,"&lt;="&amp;$A237,実績!$AJ$6:$AJ$505,"&gt;"&amp;$A237,実績!$AL$6:$AL$505,"○")&gt;0,1,0))</f>
        <v>0</v>
      </c>
      <c r="DE237" s="39" t="n">
        <f aca="false">IF(DE$4=0,0,IF(COUNTIFS(実績!$W$6:$W$505,DE$3,実績!$AI$6:$AI$505,"&lt;="&amp;$A237,実績!$AJ$6:$AJ$505,"&gt;"&amp;$A237,実績!$AL$6:$AL$505,"○")&gt;0,1,0))</f>
        <v>0</v>
      </c>
      <c r="DF237" s="39" t="n">
        <f aca="false">IF(DF$4=0,0,IF(COUNTIFS(実績!$W$6:$W$505,DF$3,実績!$AI$6:$AI$505,"&lt;="&amp;$A237,実績!$AJ$6:$AJ$505,"&gt;"&amp;$A237,実績!$AL$6:$AL$505,"○")&gt;0,1,0))</f>
        <v>0</v>
      </c>
      <c r="DG237" s="39" t="n">
        <f aca="false">IF(DG$4=0,0,IF(COUNTIFS(実績!$W$6:$W$505,DG$3,実績!$AI$6:$AI$505,"&lt;="&amp;$A237,実績!$AJ$6:$AJ$505,"&gt;"&amp;$A237,実績!$AL$6:$AL$505,"○")&gt;0,1,0))</f>
        <v>0</v>
      </c>
      <c r="DH237" s="39" t="n">
        <f aca="false">IF(DH$4=0,0,IF(COUNTIFS(実績!$W$6:$W$505,DH$3,実績!$AI$6:$AI$505,"&lt;="&amp;$A237,実績!$AJ$6:$AJ$505,"&gt;"&amp;$A237,実績!$AL$6:$AL$505,"○")&gt;0,1,0))</f>
        <v>0</v>
      </c>
      <c r="DI237" s="39" t="n">
        <f aca="false">IF(DI$4=0,0,IF(COUNTIFS(実績!$W$6:$W$505,DI$3,実績!$AI$6:$AI$505,"&lt;="&amp;$A237,実績!$AJ$6:$AJ$505,"&gt;"&amp;$A237,実績!$AL$6:$AL$505,"○")&gt;0,1,0))</f>
        <v>0</v>
      </c>
      <c r="DJ237" s="39" t="n">
        <f aca="false">IF(DJ$4=0,0,IF(COUNTIFS(実績!$W$6:$W$505,DJ$3,実績!$AI$6:$AI$505,"&lt;="&amp;$A237,実績!$AJ$6:$AJ$505,"&gt;"&amp;$A237,実績!$AL$6:$AL$505,"○")&gt;0,1,0))</f>
        <v>0</v>
      </c>
      <c r="DK237" s="39" t="n">
        <f aca="false">IF(DK$4=0,0,IF(COUNTIFS(実績!$W$6:$W$505,DK$3,実績!$AI$6:$AI$505,"&lt;="&amp;$A237,実績!$AJ$6:$AJ$505,"&gt;"&amp;$A237,実績!$AL$6:$AL$505,"○")&gt;0,1,0))</f>
        <v>0</v>
      </c>
      <c r="DL237" s="39" t="n">
        <f aca="false">IF(DL$4=0,0,IF(COUNTIFS(実績!$W$6:$W$505,DL$3,実績!$AI$6:$AI$505,"&lt;="&amp;$A237,実績!$AJ$6:$AJ$505,"&gt;"&amp;$A237,実績!$AL$6:$AL$505,"○")&gt;0,1,0))</f>
        <v>0</v>
      </c>
      <c r="DM237" s="39" t="n">
        <f aca="false">IF(DM$4=0,0,IF(COUNTIFS(実績!$W$6:$W$505,DM$3,実績!$AI$6:$AI$505,"&lt;="&amp;$A237,実績!$AJ$6:$AJ$505,"&gt;"&amp;$A237,実績!$AL$6:$AL$505,"○")&gt;0,1,0))</f>
        <v>0</v>
      </c>
      <c r="DN237" s="39" t="n">
        <f aca="false">IF(DN$4=0,0,IF(COUNTIFS(実績!$W$6:$W$505,DN$3,実績!$AI$6:$AI$505,"&lt;="&amp;$A237,実績!$AJ$6:$AJ$505,"&gt;"&amp;$A237,実績!$AL$6:$AL$505,"○")&gt;0,1,0))</f>
        <v>0</v>
      </c>
      <c r="DO237" s="39" t="n">
        <f aca="false">IF(DO$4=0,0,IF(COUNTIFS(実績!$W$6:$W$505,DO$3,実績!$AI$6:$AI$505,"&lt;="&amp;$A237,実績!$AJ$6:$AJ$505,"&gt;"&amp;$A237,実績!$AL$6:$AL$505,"○")&gt;0,1,0))</f>
        <v>0</v>
      </c>
      <c r="DP237" s="39" t="n">
        <f aca="false">IF(DP$4=0,0,IF(COUNTIFS(実績!$W$6:$W$505,DP$3,実績!$AI$6:$AI$505,"&lt;="&amp;$A237,実績!$AJ$6:$AJ$505,"&gt;"&amp;$A237,実績!$AL$6:$AL$505,"○")&gt;0,1,0))</f>
        <v>0</v>
      </c>
      <c r="DQ237" s="39" t="n">
        <f aca="false">IF(DQ$4=0,0,IF(COUNTIFS(実績!$W$6:$W$505,DQ$3,実績!$AI$6:$AI$505,"&lt;="&amp;$A237,実績!$AJ$6:$AJ$505,"&gt;"&amp;$A237,実績!$AL$6:$AL$505,"○")&gt;0,1,0))</f>
        <v>0</v>
      </c>
      <c r="DR237" s="39" t="n">
        <f aca="false">IF(DR$4=0,0,IF(COUNTIFS(実績!$W$6:$W$505,DR$3,実績!$AI$6:$AI$505,"&lt;="&amp;$A237,実績!$AJ$6:$AJ$505,"&gt;"&amp;$A237,実績!$AL$6:$AL$505,"○")&gt;0,1,0))</f>
        <v>0</v>
      </c>
      <c r="DS237" s="39" t="n">
        <f aca="false">SUM(C237:DR237)</f>
        <v>0</v>
      </c>
    </row>
    <row r="238" customFormat="false" ht="15" hidden="false" customHeight="false" outlineLevel="0" collapsed="false">
      <c r="A238" s="0" t="n">
        <v>1160</v>
      </c>
      <c r="B238" s="38" t="n">
        <f aca="false">A238/1440</f>
        <v>0.805555555555556</v>
      </c>
      <c r="C238" s="39" t="n">
        <f aca="false">IF(C$4=0,0,IF(COUNTIFS(実績!$W$6:$W$505,C$3,実績!$AI$6:$AI$505,"&lt;="&amp;$A238,実績!$AJ$6:$AJ$505,"&gt;"&amp;$A238,実績!$AL$6:$AL$505,"○")&gt;0,1,0))</f>
        <v>0</v>
      </c>
      <c r="D238" s="39" t="n">
        <f aca="false">IF(D$4=0,0,IF(COUNTIFS(実績!$W$6:$W$505,D$3,実績!$AI$6:$AI$505,"&lt;="&amp;$A238,実績!$AJ$6:$AJ$505,"&gt;"&amp;$A238,実績!$AL$6:$AL$505,"○")&gt;0,1,0))</f>
        <v>0</v>
      </c>
      <c r="E238" s="39" t="n">
        <f aca="false">IF(E$4=0,0,IF(COUNTIFS(実績!$W$6:$W$505,E$3,実績!$AI$6:$AI$505,"&lt;="&amp;$A238,実績!$AJ$6:$AJ$505,"&gt;"&amp;$A238,実績!$AL$6:$AL$505,"○")&gt;0,1,0))</f>
        <v>0</v>
      </c>
      <c r="F238" s="39" t="n">
        <f aca="false">IF(F$4=0,0,IF(COUNTIFS(実績!$W$6:$W$505,F$3,実績!$AI$6:$AI$505,"&lt;="&amp;$A238,実績!$AJ$6:$AJ$505,"&gt;"&amp;$A238,実績!$AL$6:$AL$505,"○")&gt;0,1,0))</f>
        <v>0</v>
      </c>
      <c r="G238" s="39" t="n">
        <f aca="false">IF(G$4=0,0,IF(COUNTIFS(実績!$W$6:$W$505,G$3,実績!$AI$6:$AI$505,"&lt;="&amp;$A238,実績!$AJ$6:$AJ$505,"&gt;"&amp;$A238,実績!$AL$6:$AL$505,"○")&gt;0,1,0))</f>
        <v>0</v>
      </c>
      <c r="H238" s="39" t="n">
        <f aca="false">IF(H$4=0,0,IF(COUNTIFS(実績!$W$6:$W$505,H$3,実績!$AI$6:$AI$505,"&lt;="&amp;$A238,実績!$AJ$6:$AJ$505,"&gt;"&amp;$A238,実績!$AL$6:$AL$505,"○")&gt;0,1,0))</f>
        <v>0</v>
      </c>
      <c r="I238" s="39" t="n">
        <f aca="false">IF(I$4=0,0,IF(COUNTIFS(実績!$W$6:$W$505,I$3,実績!$AI$6:$AI$505,"&lt;="&amp;$A238,実績!$AJ$6:$AJ$505,"&gt;"&amp;$A238,実績!$AL$6:$AL$505,"○")&gt;0,1,0))</f>
        <v>0</v>
      </c>
      <c r="J238" s="39" t="n">
        <f aca="false">IF(J$4=0,0,IF(COUNTIFS(実績!$W$6:$W$505,J$3,実績!$AI$6:$AI$505,"&lt;="&amp;$A238,実績!$AJ$6:$AJ$505,"&gt;"&amp;$A238,実績!$AL$6:$AL$505,"○")&gt;0,1,0))</f>
        <v>0</v>
      </c>
      <c r="K238" s="39" t="n">
        <f aca="false">IF(K$4=0,0,IF(COUNTIFS(実績!$W$6:$W$505,K$3,実績!$AI$6:$AI$505,"&lt;="&amp;$A238,実績!$AJ$6:$AJ$505,"&gt;"&amp;$A238,実績!$AL$6:$AL$505,"○")&gt;0,1,0))</f>
        <v>0</v>
      </c>
      <c r="L238" s="39" t="n">
        <f aca="false">IF(L$4=0,0,IF(COUNTIFS(実績!$W$6:$W$505,L$3,実績!$AI$6:$AI$505,"&lt;="&amp;$A238,実績!$AJ$6:$AJ$505,"&gt;"&amp;$A238,実績!$AL$6:$AL$505,"○")&gt;0,1,0))</f>
        <v>0</v>
      </c>
      <c r="M238" s="39" t="n">
        <f aca="false">IF(M$4=0,0,IF(COUNTIFS(実績!$W$6:$W$505,M$3,実績!$AI$6:$AI$505,"&lt;="&amp;$A238,実績!$AJ$6:$AJ$505,"&gt;"&amp;$A238,実績!$AL$6:$AL$505,"○")&gt;0,1,0))</f>
        <v>0</v>
      </c>
      <c r="N238" s="39" t="n">
        <f aca="false">IF(N$4=0,0,IF(COUNTIFS(実績!$W$6:$W$505,N$3,実績!$AI$6:$AI$505,"&lt;="&amp;$A238,実績!$AJ$6:$AJ$505,"&gt;"&amp;$A238,実績!$AL$6:$AL$505,"○")&gt;0,1,0))</f>
        <v>0</v>
      </c>
      <c r="O238" s="39" t="n">
        <f aca="false">IF(O$4=0,0,IF(COUNTIFS(実績!$W$6:$W$505,O$3,実績!$AI$6:$AI$505,"&lt;="&amp;$A238,実績!$AJ$6:$AJ$505,"&gt;"&amp;$A238,実績!$AL$6:$AL$505,"○")&gt;0,1,0))</f>
        <v>0</v>
      </c>
      <c r="P238" s="39" t="n">
        <f aca="false">IF(P$4=0,0,IF(COUNTIFS(実績!$W$6:$W$505,P$3,実績!$AI$6:$AI$505,"&lt;="&amp;$A238,実績!$AJ$6:$AJ$505,"&gt;"&amp;$A238,実績!$AL$6:$AL$505,"○")&gt;0,1,0))</f>
        <v>0</v>
      </c>
      <c r="Q238" s="39" t="n">
        <f aca="false">IF(Q$4=0,0,IF(COUNTIFS(実績!$W$6:$W$505,Q$3,実績!$AI$6:$AI$505,"&lt;="&amp;$A238,実績!$AJ$6:$AJ$505,"&gt;"&amp;$A238,実績!$AL$6:$AL$505,"○")&gt;0,1,0))</f>
        <v>0</v>
      </c>
      <c r="R238" s="39" t="n">
        <f aca="false">IF(R$4=0,0,IF(COUNTIFS(実績!$W$6:$W$505,R$3,実績!$AI$6:$AI$505,"&lt;="&amp;$A238,実績!$AJ$6:$AJ$505,"&gt;"&amp;$A238,実績!$AL$6:$AL$505,"○")&gt;0,1,0))</f>
        <v>0</v>
      </c>
      <c r="S238" s="39" t="n">
        <f aca="false">IF(S$4=0,0,IF(COUNTIFS(実績!$W$6:$W$505,S$3,実績!$AI$6:$AI$505,"&lt;="&amp;$A238,実績!$AJ$6:$AJ$505,"&gt;"&amp;$A238,実績!$AL$6:$AL$505,"○")&gt;0,1,0))</f>
        <v>0</v>
      </c>
      <c r="T238" s="39" t="n">
        <f aca="false">IF(T$4=0,0,IF(COUNTIFS(実績!$W$6:$W$505,T$3,実績!$AI$6:$AI$505,"&lt;="&amp;$A238,実績!$AJ$6:$AJ$505,"&gt;"&amp;$A238,実績!$AL$6:$AL$505,"○")&gt;0,1,0))</f>
        <v>0</v>
      </c>
      <c r="U238" s="39" t="n">
        <f aca="false">IF(U$4=0,0,IF(COUNTIFS(実績!$W$6:$W$505,U$3,実績!$AI$6:$AI$505,"&lt;="&amp;$A238,実績!$AJ$6:$AJ$505,"&gt;"&amp;$A238,実績!$AL$6:$AL$505,"○")&gt;0,1,0))</f>
        <v>0</v>
      </c>
      <c r="V238" s="39" t="n">
        <f aca="false">IF(V$4=0,0,IF(COUNTIFS(実績!$W$6:$W$505,V$3,実績!$AI$6:$AI$505,"&lt;="&amp;$A238,実績!$AJ$6:$AJ$505,"&gt;"&amp;$A238,実績!$AL$6:$AL$505,"○")&gt;0,1,0))</f>
        <v>0</v>
      </c>
      <c r="W238" s="39" t="n">
        <f aca="false">IF(W$4=0,0,IF(COUNTIFS(実績!$W$6:$W$505,W$3,実績!$AI$6:$AI$505,"&lt;="&amp;$A238,実績!$AJ$6:$AJ$505,"&gt;"&amp;$A238,実績!$AL$6:$AL$505,"○")&gt;0,1,0))</f>
        <v>0</v>
      </c>
      <c r="X238" s="39" t="n">
        <f aca="false">IF(X$4=0,0,IF(COUNTIFS(実績!$W$6:$W$505,X$3,実績!$AI$6:$AI$505,"&lt;="&amp;$A238,実績!$AJ$6:$AJ$505,"&gt;"&amp;$A238,実績!$AL$6:$AL$505,"○")&gt;0,1,0))</f>
        <v>0</v>
      </c>
      <c r="Y238" s="39" t="n">
        <f aca="false">IF(Y$4=0,0,IF(COUNTIFS(実績!$W$6:$W$505,Y$3,実績!$AI$6:$AI$505,"&lt;="&amp;$A238,実績!$AJ$6:$AJ$505,"&gt;"&amp;$A238,実績!$AL$6:$AL$505,"○")&gt;0,1,0))</f>
        <v>0</v>
      </c>
      <c r="Z238" s="39" t="n">
        <f aca="false">IF(Z$4=0,0,IF(COUNTIFS(実績!$W$6:$W$505,Z$3,実績!$AI$6:$AI$505,"&lt;="&amp;$A238,実績!$AJ$6:$AJ$505,"&gt;"&amp;$A238,実績!$AL$6:$AL$505,"○")&gt;0,1,0))</f>
        <v>0</v>
      </c>
      <c r="AA238" s="39" t="n">
        <f aca="false">IF(AA$4=0,0,IF(COUNTIFS(実績!$W$6:$W$505,AA$3,実績!$AI$6:$AI$505,"&lt;="&amp;$A238,実績!$AJ$6:$AJ$505,"&gt;"&amp;$A238,実績!$AL$6:$AL$505,"○")&gt;0,1,0))</f>
        <v>0</v>
      </c>
      <c r="AB238" s="39" t="n">
        <f aca="false">IF(AB$4=0,0,IF(COUNTIFS(実績!$W$6:$W$505,AB$3,実績!$AI$6:$AI$505,"&lt;="&amp;$A238,実績!$AJ$6:$AJ$505,"&gt;"&amp;$A238,実績!$AL$6:$AL$505,"○")&gt;0,1,0))</f>
        <v>0</v>
      </c>
      <c r="AC238" s="39" t="n">
        <f aca="false">IF(AC$4=0,0,IF(COUNTIFS(実績!$W$6:$W$505,AC$3,実績!$AI$6:$AI$505,"&lt;="&amp;$A238,実績!$AJ$6:$AJ$505,"&gt;"&amp;$A238,実績!$AL$6:$AL$505,"○")&gt;0,1,0))</f>
        <v>0</v>
      </c>
      <c r="AD238" s="39" t="n">
        <f aca="false">IF(AD$4=0,0,IF(COUNTIFS(実績!$W$6:$W$505,AD$3,実績!$AI$6:$AI$505,"&lt;="&amp;$A238,実績!$AJ$6:$AJ$505,"&gt;"&amp;$A238,実績!$AL$6:$AL$505,"○")&gt;0,1,0))</f>
        <v>0</v>
      </c>
      <c r="AE238" s="39" t="n">
        <f aca="false">IF(AE$4=0,0,IF(COUNTIFS(実績!$W$6:$W$505,AE$3,実績!$AI$6:$AI$505,"&lt;="&amp;$A238,実績!$AJ$6:$AJ$505,"&gt;"&amp;$A238,実績!$AL$6:$AL$505,"○")&gt;0,1,0))</f>
        <v>0</v>
      </c>
      <c r="AF238" s="39" t="n">
        <f aca="false">IF(AF$4=0,0,IF(COUNTIFS(実績!$W$6:$W$505,AF$3,実績!$AI$6:$AI$505,"&lt;="&amp;$A238,実績!$AJ$6:$AJ$505,"&gt;"&amp;$A238,実績!$AL$6:$AL$505,"○")&gt;0,1,0))</f>
        <v>0</v>
      </c>
      <c r="AG238" s="39" t="n">
        <f aca="false">IF(AG$4=0,0,IF(COUNTIFS(実績!$W$6:$W$505,AG$3,実績!$AI$6:$AI$505,"&lt;="&amp;$A238,実績!$AJ$6:$AJ$505,"&gt;"&amp;$A238,実績!$AL$6:$AL$505,"○")&gt;0,1,0))</f>
        <v>0</v>
      </c>
      <c r="AH238" s="39" t="n">
        <f aca="false">IF(AH$4=0,0,IF(COUNTIFS(実績!$W$6:$W$505,AH$3,実績!$AI$6:$AI$505,"&lt;="&amp;$A238,実績!$AJ$6:$AJ$505,"&gt;"&amp;$A238,実績!$AL$6:$AL$505,"○")&gt;0,1,0))</f>
        <v>0</v>
      </c>
      <c r="AI238" s="39" t="n">
        <f aca="false">IF(AI$4=0,0,IF(COUNTIFS(実績!$W$6:$W$505,AI$3,実績!$AI$6:$AI$505,"&lt;="&amp;$A238,実績!$AJ$6:$AJ$505,"&gt;"&amp;$A238,実績!$AL$6:$AL$505,"○")&gt;0,1,0))</f>
        <v>0</v>
      </c>
      <c r="AJ238" s="39" t="n">
        <f aca="false">IF(AJ$4=0,0,IF(COUNTIFS(実績!$W$6:$W$505,AJ$3,実績!$AI$6:$AI$505,"&lt;="&amp;$A238,実績!$AJ$6:$AJ$505,"&gt;"&amp;$A238,実績!$AL$6:$AL$505,"○")&gt;0,1,0))</f>
        <v>0</v>
      </c>
      <c r="AK238" s="39" t="n">
        <f aca="false">IF(AK$4=0,0,IF(COUNTIFS(実績!$W$6:$W$505,AK$3,実績!$AI$6:$AI$505,"&lt;="&amp;$A238,実績!$AJ$6:$AJ$505,"&gt;"&amp;$A238,実績!$AL$6:$AL$505,"○")&gt;0,1,0))</f>
        <v>0</v>
      </c>
      <c r="AL238" s="39" t="n">
        <f aca="false">IF(AL$4=0,0,IF(COUNTIFS(実績!$W$6:$W$505,AL$3,実績!$AI$6:$AI$505,"&lt;="&amp;$A238,実績!$AJ$6:$AJ$505,"&gt;"&amp;$A238,実績!$AL$6:$AL$505,"○")&gt;0,1,0))</f>
        <v>0</v>
      </c>
      <c r="AM238" s="39" t="n">
        <f aca="false">IF(AM$4=0,0,IF(COUNTIFS(実績!$W$6:$W$505,AM$3,実績!$AI$6:$AI$505,"&lt;="&amp;$A238,実績!$AJ$6:$AJ$505,"&gt;"&amp;$A238,実績!$AL$6:$AL$505,"○")&gt;0,1,0))</f>
        <v>0</v>
      </c>
      <c r="AN238" s="39" t="n">
        <f aca="false">IF(AN$4=0,0,IF(COUNTIFS(実績!$W$6:$W$505,AN$3,実績!$AI$6:$AI$505,"&lt;="&amp;$A238,実績!$AJ$6:$AJ$505,"&gt;"&amp;$A238,実績!$AL$6:$AL$505,"○")&gt;0,1,0))</f>
        <v>0</v>
      </c>
      <c r="AO238" s="39" t="n">
        <f aca="false">IF(AO$4=0,0,IF(COUNTIFS(実績!$W$6:$W$505,AO$3,実績!$AI$6:$AI$505,"&lt;="&amp;$A238,実績!$AJ$6:$AJ$505,"&gt;"&amp;$A238,実績!$AL$6:$AL$505,"○")&gt;0,1,0))</f>
        <v>0</v>
      </c>
      <c r="AP238" s="39" t="n">
        <f aca="false">IF(AP$4=0,0,IF(COUNTIFS(実績!$W$6:$W$505,AP$3,実績!$AI$6:$AI$505,"&lt;="&amp;$A238,実績!$AJ$6:$AJ$505,"&gt;"&amp;$A238,実績!$AL$6:$AL$505,"○")&gt;0,1,0))</f>
        <v>0</v>
      </c>
      <c r="AQ238" s="39" t="n">
        <f aca="false">IF(AQ$4=0,0,IF(COUNTIFS(実績!$W$6:$W$505,AQ$3,実績!$AI$6:$AI$505,"&lt;="&amp;$A238,実績!$AJ$6:$AJ$505,"&gt;"&amp;$A238,実績!$AL$6:$AL$505,"○")&gt;0,1,0))</f>
        <v>0</v>
      </c>
      <c r="AR238" s="39" t="n">
        <f aca="false">IF(AR$4=0,0,IF(COUNTIFS(実績!$W$6:$W$505,AR$3,実績!$AI$6:$AI$505,"&lt;="&amp;$A238,実績!$AJ$6:$AJ$505,"&gt;"&amp;$A238,実績!$AL$6:$AL$505,"○")&gt;0,1,0))</f>
        <v>0</v>
      </c>
      <c r="AS238" s="39" t="n">
        <f aca="false">IF(AS$4=0,0,IF(COUNTIFS(実績!$W$6:$W$505,AS$3,実績!$AI$6:$AI$505,"&lt;="&amp;$A238,実績!$AJ$6:$AJ$505,"&gt;"&amp;$A238,実績!$AL$6:$AL$505,"○")&gt;0,1,0))</f>
        <v>0</v>
      </c>
      <c r="AT238" s="39" t="n">
        <f aca="false">IF(AT$4=0,0,IF(COUNTIFS(実績!$W$6:$W$505,AT$3,実績!$AI$6:$AI$505,"&lt;="&amp;$A238,実績!$AJ$6:$AJ$505,"&gt;"&amp;$A238,実績!$AL$6:$AL$505,"○")&gt;0,1,0))</f>
        <v>0</v>
      </c>
      <c r="AU238" s="39" t="n">
        <f aca="false">IF(AU$4=0,0,IF(COUNTIFS(実績!$W$6:$W$505,AU$3,実績!$AI$6:$AI$505,"&lt;="&amp;$A238,実績!$AJ$6:$AJ$505,"&gt;"&amp;$A238,実績!$AL$6:$AL$505,"○")&gt;0,1,0))</f>
        <v>0</v>
      </c>
      <c r="AV238" s="39" t="n">
        <f aca="false">IF(AV$4=0,0,IF(COUNTIFS(実績!$W$6:$W$505,AV$3,実績!$AI$6:$AI$505,"&lt;="&amp;$A238,実績!$AJ$6:$AJ$505,"&gt;"&amp;$A238,実績!$AL$6:$AL$505,"○")&gt;0,1,0))</f>
        <v>0</v>
      </c>
      <c r="AW238" s="39" t="n">
        <f aca="false">IF(AW$4=0,0,IF(COUNTIFS(実績!$W$6:$W$505,AW$3,実績!$AI$6:$AI$505,"&lt;="&amp;$A238,実績!$AJ$6:$AJ$505,"&gt;"&amp;$A238,実績!$AL$6:$AL$505,"○")&gt;0,1,0))</f>
        <v>0</v>
      </c>
      <c r="AX238" s="39" t="n">
        <f aca="false">IF(AX$4=0,0,IF(COUNTIFS(実績!$W$6:$W$505,AX$3,実績!$AI$6:$AI$505,"&lt;="&amp;$A238,実績!$AJ$6:$AJ$505,"&gt;"&amp;$A238,実績!$AL$6:$AL$505,"○")&gt;0,1,0))</f>
        <v>0</v>
      </c>
      <c r="AY238" s="39" t="n">
        <f aca="false">IF(AY$4=0,0,IF(COUNTIFS(実績!$W$6:$W$505,AY$3,実績!$AI$6:$AI$505,"&lt;="&amp;$A238,実績!$AJ$6:$AJ$505,"&gt;"&amp;$A238,実績!$AL$6:$AL$505,"○")&gt;0,1,0))</f>
        <v>0</v>
      </c>
      <c r="AZ238" s="39" t="n">
        <f aca="false">IF(AZ$4=0,0,IF(COUNTIFS(実績!$W$6:$W$505,AZ$3,実績!$AI$6:$AI$505,"&lt;="&amp;$A238,実績!$AJ$6:$AJ$505,"&gt;"&amp;$A238,実績!$AL$6:$AL$505,"○")&gt;0,1,0))</f>
        <v>0</v>
      </c>
      <c r="BA238" s="39" t="n">
        <f aca="false">IF(BA$4=0,0,IF(COUNTIFS(実績!$W$6:$W$505,BA$3,実績!$AI$6:$AI$505,"&lt;="&amp;$A238,実績!$AJ$6:$AJ$505,"&gt;"&amp;$A238,実績!$AL$6:$AL$505,"○")&gt;0,1,0))</f>
        <v>0</v>
      </c>
      <c r="BB238" s="39" t="n">
        <f aca="false">IF(BB$4=0,0,IF(COUNTIFS(実績!$W$6:$W$505,BB$3,実績!$AI$6:$AI$505,"&lt;="&amp;$A238,実績!$AJ$6:$AJ$505,"&gt;"&amp;$A238,実績!$AL$6:$AL$505,"○")&gt;0,1,0))</f>
        <v>0</v>
      </c>
      <c r="BC238" s="39" t="n">
        <f aca="false">IF(BC$4=0,0,IF(COUNTIFS(実績!$W$6:$W$505,BC$3,実績!$AI$6:$AI$505,"&lt;="&amp;$A238,実績!$AJ$6:$AJ$505,"&gt;"&amp;$A238,実績!$AL$6:$AL$505,"○")&gt;0,1,0))</f>
        <v>0</v>
      </c>
      <c r="BD238" s="39" t="n">
        <f aca="false">IF(BD$4=0,0,IF(COUNTIFS(実績!$W$6:$W$505,BD$3,実績!$AI$6:$AI$505,"&lt;="&amp;$A238,実績!$AJ$6:$AJ$505,"&gt;"&amp;$A238,実績!$AL$6:$AL$505,"○")&gt;0,1,0))</f>
        <v>0</v>
      </c>
      <c r="BE238" s="39" t="n">
        <f aca="false">IF(BE$4=0,0,IF(COUNTIFS(実績!$W$6:$W$505,BE$3,実績!$AI$6:$AI$505,"&lt;="&amp;$A238,実績!$AJ$6:$AJ$505,"&gt;"&amp;$A238,実績!$AL$6:$AL$505,"○")&gt;0,1,0))</f>
        <v>0</v>
      </c>
      <c r="BF238" s="39" t="n">
        <f aca="false">IF(BF$4=0,0,IF(COUNTIFS(実績!$W$6:$W$505,BF$3,実績!$AI$6:$AI$505,"&lt;="&amp;$A238,実績!$AJ$6:$AJ$505,"&gt;"&amp;$A238,実績!$AL$6:$AL$505,"○")&gt;0,1,0))</f>
        <v>0</v>
      </c>
      <c r="BG238" s="39" t="n">
        <f aca="false">IF(BG$4=0,0,IF(COUNTIFS(実績!$W$6:$W$505,BG$3,実績!$AI$6:$AI$505,"&lt;="&amp;$A238,実績!$AJ$6:$AJ$505,"&gt;"&amp;$A238,実績!$AL$6:$AL$505,"○")&gt;0,1,0))</f>
        <v>0</v>
      </c>
      <c r="BH238" s="39" t="n">
        <f aca="false">IF(BH$4=0,0,IF(COUNTIFS(実績!$W$6:$W$505,BH$3,実績!$AI$6:$AI$505,"&lt;="&amp;$A238,実績!$AJ$6:$AJ$505,"&gt;"&amp;$A238,実績!$AL$6:$AL$505,"○")&gt;0,1,0))</f>
        <v>0</v>
      </c>
      <c r="BI238" s="39" t="n">
        <f aca="false">IF(BI$4=0,0,IF(COUNTIFS(実績!$W$6:$W$505,BI$3,実績!$AI$6:$AI$505,"&lt;="&amp;$A238,実績!$AJ$6:$AJ$505,"&gt;"&amp;$A238,実績!$AL$6:$AL$505,"○")&gt;0,1,0))</f>
        <v>0</v>
      </c>
      <c r="BJ238" s="39" t="n">
        <f aca="false">IF(BJ$4=0,0,IF(COUNTIFS(実績!$W$6:$W$505,BJ$3,実績!$AI$6:$AI$505,"&lt;="&amp;$A238,実績!$AJ$6:$AJ$505,"&gt;"&amp;$A238,実績!$AL$6:$AL$505,"○")&gt;0,1,0))</f>
        <v>0</v>
      </c>
      <c r="BK238" s="39" t="n">
        <f aca="false">IF(BK$4=0,0,IF(COUNTIFS(実績!$W$6:$W$505,BK$3,実績!$AI$6:$AI$505,"&lt;="&amp;$A238,実績!$AJ$6:$AJ$505,"&gt;"&amp;$A238,実績!$AL$6:$AL$505,"○")&gt;0,1,0))</f>
        <v>0</v>
      </c>
      <c r="BL238" s="39" t="n">
        <f aca="false">IF(BL$4=0,0,IF(COUNTIFS(実績!$W$6:$W$505,BL$3,実績!$AI$6:$AI$505,"&lt;="&amp;$A238,実績!$AJ$6:$AJ$505,"&gt;"&amp;$A238,実績!$AL$6:$AL$505,"○")&gt;0,1,0))</f>
        <v>0</v>
      </c>
      <c r="BM238" s="39" t="n">
        <f aca="false">IF(BM$4=0,0,IF(COUNTIFS(実績!$W$6:$W$505,BM$3,実績!$AI$6:$AI$505,"&lt;="&amp;$A238,実績!$AJ$6:$AJ$505,"&gt;"&amp;$A238,実績!$AL$6:$AL$505,"○")&gt;0,1,0))</f>
        <v>0</v>
      </c>
      <c r="BN238" s="39" t="n">
        <f aca="false">IF(BN$4=0,0,IF(COUNTIFS(実績!$W$6:$W$505,BN$3,実績!$AI$6:$AI$505,"&lt;="&amp;$A238,実績!$AJ$6:$AJ$505,"&gt;"&amp;$A238,実績!$AL$6:$AL$505,"○")&gt;0,1,0))</f>
        <v>0</v>
      </c>
      <c r="BO238" s="39" t="n">
        <f aca="false">IF(BO$4=0,0,IF(COUNTIFS(実績!$W$6:$W$505,BO$3,実績!$AI$6:$AI$505,"&lt;="&amp;$A238,実績!$AJ$6:$AJ$505,"&gt;"&amp;$A238,実績!$AL$6:$AL$505,"○")&gt;0,1,0))</f>
        <v>0</v>
      </c>
      <c r="BP238" s="39" t="n">
        <f aca="false">IF(BP$4=0,0,IF(COUNTIFS(実績!$W$6:$W$505,BP$3,実績!$AI$6:$AI$505,"&lt;="&amp;$A238,実績!$AJ$6:$AJ$505,"&gt;"&amp;$A238,実績!$AL$6:$AL$505,"○")&gt;0,1,0))</f>
        <v>0</v>
      </c>
      <c r="BQ238" s="39" t="n">
        <f aca="false">IF(BQ$4=0,0,IF(COUNTIFS(実績!$W$6:$W$505,BQ$3,実績!$AI$6:$AI$505,"&lt;="&amp;$A238,実績!$AJ$6:$AJ$505,"&gt;"&amp;$A238,実績!$AL$6:$AL$505,"○")&gt;0,1,0))</f>
        <v>0</v>
      </c>
      <c r="BR238" s="39" t="n">
        <f aca="false">IF(BR$4=0,0,IF(COUNTIFS(実績!$W$6:$W$505,BR$3,実績!$AI$6:$AI$505,"&lt;="&amp;$A238,実績!$AJ$6:$AJ$505,"&gt;"&amp;$A238,実績!$AL$6:$AL$505,"○")&gt;0,1,0))</f>
        <v>0</v>
      </c>
      <c r="BS238" s="39" t="n">
        <f aca="false">IF(BS$4=0,0,IF(COUNTIFS(実績!$W$6:$W$505,BS$3,実績!$AI$6:$AI$505,"&lt;="&amp;$A238,実績!$AJ$6:$AJ$505,"&gt;"&amp;$A238,実績!$AL$6:$AL$505,"○")&gt;0,1,0))</f>
        <v>0</v>
      </c>
      <c r="BT238" s="39" t="n">
        <f aca="false">IF(BT$4=0,0,IF(COUNTIFS(実績!$W$6:$W$505,BT$3,実績!$AI$6:$AI$505,"&lt;="&amp;$A238,実績!$AJ$6:$AJ$505,"&gt;"&amp;$A238,実績!$AL$6:$AL$505,"○")&gt;0,1,0))</f>
        <v>0</v>
      </c>
      <c r="BU238" s="39" t="n">
        <f aca="false">IF(BU$4=0,0,IF(COUNTIFS(実績!$W$6:$W$505,BU$3,実績!$AI$6:$AI$505,"&lt;="&amp;$A238,実績!$AJ$6:$AJ$505,"&gt;"&amp;$A238,実績!$AL$6:$AL$505,"○")&gt;0,1,0))</f>
        <v>0</v>
      </c>
      <c r="BV238" s="39" t="n">
        <f aca="false">IF(BV$4=0,0,IF(COUNTIFS(実績!$W$6:$W$505,BV$3,実績!$AI$6:$AI$505,"&lt;="&amp;$A238,実績!$AJ$6:$AJ$505,"&gt;"&amp;$A238,実績!$AL$6:$AL$505,"○")&gt;0,1,0))</f>
        <v>0</v>
      </c>
      <c r="BW238" s="39" t="n">
        <f aca="false">IF(BW$4=0,0,IF(COUNTIFS(実績!$W$6:$W$505,BW$3,実績!$AI$6:$AI$505,"&lt;="&amp;$A238,実績!$AJ$6:$AJ$505,"&gt;"&amp;$A238,実績!$AL$6:$AL$505,"○")&gt;0,1,0))</f>
        <v>0</v>
      </c>
      <c r="BX238" s="39" t="n">
        <f aca="false">IF(BX$4=0,0,IF(COUNTIFS(実績!$W$6:$W$505,BX$3,実績!$AI$6:$AI$505,"&lt;="&amp;$A238,実績!$AJ$6:$AJ$505,"&gt;"&amp;$A238,実績!$AL$6:$AL$505,"○")&gt;0,1,0))</f>
        <v>0</v>
      </c>
      <c r="BY238" s="39" t="n">
        <f aca="false">IF(BY$4=0,0,IF(COUNTIFS(実績!$W$6:$W$505,BY$3,実績!$AI$6:$AI$505,"&lt;="&amp;$A238,実績!$AJ$6:$AJ$505,"&gt;"&amp;$A238,実績!$AL$6:$AL$505,"○")&gt;0,1,0))</f>
        <v>0</v>
      </c>
      <c r="BZ238" s="39" t="n">
        <f aca="false">IF(BZ$4=0,0,IF(COUNTIFS(実績!$W$6:$W$505,BZ$3,実績!$AI$6:$AI$505,"&lt;="&amp;$A238,実績!$AJ$6:$AJ$505,"&gt;"&amp;$A238,実績!$AL$6:$AL$505,"○")&gt;0,1,0))</f>
        <v>0</v>
      </c>
      <c r="CA238" s="39" t="n">
        <f aca="false">IF(CA$4=0,0,IF(COUNTIFS(実績!$W$6:$W$505,CA$3,実績!$AI$6:$AI$505,"&lt;="&amp;$A238,実績!$AJ$6:$AJ$505,"&gt;"&amp;$A238,実績!$AL$6:$AL$505,"○")&gt;0,1,0))</f>
        <v>0</v>
      </c>
      <c r="CB238" s="39" t="n">
        <f aca="false">IF(CB$4=0,0,IF(COUNTIFS(実績!$W$6:$W$505,CB$3,実績!$AI$6:$AI$505,"&lt;="&amp;$A238,実績!$AJ$6:$AJ$505,"&gt;"&amp;$A238,実績!$AL$6:$AL$505,"○")&gt;0,1,0))</f>
        <v>0</v>
      </c>
      <c r="CC238" s="39" t="n">
        <f aca="false">IF(CC$4=0,0,IF(COUNTIFS(実績!$W$6:$W$505,CC$3,実績!$AI$6:$AI$505,"&lt;="&amp;$A238,実績!$AJ$6:$AJ$505,"&gt;"&amp;$A238,実績!$AL$6:$AL$505,"○")&gt;0,1,0))</f>
        <v>0</v>
      </c>
      <c r="CD238" s="39" t="n">
        <f aca="false">IF(CD$4=0,0,IF(COUNTIFS(実績!$W$6:$W$505,CD$3,実績!$AI$6:$AI$505,"&lt;="&amp;$A238,実績!$AJ$6:$AJ$505,"&gt;"&amp;$A238,実績!$AL$6:$AL$505,"○")&gt;0,1,0))</f>
        <v>0</v>
      </c>
      <c r="CE238" s="39" t="n">
        <f aca="false">IF(CE$4=0,0,IF(COUNTIFS(実績!$W$6:$W$505,CE$3,実績!$AI$6:$AI$505,"&lt;="&amp;$A238,実績!$AJ$6:$AJ$505,"&gt;"&amp;$A238,実績!$AL$6:$AL$505,"○")&gt;0,1,0))</f>
        <v>0</v>
      </c>
      <c r="CF238" s="39" t="n">
        <f aca="false">IF(CF$4=0,0,IF(COUNTIFS(実績!$W$6:$W$505,CF$3,実績!$AI$6:$AI$505,"&lt;="&amp;$A238,実績!$AJ$6:$AJ$505,"&gt;"&amp;$A238,実績!$AL$6:$AL$505,"○")&gt;0,1,0))</f>
        <v>0</v>
      </c>
      <c r="CG238" s="39" t="n">
        <f aca="false">IF(CG$4=0,0,IF(COUNTIFS(実績!$W$6:$W$505,CG$3,実績!$AI$6:$AI$505,"&lt;="&amp;$A238,実績!$AJ$6:$AJ$505,"&gt;"&amp;$A238,実績!$AL$6:$AL$505,"○")&gt;0,1,0))</f>
        <v>0</v>
      </c>
      <c r="CH238" s="39" t="n">
        <f aca="false">IF(CH$4=0,0,IF(COUNTIFS(実績!$W$6:$W$505,CH$3,実績!$AI$6:$AI$505,"&lt;="&amp;$A238,実績!$AJ$6:$AJ$505,"&gt;"&amp;$A238,実績!$AL$6:$AL$505,"○")&gt;0,1,0))</f>
        <v>0</v>
      </c>
      <c r="CI238" s="39" t="n">
        <f aca="false">IF(CI$4=0,0,IF(COUNTIFS(実績!$W$6:$W$505,CI$3,実績!$AI$6:$AI$505,"&lt;="&amp;$A238,実績!$AJ$6:$AJ$505,"&gt;"&amp;$A238,実績!$AL$6:$AL$505,"○")&gt;0,1,0))</f>
        <v>0</v>
      </c>
      <c r="CJ238" s="39" t="n">
        <f aca="false">IF(CJ$4=0,0,IF(COUNTIFS(実績!$W$6:$W$505,CJ$3,実績!$AI$6:$AI$505,"&lt;="&amp;$A238,実績!$AJ$6:$AJ$505,"&gt;"&amp;$A238,実績!$AL$6:$AL$505,"○")&gt;0,1,0))</f>
        <v>0</v>
      </c>
      <c r="CK238" s="39" t="n">
        <f aca="false">IF(CK$4=0,0,IF(COUNTIFS(実績!$W$6:$W$505,CK$3,実績!$AI$6:$AI$505,"&lt;="&amp;$A238,実績!$AJ$6:$AJ$505,"&gt;"&amp;$A238,実績!$AL$6:$AL$505,"○")&gt;0,1,0))</f>
        <v>0</v>
      </c>
      <c r="CL238" s="39" t="n">
        <f aca="false">IF(CL$4=0,0,IF(COUNTIFS(実績!$W$6:$W$505,CL$3,実績!$AI$6:$AI$505,"&lt;="&amp;$A238,実績!$AJ$6:$AJ$505,"&gt;"&amp;$A238,実績!$AL$6:$AL$505,"○")&gt;0,1,0))</f>
        <v>0</v>
      </c>
      <c r="CM238" s="39" t="n">
        <f aca="false">IF(CM$4=0,0,IF(COUNTIFS(実績!$W$6:$W$505,CM$3,実績!$AI$6:$AI$505,"&lt;="&amp;$A238,実績!$AJ$6:$AJ$505,"&gt;"&amp;$A238,実績!$AL$6:$AL$505,"○")&gt;0,1,0))</f>
        <v>0</v>
      </c>
      <c r="CN238" s="39" t="n">
        <f aca="false">IF(CN$4=0,0,IF(COUNTIFS(実績!$W$6:$W$505,CN$3,実績!$AI$6:$AI$505,"&lt;="&amp;$A238,実績!$AJ$6:$AJ$505,"&gt;"&amp;$A238,実績!$AL$6:$AL$505,"○")&gt;0,1,0))</f>
        <v>0</v>
      </c>
      <c r="CO238" s="39" t="n">
        <f aca="false">IF(CO$4=0,0,IF(COUNTIFS(実績!$W$6:$W$505,CO$3,実績!$AI$6:$AI$505,"&lt;="&amp;$A238,実績!$AJ$6:$AJ$505,"&gt;"&amp;$A238,実績!$AL$6:$AL$505,"○")&gt;0,1,0))</f>
        <v>0</v>
      </c>
      <c r="CP238" s="39" t="n">
        <f aca="false">IF(CP$4=0,0,IF(COUNTIFS(実績!$W$6:$W$505,CP$3,実績!$AI$6:$AI$505,"&lt;="&amp;$A238,実績!$AJ$6:$AJ$505,"&gt;"&amp;$A238,実績!$AL$6:$AL$505,"○")&gt;0,1,0))</f>
        <v>0</v>
      </c>
      <c r="CQ238" s="39" t="n">
        <f aca="false">IF(CQ$4=0,0,IF(COUNTIFS(実績!$W$6:$W$505,CQ$3,実績!$AI$6:$AI$505,"&lt;="&amp;$A238,実績!$AJ$6:$AJ$505,"&gt;"&amp;$A238,実績!$AL$6:$AL$505,"○")&gt;0,1,0))</f>
        <v>0</v>
      </c>
      <c r="CR238" s="39" t="n">
        <f aca="false">IF(CR$4=0,0,IF(COUNTIFS(実績!$W$6:$W$505,CR$3,実績!$AI$6:$AI$505,"&lt;="&amp;$A238,実績!$AJ$6:$AJ$505,"&gt;"&amp;$A238,実績!$AL$6:$AL$505,"○")&gt;0,1,0))</f>
        <v>0</v>
      </c>
      <c r="CS238" s="39" t="n">
        <f aca="false">IF(CS$4=0,0,IF(COUNTIFS(実績!$W$6:$W$505,CS$3,実績!$AI$6:$AI$505,"&lt;="&amp;$A238,実績!$AJ$6:$AJ$505,"&gt;"&amp;$A238,実績!$AL$6:$AL$505,"○")&gt;0,1,0))</f>
        <v>0</v>
      </c>
      <c r="CT238" s="39" t="n">
        <f aca="false">IF(CT$4=0,0,IF(COUNTIFS(実績!$W$6:$W$505,CT$3,実績!$AI$6:$AI$505,"&lt;="&amp;$A238,実績!$AJ$6:$AJ$505,"&gt;"&amp;$A238,実績!$AL$6:$AL$505,"○")&gt;0,1,0))</f>
        <v>0</v>
      </c>
      <c r="CU238" s="39" t="n">
        <f aca="false">IF(CU$4=0,0,IF(COUNTIFS(実績!$W$6:$W$505,CU$3,実績!$AI$6:$AI$505,"&lt;="&amp;$A238,実績!$AJ$6:$AJ$505,"&gt;"&amp;$A238,実績!$AL$6:$AL$505,"○")&gt;0,1,0))</f>
        <v>0</v>
      </c>
      <c r="CV238" s="39" t="n">
        <f aca="false">IF(CV$4=0,0,IF(COUNTIFS(実績!$W$6:$W$505,CV$3,実績!$AI$6:$AI$505,"&lt;="&amp;$A238,実績!$AJ$6:$AJ$505,"&gt;"&amp;$A238,実績!$AL$6:$AL$505,"○")&gt;0,1,0))</f>
        <v>0</v>
      </c>
      <c r="CW238" s="39" t="n">
        <f aca="false">IF(CW$4=0,0,IF(COUNTIFS(実績!$W$6:$W$505,CW$3,実績!$AI$6:$AI$505,"&lt;="&amp;$A238,実績!$AJ$6:$AJ$505,"&gt;"&amp;$A238,実績!$AL$6:$AL$505,"○")&gt;0,1,0))</f>
        <v>0</v>
      </c>
      <c r="CX238" s="39" t="n">
        <f aca="false">IF(CX$4=0,0,IF(COUNTIFS(実績!$W$6:$W$505,CX$3,実績!$AI$6:$AI$505,"&lt;="&amp;$A238,実績!$AJ$6:$AJ$505,"&gt;"&amp;$A238,実績!$AL$6:$AL$505,"○")&gt;0,1,0))</f>
        <v>0</v>
      </c>
      <c r="CY238" s="39" t="n">
        <f aca="false">IF(CY$4=0,0,IF(COUNTIFS(実績!$W$6:$W$505,CY$3,実績!$AI$6:$AI$505,"&lt;="&amp;$A238,実績!$AJ$6:$AJ$505,"&gt;"&amp;$A238,実績!$AL$6:$AL$505,"○")&gt;0,1,0))</f>
        <v>0</v>
      </c>
      <c r="CZ238" s="39" t="n">
        <f aca="false">IF(CZ$4=0,0,IF(COUNTIFS(実績!$W$6:$W$505,CZ$3,実績!$AI$6:$AI$505,"&lt;="&amp;$A238,実績!$AJ$6:$AJ$505,"&gt;"&amp;$A238,実績!$AL$6:$AL$505,"○")&gt;0,1,0))</f>
        <v>0</v>
      </c>
      <c r="DA238" s="39" t="n">
        <f aca="false">IF(DA$4=0,0,IF(COUNTIFS(実績!$W$6:$W$505,DA$3,実績!$AI$6:$AI$505,"&lt;="&amp;$A238,実績!$AJ$6:$AJ$505,"&gt;"&amp;$A238,実績!$AL$6:$AL$505,"○")&gt;0,1,0))</f>
        <v>0</v>
      </c>
      <c r="DB238" s="39" t="n">
        <f aca="false">IF(DB$4=0,0,IF(COUNTIFS(実績!$W$6:$W$505,DB$3,実績!$AI$6:$AI$505,"&lt;="&amp;$A238,実績!$AJ$6:$AJ$505,"&gt;"&amp;$A238,実績!$AL$6:$AL$505,"○")&gt;0,1,0))</f>
        <v>0</v>
      </c>
      <c r="DC238" s="39" t="n">
        <f aca="false">IF(DC$4=0,0,IF(COUNTIFS(実績!$W$6:$W$505,DC$3,実績!$AI$6:$AI$505,"&lt;="&amp;$A238,実績!$AJ$6:$AJ$505,"&gt;"&amp;$A238,実績!$AL$6:$AL$505,"○")&gt;0,1,0))</f>
        <v>0</v>
      </c>
      <c r="DD238" s="39" t="n">
        <f aca="false">IF(DD$4=0,0,IF(COUNTIFS(実績!$W$6:$W$505,DD$3,実績!$AI$6:$AI$505,"&lt;="&amp;$A238,実績!$AJ$6:$AJ$505,"&gt;"&amp;$A238,実績!$AL$6:$AL$505,"○")&gt;0,1,0))</f>
        <v>0</v>
      </c>
      <c r="DE238" s="39" t="n">
        <f aca="false">IF(DE$4=0,0,IF(COUNTIFS(実績!$W$6:$W$505,DE$3,実績!$AI$6:$AI$505,"&lt;="&amp;$A238,実績!$AJ$6:$AJ$505,"&gt;"&amp;$A238,実績!$AL$6:$AL$505,"○")&gt;0,1,0))</f>
        <v>0</v>
      </c>
      <c r="DF238" s="39" t="n">
        <f aca="false">IF(DF$4=0,0,IF(COUNTIFS(実績!$W$6:$W$505,DF$3,実績!$AI$6:$AI$505,"&lt;="&amp;$A238,実績!$AJ$6:$AJ$505,"&gt;"&amp;$A238,実績!$AL$6:$AL$505,"○")&gt;0,1,0))</f>
        <v>0</v>
      </c>
      <c r="DG238" s="39" t="n">
        <f aca="false">IF(DG$4=0,0,IF(COUNTIFS(実績!$W$6:$W$505,DG$3,実績!$AI$6:$AI$505,"&lt;="&amp;$A238,実績!$AJ$6:$AJ$505,"&gt;"&amp;$A238,実績!$AL$6:$AL$505,"○")&gt;0,1,0))</f>
        <v>0</v>
      </c>
      <c r="DH238" s="39" t="n">
        <f aca="false">IF(DH$4=0,0,IF(COUNTIFS(実績!$W$6:$W$505,DH$3,実績!$AI$6:$AI$505,"&lt;="&amp;$A238,実績!$AJ$6:$AJ$505,"&gt;"&amp;$A238,実績!$AL$6:$AL$505,"○")&gt;0,1,0))</f>
        <v>0</v>
      </c>
      <c r="DI238" s="39" t="n">
        <f aca="false">IF(DI$4=0,0,IF(COUNTIFS(実績!$W$6:$W$505,DI$3,実績!$AI$6:$AI$505,"&lt;="&amp;$A238,実績!$AJ$6:$AJ$505,"&gt;"&amp;$A238,実績!$AL$6:$AL$505,"○")&gt;0,1,0))</f>
        <v>0</v>
      </c>
      <c r="DJ238" s="39" t="n">
        <f aca="false">IF(DJ$4=0,0,IF(COUNTIFS(実績!$W$6:$W$505,DJ$3,実績!$AI$6:$AI$505,"&lt;="&amp;$A238,実績!$AJ$6:$AJ$505,"&gt;"&amp;$A238,実績!$AL$6:$AL$505,"○")&gt;0,1,0))</f>
        <v>0</v>
      </c>
      <c r="DK238" s="39" t="n">
        <f aca="false">IF(DK$4=0,0,IF(COUNTIFS(実績!$W$6:$W$505,DK$3,実績!$AI$6:$AI$505,"&lt;="&amp;$A238,実績!$AJ$6:$AJ$505,"&gt;"&amp;$A238,実績!$AL$6:$AL$505,"○")&gt;0,1,0))</f>
        <v>0</v>
      </c>
      <c r="DL238" s="39" t="n">
        <f aca="false">IF(DL$4=0,0,IF(COUNTIFS(実績!$W$6:$W$505,DL$3,実績!$AI$6:$AI$505,"&lt;="&amp;$A238,実績!$AJ$6:$AJ$505,"&gt;"&amp;$A238,実績!$AL$6:$AL$505,"○")&gt;0,1,0))</f>
        <v>0</v>
      </c>
      <c r="DM238" s="39" t="n">
        <f aca="false">IF(DM$4=0,0,IF(COUNTIFS(実績!$W$6:$W$505,DM$3,実績!$AI$6:$AI$505,"&lt;="&amp;$A238,実績!$AJ$6:$AJ$505,"&gt;"&amp;$A238,実績!$AL$6:$AL$505,"○")&gt;0,1,0))</f>
        <v>0</v>
      </c>
      <c r="DN238" s="39" t="n">
        <f aca="false">IF(DN$4=0,0,IF(COUNTIFS(実績!$W$6:$W$505,DN$3,実績!$AI$6:$AI$505,"&lt;="&amp;$A238,実績!$AJ$6:$AJ$505,"&gt;"&amp;$A238,実績!$AL$6:$AL$505,"○")&gt;0,1,0))</f>
        <v>0</v>
      </c>
      <c r="DO238" s="39" t="n">
        <f aca="false">IF(DO$4=0,0,IF(COUNTIFS(実績!$W$6:$W$505,DO$3,実績!$AI$6:$AI$505,"&lt;="&amp;$A238,実績!$AJ$6:$AJ$505,"&gt;"&amp;$A238,実績!$AL$6:$AL$505,"○")&gt;0,1,0))</f>
        <v>0</v>
      </c>
      <c r="DP238" s="39" t="n">
        <f aca="false">IF(DP$4=0,0,IF(COUNTIFS(実績!$W$6:$W$505,DP$3,実績!$AI$6:$AI$505,"&lt;="&amp;$A238,実績!$AJ$6:$AJ$505,"&gt;"&amp;$A238,実績!$AL$6:$AL$505,"○")&gt;0,1,0))</f>
        <v>0</v>
      </c>
      <c r="DQ238" s="39" t="n">
        <f aca="false">IF(DQ$4=0,0,IF(COUNTIFS(実績!$W$6:$W$505,DQ$3,実績!$AI$6:$AI$505,"&lt;="&amp;$A238,実績!$AJ$6:$AJ$505,"&gt;"&amp;$A238,実績!$AL$6:$AL$505,"○")&gt;0,1,0))</f>
        <v>0</v>
      </c>
      <c r="DR238" s="39" t="n">
        <f aca="false">IF(DR$4=0,0,IF(COUNTIFS(実績!$W$6:$W$505,DR$3,実績!$AI$6:$AI$505,"&lt;="&amp;$A238,実績!$AJ$6:$AJ$505,"&gt;"&amp;$A238,実績!$AL$6:$AL$505,"○")&gt;0,1,0))</f>
        <v>0</v>
      </c>
      <c r="DS238" s="39" t="n">
        <f aca="false">SUM(C238:DR238)</f>
        <v>0</v>
      </c>
    </row>
    <row r="239" customFormat="false" ht="15" hidden="false" customHeight="false" outlineLevel="0" collapsed="false">
      <c r="A239" s="0" t="n">
        <v>1165</v>
      </c>
      <c r="B239" s="38" t="n">
        <f aca="false">A239/1440</f>
        <v>0.809027777777778</v>
      </c>
      <c r="C239" s="39" t="n">
        <f aca="false">IF(C$4=0,0,IF(COUNTIFS(実績!$W$6:$W$505,C$3,実績!$AI$6:$AI$505,"&lt;="&amp;$A239,実績!$AJ$6:$AJ$505,"&gt;"&amp;$A239,実績!$AL$6:$AL$505,"○")&gt;0,1,0))</f>
        <v>0</v>
      </c>
      <c r="D239" s="39" t="n">
        <f aca="false">IF(D$4=0,0,IF(COUNTIFS(実績!$W$6:$W$505,D$3,実績!$AI$6:$AI$505,"&lt;="&amp;$A239,実績!$AJ$6:$AJ$505,"&gt;"&amp;$A239,実績!$AL$6:$AL$505,"○")&gt;0,1,0))</f>
        <v>0</v>
      </c>
      <c r="E239" s="39" t="n">
        <f aca="false">IF(E$4=0,0,IF(COUNTIFS(実績!$W$6:$W$505,E$3,実績!$AI$6:$AI$505,"&lt;="&amp;$A239,実績!$AJ$6:$AJ$505,"&gt;"&amp;$A239,実績!$AL$6:$AL$505,"○")&gt;0,1,0))</f>
        <v>0</v>
      </c>
      <c r="F239" s="39" t="n">
        <f aca="false">IF(F$4=0,0,IF(COUNTIFS(実績!$W$6:$W$505,F$3,実績!$AI$6:$AI$505,"&lt;="&amp;$A239,実績!$AJ$6:$AJ$505,"&gt;"&amp;$A239,実績!$AL$6:$AL$505,"○")&gt;0,1,0))</f>
        <v>0</v>
      </c>
      <c r="G239" s="39" t="n">
        <f aca="false">IF(G$4=0,0,IF(COUNTIFS(実績!$W$6:$W$505,G$3,実績!$AI$6:$AI$505,"&lt;="&amp;$A239,実績!$AJ$6:$AJ$505,"&gt;"&amp;$A239,実績!$AL$6:$AL$505,"○")&gt;0,1,0))</f>
        <v>0</v>
      </c>
      <c r="H239" s="39" t="n">
        <f aca="false">IF(H$4=0,0,IF(COUNTIFS(実績!$W$6:$W$505,H$3,実績!$AI$6:$AI$505,"&lt;="&amp;$A239,実績!$AJ$6:$AJ$505,"&gt;"&amp;$A239,実績!$AL$6:$AL$505,"○")&gt;0,1,0))</f>
        <v>0</v>
      </c>
      <c r="I239" s="39" t="n">
        <f aca="false">IF(I$4=0,0,IF(COUNTIFS(実績!$W$6:$W$505,I$3,実績!$AI$6:$AI$505,"&lt;="&amp;$A239,実績!$AJ$6:$AJ$505,"&gt;"&amp;$A239,実績!$AL$6:$AL$505,"○")&gt;0,1,0))</f>
        <v>0</v>
      </c>
      <c r="J239" s="39" t="n">
        <f aca="false">IF(J$4=0,0,IF(COUNTIFS(実績!$W$6:$W$505,J$3,実績!$AI$6:$AI$505,"&lt;="&amp;$A239,実績!$AJ$6:$AJ$505,"&gt;"&amp;$A239,実績!$AL$6:$AL$505,"○")&gt;0,1,0))</f>
        <v>0</v>
      </c>
      <c r="K239" s="39" t="n">
        <f aca="false">IF(K$4=0,0,IF(COUNTIFS(実績!$W$6:$W$505,K$3,実績!$AI$6:$AI$505,"&lt;="&amp;$A239,実績!$AJ$6:$AJ$505,"&gt;"&amp;$A239,実績!$AL$6:$AL$505,"○")&gt;0,1,0))</f>
        <v>0</v>
      </c>
      <c r="L239" s="39" t="n">
        <f aca="false">IF(L$4=0,0,IF(COUNTIFS(実績!$W$6:$W$505,L$3,実績!$AI$6:$AI$505,"&lt;="&amp;$A239,実績!$AJ$6:$AJ$505,"&gt;"&amp;$A239,実績!$AL$6:$AL$505,"○")&gt;0,1,0))</f>
        <v>0</v>
      </c>
      <c r="M239" s="39" t="n">
        <f aca="false">IF(M$4=0,0,IF(COUNTIFS(実績!$W$6:$W$505,M$3,実績!$AI$6:$AI$505,"&lt;="&amp;$A239,実績!$AJ$6:$AJ$505,"&gt;"&amp;$A239,実績!$AL$6:$AL$505,"○")&gt;0,1,0))</f>
        <v>0</v>
      </c>
      <c r="N239" s="39" t="n">
        <f aca="false">IF(N$4=0,0,IF(COUNTIFS(実績!$W$6:$W$505,N$3,実績!$AI$6:$AI$505,"&lt;="&amp;$A239,実績!$AJ$6:$AJ$505,"&gt;"&amp;$A239,実績!$AL$6:$AL$505,"○")&gt;0,1,0))</f>
        <v>0</v>
      </c>
      <c r="O239" s="39" t="n">
        <f aca="false">IF(O$4=0,0,IF(COUNTIFS(実績!$W$6:$W$505,O$3,実績!$AI$6:$AI$505,"&lt;="&amp;$A239,実績!$AJ$6:$AJ$505,"&gt;"&amp;$A239,実績!$AL$6:$AL$505,"○")&gt;0,1,0))</f>
        <v>0</v>
      </c>
      <c r="P239" s="39" t="n">
        <f aca="false">IF(P$4=0,0,IF(COUNTIFS(実績!$W$6:$W$505,P$3,実績!$AI$6:$AI$505,"&lt;="&amp;$A239,実績!$AJ$6:$AJ$505,"&gt;"&amp;$A239,実績!$AL$6:$AL$505,"○")&gt;0,1,0))</f>
        <v>0</v>
      </c>
      <c r="Q239" s="39" t="n">
        <f aca="false">IF(Q$4=0,0,IF(COUNTIFS(実績!$W$6:$W$505,Q$3,実績!$AI$6:$AI$505,"&lt;="&amp;$A239,実績!$AJ$6:$AJ$505,"&gt;"&amp;$A239,実績!$AL$6:$AL$505,"○")&gt;0,1,0))</f>
        <v>0</v>
      </c>
      <c r="R239" s="39" t="n">
        <f aca="false">IF(R$4=0,0,IF(COUNTIFS(実績!$W$6:$W$505,R$3,実績!$AI$6:$AI$505,"&lt;="&amp;$A239,実績!$AJ$6:$AJ$505,"&gt;"&amp;$A239,実績!$AL$6:$AL$505,"○")&gt;0,1,0))</f>
        <v>0</v>
      </c>
      <c r="S239" s="39" t="n">
        <f aca="false">IF(S$4=0,0,IF(COUNTIFS(実績!$W$6:$W$505,S$3,実績!$AI$6:$AI$505,"&lt;="&amp;$A239,実績!$AJ$6:$AJ$505,"&gt;"&amp;$A239,実績!$AL$6:$AL$505,"○")&gt;0,1,0))</f>
        <v>0</v>
      </c>
      <c r="T239" s="39" t="n">
        <f aca="false">IF(T$4=0,0,IF(COUNTIFS(実績!$W$6:$W$505,T$3,実績!$AI$6:$AI$505,"&lt;="&amp;$A239,実績!$AJ$6:$AJ$505,"&gt;"&amp;$A239,実績!$AL$6:$AL$505,"○")&gt;0,1,0))</f>
        <v>0</v>
      </c>
      <c r="U239" s="39" t="n">
        <f aca="false">IF(U$4=0,0,IF(COUNTIFS(実績!$W$6:$W$505,U$3,実績!$AI$6:$AI$505,"&lt;="&amp;$A239,実績!$AJ$6:$AJ$505,"&gt;"&amp;$A239,実績!$AL$6:$AL$505,"○")&gt;0,1,0))</f>
        <v>0</v>
      </c>
      <c r="V239" s="39" t="n">
        <f aca="false">IF(V$4=0,0,IF(COUNTIFS(実績!$W$6:$W$505,V$3,実績!$AI$6:$AI$505,"&lt;="&amp;$A239,実績!$AJ$6:$AJ$505,"&gt;"&amp;$A239,実績!$AL$6:$AL$505,"○")&gt;0,1,0))</f>
        <v>0</v>
      </c>
      <c r="W239" s="39" t="n">
        <f aca="false">IF(W$4=0,0,IF(COUNTIFS(実績!$W$6:$W$505,W$3,実績!$AI$6:$AI$505,"&lt;="&amp;$A239,実績!$AJ$6:$AJ$505,"&gt;"&amp;$A239,実績!$AL$6:$AL$505,"○")&gt;0,1,0))</f>
        <v>0</v>
      </c>
      <c r="X239" s="39" t="n">
        <f aca="false">IF(X$4=0,0,IF(COUNTIFS(実績!$W$6:$W$505,X$3,実績!$AI$6:$AI$505,"&lt;="&amp;$A239,実績!$AJ$6:$AJ$505,"&gt;"&amp;$A239,実績!$AL$6:$AL$505,"○")&gt;0,1,0))</f>
        <v>0</v>
      </c>
      <c r="Y239" s="39" t="n">
        <f aca="false">IF(Y$4=0,0,IF(COUNTIFS(実績!$W$6:$W$505,Y$3,実績!$AI$6:$AI$505,"&lt;="&amp;$A239,実績!$AJ$6:$AJ$505,"&gt;"&amp;$A239,実績!$AL$6:$AL$505,"○")&gt;0,1,0))</f>
        <v>0</v>
      </c>
      <c r="Z239" s="39" t="n">
        <f aca="false">IF(Z$4=0,0,IF(COUNTIFS(実績!$W$6:$W$505,Z$3,実績!$AI$6:$AI$505,"&lt;="&amp;$A239,実績!$AJ$6:$AJ$505,"&gt;"&amp;$A239,実績!$AL$6:$AL$505,"○")&gt;0,1,0))</f>
        <v>0</v>
      </c>
      <c r="AA239" s="39" t="n">
        <f aca="false">IF(AA$4=0,0,IF(COUNTIFS(実績!$W$6:$W$505,AA$3,実績!$AI$6:$AI$505,"&lt;="&amp;$A239,実績!$AJ$6:$AJ$505,"&gt;"&amp;$A239,実績!$AL$6:$AL$505,"○")&gt;0,1,0))</f>
        <v>0</v>
      </c>
      <c r="AB239" s="39" t="n">
        <f aca="false">IF(AB$4=0,0,IF(COUNTIFS(実績!$W$6:$W$505,AB$3,実績!$AI$6:$AI$505,"&lt;="&amp;$A239,実績!$AJ$6:$AJ$505,"&gt;"&amp;$A239,実績!$AL$6:$AL$505,"○")&gt;0,1,0))</f>
        <v>0</v>
      </c>
      <c r="AC239" s="39" t="n">
        <f aca="false">IF(AC$4=0,0,IF(COUNTIFS(実績!$W$6:$W$505,AC$3,実績!$AI$6:$AI$505,"&lt;="&amp;$A239,実績!$AJ$6:$AJ$505,"&gt;"&amp;$A239,実績!$AL$6:$AL$505,"○")&gt;0,1,0))</f>
        <v>0</v>
      </c>
      <c r="AD239" s="39" t="n">
        <f aca="false">IF(AD$4=0,0,IF(COUNTIFS(実績!$W$6:$W$505,AD$3,実績!$AI$6:$AI$505,"&lt;="&amp;$A239,実績!$AJ$6:$AJ$505,"&gt;"&amp;$A239,実績!$AL$6:$AL$505,"○")&gt;0,1,0))</f>
        <v>0</v>
      </c>
      <c r="AE239" s="39" t="n">
        <f aca="false">IF(AE$4=0,0,IF(COUNTIFS(実績!$W$6:$W$505,AE$3,実績!$AI$6:$AI$505,"&lt;="&amp;$A239,実績!$AJ$6:$AJ$505,"&gt;"&amp;$A239,実績!$AL$6:$AL$505,"○")&gt;0,1,0))</f>
        <v>0</v>
      </c>
      <c r="AF239" s="39" t="n">
        <f aca="false">IF(AF$4=0,0,IF(COUNTIFS(実績!$W$6:$W$505,AF$3,実績!$AI$6:$AI$505,"&lt;="&amp;$A239,実績!$AJ$6:$AJ$505,"&gt;"&amp;$A239,実績!$AL$6:$AL$505,"○")&gt;0,1,0))</f>
        <v>0</v>
      </c>
      <c r="AG239" s="39" t="n">
        <f aca="false">IF(AG$4=0,0,IF(COUNTIFS(実績!$W$6:$W$505,AG$3,実績!$AI$6:$AI$505,"&lt;="&amp;$A239,実績!$AJ$6:$AJ$505,"&gt;"&amp;$A239,実績!$AL$6:$AL$505,"○")&gt;0,1,0))</f>
        <v>0</v>
      </c>
      <c r="AH239" s="39" t="n">
        <f aca="false">IF(AH$4=0,0,IF(COUNTIFS(実績!$W$6:$W$505,AH$3,実績!$AI$6:$AI$505,"&lt;="&amp;$A239,実績!$AJ$6:$AJ$505,"&gt;"&amp;$A239,実績!$AL$6:$AL$505,"○")&gt;0,1,0))</f>
        <v>0</v>
      </c>
      <c r="AI239" s="39" t="n">
        <f aca="false">IF(AI$4=0,0,IF(COUNTIFS(実績!$W$6:$W$505,AI$3,実績!$AI$6:$AI$505,"&lt;="&amp;$A239,実績!$AJ$6:$AJ$505,"&gt;"&amp;$A239,実績!$AL$6:$AL$505,"○")&gt;0,1,0))</f>
        <v>0</v>
      </c>
      <c r="AJ239" s="39" t="n">
        <f aca="false">IF(AJ$4=0,0,IF(COUNTIFS(実績!$W$6:$W$505,AJ$3,実績!$AI$6:$AI$505,"&lt;="&amp;$A239,実績!$AJ$6:$AJ$505,"&gt;"&amp;$A239,実績!$AL$6:$AL$505,"○")&gt;0,1,0))</f>
        <v>0</v>
      </c>
      <c r="AK239" s="39" t="n">
        <f aca="false">IF(AK$4=0,0,IF(COUNTIFS(実績!$W$6:$W$505,AK$3,実績!$AI$6:$AI$505,"&lt;="&amp;$A239,実績!$AJ$6:$AJ$505,"&gt;"&amp;$A239,実績!$AL$6:$AL$505,"○")&gt;0,1,0))</f>
        <v>0</v>
      </c>
      <c r="AL239" s="39" t="n">
        <f aca="false">IF(AL$4=0,0,IF(COUNTIFS(実績!$W$6:$W$505,AL$3,実績!$AI$6:$AI$505,"&lt;="&amp;$A239,実績!$AJ$6:$AJ$505,"&gt;"&amp;$A239,実績!$AL$6:$AL$505,"○")&gt;0,1,0))</f>
        <v>0</v>
      </c>
      <c r="AM239" s="39" t="n">
        <f aca="false">IF(AM$4=0,0,IF(COUNTIFS(実績!$W$6:$W$505,AM$3,実績!$AI$6:$AI$505,"&lt;="&amp;$A239,実績!$AJ$6:$AJ$505,"&gt;"&amp;$A239,実績!$AL$6:$AL$505,"○")&gt;0,1,0))</f>
        <v>0</v>
      </c>
      <c r="AN239" s="39" t="n">
        <f aca="false">IF(AN$4=0,0,IF(COUNTIFS(実績!$W$6:$W$505,AN$3,実績!$AI$6:$AI$505,"&lt;="&amp;$A239,実績!$AJ$6:$AJ$505,"&gt;"&amp;$A239,実績!$AL$6:$AL$505,"○")&gt;0,1,0))</f>
        <v>0</v>
      </c>
      <c r="AO239" s="39" t="n">
        <f aca="false">IF(AO$4=0,0,IF(COUNTIFS(実績!$W$6:$W$505,AO$3,実績!$AI$6:$AI$505,"&lt;="&amp;$A239,実績!$AJ$6:$AJ$505,"&gt;"&amp;$A239,実績!$AL$6:$AL$505,"○")&gt;0,1,0))</f>
        <v>0</v>
      </c>
      <c r="AP239" s="39" t="n">
        <f aca="false">IF(AP$4=0,0,IF(COUNTIFS(実績!$W$6:$W$505,AP$3,実績!$AI$6:$AI$505,"&lt;="&amp;$A239,実績!$AJ$6:$AJ$505,"&gt;"&amp;$A239,実績!$AL$6:$AL$505,"○")&gt;0,1,0))</f>
        <v>0</v>
      </c>
      <c r="AQ239" s="39" t="n">
        <f aca="false">IF(AQ$4=0,0,IF(COUNTIFS(実績!$W$6:$W$505,AQ$3,実績!$AI$6:$AI$505,"&lt;="&amp;$A239,実績!$AJ$6:$AJ$505,"&gt;"&amp;$A239,実績!$AL$6:$AL$505,"○")&gt;0,1,0))</f>
        <v>0</v>
      </c>
      <c r="AR239" s="39" t="n">
        <f aca="false">IF(AR$4=0,0,IF(COUNTIFS(実績!$W$6:$W$505,AR$3,実績!$AI$6:$AI$505,"&lt;="&amp;$A239,実績!$AJ$6:$AJ$505,"&gt;"&amp;$A239,実績!$AL$6:$AL$505,"○")&gt;0,1,0))</f>
        <v>0</v>
      </c>
      <c r="AS239" s="39" t="n">
        <f aca="false">IF(AS$4=0,0,IF(COUNTIFS(実績!$W$6:$W$505,AS$3,実績!$AI$6:$AI$505,"&lt;="&amp;$A239,実績!$AJ$6:$AJ$505,"&gt;"&amp;$A239,実績!$AL$6:$AL$505,"○")&gt;0,1,0))</f>
        <v>0</v>
      </c>
      <c r="AT239" s="39" t="n">
        <f aca="false">IF(AT$4=0,0,IF(COUNTIFS(実績!$W$6:$W$505,AT$3,実績!$AI$6:$AI$505,"&lt;="&amp;$A239,実績!$AJ$6:$AJ$505,"&gt;"&amp;$A239,実績!$AL$6:$AL$505,"○")&gt;0,1,0))</f>
        <v>0</v>
      </c>
      <c r="AU239" s="39" t="n">
        <f aca="false">IF(AU$4=0,0,IF(COUNTIFS(実績!$W$6:$W$505,AU$3,実績!$AI$6:$AI$505,"&lt;="&amp;$A239,実績!$AJ$6:$AJ$505,"&gt;"&amp;$A239,実績!$AL$6:$AL$505,"○")&gt;0,1,0))</f>
        <v>0</v>
      </c>
      <c r="AV239" s="39" t="n">
        <f aca="false">IF(AV$4=0,0,IF(COUNTIFS(実績!$W$6:$W$505,AV$3,実績!$AI$6:$AI$505,"&lt;="&amp;$A239,実績!$AJ$6:$AJ$505,"&gt;"&amp;$A239,実績!$AL$6:$AL$505,"○")&gt;0,1,0))</f>
        <v>0</v>
      </c>
      <c r="AW239" s="39" t="n">
        <f aca="false">IF(AW$4=0,0,IF(COUNTIFS(実績!$W$6:$W$505,AW$3,実績!$AI$6:$AI$505,"&lt;="&amp;$A239,実績!$AJ$6:$AJ$505,"&gt;"&amp;$A239,実績!$AL$6:$AL$505,"○")&gt;0,1,0))</f>
        <v>0</v>
      </c>
      <c r="AX239" s="39" t="n">
        <f aca="false">IF(AX$4=0,0,IF(COUNTIFS(実績!$W$6:$W$505,AX$3,実績!$AI$6:$AI$505,"&lt;="&amp;$A239,実績!$AJ$6:$AJ$505,"&gt;"&amp;$A239,実績!$AL$6:$AL$505,"○")&gt;0,1,0))</f>
        <v>0</v>
      </c>
      <c r="AY239" s="39" t="n">
        <f aca="false">IF(AY$4=0,0,IF(COUNTIFS(実績!$W$6:$W$505,AY$3,実績!$AI$6:$AI$505,"&lt;="&amp;$A239,実績!$AJ$6:$AJ$505,"&gt;"&amp;$A239,実績!$AL$6:$AL$505,"○")&gt;0,1,0))</f>
        <v>0</v>
      </c>
      <c r="AZ239" s="39" t="n">
        <f aca="false">IF(AZ$4=0,0,IF(COUNTIFS(実績!$W$6:$W$505,AZ$3,実績!$AI$6:$AI$505,"&lt;="&amp;$A239,実績!$AJ$6:$AJ$505,"&gt;"&amp;$A239,実績!$AL$6:$AL$505,"○")&gt;0,1,0))</f>
        <v>0</v>
      </c>
      <c r="BA239" s="39" t="n">
        <f aca="false">IF(BA$4=0,0,IF(COUNTIFS(実績!$W$6:$W$505,BA$3,実績!$AI$6:$AI$505,"&lt;="&amp;$A239,実績!$AJ$6:$AJ$505,"&gt;"&amp;$A239,実績!$AL$6:$AL$505,"○")&gt;0,1,0))</f>
        <v>0</v>
      </c>
      <c r="BB239" s="39" t="n">
        <f aca="false">IF(BB$4=0,0,IF(COUNTIFS(実績!$W$6:$W$505,BB$3,実績!$AI$6:$AI$505,"&lt;="&amp;$A239,実績!$AJ$6:$AJ$505,"&gt;"&amp;$A239,実績!$AL$6:$AL$505,"○")&gt;0,1,0))</f>
        <v>0</v>
      </c>
      <c r="BC239" s="39" t="n">
        <f aca="false">IF(BC$4=0,0,IF(COUNTIFS(実績!$W$6:$W$505,BC$3,実績!$AI$6:$AI$505,"&lt;="&amp;$A239,実績!$AJ$6:$AJ$505,"&gt;"&amp;$A239,実績!$AL$6:$AL$505,"○")&gt;0,1,0))</f>
        <v>0</v>
      </c>
      <c r="BD239" s="39" t="n">
        <f aca="false">IF(BD$4=0,0,IF(COUNTIFS(実績!$W$6:$W$505,BD$3,実績!$AI$6:$AI$505,"&lt;="&amp;$A239,実績!$AJ$6:$AJ$505,"&gt;"&amp;$A239,実績!$AL$6:$AL$505,"○")&gt;0,1,0))</f>
        <v>0</v>
      </c>
      <c r="BE239" s="39" t="n">
        <f aca="false">IF(BE$4=0,0,IF(COUNTIFS(実績!$W$6:$W$505,BE$3,実績!$AI$6:$AI$505,"&lt;="&amp;$A239,実績!$AJ$6:$AJ$505,"&gt;"&amp;$A239,実績!$AL$6:$AL$505,"○")&gt;0,1,0))</f>
        <v>0</v>
      </c>
      <c r="BF239" s="39" t="n">
        <f aca="false">IF(BF$4=0,0,IF(COUNTIFS(実績!$W$6:$W$505,BF$3,実績!$AI$6:$AI$505,"&lt;="&amp;$A239,実績!$AJ$6:$AJ$505,"&gt;"&amp;$A239,実績!$AL$6:$AL$505,"○")&gt;0,1,0))</f>
        <v>0</v>
      </c>
      <c r="BG239" s="39" t="n">
        <f aca="false">IF(BG$4=0,0,IF(COUNTIFS(実績!$W$6:$W$505,BG$3,実績!$AI$6:$AI$505,"&lt;="&amp;$A239,実績!$AJ$6:$AJ$505,"&gt;"&amp;$A239,実績!$AL$6:$AL$505,"○")&gt;0,1,0))</f>
        <v>0</v>
      </c>
      <c r="BH239" s="39" t="n">
        <f aca="false">IF(BH$4=0,0,IF(COUNTIFS(実績!$W$6:$W$505,BH$3,実績!$AI$6:$AI$505,"&lt;="&amp;$A239,実績!$AJ$6:$AJ$505,"&gt;"&amp;$A239,実績!$AL$6:$AL$505,"○")&gt;0,1,0))</f>
        <v>0</v>
      </c>
      <c r="BI239" s="39" t="n">
        <f aca="false">IF(BI$4=0,0,IF(COUNTIFS(実績!$W$6:$W$505,BI$3,実績!$AI$6:$AI$505,"&lt;="&amp;$A239,実績!$AJ$6:$AJ$505,"&gt;"&amp;$A239,実績!$AL$6:$AL$505,"○")&gt;0,1,0))</f>
        <v>0</v>
      </c>
      <c r="BJ239" s="39" t="n">
        <f aca="false">IF(BJ$4=0,0,IF(COUNTIFS(実績!$W$6:$W$505,BJ$3,実績!$AI$6:$AI$505,"&lt;="&amp;$A239,実績!$AJ$6:$AJ$505,"&gt;"&amp;$A239,実績!$AL$6:$AL$505,"○")&gt;0,1,0))</f>
        <v>0</v>
      </c>
      <c r="BK239" s="39" t="n">
        <f aca="false">IF(BK$4=0,0,IF(COUNTIFS(実績!$W$6:$W$505,BK$3,実績!$AI$6:$AI$505,"&lt;="&amp;$A239,実績!$AJ$6:$AJ$505,"&gt;"&amp;$A239,実績!$AL$6:$AL$505,"○")&gt;0,1,0))</f>
        <v>0</v>
      </c>
      <c r="BL239" s="39" t="n">
        <f aca="false">IF(BL$4=0,0,IF(COUNTIFS(実績!$W$6:$W$505,BL$3,実績!$AI$6:$AI$505,"&lt;="&amp;$A239,実績!$AJ$6:$AJ$505,"&gt;"&amp;$A239,実績!$AL$6:$AL$505,"○")&gt;0,1,0))</f>
        <v>0</v>
      </c>
      <c r="BM239" s="39" t="n">
        <f aca="false">IF(BM$4=0,0,IF(COUNTIFS(実績!$W$6:$W$505,BM$3,実績!$AI$6:$AI$505,"&lt;="&amp;$A239,実績!$AJ$6:$AJ$505,"&gt;"&amp;$A239,実績!$AL$6:$AL$505,"○")&gt;0,1,0))</f>
        <v>0</v>
      </c>
      <c r="BN239" s="39" t="n">
        <f aca="false">IF(BN$4=0,0,IF(COUNTIFS(実績!$W$6:$W$505,BN$3,実績!$AI$6:$AI$505,"&lt;="&amp;$A239,実績!$AJ$6:$AJ$505,"&gt;"&amp;$A239,実績!$AL$6:$AL$505,"○")&gt;0,1,0))</f>
        <v>0</v>
      </c>
      <c r="BO239" s="39" t="n">
        <f aca="false">IF(BO$4=0,0,IF(COUNTIFS(実績!$W$6:$W$505,BO$3,実績!$AI$6:$AI$505,"&lt;="&amp;$A239,実績!$AJ$6:$AJ$505,"&gt;"&amp;$A239,実績!$AL$6:$AL$505,"○")&gt;0,1,0))</f>
        <v>0</v>
      </c>
      <c r="BP239" s="39" t="n">
        <f aca="false">IF(BP$4=0,0,IF(COUNTIFS(実績!$W$6:$W$505,BP$3,実績!$AI$6:$AI$505,"&lt;="&amp;$A239,実績!$AJ$6:$AJ$505,"&gt;"&amp;$A239,実績!$AL$6:$AL$505,"○")&gt;0,1,0))</f>
        <v>0</v>
      </c>
      <c r="BQ239" s="39" t="n">
        <f aca="false">IF(BQ$4=0,0,IF(COUNTIFS(実績!$W$6:$W$505,BQ$3,実績!$AI$6:$AI$505,"&lt;="&amp;$A239,実績!$AJ$6:$AJ$505,"&gt;"&amp;$A239,実績!$AL$6:$AL$505,"○")&gt;0,1,0))</f>
        <v>0</v>
      </c>
      <c r="BR239" s="39" t="n">
        <f aca="false">IF(BR$4=0,0,IF(COUNTIFS(実績!$W$6:$W$505,BR$3,実績!$AI$6:$AI$505,"&lt;="&amp;$A239,実績!$AJ$6:$AJ$505,"&gt;"&amp;$A239,実績!$AL$6:$AL$505,"○")&gt;0,1,0))</f>
        <v>0</v>
      </c>
      <c r="BS239" s="39" t="n">
        <f aca="false">IF(BS$4=0,0,IF(COUNTIFS(実績!$W$6:$W$505,BS$3,実績!$AI$6:$AI$505,"&lt;="&amp;$A239,実績!$AJ$6:$AJ$505,"&gt;"&amp;$A239,実績!$AL$6:$AL$505,"○")&gt;0,1,0))</f>
        <v>0</v>
      </c>
      <c r="BT239" s="39" t="n">
        <f aca="false">IF(BT$4=0,0,IF(COUNTIFS(実績!$W$6:$W$505,BT$3,実績!$AI$6:$AI$505,"&lt;="&amp;$A239,実績!$AJ$6:$AJ$505,"&gt;"&amp;$A239,実績!$AL$6:$AL$505,"○")&gt;0,1,0))</f>
        <v>0</v>
      </c>
      <c r="BU239" s="39" t="n">
        <f aca="false">IF(BU$4=0,0,IF(COUNTIFS(実績!$W$6:$W$505,BU$3,実績!$AI$6:$AI$505,"&lt;="&amp;$A239,実績!$AJ$6:$AJ$505,"&gt;"&amp;$A239,実績!$AL$6:$AL$505,"○")&gt;0,1,0))</f>
        <v>0</v>
      </c>
      <c r="BV239" s="39" t="n">
        <f aca="false">IF(BV$4=0,0,IF(COUNTIFS(実績!$W$6:$W$505,BV$3,実績!$AI$6:$AI$505,"&lt;="&amp;$A239,実績!$AJ$6:$AJ$505,"&gt;"&amp;$A239,実績!$AL$6:$AL$505,"○")&gt;0,1,0))</f>
        <v>0</v>
      </c>
      <c r="BW239" s="39" t="n">
        <f aca="false">IF(BW$4=0,0,IF(COUNTIFS(実績!$W$6:$W$505,BW$3,実績!$AI$6:$AI$505,"&lt;="&amp;$A239,実績!$AJ$6:$AJ$505,"&gt;"&amp;$A239,実績!$AL$6:$AL$505,"○")&gt;0,1,0))</f>
        <v>0</v>
      </c>
      <c r="BX239" s="39" t="n">
        <f aca="false">IF(BX$4=0,0,IF(COUNTIFS(実績!$W$6:$W$505,BX$3,実績!$AI$6:$AI$505,"&lt;="&amp;$A239,実績!$AJ$6:$AJ$505,"&gt;"&amp;$A239,実績!$AL$6:$AL$505,"○")&gt;0,1,0))</f>
        <v>0</v>
      </c>
      <c r="BY239" s="39" t="n">
        <f aca="false">IF(BY$4=0,0,IF(COUNTIFS(実績!$W$6:$W$505,BY$3,実績!$AI$6:$AI$505,"&lt;="&amp;$A239,実績!$AJ$6:$AJ$505,"&gt;"&amp;$A239,実績!$AL$6:$AL$505,"○")&gt;0,1,0))</f>
        <v>0</v>
      </c>
      <c r="BZ239" s="39" t="n">
        <f aca="false">IF(BZ$4=0,0,IF(COUNTIFS(実績!$W$6:$W$505,BZ$3,実績!$AI$6:$AI$505,"&lt;="&amp;$A239,実績!$AJ$6:$AJ$505,"&gt;"&amp;$A239,実績!$AL$6:$AL$505,"○")&gt;0,1,0))</f>
        <v>0</v>
      </c>
      <c r="CA239" s="39" t="n">
        <f aca="false">IF(CA$4=0,0,IF(COUNTIFS(実績!$W$6:$W$505,CA$3,実績!$AI$6:$AI$505,"&lt;="&amp;$A239,実績!$AJ$6:$AJ$505,"&gt;"&amp;$A239,実績!$AL$6:$AL$505,"○")&gt;0,1,0))</f>
        <v>0</v>
      </c>
      <c r="CB239" s="39" t="n">
        <f aca="false">IF(CB$4=0,0,IF(COUNTIFS(実績!$W$6:$W$505,CB$3,実績!$AI$6:$AI$505,"&lt;="&amp;$A239,実績!$AJ$6:$AJ$505,"&gt;"&amp;$A239,実績!$AL$6:$AL$505,"○")&gt;0,1,0))</f>
        <v>0</v>
      </c>
      <c r="CC239" s="39" t="n">
        <f aca="false">IF(CC$4=0,0,IF(COUNTIFS(実績!$W$6:$W$505,CC$3,実績!$AI$6:$AI$505,"&lt;="&amp;$A239,実績!$AJ$6:$AJ$505,"&gt;"&amp;$A239,実績!$AL$6:$AL$505,"○")&gt;0,1,0))</f>
        <v>0</v>
      </c>
      <c r="CD239" s="39" t="n">
        <f aca="false">IF(CD$4=0,0,IF(COUNTIFS(実績!$W$6:$W$505,CD$3,実績!$AI$6:$AI$505,"&lt;="&amp;$A239,実績!$AJ$6:$AJ$505,"&gt;"&amp;$A239,実績!$AL$6:$AL$505,"○")&gt;0,1,0))</f>
        <v>0</v>
      </c>
      <c r="CE239" s="39" t="n">
        <f aca="false">IF(CE$4=0,0,IF(COUNTIFS(実績!$W$6:$W$505,CE$3,実績!$AI$6:$AI$505,"&lt;="&amp;$A239,実績!$AJ$6:$AJ$505,"&gt;"&amp;$A239,実績!$AL$6:$AL$505,"○")&gt;0,1,0))</f>
        <v>0</v>
      </c>
      <c r="CF239" s="39" t="n">
        <f aca="false">IF(CF$4=0,0,IF(COUNTIFS(実績!$W$6:$W$505,CF$3,実績!$AI$6:$AI$505,"&lt;="&amp;$A239,実績!$AJ$6:$AJ$505,"&gt;"&amp;$A239,実績!$AL$6:$AL$505,"○")&gt;0,1,0))</f>
        <v>0</v>
      </c>
      <c r="CG239" s="39" t="n">
        <f aca="false">IF(CG$4=0,0,IF(COUNTIFS(実績!$W$6:$W$505,CG$3,実績!$AI$6:$AI$505,"&lt;="&amp;$A239,実績!$AJ$6:$AJ$505,"&gt;"&amp;$A239,実績!$AL$6:$AL$505,"○")&gt;0,1,0))</f>
        <v>0</v>
      </c>
      <c r="CH239" s="39" t="n">
        <f aca="false">IF(CH$4=0,0,IF(COUNTIFS(実績!$W$6:$W$505,CH$3,実績!$AI$6:$AI$505,"&lt;="&amp;$A239,実績!$AJ$6:$AJ$505,"&gt;"&amp;$A239,実績!$AL$6:$AL$505,"○")&gt;0,1,0))</f>
        <v>0</v>
      </c>
      <c r="CI239" s="39" t="n">
        <f aca="false">IF(CI$4=0,0,IF(COUNTIFS(実績!$W$6:$W$505,CI$3,実績!$AI$6:$AI$505,"&lt;="&amp;$A239,実績!$AJ$6:$AJ$505,"&gt;"&amp;$A239,実績!$AL$6:$AL$505,"○")&gt;0,1,0))</f>
        <v>0</v>
      </c>
      <c r="CJ239" s="39" t="n">
        <f aca="false">IF(CJ$4=0,0,IF(COUNTIFS(実績!$W$6:$W$505,CJ$3,実績!$AI$6:$AI$505,"&lt;="&amp;$A239,実績!$AJ$6:$AJ$505,"&gt;"&amp;$A239,実績!$AL$6:$AL$505,"○")&gt;0,1,0))</f>
        <v>0</v>
      </c>
      <c r="CK239" s="39" t="n">
        <f aca="false">IF(CK$4=0,0,IF(COUNTIFS(実績!$W$6:$W$505,CK$3,実績!$AI$6:$AI$505,"&lt;="&amp;$A239,実績!$AJ$6:$AJ$505,"&gt;"&amp;$A239,実績!$AL$6:$AL$505,"○")&gt;0,1,0))</f>
        <v>0</v>
      </c>
      <c r="CL239" s="39" t="n">
        <f aca="false">IF(CL$4=0,0,IF(COUNTIFS(実績!$W$6:$W$505,CL$3,実績!$AI$6:$AI$505,"&lt;="&amp;$A239,実績!$AJ$6:$AJ$505,"&gt;"&amp;$A239,実績!$AL$6:$AL$505,"○")&gt;0,1,0))</f>
        <v>0</v>
      </c>
      <c r="CM239" s="39" t="n">
        <f aca="false">IF(CM$4=0,0,IF(COUNTIFS(実績!$W$6:$W$505,CM$3,実績!$AI$6:$AI$505,"&lt;="&amp;$A239,実績!$AJ$6:$AJ$505,"&gt;"&amp;$A239,実績!$AL$6:$AL$505,"○")&gt;0,1,0))</f>
        <v>0</v>
      </c>
      <c r="CN239" s="39" t="n">
        <f aca="false">IF(CN$4=0,0,IF(COUNTIFS(実績!$W$6:$W$505,CN$3,実績!$AI$6:$AI$505,"&lt;="&amp;$A239,実績!$AJ$6:$AJ$505,"&gt;"&amp;$A239,実績!$AL$6:$AL$505,"○")&gt;0,1,0))</f>
        <v>0</v>
      </c>
      <c r="CO239" s="39" t="n">
        <f aca="false">IF(CO$4=0,0,IF(COUNTIFS(実績!$W$6:$W$505,CO$3,実績!$AI$6:$AI$505,"&lt;="&amp;$A239,実績!$AJ$6:$AJ$505,"&gt;"&amp;$A239,実績!$AL$6:$AL$505,"○")&gt;0,1,0))</f>
        <v>0</v>
      </c>
      <c r="CP239" s="39" t="n">
        <f aca="false">IF(CP$4=0,0,IF(COUNTIFS(実績!$W$6:$W$505,CP$3,実績!$AI$6:$AI$505,"&lt;="&amp;$A239,実績!$AJ$6:$AJ$505,"&gt;"&amp;$A239,実績!$AL$6:$AL$505,"○")&gt;0,1,0))</f>
        <v>0</v>
      </c>
      <c r="CQ239" s="39" t="n">
        <f aca="false">IF(CQ$4=0,0,IF(COUNTIFS(実績!$W$6:$W$505,CQ$3,実績!$AI$6:$AI$505,"&lt;="&amp;$A239,実績!$AJ$6:$AJ$505,"&gt;"&amp;$A239,実績!$AL$6:$AL$505,"○")&gt;0,1,0))</f>
        <v>0</v>
      </c>
      <c r="CR239" s="39" t="n">
        <f aca="false">IF(CR$4=0,0,IF(COUNTIFS(実績!$W$6:$W$505,CR$3,実績!$AI$6:$AI$505,"&lt;="&amp;$A239,実績!$AJ$6:$AJ$505,"&gt;"&amp;$A239,実績!$AL$6:$AL$505,"○")&gt;0,1,0))</f>
        <v>0</v>
      </c>
      <c r="CS239" s="39" t="n">
        <f aca="false">IF(CS$4=0,0,IF(COUNTIFS(実績!$W$6:$W$505,CS$3,実績!$AI$6:$AI$505,"&lt;="&amp;$A239,実績!$AJ$6:$AJ$505,"&gt;"&amp;$A239,実績!$AL$6:$AL$505,"○")&gt;0,1,0))</f>
        <v>0</v>
      </c>
      <c r="CT239" s="39" t="n">
        <f aca="false">IF(CT$4=0,0,IF(COUNTIFS(実績!$W$6:$W$505,CT$3,実績!$AI$6:$AI$505,"&lt;="&amp;$A239,実績!$AJ$6:$AJ$505,"&gt;"&amp;$A239,実績!$AL$6:$AL$505,"○")&gt;0,1,0))</f>
        <v>0</v>
      </c>
      <c r="CU239" s="39" t="n">
        <f aca="false">IF(CU$4=0,0,IF(COUNTIFS(実績!$W$6:$W$505,CU$3,実績!$AI$6:$AI$505,"&lt;="&amp;$A239,実績!$AJ$6:$AJ$505,"&gt;"&amp;$A239,実績!$AL$6:$AL$505,"○")&gt;0,1,0))</f>
        <v>0</v>
      </c>
      <c r="CV239" s="39" t="n">
        <f aca="false">IF(CV$4=0,0,IF(COUNTIFS(実績!$W$6:$W$505,CV$3,実績!$AI$6:$AI$505,"&lt;="&amp;$A239,実績!$AJ$6:$AJ$505,"&gt;"&amp;$A239,実績!$AL$6:$AL$505,"○")&gt;0,1,0))</f>
        <v>0</v>
      </c>
      <c r="CW239" s="39" t="n">
        <f aca="false">IF(CW$4=0,0,IF(COUNTIFS(実績!$W$6:$W$505,CW$3,実績!$AI$6:$AI$505,"&lt;="&amp;$A239,実績!$AJ$6:$AJ$505,"&gt;"&amp;$A239,実績!$AL$6:$AL$505,"○")&gt;0,1,0))</f>
        <v>0</v>
      </c>
      <c r="CX239" s="39" t="n">
        <f aca="false">IF(CX$4=0,0,IF(COUNTIFS(実績!$W$6:$W$505,CX$3,実績!$AI$6:$AI$505,"&lt;="&amp;$A239,実績!$AJ$6:$AJ$505,"&gt;"&amp;$A239,実績!$AL$6:$AL$505,"○")&gt;0,1,0))</f>
        <v>0</v>
      </c>
      <c r="CY239" s="39" t="n">
        <f aca="false">IF(CY$4=0,0,IF(COUNTIFS(実績!$W$6:$W$505,CY$3,実績!$AI$6:$AI$505,"&lt;="&amp;$A239,実績!$AJ$6:$AJ$505,"&gt;"&amp;$A239,実績!$AL$6:$AL$505,"○")&gt;0,1,0))</f>
        <v>0</v>
      </c>
      <c r="CZ239" s="39" t="n">
        <f aca="false">IF(CZ$4=0,0,IF(COUNTIFS(実績!$W$6:$W$505,CZ$3,実績!$AI$6:$AI$505,"&lt;="&amp;$A239,実績!$AJ$6:$AJ$505,"&gt;"&amp;$A239,実績!$AL$6:$AL$505,"○")&gt;0,1,0))</f>
        <v>0</v>
      </c>
      <c r="DA239" s="39" t="n">
        <f aca="false">IF(DA$4=0,0,IF(COUNTIFS(実績!$W$6:$W$505,DA$3,実績!$AI$6:$AI$505,"&lt;="&amp;$A239,実績!$AJ$6:$AJ$505,"&gt;"&amp;$A239,実績!$AL$6:$AL$505,"○")&gt;0,1,0))</f>
        <v>0</v>
      </c>
      <c r="DB239" s="39" t="n">
        <f aca="false">IF(DB$4=0,0,IF(COUNTIFS(実績!$W$6:$W$505,DB$3,実績!$AI$6:$AI$505,"&lt;="&amp;$A239,実績!$AJ$6:$AJ$505,"&gt;"&amp;$A239,実績!$AL$6:$AL$505,"○")&gt;0,1,0))</f>
        <v>0</v>
      </c>
      <c r="DC239" s="39" t="n">
        <f aca="false">IF(DC$4=0,0,IF(COUNTIFS(実績!$W$6:$W$505,DC$3,実績!$AI$6:$AI$505,"&lt;="&amp;$A239,実績!$AJ$6:$AJ$505,"&gt;"&amp;$A239,実績!$AL$6:$AL$505,"○")&gt;0,1,0))</f>
        <v>0</v>
      </c>
      <c r="DD239" s="39" t="n">
        <f aca="false">IF(DD$4=0,0,IF(COUNTIFS(実績!$W$6:$W$505,DD$3,実績!$AI$6:$AI$505,"&lt;="&amp;$A239,実績!$AJ$6:$AJ$505,"&gt;"&amp;$A239,実績!$AL$6:$AL$505,"○")&gt;0,1,0))</f>
        <v>0</v>
      </c>
      <c r="DE239" s="39" t="n">
        <f aca="false">IF(DE$4=0,0,IF(COUNTIFS(実績!$W$6:$W$505,DE$3,実績!$AI$6:$AI$505,"&lt;="&amp;$A239,実績!$AJ$6:$AJ$505,"&gt;"&amp;$A239,実績!$AL$6:$AL$505,"○")&gt;0,1,0))</f>
        <v>0</v>
      </c>
      <c r="DF239" s="39" t="n">
        <f aca="false">IF(DF$4=0,0,IF(COUNTIFS(実績!$W$6:$W$505,DF$3,実績!$AI$6:$AI$505,"&lt;="&amp;$A239,実績!$AJ$6:$AJ$505,"&gt;"&amp;$A239,実績!$AL$6:$AL$505,"○")&gt;0,1,0))</f>
        <v>0</v>
      </c>
      <c r="DG239" s="39" t="n">
        <f aca="false">IF(DG$4=0,0,IF(COUNTIFS(実績!$W$6:$W$505,DG$3,実績!$AI$6:$AI$505,"&lt;="&amp;$A239,実績!$AJ$6:$AJ$505,"&gt;"&amp;$A239,実績!$AL$6:$AL$505,"○")&gt;0,1,0))</f>
        <v>0</v>
      </c>
      <c r="DH239" s="39" t="n">
        <f aca="false">IF(DH$4=0,0,IF(COUNTIFS(実績!$W$6:$W$505,DH$3,実績!$AI$6:$AI$505,"&lt;="&amp;$A239,実績!$AJ$6:$AJ$505,"&gt;"&amp;$A239,実績!$AL$6:$AL$505,"○")&gt;0,1,0))</f>
        <v>0</v>
      </c>
      <c r="DI239" s="39" t="n">
        <f aca="false">IF(DI$4=0,0,IF(COUNTIFS(実績!$W$6:$W$505,DI$3,実績!$AI$6:$AI$505,"&lt;="&amp;$A239,実績!$AJ$6:$AJ$505,"&gt;"&amp;$A239,実績!$AL$6:$AL$505,"○")&gt;0,1,0))</f>
        <v>0</v>
      </c>
      <c r="DJ239" s="39" t="n">
        <f aca="false">IF(DJ$4=0,0,IF(COUNTIFS(実績!$W$6:$W$505,DJ$3,実績!$AI$6:$AI$505,"&lt;="&amp;$A239,実績!$AJ$6:$AJ$505,"&gt;"&amp;$A239,実績!$AL$6:$AL$505,"○")&gt;0,1,0))</f>
        <v>0</v>
      </c>
      <c r="DK239" s="39" t="n">
        <f aca="false">IF(DK$4=0,0,IF(COUNTIFS(実績!$W$6:$W$505,DK$3,実績!$AI$6:$AI$505,"&lt;="&amp;$A239,実績!$AJ$6:$AJ$505,"&gt;"&amp;$A239,実績!$AL$6:$AL$505,"○")&gt;0,1,0))</f>
        <v>0</v>
      </c>
      <c r="DL239" s="39" t="n">
        <f aca="false">IF(DL$4=0,0,IF(COUNTIFS(実績!$W$6:$W$505,DL$3,実績!$AI$6:$AI$505,"&lt;="&amp;$A239,実績!$AJ$6:$AJ$505,"&gt;"&amp;$A239,実績!$AL$6:$AL$505,"○")&gt;0,1,0))</f>
        <v>0</v>
      </c>
      <c r="DM239" s="39" t="n">
        <f aca="false">IF(DM$4=0,0,IF(COUNTIFS(実績!$W$6:$W$505,DM$3,実績!$AI$6:$AI$505,"&lt;="&amp;$A239,実績!$AJ$6:$AJ$505,"&gt;"&amp;$A239,実績!$AL$6:$AL$505,"○")&gt;0,1,0))</f>
        <v>0</v>
      </c>
      <c r="DN239" s="39" t="n">
        <f aca="false">IF(DN$4=0,0,IF(COUNTIFS(実績!$W$6:$W$505,DN$3,実績!$AI$6:$AI$505,"&lt;="&amp;$A239,実績!$AJ$6:$AJ$505,"&gt;"&amp;$A239,実績!$AL$6:$AL$505,"○")&gt;0,1,0))</f>
        <v>0</v>
      </c>
      <c r="DO239" s="39" t="n">
        <f aca="false">IF(DO$4=0,0,IF(COUNTIFS(実績!$W$6:$W$505,DO$3,実績!$AI$6:$AI$505,"&lt;="&amp;$A239,実績!$AJ$6:$AJ$505,"&gt;"&amp;$A239,実績!$AL$6:$AL$505,"○")&gt;0,1,0))</f>
        <v>0</v>
      </c>
      <c r="DP239" s="39" t="n">
        <f aca="false">IF(DP$4=0,0,IF(COUNTIFS(実績!$W$6:$W$505,DP$3,実績!$AI$6:$AI$505,"&lt;="&amp;$A239,実績!$AJ$6:$AJ$505,"&gt;"&amp;$A239,実績!$AL$6:$AL$505,"○")&gt;0,1,0))</f>
        <v>0</v>
      </c>
      <c r="DQ239" s="39" t="n">
        <f aca="false">IF(DQ$4=0,0,IF(COUNTIFS(実績!$W$6:$W$505,DQ$3,実績!$AI$6:$AI$505,"&lt;="&amp;$A239,実績!$AJ$6:$AJ$505,"&gt;"&amp;$A239,実績!$AL$6:$AL$505,"○")&gt;0,1,0))</f>
        <v>0</v>
      </c>
      <c r="DR239" s="39" t="n">
        <f aca="false">IF(DR$4=0,0,IF(COUNTIFS(実績!$W$6:$W$505,DR$3,実績!$AI$6:$AI$505,"&lt;="&amp;$A239,実績!$AJ$6:$AJ$505,"&gt;"&amp;$A239,実績!$AL$6:$AL$505,"○")&gt;0,1,0))</f>
        <v>0</v>
      </c>
      <c r="DS239" s="39" t="n">
        <f aca="false">SUM(C239:DR239)</f>
        <v>0</v>
      </c>
    </row>
    <row r="240" customFormat="false" ht="15" hidden="false" customHeight="false" outlineLevel="0" collapsed="false">
      <c r="A240" s="0" t="n">
        <v>1170</v>
      </c>
      <c r="B240" s="38" t="n">
        <f aca="false">A240/1440</f>
        <v>0.8125</v>
      </c>
      <c r="C240" s="39" t="n">
        <f aca="false">IF(C$4=0,0,IF(COUNTIFS(実績!$W$6:$W$505,C$3,実績!$AI$6:$AI$505,"&lt;="&amp;$A240,実績!$AJ$6:$AJ$505,"&gt;"&amp;$A240,実績!$AL$6:$AL$505,"○")&gt;0,1,0))</f>
        <v>0</v>
      </c>
      <c r="D240" s="39" t="n">
        <f aca="false">IF(D$4=0,0,IF(COUNTIFS(実績!$W$6:$W$505,D$3,実績!$AI$6:$AI$505,"&lt;="&amp;$A240,実績!$AJ$6:$AJ$505,"&gt;"&amp;$A240,実績!$AL$6:$AL$505,"○")&gt;0,1,0))</f>
        <v>0</v>
      </c>
      <c r="E240" s="39" t="n">
        <f aca="false">IF(E$4=0,0,IF(COUNTIFS(実績!$W$6:$W$505,E$3,実績!$AI$6:$AI$505,"&lt;="&amp;$A240,実績!$AJ$6:$AJ$505,"&gt;"&amp;$A240,実績!$AL$6:$AL$505,"○")&gt;0,1,0))</f>
        <v>0</v>
      </c>
      <c r="F240" s="39" t="n">
        <f aca="false">IF(F$4=0,0,IF(COUNTIFS(実績!$W$6:$W$505,F$3,実績!$AI$6:$AI$505,"&lt;="&amp;$A240,実績!$AJ$6:$AJ$505,"&gt;"&amp;$A240,実績!$AL$6:$AL$505,"○")&gt;0,1,0))</f>
        <v>0</v>
      </c>
      <c r="G240" s="39" t="n">
        <f aca="false">IF(G$4=0,0,IF(COUNTIFS(実績!$W$6:$W$505,G$3,実績!$AI$6:$AI$505,"&lt;="&amp;$A240,実績!$AJ$6:$AJ$505,"&gt;"&amp;$A240,実績!$AL$6:$AL$505,"○")&gt;0,1,0))</f>
        <v>0</v>
      </c>
      <c r="H240" s="39" t="n">
        <f aca="false">IF(H$4=0,0,IF(COUNTIFS(実績!$W$6:$W$505,H$3,実績!$AI$6:$AI$505,"&lt;="&amp;$A240,実績!$AJ$6:$AJ$505,"&gt;"&amp;$A240,実績!$AL$6:$AL$505,"○")&gt;0,1,0))</f>
        <v>0</v>
      </c>
      <c r="I240" s="39" t="n">
        <f aca="false">IF(I$4=0,0,IF(COUNTIFS(実績!$W$6:$W$505,I$3,実績!$AI$6:$AI$505,"&lt;="&amp;$A240,実績!$AJ$6:$AJ$505,"&gt;"&amp;$A240,実績!$AL$6:$AL$505,"○")&gt;0,1,0))</f>
        <v>0</v>
      </c>
      <c r="J240" s="39" t="n">
        <f aca="false">IF(J$4=0,0,IF(COUNTIFS(実績!$W$6:$W$505,J$3,実績!$AI$6:$AI$505,"&lt;="&amp;$A240,実績!$AJ$6:$AJ$505,"&gt;"&amp;$A240,実績!$AL$6:$AL$505,"○")&gt;0,1,0))</f>
        <v>0</v>
      </c>
      <c r="K240" s="39" t="n">
        <f aca="false">IF(K$4=0,0,IF(COUNTIFS(実績!$W$6:$W$505,K$3,実績!$AI$6:$AI$505,"&lt;="&amp;$A240,実績!$AJ$6:$AJ$505,"&gt;"&amp;$A240,実績!$AL$6:$AL$505,"○")&gt;0,1,0))</f>
        <v>0</v>
      </c>
      <c r="L240" s="39" t="n">
        <f aca="false">IF(L$4=0,0,IF(COUNTIFS(実績!$W$6:$W$505,L$3,実績!$AI$6:$AI$505,"&lt;="&amp;$A240,実績!$AJ$6:$AJ$505,"&gt;"&amp;$A240,実績!$AL$6:$AL$505,"○")&gt;0,1,0))</f>
        <v>0</v>
      </c>
      <c r="M240" s="39" t="n">
        <f aca="false">IF(M$4=0,0,IF(COUNTIFS(実績!$W$6:$W$505,M$3,実績!$AI$6:$AI$505,"&lt;="&amp;$A240,実績!$AJ$6:$AJ$505,"&gt;"&amp;$A240,実績!$AL$6:$AL$505,"○")&gt;0,1,0))</f>
        <v>0</v>
      </c>
      <c r="N240" s="39" t="n">
        <f aca="false">IF(N$4=0,0,IF(COUNTIFS(実績!$W$6:$W$505,N$3,実績!$AI$6:$AI$505,"&lt;="&amp;$A240,実績!$AJ$6:$AJ$505,"&gt;"&amp;$A240,実績!$AL$6:$AL$505,"○")&gt;0,1,0))</f>
        <v>0</v>
      </c>
      <c r="O240" s="39" t="n">
        <f aca="false">IF(O$4=0,0,IF(COUNTIFS(実績!$W$6:$W$505,O$3,実績!$AI$6:$AI$505,"&lt;="&amp;$A240,実績!$AJ$6:$AJ$505,"&gt;"&amp;$A240,実績!$AL$6:$AL$505,"○")&gt;0,1,0))</f>
        <v>0</v>
      </c>
      <c r="P240" s="39" t="n">
        <f aca="false">IF(P$4=0,0,IF(COUNTIFS(実績!$W$6:$W$505,P$3,実績!$AI$6:$AI$505,"&lt;="&amp;$A240,実績!$AJ$6:$AJ$505,"&gt;"&amp;$A240,実績!$AL$6:$AL$505,"○")&gt;0,1,0))</f>
        <v>0</v>
      </c>
      <c r="Q240" s="39" t="n">
        <f aca="false">IF(Q$4=0,0,IF(COUNTIFS(実績!$W$6:$W$505,Q$3,実績!$AI$6:$AI$505,"&lt;="&amp;$A240,実績!$AJ$6:$AJ$505,"&gt;"&amp;$A240,実績!$AL$6:$AL$505,"○")&gt;0,1,0))</f>
        <v>0</v>
      </c>
      <c r="R240" s="39" t="n">
        <f aca="false">IF(R$4=0,0,IF(COUNTIFS(実績!$W$6:$W$505,R$3,実績!$AI$6:$AI$505,"&lt;="&amp;$A240,実績!$AJ$6:$AJ$505,"&gt;"&amp;$A240,実績!$AL$6:$AL$505,"○")&gt;0,1,0))</f>
        <v>0</v>
      </c>
      <c r="S240" s="39" t="n">
        <f aca="false">IF(S$4=0,0,IF(COUNTIFS(実績!$W$6:$W$505,S$3,実績!$AI$6:$AI$505,"&lt;="&amp;$A240,実績!$AJ$6:$AJ$505,"&gt;"&amp;$A240,実績!$AL$6:$AL$505,"○")&gt;0,1,0))</f>
        <v>0</v>
      </c>
      <c r="T240" s="39" t="n">
        <f aca="false">IF(T$4=0,0,IF(COUNTIFS(実績!$W$6:$W$505,T$3,実績!$AI$6:$AI$505,"&lt;="&amp;$A240,実績!$AJ$6:$AJ$505,"&gt;"&amp;$A240,実績!$AL$6:$AL$505,"○")&gt;0,1,0))</f>
        <v>0</v>
      </c>
      <c r="U240" s="39" t="n">
        <f aca="false">IF(U$4=0,0,IF(COUNTIFS(実績!$W$6:$W$505,U$3,実績!$AI$6:$AI$505,"&lt;="&amp;$A240,実績!$AJ$6:$AJ$505,"&gt;"&amp;$A240,実績!$AL$6:$AL$505,"○")&gt;0,1,0))</f>
        <v>0</v>
      </c>
      <c r="V240" s="39" t="n">
        <f aca="false">IF(V$4=0,0,IF(COUNTIFS(実績!$W$6:$W$505,V$3,実績!$AI$6:$AI$505,"&lt;="&amp;$A240,実績!$AJ$6:$AJ$505,"&gt;"&amp;$A240,実績!$AL$6:$AL$505,"○")&gt;0,1,0))</f>
        <v>0</v>
      </c>
      <c r="W240" s="39" t="n">
        <f aca="false">IF(W$4=0,0,IF(COUNTIFS(実績!$W$6:$W$505,W$3,実績!$AI$6:$AI$505,"&lt;="&amp;$A240,実績!$AJ$6:$AJ$505,"&gt;"&amp;$A240,実績!$AL$6:$AL$505,"○")&gt;0,1,0))</f>
        <v>0</v>
      </c>
      <c r="X240" s="39" t="n">
        <f aca="false">IF(X$4=0,0,IF(COUNTIFS(実績!$W$6:$W$505,X$3,実績!$AI$6:$AI$505,"&lt;="&amp;$A240,実績!$AJ$6:$AJ$505,"&gt;"&amp;$A240,実績!$AL$6:$AL$505,"○")&gt;0,1,0))</f>
        <v>0</v>
      </c>
      <c r="Y240" s="39" t="n">
        <f aca="false">IF(Y$4=0,0,IF(COUNTIFS(実績!$W$6:$W$505,Y$3,実績!$AI$6:$AI$505,"&lt;="&amp;$A240,実績!$AJ$6:$AJ$505,"&gt;"&amp;$A240,実績!$AL$6:$AL$505,"○")&gt;0,1,0))</f>
        <v>0</v>
      </c>
      <c r="Z240" s="39" t="n">
        <f aca="false">IF(Z$4=0,0,IF(COUNTIFS(実績!$W$6:$W$505,Z$3,実績!$AI$6:$AI$505,"&lt;="&amp;$A240,実績!$AJ$6:$AJ$505,"&gt;"&amp;$A240,実績!$AL$6:$AL$505,"○")&gt;0,1,0))</f>
        <v>0</v>
      </c>
      <c r="AA240" s="39" t="n">
        <f aca="false">IF(AA$4=0,0,IF(COUNTIFS(実績!$W$6:$W$505,AA$3,実績!$AI$6:$AI$505,"&lt;="&amp;$A240,実績!$AJ$6:$AJ$505,"&gt;"&amp;$A240,実績!$AL$6:$AL$505,"○")&gt;0,1,0))</f>
        <v>0</v>
      </c>
      <c r="AB240" s="39" t="n">
        <f aca="false">IF(AB$4=0,0,IF(COUNTIFS(実績!$W$6:$W$505,AB$3,実績!$AI$6:$AI$505,"&lt;="&amp;$A240,実績!$AJ$6:$AJ$505,"&gt;"&amp;$A240,実績!$AL$6:$AL$505,"○")&gt;0,1,0))</f>
        <v>0</v>
      </c>
      <c r="AC240" s="39" t="n">
        <f aca="false">IF(AC$4=0,0,IF(COUNTIFS(実績!$W$6:$W$505,AC$3,実績!$AI$6:$AI$505,"&lt;="&amp;$A240,実績!$AJ$6:$AJ$505,"&gt;"&amp;$A240,実績!$AL$6:$AL$505,"○")&gt;0,1,0))</f>
        <v>0</v>
      </c>
      <c r="AD240" s="39" t="n">
        <f aca="false">IF(AD$4=0,0,IF(COUNTIFS(実績!$W$6:$W$505,AD$3,実績!$AI$6:$AI$505,"&lt;="&amp;$A240,実績!$AJ$6:$AJ$505,"&gt;"&amp;$A240,実績!$AL$6:$AL$505,"○")&gt;0,1,0))</f>
        <v>0</v>
      </c>
      <c r="AE240" s="39" t="n">
        <f aca="false">IF(AE$4=0,0,IF(COUNTIFS(実績!$W$6:$W$505,AE$3,実績!$AI$6:$AI$505,"&lt;="&amp;$A240,実績!$AJ$6:$AJ$505,"&gt;"&amp;$A240,実績!$AL$6:$AL$505,"○")&gt;0,1,0))</f>
        <v>0</v>
      </c>
      <c r="AF240" s="39" t="n">
        <f aca="false">IF(AF$4=0,0,IF(COUNTIFS(実績!$W$6:$W$505,AF$3,実績!$AI$6:$AI$505,"&lt;="&amp;$A240,実績!$AJ$6:$AJ$505,"&gt;"&amp;$A240,実績!$AL$6:$AL$505,"○")&gt;0,1,0))</f>
        <v>0</v>
      </c>
      <c r="AG240" s="39" t="n">
        <f aca="false">IF(AG$4=0,0,IF(COUNTIFS(実績!$W$6:$W$505,AG$3,実績!$AI$6:$AI$505,"&lt;="&amp;$A240,実績!$AJ$6:$AJ$505,"&gt;"&amp;$A240,実績!$AL$6:$AL$505,"○")&gt;0,1,0))</f>
        <v>0</v>
      </c>
      <c r="AH240" s="39" t="n">
        <f aca="false">IF(AH$4=0,0,IF(COUNTIFS(実績!$W$6:$W$505,AH$3,実績!$AI$6:$AI$505,"&lt;="&amp;$A240,実績!$AJ$6:$AJ$505,"&gt;"&amp;$A240,実績!$AL$6:$AL$505,"○")&gt;0,1,0))</f>
        <v>0</v>
      </c>
      <c r="AI240" s="39" t="n">
        <f aca="false">IF(AI$4=0,0,IF(COUNTIFS(実績!$W$6:$W$505,AI$3,実績!$AI$6:$AI$505,"&lt;="&amp;$A240,実績!$AJ$6:$AJ$505,"&gt;"&amp;$A240,実績!$AL$6:$AL$505,"○")&gt;0,1,0))</f>
        <v>0</v>
      </c>
      <c r="AJ240" s="39" t="n">
        <f aca="false">IF(AJ$4=0,0,IF(COUNTIFS(実績!$W$6:$W$505,AJ$3,実績!$AI$6:$AI$505,"&lt;="&amp;$A240,実績!$AJ$6:$AJ$505,"&gt;"&amp;$A240,実績!$AL$6:$AL$505,"○")&gt;0,1,0))</f>
        <v>0</v>
      </c>
      <c r="AK240" s="39" t="n">
        <f aca="false">IF(AK$4=0,0,IF(COUNTIFS(実績!$W$6:$W$505,AK$3,実績!$AI$6:$AI$505,"&lt;="&amp;$A240,実績!$AJ$6:$AJ$505,"&gt;"&amp;$A240,実績!$AL$6:$AL$505,"○")&gt;0,1,0))</f>
        <v>0</v>
      </c>
      <c r="AL240" s="39" t="n">
        <f aca="false">IF(AL$4=0,0,IF(COUNTIFS(実績!$W$6:$W$505,AL$3,実績!$AI$6:$AI$505,"&lt;="&amp;$A240,実績!$AJ$6:$AJ$505,"&gt;"&amp;$A240,実績!$AL$6:$AL$505,"○")&gt;0,1,0))</f>
        <v>0</v>
      </c>
      <c r="AM240" s="39" t="n">
        <f aca="false">IF(AM$4=0,0,IF(COUNTIFS(実績!$W$6:$W$505,AM$3,実績!$AI$6:$AI$505,"&lt;="&amp;$A240,実績!$AJ$6:$AJ$505,"&gt;"&amp;$A240,実績!$AL$6:$AL$505,"○")&gt;0,1,0))</f>
        <v>0</v>
      </c>
      <c r="AN240" s="39" t="n">
        <f aca="false">IF(AN$4=0,0,IF(COUNTIFS(実績!$W$6:$W$505,AN$3,実績!$AI$6:$AI$505,"&lt;="&amp;$A240,実績!$AJ$6:$AJ$505,"&gt;"&amp;$A240,実績!$AL$6:$AL$505,"○")&gt;0,1,0))</f>
        <v>0</v>
      </c>
      <c r="AO240" s="39" t="n">
        <f aca="false">IF(AO$4=0,0,IF(COUNTIFS(実績!$W$6:$W$505,AO$3,実績!$AI$6:$AI$505,"&lt;="&amp;$A240,実績!$AJ$6:$AJ$505,"&gt;"&amp;$A240,実績!$AL$6:$AL$505,"○")&gt;0,1,0))</f>
        <v>0</v>
      </c>
      <c r="AP240" s="39" t="n">
        <f aca="false">IF(AP$4=0,0,IF(COUNTIFS(実績!$W$6:$W$505,AP$3,実績!$AI$6:$AI$505,"&lt;="&amp;$A240,実績!$AJ$6:$AJ$505,"&gt;"&amp;$A240,実績!$AL$6:$AL$505,"○")&gt;0,1,0))</f>
        <v>0</v>
      </c>
      <c r="AQ240" s="39" t="n">
        <f aca="false">IF(AQ$4=0,0,IF(COUNTIFS(実績!$W$6:$W$505,AQ$3,実績!$AI$6:$AI$505,"&lt;="&amp;$A240,実績!$AJ$6:$AJ$505,"&gt;"&amp;$A240,実績!$AL$6:$AL$505,"○")&gt;0,1,0))</f>
        <v>0</v>
      </c>
      <c r="AR240" s="39" t="n">
        <f aca="false">IF(AR$4=0,0,IF(COUNTIFS(実績!$W$6:$W$505,AR$3,実績!$AI$6:$AI$505,"&lt;="&amp;$A240,実績!$AJ$6:$AJ$505,"&gt;"&amp;$A240,実績!$AL$6:$AL$505,"○")&gt;0,1,0))</f>
        <v>0</v>
      </c>
      <c r="AS240" s="39" t="n">
        <f aca="false">IF(AS$4=0,0,IF(COUNTIFS(実績!$W$6:$W$505,AS$3,実績!$AI$6:$AI$505,"&lt;="&amp;$A240,実績!$AJ$6:$AJ$505,"&gt;"&amp;$A240,実績!$AL$6:$AL$505,"○")&gt;0,1,0))</f>
        <v>0</v>
      </c>
      <c r="AT240" s="39" t="n">
        <f aca="false">IF(AT$4=0,0,IF(COUNTIFS(実績!$W$6:$W$505,AT$3,実績!$AI$6:$AI$505,"&lt;="&amp;$A240,実績!$AJ$6:$AJ$505,"&gt;"&amp;$A240,実績!$AL$6:$AL$505,"○")&gt;0,1,0))</f>
        <v>0</v>
      </c>
      <c r="AU240" s="39" t="n">
        <f aca="false">IF(AU$4=0,0,IF(COUNTIFS(実績!$W$6:$W$505,AU$3,実績!$AI$6:$AI$505,"&lt;="&amp;$A240,実績!$AJ$6:$AJ$505,"&gt;"&amp;$A240,実績!$AL$6:$AL$505,"○")&gt;0,1,0))</f>
        <v>0</v>
      </c>
      <c r="AV240" s="39" t="n">
        <f aca="false">IF(AV$4=0,0,IF(COUNTIFS(実績!$W$6:$W$505,AV$3,実績!$AI$6:$AI$505,"&lt;="&amp;$A240,実績!$AJ$6:$AJ$505,"&gt;"&amp;$A240,実績!$AL$6:$AL$505,"○")&gt;0,1,0))</f>
        <v>0</v>
      </c>
      <c r="AW240" s="39" t="n">
        <f aca="false">IF(AW$4=0,0,IF(COUNTIFS(実績!$W$6:$W$505,AW$3,実績!$AI$6:$AI$505,"&lt;="&amp;$A240,実績!$AJ$6:$AJ$505,"&gt;"&amp;$A240,実績!$AL$6:$AL$505,"○")&gt;0,1,0))</f>
        <v>0</v>
      </c>
      <c r="AX240" s="39" t="n">
        <f aca="false">IF(AX$4=0,0,IF(COUNTIFS(実績!$W$6:$W$505,AX$3,実績!$AI$6:$AI$505,"&lt;="&amp;$A240,実績!$AJ$6:$AJ$505,"&gt;"&amp;$A240,実績!$AL$6:$AL$505,"○")&gt;0,1,0))</f>
        <v>0</v>
      </c>
      <c r="AY240" s="39" t="n">
        <f aca="false">IF(AY$4=0,0,IF(COUNTIFS(実績!$W$6:$W$505,AY$3,実績!$AI$6:$AI$505,"&lt;="&amp;$A240,実績!$AJ$6:$AJ$505,"&gt;"&amp;$A240,実績!$AL$6:$AL$505,"○")&gt;0,1,0))</f>
        <v>0</v>
      </c>
      <c r="AZ240" s="39" t="n">
        <f aca="false">IF(AZ$4=0,0,IF(COUNTIFS(実績!$W$6:$W$505,AZ$3,実績!$AI$6:$AI$505,"&lt;="&amp;$A240,実績!$AJ$6:$AJ$505,"&gt;"&amp;$A240,実績!$AL$6:$AL$505,"○")&gt;0,1,0))</f>
        <v>0</v>
      </c>
      <c r="BA240" s="39" t="n">
        <f aca="false">IF(BA$4=0,0,IF(COUNTIFS(実績!$W$6:$W$505,BA$3,実績!$AI$6:$AI$505,"&lt;="&amp;$A240,実績!$AJ$6:$AJ$505,"&gt;"&amp;$A240,実績!$AL$6:$AL$505,"○")&gt;0,1,0))</f>
        <v>0</v>
      </c>
      <c r="BB240" s="39" t="n">
        <f aca="false">IF(BB$4=0,0,IF(COUNTIFS(実績!$W$6:$W$505,BB$3,実績!$AI$6:$AI$505,"&lt;="&amp;$A240,実績!$AJ$6:$AJ$505,"&gt;"&amp;$A240,実績!$AL$6:$AL$505,"○")&gt;0,1,0))</f>
        <v>0</v>
      </c>
      <c r="BC240" s="39" t="n">
        <f aca="false">IF(BC$4=0,0,IF(COUNTIFS(実績!$W$6:$W$505,BC$3,実績!$AI$6:$AI$505,"&lt;="&amp;$A240,実績!$AJ$6:$AJ$505,"&gt;"&amp;$A240,実績!$AL$6:$AL$505,"○")&gt;0,1,0))</f>
        <v>0</v>
      </c>
      <c r="BD240" s="39" t="n">
        <f aca="false">IF(BD$4=0,0,IF(COUNTIFS(実績!$W$6:$W$505,BD$3,実績!$AI$6:$AI$505,"&lt;="&amp;$A240,実績!$AJ$6:$AJ$505,"&gt;"&amp;$A240,実績!$AL$6:$AL$505,"○")&gt;0,1,0))</f>
        <v>0</v>
      </c>
      <c r="BE240" s="39" t="n">
        <f aca="false">IF(BE$4=0,0,IF(COUNTIFS(実績!$W$6:$W$505,BE$3,実績!$AI$6:$AI$505,"&lt;="&amp;$A240,実績!$AJ$6:$AJ$505,"&gt;"&amp;$A240,実績!$AL$6:$AL$505,"○")&gt;0,1,0))</f>
        <v>0</v>
      </c>
      <c r="BF240" s="39" t="n">
        <f aca="false">IF(BF$4=0,0,IF(COUNTIFS(実績!$W$6:$W$505,BF$3,実績!$AI$6:$AI$505,"&lt;="&amp;$A240,実績!$AJ$6:$AJ$505,"&gt;"&amp;$A240,実績!$AL$6:$AL$505,"○")&gt;0,1,0))</f>
        <v>0</v>
      </c>
      <c r="BG240" s="39" t="n">
        <f aca="false">IF(BG$4=0,0,IF(COUNTIFS(実績!$W$6:$W$505,BG$3,実績!$AI$6:$AI$505,"&lt;="&amp;$A240,実績!$AJ$6:$AJ$505,"&gt;"&amp;$A240,実績!$AL$6:$AL$505,"○")&gt;0,1,0))</f>
        <v>0</v>
      </c>
      <c r="BH240" s="39" t="n">
        <f aca="false">IF(BH$4=0,0,IF(COUNTIFS(実績!$W$6:$W$505,BH$3,実績!$AI$6:$AI$505,"&lt;="&amp;$A240,実績!$AJ$6:$AJ$505,"&gt;"&amp;$A240,実績!$AL$6:$AL$505,"○")&gt;0,1,0))</f>
        <v>0</v>
      </c>
      <c r="BI240" s="39" t="n">
        <f aca="false">IF(BI$4=0,0,IF(COUNTIFS(実績!$W$6:$W$505,BI$3,実績!$AI$6:$AI$505,"&lt;="&amp;$A240,実績!$AJ$6:$AJ$505,"&gt;"&amp;$A240,実績!$AL$6:$AL$505,"○")&gt;0,1,0))</f>
        <v>0</v>
      </c>
      <c r="BJ240" s="39" t="n">
        <f aca="false">IF(BJ$4=0,0,IF(COUNTIFS(実績!$W$6:$W$505,BJ$3,実績!$AI$6:$AI$505,"&lt;="&amp;$A240,実績!$AJ$6:$AJ$505,"&gt;"&amp;$A240,実績!$AL$6:$AL$505,"○")&gt;0,1,0))</f>
        <v>0</v>
      </c>
      <c r="BK240" s="39" t="n">
        <f aca="false">IF(BK$4=0,0,IF(COUNTIFS(実績!$W$6:$W$505,BK$3,実績!$AI$6:$AI$505,"&lt;="&amp;$A240,実績!$AJ$6:$AJ$505,"&gt;"&amp;$A240,実績!$AL$6:$AL$505,"○")&gt;0,1,0))</f>
        <v>0</v>
      </c>
      <c r="BL240" s="39" t="n">
        <f aca="false">IF(BL$4=0,0,IF(COUNTIFS(実績!$W$6:$W$505,BL$3,実績!$AI$6:$AI$505,"&lt;="&amp;$A240,実績!$AJ$6:$AJ$505,"&gt;"&amp;$A240,実績!$AL$6:$AL$505,"○")&gt;0,1,0))</f>
        <v>0</v>
      </c>
      <c r="BM240" s="39" t="n">
        <f aca="false">IF(BM$4=0,0,IF(COUNTIFS(実績!$W$6:$W$505,BM$3,実績!$AI$6:$AI$505,"&lt;="&amp;$A240,実績!$AJ$6:$AJ$505,"&gt;"&amp;$A240,実績!$AL$6:$AL$505,"○")&gt;0,1,0))</f>
        <v>0</v>
      </c>
      <c r="BN240" s="39" t="n">
        <f aca="false">IF(BN$4=0,0,IF(COUNTIFS(実績!$W$6:$W$505,BN$3,実績!$AI$6:$AI$505,"&lt;="&amp;$A240,実績!$AJ$6:$AJ$505,"&gt;"&amp;$A240,実績!$AL$6:$AL$505,"○")&gt;0,1,0))</f>
        <v>0</v>
      </c>
      <c r="BO240" s="39" t="n">
        <f aca="false">IF(BO$4=0,0,IF(COUNTIFS(実績!$W$6:$W$505,BO$3,実績!$AI$6:$AI$505,"&lt;="&amp;$A240,実績!$AJ$6:$AJ$505,"&gt;"&amp;$A240,実績!$AL$6:$AL$505,"○")&gt;0,1,0))</f>
        <v>0</v>
      </c>
      <c r="BP240" s="39" t="n">
        <f aca="false">IF(BP$4=0,0,IF(COUNTIFS(実績!$W$6:$W$505,BP$3,実績!$AI$6:$AI$505,"&lt;="&amp;$A240,実績!$AJ$6:$AJ$505,"&gt;"&amp;$A240,実績!$AL$6:$AL$505,"○")&gt;0,1,0))</f>
        <v>0</v>
      </c>
      <c r="BQ240" s="39" t="n">
        <f aca="false">IF(BQ$4=0,0,IF(COUNTIFS(実績!$W$6:$W$505,BQ$3,実績!$AI$6:$AI$505,"&lt;="&amp;$A240,実績!$AJ$6:$AJ$505,"&gt;"&amp;$A240,実績!$AL$6:$AL$505,"○")&gt;0,1,0))</f>
        <v>0</v>
      </c>
      <c r="BR240" s="39" t="n">
        <f aca="false">IF(BR$4=0,0,IF(COUNTIFS(実績!$W$6:$W$505,BR$3,実績!$AI$6:$AI$505,"&lt;="&amp;$A240,実績!$AJ$6:$AJ$505,"&gt;"&amp;$A240,実績!$AL$6:$AL$505,"○")&gt;0,1,0))</f>
        <v>0</v>
      </c>
      <c r="BS240" s="39" t="n">
        <f aca="false">IF(BS$4=0,0,IF(COUNTIFS(実績!$W$6:$W$505,BS$3,実績!$AI$6:$AI$505,"&lt;="&amp;$A240,実績!$AJ$6:$AJ$505,"&gt;"&amp;$A240,実績!$AL$6:$AL$505,"○")&gt;0,1,0))</f>
        <v>0</v>
      </c>
      <c r="BT240" s="39" t="n">
        <f aca="false">IF(BT$4=0,0,IF(COUNTIFS(実績!$W$6:$W$505,BT$3,実績!$AI$6:$AI$505,"&lt;="&amp;$A240,実績!$AJ$6:$AJ$505,"&gt;"&amp;$A240,実績!$AL$6:$AL$505,"○")&gt;0,1,0))</f>
        <v>0</v>
      </c>
      <c r="BU240" s="39" t="n">
        <f aca="false">IF(BU$4=0,0,IF(COUNTIFS(実績!$W$6:$W$505,BU$3,実績!$AI$6:$AI$505,"&lt;="&amp;$A240,実績!$AJ$6:$AJ$505,"&gt;"&amp;$A240,実績!$AL$6:$AL$505,"○")&gt;0,1,0))</f>
        <v>0</v>
      </c>
      <c r="BV240" s="39" t="n">
        <f aca="false">IF(BV$4=0,0,IF(COUNTIFS(実績!$W$6:$W$505,BV$3,実績!$AI$6:$AI$505,"&lt;="&amp;$A240,実績!$AJ$6:$AJ$505,"&gt;"&amp;$A240,実績!$AL$6:$AL$505,"○")&gt;0,1,0))</f>
        <v>0</v>
      </c>
      <c r="BW240" s="39" t="n">
        <f aca="false">IF(BW$4=0,0,IF(COUNTIFS(実績!$W$6:$W$505,BW$3,実績!$AI$6:$AI$505,"&lt;="&amp;$A240,実績!$AJ$6:$AJ$505,"&gt;"&amp;$A240,実績!$AL$6:$AL$505,"○")&gt;0,1,0))</f>
        <v>0</v>
      </c>
      <c r="BX240" s="39" t="n">
        <f aca="false">IF(BX$4=0,0,IF(COUNTIFS(実績!$W$6:$W$505,BX$3,実績!$AI$6:$AI$505,"&lt;="&amp;$A240,実績!$AJ$6:$AJ$505,"&gt;"&amp;$A240,実績!$AL$6:$AL$505,"○")&gt;0,1,0))</f>
        <v>0</v>
      </c>
      <c r="BY240" s="39" t="n">
        <f aca="false">IF(BY$4=0,0,IF(COUNTIFS(実績!$W$6:$W$505,BY$3,実績!$AI$6:$AI$505,"&lt;="&amp;$A240,実績!$AJ$6:$AJ$505,"&gt;"&amp;$A240,実績!$AL$6:$AL$505,"○")&gt;0,1,0))</f>
        <v>0</v>
      </c>
      <c r="BZ240" s="39" t="n">
        <f aca="false">IF(BZ$4=0,0,IF(COUNTIFS(実績!$W$6:$W$505,BZ$3,実績!$AI$6:$AI$505,"&lt;="&amp;$A240,実績!$AJ$6:$AJ$505,"&gt;"&amp;$A240,実績!$AL$6:$AL$505,"○")&gt;0,1,0))</f>
        <v>0</v>
      </c>
      <c r="CA240" s="39" t="n">
        <f aca="false">IF(CA$4=0,0,IF(COUNTIFS(実績!$W$6:$W$505,CA$3,実績!$AI$6:$AI$505,"&lt;="&amp;$A240,実績!$AJ$6:$AJ$505,"&gt;"&amp;$A240,実績!$AL$6:$AL$505,"○")&gt;0,1,0))</f>
        <v>0</v>
      </c>
      <c r="CB240" s="39" t="n">
        <f aca="false">IF(CB$4=0,0,IF(COUNTIFS(実績!$W$6:$W$505,CB$3,実績!$AI$6:$AI$505,"&lt;="&amp;$A240,実績!$AJ$6:$AJ$505,"&gt;"&amp;$A240,実績!$AL$6:$AL$505,"○")&gt;0,1,0))</f>
        <v>0</v>
      </c>
      <c r="CC240" s="39" t="n">
        <f aca="false">IF(CC$4=0,0,IF(COUNTIFS(実績!$W$6:$W$505,CC$3,実績!$AI$6:$AI$505,"&lt;="&amp;$A240,実績!$AJ$6:$AJ$505,"&gt;"&amp;$A240,実績!$AL$6:$AL$505,"○")&gt;0,1,0))</f>
        <v>0</v>
      </c>
      <c r="CD240" s="39" t="n">
        <f aca="false">IF(CD$4=0,0,IF(COUNTIFS(実績!$W$6:$W$505,CD$3,実績!$AI$6:$AI$505,"&lt;="&amp;$A240,実績!$AJ$6:$AJ$505,"&gt;"&amp;$A240,実績!$AL$6:$AL$505,"○")&gt;0,1,0))</f>
        <v>0</v>
      </c>
      <c r="CE240" s="39" t="n">
        <f aca="false">IF(CE$4=0,0,IF(COUNTIFS(実績!$W$6:$W$505,CE$3,実績!$AI$6:$AI$505,"&lt;="&amp;$A240,実績!$AJ$6:$AJ$505,"&gt;"&amp;$A240,実績!$AL$6:$AL$505,"○")&gt;0,1,0))</f>
        <v>0</v>
      </c>
      <c r="CF240" s="39" t="n">
        <f aca="false">IF(CF$4=0,0,IF(COUNTIFS(実績!$W$6:$W$505,CF$3,実績!$AI$6:$AI$505,"&lt;="&amp;$A240,実績!$AJ$6:$AJ$505,"&gt;"&amp;$A240,実績!$AL$6:$AL$505,"○")&gt;0,1,0))</f>
        <v>0</v>
      </c>
      <c r="CG240" s="39" t="n">
        <f aca="false">IF(CG$4=0,0,IF(COUNTIFS(実績!$W$6:$W$505,CG$3,実績!$AI$6:$AI$505,"&lt;="&amp;$A240,実績!$AJ$6:$AJ$505,"&gt;"&amp;$A240,実績!$AL$6:$AL$505,"○")&gt;0,1,0))</f>
        <v>0</v>
      </c>
      <c r="CH240" s="39" t="n">
        <f aca="false">IF(CH$4=0,0,IF(COUNTIFS(実績!$W$6:$W$505,CH$3,実績!$AI$6:$AI$505,"&lt;="&amp;$A240,実績!$AJ$6:$AJ$505,"&gt;"&amp;$A240,実績!$AL$6:$AL$505,"○")&gt;0,1,0))</f>
        <v>0</v>
      </c>
      <c r="CI240" s="39" t="n">
        <f aca="false">IF(CI$4=0,0,IF(COUNTIFS(実績!$W$6:$W$505,CI$3,実績!$AI$6:$AI$505,"&lt;="&amp;$A240,実績!$AJ$6:$AJ$505,"&gt;"&amp;$A240,実績!$AL$6:$AL$505,"○")&gt;0,1,0))</f>
        <v>0</v>
      </c>
      <c r="CJ240" s="39" t="n">
        <f aca="false">IF(CJ$4=0,0,IF(COUNTIFS(実績!$W$6:$W$505,CJ$3,実績!$AI$6:$AI$505,"&lt;="&amp;$A240,実績!$AJ$6:$AJ$505,"&gt;"&amp;$A240,実績!$AL$6:$AL$505,"○")&gt;0,1,0))</f>
        <v>0</v>
      </c>
      <c r="CK240" s="39" t="n">
        <f aca="false">IF(CK$4=0,0,IF(COUNTIFS(実績!$W$6:$W$505,CK$3,実績!$AI$6:$AI$505,"&lt;="&amp;$A240,実績!$AJ$6:$AJ$505,"&gt;"&amp;$A240,実績!$AL$6:$AL$505,"○")&gt;0,1,0))</f>
        <v>0</v>
      </c>
      <c r="CL240" s="39" t="n">
        <f aca="false">IF(CL$4=0,0,IF(COUNTIFS(実績!$W$6:$W$505,CL$3,実績!$AI$6:$AI$505,"&lt;="&amp;$A240,実績!$AJ$6:$AJ$505,"&gt;"&amp;$A240,実績!$AL$6:$AL$505,"○")&gt;0,1,0))</f>
        <v>0</v>
      </c>
      <c r="CM240" s="39" t="n">
        <f aca="false">IF(CM$4=0,0,IF(COUNTIFS(実績!$W$6:$W$505,CM$3,実績!$AI$6:$AI$505,"&lt;="&amp;$A240,実績!$AJ$6:$AJ$505,"&gt;"&amp;$A240,実績!$AL$6:$AL$505,"○")&gt;0,1,0))</f>
        <v>0</v>
      </c>
      <c r="CN240" s="39" t="n">
        <f aca="false">IF(CN$4=0,0,IF(COUNTIFS(実績!$W$6:$W$505,CN$3,実績!$AI$6:$AI$505,"&lt;="&amp;$A240,実績!$AJ$6:$AJ$505,"&gt;"&amp;$A240,実績!$AL$6:$AL$505,"○")&gt;0,1,0))</f>
        <v>0</v>
      </c>
      <c r="CO240" s="39" t="n">
        <f aca="false">IF(CO$4=0,0,IF(COUNTIFS(実績!$W$6:$W$505,CO$3,実績!$AI$6:$AI$505,"&lt;="&amp;$A240,実績!$AJ$6:$AJ$505,"&gt;"&amp;$A240,実績!$AL$6:$AL$505,"○")&gt;0,1,0))</f>
        <v>0</v>
      </c>
      <c r="CP240" s="39" t="n">
        <f aca="false">IF(CP$4=0,0,IF(COUNTIFS(実績!$W$6:$W$505,CP$3,実績!$AI$6:$AI$505,"&lt;="&amp;$A240,実績!$AJ$6:$AJ$505,"&gt;"&amp;$A240,実績!$AL$6:$AL$505,"○")&gt;0,1,0))</f>
        <v>0</v>
      </c>
      <c r="CQ240" s="39" t="n">
        <f aca="false">IF(CQ$4=0,0,IF(COUNTIFS(実績!$W$6:$W$505,CQ$3,実績!$AI$6:$AI$505,"&lt;="&amp;$A240,実績!$AJ$6:$AJ$505,"&gt;"&amp;$A240,実績!$AL$6:$AL$505,"○")&gt;0,1,0))</f>
        <v>0</v>
      </c>
      <c r="CR240" s="39" t="n">
        <f aca="false">IF(CR$4=0,0,IF(COUNTIFS(実績!$W$6:$W$505,CR$3,実績!$AI$6:$AI$505,"&lt;="&amp;$A240,実績!$AJ$6:$AJ$505,"&gt;"&amp;$A240,実績!$AL$6:$AL$505,"○")&gt;0,1,0))</f>
        <v>0</v>
      </c>
      <c r="CS240" s="39" t="n">
        <f aca="false">IF(CS$4=0,0,IF(COUNTIFS(実績!$W$6:$W$505,CS$3,実績!$AI$6:$AI$505,"&lt;="&amp;$A240,実績!$AJ$6:$AJ$505,"&gt;"&amp;$A240,実績!$AL$6:$AL$505,"○")&gt;0,1,0))</f>
        <v>0</v>
      </c>
      <c r="CT240" s="39" t="n">
        <f aca="false">IF(CT$4=0,0,IF(COUNTIFS(実績!$W$6:$W$505,CT$3,実績!$AI$6:$AI$505,"&lt;="&amp;$A240,実績!$AJ$6:$AJ$505,"&gt;"&amp;$A240,実績!$AL$6:$AL$505,"○")&gt;0,1,0))</f>
        <v>0</v>
      </c>
      <c r="CU240" s="39" t="n">
        <f aca="false">IF(CU$4=0,0,IF(COUNTIFS(実績!$W$6:$W$505,CU$3,実績!$AI$6:$AI$505,"&lt;="&amp;$A240,実績!$AJ$6:$AJ$505,"&gt;"&amp;$A240,実績!$AL$6:$AL$505,"○")&gt;0,1,0))</f>
        <v>0</v>
      </c>
      <c r="CV240" s="39" t="n">
        <f aca="false">IF(CV$4=0,0,IF(COUNTIFS(実績!$W$6:$W$505,CV$3,実績!$AI$6:$AI$505,"&lt;="&amp;$A240,実績!$AJ$6:$AJ$505,"&gt;"&amp;$A240,実績!$AL$6:$AL$505,"○")&gt;0,1,0))</f>
        <v>0</v>
      </c>
      <c r="CW240" s="39" t="n">
        <f aca="false">IF(CW$4=0,0,IF(COUNTIFS(実績!$W$6:$W$505,CW$3,実績!$AI$6:$AI$505,"&lt;="&amp;$A240,実績!$AJ$6:$AJ$505,"&gt;"&amp;$A240,実績!$AL$6:$AL$505,"○")&gt;0,1,0))</f>
        <v>0</v>
      </c>
      <c r="CX240" s="39" t="n">
        <f aca="false">IF(CX$4=0,0,IF(COUNTIFS(実績!$W$6:$W$505,CX$3,実績!$AI$6:$AI$505,"&lt;="&amp;$A240,実績!$AJ$6:$AJ$505,"&gt;"&amp;$A240,実績!$AL$6:$AL$505,"○")&gt;0,1,0))</f>
        <v>0</v>
      </c>
      <c r="CY240" s="39" t="n">
        <f aca="false">IF(CY$4=0,0,IF(COUNTIFS(実績!$W$6:$W$505,CY$3,実績!$AI$6:$AI$505,"&lt;="&amp;$A240,実績!$AJ$6:$AJ$505,"&gt;"&amp;$A240,実績!$AL$6:$AL$505,"○")&gt;0,1,0))</f>
        <v>0</v>
      </c>
      <c r="CZ240" s="39" t="n">
        <f aca="false">IF(CZ$4=0,0,IF(COUNTIFS(実績!$W$6:$W$505,CZ$3,実績!$AI$6:$AI$505,"&lt;="&amp;$A240,実績!$AJ$6:$AJ$505,"&gt;"&amp;$A240,実績!$AL$6:$AL$505,"○")&gt;0,1,0))</f>
        <v>0</v>
      </c>
      <c r="DA240" s="39" t="n">
        <f aca="false">IF(DA$4=0,0,IF(COUNTIFS(実績!$W$6:$W$505,DA$3,実績!$AI$6:$AI$505,"&lt;="&amp;$A240,実績!$AJ$6:$AJ$505,"&gt;"&amp;$A240,実績!$AL$6:$AL$505,"○")&gt;0,1,0))</f>
        <v>0</v>
      </c>
      <c r="DB240" s="39" t="n">
        <f aca="false">IF(DB$4=0,0,IF(COUNTIFS(実績!$W$6:$W$505,DB$3,実績!$AI$6:$AI$505,"&lt;="&amp;$A240,実績!$AJ$6:$AJ$505,"&gt;"&amp;$A240,実績!$AL$6:$AL$505,"○")&gt;0,1,0))</f>
        <v>0</v>
      </c>
      <c r="DC240" s="39" t="n">
        <f aca="false">IF(DC$4=0,0,IF(COUNTIFS(実績!$W$6:$W$505,DC$3,実績!$AI$6:$AI$505,"&lt;="&amp;$A240,実績!$AJ$6:$AJ$505,"&gt;"&amp;$A240,実績!$AL$6:$AL$505,"○")&gt;0,1,0))</f>
        <v>0</v>
      </c>
      <c r="DD240" s="39" t="n">
        <f aca="false">IF(DD$4=0,0,IF(COUNTIFS(実績!$W$6:$W$505,DD$3,実績!$AI$6:$AI$505,"&lt;="&amp;$A240,実績!$AJ$6:$AJ$505,"&gt;"&amp;$A240,実績!$AL$6:$AL$505,"○")&gt;0,1,0))</f>
        <v>0</v>
      </c>
      <c r="DE240" s="39" t="n">
        <f aca="false">IF(DE$4=0,0,IF(COUNTIFS(実績!$W$6:$W$505,DE$3,実績!$AI$6:$AI$505,"&lt;="&amp;$A240,実績!$AJ$6:$AJ$505,"&gt;"&amp;$A240,実績!$AL$6:$AL$505,"○")&gt;0,1,0))</f>
        <v>0</v>
      </c>
      <c r="DF240" s="39" t="n">
        <f aca="false">IF(DF$4=0,0,IF(COUNTIFS(実績!$W$6:$W$505,DF$3,実績!$AI$6:$AI$505,"&lt;="&amp;$A240,実績!$AJ$6:$AJ$505,"&gt;"&amp;$A240,実績!$AL$6:$AL$505,"○")&gt;0,1,0))</f>
        <v>0</v>
      </c>
      <c r="DG240" s="39" t="n">
        <f aca="false">IF(DG$4=0,0,IF(COUNTIFS(実績!$W$6:$W$505,DG$3,実績!$AI$6:$AI$505,"&lt;="&amp;$A240,実績!$AJ$6:$AJ$505,"&gt;"&amp;$A240,実績!$AL$6:$AL$505,"○")&gt;0,1,0))</f>
        <v>0</v>
      </c>
      <c r="DH240" s="39" t="n">
        <f aca="false">IF(DH$4=0,0,IF(COUNTIFS(実績!$W$6:$W$505,DH$3,実績!$AI$6:$AI$505,"&lt;="&amp;$A240,実績!$AJ$6:$AJ$505,"&gt;"&amp;$A240,実績!$AL$6:$AL$505,"○")&gt;0,1,0))</f>
        <v>0</v>
      </c>
      <c r="DI240" s="39" t="n">
        <f aca="false">IF(DI$4=0,0,IF(COUNTIFS(実績!$W$6:$W$505,DI$3,実績!$AI$6:$AI$505,"&lt;="&amp;$A240,実績!$AJ$6:$AJ$505,"&gt;"&amp;$A240,実績!$AL$6:$AL$505,"○")&gt;0,1,0))</f>
        <v>0</v>
      </c>
      <c r="DJ240" s="39" t="n">
        <f aca="false">IF(DJ$4=0,0,IF(COUNTIFS(実績!$W$6:$W$505,DJ$3,実績!$AI$6:$AI$505,"&lt;="&amp;$A240,実績!$AJ$6:$AJ$505,"&gt;"&amp;$A240,実績!$AL$6:$AL$505,"○")&gt;0,1,0))</f>
        <v>0</v>
      </c>
      <c r="DK240" s="39" t="n">
        <f aca="false">IF(DK$4=0,0,IF(COUNTIFS(実績!$W$6:$W$505,DK$3,実績!$AI$6:$AI$505,"&lt;="&amp;$A240,実績!$AJ$6:$AJ$505,"&gt;"&amp;$A240,実績!$AL$6:$AL$505,"○")&gt;0,1,0))</f>
        <v>0</v>
      </c>
      <c r="DL240" s="39" t="n">
        <f aca="false">IF(DL$4=0,0,IF(COUNTIFS(実績!$W$6:$W$505,DL$3,実績!$AI$6:$AI$505,"&lt;="&amp;$A240,実績!$AJ$6:$AJ$505,"&gt;"&amp;$A240,実績!$AL$6:$AL$505,"○")&gt;0,1,0))</f>
        <v>0</v>
      </c>
      <c r="DM240" s="39" t="n">
        <f aca="false">IF(DM$4=0,0,IF(COUNTIFS(実績!$W$6:$W$505,DM$3,実績!$AI$6:$AI$505,"&lt;="&amp;$A240,実績!$AJ$6:$AJ$505,"&gt;"&amp;$A240,実績!$AL$6:$AL$505,"○")&gt;0,1,0))</f>
        <v>0</v>
      </c>
      <c r="DN240" s="39" t="n">
        <f aca="false">IF(DN$4=0,0,IF(COUNTIFS(実績!$W$6:$W$505,DN$3,実績!$AI$6:$AI$505,"&lt;="&amp;$A240,実績!$AJ$6:$AJ$505,"&gt;"&amp;$A240,実績!$AL$6:$AL$505,"○")&gt;0,1,0))</f>
        <v>0</v>
      </c>
      <c r="DO240" s="39" t="n">
        <f aca="false">IF(DO$4=0,0,IF(COUNTIFS(実績!$W$6:$W$505,DO$3,実績!$AI$6:$AI$505,"&lt;="&amp;$A240,実績!$AJ$6:$AJ$505,"&gt;"&amp;$A240,実績!$AL$6:$AL$505,"○")&gt;0,1,0))</f>
        <v>0</v>
      </c>
      <c r="DP240" s="39" t="n">
        <f aca="false">IF(DP$4=0,0,IF(COUNTIFS(実績!$W$6:$W$505,DP$3,実績!$AI$6:$AI$505,"&lt;="&amp;$A240,実績!$AJ$6:$AJ$505,"&gt;"&amp;$A240,実績!$AL$6:$AL$505,"○")&gt;0,1,0))</f>
        <v>0</v>
      </c>
      <c r="DQ240" s="39" t="n">
        <f aca="false">IF(DQ$4=0,0,IF(COUNTIFS(実績!$W$6:$W$505,DQ$3,実績!$AI$6:$AI$505,"&lt;="&amp;$A240,実績!$AJ$6:$AJ$505,"&gt;"&amp;$A240,実績!$AL$6:$AL$505,"○")&gt;0,1,0))</f>
        <v>0</v>
      </c>
      <c r="DR240" s="39" t="n">
        <f aca="false">IF(DR$4=0,0,IF(COUNTIFS(実績!$W$6:$W$505,DR$3,実績!$AI$6:$AI$505,"&lt;="&amp;$A240,実績!$AJ$6:$AJ$505,"&gt;"&amp;$A240,実績!$AL$6:$AL$505,"○")&gt;0,1,0))</f>
        <v>0</v>
      </c>
      <c r="DS240" s="39" t="n">
        <f aca="false">SUM(C240:DR240)</f>
        <v>0</v>
      </c>
    </row>
    <row r="241" customFormat="false" ht="15" hidden="false" customHeight="false" outlineLevel="0" collapsed="false">
      <c r="A241" s="0" t="n">
        <v>1175</v>
      </c>
      <c r="B241" s="38" t="n">
        <f aca="false">A241/1440</f>
        <v>0.815972222222222</v>
      </c>
      <c r="C241" s="39" t="n">
        <f aca="false">IF(C$4=0,0,IF(COUNTIFS(実績!$W$6:$W$505,C$3,実績!$AI$6:$AI$505,"&lt;="&amp;$A241,実績!$AJ$6:$AJ$505,"&gt;"&amp;$A241,実績!$AL$6:$AL$505,"○")&gt;0,1,0))</f>
        <v>0</v>
      </c>
      <c r="D241" s="39" t="n">
        <f aca="false">IF(D$4=0,0,IF(COUNTIFS(実績!$W$6:$W$505,D$3,実績!$AI$6:$AI$505,"&lt;="&amp;$A241,実績!$AJ$6:$AJ$505,"&gt;"&amp;$A241,実績!$AL$6:$AL$505,"○")&gt;0,1,0))</f>
        <v>0</v>
      </c>
      <c r="E241" s="39" t="n">
        <f aca="false">IF(E$4=0,0,IF(COUNTIFS(実績!$W$6:$W$505,E$3,実績!$AI$6:$AI$505,"&lt;="&amp;$A241,実績!$AJ$6:$AJ$505,"&gt;"&amp;$A241,実績!$AL$6:$AL$505,"○")&gt;0,1,0))</f>
        <v>0</v>
      </c>
      <c r="F241" s="39" t="n">
        <f aca="false">IF(F$4=0,0,IF(COUNTIFS(実績!$W$6:$W$505,F$3,実績!$AI$6:$AI$505,"&lt;="&amp;$A241,実績!$AJ$6:$AJ$505,"&gt;"&amp;$A241,実績!$AL$6:$AL$505,"○")&gt;0,1,0))</f>
        <v>0</v>
      </c>
      <c r="G241" s="39" t="n">
        <f aca="false">IF(G$4=0,0,IF(COUNTIFS(実績!$W$6:$W$505,G$3,実績!$AI$6:$AI$505,"&lt;="&amp;$A241,実績!$AJ$6:$AJ$505,"&gt;"&amp;$A241,実績!$AL$6:$AL$505,"○")&gt;0,1,0))</f>
        <v>0</v>
      </c>
      <c r="H241" s="39" t="n">
        <f aca="false">IF(H$4=0,0,IF(COUNTIFS(実績!$W$6:$W$505,H$3,実績!$AI$6:$AI$505,"&lt;="&amp;$A241,実績!$AJ$6:$AJ$505,"&gt;"&amp;$A241,実績!$AL$6:$AL$505,"○")&gt;0,1,0))</f>
        <v>0</v>
      </c>
      <c r="I241" s="39" t="n">
        <f aca="false">IF(I$4=0,0,IF(COUNTIFS(実績!$W$6:$W$505,I$3,実績!$AI$6:$AI$505,"&lt;="&amp;$A241,実績!$AJ$6:$AJ$505,"&gt;"&amp;$A241,実績!$AL$6:$AL$505,"○")&gt;0,1,0))</f>
        <v>0</v>
      </c>
      <c r="J241" s="39" t="n">
        <f aca="false">IF(J$4=0,0,IF(COUNTIFS(実績!$W$6:$W$505,J$3,実績!$AI$6:$AI$505,"&lt;="&amp;$A241,実績!$AJ$6:$AJ$505,"&gt;"&amp;$A241,実績!$AL$6:$AL$505,"○")&gt;0,1,0))</f>
        <v>0</v>
      </c>
      <c r="K241" s="39" t="n">
        <f aca="false">IF(K$4=0,0,IF(COUNTIFS(実績!$W$6:$W$505,K$3,実績!$AI$6:$AI$505,"&lt;="&amp;$A241,実績!$AJ$6:$AJ$505,"&gt;"&amp;$A241,実績!$AL$6:$AL$505,"○")&gt;0,1,0))</f>
        <v>0</v>
      </c>
      <c r="L241" s="39" t="n">
        <f aca="false">IF(L$4=0,0,IF(COUNTIFS(実績!$W$6:$W$505,L$3,実績!$AI$6:$AI$505,"&lt;="&amp;$A241,実績!$AJ$6:$AJ$505,"&gt;"&amp;$A241,実績!$AL$6:$AL$505,"○")&gt;0,1,0))</f>
        <v>0</v>
      </c>
      <c r="M241" s="39" t="n">
        <f aca="false">IF(M$4=0,0,IF(COUNTIFS(実績!$W$6:$W$505,M$3,実績!$AI$6:$AI$505,"&lt;="&amp;$A241,実績!$AJ$6:$AJ$505,"&gt;"&amp;$A241,実績!$AL$6:$AL$505,"○")&gt;0,1,0))</f>
        <v>0</v>
      </c>
      <c r="N241" s="39" t="n">
        <f aca="false">IF(N$4=0,0,IF(COUNTIFS(実績!$W$6:$W$505,N$3,実績!$AI$6:$AI$505,"&lt;="&amp;$A241,実績!$AJ$6:$AJ$505,"&gt;"&amp;$A241,実績!$AL$6:$AL$505,"○")&gt;0,1,0))</f>
        <v>0</v>
      </c>
      <c r="O241" s="39" t="n">
        <f aca="false">IF(O$4=0,0,IF(COUNTIFS(実績!$W$6:$W$505,O$3,実績!$AI$6:$AI$505,"&lt;="&amp;$A241,実績!$AJ$6:$AJ$505,"&gt;"&amp;$A241,実績!$AL$6:$AL$505,"○")&gt;0,1,0))</f>
        <v>0</v>
      </c>
      <c r="P241" s="39" t="n">
        <f aca="false">IF(P$4=0,0,IF(COUNTIFS(実績!$W$6:$W$505,P$3,実績!$AI$6:$AI$505,"&lt;="&amp;$A241,実績!$AJ$6:$AJ$505,"&gt;"&amp;$A241,実績!$AL$6:$AL$505,"○")&gt;0,1,0))</f>
        <v>0</v>
      </c>
      <c r="Q241" s="39" t="n">
        <f aca="false">IF(Q$4=0,0,IF(COUNTIFS(実績!$W$6:$W$505,Q$3,実績!$AI$6:$AI$505,"&lt;="&amp;$A241,実績!$AJ$6:$AJ$505,"&gt;"&amp;$A241,実績!$AL$6:$AL$505,"○")&gt;0,1,0))</f>
        <v>0</v>
      </c>
      <c r="R241" s="39" t="n">
        <f aca="false">IF(R$4=0,0,IF(COUNTIFS(実績!$W$6:$W$505,R$3,実績!$AI$6:$AI$505,"&lt;="&amp;$A241,実績!$AJ$6:$AJ$505,"&gt;"&amp;$A241,実績!$AL$6:$AL$505,"○")&gt;0,1,0))</f>
        <v>0</v>
      </c>
      <c r="S241" s="39" t="n">
        <f aca="false">IF(S$4=0,0,IF(COUNTIFS(実績!$W$6:$W$505,S$3,実績!$AI$6:$AI$505,"&lt;="&amp;$A241,実績!$AJ$6:$AJ$505,"&gt;"&amp;$A241,実績!$AL$6:$AL$505,"○")&gt;0,1,0))</f>
        <v>0</v>
      </c>
      <c r="T241" s="39" t="n">
        <f aca="false">IF(T$4=0,0,IF(COUNTIFS(実績!$W$6:$W$505,T$3,実績!$AI$6:$AI$505,"&lt;="&amp;$A241,実績!$AJ$6:$AJ$505,"&gt;"&amp;$A241,実績!$AL$6:$AL$505,"○")&gt;0,1,0))</f>
        <v>0</v>
      </c>
      <c r="U241" s="39" t="n">
        <f aca="false">IF(U$4=0,0,IF(COUNTIFS(実績!$W$6:$W$505,U$3,実績!$AI$6:$AI$505,"&lt;="&amp;$A241,実績!$AJ$6:$AJ$505,"&gt;"&amp;$A241,実績!$AL$6:$AL$505,"○")&gt;0,1,0))</f>
        <v>0</v>
      </c>
      <c r="V241" s="39" t="n">
        <f aca="false">IF(V$4=0,0,IF(COUNTIFS(実績!$W$6:$W$505,V$3,実績!$AI$6:$AI$505,"&lt;="&amp;$A241,実績!$AJ$6:$AJ$505,"&gt;"&amp;$A241,実績!$AL$6:$AL$505,"○")&gt;0,1,0))</f>
        <v>0</v>
      </c>
      <c r="W241" s="39" t="n">
        <f aca="false">IF(W$4=0,0,IF(COUNTIFS(実績!$W$6:$W$505,W$3,実績!$AI$6:$AI$505,"&lt;="&amp;$A241,実績!$AJ$6:$AJ$505,"&gt;"&amp;$A241,実績!$AL$6:$AL$505,"○")&gt;0,1,0))</f>
        <v>0</v>
      </c>
      <c r="X241" s="39" t="n">
        <f aca="false">IF(X$4=0,0,IF(COUNTIFS(実績!$W$6:$W$505,X$3,実績!$AI$6:$AI$505,"&lt;="&amp;$A241,実績!$AJ$6:$AJ$505,"&gt;"&amp;$A241,実績!$AL$6:$AL$505,"○")&gt;0,1,0))</f>
        <v>0</v>
      </c>
      <c r="Y241" s="39" t="n">
        <f aca="false">IF(Y$4=0,0,IF(COUNTIFS(実績!$W$6:$W$505,Y$3,実績!$AI$6:$AI$505,"&lt;="&amp;$A241,実績!$AJ$6:$AJ$505,"&gt;"&amp;$A241,実績!$AL$6:$AL$505,"○")&gt;0,1,0))</f>
        <v>0</v>
      </c>
      <c r="Z241" s="39" t="n">
        <f aca="false">IF(Z$4=0,0,IF(COUNTIFS(実績!$W$6:$W$505,Z$3,実績!$AI$6:$AI$505,"&lt;="&amp;$A241,実績!$AJ$6:$AJ$505,"&gt;"&amp;$A241,実績!$AL$6:$AL$505,"○")&gt;0,1,0))</f>
        <v>0</v>
      </c>
      <c r="AA241" s="39" t="n">
        <f aca="false">IF(AA$4=0,0,IF(COUNTIFS(実績!$W$6:$W$505,AA$3,実績!$AI$6:$AI$505,"&lt;="&amp;$A241,実績!$AJ$6:$AJ$505,"&gt;"&amp;$A241,実績!$AL$6:$AL$505,"○")&gt;0,1,0))</f>
        <v>0</v>
      </c>
      <c r="AB241" s="39" t="n">
        <f aca="false">IF(AB$4=0,0,IF(COUNTIFS(実績!$W$6:$W$505,AB$3,実績!$AI$6:$AI$505,"&lt;="&amp;$A241,実績!$AJ$6:$AJ$505,"&gt;"&amp;$A241,実績!$AL$6:$AL$505,"○")&gt;0,1,0))</f>
        <v>0</v>
      </c>
      <c r="AC241" s="39" t="n">
        <f aca="false">IF(AC$4=0,0,IF(COUNTIFS(実績!$W$6:$W$505,AC$3,実績!$AI$6:$AI$505,"&lt;="&amp;$A241,実績!$AJ$6:$AJ$505,"&gt;"&amp;$A241,実績!$AL$6:$AL$505,"○")&gt;0,1,0))</f>
        <v>0</v>
      </c>
      <c r="AD241" s="39" t="n">
        <f aca="false">IF(AD$4=0,0,IF(COUNTIFS(実績!$W$6:$W$505,AD$3,実績!$AI$6:$AI$505,"&lt;="&amp;$A241,実績!$AJ$6:$AJ$505,"&gt;"&amp;$A241,実績!$AL$6:$AL$505,"○")&gt;0,1,0))</f>
        <v>0</v>
      </c>
      <c r="AE241" s="39" t="n">
        <f aca="false">IF(AE$4=0,0,IF(COUNTIFS(実績!$W$6:$W$505,AE$3,実績!$AI$6:$AI$505,"&lt;="&amp;$A241,実績!$AJ$6:$AJ$505,"&gt;"&amp;$A241,実績!$AL$6:$AL$505,"○")&gt;0,1,0))</f>
        <v>0</v>
      </c>
      <c r="AF241" s="39" t="n">
        <f aca="false">IF(AF$4=0,0,IF(COUNTIFS(実績!$W$6:$W$505,AF$3,実績!$AI$6:$AI$505,"&lt;="&amp;$A241,実績!$AJ$6:$AJ$505,"&gt;"&amp;$A241,実績!$AL$6:$AL$505,"○")&gt;0,1,0))</f>
        <v>0</v>
      </c>
      <c r="AG241" s="39" t="n">
        <f aca="false">IF(AG$4=0,0,IF(COUNTIFS(実績!$W$6:$W$505,AG$3,実績!$AI$6:$AI$505,"&lt;="&amp;$A241,実績!$AJ$6:$AJ$505,"&gt;"&amp;$A241,実績!$AL$6:$AL$505,"○")&gt;0,1,0))</f>
        <v>0</v>
      </c>
      <c r="AH241" s="39" t="n">
        <f aca="false">IF(AH$4=0,0,IF(COUNTIFS(実績!$W$6:$W$505,AH$3,実績!$AI$6:$AI$505,"&lt;="&amp;$A241,実績!$AJ$6:$AJ$505,"&gt;"&amp;$A241,実績!$AL$6:$AL$505,"○")&gt;0,1,0))</f>
        <v>0</v>
      </c>
      <c r="AI241" s="39" t="n">
        <f aca="false">IF(AI$4=0,0,IF(COUNTIFS(実績!$W$6:$W$505,AI$3,実績!$AI$6:$AI$505,"&lt;="&amp;$A241,実績!$AJ$6:$AJ$505,"&gt;"&amp;$A241,実績!$AL$6:$AL$505,"○")&gt;0,1,0))</f>
        <v>0</v>
      </c>
      <c r="AJ241" s="39" t="n">
        <f aca="false">IF(AJ$4=0,0,IF(COUNTIFS(実績!$W$6:$W$505,AJ$3,実績!$AI$6:$AI$505,"&lt;="&amp;$A241,実績!$AJ$6:$AJ$505,"&gt;"&amp;$A241,実績!$AL$6:$AL$505,"○")&gt;0,1,0))</f>
        <v>0</v>
      </c>
      <c r="AK241" s="39" t="n">
        <f aca="false">IF(AK$4=0,0,IF(COUNTIFS(実績!$W$6:$W$505,AK$3,実績!$AI$6:$AI$505,"&lt;="&amp;$A241,実績!$AJ$6:$AJ$505,"&gt;"&amp;$A241,実績!$AL$6:$AL$505,"○")&gt;0,1,0))</f>
        <v>0</v>
      </c>
      <c r="AL241" s="39" t="n">
        <f aca="false">IF(AL$4=0,0,IF(COUNTIFS(実績!$W$6:$W$505,AL$3,実績!$AI$6:$AI$505,"&lt;="&amp;$A241,実績!$AJ$6:$AJ$505,"&gt;"&amp;$A241,実績!$AL$6:$AL$505,"○")&gt;0,1,0))</f>
        <v>0</v>
      </c>
      <c r="AM241" s="39" t="n">
        <f aca="false">IF(AM$4=0,0,IF(COUNTIFS(実績!$W$6:$W$505,AM$3,実績!$AI$6:$AI$505,"&lt;="&amp;$A241,実績!$AJ$6:$AJ$505,"&gt;"&amp;$A241,実績!$AL$6:$AL$505,"○")&gt;0,1,0))</f>
        <v>0</v>
      </c>
      <c r="AN241" s="39" t="n">
        <f aca="false">IF(AN$4=0,0,IF(COUNTIFS(実績!$W$6:$W$505,AN$3,実績!$AI$6:$AI$505,"&lt;="&amp;$A241,実績!$AJ$6:$AJ$505,"&gt;"&amp;$A241,実績!$AL$6:$AL$505,"○")&gt;0,1,0))</f>
        <v>0</v>
      </c>
      <c r="AO241" s="39" t="n">
        <f aca="false">IF(AO$4=0,0,IF(COUNTIFS(実績!$W$6:$W$505,AO$3,実績!$AI$6:$AI$505,"&lt;="&amp;$A241,実績!$AJ$6:$AJ$505,"&gt;"&amp;$A241,実績!$AL$6:$AL$505,"○")&gt;0,1,0))</f>
        <v>0</v>
      </c>
      <c r="AP241" s="39" t="n">
        <f aca="false">IF(AP$4=0,0,IF(COUNTIFS(実績!$W$6:$W$505,AP$3,実績!$AI$6:$AI$505,"&lt;="&amp;$A241,実績!$AJ$6:$AJ$505,"&gt;"&amp;$A241,実績!$AL$6:$AL$505,"○")&gt;0,1,0))</f>
        <v>0</v>
      </c>
      <c r="AQ241" s="39" t="n">
        <f aca="false">IF(AQ$4=0,0,IF(COUNTIFS(実績!$W$6:$W$505,AQ$3,実績!$AI$6:$AI$505,"&lt;="&amp;$A241,実績!$AJ$6:$AJ$505,"&gt;"&amp;$A241,実績!$AL$6:$AL$505,"○")&gt;0,1,0))</f>
        <v>0</v>
      </c>
      <c r="AR241" s="39" t="n">
        <f aca="false">IF(AR$4=0,0,IF(COUNTIFS(実績!$W$6:$W$505,AR$3,実績!$AI$6:$AI$505,"&lt;="&amp;$A241,実績!$AJ$6:$AJ$505,"&gt;"&amp;$A241,実績!$AL$6:$AL$505,"○")&gt;0,1,0))</f>
        <v>0</v>
      </c>
      <c r="AS241" s="39" t="n">
        <f aca="false">IF(AS$4=0,0,IF(COUNTIFS(実績!$W$6:$W$505,AS$3,実績!$AI$6:$AI$505,"&lt;="&amp;$A241,実績!$AJ$6:$AJ$505,"&gt;"&amp;$A241,実績!$AL$6:$AL$505,"○")&gt;0,1,0))</f>
        <v>0</v>
      </c>
      <c r="AT241" s="39" t="n">
        <f aca="false">IF(AT$4=0,0,IF(COUNTIFS(実績!$W$6:$W$505,AT$3,実績!$AI$6:$AI$505,"&lt;="&amp;$A241,実績!$AJ$6:$AJ$505,"&gt;"&amp;$A241,実績!$AL$6:$AL$505,"○")&gt;0,1,0))</f>
        <v>0</v>
      </c>
      <c r="AU241" s="39" t="n">
        <f aca="false">IF(AU$4=0,0,IF(COUNTIFS(実績!$W$6:$W$505,AU$3,実績!$AI$6:$AI$505,"&lt;="&amp;$A241,実績!$AJ$6:$AJ$505,"&gt;"&amp;$A241,実績!$AL$6:$AL$505,"○")&gt;0,1,0))</f>
        <v>0</v>
      </c>
      <c r="AV241" s="39" t="n">
        <f aca="false">IF(AV$4=0,0,IF(COUNTIFS(実績!$W$6:$W$505,AV$3,実績!$AI$6:$AI$505,"&lt;="&amp;$A241,実績!$AJ$6:$AJ$505,"&gt;"&amp;$A241,実績!$AL$6:$AL$505,"○")&gt;0,1,0))</f>
        <v>0</v>
      </c>
      <c r="AW241" s="39" t="n">
        <f aca="false">IF(AW$4=0,0,IF(COUNTIFS(実績!$W$6:$W$505,AW$3,実績!$AI$6:$AI$505,"&lt;="&amp;$A241,実績!$AJ$6:$AJ$505,"&gt;"&amp;$A241,実績!$AL$6:$AL$505,"○")&gt;0,1,0))</f>
        <v>0</v>
      </c>
      <c r="AX241" s="39" t="n">
        <f aca="false">IF(AX$4=0,0,IF(COUNTIFS(実績!$W$6:$W$505,AX$3,実績!$AI$6:$AI$505,"&lt;="&amp;$A241,実績!$AJ$6:$AJ$505,"&gt;"&amp;$A241,実績!$AL$6:$AL$505,"○")&gt;0,1,0))</f>
        <v>0</v>
      </c>
      <c r="AY241" s="39" t="n">
        <f aca="false">IF(AY$4=0,0,IF(COUNTIFS(実績!$W$6:$W$505,AY$3,実績!$AI$6:$AI$505,"&lt;="&amp;$A241,実績!$AJ$6:$AJ$505,"&gt;"&amp;$A241,実績!$AL$6:$AL$505,"○")&gt;0,1,0))</f>
        <v>0</v>
      </c>
      <c r="AZ241" s="39" t="n">
        <f aca="false">IF(AZ$4=0,0,IF(COUNTIFS(実績!$W$6:$W$505,AZ$3,実績!$AI$6:$AI$505,"&lt;="&amp;$A241,実績!$AJ$6:$AJ$505,"&gt;"&amp;$A241,実績!$AL$6:$AL$505,"○")&gt;0,1,0))</f>
        <v>0</v>
      </c>
      <c r="BA241" s="39" t="n">
        <f aca="false">IF(BA$4=0,0,IF(COUNTIFS(実績!$W$6:$W$505,BA$3,実績!$AI$6:$AI$505,"&lt;="&amp;$A241,実績!$AJ$6:$AJ$505,"&gt;"&amp;$A241,実績!$AL$6:$AL$505,"○")&gt;0,1,0))</f>
        <v>0</v>
      </c>
      <c r="BB241" s="39" t="n">
        <f aca="false">IF(BB$4=0,0,IF(COUNTIFS(実績!$W$6:$W$505,BB$3,実績!$AI$6:$AI$505,"&lt;="&amp;$A241,実績!$AJ$6:$AJ$505,"&gt;"&amp;$A241,実績!$AL$6:$AL$505,"○")&gt;0,1,0))</f>
        <v>0</v>
      </c>
      <c r="BC241" s="39" t="n">
        <f aca="false">IF(BC$4=0,0,IF(COUNTIFS(実績!$W$6:$W$505,BC$3,実績!$AI$6:$AI$505,"&lt;="&amp;$A241,実績!$AJ$6:$AJ$505,"&gt;"&amp;$A241,実績!$AL$6:$AL$505,"○")&gt;0,1,0))</f>
        <v>0</v>
      </c>
      <c r="BD241" s="39" t="n">
        <f aca="false">IF(BD$4=0,0,IF(COUNTIFS(実績!$W$6:$W$505,BD$3,実績!$AI$6:$AI$505,"&lt;="&amp;$A241,実績!$AJ$6:$AJ$505,"&gt;"&amp;$A241,実績!$AL$6:$AL$505,"○")&gt;0,1,0))</f>
        <v>0</v>
      </c>
      <c r="BE241" s="39" t="n">
        <f aca="false">IF(BE$4=0,0,IF(COUNTIFS(実績!$W$6:$W$505,BE$3,実績!$AI$6:$AI$505,"&lt;="&amp;$A241,実績!$AJ$6:$AJ$505,"&gt;"&amp;$A241,実績!$AL$6:$AL$505,"○")&gt;0,1,0))</f>
        <v>0</v>
      </c>
      <c r="BF241" s="39" t="n">
        <f aca="false">IF(BF$4=0,0,IF(COUNTIFS(実績!$W$6:$W$505,BF$3,実績!$AI$6:$AI$505,"&lt;="&amp;$A241,実績!$AJ$6:$AJ$505,"&gt;"&amp;$A241,実績!$AL$6:$AL$505,"○")&gt;0,1,0))</f>
        <v>0</v>
      </c>
      <c r="BG241" s="39" t="n">
        <f aca="false">IF(BG$4=0,0,IF(COUNTIFS(実績!$W$6:$W$505,BG$3,実績!$AI$6:$AI$505,"&lt;="&amp;$A241,実績!$AJ$6:$AJ$505,"&gt;"&amp;$A241,実績!$AL$6:$AL$505,"○")&gt;0,1,0))</f>
        <v>0</v>
      </c>
      <c r="BH241" s="39" t="n">
        <f aca="false">IF(BH$4=0,0,IF(COUNTIFS(実績!$W$6:$W$505,BH$3,実績!$AI$6:$AI$505,"&lt;="&amp;$A241,実績!$AJ$6:$AJ$505,"&gt;"&amp;$A241,実績!$AL$6:$AL$505,"○")&gt;0,1,0))</f>
        <v>0</v>
      </c>
      <c r="BI241" s="39" t="n">
        <f aca="false">IF(BI$4=0,0,IF(COUNTIFS(実績!$W$6:$W$505,BI$3,実績!$AI$6:$AI$505,"&lt;="&amp;$A241,実績!$AJ$6:$AJ$505,"&gt;"&amp;$A241,実績!$AL$6:$AL$505,"○")&gt;0,1,0))</f>
        <v>0</v>
      </c>
      <c r="BJ241" s="39" t="n">
        <f aca="false">IF(BJ$4=0,0,IF(COUNTIFS(実績!$W$6:$W$505,BJ$3,実績!$AI$6:$AI$505,"&lt;="&amp;$A241,実績!$AJ$6:$AJ$505,"&gt;"&amp;$A241,実績!$AL$6:$AL$505,"○")&gt;0,1,0))</f>
        <v>0</v>
      </c>
      <c r="BK241" s="39" t="n">
        <f aca="false">IF(BK$4=0,0,IF(COUNTIFS(実績!$W$6:$W$505,BK$3,実績!$AI$6:$AI$505,"&lt;="&amp;$A241,実績!$AJ$6:$AJ$505,"&gt;"&amp;$A241,実績!$AL$6:$AL$505,"○")&gt;0,1,0))</f>
        <v>0</v>
      </c>
      <c r="BL241" s="39" t="n">
        <f aca="false">IF(BL$4=0,0,IF(COUNTIFS(実績!$W$6:$W$505,BL$3,実績!$AI$6:$AI$505,"&lt;="&amp;$A241,実績!$AJ$6:$AJ$505,"&gt;"&amp;$A241,実績!$AL$6:$AL$505,"○")&gt;0,1,0))</f>
        <v>0</v>
      </c>
      <c r="BM241" s="39" t="n">
        <f aca="false">IF(BM$4=0,0,IF(COUNTIFS(実績!$W$6:$W$505,BM$3,実績!$AI$6:$AI$505,"&lt;="&amp;$A241,実績!$AJ$6:$AJ$505,"&gt;"&amp;$A241,実績!$AL$6:$AL$505,"○")&gt;0,1,0))</f>
        <v>0</v>
      </c>
      <c r="BN241" s="39" t="n">
        <f aca="false">IF(BN$4=0,0,IF(COUNTIFS(実績!$W$6:$W$505,BN$3,実績!$AI$6:$AI$505,"&lt;="&amp;$A241,実績!$AJ$6:$AJ$505,"&gt;"&amp;$A241,実績!$AL$6:$AL$505,"○")&gt;0,1,0))</f>
        <v>0</v>
      </c>
      <c r="BO241" s="39" t="n">
        <f aca="false">IF(BO$4=0,0,IF(COUNTIFS(実績!$W$6:$W$505,BO$3,実績!$AI$6:$AI$505,"&lt;="&amp;$A241,実績!$AJ$6:$AJ$505,"&gt;"&amp;$A241,実績!$AL$6:$AL$505,"○")&gt;0,1,0))</f>
        <v>0</v>
      </c>
      <c r="BP241" s="39" t="n">
        <f aca="false">IF(BP$4=0,0,IF(COUNTIFS(実績!$W$6:$W$505,BP$3,実績!$AI$6:$AI$505,"&lt;="&amp;$A241,実績!$AJ$6:$AJ$505,"&gt;"&amp;$A241,実績!$AL$6:$AL$505,"○")&gt;0,1,0))</f>
        <v>0</v>
      </c>
      <c r="BQ241" s="39" t="n">
        <f aca="false">IF(BQ$4=0,0,IF(COUNTIFS(実績!$W$6:$W$505,BQ$3,実績!$AI$6:$AI$505,"&lt;="&amp;$A241,実績!$AJ$6:$AJ$505,"&gt;"&amp;$A241,実績!$AL$6:$AL$505,"○")&gt;0,1,0))</f>
        <v>0</v>
      </c>
      <c r="BR241" s="39" t="n">
        <f aca="false">IF(BR$4=0,0,IF(COUNTIFS(実績!$W$6:$W$505,BR$3,実績!$AI$6:$AI$505,"&lt;="&amp;$A241,実績!$AJ$6:$AJ$505,"&gt;"&amp;$A241,実績!$AL$6:$AL$505,"○")&gt;0,1,0))</f>
        <v>0</v>
      </c>
      <c r="BS241" s="39" t="n">
        <f aca="false">IF(BS$4=0,0,IF(COUNTIFS(実績!$W$6:$W$505,BS$3,実績!$AI$6:$AI$505,"&lt;="&amp;$A241,実績!$AJ$6:$AJ$505,"&gt;"&amp;$A241,実績!$AL$6:$AL$505,"○")&gt;0,1,0))</f>
        <v>0</v>
      </c>
      <c r="BT241" s="39" t="n">
        <f aca="false">IF(BT$4=0,0,IF(COUNTIFS(実績!$W$6:$W$505,BT$3,実績!$AI$6:$AI$505,"&lt;="&amp;$A241,実績!$AJ$6:$AJ$505,"&gt;"&amp;$A241,実績!$AL$6:$AL$505,"○")&gt;0,1,0))</f>
        <v>0</v>
      </c>
      <c r="BU241" s="39" t="n">
        <f aca="false">IF(BU$4=0,0,IF(COUNTIFS(実績!$W$6:$W$505,BU$3,実績!$AI$6:$AI$505,"&lt;="&amp;$A241,実績!$AJ$6:$AJ$505,"&gt;"&amp;$A241,実績!$AL$6:$AL$505,"○")&gt;0,1,0))</f>
        <v>0</v>
      </c>
      <c r="BV241" s="39" t="n">
        <f aca="false">IF(BV$4=0,0,IF(COUNTIFS(実績!$W$6:$W$505,BV$3,実績!$AI$6:$AI$505,"&lt;="&amp;$A241,実績!$AJ$6:$AJ$505,"&gt;"&amp;$A241,実績!$AL$6:$AL$505,"○")&gt;0,1,0))</f>
        <v>0</v>
      </c>
      <c r="BW241" s="39" t="n">
        <f aca="false">IF(BW$4=0,0,IF(COUNTIFS(実績!$W$6:$W$505,BW$3,実績!$AI$6:$AI$505,"&lt;="&amp;$A241,実績!$AJ$6:$AJ$505,"&gt;"&amp;$A241,実績!$AL$6:$AL$505,"○")&gt;0,1,0))</f>
        <v>0</v>
      </c>
      <c r="BX241" s="39" t="n">
        <f aca="false">IF(BX$4=0,0,IF(COUNTIFS(実績!$W$6:$W$505,BX$3,実績!$AI$6:$AI$505,"&lt;="&amp;$A241,実績!$AJ$6:$AJ$505,"&gt;"&amp;$A241,実績!$AL$6:$AL$505,"○")&gt;0,1,0))</f>
        <v>0</v>
      </c>
      <c r="BY241" s="39" t="n">
        <f aca="false">IF(BY$4=0,0,IF(COUNTIFS(実績!$W$6:$W$505,BY$3,実績!$AI$6:$AI$505,"&lt;="&amp;$A241,実績!$AJ$6:$AJ$505,"&gt;"&amp;$A241,実績!$AL$6:$AL$505,"○")&gt;0,1,0))</f>
        <v>0</v>
      </c>
      <c r="BZ241" s="39" t="n">
        <f aca="false">IF(BZ$4=0,0,IF(COUNTIFS(実績!$W$6:$W$505,BZ$3,実績!$AI$6:$AI$505,"&lt;="&amp;$A241,実績!$AJ$6:$AJ$505,"&gt;"&amp;$A241,実績!$AL$6:$AL$505,"○")&gt;0,1,0))</f>
        <v>0</v>
      </c>
      <c r="CA241" s="39" t="n">
        <f aca="false">IF(CA$4=0,0,IF(COUNTIFS(実績!$W$6:$W$505,CA$3,実績!$AI$6:$AI$505,"&lt;="&amp;$A241,実績!$AJ$6:$AJ$505,"&gt;"&amp;$A241,実績!$AL$6:$AL$505,"○")&gt;0,1,0))</f>
        <v>0</v>
      </c>
      <c r="CB241" s="39" t="n">
        <f aca="false">IF(CB$4=0,0,IF(COUNTIFS(実績!$W$6:$W$505,CB$3,実績!$AI$6:$AI$505,"&lt;="&amp;$A241,実績!$AJ$6:$AJ$505,"&gt;"&amp;$A241,実績!$AL$6:$AL$505,"○")&gt;0,1,0))</f>
        <v>0</v>
      </c>
      <c r="CC241" s="39" t="n">
        <f aca="false">IF(CC$4=0,0,IF(COUNTIFS(実績!$W$6:$W$505,CC$3,実績!$AI$6:$AI$505,"&lt;="&amp;$A241,実績!$AJ$6:$AJ$505,"&gt;"&amp;$A241,実績!$AL$6:$AL$505,"○")&gt;0,1,0))</f>
        <v>0</v>
      </c>
      <c r="CD241" s="39" t="n">
        <f aca="false">IF(CD$4=0,0,IF(COUNTIFS(実績!$W$6:$W$505,CD$3,実績!$AI$6:$AI$505,"&lt;="&amp;$A241,実績!$AJ$6:$AJ$505,"&gt;"&amp;$A241,実績!$AL$6:$AL$505,"○")&gt;0,1,0))</f>
        <v>0</v>
      </c>
      <c r="CE241" s="39" t="n">
        <f aca="false">IF(CE$4=0,0,IF(COUNTIFS(実績!$W$6:$W$505,CE$3,実績!$AI$6:$AI$505,"&lt;="&amp;$A241,実績!$AJ$6:$AJ$505,"&gt;"&amp;$A241,実績!$AL$6:$AL$505,"○")&gt;0,1,0))</f>
        <v>0</v>
      </c>
      <c r="CF241" s="39" t="n">
        <f aca="false">IF(CF$4=0,0,IF(COUNTIFS(実績!$W$6:$W$505,CF$3,実績!$AI$6:$AI$505,"&lt;="&amp;$A241,実績!$AJ$6:$AJ$505,"&gt;"&amp;$A241,実績!$AL$6:$AL$505,"○")&gt;0,1,0))</f>
        <v>0</v>
      </c>
      <c r="CG241" s="39" t="n">
        <f aca="false">IF(CG$4=0,0,IF(COUNTIFS(実績!$W$6:$W$505,CG$3,実績!$AI$6:$AI$505,"&lt;="&amp;$A241,実績!$AJ$6:$AJ$505,"&gt;"&amp;$A241,実績!$AL$6:$AL$505,"○")&gt;0,1,0))</f>
        <v>0</v>
      </c>
      <c r="CH241" s="39" t="n">
        <f aca="false">IF(CH$4=0,0,IF(COUNTIFS(実績!$W$6:$W$505,CH$3,実績!$AI$6:$AI$505,"&lt;="&amp;$A241,実績!$AJ$6:$AJ$505,"&gt;"&amp;$A241,実績!$AL$6:$AL$505,"○")&gt;0,1,0))</f>
        <v>0</v>
      </c>
      <c r="CI241" s="39" t="n">
        <f aca="false">IF(CI$4=0,0,IF(COUNTIFS(実績!$W$6:$W$505,CI$3,実績!$AI$6:$AI$505,"&lt;="&amp;$A241,実績!$AJ$6:$AJ$505,"&gt;"&amp;$A241,実績!$AL$6:$AL$505,"○")&gt;0,1,0))</f>
        <v>0</v>
      </c>
      <c r="CJ241" s="39" t="n">
        <f aca="false">IF(CJ$4=0,0,IF(COUNTIFS(実績!$W$6:$W$505,CJ$3,実績!$AI$6:$AI$505,"&lt;="&amp;$A241,実績!$AJ$6:$AJ$505,"&gt;"&amp;$A241,実績!$AL$6:$AL$505,"○")&gt;0,1,0))</f>
        <v>0</v>
      </c>
      <c r="CK241" s="39" t="n">
        <f aca="false">IF(CK$4=0,0,IF(COUNTIFS(実績!$W$6:$W$505,CK$3,実績!$AI$6:$AI$505,"&lt;="&amp;$A241,実績!$AJ$6:$AJ$505,"&gt;"&amp;$A241,実績!$AL$6:$AL$505,"○")&gt;0,1,0))</f>
        <v>0</v>
      </c>
      <c r="CL241" s="39" t="n">
        <f aca="false">IF(CL$4=0,0,IF(COUNTIFS(実績!$W$6:$W$505,CL$3,実績!$AI$6:$AI$505,"&lt;="&amp;$A241,実績!$AJ$6:$AJ$505,"&gt;"&amp;$A241,実績!$AL$6:$AL$505,"○")&gt;0,1,0))</f>
        <v>0</v>
      </c>
      <c r="CM241" s="39" t="n">
        <f aca="false">IF(CM$4=0,0,IF(COUNTIFS(実績!$W$6:$W$505,CM$3,実績!$AI$6:$AI$505,"&lt;="&amp;$A241,実績!$AJ$6:$AJ$505,"&gt;"&amp;$A241,実績!$AL$6:$AL$505,"○")&gt;0,1,0))</f>
        <v>0</v>
      </c>
      <c r="CN241" s="39" t="n">
        <f aca="false">IF(CN$4=0,0,IF(COUNTIFS(実績!$W$6:$W$505,CN$3,実績!$AI$6:$AI$505,"&lt;="&amp;$A241,実績!$AJ$6:$AJ$505,"&gt;"&amp;$A241,実績!$AL$6:$AL$505,"○")&gt;0,1,0))</f>
        <v>0</v>
      </c>
      <c r="CO241" s="39" t="n">
        <f aca="false">IF(CO$4=0,0,IF(COUNTIFS(実績!$W$6:$W$505,CO$3,実績!$AI$6:$AI$505,"&lt;="&amp;$A241,実績!$AJ$6:$AJ$505,"&gt;"&amp;$A241,実績!$AL$6:$AL$505,"○")&gt;0,1,0))</f>
        <v>0</v>
      </c>
      <c r="CP241" s="39" t="n">
        <f aca="false">IF(CP$4=0,0,IF(COUNTIFS(実績!$W$6:$W$505,CP$3,実績!$AI$6:$AI$505,"&lt;="&amp;$A241,実績!$AJ$6:$AJ$505,"&gt;"&amp;$A241,実績!$AL$6:$AL$505,"○")&gt;0,1,0))</f>
        <v>0</v>
      </c>
      <c r="CQ241" s="39" t="n">
        <f aca="false">IF(CQ$4=0,0,IF(COUNTIFS(実績!$W$6:$W$505,CQ$3,実績!$AI$6:$AI$505,"&lt;="&amp;$A241,実績!$AJ$6:$AJ$505,"&gt;"&amp;$A241,実績!$AL$6:$AL$505,"○")&gt;0,1,0))</f>
        <v>0</v>
      </c>
      <c r="CR241" s="39" t="n">
        <f aca="false">IF(CR$4=0,0,IF(COUNTIFS(実績!$W$6:$W$505,CR$3,実績!$AI$6:$AI$505,"&lt;="&amp;$A241,実績!$AJ$6:$AJ$505,"&gt;"&amp;$A241,実績!$AL$6:$AL$505,"○")&gt;0,1,0))</f>
        <v>0</v>
      </c>
      <c r="CS241" s="39" t="n">
        <f aca="false">IF(CS$4=0,0,IF(COUNTIFS(実績!$W$6:$W$505,CS$3,実績!$AI$6:$AI$505,"&lt;="&amp;$A241,実績!$AJ$6:$AJ$505,"&gt;"&amp;$A241,実績!$AL$6:$AL$505,"○")&gt;0,1,0))</f>
        <v>0</v>
      </c>
      <c r="CT241" s="39" t="n">
        <f aca="false">IF(CT$4=0,0,IF(COUNTIFS(実績!$W$6:$W$505,CT$3,実績!$AI$6:$AI$505,"&lt;="&amp;$A241,実績!$AJ$6:$AJ$505,"&gt;"&amp;$A241,実績!$AL$6:$AL$505,"○")&gt;0,1,0))</f>
        <v>0</v>
      </c>
      <c r="CU241" s="39" t="n">
        <f aca="false">IF(CU$4=0,0,IF(COUNTIFS(実績!$W$6:$W$505,CU$3,実績!$AI$6:$AI$505,"&lt;="&amp;$A241,実績!$AJ$6:$AJ$505,"&gt;"&amp;$A241,実績!$AL$6:$AL$505,"○")&gt;0,1,0))</f>
        <v>0</v>
      </c>
      <c r="CV241" s="39" t="n">
        <f aca="false">IF(CV$4=0,0,IF(COUNTIFS(実績!$W$6:$W$505,CV$3,実績!$AI$6:$AI$505,"&lt;="&amp;$A241,実績!$AJ$6:$AJ$505,"&gt;"&amp;$A241,実績!$AL$6:$AL$505,"○")&gt;0,1,0))</f>
        <v>0</v>
      </c>
      <c r="CW241" s="39" t="n">
        <f aca="false">IF(CW$4=0,0,IF(COUNTIFS(実績!$W$6:$W$505,CW$3,実績!$AI$6:$AI$505,"&lt;="&amp;$A241,実績!$AJ$6:$AJ$505,"&gt;"&amp;$A241,実績!$AL$6:$AL$505,"○")&gt;0,1,0))</f>
        <v>0</v>
      </c>
      <c r="CX241" s="39" t="n">
        <f aca="false">IF(CX$4=0,0,IF(COUNTIFS(実績!$W$6:$W$505,CX$3,実績!$AI$6:$AI$505,"&lt;="&amp;$A241,実績!$AJ$6:$AJ$505,"&gt;"&amp;$A241,実績!$AL$6:$AL$505,"○")&gt;0,1,0))</f>
        <v>0</v>
      </c>
      <c r="CY241" s="39" t="n">
        <f aca="false">IF(CY$4=0,0,IF(COUNTIFS(実績!$W$6:$W$505,CY$3,実績!$AI$6:$AI$505,"&lt;="&amp;$A241,実績!$AJ$6:$AJ$505,"&gt;"&amp;$A241,実績!$AL$6:$AL$505,"○")&gt;0,1,0))</f>
        <v>0</v>
      </c>
      <c r="CZ241" s="39" t="n">
        <f aca="false">IF(CZ$4=0,0,IF(COUNTIFS(実績!$W$6:$W$505,CZ$3,実績!$AI$6:$AI$505,"&lt;="&amp;$A241,実績!$AJ$6:$AJ$505,"&gt;"&amp;$A241,実績!$AL$6:$AL$505,"○")&gt;0,1,0))</f>
        <v>0</v>
      </c>
      <c r="DA241" s="39" t="n">
        <f aca="false">IF(DA$4=0,0,IF(COUNTIFS(実績!$W$6:$W$505,DA$3,実績!$AI$6:$AI$505,"&lt;="&amp;$A241,実績!$AJ$6:$AJ$505,"&gt;"&amp;$A241,実績!$AL$6:$AL$505,"○")&gt;0,1,0))</f>
        <v>0</v>
      </c>
      <c r="DB241" s="39" t="n">
        <f aca="false">IF(DB$4=0,0,IF(COUNTIFS(実績!$W$6:$W$505,DB$3,実績!$AI$6:$AI$505,"&lt;="&amp;$A241,実績!$AJ$6:$AJ$505,"&gt;"&amp;$A241,実績!$AL$6:$AL$505,"○")&gt;0,1,0))</f>
        <v>0</v>
      </c>
      <c r="DC241" s="39" t="n">
        <f aca="false">IF(DC$4=0,0,IF(COUNTIFS(実績!$W$6:$W$505,DC$3,実績!$AI$6:$AI$505,"&lt;="&amp;$A241,実績!$AJ$6:$AJ$505,"&gt;"&amp;$A241,実績!$AL$6:$AL$505,"○")&gt;0,1,0))</f>
        <v>0</v>
      </c>
      <c r="DD241" s="39" t="n">
        <f aca="false">IF(DD$4=0,0,IF(COUNTIFS(実績!$W$6:$W$505,DD$3,実績!$AI$6:$AI$505,"&lt;="&amp;$A241,実績!$AJ$6:$AJ$505,"&gt;"&amp;$A241,実績!$AL$6:$AL$505,"○")&gt;0,1,0))</f>
        <v>0</v>
      </c>
      <c r="DE241" s="39" t="n">
        <f aca="false">IF(DE$4=0,0,IF(COUNTIFS(実績!$W$6:$W$505,DE$3,実績!$AI$6:$AI$505,"&lt;="&amp;$A241,実績!$AJ$6:$AJ$505,"&gt;"&amp;$A241,実績!$AL$6:$AL$505,"○")&gt;0,1,0))</f>
        <v>0</v>
      </c>
      <c r="DF241" s="39" t="n">
        <f aca="false">IF(DF$4=0,0,IF(COUNTIFS(実績!$W$6:$W$505,DF$3,実績!$AI$6:$AI$505,"&lt;="&amp;$A241,実績!$AJ$6:$AJ$505,"&gt;"&amp;$A241,実績!$AL$6:$AL$505,"○")&gt;0,1,0))</f>
        <v>0</v>
      </c>
      <c r="DG241" s="39" t="n">
        <f aca="false">IF(DG$4=0,0,IF(COUNTIFS(実績!$W$6:$W$505,DG$3,実績!$AI$6:$AI$505,"&lt;="&amp;$A241,実績!$AJ$6:$AJ$505,"&gt;"&amp;$A241,実績!$AL$6:$AL$505,"○")&gt;0,1,0))</f>
        <v>0</v>
      </c>
      <c r="DH241" s="39" t="n">
        <f aca="false">IF(DH$4=0,0,IF(COUNTIFS(実績!$W$6:$W$505,DH$3,実績!$AI$6:$AI$505,"&lt;="&amp;$A241,実績!$AJ$6:$AJ$505,"&gt;"&amp;$A241,実績!$AL$6:$AL$505,"○")&gt;0,1,0))</f>
        <v>0</v>
      </c>
      <c r="DI241" s="39" t="n">
        <f aca="false">IF(DI$4=0,0,IF(COUNTIFS(実績!$W$6:$W$505,DI$3,実績!$AI$6:$AI$505,"&lt;="&amp;$A241,実績!$AJ$6:$AJ$505,"&gt;"&amp;$A241,実績!$AL$6:$AL$505,"○")&gt;0,1,0))</f>
        <v>0</v>
      </c>
      <c r="DJ241" s="39" t="n">
        <f aca="false">IF(DJ$4=0,0,IF(COUNTIFS(実績!$W$6:$W$505,DJ$3,実績!$AI$6:$AI$505,"&lt;="&amp;$A241,実績!$AJ$6:$AJ$505,"&gt;"&amp;$A241,実績!$AL$6:$AL$505,"○")&gt;0,1,0))</f>
        <v>0</v>
      </c>
      <c r="DK241" s="39" t="n">
        <f aca="false">IF(DK$4=0,0,IF(COUNTIFS(実績!$W$6:$W$505,DK$3,実績!$AI$6:$AI$505,"&lt;="&amp;$A241,実績!$AJ$6:$AJ$505,"&gt;"&amp;$A241,実績!$AL$6:$AL$505,"○")&gt;0,1,0))</f>
        <v>0</v>
      </c>
      <c r="DL241" s="39" t="n">
        <f aca="false">IF(DL$4=0,0,IF(COUNTIFS(実績!$W$6:$W$505,DL$3,実績!$AI$6:$AI$505,"&lt;="&amp;$A241,実績!$AJ$6:$AJ$505,"&gt;"&amp;$A241,実績!$AL$6:$AL$505,"○")&gt;0,1,0))</f>
        <v>0</v>
      </c>
      <c r="DM241" s="39" t="n">
        <f aca="false">IF(DM$4=0,0,IF(COUNTIFS(実績!$W$6:$W$505,DM$3,実績!$AI$6:$AI$505,"&lt;="&amp;$A241,実績!$AJ$6:$AJ$505,"&gt;"&amp;$A241,実績!$AL$6:$AL$505,"○")&gt;0,1,0))</f>
        <v>0</v>
      </c>
      <c r="DN241" s="39" t="n">
        <f aca="false">IF(DN$4=0,0,IF(COUNTIFS(実績!$W$6:$W$505,DN$3,実績!$AI$6:$AI$505,"&lt;="&amp;$A241,実績!$AJ$6:$AJ$505,"&gt;"&amp;$A241,実績!$AL$6:$AL$505,"○")&gt;0,1,0))</f>
        <v>0</v>
      </c>
      <c r="DO241" s="39" t="n">
        <f aca="false">IF(DO$4=0,0,IF(COUNTIFS(実績!$W$6:$W$505,DO$3,実績!$AI$6:$AI$505,"&lt;="&amp;$A241,実績!$AJ$6:$AJ$505,"&gt;"&amp;$A241,実績!$AL$6:$AL$505,"○")&gt;0,1,0))</f>
        <v>0</v>
      </c>
      <c r="DP241" s="39" t="n">
        <f aca="false">IF(DP$4=0,0,IF(COUNTIFS(実績!$W$6:$W$505,DP$3,実績!$AI$6:$AI$505,"&lt;="&amp;$A241,実績!$AJ$6:$AJ$505,"&gt;"&amp;$A241,実績!$AL$6:$AL$505,"○")&gt;0,1,0))</f>
        <v>0</v>
      </c>
      <c r="DQ241" s="39" t="n">
        <f aca="false">IF(DQ$4=0,0,IF(COUNTIFS(実績!$W$6:$W$505,DQ$3,実績!$AI$6:$AI$505,"&lt;="&amp;$A241,実績!$AJ$6:$AJ$505,"&gt;"&amp;$A241,実績!$AL$6:$AL$505,"○")&gt;0,1,0))</f>
        <v>0</v>
      </c>
      <c r="DR241" s="39" t="n">
        <f aca="false">IF(DR$4=0,0,IF(COUNTIFS(実績!$W$6:$W$505,DR$3,実績!$AI$6:$AI$505,"&lt;="&amp;$A241,実績!$AJ$6:$AJ$505,"&gt;"&amp;$A241,実績!$AL$6:$AL$505,"○")&gt;0,1,0))</f>
        <v>0</v>
      </c>
      <c r="DS241" s="39" t="n">
        <f aca="false">SUM(C241:DR241)</f>
        <v>0</v>
      </c>
    </row>
    <row r="242" customFormat="false" ht="15" hidden="false" customHeight="false" outlineLevel="0" collapsed="false">
      <c r="A242" s="0" t="n">
        <v>1180</v>
      </c>
      <c r="B242" s="38" t="n">
        <f aca="false">A242/1440</f>
        <v>0.819444444444444</v>
      </c>
      <c r="C242" s="39" t="n">
        <f aca="false">IF(C$4=0,0,IF(COUNTIFS(実績!$W$6:$W$505,C$3,実績!$AI$6:$AI$505,"&lt;="&amp;$A242,実績!$AJ$6:$AJ$505,"&gt;"&amp;$A242,実績!$AL$6:$AL$505,"○")&gt;0,1,0))</f>
        <v>0</v>
      </c>
      <c r="D242" s="39" t="n">
        <f aca="false">IF(D$4=0,0,IF(COUNTIFS(実績!$W$6:$W$505,D$3,実績!$AI$6:$AI$505,"&lt;="&amp;$A242,実績!$AJ$6:$AJ$505,"&gt;"&amp;$A242,実績!$AL$6:$AL$505,"○")&gt;0,1,0))</f>
        <v>0</v>
      </c>
      <c r="E242" s="39" t="n">
        <f aca="false">IF(E$4=0,0,IF(COUNTIFS(実績!$W$6:$W$505,E$3,実績!$AI$6:$AI$505,"&lt;="&amp;$A242,実績!$AJ$6:$AJ$505,"&gt;"&amp;$A242,実績!$AL$6:$AL$505,"○")&gt;0,1,0))</f>
        <v>0</v>
      </c>
      <c r="F242" s="39" t="n">
        <f aca="false">IF(F$4=0,0,IF(COUNTIFS(実績!$W$6:$W$505,F$3,実績!$AI$6:$AI$505,"&lt;="&amp;$A242,実績!$AJ$6:$AJ$505,"&gt;"&amp;$A242,実績!$AL$6:$AL$505,"○")&gt;0,1,0))</f>
        <v>0</v>
      </c>
      <c r="G242" s="39" t="n">
        <f aca="false">IF(G$4=0,0,IF(COUNTIFS(実績!$W$6:$W$505,G$3,実績!$AI$6:$AI$505,"&lt;="&amp;$A242,実績!$AJ$6:$AJ$505,"&gt;"&amp;$A242,実績!$AL$6:$AL$505,"○")&gt;0,1,0))</f>
        <v>0</v>
      </c>
      <c r="H242" s="39" t="n">
        <f aca="false">IF(H$4=0,0,IF(COUNTIFS(実績!$W$6:$W$505,H$3,実績!$AI$6:$AI$505,"&lt;="&amp;$A242,実績!$AJ$6:$AJ$505,"&gt;"&amp;$A242,実績!$AL$6:$AL$505,"○")&gt;0,1,0))</f>
        <v>0</v>
      </c>
      <c r="I242" s="39" t="n">
        <f aca="false">IF(I$4=0,0,IF(COUNTIFS(実績!$W$6:$W$505,I$3,実績!$AI$6:$AI$505,"&lt;="&amp;$A242,実績!$AJ$6:$AJ$505,"&gt;"&amp;$A242,実績!$AL$6:$AL$505,"○")&gt;0,1,0))</f>
        <v>0</v>
      </c>
      <c r="J242" s="39" t="n">
        <f aca="false">IF(J$4=0,0,IF(COUNTIFS(実績!$W$6:$W$505,J$3,実績!$AI$6:$AI$505,"&lt;="&amp;$A242,実績!$AJ$6:$AJ$505,"&gt;"&amp;$A242,実績!$AL$6:$AL$505,"○")&gt;0,1,0))</f>
        <v>0</v>
      </c>
      <c r="K242" s="39" t="n">
        <f aca="false">IF(K$4=0,0,IF(COUNTIFS(実績!$W$6:$W$505,K$3,実績!$AI$6:$AI$505,"&lt;="&amp;$A242,実績!$AJ$6:$AJ$505,"&gt;"&amp;$A242,実績!$AL$6:$AL$505,"○")&gt;0,1,0))</f>
        <v>0</v>
      </c>
      <c r="L242" s="39" t="n">
        <f aca="false">IF(L$4=0,0,IF(COUNTIFS(実績!$W$6:$W$505,L$3,実績!$AI$6:$AI$505,"&lt;="&amp;$A242,実績!$AJ$6:$AJ$505,"&gt;"&amp;$A242,実績!$AL$6:$AL$505,"○")&gt;0,1,0))</f>
        <v>0</v>
      </c>
      <c r="M242" s="39" t="n">
        <f aca="false">IF(M$4=0,0,IF(COUNTIFS(実績!$W$6:$W$505,M$3,実績!$AI$6:$AI$505,"&lt;="&amp;$A242,実績!$AJ$6:$AJ$505,"&gt;"&amp;$A242,実績!$AL$6:$AL$505,"○")&gt;0,1,0))</f>
        <v>0</v>
      </c>
      <c r="N242" s="39" t="n">
        <f aca="false">IF(N$4=0,0,IF(COUNTIFS(実績!$W$6:$W$505,N$3,実績!$AI$6:$AI$505,"&lt;="&amp;$A242,実績!$AJ$6:$AJ$505,"&gt;"&amp;$A242,実績!$AL$6:$AL$505,"○")&gt;0,1,0))</f>
        <v>0</v>
      </c>
      <c r="O242" s="39" t="n">
        <f aca="false">IF(O$4=0,0,IF(COUNTIFS(実績!$W$6:$W$505,O$3,実績!$AI$6:$AI$505,"&lt;="&amp;$A242,実績!$AJ$6:$AJ$505,"&gt;"&amp;$A242,実績!$AL$6:$AL$505,"○")&gt;0,1,0))</f>
        <v>0</v>
      </c>
      <c r="P242" s="39" t="n">
        <f aca="false">IF(P$4=0,0,IF(COUNTIFS(実績!$W$6:$W$505,P$3,実績!$AI$6:$AI$505,"&lt;="&amp;$A242,実績!$AJ$6:$AJ$505,"&gt;"&amp;$A242,実績!$AL$6:$AL$505,"○")&gt;0,1,0))</f>
        <v>0</v>
      </c>
      <c r="Q242" s="39" t="n">
        <f aca="false">IF(Q$4=0,0,IF(COUNTIFS(実績!$W$6:$W$505,Q$3,実績!$AI$6:$AI$505,"&lt;="&amp;$A242,実績!$AJ$6:$AJ$505,"&gt;"&amp;$A242,実績!$AL$6:$AL$505,"○")&gt;0,1,0))</f>
        <v>0</v>
      </c>
      <c r="R242" s="39" t="n">
        <f aca="false">IF(R$4=0,0,IF(COUNTIFS(実績!$W$6:$W$505,R$3,実績!$AI$6:$AI$505,"&lt;="&amp;$A242,実績!$AJ$6:$AJ$505,"&gt;"&amp;$A242,実績!$AL$6:$AL$505,"○")&gt;0,1,0))</f>
        <v>0</v>
      </c>
      <c r="S242" s="39" t="n">
        <f aca="false">IF(S$4=0,0,IF(COUNTIFS(実績!$W$6:$W$505,S$3,実績!$AI$6:$AI$505,"&lt;="&amp;$A242,実績!$AJ$6:$AJ$505,"&gt;"&amp;$A242,実績!$AL$6:$AL$505,"○")&gt;0,1,0))</f>
        <v>0</v>
      </c>
      <c r="T242" s="39" t="n">
        <f aca="false">IF(T$4=0,0,IF(COUNTIFS(実績!$W$6:$W$505,T$3,実績!$AI$6:$AI$505,"&lt;="&amp;$A242,実績!$AJ$6:$AJ$505,"&gt;"&amp;$A242,実績!$AL$6:$AL$505,"○")&gt;0,1,0))</f>
        <v>0</v>
      </c>
      <c r="U242" s="39" t="n">
        <f aca="false">IF(U$4=0,0,IF(COUNTIFS(実績!$W$6:$W$505,U$3,実績!$AI$6:$AI$505,"&lt;="&amp;$A242,実績!$AJ$6:$AJ$505,"&gt;"&amp;$A242,実績!$AL$6:$AL$505,"○")&gt;0,1,0))</f>
        <v>0</v>
      </c>
      <c r="V242" s="39" t="n">
        <f aca="false">IF(V$4=0,0,IF(COUNTIFS(実績!$W$6:$W$505,V$3,実績!$AI$6:$AI$505,"&lt;="&amp;$A242,実績!$AJ$6:$AJ$505,"&gt;"&amp;$A242,実績!$AL$6:$AL$505,"○")&gt;0,1,0))</f>
        <v>0</v>
      </c>
      <c r="W242" s="39" t="n">
        <f aca="false">IF(W$4=0,0,IF(COUNTIFS(実績!$W$6:$W$505,W$3,実績!$AI$6:$AI$505,"&lt;="&amp;$A242,実績!$AJ$6:$AJ$505,"&gt;"&amp;$A242,実績!$AL$6:$AL$505,"○")&gt;0,1,0))</f>
        <v>0</v>
      </c>
      <c r="X242" s="39" t="n">
        <f aca="false">IF(X$4=0,0,IF(COUNTIFS(実績!$W$6:$W$505,X$3,実績!$AI$6:$AI$505,"&lt;="&amp;$A242,実績!$AJ$6:$AJ$505,"&gt;"&amp;$A242,実績!$AL$6:$AL$505,"○")&gt;0,1,0))</f>
        <v>0</v>
      </c>
      <c r="Y242" s="39" t="n">
        <f aca="false">IF(Y$4=0,0,IF(COUNTIFS(実績!$W$6:$W$505,Y$3,実績!$AI$6:$AI$505,"&lt;="&amp;$A242,実績!$AJ$6:$AJ$505,"&gt;"&amp;$A242,実績!$AL$6:$AL$505,"○")&gt;0,1,0))</f>
        <v>0</v>
      </c>
      <c r="Z242" s="39" t="n">
        <f aca="false">IF(Z$4=0,0,IF(COUNTIFS(実績!$W$6:$W$505,Z$3,実績!$AI$6:$AI$505,"&lt;="&amp;$A242,実績!$AJ$6:$AJ$505,"&gt;"&amp;$A242,実績!$AL$6:$AL$505,"○")&gt;0,1,0))</f>
        <v>0</v>
      </c>
      <c r="AA242" s="39" t="n">
        <f aca="false">IF(AA$4=0,0,IF(COUNTIFS(実績!$W$6:$W$505,AA$3,実績!$AI$6:$AI$505,"&lt;="&amp;$A242,実績!$AJ$6:$AJ$505,"&gt;"&amp;$A242,実績!$AL$6:$AL$505,"○")&gt;0,1,0))</f>
        <v>0</v>
      </c>
      <c r="AB242" s="39" t="n">
        <f aca="false">IF(AB$4=0,0,IF(COUNTIFS(実績!$W$6:$W$505,AB$3,実績!$AI$6:$AI$505,"&lt;="&amp;$A242,実績!$AJ$6:$AJ$505,"&gt;"&amp;$A242,実績!$AL$6:$AL$505,"○")&gt;0,1,0))</f>
        <v>0</v>
      </c>
      <c r="AC242" s="39" t="n">
        <f aca="false">IF(AC$4=0,0,IF(COUNTIFS(実績!$W$6:$W$505,AC$3,実績!$AI$6:$AI$505,"&lt;="&amp;$A242,実績!$AJ$6:$AJ$505,"&gt;"&amp;$A242,実績!$AL$6:$AL$505,"○")&gt;0,1,0))</f>
        <v>0</v>
      </c>
      <c r="AD242" s="39" t="n">
        <f aca="false">IF(AD$4=0,0,IF(COUNTIFS(実績!$W$6:$W$505,AD$3,実績!$AI$6:$AI$505,"&lt;="&amp;$A242,実績!$AJ$6:$AJ$505,"&gt;"&amp;$A242,実績!$AL$6:$AL$505,"○")&gt;0,1,0))</f>
        <v>0</v>
      </c>
      <c r="AE242" s="39" t="n">
        <f aca="false">IF(AE$4=0,0,IF(COUNTIFS(実績!$W$6:$W$505,AE$3,実績!$AI$6:$AI$505,"&lt;="&amp;$A242,実績!$AJ$6:$AJ$505,"&gt;"&amp;$A242,実績!$AL$6:$AL$505,"○")&gt;0,1,0))</f>
        <v>0</v>
      </c>
      <c r="AF242" s="39" t="n">
        <f aca="false">IF(AF$4=0,0,IF(COUNTIFS(実績!$W$6:$W$505,AF$3,実績!$AI$6:$AI$505,"&lt;="&amp;$A242,実績!$AJ$6:$AJ$505,"&gt;"&amp;$A242,実績!$AL$6:$AL$505,"○")&gt;0,1,0))</f>
        <v>0</v>
      </c>
      <c r="AG242" s="39" t="n">
        <f aca="false">IF(AG$4=0,0,IF(COUNTIFS(実績!$W$6:$W$505,AG$3,実績!$AI$6:$AI$505,"&lt;="&amp;$A242,実績!$AJ$6:$AJ$505,"&gt;"&amp;$A242,実績!$AL$6:$AL$505,"○")&gt;0,1,0))</f>
        <v>0</v>
      </c>
      <c r="AH242" s="39" t="n">
        <f aca="false">IF(AH$4=0,0,IF(COUNTIFS(実績!$W$6:$W$505,AH$3,実績!$AI$6:$AI$505,"&lt;="&amp;$A242,実績!$AJ$6:$AJ$505,"&gt;"&amp;$A242,実績!$AL$6:$AL$505,"○")&gt;0,1,0))</f>
        <v>0</v>
      </c>
      <c r="AI242" s="39" t="n">
        <f aca="false">IF(AI$4=0,0,IF(COUNTIFS(実績!$W$6:$W$505,AI$3,実績!$AI$6:$AI$505,"&lt;="&amp;$A242,実績!$AJ$6:$AJ$505,"&gt;"&amp;$A242,実績!$AL$6:$AL$505,"○")&gt;0,1,0))</f>
        <v>0</v>
      </c>
      <c r="AJ242" s="39" t="n">
        <f aca="false">IF(AJ$4=0,0,IF(COUNTIFS(実績!$W$6:$W$505,AJ$3,実績!$AI$6:$AI$505,"&lt;="&amp;$A242,実績!$AJ$6:$AJ$505,"&gt;"&amp;$A242,実績!$AL$6:$AL$505,"○")&gt;0,1,0))</f>
        <v>0</v>
      </c>
      <c r="AK242" s="39" t="n">
        <f aca="false">IF(AK$4=0,0,IF(COUNTIFS(実績!$W$6:$W$505,AK$3,実績!$AI$6:$AI$505,"&lt;="&amp;$A242,実績!$AJ$6:$AJ$505,"&gt;"&amp;$A242,実績!$AL$6:$AL$505,"○")&gt;0,1,0))</f>
        <v>0</v>
      </c>
      <c r="AL242" s="39" t="n">
        <f aca="false">IF(AL$4=0,0,IF(COUNTIFS(実績!$W$6:$W$505,AL$3,実績!$AI$6:$AI$505,"&lt;="&amp;$A242,実績!$AJ$6:$AJ$505,"&gt;"&amp;$A242,実績!$AL$6:$AL$505,"○")&gt;0,1,0))</f>
        <v>0</v>
      </c>
      <c r="AM242" s="39" t="n">
        <f aca="false">IF(AM$4=0,0,IF(COUNTIFS(実績!$W$6:$W$505,AM$3,実績!$AI$6:$AI$505,"&lt;="&amp;$A242,実績!$AJ$6:$AJ$505,"&gt;"&amp;$A242,実績!$AL$6:$AL$505,"○")&gt;0,1,0))</f>
        <v>0</v>
      </c>
      <c r="AN242" s="39" t="n">
        <f aca="false">IF(AN$4=0,0,IF(COUNTIFS(実績!$W$6:$W$505,AN$3,実績!$AI$6:$AI$505,"&lt;="&amp;$A242,実績!$AJ$6:$AJ$505,"&gt;"&amp;$A242,実績!$AL$6:$AL$505,"○")&gt;0,1,0))</f>
        <v>0</v>
      </c>
      <c r="AO242" s="39" t="n">
        <f aca="false">IF(AO$4=0,0,IF(COUNTIFS(実績!$W$6:$W$505,AO$3,実績!$AI$6:$AI$505,"&lt;="&amp;$A242,実績!$AJ$6:$AJ$505,"&gt;"&amp;$A242,実績!$AL$6:$AL$505,"○")&gt;0,1,0))</f>
        <v>0</v>
      </c>
      <c r="AP242" s="39" t="n">
        <f aca="false">IF(AP$4=0,0,IF(COUNTIFS(実績!$W$6:$W$505,AP$3,実績!$AI$6:$AI$505,"&lt;="&amp;$A242,実績!$AJ$6:$AJ$505,"&gt;"&amp;$A242,実績!$AL$6:$AL$505,"○")&gt;0,1,0))</f>
        <v>0</v>
      </c>
      <c r="AQ242" s="39" t="n">
        <f aca="false">IF(AQ$4=0,0,IF(COUNTIFS(実績!$W$6:$W$505,AQ$3,実績!$AI$6:$AI$505,"&lt;="&amp;$A242,実績!$AJ$6:$AJ$505,"&gt;"&amp;$A242,実績!$AL$6:$AL$505,"○")&gt;0,1,0))</f>
        <v>0</v>
      </c>
      <c r="AR242" s="39" t="n">
        <f aca="false">IF(AR$4=0,0,IF(COUNTIFS(実績!$W$6:$W$505,AR$3,実績!$AI$6:$AI$505,"&lt;="&amp;$A242,実績!$AJ$6:$AJ$505,"&gt;"&amp;$A242,実績!$AL$6:$AL$505,"○")&gt;0,1,0))</f>
        <v>0</v>
      </c>
      <c r="AS242" s="39" t="n">
        <f aca="false">IF(AS$4=0,0,IF(COUNTIFS(実績!$W$6:$W$505,AS$3,実績!$AI$6:$AI$505,"&lt;="&amp;$A242,実績!$AJ$6:$AJ$505,"&gt;"&amp;$A242,実績!$AL$6:$AL$505,"○")&gt;0,1,0))</f>
        <v>0</v>
      </c>
      <c r="AT242" s="39" t="n">
        <f aca="false">IF(AT$4=0,0,IF(COUNTIFS(実績!$W$6:$W$505,AT$3,実績!$AI$6:$AI$505,"&lt;="&amp;$A242,実績!$AJ$6:$AJ$505,"&gt;"&amp;$A242,実績!$AL$6:$AL$505,"○")&gt;0,1,0))</f>
        <v>0</v>
      </c>
      <c r="AU242" s="39" t="n">
        <f aca="false">IF(AU$4=0,0,IF(COUNTIFS(実績!$W$6:$W$505,AU$3,実績!$AI$6:$AI$505,"&lt;="&amp;$A242,実績!$AJ$6:$AJ$505,"&gt;"&amp;$A242,実績!$AL$6:$AL$505,"○")&gt;0,1,0))</f>
        <v>0</v>
      </c>
      <c r="AV242" s="39" t="n">
        <f aca="false">IF(AV$4=0,0,IF(COUNTIFS(実績!$W$6:$W$505,AV$3,実績!$AI$6:$AI$505,"&lt;="&amp;$A242,実績!$AJ$6:$AJ$505,"&gt;"&amp;$A242,実績!$AL$6:$AL$505,"○")&gt;0,1,0))</f>
        <v>0</v>
      </c>
      <c r="AW242" s="39" t="n">
        <f aca="false">IF(AW$4=0,0,IF(COUNTIFS(実績!$W$6:$W$505,AW$3,実績!$AI$6:$AI$505,"&lt;="&amp;$A242,実績!$AJ$6:$AJ$505,"&gt;"&amp;$A242,実績!$AL$6:$AL$505,"○")&gt;0,1,0))</f>
        <v>0</v>
      </c>
      <c r="AX242" s="39" t="n">
        <f aca="false">IF(AX$4=0,0,IF(COUNTIFS(実績!$W$6:$W$505,AX$3,実績!$AI$6:$AI$505,"&lt;="&amp;$A242,実績!$AJ$6:$AJ$505,"&gt;"&amp;$A242,実績!$AL$6:$AL$505,"○")&gt;0,1,0))</f>
        <v>0</v>
      </c>
      <c r="AY242" s="39" t="n">
        <f aca="false">IF(AY$4=0,0,IF(COUNTIFS(実績!$W$6:$W$505,AY$3,実績!$AI$6:$AI$505,"&lt;="&amp;$A242,実績!$AJ$6:$AJ$505,"&gt;"&amp;$A242,実績!$AL$6:$AL$505,"○")&gt;0,1,0))</f>
        <v>0</v>
      </c>
      <c r="AZ242" s="39" t="n">
        <f aca="false">IF(AZ$4=0,0,IF(COUNTIFS(実績!$W$6:$W$505,AZ$3,実績!$AI$6:$AI$505,"&lt;="&amp;$A242,実績!$AJ$6:$AJ$505,"&gt;"&amp;$A242,実績!$AL$6:$AL$505,"○")&gt;0,1,0))</f>
        <v>0</v>
      </c>
      <c r="BA242" s="39" t="n">
        <f aca="false">IF(BA$4=0,0,IF(COUNTIFS(実績!$W$6:$W$505,BA$3,実績!$AI$6:$AI$505,"&lt;="&amp;$A242,実績!$AJ$6:$AJ$505,"&gt;"&amp;$A242,実績!$AL$6:$AL$505,"○")&gt;0,1,0))</f>
        <v>0</v>
      </c>
      <c r="BB242" s="39" t="n">
        <f aca="false">IF(BB$4=0,0,IF(COUNTIFS(実績!$W$6:$W$505,BB$3,実績!$AI$6:$AI$505,"&lt;="&amp;$A242,実績!$AJ$6:$AJ$505,"&gt;"&amp;$A242,実績!$AL$6:$AL$505,"○")&gt;0,1,0))</f>
        <v>0</v>
      </c>
      <c r="BC242" s="39" t="n">
        <f aca="false">IF(BC$4=0,0,IF(COUNTIFS(実績!$W$6:$W$505,BC$3,実績!$AI$6:$AI$505,"&lt;="&amp;$A242,実績!$AJ$6:$AJ$505,"&gt;"&amp;$A242,実績!$AL$6:$AL$505,"○")&gt;0,1,0))</f>
        <v>0</v>
      </c>
      <c r="BD242" s="39" t="n">
        <f aca="false">IF(BD$4=0,0,IF(COUNTIFS(実績!$W$6:$W$505,BD$3,実績!$AI$6:$AI$505,"&lt;="&amp;$A242,実績!$AJ$6:$AJ$505,"&gt;"&amp;$A242,実績!$AL$6:$AL$505,"○")&gt;0,1,0))</f>
        <v>0</v>
      </c>
      <c r="BE242" s="39" t="n">
        <f aca="false">IF(BE$4=0,0,IF(COUNTIFS(実績!$W$6:$W$505,BE$3,実績!$AI$6:$AI$505,"&lt;="&amp;$A242,実績!$AJ$6:$AJ$505,"&gt;"&amp;$A242,実績!$AL$6:$AL$505,"○")&gt;0,1,0))</f>
        <v>0</v>
      </c>
      <c r="BF242" s="39" t="n">
        <f aca="false">IF(BF$4=0,0,IF(COUNTIFS(実績!$W$6:$W$505,BF$3,実績!$AI$6:$AI$505,"&lt;="&amp;$A242,実績!$AJ$6:$AJ$505,"&gt;"&amp;$A242,実績!$AL$6:$AL$505,"○")&gt;0,1,0))</f>
        <v>0</v>
      </c>
      <c r="BG242" s="39" t="n">
        <f aca="false">IF(BG$4=0,0,IF(COUNTIFS(実績!$W$6:$W$505,BG$3,実績!$AI$6:$AI$505,"&lt;="&amp;$A242,実績!$AJ$6:$AJ$505,"&gt;"&amp;$A242,実績!$AL$6:$AL$505,"○")&gt;0,1,0))</f>
        <v>0</v>
      </c>
      <c r="BH242" s="39" t="n">
        <f aca="false">IF(BH$4=0,0,IF(COUNTIFS(実績!$W$6:$W$505,BH$3,実績!$AI$6:$AI$505,"&lt;="&amp;$A242,実績!$AJ$6:$AJ$505,"&gt;"&amp;$A242,実績!$AL$6:$AL$505,"○")&gt;0,1,0))</f>
        <v>0</v>
      </c>
      <c r="BI242" s="39" t="n">
        <f aca="false">IF(BI$4=0,0,IF(COUNTIFS(実績!$W$6:$W$505,BI$3,実績!$AI$6:$AI$505,"&lt;="&amp;$A242,実績!$AJ$6:$AJ$505,"&gt;"&amp;$A242,実績!$AL$6:$AL$505,"○")&gt;0,1,0))</f>
        <v>0</v>
      </c>
      <c r="BJ242" s="39" t="n">
        <f aca="false">IF(BJ$4=0,0,IF(COUNTIFS(実績!$W$6:$W$505,BJ$3,実績!$AI$6:$AI$505,"&lt;="&amp;$A242,実績!$AJ$6:$AJ$505,"&gt;"&amp;$A242,実績!$AL$6:$AL$505,"○")&gt;0,1,0))</f>
        <v>0</v>
      </c>
      <c r="BK242" s="39" t="n">
        <f aca="false">IF(BK$4=0,0,IF(COUNTIFS(実績!$W$6:$W$505,BK$3,実績!$AI$6:$AI$505,"&lt;="&amp;$A242,実績!$AJ$6:$AJ$505,"&gt;"&amp;$A242,実績!$AL$6:$AL$505,"○")&gt;0,1,0))</f>
        <v>0</v>
      </c>
      <c r="BL242" s="39" t="n">
        <f aca="false">IF(BL$4=0,0,IF(COUNTIFS(実績!$W$6:$W$505,BL$3,実績!$AI$6:$AI$505,"&lt;="&amp;$A242,実績!$AJ$6:$AJ$505,"&gt;"&amp;$A242,実績!$AL$6:$AL$505,"○")&gt;0,1,0))</f>
        <v>0</v>
      </c>
      <c r="BM242" s="39" t="n">
        <f aca="false">IF(BM$4=0,0,IF(COUNTIFS(実績!$W$6:$W$505,BM$3,実績!$AI$6:$AI$505,"&lt;="&amp;$A242,実績!$AJ$6:$AJ$505,"&gt;"&amp;$A242,実績!$AL$6:$AL$505,"○")&gt;0,1,0))</f>
        <v>0</v>
      </c>
      <c r="BN242" s="39" t="n">
        <f aca="false">IF(BN$4=0,0,IF(COUNTIFS(実績!$W$6:$W$505,BN$3,実績!$AI$6:$AI$505,"&lt;="&amp;$A242,実績!$AJ$6:$AJ$505,"&gt;"&amp;$A242,実績!$AL$6:$AL$505,"○")&gt;0,1,0))</f>
        <v>0</v>
      </c>
      <c r="BO242" s="39" t="n">
        <f aca="false">IF(BO$4=0,0,IF(COUNTIFS(実績!$W$6:$W$505,BO$3,実績!$AI$6:$AI$505,"&lt;="&amp;$A242,実績!$AJ$6:$AJ$505,"&gt;"&amp;$A242,実績!$AL$6:$AL$505,"○")&gt;0,1,0))</f>
        <v>0</v>
      </c>
      <c r="BP242" s="39" t="n">
        <f aca="false">IF(BP$4=0,0,IF(COUNTIFS(実績!$W$6:$W$505,BP$3,実績!$AI$6:$AI$505,"&lt;="&amp;$A242,実績!$AJ$6:$AJ$505,"&gt;"&amp;$A242,実績!$AL$6:$AL$505,"○")&gt;0,1,0))</f>
        <v>0</v>
      </c>
      <c r="BQ242" s="39" t="n">
        <f aca="false">IF(BQ$4=0,0,IF(COUNTIFS(実績!$W$6:$W$505,BQ$3,実績!$AI$6:$AI$505,"&lt;="&amp;$A242,実績!$AJ$6:$AJ$505,"&gt;"&amp;$A242,実績!$AL$6:$AL$505,"○")&gt;0,1,0))</f>
        <v>0</v>
      </c>
      <c r="BR242" s="39" t="n">
        <f aca="false">IF(BR$4=0,0,IF(COUNTIFS(実績!$W$6:$W$505,BR$3,実績!$AI$6:$AI$505,"&lt;="&amp;$A242,実績!$AJ$6:$AJ$505,"&gt;"&amp;$A242,実績!$AL$6:$AL$505,"○")&gt;0,1,0))</f>
        <v>0</v>
      </c>
      <c r="BS242" s="39" t="n">
        <f aca="false">IF(BS$4=0,0,IF(COUNTIFS(実績!$W$6:$W$505,BS$3,実績!$AI$6:$AI$505,"&lt;="&amp;$A242,実績!$AJ$6:$AJ$505,"&gt;"&amp;$A242,実績!$AL$6:$AL$505,"○")&gt;0,1,0))</f>
        <v>0</v>
      </c>
      <c r="BT242" s="39" t="n">
        <f aca="false">IF(BT$4=0,0,IF(COUNTIFS(実績!$W$6:$W$505,BT$3,実績!$AI$6:$AI$505,"&lt;="&amp;$A242,実績!$AJ$6:$AJ$505,"&gt;"&amp;$A242,実績!$AL$6:$AL$505,"○")&gt;0,1,0))</f>
        <v>0</v>
      </c>
      <c r="BU242" s="39" t="n">
        <f aca="false">IF(BU$4=0,0,IF(COUNTIFS(実績!$W$6:$W$505,BU$3,実績!$AI$6:$AI$505,"&lt;="&amp;$A242,実績!$AJ$6:$AJ$505,"&gt;"&amp;$A242,実績!$AL$6:$AL$505,"○")&gt;0,1,0))</f>
        <v>0</v>
      </c>
      <c r="BV242" s="39" t="n">
        <f aca="false">IF(BV$4=0,0,IF(COUNTIFS(実績!$W$6:$W$505,BV$3,実績!$AI$6:$AI$505,"&lt;="&amp;$A242,実績!$AJ$6:$AJ$505,"&gt;"&amp;$A242,実績!$AL$6:$AL$505,"○")&gt;0,1,0))</f>
        <v>0</v>
      </c>
      <c r="BW242" s="39" t="n">
        <f aca="false">IF(BW$4=0,0,IF(COUNTIFS(実績!$W$6:$W$505,BW$3,実績!$AI$6:$AI$505,"&lt;="&amp;$A242,実績!$AJ$6:$AJ$505,"&gt;"&amp;$A242,実績!$AL$6:$AL$505,"○")&gt;0,1,0))</f>
        <v>0</v>
      </c>
      <c r="BX242" s="39" t="n">
        <f aca="false">IF(BX$4=0,0,IF(COUNTIFS(実績!$W$6:$W$505,BX$3,実績!$AI$6:$AI$505,"&lt;="&amp;$A242,実績!$AJ$6:$AJ$505,"&gt;"&amp;$A242,実績!$AL$6:$AL$505,"○")&gt;0,1,0))</f>
        <v>0</v>
      </c>
      <c r="BY242" s="39" t="n">
        <f aca="false">IF(BY$4=0,0,IF(COUNTIFS(実績!$W$6:$W$505,BY$3,実績!$AI$6:$AI$505,"&lt;="&amp;$A242,実績!$AJ$6:$AJ$505,"&gt;"&amp;$A242,実績!$AL$6:$AL$505,"○")&gt;0,1,0))</f>
        <v>0</v>
      </c>
      <c r="BZ242" s="39" t="n">
        <f aca="false">IF(BZ$4=0,0,IF(COUNTIFS(実績!$W$6:$W$505,BZ$3,実績!$AI$6:$AI$505,"&lt;="&amp;$A242,実績!$AJ$6:$AJ$505,"&gt;"&amp;$A242,実績!$AL$6:$AL$505,"○")&gt;0,1,0))</f>
        <v>0</v>
      </c>
      <c r="CA242" s="39" t="n">
        <f aca="false">IF(CA$4=0,0,IF(COUNTIFS(実績!$W$6:$W$505,CA$3,実績!$AI$6:$AI$505,"&lt;="&amp;$A242,実績!$AJ$6:$AJ$505,"&gt;"&amp;$A242,実績!$AL$6:$AL$505,"○")&gt;0,1,0))</f>
        <v>0</v>
      </c>
      <c r="CB242" s="39" t="n">
        <f aca="false">IF(CB$4=0,0,IF(COUNTIFS(実績!$W$6:$W$505,CB$3,実績!$AI$6:$AI$505,"&lt;="&amp;$A242,実績!$AJ$6:$AJ$505,"&gt;"&amp;$A242,実績!$AL$6:$AL$505,"○")&gt;0,1,0))</f>
        <v>0</v>
      </c>
      <c r="CC242" s="39" t="n">
        <f aca="false">IF(CC$4=0,0,IF(COUNTIFS(実績!$W$6:$W$505,CC$3,実績!$AI$6:$AI$505,"&lt;="&amp;$A242,実績!$AJ$6:$AJ$505,"&gt;"&amp;$A242,実績!$AL$6:$AL$505,"○")&gt;0,1,0))</f>
        <v>0</v>
      </c>
      <c r="CD242" s="39" t="n">
        <f aca="false">IF(CD$4=0,0,IF(COUNTIFS(実績!$W$6:$W$505,CD$3,実績!$AI$6:$AI$505,"&lt;="&amp;$A242,実績!$AJ$6:$AJ$505,"&gt;"&amp;$A242,実績!$AL$6:$AL$505,"○")&gt;0,1,0))</f>
        <v>0</v>
      </c>
      <c r="CE242" s="39" t="n">
        <f aca="false">IF(CE$4=0,0,IF(COUNTIFS(実績!$W$6:$W$505,CE$3,実績!$AI$6:$AI$505,"&lt;="&amp;$A242,実績!$AJ$6:$AJ$505,"&gt;"&amp;$A242,実績!$AL$6:$AL$505,"○")&gt;0,1,0))</f>
        <v>0</v>
      </c>
      <c r="CF242" s="39" t="n">
        <f aca="false">IF(CF$4=0,0,IF(COUNTIFS(実績!$W$6:$W$505,CF$3,実績!$AI$6:$AI$505,"&lt;="&amp;$A242,実績!$AJ$6:$AJ$505,"&gt;"&amp;$A242,実績!$AL$6:$AL$505,"○")&gt;0,1,0))</f>
        <v>0</v>
      </c>
      <c r="CG242" s="39" t="n">
        <f aca="false">IF(CG$4=0,0,IF(COUNTIFS(実績!$W$6:$W$505,CG$3,実績!$AI$6:$AI$505,"&lt;="&amp;$A242,実績!$AJ$6:$AJ$505,"&gt;"&amp;$A242,実績!$AL$6:$AL$505,"○")&gt;0,1,0))</f>
        <v>0</v>
      </c>
      <c r="CH242" s="39" t="n">
        <f aca="false">IF(CH$4=0,0,IF(COUNTIFS(実績!$W$6:$W$505,CH$3,実績!$AI$6:$AI$505,"&lt;="&amp;$A242,実績!$AJ$6:$AJ$505,"&gt;"&amp;$A242,実績!$AL$6:$AL$505,"○")&gt;0,1,0))</f>
        <v>0</v>
      </c>
      <c r="CI242" s="39" t="n">
        <f aca="false">IF(CI$4=0,0,IF(COUNTIFS(実績!$W$6:$W$505,CI$3,実績!$AI$6:$AI$505,"&lt;="&amp;$A242,実績!$AJ$6:$AJ$505,"&gt;"&amp;$A242,実績!$AL$6:$AL$505,"○")&gt;0,1,0))</f>
        <v>0</v>
      </c>
      <c r="CJ242" s="39" t="n">
        <f aca="false">IF(CJ$4=0,0,IF(COUNTIFS(実績!$W$6:$W$505,CJ$3,実績!$AI$6:$AI$505,"&lt;="&amp;$A242,実績!$AJ$6:$AJ$505,"&gt;"&amp;$A242,実績!$AL$6:$AL$505,"○")&gt;0,1,0))</f>
        <v>0</v>
      </c>
      <c r="CK242" s="39" t="n">
        <f aca="false">IF(CK$4=0,0,IF(COUNTIFS(実績!$W$6:$W$505,CK$3,実績!$AI$6:$AI$505,"&lt;="&amp;$A242,実績!$AJ$6:$AJ$505,"&gt;"&amp;$A242,実績!$AL$6:$AL$505,"○")&gt;0,1,0))</f>
        <v>0</v>
      </c>
      <c r="CL242" s="39" t="n">
        <f aca="false">IF(CL$4=0,0,IF(COUNTIFS(実績!$W$6:$W$505,CL$3,実績!$AI$6:$AI$505,"&lt;="&amp;$A242,実績!$AJ$6:$AJ$505,"&gt;"&amp;$A242,実績!$AL$6:$AL$505,"○")&gt;0,1,0))</f>
        <v>0</v>
      </c>
      <c r="CM242" s="39" t="n">
        <f aca="false">IF(CM$4=0,0,IF(COUNTIFS(実績!$W$6:$W$505,CM$3,実績!$AI$6:$AI$505,"&lt;="&amp;$A242,実績!$AJ$6:$AJ$505,"&gt;"&amp;$A242,実績!$AL$6:$AL$505,"○")&gt;0,1,0))</f>
        <v>0</v>
      </c>
      <c r="CN242" s="39" t="n">
        <f aca="false">IF(CN$4=0,0,IF(COUNTIFS(実績!$W$6:$W$505,CN$3,実績!$AI$6:$AI$505,"&lt;="&amp;$A242,実績!$AJ$6:$AJ$505,"&gt;"&amp;$A242,実績!$AL$6:$AL$505,"○")&gt;0,1,0))</f>
        <v>0</v>
      </c>
      <c r="CO242" s="39" t="n">
        <f aca="false">IF(CO$4=0,0,IF(COUNTIFS(実績!$W$6:$W$505,CO$3,実績!$AI$6:$AI$505,"&lt;="&amp;$A242,実績!$AJ$6:$AJ$505,"&gt;"&amp;$A242,実績!$AL$6:$AL$505,"○")&gt;0,1,0))</f>
        <v>0</v>
      </c>
      <c r="CP242" s="39" t="n">
        <f aca="false">IF(CP$4=0,0,IF(COUNTIFS(実績!$W$6:$W$505,CP$3,実績!$AI$6:$AI$505,"&lt;="&amp;$A242,実績!$AJ$6:$AJ$505,"&gt;"&amp;$A242,実績!$AL$6:$AL$505,"○")&gt;0,1,0))</f>
        <v>0</v>
      </c>
      <c r="CQ242" s="39" t="n">
        <f aca="false">IF(CQ$4=0,0,IF(COUNTIFS(実績!$W$6:$W$505,CQ$3,実績!$AI$6:$AI$505,"&lt;="&amp;$A242,実績!$AJ$6:$AJ$505,"&gt;"&amp;$A242,実績!$AL$6:$AL$505,"○")&gt;0,1,0))</f>
        <v>0</v>
      </c>
      <c r="CR242" s="39" t="n">
        <f aca="false">IF(CR$4=0,0,IF(COUNTIFS(実績!$W$6:$W$505,CR$3,実績!$AI$6:$AI$505,"&lt;="&amp;$A242,実績!$AJ$6:$AJ$505,"&gt;"&amp;$A242,実績!$AL$6:$AL$505,"○")&gt;0,1,0))</f>
        <v>0</v>
      </c>
      <c r="CS242" s="39" t="n">
        <f aca="false">IF(CS$4=0,0,IF(COUNTIFS(実績!$W$6:$W$505,CS$3,実績!$AI$6:$AI$505,"&lt;="&amp;$A242,実績!$AJ$6:$AJ$505,"&gt;"&amp;$A242,実績!$AL$6:$AL$505,"○")&gt;0,1,0))</f>
        <v>0</v>
      </c>
      <c r="CT242" s="39" t="n">
        <f aca="false">IF(CT$4=0,0,IF(COUNTIFS(実績!$W$6:$W$505,CT$3,実績!$AI$6:$AI$505,"&lt;="&amp;$A242,実績!$AJ$6:$AJ$505,"&gt;"&amp;$A242,実績!$AL$6:$AL$505,"○")&gt;0,1,0))</f>
        <v>0</v>
      </c>
      <c r="CU242" s="39" t="n">
        <f aca="false">IF(CU$4=0,0,IF(COUNTIFS(実績!$W$6:$W$505,CU$3,実績!$AI$6:$AI$505,"&lt;="&amp;$A242,実績!$AJ$6:$AJ$505,"&gt;"&amp;$A242,実績!$AL$6:$AL$505,"○")&gt;0,1,0))</f>
        <v>0</v>
      </c>
      <c r="CV242" s="39" t="n">
        <f aca="false">IF(CV$4=0,0,IF(COUNTIFS(実績!$W$6:$W$505,CV$3,実績!$AI$6:$AI$505,"&lt;="&amp;$A242,実績!$AJ$6:$AJ$505,"&gt;"&amp;$A242,実績!$AL$6:$AL$505,"○")&gt;0,1,0))</f>
        <v>0</v>
      </c>
      <c r="CW242" s="39" t="n">
        <f aca="false">IF(CW$4=0,0,IF(COUNTIFS(実績!$W$6:$W$505,CW$3,実績!$AI$6:$AI$505,"&lt;="&amp;$A242,実績!$AJ$6:$AJ$505,"&gt;"&amp;$A242,実績!$AL$6:$AL$505,"○")&gt;0,1,0))</f>
        <v>0</v>
      </c>
      <c r="CX242" s="39" t="n">
        <f aca="false">IF(CX$4=0,0,IF(COUNTIFS(実績!$W$6:$W$505,CX$3,実績!$AI$6:$AI$505,"&lt;="&amp;$A242,実績!$AJ$6:$AJ$505,"&gt;"&amp;$A242,実績!$AL$6:$AL$505,"○")&gt;0,1,0))</f>
        <v>0</v>
      </c>
      <c r="CY242" s="39" t="n">
        <f aca="false">IF(CY$4=0,0,IF(COUNTIFS(実績!$W$6:$W$505,CY$3,実績!$AI$6:$AI$505,"&lt;="&amp;$A242,実績!$AJ$6:$AJ$505,"&gt;"&amp;$A242,実績!$AL$6:$AL$505,"○")&gt;0,1,0))</f>
        <v>0</v>
      </c>
      <c r="CZ242" s="39" t="n">
        <f aca="false">IF(CZ$4=0,0,IF(COUNTIFS(実績!$W$6:$W$505,CZ$3,実績!$AI$6:$AI$505,"&lt;="&amp;$A242,実績!$AJ$6:$AJ$505,"&gt;"&amp;$A242,実績!$AL$6:$AL$505,"○")&gt;0,1,0))</f>
        <v>0</v>
      </c>
      <c r="DA242" s="39" t="n">
        <f aca="false">IF(DA$4=0,0,IF(COUNTIFS(実績!$W$6:$W$505,DA$3,実績!$AI$6:$AI$505,"&lt;="&amp;$A242,実績!$AJ$6:$AJ$505,"&gt;"&amp;$A242,実績!$AL$6:$AL$505,"○")&gt;0,1,0))</f>
        <v>0</v>
      </c>
      <c r="DB242" s="39" t="n">
        <f aca="false">IF(DB$4=0,0,IF(COUNTIFS(実績!$W$6:$W$505,DB$3,実績!$AI$6:$AI$505,"&lt;="&amp;$A242,実績!$AJ$6:$AJ$505,"&gt;"&amp;$A242,実績!$AL$6:$AL$505,"○")&gt;0,1,0))</f>
        <v>0</v>
      </c>
      <c r="DC242" s="39" t="n">
        <f aca="false">IF(DC$4=0,0,IF(COUNTIFS(実績!$W$6:$W$505,DC$3,実績!$AI$6:$AI$505,"&lt;="&amp;$A242,実績!$AJ$6:$AJ$505,"&gt;"&amp;$A242,実績!$AL$6:$AL$505,"○")&gt;0,1,0))</f>
        <v>0</v>
      </c>
      <c r="DD242" s="39" t="n">
        <f aca="false">IF(DD$4=0,0,IF(COUNTIFS(実績!$W$6:$W$505,DD$3,実績!$AI$6:$AI$505,"&lt;="&amp;$A242,実績!$AJ$6:$AJ$505,"&gt;"&amp;$A242,実績!$AL$6:$AL$505,"○")&gt;0,1,0))</f>
        <v>0</v>
      </c>
      <c r="DE242" s="39" t="n">
        <f aca="false">IF(DE$4=0,0,IF(COUNTIFS(実績!$W$6:$W$505,DE$3,実績!$AI$6:$AI$505,"&lt;="&amp;$A242,実績!$AJ$6:$AJ$505,"&gt;"&amp;$A242,実績!$AL$6:$AL$505,"○")&gt;0,1,0))</f>
        <v>0</v>
      </c>
      <c r="DF242" s="39" t="n">
        <f aca="false">IF(DF$4=0,0,IF(COUNTIFS(実績!$W$6:$W$505,DF$3,実績!$AI$6:$AI$505,"&lt;="&amp;$A242,実績!$AJ$6:$AJ$505,"&gt;"&amp;$A242,実績!$AL$6:$AL$505,"○")&gt;0,1,0))</f>
        <v>0</v>
      </c>
      <c r="DG242" s="39" t="n">
        <f aca="false">IF(DG$4=0,0,IF(COUNTIFS(実績!$W$6:$W$505,DG$3,実績!$AI$6:$AI$505,"&lt;="&amp;$A242,実績!$AJ$6:$AJ$505,"&gt;"&amp;$A242,実績!$AL$6:$AL$505,"○")&gt;0,1,0))</f>
        <v>0</v>
      </c>
      <c r="DH242" s="39" t="n">
        <f aca="false">IF(DH$4=0,0,IF(COUNTIFS(実績!$W$6:$W$505,DH$3,実績!$AI$6:$AI$505,"&lt;="&amp;$A242,実績!$AJ$6:$AJ$505,"&gt;"&amp;$A242,実績!$AL$6:$AL$505,"○")&gt;0,1,0))</f>
        <v>0</v>
      </c>
      <c r="DI242" s="39" t="n">
        <f aca="false">IF(DI$4=0,0,IF(COUNTIFS(実績!$W$6:$W$505,DI$3,実績!$AI$6:$AI$505,"&lt;="&amp;$A242,実績!$AJ$6:$AJ$505,"&gt;"&amp;$A242,実績!$AL$6:$AL$505,"○")&gt;0,1,0))</f>
        <v>0</v>
      </c>
      <c r="DJ242" s="39" t="n">
        <f aca="false">IF(DJ$4=0,0,IF(COUNTIFS(実績!$W$6:$W$505,DJ$3,実績!$AI$6:$AI$505,"&lt;="&amp;$A242,実績!$AJ$6:$AJ$505,"&gt;"&amp;$A242,実績!$AL$6:$AL$505,"○")&gt;0,1,0))</f>
        <v>0</v>
      </c>
      <c r="DK242" s="39" t="n">
        <f aca="false">IF(DK$4=0,0,IF(COUNTIFS(実績!$W$6:$W$505,DK$3,実績!$AI$6:$AI$505,"&lt;="&amp;$A242,実績!$AJ$6:$AJ$505,"&gt;"&amp;$A242,実績!$AL$6:$AL$505,"○")&gt;0,1,0))</f>
        <v>0</v>
      </c>
      <c r="DL242" s="39" t="n">
        <f aca="false">IF(DL$4=0,0,IF(COUNTIFS(実績!$W$6:$W$505,DL$3,実績!$AI$6:$AI$505,"&lt;="&amp;$A242,実績!$AJ$6:$AJ$505,"&gt;"&amp;$A242,実績!$AL$6:$AL$505,"○")&gt;0,1,0))</f>
        <v>0</v>
      </c>
      <c r="DM242" s="39" t="n">
        <f aca="false">IF(DM$4=0,0,IF(COUNTIFS(実績!$W$6:$W$505,DM$3,実績!$AI$6:$AI$505,"&lt;="&amp;$A242,実績!$AJ$6:$AJ$505,"&gt;"&amp;$A242,実績!$AL$6:$AL$505,"○")&gt;0,1,0))</f>
        <v>0</v>
      </c>
      <c r="DN242" s="39" t="n">
        <f aca="false">IF(DN$4=0,0,IF(COUNTIFS(実績!$W$6:$W$505,DN$3,実績!$AI$6:$AI$505,"&lt;="&amp;$A242,実績!$AJ$6:$AJ$505,"&gt;"&amp;$A242,実績!$AL$6:$AL$505,"○")&gt;0,1,0))</f>
        <v>0</v>
      </c>
      <c r="DO242" s="39" t="n">
        <f aca="false">IF(DO$4=0,0,IF(COUNTIFS(実績!$W$6:$W$505,DO$3,実績!$AI$6:$AI$505,"&lt;="&amp;$A242,実績!$AJ$6:$AJ$505,"&gt;"&amp;$A242,実績!$AL$6:$AL$505,"○")&gt;0,1,0))</f>
        <v>0</v>
      </c>
      <c r="DP242" s="39" t="n">
        <f aca="false">IF(DP$4=0,0,IF(COUNTIFS(実績!$W$6:$W$505,DP$3,実績!$AI$6:$AI$505,"&lt;="&amp;$A242,実績!$AJ$6:$AJ$505,"&gt;"&amp;$A242,実績!$AL$6:$AL$505,"○")&gt;0,1,0))</f>
        <v>0</v>
      </c>
      <c r="DQ242" s="39" t="n">
        <f aca="false">IF(DQ$4=0,0,IF(COUNTIFS(実績!$W$6:$W$505,DQ$3,実績!$AI$6:$AI$505,"&lt;="&amp;$A242,実績!$AJ$6:$AJ$505,"&gt;"&amp;$A242,実績!$AL$6:$AL$505,"○")&gt;0,1,0))</f>
        <v>0</v>
      </c>
      <c r="DR242" s="39" t="n">
        <f aca="false">IF(DR$4=0,0,IF(COUNTIFS(実績!$W$6:$W$505,DR$3,実績!$AI$6:$AI$505,"&lt;="&amp;$A242,実績!$AJ$6:$AJ$505,"&gt;"&amp;$A242,実績!$AL$6:$AL$505,"○")&gt;0,1,0))</f>
        <v>0</v>
      </c>
      <c r="DS242" s="39" t="n">
        <f aca="false">SUM(C242:DR242)</f>
        <v>0</v>
      </c>
    </row>
    <row r="243" customFormat="false" ht="15" hidden="false" customHeight="false" outlineLevel="0" collapsed="false">
      <c r="A243" s="0" t="n">
        <v>1185</v>
      </c>
      <c r="B243" s="38" t="n">
        <f aca="false">A243/1440</f>
        <v>0.822916666666667</v>
      </c>
      <c r="C243" s="39" t="n">
        <f aca="false">IF(C$4=0,0,IF(COUNTIFS(実績!$W$6:$W$505,C$3,実績!$AI$6:$AI$505,"&lt;="&amp;$A243,実績!$AJ$6:$AJ$505,"&gt;"&amp;$A243,実績!$AL$6:$AL$505,"○")&gt;0,1,0))</f>
        <v>0</v>
      </c>
      <c r="D243" s="39" t="n">
        <f aca="false">IF(D$4=0,0,IF(COUNTIFS(実績!$W$6:$W$505,D$3,実績!$AI$6:$AI$505,"&lt;="&amp;$A243,実績!$AJ$6:$AJ$505,"&gt;"&amp;$A243,実績!$AL$6:$AL$505,"○")&gt;0,1,0))</f>
        <v>0</v>
      </c>
      <c r="E243" s="39" t="n">
        <f aca="false">IF(E$4=0,0,IF(COUNTIFS(実績!$W$6:$W$505,E$3,実績!$AI$6:$AI$505,"&lt;="&amp;$A243,実績!$AJ$6:$AJ$505,"&gt;"&amp;$A243,実績!$AL$6:$AL$505,"○")&gt;0,1,0))</f>
        <v>0</v>
      </c>
      <c r="F243" s="39" t="n">
        <f aca="false">IF(F$4=0,0,IF(COUNTIFS(実績!$W$6:$W$505,F$3,実績!$AI$6:$AI$505,"&lt;="&amp;$A243,実績!$AJ$6:$AJ$505,"&gt;"&amp;$A243,実績!$AL$6:$AL$505,"○")&gt;0,1,0))</f>
        <v>0</v>
      </c>
      <c r="G243" s="39" t="n">
        <f aca="false">IF(G$4=0,0,IF(COUNTIFS(実績!$W$6:$W$505,G$3,実績!$AI$6:$AI$505,"&lt;="&amp;$A243,実績!$AJ$6:$AJ$505,"&gt;"&amp;$A243,実績!$AL$6:$AL$505,"○")&gt;0,1,0))</f>
        <v>0</v>
      </c>
      <c r="H243" s="39" t="n">
        <f aca="false">IF(H$4=0,0,IF(COUNTIFS(実績!$W$6:$W$505,H$3,実績!$AI$6:$AI$505,"&lt;="&amp;$A243,実績!$AJ$6:$AJ$505,"&gt;"&amp;$A243,実績!$AL$6:$AL$505,"○")&gt;0,1,0))</f>
        <v>0</v>
      </c>
      <c r="I243" s="39" t="n">
        <f aca="false">IF(I$4=0,0,IF(COUNTIFS(実績!$W$6:$W$505,I$3,実績!$AI$6:$AI$505,"&lt;="&amp;$A243,実績!$AJ$6:$AJ$505,"&gt;"&amp;$A243,実績!$AL$6:$AL$505,"○")&gt;0,1,0))</f>
        <v>0</v>
      </c>
      <c r="J243" s="39" t="n">
        <f aca="false">IF(J$4=0,0,IF(COUNTIFS(実績!$W$6:$W$505,J$3,実績!$AI$6:$AI$505,"&lt;="&amp;$A243,実績!$AJ$6:$AJ$505,"&gt;"&amp;$A243,実績!$AL$6:$AL$505,"○")&gt;0,1,0))</f>
        <v>0</v>
      </c>
      <c r="K243" s="39" t="n">
        <f aca="false">IF(K$4=0,0,IF(COUNTIFS(実績!$W$6:$W$505,K$3,実績!$AI$6:$AI$505,"&lt;="&amp;$A243,実績!$AJ$6:$AJ$505,"&gt;"&amp;$A243,実績!$AL$6:$AL$505,"○")&gt;0,1,0))</f>
        <v>0</v>
      </c>
      <c r="L243" s="39" t="n">
        <f aca="false">IF(L$4=0,0,IF(COUNTIFS(実績!$W$6:$W$505,L$3,実績!$AI$6:$AI$505,"&lt;="&amp;$A243,実績!$AJ$6:$AJ$505,"&gt;"&amp;$A243,実績!$AL$6:$AL$505,"○")&gt;0,1,0))</f>
        <v>0</v>
      </c>
      <c r="M243" s="39" t="n">
        <f aca="false">IF(M$4=0,0,IF(COUNTIFS(実績!$W$6:$W$505,M$3,実績!$AI$6:$AI$505,"&lt;="&amp;$A243,実績!$AJ$6:$AJ$505,"&gt;"&amp;$A243,実績!$AL$6:$AL$505,"○")&gt;0,1,0))</f>
        <v>0</v>
      </c>
      <c r="N243" s="39" t="n">
        <f aca="false">IF(N$4=0,0,IF(COUNTIFS(実績!$W$6:$W$505,N$3,実績!$AI$6:$AI$505,"&lt;="&amp;$A243,実績!$AJ$6:$AJ$505,"&gt;"&amp;$A243,実績!$AL$6:$AL$505,"○")&gt;0,1,0))</f>
        <v>0</v>
      </c>
      <c r="O243" s="39" t="n">
        <f aca="false">IF(O$4=0,0,IF(COUNTIFS(実績!$W$6:$W$505,O$3,実績!$AI$6:$AI$505,"&lt;="&amp;$A243,実績!$AJ$6:$AJ$505,"&gt;"&amp;$A243,実績!$AL$6:$AL$505,"○")&gt;0,1,0))</f>
        <v>0</v>
      </c>
      <c r="P243" s="39" t="n">
        <f aca="false">IF(P$4=0,0,IF(COUNTIFS(実績!$W$6:$W$505,P$3,実績!$AI$6:$AI$505,"&lt;="&amp;$A243,実績!$AJ$6:$AJ$505,"&gt;"&amp;$A243,実績!$AL$6:$AL$505,"○")&gt;0,1,0))</f>
        <v>0</v>
      </c>
      <c r="Q243" s="39" t="n">
        <f aca="false">IF(Q$4=0,0,IF(COUNTIFS(実績!$W$6:$W$505,Q$3,実績!$AI$6:$AI$505,"&lt;="&amp;$A243,実績!$AJ$6:$AJ$505,"&gt;"&amp;$A243,実績!$AL$6:$AL$505,"○")&gt;0,1,0))</f>
        <v>0</v>
      </c>
      <c r="R243" s="39" t="n">
        <f aca="false">IF(R$4=0,0,IF(COUNTIFS(実績!$W$6:$W$505,R$3,実績!$AI$6:$AI$505,"&lt;="&amp;$A243,実績!$AJ$6:$AJ$505,"&gt;"&amp;$A243,実績!$AL$6:$AL$505,"○")&gt;0,1,0))</f>
        <v>0</v>
      </c>
      <c r="S243" s="39" t="n">
        <f aca="false">IF(S$4=0,0,IF(COUNTIFS(実績!$W$6:$W$505,S$3,実績!$AI$6:$AI$505,"&lt;="&amp;$A243,実績!$AJ$6:$AJ$505,"&gt;"&amp;$A243,実績!$AL$6:$AL$505,"○")&gt;0,1,0))</f>
        <v>0</v>
      </c>
      <c r="T243" s="39" t="n">
        <f aca="false">IF(T$4=0,0,IF(COUNTIFS(実績!$W$6:$W$505,T$3,実績!$AI$6:$AI$505,"&lt;="&amp;$A243,実績!$AJ$6:$AJ$505,"&gt;"&amp;$A243,実績!$AL$6:$AL$505,"○")&gt;0,1,0))</f>
        <v>0</v>
      </c>
      <c r="U243" s="39" t="n">
        <f aca="false">IF(U$4=0,0,IF(COUNTIFS(実績!$W$6:$W$505,U$3,実績!$AI$6:$AI$505,"&lt;="&amp;$A243,実績!$AJ$6:$AJ$505,"&gt;"&amp;$A243,実績!$AL$6:$AL$505,"○")&gt;0,1,0))</f>
        <v>0</v>
      </c>
      <c r="V243" s="39" t="n">
        <f aca="false">IF(V$4=0,0,IF(COUNTIFS(実績!$W$6:$W$505,V$3,実績!$AI$6:$AI$505,"&lt;="&amp;$A243,実績!$AJ$6:$AJ$505,"&gt;"&amp;$A243,実績!$AL$6:$AL$505,"○")&gt;0,1,0))</f>
        <v>0</v>
      </c>
      <c r="W243" s="39" t="n">
        <f aca="false">IF(W$4=0,0,IF(COUNTIFS(実績!$W$6:$W$505,W$3,実績!$AI$6:$AI$505,"&lt;="&amp;$A243,実績!$AJ$6:$AJ$505,"&gt;"&amp;$A243,実績!$AL$6:$AL$505,"○")&gt;0,1,0))</f>
        <v>0</v>
      </c>
      <c r="X243" s="39" t="n">
        <f aca="false">IF(X$4=0,0,IF(COUNTIFS(実績!$W$6:$W$505,X$3,実績!$AI$6:$AI$505,"&lt;="&amp;$A243,実績!$AJ$6:$AJ$505,"&gt;"&amp;$A243,実績!$AL$6:$AL$505,"○")&gt;0,1,0))</f>
        <v>0</v>
      </c>
      <c r="Y243" s="39" t="n">
        <f aca="false">IF(Y$4=0,0,IF(COUNTIFS(実績!$W$6:$W$505,Y$3,実績!$AI$6:$AI$505,"&lt;="&amp;$A243,実績!$AJ$6:$AJ$505,"&gt;"&amp;$A243,実績!$AL$6:$AL$505,"○")&gt;0,1,0))</f>
        <v>0</v>
      </c>
      <c r="Z243" s="39" t="n">
        <f aca="false">IF(Z$4=0,0,IF(COUNTIFS(実績!$W$6:$W$505,Z$3,実績!$AI$6:$AI$505,"&lt;="&amp;$A243,実績!$AJ$6:$AJ$505,"&gt;"&amp;$A243,実績!$AL$6:$AL$505,"○")&gt;0,1,0))</f>
        <v>0</v>
      </c>
      <c r="AA243" s="39" t="n">
        <f aca="false">IF(AA$4=0,0,IF(COUNTIFS(実績!$W$6:$W$505,AA$3,実績!$AI$6:$AI$505,"&lt;="&amp;$A243,実績!$AJ$6:$AJ$505,"&gt;"&amp;$A243,実績!$AL$6:$AL$505,"○")&gt;0,1,0))</f>
        <v>0</v>
      </c>
      <c r="AB243" s="39" t="n">
        <f aca="false">IF(AB$4=0,0,IF(COUNTIFS(実績!$W$6:$W$505,AB$3,実績!$AI$6:$AI$505,"&lt;="&amp;$A243,実績!$AJ$6:$AJ$505,"&gt;"&amp;$A243,実績!$AL$6:$AL$505,"○")&gt;0,1,0))</f>
        <v>0</v>
      </c>
      <c r="AC243" s="39" t="n">
        <f aca="false">IF(AC$4=0,0,IF(COUNTIFS(実績!$W$6:$W$505,AC$3,実績!$AI$6:$AI$505,"&lt;="&amp;$A243,実績!$AJ$6:$AJ$505,"&gt;"&amp;$A243,実績!$AL$6:$AL$505,"○")&gt;0,1,0))</f>
        <v>0</v>
      </c>
      <c r="AD243" s="39" t="n">
        <f aca="false">IF(AD$4=0,0,IF(COUNTIFS(実績!$W$6:$W$505,AD$3,実績!$AI$6:$AI$505,"&lt;="&amp;$A243,実績!$AJ$6:$AJ$505,"&gt;"&amp;$A243,実績!$AL$6:$AL$505,"○")&gt;0,1,0))</f>
        <v>0</v>
      </c>
      <c r="AE243" s="39" t="n">
        <f aca="false">IF(AE$4=0,0,IF(COUNTIFS(実績!$W$6:$W$505,AE$3,実績!$AI$6:$AI$505,"&lt;="&amp;$A243,実績!$AJ$6:$AJ$505,"&gt;"&amp;$A243,実績!$AL$6:$AL$505,"○")&gt;0,1,0))</f>
        <v>0</v>
      </c>
      <c r="AF243" s="39" t="n">
        <f aca="false">IF(AF$4=0,0,IF(COUNTIFS(実績!$W$6:$W$505,AF$3,実績!$AI$6:$AI$505,"&lt;="&amp;$A243,実績!$AJ$6:$AJ$505,"&gt;"&amp;$A243,実績!$AL$6:$AL$505,"○")&gt;0,1,0))</f>
        <v>0</v>
      </c>
      <c r="AG243" s="39" t="n">
        <f aca="false">IF(AG$4=0,0,IF(COUNTIFS(実績!$W$6:$W$505,AG$3,実績!$AI$6:$AI$505,"&lt;="&amp;$A243,実績!$AJ$6:$AJ$505,"&gt;"&amp;$A243,実績!$AL$6:$AL$505,"○")&gt;0,1,0))</f>
        <v>0</v>
      </c>
      <c r="AH243" s="39" t="n">
        <f aca="false">IF(AH$4=0,0,IF(COUNTIFS(実績!$W$6:$W$505,AH$3,実績!$AI$6:$AI$505,"&lt;="&amp;$A243,実績!$AJ$6:$AJ$505,"&gt;"&amp;$A243,実績!$AL$6:$AL$505,"○")&gt;0,1,0))</f>
        <v>0</v>
      </c>
      <c r="AI243" s="39" t="n">
        <f aca="false">IF(AI$4=0,0,IF(COUNTIFS(実績!$W$6:$W$505,AI$3,実績!$AI$6:$AI$505,"&lt;="&amp;$A243,実績!$AJ$6:$AJ$505,"&gt;"&amp;$A243,実績!$AL$6:$AL$505,"○")&gt;0,1,0))</f>
        <v>0</v>
      </c>
      <c r="AJ243" s="39" t="n">
        <f aca="false">IF(AJ$4=0,0,IF(COUNTIFS(実績!$W$6:$W$505,AJ$3,実績!$AI$6:$AI$505,"&lt;="&amp;$A243,実績!$AJ$6:$AJ$505,"&gt;"&amp;$A243,実績!$AL$6:$AL$505,"○")&gt;0,1,0))</f>
        <v>0</v>
      </c>
      <c r="AK243" s="39" t="n">
        <f aca="false">IF(AK$4=0,0,IF(COUNTIFS(実績!$W$6:$W$505,AK$3,実績!$AI$6:$AI$505,"&lt;="&amp;$A243,実績!$AJ$6:$AJ$505,"&gt;"&amp;$A243,実績!$AL$6:$AL$505,"○")&gt;0,1,0))</f>
        <v>0</v>
      </c>
      <c r="AL243" s="39" t="n">
        <f aca="false">IF(AL$4=0,0,IF(COUNTIFS(実績!$W$6:$W$505,AL$3,実績!$AI$6:$AI$505,"&lt;="&amp;$A243,実績!$AJ$6:$AJ$505,"&gt;"&amp;$A243,実績!$AL$6:$AL$505,"○")&gt;0,1,0))</f>
        <v>0</v>
      </c>
      <c r="AM243" s="39" t="n">
        <f aca="false">IF(AM$4=0,0,IF(COUNTIFS(実績!$W$6:$W$505,AM$3,実績!$AI$6:$AI$505,"&lt;="&amp;$A243,実績!$AJ$6:$AJ$505,"&gt;"&amp;$A243,実績!$AL$6:$AL$505,"○")&gt;0,1,0))</f>
        <v>0</v>
      </c>
      <c r="AN243" s="39" t="n">
        <f aca="false">IF(AN$4=0,0,IF(COUNTIFS(実績!$W$6:$W$505,AN$3,実績!$AI$6:$AI$505,"&lt;="&amp;$A243,実績!$AJ$6:$AJ$505,"&gt;"&amp;$A243,実績!$AL$6:$AL$505,"○")&gt;0,1,0))</f>
        <v>0</v>
      </c>
      <c r="AO243" s="39" t="n">
        <f aca="false">IF(AO$4=0,0,IF(COUNTIFS(実績!$W$6:$W$505,AO$3,実績!$AI$6:$AI$505,"&lt;="&amp;$A243,実績!$AJ$6:$AJ$505,"&gt;"&amp;$A243,実績!$AL$6:$AL$505,"○")&gt;0,1,0))</f>
        <v>0</v>
      </c>
      <c r="AP243" s="39" t="n">
        <f aca="false">IF(AP$4=0,0,IF(COUNTIFS(実績!$W$6:$W$505,AP$3,実績!$AI$6:$AI$505,"&lt;="&amp;$A243,実績!$AJ$6:$AJ$505,"&gt;"&amp;$A243,実績!$AL$6:$AL$505,"○")&gt;0,1,0))</f>
        <v>0</v>
      </c>
      <c r="AQ243" s="39" t="n">
        <f aca="false">IF(AQ$4=0,0,IF(COUNTIFS(実績!$W$6:$W$505,AQ$3,実績!$AI$6:$AI$505,"&lt;="&amp;$A243,実績!$AJ$6:$AJ$505,"&gt;"&amp;$A243,実績!$AL$6:$AL$505,"○")&gt;0,1,0))</f>
        <v>0</v>
      </c>
      <c r="AR243" s="39" t="n">
        <f aca="false">IF(AR$4=0,0,IF(COUNTIFS(実績!$W$6:$W$505,AR$3,実績!$AI$6:$AI$505,"&lt;="&amp;$A243,実績!$AJ$6:$AJ$505,"&gt;"&amp;$A243,実績!$AL$6:$AL$505,"○")&gt;0,1,0))</f>
        <v>0</v>
      </c>
      <c r="AS243" s="39" t="n">
        <f aca="false">IF(AS$4=0,0,IF(COUNTIFS(実績!$W$6:$W$505,AS$3,実績!$AI$6:$AI$505,"&lt;="&amp;$A243,実績!$AJ$6:$AJ$505,"&gt;"&amp;$A243,実績!$AL$6:$AL$505,"○")&gt;0,1,0))</f>
        <v>0</v>
      </c>
      <c r="AT243" s="39" t="n">
        <f aca="false">IF(AT$4=0,0,IF(COUNTIFS(実績!$W$6:$W$505,AT$3,実績!$AI$6:$AI$505,"&lt;="&amp;$A243,実績!$AJ$6:$AJ$505,"&gt;"&amp;$A243,実績!$AL$6:$AL$505,"○")&gt;0,1,0))</f>
        <v>0</v>
      </c>
      <c r="AU243" s="39" t="n">
        <f aca="false">IF(AU$4=0,0,IF(COUNTIFS(実績!$W$6:$W$505,AU$3,実績!$AI$6:$AI$505,"&lt;="&amp;$A243,実績!$AJ$6:$AJ$505,"&gt;"&amp;$A243,実績!$AL$6:$AL$505,"○")&gt;0,1,0))</f>
        <v>0</v>
      </c>
      <c r="AV243" s="39" t="n">
        <f aca="false">IF(AV$4=0,0,IF(COUNTIFS(実績!$W$6:$W$505,AV$3,実績!$AI$6:$AI$505,"&lt;="&amp;$A243,実績!$AJ$6:$AJ$505,"&gt;"&amp;$A243,実績!$AL$6:$AL$505,"○")&gt;0,1,0))</f>
        <v>0</v>
      </c>
      <c r="AW243" s="39" t="n">
        <f aca="false">IF(AW$4=0,0,IF(COUNTIFS(実績!$W$6:$W$505,AW$3,実績!$AI$6:$AI$505,"&lt;="&amp;$A243,実績!$AJ$6:$AJ$505,"&gt;"&amp;$A243,実績!$AL$6:$AL$505,"○")&gt;0,1,0))</f>
        <v>0</v>
      </c>
      <c r="AX243" s="39" t="n">
        <f aca="false">IF(AX$4=0,0,IF(COUNTIFS(実績!$W$6:$W$505,AX$3,実績!$AI$6:$AI$505,"&lt;="&amp;$A243,実績!$AJ$6:$AJ$505,"&gt;"&amp;$A243,実績!$AL$6:$AL$505,"○")&gt;0,1,0))</f>
        <v>0</v>
      </c>
      <c r="AY243" s="39" t="n">
        <f aca="false">IF(AY$4=0,0,IF(COUNTIFS(実績!$W$6:$W$505,AY$3,実績!$AI$6:$AI$505,"&lt;="&amp;$A243,実績!$AJ$6:$AJ$505,"&gt;"&amp;$A243,実績!$AL$6:$AL$505,"○")&gt;0,1,0))</f>
        <v>0</v>
      </c>
      <c r="AZ243" s="39" t="n">
        <f aca="false">IF(AZ$4=0,0,IF(COUNTIFS(実績!$W$6:$W$505,AZ$3,実績!$AI$6:$AI$505,"&lt;="&amp;$A243,実績!$AJ$6:$AJ$505,"&gt;"&amp;$A243,実績!$AL$6:$AL$505,"○")&gt;0,1,0))</f>
        <v>0</v>
      </c>
      <c r="BA243" s="39" t="n">
        <f aca="false">IF(BA$4=0,0,IF(COUNTIFS(実績!$W$6:$W$505,BA$3,実績!$AI$6:$AI$505,"&lt;="&amp;$A243,実績!$AJ$6:$AJ$505,"&gt;"&amp;$A243,実績!$AL$6:$AL$505,"○")&gt;0,1,0))</f>
        <v>0</v>
      </c>
      <c r="BB243" s="39" t="n">
        <f aca="false">IF(BB$4=0,0,IF(COUNTIFS(実績!$W$6:$W$505,BB$3,実績!$AI$6:$AI$505,"&lt;="&amp;$A243,実績!$AJ$6:$AJ$505,"&gt;"&amp;$A243,実績!$AL$6:$AL$505,"○")&gt;0,1,0))</f>
        <v>0</v>
      </c>
      <c r="BC243" s="39" t="n">
        <f aca="false">IF(BC$4=0,0,IF(COUNTIFS(実績!$W$6:$W$505,BC$3,実績!$AI$6:$AI$505,"&lt;="&amp;$A243,実績!$AJ$6:$AJ$505,"&gt;"&amp;$A243,実績!$AL$6:$AL$505,"○")&gt;0,1,0))</f>
        <v>0</v>
      </c>
      <c r="BD243" s="39" t="n">
        <f aca="false">IF(BD$4=0,0,IF(COUNTIFS(実績!$W$6:$W$505,BD$3,実績!$AI$6:$AI$505,"&lt;="&amp;$A243,実績!$AJ$6:$AJ$505,"&gt;"&amp;$A243,実績!$AL$6:$AL$505,"○")&gt;0,1,0))</f>
        <v>0</v>
      </c>
      <c r="BE243" s="39" t="n">
        <f aca="false">IF(BE$4=0,0,IF(COUNTIFS(実績!$W$6:$W$505,BE$3,実績!$AI$6:$AI$505,"&lt;="&amp;$A243,実績!$AJ$6:$AJ$505,"&gt;"&amp;$A243,実績!$AL$6:$AL$505,"○")&gt;0,1,0))</f>
        <v>0</v>
      </c>
      <c r="BF243" s="39" t="n">
        <f aca="false">IF(BF$4=0,0,IF(COUNTIFS(実績!$W$6:$W$505,BF$3,実績!$AI$6:$AI$505,"&lt;="&amp;$A243,実績!$AJ$6:$AJ$505,"&gt;"&amp;$A243,実績!$AL$6:$AL$505,"○")&gt;0,1,0))</f>
        <v>0</v>
      </c>
      <c r="BG243" s="39" t="n">
        <f aca="false">IF(BG$4=0,0,IF(COUNTIFS(実績!$W$6:$W$505,BG$3,実績!$AI$6:$AI$505,"&lt;="&amp;$A243,実績!$AJ$6:$AJ$505,"&gt;"&amp;$A243,実績!$AL$6:$AL$505,"○")&gt;0,1,0))</f>
        <v>0</v>
      </c>
      <c r="BH243" s="39" t="n">
        <f aca="false">IF(BH$4=0,0,IF(COUNTIFS(実績!$W$6:$W$505,BH$3,実績!$AI$6:$AI$505,"&lt;="&amp;$A243,実績!$AJ$6:$AJ$505,"&gt;"&amp;$A243,実績!$AL$6:$AL$505,"○")&gt;0,1,0))</f>
        <v>0</v>
      </c>
      <c r="BI243" s="39" t="n">
        <f aca="false">IF(BI$4=0,0,IF(COUNTIFS(実績!$W$6:$W$505,BI$3,実績!$AI$6:$AI$505,"&lt;="&amp;$A243,実績!$AJ$6:$AJ$505,"&gt;"&amp;$A243,実績!$AL$6:$AL$505,"○")&gt;0,1,0))</f>
        <v>0</v>
      </c>
      <c r="BJ243" s="39" t="n">
        <f aca="false">IF(BJ$4=0,0,IF(COUNTIFS(実績!$W$6:$W$505,BJ$3,実績!$AI$6:$AI$505,"&lt;="&amp;$A243,実績!$AJ$6:$AJ$505,"&gt;"&amp;$A243,実績!$AL$6:$AL$505,"○")&gt;0,1,0))</f>
        <v>0</v>
      </c>
      <c r="BK243" s="39" t="n">
        <f aca="false">IF(BK$4=0,0,IF(COUNTIFS(実績!$W$6:$W$505,BK$3,実績!$AI$6:$AI$505,"&lt;="&amp;$A243,実績!$AJ$6:$AJ$505,"&gt;"&amp;$A243,実績!$AL$6:$AL$505,"○")&gt;0,1,0))</f>
        <v>0</v>
      </c>
      <c r="BL243" s="39" t="n">
        <f aca="false">IF(BL$4=0,0,IF(COUNTIFS(実績!$W$6:$W$505,BL$3,実績!$AI$6:$AI$505,"&lt;="&amp;$A243,実績!$AJ$6:$AJ$505,"&gt;"&amp;$A243,実績!$AL$6:$AL$505,"○")&gt;0,1,0))</f>
        <v>0</v>
      </c>
      <c r="BM243" s="39" t="n">
        <f aca="false">IF(BM$4=0,0,IF(COUNTIFS(実績!$W$6:$W$505,BM$3,実績!$AI$6:$AI$505,"&lt;="&amp;$A243,実績!$AJ$6:$AJ$505,"&gt;"&amp;$A243,実績!$AL$6:$AL$505,"○")&gt;0,1,0))</f>
        <v>0</v>
      </c>
      <c r="BN243" s="39" t="n">
        <f aca="false">IF(BN$4=0,0,IF(COUNTIFS(実績!$W$6:$W$505,BN$3,実績!$AI$6:$AI$505,"&lt;="&amp;$A243,実績!$AJ$6:$AJ$505,"&gt;"&amp;$A243,実績!$AL$6:$AL$505,"○")&gt;0,1,0))</f>
        <v>0</v>
      </c>
      <c r="BO243" s="39" t="n">
        <f aca="false">IF(BO$4=0,0,IF(COUNTIFS(実績!$W$6:$W$505,BO$3,実績!$AI$6:$AI$505,"&lt;="&amp;$A243,実績!$AJ$6:$AJ$505,"&gt;"&amp;$A243,実績!$AL$6:$AL$505,"○")&gt;0,1,0))</f>
        <v>0</v>
      </c>
      <c r="BP243" s="39" t="n">
        <f aca="false">IF(BP$4=0,0,IF(COUNTIFS(実績!$W$6:$W$505,BP$3,実績!$AI$6:$AI$505,"&lt;="&amp;$A243,実績!$AJ$6:$AJ$505,"&gt;"&amp;$A243,実績!$AL$6:$AL$505,"○")&gt;0,1,0))</f>
        <v>0</v>
      </c>
      <c r="BQ243" s="39" t="n">
        <f aca="false">IF(BQ$4=0,0,IF(COUNTIFS(実績!$W$6:$W$505,BQ$3,実績!$AI$6:$AI$505,"&lt;="&amp;$A243,実績!$AJ$6:$AJ$505,"&gt;"&amp;$A243,実績!$AL$6:$AL$505,"○")&gt;0,1,0))</f>
        <v>0</v>
      </c>
      <c r="BR243" s="39" t="n">
        <f aca="false">IF(BR$4=0,0,IF(COUNTIFS(実績!$W$6:$W$505,BR$3,実績!$AI$6:$AI$505,"&lt;="&amp;$A243,実績!$AJ$6:$AJ$505,"&gt;"&amp;$A243,実績!$AL$6:$AL$505,"○")&gt;0,1,0))</f>
        <v>0</v>
      </c>
      <c r="BS243" s="39" t="n">
        <f aca="false">IF(BS$4=0,0,IF(COUNTIFS(実績!$W$6:$W$505,BS$3,実績!$AI$6:$AI$505,"&lt;="&amp;$A243,実績!$AJ$6:$AJ$505,"&gt;"&amp;$A243,実績!$AL$6:$AL$505,"○")&gt;0,1,0))</f>
        <v>0</v>
      </c>
      <c r="BT243" s="39" t="n">
        <f aca="false">IF(BT$4=0,0,IF(COUNTIFS(実績!$W$6:$W$505,BT$3,実績!$AI$6:$AI$505,"&lt;="&amp;$A243,実績!$AJ$6:$AJ$505,"&gt;"&amp;$A243,実績!$AL$6:$AL$505,"○")&gt;0,1,0))</f>
        <v>0</v>
      </c>
      <c r="BU243" s="39" t="n">
        <f aca="false">IF(BU$4=0,0,IF(COUNTIFS(実績!$W$6:$W$505,BU$3,実績!$AI$6:$AI$505,"&lt;="&amp;$A243,実績!$AJ$6:$AJ$505,"&gt;"&amp;$A243,実績!$AL$6:$AL$505,"○")&gt;0,1,0))</f>
        <v>0</v>
      </c>
      <c r="BV243" s="39" t="n">
        <f aca="false">IF(BV$4=0,0,IF(COUNTIFS(実績!$W$6:$W$505,BV$3,実績!$AI$6:$AI$505,"&lt;="&amp;$A243,実績!$AJ$6:$AJ$505,"&gt;"&amp;$A243,実績!$AL$6:$AL$505,"○")&gt;0,1,0))</f>
        <v>0</v>
      </c>
      <c r="BW243" s="39" t="n">
        <f aca="false">IF(BW$4=0,0,IF(COUNTIFS(実績!$W$6:$W$505,BW$3,実績!$AI$6:$AI$505,"&lt;="&amp;$A243,実績!$AJ$6:$AJ$505,"&gt;"&amp;$A243,実績!$AL$6:$AL$505,"○")&gt;0,1,0))</f>
        <v>0</v>
      </c>
      <c r="BX243" s="39" t="n">
        <f aca="false">IF(BX$4=0,0,IF(COUNTIFS(実績!$W$6:$W$505,BX$3,実績!$AI$6:$AI$505,"&lt;="&amp;$A243,実績!$AJ$6:$AJ$505,"&gt;"&amp;$A243,実績!$AL$6:$AL$505,"○")&gt;0,1,0))</f>
        <v>0</v>
      </c>
      <c r="BY243" s="39" t="n">
        <f aca="false">IF(BY$4=0,0,IF(COUNTIFS(実績!$W$6:$W$505,BY$3,実績!$AI$6:$AI$505,"&lt;="&amp;$A243,実績!$AJ$6:$AJ$505,"&gt;"&amp;$A243,実績!$AL$6:$AL$505,"○")&gt;0,1,0))</f>
        <v>0</v>
      </c>
      <c r="BZ243" s="39" t="n">
        <f aca="false">IF(BZ$4=0,0,IF(COUNTIFS(実績!$W$6:$W$505,BZ$3,実績!$AI$6:$AI$505,"&lt;="&amp;$A243,実績!$AJ$6:$AJ$505,"&gt;"&amp;$A243,実績!$AL$6:$AL$505,"○")&gt;0,1,0))</f>
        <v>0</v>
      </c>
      <c r="CA243" s="39" t="n">
        <f aca="false">IF(CA$4=0,0,IF(COUNTIFS(実績!$W$6:$W$505,CA$3,実績!$AI$6:$AI$505,"&lt;="&amp;$A243,実績!$AJ$6:$AJ$505,"&gt;"&amp;$A243,実績!$AL$6:$AL$505,"○")&gt;0,1,0))</f>
        <v>0</v>
      </c>
      <c r="CB243" s="39" t="n">
        <f aca="false">IF(CB$4=0,0,IF(COUNTIFS(実績!$W$6:$W$505,CB$3,実績!$AI$6:$AI$505,"&lt;="&amp;$A243,実績!$AJ$6:$AJ$505,"&gt;"&amp;$A243,実績!$AL$6:$AL$505,"○")&gt;0,1,0))</f>
        <v>0</v>
      </c>
      <c r="CC243" s="39" t="n">
        <f aca="false">IF(CC$4=0,0,IF(COUNTIFS(実績!$W$6:$W$505,CC$3,実績!$AI$6:$AI$505,"&lt;="&amp;$A243,実績!$AJ$6:$AJ$505,"&gt;"&amp;$A243,実績!$AL$6:$AL$505,"○")&gt;0,1,0))</f>
        <v>0</v>
      </c>
      <c r="CD243" s="39" t="n">
        <f aca="false">IF(CD$4=0,0,IF(COUNTIFS(実績!$W$6:$W$505,CD$3,実績!$AI$6:$AI$505,"&lt;="&amp;$A243,実績!$AJ$6:$AJ$505,"&gt;"&amp;$A243,実績!$AL$6:$AL$505,"○")&gt;0,1,0))</f>
        <v>0</v>
      </c>
      <c r="CE243" s="39" t="n">
        <f aca="false">IF(CE$4=0,0,IF(COUNTIFS(実績!$W$6:$W$505,CE$3,実績!$AI$6:$AI$505,"&lt;="&amp;$A243,実績!$AJ$6:$AJ$505,"&gt;"&amp;$A243,実績!$AL$6:$AL$505,"○")&gt;0,1,0))</f>
        <v>0</v>
      </c>
      <c r="CF243" s="39" t="n">
        <f aca="false">IF(CF$4=0,0,IF(COUNTIFS(実績!$W$6:$W$505,CF$3,実績!$AI$6:$AI$505,"&lt;="&amp;$A243,実績!$AJ$6:$AJ$505,"&gt;"&amp;$A243,実績!$AL$6:$AL$505,"○")&gt;0,1,0))</f>
        <v>0</v>
      </c>
      <c r="CG243" s="39" t="n">
        <f aca="false">IF(CG$4=0,0,IF(COUNTIFS(実績!$W$6:$W$505,CG$3,実績!$AI$6:$AI$505,"&lt;="&amp;$A243,実績!$AJ$6:$AJ$505,"&gt;"&amp;$A243,実績!$AL$6:$AL$505,"○")&gt;0,1,0))</f>
        <v>0</v>
      </c>
      <c r="CH243" s="39" t="n">
        <f aca="false">IF(CH$4=0,0,IF(COUNTIFS(実績!$W$6:$W$505,CH$3,実績!$AI$6:$AI$505,"&lt;="&amp;$A243,実績!$AJ$6:$AJ$505,"&gt;"&amp;$A243,実績!$AL$6:$AL$505,"○")&gt;0,1,0))</f>
        <v>0</v>
      </c>
      <c r="CI243" s="39" t="n">
        <f aca="false">IF(CI$4=0,0,IF(COUNTIFS(実績!$W$6:$W$505,CI$3,実績!$AI$6:$AI$505,"&lt;="&amp;$A243,実績!$AJ$6:$AJ$505,"&gt;"&amp;$A243,実績!$AL$6:$AL$505,"○")&gt;0,1,0))</f>
        <v>0</v>
      </c>
      <c r="CJ243" s="39" t="n">
        <f aca="false">IF(CJ$4=0,0,IF(COUNTIFS(実績!$W$6:$W$505,CJ$3,実績!$AI$6:$AI$505,"&lt;="&amp;$A243,実績!$AJ$6:$AJ$505,"&gt;"&amp;$A243,実績!$AL$6:$AL$505,"○")&gt;0,1,0))</f>
        <v>0</v>
      </c>
      <c r="CK243" s="39" t="n">
        <f aca="false">IF(CK$4=0,0,IF(COUNTIFS(実績!$W$6:$W$505,CK$3,実績!$AI$6:$AI$505,"&lt;="&amp;$A243,実績!$AJ$6:$AJ$505,"&gt;"&amp;$A243,実績!$AL$6:$AL$505,"○")&gt;0,1,0))</f>
        <v>0</v>
      </c>
      <c r="CL243" s="39" t="n">
        <f aca="false">IF(CL$4=0,0,IF(COUNTIFS(実績!$W$6:$W$505,CL$3,実績!$AI$6:$AI$505,"&lt;="&amp;$A243,実績!$AJ$6:$AJ$505,"&gt;"&amp;$A243,実績!$AL$6:$AL$505,"○")&gt;0,1,0))</f>
        <v>0</v>
      </c>
      <c r="CM243" s="39" t="n">
        <f aca="false">IF(CM$4=0,0,IF(COUNTIFS(実績!$W$6:$W$505,CM$3,実績!$AI$6:$AI$505,"&lt;="&amp;$A243,実績!$AJ$6:$AJ$505,"&gt;"&amp;$A243,実績!$AL$6:$AL$505,"○")&gt;0,1,0))</f>
        <v>0</v>
      </c>
      <c r="CN243" s="39" t="n">
        <f aca="false">IF(CN$4=0,0,IF(COUNTIFS(実績!$W$6:$W$505,CN$3,実績!$AI$6:$AI$505,"&lt;="&amp;$A243,実績!$AJ$6:$AJ$505,"&gt;"&amp;$A243,実績!$AL$6:$AL$505,"○")&gt;0,1,0))</f>
        <v>0</v>
      </c>
      <c r="CO243" s="39" t="n">
        <f aca="false">IF(CO$4=0,0,IF(COUNTIFS(実績!$W$6:$W$505,CO$3,実績!$AI$6:$AI$505,"&lt;="&amp;$A243,実績!$AJ$6:$AJ$505,"&gt;"&amp;$A243,実績!$AL$6:$AL$505,"○")&gt;0,1,0))</f>
        <v>0</v>
      </c>
      <c r="CP243" s="39" t="n">
        <f aca="false">IF(CP$4=0,0,IF(COUNTIFS(実績!$W$6:$W$505,CP$3,実績!$AI$6:$AI$505,"&lt;="&amp;$A243,実績!$AJ$6:$AJ$505,"&gt;"&amp;$A243,実績!$AL$6:$AL$505,"○")&gt;0,1,0))</f>
        <v>0</v>
      </c>
      <c r="CQ243" s="39" t="n">
        <f aca="false">IF(CQ$4=0,0,IF(COUNTIFS(実績!$W$6:$W$505,CQ$3,実績!$AI$6:$AI$505,"&lt;="&amp;$A243,実績!$AJ$6:$AJ$505,"&gt;"&amp;$A243,実績!$AL$6:$AL$505,"○")&gt;0,1,0))</f>
        <v>0</v>
      </c>
      <c r="CR243" s="39" t="n">
        <f aca="false">IF(CR$4=0,0,IF(COUNTIFS(実績!$W$6:$W$505,CR$3,実績!$AI$6:$AI$505,"&lt;="&amp;$A243,実績!$AJ$6:$AJ$505,"&gt;"&amp;$A243,実績!$AL$6:$AL$505,"○")&gt;0,1,0))</f>
        <v>0</v>
      </c>
      <c r="CS243" s="39" t="n">
        <f aca="false">IF(CS$4=0,0,IF(COUNTIFS(実績!$W$6:$W$505,CS$3,実績!$AI$6:$AI$505,"&lt;="&amp;$A243,実績!$AJ$6:$AJ$505,"&gt;"&amp;$A243,実績!$AL$6:$AL$505,"○")&gt;0,1,0))</f>
        <v>0</v>
      </c>
      <c r="CT243" s="39" t="n">
        <f aca="false">IF(CT$4=0,0,IF(COUNTIFS(実績!$W$6:$W$505,CT$3,実績!$AI$6:$AI$505,"&lt;="&amp;$A243,実績!$AJ$6:$AJ$505,"&gt;"&amp;$A243,実績!$AL$6:$AL$505,"○")&gt;0,1,0))</f>
        <v>0</v>
      </c>
      <c r="CU243" s="39" t="n">
        <f aca="false">IF(CU$4=0,0,IF(COUNTIFS(実績!$W$6:$W$505,CU$3,実績!$AI$6:$AI$505,"&lt;="&amp;$A243,実績!$AJ$6:$AJ$505,"&gt;"&amp;$A243,実績!$AL$6:$AL$505,"○")&gt;0,1,0))</f>
        <v>0</v>
      </c>
      <c r="CV243" s="39" t="n">
        <f aca="false">IF(CV$4=0,0,IF(COUNTIFS(実績!$W$6:$W$505,CV$3,実績!$AI$6:$AI$505,"&lt;="&amp;$A243,実績!$AJ$6:$AJ$505,"&gt;"&amp;$A243,実績!$AL$6:$AL$505,"○")&gt;0,1,0))</f>
        <v>0</v>
      </c>
      <c r="CW243" s="39" t="n">
        <f aca="false">IF(CW$4=0,0,IF(COUNTIFS(実績!$W$6:$W$505,CW$3,実績!$AI$6:$AI$505,"&lt;="&amp;$A243,実績!$AJ$6:$AJ$505,"&gt;"&amp;$A243,実績!$AL$6:$AL$505,"○")&gt;0,1,0))</f>
        <v>0</v>
      </c>
      <c r="CX243" s="39" t="n">
        <f aca="false">IF(CX$4=0,0,IF(COUNTIFS(実績!$W$6:$W$505,CX$3,実績!$AI$6:$AI$505,"&lt;="&amp;$A243,実績!$AJ$6:$AJ$505,"&gt;"&amp;$A243,実績!$AL$6:$AL$505,"○")&gt;0,1,0))</f>
        <v>0</v>
      </c>
      <c r="CY243" s="39" t="n">
        <f aca="false">IF(CY$4=0,0,IF(COUNTIFS(実績!$W$6:$W$505,CY$3,実績!$AI$6:$AI$505,"&lt;="&amp;$A243,実績!$AJ$6:$AJ$505,"&gt;"&amp;$A243,実績!$AL$6:$AL$505,"○")&gt;0,1,0))</f>
        <v>0</v>
      </c>
      <c r="CZ243" s="39" t="n">
        <f aca="false">IF(CZ$4=0,0,IF(COUNTIFS(実績!$W$6:$W$505,CZ$3,実績!$AI$6:$AI$505,"&lt;="&amp;$A243,実績!$AJ$6:$AJ$505,"&gt;"&amp;$A243,実績!$AL$6:$AL$505,"○")&gt;0,1,0))</f>
        <v>0</v>
      </c>
      <c r="DA243" s="39" t="n">
        <f aca="false">IF(DA$4=0,0,IF(COUNTIFS(実績!$W$6:$W$505,DA$3,実績!$AI$6:$AI$505,"&lt;="&amp;$A243,実績!$AJ$6:$AJ$505,"&gt;"&amp;$A243,実績!$AL$6:$AL$505,"○")&gt;0,1,0))</f>
        <v>0</v>
      </c>
      <c r="DB243" s="39" t="n">
        <f aca="false">IF(DB$4=0,0,IF(COUNTIFS(実績!$W$6:$W$505,DB$3,実績!$AI$6:$AI$505,"&lt;="&amp;$A243,実績!$AJ$6:$AJ$505,"&gt;"&amp;$A243,実績!$AL$6:$AL$505,"○")&gt;0,1,0))</f>
        <v>0</v>
      </c>
      <c r="DC243" s="39" t="n">
        <f aca="false">IF(DC$4=0,0,IF(COUNTIFS(実績!$W$6:$W$505,DC$3,実績!$AI$6:$AI$505,"&lt;="&amp;$A243,実績!$AJ$6:$AJ$505,"&gt;"&amp;$A243,実績!$AL$6:$AL$505,"○")&gt;0,1,0))</f>
        <v>0</v>
      </c>
      <c r="DD243" s="39" t="n">
        <f aca="false">IF(DD$4=0,0,IF(COUNTIFS(実績!$W$6:$W$505,DD$3,実績!$AI$6:$AI$505,"&lt;="&amp;$A243,実績!$AJ$6:$AJ$505,"&gt;"&amp;$A243,実績!$AL$6:$AL$505,"○")&gt;0,1,0))</f>
        <v>0</v>
      </c>
      <c r="DE243" s="39" t="n">
        <f aca="false">IF(DE$4=0,0,IF(COUNTIFS(実績!$W$6:$W$505,DE$3,実績!$AI$6:$AI$505,"&lt;="&amp;$A243,実績!$AJ$6:$AJ$505,"&gt;"&amp;$A243,実績!$AL$6:$AL$505,"○")&gt;0,1,0))</f>
        <v>0</v>
      </c>
      <c r="DF243" s="39" t="n">
        <f aca="false">IF(DF$4=0,0,IF(COUNTIFS(実績!$W$6:$W$505,DF$3,実績!$AI$6:$AI$505,"&lt;="&amp;$A243,実績!$AJ$6:$AJ$505,"&gt;"&amp;$A243,実績!$AL$6:$AL$505,"○")&gt;0,1,0))</f>
        <v>0</v>
      </c>
      <c r="DG243" s="39" t="n">
        <f aca="false">IF(DG$4=0,0,IF(COUNTIFS(実績!$W$6:$W$505,DG$3,実績!$AI$6:$AI$505,"&lt;="&amp;$A243,実績!$AJ$6:$AJ$505,"&gt;"&amp;$A243,実績!$AL$6:$AL$505,"○")&gt;0,1,0))</f>
        <v>0</v>
      </c>
      <c r="DH243" s="39" t="n">
        <f aca="false">IF(DH$4=0,0,IF(COUNTIFS(実績!$W$6:$W$505,DH$3,実績!$AI$6:$AI$505,"&lt;="&amp;$A243,実績!$AJ$6:$AJ$505,"&gt;"&amp;$A243,実績!$AL$6:$AL$505,"○")&gt;0,1,0))</f>
        <v>0</v>
      </c>
      <c r="DI243" s="39" t="n">
        <f aca="false">IF(DI$4=0,0,IF(COUNTIFS(実績!$W$6:$W$505,DI$3,実績!$AI$6:$AI$505,"&lt;="&amp;$A243,実績!$AJ$6:$AJ$505,"&gt;"&amp;$A243,実績!$AL$6:$AL$505,"○")&gt;0,1,0))</f>
        <v>0</v>
      </c>
      <c r="DJ243" s="39" t="n">
        <f aca="false">IF(DJ$4=0,0,IF(COUNTIFS(実績!$W$6:$W$505,DJ$3,実績!$AI$6:$AI$505,"&lt;="&amp;$A243,実績!$AJ$6:$AJ$505,"&gt;"&amp;$A243,実績!$AL$6:$AL$505,"○")&gt;0,1,0))</f>
        <v>0</v>
      </c>
      <c r="DK243" s="39" t="n">
        <f aca="false">IF(DK$4=0,0,IF(COUNTIFS(実績!$W$6:$W$505,DK$3,実績!$AI$6:$AI$505,"&lt;="&amp;$A243,実績!$AJ$6:$AJ$505,"&gt;"&amp;$A243,実績!$AL$6:$AL$505,"○")&gt;0,1,0))</f>
        <v>0</v>
      </c>
      <c r="DL243" s="39" t="n">
        <f aca="false">IF(DL$4=0,0,IF(COUNTIFS(実績!$W$6:$W$505,DL$3,実績!$AI$6:$AI$505,"&lt;="&amp;$A243,実績!$AJ$6:$AJ$505,"&gt;"&amp;$A243,実績!$AL$6:$AL$505,"○")&gt;0,1,0))</f>
        <v>0</v>
      </c>
      <c r="DM243" s="39" t="n">
        <f aca="false">IF(DM$4=0,0,IF(COUNTIFS(実績!$W$6:$W$505,DM$3,実績!$AI$6:$AI$505,"&lt;="&amp;$A243,実績!$AJ$6:$AJ$505,"&gt;"&amp;$A243,実績!$AL$6:$AL$505,"○")&gt;0,1,0))</f>
        <v>0</v>
      </c>
      <c r="DN243" s="39" t="n">
        <f aca="false">IF(DN$4=0,0,IF(COUNTIFS(実績!$W$6:$W$505,DN$3,実績!$AI$6:$AI$505,"&lt;="&amp;$A243,実績!$AJ$6:$AJ$505,"&gt;"&amp;$A243,実績!$AL$6:$AL$505,"○")&gt;0,1,0))</f>
        <v>0</v>
      </c>
      <c r="DO243" s="39" t="n">
        <f aca="false">IF(DO$4=0,0,IF(COUNTIFS(実績!$W$6:$W$505,DO$3,実績!$AI$6:$AI$505,"&lt;="&amp;$A243,実績!$AJ$6:$AJ$505,"&gt;"&amp;$A243,実績!$AL$6:$AL$505,"○")&gt;0,1,0))</f>
        <v>0</v>
      </c>
      <c r="DP243" s="39" t="n">
        <f aca="false">IF(DP$4=0,0,IF(COUNTIFS(実績!$W$6:$W$505,DP$3,実績!$AI$6:$AI$505,"&lt;="&amp;$A243,実績!$AJ$6:$AJ$505,"&gt;"&amp;$A243,実績!$AL$6:$AL$505,"○")&gt;0,1,0))</f>
        <v>0</v>
      </c>
      <c r="DQ243" s="39" t="n">
        <f aca="false">IF(DQ$4=0,0,IF(COUNTIFS(実績!$W$6:$W$505,DQ$3,実績!$AI$6:$AI$505,"&lt;="&amp;$A243,実績!$AJ$6:$AJ$505,"&gt;"&amp;$A243,実績!$AL$6:$AL$505,"○")&gt;0,1,0))</f>
        <v>0</v>
      </c>
      <c r="DR243" s="39" t="n">
        <f aca="false">IF(DR$4=0,0,IF(COUNTIFS(実績!$W$6:$W$505,DR$3,実績!$AI$6:$AI$505,"&lt;="&amp;$A243,実績!$AJ$6:$AJ$505,"&gt;"&amp;$A243,実績!$AL$6:$AL$505,"○")&gt;0,1,0))</f>
        <v>0</v>
      </c>
      <c r="DS243" s="39" t="n">
        <f aca="false">SUM(C243:DR243)</f>
        <v>0</v>
      </c>
    </row>
    <row r="244" customFormat="false" ht="15" hidden="false" customHeight="false" outlineLevel="0" collapsed="false">
      <c r="A244" s="0" t="n">
        <v>1190</v>
      </c>
      <c r="B244" s="38" t="n">
        <f aca="false">A244/1440</f>
        <v>0.826388888888889</v>
      </c>
      <c r="C244" s="39" t="n">
        <f aca="false">IF(C$4=0,0,IF(COUNTIFS(実績!$W$6:$W$505,C$3,実績!$AI$6:$AI$505,"&lt;="&amp;$A244,実績!$AJ$6:$AJ$505,"&gt;"&amp;$A244,実績!$AL$6:$AL$505,"○")&gt;0,1,0))</f>
        <v>0</v>
      </c>
      <c r="D244" s="39" t="n">
        <f aca="false">IF(D$4=0,0,IF(COUNTIFS(実績!$W$6:$W$505,D$3,実績!$AI$6:$AI$505,"&lt;="&amp;$A244,実績!$AJ$6:$AJ$505,"&gt;"&amp;$A244,実績!$AL$6:$AL$505,"○")&gt;0,1,0))</f>
        <v>0</v>
      </c>
      <c r="E244" s="39" t="n">
        <f aca="false">IF(E$4=0,0,IF(COUNTIFS(実績!$W$6:$W$505,E$3,実績!$AI$6:$AI$505,"&lt;="&amp;$A244,実績!$AJ$6:$AJ$505,"&gt;"&amp;$A244,実績!$AL$6:$AL$505,"○")&gt;0,1,0))</f>
        <v>0</v>
      </c>
      <c r="F244" s="39" t="n">
        <f aca="false">IF(F$4=0,0,IF(COUNTIFS(実績!$W$6:$W$505,F$3,実績!$AI$6:$AI$505,"&lt;="&amp;$A244,実績!$AJ$6:$AJ$505,"&gt;"&amp;$A244,実績!$AL$6:$AL$505,"○")&gt;0,1,0))</f>
        <v>0</v>
      </c>
      <c r="G244" s="39" t="n">
        <f aca="false">IF(G$4=0,0,IF(COUNTIFS(実績!$W$6:$W$505,G$3,実績!$AI$6:$AI$505,"&lt;="&amp;$A244,実績!$AJ$6:$AJ$505,"&gt;"&amp;$A244,実績!$AL$6:$AL$505,"○")&gt;0,1,0))</f>
        <v>0</v>
      </c>
      <c r="H244" s="39" t="n">
        <f aca="false">IF(H$4=0,0,IF(COUNTIFS(実績!$W$6:$W$505,H$3,実績!$AI$6:$AI$505,"&lt;="&amp;$A244,実績!$AJ$6:$AJ$505,"&gt;"&amp;$A244,実績!$AL$6:$AL$505,"○")&gt;0,1,0))</f>
        <v>0</v>
      </c>
      <c r="I244" s="39" t="n">
        <f aca="false">IF(I$4=0,0,IF(COUNTIFS(実績!$W$6:$W$505,I$3,実績!$AI$6:$AI$505,"&lt;="&amp;$A244,実績!$AJ$6:$AJ$505,"&gt;"&amp;$A244,実績!$AL$6:$AL$505,"○")&gt;0,1,0))</f>
        <v>0</v>
      </c>
      <c r="J244" s="39" t="n">
        <f aca="false">IF(J$4=0,0,IF(COUNTIFS(実績!$W$6:$W$505,J$3,実績!$AI$6:$AI$505,"&lt;="&amp;$A244,実績!$AJ$6:$AJ$505,"&gt;"&amp;$A244,実績!$AL$6:$AL$505,"○")&gt;0,1,0))</f>
        <v>0</v>
      </c>
      <c r="K244" s="39" t="n">
        <f aca="false">IF(K$4=0,0,IF(COUNTIFS(実績!$W$6:$W$505,K$3,実績!$AI$6:$AI$505,"&lt;="&amp;$A244,実績!$AJ$6:$AJ$505,"&gt;"&amp;$A244,実績!$AL$6:$AL$505,"○")&gt;0,1,0))</f>
        <v>0</v>
      </c>
      <c r="L244" s="39" t="n">
        <f aca="false">IF(L$4=0,0,IF(COUNTIFS(実績!$W$6:$W$505,L$3,実績!$AI$6:$AI$505,"&lt;="&amp;$A244,実績!$AJ$6:$AJ$505,"&gt;"&amp;$A244,実績!$AL$6:$AL$505,"○")&gt;0,1,0))</f>
        <v>0</v>
      </c>
      <c r="M244" s="39" t="n">
        <f aca="false">IF(M$4=0,0,IF(COUNTIFS(実績!$W$6:$W$505,M$3,実績!$AI$6:$AI$505,"&lt;="&amp;$A244,実績!$AJ$6:$AJ$505,"&gt;"&amp;$A244,実績!$AL$6:$AL$505,"○")&gt;0,1,0))</f>
        <v>0</v>
      </c>
      <c r="N244" s="39" t="n">
        <f aca="false">IF(N$4=0,0,IF(COUNTIFS(実績!$W$6:$W$505,N$3,実績!$AI$6:$AI$505,"&lt;="&amp;$A244,実績!$AJ$6:$AJ$505,"&gt;"&amp;$A244,実績!$AL$6:$AL$505,"○")&gt;0,1,0))</f>
        <v>0</v>
      </c>
      <c r="O244" s="39" t="n">
        <f aca="false">IF(O$4=0,0,IF(COUNTIFS(実績!$W$6:$W$505,O$3,実績!$AI$6:$AI$505,"&lt;="&amp;$A244,実績!$AJ$6:$AJ$505,"&gt;"&amp;$A244,実績!$AL$6:$AL$505,"○")&gt;0,1,0))</f>
        <v>0</v>
      </c>
      <c r="P244" s="39" t="n">
        <f aca="false">IF(P$4=0,0,IF(COUNTIFS(実績!$W$6:$W$505,P$3,実績!$AI$6:$AI$505,"&lt;="&amp;$A244,実績!$AJ$6:$AJ$505,"&gt;"&amp;$A244,実績!$AL$6:$AL$505,"○")&gt;0,1,0))</f>
        <v>0</v>
      </c>
      <c r="Q244" s="39" t="n">
        <f aca="false">IF(Q$4=0,0,IF(COUNTIFS(実績!$W$6:$W$505,Q$3,実績!$AI$6:$AI$505,"&lt;="&amp;$A244,実績!$AJ$6:$AJ$505,"&gt;"&amp;$A244,実績!$AL$6:$AL$505,"○")&gt;0,1,0))</f>
        <v>0</v>
      </c>
      <c r="R244" s="39" t="n">
        <f aca="false">IF(R$4=0,0,IF(COUNTIFS(実績!$W$6:$W$505,R$3,実績!$AI$6:$AI$505,"&lt;="&amp;$A244,実績!$AJ$6:$AJ$505,"&gt;"&amp;$A244,実績!$AL$6:$AL$505,"○")&gt;0,1,0))</f>
        <v>0</v>
      </c>
      <c r="S244" s="39" t="n">
        <f aca="false">IF(S$4=0,0,IF(COUNTIFS(実績!$W$6:$W$505,S$3,実績!$AI$6:$AI$505,"&lt;="&amp;$A244,実績!$AJ$6:$AJ$505,"&gt;"&amp;$A244,実績!$AL$6:$AL$505,"○")&gt;0,1,0))</f>
        <v>0</v>
      </c>
      <c r="T244" s="39" t="n">
        <f aca="false">IF(T$4=0,0,IF(COUNTIFS(実績!$W$6:$W$505,T$3,実績!$AI$6:$AI$505,"&lt;="&amp;$A244,実績!$AJ$6:$AJ$505,"&gt;"&amp;$A244,実績!$AL$6:$AL$505,"○")&gt;0,1,0))</f>
        <v>0</v>
      </c>
      <c r="U244" s="39" t="n">
        <f aca="false">IF(U$4=0,0,IF(COUNTIFS(実績!$W$6:$W$505,U$3,実績!$AI$6:$AI$505,"&lt;="&amp;$A244,実績!$AJ$6:$AJ$505,"&gt;"&amp;$A244,実績!$AL$6:$AL$505,"○")&gt;0,1,0))</f>
        <v>0</v>
      </c>
      <c r="V244" s="39" t="n">
        <f aca="false">IF(V$4=0,0,IF(COUNTIFS(実績!$W$6:$W$505,V$3,実績!$AI$6:$AI$505,"&lt;="&amp;$A244,実績!$AJ$6:$AJ$505,"&gt;"&amp;$A244,実績!$AL$6:$AL$505,"○")&gt;0,1,0))</f>
        <v>0</v>
      </c>
      <c r="W244" s="39" t="n">
        <f aca="false">IF(W$4=0,0,IF(COUNTIFS(実績!$W$6:$W$505,W$3,実績!$AI$6:$AI$505,"&lt;="&amp;$A244,実績!$AJ$6:$AJ$505,"&gt;"&amp;$A244,実績!$AL$6:$AL$505,"○")&gt;0,1,0))</f>
        <v>0</v>
      </c>
      <c r="X244" s="39" t="n">
        <f aca="false">IF(X$4=0,0,IF(COUNTIFS(実績!$W$6:$W$505,X$3,実績!$AI$6:$AI$505,"&lt;="&amp;$A244,実績!$AJ$6:$AJ$505,"&gt;"&amp;$A244,実績!$AL$6:$AL$505,"○")&gt;0,1,0))</f>
        <v>0</v>
      </c>
      <c r="Y244" s="39" t="n">
        <f aca="false">IF(Y$4=0,0,IF(COUNTIFS(実績!$W$6:$W$505,Y$3,実績!$AI$6:$AI$505,"&lt;="&amp;$A244,実績!$AJ$6:$AJ$505,"&gt;"&amp;$A244,実績!$AL$6:$AL$505,"○")&gt;0,1,0))</f>
        <v>0</v>
      </c>
      <c r="Z244" s="39" t="n">
        <f aca="false">IF(Z$4=0,0,IF(COUNTIFS(実績!$W$6:$W$505,Z$3,実績!$AI$6:$AI$505,"&lt;="&amp;$A244,実績!$AJ$6:$AJ$505,"&gt;"&amp;$A244,実績!$AL$6:$AL$505,"○")&gt;0,1,0))</f>
        <v>0</v>
      </c>
      <c r="AA244" s="39" t="n">
        <f aca="false">IF(AA$4=0,0,IF(COUNTIFS(実績!$W$6:$W$505,AA$3,実績!$AI$6:$AI$505,"&lt;="&amp;$A244,実績!$AJ$6:$AJ$505,"&gt;"&amp;$A244,実績!$AL$6:$AL$505,"○")&gt;0,1,0))</f>
        <v>0</v>
      </c>
      <c r="AB244" s="39" t="n">
        <f aca="false">IF(AB$4=0,0,IF(COUNTIFS(実績!$W$6:$W$505,AB$3,実績!$AI$6:$AI$505,"&lt;="&amp;$A244,実績!$AJ$6:$AJ$505,"&gt;"&amp;$A244,実績!$AL$6:$AL$505,"○")&gt;0,1,0))</f>
        <v>0</v>
      </c>
      <c r="AC244" s="39" t="n">
        <f aca="false">IF(AC$4=0,0,IF(COUNTIFS(実績!$W$6:$W$505,AC$3,実績!$AI$6:$AI$505,"&lt;="&amp;$A244,実績!$AJ$6:$AJ$505,"&gt;"&amp;$A244,実績!$AL$6:$AL$505,"○")&gt;0,1,0))</f>
        <v>0</v>
      </c>
      <c r="AD244" s="39" t="n">
        <f aca="false">IF(AD$4=0,0,IF(COUNTIFS(実績!$W$6:$W$505,AD$3,実績!$AI$6:$AI$505,"&lt;="&amp;$A244,実績!$AJ$6:$AJ$505,"&gt;"&amp;$A244,実績!$AL$6:$AL$505,"○")&gt;0,1,0))</f>
        <v>0</v>
      </c>
      <c r="AE244" s="39" t="n">
        <f aca="false">IF(AE$4=0,0,IF(COUNTIFS(実績!$W$6:$W$505,AE$3,実績!$AI$6:$AI$505,"&lt;="&amp;$A244,実績!$AJ$6:$AJ$505,"&gt;"&amp;$A244,実績!$AL$6:$AL$505,"○")&gt;0,1,0))</f>
        <v>0</v>
      </c>
      <c r="AF244" s="39" t="n">
        <f aca="false">IF(AF$4=0,0,IF(COUNTIFS(実績!$W$6:$W$505,AF$3,実績!$AI$6:$AI$505,"&lt;="&amp;$A244,実績!$AJ$6:$AJ$505,"&gt;"&amp;$A244,実績!$AL$6:$AL$505,"○")&gt;0,1,0))</f>
        <v>0</v>
      </c>
      <c r="AG244" s="39" t="n">
        <f aca="false">IF(AG$4=0,0,IF(COUNTIFS(実績!$W$6:$W$505,AG$3,実績!$AI$6:$AI$505,"&lt;="&amp;$A244,実績!$AJ$6:$AJ$505,"&gt;"&amp;$A244,実績!$AL$6:$AL$505,"○")&gt;0,1,0))</f>
        <v>0</v>
      </c>
      <c r="AH244" s="39" t="n">
        <f aca="false">IF(AH$4=0,0,IF(COUNTIFS(実績!$W$6:$W$505,AH$3,実績!$AI$6:$AI$505,"&lt;="&amp;$A244,実績!$AJ$6:$AJ$505,"&gt;"&amp;$A244,実績!$AL$6:$AL$505,"○")&gt;0,1,0))</f>
        <v>0</v>
      </c>
      <c r="AI244" s="39" t="n">
        <f aca="false">IF(AI$4=0,0,IF(COUNTIFS(実績!$W$6:$W$505,AI$3,実績!$AI$6:$AI$505,"&lt;="&amp;$A244,実績!$AJ$6:$AJ$505,"&gt;"&amp;$A244,実績!$AL$6:$AL$505,"○")&gt;0,1,0))</f>
        <v>0</v>
      </c>
      <c r="AJ244" s="39" t="n">
        <f aca="false">IF(AJ$4=0,0,IF(COUNTIFS(実績!$W$6:$W$505,AJ$3,実績!$AI$6:$AI$505,"&lt;="&amp;$A244,実績!$AJ$6:$AJ$505,"&gt;"&amp;$A244,実績!$AL$6:$AL$505,"○")&gt;0,1,0))</f>
        <v>0</v>
      </c>
      <c r="AK244" s="39" t="n">
        <f aca="false">IF(AK$4=0,0,IF(COUNTIFS(実績!$W$6:$W$505,AK$3,実績!$AI$6:$AI$505,"&lt;="&amp;$A244,実績!$AJ$6:$AJ$505,"&gt;"&amp;$A244,実績!$AL$6:$AL$505,"○")&gt;0,1,0))</f>
        <v>0</v>
      </c>
      <c r="AL244" s="39" t="n">
        <f aca="false">IF(AL$4=0,0,IF(COUNTIFS(実績!$W$6:$W$505,AL$3,実績!$AI$6:$AI$505,"&lt;="&amp;$A244,実績!$AJ$6:$AJ$505,"&gt;"&amp;$A244,実績!$AL$6:$AL$505,"○")&gt;0,1,0))</f>
        <v>0</v>
      </c>
      <c r="AM244" s="39" t="n">
        <f aca="false">IF(AM$4=0,0,IF(COUNTIFS(実績!$W$6:$W$505,AM$3,実績!$AI$6:$AI$505,"&lt;="&amp;$A244,実績!$AJ$6:$AJ$505,"&gt;"&amp;$A244,実績!$AL$6:$AL$505,"○")&gt;0,1,0))</f>
        <v>0</v>
      </c>
      <c r="AN244" s="39" t="n">
        <f aca="false">IF(AN$4=0,0,IF(COUNTIFS(実績!$W$6:$W$505,AN$3,実績!$AI$6:$AI$505,"&lt;="&amp;$A244,実績!$AJ$6:$AJ$505,"&gt;"&amp;$A244,実績!$AL$6:$AL$505,"○")&gt;0,1,0))</f>
        <v>0</v>
      </c>
      <c r="AO244" s="39" t="n">
        <f aca="false">IF(AO$4=0,0,IF(COUNTIFS(実績!$W$6:$W$505,AO$3,実績!$AI$6:$AI$505,"&lt;="&amp;$A244,実績!$AJ$6:$AJ$505,"&gt;"&amp;$A244,実績!$AL$6:$AL$505,"○")&gt;0,1,0))</f>
        <v>0</v>
      </c>
      <c r="AP244" s="39" t="n">
        <f aca="false">IF(AP$4=0,0,IF(COUNTIFS(実績!$W$6:$W$505,AP$3,実績!$AI$6:$AI$505,"&lt;="&amp;$A244,実績!$AJ$6:$AJ$505,"&gt;"&amp;$A244,実績!$AL$6:$AL$505,"○")&gt;0,1,0))</f>
        <v>0</v>
      </c>
      <c r="AQ244" s="39" t="n">
        <f aca="false">IF(AQ$4=0,0,IF(COUNTIFS(実績!$W$6:$W$505,AQ$3,実績!$AI$6:$AI$505,"&lt;="&amp;$A244,実績!$AJ$6:$AJ$505,"&gt;"&amp;$A244,実績!$AL$6:$AL$505,"○")&gt;0,1,0))</f>
        <v>0</v>
      </c>
      <c r="AR244" s="39" t="n">
        <f aca="false">IF(AR$4=0,0,IF(COUNTIFS(実績!$W$6:$W$505,AR$3,実績!$AI$6:$AI$505,"&lt;="&amp;$A244,実績!$AJ$6:$AJ$505,"&gt;"&amp;$A244,実績!$AL$6:$AL$505,"○")&gt;0,1,0))</f>
        <v>0</v>
      </c>
      <c r="AS244" s="39" t="n">
        <f aca="false">IF(AS$4=0,0,IF(COUNTIFS(実績!$W$6:$W$505,AS$3,実績!$AI$6:$AI$505,"&lt;="&amp;$A244,実績!$AJ$6:$AJ$505,"&gt;"&amp;$A244,実績!$AL$6:$AL$505,"○")&gt;0,1,0))</f>
        <v>0</v>
      </c>
      <c r="AT244" s="39" t="n">
        <f aca="false">IF(AT$4=0,0,IF(COUNTIFS(実績!$W$6:$W$505,AT$3,実績!$AI$6:$AI$505,"&lt;="&amp;$A244,実績!$AJ$6:$AJ$505,"&gt;"&amp;$A244,実績!$AL$6:$AL$505,"○")&gt;0,1,0))</f>
        <v>0</v>
      </c>
      <c r="AU244" s="39" t="n">
        <f aca="false">IF(AU$4=0,0,IF(COUNTIFS(実績!$W$6:$W$505,AU$3,実績!$AI$6:$AI$505,"&lt;="&amp;$A244,実績!$AJ$6:$AJ$505,"&gt;"&amp;$A244,実績!$AL$6:$AL$505,"○")&gt;0,1,0))</f>
        <v>0</v>
      </c>
      <c r="AV244" s="39" t="n">
        <f aca="false">IF(AV$4=0,0,IF(COUNTIFS(実績!$W$6:$W$505,AV$3,実績!$AI$6:$AI$505,"&lt;="&amp;$A244,実績!$AJ$6:$AJ$505,"&gt;"&amp;$A244,実績!$AL$6:$AL$505,"○")&gt;0,1,0))</f>
        <v>0</v>
      </c>
      <c r="AW244" s="39" t="n">
        <f aca="false">IF(AW$4=0,0,IF(COUNTIFS(実績!$W$6:$W$505,AW$3,実績!$AI$6:$AI$505,"&lt;="&amp;$A244,実績!$AJ$6:$AJ$505,"&gt;"&amp;$A244,実績!$AL$6:$AL$505,"○")&gt;0,1,0))</f>
        <v>0</v>
      </c>
      <c r="AX244" s="39" t="n">
        <f aca="false">IF(AX$4=0,0,IF(COUNTIFS(実績!$W$6:$W$505,AX$3,実績!$AI$6:$AI$505,"&lt;="&amp;$A244,実績!$AJ$6:$AJ$505,"&gt;"&amp;$A244,実績!$AL$6:$AL$505,"○")&gt;0,1,0))</f>
        <v>0</v>
      </c>
      <c r="AY244" s="39" t="n">
        <f aca="false">IF(AY$4=0,0,IF(COUNTIFS(実績!$W$6:$W$505,AY$3,実績!$AI$6:$AI$505,"&lt;="&amp;$A244,実績!$AJ$6:$AJ$505,"&gt;"&amp;$A244,実績!$AL$6:$AL$505,"○")&gt;0,1,0))</f>
        <v>0</v>
      </c>
      <c r="AZ244" s="39" t="n">
        <f aca="false">IF(AZ$4=0,0,IF(COUNTIFS(実績!$W$6:$W$505,AZ$3,実績!$AI$6:$AI$505,"&lt;="&amp;$A244,実績!$AJ$6:$AJ$505,"&gt;"&amp;$A244,実績!$AL$6:$AL$505,"○")&gt;0,1,0))</f>
        <v>0</v>
      </c>
      <c r="BA244" s="39" t="n">
        <f aca="false">IF(BA$4=0,0,IF(COUNTIFS(実績!$W$6:$W$505,BA$3,実績!$AI$6:$AI$505,"&lt;="&amp;$A244,実績!$AJ$6:$AJ$505,"&gt;"&amp;$A244,実績!$AL$6:$AL$505,"○")&gt;0,1,0))</f>
        <v>0</v>
      </c>
      <c r="BB244" s="39" t="n">
        <f aca="false">IF(BB$4=0,0,IF(COUNTIFS(実績!$W$6:$W$505,BB$3,実績!$AI$6:$AI$505,"&lt;="&amp;$A244,実績!$AJ$6:$AJ$505,"&gt;"&amp;$A244,実績!$AL$6:$AL$505,"○")&gt;0,1,0))</f>
        <v>0</v>
      </c>
      <c r="BC244" s="39" t="n">
        <f aca="false">IF(BC$4=0,0,IF(COUNTIFS(実績!$W$6:$W$505,BC$3,実績!$AI$6:$AI$505,"&lt;="&amp;$A244,実績!$AJ$6:$AJ$505,"&gt;"&amp;$A244,実績!$AL$6:$AL$505,"○")&gt;0,1,0))</f>
        <v>0</v>
      </c>
      <c r="BD244" s="39" t="n">
        <f aca="false">IF(BD$4=0,0,IF(COUNTIFS(実績!$W$6:$W$505,BD$3,実績!$AI$6:$AI$505,"&lt;="&amp;$A244,実績!$AJ$6:$AJ$505,"&gt;"&amp;$A244,実績!$AL$6:$AL$505,"○")&gt;0,1,0))</f>
        <v>0</v>
      </c>
      <c r="BE244" s="39" t="n">
        <f aca="false">IF(BE$4=0,0,IF(COUNTIFS(実績!$W$6:$W$505,BE$3,実績!$AI$6:$AI$505,"&lt;="&amp;$A244,実績!$AJ$6:$AJ$505,"&gt;"&amp;$A244,実績!$AL$6:$AL$505,"○")&gt;0,1,0))</f>
        <v>0</v>
      </c>
      <c r="BF244" s="39" t="n">
        <f aca="false">IF(BF$4=0,0,IF(COUNTIFS(実績!$W$6:$W$505,BF$3,実績!$AI$6:$AI$505,"&lt;="&amp;$A244,実績!$AJ$6:$AJ$505,"&gt;"&amp;$A244,実績!$AL$6:$AL$505,"○")&gt;0,1,0))</f>
        <v>0</v>
      </c>
      <c r="BG244" s="39" t="n">
        <f aca="false">IF(BG$4=0,0,IF(COUNTIFS(実績!$W$6:$W$505,BG$3,実績!$AI$6:$AI$505,"&lt;="&amp;$A244,実績!$AJ$6:$AJ$505,"&gt;"&amp;$A244,実績!$AL$6:$AL$505,"○")&gt;0,1,0))</f>
        <v>0</v>
      </c>
      <c r="BH244" s="39" t="n">
        <f aca="false">IF(BH$4=0,0,IF(COUNTIFS(実績!$W$6:$W$505,BH$3,実績!$AI$6:$AI$505,"&lt;="&amp;$A244,実績!$AJ$6:$AJ$505,"&gt;"&amp;$A244,実績!$AL$6:$AL$505,"○")&gt;0,1,0))</f>
        <v>0</v>
      </c>
      <c r="BI244" s="39" t="n">
        <f aca="false">IF(BI$4=0,0,IF(COUNTIFS(実績!$W$6:$W$505,BI$3,実績!$AI$6:$AI$505,"&lt;="&amp;$A244,実績!$AJ$6:$AJ$505,"&gt;"&amp;$A244,実績!$AL$6:$AL$505,"○")&gt;0,1,0))</f>
        <v>0</v>
      </c>
      <c r="BJ244" s="39" t="n">
        <f aca="false">IF(BJ$4=0,0,IF(COUNTIFS(実績!$W$6:$W$505,BJ$3,実績!$AI$6:$AI$505,"&lt;="&amp;$A244,実績!$AJ$6:$AJ$505,"&gt;"&amp;$A244,実績!$AL$6:$AL$505,"○")&gt;0,1,0))</f>
        <v>0</v>
      </c>
      <c r="BK244" s="39" t="n">
        <f aca="false">IF(BK$4=0,0,IF(COUNTIFS(実績!$W$6:$W$505,BK$3,実績!$AI$6:$AI$505,"&lt;="&amp;$A244,実績!$AJ$6:$AJ$505,"&gt;"&amp;$A244,実績!$AL$6:$AL$505,"○")&gt;0,1,0))</f>
        <v>0</v>
      </c>
      <c r="BL244" s="39" t="n">
        <f aca="false">IF(BL$4=0,0,IF(COUNTIFS(実績!$W$6:$W$505,BL$3,実績!$AI$6:$AI$505,"&lt;="&amp;$A244,実績!$AJ$6:$AJ$505,"&gt;"&amp;$A244,実績!$AL$6:$AL$505,"○")&gt;0,1,0))</f>
        <v>0</v>
      </c>
      <c r="BM244" s="39" t="n">
        <f aca="false">IF(BM$4=0,0,IF(COUNTIFS(実績!$W$6:$W$505,BM$3,実績!$AI$6:$AI$505,"&lt;="&amp;$A244,実績!$AJ$6:$AJ$505,"&gt;"&amp;$A244,実績!$AL$6:$AL$505,"○")&gt;0,1,0))</f>
        <v>0</v>
      </c>
      <c r="BN244" s="39" t="n">
        <f aca="false">IF(BN$4=0,0,IF(COUNTIFS(実績!$W$6:$W$505,BN$3,実績!$AI$6:$AI$505,"&lt;="&amp;$A244,実績!$AJ$6:$AJ$505,"&gt;"&amp;$A244,実績!$AL$6:$AL$505,"○")&gt;0,1,0))</f>
        <v>0</v>
      </c>
      <c r="BO244" s="39" t="n">
        <f aca="false">IF(BO$4=0,0,IF(COUNTIFS(実績!$W$6:$W$505,BO$3,実績!$AI$6:$AI$505,"&lt;="&amp;$A244,実績!$AJ$6:$AJ$505,"&gt;"&amp;$A244,実績!$AL$6:$AL$505,"○")&gt;0,1,0))</f>
        <v>0</v>
      </c>
      <c r="BP244" s="39" t="n">
        <f aca="false">IF(BP$4=0,0,IF(COUNTIFS(実績!$W$6:$W$505,BP$3,実績!$AI$6:$AI$505,"&lt;="&amp;$A244,実績!$AJ$6:$AJ$505,"&gt;"&amp;$A244,実績!$AL$6:$AL$505,"○")&gt;0,1,0))</f>
        <v>0</v>
      </c>
      <c r="BQ244" s="39" t="n">
        <f aca="false">IF(BQ$4=0,0,IF(COUNTIFS(実績!$W$6:$W$505,BQ$3,実績!$AI$6:$AI$505,"&lt;="&amp;$A244,実績!$AJ$6:$AJ$505,"&gt;"&amp;$A244,実績!$AL$6:$AL$505,"○")&gt;0,1,0))</f>
        <v>0</v>
      </c>
      <c r="BR244" s="39" t="n">
        <f aca="false">IF(BR$4=0,0,IF(COUNTIFS(実績!$W$6:$W$505,BR$3,実績!$AI$6:$AI$505,"&lt;="&amp;$A244,実績!$AJ$6:$AJ$505,"&gt;"&amp;$A244,実績!$AL$6:$AL$505,"○")&gt;0,1,0))</f>
        <v>0</v>
      </c>
      <c r="BS244" s="39" t="n">
        <f aca="false">IF(BS$4=0,0,IF(COUNTIFS(実績!$W$6:$W$505,BS$3,実績!$AI$6:$AI$505,"&lt;="&amp;$A244,実績!$AJ$6:$AJ$505,"&gt;"&amp;$A244,実績!$AL$6:$AL$505,"○")&gt;0,1,0))</f>
        <v>0</v>
      </c>
      <c r="BT244" s="39" t="n">
        <f aca="false">IF(BT$4=0,0,IF(COUNTIFS(実績!$W$6:$W$505,BT$3,実績!$AI$6:$AI$505,"&lt;="&amp;$A244,実績!$AJ$6:$AJ$505,"&gt;"&amp;$A244,実績!$AL$6:$AL$505,"○")&gt;0,1,0))</f>
        <v>0</v>
      </c>
      <c r="BU244" s="39" t="n">
        <f aca="false">IF(BU$4=0,0,IF(COUNTIFS(実績!$W$6:$W$505,BU$3,実績!$AI$6:$AI$505,"&lt;="&amp;$A244,実績!$AJ$6:$AJ$505,"&gt;"&amp;$A244,実績!$AL$6:$AL$505,"○")&gt;0,1,0))</f>
        <v>0</v>
      </c>
      <c r="BV244" s="39" t="n">
        <f aca="false">IF(BV$4=0,0,IF(COUNTIFS(実績!$W$6:$W$505,BV$3,実績!$AI$6:$AI$505,"&lt;="&amp;$A244,実績!$AJ$6:$AJ$505,"&gt;"&amp;$A244,実績!$AL$6:$AL$505,"○")&gt;0,1,0))</f>
        <v>0</v>
      </c>
      <c r="BW244" s="39" t="n">
        <f aca="false">IF(BW$4=0,0,IF(COUNTIFS(実績!$W$6:$W$505,BW$3,実績!$AI$6:$AI$505,"&lt;="&amp;$A244,実績!$AJ$6:$AJ$505,"&gt;"&amp;$A244,実績!$AL$6:$AL$505,"○")&gt;0,1,0))</f>
        <v>0</v>
      </c>
      <c r="BX244" s="39" t="n">
        <f aca="false">IF(BX$4=0,0,IF(COUNTIFS(実績!$W$6:$W$505,BX$3,実績!$AI$6:$AI$505,"&lt;="&amp;$A244,実績!$AJ$6:$AJ$505,"&gt;"&amp;$A244,実績!$AL$6:$AL$505,"○")&gt;0,1,0))</f>
        <v>0</v>
      </c>
      <c r="BY244" s="39" t="n">
        <f aca="false">IF(BY$4=0,0,IF(COUNTIFS(実績!$W$6:$W$505,BY$3,実績!$AI$6:$AI$505,"&lt;="&amp;$A244,実績!$AJ$6:$AJ$505,"&gt;"&amp;$A244,実績!$AL$6:$AL$505,"○")&gt;0,1,0))</f>
        <v>0</v>
      </c>
      <c r="BZ244" s="39" t="n">
        <f aca="false">IF(BZ$4=0,0,IF(COUNTIFS(実績!$W$6:$W$505,BZ$3,実績!$AI$6:$AI$505,"&lt;="&amp;$A244,実績!$AJ$6:$AJ$505,"&gt;"&amp;$A244,実績!$AL$6:$AL$505,"○")&gt;0,1,0))</f>
        <v>0</v>
      </c>
      <c r="CA244" s="39" t="n">
        <f aca="false">IF(CA$4=0,0,IF(COUNTIFS(実績!$W$6:$W$505,CA$3,実績!$AI$6:$AI$505,"&lt;="&amp;$A244,実績!$AJ$6:$AJ$505,"&gt;"&amp;$A244,実績!$AL$6:$AL$505,"○")&gt;0,1,0))</f>
        <v>0</v>
      </c>
      <c r="CB244" s="39" t="n">
        <f aca="false">IF(CB$4=0,0,IF(COUNTIFS(実績!$W$6:$W$505,CB$3,実績!$AI$6:$AI$505,"&lt;="&amp;$A244,実績!$AJ$6:$AJ$505,"&gt;"&amp;$A244,実績!$AL$6:$AL$505,"○")&gt;0,1,0))</f>
        <v>0</v>
      </c>
      <c r="CC244" s="39" t="n">
        <f aca="false">IF(CC$4=0,0,IF(COUNTIFS(実績!$W$6:$W$505,CC$3,実績!$AI$6:$AI$505,"&lt;="&amp;$A244,実績!$AJ$6:$AJ$505,"&gt;"&amp;$A244,実績!$AL$6:$AL$505,"○")&gt;0,1,0))</f>
        <v>0</v>
      </c>
      <c r="CD244" s="39" t="n">
        <f aca="false">IF(CD$4=0,0,IF(COUNTIFS(実績!$W$6:$W$505,CD$3,実績!$AI$6:$AI$505,"&lt;="&amp;$A244,実績!$AJ$6:$AJ$505,"&gt;"&amp;$A244,実績!$AL$6:$AL$505,"○")&gt;0,1,0))</f>
        <v>0</v>
      </c>
      <c r="CE244" s="39" t="n">
        <f aca="false">IF(CE$4=0,0,IF(COUNTIFS(実績!$W$6:$W$505,CE$3,実績!$AI$6:$AI$505,"&lt;="&amp;$A244,実績!$AJ$6:$AJ$505,"&gt;"&amp;$A244,実績!$AL$6:$AL$505,"○")&gt;0,1,0))</f>
        <v>0</v>
      </c>
      <c r="CF244" s="39" t="n">
        <f aca="false">IF(CF$4=0,0,IF(COUNTIFS(実績!$W$6:$W$505,CF$3,実績!$AI$6:$AI$505,"&lt;="&amp;$A244,実績!$AJ$6:$AJ$505,"&gt;"&amp;$A244,実績!$AL$6:$AL$505,"○")&gt;0,1,0))</f>
        <v>0</v>
      </c>
      <c r="CG244" s="39" t="n">
        <f aca="false">IF(CG$4=0,0,IF(COUNTIFS(実績!$W$6:$W$505,CG$3,実績!$AI$6:$AI$505,"&lt;="&amp;$A244,実績!$AJ$6:$AJ$505,"&gt;"&amp;$A244,実績!$AL$6:$AL$505,"○")&gt;0,1,0))</f>
        <v>0</v>
      </c>
      <c r="CH244" s="39" t="n">
        <f aca="false">IF(CH$4=0,0,IF(COUNTIFS(実績!$W$6:$W$505,CH$3,実績!$AI$6:$AI$505,"&lt;="&amp;$A244,実績!$AJ$6:$AJ$505,"&gt;"&amp;$A244,実績!$AL$6:$AL$505,"○")&gt;0,1,0))</f>
        <v>0</v>
      </c>
      <c r="CI244" s="39" t="n">
        <f aca="false">IF(CI$4=0,0,IF(COUNTIFS(実績!$W$6:$W$505,CI$3,実績!$AI$6:$AI$505,"&lt;="&amp;$A244,実績!$AJ$6:$AJ$505,"&gt;"&amp;$A244,実績!$AL$6:$AL$505,"○")&gt;0,1,0))</f>
        <v>0</v>
      </c>
      <c r="CJ244" s="39" t="n">
        <f aca="false">IF(CJ$4=0,0,IF(COUNTIFS(実績!$W$6:$W$505,CJ$3,実績!$AI$6:$AI$505,"&lt;="&amp;$A244,実績!$AJ$6:$AJ$505,"&gt;"&amp;$A244,実績!$AL$6:$AL$505,"○")&gt;0,1,0))</f>
        <v>0</v>
      </c>
      <c r="CK244" s="39" t="n">
        <f aca="false">IF(CK$4=0,0,IF(COUNTIFS(実績!$W$6:$W$505,CK$3,実績!$AI$6:$AI$505,"&lt;="&amp;$A244,実績!$AJ$6:$AJ$505,"&gt;"&amp;$A244,実績!$AL$6:$AL$505,"○")&gt;0,1,0))</f>
        <v>0</v>
      </c>
      <c r="CL244" s="39" t="n">
        <f aca="false">IF(CL$4=0,0,IF(COUNTIFS(実績!$W$6:$W$505,CL$3,実績!$AI$6:$AI$505,"&lt;="&amp;$A244,実績!$AJ$6:$AJ$505,"&gt;"&amp;$A244,実績!$AL$6:$AL$505,"○")&gt;0,1,0))</f>
        <v>0</v>
      </c>
      <c r="CM244" s="39" t="n">
        <f aca="false">IF(CM$4=0,0,IF(COUNTIFS(実績!$W$6:$W$505,CM$3,実績!$AI$6:$AI$505,"&lt;="&amp;$A244,実績!$AJ$6:$AJ$505,"&gt;"&amp;$A244,実績!$AL$6:$AL$505,"○")&gt;0,1,0))</f>
        <v>0</v>
      </c>
      <c r="CN244" s="39" t="n">
        <f aca="false">IF(CN$4=0,0,IF(COUNTIFS(実績!$W$6:$W$505,CN$3,実績!$AI$6:$AI$505,"&lt;="&amp;$A244,実績!$AJ$6:$AJ$505,"&gt;"&amp;$A244,実績!$AL$6:$AL$505,"○")&gt;0,1,0))</f>
        <v>0</v>
      </c>
      <c r="CO244" s="39" t="n">
        <f aca="false">IF(CO$4=0,0,IF(COUNTIFS(実績!$W$6:$W$505,CO$3,実績!$AI$6:$AI$505,"&lt;="&amp;$A244,実績!$AJ$6:$AJ$505,"&gt;"&amp;$A244,実績!$AL$6:$AL$505,"○")&gt;0,1,0))</f>
        <v>0</v>
      </c>
      <c r="CP244" s="39" t="n">
        <f aca="false">IF(CP$4=0,0,IF(COUNTIFS(実績!$W$6:$W$505,CP$3,実績!$AI$6:$AI$505,"&lt;="&amp;$A244,実績!$AJ$6:$AJ$505,"&gt;"&amp;$A244,実績!$AL$6:$AL$505,"○")&gt;0,1,0))</f>
        <v>0</v>
      </c>
      <c r="CQ244" s="39" t="n">
        <f aca="false">IF(CQ$4=0,0,IF(COUNTIFS(実績!$W$6:$W$505,CQ$3,実績!$AI$6:$AI$505,"&lt;="&amp;$A244,実績!$AJ$6:$AJ$505,"&gt;"&amp;$A244,実績!$AL$6:$AL$505,"○")&gt;0,1,0))</f>
        <v>0</v>
      </c>
      <c r="CR244" s="39" t="n">
        <f aca="false">IF(CR$4=0,0,IF(COUNTIFS(実績!$W$6:$W$505,CR$3,実績!$AI$6:$AI$505,"&lt;="&amp;$A244,実績!$AJ$6:$AJ$505,"&gt;"&amp;$A244,実績!$AL$6:$AL$505,"○")&gt;0,1,0))</f>
        <v>0</v>
      </c>
      <c r="CS244" s="39" t="n">
        <f aca="false">IF(CS$4=0,0,IF(COUNTIFS(実績!$W$6:$W$505,CS$3,実績!$AI$6:$AI$505,"&lt;="&amp;$A244,実績!$AJ$6:$AJ$505,"&gt;"&amp;$A244,実績!$AL$6:$AL$505,"○")&gt;0,1,0))</f>
        <v>0</v>
      </c>
      <c r="CT244" s="39" t="n">
        <f aca="false">IF(CT$4=0,0,IF(COUNTIFS(実績!$W$6:$W$505,CT$3,実績!$AI$6:$AI$505,"&lt;="&amp;$A244,実績!$AJ$6:$AJ$505,"&gt;"&amp;$A244,実績!$AL$6:$AL$505,"○")&gt;0,1,0))</f>
        <v>0</v>
      </c>
      <c r="CU244" s="39" t="n">
        <f aca="false">IF(CU$4=0,0,IF(COUNTIFS(実績!$W$6:$W$505,CU$3,実績!$AI$6:$AI$505,"&lt;="&amp;$A244,実績!$AJ$6:$AJ$505,"&gt;"&amp;$A244,実績!$AL$6:$AL$505,"○")&gt;0,1,0))</f>
        <v>0</v>
      </c>
      <c r="CV244" s="39" t="n">
        <f aca="false">IF(CV$4=0,0,IF(COUNTIFS(実績!$W$6:$W$505,CV$3,実績!$AI$6:$AI$505,"&lt;="&amp;$A244,実績!$AJ$6:$AJ$505,"&gt;"&amp;$A244,実績!$AL$6:$AL$505,"○")&gt;0,1,0))</f>
        <v>0</v>
      </c>
      <c r="CW244" s="39" t="n">
        <f aca="false">IF(CW$4=0,0,IF(COUNTIFS(実績!$W$6:$W$505,CW$3,実績!$AI$6:$AI$505,"&lt;="&amp;$A244,実績!$AJ$6:$AJ$505,"&gt;"&amp;$A244,実績!$AL$6:$AL$505,"○")&gt;0,1,0))</f>
        <v>0</v>
      </c>
      <c r="CX244" s="39" t="n">
        <f aca="false">IF(CX$4=0,0,IF(COUNTIFS(実績!$W$6:$W$505,CX$3,実績!$AI$6:$AI$505,"&lt;="&amp;$A244,実績!$AJ$6:$AJ$505,"&gt;"&amp;$A244,実績!$AL$6:$AL$505,"○")&gt;0,1,0))</f>
        <v>0</v>
      </c>
      <c r="CY244" s="39" t="n">
        <f aca="false">IF(CY$4=0,0,IF(COUNTIFS(実績!$W$6:$W$505,CY$3,実績!$AI$6:$AI$505,"&lt;="&amp;$A244,実績!$AJ$6:$AJ$505,"&gt;"&amp;$A244,実績!$AL$6:$AL$505,"○")&gt;0,1,0))</f>
        <v>0</v>
      </c>
      <c r="CZ244" s="39" t="n">
        <f aca="false">IF(CZ$4=0,0,IF(COUNTIFS(実績!$W$6:$W$505,CZ$3,実績!$AI$6:$AI$505,"&lt;="&amp;$A244,実績!$AJ$6:$AJ$505,"&gt;"&amp;$A244,実績!$AL$6:$AL$505,"○")&gt;0,1,0))</f>
        <v>0</v>
      </c>
      <c r="DA244" s="39" t="n">
        <f aca="false">IF(DA$4=0,0,IF(COUNTIFS(実績!$W$6:$W$505,DA$3,実績!$AI$6:$AI$505,"&lt;="&amp;$A244,実績!$AJ$6:$AJ$505,"&gt;"&amp;$A244,実績!$AL$6:$AL$505,"○")&gt;0,1,0))</f>
        <v>0</v>
      </c>
      <c r="DB244" s="39" t="n">
        <f aca="false">IF(DB$4=0,0,IF(COUNTIFS(実績!$W$6:$W$505,DB$3,実績!$AI$6:$AI$505,"&lt;="&amp;$A244,実績!$AJ$6:$AJ$505,"&gt;"&amp;$A244,実績!$AL$6:$AL$505,"○")&gt;0,1,0))</f>
        <v>0</v>
      </c>
      <c r="DC244" s="39" t="n">
        <f aca="false">IF(DC$4=0,0,IF(COUNTIFS(実績!$W$6:$W$505,DC$3,実績!$AI$6:$AI$505,"&lt;="&amp;$A244,実績!$AJ$6:$AJ$505,"&gt;"&amp;$A244,実績!$AL$6:$AL$505,"○")&gt;0,1,0))</f>
        <v>0</v>
      </c>
      <c r="DD244" s="39" t="n">
        <f aca="false">IF(DD$4=0,0,IF(COUNTIFS(実績!$W$6:$W$505,DD$3,実績!$AI$6:$AI$505,"&lt;="&amp;$A244,実績!$AJ$6:$AJ$505,"&gt;"&amp;$A244,実績!$AL$6:$AL$505,"○")&gt;0,1,0))</f>
        <v>0</v>
      </c>
      <c r="DE244" s="39" t="n">
        <f aca="false">IF(DE$4=0,0,IF(COUNTIFS(実績!$W$6:$W$505,DE$3,実績!$AI$6:$AI$505,"&lt;="&amp;$A244,実績!$AJ$6:$AJ$505,"&gt;"&amp;$A244,実績!$AL$6:$AL$505,"○")&gt;0,1,0))</f>
        <v>0</v>
      </c>
      <c r="DF244" s="39" t="n">
        <f aca="false">IF(DF$4=0,0,IF(COUNTIFS(実績!$W$6:$W$505,DF$3,実績!$AI$6:$AI$505,"&lt;="&amp;$A244,実績!$AJ$6:$AJ$505,"&gt;"&amp;$A244,実績!$AL$6:$AL$505,"○")&gt;0,1,0))</f>
        <v>0</v>
      </c>
      <c r="DG244" s="39" t="n">
        <f aca="false">IF(DG$4=0,0,IF(COUNTIFS(実績!$W$6:$W$505,DG$3,実績!$AI$6:$AI$505,"&lt;="&amp;$A244,実績!$AJ$6:$AJ$505,"&gt;"&amp;$A244,実績!$AL$6:$AL$505,"○")&gt;0,1,0))</f>
        <v>0</v>
      </c>
      <c r="DH244" s="39" t="n">
        <f aca="false">IF(DH$4=0,0,IF(COUNTIFS(実績!$W$6:$W$505,DH$3,実績!$AI$6:$AI$505,"&lt;="&amp;$A244,実績!$AJ$6:$AJ$505,"&gt;"&amp;$A244,実績!$AL$6:$AL$505,"○")&gt;0,1,0))</f>
        <v>0</v>
      </c>
      <c r="DI244" s="39" t="n">
        <f aca="false">IF(DI$4=0,0,IF(COUNTIFS(実績!$W$6:$W$505,DI$3,実績!$AI$6:$AI$505,"&lt;="&amp;$A244,実績!$AJ$6:$AJ$505,"&gt;"&amp;$A244,実績!$AL$6:$AL$505,"○")&gt;0,1,0))</f>
        <v>0</v>
      </c>
      <c r="DJ244" s="39" t="n">
        <f aca="false">IF(DJ$4=0,0,IF(COUNTIFS(実績!$W$6:$W$505,DJ$3,実績!$AI$6:$AI$505,"&lt;="&amp;$A244,実績!$AJ$6:$AJ$505,"&gt;"&amp;$A244,実績!$AL$6:$AL$505,"○")&gt;0,1,0))</f>
        <v>0</v>
      </c>
      <c r="DK244" s="39" t="n">
        <f aca="false">IF(DK$4=0,0,IF(COUNTIFS(実績!$W$6:$W$505,DK$3,実績!$AI$6:$AI$505,"&lt;="&amp;$A244,実績!$AJ$6:$AJ$505,"&gt;"&amp;$A244,実績!$AL$6:$AL$505,"○")&gt;0,1,0))</f>
        <v>0</v>
      </c>
      <c r="DL244" s="39" t="n">
        <f aca="false">IF(DL$4=0,0,IF(COUNTIFS(実績!$W$6:$W$505,DL$3,実績!$AI$6:$AI$505,"&lt;="&amp;$A244,実績!$AJ$6:$AJ$505,"&gt;"&amp;$A244,実績!$AL$6:$AL$505,"○")&gt;0,1,0))</f>
        <v>0</v>
      </c>
      <c r="DM244" s="39" t="n">
        <f aca="false">IF(DM$4=0,0,IF(COUNTIFS(実績!$W$6:$W$505,DM$3,実績!$AI$6:$AI$505,"&lt;="&amp;$A244,実績!$AJ$6:$AJ$505,"&gt;"&amp;$A244,実績!$AL$6:$AL$505,"○")&gt;0,1,0))</f>
        <v>0</v>
      </c>
      <c r="DN244" s="39" t="n">
        <f aca="false">IF(DN$4=0,0,IF(COUNTIFS(実績!$W$6:$W$505,DN$3,実績!$AI$6:$AI$505,"&lt;="&amp;$A244,実績!$AJ$6:$AJ$505,"&gt;"&amp;$A244,実績!$AL$6:$AL$505,"○")&gt;0,1,0))</f>
        <v>0</v>
      </c>
      <c r="DO244" s="39" t="n">
        <f aca="false">IF(DO$4=0,0,IF(COUNTIFS(実績!$W$6:$W$505,DO$3,実績!$AI$6:$AI$505,"&lt;="&amp;$A244,実績!$AJ$6:$AJ$505,"&gt;"&amp;$A244,実績!$AL$6:$AL$505,"○")&gt;0,1,0))</f>
        <v>0</v>
      </c>
      <c r="DP244" s="39" t="n">
        <f aca="false">IF(DP$4=0,0,IF(COUNTIFS(実績!$W$6:$W$505,DP$3,実績!$AI$6:$AI$505,"&lt;="&amp;$A244,実績!$AJ$6:$AJ$505,"&gt;"&amp;$A244,実績!$AL$6:$AL$505,"○")&gt;0,1,0))</f>
        <v>0</v>
      </c>
      <c r="DQ244" s="39" t="n">
        <f aca="false">IF(DQ$4=0,0,IF(COUNTIFS(実績!$W$6:$W$505,DQ$3,実績!$AI$6:$AI$505,"&lt;="&amp;$A244,実績!$AJ$6:$AJ$505,"&gt;"&amp;$A244,実績!$AL$6:$AL$505,"○")&gt;0,1,0))</f>
        <v>0</v>
      </c>
      <c r="DR244" s="39" t="n">
        <f aca="false">IF(DR$4=0,0,IF(COUNTIFS(実績!$W$6:$W$505,DR$3,実績!$AI$6:$AI$505,"&lt;="&amp;$A244,実績!$AJ$6:$AJ$505,"&gt;"&amp;$A244,実績!$AL$6:$AL$505,"○")&gt;0,1,0))</f>
        <v>0</v>
      </c>
      <c r="DS244" s="39" t="n">
        <f aca="false">SUM(C244:DR244)</f>
        <v>0</v>
      </c>
    </row>
    <row r="245" customFormat="false" ht="15" hidden="false" customHeight="false" outlineLevel="0" collapsed="false">
      <c r="A245" s="0" t="n">
        <v>1195</v>
      </c>
      <c r="B245" s="38" t="n">
        <f aca="false">A245/1440</f>
        <v>0.829861111111111</v>
      </c>
      <c r="C245" s="39" t="n">
        <f aca="false">IF(C$4=0,0,IF(COUNTIFS(実績!$W$6:$W$505,C$3,実績!$AI$6:$AI$505,"&lt;="&amp;$A245,実績!$AJ$6:$AJ$505,"&gt;"&amp;$A245,実績!$AL$6:$AL$505,"○")&gt;0,1,0))</f>
        <v>0</v>
      </c>
      <c r="D245" s="39" t="n">
        <f aca="false">IF(D$4=0,0,IF(COUNTIFS(実績!$W$6:$W$505,D$3,実績!$AI$6:$AI$505,"&lt;="&amp;$A245,実績!$AJ$6:$AJ$505,"&gt;"&amp;$A245,実績!$AL$6:$AL$505,"○")&gt;0,1,0))</f>
        <v>0</v>
      </c>
      <c r="E245" s="39" t="n">
        <f aca="false">IF(E$4=0,0,IF(COUNTIFS(実績!$W$6:$W$505,E$3,実績!$AI$6:$AI$505,"&lt;="&amp;$A245,実績!$AJ$6:$AJ$505,"&gt;"&amp;$A245,実績!$AL$6:$AL$505,"○")&gt;0,1,0))</f>
        <v>0</v>
      </c>
      <c r="F245" s="39" t="n">
        <f aca="false">IF(F$4=0,0,IF(COUNTIFS(実績!$W$6:$W$505,F$3,実績!$AI$6:$AI$505,"&lt;="&amp;$A245,実績!$AJ$6:$AJ$505,"&gt;"&amp;$A245,実績!$AL$6:$AL$505,"○")&gt;0,1,0))</f>
        <v>0</v>
      </c>
      <c r="G245" s="39" t="n">
        <f aca="false">IF(G$4=0,0,IF(COUNTIFS(実績!$W$6:$W$505,G$3,実績!$AI$6:$AI$505,"&lt;="&amp;$A245,実績!$AJ$6:$AJ$505,"&gt;"&amp;$A245,実績!$AL$6:$AL$505,"○")&gt;0,1,0))</f>
        <v>0</v>
      </c>
      <c r="H245" s="39" t="n">
        <f aca="false">IF(H$4=0,0,IF(COUNTIFS(実績!$W$6:$W$505,H$3,実績!$AI$6:$AI$505,"&lt;="&amp;$A245,実績!$AJ$6:$AJ$505,"&gt;"&amp;$A245,実績!$AL$6:$AL$505,"○")&gt;0,1,0))</f>
        <v>0</v>
      </c>
      <c r="I245" s="39" t="n">
        <f aca="false">IF(I$4=0,0,IF(COUNTIFS(実績!$W$6:$W$505,I$3,実績!$AI$6:$AI$505,"&lt;="&amp;$A245,実績!$AJ$6:$AJ$505,"&gt;"&amp;$A245,実績!$AL$6:$AL$505,"○")&gt;0,1,0))</f>
        <v>0</v>
      </c>
      <c r="J245" s="39" t="n">
        <f aca="false">IF(J$4=0,0,IF(COUNTIFS(実績!$W$6:$W$505,J$3,実績!$AI$6:$AI$505,"&lt;="&amp;$A245,実績!$AJ$6:$AJ$505,"&gt;"&amp;$A245,実績!$AL$6:$AL$505,"○")&gt;0,1,0))</f>
        <v>0</v>
      </c>
      <c r="K245" s="39" t="n">
        <f aca="false">IF(K$4=0,0,IF(COUNTIFS(実績!$W$6:$W$505,K$3,実績!$AI$6:$AI$505,"&lt;="&amp;$A245,実績!$AJ$6:$AJ$505,"&gt;"&amp;$A245,実績!$AL$6:$AL$505,"○")&gt;0,1,0))</f>
        <v>0</v>
      </c>
      <c r="L245" s="39" t="n">
        <f aca="false">IF(L$4=0,0,IF(COUNTIFS(実績!$W$6:$W$505,L$3,実績!$AI$6:$AI$505,"&lt;="&amp;$A245,実績!$AJ$6:$AJ$505,"&gt;"&amp;$A245,実績!$AL$6:$AL$505,"○")&gt;0,1,0))</f>
        <v>0</v>
      </c>
      <c r="M245" s="39" t="n">
        <f aca="false">IF(M$4=0,0,IF(COUNTIFS(実績!$W$6:$W$505,M$3,実績!$AI$6:$AI$505,"&lt;="&amp;$A245,実績!$AJ$6:$AJ$505,"&gt;"&amp;$A245,実績!$AL$6:$AL$505,"○")&gt;0,1,0))</f>
        <v>0</v>
      </c>
      <c r="N245" s="39" t="n">
        <f aca="false">IF(N$4=0,0,IF(COUNTIFS(実績!$W$6:$W$505,N$3,実績!$AI$6:$AI$505,"&lt;="&amp;$A245,実績!$AJ$6:$AJ$505,"&gt;"&amp;$A245,実績!$AL$6:$AL$505,"○")&gt;0,1,0))</f>
        <v>0</v>
      </c>
      <c r="O245" s="39" t="n">
        <f aca="false">IF(O$4=0,0,IF(COUNTIFS(実績!$W$6:$W$505,O$3,実績!$AI$6:$AI$505,"&lt;="&amp;$A245,実績!$AJ$6:$AJ$505,"&gt;"&amp;$A245,実績!$AL$6:$AL$505,"○")&gt;0,1,0))</f>
        <v>0</v>
      </c>
      <c r="P245" s="39" t="n">
        <f aca="false">IF(P$4=0,0,IF(COUNTIFS(実績!$W$6:$W$505,P$3,実績!$AI$6:$AI$505,"&lt;="&amp;$A245,実績!$AJ$6:$AJ$505,"&gt;"&amp;$A245,実績!$AL$6:$AL$505,"○")&gt;0,1,0))</f>
        <v>0</v>
      </c>
      <c r="Q245" s="39" t="n">
        <f aca="false">IF(Q$4=0,0,IF(COUNTIFS(実績!$W$6:$W$505,Q$3,実績!$AI$6:$AI$505,"&lt;="&amp;$A245,実績!$AJ$6:$AJ$505,"&gt;"&amp;$A245,実績!$AL$6:$AL$505,"○")&gt;0,1,0))</f>
        <v>0</v>
      </c>
      <c r="R245" s="39" t="n">
        <f aca="false">IF(R$4=0,0,IF(COUNTIFS(実績!$W$6:$W$505,R$3,実績!$AI$6:$AI$505,"&lt;="&amp;$A245,実績!$AJ$6:$AJ$505,"&gt;"&amp;$A245,実績!$AL$6:$AL$505,"○")&gt;0,1,0))</f>
        <v>0</v>
      </c>
      <c r="S245" s="39" t="n">
        <f aca="false">IF(S$4=0,0,IF(COUNTIFS(実績!$W$6:$W$505,S$3,実績!$AI$6:$AI$505,"&lt;="&amp;$A245,実績!$AJ$6:$AJ$505,"&gt;"&amp;$A245,実績!$AL$6:$AL$505,"○")&gt;0,1,0))</f>
        <v>0</v>
      </c>
      <c r="T245" s="39" t="n">
        <f aca="false">IF(T$4=0,0,IF(COUNTIFS(実績!$W$6:$W$505,T$3,実績!$AI$6:$AI$505,"&lt;="&amp;$A245,実績!$AJ$6:$AJ$505,"&gt;"&amp;$A245,実績!$AL$6:$AL$505,"○")&gt;0,1,0))</f>
        <v>0</v>
      </c>
      <c r="U245" s="39" t="n">
        <f aca="false">IF(U$4=0,0,IF(COUNTIFS(実績!$W$6:$W$505,U$3,実績!$AI$6:$AI$505,"&lt;="&amp;$A245,実績!$AJ$6:$AJ$505,"&gt;"&amp;$A245,実績!$AL$6:$AL$505,"○")&gt;0,1,0))</f>
        <v>0</v>
      </c>
      <c r="V245" s="39" t="n">
        <f aca="false">IF(V$4=0,0,IF(COUNTIFS(実績!$W$6:$W$505,V$3,実績!$AI$6:$AI$505,"&lt;="&amp;$A245,実績!$AJ$6:$AJ$505,"&gt;"&amp;$A245,実績!$AL$6:$AL$505,"○")&gt;0,1,0))</f>
        <v>0</v>
      </c>
      <c r="W245" s="39" t="n">
        <f aca="false">IF(W$4=0,0,IF(COUNTIFS(実績!$W$6:$W$505,W$3,実績!$AI$6:$AI$505,"&lt;="&amp;$A245,実績!$AJ$6:$AJ$505,"&gt;"&amp;$A245,実績!$AL$6:$AL$505,"○")&gt;0,1,0))</f>
        <v>0</v>
      </c>
      <c r="X245" s="39" t="n">
        <f aca="false">IF(X$4=0,0,IF(COUNTIFS(実績!$W$6:$W$505,X$3,実績!$AI$6:$AI$505,"&lt;="&amp;$A245,実績!$AJ$6:$AJ$505,"&gt;"&amp;$A245,実績!$AL$6:$AL$505,"○")&gt;0,1,0))</f>
        <v>0</v>
      </c>
      <c r="Y245" s="39" t="n">
        <f aca="false">IF(Y$4=0,0,IF(COUNTIFS(実績!$W$6:$W$505,Y$3,実績!$AI$6:$AI$505,"&lt;="&amp;$A245,実績!$AJ$6:$AJ$505,"&gt;"&amp;$A245,実績!$AL$6:$AL$505,"○")&gt;0,1,0))</f>
        <v>0</v>
      </c>
      <c r="Z245" s="39" t="n">
        <f aca="false">IF(Z$4=0,0,IF(COUNTIFS(実績!$W$6:$W$505,Z$3,実績!$AI$6:$AI$505,"&lt;="&amp;$A245,実績!$AJ$6:$AJ$505,"&gt;"&amp;$A245,実績!$AL$6:$AL$505,"○")&gt;0,1,0))</f>
        <v>0</v>
      </c>
      <c r="AA245" s="39" t="n">
        <f aca="false">IF(AA$4=0,0,IF(COUNTIFS(実績!$W$6:$W$505,AA$3,実績!$AI$6:$AI$505,"&lt;="&amp;$A245,実績!$AJ$6:$AJ$505,"&gt;"&amp;$A245,実績!$AL$6:$AL$505,"○")&gt;0,1,0))</f>
        <v>0</v>
      </c>
      <c r="AB245" s="39" t="n">
        <f aca="false">IF(AB$4=0,0,IF(COUNTIFS(実績!$W$6:$W$505,AB$3,実績!$AI$6:$AI$505,"&lt;="&amp;$A245,実績!$AJ$6:$AJ$505,"&gt;"&amp;$A245,実績!$AL$6:$AL$505,"○")&gt;0,1,0))</f>
        <v>0</v>
      </c>
      <c r="AC245" s="39" t="n">
        <f aca="false">IF(AC$4=0,0,IF(COUNTIFS(実績!$W$6:$W$505,AC$3,実績!$AI$6:$AI$505,"&lt;="&amp;$A245,実績!$AJ$6:$AJ$505,"&gt;"&amp;$A245,実績!$AL$6:$AL$505,"○")&gt;0,1,0))</f>
        <v>0</v>
      </c>
      <c r="AD245" s="39" t="n">
        <f aca="false">IF(AD$4=0,0,IF(COUNTIFS(実績!$W$6:$W$505,AD$3,実績!$AI$6:$AI$505,"&lt;="&amp;$A245,実績!$AJ$6:$AJ$505,"&gt;"&amp;$A245,実績!$AL$6:$AL$505,"○")&gt;0,1,0))</f>
        <v>0</v>
      </c>
      <c r="AE245" s="39" t="n">
        <f aca="false">IF(AE$4=0,0,IF(COUNTIFS(実績!$W$6:$W$505,AE$3,実績!$AI$6:$AI$505,"&lt;="&amp;$A245,実績!$AJ$6:$AJ$505,"&gt;"&amp;$A245,実績!$AL$6:$AL$505,"○")&gt;0,1,0))</f>
        <v>0</v>
      </c>
      <c r="AF245" s="39" t="n">
        <f aca="false">IF(AF$4=0,0,IF(COUNTIFS(実績!$W$6:$W$505,AF$3,実績!$AI$6:$AI$505,"&lt;="&amp;$A245,実績!$AJ$6:$AJ$505,"&gt;"&amp;$A245,実績!$AL$6:$AL$505,"○")&gt;0,1,0))</f>
        <v>0</v>
      </c>
      <c r="AG245" s="39" t="n">
        <f aca="false">IF(AG$4=0,0,IF(COUNTIFS(実績!$W$6:$W$505,AG$3,実績!$AI$6:$AI$505,"&lt;="&amp;$A245,実績!$AJ$6:$AJ$505,"&gt;"&amp;$A245,実績!$AL$6:$AL$505,"○")&gt;0,1,0))</f>
        <v>0</v>
      </c>
      <c r="AH245" s="39" t="n">
        <f aca="false">IF(AH$4=0,0,IF(COUNTIFS(実績!$W$6:$W$505,AH$3,実績!$AI$6:$AI$505,"&lt;="&amp;$A245,実績!$AJ$6:$AJ$505,"&gt;"&amp;$A245,実績!$AL$6:$AL$505,"○")&gt;0,1,0))</f>
        <v>0</v>
      </c>
      <c r="AI245" s="39" t="n">
        <f aca="false">IF(AI$4=0,0,IF(COUNTIFS(実績!$W$6:$W$505,AI$3,実績!$AI$6:$AI$505,"&lt;="&amp;$A245,実績!$AJ$6:$AJ$505,"&gt;"&amp;$A245,実績!$AL$6:$AL$505,"○")&gt;0,1,0))</f>
        <v>0</v>
      </c>
      <c r="AJ245" s="39" t="n">
        <f aca="false">IF(AJ$4=0,0,IF(COUNTIFS(実績!$W$6:$W$505,AJ$3,実績!$AI$6:$AI$505,"&lt;="&amp;$A245,実績!$AJ$6:$AJ$505,"&gt;"&amp;$A245,実績!$AL$6:$AL$505,"○")&gt;0,1,0))</f>
        <v>0</v>
      </c>
      <c r="AK245" s="39" t="n">
        <f aca="false">IF(AK$4=0,0,IF(COUNTIFS(実績!$W$6:$W$505,AK$3,実績!$AI$6:$AI$505,"&lt;="&amp;$A245,実績!$AJ$6:$AJ$505,"&gt;"&amp;$A245,実績!$AL$6:$AL$505,"○")&gt;0,1,0))</f>
        <v>0</v>
      </c>
      <c r="AL245" s="39" t="n">
        <f aca="false">IF(AL$4=0,0,IF(COUNTIFS(実績!$W$6:$W$505,AL$3,実績!$AI$6:$AI$505,"&lt;="&amp;$A245,実績!$AJ$6:$AJ$505,"&gt;"&amp;$A245,実績!$AL$6:$AL$505,"○")&gt;0,1,0))</f>
        <v>0</v>
      </c>
      <c r="AM245" s="39" t="n">
        <f aca="false">IF(AM$4=0,0,IF(COUNTIFS(実績!$W$6:$W$505,AM$3,実績!$AI$6:$AI$505,"&lt;="&amp;$A245,実績!$AJ$6:$AJ$505,"&gt;"&amp;$A245,実績!$AL$6:$AL$505,"○")&gt;0,1,0))</f>
        <v>0</v>
      </c>
      <c r="AN245" s="39" t="n">
        <f aca="false">IF(AN$4=0,0,IF(COUNTIFS(実績!$W$6:$W$505,AN$3,実績!$AI$6:$AI$505,"&lt;="&amp;$A245,実績!$AJ$6:$AJ$505,"&gt;"&amp;$A245,実績!$AL$6:$AL$505,"○")&gt;0,1,0))</f>
        <v>0</v>
      </c>
      <c r="AO245" s="39" t="n">
        <f aca="false">IF(AO$4=0,0,IF(COUNTIFS(実績!$W$6:$W$505,AO$3,実績!$AI$6:$AI$505,"&lt;="&amp;$A245,実績!$AJ$6:$AJ$505,"&gt;"&amp;$A245,実績!$AL$6:$AL$505,"○")&gt;0,1,0))</f>
        <v>0</v>
      </c>
      <c r="AP245" s="39" t="n">
        <f aca="false">IF(AP$4=0,0,IF(COUNTIFS(実績!$W$6:$W$505,AP$3,実績!$AI$6:$AI$505,"&lt;="&amp;$A245,実績!$AJ$6:$AJ$505,"&gt;"&amp;$A245,実績!$AL$6:$AL$505,"○")&gt;0,1,0))</f>
        <v>0</v>
      </c>
      <c r="AQ245" s="39" t="n">
        <f aca="false">IF(AQ$4=0,0,IF(COUNTIFS(実績!$W$6:$W$505,AQ$3,実績!$AI$6:$AI$505,"&lt;="&amp;$A245,実績!$AJ$6:$AJ$505,"&gt;"&amp;$A245,実績!$AL$6:$AL$505,"○")&gt;0,1,0))</f>
        <v>0</v>
      </c>
      <c r="AR245" s="39" t="n">
        <f aca="false">IF(AR$4=0,0,IF(COUNTIFS(実績!$W$6:$W$505,AR$3,実績!$AI$6:$AI$505,"&lt;="&amp;$A245,実績!$AJ$6:$AJ$505,"&gt;"&amp;$A245,実績!$AL$6:$AL$505,"○")&gt;0,1,0))</f>
        <v>0</v>
      </c>
      <c r="AS245" s="39" t="n">
        <f aca="false">IF(AS$4=0,0,IF(COUNTIFS(実績!$W$6:$W$505,AS$3,実績!$AI$6:$AI$505,"&lt;="&amp;$A245,実績!$AJ$6:$AJ$505,"&gt;"&amp;$A245,実績!$AL$6:$AL$505,"○")&gt;0,1,0))</f>
        <v>0</v>
      </c>
      <c r="AT245" s="39" t="n">
        <f aca="false">IF(AT$4=0,0,IF(COUNTIFS(実績!$W$6:$W$505,AT$3,実績!$AI$6:$AI$505,"&lt;="&amp;$A245,実績!$AJ$6:$AJ$505,"&gt;"&amp;$A245,実績!$AL$6:$AL$505,"○")&gt;0,1,0))</f>
        <v>0</v>
      </c>
      <c r="AU245" s="39" t="n">
        <f aca="false">IF(AU$4=0,0,IF(COUNTIFS(実績!$W$6:$W$505,AU$3,実績!$AI$6:$AI$505,"&lt;="&amp;$A245,実績!$AJ$6:$AJ$505,"&gt;"&amp;$A245,実績!$AL$6:$AL$505,"○")&gt;0,1,0))</f>
        <v>0</v>
      </c>
      <c r="AV245" s="39" t="n">
        <f aca="false">IF(AV$4=0,0,IF(COUNTIFS(実績!$W$6:$W$505,AV$3,実績!$AI$6:$AI$505,"&lt;="&amp;$A245,実績!$AJ$6:$AJ$505,"&gt;"&amp;$A245,実績!$AL$6:$AL$505,"○")&gt;0,1,0))</f>
        <v>0</v>
      </c>
      <c r="AW245" s="39" t="n">
        <f aca="false">IF(AW$4=0,0,IF(COUNTIFS(実績!$W$6:$W$505,AW$3,実績!$AI$6:$AI$505,"&lt;="&amp;$A245,実績!$AJ$6:$AJ$505,"&gt;"&amp;$A245,実績!$AL$6:$AL$505,"○")&gt;0,1,0))</f>
        <v>0</v>
      </c>
      <c r="AX245" s="39" t="n">
        <f aca="false">IF(AX$4=0,0,IF(COUNTIFS(実績!$W$6:$W$505,AX$3,実績!$AI$6:$AI$505,"&lt;="&amp;$A245,実績!$AJ$6:$AJ$505,"&gt;"&amp;$A245,実績!$AL$6:$AL$505,"○")&gt;0,1,0))</f>
        <v>0</v>
      </c>
      <c r="AY245" s="39" t="n">
        <f aca="false">IF(AY$4=0,0,IF(COUNTIFS(実績!$W$6:$W$505,AY$3,実績!$AI$6:$AI$505,"&lt;="&amp;$A245,実績!$AJ$6:$AJ$505,"&gt;"&amp;$A245,実績!$AL$6:$AL$505,"○")&gt;0,1,0))</f>
        <v>0</v>
      </c>
      <c r="AZ245" s="39" t="n">
        <f aca="false">IF(AZ$4=0,0,IF(COUNTIFS(実績!$W$6:$W$505,AZ$3,実績!$AI$6:$AI$505,"&lt;="&amp;$A245,実績!$AJ$6:$AJ$505,"&gt;"&amp;$A245,実績!$AL$6:$AL$505,"○")&gt;0,1,0))</f>
        <v>0</v>
      </c>
      <c r="BA245" s="39" t="n">
        <f aca="false">IF(BA$4=0,0,IF(COUNTIFS(実績!$W$6:$W$505,BA$3,実績!$AI$6:$AI$505,"&lt;="&amp;$A245,実績!$AJ$6:$AJ$505,"&gt;"&amp;$A245,実績!$AL$6:$AL$505,"○")&gt;0,1,0))</f>
        <v>0</v>
      </c>
      <c r="BB245" s="39" t="n">
        <f aca="false">IF(BB$4=0,0,IF(COUNTIFS(実績!$W$6:$W$505,BB$3,実績!$AI$6:$AI$505,"&lt;="&amp;$A245,実績!$AJ$6:$AJ$505,"&gt;"&amp;$A245,実績!$AL$6:$AL$505,"○")&gt;0,1,0))</f>
        <v>0</v>
      </c>
      <c r="BC245" s="39" t="n">
        <f aca="false">IF(BC$4=0,0,IF(COUNTIFS(実績!$W$6:$W$505,BC$3,実績!$AI$6:$AI$505,"&lt;="&amp;$A245,実績!$AJ$6:$AJ$505,"&gt;"&amp;$A245,実績!$AL$6:$AL$505,"○")&gt;0,1,0))</f>
        <v>0</v>
      </c>
      <c r="BD245" s="39" t="n">
        <f aca="false">IF(BD$4=0,0,IF(COUNTIFS(実績!$W$6:$W$505,BD$3,実績!$AI$6:$AI$505,"&lt;="&amp;$A245,実績!$AJ$6:$AJ$505,"&gt;"&amp;$A245,実績!$AL$6:$AL$505,"○")&gt;0,1,0))</f>
        <v>0</v>
      </c>
      <c r="BE245" s="39" t="n">
        <f aca="false">IF(BE$4=0,0,IF(COUNTIFS(実績!$W$6:$W$505,BE$3,実績!$AI$6:$AI$505,"&lt;="&amp;$A245,実績!$AJ$6:$AJ$505,"&gt;"&amp;$A245,実績!$AL$6:$AL$505,"○")&gt;0,1,0))</f>
        <v>0</v>
      </c>
      <c r="BF245" s="39" t="n">
        <f aca="false">IF(BF$4=0,0,IF(COUNTIFS(実績!$W$6:$W$505,BF$3,実績!$AI$6:$AI$505,"&lt;="&amp;$A245,実績!$AJ$6:$AJ$505,"&gt;"&amp;$A245,実績!$AL$6:$AL$505,"○")&gt;0,1,0))</f>
        <v>0</v>
      </c>
      <c r="BG245" s="39" t="n">
        <f aca="false">IF(BG$4=0,0,IF(COUNTIFS(実績!$W$6:$W$505,BG$3,実績!$AI$6:$AI$505,"&lt;="&amp;$A245,実績!$AJ$6:$AJ$505,"&gt;"&amp;$A245,実績!$AL$6:$AL$505,"○")&gt;0,1,0))</f>
        <v>0</v>
      </c>
      <c r="BH245" s="39" t="n">
        <f aca="false">IF(BH$4=0,0,IF(COUNTIFS(実績!$W$6:$W$505,BH$3,実績!$AI$6:$AI$505,"&lt;="&amp;$A245,実績!$AJ$6:$AJ$505,"&gt;"&amp;$A245,実績!$AL$6:$AL$505,"○")&gt;0,1,0))</f>
        <v>0</v>
      </c>
      <c r="BI245" s="39" t="n">
        <f aca="false">IF(BI$4=0,0,IF(COUNTIFS(実績!$W$6:$W$505,BI$3,実績!$AI$6:$AI$505,"&lt;="&amp;$A245,実績!$AJ$6:$AJ$505,"&gt;"&amp;$A245,実績!$AL$6:$AL$505,"○")&gt;0,1,0))</f>
        <v>0</v>
      </c>
      <c r="BJ245" s="39" t="n">
        <f aca="false">IF(BJ$4=0,0,IF(COUNTIFS(実績!$W$6:$W$505,BJ$3,実績!$AI$6:$AI$505,"&lt;="&amp;$A245,実績!$AJ$6:$AJ$505,"&gt;"&amp;$A245,実績!$AL$6:$AL$505,"○")&gt;0,1,0))</f>
        <v>0</v>
      </c>
      <c r="BK245" s="39" t="n">
        <f aca="false">IF(BK$4=0,0,IF(COUNTIFS(実績!$W$6:$W$505,BK$3,実績!$AI$6:$AI$505,"&lt;="&amp;$A245,実績!$AJ$6:$AJ$505,"&gt;"&amp;$A245,実績!$AL$6:$AL$505,"○")&gt;0,1,0))</f>
        <v>0</v>
      </c>
      <c r="BL245" s="39" t="n">
        <f aca="false">IF(BL$4=0,0,IF(COUNTIFS(実績!$W$6:$W$505,BL$3,実績!$AI$6:$AI$505,"&lt;="&amp;$A245,実績!$AJ$6:$AJ$505,"&gt;"&amp;$A245,実績!$AL$6:$AL$505,"○")&gt;0,1,0))</f>
        <v>0</v>
      </c>
      <c r="BM245" s="39" t="n">
        <f aca="false">IF(BM$4=0,0,IF(COUNTIFS(実績!$W$6:$W$505,BM$3,実績!$AI$6:$AI$505,"&lt;="&amp;$A245,実績!$AJ$6:$AJ$505,"&gt;"&amp;$A245,実績!$AL$6:$AL$505,"○")&gt;0,1,0))</f>
        <v>0</v>
      </c>
      <c r="BN245" s="39" t="n">
        <f aca="false">IF(BN$4=0,0,IF(COUNTIFS(実績!$W$6:$W$505,BN$3,実績!$AI$6:$AI$505,"&lt;="&amp;$A245,実績!$AJ$6:$AJ$505,"&gt;"&amp;$A245,実績!$AL$6:$AL$505,"○")&gt;0,1,0))</f>
        <v>0</v>
      </c>
      <c r="BO245" s="39" t="n">
        <f aca="false">IF(BO$4=0,0,IF(COUNTIFS(実績!$W$6:$W$505,BO$3,実績!$AI$6:$AI$505,"&lt;="&amp;$A245,実績!$AJ$6:$AJ$505,"&gt;"&amp;$A245,実績!$AL$6:$AL$505,"○")&gt;0,1,0))</f>
        <v>0</v>
      </c>
      <c r="BP245" s="39" t="n">
        <f aca="false">IF(BP$4=0,0,IF(COUNTIFS(実績!$W$6:$W$505,BP$3,実績!$AI$6:$AI$505,"&lt;="&amp;$A245,実績!$AJ$6:$AJ$505,"&gt;"&amp;$A245,実績!$AL$6:$AL$505,"○")&gt;0,1,0))</f>
        <v>0</v>
      </c>
      <c r="BQ245" s="39" t="n">
        <f aca="false">IF(BQ$4=0,0,IF(COUNTIFS(実績!$W$6:$W$505,BQ$3,実績!$AI$6:$AI$505,"&lt;="&amp;$A245,実績!$AJ$6:$AJ$505,"&gt;"&amp;$A245,実績!$AL$6:$AL$505,"○")&gt;0,1,0))</f>
        <v>0</v>
      </c>
      <c r="BR245" s="39" t="n">
        <f aca="false">IF(BR$4=0,0,IF(COUNTIFS(実績!$W$6:$W$505,BR$3,実績!$AI$6:$AI$505,"&lt;="&amp;$A245,実績!$AJ$6:$AJ$505,"&gt;"&amp;$A245,実績!$AL$6:$AL$505,"○")&gt;0,1,0))</f>
        <v>0</v>
      </c>
      <c r="BS245" s="39" t="n">
        <f aca="false">IF(BS$4=0,0,IF(COUNTIFS(実績!$W$6:$W$505,BS$3,実績!$AI$6:$AI$505,"&lt;="&amp;$A245,実績!$AJ$6:$AJ$505,"&gt;"&amp;$A245,実績!$AL$6:$AL$505,"○")&gt;0,1,0))</f>
        <v>0</v>
      </c>
      <c r="BT245" s="39" t="n">
        <f aca="false">IF(BT$4=0,0,IF(COUNTIFS(実績!$W$6:$W$505,BT$3,実績!$AI$6:$AI$505,"&lt;="&amp;$A245,実績!$AJ$6:$AJ$505,"&gt;"&amp;$A245,実績!$AL$6:$AL$505,"○")&gt;0,1,0))</f>
        <v>0</v>
      </c>
      <c r="BU245" s="39" t="n">
        <f aca="false">IF(BU$4=0,0,IF(COUNTIFS(実績!$W$6:$W$505,BU$3,実績!$AI$6:$AI$505,"&lt;="&amp;$A245,実績!$AJ$6:$AJ$505,"&gt;"&amp;$A245,実績!$AL$6:$AL$505,"○")&gt;0,1,0))</f>
        <v>0</v>
      </c>
      <c r="BV245" s="39" t="n">
        <f aca="false">IF(BV$4=0,0,IF(COUNTIFS(実績!$W$6:$W$505,BV$3,実績!$AI$6:$AI$505,"&lt;="&amp;$A245,実績!$AJ$6:$AJ$505,"&gt;"&amp;$A245,実績!$AL$6:$AL$505,"○")&gt;0,1,0))</f>
        <v>0</v>
      </c>
      <c r="BW245" s="39" t="n">
        <f aca="false">IF(BW$4=0,0,IF(COUNTIFS(実績!$W$6:$W$505,BW$3,実績!$AI$6:$AI$505,"&lt;="&amp;$A245,実績!$AJ$6:$AJ$505,"&gt;"&amp;$A245,実績!$AL$6:$AL$505,"○")&gt;0,1,0))</f>
        <v>0</v>
      </c>
      <c r="BX245" s="39" t="n">
        <f aca="false">IF(BX$4=0,0,IF(COUNTIFS(実績!$W$6:$W$505,BX$3,実績!$AI$6:$AI$505,"&lt;="&amp;$A245,実績!$AJ$6:$AJ$505,"&gt;"&amp;$A245,実績!$AL$6:$AL$505,"○")&gt;0,1,0))</f>
        <v>0</v>
      </c>
      <c r="BY245" s="39" t="n">
        <f aca="false">IF(BY$4=0,0,IF(COUNTIFS(実績!$W$6:$W$505,BY$3,実績!$AI$6:$AI$505,"&lt;="&amp;$A245,実績!$AJ$6:$AJ$505,"&gt;"&amp;$A245,実績!$AL$6:$AL$505,"○")&gt;0,1,0))</f>
        <v>0</v>
      </c>
      <c r="BZ245" s="39" t="n">
        <f aca="false">IF(BZ$4=0,0,IF(COUNTIFS(実績!$W$6:$W$505,BZ$3,実績!$AI$6:$AI$505,"&lt;="&amp;$A245,実績!$AJ$6:$AJ$505,"&gt;"&amp;$A245,実績!$AL$6:$AL$505,"○")&gt;0,1,0))</f>
        <v>0</v>
      </c>
      <c r="CA245" s="39" t="n">
        <f aca="false">IF(CA$4=0,0,IF(COUNTIFS(実績!$W$6:$W$505,CA$3,実績!$AI$6:$AI$505,"&lt;="&amp;$A245,実績!$AJ$6:$AJ$505,"&gt;"&amp;$A245,実績!$AL$6:$AL$505,"○")&gt;0,1,0))</f>
        <v>0</v>
      </c>
      <c r="CB245" s="39" t="n">
        <f aca="false">IF(CB$4=0,0,IF(COUNTIFS(実績!$W$6:$W$505,CB$3,実績!$AI$6:$AI$505,"&lt;="&amp;$A245,実績!$AJ$6:$AJ$505,"&gt;"&amp;$A245,実績!$AL$6:$AL$505,"○")&gt;0,1,0))</f>
        <v>0</v>
      </c>
      <c r="CC245" s="39" t="n">
        <f aca="false">IF(CC$4=0,0,IF(COUNTIFS(実績!$W$6:$W$505,CC$3,実績!$AI$6:$AI$505,"&lt;="&amp;$A245,実績!$AJ$6:$AJ$505,"&gt;"&amp;$A245,実績!$AL$6:$AL$505,"○")&gt;0,1,0))</f>
        <v>0</v>
      </c>
      <c r="CD245" s="39" t="n">
        <f aca="false">IF(CD$4=0,0,IF(COUNTIFS(実績!$W$6:$W$505,CD$3,実績!$AI$6:$AI$505,"&lt;="&amp;$A245,実績!$AJ$6:$AJ$505,"&gt;"&amp;$A245,実績!$AL$6:$AL$505,"○")&gt;0,1,0))</f>
        <v>0</v>
      </c>
      <c r="CE245" s="39" t="n">
        <f aca="false">IF(CE$4=0,0,IF(COUNTIFS(実績!$W$6:$W$505,CE$3,実績!$AI$6:$AI$505,"&lt;="&amp;$A245,実績!$AJ$6:$AJ$505,"&gt;"&amp;$A245,実績!$AL$6:$AL$505,"○")&gt;0,1,0))</f>
        <v>0</v>
      </c>
      <c r="CF245" s="39" t="n">
        <f aca="false">IF(CF$4=0,0,IF(COUNTIFS(実績!$W$6:$W$505,CF$3,実績!$AI$6:$AI$505,"&lt;="&amp;$A245,実績!$AJ$6:$AJ$505,"&gt;"&amp;$A245,実績!$AL$6:$AL$505,"○")&gt;0,1,0))</f>
        <v>0</v>
      </c>
      <c r="CG245" s="39" t="n">
        <f aca="false">IF(CG$4=0,0,IF(COUNTIFS(実績!$W$6:$W$505,CG$3,実績!$AI$6:$AI$505,"&lt;="&amp;$A245,実績!$AJ$6:$AJ$505,"&gt;"&amp;$A245,実績!$AL$6:$AL$505,"○")&gt;0,1,0))</f>
        <v>0</v>
      </c>
      <c r="CH245" s="39" t="n">
        <f aca="false">IF(CH$4=0,0,IF(COUNTIFS(実績!$W$6:$W$505,CH$3,実績!$AI$6:$AI$505,"&lt;="&amp;$A245,実績!$AJ$6:$AJ$505,"&gt;"&amp;$A245,実績!$AL$6:$AL$505,"○")&gt;0,1,0))</f>
        <v>0</v>
      </c>
      <c r="CI245" s="39" t="n">
        <f aca="false">IF(CI$4=0,0,IF(COUNTIFS(実績!$W$6:$W$505,CI$3,実績!$AI$6:$AI$505,"&lt;="&amp;$A245,実績!$AJ$6:$AJ$505,"&gt;"&amp;$A245,実績!$AL$6:$AL$505,"○")&gt;0,1,0))</f>
        <v>0</v>
      </c>
      <c r="CJ245" s="39" t="n">
        <f aca="false">IF(CJ$4=0,0,IF(COUNTIFS(実績!$W$6:$W$505,CJ$3,実績!$AI$6:$AI$505,"&lt;="&amp;$A245,実績!$AJ$6:$AJ$505,"&gt;"&amp;$A245,実績!$AL$6:$AL$505,"○")&gt;0,1,0))</f>
        <v>0</v>
      </c>
      <c r="CK245" s="39" t="n">
        <f aca="false">IF(CK$4=0,0,IF(COUNTIFS(実績!$W$6:$W$505,CK$3,実績!$AI$6:$AI$505,"&lt;="&amp;$A245,実績!$AJ$6:$AJ$505,"&gt;"&amp;$A245,実績!$AL$6:$AL$505,"○")&gt;0,1,0))</f>
        <v>0</v>
      </c>
      <c r="CL245" s="39" t="n">
        <f aca="false">IF(CL$4=0,0,IF(COUNTIFS(実績!$W$6:$W$505,CL$3,実績!$AI$6:$AI$505,"&lt;="&amp;$A245,実績!$AJ$6:$AJ$505,"&gt;"&amp;$A245,実績!$AL$6:$AL$505,"○")&gt;0,1,0))</f>
        <v>0</v>
      </c>
      <c r="CM245" s="39" t="n">
        <f aca="false">IF(CM$4=0,0,IF(COUNTIFS(実績!$W$6:$W$505,CM$3,実績!$AI$6:$AI$505,"&lt;="&amp;$A245,実績!$AJ$6:$AJ$505,"&gt;"&amp;$A245,実績!$AL$6:$AL$505,"○")&gt;0,1,0))</f>
        <v>0</v>
      </c>
      <c r="CN245" s="39" t="n">
        <f aca="false">IF(CN$4=0,0,IF(COUNTIFS(実績!$W$6:$W$505,CN$3,実績!$AI$6:$AI$505,"&lt;="&amp;$A245,実績!$AJ$6:$AJ$505,"&gt;"&amp;$A245,実績!$AL$6:$AL$505,"○")&gt;0,1,0))</f>
        <v>0</v>
      </c>
      <c r="CO245" s="39" t="n">
        <f aca="false">IF(CO$4=0,0,IF(COUNTIFS(実績!$W$6:$W$505,CO$3,実績!$AI$6:$AI$505,"&lt;="&amp;$A245,実績!$AJ$6:$AJ$505,"&gt;"&amp;$A245,実績!$AL$6:$AL$505,"○")&gt;0,1,0))</f>
        <v>0</v>
      </c>
      <c r="CP245" s="39" t="n">
        <f aca="false">IF(CP$4=0,0,IF(COUNTIFS(実績!$W$6:$W$505,CP$3,実績!$AI$6:$AI$505,"&lt;="&amp;$A245,実績!$AJ$6:$AJ$505,"&gt;"&amp;$A245,実績!$AL$6:$AL$505,"○")&gt;0,1,0))</f>
        <v>0</v>
      </c>
      <c r="CQ245" s="39" t="n">
        <f aca="false">IF(CQ$4=0,0,IF(COUNTIFS(実績!$W$6:$W$505,CQ$3,実績!$AI$6:$AI$505,"&lt;="&amp;$A245,実績!$AJ$6:$AJ$505,"&gt;"&amp;$A245,実績!$AL$6:$AL$505,"○")&gt;0,1,0))</f>
        <v>0</v>
      </c>
      <c r="CR245" s="39" t="n">
        <f aca="false">IF(CR$4=0,0,IF(COUNTIFS(実績!$W$6:$W$505,CR$3,実績!$AI$6:$AI$505,"&lt;="&amp;$A245,実績!$AJ$6:$AJ$505,"&gt;"&amp;$A245,実績!$AL$6:$AL$505,"○")&gt;0,1,0))</f>
        <v>0</v>
      </c>
      <c r="CS245" s="39" t="n">
        <f aca="false">IF(CS$4=0,0,IF(COUNTIFS(実績!$W$6:$W$505,CS$3,実績!$AI$6:$AI$505,"&lt;="&amp;$A245,実績!$AJ$6:$AJ$505,"&gt;"&amp;$A245,実績!$AL$6:$AL$505,"○")&gt;0,1,0))</f>
        <v>0</v>
      </c>
      <c r="CT245" s="39" t="n">
        <f aca="false">IF(CT$4=0,0,IF(COUNTIFS(実績!$W$6:$W$505,CT$3,実績!$AI$6:$AI$505,"&lt;="&amp;$A245,実績!$AJ$6:$AJ$505,"&gt;"&amp;$A245,実績!$AL$6:$AL$505,"○")&gt;0,1,0))</f>
        <v>0</v>
      </c>
      <c r="CU245" s="39" t="n">
        <f aca="false">IF(CU$4=0,0,IF(COUNTIFS(実績!$W$6:$W$505,CU$3,実績!$AI$6:$AI$505,"&lt;="&amp;$A245,実績!$AJ$6:$AJ$505,"&gt;"&amp;$A245,実績!$AL$6:$AL$505,"○")&gt;0,1,0))</f>
        <v>0</v>
      </c>
      <c r="CV245" s="39" t="n">
        <f aca="false">IF(CV$4=0,0,IF(COUNTIFS(実績!$W$6:$W$505,CV$3,実績!$AI$6:$AI$505,"&lt;="&amp;$A245,実績!$AJ$6:$AJ$505,"&gt;"&amp;$A245,実績!$AL$6:$AL$505,"○")&gt;0,1,0))</f>
        <v>0</v>
      </c>
      <c r="CW245" s="39" t="n">
        <f aca="false">IF(CW$4=0,0,IF(COUNTIFS(実績!$W$6:$W$505,CW$3,実績!$AI$6:$AI$505,"&lt;="&amp;$A245,実績!$AJ$6:$AJ$505,"&gt;"&amp;$A245,実績!$AL$6:$AL$505,"○")&gt;0,1,0))</f>
        <v>0</v>
      </c>
      <c r="CX245" s="39" t="n">
        <f aca="false">IF(CX$4=0,0,IF(COUNTIFS(実績!$W$6:$W$505,CX$3,実績!$AI$6:$AI$505,"&lt;="&amp;$A245,実績!$AJ$6:$AJ$505,"&gt;"&amp;$A245,実績!$AL$6:$AL$505,"○")&gt;0,1,0))</f>
        <v>0</v>
      </c>
      <c r="CY245" s="39" t="n">
        <f aca="false">IF(CY$4=0,0,IF(COUNTIFS(実績!$W$6:$W$505,CY$3,実績!$AI$6:$AI$505,"&lt;="&amp;$A245,実績!$AJ$6:$AJ$505,"&gt;"&amp;$A245,実績!$AL$6:$AL$505,"○")&gt;0,1,0))</f>
        <v>0</v>
      </c>
      <c r="CZ245" s="39" t="n">
        <f aca="false">IF(CZ$4=0,0,IF(COUNTIFS(実績!$W$6:$W$505,CZ$3,実績!$AI$6:$AI$505,"&lt;="&amp;$A245,実績!$AJ$6:$AJ$505,"&gt;"&amp;$A245,実績!$AL$6:$AL$505,"○")&gt;0,1,0))</f>
        <v>0</v>
      </c>
      <c r="DA245" s="39" t="n">
        <f aca="false">IF(DA$4=0,0,IF(COUNTIFS(実績!$W$6:$W$505,DA$3,実績!$AI$6:$AI$505,"&lt;="&amp;$A245,実績!$AJ$6:$AJ$505,"&gt;"&amp;$A245,実績!$AL$6:$AL$505,"○")&gt;0,1,0))</f>
        <v>0</v>
      </c>
      <c r="DB245" s="39" t="n">
        <f aca="false">IF(DB$4=0,0,IF(COUNTIFS(実績!$W$6:$W$505,DB$3,実績!$AI$6:$AI$505,"&lt;="&amp;$A245,実績!$AJ$6:$AJ$505,"&gt;"&amp;$A245,実績!$AL$6:$AL$505,"○")&gt;0,1,0))</f>
        <v>0</v>
      </c>
      <c r="DC245" s="39" t="n">
        <f aca="false">IF(DC$4=0,0,IF(COUNTIFS(実績!$W$6:$W$505,DC$3,実績!$AI$6:$AI$505,"&lt;="&amp;$A245,実績!$AJ$6:$AJ$505,"&gt;"&amp;$A245,実績!$AL$6:$AL$505,"○")&gt;0,1,0))</f>
        <v>0</v>
      </c>
      <c r="DD245" s="39" t="n">
        <f aca="false">IF(DD$4=0,0,IF(COUNTIFS(実績!$W$6:$W$505,DD$3,実績!$AI$6:$AI$505,"&lt;="&amp;$A245,実績!$AJ$6:$AJ$505,"&gt;"&amp;$A245,実績!$AL$6:$AL$505,"○")&gt;0,1,0))</f>
        <v>0</v>
      </c>
      <c r="DE245" s="39" t="n">
        <f aca="false">IF(DE$4=0,0,IF(COUNTIFS(実績!$W$6:$W$505,DE$3,実績!$AI$6:$AI$505,"&lt;="&amp;$A245,実績!$AJ$6:$AJ$505,"&gt;"&amp;$A245,実績!$AL$6:$AL$505,"○")&gt;0,1,0))</f>
        <v>0</v>
      </c>
      <c r="DF245" s="39" t="n">
        <f aca="false">IF(DF$4=0,0,IF(COUNTIFS(実績!$W$6:$W$505,DF$3,実績!$AI$6:$AI$505,"&lt;="&amp;$A245,実績!$AJ$6:$AJ$505,"&gt;"&amp;$A245,実績!$AL$6:$AL$505,"○")&gt;0,1,0))</f>
        <v>0</v>
      </c>
      <c r="DG245" s="39" t="n">
        <f aca="false">IF(DG$4=0,0,IF(COUNTIFS(実績!$W$6:$W$505,DG$3,実績!$AI$6:$AI$505,"&lt;="&amp;$A245,実績!$AJ$6:$AJ$505,"&gt;"&amp;$A245,実績!$AL$6:$AL$505,"○")&gt;0,1,0))</f>
        <v>0</v>
      </c>
      <c r="DH245" s="39" t="n">
        <f aca="false">IF(DH$4=0,0,IF(COUNTIFS(実績!$W$6:$W$505,DH$3,実績!$AI$6:$AI$505,"&lt;="&amp;$A245,実績!$AJ$6:$AJ$505,"&gt;"&amp;$A245,実績!$AL$6:$AL$505,"○")&gt;0,1,0))</f>
        <v>0</v>
      </c>
      <c r="DI245" s="39" t="n">
        <f aca="false">IF(DI$4=0,0,IF(COUNTIFS(実績!$W$6:$W$505,DI$3,実績!$AI$6:$AI$505,"&lt;="&amp;$A245,実績!$AJ$6:$AJ$505,"&gt;"&amp;$A245,実績!$AL$6:$AL$505,"○")&gt;0,1,0))</f>
        <v>0</v>
      </c>
      <c r="DJ245" s="39" t="n">
        <f aca="false">IF(DJ$4=0,0,IF(COUNTIFS(実績!$W$6:$W$505,DJ$3,実績!$AI$6:$AI$505,"&lt;="&amp;$A245,実績!$AJ$6:$AJ$505,"&gt;"&amp;$A245,実績!$AL$6:$AL$505,"○")&gt;0,1,0))</f>
        <v>0</v>
      </c>
      <c r="DK245" s="39" t="n">
        <f aca="false">IF(DK$4=0,0,IF(COUNTIFS(実績!$W$6:$W$505,DK$3,実績!$AI$6:$AI$505,"&lt;="&amp;$A245,実績!$AJ$6:$AJ$505,"&gt;"&amp;$A245,実績!$AL$6:$AL$505,"○")&gt;0,1,0))</f>
        <v>0</v>
      </c>
      <c r="DL245" s="39" t="n">
        <f aca="false">IF(DL$4=0,0,IF(COUNTIFS(実績!$W$6:$W$505,DL$3,実績!$AI$6:$AI$505,"&lt;="&amp;$A245,実績!$AJ$6:$AJ$505,"&gt;"&amp;$A245,実績!$AL$6:$AL$505,"○")&gt;0,1,0))</f>
        <v>0</v>
      </c>
      <c r="DM245" s="39" t="n">
        <f aca="false">IF(DM$4=0,0,IF(COUNTIFS(実績!$W$6:$W$505,DM$3,実績!$AI$6:$AI$505,"&lt;="&amp;$A245,実績!$AJ$6:$AJ$505,"&gt;"&amp;$A245,実績!$AL$6:$AL$505,"○")&gt;0,1,0))</f>
        <v>0</v>
      </c>
      <c r="DN245" s="39" t="n">
        <f aca="false">IF(DN$4=0,0,IF(COUNTIFS(実績!$W$6:$W$505,DN$3,実績!$AI$6:$AI$505,"&lt;="&amp;$A245,実績!$AJ$6:$AJ$505,"&gt;"&amp;$A245,実績!$AL$6:$AL$505,"○")&gt;0,1,0))</f>
        <v>0</v>
      </c>
      <c r="DO245" s="39" t="n">
        <f aca="false">IF(DO$4=0,0,IF(COUNTIFS(実績!$W$6:$W$505,DO$3,実績!$AI$6:$AI$505,"&lt;="&amp;$A245,実績!$AJ$6:$AJ$505,"&gt;"&amp;$A245,実績!$AL$6:$AL$505,"○")&gt;0,1,0))</f>
        <v>0</v>
      </c>
      <c r="DP245" s="39" t="n">
        <f aca="false">IF(DP$4=0,0,IF(COUNTIFS(実績!$W$6:$W$505,DP$3,実績!$AI$6:$AI$505,"&lt;="&amp;$A245,実績!$AJ$6:$AJ$505,"&gt;"&amp;$A245,実績!$AL$6:$AL$505,"○")&gt;0,1,0))</f>
        <v>0</v>
      </c>
      <c r="DQ245" s="39" t="n">
        <f aca="false">IF(DQ$4=0,0,IF(COUNTIFS(実績!$W$6:$W$505,DQ$3,実績!$AI$6:$AI$505,"&lt;="&amp;$A245,実績!$AJ$6:$AJ$505,"&gt;"&amp;$A245,実績!$AL$6:$AL$505,"○")&gt;0,1,0))</f>
        <v>0</v>
      </c>
      <c r="DR245" s="39" t="n">
        <f aca="false">IF(DR$4=0,0,IF(COUNTIFS(実績!$W$6:$W$505,DR$3,実績!$AI$6:$AI$505,"&lt;="&amp;$A245,実績!$AJ$6:$AJ$505,"&gt;"&amp;$A245,実績!$AL$6:$AL$505,"○")&gt;0,1,0))</f>
        <v>0</v>
      </c>
      <c r="DS245" s="39" t="n">
        <f aca="false">SUM(C245:DR245)</f>
        <v>0</v>
      </c>
    </row>
    <row r="246" customFormat="false" ht="15" hidden="false" customHeight="false" outlineLevel="0" collapsed="false">
      <c r="A246" s="0" t="n">
        <v>1200</v>
      </c>
      <c r="B246" s="38" t="n">
        <f aca="false">A246/1440</f>
        <v>0.833333333333333</v>
      </c>
      <c r="C246" s="39" t="n">
        <f aca="false">IF(C$4=0,0,IF(COUNTIFS(実績!$W$6:$W$505,C$3,実績!$AI$6:$AI$505,"&lt;="&amp;$A246,実績!$AJ$6:$AJ$505,"&gt;"&amp;$A246,実績!$AL$6:$AL$505,"○")&gt;0,1,0))</f>
        <v>0</v>
      </c>
      <c r="D246" s="39" t="n">
        <f aca="false">IF(D$4=0,0,IF(COUNTIFS(実績!$W$6:$W$505,D$3,実績!$AI$6:$AI$505,"&lt;="&amp;$A246,実績!$AJ$6:$AJ$505,"&gt;"&amp;$A246,実績!$AL$6:$AL$505,"○")&gt;0,1,0))</f>
        <v>0</v>
      </c>
      <c r="E246" s="39" t="n">
        <f aca="false">IF(E$4=0,0,IF(COUNTIFS(実績!$W$6:$W$505,E$3,実績!$AI$6:$AI$505,"&lt;="&amp;$A246,実績!$AJ$6:$AJ$505,"&gt;"&amp;$A246,実績!$AL$6:$AL$505,"○")&gt;0,1,0))</f>
        <v>0</v>
      </c>
      <c r="F246" s="39" t="n">
        <f aca="false">IF(F$4=0,0,IF(COUNTIFS(実績!$W$6:$W$505,F$3,実績!$AI$6:$AI$505,"&lt;="&amp;$A246,実績!$AJ$6:$AJ$505,"&gt;"&amp;$A246,実績!$AL$6:$AL$505,"○")&gt;0,1,0))</f>
        <v>0</v>
      </c>
      <c r="G246" s="39" t="n">
        <f aca="false">IF(G$4=0,0,IF(COUNTIFS(実績!$W$6:$W$505,G$3,実績!$AI$6:$AI$505,"&lt;="&amp;$A246,実績!$AJ$6:$AJ$505,"&gt;"&amp;$A246,実績!$AL$6:$AL$505,"○")&gt;0,1,0))</f>
        <v>0</v>
      </c>
      <c r="H246" s="39" t="n">
        <f aca="false">IF(H$4=0,0,IF(COUNTIFS(実績!$W$6:$W$505,H$3,実績!$AI$6:$AI$505,"&lt;="&amp;$A246,実績!$AJ$6:$AJ$505,"&gt;"&amp;$A246,実績!$AL$6:$AL$505,"○")&gt;0,1,0))</f>
        <v>0</v>
      </c>
      <c r="I246" s="39" t="n">
        <f aca="false">IF(I$4=0,0,IF(COUNTIFS(実績!$W$6:$W$505,I$3,実績!$AI$6:$AI$505,"&lt;="&amp;$A246,実績!$AJ$6:$AJ$505,"&gt;"&amp;$A246,実績!$AL$6:$AL$505,"○")&gt;0,1,0))</f>
        <v>0</v>
      </c>
      <c r="J246" s="39" t="n">
        <f aca="false">IF(J$4=0,0,IF(COUNTIFS(実績!$W$6:$W$505,J$3,実績!$AI$6:$AI$505,"&lt;="&amp;$A246,実績!$AJ$6:$AJ$505,"&gt;"&amp;$A246,実績!$AL$6:$AL$505,"○")&gt;0,1,0))</f>
        <v>0</v>
      </c>
      <c r="K246" s="39" t="n">
        <f aca="false">IF(K$4=0,0,IF(COUNTIFS(実績!$W$6:$W$505,K$3,実績!$AI$6:$AI$505,"&lt;="&amp;$A246,実績!$AJ$6:$AJ$505,"&gt;"&amp;$A246,実績!$AL$6:$AL$505,"○")&gt;0,1,0))</f>
        <v>0</v>
      </c>
      <c r="L246" s="39" t="n">
        <f aca="false">IF(L$4=0,0,IF(COUNTIFS(実績!$W$6:$W$505,L$3,実績!$AI$6:$AI$505,"&lt;="&amp;$A246,実績!$AJ$6:$AJ$505,"&gt;"&amp;$A246,実績!$AL$6:$AL$505,"○")&gt;0,1,0))</f>
        <v>0</v>
      </c>
      <c r="M246" s="39" t="n">
        <f aca="false">IF(M$4=0,0,IF(COUNTIFS(実績!$W$6:$W$505,M$3,実績!$AI$6:$AI$505,"&lt;="&amp;$A246,実績!$AJ$6:$AJ$505,"&gt;"&amp;$A246,実績!$AL$6:$AL$505,"○")&gt;0,1,0))</f>
        <v>0</v>
      </c>
      <c r="N246" s="39" t="n">
        <f aca="false">IF(N$4=0,0,IF(COUNTIFS(実績!$W$6:$W$505,N$3,実績!$AI$6:$AI$505,"&lt;="&amp;$A246,実績!$AJ$6:$AJ$505,"&gt;"&amp;$A246,実績!$AL$6:$AL$505,"○")&gt;0,1,0))</f>
        <v>0</v>
      </c>
      <c r="O246" s="39" t="n">
        <f aca="false">IF(O$4=0,0,IF(COUNTIFS(実績!$W$6:$W$505,O$3,実績!$AI$6:$AI$505,"&lt;="&amp;$A246,実績!$AJ$6:$AJ$505,"&gt;"&amp;$A246,実績!$AL$6:$AL$505,"○")&gt;0,1,0))</f>
        <v>0</v>
      </c>
      <c r="P246" s="39" t="n">
        <f aca="false">IF(P$4=0,0,IF(COUNTIFS(実績!$W$6:$W$505,P$3,実績!$AI$6:$AI$505,"&lt;="&amp;$A246,実績!$AJ$6:$AJ$505,"&gt;"&amp;$A246,実績!$AL$6:$AL$505,"○")&gt;0,1,0))</f>
        <v>0</v>
      </c>
      <c r="Q246" s="39" t="n">
        <f aca="false">IF(Q$4=0,0,IF(COUNTIFS(実績!$W$6:$W$505,Q$3,実績!$AI$6:$AI$505,"&lt;="&amp;$A246,実績!$AJ$6:$AJ$505,"&gt;"&amp;$A246,実績!$AL$6:$AL$505,"○")&gt;0,1,0))</f>
        <v>0</v>
      </c>
      <c r="R246" s="39" t="n">
        <f aca="false">IF(R$4=0,0,IF(COUNTIFS(実績!$W$6:$W$505,R$3,実績!$AI$6:$AI$505,"&lt;="&amp;$A246,実績!$AJ$6:$AJ$505,"&gt;"&amp;$A246,実績!$AL$6:$AL$505,"○")&gt;0,1,0))</f>
        <v>0</v>
      </c>
      <c r="S246" s="39" t="n">
        <f aca="false">IF(S$4=0,0,IF(COUNTIFS(実績!$W$6:$W$505,S$3,実績!$AI$6:$AI$505,"&lt;="&amp;$A246,実績!$AJ$6:$AJ$505,"&gt;"&amp;$A246,実績!$AL$6:$AL$505,"○")&gt;0,1,0))</f>
        <v>0</v>
      </c>
      <c r="T246" s="39" t="n">
        <f aca="false">IF(T$4=0,0,IF(COUNTIFS(実績!$W$6:$W$505,T$3,実績!$AI$6:$AI$505,"&lt;="&amp;$A246,実績!$AJ$6:$AJ$505,"&gt;"&amp;$A246,実績!$AL$6:$AL$505,"○")&gt;0,1,0))</f>
        <v>0</v>
      </c>
      <c r="U246" s="39" t="n">
        <f aca="false">IF(U$4=0,0,IF(COUNTIFS(実績!$W$6:$W$505,U$3,実績!$AI$6:$AI$505,"&lt;="&amp;$A246,実績!$AJ$6:$AJ$505,"&gt;"&amp;$A246,実績!$AL$6:$AL$505,"○")&gt;0,1,0))</f>
        <v>0</v>
      </c>
      <c r="V246" s="39" t="n">
        <f aca="false">IF(V$4=0,0,IF(COUNTIFS(実績!$W$6:$W$505,V$3,実績!$AI$6:$AI$505,"&lt;="&amp;$A246,実績!$AJ$6:$AJ$505,"&gt;"&amp;$A246,実績!$AL$6:$AL$505,"○")&gt;0,1,0))</f>
        <v>0</v>
      </c>
      <c r="W246" s="39" t="n">
        <f aca="false">IF(W$4=0,0,IF(COUNTIFS(実績!$W$6:$W$505,W$3,実績!$AI$6:$AI$505,"&lt;="&amp;$A246,実績!$AJ$6:$AJ$505,"&gt;"&amp;$A246,実績!$AL$6:$AL$505,"○")&gt;0,1,0))</f>
        <v>0</v>
      </c>
      <c r="X246" s="39" t="n">
        <f aca="false">IF(X$4=0,0,IF(COUNTIFS(実績!$W$6:$W$505,X$3,実績!$AI$6:$AI$505,"&lt;="&amp;$A246,実績!$AJ$6:$AJ$505,"&gt;"&amp;$A246,実績!$AL$6:$AL$505,"○")&gt;0,1,0))</f>
        <v>0</v>
      </c>
      <c r="Y246" s="39" t="n">
        <f aca="false">IF(Y$4=0,0,IF(COUNTIFS(実績!$W$6:$W$505,Y$3,実績!$AI$6:$AI$505,"&lt;="&amp;$A246,実績!$AJ$6:$AJ$505,"&gt;"&amp;$A246,実績!$AL$6:$AL$505,"○")&gt;0,1,0))</f>
        <v>0</v>
      </c>
      <c r="Z246" s="39" t="n">
        <f aca="false">IF(Z$4=0,0,IF(COUNTIFS(実績!$W$6:$W$505,Z$3,実績!$AI$6:$AI$505,"&lt;="&amp;$A246,実績!$AJ$6:$AJ$505,"&gt;"&amp;$A246,実績!$AL$6:$AL$505,"○")&gt;0,1,0))</f>
        <v>0</v>
      </c>
      <c r="AA246" s="39" t="n">
        <f aca="false">IF(AA$4=0,0,IF(COUNTIFS(実績!$W$6:$W$505,AA$3,実績!$AI$6:$AI$505,"&lt;="&amp;$A246,実績!$AJ$6:$AJ$505,"&gt;"&amp;$A246,実績!$AL$6:$AL$505,"○")&gt;0,1,0))</f>
        <v>0</v>
      </c>
      <c r="AB246" s="39" t="n">
        <f aca="false">IF(AB$4=0,0,IF(COUNTIFS(実績!$W$6:$W$505,AB$3,実績!$AI$6:$AI$505,"&lt;="&amp;$A246,実績!$AJ$6:$AJ$505,"&gt;"&amp;$A246,実績!$AL$6:$AL$505,"○")&gt;0,1,0))</f>
        <v>0</v>
      </c>
      <c r="AC246" s="39" t="n">
        <f aca="false">IF(AC$4=0,0,IF(COUNTIFS(実績!$W$6:$W$505,AC$3,実績!$AI$6:$AI$505,"&lt;="&amp;$A246,実績!$AJ$6:$AJ$505,"&gt;"&amp;$A246,実績!$AL$6:$AL$505,"○")&gt;0,1,0))</f>
        <v>0</v>
      </c>
      <c r="AD246" s="39" t="n">
        <f aca="false">IF(AD$4=0,0,IF(COUNTIFS(実績!$W$6:$W$505,AD$3,実績!$AI$6:$AI$505,"&lt;="&amp;$A246,実績!$AJ$6:$AJ$505,"&gt;"&amp;$A246,実績!$AL$6:$AL$505,"○")&gt;0,1,0))</f>
        <v>0</v>
      </c>
      <c r="AE246" s="39" t="n">
        <f aca="false">IF(AE$4=0,0,IF(COUNTIFS(実績!$W$6:$W$505,AE$3,実績!$AI$6:$AI$505,"&lt;="&amp;$A246,実績!$AJ$6:$AJ$505,"&gt;"&amp;$A246,実績!$AL$6:$AL$505,"○")&gt;0,1,0))</f>
        <v>0</v>
      </c>
      <c r="AF246" s="39" t="n">
        <f aca="false">IF(AF$4=0,0,IF(COUNTIFS(実績!$W$6:$W$505,AF$3,実績!$AI$6:$AI$505,"&lt;="&amp;$A246,実績!$AJ$6:$AJ$505,"&gt;"&amp;$A246,実績!$AL$6:$AL$505,"○")&gt;0,1,0))</f>
        <v>0</v>
      </c>
      <c r="AG246" s="39" t="n">
        <f aca="false">IF(AG$4=0,0,IF(COUNTIFS(実績!$W$6:$W$505,AG$3,実績!$AI$6:$AI$505,"&lt;="&amp;$A246,実績!$AJ$6:$AJ$505,"&gt;"&amp;$A246,実績!$AL$6:$AL$505,"○")&gt;0,1,0))</f>
        <v>0</v>
      </c>
      <c r="AH246" s="39" t="n">
        <f aca="false">IF(AH$4=0,0,IF(COUNTIFS(実績!$W$6:$W$505,AH$3,実績!$AI$6:$AI$505,"&lt;="&amp;$A246,実績!$AJ$6:$AJ$505,"&gt;"&amp;$A246,実績!$AL$6:$AL$505,"○")&gt;0,1,0))</f>
        <v>0</v>
      </c>
      <c r="AI246" s="39" t="n">
        <f aca="false">IF(AI$4=0,0,IF(COUNTIFS(実績!$W$6:$W$505,AI$3,実績!$AI$6:$AI$505,"&lt;="&amp;$A246,実績!$AJ$6:$AJ$505,"&gt;"&amp;$A246,実績!$AL$6:$AL$505,"○")&gt;0,1,0))</f>
        <v>0</v>
      </c>
      <c r="AJ246" s="39" t="n">
        <f aca="false">IF(AJ$4=0,0,IF(COUNTIFS(実績!$W$6:$W$505,AJ$3,実績!$AI$6:$AI$505,"&lt;="&amp;$A246,実績!$AJ$6:$AJ$505,"&gt;"&amp;$A246,実績!$AL$6:$AL$505,"○")&gt;0,1,0))</f>
        <v>0</v>
      </c>
      <c r="AK246" s="39" t="n">
        <f aca="false">IF(AK$4=0,0,IF(COUNTIFS(実績!$W$6:$W$505,AK$3,実績!$AI$6:$AI$505,"&lt;="&amp;$A246,実績!$AJ$6:$AJ$505,"&gt;"&amp;$A246,実績!$AL$6:$AL$505,"○")&gt;0,1,0))</f>
        <v>0</v>
      </c>
      <c r="AL246" s="39" t="n">
        <f aca="false">IF(AL$4=0,0,IF(COUNTIFS(実績!$W$6:$W$505,AL$3,実績!$AI$6:$AI$505,"&lt;="&amp;$A246,実績!$AJ$6:$AJ$505,"&gt;"&amp;$A246,実績!$AL$6:$AL$505,"○")&gt;0,1,0))</f>
        <v>0</v>
      </c>
      <c r="AM246" s="39" t="n">
        <f aca="false">IF(AM$4=0,0,IF(COUNTIFS(実績!$W$6:$W$505,AM$3,実績!$AI$6:$AI$505,"&lt;="&amp;$A246,実績!$AJ$6:$AJ$505,"&gt;"&amp;$A246,実績!$AL$6:$AL$505,"○")&gt;0,1,0))</f>
        <v>0</v>
      </c>
      <c r="AN246" s="39" t="n">
        <f aca="false">IF(AN$4=0,0,IF(COUNTIFS(実績!$W$6:$W$505,AN$3,実績!$AI$6:$AI$505,"&lt;="&amp;$A246,実績!$AJ$6:$AJ$505,"&gt;"&amp;$A246,実績!$AL$6:$AL$505,"○")&gt;0,1,0))</f>
        <v>0</v>
      </c>
      <c r="AO246" s="39" t="n">
        <f aca="false">IF(AO$4=0,0,IF(COUNTIFS(実績!$W$6:$W$505,AO$3,実績!$AI$6:$AI$505,"&lt;="&amp;$A246,実績!$AJ$6:$AJ$505,"&gt;"&amp;$A246,実績!$AL$6:$AL$505,"○")&gt;0,1,0))</f>
        <v>0</v>
      </c>
      <c r="AP246" s="39" t="n">
        <f aca="false">IF(AP$4=0,0,IF(COUNTIFS(実績!$W$6:$W$505,AP$3,実績!$AI$6:$AI$505,"&lt;="&amp;$A246,実績!$AJ$6:$AJ$505,"&gt;"&amp;$A246,実績!$AL$6:$AL$505,"○")&gt;0,1,0))</f>
        <v>0</v>
      </c>
      <c r="AQ246" s="39" t="n">
        <f aca="false">IF(AQ$4=0,0,IF(COUNTIFS(実績!$W$6:$W$505,AQ$3,実績!$AI$6:$AI$505,"&lt;="&amp;$A246,実績!$AJ$6:$AJ$505,"&gt;"&amp;$A246,実績!$AL$6:$AL$505,"○")&gt;0,1,0))</f>
        <v>0</v>
      </c>
      <c r="AR246" s="39" t="n">
        <f aca="false">IF(AR$4=0,0,IF(COUNTIFS(実績!$W$6:$W$505,AR$3,実績!$AI$6:$AI$505,"&lt;="&amp;$A246,実績!$AJ$6:$AJ$505,"&gt;"&amp;$A246,実績!$AL$6:$AL$505,"○")&gt;0,1,0))</f>
        <v>0</v>
      </c>
      <c r="AS246" s="39" t="n">
        <f aca="false">IF(AS$4=0,0,IF(COUNTIFS(実績!$W$6:$W$505,AS$3,実績!$AI$6:$AI$505,"&lt;="&amp;$A246,実績!$AJ$6:$AJ$505,"&gt;"&amp;$A246,実績!$AL$6:$AL$505,"○")&gt;0,1,0))</f>
        <v>0</v>
      </c>
      <c r="AT246" s="39" t="n">
        <f aca="false">IF(AT$4=0,0,IF(COUNTIFS(実績!$W$6:$W$505,AT$3,実績!$AI$6:$AI$505,"&lt;="&amp;$A246,実績!$AJ$6:$AJ$505,"&gt;"&amp;$A246,実績!$AL$6:$AL$505,"○")&gt;0,1,0))</f>
        <v>0</v>
      </c>
      <c r="AU246" s="39" t="n">
        <f aca="false">IF(AU$4=0,0,IF(COUNTIFS(実績!$W$6:$W$505,AU$3,実績!$AI$6:$AI$505,"&lt;="&amp;$A246,実績!$AJ$6:$AJ$505,"&gt;"&amp;$A246,実績!$AL$6:$AL$505,"○")&gt;0,1,0))</f>
        <v>0</v>
      </c>
      <c r="AV246" s="39" t="n">
        <f aca="false">IF(AV$4=0,0,IF(COUNTIFS(実績!$W$6:$W$505,AV$3,実績!$AI$6:$AI$505,"&lt;="&amp;$A246,実績!$AJ$6:$AJ$505,"&gt;"&amp;$A246,実績!$AL$6:$AL$505,"○")&gt;0,1,0))</f>
        <v>0</v>
      </c>
      <c r="AW246" s="39" t="n">
        <f aca="false">IF(AW$4=0,0,IF(COUNTIFS(実績!$W$6:$W$505,AW$3,実績!$AI$6:$AI$505,"&lt;="&amp;$A246,実績!$AJ$6:$AJ$505,"&gt;"&amp;$A246,実績!$AL$6:$AL$505,"○")&gt;0,1,0))</f>
        <v>0</v>
      </c>
      <c r="AX246" s="39" t="n">
        <f aca="false">IF(AX$4=0,0,IF(COUNTIFS(実績!$W$6:$W$505,AX$3,実績!$AI$6:$AI$505,"&lt;="&amp;$A246,実績!$AJ$6:$AJ$505,"&gt;"&amp;$A246,実績!$AL$6:$AL$505,"○")&gt;0,1,0))</f>
        <v>0</v>
      </c>
      <c r="AY246" s="39" t="n">
        <f aca="false">IF(AY$4=0,0,IF(COUNTIFS(実績!$W$6:$W$505,AY$3,実績!$AI$6:$AI$505,"&lt;="&amp;$A246,実績!$AJ$6:$AJ$505,"&gt;"&amp;$A246,実績!$AL$6:$AL$505,"○")&gt;0,1,0))</f>
        <v>0</v>
      </c>
      <c r="AZ246" s="39" t="n">
        <f aca="false">IF(AZ$4=0,0,IF(COUNTIFS(実績!$W$6:$W$505,AZ$3,実績!$AI$6:$AI$505,"&lt;="&amp;$A246,実績!$AJ$6:$AJ$505,"&gt;"&amp;$A246,実績!$AL$6:$AL$505,"○")&gt;0,1,0))</f>
        <v>0</v>
      </c>
      <c r="BA246" s="39" t="n">
        <f aca="false">IF(BA$4=0,0,IF(COUNTIFS(実績!$W$6:$W$505,BA$3,実績!$AI$6:$AI$505,"&lt;="&amp;$A246,実績!$AJ$6:$AJ$505,"&gt;"&amp;$A246,実績!$AL$6:$AL$505,"○")&gt;0,1,0))</f>
        <v>0</v>
      </c>
      <c r="BB246" s="39" t="n">
        <f aca="false">IF(BB$4=0,0,IF(COUNTIFS(実績!$W$6:$W$505,BB$3,実績!$AI$6:$AI$505,"&lt;="&amp;$A246,実績!$AJ$6:$AJ$505,"&gt;"&amp;$A246,実績!$AL$6:$AL$505,"○")&gt;0,1,0))</f>
        <v>0</v>
      </c>
      <c r="BC246" s="39" t="n">
        <f aca="false">IF(BC$4=0,0,IF(COUNTIFS(実績!$W$6:$W$505,BC$3,実績!$AI$6:$AI$505,"&lt;="&amp;$A246,実績!$AJ$6:$AJ$505,"&gt;"&amp;$A246,実績!$AL$6:$AL$505,"○")&gt;0,1,0))</f>
        <v>0</v>
      </c>
      <c r="BD246" s="39" t="n">
        <f aca="false">IF(BD$4=0,0,IF(COUNTIFS(実績!$W$6:$W$505,BD$3,実績!$AI$6:$AI$505,"&lt;="&amp;$A246,実績!$AJ$6:$AJ$505,"&gt;"&amp;$A246,実績!$AL$6:$AL$505,"○")&gt;0,1,0))</f>
        <v>0</v>
      </c>
      <c r="BE246" s="39" t="n">
        <f aca="false">IF(BE$4=0,0,IF(COUNTIFS(実績!$W$6:$W$505,BE$3,実績!$AI$6:$AI$505,"&lt;="&amp;$A246,実績!$AJ$6:$AJ$505,"&gt;"&amp;$A246,実績!$AL$6:$AL$505,"○")&gt;0,1,0))</f>
        <v>0</v>
      </c>
      <c r="BF246" s="39" t="n">
        <f aca="false">IF(BF$4=0,0,IF(COUNTIFS(実績!$W$6:$W$505,BF$3,実績!$AI$6:$AI$505,"&lt;="&amp;$A246,実績!$AJ$6:$AJ$505,"&gt;"&amp;$A246,実績!$AL$6:$AL$505,"○")&gt;0,1,0))</f>
        <v>0</v>
      </c>
      <c r="BG246" s="39" t="n">
        <f aca="false">IF(BG$4=0,0,IF(COUNTIFS(実績!$W$6:$W$505,BG$3,実績!$AI$6:$AI$505,"&lt;="&amp;$A246,実績!$AJ$6:$AJ$505,"&gt;"&amp;$A246,実績!$AL$6:$AL$505,"○")&gt;0,1,0))</f>
        <v>0</v>
      </c>
      <c r="BH246" s="39" t="n">
        <f aca="false">IF(BH$4=0,0,IF(COUNTIFS(実績!$W$6:$W$505,BH$3,実績!$AI$6:$AI$505,"&lt;="&amp;$A246,実績!$AJ$6:$AJ$505,"&gt;"&amp;$A246,実績!$AL$6:$AL$505,"○")&gt;0,1,0))</f>
        <v>0</v>
      </c>
      <c r="BI246" s="39" t="n">
        <f aca="false">IF(BI$4=0,0,IF(COUNTIFS(実績!$W$6:$W$505,BI$3,実績!$AI$6:$AI$505,"&lt;="&amp;$A246,実績!$AJ$6:$AJ$505,"&gt;"&amp;$A246,実績!$AL$6:$AL$505,"○")&gt;0,1,0))</f>
        <v>0</v>
      </c>
      <c r="BJ246" s="39" t="n">
        <f aca="false">IF(BJ$4=0,0,IF(COUNTIFS(実績!$W$6:$W$505,BJ$3,実績!$AI$6:$AI$505,"&lt;="&amp;$A246,実績!$AJ$6:$AJ$505,"&gt;"&amp;$A246,実績!$AL$6:$AL$505,"○")&gt;0,1,0))</f>
        <v>0</v>
      </c>
      <c r="BK246" s="39" t="n">
        <f aca="false">IF(BK$4=0,0,IF(COUNTIFS(実績!$W$6:$W$505,BK$3,実績!$AI$6:$AI$505,"&lt;="&amp;$A246,実績!$AJ$6:$AJ$505,"&gt;"&amp;$A246,実績!$AL$6:$AL$505,"○")&gt;0,1,0))</f>
        <v>0</v>
      </c>
      <c r="BL246" s="39" t="n">
        <f aca="false">IF(BL$4=0,0,IF(COUNTIFS(実績!$W$6:$W$505,BL$3,実績!$AI$6:$AI$505,"&lt;="&amp;$A246,実績!$AJ$6:$AJ$505,"&gt;"&amp;$A246,実績!$AL$6:$AL$505,"○")&gt;0,1,0))</f>
        <v>0</v>
      </c>
      <c r="BM246" s="39" t="n">
        <f aca="false">IF(BM$4=0,0,IF(COUNTIFS(実績!$W$6:$W$505,BM$3,実績!$AI$6:$AI$505,"&lt;="&amp;$A246,実績!$AJ$6:$AJ$505,"&gt;"&amp;$A246,実績!$AL$6:$AL$505,"○")&gt;0,1,0))</f>
        <v>0</v>
      </c>
      <c r="BN246" s="39" t="n">
        <f aca="false">IF(BN$4=0,0,IF(COUNTIFS(実績!$W$6:$W$505,BN$3,実績!$AI$6:$AI$505,"&lt;="&amp;$A246,実績!$AJ$6:$AJ$505,"&gt;"&amp;$A246,実績!$AL$6:$AL$505,"○")&gt;0,1,0))</f>
        <v>0</v>
      </c>
      <c r="BO246" s="39" t="n">
        <f aca="false">IF(BO$4=0,0,IF(COUNTIFS(実績!$W$6:$W$505,BO$3,実績!$AI$6:$AI$505,"&lt;="&amp;$A246,実績!$AJ$6:$AJ$505,"&gt;"&amp;$A246,実績!$AL$6:$AL$505,"○")&gt;0,1,0))</f>
        <v>0</v>
      </c>
      <c r="BP246" s="39" t="n">
        <f aca="false">IF(BP$4=0,0,IF(COUNTIFS(実績!$W$6:$W$505,BP$3,実績!$AI$6:$AI$505,"&lt;="&amp;$A246,実績!$AJ$6:$AJ$505,"&gt;"&amp;$A246,実績!$AL$6:$AL$505,"○")&gt;0,1,0))</f>
        <v>0</v>
      </c>
      <c r="BQ246" s="39" t="n">
        <f aca="false">IF(BQ$4=0,0,IF(COUNTIFS(実績!$W$6:$W$505,BQ$3,実績!$AI$6:$AI$505,"&lt;="&amp;$A246,実績!$AJ$6:$AJ$505,"&gt;"&amp;$A246,実績!$AL$6:$AL$505,"○")&gt;0,1,0))</f>
        <v>0</v>
      </c>
      <c r="BR246" s="39" t="n">
        <f aca="false">IF(BR$4=0,0,IF(COUNTIFS(実績!$W$6:$W$505,BR$3,実績!$AI$6:$AI$505,"&lt;="&amp;$A246,実績!$AJ$6:$AJ$505,"&gt;"&amp;$A246,実績!$AL$6:$AL$505,"○")&gt;0,1,0))</f>
        <v>0</v>
      </c>
      <c r="BS246" s="39" t="n">
        <f aca="false">IF(BS$4=0,0,IF(COUNTIFS(実績!$W$6:$W$505,BS$3,実績!$AI$6:$AI$505,"&lt;="&amp;$A246,実績!$AJ$6:$AJ$505,"&gt;"&amp;$A246,実績!$AL$6:$AL$505,"○")&gt;0,1,0))</f>
        <v>0</v>
      </c>
      <c r="BT246" s="39" t="n">
        <f aca="false">IF(BT$4=0,0,IF(COUNTIFS(実績!$W$6:$W$505,BT$3,実績!$AI$6:$AI$505,"&lt;="&amp;$A246,実績!$AJ$6:$AJ$505,"&gt;"&amp;$A246,実績!$AL$6:$AL$505,"○")&gt;0,1,0))</f>
        <v>0</v>
      </c>
      <c r="BU246" s="39" t="n">
        <f aca="false">IF(BU$4=0,0,IF(COUNTIFS(実績!$W$6:$W$505,BU$3,実績!$AI$6:$AI$505,"&lt;="&amp;$A246,実績!$AJ$6:$AJ$505,"&gt;"&amp;$A246,実績!$AL$6:$AL$505,"○")&gt;0,1,0))</f>
        <v>0</v>
      </c>
      <c r="BV246" s="39" t="n">
        <f aca="false">IF(BV$4=0,0,IF(COUNTIFS(実績!$W$6:$W$505,BV$3,実績!$AI$6:$AI$505,"&lt;="&amp;$A246,実績!$AJ$6:$AJ$505,"&gt;"&amp;$A246,実績!$AL$6:$AL$505,"○")&gt;0,1,0))</f>
        <v>0</v>
      </c>
      <c r="BW246" s="39" t="n">
        <f aca="false">IF(BW$4=0,0,IF(COUNTIFS(実績!$W$6:$W$505,BW$3,実績!$AI$6:$AI$505,"&lt;="&amp;$A246,実績!$AJ$6:$AJ$505,"&gt;"&amp;$A246,実績!$AL$6:$AL$505,"○")&gt;0,1,0))</f>
        <v>0</v>
      </c>
      <c r="BX246" s="39" t="n">
        <f aca="false">IF(BX$4=0,0,IF(COUNTIFS(実績!$W$6:$W$505,BX$3,実績!$AI$6:$AI$505,"&lt;="&amp;$A246,実績!$AJ$6:$AJ$505,"&gt;"&amp;$A246,実績!$AL$6:$AL$505,"○")&gt;0,1,0))</f>
        <v>0</v>
      </c>
      <c r="BY246" s="39" t="n">
        <f aca="false">IF(BY$4=0,0,IF(COUNTIFS(実績!$W$6:$W$505,BY$3,実績!$AI$6:$AI$505,"&lt;="&amp;$A246,実績!$AJ$6:$AJ$505,"&gt;"&amp;$A246,実績!$AL$6:$AL$505,"○")&gt;0,1,0))</f>
        <v>0</v>
      </c>
      <c r="BZ246" s="39" t="n">
        <f aca="false">IF(BZ$4=0,0,IF(COUNTIFS(実績!$W$6:$W$505,BZ$3,実績!$AI$6:$AI$505,"&lt;="&amp;$A246,実績!$AJ$6:$AJ$505,"&gt;"&amp;$A246,実績!$AL$6:$AL$505,"○")&gt;0,1,0))</f>
        <v>0</v>
      </c>
      <c r="CA246" s="39" t="n">
        <f aca="false">IF(CA$4=0,0,IF(COUNTIFS(実績!$W$6:$W$505,CA$3,実績!$AI$6:$AI$505,"&lt;="&amp;$A246,実績!$AJ$6:$AJ$505,"&gt;"&amp;$A246,実績!$AL$6:$AL$505,"○")&gt;0,1,0))</f>
        <v>0</v>
      </c>
      <c r="CB246" s="39" t="n">
        <f aca="false">IF(CB$4=0,0,IF(COUNTIFS(実績!$W$6:$W$505,CB$3,実績!$AI$6:$AI$505,"&lt;="&amp;$A246,実績!$AJ$6:$AJ$505,"&gt;"&amp;$A246,実績!$AL$6:$AL$505,"○")&gt;0,1,0))</f>
        <v>0</v>
      </c>
      <c r="CC246" s="39" t="n">
        <f aca="false">IF(CC$4=0,0,IF(COUNTIFS(実績!$W$6:$W$505,CC$3,実績!$AI$6:$AI$505,"&lt;="&amp;$A246,実績!$AJ$6:$AJ$505,"&gt;"&amp;$A246,実績!$AL$6:$AL$505,"○")&gt;0,1,0))</f>
        <v>0</v>
      </c>
      <c r="CD246" s="39" t="n">
        <f aca="false">IF(CD$4=0,0,IF(COUNTIFS(実績!$W$6:$W$505,CD$3,実績!$AI$6:$AI$505,"&lt;="&amp;$A246,実績!$AJ$6:$AJ$505,"&gt;"&amp;$A246,実績!$AL$6:$AL$505,"○")&gt;0,1,0))</f>
        <v>0</v>
      </c>
      <c r="CE246" s="39" t="n">
        <f aca="false">IF(CE$4=0,0,IF(COUNTIFS(実績!$W$6:$W$505,CE$3,実績!$AI$6:$AI$505,"&lt;="&amp;$A246,実績!$AJ$6:$AJ$505,"&gt;"&amp;$A246,実績!$AL$6:$AL$505,"○")&gt;0,1,0))</f>
        <v>0</v>
      </c>
      <c r="CF246" s="39" t="n">
        <f aca="false">IF(CF$4=0,0,IF(COUNTIFS(実績!$W$6:$W$505,CF$3,実績!$AI$6:$AI$505,"&lt;="&amp;$A246,実績!$AJ$6:$AJ$505,"&gt;"&amp;$A246,実績!$AL$6:$AL$505,"○")&gt;0,1,0))</f>
        <v>0</v>
      </c>
      <c r="CG246" s="39" t="n">
        <f aca="false">IF(CG$4=0,0,IF(COUNTIFS(実績!$W$6:$W$505,CG$3,実績!$AI$6:$AI$505,"&lt;="&amp;$A246,実績!$AJ$6:$AJ$505,"&gt;"&amp;$A246,実績!$AL$6:$AL$505,"○")&gt;0,1,0))</f>
        <v>0</v>
      </c>
      <c r="CH246" s="39" t="n">
        <f aca="false">IF(CH$4=0,0,IF(COUNTIFS(実績!$W$6:$W$505,CH$3,実績!$AI$6:$AI$505,"&lt;="&amp;$A246,実績!$AJ$6:$AJ$505,"&gt;"&amp;$A246,実績!$AL$6:$AL$505,"○")&gt;0,1,0))</f>
        <v>0</v>
      </c>
      <c r="CI246" s="39" t="n">
        <f aca="false">IF(CI$4=0,0,IF(COUNTIFS(実績!$W$6:$W$505,CI$3,実績!$AI$6:$AI$505,"&lt;="&amp;$A246,実績!$AJ$6:$AJ$505,"&gt;"&amp;$A246,実績!$AL$6:$AL$505,"○")&gt;0,1,0))</f>
        <v>0</v>
      </c>
      <c r="CJ246" s="39" t="n">
        <f aca="false">IF(CJ$4=0,0,IF(COUNTIFS(実績!$W$6:$W$505,CJ$3,実績!$AI$6:$AI$505,"&lt;="&amp;$A246,実績!$AJ$6:$AJ$505,"&gt;"&amp;$A246,実績!$AL$6:$AL$505,"○")&gt;0,1,0))</f>
        <v>0</v>
      </c>
      <c r="CK246" s="39" t="n">
        <f aca="false">IF(CK$4=0,0,IF(COUNTIFS(実績!$W$6:$W$505,CK$3,実績!$AI$6:$AI$505,"&lt;="&amp;$A246,実績!$AJ$6:$AJ$505,"&gt;"&amp;$A246,実績!$AL$6:$AL$505,"○")&gt;0,1,0))</f>
        <v>0</v>
      </c>
      <c r="CL246" s="39" t="n">
        <f aca="false">IF(CL$4=0,0,IF(COUNTIFS(実績!$W$6:$W$505,CL$3,実績!$AI$6:$AI$505,"&lt;="&amp;$A246,実績!$AJ$6:$AJ$505,"&gt;"&amp;$A246,実績!$AL$6:$AL$505,"○")&gt;0,1,0))</f>
        <v>0</v>
      </c>
      <c r="CM246" s="39" t="n">
        <f aca="false">IF(CM$4=0,0,IF(COUNTIFS(実績!$W$6:$W$505,CM$3,実績!$AI$6:$AI$505,"&lt;="&amp;$A246,実績!$AJ$6:$AJ$505,"&gt;"&amp;$A246,実績!$AL$6:$AL$505,"○")&gt;0,1,0))</f>
        <v>0</v>
      </c>
      <c r="CN246" s="39" t="n">
        <f aca="false">IF(CN$4=0,0,IF(COUNTIFS(実績!$W$6:$W$505,CN$3,実績!$AI$6:$AI$505,"&lt;="&amp;$A246,実績!$AJ$6:$AJ$505,"&gt;"&amp;$A246,実績!$AL$6:$AL$505,"○")&gt;0,1,0))</f>
        <v>0</v>
      </c>
      <c r="CO246" s="39" t="n">
        <f aca="false">IF(CO$4=0,0,IF(COUNTIFS(実績!$W$6:$W$505,CO$3,実績!$AI$6:$AI$505,"&lt;="&amp;$A246,実績!$AJ$6:$AJ$505,"&gt;"&amp;$A246,実績!$AL$6:$AL$505,"○")&gt;0,1,0))</f>
        <v>0</v>
      </c>
      <c r="CP246" s="39" t="n">
        <f aca="false">IF(CP$4=0,0,IF(COUNTIFS(実績!$W$6:$W$505,CP$3,実績!$AI$6:$AI$505,"&lt;="&amp;$A246,実績!$AJ$6:$AJ$505,"&gt;"&amp;$A246,実績!$AL$6:$AL$505,"○")&gt;0,1,0))</f>
        <v>0</v>
      </c>
      <c r="CQ246" s="39" t="n">
        <f aca="false">IF(CQ$4=0,0,IF(COUNTIFS(実績!$W$6:$W$505,CQ$3,実績!$AI$6:$AI$505,"&lt;="&amp;$A246,実績!$AJ$6:$AJ$505,"&gt;"&amp;$A246,実績!$AL$6:$AL$505,"○")&gt;0,1,0))</f>
        <v>0</v>
      </c>
      <c r="CR246" s="39" t="n">
        <f aca="false">IF(CR$4=0,0,IF(COUNTIFS(実績!$W$6:$W$505,CR$3,実績!$AI$6:$AI$505,"&lt;="&amp;$A246,実績!$AJ$6:$AJ$505,"&gt;"&amp;$A246,実績!$AL$6:$AL$505,"○")&gt;0,1,0))</f>
        <v>0</v>
      </c>
      <c r="CS246" s="39" t="n">
        <f aca="false">IF(CS$4=0,0,IF(COUNTIFS(実績!$W$6:$W$505,CS$3,実績!$AI$6:$AI$505,"&lt;="&amp;$A246,実績!$AJ$6:$AJ$505,"&gt;"&amp;$A246,実績!$AL$6:$AL$505,"○")&gt;0,1,0))</f>
        <v>0</v>
      </c>
      <c r="CT246" s="39" t="n">
        <f aca="false">IF(CT$4=0,0,IF(COUNTIFS(実績!$W$6:$W$505,CT$3,実績!$AI$6:$AI$505,"&lt;="&amp;$A246,実績!$AJ$6:$AJ$505,"&gt;"&amp;$A246,実績!$AL$6:$AL$505,"○")&gt;0,1,0))</f>
        <v>0</v>
      </c>
      <c r="CU246" s="39" t="n">
        <f aca="false">IF(CU$4=0,0,IF(COUNTIFS(実績!$W$6:$W$505,CU$3,実績!$AI$6:$AI$505,"&lt;="&amp;$A246,実績!$AJ$6:$AJ$505,"&gt;"&amp;$A246,実績!$AL$6:$AL$505,"○")&gt;0,1,0))</f>
        <v>0</v>
      </c>
      <c r="CV246" s="39" t="n">
        <f aca="false">IF(CV$4=0,0,IF(COUNTIFS(実績!$W$6:$W$505,CV$3,実績!$AI$6:$AI$505,"&lt;="&amp;$A246,実績!$AJ$6:$AJ$505,"&gt;"&amp;$A246,実績!$AL$6:$AL$505,"○")&gt;0,1,0))</f>
        <v>0</v>
      </c>
      <c r="CW246" s="39" t="n">
        <f aca="false">IF(CW$4=0,0,IF(COUNTIFS(実績!$W$6:$W$505,CW$3,実績!$AI$6:$AI$505,"&lt;="&amp;$A246,実績!$AJ$6:$AJ$505,"&gt;"&amp;$A246,実績!$AL$6:$AL$505,"○")&gt;0,1,0))</f>
        <v>0</v>
      </c>
      <c r="CX246" s="39" t="n">
        <f aca="false">IF(CX$4=0,0,IF(COUNTIFS(実績!$W$6:$W$505,CX$3,実績!$AI$6:$AI$505,"&lt;="&amp;$A246,実績!$AJ$6:$AJ$505,"&gt;"&amp;$A246,実績!$AL$6:$AL$505,"○")&gt;0,1,0))</f>
        <v>0</v>
      </c>
      <c r="CY246" s="39" t="n">
        <f aca="false">IF(CY$4=0,0,IF(COUNTIFS(実績!$W$6:$W$505,CY$3,実績!$AI$6:$AI$505,"&lt;="&amp;$A246,実績!$AJ$6:$AJ$505,"&gt;"&amp;$A246,実績!$AL$6:$AL$505,"○")&gt;0,1,0))</f>
        <v>0</v>
      </c>
      <c r="CZ246" s="39" t="n">
        <f aca="false">IF(CZ$4=0,0,IF(COUNTIFS(実績!$W$6:$W$505,CZ$3,実績!$AI$6:$AI$505,"&lt;="&amp;$A246,実績!$AJ$6:$AJ$505,"&gt;"&amp;$A246,実績!$AL$6:$AL$505,"○")&gt;0,1,0))</f>
        <v>0</v>
      </c>
      <c r="DA246" s="39" t="n">
        <f aca="false">IF(DA$4=0,0,IF(COUNTIFS(実績!$W$6:$W$505,DA$3,実績!$AI$6:$AI$505,"&lt;="&amp;$A246,実績!$AJ$6:$AJ$505,"&gt;"&amp;$A246,実績!$AL$6:$AL$505,"○")&gt;0,1,0))</f>
        <v>0</v>
      </c>
      <c r="DB246" s="39" t="n">
        <f aca="false">IF(DB$4=0,0,IF(COUNTIFS(実績!$W$6:$W$505,DB$3,実績!$AI$6:$AI$505,"&lt;="&amp;$A246,実績!$AJ$6:$AJ$505,"&gt;"&amp;$A246,実績!$AL$6:$AL$505,"○")&gt;0,1,0))</f>
        <v>0</v>
      </c>
      <c r="DC246" s="39" t="n">
        <f aca="false">IF(DC$4=0,0,IF(COUNTIFS(実績!$W$6:$W$505,DC$3,実績!$AI$6:$AI$505,"&lt;="&amp;$A246,実績!$AJ$6:$AJ$505,"&gt;"&amp;$A246,実績!$AL$6:$AL$505,"○")&gt;0,1,0))</f>
        <v>0</v>
      </c>
      <c r="DD246" s="39" t="n">
        <f aca="false">IF(DD$4=0,0,IF(COUNTIFS(実績!$W$6:$W$505,DD$3,実績!$AI$6:$AI$505,"&lt;="&amp;$A246,実績!$AJ$6:$AJ$505,"&gt;"&amp;$A246,実績!$AL$6:$AL$505,"○")&gt;0,1,0))</f>
        <v>0</v>
      </c>
      <c r="DE246" s="39" t="n">
        <f aca="false">IF(DE$4=0,0,IF(COUNTIFS(実績!$W$6:$W$505,DE$3,実績!$AI$6:$AI$505,"&lt;="&amp;$A246,実績!$AJ$6:$AJ$505,"&gt;"&amp;$A246,実績!$AL$6:$AL$505,"○")&gt;0,1,0))</f>
        <v>0</v>
      </c>
      <c r="DF246" s="39" t="n">
        <f aca="false">IF(DF$4=0,0,IF(COUNTIFS(実績!$W$6:$W$505,DF$3,実績!$AI$6:$AI$505,"&lt;="&amp;$A246,実績!$AJ$6:$AJ$505,"&gt;"&amp;$A246,実績!$AL$6:$AL$505,"○")&gt;0,1,0))</f>
        <v>0</v>
      </c>
      <c r="DG246" s="39" t="n">
        <f aca="false">IF(DG$4=0,0,IF(COUNTIFS(実績!$W$6:$W$505,DG$3,実績!$AI$6:$AI$505,"&lt;="&amp;$A246,実績!$AJ$6:$AJ$505,"&gt;"&amp;$A246,実績!$AL$6:$AL$505,"○")&gt;0,1,0))</f>
        <v>0</v>
      </c>
      <c r="DH246" s="39" t="n">
        <f aca="false">IF(DH$4=0,0,IF(COUNTIFS(実績!$W$6:$W$505,DH$3,実績!$AI$6:$AI$505,"&lt;="&amp;$A246,実績!$AJ$6:$AJ$505,"&gt;"&amp;$A246,実績!$AL$6:$AL$505,"○")&gt;0,1,0))</f>
        <v>0</v>
      </c>
      <c r="DI246" s="39" t="n">
        <f aca="false">IF(DI$4=0,0,IF(COUNTIFS(実績!$W$6:$W$505,DI$3,実績!$AI$6:$AI$505,"&lt;="&amp;$A246,実績!$AJ$6:$AJ$505,"&gt;"&amp;$A246,実績!$AL$6:$AL$505,"○")&gt;0,1,0))</f>
        <v>0</v>
      </c>
      <c r="DJ246" s="39" t="n">
        <f aca="false">IF(DJ$4=0,0,IF(COUNTIFS(実績!$W$6:$W$505,DJ$3,実績!$AI$6:$AI$505,"&lt;="&amp;$A246,実績!$AJ$6:$AJ$505,"&gt;"&amp;$A246,実績!$AL$6:$AL$505,"○")&gt;0,1,0))</f>
        <v>0</v>
      </c>
      <c r="DK246" s="39" t="n">
        <f aca="false">IF(DK$4=0,0,IF(COUNTIFS(実績!$W$6:$W$505,DK$3,実績!$AI$6:$AI$505,"&lt;="&amp;$A246,実績!$AJ$6:$AJ$505,"&gt;"&amp;$A246,実績!$AL$6:$AL$505,"○")&gt;0,1,0))</f>
        <v>0</v>
      </c>
      <c r="DL246" s="39" t="n">
        <f aca="false">IF(DL$4=0,0,IF(COUNTIFS(実績!$W$6:$W$505,DL$3,実績!$AI$6:$AI$505,"&lt;="&amp;$A246,実績!$AJ$6:$AJ$505,"&gt;"&amp;$A246,実績!$AL$6:$AL$505,"○")&gt;0,1,0))</f>
        <v>0</v>
      </c>
      <c r="DM246" s="39" t="n">
        <f aca="false">IF(DM$4=0,0,IF(COUNTIFS(実績!$W$6:$W$505,DM$3,実績!$AI$6:$AI$505,"&lt;="&amp;$A246,実績!$AJ$6:$AJ$505,"&gt;"&amp;$A246,実績!$AL$6:$AL$505,"○")&gt;0,1,0))</f>
        <v>0</v>
      </c>
      <c r="DN246" s="39" t="n">
        <f aca="false">IF(DN$4=0,0,IF(COUNTIFS(実績!$W$6:$W$505,DN$3,実績!$AI$6:$AI$505,"&lt;="&amp;$A246,実績!$AJ$6:$AJ$505,"&gt;"&amp;$A246,実績!$AL$6:$AL$505,"○")&gt;0,1,0))</f>
        <v>0</v>
      </c>
      <c r="DO246" s="39" t="n">
        <f aca="false">IF(DO$4=0,0,IF(COUNTIFS(実績!$W$6:$W$505,DO$3,実績!$AI$6:$AI$505,"&lt;="&amp;$A246,実績!$AJ$6:$AJ$505,"&gt;"&amp;$A246,実績!$AL$6:$AL$505,"○")&gt;0,1,0))</f>
        <v>0</v>
      </c>
      <c r="DP246" s="39" t="n">
        <f aca="false">IF(DP$4=0,0,IF(COUNTIFS(実績!$W$6:$W$505,DP$3,実績!$AI$6:$AI$505,"&lt;="&amp;$A246,実績!$AJ$6:$AJ$505,"&gt;"&amp;$A246,実績!$AL$6:$AL$505,"○")&gt;0,1,0))</f>
        <v>0</v>
      </c>
      <c r="DQ246" s="39" t="n">
        <f aca="false">IF(DQ$4=0,0,IF(COUNTIFS(実績!$W$6:$W$505,DQ$3,実績!$AI$6:$AI$505,"&lt;="&amp;$A246,実績!$AJ$6:$AJ$505,"&gt;"&amp;$A246,実績!$AL$6:$AL$505,"○")&gt;0,1,0))</f>
        <v>0</v>
      </c>
      <c r="DR246" s="39" t="n">
        <f aca="false">IF(DR$4=0,0,IF(COUNTIFS(実績!$W$6:$W$505,DR$3,実績!$AI$6:$AI$505,"&lt;="&amp;$A246,実績!$AJ$6:$AJ$505,"&gt;"&amp;$A246,実績!$AL$6:$AL$505,"○")&gt;0,1,0))</f>
        <v>0</v>
      </c>
      <c r="DS246" s="39" t="n">
        <f aca="false">SUM(C246:DR246)</f>
        <v>0</v>
      </c>
    </row>
    <row r="247" customFormat="false" ht="15" hidden="false" customHeight="false" outlineLevel="0" collapsed="false">
      <c r="A247" s="0" t="n">
        <v>1205</v>
      </c>
      <c r="B247" s="38" t="n">
        <f aca="false">A247/1440</f>
        <v>0.836805555555556</v>
      </c>
      <c r="C247" s="39" t="n">
        <f aca="false">IF(C$4=0,0,IF(COUNTIFS(実績!$W$6:$W$505,C$3,実績!$AI$6:$AI$505,"&lt;="&amp;$A247,実績!$AJ$6:$AJ$505,"&gt;"&amp;$A247,実績!$AL$6:$AL$505,"○")&gt;0,1,0))</f>
        <v>0</v>
      </c>
      <c r="D247" s="39" t="n">
        <f aca="false">IF(D$4=0,0,IF(COUNTIFS(実績!$W$6:$W$505,D$3,実績!$AI$6:$AI$505,"&lt;="&amp;$A247,実績!$AJ$6:$AJ$505,"&gt;"&amp;$A247,実績!$AL$6:$AL$505,"○")&gt;0,1,0))</f>
        <v>0</v>
      </c>
      <c r="E247" s="39" t="n">
        <f aca="false">IF(E$4=0,0,IF(COUNTIFS(実績!$W$6:$W$505,E$3,実績!$AI$6:$AI$505,"&lt;="&amp;$A247,実績!$AJ$6:$AJ$505,"&gt;"&amp;$A247,実績!$AL$6:$AL$505,"○")&gt;0,1,0))</f>
        <v>0</v>
      </c>
      <c r="F247" s="39" t="n">
        <f aca="false">IF(F$4=0,0,IF(COUNTIFS(実績!$W$6:$W$505,F$3,実績!$AI$6:$AI$505,"&lt;="&amp;$A247,実績!$AJ$6:$AJ$505,"&gt;"&amp;$A247,実績!$AL$6:$AL$505,"○")&gt;0,1,0))</f>
        <v>0</v>
      </c>
      <c r="G247" s="39" t="n">
        <f aca="false">IF(G$4=0,0,IF(COUNTIFS(実績!$W$6:$W$505,G$3,実績!$AI$6:$AI$505,"&lt;="&amp;$A247,実績!$AJ$6:$AJ$505,"&gt;"&amp;$A247,実績!$AL$6:$AL$505,"○")&gt;0,1,0))</f>
        <v>0</v>
      </c>
      <c r="H247" s="39" t="n">
        <f aca="false">IF(H$4=0,0,IF(COUNTIFS(実績!$W$6:$W$505,H$3,実績!$AI$6:$AI$505,"&lt;="&amp;$A247,実績!$AJ$6:$AJ$505,"&gt;"&amp;$A247,実績!$AL$6:$AL$505,"○")&gt;0,1,0))</f>
        <v>0</v>
      </c>
      <c r="I247" s="39" t="n">
        <f aca="false">IF(I$4=0,0,IF(COUNTIFS(実績!$W$6:$W$505,I$3,実績!$AI$6:$AI$505,"&lt;="&amp;$A247,実績!$AJ$6:$AJ$505,"&gt;"&amp;$A247,実績!$AL$6:$AL$505,"○")&gt;0,1,0))</f>
        <v>0</v>
      </c>
      <c r="J247" s="39" t="n">
        <f aca="false">IF(J$4=0,0,IF(COUNTIFS(実績!$W$6:$W$505,J$3,実績!$AI$6:$AI$505,"&lt;="&amp;$A247,実績!$AJ$6:$AJ$505,"&gt;"&amp;$A247,実績!$AL$6:$AL$505,"○")&gt;0,1,0))</f>
        <v>0</v>
      </c>
      <c r="K247" s="39" t="n">
        <f aca="false">IF(K$4=0,0,IF(COUNTIFS(実績!$W$6:$W$505,K$3,実績!$AI$6:$AI$505,"&lt;="&amp;$A247,実績!$AJ$6:$AJ$505,"&gt;"&amp;$A247,実績!$AL$6:$AL$505,"○")&gt;0,1,0))</f>
        <v>0</v>
      </c>
      <c r="L247" s="39" t="n">
        <f aca="false">IF(L$4=0,0,IF(COUNTIFS(実績!$W$6:$W$505,L$3,実績!$AI$6:$AI$505,"&lt;="&amp;$A247,実績!$AJ$6:$AJ$505,"&gt;"&amp;$A247,実績!$AL$6:$AL$505,"○")&gt;0,1,0))</f>
        <v>0</v>
      </c>
      <c r="M247" s="39" t="n">
        <f aca="false">IF(M$4=0,0,IF(COUNTIFS(実績!$W$6:$W$505,M$3,実績!$AI$6:$AI$505,"&lt;="&amp;$A247,実績!$AJ$6:$AJ$505,"&gt;"&amp;$A247,実績!$AL$6:$AL$505,"○")&gt;0,1,0))</f>
        <v>0</v>
      </c>
      <c r="N247" s="39" t="n">
        <f aca="false">IF(N$4=0,0,IF(COUNTIFS(実績!$W$6:$W$505,N$3,実績!$AI$6:$AI$505,"&lt;="&amp;$A247,実績!$AJ$6:$AJ$505,"&gt;"&amp;$A247,実績!$AL$6:$AL$505,"○")&gt;0,1,0))</f>
        <v>0</v>
      </c>
      <c r="O247" s="39" t="n">
        <f aca="false">IF(O$4=0,0,IF(COUNTIFS(実績!$W$6:$W$505,O$3,実績!$AI$6:$AI$505,"&lt;="&amp;$A247,実績!$AJ$6:$AJ$505,"&gt;"&amp;$A247,実績!$AL$6:$AL$505,"○")&gt;0,1,0))</f>
        <v>0</v>
      </c>
      <c r="P247" s="39" t="n">
        <f aca="false">IF(P$4=0,0,IF(COUNTIFS(実績!$W$6:$W$505,P$3,実績!$AI$6:$AI$505,"&lt;="&amp;$A247,実績!$AJ$6:$AJ$505,"&gt;"&amp;$A247,実績!$AL$6:$AL$505,"○")&gt;0,1,0))</f>
        <v>0</v>
      </c>
      <c r="Q247" s="39" t="n">
        <f aca="false">IF(Q$4=0,0,IF(COUNTIFS(実績!$W$6:$W$505,Q$3,実績!$AI$6:$AI$505,"&lt;="&amp;$A247,実績!$AJ$6:$AJ$505,"&gt;"&amp;$A247,実績!$AL$6:$AL$505,"○")&gt;0,1,0))</f>
        <v>0</v>
      </c>
      <c r="R247" s="39" t="n">
        <f aca="false">IF(R$4=0,0,IF(COUNTIFS(実績!$W$6:$W$505,R$3,実績!$AI$6:$AI$505,"&lt;="&amp;$A247,実績!$AJ$6:$AJ$505,"&gt;"&amp;$A247,実績!$AL$6:$AL$505,"○")&gt;0,1,0))</f>
        <v>0</v>
      </c>
      <c r="S247" s="39" t="n">
        <f aca="false">IF(S$4=0,0,IF(COUNTIFS(実績!$W$6:$W$505,S$3,実績!$AI$6:$AI$505,"&lt;="&amp;$A247,実績!$AJ$6:$AJ$505,"&gt;"&amp;$A247,実績!$AL$6:$AL$505,"○")&gt;0,1,0))</f>
        <v>0</v>
      </c>
      <c r="T247" s="39" t="n">
        <f aca="false">IF(T$4=0,0,IF(COUNTIFS(実績!$W$6:$W$505,T$3,実績!$AI$6:$AI$505,"&lt;="&amp;$A247,実績!$AJ$6:$AJ$505,"&gt;"&amp;$A247,実績!$AL$6:$AL$505,"○")&gt;0,1,0))</f>
        <v>0</v>
      </c>
      <c r="U247" s="39" t="n">
        <f aca="false">IF(U$4=0,0,IF(COUNTIFS(実績!$W$6:$W$505,U$3,実績!$AI$6:$AI$505,"&lt;="&amp;$A247,実績!$AJ$6:$AJ$505,"&gt;"&amp;$A247,実績!$AL$6:$AL$505,"○")&gt;0,1,0))</f>
        <v>0</v>
      </c>
      <c r="V247" s="39" t="n">
        <f aca="false">IF(V$4=0,0,IF(COUNTIFS(実績!$W$6:$W$505,V$3,実績!$AI$6:$AI$505,"&lt;="&amp;$A247,実績!$AJ$6:$AJ$505,"&gt;"&amp;$A247,実績!$AL$6:$AL$505,"○")&gt;0,1,0))</f>
        <v>0</v>
      </c>
      <c r="W247" s="39" t="n">
        <f aca="false">IF(W$4=0,0,IF(COUNTIFS(実績!$W$6:$W$505,W$3,実績!$AI$6:$AI$505,"&lt;="&amp;$A247,実績!$AJ$6:$AJ$505,"&gt;"&amp;$A247,実績!$AL$6:$AL$505,"○")&gt;0,1,0))</f>
        <v>0</v>
      </c>
      <c r="X247" s="39" t="n">
        <f aca="false">IF(X$4=0,0,IF(COUNTIFS(実績!$W$6:$W$505,X$3,実績!$AI$6:$AI$505,"&lt;="&amp;$A247,実績!$AJ$6:$AJ$505,"&gt;"&amp;$A247,実績!$AL$6:$AL$505,"○")&gt;0,1,0))</f>
        <v>0</v>
      </c>
      <c r="Y247" s="39" t="n">
        <f aca="false">IF(Y$4=0,0,IF(COUNTIFS(実績!$W$6:$W$505,Y$3,実績!$AI$6:$AI$505,"&lt;="&amp;$A247,実績!$AJ$6:$AJ$505,"&gt;"&amp;$A247,実績!$AL$6:$AL$505,"○")&gt;0,1,0))</f>
        <v>0</v>
      </c>
      <c r="Z247" s="39" t="n">
        <f aca="false">IF(Z$4=0,0,IF(COUNTIFS(実績!$W$6:$W$505,Z$3,実績!$AI$6:$AI$505,"&lt;="&amp;$A247,実績!$AJ$6:$AJ$505,"&gt;"&amp;$A247,実績!$AL$6:$AL$505,"○")&gt;0,1,0))</f>
        <v>0</v>
      </c>
      <c r="AA247" s="39" t="n">
        <f aca="false">IF(AA$4=0,0,IF(COUNTIFS(実績!$W$6:$W$505,AA$3,実績!$AI$6:$AI$505,"&lt;="&amp;$A247,実績!$AJ$6:$AJ$505,"&gt;"&amp;$A247,実績!$AL$6:$AL$505,"○")&gt;0,1,0))</f>
        <v>0</v>
      </c>
      <c r="AB247" s="39" t="n">
        <f aca="false">IF(AB$4=0,0,IF(COUNTIFS(実績!$W$6:$W$505,AB$3,実績!$AI$6:$AI$505,"&lt;="&amp;$A247,実績!$AJ$6:$AJ$505,"&gt;"&amp;$A247,実績!$AL$6:$AL$505,"○")&gt;0,1,0))</f>
        <v>0</v>
      </c>
      <c r="AC247" s="39" t="n">
        <f aca="false">IF(AC$4=0,0,IF(COUNTIFS(実績!$W$6:$W$505,AC$3,実績!$AI$6:$AI$505,"&lt;="&amp;$A247,実績!$AJ$6:$AJ$505,"&gt;"&amp;$A247,実績!$AL$6:$AL$505,"○")&gt;0,1,0))</f>
        <v>0</v>
      </c>
      <c r="AD247" s="39" t="n">
        <f aca="false">IF(AD$4=0,0,IF(COUNTIFS(実績!$W$6:$W$505,AD$3,実績!$AI$6:$AI$505,"&lt;="&amp;$A247,実績!$AJ$6:$AJ$505,"&gt;"&amp;$A247,実績!$AL$6:$AL$505,"○")&gt;0,1,0))</f>
        <v>0</v>
      </c>
      <c r="AE247" s="39" t="n">
        <f aca="false">IF(AE$4=0,0,IF(COUNTIFS(実績!$W$6:$W$505,AE$3,実績!$AI$6:$AI$505,"&lt;="&amp;$A247,実績!$AJ$6:$AJ$505,"&gt;"&amp;$A247,実績!$AL$6:$AL$505,"○")&gt;0,1,0))</f>
        <v>0</v>
      </c>
      <c r="AF247" s="39" t="n">
        <f aca="false">IF(AF$4=0,0,IF(COUNTIFS(実績!$W$6:$W$505,AF$3,実績!$AI$6:$AI$505,"&lt;="&amp;$A247,実績!$AJ$6:$AJ$505,"&gt;"&amp;$A247,実績!$AL$6:$AL$505,"○")&gt;0,1,0))</f>
        <v>0</v>
      </c>
      <c r="AG247" s="39" t="n">
        <f aca="false">IF(AG$4=0,0,IF(COUNTIFS(実績!$W$6:$W$505,AG$3,実績!$AI$6:$AI$505,"&lt;="&amp;$A247,実績!$AJ$6:$AJ$505,"&gt;"&amp;$A247,実績!$AL$6:$AL$505,"○")&gt;0,1,0))</f>
        <v>0</v>
      </c>
      <c r="AH247" s="39" t="n">
        <f aca="false">IF(AH$4=0,0,IF(COUNTIFS(実績!$W$6:$W$505,AH$3,実績!$AI$6:$AI$505,"&lt;="&amp;$A247,実績!$AJ$6:$AJ$505,"&gt;"&amp;$A247,実績!$AL$6:$AL$505,"○")&gt;0,1,0))</f>
        <v>0</v>
      </c>
      <c r="AI247" s="39" t="n">
        <f aca="false">IF(AI$4=0,0,IF(COUNTIFS(実績!$W$6:$W$505,AI$3,実績!$AI$6:$AI$505,"&lt;="&amp;$A247,実績!$AJ$6:$AJ$505,"&gt;"&amp;$A247,実績!$AL$6:$AL$505,"○")&gt;0,1,0))</f>
        <v>0</v>
      </c>
      <c r="AJ247" s="39" t="n">
        <f aca="false">IF(AJ$4=0,0,IF(COUNTIFS(実績!$W$6:$W$505,AJ$3,実績!$AI$6:$AI$505,"&lt;="&amp;$A247,実績!$AJ$6:$AJ$505,"&gt;"&amp;$A247,実績!$AL$6:$AL$505,"○")&gt;0,1,0))</f>
        <v>0</v>
      </c>
      <c r="AK247" s="39" t="n">
        <f aca="false">IF(AK$4=0,0,IF(COUNTIFS(実績!$W$6:$W$505,AK$3,実績!$AI$6:$AI$505,"&lt;="&amp;$A247,実績!$AJ$6:$AJ$505,"&gt;"&amp;$A247,実績!$AL$6:$AL$505,"○")&gt;0,1,0))</f>
        <v>0</v>
      </c>
      <c r="AL247" s="39" t="n">
        <f aca="false">IF(AL$4=0,0,IF(COUNTIFS(実績!$W$6:$W$505,AL$3,実績!$AI$6:$AI$505,"&lt;="&amp;$A247,実績!$AJ$6:$AJ$505,"&gt;"&amp;$A247,実績!$AL$6:$AL$505,"○")&gt;0,1,0))</f>
        <v>0</v>
      </c>
      <c r="AM247" s="39" t="n">
        <f aca="false">IF(AM$4=0,0,IF(COUNTIFS(実績!$W$6:$W$505,AM$3,実績!$AI$6:$AI$505,"&lt;="&amp;$A247,実績!$AJ$6:$AJ$505,"&gt;"&amp;$A247,実績!$AL$6:$AL$505,"○")&gt;0,1,0))</f>
        <v>0</v>
      </c>
      <c r="AN247" s="39" t="n">
        <f aca="false">IF(AN$4=0,0,IF(COUNTIFS(実績!$W$6:$W$505,AN$3,実績!$AI$6:$AI$505,"&lt;="&amp;$A247,実績!$AJ$6:$AJ$505,"&gt;"&amp;$A247,実績!$AL$6:$AL$505,"○")&gt;0,1,0))</f>
        <v>0</v>
      </c>
      <c r="AO247" s="39" t="n">
        <f aca="false">IF(AO$4=0,0,IF(COUNTIFS(実績!$W$6:$W$505,AO$3,実績!$AI$6:$AI$505,"&lt;="&amp;$A247,実績!$AJ$6:$AJ$505,"&gt;"&amp;$A247,実績!$AL$6:$AL$505,"○")&gt;0,1,0))</f>
        <v>0</v>
      </c>
      <c r="AP247" s="39" t="n">
        <f aca="false">IF(AP$4=0,0,IF(COUNTIFS(実績!$W$6:$W$505,AP$3,実績!$AI$6:$AI$505,"&lt;="&amp;$A247,実績!$AJ$6:$AJ$505,"&gt;"&amp;$A247,実績!$AL$6:$AL$505,"○")&gt;0,1,0))</f>
        <v>0</v>
      </c>
      <c r="AQ247" s="39" t="n">
        <f aca="false">IF(AQ$4=0,0,IF(COUNTIFS(実績!$W$6:$W$505,AQ$3,実績!$AI$6:$AI$505,"&lt;="&amp;$A247,実績!$AJ$6:$AJ$505,"&gt;"&amp;$A247,実績!$AL$6:$AL$505,"○")&gt;0,1,0))</f>
        <v>0</v>
      </c>
      <c r="AR247" s="39" t="n">
        <f aca="false">IF(AR$4=0,0,IF(COUNTIFS(実績!$W$6:$W$505,AR$3,実績!$AI$6:$AI$505,"&lt;="&amp;$A247,実績!$AJ$6:$AJ$505,"&gt;"&amp;$A247,実績!$AL$6:$AL$505,"○")&gt;0,1,0))</f>
        <v>0</v>
      </c>
      <c r="AS247" s="39" t="n">
        <f aca="false">IF(AS$4=0,0,IF(COUNTIFS(実績!$W$6:$W$505,AS$3,実績!$AI$6:$AI$505,"&lt;="&amp;$A247,実績!$AJ$6:$AJ$505,"&gt;"&amp;$A247,実績!$AL$6:$AL$505,"○")&gt;0,1,0))</f>
        <v>0</v>
      </c>
      <c r="AT247" s="39" t="n">
        <f aca="false">IF(AT$4=0,0,IF(COUNTIFS(実績!$W$6:$W$505,AT$3,実績!$AI$6:$AI$505,"&lt;="&amp;$A247,実績!$AJ$6:$AJ$505,"&gt;"&amp;$A247,実績!$AL$6:$AL$505,"○")&gt;0,1,0))</f>
        <v>0</v>
      </c>
      <c r="AU247" s="39" t="n">
        <f aca="false">IF(AU$4=0,0,IF(COUNTIFS(実績!$W$6:$W$505,AU$3,実績!$AI$6:$AI$505,"&lt;="&amp;$A247,実績!$AJ$6:$AJ$505,"&gt;"&amp;$A247,実績!$AL$6:$AL$505,"○")&gt;0,1,0))</f>
        <v>0</v>
      </c>
      <c r="AV247" s="39" t="n">
        <f aca="false">IF(AV$4=0,0,IF(COUNTIFS(実績!$W$6:$W$505,AV$3,実績!$AI$6:$AI$505,"&lt;="&amp;$A247,実績!$AJ$6:$AJ$505,"&gt;"&amp;$A247,実績!$AL$6:$AL$505,"○")&gt;0,1,0))</f>
        <v>0</v>
      </c>
      <c r="AW247" s="39" t="n">
        <f aca="false">IF(AW$4=0,0,IF(COUNTIFS(実績!$W$6:$W$505,AW$3,実績!$AI$6:$AI$505,"&lt;="&amp;$A247,実績!$AJ$6:$AJ$505,"&gt;"&amp;$A247,実績!$AL$6:$AL$505,"○")&gt;0,1,0))</f>
        <v>0</v>
      </c>
      <c r="AX247" s="39" t="n">
        <f aca="false">IF(AX$4=0,0,IF(COUNTIFS(実績!$W$6:$W$505,AX$3,実績!$AI$6:$AI$505,"&lt;="&amp;$A247,実績!$AJ$6:$AJ$505,"&gt;"&amp;$A247,実績!$AL$6:$AL$505,"○")&gt;0,1,0))</f>
        <v>0</v>
      </c>
      <c r="AY247" s="39" t="n">
        <f aca="false">IF(AY$4=0,0,IF(COUNTIFS(実績!$W$6:$W$505,AY$3,実績!$AI$6:$AI$505,"&lt;="&amp;$A247,実績!$AJ$6:$AJ$505,"&gt;"&amp;$A247,実績!$AL$6:$AL$505,"○")&gt;0,1,0))</f>
        <v>0</v>
      </c>
      <c r="AZ247" s="39" t="n">
        <f aca="false">IF(AZ$4=0,0,IF(COUNTIFS(実績!$W$6:$W$505,AZ$3,実績!$AI$6:$AI$505,"&lt;="&amp;$A247,実績!$AJ$6:$AJ$505,"&gt;"&amp;$A247,実績!$AL$6:$AL$505,"○")&gt;0,1,0))</f>
        <v>0</v>
      </c>
      <c r="BA247" s="39" t="n">
        <f aca="false">IF(BA$4=0,0,IF(COUNTIFS(実績!$W$6:$W$505,BA$3,実績!$AI$6:$AI$505,"&lt;="&amp;$A247,実績!$AJ$6:$AJ$505,"&gt;"&amp;$A247,実績!$AL$6:$AL$505,"○")&gt;0,1,0))</f>
        <v>0</v>
      </c>
      <c r="BB247" s="39" t="n">
        <f aca="false">IF(BB$4=0,0,IF(COUNTIFS(実績!$W$6:$W$505,BB$3,実績!$AI$6:$AI$505,"&lt;="&amp;$A247,実績!$AJ$6:$AJ$505,"&gt;"&amp;$A247,実績!$AL$6:$AL$505,"○")&gt;0,1,0))</f>
        <v>0</v>
      </c>
      <c r="BC247" s="39" t="n">
        <f aca="false">IF(BC$4=0,0,IF(COUNTIFS(実績!$W$6:$W$505,BC$3,実績!$AI$6:$AI$505,"&lt;="&amp;$A247,実績!$AJ$6:$AJ$505,"&gt;"&amp;$A247,実績!$AL$6:$AL$505,"○")&gt;0,1,0))</f>
        <v>0</v>
      </c>
      <c r="BD247" s="39" t="n">
        <f aca="false">IF(BD$4=0,0,IF(COUNTIFS(実績!$W$6:$W$505,BD$3,実績!$AI$6:$AI$505,"&lt;="&amp;$A247,実績!$AJ$6:$AJ$505,"&gt;"&amp;$A247,実績!$AL$6:$AL$505,"○")&gt;0,1,0))</f>
        <v>0</v>
      </c>
      <c r="BE247" s="39" t="n">
        <f aca="false">IF(BE$4=0,0,IF(COUNTIFS(実績!$W$6:$W$505,BE$3,実績!$AI$6:$AI$505,"&lt;="&amp;$A247,実績!$AJ$6:$AJ$505,"&gt;"&amp;$A247,実績!$AL$6:$AL$505,"○")&gt;0,1,0))</f>
        <v>0</v>
      </c>
      <c r="BF247" s="39" t="n">
        <f aca="false">IF(BF$4=0,0,IF(COUNTIFS(実績!$W$6:$W$505,BF$3,実績!$AI$6:$AI$505,"&lt;="&amp;$A247,実績!$AJ$6:$AJ$505,"&gt;"&amp;$A247,実績!$AL$6:$AL$505,"○")&gt;0,1,0))</f>
        <v>0</v>
      </c>
      <c r="BG247" s="39" t="n">
        <f aca="false">IF(BG$4=0,0,IF(COUNTIFS(実績!$W$6:$W$505,BG$3,実績!$AI$6:$AI$505,"&lt;="&amp;$A247,実績!$AJ$6:$AJ$505,"&gt;"&amp;$A247,実績!$AL$6:$AL$505,"○")&gt;0,1,0))</f>
        <v>0</v>
      </c>
      <c r="BH247" s="39" t="n">
        <f aca="false">IF(BH$4=0,0,IF(COUNTIFS(実績!$W$6:$W$505,BH$3,実績!$AI$6:$AI$505,"&lt;="&amp;$A247,実績!$AJ$6:$AJ$505,"&gt;"&amp;$A247,実績!$AL$6:$AL$505,"○")&gt;0,1,0))</f>
        <v>0</v>
      </c>
      <c r="BI247" s="39" t="n">
        <f aca="false">IF(BI$4=0,0,IF(COUNTIFS(実績!$W$6:$W$505,BI$3,実績!$AI$6:$AI$505,"&lt;="&amp;$A247,実績!$AJ$6:$AJ$505,"&gt;"&amp;$A247,実績!$AL$6:$AL$505,"○")&gt;0,1,0))</f>
        <v>0</v>
      </c>
      <c r="BJ247" s="39" t="n">
        <f aca="false">IF(BJ$4=0,0,IF(COUNTIFS(実績!$W$6:$W$505,BJ$3,実績!$AI$6:$AI$505,"&lt;="&amp;$A247,実績!$AJ$6:$AJ$505,"&gt;"&amp;$A247,実績!$AL$6:$AL$505,"○")&gt;0,1,0))</f>
        <v>0</v>
      </c>
      <c r="BK247" s="39" t="n">
        <f aca="false">IF(BK$4=0,0,IF(COUNTIFS(実績!$W$6:$W$505,BK$3,実績!$AI$6:$AI$505,"&lt;="&amp;$A247,実績!$AJ$6:$AJ$505,"&gt;"&amp;$A247,実績!$AL$6:$AL$505,"○")&gt;0,1,0))</f>
        <v>0</v>
      </c>
      <c r="BL247" s="39" t="n">
        <f aca="false">IF(BL$4=0,0,IF(COUNTIFS(実績!$W$6:$W$505,BL$3,実績!$AI$6:$AI$505,"&lt;="&amp;$A247,実績!$AJ$6:$AJ$505,"&gt;"&amp;$A247,実績!$AL$6:$AL$505,"○")&gt;0,1,0))</f>
        <v>0</v>
      </c>
      <c r="BM247" s="39" t="n">
        <f aca="false">IF(BM$4=0,0,IF(COUNTIFS(実績!$W$6:$W$505,BM$3,実績!$AI$6:$AI$505,"&lt;="&amp;$A247,実績!$AJ$6:$AJ$505,"&gt;"&amp;$A247,実績!$AL$6:$AL$505,"○")&gt;0,1,0))</f>
        <v>0</v>
      </c>
      <c r="BN247" s="39" t="n">
        <f aca="false">IF(BN$4=0,0,IF(COUNTIFS(実績!$W$6:$W$505,BN$3,実績!$AI$6:$AI$505,"&lt;="&amp;$A247,実績!$AJ$6:$AJ$505,"&gt;"&amp;$A247,実績!$AL$6:$AL$505,"○")&gt;0,1,0))</f>
        <v>0</v>
      </c>
      <c r="BO247" s="39" t="n">
        <f aca="false">IF(BO$4=0,0,IF(COUNTIFS(実績!$W$6:$W$505,BO$3,実績!$AI$6:$AI$505,"&lt;="&amp;$A247,実績!$AJ$6:$AJ$505,"&gt;"&amp;$A247,実績!$AL$6:$AL$505,"○")&gt;0,1,0))</f>
        <v>0</v>
      </c>
      <c r="BP247" s="39" t="n">
        <f aca="false">IF(BP$4=0,0,IF(COUNTIFS(実績!$W$6:$W$505,BP$3,実績!$AI$6:$AI$505,"&lt;="&amp;$A247,実績!$AJ$6:$AJ$505,"&gt;"&amp;$A247,実績!$AL$6:$AL$505,"○")&gt;0,1,0))</f>
        <v>0</v>
      </c>
      <c r="BQ247" s="39" t="n">
        <f aca="false">IF(BQ$4=0,0,IF(COUNTIFS(実績!$W$6:$W$505,BQ$3,実績!$AI$6:$AI$505,"&lt;="&amp;$A247,実績!$AJ$6:$AJ$505,"&gt;"&amp;$A247,実績!$AL$6:$AL$505,"○")&gt;0,1,0))</f>
        <v>0</v>
      </c>
      <c r="BR247" s="39" t="n">
        <f aca="false">IF(BR$4=0,0,IF(COUNTIFS(実績!$W$6:$W$505,BR$3,実績!$AI$6:$AI$505,"&lt;="&amp;$A247,実績!$AJ$6:$AJ$505,"&gt;"&amp;$A247,実績!$AL$6:$AL$505,"○")&gt;0,1,0))</f>
        <v>0</v>
      </c>
      <c r="BS247" s="39" t="n">
        <f aca="false">IF(BS$4=0,0,IF(COUNTIFS(実績!$W$6:$W$505,BS$3,実績!$AI$6:$AI$505,"&lt;="&amp;$A247,実績!$AJ$6:$AJ$505,"&gt;"&amp;$A247,実績!$AL$6:$AL$505,"○")&gt;0,1,0))</f>
        <v>0</v>
      </c>
      <c r="BT247" s="39" t="n">
        <f aca="false">IF(BT$4=0,0,IF(COUNTIFS(実績!$W$6:$W$505,BT$3,実績!$AI$6:$AI$505,"&lt;="&amp;$A247,実績!$AJ$6:$AJ$505,"&gt;"&amp;$A247,実績!$AL$6:$AL$505,"○")&gt;0,1,0))</f>
        <v>0</v>
      </c>
      <c r="BU247" s="39" t="n">
        <f aca="false">IF(BU$4=0,0,IF(COUNTIFS(実績!$W$6:$W$505,BU$3,実績!$AI$6:$AI$505,"&lt;="&amp;$A247,実績!$AJ$6:$AJ$505,"&gt;"&amp;$A247,実績!$AL$6:$AL$505,"○")&gt;0,1,0))</f>
        <v>0</v>
      </c>
      <c r="BV247" s="39" t="n">
        <f aca="false">IF(BV$4=0,0,IF(COUNTIFS(実績!$W$6:$W$505,BV$3,実績!$AI$6:$AI$505,"&lt;="&amp;$A247,実績!$AJ$6:$AJ$505,"&gt;"&amp;$A247,実績!$AL$6:$AL$505,"○")&gt;0,1,0))</f>
        <v>0</v>
      </c>
      <c r="BW247" s="39" t="n">
        <f aca="false">IF(BW$4=0,0,IF(COUNTIFS(実績!$W$6:$W$505,BW$3,実績!$AI$6:$AI$505,"&lt;="&amp;$A247,実績!$AJ$6:$AJ$505,"&gt;"&amp;$A247,実績!$AL$6:$AL$505,"○")&gt;0,1,0))</f>
        <v>0</v>
      </c>
      <c r="BX247" s="39" t="n">
        <f aca="false">IF(BX$4=0,0,IF(COUNTIFS(実績!$W$6:$W$505,BX$3,実績!$AI$6:$AI$505,"&lt;="&amp;$A247,実績!$AJ$6:$AJ$505,"&gt;"&amp;$A247,実績!$AL$6:$AL$505,"○")&gt;0,1,0))</f>
        <v>0</v>
      </c>
      <c r="BY247" s="39" t="n">
        <f aca="false">IF(BY$4=0,0,IF(COUNTIFS(実績!$W$6:$W$505,BY$3,実績!$AI$6:$AI$505,"&lt;="&amp;$A247,実績!$AJ$6:$AJ$505,"&gt;"&amp;$A247,実績!$AL$6:$AL$505,"○")&gt;0,1,0))</f>
        <v>0</v>
      </c>
      <c r="BZ247" s="39" t="n">
        <f aca="false">IF(BZ$4=0,0,IF(COUNTIFS(実績!$W$6:$W$505,BZ$3,実績!$AI$6:$AI$505,"&lt;="&amp;$A247,実績!$AJ$6:$AJ$505,"&gt;"&amp;$A247,実績!$AL$6:$AL$505,"○")&gt;0,1,0))</f>
        <v>0</v>
      </c>
      <c r="CA247" s="39" t="n">
        <f aca="false">IF(CA$4=0,0,IF(COUNTIFS(実績!$W$6:$W$505,CA$3,実績!$AI$6:$AI$505,"&lt;="&amp;$A247,実績!$AJ$6:$AJ$505,"&gt;"&amp;$A247,実績!$AL$6:$AL$505,"○")&gt;0,1,0))</f>
        <v>0</v>
      </c>
      <c r="CB247" s="39" t="n">
        <f aca="false">IF(CB$4=0,0,IF(COUNTIFS(実績!$W$6:$W$505,CB$3,実績!$AI$6:$AI$505,"&lt;="&amp;$A247,実績!$AJ$6:$AJ$505,"&gt;"&amp;$A247,実績!$AL$6:$AL$505,"○")&gt;0,1,0))</f>
        <v>0</v>
      </c>
      <c r="CC247" s="39" t="n">
        <f aca="false">IF(CC$4=0,0,IF(COUNTIFS(実績!$W$6:$W$505,CC$3,実績!$AI$6:$AI$505,"&lt;="&amp;$A247,実績!$AJ$6:$AJ$505,"&gt;"&amp;$A247,実績!$AL$6:$AL$505,"○")&gt;0,1,0))</f>
        <v>0</v>
      </c>
      <c r="CD247" s="39" t="n">
        <f aca="false">IF(CD$4=0,0,IF(COUNTIFS(実績!$W$6:$W$505,CD$3,実績!$AI$6:$AI$505,"&lt;="&amp;$A247,実績!$AJ$6:$AJ$505,"&gt;"&amp;$A247,実績!$AL$6:$AL$505,"○")&gt;0,1,0))</f>
        <v>0</v>
      </c>
      <c r="CE247" s="39" t="n">
        <f aca="false">IF(CE$4=0,0,IF(COUNTIFS(実績!$W$6:$W$505,CE$3,実績!$AI$6:$AI$505,"&lt;="&amp;$A247,実績!$AJ$6:$AJ$505,"&gt;"&amp;$A247,実績!$AL$6:$AL$505,"○")&gt;0,1,0))</f>
        <v>0</v>
      </c>
      <c r="CF247" s="39" t="n">
        <f aca="false">IF(CF$4=0,0,IF(COUNTIFS(実績!$W$6:$W$505,CF$3,実績!$AI$6:$AI$505,"&lt;="&amp;$A247,実績!$AJ$6:$AJ$505,"&gt;"&amp;$A247,実績!$AL$6:$AL$505,"○")&gt;0,1,0))</f>
        <v>0</v>
      </c>
      <c r="CG247" s="39" t="n">
        <f aca="false">IF(CG$4=0,0,IF(COUNTIFS(実績!$W$6:$W$505,CG$3,実績!$AI$6:$AI$505,"&lt;="&amp;$A247,実績!$AJ$6:$AJ$505,"&gt;"&amp;$A247,実績!$AL$6:$AL$505,"○")&gt;0,1,0))</f>
        <v>0</v>
      </c>
      <c r="CH247" s="39" t="n">
        <f aca="false">IF(CH$4=0,0,IF(COUNTIFS(実績!$W$6:$W$505,CH$3,実績!$AI$6:$AI$505,"&lt;="&amp;$A247,実績!$AJ$6:$AJ$505,"&gt;"&amp;$A247,実績!$AL$6:$AL$505,"○")&gt;0,1,0))</f>
        <v>0</v>
      </c>
      <c r="CI247" s="39" t="n">
        <f aca="false">IF(CI$4=0,0,IF(COUNTIFS(実績!$W$6:$W$505,CI$3,実績!$AI$6:$AI$505,"&lt;="&amp;$A247,実績!$AJ$6:$AJ$505,"&gt;"&amp;$A247,実績!$AL$6:$AL$505,"○")&gt;0,1,0))</f>
        <v>0</v>
      </c>
      <c r="CJ247" s="39" t="n">
        <f aca="false">IF(CJ$4=0,0,IF(COUNTIFS(実績!$W$6:$W$505,CJ$3,実績!$AI$6:$AI$505,"&lt;="&amp;$A247,実績!$AJ$6:$AJ$505,"&gt;"&amp;$A247,実績!$AL$6:$AL$505,"○")&gt;0,1,0))</f>
        <v>0</v>
      </c>
      <c r="CK247" s="39" t="n">
        <f aca="false">IF(CK$4=0,0,IF(COUNTIFS(実績!$W$6:$W$505,CK$3,実績!$AI$6:$AI$505,"&lt;="&amp;$A247,実績!$AJ$6:$AJ$505,"&gt;"&amp;$A247,実績!$AL$6:$AL$505,"○")&gt;0,1,0))</f>
        <v>0</v>
      </c>
      <c r="CL247" s="39" t="n">
        <f aca="false">IF(CL$4=0,0,IF(COUNTIFS(実績!$W$6:$W$505,CL$3,実績!$AI$6:$AI$505,"&lt;="&amp;$A247,実績!$AJ$6:$AJ$505,"&gt;"&amp;$A247,実績!$AL$6:$AL$505,"○")&gt;0,1,0))</f>
        <v>0</v>
      </c>
      <c r="CM247" s="39" t="n">
        <f aca="false">IF(CM$4=0,0,IF(COUNTIFS(実績!$W$6:$W$505,CM$3,実績!$AI$6:$AI$505,"&lt;="&amp;$A247,実績!$AJ$6:$AJ$505,"&gt;"&amp;$A247,実績!$AL$6:$AL$505,"○")&gt;0,1,0))</f>
        <v>0</v>
      </c>
      <c r="CN247" s="39" t="n">
        <f aca="false">IF(CN$4=0,0,IF(COUNTIFS(実績!$W$6:$W$505,CN$3,実績!$AI$6:$AI$505,"&lt;="&amp;$A247,実績!$AJ$6:$AJ$505,"&gt;"&amp;$A247,実績!$AL$6:$AL$505,"○")&gt;0,1,0))</f>
        <v>0</v>
      </c>
      <c r="CO247" s="39" t="n">
        <f aca="false">IF(CO$4=0,0,IF(COUNTIFS(実績!$W$6:$W$505,CO$3,実績!$AI$6:$AI$505,"&lt;="&amp;$A247,実績!$AJ$6:$AJ$505,"&gt;"&amp;$A247,実績!$AL$6:$AL$505,"○")&gt;0,1,0))</f>
        <v>0</v>
      </c>
      <c r="CP247" s="39" t="n">
        <f aca="false">IF(CP$4=0,0,IF(COUNTIFS(実績!$W$6:$W$505,CP$3,実績!$AI$6:$AI$505,"&lt;="&amp;$A247,実績!$AJ$6:$AJ$505,"&gt;"&amp;$A247,実績!$AL$6:$AL$505,"○")&gt;0,1,0))</f>
        <v>0</v>
      </c>
      <c r="CQ247" s="39" t="n">
        <f aca="false">IF(CQ$4=0,0,IF(COUNTIFS(実績!$W$6:$W$505,CQ$3,実績!$AI$6:$AI$505,"&lt;="&amp;$A247,実績!$AJ$6:$AJ$505,"&gt;"&amp;$A247,実績!$AL$6:$AL$505,"○")&gt;0,1,0))</f>
        <v>0</v>
      </c>
      <c r="CR247" s="39" t="n">
        <f aca="false">IF(CR$4=0,0,IF(COUNTIFS(実績!$W$6:$W$505,CR$3,実績!$AI$6:$AI$505,"&lt;="&amp;$A247,実績!$AJ$6:$AJ$505,"&gt;"&amp;$A247,実績!$AL$6:$AL$505,"○")&gt;0,1,0))</f>
        <v>0</v>
      </c>
      <c r="CS247" s="39" t="n">
        <f aca="false">IF(CS$4=0,0,IF(COUNTIFS(実績!$W$6:$W$505,CS$3,実績!$AI$6:$AI$505,"&lt;="&amp;$A247,実績!$AJ$6:$AJ$505,"&gt;"&amp;$A247,実績!$AL$6:$AL$505,"○")&gt;0,1,0))</f>
        <v>0</v>
      </c>
      <c r="CT247" s="39" t="n">
        <f aca="false">IF(CT$4=0,0,IF(COUNTIFS(実績!$W$6:$W$505,CT$3,実績!$AI$6:$AI$505,"&lt;="&amp;$A247,実績!$AJ$6:$AJ$505,"&gt;"&amp;$A247,実績!$AL$6:$AL$505,"○")&gt;0,1,0))</f>
        <v>0</v>
      </c>
      <c r="CU247" s="39" t="n">
        <f aca="false">IF(CU$4=0,0,IF(COUNTIFS(実績!$W$6:$W$505,CU$3,実績!$AI$6:$AI$505,"&lt;="&amp;$A247,実績!$AJ$6:$AJ$505,"&gt;"&amp;$A247,実績!$AL$6:$AL$505,"○")&gt;0,1,0))</f>
        <v>0</v>
      </c>
      <c r="CV247" s="39" t="n">
        <f aca="false">IF(CV$4=0,0,IF(COUNTIFS(実績!$W$6:$W$505,CV$3,実績!$AI$6:$AI$505,"&lt;="&amp;$A247,実績!$AJ$6:$AJ$505,"&gt;"&amp;$A247,実績!$AL$6:$AL$505,"○")&gt;0,1,0))</f>
        <v>0</v>
      </c>
      <c r="CW247" s="39" t="n">
        <f aca="false">IF(CW$4=0,0,IF(COUNTIFS(実績!$W$6:$W$505,CW$3,実績!$AI$6:$AI$505,"&lt;="&amp;$A247,実績!$AJ$6:$AJ$505,"&gt;"&amp;$A247,実績!$AL$6:$AL$505,"○")&gt;0,1,0))</f>
        <v>0</v>
      </c>
      <c r="CX247" s="39" t="n">
        <f aca="false">IF(CX$4=0,0,IF(COUNTIFS(実績!$W$6:$W$505,CX$3,実績!$AI$6:$AI$505,"&lt;="&amp;$A247,実績!$AJ$6:$AJ$505,"&gt;"&amp;$A247,実績!$AL$6:$AL$505,"○")&gt;0,1,0))</f>
        <v>0</v>
      </c>
      <c r="CY247" s="39" t="n">
        <f aca="false">IF(CY$4=0,0,IF(COUNTIFS(実績!$W$6:$W$505,CY$3,実績!$AI$6:$AI$505,"&lt;="&amp;$A247,実績!$AJ$6:$AJ$505,"&gt;"&amp;$A247,実績!$AL$6:$AL$505,"○")&gt;0,1,0))</f>
        <v>0</v>
      </c>
      <c r="CZ247" s="39" t="n">
        <f aca="false">IF(CZ$4=0,0,IF(COUNTIFS(実績!$W$6:$W$505,CZ$3,実績!$AI$6:$AI$505,"&lt;="&amp;$A247,実績!$AJ$6:$AJ$505,"&gt;"&amp;$A247,実績!$AL$6:$AL$505,"○")&gt;0,1,0))</f>
        <v>0</v>
      </c>
      <c r="DA247" s="39" t="n">
        <f aca="false">IF(DA$4=0,0,IF(COUNTIFS(実績!$W$6:$W$505,DA$3,実績!$AI$6:$AI$505,"&lt;="&amp;$A247,実績!$AJ$6:$AJ$505,"&gt;"&amp;$A247,実績!$AL$6:$AL$505,"○")&gt;0,1,0))</f>
        <v>0</v>
      </c>
      <c r="DB247" s="39" t="n">
        <f aca="false">IF(DB$4=0,0,IF(COUNTIFS(実績!$W$6:$W$505,DB$3,実績!$AI$6:$AI$505,"&lt;="&amp;$A247,実績!$AJ$6:$AJ$505,"&gt;"&amp;$A247,実績!$AL$6:$AL$505,"○")&gt;0,1,0))</f>
        <v>0</v>
      </c>
      <c r="DC247" s="39" t="n">
        <f aca="false">IF(DC$4=0,0,IF(COUNTIFS(実績!$W$6:$W$505,DC$3,実績!$AI$6:$AI$505,"&lt;="&amp;$A247,実績!$AJ$6:$AJ$505,"&gt;"&amp;$A247,実績!$AL$6:$AL$505,"○")&gt;0,1,0))</f>
        <v>0</v>
      </c>
      <c r="DD247" s="39" t="n">
        <f aca="false">IF(DD$4=0,0,IF(COUNTIFS(実績!$W$6:$W$505,DD$3,実績!$AI$6:$AI$505,"&lt;="&amp;$A247,実績!$AJ$6:$AJ$505,"&gt;"&amp;$A247,実績!$AL$6:$AL$505,"○")&gt;0,1,0))</f>
        <v>0</v>
      </c>
      <c r="DE247" s="39" t="n">
        <f aca="false">IF(DE$4=0,0,IF(COUNTIFS(実績!$W$6:$W$505,DE$3,実績!$AI$6:$AI$505,"&lt;="&amp;$A247,実績!$AJ$6:$AJ$505,"&gt;"&amp;$A247,実績!$AL$6:$AL$505,"○")&gt;0,1,0))</f>
        <v>0</v>
      </c>
      <c r="DF247" s="39" t="n">
        <f aca="false">IF(DF$4=0,0,IF(COUNTIFS(実績!$W$6:$W$505,DF$3,実績!$AI$6:$AI$505,"&lt;="&amp;$A247,実績!$AJ$6:$AJ$505,"&gt;"&amp;$A247,実績!$AL$6:$AL$505,"○")&gt;0,1,0))</f>
        <v>0</v>
      </c>
      <c r="DG247" s="39" t="n">
        <f aca="false">IF(DG$4=0,0,IF(COUNTIFS(実績!$W$6:$W$505,DG$3,実績!$AI$6:$AI$505,"&lt;="&amp;$A247,実績!$AJ$6:$AJ$505,"&gt;"&amp;$A247,実績!$AL$6:$AL$505,"○")&gt;0,1,0))</f>
        <v>0</v>
      </c>
      <c r="DH247" s="39" t="n">
        <f aca="false">IF(DH$4=0,0,IF(COUNTIFS(実績!$W$6:$W$505,DH$3,実績!$AI$6:$AI$505,"&lt;="&amp;$A247,実績!$AJ$6:$AJ$505,"&gt;"&amp;$A247,実績!$AL$6:$AL$505,"○")&gt;0,1,0))</f>
        <v>0</v>
      </c>
      <c r="DI247" s="39" t="n">
        <f aca="false">IF(DI$4=0,0,IF(COUNTIFS(実績!$W$6:$W$505,DI$3,実績!$AI$6:$AI$505,"&lt;="&amp;$A247,実績!$AJ$6:$AJ$505,"&gt;"&amp;$A247,実績!$AL$6:$AL$505,"○")&gt;0,1,0))</f>
        <v>0</v>
      </c>
      <c r="DJ247" s="39" t="n">
        <f aca="false">IF(DJ$4=0,0,IF(COUNTIFS(実績!$W$6:$W$505,DJ$3,実績!$AI$6:$AI$505,"&lt;="&amp;$A247,実績!$AJ$6:$AJ$505,"&gt;"&amp;$A247,実績!$AL$6:$AL$505,"○")&gt;0,1,0))</f>
        <v>0</v>
      </c>
      <c r="DK247" s="39" t="n">
        <f aca="false">IF(DK$4=0,0,IF(COUNTIFS(実績!$W$6:$W$505,DK$3,実績!$AI$6:$AI$505,"&lt;="&amp;$A247,実績!$AJ$6:$AJ$505,"&gt;"&amp;$A247,実績!$AL$6:$AL$505,"○")&gt;0,1,0))</f>
        <v>0</v>
      </c>
      <c r="DL247" s="39" t="n">
        <f aca="false">IF(DL$4=0,0,IF(COUNTIFS(実績!$W$6:$W$505,DL$3,実績!$AI$6:$AI$505,"&lt;="&amp;$A247,実績!$AJ$6:$AJ$505,"&gt;"&amp;$A247,実績!$AL$6:$AL$505,"○")&gt;0,1,0))</f>
        <v>0</v>
      </c>
      <c r="DM247" s="39" t="n">
        <f aca="false">IF(DM$4=0,0,IF(COUNTIFS(実績!$W$6:$W$505,DM$3,実績!$AI$6:$AI$505,"&lt;="&amp;$A247,実績!$AJ$6:$AJ$505,"&gt;"&amp;$A247,実績!$AL$6:$AL$505,"○")&gt;0,1,0))</f>
        <v>0</v>
      </c>
      <c r="DN247" s="39" t="n">
        <f aca="false">IF(DN$4=0,0,IF(COUNTIFS(実績!$W$6:$W$505,DN$3,実績!$AI$6:$AI$505,"&lt;="&amp;$A247,実績!$AJ$6:$AJ$505,"&gt;"&amp;$A247,実績!$AL$6:$AL$505,"○")&gt;0,1,0))</f>
        <v>0</v>
      </c>
      <c r="DO247" s="39" t="n">
        <f aca="false">IF(DO$4=0,0,IF(COUNTIFS(実績!$W$6:$W$505,DO$3,実績!$AI$6:$AI$505,"&lt;="&amp;$A247,実績!$AJ$6:$AJ$505,"&gt;"&amp;$A247,実績!$AL$6:$AL$505,"○")&gt;0,1,0))</f>
        <v>0</v>
      </c>
      <c r="DP247" s="39" t="n">
        <f aca="false">IF(DP$4=0,0,IF(COUNTIFS(実績!$W$6:$W$505,DP$3,実績!$AI$6:$AI$505,"&lt;="&amp;$A247,実績!$AJ$6:$AJ$505,"&gt;"&amp;$A247,実績!$AL$6:$AL$505,"○")&gt;0,1,0))</f>
        <v>0</v>
      </c>
      <c r="DQ247" s="39" t="n">
        <f aca="false">IF(DQ$4=0,0,IF(COUNTIFS(実績!$W$6:$W$505,DQ$3,実績!$AI$6:$AI$505,"&lt;="&amp;$A247,実績!$AJ$6:$AJ$505,"&gt;"&amp;$A247,実績!$AL$6:$AL$505,"○")&gt;0,1,0))</f>
        <v>0</v>
      </c>
      <c r="DR247" s="39" t="n">
        <f aca="false">IF(DR$4=0,0,IF(COUNTIFS(実績!$W$6:$W$505,DR$3,実績!$AI$6:$AI$505,"&lt;="&amp;$A247,実績!$AJ$6:$AJ$505,"&gt;"&amp;$A247,実績!$AL$6:$AL$505,"○")&gt;0,1,0))</f>
        <v>0</v>
      </c>
      <c r="DS247" s="39" t="n">
        <f aca="false">SUM(C247:DR247)</f>
        <v>0</v>
      </c>
    </row>
    <row r="248" customFormat="false" ht="15" hidden="false" customHeight="false" outlineLevel="0" collapsed="false">
      <c r="A248" s="0" t="n">
        <v>1210</v>
      </c>
      <c r="B248" s="38" t="n">
        <f aca="false">A248/1440</f>
        <v>0.840277777777778</v>
      </c>
      <c r="C248" s="39" t="n">
        <f aca="false">IF(C$4=0,0,IF(COUNTIFS(実績!$W$6:$W$505,C$3,実績!$AI$6:$AI$505,"&lt;="&amp;$A248,実績!$AJ$6:$AJ$505,"&gt;"&amp;$A248,実績!$AL$6:$AL$505,"○")&gt;0,1,0))</f>
        <v>0</v>
      </c>
      <c r="D248" s="39" t="n">
        <f aca="false">IF(D$4=0,0,IF(COUNTIFS(実績!$W$6:$W$505,D$3,実績!$AI$6:$AI$505,"&lt;="&amp;$A248,実績!$AJ$6:$AJ$505,"&gt;"&amp;$A248,実績!$AL$6:$AL$505,"○")&gt;0,1,0))</f>
        <v>0</v>
      </c>
      <c r="E248" s="39" t="n">
        <f aca="false">IF(E$4=0,0,IF(COUNTIFS(実績!$W$6:$W$505,E$3,実績!$AI$6:$AI$505,"&lt;="&amp;$A248,実績!$AJ$6:$AJ$505,"&gt;"&amp;$A248,実績!$AL$6:$AL$505,"○")&gt;0,1,0))</f>
        <v>0</v>
      </c>
      <c r="F248" s="39" t="n">
        <f aca="false">IF(F$4=0,0,IF(COUNTIFS(実績!$W$6:$W$505,F$3,実績!$AI$6:$AI$505,"&lt;="&amp;$A248,実績!$AJ$6:$AJ$505,"&gt;"&amp;$A248,実績!$AL$6:$AL$505,"○")&gt;0,1,0))</f>
        <v>0</v>
      </c>
      <c r="G248" s="39" t="n">
        <f aca="false">IF(G$4=0,0,IF(COUNTIFS(実績!$W$6:$W$505,G$3,実績!$AI$6:$AI$505,"&lt;="&amp;$A248,実績!$AJ$6:$AJ$505,"&gt;"&amp;$A248,実績!$AL$6:$AL$505,"○")&gt;0,1,0))</f>
        <v>0</v>
      </c>
      <c r="H248" s="39" t="n">
        <f aca="false">IF(H$4=0,0,IF(COUNTIFS(実績!$W$6:$W$505,H$3,実績!$AI$6:$AI$505,"&lt;="&amp;$A248,実績!$AJ$6:$AJ$505,"&gt;"&amp;$A248,実績!$AL$6:$AL$505,"○")&gt;0,1,0))</f>
        <v>0</v>
      </c>
      <c r="I248" s="39" t="n">
        <f aca="false">IF(I$4=0,0,IF(COUNTIFS(実績!$W$6:$W$505,I$3,実績!$AI$6:$AI$505,"&lt;="&amp;$A248,実績!$AJ$6:$AJ$505,"&gt;"&amp;$A248,実績!$AL$6:$AL$505,"○")&gt;0,1,0))</f>
        <v>0</v>
      </c>
      <c r="J248" s="39" t="n">
        <f aca="false">IF(J$4=0,0,IF(COUNTIFS(実績!$W$6:$W$505,J$3,実績!$AI$6:$AI$505,"&lt;="&amp;$A248,実績!$AJ$6:$AJ$505,"&gt;"&amp;$A248,実績!$AL$6:$AL$505,"○")&gt;0,1,0))</f>
        <v>0</v>
      </c>
      <c r="K248" s="39" t="n">
        <f aca="false">IF(K$4=0,0,IF(COUNTIFS(実績!$W$6:$W$505,K$3,実績!$AI$6:$AI$505,"&lt;="&amp;$A248,実績!$AJ$6:$AJ$505,"&gt;"&amp;$A248,実績!$AL$6:$AL$505,"○")&gt;0,1,0))</f>
        <v>0</v>
      </c>
      <c r="L248" s="39" t="n">
        <f aca="false">IF(L$4=0,0,IF(COUNTIFS(実績!$W$6:$W$505,L$3,実績!$AI$6:$AI$505,"&lt;="&amp;$A248,実績!$AJ$6:$AJ$505,"&gt;"&amp;$A248,実績!$AL$6:$AL$505,"○")&gt;0,1,0))</f>
        <v>0</v>
      </c>
      <c r="M248" s="39" t="n">
        <f aca="false">IF(M$4=0,0,IF(COUNTIFS(実績!$W$6:$W$505,M$3,実績!$AI$6:$AI$505,"&lt;="&amp;$A248,実績!$AJ$6:$AJ$505,"&gt;"&amp;$A248,実績!$AL$6:$AL$505,"○")&gt;0,1,0))</f>
        <v>0</v>
      </c>
      <c r="N248" s="39" t="n">
        <f aca="false">IF(N$4=0,0,IF(COUNTIFS(実績!$W$6:$W$505,N$3,実績!$AI$6:$AI$505,"&lt;="&amp;$A248,実績!$AJ$6:$AJ$505,"&gt;"&amp;$A248,実績!$AL$6:$AL$505,"○")&gt;0,1,0))</f>
        <v>0</v>
      </c>
      <c r="O248" s="39" t="n">
        <f aca="false">IF(O$4=0,0,IF(COUNTIFS(実績!$W$6:$W$505,O$3,実績!$AI$6:$AI$505,"&lt;="&amp;$A248,実績!$AJ$6:$AJ$505,"&gt;"&amp;$A248,実績!$AL$6:$AL$505,"○")&gt;0,1,0))</f>
        <v>0</v>
      </c>
      <c r="P248" s="39" t="n">
        <f aca="false">IF(P$4=0,0,IF(COUNTIFS(実績!$W$6:$W$505,P$3,実績!$AI$6:$AI$505,"&lt;="&amp;$A248,実績!$AJ$6:$AJ$505,"&gt;"&amp;$A248,実績!$AL$6:$AL$505,"○")&gt;0,1,0))</f>
        <v>0</v>
      </c>
      <c r="Q248" s="39" t="n">
        <f aca="false">IF(Q$4=0,0,IF(COUNTIFS(実績!$W$6:$W$505,Q$3,実績!$AI$6:$AI$505,"&lt;="&amp;$A248,実績!$AJ$6:$AJ$505,"&gt;"&amp;$A248,実績!$AL$6:$AL$505,"○")&gt;0,1,0))</f>
        <v>0</v>
      </c>
      <c r="R248" s="39" t="n">
        <f aca="false">IF(R$4=0,0,IF(COUNTIFS(実績!$W$6:$W$505,R$3,実績!$AI$6:$AI$505,"&lt;="&amp;$A248,実績!$AJ$6:$AJ$505,"&gt;"&amp;$A248,実績!$AL$6:$AL$505,"○")&gt;0,1,0))</f>
        <v>0</v>
      </c>
      <c r="S248" s="39" t="n">
        <f aca="false">IF(S$4=0,0,IF(COUNTIFS(実績!$W$6:$W$505,S$3,実績!$AI$6:$AI$505,"&lt;="&amp;$A248,実績!$AJ$6:$AJ$505,"&gt;"&amp;$A248,実績!$AL$6:$AL$505,"○")&gt;0,1,0))</f>
        <v>0</v>
      </c>
      <c r="T248" s="39" t="n">
        <f aca="false">IF(T$4=0,0,IF(COUNTIFS(実績!$W$6:$W$505,T$3,実績!$AI$6:$AI$505,"&lt;="&amp;$A248,実績!$AJ$6:$AJ$505,"&gt;"&amp;$A248,実績!$AL$6:$AL$505,"○")&gt;0,1,0))</f>
        <v>0</v>
      </c>
      <c r="U248" s="39" t="n">
        <f aca="false">IF(U$4=0,0,IF(COUNTIFS(実績!$W$6:$W$505,U$3,実績!$AI$6:$AI$505,"&lt;="&amp;$A248,実績!$AJ$6:$AJ$505,"&gt;"&amp;$A248,実績!$AL$6:$AL$505,"○")&gt;0,1,0))</f>
        <v>0</v>
      </c>
      <c r="V248" s="39" t="n">
        <f aca="false">IF(V$4=0,0,IF(COUNTIFS(実績!$W$6:$W$505,V$3,実績!$AI$6:$AI$505,"&lt;="&amp;$A248,実績!$AJ$6:$AJ$505,"&gt;"&amp;$A248,実績!$AL$6:$AL$505,"○")&gt;0,1,0))</f>
        <v>0</v>
      </c>
      <c r="W248" s="39" t="n">
        <f aca="false">IF(W$4=0,0,IF(COUNTIFS(実績!$W$6:$W$505,W$3,実績!$AI$6:$AI$505,"&lt;="&amp;$A248,実績!$AJ$6:$AJ$505,"&gt;"&amp;$A248,実績!$AL$6:$AL$505,"○")&gt;0,1,0))</f>
        <v>0</v>
      </c>
      <c r="X248" s="39" t="n">
        <f aca="false">IF(X$4=0,0,IF(COUNTIFS(実績!$W$6:$W$505,X$3,実績!$AI$6:$AI$505,"&lt;="&amp;$A248,実績!$AJ$6:$AJ$505,"&gt;"&amp;$A248,実績!$AL$6:$AL$505,"○")&gt;0,1,0))</f>
        <v>0</v>
      </c>
      <c r="Y248" s="39" t="n">
        <f aca="false">IF(Y$4=0,0,IF(COUNTIFS(実績!$W$6:$W$505,Y$3,実績!$AI$6:$AI$505,"&lt;="&amp;$A248,実績!$AJ$6:$AJ$505,"&gt;"&amp;$A248,実績!$AL$6:$AL$505,"○")&gt;0,1,0))</f>
        <v>0</v>
      </c>
      <c r="Z248" s="39" t="n">
        <f aca="false">IF(Z$4=0,0,IF(COUNTIFS(実績!$W$6:$W$505,Z$3,実績!$AI$6:$AI$505,"&lt;="&amp;$A248,実績!$AJ$6:$AJ$505,"&gt;"&amp;$A248,実績!$AL$6:$AL$505,"○")&gt;0,1,0))</f>
        <v>0</v>
      </c>
      <c r="AA248" s="39" t="n">
        <f aca="false">IF(AA$4=0,0,IF(COUNTIFS(実績!$W$6:$W$505,AA$3,実績!$AI$6:$AI$505,"&lt;="&amp;$A248,実績!$AJ$6:$AJ$505,"&gt;"&amp;$A248,実績!$AL$6:$AL$505,"○")&gt;0,1,0))</f>
        <v>0</v>
      </c>
      <c r="AB248" s="39" t="n">
        <f aca="false">IF(AB$4=0,0,IF(COUNTIFS(実績!$W$6:$W$505,AB$3,実績!$AI$6:$AI$505,"&lt;="&amp;$A248,実績!$AJ$6:$AJ$505,"&gt;"&amp;$A248,実績!$AL$6:$AL$505,"○")&gt;0,1,0))</f>
        <v>0</v>
      </c>
      <c r="AC248" s="39" t="n">
        <f aca="false">IF(AC$4=0,0,IF(COUNTIFS(実績!$W$6:$W$505,AC$3,実績!$AI$6:$AI$505,"&lt;="&amp;$A248,実績!$AJ$6:$AJ$505,"&gt;"&amp;$A248,実績!$AL$6:$AL$505,"○")&gt;0,1,0))</f>
        <v>0</v>
      </c>
      <c r="AD248" s="39" t="n">
        <f aca="false">IF(AD$4=0,0,IF(COUNTIFS(実績!$W$6:$W$505,AD$3,実績!$AI$6:$AI$505,"&lt;="&amp;$A248,実績!$AJ$6:$AJ$505,"&gt;"&amp;$A248,実績!$AL$6:$AL$505,"○")&gt;0,1,0))</f>
        <v>0</v>
      </c>
      <c r="AE248" s="39" t="n">
        <f aca="false">IF(AE$4=0,0,IF(COUNTIFS(実績!$W$6:$W$505,AE$3,実績!$AI$6:$AI$505,"&lt;="&amp;$A248,実績!$AJ$6:$AJ$505,"&gt;"&amp;$A248,実績!$AL$6:$AL$505,"○")&gt;0,1,0))</f>
        <v>0</v>
      </c>
      <c r="AF248" s="39" t="n">
        <f aca="false">IF(AF$4=0,0,IF(COUNTIFS(実績!$W$6:$W$505,AF$3,実績!$AI$6:$AI$505,"&lt;="&amp;$A248,実績!$AJ$6:$AJ$505,"&gt;"&amp;$A248,実績!$AL$6:$AL$505,"○")&gt;0,1,0))</f>
        <v>0</v>
      </c>
      <c r="AG248" s="39" t="n">
        <f aca="false">IF(AG$4=0,0,IF(COUNTIFS(実績!$W$6:$W$505,AG$3,実績!$AI$6:$AI$505,"&lt;="&amp;$A248,実績!$AJ$6:$AJ$505,"&gt;"&amp;$A248,実績!$AL$6:$AL$505,"○")&gt;0,1,0))</f>
        <v>0</v>
      </c>
      <c r="AH248" s="39" t="n">
        <f aca="false">IF(AH$4=0,0,IF(COUNTIFS(実績!$W$6:$W$505,AH$3,実績!$AI$6:$AI$505,"&lt;="&amp;$A248,実績!$AJ$6:$AJ$505,"&gt;"&amp;$A248,実績!$AL$6:$AL$505,"○")&gt;0,1,0))</f>
        <v>0</v>
      </c>
      <c r="AI248" s="39" t="n">
        <f aca="false">IF(AI$4=0,0,IF(COUNTIFS(実績!$W$6:$W$505,AI$3,実績!$AI$6:$AI$505,"&lt;="&amp;$A248,実績!$AJ$6:$AJ$505,"&gt;"&amp;$A248,実績!$AL$6:$AL$505,"○")&gt;0,1,0))</f>
        <v>0</v>
      </c>
      <c r="AJ248" s="39" t="n">
        <f aca="false">IF(AJ$4=0,0,IF(COUNTIFS(実績!$W$6:$W$505,AJ$3,実績!$AI$6:$AI$505,"&lt;="&amp;$A248,実績!$AJ$6:$AJ$505,"&gt;"&amp;$A248,実績!$AL$6:$AL$505,"○")&gt;0,1,0))</f>
        <v>0</v>
      </c>
      <c r="AK248" s="39" t="n">
        <f aca="false">IF(AK$4=0,0,IF(COUNTIFS(実績!$W$6:$W$505,AK$3,実績!$AI$6:$AI$505,"&lt;="&amp;$A248,実績!$AJ$6:$AJ$505,"&gt;"&amp;$A248,実績!$AL$6:$AL$505,"○")&gt;0,1,0))</f>
        <v>0</v>
      </c>
      <c r="AL248" s="39" t="n">
        <f aca="false">IF(AL$4=0,0,IF(COUNTIFS(実績!$W$6:$W$505,AL$3,実績!$AI$6:$AI$505,"&lt;="&amp;$A248,実績!$AJ$6:$AJ$505,"&gt;"&amp;$A248,実績!$AL$6:$AL$505,"○")&gt;0,1,0))</f>
        <v>0</v>
      </c>
      <c r="AM248" s="39" t="n">
        <f aca="false">IF(AM$4=0,0,IF(COUNTIFS(実績!$W$6:$W$505,AM$3,実績!$AI$6:$AI$505,"&lt;="&amp;$A248,実績!$AJ$6:$AJ$505,"&gt;"&amp;$A248,実績!$AL$6:$AL$505,"○")&gt;0,1,0))</f>
        <v>0</v>
      </c>
      <c r="AN248" s="39" t="n">
        <f aca="false">IF(AN$4=0,0,IF(COUNTIFS(実績!$W$6:$W$505,AN$3,実績!$AI$6:$AI$505,"&lt;="&amp;$A248,実績!$AJ$6:$AJ$505,"&gt;"&amp;$A248,実績!$AL$6:$AL$505,"○")&gt;0,1,0))</f>
        <v>0</v>
      </c>
      <c r="AO248" s="39" t="n">
        <f aca="false">IF(AO$4=0,0,IF(COUNTIFS(実績!$W$6:$W$505,AO$3,実績!$AI$6:$AI$505,"&lt;="&amp;$A248,実績!$AJ$6:$AJ$505,"&gt;"&amp;$A248,実績!$AL$6:$AL$505,"○")&gt;0,1,0))</f>
        <v>0</v>
      </c>
      <c r="AP248" s="39" t="n">
        <f aca="false">IF(AP$4=0,0,IF(COUNTIFS(実績!$W$6:$W$505,AP$3,実績!$AI$6:$AI$505,"&lt;="&amp;$A248,実績!$AJ$6:$AJ$505,"&gt;"&amp;$A248,実績!$AL$6:$AL$505,"○")&gt;0,1,0))</f>
        <v>0</v>
      </c>
      <c r="AQ248" s="39" t="n">
        <f aca="false">IF(AQ$4=0,0,IF(COUNTIFS(実績!$W$6:$W$505,AQ$3,実績!$AI$6:$AI$505,"&lt;="&amp;$A248,実績!$AJ$6:$AJ$505,"&gt;"&amp;$A248,実績!$AL$6:$AL$505,"○")&gt;0,1,0))</f>
        <v>0</v>
      </c>
      <c r="AR248" s="39" t="n">
        <f aca="false">IF(AR$4=0,0,IF(COUNTIFS(実績!$W$6:$W$505,AR$3,実績!$AI$6:$AI$505,"&lt;="&amp;$A248,実績!$AJ$6:$AJ$505,"&gt;"&amp;$A248,実績!$AL$6:$AL$505,"○")&gt;0,1,0))</f>
        <v>0</v>
      </c>
      <c r="AS248" s="39" t="n">
        <f aca="false">IF(AS$4=0,0,IF(COUNTIFS(実績!$W$6:$W$505,AS$3,実績!$AI$6:$AI$505,"&lt;="&amp;$A248,実績!$AJ$6:$AJ$505,"&gt;"&amp;$A248,実績!$AL$6:$AL$505,"○")&gt;0,1,0))</f>
        <v>0</v>
      </c>
      <c r="AT248" s="39" t="n">
        <f aca="false">IF(AT$4=0,0,IF(COUNTIFS(実績!$W$6:$W$505,AT$3,実績!$AI$6:$AI$505,"&lt;="&amp;$A248,実績!$AJ$6:$AJ$505,"&gt;"&amp;$A248,実績!$AL$6:$AL$505,"○")&gt;0,1,0))</f>
        <v>0</v>
      </c>
      <c r="AU248" s="39" t="n">
        <f aca="false">IF(AU$4=0,0,IF(COUNTIFS(実績!$W$6:$W$505,AU$3,実績!$AI$6:$AI$505,"&lt;="&amp;$A248,実績!$AJ$6:$AJ$505,"&gt;"&amp;$A248,実績!$AL$6:$AL$505,"○")&gt;0,1,0))</f>
        <v>0</v>
      </c>
      <c r="AV248" s="39" t="n">
        <f aca="false">IF(AV$4=0,0,IF(COUNTIFS(実績!$W$6:$W$505,AV$3,実績!$AI$6:$AI$505,"&lt;="&amp;$A248,実績!$AJ$6:$AJ$505,"&gt;"&amp;$A248,実績!$AL$6:$AL$505,"○")&gt;0,1,0))</f>
        <v>0</v>
      </c>
      <c r="AW248" s="39" t="n">
        <f aca="false">IF(AW$4=0,0,IF(COUNTIFS(実績!$W$6:$W$505,AW$3,実績!$AI$6:$AI$505,"&lt;="&amp;$A248,実績!$AJ$6:$AJ$505,"&gt;"&amp;$A248,実績!$AL$6:$AL$505,"○")&gt;0,1,0))</f>
        <v>0</v>
      </c>
      <c r="AX248" s="39" t="n">
        <f aca="false">IF(AX$4=0,0,IF(COUNTIFS(実績!$W$6:$W$505,AX$3,実績!$AI$6:$AI$505,"&lt;="&amp;$A248,実績!$AJ$6:$AJ$505,"&gt;"&amp;$A248,実績!$AL$6:$AL$505,"○")&gt;0,1,0))</f>
        <v>0</v>
      </c>
      <c r="AY248" s="39" t="n">
        <f aca="false">IF(AY$4=0,0,IF(COUNTIFS(実績!$W$6:$W$505,AY$3,実績!$AI$6:$AI$505,"&lt;="&amp;$A248,実績!$AJ$6:$AJ$505,"&gt;"&amp;$A248,実績!$AL$6:$AL$505,"○")&gt;0,1,0))</f>
        <v>0</v>
      </c>
      <c r="AZ248" s="39" t="n">
        <f aca="false">IF(AZ$4=0,0,IF(COUNTIFS(実績!$W$6:$W$505,AZ$3,実績!$AI$6:$AI$505,"&lt;="&amp;$A248,実績!$AJ$6:$AJ$505,"&gt;"&amp;$A248,実績!$AL$6:$AL$505,"○")&gt;0,1,0))</f>
        <v>0</v>
      </c>
      <c r="BA248" s="39" t="n">
        <f aca="false">IF(BA$4=0,0,IF(COUNTIFS(実績!$W$6:$W$505,BA$3,実績!$AI$6:$AI$505,"&lt;="&amp;$A248,実績!$AJ$6:$AJ$505,"&gt;"&amp;$A248,実績!$AL$6:$AL$505,"○")&gt;0,1,0))</f>
        <v>0</v>
      </c>
      <c r="BB248" s="39" t="n">
        <f aca="false">IF(BB$4=0,0,IF(COUNTIFS(実績!$W$6:$W$505,BB$3,実績!$AI$6:$AI$505,"&lt;="&amp;$A248,実績!$AJ$6:$AJ$505,"&gt;"&amp;$A248,実績!$AL$6:$AL$505,"○")&gt;0,1,0))</f>
        <v>0</v>
      </c>
      <c r="BC248" s="39" t="n">
        <f aca="false">IF(BC$4=0,0,IF(COUNTIFS(実績!$W$6:$W$505,BC$3,実績!$AI$6:$AI$505,"&lt;="&amp;$A248,実績!$AJ$6:$AJ$505,"&gt;"&amp;$A248,実績!$AL$6:$AL$505,"○")&gt;0,1,0))</f>
        <v>0</v>
      </c>
      <c r="BD248" s="39" t="n">
        <f aca="false">IF(BD$4=0,0,IF(COUNTIFS(実績!$W$6:$W$505,BD$3,実績!$AI$6:$AI$505,"&lt;="&amp;$A248,実績!$AJ$6:$AJ$505,"&gt;"&amp;$A248,実績!$AL$6:$AL$505,"○")&gt;0,1,0))</f>
        <v>0</v>
      </c>
      <c r="BE248" s="39" t="n">
        <f aca="false">IF(BE$4=0,0,IF(COUNTIFS(実績!$W$6:$W$505,BE$3,実績!$AI$6:$AI$505,"&lt;="&amp;$A248,実績!$AJ$6:$AJ$505,"&gt;"&amp;$A248,実績!$AL$6:$AL$505,"○")&gt;0,1,0))</f>
        <v>0</v>
      </c>
      <c r="BF248" s="39" t="n">
        <f aca="false">IF(BF$4=0,0,IF(COUNTIFS(実績!$W$6:$W$505,BF$3,実績!$AI$6:$AI$505,"&lt;="&amp;$A248,実績!$AJ$6:$AJ$505,"&gt;"&amp;$A248,実績!$AL$6:$AL$505,"○")&gt;0,1,0))</f>
        <v>0</v>
      </c>
      <c r="BG248" s="39" t="n">
        <f aca="false">IF(BG$4=0,0,IF(COUNTIFS(実績!$W$6:$W$505,BG$3,実績!$AI$6:$AI$505,"&lt;="&amp;$A248,実績!$AJ$6:$AJ$505,"&gt;"&amp;$A248,実績!$AL$6:$AL$505,"○")&gt;0,1,0))</f>
        <v>0</v>
      </c>
      <c r="BH248" s="39" t="n">
        <f aca="false">IF(BH$4=0,0,IF(COUNTIFS(実績!$W$6:$W$505,BH$3,実績!$AI$6:$AI$505,"&lt;="&amp;$A248,実績!$AJ$6:$AJ$505,"&gt;"&amp;$A248,実績!$AL$6:$AL$505,"○")&gt;0,1,0))</f>
        <v>0</v>
      </c>
      <c r="BI248" s="39" t="n">
        <f aca="false">IF(BI$4=0,0,IF(COUNTIFS(実績!$W$6:$W$505,BI$3,実績!$AI$6:$AI$505,"&lt;="&amp;$A248,実績!$AJ$6:$AJ$505,"&gt;"&amp;$A248,実績!$AL$6:$AL$505,"○")&gt;0,1,0))</f>
        <v>0</v>
      </c>
      <c r="BJ248" s="39" t="n">
        <f aca="false">IF(BJ$4=0,0,IF(COUNTIFS(実績!$W$6:$W$505,BJ$3,実績!$AI$6:$AI$505,"&lt;="&amp;$A248,実績!$AJ$6:$AJ$505,"&gt;"&amp;$A248,実績!$AL$6:$AL$505,"○")&gt;0,1,0))</f>
        <v>0</v>
      </c>
      <c r="BK248" s="39" t="n">
        <f aca="false">IF(BK$4=0,0,IF(COUNTIFS(実績!$W$6:$W$505,BK$3,実績!$AI$6:$AI$505,"&lt;="&amp;$A248,実績!$AJ$6:$AJ$505,"&gt;"&amp;$A248,実績!$AL$6:$AL$505,"○")&gt;0,1,0))</f>
        <v>0</v>
      </c>
      <c r="BL248" s="39" t="n">
        <f aca="false">IF(BL$4=0,0,IF(COUNTIFS(実績!$W$6:$W$505,BL$3,実績!$AI$6:$AI$505,"&lt;="&amp;$A248,実績!$AJ$6:$AJ$505,"&gt;"&amp;$A248,実績!$AL$6:$AL$505,"○")&gt;0,1,0))</f>
        <v>0</v>
      </c>
      <c r="BM248" s="39" t="n">
        <f aca="false">IF(BM$4=0,0,IF(COUNTIFS(実績!$W$6:$W$505,BM$3,実績!$AI$6:$AI$505,"&lt;="&amp;$A248,実績!$AJ$6:$AJ$505,"&gt;"&amp;$A248,実績!$AL$6:$AL$505,"○")&gt;0,1,0))</f>
        <v>0</v>
      </c>
      <c r="BN248" s="39" t="n">
        <f aca="false">IF(BN$4=0,0,IF(COUNTIFS(実績!$W$6:$W$505,BN$3,実績!$AI$6:$AI$505,"&lt;="&amp;$A248,実績!$AJ$6:$AJ$505,"&gt;"&amp;$A248,実績!$AL$6:$AL$505,"○")&gt;0,1,0))</f>
        <v>0</v>
      </c>
      <c r="BO248" s="39" t="n">
        <f aca="false">IF(BO$4=0,0,IF(COUNTIFS(実績!$W$6:$W$505,BO$3,実績!$AI$6:$AI$505,"&lt;="&amp;$A248,実績!$AJ$6:$AJ$505,"&gt;"&amp;$A248,実績!$AL$6:$AL$505,"○")&gt;0,1,0))</f>
        <v>0</v>
      </c>
      <c r="BP248" s="39" t="n">
        <f aca="false">IF(BP$4=0,0,IF(COUNTIFS(実績!$W$6:$W$505,BP$3,実績!$AI$6:$AI$505,"&lt;="&amp;$A248,実績!$AJ$6:$AJ$505,"&gt;"&amp;$A248,実績!$AL$6:$AL$505,"○")&gt;0,1,0))</f>
        <v>0</v>
      </c>
      <c r="BQ248" s="39" t="n">
        <f aca="false">IF(BQ$4=0,0,IF(COUNTIFS(実績!$W$6:$W$505,BQ$3,実績!$AI$6:$AI$505,"&lt;="&amp;$A248,実績!$AJ$6:$AJ$505,"&gt;"&amp;$A248,実績!$AL$6:$AL$505,"○")&gt;0,1,0))</f>
        <v>0</v>
      </c>
      <c r="BR248" s="39" t="n">
        <f aca="false">IF(BR$4=0,0,IF(COUNTIFS(実績!$W$6:$W$505,BR$3,実績!$AI$6:$AI$505,"&lt;="&amp;$A248,実績!$AJ$6:$AJ$505,"&gt;"&amp;$A248,実績!$AL$6:$AL$505,"○")&gt;0,1,0))</f>
        <v>0</v>
      </c>
      <c r="BS248" s="39" t="n">
        <f aca="false">IF(BS$4=0,0,IF(COUNTIFS(実績!$W$6:$W$505,BS$3,実績!$AI$6:$AI$505,"&lt;="&amp;$A248,実績!$AJ$6:$AJ$505,"&gt;"&amp;$A248,実績!$AL$6:$AL$505,"○")&gt;0,1,0))</f>
        <v>0</v>
      </c>
      <c r="BT248" s="39" t="n">
        <f aca="false">IF(BT$4=0,0,IF(COUNTIFS(実績!$W$6:$W$505,BT$3,実績!$AI$6:$AI$505,"&lt;="&amp;$A248,実績!$AJ$6:$AJ$505,"&gt;"&amp;$A248,実績!$AL$6:$AL$505,"○")&gt;0,1,0))</f>
        <v>0</v>
      </c>
      <c r="BU248" s="39" t="n">
        <f aca="false">IF(BU$4=0,0,IF(COUNTIFS(実績!$W$6:$W$505,BU$3,実績!$AI$6:$AI$505,"&lt;="&amp;$A248,実績!$AJ$6:$AJ$505,"&gt;"&amp;$A248,実績!$AL$6:$AL$505,"○")&gt;0,1,0))</f>
        <v>0</v>
      </c>
      <c r="BV248" s="39" t="n">
        <f aca="false">IF(BV$4=0,0,IF(COUNTIFS(実績!$W$6:$W$505,BV$3,実績!$AI$6:$AI$505,"&lt;="&amp;$A248,実績!$AJ$6:$AJ$505,"&gt;"&amp;$A248,実績!$AL$6:$AL$505,"○")&gt;0,1,0))</f>
        <v>0</v>
      </c>
      <c r="BW248" s="39" t="n">
        <f aca="false">IF(BW$4=0,0,IF(COUNTIFS(実績!$W$6:$W$505,BW$3,実績!$AI$6:$AI$505,"&lt;="&amp;$A248,実績!$AJ$6:$AJ$505,"&gt;"&amp;$A248,実績!$AL$6:$AL$505,"○")&gt;0,1,0))</f>
        <v>0</v>
      </c>
      <c r="BX248" s="39" t="n">
        <f aca="false">IF(BX$4=0,0,IF(COUNTIFS(実績!$W$6:$W$505,BX$3,実績!$AI$6:$AI$505,"&lt;="&amp;$A248,実績!$AJ$6:$AJ$505,"&gt;"&amp;$A248,実績!$AL$6:$AL$505,"○")&gt;0,1,0))</f>
        <v>0</v>
      </c>
      <c r="BY248" s="39" t="n">
        <f aca="false">IF(BY$4=0,0,IF(COUNTIFS(実績!$W$6:$W$505,BY$3,実績!$AI$6:$AI$505,"&lt;="&amp;$A248,実績!$AJ$6:$AJ$505,"&gt;"&amp;$A248,実績!$AL$6:$AL$505,"○")&gt;0,1,0))</f>
        <v>0</v>
      </c>
      <c r="BZ248" s="39" t="n">
        <f aca="false">IF(BZ$4=0,0,IF(COUNTIFS(実績!$W$6:$W$505,BZ$3,実績!$AI$6:$AI$505,"&lt;="&amp;$A248,実績!$AJ$6:$AJ$505,"&gt;"&amp;$A248,実績!$AL$6:$AL$505,"○")&gt;0,1,0))</f>
        <v>0</v>
      </c>
      <c r="CA248" s="39" t="n">
        <f aca="false">IF(CA$4=0,0,IF(COUNTIFS(実績!$W$6:$W$505,CA$3,実績!$AI$6:$AI$505,"&lt;="&amp;$A248,実績!$AJ$6:$AJ$505,"&gt;"&amp;$A248,実績!$AL$6:$AL$505,"○")&gt;0,1,0))</f>
        <v>0</v>
      </c>
      <c r="CB248" s="39" t="n">
        <f aca="false">IF(CB$4=0,0,IF(COUNTIFS(実績!$W$6:$W$505,CB$3,実績!$AI$6:$AI$505,"&lt;="&amp;$A248,実績!$AJ$6:$AJ$505,"&gt;"&amp;$A248,実績!$AL$6:$AL$505,"○")&gt;0,1,0))</f>
        <v>0</v>
      </c>
      <c r="CC248" s="39" t="n">
        <f aca="false">IF(CC$4=0,0,IF(COUNTIFS(実績!$W$6:$W$505,CC$3,実績!$AI$6:$AI$505,"&lt;="&amp;$A248,実績!$AJ$6:$AJ$505,"&gt;"&amp;$A248,実績!$AL$6:$AL$505,"○")&gt;0,1,0))</f>
        <v>0</v>
      </c>
      <c r="CD248" s="39" t="n">
        <f aca="false">IF(CD$4=0,0,IF(COUNTIFS(実績!$W$6:$W$505,CD$3,実績!$AI$6:$AI$505,"&lt;="&amp;$A248,実績!$AJ$6:$AJ$505,"&gt;"&amp;$A248,実績!$AL$6:$AL$505,"○")&gt;0,1,0))</f>
        <v>0</v>
      </c>
      <c r="CE248" s="39" t="n">
        <f aca="false">IF(CE$4=0,0,IF(COUNTIFS(実績!$W$6:$W$505,CE$3,実績!$AI$6:$AI$505,"&lt;="&amp;$A248,実績!$AJ$6:$AJ$505,"&gt;"&amp;$A248,実績!$AL$6:$AL$505,"○")&gt;0,1,0))</f>
        <v>0</v>
      </c>
      <c r="CF248" s="39" t="n">
        <f aca="false">IF(CF$4=0,0,IF(COUNTIFS(実績!$W$6:$W$505,CF$3,実績!$AI$6:$AI$505,"&lt;="&amp;$A248,実績!$AJ$6:$AJ$505,"&gt;"&amp;$A248,実績!$AL$6:$AL$505,"○")&gt;0,1,0))</f>
        <v>0</v>
      </c>
      <c r="CG248" s="39" t="n">
        <f aca="false">IF(CG$4=0,0,IF(COUNTIFS(実績!$W$6:$W$505,CG$3,実績!$AI$6:$AI$505,"&lt;="&amp;$A248,実績!$AJ$6:$AJ$505,"&gt;"&amp;$A248,実績!$AL$6:$AL$505,"○")&gt;0,1,0))</f>
        <v>0</v>
      </c>
      <c r="CH248" s="39" t="n">
        <f aca="false">IF(CH$4=0,0,IF(COUNTIFS(実績!$W$6:$W$505,CH$3,実績!$AI$6:$AI$505,"&lt;="&amp;$A248,実績!$AJ$6:$AJ$505,"&gt;"&amp;$A248,実績!$AL$6:$AL$505,"○")&gt;0,1,0))</f>
        <v>0</v>
      </c>
      <c r="CI248" s="39" t="n">
        <f aca="false">IF(CI$4=0,0,IF(COUNTIFS(実績!$W$6:$W$505,CI$3,実績!$AI$6:$AI$505,"&lt;="&amp;$A248,実績!$AJ$6:$AJ$505,"&gt;"&amp;$A248,実績!$AL$6:$AL$505,"○")&gt;0,1,0))</f>
        <v>0</v>
      </c>
      <c r="CJ248" s="39" t="n">
        <f aca="false">IF(CJ$4=0,0,IF(COUNTIFS(実績!$W$6:$W$505,CJ$3,実績!$AI$6:$AI$505,"&lt;="&amp;$A248,実績!$AJ$6:$AJ$505,"&gt;"&amp;$A248,実績!$AL$6:$AL$505,"○")&gt;0,1,0))</f>
        <v>0</v>
      </c>
      <c r="CK248" s="39" t="n">
        <f aca="false">IF(CK$4=0,0,IF(COUNTIFS(実績!$W$6:$W$505,CK$3,実績!$AI$6:$AI$505,"&lt;="&amp;$A248,実績!$AJ$6:$AJ$505,"&gt;"&amp;$A248,実績!$AL$6:$AL$505,"○")&gt;0,1,0))</f>
        <v>0</v>
      </c>
      <c r="CL248" s="39" t="n">
        <f aca="false">IF(CL$4=0,0,IF(COUNTIFS(実績!$W$6:$W$505,CL$3,実績!$AI$6:$AI$505,"&lt;="&amp;$A248,実績!$AJ$6:$AJ$505,"&gt;"&amp;$A248,実績!$AL$6:$AL$505,"○")&gt;0,1,0))</f>
        <v>0</v>
      </c>
      <c r="CM248" s="39" t="n">
        <f aca="false">IF(CM$4=0,0,IF(COUNTIFS(実績!$W$6:$W$505,CM$3,実績!$AI$6:$AI$505,"&lt;="&amp;$A248,実績!$AJ$6:$AJ$505,"&gt;"&amp;$A248,実績!$AL$6:$AL$505,"○")&gt;0,1,0))</f>
        <v>0</v>
      </c>
      <c r="CN248" s="39" t="n">
        <f aca="false">IF(CN$4=0,0,IF(COUNTIFS(実績!$W$6:$W$505,CN$3,実績!$AI$6:$AI$505,"&lt;="&amp;$A248,実績!$AJ$6:$AJ$505,"&gt;"&amp;$A248,実績!$AL$6:$AL$505,"○")&gt;0,1,0))</f>
        <v>0</v>
      </c>
      <c r="CO248" s="39" t="n">
        <f aca="false">IF(CO$4=0,0,IF(COUNTIFS(実績!$W$6:$W$505,CO$3,実績!$AI$6:$AI$505,"&lt;="&amp;$A248,実績!$AJ$6:$AJ$505,"&gt;"&amp;$A248,実績!$AL$6:$AL$505,"○")&gt;0,1,0))</f>
        <v>0</v>
      </c>
      <c r="CP248" s="39" t="n">
        <f aca="false">IF(CP$4=0,0,IF(COUNTIFS(実績!$W$6:$W$505,CP$3,実績!$AI$6:$AI$505,"&lt;="&amp;$A248,実績!$AJ$6:$AJ$505,"&gt;"&amp;$A248,実績!$AL$6:$AL$505,"○")&gt;0,1,0))</f>
        <v>0</v>
      </c>
      <c r="CQ248" s="39" t="n">
        <f aca="false">IF(CQ$4=0,0,IF(COUNTIFS(実績!$W$6:$W$505,CQ$3,実績!$AI$6:$AI$505,"&lt;="&amp;$A248,実績!$AJ$6:$AJ$505,"&gt;"&amp;$A248,実績!$AL$6:$AL$505,"○")&gt;0,1,0))</f>
        <v>0</v>
      </c>
      <c r="CR248" s="39" t="n">
        <f aca="false">IF(CR$4=0,0,IF(COUNTIFS(実績!$W$6:$W$505,CR$3,実績!$AI$6:$AI$505,"&lt;="&amp;$A248,実績!$AJ$6:$AJ$505,"&gt;"&amp;$A248,実績!$AL$6:$AL$505,"○")&gt;0,1,0))</f>
        <v>0</v>
      </c>
      <c r="CS248" s="39" t="n">
        <f aca="false">IF(CS$4=0,0,IF(COUNTIFS(実績!$W$6:$W$505,CS$3,実績!$AI$6:$AI$505,"&lt;="&amp;$A248,実績!$AJ$6:$AJ$505,"&gt;"&amp;$A248,実績!$AL$6:$AL$505,"○")&gt;0,1,0))</f>
        <v>0</v>
      </c>
      <c r="CT248" s="39" t="n">
        <f aca="false">IF(CT$4=0,0,IF(COUNTIFS(実績!$W$6:$W$505,CT$3,実績!$AI$6:$AI$505,"&lt;="&amp;$A248,実績!$AJ$6:$AJ$505,"&gt;"&amp;$A248,実績!$AL$6:$AL$505,"○")&gt;0,1,0))</f>
        <v>0</v>
      </c>
      <c r="CU248" s="39" t="n">
        <f aca="false">IF(CU$4=0,0,IF(COUNTIFS(実績!$W$6:$W$505,CU$3,実績!$AI$6:$AI$505,"&lt;="&amp;$A248,実績!$AJ$6:$AJ$505,"&gt;"&amp;$A248,実績!$AL$6:$AL$505,"○")&gt;0,1,0))</f>
        <v>0</v>
      </c>
      <c r="CV248" s="39" t="n">
        <f aca="false">IF(CV$4=0,0,IF(COUNTIFS(実績!$W$6:$W$505,CV$3,実績!$AI$6:$AI$505,"&lt;="&amp;$A248,実績!$AJ$6:$AJ$505,"&gt;"&amp;$A248,実績!$AL$6:$AL$505,"○")&gt;0,1,0))</f>
        <v>0</v>
      </c>
      <c r="CW248" s="39" t="n">
        <f aca="false">IF(CW$4=0,0,IF(COUNTIFS(実績!$W$6:$W$505,CW$3,実績!$AI$6:$AI$505,"&lt;="&amp;$A248,実績!$AJ$6:$AJ$505,"&gt;"&amp;$A248,実績!$AL$6:$AL$505,"○")&gt;0,1,0))</f>
        <v>0</v>
      </c>
      <c r="CX248" s="39" t="n">
        <f aca="false">IF(CX$4=0,0,IF(COUNTIFS(実績!$W$6:$W$505,CX$3,実績!$AI$6:$AI$505,"&lt;="&amp;$A248,実績!$AJ$6:$AJ$505,"&gt;"&amp;$A248,実績!$AL$6:$AL$505,"○")&gt;0,1,0))</f>
        <v>0</v>
      </c>
      <c r="CY248" s="39" t="n">
        <f aca="false">IF(CY$4=0,0,IF(COUNTIFS(実績!$W$6:$W$505,CY$3,実績!$AI$6:$AI$505,"&lt;="&amp;$A248,実績!$AJ$6:$AJ$505,"&gt;"&amp;$A248,実績!$AL$6:$AL$505,"○")&gt;0,1,0))</f>
        <v>0</v>
      </c>
      <c r="CZ248" s="39" t="n">
        <f aca="false">IF(CZ$4=0,0,IF(COUNTIFS(実績!$W$6:$W$505,CZ$3,実績!$AI$6:$AI$505,"&lt;="&amp;$A248,実績!$AJ$6:$AJ$505,"&gt;"&amp;$A248,実績!$AL$6:$AL$505,"○")&gt;0,1,0))</f>
        <v>0</v>
      </c>
      <c r="DA248" s="39" t="n">
        <f aca="false">IF(DA$4=0,0,IF(COUNTIFS(実績!$W$6:$W$505,DA$3,実績!$AI$6:$AI$505,"&lt;="&amp;$A248,実績!$AJ$6:$AJ$505,"&gt;"&amp;$A248,実績!$AL$6:$AL$505,"○")&gt;0,1,0))</f>
        <v>0</v>
      </c>
      <c r="DB248" s="39" t="n">
        <f aca="false">IF(DB$4=0,0,IF(COUNTIFS(実績!$W$6:$W$505,DB$3,実績!$AI$6:$AI$505,"&lt;="&amp;$A248,実績!$AJ$6:$AJ$505,"&gt;"&amp;$A248,実績!$AL$6:$AL$505,"○")&gt;0,1,0))</f>
        <v>0</v>
      </c>
      <c r="DC248" s="39" t="n">
        <f aca="false">IF(DC$4=0,0,IF(COUNTIFS(実績!$W$6:$W$505,DC$3,実績!$AI$6:$AI$505,"&lt;="&amp;$A248,実績!$AJ$6:$AJ$505,"&gt;"&amp;$A248,実績!$AL$6:$AL$505,"○")&gt;0,1,0))</f>
        <v>0</v>
      </c>
      <c r="DD248" s="39" t="n">
        <f aca="false">IF(DD$4=0,0,IF(COUNTIFS(実績!$W$6:$W$505,DD$3,実績!$AI$6:$AI$505,"&lt;="&amp;$A248,実績!$AJ$6:$AJ$505,"&gt;"&amp;$A248,実績!$AL$6:$AL$505,"○")&gt;0,1,0))</f>
        <v>0</v>
      </c>
      <c r="DE248" s="39" t="n">
        <f aca="false">IF(DE$4=0,0,IF(COUNTIFS(実績!$W$6:$W$505,DE$3,実績!$AI$6:$AI$505,"&lt;="&amp;$A248,実績!$AJ$6:$AJ$505,"&gt;"&amp;$A248,実績!$AL$6:$AL$505,"○")&gt;0,1,0))</f>
        <v>0</v>
      </c>
      <c r="DF248" s="39" t="n">
        <f aca="false">IF(DF$4=0,0,IF(COUNTIFS(実績!$W$6:$W$505,DF$3,実績!$AI$6:$AI$505,"&lt;="&amp;$A248,実績!$AJ$6:$AJ$505,"&gt;"&amp;$A248,実績!$AL$6:$AL$505,"○")&gt;0,1,0))</f>
        <v>0</v>
      </c>
      <c r="DG248" s="39" t="n">
        <f aca="false">IF(DG$4=0,0,IF(COUNTIFS(実績!$W$6:$W$505,DG$3,実績!$AI$6:$AI$505,"&lt;="&amp;$A248,実績!$AJ$6:$AJ$505,"&gt;"&amp;$A248,実績!$AL$6:$AL$505,"○")&gt;0,1,0))</f>
        <v>0</v>
      </c>
      <c r="DH248" s="39" t="n">
        <f aca="false">IF(DH$4=0,0,IF(COUNTIFS(実績!$W$6:$W$505,DH$3,実績!$AI$6:$AI$505,"&lt;="&amp;$A248,実績!$AJ$6:$AJ$505,"&gt;"&amp;$A248,実績!$AL$6:$AL$505,"○")&gt;0,1,0))</f>
        <v>0</v>
      </c>
      <c r="DI248" s="39" t="n">
        <f aca="false">IF(DI$4=0,0,IF(COUNTIFS(実績!$W$6:$W$505,DI$3,実績!$AI$6:$AI$505,"&lt;="&amp;$A248,実績!$AJ$6:$AJ$505,"&gt;"&amp;$A248,実績!$AL$6:$AL$505,"○")&gt;0,1,0))</f>
        <v>0</v>
      </c>
      <c r="DJ248" s="39" t="n">
        <f aca="false">IF(DJ$4=0,0,IF(COUNTIFS(実績!$W$6:$W$505,DJ$3,実績!$AI$6:$AI$505,"&lt;="&amp;$A248,実績!$AJ$6:$AJ$505,"&gt;"&amp;$A248,実績!$AL$6:$AL$505,"○")&gt;0,1,0))</f>
        <v>0</v>
      </c>
      <c r="DK248" s="39" t="n">
        <f aca="false">IF(DK$4=0,0,IF(COUNTIFS(実績!$W$6:$W$505,DK$3,実績!$AI$6:$AI$505,"&lt;="&amp;$A248,実績!$AJ$6:$AJ$505,"&gt;"&amp;$A248,実績!$AL$6:$AL$505,"○")&gt;0,1,0))</f>
        <v>0</v>
      </c>
      <c r="DL248" s="39" t="n">
        <f aca="false">IF(DL$4=0,0,IF(COUNTIFS(実績!$W$6:$W$505,DL$3,実績!$AI$6:$AI$505,"&lt;="&amp;$A248,実績!$AJ$6:$AJ$505,"&gt;"&amp;$A248,実績!$AL$6:$AL$505,"○")&gt;0,1,0))</f>
        <v>0</v>
      </c>
      <c r="DM248" s="39" t="n">
        <f aca="false">IF(DM$4=0,0,IF(COUNTIFS(実績!$W$6:$W$505,DM$3,実績!$AI$6:$AI$505,"&lt;="&amp;$A248,実績!$AJ$6:$AJ$505,"&gt;"&amp;$A248,実績!$AL$6:$AL$505,"○")&gt;0,1,0))</f>
        <v>0</v>
      </c>
      <c r="DN248" s="39" t="n">
        <f aca="false">IF(DN$4=0,0,IF(COUNTIFS(実績!$W$6:$W$505,DN$3,実績!$AI$6:$AI$505,"&lt;="&amp;$A248,実績!$AJ$6:$AJ$505,"&gt;"&amp;$A248,実績!$AL$6:$AL$505,"○")&gt;0,1,0))</f>
        <v>0</v>
      </c>
      <c r="DO248" s="39" t="n">
        <f aca="false">IF(DO$4=0,0,IF(COUNTIFS(実績!$W$6:$W$505,DO$3,実績!$AI$6:$AI$505,"&lt;="&amp;$A248,実績!$AJ$6:$AJ$505,"&gt;"&amp;$A248,実績!$AL$6:$AL$505,"○")&gt;0,1,0))</f>
        <v>0</v>
      </c>
      <c r="DP248" s="39" t="n">
        <f aca="false">IF(DP$4=0,0,IF(COUNTIFS(実績!$W$6:$W$505,DP$3,実績!$AI$6:$AI$505,"&lt;="&amp;$A248,実績!$AJ$6:$AJ$505,"&gt;"&amp;$A248,実績!$AL$6:$AL$505,"○")&gt;0,1,0))</f>
        <v>0</v>
      </c>
      <c r="DQ248" s="39" t="n">
        <f aca="false">IF(DQ$4=0,0,IF(COUNTIFS(実績!$W$6:$W$505,DQ$3,実績!$AI$6:$AI$505,"&lt;="&amp;$A248,実績!$AJ$6:$AJ$505,"&gt;"&amp;$A248,実績!$AL$6:$AL$505,"○")&gt;0,1,0))</f>
        <v>0</v>
      </c>
      <c r="DR248" s="39" t="n">
        <f aca="false">IF(DR$4=0,0,IF(COUNTIFS(実績!$W$6:$W$505,DR$3,実績!$AI$6:$AI$505,"&lt;="&amp;$A248,実績!$AJ$6:$AJ$505,"&gt;"&amp;$A248,実績!$AL$6:$AL$505,"○")&gt;0,1,0))</f>
        <v>0</v>
      </c>
      <c r="DS248" s="39" t="n">
        <f aca="false">SUM(C248:DR248)</f>
        <v>0</v>
      </c>
    </row>
    <row r="249" customFormat="false" ht="15" hidden="false" customHeight="false" outlineLevel="0" collapsed="false">
      <c r="A249" s="0" t="n">
        <v>1215</v>
      </c>
      <c r="B249" s="38" t="n">
        <f aca="false">A249/1440</f>
        <v>0.84375</v>
      </c>
      <c r="C249" s="39" t="n">
        <f aca="false">IF(C$4=0,0,IF(COUNTIFS(実績!$W$6:$W$505,C$3,実績!$AI$6:$AI$505,"&lt;="&amp;$A249,実績!$AJ$6:$AJ$505,"&gt;"&amp;$A249,実績!$AL$6:$AL$505,"○")&gt;0,1,0))</f>
        <v>0</v>
      </c>
      <c r="D249" s="39" t="n">
        <f aca="false">IF(D$4=0,0,IF(COUNTIFS(実績!$W$6:$W$505,D$3,実績!$AI$6:$AI$505,"&lt;="&amp;$A249,実績!$AJ$6:$AJ$505,"&gt;"&amp;$A249,実績!$AL$6:$AL$505,"○")&gt;0,1,0))</f>
        <v>0</v>
      </c>
      <c r="E249" s="39" t="n">
        <f aca="false">IF(E$4=0,0,IF(COUNTIFS(実績!$W$6:$W$505,E$3,実績!$AI$6:$AI$505,"&lt;="&amp;$A249,実績!$AJ$6:$AJ$505,"&gt;"&amp;$A249,実績!$AL$6:$AL$505,"○")&gt;0,1,0))</f>
        <v>0</v>
      </c>
      <c r="F249" s="39" t="n">
        <f aca="false">IF(F$4=0,0,IF(COUNTIFS(実績!$W$6:$W$505,F$3,実績!$AI$6:$AI$505,"&lt;="&amp;$A249,実績!$AJ$6:$AJ$505,"&gt;"&amp;$A249,実績!$AL$6:$AL$505,"○")&gt;0,1,0))</f>
        <v>0</v>
      </c>
      <c r="G249" s="39" t="n">
        <f aca="false">IF(G$4=0,0,IF(COUNTIFS(実績!$W$6:$W$505,G$3,実績!$AI$6:$AI$505,"&lt;="&amp;$A249,実績!$AJ$6:$AJ$505,"&gt;"&amp;$A249,実績!$AL$6:$AL$505,"○")&gt;0,1,0))</f>
        <v>0</v>
      </c>
      <c r="H249" s="39" t="n">
        <f aca="false">IF(H$4=0,0,IF(COUNTIFS(実績!$W$6:$W$505,H$3,実績!$AI$6:$AI$505,"&lt;="&amp;$A249,実績!$AJ$6:$AJ$505,"&gt;"&amp;$A249,実績!$AL$6:$AL$505,"○")&gt;0,1,0))</f>
        <v>0</v>
      </c>
      <c r="I249" s="39" t="n">
        <f aca="false">IF(I$4=0,0,IF(COUNTIFS(実績!$W$6:$W$505,I$3,実績!$AI$6:$AI$505,"&lt;="&amp;$A249,実績!$AJ$6:$AJ$505,"&gt;"&amp;$A249,実績!$AL$6:$AL$505,"○")&gt;0,1,0))</f>
        <v>0</v>
      </c>
      <c r="J249" s="39" t="n">
        <f aca="false">IF(J$4=0,0,IF(COUNTIFS(実績!$W$6:$W$505,J$3,実績!$AI$6:$AI$505,"&lt;="&amp;$A249,実績!$AJ$6:$AJ$505,"&gt;"&amp;$A249,実績!$AL$6:$AL$505,"○")&gt;0,1,0))</f>
        <v>0</v>
      </c>
      <c r="K249" s="39" t="n">
        <f aca="false">IF(K$4=0,0,IF(COUNTIFS(実績!$W$6:$W$505,K$3,実績!$AI$6:$AI$505,"&lt;="&amp;$A249,実績!$AJ$6:$AJ$505,"&gt;"&amp;$A249,実績!$AL$6:$AL$505,"○")&gt;0,1,0))</f>
        <v>0</v>
      </c>
      <c r="L249" s="39" t="n">
        <f aca="false">IF(L$4=0,0,IF(COUNTIFS(実績!$W$6:$W$505,L$3,実績!$AI$6:$AI$505,"&lt;="&amp;$A249,実績!$AJ$6:$AJ$505,"&gt;"&amp;$A249,実績!$AL$6:$AL$505,"○")&gt;0,1,0))</f>
        <v>0</v>
      </c>
      <c r="M249" s="39" t="n">
        <f aca="false">IF(M$4=0,0,IF(COUNTIFS(実績!$W$6:$W$505,M$3,実績!$AI$6:$AI$505,"&lt;="&amp;$A249,実績!$AJ$6:$AJ$505,"&gt;"&amp;$A249,実績!$AL$6:$AL$505,"○")&gt;0,1,0))</f>
        <v>0</v>
      </c>
      <c r="N249" s="39" t="n">
        <f aca="false">IF(N$4=0,0,IF(COUNTIFS(実績!$W$6:$W$505,N$3,実績!$AI$6:$AI$505,"&lt;="&amp;$A249,実績!$AJ$6:$AJ$505,"&gt;"&amp;$A249,実績!$AL$6:$AL$505,"○")&gt;0,1,0))</f>
        <v>0</v>
      </c>
      <c r="O249" s="39" t="n">
        <f aca="false">IF(O$4=0,0,IF(COUNTIFS(実績!$W$6:$W$505,O$3,実績!$AI$6:$AI$505,"&lt;="&amp;$A249,実績!$AJ$6:$AJ$505,"&gt;"&amp;$A249,実績!$AL$6:$AL$505,"○")&gt;0,1,0))</f>
        <v>0</v>
      </c>
      <c r="P249" s="39" t="n">
        <f aca="false">IF(P$4=0,0,IF(COUNTIFS(実績!$W$6:$W$505,P$3,実績!$AI$6:$AI$505,"&lt;="&amp;$A249,実績!$AJ$6:$AJ$505,"&gt;"&amp;$A249,実績!$AL$6:$AL$505,"○")&gt;0,1,0))</f>
        <v>0</v>
      </c>
      <c r="Q249" s="39" t="n">
        <f aca="false">IF(Q$4=0,0,IF(COUNTIFS(実績!$W$6:$W$505,Q$3,実績!$AI$6:$AI$505,"&lt;="&amp;$A249,実績!$AJ$6:$AJ$505,"&gt;"&amp;$A249,実績!$AL$6:$AL$505,"○")&gt;0,1,0))</f>
        <v>0</v>
      </c>
      <c r="R249" s="39" t="n">
        <f aca="false">IF(R$4=0,0,IF(COUNTIFS(実績!$W$6:$W$505,R$3,実績!$AI$6:$AI$505,"&lt;="&amp;$A249,実績!$AJ$6:$AJ$505,"&gt;"&amp;$A249,実績!$AL$6:$AL$505,"○")&gt;0,1,0))</f>
        <v>0</v>
      </c>
      <c r="S249" s="39" t="n">
        <f aca="false">IF(S$4=0,0,IF(COUNTIFS(実績!$W$6:$W$505,S$3,実績!$AI$6:$AI$505,"&lt;="&amp;$A249,実績!$AJ$6:$AJ$505,"&gt;"&amp;$A249,実績!$AL$6:$AL$505,"○")&gt;0,1,0))</f>
        <v>0</v>
      </c>
      <c r="T249" s="39" t="n">
        <f aca="false">IF(T$4=0,0,IF(COUNTIFS(実績!$W$6:$W$505,T$3,実績!$AI$6:$AI$505,"&lt;="&amp;$A249,実績!$AJ$6:$AJ$505,"&gt;"&amp;$A249,実績!$AL$6:$AL$505,"○")&gt;0,1,0))</f>
        <v>0</v>
      </c>
      <c r="U249" s="39" t="n">
        <f aca="false">IF(U$4=0,0,IF(COUNTIFS(実績!$W$6:$W$505,U$3,実績!$AI$6:$AI$505,"&lt;="&amp;$A249,実績!$AJ$6:$AJ$505,"&gt;"&amp;$A249,実績!$AL$6:$AL$505,"○")&gt;0,1,0))</f>
        <v>0</v>
      </c>
      <c r="V249" s="39" t="n">
        <f aca="false">IF(V$4=0,0,IF(COUNTIFS(実績!$W$6:$W$505,V$3,実績!$AI$6:$AI$505,"&lt;="&amp;$A249,実績!$AJ$6:$AJ$505,"&gt;"&amp;$A249,実績!$AL$6:$AL$505,"○")&gt;0,1,0))</f>
        <v>0</v>
      </c>
      <c r="W249" s="39" t="n">
        <f aca="false">IF(W$4=0,0,IF(COUNTIFS(実績!$W$6:$W$505,W$3,実績!$AI$6:$AI$505,"&lt;="&amp;$A249,実績!$AJ$6:$AJ$505,"&gt;"&amp;$A249,実績!$AL$6:$AL$505,"○")&gt;0,1,0))</f>
        <v>0</v>
      </c>
      <c r="X249" s="39" t="n">
        <f aca="false">IF(X$4=0,0,IF(COUNTIFS(実績!$W$6:$W$505,X$3,実績!$AI$6:$AI$505,"&lt;="&amp;$A249,実績!$AJ$6:$AJ$505,"&gt;"&amp;$A249,実績!$AL$6:$AL$505,"○")&gt;0,1,0))</f>
        <v>0</v>
      </c>
      <c r="Y249" s="39" t="n">
        <f aca="false">IF(Y$4=0,0,IF(COUNTIFS(実績!$W$6:$W$505,Y$3,実績!$AI$6:$AI$505,"&lt;="&amp;$A249,実績!$AJ$6:$AJ$505,"&gt;"&amp;$A249,実績!$AL$6:$AL$505,"○")&gt;0,1,0))</f>
        <v>0</v>
      </c>
      <c r="Z249" s="39" t="n">
        <f aca="false">IF(Z$4=0,0,IF(COUNTIFS(実績!$W$6:$W$505,Z$3,実績!$AI$6:$AI$505,"&lt;="&amp;$A249,実績!$AJ$6:$AJ$505,"&gt;"&amp;$A249,実績!$AL$6:$AL$505,"○")&gt;0,1,0))</f>
        <v>0</v>
      </c>
      <c r="AA249" s="39" t="n">
        <f aca="false">IF(AA$4=0,0,IF(COUNTIFS(実績!$W$6:$W$505,AA$3,実績!$AI$6:$AI$505,"&lt;="&amp;$A249,実績!$AJ$6:$AJ$505,"&gt;"&amp;$A249,実績!$AL$6:$AL$505,"○")&gt;0,1,0))</f>
        <v>0</v>
      </c>
      <c r="AB249" s="39" t="n">
        <f aca="false">IF(AB$4=0,0,IF(COUNTIFS(実績!$W$6:$W$505,AB$3,実績!$AI$6:$AI$505,"&lt;="&amp;$A249,実績!$AJ$6:$AJ$505,"&gt;"&amp;$A249,実績!$AL$6:$AL$505,"○")&gt;0,1,0))</f>
        <v>0</v>
      </c>
      <c r="AC249" s="39" t="n">
        <f aca="false">IF(AC$4=0,0,IF(COUNTIFS(実績!$W$6:$W$505,AC$3,実績!$AI$6:$AI$505,"&lt;="&amp;$A249,実績!$AJ$6:$AJ$505,"&gt;"&amp;$A249,実績!$AL$6:$AL$505,"○")&gt;0,1,0))</f>
        <v>0</v>
      </c>
      <c r="AD249" s="39" t="n">
        <f aca="false">IF(AD$4=0,0,IF(COUNTIFS(実績!$W$6:$W$505,AD$3,実績!$AI$6:$AI$505,"&lt;="&amp;$A249,実績!$AJ$6:$AJ$505,"&gt;"&amp;$A249,実績!$AL$6:$AL$505,"○")&gt;0,1,0))</f>
        <v>0</v>
      </c>
      <c r="AE249" s="39" t="n">
        <f aca="false">IF(AE$4=0,0,IF(COUNTIFS(実績!$W$6:$W$505,AE$3,実績!$AI$6:$AI$505,"&lt;="&amp;$A249,実績!$AJ$6:$AJ$505,"&gt;"&amp;$A249,実績!$AL$6:$AL$505,"○")&gt;0,1,0))</f>
        <v>0</v>
      </c>
      <c r="AF249" s="39" t="n">
        <f aca="false">IF(AF$4=0,0,IF(COUNTIFS(実績!$W$6:$W$505,AF$3,実績!$AI$6:$AI$505,"&lt;="&amp;$A249,実績!$AJ$6:$AJ$505,"&gt;"&amp;$A249,実績!$AL$6:$AL$505,"○")&gt;0,1,0))</f>
        <v>0</v>
      </c>
      <c r="AG249" s="39" t="n">
        <f aca="false">IF(AG$4=0,0,IF(COUNTIFS(実績!$W$6:$W$505,AG$3,実績!$AI$6:$AI$505,"&lt;="&amp;$A249,実績!$AJ$6:$AJ$505,"&gt;"&amp;$A249,実績!$AL$6:$AL$505,"○")&gt;0,1,0))</f>
        <v>0</v>
      </c>
      <c r="AH249" s="39" t="n">
        <f aca="false">IF(AH$4=0,0,IF(COUNTIFS(実績!$W$6:$W$505,AH$3,実績!$AI$6:$AI$505,"&lt;="&amp;$A249,実績!$AJ$6:$AJ$505,"&gt;"&amp;$A249,実績!$AL$6:$AL$505,"○")&gt;0,1,0))</f>
        <v>0</v>
      </c>
      <c r="AI249" s="39" t="n">
        <f aca="false">IF(AI$4=0,0,IF(COUNTIFS(実績!$W$6:$W$505,AI$3,実績!$AI$6:$AI$505,"&lt;="&amp;$A249,実績!$AJ$6:$AJ$505,"&gt;"&amp;$A249,実績!$AL$6:$AL$505,"○")&gt;0,1,0))</f>
        <v>0</v>
      </c>
      <c r="AJ249" s="39" t="n">
        <f aca="false">IF(AJ$4=0,0,IF(COUNTIFS(実績!$W$6:$W$505,AJ$3,実績!$AI$6:$AI$505,"&lt;="&amp;$A249,実績!$AJ$6:$AJ$505,"&gt;"&amp;$A249,実績!$AL$6:$AL$505,"○")&gt;0,1,0))</f>
        <v>0</v>
      </c>
      <c r="AK249" s="39" t="n">
        <f aca="false">IF(AK$4=0,0,IF(COUNTIFS(実績!$W$6:$W$505,AK$3,実績!$AI$6:$AI$505,"&lt;="&amp;$A249,実績!$AJ$6:$AJ$505,"&gt;"&amp;$A249,実績!$AL$6:$AL$505,"○")&gt;0,1,0))</f>
        <v>0</v>
      </c>
      <c r="AL249" s="39" t="n">
        <f aca="false">IF(AL$4=0,0,IF(COUNTIFS(実績!$W$6:$W$505,AL$3,実績!$AI$6:$AI$505,"&lt;="&amp;$A249,実績!$AJ$6:$AJ$505,"&gt;"&amp;$A249,実績!$AL$6:$AL$505,"○")&gt;0,1,0))</f>
        <v>0</v>
      </c>
      <c r="AM249" s="39" t="n">
        <f aca="false">IF(AM$4=0,0,IF(COUNTIFS(実績!$W$6:$W$505,AM$3,実績!$AI$6:$AI$505,"&lt;="&amp;$A249,実績!$AJ$6:$AJ$505,"&gt;"&amp;$A249,実績!$AL$6:$AL$505,"○")&gt;0,1,0))</f>
        <v>0</v>
      </c>
      <c r="AN249" s="39" t="n">
        <f aca="false">IF(AN$4=0,0,IF(COUNTIFS(実績!$W$6:$W$505,AN$3,実績!$AI$6:$AI$505,"&lt;="&amp;$A249,実績!$AJ$6:$AJ$505,"&gt;"&amp;$A249,実績!$AL$6:$AL$505,"○")&gt;0,1,0))</f>
        <v>0</v>
      </c>
      <c r="AO249" s="39" t="n">
        <f aca="false">IF(AO$4=0,0,IF(COUNTIFS(実績!$W$6:$W$505,AO$3,実績!$AI$6:$AI$505,"&lt;="&amp;$A249,実績!$AJ$6:$AJ$505,"&gt;"&amp;$A249,実績!$AL$6:$AL$505,"○")&gt;0,1,0))</f>
        <v>0</v>
      </c>
      <c r="AP249" s="39" t="n">
        <f aca="false">IF(AP$4=0,0,IF(COUNTIFS(実績!$W$6:$W$505,AP$3,実績!$AI$6:$AI$505,"&lt;="&amp;$A249,実績!$AJ$6:$AJ$505,"&gt;"&amp;$A249,実績!$AL$6:$AL$505,"○")&gt;0,1,0))</f>
        <v>0</v>
      </c>
      <c r="AQ249" s="39" t="n">
        <f aca="false">IF(AQ$4=0,0,IF(COUNTIFS(実績!$W$6:$W$505,AQ$3,実績!$AI$6:$AI$505,"&lt;="&amp;$A249,実績!$AJ$6:$AJ$505,"&gt;"&amp;$A249,実績!$AL$6:$AL$505,"○")&gt;0,1,0))</f>
        <v>0</v>
      </c>
      <c r="AR249" s="39" t="n">
        <f aca="false">IF(AR$4=0,0,IF(COUNTIFS(実績!$W$6:$W$505,AR$3,実績!$AI$6:$AI$505,"&lt;="&amp;$A249,実績!$AJ$6:$AJ$505,"&gt;"&amp;$A249,実績!$AL$6:$AL$505,"○")&gt;0,1,0))</f>
        <v>0</v>
      </c>
      <c r="AS249" s="39" t="n">
        <f aca="false">IF(AS$4=0,0,IF(COUNTIFS(実績!$W$6:$W$505,AS$3,実績!$AI$6:$AI$505,"&lt;="&amp;$A249,実績!$AJ$6:$AJ$505,"&gt;"&amp;$A249,実績!$AL$6:$AL$505,"○")&gt;0,1,0))</f>
        <v>0</v>
      </c>
      <c r="AT249" s="39" t="n">
        <f aca="false">IF(AT$4=0,0,IF(COUNTIFS(実績!$W$6:$W$505,AT$3,実績!$AI$6:$AI$505,"&lt;="&amp;$A249,実績!$AJ$6:$AJ$505,"&gt;"&amp;$A249,実績!$AL$6:$AL$505,"○")&gt;0,1,0))</f>
        <v>0</v>
      </c>
      <c r="AU249" s="39" t="n">
        <f aca="false">IF(AU$4=0,0,IF(COUNTIFS(実績!$W$6:$W$505,AU$3,実績!$AI$6:$AI$505,"&lt;="&amp;$A249,実績!$AJ$6:$AJ$505,"&gt;"&amp;$A249,実績!$AL$6:$AL$505,"○")&gt;0,1,0))</f>
        <v>0</v>
      </c>
      <c r="AV249" s="39" t="n">
        <f aca="false">IF(AV$4=0,0,IF(COUNTIFS(実績!$W$6:$W$505,AV$3,実績!$AI$6:$AI$505,"&lt;="&amp;$A249,実績!$AJ$6:$AJ$505,"&gt;"&amp;$A249,実績!$AL$6:$AL$505,"○")&gt;0,1,0))</f>
        <v>0</v>
      </c>
      <c r="AW249" s="39" t="n">
        <f aca="false">IF(AW$4=0,0,IF(COUNTIFS(実績!$W$6:$W$505,AW$3,実績!$AI$6:$AI$505,"&lt;="&amp;$A249,実績!$AJ$6:$AJ$505,"&gt;"&amp;$A249,実績!$AL$6:$AL$505,"○")&gt;0,1,0))</f>
        <v>0</v>
      </c>
      <c r="AX249" s="39" t="n">
        <f aca="false">IF(AX$4=0,0,IF(COUNTIFS(実績!$W$6:$W$505,AX$3,実績!$AI$6:$AI$505,"&lt;="&amp;$A249,実績!$AJ$6:$AJ$505,"&gt;"&amp;$A249,実績!$AL$6:$AL$505,"○")&gt;0,1,0))</f>
        <v>0</v>
      </c>
      <c r="AY249" s="39" t="n">
        <f aca="false">IF(AY$4=0,0,IF(COUNTIFS(実績!$W$6:$W$505,AY$3,実績!$AI$6:$AI$505,"&lt;="&amp;$A249,実績!$AJ$6:$AJ$505,"&gt;"&amp;$A249,実績!$AL$6:$AL$505,"○")&gt;0,1,0))</f>
        <v>0</v>
      </c>
      <c r="AZ249" s="39" t="n">
        <f aca="false">IF(AZ$4=0,0,IF(COUNTIFS(実績!$W$6:$W$505,AZ$3,実績!$AI$6:$AI$505,"&lt;="&amp;$A249,実績!$AJ$6:$AJ$505,"&gt;"&amp;$A249,実績!$AL$6:$AL$505,"○")&gt;0,1,0))</f>
        <v>0</v>
      </c>
      <c r="BA249" s="39" t="n">
        <f aca="false">IF(BA$4=0,0,IF(COUNTIFS(実績!$W$6:$W$505,BA$3,実績!$AI$6:$AI$505,"&lt;="&amp;$A249,実績!$AJ$6:$AJ$505,"&gt;"&amp;$A249,実績!$AL$6:$AL$505,"○")&gt;0,1,0))</f>
        <v>0</v>
      </c>
      <c r="BB249" s="39" t="n">
        <f aca="false">IF(BB$4=0,0,IF(COUNTIFS(実績!$W$6:$W$505,BB$3,実績!$AI$6:$AI$505,"&lt;="&amp;$A249,実績!$AJ$6:$AJ$505,"&gt;"&amp;$A249,実績!$AL$6:$AL$505,"○")&gt;0,1,0))</f>
        <v>0</v>
      </c>
      <c r="BC249" s="39" t="n">
        <f aca="false">IF(BC$4=0,0,IF(COUNTIFS(実績!$W$6:$W$505,BC$3,実績!$AI$6:$AI$505,"&lt;="&amp;$A249,実績!$AJ$6:$AJ$505,"&gt;"&amp;$A249,実績!$AL$6:$AL$505,"○")&gt;0,1,0))</f>
        <v>0</v>
      </c>
      <c r="BD249" s="39" t="n">
        <f aca="false">IF(BD$4=0,0,IF(COUNTIFS(実績!$W$6:$W$505,BD$3,実績!$AI$6:$AI$505,"&lt;="&amp;$A249,実績!$AJ$6:$AJ$505,"&gt;"&amp;$A249,実績!$AL$6:$AL$505,"○")&gt;0,1,0))</f>
        <v>0</v>
      </c>
      <c r="BE249" s="39" t="n">
        <f aca="false">IF(BE$4=0,0,IF(COUNTIFS(実績!$W$6:$W$505,BE$3,実績!$AI$6:$AI$505,"&lt;="&amp;$A249,実績!$AJ$6:$AJ$505,"&gt;"&amp;$A249,実績!$AL$6:$AL$505,"○")&gt;0,1,0))</f>
        <v>0</v>
      </c>
      <c r="BF249" s="39" t="n">
        <f aca="false">IF(BF$4=0,0,IF(COUNTIFS(実績!$W$6:$W$505,BF$3,実績!$AI$6:$AI$505,"&lt;="&amp;$A249,実績!$AJ$6:$AJ$505,"&gt;"&amp;$A249,実績!$AL$6:$AL$505,"○")&gt;0,1,0))</f>
        <v>0</v>
      </c>
      <c r="BG249" s="39" t="n">
        <f aca="false">IF(BG$4=0,0,IF(COUNTIFS(実績!$W$6:$W$505,BG$3,実績!$AI$6:$AI$505,"&lt;="&amp;$A249,実績!$AJ$6:$AJ$505,"&gt;"&amp;$A249,実績!$AL$6:$AL$505,"○")&gt;0,1,0))</f>
        <v>0</v>
      </c>
      <c r="BH249" s="39" t="n">
        <f aca="false">IF(BH$4=0,0,IF(COUNTIFS(実績!$W$6:$W$505,BH$3,実績!$AI$6:$AI$505,"&lt;="&amp;$A249,実績!$AJ$6:$AJ$505,"&gt;"&amp;$A249,実績!$AL$6:$AL$505,"○")&gt;0,1,0))</f>
        <v>0</v>
      </c>
      <c r="BI249" s="39" t="n">
        <f aca="false">IF(BI$4=0,0,IF(COUNTIFS(実績!$W$6:$W$505,BI$3,実績!$AI$6:$AI$505,"&lt;="&amp;$A249,実績!$AJ$6:$AJ$505,"&gt;"&amp;$A249,実績!$AL$6:$AL$505,"○")&gt;0,1,0))</f>
        <v>0</v>
      </c>
      <c r="BJ249" s="39" t="n">
        <f aca="false">IF(BJ$4=0,0,IF(COUNTIFS(実績!$W$6:$W$505,BJ$3,実績!$AI$6:$AI$505,"&lt;="&amp;$A249,実績!$AJ$6:$AJ$505,"&gt;"&amp;$A249,実績!$AL$6:$AL$505,"○")&gt;0,1,0))</f>
        <v>0</v>
      </c>
      <c r="BK249" s="39" t="n">
        <f aca="false">IF(BK$4=0,0,IF(COUNTIFS(実績!$W$6:$W$505,BK$3,実績!$AI$6:$AI$505,"&lt;="&amp;$A249,実績!$AJ$6:$AJ$505,"&gt;"&amp;$A249,実績!$AL$6:$AL$505,"○")&gt;0,1,0))</f>
        <v>0</v>
      </c>
      <c r="BL249" s="39" t="n">
        <f aca="false">IF(BL$4=0,0,IF(COUNTIFS(実績!$W$6:$W$505,BL$3,実績!$AI$6:$AI$505,"&lt;="&amp;$A249,実績!$AJ$6:$AJ$505,"&gt;"&amp;$A249,実績!$AL$6:$AL$505,"○")&gt;0,1,0))</f>
        <v>0</v>
      </c>
      <c r="BM249" s="39" t="n">
        <f aca="false">IF(BM$4=0,0,IF(COUNTIFS(実績!$W$6:$W$505,BM$3,実績!$AI$6:$AI$505,"&lt;="&amp;$A249,実績!$AJ$6:$AJ$505,"&gt;"&amp;$A249,実績!$AL$6:$AL$505,"○")&gt;0,1,0))</f>
        <v>0</v>
      </c>
      <c r="BN249" s="39" t="n">
        <f aca="false">IF(BN$4=0,0,IF(COUNTIFS(実績!$W$6:$W$505,BN$3,実績!$AI$6:$AI$505,"&lt;="&amp;$A249,実績!$AJ$6:$AJ$505,"&gt;"&amp;$A249,実績!$AL$6:$AL$505,"○")&gt;0,1,0))</f>
        <v>0</v>
      </c>
      <c r="BO249" s="39" t="n">
        <f aca="false">IF(BO$4=0,0,IF(COUNTIFS(実績!$W$6:$W$505,BO$3,実績!$AI$6:$AI$505,"&lt;="&amp;$A249,実績!$AJ$6:$AJ$505,"&gt;"&amp;$A249,実績!$AL$6:$AL$505,"○")&gt;0,1,0))</f>
        <v>0</v>
      </c>
      <c r="BP249" s="39" t="n">
        <f aca="false">IF(BP$4=0,0,IF(COUNTIFS(実績!$W$6:$W$505,BP$3,実績!$AI$6:$AI$505,"&lt;="&amp;$A249,実績!$AJ$6:$AJ$505,"&gt;"&amp;$A249,実績!$AL$6:$AL$505,"○")&gt;0,1,0))</f>
        <v>0</v>
      </c>
      <c r="BQ249" s="39" t="n">
        <f aca="false">IF(BQ$4=0,0,IF(COUNTIFS(実績!$W$6:$W$505,BQ$3,実績!$AI$6:$AI$505,"&lt;="&amp;$A249,実績!$AJ$6:$AJ$505,"&gt;"&amp;$A249,実績!$AL$6:$AL$505,"○")&gt;0,1,0))</f>
        <v>0</v>
      </c>
      <c r="BR249" s="39" t="n">
        <f aca="false">IF(BR$4=0,0,IF(COUNTIFS(実績!$W$6:$W$505,BR$3,実績!$AI$6:$AI$505,"&lt;="&amp;$A249,実績!$AJ$6:$AJ$505,"&gt;"&amp;$A249,実績!$AL$6:$AL$505,"○")&gt;0,1,0))</f>
        <v>0</v>
      </c>
      <c r="BS249" s="39" t="n">
        <f aca="false">IF(BS$4=0,0,IF(COUNTIFS(実績!$W$6:$W$505,BS$3,実績!$AI$6:$AI$505,"&lt;="&amp;$A249,実績!$AJ$6:$AJ$505,"&gt;"&amp;$A249,実績!$AL$6:$AL$505,"○")&gt;0,1,0))</f>
        <v>0</v>
      </c>
      <c r="BT249" s="39" t="n">
        <f aca="false">IF(BT$4=0,0,IF(COUNTIFS(実績!$W$6:$W$505,BT$3,実績!$AI$6:$AI$505,"&lt;="&amp;$A249,実績!$AJ$6:$AJ$505,"&gt;"&amp;$A249,実績!$AL$6:$AL$505,"○")&gt;0,1,0))</f>
        <v>0</v>
      </c>
      <c r="BU249" s="39" t="n">
        <f aca="false">IF(BU$4=0,0,IF(COUNTIFS(実績!$W$6:$W$505,BU$3,実績!$AI$6:$AI$505,"&lt;="&amp;$A249,実績!$AJ$6:$AJ$505,"&gt;"&amp;$A249,実績!$AL$6:$AL$505,"○")&gt;0,1,0))</f>
        <v>0</v>
      </c>
      <c r="BV249" s="39" t="n">
        <f aca="false">IF(BV$4=0,0,IF(COUNTIFS(実績!$W$6:$W$505,BV$3,実績!$AI$6:$AI$505,"&lt;="&amp;$A249,実績!$AJ$6:$AJ$505,"&gt;"&amp;$A249,実績!$AL$6:$AL$505,"○")&gt;0,1,0))</f>
        <v>0</v>
      </c>
      <c r="BW249" s="39" t="n">
        <f aca="false">IF(BW$4=0,0,IF(COUNTIFS(実績!$W$6:$W$505,BW$3,実績!$AI$6:$AI$505,"&lt;="&amp;$A249,実績!$AJ$6:$AJ$505,"&gt;"&amp;$A249,実績!$AL$6:$AL$505,"○")&gt;0,1,0))</f>
        <v>0</v>
      </c>
      <c r="BX249" s="39" t="n">
        <f aca="false">IF(BX$4=0,0,IF(COUNTIFS(実績!$W$6:$W$505,BX$3,実績!$AI$6:$AI$505,"&lt;="&amp;$A249,実績!$AJ$6:$AJ$505,"&gt;"&amp;$A249,実績!$AL$6:$AL$505,"○")&gt;0,1,0))</f>
        <v>0</v>
      </c>
      <c r="BY249" s="39" t="n">
        <f aca="false">IF(BY$4=0,0,IF(COUNTIFS(実績!$W$6:$W$505,BY$3,実績!$AI$6:$AI$505,"&lt;="&amp;$A249,実績!$AJ$6:$AJ$505,"&gt;"&amp;$A249,実績!$AL$6:$AL$505,"○")&gt;0,1,0))</f>
        <v>0</v>
      </c>
      <c r="BZ249" s="39" t="n">
        <f aca="false">IF(BZ$4=0,0,IF(COUNTIFS(実績!$W$6:$W$505,BZ$3,実績!$AI$6:$AI$505,"&lt;="&amp;$A249,実績!$AJ$6:$AJ$505,"&gt;"&amp;$A249,実績!$AL$6:$AL$505,"○")&gt;0,1,0))</f>
        <v>0</v>
      </c>
      <c r="CA249" s="39" t="n">
        <f aca="false">IF(CA$4=0,0,IF(COUNTIFS(実績!$W$6:$W$505,CA$3,実績!$AI$6:$AI$505,"&lt;="&amp;$A249,実績!$AJ$6:$AJ$505,"&gt;"&amp;$A249,実績!$AL$6:$AL$505,"○")&gt;0,1,0))</f>
        <v>0</v>
      </c>
      <c r="CB249" s="39" t="n">
        <f aca="false">IF(CB$4=0,0,IF(COUNTIFS(実績!$W$6:$W$505,CB$3,実績!$AI$6:$AI$505,"&lt;="&amp;$A249,実績!$AJ$6:$AJ$505,"&gt;"&amp;$A249,実績!$AL$6:$AL$505,"○")&gt;0,1,0))</f>
        <v>0</v>
      </c>
      <c r="CC249" s="39" t="n">
        <f aca="false">IF(CC$4=0,0,IF(COUNTIFS(実績!$W$6:$W$505,CC$3,実績!$AI$6:$AI$505,"&lt;="&amp;$A249,実績!$AJ$6:$AJ$505,"&gt;"&amp;$A249,実績!$AL$6:$AL$505,"○")&gt;0,1,0))</f>
        <v>0</v>
      </c>
      <c r="CD249" s="39" t="n">
        <f aca="false">IF(CD$4=0,0,IF(COUNTIFS(実績!$W$6:$W$505,CD$3,実績!$AI$6:$AI$505,"&lt;="&amp;$A249,実績!$AJ$6:$AJ$505,"&gt;"&amp;$A249,実績!$AL$6:$AL$505,"○")&gt;0,1,0))</f>
        <v>0</v>
      </c>
      <c r="CE249" s="39" t="n">
        <f aca="false">IF(CE$4=0,0,IF(COUNTIFS(実績!$W$6:$W$505,CE$3,実績!$AI$6:$AI$505,"&lt;="&amp;$A249,実績!$AJ$6:$AJ$505,"&gt;"&amp;$A249,実績!$AL$6:$AL$505,"○")&gt;0,1,0))</f>
        <v>0</v>
      </c>
      <c r="CF249" s="39" t="n">
        <f aca="false">IF(CF$4=0,0,IF(COUNTIFS(実績!$W$6:$W$505,CF$3,実績!$AI$6:$AI$505,"&lt;="&amp;$A249,実績!$AJ$6:$AJ$505,"&gt;"&amp;$A249,実績!$AL$6:$AL$505,"○")&gt;0,1,0))</f>
        <v>0</v>
      </c>
      <c r="CG249" s="39" t="n">
        <f aca="false">IF(CG$4=0,0,IF(COUNTIFS(実績!$W$6:$W$505,CG$3,実績!$AI$6:$AI$505,"&lt;="&amp;$A249,実績!$AJ$6:$AJ$505,"&gt;"&amp;$A249,実績!$AL$6:$AL$505,"○")&gt;0,1,0))</f>
        <v>0</v>
      </c>
      <c r="CH249" s="39" t="n">
        <f aca="false">IF(CH$4=0,0,IF(COUNTIFS(実績!$W$6:$W$505,CH$3,実績!$AI$6:$AI$505,"&lt;="&amp;$A249,実績!$AJ$6:$AJ$505,"&gt;"&amp;$A249,実績!$AL$6:$AL$505,"○")&gt;0,1,0))</f>
        <v>0</v>
      </c>
      <c r="CI249" s="39" t="n">
        <f aca="false">IF(CI$4=0,0,IF(COUNTIFS(実績!$W$6:$W$505,CI$3,実績!$AI$6:$AI$505,"&lt;="&amp;$A249,実績!$AJ$6:$AJ$505,"&gt;"&amp;$A249,実績!$AL$6:$AL$505,"○")&gt;0,1,0))</f>
        <v>0</v>
      </c>
      <c r="CJ249" s="39" t="n">
        <f aca="false">IF(CJ$4=0,0,IF(COUNTIFS(実績!$W$6:$W$505,CJ$3,実績!$AI$6:$AI$505,"&lt;="&amp;$A249,実績!$AJ$6:$AJ$505,"&gt;"&amp;$A249,実績!$AL$6:$AL$505,"○")&gt;0,1,0))</f>
        <v>0</v>
      </c>
      <c r="CK249" s="39" t="n">
        <f aca="false">IF(CK$4=0,0,IF(COUNTIFS(実績!$W$6:$W$505,CK$3,実績!$AI$6:$AI$505,"&lt;="&amp;$A249,実績!$AJ$6:$AJ$505,"&gt;"&amp;$A249,実績!$AL$6:$AL$505,"○")&gt;0,1,0))</f>
        <v>0</v>
      </c>
      <c r="CL249" s="39" t="n">
        <f aca="false">IF(CL$4=0,0,IF(COUNTIFS(実績!$W$6:$W$505,CL$3,実績!$AI$6:$AI$505,"&lt;="&amp;$A249,実績!$AJ$6:$AJ$505,"&gt;"&amp;$A249,実績!$AL$6:$AL$505,"○")&gt;0,1,0))</f>
        <v>0</v>
      </c>
      <c r="CM249" s="39" t="n">
        <f aca="false">IF(CM$4=0,0,IF(COUNTIFS(実績!$W$6:$W$505,CM$3,実績!$AI$6:$AI$505,"&lt;="&amp;$A249,実績!$AJ$6:$AJ$505,"&gt;"&amp;$A249,実績!$AL$6:$AL$505,"○")&gt;0,1,0))</f>
        <v>0</v>
      </c>
      <c r="CN249" s="39" t="n">
        <f aca="false">IF(CN$4=0,0,IF(COUNTIFS(実績!$W$6:$W$505,CN$3,実績!$AI$6:$AI$505,"&lt;="&amp;$A249,実績!$AJ$6:$AJ$505,"&gt;"&amp;$A249,実績!$AL$6:$AL$505,"○")&gt;0,1,0))</f>
        <v>0</v>
      </c>
      <c r="CO249" s="39" t="n">
        <f aca="false">IF(CO$4=0,0,IF(COUNTIFS(実績!$W$6:$W$505,CO$3,実績!$AI$6:$AI$505,"&lt;="&amp;$A249,実績!$AJ$6:$AJ$505,"&gt;"&amp;$A249,実績!$AL$6:$AL$505,"○")&gt;0,1,0))</f>
        <v>0</v>
      </c>
      <c r="CP249" s="39" t="n">
        <f aca="false">IF(CP$4=0,0,IF(COUNTIFS(実績!$W$6:$W$505,CP$3,実績!$AI$6:$AI$505,"&lt;="&amp;$A249,実績!$AJ$6:$AJ$505,"&gt;"&amp;$A249,実績!$AL$6:$AL$505,"○")&gt;0,1,0))</f>
        <v>0</v>
      </c>
      <c r="CQ249" s="39" t="n">
        <f aca="false">IF(CQ$4=0,0,IF(COUNTIFS(実績!$W$6:$W$505,CQ$3,実績!$AI$6:$AI$505,"&lt;="&amp;$A249,実績!$AJ$6:$AJ$505,"&gt;"&amp;$A249,実績!$AL$6:$AL$505,"○")&gt;0,1,0))</f>
        <v>0</v>
      </c>
      <c r="CR249" s="39" t="n">
        <f aca="false">IF(CR$4=0,0,IF(COUNTIFS(実績!$W$6:$W$505,CR$3,実績!$AI$6:$AI$505,"&lt;="&amp;$A249,実績!$AJ$6:$AJ$505,"&gt;"&amp;$A249,実績!$AL$6:$AL$505,"○")&gt;0,1,0))</f>
        <v>0</v>
      </c>
      <c r="CS249" s="39" t="n">
        <f aca="false">IF(CS$4=0,0,IF(COUNTIFS(実績!$W$6:$W$505,CS$3,実績!$AI$6:$AI$505,"&lt;="&amp;$A249,実績!$AJ$6:$AJ$505,"&gt;"&amp;$A249,実績!$AL$6:$AL$505,"○")&gt;0,1,0))</f>
        <v>0</v>
      </c>
      <c r="CT249" s="39" t="n">
        <f aca="false">IF(CT$4=0,0,IF(COUNTIFS(実績!$W$6:$W$505,CT$3,実績!$AI$6:$AI$505,"&lt;="&amp;$A249,実績!$AJ$6:$AJ$505,"&gt;"&amp;$A249,実績!$AL$6:$AL$505,"○")&gt;0,1,0))</f>
        <v>0</v>
      </c>
      <c r="CU249" s="39" t="n">
        <f aca="false">IF(CU$4=0,0,IF(COUNTIFS(実績!$W$6:$W$505,CU$3,実績!$AI$6:$AI$505,"&lt;="&amp;$A249,実績!$AJ$6:$AJ$505,"&gt;"&amp;$A249,実績!$AL$6:$AL$505,"○")&gt;0,1,0))</f>
        <v>0</v>
      </c>
      <c r="CV249" s="39" t="n">
        <f aca="false">IF(CV$4=0,0,IF(COUNTIFS(実績!$W$6:$W$505,CV$3,実績!$AI$6:$AI$505,"&lt;="&amp;$A249,実績!$AJ$6:$AJ$505,"&gt;"&amp;$A249,実績!$AL$6:$AL$505,"○")&gt;0,1,0))</f>
        <v>0</v>
      </c>
      <c r="CW249" s="39" t="n">
        <f aca="false">IF(CW$4=0,0,IF(COUNTIFS(実績!$W$6:$W$505,CW$3,実績!$AI$6:$AI$505,"&lt;="&amp;$A249,実績!$AJ$6:$AJ$505,"&gt;"&amp;$A249,実績!$AL$6:$AL$505,"○")&gt;0,1,0))</f>
        <v>0</v>
      </c>
      <c r="CX249" s="39" t="n">
        <f aca="false">IF(CX$4=0,0,IF(COUNTIFS(実績!$W$6:$W$505,CX$3,実績!$AI$6:$AI$505,"&lt;="&amp;$A249,実績!$AJ$6:$AJ$505,"&gt;"&amp;$A249,実績!$AL$6:$AL$505,"○")&gt;0,1,0))</f>
        <v>0</v>
      </c>
      <c r="CY249" s="39" t="n">
        <f aca="false">IF(CY$4=0,0,IF(COUNTIFS(実績!$W$6:$W$505,CY$3,実績!$AI$6:$AI$505,"&lt;="&amp;$A249,実績!$AJ$6:$AJ$505,"&gt;"&amp;$A249,実績!$AL$6:$AL$505,"○")&gt;0,1,0))</f>
        <v>0</v>
      </c>
      <c r="CZ249" s="39" t="n">
        <f aca="false">IF(CZ$4=0,0,IF(COUNTIFS(実績!$W$6:$W$505,CZ$3,実績!$AI$6:$AI$505,"&lt;="&amp;$A249,実績!$AJ$6:$AJ$505,"&gt;"&amp;$A249,実績!$AL$6:$AL$505,"○")&gt;0,1,0))</f>
        <v>0</v>
      </c>
      <c r="DA249" s="39" t="n">
        <f aca="false">IF(DA$4=0,0,IF(COUNTIFS(実績!$W$6:$W$505,DA$3,実績!$AI$6:$AI$505,"&lt;="&amp;$A249,実績!$AJ$6:$AJ$505,"&gt;"&amp;$A249,実績!$AL$6:$AL$505,"○")&gt;0,1,0))</f>
        <v>0</v>
      </c>
      <c r="DB249" s="39" t="n">
        <f aca="false">IF(DB$4=0,0,IF(COUNTIFS(実績!$W$6:$W$505,DB$3,実績!$AI$6:$AI$505,"&lt;="&amp;$A249,実績!$AJ$6:$AJ$505,"&gt;"&amp;$A249,実績!$AL$6:$AL$505,"○")&gt;0,1,0))</f>
        <v>0</v>
      </c>
      <c r="DC249" s="39" t="n">
        <f aca="false">IF(DC$4=0,0,IF(COUNTIFS(実績!$W$6:$W$505,DC$3,実績!$AI$6:$AI$505,"&lt;="&amp;$A249,実績!$AJ$6:$AJ$505,"&gt;"&amp;$A249,実績!$AL$6:$AL$505,"○")&gt;0,1,0))</f>
        <v>0</v>
      </c>
      <c r="DD249" s="39" t="n">
        <f aca="false">IF(DD$4=0,0,IF(COUNTIFS(実績!$W$6:$W$505,DD$3,実績!$AI$6:$AI$505,"&lt;="&amp;$A249,実績!$AJ$6:$AJ$505,"&gt;"&amp;$A249,実績!$AL$6:$AL$505,"○")&gt;0,1,0))</f>
        <v>0</v>
      </c>
      <c r="DE249" s="39" t="n">
        <f aca="false">IF(DE$4=0,0,IF(COUNTIFS(実績!$W$6:$W$505,DE$3,実績!$AI$6:$AI$505,"&lt;="&amp;$A249,実績!$AJ$6:$AJ$505,"&gt;"&amp;$A249,実績!$AL$6:$AL$505,"○")&gt;0,1,0))</f>
        <v>0</v>
      </c>
      <c r="DF249" s="39" t="n">
        <f aca="false">IF(DF$4=0,0,IF(COUNTIFS(実績!$W$6:$W$505,DF$3,実績!$AI$6:$AI$505,"&lt;="&amp;$A249,実績!$AJ$6:$AJ$505,"&gt;"&amp;$A249,実績!$AL$6:$AL$505,"○")&gt;0,1,0))</f>
        <v>0</v>
      </c>
      <c r="DG249" s="39" t="n">
        <f aca="false">IF(DG$4=0,0,IF(COUNTIFS(実績!$W$6:$W$505,DG$3,実績!$AI$6:$AI$505,"&lt;="&amp;$A249,実績!$AJ$6:$AJ$505,"&gt;"&amp;$A249,実績!$AL$6:$AL$505,"○")&gt;0,1,0))</f>
        <v>0</v>
      </c>
      <c r="DH249" s="39" t="n">
        <f aca="false">IF(DH$4=0,0,IF(COUNTIFS(実績!$W$6:$W$505,DH$3,実績!$AI$6:$AI$505,"&lt;="&amp;$A249,実績!$AJ$6:$AJ$505,"&gt;"&amp;$A249,実績!$AL$6:$AL$505,"○")&gt;0,1,0))</f>
        <v>0</v>
      </c>
      <c r="DI249" s="39" t="n">
        <f aca="false">IF(DI$4=0,0,IF(COUNTIFS(実績!$W$6:$W$505,DI$3,実績!$AI$6:$AI$505,"&lt;="&amp;$A249,実績!$AJ$6:$AJ$505,"&gt;"&amp;$A249,実績!$AL$6:$AL$505,"○")&gt;0,1,0))</f>
        <v>0</v>
      </c>
      <c r="DJ249" s="39" t="n">
        <f aca="false">IF(DJ$4=0,0,IF(COUNTIFS(実績!$W$6:$W$505,DJ$3,実績!$AI$6:$AI$505,"&lt;="&amp;$A249,実績!$AJ$6:$AJ$505,"&gt;"&amp;$A249,実績!$AL$6:$AL$505,"○")&gt;0,1,0))</f>
        <v>0</v>
      </c>
      <c r="DK249" s="39" t="n">
        <f aca="false">IF(DK$4=0,0,IF(COUNTIFS(実績!$W$6:$W$505,DK$3,実績!$AI$6:$AI$505,"&lt;="&amp;$A249,実績!$AJ$6:$AJ$505,"&gt;"&amp;$A249,実績!$AL$6:$AL$505,"○")&gt;0,1,0))</f>
        <v>0</v>
      </c>
      <c r="DL249" s="39" t="n">
        <f aca="false">IF(DL$4=0,0,IF(COUNTIFS(実績!$W$6:$W$505,DL$3,実績!$AI$6:$AI$505,"&lt;="&amp;$A249,実績!$AJ$6:$AJ$505,"&gt;"&amp;$A249,実績!$AL$6:$AL$505,"○")&gt;0,1,0))</f>
        <v>0</v>
      </c>
      <c r="DM249" s="39" t="n">
        <f aca="false">IF(DM$4=0,0,IF(COUNTIFS(実績!$W$6:$W$505,DM$3,実績!$AI$6:$AI$505,"&lt;="&amp;$A249,実績!$AJ$6:$AJ$505,"&gt;"&amp;$A249,実績!$AL$6:$AL$505,"○")&gt;0,1,0))</f>
        <v>0</v>
      </c>
      <c r="DN249" s="39" t="n">
        <f aca="false">IF(DN$4=0,0,IF(COUNTIFS(実績!$W$6:$W$505,DN$3,実績!$AI$6:$AI$505,"&lt;="&amp;$A249,実績!$AJ$6:$AJ$505,"&gt;"&amp;$A249,実績!$AL$6:$AL$505,"○")&gt;0,1,0))</f>
        <v>0</v>
      </c>
      <c r="DO249" s="39" t="n">
        <f aca="false">IF(DO$4=0,0,IF(COUNTIFS(実績!$W$6:$W$505,DO$3,実績!$AI$6:$AI$505,"&lt;="&amp;$A249,実績!$AJ$6:$AJ$505,"&gt;"&amp;$A249,実績!$AL$6:$AL$505,"○")&gt;0,1,0))</f>
        <v>0</v>
      </c>
      <c r="DP249" s="39" t="n">
        <f aca="false">IF(DP$4=0,0,IF(COUNTIFS(実績!$W$6:$W$505,DP$3,実績!$AI$6:$AI$505,"&lt;="&amp;$A249,実績!$AJ$6:$AJ$505,"&gt;"&amp;$A249,実績!$AL$6:$AL$505,"○")&gt;0,1,0))</f>
        <v>0</v>
      </c>
      <c r="DQ249" s="39" t="n">
        <f aca="false">IF(DQ$4=0,0,IF(COUNTIFS(実績!$W$6:$W$505,DQ$3,実績!$AI$6:$AI$505,"&lt;="&amp;$A249,実績!$AJ$6:$AJ$505,"&gt;"&amp;$A249,実績!$AL$6:$AL$505,"○")&gt;0,1,0))</f>
        <v>0</v>
      </c>
      <c r="DR249" s="39" t="n">
        <f aca="false">IF(DR$4=0,0,IF(COUNTIFS(実績!$W$6:$W$505,DR$3,実績!$AI$6:$AI$505,"&lt;="&amp;$A249,実績!$AJ$6:$AJ$505,"&gt;"&amp;$A249,実績!$AL$6:$AL$505,"○")&gt;0,1,0))</f>
        <v>0</v>
      </c>
      <c r="DS249" s="39" t="n">
        <f aca="false">SUM(C249:DR249)</f>
        <v>0</v>
      </c>
    </row>
    <row r="250" customFormat="false" ht="15" hidden="false" customHeight="false" outlineLevel="0" collapsed="false">
      <c r="A250" s="0" t="n">
        <v>1220</v>
      </c>
      <c r="B250" s="38" t="n">
        <f aca="false">A250/1440</f>
        <v>0.847222222222222</v>
      </c>
      <c r="C250" s="39" t="n">
        <f aca="false">IF(C$4=0,0,IF(COUNTIFS(実績!$W$6:$W$505,C$3,実績!$AI$6:$AI$505,"&lt;="&amp;$A250,実績!$AJ$6:$AJ$505,"&gt;"&amp;$A250,実績!$AL$6:$AL$505,"○")&gt;0,1,0))</f>
        <v>0</v>
      </c>
      <c r="D250" s="39" t="n">
        <f aca="false">IF(D$4=0,0,IF(COUNTIFS(実績!$W$6:$W$505,D$3,実績!$AI$6:$AI$505,"&lt;="&amp;$A250,実績!$AJ$6:$AJ$505,"&gt;"&amp;$A250,実績!$AL$6:$AL$505,"○")&gt;0,1,0))</f>
        <v>0</v>
      </c>
      <c r="E250" s="39" t="n">
        <f aca="false">IF(E$4=0,0,IF(COUNTIFS(実績!$W$6:$W$505,E$3,実績!$AI$6:$AI$505,"&lt;="&amp;$A250,実績!$AJ$6:$AJ$505,"&gt;"&amp;$A250,実績!$AL$6:$AL$505,"○")&gt;0,1,0))</f>
        <v>0</v>
      </c>
      <c r="F250" s="39" t="n">
        <f aca="false">IF(F$4=0,0,IF(COUNTIFS(実績!$W$6:$W$505,F$3,実績!$AI$6:$AI$505,"&lt;="&amp;$A250,実績!$AJ$6:$AJ$505,"&gt;"&amp;$A250,実績!$AL$6:$AL$505,"○")&gt;0,1,0))</f>
        <v>0</v>
      </c>
      <c r="G250" s="39" t="n">
        <f aca="false">IF(G$4=0,0,IF(COUNTIFS(実績!$W$6:$W$505,G$3,実績!$AI$6:$AI$505,"&lt;="&amp;$A250,実績!$AJ$6:$AJ$505,"&gt;"&amp;$A250,実績!$AL$6:$AL$505,"○")&gt;0,1,0))</f>
        <v>0</v>
      </c>
      <c r="H250" s="39" t="n">
        <f aca="false">IF(H$4=0,0,IF(COUNTIFS(実績!$W$6:$W$505,H$3,実績!$AI$6:$AI$505,"&lt;="&amp;$A250,実績!$AJ$6:$AJ$505,"&gt;"&amp;$A250,実績!$AL$6:$AL$505,"○")&gt;0,1,0))</f>
        <v>0</v>
      </c>
      <c r="I250" s="39" t="n">
        <f aca="false">IF(I$4=0,0,IF(COUNTIFS(実績!$W$6:$W$505,I$3,実績!$AI$6:$AI$505,"&lt;="&amp;$A250,実績!$AJ$6:$AJ$505,"&gt;"&amp;$A250,実績!$AL$6:$AL$505,"○")&gt;0,1,0))</f>
        <v>0</v>
      </c>
      <c r="J250" s="39" t="n">
        <f aca="false">IF(J$4=0,0,IF(COUNTIFS(実績!$W$6:$W$505,J$3,実績!$AI$6:$AI$505,"&lt;="&amp;$A250,実績!$AJ$6:$AJ$505,"&gt;"&amp;$A250,実績!$AL$6:$AL$505,"○")&gt;0,1,0))</f>
        <v>0</v>
      </c>
      <c r="K250" s="39" t="n">
        <f aca="false">IF(K$4=0,0,IF(COUNTIFS(実績!$W$6:$W$505,K$3,実績!$AI$6:$AI$505,"&lt;="&amp;$A250,実績!$AJ$6:$AJ$505,"&gt;"&amp;$A250,実績!$AL$6:$AL$505,"○")&gt;0,1,0))</f>
        <v>0</v>
      </c>
      <c r="L250" s="39" t="n">
        <f aca="false">IF(L$4=0,0,IF(COUNTIFS(実績!$W$6:$W$505,L$3,実績!$AI$6:$AI$505,"&lt;="&amp;$A250,実績!$AJ$6:$AJ$505,"&gt;"&amp;$A250,実績!$AL$6:$AL$505,"○")&gt;0,1,0))</f>
        <v>0</v>
      </c>
      <c r="M250" s="39" t="n">
        <f aca="false">IF(M$4=0,0,IF(COUNTIFS(実績!$W$6:$W$505,M$3,実績!$AI$6:$AI$505,"&lt;="&amp;$A250,実績!$AJ$6:$AJ$505,"&gt;"&amp;$A250,実績!$AL$6:$AL$505,"○")&gt;0,1,0))</f>
        <v>0</v>
      </c>
      <c r="N250" s="39" t="n">
        <f aca="false">IF(N$4=0,0,IF(COUNTIFS(実績!$W$6:$W$505,N$3,実績!$AI$6:$AI$505,"&lt;="&amp;$A250,実績!$AJ$6:$AJ$505,"&gt;"&amp;$A250,実績!$AL$6:$AL$505,"○")&gt;0,1,0))</f>
        <v>0</v>
      </c>
      <c r="O250" s="39" t="n">
        <f aca="false">IF(O$4=0,0,IF(COUNTIFS(実績!$W$6:$W$505,O$3,実績!$AI$6:$AI$505,"&lt;="&amp;$A250,実績!$AJ$6:$AJ$505,"&gt;"&amp;$A250,実績!$AL$6:$AL$505,"○")&gt;0,1,0))</f>
        <v>0</v>
      </c>
      <c r="P250" s="39" t="n">
        <f aca="false">IF(P$4=0,0,IF(COUNTIFS(実績!$W$6:$W$505,P$3,実績!$AI$6:$AI$505,"&lt;="&amp;$A250,実績!$AJ$6:$AJ$505,"&gt;"&amp;$A250,実績!$AL$6:$AL$505,"○")&gt;0,1,0))</f>
        <v>0</v>
      </c>
      <c r="Q250" s="39" t="n">
        <f aca="false">IF(Q$4=0,0,IF(COUNTIFS(実績!$W$6:$W$505,Q$3,実績!$AI$6:$AI$505,"&lt;="&amp;$A250,実績!$AJ$6:$AJ$505,"&gt;"&amp;$A250,実績!$AL$6:$AL$505,"○")&gt;0,1,0))</f>
        <v>0</v>
      </c>
      <c r="R250" s="39" t="n">
        <f aca="false">IF(R$4=0,0,IF(COUNTIFS(実績!$W$6:$W$505,R$3,実績!$AI$6:$AI$505,"&lt;="&amp;$A250,実績!$AJ$6:$AJ$505,"&gt;"&amp;$A250,実績!$AL$6:$AL$505,"○")&gt;0,1,0))</f>
        <v>0</v>
      </c>
      <c r="S250" s="39" t="n">
        <f aca="false">IF(S$4=0,0,IF(COUNTIFS(実績!$W$6:$W$505,S$3,実績!$AI$6:$AI$505,"&lt;="&amp;$A250,実績!$AJ$6:$AJ$505,"&gt;"&amp;$A250,実績!$AL$6:$AL$505,"○")&gt;0,1,0))</f>
        <v>0</v>
      </c>
      <c r="T250" s="39" t="n">
        <f aca="false">IF(T$4=0,0,IF(COUNTIFS(実績!$W$6:$W$505,T$3,実績!$AI$6:$AI$505,"&lt;="&amp;$A250,実績!$AJ$6:$AJ$505,"&gt;"&amp;$A250,実績!$AL$6:$AL$505,"○")&gt;0,1,0))</f>
        <v>0</v>
      </c>
      <c r="U250" s="39" t="n">
        <f aca="false">IF(U$4=0,0,IF(COUNTIFS(実績!$W$6:$W$505,U$3,実績!$AI$6:$AI$505,"&lt;="&amp;$A250,実績!$AJ$6:$AJ$505,"&gt;"&amp;$A250,実績!$AL$6:$AL$505,"○")&gt;0,1,0))</f>
        <v>0</v>
      </c>
      <c r="V250" s="39" t="n">
        <f aca="false">IF(V$4=0,0,IF(COUNTIFS(実績!$W$6:$W$505,V$3,実績!$AI$6:$AI$505,"&lt;="&amp;$A250,実績!$AJ$6:$AJ$505,"&gt;"&amp;$A250,実績!$AL$6:$AL$505,"○")&gt;0,1,0))</f>
        <v>0</v>
      </c>
      <c r="W250" s="39" t="n">
        <f aca="false">IF(W$4=0,0,IF(COUNTIFS(実績!$W$6:$W$505,W$3,実績!$AI$6:$AI$505,"&lt;="&amp;$A250,実績!$AJ$6:$AJ$505,"&gt;"&amp;$A250,実績!$AL$6:$AL$505,"○")&gt;0,1,0))</f>
        <v>0</v>
      </c>
      <c r="X250" s="39" t="n">
        <f aca="false">IF(X$4=0,0,IF(COUNTIFS(実績!$W$6:$W$505,X$3,実績!$AI$6:$AI$505,"&lt;="&amp;$A250,実績!$AJ$6:$AJ$505,"&gt;"&amp;$A250,実績!$AL$6:$AL$505,"○")&gt;0,1,0))</f>
        <v>0</v>
      </c>
      <c r="Y250" s="39" t="n">
        <f aca="false">IF(Y$4=0,0,IF(COUNTIFS(実績!$W$6:$W$505,Y$3,実績!$AI$6:$AI$505,"&lt;="&amp;$A250,実績!$AJ$6:$AJ$505,"&gt;"&amp;$A250,実績!$AL$6:$AL$505,"○")&gt;0,1,0))</f>
        <v>0</v>
      </c>
      <c r="Z250" s="39" t="n">
        <f aca="false">IF(Z$4=0,0,IF(COUNTIFS(実績!$W$6:$W$505,Z$3,実績!$AI$6:$AI$505,"&lt;="&amp;$A250,実績!$AJ$6:$AJ$505,"&gt;"&amp;$A250,実績!$AL$6:$AL$505,"○")&gt;0,1,0))</f>
        <v>0</v>
      </c>
      <c r="AA250" s="39" t="n">
        <f aca="false">IF(AA$4=0,0,IF(COUNTIFS(実績!$W$6:$W$505,AA$3,実績!$AI$6:$AI$505,"&lt;="&amp;$A250,実績!$AJ$6:$AJ$505,"&gt;"&amp;$A250,実績!$AL$6:$AL$505,"○")&gt;0,1,0))</f>
        <v>0</v>
      </c>
      <c r="AB250" s="39" t="n">
        <f aca="false">IF(AB$4=0,0,IF(COUNTIFS(実績!$W$6:$W$505,AB$3,実績!$AI$6:$AI$505,"&lt;="&amp;$A250,実績!$AJ$6:$AJ$505,"&gt;"&amp;$A250,実績!$AL$6:$AL$505,"○")&gt;0,1,0))</f>
        <v>0</v>
      </c>
      <c r="AC250" s="39" t="n">
        <f aca="false">IF(AC$4=0,0,IF(COUNTIFS(実績!$W$6:$W$505,AC$3,実績!$AI$6:$AI$505,"&lt;="&amp;$A250,実績!$AJ$6:$AJ$505,"&gt;"&amp;$A250,実績!$AL$6:$AL$505,"○")&gt;0,1,0))</f>
        <v>0</v>
      </c>
      <c r="AD250" s="39" t="n">
        <f aca="false">IF(AD$4=0,0,IF(COUNTIFS(実績!$W$6:$W$505,AD$3,実績!$AI$6:$AI$505,"&lt;="&amp;$A250,実績!$AJ$6:$AJ$505,"&gt;"&amp;$A250,実績!$AL$6:$AL$505,"○")&gt;0,1,0))</f>
        <v>0</v>
      </c>
      <c r="AE250" s="39" t="n">
        <f aca="false">IF(AE$4=0,0,IF(COUNTIFS(実績!$W$6:$W$505,AE$3,実績!$AI$6:$AI$505,"&lt;="&amp;$A250,実績!$AJ$6:$AJ$505,"&gt;"&amp;$A250,実績!$AL$6:$AL$505,"○")&gt;0,1,0))</f>
        <v>0</v>
      </c>
      <c r="AF250" s="39" t="n">
        <f aca="false">IF(AF$4=0,0,IF(COUNTIFS(実績!$W$6:$W$505,AF$3,実績!$AI$6:$AI$505,"&lt;="&amp;$A250,実績!$AJ$6:$AJ$505,"&gt;"&amp;$A250,実績!$AL$6:$AL$505,"○")&gt;0,1,0))</f>
        <v>0</v>
      </c>
      <c r="AG250" s="39" t="n">
        <f aca="false">IF(AG$4=0,0,IF(COUNTIFS(実績!$W$6:$W$505,AG$3,実績!$AI$6:$AI$505,"&lt;="&amp;$A250,実績!$AJ$6:$AJ$505,"&gt;"&amp;$A250,実績!$AL$6:$AL$505,"○")&gt;0,1,0))</f>
        <v>0</v>
      </c>
      <c r="AH250" s="39" t="n">
        <f aca="false">IF(AH$4=0,0,IF(COUNTIFS(実績!$W$6:$W$505,AH$3,実績!$AI$6:$AI$505,"&lt;="&amp;$A250,実績!$AJ$6:$AJ$505,"&gt;"&amp;$A250,実績!$AL$6:$AL$505,"○")&gt;0,1,0))</f>
        <v>0</v>
      </c>
      <c r="AI250" s="39" t="n">
        <f aca="false">IF(AI$4=0,0,IF(COUNTIFS(実績!$W$6:$W$505,AI$3,実績!$AI$6:$AI$505,"&lt;="&amp;$A250,実績!$AJ$6:$AJ$505,"&gt;"&amp;$A250,実績!$AL$6:$AL$505,"○")&gt;0,1,0))</f>
        <v>0</v>
      </c>
      <c r="AJ250" s="39" t="n">
        <f aca="false">IF(AJ$4=0,0,IF(COUNTIFS(実績!$W$6:$W$505,AJ$3,実績!$AI$6:$AI$505,"&lt;="&amp;$A250,実績!$AJ$6:$AJ$505,"&gt;"&amp;$A250,実績!$AL$6:$AL$505,"○")&gt;0,1,0))</f>
        <v>0</v>
      </c>
      <c r="AK250" s="39" t="n">
        <f aca="false">IF(AK$4=0,0,IF(COUNTIFS(実績!$W$6:$W$505,AK$3,実績!$AI$6:$AI$505,"&lt;="&amp;$A250,実績!$AJ$6:$AJ$505,"&gt;"&amp;$A250,実績!$AL$6:$AL$505,"○")&gt;0,1,0))</f>
        <v>0</v>
      </c>
      <c r="AL250" s="39" t="n">
        <f aca="false">IF(AL$4=0,0,IF(COUNTIFS(実績!$W$6:$W$505,AL$3,実績!$AI$6:$AI$505,"&lt;="&amp;$A250,実績!$AJ$6:$AJ$505,"&gt;"&amp;$A250,実績!$AL$6:$AL$505,"○")&gt;0,1,0))</f>
        <v>0</v>
      </c>
      <c r="AM250" s="39" t="n">
        <f aca="false">IF(AM$4=0,0,IF(COUNTIFS(実績!$W$6:$W$505,AM$3,実績!$AI$6:$AI$505,"&lt;="&amp;$A250,実績!$AJ$6:$AJ$505,"&gt;"&amp;$A250,実績!$AL$6:$AL$505,"○")&gt;0,1,0))</f>
        <v>0</v>
      </c>
      <c r="AN250" s="39" t="n">
        <f aca="false">IF(AN$4=0,0,IF(COUNTIFS(実績!$W$6:$W$505,AN$3,実績!$AI$6:$AI$505,"&lt;="&amp;$A250,実績!$AJ$6:$AJ$505,"&gt;"&amp;$A250,実績!$AL$6:$AL$505,"○")&gt;0,1,0))</f>
        <v>0</v>
      </c>
      <c r="AO250" s="39" t="n">
        <f aca="false">IF(AO$4=0,0,IF(COUNTIFS(実績!$W$6:$W$505,AO$3,実績!$AI$6:$AI$505,"&lt;="&amp;$A250,実績!$AJ$6:$AJ$505,"&gt;"&amp;$A250,実績!$AL$6:$AL$505,"○")&gt;0,1,0))</f>
        <v>0</v>
      </c>
      <c r="AP250" s="39" t="n">
        <f aca="false">IF(AP$4=0,0,IF(COUNTIFS(実績!$W$6:$W$505,AP$3,実績!$AI$6:$AI$505,"&lt;="&amp;$A250,実績!$AJ$6:$AJ$505,"&gt;"&amp;$A250,実績!$AL$6:$AL$505,"○")&gt;0,1,0))</f>
        <v>0</v>
      </c>
      <c r="AQ250" s="39" t="n">
        <f aca="false">IF(AQ$4=0,0,IF(COUNTIFS(実績!$W$6:$W$505,AQ$3,実績!$AI$6:$AI$505,"&lt;="&amp;$A250,実績!$AJ$6:$AJ$505,"&gt;"&amp;$A250,実績!$AL$6:$AL$505,"○")&gt;0,1,0))</f>
        <v>0</v>
      </c>
      <c r="AR250" s="39" t="n">
        <f aca="false">IF(AR$4=0,0,IF(COUNTIFS(実績!$W$6:$W$505,AR$3,実績!$AI$6:$AI$505,"&lt;="&amp;$A250,実績!$AJ$6:$AJ$505,"&gt;"&amp;$A250,実績!$AL$6:$AL$505,"○")&gt;0,1,0))</f>
        <v>0</v>
      </c>
      <c r="AS250" s="39" t="n">
        <f aca="false">IF(AS$4=0,0,IF(COUNTIFS(実績!$W$6:$W$505,AS$3,実績!$AI$6:$AI$505,"&lt;="&amp;$A250,実績!$AJ$6:$AJ$505,"&gt;"&amp;$A250,実績!$AL$6:$AL$505,"○")&gt;0,1,0))</f>
        <v>0</v>
      </c>
      <c r="AT250" s="39" t="n">
        <f aca="false">IF(AT$4=0,0,IF(COUNTIFS(実績!$W$6:$W$505,AT$3,実績!$AI$6:$AI$505,"&lt;="&amp;$A250,実績!$AJ$6:$AJ$505,"&gt;"&amp;$A250,実績!$AL$6:$AL$505,"○")&gt;0,1,0))</f>
        <v>0</v>
      </c>
      <c r="AU250" s="39" t="n">
        <f aca="false">IF(AU$4=0,0,IF(COUNTIFS(実績!$W$6:$W$505,AU$3,実績!$AI$6:$AI$505,"&lt;="&amp;$A250,実績!$AJ$6:$AJ$505,"&gt;"&amp;$A250,実績!$AL$6:$AL$505,"○")&gt;0,1,0))</f>
        <v>0</v>
      </c>
      <c r="AV250" s="39" t="n">
        <f aca="false">IF(AV$4=0,0,IF(COUNTIFS(実績!$W$6:$W$505,AV$3,実績!$AI$6:$AI$505,"&lt;="&amp;$A250,実績!$AJ$6:$AJ$505,"&gt;"&amp;$A250,実績!$AL$6:$AL$505,"○")&gt;0,1,0))</f>
        <v>0</v>
      </c>
      <c r="AW250" s="39" t="n">
        <f aca="false">IF(AW$4=0,0,IF(COUNTIFS(実績!$W$6:$W$505,AW$3,実績!$AI$6:$AI$505,"&lt;="&amp;$A250,実績!$AJ$6:$AJ$505,"&gt;"&amp;$A250,実績!$AL$6:$AL$505,"○")&gt;0,1,0))</f>
        <v>0</v>
      </c>
      <c r="AX250" s="39" t="n">
        <f aca="false">IF(AX$4=0,0,IF(COUNTIFS(実績!$W$6:$W$505,AX$3,実績!$AI$6:$AI$505,"&lt;="&amp;$A250,実績!$AJ$6:$AJ$505,"&gt;"&amp;$A250,実績!$AL$6:$AL$505,"○")&gt;0,1,0))</f>
        <v>0</v>
      </c>
      <c r="AY250" s="39" t="n">
        <f aca="false">IF(AY$4=0,0,IF(COUNTIFS(実績!$W$6:$W$505,AY$3,実績!$AI$6:$AI$505,"&lt;="&amp;$A250,実績!$AJ$6:$AJ$505,"&gt;"&amp;$A250,実績!$AL$6:$AL$505,"○")&gt;0,1,0))</f>
        <v>0</v>
      </c>
      <c r="AZ250" s="39" t="n">
        <f aca="false">IF(AZ$4=0,0,IF(COUNTIFS(実績!$W$6:$W$505,AZ$3,実績!$AI$6:$AI$505,"&lt;="&amp;$A250,実績!$AJ$6:$AJ$505,"&gt;"&amp;$A250,実績!$AL$6:$AL$505,"○")&gt;0,1,0))</f>
        <v>0</v>
      </c>
      <c r="BA250" s="39" t="n">
        <f aca="false">IF(BA$4=0,0,IF(COUNTIFS(実績!$W$6:$W$505,BA$3,実績!$AI$6:$AI$505,"&lt;="&amp;$A250,実績!$AJ$6:$AJ$505,"&gt;"&amp;$A250,実績!$AL$6:$AL$505,"○")&gt;0,1,0))</f>
        <v>0</v>
      </c>
      <c r="BB250" s="39" t="n">
        <f aca="false">IF(BB$4=0,0,IF(COUNTIFS(実績!$W$6:$W$505,BB$3,実績!$AI$6:$AI$505,"&lt;="&amp;$A250,実績!$AJ$6:$AJ$505,"&gt;"&amp;$A250,実績!$AL$6:$AL$505,"○")&gt;0,1,0))</f>
        <v>0</v>
      </c>
      <c r="BC250" s="39" t="n">
        <f aca="false">IF(BC$4=0,0,IF(COUNTIFS(実績!$W$6:$W$505,BC$3,実績!$AI$6:$AI$505,"&lt;="&amp;$A250,実績!$AJ$6:$AJ$505,"&gt;"&amp;$A250,実績!$AL$6:$AL$505,"○")&gt;0,1,0))</f>
        <v>0</v>
      </c>
      <c r="BD250" s="39" t="n">
        <f aca="false">IF(BD$4=0,0,IF(COUNTIFS(実績!$W$6:$W$505,BD$3,実績!$AI$6:$AI$505,"&lt;="&amp;$A250,実績!$AJ$6:$AJ$505,"&gt;"&amp;$A250,実績!$AL$6:$AL$505,"○")&gt;0,1,0))</f>
        <v>0</v>
      </c>
      <c r="BE250" s="39" t="n">
        <f aca="false">IF(BE$4=0,0,IF(COUNTIFS(実績!$W$6:$W$505,BE$3,実績!$AI$6:$AI$505,"&lt;="&amp;$A250,実績!$AJ$6:$AJ$505,"&gt;"&amp;$A250,実績!$AL$6:$AL$505,"○")&gt;0,1,0))</f>
        <v>0</v>
      </c>
      <c r="BF250" s="39" t="n">
        <f aca="false">IF(BF$4=0,0,IF(COUNTIFS(実績!$W$6:$W$505,BF$3,実績!$AI$6:$AI$505,"&lt;="&amp;$A250,実績!$AJ$6:$AJ$505,"&gt;"&amp;$A250,実績!$AL$6:$AL$505,"○")&gt;0,1,0))</f>
        <v>0</v>
      </c>
      <c r="BG250" s="39" t="n">
        <f aca="false">IF(BG$4=0,0,IF(COUNTIFS(実績!$W$6:$W$505,BG$3,実績!$AI$6:$AI$505,"&lt;="&amp;$A250,実績!$AJ$6:$AJ$505,"&gt;"&amp;$A250,実績!$AL$6:$AL$505,"○")&gt;0,1,0))</f>
        <v>0</v>
      </c>
      <c r="BH250" s="39" t="n">
        <f aca="false">IF(BH$4=0,0,IF(COUNTIFS(実績!$W$6:$W$505,BH$3,実績!$AI$6:$AI$505,"&lt;="&amp;$A250,実績!$AJ$6:$AJ$505,"&gt;"&amp;$A250,実績!$AL$6:$AL$505,"○")&gt;0,1,0))</f>
        <v>0</v>
      </c>
      <c r="BI250" s="39" t="n">
        <f aca="false">IF(BI$4=0,0,IF(COUNTIFS(実績!$W$6:$W$505,BI$3,実績!$AI$6:$AI$505,"&lt;="&amp;$A250,実績!$AJ$6:$AJ$505,"&gt;"&amp;$A250,実績!$AL$6:$AL$505,"○")&gt;0,1,0))</f>
        <v>0</v>
      </c>
      <c r="BJ250" s="39" t="n">
        <f aca="false">IF(BJ$4=0,0,IF(COUNTIFS(実績!$W$6:$W$505,BJ$3,実績!$AI$6:$AI$505,"&lt;="&amp;$A250,実績!$AJ$6:$AJ$505,"&gt;"&amp;$A250,実績!$AL$6:$AL$505,"○")&gt;0,1,0))</f>
        <v>0</v>
      </c>
      <c r="BK250" s="39" t="n">
        <f aca="false">IF(BK$4=0,0,IF(COUNTIFS(実績!$W$6:$W$505,BK$3,実績!$AI$6:$AI$505,"&lt;="&amp;$A250,実績!$AJ$6:$AJ$505,"&gt;"&amp;$A250,実績!$AL$6:$AL$505,"○")&gt;0,1,0))</f>
        <v>0</v>
      </c>
      <c r="BL250" s="39" t="n">
        <f aca="false">IF(BL$4=0,0,IF(COUNTIFS(実績!$W$6:$W$505,BL$3,実績!$AI$6:$AI$505,"&lt;="&amp;$A250,実績!$AJ$6:$AJ$505,"&gt;"&amp;$A250,実績!$AL$6:$AL$505,"○")&gt;0,1,0))</f>
        <v>0</v>
      </c>
      <c r="BM250" s="39" t="n">
        <f aca="false">IF(BM$4=0,0,IF(COUNTIFS(実績!$W$6:$W$505,BM$3,実績!$AI$6:$AI$505,"&lt;="&amp;$A250,実績!$AJ$6:$AJ$505,"&gt;"&amp;$A250,実績!$AL$6:$AL$505,"○")&gt;0,1,0))</f>
        <v>0</v>
      </c>
      <c r="BN250" s="39" t="n">
        <f aca="false">IF(BN$4=0,0,IF(COUNTIFS(実績!$W$6:$W$505,BN$3,実績!$AI$6:$AI$505,"&lt;="&amp;$A250,実績!$AJ$6:$AJ$505,"&gt;"&amp;$A250,実績!$AL$6:$AL$505,"○")&gt;0,1,0))</f>
        <v>0</v>
      </c>
      <c r="BO250" s="39" t="n">
        <f aca="false">IF(BO$4=0,0,IF(COUNTIFS(実績!$W$6:$W$505,BO$3,実績!$AI$6:$AI$505,"&lt;="&amp;$A250,実績!$AJ$6:$AJ$505,"&gt;"&amp;$A250,実績!$AL$6:$AL$505,"○")&gt;0,1,0))</f>
        <v>0</v>
      </c>
      <c r="BP250" s="39" t="n">
        <f aca="false">IF(BP$4=0,0,IF(COUNTIFS(実績!$W$6:$W$505,BP$3,実績!$AI$6:$AI$505,"&lt;="&amp;$A250,実績!$AJ$6:$AJ$505,"&gt;"&amp;$A250,実績!$AL$6:$AL$505,"○")&gt;0,1,0))</f>
        <v>0</v>
      </c>
      <c r="BQ250" s="39" t="n">
        <f aca="false">IF(BQ$4=0,0,IF(COUNTIFS(実績!$W$6:$W$505,BQ$3,実績!$AI$6:$AI$505,"&lt;="&amp;$A250,実績!$AJ$6:$AJ$505,"&gt;"&amp;$A250,実績!$AL$6:$AL$505,"○")&gt;0,1,0))</f>
        <v>0</v>
      </c>
      <c r="BR250" s="39" t="n">
        <f aca="false">IF(BR$4=0,0,IF(COUNTIFS(実績!$W$6:$W$505,BR$3,実績!$AI$6:$AI$505,"&lt;="&amp;$A250,実績!$AJ$6:$AJ$505,"&gt;"&amp;$A250,実績!$AL$6:$AL$505,"○")&gt;0,1,0))</f>
        <v>0</v>
      </c>
      <c r="BS250" s="39" t="n">
        <f aca="false">IF(BS$4=0,0,IF(COUNTIFS(実績!$W$6:$W$505,BS$3,実績!$AI$6:$AI$505,"&lt;="&amp;$A250,実績!$AJ$6:$AJ$505,"&gt;"&amp;$A250,実績!$AL$6:$AL$505,"○")&gt;0,1,0))</f>
        <v>0</v>
      </c>
      <c r="BT250" s="39" t="n">
        <f aca="false">IF(BT$4=0,0,IF(COUNTIFS(実績!$W$6:$W$505,BT$3,実績!$AI$6:$AI$505,"&lt;="&amp;$A250,実績!$AJ$6:$AJ$505,"&gt;"&amp;$A250,実績!$AL$6:$AL$505,"○")&gt;0,1,0))</f>
        <v>0</v>
      </c>
      <c r="BU250" s="39" t="n">
        <f aca="false">IF(BU$4=0,0,IF(COUNTIFS(実績!$W$6:$W$505,BU$3,実績!$AI$6:$AI$505,"&lt;="&amp;$A250,実績!$AJ$6:$AJ$505,"&gt;"&amp;$A250,実績!$AL$6:$AL$505,"○")&gt;0,1,0))</f>
        <v>0</v>
      </c>
      <c r="BV250" s="39" t="n">
        <f aca="false">IF(BV$4=0,0,IF(COUNTIFS(実績!$W$6:$W$505,BV$3,実績!$AI$6:$AI$505,"&lt;="&amp;$A250,実績!$AJ$6:$AJ$505,"&gt;"&amp;$A250,実績!$AL$6:$AL$505,"○")&gt;0,1,0))</f>
        <v>0</v>
      </c>
      <c r="BW250" s="39" t="n">
        <f aca="false">IF(BW$4=0,0,IF(COUNTIFS(実績!$W$6:$W$505,BW$3,実績!$AI$6:$AI$505,"&lt;="&amp;$A250,実績!$AJ$6:$AJ$505,"&gt;"&amp;$A250,実績!$AL$6:$AL$505,"○")&gt;0,1,0))</f>
        <v>0</v>
      </c>
      <c r="BX250" s="39" t="n">
        <f aca="false">IF(BX$4=0,0,IF(COUNTIFS(実績!$W$6:$W$505,BX$3,実績!$AI$6:$AI$505,"&lt;="&amp;$A250,実績!$AJ$6:$AJ$505,"&gt;"&amp;$A250,実績!$AL$6:$AL$505,"○")&gt;0,1,0))</f>
        <v>0</v>
      </c>
      <c r="BY250" s="39" t="n">
        <f aca="false">IF(BY$4=0,0,IF(COUNTIFS(実績!$W$6:$W$505,BY$3,実績!$AI$6:$AI$505,"&lt;="&amp;$A250,実績!$AJ$6:$AJ$505,"&gt;"&amp;$A250,実績!$AL$6:$AL$505,"○")&gt;0,1,0))</f>
        <v>0</v>
      </c>
      <c r="BZ250" s="39" t="n">
        <f aca="false">IF(BZ$4=0,0,IF(COUNTIFS(実績!$W$6:$W$505,BZ$3,実績!$AI$6:$AI$505,"&lt;="&amp;$A250,実績!$AJ$6:$AJ$505,"&gt;"&amp;$A250,実績!$AL$6:$AL$505,"○")&gt;0,1,0))</f>
        <v>0</v>
      </c>
      <c r="CA250" s="39" t="n">
        <f aca="false">IF(CA$4=0,0,IF(COUNTIFS(実績!$W$6:$W$505,CA$3,実績!$AI$6:$AI$505,"&lt;="&amp;$A250,実績!$AJ$6:$AJ$505,"&gt;"&amp;$A250,実績!$AL$6:$AL$505,"○")&gt;0,1,0))</f>
        <v>0</v>
      </c>
      <c r="CB250" s="39" t="n">
        <f aca="false">IF(CB$4=0,0,IF(COUNTIFS(実績!$W$6:$W$505,CB$3,実績!$AI$6:$AI$505,"&lt;="&amp;$A250,実績!$AJ$6:$AJ$505,"&gt;"&amp;$A250,実績!$AL$6:$AL$505,"○")&gt;0,1,0))</f>
        <v>0</v>
      </c>
      <c r="CC250" s="39" t="n">
        <f aca="false">IF(CC$4=0,0,IF(COUNTIFS(実績!$W$6:$W$505,CC$3,実績!$AI$6:$AI$505,"&lt;="&amp;$A250,実績!$AJ$6:$AJ$505,"&gt;"&amp;$A250,実績!$AL$6:$AL$505,"○")&gt;0,1,0))</f>
        <v>0</v>
      </c>
      <c r="CD250" s="39" t="n">
        <f aca="false">IF(CD$4=0,0,IF(COUNTIFS(実績!$W$6:$W$505,CD$3,実績!$AI$6:$AI$505,"&lt;="&amp;$A250,実績!$AJ$6:$AJ$505,"&gt;"&amp;$A250,実績!$AL$6:$AL$505,"○")&gt;0,1,0))</f>
        <v>0</v>
      </c>
      <c r="CE250" s="39" t="n">
        <f aca="false">IF(CE$4=0,0,IF(COUNTIFS(実績!$W$6:$W$505,CE$3,実績!$AI$6:$AI$505,"&lt;="&amp;$A250,実績!$AJ$6:$AJ$505,"&gt;"&amp;$A250,実績!$AL$6:$AL$505,"○")&gt;0,1,0))</f>
        <v>0</v>
      </c>
      <c r="CF250" s="39" t="n">
        <f aca="false">IF(CF$4=0,0,IF(COUNTIFS(実績!$W$6:$W$505,CF$3,実績!$AI$6:$AI$505,"&lt;="&amp;$A250,実績!$AJ$6:$AJ$505,"&gt;"&amp;$A250,実績!$AL$6:$AL$505,"○")&gt;0,1,0))</f>
        <v>0</v>
      </c>
      <c r="CG250" s="39" t="n">
        <f aca="false">IF(CG$4=0,0,IF(COUNTIFS(実績!$W$6:$W$505,CG$3,実績!$AI$6:$AI$505,"&lt;="&amp;$A250,実績!$AJ$6:$AJ$505,"&gt;"&amp;$A250,実績!$AL$6:$AL$505,"○")&gt;0,1,0))</f>
        <v>0</v>
      </c>
      <c r="CH250" s="39" t="n">
        <f aca="false">IF(CH$4=0,0,IF(COUNTIFS(実績!$W$6:$W$505,CH$3,実績!$AI$6:$AI$505,"&lt;="&amp;$A250,実績!$AJ$6:$AJ$505,"&gt;"&amp;$A250,実績!$AL$6:$AL$505,"○")&gt;0,1,0))</f>
        <v>0</v>
      </c>
      <c r="CI250" s="39" t="n">
        <f aca="false">IF(CI$4=0,0,IF(COUNTIFS(実績!$W$6:$W$505,CI$3,実績!$AI$6:$AI$505,"&lt;="&amp;$A250,実績!$AJ$6:$AJ$505,"&gt;"&amp;$A250,実績!$AL$6:$AL$505,"○")&gt;0,1,0))</f>
        <v>0</v>
      </c>
      <c r="CJ250" s="39" t="n">
        <f aca="false">IF(CJ$4=0,0,IF(COUNTIFS(実績!$W$6:$W$505,CJ$3,実績!$AI$6:$AI$505,"&lt;="&amp;$A250,実績!$AJ$6:$AJ$505,"&gt;"&amp;$A250,実績!$AL$6:$AL$505,"○")&gt;0,1,0))</f>
        <v>0</v>
      </c>
      <c r="CK250" s="39" t="n">
        <f aca="false">IF(CK$4=0,0,IF(COUNTIFS(実績!$W$6:$W$505,CK$3,実績!$AI$6:$AI$505,"&lt;="&amp;$A250,実績!$AJ$6:$AJ$505,"&gt;"&amp;$A250,実績!$AL$6:$AL$505,"○")&gt;0,1,0))</f>
        <v>0</v>
      </c>
      <c r="CL250" s="39" t="n">
        <f aca="false">IF(CL$4=0,0,IF(COUNTIFS(実績!$W$6:$W$505,CL$3,実績!$AI$6:$AI$505,"&lt;="&amp;$A250,実績!$AJ$6:$AJ$505,"&gt;"&amp;$A250,実績!$AL$6:$AL$505,"○")&gt;0,1,0))</f>
        <v>0</v>
      </c>
      <c r="CM250" s="39" t="n">
        <f aca="false">IF(CM$4=0,0,IF(COUNTIFS(実績!$W$6:$W$505,CM$3,実績!$AI$6:$AI$505,"&lt;="&amp;$A250,実績!$AJ$6:$AJ$505,"&gt;"&amp;$A250,実績!$AL$6:$AL$505,"○")&gt;0,1,0))</f>
        <v>0</v>
      </c>
      <c r="CN250" s="39" t="n">
        <f aca="false">IF(CN$4=0,0,IF(COUNTIFS(実績!$W$6:$W$505,CN$3,実績!$AI$6:$AI$505,"&lt;="&amp;$A250,実績!$AJ$6:$AJ$505,"&gt;"&amp;$A250,実績!$AL$6:$AL$505,"○")&gt;0,1,0))</f>
        <v>0</v>
      </c>
      <c r="CO250" s="39" t="n">
        <f aca="false">IF(CO$4=0,0,IF(COUNTIFS(実績!$W$6:$W$505,CO$3,実績!$AI$6:$AI$505,"&lt;="&amp;$A250,実績!$AJ$6:$AJ$505,"&gt;"&amp;$A250,実績!$AL$6:$AL$505,"○")&gt;0,1,0))</f>
        <v>0</v>
      </c>
      <c r="CP250" s="39" t="n">
        <f aca="false">IF(CP$4=0,0,IF(COUNTIFS(実績!$W$6:$W$505,CP$3,実績!$AI$6:$AI$505,"&lt;="&amp;$A250,実績!$AJ$6:$AJ$505,"&gt;"&amp;$A250,実績!$AL$6:$AL$505,"○")&gt;0,1,0))</f>
        <v>0</v>
      </c>
      <c r="CQ250" s="39" t="n">
        <f aca="false">IF(CQ$4=0,0,IF(COUNTIFS(実績!$W$6:$W$505,CQ$3,実績!$AI$6:$AI$505,"&lt;="&amp;$A250,実績!$AJ$6:$AJ$505,"&gt;"&amp;$A250,実績!$AL$6:$AL$505,"○")&gt;0,1,0))</f>
        <v>0</v>
      </c>
      <c r="CR250" s="39" t="n">
        <f aca="false">IF(CR$4=0,0,IF(COUNTIFS(実績!$W$6:$W$505,CR$3,実績!$AI$6:$AI$505,"&lt;="&amp;$A250,実績!$AJ$6:$AJ$505,"&gt;"&amp;$A250,実績!$AL$6:$AL$505,"○")&gt;0,1,0))</f>
        <v>0</v>
      </c>
      <c r="CS250" s="39" t="n">
        <f aca="false">IF(CS$4=0,0,IF(COUNTIFS(実績!$W$6:$W$505,CS$3,実績!$AI$6:$AI$505,"&lt;="&amp;$A250,実績!$AJ$6:$AJ$505,"&gt;"&amp;$A250,実績!$AL$6:$AL$505,"○")&gt;0,1,0))</f>
        <v>0</v>
      </c>
      <c r="CT250" s="39" t="n">
        <f aca="false">IF(CT$4=0,0,IF(COUNTIFS(実績!$W$6:$W$505,CT$3,実績!$AI$6:$AI$505,"&lt;="&amp;$A250,実績!$AJ$6:$AJ$505,"&gt;"&amp;$A250,実績!$AL$6:$AL$505,"○")&gt;0,1,0))</f>
        <v>0</v>
      </c>
      <c r="CU250" s="39" t="n">
        <f aca="false">IF(CU$4=0,0,IF(COUNTIFS(実績!$W$6:$W$505,CU$3,実績!$AI$6:$AI$505,"&lt;="&amp;$A250,実績!$AJ$6:$AJ$505,"&gt;"&amp;$A250,実績!$AL$6:$AL$505,"○")&gt;0,1,0))</f>
        <v>0</v>
      </c>
      <c r="CV250" s="39" t="n">
        <f aca="false">IF(CV$4=0,0,IF(COUNTIFS(実績!$W$6:$W$505,CV$3,実績!$AI$6:$AI$505,"&lt;="&amp;$A250,実績!$AJ$6:$AJ$505,"&gt;"&amp;$A250,実績!$AL$6:$AL$505,"○")&gt;0,1,0))</f>
        <v>0</v>
      </c>
      <c r="CW250" s="39" t="n">
        <f aca="false">IF(CW$4=0,0,IF(COUNTIFS(実績!$W$6:$W$505,CW$3,実績!$AI$6:$AI$505,"&lt;="&amp;$A250,実績!$AJ$6:$AJ$505,"&gt;"&amp;$A250,実績!$AL$6:$AL$505,"○")&gt;0,1,0))</f>
        <v>0</v>
      </c>
      <c r="CX250" s="39" t="n">
        <f aca="false">IF(CX$4=0,0,IF(COUNTIFS(実績!$W$6:$W$505,CX$3,実績!$AI$6:$AI$505,"&lt;="&amp;$A250,実績!$AJ$6:$AJ$505,"&gt;"&amp;$A250,実績!$AL$6:$AL$505,"○")&gt;0,1,0))</f>
        <v>0</v>
      </c>
      <c r="CY250" s="39" t="n">
        <f aca="false">IF(CY$4=0,0,IF(COUNTIFS(実績!$W$6:$W$505,CY$3,実績!$AI$6:$AI$505,"&lt;="&amp;$A250,実績!$AJ$6:$AJ$505,"&gt;"&amp;$A250,実績!$AL$6:$AL$505,"○")&gt;0,1,0))</f>
        <v>0</v>
      </c>
      <c r="CZ250" s="39" t="n">
        <f aca="false">IF(CZ$4=0,0,IF(COUNTIFS(実績!$W$6:$W$505,CZ$3,実績!$AI$6:$AI$505,"&lt;="&amp;$A250,実績!$AJ$6:$AJ$505,"&gt;"&amp;$A250,実績!$AL$6:$AL$505,"○")&gt;0,1,0))</f>
        <v>0</v>
      </c>
      <c r="DA250" s="39" t="n">
        <f aca="false">IF(DA$4=0,0,IF(COUNTIFS(実績!$W$6:$W$505,DA$3,実績!$AI$6:$AI$505,"&lt;="&amp;$A250,実績!$AJ$6:$AJ$505,"&gt;"&amp;$A250,実績!$AL$6:$AL$505,"○")&gt;0,1,0))</f>
        <v>0</v>
      </c>
      <c r="DB250" s="39" t="n">
        <f aca="false">IF(DB$4=0,0,IF(COUNTIFS(実績!$W$6:$W$505,DB$3,実績!$AI$6:$AI$505,"&lt;="&amp;$A250,実績!$AJ$6:$AJ$505,"&gt;"&amp;$A250,実績!$AL$6:$AL$505,"○")&gt;0,1,0))</f>
        <v>0</v>
      </c>
      <c r="DC250" s="39" t="n">
        <f aca="false">IF(DC$4=0,0,IF(COUNTIFS(実績!$W$6:$W$505,DC$3,実績!$AI$6:$AI$505,"&lt;="&amp;$A250,実績!$AJ$6:$AJ$505,"&gt;"&amp;$A250,実績!$AL$6:$AL$505,"○")&gt;0,1,0))</f>
        <v>0</v>
      </c>
      <c r="DD250" s="39" t="n">
        <f aca="false">IF(DD$4=0,0,IF(COUNTIFS(実績!$W$6:$W$505,DD$3,実績!$AI$6:$AI$505,"&lt;="&amp;$A250,実績!$AJ$6:$AJ$505,"&gt;"&amp;$A250,実績!$AL$6:$AL$505,"○")&gt;0,1,0))</f>
        <v>0</v>
      </c>
      <c r="DE250" s="39" t="n">
        <f aca="false">IF(DE$4=0,0,IF(COUNTIFS(実績!$W$6:$W$505,DE$3,実績!$AI$6:$AI$505,"&lt;="&amp;$A250,実績!$AJ$6:$AJ$505,"&gt;"&amp;$A250,実績!$AL$6:$AL$505,"○")&gt;0,1,0))</f>
        <v>0</v>
      </c>
      <c r="DF250" s="39" t="n">
        <f aca="false">IF(DF$4=0,0,IF(COUNTIFS(実績!$W$6:$W$505,DF$3,実績!$AI$6:$AI$505,"&lt;="&amp;$A250,実績!$AJ$6:$AJ$505,"&gt;"&amp;$A250,実績!$AL$6:$AL$505,"○")&gt;0,1,0))</f>
        <v>0</v>
      </c>
      <c r="DG250" s="39" t="n">
        <f aca="false">IF(DG$4=0,0,IF(COUNTIFS(実績!$W$6:$W$505,DG$3,実績!$AI$6:$AI$505,"&lt;="&amp;$A250,実績!$AJ$6:$AJ$505,"&gt;"&amp;$A250,実績!$AL$6:$AL$505,"○")&gt;0,1,0))</f>
        <v>0</v>
      </c>
      <c r="DH250" s="39" t="n">
        <f aca="false">IF(DH$4=0,0,IF(COUNTIFS(実績!$W$6:$W$505,DH$3,実績!$AI$6:$AI$505,"&lt;="&amp;$A250,実績!$AJ$6:$AJ$505,"&gt;"&amp;$A250,実績!$AL$6:$AL$505,"○")&gt;0,1,0))</f>
        <v>0</v>
      </c>
      <c r="DI250" s="39" t="n">
        <f aca="false">IF(DI$4=0,0,IF(COUNTIFS(実績!$W$6:$W$505,DI$3,実績!$AI$6:$AI$505,"&lt;="&amp;$A250,実績!$AJ$6:$AJ$505,"&gt;"&amp;$A250,実績!$AL$6:$AL$505,"○")&gt;0,1,0))</f>
        <v>0</v>
      </c>
      <c r="DJ250" s="39" t="n">
        <f aca="false">IF(DJ$4=0,0,IF(COUNTIFS(実績!$W$6:$W$505,DJ$3,実績!$AI$6:$AI$505,"&lt;="&amp;$A250,実績!$AJ$6:$AJ$505,"&gt;"&amp;$A250,実績!$AL$6:$AL$505,"○")&gt;0,1,0))</f>
        <v>0</v>
      </c>
      <c r="DK250" s="39" t="n">
        <f aca="false">IF(DK$4=0,0,IF(COUNTIFS(実績!$W$6:$W$505,DK$3,実績!$AI$6:$AI$505,"&lt;="&amp;$A250,実績!$AJ$6:$AJ$505,"&gt;"&amp;$A250,実績!$AL$6:$AL$505,"○")&gt;0,1,0))</f>
        <v>0</v>
      </c>
      <c r="DL250" s="39" t="n">
        <f aca="false">IF(DL$4=0,0,IF(COUNTIFS(実績!$W$6:$W$505,DL$3,実績!$AI$6:$AI$505,"&lt;="&amp;$A250,実績!$AJ$6:$AJ$505,"&gt;"&amp;$A250,実績!$AL$6:$AL$505,"○")&gt;0,1,0))</f>
        <v>0</v>
      </c>
      <c r="DM250" s="39" t="n">
        <f aca="false">IF(DM$4=0,0,IF(COUNTIFS(実績!$W$6:$W$505,DM$3,実績!$AI$6:$AI$505,"&lt;="&amp;$A250,実績!$AJ$6:$AJ$505,"&gt;"&amp;$A250,実績!$AL$6:$AL$505,"○")&gt;0,1,0))</f>
        <v>0</v>
      </c>
      <c r="DN250" s="39" t="n">
        <f aca="false">IF(DN$4=0,0,IF(COUNTIFS(実績!$W$6:$W$505,DN$3,実績!$AI$6:$AI$505,"&lt;="&amp;$A250,実績!$AJ$6:$AJ$505,"&gt;"&amp;$A250,実績!$AL$6:$AL$505,"○")&gt;0,1,0))</f>
        <v>0</v>
      </c>
      <c r="DO250" s="39" t="n">
        <f aca="false">IF(DO$4=0,0,IF(COUNTIFS(実績!$W$6:$W$505,DO$3,実績!$AI$6:$AI$505,"&lt;="&amp;$A250,実績!$AJ$6:$AJ$505,"&gt;"&amp;$A250,実績!$AL$6:$AL$505,"○")&gt;0,1,0))</f>
        <v>0</v>
      </c>
      <c r="DP250" s="39" t="n">
        <f aca="false">IF(DP$4=0,0,IF(COUNTIFS(実績!$W$6:$W$505,DP$3,実績!$AI$6:$AI$505,"&lt;="&amp;$A250,実績!$AJ$6:$AJ$505,"&gt;"&amp;$A250,実績!$AL$6:$AL$505,"○")&gt;0,1,0))</f>
        <v>0</v>
      </c>
      <c r="DQ250" s="39" t="n">
        <f aca="false">IF(DQ$4=0,0,IF(COUNTIFS(実績!$W$6:$W$505,DQ$3,実績!$AI$6:$AI$505,"&lt;="&amp;$A250,実績!$AJ$6:$AJ$505,"&gt;"&amp;$A250,実績!$AL$6:$AL$505,"○")&gt;0,1,0))</f>
        <v>0</v>
      </c>
      <c r="DR250" s="39" t="n">
        <f aca="false">IF(DR$4=0,0,IF(COUNTIFS(実績!$W$6:$W$505,DR$3,実績!$AI$6:$AI$505,"&lt;="&amp;$A250,実績!$AJ$6:$AJ$505,"&gt;"&amp;$A250,実績!$AL$6:$AL$505,"○")&gt;0,1,0))</f>
        <v>0</v>
      </c>
      <c r="DS250" s="39" t="n">
        <f aca="false">SUM(C250:DR250)</f>
        <v>0</v>
      </c>
    </row>
    <row r="251" customFormat="false" ht="15" hidden="false" customHeight="false" outlineLevel="0" collapsed="false">
      <c r="A251" s="0" t="n">
        <v>1225</v>
      </c>
      <c r="B251" s="38" t="n">
        <f aca="false">A251/1440</f>
        <v>0.850694444444444</v>
      </c>
      <c r="C251" s="39" t="n">
        <f aca="false">IF(C$4=0,0,IF(COUNTIFS(実績!$W$6:$W$505,C$3,実績!$AI$6:$AI$505,"&lt;="&amp;$A251,実績!$AJ$6:$AJ$505,"&gt;"&amp;$A251,実績!$AL$6:$AL$505,"○")&gt;0,1,0))</f>
        <v>0</v>
      </c>
      <c r="D251" s="39" t="n">
        <f aca="false">IF(D$4=0,0,IF(COUNTIFS(実績!$W$6:$W$505,D$3,実績!$AI$6:$AI$505,"&lt;="&amp;$A251,実績!$AJ$6:$AJ$505,"&gt;"&amp;$A251,実績!$AL$6:$AL$505,"○")&gt;0,1,0))</f>
        <v>0</v>
      </c>
      <c r="E251" s="39" t="n">
        <f aca="false">IF(E$4=0,0,IF(COUNTIFS(実績!$W$6:$W$505,E$3,実績!$AI$6:$AI$505,"&lt;="&amp;$A251,実績!$AJ$6:$AJ$505,"&gt;"&amp;$A251,実績!$AL$6:$AL$505,"○")&gt;0,1,0))</f>
        <v>0</v>
      </c>
      <c r="F251" s="39" t="n">
        <f aca="false">IF(F$4=0,0,IF(COUNTIFS(実績!$W$6:$W$505,F$3,実績!$AI$6:$AI$505,"&lt;="&amp;$A251,実績!$AJ$6:$AJ$505,"&gt;"&amp;$A251,実績!$AL$6:$AL$505,"○")&gt;0,1,0))</f>
        <v>0</v>
      </c>
      <c r="G251" s="39" t="n">
        <f aca="false">IF(G$4=0,0,IF(COUNTIFS(実績!$W$6:$W$505,G$3,実績!$AI$6:$AI$505,"&lt;="&amp;$A251,実績!$AJ$6:$AJ$505,"&gt;"&amp;$A251,実績!$AL$6:$AL$505,"○")&gt;0,1,0))</f>
        <v>0</v>
      </c>
      <c r="H251" s="39" t="n">
        <f aca="false">IF(H$4=0,0,IF(COUNTIFS(実績!$W$6:$W$505,H$3,実績!$AI$6:$AI$505,"&lt;="&amp;$A251,実績!$AJ$6:$AJ$505,"&gt;"&amp;$A251,実績!$AL$6:$AL$505,"○")&gt;0,1,0))</f>
        <v>0</v>
      </c>
      <c r="I251" s="39" t="n">
        <f aca="false">IF(I$4=0,0,IF(COUNTIFS(実績!$W$6:$W$505,I$3,実績!$AI$6:$AI$505,"&lt;="&amp;$A251,実績!$AJ$6:$AJ$505,"&gt;"&amp;$A251,実績!$AL$6:$AL$505,"○")&gt;0,1,0))</f>
        <v>0</v>
      </c>
      <c r="J251" s="39" t="n">
        <f aca="false">IF(J$4=0,0,IF(COUNTIFS(実績!$W$6:$W$505,J$3,実績!$AI$6:$AI$505,"&lt;="&amp;$A251,実績!$AJ$6:$AJ$505,"&gt;"&amp;$A251,実績!$AL$6:$AL$505,"○")&gt;0,1,0))</f>
        <v>0</v>
      </c>
      <c r="K251" s="39" t="n">
        <f aca="false">IF(K$4=0,0,IF(COUNTIFS(実績!$W$6:$W$505,K$3,実績!$AI$6:$AI$505,"&lt;="&amp;$A251,実績!$AJ$6:$AJ$505,"&gt;"&amp;$A251,実績!$AL$6:$AL$505,"○")&gt;0,1,0))</f>
        <v>0</v>
      </c>
      <c r="L251" s="39" t="n">
        <f aca="false">IF(L$4=0,0,IF(COUNTIFS(実績!$W$6:$W$505,L$3,実績!$AI$6:$AI$505,"&lt;="&amp;$A251,実績!$AJ$6:$AJ$505,"&gt;"&amp;$A251,実績!$AL$6:$AL$505,"○")&gt;0,1,0))</f>
        <v>0</v>
      </c>
      <c r="M251" s="39" t="n">
        <f aca="false">IF(M$4=0,0,IF(COUNTIFS(実績!$W$6:$W$505,M$3,実績!$AI$6:$AI$505,"&lt;="&amp;$A251,実績!$AJ$6:$AJ$505,"&gt;"&amp;$A251,実績!$AL$6:$AL$505,"○")&gt;0,1,0))</f>
        <v>0</v>
      </c>
      <c r="N251" s="39" t="n">
        <f aca="false">IF(N$4=0,0,IF(COUNTIFS(実績!$W$6:$W$505,N$3,実績!$AI$6:$AI$505,"&lt;="&amp;$A251,実績!$AJ$6:$AJ$505,"&gt;"&amp;$A251,実績!$AL$6:$AL$505,"○")&gt;0,1,0))</f>
        <v>0</v>
      </c>
      <c r="O251" s="39" t="n">
        <f aca="false">IF(O$4=0,0,IF(COUNTIFS(実績!$W$6:$W$505,O$3,実績!$AI$6:$AI$505,"&lt;="&amp;$A251,実績!$AJ$6:$AJ$505,"&gt;"&amp;$A251,実績!$AL$6:$AL$505,"○")&gt;0,1,0))</f>
        <v>0</v>
      </c>
      <c r="P251" s="39" t="n">
        <f aca="false">IF(P$4=0,0,IF(COUNTIFS(実績!$W$6:$W$505,P$3,実績!$AI$6:$AI$505,"&lt;="&amp;$A251,実績!$AJ$6:$AJ$505,"&gt;"&amp;$A251,実績!$AL$6:$AL$505,"○")&gt;0,1,0))</f>
        <v>0</v>
      </c>
      <c r="Q251" s="39" t="n">
        <f aca="false">IF(Q$4=0,0,IF(COUNTIFS(実績!$W$6:$W$505,Q$3,実績!$AI$6:$AI$505,"&lt;="&amp;$A251,実績!$AJ$6:$AJ$505,"&gt;"&amp;$A251,実績!$AL$6:$AL$505,"○")&gt;0,1,0))</f>
        <v>0</v>
      </c>
      <c r="R251" s="39" t="n">
        <f aca="false">IF(R$4=0,0,IF(COUNTIFS(実績!$W$6:$W$505,R$3,実績!$AI$6:$AI$505,"&lt;="&amp;$A251,実績!$AJ$6:$AJ$505,"&gt;"&amp;$A251,実績!$AL$6:$AL$505,"○")&gt;0,1,0))</f>
        <v>0</v>
      </c>
      <c r="S251" s="39" t="n">
        <f aca="false">IF(S$4=0,0,IF(COUNTIFS(実績!$W$6:$W$505,S$3,実績!$AI$6:$AI$505,"&lt;="&amp;$A251,実績!$AJ$6:$AJ$505,"&gt;"&amp;$A251,実績!$AL$6:$AL$505,"○")&gt;0,1,0))</f>
        <v>0</v>
      </c>
      <c r="T251" s="39" t="n">
        <f aca="false">IF(T$4=0,0,IF(COUNTIFS(実績!$W$6:$W$505,T$3,実績!$AI$6:$AI$505,"&lt;="&amp;$A251,実績!$AJ$6:$AJ$505,"&gt;"&amp;$A251,実績!$AL$6:$AL$505,"○")&gt;0,1,0))</f>
        <v>0</v>
      </c>
      <c r="U251" s="39" t="n">
        <f aca="false">IF(U$4=0,0,IF(COUNTIFS(実績!$W$6:$W$505,U$3,実績!$AI$6:$AI$505,"&lt;="&amp;$A251,実績!$AJ$6:$AJ$505,"&gt;"&amp;$A251,実績!$AL$6:$AL$505,"○")&gt;0,1,0))</f>
        <v>0</v>
      </c>
      <c r="V251" s="39" t="n">
        <f aca="false">IF(V$4=0,0,IF(COUNTIFS(実績!$W$6:$W$505,V$3,実績!$AI$6:$AI$505,"&lt;="&amp;$A251,実績!$AJ$6:$AJ$505,"&gt;"&amp;$A251,実績!$AL$6:$AL$505,"○")&gt;0,1,0))</f>
        <v>0</v>
      </c>
      <c r="W251" s="39" t="n">
        <f aca="false">IF(W$4=0,0,IF(COUNTIFS(実績!$W$6:$W$505,W$3,実績!$AI$6:$AI$505,"&lt;="&amp;$A251,実績!$AJ$6:$AJ$505,"&gt;"&amp;$A251,実績!$AL$6:$AL$505,"○")&gt;0,1,0))</f>
        <v>0</v>
      </c>
      <c r="X251" s="39" t="n">
        <f aca="false">IF(X$4=0,0,IF(COUNTIFS(実績!$W$6:$W$505,X$3,実績!$AI$6:$AI$505,"&lt;="&amp;$A251,実績!$AJ$6:$AJ$505,"&gt;"&amp;$A251,実績!$AL$6:$AL$505,"○")&gt;0,1,0))</f>
        <v>0</v>
      </c>
      <c r="Y251" s="39" t="n">
        <f aca="false">IF(Y$4=0,0,IF(COUNTIFS(実績!$W$6:$W$505,Y$3,実績!$AI$6:$AI$505,"&lt;="&amp;$A251,実績!$AJ$6:$AJ$505,"&gt;"&amp;$A251,実績!$AL$6:$AL$505,"○")&gt;0,1,0))</f>
        <v>0</v>
      </c>
      <c r="Z251" s="39" t="n">
        <f aca="false">IF(Z$4=0,0,IF(COUNTIFS(実績!$W$6:$W$505,Z$3,実績!$AI$6:$AI$505,"&lt;="&amp;$A251,実績!$AJ$6:$AJ$505,"&gt;"&amp;$A251,実績!$AL$6:$AL$505,"○")&gt;0,1,0))</f>
        <v>0</v>
      </c>
      <c r="AA251" s="39" t="n">
        <f aca="false">IF(AA$4=0,0,IF(COUNTIFS(実績!$W$6:$W$505,AA$3,実績!$AI$6:$AI$505,"&lt;="&amp;$A251,実績!$AJ$6:$AJ$505,"&gt;"&amp;$A251,実績!$AL$6:$AL$505,"○")&gt;0,1,0))</f>
        <v>0</v>
      </c>
      <c r="AB251" s="39" t="n">
        <f aca="false">IF(AB$4=0,0,IF(COUNTIFS(実績!$W$6:$W$505,AB$3,実績!$AI$6:$AI$505,"&lt;="&amp;$A251,実績!$AJ$6:$AJ$505,"&gt;"&amp;$A251,実績!$AL$6:$AL$505,"○")&gt;0,1,0))</f>
        <v>0</v>
      </c>
      <c r="AC251" s="39" t="n">
        <f aca="false">IF(AC$4=0,0,IF(COUNTIFS(実績!$W$6:$W$505,AC$3,実績!$AI$6:$AI$505,"&lt;="&amp;$A251,実績!$AJ$6:$AJ$505,"&gt;"&amp;$A251,実績!$AL$6:$AL$505,"○")&gt;0,1,0))</f>
        <v>0</v>
      </c>
      <c r="AD251" s="39" t="n">
        <f aca="false">IF(AD$4=0,0,IF(COUNTIFS(実績!$W$6:$W$505,AD$3,実績!$AI$6:$AI$505,"&lt;="&amp;$A251,実績!$AJ$6:$AJ$505,"&gt;"&amp;$A251,実績!$AL$6:$AL$505,"○")&gt;0,1,0))</f>
        <v>0</v>
      </c>
      <c r="AE251" s="39" t="n">
        <f aca="false">IF(AE$4=0,0,IF(COUNTIFS(実績!$W$6:$W$505,AE$3,実績!$AI$6:$AI$505,"&lt;="&amp;$A251,実績!$AJ$6:$AJ$505,"&gt;"&amp;$A251,実績!$AL$6:$AL$505,"○")&gt;0,1,0))</f>
        <v>0</v>
      </c>
      <c r="AF251" s="39" t="n">
        <f aca="false">IF(AF$4=0,0,IF(COUNTIFS(実績!$W$6:$W$505,AF$3,実績!$AI$6:$AI$505,"&lt;="&amp;$A251,実績!$AJ$6:$AJ$505,"&gt;"&amp;$A251,実績!$AL$6:$AL$505,"○")&gt;0,1,0))</f>
        <v>0</v>
      </c>
      <c r="AG251" s="39" t="n">
        <f aca="false">IF(AG$4=0,0,IF(COUNTIFS(実績!$W$6:$W$505,AG$3,実績!$AI$6:$AI$505,"&lt;="&amp;$A251,実績!$AJ$6:$AJ$505,"&gt;"&amp;$A251,実績!$AL$6:$AL$505,"○")&gt;0,1,0))</f>
        <v>0</v>
      </c>
      <c r="AH251" s="39" t="n">
        <f aca="false">IF(AH$4=0,0,IF(COUNTIFS(実績!$W$6:$W$505,AH$3,実績!$AI$6:$AI$505,"&lt;="&amp;$A251,実績!$AJ$6:$AJ$505,"&gt;"&amp;$A251,実績!$AL$6:$AL$505,"○")&gt;0,1,0))</f>
        <v>0</v>
      </c>
      <c r="AI251" s="39" t="n">
        <f aca="false">IF(AI$4=0,0,IF(COUNTIFS(実績!$W$6:$W$505,AI$3,実績!$AI$6:$AI$505,"&lt;="&amp;$A251,実績!$AJ$6:$AJ$505,"&gt;"&amp;$A251,実績!$AL$6:$AL$505,"○")&gt;0,1,0))</f>
        <v>0</v>
      </c>
      <c r="AJ251" s="39" t="n">
        <f aca="false">IF(AJ$4=0,0,IF(COUNTIFS(実績!$W$6:$W$505,AJ$3,実績!$AI$6:$AI$505,"&lt;="&amp;$A251,実績!$AJ$6:$AJ$505,"&gt;"&amp;$A251,実績!$AL$6:$AL$505,"○")&gt;0,1,0))</f>
        <v>0</v>
      </c>
      <c r="AK251" s="39" t="n">
        <f aca="false">IF(AK$4=0,0,IF(COUNTIFS(実績!$W$6:$W$505,AK$3,実績!$AI$6:$AI$505,"&lt;="&amp;$A251,実績!$AJ$6:$AJ$505,"&gt;"&amp;$A251,実績!$AL$6:$AL$505,"○")&gt;0,1,0))</f>
        <v>0</v>
      </c>
      <c r="AL251" s="39" t="n">
        <f aca="false">IF(AL$4=0,0,IF(COUNTIFS(実績!$W$6:$W$505,AL$3,実績!$AI$6:$AI$505,"&lt;="&amp;$A251,実績!$AJ$6:$AJ$505,"&gt;"&amp;$A251,実績!$AL$6:$AL$505,"○")&gt;0,1,0))</f>
        <v>0</v>
      </c>
      <c r="AM251" s="39" t="n">
        <f aca="false">IF(AM$4=0,0,IF(COUNTIFS(実績!$W$6:$W$505,AM$3,実績!$AI$6:$AI$505,"&lt;="&amp;$A251,実績!$AJ$6:$AJ$505,"&gt;"&amp;$A251,実績!$AL$6:$AL$505,"○")&gt;0,1,0))</f>
        <v>0</v>
      </c>
      <c r="AN251" s="39" t="n">
        <f aca="false">IF(AN$4=0,0,IF(COUNTIFS(実績!$W$6:$W$505,AN$3,実績!$AI$6:$AI$505,"&lt;="&amp;$A251,実績!$AJ$6:$AJ$505,"&gt;"&amp;$A251,実績!$AL$6:$AL$505,"○")&gt;0,1,0))</f>
        <v>0</v>
      </c>
      <c r="AO251" s="39" t="n">
        <f aca="false">IF(AO$4=0,0,IF(COUNTIFS(実績!$W$6:$W$505,AO$3,実績!$AI$6:$AI$505,"&lt;="&amp;$A251,実績!$AJ$6:$AJ$505,"&gt;"&amp;$A251,実績!$AL$6:$AL$505,"○")&gt;0,1,0))</f>
        <v>0</v>
      </c>
      <c r="AP251" s="39" t="n">
        <f aca="false">IF(AP$4=0,0,IF(COUNTIFS(実績!$W$6:$W$505,AP$3,実績!$AI$6:$AI$505,"&lt;="&amp;$A251,実績!$AJ$6:$AJ$505,"&gt;"&amp;$A251,実績!$AL$6:$AL$505,"○")&gt;0,1,0))</f>
        <v>0</v>
      </c>
      <c r="AQ251" s="39" t="n">
        <f aca="false">IF(AQ$4=0,0,IF(COUNTIFS(実績!$W$6:$W$505,AQ$3,実績!$AI$6:$AI$505,"&lt;="&amp;$A251,実績!$AJ$6:$AJ$505,"&gt;"&amp;$A251,実績!$AL$6:$AL$505,"○")&gt;0,1,0))</f>
        <v>0</v>
      </c>
      <c r="AR251" s="39" t="n">
        <f aca="false">IF(AR$4=0,0,IF(COUNTIFS(実績!$W$6:$W$505,AR$3,実績!$AI$6:$AI$505,"&lt;="&amp;$A251,実績!$AJ$6:$AJ$505,"&gt;"&amp;$A251,実績!$AL$6:$AL$505,"○")&gt;0,1,0))</f>
        <v>0</v>
      </c>
      <c r="AS251" s="39" t="n">
        <f aca="false">IF(AS$4=0,0,IF(COUNTIFS(実績!$W$6:$W$505,AS$3,実績!$AI$6:$AI$505,"&lt;="&amp;$A251,実績!$AJ$6:$AJ$505,"&gt;"&amp;$A251,実績!$AL$6:$AL$505,"○")&gt;0,1,0))</f>
        <v>0</v>
      </c>
      <c r="AT251" s="39" t="n">
        <f aca="false">IF(AT$4=0,0,IF(COUNTIFS(実績!$W$6:$W$505,AT$3,実績!$AI$6:$AI$505,"&lt;="&amp;$A251,実績!$AJ$6:$AJ$505,"&gt;"&amp;$A251,実績!$AL$6:$AL$505,"○")&gt;0,1,0))</f>
        <v>0</v>
      </c>
      <c r="AU251" s="39" t="n">
        <f aca="false">IF(AU$4=0,0,IF(COUNTIFS(実績!$W$6:$W$505,AU$3,実績!$AI$6:$AI$505,"&lt;="&amp;$A251,実績!$AJ$6:$AJ$505,"&gt;"&amp;$A251,実績!$AL$6:$AL$505,"○")&gt;0,1,0))</f>
        <v>0</v>
      </c>
      <c r="AV251" s="39" t="n">
        <f aca="false">IF(AV$4=0,0,IF(COUNTIFS(実績!$W$6:$W$505,AV$3,実績!$AI$6:$AI$505,"&lt;="&amp;$A251,実績!$AJ$6:$AJ$505,"&gt;"&amp;$A251,実績!$AL$6:$AL$505,"○")&gt;0,1,0))</f>
        <v>0</v>
      </c>
      <c r="AW251" s="39" t="n">
        <f aca="false">IF(AW$4=0,0,IF(COUNTIFS(実績!$W$6:$W$505,AW$3,実績!$AI$6:$AI$505,"&lt;="&amp;$A251,実績!$AJ$6:$AJ$505,"&gt;"&amp;$A251,実績!$AL$6:$AL$505,"○")&gt;0,1,0))</f>
        <v>0</v>
      </c>
      <c r="AX251" s="39" t="n">
        <f aca="false">IF(AX$4=0,0,IF(COUNTIFS(実績!$W$6:$W$505,AX$3,実績!$AI$6:$AI$505,"&lt;="&amp;$A251,実績!$AJ$6:$AJ$505,"&gt;"&amp;$A251,実績!$AL$6:$AL$505,"○")&gt;0,1,0))</f>
        <v>0</v>
      </c>
      <c r="AY251" s="39" t="n">
        <f aca="false">IF(AY$4=0,0,IF(COUNTIFS(実績!$W$6:$W$505,AY$3,実績!$AI$6:$AI$505,"&lt;="&amp;$A251,実績!$AJ$6:$AJ$505,"&gt;"&amp;$A251,実績!$AL$6:$AL$505,"○")&gt;0,1,0))</f>
        <v>0</v>
      </c>
      <c r="AZ251" s="39" t="n">
        <f aca="false">IF(AZ$4=0,0,IF(COUNTIFS(実績!$W$6:$W$505,AZ$3,実績!$AI$6:$AI$505,"&lt;="&amp;$A251,実績!$AJ$6:$AJ$505,"&gt;"&amp;$A251,実績!$AL$6:$AL$505,"○")&gt;0,1,0))</f>
        <v>0</v>
      </c>
      <c r="BA251" s="39" t="n">
        <f aca="false">IF(BA$4=0,0,IF(COUNTIFS(実績!$W$6:$W$505,BA$3,実績!$AI$6:$AI$505,"&lt;="&amp;$A251,実績!$AJ$6:$AJ$505,"&gt;"&amp;$A251,実績!$AL$6:$AL$505,"○")&gt;0,1,0))</f>
        <v>0</v>
      </c>
      <c r="BB251" s="39" t="n">
        <f aca="false">IF(BB$4=0,0,IF(COUNTIFS(実績!$W$6:$W$505,BB$3,実績!$AI$6:$AI$505,"&lt;="&amp;$A251,実績!$AJ$6:$AJ$505,"&gt;"&amp;$A251,実績!$AL$6:$AL$505,"○")&gt;0,1,0))</f>
        <v>0</v>
      </c>
      <c r="BC251" s="39" t="n">
        <f aca="false">IF(BC$4=0,0,IF(COUNTIFS(実績!$W$6:$W$505,BC$3,実績!$AI$6:$AI$505,"&lt;="&amp;$A251,実績!$AJ$6:$AJ$505,"&gt;"&amp;$A251,実績!$AL$6:$AL$505,"○")&gt;0,1,0))</f>
        <v>0</v>
      </c>
      <c r="BD251" s="39" t="n">
        <f aca="false">IF(BD$4=0,0,IF(COUNTIFS(実績!$W$6:$W$505,BD$3,実績!$AI$6:$AI$505,"&lt;="&amp;$A251,実績!$AJ$6:$AJ$505,"&gt;"&amp;$A251,実績!$AL$6:$AL$505,"○")&gt;0,1,0))</f>
        <v>0</v>
      </c>
      <c r="BE251" s="39" t="n">
        <f aca="false">IF(BE$4=0,0,IF(COUNTIFS(実績!$W$6:$W$505,BE$3,実績!$AI$6:$AI$505,"&lt;="&amp;$A251,実績!$AJ$6:$AJ$505,"&gt;"&amp;$A251,実績!$AL$6:$AL$505,"○")&gt;0,1,0))</f>
        <v>0</v>
      </c>
      <c r="BF251" s="39" t="n">
        <f aca="false">IF(BF$4=0,0,IF(COUNTIFS(実績!$W$6:$W$505,BF$3,実績!$AI$6:$AI$505,"&lt;="&amp;$A251,実績!$AJ$6:$AJ$505,"&gt;"&amp;$A251,実績!$AL$6:$AL$505,"○")&gt;0,1,0))</f>
        <v>0</v>
      </c>
      <c r="BG251" s="39" t="n">
        <f aca="false">IF(BG$4=0,0,IF(COUNTIFS(実績!$W$6:$W$505,BG$3,実績!$AI$6:$AI$505,"&lt;="&amp;$A251,実績!$AJ$6:$AJ$505,"&gt;"&amp;$A251,実績!$AL$6:$AL$505,"○")&gt;0,1,0))</f>
        <v>0</v>
      </c>
      <c r="BH251" s="39" t="n">
        <f aca="false">IF(BH$4=0,0,IF(COUNTIFS(実績!$W$6:$W$505,BH$3,実績!$AI$6:$AI$505,"&lt;="&amp;$A251,実績!$AJ$6:$AJ$505,"&gt;"&amp;$A251,実績!$AL$6:$AL$505,"○")&gt;0,1,0))</f>
        <v>0</v>
      </c>
      <c r="BI251" s="39" t="n">
        <f aca="false">IF(BI$4=0,0,IF(COUNTIFS(実績!$W$6:$W$505,BI$3,実績!$AI$6:$AI$505,"&lt;="&amp;$A251,実績!$AJ$6:$AJ$505,"&gt;"&amp;$A251,実績!$AL$6:$AL$505,"○")&gt;0,1,0))</f>
        <v>0</v>
      </c>
      <c r="BJ251" s="39" t="n">
        <f aca="false">IF(BJ$4=0,0,IF(COUNTIFS(実績!$W$6:$W$505,BJ$3,実績!$AI$6:$AI$505,"&lt;="&amp;$A251,実績!$AJ$6:$AJ$505,"&gt;"&amp;$A251,実績!$AL$6:$AL$505,"○")&gt;0,1,0))</f>
        <v>0</v>
      </c>
      <c r="BK251" s="39" t="n">
        <f aca="false">IF(BK$4=0,0,IF(COUNTIFS(実績!$W$6:$W$505,BK$3,実績!$AI$6:$AI$505,"&lt;="&amp;$A251,実績!$AJ$6:$AJ$505,"&gt;"&amp;$A251,実績!$AL$6:$AL$505,"○")&gt;0,1,0))</f>
        <v>0</v>
      </c>
      <c r="BL251" s="39" t="n">
        <f aca="false">IF(BL$4=0,0,IF(COUNTIFS(実績!$W$6:$W$505,BL$3,実績!$AI$6:$AI$505,"&lt;="&amp;$A251,実績!$AJ$6:$AJ$505,"&gt;"&amp;$A251,実績!$AL$6:$AL$505,"○")&gt;0,1,0))</f>
        <v>0</v>
      </c>
      <c r="BM251" s="39" t="n">
        <f aca="false">IF(BM$4=0,0,IF(COUNTIFS(実績!$W$6:$W$505,BM$3,実績!$AI$6:$AI$505,"&lt;="&amp;$A251,実績!$AJ$6:$AJ$505,"&gt;"&amp;$A251,実績!$AL$6:$AL$505,"○")&gt;0,1,0))</f>
        <v>0</v>
      </c>
      <c r="BN251" s="39" t="n">
        <f aca="false">IF(BN$4=0,0,IF(COUNTIFS(実績!$W$6:$W$505,BN$3,実績!$AI$6:$AI$505,"&lt;="&amp;$A251,実績!$AJ$6:$AJ$505,"&gt;"&amp;$A251,実績!$AL$6:$AL$505,"○")&gt;0,1,0))</f>
        <v>0</v>
      </c>
      <c r="BO251" s="39" t="n">
        <f aca="false">IF(BO$4=0,0,IF(COUNTIFS(実績!$W$6:$W$505,BO$3,実績!$AI$6:$AI$505,"&lt;="&amp;$A251,実績!$AJ$6:$AJ$505,"&gt;"&amp;$A251,実績!$AL$6:$AL$505,"○")&gt;0,1,0))</f>
        <v>0</v>
      </c>
      <c r="BP251" s="39" t="n">
        <f aca="false">IF(BP$4=0,0,IF(COUNTIFS(実績!$W$6:$W$505,BP$3,実績!$AI$6:$AI$505,"&lt;="&amp;$A251,実績!$AJ$6:$AJ$505,"&gt;"&amp;$A251,実績!$AL$6:$AL$505,"○")&gt;0,1,0))</f>
        <v>0</v>
      </c>
      <c r="BQ251" s="39" t="n">
        <f aca="false">IF(BQ$4=0,0,IF(COUNTIFS(実績!$W$6:$W$505,BQ$3,実績!$AI$6:$AI$505,"&lt;="&amp;$A251,実績!$AJ$6:$AJ$505,"&gt;"&amp;$A251,実績!$AL$6:$AL$505,"○")&gt;0,1,0))</f>
        <v>0</v>
      </c>
      <c r="BR251" s="39" t="n">
        <f aca="false">IF(BR$4=0,0,IF(COUNTIFS(実績!$W$6:$W$505,BR$3,実績!$AI$6:$AI$505,"&lt;="&amp;$A251,実績!$AJ$6:$AJ$505,"&gt;"&amp;$A251,実績!$AL$6:$AL$505,"○")&gt;0,1,0))</f>
        <v>0</v>
      </c>
      <c r="BS251" s="39" t="n">
        <f aca="false">IF(BS$4=0,0,IF(COUNTIFS(実績!$W$6:$W$505,BS$3,実績!$AI$6:$AI$505,"&lt;="&amp;$A251,実績!$AJ$6:$AJ$505,"&gt;"&amp;$A251,実績!$AL$6:$AL$505,"○")&gt;0,1,0))</f>
        <v>0</v>
      </c>
      <c r="BT251" s="39" t="n">
        <f aca="false">IF(BT$4=0,0,IF(COUNTIFS(実績!$W$6:$W$505,BT$3,実績!$AI$6:$AI$505,"&lt;="&amp;$A251,実績!$AJ$6:$AJ$505,"&gt;"&amp;$A251,実績!$AL$6:$AL$505,"○")&gt;0,1,0))</f>
        <v>0</v>
      </c>
      <c r="BU251" s="39" t="n">
        <f aca="false">IF(BU$4=0,0,IF(COUNTIFS(実績!$W$6:$W$505,BU$3,実績!$AI$6:$AI$505,"&lt;="&amp;$A251,実績!$AJ$6:$AJ$505,"&gt;"&amp;$A251,実績!$AL$6:$AL$505,"○")&gt;0,1,0))</f>
        <v>0</v>
      </c>
      <c r="BV251" s="39" t="n">
        <f aca="false">IF(BV$4=0,0,IF(COUNTIFS(実績!$W$6:$W$505,BV$3,実績!$AI$6:$AI$505,"&lt;="&amp;$A251,実績!$AJ$6:$AJ$505,"&gt;"&amp;$A251,実績!$AL$6:$AL$505,"○")&gt;0,1,0))</f>
        <v>0</v>
      </c>
      <c r="BW251" s="39" t="n">
        <f aca="false">IF(BW$4=0,0,IF(COUNTIFS(実績!$W$6:$W$505,BW$3,実績!$AI$6:$AI$505,"&lt;="&amp;$A251,実績!$AJ$6:$AJ$505,"&gt;"&amp;$A251,実績!$AL$6:$AL$505,"○")&gt;0,1,0))</f>
        <v>0</v>
      </c>
      <c r="BX251" s="39" t="n">
        <f aca="false">IF(BX$4=0,0,IF(COUNTIFS(実績!$W$6:$W$505,BX$3,実績!$AI$6:$AI$505,"&lt;="&amp;$A251,実績!$AJ$6:$AJ$505,"&gt;"&amp;$A251,実績!$AL$6:$AL$505,"○")&gt;0,1,0))</f>
        <v>0</v>
      </c>
      <c r="BY251" s="39" t="n">
        <f aca="false">IF(BY$4=0,0,IF(COUNTIFS(実績!$W$6:$W$505,BY$3,実績!$AI$6:$AI$505,"&lt;="&amp;$A251,実績!$AJ$6:$AJ$505,"&gt;"&amp;$A251,実績!$AL$6:$AL$505,"○")&gt;0,1,0))</f>
        <v>0</v>
      </c>
      <c r="BZ251" s="39" t="n">
        <f aca="false">IF(BZ$4=0,0,IF(COUNTIFS(実績!$W$6:$W$505,BZ$3,実績!$AI$6:$AI$505,"&lt;="&amp;$A251,実績!$AJ$6:$AJ$505,"&gt;"&amp;$A251,実績!$AL$6:$AL$505,"○")&gt;0,1,0))</f>
        <v>0</v>
      </c>
      <c r="CA251" s="39" t="n">
        <f aca="false">IF(CA$4=0,0,IF(COUNTIFS(実績!$W$6:$W$505,CA$3,実績!$AI$6:$AI$505,"&lt;="&amp;$A251,実績!$AJ$6:$AJ$505,"&gt;"&amp;$A251,実績!$AL$6:$AL$505,"○")&gt;0,1,0))</f>
        <v>0</v>
      </c>
      <c r="CB251" s="39" t="n">
        <f aca="false">IF(CB$4=0,0,IF(COUNTIFS(実績!$W$6:$W$505,CB$3,実績!$AI$6:$AI$505,"&lt;="&amp;$A251,実績!$AJ$6:$AJ$505,"&gt;"&amp;$A251,実績!$AL$6:$AL$505,"○")&gt;0,1,0))</f>
        <v>0</v>
      </c>
      <c r="CC251" s="39" t="n">
        <f aca="false">IF(CC$4=0,0,IF(COUNTIFS(実績!$W$6:$W$505,CC$3,実績!$AI$6:$AI$505,"&lt;="&amp;$A251,実績!$AJ$6:$AJ$505,"&gt;"&amp;$A251,実績!$AL$6:$AL$505,"○")&gt;0,1,0))</f>
        <v>0</v>
      </c>
      <c r="CD251" s="39" t="n">
        <f aca="false">IF(CD$4=0,0,IF(COUNTIFS(実績!$W$6:$W$505,CD$3,実績!$AI$6:$AI$505,"&lt;="&amp;$A251,実績!$AJ$6:$AJ$505,"&gt;"&amp;$A251,実績!$AL$6:$AL$505,"○")&gt;0,1,0))</f>
        <v>0</v>
      </c>
      <c r="CE251" s="39" t="n">
        <f aca="false">IF(CE$4=0,0,IF(COUNTIFS(実績!$W$6:$W$505,CE$3,実績!$AI$6:$AI$505,"&lt;="&amp;$A251,実績!$AJ$6:$AJ$505,"&gt;"&amp;$A251,実績!$AL$6:$AL$505,"○")&gt;0,1,0))</f>
        <v>0</v>
      </c>
      <c r="CF251" s="39" t="n">
        <f aca="false">IF(CF$4=0,0,IF(COUNTIFS(実績!$W$6:$W$505,CF$3,実績!$AI$6:$AI$505,"&lt;="&amp;$A251,実績!$AJ$6:$AJ$505,"&gt;"&amp;$A251,実績!$AL$6:$AL$505,"○")&gt;0,1,0))</f>
        <v>0</v>
      </c>
      <c r="CG251" s="39" t="n">
        <f aca="false">IF(CG$4=0,0,IF(COUNTIFS(実績!$W$6:$W$505,CG$3,実績!$AI$6:$AI$505,"&lt;="&amp;$A251,実績!$AJ$6:$AJ$505,"&gt;"&amp;$A251,実績!$AL$6:$AL$505,"○")&gt;0,1,0))</f>
        <v>0</v>
      </c>
      <c r="CH251" s="39" t="n">
        <f aca="false">IF(CH$4=0,0,IF(COUNTIFS(実績!$W$6:$W$505,CH$3,実績!$AI$6:$AI$505,"&lt;="&amp;$A251,実績!$AJ$6:$AJ$505,"&gt;"&amp;$A251,実績!$AL$6:$AL$505,"○")&gt;0,1,0))</f>
        <v>0</v>
      </c>
      <c r="CI251" s="39" t="n">
        <f aca="false">IF(CI$4=0,0,IF(COUNTIFS(実績!$W$6:$W$505,CI$3,実績!$AI$6:$AI$505,"&lt;="&amp;$A251,実績!$AJ$6:$AJ$505,"&gt;"&amp;$A251,実績!$AL$6:$AL$505,"○")&gt;0,1,0))</f>
        <v>0</v>
      </c>
      <c r="CJ251" s="39" t="n">
        <f aca="false">IF(CJ$4=0,0,IF(COUNTIFS(実績!$W$6:$W$505,CJ$3,実績!$AI$6:$AI$505,"&lt;="&amp;$A251,実績!$AJ$6:$AJ$505,"&gt;"&amp;$A251,実績!$AL$6:$AL$505,"○")&gt;0,1,0))</f>
        <v>0</v>
      </c>
      <c r="CK251" s="39" t="n">
        <f aca="false">IF(CK$4=0,0,IF(COUNTIFS(実績!$W$6:$W$505,CK$3,実績!$AI$6:$AI$505,"&lt;="&amp;$A251,実績!$AJ$6:$AJ$505,"&gt;"&amp;$A251,実績!$AL$6:$AL$505,"○")&gt;0,1,0))</f>
        <v>0</v>
      </c>
      <c r="CL251" s="39" t="n">
        <f aca="false">IF(CL$4=0,0,IF(COUNTIFS(実績!$W$6:$W$505,CL$3,実績!$AI$6:$AI$505,"&lt;="&amp;$A251,実績!$AJ$6:$AJ$505,"&gt;"&amp;$A251,実績!$AL$6:$AL$505,"○")&gt;0,1,0))</f>
        <v>0</v>
      </c>
      <c r="CM251" s="39" t="n">
        <f aca="false">IF(CM$4=0,0,IF(COUNTIFS(実績!$W$6:$W$505,CM$3,実績!$AI$6:$AI$505,"&lt;="&amp;$A251,実績!$AJ$6:$AJ$505,"&gt;"&amp;$A251,実績!$AL$6:$AL$505,"○")&gt;0,1,0))</f>
        <v>0</v>
      </c>
      <c r="CN251" s="39" t="n">
        <f aca="false">IF(CN$4=0,0,IF(COUNTIFS(実績!$W$6:$W$505,CN$3,実績!$AI$6:$AI$505,"&lt;="&amp;$A251,実績!$AJ$6:$AJ$505,"&gt;"&amp;$A251,実績!$AL$6:$AL$505,"○")&gt;0,1,0))</f>
        <v>0</v>
      </c>
      <c r="CO251" s="39" t="n">
        <f aca="false">IF(CO$4=0,0,IF(COUNTIFS(実績!$W$6:$W$505,CO$3,実績!$AI$6:$AI$505,"&lt;="&amp;$A251,実績!$AJ$6:$AJ$505,"&gt;"&amp;$A251,実績!$AL$6:$AL$505,"○")&gt;0,1,0))</f>
        <v>0</v>
      </c>
      <c r="CP251" s="39" t="n">
        <f aca="false">IF(CP$4=0,0,IF(COUNTIFS(実績!$W$6:$W$505,CP$3,実績!$AI$6:$AI$505,"&lt;="&amp;$A251,実績!$AJ$6:$AJ$505,"&gt;"&amp;$A251,実績!$AL$6:$AL$505,"○")&gt;0,1,0))</f>
        <v>0</v>
      </c>
      <c r="CQ251" s="39" t="n">
        <f aca="false">IF(CQ$4=0,0,IF(COUNTIFS(実績!$W$6:$W$505,CQ$3,実績!$AI$6:$AI$505,"&lt;="&amp;$A251,実績!$AJ$6:$AJ$505,"&gt;"&amp;$A251,実績!$AL$6:$AL$505,"○")&gt;0,1,0))</f>
        <v>0</v>
      </c>
      <c r="CR251" s="39" t="n">
        <f aca="false">IF(CR$4=0,0,IF(COUNTIFS(実績!$W$6:$W$505,CR$3,実績!$AI$6:$AI$505,"&lt;="&amp;$A251,実績!$AJ$6:$AJ$505,"&gt;"&amp;$A251,実績!$AL$6:$AL$505,"○")&gt;0,1,0))</f>
        <v>0</v>
      </c>
      <c r="CS251" s="39" t="n">
        <f aca="false">IF(CS$4=0,0,IF(COUNTIFS(実績!$W$6:$W$505,CS$3,実績!$AI$6:$AI$505,"&lt;="&amp;$A251,実績!$AJ$6:$AJ$505,"&gt;"&amp;$A251,実績!$AL$6:$AL$505,"○")&gt;0,1,0))</f>
        <v>0</v>
      </c>
      <c r="CT251" s="39" t="n">
        <f aca="false">IF(CT$4=0,0,IF(COUNTIFS(実績!$W$6:$W$505,CT$3,実績!$AI$6:$AI$505,"&lt;="&amp;$A251,実績!$AJ$6:$AJ$505,"&gt;"&amp;$A251,実績!$AL$6:$AL$505,"○")&gt;0,1,0))</f>
        <v>0</v>
      </c>
      <c r="CU251" s="39" t="n">
        <f aca="false">IF(CU$4=0,0,IF(COUNTIFS(実績!$W$6:$W$505,CU$3,実績!$AI$6:$AI$505,"&lt;="&amp;$A251,実績!$AJ$6:$AJ$505,"&gt;"&amp;$A251,実績!$AL$6:$AL$505,"○")&gt;0,1,0))</f>
        <v>0</v>
      </c>
      <c r="CV251" s="39" t="n">
        <f aca="false">IF(CV$4=0,0,IF(COUNTIFS(実績!$W$6:$W$505,CV$3,実績!$AI$6:$AI$505,"&lt;="&amp;$A251,実績!$AJ$6:$AJ$505,"&gt;"&amp;$A251,実績!$AL$6:$AL$505,"○")&gt;0,1,0))</f>
        <v>0</v>
      </c>
      <c r="CW251" s="39" t="n">
        <f aca="false">IF(CW$4=0,0,IF(COUNTIFS(実績!$W$6:$W$505,CW$3,実績!$AI$6:$AI$505,"&lt;="&amp;$A251,実績!$AJ$6:$AJ$505,"&gt;"&amp;$A251,実績!$AL$6:$AL$505,"○")&gt;0,1,0))</f>
        <v>0</v>
      </c>
      <c r="CX251" s="39" t="n">
        <f aca="false">IF(CX$4=0,0,IF(COUNTIFS(実績!$W$6:$W$505,CX$3,実績!$AI$6:$AI$505,"&lt;="&amp;$A251,実績!$AJ$6:$AJ$505,"&gt;"&amp;$A251,実績!$AL$6:$AL$505,"○")&gt;0,1,0))</f>
        <v>0</v>
      </c>
      <c r="CY251" s="39" t="n">
        <f aca="false">IF(CY$4=0,0,IF(COUNTIFS(実績!$W$6:$W$505,CY$3,実績!$AI$6:$AI$505,"&lt;="&amp;$A251,実績!$AJ$6:$AJ$505,"&gt;"&amp;$A251,実績!$AL$6:$AL$505,"○")&gt;0,1,0))</f>
        <v>0</v>
      </c>
      <c r="CZ251" s="39" t="n">
        <f aca="false">IF(CZ$4=0,0,IF(COUNTIFS(実績!$W$6:$W$505,CZ$3,実績!$AI$6:$AI$505,"&lt;="&amp;$A251,実績!$AJ$6:$AJ$505,"&gt;"&amp;$A251,実績!$AL$6:$AL$505,"○")&gt;0,1,0))</f>
        <v>0</v>
      </c>
      <c r="DA251" s="39" t="n">
        <f aca="false">IF(DA$4=0,0,IF(COUNTIFS(実績!$W$6:$W$505,DA$3,実績!$AI$6:$AI$505,"&lt;="&amp;$A251,実績!$AJ$6:$AJ$505,"&gt;"&amp;$A251,実績!$AL$6:$AL$505,"○")&gt;0,1,0))</f>
        <v>0</v>
      </c>
      <c r="DB251" s="39" t="n">
        <f aca="false">IF(DB$4=0,0,IF(COUNTIFS(実績!$W$6:$W$505,DB$3,実績!$AI$6:$AI$505,"&lt;="&amp;$A251,実績!$AJ$6:$AJ$505,"&gt;"&amp;$A251,実績!$AL$6:$AL$505,"○")&gt;0,1,0))</f>
        <v>0</v>
      </c>
      <c r="DC251" s="39" t="n">
        <f aca="false">IF(DC$4=0,0,IF(COUNTIFS(実績!$W$6:$W$505,DC$3,実績!$AI$6:$AI$505,"&lt;="&amp;$A251,実績!$AJ$6:$AJ$505,"&gt;"&amp;$A251,実績!$AL$6:$AL$505,"○")&gt;0,1,0))</f>
        <v>0</v>
      </c>
      <c r="DD251" s="39" t="n">
        <f aca="false">IF(DD$4=0,0,IF(COUNTIFS(実績!$W$6:$W$505,DD$3,実績!$AI$6:$AI$505,"&lt;="&amp;$A251,実績!$AJ$6:$AJ$505,"&gt;"&amp;$A251,実績!$AL$6:$AL$505,"○")&gt;0,1,0))</f>
        <v>0</v>
      </c>
      <c r="DE251" s="39" t="n">
        <f aca="false">IF(DE$4=0,0,IF(COUNTIFS(実績!$W$6:$W$505,DE$3,実績!$AI$6:$AI$505,"&lt;="&amp;$A251,実績!$AJ$6:$AJ$505,"&gt;"&amp;$A251,実績!$AL$6:$AL$505,"○")&gt;0,1,0))</f>
        <v>0</v>
      </c>
      <c r="DF251" s="39" t="n">
        <f aca="false">IF(DF$4=0,0,IF(COUNTIFS(実績!$W$6:$W$505,DF$3,実績!$AI$6:$AI$505,"&lt;="&amp;$A251,実績!$AJ$6:$AJ$505,"&gt;"&amp;$A251,実績!$AL$6:$AL$505,"○")&gt;0,1,0))</f>
        <v>0</v>
      </c>
      <c r="DG251" s="39" t="n">
        <f aca="false">IF(DG$4=0,0,IF(COUNTIFS(実績!$W$6:$W$505,DG$3,実績!$AI$6:$AI$505,"&lt;="&amp;$A251,実績!$AJ$6:$AJ$505,"&gt;"&amp;$A251,実績!$AL$6:$AL$505,"○")&gt;0,1,0))</f>
        <v>0</v>
      </c>
      <c r="DH251" s="39" t="n">
        <f aca="false">IF(DH$4=0,0,IF(COUNTIFS(実績!$W$6:$W$505,DH$3,実績!$AI$6:$AI$505,"&lt;="&amp;$A251,実績!$AJ$6:$AJ$505,"&gt;"&amp;$A251,実績!$AL$6:$AL$505,"○")&gt;0,1,0))</f>
        <v>0</v>
      </c>
      <c r="DI251" s="39" t="n">
        <f aca="false">IF(DI$4=0,0,IF(COUNTIFS(実績!$W$6:$W$505,DI$3,実績!$AI$6:$AI$505,"&lt;="&amp;$A251,実績!$AJ$6:$AJ$505,"&gt;"&amp;$A251,実績!$AL$6:$AL$505,"○")&gt;0,1,0))</f>
        <v>0</v>
      </c>
      <c r="DJ251" s="39" t="n">
        <f aca="false">IF(DJ$4=0,0,IF(COUNTIFS(実績!$W$6:$W$505,DJ$3,実績!$AI$6:$AI$505,"&lt;="&amp;$A251,実績!$AJ$6:$AJ$505,"&gt;"&amp;$A251,実績!$AL$6:$AL$505,"○")&gt;0,1,0))</f>
        <v>0</v>
      </c>
      <c r="DK251" s="39" t="n">
        <f aca="false">IF(DK$4=0,0,IF(COUNTIFS(実績!$W$6:$W$505,DK$3,実績!$AI$6:$AI$505,"&lt;="&amp;$A251,実績!$AJ$6:$AJ$505,"&gt;"&amp;$A251,実績!$AL$6:$AL$505,"○")&gt;0,1,0))</f>
        <v>0</v>
      </c>
      <c r="DL251" s="39" t="n">
        <f aca="false">IF(DL$4=0,0,IF(COUNTIFS(実績!$W$6:$W$505,DL$3,実績!$AI$6:$AI$505,"&lt;="&amp;$A251,実績!$AJ$6:$AJ$505,"&gt;"&amp;$A251,実績!$AL$6:$AL$505,"○")&gt;0,1,0))</f>
        <v>0</v>
      </c>
      <c r="DM251" s="39" t="n">
        <f aca="false">IF(DM$4=0,0,IF(COUNTIFS(実績!$W$6:$W$505,DM$3,実績!$AI$6:$AI$505,"&lt;="&amp;$A251,実績!$AJ$6:$AJ$505,"&gt;"&amp;$A251,実績!$AL$6:$AL$505,"○")&gt;0,1,0))</f>
        <v>0</v>
      </c>
      <c r="DN251" s="39" t="n">
        <f aca="false">IF(DN$4=0,0,IF(COUNTIFS(実績!$W$6:$W$505,DN$3,実績!$AI$6:$AI$505,"&lt;="&amp;$A251,実績!$AJ$6:$AJ$505,"&gt;"&amp;$A251,実績!$AL$6:$AL$505,"○")&gt;0,1,0))</f>
        <v>0</v>
      </c>
      <c r="DO251" s="39" t="n">
        <f aca="false">IF(DO$4=0,0,IF(COUNTIFS(実績!$W$6:$W$505,DO$3,実績!$AI$6:$AI$505,"&lt;="&amp;$A251,実績!$AJ$6:$AJ$505,"&gt;"&amp;$A251,実績!$AL$6:$AL$505,"○")&gt;0,1,0))</f>
        <v>0</v>
      </c>
      <c r="DP251" s="39" t="n">
        <f aca="false">IF(DP$4=0,0,IF(COUNTIFS(実績!$W$6:$W$505,DP$3,実績!$AI$6:$AI$505,"&lt;="&amp;$A251,実績!$AJ$6:$AJ$505,"&gt;"&amp;$A251,実績!$AL$6:$AL$505,"○")&gt;0,1,0))</f>
        <v>0</v>
      </c>
      <c r="DQ251" s="39" t="n">
        <f aca="false">IF(DQ$4=0,0,IF(COUNTIFS(実績!$W$6:$W$505,DQ$3,実績!$AI$6:$AI$505,"&lt;="&amp;$A251,実績!$AJ$6:$AJ$505,"&gt;"&amp;$A251,実績!$AL$6:$AL$505,"○")&gt;0,1,0))</f>
        <v>0</v>
      </c>
      <c r="DR251" s="39" t="n">
        <f aca="false">IF(DR$4=0,0,IF(COUNTIFS(実績!$W$6:$W$505,DR$3,実績!$AI$6:$AI$505,"&lt;="&amp;$A251,実績!$AJ$6:$AJ$505,"&gt;"&amp;$A251,実績!$AL$6:$AL$505,"○")&gt;0,1,0))</f>
        <v>0</v>
      </c>
      <c r="DS251" s="39" t="n">
        <f aca="false">SUM(C251:DR251)</f>
        <v>0</v>
      </c>
    </row>
    <row r="252" customFormat="false" ht="15" hidden="false" customHeight="false" outlineLevel="0" collapsed="false">
      <c r="A252" s="0" t="n">
        <v>1230</v>
      </c>
      <c r="B252" s="38" t="n">
        <f aca="false">A252/1440</f>
        <v>0.854166666666667</v>
      </c>
      <c r="C252" s="39" t="n">
        <f aca="false">IF(C$4=0,0,IF(COUNTIFS(実績!$W$6:$W$505,C$3,実績!$AI$6:$AI$505,"&lt;="&amp;$A252,実績!$AJ$6:$AJ$505,"&gt;"&amp;$A252,実績!$AL$6:$AL$505,"○")&gt;0,1,0))</f>
        <v>0</v>
      </c>
      <c r="D252" s="39" t="n">
        <f aca="false">IF(D$4=0,0,IF(COUNTIFS(実績!$W$6:$W$505,D$3,実績!$AI$6:$AI$505,"&lt;="&amp;$A252,実績!$AJ$6:$AJ$505,"&gt;"&amp;$A252,実績!$AL$6:$AL$505,"○")&gt;0,1,0))</f>
        <v>0</v>
      </c>
      <c r="E252" s="39" t="n">
        <f aca="false">IF(E$4=0,0,IF(COUNTIFS(実績!$W$6:$W$505,E$3,実績!$AI$6:$AI$505,"&lt;="&amp;$A252,実績!$AJ$6:$AJ$505,"&gt;"&amp;$A252,実績!$AL$6:$AL$505,"○")&gt;0,1,0))</f>
        <v>0</v>
      </c>
      <c r="F252" s="39" t="n">
        <f aca="false">IF(F$4=0,0,IF(COUNTIFS(実績!$W$6:$W$505,F$3,実績!$AI$6:$AI$505,"&lt;="&amp;$A252,実績!$AJ$6:$AJ$505,"&gt;"&amp;$A252,実績!$AL$6:$AL$505,"○")&gt;0,1,0))</f>
        <v>0</v>
      </c>
      <c r="G252" s="39" t="n">
        <f aca="false">IF(G$4=0,0,IF(COUNTIFS(実績!$W$6:$W$505,G$3,実績!$AI$6:$AI$505,"&lt;="&amp;$A252,実績!$AJ$6:$AJ$505,"&gt;"&amp;$A252,実績!$AL$6:$AL$505,"○")&gt;0,1,0))</f>
        <v>0</v>
      </c>
      <c r="H252" s="39" t="n">
        <f aca="false">IF(H$4=0,0,IF(COUNTIFS(実績!$W$6:$W$505,H$3,実績!$AI$6:$AI$505,"&lt;="&amp;$A252,実績!$AJ$6:$AJ$505,"&gt;"&amp;$A252,実績!$AL$6:$AL$505,"○")&gt;0,1,0))</f>
        <v>0</v>
      </c>
      <c r="I252" s="39" t="n">
        <f aca="false">IF(I$4=0,0,IF(COUNTIFS(実績!$W$6:$W$505,I$3,実績!$AI$6:$AI$505,"&lt;="&amp;$A252,実績!$AJ$6:$AJ$505,"&gt;"&amp;$A252,実績!$AL$6:$AL$505,"○")&gt;0,1,0))</f>
        <v>0</v>
      </c>
      <c r="J252" s="39" t="n">
        <f aca="false">IF(J$4=0,0,IF(COUNTIFS(実績!$W$6:$W$505,J$3,実績!$AI$6:$AI$505,"&lt;="&amp;$A252,実績!$AJ$6:$AJ$505,"&gt;"&amp;$A252,実績!$AL$6:$AL$505,"○")&gt;0,1,0))</f>
        <v>0</v>
      </c>
      <c r="K252" s="39" t="n">
        <f aca="false">IF(K$4=0,0,IF(COUNTIFS(実績!$W$6:$W$505,K$3,実績!$AI$6:$AI$505,"&lt;="&amp;$A252,実績!$AJ$6:$AJ$505,"&gt;"&amp;$A252,実績!$AL$6:$AL$505,"○")&gt;0,1,0))</f>
        <v>0</v>
      </c>
      <c r="L252" s="39" t="n">
        <f aca="false">IF(L$4=0,0,IF(COUNTIFS(実績!$W$6:$W$505,L$3,実績!$AI$6:$AI$505,"&lt;="&amp;$A252,実績!$AJ$6:$AJ$505,"&gt;"&amp;$A252,実績!$AL$6:$AL$505,"○")&gt;0,1,0))</f>
        <v>0</v>
      </c>
      <c r="M252" s="39" t="n">
        <f aca="false">IF(M$4=0,0,IF(COUNTIFS(実績!$W$6:$W$505,M$3,実績!$AI$6:$AI$505,"&lt;="&amp;$A252,実績!$AJ$6:$AJ$505,"&gt;"&amp;$A252,実績!$AL$6:$AL$505,"○")&gt;0,1,0))</f>
        <v>0</v>
      </c>
      <c r="N252" s="39" t="n">
        <f aca="false">IF(N$4=0,0,IF(COUNTIFS(実績!$W$6:$W$505,N$3,実績!$AI$6:$AI$505,"&lt;="&amp;$A252,実績!$AJ$6:$AJ$505,"&gt;"&amp;$A252,実績!$AL$6:$AL$505,"○")&gt;0,1,0))</f>
        <v>0</v>
      </c>
      <c r="O252" s="39" t="n">
        <f aca="false">IF(O$4=0,0,IF(COUNTIFS(実績!$W$6:$W$505,O$3,実績!$AI$6:$AI$505,"&lt;="&amp;$A252,実績!$AJ$6:$AJ$505,"&gt;"&amp;$A252,実績!$AL$6:$AL$505,"○")&gt;0,1,0))</f>
        <v>0</v>
      </c>
      <c r="P252" s="39" t="n">
        <f aca="false">IF(P$4=0,0,IF(COUNTIFS(実績!$W$6:$W$505,P$3,実績!$AI$6:$AI$505,"&lt;="&amp;$A252,実績!$AJ$6:$AJ$505,"&gt;"&amp;$A252,実績!$AL$6:$AL$505,"○")&gt;0,1,0))</f>
        <v>0</v>
      </c>
      <c r="Q252" s="39" t="n">
        <f aca="false">IF(Q$4=0,0,IF(COUNTIFS(実績!$W$6:$W$505,Q$3,実績!$AI$6:$AI$505,"&lt;="&amp;$A252,実績!$AJ$6:$AJ$505,"&gt;"&amp;$A252,実績!$AL$6:$AL$505,"○")&gt;0,1,0))</f>
        <v>0</v>
      </c>
      <c r="R252" s="39" t="n">
        <f aca="false">IF(R$4=0,0,IF(COUNTIFS(実績!$W$6:$W$505,R$3,実績!$AI$6:$AI$505,"&lt;="&amp;$A252,実績!$AJ$6:$AJ$505,"&gt;"&amp;$A252,実績!$AL$6:$AL$505,"○")&gt;0,1,0))</f>
        <v>0</v>
      </c>
      <c r="S252" s="39" t="n">
        <f aca="false">IF(S$4=0,0,IF(COUNTIFS(実績!$W$6:$W$505,S$3,実績!$AI$6:$AI$505,"&lt;="&amp;$A252,実績!$AJ$6:$AJ$505,"&gt;"&amp;$A252,実績!$AL$6:$AL$505,"○")&gt;0,1,0))</f>
        <v>0</v>
      </c>
      <c r="T252" s="39" t="n">
        <f aca="false">IF(T$4=0,0,IF(COUNTIFS(実績!$W$6:$W$505,T$3,実績!$AI$6:$AI$505,"&lt;="&amp;$A252,実績!$AJ$6:$AJ$505,"&gt;"&amp;$A252,実績!$AL$6:$AL$505,"○")&gt;0,1,0))</f>
        <v>0</v>
      </c>
      <c r="U252" s="39" t="n">
        <f aca="false">IF(U$4=0,0,IF(COUNTIFS(実績!$W$6:$W$505,U$3,実績!$AI$6:$AI$505,"&lt;="&amp;$A252,実績!$AJ$6:$AJ$505,"&gt;"&amp;$A252,実績!$AL$6:$AL$505,"○")&gt;0,1,0))</f>
        <v>0</v>
      </c>
      <c r="V252" s="39" t="n">
        <f aca="false">IF(V$4=0,0,IF(COUNTIFS(実績!$W$6:$W$505,V$3,実績!$AI$6:$AI$505,"&lt;="&amp;$A252,実績!$AJ$6:$AJ$505,"&gt;"&amp;$A252,実績!$AL$6:$AL$505,"○")&gt;0,1,0))</f>
        <v>0</v>
      </c>
      <c r="W252" s="39" t="n">
        <f aca="false">IF(W$4=0,0,IF(COUNTIFS(実績!$W$6:$W$505,W$3,実績!$AI$6:$AI$505,"&lt;="&amp;$A252,実績!$AJ$6:$AJ$505,"&gt;"&amp;$A252,実績!$AL$6:$AL$505,"○")&gt;0,1,0))</f>
        <v>0</v>
      </c>
      <c r="X252" s="39" t="n">
        <f aca="false">IF(X$4=0,0,IF(COUNTIFS(実績!$W$6:$W$505,X$3,実績!$AI$6:$AI$505,"&lt;="&amp;$A252,実績!$AJ$6:$AJ$505,"&gt;"&amp;$A252,実績!$AL$6:$AL$505,"○")&gt;0,1,0))</f>
        <v>0</v>
      </c>
      <c r="Y252" s="39" t="n">
        <f aca="false">IF(Y$4=0,0,IF(COUNTIFS(実績!$W$6:$W$505,Y$3,実績!$AI$6:$AI$505,"&lt;="&amp;$A252,実績!$AJ$6:$AJ$505,"&gt;"&amp;$A252,実績!$AL$6:$AL$505,"○")&gt;0,1,0))</f>
        <v>0</v>
      </c>
      <c r="Z252" s="39" t="n">
        <f aca="false">IF(Z$4=0,0,IF(COUNTIFS(実績!$W$6:$W$505,Z$3,実績!$AI$6:$AI$505,"&lt;="&amp;$A252,実績!$AJ$6:$AJ$505,"&gt;"&amp;$A252,実績!$AL$6:$AL$505,"○")&gt;0,1,0))</f>
        <v>0</v>
      </c>
      <c r="AA252" s="39" t="n">
        <f aca="false">IF(AA$4=0,0,IF(COUNTIFS(実績!$W$6:$W$505,AA$3,実績!$AI$6:$AI$505,"&lt;="&amp;$A252,実績!$AJ$6:$AJ$505,"&gt;"&amp;$A252,実績!$AL$6:$AL$505,"○")&gt;0,1,0))</f>
        <v>0</v>
      </c>
      <c r="AB252" s="39" t="n">
        <f aca="false">IF(AB$4=0,0,IF(COUNTIFS(実績!$W$6:$W$505,AB$3,実績!$AI$6:$AI$505,"&lt;="&amp;$A252,実績!$AJ$6:$AJ$505,"&gt;"&amp;$A252,実績!$AL$6:$AL$505,"○")&gt;0,1,0))</f>
        <v>0</v>
      </c>
      <c r="AC252" s="39" t="n">
        <f aca="false">IF(AC$4=0,0,IF(COUNTIFS(実績!$W$6:$W$505,AC$3,実績!$AI$6:$AI$505,"&lt;="&amp;$A252,実績!$AJ$6:$AJ$505,"&gt;"&amp;$A252,実績!$AL$6:$AL$505,"○")&gt;0,1,0))</f>
        <v>0</v>
      </c>
      <c r="AD252" s="39" t="n">
        <f aca="false">IF(AD$4=0,0,IF(COUNTIFS(実績!$W$6:$W$505,AD$3,実績!$AI$6:$AI$505,"&lt;="&amp;$A252,実績!$AJ$6:$AJ$505,"&gt;"&amp;$A252,実績!$AL$6:$AL$505,"○")&gt;0,1,0))</f>
        <v>0</v>
      </c>
      <c r="AE252" s="39" t="n">
        <f aca="false">IF(AE$4=0,0,IF(COUNTIFS(実績!$W$6:$W$505,AE$3,実績!$AI$6:$AI$505,"&lt;="&amp;$A252,実績!$AJ$6:$AJ$505,"&gt;"&amp;$A252,実績!$AL$6:$AL$505,"○")&gt;0,1,0))</f>
        <v>0</v>
      </c>
      <c r="AF252" s="39" t="n">
        <f aca="false">IF(AF$4=0,0,IF(COUNTIFS(実績!$W$6:$W$505,AF$3,実績!$AI$6:$AI$505,"&lt;="&amp;$A252,実績!$AJ$6:$AJ$505,"&gt;"&amp;$A252,実績!$AL$6:$AL$505,"○")&gt;0,1,0))</f>
        <v>0</v>
      </c>
      <c r="AG252" s="39" t="n">
        <f aca="false">IF(AG$4=0,0,IF(COUNTIFS(実績!$W$6:$W$505,AG$3,実績!$AI$6:$AI$505,"&lt;="&amp;$A252,実績!$AJ$6:$AJ$505,"&gt;"&amp;$A252,実績!$AL$6:$AL$505,"○")&gt;0,1,0))</f>
        <v>0</v>
      </c>
      <c r="AH252" s="39" t="n">
        <f aca="false">IF(AH$4=0,0,IF(COUNTIFS(実績!$W$6:$W$505,AH$3,実績!$AI$6:$AI$505,"&lt;="&amp;$A252,実績!$AJ$6:$AJ$505,"&gt;"&amp;$A252,実績!$AL$6:$AL$505,"○")&gt;0,1,0))</f>
        <v>0</v>
      </c>
      <c r="AI252" s="39" t="n">
        <f aca="false">IF(AI$4=0,0,IF(COUNTIFS(実績!$W$6:$W$505,AI$3,実績!$AI$6:$AI$505,"&lt;="&amp;$A252,実績!$AJ$6:$AJ$505,"&gt;"&amp;$A252,実績!$AL$6:$AL$505,"○")&gt;0,1,0))</f>
        <v>0</v>
      </c>
      <c r="AJ252" s="39" t="n">
        <f aca="false">IF(AJ$4=0,0,IF(COUNTIFS(実績!$W$6:$W$505,AJ$3,実績!$AI$6:$AI$505,"&lt;="&amp;$A252,実績!$AJ$6:$AJ$505,"&gt;"&amp;$A252,実績!$AL$6:$AL$505,"○")&gt;0,1,0))</f>
        <v>0</v>
      </c>
      <c r="AK252" s="39" t="n">
        <f aca="false">IF(AK$4=0,0,IF(COUNTIFS(実績!$W$6:$W$505,AK$3,実績!$AI$6:$AI$505,"&lt;="&amp;$A252,実績!$AJ$6:$AJ$505,"&gt;"&amp;$A252,実績!$AL$6:$AL$505,"○")&gt;0,1,0))</f>
        <v>0</v>
      </c>
      <c r="AL252" s="39" t="n">
        <f aca="false">IF(AL$4=0,0,IF(COUNTIFS(実績!$W$6:$W$505,AL$3,実績!$AI$6:$AI$505,"&lt;="&amp;$A252,実績!$AJ$6:$AJ$505,"&gt;"&amp;$A252,実績!$AL$6:$AL$505,"○")&gt;0,1,0))</f>
        <v>0</v>
      </c>
      <c r="AM252" s="39" t="n">
        <f aca="false">IF(AM$4=0,0,IF(COUNTIFS(実績!$W$6:$W$505,AM$3,実績!$AI$6:$AI$505,"&lt;="&amp;$A252,実績!$AJ$6:$AJ$505,"&gt;"&amp;$A252,実績!$AL$6:$AL$505,"○")&gt;0,1,0))</f>
        <v>0</v>
      </c>
      <c r="AN252" s="39" t="n">
        <f aca="false">IF(AN$4=0,0,IF(COUNTIFS(実績!$W$6:$W$505,AN$3,実績!$AI$6:$AI$505,"&lt;="&amp;$A252,実績!$AJ$6:$AJ$505,"&gt;"&amp;$A252,実績!$AL$6:$AL$505,"○")&gt;0,1,0))</f>
        <v>0</v>
      </c>
      <c r="AO252" s="39" t="n">
        <f aca="false">IF(AO$4=0,0,IF(COUNTIFS(実績!$W$6:$W$505,AO$3,実績!$AI$6:$AI$505,"&lt;="&amp;$A252,実績!$AJ$6:$AJ$505,"&gt;"&amp;$A252,実績!$AL$6:$AL$505,"○")&gt;0,1,0))</f>
        <v>0</v>
      </c>
      <c r="AP252" s="39" t="n">
        <f aca="false">IF(AP$4=0,0,IF(COUNTIFS(実績!$W$6:$W$505,AP$3,実績!$AI$6:$AI$505,"&lt;="&amp;$A252,実績!$AJ$6:$AJ$505,"&gt;"&amp;$A252,実績!$AL$6:$AL$505,"○")&gt;0,1,0))</f>
        <v>0</v>
      </c>
      <c r="AQ252" s="39" t="n">
        <f aca="false">IF(AQ$4=0,0,IF(COUNTIFS(実績!$W$6:$W$505,AQ$3,実績!$AI$6:$AI$505,"&lt;="&amp;$A252,実績!$AJ$6:$AJ$505,"&gt;"&amp;$A252,実績!$AL$6:$AL$505,"○")&gt;0,1,0))</f>
        <v>0</v>
      </c>
      <c r="AR252" s="39" t="n">
        <f aca="false">IF(AR$4=0,0,IF(COUNTIFS(実績!$W$6:$W$505,AR$3,実績!$AI$6:$AI$505,"&lt;="&amp;$A252,実績!$AJ$6:$AJ$505,"&gt;"&amp;$A252,実績!$AL$6:$AL$505,"○")&gt;0,1,0))</f>
        <v>0</v>
      </c>
      <c r="AS252" s="39" t="n">
        <f aca="false">IF(AS$4=0,0,IF(COUNTIFS(実績!$W$6:$W$505,AS$3,実績!$AI$6:$AI$505,"&lt;="&amp;$A252,実績!$AJ$6:$AJ$505,"&gt;"&amp;$A252,実績!$AL$6:$AL$505,"○")&gt;0,1,0))</f>
        <v>0</v>
      </c>
      <c r="AT252" s="39" t="n">
        <f aca="false">IF(AT$4=0,0,IF(COUNTIFS(実績!$W$6:$W$505,AT$3,実績!$AI$6:$AI$505,"&lt;="&amp;$A252,実績!$AJ$6:$AJ$505,"&gt;"&amp;$A252,実績!$AL$6:$AL$505,"○")&gt;0,1,0))</f>
        <v>0</v>
      </c>
      <c r="AU252" s="39" t="n">
        <f aca="false">IF(AU$4=0,0,IF(COUNTIFS(実績!$W$6:$W$505,AU$3,実績!$AI$6:$AI$505,"&lt;="&amp;$A252,実績!$AJ$6:$AJ$505,"&gt;"&amp;$A252,実績!$AL$6:$AL$505,"○")&gt;0,1,0))</f>
        <v>0</v>
      </c>
      <c r="AV252" s="39" t="n">
        <f aca="false">IF(AV$4=0,0,IF(COUNTIFS(実績!$W$6:$W$505,AV$3,実績!$AI$6:$AI$505,"&lt;="&amp;$A252,実績!$AJ$6:$AJ$505,"&gt;"&amp;$A252,実績!$AL$6:$AL$505,"○")&gt;0,1,0))</f>
        <v>0</v>
      </c>
      <c r="AW252" s="39" t="n">
        <f aca="false">IF(AW$4=0,0,IF(COUNTIFS(実績!$W$6:$W$505,AW$3,実績!$AI$6:$AI$505,"&lt;="&amp;$A252,実績!$AJ$6:$AJ$505,"&gt;"&amp;$A252,実績!$AL$6:$AL$505,"○")&gt;0,1,0))</f>
        <v>0</v>
      </c>
      <c r="AX252" s="39" t="n">
        <f aca="false">IF(AX$4=0,0,IF(COUNTIFS(実績!$W$6:$W$505,AX$3,実績!$AI$6:$AI$505,"&lt;="&amp;$A252,実績!$AJ$6:$AJ$505,"&gt;"&amp;$A252,実績!$AL$6:$AL$505,"○")&gt;0,1,0))</f>
        <v>0</v>
      </c>
      <c r="AY252" s="39" t="n">
        <f aca="false">IF(AY$4=0,0,IF(COUNTIFS(実績!$W$6:$W$505,AY$3,実績!$AI$6:$AI$505,"&lt;="&amp;$A252,実績!$AJ$6:$AJ$505,"&gt;"&amp;$A252,実績!$AL$6:$AL$505,"○")&gt;0,1,0))</f>
        <v>0</v>
      </c>
      <c r="AZ252" s="39" t="n">
        <f aca="false">IF(AZ$4=0,0,IF(COUNTIFS(実績!$W$6:$W$505,AZ$3,実績!$AI$6:$AI$505,"&lt;="&amp;$A252,実績!$AJ$6:$AJ$505,"&gt;"&amp;$A252,実績!$AL$6:$AL$505,"○")&gt;0,1,0))</f>
        <v>0</v>
      </c>
      <c r="BA252" s="39" t="n">
        <f aca="false">IF(BA$4=0,0,IF(COUNTIFS(実績!$W$6:$W$505,BA$3,実績!$AI$6:$AI$505,"&lt;="&amp;$A252,実績!$AJ$6:$AJ$505,"&gt;"&amp;$A252,実績!$AL$6:$AL$505,"○")&gt;0,1,0))</f>
        <v>0</v>
      </c>
      <c r="BB252" s="39" t="n">
        <f aca="false">IF(BB$4=0,0,IF(COUNTIFS(実績!$W$6:$W$505,BB$3,実績!$AI$6:$AI$505,"&lt;="&amp;$A252,実績!$AJ$6:$AJ$505,"&gt;"&amp;$A252,実績!$AL$6:$AL$505,"○")&gt;0,1,0))</f>
        <v>0</v>
      </c>
      <c r="BC252" s="39" t="n">
        <f aca="false">IF(BC$4=0,0,IF(COUNTIFS(実績!$W$6:$W$505,BC$3,実績!$AI$6:$AI$505,"&lt;="&amp;$A252,実績!$AJ$6:$AJ$505,"&gt;"&amp;$A252,実績!$AL$6:$AL$505,"○")&gt;0,1,0))</f>
        <v>0</v>
      </c>
      <c r="BD252" s="39" t="n">
        <f aca="false">IF(BD$4=0,0,IF(COUNTIFS(実績!$W$6:$W$505,BD$3,実績!$AI$6:$AI$505,"&lt;="&amp;$A252,実績!$AJ$6:$AJ$505,"&gt;"&amp;$A252,実績!$AL$6:$AL$505,"○")&gt;0,1,0))</f>
        <v>0</v>
      </c>
      <c r="BE252" s="39" t="n">
        <f aca="false">IF(BE$4=0,0,IF(COUNTIFS(実績!$W$6:$W$505,BE$3,実績!$AI$6:$AI$505,"&lt;="&amp;$A252,実績!$AJ$6:$AJ$505,"&gt;"&amp;$A252,実績!$AL$6:$AL$505,"○")&gt;0,1,0))</f>
        <v>0</v>
      </c>
      <c r="BF252" s="39" t="n">
        <f aca="false">IF(BF$4=0,0,IF(COUNTIFS(実績!$W$6:$W$505,BF$3,実績!$AI$6:$AI$505,"&lt;="&amp;$A252,実績!$AJ$6:$AJ$505,"&gt;"&amp;$A252,実績!$AL$6:$AL$505,"○")&gt;0,1,0))</f>
        <v>0</v>
      </c>
      <c r="BG252" s="39" t="n">
        <f aca="false">IF(BG$4=0,0,IF(COUNTIFS(実績!$W$6:$W$505,BG$3,実績!$AI$6:$AI$505,"&lt;="&amp;$A252,実績!$AJ$6:$AJ$505,"&gt;"&amp;$A252,実績!$AL$6:$AL$505,"○")&gt;0,1,0))</f>
        <v>0</v>
      </c>
      <c r="BH252" s="39" t="n">
        <f aca="false">IF(BH$4=0,0,IF(COUNTIFS(実績!$W$6:$W$505,BH$3,実績!$AI$6:$AI$505,"&lt;="&amp;$A252,実績!$AJ$6:$AJ$505,"&gt;"&amp;$A252,実績!$AL$6:$AL$505,"○")&gt;0,1,0))</f>
        <v>0</v>
      </c>
      <c r="BI252" s="39" t="n">
        <f aca="false">IF(BI$4=0,0,IF(COUNTIFS(実績!$W$6:$W$505,BI$3,実績!$AI$6:$AI$505,"&lt;="&amp;$A252,実績!$AJ$6:$AJ$505,"&gt;"&amp;$A252,実績!$AL$6:$AL$505,"○")&gt;0,1,0))</f>
        <v>0</v>
      </c>
      <c r="BJ252" s="39" t="n">
        <f aca="false">IF(BJ$4=0,0,IF(COUNTIFS(実績!$W$6:$W$505,BJ$3,実績!$AI$6:$AI$505,"&lt;="&amp;$A252,実績!$AJ$6:$AJ$505,"&gt;"&amp;$A252,実績!$AL$6:$AL$505,"○")&gt;0,1,0))</f>
        <v>0</v>
      </c>
      <c r="BK252" s="39" t="n">
        <f aca="false">IF(BK$4=0,0,IF(COUNTIFS(実績!$W$6:$W$505,BK$3,実績!$AI$6:$AI$505,"&lt;="&amp;$A252,実績!$AJ$6:$AJ$505,"&gt;"&amp;$A252,実績!$AL$6:$AL$505,"○")&gt;0,1,0))</f>
        <v>0</v>
      </c>
      <c r="BL252" s="39" t="n">
        <f aca="false">IF(BL$4=0,0,IF(COUNTIFS(実績!$W$6:$W$505,BL$3,実績!$AI$6:$AI$505,"&lt;="&amp;$A252,実績!$AJ$6:$AJ$505,"&gt;"&amp;$A252,実績!$AL$6:$AL$505,"○")&gt;0,1,0))</f>
        <v>0</v>
      </c>
      <c r="BM252" s="39" t="n">
        <f aca="false">IF(BM$4=0,0,IF(COUNTIFS(実績!$W$6:$W$505,BM$3,実績!$AI$6:$AI$505,"&lt;="&amp;$A252,実績!$AJ$6:$AJ$505,"&gt;"&amp;$A252,実績!$AL$6:$AL$505,"○")&gt;0,1,0))</f>
        <v>0</v>
      </c>
      <c r="BN252" s="39" t="n">
        <f aca="false">IF(BN$4=0,0,IF(COUNTIFS(実績!$W$6:$W$505,BN$3,実績!$AI$6:$AI$505,"&lt;="&amp;$A252,実績!$AJ$6:$AJ$505,"&gt;"&amp;$A252,実績!$AL$6:$AL$505,"○")&gt;0,1,0))</f>
        <v>0</v>
      </c>
      <c r="BO252" s="39" t="n">
        <f aca="false">IF(BO$4=0,0,IF(COUNTIFS(実績!$W$6:$W$505,BO$3,実績!$AI$6:$AI$505,"&lt;="&amp;$A252,実績!$AJ$6:$AJ$505,"&gt;"&amp;$A252,実績!$AL$6:$AL$505,"○")&gt;0,1,0))</f>
        <v>0</v>
      </c>
      <c r="BP252" s="39" t="n">
        <f aca="false">IF(BP$4=0,0,IF(COUNTIFS(実績!$W$6:$W$505,BP$3,実績!$AI$6:$AI$505,"&lt;="&amp;$A252,実績!$AJ$6:$AJ$505,"&gt;"&amp;$A252,実績!$AL$6:$AL$505,"○")&gt;0,1,0))</f>
        <v>0</v>
      </c>
      <c r="BQ252" s="39" t="n">
        <f aca="false">IF(BQ$4=0,0,IF(COUNTIFS(実績!$W$6:$W$505,BQ$3,実績!$AI$6:$AI$505,"&lt;="&amp;$A252,実績!$AJ$6:$AJ$505,"&gt;"&amp;$A252,実績!$AL$6:$AL$505,"○")&gt;0,1,0))</f>
        <v>0</v>
      </c>
      <c r="BR252" s="39" t="n">
        <f aca="false">IF(BR$4=0,0,IF(COUNTIFS(実績!$W$6:$W$505,BR$3,実績!$AI$6:$AI$505,"&lt;="&amp;$A252,実績!$AJ$6:$AJ$505,"&gt;"&amp;$A252,実績!$AL$6:$AL$505,"○")&gt;0,1,0))</f>
        <v>0</v>
      </c>
      <c r="BS252" s="39" t="n">
        <f aca="false">IF(BS$4=0,0,IF(COUNTIFS(実績!$W$6:$W$505,BS$3,実績!$AI$6:$AI$505,"&lt;="&amp;$A252,実績!$AJ$6:$AJ$505,"&gt;"&amp;$A252,実績!$AL$6:$AL$505,"○")&gt;0,1,0))</f>
        <v>0</v>
      </c>
      <c r="BT252" s="39" t="n">
        <f aca="false">IF(BT$4=0,0,IF(COUNTIFS(実績!$W$6:$W$505,BT$3,実績!$AI$6:$AI$505,"&lt;="&amp;$A252,実績!$AJ$6:$AJ$505,"&gt;"&amp;$A252,実績!$AL$6:$AL$505,"○")&gt;0,1,0))</f>
        <v>0</v>
      </c>
      <c r="BU252" s="39" t="n">
        <f aca="false">IF(BU$4=0,0,IF(COUNTIFS(実績!$W$6:$W$505,BU$3,実績!$AI$6:$AI$505,"&lt;="&amp;$A252,実績!$AJ$6:$AJ$505,"&gt;"&amp;$A252,実績!$AL$6:$AL$505,"○")&gt;0,1,0))</f>
        <v>0</v>
      </c>
      <c r="BV252" s="39" t="n">
        <f aca="false">IF(BV$4=0,0,IF(COUNTIFS(実績!$W$6:$W$505,BV$3,実績!$AI$6:$AI$505,"&lt;="&amp;$A252,実績!$AJ$6:$AJ$505,"&gt;"&amp;$A252,実績!$AL$6:$AL$505,"○")&gt;0,1,0))</f>
        <v>0</v>
      </c>
      <c r="BW252" s="39" t="n">
        <f aca="false">IF(BW$4=0,0,IF(COUNTIFS(実績!$W$6:$W$505,BW$3,実績!$AI$6:$AI$505,"&lt;="&amp;$A252,実績!$AJ$6:$AJ$505,"&gt;"&amp;$A252,実績!$AL$6:$AL$505,"○")&gt;0,1,0))</f>
        <v>0</v>
      </c>
      <c r="BX252" s="39" t="n">
        <f aca="false">IF(BX$4=0,0,IF(COUNTIFS(実績!$W$6:$W$505,BX$3,実績!$AI$6:$AI$505,"&lt;="&amp;$A252,実績!$AJ$6:$AJ$505,"&gt;"&amp;$A252,実績!$AL$6:$AL$505,"○")&gt;0,1,0))</f>
        <v>0</v>
      </c>
      <c r="BY252" s="39" t="n">
        <f aca="false">IF(BY$4=0,0,IF(COUNTIFS(実績!$W$6:$W$505,BY$3,実績!$AI$6:$AI$505,"&lt;="&amp;$A252,実績!$AJ$6:$AJ$505,"&gt;"&amp;$A252,実績!$AL$6:$AL$505,"○")&gt;0,1,0))</f>
        <v>0</v>
      </c>
      <c r="BZ252" s="39" t="n">
        <f aca="false">IF(BZ$4=0,0,IF(COUNTIFS(実績!$W$6:$W$505,BZ$3,実績!$AI$6:$AI$505,"&lt;="&amp;$A252,実績!$AJ$6:$AJ$505,"&gt;"&amp;$A252,実績!$AL$6:$AL$505,"○")&gt;0,1,0))</f>
        <v>0</v>
      </c>
      <c r="CA252" s="39" t="n">
        <f aca="false">IF(CA$4=0,0,IF(COUNTIFS(実績!$W$6:$W$505,CA$3,実績!$AI$6:$AI$505,"&lt;="&amp;$A252,実績!$AJ$6:$AJ$505,"&gt;"&amp;$A252,実績!$AL$6:$AL$505,"○")&gt;0,1,0))</f>
        <v>0</v>
      </c>
      <c r="CB252" s="39" t="n">
        <f aca="false">IF(CB$4=0,0,IF(COUNTIFS(実績!$W$6:$W$505,CB$3,実績!$AI$6:$AI$505,"&lt;="&amp;$A252,実績!$AJ$6:$AJ$505,"&gt;"&amp;$A252,実績!$AL$6:$AL$505,"○")&gt;0,1,0))</f>
        <v>0</v>
      </c>
      <c r="CC252" s="39" t="n">
        <f aca="false">IF(CC$4=0,0,IF(COUNTIFS(実績!$W$6:$W$505,CC$3,実績!$AI$6:$AI$505,"&lt;="&amp;$A252,実績!$AJ$6:$AJ$505,"&gt;"&amp;$A252,実績!$AL$6:$AL$505,"○")&gt;0,1,0))</f>
        <v>0</v>
      </c>
      <c r="CD252" s="39" t="n">
        <f aca="false">IF(CD$4=0,0,IF(COUNTIFS(実績!$W$6:$W$505,CD$3,実績!$AI$6:$AI$505,"&lt;="&amp;$A252,実績!$AJ$6:$AJ$505,"&gt;"&amp;$A252,実績!$AL$6:$AL$505,"○")&gt;0,1,0))</f>
        <v>0</v>
      </c>
      <c r="CE252" s="39" t="n">
        <f aca="false">IF(CE$4=0,0,IF(COUNTIFS(実績!$W$6:$W$505,CE$3,実績!$AI$6:$AI$505,"&lt;="&amp;$A252,実績!$AJ$6:$AJ$505,"&gt;"&amp;$A252,実績!$AL$6:$AL$505,"○")&gt;0,1,0))</f>
        <v>0</v>
      </c>
      <c r="CF252" s="39" t="n">
        <f aca="false">IF(CF$4=0,0,IF(COUNTIFS(実績!$W$6:$W$505,CF$3,実績!$AI$6:$AI$505,"&lt;="&amp;$A252,実績!$AJ$6:$AJ$505,"&gt;"&amp;$A252,実績!$AL$6:$AL$505,"○")&gt;0,1,0))</f>
        <v>0</v>
      </c>
      <c r="CG252" s="39" t="n">
        <f aca="false">IF(CG$4=0,0,IF(COUNTIFS(実績!$W$6:$W$505,CG$3,実績!$AI$6:$AI$505,"&lt;="&amp;$A252,実績!$AJ$6:$AJ$505,"&gt;"&amp;$A252,実績!$AL$6:$AL$505,"○")&gt;0,1,0))</f>
        <v>0</v>
      </c>
      <c r="CH252" s="39" t="n">
        <f aca="false">IF(CH$4=0,0,IF(COUNTIFS(実績!$W$6:$W$505,CH$3,実績!$AI$6:$AI$505,"&lt;="&amp;$A252,実績!$AJ$6:$AJ$505,"&gt;"&amp;$A252,実績!$AL$6:$AL$505,"○")&gt;0,1,0))</f>
        <v>0</v>
      </c>
      <c r="CI252" s="39" t="n">
        <f aca="false">IF(CI$4=0,0,IF(COUNTIFS(実績!$W$6:$W$505,CI$3,実績!$AI$6:$AI$505,"&lt;="&amp;$A252,実績!$AJ$6:$AJ$505,"&gt;"&amp;$A252,実績!$AL$6:$AL$505,"○")&gt;0,1,0))</f>
        <v>0</v>
      </c>
      <c r="CJ252" s="39" t="n">
        <f aca="false">IF(CJ$4=0,0,IF(COUNTIFS(実績!$W$6:$W$505,CJ$3,実績!$AI$6:$AI$505,"&lt;="&amp;$A252,実績!$AJ$6:$AJ$505,"&gt;"&amp;$A252,実績!$AL$6:$AL$505,"○")&gt;0,1,0))</f>
        <v>0</v>
      </c>
      <c r="CK252" s="39" t="n">
        <f aca="false">IF(CK$4=0,0,IF(COUNTIFS(実績!$W$6:$W$505,CK$3,実績!$AI$6:$AI$505,"&lt;="&amp;$A252,実績!$AJ$6:$AJ$505,"&gt;"&amp;$A252,実績!$AL$6:$AL$505,"○")&gt;0,1,0))</f>
        <v>0</v>
      </c>
      <c r="CL252" s="39" t="n">
        <f aca="false">IF(CL$4=0,0,IF(COUNTIFS(実績!$W$6:$W$505,CL$3,実績!$AI$6:$AI$505,"&lt;="&amp;$A252,実績!$AJ$6:$AJ$505,"&gt;"&amp;$A252,実績!$AL$6:$AL$505,"○")&gt;0,1,0))</f>
        <v>0</v>
      </c>
      <c r="CM252" s="39" t="n">
        <f aca="false">IF(CM$4=0,0,IF(COUNTIFS(実績!$W$6:$W$505,CM$3,実績!$AI$6:$AI$505,"&lt;="&amp;$A252,実績!$AJ$6:$AJ$505,"&gt;"&amp;$A252,実績!$AL$6:$AL$505,"○")&gt;0,1,0))</f>
        <v>0</v>
      </c>
      <c r="CN252" s="39" t="n">
        <f aca="false">IF(CN$4=0,0,IF(COUNTIFS(実績!$W$6:$W$505,CN$3,実績!$AI$6:$AI$505,"&lt;="&amp;$A252,実績!$AJ$6:$AJ$505,"&gt;"&amp;$A252,実績!$AL$6:$AL$505,"○")&gt;0,1,0))</f>
        <v>0</v>
      </c>
      <c r="CO252" s="39" t="n">
        <f aca="false">IF(CO$4=0,0,IF(COUNTIFS(実績!$W$6:$W$505,CO$3,実績!$AI$6:$AI$505,"&lt;="&amp;$A252,実績!$AJ$6:$AJ$505,"&gt;"&amp;$A252,実績!$AL$6:$AL$505,"○")&gt;0,1,0))</f>
        <v>0</v>
      </c>
      <c r="CP252" s="39" t="n">
        <f aca="false">IF(CP$4=0,0,IF(COUNTIFS(実績!$W$6:$W$505,CP$3,実績!$AI$6:$AI$505,"&lt;="&amp;$A252,実績!$AJ$6:$AJ$505,"&gt;"&amp;$A252,実績!$AL$6:$AL$505,"○")&gt;0,1,0))</f>
        <v>0</v>
      </c>
      <c r="CQ252" s="39" t="n">
        <f aca="false">IF(CQ$4=0,0,IF(COUNTIFS(実績!$W$6:$W$505,CQ$3,実績!$AI$6:$AI$505,"&lt;="&amp;$A252,実績!$AJ$6:$AJ$505,"&gt;"&amp;$A252,実績!$AL$6:$AL$505,"○")&gt;0,1,0))</f>
        <v>0</v>
      </c>
      <c r="CR252" s="39" t="n">
        <f aca="false">IF(CR$4=0,0,IF(COUNTIFS(実績!$W$6:$W$505,CR$3,実績!$AI$6:$AI$505,"&lt;="&amp;$A252,実績!$AJ$6:$AJ$505,"&gt;"&amp;$A252,実績!$AL$6:$AL$505,"○")&gt;0,1,0))</f>
        <v>0</v>
      </c>
      <c r="CS252" s="39" t="n">
        <f aca="false">IF(CS$4=0,0,IF(COUNTIFS(実績!$W$6:$W$505,CS$3,実績!$AI$6:$AI$505,"&lt;="&amp;$A252,実績!$AJ$6:$AJ$505,"&gt;"&amp;$A252,実績!$AL$6:$AL$505,"○")&gt;0,1,0))</f>
        <v>0</v>
      </c>
      <c r="CT252" s="39" t="n">
        <f aca="false">IF(CT$4=0,0,IF(COUNTIFS(実績!$W$6:$W$505,CT$3,実績!$AI$6:$AI$505,"&lt;="&amp;$A252,実績!$AJ$6:$AJ$505,"&gt;"&amp;$A252,実績!$AL$6:$AL$505,"○")&gt;0,1,0))</f>
        <v>0</v>
      </c>
      <c r="CU252" s="39" t="n">
        <f aca="false">IF(CU$4=0,0,IF(COUNTIFS(実績!$W$6:$W$505,CU$3,実績!$AI$6:$AI$505,"&lt;="&amp;$A252,実績!$AJ$6:$AJ$505,"&gt;"&amp;$A252,実績!$AL$6:$AL$505,"○")&gt;0,1,0))</f>
        <v>0</v>
      </c>
      <c r="CV252" s="39" t="n">
        <f aca="false">IF(CV$4=0,0,IF(COUNTIFS(実績!$W$6:$W$505,CV$3,実績!$AI$6:$AI$505,"&lt;="&amp;$A252,実績!$AJ$6:$AJ$505,"&gt;"&amp;$A252,実績!$AL$6:$AL$505,"○")&gt;0,1,0))</f>
        <v>0</v>
      </c>
      <c r="CW252" s="39" t="n">
        <f aca="false">IF(CW$4=0,0,IF(COUNTIFS(実績!$W$6:$W$505,CW$3,実績!$AI$6:$AI$505,"&lt;="&amp;$A252,実績!$AJ$6:$AJ$505,"&gt;"&amp;$A252,実績!$AL$6:$AL$505,"○")&gt;0,1,0))</f>
        <v>0</v>
      </c>
      <c r="CX252" s="39" t="n">
        <f aca="false">IF(CX$4=0,0,IF(COUNTIFS(実績!$W$6:$W$505,CX$3,実績!$AI$6:$AI$505,"&lt;="&amp;$A252,実績!$AJ$6:$AJ$505,"&gt;"&amp;$A252,実績!$AL$6:$AL$505,"○")&gt;0,1,0))</f>
        <v>0</v>
      </c>
      <c r="CY252" s="39" t="n">
        <f aca="false">IF(CY$4=0,0,IF(COUNTIFS(実績!$W$6:$W$505,CY$3,実績!$AI$6:$AI$505,"&lt;="&amp;$A252,実績!$AJ$6:$AJ$505,"&gt;"&amp;$A252,実績!$AL$6:$AL$505,"○")&gt;0,1,0))</f>
        <v>0</v>
      </c>
      <c r="CZ252" s="39" t="n">
        <f aca="false">IF(CZ$4=0,0,IF(COUNTIFS(実績!$W$6:$W$505,CZ$3,実績!$AI$6:$AI$505,"&lt;="&amp;$A252,実績!$AJ$6:$AJ$505,"&gt;"&amp;$A252,実績!$AL$6:$AL$505,"○")&gt;0,1,0))</f>
        <v>0</v>
      </c>
      <c r="DA252" s="39" t="n">
        <f aca="false">IF(DA$4=0,0,IF(COUNTIFS(実績!$W$6:$W$505,DA$3,実績!$AI$6:$AI$505,"&lt;="&amp;$A252,実績!$AJ$6:$AJ$505,"&gt;"&amp;$A252,実績!$AL$6:$AL$505,"○")&gt;0,1,0))</f>
        <v>0</v>
      </c>
      <c r="DB252" s="39" t="n">
        <f aca="false">IF(DB$4=0,0,IF(COUNTIFS(実績!$W$6:$W$505,DB$3,実績!$AI$6:$AI$505,"&lt;="&amp;$A252,実績!$AJ$6:$AJ$505,"&gt;"&amp;$A252,実績!$AL$6:$AL$505,"○")&gt;0,1,0))</f>
        <v>0</v>
      </c>
      <c r="DC252" s="39" t="n">
        <f aca="false">IF(DC$4=0,0,IF(COUNTIFS(実績!$W$6:$W$505,DC$3,実績!$AI$6:$AI$505,"&lt;="&amp;$A252,実績!$AJ$6:$AJ$505,"&gt;"&amp;$A252,実績!$AL$6:$AL$505,"○")&gt;0,1,0))</f>
        <v>0</v>
      </c>
      <c r="DD252" s="39" t="n">
        <f aca="false">IF(DD$4=0,0,IF(COUNTIFS(実績!$W$6:$W$505,DD$3,実績!$AI$6:$AI$505,"&lt;="&amp;$A252,実績!$AJ$6:$AJ$505,"&gt;"&amp;$A252,実績!$AL$6:$AL$505,"○")&gt;0,1,0))</f>
        <v>0</v>
      </c>
      <c r="DE252" s="39" t="n">
        <f aca="false">IF(DE$4=0,0,IF(COUNTIFS(実績!$W$6:$W$505,DE$3,実績!$AI$6:$AI$505,"&lt;="&amp;$A252,実績!$AJ$6:$AJ$505,"&gt;"&amp;$A252,実績!$AL$6:$AL$505,"○")&gt;0,1,0))</f>
        <v>0</v>
      </c>
      <c r="DF252" s="39" t="n">
        <f aca="false">IF(DF$4=0,0,IF(COUNTIFS(実績!$W$6:$W$505,DF$3,実績!$AI$6:$AI$505,"&lt;="&amp;$A252,実績!$AJ$6:$AJ$505,"&gt;"&amp;$A252,実績!$AL$6:$AL$505,"○")&gt;0,1,0))</f>
        <v>0</v>
      </c>
      <c r="DG252" s="39" t="n">
        <f aca="false">IF(DG$4=0,0,IF(COUNTIFS(実績!$W$6:$W$505,DG$3,実績!$AI$6:$AI$505,"&lt;="&amp;$A252,実績!$AJ$6:$AJ$505,"&gt;"&amp;$A252,実績!$AL$6:$AL$505,"○")&gt;0,1,0))</f>
        <v>0</v>
      </c>
      <c r="DH252" s="39" t="n">
        <f aca="false">IF(DH$4=0,0,IF(COUNTIFS(実績!$W$6:$W$505,DH$3,実績!$AI$6:$AI$505,"&lt;="&amp;$A252,実績!$AJ$6:$AJ$505,"&gt;"&amp;$A252,実績!$AL$6:$AL$505,"○")&gt;0,1,0))</f>
        <v>0</v>
      </c>
      <c r="DI252" s="39" t="n">
        <f aca="false">IF(DI$4=0,0,IF(COUNTIFS(実績!$W$6:$W$505,DI$3,実績!$AI$6:$AI$505,"&lt;="&amp;$A252,実績!$AJ$6:$AJ$505,"&gt;"&amp;$A252,実績!$AL$6:$AL$505,"○")&gt;0,1,0))</f>
        <v>0</v>
      </c>
      <c r="DJ252" s="39" t="n">
        <f aca="false">IF(DJ$4=0,0,IF(COUNTIFS(実績!$W$6:$W$505,DJ$3,実績!$AI$6:$AI$505,"&lt;="&amp;$A252,実績!$AJ$6:$AJ$505,"&gt;"&amp;$A252,実績!$AL$6:$AL$505,"○")&gt;0,1,0))</f>
        <v>0</v>
      </c>
      <c r="DK252" s="39" t="n">
        <f aca="false">IF(DK$4=0,0,IF(COUNTIFS(実績!$W$6:$W$505,DK$3,実績!$AI$6:$AI$505,"&lt;="&amp;$A252,実績!$AJ$6:$AJ$505,"&gt;"&amp;$A252,実績!$AL$6:$AL$505,"○")&gt;0,1,0))</f>
        <v>0</v>
      </c>
      <c r="DL252" s="39" t="n">
        <f aca="false">IF(DL$4=0,0,IF(COUNTIFS(実績!$W$6:$W$505,DL$3,実績!$AI$6:$AI$505,"&lt;="&amp;$A252,実績!$AJ$6:$AJ$505,"&gt;"&amp;$A252,実績!$AL$6:$AL$505,"○")&gt;0,1,0))</f>
        <v>0</v>
      </c>
      <c r="DM252" s="39" t="n">
        <f aca="false">IF(DM$4=0,0,IF(COUNTIFS(実績!$W$6:$W$505,DM$3,実績!$AI$6:$AI$505,"&lt;="&amp;$A252,実績!$AJ$6:$AJ$505,"&gt;"&amp;$A252,実績!$AL$6:$AL$505,"○")&gt;0,1,0))</f>
        <v>0</v>
      </c>
      <c r="DN252" s="39" t="n">
        <f aca="false">IF(DN$4=0,0,IF(COUNTIFS(実績!$W$6:$W$505,DN$3,実績!$AI$6:$AI$505,"&lt;="&amp;$A252,実績!$AJ$6:$AJ$505,"&gt;"&amp;$A252,実績!$AL$6:$AL$505,"○")&gt;0,1,0))</f>
        <v>0</v>
      </c>
      <c r="DO252" s="39" t="n">
        <f aca="false">IF(DO$4=0,0,IF(COUNTIFS(実績!$W$6:$W$505,DO$3,実績!$AI$6:$AI$505,"&lt;="&amp;$A252,実績!$AJ$6:$AJ$505,"&gt;"&amp;$A252,実績!$AL$6:$AL$505,"○")&gt;0,1,0))</f>
        <v>0</v>
      </c>
      <c r="DP252" s="39" t="n">
        <f aca="false">IF(DP$4=0,0,IF(COUNTIFS(実績!$W$6:$W$505,DP$3,実績!$AI$6:$AI$505,"&lt;="&amp;$A252,実績!$AJ$6:$AJ$505,"&gt;"&amp;$A252,実績!$AL$6:$AL$505,"○")&gt;0,1,0))</f>
        <v>0</v>
      </c>
      <c r="DQ252" s="39" t="n">
        <f aca="false">IF(DQ$4=0,0,IF(COUNTIFS(実績!$W$6:$W$505,DQ$3,実績!$AI$6:$AI$505,"&lt;="&amp;$A252,実績!$AJ$6:$AJ$505,"&gt;"&amp;$A252,実績!$AL$6:$AL$505,"○")&gt;0,1,0))</f>
        <v>0</v>
      </c>
      <c r="DR252" s="39" t="n">
        <f aca="false">IF(DR$4=0,0,IF(COUNTIFS(実績!$W$6:$W$505,DR$3,実績!$AI$6:$AI$505,"&lt;="&amp;$A252,実績!$AJ$6:$AJ$505,"&gt;"&amp;$A252,実績!$AL$6:$AL$505,"○")&gt;0,1,0))</f>
        <v>0</v>
      </c>
      <c r="DS252" s="39" t="n">
        <f aca="false">SUM(C252:DR252)</f>
        <v>0</v>
      </c>
    </row>
    <row r="253" customFormat="false" ht="15" hidden="false" customHeight="false" outlineLevel="0" collapsed="false">
      <c r="A253" s="0" t="n">
        <v>1235</v>
      </c>
      <c r="B253" s="38" t="n">
        <f aca="false">A253/1440</f>
        <v>0.857638888888889</v>
      </c>
      <c r="C253" s="39" t="n">
        <f aca="false">IF(C$4=0,0,IF(COUNTIFS(実績!$W$6:$W$505,C$3,実績!$AI$6:$AI$505,"&lt;="&amp;$A253,実績!$AJ$6:$AJ$505,"&gt;"&amp;$A253,実績!$AL$6:$AL$505,"○")&gt;0,1,0))</f>
        <v>0</v>
      </c>
      <c r="D253" s="39" t="n">
        <f aca="false">IF(D$4=0,0,IF(COUNTIFS(実績!$W$6:$W$505,D$3,実績!$AI$6:$AI$505,"&lt;="&amp;$A253,実績!$AJ$6:$AJ$505,"&gt;"&amp;$A253,実績!$AL$6:$AL$505,"○")&gt;0,1,0))</f>
        <v>0</v>
      </c>
      <c r="E253" s="39" t="n">
        <f aca="false">IF(E$4=0,0,IF(COUNTIFS(実績!$W$6:$W$505,E$3,実績!$AI$6:$AI$505,"&lt;="&amp;$A253,実績!$AJ$6:$AJ$505,"&gt;"&amp;$A253,実績!$AL$6:$AL$505,"○")&gt;0,1,0))</f>
        <v>0</v>
      </c>
      <c r="F253" s="39" t="n">
        <f aca="false">IF(F$4=0,0,IF(COUNTIFS(実績!$W$6:$W$505,F$3,実績!$AI$6:$AI$505,"&lt;="&amp;$A253,実績!$AJ$6:$AJ$505,"&gt;"&amp;$A253,実績!$AL$6:$AL$505,"○")&gt;0,1,0))</f>
        <v>0</v>
      </c>
      <c r="G253" s="39" t="n">
        <f aca="false">IF(G$4=0,0,IF(COUNTIFS(実績!$W$6:$W$505,G$3,実績!$AI$6:$AI$505,"&lt;="&amp;$A253,実績!$AJ$6:$AJ$505,"&gt;"&amp;$A253,実績!$AL$6:$AL$505,"○")&gt;0,1,0))</f>
        <v>0</v>
      </c>
      <c r="H253" s="39" t="n">
        <f aca="false">IF(H$4=0,0,IF(COUNTIFS(実績!$W$6:$W$505,H$3,実績!$AI$6:$AI$505,"&lt;="&amp;$A253,実績!$AJ$6:$AJ$505,"&gt;"&amp;$A253,実績!$AL$6:$AL$505,"○")&gt;0,1,0))</f>
        <v>0</v>
      </c>
      <c r="I253" s="39" t="n">
        <f aca="false">IF(I$4=0,0,IF(COUNTIFS(実績!$W$6:$W$505,I$3,実績!$AI$6:$AI$505,"&lt;="&amp;$A253,実績!$AJ$6:$AJ$505,"&gt;"&amp;$A253,実績!$AL$6:$AL$505,"○")&gt;0,1,0))</f>
        <v>0</v>
      </c>
      <c r="J253" s="39" t="n">
        <f aca="false">IF(J$4=0,0,IF(COUNTIFS(実績!$W$6:$W$505,J$3,実績!$AI$6:$AI$505,"&lt;="&amp;$A253,実績!$AJ$6:$AJ$505,"&gt;"&amp;$A253,実績!$AL$6:$AL$505,"○")&gt;0,1,0))</f>
        <v>0</v>
      </c>
      <c r="K253" s="39" t="n">
        <f aca="false">IF(K$4=0,0,IF(COUNTIFS(実績!$W$6:$W$505,K$3,実績!$AI$6:$AI$505,"&lt;="&amp;$A253,実績!$AJ$6:$AJ$505,"&gt;"&amp;$A253,実績!$AL$6:$AL$505,"○")&gt;0,1,0))</f>
        <v>0</v>
      </c>
      <c r="L253" s="39" t="n">
        <f aca="false">IF(L$4=0,0,IF(COUNTIFS(実績!$W$6:$W$505,L$3,実績!$AI$6:$AI$505,"&lt;="&amp;$A253,実績!$AJ$6:$AJ$505,"&gt;"&amp;$A253,実績!$AL$6:$AL$505,"○")&gt;0,1,0))</f>
        <v>0</v>
      </c>
      <c r="M253" s="39" t="n">
        <f aca="false">IF(M$4=0,0,IF(COUNTIFS(実績!$W$6:$W$505,M$3,実績!$AI$6:$AI$505,"&lt;="&amp;$A253,実績!$AJ$6:$AJ$505,"&gt;"&amp;$A253,実績!$AL$6:$AL$505,"○")&gt;0,1,0))</f>
        <v>0</v>
      </c>
      <c r="N253" s="39" t="n">
        <f aca="false">IF(N$4=0,0,IF(COUNTIFS(実績!$W$6:$W$505,N$3,実績!$AI$6:$AI$505,"&lt;="&amp;$A253,実績!$AJ$6:$AJ$505,"&gt;"&amp;$A253,実績!$AL$6:$AL$505,"○")&gt;0,1,0))</f>
        <v>0</v>
      </c>
      <c r="O253" s="39" t="n">
        <f aca="false">IF(O$4=0,0,IF(COUNTIFS(実績!$W$6:$W$505,O$3,実績!$AI$6:$AI$505,"&lt;="&amp;$A253,実績!$AJ$6:$AJ$505,"&gt;"&amp;$A253,実績!$AL$6:$AL$505,"○")&gt;0,1,0))</f>
        <v>0</v>
      </c>
      <c r="P253" s="39" t="n">
        <f aca="false">IF(P$4=0,0,IF(COUNTIFS(実績!$W$6:$W$505,P$3,実績!$AI$6:$AI$505,"&lt;="&amp;$A253,実績!$AJ$6:$AJ$505,"&gt;"&amp;$A253,実績!$AL$6:$AL$505,"○")&gt;0,1,0))</f>
        <v>0</v>
      </c>
      <c r="Q253" s="39" t="n">
        <f aca="false">IF(Q$4=0,0,IF(COUNTIFS(実績!$W$6:$W$505,Q$3,実績!$AI$6:$AI$505,"&lt;="&amp;$A253,実績!$AJ$6:$AJ$505,"&gt;"&amp;$A253,実績!$AL$6:$AL$505,"○")&gt;0,1,0))</f>
        <v>0</v>
      </c>
      <c r="R253" s="39" t="n">
        <f aca="false">IF(R$4=0,0,IF(COUNTIFS(実績!$W$6:$W$505,R$3,実績!$AI$6:$AI$505,"&lt;="&amp;$A253,実績!$AJ$6:$AJ$505,"&gt;"&amp;$A253,実績!$AL$6:$AL$505,"○")&gt;0,1,0))</f>
        <v>0</v>
      </c>
      <c r="S253" s="39" t="n">
        <f aca="false">IF(S$4=0,0,IF(COUNTIFS(実績!$W$6:$W$505,S$3,実績!$AI$6:$AI$505,"&lt;="&amp;$A253,実績!$AJ$6:$AJ$505,"&gt;"&amp;$A253,実績!$AL$6:$AL$505,"○")&gt;0,1,0))</f>
        <v>0</v>
      </c>
      <c r="T253" s="39" t="n">
        <f aca="false">IF(T$4=0,0,IF(COUNTIFS(実績!$W$6:$W$505,T$3,実績!$AI$6:$AI$505,"&lt;="&amp;$A253,実績!$AJ$6:$AJ$505,"&gt;"&amp;$A253,実績!$AL$6:$AL$505,"○")&gt;0,1,0))</f>
        <v>0</v>
      </c>
      <c r="U253" s="39" t="n">
        <f aca="false">IF(U$4=0,0,IF(COUNTIFS(実績!$W$6:$W$505,U$3,実績!$AI$6:$AI$505,"&lt;="&amp;$A253,実績!$AJ$6:$AJ$505,"&gt;"&amp;$A253,実績!$AL$6:$AL$505,"○")&gt;0,1,0))</f>
        <v>0</v>
      </c>
      <c r="V253" s="39" t="n">
        <f aca="false">IF(V$4=0,0,IF(COUNTIFS(実績!$W$6:$W$505,V$3,実績!$AI$6:$AI$505,"&lt;="&amp;$A253,実績!$AJ$6:$AJ$505,"&gt;"&amp;$A253,実績!$AL$6:$AL$505,"○")&gt;0,1,0))</f>
        <v>0</v>
      </c>
      <c r="W253" s="39" t="n">
        <f aca="false">IF(W$4=0,0,IF(COUNTIFS(実績!$W$6:$W$505,W$3,実績!$AI$6:$AI$505,"&lt;="&amp;$A253,実績!$AJ$6:$AJ$505,"&gt;"&amp;$A253,実績!$AL$6:$AL$505,"○")&gt;0,1,0))</f>
        <v>0</v>
      </c>
      <c r="X253" s="39" t="n">
        <f aca="false">IF(X$4=0,0,IF(COUNTIFS(実績!$W$6:$W$505,X$3,実績!$AI$6:$AI$505,"&lt;="&amp;$A253,実績!$AJ$6:$AJ$505,"&gt;"&amp;$A253,実績!$AL$6:$AL$505,"○")&gt;0,1,0))</f>
        <v>0</v>
      </c>
      <c r="Y253" s="39" t="n">
        <f aca="false">IF(Y$4=0,0,IF(COUNTIFS(実績!$W$6:$W$505,Y$3,実績!$AI$6:$AI$505,"&lt;="&amp;$A253,実績!$AJ$6:$AJ$505,"&gt;"&amp;$A253,実績!$AL$6:$AL$505,"○")&gt;0,1,0))</f>
        <v>0</v>
      </c>
      <c r="Z253" s="39" t="n">
        <f aca="false">IF(Z$4=0,0,IF(COUNTIFS(実績!$W$6:$W$505,Z$3,実績!$AI$6:$AI$505,"&lt;="&amp;$A253,実績!$AJ$6:$AJ$505,"&gt;"&amp;$A253,実績!$AL$6:$AL$505,"○")&gt;0,1,0))</f>
        <v>0</v>
      </c>
      <c r="AA253" s="39" t="n">
        <f aca="false">IF(AA$4=0,0,IF(COUNTIFS(実績!$W$6:$W$505,AA$3,実績!$AI$6:$AI$505,"&lt;="&amp;$A253,実績!$AJ$6:$AJ$505,"&gt;"&amp;$A253,実績!$AL$6:$AL$505,"○")&gt;0,1,0))</f>
        <v>0</v>
      </c>
      <c r="AB253" s="39" t="n">
        <f aca="false">IF(AB$4=0,0,IF(COUNTIFS(実績!$W$6:$W$505,AB$3,実績!$AI$6:$AI$505,"&lt;="&amp;$A253,実績!$AJ$6:$AJ$505,"&gt;"&amp;$A253,実績!$AL$6:$AL$505,"○")&gt;0,1,0))</f>
        <v>0</v>
      </c>
      <c r="AC253" s="39" t="n">
        <f aca="false">IF(AC$4=0,0,IF(COUNTIFS(実績!$W$6:$W$505,AC$3,実績!$AI$6:$AI$505,"&lt;="&amp;$A253,実績!$AJ$6:$AJ$505,"&gt;"&amp;$A253,実績!$AL$6:$AL$505,"○")&gt;0,1,0))</f>
        <v>0</v>
      </c>
      <c r="AD253" s="39" t="n">
        <f aca="false">IF(AD$4=0,0,IF(COUNTIFS(実績!$W$6:$W$505,AD$3,実績!$AI$6:$AI$505,"&lt;="&amp;$A253,実績!$AJ$6:$AJ$505,"&gt;"&amp;$A253,実績!$AL$6:$AL$505,"○")&gt;0,1,0))</f>
        <v>0</v>
      </c>
      <c r="AE253" s="39" t="n">
        <f aca="false">IF(AE$4=0,0,IF(COUNTIFS(実績!$W$6:$W$505,AE$3,実績!$AI$6:$AI$505,"&lt;="&amp;$A253,実績!$AJ$6:$AJ$505,"&gt;"&amp;$A253,実績!$AL$6:$AL$505,"○")&gt;0,1,0))</f>
        <v>0</v>
      </c>
      <c r="AF253" s="39" t="n">
        <f aca="false">IF(AF$4=0,0,IF(COUNTIFS(実績!$W$6:$W$505,AF$3,実績!$AI$6:$AI$505,"&lt;="&amp;$A253,実績!$AJ$6:$AJ$505,"&gt;"&amp;$A253,実績!$AL$6:$AL$505,"○")&gt;0,1,0))</f>
        <v>0</v>
      </c>
      <c r="AG253" s="39" t="n">
        <f aca="false">IF(AG$4=0,0,IF(COUNTIFS(実績!$W$6:$W$505,AG$3,実績!$AI$6:$AI$505,"&lt;="&amp;$A253,実績!$AJ$6:$AJ$505,"&gt;"&amp;$A253,実績!$AL$6:$AL$505,"○")&gt;0,1,0))</f>
        <v>0</v>
      </c>
      <c r="AH253" s="39" t="n">
        <f aca="false">IF(AH$4=0,0,IF(COUNTIFS(実績!$W$6:$W$505,AH$3,実績!$AI$6:$AI$505,"&lt;="&amp;$A253,実績!$AJ$6:$AJ$505,"&gt;"&amp;$A253,実績!$AL$6:$AL$505,"○")&gt;0,1,0))</f>
        <v>0</v>
      </c>
      <c r="AI253" s="39" t="n">
        <f aca="false">IF(AI$4=0,0,IF(COUNTIFS(実績!$W$6:$W$505,AI$3,実績!$AI$6:$AI$505,"&lt;="&amp;$A253,実績!$AJ$6:$AJ$505,"&gt;"&amp;$A253,実績!$AL$6:$AL$505,"○")&gt;0,1,0))</f>
        <v>0</v>
      </c>
      <c r="AJ253" s="39" t="n">
        <f aca="false">IF(AJ$4=0,0,IF(COUNTIFS(実績!$W$6:$W$505,AJ$3,実績!$AI$6:$AI$505,"&lt;="&amp;$A253,実績!$AJ$6:$AJ$505,"&gt;"&amp;$A253,実績!$AL$6:$AL$505,"○")&gt;0,1,0))</f>
        <v>0</v>
      </c>
      <c r="AK253" s="39" t="n">
        <f aca="false">IF(AK$4=0,0,IF(COUNTIFS(実績!$W$6:$W$505,AK$3,実績!$AI$6:$AI$505,"&lt;="&amp;$A253,実績!$AJ$6:$AJ$505,"&gt;"&amp;$A253,実績!$AL$6:$AL$505,"○")&gt;0,1,0))</f>
        <v>0</v>
      </c>
      <c r="AL253" s="39" t="n">
        <f aca="false">IF(AL$4=0,0,IF(COUNTIFS(実績!$W$6:$W$505,AL$3,実績!$AI$6:$AI$505,"&lt;="&amp;$A253,実績!$AJ$6:$AJ$505,"&gt;"&amp;$A253,実績!$AL$6:$AL$505,"○")&gt;0,1,0))</f>
        <v>0</v>
      </c>
      <c r="AM253" s="39" t="n">
        <f aca="false">IF(AM$4=0,0,IF(COUNTIFS(実績!$W$6:$W$505,AM$3,実績!$AI$6:$AI$505,"&lt;="&amp;$A253,実績!$AJ$6:$AJ$505,"&gt;"&amp;$A253,実績!$AL$6:$AL$505,"○")&gt;0,1,0))</f>
        <v>0</v>
      </c>
      <c r="AN253" s="39" t="n">
        <f aca="false">IF(AN$4=0,0,IF(COUNTIFS(実績!$W$6:$W$505,AN$3,実績!$AI$6:$AI$505,"&lt;="&amp;$A253,実績!$AJ$6:$AJ$505,"&gt;"&amp;$A253,実績!$AL$6:$AL$505,"○")&gt;0,1,0))</f>
        <v>0</v>
      </c>
      <c r="AO253" s="39" t="n">
        <f aca="false">IF(AO$4=0,0,IF(COUNTIFS(実績!$W$6:$W$505,AO$3,実績!$AI$6:$AI$505,"&lt;="&amp;$A253,実績!$AJ$6:$AJ$505,"&gt;"&amp;$A253,実績!$AL$6:$AL$505,"○")&gt;0,1,0))</f>
        <v>0</v>
      </c>
      <c r="AP253" s="39" t="n">
        <f aca="false">IF(AP$4=0,0,IF(COUNTIFS(実績!$W$6:$W$505,AP$3,実績!$AI$6:$AI$505,"&lt;="&amp;$A253,実績!$AJ$6:$AJ$505,"&gt;"&amp;$A253,実績!$AL$6:$AL$505,"○")&gt;0,1,0))</f>
        <v>0</v>
      </c>
      <c r="AQ253" s="39" t="n">
        <f aca="false">IF(AQ$4=0,0,IF(COUNTIFS(実績!$W$6:$W$505,AQ$3,実績!$AI$6:$AI$505,"&lt;="&amp;$A253,実績!$AJ$6:$AJ$505,"&gt;"&amp;$A253,実績!$AL$6:$AL$505,"○")&gt;0,1,0))</f>
        <v>0</v>
      </c>
      <c r="AR253" s="39" t="n">
        <f aca="false">IF(AR$4=0,0,IF(COUNTIFS(実績!$W$6:$W$505,AR$3,実績!$AI$6:$AI$505,"&lt;="&amp;$A253,実績!$AJ$6:$AJ$505,"&gt;"&amp;$A253,実績!$AL$6:$AL$505,"○")&gt;0,1,0))</f>
        <v>0</v>
      </c>
      <c r="AS253" s="39" t="n">
        <f aca="false">IF(AS$4=0,0,IF(COUNTIFS(実績!$W$6:$W$505,AS$3,実績!$AI$6:$AI$505,"&lt;="&amp;$A253,実績!$AJ$6:$AJ$505,"&gt;"&amp;$A253,実績!$AL$6:$AL$505,"○")&gt;0,1,0))</f>
        <v>0</v>
      </c>
      <c r="AT253" s="39" t="n">
        <f aca="false">IF(AT$4=0,0,IF(COUNTIFS(実績!$W$6:$W$505,AT$3,実績!$AI$6:$AI$505,"&lt;="&amp;$A253,実績!$AJ$6:$AJ$505,"&gt;"&amp;$A253,実績!$AL$6:$AL$505,"○")&gt;0,1,0))</f>
        <v>0</v>
      </c>
      <c r="AU253" s="39" t="n">
        <f aca="false">IF(AU$4=0,0,IF(COUNTIFS(実績!$W$6:$W$505,AU$3,実績!$AI$6:$AI$505,"&lt;="&amp;$A253,実績!$AJ$6:$AJ$505,"&gt;"&amp;$A253,実績!$AL$6:$AL$505,"○")&gt;0,1,0))</f>
        <v>0</v>
      </c>
      <c r="AV253" s="39" t="n">
        <f aca="false">IF(AV$4=0,0,IF(COUNTIFS(実績!$W$6:$W$505,AV$3,実績!$AI$6:$AI$505,"&lt;="&amp;$A253,実績!$AJ$6:$AJ$505,"&gt;"&amp;$A253,実績!$AL$6:$AL$505,"○")&gt;0,1,0))</f>
        <v>0</v>
      </c>
      <c r="AW253" s="39" t="n">
        <f aca="false">IF(AW$4=0,0,IF(COUNTIFS(実績!$W$6:$W$505,AW$3,実績!$AI$6:$AI$505,"&lt;="&amp;$A253,実績!$AJ$6:$AJ$505,"&gt;"&amp;$A253,実績!$AL$6:$AL$505,"○")&gt;0,1,0))</f>
        <v>0</v>
      </c>
      <c r="AX253" s="39" t="n">
        <f aca="false">IF(AX$4=0,0,IF(COUNTIFS(実績!$W$6:$W$505,AX$3,実績!$AI$6:$AI$505,"&lt;="&amp;$A253,実績!$AJ$6:$AJ$505,"&gt;"&amp;$A253,実績!$AL$6:$AL$505,"○")&gt;0,1,0))</f>
        <v>0</v>
      </c>
      <c r="AY253" s="39" t="n">
        <f aca="false">IF(AY$4=0,0,IF(COUNTIFS(実績!$W$6:$W$505,AY$3,実績!$AI$6:$AI$505,"&lt;="&amp;$A253,実績!$AJ$6:$AJ$505,"&gt;"&amp;$A253,実績!$AL$6:$AL$505,"○")&gt;0,1,0))</f>
        <v>0</v>
      </c>
      <c r="AZ253" s="39" t="n">
        <f aca="false">IF(AZ$4=0,0,IF(COUNTIFS(実績!$W$6:$W$505,AZ$3,実績!$AI$6:$AI$505,"&lt;="&amp;$A253,実績!$AJ$6:$AJ$505,"&gt;"&amp;$A253,実績!$AL$6:$AL$505,"○")&gt;0,1,0))</f>
        <v>0</v>
      </c>
      <c r="BA253" s="39" t="n">
        <f aca="false">IF(BA$4=0,0,IF(COUNTIFS(実績!$W$6:$W$505,BA$3,実績!$AI$6:$AI$505,"&lt;="&amp;$A253,実績!$AJ$6:$AJ$505,"&gt;"&amp;$A253,実績!$AL$6:$AL$505,"○")&gt;0,1,0))</f>
        <v>0</v>
      </c>
      <c r="BB253" s="39" t="n">
        <f aca="false">IF(BB$4=0,0,IF(COUNTIFS(実績!$W$6:$W$505,BB$3,実績!$AI$6:$AI$505,"&lt;="&amp;$A253,実績!$AJ$6:$AJ$505,"&gt;"&amp;$A253,実績!$AL$6:$AL$505,"○")&gt;0,1,0))</f>
        <v>0</v>
      </c>
      <c r="BC253" s="39" t="n">
        <f aca="false">IF(BC$4=0,0,IF(COUNTIFS(実績!$W$6:$W$505,BC$3,実績!$AI$6:$AI$505,"&lt;="&amp;$A253,実績!$AJ$6:$AJ$505,"&gt;"&amp;$A253,実績!$AL$6:$AL$505,"○")&gt;0,1,0))</f>
        <v>0</v>
      </c>
      <c r="BD253" s="39" t="n">
        <f aca="false">IF(BD$4=0,0,IF(COUNTIFS(実績!$W$6:$W$505,BD$3,実績!$AI$6:$AI$505,"&lt;="&amp;$A253,実績!$AJ$6:$AJ$505,"&gt;"&amp;$A253,実績!$AL$6:$AL$505,"○")&gt;0,1,0))</f>
        <v>0</v>
      </c>
      <c r="BE253" s="39" t="n">
        <f aca="false">IF(BE$4=0,0,IF(COUNTIFS(実績!$W$6:$W$505,BE$3,実績!$AI$6:$AI$505,"&lt;="&amp;$A253,実績!$AJ$6:$AJ$505,"&gt;"&amp;$A253,実績!$AL$6:$AL$505,"○")&gt;0,1,0))</f>
        <v>0</v>
      </c>
      <c r="BF253" s="39" t="n">
        <f aca="false">IF(BF$4=0,0,IF(COUNTIFS(実績!$W$6:$W$505,BF$3,実績!$AI$6:$AI$505,"&lt;="&amp;$A253,実績!$AJ$6:$AJ$505,"&gt;"&amp;$A253,実績!$AL$6:$AL$505,"○")&gt;0,1,0))</f>
        <v>0</v>
      </c>
      <c r="BG253" s="39" t="n">
        <f aca="false">IF(BG$4=0,0,IF(COUNTIFS(実績!$W$6:$W$505,BG$3,実績!$AI$6:$AI$505,"&lt;="&amp;$A253,実績!$AJ$6:$AJ$505,"&gt;"&amp;$A253,実績!$AL$6:$AL$505,"○")&gt;0,1,0))</f>
        <v>0</v>
      </c>
      <c r="BH253" s="39" t="n">
        <f aca="false">IF(BH$4=0,0,IF(COUNTIFS(実績!$W$6:$W$505,BH$3,実績!$AI$6:$AI$505,"&lt;="&amp;$A253,実績!$AJ$6:$AJ$505,"&gt;"&amp;$A253,実績!$AL$6:$AL$505,"○")&gt;0,1,0))</f>
        <v>0</v>
      </c>
      <c r="BI253" s="39" t="n">
        <f aca="false">IF(BI$4=0,0,IF(COUNTIFS(実績!$W$6:$W$505,BI$3,実績!$AI$6:$AI$505,"&lt;="&amp;$A253,実績!$AJ$6:$AJ$505,"&gt;"&amp;$A253,実績!$AL$6:$AL$505,"○")&gt;0,1,0))</f>
        <v>0</v>
      </c>
      <c r="BJ253" s="39" t="n">
        <f aca="false">IF(BJ$4=0,0,IF(COUNTIFS(実績!$W$6:$W$505,BJ$3,実績!$AI$6:$AI$505,"&lt;="&amp;$A253,実績!$AJ$6:$AJ$505,"&gt;"&amp;$A253,実績!$AL$6:$AL$505,"○")&gt;0,1,0))</f>
        <v>0</v>
      </c>
      <c r="BK253" s="39" t="n">
        <f aca="false">IF(BK$4=0,0,IF(COUNTIFS(実績!$W$6:$W$505,BK$3,実績!$AI$6:$AI$505,"&lt;="&amp;$A253,実績!$AJ$6:$AJ$505,"&gt;"&amp;$A253,実績!$AL$6:$AL$505,"○")&gt;0,1,0))</f>
        <v>0</v>
      </c>
      <c r="BL253" s="39" t="n">
        <f aca="false">IF(BL$4=0,0,IF(COUNTIFS(実績!$W$6:$W$505,BL$3,実績!$AI$6:$AI$505,"&lt;="&amp;$A253,実績!$AJ$6:$AJ$505,"&gt;"&amp;$A253,実績!$AL$6:$AL$505,"○")&gt;0,1,0))</f>
        <v>0</v>
      </c>
      <c r="BM253" s="39" t="n">
        <f aca="false">IF(BM$4=0,0,IF(COUNTIFS(実績!$W$6:$W$505,BM$3,実績!$AI$6:$AI$505,"&lt;="&amp;$A253,実績!$AJ$6:$AJ$505,"&gt;"&amp;$A253,実績!$AL$6:$AL$505,"○")&gt;0,1,0))</f>
        <v>0</v>
      </c>
      <c r="BN253" s="39" t="n">
        <f aca="false">IF(BN$4=0,0,IF(COUNTIFS(実績!$W$6:$W$505,BN$3,実績!$AI$6:$AI$505,"&lt;="&amp;$A253,実績!$AJ$6:$AJ$505,"&gt;"&amp;$A253,実績!$AL$6:$AL$505,"○")&gt;0,1,0))</f>
        <v>0</v>
      </c>
      <c r="BO253" s="39" t="n">
        <f aca="false">IF(BO$4=0,0,IF(COUNTIFS(実績!$W$6:$W$505,BO$3,実績!$AI$6:$AI$505,"&lt;="&amp;$A253,実績!$AJ$6:$AJ$505,"&gt;"&amp;$A253,実績!$AL$6:$AL$505,"○")&gt;0,1,0))</f>
        <v>0</v>
      </c>
      <c r="BP253" s="39" t="n">
        <f aca="false">IF(BP$4=0,0,IF(COUNTIFS(実績!$W$6:$W$505,BP$3,実績!$AI$6:$AI$505,"&lt;="&amp;$A253,実績!$AJ$6:$AJ$505,"&gt;"&amp;$A253,実績!$AL$6:$AL$505,"○")&gt;0,1,0))</f>
        <v>0</v>
      </c>
      <c r="BQ253" s="39" t="n">
        <f aca="false">IF(BQ$4=0,0,IF(COUNTIFS(実績!$W$6:$W$505,BQ$3,実績!$AI$6:$AI$505,"&lt;="&amp;$A253,実績!$AJ$6:$AJ$505,"&gt;"&amp;$A253,実績!$AL$6:$AL$505,"○")&gt;0,1,0))</f>
        <v>0</v>
      </c>
      <c r="BR253" s="39" t="n">
        <f aca="false">IF(BR$4=0,0,IF(COUNTIFS(実績!$W$6:$W$505,BR$3,実績!$AI$6:$AI$505,"&lt;="&amp;$A253,実績!$AJ$6:$AJ$505,"&gt;"&amp;$A253,実績!$AL$6:$AL$505,"○")&gt;0,1,0))</f>
        <v>0</v>
      </c>
      <c r="BS253" s="39" t="n">
        <f aca="false">IF(BS$4=0,0,IF(COUNTIFS(実績!$W$6:$W$505,BS$3,実績!$AI$6:$AI$505,"&lt;="&amp;$A253,実績!$AJ$6:$AJ$505,"&gt;"&amp;$A253,実績!$AL$6:$AL$505,"○")&gt;0,1,0))</f>
        <v>0</v>
      </c>
      <c r="BT253" s="39" t="n">
        <f aca="false">IF(BT$4=0,0,IF(COUNTIFS(実績!$W$6:$W$505,BT$3,実績!$AI$6:$AI$505,"&lt;="&amp;$A253,実績!$AJ$6:$AJ$505,"&gt;"&amp;$A253,実績!$AL$6:$AL$505,"○")&gt;0,1,0))</f>
        <v>0</v>
      </c>
      <c r="BU253" s="39" t="n">
        <f aca="false">IF(BU$4=0,0,IF(COUNTIFS(実績!$W$6:$W$505,BU$3,実績!$AI$6:$AI$505,"&lt;="&amp;$A253,実績!$AJ$6:$AJ$505,"&gt;"&amp;$A253,実績!$AL$6:$AL$505,"○")&gt;0,1,0))</f>
        <v>0</v>
      </c>
      <c r="BV253" s="39" t="n">
        <f aca="false">IF(BV$4=0,0,IF(COUNTIFS(実績!$W$6:$W$505,BV$3,実績!$AI$6:$AI$505,"&lt;="&amp;$A253,実績!$AJ$6:$AJ$505,"&gt;"&amp;$A253,実績!$AL$6:$AL$505,"○")&gt;0,1,0))</f>
        <v>0</v>
      </c>
      <c r="BW253" s="39" t="n">
        <f aca="false">IF(BW$4=0,0,IF(COUNTIFS(実績!$W$6:$W$505,BW$3,実績!$AI$6:$AI$505,"&lt;="&amp;$A253,実績!$AJ$6:$AJ$505,"&gt;"&amp;$A253,実績!$AL$6:$AL$505,"○")&gt;0,1,0))</f>
        <v>0</v>
      </c>
      <c r="BX253" s="39" t="n">
        <f aca="false">IF(BX$4=0,0,IF(COUNTIFS(実績!$W$6:$W$505,BX$3,実績!$AI$6:$AI$505,"&lt;="&amp;$A253,実績!$AJ$6:$AJ$505,"&gt;"&amp;$A253,実績!$AL$6:$AL$505,"○")&gt;0,1,0))</f>
        <v>0</v>
      </c>
      <c r="BY253" s="39" t="n">
        <f aca="false">IF(BY$4=0,0,IF(COUNTIFS(実績!$W$6:$W$505,BY$3,実績!$AI$6:$AI$505,"&lt;="&amp;$A253,実績!$AJ$6:$AJ$505,"&gt;"&amp;$A253,実績!$AL$6:$AL$505,"○")&gt;0,1,0))</f>
        <v>0</v>
      </c>
      <c r="BZ253" s="39" t="n">
        <f aca="false">IF(BZ$4=0,0,IF(COUNTIFS(実績!$W$6:$W$505,BZ$3,実績!$AI$6:$AI$505,"&lt;="&amp;$A253,実績!$AJ$6:$AJ$505,"&gt;"&amp;$A253,実績!$AL$6:$AL$505,"○")&gt;0,1,0))</f>
        <v>0</v>
      </c>
      <c r="CA253" s="39" t="n">
        <f aca="false">IF(CA$4=0,0,IF(COUNTIFS(実績!$W$6:$W$505,CA$3,実績!$AI$6:$AI$505,"&lt;="&amp;$A253,実績!$AJ$6:$AJ$505,"&gt;"&amp;$A253,実績!$AL$6:$AL$505,"○")&gt;0,1,0))</f>
        <v>0</v>
      </c>
      <c r="CB253" s="39" t="n">
        <f aca="false">IF(CB$4=0,0,IF(COUNTIFS(実績!$W$6:$W$505,CB$3,実績!$AI$6:$AI$505,"&lt;="&amp;$A253,実績!$AJ$6:$AJ$505,"&gt;"&amp;$A253,実績!$AL$6:$AL$505,"○")&gt;0,1,0))</f>
        <v>0</v>
      </c>
      <c r="CC253" s="39" t="n">
        <f aca="false">IF(CC$4=0,0,IF(COUNTIFS(実績!$W$6:$W$505,CC$3,実績!$AI$6:$AI$505,"&lt;="&amp;$A253,実績!$AJ$6:$AJ$505,"&gt;"&amp;$A253,実績!$AL$6:$AL$505,"○")&gt;0,1,0))</f>
        <v>0</v>
      </c>
      <c r="CD253" s="39" t="n">
        <f aca="false">IF(CD$4=0,0,IF(COUNTIFS(実績!$W$6:$W$505,CD$3,実績!$AI$6:$AI$505,"&lt;="&amp;$A253,実績!$AJ$6:$AJ$505,"&gt;"&amp;$A253,実績!$AL$6:$AL$505,"○")&gt;0,1,0))</f>
        <v>0</v>
      </c>
      <c r="CE253" s="39" t="n">
        <f aca="false">IF(CE$4=0,0,IF(COUNTIFS(実績!$W$6:$W$505,CE$3,実績!$AI$6:$AI$505,"&lt;="&amp;$A253,実績!$AJ$6:$AJ$505,"&gt;"&amp;$A253,実績!$AL$6:$AL$505,"○")&gt;0,1,0))</f>
        <v>0</v>
      </c>
      <c r="CF253" s="39" t="n">
        <f aca="false">IF(CF$4=0,0,IF(COUNTIFS(実績!$W$6:$W$505,CF$3,実績!$AI$6:$AI$505,"&lt;="&amp;$A253,実績!$AJ$6:$AJ$505,"&gt;"&amp;$A253,実績!$AL$6:$AL$505,"○")&gt;0,1,0))</f>
        <v>0</v>
      </c>
      <c r="CG253" s="39" t="n">
        <f aca="false">IF(CG$4=0,0,IF(COUNTIFS(実績!$W$6:$W$505,CG$3,実績!$AI$6:$AI$505,"&lt;="&amp;$A253,実績!$AJ$6:$AJ$505,"&gt;"&amp;$A253,実績!$AL$6:$AL$505,"○")&gt;0,1,0))</f>
        <v>0</v>
      </c>
      <c r="CH253" s="39" t="n">
        <f aca="false">IF(CH$4=0,0,IF(COUNTIFS(実績!$W$6:$W$505,CH$3,実績!$AI$6:$AI$505,"&lt;="&amp;$A253,実績!$AJ$6:$AJ$505,"&gt;"&amp;$A253,実績!$AL$6:$AL$505,"○")&gt;0,1,0))</f>
        <v>0</v>
      </c>
      <c r="CI253" s="39" t="n">
        <f aca="false">IF(CI$4=0,0,IF(COUNTIFS(実績!$W$6:$W$505,CI$3,実績!$AI$6:$AI$505,"&lt;="&amp;$A253,実績!$AJ$6:$AJ$505,"&gt;"&amp;$A253,実績!$AL$6:$AL$505,"○")&gt;0,1,0))</f>
        <v>0</v>
      </c>
      <c r="CJ253" s="39" t="n">
        <f aca="false">IF(CJ$4=0,0,IF(COUNTIFS(実績!$W$6:$W$505,CJ$3,実績!$AI$6:$AI$505,"&lt;="&amp;$A253,実績!$AJ$6:$AJ$505,"&gt;"&amp;$A253,実績!$AL$6:$AL$505,"○")&gt;0,1,0))</f>
        <v>0</v>
      </c>
      <c r="CK253" s="39" t="n">
        <f aca="false">IF(CK$4=0,0,IF(COUNTIFS(実績!$W$6:$W$505,CK$3,実績!$AI$6:$AI$505,"&lt;="&amp;$A253,実績!$AJ$6:$AJ$505,"&gt;"&amp;$A253,実績!$AL$6:$AL$505,"○")&gt;0,1,0))</f>
        <v>0</v>
      </c>
      <c r="CL253" s="39" t="n">
        <f aca="false">IF(CL$4=0,0,IF(COUNTIFS(実績!$W$6:$W$505,CL$3,実績!$AI$6:$AI$505,"&lt;="&amp;$A253,実績!$AJ$6:$AJ$505,"&gt;"&amp;$A253,実績!$AL$6:$AL$505,"○")&gt;0,1,0))</f>
        <v>0</v>
      </c>
      <c r="CM253" s="39" t="n">
        <f aca="false">IF(CM$4=0,0,IF(COUNTIFS(実績!$W$6:$W$505,CM$3,実績!$AI$6:$AI$505,"&lt;="&amp;$A253,実績!$AJ$6:$AJ$505,"&gt;"&amp;$A253,実績!$AL$6:$AL$505,"○")&gt;0,1,0))</f>
        <v>0</v>
      </c>
      <c r="CN253" s="39" t="n">
        <f aca="false">IF(CN$4=0,0,IF(COUNTIFS(実績!$W$6:$W$505,CN$3,実績!$AI$6:$AI$505,"&lt;="&amp;$A253,実績!$AJ$6:$AJ$505,"&gt;"&amp;$A253,実績!$AL$6:$AL$505,"○")&gt;0,1,0))</f>
        <v>0</v>
      </c>
      <c r="CO253" s="39" t="n">
        <f aca="false">IF(CO$4=0,0,IF(COUNTIFS(実績!$W$6:$W$505,CO$3,実績!$AI$6:$AI$505,"&lt;="&amp;$A253,実績!$AJ$6:$AJ$505,"&gt;"&amp;$A253,実績!$AL$6:$AL$505,"○")&gt;0,1,0))</f>
        <v>0</v>
      </c>
      <c r="CP253" s="39" t="n">
        <f aca="false">IF(CP$4=0,0,IF(COUNTIFS(実績!$W$6:$W$505,CP$3,実績!$AI$6:$AI$505,"&lt;="&amp;$A253,実績!$AJ$6:$AJ$505,"&gt;"&amp;$A253,実績!$AL$6:$AL$505,"○")&gt;0,1,0))</f>
        <v>0</v>
      </c>
      <c r="CQ253" s="39" t="n">
        <f aca="false">IF(CQ$4=0,0,IF(COUNTIFS(実績!$W$6:$W$505,CQ$3,実績!$AI$6:$AI$505,"&lt;="&amp;$A253,実績!$AJ$6:$AJ$505,"&gt;"&amp;$A253,実績!$AL$6:$AL$505,"○")&gt;0,1,0))</f>
        <v>0</v>
      </c>
      <c r="CR253" s="39" t="n">
        <f aca="false">IF(CR$4=0,0,IF(COUNTIFS(実績!$W$6:$W$505,CR$3,実績!$AI$6:$AI$505,"&lt;="&amp;$A253,実績!$AJ$6:$AJ$505,"&gt;"&amp;$A253,実績!$AL$6:$AL$505,"○")&gt;0,1,0))</f>
        <v>0</v>
      </c>
      <c r="CS253" s="39" t="n">
        <f aca="false">IF(CS$4=0,0,IF(COUNTIFS(実績!$W$6:$W$505,CS$3,実績!$AI$6:$AI$505,"&lt;="&amp;$A253,実績!$AJ$6:$AJ$505,"&gt;"&amp;$A253,実績!$AL$6:$AL$505,"○")&gt;0,1,0))</f>
        <v>0</v>
      </c>
      <c r="CT253" s="39" t="n">
        <f aca="false">IF(CT$4=0,0,IF(COUNTIFS(実績!$W$6:$W$505,CT$3,実績!$AI$6:$AI$505,"&lt;="&amp;$A253,実績!$AJ$6:$AJ$505,"&gt;"&amp;$A253,実績!$AL$6:$AL$505,"○")&gt;0,1,0))</f>
        <v>0</v>
      </c>
      <c r="CU253" s="39" t="n">
        <f aca="false">IF(CU$4=0,0,IF(COUNTIFS(実績!$W$6:$W$505,CU$3,実績!$AI$6:$AI$505,"&lt;="&amp;$A253,実績!$AJ$6:$AJ$505,"&gt;"&amp;$A253,実績!$AL$6:$AL$505,"○")&gt;0,1,0))</f>
        <v>0</v>
      </c>
      <c r="CV253" s="39" t="n">
        <f aca="false">IF(CV$4=0,0,IF(COUNTIFS(実績!$W$6:$W$505,CV$3,実績!$AI$6:$AI$505,"&lt;="&amp;$A253,実績!$AJ$6:$AJ$505,"&gt;"&amp;$A253,実績!$AL$6:$AL$505,"○")&gt;0,1,0))</f>
        <v>0</v>
      </c>
      <c r="CW253" s="39" t="n">
        <f aca="false">IF(CW$4=0,0,IF(COUNTIFS(実績!$W$6:$W$505,CW$3,実績!$AI$6:$AI$505,"&lt;="&amp;$A253,実績!$AJ$6:$AJ$505,"&gt;"&amp;$A253,実績!$AL$6:$AL$505,"○")&gt;0,1,0))</f>
        <v>0</v>
      </c>
      <c r="CX253" s="39" t="n">
        <f aca="false">IF(CX$4=0,0,IF(COUNTIFS(実績!$W$6:$W$505,CX$3,実績!$AI$6:$AI$505,"&lt;="&amp;$A253,実績!$AJ$6:$AJ$505,"&gt;"&amp;$A253,実績!$AL$6:$AL$505,"○")&gt;0,1,0))</f>
        <v>0</v>
      </c>
      <c r="CY253" s="39" t="n">
        <f aca="false">IF(CY$4=0,0,IF(COUNTIFS(実績!$W$6:$W$505,CY$3,実績!$AI$6:$AI$505,"&lt;="&amp;$A253,実績!$AJ$6:$AJ$505,"&gt;"&amp;$A253,実績!$AL$6:$AL$505,"○")&gt;0,1,0))</f>
        <v>0</v>
      </c>
      <c r="CZ253" s="39" t="n">
        <f aca="false">IF(CZ$4=0,0,IF(COUNTIFS(実績!$W$6:$W$505,CZ$3,実績!$AI$6:$AI$505,"&lt;="&amp;$A253,実績!$AJ$6:$AJ$505,"&gt;"&amp;$A253,実績!$AL$6:$AL$505,"○")&gt;0,1,0))</f>
        <v>0</v>
      </c>
      <c r="DA253" s="39" t="n">
        <f aca="false">IF(DA$4=0,0,IF(COUNTIFS(実績!$W$6:$W$505,DA$3,実績!$AI$6:$AI$505,"&lt;="&amp;$A253,実績!$AJ$6:$AJ$505,"&gt;"&amp;$A253,実績!$AL$6:$AL$505,"○")&gt;0,1,0))</f>
        <v>0</v>
      </c>
      <c r="DB253" s="39" t="n">
        <f aca="false">IF(DB$4=0,0,IF(COUNTIFS(実績!$W$6:$W$505,DB$3,実績!$AI$6:$AI$505,"&lt;="&amp;$A253,実績!$AJ$6:$AJ$505,"&gt;"&amp;$A253,実績!$AL$6:$AL$505,"○")&gt;0,1,0))</f>
        <v>0</v>
      </c>
      <c r="DC253" s="39" t="n">
        <f aca="false">IF(DC$4=0,0,IF(COUNTIFS(実績!$W$6:$W$505,DC$3,実績!$AI$6:$AI$505,"&lt;="&amp;$A253,実績!$AJ$6:$AJ$505,"&gt;"&amp;$A253,実績!$AL$6:$AL$505,"○")&gt;0,1,0))</f>
        <v>0</v>
      </c>
      <c r="DD253" s="39" t="n">
        <f aca="false">IF(DD$4=0,0,IF(COUNTIFS(実績!$W$6:$W$505,DD$3,実績!$AI$6:$AI$505,"&lt;="&amp;$A253,実績!$AJ$6:$AJ$505,"&gt;"&amp;$A253,実績!$AL$6:$AL$505,"○")&gt;0,1,0))</f>
        <v>0</v>
      </c>
      <c r="DE253" s="39" t="n">
        <f aca="false">IF(DE$4=0,0,IF(COUNTIFS(実績!$W$6:$W$505,DE$3,実績!$AI$6:$AI$505,"&lt;="&amp;$A253,実績!$AJ$6:$AJ$505,"&gt;"&amp;$A253,実績!$AL$6:$AL$505,"○")&gt;0,1,0))</f>
        <v>0</v>
      </c>
      <c r="DF253" s="39" t="n">
        <f aca="false">IF(DF$4=0,0,IF(COUNTIFS(実績!$W$6:$W$505,DF$3,実績!$AI$6:$AI$505,"&lt;="&amp;$A253,実績!$AJ$6:$AJ$505,"&gt;"&amp;$A253,実績!$AL$6:$AL$505,"○")&gt;0,1,0))</f>
        <v>0</v>
      </c>
      <c r="DG253" s="39" t="n">
        <f aca="false">IF(DG$4=0,0,IF(COUNTIFS(実績!$W$6:$W$505,DG$3,実績!$AI$6:$AI$505,"&lt;="&amp;$A253,実績!$AJ$6:$AJ$505,"&gt;"&amp;$A253,実績!$AL$6:$AL$505,"○")&gt;0,1,0))</f>
        <v>0</v>
      </c>
      <c r="DH253" s="39" t="n">
        <f aca="false">IF(DH$4=0,0,IF(COUNTIFS(実績!$W$6:$W$505,DH$3,実績!$AI$6:$AI$505,"&lt;="&amp;$A253,実績!$AJ$6:$AJ$505,"&gt;"&amp;$A253,実績!$AL$6:$AL$505,"○")&gt;0,1,0))</f>
        <v>0</v>
      </c>
      <c r="DI253" s="39" t="n">
        <f aca="false">IF(DI$4=0,0,IF(COUNTIFS(実績!$W$6:$W$505,DI$3,実績!$AI$6:$AI$505,"&lt;="&amp;$A253,実績!$AJ$6:$AJ$505,"&gt;"&amp;$A253,実績!$AL$6:$AL$505,"○")&gt;0,1,0))</f>
        <v>0</v>
      </c>
      <c r="DJ253" s="39" t="n">
        <f aca="false">IF(DJ$4=0,0,IF(COUNTIFS(実績!$W$6:$W$505,DJ$3,実績!$AI$6:$AI$505,"&lt;="&amp;$A253,実績!$AJ$6:$AJ$505,"&gt;"&amp;$A253,実績!$AL$6:$AL$505,"○")&gt;0,1,0))</f>
        <v>0</v>
      </c>
      <c r="DK253" s="39" t="n">
        <f aca="false">IF(DK$4=0,0,IF(COUNTIFS(実績!$W$6:$W$505,DK$3,実績!$AI$6:$AI$505,"&lt;="&amp;$A253,実績!$AJ$6:$AJ$505,"&gt;"&amp;$A253,実績!$AL$6:$AL$505,"○")&gt;0,1,0))</f>
        <v>0</v>
      </c>
      <c r="DL253" s="39" t="n">
        <f aca="false">IF(DL$4=0,0,IF(COUNTIFS(実績!$W$6:$W$505,DL$3,実績!$AI$6:$AI$505,"&lt;="&amp;$A253,実績!$AJ$6:$AJ$505,"&gt;"&amp;$A253,実績!$AL$6:$AL$505,"○")&gt;0,1,0))</f>
        <v>0</v>
      </c>
      <c r="DM253" s="39" t="n">
        <f aca="false">IF(DM$4=0,0,IF(COUNTIFS(実績!$W$6:$W$505,DM$3,実績!$AI$6:$AI$505,"&lt;="&amp;$A253,実績!$AJ$6:$AJ$505,"&gt;"&amp;$A253,実績!$AL$6:$AL$505,"○")&gt;0,1,0))</f>
        <v>0</v>
      </c>
      <c r="DN253" s="39" t="n">
        <f aca="false">IF(DN$4=0,0,IF(COUNTIFS(実績!$W$6:$W$505,DN$3,実績!$AI$6:$AI$505,"&lt;="&amp;$A253,実績!$AJ$6:$AJ$505,"&gt;"&amp;$A253,実績!$AL$6:$AL$505,"○")&gt;0,1,0))</f>
        <v>0</v>
      </c>
      <c r="DO253" s="39" t="n">
        <f aca="false">IF(DO$4=0,0,IF(COUNTIFS(実績!$W$6:$W$505,DO$3,実績!$AI$6:$AI$505,"&lt;="&amp;$A253,実績!$AJ$6:$AJ$505,"&gt;"&amp;$A253,実績!$AL$6:$AL$505,"○")&gt;0,1,0))</f>
        <v>0</v>
      </c>
      <c r="DP253" s="39" t="n">
        <f aca="false">IF(DP$4=0,0,IF(COUNTIFS(実績!$W$6:$W$505,DP$3,実績!$AI$6:$AI$505,"&lt;="&amp;$A253,実績!$AJ$6:$AJ$505,"&gt;"&amp;$A253,実績!$AL$6:$AL$505,"○")&gt;0,1,0))</f>
        <v>0</v>
      </c>
      <c r="DQ253" s="39" t="n">
        <f aca="false">IF(DQ$4=0,0,IF(COUNTIFS(実績!$W$6:$W$505,DQ$3,実績!$AI$6:$AI$505,"&lt;="&amp;$A253,実績!$AJ$6:$AJ$505,"&gt;"&amp;$A253,実績!$AL$6:$AL$505,"○")&gt;0,1,0))</f>
        <v>0</v>
      </c>
      <c r="DR253" s="39" t="n">
        <f aca="false">IF(DR$4=0,0,IF(COUNTIFS(実績!$W$6:$W$505,DR$3,実績!$AI$6:$AI$505,"&lt;="&amp;$A253,実績!$AJ$6:$AJ$505,"&gt;"&amp;$A253,実績!$AL$6:$AL$505,"○")&gt;0,1,0))</f>
        <v>0</v>
      </c>
      <c r="DS253" s="39" t="n">
        <f aca="false">SUM(C253:DR253)</f>
        <v>0</v>
      </c>
    </row>
    <row r="254" customFormat="false" ht="15" hidden="false" customHeight="false" outlineLevel="0" collapsed="false">
      <c r="A254" s="0" t="n">
        <v>1240</v>
      </c>
      <c r="B254" s="38" t="n">
        <f aca="false">A254/1440</f>
        <v>0.861111111111111</v>
      </c>
      <c r="C254" s="39" t="n">
        <f aca="false">IF(C$4=0,0,IF(COUNTIFS(実績!$W$6:$W$505,C$3,実績!$AI$6:$AI$505,"&lt;="&amp;$A254,実績!$AJ$6:$AJ$505,"&gt;"&amp;$A254,実績!$AL$6:$AL$505,"○")&gt;0,1,0))</f>
        <v>0</v>
      </c>
      <c r="D254" s="39" t="n">
        <f aca="false">IF(D$4=0,0,IF(COUNTIFS(実績!$W$6:$W$505,D$3,実績!$AI$6:$AI$505,"&lt;="&amp;$A254,実績!$AJ$6:$AJ$505,"&gt;"&amp;$A254,実績!$AL$6:$AL$505,"○")&gt;0,1,0))</f>
        <v>0</v>
      </c>
      <c r="E254" s="39" t="n">
        <f aca="false">IF(E$4=0,0,IF(COUNTIFS(実績!$W$6:$W$505,E$3,実績!$AI$6:$AI$505,"&lt;="&amp;$A254,実績!$AJ$6:$AJ$505,"&gt;"&amp;$A254,実績!$AL$6:$AL$505,"○")&gt;0,1,0))</f>
        <v>0</v>
      </c>
      <c r="F254" s="39" t="n">
        <f aca="false">IF(F$4=0,0,IF(COUNTIFS(実績!$W$6:$W$505,F$3,実績!$AI$6:$AI$505,"&lt;="&amp;$A254,実績!$AJ$6:$AJ$505,"&gt;"&amp;$A254,実績!$AL$6:$AL$505,"○")&gt;0,1,0))</f>
        <v>0</v>
      </c>
      <c r="G254" s="39" t="n">
        <f aca="false">IF(G$4=0,0,IF(COUNTIFS(実績!$W$6:$W$505,G$3,実績!$AI$6:$AI$505,"&lt;="&amp;$A254,実績!$AJ$6:$AJ$505,"&gt;"&amp;$A254,実績!$AL$6:$AL$505,"○")&gt;0,1,0))</f>
        <v>0</v>
      </c>
      <c r="H254" s="39" t="n">
        <f aca="false">IF(H$4=0,0,IF(COUNTIFS(実績!$W$6:$W$505,H$3,実績!$AI$6:$AI$505,"&lt;="&amp;$A254,実績!$AJ$6:$AJ$505,"&gt;"&amp;$A254,実績!$AL$6:$AL$505,"○")&gt;0,1,0))</f>
        <v>0</v>
      </c>
      <c r="I254" s="39" t="n">
        <f aca="false">IF(I$4=0,0,IF(COUNTIFS(実績!$W$6:$W$505,I$3,実績!$AI$6:$AI$505,"&lt;="&amp;$A254,実績!$AJ$6:$AJ$505,"&gt;"&amp;$A254,実績!$AL$6:$AL$505,"○")&gt;0,1,0))</f>
        <v>0</v>
      </c>
      <c r="J254" s="39" t="n">
        <f aca="false">IF(J$4=0,0,IF(COUNTIFS(実績!$W$6:$W$505,J$3,実績!$AI$6:$AI$505,"&lt;="&amp;$A254,実績!$AJ$6:$AJ$505,"&gt;"&amp;$A254,実績!$AL$6:$AL$505,"○")&gt;0,1,0))</f>
        <v>0</v>
      </c>
      <c r="K254" s="39" t="n">
        <f aca="false">IF(K$4=0,0,IF(COUNTIFS(実績!$W$6:$W$505,K$3,実績!$AI$6:$AI$505,"&lt;="&amp;$A254,実績!$AJ$6:$AJ$505,"&gt;"&amp;$A254,実績!$AL$6:$AL$505,"○")&gt;0,1,0))</f>
        <v>0</v>
      </c>
      <c r="L254" s="39" t="n">
        <f aca="false">IF(L$4=0,0,IF(COUNTIFS(実績!$W$6:$W$505,L$3,実績!$AI$6:$AI$505,"&lt;="&amp;$A254,実績!$AJ$6:$AJ$505,"&gt;"&amp;$A254,実績!$AL$6:$AL$505,"○")&gt;0,1,0))</f>
        <v>0</v>
      </c>
      <c r="M254" s="39" t="n">
        <f aca="false">IF(M$4=0,0,IF(COUNTIFS(実績!$W$6:$W$505,M$3,実績!$AI$6:$AI$505,"&lt;="&amp;$A254,実績!$AJ$6:$AJ$505,"&gt;"&amp;$A254,実績!$AL$6:$AL$505,"○")&gt;0,1,0))</f>
        <v>0</v>
      </c>
      <c r="N254" s="39" t="n">
        <f aca="false">IF(N$4=0,0,IF(COUNTIFS(実績!$W$6:$W$505,N$3,実績!$AI$6:$AI$505,"&lt;="&amp;$A254,実績!$AJ$6:$AJ$505,"&gt;"&amp;$A254,実績!$AL$6:$AL$505,"○")&gt;0,1,0))</f>
        <v>0</v>
      </c>
      <c r="O254" s="39" t="n">
        <f aca="false">IF(O$4=0,0,IF(COUNTIFS(実績!$W$6:$W$505,O$3,実績!$AI$6:$AI$505,"&lt;="&amp;$A254,実績!$AJ$6:$AJ$505,"&gt;"&amp;$A254,実績!$AL$6:$AL$505,"○")&gt;0,1,0))</f>
        <v>0</v>
      </c>
      <c r="P254" s="39" t="n">
        <f aca="false">IF(P$4=0,0,IF(COUNTIFS(実績!$W$6:$W$505,P$3,実績!$AI$6:$AI$505,"&lt;="&amp;$A254,実績!$AJ$6:$AJ$505,"&gt;"&amp;$A254,実績!$AL$6:$AL$505,"○")&gt;0,1,0))</f>
        <v>0</v>
      </c>
      <c r="Q254" s="39" t="n">
        <f aca="false">IF(Q$4=0,0,IF(COUNTIFS(実績!$W$6:$W$505,Q$3,実績!$AI$6:$AI$505,"&lt;="&amp;$A254,実績!$AJ$6:$AJ$505,"&gt;"&amp;$A254,実績!$AL$6:$AL$505,"○")&gt;0,1,0))</f>
        <v>0</v>
      </c>
      <c r="R254" s="39" t="n">
        <f aca="false">IF(R$4=0,0,IF(COUNTIFS(実績!$W$6:$W$505,R$3,実績!$AI$6:$AI$505,"&lt;="&amp;$A254,実績!$AJ$6:$AJ$505,"&gt;"&amp;$A254,実績!$AL$6:$AL$505,"○")&gt;0,1,0))</f>
        <v>0</v>
      </c>
      <c r="S254" s="39" t="n">
        <f aca="false">IF(S$4=0,0,IF(COUNTIFS(実績!$W$6:$W$505,S$3,実績!$AI$6:$AI$505,"&lt;="&amp;$A254,実績!$AJ$6:$AJ$505,"&gt;"&amp;$A254,実績!$AL$6:$AL$505,"○")&gt;0,1,0))</f>
        <v>0</v>
      </c>
      <c r="T254" s="39" t="n">
        <f aca="false">IF(T$4=0,0,IF(COUNTIFS(実績!$W$6:$W$505,T$3,実績!$AI$6:$AI$505,"&lt;="&amp;$A254,実績!$AJ$6:$AJ$505,"&gt;"&amp;$A254,実績!$AL$6:$AL$505,"○")&gt;0,1,0))</f>
        <v>0</v>
      </c>
      <c r="U254" s="39" t="n">
        <f aca="false">IF(U$4=0,0,IF(COUNTIFS(実績!$W$6:$W$505,U$3,実績!$AI$6:$AI$505,"&lt;="&amp;$A254,実績!$AJ$6:$AJ$505,"&gt;"&amp;$A254,実績!$AL$6:$AL$505,"○")&gt;0,1,0))</f>
        <v>0</v>
      </c>
      <c r="V254" s="39" t="n">
        <f aca="false">IF(V$4=0,0,IF(COUNTIFS(実績!$W$6:$W$505,V$3,実績!$AI$6:$AI$505,"&lt;="&amp;$A254,実績!$AJ$6:$AJ$505,"&gt;"&amp;$A254,実績!$AL$6:$AL$505,"○")&gt;0,1,0))</f>
        <v>0</v>
      </c>
      <c r="W254" s="39" t="n">
        <f aca="false">IF(W$4=0,0,IF(COUNTIFS(実績!$W$6:$W$505,W$3,実績!$AI$6:$AI$505,"&lt;="&amp;$A254,実績!$AJ$6:$AJ$505,"&gt;"&amp;$A254,実績!$AL$6:$AL$505,"○")&gt;0,1,0))</f>
        <v>0</v>
      </c>
      <c r="X254" s="39" t="n">
        <f aca="false">IF(X$4=0,0,IF(COUNTIFS(実績!$W$6:$W$505,X$3,実績!$AI$6:$AI$505,"&lt;="&amp;$A254,実績!$AJ$6:$AJ$505,"&gt;"&amp;$A254,実績!$AL$6:$AL$505,"○")&gt;0,1,0))</f>
        <v>0</v>
      </c>
      <c r="Y254" s="39" t="n">
        <f aca="false">IF(Y$4=0,0,IF(COUNTIFS(実績!$W$6:$W$505,Y$3,実績!$AI$6:$AI$505,"&lt;="&amp;$A254,実績!$AJ$6:$AJ$505,"&gt;"&amp;$A254,実績!$AL$6:$AL$505,"○")&gt;0,1,0))</f>
        <v>0</v>
      </c>
      <c r="Z254" s="39" t="n">
        <f aca="false">IF(Z$4=0,0,IF(COUNTIFS(実績!$W$6:$W$505,Z$3,実績!$AI$6:$AI$505,"&lt;="&amp;$A254,実績!$AJ$6:$AJ$505,"&gt;"&amp;$A254,実績!$AL$6:$AL$505,"○")&gt;0,1,0))</f>
        <v>0</v>
      </c>
      <c r="AA254" s="39" t="n">
        <f aca="false">IF(AA$4=0,0,IF(COUNTIFS(実績!$W$6:$W$505,AA$3,実績!$AI$6:$AI$505,"&lt;="&amp;$A254,実績!$AJ$6:$AJ$505,"&gt;"&amp;$A254,実績!$AL$6:$AL$505,"○")&gt;0,1,0))</f>
        <v>0</v>
      </c>
      <c r="AB254" s="39" t="n">
        <f aca="false">IF(AB$4=0,0,IF(COUNTIFS(実績!$W$6:$W$505,AB$3,実績!$AI$6:$AI$505,"&lt;="&amp;$A254,実績!$AJ$6:$AJ$505,"&gt;"&amp;$A254,実績!$AL$6:$AL$505,"○")&gt;0,1,0))</f>
        <v>0</v>
      </c>
      <c r="AC254" s="39" t="n">
        <f aca="false">IF(AC$4=0,0,IF(COUNTIFS(実績!$W$6:$W$505,AC$3,実績!$AI$6:$AI$505,"&lt;="&amp;$A254,実績!$AJ$6:$AJ$505,"&gt;"&amp;$A254,実績!$AL$6:$AL$505,"○")&gt;0,1,0))</f>
        <v>0</v>
      </c>
      <c r="AD254" s="39" t="n">
        <f aca="false">IF(AD$4=0,0,IF(COUNTIFS(実績!$W$6:$W$505,AD$3,実績!$AI$6:$AI$505,"&lt;="&amp;$A254,実績!$AJ$6:$AJ$505,"&gt;"&amp;$A254,実績!$AL$6:$AL$505,"○")&gt;0,1,0))</f>
        <v>0</v>
      </c>
      <c r="AE254" s="39" t="n">
        <f aca="false">IF(AE$4=0,0,IF(COUNTIFS(実績!$W$6:$W$505,AE$3,実績!$AI$6:$AI$505,"&lt;="&amp;$A254,実績!$AJ$6:$AJ$505,"&gt;"&amp;$A254,実績!$AL$6:$AL$505,"○")&gt;0,1,0))</f>
        <v>0</v>
      </c>
      <c r="AF254" s="39" t="n">
        <f aca="false">IF(AF$4=0,0,IF(COUNTIFS(実績!$W$6:$W$505,AF$3,実績!$AI$6:$AI$505,"&lt;="&amp;$A254,実績!$AJ$6:$AJ$505,"&gt;"&amp;$A254,実績!$AL$6:$AL$505,"○")&gt;0,1,0))</f>
        <v>0</v>
      </c>
      <c r="AG254" s="39" t="n">
        <f aca="false">IF(AG$4=0,0,IF(COUNTIFS(実績!$W$6:$W$505,AG$3,実績!$AI$6:$AI$505,"&lt;="&amp;$A254,実績!$AJ$6:$AJ$505,"&gt;"&amp;$A254,実績!$AL$6:$AL$505,"○")&gt;0,1,0))</f>
        <v>0</v>
      </c>
      <c r="AH254" s="39" t="n">
        <f aca="false">IF(AH$4=0,0,IF(COUNTIFS(実績!$W$6:$W$505,AH$3,実績!$AI$6:$AI$505,"&lt;="&amp;$A254,実績!$AJ$6:$AJ$505,"&gt;"&amp;$A254,実績!$AL$6:$AL$505,"○")&gt;0,1,0))</f>
        <v>0</v>
      </c>
      <c r="AI254" s="39" t="n">
        <f aca="false">IF(AI$4=0,0,IF(COUNTIFS(実績!$W$6:$W$505,AI$3,実績!$AI$6:$AI$505,"&lt;="&amp;$A254,実績!$AJ$6:$AJ$505,"&gt;"&amp;$A254,実績!$AL$6:$AL$505,"○")&gt;0,1,0))</f>
        <v>0</v>
      </c>
      <c r="AJ254" s="39" t="n">
        <f aca="false">IF(AJ$4=0,0,IF(COUNTIFS(実績!$W$6:$W$505,AJ$3,実績!$AI$6:$AI$505,"&lt;="&amp;$A254,実績!$AJ$6:$AJ$505,"&gt;"&amp;$A254,実績!$AL$6:$AL$505,"○")&gt;0,1,0))</f>
        <v>0</v>
      </c>
      <c r="AK254" s="39" t="n">
        <f aca="false">IF(AK$4=0,0,IF(COUNTIFS(実績!$W$6:$W$505,AK$3,実績!$AI$6:$AI$505,"&lt;="&amp;$A254,実績!$AJ$6:$AJ$505,"&gt;"&amp;$A254,実績!$AL$6:$AL$505,"○")&gt;0,1,0))</f>
        <v>0</v>
      </c>
      <c r="AL254" s="39" t="n">
        <f aca="false">IF(AL$4=0,0,IF(COUNTIFS(実績!$W$6:$W$505,AL$3,実績!$AI$6:$AI$505,"&lt;="&amp;$A254,実績!$AJ$6:$AJ$505,"&gt;"&amp;$A254,実績!$AL$6:$AL$505,"○")&gt;0,1,0))</f>
        <v>0</v>
      </c>
      <c r="AM254" s="39" t="n">
        <f aca="false">IF(AM$4=0,0,IF(COUNTIFS(実績!$W$6:$W$505,AM$3,実績!$AI$6:$AI$505,"&lt;="&amp;$A254,実績!$AJ$6:$AJ$505,"&gt;"&amp;$A254,実績!$AL$6:$AL$505,"○")&gt;0,1,0))</f>
        <v>0</v>
      </c>
      <c r="AN254" s="39" t="n">
        <f aca="false">IF(AN$4=0,0,IF(COUNTIFS(実績!$W$6:$W$505,AN$3,実績!$AI$6:$AI$505,"&lt;="&amp;$A254,実績!$AJ$6:$AJ$505,"&gt;"&amp;$A254,実績!$AL$6:$AL$505,"○")&gt;0,1,0))</f>
        <v>0</v>
      </c>
      <c r="AO254" s="39" t="n">
        <f aca="false">IF(AO$4=0,0,IF(COUNTIFS(実績!$W$6:$W$505,AO$3,実績!$AI$6:$AI$505,"&lt;="&amp;$A254,実績!$AJ$6:$AJ$505,"&gt;"&amp;$A254,実績!$AL$6:$AL$505,"○")&gt;0,1,0))</f>
        <v>0</v>
      </c>
      <c r="AP254" s="39" t="n">
        <f aca="false">IF(AP$4=0,0,IF(COUNTIFS(実績!$W$6:$W$505,AP$3,実績!$AI$6:$AI$505,"&lt;="&amp;$A254,実績!$AJ$6:$AJ$505,"&gt;"&amp;$A254,実績!$AL$6:$AL$505,"○")&gt;0,1,0))</f>
        <v>0</v>
      </c>
      <c r="AQ254" s="39" t="n">
        <f aca="false">IF(AQ$4=0,0,IF(COUNTIFS(実績!$W$6:$W$505,AQ$3,実績!$AI$6:$AI$505,"&lt;="&amp;$A254,実績!$AJ$6:$AJ$505,"&gt;"&amp;$A254,実績!$AL$6:$AL$505,"○")&gt;0,1,0))</f>
        <v>0</v>
      </c>
      <c r="AR254" s="39" t="n">
        <f aca="false">IF(AR$4=0,0,IF(COUNTIFS(実績!$W$6:$W$505,AR$3,実績!$AI$6:$AI$505,"&lt;="&amp;$A254,実績!$AJ$6:$AJ$505,"&gt;"&amp;$A254,実績!$AL$6:$AL$505,"○")&gt;0,1,0))</f>
        <v>0</v>
      </c>
      <c r="AS254" s="39" t="n">
        <f aca="false">IF(AS$4=0,0,IF(COUNTIFS(実績!$W$6:$W$505,AS$3,実績!$AI$6:$AI$505,"&lt;="&amp;$A254,実績!$AJ$6:$AJ$505,"&gt;"&amp;$A254,実績!$AL$6:$AL$505,"○")&gt;0,1,0))</f>
        <v>0</v>
      </c>
      <c r="AT254" s="39" t="n">
        <f aca="false">IF(AT$4=0,0,IF(COUNTIFS(実績!$W$6:$W$505,AT$3,実績!$AI$6:$AI$505,"&lt;="&amp;$A254,実績!$AJ$6:$AJ$505,"&gt;"&amp;$A254,実績!$AL$6:$AL$505,"○")&gt;0,1,0))</f>
        <v>0</v>
      </c>
      <c r="AU254" s="39" t="n">
        <f aca="false">IF(AU$4=0,0,IF(COUNTIFS(実績!$W$6:$W$505,AU$3,実績!$AI$6:$AI$505,"&lt;="&amp;$A254,実績!$AJ$6:$AJ$505,"&gt;"&amp;$A254,実績!$AL$6:$AL$505,"○")&gt;0,1,0))</f>
        <v>0</v>
      </c>
      <c r="AV254" s="39" t="n">
        <f aca="false">IF(AV$4=0,0,IF(COUNTIFS(実績!$W$6:$W$505,AV$3,実績!$AI$6:$AI$505,"&lt;="&amp;$A254,実績!$AJ$6:$AJ$505,"&gt;"&amp;$A254,実績!$AL$6:$AL$505,"○")&gt;0,1,0))</f>
        <v>0</v>
      </c>
      <c r="AW254" s="39" t="n">
        <f aca="false">IF(AW$4=0,0,IF(COUNTIFS(実績!$W$6:$W$505,AW$3,実績!$AI$6:$AI$505,"&lt;="&amp;$A254,実績!$AJ$6:$AJ$505,"&gt;"&amp;$A254,実績!$AL$6:$AL$505,"○")&gt;0,1,0))</f>
        <v>0</v>
      </c>
      <c r="AX254" s="39" t="n">
        <f aca="false">IF(AX$4=0,0,IF(COUNTIFS(実績!$W$6:$W$505,AX$3,実績!$AI$6:$AI$505,"&lt;="&amp;$A254,実績!$AJ$6:$AJ$505,"&gt;"&amp;$A254,実績!$AL$6:$AL$505,"○")&gt;0,1,0))</f>
        <v>0</v>
      </c>
      <c r="AY254" s="39" t="n">
        <f aca="false">IF(AY$4=0,0,IF(COUNTIFS(実績!$W$6:$W$505,AY$3,実績!$AI$6:$AI$505,"&lt;="&amp;$A254,実績!$AJ$6:$AJ$505,"&gt;"&amp;$A254,実績!$AL$6:$AL$505,"○")&gt;0,1,0))</f>
        <v>0</v>
      </c>
      <c r="AZ254" s="39" t="n">
        <f aca="false">IF(AZ$4=0,0,IF(COUNTIFS(実績!$W$6:$W$505,AZ$3,実績!$AI$6:$AI$505,"&lt;="&amp;$A254,実績!$AJ$6:$AJ$505,"&gt;"&amp;$A254,実績!$AL$6:$AL$505,"○")&gt;0,1,0))</f>
        <v>0</v>
      </c>
      <c r="BA254" s="39" t="n">
        <f aca="false">IF(BA$4=0,0,IF(COUNTIFS(実績!$W$6:$W$505,BA$3,実績!$AI$6:$AI$505,"&lt;="&amp;$A254,実績!$AJ$6:$AJ$505,"&gt;"&amp;$A254,実績!$AL$6:$AL$505,"○")&gt;0,1,0))</f>
        <v>0</v>
      </c>
      <c r="BB254" s="39" t="n">
        <f aca="false">IF(BB$4=0,0,IF(COUNTIFS(実績!$W$6:$W$505,BB$3,実績!$AI$6:$AI$505,"&lt;="&amp;$A254,実績!$AJ$6:$AJ$505,"&gt;"&amp;$A254,実績!$AL$6:$AL$505,"○")&gt;0,1,0))</f>
        <v>0</v>
      </c>
      <c r="BC254" s="39" t="n">
        <f aca="false">IF(BC$4=0,0,IF(COUNTIFS(実績!$W$6:$W$505,BC$3,実績!$AI$6:$AI$505,"&lt;="&amp;$A254,実績!$AJ$6:$AJ$505,"&gt;"&amp;$A254,実績!$AL$6:$AL$505,"○")&gt;0,1,0))</f>
        <v>0</v>
      </c>
      <c r="BD254" s="39" t="n">
        <f aca="false">IF(BD$4=0,0,IF(COUNTIFS(実績!$W$6:$W$505,BD$3,実績!$AI$6:$AI$505,"&lt;="&amp;$A254,実績!$AJ$6:$AJ$505,"&gt;"&amp;$A254,実績!$AL$6:$AL$505,"○")&gt;0,1,0))</f>
        <v>0</v>
      </c>
      <c r="BE254" s="39" t="n">
        <f aca="false">IF(BE$4=0,0,IF(COUNTIFS(実績!$W$6:$W$505,BE$3,実績!$AI$6:$AI$505,"&lt;="&amp;$A254,実績!$AJ$6:$AJ$505,"&gt;"&amp;$A254,実績!$AL$6:$AL$505,"○")&gt;0,1,0))</f>
        <v>0</v>
      </c>
      <c r="BF254" s="39" t="n">
        <f aca="false">IF(BF$4=0,0,IF(COUNTIFS(実績!$W$6:$W$505,BF$3,実績!$AI$6:$AI$505,"&lt;="&amp;$A254,実績!$AJ$6:$AJ$505,"&gt;"&amp;$A254,実績!$AL$6:$AL$505,"○")&gt;0,1,0))</f>
        <v>0</v>
      </c>
      <c r="BG254" s="39" t="n">
        <f aca="false">IF(BG$4=0,0,IF(COUNTIFS(実績!$W$6:$W$505,BG$3,実績!$AI$6:$AI$505,"&lt;="&amp;$A254,実績!$AJ$6:$AJ$505,"&gt;"&amp;$A254,実績!$AL$6:$AL$505,"○")&gt;0,1,0))</f>
        <v>0</v>
      </c>
      <c r="BH254" s="39" t="n">
        <f aca="false">IF(BH$4=0,0,IF(COUNTIFS(実績!$W$6:$W$505,BH$3,実績!$AI$6:$AI$505,"&lt;="&amp;$A254,実績!$AJ$6:$AJ$505,"&gt;"&amp;$A254,実績!$AL$6:$AL$505,"○")&gt;0,1,0))</f>
        <v>0</v>
      </c>
      <c r="BI254" s="39" t="n">
        <f aca="false">IF(BI$4=0,0,IF(COUNTIFS(実績!$W$6:$W$505,BI$3,実績!$AI$6:$AI$505,"&lt;="&amp;$A254,実績!$AJ$6:$AJ$505,"&gt;"&amp;$A254,実績!$AL$6:$AL$505,"○")&gt;0,1,0))</f>
        <v>0</v>
      </c>
      <c r="BJ254" s="39" t="n">
        <f aca="false">IF(BJ$4=0,0,IF(COUNTIFS(実績!$W$6:$W$505,BJ$3,実績!$AI$6:$AI$505,"&lt;="&amp;$A254,実績!$AJ$6:$AJ$505,"&gt;"&amp;$A254,実績!$AL$6:$AL$505,"○")&gt;0,1,0))</f>
        <v>0</v>
      </c>
      <c r="BK254" s="39" t="n">
        <f aca="false">IF(BK$4=0,0,IF(COUNTIFS(実績!$W$6:$W$505,BK$3,実績!$AI$6:$AI$505,"&lt;="&amp;$A254,実績!$AJ$6:$AJ$505,"&gt;"&amp;$A254,実績!$AL$6:$AL$505,"○")&gt;0,1,0))</f>
        <v>0</v>
      </c>
      <c r="BL254" s="39" t="n">
        <f aca="false">IF(BL$4=0,0,IF(COUNTIFS(実績!$W$6:$W$505,BL$3,実績!$AI$6:$AI$505,"&lt;="&amp;$A254,実績!$AJ$6:$AJ$505,"&gt;"&amp;$A254,実績!$AL$6:$AL$505,"○")&gt;0,1,0))</f>
        <v>0</v>
      </c>
      <c r="BM254" s="39" t="n">
        <f aca="false">IF(BM$4=0,0,IF(COUNTIFS(実績!$W$6:$W$505,BM$3,実績!$AI$6:$AI$505,"&lt;="&amp;$A254,実績!$AJ$6:$AJ$505,"&gt;"&amp;$A254,実績!$AL$6:$AL$505,"○")&gt;0,1,0))</f>
        <v>0</v>
      </c>
      <c r="BN254" s="39" t="n">
        <f aca="false">IF(BN$4=0,0,IF(COUNTIFS(実績!$W$6:$W$505,BN$3,実績!$AI$6:$AI$505,"&lt;="&amp;$A254,実績!$AJ$6:$AJ$505,"&gt;"&amp;$A254,実績!$AL$6:$AL$505,"○")&gt;0,1,0))</f>
        <v>0</v>
      </c>
      <c r="BO254" s="39" t="n">
        <f aca="false">IF(BO$4=0,0,IF(COUNTIFS(実績!$W$6:$W$505,BO$3,実績!$AI$6:$AI$505,"&lt;="&amp;$A254,実績!$AJ$6:$AJ$505,"&gt;"&amp;$A254,実績!$AL$6:$AL$505,"○")&gt;0,1,0))</f>
        <v>0</v>
      </c>
      <c r="BP254" s="39" t="n">
        <f aca="false">IF(BP$4=0,0,IF(COUNTIFS(実績!$W$6:$W$505,BP$3,実績!$AI$6:$AI$505,"&lt;="&amp;$A254,実績!$AJ$6:$AJ$505,"&gt;"&amp;$A254,実績!$AL$6:$AL$505,"○")&gt;0,1,0))</f>
        <v>0</v>
      </c>
      <c r="BQ254" s="39" t="n">
        <f aca="false">IF(BQ$4=0,0,IF(COUNTIFS(実績!$W$6:$W$505,BQ$3,実績!$AI$6:$AI$505,"&lt;="&amp;$A254,実績!$AJ$6:$AJ$505,"&gt;"&amp;$A254,実績!$AL$6:$AL$505,"○")&gt;0,1,0))</f>
        <v>0</v>
      </c>
      <c r="BR254" s="39" t="n">
        <f aca="false">IF(BR$4=0,0,IF(COUNTIFS(実績!$W$6:$W$505,BR$3,実績!$AI$6:$AI$505,"&lt;="&amp;$A254,実績!$AJ$6:$AJ$505,"&gt;"&amp;$A254,実績!$AL$6:$AL$505,"○")&gt;0,1,0))</f>
        <v>0</v>
      </c>
      <c r="BS254" s="39" t="n">
        <f aca="false">IF(BS$4=0,0,IF(COUNTIFS(実績!$W$6:$W$505,BS$3,実績!$AI$6:$AI$505,"&lt;="&amp;$A254,実績!$AJ$6:$AJ$505,"&gt;"&amp;$A254,実績!$AL$6:$AL$505,"○")&gt;0,1,0))</f>
        <v>0</v>
      </c>
      <c r="BT254" s="39" t="n">
        <f aca="false">IF(BT$4=0,0,IF(COUNTIFS(実績!$W$6:$W$505,BT$3,実績!$AI$6:$AI$505,"&lt;="&amp;$A254,実績!$AJ$6:$AJ$505,"&gt;"&amp;$A254,実績!$AL$6:$AL$505,"○")&gt;0,1,0))</f>
        <v>0</v>
      </c>
      <c r="BU254" s="39" t="n">
        <f aca="false">IF(BU$4=0,0,IF(COUNTIFS(実績!$W$6:$W$505,BU$3,実績!$AI$6:$AI$505,"&lt;="&amp;$A254,実績!$AJ$6:$AJ$505,"&gt;"&amp;$A254,実績!$AL$6:$AL$505,"○")&gt;0,1,0))</f>
        <v>0</v>
      </c>
      <c r="BV254" s="39" t="n">
        <f aca="false">IF(BV$4=0,0,IF(COUNTIFS(実績!$W$6:$W$505,BV$3,実績!$AI$6:$AI$505,"&lt;="&amp;$A254,実績!$AJ$6:$AJ$505,"&gt;"&amp;$A254,実績!$AL$6:$AL$505,"○")&gt;0,1,0))</f>
        <v>0</v>
      </c>
      <c r="BW254" s="39" t="n">
        <f aca="false">IF(BW$4=0,0,IF(COUNTIFS(実績!$W$6:$W$505,BW$3,実績!$AI$6:$AI$505,"&lt;="&amp;$A254,実績!$AJ$6:$AJ$505,"&gt;"&amp;$A254,実績!$AL$6:$AL$505,"○")&gt;0,1,0))</f>
        <v>0</v>
      </c>
      <c r="BX254" s="39" t="n">
        <f aca="false">IF(BX$4=0,0,IF(COUNTIFS(実績!$W$6:$W$505,BX$3,実績!$AI$6:$AI$505,"&lt;="&amp;$A254,実績!$AJ$6:$AJ$505,"&gt;"&amp;$A254,実績!$AL$6:$AL$505,"○")&gt;0,1,0))</f>
        <v>0</v>
      </c>
      <c r="BY254" s="39" t="n">
        <f aca="false">IF(BY$4=0,0,IF(COUNTIFS(実績!$W$6:$W$505,BY$3,実績!$AI$6:$AI$505,"&lt;="&amp;$A254,実績!$AJ$6:$AJ$505,"&gt;"&amp;$A254,実績!$AL$6:$AL$505,"○")&gt;0,1,0))</f>
        <v>0</v>
      </c>
      <c r="BZ254" s="39" t="n">
        <f aca="false">IF(BZ$4=0,0,IF(COUNTIFS(実績!$W$6:$W$505,BZ$3,実績!$AI$6:$AI$505,"&lt;="&amp;$A254,実績!$AJ$6:$AJ$505,"&gt;"&amp;$A254,実績!$AL$6:$AL$505,"○")&gt;0,1,0))</f>
        <v>0</v>
      </c>
      <c r="CA254" s="39" t="n">
        <f aca="false">IF(CA$4=0,0,IF(COUNTIFS(実績!$W$6:$W$505,CA$3,実績!$AI$6:$AI$505,"&lt;="&amp;$A254,実績!$AJ$6:$AJ$505,"&gt;"&amp;$A254,実績!$AL$6:$AL$505,"○")&gt;0,1,0))</f>
        <v>0</v>
      </c>
      <c r="CB254" s="39" t="n">
        <f aca="false">IF(CB$4=0,0,IF(COUNTIFS(実績!$W$6:$W$505,CB$3,実績!$AI$6:$AI$505,"&lt;="&amp;$A254,実績!$AJ$6:$AJ$505,"&gt;"&amp;$A254,実績!$AL$6:$AL$505,"○")&gt;0,1,0))</f>
        <v>0</v>
      </c>
      <c r="CC254" s="39" t="n">
        <f aca="false">IF(CC$4=0,0,IF(COUNTIFS(実績!$W$6:$W$505,CC$3,実績!$AI$6:$AI$505,"&lt;="&amp;$A254,実績!$AJ$6:$AJ$505,"&gt;"&amp;$A254,実績!$AL$6:$AL$505,"○")&gt;0,1,0))</f>
        <v>0</v>
      </c>
      <c r="CD254" s="39" t="n">
        <f aca="false">IF(CD$4=0,0,IF(COUNTIFS(実績!$W$6:$W$505,CD$3,実績!$AI$6:$AI$505,"&lt;="&amp;$A254,実績!$AJ$6:$AJ$505,"&gt;"&amp;$A254,実績!$AL$6:$AL$505,"○")&gt;0,1,0))</f>
        <v>0</v>
      </c>
      <c r="CE254" s="39" t="n">
        <f aca="false">IF(CE$4=0,0,IF(COUNTIFS(実績!$W$6:$W$505,CE$3,実績!$AI$6:$AI$505,"&lt;="&amp;$A254,実績!$AJ$6:$AJ$505,"&gt;"&amp;$A254,実績!$AL$6:$AL$505,"○")&gt;0,1,0))</f>
        <v>0</v>
      </c>
      <c r="CF254" s="39" t="n">
        <f aca="false">IF(CF$4=0,0,IF(COUNTIFS(実績!$W$6:$W$505,CF$3,実績!$AI$6:$AI$505,"&lt;="&amp;$A254,実績!$AJ$6:$AJ$505,"&gt;"&amp;$A254,実績!$AL$6:$AL$505,"○")&gt;0,1,0))</f>
        <v>0</v>
      </c>
      <c r="CG254" s="39" t="n">
        <f aca="false">IF(CG$4=0,0,IF(COUNTIFS(実績!$W$6:$W$505,CG$3,実績!$AI$6:$AI$505,"&lt;="&amp;$A254,実績!$AJ$6:$AJ$505,"&gt;"&amp;$A254,実績!$AL$6:$AL$505,"○")&gt;0,1,0))</f>
        <v>0</v>
      </c>
      <c r="CH254" s="39" t="n">
        <f aca="false">IF(CH$4=0,0,IF(COUNTIFS(実績!$W$6:$W$505,CH$3,実績!$AI$6:$AI$505,"&lt;="&amp;$A254,実績!$AJ$6:$AJ$505,"&gt;"&amp;$A254,実績!$AL$6:$AL$505,"○")&gt;0,1,0))</f>
        <v>0</v>
      </c>
      <c r="CI254" s="39" t="n">
        <f aca="false">IF(CI$4=0,0,IF(COUNTIFS(実績!$W$6:$W$505,CI$3,実績!$AI$6:$AI$505,"&lt;="&amp;$A254,実績!$AJ$6:$AJ$505,"&gt;"&amp;$A254,実績!$AL$6:$AL$505,"○")&gt;0,1,0))</f>
        <v>0</v>
      </c>
      <c r="CJ254" s="39" t="n">
        <f aca="false">IF(CJ$4=0,0,IF(COUNTIFS(実績!$W$6:$W$505,CJ$3,実績!$AI$6:$AI$505,"&lt;="&amp;$A254,実績!$AJ$6:$AJ$505,"&gt;"&amp;$A254,実績!$AL$6:$AL$505,"○")&gt;0,1,0))</f>
        <v>0</v>
      </c>
      <c r="CK254" s="39" t="n">
        <f aca="false">IF(CK$4=0,0,IF(COUNTIFS(実績!$W$6:$W$505,CK$3,実績!$AI$6:$AI$505,"&lt;="&amp;$A254,実績!$AJ$6:$AJ$505,"&gt;"&amp;$A254,実績!$AL$6:$AL$505,"○")&gt;0,1,0))</f>
        <v>0</v>
      </c>
      <c r="CL254" s="39" t="n">
        <f aca="false">IF(CL$4=0,0,IF(COUNTIFS(実績!$W$6:$W$505,CL$3,実績!$AI$6:$AI$505,"&lt;="&amp;$A254,実績!$AJ$6:$AJ$505,"&gt;"&amp;$A254,実績!$AL$6:$AL$505,"○")&gt;0,1,0))</f>
        <v>0</v>
      </c>
      <c r="CM254" s="39" t="n">
        <f aca="false">IF(CM$4=0,0,IF(COUNTIFS(実績!$W$6:$W$505,CM$3,実績!$AI$6:$AI$505,"&lt;="&amp;$A254,実績!$AJ$6:$AJ$505,"&gt;"&amp;$A254,実績!$AL$6:$AL$505,"○")&gt;0,1,0))</f>
        <v>0</v>
      </c>
      <c r="CN254" s="39" t="n">
        <f aca="false">IF(CN$4=0,0,IF(COUNTIFS(実績!$W$6:$W$505,CN$3,実績!$AI$6:$AI$505,"&lt;="&amp;$A254,実績!$AJ$6:$AJ$505,"&gt;"&amp;$A254,実績!$AL$6:$AL$505,"○")&gt;0,1,0))</f>
        <v>0</v>
      </c>
      <c r="CO254" s="39" t="n">
        <f aca="false">IF(CO$4=0,0,IF(COUNTIFS(実績!$W$6:$W$505,CO$3,実績!$AI$6:$AI$505,"&lt;="&amp;$A254,実績!$AJ$6:$AJ$505,"&gt;"&amp;$A254,実績!$AL$6:$AL$505,"○")&gt;0,1,0))</f>
        <v>0</v>
      </c>
      <c r="CP254" s="39" t="n">
        <f aca="false">IF(CP$4=0,0,IF(COUNTIFS(実績!$W$6:$W$505,CP$3,実績!$AI$6:$AI$505,"&lt;="&amp;$A254,実績!$AJ$6:$AJ$505,"&gt;"&amp;$A254,実績!$AL$6:$AL$505,"○")&gt;0,1,0))</f>
        <v>0</v>
      </c>
      <c r="CQ254" s="39" t="n">
        <f aca="false">IF(CQ$4=0,0,IF(COUNTIFS(実績!$W$6:$W$505,CQ$3,実績!$AI$6:$AI$505,"&lt;="&amp;$A254,実績!$AJ$6:$AJ$505,"&gt;"&amp;$A254,実績!$AL$6:$AL$505,"○")&gt;0,1,0))</f>
        <v>0</v>
      </c>
      <c r="CR254" s="39" t="n">
        <f aca="false">IF(CR$4=0,0,IF(COUNTIFS(実績!$W$6:$W$505,CR$3,実績!$AI$6:$AI$505,"&lt;="&amp;$A254,実績!$AJ$6:$AJ$505,"&gt;"&amp;$A254,実績!$AL$6:$AL$505,"○")&gt;0,1,0))</f>
        <v>0</v>
      </c>
      <c r="CS254" s="39" t="n">
        <f aca="false">IF(CS$4=0,0,IF(COUNTIFS(実績!$W$6:$W$505,CS$3,実績!$AI$6:$AI$505,"&lt;="&amp;$A254,実績!$AJ$6:$AJ$505,"&gt;"&amp;$A254,実績!$AL$6:$AL$505,"○")&gt;0,1,0))</f>
        <v>0</v>
      </c>
      <c r="CT254" s="39" t="n">
        <f aca="false">IF(CT$4=0,0,IF(COUNTIFS(実績!$W$6:$W$505,CT$3,実績!$AI$6:$AI$505,"&lt;="&amp;$A254,実績!$AJ$6:$AJ$505,"&gt;"&amp;$A254,実績!$AL$6:$AL$505,"○")&gt;0,1,0))</f>
        <v>0</v>
      </c>
      <c r="CU254" s="39" t="n">
        <f aca="false">IF(CU$4=0,0,IF(COUNTIFS(実績!$W$6:$W$505,CU$3,実績!$AI$6:$AI$505,"&lt;="&amp;$A254,実績!$AJ$6:$AJ$505,"&gt;"&amp;$A254,実績!$AL$6:$AL$505,"○")&gt;0,1,0))</f>
        <v>0</v>
      </c>
      <c r="CV254" s="39" t="n">
        <f aca="false">IF(CV$4=0,0,IF(COUNTIFS(実績!$W$6:$W$505,CV$3,実績!$AI$6:$AI$505,"&lt;="&amp;$A254,実績!$AJ$6:$AJ$505,"&gt;"&amp;$A254,実績!$AL$6:$AL$505,"○")&gt;0,1,0))</f>
        <v>0</v>
      </c>
      <c r="CW254" s="39" t="n">
        <f aca="false">IF(CW$4=0,0,IF(COUNTIFS(実績!$W$6:$W$505,CW$3,実績!$AI$6:$AI$505,"&lt;="&amp;$A254,実績!$AJ$6:$AJ$505,"&gt;"&amp;$A254,実績!$AL$6:$AL$505,"○")&gt;0,1,0))</f>
        <v>0</v>
      </c>
      <c r="CX254" s="39" t="n">
        <f aca="false">IF(CX$4=0,0,IF(COUNTIFS(実績!$W$6:$W$505,CX$3,実績!$AI$6:$AI$505,"&lt;="&amp;$A254,実績!$AJ$6:$AJ$505,"&gt;"&amp;$A254,実績!$AL$6:$AL$505,"○")&gt;0,1,0))</f>
        <v>0</v>
      </c>
      <c r="CY254" s="39" t="n">
        <f aca="false">IF(CY$4=0,0,IF(COUNTIFS(実績!$W$6:$W$505,CY$3,実績!$AI$6:$AI$505,"&lt;="&amp;$A254,実績!$AJ$6:$AJ$505,"&gt;"&amp;$A254,実績!$AL$6:$AL$505,"○")&gt;0,1,0))</f>
        <v>0</v>
      </c>
      <c r="CZ254" s="39" t="n">
        <f aca="false">IF(CZ$4=0,0,IF(COUNTIFS(実績!$W$6:$W$505,CZ$3,実績!$AI$6:$AI$505,"&lt;="&amp;$A254,実績!$AJ$6:$AJ$505,"&gt;"&amp;$A254,実績!$AL$6:$AL$505,"○")&gt;0,1,0))</f>
        <v>0</v>
      </c>
      <c r="DA254" s="39" t="n">
        <f aca="false">IF(DA$4=0,0,IF(COUNTIFS(実績!$W$6:$W$505,DA$3,実績!$AI$6:$AI$505,"&lt;="&amp;$A254,実績!$AJ$6:$AJ$505,"&gt;"&amp;$A254,実績!$AL$6:$AL$505,"○")&gt;0,1,0))</f>
        <v>0</v>
      </c>
      <c r="DB254" s="39" t="n">
        <f aca="false">IF(DB$4=0,0,IF(COUNTIFS(実績!$W$6:$W$505,DB$3,実績!$AI$6:$AI$505,"&lt;="&amp;$A254,実績!$AJ$6:$AJ$505,"&gt;"&amp;$A254,実績!$AL$6:$AL$505,"○")&gt;0,1,0))</f>
        <v>0</v>
      </c>
      <c r="DC254" s="39" t="n">
        <f aca="false">IF(DC$4=0,0,IF(COUNTIFS(実績!$W$6:$W$505,DC$3,実績!$AI$6:$AI$505,"&lt;="&amp;$A254,実績!$AJ$6:$AJ$505,"&gt;"&amp;$A254,実績!$AL$6:$AL$505,"○")&gt;0,1,0))</f>
        <v>0</v>
      </c>
      <c r="DD254" s="39" t="n">
        <f aca="false">IF(DD$4=0,0,IF(COUNTIFS(実績!$W$6:$W$505,DD$3,実績!$AI$6:$AI$505,"&lt;="&amp;$A254,実績!$AJ$6:$AJ$505,"&gt;"&amp;$A254,実績!$AL$6:$AL$505,"○")&gt;0,1,0))</f>
        <v>0</v>
      </c>
      <c r="DE254" s="39" t="n">
        <f aca="false">IF(DE$4=0,0,IF(COUNTIFS(実績!$W$6:$W$505,DE$3,実績!$AI$6:$AI$505,"&lt;="&amp;$A254,実績!$AJ$6:$AJ$505,"&gt;"&amp;$A254,実績!$AL$6:$AL$505,"○")&gt;0,1,0))</f>
        <v>0</v>
      </c>
      <c r="DF254" s="39" t="n">
        <f aca="false">IF(DF$4=0,0,IF(COUNTIFS(実績!$W$6:$W$505,DF$3,実績!$AI$6:$AI$505,"&lt;="&amp;$A254,実績!$AJ$6:$AJ$505,"&gt;"&amp;$A254,実績!$AL$6:$AL$505,"○")&gt;0,1,0))</f>
        <v>0</v>
      </c>
      <c r="DG254" s="39" t="n">
        <f aca="false">IF(DG$4=0,0,IF(COUNTIFS(実績!$W$6:$W$505,DG$3,実績!$AI$6:$AI$505,"&lt;="&amp;$A254,実績!$AJ$6:$AJ$505,"&gt;"&amp;$A254,実績!$AL$6:$AL$505,"○")&gt;0,1,0))</f>
        <v>0</v>
      </c>
      <c r="DH254" s="39" t="n">
        <f aca="false">IF(DH$4=0,0,IF(COUNTIFS(実績!$W$6:$W$505,DH$3,実績!$AI$6:$AI$505,"&lt;="&amp;$A254,実績!$AJ$6:$AJ$505,"&gt;"&amp;$A254,実績!$AL$6:$AL$505,"○")&gt;0,1,0))</f>
        <v>0</v>
      </c>
      <c r="DI254" s="39" t="n">
        <f aca="false">IF(DI$4=0,0,IF(COUNTIFS(実績!$W$6:$W$505,DI$3,実績!$AI$6:$AI$505,"&lt;="&amp;$A254,実績!$AJ$6:$AJ$505,"&gt;"&amp;$A254,実績!$AL$6:$AL$505,"○")&gt;0,1,0))</f>
        <v>0</v>
      </c>
      <c r="DJ254" s="39" t="n">
        <f aca="false">IF(DJ$4=0,0,IF(COUNTIFS(実績!$W$6:$W$505,DJ$3,実績!$AI$6:$AI$505,"&lt;="&amp;$A254,実績!$AJ$6:$AJ$505,"&gt;"&amp;$A254,実績!$AL$6:$AL$505,"○")&gt;0,1,0))</f>
        <v>0</v>
      </c>
      <c r="DK254" s="39" t="n">
        <f aca="false">IF(DK$4=0,0,IF(COUNTIFS(実績!$W$6:$W$505,DK$3,実績!$AI$6:$AI$505,"&lt;="&amp;$A254,実績!$AJ$6:$AJ$505,"&gt;"&amp;$A254,実績!$AL$6:$AL$505,"○")&gt;0,1,0))</f>
        <v>0</v>
      </c>
      <c r="DL254" s="39" t="n">
        <f aca="false">IF(DL$4=0,0,IF(COUNTIFS(実績!$W$6:$W$505,DL$3,実績!$AI$6:$AI$505,"&lt;="&amp;$A254,実績!$AJ$6:$AJ$505,"&gt;"&amp;$A254,実績!$AL$6:$AL$505,"○")&gt;0,1,0))</f>
        <v>0</v>
      </c>
      <c r="DM254" s="39" t="n">
        <f aca="false">IF(DM$4=0,0,IF(COUNTIFS(実績!$W$6:$W$505,DM$3,実績!$AI$6:$AI$505,"&lt;="&amp;$A254,実績!$AJ$6:$AJ$505,"&gt;"&amp;$A254,実績!$AL$6:$AL$505,"○")&gt;0,1,0))</f>
        <v>0</v>
      </c>
      <c r="DN254" s="39" t="n">
        <f aca="false">IF(DN$4=0,0,IF(COUNTIFS(実績!$W$6:$W$505,DN$3,実績!$AI$6:$AI$505,"&lt;="&amp;$A254,実績!$AJ$6:$AJ$505,"&gt;"&amp;$A254,実績!$AL$6:$AL$505,"○")&gt;0,1,0))</f>
        <v>0</v>
      </c>
      <c r="DO254" s="39" t="n">
        <f aca="false">IF(DO$4=0,0,IF(COUNTIFS(実績!$W$6:$W$505,DO$3,実績!$AI$6:$AI$505,"&lt;="&amp;$A254,実績!$AJ$6:$AJ$505,"&gt;"&amp;$A254,実績!$AL$6:$AL$505,"○")&gt;0,1,0))</f>
        <v>0</v>
      </c>
      <c r="DP254" s="39" t="n">
        <f aca="false">IF(DP$4=0,0,IF(COUNTIFS(実績!$W$6:$W$505,DP$3,実績!$AI$6:$AI$505,"&lt;="&amp;$A254,実績!$AJ$6:$AJ$505,"&gt;"&amp;$A254,実績!$AL$6:$AL$505,"○")&gt;0,1,0))</f>
        <v>0</v>
      </c>
      <c r="DQ254" s="39" t="n">
        <f aca="false">IF(DQ$4=0,0,IF(COUNTIFS(実績!$W$6:$W$505,DQ$3,実績!$AI$6:$AI$505,"&lt;="&amp;$A254,実績!$AJ$6:$AJ$505,"&gt;"&amp;$A254,実績!$AL$6:$AL$505,"○")&gt;0,1,0))</f>
        <v>0</v>
      </c>
      <c r="DR254" s="39" t="n">
        <f aca="false">IF(DR$4=0,0,IF(COUNTIFS(実績!$W$6:$W$505,DR$3,実績!$AI$6:$AI$505,"&lt;="&amp;$A254,実績!$AJ$6:$AJ$505,"&gt;"&amp;$A254,実績!$AL$6:$AL$505,"○")&gt;0,1,0))</f>
        <v>0</v>
      </c>
      <c r="DS254" s="39" t="n">
        <f aca="false">SUM(C254:DR254)</f>
        <v>0</v>
      </c>
    </row>
    <row r="255" customFormat="false" ht="15" hidden="false" customHeight="false" outlineLevel="0" collapsed="false">
      <c r="A255" s="0" t="n">
        <v>1245</v>
      </c>
      <c r="B255" s="38" t="n">
        <f aca="false">A255/1440</f>
        <v>0.864583333333333</v>
      </c>
      <c r="C255" s="39" t="n">
        <f aca="false">IF(C$4=0,0,IF(COUNTIFS(実績!$W$6:$W$505,C$3,実績!$AI$6:$AI$505,"&lt;="&amp;$A255,実績!$AJ$6:$AJ$505,"&gt;"&amp;$A255,実績!$AL$6:$AL$505,"○")&gt;0,1,0))</f>
        <v>0</v>
      </c>
      <c r="D255" s="39" t="n">
        <f aca="false">IF(D$4=0,0,IF(COUNTIFS(実績!$W$6:$W$505,D$3,実績!$AI$6:$AI$505,"&lt;="&amp;$A255,実績!$AJ$6:$AJ$505,"&gt;"&amp;$A255,実績!$AL$6:$AL$505,"○")&gt;0,1,0))</f>
        <v>0</v>
      </c>
      <c r="E255" s="39" t="n">
        <f aca="false">IF(E$4=0,0,IF(COUNTIFS(実績!$W$6:$W$505,E$3,実績!$AI$6:$AI$505,"&lt;="&amp;$A255,実績!$AJ$6:$AJ$505,"&gt;"&amp;$A255,実績!$AL$6:$AL$505,"○")&gt;0,1,0))</f>
        <v>0</v>
      </c>
      <c r="F255" s="39" t="n">
        <f aca="false">IF(F$4=0,0,IF(COUNTIFS(実績!$W$6:$W$505,F$3,実績!$AI$6:$AI$505,"&lt;="&amp;$A255,実績!$AJ$6:$AJ$505,"&gt;"&amp;$A255,実績!$AL$6:$AL$505,"○")&gt;0,1,0))</f>
        <v>0</v>
      </c>
      <c r="G255" s="39" t="n">
        <f aca="false">IF(G$4=0,0,IF(COUNTIFS(実績!$W$6:$W$505,G$3,実績!$AI$6:$AI$505,"&lt;="&amp;$A255,実績!$AJ$6:$AJ$505,"&gt;"&amp;$A255,実績!$AL$6:$AL$505,"○")&gt;0,1,0))</f>
        <v>0</v>
      </c>
      <c r="H255" s="39" t="n">
        <f aca="false">IF(H$4=0,0,IF(COUNTIFS(実績!$W$6:$W$505,H$3,実績!$AI$6:$AI$505,"&lt;="&amp;$A255,実績!$AJ$6:$AJ$505,"&gt;"&amp;$A255,実績!$AL$6:$AL$505,"○")&gt;0,1,0))</f>
        <v>0</v>
      </c>
      <c r="I255" s="39" t="n">
        <f aca="false">IF(I$4=0,0,IF(COUNTIFS(実績!$W$6:$W$505,I$3,実績!$AI$6:$AI$505,"&lt;="&amp;$A255,実績!$AJ$6:$AJ$505,"&gt;"&amp;$A255,実績!$AL$6:$AL$505,"○")&gt;0,1,0))</f>
        <v>0</v>
      </c>
      <c r="J255" s="39" t="n">
        <f aca="false">IF(J$4=0,0,IF(COUNTIFS(実績!$W$6:$W$505,J$3,実績!$AI$6:$AI$505,"&lt;="&amp;$A255,実績!$AJ$6:$AJ$505,"&gt;"&amp;$A255,実績!$AL$6:$AL$505,"○")&gt;0,1,0))</f>
        <v>0</v>
      </c>
      <c r="K255" s="39" t="n">
        <f aca="false">IF(K$4=0,0,IF(COUNTIFS(実績!$W$6:$W$505,K$3,実績!$AI$6:$AI$505,"&lt;="&amp;$A255,実績!$AJ$6:$AJ$505,"&gt;"&amp;$A255,実績!$AL$6:$AL$505,"○")&gt;0,1,0))</f>
        <v>0</v>
      </c>
      <c r="L255" s="39" t="n">
        <f aca="false">IF(L$4=0,0,IF(COUNTIFS(実績!$W$6:$W$505,L$3,実績!$AI$6:$AI$505,"&lt;="&amp;$A255,実績!$AJ$6:$AJ$505,"&gt;"&amp;$A255,実績!$AL$6:$AL$505,"○")&gt;0,1,0))</f>
        <v>0</v>
      </c>
      <c r="M255" s="39" t="n">
        <f aca="false">IF(M$4=0,0,IF(COUNTIFS(実績!$W$6:$W$505,M$3,実績!$AI$6:$AI$505,"&lt;="&amp;$A255,実績!$AJ$6:$AJ$505,"&gt;"&amp;$A255,実績!$AL$6:$AL$505,"○")&gt;0,1,0))</f>
        <v>0</v>
      </c>
      <c r="N255" s="39" t="n">
        <f aca="false">IF(N$4=0,0,IF(COUNTIFS(実績!$W$6:$W$505,N$3,実績!$AI$6:$AI$505,"&lt;="&amp;$A255,実績!$AJ$6:$AJ$505,"&gt;"&amp;$A255,実績!$AL$6:$AL$505,"○")&gt;0,1,0))</f>
        <v>0</v>
      </c>
      <c r="O255" s="39" t="n">
        <f aca="false">IF(O$4=0,0,IF(COUNTIFS(実績!$W$6:$W$505,O$3,実績!$AI$6:$AI$505,"&lt;="&amp;$A255,実績!$AJ$6:$AJ$505,"&gt;"&amp;$A255,実績!$AL$6:$AL$505,"○")&gt;0,1,0))</f>
        <v>0</v>
      </c>
      <c r="P255" s="39" t="n">
        <f aca="false">IF(P$4=0,0,IF(COUNTIFS(実績!$W$6:$W$505,P$3,実績!$AI$6:$AI$505,"&lt;="&amp;$A255,実績!$AJ$6:$AJ$505,"&gt;"&amp;$A255,実績!$AL$6:$AL$505,"○")&gt;0,1,0))</f>
        <v>0</v>
      </c>
      <c r="Q255" s="39" t="n">
        <f aca="false">IF(Q$4=0,0,IF(COUNTIFS(実績!$W$6:$W$505,Q$3,実績!$AI$6:$AI$505,"&lt;="&amp;$A255,実績!$AJ$6:$AJ$505,"&gt;"&amp;$A255,実績!$AL$6:$AL$505,"○")&gt;0,1,0))</f>
        <v>0</v>
      </c>
      <c r="R255" s="39" t="n">
        <f aca="false">IF(R$4=0,0,IF(COUNTIFS(実績!$W$6:$W$505,R$3,実績!$AI$6:$AI$505,"&lt;="&amp;$A255,実績!$AJ$6:$AJ$505,"&gt;"&amp;$A255,実績!$AL$6:$AL$505,"○")&gt;0,1,0))</f>
        <v>0</v>
      </c>
      <c r="S255" s="39" t="n">
        <f aca="false">IF(S$4=0,0,IF(COUNTIFS(実績!$W$6:$W$505,S$3,実績!$AI$6:$AI$505,"&lt;="&amp;$A255,実績!$AJ$6:$AJ$505,"&gt;"&amp;$A255,実績!$AL$6:$AL$505,"○")&gt;0,1,0))</f>
        <v>0</v>
      </c>
      <c r="T255" s="39" t="n">
        <f aca="false">IF(T$4=0,0,IF(COUNTIFS(実績!$W$6:$W$505,T$3,実績!$AI$6:$AI$505,"&lt;="&amp;$A255,実績!$AJ$6:$AJ$505,"&gt;"&amp;$A255,実績!$AL$6:$AL$505,"○")&gt;0,1,0))</f>
        <v>0</v>
      </c>
      <c r="U255" s="39" t="n">
        <f aca="false">IF(U$4=0,0,IF(COUNTIFS(実績!$W$6:$W$505,U$3,実績!$AI$6:$AI$505,"&lt;="&amp;$A255,実績!$AJ$6:$AJ$505,"&gt;"&amp;$A255,実績!$AL$6:$AL$505,"○")&gt;0,1,0))</f>
        <v>0</v>
      </c>
      <c r="V255" s="39" t="n">
        <f aca="false">IF(V$4=0,0,IF(COUNTIFS(実績!$W$6:$W$505,V$3,実績!$AI$6:$AI$505,"&lt;="&amp;$A255,実績!$AJ$6:$AJ$505,"&gt;"&amp;$A255,実績!$AL$6:$AL$505,"○")&gt;0,1,0))</f>
        <v>0</v>
      </c>
      <c r="W255" s="39" t="n">
        <f aca="false">IF(W$4=0,0,IF(COUNTIFS(実績!$W$6:$W$505,W$3,実績!$AI$6:$AI$505,"&lt;="&amp;$A255,実績!$AJ$6:$AJ$505,"&gt;"&amp;$A255,実績!$AL$6:$AL$505,"○")&gt;0,1,0))</f>
        <v>0</v>
      </c>
      <c r="X255" s="39" t="n">
        <f aca="false">IF(X$4=0,0,IF(COUNTIFS(実績!$W$6:$W$505,X$3,実績!$AI$6:$AI$505,"&lt;="&amp;$A255,実績!$AJ$6:$AJ$505,"&gt;"&amp;$A255,実績!$AL$6:$AL$505,"○")&gt;0,1,0))</f>
        <v>0</v>
      </c>
      <c r="Y255" s="39" t="n">
        <f aca="false">IF(Y$4=0,0,IF(COUNTIFS(実績!$W$6:$W$505,Y$3,実績!$AI$6:$AI$505,"&lt;="&amp;$A255,実績!$AJ$6:$AJ$505,"&gt;"&amp;$A255,実績!$AL$6:$AL$505,"○")&gt;0,1,0))</f>
        <v>0</v>
      </c>
      <c r="Z255" s="39" t="n">
        <f aca="false">IF(Z$4=0,0,IF(COUNTIFS(実績!$W$6:$W$505,Z$3,実績!$AI$6:$AI$505,"&lt;="&amp;$A255,実績!$AJ$6:$AJ$505,"&gt;"&amp;$A255,実績!$AL$6:$AL$505,"○")&gt;0,1,0))</f>
        <v>0</v>
      </c>
      <c r="AA255" s="39" t="n">
        <f aca="false">IF(AA$4=0,0,IF(COUNTIFS(実績!$W$6:$W$505,AA$3,実績!$AI$6:$AI$505,"&lt;="&amp;$A255,実績!$AJ$6:$AJ$505,"&gt;"&amp;$A255,実績!$AL$6:$AL$505,"○")&gt;0,1,0))</f>
        <v>0</v>
      </c>
      <c r="AB255" s="39" t="n">
        <f aca="false">IF(AB$4=0,0,IF(COUNTIFS(実績!$W$6:$W$505,AB$3,実績!$AI$6:$AI$505,"&lt;="&amp;$A255,実績!$AJ$6:$AJ$505,"&gt;"&amp;$A255,実績!$AL$6:$AL$505,"○")&gt;0,1,0))</f>
        <v>0</v>
      </c>
      <c r="AC255" s="39" t="n">
        <f aca="false">IF(AC$4=0,0,IF(COUNTIFS(実績!$W$6:$W$505,AC$3,実績!$AI$6:$AI$505,"&lt;="&amp;$A255,実績!$AJ$6:$AJ$505,"&gt;"&amp;$A255,実績!$AL$6:$AL$505,"○")&gt;0,1,0))</f>
        <v>0</v>
      </c>
      <c r="AD255" s="39" t="n">
        <f aca="false">IF(AD$4=0,0,IF(COUNTIFS(実績!$W$6:$W$505,AD$3,実績!$AI$6:$AI$505,"&lt;="&amp;$A255,実績!$AJ$6:$AJ$505,"&gt;"&amp;$A255,実績!$AL$6:$AL$505,"○")&gt;0,1,0))</f>
        <v>0</v>
      </c>
      <c r="AE255" s="39" t="n">
        <f aca="false">IF(AE$4=0,0,IF(COUNTIFS(実績!$W$6:$W$505,AE$3,実績!$AI$6:$AI$505,"&lt;="&amp;$A255,実績!$AJ$6:$AJ$505,"&gt;"&amp;$A255,実績!$AL$6:$AL$505,"○")&gt;0,1,0))</f>
        <v>0</v>
      </c>
      <c r="AF255" s="39" t="n">
        <f aca="false">IF(AF$4=0,0,IF(COUNTIFS(実績!$W$6:$W$505,AF$3,実績!$AI$6:$AI$505,"&lt;="&amp;$A255,実績!$AJ$6:$AJ$505,"&gt;"&amp;$A255,実績!$AL$6:$AL$505,"○")&gt;0,1,0))</f>
        <v>0</v>
      </c>
      <c r="AG255" s="39" t="n">
        <f aca="false">IF(AG$4=0,0,IF(COUNTIFS(実績!$W$6:$W$505,AG$3,実績!$AI$6:$AI$505,"&lt;="&amp;$A255,実績!$AJ$6:$AJ$505,"&gt;"&amp;$A255,実績!$AL$6:$AL$505,"○")&gt;0,1,0))</f>
        <v>0</v>
      </c>
      <c r="AH255" s="39" t="n">
        <f aca="false">IF(AH$4=0,0,IF(COUNTIFS(実績!$W$6:$W$505,AH$3,実績!$AI$6:$AI$505,"&lt;="&amp;$A255,実績!$AJ$6:$AJ$505,"&gt;"&amp;$A255,実績!$AL$6:$AL$505,"○")&gt;0,1,0))</f>
        <v>0</v>
      </c>
      <c r="AI255" s="39" t="n">
        <f aca="false">IF(AI$4=0,0,IF(COUNTIFS(実績!$W$6:$W$505,AI$3,実績!$AI$6:$AI$505,"&lt;="&amp;$A255,実績!$AJ$6:$AJ$505,"&gt;"&amp;$A255,実績!$AL$6:$AL$505,"○")&gt;0,1,0))</f>
        <v>0</v>
      </c>
      <c r="AJ255" s="39" t="n">
        <f aca="false">IF(AJ$4=0,0,IF(COUNTIFS(実績!$W$6:$W$505,AJ$3,実績!$AI$6:$AI$505,"&lt;="&amp;$A255,実績!$AJ$6:$AJ$505,"&gt;"&amp;$A255,実績!$AL$6:$AL$505,"○")&gt;0,1,0))</f>
        <v>0</v>
      </c>
      <c r="AK255" s="39" t="n">
        <f aca="false">IF(AK$4=0,0,IF(COUNTIFS(実績!$W$6:$W$505,AK$3,実績!$AI$6:$AI$505,"&lt;="&amp;$A255,実績!$AJ$6:$AJ$505,"&gt;"&amp;$A255,実績!$AL$6:$AL$505,"○")&gt;0,1,0))</f>
        <v>0</v>
      </c>
      <c r="AL255" s="39" t="n">
        <f aca="false">IF(AL$4=0,0,IF(COUNTIFS(実績!$W$6:$W$505,AL$3,実績!$AI$6:$AI$505,"&lt;="&amp;$A255,実績!$AJ$6:$AJ$505,"&gt;"&amp;$A255,実績!$AL$6:$AL$505,"○")&gt;0,1,0))</f>
        <v>0</v>
      </c>
      <c r="AM255" s="39" t="n">
        <f aca="false">IF(AM$4=0,0,IF(COUNTIFS(実績!$W$6:$W$505,AM$3,実績!$AI$6:$AI$505,"&lt;="&amp;$A255,実績!$AJ$6:$AJ$505,"&gt;"&amp;$A255,実績!$AL$6:$AL$505,"○")&gt;0,1,0))</f>
        <v>0</v>
      </c>
      <c r="AN255" s="39" t="n">
        <f aca="false">IF(AN$4=0,0,IF(COUNTIFS(実績!$W$6:$W$505,AN$3,実績!$AI$6:$AI$505,"&lt;="&amp;$A255,実績!$AJ$6:$AJ$505,"&gt;"&amp;$A255,実績!$AL$6:$AL$505,"○")&gt;0,1,0))</f>
        <v>0</v>
      </c>
      <c r="AO255" s="39" t="n">
        <f aca="false">IF(AO$4=0,0,IF(COUNTIFS(実績!$W$6:$W$505,AO$3,実績!$AI$6:$AI$505,"&lt;="&amp;$A255,実績!$AJ$6:$AJ$505,"&gt;"&amp;$A255,実績!$AL$6:$AL$505,"○")&gt;0,1,0))</f>
        <v>0</v>
      </c>
      <c r="AP255" s="39" t="n">
        <f aca="false">IF(AP$4=0,0,IF(COUNTIFS(実績!$W$6:$W$505,AP$3,実績!$AI$6:$AI$505,"&lt;="&amp;$A255,実績!$AJ$6:$AJ$505,"&gt;"&amp;$A255,実績!$AL$6:$AL$505,"○")&gt;0,1,0))</f>
        <v>0</v>
      </c>
      <c r="AQ255" s="39" t="n">
        <f aca="false">IF(AQ$4=0,0,IF(COUNTIFS(実績!$W$6:$W$505,AQ$3,実績!$AI$6:$AI$505,"&lt;="&amp;$A255,実績!$AJ$6:$AJ$505,"&gt;"&amp;$A255,実績!$AL$6:$AL$505,"○")&gt;0,1,0))</f>
        <v>0</v>
      </c>
      <c r="AR255" s="39" t="n">
        <f aca="false">IF(AR$4=0,0,IF(COUNTIFS(実績!$W$6:$W$505,AR$3,実績!$AI$6:$AI$505,"&lt;="&amp;$A255,実績!$AJ$6:$AJ$505,"&gt;"&amp;$A255,実績!$AL$6:$AL$505,"○")&gt;0,1,0))</f>
        <v>0</v>
      </c>
      <c r="AS255" s="39" t="n">
        <f aca="false">IF(AS$4=0,0,IF(COUNTIFS(実績!$W$6:$W$505,AS$3,実績!$AI$6:$AI$505,"&lt;="&amp;$A255,実績!$AJ$6:$AJ$505,"&gt;"&amp;$A255,実績!$AL$6:$AL$505,"○")&gt;0,1,0))</f>
        <v>0</v>
      </c>
      <c r="AT255" s="39" t="n">
        <f aca="false">IF(AT$4=0,0,IF(COUNTIFS(実績!$W$6:$W$505,AT$3,実績!$AI$6:$AI$505,"&lt;="&amp;$A255,実績!$AJ$6:$AJ$505,"&gt;"&amp;$A255,実績!$AL$6:$AL$505,"○")&gt;0,1,0))</f>
        <v>0</v>
      </c>
      <c r="AU255" s="39" t="n">
        <f aca="false">IF(AU$4=0,0,IF(COUNTIFS(実績!$W$6:$W$505,AU$3,実績!$AI$6:$AI$505,"&lt;="&amp;$A255,実績!$AJ$6:$AJ$505,"&gt;"&amp;$A255,実績!$AL$6:$AL$505,"○")&gt;0,1,0))</f>
        <v>0</v>
      </c>
      <c r="AV255" s="39" t="n">
        <f aca="false">IF(AV$4=0,0,IF(COUNTIFS(実績!$W$6:$W$505,AV$3,実績!$AI$6:$AI$505,"&lt;="&amp;$A255,実績!$AJ$6:$AJ$505,"&gt;"&amp;$A255,実績!$AL$6:$AL$505,"○")&gt;0,1,0))</f>
        <v>0</v>
      </c>
      <c r="AW255" s="39" t="n">
        <f aca="false">IF(AW$4=0,0,IF(COUNTIFS(実績!$W$6:$W$505,AW$3,実績!$AI$6:$AI$505,"&lt;="&amp;$A255,実績!$AJ$6:$AJ$505,"&gt;"&amp;$A255,実績!$AL$6:$AL$505,"○")&gt;0,1,0))</f>
        <v>0</v>
      </c>
      <c r="AX255" s="39" t="n">
        <f aca="false">IF(AX$4=0,0,IF(COUNTIFS(実績!$W$6:$W$505,AX$3,実績!$AI$6:$AI$505,"&lt;="&amp;$A255,実績!$AJ$6:$AJ$505,"&gt;"&amp;$A255,実績!$AL$6:$AL$505,"○")&gt;0,1,0))</f>
        <v>0</v>
      </c>
      <c r="AY255" s="39" t="n">
        <f aca="false">IF(AY$4=0,0,IF(COUNTIFS(実績!$W$6:$W$505,AY$3,実績!$AI$6:$AI$505,"&lt;="&amp;$A255,実績!$AJ$6:$AJ$505,"&gt;"&amp;$A255,実績!$AL$6:$AL$505,"○")&gt;0,1,0))</f>
        <v>0</v>
      </c>
      <c r="AZ255" s="39" t="n">
        <f aca="false">IF(AZ$4=0,0,IF(COUNTIFS(実績!$W$6:$W$505,AZ$3,実績!$AI$6:$AI$505,"&lt;="&amp;$A255,実績!$AJ$6:$AJ$505,"&gt;"&amp;$A255,実績!$AL$6:$AL$505,"○")&gt;0,1,0))</f>
        <v>0</v>
      </c>
      <c r="BA255" s="39" t="n">
        <f aca="false">IF(BA$4=0,0,IF(COUNTIFS(実績!$W$6:$W$505,BA$3,実績!$AI$6:$AI$505,"&lt;="&amp;$A255,実績!$AJ$6:$AJ$505,"&gt;"&amp;$A255,実績!$AL$6:$AL$505,"○")&gt;0,1,0))</f>
        <v>0</v>
      </c>
      <c r="BB255" s="39" t="n">
        <f aca="false">IF(BB$4=0,0,IF(COUNTIFS(実績!$W$6:$W$505,BB$3,実績!$AI$6:$AI$505,"&lt;="&amp;$A255,実績!$AJ$6:$AJ$505,"&gt;"&amp;$A255,実績!$AL$6:$AL$505,"○")&gt;0,1,0))</f>
        <v>0</v>
      </c>
      <c r="BC255" s="39" t="n">
        <f aca="false">IF(BC$4=0,0,IF(COUNTIFS(実績!$W$6:$W$505,BC$3,実績!$AI$6:$AI$505,"&lt;="&amp;$A255,実績!$AJ$6:$AJ$505,"&gt;"&amp;$A255,実績!$AL$6:$AL$505,"○")&gt;0,1,0))</f>
        <v>0</v>
      </c>
      <c r="BD255" s="39" t="n">
        <f aca="false">IF(BD$4=0,0,IF(COUNTIFS(実績!$W$6:$W$505,BD$3,実績!$AI$6:$AI$505,"&lt;="&amp;$A255,実績!$AJ$6:$AJ$505,"&gt;"&amp;$A255,実績!$AL$6:$AL$505,"○")&gt;0,1,0))</f>
        <v>0</v>
      </c>
      <c r="BE255" s="39" t="n">
        <f aca="false">IF(BE$4=0,0,IF(COUNTIFS(実績!$W$6:$W$505,BE$3,実績!$AI$6:$AI$505,"&lt;="&amp;$A255,実績!$AJ$6:$AJ$505,"&gt;"&amp;$A255,実績!$AL$6:$AL$505,"○")&gt;0,1,0))</f>
        <v>0</v>
      </c>
      <c r="BF255" s="39" t="n">
        <f aca="false">IF(BF$4=0,0,IF(COUNTIFS(実績!$W$6:$W$505,BF$3,実績!$AI$6:$AI$505,"&lt;="&amp;$A255,実績!$AJ$6:$AJ$505,"&gt;"&amp;$A255,実績!$AL$6:$AL$505,"○")&gt;0,1,0))</f>
        <v>0</v>
      </c>
      <c r="BG255" s="39" t="n">
        <f aca="false">IF(BG$4=0,0,IF(COUNTIFS(実績!$W$6:$W$505,BG$3,実績!$AI$6:$AI$505,"&lt;="&amp;$A255,実績!$AJ$6:$AJ$505,"&gt;"&amp;$A255,実績!$AL$6:$AL$505,"○")&gt;0,1,0))</f>
        <v>0</v>
      </c>
      <c r="BH255" s="39" t="n">
        <f aca="false">IF(BH$4=0,0,IF(COUNTIFS(実績!$W$6:$W$505,BH$3,実績!$AI$6:$AI$505,"&lt;="&amp;$A255,実績!$AJ$6:$AJ$505,"&gt;"&amp;$A255,実績!$AL$6:$AL$505,"○")&gt;0,1,0))</f>
        <v>0</v>
      </c>
      <c r="BI255" s="39" t="n">
        <f aca="false">IF(BI$4=0,0,IF(COUNTIFS(実績!$W$6:$W$505,BI$3,実績!$AI$6:$AI$505,"&lt;="&amp;$A255,実績!$AJ$6:$AJ$505,"&gt;"&amp;$A255,実績!$AL$6:$AL$505,"○")&gt;0,1,0))</f>
        <v>0</v>
      </c>
      <c r="BJ255" s="39" t="n">
        <f aca="false">IF(BJ$4=0,0,IF(COUNTIFS(実績!$W$6:$W$505,BJ$3,実績!$AI$6:$AI$505,"&lt;="&amp;$A255,実績!$AJ$6:$AJ$505,"&gt;"&amp;$A255,実績!$AL$6:$AL$505,"○")&gt;0,1,0))</f>
        <v>0</v>
      </c>
      <c r="BK255" s="39" t="n">
        <f aca="false">IF(BK$4=0,0,IF(COUNTIFS(実績!$W$6:$W$505,BK$3,実績!$AI$6:$AI$505,"&lt;="&amp;$A255,実績!$AJ$6:$AJ$505,"&gt;"&amp;$A255,実績!$AL$6:$AL$505,"○")&gt;0,1,0))</f>
        <v>0</v>
      </c>
      <c r="BL255" s="39" t="n">
        <f aca="false">IF(BL$4=0,0,IF(COUNTIFS(実績!$W$6:$W$505,BL$3,実績!$AI$6:$AI$505,"&lt;="&amp;$A255,実績!$AJ$6:$AJ$505,"&gt;"&amp;$A255,実績!$AL$6:$AL$505,"○")&gt;0,1,0))</f>
        <v>0</v>
      </c>
      <c r="BM255" s="39" t="n">
        <f aca="false">IF(BM$4=0,0,IF(COUNTIFS(実績!$W$6:$W$505,BM$3,実績!$AI$6:$AI$505,"&lt;="&amp;$A255,実績!$AJ$6:$AJ$505,"&gt;"&amp;$A255,実績!$AL$6:$AL$505,"○")&gt;0,1,0))</f>
        <v>0</v>
      </c>
      <c r="BN255" s="39" t="n">
        <f aca="false">IF(BN$4=0,0,IF(COUNTIFS(実績!$W$6:$W$505,BN$3,実績!$AI$6:$AI$505,"&lt;="&amp;$A255,実績!$AJ$6:$AJ$505,"&gt;"&amp;$A255,実績!$AL$6:$AL$505,"○")&gt;0,1,0))</f>
        <v>0</v>
      </c>
      <c r="BO255" s="39" t="n">
        <f aca="false">IF(BO$4=0,0,IF(COUNTIFS(実績!$W$6:$W$505,BO$3,実績!$AI$6:$AI$505,"&lt;="&amp;$A255,実績!$AJ$6:$AJ$505,"&gt;"&amp;$A255,実績!$AL$6:$AL$505,"○")&gt;0,1,0))</f>
        <v>0</v>
      </c>
      <c r="BP255" s="39" t="n">
        <f aca="false">IF(BP$4=0,0,IF(COUNTIFS(実績!$W$6:$W$505,BP$3,実績!$AI$6:$AI$505,"&lt;="&amp;$A255,実績!$AJ$6:$AJ$505,"&gt;"&amp;$A255,実績!$AL$6:$AL$505,"○")&gt;0,1,0))</f>
        <v>0</v>
      </c>
      <c r="BQ255" s="39" t="n">
        <f aca="false">IF(BQ$4=0,0,IF(COUNTIFS(実績!$W$6:$W$505,BQ$3,実績!$AI$6:$AI$505,"&lt;="&amp;$A255,実績!$AJ$6:$AJ$505,"&gt;"&amp;$A255,実績!$AL$6:$AL$505,"○")&gt;0,1,0))</f>
        <v>0</v>
      </c>
      <c r="BR255" s="39" t="n">
        <f aca="false">IF(BR$4=0,0,IF(COUNTIFS(実績!$W$6:$W$505,BR$3,実績!$AI$6:$AI$505,"&lt;="&amp;$A255,実績!$AJ$6:$AJ$505,"&gt;"&amp;$A255,実績!$AL$6:$AL$505,"○")&gt;0,1,0))</f>
        <v>0</v>
      </c>
      <c r="BS255" s="39" t="n">
        <f aca="false">IF(BS$4=0,0,IF(COUNTIFS(実績!$W$6:$W$505,BS$3,実績!$AI$6:$AI$505,"&lt;="&amp;$A255,実績!$AJ$6:$AJ$505,"&gt;"&amp;$A255,実績!$AL$6:$AL$505,"○")&gt;0,1,0))</f>
        <v>0</v>
      </c>
      <c r="BT255" s="39" t="n">
        <f aca="false">IF(BT$4=0,0,IF(COUNTIFS(実績!$W$6:$W$505,BT$3,実績!$AI$6:$AI$505,"&lt;="&amp;$A255,実績!$AJ$6:$AJ$505,"&gt;"&amp;$A255,実績!$AL$6:$AL$505,"○")&gt;0,1,0))</f>
        <v>0</v>
      </c>
      <c r="BU255" s="39" t="n">
        <f aca="false">IF(BU$4=0,0,IF(COUNTIFS(実績!$W$6:$W$505,BU$3,実績!$AI$6:$AI$505,"&lt;="&amp;$A255,実績!$AJ$6:$AJ$505,"&gt;"&amp;$A255,実績!$AL$6:$AL$505,"○")&gt;0,1,0))</f>
        <v>0</v>
      </c>
      <c r="BV255" s="39" t="n">
        <f aca="false">IF(BV$4=0,0,IF(COUNTIFS(実績!$W$6:$W$505,BV$3,実績!$AI$6:$AI$505,"&lt;="&amp;$A255,実績!$AJ$6:$AJ$505,"&gt;"&amp;$A255,実績!$AL$6:$AL$505,"○")&gt;0,1,0))</f>
        <v>0</v>
      </c>
      <c r="BW255" s="39" t="n">
        <f aca="false">IF(BW$4=0,0,IF(COUNTIFS(実績!$W$6:$W$505,BW$3,実績!$AI$6:$AI$505,"&lt;="&amp;$A255,実績!$AJ$6:$AJ$505,"&gt;"&amp;$A255,実績!$AL$6:$AL$505,"○")&gt;0,1,0))</f>
        <v>0</v>
      </c>
      <c r="BX255" s="39" t="n">
        <f aca="false">IF(BX$4=0,0,IF(COUNTIFS(実績!$W$6:$W$505,BX$3,実績!$AI$6:$AI$505,"&lt;="&amp;$A255,実績!$AJ$6:$AJ$505,"&gt;"&amp;$A255,実績!$AL$6:$AL$505,"○")&gt;0,1,0))</f>
        <v>0</v>
      </c>
      <c r="BY255" s="39" t="n">
        <f aca="false">IF(BY$4=0,0,IF(COUNTIFS(実績!$W$6:$W$505,BY$3,実績!$AI$6:$AI$505,"&lt;="&amp;$A255,実績!$AJ$6:$AJ$505,"&gt;"&amp;$A255,実績!$AL$6:$AL$505,"○")&gt;0,1,0))</f>
        <v>0</v>
      </c>
      <c r="BZ255" s="39" t="n">
        <f aca="false">IF(BZ$4=0,0,IF(COUNTIFS(実績!$W$6:$W$505,BZ$3,実績!$AI$6:$AI$505,"&lt;="&amp;$A255,実績!$AJ$6:$AJ$505,"&gt;"&amp;$A255,実績!$AL$6:$AL$505,"○")&gt;0,1,0))</f>
        <v>0</v>
      </c>
      <c r="CA255" s="39" t="n">
        <f aca="false">IF(CA$4=0,0,IF(COUNTIFS(実績!$W$6:$W$505,CA$3,実績!$AI$6:$AI$505,"&lt;="&amp;$A255,実績!$AJ$6:$AJ$505,"&gt;"&amp;$A255,実績!$AL$6:$AL$505,"○")&gt;0,1,0))</f>
        <v>0</v>
      </c>
      <c r="CB255" s="39" t="n">
        <f aca="false">IF(CB$4=0,0,IF(COUNTIFS(実績!$W$6:$W$505,CB$3,実績!$AI$6:$AI$505,"&lt;="&amp;$A255,実績!$AJ$6:$AJ$505,"&gt;"&amp;$A255,実績!$AL$6:$AL$505,"○")&gt;0,1,0))</f>
        <v>0</v>
      </c>
      <c r="CC255" s="39" t="n">
        <f aca="false">IF(CC$4=0,0,IF(COUNTIFS(実績!$W$6:$W$505,CC$3,実績!$AI$6:$AI$505,"&lt;="&amp;$A255,実績!$AJ$6:$AJ$505,"&gt;"&amp;$A255,実績!$AL$6:$AL$505,"○")&gt;0,1,0))</f>
        <v>0</v>
      </c>
      <c r="CD255" s="39" t="n">
        <f aca="false">IF(CD$4=0,0,IF(COUNTIFS(実績!$W$6:$W$505,CD$3,実績!$AI$6:$AI$505,"&lt;="&amp;$A255,実績!$AJ$6:$AJ$505,"&gt;"&amp;$A255,実績!$AL$6:$AL$505,"○")&gt;0,1,0))</f>
        <v>0</v>
      </c>
      <c r="CE255" s="39" t="n">
        <f aca="false">IF(CE$4=0,0,IF(COUNTIFS(実績!$W$6:$W$505,CE$3,実績!$AI$6:$AI$505,"&lt;="&amp;$A255,実績!$AJ$6:$AJ$505,"&gt;"&amp;$A255,実績!$AL$6:$AL$505,"○")&gt;0,1,0))</f>
        <v>0</v>
      </c>
      <c r="CF255" s="39" t="n">
        <f aca="false">IF(CF$4=0,0,IF(COUNTIFS(実績!$W$6:$W$505,CF$3,実績!$AI$6:$AI$505,"&lt;="&amp;$A255,実績!$AJ$6:$AJ$505,"&gt;"&amp;$A255,実績!$AL$6:$AL$505,"○")&gt;0,1,0))</f>
        <v>0</v>
      </c>
      <c r="CG255" s="39" t="n">
        <f aca="false">IF(CG$4=0,0,IF(COUNTIFS(実績!$W$6:$W$505,CG$3,実績!$AI$6:$AI$505,"&lt;="&amp;$A255,実績!$AJ$6:$AJ$505,"&gt;"&amp;$A255,実績!$AL$6:$AL$505,"○")&gt;0,1,0))</f>
        <v>0</v>
      </c>
      <c r="CH255" s="39" t="n">
        <f aca="false">IF(CH$4=0,0,IF(COUNTIFS(実績!$W$6:$W$505,CH$3,実績!$AI$6:$AI$505,"&lt;="&amp;$A255,実績!$AJ$6:$AJ$505,"&gt;"&amp;$A255,実績!$AL$6:$AL$505,"○")&gt;0,1,0))</f>
        <v>0</v>
      </c>
      <c r="CI255" s="39" t="n">
        <f aca="false">IF(CI$4=0,0,IF(COUNTIFS(実績!$W$6:$W$505,CI$3,実績!$AI$6:$AI$505,"&lt;="&amp;$A255,実績!$AJ$6:$AJ$505,"&gt;"&amp;$A255,実績!$AL$6:$AL$505,"○")&gt;0,1,0))</f>
        <v>0</v>
      </c>
      <c r="CJ255" s="39" t="n">
        <f aca="false">IF(CJ$4=0,0,IF(COUNTIFS(実績!$W$6:$W$505,CJ$3,実績!$AI$6:$AI$505,"&lt;="&amp;$A255,実績!$AJ$6:$AJ$505,"&gt;"&amp;$A255,実績!$AL$6:$AL$505,"○")&gt;0,1,0))</f>
        <v>0</v>
      </c>
      <c r="CK255" s="39" t="n">
        <f aca="false">IF(CK$4=0,0,IF(COUNTIFS(実績!$W$6:$W$505,CK$3,実績!$AI$6:$AI$505,"&lt;="&amp;$A255,実績!$AJ$6:$AJ$505,"&gt;"&amp;$A255,実績!$AL$6:$AL$505,"○")&gt;0,1,0))</f>
        <v>0</v>
      </c>
      <c r="CL255" s="39" t="n">
        <f aca="false">IF(CL$4=0,0,IF(COUNTIFS(実績!$W$6:$W$505,CL$3,実績!$AI$6:$AI$505,"&lt;="&amp;$A255,実績!$AJ$6:$AJ$505,"&gt;"&amp;$A255,実績!$AL$6:$AL$505,"○")&gt;0,1,0))</f>
        <v>0</v>
      </c>
      <c r="CM255" s="39" t="n">
        <f aca="false">IF(CM$4=0,0,IF(COUNTIFS(実績!$W$6:$W$505,CM$3,実績!$AI$6:$AI$505,"&lt;="&amp;$A255,実績!$AJ$6:$AJ$505,"&gt;"&amp;$A255,実績!$AL$6:$AL$505,"○")&gt;0,1,0))</f>
        <v>0</v>
      </c>
      <c r="CN255" s="39" t="n">
        <f aca="false">IF(CN$4=0,0,IF(COUNTIFS(実績!$W$6:$W$505,CN$3,実績!$AI$6:$AI$505,"&lt;="&amp;$A255,実績!$AJ$6:$AJ$505,"&gt;"&amp;$A255,実績!$AL$6:$AL$505,"○")&gt;0,1,0))</f>
        <v>0</v>
      </c>
      <c r="CO255" s="39" t="n">
        <f aca="false">IF(CO$4=0,0,IF(COUNTIFS(実績!$W$6:$W$505,CO$3,実績!$AI$6:$AI$505,"&lt;="&amp;$A255,実績!$AJ$6:$AJ$505,"&gt;"&amp;$A255,実績!$AL$6:$AL$505,"○")&gt;0,1,0))</f>
        <v>0</v>
      </c>
      <c r="CP255" s="39" t="n">
        <f aca="false">IF(CP$4=0,0,IF(COUNTIFS(実績!$W$6:$W$505,CP$3,実績!$AI$6:$AI$505,"&lt;="&amp;$A255,実績!$AJ$6:$AJ$505,"&gt;"&amp;$A255,実績!$AL$6:$AL$505,"○")&gt;0,1,0))</f>
        <v>0</v>
      </c>
      <c r="CQ255" s="39" t="n">
        <f aca="false">IF(CQ$4=0,0,IF(COUNTIFS(実績!$W$6:$W$505,CQ$3,実績!$AI$6:$AI$505,"&lt;="&amp;$A255,実績!$AJ$6:$AJ$505,"&gt;"&amp;$A255,実績!$AL$6:$AL$505,"○")&gt;0,1,0))</f>
        <v>0</v>
      </c>
      <c r="CR255" s="39" t="n">
        <f aca="false">IF(CR$4=0,0,IF(COUNTIFS(実績!$W$6:$W$505,CR$3,実績!$AI$6:$AI$505,"&lt;="&amp;$A255,実績!$AJ$6:$AJ$505,"&gt;"&amp;$A255,実績!$AL$6:$AL$505,"○")&gt;0,1,0))</f>
        <v>0</v>
      </c>
      <c r="CS255" s="39" t="n">
        <f aca="false">IF(CS$4=0,0,IF(COUNTIFS(実績!$W$6:$W$505,CS$3,実績!$AI$6:$AI$505,"&lt;="&amp;$A255,実績!$AJ$6:$AJ$505,"&gt;"&amp;$A255,実績!$AL$6:$AL$505,"○")&gt;0,1,0))</f>
        <v>0</v>
      </c>
      <c r="CT255" s="39" t="n">
        <f aca="false">IF(CT$4=0,0,IF(COUNTIFS(実績!$W$6:$W$505,CT$3,実績!$AI$6:$AI$505,"&lt;="&amp;$A255,実績!$AJ$6:$AJ$505,"&gt;"&amp;$A255,実績!$AL$6:$AL$505,"○")&gt;0,1,0))</f>
        <v>0</v>
      </c>
      <c r="CU255" s="39" t="n">
        <f aca="false">IF(CU$4=0,0,IF(COUNTIFS(実績!$W$6:$W$505,CU$3,実績!$AI$6:$AI$505,"&lt;="&amp;$A255,実績!$AJ$6:$AJ$505,"&gt;"&amp;$A255,実績!$AL$6:$AL$505,"○")&gt;0,1,0))</f>
        <v>0</v>
      </c>
      <c r="CV255" s="39" t="n">
        <f aca="false">IF(CV$4=0,0,IF(COUNTIFS(実績!$W$6:$W$505,CV$3,実績!$AI$6:$AI$505,"&lt;="&amp;$A255,実績!$AJ$6:$AJ$505,"&gt;"&amp;$A255,実績!$AL$6:$AL$505,"○")&gt;0,1,0))</f>
        <v>0</v>
      </c>
      <c r="CW255" s="39" t="n">
        <f aca="false">IF(CW$4=0,0,IF(COUNTIFS(実績!$W$6:$W$505,CW$3,実績!$AI$6:$AI$505,"&lt;="&amp;$A255,実績!$AJ$6:$AJ$505,"&gt;"&amp;$A255,実績!$AL$6:$AL$505,"○")&gt;0,1,0))</f>
        <v>0</v>
      </c>
      <c r="CX255" s="39" t="n">
        <f aca="false">IF(CX$4=0,0,IF(COUNTIFS(実績!$W$6:$W$505,CX$3,実績!$AI$6:$AI$505,"&lt;="&amp;$A255,実績!$AJ$6:$AJ$505,"&gt;"&amp;$A255,実績!$AL$6:$AL$505,"○")&gt;0,1,0))</f>
        <v>0</v>
      </c>
      <c r="CY255" s="39" t="n">
        <f aca="false">IF(CY$4=0,0,IF(COUNTIFS(実績!$W$6:$W$505,CY$3,実績!$AI$6:$AI$505,"&lt;="&amp;$A255,実績!$AJ$6:$AJ$505,"&gt;"&amp;$A255,実績!$AL$6:$AL$505,"○")&gt;0,1,0))</f>
        <v>0</v>
      </c>
      <c r="CZ255" s="39" t="n">
        <f aca="false">IF(CZ$4=0,0,IF(COUNTIFS(実績!$W$6:$W$505,CZ$3,実績!$AI$6:$AI$505,"&lt;="&amp;$A255,実績!$AJ$6:$AJ$505,"&gt;"&amp;$A255,実績!$AL$6:$AL$505,"○")&gt;0,1,0))</f>
        <v>0</v>
      </c>
      <c r="DA255" s="39" t="n">
        <f aca="false">IF(DA$4=0,0,IF(COUNTIFS(実績!$W$6:$W$505,DA$3,実績!$AI$6:$AI$505,"&lt;="&amp;$A255,実績!$AJ$6:$AJ$505,"&gt;"&amp;$A255,実績!$AL$6:$AL$505,"○")&gt;0,1,0))</f>
        <v>0</v>
      </c>
      <c r="DB255" s="39" t="n">
        <f aca="false">IF(DB$4=0,0,IF(COUNTIFS(実績!$W$6:$W$505,DB$3,実績!$AI$6:$AI$505,"&lt;="&amp;$A255,実績!$AJ$6:$AJ$505,"&gt;"&amp;$A255,実績!$AL$6:$AL$505,"○")&gt;0,1,0))</f>
        <v>0</v>
      </c>
      <c r="DC255" s="39" t="n">
        <f aca="false">IF(DC$4=0,0,IF(COUNTIFS(実績!$W$6:$W$505,DC$3,実績!$AI$6:$AI$505,"&lt;="&amp;$A255,実績!$AJ$6:$AJ$505,"&gt;"&amp;$A255,実績!$AL$6:$AL$505,"○")&gt;0,1,0))</f>
        <v>0</v>
      </c>
      <c r="DD255" s="39" t="n">
        <f aca="false">IF(DD$4=0,0,IF(COUNTIFS(実績!$W$6:$W$505,DD$3,実績!$AI$6:$AI$505,"&lt;="&amp;$A255,実績!$AJ$6:$AJ$505,"&gt;"&amp;$A255,実績!$AL$6:$AL$505,"○")&gt;0,1,0))</f>
        <v>0</v>
      </c>
      <c r="DE255" s="39" t="n">
        <f aca="false">IF(DE$4=0,0,IF(COUNTIFS(実績!$W$6:$W$505,DE$3,実績!$AI$6:$AI$505,"&lt;="&amp;$A255,実績!$AJ$6:$AJ$505,"&gt;"&amp;$A255,実績!$AL$6:$AL$505,"○")&gt;0,1,0))</f>
        <v>0</v>
      </c>
      <c r="DF255" s="39" t="n">
        <f aca="false">IF(DF$4=0,0,IF(COUNTIFS(実績!$W$6:$W$505,DF$3,実績!$AI$6:$AI$505,"&lt;="&amp;$A255,実績!$AJ$6:$AJ$505,"&gt;"&amp;$A255,実績!$AL$6:$AL$505,"○")&gt;0,1,0))</f>
        <v>0</v>
      </c>
      <c r="DG255" s="39" t="n">
        <f aca="false">IF(DG$4=0,0,IF(COUNTIFS(実績!$W$6:$W$505,DG$3,実績!$AI$6:$AI$505,"&lt;="&amp;$A255,実績!$AJ$6:$AJ$505,"&gt;"&amp;$A255,実績!$AL$6:$AL$505,"○")&gt;0,1,0))</f>
        <v>0</v>
      </c>
      <c r="DH255" s="39" t="n">
        <f aca="false">IF(DH$4=0,0,IF(COUNTIFS(実績!$W$6:$W$505,DH$3,実績!$AI$6:$AI$505,"&lt;="&amp;$A255,実績!$AJ$6:$AJ$505,"&gt;"&amp;$A255,実績!$AL$6:$AL$505,"○")&gt;0,1,0))</f>
        <v>0</v>
      </c>
      <c r="DI255" s="39" t="n">
        <f aca="false">IF(DI$4=0,0,IF(COUNTIFS(実績!$W$6:$W$505,DI$3,実績!$AI$6:$AI$505,"&lt;="&amp;$A255,実績!$AJ$6:$AJ$505,"&gt;"&amp;$A255,実績!$AL$6:$AL$505,"○")&gt;0,1,0))</f>
        <v>0</v>
      </c>
      <c r="DJ255" s="39" t="n">
        <f aca="false">IF(DJ$4=0,0,IF(COUNTIFS(実績!$W$6:$W$505,DJ$3,実績!$AI$6:$AI$505,"&lt;="&amp;$A255,実績!$AJ$6:$AJ$505,"&gt;"&amp;$A255,実績!$AL$6:$AL$505,"○")&gt;0,1,0))</f>
        <v>0</v>
      </c>
      <c r="DK255" s="39" t="n">
        <f aca="false">IF(DK$4=0,0,IF(COUNTIFS(実績!$W$6:$W$505,DK$3,実績!$AI$6:$AI$505,"&lt;="&amp;$A255,実績!$AJ$6:$AJ$505,"&gt;"&amp;$A255,実績!$AL$6:$AL$505,"○")&gt;0,1,0))</f>
        <v>0</v>
      </c>
      <c r="DL255" s="39" t="n">
        <f aca="false">IF(DL$4=0,0,IF(COUNTIFS(実績!$W$6:$W$505,DL$3,実績!$AI$6:$AI$505,"&lt;="&amp;$A255,実績!$AJ$6:$AJ$505,"&gt;"&amp;$A255,実績!$AL$6:$AL$505,"○")&gt;0,1,0))</f>
        <v>0</v>
      </c>
      <c r="DM255" s="39" t="n">
        <f aca="false">IF(DM$4=0,0,IF(COUNTIFS(実績!$W$6:$W$505,DM$3,実績!$AI$6:$AI$505,"&lt;="&amp;$A255,実績!$AJ$6:$AJ$505,"&gt;"&amp;$A255,実績!$AL$6:$AL$505,"○")&gt;0,1,0))</f>
        <v>0</v>
      </c>
      <c r="DN255" s="39" t="n">
        <f aca="false">IF(DN$4=0,0,IF(COUNTIFS(実績!$W$6:$W$505,DN$3,実績!$AI$6:$AI$505,"&lt;="&amp;$A255,実績!$AJ$6:$AJ$505,"&gt;"&amp;$A255,実績!$AL$6:$AL$505,"○")&gt;0,1,0))</f>
        <v>0</v>
      </c>
      <c r="DO255" s="39" t="n">
        <f aca="false">IF(DO$4=0,0,IF(COUNTIFS(実績!$W$6:$W$505,DO$3,実績!$AI$6:$AI$505,"&lt;="&amp;$A255,実績!$AJ$6:$AJ$505,"&gt;"&amp;$A255,実績!$AL$6:$AL$505,"○")&gt;0,1,0))</f>
        <v>0</v>
      </c>
      <c r="DP255" s="39" t="n">
        <f aca="false">IF(DP$4=0,0,IF(COUNTIFS(実績!$W$6:$W$505,DP$3,実績!$AI$6:$AI$505,"&lt;="&amp;$A255,実績!$AJ$6:$AJ$505,"&gt;"&amp;$A255,実績!$AL$6:$AL$505,"○")&gt;0,1,0))</f>
        <v>0</v>
      </c>
      <c r="DQ255" s="39" t="n">
        <f aca="false">IF(DQ$4=0,0,IF(COUNTIFS(実績!$W$6:$W$505,DQ$3,実績!$AI$6:$AI$505,"&lt;="&amp;$A255,実績!$AJ$6:$AJ$505,"&gt;"&amp;$A255,実績!$AL$6:$AL$505,"○")&gt;0,1,0))</f>
        <v>0</v>
      </c>
      <c r="DR255" s="39" t="n">
        <f aca="false">IF(DR$4=0,0,IF(COUNTIFS(実績!$W$6:$W$505,DR$3,実績!$AI$6:$AI$505,"&lt;="&amp;$A255,実績!$AJ$6:$AJ$505,"&gt;"&amp;$A255,実績!$AL$6:$AL$505,"○")&gt;0,1,0))</f>
        <v>0</v>
      </c>
      <c r="DS255" s="39" t="n">
        <f aca="false">SUM(C255:DR255)</f>
        <v>0</v>
      </c>
    </row>
    <row r="256" customFormat="false" ht="15" hidden="false" customHeight="false" outlineLevel="0" collapsed="false">
      <c r="A256" s="0" t="n">
        <v>1250</v>
      </c>
      <c r="B256" s="38" t="n">
        <f aca="false">A256/1440</f>
        <v>0.868055555555556</v>
      </c>
      <c r="C256" s="39" t="n">
        <f aca="false">IF(C$4=0,0,IF(COUNTIFS(実績!$W$6:$W$505,C$3,実績!$AI$6:$AI$505,"&lt;="&amp;$A256,実績!$AJ$6:$AJ$505,"&gt;"&amp;$A256,実績!$AL$6:$AL$505,"○")&gt;0,1,0))</f>
        <v>0</v>
      </c>
      <c r="D256" s="39" t="n">
        <f aca="false">IF(D$4=0,0,IF(COUNTIFS(実績!$W$6:$W$505,D$3,実績!$AI$6:$AI$505,"&lt;="&amp;$A256,実績!$AJ$6:$AJ$505,"&gt;"&amp;$A256,実績!$AL$6:$AL$505,"○")&gt;0,1,0))</f>
        <v>0</v>
      </c>
      <c r="E256" s="39" t="n">
        <f aca="false">IF(E$4=0,0,IF(COUNTIFS(実績!$W$6:$W$505,E$3,実績!$AI$6:$AI$505,"&lt;="&amp;$A256,実績!$AJ$6:$AJ$505,"&gt;"&amp;$A256,実績!$AL$6:$AL$505,"○")&gt;0,1,0))</f>
        <v>0</v>
      </c>
      <c r="F256" s="39" t="n">
        <f aca="false">IF(F$4=0,0,IF(COUNTIFS(実績!$W$6:$W$505,F$3,実績!$AI$6:$AI$505,"&lt;="&amp;$A256,実績!$AJ$6:$AJ$505,"&gt;"&amp;$A256,実績!$AL$6:$AL$505,"○")&gt;0,1,0))</f>
        <v>0</v>
      </c>
      <c r="G256" s="39" t="n">
        <f aca="false">IF(G$4=0,0,IF(COUNTIFS(実績!$W$6:$W$505,G$3,実績!$AI$6:$AI$505,"&lt;="&amp;$A256,実績!$AJ$6:$AJ$505,"&gt;"&amp;$A256,実績!$AL$6:$AL$505,"○")&gt;0,1,0))</f>
        <v>0</v>
      </c>
      <c r="H256" s="39" t="n">
        <f aca="false">IF(H$4=0,0,IF(COUNTIFS(実績!$W$6:$W$505,H$3,実績!$AI$6:$AI$505,"&lt;="&amp;$A256,実績!$AJ$6:$AJ$505,"&gt;"&amp;$A256,実績!$AL$6:$AL$505,"○")&gt;0,1,0))</f>
        <v>0</v>
      </c>
      <c r="I256" s="39" t="n">
        <f aca="false">IF(I$4=0,0,IF(COUNTIFS(実績!$W$6:$W$505,I$3,実績!$AI$6:$AI$505,"&lt;="&amp;$A256,実績!$AJ$6:$AJ$505,"&gt;"&amp;$A256,実績!$AL$6:$AL$505,"○")&gt;0,1,0))</f>
        <v>0</v>
      </c>
      <c r="J256" s="39" t="n">
        <f aca="false">IF(J$4=0,0,IF(COUNTIFS(実績!$W$6:$W$505,J$3,実績!$AI$6:$AI$505,"&lt;="&amp;$A256,実績!$AJ$6:$AJ$505,"&gt;"&amp;$A256,実績!$AL$6:$AL$505,"○")&gt;0,1,0))</f>
        <v>0</v>
      </c>
      <c r="K256" s="39" t="n">
        <f aca="false">IF(K$4=0,0,IF(COUNTIFS(実績!$W$6:$W$505,K$3,実績!$AI$6:$AI$505,"&lt;="&amp;$A256,実績!$AJ$6:$AJ$505,"&gt;"&amp;$A256,実績!$AL$6:$AL$505,"○")&gt;0,1,0))</f>
        <v>0</v>
      </c>
      <c r="L256" s="39" t="n">
        <f aca="false">IF(L$4=0,0,IF(COUNTIFS(実績!$W$6:$W$505,L$3,実績!$AI$6:$AI$505,"&lt;="&amp;$A256,実績!$AJ$6:$AJ$505,"&gt;"&amp;$A256,実績!$AL$6:$AL$505,"○")&gt;0,1,0))</f>
        <v>0</v>
      </c>
      <c r="M256" s="39" t="n">
        <f aca="false">IF(M$4=0,0,IF(COUNTIFS(実績!$W$6:$W$505,M$3,実績!$AI$6:$AI$505,"&lt;="&amp;$A256,実績!$AJ$6:$AJ$505,"&gt;"&amp;$A256,実績!$AL$6:$AL$505,"○")&gt;0,1,0))</f>
        <v>0</v>
      </c>
      <c r="N256" s="39" t="n">
        <f aca="false">IF(N$4=0,0,IF(COUNTIFS(実績!$W$6:$W$505,N$3,実績!$AI$6:$AI$505,"&lt;="&amp;$A256,実績!$AJ$6:$AJ$505,"&gt;"&amp;$A256,実績!$AL$6:$AL$505,"○")&gt;0,1,0))</f>
        <v>0</v>
      </c>
      <c r="O256" s="39" t="n">
        <f aca="false">IF(O$4=0,0,IF(COUNTIFS(実績!$W$6:$W$505,O$3,実績!$AI$6:$AI$505,"&lt;="&amp;$A256,実績!$AJ$6:$AJ$505,"&gt;"&amp;$A256,実績!$AL$6:$AL$505,"○")&gt;0,1,0))</f>
        <v>0</v>
      </c>
      <c r="P256" s="39" t="n">
        <f aca="false">IF(P$4=0,0,IF(COUNTIFS(実績!$W$6:$W$505,P$3,実績!$AI$6:$AI$505,"&lt;="&amp;$A256,実績!$AJ$6:$AJ$505,"&gt;"&amp;$A256,実績!$AL$6:$AL$505,"○")&gt;0,1,0))</f>
        <v>0</v>
      </c>
      <c r="Q256" s="39" t="n">
        <f aca="false">IF(Q$4=0,0,IF(COUNTIFS(実績!$W$6:$W$505,Q$3,実績!$AI$6:$AI$505,"&lt;="&amp;$A256,実績!$AJ$6:$AJ$505,"&gt;"&amp;$A256,実績!$AL$6:$AL$505,"○")&gt;0,1,0))</f>
        <v>0</v>
      </c>
      <c r="R256" s="39" t="n">
        <f aca="false">IF(R$4=0,0,IF(COUNTIFS(実績!$W$6:$W$505,R$3,実績!$AI$6:$AI$505,"&lt;="&amp;$A256,実績!$AJ$6:$AJ$505,"&gt;"&amp;$A256,実績!$AL$6:$AL$505,"○")&gt;0,1,0))</f>
        <v>0</v>
      </c>
      <c r="S256" s="39" t="n">
        <f aca="false">IF(S$4=0,0,IF(COUNTIFS(実績!$W$6:$W$505,S$3,実績!$AI$6:$AI$505,"&lt;="&amp;$A256,実績!$AJ$6:$AJ$505,"&gt;"&amp;$A256,実績!$AL$6:$AL$505,"○")&gt;0,1,0))</f>
        <v>0</v>
      </c>
      <c r="T256" s="39" t="n">
        <f aca="false">IF(T$4=0,0,IF(COUNTIFS(実績!$W$6:$W$505,T$3,実績!$AI$6:$AI$505,"&lt;="&amp;$A256,実績!$AJ$6:$AJ$505,"&gt;"&amp;$A256,実績!$AL$6:$AL$505,"○")&gt;0,1,0))</f>
        <v>0</v>
      </c>
      <c r="U256" s="39" t="n">
        <f aca="false">IF(U$4=0,0,IF(COUNTIFS(実績!$W$6:$W$505,U$3,実績!$AI$6:$AI$505,"&lt;="&amp;$A256,実績!$AJ$6:$AJ$505,"&gt;"&amp;$A256,実績!$AL$6:$AL$505,"○")&gt;0,1,0))</f>
        <v>0</v>
      </c>
      <c r="V256" s="39" t="n">
        <f aca="false">IF(V$4=0,0,IF(COUNTIFS(実績!$W$6:$W$505,V$3,実績!$AI$6:$AI$505,"&lt;="&amp;$A256,実績!$AJ$6:$AJ$505,"&gt;"&amp;$A256,実績!$AL$6:$AL$505,"○")&gt;0,1,0))</f>
        <v>0</v>
      </c>
      <c r="W256" s="39" t="n">
        <f aca="false">IF(W$4=0,0,IF(COUNTIFS(実績!$W$6:$W$505,W$3,実績!$AI$6:$AI$505,"&lt;="&amp;$A256,実績!$AJ$6:$AJ$505,"&gt;"&amp;$A256,実績!$AL$6:$AL$505,"○")&gt;0,1,0))</f>
        <v>0</v>
      </c>
      <c r="X256" s="39" t="n">
        <f aca="false">IF(X$4=0,0,IF(COUNTIFS(実績!$W$6:$W$505,X$3,実績!$AI$6:$AI$505,"&lt;="&amp;$A256,実績!$AJ$6:$AJ$505,"&gt;"&amp;$A256,実績!$AL$6:$AL$505,"○")&gt;0,1,0))</f>
        <v>0</v>
      </c>
      <c r="Y256" s="39" t="n">
        <f aca="false">IF(Y$4=0,0,IF(COUNTIFS(実績!$W$6:$W$505,Y$3,実績!$AI$6:$AI$505,"&lt;="&amp;$A256,実績!$AJ$6:$AJ$505,"&gt;"&amp;$A256,実績!$AL$6:$AL$505,"○")&gt;0,1,0))</f>
        <v>0</v>
      </c>
      <c r="Z256" s="39" t="n">
        <f aca="false">IF(Z$4=0,0,IF(COUNTIFS(実績!$W$6:$W$505,Z$3,実績!$AI$6:$AI$505,"&lt;="&amp;$A256,実績!$AJ$6:$AJ$505,"&gt;"&amp;$A256,実績!$AL$6:$AL$505,"○")&gt;0,1,0))</f>
        <v>0</v>
      </c>
      <c r="AA256" s="39" t="n">
        <f aca="false">IF(AA$4=0,0,IF(COUNTIFS(実績!$W$6:$W$505,AA$3,実績!$AI$6:$AI$505,"&lt;="&amp;$A256,実績!$AJ$6:$AJ$505,"&gt;"&amp;$A256,実績!$AL$6:$AL$505,"○")&gt;0,1,0))</f>
        <v>0</v>
      </c>
      <c r="AB256" s="39" t="n">
        <f aca="false">IF(AB$4=0,0,IF(COUNTIFS(実績!$W$6:$W$505,AB$3,実績!$AI$6:$AI$505,"&lt;="&amp;$A256,実績!$AJ$6:$AJ$505,"&gt;"&amp;$A256,実績!$AL$6:$AL$505,"○")&gt;0,1,0))</f>
        <v>0</v>
      </c>
      <c r="AC256" s="39" t="n">
        <f aca="false">IF(AC$4=0,0,IF(COUNTIFS(実績!$W$6:$W$505,AC$3,実績!$AI$6:$AI$505,"&lt;="&amp;$A256,実績!$AJ$6:$AJ$505,"&gt;"&amp;$A256,実績!$AL$6:$AL$505,"○")&gt;0,1,0))</f>
        <v>0</v>
      </c>
      <c r="AD256" s="39" t="n">
        <f aca="false">IF(AD$4=0,0,IF(COUNTIFS(実績!$W$6:$W$505,AD$3,実績!$AI$6:$AI$505,"&lt;="&amp;$A256,実績!$AJ$6:$AJ$505,"&gt;"&amp;$A256,実績!$AL$6:$AL$505,"○")&gt;0,1,0))</f>
        <v>0</v>
      </c>
      <c r="AE256" s="39" t="n">
        <f aca="false">IF(AE$4=0,0,IF(COUNTIFS(実績!$W$6:$W$505,AE$3,実績!$AI$6:$AI$505,"&lt;="&amp;$A256,実績!$AJ$6:$AJ$505,"&gt;"&amp;$A256,実績!$AL$6:$AL$505,"○")&gt;0,1,0))</f>
        <v>0</v>
      </c>
      <c r="AF256" s="39" t="n">
        <f aca="false">IF(AF$4=0,0,IF(COUNTIFS(実績!$W$6:$W$505,AF$3,実績!$AI$6:$AI$505,"&lt;="&amp;$A256,実績!$AJ$6:$AJ$505,"&gt;"&amp;$A256,実績!$AL$6:$AL$505,"○")&gt;0,1,0))</f>
        <v>0</v>
      </c>
      <c r="AG256" s="39" t="n">
        <f aca="false">IF(AG$4=0,0,IF(COUNTIFS(実績!$W$6:$W$505,AG$3,実績!$AI$6:$AI$505,"&lt;="&amp;$A256,実績!$AJ$6:$AJ$505,"&gt;"&amp;$A256,実績!$AL$6:$AL$505,"○")&gt;0,1,0))</f>
        <v>0</v>
      </c>
      <c r="AH256" s="39" t="n">
        <f aca="false">IF(AH$4=0,0,IF(COUNTIFS(実績!$W$6:$W$505,AH$3,実績!$AI$6:$AI$505,"&lt;="&amp;$A256,実績!$AJ$6:$AJ$505,"&gt;"&amp;$A256,実績!$AL$6:$AL$505,"○")&gt;0,1,0))</f>
        <v>0</v>
      </c>
      <c r="AI256" s="39" t="n">
        <f aca="false">IF(AI$4=0,0,IF(COUNTIFS(実績!$W$6:$W$505,AI$3,実績!$AI$6:$AI$505,"&lt;="&amp;$A256,実績!$AJ$6:$AJ$505,"&gt;"&amp;$A256,実績!$AL$6:$AL$505,"○")&gt;0,1,0))</f>
        <v>0</v>
      </c>
      <c r="AJ256" s="39" t="n">
        <f aca="false">IF(AJ$4=0,0,IF(COUNTIFS(実績!$W$6:$W$505,AJ$3,実績!$AI$6:$AI$505,"&lt;="&amp;$A256,実績!$AJ$6:$AJ$505,"&gt;"&amp;$A256,実績!$AL$6:$AL$505,"○")&gt;0,1,0))</f>
        <v>0</v>
      </c>
      <c r="AK256" s="39" t="n">
        <f aca="false">IF(AK$4=0,0,IF(COUNTIFS(実績!$W$6:$W$505,AK$3,実績!$AI$6:$AI$505,"&lt;="&amp;$A256,実績!$AJ$6:$AJ$505,"&gt;"&amp;$A256,実績!$AL$6:$AL$505,"○")&gt;0,1,0))</f>
        <v>0</v>
      </c>
      <c r="AL256" s="39" t="n">
        <f aca="false">IF(AL$4=0,0,IF(COUNTIFS(実績!$W$6:$W$505,AL$3,実績!$AI$6:$AI$505,"&lt;="&amp;$A256,実績!$AJ$6:$AJ$505,"&gt;"&amp;$A256,実績!$AL$6:$AL$505,"○")&gt;0,1,0))</f>
        <v>0</v>
      </c>
      <c r="AM256" s="39" t="n">
        <f aca="false">IF(AM$4=0,0,IF(COUNTIFS(実績!$W$6:$W$505,AM$3,実績!$AI$6:$AI$505,"&lt;="&amp;$A256,実績!$AJ$6:$AJ$505,"&gt;"&amp;$A256,実績!$AL$6:$AL$505,"○")&gt;0,1,0))</f>
        <v>0</v>
      </c>
      <c r="AN256" s="39" t="n">
        <f aca="false">IF(AN$4=0,0,IF(COUNTIFS(実績!$W$6:$W$505,AN$3,実績!$AI$6:$AI$505,"&lt;="&amp;$A256,実績!$AJ$6:$AJ$505,"&gt;"&amp;$A256,実績!$AL$6:$AL$505,"○")&gt;0,1,0))</f>
        <v>0</v>
      </c>
      <c r="AO256" s="39" t="n">
        <f aca="false">IF(AO$4=0,0,IF(COUNTIFS(実績!$W$6:$W$505,AO$3,実績!$AI$6:$AI$505,"&lt;="&amp;$A256,実績!$AJ$6:$AJ$505,"&gt;"&amp;$A256,実績!$AL$6:$AL$505,"○")&gt;0,1,0))</f>
        <v>0</v>
      </c>
      <c r="AP256" s="39" t="n">
        <f aca="false">IF(AP$4=0,0,IF(COUNTIFS(実績!$W$6:$W$505,AP$3,実績!$AI$6:$AI$505,"&lt;="&amp;$A256,実績!$AJ$6:$AJ$505,"&gt;"&amp;$A256,実績!$AL$6:$AL$505,"○")&gt;0,1,0))</f>
        <v>0</v>
      </c>
      <c r="AQ256" s="39" t="n">
        <f aca="false">IF(AQ$4=0,0,IF(COUNTIFS(実績!$W$6:$W$505,AQ$3,実績!$AI$6:$AI$505,"&lt;="&amp;$A256,実績!$AJ$6:$AJ$505,"&gt;"&amp;$A256,実績!$AL$6:$AL$505,"○")&gt;0,1,0))</f>
        <v>0</v>
      </c>
      <c r="AR256" s="39" t="n">
        <f aca="false">IF(AR$4=0,0,IF(COUNTIFS(実績!$W$6:$W$505,AR$3,実績!$AI$6:$AI$505,"&lt;="&amp;$A256,実績!$AJ$6:$AJ$505,"&gt;"&amp;$A256,実績!$AL$6:$AL$505,"○")&gt;0,1,0))</f>
        <v>0</v>
      </c>
      <c r="AS256" s="39" t="n">
        <f aca="false">IF(AS$4=0,0,IF(COUNTIFS(実績!$W$6:$W$505,AS$3,実績!$AI$6:$AI$505,"&lt;="&amp;$A256,実績!$AJ$6:$AJ$505,"&gt;"&amp;$A256,実績!$AL$6:$AL$505,"○")&gt;0,1,0))</f>
        <v>0</v>
      </c>
      <c r="AT256" s="39" t="n">
        <f aca="false">IF(AT$4=0,0,IF(COUNTIFS(実績!$W$6:$W$505,AT$3,実績!$AI$6:$AI$505,"&lt;="&amp;$A256,実績!$AJ$6:$AJ$505,"&gt;"&amp;$A256,実績!$AL$6:$AL$505,"○")&gt;0,1,0))</f>
        <v>0</v>
      </c>
      <c r="AU256" s="39" t="n">
        <f aca="false">IF(AU$4=0,0,IF(COUNTIFS(実績!$W$6:$W$505,AU$3,実績!$AI$6:$AI$505,"&lt;="&amp;$A256,実績!$AJ$6:$AJ$505,"&gt;"&amp;$A256,実績!$AL$6:$AL$505,"○")&gt;0,1,0))</f>
        <v>0</v>
      </c>
      <c r="AV256" s="39" t="n">
        <f aca="false">IF(AV$4=0,0,IF(COUNTIFS(実績!$W$6:$W$505,AV$3,実績!$AI$6:$AI$505,"&lt;="&amp;$A256,実績!$AJ$6:$AJ$505,"&gt;"&amp;$A256,実績!$AL$6:$AL$505,"○")&gt;0,1,0))</f>
        <v>0</v>
      </c>
      <c r="AW256" s="39" t="n">
        <f aca="false">IF(AW$4=0,0,IF(COUNTIFS(実績!$W$6:$W$505,AW$3,実績!$AI$6:$AI$505,"&lt;="&amp;$A256,実績!$AJ$6:$AJ$505,"&gt;"&amp;$A256,実績!$AL$6:$AL$505,"○")&gt;0,1,0))</f>
        <v>0</v>
      </c>
      <c r="AX256" s="39" t="n">
        <f aca="false">IF(AX$4=0,0,IF(COUNTIFS(実績!$W$6:$W$505,AX$3,実績!$AI$6:$AI$505,"&lt;="&amp;$A256,実績!$AJ$6:$AJ$505,"&gt;"&amp;$A256,実績!$AL$6:$AL$505,"○")&gt;0,1,0))</f>
        <v>0</v>
      </c>
      <c r="AY256" s="39" t="n">
        <f aca="false">IF(AY$4=0,0,IF(COUNTIFS(実績!$W$6:$W$505,AY$3,実績!$AI$6:$AI$505,"&lt;="&amp;$A256,実績!$AJ$6:$AJ$505,"&gt;"&amp;$A256,実績!$AL$6:$AL$505,"○")&gt;0,1,0))</f>
        <v>0</v>
      </c>
      <c r="AZ256" s="39" t="n">
        <f aca="false">IF(AZ$4=0,0,IF(COUNTIFS(実績!$W$6:$W$505,AZ$3,実績!$AI$6:$AI$505,"&lt;="&amp;$A256,実績!$AJ$6:$AJ$505,"&gt;"&amp;$A256,実績!$AL$6:$AL$505,"○")&gt;0,1,0))</f>
        <v>0</v>
      </c>
      <c r="BA256" s="39" t="n">
        <f aca="false">IF(BA$4=0,0,IF(COUNTIFS(実績!$W$6:$W$505,BA$3,実績!$AI$6:$AI$505,"&lt;="&amp;$A256,実績!$AJ$6:$AJ$505,"&gt;"&amp;$A256,実績!$AL$6:$AL$505,"○")&gt;0,1,0))</f>
        <v>0</v>
      </c>
      <c r="BB256" s="39" t="n">
        <f aca="false">IF(BB$4=0,0,IF(COUNTIFS(実績!$W$6:$W$505,BB$3,実績!$AI$6:$AI$505,"&lt;="&amp;$A256,実績!$AJ$6:$AJ$505,"&gt;"&amp;$A256,実績!$AL$6:$AL$505,"○")&gt;0,1,0))</f>
        <v>0</v>
      </c>
      <c r="BC256" s="39" t="n">
        <f aca="false">IF(BC$4=0,0,IF(COUNTIFS(実績!$W$6:$W$505,BC$3,実績!$AI$6:$AI$505,"&lt;="&amp;$A256,実績!$AJ$6:$AJ$505,"&gt;"&amp;$A256,実績!$AL$6:$AL$505,"○")&gt;0,1,0))</f>
        <v>0</v>
      </c>
      <c r="BD256" s="39" t="n">
        <f aca="false">IF(BD$4=0,0,IF(COUNTIFS(実績!$W$6:$W$505,BD$3,実績!$AI$6:$AI$505,"&lt;="&amp;$A256,実績!$AJ$6:$AJ$505,"&gt;"&amp;$A256,実績!$AL$6:$AL$505,"○")&gt;0,1,0))</f>
        <v>0</v>
      </c>
      <c r="BE256" s="39" t="n">
        <f aca="false">IF(BE$4=0,0,IF(COUNTIFS(実績!$W$6:$W$505,BE$3,実績!$AI$6:$AI$505,"&lt;="&amp;$A256,実績!$AJ$6:$AJ$505,"&gt;"&amp;$A256,実績!$AL$6:$AL$505,"○")&gt;0,1,0))</f>
        <v>0</v>
      </c>
      <c r="BF256" s="39" t="n">
        <f aca="false">IF(BF$4=0,0,IF(COUNTIFS(実績!$W$6:$W$505,BF$3,実績!$AI$6:$AI$505,"&lt;="&amp;$A256,実績!$AJ$6:$AJ$505,"&gt;"&amp;$A256,実績!$AL$6:$AL$505,"○")&gt;0,1,0))</f>
        <v>0</v>
      </c>
      <c r="BG256" s="39" t="n">
        <f aca="false">IF(BG$4=0,0,IF(COUNTIFS(実績!$W$6:$W$505,BG$3,実績!$AI$6:$AI$505,"&lt;="&amp;$A256,実績!$AJ$6:$AJ$505,"&gt;"&amp;$A256,実績!$AL$6:$AL$505,"○")&gt;0,1,0))</f>
        <v>0</v>
      </c>
      <c r="BH256" s="39" t="n">
        <f aca="false">IF(BH$4=0,0,IF(COUNTIFS(実績!$W$6:$W$505,BH$3,実績!$AI$6:$AI$505,"&lt;="&amp;$A256,実績!$AJ$6:$AJ$505,"&gt;"&amp;$A256,実績!$AL$6:$AL$505,"○")&gt;0,1,0))</f>
        <v>0</v>
      </c>
      <c r="BI256" s="39" t="n">
        <f aca="false">IF(BI$4=0,0,IF(COUNTIFS(実績!$W$6:$W$505,BI$3,実績!$AI$6:$AI$505,"&lt;="&amp;$A256,実績!$AJ$6:$AJ$505,"&gt;"&amp;$A256,実績!$AL$6:$AL$505,"○")&gt;0,1,0))</f>
        <v>0</v>
      </c>
      <c r="BJ256" s="39" t="n">
        <f aca="false">IF(BJ$4=0,0,IF(COUNTIFS(実績!$W$6:$W$505,BJ$3,実績!$AI$6:$AI$505,"&lt;="&amp;$A256,実績!$AJ$6:$AJ$505,"&gt;"&amp;$A256,実績!$AL$6:$AL$505,"○")&gt;0,1,0))</f>
        <v>0</v>
      </c>
      <c r="BK256" s="39" t="n">
        <f aca="false">IF(BK$4=0,0,IF(COUNTIFS(実績!$W$6:$W$505,BK$3,実績!$AI$6:$AI$505,"&lt;="&amp;$A256,実績!$AJ$6:$AJ$505,"&gt;"&amp;$A256,実績!$AL$6:$AL$505,"○")&gt;0,1,0))</f>
        <v>0</v>
      </c>
      <c r="BL256" s="39" t="n">
        <f aca="false">IF(BL$4=0,0,IF(COUNTIFS(実績!$W$6:$W$505,BL$3,実績!$AI$6:$AI$505,"&lt;="&amp;$A256,実績!$AJ$6:$AJ$505,"&gt;"&amp;$A256,実績!$AL$6:$AL$505,"○")&gt;0,1,0))</f>
        <v>0</v>
      </c>
      <c r="BM256" s="39" t="n">
        <f aca="false">IF(BM$4=0,0,IF(COUNTIFS(実績!$W$6:$W$505,BM$3,実績!$AI$6:$AI$505,"&lt;="&amp;$A256,実績!$AJ$6:$AJ$505,"&gt;"&amp;$A256,実績!$AL$6:$AL$505,"○")&gt;0,1,0))</f>
        <v>0</v>
      </c>
      <c r="BN256" s="39" t="n">
        <f aca="false">IF(BN$4=0,0,IF(COUNTIFS(実績!$W$6:$W$505,BN$3,実績!$AI$6:$AI$505,"&lt;="&amp;$A256,実績!$AJ$6:$AJ$505,"&gt;"&amp;$A256,実績!$AL$6:$AL$505,"○")&gt;0,1,0))</f>
        <v>0</v>
      </c>
      <c r="BO256" s="39" t="n">
        <f aca="false">IF(BO$4=0,0,IF(COUNTIFS(実績!$W$6:$W$505,BO$3,実績!$AI$6:$AI$505,"&lt;="&amp;$A256,実績!$AJ$6:$AJ$505,"&gt;"&amp;$A256,実績!$AL$6:$AL$505,"○")&gt;0,1,0))</f>
        <v>0</v>
      </c>
      <c r="BP256" s="39" t="n">
        <f aca="false">IF(BP$4=0,0,IF(COUNTIFS(実績!$W$6:$W$505,BP$3,実績!$AI$6:$AI$505,"&lt;="&amp;$A256,実績!$AJ$6:$AJ$505,"&gt;"&amp;$A256,実績!$AL$6:$AL$505,"○")&gt;0,1,0))</f>
        <v>0</v>
      </c>
      <c r="BQ256" s="39" t="n">
        <f aca="false">IF(BQ$4=0,0,IF(COUNTIFS(実績!$W$6:$W$505,BQ$3,実績!$AI$6:$AI$505,"&lt;="&amp;$A256,実績!$AJ$6:$AJ$505,"&gt;"&amp;$A256,実績!$AL$6:$AL$505,"○")&gt;0,1,0))</f>
        <v>0</v>
      </c>
      <c r="BR256" s="39" t="n">
        <f aca="false">IF(BR$4=0,0,IF(COUNTIFS(実績!$W$6:$W$505,BR$3,実績!$AI$6:$AI$505,"&lt;="&amp;$A256,実績!$AJ$6:$AJ$505,"&gt;"&amp;$A256,実績!$AL$6:$AL$505,"○")&gt;0,1,0))</f>
        <v>0</v>
      </c>
      <c r="BS256" s="39" t="n">
        <f aca="false">IF(BS$4=0,0,IF(COUNTIFS(実績!$W$6:$W$505,BS$3,実績!$AI$6:$AI$505,"&lt;="&amp;$A256,実績!$AJ$6:$AJ$505,"&gt;"&amp;$A256,実績!$AL$6:$AL$505,"○")&gt;0,1,0))</f>
        <v>0</v>
      </c>
      <c r="BT256" s="39" t="n">
        <f aca="false">IF(BT$4=0,0,IF(COUNTIFS(実績!$W$6:$W$505,BT$3,実績!$AI$6:$AI$505,"&lt;="&amp;$A256,実績!$AJ$6:$AJ$505,"&gt;"&amp;$A256,実績!$AL$6:$AL$505,"○")&gt;0,1,0))</f>
        <v>0</v>
      </c>
      <c r="BU256" s="39" t="n">
        <f aca="false">IF(BU$4=0,0,IF(COUNTIFS(実績!$W$6:$W$505,BU$3,実績!$AI$6:$AI$505,"&lt;="&amp;$A256,実績!$AJ$6:$AJ$505,"&gt;"&amp;$A256,実績!$AL$6:$AL$505,"○")&gt;0,1,0))</f>
        <v>0</v>
      </c>
      <c r="BV256" s="39" t="n">
        <f aca="false">IF(BV$4=0,0,IF(COUNTIFS(実績!$W$6:$W$505,BV$3,実績!$AI$6:$AI$505,"&lt;="&amp;$A256,実績!$AJ$6:$AJ$505,"&gt;"&amp;$A256,実績!$AL$6:$AL$505,"○")&gt;0,1,0))</f>
        <v>0</v>
      </c>
      <c r="BW256" s="39" t="n">
        <f aca="false">IF(BW$4=0,0,IF(COUNTIFS(実績!$W$6:$W$505,BW$3,実績!$AI$6:$AI$505,"&lt;="&amp;$A256,実績!$AJ$6:$AJ$505,"&gt;"&amp;$A256,実績!$AL$6:$AL$505,"○")&gt;0,1,0))</f>
        <v>0</v>
      </c>
      <c r="BX256" s="39" t="n">
        <f aca="false">IF(BX$4=0,0,IF(COUNTIFS(実績!$W$6:$W$505,BX$3,実績!$AI$6:$AI$505,"&lt;="&amp;$A256,実績!$AJ$6:$AJ$505,"&gt;"&amp;$A256,実績!$AL$6:$AL$505,"○")&gt;0,1,0))</f>
        <v>0</v>
      </c>
      <c r="BY256" s="39" t="n">
        <f aca="false">IF(BY$4=0,0,IF(COUNTIFS(実績!$W$6:$W$505,BY$3,実績!$AI$6:$AI$505,"&lt;="&amp;$A256,実績!$AJ$6:$AJ$505,"&gt;"&amp;$A256,実績!$AL$6:$AL$505,"○")&gt;0,1,0))</f>
        <v>0</v>
      </c>
      <c r="BZ256" s="39" t="n">
        <f aca="false">IF(BZ$4=0,0,IF(COUNTIFS(実績!$W$6:$W$505,BZ$3,実績!$AI$6:$AI$505,"&lt;="&amp;$A256,実績!$AJ$6:$AJ$505,"&gt;"&amp;$A256,実績!$AL$6:$AL$505,"○")&gt;0,1,0))</f>
        <v>0</v>
      </c>
      <c r="CA256" s="39" t="n">
        <f aca="false">IF(CA$4=0,0,IF(COUNTIFS(実績!$W$6:$W$505,CA$3,実績!$AI$6:$AI$505,"&lt;="&amp;$A256,実績!$AJ$6:$AJ$505,"&gt;"&amp;$A256,実績!$AL$6:$AL$505,"○")&gt;0,1,0))</f>
        <v>0</v>
      </c>
      <c r="CB256" s="39" t="n">
        <f aca="false">IF(CB$4=0,0,IF(COUNTIFS(実績!$W$6:$W$505,CB$3,実績!$AI$6:$AI$505,"&lt;="&amp;$A256,実績!$AJ$6:$AJ$505,"&gt;"&amp;$A256,実績!$AL$6:$AL$505,"○")&gt;0,1,0))</f>
        <v>0</v>
      </c>
      <c r="CC256" s="39" t="n">
        <f aca="false">IF(CC$4=0,0,IF(COUNTIFS(実績!$W$6:$W$505,CC$3,実績!$AI$6:$AI$505,"&lt;="&amp;$A256,実績!$AJ$6:$AJ$505,"&gt;"&amp;$A256,実績!$AL$6:$AL$505,"○")&gt;0,1,0))</f>
        <v>0</v>
      </c>
      <c r="CD256" s="39" t="n">
        <f aca="false">IF(CD$4=0,0,IF(COUNTIFS(実績!$W$6:$W$505,CD$3,実績!$AI$6:$AI$505,"&lt;="&amp;$A256,実績!$AJ$6:$AJ$505,"&gt;"&amp;$A256,実績!$AL$6:$AL$505,"○")&gt;0,1,0))</f>
        <v>0</v>
      </c>
      <c r="CE256" s="39" t="n">
        <f aca="false">IF(CE$4=0,0,IF(COUNTIFS(実績!$W$6:$W$505,CE$3,実績!$AI$6:$AI$505,"&lt;="&amp;$A256,実績!$AJ$6:$AJ$505,"&gt;"&amp;$A256,実績!$AL$6:$AL$505,"○")&gt;0,1,0))</f>
        <v>0</v>
      </c>
      <c r="CF256" s="39" t="n">
        <f aca="false">IF(CF$4=0,0,IF(COUNTIFS(実績!$W$6:$W$505,CF$3,実績!$AI$6:$AI$505,"&lt;="&amp;$A256,実績!$AJ$6:$AJ$505,"&gt;"&amp;$A256,実績!$AL$6:$AL$505,"○")&gt;0,1,0))</f>
        <v>0</v>
      </c>
      <c r="CG256" s="39" t="n">
        <f aca="false">IF(CG$4=0,0,IF(COUNTIFS(実績!$W$6:$W$505,CG$3,実績!$AI$6:$AI$505,"&lt;="&amp;$A256,実績!$AJ$6:$AJ$505,"&gt;"&amp;$A256,実績!$AL$6:$AL$505,"○")&gt;0,1,0))</f>
        <v>0</v>
      </c>
      <c r="CH256" s="39" t="n">
        <f aca="false">IF(CH$4=0,0,IF(COUNTIFS(実績!$W$6:$W$505,CH$3,実績!$AI$6:$AI$505,"&lt;="&amp;$A256,実績!$AJ$6:$AJ$505,"&gt;"&amp;$A256,実績!$AL$6:$AL$505,"○")&gt;0,1,0))</f>
        <v>0</v>
      </c>
      <c r="CI256" s="39" t="n">
        <f aca="false">IF(CI$4=0,0,IF(COUNTIFS(実績!$W$6:$W$505,CI$3,実績!$AI$6:$AI$505,"&lt;="&amp;$A256,実績!$AJ$6:$AJ$505,"&gt;"&amp;$A256,実績!$AL$6:$AL$505,"○")&gt;0,1,0))</f>
        <v>0</v>
      </c>
      <c r="CJ256" s="39" t="n">
        <f aca="false">IF(CJ$4=0,0,IF(COUNTIFS(実績!$W$6:$W$505,CJ$3,実績!$AI$6:$AI$505,"&lt;="&amp;$A256,実績!$AJ$6:$AJ$505,"&gt;"&amp;$A256,実績!$AL$6:$AL$505,"○")&gt;0,1,0))</f>
        <v>0</v>
      </c>
      <c r="CK256" s="39" t="n">
        <f aca="false">IF(CK$4=0,0,IF(COUNTIFS(実績!$W$6:$W$505,CK$3,実績!$AI$6:$AI$505,"&lt;="&amp;$A256,実績!$AJ$6:$AJ$505,"&gt;"&amp;$A256,実績!$AL$6:$AL$505,"○")&gt;0,1,0))</f>
        <v>0</v>
      </c>
      <c r="CL256" s="39" t="n">
        <f aca="false">IF(CL$4=0,0,IF(COUNTIFS(実績!$W$6:$W$505,CL$3,実績!$AI$6:$AI$505,"&lt;="&amp;$A256,実績!$AJ$6:$AJ$505,"&gt;"&amp;$A256,実績!$AL$6:$AL$505,"○")&gt;0,1,0))</f>
        <v>0</v>
      </c>
      <c r="CM256" s="39" t="n">
        <f aca="false">IF(CM$4=0,0,IF(COUNTIFS(実績!$W$6:$W$505,CM$3,実績!$AI$6:$AI$505,"&lt;="&amp;$A256,実績!$AJ$6:$AJ$505,"&gt;"&amp;$A256,実績!$AL$6:$AL$505,"○")&gt;0,1,0))</f>
        <v>0</v>
      </c>
      <c r="CN256" s="39" t="n">
        <f aca="false">IF(CN$4=0,0,IF(COUNTIFS(実績!$W$6:$W$505,CN$3,実績!$AI$6:$AI$505,"&lt;="&amp;$A256,実績!$AJ$6:$AJ$505,"&gt;"&amp;$A256,実績!$AL$6:$AL$505,"○")&gt;0,1,0))</f>
        <v>0</v>
      </c>
      <c r="CO256" s="39" t="n">
        <f aca="false">IF(CO$4=0,0,IF(COUNTIFS(実績!$W$6:$W$505,CO$3,実績!$AI$6:$AI$505,"&lt;="&amp;$A256,実績!$AJ$6:$AJ$505,"&gt;"&amp;$A256,実績!$AL$6:$AL$505,"○")&gt;0,1,0))</f>
        <v>0</v>
      </c>
      <c r="CP256" s="39" t="n">
        <f aca="false">IF(CP$4=0,0,IF(COUNTIFS(実績!$W$6:$W$505,CP$3,実績!$AI$6:$AI$505,"&lt;="&amp;$A256,実績!$AJ$6:$AJ$505,"&gt;"&amp;$A256,実績!$AL$6:$AL$505,"○")&gt;0,1,0))</f>
        <v>0</v>
      </c>
      <c r="CQ256" s="39" t="n">
        <f aca="false">IF(CQ$4=0,0,IF(COUNTIFS(実績!$W$6:$W$505,CQ$3,実績!$AI$6:$AI$505,"&lt;="&amp;$A256,実績!$AJ$6:$AJ$505,"&gt;"&amp;$A256,実績!$AL$6:$AL$505,"○")&gt;0,1,0))</f>
        <v>0</v>
      </c>
      <c r="CR256" s="39" t="n">
        <f aca="false">IF(CR$4=0,0,IF(COUNTIFS(実績!$W$6:$W$505,CR$3,実績!$AI$6:$AI$505,"&lt;="&amp;$A256,実績!$AJ$6:$AJ$505,"&gt;"&amp;$A256,実績!$AL$6:$AL$505,"○")&gt;0,1,0))</f>
        <v>0</v>
      </c>
      <c r="CS256" s="39" t="n">
        <f aca="false">IF(CS$4=0,0,IF(COUNTIFS(実績!$W$6:$W$505,CS$3,実績!$AI$6:$AI$505,"&lt;="&amp;$A256,実績!$AJ$6:$AJ$505,"&gt;"&amp;$A256,実績!$AL$6:$AL$505,"○")&gt;0,1,0))</f>
        <v>0</v>
      </c>
      <c r="CT256" s="39" t="n">
        <f aca="false">IF(CT$4=0,0,IF(COUNTIFS(実績!$W$6:$W$505,CT$3,実績!$AI$6:$AI$505,"&lt;="&amp;$A256,実績!$AJ$6:$AJ$505,"&gt;"&amp;$A256,実績!$AL$6:$AL$505,"○")&gt;0,1,0))</f>
        <v>0</v>
      </c>
      <c r="CU256" s="39" t="n">
        <f aca="false">IF(CU$4=0,0,IF(COUNTIFS(実績!$W$6:$W$505,CU$3,実績!$AI$6:$AI$505,"&lt;="&amp;$A256,実績!$AJ$6:$AJ$505,"&gt;"&amp;$A256,実績!$AL$6:$AL$505,"○")&gt;0,1,0))</f>
        <v>0</v>
      </c>
      <c r="CV256" s="39" t="n">
        <f aca="false">IF(CV$4=0,0,IF(COUNTIFS(実績!$W$6:$W$505,CV$3,実績!$AI$6:$AI$505,"&lt;="&amp;$A256,実績!$AJ$6:$AJ$505,"&gt;"&amp;$A256,実績!$AL$6:$AL$505,"○")&gt;0,1,0))</f>
        <v>0</v>
      </c>
      <c r="CW256" s="39" t="n">
        <f aca="false">IF(CW$4=0,0,IF(COUNTIFS(実績!$W$6:$W$505,CW$3,実績!$AI$6:$AI$505,"&lt;="&amp;$A256,実績!$AJ$6:$AJ$505,"&gt;"&amp;$A256,実績!$AL$6:$AL$505,"○")&gt;0,1,0))</f>
        <v>0</v>
      </c>
      <c r="CX256" s="39" t="n">
        <f aca="false">IF(CX$4=0,0,IF(COUNTIFS(実績!$W$6:$W$505,CX$3,実績!$AI$6:$AI$505,"&lt;="&amp;$A256,実績!$AJ$6:$AJ$505,"&gt;"&amp;$A256,実績!$AL$6:$AL$505,"○")&gt;0,1,0))</f>
        <v>0</v>
      </c>
      <c r="CY256" s="39" t="n">
        <f aca="false">IF(CY$4=0,0,IF(COUNTIFS(実績!$W$6:$W$505,CY$3,実績!$AI$6:$AI$505,"&lt;="&amp;$A256,実績!$AJ$6:$AJ$505,"&gt;"&amp;$A256,実績!$AL$6:$AL$505,"○")&gt;0,1,0))</f>
        <v>0</v>
      </c>
      <c r="CZ256" s="39" t="n">
        <f aca="false">IF(CZ$4=0,0,IF(COUNTIFS(実績!$W$6:$W$505,CZ$3,実績!$AI$6:$AI$505,"&lt;="&amp;$A256,実績!$AJ$6:$AJ$505,"&gt;"&amp;$A256,実績!$AL$6:$AL$505,"○")&gt;0,1,0))</f>
        <v>0</v>
      </c>
      <c r="DA256" s="39" t="n">
        <f aca="false">IF(DA$4=0,0,IF(COUNTIFS(実績!$W$6:$W$505,DA$3,実績!$AI$6:$AI$505,"&lt;="&amp;$A256,実績!$AJ$6:$AJ$505,"&gt;"&amp;$A256,実績!$AL$6:$AL$505,"○")&gt;0,1,0))</f>
        <v>0</v>
      </c>
      <c r="DB256" s="39" t="n">
        <f aca="false">IF(DB$4=0,0,IF(COUNTIFS(実績!$W$6:$W$505,DB$3,実績!$AI$6:$AI$505,"&lt;="&amp;$A256,実績!$AJ$6:$AJ$505,"&gt;"&amp;$A256,実績!$AL$6:$AL$505,"○")&gt;0,1,0))</f>
        <v>0</v>
      </c>
      <c r="DC256" s="39" t="n">
        <f aca="false">IF(DC$4=0,0,IF(COUNTIFS(実績!$W$6:$W$505,DC$3,実績!$AI$6:$AI$505,"&lt;="&amp;$A256,実績!$AJ$6:$AJ$505,"&gt;"&amp;$A256,実績!$AL$6:$AL$505,"○")&gt;0,1,0))</f>
        <v>0</v>
      </c>
      <c r="DD256" s="39" t="n">
        <f aca="false">IF(DD$4=0,0,IF(COUNTIFS(実績!$W$6:$W$505,DD$3,実績!$AI$6:$AI$505,"&lt;="&amp;$A256,実績!$AJ$6:$AJ$505,"&gt;"&amp;$A256,実績!$AL$6:$AL$505,"○")&gt;0,1,0))</f>
        <v>0</v>
      </c>
      <c r="DE256" s="39" t="n">
        <f aca="false">IF(DE$4=0,0,IF(COUNTIFS(実績!$W$6:$W$505,DE$3,実績!$AI$6:$AI$505,"&lt;="&amp;$A256,実績!$AJ$6:$AJ$505,"&gt;"&amp;$A256,実績!$AL$6:$AL$505,"○")&gt;0,1,0))</f>
        <v>0</v>
      </c>
      <c r="DF256" s="39" t="n">
        <f aca="false">IF(DF$4=0,0,IF(COUNTIFS(実績!$W$6:$W$505,DF$3,実績!$AI$6:$AI$505,"&lt;="&amp;$A256,実績!$AJ$6:$AJ$505,"&gt;"&amp;$A256,実績!$AL$6:$AL$505,"○")&gt;0,1,0))</f>
        <v>0</v>
      </c>
      <c r="DG256" s="39" t="n">
        <f aca="false">IF(DG$4=0,0,IF(COUNTIFS(実績!$W$6:$W$505,DG$3,実績!$AI$6:$AI$505,"&lt;="&amp;$A256,実績!$AJ$6:$AJ$505,"&gt;"&amp;$A256,実績!$AL$6:$AL$505,"○")&gt;0,1,0))</f>
        <v>0</v>
      </c>
      <c r="DH256" s="39" t="n">
        <f aca="false">IF(DH$4=0,0,IF(COUNTIFS(実績!$W$6:$W$505,DH$3,実績!$AI$6:$AI$505,"&lt;="&amp;$A256,実績!$AJ$6:$AJ$505,"&gt;"&amp;$A256,実績!$AL$6:$AL$505,"○")&gt;0,1,0))</f>
        <v>0</v>
      </c>
      <c r="DI256" s="39" t="n">
        <f aca="false">IF(DI$4=0,0,IF(COUNTIFS(実績!$W$6:$W$505,DI$3,実績!$AI$6:$AI$505,"&lt;="&amp;$A256,実績!$AJ$6:$AJ$505,"&gt;"&amp;$A256,実績!$AL$6:$AL$505,"○")&gt;0,1,0))</f>
        <v>0</v>
      </c>
      <c r="DJ256" s="39" t="n">
        <f aca="false">IF(DJ$4=0,0,IF(COUNTIFS(実績!$W$6:$W$505,DJ$3,実績!$AI$6:$AI$505,"&lt;="&amp;$A256,実績!$AJ$6:$AJ$505,"&gt;"&amp;$A256,実績!$AL$6:$AL$505,"○")&gt;0,1,0))</f>
        <v>0</v>
      </c>
      <c r="DK256" s="39" t="n">
        <f aca="false">IF(DK$4=0,0,IF(COUNTIFS(実績!$W$6:$W$505,DK$3,実績!$AI$6:$AI$505,"&lt;="&amp;$A256,実績!$AJ$6:$AJ$505,"&gt;"&amp;$A256,実績!$AL$6:$AL$505,"○")&gt;0,1,0))</f>
        <v>0</v>
      </c>
      <c r="DL256" s="39" t="n">
        <f aca="false">IF(DL$4=0,0,IF(COUNTIFS(実績!$W$6:$W$505,DL$3,実績!$AI$6:$AI$505,"&lt;="&amp;$A256,実績!$AJ$6:$AJ$505,"&gt;"&amp;$A256,実績!$AL$6:$AL$505,"○")&gt;0,1,0))</f>
        <v>0</v>
      </c>
      <c r="DM256" s="39" t="n">
        <f aca="false">IF(DM$4=0,0,IF(COUNTIFS(実績!$W$6:$W$505,DM$3,実績!$AI$6:$AI$505,"&lt;="&amp;$A256,実績!$AJ$6:$AJ$505,"&gt;"&amp;$A256,実績!$AL$6:$AL$505,"○")&gt;0,1,0))</f>
        <v>0</v>
      </c>
      <c r="DN256" s="39" t="n">
        <f aca="false">IF(DN$4=0,0,IF(COUNTIFS(実績!$W$6:$W$505,DN$3,実績!$AI$6:$AI$505,"&lt;="&amp;$A256,実績!$AJ$6:$AJ$505,"&gt;"&amp;$A256,実績!$AL$6:$AL$505,"○")&gt;0,1,0))</f>
        <v>0</v>
      </c>
      <c r="DO256" s="39" t="n">
        <f aca="false">IF(DO$4=0,0,IF(COUNTIFS(実績!$W$6:$W$505,DO$3,実績!$AI$6:$AI$505,"&lt;="&amp;$A256,実績!$AJ$6:$AJ$505,"&gt;"&amp;$A256,実績!$AL$6:$AL$505,"○")&gt;0,1,0))</f>
        <v>0</v>
      </c>
      <c r="DP256" s="39" t="n">
        <f aca="false">IF(DP$4=0,0,IF(COUNTIFS(実績!$W$6:$W$505,DP$3,実績!$AI$6:$AI$505,"&lt;="&amp;$A256,実績!$AJ$6:$AJ$505,"&gt;"&amp;$A256,実績!$AL$6:$AL$505,"○")&gt;0,1,0))</f>
        <v>0</v>
      </c>
      <c r="DQ256" s="39" t="n">
        <f aca="false">IF(DQ$4=0,0,IF(COUNTIFS(実績!$W$6:$W$505,DQ$3,実績!$AI$6:$AI$505,"&lt;="&amp;$A256,実績!$AJ$6:$AJ$505,"&gt;"&amp;$A256,実績!$AL$6:$AL$505,"○")&gt;0,1,0))</f>
        <v>0</v>
      </c>
      <c r="DR256" s="39" t="n">
        <f aca="false">IF(DR$4=0,0,IF(COUNTIFS(実績!$W$6:$W$505,DR$3,実績!$AI$6:$AI$505,"&lt;="&amp;$A256,実績!$AJ$6:$AJ$505,"&gt;"&amp;$A256,実績!$AL$6:$AL$505,"○")&gt;0,1,0))</f>
        <v>0</v>
      </c>
      <c r="DS256" s="39" t="n">
        <f aca="false">SUM(C256:DR256)</f>
        <v>0</v>
      </c>
    </row>
    <row r="257" customFormat="false" ht="15" hidden="false" customHeight="false" outlineLevel="0" collapsed="false">
      <c r="A257" s="0" t="n">
        <v>1255</v>
      </c>
      <c r="B257" s="38" t="n">
        <f aca="false">A257/1440</f>
        <v>0.871527777777778</v>
      </c>
      <c r="C257" s="39" t="n">
        <f aca="false">IF(C$4=0,0,IF(COUNTIFS(実績!$W$6:$W$505,C$3,実績!$AI$6:$AI$505,"&lt;="&amp;$A257,実績!$AJ$6:$AJ$505,"&gt;"&amp;$A257,実績!$AL$6:$AL$505,"○")&gt;0,1,0))</f>
        <v>0</v>
      </c>
      <c r="D257" s="39" t="n">
        <f aca="false">IF(D$4=0,0,IF(COUNTIFS(実績!$W$6:$W$505,D$3,実績!$AI$6:$AI$505,"&lt;="&amp;$A257,実績!$AJ$6:$AJ$505,"&gt;"&amp;$A257,実績!$AL$6:$AL$505,"○")&gt;0,1,0))</f>
        <v>0</v>
      </c>
      <c r="E257" s="39" t="n">
        <f aca="false">IF(E$4=0,0,IF(COUNTIFS(実績!$W$6:$W$505,E$3,実績!$AI$6:$AI$505,"&lt;="&amp;$A257,実績!$AJ$6:$AJ$505,"&gt;"&amp;$A257,実績!$AL$6:$AL$505,"○")&gt;0,1,0))</f>
        <v>0</v>
      </c>
      <c r="F257" s="39" t="n">
        <f aca="false">IF(F$4=0,0,IF(COUNTIFS(実績!$W$6:$W$505,F$3,実績!$AI$6:$AI$505,"&lt;="&amp;$A257,実績!$AJ$6:$AJ$505,"&gt;"&amp;$A257,実績!$AL$6:$AL$505,"○")&gt;0,1,0))</f>
        <v>0</v>
      </c>
      <c r="G257" s="39" t="n">
        <f aca="false">IF(G$4=0,0,IF(COUNTIFS(実績!$W$6:$W$505,G$3,実績!$AI$6:$AI$505,"&lt;="&amp;$A257,実績!$AJ$6:$AJ$505,"&gt;"&amp;$A257,実績!$AL$6:$AL$505,"○")&gt;0,1,0))</f>
        <v>0</v>
      </c>
      <c r="H257" s="39" t="n">
        <f aca="false">IF(H$4=0,0,IF(COUNTIFS(実績!$W$6:$W$505,H$3,実績!$AI$6:$AI$505,"&lt;="&amp;$A257,実績!$AJ$6:$AJ$505,"&gt;"&amp;$A257,実績!$AL$6:$AL$505,"○")&gt;0,1,0))</f>
        <v>0</v>
      </c>
      <c r="I257" s="39" t="n">
        <f aca="false">IF(I$4=0,0,IF(COUNTIFS(実績!$W$6:$W$505,I$3,実績!$AI$6:$AI$505,"&lt;="&amp;$A257,実績!$AJ$6:$AJ$505,"&gt;"&amp;$A257,実績!$AL$6:$AL$505,"○")&gt;0,1,0))</f>
        <v>0</v>
      </c>
      <c r="J257" s="39" t="n">
        <f aca="false">IF(J$4=0,0,IF(COUNTIFS(実績!$W$6:$W$505,J$3,実績!$AI$6:$AI$505,"&lt;="&amp;$A257,実績!$AJ$6:$AJ$505,"&gt;"&amp;$A257,実績!$AL$6:$AL$505,"○")&gt;0,1,0))</f>
        <v>0</v>
      </c>
      <c r="K257" s="39" t="n">
        <f aca="false">IF(K$4=0,0,IF(COUNTIFS(実績!$W$6:$W$505,K$3,実績!$AI$6:$AI$505,"&lt;="&amp;$A257,実績!$AJ$6:$AJ$505,"&gt;"&amp;$A257,実績!$AL$6:$AL$505,"○")&gt;0,1,0))</f>
        <v>0</v>
      </c>
      <c r="L257" s="39" t="n">
        <f aca="false">IF(L$4=0,0,IF(COUNTIFS(実績!$W$6:$W$505,L$3,実績!$AI$6:$AI$505,"&lt;="&amp;$A257,実績!$AJ$6:$AJ$505,"&gt;"&amp;$A257,実績!$AL$6:$AL$505,"○")&gt;0,1,0))</f>
        <v>0</v>
      </c>
      <c r="M257" s="39" t="n">
        <f aca="false">IF(M$4=0,0,IF(COUNTIFS(実績!$W$6:$W$505,M$3,実績!$AI$6:$AI$505,"&lt;="&amp;$A257,実績!$AJ$6:$AJ$505,"&gt;"&amp;$A257,実績!$AL$6:$AL$505,"○")&gt;0,1,0))</f>
        <v>0</v>
      </c>
      <c r="N257" s="39" t="n">
        <f aca="false">IF(N$4=0,0,IF(COUNTIFS(実績!$W$6:$W$505,N$3,実績!$AI$6:$AI$505,"&lt;="&amp;$A257,実績!$AJ$6:$AJ$505,"&gt;"&amp;$A257,実績!$AL$6:$AL$505,"○")&gt;0,1,0))</f>
        <v>0</v>
      </c>
      <c r="O257" s="39" t="n">
        <f aca="false">IF(O$4=0,0,IF(COUNTIFS(実績!$W$6:$W$505,O$3,実績!$AI$6:$AI$505,"&lt;="&amp;$A257,実績!$AJ$6:$AJ$505,"&gt;"&amp;$A257,実績!$AL$6:$AL$505,"○")&gt;0,1,0))</f>
        <v>0</v>
      </c>
      <c r="P257" s="39" t="n">
        <f aca="false">IF(P$4=0,0,IF(COUNTIFS(実績!$W$6:$W$505,P$3,実績!$AI$6:$AI$505,"&lt;="&amp;$A257,実績!$AJ$6:$AJ$505,"&gt;"&amp;$A257,実績!$AL$6:$AL$505,"○")&gt;0,1,0))</f>
        <v>0</v>
      </c>
      <c r="Q257" s="39" t="n">
        <f aca="false">IF(Q$4=0,0,IF(COUNTIFS(実績!$W$6:$W$505,Q$3,実績!$AI$6:$AI$505,"&lt;="&amp;$A257,実績!$AJ$6:$AJ$505,"&gt;"&amp;$A257,実績!$AL$6:$AL$505,"○")&gt;0,1,0))</f>
        <v>0</v>
      </c>
      <c r="R257" s="39" t="n">
        <f aca="false">IF(R$4=0,0,IF(COUNTIFS(実績!$W$6:$W$505,R$3,実績!$AI$6:$AI$505,"&lt;="&amp;$A257,実績!$AJ$6:$AJ$505,"&gt;"&amp;$A257,実績!$AL$6:$AL$505,"○")&gt;0,1,0))</f>
        <v>0</v>
      </c>
      <c r="S257" s="39" t="n">
        <f aca="false">IF(S$4=0,0,IF(COUNTIFS(実績!$W$6:$W$505,S$3,実績!$AI$6:$AI$505,"&lt;="&amp;$A257,実績!$AJ$6:$AJ$505,"&gt;"&amp;$A257,実績!$AL$6:$AL$505,"○")&gt;0,1,0))</f>
        <v>0</v>
      </c>
      <c r="T257" s="39" t="n">
        <f aca="false">IF(T$4=0,0,IF(COUNTIFS(実績!$W$6:$W$505,T$3,実績!$AI$6:$AI$505,"&lt;="&amp;$A257,実績!$AJ$6:$AJ$505,"&gt;"&amp;$A257,実績!$AL$6:$AL$505,"○")&gt;0,1,0))</f>
        <v>0</v>
      </c>
      <c r="U257" s="39" t="n">
        <f aca="false">IF(U$4=0,0,IF(COUNTIFS(実績!$W$6:$W$505,U$3,実績!$AI$6:$AI$505,"&lt;="&amp;$A257,実績!$AJ$6:$AJ$505,"&gt;"&amp;$A257,実績!$AL$6:$AL$505,"○")&gt;0,1,0))</f>
        <v>0</v>
      </c>
      <c r="V257" s="39" t="n">
        <f aca="false">IF(V$4=0,0,IF(COUNTIFS(実績!$W$6:$W$505,V$3,実績!$AI$6:$AI$505,"&lt;="&amp;$A257,実績!$AJ$6:$AJ$505,"&gt;"&amp;$A257,実績!$AL$6:$AL$505,"○")&gt;0,1,0))</f>
        <v>0</v>
      </c>
      <c r="W257" s="39" t="n">
        <f aca="false">IF(W$4=0,0,IF(COUNTIFS(実績!$W$6:$W$505,W$3,実績!$AI$6:$AI$505,"&lt;="&amp;$A257,実績!$AJ$6:$AJ$505,"&gt;"&amp;$A257,実績!$AL$6:$AL$505,"○")&gt;0,1,0))</f>
        <v>0</v>
      </c>
      <c r="X257" s="39" t="n">
        <f aca="false">IF(X$4=0,0,IF(COUNTIFS(実績!$W$6:$W$505,X$3,実績!$AI$6:$AI$505,"&lt;="&amp;$A257,実績!$AJ$6:$AJ$505,"&gt;"&amp;$A257,実績!$AL$6:$AL$505,"○")&gt;0,1,0))</f>
        <v>0</v>
      </c>
      <c r="Y257" s="39" t="n">
        <f aca="false">IF(Y$4=0,0,IF(COUNTIFS(実績!$W$6:$W$505,Y$3,実績!$AI$6:$AI$505,"&lt;="&amp;$A257,実績!$AJ$6:$AJ$505,"&gt;"&amp;$A257,実績!$AL$6:$AL$505,"○")&gt;0,1,0))</f>
        <v>0</v>
      </c>
      <c r="Z257" s="39" t="n">
        <f aca="false">IF(Z$4=0,0,IF(COUNTIFS(実績!$W$6:$W$505,Z$3,実績!$AI$6:$AI$505,"&lt;="&amp;$A257,実績!$AJ$6:$AJ$505,"&gt;"&amp;$A257,実績!$AL$6:$AL$505,"○")&gt;0,1,0))</f>
        <v>0</v>
      </c>
      <c r="AA257" s="39" t="n">
        <f aca="false">IF(AA$4=0,0,IF(COUNTIFS(実績!$W$6:$W$505,AA$3,実績!$AI$6:$AI$505,"&lt;="&amp;$A257,実績!$AJ$6:$AJ$505,"&gt;"&amp;$A257,実績!$AL$6:$AL$505,"○")&gt;0,1,0))</f>
        <v>0</v>
      </c>
      <c r="AB257" s="39" t="n">
        <f aca="false">IF(AB$4=0,0,IF(COUNTIFS(実績!$W$6:$W$505,AB$3,実績!$AI$6:$AI$505,"&lt;="&amp;$A257,実績!$AJ$6:$AJ$505,"&gt;"&amp;$A257,実績!$AL$6:$AL$505,"○")&gt;0,1,0))</f>
        <v>0</v>
      </c>
      <c r="AC257" s="39" t="n">
        <f aca="false">IF(AC$4=0,0,IF(COUNTIFS(実績!$W$6:$W$505,AC$3,実績!$AI$6:$AI$505,"&lt;="&amp;$A257,実績!$AJ$6:$AJ$505,"&gt;"&amp;$A257,実績!$AL$6:$AL$505,"○")&gt;0,1,0))</f>
        <v>0</v>
      </c>
      <c r="AD257" s="39" t="n">
        <f aca="false">IF(AD$4=0,0,IF(COUNTIFS(実績!$W$6:$W$505,AD$3,実績!$AI$6:$AI$505,"&lt;="&amp;$A257,実績!$AJ$6:$AJ$505,"&gt;"&amp;$A257,実績!$AL$6:$AL$505,"○")&gt;0,1,0))</f>
        <v>0</v>
      </c>
      <c r="AE257" s="39" t="n">
        <f aca="false">IF(AE$4=0,0,IF(COUNTIFS(実績!$W$6:$W$505,AE$3,実績!$AI$6:$AI$505,"&lt;="&amp;$A257,実績!$AJ$6:$AJ$505,"&gt;"&amp;$A257,実績!$AL$6:$AL$505,"○")&gt;0,1,0))</f>
        <v>0</v>
      </c>
      <c r="AF257" s="39" t="n">
        <f aca="false">IF(AF$4=0,0,IF(COUNTIFS(実績!$W$6:$W$505,AF$3,実績!$AI$6:$AI$505,"&lt;="&amp;$A257,実績!$AJ$6:$AJ$505,"&gt;"&amp;$A257,実績!$AL$6:$AL$505,"○")&gt;0,1,0))</f>
        <v>0</v>
      </c>
      <c r="AG257" s="39" t="n">
        <f aca="false">IF(AG$4=0,0,IF(COUNTIFS(実績!$W$6:$W$505,AG$3,実績!$AI$6:$AI$505,"&lt;="&amp;$A257,実績!$AJ$6:$AJ$505,"&gt;"&amp;$A257,実績!$AL$6:$AL$505,"○")&gt;0,1,0))</f>
        <v>0</v>
      </c>
      <c r="AH257" s="39" t="n">
        <f aca="false">IF(AH$4=0,0,IF(COUNTIFS(実績!$W$6:$W$505,AH$3,実績!$AI$6:$AI$505,"&lt;="&amp;$A257,実績!$AJ$6:$AJ$505,"&gt;"&amp;$A257,実績!$AL$6:$AL$505,"○")&gt;0,1,0))</f>
        <v>0</v>
      </c>
      <c r="AI257" s="39" t="n">
        <f aca="false">IF(AI$4=0,0,IF(COUNTIFS(実績!$W$6:$W$505,AI$3,実績!$AI$6:$AI$505,"&lt;="&amp;$A257,実績!$AJ$6:$AJ$505,"&gt;"&amp;$A257,実績!$AL$6:$AL$505,"○")&gt;0,1,0))</f>
        <v>0</v>
      </c>
      <c r="AJ257" s="39" t="n">
        <f aca="false">IF(AJ$4=0,0,IF(COUNTIFS(実績!$W$6:$W$505,AJ$3,実績!$AI$6:$AI$505,"&lt;="&amp;$A257,実績!$AJ$6:$AJ$505,"&gt;"&amp;$A257,実績!$AL$6:$AL$505,"○")&gt;0,1,0))</f>
        <v>0</v>
      </c>
      <c r="AK257" s="39" t="n">
        <f aca="false">IF(AK$4=0,0,IF(COUNTIFS(実績!$W$6:$W$505,AK$3,実績!$AI$6:$AI$505,"&lt;="&amp;$A257,実績!$AJ$6:$AJ$505,"&gt;"&amp;$A257,実績!$AL$6:$AL$505,"○")&gt;0,1,0))</f>
        <v>0</v>
      </c>
      <c r="AL257" s="39" t="n">
        <f aca="false">IF(AL$4=0,0,IF(COUNTIFS(実績!$W$6:$W$505,AL$3,実績!$AI$6:$AI$505,"&lt;="&amp;$A257,実績!$AJ$6:$AJ$505,"&gt;"&amp;$A257,実績!$AL$6:$AL$505,"○")&gt;0,1,0))</f>
        <v>0</v>
      </c>
      <c r="AM257" s="39" t="n">
        <f aca="false">IF(AM$4=0,0,IF(COUNTIFS(実績!$W$6:$W$505,AM$3,実績!$AI$6:$AI$505,"&lt;="&amp;$A257,実績!$AJ$6:$AJ$505,"&gt;"&amp;$A257,実績!$AL$6:$AL$505,"○")&gt;0,1,0))</f>
        <v>0</v>
      </c>
      <c r="AN257" s="39" t="n">
        <f aca="false">IF(AN$4=0,0,IF(COUNTIFS(実績!$W$6:$W$505,AN$3,実績!$AI$6:$AI$505,"&lt;="&amp;$A257,実績!$AJ$6:$AJ$505,"&gt;"&amp;$A257,実績!$AL$6:$AL$505,"○")&gt;0,1,0))</f>
        <v>0</v>
      </c>
      <c r="AO257" s="39" t="n">
        <f aca="false">IF(AO$4=0,0,IF(COUNTIFS(実績!$W$6:$W$505,AO$3,実績!$AI$6:$AI$505,"&lt;="&amp;$A257,実績!$AJ$6:$AJ$505,"&gt;"&amp;$A257,実績!$AL$6:$AL$505,"○")&gt;0,1,0))</f>
        <v>0</v>
      </c>
      <c r="AP257" s="39" t="n">
        <f aca="false">IF(AP$4=0,0,IF(COUNTIFS(実績!$W$6:$W$505,AP$3,実績!$AI$6:$AI$505,"&lt;="&amp;$A257,実績!$AJ$6:$AJ$505,"&gt;"&amp;$A257,実績!$AL$6:$AL$505,"○")&gt;0,1,0))</f>
        <v>0</v>
      </c>
      <c r="AQ257" s="39" t="n">
        <f aca="false">IF(AQ$4=0,0,IF(COUNTIFS(実績!$W$6:$W$505,AQ$3,実績!$AI$6:$AI$505,"&lt;="&amp;$A257,実績!$AJ$6:$AJ$505,"&gt;"&amp;$A257,実績!$AL$6:$AL$505,"○")&gt;0,1,0))</f>
        <v>0</v>
      </c>
      <c r="AR257" s="39" t="n">
        <f aca="false">IF(AR$4=0,0,IF(COUNTIFS(実績!$W$6:$W$505,AR$3,実績!$AI$6:$AI$505,"&lt;="&amp;$A257,実績!$AJ$6:$AJ$505,"&gt;"&amp;$A257,実績!$AL$6:$AL$505,"○")&gt;0,1,0))</f>
        <v>0</v>
      </c>
      <c r="AS257" s="39" t="n">
        <f aca="false">IF(AS$4=0,0,IF(COUNTIFS(実績!$W$6:$W$505,AS$3,実績!$AI$6:$AI$505,"&lt;="&amp;$A257,実績!$AJ$6:$AJ$505,"&gt;"&amp;$A257,実績!$AL$6:$AL$505,"○")&gt;0,1,0))</f>
        <v>0</v>
      </c>
      <c r="AT257" s="39" t="n">
        <f aca="false">IF(AT$4=0,0,IF(COUNTIFS(実績!$W$6:$W$505,AT$3,実績!$AI$6:$AI$505,"&lt;="&amp;$A257,実績!$AJ$6:$AJ$505,"&gt;"&amp;$A257,実績!$AL$6:$AL$505,"○")&gt;0,1,0))</f>
        <v>0</v>
      </c>
      <c r="AU257" s="39" t="n">
        <f aca="false">IF(AU$4=0,0,IF(COUNTIFS(実績!$W$6:$W$505,AU$3,実績!$AI$6:$AI$505,"&lt;="&amp;$A257,実績!$AJ$6:$AJ$505,"&gt;"&amp;$A257,実績!$AL$6:$AL$505,"○")&gt;0,1,0))</f>
        <v>0</v>
      </c>
      <c r="AV257" s="39" t="n">
        <f aca="false">IF(AV$4=0,0,IF(COUNTIFS(実績!$W$6:$W$505,AV$3,実績!$AI$6:$AI$505,"&lt;="&amp;$A257,実績!$AJ$6:$AJ$505,"&gt;"&amp;$A257,実績!$AL$6:$AL$505,"○")&gt;0,1,0))</f>
        <v>0</v>
      </c>
      <c r="AW257" s="39" t="n">
        <f aca="false">IF(AW$4=0,0,IF(COUNTIFS(実績!$W$6:$W$505,AW$3,実績!$AI$6:$AI$505,"&lt;="&amp;$A257,実績!$AJ$6:$AJ$505,"&gt;"&amp;$A257,実績!$AL$6:$AL$505,"○")&gt;0,1,0))</f>
        <v>0</v>
      </c>
      <c r="AX257" s="39" t="n">
        <f aca="false">IF(AX$4=0,0,IF(COUNTIFS(実績!$W$6:$W$505,AX$3,実績!$AI$6:$AI$505,"&lt;="&amp;$A257,実績!$AJ$6:$AJ$505,"&gt;"&amp;$A257,実績!$AL$6:$AL$505,"○")&gt;0,1,0))</f>
        <v>0</v>
      </c>
      <c r="AY257" s="39" t="n">
        <f aca="false">IF(AY$4=0,0,IF(COUNTIFS(実績!$W$6:$W$505,AY$3,実績!$AI$6:$AI$505,"&lt;="&amp;$A257,実績!$AJ$6:$AJ$505,"&gt;"&amp;$A257,実績!$AL$6:$AL$505,"○")&gt;0,1,0))</f>
        <v>0</v>
      </c>
      <c r="AZ257" s="39" t="n">
        <f aca="false">IF(AZ$4=0,0,IF(COUNTIFS(実績!$W$6:$W$505,AZ$3,実績!$AI$6:$AI$505,"&lt;="&amp;$A257,実績!$AJ$6:$AJ$505,"&gt;"&amp;$A257,実績!$AL$6:$AL$505,"○")&gt;0,1,0))</f>
        <v>0</v>
      </c>
      <c r="BA257" s="39" t="n">
        <f aca="false">IF(BA$4=0,0,IF(COUNTIFS(実績!$W$6:$W$505,BA$3,実績!$AI$6:$AI$505,"&lt;="&amp;$A257,実績!$AJ$6:$AJ$505,"&gt;"&amp;$A257,実績!$AL$6:$AL$505,"○")&gt;0,1,0))</f>
        <v>0</v>
      </c>
      <c r="BB257" s="39" t="n">
        <f aca="false">IF(BB$4=0,0,IF(COUNTIFS(実績!$W$6:$W$505,BB$3,実績!$AI$6:$AI$505,"&lt;="&amp;$A257,実績!$AJ$6:$AJ$505,"&gt;"&amp;$A257,実績!$AL$6:$AL$505,"○")&gt;0,1,0))</f>
        <v>0</v>
      </c>
      <c r="BC257" s="39" t="n">
        <f aca="false">IF(BC$4=0,0,IF(COUNTIFS(実績!$W$6:$W$505,BC$3,実績!$AI$6:$AI$505,"&lt;="&amp;$A257,実績!$AJ$6:$AJ$505,"&gt;"&amp;$A257,実績!$AL$6:$AL$505,"○")&gt;0,1,0))</f>
        <v>0</v>
      </c>
      <c r="BD257" s="39" t="n">
        <f aca="false">IF(BD$4=0,0,IF(COUNTIFS(実績!$W$6:$W$505,BD$3,実績!$AI$6:$AI$505,"&lt;="&amp;$A257,実績!$AJ$6:$AJ$505,"&gt;"&amp;$A257,実績!$AL$6:$AL$505,"○")&gt;0,1,0))</f>
        <v>0</v>
      </c>
      <c r="BE257" s="39" t="n">
        <f aca="false">IF(BE$4=0,0,IF(COUNTIFS(実績!$W$6:$W$505,BE$3,実績!$AI$6:$AI$505,"&lt;="&amp;$A257,実績!$AJ$6:$AJ$505,"&gt;"&amp;$A257,実績!$AL$6:$AL$505,"○")&gt;0,1,0))</f>
        <v>0</v>
      </c>
      <c r="BF257" s="39" t="n">
        <f aca="false">IF(BF$4=0,0,IF(COUNTIFS(実績!$W$6:$W$505,BF$3,実績!$AI$6:$AI$505,"&lt;="&amp;$A257,実績!$AJ$6:$AJ$505,"&gt;"&amp;$A257,実績!$AL$6:$AL$505,"○")&gt;0,1,0))</f>
        <v>0</v>
      </c>
      <c r="BG257" s="39" t="n">
        <f aca="false">IF(BG$4=0,0,IF(COUNTIFS(実績!$W$6:$W$505,BG$3,実績!$AI$6:$AI$505,"&lt;="&amp;$A257,実績!$AJ$6:$AJ$505,"&gt;"&amp;$A257,実績!$AL$6:$AL$505,"○")&gt;0,1,0))</f>
        <v>0</v>
      </c>
      <c r="BH257" s="39" t="n">
        <f aca="false">IF(BH$4=0,0,IF(COUNTIFS(実績!$W$6:$W$505,BH$3,実績!$AI$6:$AI$505,"&lt;="&amp;$A257,実績!$AJ$6:$AJ$505,"&gt;"&amp;$A257,実績!$AL$6:$AL$505,"○")&gt;0,1,0))</f>
        <v>0</v>
      </c>
      <c r="BI257" s="39" t="n">
        <f aca="false">IF(BI$4=0,0,IF(COUNTIFS(実績!$W$6:$W$505,BI$3,実績!$AI$6:$AI$505,"&lt;="&amp;$A257,実績!$AJ$6:$AJ$505,"&gt;"&amp;$A257,実績!$AL$6:$AL$505,"○")&gt;0,1,0))</f>
        <v>0</v>
      </c>
      <c r="BJ257" s="39" t="n">
        <f aca="false">IF(BJ$4=0,0,IF(COUNTIFS(実績!$W$6:$W$505,BJ$3,実績!$AI$6:$AI$505,"&lt;="&amp;$A257,実績!$AJ$6:$AJ$505,"&gt;"&amp;$A257,実績!$AL$6:$AL$505,"○")&gt;0,1,0))</f>
        <v>0</v>
      </c>
      <c r="BK257" s="39" t="n">
        <f aca="false">IF(BK$4=0,0,IF(COUNTIFS(実績!$W$6:$W$505,BK$3,実績!$AI$6:$AI$505,"&lt;="&amp;$A257,実績!$AJ$6:$AJ$505,"&gt;"&amp;$A257,実績!$AL$6:$AL$505,"○")&gt;0,1,0))</f>
        <v>0</v>
      </c>
      <c r="BL257" s="39" t="n">
        <f aca="false">IF(BL$4=0,0,IF(COUNTIFS(実績!$W$6:$W$505,BL$3,実績!$AI$6:$AI$505,"&lt;="&amp;$A257,実績!$AJ$6:$AJ$505,"&gt;"&amp;$A257,実績!$AL$6:$AL$505,"○")&gt;0,1,0))</f>
        <v>0</v>
      </c>
      <c r="BM257" s="39" t="n">
        <f aca="false">IF(BM$4=0,0,IF(COUNTIFS(実績!$W$6:$W$505,BM$3,実績!$AI$6:$AI$505,"&lt;="&amp;$A257,実績!$AJ$6:$AJ$505,"&gt;"&amp;$A257,実績!$AL$6:$AL$505,"○")&gt;0,1,0))</f>
        <v>0</v>
      </c>
      <c r="BN257" s="39" t="n">
        <f aca="false">IF(BN$4=0,0,IF(COUNTIFS(実績!$W$6:$W$505,BN$3,実績!$AI$6:$AI$505,"&lt;="&amp;$A257,実績!$AJ$6:$AJ$505,"&gt;"&amp;$A257,実績!$AL$6:$AL$505,"○")&gt;0,1,0))</f>
        <v>0</v>
      </c>
      <c r="BO257" s="39" t="n">
        <f aca="false">IF(BO$4=0,0,IF(COUNTIFS(実績!$W$6:$W$505,BO$3,実績!$AI$6:$AI$505,"&lt;="&amp;$A257,実績!$AJ$6:$AJ$505,"&gt;"&amp;$A257,実績!$AL$6:$AL$505,"○")&gt;0,1,0))</f>
        <v>0</v>
      </c>
      <c r="BP257" s="39" t="n">
        <f aca="false">IF(BP$4=0,0,IF(COUNTIFS(実績!$W$6:$W$505,BP$3,実績!$AI$6:$AI$505,"&lt;="&amp;$A257,実績!$AJ$6:$AJ$505,"&gt;"&amp;$A257,実績!$AL$6:$AL$505,"○")&gt;0,1,0))</f>
        <v>0</v>
      </c>
      <c r="BQ257" s="39" t="n">
        <f aca="false">IF(BQ$4=0,0,IF(COUNTIFS(実績!$W$6:$W$505,BQ$3,実績!$AI$6:$AI$505,"&lt;="&amp;$A257,実績!$AJ$6:$AJ$505,"&gt;"&amp;$A257,実績!$AL$6:$AL$505,"○")&gt;0,1,0))</f>
        <v>0</v>
      </c>
      <c r="BR257" s="39" t="n">
        <f aca="false">IF(BR$4=0,0,IF(COUNTIFS(実績!$W$6:$W$505,BR$3,実績!$AI$6:$AI$505,"&lt;="&amp;$A257,実績!$AJ$6:$AJ$505,"&gt;"&amp;$A257,実績!$AL$6:$AL$505,"○")&gt;0,1,0))</f>
        <v>0</v>
      </c>
      <c r="BS257" s="39" t="n">
        <f aca="false">IF(BS$4=0,0,IF(COUNTIFS(実績!$W$6:$W$505,BS$3,実績!$AI$6:$AI$505,"&lt;="&amp;$A257,実績!$AJ$6:$AJ$505,"&gt;"&amp;$A257,実績!$AL$6:$AL$505,"○")&gt;0,1,0))</f>
        <v>0</v>
      </c>
      <c r="BT257" s="39" t="n">
        <f aca="false">IF(BT$4=0,0,IF(COUNTIFS(実績!$W$6:$W$505,BT$3,実績!$AI$6:$AI$505,"&lt;="&amp;$A257,実績!$AJ$6:$AJ$505,"&gt;"&amp;$A257,実績!$AL$6:$AL$505,"○")&gt;0,1,0))</f>
        <v>0</v>
      </c>
      <c r="BU257" s="39" t="n">
        <f aca="false">IF(BU$4=0,0,IF(COUNTIFS(実績!$W$6:$W$505,BU$3,実績!$AI$6:$AI$505,"&lt;="&amp;$A257,実績!$AJ$6:$AJ$505,"&gt;"&amp;$A257,実績!$AL$6:$AL$505,"○")&gt;0,1,0))</f>
        <v>0</v>
      </c>
      <c r="BV257" s="39" t="n">
        <f aca="false">IF(BV$4=0,0,IF(COUNTIFS(実績!$W$6:$W$505,BV$3,実績!$AI$6:$AI$505,"&lt;="&amp;$A257,実績!$AJ$6:$AJ$505,"&gt;"&amp;$A257,実績!$AL$6:$AL$505,"○")&gt;0,1,0))</f>
        <v>0</v>
      </c>
      <c r="BW257" s="39" t="n">
        <f aca="false">IF(BW$4=0,0,IF(COUNTIFS(実績!$W$6:$W$505,BW$3,実績!$AI$6:$AI$505,"&lt;="&amp;$A257,実績!$AJ$6:$AJ$505,"&gt;"&amp;$A257,実績!$AL$6:$AL$505,"○")&gt;0,1,0))</f>
        <v>0</v>
      </c>
      <c r="BX257" s="39" t="n">
        <f aca="false">IF(BX$4=0,0,IF(COUNTIFS(実績!$W$6:$W$505,BX$3,実績!$AI$6:$AI$505,"&lt;="&amp;$A257,実績!$AJ$6:$AJ$505,"&gt;"&amp;$A257,実績!$AL$6:$AL$505,"○")&gt;0,1,0))</f>
        <v>0</v>
      </c>
      <c r="BY257" s="39" t="n">
        <f aca="false">IF(BY$4=0,0,IF(COUNTIFS(実績!$W$6:$W$505,BY$3,実績!$AI$6:$AI$505,"&lt;="&amp;$A257,実績!$AJ$6:$AJ$505,"&gt;"&amp;$A257,実績!$AL$6:$AL$505,"○")&gt;0,1,0))</f>
        <v>0</v>
      </c>
      <c r="BZ257" s="39" t="n">
        <f aca="false">IF(BZ$4=0,0,IF(COUNTIFS(実績!$W$6:$W$505,BZ$3,実績!$AI$6:$AI$505,"&lt;="&amp;$A257,実績!$AJ$6:$AJ$505,"&gt;"&amp;$A257,実績!$AL$6:$AL$505,"○")&gt;0,1,0))</f>
        <v>0</v>
      </c>
      <c r="CA257" s="39" t="n">
        <f aca="false">IF(CA$4=0,0,IF(COUNTIFS(実績!$W$6:$W$505,CA$3,実績!$AI$6:$AI$505,"&lt;="&amp;$A257,実績!$AJ$6:$AJ$505,"&gt;"&amp;$A257,実績!$AL$6:$AL$505,"○")&gt;0,1,0))</f>
        <v>0</v>
      </c>
      <c r="CB257" s="39" t="n">
        <f aca="false">IF(CB$4=0,0,IF(COUNTIFS(実績!$W$6:$W$505,CB$3,実績!$AI$6:$AI$505,"&lt;="&amp;$A257,実績!$AJ$6:$AJ$505,"&gt;"&amp;$A257,実績!$AL$6:$AL$505,"○")&gt;0,1,0))</f>
        <v>0</v>
      </c>
      <c r="CC257" s="39" t="n">
        <f aca="false">IF(CC$4=0,0,IF(COUNTIFS(実績!$W$6:$W$505,CC$3,実績!$AI$6:$AI$505,"&lt;="&amp;$A257,実績!$AJ$6:$AJ$505,"&gt;"&amp;$A257,実績!$AL$6:$AL$505,"○")&gt;0,1,0))</f>
        <v>0</v>
      </c>
      <c r="CD257" s="39" t="n">
        <f aca="false">IF(CD$4=0,0,IF(COUNTIFS(実績!$W$6:$W$505,CD$3,実績!$AI$6:$AI$505,"&lt;="&amp;$A257,実績!$AJ$6:$AJ$505,"&gt;"&amp;$A257,実績!$AL$6:$AL$505,"○")&gt;0,1,0))</f>
        <v>0</v>
      </c>
      <c r="CE257" s="39" t="n">
        <f aca="false">IF(CE$4=0,0,IF(COUNTIFS(実績!$W$6:$W$505,CE$3,実績!$AI$6:$AI$505,"&lt;="&amp;$A257,実績!$AJ$6:$AJ$505,"&gt;"&amp;$A257,実績!$AL$6:$AL$505,"○")&gt;0,1,0))</f>
        <v>0</v>
      </c>
      <c r="CF257" s="39" t="n">
        <f aca="false">IF(CF$4=0,0,IF(COUNTIFS(実績!$W$6:$W$505,CF$3,実績!$AI$6:$AI$505,"&lt;="&amp;$A257,実績!$AJ$6:$AJ$505,"&gt;"&amp;$A257,実績!$AL$6:$AL$505,"○")&gt;0,1,0))</f>
        <v>0</v>
      </c>
      <c r="CG257" s="39" t="n">
        <f aca="false">IF(CG$4=0,0,IF(COUNTIFS(実績!$W$6:$W$505,CG$3,実績!$AI$6:$AI$505,"&lt;="&amp;$A257,実績!$AJ$6:$AJ$505,"&gt;"&amp;$A257,実績!$AL$6:$AL$505,"○")&gt;0,1,0))</f>
        <v>0</v>
      </c>
      <c r="CH257" s="39" t="n">
        <f aca="false">IF(CH$4=0,0,IF(COUNTIFS(実績!$W$6:$W$505,CH$3,実績!$AI$6:$AI$505,"&lt;="&amp;$A257,実績!$AJ$6:$AJ$505,"&gt;"&amp;$A257,実績!$AL$6:$AL$505,"○")&gt;0,1,0))</f>
        <v>0</v>
      </c>
      <c r="CI257" s="39" t="n">
        <f aca="false">IF(CI$4=0,0,IF(COUNTIFS(実績!$W$6:$W$505,CI$3,実績!$AI$6:$AI$505,"&lt;="&amp;$A257,実績!$AJ$6:$AJ$505,"&gt;"&amp;$A257,実績!$AL$6:$AL$505,"○")&gt;0,1,0))</f>
        <v>0</v>
      </c>
      <c r="CJ257" s="39" t="n">
        <f aca="false">IF(CJ$4=0,0,IF(COUNTIFS(実績!$W$6:$W$505,CJ$3,実績!$AI$6:$AI$505,"&lt;="&amp;$A257,実績!$AJ$6:$AJ$505,"&gt;"&amp;$A257,実績!$AL$6:$AL$505,"○")&gt;0,1,0))</f>
        <v>0</v>
      </c>
      <c r="CK257" s="39" t="n">
        <f aca="false">IF(CK$4=0,0,IF(COUNTIFS(実績!$W$6:$W$505,CK$3,実績!$AI$6:$AI$505,"&lt;="&amp;$A257,実績!$AJ$6:$AJ$505,"&gt;"&amp;$A257,実績!$AL$6:$AL$505,"○")&gt;0,1,0))</f>
        <v>0</v>
      </c>
      <c r="CL257" s="39" t="n">
        <f aca="false">IF(CL$4=0,0,IF(COUNTIFS(実績!$W$6:$W$505,CL$3,実績!$AI$6:$AI$505,"&lt;="&amp;$A257,実績!$AJ$6:$AJ$505,"&gt;"&amp;$A257,実績!$AL$6:$AL$505,"○")&gt;0,1,0))</f>
        <v>0</v>
      </c>
      <c r="CM257" s="39" t="n">
        <f aca="false">IF(CM$4=0,0,IF(COUNTIFS(実績!$W$6:$W$505,CM$3,実績!$AI$6:$AI$505,"&lt;="&amp;$A257,実績!$AJ$6:$AJ$505,"&gt;"&amp;$A257,実績!$AL$6:$AL$505,"○")&gt;0,1,0))</f>
        <v>0</v>
      </c>
      <c r="CN257" s="39" t="n">
        <f aca="false">IF(CN$4=0,0,IF(COUNTIFS(実績!$W$6:$W$505,CN$3,実績!$AI$6:$AI$505,"&lt;="&amp;$A257,実績!$AJ$6:$AJ$505,"&gt;"&amp;$A257,実績!$AL$6:$AL$505,"○")&gt;0,1,0))</f>
        <v>0</v>
      </c>
      <c r="CO257" s="39" t="n">
        <f aca="false">IF(CO$4=0,0,IF(COUNTIFS(実績!$W$6:$W$505,CO$3,実績!$AI$6:$AI$505,"&lt;="&amp;$A257,実績!$AJ$6:$AJ$505,"&gt;"&amp;$A257,実績!$AL$6:$AL$505,"○")&gt;0,1,0))</f>
        <v>0</v>
      </c>
      <c r="CP257" s="39" t="n">
        <f aca="false">IF(CP$4=0,0,IF(COUNTIFS(実績!$W$6:$W$505,CP$3,実績!$AI$6:$AI$505,"&lt;="&amp;$A257,実績!$AJ$6:$AJ$505,"&gt;"&amp;$A257,実績!$AL$6:$AL$505,"○")&gt;0,1,0))</f>
        <v>0</v>
      </c>
      <c r="CQ257" s="39" t="n">
        <f aca="false">IF(CQ$4=0,0,IF(COUNTIFS(実績!$W$6:$W$505,CQ$3,実績!$AI$6:$AI$505,"&lt;="&amp;$A257,実績!$AJ$6:$AJ$505,"&gt;"&amp;$A257,実績!$AL$6:$AL$505,"○")&gt;0,1,0))</f>
        <v>0</v>
      </c>
      <c r="CR257" s="39" t="n">
        <f aca="false">IF(CR$4=0,0,IF(COUNTIFS(実績!$W$6:$W$505,CR$3,実績!$AI$6:$AI$505,"&lt;="&amp;$A257,実績!$AJ$6:$AJ$505,"&gt;"&amp;$A257,実績!$AL$6:$AL$505,"○")&gt;0,1,0))</f>
        <v>0</v>
      </c>
      <c r="CS257" s="39" t="n">
        <f aca="false">IF(CS$4=0,0,IF(COUNTIFS(実績!$W$6:$W$505,CS$3,実績!$AI$6:$AI$505,"&lt;="&amp;$A257,実績!$AJ$6:$AJ$505,"&gt;"&amp;$A257,実績!$AL$6:$AL$505,"○")&gt;0,1,0))</f>
        <v>0</v>
      </c>
      <c r="CT257" s="39" t="n">
        <f aca="false">IF(CT$4=0,0,IF(COUNTIFS(実績!$W$6:$W$505,CT$3,実績!$AI$6:$AI$505,"&lt;="&amp;$A257,実績!$AJ$6:$AJ$505,"&gt;"&amp;$A257,実績!$AL$6:$AL$505,"○")&gt;0,1,0))</f>
        <v>0</v>
      </c>
      <c r="CU257" s="39" t="n">
        <f aca="false">IF(CU$4=0,0,IF(COUNTIFS(実績!$W$6:$W$505,CU$3,実績!$AI$6:$AI$505,"&lt;="&amp;$A257,実績!$AJ$6:$AJ$505,"&gt;"&amp;$A257,実績!$AL$6:$AL$505,"○")&gt;0,1,0))</f>
        <v>0</v>
      </c>
      <c r="CV257" s="39" t="n">
        <f aca="false">IF(CV$4=0,0,IF(COUNTIFS(実績!$W$6:$W$505,CV$3,実績!$AI$6:$AI$505,"&lt;="&amp;$A257,実績!$AJ$6:$AJ$505,"&gt;"&amp;$A257,実績!$AL$6:$AL$505,"○")&gt;0,1,0))</f>
        <v>0</v>
      </c>
      <c r="CW257" s="39" t="n">
        <f aca="false">IF(CW$4=0,0,IF(COUNTIFS(実績!$W$6:$W$505,CW$3,実績!$AI$6:$AI$505,"&lt;="&amp;$A257,実績!$AJ$6:$AJ$505,"&gt;"&amp;$A257,実績!$AL$6:$AL$505,"○")&gt;0,1,0))</f>
        <v>0</v>
      </c>
      <c r="CX257" s="39" t="n">
        <f aca="false">IF(CX$4=0,0,IF(COUNTIFS(実績!$W$6:$W$505,CX$3,実績!$AI$6:$AI$505,"&lt;="&amp;$A257,実績!$AJ$6:$AJ$505,"&gt;"&amp;$A257,実績!$AL$6:$AL$505,"○")&gt;0,1,0))</f>
        <v>0</v>
      </c>
      <c r="CY257" s="39" t="n">
        <f aca="false">IF(CY$4=0,0,IF(COUNTIFS(実績!$W$6:$W$505,CY$3,実績!$AI$6:$AI$505,"&lt;="&amp;$A257,実績!$AJ$6:$AJ$505,"&gt;"&amp;$A257,実績!$AL$6:$AL$505,"○")&gt;0,1,0))</f>
        <v>0</v>
      </c>
      <c r="CZ257" s="39" t="n">
        <f aca="false">IF(CZ$4=0,0,IF(COUNTIFS(実績!$W$6:$W$505,CZ$3,実績!$AI$6:$AI$505,"&lt;="&amp;$A257,実績!$AJ$6:$AJ$505,"&gt;"&amp;$A257,実績!$AL$6:$AL$505,"○")&gt;0,1,0))</f>
        <v>0</v>
      </c>
      <c r="DA257" s="39" t="n">
        <f aca="false">IF(DA$4=0,0,IF(COUNTIFS(実績!$W$6:$W$505,DA$3,実績!$AI$6:$AI$505,"&lt;="&amp;$A257,実績!$AJ$6:$AJ$505,"&gt;"&amp;$A257,実績!$AL$6:$AL$505,"○")&gt;0,1,0))</f>
        <v>0</v>
      </c>
      <c r="DB257" s="39" t="n">
        <f aca="false">IF(DB$4=0,0,IF(COUNTIFS(実績!$W$6:$W$505,DB$3,実績!$AI$6:$AI$505,"&lt;="&amp;$A257,実績!$AJ$6:$AJ$505,"&gt;"&amp;$A257,実績!$AL$6:$AL$505,"○")&gt;0,1,0))</f>
        <v>0</v>
      </c>
      <c r="DC257" s="39" t="n">
        <f aca="false">IF(DC$4=0,0,IF(COUNTIFS(実績!$W$6:$W$505,DC$3,実績!$AI$6:$AI$505,"&lt;="&amp;$A257,実績!$AJ$6:$AJ$505,"&gt;"&amp;$A257,実績!$AL$6:$AL$505,"○")&gt;0,1,0))</f>
        <v>0</v>
      </c>
      <c r="DD257" s="39" t="n">
        <f aca="false">IF(DD$4=0,0,IF(COUNTIFS(実績!$W$6:$W$505,DD$3,実績!$AI$6:$AI$505,"&lt;="&amp;$A257,実績!$AJ$6:$AJ$505,"&gt;"&amp;$A257,実績!$AL$6:$AL$505,"○")&gt;0,1,0))</f>
        <v>0</v>
      </c>
      <c r="DE257" s="39" t="n">
        <f aca="false">IF(DE$4=0,0,IF(COUNTIFS(実績!$W$6:$W$505,DE$3,実績!$AI$6:$AI$505,"&lt;="&amp;$A257,実績!$AJ$6:$AJ$505,"&gt;"&amp;$A257,実績!$AL$6:$AL$505,"○")&gt;0,1,0))</f>
        <v>0</v>
      </c>
      <c r="DF257" s="39" t="n">
        <f aca="false">IF(DF$4=0,0,IF(COUNTIFS(実績!$W$6:$W$505,DF$3,実績!$AI$6:$AI$505,"&lt;="&amp;$A257,実績!$AJ$6:$AJ$505,"&gt;"&amp;$A257,実績!$AL$6:$AL$505,"○")&gt;0,1,0))</f>
        <v>0</v>
      </c>
      <c r="DG257" s="39" t="n">
        <f aca="false">IF(DG$4=0,0,IF(COUNTIFS(実績!$W$6:$W$505,DG$3,実績!$AI$6:$AI$505,"&lt;="&amp;$A257,実績!$AJ$6:$AJ$505,"&gt;"&amp;$A257,実績!$AL$6:$AL$505,"○")&gt;0,1,0))</f>
        <v>0</v>
      </c>
      <c r="DH257" s="39" t="n">
        <f aca="false">IF(DH$4=0,0,IF(COUNTIFS(実績!$W$6:$W$505,DH$3,実績!$AI$6:$AI$505,"&lt;="&amp;$A257,実績!$AJ$6:$AJ$505,"&gt;"&amp;$A257,実績!$AL$6:$AL$505,"○")&gt;0,1,0))</f>
        <v>0</v>
      </c>
      <c r="DI257" s="39" t="n">
        <f aca="false">IF(DI$4=0,0,IF(COUNTIFS(実績!$W$6:$W$505,DI$3,実績!$AI$6:$AI$505,"&lt;="&amp;$A257,実績!$AJ$6:$AJ$505,"&gt;"&amp;$A257,実績!$AL$6:$AL$505,"○")&gt;0,1,0))</f>
        <v>0</v>
      </c>
      <c r="DJ257" s="39" t="n">
        <f aca="false">IF(DJ$4=0,0,IF(COUNTIFS(実績!$W$6:$W$505,DJ$3,実績!$AI$6:$AI$505,"&lt;="&amp;$A257,実績!$AJ$6:$AJ$505,"&gt;"&amp;$A257,実績!$AL$6:$AL$505,"○")&gt;0,1,0))</f>
        <v>0</v>
      </c>
      <c r="DK257" s="39" t="n">
        <f aca="false">IF(DK$4=0,0,IF(COUNTIFS(実績!$W$6:$W$505,DK$3,実績!$AI$6:$AI$505,"&lt;="&amp;$A257,実績!$AJ$6:$AJ$505,"&gt;"&amp;$A257,実績!$AL$6:$AL$505,"○")&gt;0,1,0))</f>
        <v>0</v>
      </c>
      <c r="DL257" s="39" t="n">
        <f aca="false">IF(DL$4=0,0,IF(COUNTIFS(実績!$W$6:$W$505,DL$3,実績!$AI$6:$AI$505,"&lt;="&amp;$A257,実績!$AJ$6:$AJ$505,"&gt;"&amp;$A257,実績!$AL$6:$AL$505,"○")&gt;0,1,0))</f>
        <v>0</v>
      </c>
      <c r="DM257" s="39" t="n">
        <f aca="false">IF(DM$4=0,0,IF(COUNTIFS(実績!$W$6:$W$505,DM$3,実績!$AI$6:$AI$505,"&lt;="&amp;$A257,実績!$AJ$6:$AJ$505,"&gt;"&amp;$A257,実績!$AL$6:$AL$505,"○")&gt;0,1,0))</f>
        <v>0</v>
      </c>
      <c r="DN257" s="39" t="n">
        <f aca="false">IF(DN$4=0,0,IF(COUNTIFS(実績!$W$6:$W$505,DN$3,実績!$AI$6:$AI$505,"&lt;="&amp;$A257,実績!$AJ$6:$AJ$505,"&gt;"&amp;$A257,実績!$AL$6:$AL$505,"○")&gt;0,1,0))</f>
        <v>0</v>
      </c>
      <c r="DO257" s="39" t="n">
        <f aca="false">IF(DO$4=0,0,IF(COUNTIFS(実績!$W$6:$W$505,DO$3,実績!$AI$6:$AI$505,"&lt;="&amp;$A257,実績!$AJ$6:$AJ$505,"&gt;"&amp;$A257,実績!$AL$6:$AL$505,"○")&gt;0,1,0))</f>
        <v>0</v>
      </c>
      <c r="DP257" s="39" t="n">
        <f aca="false">IF(DP$4=0,0,IF(COUNTIFS(実績!$W$6:$W$505,DP$3,実績!$AI$6:$AI$505,"&lt;="&amp;$A257,実績!$AJ$6:$AJ$505,"&gt;"&amp;$A257,実績!$AL$6:$AL$505,"○")&gt;0,1,0))</f>
        <v>0</v>
      </c>
      <c r="DQ257" s="39" t="n">
        <f aca="false">IF(DQ$4=0,0,IF(COUNTIFS(実績!$W$6:$W$505,DQ$3,実績!$AI$6:$AI$505,"&lt;="&amp;$A257,実績!$AJ$6:$AJ$505,"&gt;"&amp;$A257,実績!$AL$6:$AL$505,"○")&gt;0,1,0))</f>
        <v>0</v>
      </c>
      <c r="DR257" s="39" t="n">
        <f aca="false">IF(DR$4=0,0,IF(COUNTIFS(実績!$W$6:$W$505,DR$3,実績!$AI$6:$AI$505,"&lt;="&amp;$A257,実績!$AJ$6:$AJ$505,"&gt;"&amp;$A257,実績!$AL$6:$AL$505,"○")&gt;0,1,0))</f>
        <v>0</v>
      </c>
      <c r="DS257" s="39" t="n">
        <f aca="false">SUM(C257:DR257)</f>
        <v>0</v>
      </c>
    </row>
    <row r="258" customFormat="false" ht="15" hidden="false" customHeight="false" outlineLevel="0" collapsed="false">
      <c r="A258" s="0" t="n">
        <v>1260</v>
      </c>
      <c r="B258" s="38" t="n">
        <f aca="false">A258/1440</f>
        <v>0.875</v>
      </c>
      <c r="C258" s="39" t="n">
        <f aca="false">IF(C$4=0,0,IF(COUNTIFS(実績!$W$6:$W$505,C$3,実績!$AI$6:$AI$505,"&lt;="&amp;$A258,実績!$AJ$6:$AJ$505,"&gt;"&amp;$A258,実績!$AL$6:$AL$505,"○")&gt;0,1,0))</f>
        <v>0</v>
      </c>
      <c r="D258" s="39" t="n">
        <f aca="false">IF(D$4=0,0,IF(COUNTIFS(実績!$W$6:$W$505,D$3,実績!$AI$6:$AI$505,"&lt;="&amp;$A258,実績!$AJ$6:$AJ$505,"&gt;"&amp;$A258,実績!$AL$6:$AL$505,"○")&gt;0,1,0))</f>
        <v>0</v>
      </c>
      <c r="E258" s="39" t="n">
        <f aca="false">IF(E$4=0,0,IF(COUNTIFS(実績!$W$6:$W$505,E$3,実績!$AI$6:$AI$505,"&lt;="&amp;$A258,実績!$AJ$6:$AJ$505,"&gt;"&amp;$A258,実績!$AL$6:$AL$505,"○")&gt;0,1,0))</f>
        <v>0</v>
      </c>
      <c r="F258" s="39" t="n">
        <f aca="false">IF(F$4=0,0,IF(COUNTIFS(実績!$W$6:$W$505,F$3,実績!$AI$6:$AI$505,"&lt;="&amp;$A258,実績!$AJ$6:$AJ$505,"&gt;"&amp;$A258,実績!$AL$6:$AL$505,"○")&gt;0,1,0))</f>
        <v>0</v>
      </c>
      <c r="G258" s="39" t="n">
        <f aca="false">IF(G$4=0,0,IF(COUNTIFS(実績!$W$6:$W$505,G$3,実績!$AI$6:$AI$505,"&lt;="&amp;$A258,実績!$AJ$6:$AJ$505,"&gt;"&amp;$A258,実績!$AL$6:$AL$505,"○")&gt;0,1,0))</f>
        <v>0</v>
      </c>
      <c r="H258" s="39" t="n">
        <f aca="false">IF(H$4=0,0,IF(COUNTIFS(実績!$W$6:$W$505,H$3,実績!$AI$6:$AI$505,"&lt;="&amp;$A258,実績!$AJ$6:$AJ$505,"&gt;"&amp;$A258,実績!$AL$6:$AL$505,"○")&gt;0,1,0))</f>
        <v>0</v>
      </c>
      <c r="I258" s="39" t="n">
        <f aca="false">IF(I$4=0,0,IF(COUNTIFS(実績!$W$6:$W$505,I$3,実績!$AI$6:$AI$505,"&lt;="&amp;$A258,実績!$AJ$6:$AJ$505,"&gt;"&amp;$A258,実績!$AL$6:$AL$505,"○")&gt;0,1,0))</f>
        <v>0</v>
      </c>
      <c r="J258" s="39" t="n">
        <f aca="false">IF(J$4=0,0,IF(COUNTIFS(実績!$W$6:$W$505,J$3,実績!$AI$6:$AI$505,"&lt;="&amp;$A258,実績!$AJ$6:$AJ$505,"&gt;"&amp;$A258,実績!$AL$6:$AL$505,"○")&gt;0,1,0))</f>
        <v>0</v>
      </c>
      <c r="K258" s="39" t="n">
        <f aca="false">IF(K$4=0,0,IF(COUNTIFS(実績!$W$6:$W$505,K$3,実績!$AI$6:$AI$505,"&lt;="&amp;$A258,実績!$AJ$6:$AJ$505,"&gt;"&amp;$A258,実績!$AL$6:$AL$505,"○")&gt;0,1,0))</f>
        <v>0</v>
      </c>
      <c r="L258" s="39" t="n">
        <f aca="false">IF(L$4=0,0,IF(COUNTIFS(実績!$W$6:$W$505,L$3,実績!$AI$6:$AI$505,"&lt;="&amp;$A258,実績!$AJ$6:$AJ$505,"&gt;"&amp;$A258,実績!$AL$6:$AL$505,"○")&gt;0,1,0))</f>
        <v>0</v>
      </c>
      <c r="M258" s="39" t="n">
        <f aca="false">IF(M$4=0,0,IF(COUNTIFS(実績!$W$6:$W$505,M$3,実績!$AI$6:$AI$505,"&lt;="&amp;$A258,実績!$AJ$6:$AJ$505,"&gt;"&amp;$A258,実績!$AL$6:$AL$505,"○")&gt;0,1,0))</f>
        <v>0</v>
      </c>
      <c r="N258" s="39" t="n">
        <f aca="false">IF(N$4=0,0,IF(COUNTIFS(実績!$W$6:$W$505,N$3,実績!$AI$6:$AI$505,"&lt;="&amp;$A258,実績!$AJ$6:$AJ$505,"&gt;"&amp;$A258,実績!$AL$6:$AL$505,"○")&gt;0,1,0))</f>
        <v>0</v>
      </c>
      <c r="O258" s="39" t="n">
        <f aca="false">IF(O$4=0,0,IF(COUNTIFS(実績!$W$6:$W$505,O$3,実績!$AI$6:$AI$505,"&lt;="&amp;$A258,実績!$AJ$6:$AJ$505,"&gt;"&amp;$A258,実績!$AL$6:$AL$505,"○")&gt;0,1,0))</f>
        <v>0</v>
      </c>
      <c r="P258" s="39" t="n">
        <f aca="false">IF(P$4=0,0,IF(COUNTIFS(実績!$W$6:$W$505,P$3,実績!$AI$6:$AI$505,"&lt;="&amp;$A258,実績!$AJ$6:$AJ$505,"&gt;"&amp;$A258,実績!$AL$6:$AL$505,"○")&gt;0,1,0))</f>
        <v>0</v>
      </c>
      <c r="Q258" s="39" t="n">
        <f aca="false">IF(Q$4=0,0,IF(COUNTIFS(実績!$W$6:$W$505,Q$3,実績!$AI$6:$AI$505,"&lt;="&amp;$A258,実績!$AJ$6:$AJ$505,"&gt;"&amp;$A258,実績!$AL$6:$AL$505,"○")&gt;0,1,0))</f>
        <v>0</v>
      </c>
      <c r="R258" s="39" t="n">
        <f aca="false">IF(R$4=0,0,IF(COUNTIFS(実績!$W$6:$W$505,R$3,実績!$AI$6:$AI$505,"&lt;="&amp;$A258,実績!$AJ$6:$AJ$505,"&gt;"&amp;$A258,実績!$AL$6:$AL$505,"○")&gt;0,1,0))</f>
        <v>0</v>
      </c>
      <c r="S258" s="39" t="n">
        <f aca="false">IF(S$4=0,0,IF(COUNTIFS(実績!$W$6:$W$505,S$3,実績!$AI$6:$AI$505,"&lt;="&amp;$A258,実績!$AJ$6:$AJ$505,"&gt;"&amp;$A258,実績!$AL$6:$AL$505,"○")&gt;0,1,0))</f>
        <v>0</v>
      </c>
      <c r="T258" s="39" t="n">
        <f aca="false">IF(T$4=0,0,IF(COUNTIFS(実績!$W$6:$W$505,T$3,実績!$AI$6:$AI$505,"&lt;="&amp;$A258,実績!$AJ$6:$AJ$505,"&gt;"&amp;$A258,実績!$AL$6:$AL$505,"○")&gt;0,1,0))</f>
        <v>0</v>
      </c>
      <c r="U258" s="39" t="n">
        <f aca="false">IF(U$4=0,0,IF(COUNTIFS(実績!$W$6:$W$505,U$3,実績!$AI$6:$AI$505,"&lt;="&amp;$A258,実績!$AJ$6:$AJ$505,"&gt;"&amp;$A258,実績!$AL$6:$AL$505,"○")&gt;0,1,0))</f>
        <v>0</v>
      </c>
      <c r="V258" s="39" t="n">
        <f aca="false">IF(V$4=0,0,IF(COUNTIFS(実績!$W$6:$W$505,V$3,実績!$AI$6:$AI$505,"&lt;="&amp;$A258,実績!$AJ$6:$AJ$505,"&gt;"&amp;$A258,実績!$AL$6:$AL$505,"○")&gt;0,1,0))</f>
        <v>0</v>
      </c>
      <c r="W258" s="39" t="n">
        <f aca="false">IF(W$4=0,0,IF(COUNTIFS(実績!$W$6:$W$505,W$3,実績!$AI$6:$AI$505,"&lt;="&amp;$A258,実績!$AJ$6:$AJ$505,"&gt;"&amp;$A258,実績!$AL$6:$AL$505,"○")&gt;0,1,0))</f>
        <v>0</v>
      </c>
      <c r="X258" s="39" t="n">
        <f aca="false">IF(X$4=0,0,IF(COUNTIFS(実績!$W$6:$W$505,X$3,実績!$AI$6:$AI$505,"&lt;="&amp;$A258,実績!$AJ$6:$AJ$505,"&gt;"&amp;$A258,実績!$AL$6:$AL$505,"○")&gt;0,1,0))</f>
        <v>0</v>
      </c>
      <c r="Y258" s="39" t="n">
        <f aca="false">IF(Y$4=0,0,IF(COUNTIFS(実績!$W$6:$W$505,Y$3,実績!$AI$6:$AI$505,"&lt;="&amp;$A258,実績!$AJ$6:$AJ$505,"&gt;"&amp;$A258,実績!$AL$6:$AL$505,"○")&gt;0,1,0))</f>
        <v>0</v>
      </c>
      <c r="Z258" s="39" t="n">
        <f aca="false">IF(Z$4=0,0,IF(COUNTIFS(実績!$W$6:$W$505,Z$3,実績!$AI$6:$AI$505,"&lt;="&amp;$A258,実績!$AJ$6:$AJ$505,"&gt;"&amp;$A258,実績!$AL$6:$AL$505,"○")&gt;0,1,0))</f>
        <v>0</v>
      </c>
      <c r="AA258" s="39" t="n">
        <f aca="false">IF(AA$4=0,0,IF(COUNTIFS(実績!$W$6:$W$505,AA$3,実績!$AI$6:$AI$505,"&lt;="&amp;$A258,実績!$AJ$6:$AJ$505,"&gt;"&amp;$A258,実績!$AL$6:$AL$505,"○")&gt;0,1,0))</f>
        <v>0</v>
      </c>
      <c r="AB258" s="39" t="n">
        <f aca="false">IF(AB$4=0,0,IF(COUNTIFS(実績!$W$6:$W$505,AB$3,実績!$AI$6:$AI$505,"&lt;="&amp;$A258,実績!$AJ$6:$AJ$505,"&gt;"&amp;$A258,実績!$AL$6:$AL$505,"○")&gt;0,1,0))</f>
        <v>0</v>
      </c>
      <c r="AC258" s="39" t="n">
        <f aca="false">IF(AC$4=0,0,IF(COUNTIFS(実績!$W$6:$W$505,AC$3,実績!$AI$6:$AI$505,"&lt;="&amp;$A258,実績!$AJ$6:$AJ$505,"&gt;"&amp;$A258,実績!$AL$6:$AL$505,"○")&gt;0,1,0))</f>
        <v>0</v>
      </c>
      <c r="AD258" s="39" t="n">
        <f aca="false">IF(AD$4=0,0,IF(COUNTIFS(実績!$W$6:$W$505,AD$3,実績!$AI$6:$AI$505,"&lt;="&amp;$A258,実績!$AJ$6:$AJ$505,"&gt;"&amp;$A258,実績!$AL$6:$AL$505,"○")&gt;0,1,0))</f>
        <v>0</v>
      </c>
      <c r="AE258" s="39" t="n">
        <f aca="false">IF(AE$4=0,0,IF(COUNTIFS(実績!$W$6:$W$505,AE$3,実績!$AI$6:$AI$505,"&lt;="&amp;$A258,実績!$AJ$6:$AJ$505,"&gt;"&amp;$A258,実績!$AL$6:$AL$505,"○")&gt;0,1,0))</f>
        <v>0</v>
      </c>
      <c r="AF258" s="39" t="n">
        <f aca="false">IF(AF$4=0,0,IF(COUNTIFS(実績!$W$6:$W$505,AF$3,実績!$AI$6:$AI$505,"&lt;="&amp;$A258,実績!$AJ$6:$AJ$505,"&gt;"&amp;$A258,実績!$AL$6:$AL$505,"○")&gt;0,1,0))</f>
        <v>0</v>
      </c>
      <c r="AG258" s="39" t="n">
        <f aca="false">IF(AG$4=0,0,IF(COUNTIFS(実績!$W$6:$W$505,AG$3,実績!$AI$6:$AI$505,"&lt;="&amp;$A258,実績!$AJ$6:$AJ$505,"&gt;"&amp;$A258,実績!$AL$6:$AL$505,"○")&gt;0,1,0))</f>
        <v>0</v>
      </c>
      <c r="AH258" s="39" t="n">
        <f aca="false">IF(AH$4=0,0,IF(COUNTIFS(実績!$W$6:$W$505,AH$3,実績!$AI$6:$AI$505,"&lt;="&amp;$A258,実績!$AJ$6:$AJ$505,"&gt;"&amp;$A258,実績!$AL$6:$AL$505,"○")&gt;0,1,0))</f>
        <v>0</v>
      </c>
      <c r="AI258" s="39" t="n">
        <f aca="false">IF(AI$4=0,0,IF(COUNTIFS(実績!$W$6:$W$505,AI$3,実績!$AI$6:$AI$505,"&lt;="&amp;$A258,実績!$AJ$6:$AJ$505,"&gt;"&amp;$A258,実績!$AL$6:$AL$505,"○")&gt;0,1,0))</f>
        <v>0</v>
      </c>
      <c r="AJ258" s="39" t="n">
        <f aca="false">IF(AJ$4=0,0,IF(COUNTIFS(実績!$W$6:$W$505,AJ$3,実績!$AI$6:$AI$505,"&lt;="&amp;$A258,実績!$AJ$6:$AJ$505,"&gt;"&amp;$A258,実績!$AL$6:$AL$505,"○")&gt;0,1,0))</f>
        <v>0</v>
      </c>
      <c r="AK258" s="39" t="n">
        <f aca="false">IF(AK$4=0,0,IF(COUNTIFS(実績!$W$6:$W$505,AK$3,実績!$AI$6:$AI$505,"&lt;="&amp;$A258,実績!$AJ$6:$AJ$505,"&gt;"&amp;$A258,実績!$AL$6:$AL$505,"○")&gt;0,1,0))</f>
        <v>0</v>
      </c>
      <c r="AL258" s="39" t="n">
        <f aca="false">IF(AL$4=0,0,IF(COUNTIFS(実績!$W$6:$W$505,AL$3,実績!$AI$6:$AI$505,"&lt;="&amp;$A258,実績!$AJ$6:$AJ$505,"&gt;"&amp;$A258,実績!$AL$6:$AL$505,"○")&gt;0,1,0))</f>
        <v>0</v>
      </c>
      <c r="AM258" s="39" t="n">
        <f aca="false">IF(AM$4=0,0,IF(COUNTIFS(実績!$W$6:$W$505,AM$3,実績!$AI$6:$AI$505,"&lt;="&amp;$A258,実績!$AJ$6:$AJ$505,"&gt;"&amp;$A258,実績!$AL$6:$AL$505,"○")&gt;0,1,0))</f>
        <v>0</v>
      </c>
      <c r="AN258" s="39" t="n">
        <f aca="false">IF(AN$4=0,0,IF(COUNTIFS(実績!$W$6:$W$505,AN$3,実績!$AI$6:$AI$505,"&lt;="&amp;$A258,実績!$AJ$6:$AJ$505,"&gt;"&amp;$A258,実績!$AL$6:$AL$505,"○")&gt;0,1,0))</f>
        <v>0</v>
      </c>
      <c r="AO258" s="39" t="n">
        <f aca="false">IF(AO$4=0,0,IF(COUNTIFS(実績!$W$6:$W$505,AO$3,実績!$AI$6:$AI$505,"&lt;="&amp;$A258,実績!$AJ$6:$AJ$505,"&gt;"&amp;$A258,実績!$AL$6:$AL$505,"○")&gt;0,1,0))</f>
        <v>0</v>
      </c>
      <c r="AP258" s="39" t="n">
        <f aca="false">IF(AP$4=0,0,IF(COUNTIFS(実績!$W$6:$W$505,AP$3,実績!$AI$6:$AI$505,"&lt;="&amp;$A258,実績!$AJ$6:$AJ$505,"&gt;"&amp;$A258,実績!$AL$6:$AL$505,"○")&gt;0,1,0))</f>
        <v>0</v>
      </c>
      <c r="AQ258" s="39" t="n">
        <f aca="false">IF(AQ$4=0,0,IF(COUNTIFS(実績!$W$6:$W$505,AQ$3,実績!$AI$6:$AI$505,"&lt;="&amp;$A258,実績!$AJ$6:$AJ$505,"&gt;"&amp;$A258,実績!$AL$6:$AL$505,"○")&gt;0,1,0))</f>
        <v>0</v>
      </c>
      <c r="AR258" s="39" t="n">
        <f aca="false">IF(AR$4=0,0,IF(COUNTIFS(実績!$W$6:$W$505,AR$3,実績!$AI$6:$AI$505,"&lt;="&amp;$A258,実績!$AJ$6:$AJ$505,"&gt;"&amp;$A258,実績!$AL$6:$AL$505,"○")&gt;0,1,0))</f>
        <v>0</v>
      </c>
      <c r="AS258" s="39" t="n">
        <f aca="false">IF(AS$4=0,0,IF(COUNTIFS(実績!$W$6:$W$505,AS$3,実績!$AI$6:$AI$505,"&lt;="&amp;$A258,実績!$AJ$6:$AJ$505,"&gt;"&amp;$A258,実績!$AL$6:$AL$505,"○")&gt;0,1,0))</f>
        <v>0</v>
      </c>
      <c r="AT258" s="39" t="n">
        <f aca="false">IF(AT$4=0,0,IF(COUNTIFS(実績!$W$6:$W$505,AT$3,実績!$AI$6:$AI$505,"&lt;="&amp;$A258,実績!$AJ$6:$AJ$505,"&gt;"&amp;$A258,実績!$AL$6:$AL$505,"○")&gt;0,1,0))</f>
        <v>0</v>
      </c>
      <c r="AU258" s="39" t="n">
        <f aca="false">IF(AU$4=0,0,IF(COUNTIFS(実績!$W$6:$W$505,AU$3,実績!$AI$6:$AI$505,"&lt;="&amp;$A258,実績!$AJ$6:$AJ$505,"&gt;"&amp;$A258,実績!$AL$6:$AL$505,"○")&gt;0,1,0))</f>
        <v>0</v>
      </c>
      <c r="AV258" s="39" t="n">
        <f aca="false">IF(AV$4=0,0,IF(COUNTIFS(実績!$W$6:$W$505,AV$3,実績!$AI$6:$AI$505,"&lt;="&amp;$A258,実績!$AJ$6:$AJ$505,"&gt;"&amp;$A258,実績!$AL$6:$AL$505,"○")&gt;0,1,0))</f>
        <v>0</v>
      </c>
      <c r="AW258" s="39" t="n">
        <f aca="false">IF(AW$4=0,0,IF(COUNTIFS(実績!$W$6:$W$505,AW$3,実績!$AI$6:$AI$505,"&lt;="&amp;$A258,実績!$AJ$6:$AJ$505,"&gt;"&amp;$A258,実績!$AL$6:$AL$505,"○")&gt;0,1,0))</f>
        <v>0</v>
      </c>
      <c r="AX258" s="39" t="n">
        <f aca="false">IF(AX$4=0,0,IF(COUNTIFS(実績!$W$6:$W$505,AX$3,実績!$AI$6:$AI$505,"&lt;="&amp;$A258,実績!$AJ$6:$AJ$505,"&gt;"&amp;$A258,実績!$AL$6:$AL$505,"○")&gt;0,1,0))</f>
        <v>0</v>
      </c>
      <c r="AY258" s="39" t="n">
        <f aca="false">IF(AY$4=0,0,IF(COUNTIFS(実績!$W$6:$W$505,AY$3,実績!$AI$6:$AI$505,"&lt;="&amp;$A258,実績!$AJ$6:$AJ$505,"&gt;"&amp;$A258,実績!$AL$6:$AL$505,"○")&gt;0,1,0))</f>
        <v>0</v>
      </c>
      <c r="AZ258" s="39" t="n">
        <f aca="false">IF(AZ$4=0,0,IF(COUNTIFS(実績!$W$6:$W$505,AZ$3,実績!$AI$6:$AI$505,"&lt;="&amp;$A258,実績!$AJ$6:$AJ$505,"&gt;"&amp;$A258,実績!$AL$6:$AL$505,"○")&gt;0,1,0))</f>
        <v>0</v>
      </c>
      <c r="BA258" s="39" t="n">
        <f aca="false">IF(BA$4=0,0,IF(COUNTIFS(実績!$W$6:$W$505,BA$3,実績!$AI$6:$AI$505,"&lt;="&amp;$A258,実績!$AJ$6:$AJ$505,"&gt;"&amp;$A258,実績!$AL$6:$AL$505,"○")&gt;0,1,0))</f>
        <v>0</v>
      </c>
      <c r="BB258" s="39" t="n">
        <f aca="false">IF(BB$4=0,0,IF(COUNTIFS(実績!$W$6:$W$505,BB$3,実績!$AI$6:$AI$505,"&lt;="&amp;$A258,実績!$AJ$6:$AJ$505,"&gt;"&amp;$A258,実績!$AL$6:$AL$505,"○")&gt;0,1,0))</f>
        <v>0</v>
      </c>
      <c r="BC258" s="39" t="n">
        <f aca="false">IF(BC$4=0,0,IF(COUNTIFS(実績!$W$6:$W$505,BC$3,実績!$AI$6:$AI$505,"&lt;="&amp;$A258,実績!$AJ$6:$AJ$505,"&gt;"&amp;$A258,実績!$AL$6:$AL$505,"○")&gt;0,1,0))</f>
        <v>0</v>
      </c>
      <c r="BD258" s="39" t="n">
        <f aca="false">IF(BD$4=0,0,IF(COUNTIFS(実績!$W$6:$W$505,BD$3,実績!$AI$6:$AI$505,"&lt;="&amp;$A258,実績!$AJ$6:$AJ$505,"&gt;"&amp;$A258,実績!$AL$6:$AL$505,"○")&gt;0,1,0))</f>
        <v>0</v>
      </c>
      <c r="BE258" s="39" t="n">
        <f aca="false">IF(BE$4=0,0,IF(COUNTIFS(実績!$W$6:$W$505,BE$3,実績!$AI$6:$AI$505,"&lt;="&amp;$A258,実績!$AJ$6:$AJ$505,"&gt;"&amp;$A258,実績!$AL$6:$AL$505,"○")&gt;0,1,0))</f>
        <v>0</v>
      </c>
      <c r="BF258" s="39" t="n">
        <f aca="false">IF(BF$4=0,0,IF(COUNTIFS(実績!$W$6:$W$505,BF$3,実績!$AI$6:$AI$505,"&lt;="&amp;$A258,実績!$AJ$6:$AJ$505,"&gt;"&amp;$A258,実績!$AL$6:$AL$505,"○")&gt;0,1,0))</f>
        <v>0</v>
      </c>
      <c r="BG258" s="39" t="n">
        <f aca="false">IF(BG$4=0,0,IF(COUNTIFS(実績!$W$6:$W$505,BG$3,実績!$AI$6:$AI$505,"&lt;="&amp;$A258,実績!$AJ$6:$AJ$505,"&gt;"&amp;$A258,実績!$AL$6:$AL$505,"○")&gt;0,1,0))</f>
        <v>0</v>
      </c>
      <c r="BH258" s="39" t="n">
        <f aca="false">IF(BH$4=0,0,IF(COUNTIFS(実績!$W$6:$W$505,BH$3,実績!$AI$6:$AI$505,"&lt;="&amp;$A258,実績!$AJ$6:$AJ$505,"&gt;"&amp;$A258,実績!$AL$6:$AL$505,"○")&gt;0,1,0))</f>
        <v>0</v>
      </c>
      <c r="BI258" s="39" t="n">
        <f aca="false">IF(BI$4=0,0,IF(COUNTIFS(実績!$W$6:$W$505,BI$3,実績!$AI$6:$AI$505,"&lt;="&amp;$A258,実績!$AJ$6:$AJ$505,"&gt;"&amp;$A258,実績!$AL$6:$AL$505,"○")&gt;0,1,0))</f>
        <v>0</v>
      </c>
      <c r="BJ258" s="39" t="n">
        <f aca="false">IF(BJ$4=0,0,IF(COUNTIFS(実績!$W$6:$W$505,BJ$3,実績!$AI$6:$AI$505,"&lt;="&amp;$A258,実績!$AJ$6:$AJ$505,"&gt;"&amp;$A258,実績!$AL$6:$AL$505,"○")&gt;0,1,0))</f>
        <v>0</v>
      </c>
      <c r="BK258" s="39" t="n">
        <f aca="false">IF(BK$4=0,0,IF(COUNTIFS(実績!$W$6:$W$505,BK$3,実績!$AI$6:$AI$505,"&lt;="&amp;$A258,実績!$AJ$6:$AJ$505,"&gt;"&amp;$A258,実績!$AL$6:$AL$505,"○")&gt;0,1,0))</f>
        <v>0</v>
      </c>
      <c r="BL258" s="39" t="n">
        <f aca="false">IF(BL$4=0,0,IF(COUNTIFS(実績!$W$6:$W$505,BL$3,実績!$AI$6:$AI$505,"&lt;="&amp;$A258,実績!$AJ$6:$AJ$505,"&gt;"&amp;$A258,実績!$AL$6:$AL$505,"○")&gt;0,1,0))</f>
        <v>0</v>
      </c>
      <c r="BM258" s="39" t="n">
        <f aca="false">IF(BM$4=0,0,IF(COUNTIFS(実績!$W$6:$W$505,BM$3,実績!$AI$6:$AI$505,"&lt;="&amp;$A258,実績!$AJ$6:$AJ$505,"&gt;"&amp;$A258,実績!$AL$6:$AL$505,"○")&gt;0,1,0))</f>
        <v>0</v>
      </c>
      <c r="BN258" s="39" t="n">
        <f aca="false">IF(BN$4=0,0,IF(COUNTIFS(実績!$W$6:$W$505,BN$3,実績!$AI$6:$AI$505,"&lt;="&amp;$A258,実績!$AJ$6:$AJ$505,"&gt;"&amp;$A258,実績!$AL$6:$AL$505,"○")&gt;0,1,0))</f>
        <v>0</v>
      </c>
      <c r="BO258" s="39" t="n">
        <f aca="false">IF(BO$4=0,0,IF(COUNTIFS(実績!$W$6:$W$505,BO$3,実績!$AI$6:$AI$505,"&lt;="&amp;$A258,実績!$AJ$6:$AJ$505,"&gt;"&amp;$A258,実績!$AL$6:$AL$505,"○")&gt;0,1,0))</f>
        <v>0</v>
      </c>
      <c r="BP258" s="39" t="n">
        <f aca="false">IF(BP$4=0,0,IF(COUNTIFS(実績!$W$6:$W$505,BP$3,実績!$AI$6:$AI$505,"&lt;="&amp;$A258,実績!$AJ$6:$AJ$505,"&gt;"&amp;$A258,実績!$AL$6:$AL$505,"○")&gt;0,1,0))</f>
        <v>0</v>
      </c>
      <c r="BQ258" s="39" t="n">
        <f aca="false">IF(BQ$4=0,0,IF(COUNTIFS(実績!$W$6:$W$505,BQ$3,実績!$AI$6:$AI$505,"&lt;="&amp;$A258,実績!$AJ$6:$AJ$505,"&gt;"&amp;$A258,実績!$AL$6:$AL$505,"○")&gt;0,1,0))</f>
        <v>0</v>
      </c>
      <c r="BR258" s="39" t="n">
        <f aca="false">IF(BR$4=0,0,IF(COUNTIFS(実績!$W$6:$W$505,BR$3,実績!$AI$6:$AI$505,"&lt;="&amp;$A258,実績!$AJ$6:$AJ$505,"&gt;"&amp;$A258,実績!$AL$6:$AL$505,"○")&gt;0,1,0))</f>
        <v>0</v>
      </c>
      <c r="BS258" s="39" t="n">
        <f aca="false">IF(BS$4=0,0,IF(COUNTIFS(実績!$W$6:$W$505,BS$3,実績!$AI$6:$AI$505,"&lt;="&amp;$A258,実績!$AJ$6:$AJ$505,"&gt;"&amp;$A258,実績!$AL$6:$AL$505,"○")&gt;0,1,0))</f>
        <v>0</v>
      </c>
      <c r="BT258" s="39" t="n">
        <f aca="false">IF(BT$4=0,0,IF(COUNTIFS(実績!$W$6:$W$505,BT$3,実績!$AI$6:$AI$505,"&lt;="&amp;$A258,実績!$AJ$6:$AJ$505,"&gt;"&amp;$A258,実績!$AL$6:$AL$505,"○")&gt;0,1,0))</f>
        <v>0</v>
      </c>
      <c r="BU258" s="39" t="n">
        <f aca="false">IF(BU$4=0,0,IF(COUNTIFS(実績!$W$6:$W$505,BU$3,実績!$AI$6:$AI$505,"&lt;="&amp;$A258,実績!$AJ$6:$AJ$505,"&gt;"&amp;$A258,実績!$AL$6:$AL$505,"○")&gt;0,1,0))</f>
        <v>0</v>
      </c>
      <c r="BV258" s="39" t="n">
        <f aca="false">IF(BV$4=0,0,IF(COUNTIFS(実績!$W$6:$W$505,BV$3,実績!$AI$6:$AI$505,"&lt;="&amp;$A258,実績!$AJ$6:$AJ$505,"&gt;"&amp;$A258,実績!$AL$6:$AL$505,"○")&gt;0,1,0))</f>
        <v>0</v>
      </c>
      <c r="BW258" s="39" t="n">
        <f aca="false">IF(BW$4=0,0,IF(COUNTIFS(実績!$W$6:$W$505,BW$3,実績!$AI$6:$AI$505,"&lt;="&amp;$A258,実績!$AJ$6:$AJ$505,"&gt;"&amp;$A258,実績!$AL$6:$AL$505,"○")&gt;0,1,0))</f>
        <v>0</v>
      </c>
      <c r="BX258" s="39" t="n">
        <f aca="false">IF(BX$4=0,0,IF(COUNTIFS(実績!$W$6:$W$505,BX$3,実績!$AI$6:$AI$505,"&lt;="&amp;$A258,実績!$AJ$6:$AJ$505,"&gt;"&amp;$A258,実績!$AL$6:$AL$505,"○")&gt;0,1,0))</f>
        <v>0</v>
      </c>
      <c r="BY258" s="39" t="n">
        <f aca="false">IF(BY$4=0,0,IF(COUNTIFS(実績!$W$6:$W$505,BY$3,実績!$AI$6:$AI$505,"&lt;="&amp;$A258,実績!$AJ$6:$AJ$505,"&gt;"&amp;$A258,実績!$AL$6:$AL$505,"○")&gt;0,1,0))</f>
        <v>0</v>
      </c>
      <c r="BZ258" s="39" t="n">
        <f aca="false">IF(BZ$4=0,0,IF(COUNTIFS(実績!$W$6:$W$505,BZ$3,実績!$AI$6:$AI$505,"&lt;="&amp;$A258,実績!$AJ$6:$AJ$505,"&gt;"&amp;$A258,実績!$AL$6:$AL$505,"○")&gt;0,1,0))</f>
        <v>0</v>
      </c>
      <c r="CA258" s="39" t="n">
        <f aca="false">IF(CA$4=0,0,IF(COUNTIFS(実績!$W$6:$W$505,CA$3,実績!$AI$6:$AI$505,"&lt;="&amp;$A258,実績!$AJ$6:$AJ$505,"&gt;"&amp;$A258,実績!$AL$6:$AL$505,"○")&gt;0,1,0))</f>
        <v>0</v>
      </c>
      <c r="CB258" s="39" t="n">
        <f aca="false">IF(CB$4=0,0,IF(COUNTIFS(実績!$W$6:$W$505,CB$3,実績!$AI$6:$AI$505,"&lt;="&amp;$A258,実績!$AJ$6:$AJ$505,"&gt;"&amp;$A258,実績!$AL$6:$AL$505,"○")&gt;0,1,0))</f>
        <v>0</v>
      </c>
      <c r="CC258" s="39" t="n">
        <f aca="false">IF(CC$4=0,0,IF(COUNTIFS(実績!$W$6:$W$505,CC$3,実績!$AI$6:$AI$505,"&lt;="&amp;$A258,実績!$AJ$6:$AJ$505,"&gt;"&amp;$A258,実績!$AL$6:$AL$505,"○")&gt;0,1,0))</f>
        <v>0</v>
      </c>
      <c r="CD258" s="39" t="n">
        <f aca="false">IF(CD$4=0,0,IF(COUNTIFS(実績!$W$6:$W$505,CD$3,実績!$AI$6:$AI$505,"&lt;="&amp;$A258,実績!$AJ$6:$AJ$505,"&gt;"&amp;$A258,実績!$AL$6:$AL$505,"○")&gt;0,1,0))</f>
        <v>0</v>
      </c>
      <c r="CE258" s="39" t="n">
        <f aca="false">IF(CE$4=0,0,IF(COUNTIFS(実績!$W$6:$W$505,CE$3,実績!$AI$6:$AI$505,"&lt;="&amp;$A258,実績!$AJ$6:$AJ$505,"&gt;"&amp;$A258,実績!$AL$6:$AL$505,"○")&gt;0,1,0))</f>
        <v>0</v>
      </c>
      <c r="CF258" s="39" t="n">
        <f aca="false">IF(CF$4=0,0,IF(COUNTIFS(実績!$W$6:$W$505,CF$3,実績!$AI$6:$AI$505,"&lt;="&amp;$A258,実績!$AJ$6:$AJ$505,"&gt;"&amp;$A258,実績!$AL$6:$AL$505,"○")&gt;0,1,0))</f>
        <v>0</v>
      </c>
      <c r="CG258" s="39" t="n">
        <f aca="false">IF(CG$4=0,0,IF(COUNTIFS(実績!$W$6:$W$505,CG$3,実績!$AI$6:$AI$505,"&lt;="&amp;$A258,実績!$AJ$6:$AJ$505,"&gt;"&amp;$A258,実績!$AL$6:$AL$505,"○")&gt;0,1,0))</f>
        <v>0</v>
      </c>
      <c r="CH258" s="39" t="n">
        <f aca="false">IF(CH$4=0,0,IF(COUNTIFS(実績!$W$6:$W$505,CH$3,実績!$AI$6:$AI$505,"&lt;="&amp;$A258,実績!$AJ$6:$AJ$505,"&gt;"&amp;$A258,実績!$AL$6:$AL$505,"○")&gt;0,1,0))</f>
        <v>0</v>
      </c>
      <c r="CI258" s="39" t="n">
        <f aca="false">IF(CI$4=0,0,IF(COUNTIFS(実績!$W$6:$W$505,CI$3,実績!$AI$6:$AI$505,"&lt;="&amp;$A258,実績!$AJ$6:$AJ$505,"&gt;"&amp;$A258,実績!$AL$6:$AL$505,"○")&gt;0,1,0))</f>
        <v>0</v>
      </c>
      <c r="CJ258" s="39" t="n">
        <f aca="false">IF(CJ$4=0,0,IF(COUNTIFS(実績!$W$6:$W$505,CJ$3,実績!$AI$6:$AI$505,"&lt;="&amp;$A258,実績!$AJ$6:$AJ$505,"&gt;"&amp;$A258,実績!$AL$6:$AL$505,"○")&gt;0,1,0))</f>
        <v>0</v>
      </c>
      <c r="CK258" s="39" t="n">
        <f aca="false">IF(CK$4=0,0,IF(COUNTIFS(実績!$W$6:$W$505,CK$3,実績!$AI$6:$AI$505,"&lt;="&amp;$A258,実績!$AJ$6:$AJ$505,"&gt;"&amp;$A258,実績!$AL$6:$AL$505,"○")&gt;0,1,0))</f>
        <v>0</v>
      </c>
      <c r="CL258" s="39" t="n">
        <f aca="false">IF(CL$4=0,0,IF(COUNTIFS(実績!$W$6:$W$505,CL$3,実績!$AI$6:$AI$505,"&lt;="&amp;$A258,実績!$AJ$6:$AJ$505,"&gt;"&amp;$A258,実績!$AL$6:$AL$505,"○")&gt;0,1,0))</f>
        <v>0</v>
      </c>
      <c r="CM258" s="39" t="n">
        <f aca="false">IF(CM$4=0,0,IF(COUNTIFS(実績!$W$6:$W$505,CM$3,実績!$AI$6:$AI$505,"&lt;="&amp;$A258,実績!$AJ$6:$AJ$505,"&gt;"&amp;$A258,実績!$AL$6:$AL$505,"○")&gt;0,1,0))</f>
        <v>0</v>
      </c>
      <c r="CN258" s="39" t="n">
        <f aca="false">IF(CN$4=0,0,IF(COUNTIFS(実績!$W$6:$W$505,CN$3,実績!$AI$6:$AI$505,"&lt;="&amp;$A258,実績!$AJ$6:$AJ$505,"&gt;"&amp;$A258,実績!$AL$6:$AL$505,"○")&gt;0,1,0))</f>
        <v>0</v>
      </c>
      <c r="CO258" s="39" t="n">
        <f aca="false">IF(CO$4=0,0,IF(COUNTIFS(実績!$W$6:$W$505,CO$3,実績!$AI$6:$AI$505,"&lt;="&amp;$A258,実績!$AJ$6:$AJ$505,"&gt;"&amp;$A258,実績!$AL$6:$AL$505,"○")&gt;0,1,0))</f>
        <v>0</v>
      </c>
      <c r="CP258" s="39" t="n">
        <f aca="false">IF(CP$4=0,0,IF(COUNTIFS(実績!$W$6:$W$505,CP$3,実績!$AI$6:$AI$505,"&lt;="&amp;$A258,実績!$AJ$6:$AJ$505,"&gt;"&amp;$A258,実績!$AL$6:$AL$505,"○")&gt;0,1,0))</f>
        <v>0</v>
      </c>
      <c r="CQ258" s="39" t="n">
        <f aca="false">IF(CQ$4=0,0,IF(COUNTIFS(実績!$W$6:$W$505,CQ$3,実績!$AI$6:$AI$505,"&lt;="&amp;$A258,実績!$AJ$6:$AJ$505,"&gt;"&amp;$A258,実績!$AL$6:$AL$505,"○")&gt;0,1,0))</f>
        <v>0</v>
      </c>
      <c r="CR258" s="39" t="n">
        <f aca="false">IF(CR$4=0,0,IF(COUNTIFS(実績!$W$6:$W$505,CR$3,実績!$AI$6:$AI$505,"&lt;="&amp;$A258,実績!$AJ$6:$AJ$505,"&gt;"&amp;$A258,実績!$AL$6:$AL$505,"○")&gt;0,1,0))</f>
        <v>0</v>
      </c>
      <c r="CS258" s="39" t="n">
        <f aca="false">IF(CS$4=0,0,IF(COUNTIFS(実績!$W$6:$W$505,CS$3,実績!$AI$6:$AI$505,"&lt;="&amp;$A258,実績!$AJ$6:$AJ$505,"&gt;"&amp;$A258,実績!$AL$6:$AL$505,"○")&gt;0,1,0))</f>
        <v>0</v>
      </c>
      <c r="CT258" s="39" t="n">
        <f aca="false">IF(CT$4=0,0,IF(COUNTIFS(実績!$W$6:$W$505,CT$3,実績!$AI$6:$AI$505,"&lt;="&amp;$A258,実績!$AJ$6:$AJ$505,"&gt;"&amp;$A258,実績!$AL$6:$AL$505,"○")&gt;0,1,0))</f>
        <v>0</v>
      </c>
      <c r="CU258" s="39" t="n">
        <f aca="false">IF(CU$4=0,0,IF(COUNTIFS(実績!$W$6:$W$505,CU$3,実績!$AI$6:$AI$505,"&lt;="&amp;$A258,実績!$AJ$6:$AJ$505,"&gt;"&amp;$A258,実績!$AL$6:$AL$505,"○")&gt;0,1,0))</f>
        <v>0</v>
      </c>
      <c r="CV258" s="39" t="n">
        <f aca="false">IF(CV$4=0,0,IF(COUNTIFS(実績!$W$6:$W$505,CV$3,実績!$AI$6:$AI$505,"&lt;="&amp;$A258,実績!$AJ$6:$AJ$505,"&gt;"&amp;$A258,実績!$AL$6:$AL$505,"○")&gt;0,1,0))</f>
        <v>0</v>
      </c>
      <c r="CW258" s="39" t="n">
        <f aca="false">IF(CW$4=0,0,IF(COUNTIFS(実績!$W$6:$W$505,CW$3,実績!$AI$6:$AI$505,"&lt;="&amp;$A258,実績!$AJ$6:$AJ$505,"&gt;"&amp;$A258,実績!$AL$6:$AL$505,"○")&gt;0,1,0))</f>
        <v>0</v>
      </c>
      <c r="CX258" s="39" t="n">
        <f aca="false">IF(CX$4=0,0,IF(COUNTIFS(実績!$W$6:$W$505,CX$3,実績!$AI$6:$AI$505,"&lt;="&amp;$A258,実績!$AJ$6:$AJ$505,"&gt;"&amp;$A258,実績!$AL$6:$AL$505,"○")&gt;0,1,0))</f>
        <v>0</v>
      </c>
      <c r="CY258" s="39" t="n">
        <f aca="false">IF(CY$4=0,0,IF(COUNTIFS(実績!$W$6:$W$505,CY$3,実績!$AI$6:$AI$505,"&lt;="&amp;$A258,実績!$AJ$6:$AJ$505,"&gt;"&amp;$A258,実績!$AL$6:$AL$505,"○")&gt;0,1,0))</f>
        <v>0</v>
      </c>
      <c r="CZ258" s="39" t="n">
        <f aca="false">IF(CZ$4=0,0,IF(COUNTIFS(実績!$W$6:$W$505,CZ$3,実績!$AI$6:$AI$505,"&lt;="&amp;$A258,実績!$AJ$6:$AJ$505,"&gt;"&amp;$A258,実績!$AL$6:$AL$505,"○")&gt;0,1,0))</f>
        <v>0</v>
      </c>
      <c r="DA258" s="39" t="n">
        <f aca="false">IF(DA$4=0,0,IF(COUNTIFS(実績!$W$6:$W$505,DA$3,実績!$AI$6:$AI$505,"&lt;="&amp;$A258,実績!$AJ$6:$AJ$505,"&gt;"&amp;$A258,実績!$AL$6:$AL$505,"○")&gt;0,1,0))</f>
        <v>0</v>
      </c>
      <c r="DB258" s="39" t="n">
        <f aca="false">IF(DB$4=0,0,IF(COUNTIFS(実績!$W$6:$W$505,DB$3,実績!$AI$6:$AI$505,"&lt;="&amp;$A258,実績!$AJ$6:$AJ$505,"&gt;"&amp;$A258,実績!$AL$6:$AL$505,"○")&gt;0,1,0))</f>
        <v>0</v>
      </c>
      <c r="DC258" s="39" t="n">
        <f aca="false">IF(DC$4=0,0,IF(COUNTIFS(実績!$W$6:$W$505,DC$3,実績!$AI$6:$AI$505,"&lt;="&amp;$A258,実績!$AJ$6:$AJ$505,"&gt;"&amp;$A258,実績!$AL$6:$AL$505,"○")&gt;0,1,0))</f>
        <v>0</v>
      </c>
      <c r="DD258" s="39" t="n">
        <f aca="false">IF(DD$4=0,0,IF(COUNTIFS(実績!$W$6:$W$505,DD$3,実績!$AI$6:$AI$505,"&lt;="&amp;$A258,実績!$AJ$6:$AJ$505,"&gt;"&amp;$A258,実績!$AL$6:$AL$505,"○")&gt;0,1,0))</f>
        <v>0</v>
      </c>
      <c r="DE258" s="39" t="n">
        <f aca="false">IF(DE$4=0,0,IF(COUNTIFS(実績!$W$6:$W$505,DE$3,実績!$AI$6:$AI$505,"&lt;="&amp;$A258,実績!$AJ$6:$AJ$505,"&gt;"&amp;$A258,実績!$AL$6:$AL$505,"○")&gt;0,1,0))</f>
        <v>0</v>
      </c>
      <c r="DF258" s="39" t="n">
        <f aca="false">IF(DF$4=0,0,IF(COUNTIFS(実績!$W$6:$W$505,DF$3,実績!$AI$6:$AI$505,"&lt;="&amp;$A258,実績!$AJ$6:$AJ$505,"&gt;"&amp;$A258,実績!$AL$6:$AL$505,"○")&gt;0,1,0))</f>
        <v>0</v>
      </c>
      <c r="DG258" s="39" t="n">
        <f aca="false">IF(DG$4=0,0,IF(COUNTIFS(実績!$W$6:$W$505,DG$3,実績!$AI$6:$AI$505,"&lt;="&amp;$A258,実績!$AJ$6:$AJ$505,"&gt;"&amp;$A258,実績!$AL$6:$AL$505,"○")&gt;0,1,0))</f>
        <v>0</v>
      </c>
      <c r="DH258" s="39" t="n">
        <f aca="false">IF(DH$4=0,0,IF(COUNTIFS(実績!$W$6:$W$505,DH$3,実績!$AI$6:$AI$505,"&lt;="&amp;$A258,実績!$AJ$6:$AJ$505,"&gt;"&amp;$A258,実績!$AL$6:$AL$505,"○")&gt;0,1,0))</f>
        <v>0</v>
      </c>
      <c r="DI258" s="39" t="n">
        <f aca="false">IF(DI$4=0,0,IF(COUNTIFS(実績!$W$6:$W$505,DI$3,実績!$AI$6:$AI$505,"&lt;="&amp;$A258,実績!$AJ$6:$AJ$505,"&gt;"&amp;$A258,実績!$AL$6:$AL$505,"○")&gt;0,1,0))</f>
        <v>0</v>
      </c>
      <c r="DJ258" s="39" t="n">
        <f aca="false">IF(DJ$4=0,0,IF(COUNTIFS(実績!$W$6:$W$505,DJ$3,実績!$AI$6:$AI$505,"&lt;="&amp;$A258,実績!$AJ$6:$AJ$505,"&gt;"&amp;$A258,実績!$AL$6:$AL$505,"○")&gt;0,1,0))</f>
        <v>0</v>
      </c>
      <c r="DK258" s="39" t="n">
        <f aca="false">IF(DK$4=0,0,IF(COUNTIFS(実績!$W$6:$W$505,DK$3,実績!$AI$6:$AI$505,"&lt;="&amp;$A258,実績!$AJ$6:$AJ$505,"&gt;"&amp;$A258,実績!$AL$6:$AL$505,"○")&gt;0,1,0))</f>
        <v>0</v>
      </c>
      <c r="DL258" s="39" t="n">
        <f aca="false">IF(DL$4=0,0,IF(COUNTIFS(実績!$W$6:$W$505,DL$3,実績!$AI$6:$AI$505,"&lt;="&amp;$A258,実績!$AJ$6:$AJ$505,"&gt;"&amp;$A258,実績!$AL$6:$AL$505,"○")&gt;0,1,0))</f>
        <v>0</v>
      </c>
      <c r="DM258" s="39" t="n">
        <f aca="false">IF(DM$4=0,0,IF(COUNTIFS(実績!$W$6:$W$505,DM$3,実績!$AI$6:$AI$505,"&lt;="&amp;$A258,実績!$AJ$6:$AJ$505,"&gt;"&amp;$A258,実績!$AL$6:$AL$505,"○")&gt;0,1,0))</f>
        <v>0</v>
      </c>
      <c r="DN258" s="39" t="n">
        <f aca="false">IF(DN$4=0,0,IF(COUNTIFS(実績!$W$6:$W$505,DN$3,実績!$AI$6:$AI$505,"&lt;="&amp;$A258,実績!$AJ$6:$AJ$505,"&gt;"&amp;$A258,実績!$AL$6:$AL$505,"○")&gt;0,1,0))</f>
        <v>0</v>
      </c>
      <c r="DO258" s="39" t="n">
        <f aca="false">IF(DO$4=0,0,IF(COUNTIFS(実績!$W$6:$W$505,DO$3,実績!$AI$6:$AI$505,"&lt;="&amp;$A258,実績!$AJ$6:$AJ$505,"&gt;"&amp;$A258,実績!$AL$6:$AL$505,"○")&gt;0,1,0))</f>
        <v>0</v>
      </c>
      <c r="DP258" s="39" t="n">
        <f aca="false">IF(DP$4=0,0,IF(COUNTIFS(実績!$W$6:$W$505,DP$3,実績!$AI$6:$AI$505,"&lt;="&amp;$A258,実績!$AJ$6:$AJ$505,"&gt;"&amp;$A258,実績!$AL$6:$AL$505,"○")&gt;0,1,0))</f>
        <v>0</v>
      </c>
      <c r="DQ258" s="39" t="n">
        <f aca="false">IF(DQ$4=0,0,IF(COUNTIFS(実績!$W$6:$W$505,DQ$3,実績!$AI$6:$AI$505,"&lt;="&amp;$A258,実績!$AJ$6:$AJ$505,"&gt;"&amp;$A258,実績!$AL$6:$AL$505,"○")&gt;0,1,0))</f>
        <v>0</v>
      </c>
      <c r="DR258" s="39" t="n">
        <f aca="false">IF(DR$4=0,0,IF(COUNTIFS(実績!$W$6:$W$505,DR$3,実績!$AI$6:$AI$505,"&lt;="&amp;$A258,実績!$AJ$6:$AJ$505,"&gt;"&amp;$A258,実績!$AL$6:$AL$505,"○")&gt;0,1,0))</f>
        <v>0</v>
      </c>
      <c r="DS258" s="39" t="n">
        <f aca="false">SUM(C258:DR258)</f>
        <v>0</v>
      </c>
    </row>
    <row r="259" customFormat="false" ht="15" hidden="false" customHeight="false" outlineLevel="0" collapsed="false">
      <c r="A259" s="0" t="n">
        <v>1265</v>
      </c>
      <c r="B259" s="38" t="n">
        <f aca="false">A259/1440</f>
        <v>0.878472222222222</v>
      </c>
      <c r="C259" s="39" t="n">
        <f aca="false">IF(C$4=0,0,IF(COUNTIFS(実績!$W$6:$W$505,C$3,実績!$AI$6:$AI$505,"&lt;="&amp;$A259,実績!$AJ$6:$AJ$505,"&gt;"&amp;$A259,実績!$AL$6:$AL$505,"○")&gt;0,1,0))</f>
        <v>0</v>
      </c>
      <c r="D259" s="39" t="n">
        <f aca="false">IF(D$4=0,0,IF(COUNTIFS(実績!$W$6:$W$505,D$3,実績!$AI$6:$AI$505,"&lt;="&amp;$A259,実績!$AJ$6:$AJ$505,"&gt;"&amp;$A259,実績!$AL$6:$AL$505,"○")&gt;0,1,0))</f>
        <v>0</v>
      </c>
      <c r="E259" s="39" t="n">
        <f aca="false">IF(E$4=0,0,IF(COUNTIFS(実績!$W$6:$W$505,E$3,実績!$AI$6:$AI$505,"&lt;="&amp;$A259,実績!$AJ$6:$AJ$505,"&gt;"&amp;$A259,実績!$AL$6:$AL$505,"○")&gt;0,1,0))</f>
        <v>0</v>
      </c>
      <c r="F259" s="39" t="n">
        <f aca="false">IF(F$4=0,0,IF(COUNTIFS(実績!$W$6:$W$505,F$3,実績!$AI$6:$AI$505,"&lt;="&amp;$A259,実績!$AJ$6:$AJ$505,"&gt;"&amp;$A259,実績!$AL$6:$AL$505,"○")&gt;0,1,0))</f>
        <v>0</v>
      </c>
      <c r="G259" s="39" t="n">
        <f aca="false">IF(G$4=0,0,IF(COUNTIFS(実績!$W$6:$W$505,G$3,実績!$AI$6:$AI$505,"&lt;="&amp;$A259,実績!$AJ$6:$AJ$505,"&gt;"&amp;$A259,実績!$AL$6:$AL$505,"○")&gt;0,1,0))</f>
        <v>0</v>
      </c>
      <c r="H259" s="39" t="n">
        <f aca="false">IF(H$4=0,0,IF(COUNTIFS(実績!$W$6:$W$505,H$3,実績!$AI$6:$AI$505,"&lt;="&amp;$A259,実績!$AJ$6:$AJ$505,"&gt;"&amp;$A259,実績!$AL$6:$AL$505,"○")&gt;0,1,0))</f>
        <v>0</v>
      </c>
      <c r="I259" s="39" t="n">
        <f aca="false">IF(I$4=0,0,IF(COUNTIFS(実績!$W$6:$W$505,I$3,実績!$AI$6:$AI$505,"&lt;="&amp;$A259,実績!$AJ$6:$AJ$505,"&gt;"&amp;$A259,実績!$AL$6:$AL$505,"○")&gt;0,1,0))</f>
        <v>0</v>
      </c>
      <c r="J259" s="39" t="n">
        <f aca="false">IF(J$4=0,0,IF(COUNTIFS(実績!$W$6:$W$505,J$3,実績!$AI$6:$AI$505,"&lt;="&amp;$A259,実績!$AJ$6:$AJ$505,"&gt;"&amp;$A259,実績!$AL$6:$AL$505,"○")&gt;0,1,0))</f>
        <v>0</v>
      </c>
      <c r="K259" s="39" t="n">
        <f aca="false">IF(K$4=0,0,IF(COUNTIFS(実績!$W$6:$W$505,K$3,実績!$AI$6:$AI$505,"&lt;="&amp;$A259,実績!$AJ$6:$AJ$505,"&gt;"&amp;$A259,実績!$AL$6:$AL$505,"○")&gt;0,1,0))</f>
        <v>0</v>
      </c>
      <c r="L259" s="39" t="n">
        <f aca="false">IF(L$4=0,0,IF(COUNTIFS(実績!$W$6:$W$505,L$3,実績!$AI$6:$AI$505,"&lt;="&amp;$A259,実績!$AJ$6:$AJ$505,"&gt;"&amp;$A259,実績!$AL$6:$AL$505,"○")&gt;0,1,0))</f>
        <v>0</v>
      </c>
      <c r="M259" s="39" t="n">
        <f aca="false">IF(M$4=0,0,IF(COUNTIFS(実績!$W$6:$W$505,M$3,実績!$AI$6:$AI$505,"&lt;="&amp;$A259,実績!$AJ$6:$AJ$505,"&gt;"&amp;$A259,実績!$AL$6:$AL$505,"○")&gt;0,1,0))</f>
        <v>0</v>
      </c>
      <c r="N259" s="39" t="n">
        <f aca="false">IF(N$4=0,0,IF(COUNTIFS(実績!$W$6:$W$505,N$3,実績!$AI$6:$AI$505,"&lt;="&amp;$A259,実績!$AJ$6:$AJ$505,"&gt;"&amp;$A259,実績!$AL$6:$AL$505,"○")&gt;0,1,0))</f>
        <v>0</v>
      </c>
      <c r="O259" s="39" t="n">
        <f aca="false">IF(O$4=0,0,IF(COUNTIFS(実績!$W$6:$W$505,O$3,実績!$AI$6:$AI$505,"&lt;="&amp;$A259,実績!$AJ$6:$AJ$505,"&gt;"&amp;$A259,実績!$AL$6:$AL$505,"○")&gt;0,1,0))</f>
        <v>0</v>
      </c>
      <c r="P259" s="39" t="n">
        <f aca="false">IF(P$4=0,0,IF(COUNTIFS(実績!$W$6:$W$505,P$3,実績!$AI$6:$AI$505,"&lt;="&amp;$A259,実績!$AJ$6:$AJ$505,"&gt;"&amp;$A259,実績!$AL$6:$AL$505,"○")&gt;0,1,0))</f>
        <v>0</v>
      </c>
      <c r="Q259" s="39" t="n">
        <f aca="false">IF(Q$4=0,0,IF(COUNTIFS(実績!$W$6:$W$505,Q$3,実績!$AI$6:$AI$505,"&lt;="&amp;$A259,実績!$AJ$6:$AJ$505,"&gt;"&amp;$A259,実績!$AL$6:$AL$505,"○")&gt;0,1,0))</f>
        <v>0</v>
      </c>
      <c r="R259" s="39" t="n">
        <f aca="false">IF(R$4=0,0,IF(COUNTIFS(実績!$W$6:$W$505,R$3,実績!$AI$6:$AI$505,"&lt;="&amp;$A259,実績!$AJ$6:$AJ$505,"&gt;"&amp;$A259,実績!$AL$6:$AL$505,"○")&gt;0,1,0))</f>
        <v>0</v>
      </c>
      <c r="S259" s="39" t="n">
        <f aca="false">IF(S$4=0,0,IF(COUNTIFS(実績!$W$6:$W$505,S$3,実績!$AI$6:$AI$505,"&lt;="&amp;$A259,実績!$AJ$6:$AJ$505,"&gt;"&amp;$A259,実績!$AL$6:$AL$505,"○")&gt;0,1,0))</f>
        <v>0</v>
      </c>
      <c r="T259" s="39" t="n">
        <f aca="false">IF(T$4=0,0,IF(COUNTIFS(実績!$W$6:$W$505,T$3,実績!$AI$6:$AI$505,"&lt;="&amp;$A259,実績!$AJ$6:$AJ$505,"&gt;"&amp;$A259,実績!$AL$6:$AL$505,"○")&gt;0,1,0))</f>
        <v>0</v>
      </c>
      <c r="U259" s="39" t="n">
        <f aca="false">IF(U$4=0,0,IF(COUNTIFS(実績!$W$6:$W$505,U$3,実績!$AI$6:$AI$505,"&lt;="&amp;$A259,実績!$AJ$6:$AJ$505,"&gt;"&amp;$A259,実績!$AL$6:$AL$505,"○")&gt;0,1,0))</f>
        <v>0</v>
      </c>
      <c r="V259" s="39" t="n">
        <f aca="false">IF(V$4=0,0,IF(COUNTIFS(実績!$W$6:$W$505,V$3,実績!$AI$6:$AI$505,"&lt;="&amp;$A259,実績!$AJ$6:$AJ$505,"&gt;"&amp;$A259,実績!$AL$6:$AL$505,"○")&gt;0,1,0))</f>
        <v>0</v>
      </c>
      <c r="W259" s="39" t="n">
        <f aca="false">IF(W$4=0,0,IF(COUNTIFS(実績!$W$6:$W$505,W$3,実績!$AI$6:$AI$505,"&lt;="&amp;$A259,実績!$AJ$6:$AJ$505,"&gt;"&amp;$A259,実績!$AL$6:$AL$505,"○")&gt;0,1,0))</f>
        <v>0</v>
      </c>
      <c r="X259" s="39" t="n">
        <f aca="false">IF(X$4=0,0,IF(COUNTIFS(実績!$W$6:$W$505,X$3,実績!$AI$6:$AI$505,"&lt;="&amp;$A259,実績!$AJ$6:$AJ$505,"&gt;"&amp;$A259,実績!$AL$6:$AL$505,"○")&gt;0,1,0))</f>
        <v>0</v>
      </c>
      <c r="Y259" s="39" t="n">
        <f aca="false">IF(Y$4=0,0,IF(COUNTIFS(実績!$W$6:$W$505,Y$3,実績!$AI$6:$AI$505,"&lt;="&amp;$A259,実績!$AJ$6:$AJ$505,"&gt;"&amp;$A259,実績!$AL$6:$AL$505,"○")&gt;0,1,0))</f>
        <v>0</v>
      </c>
      <c r="Z259" s="39" t="n">
        <f aca="false">IF(Z$4=0,0,IF(COUNTIFS(実績!$W$6:$W$505,Z$3,実績!$AI$6:$AI$505,"&lt;="&amp;$A259,実績!$AJ$6:$AJ$505,"&gt;"&amp;$A259,実績!$AL$6:$AL$505,"○")&gt;0,1,0))</f>
        <v>0</v>
      </c>
      <c r="AA259" s="39" t="n">
        <f aca="false">IF(AA$4=0,0,IF(COUNTIFS(実績!$W$6:$W$505,AA$3,実績!$AI$6:$AI$505,"&lt;="&amp;$A259,実績!$AJ$6:$AJ$505,"&gt;"&amp;$A259,実績!$AL$6:$AL$505,"○")&gt;0,1,0))</f>
        <v>0</v>
      </c>
      <c r="AB259" s="39" t="n">
        <f aca="false">IF(AB$4=0,0,IF(COUNTIFS(実績!$W$6:$W$505,AB$3,実績!$AI$6:$AI$505,"&lt;="&amp;$A259,実績!$AJ$6:$AJ$505,"&gt;"&amp;$A259,実績!$AL$6:$AL$505,"○")&gt;0,1,0))</f>
        <v>0</v>
      </c>
      <c r="AC259" s="39" t="n">
        <f aca="false">IF(AC$4=0,0,IF(COUNTIFS(実績!$W$6:$W$505,AC$3,実績!$AI$6:$AI$505,"&lt;="&amp;$A259,実績!$AJ$6:$AJ$505,"&gt;"&amp;$A259,実績!$AL$6:$AL$505,"○")&gt;0,1,0))</f>
        <v>0</v>
      </c>
      <c r="AD259" s="39" t="n">
        <f aca="false">IF(AD$4=0,0,IF(COUNTIFS(実績!$W$6:$W$505,AD$3,実績!$AI$6:$AI$505,"&lt;="&amp;$A259,実績!$AJ$6:$AJ$505,"&gt;"&amp;$A259,実績!$AL$6:$AL$505,"○")&gt;0,1,0))</f>
        <v>0</v>
      </c>
      <c r="AE259" s="39" t="n">
        <f aca="false">IF(AE$4=0,0,IF(COUNTIFS(実績!$W$6:$W$505,AE$3,実績!$AI$6:$AI$505,"&lt;="&amp;$A259,実績!$AJ$6:$AJ$505,"&gt;"&amp;$A259,実績!$AL$6:$AL$505,"○")&gt;0,1,0))</f>
        <v>0</v>
      </c>
      <c r="AF259" s="39" t="n">
        <f aca="false">IF(AF$4=0,0,IF(COUNTIFS(実績!$W$6:$W$505,AF$3,実績!$AI$6:$AI$505,"&lt;="&amp;$A259,実績!$AJ$6:$AJ$505,"&gt;"&amp;$A259,実績!$AL$6:$AL$505,"○")&gt;0,1,0))</f>
        <v>0</v>
      </c>
      <c r="AG259" s="39" t="n">
        <f aca="false">IF(AG$4=0,0,IF(COUNTIFS(実績!$W$6:$W$505,AG$3,実績!$AI$6:$AI$505,"&lt;="&amp;$A259,実績!$AJ$6:$AJ$505,"&gt;"&amp;$A259,実績!$AL$6:$AL$505,"○")&gt;0,1,0))</f>
        <v>0</v>
      </c>
      <c r="AH259" s="39" t="n">
        <f aca="false">IF(AH$4=0,0,IF(COUNTIFS(実績!$W$6:$W$505,AH$3,実績!$AI$6:$AI$505,"&lt;="&amp;$A259,実績!$AJ$6:$AJ$505,"&gt;"&amp;$A259,実績!$AL$6:$AL$505,"○")&gt;0,1,0))</f>
        <v>0</v>
      </c>
      <c r="AI259" s="39" t="n">
        <f aca="false">IF(AI$4=0,0,IF(COUNTIFS(実績!$W$6:$W$505,AI$3,実績!$AI$6:$AI$505,"&lt;="&amp;$A259,実績!$AJ$6:$AJ$505,"&gt;"&amp;$A259,実績!$AL$6:$AL$505,"○")&gt;0,1,0))</f>
        <v>0</v>
      </c>
      <c r="AJ259" s="39" t="n">
        <f aca="false">IF(AJ$4=0,0,IF(COUNTIFS(実績!$W$6:$W$505,AJ$3,実績!$AI$6:$AI$505,"&lt;="&amp;$A259,実績!$AJ$6:$AJ$505,"&gt;"&amp;$A259,実績!$AL$6:$AL$505,"○")&gt;0,1,0))</f>
        <v>0</v>
      </c>
      <c r="AK259" s="39" t="n">
        <f aca="false">IF(AK$4=0,0,IF(COUNTIFS(実績!$W$6:$W$505,AK$3,実績!$AI$6:$AI$505,"&lt;="&amp;$A259,実績!$AJ$6:$AJ$505,"&gt;"&amp;$A259,実績!$AL$6:$AL$505,"○")&gt;0,1,0))</f>
        <v>0</v>
      </c>
      <c r="AL259" s="39" t="n">
        <f aca="false">IF(AL$4=0,0,IF(COUNTIFS(実績!$W$6:$W$505,AL$3,実績!$AI$6:$AI$505,"&lt;="&amp;$A259,実績!$AJ$6:$AJ$505,"&gt;"&amp;$A259,実績!$AL$6:$AL$505,"○")&gt;0,1,0))</f>
        <v>0</v>
      </c>
      <c r="AM259" s="39" t="n">
        <f aca="false">IF(AM$4=0,0,IF(COUNTIFS(実績!$W$6:$W$505,AM$3,実績!$AI$6:$AI$505,"&lt;="&amp;$A259,実績!$AJ$6:$AJ$505,"&gt;"&amp;$A259,実績!$AL$6:$AL$505,"○")&gt;0,1,0))</f>
        <v>0</v>
      </c>
      <c r="AN259" s="39" t="n">
        <f aca="false">IF(AN$4=0,0,IF(COUNTIFS(実績!$W$6:$W$505,AN$3,実績!$AI$6:$AI$505,"&lt;="&amp;$A259,実績!$AJ$6:$AJ$505,"&gt;"&amp;$A259,実績!$AL$6:$AL$505,"○")&gt;0,1,0))</f>
        <v>0</v>
      </c>
      <c r="AO259" s="39" t="n">
        <f aca="false">IF(AO$4=0,0,IF(COUNTIFS(実績!$W$6:$W$505,AO$3,実績!$AI$6:$AI$505,"&lt;="&amp;$A259,実績!$AJ$6:$AJ$505,"&gt;"&amp;$A259,実績!$AL$6:$AL$505,"○")&gt;0,1,0))</f>
        <v>0</v>
      </c>
      <c r="AP259" s="39" t="n">
        <f aca="false">IF(AP$4=0,0,IF(COUNTIFS(実績!$W$6:$W$505,AP$3,実績!$AI$6:$AI$505,"&lt;="&amp;$A259,実績!$AJ$6:$AJ$505,"&gt;"&amp;$A259,実績!$AL$6:$AL$505,"○")&gt;0,1,0))</f>
        <v>0</v>
      </c>
      <c r="AQ259" s="39" t="n">
        <f aca="false">IF(AQ$4=0,0,IF(COUNTIFS(実績!$W$6:$W$505,AQ$3,実績!$AI$6:$AI$505,"&lt;="&amp;$A259,実績!$AJ$6:$AJ$505,"&gt;"&amp;$A259,実績!$AL$6:$AL$505,"○")&gt;0,1,0))</f>
        <v>0</v>
      </c>
      <c r="AR259" s="39" t="n">
        <f aca="false">IF(AR$4=0,0,IF(COUNTIFS(実績!$W$6:$W$505,AR$3,実績!$AI$6:$AI$505,"&lt;="&amp;$A259,実績!$AJ$6:$AJ$505,"&gt;"&amp;$A259,実績!$AL$6:$AL$505,"○")&gt;0,1,0))</f>
        <v>0</v>
      </c>
      <c r="AS259" s="39" t="n">
        <f aca="false">IF(AS$4=0,0,IF(COUNTIFS(実績!$W$6:$W$505,AS$3,実績!$AI$6:$AI$505,"&lt;="&amp;$A259,実績!$AJ$6:$AJ$505,"&gt;"&amp;$A259,実績!$AL$6:$AL$505,"○")&gt;0,1,0))</f>
        <v>0</v>
      </c>
      <c r="AT259" s="39" t="n">
        <f aca="false">IF(AT$4=0,0,IF(COUNTIFS(実績!$W$6:$W$505,AT$3,実績!$AI$6:$AI$505,"&lt;="&amp;$A259,実績!$AJ$6:$AJ$505,"&gt;"&amp;$A259,実績!$AL$6:$AL$505,"○")&gt;0,1,0))</f>
        <v>0</v>
      </c>
      <c r="AU259" s="39" t="n">
        <f aca="false">IF(AU$4=0,0,IF(COUNTIFS(実績!$W$6:$W$505,AU$3,実績!$AI$6:$AI$505,"&lt;="&amp;$A259,実績!$AJ$6:$AJ$505,"&gt;"&amp;$A259,実績!$AL$6:$AL$505,"○")&gt;0,1,0))</f>
        <v>0</v>
      </c>
      <c r="AV259" s="39" t="n">
        <f aca="false">IF(AV$4=0,0,IF(COUNTIFS(実績!$W$6:$W$505,AV$3,実績!$AI$6:$AI$505,"&lt;="&amp;$A259,実績!$AJ$6:$AJ$505,"&gt;"&amp;$A259,実績!$AL$6:$AL$505,"○")&gt;0,1,0))</f>
        <v>0</v>
      </c>
      <c r="AW259" s="39" t="n">
        <f aca="false">IF(AW$4=0,0,IF(COUNTIFS(実績!$W$6:$W$505,AW$3,実績!$AI$6:$AI$505,"&lt;="&amp;$A259,実績!$AJ$6:$AJ$505,"&gt;"&amp;$A259,実績!$AL$6:$AL$505,"○")&gt;0,1,0))</f>
        <v>0</v>
      </c>
      <c r="AX259" s="39" t="n">
        <f aca="false">IF(AX$4=0,0,IF(COUNTIFS(実績!$W$6:$W$505,AX$3,実績!$AI$6:$AI$505,"&lt;="&amp;$A259,実績!$AJ$6:$AJ$505,"&gt;"&amp;$A259,実績!$AL$6:$AL$505,"○")&gt;0,1,0))</f>
        <v>0</v>
      </c>
      <c r="AY259" s="39" t="n">
        <f aca="false">IF(AY$4=0,0,IF(COUNTIFS(実績!$W$6:$W$505,AY$3,実績!$AI$6:$AI$505,"&lt;="&amp;$A259,実績!$AJ$6:$AJ$505,"&gt;"&amp;$A259,実績!$AL$6:$AL$505,"○")&gt;0,1,0))</f>
        <v>0</v>
      </c>
      <c r="AZ259" s="39" t="n">
        <f aca="false">IF(AZ$4=0,0,IF(COUNTIFS(実績!$W$6:$W$505,AZ$3,実績!$AI$6:$AI$505,"&lt;="&amp;$A259,実績!$AJ$6:$AJ$505,"&gt;"&amp;$A259,実績!$AL$6:$AL$505,"○")&gt;0,1,0))</f>
        <v>0</v>
      </c>
      <c r="BA259" s="39" t="n">
        <f aca="false">IF(BA$4=0,0,IF(COUNTIFS(実績!$W$6:$W$505,BA$3,実績!$AI$6:$AI$505,"&lt;="&amp;$A259,実績!$AJ$6:$AJ$505,"&gt;"&amp;$A259,実績!$AL$6:$AL$505,"○")&gt;0,1,0))</f>
        <v>0</v>
      </c>
      <c r="BB259" s="39" t="n">
        <f aca="false">IF(BB$4=0,0,IF(COUNTIFS(実績!$W$6:$W$505,BB$3,実績!$AI$6:$AI$505,"&lt;="&amp;$A259,実績!$AJ$6:$AJ$505,"&gt;"&amp;$A259,実績!$AL$6:$AL$505,"○")&gt;0,1,0))</f>
        <v>0</v>
      </c>
      <c r="BC259" s="39" t="n">
        <f aca="false">IF(BC$4=0,0,IF(COUNTIFS(実績!$W$6:$W$505,BC$3,実績!$AI$6:$AI$505,"&lt;="&amp;$A259,実績!$AJ$6:$AJ$505,"&gt;"&amp;$A259,実績!$AL$6:$AL$505,"○")&gt;0,1,0))</f>
        <v>0</v>
      </c>
      <c r="BD259" s="39" t="n">
        <f aca="false">IF(BD$4=0,0,IF(COUNTIFS(実績!$W$6:$W$505,BD$3,実績!$AI$6:$AI$505,"&lt;="&amp;$A259,実績!$AJ$6:$AJ$505,"&gt;"&amp;$A259,実績!$AL$6:$AL$505,"○")&gt;0,1,0))</f>
        <v>0</v>
      </c>
      <c r="BE259" s="39" t="n">
        <f aca="false">IF(BE$4=0,0,IF(COUNTIFS(実績!$W$6:$W$505,BE$3,実績!$AI$6:$AI$505,"&lt;="&amp;$A259,実績!$AJ$6:$AJ$505,"&gt;"&amp;$A259,実績!$AL$6:$AL$505,"○")&gt;0,1,0))</f>
        <v>0</v>
      </c>
      <c r="BF259" s="39" t="n">
        <f aca="false">IF(BF$4=0,0,IF(COUNTIFS(実績!$W$6:$W$505,BF$3,実績!$AI$6:$AI$505,"&lt;="&amp;$A259,実績!$AJ$6:$AJ$505,"&gt;"&amp;$A259,実績!$AL$6:$AL$505,"○")&gt;0,1,0))</f>
        <v>0</v>
      </c>
      <c r="BG259" s="39" t="n">
        <f aca="false">IF(BG$4=0,0,IF(COUNTIFS(実績!$W$6:$W$505,BG$3,実績!$AI$6:$AI$505,"&lt;="&amp;$A259,実績!$AJ$6:$AJ$505,"&gt;"&amp;$A259,実績!$AL$6:$AL$505,"○")&gt;0,1,0))</f>
        <v>0</v>
      </c>
      <c r="BH259" s="39" t="n">
        <f aca="false">IF(BH$4=0,0,IF(COUNTIFS(実績!$W$6:$W$505,BH$3,実績!$AI$6:$AI$505,"&lt;="&amp;$A259,実績!$AJ$6:$AJ$505,"&gt;"&amp;$A259,実績!$AL$6:$AL$505,"○")&gt;0,1,0))</f>
        <v>0</v>
      </c>
      <c r="BI259" s="39" t="n">
        <f aca="false">IF(BI$4=0,0,IF(COUNTIFS(実績!$W$6:$W$505,BI$3,実績!$AI$6:$AI$505,"&lt;="&amp;$A259,実績!$AJ$6:$AJ$505,"&gt;"&amp;$A259,実績!$AL$6:$AL$505,"○")&gt;0,1,0))</f>
        <v>0</v>
      </c>
      <c r="BJ259" s="39" t="n">
        <f aca="false">IF(BJ$4=0,0,IF(COUNTIFS(実績!$W$6:$W$505,BJ$3,実績!$AI$6:$AI$505,"&lt;="&amp;$A259,実績!$AJ$6:$AJ$505,"&gt;"&amp;$A259,実績!$AL$6:$AL$505,"○")&gt;0,1,0))</f>
        <v>0</v>
      </c>
      <c r="BK259" s="39" t="n">
        <f aca="false">IF(BK$4=0,0,IF(COUNTIFS(実績!$W$6:$W$505,BK$3,実績!$AI$6:$AI$505,"&lt;="&amp;$A259,実績!$AJ$6:$AJ$505,"&gt;"&amp;$A259,実績!$AL$6:$AL$505,"○")&gt;0,1,0))</f>
        <v>0</v>
      </c>
      <c r="BL259" s="39" t="n">
        <f aca="false">IF(BL$4=0,0,IF(COUNTIFS(実績!$W$6:$W$505,BL$3,実績!$AI$6:$AI$505,"&lt;="&amp;$A259,実績!$AJ$6:$AJ$505,"&gt;"&amp;$A259,実績!$AL$6:$AL$505,"○")&gt;0,1,0))</f>
        <v>0</v>
      </c>
      <c r="BM259" s="39" t="n">
        <f aca="false">IF(BM$4=0,0,IF(COUNTIFS(実績!$W$6:$W$505,BM$3,実績!$AI$6:$AI$505,"&lt;="&amp;$A259,実績!$AJ$6:$AJ$505,"&gt;"&amp;$A259,実績!$AL$6:$AL$505,"○")&gt;0,1,0))</f>
        <v>0</v>
      </c>
      <c r="BN259" s="39" t="n">
        <f aca="false">IF(BN$4=0,0,IF(COUNTIFS(実績!$W$6:$W$505,BN$3,実績!$AI$6:$AI$505,"&lt;="&amp;$A259,実績!$AJ$6:$AJ$505,"&gt;"&amp;$A259,実績!$AL$6:$AL$505,"○")&gt;0,1,0))</f>
        <v>0</v>
      </c>
      <c r="BO259" s="39" t="n">
        <f aca="false">IF(BO$4=0,0,IF(COUNTIFS(実績!$W$6:$W$505,BO$3,実績!$AI$6:$AI$505,"&lt;="&amp;$A259,実績!$AJ$6:$AJ$505,"&gt;"&amp;$A259,実績!$AL$6:$AL$505,"○")&gt;0,1,0))</f>
        <v>0</v>
      </c>
      <c r="BP259" s="39" t="n">
        <f aca="false">IF(BP$4=0,0,IF(COUNTIFS(実績!$W$6:$W$505,BP$3,実績!$AI$6:$AI$505,"&lt;="&amp;$A259,実績!$AJ$6:$AJ$505,"&gt;"&amp;$A259,実績!$AL$6:$AL$505,"○")&gt;0,1,0))</f>
        <v>0</v>
      </c>
      <c r="BQ259" s="39" t="n">
        <f aca="false">IF(BQ$4=0,0,IF(COUNTIFS(実績!$W$6:$W$505,BQ$3,実績!$AI$6:$AI$505,"&lt;="&amp;$A259,実績!$AJ$6:$AJ$505,"&gt;"&amp;$A259,実績!$AL$6:$AL$505,"○")&gt;0,1,0))</f>
        <v>0</v>
      </c>
      <c r="BR259" s="39" t="n">
        <f aca="false">IF(BR$4=0,0,IF(COUNTIFS(実績!$W$6:$W$505,BR$3,実績!$AI$6:$AI$505,"&lt;="&amp;$A259,実績!$AJ$6:$AJ$505,"&gt;"&amp;$A259,実績!$AL$6:$AL$505,"○")&gt;0,1,0))</f>
        <v>0</v>
      </c>
      <c r="BS259" s="39" t="n">
        <f aca="false">IF(BS$4=0,0,IF(COUNTIFS(実績!$W$6:$W$505,BS$3,実績!$AI$6:$AI$505,"&lt;="&amp;$A259,実績!$AJ$6:$AJ$505,"&gt;"&amp;$A259,実績!$AL$6:$AL$505,"○")&gt;0,1,0))</f>
        <v>0</v>
      </c>
      <c r="BT259" s="39" t="n">
        <f aca="false">IF(BT$4=0,0,IF(COUNTIFS(実績!$W$6:$W$505,BT$3,実績!$AI$6:$AI$505,"&lt;="&amp;$A259,実績!$AJ$6:$AJ$505,"&gt;"&amp;$A259,実績!$AL$6:$AL$505,"○")&gt;0,1,0))</f>
        <v>0</v>
      </c>
      <c r="BU259" s="39" t="n">
        <f aca="false">IF(BU$4=0,0,IF(COUNTIFS(実績!$W$6:$W$505,BU$3,実績!$AI$6:$AI$505,"&lt;="&amp;$A259,実績!$AJ$6:$AJ$505,"&gt;"&amp;$A259,実績!$AL$6:$AL$505,"○")&gt;0,1,0))</f>
        <v>0</v>
      </c>
      <c r="BV259" s="39" t="n">
        <f aca="false">IF(BV$4=0,0,IF(COUNTIFS(実績!$W$6:$W$505,BV$3,実績!$AI$6:$AI$505,"&lt;="&amp;$A259,実績!$AJ$6:$AJ$505,"&gt;"&amp;$A259,実績!$AL$6:$AL$505,"○")&gt;0,1,0))</f>
        <v>0</v>
      </c>
      <c r="BW259" s="39" t="n">
        <f aca="false">IF(BW$4=0,0,IF(COUNTIFS(実績!$W$6:$W$505,BW$3,実績!$AI$6:$AI$505,"&lt;="&amp;$A259,実績!$AJ$6:$AJ$505,"&gt;"&amp;$A259,実績!$AL$6:$AL$505,"○")&gt;0,1,0))</f>
        <v>0</v>
      </c>
      <c r="BX259" s="39" t="n">
        <f aca="false">IF(BX$4=0,0,IF(COUNTIFS(実績!$W$6:$W$505,BX$3,実績!$AI$6:$AI$505,"&lt;="&amp;$A259,実績!$AJ$6:$AJ$505,"&gt;"&amp;$A259,実績!$AL$6:$AL$505,"○")&gt;0,1,0))</f>
        <v>0</v>
      </c>
      <c r="BY259" s="39" t="n">
        <f aca="false">IF(BY$4=0,0,IF(COUNTIFS(実績!$W$6:$W$505,BY$3,実績!$AI$6:$AI$505,"&lt;="&amp;$A259,実績!$AJ$6:$AJ$505,"&gt;"&amp;$A259,実績!$AL$6:$AL$505,"○")&gt;0,1,0))</f>
        <v>0</v>
      </c>
      <c r="BZ259" s="39" t="n">
        <f aca="false">IF(BZ$4=0,0,IF(COUNTIFS(実績!$W$6:$W$505,BZ$3,実績!$AI$6:$AI$505,"&lt;="&amp;$A259,実績!$AJ$6:$AJ$505,"&gt;"&amp;$A259,実績!$AL$6:$AL$505,"○")&gt;0,1,0))</f>
        <v>0</v>
      </c>
      <c r="CA259" s="39" t="n">
        <f aca="false">IF(CA$4=0,0,IF(COUNTIFS(実績!$W$6:$W$505,CA$3,実績!$AI$6:$AI$505,"&lt;="&amp;$A259,実績!$AJ$6:$AJ$505,"&gt;"&amp;$A259,実績!$AL$6:$AL$505,"○")&gt;0,1,0))</f>
        <v>0</v>
      </c>
      <c r="CB259" s="39" t="n">
        <f aca="false">IF(CB$4=0,0,IF(COUNTIFS(実績!$W$6:$W$505,CB$3,実績!$AI$6:$AI$505,"&lt;="&amp;$A259,実績!$AJ$6:$AJ$505,"&gt;"&amp;$A259,実績!$AL$6:$AL$505,"○")&gt;0,1,0))</f>
        <v>0</v>
      </c>
      <c r="CC259" s="39" t="n">
        <f aca="false">IF(CC$4=0,0,IF(COUNTIFS(実績!$W$6:$W$505,CC$3,実績!$AI$6:$AI$505,"&lt;="&amp;$A259,実績!$AJ$6:$AJ$505,"&gt;"&amp;$A259,実績!$AL$6:$AL$505,"○")&gt;0,1,0))</f>
        <v>0</v>
      </c>
      <c r="CD259" s="39" t="n">
        <f aca="false">IF(CD$4=0,0,IF(COUNTIFS(実績!$W$6:$W$505,CD$3,実績!$AI$6:$AI$505,"&lt;="&amp;$A259,実績!$AJ$6:$AJ$505,"&gt;"&amp;$A259,実績!$AL$6:$AL$505,"○")&gt;0,1,0))</f>
        <v>0</v>
      </c>
      <c r="CE259" s="39" t="n">
        <f aca="false">IF(CE$4=0,0,IF(COUNTIFS(実績!$W$6:$W$505,CE$3,実績!$AI$6:$AI$505,"&lt;="&amp;$A259,実績!$AJ$6:$AJ$505,"&gt;"&amp;$A259,実績!$AL$6:$AL$505,"○")&gt;0,1,0))</f>
        <v>0</v>
      </c>
      <c r="CF259" s="39" t="n">
        <f aca="false">IF(CF$4=0,0,IF(COUNTIFS(実績!$W$6:$W$505,CF$3,実績!$AI$6:$AI$505,"&lt;="&amp;$A259,実績!$AJ$6:$AJ$505,"&gt;"&amp;$A259,実績!$AL$6:$AL$505,"○")&gt;0,1,0))</f>
        <v>0</v>
      </c>
      <c r="CG259" s="39" t="n">
        <f aca="false">IF(CG$4=0,0,IF(COUNTIFS(実績!$W$6:$W$505,CG$3,実績!$AI$6:$AI$505,"&lt;="&amp;$A259,実績!$AJ$6:$AJ$505,"&gt;"&amp;$A259,実績!$AL$6:$AL$505,"○")&gt;0,1,0))</f>
        <v>0</v>
      </c>
      <c r="CH259" s="39" t="n">
        <f aca="false">IF(CH$4=0,0,IF(COUNTIFS(実績!$W$6:$W$505,CH$3,実績!$AI$6:$AI$505,"&lt;="&amp;$A259,実績!$AJ$6:$AJ$505,"&gt;"&amp;$A259,実績!$AL$6:$AL$505,"○")&gt;0,1,0))</f>
        <v>0</v>
      </c>
      <c r="CI259" s="39" t="n">
        <f aca="false">IF(CI$4=0,0,IF(COUNTIFS(実績!$W$6:$W$505,CI$3,実績!$AI$6:$AI$505,"&lt;="&amp;$A259,実績!$AJ$6:$AJ$505,"&gt;"&amp;$A259,実績!$AL$6:$AL$505,"○")&gt;0,1,0))</f>
        <v>0</v>
      </c>
      <c r="CJ259" s="39" t="n">
        <f aca="false">IF(CJ$4=0,0,IF(COUNTIFS(実績!$W$6:$W$505,CJ$3,実績!$AI$6:$AI$505,"&lt;="&amp;$A259,実績!$AJ$6:$AJ$505,"&gt;"&amp;$A259,実績!$AL$6:$AL$505,"○")&gt;0,1,0))</f>
        <v>0</v>
      </c>
      <c r="CK259" s="39" t="n">
        <f aca="false">IF(CK$4=0,0,IF(COUNTIFS(実績!$W$6:$W$505,CK$3,実績!$AI$6:$AI$505,"&lt;="&amp;$A259,実績!$AJ$6:$AJ$505,"&gt;"&amp;$A259,実績!$AL$6:$AL$505,"○")&gt;0,1,0))</f>
        <v>0</v>
      </c>
      <c r="CL259" s="39" t="n">
        <f aca="false">IF(CL$4=0,0,IF(COUNTIFS(実績!$W$6:$W$505,CL$3,実績!$AI$6:$AI$505,"&lt;="&amp;$A259,実績!$AJ$6:$AJ$505,"&gt;"&amp;$A259,実績!$AL$6:$AL$505,"○")&gt;0,1,0))</f>
        <v>0</v>
      </c>
      <c r="CM259" s="39" t="n">
        <f aca="false">IF(CM$4=0,0,IF(COUNTIFS(実績!$W$6:$W$505,CM$3,実績!$AI$6:$AI$505,"&lt;="&amp;$A259,実績!$AJ$6:$AJ$505,"&gt;"&amp;$A259,実績!$AL$6:$AL$505,"○")&gt;0,1,0))</f>
        <v>0</v>
      </c>
      <c r="CN259" s="39" t="n">
        <f aca="false">IF(CN$4=0,0,IF(COUNTIFS(実績!$W$6:$W$505,CN$3,実績!$AI$6:$AI$505,"&lt;="&amp;$A259,実績!$AJ$6:$AJ$505,"&gt;"&amp;$A259,実績!$AL$6:$AL$505,"○")&gt;0,1,0))</f>
        <v>0</v>
      </c>
      <c r="CO259" s="39" t="n">
        <f aca="false">IF(CO$4=0,0,IF(COUNTIFS(実績!$W$6:$W$505,CO$3,実績!$AI$6:$AI$505,"&lt;="&amp;$A259,実績!$AJ$6:$AJ$505,"&gt;"&amp;$A259,実績!$AL$6:$AL$505,"○")&gt;0,1,0))</f>
        <v>0</v>
      </c>
      <c r="CP259" s="39" t="n">
        <f aca="false">IF(CP$4=0,0,IF(COUNTIFS(実績!$W$6:$W$505,CP$3,実績!$AI$6:$AI$505,"&lt;="&amp;$A259,実績!$AJ$6:$AJ$505,"&gt;"&amp;$A259,実績!$AL$6:$AL$505,"○")&gt;0,1,0))</f>
        <v>0</v>
      </c>
      <c r="CQ259" s="39" t="n">
        <f aca="false">IF(CQ$4=0,0,IF(COUNTIFS(実績!$W$6:$W$505,CQ$3,実績!$AI$6:$AI$505,"&lt;="&amp;$A259,実績!$AJ$6:$AJ$505,"&gt;"&amp;$A259,実績!$AL$6:$AL$505,"○")&gt;0,1,0))</f>
        <v>0</v>
      </c>
      <c r="CR259" s="39" t="n">
        <f aca="false">IF(CR$4=0,0,IF(COUNTIFS(実績!$W$6:$W$505,CR$3,実績!$AI$6:$AI$505,"&lt;="&amp;$A259,実績!$AJ$6:$AJ$505,"&gt;"&amp;$A259,実績!$AL$6:$AL$505,"○")&gt;0,1,0))</f>
        <v>0</v>
      </c>
      <c r="CS259" s="39" t="n">
        <f aca="false">IF(CS$4=0,0,IF(COUNTIFS(実績!$W$6:$W$505,CS$3,実績!$AI$6:$AI$505,"&lt;="&amp;$A259,実績!$AJ$6:$AJ$505,"&gt;"&amp;$A259,実績!$AL$6:$AL$505,"○")&gt;0,1,0))</f>
        <v>0</v>
      </c>
      <c r="CT259" s="39" t="n">
        <f aca="false">IF(CT$4=0,0,IF(COUNTIFS(実績!$W$6:$W$505,CT$3,実績!$AI$6:$AI$505,"&lt;="&amp;$A259,実績!$AJ$6:$AJ$505,"&gt;"&amp;$A259,実績!$AL$6:$AL$505,"○")&gt;0,1,0))</f>
        <v>0</v>
      </c>
      <c r="CU259" s="39" t="n">
        <f aca="false">IF(CU$4=0,0,IF(COUNTIFS(実績!$W$6:$W$505,CU$3,実績!$AI$6:$AI$505,"&lt;="&amp;$A259,実績!$AJ$6:$AJ$505,"&gt;"&amp;$A259,実績!$AL$6:$AL$505,"○")&gt;0,1,0))</f>
        <v>0</v>
      </c>
      <c r="CV259" s="39" t="n">
        <f aca="false">IF(CV$4=0,0,IF(COUNTIFS(実績!$W$6:$W$505,CV$3,実績!$AI$6:$AI$505,"&lt;="&amp;$A259,実績!$AJ$6:$AJ$505,"&gt;"&amp;$A259,実績!$AL$6:$AL$505,"○")&gt;0,1,0))</f>
        <v>0</v>
      </c>
      <c r="CW259" s="39" t="n">
        <f aca="false">IF(CW$4=0,0,IF(COUNTIFS(実績!$W$6:$W$505,CW$3,実績!$AI$6:$AI$505,"&lt;="&amp;$A259,実績!$AJ$6:$AJ$505,"&gt;"&amp;$A259,実績!$AL$6:$AL$505,"○")&gt;0,1,0))</f>
        <v>0</v>
      </c>
      <c r="CX259" s="39" t="n">
        <f aca="false">IF(CX$4=0,0,IF(COUNTIFS(実績!$W$6:$W$505,CX$3,実績!$AI$6:$AI$505,"&lt;="&amp;$A259,実績!$AJ$6:$AJ$505,"&gt;"&amp;$A259,実績!$AL$6:$AL$505,"○")&gt;0,1,0))</f>
        <v>0</v>
      </c>
      <c r="CY259" s="39" t="n">
        <f aca="false">IF(CY$4=0,0,IF(COUNTIFS(実績!$W$6:$W$505,CY$3,実績!$AI$6:$AI$505,"&lt;="&amp;$A259,実績!$AJ$6:$AJ$505,"&gt;"&amp;$A259,実績!$AL$6:$AL$505,"○")&gt;0,1,0))</f>
        <v>0</v>
      </c>
      <c r="CZ259" s="39" t="n">
        <f aca="false">IF(CZ$4=0,0,IF(COUNTIFS(実績!$W$6:$W$505,CZ$3,実績!$AI$6:$AI$505,"&lt;="&amp;$A259,実績!$AJ$6:$AJ$505,"&gt;"&amp;$A259,実績!$AL$6:$AL$505,"○")&gt;0,1,0))</f>
        <v>0</v>
      </c>
      <c r="DA259" s="39" t="n">
        <f aca="false">IF(DA$4=0,0,IF(COUNTIFS(実績!$W$6:$W$505,DA$3,実績!$AI$6:$AI$505,"&lt;="&amp;$A259,実績!$AJ$6:$AJ$505,"&gt;"&amp;$A259,実績!$AL$6:$AL$505,"○")&gt;0,1,0))</f>
        <v>0</v>
      </c>
      <c r="DB259" s="39" t="n">
        <f aca="false">IF(DB$4=0,0,IF(COUNTIFS(実績!$W$6:$W$505,DB$3,実績!$AI$6:$AI$505,"&lt;="&amp;$A259,実績!$AJ$6:$AJ$505,"&gt;"&amp;$A259,実績!$AL$6:$AL$505,"○")&gt;0,1,0))</f>
        <v>0</v>
      </c>
      <c r="DC259" s="39" t="n">
        <f aca="false">IF(DC$4=0,0,IF(COUNTIFS(実績!$W$6:$W$505,DC$3,実績!$AI$6:$AI$505,"&lt;="&amp;$A259,実績!$AJ$6:$AJ$505,"&gt;"&amp;$A259,実績!$AL$6:$AL$505,"○")&gt;0,1,0))</f>
        <v>0</v>
      </c>
      <c r="DD259" s="39" t="n">
        <f aca="false">IF(DD$4=0,0,IF(COUNTIFS(実績!$W$6:$W$505,DD$3,実績!$AI$6:$AI$505,"&lt;="&amp;$A259,実績!$AJ$6:$AJ$505,"&gt;"&amp;$A259,実績!$AL$6:$AL$505,"○")&gt;0,1,0))</f>
        <v>0</v>
      </c>
      <c r="DE259" s="39" t="n">
        <f aca="false">IF(DE$4=0,0,IF(COUNTIFS(実績!$W$6:$W$505,DE$3,実績!$AI$6:$AI$505,"&lt;="&amp;$A259,実績!$AJ$6:$AJ$505,"&gt;"&amp;$A259,実績!$AL$6:$AL$505,"○")&gt;0,1,0))</f>
        <v>0</v>
      </c>
      <c r="DF259" s="39" t="n">
        <f aca="false">IF(DF$4=0,0,IF(COUNTIFS(実績!$W$6:$W$505,DF$3,実績!$AI$6:$AI$505,"&lt;="&amp;$A259,実績!$AJ$6:$AJ$505,"&gt;"&amp;$A259,実績!$AL$6:$AL$505,"○")&gt;0,1,0))</f>
        <v>0</v>
      </c>
      <c r="DG259" s="39" t="n">
        <f aca="false">IF(DG$4=0,0,IF(COUNTIFS(実績!$W$6:$W$505,DG$3,実績!$AI$6:$AI$505,"&lt;="&amp;$A259,実績!$AJ$6:$AJ$505,"&gt;"&amp;$A259,実績!$AL$6:$AL$505,"○")&gt;0,1,0))</f>
        <v>0</v>
      </c>
      <c r="DH259" s="39" t="n">
        <f aca="false">IF(DH$4=0,0,IF(COUNTIFS(実績!$W$6:$W$505,DH$3,実績!$AI$6:$AI$505,"&lt;="&amp;$A259,実績!$AJ$6:$AJ$505,"&gt;"&amp;$A259,実績!$AL$6:$AL$505,"○")&gt;0,1,0))</f>
        <v>0</v>
      </c>
      <c r="DI259" s="39" t="n">
        <f aca="false">IF(DI$4=0,0,IF(COUNTIFS(実績!$W$6:$W$505,DI$3,実績!$AI$6:$AI$505,"&lt;="&amp;$A259,実績!$AJ$6:$AJ$505,"&gt;"&amp;$A259,実績!$AL$6:$AL$505,"○")&gt;0,1,0))</f>
        <v>0</v>
      </c>
      <c r="DJ259" s="39" t="n">
        <f aca="false">IF(DJ$4=0,0,IF(COUNTIFS(実績!$W$6:$W$505,DJ$3,実績!$AI$6:$AI$505,"&lt;="&amp;$A259,実績!$AJ$6:$AJ$505,"&gt;"&amp;$A259,実績!$AL$6:$AL$505,"○")&gt;0,1,0))</f>
        <v>0</v>
      </c>
      <c r="DK259" s="39" t="n">
        <f aca="false">IF(DK$4=0,0,IF(COUNTIFS(実績!$W$6:$W$505,DK$3,実績!$AI$6:$AI$505,"&lt;="&amp;$A259,実績!$AJ$6:$AJ$505,"&gt;"&amp;$A259,実績!$AL$6:$AL$505,"○")&gt;0,1,0))</f>
        <v>0</v>
      </c>
      <c r="DL259" s="39" t="n">
        <f aca="false">IF(DL$4=0,0,IF(COUNTIFS(実績!$W$6:$W$505,DL$3,実績!$AI$6:$AI$505,"&lt;="&amp;$A259,実績!$AJ$6:$AJ$505,"&gt;"&amp;$A259,実績!$AL$6:$AL$505,"○")&gt;0,1,0))</f>
        <v>0</v>
      </c>
      <c r="DM259" s="39" t="n">
        <f aca="false">IF(DM$4=0,0,IF(COUNTIFS(実績!$W$6:$W$505,DM$3,実績!$AI$6:$AI$505,"&lt;="&amp;$A259,実績!$AJ$6:$AJ$505,"&gt;"&amp;$A259,実績!$AL$6:$AL$505,"○")&gt;0,1,0))</f>
        <v>0</v>
      </c>
      <c r="DN259" s="39" t="n">
        <f aca="false">IF(DN$4=0,0,IF(COUNTIFS(実績!$W$6:$W$505,DN$3,実績!$AI$6:$AI$505,"&lt;="&amp;$A259,実績!$AJ$6:$AJ$505,"&gt;"&amp;$A259,実績!$AL$6:$AL$505,"○")&gt;0,1,0))</f>
        <v>0</v>
      </c>
      <c r="DO259" s="39" t="n">
        <f aca="false">IF(DO$4=0,0,IF(COUNTIFS(実績!$W$6:$W$505,DO$3,実績!$AI$6:$AI$505,"&lt;="&amp;$A259,実績!$AJ$6:$AJ$505,"&gt;"&amp;$A259,実績!$AL$6:$AL$505,"○")&gt;0,1,0))</f>
        <v>0</v>
      </c>
      <c r="DP259" s="39" t="n">
        <f aca="false">IF(DP$4=0,0,IF(COUNTIFS(実績!$W$6:$W$505,DP$3,実績!$AI$6:$AI$505,"&lt;="&amp;$A259,実績!$AJ$6:$AJ$505,"&gt;"&amp;$A259,実績!$AL$6:$AL$505,"○")&gt;0,1,0))</f>
        <v>0</v>
      </c>
      <c r="DQ259" s="39" t="n">
        <f aca="false">IF(DQ$4=0,0,IF(COUNTIFS(実績!$W$6:$W$505,DQ$3,実績!$AI$6:$AI$505,"&lt;="&amp;$A259,実績!$AJ$6:$AJ$505,"&gt;"&amp;$A259,実績!$AL$6:$AL$505,"○")&gt;0,1,0))</f>
        <v>0</v>
      </c>
      <c r="DR259" s="39" t="n">
        <f aca="false">IF(DR$4=0,0,IF(COUNTIFS(実績!$W$6:$W$505,DR$3,実績!$AI$6:$AI$505,"&lt;="&amp;$A259,実績!$AJ$6:$AJ$505,"&gt;"&amp;$A259,実績!$AL$6:$AL$505,"○")&gt;0,1,0))</f>
        <v>0</v>
      </c>
      <c r="DS259" s="39" t="n">
        <f aca="false">SUM(C259:DR259)</f>
        <v>0</v>
      </c>
    </row>
    <row r="260" customFormat="false" ht="15" hidden="false" customHeight="false" outlineLevel="0" collapsed="false">
      <c r="A260" s="0" t="n">
        <v>1270</v>
      </c>
      <c r="B260" s="38" t="n">
        <f aca="false">A260/1440</f>
        <v>0.881944444444444</v>
      </c>
      <c r="C260" s="39" t="n">
        <f aca="false">IF(C$4=0,0,IF(COUNTIFS(実績!$W$6:$W$505,C$3,実績!$AI$6:$AI$505,"&lt;="&amp;$A260,実績!$AJ$6:$AJ$505,"&gt;"&amp;$A260,実績!$AL$6:$AL$505,"○")&gt;0,1,0))</f>
        <v>0</v>
      </c>
      <c r="D260" s="39" t="n">
        <f aca="false">IF(D$4=0,0,IF(COUNTIFS(実績!$W$6:$W$505,D$3,実績!$AI$6:$AI$505,"&lt;="&amp;$A260,実績!$AJ$6:$AJ$505,"&gt;"&amp;$A260,実績!$AL$6:$AL$505,"○")&gt;0,1,0))</f>
        <v>0</v>
      </c>
      <c r="E260" s="39" t="n">
        <f aca="false">IF(E$4=0,0,IF(COUNTIFS(実績!$W$6:$W$505,E$3,実績!$AI$6:$AI$505,"&lt;="&amp;$A260,実績!$AJ$6:$AJ$505,"&gt;"&amp;$A260,実績!$AL$6:$AL$505,"○")&gt;0,1,0))</f>
        <v>0</v>
      </c>
      <c r="F260" s="39" t="n">
        <f aca="false">IF(F$4=0,0,IF(COUNTIFS(実績!$W$6:$W$505,F$3,実績!$AI$6:$AI$505,"&lt;="&amp;$A260,実績!$AJ$6:$AJ$505,"&gt;"&amp;$A260,実績!$AL$6:$AL$505,"○")&gt;0,1,0))</f>
        <v>0</v>
      </c>
      <c r="G260" s="39" t="n">
        <f aca="false">IF(G$4=0,0,IF(COUNTIFS(実績!$W$6:$W$505,G$3,実績!$AI$6:$AI$505,"&lt;="&amp;$A260,実績!$AJ$6:$AJ$505,"&gt;"&amp;$A260,実績!$AL$6:$AL$505,"○")&gt;0,1,0))</f>
        <v>0</v>
      </c>
      <c r="H260" s="39" t="n">
        <f aca="false">IF(H$4=0,0,IF(COUNTIFS(実績!$W$6:$W$505,H$3,実績!$AI$6:$AI$505,"&lt;="&amp;$A260,実績!$AJ$6:$AJ$505,"&gt;"&amp;$A260,実績!$AL$6:$AL$505,"○")&gt;0,1,0))</f>
        <v>0</v>
      </c>
      <c r="I260" s="39" t="n">
        <f aca="false">IF(I$4=0,0,IF(COUNTIFS(実績!$W$6:$W$505,I$3,実績!$AI$6:$AI$505,"&lt;="&amp;$A260,実績!$AJ$6:$AJ$505,"&gt;"&amp;$A260,実績!$AL$6:$AL$505,"○")&gt;0,1,0))</f>
        <v>0</v>
      </c>
      <c r="J260" s="39" t="n">
        <f aca="false">IF(J$4=0,0,IF(COUNTIFS(実績!$W$6:$W$505,J$3,実績!$AI$6:$AI$505,"&lt;="&amp;$A260,実績!$AJ$6:$AJ$505,"&gt;"&amp;$A260,実績!$AL$6:$AL$505,"○")&gt;0,1,0))</f>
        <v>0</v>
      </c>
      <c r="K260" s="39" t="n">
        <f aca="false">IF(K$4=0,0,IF(COUNTIFS(実績!$W$6:$W$505,K$3,実績!$AI$6:$AI$505,"&lt;="&amp;$A260,実績!$AJ$6:$AJ$505,"&gt;"&amp;$A260,実績!$AL$6:$AL$505,"○")&gt;0,1,0))</f>
        <v>0</v>
      </c>
      <c r="L260" s="39" t="n">
        <f aca="false">IF(L$4=0,0,IF(COUNTIFS(実績!$W$6:$W$505,L$3,実績!$AI$6:$AI$505,"&lt;="&amp;$A260,実績!$AJ$6:$AJ$505,"&gt;"&amp;$A260,実績!$AL$6:$AL$505,"○")&gt;0,1,0))</f>
        <v>0</v>
      </c>
      <c r="M260" s="39" t="n">
        <f aca="false">IF(M$4=0,0,IF(COUNTIFS(実績!$W$6:$W$505,M$3,実績!$AI$6:$AI$505,"&lt;="&amp;$A260,実績!$AJ$6:$AJ$505,"&gt;"&amp;$A260,実績!$AL$6:$AL$505,"○")&gt;0,1,0))</f>
        <v>0</v>
      </c>
      <c r="N260" s="39" t="n">
        <f aca="false">IF(N$4=0,0,IF(COUNTIFS(実績!$W$6:$W$505,N$3,実績!$AI$6:$AI$505,"&lt;="&amp;$A260,実績!$AJ$6:$AJ$505,"&gt;"&amp;$A260,実績!$AL$6:$AL$505,"○")&gt;0,1,0))</f>
        <v>0</v>
      </c>
      <c r="O260" s="39" t="n">
        <f aca="false">IF(O$4=0,0,IF(COUNTIFS(実績!$W$6:$W$505,O$3,実績!$AI$6:$AI$505,"&lt;="&amp;$A260,実績!$AJ$6:$AJ$505,"&gt;"&amp;$A260,実績!$AL$6:$AL$505,"○")&gt;0,1,0))</f>
        <v>0</v>
      </c>
      <c r="P260" s="39" t="n">
        <f aca="false">IF(P$4=0,0,IF(COUNTIFS(実績!$W$6:$W$505,P$3,実績!$AI$6:$AI$505,"&lt;="&amp;$A260,実績!$AJ$6:$AJ$505,"&gt;"&amp;$A260,実績!$AL$6:$AL$505,"○")&gt;0,1,0))</f>
        <v>0</v>
      </c>
      <c r="Q260" s="39" t="n">
        <f aca="false">IF(Q$4=0,0,IF(COUNTIFS(実績!$W$6:$W$505,Q$3,実績!$AI$6:$AI$505,"&lt;="&amp;$A260,実績!$AJ$6:$AJ$505,"&gt;"&amp;$A260,実績!$AL$6:$AL$505,"○")&gt;0,1,0))</f>
        <v>0</v>
      </c>
      <c r="R260" s="39" t="n">
        <f aca="false">IF(R$4=0,0,IF(COUNTIFS(実績!$W$6:$W$505,R$3,実績!$AI$6:$AI$505,"&lt;="&amp;$A260,実績!$AJ$6:$AJ$505,"&gt;"&amp;$A260,実績!$AL$6:$AL$505,"○")&gt;0,1,0))</f>
        <v>0</v>
      </c>
      <c r="S260" s="39" t="n">
        <f aca="false">IF(S$4=0,0,IF(COUNTIFS(実績!$W$6:$W$505,S$3,実績!$AI$6:$AI$505,"&lt;="&amp;$A260,実績!$AJ$6:$AJ$505,"&gt;"&amp;$A260,実績!$AL$6:$AL$505,"○")&gt;0,1,0))</f>
        <v>0</v>
      </c>
      <c r="T260" s="39" t="n">
        <f aca="false">IF(T$4=0,0,IF(COUNTIFS(実績!$W$6:$W$505,T$3,実績!$AI$6:$AI$505,"&lt;="&amp;$A260,実績!$AJ$6:$AJ$505,"&gt;"&amp;$A260,実績!$AL$6:$AL$505,"○")&gt;0,1,0))</f>
        <v>0</v>
      </c>
      <c r="U260" s="39" t="n">
        <f aca="false">IF(U$4=0,0,IF(COUNTIFS(実績!$W$6:$W$505,U$3,実績!$AI$6:$AI$505,"&lt;="&amp;$A260,実績!$AJ$6:$AJ$505,"&gt;"&amp;$A260,実績!$AL$6:$AL$505,"○")&gt;0,1,0))</f>
        <v>0</v>
      </c>
      <c r="V260" s="39" t="n">
        <f aca="false">IF(V$4=0,0,IF(COUNTIFS(実績!$W$6:$W$505,V$3,実績!$AI$6:$AI$505,"&lt;="&amp;$A260,実績!$AJ$6:$AJ$505,"&gt;"&amp;$A260,実績!$AL$6:$AL$505,"○")&gt;0,1,0))</f>
        <v>0</v>
      </c>
      <c r="W260" s="39" t="n">
        <f aca="false">IF(W$4=0,0,IF(COUNTIFS(実績!$W$6:$W$505,W$3,実績!$AI$6:$AI$505,"&lt;="&amp;$A260,実績!$AJ$6:$AJ$505,"&gt;"&amp;$A260,実績!$AL$6:$AL$505,"○")&gt;0,1,0))</f>
        <v>0</v>
      </c>
      <c r="X260" s="39" t="n">
        <f aca="false">IF(X$4=0,0,IF(COUNTIFS(実績!$W$6:$W$505,X$3,実績!$AI$6:$AI$505,"&lt;="&amp;$A260,実績!$AJ$6:$AJ$505,"&gt;"&amp;$A260,実績!$AL$6:$AL$505,"○")&gt;0,1,0))</f>
        <v>0</v>
      </c>
      <c r="Y260" s="39" t="n">
        <f aca="false">IF(Y$4=0,0,IF(COUNTIFS(実績!$W$6:$W$505,Y$3,実績!$AI$6:$AI$505,"&lt;="&amp;$A260,実績!$AJ$6:$AJ$505,"&gt;"&amp;$A260,実績!$AL$6:$AL$505,"○")&gt;0,1,0))</f>
        <v>0</v>
      </c>
      <c r="Z260" s="39" t="n">
        <f aca="false">IF(Z$4=0,0,IF(COUNTIFS(実績!$W$6:$W$505,Z$3,実績!$AI$6:$AI$505,"&lt;="&amp;$A260,実績!$AJ$6:$AJ$505,"&gt;"&amp;$A260,実績!$AL$6:$AL$505,"○")&gt;0,1,0))</f>
        <v>0</v>
      </c>
      <c r="AA260" s="39" t="n">
        <f aca="false">IF(AA$4=0,0,IF(COUNTIFS(実績!$W$6:$W$505,AA$3,実績!$AI$6:$AI$505,"&lt;="&amp;$A260,実績!$AJ$6:$AJ$505,"&gt;"&amp;$A260,実績!$AL$6:$AL$505,"○")&gt;0,1,0))</f>
        <v>0</v>
      </c>
      <c r="AB260" s="39" t="n">
        <f aca="false">IF(AB$4=0,0,IF(COUNTIFS(実績!$W$6:$W$505,AB$3,実績!$AI$6:$AI$505,"&lt;="&amp;$A260,実績!$AJ$6:$AJ$505,"&gt;"&amp;$A260,実績!$AL$6:$AL$505,"○")&gt;0,1,0))</f>
        <v>0</v>
      </c>
      <c r="AC260" s="39" t="n">
        <f aca="false">IF(AC$4=0,0,IF(COUNTIFS(実績!$W$6:$W$505,AC$3,実績!$AI$6:$AI$505,"&lt;="&amp;$A260,実績!$AJ$6:$AJ$505,"&gt;"&amp;$A260,実績!$AL$6:$AL$505,"○")&gt;0,1,0))</f>
        <v>0</v>
      </c>
      <c r="AD260" s="39" t="n">
        <f aca="false">IF(AD$4=0,0,IF(COUNTIFS(実績!$W$6:$W$505,AD$3,実績!$AI$6:$AI$505,"&lt;="&amp;$A260,実績!$AJ$6:$AJ$505,"&gt;"&amp;$A260,実績!$AL$6:$AL$505,"○")&gt;0,1,0))</f>
        <v>0</v>
      </c>
      <c r="AE260" s="39" t="n">
        <f aca="false">IF(AE$4=0,0,IF(COUNTIFS(実績!$W$6:$W$505,AE$3,実績!$AI$6:$AI$505,"&lt;="&amp;$A260,実績!$AJ$6:$AJ$505,"&gt;"&amp;$A260,実績!$AL$6:$AL$505,"○")&gt;0,1,0))</f>
        <v>0</v>
      </c>
      <c r="AF260" s="39" t="n">
        <f aca="false">IF(AF$4=0,0,IF(COUNTIFS(実績!$W$6:$W$505,AF$3,実績!$AI$6:$AI$505,"&lt;="&amp;$A260,実績!$AJ$6:$AJ$505,"&gt;"&amp;$A260,実績!$AL$6:$AL$505,"○")&gt;0,1,0))</f>
        <v>0</v>
      </c>
      <c r="AG260" s="39" t="n">
        <f aca="false">IF(AG$4=0,0,IF(COUNTIFS(実績!$W$6:$W$505,AG$3,実績!$AI$6:$AI$505,"&lt;="&amp;$A260,実績!$AJ$6:$AJ$505,"&gt;"&amp;$A260,実績!$AL$6:$AL$505,"○")&gt;0,1,0))</f>
        <v>0</v>
      </c>
      <c r="AH260" s="39" t="n">
        <f aca="false">IF(AH$4=0,0,IF(COUNTIFS(実績!$W$6:$W$505,AH$3,実績!$AI$6:$AI$505,"&lt;="&amp;$A260,実績!$AJ$6:$AJ$505,"&gt;"&amp;$A260,実績!$AL$6:$AL$505,"○")&gt;0,1,0))</f>
        <v>0</v>
      </c>
      <c r="AI260" s="39" t="n">
        <f aca="false">IF(AI$4=0,0,IF(COUNTIFS(実績!$W$6:$W$505,AI$3,実績!$AI$6:$AI$505,"&lt;="&amp;$A260,実績!$AJ$6:$AJ$505,"&gt;"&amp;$A260,実績!$AL$6:$AL$505,"○")&gt;0,1,0))</f>
        <v>0</v>
      </c>
      <c r="AJ260" s="39" t="n">
        <f aca="false">IF(AJ$4=0,0,IF(COUNTIFS(実績!$W$6:$W$505,AJ$3,実績!$AI$6:$AI$505,"&lt;="&amp;$A260,実績!$AJ$6:$AJ$505,"&gt;"&amp;$A260,実績!$AL$6:$AL$505,"○")&gt;0,1,0))</f>
        <v>0</v>
      </c>
      <c r="AK260" s="39" t="n">
        <f aca="false">IF(AK$4=0,0,IF(COUNTIFS(実績!$W$6:$W$505,AK$3,実績!$AI$6:$AI$505,"&lt;="&amp;$A260,実績!$AJ$6:$AJ$505,"&gt;"&amp;$A260,実績!$AL$6:$AL$505,"○")&gt;0,1,0))</f>
        <v>0</v>
      </c>
      <c r="AL260" s="39" t="n">
        <f aca="false">IF(AL$4=0,0,IF(COUNTIFS(実績!$W$6:$W$505,AL$3,実績!$AI$6:$AI$505,"&lt;="&amp;$A260,実績!$AJ$6:$AJ$505,"&gt;"&amp;$A260,実績!$AL$6:$AL$505,"○")&gt;0,1,0))</f>
        <v>0</v>
      </c>
      <c r="AM260" s="39" t="n">
        <f aca="false">IF(AM$4=0,0,IF(COUNTIFS(実績!$W$6:$W$505,AM$3,実績!$AI$6:$AI$505,"&lt;="&amp;$A260,実績!$AJ$6:$AJ$505,"&gt;"&amp;$A260,実績!$AL$6:$AL$505,"○")&gt;0,1,0))</f>
        <v>0</v>
      </c>
      <c r="AN260" s="39" t="n">
        <f aca="false">IF(AN$4=0,0,IF(COUNTIFS(実績!$W$6:$W$505,AN$3,実績!$AI$6:$AI$505,"&lt;="&amp;$A260,実績!$AJ$6:$AJ$505,"&gt;"&amp;$A260,実績!$AL$6:$AL$505,"○")&gt;0,1,0))</f>
        <v>0</v>
      </c>
      <c r="AO260" s="39" t="n">
        <f aca="false">IF(AO$4=0,0,IF(COUNTIFS(実績!$W$6:$W$505,AO$3,実績!$AI$6:$AI$505,"&lt;="&amp;$A260,実績!$AJ$6:$AJ$505,"&gt;"&amp;$A260,実績!$AL$6:$AL$505,"○")&gt;0,1,0))</f>
        <v>0</v>
      </c>
      <c r="AP260" s="39" t="n">
        <f aca="false">IF(AP$4=0,0,IF(COUNTIFS(実績!$W$6:$W$505,AP$3,実績!$AI$6:$AI$505,"&lt;="&amp;$A260,実績!$AJ$6:$AJ$505,"&gt;"&amp;$A260,実績!$AL$6:$AL$505,"○")&gt;0,1,0))</f>
        <v>0</v>
      </c>
      <c r="AQ260" s="39" t="n">
        <f aca="false">IF(AQ$4=0,0,IF(COUNTIFS(実績!$W$6:$W$505,AQ$3,実績!$AI$6:$AI$505,"&lt;="&amp;$A260,実績!$AJ$6:$AJ$505,"&gt;"&amp;$A260,実績!$AL$6:$AL$505,"○")&gt;0,1,0))</f>
        <v>0</v>
      </c>
      <c r="AR260" s="39" t="n">
        <f aca="false">IF(AR$4=0,0,IF(COUNTIFS(実績!$W$6:$W$505,AR$3,実績!$AI$6:$AI$505,"&lt;="&amp;$A260,実績!$AJ$6:$AJ$505,"&gt;"&amp;$A260,実績!$AL$6:$AL$505,"○")&gt;0,1,0))</f>
        <v>0</v>
      </c>
      <c r="AS260" s="39" t="n">
        <f aca="false">IF(AS$4=0,0,IF(COUNTIFS(実績!$W$6:$W$505,AS$3,実績!$AI$6:$AI$505,"&lt;="&amp;$A260,実績!$AJ$6:$AJ$505,"&gt;"&amp;$A260,実績!$AL$6:$AL$505,"○")&gt;0,1,0))</f>
        <v>0</v>
      </c>
      <c r="AT260" s="39" t="n">
        <f aca="false">IF(AT$4=0,0,IF(COUNTIFS(実績!$W$6:$W$505,AT$3,実績!$AI$6:$AI$505,"&lt;="&amp;$A260,実績!$AJ$6:$AJ$505,"&gt;"&amp;$A260,実績!$AL$6:$AL$505,"○")&gt;0,1,0))</f>
        <v>0</v>
      </c>
      <c r="AU260" s="39" t="n">
        <f aca="false">IF(AU$4=0,0,IF(COUNTIFS(実績!$W$6:$W$505,AU$3,実績!$AI$6:$AI$505,"&lt;="&amp;$A260,実績!$AJ$6:$AJ$505,"&gt;"&amp;$A260,実績!$AL$6:$AL$505,"○")&gt;0,1,0))</f>
        <v>0</v>
      </c>
      <c r="AV260" s="39" t="n">
        <f aca="false">IF(AV$4=0,0,IF(COUNTIFS(実績!$W$6:$W$505,AV$3,実績!$AI$6:$AI$505,"&lt;="&amp;$A260,実績!$AJ$6:$AJ$505,"&gt;"&amp;$A260,実績!$AL$6:$AL$505,"○")&gt;0,1,0))</f>
        <v>0</v>
      </c>
      <c r="AW260" s="39" t="n">
        <f aca="false">IF(AW$4=0,0,IF(COUNTIFS(実績!$W$6:$W$505,AW$3,実績!$AI$6:$AI$505,"&lt;="&amp;$A260,実績!$AJ$6:$AJ$505,"&gt;"&amp;$A260,実績!$AL$6:$AL$505,"○")&gt;0,1,0))</f>
        <v>0</v>
      </c>
      <c r="AX260" s="39" t="n">
        <f aca="false">IF(AX$4=0,0,IF(COUNTIFS(実績!$W$6:$W$505,AX$3,実績!$AI$6:$AI$505,"&lt;="&amp;$A260,実績!$AJ$6:$AJ$505,"&gt;"&amp;$A260,実績!$AL$6:$AL$505,"○")&gt;0,1,0))</f>
        <v>0</v>
      </c>
      <c r="AY260" s="39" t="n">
        <f aca="false">IF(AY$4=0,0,IF(COUNTIFS(実績!$W$6:$W$505,AY$3,実績!$AI$6:$AI$505,"&lt;="&amp;$A260,実績!$AJ$6:$AJ$505,"&gt;"&amp;$A260,実績!$AL$6:$AL$505,"○")&gt;0,1,0))</f>
        <v>0</v>
      </c>
      <c r="AZ260" s="39" t="n">
        <f aca="false">IF(AZ$4=0,0,IF(COUNTIFS(実績!$W$6:$W$505,AZ$3,実績!$AI$6:$AI$505,"&lt;="&amp;$A260,実績!$AJ$6:$AJ$505,"&gt;"&amp;$A260,実績!$AL$6:$AL$505,"○")&gt;0,1,0))</f>
        <v>0</v>
      </c>
      <c r="BA260" s="39" t="n">
        <f aca="false">IF(BA$4=0,0,IF(COUNTIFS(実績!$W$6:$W$505,BA$3,実績!$AI$6:$AI$505,"&lt;="&amp;$A260,実績!$AJ$6:$AJ$505,"&gt;"&amp;$A260,実績!$AL$6:$AL$505,"○")&gt;0,1,0))</f>
        <v>0</v>
      </c>
      <c r="BB260" s="39" t="n">
        <f aca="false">IF(BB$4=0,0,IF(COUNTIFS(実績!$W$6:$W$505,BB$3,実績!$AI$6:$AI$505,"&lt;="&amp;$A260,実績!$AJ$6:$AJ$505,"&gt;"&amp;$A260,実績!$AL$6:$AL$505,"○")&gt;0,1,0))</f>
        <v>0</v>
      </c>
      <c r="BC260" s="39" t="n">
        <f aca="false">IF(BC$4=0,0,IF(COUNTIFS(実績!$W$6:$W$505,BC$3,実績!$AI$6:$AI$505,"&lt;="&amp;$A260,実績!$AJ$6:$AJ$505,"&gt;"&amp;$A260,実績!$AL$6:$AL$505,"○")&gt;0,1,0))</f>
        <v>0</v>
      </c>
      <c r="BD260" s="39" t="n">
        <f aca="false">IF(BD$4=0,0,IF(COUNTIFS(実績!$W$6:$W$505,BD$3,実績!$AI$6:$AI$505,"&lt;="&amp;$A260,実績!$AJ$6:$AJ$505,"&gt;"&amp;$A260,実績!$AL$6:$AL$505,"○")&gt;0,1,0))</f>
        <v>0</v>
      </c>
      <c r="BE260" s="39" t="n">
        <f aca="false">IF(BE$4=0,0,IF(COUNTIFS(実績!$W$6:$W$505,BE$3,実績!$AI$6:$AI$505,"&lt;="&amp;$A260,実績!$AJ$6:$AJ$505,"&gt;"&amp;$A260,実績!$AL$6:$AL$505,"○")&gt;0,1,0))</f>
        <v>0</v>
      </c>
      <c r="BF260" s="39" t="n">
        <f aca="false">IF(BF$4=0,0,IF(COUNTIFS(実績!$W$6:$W$505,BF$3,実績!$AI$6:$AI$505,"&lt;="&amp;$A260,実績!$AJ$6:$AJ$505,"&gt;"&amp;$A260,実績!$AL$6:$AL$505,"○")&gt;0,1,0))</f>
        <v>0</v>
      </c>
      <c r="BG260" s="39" t="n">
        <f aca="false">IF(BG$4=0,0,IF(COUNTIFS(実績!$W$6:$W$505,BG$3,実績!$AI$6:$AI$505,"&lt;="&amp;$A260,実績!$AJ$6:$AJ$505,"&gt;"&amp;$A260,実績!$AL$6:$AL$505,"○")&gt;0,1,0))</f>
        <v>0</v>
      </c>
      <c r="BH260" s="39" t="n">
        <f aca="false">IF(BH$4=0,0,IF(COUNTIFS(実績!$W$6:$W$505,BH$3,実績!$AI$6:$AI$505,"&lt;="&amp;$A260,実績!$AJ$6:$AJ$505,"&gt;"&amp;$A260,実績!$AL$6:$AL$505,"○")&gt;0,1,0))</f>
        <v>0</v>
      </c>
      <c r="BI260" s="39" t="n">
        <f aca="false">IF(BI$4=0,0,IF(COUNTIFS(実績!$W$6:$W$505,BI$3,実績!$AI$6:$AI$505,"&lt;="&amp;$A260,実績!$AJ$6:$AJ$505,"&gt;"&amp;$A260,実績!$AL$6:$AL$505,"○")&gt;0,1,0))</f>
        <v>0</v>
      </c>
      <c r="BJ260" s="39" t="n">
        <f aca="false">IF(BJ$4=0,0,IF(COUNTIFS(実績!$W$6:$W$505,BJ$3,実績!$AI$6:$AI$505,"&lt;="&amp;$A260,実績!$AJ$6:$AJ$505,"&gt;"&amp;$A260,実績!$AL$6:$AL$505,"○")&gt;0,1,0))</f>
        <v>0</v>
      </c>
      <c r="BK260" s="39" t="n">
        <f aca="false">IF(BK$4=0,0,IF(COUNTIFS(実績!$W$6:$W$505,BK$3,実績!$AI$6:$AI$505,"&lt;="&amp;$A260,実績!$AJ$6:$AJ$505,"&gt;"&amp;$A260,実績!$AL$6:$AL$505,"○")&gt;0,1,0))</f>
        <v>0</v>
      </c>
      <c r="BL260" s="39" t="n">
        <f aca="false">IF(BL$4=0,0,IF(COUNTIFS(実績!$W$6:$W$505,BL$3,実績!$AI$6:$AI$505,"&lt;="&amp;$A260,実績!$AJ$6:$AJ$505,"&gt;"&amp;$A260,実績!$AL$6:$AL$505,"○")&gt;0,1,0))</f>
        <v>0</v>
      </c>
      <c r="BM260" s="39" t="n">
        <f aca="false">IF(BM$4=0,0,IF(COUNTIFS(実績!$W$6:$W$505,BM$3,実績!$AI$6:$AI$505,"&lt;="&amp;$A260,実績!$AJ$6:$AJ$505,"&gt;"&amp;$A260,実績!$AL$6:$AL$505,"○")&gt;0,1,0))</f>
        <v>0</v>
      </c>
      <c r="BN260" s="39" t="n">
        <f aca="false">IF(BN$4=0,0,IF(COUNTIFS(実績!$W$6:$W$505,BN$3,実績!$AI$6:$AI$505,"&lt;="&amp;$A260,実績!$AJ$6:$AJ$505,"&gt;"&amp;$A260,実績!$AL$6:$AL$505,"○")&gt;0,1,0))</f>
        <v>0</v>
      </c>
      <c r="BO260" s="39" t="n">
        <f aca="false">IF(BO$4=0,0,IF(COUNTIFS(実績!$W$6:$W$505,BO$3,実績!$AI$6:$AI$505,"&lt;="&amp;$A260,実績!$AJ$6:$AJ$505,"&gt;"&amp;$A260,実績!$AL$6:$AL$505,"○")&gt;0,1,0))</f>
        <v>0</v>
      </c>
      <c r="BP260" s="39" t="n">
        <f aca="false">IF(BP$4=0,0,IF(COUNTIFS(実績!$W$6:$W$505,BP$3,実績!$AI$6:$AI$505,"&lt;="&amp;$A260,実績!$AJ$6:$AJ$505,"&gt;"&amp;$A260,実績!$AL$6:$AL$505,"○")&gt;0,1,0))</f>
        <v>0</v>
      </c>
      <c r="BQ260" s="39" t="n">
        <f aca="false">IF(BQ$4=0,0,IF(COUNTIFS(実績!$W$6:$W$505,BQ$3,実績!$AI$6:$AI$505,"&lt;="&amp;$A260,実績!$AJ$6:$AJ$505,"&gt;"&amp;$A260,実績!$AL$6:$AL$505,"○")&gt;0,1,0))</f>
        <v>0</v>
      </c>
      <c r="BR260" s="39" t="n">
        <f aca="false">IF(BR$4=0,0,IF(COUNTIFS(実績!$W$6:$W$505,BR$3,実績!$AI$6:$AI$505,"&lt;="&amp;$A260,実績!$AJ$6:$AJ$505,"&gt;"&amp;$A260,実績!$AL$6:$AL$505,"○")&gt;0,1,0))</f>
        <v>0</v>
      </c>
      <c r="BS260" s="39" t="n">
        <f aca="false">IF(BS$4=0,0,IF(COUNTIFS(実績!$W$6:$W$505,BS$3,実績!$AI$6:$AI$505,"&lt;="&amp;$A260,実績!$AJ$6:$AJ$505,"&gt;"&amp;$A260,実績!$AL$6:$AL$505,"○")&gt;0,1,0))</f>
        <v>0</v>
      </c>
      <c r="BT260" s="39" t="n">
        <f aca="false">IF(BT$4=0,0,IF(COUNTIFS(実績!$W$6:$W$505,BT$3,実績!$AI$6:$AI$505,"&lt;="&amp;$A260,実績!$AJ$6:$AJ$505,"&gt;"&amp;$A260,実績!$AL$6:$AL$505,"○")&gt;0,1,0))</f>
        <v>0</v>
      </c>
      <c r="BU260" s="39" t="n">
        <f aca="false">IF(BU$4=0,0,IF(COUNTIFS(実績!$W$6:$W$505,BU$3,実績!$AI$6:$AI$505,"&lt;="&amp;$A260,実績!$AJ$6:$AJ$505,"&gt;"&amp;$A260,実績!$AL$6:$AL$505,"○")&gt;0,1,0))</f>
        <v>0</v>
      </c>
      <c r="BV260" s="39" t="n">
        <f aca="false">IF(BV$4=0,0,IF(COUNTIFS(実績!$W$6:$W$505,BV$3,実績!$AI$6:$AI$505,"&lt;="&amp;$A260,実績!$AJ$6:$AJ$505,"&gt;"&amp;$A260,実績!$AL$6:$AL$505,"○")&gt;0,1,0))</f>
        <v>0</v>
      </c>
      <c r="BW260" s="39" t="n">
        <f aca="false">IF(BW$4=0,0,IF(COUNTIFS(実績!$W$6:$W$505,BW$3,実績!$AI$6:$AI$505,"&lt;="&amp;$A260,実績!$AJ$6:$AJ$505,"&gt;"&amp;$A260,実績!$AL$6:$AL$505,"○")&gt;0,1,0))</f>
        <v>0</v>
      </c>
      <c r="BX260" s="39" t="n">
        <f aca="false">IF(BX$4=0,0,IF(COUNTIFS(実績!$W$6:$W$505,BX$3,実績!$AI$6:$AI$505,"&lt;="&amp;$A260,実績!$AJ$6:$AJ$505,"&gt;"&amp;$A260,実績!$AL$6:$AL$505,"○")&gt;0,1,0))</f>
        <v>0</v>
      </c>
      <c r="BY260" s="39" t="n">
        <f aca="false">IF(BY$4=0,0,IF(COUNTIFS(実績!$W$6:$W$505,BY$3,実績!$AI$6:$AI$505,"&lt;="&amp;$A260,実績!$AJ$6:$AJ$505,"&gt;"&amp;$A260,実績!$AL$6:$AL$505,"○")&gt;0,1,0))</f>
        <v>0</v>
      </c>
      <c r="BZ260" s="39" t="n">
        <f aca="false">IF(BZ$4=0,0,IF(COUNTIFS(実績!$W$6:$W$505,BZ$3,実績!$AI$6:$AI$505,"&lt;="&amp;$A260,実績!$AJ$6:$AJ$505,"&gt;"&amp;$A260,実績!$AL$6:$AL$505,"○")&gt;0,1,0))</f>
        <v>0</v>
      </c>
      <c r="CA260" s="39" t="n">
        <f aca="false">IF(CA$4=0,0,IF(COUNTIFS(実績!$W$6:$W$505,CA$3,実績!$AI$6:$AI$505,"&lt;="&amp;$A260,実績!$AJ$6:$AJ$505,"&gt;"&amp;$A260,実績!$AL$6:$AL$505,"○")&gt;0,1,0))</f>
        <v>0</v>
      </c>
      <c r="CB260" s="39" t="n">
        <f aca="false">IF(CB$4=0,0,IF(COUNTIFS(実績!$W$6:$W$505,CB$3,実績!$AI$6:$AI$505,"&lt;="&amp;$A260,実績!$AJ$6:$AJ$505,"&gt;"&amp;$A260,実績!$AL$6:$AL$505,"○")&gt;0,1,0))</f>
        <v>0</v>
      </c>
      <c r="CC260" s="39" t="n">
        <f aca="false">IF(CC$4=0,0,IF(COUNTIFS(実績!$W$6:$W$505,CC$3,実績!$AI$6:$AI$505,"&lt;="&amp;$A260,実績!$AJ$6:$AJ$505,"&gt;"&amp;$A260,実績!$AL$6:$AL$505,"○")&gt;0,1,0))</f>
        <v>0</v>
      </c>
      <c r="CD260" s="39" t="n">
        <f aca="false">IF(CD$4=0,0,IF(COUNTIFS(実績!$W$6:$W$505,CD$3,実績!$AI$6:$AI$505,"&lt;="&amp;$A260,実績!$AJ$6:$AJ$505,"&gt;"&amp;$A260,実績!$AL$6:$AL$505,"○")&gt;0,1,0))</f>
        <v>0</v>
      </c>
      <c r="CE260" s="39" t="n">
        <f aca="false">IF(CE$4=0,0,IF(COUNTIFS(実績!$W$6:$W$505,CE$3,実績!$AI$6:$AI$505,"&lt;="&amp;$A260,実績!$AJ$6:$AJ$505,"&gt;"&amp;$A260,実績!$AL$6:$AL$505,"○")&gt;0,1,0))</f>
        <v>0</v>
      </c>
      <c r="CF260" s="39" t="n">
        <f aca="false">IF(CF$4=0,0,IF(COUNTIFS(実績!$W$6:$W$505,CF$3,実績!$AI$6:$AI$505,"&lt;="&amp;$A260,実績!$AJ$6:$AJ$505,"&gt;"&amp;$A260,実績!$AL$6:$AL$505,"○")&gt;0,1,0))</f>
        <v>0</v>
      </c>
      <c r="CG260" s="39" t="n">
        <f aca="false">IF(CG$4=0,0,IF(COUNTIFS(実績!$W$6:$W$505,CG$3,実績!$AI$6:$AI$505,"&lt;="&amp;$A260,実績!$AJ$6:$AJ$505,"&gt;"&amp;$A260,実績!$AL$6:$AL$505,"○")&gt;0,1,0))</f>
        <v>0</v>
      </c>
      <c r="CH260" s="39" t="n">
        <f aca="false">IF(CH$4=0,0,IF(COUNTIFS(実績!$W$6:$W$505,CH$3,実績!$AI$6:$AI$505,"&lt;="&amp;$A260,実績!$AJ$6:$AJ$505,"&gt;"&amp;$A260,実績!$AL$6:$AL$505,"○")&gt;0,1,0))</f>
        <v>0</v>
      </c>
      <c r="CI260" s="39" t="n">
        <f aca="false">IF(CI$4=0,0,IF(COUNTIFS(実績!$W$6:$W$505,CI$3,実績!$AI$6:$AI$505,"&lt;="&amp;$A260,実績!$AJ$6:$AJ$505,"&gt;"&amp;$A260,実績!$AL$6:$AL$505,"○")&gt;0,1,0))</f>
        <v>0</v>
      </c>
      <c r="CJ260" s="39" t="n">
        <f aca="false">IF(CJ$4=0,0,IF(COUNTIFS(実績!$W$6:$W$505,CJ$3,実績!$AI$6:$AI$505,"&lt;="&amp;$A260,実績!$AJ$6:$AJ$505,"&gt;"&amp;$A260,実績!$AL$6:$AL$505,"○")&gt;0,1,0))</f>
        <v>0</v>
      </c>
      <c r="CK260" s="39" t="n">
        <f aca="false">IF(CK$4=0,0,IF(COUNTIFS(実績!$W$6:$W$505,CK$3,実績!$AI$6:$AI$505,"&lt;="&amp;$A260,実績!$AJ$6:$AJ$505,"&gt;"&amp;$A260,実績!$AL$6:$AL$505,"○")&gt;0,1,0))</f>
        <v>0</v>
      </c>
      <c r="CL260" s="39" t="n">
        <f aca="false">IF(CL$4=0,0,IF(COUNTIFS(実績!$W$6:$W$505,CL$3,実績!$AI$6:$AI$505,"&lt;="&amp;$A260,実績!$AJ$6:$AJ$505,"&gt;"&amp;$A260,実績!$AL$6:$AL$505,"○")&gt;0,1,0))</f>
        <v>0</v>
      </c>
      <c r="CM260" s="39" t="n">
        <f aca="false">IF(CM$4=0,0,IF(COUNTIFS(実績!$W$6:$W$505,CM$3,実績!$AI$6:$AI$505,"&lt;="&amp;$A260,実績!$AJ$6:$AJ$505,"&gt;"&amp;$A260,実績!$AL$6:$AL$505,"○")&gt;0,1,0))</f>
        <v>0</v>
      </c>
      <c r="CN260" s="39" t="n">
        <f aca="false">IF(CN$4=0,0,IF(COUNTIFS(実績!$W$6:$W$505,CN$3,実績!$AI$6:$AI$505,"&lt;="&amp;$A260,実績!$AJ$6:$AJ$505,"&gt;"&amp;$A260,実績!$AL$6:$AL$505,"○")&gt;0,1,0))</f>
        <v>0</v>
      </c>
      <c r="CO260" s="39" t="n">
        <f aca="false">IF(CO$4=0,0,IF(COUNTIFS(実績!$W$6:$W$505,CO$3,実績!$AI$6:$AI$505,"&lt;="&amp;$A260,実績!$AJ$6:$AJ$505,"&gt;"&amp;$A260,実績!$AL$6:$AL$505,"○")&gt;0,1,0))</f>
        <v>0</v>
      </c>
      <c r="CP260" s="39" t="n">
        <f aca="false">IF(CP$4=0,0,IF(COUNTIFS(実績!$W$6:$W$505,CP$3,実績!$AI$6:$AI$505,"&lt;="&amp;$A260,実績!$AJ$6:$AJ$505,"&gt;"&amp;$A260,実績!$AL$6:$AL$505,"○")&gt;0,1,0))</f>
        <v>0</v>
      </c>
      <c r="CQ260" s="39" t="n">
        <f aca="false">IF(CQ$4=0,0,IF(COUNTIFS(実績!$W$6:$W$505,CQ$3,実績!$AI$6:$AI$505,"&lt;="&amp;$A260,実績!$AJ$6:$AJ$505,"&gt;"&amp;$A260,実績!$AL$6:$AL$505,"○")&gt;0,1,0))</f>
        <v>0</v>
      </c>
      <c r="CR260" s="39" t="n">
        <f aca="false">IF(CR$4=0,0,IF(COUNTIFS(実績!$W$6:$W$505,CR$3,実績!$AI$6:$AI$505,"&lt;="&amp;$A260,実績!$AJ$6:$AJ$505,"&gt;"&amp;$A260,実績!$AL$6:$AL$505,"○")&gt;0,1,0))</f>
        <v>0</v>
      </c>
      <c r="CS260" s="39" t="n">
        <f aca="false">IF(CS$4=0,0,IF(COUNTIFS(実績!$W$6:$W$505,CS$3,実績!$AI$6:$AI$505,"&lt;="&amp;$A260,実績!$AJ$6:$AJ$505,"&gt;"&amp;$A260,実績!$AL$6:$AL$505,"○")&gt;0,1,0))</f>
        <v>0</v>
      </c>
      <c r="CT260" s="39" t="n">
        <f aca="false">IF(CT$4=0,0,IF(COUNTIFS(実績!$W$6:$W$505,CT$3,実績!$AI$6:$AI$505,"&lt;="&amp;$A260,実績!$AJ$6:$AJ$505,"&gt;"&amp;$A260,実績!$AL$6:$AL$505,"○")&gt;0,1,0))</f>
        <v>0</v>
      </c>
      <c r="CU260" s="39" t="n">
        <f aca="false">IF(CU$4=0,0,IF(COUNTIFS(実績!$W$6:$W$505,CU$3,実績!$AI$6:$AI$505,"&lt;="&amp;$A260,実績!$AJ$6:$AJ$505,"&gt;"&amp;$A260,実績!$AL$6:$AL$505,"○")&gt;0,1,0))</f>
        <v>0</v>
      </c>
      <c r="CV260" s="39" t="n">
        <f aca="false">IF(CV$4=0,0,IF(COUNTIFS(実績!$W$6:$W$505,CV$3,実績!$AI$6:$AI$505,"&lt;="&amp;$A260,実績!$AJ$6:$AJ$505,"&gt;"&amp;$A260,実績!$AL$6:$AL$505,"○")&gt;0,1,0))</f>
        <v>0</v>
      </c>
      <c r="CW260" s="39" t="n">
        <f aca="false">IF(CW$4=0,0,IF(COUNTIFS(実績!$W$6:$W$505,CW$3,実績!$AI$6:$AI$505,"&lt;="&amp;$A260,実績!$AJ$6:$AJ$505,"&gt;"&amp;$A260,実績!$AL$6:$AL$505,"○")&gt;0,1,0))</f>
        <v>0</v>
      </c>
      <c r="CX260" s="39" t="n">
        <f aca="false">IF(CX$4=0,0,IF(COUNTIFS(実績!$W$6:$W$505,CX$3,実績!$AI$6:$AI$505,"&lt;="&amp;$A260,実績!$AJ$6:$AJ$505,"&gt;"&amp;$A260,実績!$AL$6:$AL$505,"○")&gt;0,1,0))</f>
        <v>0</v>
      </c>
      <c r="CY260" s="39" t="n">
        <f aca="false">IF(CY$4=0,0,IF(COUNTIFS(実績!$W$6:$W$505,CY$3,実績!$AI$6:$AI$505,"&lt;="&amp;$A260,実績!$AJ$6:$AJ$505,"&gt;"&amp;$A260,実績!$AL$6:$AL$505,"○")&gt;0,1,0))</f>
        <v>0</v>
      </c>
      <c r="CZ260" s="39" t="n">
        <f aca="false">IF(CZ$4=0,0,IF(COUNTIFS(実績!$W$6:$W$505,CZ$3,実績!$AI$6:$AI$505,"&lt;="&amp;$A260,実績!$AJ$6:$AJ$505,"&gt;"&amp;$A260,実績!$AL$6:$AL$505,"○")&gt;0,1,0))</f>
        <v>0</v>
      </c>
      <c r="DA260" s="39" t="n">
        <f aca="false">IF(DA$4=0,0,IF(COUNTIFS(実績!$W$6:$W$505,DA$3,実績!$AI$6:$AI$505,"&lt;="&amp;$A260,実績!$AJ$6:$AJ$505,"&gt;"&amp;$A260,実績!$AL$6:$AL$505,"○")&gt;0,1,0))</f>
        <v>0</v>
      </c>
      <c r="DB260" s="39" t="n">
        <f aca="false">IF(DB$4=0,0,IF(COUNTIFS(実績!$W$6:$W$505,DB$3,実績!$AI$6:$AI$505,"&lt;="&amp;$A260,実績!$AJ$6:$AJ$505,"&gt;"&amp;$A260,実績!$AL$6:$AL$505,"○")&gt;0,1,0))</f>
        <v>0</v>
      </c>
      <c r="DC260" s="39" t="n">
        <f aca="false">IF(DC$4=0,0,IF(COUNTIFS(実績!$W$6:$W$505,DC$3,実績!$AI$6:$AI$505,"&lt;="&amp;$A260,実績!$AJ$6:$AJ$505,"&gt;"&amp;$A260,実績!$AL$6:$AL$505,"○")&gt;0,1,0))</f>
        <v>0</v>
      </c>
      <c r="DD260" s="39" t="n">
        <f aca="false">IF(DD$4=0,0,IF(COUNTIFS(実績!$W$6:$W$505,DD$3,実績!$AI$6:$AI$505,"&lt;="&amp;$A260,実績!$AJ$6:$AJ$505,"&gt;"&amp;$A260,実績!$AL$6:$AL$505,"○")&gt;0,1,0))</f>
        <v>0</v>
      </c>
      <c r="DE260" s="39" t="n">
        <f aca="false">IF(DE$4=0,0,IF(COUNTIFS(実績!$W$6:$W$505,DE$3,実績!$AI$6:$AI$505,"&lt;="&amp;$A260,実績!$AJ$6:$AJ$505,"&gt;"&amp;$A260,実績!$AL$6:$AL$505,"○")&gt;0,1,0))</f>
        <v>0</v>
      </c>
      <c r="DF260" s="39" t="n">
        <f aca="false">IF(DF$4=0,0,IF(COUNTIFS(実績!$W$6:$W$505,DF$3,実績!$AI$6:$AI$505,"&lt;="&amp;$A260,実績!$AJ$6:$AJ$505,"&gt;"&amp;$A260,実績!$AL$6:$AL$505,"○")&gt;0,1,0))</f>
        <v>0</v>
      </c>
      <c r="DG260" s="39" t="n">
        <f aca="false">IF(DG$4=0,0,IF(COUNTIFS(実績!$W$6:$W$505,DG$3,実績!$AI$6:$AI$505,"&lt;="&amp;$A260,実績!$AJ$6:$AJ$505,"&gt;"&amp;$A260,実績!$AL$6:$AL$505,"○")&gt;0,1,0))</f>
        <v>0</v>
      </c>
      <c r="DH260" s="39" t="n">
        <f aca="false">IF(DH$4=0,0,IF(COUNTIFS(実績!$W$6:$W$505,DH$3,実績!$AI$6:$AI$505,"&lt;="&amp;$A260,実績!$AJ$6:$AJ$505,"&gt;"&amp;$A260,実績!$AL$6:$AL$505,"○")&gt;0,1,0))</f>
        <v>0</v>
      </c>
      <c r="DI260" s="39" t="n">
        <f aca="false">IF(DI$4=0,0,IF(COUNTIFS(実績!$W$6:$W$505,DI$3,実績!$AI$6:$AI$505,"&lt;="&amp;$A260,実績!$AJ$6:$AJ$505,"&gt;"&amp;$A260,実績!$AL$6:$AL$505,"○")&gt;0,1,0))</f>
        <v>0</v>
      </c>
      <c r="DJ260" s="39" t="n">
        <f aca="false">IF(DJ$4=0,0,IF(COUNTIFS(実績!$W$6:$W$505,DJ$3,実績!$AI$6:$AI$505,"&lt;="&amp;$A260,実績!$AJ$6:$AJ$505,"&gt;"&amp;$A260,実績!$AL$6:$AL$505,"○")&gt;0,1,0))</f>
        <v>0</v>
      </c>
      <c r="DK260" s="39" t="n">
        <f aca="false">IF(DK$4=0,0,IF(COUNTIFS(実績!$W$6:$W$505,DK$3,実績!$AI$6:$AI$505,"&lt;="&amp;$A260,実績!$AJ$6:$AJ$505,"&gt;"&amp;$A260,実績!$AL$6:$AL$505,"○")&gt;0,1,0))</f>
        <v>0</v>
      </c>
      <c r="DL260" s="39" t="n">
        <f aca="false">IF(DL$4=0,0,IF(COUNTIFS(実績!$W$6:$W$505,DL$3,実績!$AI$6:$AI$505,"&lt;="&amp;$A260,実績!$AJ$6:$AJ$505,"&gt;"&amp;$A260,実績!$AL$6:$AL$505,"○")&gt;0,1,0))</f>
        <v>0</v>
      </c>
      <c r="DM260" s="39" t="n">
        <f aca="false">IF(DM$4=0,0,IF(COUNTIFS(実績!$W$6:$W$505,DM$3,実績!$AI$6:$AI$505,"&lt;="&amp;$A260,実績!$AJ$6:$AJ$505,"&gt;"&amp;$A260,実績!$AL$6:$AL$505,"○")&gt;0,1,0))</f>
        <v>0</v>
      </c>
      <c r="DN260" s="39" t="n">
        <f aca="false">IF(DN$4=0,0,IF(COUNTIFS(実績!$W$6:$W$505,DN$3,実績!$AI$6:$AI$505,"&lt;="&amp;$A260,実績!$AJ$6:$AJ$505,"&gt;"&amp;$A260,実績!$AL$6:$AL$505,"○")&gt;0,1,0))</f>
        <v>0</v>
      </c>
      <c r="DO260" s="39" t="n">
        <f aca="false">IF(DO$4=0,0,IF(COUNTIFS(実績!$W$6:$W$505,DO$3,実績!$AI$6:$AI$505,"&lt;="&amp;$A260,実績!$AJ$6:$AJ$505,"&gt;"&amp;$A260,実績!$AL$6:$AL$505,"○")&gt;0,1,0))</f>
        <v>0</v>
      </c>
      <c r="DP260" s="39" t="n">
        <f aca="false">IF(DP$4=0,0,IF(COUNTIFS(実績!$W$6:$W$505,DP$3,実績!$AI$6:$AI$505,"&lt;="&amp;$A260,実績!$AJ$6:$AJ$505,"&gt;"&amp;$A260,実績!$AL$6:$AL$505,"○")&gt;0,1,0))</f>
        <v>0</v>
      </c>
      <c r="DQ260" s="39" t="n">
        <f aca="false">IF(DQ$4=0,0,IF(COUNTIFS(実績!$W$6:$W$505,DQ$3,実績!$AI$6:$AI$505,"&lt;="&amp;$A260,実績!$AJ$6:$AJ$505,"&gt;"&amp;$A260,実績!$AL$6:$AL$505,"○")&gt;0,1,0))</f>
        <v>0</v>
      </c>
      <c r="DR260" s="39" t="n">
        <f aca="false">IF(DR$4=0,0,IF(COUNTIFS(実績!$W$6:$W$505,DR$3,実績!$AI$6:$AI$505,"&lt;="&amp;$A260,実績!$AJ$6:$AJ$505,"&gt;"&amp;$A260,実績!$AL$6:$AL$505,"○")&gt;0,1,0))</f>
        <v>0</v>
      </c>
      <c r="DS260" s="39" t="n">
        <f aca="false">SUM(C260:DR260)</f>
        <v>0</v>
      </c>
    </row>
    <row r="261" customFormat="false" ht="15" hidden="false" customHeight="false" outlineLevel="0" collapsed="false">
      <c r="A261" s="0" t="n">
        <v>1275</v>
      </c>
      <c r="B261" s="38" t="n">
        <f aca="false">A261/1440</f>
        <v>0.885416666666667</v>
      </c>
      <c r="C261" s="39" t="n">
        <f aca="false">IF(C$4=0,0,IF(COUNTIFS(実績!$W$6:$W$505,C$3,実績!$AI$6:$AI$505,"&lt;="&amp;$A261,実績!$AJ$6:$AJ$505,"&gt;"&amp;$A261,実績!$AL$6:$AL$505,"○")&gt;0,1,0))</f>
        <v>0</v>
      </c>
      <c r="D261" s="39" t="n">
        <f aca="false">IF(D$4=0,0,IF(COUNTIFS(実績!$W$6:$W$505,D$3,実績!$AI$6:$AI$505,"&lt;="&amp;$A261,実績!$AJ$6:$AJ$505,"&gt;"&amp;$A261,実績!$AL$6:$AL$505,"○")&gt;0,1,0))</f>
        <v>0</v>
      </c>
      <c r="E261" s="39" t="n">
        <f aca="false">IF(E$4=0,0,IF(COUNTIFS(実績!$W$6:$W$505,E$3,実績!$AI$6:$AI$505,"&lt;="&amp;$A261,実績!$AJ$6:$AJ$505,"&gt;"&amp;$A261,実績!$AL$6:$AL$505,"○")&gt;0,1,0))</f>
        <v>0</v>
      </c>
      <c r="F261" s="39" t="n">
        <f aca="false">IF(F$4=0,0,IF(COUNTIFS(実績!$W$6:$W$505,F$3,実績!$AI$6:$AI$505,"&lt;="&amp;$A261,実績!$AJ$6:$AJ$505,"&gt;"&amp;$A261,実績!$AL$6:$AL$505,"○")&gt;0,1,0))</f>
        <v>0</v>
      </c>
      <c r="G261" s="39" t="n">
        <f aca="false">IF(G$4=0,0,IF(COUNTIFS(実績!$W$6:$W$505,G$3,実績!$AI$6:$AI$505,"&lt;="&amp;$A261,実績!$AJ$6:$AJ$505,"&gt;"&amp;$A261,実績!$AL$6:$AL$505,"○")&gt;0,1,0))</f>
        <v>0</v>
      </c>
      <c r="H261" s="39" t="n">
        <f aca="false">IF(H$4=0,0,IF(COUNTIFS(実績!$W$6:$W$505,H$3,実績!$AI$6:$AI$505,"&lt;="&amp;$A261,実績!$AJ$6:$AJ$505,"&gt;"&amp;$A261,実績!$AL$6:$AL$505,"○")&gt;0,1,0))</f>
        <v>0</v>
      </c>
      <c r="I261" s="39" t="n">
        <f aca="false">IF(I$4=0,0,IF(COUNTIFS(実績!$W$6:$W$505,I$3,実績!$AI$6:$AI$505,"&lt;="&amp;$A261,実績!$AJ$6:$AJ$505,"&gt;"&amp;$A261,実績!$AL$6:$AL$505,"○")&gt;0,1,0))</f>
        <v>0</v>
      </c>
      <c r="J261" s="39" t="n">
        <f aca="false">IF(J$4=0,0,IF(COUNTIFS(実績!$W$6:$W$505,J$3,実績!$AI$6:$AI$505,"&lt;="&amp;$A261,実績!$AJ$6:$AJ$505,"&gt;"&amp;$A261,実績!$AL$6:$AL$505,"○")&gt;0,1,0))</f>
        <v>0</v>
      </c>
      <c r="K261" s="39" t="n">
        <f aca="false">IF(K$4=0,0,IF(COUNTIFS(実績!$W$6:$W$505,K$3,実績!$AI$6:$AI$505,"&lt;="&amp;$A261,実績!$AJ$6:$AJ$505,"&gt;"&amp;$A261,実績!$AL$6:$AL$505,"○")&gt;0,1,0))</f>
        <v>0</v>
      </c>
      <c r="L261" s="39" t="n">
        <f aca="false">IF(L$4=0,0,IF(COUNTIFS(実績!$W$6:$W$505,L$3,実績!$AI$6:$AI$505,"&lt;="&amp;$A261,実績!$AJ$6:$AJ$505,"&gt;"&amp;$A261,実績!$AL$6:$AL$505,"○")&gt;0,1,0))</f>
        <v>0</v>
      </c>
      <c r="M261" s="39" t="n">
        <f aca="false">IF(M$4=0,0,IF(COUNTIFS(実績!$W$6:$W$505,M$3,実績!$AI$6:$AI$505,"&lt;="&amp;$A261,実績!$AJ$6:$AJ$505,"&gt;"&amp;$A261,実績!$AL$6:$AL$505,"○")&gt;0,1,0))</f>
        <v>0</v>
      </c>
      <c r="N261" s="39" t="n">
        <f aca="false">IF(N$4=0,0,IF(COUNTIFS(実績!$W$6:$W$505,N$3,実績!$AI$6:$AI$505,"&lt;="&amp;$A261,実績!$AJ$6:$AJ$505,"&gt;"&amp;$A261,実績!$AL$6:$AL$505,"○")&gt;0,1,0))</f>
        <v>0</v>
      </c>
      <c r="O261" s="39" t="n">
        <f aca="false">IF(O$4=0,0,IF(COUNTIFS(実績!$W$6:$W$505,O$3,実績!$AI$6:$AI$505,"&lt;="&amp;$A261,実績!$AJ$6:$AJ$505,"&gt;"&amp;$A261,実績!$AL$6:$AL$505,"○")&gt;0,1,0))</f>
        <v>0</v>
      </c>
      <c r="P261" s="39" t="n">
        <f aca="false">IF(P$4=0,0,IF(COUNTIFS(実績!$W$6:$W$505,P$3,実績!$AI$6:$AI$505,"&lt;="&amp;$A261,実績!$AJ$6:$AJ$505,"&gt;"&amp;$A261,実績!$AL$6:$AL$505,"○")&gt;0,1,0))</f>
        <v>0</v>
      </c>
      <c r="Q261" s="39" t="n">
        <f aca="false">IF(Q$4=0,0,IF(COUNTIFS(実績!$W$6:$W$505,Q$3,実績!$AI$6:$AI$505,"&lt;="&amp;$A261,実績!$AJ$6:$AJ$505,"&gt;"&amp;$A261,実績!$AL$6:$AL$505,"○")&gt;0,1,0))</f>
        <v>0</v>
      </c>
      <c r="R261" s="39" t="n">
        <f aca="false">IF(R$4=0,0,IF(COUNTIFS(実績!$W$6:$W$505,R$3,実績!$AI$6:$AI$505,"&lt;="&amp;$A261,実績!$AJ$6:$AJ$505,"&gt;"&amp;$A261,実績!$AL$6:$AL$505,"○")&gt;0,1,0))</f>
        <v>0</v>
      </c>
      <c r="S261" s="39" t="n">
        <f aca="false">IF(S$4=0,0,IF(COUNTIFS(実績!$W$6:$W$505,S$3,実績!$AI$6:$AI$505,"&lt;="&amp;$A261,実績!$AJ$6:$AJ$505,"&gt;"&amp;$A261,実績!$AL$6:$AL$505,"○")&gt;0,1,0))</f>
        <v>0</v>
      </c>
      <c r="T261" s="39" t="n">
        <f aca="false">IF(T$4=0,0,IF(COUNTIFS(実績!$W$6:$W$505,T$3,実績!$AI$6:$AI$505,"&lt;="&amp;$A261,実績!$AJ$6:$AJ$505,"&gt;"&amp;$A261,実績!$AL$6:$AL$505,"○")&gt;0,1,0))</f>
        <v>0</v>
      </c>
      <c r="U261" s="39" t="n">
        <f aca="false">IF(U$4=0,0,IF(COUNTIFS(実績!$W$6:$W$505,U$3,実績!$AI$6:$AI$505,"&lt;="&amp;$A261,実績!$AJ$6:$AJ$505,"&gt;"&amp;$A261,実績!$AL$6:$AL$505,"○")&gt;0,1,0))</f>
        <v>0</v>
      </c>
      <c r="V261" s="39" t="n">
        <f aca="false">IF(V$4=0,0,IF(COUNTIFS(実績!$W$6:$W$505,V$3,実績!$AI$6:$AI$505,"&lt;="&amp;$A261,実績!$AJ$6:$AJ$505,"&gt;"&amp;$A261,実績!$AL$6:$AL$505,"○")&gt;0,1,0))</f>
        <v>0</v>
      </c>
      <c r="W261" s="39" t="n">
        <f aca="false">IF(W$4=0,0,IF(COUNTIFS(実績!$W$6:$W$505,W$3,実績!$AI$6:$AI$505,"&lt;="&amp;$A261,実績!$AJ$6:$AJ$505,"&gt;"&amp;$A261,実績!$AL$6:$AL$505,"○")&gt;0,1,0))</f>
        <v>0</v>
      </c>
      <c r="X261" s="39" t="n">
        <f aca="false">IF(X$4=0,0,IF(COUNTIFS(実績!$W$6:$W$505,X$3,実績!$AI$6:$AI$505,"&lt;="&amp;$A261,実績!$AJ$6:$AJ$505,"&gt;"&amp;$A261,実績!$AL$6:$AL$505,"○")&gt;0,1,0))</f>
        <v>0</v>
      </c>
      <c r="Y261" s="39" t="n">
        <f aca="false">IF(Y$4=0,0,IF(COUNTIFS(実績!$W$6:$W$505,Y$3,実績!$AI$6:$AI$505,"&lt;="&amp;$A261,実績!$AJ$6:$AJ$505,"&gt;"&amp;$A261,実績!$AL$6:$AL$505,"○")&gt;0,1,0))</f>
        <v>0</v>
      </c>
      <c r="Z261" s="39" t="n">
        <f aca="false">IF(Z$4=0,0,IF(COUNTIFS(実績!$W$6:$W$505,Z$3,実績!$AI$6:$AI$505,"&lt;="&amp;$A261,実績!$AJ$6:$AJ$505,"&gt;"&amp;$A261,実績!$AL$6:$AL$505,"○")&gt;0,1,0))</f>
        <v>0</v>
      </c>
      <c r="AA261" s="39" t="n">
        <f aca="false">IF(AA$4=0,0,IF(COUNTIFS(実績!$W$6:$W$505,AA$3,実績!$AI$6:$AI$505,"&lt;="&amp;$A261,実績!$AJ$6:$AJ$505,"&gt;"&amp;$A261,実績!$AL$6:$AL$505,"○")&gt;0,1,0))</f>
        <v>0</v>
      </c>
      <c r="AB261" s="39" t="n">
        <f aca="false">IF(AB$4=0,0,IF(COUNTIFS(実績!$W$6:$W$505,AB$3,実績!$AI$6:$AI$505,"&lt;="&amp;$A261,実績!$AJ$6:$AJ$505,"&gt;"&amp;$A261,実績!$AL$6:$AL$505,"○")&gt;0,1,0))</f>
        <v>0</v>
      </c>
      <c r="AC261" s="39" t="n">
        <f aca="false">IF(AC$4=0,0,IF(COUNTIFS(実績!$W$6:$W$505,AC$3,実績!$AI$6:$AI$505,"&lt;="&amp;$A261,実績!$AJ$6:$AJ$505,"&gt;"&amp;$A261,実績!$AL$6:$AL$505,"○")&gt;0,1,0))</f>
        <v>0</v>
      </c>
      <c r="AD261" s="39" t="n">
        <f aca="false">IF(AD$4=0,0,IF(COUNTIFS(実績!$W$6:$W$505,AD$3,実績!$AI$6:$AI$505,"&lt;="&amp;$A261,実績!$AJ$6:$AJ$505,"&gt;"&amp;$A261,実績!$AL$6:$AL$505,"○")&gt;0,1,0))</f>
        <v>0</v>
      </c>
      <c r="AE261" s="39" t="n">
        <f aca="false">IF(AE$4=0,0,IF(COUNTIFS(実績!$W$6:$W$505,AE$3,実績!$AI$6:$AI$505,"&lt;="&amp;$A261,実績!$AJ$6:$AJ$505,"&gt;"&amp;$A261,実績!$AL$6:$AL$505,"○")&gt;0,1,0))</f>
        <v>0</v>
      </c>
      <c r="AF261" s="39" t="n">
        <f aca="false">IF(AF$4=0,0,IF(COUNTIFS(実績!$W$6:$W$505,AF$3,実績!$AI$6:$AI$505,"&lt;="&amp;$A261,実績!$AJ$6:$AJ$505,"&gt;"&amp;$A261,実績!$AL$6:$AL$505,"○")&gt;0,1,0))</f>
        <v>0</v>
      </c>
      <c r="AG261" s="39" t="n">
        <f aca="false">IF(AG$4=0,0,IF(COUNTIFS(実績!$W$6:$W$505,AG$3,実績!$AI$6:$AI$505,"&lt;="&amp;$A261,実績!$AJ$6:$AJ$505,"&gt;"&amp;$A261,実績!$AL$6:$AL$505,"○")&gt;0,1,0))</f>
        <v>0</v>
      </c>
      <c r="AH261" s="39" t="n">
        <f aca="false">IF(AH$4=0,0,IF(COUNTIFS(実績!$W$6:$W$505,AH$3,実績!$AI$6:$AI$505,"&lt;="&amp;$A261,実績!$AJ$6:$AJ$505,"&gt;"&amp;$A261,実績!$AL$6:$AL$505,"○")&gt;0,1,0))</f>
        <v>0</v>
      </c>
      <c r="AI261" s="39" t="n">
        <f aca="false">IF(AI$4=0,0,IF(COUNTIFS(実績!$W$6:$W$505,AI$3,実績!$AI$6:$AI$505,"&lt;="&amp;$A261,実績!$AJ$6:$AJ$505,"&gt;"&amp;$A261,実績!$AL$6:$AL$505,"○")&gt;0,1,0))</f>
        <v>0</v>
      </c>
      <c r="AJ261" s="39" t="n">
        <f aca="false">IF(AJ$4=0,0,IF(COUNTIFS(実績!$W$6:$W$505,AJ$3,実績!$AI$6:$AI$505,"&lt;="&amp;$A261,実績!$AJ$6:$AJ$505,"&gt;"&amp;$A261,実績!$AL$6:$AL$505,"○")&gt;0,1,0))</f>
        <v>0</v>
      </c>
      <c r="AK261" s="39" t="n">
        <f aca="false">IF(AK$4=0,0,IF(COUNTIFS(実績!$W$6:$W$505,AK$3,実績!$AI$6:$AI$505,"&lt;="&amp;$A261,実績!$AJ$6:$AJ$505,"&gt;"&amp;$A261,実績!$AL$6:$AL$505,"○")&gt;0,1,0))</f>
        <v>0</v>
      </c>
      <c r="AL261" s="39" t="n">
        <f aca="false">IF(AL$4=0,0,IF(COUNTIFS(実績!$W$6:$W$505,AL$3,実績!$AI$6:$AI$505,"&lt;="&amp;$A261,実績!$AJ$6:$AJ$505,"&gt;"&amp;$A261,実績!$AL$6:$AL$505,"○")&gt;0,1,0))</f>
        <v>0</v>
      </c>
      <c r="AM261" s="39" t="n">
        <f aca="false">IF(AM$4=0,0,IF(COUNTIFS(実績!$W$6:$W$505,AM$3,実績!$AI$6:$AI$505,"&lt;="&amp;$A261,実績!$AJ$6:$AJ$505,"&gt;"&amp;$A261,実績!$AL$6:$AL$505,"○")&gt;0,1,0))</f>
        <v>0</v>
      </c>
      <c r="AN261" s="39" t="n">
        <f aca="false">IF(AN$4=0,0,IF(COUNTIFS(実績!$W$6:$W$505,AN$3,実績!$AI$6:$AI$505,"&lt;="&amp;$A261,実績!$AJ$6:$AJ$505,"&gt;"&amp;$A261,実績!$AL$6:$AL$505,"○")&gt;0,1,0))</f>
        <v>0</v>
      </c>
      <c r="AO261" s="39" t="n">
        <f aca="false">IF(AO$4=0,0,IF(COUNTIFS(実績!$W$6:$W$505,AO$3,実績!$AI$6:$AI$505,"&lt;="&amp;$A261,実績!$AJ$6:$AJ$505,"&gt;"&amp;$A261,実績!$AL$6:$AL$505,"○")&gt;0,1,0))</f>
        <v>0</v>
      </c>
      <c r="AP261" s="39" t="n">
        <f aca="false">IF(AP$4=0,0,IF(COUNTIFS(実績!$W$6:$W$505,AP$3,実績!$AI$6:$AI$505,"&lt;="&amp;$A261,実績!$AJ$6:$AJ$505,"&gt;"&amp;$A261,実績!$AL$6:$AL$505,"○")&gt;0,1,0))</f>
        <v>0</v>
      </c>
      <c r="AQ261" s="39" t="n">
        <f aca="false">IF(AQ$4=0,0,IF(COUNTIFS(実績!$W$6:$W$505,AQ$3,実績!$AI$6:$AI$505,"&lt;="&amp;$A261,実績!$AJ$6:$AJ$505,"&gt;"&amp;$A261,実績!$AL$6:$AL$505,"○")&gt;0,1,0))</f>
        <v>0</v>
      </c>
      <c r="AR261" s="39" t="n">
        <f aca="false">IF(AR$4=0,0,IF(COUNTIFS(実績!$W$6:$W$505,AR$3,実績!$AI$6:$AI$505,"&lt;="&amp;$A261,実績!$AJ$6:$AJ$505,"&gt;"&amp;$A261,実績!$AL$6:$AL$505,"○")&gt;0,1,0))</f>
        <v>0</v>
      </c>
      <c r="AS261" s="39" t="n">
        <f aca="false">IF(AS$4=0,0,IF(COUNTIFS(実績!$W$6:$W$505,AS$3,実績!$AI$6:$AI$505,"&lt;="&amp;$A261,実績!$AJ$6:$AJ$505,"&gt;"&amp;$A261,実績!$AL$6:$AL$505,"○")&gt;0,1,0))</f>
        <v>0</v>
      </c>
      <c r="AT261" s="39" t="n">
        <f aca="false">IF(AT$4=0,0,IF(COUNTIFS(実績!$W$6:$W$505,AT$3,実績!$AI$6:$AI$505,"&lt;="&amp;$A261,実績!$AJ$6:$AJ$505,"&gt;"&amp;$A261,実績!$AL$6:$AL$505,"○")&gt;0,1,0))</f>
        <v>0</v>
      </c>
      <c r="AU261" s="39" t="n">
        <f aca="false">IF(AU$4=0,0,IF(COUNTIFS(実績!$W$6:$W$505,AU$3,実績!$AI$6:$AI$505,"&lt;="&amp;$A261,実績!$AJ$6:$AJ$505,"&gt;"&amp;$A261,実績!$AL$6:$AL$505,"○")&gt;0,1,0))</f>
        <v>0</v>
      </c>
      <c r="AV261" s="39" t="n">
        <f aca="false">IF(AV$4=0,0,IF(COUNTIFS(実績!$W$6:$W$505,AV$3,実績!$AI$6:$AI$505,"&lt;="&amp;$A261,実績!$AJ$6:$AJ$505,"&gt;"&amp;$A261,実績!$AL$6:$AL$505,"○")&gt;0,1,0))</f>
        <v>0</v>
      </c>
      <c r="AW261" s="39" t="n">
        <f aca="false">IF(AW$4=0,0,IF(COUNTIFS(実績!$W$6:$W$505,AW$3,実績!$AI$6:$AI$505,"&lt;="&amp;$A261,実績!$AJ$6:$AJ$505,"&gt;"&amp;$A261,実績!$AL$6:$AL$505,"○")&gt;0,1,0))</f>
        <v>0</v>
      </c>
      <c r="AX261" s="39" t="n">
        <f aca="false">IF(AX$4=0,0,IF(COUNTIFS(実績!$W$6:$W$505,AX$3,実績!$AI$6:$AI$505,"&lt;="&amp;$A261,実績!$AJ$6:$AJ$505,"&gt;"&amp;$A261,実績!$AL$6:$AL$505,"○")&gt;0,1,0))</f>
        <v>0</v>
      </c>
      <c r="AY261" s="39" t="n">
        <f aca="false">IF(AY$4=0,0,IF(COUNTIFS(実績!$W$6:$W$505,AY$3,実績!$AI$6:$AI$505,"&lt;="&amp;$A261,実績!$AJ$6:$AJ$505,"&gt;"&amp;$A261,実績!$AL$6:$AL$505,"○")&gt;0,1,0))</f>
        <v>0</v>
      </c>
      <c r="AZ261" s="39" t="n">
        <f aca="false">IF(AZ$4=0,0,IF(COUNTIFS(実績!$W$6:$W$505,AZ$3,実績!$AI$6:$AI$505,"&lt;="&amp;$A261,実績!$AJ$6:$AJ$505,"&gt;"&amp;$A261,実績!$AL$6:$AL$505,"○")&gt;0,1,0))</f>
        <v>0</v>
      </c>
      <c r="BA261" s="39" t="n">
        <f aca="false">IF(BA$4=0,0,IF(COUNTIFS(実績!$W$6:$W$505,BA$3,実績!$AI$6:$AI$505,"&lt;="&amp;$A261,実績!$AJ$6:$AJ$505,"&gt;"&amp;$A261,実績!$AL$6:$AL$505,"○")&gt;0,1,0))</f>
        <v>0</v>
      </c>
      <c r="BB261" s="39" t="n">
        <f aca="false">IF(BB$4=0,0,IF(COUNTIFS(実績!$W$6:$W$505,BB$3,実績!$AI$6:$AI$505,"&lt;="&amp;$A261,実績!$AJ$6:$AJ$505,"&gt;"&amp;$A261,実績!$AL$6:$AL$505,"○")&gt;0,1,0))</f>
        <v>0</v>
      </c>
      <c r="BC261" s="39" t="n">
        <f aca="false">IF(BC$4=0,0,IF(COUNTIFS(実績!$W$6:$W$505,BC$3,実績!$AI$6:$AI$505,"&lt;="&amp;$A261,実績!$AJ$6:$AJ$505,"&gt;"&amp;$A261,実績!$AL$6:$AL$505,"○")&gt;0,1,0))</f>
        <v>0</v>
      </c>
      <c r="BD261" s="39" t="n">
        <f aca="false">IF(BD$4=0,0,IF(COUNTIFS(実績!$W$6:$W$505,BD$3,実績!$AI$6:$AI$505,"&lt;="&amp;$A261,実績!$AJ$6:$AJ$505,"&gt;"&amp;$A261,実績!$AL$6:$AL$505,"○")&gt;0,1,0))</f>
        <v>0</v>
      </c>
      <c r="BE261" s="39" t="n">
        <f aca="false">IF(BE$4=0,0,IF(COUNTIFS(実績!$W$6:$W$505,BE$3,実績!$AI$6:$AI$505,"&lt;="&amp;$A261,実績!$AJ$6:$AJ$505,"&gt;"&amp;$A261,実績!$AL$6:$AL$505,"○")&gt;0,1,0))</f>
        <v>0</v>
      </c>
      <c r="BF261" s="39" t="n">
        <f aca="false">IF(BF$4=0,0,IF(COUNTIFS(実績!$W$6:$W$505,BF$3,実績!$AI$6:$AI$505,"&lt;="&amp;$A261,実績!$AJ$6:$AJ$505,"&gt;"&amp;$A261,実績!$AL$6:$AL$505,"○")&gt;0,1,0))</f>
        <v>0</v>
      </c>
      <c r="BG261" s="39" t="n">
        <f aca="false">IF(BG$4=0,0,IF(COUNTIFS(実績!$W$6:$W$505,BG$3,実績!$AI$6:$AI$505,"&lt;="&amp;$A261,実績!$AJ$6:$AJ$505,"&gt;"&amp;$A261,実績!$AL$6:$AL$505,"○")&gt;0,1,0))</f>
        <v>0</v>
      </c>
      <c r="BH261" s="39" t="n">
        <f aca="false">IF(BH$4=0,0,IF(COUNTIFS(実績!$W$6:$W$505,BH$3,実績!$AI$6:$AI$505,"&lt;="&amp;$A261,実績!$AJ$6:$AJ$505,"&gt;"&amp;$A261,実績!$AL$6:$AL$505,"○")&gt;0,1,0))</f>
        <v>0</v>
      </c>
      <c r="BI261" s="39" t="n">
        <f aca="false">IF(BI$4=0,0,IF(COUNTIFS(実績!$W$6:$W$505,BI$3,実績!$AI$6:$AI$505,"&lt;="&amp;$A261,実績!$AJ$6:$AJ$505,"&gt;"&amp;$A261,実績!$AL$6:$AL$505,"○")&gt;0,1,0))</f>
        <v>0</v>
      </c>
      <c r="BJ261" s="39" t="n">
        <f aca="false">IF(BJ$4=0,0,IF(COUNTIFS(実績!$W$6:$W$505,BJ$3,実績!$AI$6:$AI$505,"&lt;="&amp;$A261,実績!$AJ$6:$AJ$505,"&gt;"&amp;$A261,実績!$AL$6:$AL$505,"○")&gt;0,1,0))</f>
        <v>0</v>
      </c>
      <c r="BK261" s="39" t="n">
        <f aca="false">IF(BK$4=0,0,IF(COUNTIFS(実績!$W$6:$W$505,BK$3,実績!$AI$6:$AI$505,"&lt;="&amp;$A261,実績!$AJ$6:$AJ$505,"&gt;"&amp;$A261,実績!$AL$6:$AL$505,"○")&gt;0,1,0))</f>
        <v>0</v>
      </c>
      <c r="BL261" s="39" t="n">
        <f aca="false">IF(BL$4=0,0,IF(COUNTIFS(実績!$W$6:$W$505,BL$3,実績!$AI$6:$AI$505,"&lt;="&amp;$A261,実績!$AJ$6:$AJ$505,"&gt;"&amp;$A261,実績!$AL$6:$AL$505,"○")&gt;0,1,0))</f>
        <v>0</v>
      </c>
      <c r="BM261" s="39" t="n">
        <f aca="false">IF(BM$4=0,0,IF(COUNTIFS(実績!$W$6:$W$505,BM$3,実績!$AI$6:$AI$505,"&lt;="&amp;$A261,実績!$AJ$6:$AJ$505,"&gt;"&amp;$A261,実績!$AL$6:$AL$505,"○")&gt;0,1,0))</f>
        <v>0</v>
      </c>
      <c r="BN261" s="39" t="n">
        <f aca="false">IF(BN$4=0,0,IF(COUNTIFS(実績!$W$6:$W$505,BN$3,実績!$AI$6:$AI$505,"&lt;="&amp;$A261,実績!$AJ$6:$AJ$505,"&gt;"&amp;$A261,実績!$AL$6:$AL$505,"○")&gt;0,1,0))</f>
        <v>0</v>
      </c>
      <c r="BO261" s="39" t="n">
        <f aca="false">IF(BO$4=0,0,IF(COUNTIFS(実績!$W$6:$W$505,BO$3,実績!$AI$6:$AI$505,"&lt;="&amp;$A261,実績!$AJ$6:$AJ$505,"&gt;"&amp;$A261,実績!$AL$6:$AL$505,"○")&gt;0,1,0))</f>
        <v>0</v>
      </c>
      <c r="BP261" s="39" t="n">
        <f aca="false">IF(BP$4=0,0,IF(COUNTIFS(実績!$W$6:$W$505,BP$3,実績!$AI$6:$AI$505,"&lt;="&amp;$A261,実績!$AJ$6:$AJ$505,"&gt;"&amp;$A261,実績!$AL$6:$AL$505,"○")&gt;0,1,0))</f>
        <v>0</v>
      </c>
      <c r="BQ261" s="39" t="n">
        <f aca="false">IF(BQ$4=0,0,IF(COUNTIFS(実績!$W$6:$W$505,BQ$3,実績!$AI$6:$AI$505,"&lt;="&amp;$A261,実績!$AJ$6:$AJ$505,"&gt;"&amp;$A261,実績!$AL$6:$AL$505,"○")&gt;0,1,0))</f>
        <v>0</v>
      </c>
      <c r="BR261" s="39" t="n">
        <f aca="false">IF(BR$4=0,0,IF(COUNTIFS(実績!$W$6:$W$505,BR$3,実績!$AI$6:$AI$505,"&lt;="&amp;$A261,実績!$AJ$6:$AJ$505,"&gt;"&amp;$A261,実績!$AL$6:$AL$505,"○")&gt;0,1,0))</f>
        <v>0</v>
      </c>
      <c r="BS261" s="39" t="n">
        <f aca="false">IF(BS$4=0,0,IF(COUNTIFS(実績!$W$6:$W$505,BS$3,実績!$AI$6:$AI$505,"&lt;="&amp;$A261,実績!$AJ$6:$AJ$505,"&gt;"&amp;$A261,実績!$AL$6:$AL$505,"○")&gt;0,1,0))</f>
        <v>0</v>
      </c>
      <c r="BT261" s="39" t="n">
        <f aca="false">IF(BT$4=0,0,IF(COUNTIFS(実績!$W$6:$W$505,BT$3,実績!$AI$6:$AI$505,"&lt;="&amp;$A261,実績!$AJ$6:$AJ$505,"&gt;"&amp;$A261,実績!$AL$6:$AL$505,"○")&gt;0,1,0))</f>
        <v>0</v>
      </c>
      <c r="BU261" s="39" t="n">
        <f aca="false">IF(BU$4=0,0,IF(COUNTIFS(実績!$W$6:$W$505,BU$3,実績!$AI$6:$AI$505,"&lt;="&amp;$A261,実績!$AJ$6:$AJ$505,"&gt;"&amp;$A261,実績!$AL$6:$AL$505,"○")&gt;0,1,0))</f>
        <v>0</v>
      </c>
      <c r="BV261" s="39" t="n">
        <f aca="false">IF(BV$4=0,0,IF(COUNTIFS(実績!$W$6:$W$505,BV$3,実績!$AI$6:$AI$505,"&lt;="&amp;$A261,実績!$AJ$6:$AJ$505,"&gt;"&amp;$A261,実績!$AL$6:$AL$505,"○")&gt;0,1,0))</f>
        <v>0</v>
      </c>
      <c r="BW261" s="39" t="n">
        <f aca="false">IF(BW$4=0,0,IF(COUNTIFS(実績!$W$6:$W$505,BW$3,実績!$AI$6:$AI$505,"&lt;="&amp;$A261,実績!$AJ$6:$AJ$505,"&gt;"&amp;$A261,実績!$AL$6:$AL$505,"○")&gt;0,1,0))</f>
        <v>0</v>
      </c>
      <c r="BX261" s="39" t="n">
        <f aca="false">IF(BX$4=0,0,IF(COUNTIFS(実績!$W$6:$W$505,BX$3,実績!$AI$6:$AI$505,"&lt;="&amp;$A261,実績!$AJ$6:$AJ$505,"&gt;"&amp;$A261,実績!$AL$6:$AL$505,"○")&gt;0,1,0))</f>
        <v>0</v>
      </c>
      <c r="BY261" s="39" t="n">
        <f aca="false">IF(BY$4=0,0,IF(COUNTIFS(実績!$W$6:$W$505,BY$3,実績!$AI$6:$AI$505,"&lt;="&amp;$A261,実績!$AJ$6:$AJ$505,"&gt;"&amp;$A261,実績!$AL$6:$AL$505,"○")&gt;0,1,0))</f>
        <v>0</v>
      </c>
      <c r="BZ261" s="39" t="n">
        <f aca="false">IF(BZ$4=0,0,IF(COUNTIFS(実績!$W$6:$W$505,BZ$3,実績!$AI$6:$AI$505,"&lt;="&amp;$A261,実績!$AJ$6:$AJ$505,"&gt;"&amp;$A261,実績!$AL$6:$AL$505,"○")&gt;0,1,0))</f>
        <v>0</v>
      </c>
      <c r="CA261" s="39" t="n">
        <f aca="false">IF(CA$4=0,0,IF(COUNTIFS(実績!$W$6:$W$505,CA$3,実績!$AI$6:$AI$505,"&lt;="&amp;$A261,実績!$AJ$6:$AJ$505,"&gt;"&amp;$A261,実績!$AL$6:$AL$505,"○")&gt;0,1,0))</f>
        <v>0</v>
      </c>
      <c r="CB261" s="39" t="n">
        <f aca="false">IF(CB$4=0,0,IF(COUNTIFS(実績!$W$6:$W$505,CB$3,実績!$AI$6:$AI$505,"&lt;="&amp;$A261,実績!$AJ$6:$AJ$505,"&gt;"&amp;$A261,実績!$AL$6:$AL$505,"○")&gt;0,1,0))</f>
        <v>0</v>
      </c>
      <c r="CC261" s="39" t="n">
        <f aca="false">IF(CC$4=0,0,IF(COUNTIFS(実績!$W$6:$W$505,CC$3,実績!$AI$6:$AI$505,"&lt;="&amp;$A261,実績!$AJ$6:$AJ$505,"&gt;"&amp;$A261,実績!$AL$6:$AL$505,"○")&gt;0,1,0))</f>
        <v>0</v>
      </c>
      <c r="CD261" s="39" t="n">
        <f aca="false">IF(CD$4=0,0,IF(COUNTIFS(実績!$W$6:$W$505,CD$3,実績!$AI$6:$AI$505,"&lt;="&amp;$A261,実績!$AJ$6:$AJ$505,"&gt;"&amp;$A261,実績!$AL$6:$AL$505,"○")&gt;0,1,0))</f>
        <v>0</v>
      </c>
      <c r="CE261" s="39" t="n">
        <f aca="false">IF(CE$4=0,0,IF(COUNTIFS(実績!$W$6:$W$505,CE$3,実績!$AI$6:$AI$505,"&lt;="&amp;$A261,実績!$AJ$6:$AJ$505,"&gt;"&amp;$A261,実績!$AL$6:$AL$505,"○")&gt;0,1,0))</f>
        <v>0</v>
      </c>
      <c r="CF261" s="39" t="n">
        <f aca="false">IF(CF$4=0,0,IF(COUNTIFS(実績!$W$6:$W$505,CF$3,実績!$AI$6:$AI$505,"&lt;="&amp;$A261,実績!$AJ$6:$AJ$505,"&gt;"&amp;$A261,実績!$AL$6:$AL$505,"○")&gt;0,1,0))</f>
        <v>0</v>
      </c>
      <c r="CG261" s="39" t="n">
        <f aca="false">IF(CG$4=0,0,IF(COUNTIFS(実績!$W$6:$W$505,CG$3,実績!$AI$6:$AI$505,"&lt;="&amp;$A261,実績!$AJ$6:$AJ$505,"&gt;"&amp;$A261,実績!$AL$6:$AL$505,"○")&gt;0,1,0))</f>
        <v>0</v>
      </c>
      <c r="CH261" s="39" t="n">
        <f aca="false">IF(CH$4=0,0,IF(COUNTIFS(実績!$W$6:$W$505,CH$3,実績!$AI$6:$AI$505,"&lt;="&amp;$A261,実績!$AJ$6:$AJ$505,"&gt;"&amp;$A261,実績!$AL$6:$AL$505,"○")&gt;0,1,0))</f>
        <v>0</v>
      </c>
      <c r="CI261" s="39" t="n">
        <f aca="false">IF(CI$4=0,0,IF(COUNTIFS(実績!$W$6:$W$505,CI$3,実績!$AI$6:$AI$505,"&lt;="&amp;$A261,実績!$AJ$6:$AJ$505,"&gt;"&amp;$A261,実績!$AL$6:$AL$505,"○")&gt;0,1,0))</f>
        <v>0</v>
      </c>
      <c r="CJ261" s="39" t="n">
        <f aca="false">IF(CJ$4=0,0,IF(COUNTIFS(実績!$W$6:$W$505,CJ$3,実績!$AI$6:$AI$505,"&lt;="&amp;$A261,実績!$AJ$6:$AJ$505,"&gt;"&amp;$A261,実績!$AL$6:$AL$505,"○")&gt;0,1,0))</f>
        <v>0</v>
      </c>
      <c r="CK261" s="39" t="n">
        <f aca="false">IF(CK$4=0,0,IF(COUNTIFS(実績!$W$6:$W$505,CK$3,実績!$AI$6:$AI$505,"&lt;="&amp;$A261,実績!$AJ$6:$AJ$505,"&gt;"&amp;$A261,実績!$AL$6:$AL$505,"○")&gt;0,1,0))</f>
        <v>0</v>
      </c>
      <c r="CL261" s="39" t="n">
        <f aca="false">IF(CL$4=0,0,IF(COUNTIFS(実績!$W$6:$W$505,CL$3,実績!$AI$6:$AI$505,"&lt;="&amp;$A261,実績!$AJ$6:$AJ$505,"&gt;"&amp;$A261,実績!$AL$6:$AL$505,"○")&gt;0,1,0))</f>
        <v>0</v>
      </c>
      <c r="CM261" s="39" t="n">
        <f aca="false">IF(CM$4=0,0,IF(COUNTIFS(実績!$W$6:$W$505,CM$3,実績!$AI$6:$AI$505,"&lt;="&amp;$A261,実績!$AJ$6:$AJ$505,"&gt;"&amp;$A261,実績!$AL$6:$AL$505,"○")&gt;0,1,0))</f>
        <v>0</v>
      </c>
      <c r="CN261" s="39" t="n">
        <f aca="false">IF(CN$4=0,0,IF(COUNTIFS(実績!$W$6:$W$505,CN$3,実績!$AI$6:$AI$505,"&lt;="&amp;$A261,実績!$AJ$6:$AJ$505,"&gt;"&amp;$A261,実績!$AL$6:$AL$505,"○")&gt;0,1,0))</f>
        <v>0</v>
      </c>
      <c r="CO261" s="39" t="n">
        <f aca="false">IF(CO$4=0,0,IF(COUNTIFS(実績!$W$6:$W$505,CO$3,実績!$AI$6:$AI$505,"&lt;="&amp;$A261,実績!$AJ$6:$AJ$505,"&gt;"&amp;$A261,実績!$AL$6:$AL$505,"○")&gt;0,1,0))</f>
        <v>0</v>
      </c>
      <c r="CP261" s="39" t="n">
        <f aca="false">IF(CP$4=0,0,IF(COUNTIFS(実績!$W$6:$W$505,CP$3,実績!$AI$6:$AI$505,"&lt;="&amp;$A261,実績!$AJ$6:$AJ$505,"&gt;"&amp;$A261,実績!$AL$6:$AL$505,"○")&gt;0,1,0))</f>
        <v>0</v>
      </c>
      <c r="CQ261" s="39" t="n">
        <f aca="false">IF(CQ$4=0,0,IF(COUNTIFS(実績!$W$6:$W$505,CQ$3,実績!$AI$6:$AI$505,"&lt;="&amp;$A261,実績!$AJ$6:$AJ$505,"&gt;"&amp;$A261,実績!$AL$6:$AL$505,"○")&gt;0,1,0))</f>
        <v>0</v>
      </c>
      <c r="CR261" s="39" t="n">
        <f aca="false">IF(CR$4=0,0,IF(COUNTIFS(実績!$W$6:$W$505,CR$3,実績!$AI$6:$AI$505,"&lt;="&amp;$A261,実績!$AJ$6:$AJ$505,"&gt;"&amp;$A261,実績!$AL$6:$AL$505,"○")&gt;0,1,0))</f>
        <v>0</v>
      </c>
      <c r="CS261" s="39" t="n">
        <f aca="false">IF(CS$4=0,0,IF(COUNTIFS(実績!$W$6:$W$505,CS$3,実績!$AI$6:$AI$505,"&lt;="&amp;$A261,実績!$AJ$6:$AJ$505,"&gt;"&amp;$A261,実績!$AL$6:$AL$505,"○")&gt;0,1,0))</f>
        <v>0</v>
      </c>
      <c r="CT261" s="39" t="n">
        <f aca="false">IF(CT$4=0,0,IF(COUNTIFS(実績!$W$6:$W$505,CT$3,実績!$AI$6:$AI$505,"&lt;="&amp;$A261,実績!$AJ$6:$AJ$505,"&gt;"&amp;$A261,実績!$AL$6:$AL$505,"○")&gt;0,1,0))</f>
        <v>0</v>
      </c>
      <c r="CU261" s="39" t="n">
        <f aca="false">IF(CU$4=0,0,IF(COUNTIFS(実績!$W$6:$W$505,CU$3,実績!$AI$6:$AI$505,"&lt;="&amp;$A261,実績!$AJ$6:$AJ$505,"&gt;"&amp;$A261,実績!$AL$6:$AL$505,"○")&gt;0,1,0))</f>
        <v>0</v>
      </c>
      <c r="CV261" s="39" t="n">
        <f aca="false">IF(CV$4=0,0,IF(COUNTIFS(実績!$W$6:$W$505,CV$3,実績!$AI$6:$AI$505,"&lt;="&amp;$A261,実績!$AJ$6:$AJ$505,"&gt;"&amp;$A261,実績!$AL$6:$AL$505,"○")&gt;0,1,0))</f>
        <v>0</v>
      </c>
      <c r="CW261" s="39" t="n">
        <f aca="false">IF(CW$4=0,0,IF(COUNTIFS(実績!$W$6:$W$505,CW$3,実績!$AI$6:$AI$505,"&lt;="&amp;$A261,実績!$AJ$6:$AJ$505,"&gt;"&amp;$A261,実績!$AL$6:$AL$505,"○")&gt;0,1,0))</f>
        <v>0</v>
      </c>
      <c r="CX261" s="39" t="n">
        <f aca="false">IF(CX$4=0,0,IF(COUNTIFS(実績!$W$6:$W$505,CX$3,実績!$AI$6:$AI$505,"&lt;="&amp;$A261,実績!$AJ$6:$AJ$505,"&gt;"&amp;$A261,実績!$AL$6:$AL$505,"○")&gt;0,1,0))</f>
        <v>0</v>
      </c>
      <c r="CY261" s="39" t="n">
        <f aca="false">IF(CY$4=0,0,IF(COUNTIFS(実績!$W$6:$W$505,CY$3,実績!$AI$6:$AI$505,"&lt;="&amp;$A261,実績!$AJ$6:$AJ$505,"&gt;"&amp;$A261,実績!$AL$6:$AL$505,"○")&gt;0,1,0))</f>
        <v>0</v>
      </c>
      <c r="CZ261" s="39" t="n">
        <f aca="false">IF(CZ$4=0,0,IF(COUNTIFS(実績!$W$6:$W$505,CZ$3,実績!$AI$6:$AI$505,"&lt;="&amp;$A261,実績!$AJ$6:$AJ$505,"&gt;"&amp;$A261,実績!$AL$6:$AL$505,"○")&gt;0,1,0))</f>
        <v>0</v>
      </c>
      <c r="DA261" s="39" t="n">
        <f aca="false">IF(DA$4=0,0,IF(COUNTIFS(実績!$W$6:$W$505,DA$3,実績!$AI$6:$AI$505,"&lt;="&amp;$A261,実績!$AJ$6:$AJ$505,"&gt;"&amp;$A261,実績!$AL$6:$AL$505,"○")&gt;0,1,0))</f>
        <v>0</v>
      </c>
      <c r="DB261" s="39" t="n">
        <f aca="false">IF(DB$4=0,0,IF(COUNTIFS(実績!$W$6:$W$505,DB$3,実績!$AI$6:$AI$505,"&lt;="&amp;$A261,実績!$AJ$6:$AJ$505,"&gt;"&amp;$A261,実績!$AL$6:$AL$505,"○")&gt;0,1,0))</f>
        <v>0</v>
      </c>
      <c r="DC261" s="39" t="n">
        <f aca="false">IF(DC$4=0,0,IF(COUNTIFS(実績!$W$6:$W$505,DC$3,実績!$AI$6:$AI$505,"&lt;="&amp;$A261,実績!$AJ$6:$AJ$505,"&gt;"&amp;$A261,実績!$AL$6:$AL$505,"○")&gt;0,1,0))</f>
        <v>0</v>
      </c>
      <c r="DD261" s="39" t="n">
        <f aca="false">IF(DD$4=0,0,IF(COUNTIFS(実績!$W$6:$W$505,DD$3,実績!$AI$6:$AI$505,"&lt;="&amp;$A261,実績!$AJ$6:$AJ$505,"&gt;"&amp;$A261,実績!$AL$6:$AL$505,"○")&gt;0,1,0))</f>
        <v>0</v>
      </c>
      <c r="DE261" s="39" t="n">
        <f aca="false">IF(DE$4=0,0,IF(COUNTIFS(実績!$W$6:$W$505,DE$3,実績!$AI$6:$AI$505,"&lt;="&amp;$A261,実績!$AJ$6:$AJ$505,"&gt;"&amp;$A261,実績!$AL$6:$AL$505,"○")&gt;0,1,0))</f>
        <v>0</v>
      </c>
      <c r="DF261" s="39" t="n">
        <f aca="false">IF(DF$4=0,0,IF(COUNTIFS(実績!$W$6:$W$505,DF$3,実績!$AI$6:$AI$505,"&lt;="&amp;$A261,実績!$AJ$6:$AJ$505,"&gt;"&amp;$A261,実績!$AL$6:$AL$505,"○")&gt;0,1,0))</f>
        <v>0</v>
      </c>
      <c r="DG261" s="39" t="n">
        <f aca="false">IF(DG$4=0,0,IF(COUNTIFS(実績!$W$6:$W$505,DG$3,実績!$AI$6:$AI$505,"&lt;="&amp;$A261,実績!$AJ$6:$AJ$505,"&gt;"&amp;$A261,実績!$AL$6:$AL$505,"○")&gt;0,1,0))</f>
        <v>0</v>
      </c>
      <c r="DH261" s="39" t="n">
        <f aca="false">IF(DH$4=0,0,IF(COUNTIFS(実績!$W$6:$W$505,DH$3,実績!$AI$6:$AI$505,"&lt;="&amp;$A261,実績!$AJ$6:$AJ$505,"&gt;"&amp;$A261,実績!$AL$6:$AL$505,"○")&gt;0,1,0))</f>
        <v>0</v>
      </c>
      <c r="DI261" s="39" t="n">
        <f aca="false">IF(DI$4=0,0,IF(COUNTIFS(実績!$W$6:$W$505,DI$3,実績!$AI$6:$AI$505,"&lt;="&amp;$A261,実績!$AJ$6:$AJ$505,"&gt;"&amp;$A261,実績!$AL$6:$AL$505,"○")&gt;0,1,0))</f>
        <v>0</v>
      </c>
      <c r="DJ261" s="39" t="n">
        <f aca="false">IF(DJ$4=0,0,IF(COUNTIFS(実績!$W$6:$W$505,DJ$3,実績!$AI$6:$AI$505,"&lt;="&amp;$A261,実績!$AJ$6:$AJ$505,"&gt;"&amp;$A261,実績!$AL$6:$AL$505,"○")&gt;0,1,0))</f>
        <v>0</v>
      </c>
      <c r="DK261" s="39" t="n">
        <f aca="false">IF(DK$4=0,0,IF(COUNTIFS(実績!$W$6:$W$505,DK$3,実績!$AI$6:$AI$505,"&lt;="&amp;$A261,実績!$AJ$6:$AJ$505,"&gt;"&amp;$A261,実績!$AL$6:$AL$505,"○")&gt;0,1,0))</f>
        <v>0</v>
      </c>
      <c r="DL261" s="39" t="n">
        <f aca="false">IF(DL$4=0,0,IF(COUNTIFS(実績!$W$6:$W$505,DL$3,実績!$AI$6:$AI$505,"&lt;="&amp;$A261,実績!$AJ$6:$AJ$505,"&gt;"&amp;$A261,実績!$AL$6:$AL$505,"○")&gt;0,1,0))</f>
        <v>0</v>
      </c>
      <c r="DM261" s="39" t="n">
        <f aca="false">IF(DM$4=0,0,IF(COUNTIFS(実績!$W$6:$W$505,DM$3,実績!$AI$6:$AI$505,"&lt;="&amp;$A261,実績!$AJ$6:$AJ$505,"&gt;"&amp;$A261,実績!$AL$6:$AL$505,"○")&gt;0,1,0))</f>
        <v>0</v>
      </c>
      <c r="DN261" s="39" t="n">
        <f aca="false">IF(DN$4=0,0,IF(COUNTIFS(実績!$W$6:$W$505,DN$3,実績!$AI$6:$AI$505,"&lt;="&amp;$A261,実績!$AJ$6:$AJ$505,"&gt;"&amp;$A261,実績!$AL$6:$AL$505,"○")&gt;0,1,0))</f>
        <v>0</v>
      </c>
      <c r="DO261" s="39" t="n">
        <f aca="false">IF(DO$4=0,0,IF(COUNTIFS(実績!$W$6:$W$505,DO$3,実績!$AI$6:$AI$505,"&lt;="&amp;$A261,実績!$AJ$6:$AJ$505,"&gt;"&amp;$A261,実績!$AL$6:$AL$505,"○")&gt;0,1,0))</f>
        <v>0</v>
      </c>
      <c r="DP261" s="39" t="n">
        <f aca="false">IF(DP$4=0,0,IF(COUNTIFS(実績!$W$6:$W$505,DP$3,実績!$AI$6:$AI$505,"&lt;="&amp;$A261,実績!$AJ$6:$AJ$505,"&gt;"&amp;$A261,実績!$AL$6:$AL$505,"○")&gt;0,1,0))</f>
        <v>0</v>
      </c>
      <c r="DQ261" s="39" t="n">
        <f aca="false">IF(DQ$4=0,0,IF(COUNTIFS(実績!$W$6:$W$505,DQ$3,実績!$AI$6:$AI$505,"&lt;="&amp;$A261,実績!$AJ$6:$AJ$505,"&gt;"&amp;$A261,実績!$AL$6:$AL$505,"○")&gt;0,1,0))</f>
        <v>0</v>
      </c>
      <c r="DR261" s="39" t="n">
        <f aca="false">IF(DR$4=0,0,IF(COUNTIFS(実績!$W$6:$W$505,DR$3,実績!$AI$6:$AI$505,"&lt;="&amp;$A261,実績!$AJ$6:$AJ$505,"&gt;"&amp;$A261,実績!$AL$6:$AL$505,"○")&gt;0,1,0))</f>
        <v>0</v>
      </c>
      <c r="DS261" s="39" t="n">
        <f aca="false">SUM(C261:DR261)</f>
        <v>0</v>
      </c>
    </row>
    <row r="262" customFormat="false" ht="15" hidden="false" customHeight="false" outlineLevel="0" collapsed="false">
      <c r="A262" s="0" t="n">
        <v>1280</v>
      </c>
      <c r="B262" s="38" t="n">
        <f aca="false">A262/1440</f>
        <v>0.888888888888889</v>
      </c>
      <c r="C262" s="39" t="n">
        <f aca="false">IF(C$4=0,0,IF(COUNTIFS(実績!$W$6:$W$505,C$3,実績!$AI$6:$AI$505,"&lt;="&amp;$A262,実績!$AJ$6:$AJ$505,"&gt;"&amp;$A262,実績!$AL$6:$AL$505,"○")&gt;0,1,0))</f>
        <v>0</v>
      </c>
      <c r="D262" s="39" t="n">
        <f aca="false">IF(D$4=0,0,IF(COUNTIFS(実績!$W$6:$W$505,D$3,実績!$AI$6:$AI$505,"&lt;="&amp;$A262,実績!$AJ$6:$AJ$505,"&gt;"&amp;$A262,実績!$AL$6:$AL$505,"○")&gt;0,1,0))</f>
        <v>0</v>
      </c>
      <c r="E262" s="39" t="n">
        <f aca="false">IF(E$4=0,0,IF(COUNTIFS(実績!$W$6:$W$505,E$3,実績!$AI$6:$AI$505,"&lt;="&amp;$A262,実績!$AJ$6:$AJ$505,"&gt;"&amp;$A262,実績!$AL$6:$AL$505,"○")&gt;0,1,0))</f>
        <v>0</v>
      </c>
      <c r="F262" s="39" t="n">
        <f aca="false">IF(F$4=0,0,IF(COUNTIFS(実績!$W$6:$W$505,F$3,実績!$AI$6:$AI$505,"&lt;="&amp;$A262,実績!$AJ$6:$AJ$505,"&gt;"&amp;$A262,実績!$AL$6:$AL$505,"○")&gt;0,1,0))</f>
        <v>0</v>
      </c>
      <c r="G262" s="39" t="n">
        <f aca="false">IF(G$4=0,0,IF(COUNTIFS(実績!$W$6:$W$505,G$3,実績!$AI$6:$AI$505,"&lt;="&amp;$A262,実績!$AJ$6:$AJ$505,"&gt;"&amp;$A262,実績!$AL$6:$AL$505,"○")&gt;0,1,0))</f>
        <v>0</v>
      </c>
      <c r="H262" s="39" t="n">
        <f aca="false">IF(H$4=0,0,IF(COUNTIFS(実績!$W$6:$W$505,H$3,実績!$AI$6:$AI$505,"&lt;="&amp;$A262,実績!$AJ$6:$AJ$505,"&gt;"&amp;$A262,実績!$AL$6:$AL$505,"○")&gt;0,1,0))</f>
        <v>0</v>
      </c>
      <c r="I262" s="39" t="n">
        <f aca="false">IF(I$4=0,0,IF(COUNTIFS(実績!$W$6:$W$505,I$3,実績!$AI$6:$AI$505,"&lt;="&amp;$A262,実績!$AJ$6:$AJ$505,"&gt;"&amp;$A262,実績!$AL$6:$AL$505,"○")&gt;0,1,0))</f>
        <v>0</v>
      </c>
      <c r="J262" s="39" t="n">
        <f aca="false">IF(J$4=0,0,IF(COUNTIFS(実績!$W$6:$W$505,J$3,実績!$AI$6:$AI$505,"&lt;="&amp;$A262,実績!$AJ$6:$AJ$505,"&gt;"&amp;$A262,実績!$AL$6:$AL$505,"○")&gt;0,1,0))</f>
        <v>0</v>
      </c>
      <c r="K262" s="39" t="n">
        <f aca="false">IF(K$4=0,0,IF(COUNTIFS(実績!$W$6:$W$505,K$3,実績!$AI$6:$AI$505,"&lt;="&amp;$A262,実績!$AJ$6:$AJ$505,"&gt;"&amp;$A262,実績!$AL$6:$AL$505,"○")&gt;0,1,0))</f>
        <v>0</v>
      </c>
      <c r="L262" s="39" t="n">
        <f aca="false">IF(L$4=0,0,IF(COUNTIFS(実績!$W$6:$W$505,L$3,実績!$AI$6:$AI$505,"&lt;="&amp;$A262,実績!$AJ$6:$AJ$505,"&gt;"&amp;$A262,実績!$AL$6:$AL$505,"○")&gt;0,1,0))</f>
        <v>0</v>
      </c>
      <c r="M262" s="39" t="n">
        <f aca="false">IF(M$4=0,0,IF(COUNTIFS(実績!$W$6:$W$505,M$3,実績!$AI$6:$AI$505,"&lt;="&amp;$A262,実績!$AJ$6:$AJ$505,"&gt;"&amp;$A262,実績!$AL$6:$AL$505,"○")&gt;0,1,0))</f>
        <v>0</v>
      </c>
      <c r="N262" s="39" t="n">
        <f aca="false">IF(N$4=0,0,IF(COUNTIFS(実績!$W$6:$W$505,N$3,実績!$AI$6:$AI$505,"&lt;="&amp;$A262,実績!$AJ$6:$AJ$505,"&gt;"&amp;$A262,実績!$AL$6:$AL$505,"○")&gt;0,1,0))</f>
        <v>0</v>
      </c>
      <c r="O262" s="39" t="n">
        <f aca="false">IF(O$4=0,0,IF(COUNTIFS(実績!$W$6:$W$505,O$3,実績!$AI$6:$AI$505,"&lt;="&amp;$A262,実績!$AJ$6:$AJ$505,"&gt;"&amp;$A262,実績!$AL$6:$AL$505,"○")&gt;0,1,0))</f>
        <v>0</v>
      </c>
      <c r="P262" s="39" t="n">
        <f aca="false">IF(P$4=0,0,IF(COUNTIFS(実績!$W$6:$W$505,P$3,実績!$AI$6:$AI$505,"&lt;="&amp;$A262,実績!$AJ$6:$AJ$505,"&gt;"&amp;$A262,実績!$AL$6:$AL$505,"○")&gt;0,1,0))</f>
        <v>0</v>
      </c>
      <c r="Q262" s="39" t="n">
        <f aca="false">IF(Q$4=0,0,IF(COUNTIFS(実績!$W$6:$W$505,Q$3,実績!$AI$6:$AI$505,"&lt;="&amp;$A262,実績!$AJ$6:$AJ$505,"&gt;"&amp;$A262,実績!$AL$6:$AL$505,"○")&gt;0,1,0))</f>
        <v>0</v>
      </c>
      <c r="R262" s="39" t="n">
        <f aca="false">IF(R$4=0,0,IF(COUNTIFS(実績!$W$6:$W$505,R$3,実績!$AI$6:$AI$505,"&lt;="&amp;$A262,実績!$AJ$6:$AJ$505,"&gt;"&amp;$A262,実績!$AL$6:$AL$505,"○")&gt;0,1,0))</f>
        <v>0</v>
      </c>
      <c r="S262" s="39" t="n">
        <f aca="false">IF(S$4=0,0,IF(COUNTIFS(実績!$W$6:$W$505,S$3,実績!$AI$6:$AI$505,"&lt;="&amp;$A262,実績!$AJ$6:$AJ$505,"&gt;"&amp;$A262,実績!$AL$6:$AL$505,"○")&gt;0,1,0))</f>
        <v>0</v>
      </c>
      <c r="T262" s="39" t="n">
        <f aca="false">IF(T$4=0,0,IF(COUNTIFS(実績!$W$6:$W$505,T$3,実績!$AI$6:$AI$505,"&lt;="&amp;$A262,実績!$AJ$6:$AJ$505,"&gt;"&amp;$A262,実績!$AL$6:$AL$505,"○")&gt;0,1,0))</f>
        <v>0</v>
      </c>
      <c r="U262" s="39" t="n">
        <f aca="false">IF(U$4=0,0,IF(COUNTIFS(実績!$W$6:$W$505,U$3,実績!$AI$6:$AI$505,"&lt;="&amp;$A262,実績!$AJ$6:$AJ$505,"&gt;"&amp;$A262,実績!$AL$6:$AL$505,"○")&gt;0,1,0))</f>
        <v>0</v>
      </c>
      <c r="V262" s="39" t="n">
        <f aca="false">IF(V$4=0,0,IF(COUNTIFS(実績!$W$6:$W$505,V$3,実績!$AI$6:$AI$505,"&lt;="&amp;$A262,実績!$AJ$6:$AJ$505,"&gt;"&amp;$A262,実績!$AL$6:$AL$505,"○")&gt;0,1,0))</f>
        <v>0</v>
      </c>
      <c r="W262" s="39" t="n">
        <f aca="false">IF(W$4=0,0,IF(COUNTIFS(実績!$W$6:$W$505,W$3,実績!$AI$6:$AI$505,"&lt;="&amp;$A262,実績!$AJ$6:$AJ$505,"&gt;"&amp;$A262,実績!$AL$6:$AL$505,"○")&gt;0,1,0))</f>
        <v>0</v>
      </c>
      <c r="X262" s="39" t="n">
        <f aca="false">IF(X$4=0,0,IF(COUNTIFS(実績!$W$6:$W$505,X$3,実績!$AI$6:$AI$505,"&lt;="&amp;$A262,実績!$AJ$6:$AJ$505,"&gt;"&amp;$A262,実績!$AL$6:$AL$505,"○")&gt;0,1,0))</f>
        <v>0</v>
      </c>
      <c r="Y262" s="39" t="n">
        <f aca="false">IF(Y$4=0,0,IF(COUNTIFS(実績!$W$6:$W$505,Y$3,実績!$AI$6:$AI$505,"&lt;="&amp;$A262,実績!$AJ$6:$AJ$505,"&gt;"&amp;$A262,実績!$AL$6:$AL$505,"○")&gt;0,1,0))</f>
        <v>0</v>
      </c>
      <c r="Z262" s="39" t="n">
        <f aca="false">IF(Z$4=0,0,IF(COUNTIFS(実績!$W$6:$W$505,Z$3,実績!$AI$6:$AI$505,"&lt;="&amp;$A262,実績!$AJ$6:$AJ$505,"&gt;"&amp;$A262,実績!$AL$6:$AL$505,"○")&gt;0,1,0))</f>
        <v>0</v>
      </c>
      <c r="AA262" s="39" t="n">
        <f aca="false">IF(AA$4=0,0,IF(COUNTIFS(実績!$W$6:$W$505,AA$3,実績!$AI$6:$AI$505,"&lt;="&amp;$A262,実績!$AJ$6:$AJ$505,"&gt;"&amp;$A262,実績!$AL$6:$AL$505,"○")&gt;0,1,0))</f>
        <v>0</v>
      </c>
      <c r="AB262" s="39" t="n">
        <f aca="false">IF(AB$4=0,0,IF(COUNTIFS(実績!$W$6:$W$505,AB$3,実績!$AI$6:$AI$505,"&lt;="&amp;$A262,実績!$AJ$6:$AJ$505,"&gt;"&amp;$A262,実績!$AL$6:$AL$505,"○")&gt;0,1,0))</f>
        <v>0</v>
      </c>
      <c r="AC262" s="39" t="n">
        <f aca="false">IF(AC$4=0,0,IF(COUNTIFS(実績!$W$6:$W$505,AC$3,実績!$AI$6:$AI$505,"&lt;="&amp;$A262,実績!$AJ$6:$AJ$505,"&gt;"&amp;$A262,実績!$AL$6:$AL$505,"○")&gt;0,1,0))</f>
        <v>0</v>
      </c>
      <c r="AD262" s="39" t="n">
        <f aca="false">IF(AD$4=0,0,IF(COUNTIFS(実績!$W$6:$W$505,AD$3,実績!$AI$6:$AI$505,"&lt;="&amp;$A262,実績!$AJ$6:$AJ$505,"&gt;"&amp;$A262,実績!$AL$6:$AL$505,"○")&gt;0,1,0))</f>
        <v>0</v>
      </c>
      <c r="AE262" s="39" t="n">
        <f aca="false">IF(AE$4=0,0,IF(COUNTIFS(実績!$W$6:$W$505,AE$3,実績!$AI$6:$AI$505,"&lt;="&amp;$A262,実績!$AJ$6:$AJ$505,"&gt;"&amp;$A262,実績!$AL$6:$AL$505,"○")&gt;0,1,0))</f>
        <v>0</v>
      </c>
      <c r="AF262" s="39" t="n">
        <f aca="false">IF(AF$4=0,0,IF(COUNTIFS(実績!$W$6:$W$505,AF$3,実績!$AI$6:$AI$505,"&lt;="&amp;$A262,実績!$AJ$6:$AJ$505,"&gt;"&amp;$A262,実績!$AL$6:$AL$505,"○")&gt;0,1,0))</f>
        <v>0</v>
      </c>
      <c r="AG262" s="39" t="n">
        <f aca="false">IF(AG$4=0,0,IF(COUNTIFS(実績!$W$6:$W$505,AG$3,実績!$AI$6:$AI$505,"&lt;="&amp;$A262,実績!$AJ$6:$AJ$505,"&gt;"&amp;$A262,実績!$AL$6:$AL$505,"○")&gt;0,1,0))</f>
        <v>0</v>
      </c>
      <c r="AH262" s="39" t="n">
        <f aca="false">IF(AH$4=0,0,IF(COUNTIFS(実績!$W$6:$W$505,AH$3,実績!$AI$6:$AI$505,"&lt;="&amp;$A262,実績!$AJ$6:$AJ$505,"&gt;"&amp;$A262,実績!$AL$6:$AL$505,"○")&gt;0,1,0))</f>
        <v>0</v>
      </c>
      <c r="AI262" s="39" t="n">
        <f aca="false">IF(AI$4=0,0,IF(COUNTIFS(実績!$W$6:$W$505,AI$3,実績!$AI$6:$AI$505,"&lt;="&amp;$A262,実績!$AJ$6:$AJ$505,"&gt;"&amp;$A262,実績!$AL$6:$AL$505,"○")&gt;0,1,0))</f>
        <v>0</v>
      </c>
      <c r="AJ262" s="39" t="n">
        <f aca="false">IF(AJ$4=0,0,IF(COUNTIFS(実績!$W$6:$W$505,AJ$3,実績!$AI$6:$AI$505,"&lt;="&amp;$A262,実績!$AJ$6:$AJ$505,"&gt;"&amp;$A262,実績!$AL$6:$AL$505,"○")&gt;0,1,0))</f>
        <v>0</v>
      </c>
      <c r="AK262" s="39" t="n">
        <f aca="false">IF(AK$4=0,0,IF(COUNTIFS(実績!$W$6:$W$505,AK$3,実績!$AI$6:$AI$505,"&lt;="&amp;$A262,実績!$AJ$6:$AJ$505,"&gt;"&amp;$A262,実績!$AL$6:$AL$505,"○")&gt;0,1,0))</f>
        <v>0</v>
      </c>
      <c r="AL262" s="39" t="n">
        <f aca="false">IF(AL$4=0,0,IF(COUNTIFS(実績!$W$6:$W$505,AL$3,実績!$AI$6:$AI$505,"&lt;="&amp;$A262,実績!$AJ$6:$AJ$505,"&gt;"&amp;$A262,実績!$AL$6:$AL$505,"○")&gt;0,1,0))</f>
        <v>0</v>
      </c>
      <c r="AM262" s="39" t="n">
        <f aca="false">IF(AM$4=0,0,IF(COUNTIFS(実績!$W$6:$W$505,AM$3,実績!$AI$6:$AI$505,"&lt;="&amp;$A262,実績!$AJ$6:$AJ$505,"&gt;"&amp;$A262,実績!$AL$6:$AL$505,"○")&gt;0,1,0))</f>
        <v>0</v>
      </c>
      <c r="AN262" s="39" t="n">
        <f aca="false">IF(AN$4=0,0,IF(COUNTIFS(実績!$W$6:$W$505,AN$3,実績!$AI$6:$AI$505,"&lt;="&amp;$A262,実績!$AJ$6:$AJ$505,"&gt;"&amp;$A262,実績!$AL$6:$AL$505,"○")&gt;0,1,0))</f>
        <v>0</v>
      </c>
      <c r="AO262" s="39" t="n">
        <f aca="false">IF(AO$4=0,0,IF(COUNTIFS(実績!$W$6:$W$505,AO$3,実績!$AI$6:$AI$505,"&lt;="&amp;$A262,実績!$AJ$6:$AJ$505,"&gt;"&amp;$A262,実績!$AL$6:$AL$505,"○")&gt;0,1,0))</f>
        <v>0</v>
      </c>
      <c r="AP262" s="39" t="n">
        <f aca="false">IF(AP$4=0,0,IF(COUNTIFS(実績!$W$6:$W$505,AP$3,実績!$AI$6:$AI$505,"&lt;="&amp;$A262,実績!$AJ$6:$AJ$505,"&gt;"&amp;$A262,実績!$AL$6:$AL$505,"○")&gt;0,1,0))</f>
        <v>0</v>
      </c>
      <c r="AQ262" s="39" t="n">
        <f aca="false">IF(AQ$4=0,0,IF(COUNTIFS(実績!$W$6:$W$505,AQ$3,実績!$AI$6:$AI$505,"&lt;="&amp;$A262,実績!$AJ$6:$AJ$505,"&gt;"&amp;$A262,実績!$AL$6:$AL$505,"○")&gt;0,1,0))</f>
        <v>0</v>
      </c>
      <c r="AR262" s="39" t="n">
        <f aca="false">IF(AR$4=0,0,IF(COUNTIFS(実績!$W$6:$W$505,AR$3,実績!$AI$6:$AI$505,"&lt;="&amp;$A262,実績!$AJ$6:$AJ$505,"&gt;"&amp;$A262,実績!$AL$6:$AL$505,"○")&gt;0,1,0))</f>
        <v>0</v>
      </c>
      <c r="AS262" s="39" t="n">
        <f aca="false">IF(AS$4=0,0,IF(COUNTIFS(実績!$W$6:$W$505,AS$3,実績!$AI$6:$AI$505,"&lt;="&amp;$A262,実績!$AJ$6:$AJ$505,"&gt;"&amp;$A262,実績!$AL$6:$AL$505,"○")&gt;0,1,0))</f>
        <v>0</v>
      </c>
      <c r="AT262" s="39" t="n">
        <f aca="false">IF(AT$4=0,0,IF(COUNTIFS(実績!$W$6:$W$505,AT$3,実績!$AI$6:$AI$505,"&lt;="&amp;$A262,実績!$AJ$6:$AJ$505,"&gt;"&amp;$A262,実績!$AL$6:$AL$505,"○")&gt;0,1,0))</f>
        <v>0</v>
      </c>
      <c r="AU262" s="39" t="n">
        <f aca="false">IF(AU$4=0,0,IF(COUNTIFS(実績!$W$6:$W$505,AU$3,実績!$AI$6:$AI$505,"&lt;="&amp;$A262,実績!$AJ$6:$AJ$505,"&gt;"&amp;$A262,実績!$AL$6:$AL$505,"○")&gt;0,1,0))</f>
        <v>0</v>
      </c>
      <c r="AV262" s="39" t="n">
        <f aca="false">IF(AV$4=0,0,IF(COUNTIFS(実績!$W$6:$W$505,AV$3,実績!$AI$6:$AI$505,"&lt;="&amp;$A262,実績!$AJ$6:$AJ$505,"&gt;"&amp;$A262,実績!$AL$6:$AL$505,"○")&gt;0,1,0))</f>
        <v>0</v>
      </c>
      <c r="AW262" s="39" t="n">
        <f aca="false">IF(AW$4=0,0,IF(COUNTIFS(実績!$W$6:$W$505,AW$3,実績!$AI$6:$AI$505,"&lt;="&amp;$A262,実績!$AJ$6:$AJ$505,"&gt;"&amp;$A262,実績!$AL$6:$AL$505,"○")&gt;0,1,0))</f>
        <v>0</v>
      </c>
      <c r="AX262" s="39" t="n">
        <f aca="false">IF(AX$4=0,0,IF(COUNTIFS(実績!$W$6:$W$505,AX$3,実績!$AI$6:$AI$505,"&lt;="&amp;$A262,実績!$AJ$6:$AJ$505,"&gt;"&amp;$A262,実績!$AL$6:$AL$505,"○")&gt;0,1,0))</f>
        <v>0</v>
      </c>
      <c r="AY262" s="39" t="n">
        <f aca="false">IF(AY$4=0,0,IF(COUNTIFS(実績!$W$6:$W$505,AY$3,実績!$AI$6:$AI$505,"&lt;="&amp;$A262,実績!$AJ$6:$AJ$505,"&gt;"&amp;$A262,実績!$AL$6:$AL$505,"○")&gt;0,1,0))</f>
        <v>0</v>
      </c>
      <c r="AZ262" s="39" t="n">
        <f aca="false">IF(AZ$4=0,0,IF(COUNTIFS(実績!$W$6:$W$505,AZ$3,実績!$AI$6:$AI$505,"&lt;="&amp;$A262,実績!$AJ$6:$AJ$505,"&gt;"&amp;$A262,実績!$AL$6:$AL$505,"○")&gt;0,1,0))</f>
        <v>0</v>
      </c>
      <c r="BA262" s="39" t="n">
        <f aca="false">IF(BA$4=0,0,IF(COUNTIFS(実績!$W$6:$W$505,BA$3,実績!$AI$6:$AI$505,"&lt;="&amp;$A262,実績!$AJ$6:$AJ$505,"&gt;"&amp;$A262,実績!$AL$6:$AL$505,"○")&gt;0,1,0))</f>
        <v>0</v>
      </c>
      <c r="BB262" s="39" t="n">
        <f aca="false">IF(BB$4=0,0,IF(COUNTIFS(実績!$W$6:$W$505,BB$3,実績!$AI$6:$AI$505,"&lt;="&amp;$A262,実績!$AJ$6:$AJ$505,"&gt;"&amp;$A262,実績!$AL$6:$AL$505,"○")&gt;0,1,0))</f>
        <v>0</v>
      </c>
      <c r="BC262" s="39" t="n">
        <f aca="false">IF(BC$4=0,0,IF(COUNTIFS(実績!$W$6:$W$505,BC$3,実績!$AI$6:$AI$505,"&lt;="&amp;$A262,実績!$AJ$6:$AJ$505,"&gt;"&amp;$A262,実績!$AL$6:$AL$505,"○")&gt;0,1,0))</f>
        <v>0</v>
      </c>
      <c r="BD262" s="39" t="n">
        <f aca="false">IF(BD$4=0,0,IF(COUNTIFS(実績!$W$6:$W$505,BD$3,実績!$AI$6:$AI$505,"&lt;="&amp;$A262,実績!$AJ$6:$AJ$505,"&gt;"&amp;$A262,実績!$AL$6:$AL$505,"○")&gt;0,1,0))</f>
        <v>0</v>
      </c>
      <c r="BE262" s="39" t="n">
        <f aca="false">IF(BE$4=0,0,IF(COUNTIFS(実績!$W$6:$W$505,BE$3,実績!$AI$6:$AI$505,"&lt;="&amp;$A262,実績!$AJ$6:$AJ$505,"&gt;"&amp;$A262,実績!$AL$6:$AL$505,"○")&gt;0,1,0))</f>
        <v>0</v>
      </c>
      <c r="BF262" s="39" t="n">
        <f aca="false">IF(BF$4=0,0,IF(COUNTIFS(実績!$W$6:$W$505,BF$3,実績!$AI$6:$AI$505,"&lt;="&amp;$A262,実績!$AJ$6:$AJ$505,"&gt;"&amp;$A262,実績!$AL$6:$AL$505,"○")&gt;0,1,0))</f>
        <v>0</v>
      </c>
      <c r="BG262" s="39" t="n">
        <f aca="false">IF(BG$4=0,0,IF(COUNTIFS(実績!$W$6:$W$505,BG$3,実績!$AI$6:$AI$505,"&lt;="&amp;$A262,実績!$AJ$6:$AJ$505,"&gt;"&amp;$A262,実績!$AL$6:$AL$505,"○")&gt;0,1,0))</f>
        <v>0</v>
      </c>
      <c r="BH262" s="39" t="n">
        <f aca="false">IF(BH$4=0,0,IF(COUNTIFS(実績!$W$6:$W$505,BH$3,実績!$AI$6:$AI$505,"&lt;="&amp;$A262,実績!$AJ$6:$AJ$505,"&gt;"&amp;$A262,実績!$AL$6:$AL$505,"○")&gt;0,1,0))</f>
        <v>0</v>
      </c>
      <c r="BI262" s="39" t="n">
        <f aca="false">IF(BI$4=0,0,IF(COUNTIFS(実績!$W$6:$W$505,BI$3,実績!$AI$6:$AI$505,"&lt;="&amp;$A262,実績!$AJ$6:$AJ$505,"&gt;"&amp;$A262,実績!$AL$6:$AL$505,"○")&gt;0,1,0))</f>
        <v>0</v>
      </c>
      <c r="BJ262" s="39" t="n">
        <f aca="false">IF(BJ$4=0,0,IF(COUNTIFS(実績!$W$6:$W$505,BJ$3,実績!$AI$6:$AI$505,"&lt;="&amp;$A262,実績!$AJ$6:$AJ$505,"&gt;"&amp;$A262,実績!$AL$6:$AL$505,"○")&gt;0,1,0))</f>
        <v>0</v>
      </c>
      <c r="BK262" s="39" t="n">
        <f aca="false">IF(BK$4=0,0,IF(COUNTIFS(実績!$W$6:$W$505,BK$3,実績!$AI$6:$AI$505,"&lt;="&amp;$A262,実績!$AJ$6:$AJ$505,"&gt;"&amp;$A262,実績!$AL$6:$AL$505,"○")&gt;0,1,0))</f>
        <v>0</v>
      </c>
      <c r="BL262" s="39" t="n">
        <f aca="false">IF(BL$4=0,0,IF(COUNTIFS(実績!$W$6:$W$505,BL$3,実績!$AI$6:$AI$505,"&lt;="&amp;$A262,実績!$AJ$6:$AJ$505,"&gt;"&amp;$A262,実績!$AL$6:$AL$505,"○")&gt;0,1,0))</f>
        <v>0</v>
      </c>
      <c r="BM262" s="39" t="n">
        <f aca="false">IF(BM$4=0,0,IF(COUNTIFS(実績!$W$6:$W$505,BM$3,実績!$AI$6:$AI$505,"&lt;="&amp;$A262,実績!$AJ$6:$AJ$505,"&gt;"&amp;$A262,実績!$AL$6:$AL$505,"○")&gt;0,1,0))</f>
        <v>0</v>
      </c>
      <c r="BN262" s="39" t="n">
        <f aca="false">IF(BN$4=0,0,IF(COUNTIFS(実績!$W$6:$W$505,BN$3,実績!$AI$6:$AI$505,"&lt;="&amp;$A262,実績!$AJ$6:$AJ$505,"&gt;"&amp;$A262,実績!$AL$6:$AL$505,"○")&gt;0,1,0))</f>
        <v>0</v>
      </c>
      <c r="BO262" s="39" t="n">
        <f aca="false">IF(BO$4=0,0,IF(COUNTIFS(実績!$W$6:$W$505,BO$3,実績!$AI$6:$AI$505,"&lt;="&amp;$A262,実績!$AJ$6:$AJ$505,"&gt;"&amp;$A262,実績!$AL$6:$AL$505,"○")&gt;0,1,0))</f>
        <v>0</v>
      </c>
      <c r="BP262" s="39" t="n">
        <f aca="false">IF(BP$4=0,0,IF(COUNTIFS(実績!$W$6:$W$505,BP$3,実績!$AI$6:$AI$505,"&lt;="&amp;$A262,実績!$AJ$6:$AJ$505,"&gt;"&amp;$A262,実績!$AL$6:$AL$505,"○")&gt;0,1,0))</f>
        <v>0</v>
      </c>
      <c r="BQ262" s="39" t="n">
        <f aca="false">IF(BQ$4=0,0,IF(COUNTIFS(実績!$W$6:$W$505,BQ$3,実績!$AI$6:$AI$505,"&lt;="&amp;$A262,実績!$AJ$6:$AJ$505,"&gt;"&amp;$A262,実績!$AL$6:$AL$505,"○")&gt;0,1,0))</f>
        <v>0</v>
      </c>
      <c r="BR262" s="39" t="n">
        <f aca="false">IF(BR$4=0,0,IF(COUNTIFS(実績!$W$6:$W$505,BR$3,実績!$AI$6:$AI$505,"&lt;="&amp;$A262,実績!$AJ$6:$AJ$505,"&gt;"&amp;$A262,実績!$AL$6:$AL$505,"○")&gt;0,1,0))</f>
        <v>0</v>
      </c>
      <c r="BS262" s="39" t="n">
        <f aca="false">IF(BS$4=0,0,IF(COUNTIFS(実績!$W$6:$W$505,BS$3,実績!$AI$6:$AI$505,"&lt;="&amp;$A262,実績!$AJ$6:$AJ$505,"&gt;"&amp;$A262,実績!$AL$6:$AL$505,"○")&gt;0,1,0))</f>
        <v>0</v>
      </c>
      <c r="BT262" s="39" t="n">
        <f aca="false">IF(BT$4=0,0,IF(COUNTIFS(実績!$W$6:$W$505,BT$3,実績!$AI$6:$AI$505,"&lt;="&amp;$A262,実績!$AJ$6:$AJ$505,"&gt;"&amp;$A262,実績!$AL$6:$AL$505,"○")&gt;0,1,0))</f>
        <v>0</v>
      </c>
      <c r="BU262" s="39" t="n">
        <f aca="false">IF(BU$4=0,0,IF(COUNTIFS(実績!$W$6:$W$505,BU$3,実績!$AI$6:$AI$505,"&lt;="&amp;$A262,実績!$AJ$6:$AJ$505,"&gt;"&amp;$A262,実績!$AL$6:$AL$505,"○")&gt;0,1,0))</f>
        <v>0</v>
      </c>
      <c r="BV262" s="39" t="n">
        <f aca="false">IF(BV$4=0,0,IF(COUNTIFS(実績!$W$6:$W$505,BV$3,実績!$AI$6:$AI$505,"&lt;="&amp;$A262,実績!$AJ$6:$AJ$505,"&gt;"&amp;$A262,実績!$AL$6:$AL$505,"○")&gt;0,1,0))</f>
        <v>0</v>
      </c>
      <c r="BW262" s="39" t="n">
        <f aca="false">IF(BW$4=0,0,IF(COUNTIFS(実績!$W$6:$W$505,BW$3,実績!$AI$6:$AI$505,"&lt;="&amp;$A262,実績!$AJ$6:$AJ$505,"&gt;"&amp;$A262,実績!$AL$6:$AL$505,"○")&gt;0,1,0))</f>
        <v>0</v>
      </c>
      <c r="BX262" s="39" t="n">
        <f aca="false">IF(BX$4=0,0,IF(COUNTIFS(実績!$W$6:$W$505,BX$3,実績!$AI$6:$AI$505,"&lt;="&amp;$A262,実績!$AJ$6:$AJ$505,"&gt;"&amp;$A262,実績!$AL$6:$AL$505,"○")&gt;0,1,0))</f>
        <v>0</v>
      </c>
      <c r="BY262" s="39" t="n">
        <f aca="false">IF(BY$4=0,0,IF(COUNTIFS(実績!$W$6:$W$505,BY$3,実績!$AI$6:$AI$505,"&lt;="&amp;$A262,実績!$AJ$6:$AJ$505,"&gt;"&amp;$A262,実績!$AL$6:$AL$505,"○")&gt;0,1,0))</f>
        <v>0</v>
      </c>
      <c r="BZ262" s="39" t="n">
        <f aca="false">IF(BZ$4=0,0,IF(COUNTIFS(実績!$W$6:$W$505,BZ$3,実績!$AI$6:$AI$505,"&lt;="&amp;$A262,実績!$AJ$6:$AJ$505,"&gt;"&amp;$A262,実績!$AL$6:$AL$505,"○")&gt;0,1,0))</f>
        <v>0</v>
      </c>
      <c r="CA262" s="39" t="n">
        <f aca="false">IF(CA$4=0,0,IF(COUNTIFS(実績!$W$6:$W$505,CA$3,実績!$AI$6:$AI$505,"&lt;="&amp;$A262,実績!$AJ$6:$AJ$505,"&gt;"&amp;$A262,実績!$AL$6:$AL$505,"○")&gt;0,1,0))</f>
        <v>0</v>
      </c>
      <c r="CB262" s="39" t="n">
        <f aca="false">IF(CB$4=0,0,IF(COUNTIFS(実績!$W$6:$W$505,CB$3,実績!$AI$6:$AI$505,"&lt;="&amp;$A262,実績!$AJ$6:$AJ$505,"&gt;"&amp;$A262,実績!$AL$6:$AL$505,"○")&gt;0,1,0))</f>
        <v>0</v>
      </c>
      <c r="CC262" s="39" t="n">
        <f aca="false">IF(CC$4=0,0,IF(COUNTIFS(実績!$W$6:$W$505,CC$3,実績!$AI$6:$AI$505,"&lt;="&amp;$A262,実績!$AJ$6:$AJ$505,"&gt;"&amp;$A262,実績!$AL$6:$AL$505,"○")&gt;0,1,0))</f>
        <v>0</v>
      </c>
      <c r="CD262" s="39" t="n">
        <f aca="false">IF(CD$4=0,0,IF(COUNTIFS(実績!$W$6:$W$505,CD$3,実績!$AI$6:$AI$505,"&lt;="&amp;$A262,実績!$AJ$6:$AJ$505,"&gt;"&amp;$A262,実績!$AL$6:$AL$505,"○")&gt;0,1,0))</f>
        <v>0</v>
      </c>
      <c r="CE262" s="39" t="n">
        <f aca="false">IF(CE$4=0,0,IF(COUNTIFS(実績!$W$6:$W$505,CE$3,実績!$AI$6:$AI$505,"&lt;="&amp;$A262,実績!$AJ$6:$AJ$505,"&gt;"&amp;$A262,実績!$AL$6:$AL$505,"○")&gt;0,1,0))</f>
        <v>0</v>
      </c>
      <c r="CF262" s="39" t="n">
        <f aca="false">IF(CF$4=0,0,IF(COUNTIFS(実績!$W$6:$W$505,CF$3,実績!$AI$6:$AI$505,"&lt;="&amp;$A262,実績!$AJ$6:$AJ$505,"&gt;"&amp;$A262,実績!$AL$6:$AL$505,"○")&gt;0,1,0))</f>
        <v>0</v>
      </c>
      <c r="CG262" s="39" t="n">
        <f aca="false">IF(CG$4=0,0,IF(COUNTIFS(実績!$W$6:$W$505,CG$3,実績!$AI$6:$AI$505,"&lt;="&amp;$A262,実績!$AJ$6:$AJ$505,"&gt;"&amp;$A262,実績!$AL$6:$AL$505,"○")&gt;0,1,0))</f>
        <v>0</v>
      </c>
      <c r="CH262" s="39" t="n">
        <f aca="false">IF(CH$4=0,0,IF(COUNTIFS(実績!$W$6:$W$505,CH$3,実績!$AI$6:$AI$505,"&lt;="&amp;$A262,実績!$AJ$6:$AJ$505,"&gt;"&amp;$A262,実績!$AL$6:$AL$505,"○")&gt;0,1,0))</f>
        <v>0</v>
      </c>
      <c r="CI262" s="39" t="n">
        <f aca="false">IF(CI$4=0,0,IF(COUNTIFS(実績!$W$6:$W$505,CI$3,実績!$AI$6:$AI$505,"&lt;="&amp;$A262,実績!$AJ$6:$AJ$505,"&gt;"&amp;$A262,実績!$AL$6:$AL$505,"○")&gt;0,1,0))</f>
        <v>0</v>
      </c>
      <c r="CJ262" s="39" t="n">
        <f aca="false">IF(CJ$4=0,0,IF(COUNTIFS(実績!$W$6:$W$505,CJ$3,実績!$AI$6:$AI$505,"&lt;="&amp;$A262,実績!$AJ$6:$AJ$505,"&gt;"&amp;$A262,実績!$AL$6:$AL$505,"○")&gt;0,1,0))</f>
        <v>0</v>
      </c>
      <c r="CK262" s="39" t="n">
        <f aca="false">IF(CK$4=0,0,IF(COUNTIFS(実績!$W$6:$W$505,CK$3,実績!$AI$6:$AI$505,"&lt;="&amp;$A262,実績!$AJ$6:$AJ$505,"&gt;"&amp;$A262,実績!$AL$6:$AL$505,"○")&gt;0,1,0))</f>
        <v>0</v>
      </c>
      <c r="CL262" s="39" t="n">
        <f aca="false">IF(CL$4=0,0,IF(COUNTIFS(実績!$W$6:$W$505,CL$3,実績!$AI$6:$AI$505,"&lt;="&amp;$A262,実績!$AJ$6:$AJ$505,"&gt;"&amp;$A262,実績!$AL$6:$AL$505,"○")&gt;0,1,0))</f>
        <v>0</v>
      </c>
      <c r="CM262" s="39" t="n">
        <f aca="false">IF(CM$4=0,0,IF(COUNTIFS(実績!$W$6:$W$505,CM$3,実績!$AI$6:$AI$505,"&lt;="&amp;$A262,実績!$AJ$6:$AJ$505,"&gt;"&amp;$A262,実績!$AL$6:$AL$505,"○")&gt;0,1,0))</f>
        <v>0</v>
      </c>
      <c r="CN262" s="39" t="n">
        <f aca="false">IF(CN$4=0,0,IF(COUNTIFS(実績!$W$6:$W$505,CN$3,実績!$AI$6:$AI$505,"&lt;="&amp;$A262,実績!$AJ$6:$AJ$505,"&gt;"&amp;$A262,実績!$AL$6:$AL$505,"○")&gt;0,1,0))</f>
        <v>0</v>
      </c>
      <c r="CO262" s="39" t="n">
        <f aca="false">IF(CO$4=0,0,IF(COUNTIFS(実績!$W$6:$W$505,CO$3,実績!$AI$6:$AI$505,"&lt;="&amp;$A262,実績!$AJ$6:$AJ$505,"&gt;"&amp;$A262,実績!$AL$6:$AL$505,"○")&gt;0,1,0))</f>
        <v>0</v>
      </c>
      <c r="CP262" s="39" t="n">
        <f aca="false">IF(CP$4=0,0,IF(COUNTIFS(実績!$W$6:$W$505,CP$3,実績!$AI$6:$AI$505,"&lt;="&amp;$A262,実績!$AJ$6:$AJ$505,"&gt;"&amp;$A262,実績!$AL$6:$AL$505,"○")&gt;0,1,0))</f>
        <v>0</v>
      </c>
      <c r="CQ262" s="39" t="n">
        <f aca="false">IF(CQ$4=0,0,IF(COUNTIFS(実績!$W$6:$W$505,CQ$3,実績!$AI$6:$AI$505,"&lt;="&amp;$A262,実績!$AJ$6:$AJ$505,"&gt;"&amp;$A262,実績!$AL$6:$AL$505,"○")&gt;0,1,0))</f>
        <v>0</v>
      </c>
      <c r="CR262" s="39" t="n">
        <f aca="false">IF(CR$4=0,0,IF(COUNTIFS(実績!$W$6:$W$505,CR$3,実績!$AI$6:$AI$505,"&lt;="&amp;$A262,実績!$AJ$6:$AJ$505,"&gt;"&amp;$A262,実績!$AL$6:$AL$505,"○")&gt;0,1,0))</f>
        <v>0</v>
      </c>
      <c r="CS262" s="39" t="n">
        <f aca="false">IF(CS$4=0,0,IF(COUNTIFS(実績!$W$6:$W$505,CS$3,実績!$AI$6:$AI$505,"&lt;="&amp;$A262,実績!$AJ$6:$AJ$505,"&gt;"&amp;$A262,実績!$AL$6:$AL$505,"○")&gt;0,1,0))</f>
        <v>0</v>
      </c>
      <c r="CT262" s="39" t="n">
        <f aca="false">IF(CT$4=0,0,IF(COUNTIFS(実績!$W$6:$W$505,CT$3,実績!$AI$6:$AI$505,"&lt;="&amp;$A262,実績!$AJ$6:$AJ$505,"&gt;"&amp;$A262,実績!$AL$6:$AL$505,"○")&gt;0,1,0))</f>
        <v>0</v>
      </c>
      <c r="CU262" s="39" t="n">
        <f aca="false">IF(CU$4=0,0,IF(COUNTIFS(実績!$W$6:$W$505,CU$3,実績!$AI$6:$AI$505,"&lt;="&amp;$A262,実績!$AJ$6:$AJ$505,"&gt;"&amp;$A262,実績!$AL$6:$AL$505,"○")&gt;0,1,0))</f>
        <v>0</v>
      </c>
      <c r="CV262" s="39" t="n">
        <f aca="false">IF(CV$4=0,0,IF(COUNTIFS(実績!$W$6:$W$505,CV$3,実績!$AI$6:$AI$505,"&lt;="&amp;$A262,実績!$AJ$6:$AJ$505,"&gt;"&amp;$A262,実績!$AL$6:$AL$505,"○")&gt;0,1,0))</f>
        <v>0</v>
      </c>
      <c r="CW262" s="39" t="n">
        <f aca="false">IF(CW$4=0,0,IF(COUNTIFS(実績!$W$6:$W$505,CW$3,実績!$AI$6:$AI$505,"&lt;="&amp;$A262,実績!$AJ$6:$AJ$505,"&gt;"&amp;$A262,実績!$AL$6:$AL$505,"○")&gt;0,1,0))</f>
        <v>0</v>
      </c>
      <c r="CX262" s="39" t="n">
        <f aca="false">IF(CX$4=0,0,IF(COUNTIFS(実績!$W$6:$W$505,CX$3,実績!$AI$6:$AI$505,"&lt;="&amp;$A262,実績!$AJ$6:$AJ$505,"&gt;"&amp;$A262,実績!$AL$6:$AL$505,"○")&gt;0,1,0))</f>
        <v>0</v>
      </c>
      <c r="CY262" s="39" t="n">
        <f aca="false">IF(CY$4=0,0,IF(COUNTIFS(実績!$W$6:$W$505,CY$3,実績!$AI$6:$AI$505,"&lt;="&amp;$A262,実績!$AJ$6:$AJ$505,"&gt;"&amp;$A262,実績!$AL$6:$AL$505,"○")&gt;0,1,0))</f>
        <v>0</v>
      </c>
      <c r="CZ262" s="39" t="n">
        <f aca="false">IF(CZ$4=0,0,IF(COUNTIFS(実績!$W$6:$W$505,CZ$3,実績!$AI$6:$AI$505,"&lt;="&amp;$A262,実績!$AJ$6:$AJ$505,"&gt;"&amp;$A262,実績!$AL$6:$AL$505,"○")&gt;0,1,0))</f>
        <v>0</v>
      </c>
      <c r="DA262" s="39" t="n">
        <f aca="false">IF(DA$4=0,0,IF(COUNTIFS(実績!$W$6:$W$505,DA$3,実績!$AI$6:$AI$505,"&lt;="&amp;$A262,実績!$AJ$6:$AJ$505,"&gt;"&amp;$A262,実績!$AL$6:$AL$505,"○")&gt;0,1,0))</f>
        <v>0</v>
      </c>
      <c r="DB262" s="39" t="n">
        <f aca="false">IF(DB$4=0,0,IF(COUNTIFS(実績!$W$6:$W$505,DB$3,実績!$AI$6:$AI$505,"&lt;="&amp;$A262,実績!$AJ$6:$AJ$505,"&gt;"&amp;$A262,実績!$AL$6:$AL$505,"○")&gt;0,1,0))</f>
        <v>0</v>
      </c>
      <c r="DC262" s="39" t="n">
        <f aca="false">IF(DC$4=0,0,IF(COUNTIFS(実績!$W$6:$W$505,DC$3,実績!$AI$6:$AI$505,"&lt;="&amp;$A262,実績!$AJ$6:$AJ$505,"&gt;"&amp;$A262,実績!$AL$6:$AL$505,"○")&gt;0,1,0))</f>
        <v>0</v>
      </c>
      <c r="DD262" s="39" t="n">
        <f aca="false">IF(DD$4=0,0,IF(COUNTIFS(実績!$W$6:$W$505,DD$3,実績!$AI$6:$AI$505,"&lt;="&amp;$A262,実績!$AJ$6:$AJ$505,"&gt;"&amp;$A262,実績!$AL$6:$AL$505,"○")&gt;0,1,0))</f>
        <v>0</v>
      </c>
      <c r="DE262" s="39" t="n">
        <f aca="false">IF(DE$4=0,0,IF(COUNTIFS(実績!$W$6:$W$505,DE$3,実績!$AI$6:$AI$505,"&lt;="&amp;$A262,実績!$AJ$6:$AJ$505,"&gt;"&amp;$A262,実績!$AL$6:$AL$505,"○")&gt;0,1,0))</f>
        <v>0</v>
      </c>
      <c r="DF262" s="39" t="n">
        <f aca="false">IF(DF$4=0,0,IF(COUNTIFS(実績!$W$6:$W$505,DF$3,実績!$AI$6:$AI$505,"&lt;="&amp;$A262,実績!$AJ$6:$AJ$505,"&gt;"&amp;$A262,実績!$AL$6:$AL$505,"○")&gt;0,1,0))</f>
        <v>0</v>
      </c>
      <c r="DG262" s="39" t="n">
        <f aca="false">IF(DG$4=0,0,IF(COUNTIFS(実績!$W$6:$W$505,DG$3,実績!$AI$6:$AI$505,"&lt;="&amp;$A262,実績!$AJ$6:$AJ$505,"&gt;"&amp;$A262,実績!$AL$6:$AL$505,"○")&gt;0,1,0))</f>
        <v>0</v>
      </c>
      <c r="DH262" s="39" t="n">
        <f aca="false">IF(DH$4=0,0,IF(COUNTIFS(実績!$W$6:$W$505,DH$3,実績!$AI$6:$AI$505,"&lt;="&amp;$A262,実績!$AJ$6:$AJ$505,"&gt;"&amp;$A262,実績!$AL$6:$AL$505,"○")&gt;0,1,0))</f>
        <v>0</v>
      </c>
      <c r="DI262" s="39" t="n">
        <f aca="false">IF(DI$4=0,0,IF(COUNTIFS(実績!$W$6:$W$505,DI$3,実績!$AI$6:$AI$505,"&lt;="&amp;$A262,実績!$AJ$6:$AJ$505,"&gt;"&amp;$A262,実績!$AL$6:$AL$505,"○")&gt;0,1,0))</f>
        <v>0</v>
      </c>
      <c r="DJ262" s="39" t="n">
        <f aca="false">IF(DJ$4=0,0,IF(COUNTIFS(実績!$W$6:$W$505,DJ$3,実績!$AI$6:$AI$505,"&lt;="&amp;$A262,実績!$AJ$6:$AJ$505,"&gt;"&amp;$A262,実績!$AL$6:$AL$505,"○")&gt;0,1,0))</f>
        <v>0</v>
      </c>
      <c r="DK262" s="39" t="n">
        <f aca="false">IF(DK$4=0,0,IF(COUNTIFS(実績!$W$6:$W$505,DK$3,実績!$AI$6:$AI$505,"&lt;="&amp;$A262,実績!$AJ$6:$AJ$505,"&gt;"&amp;$A262,実績!$AL$6:$AL$505,"○")&gt;0,1,0))</f>
        <v>0</v>
      </c>
      <c r="DL262" s="39" t="n">
        <f aca="false">IF(DL$4=0,0,IF(COUNTIFS(実績!$W$6:$W$505,DL$3,実績!$AI$6:$AI$505,"&lt;="&amp;$A262,実績!$AJ$6:$AJ$505,"&gt;"&amp;$A262,実績!$AL$6:$AL$505,"○")&gt;0,1,0))</f>
        <v>0</v>
      </c>
      <c r="DM262" s="39" t="n">
        <f aca="false">IF(DM$4=0,0,IF(COUNTIFS(実績!$W$6:$W$505,DM$3,実績!$AI$6:$AI$505,"&lt;="&amp;$A262,実績!$AJ$6:$AJ$505,"&gt;"&amp;$A262,実績!$AL$6:$AL$505,"○")&gt;0,1,0))</f>
        <v>0</v>
      </c>
      <c r="DN262" s="39" t="n">
        <f aca="false">IF(DN$4=0,0,IF(COUNTIFS(実績!$W$6:$W$505,DN$3,実績!$AI$6:$AI$505,"&lt;="&amp;$A262,実績!$AJ$6:$AJ$505,"&gt;"&amp;$A262,実績!$AL$6:$AL$505,"○")&gt;0,1,0))</f>
        <v>0</v>
      </c>
      <c r="DO262" s="39" t="n">
        <f aca="false">IF(DO$4=0,0,IF(COUNTIFS(実績!$W$6:$W$505,DO$3,実績!$AI$6:$AI$505,"&lt;="&amp;$A262,実績!$AJ$6:$AJ$505,"&gt;"&amp;$A262,実績!$AL$6:$AL$505,"○")&gt;0,1,0))</f>
        <v>0</v>
      </c>
      <c r="DP262" s="39" t="n">
        <f aca="false">IF(DP$4=0,0,IF(COUNTIFS(実績!$W$6:$W$505,DP$3,実績!$AI$6:$AI$505,"&lt;="&amp;$A262,実績!$AJ$6:$AJ$505,"&gt;"&amp;$A262,実績!$AL$6:$AL$505,"○")&gt;0,1,0))</f>
        <v>0</v>
      </c>
      <c r="DQ262" s="39" t="n">
        <f aca="false">IF(DQ$4=0,0,IF(COUNTIFS(実績!$W$6:$W$505,DQ$3,実績!$AI$6:$AI$505,"&lt;="&amp;$A262,実績!$AJ$6:$AJ$505,"&gt;"&amp;$A262,実績!$AL$6:$AL$505,"○")&gt;0,1,0))</f>
        <v>0</v>
      </c>
      <c r="DR262" s="39" t="n">
        <f aca="false">IF(DR$4=0,0,IF(COUNTIFS(実績!$W$6:$W$505,DR$3,実績!$AI$6:$AI$505,"&lt;="&amp;$A262,実績!$AJ$6:$AJ$505,"&gt;"&amp;$A262,実績!$AL$6:$AL$505,"○")&gt;0,1,0))</f>
        <v>0</v>
      </c>
      <c r="DS262" s="39" t="n">
        <f aca="false">SUM(C262:DR262)</f>
        <v>0</v>
      </c>
    </row>
    <row r="263" customFormat="false" ht="15" hidden="false" customHeight="false" outlineLevel="0" collapsed="false">
      <c r="A263" s="0" t="n">
        <v>1285</v>
      </c>
      <c r="B263" s="38" t="n">
        <f aca="false">A263/1440</f>
        <v>0.892361111111111</v>
      </c>
      <c r="C263" s="39" t="n">
        <f aca="false">IF(C$4=0,0,IF(COUNTIFS(実績!$W$6:$W$505,C$3,実績!$AI$6:$AI$505,"&lt;="&amp;$A263,実績!$AJ$6:$AJ$505,"&gt;"&amp;$A263,実績!$AL$6:$AL$505,"○")&gt;0,1,0))</f>
        <v>0</v>
      </c>
      <c r="D263" s="39" t="n">
        <f aca="false">IF(D$4=0,0,IF(COUNTIFS(実績!$W$6:$W$505,D$3,実績!$AI$6:$AI$505,"&lt;="&amp;$A263,実績!$AJ$6:$AJ$505,"&gt;"&amp;$A263,実績!$AL$6:$AL$505,"○")&gt;0,1,0))</f>
        <v>0</v>
      </c>
      <c r="E263" s="39" t="n">
        <f aca="false">IF(E$4=0,0,IF(COUNTIFS(実績!$W$6:$W$505,E$3,実績!$AI$6:$AI$505,"&lt;="&amp;$A263,実績!$AJ$6:$AJ$505,"&gt;"&amp;$A263,実績!$AL$6:$AL$505,"○")&gt;0,1,0))</f>
        <v>0</v>
      </c>
      <c r="F263" s="39" t="n">
        <f aca="false">IF(F$4=0,0,IF(COUNTIFS(実績!$W$6:$W$505,F$3,実績!$AI$6:$AI$505,"&lt;="&amp;$A263,実績!$AJ$6:$AJ$505,"&gt;"&amp;$A263,実績!$AL$6:$AL$505,"○")&gt;0,1,0))</f>
        <v>0</v>
      </c>
      <c r="G263" s="39" t="n">
        <f aca="false">IF(G$4=0,0,IF(COUNTIFS(実績!$W$6:$W$505,G$3,実績!$AI$6:$AI$505,"&lt;="&amp;$A263,実績!$AJ$6:$AJ$505,"&gt;"&amp;$A263,実績!$AL$6:$AL$505,"○")&gt;0,1,0))</f>
        <v>0</v>
      </c>
      <c r="H263" s="39" t="n">
        <f aca="false">IF(H$4=0,0,IF(COUNTIFS(実績!$W$6:$W$505,H$3,実績!$AI$6:$AI$505,"&lt;="&amp;$A263,実績!$AJ$6:$AJ$505,"&gt;"&amp;$A263,実績!$AL$6:$AL$505,"○")&gt;0,1,0))</f>
        <v>0</v>
      </c>
      <c r="I263" s="39" t="n">
        <f aca="false">IF(I$4=0,0,IF(COUNTIFS(実績!$W$6:$W$505,I$3,実績!$AI$6:$AI$505,"&lt;="&amp;$A263,実績!$AJ$6:$AJ$505,"&gt;"&amp;$A263,実績!$AL$6:$AL$505,"○")&gt;0,1,0))</f>
        <v>0</v>
      </c>
      <c r="J263" s="39" t="n">
        <f aca="false">IF(J$4=0,0,IF(COUNTIFS(実績!$W$6:$W$505,J$3,実績!$AI$6:$AI$505,"&lt;="&amp;$A263,実績!$AJ$6:$AJ$505,"&gt;"&amp;$A263,実績!$AL$6:$AL$505,"○")&gt;0,1,0))</f>
        <v>0</v>
      </c>
      <c r="K263" s="39" t="n">
        <f aca="false">IF(K$4=0,0,IF(COUNTIFS(実績!$W$6:$W$505,K$3,実績!$AI$6:$AI$505,"&lt;="&amp;$A263,実績!$AJ$6:$AJ$505,"&gt;"&amp;$A263,実績!$AL$6:$AL$505,"○")&gt;0,1,0))</f>
        <v>0</v>
      </c>
      <c r="L263" s="39" t="n">
        <f aca="false">IF(L$4=0,0,IF(COUNTIFS(実績!$W$6:$W$505,L$3,実績!$AI$6:$AI$505,"&lt;="&amp;$A263,実績!$AJ$6:$AJ$505,"&gt;"&amp;$A263,実績!$AL$6:$AL$505,"○")&gt;0,1,0))</f>
        <v>0</v>
      </c>
      <c r="M263" s="39" t="n">
        <f aca="false">IF(M$4=0,0,IF(COUNTIFS(実績!$W$6:$W$505,M$3,実績!$AI$6:$AI$505,"&lt;="&amp;$A263,実績!$AJ$6:$AJ$505,"&gt;"&amp;$A263,実績!$AL$6:$AL$505,"○")&gt;0,1,0))</f>
        <v>0</v>
      </c>
      <c r="N263" s="39" t="n">
        <f aca="false">IF(N$4=0,0,IF(COUNTIFS(実績!$W$6:$W$505,N$3,実績!$AI$6:$AI$505,"&lt;="&amp;$A263,実績!$AJ$6:$AJ$505,"&gt;"&amp;$A263,実績!$AL$6:$AL$505,"○")&gt;0,1,0))</f>
        <v>0</v>
      </c>
      <c r="O263" s="39" t="n">
        <f aca="false">IF(O$4=0,0,IF(COUNTIFS(実績!$W$6:$W$505,O$3,実績!$AI$6:$AI$505,"&lt;="&amp;$A263,実績!$AJ$6:$AJ$505,"&gt;"&amp;$A263,実績!$AL$6:$AL$505,"○")&gt;0,1,0))</f>
        <v>0</v>
      </c>
      <c r="P263" s="39" t="n">
        <f aca="false">IF(P$4=0,0,IF(COUNTIFS(実績!$W$6:$W$505,P$3,実績!$AI$6:$AI$505,"&lt;="&amp;$A263,実績!$AJ$6:$AJ$505,"&gt;"&amp;$A263,実績!$AL$6:$AL$505,"○")&gt;0,1,0))</f>
        <v>0</v>
      </c>
      <c r="Q263" s="39" t="n">
        <f aca="false">IF(Q$4=0,0,IF(COUNTIFS(実績!$W$6:$W$505,Q$3,実績!$AI$6:$AI$505,"&lt;="&amp;$A263,実績!$AJ$6:$AJ$505,"&gt;"&amp;$A263,実績!$AL$6:$AL$505,"○")&gt;0,1,0))</f>
        <v>0</v>
      </c>
      <c r="R263" s="39" t="n">
        <f aca="false">IF(R$4=0,0,IF(COUNTIFS(実績!$W$6:$W$505,R$3,実績!$AI$6:$AI$505,"&lt;="&amp;$A263,実績!$AJ$6:$AJ$505,"&gt;"&amp;$A263,実績!$AL$6:$AL$505,"○")&gt;0,1,0))</f>
        <v>0</v>
      </c>
      <c r="S263" s="39" t="n">
        <f aca="false">IF(S$4=0,0,IF(COUNTIFS(実績!$W$6:$W$505,S$3,実績!$AI$6:$AI$505,"&lt;="&amp;$A263,実績!$AJ$6:$AJ$505,"&gt;"&amp;$A263,実績!$AL$6:$AL$505,"○")&gt;0,1,0))</f>
        <v>0</v>
      </c>
      <c r="T263" s="39" t="n">
        <f aca="false">IF(T$4=0,0,IF(COUNTIFS(実績!$W$6:$W$505,T$3,実績!$AI$6:$AI$505,"&lt;="&amp;$A263,実績!$AJ$6:$AJ$505,"&gt;"&amp;$A263,実績!$AL$6:$AL$505,"○")&gt;0,1,0))</f>
        <v>0</v>
      </c>
      <c r="U263" s="39" t="n">
        <f aca="false">IF(U$4=0,0,IF(COUNTIFS(実績!$W$6:$W$505,U$3,実績!$AI$6:$AI$505,"&lt;="&amp;$A263,実績!$AJ$6:$AJ$505,"&gt;"&amp;$A263,実績!$AL$6:$AL$505,"○")&gt;0,1,0))</f>
        <v>0</v>
      </c>
      <c r="V263" s="39" t="n">
        <f aca="false">IF(V$4=0,0,IF(COUNTIFS(実績!$W$6:$W$505,V$3,実績!$AI$6:$AI$505,"&lt;="&amp;$A263,実績!$AJ$6:$AJ$505,"&gt;"&amp;$A263,実績!$AL$6:$AL$505,"○")&gt;0,1,0))</f>
        <v>0</v>
      </c>
      <c r="W263" s="39" t="n">
        <f aca="false">IF(W$4=0,0,IF(COUNTIFS(実績!$W$6:$W$505,W$3,実績!$AI$6:$AI$505,"&lt;="&amp;$A263,実績!$AJ$6:$AJ$505,"&gt;"&amp;$A263,実績!$AL$6:$AL$505,"○")&gt;0,1,0))</f>
        <v>0</v>
      </c>
      <c r="X263" s="39" t="n">
        <f aca="false">IF(X$4=0,0,IF(COUNTIFS(実績!$W$6:$W$505,X$3,実績!$AI$6:$AI$505,"&lt;="&amp;$A263,実績!$AJ$6:$AJ$505,"&gt;"&amp;$A263,実績!$AL$6:$AL$505,"○")&gt;0,1,0))</f>
        <v>0</v>
      </c>
      <c r="Y263" s="39" t="n">
        <f aca="false">IF(Y$4=0,0,IF(COUNTIFS(実績!$W$6:$W$505,Y$3,実績!$AI$6:$AI$505,"&lt;="&amp;$A263,実績!$AJ$6:$AJ$505,"&gt;"&amp;$A263,実績!$AL$6:$AL$505,"○")&gt;0,1,0))</f>
        <v>0</v>
      </c>
      <c r="Z263" s="39" t="n">
        <f aca="false">IF(Z$4=0,0,IF(COUNTIFS(実績!$W$6:$W$505,Z$3,実績!$AI$6:$AI$505,"&lt;="&amp;$A263,実績!$AJ$6:$AJ$505,"&gt;"&amp;$A263,実績!$AL$6:$AL$505,"○")&gt;0,1,0))</f>
        <v>0</v>
      </c>
      <c r="AA263" s="39" t="n">
        <f aca="false">IF(AA$4=0,0,IF(COUNTIFS(実績!$W$6:$W$505,AA$3,実績!$AI$6:$AI$505,"&lt;="&amp;$A263,実績!$AJ$6:$AJ$505,"&gt;"&amp;$A263,実績!$AL$6:$AL$505,"○")&gt;0,1,0))</f>
        <v>0</v>
      </c>
      <c r="AB263" s="39" t="n">
        <f aca="false">IF(AB$4=0,0,IF(COUNTIFS(実績!$W$6:$W$505,AB$3,実績!$AI$6:$AI$505,"&lt;="&amp;$A263,実績!$AJ$6:$AJ$505,"&gt;"&amp;$A263,実績!$AL$6:$AL$505,"○")&gt;0,1,0))</f>
        <v>0</v>
      </c>
      <c r="AC263" s="39" t="n">
        <f aca="false">IF(AC$4=0,0,IF(COUNTIFS(実績!$W$6:$W$505,AC$3,実績!$AI$6:$AI$505,"&lt;="&amp;$A263,実績!$AJ$6:$AJ$505,"&gt;"&amp;$A263,実績!$AL$6:$AL$505,"○")&gt;0,1,0))</f>
        <v>0</v>
      </c>
      <c r="AD263" s="39" t="n">
        <f aca="false">IF(AD$4=0,0,IF(COUNTIFS(実績!$W$6:$W$505,AD$3,実績!$AI$6:$AI$505,"&lt;="&amp;$A263,実績!$AJ$6:$AJ$505,"&gt;"&amp;$A263,実績!$AL$6:$AL$505,"○")&gt;0,1,0))</f>
        <v>0</v>
      </c>
      <c r="AE263" s="39" t="n">
        <f aca="false">IF(AE$4=0,0,IF(COUNTIFS(実績!$W$6:$W$505,AE$3,実績!$AI$6:$AI$505,"&lt;="&amp;$A263,実績!$AJ$6:$AJ$505,"&gt;"&amp;$A263,実績!$AL$6:$AL$505,"○")&gt;0,1,0))</f>
        <v>0</v>
      </c>
      <c r="AF263" s="39" t="n">
        <f aca="false">IF(AF$4=0,0,IF(COUNTIFS(実績!$W$6:$W$505,AF$3,実績!$AI$6:$AI$505,"&lt;="&amp;$A263,実績!$AJ$6:$AJ$505,"&gt;"&amp;$A263,実績!$AL$6:$AL$505,"○")&gt;0,1,0))</f>
        <v>0</v>
      </c>
      <c r="AG263" s="39" t="n">
        <f aca="false">IF(AG$4=0,0,IF(COUNTIFS(実績!$W$6:$W$505,AG$3,実績!$AI$6:$AI$505,"&lt;="&amp;$A263,実績!$AJ$6:$AJ$505,"&gt;"&amp;$A263,実績!$AL$6:$AL$505,"○")&gt;0,1,0))</f>
        <v>0</v>
      </c>
      <c r="AH263" s="39" t="n">
        <f aca="false">IF(AH$4=0,0,IF(COUNTIFS(実績!$W$6:$W$505,AH$3,実績!$AI$6:$AI$505,"&lt;="&amp;$A263,実績!$AJ$6:$AJ$505,"&gt;"&amp;$A263,実績!$AL$6:$AL$505,"○")&gt;0,1,0))</f>
        <v>0</v>
      </c>
      <c r="AI263" s="39" t="n">
        <f aca="false">IF(AI$4=0,0,IF(COUNTIFS(実績!$W$6:$W$505,AI$3,実績!$AI$6:$AI$505,"&lt;="&amp;$A263,実績!$AJ$6:$AJ$505,"&gt;"&amp;$A263,実績!$AL$6:$AL$505,"○")&gt;0,1,0))</f>
        <v>0</v>
      </c>
      <c r="AJ263" s="39" t="n">
        <f aca="false">IF(AJ$4=0,0,IF(COUNTIFS(実績!$W$6:$W$505,AJ$3,実績!$AI$6:$AI$505,"&lt;="&amp;$A263,実績!$AJ$6:$AJ$505,"&gt;"&amp;$A263,実績!$AL$6:$AL$505,"○")&gt;0,1,0))</f>
        <v>0</v>
      </c>
      <c r="AK263" s="39" t="n">
        <f aca="false">IF(AK$4=0,0,IF(COUNTIFS(実績!$W$6:$W$505,AK$3,実績!$AI$6:$AI$505,"&lt;="&amp;$A263,実績!$AJ$6:$AJ$505,"&gt;"&amp;$A263,実績!$AL$6:$AL$505,"○")&gt;0,1,0))</f>
        <v>0</v>
      </c>
      <c r="AL263" s="39" t="n">
        <f aca="false">IF(AL$4=0,0,IF(COUNTIFS(実績!$W$6:$W$505,AL$3,実績!$AI$6:$AI$505,"&lt;="&amp;$A263,実績!$AJ$6:$AJ$505,"&gt;"&amp;$A263,実績!$AL$6:$AL$505,"○")&gt;0,1,0))</f>
        <v>0</v>
      </c>
      <c r="AM263" s="39" t="n">
        <f aca="false">IF(AM$4=0,0,IF(COUNTIFS(実績!$W$6:$W$505,AM$3,実績!$AI$6:$AI$505,"&lt;="&amp;$A263,実績!$AJ$6:$AJ$505,"&gt;"&amp;$A263,実績!$AL$6:$AL$505,"○")&gt;0,1,0))</f>
        <v>0</v>
      </c>
      <c r="AN263" s="39" t="n">
        <f aca="false">IF(AN$4=0,0,IF(COUNTIFS(実績!$W$6:$W$505,AN$3,実績!$AI$6:$AI$505,"&lt;="&amp;$A263,実績!$AJ$6:$AJ$505,"&gt;"&amp;$A263,実績!$AL$6:$AL$505,"○")&gt;0,1,0))</f>
        <v>0</v>
      </c>
      <c r="AO263" s="39" t="n">
        <f aca="false">IF(AO$4=0,0,IF(COUNTIFS(実績!$W$6:$W$505,AO$3,実績!$AI$6:$AI$505,"&lt;="&amp;$A263,実績!$AJ$6:$AJ$505,"&gt;"&amp;$A263,実績!$AL$6:$AL$505,"○")&gt;0,1,0))</f>
        <v>0</v>
      </c>
      <c r="AP263" s="39" t="n">
        <f aca="false">IF(AP$4=0,0,IF(COUNTIFS(実績!$W$6:$W$505,AP$3,実績!$AI$6:$AI$505,"&lt;="&amp;$A263,実績!$AJ$6:$AJ$505,"&gt;"&amp;$A263,実績!$AL$6:$AL$505,"○")&gt;0,1,0))</f>
        <v>0</v>
      </c>
      <c r="AQ263" s="39" t="n">
        <f aca="false">IF(AQ$4=0,0,IF(COUNTIFS(実績!$W$6:$W$505,AQ$3,実績!$AI$6:$AI$505,"&lt;="&amp;$A263,実績!$AJ$6:$AJ$505,"&gt;"&amp;$A263,実績!$AL$6:$AL$505,"○")&gt;0,1,0))</f>
        <v>0</v>
      </c>
      <c r="AR263" s="39" t="n">
        <f aca="false">IF(AR$4=0,0,IF(COUNTIFS(実績!$W$6:$W$505,AR$3,実績!$AI$6:$AI$505,"&lt;="&amp;$A263,実績!$AJ$6:$AJ$505,"&gt;"&amp;$A263,実績!$AL$6:$AL$505,"○")&gt;0,1,0))</f>
        <v>0</v>
      </c>
      <c r="AS263" s="39" t="n">
        <f aca="false">IF(AS$4=0,0,IF(COUNTIFS(実績!$W$6:$W$505,AS$3,実績!$AI$6:$AI$505,"&lt;="&amp;$A263,実績!$AJ$6:$AJ$505,"&gt;"&amp;$A263,実績!$AL$6:$AL$505,"○")&gt;0,1,0))</f>
        <v>0</v>
      </c>
      <c r="AT263" s="39" t="n">
        <f aca="false">IF(AT$4=0,0,IF(COUNTIFS(実績!$W$6:$W$505,AT$3,実績!$AI$6:$AI$505,"&lt;="&amp;$A263,実績!$AJ$6:$AJ$505,"&gt;"&amp;$A263,実績!$AL$6:$AL$505,"○")&gt;0,1,0))</f>
        <v>0</v>
      </c>
      <c r="AU263" s="39" t="n">
        <f aca="false">IF(AU$4=0,0,IF(COUNTIFS(実績!$W$6:$W$505,AU$3,実績!$AI$6:$AI$505,"&lt;="&amp;$A263,実績!$AJ$6:$AJ$505,"&gt;"&amp;$A263,実績!$AL$6:$AL$505,"○")&gt;0,1,0))</f>
        <v>0</v>
      </c>
      <c r="AV263" s="39" t="n">
        <f aca="false">IF(AV$4=0,0,IF(COUNTIFS(実績!$W$6:$W$505,AV$3,実績!$AI$6:$AI$505,"&lt;="&amp;$A263,実績!$AJ$6:$AJ$505,"&gt;"&amp;$A263,実績!$AL$6:$AL$505,"○")&gt;0,1,0))</f>
        <v>0</v>
      </c>
      <c r="AW263" s="39" t="n">
        <f aca="false">IF(AW$4=0,0,IF(COUNTIFS(実績!$W$6:$W$505,AW$3,実績!$AI$6:$AI$505,"&lt;="&amp;$A263,実績!$AJ$6:$AJ$505,"&gt;"&amp;$A263,実績!$AL$6:$AL$505,"○")&gt;0,1,0))</f>
        <v>0</v>
      </c>
      <c r="AX263" s="39" t="n">
        <f aca="false">IF(AX$4=0,0,IF(COUNTIFS(実績!$W$6:$W$505,AX$3,実績!$AI$6:$AI$505,"&lt;="&amp;$A263,実績!$AJ$6:$AJ$505,"&gt;"&amp;$A263,実績!$AL$6:$AL$505,"○")&gt;0,1,0))</f>
        <v>0</v>
      </c>
      <c r="AY263" s="39" t="n">
        <f aca="false">IF(AY$4=0,0,IF(COUNTIFS(実績!$W$6:$W$505,AY$3,実績!$AI$6:$AI$505,"&lt;="&amp;$A263,実績!$AJ$6:$AJ$505,"&gt;"&amp;$A263,実績!$AL$6:$AL$505,"○")&gt;0,1,0))</f>
        <v>0</v>
      </c>
      <c r="AZ263" s="39" t="n">
        <f aca="false">IF(AZ$4=0,0,IF(COUNTIFS(実績!$W$6:$W$505,AZ$3,実績!$AI$6:$AI$505,"&lt;="&amp;$A263,実績!$AJ$6:$AJ$505,"&gt;"&amp;$A263,実績!$AL$6:$AL$505,"○")&gt;0,1,0))</f>
        <v>0</v>
      </c>
      <c r="BA263" s="39" t="n">
        <f aca="false">IF(BA$4=0,0,IF(COUNTIFS(実績!$W$6:$W$505,BA$3,実績!$AI$6:$AI$505,"&lt;="&amp;$A263,実績!$AJ$6:$AJ$505,"&gt;"&amp;$A263,実績!$AL$6:$AL$505,"○")&gt;0,1,0))</f>
        <v>0</v>
      </c>
      <c r="BB263" s="39" t="n">
        <f aca="false">IF(BB$4=0,0,IF(COUNTIFS(実績!$W$6:$W$505,BB$3,実績!$AI$6:$AI$505,"&lt;="&amp;$A263,実績!$AJ$6:$AJ$505,"&gt;"&amp;$A263,実績!$AL$6:$AL$505,"○")&gt;0,1,0))</f>
        <v>0</v>
      </c>
      <c r="BC263" s="39" t="n">
        <f aca="false">IF(BC$4=0,0,IF(COUNTIFS(実績!$W$6:$W$505,BC$3,実績!$AI$6:$AI$505,"&lt;="&amp;$A263,実績!$AJ$6:$AJ$505,"&gt;"&amp;$A263,実績!$AL$6:$AL$505,"○")&gt;0,1,0))</f>
        <v>0</v>
      </c>
      <c r="BD263" s="39" t="n">
        <f aca="false">IF(BD$4=0,0,IF(COUNTIFS(実績!$W$6:$W$505,BD$3,実績!$AI$6:$AI$505,"&lt;="&amp;$A263,実績!$AJ$6:$AJ$505,"&gt;"&amp;$A263,実績!$AL$6:$AL$505,"○")&gt;0,1,0))</f>
        <v>0</v>
      </c>
      <c r="BE263" s="39" t="n">
        <f aca="false">IF(BE$4=0,0,IF(COUNTIFS(実績!$W$6:$W$505,BE$3,実績!$AI$6:$AI$505,"&lt;="&amp;$A263,実績!$AJ$6:$AJ$505,"&gt;"&amp;$A263,実績!$AL$6:$AL$505,"○")&gt;0,1,0))</f>
        <v>0</v>
      </c>
      <c r="BF263" s="39" t="n">
        <f aca="false">IF(BF$4=0,0,IF(COUNTIFS(実績!$W$6:$W$505,BF$3,実績!$AI$6:$AI$505,"&lt;="&amp;$A263,実績!$AJ$6:$AJ$505,"&gt;"&amp;$A263,実績!$AL$6:$AL$505,"○")&gt;0,1,0))</f>
        <v>0</v>
      </c>
      <c r="BG263" s="39" t="n">
        <f aca="false">IF(BG$4=0,0,IF(COUNTIFS(実績!$W$6:$W$505,BG$3,実績!$AI$6:$AI$505,"&lt;="&amp;$A263,実績!$AJ$6:$AJ$505,"&gt;"&amp;$A263,実績!$AL$6:$AL$505,"○")&gt;0,1,0))</f>
        <v>0</v>
      </c>
      <c r="BH263" s="39" t="n">
        <f aca="false">IF(BH$4=0,0,IF(COUNTIFS(実績!$W$6:$W$505,BH$3,実績!$AI$6:$AI$505,"&lt;="&amp;$A263,実績!$AJ$6:$AJ$505,"&gt;"&amp;$A263,実績!$AL$6:$AL$505,"○")&gt;0,1,0))</f>
        <v>0</v>
      </c>
      <c r="BI263" s="39" t="n">
        <f aca="false">IF(BI$4=0,0,IF(COUNTIFS(実績!$W$6:$W$505,BI$3,実績!$AI$6:$AI$505,"&lt;="&amp;$A263,実績!$AJ$6:$AJ$505,"&gt;"&amp;$A263,実績!$AL$6:$AL$505,"○")&gt;0,1,0))</f>
        <v>0</v>
      </c>
      <c r="BJ263" s="39" t="n">
        <f aca="false">IF(BJ$4=0,0,IF(COUNTIFS(実績!$W$6:$W$505,BJ$3,実績!$AI$6:$AI$505,"&lt;="&amp;$A263,実績!$AJ$6:$AJ$505,"&gt;"&amp;$A263,実績!$AL$6:$AL$505,"○")&gt;0,1,0))</f>
        <v>0</v>
      </c>
      <c r="BK263" s="39" t="n">
        <f aca="false">IF(BK$4=0,0,IF(COUNTIFS(実績!$W$6:$W$505,BK$3,実績!$AI$6:$AI$505,"&lt;="&amp;$A263,実績!$AJ$6:$AJ$505,"&gt;"&amp;$A263,実績!$AL$6:$AL$505,"○")&gt;0,1,0))</f>
        <v>0</v>
      </c>
      <c r="BL263" s="39" t="n">
        <f aca="false">IF(BL$4=0,0,IF(COUNTIFS(実績!$W$6:$W$505,BL$3,実績!$AI$6:$AI$505,"&lt;="&amp;$A263,実績!$AJ$6:$AJ$505,"&gt;"&amp;$A263,実績!$AL$6:$AL$505,"○")&gt;0,1,0))</f>
        <v>0</v>
      </c>
      <c r="BM263" s="39" t="n">
        <f aca="false">IF(BM$4=0,0,IF(COUNTIFS(実績!$W$6:$W$505,BM$3,実績!$AI$6:$AI$505,"&lt;="&amp;$A263,実績!$AJ$6:$AJ$505,"&gt;"&amp;$A263,実績!$AL$6:$AL$505,"○")&gt;0,1,0))</f>
        <v>0</v>
      </c>
      <c r="BN263" s="39" t="n">
        <f aca="false">IF(BN$4=0,0,IF(COUNTIFS(実績!$W$6:$W$505,BN$3,実績!$AI$6:$AI$505,"&lt;="&amp;$A263,実績!$AJ$6:$AJ$505,"&gt;"&amp;$A263,実績!$AL$6:$AL$505,"○")&gt;0,1,0))</f>
        <v>0</v>
      </c>
      <c r="BO263" s="39" t="n">
        <f aca="false">IF(BO$4=0,0,IF(COUNTIFS(実績!$W$6:$W$505,BO$3,実績!$AI$6:$AI$505,"&lt;="&amp;$A263,実績!$AJ$6:$AJ$505,"&gt;"&amp;$A263,実績!$AL$6:$AL$505,"○")&gt;0,1,0))</f>
        <v>0</v>
      </c>
      <c r="BP263" s="39" t="n">
        <f aca="false">IF(BP$4=0,0,IF(COUNTIFS(実績!$W$6:$W$505,BP$3,実績!$AI$6:$AI$505,"&lt;="&amp;$A263,実績!$AJ$6:$AJ$505,"&gt;"&amp;$A263,実績!$AL$6:$AL$505,"○")&gt;0,1,0))</f>
        <v>0</v>
      </c>
      <c r="BQ263" s="39" t="n">
        <f aca="false">IF(BQ$4=0,0,IF(COUNTIFS(実績!$W$6:$W$505,BQ$3,実績!$AI$6:$AI$505,"&lt;="&amp;$A263,実績!$AJ$6:$AJ$505,"&gt;"&amp;$A263,実績!$AL$6:$AL$505,"○")&gt;0,1,0))</f>
        <v>0</v>
      </c>
      <c r="BR263" s="39" t="n">
        <f aca="false">IF(BR$4=0,0,IF(COUNTIFS(実績!$W$6:$W$505,BR$3,実績!$AI$6:$AI$505,"&lt;="&amp;$A263,実績!$AJ$6:$AJ$505,"&gt;"&amp;$A263,実績!$AL$6:$AL$505,"○")&gt;0,1,0))</f>
        <v>0</v>
      </c>
      <c r="BS263" s="39" t="n">
        <f aca="false">IF(BS$4=0,0,IF(COUNTIFS(実績!$W$6:$W$505,BS$3,実績!$AI$6:$AI$505,"&lt;="&amp;$A263,実績!$AJ$6:$AJ$505,"&gt;"&amp;$A263,実績!$AL$6:$AL$505,"○")&gt;0,1,0))</f>
        <v>0</v>
      </c>
      <c r="BT263" s="39" t="n">
        <f aca="false">IF(BT$4=0,0,IF(COUNTIFS(実績!$W$6:$W$505,BT$3,実績!$AI$6:$AI$505,"&lt;="&amp;$A263,実績!$AJ$6:$AJ$505,"&gt;"&amp;$A263,実績!$AL$6:$AL$505,"○")&gt;0,1,0))</f>
        <v>0</v>
      </c>
      <c r="BU263" s="39" t="n">
        <f aca="false">IF(BU$4=0,0,IF(COUNTIFS(実績!$W$6:$W$505,BU$3,実績!$AI$6:$AI$505,"&lt;="&amp;$A263,実績!$AJ$6:$AJ$505,"&gt;"&amp;$A263,実績!$AL$6:$AL$505,"○")&gt;0,1,0))</f>
        <v>0</v>
      </c>
      <c r="BV263" s="39" t="n">
        <f aca="false">IF(BV$4=0,0,IF(COUNTIFS(実績!$W$6:$W$505,BV$3,実績!$AI$6:$AI$505,"&lt;="&amp;$A263,実績!$AJ$6:$AJ$505,"&gt;"&amp;$A263,実績!$AL$6:$AL$505,"○")&gt;0,1,0))</f>
        <v>0</v>
      </c>
      <c r="BW263" s="39" t="n">
        <f aca="false">IF(BW$4=0,0,IF(COUNTIFS(実績!$W$6:$W$505,BW$3,実績!$AI$6:$AI$505,"&lt;="&amp;$A263,実績!$AJ$6:$AJ$505,"&gt;"&amp;$A263,実績!$AL$6:$AL$505,"○")&gt;0,1,0))</f>
        <v>0</v>
      </c>
      <c r="BX263" s="39" t="n">
        <f aca="false">IF(BX$4=0,0,IF(COUNTIFS(実績!$W$6:$W$505,BX$3,実績!$AI$6:$AI$505,"&lt;="&amp;$A263,実績!$AJ$6:$AJ$505,"&gt;"&amp;$A263,実績!$AL$6:$AL$505,"○")&gt;0,1,0))</f>
        <v>0</v>
      </c>
      <c r="BY263" s="39" t="n">
        <f aca="false">IF(BY$4=0,0,IF(COUNTIFS(実績!$W$6:$W$505,BY$3,実績!$AI$6:$AI$505,"&lt;="&amp;$A263,実績!$AJ$6:$AJ$505,"&gt;"&amp;$A263,実績!$AL$6:$AL$505,"○")&gt;0,1,0))</f>
        <v>0</v>
      </c>
      <c r="BZ263" s="39" t="n">
        <f aca="false">IF(BZ$4=0,0,IF(COUNTIFS(実績!$W$6:$W$505,BZ$3,実績!$AI$6:$AI$505,"&lt;="&amp;$A263,実績!$AJ$6:$AJ$505,"&gt;"&amp;$A263,実績!$AL$6:$AL$505,"○")&gt;0,1,0))</f>
        <v>0</v>
      </c>
      <c r="CA263" s="39" t="n">
        <f aca="false">IF(CA$4=0,0,IF(COUNTIFS(実績!$W$6:$W$505,CA$3,実績!$AI$6:$AI$505,"&lt;="&amp;$A263,実績!$AJ$6:$AJ$505,"&gt;"&amp;$A263,実績!$AL$6:$AL$505,"○")&gt;0,1,0))</f>
        <v>0</v>
      </c>
      <c r="CB263" s="39" t="n">
        <f aca="false">IF(CB$4=0,0,IF(COUNTIFS(実績!$W$6:$W$505,CB$3,実績!$AI$6:$AI$505,"&lt;="&amp;$A263,実績!$AJ$6:$AJ$505,"&gt;"&amp;$A263,実績!$AL$6:$AL$505,"○")&gt;0,1,0))</f>
        <v>0</v>
      </c>
      <c r="CC263" s="39" t="n">
        <f aca="false">IF(CC$4=0,0,IF(COUNTIFS(実績!$W$6:$W$505,CC$3,実績!$AI$6:$AI$505,"&lt;="&amp;$A263,実績!$AJ$6:$AJ$505,"&gt;"&amp;$A263,実績!$AL$6:$AL$505,"○")&gt;0,1,0))</f>
        <v>0</v>
      </c>
      <c r="CD263" s="39" t="n">
        <f aca="false">IF(CD$4=0,0,IF(COUNTIFS(実績!$W$6:$W$505,CD$3,実績!$AI$6:$AI$505,"&lt;="&amp;$A263,実績!$AJ$6:$AJ$505,"&gt;"&amp;$A263,実績!$AL$6:$AL$505,"○")&gt;0,1,0))</f>
        <v>0</v>
      </c>
      <c r="CE263" s="39" t="n">
        <f aca="false">IF(CE$4=0,0,IF(COUNTIFS(実績!$W$6:$W$505,CE$3,実績!$AI$6:$AI$505,"&lt;="&amp;$A263,実績!$AJ$6:$AJ$505,"&gt;"&amp;$A263,実績!$AL$6:$AL$505,"○")&gt;0,1,0))</f>
        <v>0</v>
      </c>
      <c r="CF263" s="39" t="n">
        <f aca="false">IF(CF$4=0,0,IF(COUNTIFS(実績!$W$6:$W$505,CF$3,実績!$AI$6:$AI$505,"&lt;="&amp;$A263,実績!$AJ$6:$AJ$505,"&gt;"&amp;$A263,実績!$AL$6:$AL$505,"○")&gt;0,1,0))</f>
        <v>0</v>
      </c>
      <c r="CG263" s="39" t="n">
        <f aca="false">IF(CG$4=0,0,IF(COUNTIFS(実績!$W$6:$W$505,CG$3,実績!$AI$6:$AI$505,"&lt;="&amp;$A263,実績!$AJ$6:$AJ$505,"&gt;"&amp;$A263,実績!$AL$6:$AL$505,"○")&gt;0,1,0))</f>
        <v>0</v>
      </c>
      <c r="CH263" s="39" t="n">
        <f aca="false">IF(CH$4=0,0,IF(COUNTIFS(実績!$W$6:$W$505,CH$3,実績!$AI$6:$AI$505,"&lt;="&amp;$A263,実績!$AJ$6:$AJ$505,"&gt;"&amp;$A263,実績!$AL$6:$AL$505,"○")&gt;0,1,0))</f>
        <v>0</v>
      </c>
      <c r="CI263" s="39" t="n">
        <f aca="false">IF(CI$4=0,0,IF(COUNTIFS(実績!$W$6:$W$505,CI$3,実績!$AI$6:$AI$505,"&lt;="&amp;$A263,実績!$AJ$6:$AJ$505,"&gt;"&amp;$A263,実績!$AL$6:$AL$505,"○")&gt;0,1,0))</f>
        <v>0</v>
      </c>
      <c r="CJ263" s="39" t="n">
        <f aca="false">IF(CJ$4=0,0,IF(COUNTIFS(実績!$W$6:$W$505,CJ$3,実績!$AI$6:$AI$505,"&lt;="&amp;$A263,実績!$AJ$6:$AJ$505,"&gt;"&amp;$A263,実績!$AL$6:$AL$505,"○")&gt;0,1,0))</f>
        <v>0</v>
      </c>
      <c r="CK263" s="39" t="n">
        <f aca="false">IF(CK$4=0,0,IF(COUNTIFS(実績!$W$6:$W$505,CK$3,実績!$AI$6:$AI$505,"&lt;="&amp;$A263,実績!$AJ$6:$AJ$505,"&gt;"&amp;$A263,実績!$AL$6:$AL$505,"○")&gt;0,1,0))</f>
        <v>0</v>
      </c>
      <c r="CL263" s="39" t="n">
        <f aca="false">IF(CL$4=0,0,IF(COUNTIFS(実績!$W$6:$W$505,CL$3,実績!$AI$6:$AI$505,"&lt;="&amp;$A263,実績!$AJ$6:$AJ$505,"&gt;"&amp;$A263,実績!$AL$6:$AL$505,"○")&gt;0,1,0))</f>
        <v>0</v>
      </c>
      <c r="CM263" s="39" t="n">
        <f aca="false">IF(CM$4=0,0,IF(COUNTIFS(実績!$W$6:$W$505,CM$3,実績!$AI$6:$AI$505,"&lt;="&amp;$A263,実績!$AJ$6:$AJ$505,"&gt;"&amp;$A263,実績!$AL$6:$AL$505,"○")&gt;0,1,0))</f>
        <v>0</v>
      </c>
      <c r="CN263" s="39" t="n">
        <f aca="false">IF(CN$4=0,0,IF(COUNTIFS(実績!$W$6:$W$505,CN$3,実績!$AI$6:$AI$505,"&lt;="&amp;$A263,実績!$AJ$6:$AJ$505,"&gt;"&amp;$A263,実績!$AL$6:$AL$505,"○")&gt;0,1,0))</f>
        <v>0</v>
      </c>
      <c r="CO263" s="39" t="n">
        <f aca="false">IF(CO$4=0,0,IF(COUNTIFS(実績!$W$6:$W$505,CO$3,実績!$AI$6:$AI$505,"&lt;="&amp;$A263,実績!$AJ$6:$AJ$505,"&gt;"&amp;$A263,実績!$AL$6:$AL$505,"○")&gt;0,1,0))</f>
        <v>0</v>
      </c>
      <c r="CP263" s="39" t="n">
        <f aca="false">IF(CP$4=0,0,IF(COUNTIFS(実績!$W$6:$W$505,CP$3,実績!$AI$6:$AI$505,"&lt;="&amp;$A263,実績!$AJ$6:$AJ$505,"&gt;"&amp;$A263,実績!$AL$6:$AL$505,"○")&gt;0,1,0))</f>
        <v>0</v>
      </c>
      <c r="CQ263" s="39" t="n">
        <f aca="false">IF(CQ$4=0,0,IF(COUNTIFS(実績!$W$6:$W$505,CQ$3,実績!$AI$6:$AI$505,"&lt;="&amp;$A263,実績!$AJ$6:$AJ$505,"&gt;"&amp;$A263,実績!$AL$6:$AL$505,"○")&gt;0,1,0))</f>
        <v>0</v>
      </c>
      <c r="CR263" s="39" t="n">
        <f aca="false">IF(CR$4=0,0,IF(COUNTIFS(実績!$W$6:$W$505,CR$3,実績!$AI$6:$AI$505,"&lt;="&amp;$A263,実績!$AJ$6:$AJ$505,"&gt;"&amp;$A263,実績!$AL$6:$AL$505,"○")&gt;0,1,0))</f>
        <v>0</v>
      </c>
      <c r="CS263" s="39" t="n">
        <f aca="false">IF(CS$4=0,0,IF(COUNTIFS(実績!$W$6:$W$505,CS$3,実績!$AI$6:$AI$505,"&lt;="&amp;$A263,実績!$AJ$6:$AJ$505,"&gt;"&amp;$A263,実績!$AL$6:$AL$505,"○")&gt;0,1,0))</f>
        <v>0</v>
      </c>
      <c r="CT263" s="39" t="n">
        <f aca="false">IF(CT$4=0,0,IF(COUNTIFS(実績!$W$6:$W$505,CT$3,実績!$AI$6:$AI$505,"&lt;="&amp;$A263,実績!$AJ$6:$AJ$505,"&gt;"&amp;$A263,実績!$AL$6:$AL$505,"○")&gt;0,1,0))</f>
        <v>0</v>
      </c>
      <c r="CU263" s="39" t="n">
        <f aca="false">IF(CU$4=0,0,IF(COUNTIFS(実績!$W$6:$W$505,CU$3,実績!$AI$6:$AI$505,"&lt;="&amp;$A263,実績!$AJ$6:$AJ$505,"&gt;"&amp;$A263,実績!$AL$6:$AL$505,"○")&gt;0,1,0))</f>
        <v>0</v>
      </c>
      <c r="CV263" s="39" t="n">
        <f aca="false">IF(CV$4=0,0,IF(COUNTIFS(実績!$W$6:$W$505,CV$3,実績!$AI$6:$AI$505,"&lt;="&amp;$A263,実績!$AJ$6:$AJ$505,"&gt;"&amp;$A263,実績!$AL$6:$AL$505,"○")&gt;0,1,0))</f>
        <v>0</v>
      </c>
      <c r="CW263" s="39" t="n">
        <f aca="false">IF(CW$4=0,0,IF(COUNTIFS(実績!$W$6:$W$505,CW$3,実績!$AI$6:$AI$505,"&lt;="&amp;$A263,実績!$AJ$6:$AJ$505,"&gt;"&amp;$A263,実績!$AL$6:$AL$505,"○")&gt;0,1,0))</f>
        <v>0</v>
      </c>
      <c r="CX263" s="39" t="n">
        <f aca="false">IF(CX$4=0,0,IF(COUNTIFS(実績!$W$6:$W$505,CX$3,実績!$AI$6:$AI$505,"&lt;="&amp;$A263,実績!$AJ$6:$AJ$505,"&gt;"&amp;$A263,実績!$AL$6:$AL$505,"○")&gt;0,1,0))</f>
        <v>0</v>
      </c>
      <c r="CY263" s="39" t="n">
        <f aca="false">IF(CY$4=0,0,IF(COUNTIFS(実績!$W$6:$W$505,CY$3,実績!$AI$6:$AI$505,"&lt;="&amp;$A263,実績!$AJ$6:$AJ$505,"&gt;"&amp;$A263,実績!$AL$6:$AL$505,"○")&gt;0,1,0))</f>
        <v>0</v>
      </c>
      <c r="CZ263" s="39" t="n">
        <f aca="false">IF(CZ$4=0,0,IF(COUNTIFS(実績!$W$6:$W$505,CZ$3,実績!$AI$6:$AI$505,"&lt;="&amp;$A263,実績!$AJ$6:$AJ$505,"&gt;"&amp;$A263,実績!$AL$6:$AL$505,"○")&gt;0,1,0))</f>
        <v>0</v>
      </c>
      <c r="DA263" s="39" t="n">
        <f aca="false">IF(DA$4=0,0,IF(COUNTIFS(実績!$W$6:$W$505,DA$3,実績!$AI$6:$AI$505,"&lt;="&amp;$A263,実績!$AJ$6:$AJ$505,"&gt;"&amp;$A263,実績!$AL$6:$AL$505,"○")&gt;0,1,0))</f>
        <v>0</v>
      </c>
      <c r="DB263" s="39" t="n">
        <f aca="false">IF(DB$4=0,0,IF(COUNTIFS(実績!$W$6:$W$505,DB$3,実績!$AI$6:$AI$505,"&lt;="&amp;$A263,実績!$AJ$6:$AJ$505,"&gt;"&amp;$A263,実績!$AL$6:$AL$505,"○")&gt;0,1,0))</f>
        <v>0</v>
      </c>
      <c r="DC263" s="39" t="n">
        <f aca="false">IF(DC$4=0,0,IF(COUNTIFS(実績!$W$6:$W$505,DC$3,実績!$AI$6:$AI$505,"&lt;="&amp;$A263,実績!$AJ$6:$AJ$505,"&gt;"&amp;$A263,実績!$AL$6:$AL$505,"○")&gt;0,1,0))</f>
        <v>0</v>
      </c>
      <c r="DD263" s="39" t="n">
        <f aca="false">IF(DD$4=0,0,IF(COUNTIFS(実績!$W$6:$W$505,DD$3,実績!$AI$6:$AI$505,"&lt;="&amp;$A263,実績!$AJ$6:$AJ$505,"&gt;"&amp;$A263,実績!$AL$6:$AL$505,"○")&gt;0,1,0))</f>
        <v>0</v>
      </c>
      <c r="DE263" s="39" t="n">
        <f aca="false">IF(DE$4=0,0,IF(COUNTIFS(実績!$W$6:$W$505,DE$3,実績!$AI$6:$AI$505,"&lt;="&amp;$A263,実績!$AJ$6:$AJ$505,"&gt;"&amp;$A263,実績!$AL$6:$AL$505,"○")&gt;0,1,0))</f>
        <v>0</v>
      </c>
      <c r="DF263" s="39" t="n">
        <f aca="false">IF(DF$4=0,0,IF(COUNTIFS(実績!$W$6:$W$505,DF$3,実績!$AI$6:$AI$505,"&lt;="&amp;$A263,実績!$AJ$6:$AJ$505,"&gt;"&amp;$A263,実績!$AL$6:$AL$505,"○")&gt;0,1,0))</f>
        <v>0</v>
      </c>
      <c r="DG263" s="39" t="n">
        <f aca="false">IF(DG$4=0,0,IF(COUNTIFS(実績!$W$6:$W$505,DG$3,実績!$AI$6:$AI$505,"&lt;="&amp;$A263,実績!$AJ$6:$AJ$505,"&gt;"&amp;$A263,実績!$AL$6:$AL$505,"○")&gt;0,1,0))</f>
        <v>0</v>
      </c>
      <c r="DH263" s="39" t="n">
        <f aca="false">IF(DH$4=0,0,IF(COUNTIFS(実績!$W$6:$W$505,DH$3,実績!$AI$6:$AI$505,"&lt;="&amp;$A263,実績!$AJ$6:$AJ$505,"&gt;"&amp;$A263,実績!$AL$6:$AL$505,"○")&gt;0,1,0))</f>
        <v>0</v>
      </c>
      <c r="DI263" s="39" t="n">
        <f aca="false">IF(DI$4=0,0,IF(COUNTIFS(実績!$W$6:$W$505,DI$3,実績!$AI$6:$AI$505,"&lt;="&amp;$A263,実績!$AJ$6:$AJ$505,"&gt;"&amp;$A263,実績!$AL$6:$AL$505,"○")&gt;0,1,0))</f>
        <v>0</v>
      </c>
      <c r="DJ263" s="39" t="n">
        <f aca="false">IF(DJ$4=0,0,IF(COUNTIFS(実績!$W$6:$W$505,DJ$3,実績!$AI$6:$AI$505,"&lt;="&amp;$A263,実績!$AJ$6:$AJ$505,"&gt;"&amp;$A263,実績!$AL$6:$AL$505,"○")&gt;0,1,0))</f>
        <v>0</v>
      </c>
      <c r="DK263" s="39" t="n">
        <f aca="false">IF(DK$4=0,0,IF(COUNTIFS(実績!$W$6:$W$505,DK$3,実績!$AI$6:$AI$505,"&lt;="&amp;$A263,実績!$AJ$6:$AJ$505,"&gt;"&amp;$A263,実績!$AL$6:$AL$505,"○")&gt;0,1,0))</f>
        <v>0</v>
      </c>
      <c r="DL263" s="39" t="n">
        <f aca="false">IF(DL$4=0,0,IF(COUNTIFS(実績!$W$6:$W$505,DL$3,実績!$AI$6:$AI$505,"&lt;="&amp;$A263,実績!$AJ$6:$AJ$505,"&gt;"&amp;$A263,実績!$AL$6:$AL$505,"○")&gt;0,1,0))</f>
        <v>0</v>
      </c>
      <c r="DM263" s="39" t="n">
        <f aca="false">IF(DM$4=0,0,IF(COUNTIFS(実績!$W$6:$W$505,DM$3,実績!$AI$6:$AI$505,"&lt;="&amp;$A263,実績!$AJ$6:$AJ$505,"&gt;"&amp;$A263,実績!$AL$6:$AL$505,"○")&gt;0,1,0))</f>
        <v>0</v>
      </c>
      <c r="DN263" s="39" t="n">
        <f aca="false">IF(DN$4=0,0,IF(COUNTIFS(実績!$W$6:$W$505,DN$3,実績!$AI$6:$AI$505,"&lt;="&amp;$A263,実績!$AJ$6:$AJ$505,"&gt;"&amp;$A263,実績!$AL$6:$AL$505,"○")&gt;0,1,0))</f>
        <v>0</v>
      </c>
      <c r="DO263" s="39" t="n">
        <f aca="false">IF(DO$4=0,0,IF(COUNTIFS(実績!$W$6:$W$505,DO$3,実績!$AI$6:$AI$505,"&lt;="&amp;$A263,実績!$AJ$6:$AJ$505,"&gt;"&amp;$A263,実績!$AL$6:$AL$505,"○")&gt;0,1,0))</f>
        <v>0</v>
      </c>
      <c r="DP263" s="39" t="n">
        <f aca="false">IF(DP$4=0,0,IF(COUNTIFS(実績!$W$6:$W$505,DP$3,実績!$AI$6:$AI$505,"&lt;="&amp;$A263,実績!$AJ$6:$AJ$505,"&gt;"&amp;$A263,実績!$AL$6:$AL$505,"○")&gt;0,1,0))</f>
        <v>0</v>
      </c>
      <c r="DQ263" s="39" t="n">
        <f aca="false">IF(DQ$4=0,0,IF(COUNTIFS(実績!$W$6:$W$505,DQ$3,実績!$AI$6:$AI$505,"&lt;="&amp;$A263,実績!$AJ$6:$AJ$505,"&gt;"&amp;$A263,実績!$AL$6:$AL$505,"○")&gt;0,1,0))</f>
        <v>0</v>
      </c>
      <c r="DR263" s="39" t="n">
        <f aca="false">IF(DR$4=0,0,IF(COUNTIFS(実績!$W$6:$W$505,DR$3,実績!$AI$6:$AI$505,"&lt;="&amp;$A263,実績!$AJ$6:$AJ$505,"&gt;"&amp;$A263,実績!$AL$6:$AL$505,"○")&gt;0,1,0))</f>
        <v>0</v>
      </c>
      <c r="DS263" s="39" t="n">
        <f aca="false">SUM(C263:DR263)</f>
        <v>0</v>
      </c>
    </row>
    <row r="264" customFormat="false" ht="15" hidden="false" customHeight="false" outlineLevel="0" collapsed="false">
      <c r="A264" s="0" t="n">
        <v>1290</v>
      </c>
      <c r="B264" s="38" t="n">
        <f aca="false">A264/1440</f>
        <v>0.895833333333333</v>
      </c>
      <c r="C264" s="39" t="n">
        <f aca="false">IF(C$4=0,0,IF(COUNTIFS(実績!$W$6:$W$505,C$3,実績!$AI$6:$AI$505,"&lt;="&amp;$A264,実績!$AJ$6:$AJ$505,"&gt;"&amp;$A264,実績!$AL$6:$AL$505,"○")&gt;0,1,0))</f>
        <v>0</v>
      </c>
      <c r="D264" s="39" t="n">
        <f aca="false">IF(D$4=0,0,IF(COUNTIFS(実績!$W$6:$W$505,D$3,実績!$AI$6:$AI$505,"&lt;="&amp;$A264,実績!$AJ$6:$AJ$505,"&gt;"&amp;$A264,実績!$AL$6:$AL$505,"○")&gt;0,1,0))</f>
        <v>0</v>
      </c>
      <c r="E264" s="39" t="n">
        <f aca="false">IF(E$4=0,0,IF(COUNTIFS(実績!$W$6:$W$505,E$3,実績!$AI$6:$AI$505,"&lt;="&amp;$A264,実績!$AJ$6:$AJ$505,"&gt;"&amp;$A264,実績!$AL$6:$AL$505,"○")&gt;0,1,0))</f>
        <v>0</v>
      </c>
      <c r="F264" s="39" t="n">
        <f aca="false">IF(F$4=0,0,IF(COUNTIFS(実績!$W$6:$W$505,F$3,実績!$AI$6:$AI$505,"&lt;="&amp;$A264,実績!$AJ$6:$AJ$505,"&gt;"&amp;$A264,実績!$AL$6:$AL$505,"○")&gt;0,1,0))</f>
        <v>0</v>
      </c>
      <c r="G264" s="39" t="n">
        <f aca="false">IF(G$4=0,0,IF(COUNTIFS(実績!$W$6:$W$505,G$3,実績!$AI$6:$AI$505,"&lt;="&amp;$A264,実績!$AJ$6:$AJ$505,"&gt;"&amp;$A264,実績!$AL$6:$AL$505,"○")&gt;0,1,0))</f>
        <v>0</v>
      </c>
      <c r="H264" s="39" t="n">
        <f aca="false">IF(H$4=0,0,IF(COUNTIFS(実績!$W$6:$W$505,H$3,実績!$AI$6:$AI$505,"&lt;="&amp;$A264,実績!$AJ$6:$AJ$505,"&gt;"&amp;$A264,実績!$AL$6:$AL$505,"○")&gt;0,1,0))</f>
        <v>0</v>
      </c>
      <c r="I264" s="39" t="n">
        <f aca="false">IF(I$4=0,0,IF(COUNTIFS(実績!$W$6:$W$505,I$3,実績!$AI$6:$AI$505,"&lt;="&amp;$A264,実績!$AJ$6:$AJ$505,"&gt;"&amp;$A264,実績!$AL$6:$AL$505,"○")&gt;0,1,0))</f>
        <v>0</v>
      </c>
      <c r="J264" s="39" t="n">
        <f aca="false">IF(J$4=0,0,IF(COUNTIFS(実績!$W$6:$W$505,J$3,実績!$AI$6:$AI$505,"&lt;="&amp;$A264,実績!$AJ$6:$AJ$505,"&gt;"&amp;$A264,実績!$AL$6:$AL$505,"○")&gt;0,1,0))</f>
        <v>0</v>
      </c>
      <c r="K264" s="39" t="n">
        <f aca="false">IF(K$4=0,0,IF(COUNTIFS(実績!$W$6:$W$505,K$3,実績!$AI$6:$AI$505,"&lt;="&amp;$A264,実績!$AJ$6:$AJ$505,"&gt;"&amp;$A264,実績!$AL$6:$AL$505,"○")&gt;0,1,0))</f>
        <v>0</v>
      </c>
      <c r="L264" s="39" t="n">
        <f aca="false">IF(L$4=0,0,IF(COUNTIFS(実績!$W$6:$W$505,L$3,実績!$AI$6:$AI$505,"&lt;="&amp;$A264,実績!$AJ$6:$AJ$505,"&gt;"&amp;$A264,実績!$AL$6:$AL$505,"○")&gt;0,1,0))</f>
        <v>0</v>
      </c>
      <c r="M264" s="39" t="n">
        <f aca="false">IF(M$4=0,0,IF(COUNTIFS(実績!$W$6:$W$505,M$3,実績!$AI$6:$AI$505,"&lt;="&amp;$A264,実績!$AJ$6:$AJ$505,"&gt;"&amp;$A264,実績!$AL$6:$AL$505,"○")&gt;0,1,0))</f>
        <v>0</v>
      </c>
      <c r="N264" s="39" t="n">
        <f aca="false">IF(N$4=0,0,IF(COUNTIFS(実績!$W$6:$W$505,N$3,実績!$AI$6:$AI$505,"&lt;="&amp;$A264,実績!$AJ$6:$AJ$505,"&gt;"&amp;$A264,実績!$AL$6:$AL$505,"○")&gt;0,1,0))</f>
        <v>0</v>
      </c>
      <c r="O264" s="39" t="n">
        <f aca="false">IF(O$4=0,0,IF(COUNTIFS(実績!$W$6:$W$505,O$3,実績!$AI$6:$AI$505,"&lt;="&amp;$A264,実績!$AJ$6:$AJ$505,"&gt;"&amp;$A264,実績!$AL$6:$AL$505,"○")&gt;0,1,0))</f>
        <v>0</v>
      </c>
      <c r="P264" s="39" t="n">
        <f aca="false">IF(P$4=0,0,IF(COUNTIFS(実績!$W$6:$W$505,P$3,実績!$AI$6:$AI$505,"&lt;="&amp;$A264,実績!$AJ$6:$AJ$505,"&gt;"&amp;$A264,実績!$AL$6:$AL$505,"○")&gt;0,1,0))</f>
        <v>0</v>
      </c>
      <c r="Q264" s="39" t="n">
        <f aca="false">IF(Q$4=0,0,IF(COUNTIFS(実績!$W$6:$W$505,Q$3,実績!$AI$6:$AI$505,"&lt;="&amp;$A264,実績!$AJ$6:$AJ$505,"&gt;"&amp;$A264,実績!$AL$6:$AL$505,"○")&gt;0,1,0))</f>
        <v>0</v>
      </c>
      <c r="R264" s="39" t="n">
        <f aca="false">IF(R$4=0,0,IF(COUNTIFS(実績!$W$6:$W$505,R$3,実績!$AI$6:$AI$505,"&lt;="&amp;$A264,実績!$AJ$6:$AJ$505,"&gt;"&amp;$A264,実績!$AL$6:$AL$505,"○")&gt;0,1,0))</f>
        <v>0</v>
      </c>
      <c r="S264" s="39" t="n">
        <f aca="false">IF(S$4=0,0,IF(COUNTIFS(実績!$W$6:$W$505,S$3,実績!$AI$6:$AI$505,"&lt;="&amp;$A264,実績!$AJ$6:$AJ$505,"&gt;"&amp;$A264,実績!$AL$6:$AL$505,"○")&gt;0,1,0))</f>
        <v>0</v>
      </c>
      <c r="T264" s="39" t="n">
        <f aca="false">IF(T$4=0,0,IF(COUNTIFS(実績!$W$6:$W$505,T$3,実績!$AI$6:$AI$505,"&lt;="&amp;$A264,実績!$AJ$6:$AJ$505,"&gt;"&amp;$A264,実績!$AL$6:$AL$505,"○")&gt;0,1,0))</f>
        <v>0</v>
      </c>
      <c r="U264" s="39" t="n">
        <f aca="false">IF(U$4=0,0,IF(COUNTIFS(実績!$W$6:$W$505,U$3,実績!$AI$6:$AI$505,"&lt;="&amp;$A264,実績!$AJ$6:$AJ$505,"&gt;"&amp;$A264,実績!$AL$6:$AL$505,"○")&gt;0,1,0))</f>
        <v>0</v>
      </c>
      <c r="V264" s="39" t="n">
        <f aca="false">IF(V$4=0,0,IF(COUNTIFS(実績!$W$6:$W$505,V$3,実績!$AI$6:$AI$505,"&lt;="&amp;$A264,実績!$AJ$6:$AJ$505,"&gt;"&amp;$A264,実績!$AL$6:$AL$505,"○")&gt;0,1,0))</f>
        <v>0</v>
      </c>
      <c r="W264" s="39" t="n">
        <f aca="false">IF(W$4=0,0,IF(COUNTIFS(実績!$W$6:$W$505,W$3,実績!$AI$6:$AI$505,"&lt;="&amp;$A264,実績!$AJ$6:$AJ$505,"&gt;"&amp;$A264,実績!$AL$6:$AL$505,"○")&gt;0,1,0))</f>
        <v>0</v>
      </c>
      <c r="X264" s="39" t="n">
        <f aca="false">IF(X$4=0,0,IF(COUNTIFS(実績!$W$6:$W$505,X$3,実績!$AI$6:$AI$505,"&lt;="&amp;$A264,実績!$AJ$6:$AJ$505,"&gt;"&amp;$A264,実績!$AL$6:$AL$505,"○")&gt;0,1,0))</f>
        <v>0</v>
      </c>
      <c r="Y264" s="39" t="n">
        <f aca="false">IF(Y$4=0,0,IF(COUNTIFS(実績!$W$6:$W$505,Y$3,実績!$AI$6:$AI$505,"&lt;="&amp;$A264,実績!$AJ$6:$AJ$505,"&gt;"&amp;$A264,実績!$AL$6:$AL$505,"○")&gt;0,1,0))</f>
        <v>0</v>
      </c>
      <c r="Z264" s="39" t="n">
        <f aca="false">IF(Z$4=0,0,IF(COUNTIFS(実績!$W$6:$W$505,Z$3,実績!$AI$6:$AI$505,"&lt;="&amp;$A264,実績!$AJ$6:$AJ$505,"&gt;"&amp;$A264,実績!$AL$6:$AL$505,"○")&gt;0,1,0))</f>
        <v>0</v>
      </c>
      <c r="AA264" s="39" t="n">
        <f aca="false">IF(AA$4=0,0,IF(COUNTIFS(実績!$W$6:$W$505,AA$3,実績!$AI$6:$AI$505,"&lt;="&amp;$A264,実績!$AJ$6:$AJ$505,"&gt;"&amp;$A264,実績!$AL$6:$AL$505,"○")&gt;0,1,0))</f>
        <v>0</v>
      </c>
      <c r="AB264" s="39" t="n">
        <f aca="false">IF(AB$4=0,0,IF(COUNTIFS(実績!$W$6:$W$505,AB$3,実績!$AI$6:$AI$505,"&lt;="&amp;$A264,実績!$AJ$6:$AJ$505,"&gt;"&amp;$A264,実績!$AL$6:$AL$505,"○")&gt;0,1,0))</f>
        <v>0</v>
      </c>
      <c r="AC264" s="39" t="n">
        <f aca="false">IF(AC$4=0,0,IF(COUNTIFS(実績!$W$6:$W$505,AC$3,実績!$AI$6:$AI$505,"&lt;="&amp;$A264,実績!$AJ$6:$AJ$505,"&gt;"&amp;$A264,実績!$AL$6:$AL$505,"○")&gt;0,1,0))</f>
        <v>0</v>
      </c>
      <c r="AD264" s="39" t="n">
        <f aca="false">IF(AD$4=0,0,IF(COUNTIFS(実績!$W$6:$W$505,AD$3,実績!$AI$6:$AI$505,"&lt;="&amp;$A264,実績!$AJ$6:$AJ$505,"&gt;"&amp;$A264,実績!$AL$6:$AL$505,"○")&gt;0,1,0))</f>
        <v>0</v>
      </c>
      <c r="AE264" s="39" t="n">
        <f aca="false">IF(AE$4=0,0,IF(COUNTIFS(実績!$W$6:$W$505,AE$3,実績!$AI$6:$AI$505,"&lt;="&amp;$A264,実績!$AJ$6:$AJ$505,"&gt;"&amp;$A264,実績!$AL$6:$AL$505,"○")&gt;0,1,0))</f>
        <v>0</v>
      </c>
      <c r="AF264" s="39" t="n">
        <f aca="false">IF(AF$4=0,0,IF(COUNTIFS(実績!$W$6:$W$505,AF$3,実績!$AI$6:$AI$505,"&lt;="&amp;$A264,実績!$AJ$6:$AJ$505,"&gt;"&amp;$A264,実績!$AL$6:$AL$505,"○")&gt;0,1,0))</f>
        <v>0</v>
      </c>
      <c r="AG264" s="39" t="n">
        <f aca="false">IF(AG$4=0,0,IF(COUNTIFS(実績!$W$6:$W$505,AG$3,実績!$AI$6:$AI$505,"&lt;="&amp;$A264,実績!$AJ$6:$AJ$505,"&gt;"&amp;$A264,実績!$AL$6:$AL$505,"○")&gt;0,1,0))</f>
        <v>0</v>
      </c>
      <c r="AH264" s="39" t="n">
        <f aca="false">IF(AH$4=0,0,IF(COUNTIFS(実績!$W$6:$W$505,AH$3,実績!$AI$6:$AI$505,"&lt;="&amp;$A264,実績!$AJ$6:$AJ$505,"&gt;"&amp;$A264,実績!$AL$6:$AL$505,"○")&gt;0,1,0))</f>
        <v>0</v>
      </c>
      <c r="AI264" s="39" t="n">
        <f aca="false">IF(AI$4=0,0,IF(COUNTIFS(実績!$W$6:$W$505,AI$3,実績!$AI$6:$AI$505,"&lt;="&amp;$A264,実績!$AJ$6:$AJ$505,"&gt;"&amp;$A264,実績!$AL$6:$AL$505,"○")&gt;0,1,0))</f>
        <v>0</v>
      </c>
      <c r="AJ264" s="39" t="n">
        <f aca="false">IF(AJ$4=0,0,IF(COUNTIFS(実績!$W$6:$W$505,AJ$3,実績!$AI$6:$AI$505,"&lt;="&amp;$A264,実績!$AJ$6:$AJ$505,"&gt;"&amp;$A264,実績!$AL$6:$AL$505,"○")&gt;0,1,0))</f>
        <v>0</v>
      </c>
      <c r="AK264" s="39" t="n">
        <f aca="false">IF(AK$4=0,0,IF(COUNTIFS(実績!$W$6:$W$505,AK$3,実績!$AI$6:$AI$505,"&lt;="&amp;$A264,実績!$AJ$6:$AJ$505,"&gt;"&amp;$A264,実績!$AL$6:$AL$505,"○")&gt;0,1,0))</f>
        <v>0</v>
      </c>
      <c r="AL264" s="39" t="n">
        <f aca="false">IF(AL$4=0,0,IF(COUNTIFS(実績!$W$6:$W$505,AL$3,実績!$AI$6:$AI$505,"&lt;="&amp;$A264,実績!$AJ$6:$AJ$505,"&gt;"&amp;$A264,実績!$AL$6:$AL$505,"○")&gt;0,1,0))</f>
        <v>0</v>
      </c>
      <c r="AM264" s="39" t="n">
        <f aca="false">IF(AM$4=0,0,IF(COUNTIFS(実績!$W$6:$W$505,AM$3,実績!$AI$6:$AI$505,"&lt;="&amp;$A264,実績!$AJ$6:$AJ$505,"&gt;"&amp;$A264,実績!$AL$6:$AL$505,"○")&gt;0,1,0))</f>
        <v>0</v>
      </c>
      <c r="AN264" s="39" t="n">
        <f aca="false">IF(AN$4=0,0,IF(COUNTIFS(実績!$W$6:$W$505,AN$3,実績!$AI$6:$AI$505,"&lt;="&amp;$A264,実績!$AJ$6:$AJ$505,"&gt;"&amp;$A264,実績!$AL$6:$AL$505,"○")&gt;0,1,0))</f>
        <v>0</v>
      </c>
      <c r="AO264" s="39" t="n">
        <f aca="false">IF(AO$4=0,0,IF(COUNTIFS(実績!$W$6:$W$505,AO$3,実績!$AI$6:$AI$505,"&lt;="&amp;$A264,実績!$AJ$6:$AJ$505,"&gt;"&amp;$A264,実績!$AL$6:$AL$505,"○")&gt;0,1,0))</f>
        <v>0</v>
      </c>
      <c r="AP264" s="39" t="n">
        <f aca="false">IF(AP$4=0,0,IF(COUNTIFS(実績!$W$6:$W$505,AP$3,実績!$AI$6:$AI$505,"&lt;="&amp;$A264,実績!$AJ$6:$AJ$505,"&gt;"&amp;$A264,実績!$AL$6:$AL$505,"○")&gt;0,1,0))</f>
        <v>0</v>
      </c>
      <c r="AQ264" s="39" t="n">
        <f aca="false">IF(AQ$4=0,0,IF(COUNTIFS(実績!$W$6:$W$505,AQ$3,実績!$AI$6:$AI$505,"&lt;="&amp;$A264,実績!$AJ$6:$AJ$505,"&gt;"&amp;$A264,実績!$AL$6:$AL$505,"○")&gt;0,1,0))</f>
        <v>0</v>
      </c>
      <c r="AR264" s="39" t="n">
        <f aca="false">IF(AR$4=0,0,IF(COUNTIFS(実績!$W$6:$W$505,AR$3,実績!$AI$6:$AI$505,"&lt;="&amp;$A264,実績!$AJ$6:$AJ$505,"&gt;"&amp;$A264,実績!$AL$6:$AL$505,"○")&gt;0,1,0))</f>
        <v>0</v>
      </c>
      <c r="AS264" s="39" t="n">
        <f aca="false">IF(AS$4=0,0,IF(COUNTIFS(実績!$W$6:$W$505,AS$3,実績!$AI$6:$AI$505,"&lt;="&amp;$A264,実績!$AJ$6:$AJ$505,"&gt;"&amp;$A264,実績!$AL$6:$AL$505,"○")&gt;0,1,0))</f>
        <v>0</v>
      </c>
      <c r="AT264" s="39" t="n">
        <f aca="false">IF(AT$4=0,0,IF(COUNTIFS(実績!$W$6:$W$505,AT$3,実績!$AI$6:$AI$505,"&lt;="&amp;$A264,実績!$AJ$6:$AJ$505,"&gt;"&amp;$A264,実績!$AL$6:$AL$505,"○")&gt;0,1,0))</f>
        <v>0</v>
      </c>
      <c r="AU264" s="39" t="n">
        <f aca="false">IF(AU$4=0,0,IF(COUNTIFS(実績!$W$6:$W$505,AU$3,実績!$AI$6:$AI$505,"&lt;="&amp;$A264,実績!$AJ$6:$AJ$505,"&gt;"&amp;$A264,実績!$AL$6:$AL$505,"○")&gt;0,1,0))</f>
        <v>0</v>
      </c>
      <c r="AV264" s="39" t="n">
        <f aca="false">IF(AV$4=0,0,IF(COUNTIFS(実績!$W$6:$W$505,AV$3,実績!$AI$6:$AI$505,"&lt;="&amp;$A264,実績!$AJ$6:$AJ$505,"&gt;"&amp;$A264,実績!$AL$6:$AL$505,"○")&gt;0,1,0))</f>
        <v>0</v>
      </c>
      <c r="AW264" s="39" t="n">
        <f aca="false">IF(AW$4=0,0,IF(COUNTIFS(実績!$W$6:$W$505,AW$3,実績!$AI$6:$AI$505,"&lt;="&amp;$A264,実績!$AJ$6:$AJ$505,"&gt;"&amp;$A264,実績!$AL$6:$AL$505,"○")&gt;0,1,0))</f>
        <v>0</v>
      </c>
      <c r="AX264" s="39" t="n">
        <f aca="false">IF(AX$4=0,0,IF(COUNTIFS(実績!$W$6:$W$505,AX$3,実績!$AI$6:$AI$505,"&lt;="&amp;$A264,実績!$AJ$6:$AJ$505,"&gt;"&amp;$A264,実績!$AL$6:$AL$505,"○")&gt;0,1,0))</f>
        <v>0</v>
      </c>
      <c r="AY264" s="39" t="n">
        <f aca="false">IF(AY$4=0,0,IF(COUNTIFS(実績!$W$6:$W$505,AY$3,実績!$AI$6:$AI$505,"&lt;="&amp;$A264,実績!$AJ$6:$AJ$505,"&gt;"&amp;$A264,実績!$AL$6:$AL$505,"○")&gt;0,1,0))</f>
        <v>0</v>
      </c>
      <c r="AZ264" s="39" t="n">
        <f aca="false">IF(AZ$4=0,0,IF(COUNTIFS(実績!$W$6:$W$505,AZ$3,実績!$AI$6:$AI$505,"&lt;="&amp;$A264,実績!$AJ$6:$AJ$505,"&gt;"&amp;$A264,実績!$AL$6:$AL$505,"○")&gt;0,1,0))</f>
        <v>0</v>
      </c>
      <c r="BA264" s="39" t="n">
        <f aca="false">IF(BA$4=0,0,IF(COUNTIFS(実績!$W$6:$W$505,BA$3,実績!$AI$6:$AI$505,"&lt;="&amp;$A264,実績!$AJ$6:$AJ$505,"&gt;"&amp;$A264,実績!$AL$6:$AL$505,"○")&gt;0,1,0))</f>
        <v>0</v>
      </c>
      <c r="BB264" s="39" t="n">
        <f aca="false">IF(BB$4=0,0,IF(COUNTIFS(実績!$W$6:$W$505,BB$3,実績!$AI$6:$AI$505,"&lt;="&amp;$A264,実績!$AJ$6:$AJ$505,"&gt;"&amp;$A264,実績!$AL$6:$AL$505,"○")&gt;0,1,0))</f>
        <v>0</v>
      </c>
      <c r="BC264" s="39" t="n">
        <f aca="false">IF(BC$4=0,0,IF(COUNTIFS(実績!$W$6:$W$505,BC$3,実績!$AI$6:$AI$505,"&lt;="&amp;$A264,実績!$AJ$6:$AJ$505,"&gt;"&amp;$A264,実績!$AL$6:$AL$505,"○")&gt;0,1,0))</f>
        <v>0</v>
      </c>
      <c r="BD264" s="39" t="n">
        <f aca="false">IF(BD$4=0,0,IF(COUNTIFS(実績!$W$6:$W$505,BD$3,実績!$AI$6:$AI$505,"&lt;="&amp;$A264,実績!$AJ$6:$AJ$505,"&gt;"&amp;$A264,実績!$AL$6:$AL$505,"○")&gt;0,1,0))</f>
        <v>0</v>
      </c>
      <c r="BE264" s="39" t="n">
        <f aca="false">IF(BE$4=0,0,IF(COUNTIFS(実績!$W$6:$W$505,BE$3,実績!$AI$6:$AI$505,"&lt;="&amp;$A264,実績!$AJ$6:$AJ$505,"&gt;"&amp;$A264,実績!$AL$6:$AL$505,"○")&gt;0,1,0))</f>
        <v>0</v>
      </c>
      <c r="BF264" s="39" t="n">
        <f aca="false">IF(BF$4=0,0,IF(COUNTIFS(実績!$W$6:$W$505,BF$3,実績!$AI$6:$AI$505,"&lt;="&amp;$A264,実績!$AJ$6:$AJ$505,"&gt;"&amp;$A264,実績!$AL$6:$AL$505,"○")&gt;0,1,0))</f>
        <v>0</v>
      </c>
      <c r="BG264" s="39" t="n">
        <f aca="false">IF(BG$4=0,0,IF(COUNTIFS(実績!$W$6:$W$505,BG$3,実績!$AI$6:$AI$505,"&lt;="&amp;$A264,実績!$AJ$6:$AJ$505,"&gt;"&amp;$A264,実績!$AL$6:$AL$505,"○")&gt;0,1,0))</f>
        <v>0</v>
      </c>
      <c r="BH264" s="39" t="n">
        <f aca="false">IF(BH$4=0,0,IF(COUNTIFS(実績!$W$6:$W$505,BH$3,実績!$AI$6:$AI$505,"&lt;="&amp;$A264,実績!$AJ$6:$AJ$505,"&gt;"&amp;$A264,実績!$AL$6:$AL$505,"○")&gt;0,1,0))</f>
        <v>0</v>
      </c>
      <c r="BI264" s="39" t="n">
        <f aca="false">IF(BI$4=0,0,IF(COUNTIFS(実績!$W$6:$W$505,BI$3,実績!$AI$6:$AI$505,"&lt;="&amp;$A264,実績!$AJ$6:$AJ$505,"&gt;"&amp;$A264,実績!$AL$6:$AL$505,"○")&gt;0,1,0))</f>
        <v>0</v>
      </c>
      <c r="BJ264" s="39" t="n">
        <f aca="false">IF(BJ$4=0,0,IF(COUNTIFS(実績!$W$6:$W$505,BJ$3,実績!$AI$6:$AI$505,"&lt;="&amp;$A264,実績!$AJ$6:$AJ$505,"&gt;"&amp;$A264,実績!$AL$6:$AL$505,"○")&gt;0,1,0))</f>
        <v>0</v>
      </c>
      <c r="BK264" s="39" t="n">
        <f aca="false">IF(BK$4=0,0,IF(COUNTIFS(実績!$W$6:$W$505,BK$3,実績!$AI$6:$AI$505,"&lt;="&amp;$A264,実績!$AJ$6:$AJ$505,"&gt;"&amp;$A264,実績!$AL$6:$AL$505,"○")&gt;0,1,0))</f>
        <v>0</v>
      </c>
      <c r="BL264" s="39" t="n">
        <f aca="false">IF(BL$4=0,0,IF(COUNTIFS(実績!$W$6:$W$505,BL$3,実績!$AI$6:$AI$505,"&lt;="&amp;$A264,実績!$AJ$6:$AJ$505,"&gt;"&amp;$A264,実績!$AL$6:$AL$505,"○")&gt;0,1,0))</f>
        <v>0</v>
      </c>
      <c r="BM264" s="39" t="n">
        <f aca="false">IF(BM$4=0,0,IF(COUNTIFS(実績!$W$6:$W$505,BM$3,実績!$AI$6:$AI$505,"&lt;="&amp;$A264,実績!$AJ$6:$AJ$505,"&gt;"&amp;$A264,実績!$AL$6:$AL$505,"○")&gt;0,1,0))</f>
        <v>0</v>
      </c>
      <c r="BN264" s="39" t="n">
        <f aca="false">IF(BN$4=0,0,IF(COUNTIFS(実績!$W$6:$W$505,BN$3,実績!$AI$6:$AI$505,"&lt;="&amp;$A264,実績!$AJ$6:$AJ$505,"&gt;"&amp;$A264,実績!$AL$6:$AL$505,"○")&gt;0,1,0))</f>
        <v>0</v>
      </c>
      <c r="BO264" s="39" t="n">
        <f aca="false">IF(BO$4=0,0,IF(COUNTIFS(実績!$W$6:$W$505,BO$3,実績!$AI$6:$AI$505,"&lt;="&amp;$A264,実績!$AJ$6:$AJ$505,"&gt;"&amp;$A264,実績!$AL$6:$AL$505,"○")&gt;0,1,0))</f>
        <v>0</v>
      </c>
      <c r="BP264" s="39" t="n">
        <f aca="false">IF(BP$4=0,0,IF(COUNTIFS(実績!$W$6:$W$505,BP$3,実績!$AI$6:$AI$505,"&lt;="&amp;$A264,実績!$AJ$6:$AJ$505,"&gt;"&amp;$A264,実績!$AL$6:$AL$505,"○")&gt;0,1,0))</f>
        <v>0</v>
      </c>
      <c r="BQ264" s="39" t="n">
        <f aca="false">IF(BQ$4=0,0,IF(COUNTIFS(実績!$W$6:$W$505,BQ$3,実績!$AI$6:$AI$505,"&lt;="&amp;$A264,実績!$AJ$6:$AJ$505,"&gt;"&amp;$A264,実績!$AL$6:$AL$505,"○")&gt;0,1,0))</f>
        <v>0</v>
      </c>
      <c r="BR264" s="39" t="n">
        <f aca="false">IF(BR$4=0,0,IF(COUNTIFS(実績!$W$6:$W$505,BR$3,実績!$AI$6:$AI$505,"&lt;="&amp;$A264,実績!$AJ$6:$AJ$505,"&gt;"&amp;$A264,実績!$AL$6:$AL$505,"○")&gt;0,1,0))</f>
        <v>0</v>
      </c>
      <c r="BS264" s="39" t="n">
        <f aca="false">IF(BS$4=0,0,IF(COUNTIFS(実績!$W$6:$W$505,BS$3,実績!$AI$6:$AI$505,"&lt;="&amp;$A264,実績!$AJ$6:$AJ$505,"&gt;"&amp;$A264,実績!$AL$6:$AL$505,"○")&gt;0,1,0))</f>
        <v>0</v>
      </c>
      <c r="BT264" s="39" t="n">
        <f aca="false">IF(BT$4=0,0,IF(COUNTIFS(実績!$W$6:$W$505,BT$3,実績!$AI$6:$AI$505,"&lt;="&amp;$A264,実績!$AJ$6:$AJ$505,"&gt;"&amp;$A264,実績!$AL$6:$AL$505,"○")&gt;0,1,0))</f>
        <v>0</v>
      </c>
      <c r="BU264" s="39" t="n">
        <f aca="false">IF(BU$4=0,0,IF(COUNTIFS(実績!$W$6:$W$505,BU$3,実績!$AI$6:$AI$505,"&lt;="&amp;$A264,実績!$AJ$6:$AJ$505,"&gt;"&amp;$A264,実績!$AL$6:$AL$505,"○")&gt;0,1,0))</f>
        <v>0</v>
      </c>
      <c r="BV264" s="39" t="n">
        <f aca="false">IF(BV$4=0,0,IF(COUNTIFS(実績!$W$6:$W$505,BV$3,実績!$AI$6:$AI$505,"&lt;="&amp;$A264,実績!$AJ$6:$AJ$505,"&gt;"&amp;$A264,実績!$AL$6:$AL$505,"○")&gt;0,1,0))</f>
        <v>0</v>
      </c>
      <c r="BW264" s="39" t="n">
        <f aca="false">IF(BW$4=0,0,IF(COUNTIFS(実績!$W$6:$W$505,BW$3,実績!$AI$6:$AI$505,"&lt;="&amp;$A264,実績!$AJ$6:$AJ$505,"&gt;"&amp;$A264,実績!$AL$6:$AL$505,"○")&gt;0,1,0))</f>
        <v>0</v>
      </c>
      <c r="BX264" s="39" t="n">
        <f aca="false">IF(BX$4=0,0,IF(COUNTIFS(実績!$W$6:$W$505,BX$3,実績!$AI$6:$AI$505,"&lt;="&amp;$A264,実績!$AJ$6:$AJ$505,"&gt;"&amp;$A264,実績!$AL$6:$AL$505,"○")&gt;0,1,0))</f>
        <v>0</v>
      </c>
      <c r="BY264" s="39" t="n">
        <f aca="false">IF(BY$4=0,0,IF(COUNTIFS(実績!$W$6:$W$505,BY$3,実績!$AI$6:$AI$505,"&lt;="&amp;$A264,実績!$AJ$6:$AJ$505,"&gt;"&amp;$A264,実績!$AL$6:$AL$505,"○")&gt;0,1,0))</f>
        <v>0</v>
      </c>
      <c r="BZ264" s="39" t="n">
        <f aca="false">IF(BZ$4=0,0,IF(COUNTIFS(実績!$W$6:$W$505,BZ$3,実績!$AI$6:$AI$505,"&lt;="&amp;$A264,実績!$AJ$6:$AJ$505,"&gt;"&amp;$A264,実績!$AL$6:$AL$505,"○")&gt;0,1,0))</f>
        <v>0</v>
      </c>
      <c r="CA264" s="39" t="n">
        <f aca="false">IF(CA$4=0,0,IF(COUNTIFS(実績!$W$6:$W$505,CA$3,実績!$AI$6:$AI$505,"&lt;="&amp;$A264,実績!$AJ$6:$AJ$505,"&gt;"&amp;$A264,実績!$AL$6:$AL$505,"○")&gt;0,1,0))</f>
        <v>0</v>
      </c>
      <c r="CB264" s="39" t="n">
        <f aca="false">IF(CB$4=0,0,IF(COUNTIFS(実績!$W$6:$W$505,CB$3,実績!$AI$6:$AI$505,"&lt;="&amp;$A264,実績!$AJ$6:$AJ$505,"&gt;"&amp;$A264,実績!$AL$6:$AL$505,"○")&gt;0,1,0))</f>
        <v>0</v>
      </c>
      <c r="CC264" s="39" t="n">
        <f aca="false">IF(CC$4=0,0,IF(COUNTIFS(実績!$W$6:$W$505,CC$3,実績!$AI$6:$AI$505,"&lt;="&amp;$A264,実績!$AJ$6:$AJ$505,"&gt;"&amp;$A264,実績!$AL$6:$AL$505,"○")&gt;0,1,0))</f>
        <v>0</v>
      </c>
      <c r="CD264" s="39" t="n">
        <f aca="false">IF(CD$4=0,0,IF(COUNTIFS(実績!$W$6:$W$505,CD$3,実績!$AI$6:$AI$505,"&lt;="&amp;$A264,実績!$AJ$6:$AJ$505,"&gt;"&amp;$A264,実績!$AL$6:$AL$505,"○")&gt;0,1,0))</f>
        <v>0</v>
      </c>
      <c r="CE264" s="39" t="n">
        <f aca="false">IF(CE$4=0,0,IF(COUNTIFS(実績!$W$6:$W$505,CE$3,実績!$AI$6:$AI$505,"&lt;="&amp;$A264,実績!$AJ$6:$AJ$505,"&gt;"&amp;$A264,実績!$AL$6:$AL$505,"○")&gt;0,1,0))</f>
        <v>0</v>
      </c>
      <c r="CF264" s="39" t="n">
        <f aca="false">IF(CF$4=0,0,IF(COUNTIFS(実績!$W$6:$W$505,CF$3,実績!$AI$6:$AI$505,"&lt;="&amp;$A264,実績!$AJ$6:$AJ$505,"&gt;"&amp;$A264,実績!$AL$6:$AL$505,"○")&gt;0,1,0))</f>
        <v>0</v>
      </c>
      <c r="CG264" s="39" t="n">
        <f aca="false">IF(CG$4=0,0,IF(COUNTIFS(実績!$W$6:$W$505,CG$3,実績!$AI$6:$AI$505,"&lt;="&amp;$A264,実績!$AJ$6:$AJ$505,"&gt;"&amp;$A264,実績!$AL$6:$AL$505,"○")&gt;0,1,0))</f>
        <v>0</v>
      </c>
      <c r="CH264" s="39" t="n">
        <f aca="false">IF(CH$4=0,0,IF(COUNTIFS(実績!$W$6:$W$505,CH$3,実績!$AI$6:$AI$505,"&lt;="&amp;$A264,実績!$AJ$6:$AJ$505,"&gt;"&amp;$A264,実績!$AL$6:$AL$505,"○")&gt;0,1,0))</f>
        <v>0</v>
      </c>
      <c r="CI264" s="39" t="n">
        <f aca="false">IF(CI$4=0,0,IF(COUNTIFS(実績!$W$6:$W$505,CI$3,実績!$AI$6:$AI$505,"&lt;="&amp;$A264,実績!$AJ$6:$AJ$505,"&gt;"&amp;$A264,実績!$AL$6:$AL$505,"○")&gt;0,1,0))</f>
        <v>0</v>
      </c>
      <c r="CJ264" s="39" t="n">
        <f aca="false">IF(CJ$4=0,0,IF(COUNTIFS(実績!$W$6:$W$505,CJ$3,実績!$AI$6:$AI$505,"&lt;="&amp;$A264,実績!$AJ$6:$AJ$505,"&gt;"&amp;$A264,実績!$AL$6:$AL$505,"○")&gt;0,1,0))</f>
        <v>0</v>
      </c>
      <c r="CK264" s="39" t="n">
        <f aca="false">IF(CK$4=0,0,IF(COUNTIFS(実績!$W$6:$W$505,CK$3,実績!$AI$6:$AI$505,"&lt;="&amp;$A264,実績!$AJ$6:$AJ$505,"&gt;"&amp;$A264,実績!$AL$6:$AL$505,"○")&gt;0,1,0))</f>
        <v>0</v>
      </c>
      <c r="CL264" s="39" t="n">
        <f aca="false">IF(CL$4=0,0,IF(COUNTIFS(実績!$W$6:$W$505,CL$3,実績!$AI$6:$AI$505,"&lt;="&amp;$A264,実績!$AJ$6:$AJ$505,"&gt;"&amp;$A264,実績!$AL$6:$AL$505,"○")&gt;0,1,0))</f>
        <v>0</v>
      </c>
      <c r="CM264" s="39" t="n">
        <f aca="false">IF(CM$4=0,0,IF(COUNTIFS(実績!$W$6:$W$505,CM$3,実績!$AI$6:$AI$505,"&lt;="&amp;$A264,実績!$AJ$6:$AJ$505,"&gt;"&amp;$A264,実績!$AL$6:$AL$505,"○")&gt;0,1,0))</f>
        <v>0</v>
      </c>
      <c r="CN264" s="39" t="n">
        <f aca="false">IF(CN$4=0,0,IF(COUNTIFS(実績!$W$6:$W$505,CN$3,実績!$AI$6:$AI$505,"&lt;="&amp;$A264,実績!$AJ$6:$AJ$505,"&gt;"&amp;$A264,実績!$AL$6:$AL$505,"○")&gt;0,1,0))</f>
        <v>0</v>
      </c>
      <c r="CO264" s="39" t="n">
        <f aca="false">IF(CO$4=0,0,IF(COUNTIFS(実績!$W$6:$W$505,CO$3,実績!$AI$6:$AI$505,"&lt;="&amp;$A264,実績!$AJ$6:$AJ$505,"&gt;"&amp;$A264,実績!$AL$6:$AL$505,"○")&gt;0,1,0))</f>
        <v>0</v>
      </c>
      <c r="CP264" s="39" t="n">
        <f aca="false">IF(CP$4=0,0,IF(COUNTIFS(実績!$W$6:$W$505,CP$3,実績!$AI$6:$AI$505,"&lt;="&amp;$A264,実績!$AJ$6:$AJ$505,"&gt;"&amp;$A264,実績!$AL$6:$AL$505,"○")&gt;0,1,0))</f>
        <v>0</v>
      </c>
      <c r="CQ264" s="39" t="n">
        <f aca="false">IF(CQ$4=0,0,IF(COUNTIFS(実績!$W$6:$W$505,CQ$3,実績!$AI$6:$AI$505,"&lt;="&amp;$A264,実績!$AJ$6:$AJ$505,"&gt;"&amp;$A264,実績!$AL$6:$AL$505,"○")&gt;0,1,0))</f>
        <v>0</v>
      </c>
      <c r="CR264" s="39" t="n">
        <f aca="false">IF(CR$4=0,0,IF(COUNTIFS(実績!$W$6:$W$505,CR$3,実績!$AI$6:$AI$505,"&lt;="&amp;$A264,実績!$AJ$6:$AJ$505,"&gt;"&amp;$A264,実績!$AL$6:$AL$505,"○")&gt;0,1,0))</f>
        <v>0</v>
      </c>
      <c r="CS264" s="39" t="n">
        <f aca="false">IF(CS$4=0,0,IF(COUNTIFS(実績!$W$6:$W$505,CS$3,実績!$AI$6:$AI$505,"&lt;="&amp;$A264,実績!$AJ$6:$AJ$505,"&gt;"&amp;$A264,実績!$AL$6:$AL$505,"○")&gt;0,1,0))</f>
        <v>0</v>
      </c>
      <c r="CT264" s="39" t="n">
        <f aca="false">IF(CT$4=0,0,IF(COUNTIFS(実績!$W$6:$W$505,CT$3,実績!$AI$6:$AI$505,"&lt;="&amp;$A264,実績!$AJ$6:$AJ$505,"&gt;"&amp;$A264,実績!$AL$6:$AL$505,"○")&gt;0,1,0))</f>
        <v>0</v>
      </c>
      <c r="CU264" s="39" t="n">
        <f aca="false">IF(CU$4=0,0,IF(COUNTIFS(実績!$W$6:$W$505,CU$3,実績!$AI$6:$AI$505,"&lt;="&amp;$A264,実績!$AJ$6:$AJ$505,"&gt;"&amp;$A264,実績!$AL$6:$AL$505,"○")&gt;0,1,0))</f>
        <v>0</v>
      </c>
      <c r="CV264" s="39" t="n">
        <f aca="false">IF(CV$4=0,0,IF(COUNTIFS(実績!$W$6:$W$505,CV$3,実績!$AI$6:$AI$505,"&lt;="&amp;$A264,実績!$AJ$6:$AJ$505,"&gt;"&amp;$A264,実績!$AL$6:$AL$505,"○")&gt;0,1,0))</f>
        <v>0</v>
      </c>
      <c r="CW264" s="39" t="n">
        <f aca="false">IF(CW$4=0,0,IF(COUNTIFS(実績!$W$6:$W$505,CW$3,実績!$AI$6:$AI$505,"&lt;="&amp;$A264,実績!$AJ$6:$AJ$505,"&gt;"&amp;$A264,実績!$AL$6:$AL$505,"○")&gt;0,1,0))</f>
        <v>0</v>
      </c>
      <c r="CX264" s="39" t="n">
        <f aca="false">IF(CX$4=0,0,IF(COUNTIFS(実績!$W$6:$W$505,CX$3,実績!$AI$6:$AI$505,"&lt;="&amp;$A264,実績!$AJ$6:$AJ$505,"&gt;"&amp;$A264,実績!$AL$6:$AL$505,"○")&gt;0,1,0))</f>
        <v>0</v>
      </c>
      <c r="CY264" s="39" t="n">
        <f aca="false">IF(CY$4=0,0,IF(COUNTIFS(実績!$W$6:$W$505,CY$3,実績!$AI$6:$AI$505,"&lt;="&amp;$A264,実績!$AJ$6:$AJ$505,"&gt;"&amp;$A264,実績!$AL$6:$AL$505,"○")&gt;0,1,0))</f>
        <v>0</v>
      </c>
      <c r="CZ264" s="39" t="n">
        <f aca="false">IF(CZ$4=0,0,IF(COUNTIFS(実績!$W$6:$W$505,CZ$3,実績!$AI$6:$AI$505,"&lt;="&amp;$A264,実績!$AJ$6:$AJ$505,"&gt;"&amp;$A264,実績!$AL$6:$AL$505,"○")&gt;0,1,0))</f>
        <v>0</v>
      </c>
      <c r="DA264" s="39" t="n">
        <f aca="false">IF(DA$4=0,0,IF(COUNTIFS(実績!$W$6:$W$505,DA$3,実績!$AI$6:$AI$505,"&lt;="&amp;$A264,実績!$AJ$6:$AJ$505,"&gt;"&amp;$A264,実績!$AL$6:$AL$505,"○")&gt;0,1,0))</f>
        <v>0</v>
      </c>
      <c r="DB264" s="39" t="n">
        <f aca="false">IF(DB$4=0,0,IF(COUNTIFS(実績!$W$6:$W$505,DB$3,実績!$AI$6:$AI$505,"&lt;="&amp;$A264,実績!$AJ$6:$AJ$505,"&gt;"&amp;$A264,実績!$AL$6:$AL$505,"○")&gt;0,1,0))</f>
        <v>0</v>
      </c>
      <c r="DC264" s="39" t="n">
        <f aca="false">IF(DC$4=0,0,IF(COUNTIFS(実績!$W$6:$W$505,DC$3,実績!$AI$6:$AI$505,"&lt;="&amp;$A264,実績!$AJ$6:$AJ$505,"&gt;"&amp;$A264,実績!$AL$6:$AL$505,"○")&gt;0,1,0))</f>
        <v>0</v>
      </c>
      <c r="DD264" s="39" t="n">
        <f aca="false">IF(DD$4=0,0,IF(COUNTIFS(実績!$W$6:$W$505,DD$3,実績!$AI$6:$AI$505,"&lt;="&amp;$A264,実績!$AJ$6:$AJ$505,"&gt;"&amp;$A264,実績!$AL$6:$AL$505,"○")&gt;0,1,0))</f>
        <v>0</v>
      </c>
      <c r="DE264" s="39" t="n">
        <f aca="false">IF(DE$4=0,0,IF(COUNTIFS(実績!$W$6:$W$505,DE$3,実績!$AI$6:$AI$505,"&lt;="&amp;$A264,実績!$AJ$6:$AJ$505,"&gt;"&amp;$A264,実績!$AL$6:$AL$505,"○")&gt;0,1,0))</f>
        <v>0</v>
      </c>
      <c r="DF264" s="39" t="n">
        <f aca="false">IF(DF$4=0,0,IF(COUNTIFS(実績!$W$6:$W$505,DF$3,実績!$AI$6:$AI$505,"&lt;="&amp;$A264,実績!$AJ$6:$AJ$505,"&gt;"&amp;$A264,実績!$AL$6:$AL$505,"○")&gt;0,1,0))</f>
        <v>0</v>
      </c>
      <c r="DG264" s="39" t="n">
        <f aca="false">IF(DG$4=0,0,IF(COUNTIFS(実績!$W$6:$W$505,DG$3,実績!$AI$6:$AI$505,"&lt;="&amp;$A264,実績!$AJ$6:$AJ$505,"&gt;"&amp;$A264,実績!$AL$6:$AL$505,"○")&gt;0,1,0))</f>
        <v>0</v>
      </c>
      <c r="DH264" s="39" t="n">
        <f aca="false">IF(DH$4=0,0,IF(COUNTIFS(実績!$W$6:$W$505,DH$3,実績!$AI$6:$AI$505,"&lt;="&amp;$A264,実績!$AJ$6:$AJ$505,"&gt;"&amp;$A264,実績!$AL$6:$AL$505,"○")&gt;0,1,0))</f>
        <v>0</v>
      </c>
      <c r="DI264" s="39" t="n">
        <f aca="false">IF(DI$4=0,0,IF(COUNTIFS(実績!$W$6:$W$505,DI$3,実績!$AI$6:$AI$505,"&lt;="&amp;$A264,実績!$AJ$6:$AJ$505,"&gt;"&amp;$A264,実績!$AL$6:$AL$505,"○")&gt;0,1,0))</f>
        <v>0</v>
      </c>
      <c r="DJ264" s="39" t="n">
        <f aca="false">IF(DJ$4=0,0,IF(COUNTIFS(実績!$W$6:$W$505,DJ$3,実績!$AI$6:$AI$505,"&lt;="&amp;$A264,実績!$AJ$6:$AJ$505,"&gt;"&amp;$A264,実績!$AL$6:$AL$505,"○")&gt;0,1,0))</f>
        <v>0</v>
      </c>
      <c r="DK264" s="39" t="n">
        <f aca="false">IF(DK$4=0,0,IF(COUNTIFS(実績!$W$6:$W$505,DK$3,実績!$AI$6:$AI$505,"&lt;="&amp;$A264,実績!$AJ$6:$AJ$505,"&gt;"&amp;$A264,実績!$AL$6:$AL$505,"○")&gt;0,1,0))</f>
        <v>0</v>
      </c>
      <c r="DL264" s="39" t="n">
        <f aca="false">IF(DL$4=0,0,IF(COUNTIFS(実績!$W$6:$W$505,DL$3,実績!$AI$6:$AI$505,"&lt;="&amp;$A264,実績!$AJ$6:$AJ$505,"&gt;"&amp;$A264,実績!$AL$6:$AL$505,"○")&gt;0,1,0))</f>
        <v>0</v>
      </c>
      <c r="DM264" s="39" t="n">
        <f aca="false">IF(DM$4=0,0,IF(COUNTIFS(実績!$W$6:$W$505,DM$3,実績!$AI$6:$AI$505,"&lt;="&amp;$A264,実績!$AJ$6:$AJ$505,"&gt;"&amp;$A264,実績!$AL$6:$AL$505,"○")&gt;0,1,0))</f>
        <v>0</v>
      </c>
      <c r="DN264" s="39" t="n">
        <f aca="false">IF(DN$4=0,0,IF(COUNTIFS(実績!$W$6:$W$505,DN$3,実績!$AI$6:$AI$505,"&lt;="&amp;$A264,実績!$AJ$6:$AJ$505,"&gt;"&amp;$A264,実績!$AL$6:$AL$505,"○")&gt;0,1,0))</f>
        <v>0</v>
      </c>
      <c r="DO264" s="39" t="n">
        <f aca="false">IF(DO$4=0,0,IF(COUNTIFS(実績!$W$6:$W$505,DO$3,実績!$AI$6:$AI$505,"&lt;="&amp;$A264,実績!$AJ$6:$AJ$505,"&gt;"&amp;$A264,実績!$AL$6:$AL$505,"○")&gt;0,1,0))</f>
        <v>0</v>
      </c>
      <c r="DP264" s="39" t="n">
        <f aca="false">IF(DP$4=0,0,IF(COUNTIFS(実績!$W$6:$W$505,DP$3,実績!$AI$6:$AI$505,"&lt;="&amp;$A264,実績!$AJ$6:$AJ$505,"&gt;"&amp;$A264,実績!$AL$6:$AL$505,"○")&gt;0,1,0))</f>
        <v>0</v>
      </c>
      <c r="DQ264" s="39" t="n">
        <f aca="false">IF(DQ$4=0,0,IF(COUNTIFS(実績!$W$6:$W$505,DQ$3,実績!$AI$6:$AI$505,"&lt;="&amp;$A264,実績!$AJ$6:$AJ$505,"&gt;"&amp;$A264,実績!$AL$6:$AL$505,"○")&gt;0,1,0))</f>
        <v>0</v>
      </c>
      <c r="DR264" s="39" t="n">
        <f aca="false">IF(DR$4=0,0,IF(COUNTIFS(実績!$W$6:$W$505,DR$3,実績!$AI$6:$AI$505,"&lt;="&amp;$A264,実績!$AJ$6:$AJ$505,"&gt;"&amp;$A264,実績!$AL$6:$AL$505,"○")&gt;0,1,0))</f>
        <v>0</v>
      </c>
      <c r="DS264" s="39" t="n">
        <f aca="false">SUM(C264:DR264)</f>
        <v>0</v>
      </c>
    </row>
    <row r="265" customFormat="false" ht="15" hidden="false" customHeight="false" outlineLevel="0" collapsed="false">
      <c r="A265" s="0" t="n">
        <v>1295</v>
      </c>
      <c r="B265" s="38" t="n">
        <f aca="false">A265/1440</f>
        <v>0.899305555555556</v>
      </c>
      <c r="C265" s="39" t="n">
        <f aca="false">IF(C$4=0,0,IF(COUNTIFS(実績!$W$6:$W$505,C$3,実績!$AI$6:$AI$505,"&lt;="&amp;$A265,実績!$AJ$6:$AJ$505,"&gt;"&amp;$A265,実績!$AL$6:$AL$505,"○")&gt;0,1,0))</f>
        <v>0</v>
      </c>
      <c r="D265" s="39" t="n">
        <f aca="false">IF(D$4=0,0,IF(COUNTIFS(実績!$W$6:$W$505,D$3,実績!$AI$6:$AI$505,"&lt;="&amp;$A265,実績!$AJ$6:$AJ$505,"&gt;"&amp;$A265,実績!$AL$6:$AL$505,"○")&gt;0,1,0))</f>
        <v>0</v>
      </c>
      <c r="E265" s="39" t="n">
        <f aca="false">IF(E$4=0,0,IF(COUNTIFS(実績!$W$6:$W$505,E$3,実績!$AI$6:$AI$505,"&lt;="&amp;$A265,実績!$AJ$6:$AJ$505,"&gt;"&amp;$A265,実績!$AL$6:$AL$505,"○")&gt;0,1,0))</f>
        <v>0</v>
      </c>
      <c r="F265" s="39" t="n">
        <f aca="false">IF(F$4=0,0,IF(COUNTIFS(実績!$W$6:$W$505,F$3,実績!$AI$6:$AI$505,"&lt;="&amp;$A265,実績!$AJ$6:$AJ$505,"&gt;"&amp;$A265,実績!$AL$6:$AL$505,"○")&gt;0,1,0))</f>
        <v>0</v>
      </c>
      <c r="G265" s="39" t="n">
        <f aca="false">IF(G$4=0,0,IF(COUNTIFS(実績!$W$6:$W$505,G$3,実績!$AI$6:$AI$505,"&lt;="&amp;$A265,実績!$AJ$6:$AJ$505,"&gt;"&amp;$A265,実績!$AL$6:$AL$505,"○")&gt;0,1,0))</f>
        <v>0</v>
      </c>
      <c r="H265" s="39" t="n">
        <f aca="false">IF(H$4=0,0,IF(COUNTIFS(実績!$W$6:$W$505,H$3,実績!$AI$6:$AI$505,"&lt;="&amp;$A265,実績!$AJ$6:$AJ$505,"&gt;"&amp;$A265,実績!$AL$6:$AL$505,"○")&gt;0,1,0))</f>
        <v>0</v>
      </c>
      <c r="I265" s="39" t="n">
        <f aca="false">IF(I$4=0,0,IF(COUNTIFS(実績!$W$6:$W$505,I$3,実績!$AI$6:$AI$505,"&lt;="&amp;$A265,実績!$AJ$6:$AJ$505,"&gt;"&amp;$A265,実績!$AL$6:$AL$505,"○")&gt;0,1,0))</f>
        <v>0</v>
      </c>
      <c r="J265" s="39" t="n">
        <f aca="false">IF(J$4=0,0,IF(COUNTIFS(実績!$W$6:$W$505,J$3,実績!$AI$6:$AI$505,"&lt;="&amp;$A265,実績!$AJ$6:$AJ$505,"&gt;"&amp;$A265,実績!$AL$6:$AL$505,"○")&gt;0,1,0))</f>
        <v>0</v>
      </c>
      <c r="K265" s="39" t="n">
        <f aca="false">IF(K$4=0,0,IF(COUNTIFS(実績!$W$6:$W$505,K$3,実績!$AI$6:$AI$505,"&lt;="&amp;$A265,実績!$AJ$6:$AJ$505,"&gt;"&amp;$A265,実績!$AL$6:$AL$505,"○")&gt;0,1,0))</f>
        <v>0</v>
      </c>
      <c r="L265" s="39" t="n">
        <f aca="false">IF(L$4=0,0,IF(COUNTIFS(実績!$W$6:$W$505,L$3,実績!$AI$6:$AI$505,"&lt;="&amp;$A265,実績!$AJ$6:$AJ$505,"&gt;"&amp;$A265,実績!$AL$6:$AL$505,"○")&gt;0,1,0))</f>
        <v>0</v>
      </c>
      <c r="M265" s="39" t="n">
        <f aca="false">IF(M$4=0,0,IF(COUNTIFS(実績!$W$6:$W$505,M$3,実績!$AI$6:$AI$505,"&lt;="&amp;$A265,実績!$AJ$6:$AJ$505,"&gt;"&amp;$A265,実績!$AL$6:$AL$505,"○")&gt;0,1,0))</f>
        <v>0</v>
      </c>
      <c r="N265" s="39" t="n">
        <f aca="false">IF(N$4=0,0,IF(COUNTIFS(実績!$W$6:$W$505,N$3,実績!$AI$6:$AI$505,"&lt;="&amp;$A265,実績!$AJ$6:$AJ$505,"&gt;"&amp;$A265,実績!$AL$6:$AL$505,"○")&gt;0,1,0))</f>
        <v>0</v>
      </c>
      <c r="O265" s="39" t="n">
        <f aca="false">IF(O$4=0,0,IF(COUNTIFS(実績!$W$6:$W$505,O$3,実績!$AI$6:$AI$505,"&lt;="&amp;$A265,実績!$AJ$6:$AJ$505,"&gt;"&amp;$A265,実績!$AL$6:$AL$505,"○")&gt;0,1,0))</f>
        <v>0</v>
      </c>
      <c r="P265" s="39" t="n">
        <f aca="false">IF(P$4=0,0,IF(COUNTIFS(実績!$W$6:$W$505,P$3,実績!$AI$6:$AI$505,"&lt;="&amp;$A265,実績!$AJ$6:$AJ$505,"&gt;"&amp;$A265,実績!$AL$6:$AL$505,"○")&gt;0,1,0))</f>
        <v>0</v>
      </c>
      <c r="Q265" s="39" t="n">
        <f aca="false">IF(Q$4=0,0,IF(COUNTIFS(実績!$W$6:$W$505,Q$3,実績!$AI$6:$AI$505,"&lt;="&amp;$A265,実績!$AJ$6:$AJ$505,"&gt;"&amp;$A265,実績!$AL$6:$AL$505,"○")&gt;0,1,0))</f>
        <v>0</v>
      </c>
      <c r="R265" s="39" t="n">
        <f aca="false">IF(R$4=0,0,IF(COUNTIFS(実績!$W$6:$W$505,R$3,実績!$AI$6:$AI$505,"&lt;="&amp;$A265,実績!$AJ$6:$AJ$505,"&gt;"&amp;$A265,実績!$AL$6:$AL$505,"○")&gt;0,1,0))</f>
        <v>0</v>
      </c>
      <c r="S265" s="39" t="n">
        <f aca="false">IF(S$4=0,0,IF(COUNTIFS(実績!$W$6:$W$505,S$3,実績!$AI$6:$AI$505,"&lt;="&amp;$A265,実績!$AJ$6:$AJ$505,"&gt;"&amp;$A265,実績!$AL$6:$AL$505,"○")&gt;0,1,0))</f>
        <v>0</v>
      </c>
      <c r="T265" s="39" t="n">
        <f aca="false">IF(T$4=0,0,IF(COUNTIFS(実績!$W$6:$W$505,T$3,実績!$AI$6:$AI$505,"&lt;="&amp;$A265,実績!$AJ$6:$AJ$505,"&gt;"&amp;$A265,実績!$AL$6:$AL$505,"○")&gt;0,1,0))</f>
        <v>0</v>
      </c>
      <c r="U265" s="39" t="n">
        <f aca="false">IF(U$4=0,0,IF(COUNTIFS(実績!$W$6:$W$505,U$3,実績!$AI$6:$AI$505,"&lt;="&amp;$A265,実績!$AJ$6:$AJ$505,"&gt;"&amp;$A265,実績!$AL$6:$AL$505,"○")&gt;0,1,0))</f>
        <v>0</v>
      </c>
      <c r="V265" s="39" t="n">
        <f aca="false">IF(V$4=0,0,IF(COUNTIFS(実績!$W$6:$W$505,V$3,実績!$AI$6:$AI$505,"&lt;="&amp;$A265,実績!$AJ$6:$AJ$505,"&gt;"&amp;$A265,実績!$AL$6:$AL$505,"○")&gt;0,1,0))</f>
        <v>0</v>
      </c>
      <c r="W265" s="39" t="n">
        <f aca="false">IF(W$4=0,0,IF(COUNTIFS(実績!$W$6:$W$505,W$3,実績!$AI$6:$AI$505,"&lt;="&amp;$A265,実績!$AJ$6:$AJ$505,"&gt;"&amp;$A265,実績!$AL$6:$AL$505,"○")&gt;0,1,0))</f>
        <v>0</v>
      </c>
      <c r="X265" s="39" t="n">
        <f aca="false">IF(X$4=0,0,IF(COUNTIFS(実績!$W$6:$W$505,X$3,実績!$AI$6:$AI$505,"&lt;="&amp;$A265,実績!$AJ$6:$AJ$505,"&gt;"&amp;$A265,実績!$AL$6:$AL$505,"○")&gt;0,1,0))</f>
        <v>0</v>
      </c>
      <c r="Y265" s="39" t="n">
        <f aca="false">IF(Y$4=0,0,IF(COUNTIFS(実績!$W$6:$W$505,Y$3,実績!$AI$6:$AI$505,"&lt;="&amp;$A265,実績!$AJ$6:$AJ$505,"&gt;"&amp;$A265,実績!$AL$6:$AL$505,"○")&gt;0,1,0))</f>
        <v>0</v>
      </c>
      <c r="Z265" s="39" t="n">
        <f aca="false">IF(Z$4=0,0,IF(COUNTIFS(実績!$W$6:$W$505,Z$3,実績!$AI$6:$AI$505,"&lt;="&amp;$A265,実績!$AJ$6:$AJ$505,"&gt;"&amp;$A265,実績!$AL$6:$AL$505,"○")&gt;0,1,0))</f>
        <v>0</v>
      </c>
      <c r="AA265" s="39" t="n">
        <f aca="false">IF(AA$4=0,0,IF(COUNTIFS(実績!$W$6:$W$505,AA$3,実績!$AI$6:$AI$505,"&lt;="&amp;$A265,実績!$AJ$6:$AJ$505,"&gt;"&amp;$A265,実績!$AL$6:$AL$505,"○")&gt;0,1,0))</f>
        <v>0</v>
      </c>
      <c r="AB265" s="39" t="n">
        <f aca="false">IF(AB$4=0,0,IF(COUNTIFS(実績!$W$6:$W$505,AB$3,実績!$AI$6:$AI$505,"&lt;="&amp;$A265,実績!$AJ$6:$AJ$505,"&gt;"&amp;$A265,実績!$AL$6:$AL$505,"○")&gt;0,1,0))</f>
        <v>0</v>
      </c>
      <c r="AC265" s="39" t="n">
        <f aca="false">IF(AC$4=0,0,IF(COUNTIFS(実績!$W$6:$W$505,AC$3,実績!$AI$6:$AI$505,"&lt;="&amp;$A265,実績!$AJ$6:$AJ$505,"&gt;"&amp;$A265,実績!$AL$6:$AL$505,"○")&gt;0,1,0))</f>
        <v>0</v>
      </c>
      <c r="AD265" s="39" t="n">
        <f aca="false">IF(AD$4=0,0,IF(COUNTIFS(実績!$W$6:$W$505,AD$3,実績!$AI$6:$AI$505,"&lt;="&amp;$A265,実績!$AJ$6:$AJ$505,"&gt;"&amp;$A265,実績!$AL$6:$AL$505,"○")&gt;0,1,0))</f>
        <v>0</v>
      </c>
      <c r="AE265" s="39" t="n">
        <f aca="false">IF(AE$4=0,0,IF(COUNTIFS(実績!$W$6:$W$505,AE$3,実績!$AI$6:$AI$505,"&lt;="&amp;$A265,実績!$AJ$6:$AJ$505,"&gt;"&amp;$A265,実績!$AL$6:$AL$505,"○")&gt;0,1,0))</f>
        <v>0</v>
      </c>
      <c r="AF265" s="39" t="n">
        <f aca="false">IF(AF$4=0,0,IF(COUNTIFS(実績!$W$6:$W$505,AF$3,実績!$AI$6:$AI$505,"&lt;="&amp;$A265,実績!$AJ$6:$AJ$505,"&gt;"&amp;$A265,実績!$AL$6:$AL$505,"○")&gt;0,1,0))</f>
        <v>0</v>
      </c>
      <c r="AG265" s="39" t="n">
        <f aca="false">IF(AG$4=0,0,IF(COUNTIFS(実績!$W$6:$W$505,AG$3,実績!$AI$6:$AI$505,"&lt;="&amp;$A265,実績!$AJ$6:$AJ$505,"&gt;"&amp;$A265,実績!$AL$6:$AL$505,"○")&gt;0,1,0))</f>
        <v>0</v>
      </c>
      <c r="AH265" s="39" t="n">
        <f aca="false">IF(AH$4=0,0,IF(COUNTIFS(実績!$W$6:$W$505,AH$3,実績!$AI$6:$AI$505,"&lt;="&amp;$A265,実績!$AJ$6:$AJ$505,"&gt;"&amp;$A265,実績!$AL$6:$AL$505,"○")&gt;0,1,0))</f>
        <v>0</v>
      </c>
      <c r="AI265" s="39" t="n">
        <f aca="false">IF(AI$4=0,0,IF(COUNTIFS(実績!$W$6:$W$505,AI$3,実績!$AI$6:$AI$505,"&lt;="&amp;$A265,実績!$AJ$6:$AJ$505,"&gt;"&amp;$A265,実績!$AL$6:$AL$505,"○")&gt;0,1,0))</f>
        <v>0</v>
      </c>
      <c r="AJ265" s="39" t="n">
        <f aca="false">IF(AJ$4=0,0,IF(COUNTIFS(実績!$W$6:$W$505,AJ$3,実績!$AI$6:$AI$505,"&lt;="&amp;$A265,実績!$AJ$6:$AJ$505,"&gt;"&amp;$A265,実績!$AL$6:$AL$505,"○")&gt;0,1,0))</f>
        <v>0</v>
      </c>
      <c r="AK265" s="39" t="n">
        <f aca="false">IF(AK$4=0,0,IF(COUNTIFS(実績!$W$6:$W$505,AK$3,実績!$AI$6:$AI$505,"&lt;="&amp;$A265,実績!$AJ$6:$AJ$505,"&gt;"&amp;$A265,実績!$AL$6:$AL$505,"○")&gt;0,1,0))</f>
        <v>0</v>
      </c>
      <c r="AL265" s="39" t="n">
        <f aca="false">IF(AL$4=0,0,IF(COUNTIFS(実績!$W$6:$W$505,AL$3,実績!$AI$6:$AI$505,"&lt;="&amp;$A265,実績!$AJ$6:$AJ$505,"&gt;"&amp;$A265,実績!$AL$6:$AL$505,"○")&gt;0,1,0))</f>
        <v>0</v>
      </c>
      <c r="AM265" s="39" t="n">
        <f aca="false">IF(AM$4=0,0,IF(COUNTIFS(実績!$W$6:$W$505,AM$3,実績!$AI$6:$AI$505,"&lt;="&amp;$A265,実績!$AJ$6:$AJ$505,"&gt;"&amp;$A265,実績!$AL$6:$AL$505,"○")&gt;0,1,0))</f>
        <v>0</v>
      </c>
      <c r="AN265" s="39" t="n">
        <f aca="false">IF(AN$4=0,0,IF(COUNTIFS(実績!$W$6:$W$505,AN$3,実績!$AI$6:$AI$505,"&lt;="&amp;$A265,実績!$AJ$6:$AJ$505,"&gt;"&amp;$A265,実績!$AL$6:$AL$505,"○")&gt;0,1,0))</f>
        <v>0</v>
      </c>
      <c r="AO265" s="39" t="n">
        <f aca="false">IF(AO$4=0,0,IF(COUNTIFS(実績!$W$6:$W$505,AO$3,実績!$AI$6:$AI$505,"&lt;="&amp;$A265,実績!$AJ$6:$AJ$505,"&gt;"&amp;$A265,実績!$AL$6:$AL$505,"○")&gt;0,1,0))</f>
        <v>0</v>
      </c>
      <c r="AP265" s="39" t="n">
        <f aca="false">IF(AP$4=0,0,IF(COUNTIFS(実績!$W$6:$W$505,AP$3,実績!$AI$6:$AI$505,"&lt;="&amp;$A265,実績!$AJ$6:$AJ$505,"&gt;"&amp;$A265,実績!$AL$6:$AL$505,"○")&gt;0,1,0))</f>
        <v>0</v>
      </c>
      <c r="AQ265" s="39" t="n">
        <f aca="false">IF(AQ$4=0,0,IF(COUNTIFS(実績!$W$6:$W$505,AQ$3,実績!$AI$6:$AI$505,"&lt;="&amp;$A265,実績!$AJ$6:$AJ$505,"&gt;"&amp;$A265,実績!$AL$6:$AL$505,"○")&gt;0,1,0))</f>
        <v>0</v>
      </c>
      <c r="AR265" s="39" t="n">
        <f aca="false">IF(AR$4=0,0,IF(COUNTIFS(実績!$W$6:$W$505,AR$3,実績!$AI$6:$AI$505,"&lt;="&amp;$A265,実績!$AJ$6:$AJ$505,"&gt;"&amp;$A265,実績!$AL$6:$AL$505,"○")&gt;0,1,0))</f>
        <v>0</v>
      </c>
      <c r="AS265" s="39" t="n">
        <f aca="false">IF(AS$4=0,0,IF(COUNTIFS(実績!$W$6:$W$505,AS$3,実績!$AI$6:$AI$505,"&lt;="&amp;$A265,実績!$AJ$6:$AJ$505,"&gt;"&amp;$A265,実績!$AL$6:$AL$505,"○")&gt;0,1,0))</f>
        <v>0</v>
      </c>
      <c r="AT265" s="39" t="n">
        <f aca="false">IF(AT$4=0,0,IF(COUNTIFS(実績!$W$6:$W$505,AT$3,実績!$AI$6:$AI$505,"&lt;="&amp;$A265,実績!$AJ$6:$AJ$505,"&gt;"&amp;$A265,実績!$AL$6:$AL$505,"○")&gt;0,1,0))</f>
        <v>0</v>
      </c>
      <c r="AU265" s="39" t="n">
        <f aca="false">IF(AU$4=0,0,IF(COUNTIFS(実績!$W$6:$W$505,AU$3,実績!$AI$6:$AI$505,"&lt;="&amp;$A265,実績!$AJ$6:$AJ$505,"&gt;"&amp;$A265,実績!$AL$6:$AL$505,"○")&gt;0,1,0))</f>
        <v>0</v>
      </c>
      <c r="AV265" s="39" t="n">
        <f aca="false">IF(AV$4=0,0,IF(COUNTIFS(実績!$W$6:$W$505,AV$3,実績!$AI$6:$AI$505,"&lt;="&amp;$A265,実績!$AJ$6:$AJ$505,"&gt;"&amp;$A265,実績!$AL$6:$AL$505,"○")&gt;0,1,0))</f>
        <v>0</v>
      </c>
      <c r="AW265" s="39" t="n">
        <f aca="false">IF(AW$4=0,0,IF(COUNTIFS(実績!$W$6:$W$505,AW$3,実績!$AI$6:$AI$505,"&lt;="&amp;$A265,実績!$AJ$6:$AJ$505,"&gt;"&amp;$A265,実績!$AL$6:$AL$505,"○")&gt;0,1,0))</f>
        <v>0</v>
      </c>
      <c r="AX265" s="39" t="n">
        <f aca="false">IF(AX$4=0,0,IF(COUNTIFS(実績!$W$6:$W$505,AX$3,実績!$AI$6:$AI$505,"&lt;="&amp;$A265,実績!$AJ$6:$AJ$505,"&gt;"&amp;$A265,実績!$AL$6:$AL$505,"○")&gt;0,1,0))</f>
        <v>0</v>
      </c>
      <c r="AY265" s="39" t="n">
        <f aca="false">IF(AY$4=0,0,IF(COUNTIFS(実績!$W$6:$W$505,AY$3,実績!$AI$6:$AI$505,"&lt;="&amp;$A265,実績!$AJ$6:$AJ$505,"&gt;"&amp;$A265,実績!$AL$6:$AL$505,"○")&gt;0,1,0))</f>
        <v>0</v>
      </c>
      <c r="AZ265" s="39" t="n">
        <f aca="false">IF(AZ$4=0,0,IF(COUNTIFS(実績!$W$6:$W$505,AZ$3,実績!$AI$6:$AI$505,"&lt;="&amp;$A265,実績!$AJ$6:$AJ$505,"&gt;"&amp;$A265,実績!$AL$6:$AL$505,"○")&gt;0,1,0))</f>
        <v>0</v>
      </c>
      <c r="BA265" s="39" t="n">
        <f aca="false">IF(BA$4=0,0,IF(COUNTIFS(実績!$W$6:$W$505,BA$3,実績!$AI$6:$AI$505,"&lt;="&amp;$A265,実績!$AJ$6:$AJ$505,"&gt;"&amp;$A265,実績!$AL$6:$AL$505,"○")&gt;0,1,0))</f>
        <v>0</v>
      </c>
      <c r="BB265" s="39" t="n">
        <f aca="false">IF(BB$4=0,0,IF(COUNTIFS(実績!$W$6:$W$505,BB$3,実績!$AI$6:$AI$505,"&lt;="&amp;$A265,実績!$AJ$6:$AJ$505,"&gt;"&amp;$A265,実績!$AL$6:$AL$505,"○")&gt;0,1,0))</f>
        <v>0</v>
      </c>
      <c r="BC265" s="39" t="n">
        <f aca="false">IF(BC$4=0,0,IF(COUNTIFS(実績!$W$6:$W$505,BC$3,実績!$AI$6:$AI$505,"&lt;="&amp;$A265,実績!$AJ$6:$AJ$505,"&gt;"&amp;$A265,実績!$AL$6:$AL$505,"○")&gt;0,1,0))</f>
        <v>0</v>
      </c>
      <c r="BD265" s="39" t="n">
        <f aca="false">IF(BD$4=0,0,IF(COUNTIFS(実績!$W$6:$W$505,BD$3,実績!$AI$6:$AI$505,"&lt;="&amp;$A265,実績!$AJ$6:$AJ$505,"&gt;"&amp;$A265,実績!$AL$6:$AL$505,"○")&gt;0,1,0))</f>
        <v>0</v>
      </c>
      <c r="BE265" s="39" t="n">
        <f aca="false">IF(BE$4=0,0,IF(COUNTIFS(実績!$W$6:$W$505,BE$3,実績!$AI$6:$AI$505,"&lt;="&amp;$A265,実績!$AJ$6:$AJ$505,"&gt;"&amp;$A265,実績!$AL$6:$AL$505,"○")&gt;0,1,0))</f>
        <v>0</v>
      </c>
      <c r="BF265" s="39" t="n">
        <f aca="false">IF(BF$4=0,0,IF(COUNTIFS(実績!$W$6:$W$505,BF$3,実績!$AI$6:$AI$505,"&lt;="&amp;$A265,実績!$AJ$6:$AJ$505,"&gt;"&amp;$A265,実績!$AL$6:$AL$505,"○")&gt;0,1,0))</f>
        <v>0</v>
      </c>
      <c r="BG265" s="39" t="n">
        <f aca="false">IF(BG$4=0,0,IF(COUNTIFS(実績!$W$6:$W$505,BG$3,実績!$AI$6:$AI$505,"&lt;="&amp;$A265,実績!$AJ$6:$AJ$505,"&gt;"&amp;$A265,実績!$AL$6:$AL$505,"○")&gt;0,1,0))</f>
        <v>0</v>
      </c>
      <c r="BH265" s="39" t="n">
        <f aca="false">IF(BH$4=0,0,IF(COUNTIFS(実績!$W$6:$W$505,BH$3,実績!$AI$6:$AI$505,"&lt;="&amp;$A265,実績!$AJ$6:$AJ$505,"&gt;"&amp;$A265,実績!$AL$6:$AL$505,"○")&gt;0,1,0))</f>
        <v>0</v>
      </c>
      <c r="BI265" s="39" t="n">
        <f aca="false">IF(BI$4=0,0,IF(COUNTIFS(実績!$W$6:$W$505,BI$3,実績!$AI$6:$AI$505,"&lt;="&amp;$A265,実績!$AJ$6:$AJ$505,"&gt;"&amp;$A265,実績!$AL$6:$AL$505,"○")&gt;0,1,0))</f>
        <v>0</v>
      </c>
      <c r="BJ265" s="39" t="n">
        <f aca="false">IF(BJ$4=0,0,IF(COUNTIFS(実績!$W$6:$W$505,BJ$3,実績!$AI$6:$AI$505,"&lt;="&amp;$A265,実績!$AJ$6:$AJ$505,"&gt;"&amp;$A265,実績!$AL$6:$AL$505,"○")&gt;0,1,0))</f>
        <v>0</v>
      </c>
      <c r="BK265" s="39" t="n">
        <f aca="false">IF(BK$4=0,0,IF(COUNTIFS(実績!$W$6:$W$505,BK$3,実績!$AI$6:$AI$505,"&lt;="&amp;$A265,実績!$AJ$6:$AJ$505,"&gt;"&amp;$A265,実績!$AL$6:$AL$505,"○")&gt;0,1,0))</f>
        <v>0</v>
      </c>
      <c r="BL265" s="39" t="n">
        <f aca="false">IF(BL$4=0,0,IF(COUNTIFS(実績!$W$6:$W$505,BL$3,実績!$AI$6:$AI$505,"&lt;="&amp;$A265,実績!$AJ$6:$AJ$505,"&gt;"&amp;$A265,実績!$AL$6:$AL$505,"○")&gt;0,1,0))</f>
        <v>0</v>
      </c>
      <c r="BM265" s="39" t="n">
        <f aca="false">IF(BM$4=0,0,IF(COUNTIFS(実績!$W$6:$W$505,BM$3,実績!$AI$6:$AI$505,"&lt;="&amp;$A265,実績!$AJ$6:$AJ$505,"&gt;"&amp;$A265,実績!$AL$6:$AL$505,"○")&gt;0,1,0))</f>
        <v>0</v>
      </c>
      <c r="BN265" s="39" t="n">
        <f aca="false">IF(BN$4=0,0,IF(COUNTIFS(実績!$W$6:$W$505,BN$3,実績!$AI$6:$AI$505,"&lt;="&amp;$A265,実績!$AJ$6:$AJ$505,"&gt;"&amp;$A265,実績!$AL$6:$AL$505,"○")&gt;0,1,0))</f>
        <v>0</v>
      </c>
      <c r="BO265" s="39" t="n">
        <f aca="false">IF(BO$4=0,0,IF(COUNTIFS(実績!$W$6:$W$505,BO$3,実績!$AI$6:$AI$505,"&lt;="&amp;$A265,実績!$AJ$6:$AJ$505,"&gt;"&amp;$A265,実績!$AL$6:$AL$505,"○")&gt;0,1,0))</f>
        <v>0</v>
      </c>
      <c r="BP265" s="39" t="n">
        <f aca="false">IF(BP$4=0,0,IF(COUNTIFS(実績!$W$6:$W$505,BP$3,実績!$AI$6:$AI$505,"&lt;="&amp;$A265,実績!$AJ$6:$AJ$505,"&gt;"&amp;$A265,実績!$AL$6:$AL$505,"○")&gt;0,1,0))</f>
        <v>0</v>
      </c>
      <c r="BQ265" s="39" t="n">
        <f aca="false">IF(BQ$4=0,0,IF(COUNTIFS(実績!$W$6:$W$505,BQ$3,実績!$AI$6:$AI$505,"&lt;="&amp;$A265,実績!$AJ$6:$AJ$505,"&gt;"&amp;$A265,実績!$AL$6:$AL$505,"○")&gt;0,1,0))</f>
        <v>0</v>
      </c>
      <c r="BR265" s="39" t="n">
        <f aca="false">IF(BR$4=0,0,IF(COUNTIFS(実績!$W$6:$W$505,BR$3,実績!$AI$6:$AI$505,"&lt;="&amp;$A265,実績!$AJ$6:$AJ$505,"&gt;"&amp;$A265,実績!$AL$6:$AL$505,"○")&gt;0,1,0))</f>
        <v>0</v>
      </c>
      <c r="BS265" s="39" t="n">
        <f aca="false">IF(BS$4=0,0,IF(COUNTIFS(実績!$W$6:$W$505,BS$3,実績!$AI$6:$AI$505,"&lt;="&amp;$A265,実績!$AJ$6:$AJ$505,"&gt;"&amp;$A265,実績!$AL$6:$AL$505,"○")&gt;0,1,0))</f>
        <v>0</v>
      </c>
      <c r="BT265" s="39" t="n">
        <f aca="false">IF(BT$4=0,0,IF(COUNTIFS(実績!$W$6:$W$505,BT$3,実績!$AI$6:$AI$505,"&lt;="&amp;$A265,実績!$AJ$6:$AJ$505,"&gt;"&amp;$A265,実績!$AL$6:$AL$505,"○")&gt;0,1,0))</f>
        <v>0</v>
      </c>
      <c r="BU265" s="39" t="n">
        <f aca="false">IF(BU$4=0,0,IF(COUNTIFS(実績!$W$6:$W$505,BU$3,実績!$AI$6:$AI$505,"&lt;="&amp;$A265,実績!$AJ$6:$AJ$505,"&gt;"&amp;$A265,実績!$AL$6:$AL$505,"○")&gt;0,1,0))</f>
        <v>0</v>
      </c>
      <c r="BV265" s="39" t="n">
        <f aca="false">IF(BV$4=0,0,IF(COUNTIFS(実績!$W$6:$W$505,BV$3,実績!$AI$6:$AI$505,"&lt;="&amp;$A265,実績!$AJ$6:$AJ$505,"&gt;"&amp;$A265,実績!$AL$6:$AL$505,"○")&gt;0,1,0))</f>
        <v>0</v>
      </c>
      <c r="BW265" s="39" t="n">
        <f aca="false">IF(BW$4=0,0,IF(COUNTIFS(実績!$W$6:$W$505,BW$3,実績!$AI$6:$AI$505,"&lt;="&amp;$A265,実績!$AJ$6:$AJ$505,"&gt;"&amp;$A265,実績!$AL$6:$AL$505,"○")&gt;0,1,0))</f>
        <v>0</v>
      </c>
      <c r="BX265" s="39" t="n">
        <f aca="false">IF(BX$4=0,0,IF(COUNTIFS(実績!$W$6:$W$505,BX$3,実績!$AI$6:$AI$505,"&lt;="&amp;$A265,実績!$AJ$6:$AJ$505,"&gt;"&amp;$A265,実績!$AL$6:$AL$505,"○")&gt;0,1,0))</f>
        <v>0</v>
      </c>
      <c r="BY265" s="39" t="n">
        <f aca="false">IF(BY$4=0,0,IF(COUNTIFS(実績!$W$6:$W$505,BY$3,実績!$AI$6:$AI$505,"&lt;="&amp;$A265,実績!$AJ$6:$AJ$505,"&gt;"&amp;$A265,実績!$AL$6:$AL$505,"○")&gt;0,1,0))</f>
        <v>0</v>
      </c>
      <c r="BZ265" s="39" t="n">
        <f aca="false">IF(BZ$4=0,0,IF(COUNTIFS(実績!$W$6:$W$505,BZ$3,実績!$AI$6:$AI$505,"&lt;="&amp;$A265,実績!$AJ$6:$AJ$505,"&gt;"&amp;$A265,実績!$AL$6:$AL$505,"○")&gt;0,1,0))</f>
        <v>0</v>
      </c>
      <c r="CA265" s="39" t="n">
        <f aca="false">IF(CA$4=0,0,IF(COUNTIFS(実績!$W$6:$W$505,CA$3,実績!$AI$6:$AI$505,"&lt;="&amp;$A265,実績!$AJ$6:$AJ$505,"&gt;"&amp;$A265,実績!$AL$6:$AL$505,"○")&gt;0,1,0))</f>
        <v>0</v>
      </c>
      <c r="CB265" s="39" t="n">
        <f aca="false">IF(CB$4=0,0,IF(COUNTIFS(実績!$W$6:$W$505,CB$3,実績!$AI$6:$AI$505,"&lt;="&amp;$A265,実績!$AJ$6:$AJ$505,"&gt;"&amp;$A265,実績!$AL$6:$AL$505,"○")&gt;0,1,0))</f>
        <v>0</v>
      </c>
      <c r="CC265" s="39" t="n">
        <f aca="false">IF(CC$4=0,0,IF(COUNTIFS(実績!$W$6:$W$505,CC$3,実績!$AI$6:$AI$505,"&lt;="&amp;$A265,実績!$AJ$6:$AJ$505,"&gt;"&amp;$A265,実績!$AL$6:$AL$505,"○")&gt;0,1,0))</f>
        <v>0</v>
      </c>
      <c r="CD265" s="39" t="n">
        <f aca="false">IF(CD$4=0,0,IF(COUNTIFS(実績!$W$6:$W$505,CD$3,実績!$AI$6:$AI$505,"&lt;="&amp;$A265,実績!$AJ$6:$AJ$505,"&gt;"&amp;$A265,実績!$AL$6:$AL$505,"○")&gt;0,1,0))</f>
        <v>0</v>
      </c>
      <c r="CE265" s="39" t="n">
        <f aca="false">IF(CE$4=0,0,IF(COUNTIFS(実績!$W$6:$W$505,CE$3,実績!$AI$6:$AI$505,"&lt;="&amp;$A265,実績!$AJ$6:$AJ$505,"&gt;"&amp;$A265,実績!$AL$6:$AL$505,"○")&gt;0,1,0))</f>
        <v>0</v>
      </c>
      <c r="CF265" s="39" t="n">
        <f aca="false">IF(CF$4=0,0,IF(COUNTIFS(実績!$W$6:$W$505,CF$3,実績!$AI$6:$AI$505,"&lt;="&amp;$A265,実績!$AJ$6:$AJ$505,"&gt;"&amp;$A265,実績!$AL$6:$AL$505,"○")&gt;0,1,0))</f>
        <v>0</v>
      </c>
      <c r="CG265" s="39" t="n">
        <f aca="false">IF(CG$4=0,0,IF(COUNTIFS(実績!$W$6:$W$505,CG$3,実績!$AI$6:$AI$505,"&lt;="&amp;$A265,実績!$AJ$6:$AJ$505,"&gt;"&amp;$A265,実績!$AL$6:$AL$505,"○")&gt;0,1,0))</f>
        <v>0</v>
      </c>
      <c r="CH265" s="39" t="n">
        <f aca="false">IF(CH$4=0,0,IF(COUNTIFS(実績!$W$6:$W$505,CH$3,実績!$AI$6:$AI$505,"&lt;="&amp;$A265,実績!$AJ$6:$AJ$505,"&gt;"&amp;$A265,実績!$AL$6:$AL$505,"○")&gt;0,1,0))</f>
        <v>0</v>
      </c>
      <c r="CI265" s="39" t="n">
        <f aca="false">IF(CI$4=0,0,IF(COUNTIFS(実績!$W$6:$W$505,CI$3,実績!$AI$6:$AI$505,"&lt;="&amp;$A265,実績!$AJ$6:$AJ$505,"&gt;"&amp;$A265,実績!$AL$6:$AL$505,"○")&gt;0,1,0))</f>
        <v>0</v>
      </c>
      <c r="CJ265" s="39" t="n">
        <f aca="false">IF(CJ$4=0,0,IF(COUNTIFS(実績!$W$6:$W$505,CJ$3,実績!$AI$6:$AI$505,"&lt;="&amp;$A265,実績!$AJ$6:$AJ$505,"&gt;"&amp;$A265,実績!$AL$6:$AL$505,"○")&gt;0,1,0))</f>
        <v>0</v>
      </c>
      <c r="CK265" s="39" t="n">
        <f aca="false">IF(CK$4=0,0,IF(COUNTIFS(実績!$W$6:$W$505,CK$3,実績!$AI$6:$AI$505,"&lt;="&amp;$A265,実績!$AJ$6:$AJ$505,"&gt;"&amp;$A265,実績!$AL$6:$AL$505,"○")&gt;0,1,0))</f>
        <v>0</v>
      </c>
      <c r="CL265" s="39" t="n">
        <f aca="false">IF(CL$4=0,0,IF(COUNTIFS(実績!$W$6:$W$505,CL$3,実績!$AI$6:$AI$505,"&lt;="&amp;$A265,実績!$AJ$6:$AJ$505,"&gt;"&amp;$A265,実績!$AL$6:$AL$505,"○")&gt;0,1,0))</f>
        <v>0</v>
      </c>
      <c r="CM265" s="39" t="n">
        <f aca="false">IF(CM$4=0,0,IF(COUNTIFS(実績!$W$6:$W$505,CM$3,実績!$AI$6:$AI$505,"&lt;="&amp;$A265,実績!$AJ$6:$AJ$505,"&gt;"&amp;$A265,実績!$AL$6:$AL$505,"○")&gt;0,1,0))</f>
        <v>0</v>
      </c>
      <c r="CN265" s="39" t="n">
        <f aca="false">IF(CN$4=0,0,IF(COUNTIFS(実績!$W$6:$W$505,CN$3,実績!$AI$6:$AI$505,"&lt;="&amp;$A265,実績!$AJ$6:$AJ$505,"&gt;"&amp;$A265,実績!$AL$6:$AL$505,"○")&gt;0,1,0))</f>
        <v>0</v>
      </c>
      <c r="CO265" s="39" t="n">
        <f aca="false">IF(CO$4=0,0,IF(COUNTIFS(実績!$W$6:$W$505,CO$3,実績!$AI$6:$AI$505,"&lt;="&amp;$A265,実績!$AJ$6:$AJ$505,"&gt;"&amp;$A265,実績!$AL$6:$AL$505,"○")&gt;0,1,0))</f>
        <v>0</v>
      </c>
      <c r="CP265" s="39" t="n">
        <f aca="false">IF(CP$4=0,0,IF(COUNTIFS(実績!$W$6:$W$505,CP$3,実績!$AI$6:$AI$505,"&lt;="&amp;$A265,実績!$AJ$6:$AJ$505,"&gt;"&amp;$A265,実績!$AL$6:$AL$505,"○")&gt;0,1,0))</f>
        <v>0</v>
      </c>
      <c r="CQ265" s="39" t="n">
        <f aca="false">IF(CQ$4=0,0,IF(COUNTIFS(実績!$W$6:$W$505,CQ$3,実績!$AI$6:$AI$505,"&lt;="&amp;$A265,実績!$AJ$6:$AJ$505,"&gt;"&amp;$A265,実績!$AL$6:$AL$505,"○")&gt;0,1,0))</f>
        <v>0</v>
      </c>
      <c r="CR265" s="39" t="n">
        <f aca="false">IF(CR$4=0,0,IF(COUNTIFS(実績!$W$6:$W$505,CR$3,実績!$AI$6:$AI$505,"&lt;="&amp;$A265,実績!$AJ$6:$AJ$505,"&gt;"&amp;$A265,実績!$AL$6:$AL$505,"○")&gt;0,1,0))</f>
        <v>0</v>
      </c>
      <c r="CS265" s="39" t="n">
        <f aca="false">IF(CS$4=0,0,IF(COUNTIFS(実績!$W$6:$W$505,CS$3,実績!$AI$6:$AI$505,"&lt;="&amp;$A265,実績!$AJ$6:$AJ$505,"&gt;"&amp;$A265,実績!$AL$6:$AL$505,"○")&gt;0,1,0))</f>
        <v>0</v>
      </c>
      <c r="CT265" s="39" t="n">
        <f aca="false">IF(CT$4=0,0,IF(COUNTIFS(実績!$W$6:$W$505,CT$3,実績!$AI$6:$AI$505,"&lt;="&amp;$A265,実績!$AJ$6:$AJ$505,"&gt;"&amp;$A265,実績!$AL$6:$AL$505,"○")&gt;0,1,0))</f>
        <v>0</v>
      </c>
      <c r="CU265" s="39" t="n">
        <f aca="false">IF(CU$4=0,0,IF(COUNTIFS(実績!$W$6:$W$505,CU$3,実績!$AI$6:$AI$505,"&lt;="&amp;$A265,実績!$AJ$6:$AJ$505,"&gt;"&amp;$A265,実績!$AL$6:$AL$505,"○")&gt;0,1,0))</f>
        <v>0</v>
      </c>
      <c r="CV265" s="39" t="n">
        <f aca="false">IF(CV$4=0,0,IF(COUNTIFS(実績!$W$6:$W$505,CV$3,実績!$AI$6:$AI$505,"&lt;="&amp;$A265,実績!$AJ$6:$AJ$505,"&gt;"&amp;$A265,実績!$AL$6:$AL$505,"○")&gt;0,1,0))</f>
        <v>0</v>
      </c>
      <c r="CW265" s="39" t="n">
        <f aca="false">IF(CW$4=0,0,IF(COUNTIFS(実績!$W$6:$W$505,CW$3,実績!$AI$6:$AI$505,"&lt;="&amp;$A265,実績!$AJ$6:$AJ$505,"&gt;"&amp;$A265,実績!$AL$6:$AL$505,"○")&gt;0,1,0))</f>
        <v>0</v>
      </c>
      <c r="CX265" s="39" t="n">
        <f aca="false">IF(CX$4=0,0,IF(COUNTIFS(実績!$W$6:$W$505,CX$3,実績!$AI$6:$AI$505,"&lt;="&amp;$A265,実績!$AJ$6:$AJ$505,"&gt;"&amp;$A265,実績!$AL$6:$AL$505,"○")&gt;0,1,0))</f>
        <v>0</v>
      </c>
      <c r="CY265" s="39" t="n">
        <f aca="false">IF(CY$4=0,0,IF(COUNTIFS(実績!$W$6:$W$505,CY$3,実績!$AI$6:$AI$505,"&lt;="&amp;$A265,実績!$AJ$6:$AJ$505,"&gt;"&amp;$A265,実績!$AL$6:$AL$505,"○")&gt;0,1,0))</f>
        <v>0</v>
      </c>
      <c r="CZ265" s="39" t="n">
        <f aca="false">IF(CZ$4=0,0,IF(COUNTIFS(実績!$W$6:$W$505,CZ$3,実績!$AI$6:$AI$505,"&lt;="&amp;$A265,実績!$AJ$6:$AJ$505,"&gt;"&amp;$A265,実績!$AL$6:$AL$505,"○")&gt;0,1,0))</f>
        <v>0</v>
      </c>
      <c r="DA265" s="39" t="n">
        <f aca="false">IF(DA$4=0,0,IF(COUNTIFS(実績!$W$6:$W$505,DA$3,実績!$AI$6:$AI$505,"&lt;="&amp;$A265,実績!$AJ$6:$AJ$505,"&gt;"&amp;$A265,実績!$AL$6:$AL$505,"○")&gt;0,1,0))</f>
        <v>0</v>
      </c>
      <c r="DB265" s="39" t="n">
        <f aca="false">IF(DB$4=0,0,IF(COUNTIFS(実績!$W$6:$W$505,DB$3,実績!$AI$6:$AI$505,"&lt;="&amp;$A265,実績!$AJ$6:$AJ$505,"&gt;"&amp;$A265,実績!$AL$6:$AL$505,"○")&gt;0,1,0))</f>
        <v>0</v>
      </c>
      <c r="DC265" s="39" t="n">
        <f aca="false">IF(DC$4=0,0,IF(COUNTIFS(実績!$W$6:$W$505,DC$3,実績!$AI$6:$AI$505,"&lt;="&amp;$A265,実績!$AJ$6:$AJ$505,"&gt;"&amp;$A265,実績!$AL$6:$AL$505,"○")&gt;0,1,0))</f>
        <v>0</v>
      </c>
      <c r="DD265" s="39" t="n">
        <f aca="false">IF(DD$4=0,0,IF(COUNTIFS(実績!$W$6:$W$505,DD$3,実績!$AI$6:$AI$505,"&lt;="&amp;$A265,実績!$AJ$6:$AJ$505,"&gt;"&amp;$A265,実績!$AL$6:$AL$505,"○")&gt;0,1,0))</f>
        <v>0</v>
      </c>
      <c r="DE265" s="39" t="n">
        <f aca="false">IF(DE$4=0,0,IF(COUNTIFS(実績!$W$6:$W$505,DE$3,実績!$AI$6:$AI$505,"&lt;="&amp;$A265,実績!$AJ$6:$AJ$505,"&gt;"&amp;$A265,実績!$AL$6:$AL$505,"○")&gt;0,1,0))</f>
        <v>0</v>
      </c>
      <c r="DF265" s="39" t="n">
        <f aca="false">IF(DF$4=0,0,IF(COUNTIFS(実績!$W$6:$W$505,DF$3,実績!$AI$6:$AI$505,"&lt;="&amp;$A265,実績!$AJ$6:$AJ$505,"&gt;"&amp;$A265,実績!$AL$6:$AL$505,"○")&gt;0,1,0))</f>
        <v>0</v>
      </c>
      <c r="DG265" s="39" t="n">
        <f aca="false">IF(DG$4=0,0,IF(COUNTIFS(実績!$W$6:$W$505,DG$3,実績!$AI$6:$AI$505,"&lt;="&amp;$A265,実績!$AJ$6:$AJ$505,"&gt;"&amp;$A265,実績!$AL$6:$AL$505,"○")&gt;0,1,0))</f>
        <v>0</v>
      </c>
      <c r="DH265" s="39" t="n">
        <f aca="false">IF(DH$4=0,0,IF(COUNTIFS(実績!$W$6:$W$505,DH$3,実績!$AI$6:$AI$505,"&lt;="&amp;$A265,実績!$AJ$6:$AJ$505,"&gt;"&amp;$A265,実績!$AL$6:$AL$505,"○")&gt;0,1,0))</f>
        <v>0</v>
      </c>
      <c r="DI265" s="39" t="n">
        <f aca="false">IF(DI$4=0,0,IF(COUNTIFS(実績!$W$6:$W$505,DI$3,実績!$AI$6:$AI$505,"&lt;="&amp;$A265,実績!$AJ$6:$AJ$505,"&gt;"&amp;$A265,実績!$AL$6:$AL$505,"○")&gt;0,1,0))</f>
        <v>0</v>
      </c>
      <c r="DJ265" s="39" t="n">
        <f aca="false">IF(DJ$4=0,0,IF(COUNTIFS(実績!$W$6:$W$505,DJ$3,実績!$AI$6:$AI$505,"&lt;="&amp;$A265,実績!$AJ$6:$AJ$505,"&gt;"&amp;$A265,実績!$AL$6:$AL$505,"○")&gt;0,1,0))</f>
        <v>0</v>
      </c>
      <c r="DK265" s="39" t="n">
        <f aca="false">IF(DK$4=0,0,IF(COUNTIFS(実績!$W$6:$W$505,DK$3,実績!$AI$6:$AI$505,"&lt;="&amp;$A265,実績!$AJ$6:$AJ$505,"&gt;"&amp;$A265,実績!$AL$6:$AL$505,"○")&gt;0,1,0))</f>
        <v>0</v>
      </c>
      <c r="DL265" s="39" t="n">
        <f aca="false">IF(DL$4=0,0,IF(COUNTIFS(実績!$W$6:$W$505,DL$3,実績!$AI$6:$AI$505,"&lt;="&amp;$A265,実績!$AJ$6:$AJ$505,"&gt;"&amp;$A265,実績!$AL$6:$AL$505,"○")&gt;0,1,0))</f>
        <v>0</v>
      </c>
      <c r="DM265" s="39" t="n">
        <f aca="false">IF(DM$4=0,0,IF(COUNTIFS(実績!$W$6:$W$505,DM$3,実績!$AI$6:$AI$505,"&lt;="&amp;$A265,実績!$AJ$6:$AJ$505,"&gt;"&amp;$A265,実績!$AL$6:$AL$505,"○")&gt;0,1,0))</f>
        <v>0</v>
      </c>
      <c r="DN265" s="39" t="n">
        <f aca="false">IF(DN$4=0,0,IF(COUNTIFS(実績!$W$6:$W$505,DN$3,実績!$AI$6:$AI$505,"&lt;="&amp;$A265,実績!$AJ$6:$AJ$505,"&gt;"&amp;$A265,実績!$AL$6:$AL$505,"○")&gt;0,1,0))</f>
        <v>0</v>
      </c>
      <c r="DO265" s="39" t="n">
        <f aca="false">IF(DO$4=0,0,IF(COUNTIFS(実績!$W$6:$W$505,DO$3,実績!$AI$6:$AI$505,"&lt;="&amp;$A265,実績!$AJ$6:$AJ$505,"&gt;"&amp;$A265,実績!$AL$6:$AL$505,"○")&gt;0,1,0))</f>
        <v>0</v>
      </c>
      <c r="DP265" s="39" t="n">
        <f aca="false">IF(DP$4=0,0,IF(COUNTIFS(実績!$W$6:$W$505,DP$3,実績!$AI$6:$AI$505,"&lt;="&amp;$A265,実績!$AJ$6:$AJ$505,"&gt;"&amp;$A265,実績!$AL$6:$AL$505,"○")&gt;0,1,0))</f>
        <v>0</v>
      </c>
      <c r="DQ265" s="39" t="n">
        <f aca="false">IF(DQ$4=0,0,IF(COUNTIFS(実績!$W$6:$W$505,DQ$3,実績!$AI$6:$AI$505,"&lt;="&amp;$A265,実績!$AJ$6:$AJ$505,"&gt;"&amp;$A265,実績!$AL$6:$AL$505,"○")&gt;0,1,0))</f>
        <v>0</v>
      </c>
      <c r="DR265" s="39" t="n">
        <f aca="false">IF(DR$4=0,0,IF(COUNTIFS(実績!$W$6:$W$505,DR$3,実績!$AI$6:$AI$505,"&lt;="&amp;$A265,実績!$AJ$6:$AJ$505,"&gt;"&amp;$A265,実績!$AL$6:$AL$505,"○")&gt;0,1,0))</f>
        <v>0</v>
      </c>
      <c r="DS265" s="39" t="n">
        <f aca="false">SUM(C265:DR265)</f>
        <v>0</v>
      </c>
    </row>
    <row r="266" customFormat="false" ht="15" hidden="false" customHeight="false" outlineLevel="0" collapsed="false">
      <c r="A266" s="0" t="n">
        <v>1300</v>
      </c>
      <c r="B266" s="38" t="n">
        <f aca="false">A266/1440</f>
        <v>0.902777777777778</v>
      </c>
      <c r="C266" s="39" t="n">
        <f aca="false">IF(C$4=0,0,IF(COUNTIFS(実績!$W$6:$W$505,C$3,実績!$AI$6:$AI$505,"&lt;="&amp;$A266,実績!$AJ$6:$AJ$505,"&gt;"&amp;$A266,実績!$AL$6:$AL$505,"○")&gt;0,1,0))</f>
        <v>0</v>
      </c>
      <c r="D266" s="39" t="n">
        <f aca="false">IF(D$4=0,0,IF(COUNTIFS(実績!$W$6:$W$505,D$3,実績!$AI$6:$AI$505,"&lt;="&amp;$A266,実績!$AJ$6:$AJ$505,"&gt;"&amp;$A266,実績!$AL$6:$AL$505,"○")&gt;0,1,0))</f>
        <v>0</v>
      </c>
      <c r="E266" s="39" t="n">
        <f aca="false">IF(E$4=0,0,IF(COUNTIFS(実績!$W$6:$W$505,E$3,実績!$AI$6:$AI$505,"&lt;="&amp;$A266,実績!$AJ$6:$AJ$505,"&gt;"&amp;$A266,実績!$AL$6:$AL$505,"○")&gt;0,1,0))</f>
        <v>0</v>
      </c>
      <c r="F266" s="39" t="n">
        <f aca="false">IF(F$4=0,0,IF(COUNTIFS(実績!$W$6:$W$505,F$3,実績!$AI$6:$AI$505,"&lt;="&amp;$A266,実績!$AJ$6:$AJ$505,"&gt;"&amp;$A266,実績!$AL$6:$AL$505,"○")&gt;0,1,0))</f>
        <v>0</v>
      </c>
      <c r="G266" s="39" t="n">
        <f aca="false">IF(G$4=0,0,IF(COUNTIFS(実績!$W$6:$W$505,G$3,実績!$AI$6:$AI$505,"&lt;="&amp;$A266,実績!$AJ$6:$AJ$505,"&gt;"&amp;$A266,実績!$AL$6:$AL$505,"○")&gt;0,1,0))</f>
        <v>0</v>
      </c>
      <c r="H266" s="39" t="n">
        <f aca="false">IF(H$4=0,0,IF(COUNTIFS(実績!$W$6:$W$505,H$3,実績!$AI$6:$AI$505,"&lt;="&amp;$A266,実績!$AJ$6:$AJ$505,"&gt;"&amp;$A266,実績!$AL$6:$AL$505,"○")&gt;0,1,0))</f>
        <v>0</v>
      </c>
      <c r="I266" s="39" t="n">
        <f aca="false">IF(I$4=0,0,IF(COUNTIFS(実績!$W$6:$W$505,I$3,実績!$AI$6:$AI$505,"&lt;="&amp;$A266,実績!$AJ$6:$AJ$505,"&gt;"&amp;$A266,実績!$AL$6:$AL$505,"○")&gt;0,1,0))</f>
        <v>0</v>
      </c>
      <c r="J266" s="39" t="n">
        <f aca="false">IF(J$4=0,0,IF(COUNTIFS(実績!$W$6:$W$505,J$3,実績!$AI$6:$AI$505,"&lt;="&amp;$A266,実績!$AJ$6:$AJ$505,"&gt;"&amp;$A266,実績!$AL$6:$AL$505,"○")&gt;0,1,0))</f>
        <v>0</v>
      </c>
      <c r="K266" s="39" t="n">
        <f aca="false">IF(K$4=0,0,IF(COUNTIFS(実績!$W$6:$W$505,K$3,実績!$AI$6:$AI$505,"&lt;="&amp;$A266,実績!$AJ$6:$AJ$505,"&gt;"&amp;$A266,実績!$AL$6:$AL$505,"○")&gt;0,1,0))</f>
        <v>0</v>
      </c>
      <c r="L266" s="39" t="n">
        <f aca="false">IF(L$4=0,0,IF(COUNTIFS(実績!$W$6:$W$505,L$3,実績!$AI$6:$AI$505,"&lt;="&amp;$A266,実績!$AJ$6:$AJ$505,"&gt;"&amp;$A266,実績!$AL$6:$AL$505,"○")&gt;0,1,0))</f>
        <v>0</v>
      </c>
      <c r="M266" s="39" t="n">
        <f aca="false">IF(M$4=0,0,IF(COUNTIFS(実績!$W$6:$W$505,M$3,実績!$AI$6:$AI$505,"&lt;="&amp;$A266,実績!$AJ$6:$AJ$505,"&gt;"&amp;$A266,実績!$AL$6:$AL$505,"○")&gt;0,1,0))</f>
        <v>0</v>
      </c>
      <c r="N266" s="39" t="n">
        <f aca="false">IF(N$4=0,0,IF(COUNTIFS(実績!$W$6:$W$505,N$3,実績!$AI$6:$AI$505,"&lt;="&amp;$A266,実績!$AJ$6:$AJ$505,"&gt;"&amp;$A266,実績!$AL$6:$AL$505,"○")&gt;0,1,0))</f>
        <v>0</v>
      </c>
      <c r="O266" s="39" t="n">
        <f aca="false">IF(O$4=0,0,IF(COUNTIFS(実績!$W$6:$W$505,O$3,実績!$AI$6:$AI$505,"&lt;="&amp;$A266,実績!$AJ$6:$AJ$505,"&gt;"&amp;$A266,実績!$AL$6:$AL$505,"○")&gt;0,1,0))</f>
        <v>0</v>
      </c>
      <c r="P266" s="39" t="n">
        <f aca="false">IF(P$4=0,0,IF(COUNTIFS(実績!$W$6:$W$505,P$3,実績!$AI$6:$AI$505,"&lt;="&amp;$A266,実績!$AJ$6:$AJ$505,"&gt;"&amp;$A266,実績!$AL$6:$AL$505,"○")&gt;0,1,0))</f>
        <v>0</v>
      </c>
      <c r="Q266" s="39" t="n">
        <f aca="false">IF(Q$4=0,0,IF(COUNTIFS(実績!$W$6:$W$505,Q$3,実績!$AI$6:$AI$505,"&lt;="&amp;$A266,実績!$AJ$6:$AJ$505,"&gt;"&amp;$A266,実績!$AL$6:$AL$505,"○")&gt;0,1,0))</f>
        <v>0</v>
      </c>
      <c r="R266" s="39" t="n">
        <f aca="false">IF(R$4=0,0,IF(COUNTIFS(実績!$W$6:$W$505,R$3,実績!$AI$6:$AI$505,"&lt;="&amp;$A266,実績!$AJ$6:$AJ$505,"&gt;"&amp;$A266,実績!$AL$6:$AL$505,"○")&gt;0,1,0))</f>
        <v>0</v>
      </c>
      <c r="S266" s="39" t="n">
        <f aca="false">IF(S$4=0,0,IF(COUNTIFS(実績!$W$6:$W$505,S$3,実績!$AI$6:$AI$505,"&lt;="&amp;$A266,実績!$AJ$6:$AJ$505,"&gt;"&amp;$A266,実績!$AL$6:$AL$505,"○")&gt;0,1,0))</f>
        <v>0</v>
      </c>
      <c r="T266" s="39" t="n">
        <f aca="false">IF(T$4=0,0,IF(COUNTIFS(実績!$W$6:$W$505,T$3,実績!$AI$6:$AI$505,"&lt;="&amp;$A266,実績!$AJ$6:$AJ$505,"&gt;"&amp;$A266,実績!$AL$6:$AL$505,"○")&gt;0,1,0))</f>
        <v>0</v>
      </c>
      <c r="U266" s="39" t="n">
        <f aca="false">IF(U$4=0,0,IF(COUNTIFS(実績!$W$6:$W$505,U$3,実績!$AI$6:$AI$505,"&lt;="&amp;$A266,実績!$AJ$6:$AJ$505,"&gt;"&amp;$A266,実績!$AL$6:$AL$505,"○")&gt;0,1,0))</f>
        <v>0</v>
      </c>
      <c r="V266" s="39" t="n">
        <f aca="false">IF(V$4=0,0,IF(COUNTIFS(実績!$W$6:$W$505,V$3,実績!$AI$6:$AI$505,"&lt;="&amp;$A266,実績!$AJ$6:$AJ$505,"&gt;"&amp;$A266,実績!$AL$6:$AL$505,"○")&gt;0,1,0))</f>
        <v>0</v>
      </c>
      <c r="W266" s="39" t="n">
        <f aca="false">IF(W$4=0,0,IF(COUNTIFS(実績!$W$6:$W$505,W$3,実績!$AI$6:$AI$505,"&lt;="&amp;$A266,実績!$AJ$6:$AJ$505,"&gt;"&amp;$A266,実績!$AL$6:$AL$505,"○")&gt;0,1,0))</f>
        <v>0</v>
      </c>
      <c r="X266" s="39" t="n">
        <f aca="false">IF(X$4=0,0,IF(COUNTIFS(実績!$W$6:$W$505,X$3,実績!$AI$6:$AI$505,"&lt;="&amp;$A266,実績!$AJ$6:$AJ$505,"&gt;"&amp;$A266,実績!$AL$6:$AL$505,"○")&gt;0,1,0))</f>
        <v>0</v>
      </c>
      <c r="Y266" s="39" t="n">
        <f aca="false">IF(Y$4=0,0,IF(COUNTIFS(実績!$W$6:$W$505,Y$3,実績!$AI$6:$AI$505,"&lt;="&amp;$A266,実績!$AJ$6:$AJ$505,"&gt;"&amp;$A266,実績!$AL$6:$AL$505,"○")&gt;0,1,0))</f>
        <v>0</v>
      </c>
      <c r="Z266" s="39" t="n">
        <f aca="false">IF(Z$4=0,0,IF(COUNTIFS(実績!$W$6:$W$505,Z$3,実績!$AI$6:$AI$505,"&lt;="&amp;$A266,実績!$AJ$6:$AJ$505,"&gt;"&amp;$A266,実績!$AL$6:$AL$505,"○")&gt;0,1,0))</f>
        <v>0</v>
      </c>
      <c r="AA266" s="39" t="n">
        <f aca="false">IF(AA$4=0,0,IF(COUNTIFS(実績!$W$6:$W$505,AA$3,実績!$AI$6:$AI$505,"&lt;="&amp;$A266,実績!$AJ$6:$AJ$505,"&gt;"&amp;$A266,実績!$AL$6:$AL$505,"○")&gt;0,1,0))</f>
        <v>0</v>
      </c>
      <c r="AB266" s="39" t="n">
        <f aca="false">IF(AB$4=0,0,IF(COUNTIFS(実績!$W$6:$W$505,AB$3,実績!$AI$6:$AI$505,"&lt;="&amp;$A266,実績!$AJ$6:$AJ$505,"&gt;"&amp;$A266,実績!$AL$6:$AL$505,"○")&gt;0,1,0))</f>
        <v>0</v>
      </c>
      <c r="AC266" s="39" t="n">
        <f aca="false">IF(AC$4=0,0,IF(COUNTIFS(実績!$W$6:$W$505,AC$3,実績!$AI$6:$AI$505,"&lt;="&amp;$A266,実績!$AJ$6:$AJ$505,"&gt;"&amp;$A266,実績!$AL$6:$AL$505,"○")&gt;0,1,0))</f>
        <v>0</v>
      </c>
      <c r="AD266" s="39" t="n">
        <f aca="false">IF(AD$4=0,0,IF(COUNTIFS(実績!$W$6:$W$505,AD$3,実績!$AI$6:$AI$505,"&lt;="&amp;$A266,実績!$AJ$6:$AJ$505,"&gt;"&amp;$A266,実績!$AL$6:$AL$505,"○")&gt;0,1,0))</f>
        <v>0</v>
      </c>
      <c r="AE266" s="39" t="n">
        <f aca="false">IF(AE$4=0,0,IF(COUNTIFS(実績!$W$6:$W$505,AE$3,実績!$AI$6:$AI$505,"&lt;="&amp;$A266,実績!$AJ$6:$AJ$505,"&gt;"&amp;$A266,実績!$AL$6:$AL$505,"○")&gt;0,1,0))</f>
        <v>0</v>
      </c>
      <c r="AF266" s="39" t="n">
        <f aca="false">IF(AF$4=0,0,IF(COUNTIFS(実績!$W$6:$W$505,AF$3,実績!$AI$6:$AI$505,"&lt;="&amp;$A266,実績!$AJ$6:$AJ$505,"&gt;"&amp;$A266,実績!$AL$6:$AL$505,"○")&gt;0,1,0))</f>
        <v>0</v>
      </c>
      <c r="AG266" s="39" t="n">
        <f aca="false">IF(AG$4=0,0,IF(COUNTIFS(実績!$W$6:$W$505,AG$3,実績!$AI$6:$AI$505,"&lt;="&amp;$A266,実績!$AJ$6:$AJ$505,"&gt;"&amp;$A266,実績!$AL$6:$AL$505,"○")&gt;0,1,0))</f>
        <v>0</v>
      </c>
      <c r="AH266" s="39" t="n">
        <f aca="false">IF(AH$4=0,0,IF(COUNTIFS(実績!$W$6:$W$505,AH$3,実績!$AI$6:$AI$505,"&lt;="&amp;$A266,実績!$AJ$6:$AJ$505,"&gt;"&amp;$A266,実績!$AL$6:$AL$505,"○")&gt;0,1,0))</f>
        <v>0</v>
      </c>
      <c r="AI266" s="39" t="n">
        <f aca="false">IF(AI$4=0,0,IF(COUNTIFS(実績!$W$6:$W$505,AI$3,実績!$AI$6:$AI$505,"&lt;="&amp;$A266,実績!$AJ$6:$AJ$505,"&gt;"&amp;$A266,実績!$AL$6:$AL$505,"○")&gt;0,1,0))</f>
        <v>0</v>
      </c>
      <c r="AJ266" s="39" t="n">
        <f aca="false">IF(AJ$4=0,0,IF(COUNTIFS(実績!$W$6:$W$505,AJ$3,実績!$AI$6:$AI$505,"&lt;="&amp;$A266,実績!$AJ$6:$AJ$505,"&gt;"&amp;$A266,実績!$AL$6:$AL$505,"○")&gt;0,1,0))</f>
        <v>0</v>
      </c>
      <c r="AK266" s="39" t="n">
        <f aca="false">IF(AK$4=0,0,IF(COUNTIFS(実績!$W$6:$W$505,AK$3,実績!$AI$6:$AI$505,"&lt;="&amp;$A266,実績!$AJ$6:$AJ$505,"&gt;"&amp;$A266,実績!$AL$6:$AL$505,"○")&gt;0,1,0))</f>
        <v>0</v>
      </c>
      <c r="AL266" s="39" t="n">
        <f aca="false">IF(AL$4=0,0,IF(COUNTIFS(実績!$W$6:$W$505,AL$3,実績!$AI$6:$AI$505,"&lt;="&amp;$A266,実績!$AJ$6:$AJ$505,"&gt;"&amp;$A266,実績!$AL$6:$AL$505,"○")&gt;0,1,0))</f>
        <v>0</v>
      </c>
      <c r="AM266" s="39" t="n">
        <f aca="false">IF(AM$4=0,0,IF(COUNTIFS(実績!$W$6:$W$505,AM$3,実績!$AI$6:$AI$505,"&lt;="&amp;$A266,実績!$AJ$6:$AJ$505,"&gt;"&amp;$A266,実績!$AL$6:$AL$505,"○")&gt;0,1,0))</f>
        <v>0</v>
      </c>
      <c r="AN266" s="39" t="n">
        <f aca="false">IF(AN$4=0,0,IF(COUNTIFS(実績!$W$6:$W$505,AN$3,実績!$AI$6:$AI$505,"&lt;="&amp;$A266,実績!$AJ$6:$AJ$505,"&gt;"&amp;$A266,実績!$AL$6:$AL$505,"○")&gt;0,1,0))</f>
        <v>0</v>
      </c>
      <c r="AO266" s="39" t="n">
        <f aca="false">IF(AO$4=0,0,IF(COUNTIFS(実績!$W$6:$W$505,AO$3,実績!$AI$6:$AI$505,"&lt;="&amp;$A266,実績!$AJ$6:$AJ$505,"&gt;"&amp;$A266,実績!$AL$6:$AL$505,"○")&gt;0,1,0))</f>
        <v>0</v>
      </c>
      <c r="AP266" s="39" t="n">
        <f aca="false">IF(AP$4=0,0,IF(COUNTIFS(実績!$W$6:$W$505,AP$3,実績!$AI$6:$AI$505,"&lt;="&amp;$A266,実績!$AJ$6:$AJ$505,"&gt;"&amp;$A266,実績!$AL$6:$AL$505,"○")&gt;0,1,0))</f>
        <v>0</v>
      </c>
      <c r="AQ266" s="39" t="n">
        <f aca="false">IF(AQ$4=0,0,IF(COUNTIFS(実績!$W$6:$W$505,AQ$3,実績!$AI$6:$AI$505,"&lt;="&amp;$A266,実績!$AJ$6:$AJ$505,"&gt;"&amp;$A266,実績!$AL$6:$AL$505,"○")&gt;0,1,0))</f>
        <v>0</v>
      </c>
      <c r="AR266" s="39" t="n">
        <f aca="false">IF(AR$4=0,0,IF(COUNTIFS(実績!$W$6:$W$505,AR$3,実績!$AI$6:$AI$505,"&lt;="&amp;$A266,実績!$AJ$6:$AJ$505,"&gt;"&amp;$A266,実績!$AL$6:$AL$505,"○")&gt;0,1,0))</f>
        <v>0</v>
      </c>
      <c r="AS266" s="39" t="n">
        <f aca="false">IF(AS$4=0,0,IF(COUNTIFS(実績!$W$6:$W$505,AS$3,実績!$AI$6:$AI$505,"&lt;="&amp;$A266,実績!$AJ$6:$AJ$505,"&gt;"&amp;$A266,実績!$AL$6:$AL$505,"○")&gt;0,1,0))</f>
        <v>0</v>
      </c>
      <c r="AT266" s="39" t="n">
        <f aca="false">IF(AT$4=0,0,IF(COUNTIFS(実績!$W$6:$W$505,AT$3,実績!$AI$6:$AI$505,"&lt;="&amp;$A266,実績!$AJ$6:$AJ$505,"&gt;"&amp;$A266,実績!$AL$6:$AL$505,"○")&gt;0,1,0))</f>
        <v>0</v>
      </c>
      <c r="AU266" s="39" t="n">
        <f aca="false">IF(AU$4=0,0,IF(COUNTIFS(実績!$W$6:$W$505,AU$3,実績!$AI$6:$AI$505,"&lt;="&amp;$A266,実績!$AJ$6:$AJ$505,"&gt;"&amp;$A266,実績!$AL$6:$AL$505,"○")&gt;0,1,0))</f>
        <v>0</v>
      </c>
      <c r="AV266" s="39" t="n">
        <f aca="false">IF(AV$4=0,0,IF(COUNTIFS(実績!$W$6:$W$505,AV$3,実績!$AI$6:$AI$505,"&lt;="&amp;$A266,実績!$AJ$6:$AJ$505,"&gt;"&amp;$A266,実績!$AL$6:$AL$505,"○")&gt;0,1,0))</f>
        <v>0</v>
      </c>
      <c r="AW266" s="39" t="n">
        <f aca="false">IF(AW$4=0,0,IF(COUNTIFS(実績!$W$6:$W$505,AW$3,実績!$AI$6:$AI$505,"&lt;="&amp;$A266,実績!$AJ$6:$AJ$505,"&gt;"&amp;$A266,実績!$AL$6:$AL$505,"○")&gt;0,1,0))</f>
        <v>0</v>
      </c>
      <c r="AX266" s="39" t="n">
        <f aca="false">IF(AX$4=0,0,IF(COUNTIFS(実績!$W$6:$W$505,AX$3,実績!$AI$6:$AI$505,"&lt;="&amp;$A266,実績!$AJ$6:$AJ$505,"&gt;"&amp;$A266,実績!$AL$6:$AL$505,"○")&gt;0,1,0))</f>
        <v>0</v>
      </c>
      <c r="AY266" s="39" t="n">
        <f aca="false">IF(AY$4=0,0,IF(COUNTIFS(実績!$W$6:$W$505,AY$3,実績!$AI$6:$AI$505,"&lt;="&amp;$A266,実績!$AJ$6:$AJ$505,"&gt;"&amp;$A266,実績!$AL$6:$AL$505,"○")&gt;0,1,0))</f>
        <v>0</v>
      </c>
      <c r="AZ266" s="39" t="n">
        <f aca="false">IF(AZ$4=0,0,IF(COUNTIFS(実績!$W$6:$W$505,AZ$3,実績!$AI$6:$AI$505,"&lt;="&amp;$A266,実績!$AJ$6:$AJ$505,"&gt;"&amp;$A266,実績!$AL$6:$AL$505,"○")&gt;0,1,0))</f>
        <v>0</v>
      </c>
      <c r="BA266" s="39" t="n">
        <f aca="false">IF(BA$4=0,0,IF(COUNTIFS(実績!$W$6:$W$505,BA$3,実績!$AI$6:$AI$505,"&lt;="&amp;$A266,実績!$AJ$6:$AJ$505,"&gt;"&amp;$A266,実績!$AL$6:$AL$505,"○")&gt;0,1,0))</f>
        <v>0</v>
      </c>
      <c r="BB266" s="39" t="n">
        <f aca="false">IF(BB$4=0,0,IF(COUNTIFS(実績!$W$6:$W$505,BB$3,実績!$AI$6:$AI$505,"&lt;="&amp;$A266,実績!$AJ$6:$AJ$505,"&gt;"&amp;$A266,実績!$AL$6:$AL$505,"○")&gt;0,1,0))</f>
        <v>0</v>
      </c>
      <c r="BC266" s="39" t="n">
        <f aca="false">IF(BC$4=0,0,IF(COUNTIFS(実績!$W$6:$W$505,BC$3,実績!$AI$6:$AI$505,"&lt;="&amp;$A266,実績!$AJ$6:$AJ$505,"&gt;"&amp;$A266,実績!$AL$6:$AL$505,"○")&gt;0,1,0))</f>
        <v>0</v>
      </c>
      <c r="BD266" s="39" t="n">
        <f aca="false">IF(BD$4=0,0,IF(COUNTIFS(実績!$W$6:$W$505,BD$3,実績!$AI$6:$AI$505,"&lt;="&amp;$A266,実績!$AJ$6:$AJ$505,"&gt;"&amp;$A266,実績!$AL$6:$AL$505,"○")&gt;0,1,0))</f>
        <v>0</v>
      </c>
      <c r="BE266" s="39" t="n">
        <f aca="false">IF(BE$4=0,0,IF(COUNTIFS(実績!$W$6:$W$505,BE$3,実績!$AI$6:$AI$505,"&lt;="&amp;$A266,実績!$AJ$6:$AJ$505,"&gt;"&amp;$A266,実績!$AL$6:$AL$505,"○")&gt;0,1,0))</f>
        <v>0</v>
      </c>
      <c r="BF266" s="39" t="n">
        <f aca="false">IF(BF$4=0,0,IF(COUNTIFS(実績!$W$6:$W$505,BF$3,実績!$AI$6:$AI$505,"&lt;="&amp;$A266,実績!$AJ$6:$AJ$505,"&gt;"&amp;$A266,実績!$AL$6:$AL$505,"○")&gt;0,1,0))</f>
        <v>0</v>
      </c>
      <c r="BG266" s="39" t="n">
        <f aca="false">IF(BG$4=0,0,IF(COUNTIFS(実績!$W$6:$W$505,BG$3,実績!$AI$6:$AI$505,"&lt;="&amp;$A266,実績!$AJ$6:$AJ$505,"&gt;"&amp;$A266,実績!$AL$6:$AL$505,"○")&gt;0,1,0))</f>
        <v>0</v>
      </c>
      <c r="BH266" s="39" t="n">
        <f aca="false">IF(BH$4=0,0,IF(COUNTIFS(実績!$W$6:$W$505,BH$3,実績!$AI$6:$AI$505,"&lt;="&amp;$A266,実績!$AJ$6:$AJ$505,"&gt;"&amp;$A266,実績!$AL$6:$AL$505,"○")&gt;0,1,0))</f>
        <v>0</v>
      </c>
      <c r="BI266" s="39" t="n">
        <f aca="false">IF(BI$4=0,0,IF(COUNTIFS(実績!$W$6:$W$505,BI$3,実績!$AI$6:$AI$505,"&lt;="&amp;$A266,実績!$AJ$6:$AJ$505,"&gt;"&amp;$A266,実績!$AL$6:$AL$505,"○")&gt;0,1,0))</f>
        <v>0</v>
      </c>
      <c r="BJ266" s="39" t="n">
        <f aca="false">IF(BJ$4=0,0,IF(COUNTIFS(実績!$W$6:$W$505,BJ$3,実績!$AI$6:$AI$505,"&lt;="&amp;$A266,実績!$AJ$6:$AJ$505,"&gt;"&amp;$A266,実績!$AL$6:$AL$505,"○")&gt;0,1,0))</f>
        <v>0</v>
      </c>
      <c r="BK266" s="39" t="n">
        <f aca="false">IF(BK$4=0,0,IF(COUNTIFS(実績!$W$6:$W$505,BK$3,実績!$AI$6:$AI$505,"&lt;="&amp;$A266,実績!$AJ$6:$AJ$505,"&gt;"&amp;$A266,実績!$AL$6:$AL$505,"○")&gt;0,1,0))</f>
        <v>0</v>
      </c>
      <c r="BL266" s="39" t="n">
        <f aca="false">IF(BL$4=0,0,IF(COUNTIFS(実績!$W$6:$W$505,BL$3,実績!$AI$6:$AI$505,"&lt;="&amp;$A266,実績!$AJ$6:$AJ$505,"&gt;"&amp;$A266,実績!$AL$6:$AL$505,"○")&gt;0,1,0))</f>
        <v>0</v>
      </c>
      <c r="BM266" s="39" t="n">
        <f aca="false">IF(BM$4=0,0,IF(COUNTIFS(実績!$W$6:$W$505,BM$3,実績!$AI$6:$AI$505,"&lt;="&amp;$A266,実績!$AJ$6:$AJ$505,"&gt;"&amp;$A266,実績!$AL$6:$AL$505,"○")&gt;0,1,0))</f>
        <v>0</v>
      </c>
      <c r="BN266" s="39" t="n">
        <f aca="false">IF(BN$4=0,0,IF(COUNTIFS(実績!$W$6:$W$505,BN$3,実績!$AI$6:$AI$505,"&lt;="&amp;$A266,実績!$AJ$6:$AJ$505,"&gt;"&amp;$A266,実績!$AL$6:$AL$505,"○")&gt;0,1,0))</f>
        <v>0</v>
      </c>
      <c r="BO266" s="39" t="n">
        <f aca="false">IF(BO$4=0,0,IF(COUNTIFS(実績!$W$6:$W$505,BO$3,実績!$AI$6:$AI$505,"&lt;="&amp;$A266,実績!$AJ$6:$AJ$505,"&gt;"&amp;$A266,実績!$AL$6:$AL$505,"○")&gt;0,1,0))</f>
        <v>0</v>
      </c>
      <c r="BP266" s="39" t="n">
        <f aca="false">IF(BP$4=0,0,IF(COUNTIFS(実績!$W$6:$W$505,BP$3,実績!$AI$6:$AI$505,"&lt;="&amp;$A266,実績!$AJ$6:$AJ$505,"&gt;"&amp;$A266,実績!$AL$6:$AL$505,"○")&gt;0,1,0))</f>
        <v>0</v>
      </c>
      <c r="BQ266" s="39" t="n">
        <f aca="false">IF(BQ$4=0,0,IF(COUNTIFS(実績!$W$6:$W$505,BQ$3,実績!$AI$6:$AI$505,"&lt;="&amp;$A266,実績!$AJ$6:$AJ$505,"&gt;"&amp;$A266,実績!$AL$6:$AL$505,"○")&gt;0,1,0))</f>
        <v>0</v>
      </c>
      <c r="BR266" s="39" t="n">
        <f aca="false">IF(BR$4=0,0,IF(COUNTIFS(実績!$W$6:$W$505,BR$3,実績!$AI$6:$AI$505,"&lt;="&amp;$A266,実績!$AJ$6:$AJ$505,"&gt;"&amp;$A266,実績!$AL$6:$AL$505,"○")&gt;0,1,0))</f>
        <v>0</v>
      </c>
      <c r="BS266" s="39" t="n">
        <f aca="false">IF(BS$4=0,0,IF(COUNTIFS(実績!$W$6:$W$505,BS$3,実績!$AI$6:$AI$505,"&lt;="&amp;$A266,実績!$AJ$6:$AJ$505,"&gt;"&amp;$A266,実績!$AL$6:$AL$505,"○")&gt;0,1,0))</f>
        <v>0</v>
      </c>
      <c r="BT266" s="39" t="n">
        <f aca="false">IF(BT$4=0,0,IF(COUNTIFS(実績!$W$6:$W$505,BT$3,実績!$AI$6:$AI$505,"&lt;="&amp;$A266,実績!$AJ$6:$AJ$505,"&gt;"&amp;$A266,実績!$AL$6:$AL$505,"○")&gt;0,1,0))</f>
        <v>0</v>
      </c>
      <c r="BU266" s="39" t="n">
        <f aca="false">IF(BU$4=0,0,IF(COUNTIFS(実績!$W$6:$W$505,BU$3,実績!$AI$6:$AI$505,"&lt;="&amp;$A266,実績!$AJ$6:$AJ$505,"&gt;"&amp;$A266,実績!$AL$6:$AL$505,"○")&gt;0,1,0))</f>
        <v>0</v>
      </c>
      <c r="BV266" s="39" t="n">
        <f aca="false">IF(BV$4=0,0,IF(COUNTIFS(実績!$W$6:$W$505,BV$3,実績!$AI$6:$AI$505,"&lt;="&amp;$A266,実績!$AJ$6:$AJ$505,"&gt;"&amp;$A266,実績!$AL$6:$AL$505,"○")&gt;0,1,0))</f>
        <v>0</v>
      </c>
      <c r="BW266" s="39" t="n">
        <f aca="false">IF(BW$4=0,0,IF(COUNTIFS(実績!$W$6:$W$505,BW$3,実績!$AI$6:$AI$505,"&lt;="&amp;$A266,実績!$AJ$6:$AJ$505,"&gt;"&amp;$A266,実績!$AL$6:$AL$505,"○")&gt;0,1,0))</f>
        <v>0</v>
      </c>
      <c r="BX266" s="39" t="n">
        <f aca="false">IF(BX$4=0,0,IF(COUNTIFS(実績!$W$6:$W$505,BX$3,実績!$AI$6:$AI$505,"&lt;="&amp;$A266,実績!$AJ$6:$AJ$505,"&gt;"&amp;$A266,実績!$AL$6:$AL$505,"○")&gt;0,1,0))</f>
        <v>0</v>
      </c>
      <c r="BY266" s="39" t="n">
        <f aca="false">IF(BY$4=0,0,IF(COUNTIFS(実績!$W$6:$W$505,BY$3,実績!$AI$6:$AI$505,"&lt;="&amp;$A266,実績!$AJ$6:$AJ$505,"&gt;"&amp;$A266,実績!$AL$6:$AL$505,"○")&gt;0,1,0))</f>
        <v>0</v>
      </c>
      <c r="BZ266" s="39" t="n">
        <f aca="false">IF(BZ$4=0,0,IF(COUNTIFS(実績!$W$6:$W$505,BZ$3,実績!$AI$6:$AI$505,"&lt;="&amp;$A266,実績!$AJ$6:$AJ$505,"&gt;"&amp;$A266,実績!$AL$6:$AL$505,"○")&gt;0,1,0))</f>
        <v>0</v>
      </c>
      <c r="CA266" s="39" t="n">
        <f aca="false">IF(CA$4=0,0,IF(COUNTIFS(実績!$W$6:$W$505,CA$3,実績!$AI$6:$AI$505,"&lt;="&amp;$A266,実績!$AJ$6:$AJ$505,"&gt;"&amp;$A266,実績!$AL$6:$AL$505,"○")&gt;0,1,0))</f>
        <v>0</v>
      </c>
      <c r="CB266" s="39" t="n">
        <f aca="false">IF(CB$4=0,0,IF(COUNTIFS(実績!$W$6:$W$505,CB$3,実績!$AI$6:$AI$505,"&lt;="&amp;$A266,実績!$AJ$6:$AJ$505,"&gt;"&amp;$A266,実績!$AL$6:$AL$505,"○")&gt;0,1,0))</f>
        <v>0</v>
      </c>
      <c r="CC266" s="39" t="n">
        <f aca="false">IF(CC$4=0,0,IF(COUNTIFS(実績!$W$6:$W$505,CC$3,実績!$AI$6:$AI$505,"&lt;="&amp;$A266,実績!$AJ$6:$AJ$505,"&gt;"&amp;$A266,実績!$AL$6:$AL$505,"○")&gt;0,1,0))</f>
        <v>0</v>
      </c>
      <c r="CD266" s="39" t="n">
        <f aca="false">IF(CD$4=0,0,IF(COUNTIFS(実績!$W$6:$W$505,CD$3,実績!$AI$6:$AI$505,"&lt;="&amp;$A266,実績!$AJ$6:$AJ$505,"&gt;"&amp;$A266,実績!$AL$6:$AL$505,"○")&gt;0,1,0))</f>
        <v>0</v>
      </c>
      <c r="CE266" s="39" t="n">
        <f aca="false">IF(CE$4=0,0,IF(COUNTIFS(実績!$W$6:$W$505,CE$3,実績!$AI$6:$AI$505,"&lt;="&amp;$A266,実績!$AJ$6:$AJ$505,"&gt;"&amp;$A266,実績!$AL$6:$AL$505,"○")&gt;0,1,0))</f>
        <v>0</v>
      </c>
      <c r="CF266" s="39" t="n">
        <f aca="false">IF(CF$4=0,0,IF(COUNTIFS(実績!$W$6:$W$505,CF$3,実績!$AI$6:$AI$505,"&lt;="&amp;$A266,実績!$AJ$6:$AJ$505,"&gt;"&amp;$A266,実績!$AL$6:$AL$505,"○")&gt;0,1,0))</f>
        <v>0</v>
      </c>
      <c r="CG266" s="39" t="n">
        <f aca="false">IF(CG$4=0,0,IF(COUNTIFS(実績!$W$6:$W$505,CG$3,実績!$AI$6:$AI$505,"&lt;="&amp;$A266,実績!$AJ$6:$AJ$505,"&gt;"&amp;$A266,実績!$AL$6:$AL$505,"○")&gt;0,1,0))</f>
        <v>0</v>
      </c>
      <c r="CH266" s="39" t="n">
        <f aca="false">IF(CH$4=0,0,IF(COUNTIFS(実績!$W$6:$W$505,CH$3,実績!$AI$6:$AI$505,"&lt;="&amp;$A266,実績!$AJ$6:$AJ$505,"&gt;"&amp;$A266,実績!$AL$6:$AL$505,"○")&gt;0,1,0))</f>
        <v>0</v>
      </c>
      <c r="CI266" s="39" t="n">
        <f aca="false">IF(CI$4=0,0,IF(COUNTIFS(実績!$W$6:$W$505,CI$3,実績!$AI$6:$AI$505,"&lt;="&amp;$A266,実績!$AJ$6:$AJ$505,"&gt;"&amp;$A266,実績!$AL$6:$AL$505,"○")&gt;0,1,0))</f>
        <v>0</v>
      </c>
      <c r="CJ266" s="39" t="n">
        <f aca="false">IF(CJ$4=0,0,IF(COUNTIFS(実績!$W$6:$W$505,CJ$3,実績!$AI$6:$AI$505,"&lt;="&amp;$A266,実績!$AJ$6:$AJ$505,"&gt;"&amp;$A266,実績!$AL$6:$AL$505,"○")&gt;0,1,0))</f>
        <v>0</v>
      </c>
      <c r="CK266" s="39" t="n">
        <f aca="false">IF(CK$4=0,0,IF(COUNTIFS(実績!$W$6:$W$505,CK$3,実績!$AI$6:$AI$505,"&lt;="&amp;$A266,実績!$AJ$6:$AJ$505,"&gt;"&amp;$A266,実績!$AL$6:$AL$505,"○")&gt;0,1,0))</f>
        <v>0</v>
      </c>
      <c r="CL266" s="39" t="n">
        <f aca="false">IF(CL$4=0,0,IF(COUNTIFS(実績!$W$6:$W$505,CL$3,実績!$AI$6:$AI$505,"&lt;="&amp;$A266,実績!$AJ$6:$AJ$505,"&gt;"&amp;$A266,実績!$AL$6:$AL$505,"○")&gt;0,1,0))</f>
        <v>0</v>
      </c>
      <c r="CM266" s="39" t="n">
        <f aca="false">IF(CM$4=0,0,IF(COUNTIFS(実績!$W$6:$W$505,CM$3,実績!$AI$6:$AI$505,"&lt;="&amp;$A266,実績!$AJ$6:$AJ$505,"&gt;"&amp;$A266,実績!$AL$6:$AL$505,"○")&gt;0,1,0))</f>
        <v>0</v>
      </c>
      <c r="CN266" s="39" t="n">
        <f aca="false">IF(CN$4=0,0,IF(COUNTIFS(実績!$W$6:$W$505,CN$3,実績!$AI$6:$AI$505,"&lt;="&amp;$A266,実績!$AJ$6:$AJ$505,"&gt;"&amp;$A266,実績!$AL$6:$AL$505,"○")&gt;0,1,0))</f>
        <v>0</v>
      </c>
      <c r="CO266" s="39" t="n">
        <f aca="false">IF(CO$4=0,0,IF(COUNTIFS(実績!$W$6:$W$505,CO$3,実績!$AI$6:$AI$505,"&lt;="&amp;$A266,実績!$AJ$6:$AJ$505,"&gt;"&amp;$A266,実績!$AL$6:$AL$505,"○")&gt;0,1,0))</f>
        <v>0</v>
      </c>
      <c r="CP266" s="39" t="n">
        <f aca="false">IF(CP$4=0,0,IF(COUNTIFS(実績!$W$6:$W$505,CP$3,実績!$AI$6:$AI$505,"&lt;="&amp;$A266,実績!$AJ$6:$AJ$505,"&gt;"&amp;$A266,実績!$AL$6:$AL$505,"○")&gt;0,1,0))</f>
        <v>0</v>
      </c>
      <c r="CQ266" s="39" t="n">
        <f aca="false">IF(CQ$4=0,0,IF(COUNTIFS(実績!$W$6:$W$505,CQ$3,実績!$AI$6:$AI$505,"&lt;="&amp;$A266,実績!$AJ$6:$AJ$505,"&gt;"&amp;$A266,実績!$AL$6:$AL$505,"○")&gt;0,1,0))</f>
        <v>0</v>
      </c>
      <c r="CR266" s="39" t="n">
        <f aca="false">IF(CR$4=0,0,IF(COUNTIFS(実績!$W$6:$W$505,CR$3,実績!$AI$6:$AI$505,"&lt;="&amp;$A266,実績!$AJ$6:$AJ$505,"&gt;"&amp;$A266,実績!$AL$6:$AL$505,"○")&gt;0,1,0))</f>
        <v>0</v>
      </c>
      <c r="CS266" s="39" t="n">
        <f aca="false">IF(CS$4=0,0,IF(COUNTIFS(実績!$W$6:$W$505,CS$3,実績!$AI$6:$AI$505,"&lt;="&amp;$A266,実績!$AJ$6:$AJ$505,"&gt;"&amp;$A266,実績!$AL$6:$AL$505,"○")&gt;0,1,0))</f>
        <v>0</v>
      </c>
      <c r="CT266" s="39" t="n">
        <f aca="false">IF(CT$4=0,0,IF(COUNTIFS(実績!$W$6:$W$505,CT$3,実績!$AI$6:$AI$505,"&lt;="&amp;$A266,実績!$AJ$6:$AJ$505,"&gt;"&amp;$A266,実績!$AL$6:$AL$505,"○")&gt;0,1,0))</f>
        <v>0</v>
      </c>
      <c r="CU266" s="39" t="n">
        <f aca="false">IF(CU$4=0,0,IF(COUNTIFS(実績!$W$6:$W$505,CU$3,実績!$AI$6:$AI$505,"&lt;="&amp;$A266,実績!$AJ$6:$AJ$505,"&gt;"&amp;$A266,実績!$AL$6:$AL$505,"○")&gt;0,1,0))</f>
        <v>0</v>
      </c>
      <c r="CV266" s="39" t="n">
        <f aca="false">IF(CV$4=0,0,IF(COUNTIFS(実績!$W$6:$W$505,CV$3,実績!$AI$6:$AI$505,"&lt;="&amp;$A266,実績!$AJ$6:$AJ$505,"&gt;"&amp;$A266,実績!$AL$6:$AL$505,"○")&gt;0,1,0))</f>
        <v>0</v>
      </c>
      <c r="CW266" s="39" t="n">
        <f aca="false">IF(CW$4=0,0,IF(COUNTIFS(実績!$W$6:$W$505,CW$3,実績!$AI$6:$AI$505,"&lt;="&amp;$A266,実績!$AJ$6:$AJ$505,"&gt;"&amp;$A266,実績!$AL$6:$AL$505,"○")&gt;0,1,0))</f>
        <v>0</v>
      </c>
      <c r="CX266" s="39" t="n">
        <f aca="false">IF(CX$4=0,0,IF(COUNTIFS(実績!$W$6:$W$505,CX$3,実績!$AI$6:$AI$505,"&lt;="&amp;$A266,実績!$AJ$6:$AJ$505,"&gt;"&amp;$A266,実績!$AL$6:$AL$505,"○")&gt;0,1,0))</f>
        <v>0</v>
      </c>
      <c r="CY266" s="39" t="n">
        <f aca="false">IF(CY$4=0,0,IF(COUNTIFS(実績!$W$6:$W$505,CY$3,実績!$AI$6:$AI$505,"&lt;="&amp;$A266,実績!$AJ$6:$AJ$505,"&gt;"&amp;$A266,実績!$AL$6:$AL$505,"○")&gt;0,1,0))</f>
        <v>0</v>
      </c>
      <c r="CZ266" s="39" t="n">
        <f aca="false">IF(CZ$4=0,0,IF(COUNTIFS(実績!$W$6:$W$505,CZ$3,実績!$AI$6:$AI$505,"&lt;="&amp;$A266,実績!$AJ$6:$AJ$505,"&gt;"&amp;$A266,実績!$AL$6:$AL$505,"○")&gt;0,1,0))</f>
        <v>0</v>
      </c>
      <c r="DA266" s="39" t="n">
        <f aca="false">IF(DA$4=0,0,IF(COUNTIFS(実績!$W$6:$W$505,DA$3,実績!$AI$6:$AI$505,"&lt;="&amp;$A266,実績!$AJ$6:$AJ$505,"&gt;"&amp;$A266,実績!$AL$6:$AL$505,"○")&gt;0,1,0))</f>
        <v>0</v>
      </c>
      <c r="DB266" s="39" t="n">
        <f aca="false">IF(DB$4=0,0,IF(COUNTIFS(実績!$W$6:$W$505,DB$3,実績!$AI$6:$AI$505,"&lt;="&amp;$A266,実績!$AJ$6:$AJ$505,"&gt;"&amp;$A266,実績!$AL$6:$AL$505,"○")&gt;0,1,0))</f>
        <v>0</v>
      </c>
      <c r="DC266" s="39" t="n">
        <f aca="false">IF(DC$4=0,0,IF(COUNTIFS(実績!$W$6:$W$505,DC$3,実績!$AI$6:$AI$505,"&lt;="&amp;$A266,実績!$AJ$6:$AJ$505,"&gt;"&amp;$A266,実績!$AL$6:$AL$505,"○")&gt;0,1,0))</f>
        <v>0</v>
      </c>
      <c r="DD266" s="39" t="n">
        <f aca="false">IF(DD$4=0,0,IF(COUNTIFS(実績!$W$6:$W$505,DD$3,実績!$AI$6:$AI$505,"&lt;="&amp;$A266,実績!$AJ$6:$AJ$505,"&gt;"&amp;$A266,実績!$AL$6:$AL$505,"○")&gt;0,1,0))</f>
        <v>0</v>
      </c>
      <c r="DE266" s="39" t="n">
        <f aca="false">IF(DE$4=0,0,IF(COUNTIFS(実績!$W$6:$W$505,DE$3,実績!$AI$6:$AI$505,"&lt;="&amp;$A266,実績!$AJ$6:$AJ$505,"&gt;"&amp;$A266,実績!$AL$6:$AL$505,"○")&gt;0,1,0))</f>
        <v>0</v>
      </c>
      <c r="DF266" s="39" t="n">
        <f aca="false">IF(DF$4=0,0,IF(COUNTIFS(実績!$W$6:$W$505,DF$3,実績!$AI$6:$AI$505,"&lt;="&amp;$A266,実績!$AJ$6:$AJ$505,"&gt;"&amp;$A266,実績!$AL$6:$AL$505,"○")&gt;0,1,0))</f>
        <v>0</v>
      </c>
      <c r="DG266" s="39" t="n">
        <f aca="false">IF(DG$4=0,0,IF(COUNTIFS(実績!$W$6:$W$505,DG$3,実績!$AI$6:$AI$505,"&lt;="&amp;$A266,実績!$AJ$6:$AJ$505,"&gt;"&amp;$A266,実績!$AL$6:$AL$505,"○")&gt;0,1,0))</f>
        <v>0</v>
      </c>
      <c r="DH266" s="39" t="n">
        <f aca="false">IF(DH$4=0,0,IF(COUNTIFS(実績!$W$6:$W$505,DH$3,実績!$AI$6:$AI$505,"&lt;="&amp;$A266,実績!$AJ$6:$AJ$505,"&gt;"&amp;$A266,実績!$AL$6:$AL$505,"○")&gt;0,1,0))</f>
        <v>0</v>
      </c>
      <c r="DI266" s="39" t="n">
        <f aca="false">IF(DI$4=0,0,IF(COUNTIFS(実績!$W$6:$W$505,DI$3,実績!$AI$6:$AI$505,"&lt;="&amp;$A266,実績!$AJ$6:$AJ$505,"&gt;"&amp;$A266,実績!$AL$6:$AL$505,"○")&gt;0,1,0))</f>
        <v>0</v>
      </c>
      <c r="DJ266" s="39" t="n">
        <f aca="false">IF(DJ$4=0,0,IF(COUNTIFS(実績!$W$6:$W$505,DJ$3,実績!$AI$6:$AI$505,"&lt;="&amp;$A266,実績!$AJ$6:$AJ$505,"&gt;"&amp;$A266,実績!$AL$6:$AL$505,"○")&gt;0,1,0))</f>
        <v>0</v>
      </c>
      <c r="DK266" s="39" t="n">
        <f aca="false">IF(DK$4=0,0,IF(COUNTIFS(実績!$W$6:$W$505,DK$3,実績!$AI$6:$AI$505,"&lt;="&amp;$A266,実績!$AJ$6:$AJ$505,"&gt;"&amp;$A266,実績!$AL$6:$AL$505,"○")&gt;0,1,0))</f>
        <v>0</v>
      </c>
      <c r="DL266" s="39" t="n">
        <f aca="false">IF(DL$4=0,0,IF(COUNTIFS(実績!$W$6:$W$505,DL$3,実績!$AI$6:$AI$505,"&lt;="&amp;$A266,実績!$AJ$6:$AJ$505,"&gt;"&amp;$A266,実績!$AL$6:$AL$505,"○")&gt;0,1,0))</f>
        <v>0</v>
      </c>
      <c r="DM266" s="39" t="n">
        <f aca="false">IF(DM$4=0,0,IF(COUNTIFS(実績!$W$6:$W$505,DM$3,実績!$AI$6:$AI$505,"&lt;="&amp;$A266,実績!$AJ$6:$AJ$505,"&gt;"&amp;$A266,実績!$AL$6:$AL$505,"○")&gt;0,1,0))</f>
        <v>0</v>
      </c>
      <c r="DN266" s="39" t="n">
        <f aca="false">IF(DN$4=0,0,IF(COUNTIFS(実績!$W$6:$W$505,DN$3,実績!$AI$6:$AI$505,"&lt;="&amp;$A266,実績!$AJ$6:$AJ$505,"&gt;"&amp;$A266,実績!$AL$6:$AL$505,"○")&gt;0,1,0))</f>
        <v>0</v>
      </c>
      <c r="DO266" s="39" t="n">
        <f aca="false">IF(DO$4=0,0,IF(COUNTIFS(実績!$W$6:$W$505,DO$3,実績!$AI$6:$AI$505,"&lt;="&amp;$A266,実績!$AJ$6:$AJ$505,"&gt;"&amp;$A266,実績!$AL$6:$AL$505,"○")&gt;0,1,0))</f>
        <v>0</v>
      </c>
      <c r="DP266" s="39" t="n">
        <f aca="false">IF(DP$4=0,0,IF(COUNTIFS(実績!$W$6:$W$505,DP$3,実績!$AI$6:$AI$505,"&lt;="&amp;$A266,実績!$AJ$6:$AJ$505,"&gt;"&amp;$A266,実績!$AL$6:$AL$505,"○")&gt;0,1,0))</f>
        <v>0</v>
      </c>
      <c r="DQ266" s="39" t="n">
        <f aca="false">IF(DQ$4=0,0,IF(COUNTIFS(実績!$W$6:$W$505,DQ$3,実績!$AI$6:$AI$505,"&lt;="&amp;$A266,実績!$AJ$6:$AJ$505,"&gt;"&amp;$A266,実績!$AL$6:$AL$505,"○")&gt;0,1,0))</f>
        <v>0</v>
      </c>
      <c r="DR266" s="39" t="n">
        <f aca="false">IF(DR$4=0,0,IF(COUNTIFS(実績!$W$6:$W$505,DR$3,実績!$AI$6:$AI$505,"&lt;="&amp;$A266,実績!$AJ$6:$AJ$505,"&gt;"&amp;$A266,実績!$AL$6:$AL$505,"○")&gt;0,1,0))</f>
        <v>0</v>
      </c>
      <c r="DS266" s="39" t="n">
        <f aca="false">SUM(C266:DR266)</f>
        <v>0</v>
      </c>
    </row>
    <row r="267" customFormat="false" ht="15" hidden="false" customHeight="false" outlineLevel="0" collapsed="false">
      <c r="A267" s="0" t="n">
        <v>1305</v>
      </c>
      <c r="B267" s="38" t="n">
        <f aca="false">A267/1440</f>
        <v>0.90625</v>
      </c>
      <c r="C267" s="39" t="n">
        <f aca="false">IF(C$4=0,0,IF(COUNTIFS(実績!$W$6:$W$505,C$3,実績!$AI$6:$AI$505,"&lt;="&amp;$A267,実績!$AJ$6:$AJ$505,"&gt;"&amp;$A267,実績!$AL$6:$AL$505,"○")&gt;0,1,0))</f>
        <v>0</v>
      </c>
      <c r="D267" s="39" t="n">
        <f aca="false">IF(D$4=0,0,IF(COUNTIFS(実績!$W$6:$W$505,D$3,実績!$AI$6:$AI$505,"&lt;="&amp;$A267,実績!$AJ$6:$AJ$505,"&gt;"&amp;$A267,実績!$AL$6:$AL$505,"○")&gt;0,1,0))</f>
        <v>0</v>
      </c>
      <c r="E267" s="39" t="n">
        <f aca="false">IF(E$4=0,0,IF(COUNTIFS(実績!$W$6:$W$505,E$3,実績!$AI$6:$AI$505,"&lt;="&amp;$A267,実績!$AJ$6:$AJ$505,"&gt;"&amp;$A267,実績!$AL$6:$AL$505,"○")&gt;0,1,0))</f>
        <v>0</v>
      </c>
      <c r="F267" s="39" t="n">
        <f aca="false">IF(F$4=0,0,IF(COUNTIFS(実績!$W$6:$W$505,F$3,実績!$AI$6:$AI$505,"&lt;="&amp;$A267,実績!$AJ$6:$AJ$505,"&gt;"&amp;$A267,実績!$AL$6:$AL$505,"○")&gt;0,1,0))</f>
        <v>0</v>
      </c>
      <c r="G267" s="39" t="n">
        <f aca="false">IF(G$4=0,0,IF(COUNTIFS(実績!$W$6:$W$505,G$3,実績!$AI$6:$AI$505,"&lt;="&amp;$A267,実績!$AJ$6:$AJ$505,"&gt;"&amp;$A267,実績!$AL$6:$AL$505,"○")&gt;0,1,0))</f>
        <v>0</v>
      </c>
      <c r="H267" s="39" t="n">
        <f aca="false">IF(H$4=0,0,IF(COUNTIFS(実績!$W$6:$W$505,H$3,実績!$AI$6:$AI$505,"&lt;="&amp;$A267,実績!$AJ$6:$AJ$505,"&gt;"&amp;$A267,実績!$AL$6:$AL$505,"○")&gt;0,1,0))</f>
        <v>0</v>
      </c>
      <c r="I267" s="39" t="n">
        <f aca="false">IF(I$4=0,0,IF(COUNTIFS(実績!$W$6:$W$505,I$3,実績!$AI$6:$AI$505,"&lt;="&amp;$A267,実績!$AJ$6:$AJ$505,"&gt;"&amp;$A267,実績!$AL$6:$AL$505,"○")&gt;0,1,0))</f>
        <v>0</v>
      </c>
      <c r="J267" s="39" t="n">
        <f aca="false">IF(J$4=0,0,IF(COUNTIFS(実績!$W$6:$W$505,J$3,実績!$AI$6:$AI$505,"&lt;="&amp;$A267,実績!$AJ$6:$AJ$505,"&gt;"&amp;$A267,実績!$AL$6:$AL$505,"○")&gt;0,1,0))</f>
        <v>0</v>
      </c>
      <c r="K267" s="39" t="n">
        <f aca="false">IF(K$4=0,0,IF(COUNTIFS(実績!$W$6:$W$505,K$3,実績!$AI$6:$AI$505,"&lt;="&amp;$A267,実績!$AJ$6:$AJ$505,"&gt;"&amp;$A267,実績!$AL$6:$AL$505,"○")&gt;0,1,0))</f>
        <v>0</v>
      </c>
      <c r="L267" s="39" t="n">
        <f aca="false">IF(L$4=0,0,IF(COUNTIFS(実績!$W$6:$W$505,L$3,実績!$AI$6:$AI$505,"&lt;="&amp;$A267,実績!$AJ$6:$AJ$505,"&gt;"&amp;$A267,実績!$AL$6:$AL$505,"○")&gt;0,1,0))</f>
        <v>0</v>
      </c>
      <c r="M267" s="39" t="n">
        <f aca="false">IF(M$4=0,0,IF(COUNTIFS(実績!$W$6:$W$505,M$3,実績!$AI$6:$AI$505,"&lt;="&amp;$A267,実績!$AJ$6:$AJ$505,"&gt;"&amp;$A267,実績!$AL$6:$AL$505,"○")&gt;0,1,0))</f>
        <v>0</v>
      </c>
      <c r="N267" s="39" t="n">
        <f aca="false">IF(N$4=0,0,IF(COUNTIFS(実績!$W$6:$W$505,N$3,実績!$AI$6:$AI$505,"&lt;="&amp;$A267,実績!$AJ$6:$AJ$505,"&gt;"&amp;$A267,実績!$AL$6:$AL$505,"○")&gt;0,1,0))</f>
        <v>0</v>
      </c>
      <c r="O267" s="39" t="n">
        <f aca="false">IF(O$4=0,0,IF(COUNTIFS(実績!$W$6:$W$505,O$3,実績!$AI$6:$AI$505,"&lt;="&amp;$A267,実績!$AJ$6:$AJ$505,"&gt;"&amp;$A267,実績!$AL$6:$AL$505,"○")&gt;0,1,0))</f>
        <v>0</v>
      </c>
      <c r="P267" s="39" t="n">
        <f aca="false">IF(P$4=0,0,IF(COUNTIFS(実績!$W$6:$W$505,P$3,実績!$AI$6:$AI$505,"&lt;="&amp;$A267,実績!$AJ$6:$AJ$505,"&gt;"&amp;$A267,実績!$AL$6:$AL$505,"○")&gt;0,1,0))</f>
        <v>0</v>
      </c>
      <c r="Q267" s="39" t="n">
        <f aca="false">IF(Q$4=0,0,IF(COUNTIFS(実績!$W$6:$W$505,Q$3,実績!$AI$6:$AI$505,"&lt;="&amp;$A267,実績!$AJ$6:$AJ$505,"&gt;"&amp;$A267,実績!$AL$6:$AL$505,"○")&gt;0,1,0))</f>
        <v>0</v>
      </c>
      <c r="R267" s="39" t="n">
        <f aca="false">IF(R$4=0,0,IF(COUNTIFS(実績!$W$6:$W$505,R$3,実績!$AI$6:$AI$505,"&lt;="&amp;$A267,実績!$AJ$6:$AJ$505,"&gt;"&amp;$A267,実績!$AL$6:$AL$505,"○")&gt;0,1,0))</f>
        <v>0</v>
      </c>
      <c r="S267" s="39" t="n">
        <f aca="false">IF(S$4=0,0,IF(COUNTIFS(実績!$W$6:$W$505,S$3,実績!$AI$6:$AI$505,"&lt;="&amp;$A267,実績!$AJ$6:$AJ$505,"&gt;"&amp;$A267,実績!$AL$6:$AL$505,"○")&gt;0,1,0))</f>
        <v>0</v>
      </c>
      <c r="T267" s="39" t="n">
        <f aca="false">IF(T$4=0,0,IF(COUNTIFS(実績!$W$6:$W$505,T$3,実績!$AI$6:$AI$505,"&lt;="&amp;$A267,実績!$AJ$6:$AJ$505,"&gt;"&amp;$A267,実績!$AL$6:$AL$505,"○")&gt;0,1,0))</f>
        <v>0</v>
      </c>
      <c r="U267" s="39" t="n">
        <f aca="false">IF(U$4=0,0,IF(COUNTIFS(実績!$W$6:$W$505,U$3,実績!$AI$6:$AI$505,"&lt;="&amp;$A267,実績!$AJ$6:$AJ$505,"&gt;"&amp;$A267,実績!$AL$6:$AL$505,"○")&gt;0,1,0))</f>
        <v>0</v>
      </c>
      <c r="V267" s="39" t="n">
        <f aca="false">IF(V$4=0,0,IF(COUNTIFS(実績!$W$6:$W$505,V$3,実績!$AI$6:$AI$505,"&lt;="&amp;$A267,実績!$AJ$6:$AJ$505,"&gt;"&amp;$A267,実績!$AL$6:$AL$505,"○")&gt;0,1,0))</f>
        <v>0</v>
      </c>
      <c r="W267" s="39" t="n">
        <f aca="false">IF(W$4=0,0,IF(COUNTIFS(実績!$W$6:$W$505,W$3,実績!$AI$6:$AI$505,"&lt;="&amp;$A267,実績!$AJ$6:$AJ$505,"&gt;"&amp;$A267,実績!$AL$6:$AL$505,"○")&gt;0,1,0))</f>
        <v>0</v>
      </c>
      <c r="X267" s="39" t="n">
        <f aca="false">IF(X$4=0,0,IF(COUNTIFS(実績!$W$6:$W$505,X$3,実績!$AI$6:$AI$505,"&lt;="&amp;$A267,実績!$AJ$6:$AJ$505,"&gt;"&amp;$A267,実績!$AL$6:$AL$505,"○")&gt;0,1,0))</f>
        <v>0</v>
      </c>
      <c r="Y267" s="39" t="n">
        <f aca="false">IF(Y$4=0,0,IF(COUNTIFS(実績!$W$6:$W$505,Y$3,実績!$AI$6:$AI$505,"&lt;="&amp;$A267,実績!$AJ$6:$AJ$505,"&gt;"&amp;$A267,実績!$AL$6:$AL$505,"○")&gt;0,1,0))</f>
        <v>0</v>
      </c>
      <c r="Z267" s="39" t="n">
        <f aca="false">IF(Z$4=0,0,IF(COUNTIFS(実績!$W$6:$W$505,Z$3,実績!$AI$6:$AI$505,"&lt;="&amp;$A267,実績!$AJ$6:$AJ$505,"&gt;"&amp;$A267,実績!$AL$6:$AL$505,"○")&gt;0,1,0))</f>
        <v>0</v>
      </c>
      <c r="AA267" s="39" t="n">
        <f aca="false">IF(AA$4=0,0,IF(COUNTIFS(実績!$W$6:$W$505,AA$3,実績!$AI$6:$AI$505,"&lt;="&amp;$A267,実績!$AJ$6:$AJ$505,"&gt;"&amp;$A267,実績!$AL$6:$AL$505,"○")&gt;0,1,0))</f>
        <v>0</v>
      </c>
      <c r="AB267" s="39" t="n">
        <f aca="false">IF(AB$4=0,0,IF(COUNTIFS(実績!$W$6:$W$505,AB$3,実績!$AI$6:$AI$505,"&lt;="&amp;$A267,実績!$AJ$6:$AJ$505,"&gt;"&amp;$A267,実績!$AL$6:$AL$505,"○")&gt;0,1,0))</f>
        <v>0</v>
      </c>
      <c r="AC267" s="39" t="n">
        <f aca="false">IF(AC$4=0,0,IF(COUNTIFS(実績!$W$6:$W$505,AC$3,実績!$AI$6:$AI$505,"&lt;="&amp;$A267,実績!$AJ$6:$AJ$505,"&gt;"&amp;$A267,実績!$AL$6:$AL$505,"○")&gt;0,1,0))</f>
        <v>0</v>
      </c>
      <c r="AD267" s="39" t="n">
        <f aca="false">IF(AD$4=0,0,IF(COUNTIFS(実績!$W$6:$W$505,AD$3,実績!$AI$6:$AI$505,"&lt;="&amp;$A267,実績!$AJ$6:$AJ$505,"&gt;"&amp;$A267,実績!$AL$6:$AL$505,"○")&gt;0,1,0))</f>
        <v>0</v>
      </c>
      <c r="AE267" s="39" t="n">
        <f aca="false">IF(AE$4=0,0,IF(COUNTIFS(実績!$W$6:$W$505,AE$3,実績!$AI$6:$AI$505,"&lt;="&amp;$A267,実績!$AJ$6:$AJ$505,"&gt;"&amp;$A267,実績!$AL$6:$AL$505,"○")&gt;0,1,0))</f>
        <v>0</v>
      </c>
      <c r="AF267" s="39" t="n">
        <f aca="false">IF(AF$4=0,0,IF(COUNTIFS(実績!$W$6:$W$505,AF$3,実績!$AI$6:$AI$505,"&lt;="&amp;$A267,実績!$AJ$6:$AJ$505,"&gt;"&amp;$A267,実績!$AL$6:$AL$505,"○")&gt;0,1,0))</f>
        <v>0</v>
      </c>
      <c r="AG267" s="39" t="n">
        <f aca="false">IF(AG$4=0,0,IF(COUNTIFS(実績!$W$6:$W$505,AG$3,実績!$AI$6:$AI$505,"&lt;="&amp;$A267,実績!$AJ$6:$AJ$505,"&gt;"&amp;$A267,実績!$AL$6:$AL$505,"○")&gt;0,1,0))</f>
        <v>0</v>
      </c>
      <c r="AH267" s="39" t="n">
        <f aca="false">IF(AH$4=0,0,IF(COUNTIFS(実績!$W$6:$W$505,AH$3,実績!$AI$6:$AI$505,"&lt;="&amp;$A267,実績!$AJ$6:$AJ$505,"&gt;"&amp;$A267,実績!$AL$6:$AL$505,"○")&gt;0,1,0))</f>
        <v>0</v>
      </c>
      <c r="AI267" s="39" t="n">
        <f aca="false">IF(AI$4=0,0,IF(COUNTIFS(実績!$W$6:$W$505,AI$3,実績!$AI$6:$AI$505,"&lt;="&amp;$A267,実績!$AJ$6:$AJ$505,"&gt;"&amp;$A267,実績!$AL$6:$AL$505,"○")&gt;0,1,0))</f>
        <v>0</v>
      </c>
      <c r="AJ267" s="39" t="n">
        <f aca="false">IF(AJ$4=0,0,IF(COUNTIFS(実績!$W$6:$W$505,AJ$3,実績!$AI$6:$AI$505,"&lt;="&amp;$A267,実績!$AJ$6:$AJ$505,"&gt;"&amp;$A267,実績!$AL$6:$AL$505,"○")&gt;0,1,0))</f>
        <v>0</v>
      </c>
      <c r="AK267" s="39" t="n">
        <f aca="false">IF(AK$4=0,0,IF(COUNTIFS(実績!$W$6:$W$505,AK$3,実績!$AI$6:$AI$505,"&lt;="&amp;$A267,実績!$AJ$6:$AJ$505,"&gt;"&amp;$A267,実績!$AL$6:$AL$505,"○")&gt;0,1,0))</f>
        <v>0</v>
      </c>
      <c r="AL267" s="39" t="n">
        <f aca="false">IF(AL$4=0,0,IF(COUNTIFS(実績!$W$6:$W$505,AL$3,実績!$AI$6:$AI$505,"&lt;="&amp;$A267,実績!$AJ$6:$AJ$505,"&gt;"&amp;$A267,実績!$AL$6:$AL$505,"○")&gt;0,1,0))</f>
        <v>0</v>
      </c>
      <c r="AM267" s="39" t="n">
        <f aca="false">IF(AM$4=0,0,IF(COUNTIFS(実績!$W$6:$W$505,AM$3,実績!$AI$6:$AI$505,"&lt;="&amp;$A267,実績!$AJ$6:$AJ$505,"&gt;"&amp;$A267,実績!$AL$6:$AL$505,"○")&gt;0,1,0))</f>
        <v>0</v>
      </c>
      <c r="AN267" s="39" t="n">
        <f aca="false">IF(AN$4=0,0,IF(COUNTIFS(実績!$W$6:$W$505,AN$3,実績!$AI$6:$AI$505,"&lt;="&amp;$A267,実績!$AJ$6:$AJ$505,"&gt;"&amp;$A267,実績!$AL$6:$AL$505,"○")&gt;0,1,0))</f>
        <v>0</v>
      </c>
      <c r="AO267" s="39" t="n">
        <f aca="false">IF(AO$4=0,0,IF(COUNTIFS(実績!$W$6:$W$505,AO$3,実績!$AI$6:$AI$505,"&lt;="&amp;$A267,実績!$AJ$6:$AJ$505,"&gt;"&amp;$A267,実績!$AL$6:$AL$505,"○")&gt;0,1,0))</f>
        <v>0</v>
      </c>
      <c r="AP267" s="39" t="n">
        <f aca="false">IF(AP$4=0,0,IF(COUNTIFS(実績!$W$6:$W$505,AP$3,実績!$AI$6:$AI$505,"&lt;="&amp;$A267,実績!$AJ$6:$AJ$505,"&gt;"&amp;$A267,実績!$AL$6:$AL$505,"○")&gt;0,1,0))</f>
        <v>0</v>
      </c>
      <c r="AQ267" s="39" t="n">
        <f aca="false">IF(AQ$4=0,0,IF(COUNTIFS(実績!$W$6:$W$505,AQ$3,実績!$AI$6:$AI$505,"&lt;="&amp;$A267,実績!$AJ$6:$AJ$505,"&gt;"&amp;$A267,実績!$AL$6:$AL$505,"○")&gt;0,1,0))</f>
        <v>0</v>
      </c>
      <c r="AR267" s="39" t="n">
        <f aca="false">IF(AR$4=0,0,IF(COUNTIFS(実績!$W$6:$W$505,AR$3,実績!$AI$6:$AI$505,"&lt;="&amp;$A267,実績!$AJ$6:$AJ$505,"&gt;"&amp;$A267,実績!$AL$6:$AL$505,"○")&gt;0,1,0))</f>
        <v>0</v>
      </c>
      <c r="AS267" s="39" t="n">
        <f aca="false">IF(AS$4=0,0,IF(COUNTIFS(実績!$W$6:$W$505,AS$3,実績!$AI$6:$AI$505,"&lt;="&amp;$A267,実績!$AJ$6:$AJ$505,"&gt;"&amp;$A267,実績!$AL$6:$AL$505,"○")&gt;0,1,0))</f>
        <v>0</v>
      </c>
      <c r="AT267" s="39" t="n">
        <f aca="false">IF(AT$4=0,0,IF(COUNTIFS(実績!$W$6:$W$505,AT$3,実績!$AI$6:$AI$505,"&lt;="&amp;$A267,実績!$AJ$6:$AJ$505,"&gt;"&amp;$A267,実績!$AL$6:$AL$505,"○")&gt;0,1,0))</f>
        <v>0</v>
      </c>
      <c r="AU267" s="39" t="n">
        <f aca="false">IF(AU$4=0,0,IF(COUNTIFS(実績!$W$6:$W$505,AU$3,実績!$AI$6:$AI$505,"&lt;="&amp;$A267,実績!$AJ$6:$AJ$505,"&gt;"&amp;$A267,実績!$AL$6:$AL$505,"○")&gt;0,1,0))</f>
        <v>0</v>
      </c>
      <c r="AV267" s="39" t="n">
        <f aca="false">IF(AV$4=0,0,IF(COUNTIFS(実績!$W$6:$W$505,AV$3,実績!$AI$6:$AI$505,"&lt;="&amp;$A267,実績!$AJ$6:$AJ$505,"&gt;"&amp;$A267,実績!$AL$6:$AL$505,"○")&gt;0,1,0))</f>
        <v>0</v>
      </c>
      <c r="AW267" s="39" t="n">
        <f aca="false">IF(AW$4=0,0,IF(COUNTIFS(実績!$W$6:$W$505,AW$3,実績!$AI$6:$AI$505,"&lt;="&amp;$A267,実績!$AJ$6:$AJ$505,"&gt;"&amp;$A267,実績!$AL$6:$AL$505,"○")&gt;0,1,0))</f>
        <v>0</v>
      </c>
      <c r="AX267" s="39" t="n">
        <f aca="false">IF(AX$4=0,0,IF(COUNTIFS(実績!$W$6:$W$505,AX$3,実績!$AI$6:$AI$505,"&lt;="&amp;$A267,実績!$AJ$6:$AJ$505,"&gt;"&amp;$A267,実績!$AL$6:$AL$505,"○")&gt;0,1,0))</f>
        <v>0</v>
      </c>
      <c r="AY267" s="39" t="n">
        <f aca="false">IF(AY$4=0,0,IF(COUNTIFS(実績!$W$6:$W$505,AY$3,実績!$AI$6:$AI$505,"&lt;="&amp;$A267,実績!$AJ$6:$AJ$505,"&gt;"&amp;$A267,実績!$AL$6:$AL$505,"○")&gt;0,1,0))</f>
        <v>0</v>
      </c>
      <c r="AZ267" s="39" t="n">
        <f aca="false">IF(AZ$4=0,0,IF(COUNTIFS(実績!$W$6:$W$505,AZ$3,実績!$AI$6:$AI$505,"&lt;="&amp;$A267,実績!$AJ$6:$AJ$505,"&gt;"&amp;$A267,実績!$AL$6:$AL$505,"○")&gt;0,1,0))</f>
        <v>0</v>
      </c>
      <c r="BA267" s="39" t="n">
        <f aca="false">IF(BA$4=0,0,IF(COUNTIFS(実績!$W$6:$W$505,BA$3,実績!$AI$6:$AI$505,"&lt;="&amp;$A267,実績!$AJ$6:$AJ$505,"&gt;"&amp;$A267,実績!$AL$6:$AL$505,"○")&gt;0,1,0))</f>
        <v>0</v>
      </c>
      <c r="BB267" s="39" t="n">
        <f aca="false">IF(BB$4=0,0,IF(COUNTIFS(実績!$W$6:$W$505,BB$3,実績!$AI$6:$AI$505,"&lt;="&amp;$A267,実績!$AJ$6:$AJ$505,"&gt;"&amp;$A267,実績!$AL$6:$AL$505,"○")&gt;0,1,0))</f>
        <v>0</v>
      </c>
      <c r="BC267" s="39" t="n">
        <f aca="false">IF(BC$4=0,0,IF(COUNTIFS(実績!$W$6:$W$505,BC$3,実績!$AI$6:$AI$505,"&lt;="&amp;$A267,実績!$AJ$6:$AJ$505,"&gt;"&amp;$A267,実績!$AL$6:$AL$505,"○")&gt;0,1,0))</f>
        <v>0</v>
      </c>
      <c r="BD267" s="39" t="n">
        <f aca="false">IF(BD$4=0,0,IF(COUNTIFS(実績!$W$6:$W$505,BD$3,実績!$AI$6:$AI$505,"&lt;="&amp;$A267,実績!$AJ$6:$AJ$505,"&gt;"&amp;$A267,実績!$AL$6:$AL$505,"○")&gt;0,1,0))</f>
        <v>0</v>
      </c>
      <c r="BE267" s="39" t="n">
        <f aca="false">IF(BE$4=0,0,IF(COUNTIFS(実績!$W$6:$W$505,BE$3,実績!$AI$6:$AI$505,"&lt;="&amp;$A267,実績!$AJ$6:$AJ$505,"&gt;"&amp;$A267,実績!$AL$6:$AL$505,"○")&gt;0,1,0))</f>
        <v>0</v>
      </c>
      <c r="BF267" s="39" t="n">
        <f aca="false">IF(BF$4=0,0,IF(COUNTIFS(実績!$W$6:$W$505,BF$3,実績!$AI$6:$AI$505,"&lt;="&amp;$A267,実績!$AJ$6:$AJ$505,"&gt;"&amp;$A267,実績!$AL$6:$AL$505,"○")&gt;0,1,0))</f>
        <v>0</v>
      </c>
      <c r="BG267" s="39" t="n">
        <f aca="false">IF(BG$4=0,0,IF(COUNTIFS(実績!$W$6:$W$505,BG$3,実績!$AI$6:$AI$505,"&lt;="&amp;$A267,実績!$AJ$6:$AJ$505,"&gt;"&amp;$A267,実績!$AL$6:$AL$505,"○")&gt;0,1,0))</f>
        <v>0</v>
      </c>
      <c r="BH267" s="39" t="n">
        <f aca="false">IF(BH$4=0,0,IF(COUNTIFS(実績!$W$6:$W$505,BH$3,実績!$AI$6:$AI$505,"&lt;="&amp;$A267,実績!$AJ$6:$AJ$505,"&gt;"&amp;$A267,実績!$AL$6:$AL$505,"○")&gt;0,1,0))</f>
        <v>0</v>
      </c>
      <c r="BI267" s="39" t="n">
        <f aca="false">IF(BI$4=0,0,IF(COUNTIFS(実績!$W$6:$W$505,BI$3,実績!$AI$6:$AI$505,"&lt;="&amp;$A267,実績!$AJ$6:$AJ$505,"&gt;"&amp;$A267,実績!$AL$6:$AL$505,"○")&gt;0,1,0))</f>
        <v>0</v>
      </c>
      <c r="BJ267" s="39" t="n">
        <f aca="false">IF(BJ$4=0,0,IF(COUNTIFS(実績!$W$6:$W$505,BJ$3,実績!$AI$6:$AI$505,"&lt;="&amp;$A267,実績!$AJ$6:$AJ$505,"&gt;"&amp;$A267,実績!$AL$6:$AL$505,"○")&gt;0,1,0))</f>
        <v>0</v>
      </c>
      <c r="BK267" s="39" t="n">
        <f aca="false">IF(BK$4=0,0,IF(COUNTIFS(実績!$W$6:$W$505,BK$3,実績!$AI$6:$AI$505,"&lt;="&amp;$A267,実績!$AJ$6:$AJ$505,"&gt;"&amp;$A267,実績!$AL$6:$AL$505,"○")&gt;0,1,0))</f>
        <v>0</v>
      </c>
      <c r="BL267" s="39" t="n">
        <f aca="false">IF(BL$4=0,0,IF(COUNTIFS(実績!$W$6:$W$505,BL$3,実績!$AI$6:$AI$505,"&lt;="&amp;$A267,実績!$AJ$6:$AJ$505,"&gt;"&amp;$A267,実績!$AL$6:$AL$505,"○")&gt;0,1,0))</f>
        <v>0</v>
      </c>
      <c r="BM267" s="39" t="n">
        <f aca="false">IF(BM$4=0,0,IF(COUNTIFS(実績!$W$6:$W$505,BM$3,実績!$AI$6:$AI$505,"&lt;="&amp;$A267,実績!$AJ$6:$AJ$505,"&gt;"&amp;$A267,実績!$AL$6:$AL$505,"○")&gt;0,1,0))</f>
        <v>0</v>
      </c>
      <c r="BN267" s="39" t="n">
        <f aca="false">IF(BN$4=0,0,IF(COUNTIFS(実績!$W$6:$W$505,BN$3,実績!$AI$6:$AI$505,"&lt;="&amp;$A267,実績!$AJ$6:$AJ$505,"&gt;"&amp;$A267,実績!$AL$6:$AL$505,"○")&gt;0,1,0))</f>
        <v>0</v>
      </c>
      <c r="BO267" s="39" t="n">
        <f aca="false">IF(BO$4=0,0,IF(COUNTIFS(実績!$W$6:$W$505,BO$3,実績!$AI$6:$AI$505,"&lt;="&amp;$A267,実績!$AJ$6:$AJ$505,"&gt;"&amp;$A267,実績!$AL$6:$AL$505,"○")&gt;0,1,0))</f>
        <v>0</v>
      </c>
      <c r="BP267" s="39" t="n">
        <f aca="false">IF(BP$4=0,0,IF(COUNTIFS(実績!$W$6:$W$505,BP$3,実績!$AI$6:$AI$505,"&lt;="&amp;$A267,実績!$AJ$6:$AJ$505,"&gt;"&amp;$A267,実績!$AL$6:$AL$505,"○")&gt;0,1,0))</f>
        <v>0</v>
      </c>
      <c r="BQ267" s="39" t="n">
        <f aca="false">IF(BQ$4=0,0,IF(COUNTIFS(実績!$W$6:$W$505,BQ$3,実績!$AI$6:$AI$505,"&lt;="&amp;$A267,実績!$AJ$6:$AJ$505,"&gt;"&amp;$A267,実績!$AL$6:$AL$505,"○")&gt;0,1,0))</f>
        <v>0</v>
      </c>
      <c r="BR267" s="39" t="n">
        <f aca="false">IF(BR$4=0,0,IF(COUNTIFS(実績!$W$6:$W$505,BR$3,実績!$AI$6:$AI$505,"&lt;="&amp;$A267,実績!$AJ$6:$AJ$505,"&gt;"&amp;$A267,実績!$AL$6:$AL$505,"○")&gt;0,1,0))</f>
        <v>0</v>
      </c>
      <c r="BS267" s="39" t="n">
        <f aca="false">IF(BS$4=0,0,IF(COUNTIFS(実績!$W$6:$W$505,BS$3,実績!$AI$6:$AI$505,"&lt;="&amp;$A267,実績!$AJ$6:$AJ$505,"&gt;"&amp;$A267,実績!$AL$6:$AL$505,"○")&gt;0,1,0))</f>
        <v>0</v>
      </c>
      <c r="BT267" s="39" t="n">
        <f aca="false">IF(BT$4=0,0,IF(COUNTIFS(実績!$W$6:$W$505,BT$3,実績!$AI$6:$AI$505,"&lt;="&amp;$A267,実績!$AJ$6:$AJ$505,"&gt;"&amp;$A267,実績!$AL$6:$AL$505,"○")&gt;0,1,0))</f>
        <v>0</v>
      </c>
      <c r="BU267" s="39" t="n">
        <f aca="false">IF(BU$4=0,0,IF(COUNTIFS(実績!$W$6:$W$505,BU$3,実績!$AI$6:$AI$505,"&lt;="&amp;$A267,実績!$AJ$6:$AJ$505,"&gt;"&amp;$A267,実績!$AL$6:$AL$505,"○")&gt;0,1,0))</f>
        <v>0</v>
      </c>
      <c r="BV267" s="39" t="n">
        <f aca="false">IF(BV$4=0,0,IF(COUNTIFS(実績!$W$6:$W$505,BV$3,実績!$AI$6:$AI$505,"&lt;="&amp;$A267,実績!$AJ$6:$AJ$505,"&gt;"&amp;$A267,実績!$AL$6:$AL$505,"○")&gt;0,1,0))</f>
        <v>0</v>
      </c>
      <c r="BW267" s="39" t="n">
        <f aca="false">IF(BW$4=0,0,IF(COUNTIFS(実績!$W$6:$W$505,BW$3,実績!$AI$6:$AI$505,"&lt;="&amp;$A267,実績!$AJ$6:$AJ$505,"&gt;"&amp;$A267,実績!$AL$6:$AL$505,"○")&gt;0,1,0))</f>
        <v>0</v>
      </c>
      <c r="BX267" s="39" t="n">
        <f aca="false">IF(BX$4=0,0,IF(COUNTIFS(実績!$W$6:$W$505,BX$3,実績!$AI$6:$AI$505,"&lt;="&amp;$A267,実績!$AJ$6:$AJ$505,"&gt;"&amp;$A267,実績!$AL$6:$AL$505,"○")&gt;0,1,0))</f>
        <v>0</v>
      </c>
      <c r="BY267" s="39" t="n">
        <f aca="false">IF(BY$4=0,0,IF(COUNTIFS(実績!$W$6:$W$505,BY$3,実績!$AI$6:$AI$505,"&lt;="&amp;$A267,実績!$AJ$6:$AJ$505,"&gt;"&amp;$A267,実績!$AL$6:$AL$505,"○")&gt;0,1,0))</f>
        <v>0</v>
      </c>
      <c r="BZ267" s="39" t="n">
        <f aca="false">IF(BZ$4=0,0,IF(COUNTIFS(実績!$W$6:$W$505,BZ$3,実績!$AI$6:$AI$505,"&lt;="&amp;$A267,実績!$AJ$6:$AJ$505,"&gt;"&amp;$A267,実績!$AL$6:$AL$505,"○")&gt;0,1,0))</f>
        <v>0</v>
      </c>
      <c r="CA267" s="39" t="n">
        <f aca="false">IF(CA$4=0,0,IF(COUNTIFS(実績!$W$6:$W$505,CA$3,実績!$AI$6:$AI$505,"&lt;="&amp;$A267,実績!$AJ$6:$AJ$505,"&gt;"&amp;$A267,実績!$AL$6:$AL$505,"○")&gt;0,1,0))</f>
        <v>0</v>
      </c>
      <c r="CB267" s="39" t="n">
        <f aca="false">IF(CB$4=0,0,IF(COUNTIFS(実績!$W$6:$W$505,CB$3,実績!$AI$6:$AI$505,"&lt;="&amp;$A267,実績!$AJ$6:$AJ$505,"&gt;"&amp;$A267,実績!$AL$6:$AL$505,"○")&gt;0,1,0))</f>
        <v>0</v>
      </c>
      <c r="CC267" s="39" t="n">
        <f aca="false">IF(CC$4=0,0,IF(COUNTIFS(実績!$W$6:$W$505,CC$3,実績!$AI$6:$AI$505,"&lt;="&amp;$A267,実績!$AJ$6:$AJ$505,"&gt;"&amp;$A267,実績!$AL$6:$AL$505,"○")&gt;0,1,0))</f>
        <v>0</v>
      </c>
      <c r="CD267" s="39" t="n">
        <f aca="false">IF(CD$4=0,0,IF(COUNTIFS(実績!$W$6:$W$505,CD$3,実績!$AI$6:$AI$505,"&lt;="&amp;$A267,実績!$AJ$6:$AJ$505,"&gt;"&amp;$A267,実績!$AL$6:$AL$505,"○")&gt;0,1,0))</f>
        <v>0</v>
      </c>
      <c r="CE267" s="39" t="n">
        <f aca="false">IF(CE$4=0,0,IF(COUNTIFS(実績!$W$6:$W$505,CE$3,実績!$AI$6:$AI$505,"&lt;="&amp;$A267,実績!$AJ$6:$AJ$505,"&gt;"&amp;$A267,実績!$AL$6:$AL$505,"○")&gt;0,1,0))</f>
        <v>0</v>
      </c>
      <c r="CF267" s="39" t="n">
        <f aca="false">IF(CF$4=0,0,IF(COUNTIFS(実績!$W$6:$W$505,CF$3,実績!$AI$6:$AI$505,"&lt;="&amp;$A267,実績!$AJ$6:$AJ$505,"&gt;"&amp;$A267,実績!$AL$6:$AL$505,"○")&gt;0,1,0))</f>
        <v>0</v>
      </c>
      <c r="CG267" s="39" t="n">
        <f aca="false">IF(CG$4=0,0,IF(COUNTIFS(実績!$W$6:$W$505,CG$3,実績!$AI$6:$AI$505,"&lt;="&amp;$A267,実績!$AJ$6:$AJ$505,"&gt;"&amp;$A267,実績!$AL$6:$AL$505,"○")&gt;0,1,0))</f>
        <v>0</v>
      </c>
      <c r="CH267" s="39" t="n">
        <f aca="false">IF(CH$4=0,0,IF(COUNTIFS(実績!$W$6:$W$505,CH$3,実績!$AI$6:$AI$505,"&lt;="&amp;$A267,実績!$AJ$6:$AJ$505,"&gt;"&amp;$A267,実績!$AL$6:$AL$505,"○")&gt;0,1,0))</f>
        <v>0</v>
      </c>
      <c r="CI267" s="39" t="n">
        <f aca="false">IF(CI$4=0,0,IF(COUNTIFS(実績!$W$6:$W$505,CI$3,実績!$AI$6:$AI$505,"&lt;="&amp;$A267,実績!$AJ$6:$AJ$505,"&gt;"&amp;$A267,実績!$AL$6:$AL$505,"○")&gt;0,1,0))</f>
        <v>0</v>
      </c>
      <c r="CJ267" s="39" t="n">
        <f aca="false">IF(CJ$4=0,0,IF(COUNTIFS(実績!$W$6:$W$505,CJ$3,実績!$AI$6:$AI$505,"&lt;="&amp;$A267,実績!$AJ$6:$AJ$505,"&gt;"&amp;$A267,実績!$AL$6:$AL$505,"○")&gt;0,1,0))</f>
        <v>0</v>
      </c>
      <c r="CK267" s="39" t="n">
        <f aca="false">IF(CK$4=0,0,IF(COUNTIFS(実績!$W$6:$W$505,CK$3,実績!$AI$6:$AI$505,"&lt;="&amp;$A267,実績!$AJ$6:$AJ$505,"&gt;"&amp;$A267,実績!$AL$6:$AL$505,"○")&gt;0,1,0))</f>
        <v>0</v>
      </c>
      <c r="CL267" s="39" t="n">
        <f aca="false">IF(CL$4=0,0,IF(COUNTIFS(実績!$W$6:$W$505,CL$3,実績!$AI$6:$AI$505,"&lt;="&amp;$A267,実績!$AJ$6:$AJ$505,"&gt;"&amp;$A267,実績!$AL$6:$AL$505,"○")&gt;0,1,0))</f>
        <v>0</v>
      </c>
      <c r="CM267" s="39" t="n">
        <f aca="false">IF(CM$4=0,0,IF(COUNTIFS(実績!$W$6:$W$505,CM$3,実績!$AI$6:$AI$505,"&lt;="&amp;$A267,実績!$AJ$6:$AJ$505,"&gt;"&amp;$A267,実績!$AL$6:$AL$505,"○")&gt;0,1,0))</f>
        <v>0</v>
      </c>
      <c r="CN267" s="39" t="n">
        <f aca="false">IF(CN$4=0,0,IF(COUNTIFS(実績!$W$6:$W$505,CN$3,実績!$AI$6:$AI$505,"&lt;="&amp;$A267,実績!$AJ$6:$AJ$505,"&gt;"&amp;$A267,実績!$AL$6:$AL$505,"○")&gt;0,1,0))</f>
        <v>0</v>
      </c>
      <c r="CO267" s="39" t="n">
        <f aca="false">IF(CO$4=0,0,IF(COUNTIFS(実績!$W$6:$W$505,CO$3,実績!$AI$6:$AI$505,"&lt;="&amp;$A267,実績!$AJ$6:$AJ$505,"&gt;"&amp;$A267,実績!$AL$6:$AL$505,"○")&gt;0,1,0))</f>
        <v>0</v>
      </c>
      <c r="CP267" s="39" t="n">
        <f aca="false">IF(CP$4=0,0,IF(COUNTIFS(実績!$W$6:$W$505,CP$3,実績!$AI$6:$AI$505,"&lt;="&amp;$A267,実績!$AJ$6:$AJ$505,"&gt;"&amp;$A267,実績!$AL$6:$AL$505,"○")&gt;0,1,0))</f>
        <v>0</v>
      </c>
      <c r="CQ267" s="39" t="n">
        <f aca="false">IF(CQ$4=0,0,IF(COUNTIFS(実績!$W$6:$W$505,CQ$3,実績!$AI$6:$AI$505,"&lt;="&amp;$A267,実績!$AJ$6:$AJ$505,"&gt;"&amp;$A267,実績!$AL$6:$AL$505,"○")&gt;0,1,0))</f>
        <v>0</v>
      </c>
      <c r="CR267" s="39" t="n">
        <f aca="false">IF(CR$4=0,0,IF(COUNTIFS(実績!$W$6:$W$505,CR$3,実績!$AI$6:$AI$505,"&lt;="&amp;$A267,実績!$AJ$6:$AJ$505,"&gt;"&amp;$A267,実績!$AL$6:$AL$505,"○")&gt;0,1,0))</f>
        <v>0</v>
      </c>
      <c r="CS267" s="39" t="n">
        <f aca="false">IF(CS$4=0,0,IF(COUNTIFS(実績!$W$6:$W$505,CS$3,実績!$AI$6:$AI$505,"&lt;="&amp;$A267,実績!$AJ$6:$AJ$505,"&gt;"&amp;$A267,実績!$AL$6:$AL$505,"○")&gt;0,1,0))</f>
        <v>0</v>
      </c>
      <c r="CT267" s="39" t="n">
        <f aca="false">IF(CT$4=0,0,IF(COUNTIFS(実績!$W$6:$W$505,CT$3,実績!$AI$6:$AI$505,"&lt;="&amp;$A267,実績!$AJ$6:$AJ$505,"&gt;"&amp;$A267,実績!$AL$6:$AL$505,"○")&gt;0,1,0))</f>
        <v>0</v>
      </c>
      <c r="CU267" s="39" t="n">
        <f aca="false">IF(CU$4=0,0,IF(COUNTIFS(実績!$W$6:$W$505,CU$3,実績!$AI$6:$AI$505,"&lt;="&amp;$A267,実績!$AJ$6:$AJ$505,"&gt;"&amp;$A267,実績!$AL$6:$AL$505,"○")&gt;0,1,0))</f>
        <v>0</v>
      </c>
      <c r="CV267" s="39" t="n">
        <f aca="false">IF(CV$4=0,0,IF(COUNTIFS(実績!$W$6:$W$505,CV$3,実績!$AI$6:$AI$505,"&lt;="&amp;$A267,実績!$AJ$6:$AJ$505,"&gt;"&amp;$A267,実績!$AL$6:$AL$505,"○")&gt;0,1,0))</f>
        <v>0</v>
      </c>
      <c r="CW267" s="39" t="n">
        <f aca="false">IF(CW$4=0,0,IF(COUNTIFS(実績!$W$6:$W$505,CW$3,実績!$AI$6:$AI$505,"&lt;="&amp;$A267,実績!$AJ$6:$AJ$505,"&gt;"&amp;$A267,実績!$AL$6:$AL$505,"○")&gt;0,1,0))</f>
        <v>0</v>
      </c>
      <c r="CX267" s="39" t="n">
        <f aca="false">IF(CX$4=0,0,IF(COUNTIFS(実績!$W$6:$W$505,CX$3,実績!$AI$6:$AI$505,"&lt;="&amp;$A267,実績!$AJ$6:$AJ$505,"&gt;"&amp;$A267,実績!$AL$6:$AL$505,"○")&gt;0,1,0))</f>
        <v>0</v>
      </c>
      <c r="CY267" s="39" t="n">
        <f aca="false">IF(CY$4=0,0,IF(COUNTIFS(実績!$W$6:$W$505,CY$3,実績!$AI$6:$AI$505,"&lt;="&amp;$A267,実績!$AJ$6:$AJ$505,"&gt;"&amp;$A267,実績!$AL$6:$AL$505,"○")&gt;0,1,0))</f>
        <v>0</v>
      </c>
      <c r="CZ267" s="39" t="n">
        <f aca="false">IF(CZ$4=0,0,IF(COUNTIFS(実績!$W$6:$W$505,CZ$3,実績!$AI$6:$AI$505,"&lt;="&amp;$A267,実績!$AJ$6:$AJ$505,"&gt;"&amp;$A267,実績!$AL$6:$AL$505,"○")&gt;0,1,0))</f>
        <v>0</v>
      </c>
      <c r="DA267" s="39" t="n">
        <f aca="false">IF(DA$4=0,0,IF(COUNTIFS(実績!$W$6:$W$505,DA$3,実績!$AI$6:$AI$505,"&lt;="&amp;$A267,実績!$AJ$6:$AJ$505,"&gt;"&amp;$A267,実績!$AL$6:$AL$505,"○")&gt;0,1,0))</f>
        <v>0</v>
      </c>
      <c r="DB267" s="39" t="n">
        <f aca="false">IF(DB$4=0,0,IF(COUNTIFS(実績!$W$6:$W$505,DB$3,実績!$AI$6:$AI$505,"&lt;="&amp;$A267,実績!$AJ$6:$AJ$505,"&gt;"&amp;$A267,実績!$AL$6:$AL$505,"○")&gt;0,1,0))</f>
        <v>0</v>
      </c>
      <c r="DC267" s="39" t="n">
        <f aca="false">IF(DC$4=0,0,IF(COUNTIFS(実績!$W$6:$W$505,DC$3,実績!$AI$6:$AI$505,"&lt;="&amp;$A267,実績!$AJ$6:$AJ$505,"&gt;"&amp;$A267,実績!$AL$6:$AL$505,"○")&gt;0,1,0))</f>
        <v>0</v>
      </c>
      <c r="DD267" s="39" t="n">
        <f aca="false">IF(DD$4=0,0,IF(COUNTIFS(実績!$W$6:$W$505,DD$3,実績!$AI$6:$AI$505,"&lt;="&amp;$A267,実績!$AJ$6:$AJ$505,"&gt;"&amp;$A267,実績!$AL$6:$AL$505,"○")&gt;0,1,0))</f>
        <v>0</v>
      </c>
      <c r="DE267" s="39" t="n">
        <f aca="false">IF(DE$4=0,0,IF(COUNTIFS(実績!$W$6:$W$505,DE$3,実績!$AI$6:$AI$505,"&lt;="&amp;$A267,実績!$AJ$6:$AJ$505,"&gt;"&amp;$A267,実績!$AL$6:$AL$505,"○")&gt;0,1,0))</f>
        <v>0</v>
      </c>
      <c r="DF267" s="39" t="n">
        <f aca="false">IF(DF$4=0,0,IF(COUNTIFS(実績!$W$6:$W$505,DF$3,実績!$AI$6:$AI$505,"&lt;="&amp;$A267,実績!$AJ$6:$AJ$505,"&gt;"&amp;$A267,実績!$AL$6:$AL$505,"○")&gt;0,1,0))</f>
        <v>0</v>
      </c>
      <c r="DG267" s="39" t="n">
        <f aca="false">IF(DG$4=0,0,IF(COUNTIFS(実績!$W$6:$W$505,DG$3,実績!$AI$6:$AI$505,"&lt;="&amp;$A267,実績!$AJ$6:$AJ$505,"&gt;"&amp;$A267,実績!$AL$6:$AL$505,"○")&gt;0,1,0))</f>
        <v>0</v>
      </c>
      <c r="DH267" s="39" t="n">
        <f aca="false">IF(DH$4=0,0,IF(COUNTIFS(実績!$W$6:$W$505,DH$3,実績!$AI$6:$AI$505,"&lt;="&amp;$A267,実績!$AJ$6:$AJ$505,"&gt;"&amp;$A267,実績!$AL$6:$AL$505,"○")&gt;0,1,0))</f>
        <v>0</v>
      </c>
      <c r="DI267" s="39" t="n">
        <f aca="false">IF(DI$4=0,0,IF(COUNTIFS(実績!$W$6:$W$505,DI$3,実績!$AI$6:$AI$505,"&lt;="&amp;$A267,実績!$AJ$6:$AJ$505,"&gt;"&amp;$A267,実績!$AL$6:$AL$505,"○")&gt;0,1,0))</f>
        <v>0</v>
      </c>
      <c r="DJ267" s="39" t="n">
        <f aca="false">IF(DJ$4=0,0,IF(COUNTIFS(実績!$W$6:$W$505,DJ$3,実績!$AI$6:$AI$505,"&lt;="&amp;$A267,実績!$AJ$6:$AJ$505,"&gt;"&amp;$A267,実績!$AL$6:$AL$505,"○")&gt;0,1,0))</f>
        <v>0</v>
      </c>
      <c r="DK267" s="39" t="n">
        <f aca="false">IF(DK$4=0,0,IF(COUNTIFS(実績!$W$6:$W$505,DK$3,実績!$AI$6:$AI$505,"&lt;="&amp;$A267,実績!$AJ$6:$AJ$505,"&gt;"&amp;$A267,実績!$AL$6:$AL$505,"○")&gt;0,1,0))</f>
        <v>0</v>
      </c>
      <c r="DL267" s="39" t="n">
        <f aca="false">IF(DL$4=0,0,IF(COUNTIFS(実績!$W$6:$W$505,DL$3,実績!$AI$6:$AI$505,"&lt;="&amp;$A267,実績!$AJ$6:$AJ$505,"&gt;"&amp;$A267,実績!$AL$6:$AL$505,"○")&gt;0,1,0))</f>
        <v>0</v>
      </c>
      <c r="DM267" s="39" t="n">
        <f aca="false">IF(DM$4=0,0,IF(COUNTIFS(実績!$W$6:$W$505,DM$3,実績!$AI$6:$AI$505,"&lt;="&amp;$A267,実績!$AJ$6:$AJ$505,"&gt;"&amp;$A267,実績!$AL$6:$AL$505,"○")&gt;0,1,0))</f>
        <v>0</v>
      </c>
      <c r="DN267" s="39" t="n">
        <f aca="false">IF(DN$4=0,0,IF(COUNTIFS(実績!$W$6:$W$505,DN$3,実績!$AI$6:$AI$505,"&lt;="&amp;$A267,実績!$AJ$6:$AJ$505,"&gt;"&amp;$A267,実績!$AL$6:$AL$505,"○")&gt;0,1,0))</f>
        <v>0</v>
      </c>
      <c r="DO267" s="39" t="n">
        <f aca="false">IF(DO$4=0,0,IF(COUNTIFS(実績!$W$6:$W$505,DO$3,実績!$AI$6:$AI$505,"&lt;="&amp;$A267,実績!$AJ$6:$AJ$505,"&gt;"&amp;$A267,実績!$AL$6:$AL$505,"○")&gt;0,1,0))</f>
        <v>0</v>
      </c>
      <c r="DP267" s="39" t="n">
        <f aca="false">IF(DP$4=0,0,IF(COUNTIFS(実績!$W$6:$W$505,DP$3,実績!$AI$6:$AI$505,"&lt;="&amp;$A267,実績!$AJ$6:$AJ$505,"&gt;"&amp;$A267,実績!$AL$6:$AL$505,"○")&gt;0,1,0))</f>
        <v>0</v>
      </c>
      <c r="DQ267" s="39" t="n">
        <f aca="false">IF(DQ$4=0,0,IF(COUNTIFS(実績!$W$6:$W$505,DQ$3,実績!$AI$6:$AI$505,"&lt;="&amp;$A267,実績!$AJ$6:$AJ$505,"&gt;"&amp;$A267,実績!$AL$6:$AL$505,"○")&gt;0,1,0))</f>
        <v>0</v>
      </c>
      <c r="DR267" s="39" t="n">
        <f aca="false">IF(DR$4=0,0,IF(COUNTIFS(実績!$W$6:$W$505,DR$3,実績!$AI$6:$AI$505,"&lt;="&amp;$A267,実績!$AJ$6:$AJ$505,"&gt;"&amp;$A267,実績!$AL$6:$AL$505,"○")&gt;0,1,0))</f>
        <v>0</v>
      </c>
      <c r="DS267" s="39" t="n">
        <f aca="false">SUM(C267:DR267)</f>
        <v>0</v>
      </c>
    </row>
    <row r="268" customFormat="false" ht="15" hidden="false" customHeight="false" outlineLevel="0" collapsed="false">
      <c r="A268" s="0" t="n">
        <v>1310</v>
      </c>
      <c r="B268" s="38" t="n">
        <f aca="false">A268/1440</f>
        <v>0.909722222222222</v>
      </c>
      <c r="C268" s="39" t="n">
        <f aca="false">IF(C$4=0,0,IF(COUNTIFS(実績!$W$6:$W$505,C$3,実績!$AI$6:$AI$505,"&lt;="&amp;$A268,実績!$AJ$6:$AJ$505,"&gt;"&amp;$A268,実績!$AL$6:$AL$505,"○")&gt;0,1,0))</f>
        <v>0</v>
      </c>
      <c r="D268" s="39" t="n">
        <f aca="false">IF(D$4=0,0,IF(COUNTIFS(実績!$W$6:$W$505,D$3,実績!$AI$6:$AI$505,"&lt;="&amp;$A268,実績!$AJ$6:$AJ$505,"&gt;"&amp;$A268,実績!$AL$6:$AL$505,"○")&gt;0,1,0))</f>
        <v>0</v>
      </c>
      <c r="E268" s="39" t="n">
        <f aca="false">IF(E$4=0,0,IF(COUNTIFS(実績!$W$6:$W$505,E$3,実績!$AI$6:$AI$505,"&lt;="&amp;$A268,実績!$AJ$6:$AJ$505,"&gt;"&amp;$A268,実績!$AL$6:$AL$505,"○")&gt;0,1,0))</f>
        <v>0</v>
      </c>
      <c r="F268" s="39" t="n">
        <f aca="false">IF(F$4=0,0,IF(COUNTIFS(実績!$W$6:$W$505,F$3,実績!$AI$6:$AI$505,"&lt;="&amp;$A268,実績!$AJ$6:$AJ$505,"&gt;"&amp;$A268,実績!$AL$6:$AL$505,"○")&gt;0,1,0))</f>
        <v>0</v>
      </c>
      <c r="G268" s="39" t="n">
        <f aca="false">IF(G$4=0,0,IF(COUNTIFS(実績!$W$6:$W$505,G$3,実績!$AI$6:$AI$505,"&lt;="&amp;$A268,実績!$AJ$6:$AJ$505,"&gt;"&amp;$A268,実績!$AL$6:$AL$505,"○")&gt;0,1,0))</f>
        <v>0</v>
      </c>
      <c r="H268" s="39" t="n">
        <f aca="false">IF(H$4=0,0,IF(COUNTIFS(実績!$W$6:$W$505,H$3,実績!$AI$6:$AI$505,"&lt;="&amp;$A268,実績!$AJ$6:$AJ$505,"&gt;"&amp;$A268,実績!$AL$6:$AL$505,"○")&gt;0,1,0))</f>
        <v>0</v>
      </c>
      <c r="I268" s="39" t="n">
        <f aca="false">IF(I$4=0,0,IF(COUNTIFS(実績!$W$6:$W$505,I$3,実績!$AI$6:$AI$505,"&lt;="&amp;$A268,実績!$AJ$6:$AJ$505,"&gt;"&amp;$A268,実績!$AL$6:$AL$505,"○")&gt;0,1,0))</f>
        <v>0</v>
      </c>
      <c r="J268" s="39" t="n">
        <f aca="false">IF(J$4=0,0,IF(COUNTIFS(実績!$W$6:$W$505,J$3,実績!$AI$6:$AI$505,"&lt;="&amp;$A268,実績!$AJ$6:$AJ$505,"&gt;"&amp;$A268,実績!$AL$6:$AL$505,"○")&gt;0,1,0))</f>
        <v>0</v>
      </c>
      <c r="K268" s="39" t="n">
        <f aca="false">IF(K$4=0,0,IF(COUNTIFS(実績!$W$6:$W$505,K$3,実績!$AI$6:$AI$505,"&lt;="&amp;$A268,実績!$AJ$6:$AJ$505,"&gt;"&amp;$A268,実績!$AL$6:$AL$505,"○")&gt;0,1,0))</f>
        <v>0</v>
      </c>
      <c r="L268" s="39" t="n">
        <f aca="false">IF(L$4=0,0,IF(COUNTIFS(実績!$W$6:$W$505,L$3,実績!$AI$6:$AI$505,"&lt;="&amp;$A268,実績!$AJ$6:$AJ$505,"&gt;"&amp;$A268,実績!$AL$6:$AL$505,"○")&gt;0,1,0))</f>
        <v>0</v>
      </c>
      <c r="M268" s="39" t="n">
        <f aca="false">IF(M$4=0,0,IF(COUNTIFS(実績!$W$6:$W$505,M$3,実績!$AI$6:$AI$505,"&lt;="&amp;$A268,実績!$AJ$6:$AJ$505,"&gt;"&amp;$A268,実績!$AL$6:$AL$505,"○")&gt;0,1,0))</f>
        <v>0</v>
      </c>
      <c r="N268" s="39" t="n">
        <f aca="false">IF(N$4=0,0,IF(COUNTIFS(実績!$W$6:$W$505,N$3,実績!$AI$6:$AI$505,"&lt;="&amp;$A268,実績!$AJ$6:$AJ$505,"&gt;"&amp;$A268,実績!$AL$6:$AL$505,"○")&gt;0,1,0))</f>
        <v>0</v>
      </c>
      <c r="O268" s="39" t="n">
        <f aca="false">IF(O$4=0,0,IF(COUNTIFS(実績!$W$6:$W$505,O$3,実績!$AI$6:$AI$505,"&lt;="&amp;$A268,実績!$AJ$6:$AJ$505,"&gt;"&amp;$A268,実績!$AL$6:$AL$505,"○")&gt;0,1,0))</f>
        <v>0</v>
      </c>
      <c r="P268" s="39" t="n">
        <f aca="false">IF(P$4=0,0,IF(COUNTIFS(実績!$W$6:$W$505,P$3,実績!$AI$6:$AI$505,"&lt;="&amp;$A268,実績!$AJ$6:$AJ$505,"&gt;"&amp;$A268,実績!$AL$6:$AL$505,"○")&gt;0,1,0))</f>
        <v>0</v>
      </c>
      <c r="Q268" s="39" t="n">
        <f aca="false">IF(Q$4=0,0,IF(COUNTIFS(実績!$W$6:$W$505,Q$3,実績!$AI$6:$AI$505,"&lt;="&amp;$A268,実績!$AJ$6:$AJ$505,"&gt;"&amp;$A268,実績!$AL$6:$AL$505,"○")&gt;0,1,0))</f>
        <v>0</v>
      </c>
      <c r="R268" s="39" t="n">
        <f aca="false">IF(R$4=0,0,IF(COUNTIFS(実績!$W$6:$W$505,R$3,実績!$AI$6:$AI$505,"&lt;="&amp;$A268,実績!$AJ$6:$AJ$505,"&gt;"&amp;$A268,実績!$AL$6:$AL$505,"○")&gt;0,1,0))</f>
        <v>0</v>
      </c>
      <c r="S268" s="39" t="n">
        <f aca="false">IF(S$4=0,0,IF(COUNTIFS(実績!$W$6:$W$505,S$3,実績!$AI$6:$AI$505,"&lt;="&amp;$A268,実績!$AJ$6:$AJ$505,"&gt;"&amp;$A268,実績!$AL$6:$AL$505,"○")&gt;0,1,0))</f>
        <v>0</v>
      </c>
      <c r="T268" s="39" t="n">
        <f aca="false">IF(T$4=0,0,IF(COUNTIFS(実績!$W$6:$W$505,T$3,実績!$AI$6:$AI$505,"&lt;="&amp;$A268,実績!$AJ$6:$AJ$505,"&gt;"&amp;$A268,実績!$AL$6:$AL$505,"○")&gt;0,1,0))</f>
        <v>0</v>
      </c>
      <c r="U268" s="39" t="n">
        <f aca="false">IF(U$4=0,0,IF(COUNTIFS(実績!$W$6:$W$505,U$3,実績!$AI$6:$AI$505,"&lt;="&amp;$A268,実績!$AJ$6:$AJ$505,"&gt;"&amp;$A268,実績!$AL$6:$AL$505,"○")&gt;0,1,0))</f>
        <v>0</v>
      </c>
      <c r="V268" s="39" t="n">
        <f aca="false">IF(V$4=0,0,IF(COUNTIFS(実績!$W$6:$W$505,V$3,実績!$AI$6:$AI$505,"&lt;="&amp;$A268,実績!$AJ$6:$AJ$505,"&gt;"&amp;$A268,実績!$AL$6:$AL$505,"○")&gt;0,1,0))</f>
        <v>0</v>
      </c>
      <c r="W268" s="39" t="n">
        <f aca="false">IF(W$4=0,0,IF(COUNTIFS(実績!$W$6:$W$505,W$3,実績!$AI$6:$AI$505,"&lt;="&amp;$A268,実績!$AJ$6:$AJ$505,"&gt;"&amp;$A268,実績!$AL$6:$AL$505,"○")&gt;0,1,0))</f>
        <v>0</v>
      </c>
      <c r="X268" s="39" t="n">
        <f aca="false">IF(X$4=0,0,IF(COUNTIFS(実績!$W$6:$W$505,X$3,実績!$AI$6:$AI$505,"&lt;="&amp;$A268,実績!$AJ$6:$AJ$505,"&gt;"&amp;$A268,実績!$AL$6:$AL$505,"○")&gt;0,1,0))</f>
        <v>0</v>
      </c>
      <c r="Y268" s="39" t="n">
        <f aca="false">IF(Y$4=0,0,IF(COUNTIFS(実績!$W$6:$W$505,Y$3,実績!$AI$6:$AI$505,"&lt;="&amp;$A268,実績!$AJ$6:$AJ$505,"&gt;"&amp;$A268,実績!$AL$6:$AL$505,"○")&gt;0,1,0))</f>
        <v>0</v>
      </c>
      <c r="Z268" s="39" t="n">
        <f aca="false">IF(Z$4=0,0,IF(COUNTIFS(実績!$W$6:$W$505,Z$3,実績!$AI$6:$AI$505,"&lt;="&amp;$A268,実績!$AJ$6:$AJ$505,"&gt;"&amp;$A268,実績!$AL$6:$AL$505,"○")&gt;0,1,0))</f>
        <v>0</v>
      </c>
      <c r="AA268" s="39" t="n">
        <f aca="false">IF(AA$4=0,0,IF(COUNTIFS(実績!$W$6:$W$505,AA$3,実績!$AI$6:$AI$505,"&lt;="&amp;$A268,実績!$AJ$6:$AJ$505,"&gt;"&amp;$A268,実績!$AL$6:$AL$505,"○")&gt;0,1,0))</f>
        <v>0</v>
      </c>
      <c r="AB268" s="39" t="n">
        <f aca="false">IF(AB$4=0,0,IF(COUNTIFS(実績!$W$6:$W$505,AB$3,実績!$AI$6:$AI$505,"&lt;="&amp;$A268,実績!$AJ$6:$AJ$505,"&gt;"&amp;$A268,実績!$AL$6:$AL$505,"○")&gt;0,1,0))</f>
        <v>0</v>
      </c>
      <c r="AC268" s="39" t="n">
        <f aca="false">IF(AC$4=0,0,IF(COUNTIFS(実績!$W$6:$W$505,AC$3,実績!$AI$6:$AI$505,"&lt;="&amp;$A268,実績!$AJ$6:$AJ$505,"&gt;"&amp;$A268,実績!$AL$6:$AL$505,"○")&gt;0,1,0))</f>
        <v>0</v>
      </c>
      <c r="AD268" s="39" t="n">
        <f aca="false">IF(AD$4=0,0,IF(COUNTIFS(実績!$W$6:$W$505,AD$3,実績!$AI$6:$AI$505,"&lt;="&amp;$A268,実績!$AJ$6:$AJ$505,"&gt;"&amp;$A268,実績!$AL$6:$AL$505,"○")&gt;0,1,0))</f>
        <v>0</v>
      </c>
      <c r="AE268" s="39" t="n">
        <f aca="false">IF(AE$4=0,0,IF(COUNTIFS(実績!$W$6:$W$505,AE$3,実績!$AI$6:$AI$505,"&lt;="&amp;$A268,実績!$AJ$6:$AJ$505,"&gt;"&amp;$A268,実績!$AL$6:$AL$505,"○")&gt;0,1,0))</f>
        <v>0</v>
      </c>
      <c r="AF268" s="39" t="n">
        <f aca="false">IF(AF$4=0,0,IF(COUNTIFS(実績!$W$6:$W$505,AF$3,実績!$AI$6:$AI$505,"&lt;="&amp;$A268,実績!$AJ$6:$AJ$505,"&gt;"&amp;$A268,実績!$AL$6:$AL$505,"○")&gt;0,1,0))</f>
        <v>0</v>
      </c>
      <c r="AG268" s="39" t="n">
        <f aca="false">IF(AG$4=0,0,IF(COUNTIFS(実績!$W$6:$W$505,AG$3,実績!$AI$6:$AI$505,"&lt;="&amp;$A268,実績!$AJ$6:$AJ$505,"&gt;"&amp;$A268,実績!$AL$6:$AL$505,"○")&gt;0,1,0))</f>
        <v>0</v>
      </c>
      <c r="AH268" s="39" t="n">
        <f aca="false">IF(AH$4=0,0,IF(COUNTIFS(実績!$W$6:$W$505,AH$3,実績!$AI$6:$AI$505,"&lt;="&amp;$A268,実績!$AJ$6:$AJ$505,"&gt;"&amp;$A268,実績!$AL$6:$AL$505,"○")&gt;0,1,0))</f>
        <v>0</v>
      </c>
      <c r="AI268" s="39" t="n">
        <f aca="false">IF(AI$4=0,0,IF(COUNTIFS(実績!$W$6:$W$505,AI$3,実績!$AI$6:$AI$505,"&lt;="&amp;$A268,実績!$AJ$6:$AJ$505,"&gt;"&amp;$A268,実績!$AL$6:$AL$505,"○")&gt;0,1,0))</f>
        <v>0</v>
      </c>
      <c r="AJ268" s="39" t="n">
        <f aca="false">IF(AJ$4=0,0,IF(COUNTIFS(実績!$W$6:$W$505,AJ$3,実績!$AI$6:$AI$505,"&lt;="&amp;$A268,実績!$AJ$6:$AJ$505,"&gt;"&amp;$A268,実績!$AL$6:$AL$505,"○")&gt;0,1,0))</f>
        <v>0</v>
      </c>
      <c r="AK268" s="39" t="n">
        <f aca="false">IF(AK$4=0,0,IF(COUNTIFS(実績!$W$6:$W$505,AK$3,実績!$AI$6:$AI$505,"&lt;="&amp;$A268,実績!$AJ$6:$AJ$505,"&gt;"&amp;$A268,実績!$AL$6:$AL$505,"○")&gt;0,1,0))</f>
        <v>0</v>
      </c>
      <c r="AL268" s="39" t="n">
        <f aca="false">IF(AL$4=0,0,IF(COUNTIFS(実績!$W$6:$W$505,AL$3,実績!$AI$6:$AI$505,"&lt;="&amp;$A268,実績!$AJ$6:$AJ$505,"&gt;"&amp;$A268,実績!$AL$6:$AL$505,"○")&gt;0,1,0))</f>
        <v>0</v>
      </c>
      <c r="AM268" s="39" t="n">
        <f aca="false">IF(AM$4=0,0,IF(COUNTIFS(実績!$W$6:$W$505,AM$3,実績!$AI$6:$AI$505,"&lt;="&amp;$A268,実績!$AJ$6:$AJ$505,"&gt;"&amp;$A268,実績!$AL$6:$AL$505,"○")&gt;0,1,0))</f>
        <v>0</v>
      </c>
      <c r="AN268" s="39" t="n">
        <f aca="false">IF(AN$4=0,0,IF(COUNTIFS(実績!$W$6:$W$505,AN$3,実績!$AI$6:$AI$505,"&lt;="&amp;$A268,実績!$AJ$6:$AJ$505,"&gt;"&amp;$A268,実績!$AL$6:$AL$505,"○")&gt;0,1,0))</f>
        <v>0</v>
      </c>
      <c r="AO268" s="39" t="n">
        <f aca="false">IF(AO$4=0,0,IF(COUNTIFS(実績!$W$6:$W$505,AO$3,実績!$AI$6:$AI$505,"&lt;="&amp;$A268,実績!$AJ$6:$AJ$505,"&gt;"&amp;$A268,実績!$AL$6:$AL$505,"○")&gt;0,1,0))</f>
        <v>0</v>
      </c>
      <c r="AP268" s="39" t="n">
        <f aca="false">IF(AP$4=0,0,IF(COUNTIFS(実績!$W$6:$W$505,AP$3,実績!$AI$6:$AI$505,"&lt;="&amp;$A268,実績!$AJ$6:$AJ$505,"&gt;"&amp;$A268,実績!$AL$6:$AL$505,"○")&gt;0,1,0))</f>
        <v>0</v>
      </c>
      <c r="AQ268" s="39" t="n">
        <f aca="false">IF(AQ$4=0,0,IF(COUNTIFS(実績!$W$6:$W$505,AQ$3,実績!$AI$6:$AI$505,"&lt;="&amp;$A268,実績!$AJ$6:$AJ$505,"&gt;"&amp;$A268,実績!$AL$6:$AL$505,"○")&gt;0,1,0))</f>
        <v>0</v>
      </c>
      <c r="AR268" s="39" t="n">
        <f aca="false">IF(AR$4=0,0,IF(COUNTIFS(実績!$W$6:$W$505,AR$3,実績!$AI$6:$AI$505,"&lt;="&amp;$A268,実績!$AJ$6:$AJ$505,"&gt;"&amp;$A268,実績!$AL$6:$AL$505,"○")&gt;0,1,0))</f>
        <v>0</v>
      </c>
      <c r="AS268" s="39" t="n">
        <f aca="false">IF(AS$4=0,0,IF(COUNTIFS(実績!$W$6:$W$505,AS$3,実績!$AI$6:$AI$505,"&lt;="&amp;$A268,実績!$AJ$6:$AJ$505,"&gt;"&amp;$A268,実績!$AL$6:$AL$505,"○")&gt;0,1,0))</f>
        <v>0</v>
      </c>
      <c r="AT268" s="39" t="n">
        <f aca="false">IF(AT$4=0,0,IF(COUNTIFS(実績!$W$6:$W$505,AT$3,実績!$AI$6:$AI$505,"&lt;="&amp;$A268,実績!$AJ$6:$AJ$505,"&gt;"&amp;$A268,実績!$AL$6:$AL$505,"○")&gt;0,1,0))</f>
        <v>0</v>
      </c>
      <c r="AU268" s="39" t="n">
        <f aca="false">IF(AU$4=0,0,IF(COUNTIFS(実績!$W$6:$W$505,AU$3,実績!$AI$6:$AI$505,"&lt;="&amp;$A268,実績!$AJ$6:$AJ$505,"&gt;"&amp;$A268,実績!$AL$6:$AL$505,"○")&gt;0,1,0))</f>
        <v>0</v>
      </c>
      <c r="AV268" s="39" t="n">
        <f aca="false">IF(AV$4=0,0,IF(COUNTIFS(実績!$W$6:$W$505,AV$3,実績!$AI$6:$AI$505,"&lt;="&amp;$A268,実績!$AJ$6:$AJ$505,"&gt;"&amp;$A268,実績!$AL$6:$AL$505,"○")&gt;0,1,0))</f>
        <v>0</v>
      </c>
      <c r="AW268" s="39" t="n">
        <f aca="false">IF(AW$4=0,0,IF(COUNTIFS(実績!$W$6:$W$505,AW$3,実績!$AI$6:$AI$505,"&lt;="&amp;$A268,実績!$AJ$6:$AJ$505,"&gt;"&amp;$A268,実績!$AL$6:$AL$505,"○")&gt;0,1,0))</f>
        <v>0</v>
      </c>
      <c r="AX268" s="39" t="n">
        <f aca="false">IF(AX$4=0,0,IF(COUNTIFS(実績!$W$6:$W$505,AX$3,実績!$AI$6:$AI$505,"&lt;="&amp;$A268,実績!$AJ$6:$AJ$505,"&gt;"&amp;$A268,実績!$AL$6:$AL$505,"○")&gt;0,1,0))</f>
        <v>0</v>
      </c>
      <c r="AY268" s="39" t="n">
        <f aca="false">IF(AY$4=0,0,IF(COUNTIFS(実績!$W$6:$W$505,AY$3,実績!$AI$6:$AI$505,"&lt;="&amp;$A268,実績!$AJ$6:$AJ$505,"&gt;"&amp;$A268,実績!$AL$6:$AL$505,"○")&gt;0,1,0))</f>
        <v>0</v>
      </c>
      <c r="AZ268" s="39" t="n">
        <f aca="false">IF(AZ$4=0,0,IF(COUNTIFS(実績!$W$6:$W$505,AZ$3,実績!$AI$6:$AI$505,"&lt;="&amp;$A268,実績!$AJ$6:$AJ$505,"&gt;"&amp;$A268,実績!$AL$6:$AL$505,"○")&gt;0,1,0))</f>
        <v>0</v>
      </c>
      <c r="BA268" s="39" t="n">
        <f aca="false">IF(BA$4=0,0,IF(COUNTIFS(実績!$W$6:$W$505,BA$3,実績!$AI$6:$AI$505,"&lt;="&amp;$A268,実績!$AJ$6:$AJ$505,"&gt;"&amp;$A268,実績!$AL$6:$AL$505,"○")&gt;0,1,0))</f>
        <v>0</v>
      </c>
      <c r="BB268" s="39" t="n">
        <f aca="false">IF(BB$4=0,0,IF(COUNTIFS(実績!$W$6:$W$505,BB$3,実績!$AI$6:$AI$505,"&lt;="&amp;$A268,実績!$AJ$6:$AJ$505,"&gt;"&amp;$A268,実績!$AL$6:$AL$505,"○")&gt;0,1,0))</f>
        <v>0</v>
      </c>
      <c r="BC268" s="39" t="n">
        <f aca="false">IF(BC$4=0,0,IF(COUNTIFS(実績!$W$6:$W$505,BC$3,実績!$AI$6:$AI$505,"&lt;="&amp;$A268,実績!$AJ$6:$AJ$505,"&gt;"&amp;$A268,実績!$AL$6:$AL$505,"○")&gt;0,1,0))</f>
        <v>0</v>
      </c>
      <c r="BD268" s="39" t="n">
        <f aca="false">IF(BD$4=0,0,IF(COUNTIFS(実績!$W$6:$W$505,BD$3,実績!$AI$6:$AI$505,"&lt;="&amp;$A268,実績!$AJ$6:$AJ$505,"&gt;"&amp;$A268,実績!$AL$6:$AL$505,"○")&gt;0,1,0))</f>
        <v>0</v>
      </c>
      <c r="BE268" s="39" t="n">
        <f aca="false">IF(BE$4=0,0,IF(COUNTIFS(実績!$W$6:$W$505,BE$3,実績!$AI$6:$AI$505,"&lt;="&amp;$A268,実績!$AJ$6:$AJ$505,"&gt;"&amp;$A268,実績!$AL$6:$AL$505,"○")&gt;0,1,0))</f>
        <v>0</v>
      </c>
      <c r="BF268" s="39" t="n">
        <f aca="false">IF(BF$4=0,0,IF(COUNTIFS(実績!$W$6:$W$505,BF$3,実績!$AI$6:$AI$505,"&lt;="&amp;$A268,実績!$AJ$6:$AJ$505,"&gt;"&amp;$A268,実績!$AL$6:$AL$505,"○")&gt;0,1,0))</f>
        <v>0</v>
      </c>
      <c r="BG268" s="39" t="n">
        <f aca="false">IF(BG$4=0,0,IF(COUNTIFS(実績!$W$6:$W$505,BG$3,実績!$AI$6:$AI$505,"&lt;="&amp;$A268,実績!$AJ$6:$AJ$505,"&gt;"&amp;$A268,実績!$AL$6:$AL$505,"○")&gt;0,1,0))</f>
        <v>0</v>
      </c>
      <c r="BH268" s="39" t="n">
        <f aca="false">IF(BH$4=0,0,IF(COUNTIFS(実績!$W$6:$W$505,BH$3,実績!$AI$6:$AI$505,"&lt;="&amp;$A268,実績!$AJ$6:$AJ$505,"&gt;"&amp;$A268,実績!$AL$6:$AL$505,"○")&gt;0,1,0))</f>
        <v>0</v>
      </c>
      <c r="BI268" s="39" t="n">
        <f aca="false">IF(BI$4=0,0,IF(COUNTIFS(実績!$W$6:$W$505,BI$3,実績!$AI$6:$AI$505,"&lt;="&amp;$A268,実績!$AJ$6:$AJ$505,"&gt;"&amp;$A268,実績!$AL$6:$AL$505,"○")&gt;0,1,0))</f>
        <v>0</v>
      </c>
      <c r="BJ268" s="39" t="n">
        <f aca="false">IF(BJ$4=0,0,IF(COUNTIFS(実績!$W$6:$W$505,BJ$3,実績!$AI$6:$AI$505,"&lt;="&amp;$A268,実績!$AJ$6:$AJ$505,"&gt;"&amp;$A268,実績!$AL$6:$AL$505,"○")&gt;0,1,0))</f>
        <v>0</v>
      </c>
      <c r="BK268" s="39" t="n">
        <f aca="false">IF(BK$4=0,0,IF(COUNTIFS(実績!$W$6:$W$505,BK$3,実績!$AI$6:$AI$505,"&lt;="&amp;$A268,実績!$AJ$6:$AJ$505,"&gt;"&amp;$A268,実績!$AL$6:$AL$505,"○")&gt;0,1,0))</f>
        <v>0</v>
      </c>
      <c r="BL268" s="39" t="n">
        <f aca="false">IF(BL$4=0,0,IF(COUNTIFS(実績!$W$6:$W$505,BL$3,実績!$AI$6:$AI$505,"&lt;="&amp;$A268,実績!$AJ$6:$AJ$505,"&gt;"&amp;$A268,実績!$AL$6:$AL$505,"○")&gt;0,1,0))</f>
        <v>0</v>
      </c>
      <c r="BM268" s="39" t="n">
        <f aca="false">IF(BM$4=0,0,IF(COUNTIFS(実績!$W$6:$W$505,BM$3,実績!$AI$6:$AI$505,"&lt;="&amp;$A268,実績!$AJ$6:$AJ$505,"&gt;"&amp;$A268,実績!$AL$6:$AL$505,"○")&gt;0,1,0))</f>
        <v>0</v>
      </c>
      <c r="BN268" s="39" t="n">
        <f aca="false">IF(BN$4=0,0,IF(COUNTIFS(実績!$W$6:$W$505,BN$3,実績!$AI$6:$AI$505,"&lt;="&amp;$A268,実績!$AJ$6:$AJ$505,"&gt;"&amp;$A268,実績!$AL$6:$AL$505,"○")&gt;0,1,0))</f>
        <v>0</v>
      </c>
      <c r="BO268" s="39" t="n">
        <f aca="false">IF(BO$4=0,0,IF(COUNTIFS(実績!$W$6:$W$505,BO$3,実績!$AI$6:$AI$505,"&lt;="&amp;$A268,実績!$AJ$6:$AJ$505,"&gt;"&amp;$A268,実績!$AL$6:$AL$505,"○")&gt;0,1,0))</f>
        <v>0</v>
      </c>
      <c r="BP268" s="39" t="n">
        <f aca="false">IF(BP$4=0,0,IF(COUNTIFS(実績!$W$6:$W$505,BP$3,実績!$AI$6:$AI$505,"&lt;="&amp;$A268,実績!$AJ$6:$AJ$505,"&gt;"&amp;$A268,実績!$AL$6:$AL$505,"○")&gt;0,1,0))</f>
        <v>0</v>
      </c>
      <c r="BQ268" s="39" t="n">
        <f aca="false">IF(BQ$4=0,0,IF(COUNTIFS(実績!$W$6:$W$505,BQ$3,実績!$AI$6:$AI$505,"&lt;="&amp;$A268,実績!$AJ$6:$AJ$505,"&gt;"&amp;$A268,実績!$AL$6:$AL$505,"○")&gt;0,1,0))</f>
        <v>0</v>
      </c>
      <c r="BR268" s="39" t="n">
        <f aca="false">IF(BR$4=0,0,IF(COUNTIFS(実績!$W$6:$W$505,BR$3,実績!$AI$6:$AI$505,"&lt;="&amp;$A268,実績!$AJ$6:$AJ$505,"&gt;"&amp;$A268,実績!$AL$6:$AL$505,"○")&gt;0,1,0))</f>
        <v>0</v>
      </c>
      <c r="BS268" s="39" t="n">
        <f aca="false">IF(BS$4=0,0,IF(COUNTIFS(実績!$W$6:$W$505,BS$3,実績!$AI$6:$AI$505,"&lt;="&amp;$A268,実績!$AJ$6:$AJ$505,"&gt;"&amp;$A268,実績!$AL$6:$AL$505,"○")&gt;0,1,0))</f>
        <v>0</v>
      </c>
      <c r="BT268" s="39" t="n">
        <f aca="false">IF(BT$4=0,0,IF(COUNTIFS(実績!$W$6:$W$505,BT$3,実績!$AI$6:$AI$505,"&lt;="&amp;$A268,実績!$AJ$6:$AJ$505,"&gt;"&amp;$A268,実績!$AL$6:$AL$505,"○")&gt;0,1,0))</f>
        <v>0</v>
      </c>
      <c r="BU268" s="39" t="n">
        <f aca="false">IF(BU$4=0,0,IF(COUNTIFS(実績!$W$6:$W$505,BU$3,実績!$AI$6:$AI$505,"&lt;="&amp;$A268,実績!$AJ$6:$AJ$505,"&gt;"&amp;$A268,実績!$AL$6:$AL$505,"○")&gt;0,1,0))</f>
        <v>0</v>
      </c>
      <c r="BV268" s="39" t="n">
        <f aca="false">IF(BV$4=0,0,IF(COUNTIFS(実績!$W$6:$W$505,BV$3,実績!$AI$6:$AI$505,"&lt;="&amp;$A268,実績!$AJ$6:$AJ$505,"&gt;"&amp;$A268,実績!$AL$6:$AL$505,"○")&gt;0,1,0))</f>
        <v>0</v>
      </c>
      <c r="BW268" s="39" t="n">
        <f aca="false">IF(BW$4=0,0,IF(COUNTIFS(実績!$W$6:$W$505,BW$3,実績!$AI$6:$AI$505,"&lt;="&amp;$A268,実績!$AJ$6:$AJ$505,"&gt;"&amp;$A268,実績!$AL$6:$AL$505,"○")&gt;0,1,0))</f>
        <v>0</v>
      </c>
      <c r="BX268" s="39" t="n">
        <f aca="false">IF(BX$4=0,0,IF(COUNTIFS(実績!$W$6:$W$505,BX$3,実績!$AI$6:$AI$505,"&lt;="&amp;$A268,実績!$AJ$6:$AJ$505,"&gt;"&amp;$A268,実績!$AL$6:$AL$505,"○")&gt;0,1,0))</f>
        <v>0</v>
      </c>
      <c r="BY268" s="39" t="n">
        <f aca="false">IF(BY$4=0,0,IF(COUNTIFS(実績!$W$6:$W$505,BY$3,実績!$AI$6:$AI$505,"&lt;="&amp;$A268,実績!$AJ$6:$AJ$505,"&gt;"&amp;$A268,実績!$AL$6:$AL$505,"○")&gt;0,1,0))</f>
        <v>0</v>
      </c>
      <c r="BZ268" s="39" t="n">
        <f aca="false">IF(BZ$4=0,0,IF(COUNTIFS(実績!$W$6:$W$505,BZ$3,実績!$AI$6:$AI$505,"&lt;="&amp;$A268,実績!$AJ$6:$AJ$505,"&gt;"&amp;$A268,実績!$AL$6:$AL$505,"○")&gt;0,1,0))</f>
        <v>0</v>
      </c>
      <c r="CA268" s="39" t="n">
        <f aca="false">IF(CA$4=0,0,IF(COUNTIFS(実績!$W$6:$W$505,CA$3,実績!$AI$6:$AI$505,"&lt;="&amp;$A268,実績!$AJ$6:$AJ$505,"&gt;"&amp;$A268,実績!$AL$6:$AL$505,"○")&gt;0,1,0))</f>
        <v>0</v>
      </c>
      <c r="CB268" s="39" t="n">
        <f aca="false">IF(CB$4=0,0,IF(COUNTIFS(実績!$W$6:$W$505,CB$3,実績!$AI$6:$AI$505,"&lt;="&amp;$A268,実績!$AJ$6:$AJ$505,"&gt;"&amp;$A268,実績!$AL$6:$AL$505,"○")&gt;0,1,0))</f>
        <v>0</v>
      </c>
      <c r="CC268" s="39" t="n">
        <f aca="false">IF(CC$4=0,0,IF(COUNTIFS(実績!$W$6:$W$505,CC$3,実績!$AI$6:$AI$505,"&lt;="&amp;$A268,実績!$AJ$6:$AJ$505,"&gt;"&amp;$A268,実績!$AL$6:$AL$505,"○")&gt;0,1,0))</f>
        <v>0</v>
      </c>
      <c r="CD268" s="39" t="n">
        <f aca="false">IF(CD$4=0,0,IF(COUNTIFS(実績!$W$6:$W$505,CD$3,実績!$AI$6:$AI$505,"&lt;="&amp;$A268,実績!$AJ$6:$AJ$505,"&gt;"&amp;$A268,実績!$AL$6:$AL$505,"○")&gt;0,1,0))</f>
        <v>0</v>
      </c>
      <c r="CE268" s="39" t="n">
        <f aca="false">IF(CE$4=0,0,IF(COUNTIFS(実績!$W$6:$W$505,CE$3,実績!$AI$6:$AI$505,"&lt;="&amp;$A268,実績!$AJ$6:$AJ$505,"&gt;"&amp;$A268,実績!$AL$6:$AL$505,"○")&gt;0,1,0))</f>
        <v>0</v>
      </c>
      <c r="CF268" s="39" t="n">
        <f aca="false">IF(CF$4=0,0,IF(COUNTIFS(実績!$W$6:$W$505,CF$3,実績!$AI$6:$AI$505,"&lt;="&amp;$A268,実績!$AJ$6:$AJ$505,"&gt;"&amp;$A268,実績!$AL$6:$AL$505,"○")&gt;0,1,0))</f>
        <v>0</v>
      </c>
      <c r="CG268" s="39" t="n">
        <f aca="false">IF(CG$4=0,0,IF(COUNTIFS(実績!$W$6:$W$505,CG$3,実績!$AI$6:$AI$505,"&lt;="&amp;$A268,実績!$AJ$6:$AJ$505,"&gt;"&amp;$A268,実績!$AL$6:$AL$505,"○")&gt;0,1,0))</f>
        <v>0</v>
      </c>
      <c r="CH268" s="39" t="n">
        <f aca="false">IF(CH$4=0,0,IF(COUNTIFS(実績!$W$6:$W$505,CH$3,実績!$AI$6:$AI$505,"&lt;="&amp;$A268,実績!$AJ$6:$AJ$505,"&gt;"&amp;$A268,実績!$AL$6:$AL$505,"○")&gt;0,1,0))</f>
        <v>0</v>
      </c>
      <c r="CI268" s="39" t="n">
        <f aca="false">IF(CI$4=0,0,IF(COUNTIFS(実績!$W$6:$W$505,CI$3,実績!$AI$6:$AI$505,"&lt;="&amp;$A268,実績!$AJ$6:$AJ$505,"&gt;"&amp;$A268,実績!$AL$6:$AL$505,"○")&gt;0,1,0))</f>
        <v>0</v>
      </c>
      <c r="CJ268" s="39" t="n">
        <f aca="false">IF(CJ$4=0,0,IF(COUNTIFS(実績!$W$6:$W$505,CJ$3,実績!$AI$6:$AI$505,"&lt;="&amp;$A268,実績!$AJ$6:$AJ$505,"&gt;"&amp;$A268,実績!$AL$6:$AL$505,"○")&gt;0,1,0))</f>
        <v>0</v>
      </c>
      <c r="CK268" s="39" t="n">
        <f aca="false">IF(CK$4=0,0,IF(COUNTIFS(実績!$W$6:$W$505,CK$3,実績!$AI$6:$AI$505,"&lt;="&amp;$A268,実績!$AJ$6:$AJ$505,"&gt;"&amp;$A268,実績!$AL$6:$AL$505,"○")&gt;0,1,0))</f>
        <v>0</v>
      </c>
      <c r="CL268" s="39" t="n">
        <f aca="false">IF(CL$4=0,0,IF(COUNTIFS(実績!$W$6:$W$505,CL$3,実績!$AI$6:$AI$505,"&lt;="&amp;$A268,実績!$AJ$6:$AJ$505,"&gt;"&amp;$A268,実績!$AL$6:$AL$505,"○")&gt;0,1,0))</f>
        <v>0</v>
      </c>
      <c r="CM268" s="39" t="n">
        <f aca="false">IF(CM$4=0,0,IF(COUNTIFS(実績!$W$6:$W$505,CM$3,実績!$AI$6:$AI$505,"&lt;="&amp;$A268,実績!$AJ$6:$AJ$505,"&gt;"&amp;$A268,実績!$AL$6:$AL$505,"○")&gt;0,1,0))</f>
        <v>0</v>
      </c>
      <c r="CN268" s="39" t="n">
        <f aca="false">IF(CN$4=0,0,IF(COUNTIFS(実績!$W$6:$W$505,CN$3,実績!$AI$6:$AI$505,"&lt;="&amp;$A268,実績!$AJ$6:$AJ$505,"&gt;"&amp;$A268,実績!$AL$6:$AL$505,"○")&gt;0,1,0))</f>
        <v>0</v>
      </c>
      <c r="CO268" s="39" t="n">
        <f aca="false">IF(CO$4=0,0,IF(COUNTIFS(実績!$W$6:$W$505,CO$3,実績!$AI$6:$AI$505,"&lt;="&amp;$A268,実績!$AJ$6:$AJ$505,"&gt;"&amp;$A268,実績!$AL$6:$AL$505,"○")&gt;0,1,0))</f>
        <v>0</v>
      </c>
      <c r="CP268" s="39" t="n">
        <f aca="false">IF(CP$4=0,0,IF(COUNTIFS(実績!$W$6:$W$505,CP$3,実績!$AI$6:$AI$505,"&lt;="&amp;$A268,実績!$AJ$6:$AJ$505,"&gt;"&amp;$A268,実績!$AL$6:$AL$505,"○")&gt;0,1,0))</f>
        <v>0</v>
      </c>
      <c r="CQ268" s="39" t="n">
        <f aca="false">IF(CQ$4=0,0,IF(COUNTIFS(実績!$W$6:$W$505,CQ$3,実績!$AI$6:$AI$505,"&lt;="&amp;$A268,実績!$AJ$6:$AJ$505,"&gt;"&amp;$A268,実績!$AL$6:$AL$505,"○")&gt;0,1,0))</f>
        <v>0</v>
      </c>
      <c r="CR268" s="39" t="n">
        <f aca="false">IF(CR$4=0,0,IF(COUNTIFS(実績!$W$6:$W$505,CR$3,実績!$AI$6:$AI$505,"&lt;="&amp;$A268,実績!$AJ$6:$AJ$505,"&gt;"&amp;$A268,実績!$AL$6:$AL$505,"○")&gt;0,1,0))</f>
        <v>0</v>
      </c>
      <c r="CS268" s="39" t="n">
        <f aca="false">IF(CS$4=0,0,IF(COUNTIFS(実績!$W$6:$W$505,CS$3,実績!$AI$6:$AI$505,"&lt;="&amp;$A268,実績!$AJ$6:$AJ$505,"&gt;"&amp;$A268,実績!$AL$6:$AL$505,"○")&gt;0,1,0))</f>
        <v>0</v>
      </c>
      <c r="CT268" s="39" t="n">
        <f aca="false">IF(CT$4=0,0,IF(COUNTIFS(実績!$W$6:$W$505,CT$3,実績!$AI$6:$AI$505,"&lt;="&amp;$A268,実績!$AJ$6:$AJ$505,"&gt;"&amp;$A268,実績!$AL$6:$AL$505,"○")&gt;0,1,0))</f>
        <v>0</v>
      </c>
      <c r="CU268" s="39" t="n">
        <f aca="false">IF(CU$4=0,0,IF(COUNTIFS(実績!$W$6:$W$505,CU$3,実績!$AI$6:$AI$505,"&lt;="&amp;$A268,実績!$AJ$6:$AJ$505,"&gt;"&amp;$A268,実績!$AL$6:$AL$505,"○")&gt;0,1,0))</f>
        <v>0</v>
      </c>
      <c r="CV268" s="39" t="n">
        <f aca="false">IF(CV$4=0,0,IF(COUNTIFS(実績!$W$6:$W$505,CV$3,実績!$AI$6:$AI$505,"&lt;="&amp;$A268,実績!$AJ$6:$AJ$505,"&gt;"&amp;$A268,実績!$AL$6:$AL$505,"○")&gt;0,1,0))</f>
        <v>0</v>
      </c>
      <c r="CW268" s="39" t="n">
        <f aca="false">IF(CW$4=0,0,IF(COUNTIFS(実績!$W$6:$W$505,CW$3,実績!$AI$6:$AI$505,"&lt;="&amp;$A268,実績!$AJ$6:$AJ$505,"&gt;"&amp;$A268,実績!$AL$6:$AL$505,"○")&gt;0,1,0))</f>
        <v>0</v>
      </c>
      <c r="CX268" s="39" t="n">
        <f aca="false">IF(CX$4=0,0,IF(COUNTIFS(実績!$W$6:$W$505,CX$3,実績!$AI$6:$AI$505,"&lt;="&amp;$A268,実績!$AJ$6:$AJ$505,"&gt;"&amp;$A268,実績!$AL$6:$AL$505,"○")&gt;0,1,0))</f>
        <v>0</v>
      </c>
      <c r="CY268" s="39" t="n">
        <f aca="false">IF(CY$4=0,0,IF(COUNTIFS(実績!$W$6:$W$505,CY$3,実績!$AI$6:$AI$505,"&lt;="&amp;$A268,実績!$AJ$6:$AJ$505,"&gt;"&amp;$A268,実績!$AL$6:$AL$505,"○")&gt;0,1,0))</f>
        <v>0</v>
      </c>
      <c r="CZ268" s="39" t="n">
        <f aca="false">IF(CZ$4=0,0,IF(COUNTIFS(実績!$W$6:$W$505,CZ$3,実績!$AI$6:$AI$505,"&lt;="&amp;$A268,実績!$AJ$6:$AJ$505,"&gt;"&amp;$A268,実績!$AL$6:$AL$505,"○")&gt;0,1,0))</f>
        <v>0</v>
      </c>
      <c r="DA268" s="39" t="n">
        <f aca="false">IF(DA$4=0,0,IF(COUNTIFS(実績!$W$6:$W$505,DA$3,実績!$AI$6:$AI$505,"&lt;="&amp;$A268,実績!$AJ$6:$AJ$505,"&gt;"&amp;$A268,実績!$AL$6:$AL$505,"○")&gt;0,1,0))</f>
        <v>0</v>
      </c>
      <c r="DB268" s="39" t="n">
        <f aca="false">IF(DB$4=0,0,IF(COUNTIFS(実績!$W$6:$W$505,DB$3,実績!$AI$6:$AI$505,"&lt;="&amp;$A268,実績!$AJ$6:$AJ$505,"&gt;"&amp;$A268,実績!$AL$6:$AL$505,"○")&gt;0,1,0))</f>
        <v>0</v>
      </c>
      <c r="DC268" s="39" t="n">
        <f aca="false">IF(DC$4=0,0,IF(COUNTIFS(実績!$W$6:$W$505,DC$3,実績!$AI$6:$AI$505,"&lt;="&amp;$A268,実績!$AJ$6:$AJ$505,"&gt;"&amp;$A268,実績!$AL$6:$AL$505,"○")&gt;0,1,0))</f>
        <v>0</v>
      </c>
      <c r="DD268" s="39" t="n">
        <f aca="false">IF(DD$4=0,0,IF(COUNTIFS(実績!$W$6:$W$505,DD$3,実績!$AI$6:$AI$505,"&lt;="&amp;$A268,実績!$AJ$6:$AJ$505,"&gt;"&amp;$A268,実績!$AL$6:$AL$505,"○")&gt;0,1,0))</f>
        <v>0</v>
      </c>
      <c r="DE268" s="39" t="n">
        <f aca="false">IF(DE$4=0,0,IF(COUNTIFS(実績!$W$6:$W$505,DE$3,実績!$AI$6:$AI$505,"&lt;="&amp;$A268,実績!$AJ$6:$AJ$505,"&gt;"&amp;$A268,実績!$AL$6:$AL$505,"○")&gt;0,1,0))</f>
        <v>0</v>
      </c>
      <c r="DF268" s="39" t="n">
        <f aca="false">IF(DF$4=0,0,IF(COUNTIFS(実績!$W$6:$W$505,DF$3,実績!$AI$6:$AI$505,"&lt;="&amp;$A268,実績!$AJ$6:$AJ$505,"&gt;"&amp;$A268,実績!$AL$6:$AL$505,"○")&gt;0,1,0))</f>
        <v>0</v>
      </c>
      <c r="DG268" s="39" t="n">
        <f aca="false">IF(DG$4=0,0,IF(COUNTIFS(実績!$W$6:$W$505,DG$3,実績!$AI$6:$AI$505,"&lt;="&amp;$A268,実績!$AJ$6:$AJ$505,"&gt;"&amp;$A268,実績!$AL$6:$AL$505,"○")&gt;0,1,0))</f>
        <v>0</v>
      </c>
      <c r="DH268" s="39" t="n">
        <f aca="false">IF(DH$4=0,0,IF(COUNTIFS(実績!$W$6:$W$505,DH$3,実績!$AI$6:$AI$505,"&lt;="&amp;$A268,実績!$AJ$6:$AJ$505,"&gt;"&amp;$A268,実績!$AL$6:$AL$505,"○")&gt;0,1,0))</f>
        <v>0</v>
      </c>
      <c r="DI268" s="39" t="n">
        <f aca="false">IF(DI$4=0,0,IF(COUNTIFS(実績!$W$6:$W$505,DI$3,実績!$AI$6:$AI$505,"&lt;="&amp;$A268,実績!$AJ$6:$AJ$505,"&gt;"&amp;$A268,実績!$AL$6:$AL$505,"○")&gt;0,1,0))</f>
        <v>0</v>
      </c>
      <c r="DJ268" s="39" t="n">
        <f aca="false">IF(DJ$4=0,0,IF(COUNTIFS(実績!$W$6:$W$505,DJ$3,実績!$AI$6:$AI$505,"&lt;="&amp;$A268,実績!$AJ$6:$AJ$505,"&gt;"&amp;$A268,実績!$AL$6:$AL$505,"○")&gt;0,1,0))</f>
        <v>0</v>
      </c>
      <c r="DK268" s="39" t="n">
        <f aca="false">IF(DK$4=0,0,IF(COUNTIFS(実績!$W$6:$W$505,DK$3,実績!$AI$6:$AI$505,"&lt;="&amp;$A268,実績!$AJ$6:$AJ$505,"&gt;"&amp;$A268,実績!$AL$6:$AL$505,"○")&gt;0,1,0))</f>
        <v>0</v>
      </c>
      <c r="DL268" s="39" t="n">
        <f aca="false">IF(DL$4=0,0,IF(COUNTIFS(実績!$W$6:$W$505,DL$3,実績!$AI$6:$AI$505,"&lt;="&amp;$A268,実績!$AJ$6:$AJ$505,"&gt;"&amp;$A268,実績!$AL$6:$AL$505,"○")&gt;0,1,0))</f>
        <v>0</v>
      </c>
      <c r="DM268" s="39" t="n">
        <f aca="false">IF(DM$4=0,0,IF(COUNTIFS(実績!$W$6:$W$505,DM$3,実績!$AI$6:$AI$505,"&lt;="&amp;$A268,実績!$AJ$6:$AJ$505,"&gt;"&amp;$A268,実績!$AL$6:$AL$505,"○")&gt;0,1,0))</f>
        <v>0</v>
      </c>
      <c r="DN268" s="39" t="n">
        <f aca="false">IF(DN$4=0,0,IF(COUNTIFS(実績!$W$6:$W$505,DN$3,実績!$AI$6:$AI$505,"&lt;="&amp;$A268,実績!$AJ$6:$AJ$505,"&gt;"&amp;$A268,実績!$AL$6:$AL$505,"○")&gt;0,1,0))</f>
        <v>0</v>
      </c>
      <c r="DO268" s="39" t="n">
        <f aca="false">IF(DO$4=0,0,IF(COUNTIFS(実績!$W$6:$W$505,DO$3,実績!$AI$6:$AI$505,"&lt;="&amp;$A268,実績!$AJ$6:$AJ$505,"&gt;"&amp;$A268,実績!$AL$6:$AL$505,"○")&gt;0,1,0))</f>
        <v>0</v>
      </c>
      <c r="DP268" s="39" t="n">
        <f aca="false">IF(DP$4=0,0,IF(COUNTIFS(実績!$W$6:$W$505,DP$3,実績!$AI$6:$AI$505,"&lt;="&amp;$A268,実績!$AJ$6:$AJ$505,"&gt;"&amp;$A268,実績!$AL$6:$AL$505,"○")&gt;0,1,0))</f>
        <v>0</v>
      </c>
      <c r="DQ268" s="39" t="n">
        <f aca="false">IF(DQ$4=0,0,IF(COUNTIFS(実績!$W$6:$W$505,DQ$3,実績!$AI$6:$AI$505,"&lt;="&amp;$A268,実績!$AJ$6:$AJ$505,"&gt;"&amp;$A268,実績!$AL$6:$AL$505,"○")&gt;0,1,0))</f>
        <v>0</v>
      </c>
      <c r="DR268" s="39" t="n">
        <f aca="false">IF(DR$4=0,0,IF(COUNTIFS(実績!$W$6:$W$505,DR$3,実績!$AI$6:$AI$505,"&lt;="&amp;$A268,実績!$AJ$6:$AJ$505,"&gt;"&amp;$A268,実績!$AL$6:$AL$505,"○")&gt;0,1,0))</f>
        <v>0</v>
      </c>
      <c r="DS268" s="39" t="n">
        <f aca="false">SUM(C268:DR268)</f>
        <v>0</v>
      </c>
    </row>
    <row r="269" customFormat="false" ht="15" hidden="false" customHeight="false" outlineLevel="0" collapsed="false">
      <c r="A269" s="0" t="n">
        <v>1315</v>
      </c>
      <c r="B269" s="38" t="n">
        <f aca="false">A269/1440</f>
        <v>0.913194444444444</v>
      </c>
      <c r="C269" s="39" t="n">
        <f aca="false">IF(C$4=0,0,IF(COUNTIFS(実績!$W$6:$W$505,C$3,実績!$AI$6:$AI$505,"&lt;="&amp;$A269,実績!$AJ$6:$AJ$505,"&gt;"&amp;$A269,実績!$AL$6:$AL$505,"○")&gt;0,1,0))</f>
        <v>0</v>
      </c>
      <c r="D269" s="39" t="n">
        <f aca="false">IF(D$4=0,0,IF(COUNTIFS(実績!$W$6:$W$505,D$3,実績!$AI$6:$AI$505,"&lt;="&amp;$A269,実績!$AJ$6:$AJ$505,"&gt;"&amp;$A269,実績!$AL$6:$AL$505,"○")&gt;0,1,0))</f>
        <v>0</v>
      </c>
      <c r="E269" s="39" t="n">
        <f aca="false">IF(E$4=0,0,IF(COUNTIFS(実績!$W$6:$W$505,E$3,実績!$AI$6:$AI$505,"&lt;="&amp;$A269,実績!$AJ$6:$AJ$505,"&gt;"&amp;$A269,実績!$AL$6:$AL$505,"○")&gt;0,1,0))</f>
        <v>0</v>
      </c>
      <c r="F269" s="39" t="n">
        <f aca="false">IF(F$4=0,0,IF(COUNTIFS(実績!$W$6:$W$505,F$3,実績!$AI$6:$AI$505,"&lt;="&amp;$A269,実績!$AJ$6:$AJ$505,"&gt;"&amp;$A269,実績!$AL$6:$AL$505,"○")&gt;0,1,0))</f>
        <v>0</v>
      </c>
      <c r="G269" s="39" t="n">
        <f aca="false">IF(G$4=0,0,IF(COUNTIFS(実績!$W$6:$W$505,G$3,実績!$AI$6:$AI$505,"&lt;="&amp;$A269,実績!$AJ$6:$AJ$505,"&gt;"&amp;$A269,実績!$AL$6:$AL$505,"○")&gt;0,1,0))</f>
        <v>0</v>
      </c>
      <c r="H269" s="39" t="n">
        <f aca="false">IF(H$4=0,0,IF(COUNTIFS(実績!$W$6:$W$505,H$3,実績!$AI$6:$AI$505,"&lt;="&amp;$A269,実績!$AJ$6:$AJ$505,"&gt;"&amp;$A269,実績!$AL$6:$AL$505,"○")&gt;0,1,0))</f>
        <v>0</v>
      </c>
      <c r="I269" s="39" t="n">
        <f aca="false">IF(I$4=0,0,IF(COUNTIFS(実績!$W$6:$W$505,I$3,実績!$AI$6:$AI$505,"&lt;="&amp;$A269,実績!$AJ$6:$AJ$505,"&gt;"&amp;$A269,実績!$AL$6:$AL$505,"○")&gt;0,1,0))</f>
        <v>0</v>
      </c>
      <c r="J269" s="39" t="n">
        <f aca="false">IF(J$4=0,0,IF(COUNTIFS(実績!$W$6:$W$505,J$3,実績!$AI$6:$AI$505,"&lt;="&amp;$A269,実績!$AJ$6:$AJ$505,"&gt;"&amp;$A269,実績!$AL$6:$AL$505,"○")&gt;0,1,0))</f>
        <v>0</v>
      </c>
      <c r="K269" s="39" t="n">
        <f aca="false">IF(K$4=0,0,IF(COUNTIFS(実績!$W$6:$W$505,K$3,実績!$AI$6:$AI$505,"&lt;="&amp;$A269,実績!$AJ$6:$AJ$505,"&gt;"&amp;$A269,実績!$AL$6:$AL$505,"○")&gt;0,1,0))</f>
        <v>0</v>
      </c>
      <c r="L269" s="39" t="n">
        <f aca="false">IF(L$4=0,0,IF(COUNTIFS(実績!$W$6:$W$505,L$3,実績!$AI$6:$AI$505,"&lt;="&amp;$A269,実績!$AJ$6:$AJ$505,"&gt;"&amp;$A269,実績!$AL$6:$AL$505,"○")&gt;0,1,0))</f>
        <v>0</v>
      </c>
      <c r="M269" s="39" t="n">
        <f aca="false">IF(M$4=0,0,IF(COUNTIFS(実績!$W$6:$W$505,M$3,実績!$AI$6:$AI$505,"&lt;="&amp;$A269,実績!$AJ$6:$AJ$505,"&gt;"&amp;$A269,実績!$AL$6:$AL$505,"○")&gt;0,1,0))</f>
        <v>0</v>
      </c>
      <c r="N269" s="39" t="n">
        <f aca="false">IF(N$4=0,0,IF(COUNTIFS(実績!$W$6:$W$505,N$3,実績!$AI$6:$AI$505,"&lt;="&amp;$A269,実績!$AJ$6:$AJ$505,"&gt;"&amp;$A269,実績!$AL$6:$AL$505,"○")&gt;0,1,0))</f>
        <v>0</v>
      </c>
      <c r="O269" s="39" t="n">
        <f aca="false">IF(O$4=0,0,IF(COUNTIFS(実績!$W$6:$W$505,O$3,実績!$AI$6:$AI$505,"&lt;="&amp;$A269,実績!$AJ$6:$AJ$505,"&gt;"&amp;$A269,実績!$AL$6:$AL$505,"○")&gt;0,1,0))</f>
        <v>0</v>
      </c>
      <c r="P269" s="39" t="n">
        <f aca="false">IF(P$4=0,0,IF(COUNTIFS(実績!$W$6:$W$505,P$3,実績!$AI$6:$AI$505,"&lt;="&amp;$A269,実績!$AJ$6:$AJ$505,"&gt;"&amp;$A269,実績!$AL$6:$AL$505,"○")&gt;0,1,0))</f>
        <v>0</v>
      </c>
      <c r="Q269" s="39" t="n">
        <f aca="false">IF(Q$4=0,0,IF(COUNTIFS(実績!$W$6:$W$505,Q$3,実績!$AI$6:$AI$505,"&lt;="&amp;$A269,実績!$AJ$6:$AJ$505,"&gt;"&amp;$A269,実績!$AL$6:$AL$505,"○")&gt;0,1,0))</f>
        <v>0</v>
      </c>
      <c r="R269" s="39" t="n">
        <f aca="false">IF(R$4=0,0,IF(COUNTIFS(実績!$W$6:$W$505,R$3,実績!$AI$6:$AI$505,"&lt;="&amp;$A269,実績!$AJ$6:$AJ$505,"&gt;"&amp;$A269,実績!$AL$6:$AL$505,"○")&gt;0,1,0))</f>
        <v>0</v>
      </c>
      <c r="S269" s="39" t="n">
        <f aca="false">IF(S$4=0,0,IF(COUNTIFS(実績!$W$6:$W$505,S$3,実績!$AI$6:$AI$505,"&lt;="&amp;$A269,実績!$AJ$6:$AJ$505,"&gt;"&amp;$A269,実績!$AL$6:$AL$505,"○")&gt;0,1,0))</f>
        <v>0</v>
      </c>
      <c r="T269" s="39" t="n">
        <f aca="false">IF(T$4=0,0,IF(COUNTIFS(実績!$W$6:$W$505,T$3,実績!$AI$6:$AI$505,"&lt;="&amp;$A269,実績!$AJ$6:$AJ$505,"&gt;"&amp;$A269,実績!$AL$6:$AL$505,"○")&gt;0,1,0))</f>
        <v>0</v>
      </c>
      <c r="U269" s="39" t="n">
        <f aca="false">IF(U$4=0,0,IF(COUNTIFS(実績!$W$6:$W$505,U$3,実績!$AI$6:$AI$505,"&lt;="&amp;$A269,実績!$AJ$6:$AJ$505,"&gt;"&amp;$A269,実績!$AL$6:$AL$505,"○")&gt;0,1,0))</f>
        <v>0</v>
      </c>
      <c r="V269" s="39" t="n">
        <f aca="false">IF(V$4=0,0,IF(COUNTIFS(実績!$W$6:$W$505,V$3,実績!$AI$6:$AI$505,"&lt;="&amp;$A269,実績!$AJ$6:$AJ$505,"&gt;"&amp;$A269,実績!$AL$6:$AL$505,"○")&gt;0,1,0))</f>
        <v>0</v>
      </c>
      <c r="W269" s="39" t="n">
        <f aca="false">IF(W$4=0,0,IF(COUNTIFS(実績!$W$6:$W$505,W$3,実績!$AI$6:$AI$505,"&lt;="&amp;$A269,実績!$AJ$6:$AJ$505,"&gt;"&amp;$A269,実績!$AL$6:$AL$505,"○")&gt;0,1,0))</f>
        <v>0</v>
      </c>
      <c r="X269" s="39" t="n">
        <f aca="false">IF(X$4=0,0,IF(COUNTIFS(実績!$W$6:$W$505,X$3,実績!$AI$6:$AI$505,"&lt;="&amp;$A269,実績!$AJ$6:$AJ$505,"&gt;"&amp;$A269,実績!$AL$6:$AL$505,"○")&gt;0,1,0))</f>
        <v>0</v>
      </c>
      <c r="Y269" s="39" t="n">
        <f aca="false">IF(Y$4=0,0,IF(COUNTIFS(実績!$W$6:$W$505,Y$3,実績!$AI$6:$AI$505,"&lt;="&amp;$A269,実績!$AJ$6:$AJ$505,"&gt;"&amp;$A269,実績!$AL$6:$AL$505,"○")&gt;0,1,0))</f>
        <v>0</v>
      </c>
      <c r="Z269" s="39" t="n">
        <f aca="false">IF(Z$4=0,0,IF(COUNTIFS(実績!$W$6:$W$505,Z$3,実績!$AI$6:$AI$505,"&lt;="&amp;$A269,実績!$AJ$6:$AJ$505,"&gt;"&amp;$A269,実績!$AL$6:$AL$505,"○")&gt;0,1,0))</f>
        <v>0</v>
      </c>
      <c r="AA269" s="39" t="n">
        <f aca="false">IF(AA$4=0,0,IF(COUNTIFS(実績!$W$6:$W$505,AA$3,実績!$AI$6:$AI$505,"&lt;="&amp;$A269,実績!$AJ$6:$AJ$505,"&gt;"&amp;$A269,実績!$AL$6:$AL$505,"○")&gt;0,1,0))</f>
        <v>0</v>
      </c>
      <c r="AB269" s="39" t="n">
        <f aca="false">IF(AB$4=0,0,IF(COUNTIFS(実績!$W$6:$W$505,AB$3,実績!$AI$6:$AI$505,"&lt;="&amp;$A269,実績!$AJ$6:$AJ$505,"&gt;"&amp;$A269,実績!$AL$6:$AL$505,"○")&gt;0,1,0))</f>
        <v>0</v>
      </c>
      <c r="AC269" s="39" t="n">
        <f aca="false">IF(AC$4=0,0,IF(COUNTIFS(実績!$W$6:$W$505,AC$3,実績!$AI$6:$AI$505,"&lt;="&amp;$A269,実績!$AJ$6:$AJ$505,"&gt;"&amp;$A269,実績!$AL$6:$AL$505,"○")&gt;0,1,0))</f>
        <v>0</v>
      </c>
      <c r="AD269" s="39" t="n">
        <f aca="false">IF(AD$4=0,0,IF(COUNTIFS(実績!$W$6:$W$505,AD$3,実績!$AI$6:$AI$505,"&lt;="&amp;$A269,実績!$AJ$6:$AJ$505,"&gt;"&amp;$A269,実績!$AL$6:$AL$505,"○")&gt;0,1,0))</f>
        <v>0</v>
      </c>
      <c r="AE269" s="39" t="n">
        <f aca="false">IF(AE$4=0,0,IF(COUNTIFS(実績!$W$6:$W$505,AE$3,実績!$AI$6:$AI$505,"&lt;="&amp;$A269,実績!$AJ$6:$AJ$505,"&gt;"&amp;$A269,実績!$AL$6:$AL$505,"○")&gt;0,1,0))</f>
        <v>0</v>
      </c>
      <c r="AF269" s="39" t="n">
        <f aca="false">IF(AF$4=0,0,IF(COUNTIFS(実績!$W$6:$W$505,AF$3,実績!$AI$6:$AI$505,"&lt;="&amp;$A269,実績!$AJ$6:$AJ$505,"&gt;"&amp;$A269,実績!$AL$6:$AL$505,"○")&gt;0,1,0))</f>
        <v>0</v>
      </c>
      <c r="AG269" s="39" t="n">
        <f aca="false">IF(AG$4=0,0,IF(COUNTIFS(実績!$W$6:$W$505,AG$3,実績!$AI$6:$AI$505,"&lt;="&amp;$A269,実績!$AJ$6:$AJ$505,"&gt;"&amp;$A269,実績!$AL$6:$AL$505,"○")&gt;0,1,0))</f>
        <v>0</v>
      </c>
      <c r="AH269" s="39" t="n">
        <f aca="false">IF(AH$4=0,0,IF(COUNTIFS(実績!$W$6:$W$505,AH$3,実績!$AI$6:$AI$505,"&lt;="&amp;$A269,実績!$AJ$6:$AJ$505,"&gt;"&amp;$A269,実績!$AL$6:$AL$505,"○")&gt;0,1,0))</f>
        <v>0</v>
      </c>
      <c r="AI269" s="39" t="n">
        <f aca="false">IF(AI$4=0,0,IF(COUNTIFS(実績!$W$6:$W$505,AI$3,実績!$AI$6:$AI$505,"&lt;="&amp;$A269,実績!$AJ$6:$AJ$505,"&gt;"&amp;$A269,実績!$AL$6:$AL$505,"○")&gt;0,1,0))</f>
        <v>0</v>
      </c>
      <c r="AJ269" s="39" t="n">
        <f aca="false">IF(AJ$4=0,0,IF(COUNTIFS(実績!$W$6:$W$505,AJ$3,実績!$AI$6:$AI$505,"&lt;="&amp;$A269,実績!$AJ$6:$AJ$505,"&gt;"&amp;$A269,実績!$AL$6:$AL$505,"○")&gt;0,1,0))</f>
        <v>0</v>
      </c>
      <c r="AK269" s="39" t="n">
        <f aca="false">IF(AK$4=0,0,IF(COUNTIFS(実績!$W$6:$W$505,AK$3,実績!$AI$6:$AI$505,"&lt;="&amp;$A269,実績!$AJ$6:$AJ$505,"&gt;"&amp;$A269,実績!$AL$6:$AL$505,"○")&gt;0,1,0))</f>
        <v>0</v>
      </c>
      <c r="AL269" s="39" t="n">
        <f aca="false">IF(AL$4=0,0,IF(COUNTIFS(実績!$W$6:$W$505,AL$3,実績!$AI$6:$AI$505,"&lt;="&amp;$A269,実績!$AJ$6:$AJ$505,"&gt;"&amp;$A269,実績!$AL$6:$AL$505,"○")&gt;0,1,0))</f>
        <v>0</v>
      </c>
      <c r="AM269" s="39" t="n">
        <f aca="false">IF(AM$4=0,0,IF(COUNTIFS(実績!$W$6:$W$505,AM$3,実績!$AI$6:$AI$505,"&lt;="&amp;$A269,実績!$AJ$6:$AJ$505,"&gt;"&amp;$A269,実績!$AL$6:$AL$505,"○")&gt;0,1,0))</f>
        <v>0</v>
      </c>
      <c r="AN269" s="39" t="n">
        <f aca="false">IF(AN$4=0,0,IF(COUNTIFS(実績!$W$6:$W$505,AN$3,実績!$AI$6:$AI$505,"&lt;="&amp;$A269,実績!$AJ$6:$AJ$505,"&gt;"&amp;$A269,実績!$AL$6:$AL$505,"○")&gt;0,1,0))</f>
        <v>0</v>
      </c>
      <c r="AO269" s="39" t="n">
        <f aca="false">IF(AO$4=0,0,IF(COUNTIFS(実績!$W$6:$W$505,AO$3,実績!$AI$6:$AI$505,"&lt;="&amp;$A269,実績!$AJ$6:$AJ$505,"&gt;"&amp;$A269,実績!$AL$6:$AL$505,"○")&gt;0,1,0))</f>
        <v>0</v>
      </c>
      <c r="AP269" s="39" t="n">
        <f aca="false">IF(AP$4=0,0,IF(COUNTIFS(実績!$W$6:$W$505,AP$3,実績!$AI$6:$AI$505,"&lt;="&amp;$A269,実績!$AJ$6:$AJ$505,"&gt;"&amp;$A269,実績!$AL$6:$AL$505,"○")&gt;0,1,0))</f>
        <v>0</v>
      </c>
      <c r="AQ269" s="39" t="n">
        <f aca="false">IF(AQ$4=0,0,IF(COUNTIFS(実績!$W$6:$W$505,AQ$3,実績!$AI$6:$AI$505,"&lt;="&amp;$A269,実績!$AJ$6:$AJ$505,"&gt;"&amp;$A269,実績!$AL$6:$AL$505,"○")&gt;0,1,0))</f>
        <v>0</v>
      </c>
      <c r="AR269" s="39" t="n">
        <f aca="false">IF(AR$4=0,0,IF(COUNTIFS(実績!$W$6:$W$505,AR$3,実績!$AI$6:$AI$505,"&lt;="&amp;$A269,実績!$AJ$6:$AJ$505,"&gt;"&amp;$A269,実績!$AL$6:$AL$505,"○")&gt;0,1,0))</f>
        <v>0</v>
      </c>
      <c r="AS269" s="39" t="n">
        <f aca="false">IF(AS$4=0,0,IF(COUNTIFS(実績!$W$6:$W$505,AS$3,実績!$AI$6:$AI$505,"&lt;="&amp;$A269,実績!$AJ$6:$AJ$505,"&gt;"&amp;$A269,実績!$AL$6:$AL$505,"○")&gt;0,1,0))</f>
        <v>0</v>
      </c>
      <c r="AT269" s="39" t="n">
        <f aca="false">IF(AT$4=0,0,IF(COUNTIFS(実績!$W$6:$W$505,AT$3,実績!$AI$6:$AI$505,"&lt;="&amp;$A269,実績!$AJ$6:$AJ$505,"&gt;"&amp;$A269,実績!$AL$6:$AL$505,"○")&gt;0,1,0))</f>
        <v>0</v>
      </c>
      <c r="AU269" s="39" t="n">
        <f aca="false">IF(AU$4=0,0,IF(COUNTIFS(実績!$W$6:$W$505,AU$3,実績!$AI$6:$AI$505,"&lt;="&amp;$A269,実績!$AJ$6:$AJ$505,"&gt;"&amp;$A269,実績!$AL$6:$AL$505,"○")&gt;0,1,0))</f>
        <v>0</v>
      </c>
      <c r="AV269" s="39" t="n">
        <f aca="false">IF(AV$4=0,0,IF(COUNTIFS(実績!$W$6:$W$505,AV$3,実績!$AI$6:$AI$505,"&lt;="&amp;$A269,実績!$AJ$6:$AJ$505,"&gt;"&amp;$A269,実績!$AL$6:$AL$505,"○")&gt;0,1,0))</f>
        <v>0</v>
      </c>
      <c r="AW269" s="39" t="n">
        <f aca="false">IF(AW$4=0,0,IF(COUNTIFS(実績!$W$6:$W$505,AW$3,実績!$AI$6:$AI$505,"&lt;="&amp;$A269,実績!$AJ$6:$AJ$505,"&gt;"&amp;$A269,実績!$AL$6:$AL$505,"○")&gt;0,1,0))</f>
        <v>0</v>
      </c>
      <c r="AX269" s="39" t="n">
        <f aca="false">IF(AX$4=0,0,IF(COUNTIFS(実績!$W$6:$W$505,AX$3,実績!$AI$6:$AI$505,"&lt;="&amp;$A269,実績!$AJ$6:$AJ$505,"&gt;"&amp;$A269,実績!$AL$6:$AL$505,"○")&gt;0,1,0))</f>
        <v>0</v>
      </c>
      <c r="AY269" s="39" t="n">
        <f aca="false">IF(AY$4=0,0,IF(COUNTIFS(実績!$W$6:$W$505,AY$3,実績!$AI$6:$AI$505,"&lt;="&amp;$A269,実績!$AJ$6:$AJ$505,"&gt;"&amp;$A269,実績!$AL$6:$AL$505,"○")&gt;0,1,0))</f>
        <v>0</v>
      </c>
      <c r="AZ269" s="39" t="n">
        <f aca="false">IF(AZ$4=0,0,IF(COUNTIFS(実績!$W$6:$W$505,AZ$3,実績!$AI$6:$AI$505,"&lt;="&amp;$A269,実績!$AJ$6:$AJ$505,"&gt;"&amp;$A269,実績!$AL$6:$AL$505,"○")&gt;0,1,0))</f>
        <v>0</v>
      </c>
      <c r="BA269" s="39" t="n">
        <f aca="false">IF(BA$4=0,0,IF(COUNTIFS(実績!$W$6:$W$505,BA$3,実績!$AI$6:$AI$505,"&lt;="&amp;$A269,実績!$AJ$6:$AJ$505,"&gt;"&amp;$A269,実績!$AL$6:$AL$505,"○")&gt;0,1,0))</f>
        <v>0</v>
      </c>
      <c r="BB269" s="39" t="n">
        <f aca="false">IF(BB$4=0,0,IF(COUNTIFS(実績!$W$6:$W$505,BB$3,実績!$AI$6:$AI$505,"&lt;="&amp;$A269,実績!$AJ$6:$AJ$505,"&gt;"&amp;$A269,実績!$AL$6:$AL$505,"○")&gt;0,1,0))</f>
        <v>0</v>
      </c>
      <c r="BC269" s="39" t="n">
        <f aca="false">IF(BC$4=0,0,IF(COUNTIFS(実績!$W$6:$W$505,BC$3,実績!$AI$6:$AI$505,"&lt;="&amp;$A269,実績!$AJ$6:$AJ$505,"&gt;"&amp;$A269,実績!$AL$6:$AL$505,"○")&gt;0,1,0))</f>
        <v>0</v>
      </c>
      <c r="BD269" s="39" t="n">
        <f aca="false">IF(BD$4=0,0,IF(COUNTIFS(実績!$W$6:$W$505,BD$3,実績!$AI$6:$AI$505,"&lt;="&amp;$A269,実績!$AJ$6:$AJ$505,"&gt;"&amp;$A269,実績!$AL$6:$AL$505,"○")&gt;0,1,0))</f>
        <v>0</v>
      </c>
      <c r="BE269" s="39" t="n">
        <f aca="false">IF(BE$4=0,0,IF(COUNTIFS(実績!$W$6:$W$505,BE$3,実績!$AI$6:$AI$505,"&lt;="&amp;$A269,実績!$AJ$6:$AJ$505,"&gt;"&amp;$A269,実績!$AL$6:$AL$505,"○")&gt;0,1,0))</f>
        <v>0</v>
      </c>
      <c r="BF269" s="39" t="n">
        <f aca="false">IF(BF$4=0,0,IF(COUNTIFS(実績!$W$6:$W$505,BF$3,実績!$AI$6:$AI$505,"&lt;="&amp;$A269,実績!$AJ$6:$AJ$505,"&gt;"&amp;$A269,実績!$AL$6:$AL$505,"○")&gt;0,1,0))</f>
        <v>0</v>
      </c>
      <c r="BG269" s="39" t="n">
        <f aca="false">IF(BG$4=0,0,IF(COUNTIFS(実績!$W$6:$W$505,BG$3,実績!$AI$6:$AI$505,"&lt;="&amp;$A269,実績!$AJ$6:$AJ$505,"&gt;"&amp;$A269,実績!$AL$6:$AL$505,"○")&gt;0,1,0))</f>
        <v>0</v>
      </c>
      <c r="BH269" s="39" t="n">
        <f aca="false">IF(BH$4=0,0,IF(COUNTIFS(実績!$W$6:$W$505,BH$3,実績!$AI$6:$AI$505,"&lt;="&amp;$A269,実績!$AJ$6:$AJ$505,"&gt;"&amp;$A269,実績!$AL$6:$AL$505,"○")&gt;0,1,0))</f>
        <v>0</v>
      </c>
      <c r="BI269" s="39" t="n">
        <f aca="false">IF(BI$4=0,0,IF(COUNTIFS(実績!$W$6:$W$505,BI$3,実績!$AI$6:$AI$505,"&lt;="&amp;$A269,実績!$AJ$6:$AJ$505,"&gt;"&amp;$A269,実績!$AL$6:$AL$505,"○")&gt;0,1,0))</f>
        <v>0</v>
      </c>
      <c r="BJ269" s="39" t="n">
        <f aca="false">IF(BJ$4=0,0,IF(COUNTIFS(実績!$W$6:$W$505,BJ$3,実績!$AI$6:$AI$505,"&lt;="&amp;$A269,実績!$AJ$6:$AJ$505,"&gt;"&amp;$A269,実績!$AL$6:$AL$505,"○")&gt;0,1,0))</f>
        <v>0</v>
      </c>
      <c r="BK269" s="39" t="n">
        <f aca="false">IF(BK$4=0,0,IF(COUNTIFS(実績!$W$6:$W$505,BK$3,実績!$AI$6:$AI$505,"&lt;="&amp;$A269,実績!$AJ$6:$AJ$505,"&gt;"&amp;$A269,実績!$AL$6:$AL$505,"○")&gt;0,1,0))</f>
        <v>0</v>
      </c>
      <c r="BL269" s="39" t="n">
        <f aca="false">IF(BL$4=0,0,IF(COUNTIFS(実績!$W$6:$W$505,BL$3,実績!$AI$6:$AI$505,"&lt;="&amp;$A269,実績!$AJ$6:$AJ$505,"&gt;"&amp;$A269,実績!$AL$6:$AL$505,"○")&gt;0,1,0))</f>
        <v>0</v>
      </c>
      <c r="BM269" s="39" t="n">
        <f aca="false">IF(BM$4=0,0,IF(COUNTIFS(実績!$W$6:$W$505,BM$3,実績!$AI$6:$AI$505,"&lt;="&amp;$A269,実績!$AJ$6:$AJ$505,"&gt;"&amp;$A269,実績!$AL$6:$AL$505,"○")&gt;0,1,0))</f>
        <v>0</v>
      </c>
      <c r="BN269" s="39" t="n">
        <f aca="false">IF(BN$4=0,0,IF(COUNTIFS(実績!$W$6:$W$505,BN$3,実績!$AI$6:$AI$505,"&lt;="&amp;$A269,実績!$AJ$6:$AJ$505,"&gt;"&amp;$A269,実績!$AL$6:$AL$505,"○")&gt;0,1,0))</f>
        <v>0</v>
      </c>
      <c r="BO269" s="39" t="n">
        <f aca="false">IF(BO$4=0,0,IF(COUNTIFS(実績!$W$6:$W$505,BO$3,実績!$AI$6:$AI$505,"&lt;="&amp;$A269,実績!$AJ$6:$AJ$505,"&gt;"&amp;$A269,実績!$AL$6:$AL$505,"○")&gt;0,1,0))</f>
        <v>0</v>
      </c>
      <c r="BP269" s="39" t="n">
        <f aca="false">IF(BP$4=0,0,IF(COUNTIFS(実績!$W$6:$W$505,BP$3,実績!$AI$6:$AI$505,"&lt;="&amp;$A269,実績!$AJ$6:$AJ$505,"&gt;"&amp;$A269,実績!$AL$6:$AL$505,"○")&gt;0,1,0))</f>
        <v>0</v>
      </c>
      <c r="BQ269" s="39" t="n">
        <f aca="false">IF(BQ$4=0,0,IF(COUNTIFS(実績!$W$6:$W$505,BQ$3,実績!$AI$6:$AI$505,"&lt;="&amp;$A269,実績!$AJ$6:$AJ$505,"&gt;"&amp;$A269,実績!$AL$6:$AL$505,"○")&gt;0,1,0))</f>
        <v>0</v>
      </c>
      <c r="BR269" s="39" t="n">
        <f aca="false">IF(BR$4=0,0,IF(COUNTIFS(実績!$W$6:$W$505,BR$3,実績!$AI$6:$AI$505,"&lt;="&amp;$A269,実績!$AJ$6:$AJ$505,"&gt;"&amp;$A269,実績!$AL$6:$AL$505,"○")&gt;0,1,0))</f>
        <v>0</v>
      </c>
      <c r="BS269" s="39" t="n">
        <f aca="false">IF(BS$4=0,0,IF(COUNTIFS(実績!$W$6:$W$505,BS$3,実績!$AI$6:$AI$505,"&lt;="&amp;$A269,実績!$AJ$6:$AJ$505,"&gt;"&amp;$A269,実績!$AL$6:$AL$505,"○")&gt;0,1,0))</f>
        <v>0</v>
      </c>
      <c r="BT269" s="39" t="n">
        <f aca="false">IF(BT$4=0,0,IF(COUNTIFS(実績!$W$6:$W$505,BT$3,実績!$AI$6:$AI$505,"&lt;="&amp;$A269,実績!$AJ$6:$AJ$505,"&gt;"&amp;$A269,実績!$AL$6:$AL$505,"○")&gt;0,1,0))</f>
        <v>0</v>
      </c>
      <c r="BU269" s="39" t="n">
        <f aca="false">IF(BU$4=0,0,IF(COUNTIFS(実績!$W$6:$W$505,BU$3,実績!$AI$6:$AI$505,"&lt;="&amp;$A269,実績!$AJ$6:$AJ$505,"&gt;"&amp;$A269,実績!$AL$6:$AL$505,"○")&gt;0,1,0))</f>
        <v>0</v>
      </c>
      <c r="BV269" s="39" t="n">
        <f aca="false">IF(BV$4=0,0,IF(COUNTIFS(実績!$W$6:$W$505,BV$3,実績!$AI$6:$AI$505,"&lt;="&amp;$A269,実績!$AJ$6:$AJ$505,"&gt;"&amp;$A269,実績!$AL$6:$AL$505,"○")&gt;0,1,0))</f>
        <v>0</v>
      </c>
      <c r="BW269" s="39" t="n">
        <f aca="false">IF(BW$4=0,0,IF(COUNTIFS(実績!$W$6:$W$505,BW$3,実績!$AI$6:$AI$505,"&lt;="&amp;$A269,実績!$AJ$6:$AJ$505,"&gt;"&amp;$A269,実績!$AL$6:$AL$505,"○")&gt;0,1,0))</f>
        <v>0</v>
      </c>
      <c r="BX269" s="39" t="n">
        <f aca="false">IF(BX$4=0,0,IF(COUNTIFS(実績!$W$6:$W$505,BX$3,実績!$AI$6:$AI$505,"&lt;="&amp;$A269,実績!$AJ$6:$AJ$505,"&gt;"&amp;$A269,実績!$AL$6:$AL$505,"○")&gt;0,1,0))</f>
        <v>0</v>
      </c>
      <c r="BY269" s="39" t="n">
        <f aca="false">IF(BY$4=0,0,IF(COUNTIFS(実績!$W$6:$W$505,BY$3,実績!$AI$6:$AI$505,"&lt;="&amp;$A269,実績!$AJ$6:$AJ$505,"&gt;"&amp;$A269,実績!$AL$6:$AL$505,"○")&gt;0,1,0))</f>
        <v>0</v>
      </c>
      <c r="BZ269" s="39" t="n">
        <f aca="false">IF(BZ$4=0,0,IF(COUNTIFS(実績!$W$6:$W$505,BZ$3,実績!$AI$6:$AI$505,"&lt;="&amp;$A269,実績!$AJ$6:$AJ$505,"&gt;"&amp;$A269,実績!$AL$6:$AL$505,"○")&gt;0,1,0))</f>
        <v>0</v>
      </c>
      <c r="CA269" s="39" t="n">
        <f aca="false">IF(CA$4=0,0,IF(COUNTIFS(実績!$W$6:$W$505,CA$3,実績!$AI$6:$AI$505,"&lt;="&amp;$A269,実績!$AJ$6:$AJ$505,"&gt;"&amp;$A269,実績!$AL$6:$AL$505,"○")&gt;0,1,0))</f>
        <v>0</v>
      </c>
      <c r="CB269" s="39" t="n">
        <f aca="false">IF(CB$4=0,0,IF(COUNTIFS(実績!$W$6:$W$505,CB$3,実績!$AI$6:$AI$505,"&lt;="&amp;$A269,実績!$AJ$6:$AJ$505,"&gt;"&amp;$A269,実績!$AL$6:$AL$505,"○")&gt;0,1,0))</f>
        <v>0</v>
      </c>
      <c r="CC269" s="39" t="n">
        <f aca="false">IF(CC$4=0,0,IF(COUNTIFS(実績!$W$6:$W$505,CC$3,実績!$AI$6:$AI$505,"&lt;="&amp;$A269,実績!$AJ$6:$AJ$505,"&gt;"&amp;$A269,実績!$AL$6:$AL$505,"○")&gt;0,1,0))</f>
        <v>0</v>
      </c>
      <c r="CD269" s="39" t="n">
        <f aca="false">IF(CD$4=0,0,IF(COUNTIFS(実績!$W$6:$W$505,CD$3,実績!$AI$6:$AI$505,"&lt;="&amp;$A269,実績!$AJ$6:$AJ$505,"&gt;"&amp;$A269,実績!$AL$6:$AL$505,"○")&gt;0,1,0))</f>
        <v>0</v>
      </c>
      <c r="CE269" s="39" t="n">
        <f aca="false">IF(CE$4=0,0,IF(COUNTIFS(実績!$W$6:$W$505,CE$3,実績!$AI$6:$AI$505,"&lt;="&amp;$A269,実績!$AJ$6:$AJ$505,"&gt;"&amp;$A269,実績!$AL$6:$AL$505,"○")&gt;0,1,0))</f>
        <v>0</v>
      </c>
      <c r="CF269" s="39" t="n">
        <f aca="false">IF(CF$4=0,0,IF(COUNTIFS(実績!$W$6:$W$505,CF$3,実績!$AI$6:$AI$505,"&lt;="&amp;$A269,実績!$AJ$6:$AJ$505,"&gt;"&amp;$A269,実績!$AL$6:$AL$505,"○")&gt;0,1,0))</f>
        <v>0</v>
      </c>
      <c r="CG269" s="39" t="n">
        <f aca="false">IF(CG$4=0,0,IF(COUNTIFS(実績!$W$6:$W$505,CG$3,実績!$AI$6:$AI$505,"&lt;="&amp;$A269,実績!$AJ$6:$AJ$505,"&gt;"&amp;$A269,実績!$AL$6:$AL$505,"○")&gt;0,1,0))</f>
        <v>0</v>
      </c>
      <c r="CH269" s="39" t="n">
        <f aca="false">IF(CH$4=0,0,IF(COUNTIFS(実績!$W$6:$W$505,CH$3,実績!$AI$6:$AI$505,"&lt;="&amp;$A269,実績!$AJ$6:$AJ$505,"&gt;"&amp;$A269,実績!$AL$6:$AL$505,"○")&gt;0,1,0))</f>
        <v>0</v>
      </c>
      <c r="CI269" s="39" t="n">
        <f aca="false">IF(CI$4=0,0,IF(COUNTIFS(実績!$W$6:$W$505,CI$3,実績!$AI$6:$AI$505,"&lt;="&amp;$A269,実績!$AJ$6:$AJ$505,"&gt;"&amp;$A269,実績!$AL$6:$AL$505,"○")&gt;0,1,0))</f>
        <v>0</v>
      </c>
      <c r="CJ269" s="39" t="n">
        <f aca="false">IF(CJ$4=0,0,IF(COUNTIFS(実績!$W$6:$W$505,CJ$3,実績!$AI$6:$AI$505,"&lt;="&amp;$A269,実績!$AJ$6:$AJ$505,"&gt;"&amp;$A269,実績!$AL$6:$AL$505,"○")&gt;0,1,0))</f>
        <v>0</v>
      </c>
      <c r="CK269" s="39" t="n">
        <f aca="false">IF(CK$4=0,0,IF(COUNTIFS(実績!$W$6:$W$505,CK$3,実績!$AI$6:$AI$505,"&lt;="&amp;$A269,実績!$AJ$6:$AJ$505,"&gt;"&amp;$A269,実績!$AL$6:$AL$505,"○")&gt;0,1,0))</f>
        <v>0</v>
      </c>
      <c r="CL269" s="39" t="n">
        <f aca="false">IF(CL$4=0,0,IF(COUNTIFS(実績!$W$6:$W$505,CL$3,実績!$AI$6:$AI$505,"&lt;="&amp;$A269,実績!$AJ$6:$AJ$505,"&gt;"&amp;$A269,実績!$AL$6:$AL$505,"○")&gt;0,1,0))</f>
        <v>0</v>
      </c>
      <c r="CM269" s="39" t="n">
        <f aca="false">IF(CM$4=0,0,IF(COUNTIFS(実績!$W$6:$W$505,CM$3,実績!$AI$6:$AI$505,"&lt;="&amp;$A269,実績!$AJ$6:$AJ$505,"&gt;"&amp;$A269,実績!$AL$6:$AL$505,"○")&gt;0,1,0))</f>
        <v>0</v>
      </c>
      <c r="CN269" s="39" t="n">
        <f aca="false">IF(CN$4=0,0,IF(COUNTIFS(実績!$W$6:$W$505,CN$3,実績!$AI$6:$AI$505,"&lt;="&amp;$A269,実績!$AJ$6:$AJ$505,"&gt;"&amp;$A269,実績!$AL$6:$AL$505,"○")&gt;0,1,0))</f>
        <v>0</v>
      </c>
      <c r="CO269" s="39" t="n">
        <f aca="false">IF(CO$4=0,0,IF(COUNTIFS(実績!$W$6:$W$505,CO$3,実績!$AI$6:$AI$505,"&lt;="&amp;$A269,実績!$AJ$6:$AJ$505,"&gt;"&amp;$A269,実績!$AL$6:$AL$505,"○")&gt;0,1,0))</f>
        <v>0</v>
      </c>
      <c r="CP269" s="39" t="n">
        <f aca="false">IF(CP$4=0,0,IF(COUNTIFS(実績!$W$6:$W$505,CP$3,実績!$AI$6:$AI$505,"&lt;="&amp;$A269,実績!$AJ$6:$AJ$505,"&gt;"&amp;$A269,実績!$AL$6:$AL$505,"○")&gt;0,1,0))</f>
        <v>0</v>
      </c>
      <c r="CQ269" s="39" t="n">
        <f aca="false">IF(CQ$4=0,0,IF(COUNTIFS(実績!$W$6:$W$505,CQ$3,実績!$AI$6:$AI$505,"&lt;="&amp;$A269,実績!$AJ$6:$AJ$505,"&gt;"&amp;$A269,実績!$AL$6:$AL$505,"○")&gt;0,1,0))</f>
        <v>0</v>
      </c>
      <c r="CR269" s="39" t="n">
        <f aca="false">IF(CR$4=0,0,IF(COUNTIFS(実績!$W$6:$W$505,CR$3,実績!$AI$6:$AI$505,"&lt;="&amp;$A269,実績!$AJ$6:$AJ$505,"&gt;"&amp;$A269,実績!$AL$6:$AL$505,"○")&gt;0,1,0))</f>
        <v>0</v>
      </c>
      <c r="CS269" s="39" t="n">
        <f aca="false">IF(CS$4=0,0,IF(COUNTIFS(実績!$W$6:$W$505,CS$3,実績!$AI$6:$AI$505,"&lt;="&amp;$A269,実績!$AJ$6:$AJ$505,"&gt;"&amp;$A269,実績!$AL$6:$AL$505,"○")&gt;0,1,0))</f>
        <v>0</v>
      </c>
      <c r="CT269" s="39" t="n">
        <f aca="false">IF(CT$4=0,0,IF(COUNTIFS(実績!$W$6:$W$505,CT$3,実績!$AI$6:$AI$505,"&lt;="&amp;$A269,実績!$AJ$6:$AJ$505,"&gt;"&amp;$A269,実績!$AL$6:$AL$505,"○")&gt;0,1,0))</f>
        <v>0</v>
      </c>
      <c r="CU269" s="39" t="n">
        <f aca="false">IF(CU$4=0,0,IF(COUNTIFS(実績!$W$6:$W$505,CU$3,実績!$AI$6:$AI$505,"&lt;="&amp;$A269,実績!$AJ$6:$AJ$505,"&gt;"&amp;$A269,実績!$AL$6:$AL$505,"○")&gt;0,1,0))</f>
        <v>0</v>
      </c>
      <c r="CV269" s="39" t="n">
        <f aca="false">IF(CV$4=0,0,IF(COUNTIFS(実績!$W$6:$W$505,CV$3,実績!$AI$6:$AI$505,"&lt;="&amp;$A269,実績!$AJ$6:$AJ$505,"&gt;"&amp;$A269,実績!$AL$6:$AL$505,"○")&gt;0,1,0))</f>
        <v>0</v>
      </c>
      <c r="CW269" s="39" t="n">
        <f aca="false">IF(CW$4=0,0,IF(COUNTIFS(実績!$W$6:$W$505,CW$3,実績!$AI$6:$AI$505,"&lt;="&amp;$A269,実績!$AJ$6:$AJ$505,"&gt;"&amp;$A269,実績!$AL$6:$AL$505,"○")&gt;0,1,0))</f>
        <v>0</v>
      </c>
      <c r="CX269" s="39" t="n">
        <f aca="false">IF(CX$4=0,0,IF(COUNTIFS(実績!$W$6:$W$505,CX$3,実績!$AI$6:$AI$505,"&lt;="&amp;$A269,実績!$AJ$6:$AJ$505,"&gt;"&amp;$A269,実績!$AL$6:$AL$505,"○")&gt;0,1,0))</f>
        <v>0</v>
      </c>
      <c r="CY269" s="39" t="n">
        <f aca="false">IF(CY$4=0,0,IF(COUNTIFS(実績!$W$6:$W$505,CY$3,実績!$AI$6:$AI$505,"&lt;="&amp;$A269,実績!$AJ$6:$AJ$505,"&gt;"&amp;$A269,実績!$AL$6:$AL$505,"○")&gt;0,1,0))</f>
        <v>0</v>
      </c>
      <c r="CZ269" s="39" t="n">
        <f aca="false">IF(CZ$4=0,0,IF(COUNTIFS(実績!$W$6:$W$505,CZ$3,実績!$AI$6:$AI$505,"&lt;="&amp;$A269,実績!$AJ$6:$AJ$505,"&gt;"&amp;$A269,実績!$AL$6:$AL$505,"○")&gt;0,1,0))</f>
        <v>0</v>
      </c>
      <c r="DA269" s="39" t="n">
        <f aca="false">IF(DA$4=0,0,IF(COUNTIFS(実績!$W$6:$W$505,DA$3,実績!$AI$6:$AI$505,"&lt;="&amp;$A269,実績!$AJ$6:$AJ$505,"&gt;"&amp;$A269,実績!$AL$6:$AL$505,"○")&gt;0,1,0))</f>
        <v>0</v>
      </c>
      <c r="DB269" s="39" t="n">
        <f aca="false">IF(DB$4=0,0,IF(COUNTIFS(実績!$W$6:$W$505,DB$3,実績!$AI$6:$AI$505,"&lt;="&amp;$A269,実績!$AJ$6:$AJ$505,"&gt;"&amp;$A269,実績!$AL$6:$AL$505,"○")&gt;0,1,0))</f>
        <v>0</v>
      </c>
      <c r="DC269" s="39" t="n">
        <f aca="false">IF(DC$4=0,0,IF(COUNTIFS(実績!$W$6:$W$505,DC$3,実績!$AI$6:$AI$505,"&lt;="&amp;$A269,実績!$AJ$6:$AJ$505,"&gt;"&amp;$A269,実績!$AL$6:$AL$505,"○")&gt;0,1,0))</f>
        <v>0</v>
      </c>
      <c r="DD269" s="39" t="n">
        <f aca="false">IF(DD$4=0,0,IF(COUNTIFS(実績!$W$6:$W$505,DD$3,実績!$AI$6:$AI$505,"&lt;="&amp;$A269,実績!$AJ$6:$AJ$505,"&gt;"&amp;$A269,実績!$AL$6:$AL$505,"○")&gt;0,1,0))</f>
        <v>0</v>
      </c>
      <c r="DE269" s="39" t="n">
        <f aca="false">IF(DE$4=0,0,IF(COUNTIFS(実績!$W$6:$W$505,DE$3,実績!$AI$6:$AI$505,"&lt;="&amp;$A269,実績!$AJ$6:$AJ$505,"&gt;"&amp;$A269,実績!$AL$6:$AL$505,"○")&gt;0,1,0))</f>
        <v>0</v>
      </c>
      <c r="DF269" s="39" t="n">
        <f aca="false">IF(DF$4=0,0,IF(COUNTIFS(実績!$W$6:$W$505,DF$3,実績!$AI$6:$AI$505,"&lt;="&amp;$A269,実績!$AJ$6:$AJ$505,"&gt;"&amp;$A269,実績!$AL$6:$AL$505,"○")&gt;0,1,0))</f>
        <v>0</v>
      </c>
      <c r="DG269" s="39" t="n">
        <f aca="false">IF(DG$4=0,0,IF(COUNTIFS(実績!$W$6:$W$505,DG$3,実績!$AI$6:$AI$505,"&lt;="&amp;$A269,実績!$AJ$6:$AJ$505,"&gt;"&amp;$A269,実績!$AL$6:$AL$505,"○")&gt;0,1,0))</f>
        <v>0</v>
      </c>
      <c r="DH269" s="39" t="n">
        <f aca="false">IF(DH$4=0,0,IF(COUNTIFS(実績!$W$6:$W$505,DH$3,実績!$AI$6:$AI$505,"&lt;="&amp;$A269,実績!$AJ$6:$AJ$505,"&gt;"&amp;$A269,実績!$AL$6:$AL$505,"○")&gt;0,1,0))</f>
        <v>0</v>
      </c>
      <c r="DI269" s="39" t="n">
        <f aca="false">IF(DI$4=0,0,IF(COUNTIFS(実績!$W$6:$W$505,DI$3,実績!$AI$6:$AI$505,"&lt;="&amp;$A269,実績!$AJ$6:$AJ$505,"&gt;"&amp;$A269,実績!$AL$6:$AL$505,"○")&gt;0,1,0))</f>
        <v>0</v>
      </c>
      <c r="DJ269" s="39" t="n">
        <f aca="false">IF(DJ$4=0,0,IF(COUNTIFS(実績!$W$6:$W$505,DJ$3,実績!$AI$6:$AI$505,"&lt;="&amp;$A269,実績!$AJ$6:$AJ$505,"&gt;"&amp;$A269,実績!$AL$6:$AL$505,"○")&gt;0,1,0))</f>
        <v>0</v>
      </c>
      <c r="DK269" s="39" t="n">
        <f aca="false">IF(DK$4=0,0,IF(COUNTIFS(実績!$W$6:$W$505,DK$3,実績!$AI$6:$AI$505,"&lt;="&amp;$A269,実績!$AJ$6:$AJ$505,"&gt;"&amp;$A269,実績!$AL$6:$AL$505,"○")&gt;0,1,0))</f>
        <v>0</v>
      </c>
      <c r="DL269" s="39" t="n">
        <f aca="false">IF(DL$4=0,0,IF(COUNTIFS(実績!$W$6:$W$505,DL$3,実績!$AI$6:$AI$505,"&lt;="&amp;$A269,実績!$AJ$6:$AJ$505,"&gt;"&amp;$A269,実績!$AL$6:$AL$505,"○")&gt;0,1,0))</f>
        <v>0</v>
      </c>
      <c r="DM269" s="39" t="n">
        <f aca="false">IF(DM$4=0,0,IF(COUNTIFS(実績!$W$6:$W$505,DM$3,実績!$AI$6:$AI$505,"&lt;="&amp;$A269,実績!$AJ$6:$AJ$505,"&gt;"&amp;$A269,実績!$AL$6:$AL$505,"○")&gt;0,1,0))</f>
        <v>0</v>
      </c>
      <c r="DN269" s="39" t="n">
        <f aca="false">IF(DN$4=0,0,IF(COUNTIFS(実績!$W$6:$W$505,DN$3,実績!$AI$6:$AI$505,"&lt;="&amp;$A269,実績!$AJ$6:$AJ$505,"&gt;"&amp;$A269,実績!$AL$6:$AL$505,"○")&gt;0,1,0))</f>
        <v>0</v>
      </c>
      <c r="DO269" s="39" t="n">
        <f aca="false">IF(DO$4=0,0,IF(COUNTIFS(実績!$W$6:$W$505,DO$3,実績!$AI$6:$AI$505,"&lt;="&amp;$A269,実績!$AJ$6:$AJ$505,"&gt;"&amp;$A269,実績!$AL$6:$AL$505,"○")&gt;0,1,0))</f>
        <v>0</v>
      </c>
      <c r="DP269" s="39" t="n">
        <f aca="false">IF(DP$4=0,0,IF(COUNTIFS(実績!$W$6:$W$505,DP$3,実績!$AI$6:$AI$505,"&lt;="&amp;$A269,実績!$AJ$6:$AJ$505,"&gt;"&amp;$A269,実績!$AL$6:$AL$505,"○")&gt;0,1,0))</f>
        <v>0</v>
      </c>
      <c r="DQ269" s="39" t="n">
        <f aca="false">IF(DQ$4=0,0,IF(COUNTIFS(実績!$W$6:$W$505,DQ$3,実績!$AI$6:$AI$505,"&lt;="&amp;$A269,実績!$AJ$6:$AJ$505,"&gt;"&amp;$A269,実績!$AL$6:$AL$505,"○")&gt;0,1,0))</f>
        <v>0</v>
      </c>
      <c r="DR269" s="39" t="n">
        <f aca="false">IF(DR$4=0,0,IF(COUNTIFS(実績!$W$6:$W$505,DR$3,実績!$AI$6:$AI$505,"&lt;="&amp;$A269,実績!$AJ$6:$AJ$505,"&gt;"&amp;$A269,実績!$AL$6:$AL$505,"○")&gt;0,1,0))</f>
        <v>0</v>
      </c>
      <c r="DS269" s="39" t="n">
        <f aca="false">SUM(C269:DR269)</f>
        <v>0</v>
      </c>
    </row>
    <row r="270" customFormat="false" ht="15" hidden="false" customHeight="false" outlineLevel="0" collapsed="false">
      <c r="A270" s="0" t="n">
        <v>1320</v>
      </c>
      <c r="B270" s="38" t="n">
        <f aca="false">A270/1440</f>
        <v>0.916666666666667</v>
      </c>
      <c r="C270" s="39" t="n">
        <f aca="false">IF(C$4=0,0,IF(COUNTIFS(実績!$W$6:$W$505,C$3,実績!$AI$6:$AI$505,"&lt;="&amp;$A270,実績!$AJ$6:$AJ$505,"&gt;"&amp;$A270,実績!$AL$6:$AL$505,"○")&gt;0,1,0))</f>
        <v>0</v>
      </c>
      <c r="D270" s="39" t="n">
        <f aca="false">IF(D$4=0,0,IF(COUNTIFS(実績!$W$6:$W$505,D$3,実績!$AI$6:$AI$505,"&lt;="&amp;$A270,実績!$AJ$6:$AJ$505,"&gt;"&amp;$A270,実績!$AL$6:$AL$505,"○")&gt;0,1,0))</f>
        <v>0</v>
      </c>
      <c r="E270" s="39" t="n">
        <f aca="false">IF(E$4=0,0,IF(COUNTIFS(実績!$W$6:$W$505,E$3,実績!$AI$6:$AI$505,"&lt;="&amp;$A270,実績!$AJ$6:$AJ$505,"&gt;"&amp;$A270,実績!$AL$6:$AL$505,"○")&gt;0,1,0))</f>
        <v>0</v>
      </c>
      <c r="F270" s="39" t="n">
        <f aca="false">IF(F$4=0,0,IF(COUNTIFS(実績!$W$6:$W$505,F$3,実績!$AI$6:$AI$505,"&lt;="&amp;$A270,実績!$AJ$6:$AJ$505,"&gt;"&amp;$A270,実績!$AL$6:$AL$505,"○")&gt;0,1,0))</f>
        <v>0</v>
      </c>
      <c r="G270" s="39" t="n">
        <f aca="false">IF(G$4=0,0,IF(COUNTIFS(実績!$W$6:$W$505,G$3,実績!$AI$6:$AI$505,"&lt;="&amp;$A270,実績!$AJ$6:$AJ$505,"&gt;"&amp;$A270,実績!$AL$6:$AL$505,"○")&gt;0,1,0))</f>
        <v>0</v>
      </c>
      <c r="H270" s="39" t="n">
        <f aca="false">IF(H$4=0,0,IF(COUNTIFS(実績!$W$6:$W$505,H$3,実績!$AI$6:$AI$505,"&lt;="&amp;$A270,実績!$AJ$6:$AJ$505,"&gt;"&amp;$A270,実績!$AL$6:$AL$505,"○")&gt;0,1,0))</f>
        <v>0</v>
      </c>
      <c r="I270" s="39" t="n">
        <f aca="false">IF(I$4=0,0,IF(COUNTIFS(実績!$W$6:$W$505,I$3,実績!$AI$6:$AI$505,"&lt;="&amp;$A270,実績!$AJ$6:$AJ$505,"&gt;"&amp;$A270,実績!$AL$6:$AL$505,"○")&gt;0,1,0))</f>
        <v>0</v>
      </c>
      <c r="J270" s="39" t="n">
        <f aca="false">IF(J$4=0,0,IF(COUNTIFS(実績!$W$6:$W$505,J$3,実績!$AI$6:$AI$505,"&lt;="&amp;$A270,実績!$AJ$6:$AJ$505,"&gt;"&amp;$A270,実績!$AL$6:$AL$505,"○")&gt;0,1,0))</f>
        <v>0</v>
      </c>
      <c r="K270" s="39" t="n">
        <f aca="false">IF(K$4=0,0,IF(COUNTIFS(実績!$W$6:$W$505,K$3,実績!$AI$6:$AI$505,"&lt;="&amp;$A270,実績!$AJ$6:$AJ$505,"&gt;"&amp;$A270,実績!$AL$6:$AL$505,"○")&gt;0,1,0))</f>
        <v>0</v>
      </c>
      <c r="L270" s="39" t="n">
        <f aca="false">IF(L$4=0,0,IF(COUNTIFS(実績!$W$6:$W$505,L$3,実績!$AI$6:$AI$505,"&lt;="&amp;$A270,実績!$AJ$6:$AJ$505,"&gt;"&amp;$A270,実績!$AL$6:$AL$505,"○")&gt;0,1,0))</f>
        <v>0</v>
      </c>
      <c r="M270" s="39" t="n">
        <f aca="false">IF(M$4=0,0,IF(COUNTIFS(実績!$W$6:$W$505,M$3,実績!$AI$6:$AI$505,"&lt;="&amp;$A270,実績!$AJ$6:$AJ$505,"&gt;"&amp;$A270,実績!$AL$6:$AL$505,"○")&gt;0,1,0))</f>
        <v>0</v>
      </c>
      <c r="N270" s="39" t="n">
        <f aca="false">IF(N$4=0,0,IF(COUNTIFS(実績!$W$6:$W$505,N$3,実績!$AI$6:$AI$505,"&lt;="&amp;$A270,実績!$AJ$6:$AJ$505,"&gt;"&amp;$A270,実績!$AL$6:$AL$505,"○")&gt;0,1,0))</f>
        <v>0</v>
      </c>
      <c r="O270" s="39" t="n">
        <f aca="false">IF(O$4=0,0,IF(COUNTIFS(実績!$W$6:$W$505,O$3,実績!$AI$6:$AI$505,"&lt;="&amp;$A270,実績!$AJ$6:$AJ$505,"&gt;"&amp;$A270,実績!$AL$6:$AL$505,"○")&gt;0,1,0))</f>
        <v>0</v>
      </c>
      <c r="P270" s="39" t="n">
        <f aca="false">IF(P$4=0,0,IF(COUNTIFS(実績!$W$6:$W$505,P$3,実績!$AI$6:$AI$505,"&lt;="&amp;$A270,実績!$AJ$6:$AJ$505,"&gt;"&amp;$A270,実績!$AL$6:$AL$505,"○")&gt;0,1,0))</f>
        <v>0</v>
      </c>
      <c r="Q270" s="39" t="n">
        <f aca="false">IF(Q$4=0,0,IF(COUNTIFS(実績!$W$6:$W$505,Q$3,実績!$AI$6:$AI$505,"&lt;="&amp;$A270,実績!$AJ$6:$AJ$505,"&gt;"&amp;$A270,実績!$AL$6:$AL$505,"○")&gt;0,1,0))</f>
        <v>0</v>
      </c>
      <c r="R270" s="39" t="n">
        <f aca="false">IF(R$4=0,0,IF(COUNTIFS(実績!$W$6:$W$505,R$3,実績!$AI$6:$AI$505,"&lt;="&amp;$A270,実績!$AJ$6:$AJ$505,"&gt;"&amp;$A270,実績!$AL$6:$AL$505,"○")&gt;0,1,0))</f>
        <v>0</v>
      </c>
      <c r="S270" s="39" t="n">
        <f aca="false">IF(S$4=0,0,IF(COUNTIFS(実績!$W$6:$W$505,S$3,実績!$AI$6:$AI$505,"&lt;="&amp;$A270,実績!$AJ$6:$AJ$505,"&gt;"&amp;$A270,実績!$AL$6:$AL$505,"○")&gt;0,1,0))</f>
        <v>0</v>
      </c>
      <c r="T270" s="39" t="n">
        <f aca="false">IF(T$4=0,0,IF(COUNTIFS(実績!$W$6:$W$505,T$3,実績!$AI$6:$AI$505,"&lt;="&amp;$A270,実績!$AJ$6:$AJ$505,"&gt;"&amp;$A270,実績!$AL$6:$AL$505,"○")&gt;0,1,0))</f>
        <v>0</v>
      </c>
      <c r="U270" s="39" t="n">
        <f aca="false">IF(U$4=0,0,IF(COUNTIFS(実績!$W$6:$W$505,U$3,実績!$AI$6:$AI$505,"&lt;="&amp;$A270,実績!$AJ$6:$AJ$505,"&gt;"&amp;$A270,実績!$AL$6:$AL$505,"○")&gt;0,1,0))</f>
        <v>0</v>
      </c>
      <c r="V270" s="39" t="n">
        <f aca="false">IF(V$4=0,0,IF(COUNTIFS(実績!$W$6:$W$505,V$3,実績!$AI$6:$AI$505,"&lt;="&amp;$A270,実績!$AJ$6:$AJ$505,"&gt;"&amp;$A270,実績!$AL$6:$AL$505,"○")&gt;0,1,0))</f>
        <v>0</v>
      </c>
      <c r="W270" s="39" t="n">
        <f aca="false">IF(W$4=0,0,IF(COUNTIFS(実績!$W$6:$W$505,W$3,実績!$AI$6:$AI$505,"&lt;="&amp;$A270,実績!$AJ$6:$AJ$505,"&gt;"&amp;$A270,実績!$AL$6:$AL$505,"○")&gt;0,1,0))</f>
        <v>0</v>
      </c>
      <c r="X270" s="39" t="n">
        <f aca="false">IF(X$4=0,0,IF(COUNTIFS(実績!$W$6:$W$505,X$3,実績!$AI$6:$AI$505,"&lt;="&amp;$A270,実績!$AJ$6:$AJ$505,"&gt;"&amp;$A270,実績!$AL$6:$AL$505,"○")&gt;0,1,0))</f>
        <v>0</v>
      </c>
      <c r="Y270" s="39" t="n">
        <f aca="false">IF(Y$4=0,0,IF(COUNTIFS(実績!$W$6:$W$505,Y$3,実績!$AI$6:$AI$505,"&lt;="&amp;$A270,実績!$AJ$6:$AJ$505,"&gt;"&amp;$A270,実績!$AL$6:$AL$505,"○")&gt;0,1,0))</f>
        <v>0</v>
      </c>
      <c r="Z270" s="39" t="n">
        <f aca="false">IF(Z$4=0,0,IF(COUNTIFS(実績!$W$6:$W$505,Z$3,実績!$AI$6:$AI$505,"&lt;="&amp;$A270,実績!$AJ$6:$AJ$505,"&gt;"&amp;$A270,実績!$AL$6:$AL$505,"○")&gt;0,1,0))</f>
        <v>0</v>
      </c>
      <c r="AA270" s="39" t="n">
        <f aca="false">IF(AA$4=0,0,IF(COUNTIFS(実績!$W$6:$W$505,AA$3,実績!$AI$6:$AI$505,"&lt;="&amp;$A270,実績!$AJ$6:$AJ$505,"&gt;"&amp;$A270,実績!$AL$6:$AL$505,"○")&gt;0,1,0))</f>
        <v>0</v>
      </c>
      <c r="AB270" s="39" t="n">
        <f aca="false">IF(AB$4=0,0,IF(COUNTIFS(実績!$W$6:$W$505,AB$3,実績!$AI$6:$AI$505,"&lt;="&amp;$A270,実績!$AJ$6:$AJ$505,"&gt;"&amp;$A270,実績!$AL$6:$AL$505,"○")&gt;0,1,0))</f>
        <v>0</v>
      </c>
      <c r="AC270" s="39" t="n">
        <f aca="false">IF(AC$4=0,0,IF(COUNTIFS(実績!$W$6:$W$505,AC$3,実績!$AI$6:$AI$505,"&lt;="&amp;$A270,実績!$AJ$6:$AJ$505,"&gt;"&amp;$A270,実績!$AL$6:$AL$505,"○")&gt;0,1,0))</f>
        <v>0</v>
      </c>
      <c r="AD270" s="39" t="n">
        <f aca="false">IF(AD$4=0,0,IF(COUNTIFS(実績!$W$6:$W$505,AD$3,実績!$AI$6:$AI$505,"&lt;="&amp;$A270,実績!$AJ$6:$AJ$505,"&gt;"&amp;$A270,実績!$AL$6:$AL$505,"○")&gt;0,1,0))</f>
        <v>0</v>
      </c>
      <c r="AE270" s="39" t="n">
        <f aca="false">IF(AE$4=0,0,IF(COUNTIFS(実績!$W$6:$W$505,AE$3,実績!$AI$6:$AI$505,"&lt;="&amp;$A270,実績!$AJ$6:$AJ$505,"&gt;"&amp;$A270,実績!$AL$6:$AL$505,"○")&gt;0,1,0))</f>
        <v>0</v>
      </c>
      <c r="AF270" s="39" t="n">
        <f aca="false">IF(AF$4=0,0,IF(COUNTIFS(実績!$W$6:$W$505,AF$3,実績!$AI$6:$AI$505,"&lt;="&amp;$A270,実績!$AJ$6:$AJ$505,"&gt;"&amp;$A270,実績!$AL$6:$AL$505,"○")&gt;0,1,0))</f>
        <v>0</v>
      </c>
      <c r="AG270" s="39" t="n">
        <f aca="false">IF(AG$4=0,0,IF(COUNTIFS(実績!$W$6:$W$505,AG$3,実績!$AI$6:$AI$505,"&lt;="&amp;$A270,実績!$AJ$6:$AJ$505,"&gt;"&amp;$A270,実績!$AL$6:$AL$505,"○")&gt;0,1,0))</f>
        <v>0</v>
      </c>
      <c r="AH270" s="39" t="n">
        <f aca="false">IF(AH$4=0,0,IF(COUNTIFS(実績!$W$6:$W$505,AH$3,実績!$AI$6:$AI$505,"&lt;="&amp;$A270,実績!$AJ$6:$AJ$505,"&gt;"&amp;$A270,実績!$AL$6:$AL$505,"○")&gt;0,1,0))</f>
        <v>0</v>
      </c>
      <c r="AI270" s="39" t="n">
        <f aca="false">IF(AI$4=0,0,IF(COUNTIFS(実績!$W$6:$W$505,AI$3,実績!$AI$6:$AI$505,"&lt;="&amp;$A270,実績!$AJ$6:$AJ$505,"&gt;"&amp;$A270,実績!$AL$6:$AL$505,"○")&gt;0,1,0))</f>
        <v>0</v>
      </c>
      <c r="AJ270" s="39" t="n">
        <f aca="false">IF(AJ$4=0,0,IF(COUNTIFS(実績!$W$6:$W$505,AJ$3,実績!$AI$6:$AI$505,"&lt;="&amp;$A270,実績!$AJ$6:$AJ$505,"&gt;"&amp;$A270,実績!$AL$6:$AL$505,"○")&gt;0,1,0))</f>
        <v>0</v>
      </c>
      <c r="AK270" s="39" t="n">
        <f aca="false">IF(AK$4=0,0,IF(COUNTIFS(実績!$W$6:$W$505,AK$3,実績!$AI$6:$AI$505,"&lt;="&amp;$A270,実績!$AJ$6:$AJ$505,"&gt;"&amp;$A270,実績!$AL$6:$AL$505,"○")&gt;0,1,0))</f>
        <v>0</v>
      </c>
      <c r="AL270" s="39" t="n">
        <f aca="false">IF(AL$4=0,0,IF(COUNTIFS(実績!$W$6:$W$505,AL$3,実績!$AI$6:$AI$505,"&lt;="&amp;$A270,実績!$AJ$6:$AJ$505,"&gt;"&amp;$A270,実績!$AL$6:$AL$505,"○")&gt;0,1,0))</f>
        <v>0</v>
      </c>
      <c r="AM270" s="39" t="n">
        <f aca="false">IF(AM$4=0,0,IF(COUNTIFS(実績!$W$6:$W$505,AM$3,実績!$AI$6:$AI$505,"&lt;="&amp;$A270,実績!$AJ$6:$AJ$505,"&gt;"&amp;$A270,実績!$AL$6:$AL$505,"○")&gt;0,1,0))</f>
        <v>0</v>
      </c>
      <c r="AN270" s="39" t="n">
        <f aca="false">IF(AN$4=0,0,IF(COUNTIFS(実績!$W$6:$W$505,AN$3,実績!$AI$6:$AI$505,"&lt;="&amp;$A270,実績!$AJ$6:$AJ$505,"&gt;"&amp;$A270,実績!$AL$6:$AL$505,"○")&gt;0,1,0))</f>
        <v>0</v>
      </c>
      <c r="AO270" s="39" t="n">
        <f aca="false">IF(AO$4=0,0,IF(COUNTIFS(実績!$W$6:$W$505,AO$3,実績!$AI$6:$AI$505,"&lt;="&amp;$A270,実績!$AJ$6:$AJ$505,"&gt;"&amp;$A270,実績!$AL$6:$AL$505,"○")&gt;0,1,0))</f>
        <v>0</v>
      </c>
      <c r="AP270" s="39" t="n">
        <f aca="false">IF(AP$4=0,0,IF(COUNTIFS(実績!$W$6:$W$505,AP$3,実績!$AI$6:$AI$505,"&lt;="&amp;$A270,実績!$AJ$6:$AJ$505,"&gt;"&amp;$A270,実績!$AL$6:$AL$505,"○")&gt;0,1,0))</f>
        <v>0</v>
      </c>
      <c r="AQ270" s="39" t="n">
        <f aca="false">IF(AQ$4=0,0,IF(COUNTIFS(実績!$W$6:$W$505,AQ$3,実績!$AI$6:$AI$505,"&lt;="&amp;$A270,実績!$AJ$6:$AJ$505,"&gt;"&amp;$A270,実績!$AL$6:$AL$505,"○")&gt;0,1,0))</f>
        <v>0</v>
      </c>
      <c r="AR270" s="39" t="n">
        <f aca="false">IF(AR$4=0,0,IF(COUNTIFS(実績!$W$6:$W$505,AR$3,実績!$AI$6:$AI$505,"&lt;="&amp;$A270,実績!$AJ$6:$AJ$505,"&gt;"&amp;$A270,実績!$AL$6:$AL$505,"○")&gt;0,1,0))</f>
        <v>0</v>
      </c>
      <c r="AS270" s="39" t="n">
        <f aca="false">IF(AS$4=0,0,IF(COUNTIFS(実績!$W$6:$W$505,AS$3,実績!$AI$6:$AI$505,"&lt;="&amp;$A270,実績!$AJ$6:$AJ$505,"&gt;"&amp;$A270,実績!$AL$6:$AL$505,"○")&gt;0,1,0))</f>
        <v>0</v>
      </c>
      <c r="AT270" s="39" t="n">
        <f aca="false">IF(AT$4=0,0,IF(COUNTIFS(実績!$W$6:$W$505,AT$3,実績!$AI$6:$AI$505,"&lt;="&amp;$A270,実績!$AJ$6:$AJ$505,"&gt;"&amp;$A270,実績!$AL$6:$AL$505,"○")&gt;0,1,0))</f>
        <v>0</v>
      </c>
      <c r="AU270" s="39" t="n">
        <f aca="false">IF(AU$4=0,0,IF(COUNTIFS(実績!$W$6:$W$505,AU$3,実績!$AI$6:$AI$505,"&lt;="&amp;$A270,実績!$AJ$6:$AJ$505,"&gt;"&amp;$A270,実績!$AL$6:$AL$505,"○")&gt;0,1,0))</f>
        <v>0</v>
      </c>
      <c r="AV270" s="39" t="n">
        <f aca="false">IF(AV$4=0,0,IF(COUNTIFS(実績!$W$6:$W$505,AV$3,実績!$AI$6:$AI$505,"&lt;="&amp;$A270,実績!$AJ$6:$AJ$505,"&gt;"&amp;$A270,実績!$AL$6:$AL$505,"○")&gt;0,1,0))</f>
        <v>0</v>
      </c>
      <c r="AW270" s="39" t="n">
        <f aca="false">IF(AW$4=0,0,IF(COUNTIFS(実績!$W$6:$W$505,AW$3,実績!$AI$6:$AI$505,"&lt;="&amp;$A270,実績!$AJ$6:$AJ$505,"&gt;"&amp;$A270,実績!$AL$6:$AL$505,"○")&gt;0,1,0))</f>
        <v>0</v>
      </c>
      <c r="AX270" s="39" t="n">
        <f aca="false">IF(AX$4=0,0,IF(COUNTIFS(実績!$W$6:$W$505,AX$3,実績!$AI$6:$AI$505,"&lt;="&amp;$A270,実績!$AJ$6:$AJ$505,"&gt;"&amp;$A270,実績!$AL$6:$AL$505,"○")&gt;0,1,0))</f>
        <v>0</v>
      </c>
      <c r="AY270" s="39" t="n">
        <f aca="false">IF(AY$4=0,0,IF(COUNTIFS(実績!$W$6:$W$505,AY$3,実績!$AI$6:$AI$505,"&lt;="&amp;$A270,実績!$AJ$6:$AJ$505,"&gt;"&amp;$A270,実績!$AL$6:$AL$505,"○")&gt;0,1,0))</f>
        <v>0</v>
      </c>
      <c r="AZ270" s="39" t="n">
        <f aca="false">IF(AZ$4=0,0,IF(COUNTIFS(実績!$W$6:$W$505,AZ$3,実績!$AI$6:$AI$505,"&lt;="&amp;$A270,実績!$AJ$6:$AJ$505,"&gt;"&amp;$A270,実績!$AL$6:$AL$505,"○")&gt;0,1,0))</f>
        <v>0</v>
      </c>
      <c r="BA270" s="39" t="n">
        <f aca="false">IF(BA$4=0,0,IF(COUNTIFS(実績!$W$6:$W$505,BA$3,実績!$AI$6:$AI$505,"&lt;="&amp;$A270,実績!$AJ$6:$AJ$505,"&gt;"&amp;$A270,実績!$AL$6:$AL$505,"○")&gt;0,1,0))</f>
        <v>0</v>
      </c>
      <c r="BB270" s="39" t="n">
        <f aca="false">IF(BB$4=0,0,IF(COUNTIFS(実績!$W$6:$W$505,BB$3,実績!$AI$6:$AI$505,"&lt;="&amp;$A270,実績!$AJ$6:$AJ$505,"&gt;"&amp;$A270,実績!$AL$6:$AL$505,"○")&gt;0,1,0))</f>
        <v>0</v>
      </c>
      <c r="BC270" s="39" t="n">
        <f aca="false">IF(BC$4=0,0,IF(COUNTIFS(実績!$W$6:$W$505,BC$3,実績!$AI$6:$AI$505,"&lt;="&amp;$A270,実績!$AJ$6:$AJ$505,"&gt;"&amp;$A270,実績!$AL$6:$AL$505,"○")&gt;0,1,0))</f>
        <v>0</v>
      </c>
      <c r="BD270" s="39" t="n">
        <f aca="false">IF(BD$4=0,0,IF(COUNTIFS(実績!$W$6:$W$505,BD$3,実績!$AI$6:$AI$505,"&lt;="&amp;$A270,実績!$AJ$6:$AJ$505,"&gt;"&amp;$A270,実績!$AL$6:$AL$505,"○")&gt;0,1,0))</f>
        <v>0</v>
      </c>
      <c r="BE270" s="39" t="n">
        <f aca="false">IF(BE$4=0,0,IF(COUNTIFS(実績!$W$6:$W$505,BE$3,実績!$AI$6:$AI$505,"&lt;="&amp;$A270,実績!$AJ$6:$AJ$505,"&gt;"&amp;$A270,実績!$AL$6:$AL$505,"○")&gt;0,1,0))</f>
        <v>0</v>
      </c>
      <c r="BF270" s="39" t="n">
        <f aca="false">IF(BF$4=0,0,IF(COUNTIFS(実績!$W$6:$W$505,BF$3,実績!$AI$6:$AI$505,"&lt;="&amp;$A270,実績!$AJ$6:$AJ$505,"&gt;"&amp;$A270,実績!$AL$6:$AL$505,"○")&gt;0,1,0))</f>
        <v>0</v>
      </c>
      <c r="BG270" s="39" t="n">
        <f aca="false">IF(BG$4=0,0,IF(COUNTIFS(実績!$W$6:$W$505,BG$3,実績!$AI$6:$AI$505,"&lt;="&amp;$A270,実績!$AJ$6:$AJ$505,"&gt;"&amp;$A270,実績!$AL$6:$AL$505,"○")&gt;0,1,0))</f>
        <v>0</v>
      </c>
      <c r="BH270" s="39" t="n">
        <f aca="false">IF(BH$4=0,0,IF(COUNTIFS(実績!$W$6:$W$505,BH$3,実績!$AI$6:$AI$505,"&lt;="&amp;$A270,実績!$AJ$6:$AJ$505,"&gt;"&amp;$A270,実績!$AL$6:$AL$505,"○")&gt;0,1,0))</f>
        <v>0</v>
      </c>
      <c r="BI270" s="39" t="n">
        <f aca="false">IF(BI$4=0,0,IF(COUNTIFS(実績!$W$6:$W$505,BI$3,実績!$AI$6:$AI$505,"&lt;="&amp;$A270,実績!$AJ$6:$AJ$505,"&gt;"&amp;$A270,実績!$AL$6:$AL$505,"○")&gt;0,1,0))</f>
        <v>0</v>
      </c>
      <c r="BJ270" s="39" t="n">
        <f aca="false">IF(BJ$4=0,0,IF(COUNTIFS(実績!$W$6:$W$505,BJ$3,実績!$AI$6:$AI$505,"&lt;="&amp;$A270,実績!$AJ$6:$AJ$505,"&gt;"&amp;$A270,実績!$AL$6:$AL$505,"○")&gt;0,1,0))</f>
        <v>0</v>
      </c>
      <c r="BK270" s="39" t="n">
        <f aca="false">IF(BK$4=0,0,IF(COUNTIFS(実績!$W$6:$W$505,BK$3,実績!$AI$6:$AI$505,"&lt;="&amp;$A270,実績!$AJ$6:$AJ$505,"&gt;"&amp;$A270,実績!$AL$6:$AL$505,"○")&gt;0,1,0))</f>
        <v>0</v>
      </c>
      <c r="BL270" s="39" t="n">
        <f aca="false">IF(BL$4=0,0,IF(COUNTIFS(実績!$W$6:$W$505,BL$3,実績!$AI$6:$AI$505,"&lt;="&amp;$A270,実績!$AJ$6:$AJ$505,"&gt;"&amp;$A270,実績!$AL$6:$AL$505,"○")&gt;0,1,0))</f>
        <v>0</v>
      </c>
      <c r="BM270" s="39" t="n">
        <f aca="false">IF(BM$4=0,0,IF(COUNTIFS(実績!$W$6:$W$505,BM$3,実績!$AI$6:$AI$505,"&lt;="&amp;$A270,実績!$AJ$6:$AJ$505,"&gt;"&amp;$A270,実績!$AL$6:$AL$505,"○")&gt;0,1,0))</f>
        <v>0</v>
      </c>
      <c r="BN270" s="39" t="n">
        <f aca="false">IF(BN$4=0,0,IF(COUNTIFS(実績!$W$6:$W$505,BN$3,実績!$AI$6:$AI$505,"&lt;="&amp;$A270,実績!$AJ$6:$AJ$505,"&gt;"&amp;$A270,実績!$AL$6:$AL$505,"○")&gt;0,1,0))</f>
        <v>0</v>
      </c>
      <c r="BO270" s="39" t="n">
        <f aca="false">IF(BO$4=0,0,IF(COUNTIFS(実績!$W$6:$W$505,BO$3,実績!$AI$6:$AI$505,"&lt;="&amp;$A270,実績!$AJ$6:$AJ$505,"&gt;"&amp;$A270,実績!$AL$6:$AL$505,"○")&gt;0,1,0))</f>
        <v>0</v>
      </c>
      <c r="BP270" s="39" t="n">
        <f aca="false">IF(BP$4=0,0,IF(COUNTIFS(実績!$W$6:$W$505,BP$3,実績!$AI$6:$AI$505,"&lt;="&amp;$A270,実績!$AJ$6:$AJ$505,"&gt;"&amp;$A270,実績!$AL$6:$AL$505,"○")&gt;0,1,0))</f>
        <v>0</v>
      </c>
      <c r="BQ270" s="39" t="n">
        <f aca="false">IF(BQ$4=0,0,IF(COUNTIFS(実績!$W$6:$W$505,BQ$3,実績!$AI$6:$AI$505,"&lt;="&amp;$A270,実績!$AJ$6:$AJ$505,"&gt;"&amp;$A270,実績!$AL$6:$AL$505,"○")&gt;0,1,0))</f>
        <v>0</v>
      </c>
      <c r="BR270" s="39" t="n">
        <f aca="false">IF(BR$4=0,0,IF(COUNTIFS(実績!$W$6:$W$505,BR$3,実績!$AI$6:$AI$505,"&lt;="&amp;$A270,実績!$AJ$6:$AJ$505,"&gt;"&amp;$A270,実績!$AL$6:$AL$505,"○")&gt;0,1,0))</f>
        <v>0</v>
      </c>
      <c r="BS270" s="39" t="n">
        <f aca="false">IF(BS$4=0,0,IF(COUNTIFS(実績!$W$6:$W$505,BS$3,実績!$AI$6:$AI$505,"&lt;="&amp;$A270,実績!$AJ$6:$AJ$505,"&gt;"&amp;$A270,実績!$AL$6:$AL$505,"○")&gt;0,1,0))</f>
        <v>0</v>
      </c>
      <c r="BT270" s="39" t="n">
        <f aca="false">IF(BT$4=0,0,IF(COUNTIFS(実績!$W$6:$W$505,BT$3,実績!$AI$6:$AI$505,"&lt;="&amp;$A270,実績!$AJ$6:$AJ$505,"&gt;"&amp;$A270,実績!$AL$6:$AL$505,"○")&gt;0,1,0))</f>
        <v>0</v>
      </c>
      <c r="BU270" s="39" t="n">
        <f aca="false">IF(BU$4=0,0,IF(COUNTIFS(実績!$W$6:$W$505,BU$3,実績!$AI$6:$AI$505,"&lt;="&amp;$A270,実績!$AJ$6:$AJ$505,"&gt;"&amp;$A270,実績!$AL$6:$AL$505,"○")&gt;0,1,0))</f>
        <v>0</v>
      </c>
      <c r="BV270" s="39" t="n">
        <f aca="false">IF(BV$4=0,0,IF(COUNTIFS(実績!$W$6:$W$505,BV$3,実績!$AI$6:$AI$505,"&lt;="&amp;$A270,実績!$AJ$6:$AJ$505,"&gt;"&amp;$A270,実績!$AL$6:$AL$505,"○")&gt;0,1,0))</f>
        <v>0</v>
      </c>
      <c r="BW270" s="39" t="n">
        <f aca="false">IF(BW$4=0,0,IF(COUNTIFS(実績!$W$6:$W$505,BW$3,実績!$AI$6:$AI$505,"&lt;="&amp;$A270,実績!$AJ$6:$AJ$505,"&gt;"&amp;$A270,実績!$AL$6:$AL$505,"○")&gt;0,1,0))</f>
        <v>0</v>
      </c>
      <c r="BX270" s="39" t="n">
        <f aca="false">IF(BX$4=0,0,IF(COUNTIFS(実績!$W$6:$W$505,BX$3,実績!$AI$6:$AI$505,"&lt;="&amp;$A270,実績!$AJ$6:$AJ$505,"&gt;"&amp;$A270,実績!$AL$6:$AL$505,"○")&gt;0,1,0))</f>
        <v>0</v>
      </c>
      <c r="BY270" s="39" t="n">
        <f aca="false">IF(BY$4=0,0,IF(COUNTIFS(実績!$W$6:$W$505,BY$3,実績!$AI$6:$AI$505,"&lt;="&amp;$A270,実績!$AJ$6:$AJ$505,"&gt;"&amp;$A270,実績!$AL$6:$AL$505,"○")&gt;0,1,0))</f>
        <v>0</v>
      </c>
      <c r="BZ270" s="39" t="n">
        <f aca="false">IF(BZ$4=0,0,IF(COUNTIFS(実績!$W$6:$W$505,BZ$3,実績!$AI$6:$AI$505,"&lt;="&amp;$A270,実績!$AJ$6:$AJ$505,"&gt;"&amp;$A270,実績!$AL$6:$AL$505,"○")&gt;0,1,0))</f>
        <v>0</v>
      </c>
      <c r="CA270" s="39" t="n">
        <f aca="false">IF(CA$4=0,0,IF(COUNTIFS(実績!$W$6:$W$505,CA$3,実績!$AI$6:$AI$505,"&lt;="&amp;$A270,実績!$AJ$6:$AJ$505,"&gt;"&amp;$A270,実績!$AL$6:$AL$505,"○")&gt;0,1,0))</f>
        <v>0</v>
      </c>
      <c r="CB270" s="39" t="n">
        <f aca="false">IF(CB$4=0,0,IF(COUNTIFS(実績!$W$6:$W$505,CB$3,実績!$AI$6:$AI$505,"&lt;="&amp;$A270,実績!$AJ$6:$AJ$505,"&gt;"&amp;$A270,実績!$AL$6:$AL$505,"○")&gt;0,1,0))</f>
        <v>0</v>
      </c>
      <c r="CC270" s="39" t="n">
        <f aca="false">IF(CC$4=0,0,IF(COUNTIFS(実績!$W$6:$W$505,CC$3,実績!$AI$6:$AI$505,"&lt;="&amp;$A270,実績!$AJ$6:$AJ$505,"&gt;"&amp;$A270,実績!$AL$6:$AL$505,"○")&gt;0,1,0))</f>
        <v>0</v>
      </c>
      <c r="CD270" s="39" t="n">
        <f aca="false">IF(CD$4=0,0,IF(COUNTIFS(実績!$W$6:$W$505,CD$3,実績!$AI$6:$AI$505,"&lt;="&amp;$A270,実績!$AJ$6:$AJ$505,"&gt;"&amp;$A270,実績!$AL$6:$AL$505,"○")&gt;0,1,0))</f>
        <v>0</v>
      </c>
      <c r="CE270" s="39" t="n">
        <f aca="false">IF(CE$4=0,0,IF(COUNTIFS(実績!$W$6:$W$505,CE$3,実績!$AI$6:$AI$505,"&lt;="&amp;$A270,実績!$AJ$6:$AJ$505,"&gt;"&amp;$A270,実績!$AL$6:$AL$505,"○")&gt;0,1,0))</f>
        <v>0</v>
      </c>
      <c r="CF270" s="39" t="n">
        <f aca="false">IF(CF$4=0,0,IF(COUNTIFS(実績!$W$6:$W$505,CF$3,実績!$AI$6:$AI$505,"&lt;="&amp;$A270,実績!$AJ$6:$AJ$505,"&gt;"&amp;$A270,実績!$AL$6:$AL$505,"○")&gt;0,1,0))</f>
        <v>0</v>
      </c>
      <c r="CG270" s="39" t="n">
        <f aca="false">IF(CG$4=0,0,IF(COUNTIFS(実績!$W$6:$W$505,CG$3,実績!$AI$6:$AI$505,"&lt;="&amp;$A270,実績!$AJ$6:$AJ$505,"&gt;"&amp;$A270,実績!$AL$6:$AL$505,"○")&gt;0,1,0))</f>
        <v>0</v>
      </c>
      <c r="CH270" s="39" t="n">
        <f aca="false">IF(CH$4=0,0,IF(COUNTIFS(実績!$W$6:$W$505,CH$3,実績!$AI$6:$AI$505,"&lt;="&amp;$A270,実績!$AJ$6:$AJ$505,"&gt;"&amp;$A270,実績!$AL$6:$AL$505,"○")&gt;0,1,0))</f>
        <v>0</v>
      </c>
      <c r="CI270" s="39" t="n">
        <f aca="false">IF(CI$4=0,0,IF(COUNTIFS(実績!$W$6:$W$505,CI$3,実績!$AI$6:$AI$505,"&lt;="&amp;$A270,実績!$AJ$6:$AJ$505,"&gt;"&amp;$A270,実績!$AL$6:$AL$505,"○")&gt;0,1,0))</f>
        <v>0</v>
      </c>
      <c r="CJ270" s="39" t="n">
        <f aca="false">IF(CJ$4=0,0,IF(COUNTIFS(実績!$W$6:$W$505,CJ$3,実績!$AI$6:$AI$505,"&lt;="&amp;$A270,実績!$AJ$6:$AJ$505,"&gt;"&amp;$A270,実績!$AL$6:$AL$505,"○")&gt;0,1,0))</f>
        <v>0</v>
      </c>
      <c r="CK270" s="39" t="n">
        <f aca="false">IF(CK$4=0,0,IF(COUNTIFS(実績!$W$6:$W$505,CK$3,実績!$AI$6:$AI$505,"&lt;="&amp;$A270,実績!$AJ$6:$AJ$505,"&gt;"&amp;$A270,実績!$AL$6:$AL$505,"○")&gt;0,1,0))</f>
        <v>0</v>
      </c>
      <c r="CL270" s="39" t="n">
        <f aca="false">IF(CL$4=0,0,IF(COUNTIFS(実績!$W$6:$W$505,CL$3,実績!$AI$6:$AI$505,"&lt;="&amp;$A270,実績!$AJ$6:$AJ$505,"&gt;"&amp;$A270,実績!$AL$6:$AL$505,"○")&gt;0,1,0))</f>
        <v>0</v>
      </c>
      <c r="CM270" s="39" t="n">
        <f aca="false">IF(CM$4=0,0,IF(COUNTIFS(実績!$W$6:$W$505,CM$3,実績!$AI$6:$AI$505,"&lt;="&amp;$A270,実績!$AJ$6:$AJ$505,"&gt;"&amp;$A270,実績!$AL$6:$AL$505,"○")&gt;0,1,0))</f>
        <v>0</v>
      </c>
      <c r="CN270" s="39" t="n">
        <f aca="false">IF(CN$4=0,0,IF(COUNTIFS(実績!$W$6:$W$505,CN$3,実績!$AI$6:$AI$505,"&lt;="&amp;$A270,実績!$AJ$6:$AJ$505,"&gt;"&amp;$A270,実績!$AL$6:$AL$505,"○")&gt;0,1,0))</f>
        <v>0</v>
      </c>
      <c r="CO270" s="39" t="n">
        <f aca="false">IF(CO$4=0,0,IF(COUNTIFS(実績!$W$6:$W$505,CO$3,実績!$AI$6:$AI$505,"&lt;="&amp;$A270,実績!$AJ$6:$AJ$505,"&gt;"&amp;$A270,実績!$AL$6:$AL$505,"○")&gt;0,1,0))</f>
        <v>0</v>
      </c>
      <c r="CP270" s="39" t="n">
        <f aca="false">IF(CP$4=0,0,IF(COUNTIFS(実績!$W$6:$W$505,CP$3,実績!$AI$6:$AI$505,"&lt;="&amp;$A270,実績!$AJ$6:$AJ$505,"&gt;"&amp;$A270,実績!$AL$6:$AL$505,"○")&gt;0,1,0))</f>
        <v>0</v>
      </c>
      <c r="CQ270" s="39" t="n">
        <f aca="false">IF(CQ$4=0,0,IF(COUNTIFS(実績!$W$6:$W$505,CQ$3,実績!$AI$6:$AI$505,"&lt;="&amp;$A270,実績!$AJ$6:$AJ$505,"&gt;"&amp;$A270,実績!$AL$6:$AL$505,"○")&gt;0,1,0))</f>
        <v>0</v>
      </c>
      <c r="CR270" s="39" t="n">
        <f aca="false">IF(CR$4=0,0,IF(COUNTIFS(実績!$W$6:$W$505,CR$3,実績!$AI$6:$AI$505,"&lt;="&amp;$A270,実績!$AJ$6:$AJ$505,"&gt;"&amp;$A270,実績!$AL$6:$AL$505,"○")&gt;0,1,0))</f>
        <v>0</v>
      </c>
      <c r="CS270" s="39" t="n">
        <f aca="false">IF(CS$4=0,0,IF(COUNTIFS(実績!$W$6:$W$505,CS$3,実績!$AI$6:$AI$505,"&lt;="&amp;$A270,実績!$AJ$6:$AJ$505,"&gt;"&amp;$A270,実績!$AL$6:$AL$505,"○")&gt;0,1,0))</f>
        <v>0</v>
      </c>
      <c r="CT270" s="39" t="n">
        <f aca="false">IF(CT$4=0,0,IF(COUNTIFS(実績!$W$6:$W$505,CT$3,実績!$AI$6:$AI$505,"&lt;="&amp;$A270,実績!$AJ$6:$AJ$505,"&gt;"&amp;$A270,実績!$AL$6:$AL$505,"○")&gt;0,1,0))</f>
        <v>0</v>
      </c>
      <c r="CU270" s="39" t="n">
        <f aca="false">IF(CU$4=0,0,IF(COUNTIFS(実績!$W$6:$W$505,CU$3,実績!$AI$6:$AI$505,"&lt;="&amp;$A270,実績!$AJ$6:$AJ$505,"&gt;"&amp;$A270,実績!$AL$6:$AL$505,"○")&gt;0,1,0))</f>
        <v>0</v>
      </c>
      <c r="CV270" s="39" t="n">
        <f aca="false">IF(CV$4=0,0,IF(COUNTIFS(実績!$W$6:$W$505,CV$3,実績!$AI$6:$AI$505,"&lt;="&amp;$A270,実績!$AJ$6:$AJ$505,"&gt;"&amp;$A270,実績!$AL$6:$AL$505,"○")&gt;0,1,0))</f>
        <v>0</v>
      </c>
      <c r="CW270" s="39" t="n">
        <f aca="false">IF(CW$4=0,0,IF(COUNTIFS(実績!$W$6:$W$505,CW$3,実績!$AI$6:$AI$505,"&lt;="&amp;$A270,実績!$AJ$6:$AJ$505,"&gt;"&amp;$A270,実績!$AL$6:$AL$505,"○")&gt;0,1,0))</f>
        <v>0</v>
      </c>
      <c r="CX270" s="39" t="n">
        <f aca="false">IF(CX$4=0,0,IF(COUNTIFS(実績!$W$6:$W$505,CX$3,実績!$AI$6:$AI$505,"&lt;="&amp;$A270,実績!$AJ$6:$AJ$505,"&gt;"&amp;$A270,実績!$AL$6:$AL$505,"○")&gt;0,1,0))</f>
        <v>0</v>
      </c>
      <c r="CY270" s="39" t="n">
        <f aca="false">IF(CY$4=0,0,IF(COUNTIFS(実績!$W$6:$W$505,CY$3,実績!$AI$6:$AI$505,"&lt;="&amp;$A270,実績!$AJ$6:$AJ$505,"&gt;"&amp;$A270,実績!$AL$6:$AL$505,"○")&gt;0,1,0))</f>
        <v>0</v>
      </c>
      <c r="CZ270" s="39" t="n">
        <f aca="false">IF(CZ$4=0,0,IF(COUNTIFS(実績!$W$6:$W$505,CZ$3,実績!$AI$6:$AI$505,"&lt;="&amp;$A270,実績!$AJ$6:$AJ$505,"&gt;"&amp;$A270,実績!$AL$6:$AL$505,"○")&gt;0,1,0))</f>
        <v>0</v>
      </c>
      <c r="DA270" s="39" t="n">
        <f aca="false">IF(DA$4=0,0,IF(COUNTIFS(実績!$W$6:$W$505,DA$3,実績!$AI$6:$AI$505,"&lt;="&amp;$A270,実績!$AJ$6:$AJ$505,"&gt;"&amp;$A270,実績!$AL$6:$AL$505,"○")&gt;0,1,0))</f>
        <v>0</v>
      </c>
      <c r="DB270" s="39" t="n">
        <f aca="false">IF(DB$4=0,0,IF(COUNTIFS(実績!$W$6:$W$505,DB$3,実績!$AI$6:$AI$505,"&lt;="&amp;$A270,実績!$AJ$6:$AJ$505,"&gt;"&amp;$A270,実績!$AL$6:$AL$505,"○")&gt;0,1,0))</f>
        <v>0</v>
      </c>
      <c r="DC270" s="39" t="n">
        <f aca="false">IF(DC$4=0,0,IF(COUNTIFS(実績!$W$6:$W$505,DC$3,実績!$AI$6:$AI$505,"&lt;="&amp;$A270,実績!$AJ$6:$AJ$505,"&gt;"&amp;$A270,実績!$AL$6:$AL$505,"○")&gt;0,1,0))</f>
        <v>0</v>
      </c>
      <c r="DD270" s="39" t="n">
        <f aca="false">IF(DD$4=0,0,IF(COUNTIFS(実績!$W$6:$W$505,DD$3,実績!$AI$6:$AI$505,"&lt;="&amp;$A270,実績!$AJ$6:$AJ$505,"&gt;"&amp;$A270,実績!$AL$6:$AL$505,"○")&gt;0,1,0))</f>
        <v>0</v>
      </c>
      <c r="DE270" s="39" t="n">
        <f aca="false">IF(DE$4=0,0,IF(COUNTIFS(実績!$W$6:$W$505,DE$3,実績!$AI$6:$AI$505,"&lt;="&amp;$A270,実績!$AJ$6:$AJ$505,"&gt;"&amp;$A270,実績!$AL$6:$AL$505,"○")&gt;0,1,0))</f>
        <v>0</v>
      </c>
      <c r="DF270" s="39" t="n">
        <f aca="false">IF(DF$4=0,0,IF(COUNTIFS(実績!$W$6:$W$505,DF$3,実績!$AI$6:$AI$505,"&lt;="&amp;$A270,実績!$AJ$6:$AJ$505,"&gt;"&amp;$A270,実績!$AL$6:$AL$505,"○")&gt;0,1,0))</f>
        <v>0</v>
      </c>
      <c r="DG270" s="39" t="n">
        <f aca="false">IF(DG$4=0,0,IF(COUNTIFS(実績!$W$6:$W$505,DG$3,実績!$AI$6:$AI$505,"&lt;="&amp;$A270,実績!$AJ$6:$AJ$505,"&gt;"&amp;$A270,実績!$AL$6:$AL$505,"○")&gt;0,1,0))</f>
        <v>0</v>
      </c>
      <c r="DH270" s="39" t="n">
        <f aca="false">IF(DH$4=0,0,IF(COUNTIFS(実績!$W$6:$W$505,DH$3,実績!$AI$6:$AI$505,"&lt;="&amp;$A270,実績!$AJ$6:$AJ$505,"&gt;"&amp;$A270,実績!$AL$6:$AL$505,"○")&gt;0,1,0))</f>
        <v>0</v>
      </c>
      <c r="DI270" s="39" t="n">
        <f aca="false">IF(DI$4=0,0,IF(COUNTIFS(実績!$W$6:$W$505,DI$3,実績!$AI$6:$AI$505,"&lt;="&amp;$A270,実績!$AJ$6:$AJ$505,"&gt;"&amp;$A270,実績!$AL$6:$AL$505,"○")&gt;0,1,0))</f>
        <v>0</v>
      </c>
      <c r="DJ270" s="39" t="n">
        <f aca="false">IF(DJ$4=0,0,IF(COUNTIFS(実績!$W$6:$W$505,DJ$3,実績!$AI$6:$AI$505,"&lt;="&amp;$A270,実績!$AJ$6:$AJ$505,"&gt;"&amp;$A270,実績!$AL$6:$AL$505,"○")&gt;0,1,0))</f>
        <v>0</v>
      </c>
      <c r="DK270" s="39" t="n">
        <f aca="false">IF(DK$4=0,0,IF(COUNTIFS(実績!$W$6:$W$505,DK$3,実績!$AI$6:$AI$505,"&lt;="&amp;$A270,実績!$AJ$6:$AJ$505,"&gt;"&amp;$A270,実績!$AL$6:$AL$505,"○")&gt;0,1,0))</f>
        <v>0</v>
      </c>
      <c r="DL270" s="39" t="n">
        <f aca="false">IF(DL$4=0,0,IF(COUNTIFS(実績!$W$6:$W$505,DL$3,実績!$AI$6:$AI$505,"&lt;="&amp;$A270,実績!$AJ$6:$AJ$505,"&gt;"&amp;$A270,実績!$AL$6:$AL$505,"○")&gt;0,1,0))</f>
        <v>0</v>
      </c>
      <c r="DM270" s="39" t="n">
        <f aca="false">IF(DM$4=0,0,IF(COUNTIFS(実績!$W$6:$W$505,DM$3,実績!$AI$6:$AI$505,"&lt;="&amp;$A270,実績!$AJ$6:$AJ$505,"&gt;"&amp;$A270,実績!$AL$6:$AL$505,"○")&gt;0,1,0))</f>
        <v>0</v>
      </c>
      <c r="DN270" s="39" t="n">
        <f aca="false">IF(DN$4=0,0,IF(COUNTIFS(実績!$W$6:$W$505,DN$3,実績!$AI$6:$AI$505,"&lt;="&amp;$A270,実績!$AJ$6:$AJ$505,"&gt;"&amp;$A270,実績!$AL$6:$AL$505,"○")&gt;0,1,0))</f>
        <v>0</v>
      </c>
      <c r="DO270" s="39" t="n">
        <f aca="false">IF(DO$4=0,0,IF(COUNTIFS(実績!$W$6:$W$505,DO$3,実績!$AI$6:$AI$505,"&lt;="&amp;$A270,実績!$AJ$6:$AJ$505,"&gt;"&amp;$A270,実績!$AL$6:$AL$505,"○")&gt;0,1,0))</f>
        <v>0</v>
      </c>
      <c r="DP270" s="39" t="n">
        <f aca="false">IF(DP$4=0,0,IF(COUNTIFS(実績!$W$6:$W$505,DP$3,実績!$AI$6:$AI$505,"&lt;="&amp;$A270,実績!$AJ$6:$AJ$505,"&gt;"&amp;$A270,実績!$AL$6:$AL$505,"○")&gt;0,1,0))</f>
        <v>0</v>
      </c>
      <c r="DQ270" s="39" t="n">
        <f aca="false">IF(DQ$4=0,0,IF(COUNTIFS(実績!$W$6:$W$505,DQ$3,実績!$AI$6:$AI$505,"&lt;="&amp;$A270,実績!$AJ$6:$AJ$505,"&gt;"&amp;$A270,実績!$AL$6:$AL$505,"○")&gt;0,1,0))</f>
        <v>0</v>
      </c>
      <c r="DR270" s="39" t="n">
        <f aca="false">IF(DR$4=0,0,IF(COUNTIFS(実績!$W$6:$W$505,DR$3,実績!$AI$6:$AI$505,"&lt;="&amp;$A270,実績!$AJ$6:$AJ$505,"&gt;"&amp;$A270,実績!$AL$6:$AL$505,"○")&gt;0,1,0))</f>
        <v>0</v>
      </c>
      <c r="DS270" s="39" t="n">
        <f aca="false">SUM(C270:DR270)</f>
        <v>0</v>
      </c>
    </row>
    <row r="271" customFormat="false" ht="15" hidden="false" customHeight="false" outlineLevel="0" collapsed="false">
      <c r="A271" s="0" t="n">
        <v>1325</v>
      </c>
      <c r="B271" s="38" t="n">
        <f aca="false">A271/1440</f>
        <v>0.920138888888889</v>
      </c>
      <c r="C271" s="39" t="n">
        <f aca="false">IF(C$4=0,0,IF(COUNTIFS(実績!$W$6:$W$505,C$3,実績!$AI$6:$AI$505,"&lt;="&amp;$A271,実績!$AJ$6:$AJ$505,"&gt;"&amp;$A271,実績!$AL$6:$AL$505,"○")&gt;0,1,0))</f>
        <v>0</v>
      </c>
      <c r="D271" s="39" t="n">
        <f aca="false">IF(D$4=0,0,IF(COUNTIFS(実績!$W$6:$W$505,D$3,実績!$AI$6:$AI$505,"&lt;="&amp;$A271,実績!$AJ$6:$AJ$505,"&gt;"&amp;$A271,実績!$AL$6:$AL$505,"○")&gt;0,1,0))</f>
        <v>0</v>
      </c>
      <c r="E271" s="39" t="n">
        <f aca="false">IF(E$4=0,0,IF(COUNTIFS(実績!$W$6:$W$505,E$3,実績!$AI$6:$AI$505,"&lt;="&amp;$A271,実績!$AJ$6:$AJ$505,"&gt;"&amp;$A271,実績!$AL$6:$AL$505,"○")&gt;0,1,0))</f>
        <v>0</v>
      </c>
      <c r="F271" s="39" t="n">
        <f aca="false">IF(F$4=0,0,IF(COUNTIFS(実績!$W$6:$W$505,F$3,実績!$AI$6:$AI$505,"&lt;="&amp;$A271,実績!$AJ$6:$AJ$505,"&gt;"&amp;$A271,実績!$AL$6:$AL$505,"○")&gt;0,1,0))</f>
        <v>0</v>
      </c>
      <c r="G271" s="39" t="n">
        <f aca="false">IF(G$4=0,0,IF(COUNTIFS(実績!$W$6:$W$505,G$3,実績!$AI$6:$AI$505,"&lt;="&amp;$A271,実績!$AJ$6:$AJ$505,"&gt;"&amp;$A271,実績!$AL$6:$AL$505,"○")&gt;0,1,0))</f>
        <v>0</v>
      </c>
      <c r="H271" s="39" t="n">
        <f aca="false">IF(H$4=0,0,IF(COUNTIFS(実績!$W$6:$W$505,H$3,実績!$AI$6:$AI$505,"&lt;="&amp;$A271,実績!$AJ$6:$AJ$505,"&gt;"&amp;$A271,実績!$AL$6:$AL$505,"○")&gt;0,1,0))</f>
        <v>0</v>
      </c>
      <c r="I271" s="39" t="n">
        <f aca="false">IF(I$4=0,0,IF(COUNTIFS(実績!$W$6:$W$505,I$3,実績!$AI$6:$AI$505,"&lt;="&amp;$A271,実績!$AJ$6:$AJ$505,"&gt;"&amp;$A271,実績!$AL$6:$AL$505,"○")&gt;0,1,0))</f>
        <v>0</v>
      </c>
      <c r="J271" s="39" t="n">
        <f aca="false">IF(J$4=0,0,IF(COUNTIFS(実績!$W$6:$W$505,J$3,実績!$AI$6:$AI$505,"&lt;="&amp;$A271,実績!$AJ$6:$AJ$505,"&gt;"&amp;$A271,実績!$AL$6:$AL$505,"○")&gt;0,1,0))</f>
        <v>0</v>
      </c>
      <c r="K271" s="39" t="n">
        <f aca="false">IF(K$4=0,0,IF(COUNTIFS(実績!$W$6:$W$505,K$3,実績!$AI$6:$AI$505,"&lt;="&amp;$A271,実績!$AJ$6:$AJ$505,"&gt;"&amp;$A271,実績!$AL$6:$AL$505,"○")&gt;0,1,0))</f>
        <v>0</v>
      </c>
      <c r="L271" s="39" t="n">
        <f aca="false">IF(L$4=0,0,IF(COUNTIFS(実績!$W$6:$W$505,L$3,実績!$AI$6:$AI$505,"&lt;="&amp;$A271,実績!$AJ$6:$AJ$505,"&gt;"&amp;$A271,実績!$AL$6:$AL$505,"○")&gt;0,1,0))</f>
        <v>0</v>
      </c>
      <c r="M271" s="39" t="n">
        <f aca="false">IF(M$4=0,0,IF(COUNTIFS(実績!$W$6:$W$505,M$3,実績!$AI$6:$AI$505,"&lt;="&amp;$A271,実績!$AJ$6:$AJ$505,"&gt;"&amp;$A271,実績!$AL$6:$AL$505,"○")&gt;0,1,0))</f>
        <v>0</v>
      </c>
      <c r="N271" s="39" t="n">
        <f aca="false">IF(N$4=0,0,IF(COUNTIFS(実績!$W$6:$W$505,N$3,実績!$AI$6:$AI$505,"&lt;="&amp;$A271,実績!$AJ$6:$AJ$505,"&gt;"&amp;$A271,実績!$AL$6:$AL$505,"○")&gt;0,1,0))</f>
        <v>0</v>
      </c>
      <c r="O271" s="39" t="n">
        <f aca="false">IF(O$4=0,0,IF(COUNTIFS(実績!$W$6:$W$505,O$3,実績!$AI$6:$AI$505,"&lt;="&amp;$A271,実績!$AJ$6:$AJ$505,"&gt;"&amp;$A271,実績!$AL$6:$AL$505,"○")&gt;0,1,0))</f>
        <v>0</v>
      </c>
      <c r="P271" s="39" t="n">
        <f aca="false">IF(P$4=0,0,IF(COUNTIFS(実績!$W$6:$W$505,P$3,実績!$AI$6:$AI$505,"&lt;="&amp;$A271,実績!$AJ$6:$AJ$505,"&gt;"&amp;$A271,実績!$AL$6:$AL$505,"○")&gt;0,1,0))</f>
        <v>0</v>
      </c>
      <c r="Q271" s="39" t="n">
        <f aca="false">IF(Q$4=0,0,IF(COUNTIFS(実績!$W$6:$W$505,Q$3,実績!$AI$6:$AI$505,"&lt;="&amp;$A271,実績!$AJ$6:$AJ$505,"&gt;"&amp;$A271,実績!$AL$6:$AL$505,"○")&gt;0,1,0))</f>
        <v>0</v>
      </c>
      <c r="R271" s="39" t="n">
        <f aca="false">IF(R$4=0,0,IF(COUNTIFS(実績!$W$6:$W$505,R$3,実績!$AI$6:$AI$505,"&lt;="&amp;$A271,実績!$AJ$6:$AJ$505,"&gt;"&amp;$A271,実績!$AL$6:$AL$505,"○")&gt;0,1,0))</f>
        <v>0</v>
      </c>
      <c r="S271" s="39" t="n">
        <f aca="false">IF(S$4=0,0,IF(COUNTIFS(実績!$W$6:$W$505,S$3,実績!$AI$6:$AI$505,"&lt;="&amp;$A271,実績!$AJ$6:$AJ$505,"&gt;"&amp;$A271,実績!$AL$6:$AL$505,"○")&gt;0,1,0))</f>
        <v>0</v>
      </c>
      <c r="T271" s="39" t="n">
        <f aca="false">IF(T$4=0,0,IF(COUNTIFS(実績!$W$6:$W$505,T$3,実績!$AI$6:$AI$505,"&lt;="&amp;$A271,実績!$AJ$6:$AJ$505,"&gt;"&amp;$A271,実績!$AL$6:$AL$505,"○")&gt;0,1,0))</f>
        <v>0</v>
      </c>
      <c r="U271" s="39" t="n">
        <f aca="false">IF(U$4=0,0,IF(COUNTIFS(実績!$W$6:$W$505,U$3,実績!$AI$6:$AI$505,"&lt;="&amp;$A271,実績!$AJ$6:$AJ$505,"&gt;"&amp;$A271,実績!$AL$6:$AL$505,"○")&gt;0,1,0))</f>
        <v>0</v>
      </c>
      <c r="V271" s="39" t="n">
        <f aca="false">IF(V$4=0,0,IF(COUNTIFS(実績!$W$6:$W$505,V$3,実績!$AI$6:$AI$505,"&lt;="&amp;$A271,実績!$AJ$6:$AJ$505,"&gt;"&amp;$A271,実績!$AL$6:$AL$505,"○")&gt;0,1,0))</f>
        <v>0</v>
      </c>
      <c r="W271" s="39" t="n">
        <f aca="false">IF(W$4=0,0,IF(COUNTIFS(実績!$W$6:$W$505,W$3,実績!$AI$6:$AI$505,"&lt;="&amp;$A271,実績!$AJ$6:$AJ$505,"&gt;"&amp;$A271,実績!$AL$6:$AL$505,"○")&gt;0,1,0))</f>
        <v>0</v>
      </c>
      <c r="X271" s="39" t="n">
        <f aca="false">IF(X$4=0,0,IF(COUNTIFS(実績!$W$6:$W$505,X$3,実績!$AI$6:$AI$505,"&lt;="&amp;$A271,実績!$AJ$6:$AJ$505,"&gt;"&amp;$A271,実績!$AL$6:$AL$505,"○")&gt;0,1,0))</f>
        <v>0</v>
      </c>
      <c r="Y271" s="39" t="n">
        <f aca="false">IF(Y$4=0,0,IF(COUNTIFS(実績!$W$6:$W$505,Y$3,実績!$AI$6:$AI$505,"&lt;="&amp;$A271,実績!$AJ$6:$AJ$505,"&gt;"&amp;$A271,実績!$AL$6:$AL$505,"○")&gt;0,1,0))</f>
        <v>0</v>
      </c>
      <c r="Z271" s="39" t="n">
        <f aca="false">IF(Z$4=0,0,IF(COUNTIFS(実績!$W$6:$W$505,Z$3,実績!$AI$6:$AI$505,"&lt;="&amp;$A271,実績!$AJ$6:$AJ$505,"&gt;"&amp;$A271,実績!$AL$6:$AL$505,"○")&gt;0,1,0))</f>
        <v>0</v>
      </c>
      <c r="AA271" s="39" t="n">
        <f aca="false">IF(AA$4=0,0,IF(COUNTIFS(実績!$W$6:$W$505,AA$3,実績!$AI$6:$AI$505,"&lt;="&amp;$A271,実績!$AJ$6:$AJ$505,"&gt;"&amp;$A271,実績!$AL$6:$AL$505,"○")&gt;0,1,0))</f>
        <v>0</v>
      </c>
      <c r="AB271" s="39" t="n">
        <f aca="false">IF(AB$4=0,0,IF(COUNTIFS(実績!$W$6:$W$505,AB$3,実績!$AI$6:$AI$505,"&lt;="&amp;$A271,実績!$AJ$6:$AJ$505,"&gt;"&amp;$A271,実績!$AL$6:$AL$505,"○")&gt;0,1,0))</f>
        <v>0</v>
      </c>
      <c r="AC271" s="39" t="n">
        <f aca="false">IF(AC$4=0,0,IF(COUNTIFS(実績!$W$6:$W$505,AC$3,実績!$AI$6:$AI$505,"&lt;="&amp;$A271,実績!$AJ$6:$AJ$505,"&gt;"&amp;$A271,実績!$AL$6:$AL$505,"○")&gt;0,1,0))</f>
        <v>0</v>
      </c>
      <c r="AD271" s="39" t="n">
        <f aca="false">IF(AD$4=0,0,IF(COUNTIFS(実績!$W$6:$W$505,AD$3,実績!$AI$6:$AI$505,"&lt;="&amp;$A271,実績!$AJ$6:$AJ$505,"&gt;"&amp;$A271,実績!$AL$6:$AL$505,"○")&gt;0,1,0))</f>
        <v>0</v>
      </c>
      <c r="AE271" s="39" t="n">
        <f aca="false">IF(AE$4=0,0,IF(COUNTIFS(実績!$W$6:$W$505,AE$3,実績!$AI$6:$AI$505,"&lt;="&amp;$A271,実績!$AJ$6:$AJ$505,"&gt;"&amp;$A271,実績!$AL$6:$AL$505,"○")&gt;0,1,0))</f>
        <v>0</v>
      </c>
      <c r="AF271" s="39" t="n">
        <f aca="false">IF(AF$4=0,0,IF(COUNTIFS(実績!$W$6:$W$505,AF$3,実績!$AI$6:$AI$505,"&lt;="&amp;$A271,実績!$AJ$6:$AJ$505,"&gt;"&amp;$A271,実績!$AL$6:$AL$505,"○")&gt;0,1,0))</f>
        <v>0</v>
      </c>
      <c r="AG271" s="39" t="n">
        <f aca="false">IF(AG$4=0,0,IF(COUNTIFS(実績!$W$6:$W$505,AG$3,実績!$AI$6:$AI$505,"&lt;="&amp;$A271,実績!$AJ$6:$AJ$505,"&gt;"&amp;$A271,実績!$AL$6:$AL$505,"○")&gt;0,1,0))</f>
        <v>0</v>
      </c>
      <c r="AH271" s="39" t="n">
        <f aca="false">IF(AH$4=0,0,IF(COUNTIFS(実績!$W$6:$W$505,AH$3,実績!$AI$6:$AI$505,"&lt;="&amp;$A271,実績!$AJ$6:$AJ$505,"&gt;"&amp;$A271,実績!$AL$6:$AL$505,"○")&gt;0,1,0))</f>
        <v>0</v>
      </c>
      <c r="AI271" s="39" t="n">
        <f aca="false">IF(AI$4=0,0,IF(COUNTIFS(実績!$W$6:$W$505,AI$3,実績!$AI$6:$AI$505,"&lt;="&amp;$A271,実績!$AJ$6:$AJ$505,"&gt;"&amp;$A271,実績!$AL$6:$AL$505,"○")&gt;0,1,0))</f>
        <v>0</v>
      </c>
      <c r="AJ271" s="39" t="n">
        <f aca="false">IF(AJ$4=0,0,IF(COUNTIFS(実績!$W$6:$W$505,AJ$3,実績!$AI$6:$AI$505,"&lt;="&amp;$A271,実績!$AJ$6:$AJ$505,"&gt;"&amp;$A271,実績!$AL$6:$AL$505,"○")&gt;0,1,0))</f>
        <v>0</v>
      </c>
      <c r="AK271" s="39" t="n">
        <f aca="false">IF(AK$4=0,0,IF(COUNTIFS(実績!$W$6:$W$505,AK$3,実績!$AI$6:$AI$505,"&lt;="&amp;$A271,実績!$AJ$6:$AJ$505,"&gt;"&amp;$A271,実績!$AL$6:$AL$505,"○")&gt;0,1,0))</f>
        <v>0</v>
      </c>
      <c r="AL271" s="39" t="n">
        <f aca="false">IF(AL$4=0,0,IF(COUNTIFS(実績!$W$6:$W$505,AL$3,実績!$AI$6:$AI$505,"&lt;="&amp;$A271,実績!$AJ$6:$AJ$505,"&gt;"&amp;$A271,実績!$AL$6:$AL$505,"○")&gt;0,1,0))</f>
        <v>0</v>
      </c>
      <c r="AM271" s="39" t="n">
        <f aca="false">IF(AM$4=0,0,IF(COUNTIFS(実績!$W$6:$W$505,AM$3,実績!$AI$6:$AI$505,"&lt;="&amp;$A271,実績!$AJ$6:$AJ$505,"&gt;"&amp;$A271,実績!$AL$6:$AL$505,"○")&gt;0,1,0))</f>
        <v>0</v>
      </c>
      <c r="AN271" s="39" t="n">
        <f aca="false">IF(AN$4=0,0,IF(COUNTIFS(実績!$W$6:$W$505,AN$3,実績!$AI$6:$AI$505,"&lt;="&amp;$A271,実績!$AJ$6:$AJ$505,"&gt;"&amp;$A271,実績!$AL$6:$AL$505,"○")&gt;0,1,0))</f>
        <v>0</v>
      </c>
      <c r="AO271" s="39" t="n">
        <f aca="false">IF(AO$4=0,0,IF(COUNTIFS(実績!$W$6:$W$505,AO$3,実績!$AI$6:$AI$505,"&lt;="&amp;$A271,実績!$AJ$6:$AJ$505,"&gt;"&amp;$A271,実績!$AL$6:$AL$505,"○")&gt;0,1,0))</f>
        <v>0</v>
      </c>
      <c r="AP271" s="39" t="n">
        <f aca="false">IF(AP$4=0,0,IF(COUNTIFS(実績!$W$6:$W$505,AP$3,実績!$AI$6:$AI$505,"&lt;="&amp;$A271,実績!$AJ$6:$AJ$505,"&gt;"&amp;$A271,実績!$AL$6:$AL$505,"○")&gt;0,1,0))</f>
        <v>0</v>
      </c>
      <c r="AQ271" s="39" t="n">
        <f aca="false">IF(AQ$4=0,0,IF(COUNTIFS(実績!$W$6:$W$505,AQ$3,実績!$AI$6:$AI$505,"&lt;="&amp;$A271,実績!$AJ$6:$AJ$505,"&gt;"&amp;$A271,実績!$AL$6:$AL$505,"○")&gt;0,1,0))</f>
        <v>0</v>
      </c>
      <c r="AR271" s="39" t="n">
        <f aca="false">IF(AR$4=0,0,IF(COUNTIFS(実績!$W$6:$W$505,AR$3,実績!$AI$6:$AI$505,"&lt;="&amp;$A271,実績!$AJ$6:$AJ$505,"&gt;"&amp;$A271,実績!$AL$6:$AL$505,"○")&gt;0,1,0))</f>
        <v>0</v>
      </c>
      <c r="AS271" s="39" t="n">
        <f aca="false">IF(AS$4=0,0,IF(COUNTIFS(実績!$W$6:$W$505,AS$3,実績!$AI$6:$AI$505,"&lt;="&amp;$A271,実績!$AJ$6:$AJ$505,"&gt;"&amp;$A271,実績!$AL$6:$AL$505,"○")&gt;0,1,0))</f>
        <v>0</v>
      </c>
      <c r="AT271" s="39" t="n">
        <f aca="false">IF(AT$4=0,0,IF(COUNTIFS(実績!$W$6:$W$505,AT$3,実績!$AI$6:$AI$505,"&lt;="&amp;$A271,実績!$AJ$6:$AJ$505,"&gt;"&amp;$A271,実績!$AL$6:$AL$505,"○")&gt;0,1,0))</f>
        <v>0</v>
      </c>
      <c r="AU271" s="39" t="n">
        <f aca="false">IF(AU$4=0,0,IF(COUNTIFS(実績!$W$6:$W$505,AU$3,実績!$AI$6:$AI$505,"&lt;="&amp;$A271,実績!$AJ$6:$AJ$505,"&gt;"&amp;$A271,実績!$AL$6:$AL$505,"○")&gt;0,1,0))</f>
        <v>0</v>
      </c>
      <c r="AV271" s="39" t="n">
        <f aca="false">IF(AV$4=0,0,IF(COUNTIFS(実績!$W$6:$W$505,AV$3,実績!$AI$6:$AI$505,"&lt;="&amp;$A271,実績!$AJ$6:$AJ$505,"&gt;"&amp;$A271,実績!$AL$6:$AL$505,"○")&gt;0,1,0))</f>
        <v>0</v>
      </c>
      <c r="AW271" s="39" t="n">
        <f aca="false">IF(AW$4=0,0,IF(COUNTIFS(実績!$W$6:$W$505,AW$3,実績!$AI$6:$AI$505,"&lt;="&amp;$A271,実績!$AJ$6:$AJ$505,"&gt;"&amp;$A271,実績!$AL$6:$AL$505,"○")&gt;0,1,0))</f>
        <v>0</v>
      </c>
      <c r="AX271" s="39" t="n">
        <f aca="false">IF(AX$4=0,0,IF(COUNTIFS(実績!$W$6:$W$505,AX$3,実績!$AI$6:$AI$505,"&lt;="&amp;$A271,実績!$AJ$6:$AJ$505,"&gt;"&amp;$A271,実績!$AL$6:$AL$505,"○")&gt;0,1,0))</f>
        <v>0</v>
      </c>
      <c r="AY271" s="39" t="n">
        <f aca="false">IF(AY$4=0,0,IF(COUNTIFS(実績!$W$6:$W$505,AY$3,実績!$AI$6:$AI$505,"&lt;="&amp;$A271,実績!$AJ$6:$AJ$505,"&gt;"&amp;$A271,実績!$AL$6:$AL$505,"○")&gt;0,1,0))</f>
        <v>0</v>
      </c>
      <c r="AZ271" s="39" t="n">
        <f aca="false">IF(AZ$4=0,0,IF(COUNTIFS(実績!$W$6:$W$505,AZ$3,実績!$AI$6:$AI$505,"&lt;="&amp;$A271,実績!$AJ$6:$AJ$505,"&gt;"&amp;$A271,実績!$AL$6:$AL$505,"○")&gt;0,1,0))</f>
        <v>0</v>
      </c>
      <c r="BA271" s="39" t="n">
        <f aca="false">IF(BA$4=0,0,IF(COUNTIFS(実績!$W$6:$W$505,BA$3,実績!$AI$6:$AI$505,"&lt;="&amp;$A271,実績!$AJ$6:$AJ$505,"&gt;"&amp;$A271,実績!$AL$6:$AL$505,"○")&gt;0,1,0))</f>
        <v>0</v>
      </c>
      <c r="BB271" s="39" t="n">
        <f aca="false">IF(BB$4=0,0,IF(COUNTIFS(実績!$W$6:$W$505,BB$3,実績!$AI$6:$AI$505,"&lt;="&amp;$A271,実績!$AJ$6:$AJ$505,"&gt;"&amp;$A271,実績!$AL$6:$AL$505,"○")&gt;0,1,0))</f>
        <v>0</v>
      </c>
      <c r="BC271" s="39" t="n">
        <f aca="false">IF(BC$4=0,0,IF(COUNTIFS(実績!$W$6:$W$505,BC$3,実績!$AI$6:$AI$505,"&lt;="&amp;$A271,実績!$AJ$6:$AJ$505,"&gt;"&amp;$A271,実績!$AL$6:$AL$505,"○")&gt;0,1,0))</f>
        <v>0</v>
      </c>
      <c r="BD271" s="39" t="n">
        <f aca="false">IF(BD$4=0,0,IF(COUNTIFS(実績!$W$6:$W$505,BD$3,実績!$AI$6:$AI$505,"&lt;="&amp;$A271,実績!$AJ$6:$AJ$505,"&gt;"&amp;$A271,実績!$AL$6:$AL$505,"○")&gt;0,1,0))</f>
        <v>0</v>
      </c>
      <c r="BE271" s="39" t="n">
        <f aca="false">IF(BE$4=0,0,IF(COUNTIFS(実績!$W$6:$W$505,BE$3,実績!$AI$6:$AI$505,"&lt;="&amp;$A271,実績!$AJ$6:$AJ$505,"&gt;"&amp;$A271,実績!$AL$6:$AL$505,"○")&gt;0,1,0))</f>
        <v>0</v>
      </c>
      <c r="BF271" s="39" t="n">
        <f aca="false">IF(BF$4=0,0,IF(COUNTIFS(実績!$W$6:$W$505,BF$3,実績!$AI$6:$AI$505,"&lt;="&amp;$A271,実績!$AJ$6:$AJ$505,"&gt;"&amp;$A271,実績!$AL$6:$AL$505,"○")&gt;0,1,0))</f>
        <v>0</v>
      </c>
      <c r="BG271" s="39" t="n">
        <f aca="false">IF(BG$4=0,0,IF(COUNTIFS(実績!$W$6:$W$505,BG$3,実績!$AI$6:$AI$505,"&lt;="&amp;$A271,実績!$AJ$6:$AJ$505,"&gt;"&amp;$A271,実績!$AL$6:$AL$505,"○")&gt;0,1,0))</f>
        <v>0</v>
      </c>
      <c r="BH271" s="39" t="n">
        <f aca="false">IF(BH$4=0,0,IF(COUNTIFS(実績!$W$6:$W$505,BH$3,実績!$AI$6:$AI$505,"&lt;="&amp;$A271,実績!$AJ$6:$AJ$505,"&gt;"&amp;$A271,実績!$AL$6:$AL$505,"○")&gt;0,1,0))</f>
        <v>0</v>
      </c>
      <c r="BI271" s="39" t="n">
        <f aca="false">IF(BI$4=0,0,IF(COUNTIFS(実績!$W$6:$W$505,BI$3,実績!$AI$6:$AI$505,"&lt;="&amp;$A271,実績!$AJ$6:$AJ$505,"&gt;"&amp;$A271,実績!$AL$6:$AL$505,"○")&gt;0,1,0))</f>
        <v>0</v>
      </c>
      <c r="BJ271" s="39" t="n">
        <f aca="false">IF(BJ$4=0,0,IF(COUNTIFS(実績!$W$6:$W$505,BJ$3,実績!$AI$6:$AI$505,"&lt;="&amp;$A271,実績!$AJ$6:$AJ$505,"&gt;"&amp;$A271,実績!$AL$6:$AL$505,"○")&gt;0,1,0))</f>
        <v>0</v>
      </c>
      <c r="BK271" s="39" t="n">
        <f aca="false">IF(BK$4=0,0,IF(COUNTIFS(実績!$W$6:$W$505,BK$3,実績!$AI$6:$AI$505,"&lt;="&amp;$A271,実績!$AJ$6:$AJ$505,"&gt;"&amp;$A271,実績!$AL$6:$AL$505,"○")&gt;0,1,0))</f>
        <v>0</v>
      </c>
      <c r="BL271" s="39" t="n">
        <f aca="false">IF(BL$4=0,0,IF(COUNTIFS(実績!$W$6:$W$505,BL$3,実績!$AI$6:$AI$505,"&lt;="&amp;$A271,実績!$AJ$6:$AJ$505,"&gt;"&amp;$A271,実績!$AL$6:$AL$505,"○")&gt;0,1,0))</f>
        <v>0</v>
      </c>
      <c r="BM271" s="39" t="n">
        <f aca="false">IF(BM$4=0,0,IF(COUNTIFS(実績!$W$6:$W$505,BM$3,実績!$AI$6:$AI$505,"&lt;="&amp;$A271,実績!$AJ$6:$AJ$505,"&gt;"&amp;$A271,実績!$AL$6:$AL$505,"○")&gt;0,1,0))</f>
        <v>0</v>
      </c>
      <c r="BN271" s="39" t="n">
        <f aca="false">IF(BN$4=0,0,IF(COUNTIFS(実績!$W$6:$W$505,BN$3,実績!$AI$6:$AI$505,"&lt;="&amp;$A271,実績!$AJ$6:$AJ$505,"&gt;"&amp;$A271,実績!$AL$6:$AL$505,"○")&gt;0,1,0))</f>
        <v>0</v>
      </c>
      <c r="BO271" s="39" t="n">
        <f aca="false">IF(BO$4=0,0,IF(COUNTIFS(実績!$W$6:$W$505,BO$3,実績!$AI$6:$AI$505,"&lt;="&amp;$A271,実績!$AJ$6:$AJ$505,"&gt;"&amp;$A271,実績!$AL$6:$AL$505,"○")&gt;0,1,0))</f>
        <v>0</v>
      </c>
      <c r="BP271" s="39" t="n">
        <f aca="false">IF(BP$4=0,0,IF(COUNTIFS(実績!$W$6:$W$505,BP$3,実績!$AI$6:$AI$505,"&lt;="&amp;$A271,実績!$AJ$6:$AJ$505,"&gt;"&amp;$A271,実績!$AL$6:$AL$505,"○")&gt;0,1,0))</f>
        <v>0</v>
      </c>
      <c r="BQ271" s="39" t="n">
        <f aca="false">IF(BQ$4=0,0,IF(COUNTIFS(実績!$W$6:$W$505,BQ$3,実績!$AI$6:$AI$505,"&lt;="&amp;$A271,実績!$AJ$6:$AJ$505,"&gt;"&amp;$A271,実績!$AL$6:$AL$505,"○")&gt;0,1,0))</f>
        <v>0</v>
      </c>
      <c r="BR271" s="39" t="n">
        <f aca="false">IF(BR$4=0,0,IF(COUNTIFS(実績!$W$6:$W$505,BR$3,実績!$AI$6:$AI$505,"&lt;="&amp;$A271,実績!$AJ$6:$AJ$505,"&gt;"&amp;$A271,実績!$AL$6:$AL$505,"○")&gt;0,1,0))</f>
        <v>0</v>
      </c>
      <c r="BS271" s="39" t="n">
        <f aca="false">IF(BS$4=0,0,IF(COUNTIFS(実績!$W$6:$W$505,BS$3,実績!$AI$6:$AI$505,"&lt;="&amp;$A271,実績!$AJ$6:$AJ$505,"&gt;"&amp;$A271,実績!$AL$6:$AL$505,"○")&gt;0,1,0))</f>
        <v>0</v>
      </c>
      <c r="BT271" s="39" t="n">
        <f aca="false">IF(BT$4=0,0,IF(COUNTIFS(実績!$W$6:$W$505,BT$3,実績!$AI$6:$AI$505,"&lt;="&amp;$A271,実績!$AJ$6:$AJ$505,"&gt;"&amp;$A271,実績!$AL$6:$AL$505,"○")&gt;0,1,0))</f>
        <v>0</v>
      </c>
      <c r="BU271" s="39" t="n">
        <f aca="false">IF(BU$4=0,0,IF(COUNTIFS(実績!$W$6:$W$505,BU$3,実績!$AI$6:$AI$505,"&lt;="&amp;$A271,実績!$AJ$6:$AJ$505,"&gt;"&amp;$A271,実績!$AL$6:$AL$505,"○")&gt;0,1,0))</f>
        <v>0</v>
      </c>
      <c r="BV271" s="39" t="n">
        <f aca="false">IF(BV$4=0,0,IF(COUNTIFS(実績!$W$6:$W$505,BV$3,実績!$AI$6:$AI$505,"&lt;="&amp;$A271,実績!$AJ$6:$AJ$505,"&gt;"&amp;$A271,実績!$AL$6:$AL$505,"○")&gt;0,1,0))</f>
        <v>0</v>
      </c>
      <c r="BW271" s="39" t="n">
        <f aca="false">IF(BW$4=0,0,IF(COUNTIFS(実績!$W$6:$W$505,BW$3,実績!$AI$6:$AI$505,"&lt;="&amp;$A271,実績!$AJ$6:$AJ$505,"&gt;"&amp;$A271,実績!$AL$6:$AL$505,"○")&gt;0,1,0))</f>
        <v>0</v>
      </c>
      <c r="BX271" s="39" t="n">
        <f aca="false">IF(BX$4=0,0,IF(COUNTIFS(実績!$W$6:$W$505,BX$3,実績!$AI$6:$AI$505,"&lt;="&amp;$A271,実績!$AJ$6:$AJ$505,"&gt;"&amp;$A271,実績!$AL$6:$AL$505,"○")&gt;0,1,0))</f>
        <v>0</v>
      </c>
      <c r="BY271" s="39" t="n">
        <f aca="false">IF(BY$4=0,0,IF(COUNTIFS(実績!$W$6:$W$505,BY$3,実績!$AI$6:$AI$505,"&lt;="&amp;$A271,実績!$AJ$6:$AJ$505,"&gt;"&amp;$A271,実績!$AL$6:$AL$505,"○")&gt;0,1,0))</f>
        <v>0</v>
      </c>
      <c r="BZ271" s="39" t="n">
        <f aca="false">IF(BZ$4=0,0,IF(COUNTIFS(実績!$W$6:$W$505,BZ$3,実績!$AI$6:$AI$505,"&lt;="&amp;$A271,実績!$AJ$6:$AJ$505,"&gt;"&amp;$A271,実績!$AL$6:$AL$505,"○")&gt;0,1,0))</f>
        <v>0</v>
      </c>
      <c r="CA271" s="39" t="n">
        <f aca="false">IF(CA$4=0,0,IF(COUNTIFS(実績!$W$6:$W$505,CA$3,実績!$AI$6:$AI$505,"&lt;="&amp;$A271,実績!$AJ$6:$AJ$505,"&gt;"&amp;$A271,実績!$AL$6:$AL$505,"○")&gt;0,1,0))</f>
        <v>0</v>
      </c>
      <c r="CB271" s="39" t="n">
        <f aca="false">IF(CB$4=0,0,IF(COUNTIFS(実績!$W$6:$W$505,CB$3,実績!$AI$6:$AI$505,"&lt;="&amp;$A271,実績!$AJ$6:$AJ$505,"&gt;"&amp;$A271,実績!$AL$6:$AL$505,"○")&gt;0,1,0))</f>
        <v>0</v>
      </c>
      <c r="CC271" s="39" t="n">
        <f aca="false">IF(CC$4=0,0,IF(COUNTIFS(実績!$W$6:$W$505,CC$3,実績!$AI$6:$AI$505,"&lt;="&amp;$A271,実績!$AJ$6:$AJ$505,"&gt;"&amp;$A271,実績!$AL$6:$AL$505,"○")&gt;0,1,0))</f>
        <v>0</v>
      </c>
      <c r="CD271" s="39" t="n">
        <f aca="false">IF(CD$4=0,0,IF(COUNTIFS(実績!$W$6:$W$505,CD$3,実績!$AI$6:$AI$505,"&lt;="&amp;$A271,実績!$AJ$6:$AJ$505,"&gt;"&amp;$A271,実績!$AL$6:$AL$505,"○")&gt;0,1,0))</f>
        <v>0</v>
      </c>
      <c r="CE271" s="39" t="n">
        <f aca="false">IF(CE$4=0,0,IF(COUNTIFS(実績!$W$6:$W$505,CE$3,実績!$AI$6:$AI$505,"&lt;="&amp;$A271,実績!$AJ$6:$AJ$505,"&gt;"&amp;$A271,実績!$AL$6:$AL$505,"○")&gt;0,1,0))</f>
        <v>0</v>
      </c>
      <c r="CF271" s="39" t="n">
        <f aca="false">IF(CF$4=0,0,IF(COUNTIFS(実績!$W$6:$W$505,CF$3,実績!$AI$6:$AI$505,"&lt;="&amp;$A271,実績!$AJ$6:$AJ$505,"&gt;"&amp;$A271,実績!$AL$6:$AL$505,"○")&gt;0,1,0))</f>
        <v>0</v>
      </c>
      <c r="CG271" s="39" t="n">
        <f aca="false">IF(CG$4=0,0,IF(COUNTIFS(実績!$W$6:$W$505,CG$3,実績!$AI$6:$AI$505,"&lt;="&amp;$A271,実績!$AJ$6:$AJ$505,"&gt;"&amp;$A271,実績!$AL$6:$AL$505,"○")&gt;0,1,0))</f>
        <v>0</v>
      </c>
      <c r="CH271" s="39" t="n">
        <f aca="false">IF(CH$4=0,0,IF(COUNTIFS(実績!$W$6:$W$505,CH$3,実績!$AI$6:$AI$505,"&lt;="&amp;$A271,実績!$AJ$6:$AJ$505,"&gt;"&amp;$A271,実績!$AL$6:$AL$505,"○")&gt;0,1,0))</f>
        <v>0</v>
      </c>
      <c r="CI271" s="39" t="n">
        <f aca="false">IF(CI$4=0,0,IF(COUNTIFS(実績!$W$6:$W$505,CI$3,実績!$AI$6:$AI$505,"&lt;="&amp;$A271,実績!$AJ$6:$AJ$505,"&gt;"&amp;$A271,実績!$AL$6:$AL$505,"○")&gt;0,1,0))</f>
        <v>0</v>
      </c>
      <c r="CJ271" s="39" t="n">
        <f aca="false">IF(CJ$4=0,0,IF(COUNTIFS(実績!$W$6:$W$505,CJ$3,実績!$AI$6:$AI$505,"&lt;="&amp;$A271,実績!$AJ$6:$AJ$505,"&gt;"&amp;$A271,実績!$AL$6:$AL$505,"○")&gt;0,1,0))</f>
        <v>0</v>
      </c>
      <c r="CK271" s="39" t="n">
        <f aca="false">IF(CK$4=0,0,IF(COUNTIFS(実績!$W$6:$W$505,CK$3,実績!$AI$6:$AI$505,"&lt;="&amp;$A271,実績!$AJ$6:$AJ$505,"&gt;"&amp;$A271,実績!$AL$6:$AL$505,"○")&gt;0,1,0))</f>
        <v>0</v>
      </c>
      <c r="CL271" s="39" t="n">
        <f aca="false">IF(CL$4=0,0,IF(COUNTIFS(実績!$W$6:$W$505,CL$3,実績!$AI$6:$AI$505,"&lt;="&amp;$A271,実績!$AJ$6:$AJ$505,"&gt;"&amp;$A271,実績!$AL$6:$AL$505,"○")&gt;0,1,0))</f>
        <v>0</v>
      </c>
      <c r="CM271" s="39" t="n">
        <f aca="false">IF(CM$4=0,0,IF(COUNTIFS(実績!$W$6:$W$505,CM$3,実績!$AI$6:$AI$505,"&lt;="&amp;$A271,実績!$AJ$6:$AJ$505,"&gt;"&amp;$A271,実績!$AL$6:$AL$505,"○")&gt;0,1,0))</f>
        <v>0</v>
      </c>
      <c r="CN271" s="39" t="n">
        <f aca="false">IF(CN$4=0,0,IF(COUNTIFS(実績!$W$6:$W$505,CN$3,実績!$AI$6:$AI$505,"&lt;="&amp;$A271,実績!$AJ$6:$AJ$505,"&gt;"&amp;$A271,実績!$AL$6:$AL$505,"○")&gt;0,1,0))</f>
        <v>0</v>
      </c>
      <c r="CO271" s="39" t="n">
        <f aca="false">IF(CO$4=0,0,IF(COUNTIFS(実績!$W$6:$W$505,CO$3,実績!$AI$6:$AI$505,"&lt;="&amp;$A271,実績!$AJ$6:$AJ$505,"&gt;"&amp;$A271,実績!$AL$6:$AL$505,"○")&gt;0,1,0))</f>
        <v>0</v>
      </c>
      <c r="CP271" s="39" t="n">
        <f aca="false">IF(CP$4=0,0,IF(COUNTIFS(実績!$W$6:$W$505,CP$3,実績!$AI$6:$AI$505,"&lt;="&amp;$A271,実績!$AJ$6:$AJ$505,"&gt;"&amp;$A271,実績!$AL$6:$AL$505,"○")&gt;0,1,0))</f>
        <v>0</v>
      </c>
      <c r="CQ271" s="39" t="n">
        <f aca="false">IF(CQ$4=0,0,IF(COUNTIFS(実績!$W$6:$W$505,CQ$3,実績!$AI$6:$AI$505,"&lt;="&amp;$A271,実績!$AJ$6:$AJ$505,"&gt;"&amp;$A271,実績!$AL$6:$AL$505,"○")&gt;0,1,0))</f>
        <v>0</v>
      </c>
      <c r="CR271" s="39" t="n">
        <f aca="false">IF(CR$4=0,0,IF(COUNTIFS(実績!$W$6:$W$505,CR$3,実績!$AI$6:$AI$505,"&lt;="&amp;$A271,実績!$AJ$6:$AJ$505,"&gt;"&amp;$A271,実績!$AL$6:$AL$505,"○")&gt;0,1,0))</f>
        <v>0</v>
      </c>
      <c r="CS271" s="39" t="n">
        <f aca="false">IF(CS$4=0,0,IF(COUNTIFS(実績!$W$6:$W$505,CS$3,実績!$AI$6:$AI$505,"&lt;="&amp;$A271,実績!$AJ$6:$AJ$505,"&gt;"&amp;$A271,実績!$AL$6:$AL$505,"○")&gt;0,1,0))</f>
        <v>0</v>
      </c>
      <c r="CT271" s="39" t="n">
        <f aca="false">IF(CT$4=0,0,IF(COUNTIFS(実績!$W$6:$W$505,CT$3,実績!$AI$6:$AI$505,"&lt;="&amp;$A271,実績!$AJ$6:$AJ$505,"&gt;"&amp;$A271,実績!$AL$6:$AL$505,"○")&gt;0,1,0))</f>
        <v>0</v>
      </c>
      <c r="CU271" s="39" t="n">
        <f aca="false">IF(CU$4=0,0,IF(COUNTIFS(実績!$W$6:$W$505,CU$3,実績!$AI$6:$AI$505,"&lt;="&amp;$A271,実績!$AJ$6:$AJ$505,"&gt;"&amp;$A271,実績!$AL$6:$AL$505,"○")&gt;0,1,0))</f>
        <v>0</v>
      </c>
      <c r="CV271" s="39" t="n">
        <f aca="false">IF(CV$4=0,0,IF(COUNTIFS(実績!$W$6:$W$505,CV$3,実績!$AI$6:$AI$505,"&lt;="&amp;$A271,実績!$AJ$6:$AJ$505,"&gt;"&amp;$A271,実績!$AL$6:$AL$505,"○")&gt;0,1,0))</f>
        <v>0</v>
      </c>
      <c r="CW271" s="39" t="n">
        <f aca="false">IF(CW$4=0,0,IF(COUNTIFS(実績!$W$6:$W$505,CW$3,実績!$AI$6:$AI$505,"&lt;="&amp;$A271,実績!$AJ$6:$AJ$505,"&gt;"&amp;$A271,実績!$AL$6:$AL$505,"○")&gt;0,1,0))</f>
        <v>0</v>
      </c>
      <c r="CX271" s="39" t="n">
        <f aca="false">IF(CX$4=0,0,IF(COUNTIFS(実績!$W$6:$W$505,CX$3,実績!$AI$6:$AI$505,"&lt;="&amp;$A271,実績!$AJ$6:$AJ$505,"&gt;"&amp;$A271,実績!$AL$6:$AL$505,"○")&gt;0,1,0))</f>
        <v>0</v>
      </c>
      <c r="CY271" s="39" t="n">
        <f aca="false">IF(CY$4=0,0,IF(COUNTIFS(実績!$W$6:$W$505,CY$3,実績!$AI$6:$AI$505,"&lt;="&amp;$A271,実績!$AJ$6:$AJ$505,"&gt;"&amp;$A271,実績!$AL$6:$AL$505,"○")&gt;0,1,0))</f>
        <v>0</v>
      </c>
      <c r="CZ271" s="39" t="n">
        <f aca="false">IF(CZ$4=0,0,IF(COUNTIFS(実績!$W$6:$W$505,CZ$3,実績!$AI$6:$AI$505,"&lt;="&amp;$A271,実績!$AJ$6:$AJ$505,"&gt;"&amp;$A271,実績!$AL$6:$AL$505,"○")&gt;0,1,0))</f>
        <v>0</v>
      </c>
      <c r="DA271" s="39" t="n">
        <f aca="false">IF(DA$4=0,0,IF(COUNTIFS(実績!$W$6:$W$505,DA$3,実績!$AI$6:$AI$505,"&lt;="&amp;$A271,実績!$AJ$6:$AJ$505,"&gt;"&amp;$A271,実績!$AL$6:$AL$505,"○")&gt;0,1,0))</f>
        <v>0</v>
      </c>
      <c r="DB271" s="39" t="n">
        <f aca="false">IF(DB$4=0,0,IF(COUNTIFS(実績!$W$6:$W$505,DB$3,実績!$AI$6:$AI$505,"&lt;="&amp;$A271,実績!$AJ$6:$AJ$505,"&gt;"&amp;$A271,実績!$AL$6:$AL$505,"○")&gt;0,1,0))</f>
        <v>0</v>
      </c>
      <c r="DC271" s="39" t="n">
        <f aca="false">IF(DC$4=0,0,IF(COUNTIFS(実績!$W$6:$W$505,DC$3,実績!$AI$6:$AI$505,"&lt;="&amp;$A271,実績!$AJ$6:$AJ$505,"&gt;"&amp;$A271,実績!$AL$6:$AL$505,"○")&gt;0,1,0))</f>
        <v>0</v>
      </c>
      <c r="DD271" s="39" t="n">
        <f aca="false">IF(DD$4=0,0,IF(COUNTIFS(実績!$W$6:$W$505,DD$3,実績!$AI$6:$AI$505,"&lt;="&amp;$A271,実績!$AJ$6:$AJ$505,"&gt;"&amp;$A271,実績!$AL$6:$AL$505,"○")&gt;0,1,0))</f>
        <v>0</v>
      </c>
      <c r="DE271" s="39" t="n">
        <f aca="false">IF(DE$4=0,0,IF(COUNTIFS(実績!$W$6:$W$505,DE$3,実績!$AI$6:$AI$505,"&lt;="&amp;$A271,実績!$AJ$6:$AJ$505,"&gt;"&amp;$A271,実績!$AL$6:$AL$505,"○")&gt;0,1,0))</f>
        <v>0</v>
      </c>
      <c r="DF271" s="39" t="n">
        <f aca="false">IF(DF$4=0,0,IF(COUNTIFS(実績!$W$6:$W$505,DF$3,実績!$AI$6:$AI$505,"&lt;="&amp;$A271,実績!$AJ$6:$AJ$505,"&gt;"&amp;$A271,実績!$AL$6:$AL$505,"○")&gt;0,1,0))</f>
        <v>0</v>
      </c>
      <c r="DG271" s="39" t="n">
        <f aca="false">IF(DG$4=0,0,IF(COUNTIFS(実績!$W$6:$W$505,DG$3,実績!$AI$6:$AI$505,"&lt;="&amp;$A271,実績!$AJ$6:$AJ$505,"&gt;"&amp;$A271,実績!$AL$6:$AL$505,"○")&gt;0,1,0))</f>
        <v>0</v>
      </c>
      <c r="DH271" s="39" t="n">
        <f aca="false">IF(DH$4=0,0,IF(COUNTIFS(実績!$W$6:$W$505,DH$3,実績!$AI$6:$AI$505,"&lt;="&amp;$A271,実績!$AJ$6:$AJ$505,"&gt;"&amp;$A271,実績!$AL$6:$AL$505,"○")&gt;0,1,0))</f>
        <v>0</v>
      </c>
      <c r="DI271" s="39" t="n">
        <f aca="false">IF(DI$4=0,0,IF(COUNTIFS(実績!$W$6:$W$505,DI$3,実績!$AI$6:$AI$505,"&lt;="&amp;$A271,実績!$AJ$6:$AJ$505,"&gt;"&amp;$A271,実績!$AL$6:$AL$505,"○")&gt;0,1,0))</f>
        <v>0</v>
      </c>
      <c r="DJ271" s="39" t="n">
        <f aca="false">IF(DJ$4=0,0,IF(COUNTIFS(実績!$W$6:$W$505,DJ$3,実績!$AI$6:$AI$505,"&lt;="&amp;$A271,実績!$AJ$6:$AJ$505,"&gt;"&amp;$A271,実績!$AL$6:$AL$505,"○")&gt;0,1,0))</f>
        <v>0</v>
      </c>
      <c r="DK271" s="39" t="n">
        <f aca="false">IF(DK$4=0,0,IF(COUNTIFS(実績!$W$6:$W$505,DK$3,実績!$AI$6:$AI$505,"&lt;="&amp;$A271,実績!$AJ$6:$AJ$505,"&gt;"&amp;$A271,実績!$AL$6:$AL$505,"○")&gt;0,1,0))</f>
        <v>0</v>
      </c>
      <c r="DL271" s="39" t="n">
        <f aca="false">IF(DL$4=0,0,IF(COUNTIFS(実績!$W$6:$W$505,DL$3,実績!$AI$6:$AI$505,"&lt;="&amp;$A271,実績!$AJ$6:$AJ$505,"&gt;"&amp;$A271,実績!$AL$6:$AL$505,"○")&gt;0,1,0))</f>
        <v>0</v>
      </c>
      <c r="DM271" s="39" t="n">
        <f aca="false">IF(DM$4=0,0,IF(COUNTIFS(実績!$W$6:$W$505,DM$3,実績!$AI$6:$AI$505,"&lt;="&amp;$A271,実績!$AJ$6:$AJ$505,"&gt;"&amp;$A271,実績!$AL$6:$AL$505,"○")&gt;0,1,0))</f>
        <v>0</v>
      </c>
      <c r="DN271" s="39" t="n">
        <f aca="false">IF(DN$4=0,0,IF(COUNTIFS(実績!$W$6:$W$505,DN$3,実績!$AI$6:$AI$505,"&lt;="&amp;$A271,実績!$AJ$6:$AJ$505,"&gt;"&amp;$A271,実績!$AL$6:$AL$505,"○")&gt;0,1,0))</f>
        <v>0</v>
      </c>
      <c r="DO271" s="39" t="n">
        <f aca="false">IF(DO$4=0,0,IF(COUNTIFS(実績!$W$6:$W$505,DO$3,実績!$AI$6:$AI$505,"&lt;="&amp;$A271,実績!$AJ$6:$AJ$505,"&gt;"&amp;$A271,実績!$AL$6:$AL$505,"○")&gt;0,1,0))</f>
        <v>0</v>
      </c>
      <c r="DP271" s="39" t="n">
        <f aca="false">IF(DP$4=0,0,IF(COUNTIFS(実績!$W$6:$W$505,DP$3,実績!$AI$6:$AI$505,"&lt;="&amp;$A271,実績!$AJ$6:$AJ$505,"&gt;"&amp;$A271,実績!$AL$6:$AL$505,"○")&gt;0,1,0))</f>
        <v>0</v>
      </c>
      <c r="DQ271" s="39" t="n">
        <f aca="false">IF(DQ$4=0,0,IF(COUNTIFS(実績!$W$6:$W$505,DQ$3,実績!$AI$6:$AI$505,"&lt;="&amp;$A271,実績!$AJ$6:$AJ$505,"&gt;"&amp;$A271,実績!$AL$6:$AL$505,"○")&gt;0,1,0))</f>
        <v>0</v>
      </c>
      <c r="DR271" s="39" t="n">
        <f aca="false">IF(DR$4=0,0,IF(COUNTIFS(実績!$W$6:$W$505,DR$3,実績!$AI$6:$AI$505,"&lt;="&amp;$A271,実績!$AJ$6:$AJ$505,"&gt;"&amp;$A271,実績!$AL$6:$AL$505,"○")&gt;0,1,0))</f>
        <v>0</v>
      </c>
      <c r="DS271" s="39" t="n">
        <f aca="false">SUM(C271:DR271)</f>
        <v>0</v>
      </c>
    </row>
    <row r="272" customFormat="false" ht="15" hidden="false" customHeight="false" outlineLevel="0" collapsed="false">
      <c r="A272" s="0" t="n">
        <v>1330</v>
      </c>
      <c r="B272" s="38" t="n">
        <f aca="false">A272/1440</f>
        <v>0.923611111111111</v>
      </c>
      <c r="C272" s="39" t="n">
        <f aca="false">IF(C$4=0,0,IF(COUNTIFS(実績!$W$6:$W$505,C$3,実績!$AI$6:$AI$505,"&lt;="&amp;$A272,実績!$AJ$6:$AJ$505,"&gt;"&amp;$A272,実績!$AL$6:$AL$505,"○")&gt;0,1,0))</f>
        <v>0</v>
      </c>
      <c r="D272" s="39" t="n">
        <f aca="false">IF(D$4=0,0,IF(COUNTIFS(実績!$W$6:$W$505,D$3,実績!$AI$6:$AI$505,"&lt;="&amp;$A272,実績!$AJ$6:$AJ$505,"&gt;"&amp;$A272,実績!$AL$6:$AL$505,"○")&gt;0,1,0))</f>
        <v>0</v>
      </c>
      <c r="E272" s="39" t="n">
        <f aca="false">IF(E$4=0,0,IF(COUNTIFS(実績!$W$6:$W$505,E$3,実績!$AI$6:$AI$505,"&lt;="&amp;$A272,実績!$AJ$6:$AJ$505,"&gt;"&amp;$A272,実績!$AL$6:$AL$505,"○")&gt;0,1,0))</f>
        <v>0</v>
      </c>
      <c r="F272" s="39" t="n">
        <f aca="false">IF(F$4=0,0,IF(COUNTIFS(実績!$W$6:$W$505,F$3,実績!$AI$6:$AI$505,"&lt;="&amp;$A272,実績!$AJ$6:$AJ$505,"&gt;"&amp;$A272,実績!$AL$6:$AL$505,"○")&gt;0,1,0))</f>
        <v>0</v>
      </c>
      <c r="G272" s="39" t="n">
        <f aca="false">IF(G$4=0,0,IF(COUNTIFS(実績!$W$6:$W$505,G$3,実績!$AI$6:$AI$505,"&lt;="&amp;$A272,実績!$AJ$6:$AJ$505,"&gt;"&amp;$A272,実績!$AL$6:$AL$505,"○")&gt;0,1,0))</f>
        <v>0</v>
      </c>
      <c r="H272" s="39" t="n">
        <f aca="false">IF(H$4=0,0,IF(COUNTIFS(実績!$W$6:$W$505,H$3,実績!$AI$6:$AI$505,"&lt;="&amp;$A272,実績!$AJ$6:$AJ$505,"&gt;"&amp;$A272,実績!$AL$6:$AL$505,"○")&gt;0,1,0))</f>
        <v>0</v>
      </c>
      <c r="I272" s="39" t="n">
        <f aca="false">IF(I$4=0,0,IF(COUNTIFS(実績!$W$6:$W$505,I$3,実績!$AI$6:$AI$505,"&lt;="&amp;$A272,実績!$AJ$6:$AJ$505,"&gt;"&amp;$A272,実績!$AL$6:$AL$505,"○")&gt;0,1,0))</f>
        <v>0</v>
      </c>
      <c r="J272" s="39" t="n">
        <f aca="false">IF(J$4=0,0,IF(COUNTIFS(実績!$W$6:$W$505,J$3,実績!$AI$6:$AI$505,"&lt;="&amp;$A272,実績!$AJ$6:$AJ$505,"&gt;"&amp;$A272,実績!$AL$6:$AL$505,"○")&gt;0,1,0))</f>
        <v>0</v>
      </c>
      <c r="K272" s="39" t="n">
        <f aca="false">IF(K$4=0,0,IF(COUNTIFS(実績!$W$6:$W$505,K$3,実績!$AI$6:$AI$505,"&lt;="&amp;$A272,実績!$AJ$6:$AJ$505,"&gt;"&amp;$A272,実績!$AL$6:$AL$505,"○")&gt;0,1,0))</f>
        <v>0</v>
      </c>
      <c r="L272" s="39" t="n">
        <f aca="false">IF(L$4=0,0,IF(COUNTIFS(実績!$W$6:$W$505,L$3,実績!$AI$6:$AI$505,"&lt;="&amp;$A272,実績!$AJ$6:$AJ$505,"&gt;"&amp;$A272,実績!$AL$6:$AL$505,"○")&gt;0,1,0))</f>
        <v>0</v>
      </c>
      <c r="M272" s="39" t="n">
        <f aca="false">IF(M$4=0,0,IF(COUNTIFS(実績!$W$6:$W$505,M$3,実績!$AI$6:$AI$505,"&lt;="&amp;$A272,実績!$AJ$6:$AJ$505,"&gt;"&amp;$A272,実績!$AL$6:$AL$505,"○")&gt;0,1,0))</f>
        <v>0</v>
      </c>
      <c r="N272" s="39" t="n">
        <f aca="false">IF(N$4=0,0,IF(COUNTIFS(実績!$W$6:$W$505,N$3,実績!$AI$6:$AI$505,"&lt;="&amp;$A272,実績!$AJ$6:$AJ$505,"&gt;"&amp;$A272,実績!$AL$6:$AL$505,"○")&gt;0,1,0))</f>
        <v>0</v>
      </c>
      <c r="O272" s="39" t="n">
        <f aca="false">IF(O$4=0,0,IF(COUNTIFS(実績!$W$6:$W$505,O$3,実績!$AI$6:$AI$505,"&lt;="&amp;$A272,実績!$AJ$6:$AJ$505,"&gt;"&amp;$A272,実績!$AL$6:$AL$505,"○")&gt;0,1,0))</f>
        <v>0</v>
      </c>
      <c r="P272" s="39" t="n">
        <f aca="false">IF(P$4=0,0,IF(COUNTIFS(実績!$W$6:$W$505,P$3,実績!$AI$6:$AI$505,"&lt;="&amp;$A272,実績!$AJ$6:$AJ$505,"&gt;"&amp;$A272,実績!$AL$6:$AL$505,"○")&gt;0,1,0))</f>
        <v>0</v>
      </c>
      <c r="Q272" s="39" t="n">
        <f aca="false">IF(Q$4=0,0,IF(COUNTIFS(実績!$W$6:$W$505,Q$3,実績!$AI$6:$AI$505,"&lt;="&amp;$A272,実績!$AJ$6:$AJ$505,"&gt;"&amp;$A272,実績!$AL$6:$AL$505,"○")&gt;0,1,0))</f>
        <v>0</v>
      </c>
      <c r="R272" s="39" t="n">
        <f aca="false">IF(R$4=0,0,IF(COUNTIFS(実績!$W$6:$W$505,R$3,実績!$AI$6:$AI$505,"&lt;="&amp;$A272,実績!$AJ$6:$AJ$505,"&gt;"&amp;$A272,実績!$AL$6:$AL$505,"○")&gt;0,1,0))</f>
        <v>0</v>
      </c>
      <c r="S272" s="39" t="n">
        <f aca="false">IF(S$4=0,0,IF(COUNTIFS(実績!$W$6:$W$505,S$3,実績!$AI$6:$AI$505,"&lt;="&amp;$A272,実績!$AJ$6:$AJ$505,"&gt;"&amp;$A272,実績!$AL$6:$AL$505,"○")&gt;0,1,0))</f>
        <v>0</v>
      </c>
      <c r="T272" s="39" t="n">
        <f aca="false">IF(T$4=0,0,IF(COUNTIFS(実績!$W$6:$W$505,T$3,実績!$AI$6:$AI$505,"&lt;="&amp;$A272,実績!$AJ$6:$AJ$505,"&gt;"&amp;$A272,実績!$AL$6:$AL$505,"○")&gt;0,1,0))</f>
        <v>0</v>
      </c>
      <c r="U272" s="39" t="n">
        <f aca="false">IF(U$4=0,0,IF(COUNTIFS(実績!$W$6:$W$505,U$3,実績!$AI$6:$AI$505,"&lt;="&amp;$A272,実績!$AJ$6:$AJ$505,"&gt;"&amp;$A272,実績!$AL$6:$AL$505,"○")&gt;0,1,0))</f>
        <v>0</v>
      </c>
      <c r="V272" s="39" t="n">
        <f aca="false">IF(V$4=0,0,IF(COUNTIFS(実績!$W$6:$W$505,V$3,実績!$AI$6:$AI$505,"&lt;="&amp;$A272,実績!$AJ$6:$AJ$505,"&gt;"&amp;$A272,実績!$AL$6:$AL$505,"○")&gt;0,1,0))</f>
        <v>0</v>
      </c>
      <c r="W272" s="39" t="n">
        <f aca="false">IF(W$4=0,0,IF(COUNTIFS(実績!$W$6:$W$505,W$3,実績!$AI$6:$AI$505,"&lt;="&amp;$A272,実績!$AJ$6:$AJ$505,"&gt;"&amp;$A272,実績!$AL$6:$AL$505,"○")&gt;0,1,0))</f>
        <v>0</v>
      </c>
      <c r="X272" s="39" t="n">
        <f aca="false">IF(X$4=0,0,IF(COUNTIFS(実績!$W$6:$W$505,X$3,実績!$AI$6:$AI$505,"&lt;="&amp;$A272,実績!$AJ$6:$AJ$505,"&gt;"&amp;$A272,実績!$AL$6:$AL$505,"○")&gt;0,1,0))</f>
        <v>0</v>
      </c>
      <c r="Y272" s="39" t="n">
        <f aca="false">IF(Y$4=0,0,IF(COUNTIFS(実績!$W$6:$W$505,Y$3,実績!$AI$6:$AI$505,"&lt;="&amp;$A272,実績!$AJ$6:$AJ$505,"&gt;"&amp;$A272,実績!$AL$6:$AL$505,"○")&gt;0,1,0))</f>
        <v>0</v>
      </c>
      <c r="Z272" s="39" t="n">
        <f aca="false">IF(Z$4=0,0,IF(COUNTIFS(実績!$W$6:$W$505,Z$3,実績!$AI$6:$AI$505,"&lt;="&amp;$A272,実績!$AJ$6:$AJ$505,"&gt;"&amp;$A272,実績!$AL$6:$AL$505,"○")&gt;0,1,0))</f>
        <v>0</v>
      </c>
      <c r="AA272" s="39" t="n">
        <f aca="false">IF(AA$4=0,0,IF(COUNTIFS(実績!$W$6:$W$505,AA$3,実績!$AI$6:$AI$505,"&lt;="&amp;$A272,実績!$AJ$6:$AJ$505,"&gt;"&amp;$A272,実績!$AL$6:$AL$505,"○")&gt;0,1,0))</f>
        <v>0</v>
      </c>
      <c r="AB272" s="39" t="n">
        <f aca="false">IF(AB$4=0,0,IF(COUNTIFS(実績!$W$6:$W$505,AB$3,実績!$AI$6:$AI$505,"&lt;="&amp;$A272,実績!$AJ$6:$AJ$505,"&gt;"&amp;$A272,実績!$AL$6:$AL$505,"○")&gt;0,1,0))</f>
        <v>0</v>
      </c>
      <c r="AC272" s="39" t="n">
        <f aca="false">IF(AC$4=0,0,IF(COUNTIFS(実績!$W$6:$W$505,AC$3,実績!$AI$6:$AI$505,"&lt;="&amp;$A272,実績!$AJ$6:$AJ$505,"&gt;"&amp;$A272,実績!$AL$6:$AL$505,"○")&gt;0,1,0))</f>
        <v>0</v>
      </c>
      <c r="AD272" s="39" t="n">
        <f aca="false">IF(AD$4=0,0,IF(COUNTIFS(実績!$W$6:$W$505,AD$3,実績!$AI$6:$AI$505,"&lt;="&amp;$A272,実績!$AJ$6:$AJ$505,"&gt;"&amp;$A272,実績!$AL$6:$AL$505,"○")&gt;0,1,0))</f>
        <v>0</v>
      </c>
      <c r="AE272" s="39" t="n">
        <f aca="false">IF(AE$4=0,0,IF(COUNTIFS(実績!$W$6:$W$505,AE$3,実績!$AI$6:$AI$505,"&lt;="&amp;$A272,実績!$AJ$6:$AJ$505,"&gt;"&amp;$A272,実績!$AL$6:$AL$505,"○")&gt;0,1,0))</f>
        <v>0</v>
      </c>
      <c r="AF272" s="39" t="n">
        <f aca="false">IF(AF$4=0,0,IF(COUNTIFS(実績!$W$6:$W$505,AF$3,実績!$AI$6:$AI$505,"&lt;="&amp;$A272,実績!$AJ$6:$AJ$505,"&gt;"&amp;$A272,実績!$AL$6:$AL$505,"○")&gt;0,1,0))</f>
        <v>0</v>
      </c>
      <c r="AG272" s="39" t="n">
        <f aca="false">IF(AG$4=0,0,IF(COUNTIFS(実績!$W$6:$W$505,AG$3,実績!$AI$6:$AI$505,"&lt;="&amp;$A272,実績!$AJ$6:$AJ$505,"&gt;"&amp;$A272,実績!$AL$6:$AL$505,"○")&gt;0,1,0))</f>
        <v>0</v>
      </c>
      <c r="AH272" s="39" t="n">
        <f aca="false">IF(AH$4=0,0,IF(COUNTIFS(実績!$W$6:$W$505,AH$3,実績!$AI$6:$AI$505,"&lt;="&amp;$A272,実績!$AJ$6:$AJ$505,"&gt;"&amp;$A272,実績!$AL$6:$AL$505,"○")&gt;0,1,0))</f>
        <v>0</v>
      </c>
      <c r="AI272" s="39" t="n">
        <f aca="false">IF(AI$4=0,0,IF(COUNTIFS(実績!$W$6:$W$505,AI$3,実績!$AI$6:$AI$505,"&lt;="&amp;$A272,実績!$AJ$6:$AJ$505,"&gt;"&amp;$A272,実績!$AL$6:$AL$505,"○")&gt;0,1,0))</f>
        <v>0</v>
      </c>
      <c r="AJ272" s="39" t="n">
        <f aca="false">IF(AJ$4=0,0,IF(COUNTIFS(実績!$W$6:$W$505,AJ$3,実績!$AI$6:$AI$505,"&lt;="&amp;$A272,実績!$AJ$6:$AJ$505,"&gt;"&amp;$A272,実績!$AL$6:$AL$505,"○")&gt;0,1,0))</f>
        <v>0</v>
      </c>
      <c r="AK272" s="39" t="n">
        <f aca="false">IF(AK$4=0,0,IF(COUNTIFS(実績!$W$6:$W$505,AK$3,実績!$AI$6:$AI$505,"&lt;="&amp;$A272,実績!$AJ$6:$AJ$505,"&gt;"&amp;$A272,実績!$AL$6:$AL$505,"○")&gt;0,1,0))</f>
        <v>0</v>
      </c>
      <c r="AL272" s="39" t="n">
        <f aca="false">IF(AL$4=0,0,IF(COUNTIFS(実績!$W$6:$W$505,AL$3,実績!$AI$6:$AI$505,"&lt;="&amp;$A272,実績!$AJ$6:$AJ$505,"&gt;"&amp;$A272,実績!$AL$6:$AL$505,"○")&gt;0,1,0))</f>
        <v>0</v>
      </c>
      <c r="AM272" s="39" t="n">
        <f aca="false">IF(AM$4=0,0,IF(COUNTIFS(実績!$W$6:$W$505,AM$3,実績!$AI$6:$AI$505,"&lt;="&amp;$A272,実績!$AJ$6:$AJ$505,"&gt;"&amp;$A272,実績!$AL$6:$AL$505,"○")&gt;0,1,0))</f>
        <v>0</v>
      </c>
      <c r="AN272" s="39" t="n">
        <f aca="false">IF(AN$4=0,0,IF(COUNTIFS(実績!$W$6:$W$505,AN$3,実績!$AI$6:$AI$505,"&lt;="&amp;$A272,実績!$AJ$6:$AJ$505,"&gt;"&amp;$A272,実績!$AL$6:$AL$505,"○")&gt;0,1,0))</f>
        <v>0</v>
      </c>
      <c r="AO272" s="39" t="n">
        <f aca="false">IF(AO$4=0,0,IF(COUNTIFS(実績!$W$6:$W$505,AO$3,実績!$AI$6:$AI$505,"&lt;="&amp;$A272,実績!$AJ$6:$AJ$505,"&gt;"&amp;$A272,実績!$AL$6:$AL$505,"○")&gt;0,1,0))</f>
        <v>0</v>
      </c>
      <c r="AP272" s="39" t="n">
        <f aca="false">IF(AP$4=0,0,IF(COUNTIFS(実績!$W$6:$W$505,AP$3,実績!$AI$6:$AI$505,"&lt;="&amp;$A272,実績!$AJ$6:$AJ$505,"&gt;"&amp;$A272,実績!$AL$6:$AL$505,"○")&gt;0,1,0))</f>
        <v>0</v>
      </c>
      <c r="AQ272" s="39" t="n">
        <f aca="false">IF(AQ$4=0,0,IF(COUNTIFS(実績!$W$6:$W$505,AQ$3,実績!$AI$6:$AI$505,"&lt;="&amp;$A272,実績!$AJ$6:$AJ$505,"&gt;"&amp;$A272,実績!$AL$6:$AL$505,"○")&gt;0,1,0))</f>
        <v>0</v>
      </c>
      <c r="AR272" s="39" t="n">
        <f aca="false">IF(AR$4=0,0,IF(COUNTIFS(実績!$W$6:$W$505,AR$3,実績!$AI$6:$AI$505,"&lt;="&amp;$A272,実績!$AJ$6:$AJ$505,"&gt;"&amp;$A272,実績!$AL$6:$AL$505,"○")&gt;0,1,0))</f>
        <v>0</v>
      </c>
      <c r="AS272" s="39" t="n">
        <f aca="false">IF(AS$4=0,0,IF(COUNTIFS(実績!$W$6:$W$505,AS$3,実績!$AI$6:$AI$505,"&lt;="&amp;$A272,実績!$AJ$6:$AJ$505,"&gt;"&amp;$A272,実績!$AL$6:$AL$505,"○")&gt;0,1,0))</f>
        <v>0</v>
      </c>
      <c r="AT272" s="39" t="n">
        <f aca="false">IF(AT$4=0,0,IF(COUNTIFS(実績!$W$6:$W$505,AT$3,実績!$AI$6:$AI$505,"&lt;="&amp;$A272,実績!$AJ$6:$AJ$505,"&gt;"&amp;$A272,実績!$AL$6:$AL$505,"○")&gt;0,1,0))</f>
        <v>0</v>
      </c>
      <c r="AU272" s="39" t="n">
        <f aca="false">IF(AU$4=0,0,IF(COUNTIFS(実績!$W$6:$W$505,AU$3,実績!$AI$6:$AI$505,"&lt;="&amp;$A272,実績!$AJ$6:$AJ$505,"&gt;"&amp;$A272,実績!$AL$6:$AL$505,"○")&gt;0,1,0))</f>
        <v>0</v>
      </c>
      <c r="AV272" s="39" t="n">
        <f aca="false">IF(AV$4=0,0,IF(COUNTIFS(実績!$W$6:$W$505,AV$3,実績!$AI$6:$AI$505,"&lt;="&amp;$A272,実績!$AJ$6:$AJ$505,"&gt;"&amp;$A272,実績!$AL$6:$AL$505,"○")&gt;0,1,0))</f>
        <v>0</v>
      </c>
      <c r="AW272" s="39" t="n">
        <f aca="false">IF(AW$4=0,0,IF(COUNTIFS(実績!$W$6:$W$505,AW$3,実績!$AI$6:$AI$505,"&lt;="&amp;$A272,実績!$AJ$6:$AJ$505,"&gt;"&amp;$A272,実績!$AL$6:$AL$505,"○")&gt;0,1,0))</f>
        <v>0</v>
      </c>
      <c r="AX272" s="39" t="n">
        <f aca="false">IF(AX$4=0,0,IF(COUNTIFS(実績!$W$6:$W$505,AX$3,実績!$AI$6:$AI$505,"&lt;="&amp;$A272,実績!$AJ$6:$AJ$505,"&gt;"&amp;$A272,実績!$AL$6:$AL$505,"○")&gt;0,1,0))</f>
        <v>0</v>
      </c>
      <c r="AY272" s="39" t="n">
        <f aca="false">IF(AY$4=0,0,IF(COUNTIFS(実績!$W$6:$W$505,AY$3,実績!$AI$6:$AI$505,"&lt;="&amp;$A272,実績!$AJ$6:$AJ$505,"&gt;"&amp;$A272,実績!$AL$6:$AL$505,"○")&gt;0,1,0))</f>
        <v>0</v>
      </c>
      <c r="AZ272" s="39" t="n">
        <f aca="false">IF(AZ$4=0,0,IF(COUNTIFS(実績!$W$6:$W$505,AZ$3,実績!$AI$6:$AI$505,"&lt;="&amp;$A272,実績!$AJ$6:$AJ$505,"&gt;"&amp;$A272,実績!$AL$6:$AL$505,"○")&gt;0,1,0))</f>
        <v>0</v>
      </c>
      <c r="BA272" s="39" t="n">
        <f aca="false">IF(BA$4=0,0,IF(COUNTIFS(実績!$W$6:$W$505,BA$3,実績!$AI$6:$AI$505,"&lt;="&amp;$A272,実績!$AJ$6:$AJ$505,"&gt;"&amp;$A272,実績!$AL$6:$AL$505,"○")&gt;0,1,0))</f>
        <v>0</v>
      </c>
      <c r="BB272" s="39" t="n">
        <f aca="false">IF(BB$4=0,0,IF(COUNTIFS(実績!$W$6:$W$505,BB$3,実績!$AI$6:$AI$505,"&lt;="&amp;$A272,実績!$AJ$6:$AJ$505,"&gt;"&amp;$A272,実績!$AL$6:$AL$505,"○")&gt;0,1,0))</f>
        <v>0</v>
      </c>
      <c r="BC272" s="39" t="n">
        <f aca="false">IF(BC$4=0,0,IF(COUNTIFS(実績!$W$6:$W$505,BC$3,実績!$AI$6:$AI$505,"&lt;="&amp;$A272,実績!$AJ$6:$AJ$505,"&gt;"&amp;$A272,実績!$AL$6:$AL$505,"○")&gt;0,1,0))</f>
        <v>0</v>
      </c>
      <c r="BD272" s="39" t="n">
        <f aca="false">IF(BD$4=0,0,IF(COUNTIFS(実績!$W$6:$W$505,BD$3,実績!$AI$6:$AI$505,"&lt;="&amp;$A272,実績!$AJ$6:$AJ$505,"&gt;"&amp;$A272,実績!$AL$6:$AL$505,"○")&gt;0,1,0))</f>
        <v>0</v>
      </c>
      <c r="BE272" s="39" t="n">
        <f aca="false">IF(BE$4=0,0,IF(COUNTIFS(実績!$W$6:$W$505,BE$3,実績!$AI$6:$AI$505,"&lt;="&amp;$A272,実績!$AJ$6:$AJ$505,"&gt;"&amp;$A272,実績!$AL$6:$AL$505,"○")&gt;0,1,0))</f>
        <v>0</v>
      </c>
      <c r="BF272" s="39" t="n">
        <f aca="false">IF(BF$4=0,0,IF(COUNTIFS(実績!$W$6:$W$505,BF$3,実績!$AI$6:$AI$505,"&lt;="&amp;$A272,実績!$AJ$6:$AJ$505,"&gt;"&amp;$A272,実績!$AL$6:$AL$505,"○")&gt;0,1,0))</f>
        <v>0</v>
      </c>
      <c r="BG272" s="39" t="n">
        <f aca="false">IF(BG$4=0,0,IF(COUNTIFS(実績!$W$6:$W$505,BG$3,実績!$AI$6:$AI$505,"&lt;="&amp;$A272,実績!$AJ$6:$AJ$505,"&gt;"&amp;$A272,実績!$AL$6:$AL$505,"○")&gt;0,1,0))</f>
        <v>0</v>
      </c>
      <c r="BH272" s="39" t="n">
        <f aca="false">IF(BH$4=0,0,IF(COUNTIFS(実績!$W$6:$W$505,BH$3,実績!$AI$6:$AI$505,"&lt;="&amp;$A272,実績!$AJ$6:$AJ$505,"&gt;"&amp;$A272,実績!$AL$6:$AL$505,"○")&gt;0,1,0))</f>
        <v>0</v>
      </c>
      <c r="BI272" s="39" t="n">
        <f aca="false">IF(BI$4=0,0,IF(COUNTIFS(実績!$W$6:$W$505,BI$3,実績!$AI$6:$AI$505,"&lt;="&amp;$A272,実績!$AJ$6:$AJ$505,"&gt;"&amp;$A272,実績!$AL$6:$AL$505,"○")&gt;0,1,0))</f>
        <v>0</v>
      </c>
      <c r="BJ272" s="39" t="n">
        <f aca="false">IF(BJ$4=0,0,IF(COUNTIFS(実績!$W$6:$W$505,BJ$3,実績!$AI$6:$AI$505,"&lt;="&amp;$A272,実績!$AJ$6:$AJ$505,"&gt;"&amp;$A272,実績!$AL$6:$AL$505,"○")&gt;0,1,0))</f>
        <v>0</v>
      </c>
      <c r="BK272" s="39" t="n">
        <f aca="false">IF(BK$4=0,0,IF(COUNTIFS(実績!$W$6:$W$505,BK$3,実績!$AI$6:$AI$505,"&lt;="&amp;$A272,実績!$AJ$6:$AJ$505,"&gt;"&amp;$A272,実績!$AL$6:$AL$505,"○")&gt;0,1,0))</f>
        <v>0</v>
      </c>
      <c r="BL272" s="39" t="n">
        <f aca="false">IF(BL$4=0,0,IF(COUNTIFS(実績!$W$6:$W$505,BL$3,実績!$AI$6:$AI$505,"&lt;="&amp;$A272,実績!$AJ$6:$AJ$505,"&gt;"&amp;$A272,実績!$AL$6:$AL$505,"○")&gt;0,1,0))</f>
        <v>0</v>
      </c>
      <c r="BM272" s="39" t="n">
        <f aca="false">IF(BM$4=0,0,IF(COUNTIFS(実績!$W$6:$W$505,BM$3,実績!$AI$6:$AI$505,"&lt;="&amp;$A272,実績!$AJ$6:$AJ$505,"&gt;"&amp;$A272,実績!$AL$6:$AL$505,"○")&gt;0,1,0))</f>
        <v>0</v>
      </c>
      <c r="BN272" s="39" t="n">
        <f aca="false">IF(BN$4=0,0,IF(COUNTIFS(実績!$W$6:$W$505,BN$3,実績!$AI$6:$AI$505,"&lt;="&amp;$A272,実績!$AJ$6:$AJ$505,"&gt;"&amp;$A272,実績!$AL$6:$AL$505,"○")&gt;0,1,0))</f>
        <v>0</v>
      </c>
      <c r="BO272" s="39" t="n">
        <f aca="false">IF(BO$4=0,0,IF(COUNTIFS(実績!$W$6:$W$505,BO$3,実績!$AI$6:$AI$505,"&lt;="&amp;$A272,実績!$AJ$6:$AJ$505,"&gt;"&amp;$A272,実績!$AL$6:$AL$505,"○")&gt;0,1,0))</f>
        <v>0</v>
      </c>
      <c r="BP272" s="39" t="n">
        <f aca="false">IF(BP$4=0,0,IF(COUNTIFS(実績!$W$6:$W$505,BP$3,実績!$AI$6:$AI$505,"&lt;="&amp;$A272,実績!$AJ$6:$AJ$505,"&gt;"&amp;$A272,実績!$AL$6:$AL$505,"○")&gt;0,1,0))</f>
        <v>0</v>
      </c>
      <c r="BQ272" s="39" t="n">
        <f aca="false">IF(BQ$4=0,0,IF(COUNTIFS(実績!$W$6:$W$505,BQ$3,実績!$AI$6:$AI$505,"&lt;="&amp;$A272,実績!$AJ$6:$AJ$505,"&gt;"&amp;$A272,実績!$AL$6:$AL$505,"○")&gt;0,1,0))</f>
        <v>0</v>
      </c>
      <c r="BR272" s="39" t="n">
        <f aca="false">IF(BR$4=0,0,IF(COUNTIFS(実績!$W$6:$W$505,BR$3,実績!$AI$6:$AI$505,"&lt;="&amp;$A272,実績!$AJ$6:$AJ$505,"&gt;"&amp;$A272,実績!$AL$6:$AL$505,"○")&gt;0,1,0))</f>
        <v>0</v>
      </c>
      <c r="BS272" s="39" t="n">
        <f aca="false">IF(BS$4=0,0,IF(COUNTIFS(実績!$W$6:$W$505,BS$3,実績!$AI$6:$AI$505,"&lt;="&amp;$A272,実績!$AJ$6:$AJ$505,"&gt;"&amp;$A272,実績!$AL$6:$AL$505,"○")&gt;0,1,0))</f>
        <v>0</v>
      </c>
      <c r="BT272" s="39" t="n">
        <f aca="false">IF(BT$4=0,0,IF(COUNTIFS(実績!$W$6:$W$505,BT$3,実績!$AI$6:$AI$505,"&lt;="&amp;$A272,実績!$AJ$6:$AJ$505,"&gt;"&amp;$A272,実績!$AL$6:$AL$505,"○")&gt;0,1,0))</f>
        <v>0</v>
      </c>
      <c r="BU272" s="39" t="n">
        <f aca="false">IF(BU$4=0,0,IF(COUNTIFS(実績!$W$6:$W$505,BU$3,実績!$AI$6:$AI$505,"&lt;="&amp;$A272,実績!$AJ$6:$AJ$505,"&gt;"&amp;$A272,実績!$AL$6:$AL$505,"○")&gt;0,1,0))</f>
        <v>0</v>
      </c>
      <c r="BV272" s="39" t="n">
        <f aca="false">IF(BV$4=0,0,IF(COUNTIFS(実績!$W$6:$W$505,BV$3,実績!$AI$6:$AI$505,"&lt;="&amp;$A272,実績!$AJ$6:$AJ$505,"&gt;"&amp;$A272,実績!$AL$6:$AL$505,"○")&gt;0,1,0))</f>
        <v>0</v>
      </c>
      <c r="BW272" s="39" t="n">
        <f aca="false">IF(BW$4=0,0,IF(COUNTIFS(実績!$W$6:$W$505,BW$3,実績!$AI$6:$AI$505,"&lt;="&amp;$A272,実績!$AJ$6:$AJ$505,"&gt;"&amp;$A272,実績!$AL$6:$AL$505,"○")&gt;0,1,0))</f>
        <v>0</v>
      </c>
      <c r="BX272" s="39" t="n">
        <f aca="false">IF(BX$4=0,0,IF(COUNTIFS(実績!$W$6:$W$505,BX$3,実績!$AI$6:$AI$505,"&lt;="&amp;$A272,実績!$AJ$6:$AJ$505,"&gt;"&amp;$A272,実績!$AL$6:$AL$505,"○")&gt;0,1,0))</f>
        <v>0</v>
      </c>
      <c r="BY272" s="39" t="n">
        <f aca="false">IF(BY$4=0,0,IF(COUNTIFS(実績!$W$6:$W$505,BY$3,実績!$AI$6:$AI$505,"&lt;="&amp;$A272,実績!$AJ$6:$AJ$505,"&gt;"&amp;$A272,実績!$AL$6:$AL$505,"○")&gt;0,1,0))</f>
        <v>0</v>
      </c>
      <c r="BZ272" s="39" t="n">
        <f aca="false">IF(BZ$4=0,0,IF(COUNTIFS(実績!$W$6:$W$505,BZ$3,実績!$AI$6:$AI$505,"&lt;="&amp;$A272,実績!$AJ$6:$AJ$505,"&gt;"&amp;$A272,実績!$AL$6:$AL$505,"○")&gt;0,1,0))</f>
        <v>0</v>
      </c>
      <c r="CA272" s="39" t="n">
        <f aca="false">IF(CA$4=0,0,IF(COUNTIFS(実績!$W$6:$W$505,CA$3,実績!$AI$6:$AI$505,"&lt;="&amp;$A272,実績!$AJ$6:$AJ$505,"&gt;"&amp;$A272,実績!$AL$6:$AL$505,"○")&gt;0,1,0))</f>
        <v>0</v>
      </c>
      <c r="CB272" s="39" t="n">
        <f aca="false">IF(CB$4=0,0,IF(COUNTIFS(実績!$W$6:$W$505,CB$3,実績!$AI$6:$AI$505,"&lt;="&amp;$A272,実績!$AJ$6:$AJ$505,"&gt;"&amp;$A272,実績!$AL$6:$AL$505,"○")&gt;0,1,0))</f>
        <v>0</v>
      </c>
      <c r="CC272" s="39" t="n">
        <f aca="false">IF(CC$4=0,0,IF(COUNTIFS(実績!$W$6:$W$505,CC$3,実績!$AI$6:$AI$505,"&lt;="&amp;$A272,実績!$AJ$6:$AJ$505,"&gt;"&amp;$A272,実績!$AL$6:$AL$505,"○")&gt;0,1,0))</f>
        <v>0</v>
      </c>
      <c r="CD272" s="39" t="n">
        <f aca="false">IF(CD$4=0,0,IF(COUNTIFS(実績!$W$6:$W$505,CD$3,実績!$AI$6:$AI$505,"&lt;="&amp;$A272,実績!$AJ$6:$AJ$505,"&gt;"&amp;$A272,実績!$AL$6:$AL$505,"○")&gt;0,1,0))</f>
        <v>0</v>
      </c>
      <c r="CE272" s="39" t="n">
        <f aca="false">IF(CE$4=0,0,IF(COUNTIFS(実績!$W$6:$W$505,CE$3,実績!$AI$6:$AI$505,"&lt;="&amp;$A272,実績!$AJ$6:$AJ$505,"&gt;"&amp;$A272,実績!$AL$6:$AL$505,"○")&gt;0,1,0))</f>
        <v>0</v>
      </c>
      <c r="CF272" s="39" t="n">
        <f aca="false">IF(CF$4=0,0,IF(COUNTIFS(実績!$W$6:$W$505,CF$3,実績!$AI$6:$AI$505,"&lt;="&amp;$A272,実績!$AJ$6:$AJ$505,"&gt;"&amp;$A272,実績!$AL$6:$AL$505,"○")&gt;0,1,0))</f>
        <v>0</v>
      </c>
      <c r="CG272" s="39" t="n">
        <f aca="false">IF(CG$4=0,0,IF(COUNTIFS(実績!$W$6:$W$505,CG$3,実績!$AI$6:$AI$505,"&lt;="&amp;$A272,実績!$AJ$6:$AJ$505,"&gt;"&amp;$A272,実績!$AL$6:$AL$505,"○")&gt;0,1,0))</f>
        <v>0</v>
      </c>
      <c r="CH272" s="39" t="n">
        <f aca="false">IF(CH$4=0,0,IF(COUNTIFS(実績!$W$6:$W$505,CH$3,実績!$AI$6:$AI$505,"&lt;="&amp;$A272,実績!$AJ$6:$AJ$505,"&gt;"&amp;$A272,実績!$AL$6:$AL$505,"○")&gt;0,1,0))</f>
        <v>0</v>
      </c>
      <c r="CI272" s="39" t="n">
        <f aca="false">IF(CI$4=0,0,IF(COUNTIFS(実績!$W$6:$W$505,CI$3,実績!$AI$6:$AI$505,"&lt;="&amp;$A272,実績!$AJ$6:$AJ$505,"&gt;"&amp;$A272,実績!$AL$6:$AL$505,"○")&gt;0,1,0))</f>
        <v>0</v>
      </c>
      <c r="CJ272" s="39" t="n">
        <f aca="false">IF(CJ$4=0,0,IF(COUNTIFS(実績!$W$6:$W$505,CJ$3,実績!$AI$6:$AI$505,"&lt;="&amp;$A272,実績!$AJ$6:$AJ$505,"&gt;"&amp;$A272,実績!$AL$6:$AL$505,"○")&gt;0,1,0))</f>
        <v>0</v>
      </c>
      <c r="CK272" s="39" t="n">
        <f aca="false">IF(CK$4=0,0,IF(COUNTIFS(実績!$W$6:$W$505,CK$3,実績!$AI$6:$AI$505,"&lt;="&amp;$A272,実績!$AJ$6:$AJ$505,"&gt;"&amp;$A272,実績!$AL$6:$AL$505,"○")&gt;0,1,0))</f>
        <v>0</v>
      </c>
      <c r="CL272" s="39" t="n">
        <f aca="false">IF(CL$4=0,0,IF(COUNTIFS(実績!$W$6:$W$505,CL$3,実績!$AI$6:$AI$505,"&lt;="&amp;$A272,実績!$AJ$6:$AJ$505,"&gt;"&amp;$A272,実績!$AL$6:$AL$505,"○")&gt;0,1,0))</f>
        <v>0</v>
      </c>
      <c r="CM272" s="39" t="n">
        <f aca="false">IF(CM$4=0,0,IF(COUNTIFS(実績!$W$6:$W$505,CM$3,実績!$AI$6:$AI$505,"&lt;="&amp;$A272,実績!$AJ$6:$AJ$505,"&gt;"&amp;$A272,実績!$AL$6:$AL$505,"○")&gt;0,1,0))</f>
        <v>0</v>
      </c>
      <c r="CN272" s="39" t="n">
        <f aca="false">IF(CN$4=0,0,IF(COUNTIFS(実績!$W$6:$W$505,CN$3,実績!$AI$6:$AI$505,"&lt;="&amp;$A272,実績!$AJ$6:$AJ$505,"&gt;"&amp;$A272,実績!$AL$6:$AL$505,"○")&gt;0,1,0))</f>
        <v>0</v>
      </c>
      <c r="CO272" s="39" t="n">
        <f aca="false">IF(CO$4=0,0,IF(COUNTIFS(実績!$W$6:$W$505,CO$3,実績!$AI$6:$AI$505,"&lt;="&amp;$A272,実績!$AJ$6:$AJ$505,"&gt;"&amp;$A272,実績!$AL$6:$AL$505,"○")&gt;0,1,0))</f>
        <v>0</v>
      </c>
      <c r="CP272" s="39" t="n">
        <f aca="false">IF(CP$4=0,0,IF(COUNTIFS(実績!$W$6:$W$505,CP$3,実績!$AI$6:$AI$505,"&lt;="&amp;$A272,実績!$AJ$6:$AJ$505,"&gt;"&amp;$A272,実績!$AL$6:$AL$505,"○")&gt;0,1,0))</f>
        <v>0</v>
      </c>
      <c r="CQ272" s="39" t="n">
        <f aca="false">IF(CQ$4=0,0,IF(COUNTIFS(実績!$W$6:$W$505,CQ$3,実績!$AI$6:$AI$505,"&lt;="&amp;$A272,実績!$AJ$6:$AJ$505,"&gt;"&amp;$A272,実績!$AL$6:$AL$505,"○")&gt;0,1,0))</f>
        <v>0</v>
      </c>
      <c r="CR272" s="39" t="n">
        <f aca="false">IF(CR$4=0,0,IF(COUNTIFS(実績!$W$6:$W$505,CR$3,実績!$AI$6:$AI$505,"&lt;="&amp;$A272,実績!$AJ$6:$AJ$505,"&gt;"&amp;$A272,実績!$AL$6:$AL$505,"○")&gt;0,1,0))</f>
        <v>0</v>
      </c>
      <c r="CS272" s="39" t="n">
        <f aca="false">IF(CS$4=0,0,IF(COUNTIFS(実績!$W$6:$W$505,CS$3,実績!$AI$6:$AI$505,"&lt;="&amp;$A272,実績!$AJ$6:$AJ$505,"&gt;"&amp;$A272,実績!$AL$6:$AL$505,"○")&gt;0,1,0))</f>
        <v>0</v>
      </c>
      <c r="CT272" s="39" t="n">
        <f aca="false">IF(CT$4=0,0,IF(COUNTIFS(実績!$W$6:$W$505,CT$3,実績!$AI$6:$AI$505,"&lt;="&amp;$A272,実績!$AJ$6:$AJ$505,"&gt;"&amp;$A272,実績!$AL$6:$AL$505,"○")&gt;0,1,0))</f>
        <v>0</v>
      </c>
      <c r="CU272" s="39" t="n">
        <f aca="false">IF(CU$4=0,0,IF(COUNTIFS(実績!$W$6:$W$505,CU$3,実績!$AI$6:$AI$505,"&lt;="&amp;$A272,実績!$AJ$6:$AJ$505,"&gt;"&amp;$A272,実績!$AL$6:$AL$505,"○")&gt;0,1,0))</f>
        <v>0</v>
      </c>
      <c r="CV272" s="39" t="n">
        <f aca="false">IF(CV$4=0,0,IF(COUNTIFS(実績!$W$6:$W$505,CV$3,実績!$AI$6:$AI$505,"&lt;="&amp;$A272,実績!$AJ$6:$AJ$505,"&gt;"&amp;$A272,実績!$AL$6:$AL$505,"○")&gt;0,1,0))</f>
        <v>0</v>
      </c>
      <c r="CW272" s="39" t="n">
        <f aca="false">IF(CW$4=0,0,IF(COUNTIFS(実績!$W$6:$W$505,CW$3,実績!$AI$6:$AI$505,"&lt;="&amp;$A272,実績!$AJ$6:$AJ$505,"&gt;"&amp;$A272,実績!$AL$6:$AL$505,"○")&gt;0,1,0))</f>
        <v>0</v>
      </c>
      <c r="CX272" s="39" t="n">
        <f aca="false">IF(CX$4=0,0,IF(COUNTIFS(実績!$W$6:$W$505,CX$3,実績!$AI$6:$AI$505,"&lt;="&amp;$A272,実績!$AJ$6:$AJ$505,"&gt;"&amp;$A272,実績!$AL$6:$AL$505,"○")&gt;0,1,0))</f>
        <v>0</v>
      </c>
      <c r="CY272" s="39" t="n">
        <f aca="false">IF(CY$4=0,0,IF(COUNTIFS(実績!$W$6:$W$505,CY$3,実績!$AI$6:$AI$505,"&lt;="&amp;$A272,実績!$AJ$6:$AJ$505,"&gt;"&amp;$A272,実績!$AL$6:$AL$505,"○")&gt;0,1,0))</f>
        <v>0</v>
      </c>
      <c r="CZ272" s="39" t="n">
        <f aca="false">IF(CZ$4=0,0,IF(COUNTIFS(実績!$W$6:$W$505,CZ$3,実績!$AI$6:$AI$505,"&lt;="&amp;$A272,実績!$AJ$6:$AJ$505,"&gt;"&amp;$A272,実績!$AL$6:$AL$505,"○")&gt;0,1,0))</f>
        <v>0</v>
      </c>
      <c r="DA272" s="39" t="n">
        <f aca="false">IF(DA$4=0,0,IF(COUNTIFS(実績!$W$6:$W$505,DA$3,実績!$AI$6:$AI$505,"&lt;="&amp;$A272,実績!$AJ$6:$AJ$505,"&gt;"&amp;$A272,実績!$AL$6:$AL$505,"○")&gt;0,1,0))</f>
        <v>0</v>
      </c>
      <c r="DB272" s="39" t="n">
        <f aca="false">IF(DB$4=0,0,IF(COUNTIFS(実績!$W$6:$W$505,DB$3,実績!$AI$6:$AI$505,"&lt;="&amp;$A272,実績!$AJ$6:$AJ$505,"&gt;"&amp;$A272,実績!$AL$6:$AL$505,"○")&gt;0,1,0))</f>
        <v>0</v>
      </c>
      <c r="DC272" s="39" t="n">
        <f aca="false">IF(DC$4=0,0,IF(COUNTIFS(実績!$W$6:$W$505,DC$3,実績!$AI$6:$AI$505,"&lt;="&amp;$A272,実績!$AJ$6:$AJ$505,"&gt;"&amp;$A272,実績!$AL$6:$AL$505,"○")&gt;0,1,0))</f>
        <v>0</v>
      </c>
      <c r="DD272" s="39" t="n">
        <f aca="false">IF(DD$4=0,0,IF(COUNTIFS(実績!$W$6:$W$505,DD$3,実績!$AI$6:$AI$505,"&lt;="&amp;$A272,実績!$AJ$6:$AJ$505,"&gt;"&amp;$A272,実績!$AL$6:$AL$505,"○")&gt;0,1,0))</f>
        <v>0</v>
      </c>
      <c r="DE272" s="39" t="n">
        <f aca="false">IF(DE$4=0,0,IF(COUNTIFS(実績!$W$6:$W$505,DE$3,実績!$AI$6:$AI$505,"&lt;="&amp;$A272,実績!$AJ$6:$AJ$505,"&gt;"&amp;$A272,実績!$AL$6:$AL$505,"○")&gt;0,1,0))</f>
        <v>0</v>
      </c>
      <c r="DF272" s="39" t="n">
        <f aca="false">IF(DF$4=0,0,IF(COUNTIFS(実績!$W$6:$W$505,DF$3,実績!$AI$6:$AI$505,"&lt;="&amp;$A272,実績!$AJ$6:$AJ$505,"&gt;"&amp;$A272,実績!$AL$6:$AL$505,"○")&gt;0,1,0))</f>
        <v>0</v>
      </c>
      <c r="DG272" s="39" t="n">
        <f aca="false">IF(DG$4=0,0,IF(COUNTIFS(実績!$W$6:$W$505,DG$3,実績!$AI$6:$AI$505,"&lt;="&amp;$A272,実績!$AJ$6:$AJ$505,"&gt;"&amp;$A272,実績!$AL$6:$AL$505,"○")&gt;0,1,0))</f>
        <v>0</v>
      </c>
      <c r="DH272" s="39" t="n">
        <f aca="false">IF(DH$4=0,0,IF(COUNTIFS(実績!$W$6:$W$505,DH$3,実績!$AI$6:$AI$505,"&lt;="&amp;$A272,実績!$AJ$6:$AJ$505,"&gt;"&amp;$A272,実績!$AL$6:$AL$505,"○")&gt;0,1,0))</f>
        <v>0</v>
      </c>
      <c r="DI272" s="39" t="n">
        <f aca="false">IF(DI$4=0,0,IF(COUNTIFS(実績!$W$6:$W$505,DI$3,実績!$AI$6:$AI$505,"&lt;="&amp;$A272,実績!$AJ$6:$AJ$505,"&gt;"&amp;$A272,実績!$AL$6:$AL$505,"○")&gt;0,1,0))</f>
        <v>0</v>
      </c>
      <c r="DJ272" s="39" t="n">
        <f aca="false">IF(DJ$4=0,0,IF(COUNTIFS(実績!$W$6:$W$505,DJ$3,実績!$AI$6:$AI$505,"&lt;="&amp;$A272,実績!$AJ$6:$AJ$505,"&gt;"&amp;$A272,実績!$AL$6:$AL$505,"○")&gt;0,1,0))</f>
        <v>0</v>
      </c>
      <c r="DK272" s="39" t="n">
        <f aca="false">IF(DK$4=0,0,IF(COUNTIFS(実績!$W$6:$W$505,DK$3,実績!$AI$6:$AI$505,"&lt;="&amp;$A272,実績!$AJ$6:$AJ$505,"&gt;"&amp;$A272,実績!$AL$6:$AL$505,"○")&gt;0,1,0))</f>
        <v>0</v>
      </c>
      <c r="DL272" s="39" t="n">
        <f aca="false">IF(DL$4=0,0,IF(COUNTIFS(実績!$W$6:$W$505,DL$3,実績!$AI$6:$AI$505,"&lt;="&amp;$A272,実績!$AJ$6:$AJ$505,"&gt;"&amp;$A272,実績!$AL$6:$AL$505,"○")&gt;0,1,0))</f>
        <v>0</v>
      </c>
      <c r="DM272" s="39" t="n">
        <f aca="false">IF(DM$4=0,0,IF(COUNTIFS(実績!$W$6:$W$505,DM$3,実績!$AI$6:$AI$505,"&lt;="&amp;$A272,実績!$AJ$6:$AJ$505,"&gt;"&amp;$A272,実績!$AL$6:$AL$505,"○")&gt;0,1,0))</f>
        <v>0</v>
      </c>
      <c r="DN272" s="39" t="n">
        <f aca="false">IF(DN$4=0,0,IF(COUNTIFS(実績!$W$6:$W$505,DN$3,実績!$AI$6:$AI$505,"&lt;="&amp;$A272,実績!$AJ$6:$AJ$505,"&gt;"&amp;$A272,実績!$AL$6:$AL$505,"○")&gt;0,1,0))</f>
        <v>0</v>
      </c>
      <c r="DO272" s="39" t="n">
        <f aca="false">IF(DO$4=0,0,IF(COUNTIFS(実績!$W$6:$W$505,DO$3,実績!$AI$6:$AI$505,"&lt;="&amp;$A272,実績!$AJ$6:$AJ$505,"&gt;"&amp;$A272,実績!$AL$6:$AL$505,"○")&gt;0,1,0))</f>
        <v>0</v>
      </c>
      <c r="DP272" s="39" t="n">
        <f aca="false">IF(DP$4=0,0,IF(COUNTIFS(実績!$W$6:$W$505,DP$3,実績!$AI$6:$AI$505,"&lt;="&amp;$A272,実績!$AJ$6:$AJ$505,"&gt;"&amp;$A272,実績!$AL$6:$AL$505,"○")&gt;0,1,0))</f>
        <v>0</v>
      </c>
      <c r="DQ272" s="39" t="n">
        <f aca="false">IF(DQ$4=0,0,IF(COUNTIFS(実績!$W$6:$W$505,DQ$3,実績!$AI$6:$AI$505,"&lt;="&amp;$A272,実績!$AJ$6:$AJ$505,"&gt;"&amp;$A272,実績!$AL$6:$AL$505,"○")&gt;0,1,0))</f>
        <v>0</v>
      </c>
      <c r="DR272" s="39" t="n">
        <f aca="false">IF(DR$4=0,0,IF(COUNTIFS(実績!$W$6:$W$505,DR$3,実績!$AI$6:$AI$505,"&lt;="&amp;$A272,実績!$AJ$6:$AJ$505,"&gt;"&amp;$A272,実績!$AL$6:$AL$505,"○")&gt;0,1,0))</f>
        <v>0</v>
      </c>
      <c r="DS272" s="39" t="n">
        <f aca="false">SUM(C272:DR272)</f>
        <v>0</v>
      </c>
    </row>
    <row r="273" customFormat="false" ht="15" hidden="false" customHeight="false" outlineLevel="0" collapsed="false">
      <c r="A273" s="0" t="n">
        <v>1335</v>
      </c>
      <c r="B273" s="38" t="n">
        <f aca="false">A273/1440</f>
        <v>0.927083333333333</v>
      </c>
      <c r="C273" s="39" t="n">
        <f aca="false">IF(C$4=0,0,IF(COUNTIFS(実績!$W$6:$W$505,C$3,実績!$AI$6:$AI$505,"&lt;="&amp;$A273,実績!$AJ$6:$AJ$505,"&gt;"&amp;$A273,実績!$AL$6:$AL$505,"○")&gt;0,1,0))</f>
        <v>0</v>
      </c>
      <c r="D273" s="39" t="n">
        <f aca="false">IF(D$4=0,0,IF(COUNTIFS(実績!$W$6:$W$505,D$3,実績!$AI$6:$AI$505,"&lt;="&amp;$A273,実績!$AJ$6:$AJ$505,"&gt;"&amp;$A273,実績!$AL$6:$AL$505,"○")&gt;0,1,0))</f>
        <v>0</v>
      </c>
      <c r="E273" s="39" t="n">
        <f aca="false">IF(E$4=0,0,IF(COUNTIFS(実績!$W$6:$W$505,E$3,実績!$AI$6:$AI$505,"&lt;="&amp;$A273,実績!$AJ$6:$AJ$505,"&gt;"&amp;$A273,実績!$AL$6:$AL$505,"○")&gt;0,1,0))</f>
        <v>0</v>
      </c>
      <c r="F273" s="39" t="n">
        <f aca="false">IF(F$4=0,0,IF(COUNTIFS(実績!$W$6:$W$505,F$3,実績!$AI$6:$AI$505,"&lt;="&amp;$A273,実績!$AJ$6:$AJ$505,"&gt;"&amp;$A273,実績!$AL$6:$AL$505,"○")&gt;0,1,0))</f>
        <v>0</v>
      </c>
      <c r="G273" s="39" t="n">
        <f aca="false">IF(G$4=0,0,IF(COUNTIFS(実績!$W$6:$W$505,G$3,実績!$AI$6:$AI$505,"&lt;="&amp;$A273,実績!$AJ$6:$AJ$505,"&gt;"&amp;$A273,実績!$AL$6:$AL$505,"○")&gt;0,1,0))</f>
        <v>0</v>
      </c>
      <c r="H273" s="39" t="n">
        <f aca="false">IF(H$4=0,0,IF(COUNTIFS(実績!$W$6:$W$505,H$3,実績!$AI$6:$AI$505,"&lt;="&amp;$A273,実績!$AJ$6:$AJ$505,"&gt;"&amp;$A273,実績!$AL$6:$AL$505,"○")&gt;0,1,0))</f>
        <v>0</v>
      </c>
      <c r="I273" s="39" t="n">
        <f aca="false">IF(I$4=0,0,IF(COUNTIFS(実績!$W$6:$W$505,I$3,実績!$AI$6:$AI$505,"&lt;="&amp;$A273,実績!$AJ$6:$AJ$505,"&gt;"&amp;$A273,実績!$AL$6:$AL$505,"○")&gt;0,1,0))</f>
        <v>0</v>
      </c>
      <c r="J273" s="39" t="n">
        <f aca="false">IF(J$4=0,0,IF(COUNTIFS(実績!$W$6:$W$505,J$3,実績!$AI$6:$AI$505,"&lt;="&amp;$A273,実績!$AJ$6:$AJ$505,"&gt;"&amp;$A273,実績!$AL$6:$AL$505,"○")&gt;0,1,0))</f>
        <v>0</v>
      </c>
      <c r="K273" s="39" t="n">
        <f aca="false">IF(K$4=0,0,IF(COUNTIFS(実績!$W$6:$W$505,K$3,実績!$AI$6:$AI$505,"&lt;="&amp;$A273,実績!$AJ$6:$AJ$505,"&gt;"&amp;$A273,実績!$AL$6:$AL$505,"○")&gt;0,1,0))</f>
        <v>0</v>
      </c>
      <c r="L273" s="39" t="n">
        <f aca="false">IF(L$4=0,0,IF(COUNTIFS(実績!$W$6:$W$505,L$3,実績!$AI$6:$AI$505,"&lt;="&amp;$A273,実績!$AJ$6:$AJ$505,"&gt;"&amp;$A273,実績!$AL$6:$AL$505,"○")&gt;0,1,0))</f>
        <v>0</v>
      </c>
      <c r="M273" s="39" t="n">
        <f aca="false">IF(M$4=0,0,IF(COUNTIFS(実績!$W$6:$W$505,M$3,実績!$AI$6:$AI$505,"&lt;="&amp;$A273,実績!$AJ$6:$AJ$505,"&gt;"&amp;$A273,実績!$AL$6:$AL$505,"○")&gt;0,1,0))</f>
        <v>0</v>
      </c>
      <c r="N273" s="39" t="n">
        <f aca="false">IF(N$4=0,0,IF(COUNTIFS(実績!$W$6:$W$505,N$3,実績!$AI$6:$AI$505,"&lt;="&amp;$A273,実績!$AJ$6:$AJ$505,"&gt;"&amp;$A273,実績!$AL$6:$AL$505,"○")&gt;0,1,0))</f>
        <v>0</v>
      </c>
      <c r="O273" s="39" t="n">
        <f aca="false">IF(O$4=0,0,IF(COUNTIFS(実績!$W$6:$W$505,O$3,実績!$AI$6:$AI$505,"&lt;="&amp;$A273,実績!$AJ$6:$AJ$505,"&gt;"&amp;$A273,実績!$AL$6:$AL$505,"○")&gt;0,1,0))</f>
        <v>0</v>
      </c>
      <c r="P273" s="39" t="n">
        <f aca="false">IF(P$4=0,0,IF(COUNTIFS(実績!$W$6:$W$505,P$3,実績!$AI$6:$AI$505,"&lt;="&amp;$A273,実績!$AJ$6:$AJ$505,"&gt;"&amp;$A273,実績!$AL$6:$AL$505,"○")&gt;0,1,0))</f>
        <v>0</v>
      </c>
      <c r="Q273" s="39" t="n">
        <f aca="false">IF(Q$4=0,0,IF(COUNTIFS(実績!$W$6:$W$505,Q$3,実績!$AI$6:$AI$505,"&lt;="&amp;$A273,実績!$AJ$6:$AJ$505,"&gt;"&amp;$A273,実績!$AL$6:$AL$505,"○")&gt;0,1,0))</f>
        <v>0</v>
      </c>
      <c r="R273" s="39" t="n">
        <f aca="false">IF(R$4=0,0,IF(COUNTIFS(実績!$W$6:$W$505,R$3,実績!$AI$6:$AI$505,"&lt;="&amp;$A273,実績!$AJ$6:$AJ$505,"&gt;"&amp;$A273,実績!$AL$6:$AL$505,"○")&gt;0,1,0))</f>
        <v>0</v>
      </c>
      <c r="S273" s="39" t="n">
        <f aca="false">IF(S$4=0,0,IF(COUNTIFS(実績!$W$6:$W$505,S$3,実績!$AI$6:$AI$505,"&lt;="&amp;$A273,実績!$AJ$6:$AJ$505,"&gt;"&amp;$A273,実績!$AL$6:$AL$505,"○")&gt;0,1,0))</f>
        <v>0</v>
      </c>
      <c r="T273" s="39" t="n">
        <f aca="false">IF(T$4=0,0,IF(COUNTIFS(実績!$W$6:$W$505,T$3,実績!$AI$6:$AI$505,"&lt;="&amp;$A273,実績!$AJ$6:$AJ$505,"&gt;"&amp;$A273,実績!$AL$6:$AL$505,"○")&gt;0,1,0))</f>
        <v>0</v>
      </c>
      <c r="U273" s="39" t="n">
        <f aca="false">IF(U$4=0,0,IF(COUNTIFS(実績!$W$6:$W$505,U$3,実績!$AI$6:$AI$505,"&lt;="&amp;$A273,実績!$AJ$6:$AJ$505,"&gt;"&amp;$A273,実績!$AL$6:$AL$505,"○")&gt;0,1,0))</f>
        <v>0</v>
      </c>
      <c r="V273" s="39" t="n">
        <f aca="false">IF(V$4=0,0,IF(COUNTIFS(実績!$W$6:$W$505,V$3,実績!$AI$6:$AI$505,"&lt;="&amp;$A273,実績!$AJ$6:$AJ$505,"&gt;"&amp;$A273,実績!$AL$6:$AL$505,"○")&gt;0,1,0))</f>
        <v>0</v>
      </c>
      <c r="W273" s="39" t="n">
        <f aca="false">IF(W$4=0,0,IF(COUNTIFS(実績!$W$6:$W$505,W$3,実績!$AI$6:$AI$505,"&lt;="&amp;$A273,実績!$AJ$6:$AJ$505,"&gt;"&amp;$A273,実績!$AL$6:$AL$505,"○")&gt;0,1,0))</f>
        <v>0</v>
      </c>
      <c r="X273" s="39" t="n">
        <f aca="false">IF(X$4=0,0,IF(COUNTIFS(実績!$W$6:$W$505,X$3,実績!$AI$6:$AI$505,"&lt;="&amp;$A273,実績!$AJ$6:$AJ$505,"&gt;"&amp;$A273,実績!$AL$6:$AL$505,"○")&gt;0,1,0))</f>
        <v>0</v>
      </c>
      <c r="Y273" s="39" t="n">
        <f aca="false">IF(Y$4=0,0,IF(COUNTIFS(実績!$W$6:$W$505,Y$3,実績!$AI$6:$AI$505,"&lt;="&amp;$A273,実績!$AJ$6:$AJ$505,"&gt;"&amp;$A273,実績!$AL$6:$AL$505,"○")&gt;0,1,0))</f>
        <v>0</v>
      </c>
      <c r="Z273" s="39" t="n">
        <f aca="false">IF(Z$4=0,0,IF(COUNTIFS(実績!$W$6:$W$505,Z$3,実績!$AI$6:$AI$505,"&lt;="&amp;$A273,実績!$AJ$6:$AJ$505,"&gt;"&amp;$A273,実績!$AL$6:$AL$505,"○")&gt;0,1,0))</f>
        <v>0</v>
      </c>
      <c r="AA273" s="39" t="n">
        <f aca="false">IF(AA$4=0,0,IF(COUNTIFS(実績!$W$6:$W$505,AA$3,実績!$AI$6:$AI$505,"&lt;="&amp;$A273,実績!$AJ$6:$AJ$505,"&gt;"&amp;$A273,実績!$AL$6:$AL$505,"○")&gt;0,1,0))</f>
        <v>0</v>
      </c>
      <c r="AB273" s="39" t="n">
        <f aca="false">IF(AB$4=0,0,IF(COUNTIFS(実績!$W$6:$W$505,AB$3,実績!$AI$6:$AI$505,"&lt;="&amp;$A273,実績!$AJ$6:$AJ$505,"&gt;"&amp;$A273,実績!$AL$6:$AL$505,"○")&gt;0,1,0))</f>
        <v>0</v>
      </c>
      <c r="AC273" s="39" t="n">
        <f aca="false">IF(AC$4=0,0,IF(COUNTIFS(実績!$W$6:$W$505,AC$3,実績!$AI$6:$AI$505,"&lt;="&amp;$A273,実績!$AJ$6:$AJ$505,"&gt;"&amp;$A273,実績!$AL$6:$AL$505,"○")&gt;0,1,0))</f>
        <v>0</v>
      </c>
      <c r="AD273" s="39" t="n">
        <f aca="false">IF(AD$4=0,0,IF(COUNTIFS(実績!$W$6:$W$505,AD$3,実績!$AI$6:$AI$505,"&lt;="&amp;$A273,実績!$AJ$6:$AJ$505,"&gt;"&amp;$A273,実績!$AL$6:$AL$505,"○")&gt;0,1,0))</f>
        <v>0</v>
      </c>
      <c r="AE273" s="39" t="n">
        <f aca="false">IF(AE$4=0,0,IF(COUNTIFS(実績!$W$6:$W$505,AE$3,実績!$AI$6:$AI$505,"&lt;="&amp;$A273,実績!$AJ$6:$AJ$505,"&gt;"&amp;$A273,実績!$AL$6:$AL$505,"○")&gt;0,1,0))</f>
        <v>0</v>
      </c>
      <c r="AF273" s="39" t="n">
        <f aca="false">IF(AF$4=0,0,IF(COUNTIFS(実績!$W$6:$W$505,AF$3,実績!$AI$6:$AI$505,"&lt;="&amp;$A273,実績!$AJ$6:$AJ$505,"&gt;"&amp;$A273,実績!$AL$6:$AL$505,"○")&gt;0,1,0))</f>
        <v>0</v>
      </c>
      <c r="AG273" s="39" t="n">
        <f aca="false">IF(AG$4=0,0,IF(COUNTIFS(実績!$W$6:$W$505,AG$3,実績!$AI$6:$AI$505,"&lt;="&amp;$A273,実績!$AJ$6:$AJ$505,"&gt;"&amp;$A273,実績!$AL$6:$AL$505,"○")&gt;0,1,0))</f>
        <v>0</v>
      </c>
      <c r="AH273" s="39" t="n">
        <f aca="false">IF(AH$4=0,0,IF(COUNTIFS(実績!$W$6:$W$505,AH$3,実績!$AI$6:$AI$505,"&lt;="&amp;$A273,実績!$AJ$6:$AJ$505,"&gt;"&amp;$A273,実績!$AL$6:$AL$505,"○")&gt;0,1,0))</f>
        <v>0</v>
      </c>
      <c r="AI273" s="39" t="n">
        <f aca="false">IF(AI$4=0,0,IF(COUNTIFS(実績!$W$6:$W$505,AI$3,実績!$AI$6:$AI$505,"&lt;="&amp;$A273,実績!$AJ$6:$AJ$505,"&gt;"&amp;$A273,実績!$AL$6:$AL$505,"○")&gt;0,1,0))</f>
        <v>0</v>
      </c>
      <c r="AJ273" s="39" t="n">
        <f aca="false">IF(AJ$4=0,0,IF(COUNTIFS(実績!$W$6:$W$505,AJ$3,実績!$AI$6:$AI$505,"&lt;="&amp;$A273,実績!$AJ$6:$AJ$505,"&gt;"&amp;$A273,実績!$AL$6:$AL$505,"○")&gt;0,1,0))</f>
        <v>0</v>
      </c>
      <c r="AK273" s="39" t="n">
        <f aca="false">IF(AK$4=0,0,IF(COUNTIFS(実績!$W$6:$W$505,AK$3,実績!$AI$6:$AI$505,"&lt;="&amp;$A273,実績!$AJ$6:$AJ$505,"&gt;"&amp;$A273,実績!$AL$6:$AL$505,"○")&gt;0,1,0))</f>
        <v>0</v>
      </c>
      <c r="AL273" s="39" t="n">
        <f aca="false">IF(AL$4=0,0,IF(COUNTIFS(実績!$W$6:$W$505,AL$3,実績!$AI$6:$AI$505,"&lt;="&amp;$A273,実績!$AJ$6:$AJ$505,"&gt;"&amp;$A273,実績!$AL$6:$AL$505,"○")&gt;0,1,0))</f>
        <v>0</v>
      </c>
      <c r="AM273" s="39" t="n">
        <f aca="false">IF(AM$4=0,0,IF(COUNTIFS(実績!$W$6:$W$505,AM$3,実績!$AI$6:$AI$505,"&lt;="&amp;$A273,実績!$AJ$6:$AJ$505,"&gt;"&amp;$A273,実績!$AL$6:$AL$505,"○")&gt;0,1,0))</f>
        <v>0</v>
      </c>
      <c r="AN273" s="39" t="n">
        <f aca="false">IF(AN$4=0,0,IF(COUNTIFS(実績!$W$6:$W$505,AN$3,実績!$AI$6:$AI$505,"&lt;="&amp;$A273,実績!$AJ$6:$AJ$505,"&gt;"&amp;$A273,実績!$AL$6:$AL$505,"○")&gt;0,1,0))</f>
        <v>0</v>
      </c>
      <c r="AO273" s="39" t="n">
        <f aca="false">IF(AO$4=0,0,IF(COUNTIFS(実績!$W$6:$W$505,AO$3,実績!$AI$6:$AI$505,"&lt;="&amp;$A273,実績!$AJ$6:$AJ$505,"&gt;"&amp;$A273,実績!$AL$6:$AL$505,"○")&gt;0,1,0))</f>
        <v>0</v>
      </c>
      <c r="AP273" s="39" t="n">
        <f aca="false">IF(AP$4=0,0,IF(COUNTIFS(実績!$W$6:$W$505,AP$3,実績!$AI$6:$AI$505,"&lt;="&amp;$A273,実績!$AJ$6:$AJ$505,"&gt;"&amp;$A273,実績!$AL$6:$AL$505,"○")&gt;0,1,0))</f>
        <v>0</v>
      </c>
      <c r="AQ273" s="39" t="n">
        <f aca="false">IF(AQ$4=0,0,IF(COUNTIFS(実績!$W$6:$W$505,AQ$3,実績!$AI$6:$AI$505,"&lt;="&amp;$A273,実績!$AJ$6:$AJ$505,"&gt;"&amp;$A273,実績!$AL$6:$AL$505,"○")&gt;0,1,0))</f>
        <v>0</v>
      </c>
      <c r="AR273" s="39" t="n">
        <f aca="false">IF(AR$4=0,0,IF(COUNTIFS(実績!$W$6:$W$505,AR$3,実績!$AI$6:$AI$505,"&lt;="&amp;$A273,実績!$AJ$6:$AJ$505,"&gt;"&amp;$A273,実績!$AL$6:$AL$505,"○")&gt;0,1,0))</f>
        <v>0</v>
      </c>
      <c r="AS273" s="39" t="n">
        <f aca="false">IF(AS$4=0,0,IF(COUNTIFS(実績!$W$6:$W$505,AS$3,実績!$AI$6:$AI$505,"&lt;="&amp;$A273,実績!$AJ$6:$AJ$505,"&gt;"&amp;$A273,実績!$AL$6:$AL$505,"○")&gt;0,1,0))</f>
        <v>0</v>
      </c>
      <c r="AT273" s="39" t="n">
        <f aca="false">IF(AT$4=0,0,IF(COUNTIFS(実績!$W$6:$W$505,AT$3,実績!$AI$6:$AI$505,"&lt;="&amp;$A273,実績!$AJ$6:$AJ$505,"&gt;"&amp;$A273,実績!$AL$6:$AL$505,"○")&gt;0,1,0))</f>
        <v>0</v>
      </c>
      <c r="AU273" s="39" t="n">
        <f aca="false">IF(AU$4=0,0,IF(COUNTIFS(実績!$W$6:$W$505,AU$3,実績!$AI$6:$AI$505,"&lt;="&amp;$A273,実績!$AJ$6:$AJ$505,"&gt;"&amp;$A273,実績!$AL$6:$AL$505,"○")&gt;0,1,0))</f>
        <v>0</v>
      </c>
      <c r="AV273" s="39" t="n">
        <f aca="false">IF(AV$4=0,0,IF(COUNTIFS(実績!$W$6:$W$505,AV$3,実績!$AI$6:$AI$505,"&lt;="&amp;$A273,実績!$AJ$6:$AJ$505,"&gt;"&amp;$A273,実績!$AL$6:$AL$505,"○")&gt;0,1,0))</f>
        <v>0</v>
      </c>
      <c r="AW273" s="39" t="n">
        <f aca="false">IF(AW$4=0,0,IF(COUNTIFS(実績!$W$6:$W$505,AW$3,実績!$AI$6:$AI$505,"&lt;="&amp;$A273,実績!$AJ$6:$AJ$505,"&gt;"&amp;$A273,実績!$AL$6:$AL$505,"○")&gt;0,1,0))</f>
        <v>0</v>
      </c>
      <c r="AX273" s="39" t="n">
        <f aca="false">IF(AX$4=0,0,IF(COUNTIFS(実績!$W$6:$W$505,AX$3,実績!$AI$6:$AI$505,"&lt;="&amp;$A273,実績!$AJ$6:$AJ$505,"&gt;"&amp;$A273,実績!$AL$6:$AL$505,"○")&gt;0,1,0))</f>
        <v>0</v>
      </c>
      <c r="AY273" s="39" t="n">
        <f aca="false">IF(AY$4=0,0,IF(COUNTIFS(実績!$W$6:$W$505,AY$3,実績!$AI$6:$AI$505,"&lt;="&amp;$A273,実績!$AJ$6:$AJ$505,"&gt;"&amp;$A273,実績!$AL$6:$AL$505,"○")&gt;0,1,0))</f>
        <v>0</v>
      </c>
      <c r="AZ273" s="39" t="n">
        <f aca="false">IF(AZ$4=0,0,IF(COUNTIFS(実績!$W$6:$W$505,AZ$3,実績!$AI$6:$AI$505,"&lt;="&amp;$A273,実績!$AJ$6:$AJ$505,"&gt;"&amp;$A273,実績!$AL$6:$AL$505,"○")&gt;0,1,0))</f>
        <v>0</v>
      </c>
      <c r="BA273" s="39" t="n">
        <f aca="false">IF(BA$4=0,0,IF(COUNTIFS(実績!$W$6:$W$505,BA$3,実績!$AI$6:$AI$505,"&lt;="&amp;$A273,実績!$AJ$6:$AJ$505,"&gt;"&amp;$A273,実績!$AL$6:$AL$505,"○")&gt;0,1,0))</f>
        <v>0</v>
      </c>
      <c r="BB273" s="39" t="n">
        <f aca="false">IF(BB$4=0,0,IF(COUNTIFS(実績!$W$6:$W$505,BB$3,実績!$AI$6:$AI$505,"&lt;="&amp;$A273,実績!$AJ$6:$AJ$505,"&gt;"&amp;$A273,実績!$AL$6:$AL$505,"○")&gt;0,1,0))</f>
        <v>0</v>
      </c>
      <c r="BC273" s="39" t="n">
        <f aca="false">IF(BC$4=0,0,IF(COUNTIFS(実績!$W$6:$W$505,BC$3,実績!$AI$6:$AI$505,"&lt;="&amp;$A273,実績!$AJ$6:$AJ$505,"&gt;"&amp;$A273,実績!$AL$6:$AL$505,"○")&gt;0,1,0))</f>
        <v>0</v>
      </c>
      <c r="BD273" s="39" t="n">
        <f aca="false">IF(BD$4=0,0,IF(COUNTIFS(実績!$W$6:$W$505,BD$3,実績!$AI$6:$AI$505,"&lt;="&amp;$A273,実績!$AJ$6:$AJ$505,"&gt;"&amp;$A273,実績!$AL$6:$AL$505,"○")&gt;0,1,0))</f>
        <v>0</v>
      </c>
      <c r="BE273" s="39" t="n">
        <f aca="false">IF(BE$4=0,0,IF(COUNTIFS(実績!$W$6:$W$505,BE$3,実績!$AI$6:$AI$505,"&lt;="&amp;$A273,実績!$AJ$6:$AJ$505,"&gt;"&amp;$A273,実績!$AL$6:$AL$505,"○")&gt;0,1,0))</f>
        <v>0</v>
      </c>
      <c r="BF273" s="39" t="n">
        <f aca="false">IF(BF$4=0,0,IF(COUNTIFS(実績!$W$6:$W$505,BF$3,実績!$AI$6:$AI$505,"&lt;="&amp;$A273,実績!$AJ$6:$AJ$505,"&gt;"&amp;$A273,実績!$AL$6:$AL$505,"○")&gt;0,1,0))</f>
        <v>0</v>
      </c>
      <c r="BG273" s="39" t="n">
        <f aca="false">IF(BG$4=0,0,IF(COUNTIFS(実績!$W$6:$W$505,BG$3,実績!$AI$6:$AI$505,"&lt;="&amp;$A273,実績!$AJ$6:$AJ$505,"&gt;"&amp;$A273,実績!$AL$6:$AL$505,"○")&gt;0,1,0))</f>
        <v>0</v>
      </c>
      <c r="BH273" s="39" t="n">
        <f aca="false">IF(BH$4=0,0,IF(COUNTIFS(実績!$W$6:$W$505,BH$3,実績!$AI$6:$AI$505,"&lt;="&amp;$A273,実績!$AJ$6:$AJ$505,"&gt;"&amp;$A273,実績!$AL$6:$AL$505,"○")&gt;0,1,0))</f>
        <v>0</v>
      </c>
      <c r="BI273" s="39" t="n">
        <f aca="false">IF(BI$4=0,0,IF(COUNTIFS(実績!$W$6:$W$505,BI$3,実績!$AI$6:$AI$505,"&lt;="&amp;$A273,実績!$AJ$6:$AJ$505,"&gt;"&amp;$A273,実績!$AL$6:$AL$505,"○")&gt;0,1,0))</f>
        <v>0</v>
      </c>
      <c r="BJ273" s="39" t="n">
        <f aca="false">IF(BJ$4=0,0,IF(COUNTIFS(実績!$W$6:$W$505,BJ$3,実績!$AI$6:$AI$505,"&lt;="&amp;$A273,実績!$AJ$6:$AJ$505,"&gt;"&amp;$A273,実績!$AL$6:$AL$505,"○")&gt;0,1,0))</f>
        <v>0</v>
      </c>
      <c r="BK273" s="39" t="n">
        <f aca="false">IF(BK$4=0,0,IF(COUNTIFS(実績!$W$6:$W$505,BK$3,実績!$AI$6:$AI$505,"&lt;="&amp;$A273,実績!$AJ$6:$AJ$505,"&gt;"&amp;$A273,実績!$AL$6:$AL$505,"○")&gt;0,1,0))</f>
        <v>0</v>
      </c>
      <c r="BL273" s="39" t="n">
        <f aca="false">IF(BL$4=0,0,IF(COUNTIFS(実績!$W$6:$W$505,BL$3,実績!$AI$6:$AI$505,"&lt;="&amp;$A273,実績!$AJ$6:$AJ$505,"&gt;"&amp;$A273,実績!$AL$6:$AL$505,"○")&gt;0,1,0))</f>
        <v>0</v>
      </c>
      <c r="BM273" s="39" t="n">
        <f aca="false">IF(BM$4=0,0,IF(COUNTIFS(実績!$W$6:$W$505,BM$3,実績!$AI$6:$AI$505,"&lt;="&amp;$A273,実績!$AJ$6:$AJ$505,"&gt;"&amp;$A273,実績!$AL$6:$AL$505,"○")&gt;0,1,0))</f>
        <v>0</v>
      </c>
      <c r="BN273" s="39" t="n">
        <f aca="false">IF(BN$4=0,0,IF(COUNTIFS(実績!$W$6:$W$505,BN$3,実績!$AI$6:$AI$505,"&lt;="&amp;$A273,実績!$AJ$6:$AJ$505,"&gt;"&amp;$A273,実績!$AL$6:$AL$505,"○")&gt;0,1,0))</f>
        <v>0</v>
      </c>
      <c r="BO273" s="39" t="n">
        <f aca="false">IF(BO$4=0,0,IF(COUNTIFS(実績!$W$6:$W$505,BO$3,実績!$AI$6:$AI$505,"&lt;="&amp;$A273,実績!$AJ$6:$AJ$505,"&gt;"&amp;$A273,実績!$AL$6:$AL$505,"○")&gt;0,1,0))</f>
        <v>0</v>
      </c>
      <c r="BP273" s="39" t="n">
        <f aca="false">IF(BP$4=0,0,IF(COUNTIFS(実績!$W$6:$W$505,BP$3,実績!$AI$6:$AI$505,"&lt;="&amp;$A273,実績!$AJ$6:$AJ$505,"&gt;"&amp;$A273,実績!$AL$6:$AL$505,"○")&gt;0,1,0))</f>
        <v>0</v>
      </c>
      <c r="BQ273" s="39" t="n">
        <f aca="false">IF(BQ$4=0,0,IF(COUNTIFS(実績!$W$6:$W$505,BQ$3,実績!$AI$6:$AI$505,"&lt;="&amp;$A273,実績!$AJ$6:$AJ$505,"&gt;"&amp;$A273,実績!$AL$6:$AL$505,"○")&gt;0,1,0))</f>
        <v>0</v>
      </c>
      <c r="BR273" s="39" t="n">
        <f aca="false">IF(BR$4=0,0,IF(COUNTIFS(実績!$W$6:$W$505,BR$3,実績!$AI$6:$AI$505,"&lt;="&amp;$A273,実績!$AJ$6:$AJ$505,"&gt;"&amp;$A273,実績!$AL$6:$AL$505,"○")&gt;0,1,0))</f>
        <v>0</v>
      </c>
      <c r="BS273" s="39" t="n">
        <f aca="false">IF(BS$4=0,0,IF(COUNTIFS(実績!$W$6:$W$505,BS$3,実績!$AI$6:$AI$505,"&lt;="&amp;$A273,実績!$AJ$6:$AJ$505,"&gt;"&amp;$A273,実績!$AL$6:$AL$505,"○")&gt;0,1,0))</f>
        <v>0</v>
      </c>
      <c r="BT273" s="39" t="n">
        <f aca="false">IF(BT$4=0,0,IF(COUNTIFS(実績!$W$6:$W$505,BT$3,実績!$AI$6:$AI$505,"&lt;="&amp;$A273,実績!$AJ$6:$AJ$505,"&gt;"&amp;$A273,実績!$AL$6:$AL$505,"○")&gt;0,1,0))</f>
        <v>0</v>
      </c>
      <c r="BU273" s="39" t="n">
        <f aca="false">IF(BU$4=0,0,IF(COUNTIFS(実績!$W$6:$W$505,BU$3,実績!$AI$6:$AI$505,"&lt;="&amp;$A273,実績!$AJ$6:$AJ$505,"&gt;"&amp;$A273,実績!$AL$6:$AL$505,"○")&gt;0,1,0))</f>
        <v>0</v>
      </c>
      <c r="BV273" s="39" t="n">
        <f aca="false">IF(BV$4=0,0,IF(COUNTIFS(実績!$W$6:$W$505,BV$3,実績!$AI$6:$AI$505,"&lt;="&amp;$A273,実績!$AJ$6:$AJ$505,"&gt;"&amp;$A273,実績!$AL$6:$AL$505,"○")&gt;0,1,0))</f>
        <v>0</v>
      </c>
      <c r="BW273" s="39" t="n">
        <f aca="false">IF(BW$4=0,0,IF(COUNTIFS(実績!$W$6:$W$505,BW$3,実績!$AI$6:$AI$505,"&lt;="&amp;$A273,実績!$AJ$6:$AJ$505,"&gt;"&amp;$A273,実績!$AL$6:$AL$505,"○")&gt;0,1,0))</f>
        <v>0</v>
      </c>
      <c r="BX273" s="39" t="n">
        <f aca="false">IF(BX$4=0,0,IF(COUNTIFS(実績!$W$6:$W$505,BX$3,実績!$AI$6:$AI$505,"&lt;="&amp;$A273,実績!$AJ$6:$AJ$505,"&gt;"&amp;$A273,実績!$AL$6:$AL$505,"○")&gt;0,1,0))</f>
        <v>0</v>
      </c>
      <c r="BY273" s="39" t="n">
        <f aca="false">IF(BY$4=0,0,IF(COUNTIFS(実績!$W$6:$W$505,BY$3,実績!$AI$6:$AI$505,"&lt;="&amp;$A273,実績!$AJ$6:$AJ$505,"&gt;"&amp;$A273,実績!$AL$6:$AL$505,"○")&gt;0,1,0))</f>
        <v>0</v>
      </c>
      <c r="BZ273" s="39" t="n">
        <f aca="false">IF(BZ$4=0,0,IF(COUNTIFS(実績!$W$6:$W$505,BZ$3,実績!$AI$6:$AI$505,"&lt;="&amp;$A273,実績!$AJ$6:$AJ$505,"&gt;"&amp;$A273,実績!$AL$6:$AL$505,"○")&gt;0,1,0))</f>
        <v>0</v>
      </c>
      <c r="CA273" s="39" t="n">
        <f aca="false">IF(CA$4=0,0,IF(COUNTIFS(実績!$W$6:$W$505,CA$3,実績!$AI$6:$AI$505,"&lt;="&amp;$A273,実績!$AJ$6:$AJ$505,"&gt;"&amp;$A273,実績!$AL$6:$AL$505,"○")&gt;0,1,0))</f>
        <v>0</v>
      </c>
      <c r="CB273" s="39" t="n">
        <f aca="false">IF(CB$4=0,0,IF(COUNTIFS(実績!$W$6:$W$505,CB$3,実績!$AI$6:$AI$505,"&lt;="&amp;$A273,実績!$AJ$6:$AJ$505,"&gt;"&amp;$A273,実績!$AL$6:$AL$505,"○")&gt;0,1,0))</f>
        <v>0</v>
      </c>
      <c r="CC273" s="39" t="n">
        <f aca="false">IF(CC$4=0,0,IF(COUNTIFS(実績!$W$6:$W$505,CC$3,実績!$AI$6:$AI$505,"&lt;="&amp;$A273,実績!$AJ$6:$AJ$505,"&gt;"&amp;$A273,実績!$AL$6:$AL$505,"○")&gt;0,1,0))</f>
        <v>0</v>
      </c>
      <c r="CD273" s="39" t="n">
        <f aca="false">IF(CD$4=0,0,IF(COUNTIFS(実績!$W$6:$W$505,CD$3,実績!$AI$6:$AI$505,"&lt;="&amp;$A273,実績!$AJ$6:$AJ$505,"&gt;"&amp;$A273,実績!$AL$6:$AL$505,"○")&gt;0,1,0))</f>
        <v>0</v>
      </c>
      <c r="CE273" s="39" t="n">
        <f aca="false">IF(CE$4=0,0,IF(COUNTIFS(実績!$W$6:$W$505,CE$3,実績!$AI$6:$AI$505,"&lt;="&amp;$A273,実績!$AJ$6:$AJ$505,"&gt;"&amp;$A273,実績!$AL$6:$AL$505,"○")&gt;0,1,0))</f>
        <v>0</v>
      </c>
      <c r="CF273" s="39" t="n">
        <f aca="false">IF(CF$4=0,0,IF(COUNTIFS(実績!$W$6:$W$505,CF$3,実績!$AI$6:$AI$505,"&lt;="&amp;$A273,実績!$AJ$6:$AJ$505,"&gt;"&amp;$A273,実績!$AL$6:$AL$505,"○")&gt;0,1,0))</f>
        <v>0</v>
      </c>
      <c r="CG273" s="39" t="n">
        <f aca="false">IF(CG$4=0,0,IF(COUNTIFS(実績!$W$6:$W$505,CG$3,実績!$AI$6:$AI$505,"&lt;="&amp;$A273,実績!$AJ$6:$AJ$505,"&gt;"&amp;$A273,実績!$AL$6:$AL$505,"○")&gt;0,1,0))</f>
        <v>0</v>
      </c>
      <c r="CH273" s="39" t="n">
        <f aca="false">IF(CH$4=0,0,IF(COUNTIFS(実績!$W$6:$W$505,CH$3,実績!$AI$6:$AI$505,"&lt;="&amp;$A273,実績!$AJ$6:$AJ$505,"&gt;"&amp;$A273,実績!$AL$6:$AL$505,"○")&gt;0,1,0))</f>
        <v>0</v>
      </c>
      <c r="CI273" s="39" t="n">
        <f aca="false">IF(CI$4=0,0,IF(COUNTIFS(実績!$W$6:$W$505,CI$3,実績!$AI$6:$AI$505,"&lt;="&amp;$A273,実績!$AJ$6:$AJ$505,"&gt;"&amp;$A273,実績!$AL$6:$AL$505,"○")&gt;0,1,0))</f>
        <v>0</v>
      </c>
      <c r="CJ273" s="39" t="n">
        <f aca="false">IF(CJ$4=0,0,IF(COUNTIFS(実績!$W$6:$W$505,CJ$3,実績!$AI$6:$AI$505,"&lt;="&amp;$A273,実績!$AJ$6:$AJ$505,"&gt;"&amp;$A273,実績!$AL$6:$AL$505,"○")&gt;0,1,0))</f>
        <v>0</v>
      </c>
      <c r="CK273" s="39" t="n">
        <f aca="false">IF(CK$4=0,0,IF(COUNTIFS(実績!$W$6:$W$505,CK$3,実績!$AI$6:$AI$505,"&lt;="&amp;$A273,実績!$AJ$6:$AJ$505,"&gt;"&amp;$A273,実績!$AL$6:$AL$505,"○")&gt;0,1,0))</f>
        <v>0</v>
      </c>
      <c r="CL273" s="39" t="n">
        <f aca="false">IF(CL$4=0,0,IF(COUNTIFS(実績!$W$6:$W$505,CL$3,実績!$AI$6:$AI$505,"&lt;="&amp;$A273,実績!$AJ$6:$AJ$505,"&gt;"&amp;$A273,実績!$AL$6:$AL$505,"○")&gt;0,1,0))</f>
        <v>0</v>
      </c>
      <c r="CM273" s="39" t="n">
        <f aca="false">IF(CM$4=0,0,IF(COUNTIFS(実績!$W$6:$W$505,CM$3,実績!$AI$6:$AI$505,"&lt;="&amp;$A273,実績!$AJ$6:$AJ$505,"&gt;"&amp;$A273,実績!$AL$6:$AL$505,"○")&gt;0,1,0))</f>
        <v>0</v>
      </c>
      <c r="CN273" s="39" t="n">
        <f aca="false">IF(CN$4=0,0,IF(COUNTIFS(実績!$W$6:$W$505,CN$3,実績!$AI$6:$AI$505,"&lt;="&amp;$A273,実績!$AJ$6:$AJ$505,"&gt;"&amp;$A273,実績!$AL$6:$AL$505,"○")&gt;0,1,0))</f>
        <v>0</v>
      </c>
      <c r="CO273" s="39" t="n">
        <f aca="false">IF(CO$4=0,0,IF(COUNTIFS(実績!$W$6:$W$505,CO$3,実績!$AI$6:$AI$505,"&lt;="&amp;$A273,実績!$AJ$6:$AJ$505,"&gt;"&amp;$A273,実績!$AL$6:$AL$505,"○")&gt;0,1,0))</f>
        <v>0</v>
      </c>
      <c r="CP273" s="39" t="n">
        <f aca="false">IF(CP$4=0,0,IF(COUNTIFS(実績!$W$6:$W$505,CP$3,実績!$AI$6:$AI$505,"&lt;="&amp;$A273,実績!$AJ$6:$AJ$505,"&gt;"&amp;$A273,実績!$AL$6:$AL$505,"○")&gt;0,1,0))</f>
        <v>0</v>
      </c>
      <c r="CQ273" s="39" t="n">
        <f aca="false">IF(CQ$4=0,0,IF(COUNTIFS(実績!$W$6:$W$505,CQ$3,実績!$AI$6:$AI$505,"&lt;="&amp;$A273,実績!$AJ$6:$AJ$505,"&gt;"&amp;$A273,実績!$AL$6:$AL$505,"○")&gt;0,1,0))</f>
        <v>0</v>
      </c>
      <c r="CR273" s="39" t="n">
        <f aca="false">IF(CR$4=0,0,IF(COUNTIFS(実績!$W$6:$W$505,CR$3,実績!$AI$6:$AI$505,"&lt;="&amp;$A273,実績!$AJ$6:$AJ$505,"&gt;"&amp;$A273,実績!$AL$6:$AL$505,"○")&gt;0,1,0))</f>
        <v>0</v>
      </c>
      <c r="CS273" s="39" t="n">
        <f aca="false">IF(CS$4=0,0,IF(COUNTIFS(実績!$W$6:$W$505,CS$3,実績!$AI$6:$AI$505,"&lt;="&amp;$A273,実績!$AJ$6:$AJ$505,"&gt;"&amp;$A273,実績!$AL$6:$AL$505,"○")&gt;0,1,0))</f>
        <v>0</v>
      </c>
      <c r="CT273" s="39" t="n">
        <f aca="false">IF(CT$4=0,0,IF(COUNTIFS(実績!$W$6:$W$505,CT$3,実績!$AI$6:$AI$505,"&lt;="&amp;$A273,実績!$AJ$6:$AJ$505,"&gt;"&amp;$A273,実績!$AL$6:$AL$505,"○")&gt;0,1,0))</f>
        <v>0</v>
      </c>
      <c r="CU273" s="39" t="n">
        <f aca="false">IF(CU$4=0,0,IF(COUNTIFS(実績!$W$6:$W$505,CU$3,実績!$AI$6:$AI$505,"&lt;="&amp;$A273,実績!$AJ$6:$AJ$505,"&gt;"&amp;$A273,実績!$AL$6:$AL$505,"○")&gt;0,1,0))</f>
        <v>0</v>
      </c>
      <c r="CV273" s="39" t="n">
        <f aca="false">IF(CV$4=0,0,IF(COUNTIFS(実績!$W$6:$W$505,CV$3,実績!$AI$6:$AI$505,"&lt;="&amp;$A273,実績!$AJ$6:$AJ$505,"&gt;"&amp;$A273,実績!$AL$6:$AL$505,"○")&gt;0,1,0))</f>
        <v>0</v>
      </c>
      <c r="CW273" s="39" t="n">
        <f aca="false">IF(CW$4=0,0,IF(COUNTIFS(実績!$W$6:$W$505,CW$3,実績!$AI$6:$AI$505,"&lt;="&amp;$A273,実績!$AJ$6:$AJ$505,"&gt;"&amp;$A273,実績!$AL$6:$AL$505,"○")&gt;0,1,0))</f>
        <v>0</v>
      </c>
      <c r="CX273" s="39" t="n">
        <f aca="false">IF(CX$4=0,0,IF(COUNTIFS(実績!$W$6:$W$505,CX$3,実績!$AI$6:$AI$505,"&lt;="&amp;$A273,実績!$AJ$6:$AJ$505,"&gt;"&amp;$A273,実績!$AL$6:$AL$505,"○")&gt;0,1,0))</f>
        <v>0</v>
      </c>
      <c r="CY273" s="39" t="n">
        <f aca="false">IF(CY$4=0,0,IF(COUNTIFS(実績!$W$6:$W$505,CY$3,実績!$AI$6:$AI$505,"&lt;="&amp;$A273,実績!$AJ$6:$AJ$505,"&gt;"&amp;$A273,実績!$AL$6:$AL$505,"○")&gt;0,1,0))</f>
        <v>0</v>
      </c>
      <c r="CZ273" s="39" t="n">
        <f aca="false">IF(CZ$4=0,0,IF(COUNTIFS(実績!$W$6:$W$505,CZ$3,実績!$AI$6:$AI$505,"&lt;="&amp;$A273,実績!$AJ$6:$AJ$505,"&gt;"&amp;$A273,実績!$AL$6:$AL$505,"○")&gt;0,1,0))</f>
        <v>0</v>
      </c>
      <c r="DA273" s="39" t="n">
        <f aca="false">IF(DA$4=0,0,IF(COUNTIFS(実績!$W$6:$W$505,DA$3,実績!$AI$6:$AI$505,"&lt;="&amp;$A273,実績!$AJ$6:$AJ$505,"&gt;"&amp;$A273,実績!$AL$6:$AL$505,"○")&gt;0,1,0))</f>
        <v>0</v>
      </c>
      <c r="DB273" s="39" t="n">
        <f aca="false">IF(DB$4=0,0,IF(COUNTIFS(実績!$W$6:$W$505,DB$3,実績!$AI$6:$AI$505,"&lt;="&amp;$A273,実績!$AJ$6:$AJ$505,"&gt;"&amp;$A273,実績!$AL$6:$AL$505,"○")&gt;0,1,0))</f>
        <v>0</v>
      </c>
      <c r="DC273" s="39" t="n">
        <f aca="false">IF(DC$4=0,0,IF(COUNTIFS(実績!$W$6:$W$505,DC$3,実績!$AI$6:$AI$505,"&lt;="&amp;$A273,実績!$AJ$6:$AJ$505,"&gt;"&amp;$A273,実績!$AL$6:$AL$505,"○")&gt;0,1,0))</f>
        <v>0</v>
      </c>
      <c r="DD273" s="39" t="n">
        <f aca="false">IF(DD$4=0,0,IF(COUNTIFS(実績!$W$6:$W$505,DD$3,実績!$AI$6:$AI$505,"&lt;="&amp;$A273,実績!$AJ$6:$AJ$505,"&gt;"&amp;$A273,実績!$AL$6:$AL$505,"○")&gt;0,1,0))</f>
        <v>0</v>
      </c>
      <c r="DE273" s="39" t="n">
        <f aca="false">IF(DE$4=0,0,IF(COUNTIFS(実績!$W$6:$W$505,DE$3,実績!$AI$6:$AI$505,"&lt;="&amp;$A273,実績!$AJ$6:$AJ$505,"&gt;"&amp;$A273,実績!$AL$6:$AL$505,"○")&gt;0,1,0))</f>
        <v>0</v>
      </c>
      <c r="DF273" s="39" t="n">
        <f aca="false">IF(DF$4=0,0,IF(COUNTIFS(実績!$W$6:$W$505,DF$3,実績!$AI$6:$AI$505,"&lt;="&amp;$A273,実績!$AJ$6:$AJ$505,"&gt;"&amp;$A273,実績!$AL$6:$AL$505,"○")&gt;0,1,0))</f>
        <v>0</v>
      </c>
      <c r="DG273" s="39" t="n">
        <f aca="false">IF(DG$4=0,0,IF(COUNTIFS(実績!$W$6:$W$505,DG$3,実績!$AI$6:$AI$505,"&lt;="&amp;$A273,実績!$AJ$6:$AJ$505,"&gt;"&amp;$A273,実績!$AL$6:$AL$505,"○")&gt;0,1,0))</f>
        <v>0</v>
      </c>
      <c r="DH273" s="39" t="n">
        <f aca="false">IF(DH$4=0,0,IF(COUNTIFS(実績!$W$6:$W$505,DH$3,実績!$AI$6:$AI$505,"&lt;="&amp;$A273,実績!$AJ$6:$AJ$505,"&gt;"&amp;$A273,実績!$AL$6:$AL$505,"○")&gt;0,1,0))</f>
        <v>0</v>
      </c>
      <c r="DI273" s="39" t="n">
        <f aca="false">IF(DI$4=0,0,IF(COUNTIFS(実績!$W$6:$W$505,DI$3,実績!$AI$6:$AI$505,"&lt;="&amp;$A273,実績!$AJ$6:$AJ$505,"&gt;"&amp;$A273,実績!$AL$6:$AL$505,"○")&gt;0,1,0))</f>
        <v>0</v>
      </c>
      <c r="DJ273" s="39" t="n">
        <f aca="false">IF(DJ$4=0,0,IF(COUNTIFS(実績!$W$6:$W$505,DJ$3,実績!$AI$6:$AI$505,"&lt;="&amp;$A273,実績!$AJ$6:$AJ$505,"&gt;"&amp;$A273,実績!$AL$6:$AL$505,"○")&gt;0,1,0))</f>
        <v>0</v>
      </c>
      <c r="DK273" s="39" t="n">
        <f aca="false">IF(DK$4=0,0,IF(COUNTIFS(実績!$W$6:$W$505,DK$3,実績!$AI$6:$AI$505,"&lt;="&amp;$A273,実績!$AJ$6:$AJ$505,"&gt;"&amp;$A273,実績!$AL$6:$AL$505,"○")&gt;0,1,0))</f>
        <v>0</v>
      </c>
      <c r="DL273" s="39" t="n">
        <f aca="false">IF(DL$4=0,0,IF(COUNTIFS(実績!$W$6:$W$505,DL$3,実績!$AI$6:$AI$505,"&lt;="&amp;$A273,実績!$AJ$6:$AJ$505,"&gt;"&amp;$A273,実績!$AL$6:$AL$505,"○")&gt;0,1,0))</f>
        <v>0</v>
      </c>
      <c r="DM273" s="39" t="n">
        <f aca="false">IF(DM$4=0,0,IF(COUNTIFS(実績!$W$6:$W$505,DM$3,実績!$AI$6:$AI$505,"&lt;="&amp;$A273,実績!$AJ$6:$AJ$505,"&gt;"&amp;$A273,実績!$AL$6:$AL$505,"○")&gt;0,1,0))</f>
        <v>0</v>
      </c>
      <c r="DN273" s="39" t="n">
        <f aca="false">IF(DN$4=0,0,IF(COUNTIFS(実績!$W$6:$W$505,DN$3,実績!$AI$6:$AI$505,"&lt;="&amp;$A273,実績!$AJ$6:$AJ$505,"&gt;"&amp;$A273,実績!$AL$6:$AL$505,"○")&gt;0,1,0))</f>
        <v>0</v>
      </c>
      <c r="DO273" s="39" t="n">
        <f aca="false">IF(DO$4=0,0,IF(COUNTIFS(実績!$W$6:$W$505,DO$3,実績!$AI$6:$AI$505,"&lt;="&amp;$A273,実績!$AJ$6:$AJ$505,"&gt;"&amp;$A273,実績!$AL$6:$AL$505,"○")&gt;0,1,0))</f>
        <v>0</v>
      </c>
      <c r="DP273" s="39" t="n">
        <f aca="false">IF(DP$4=0,0,IF(COUNTIFS(実績!$W$6:$W$505,DP$3,実績!$AI$6:$AI$505,"&lt;="&amp;$A273,実績!$AJ$6:$AJ$505,"&gt;"&amp;$A273,実績!$AL$6:$AL$505,"○")&gt;0,1,0))</f>
        <v>0</v>
      </c>
      <c r="DQ273" s="39" t="n">
        <f aca="false">IF(DQ$4=0,0,IF(COUNTIFS(実績!$W$6:$W$505,DQ$3,実績!$AI$6:$AI$505,"&lt;="&amp;$A273,実績!$AJ$6:$AJ$505,"&gt;"&amp;$A273,実績!$AL$6:$AL$505,"○")&gt;0,1,0))</f>
        <v>0</v>
      </c>
      <c r="DR273" s="39" t="n">
        <f aca="false">IF(DR$4=0,0,IF(COUNTIFS(実績!$W$6:$W$505,DR$3,実績!$AI$6:$AI$505,"&lt;="&amp;$A273,実績!$AJ$6:$AJ$505,"&gt;"&amp;$A273,実績!$AL$6:$AL$505,"○")&gt;0,1,0))</f>
        <v>0</v>
      </c>
      <c r="DS273" s="39" t="n">
        <f aca="false">SUM(C273:DR273)</f>
        <v>0</v>
      </c>
    </row>
    <row r="274" customFormat="false" ht="15" hidden="false" customHeight="false" outlineLevel="0" collapsed="false">
      <c r="A274" s="0" t="n">
        <v>1340</v>
      </c>
      <c r="B274" s="38" t="n">
        <f aca="false">A274/1440</f>
        <v>0.930555555555556</v>
      </c>
      <c r="C274" s="39" t="n">
        <f aca="false">IF(C$4=0,0,IF(COUNTIFS(実績!$W$6:$W$505,C$3,実績!$AI$6:$AI$505,"&lt;="&amp;$A274,実績!$AJ$6:$AJ$505,"&gt;"&amp;$A274,実績!$AL$6:$AL$505,"○")&gt;0,1,0))</f>
        <v>0</v>
      </c>
      <c r="D274" s="39" t="n">
        <f aca="false">IF(D$4=0,0,IF(COUNTIFS(実績!$W$6:$W$505,D$3,実績!$AI$6:$AI$505,"&lt;="&amp;$A274,実績!$AJ$6:$AJ$505,"&gt;"&amp;$A274,実績!$AL$6:$AL$505,"○")&gt;0,1,0))</f>
        <v>0</v>
      </c>
      <c r="E274" s="39" t="n">
        <f aca="false">IF(E$4=0,0,IF(COUNTIFS(実績!$W$6:$W$505,E$3,実績!$AI$6:$AI$505,"&lt;="&amp;$A274,実績!$AJ$6:$AJ$505,"&gt;"&amp;$A274,実績!$AL$6:$AL$505,"○")&gt;0,1,0))</f>
        <v>0</v>
      </c>
      <c r="F274" s="39" t="n">
        <f aca="false">IF(F$4=0,0,IF(COUNTIFS(実績!$W$6:$W$505,F$3,実績!$AI$6:$AI$505,"&lt;="&amp;$A274,実績!$AJ$6:$AJ$505,"&gt;"&amp;$A274,実績!$AL$6:$AL$505,"○")&gt;0,1,0))</f>
        <v>0</v>
      </c>
      <c r="G274" s="39" t="n">
        <f aca="false">IF(G$4=0,0,IF(COUNTIFS(実績!$W$6:$W$505,G$3,実績!$AI$6:$AI$505,"&lt;="&amp;$A274,実績!$AJ$6:$AJ$505,"&gt;"&amp;$A274,実績!$AL$6:$AL$505,"○")&gt;0,1,0))</f>
        <v>0</v>
      </c>
      <c r="H274" s="39" t="n">
        <f aca="false">IF(H$4=0,0,IF(COUNTIFS(実績!$W$6:$W$505,H$3,実績!$AI$6:$AI$505,"&lt;="&amp;$A274,実績!$AJ$6:$AJ$505,"&gt;"&amp;$A274,実績!$AL$6:$AL$505,"○")&gt;0,1,0))</f>
        <v>0</v>
      </c>
      <c r="I274" s="39" t="n">
        <f aca="false">IF(I$4=0,0,IF(COUNTIFS(実績!$W$6:$W$505,I$3,実績!$AI$6:$AI$505,"&lt;="&amp;$A274,実績!$AJ$6:$AJ$505,"&gt;"&amp;$A274,実績!$AL$6:$AL$505,"○")&gt;0,1,0))</f>
        <v>0</v>
      </c>
      <c r="J274" s="39" t="n">
        <f aca="false">IF(J$4=0,0,IF(COUNTIFS(実績!$W$6:$W$505,J$3,実績!$AI$6:$AI$505,"&lt;="&amp;$A274,実績!$AJ$6:$AJ$505,"&gt;"&amp;$A274,実績!$AL$6:$AL$505,"○")&gt;0,1,0))</f>
        <v>0</v>
      </c>
      <c r="K274" s="39" t="n">
        <f aca="false">IF(K$4=0,0,IF(COUNTIFS(実績!$W$6:$W$505,K$3,実績!$AI$6:$AI$505,"&lt;="&amp;$A274,実績!$AJ$6:$AJ$505,"&gt;"&amp;$A274,実績!$AL$6:$AL$505,"○")&gt;0,1,0))</f>
        <v>0</v>
      </c>
      <c r="L274" s="39" t="n">
        <f aca="false">IF(L$4=0,0,IF(COUNTIFS(実績!$W$6:$W$505,L$3,実績!$AI$6:$AI$505,"&lt;="&amp;$A274,実績!$AJ$6:$AJ$505,"&gt;"&amp;$A274,実績!$AL$6:$AL$505,"○")&gt;0,1,0))</f>
        <v>0</v>
      </c>
      <c r="M274" s="39" t="n">
        <f aca="false">IF(M$4=0,0,IF(COUNTIFS(実績!$W$6:$W$505,M$3,実績!$AI$6:$AI$505,"&lt;="&amp;$A274,実績!$AJ$6:$AJ$505,"&gt;"&amp;$A274,実績!$AL$6:$AL$505,"○")&gt;0,1,0))</f>
        <v>0</v>
      </c>
      <c r="N274" s="39" t="n">
        <f aca="false">IF(N$4=0,0,IF(COUNTIFS(実績!$W$6:$W$505,N$3,実績!$AI$6:$AI$505,"&lt;="&amp;$A274,実績!$AJ$6:$AJ$505,"&gt;"&amp;$A274,実績!$AL$6:$AL$505,"○")&gt;0,1,0))</f>
        <v>0</v>
      </c>
      <c r="O274" s="39" t="n">
        <f aca="false">IF(O$4=0,0,IF(COUNTIFS(実績!$W$6:$W$505,O$3,実績!$AI$6:$AI$505,"&lt;="&amp;$A274,実績!$AJ$6:$AJ$505,"&gt;"&amp;$A274,実績!$AL$6:$AL$505,"○")&gt;0,1,0))</f>
        <v>0</v>
      </c>
      <c r="P274" s="39" t="n">
        <f aca="false">IF(P$4=0,0,IF(COUNTIFS(実績!$W$6:$W$505,P$3,実績!$AI$6:$AI$505,"&lt;="&amp;$A274,実績!$AJ$6:$AJ$505,"&gt;"&amp;$A274,実績!$AL$6:$AL$505,"○")&gt;0,1,0))</f>
        <v>0</v>
      </c>
      <c r="Q274" s="39" t="n">
        <f aca="false">IF(Q$4=0,0,IF(COUNTIFS(実績!$W$6:$W$505,Q$3,実績!$AI$6:$AI$505,"&lt;="&amp;$A274,実績!$AJ$6:$AJ$505,"&gt;"&amp;$A274,実績!$AL$6:$AL$505,"○")&gt;0,1,0))</f>
        <v>0</v>
      </c>
      <c r="R274" s="39" t="n">
        <f aca="false">IF(R$4=0,0,IF(COUNTIFS(実績!$W$6:$W$505,R$3,実績!$AI$6:$AI$505,"&lt;="&amp;$A274,実績!$AJ$6:$AJ$505,"&gt;"&amp;$A274,実績!$AL$6:$AL$505,"○")&gt;0,1,0))</f>
        <v>0</v>
      </c>
      <c r="S274" s="39" t="n">
        <f aca="false">IF(S$4=0,0,IF(COUNTIFS(実績!$W$6:$W$505,S$3,実績!$AI$6:$AI$505,"&lt;="&amp;$A274,実績!$AJ$6:$AJ$505,"&gt;"&amp;$A274,実績!$AL$6:$AL$505,"○")&gt;0,1,0))</f>
        <v>0</v>
      </c>
      <c r="T274" s="39" t="n">
        <f aca="false">IF(T$4=0,0,IF(COUNTIFS(実績!$W$6:$W$505,T$3,実績!$AI$6:$AI$505,"&lt;="&amp;$A274,実績!$AJ$6:$AJ$505,"&gt;"&amp;$A274,実績!$AL$6:$AL$505,"○")&gt;0,1,0))</f>
        <v>0</v>
      </c>
      <c r="U274" s="39" t="n">
        <f aca="false">IF(U$4=0,0,IF(COUNTIFS(実績!$W$6:$W$505,U$3,実績!$AI$6:$AI$505,"&lt;="&amp;$A274,実績!$AJ$6:$AJ$505,"&gt;"&amp;$A274,実績!$AL$6:$AL$505,"○")&gt;0,1,0))</f>
        <v>0</v>
      </c>
      <c r="V274" s="39" t="n">
        <f aca="false">IF(V$4=0,0,IF(COUNTIFS(実績!$W$6:$W$505,V$3,実績!$AI$6:$AI$505,"&lt;="&amp;$A274,実績!$AJ$6:$AJ$505,"&gt;"&amp;$A274,実績!$AL$6:$AL$505,"○")&gt;0,1,0))</f>
        <v>0</v>
      </c>
      <c r="W274" s="39" t="n">
        <f aca="false">IF(W$4=0,0,IF(COUNTIFS(実績!$W$6:$W$505,W$3,実績!$AI$6:$AI$505,"&lt;="&amp;$A274,実績!$AJ$6:$AJ$505,"&gt;"&amp;$A274,実績!$AL$6:$AL$505,"○")&gt;0,1,0))</f>
        <v>0</v>
      </c>
      <c r="X274" s="39" t="n">
        <f aca="false">IF(X$4=0,0,IF(COUNTIFS(実績!$W$6:$W$505,X$3,実績!$AI$6:$AI$505,"&lt;="&amp;$A274,実績!$AJ$6:$AJ$505,"&gt;"&amp;$A274,実績!$AL$6:$AL$505,"○")&gt;0,1,0))</f>
        <v>0</v>
      </c>
      <c r="Y274" s="39" t="n">
        <f aca="false">IF(Y$4=0,0,IF(COUNTIFS(実績!$W$6:$W$505,Y$3,実績!$AI$6:$AI$505,"&lt;="&amp;$A274,実績!$AJ$6:$AJ$505,"&gt;"&amp;$A274,実績!$AL$6:$AL$505,"○")&gt;0,1,0))</f>
        <v>0</v>
      </c>
      <c r="Z274" s="39" t="n">
        <f aca="false">IF(Z$4=0,0,IF(COUNTIFS(実績!$W$6:$W$505,Z$3,実績!$AI$6:$AI$505,"&lt;="&amp;$A274,実績!$AJ$6:$AJ$505,"&gt;"&amp;$A274,実績!$AL$6:$AL$505,"○")&gt;0,1,0))</f>
        <v>0</v>
      </c>
      <c r="AA274" s="39" t="n">
        <f aca="false">IF(AA$4=0,0,IF(COUNTIFS(実績!$W$6:$W$505,AA$3,実績!$AI$6:$AI$505,"&lt;="&amp;$A274,実績!$AJ$6:$AJ$505,"&gt;"&amp;$A274,実績!$AL$6:$AL$505,"○")&gt;0,1,0))</f>
        <v>0</v>
      </c>
      <c r="AB274" s="39" t="n">
        <f aca="false">IF(AB$4=0,0,IF(COUNTIFS(実績!$W$6:$W$505,AB$3,実績!$AI$6:$AI$505,"&lt;="&amp;$A274,実績!$AJ$6:$AJ$505,"&gt;"&amp;$A274,実績!$AL$6:$AL$505,"○")&gt;0,1,0))</f>
        <v>0</v>
      </c>
      <c r="AC274" s="39" t="n">
        <f aca="false">IF(AC$4=0,0,IF(COUNTIFS(実績!$W$6:$W$505,AC$3,実績!$AI$6:$AI$505,"&lt;="&amp;$A274,実績!$AJ$6:$AJ$505,"&gt;"&amp;$A274,実績!$AL$6:$AL$505,"○")&gt;0,1,0))</f>
        <v>0</v>
      </c>
      <c r="AD274" s="39" t="n">
        <f aca="false">IF(AD$4=0,0,IF(COUNTIFS(実績!$W$6:$W$505,AD$3,実績!$AI$6:$AI$505,"&lt;="&amp;$A274,実績!$AJ$6:$AJ$505,"&gt;"&amp;$A274,実績!$AL$6:$AL$505,"○")&gt;0,1,0))</f>
        <v>0</v>
      </c>
      <c r="AE274" s="39" t="n">
        <f aca="false">IF(AE$4=0,0,IF(COUNTIFS(実績!$W$6:$W$505,AE$3,実績!$AI$6:$AI$505,"&lt;="&amp;$A274,実績!$AJ$6:$AJ$505,"&gt;"&amp;$A274,実績!$AL$6:$AL$505,"○")&gt;0,1,0))</f>
        <v>0</v>
      </c>
      <c r="AF274" s="39" t="n">
        <f aca="false">IF(AF$4=0,0,IF(COUNTIFS(実績!$W$6:$W$505,AF$3,実績!$AI$6:$AI$505,"&lt;="&amp;$A274,実績!$AJ$6:$AJ$505,"&gt;"&amp;$A274,実績!$AL$6:$AL$505,"○")&gt;0,1,0))</f>
        <v>0</v>
      </c>
      <c r="AG274" s="39" t="n">
        <f aca="false">IF(AG$4=0,0,IF(COUNTIFS(実績!$W$6:$W$505,AG$3,実績!$AI$6:$AI$505,"&lt;="&amp;$A274,実績!$AJ$6:$AJ$505,"&gt;"&amp;$A274,実績!$AL$6:$AL$505,"○")&gt;0,1,0))</f>
        <v>0</v>
      </c>
      <c r="AH274" s="39" t="n">
        <f aca="false">IF(AH$4=0,0,IF(COUNTIFS(実績!$W$6:$W$505,AH$3,実績!$AI$6:$AI$505,"&lt;="&amp;$A274,実績!$AJ$6:$AJ$505,"&gt;"&amp;$A274,実績!$AL$6:$AL$505,"○")&gt;0,1,0))</f>
        <v>0</v>
      </c>
      <c r="AI274" s="39" t="n">
        <f aca="false">IF(AI$4=0,0,IF(COUNTIFS(実績!$W$6:$W$505,AI$3,実績!$AI$6:$AI$505,"&lt;="&amp;$A274,実績!$AJ$6:$AJ$505,"&gt;"&amp;$A274,実績!$AL$6:$AL$505,"○")&gt;0,1,0))</f>
        <v>0</v>
      </c>
      <c r="AJ274" s="39" t="n">
        <f aca="false">IF(AJ$4=0,0,IF(COUNTIFS(実績!$W$6:$W$505,AJ$3,実績!$AI$6:$AI$505,"&lt;="&amp;$A274,実績!$AJ$6:$AJ$505,"&gt;"&amp;$A274,実績!$AL$6:$AL$505,"○")&gt;0,1,0))</f>
        <v>0</v>
      </c>
      <c r="AK274" s="39" t="n">
        <f aca="false">IF(AK$4=0,0,IF(COUNTIFS(実績!$W$6:$W$505,AK$3,実績!$AI$6:$AI$505,"&lt;="&amp;$A274,実績!$AJ$6:$AJ$505,"&gt;"&amp;$A274,実績!$AL$6:$AL$505,"○")&gt;0,1,0))</f>
        <v>0</v>
      </c>
      <c r="AL274" s="39" t="n">
        <f aca="false">IF(AL$4=0,0,IF(COUNTIFS(実績!$W$6:$W$505,AL$3,実績!$AI$6:$AI$505,"&lt;="&amp;$A274,実績!$AJ$6:$AJ$505,"&gt;"&amp;$A274,実績!$AL$6:$AL$505,"○")&gt;0,1,0))</f>
        <v>0</v>
      </c>
      <c r="AM274" s="39" t="n">
        <f aca="false">IF(AM$4=0,0,IF(COUNTIFS(実績!$W$6:$W$505,AM$3,実績!$AI$6:$AI$505,"&lt;="&amp;$A274,実績!$AJ$6:$AJ$505,"&gt;"&amp;$A274,実績!$AL$6:$AL$505,"○")&gt;0,1,0))</f>
        <v>0</v>
      </c>
      <c r="AN274" s="39" t="n">
        <f aca="false">IF(AN$4=0,0,IF(COUNTIFS(実績!$W$6:$W$505,AN$3,実績!$AI$6:$AI$505,"&lt;="&amp;$A274,実績!$AJ$6:$AJ$505,"&gt;"&amp;$A274,実績!$AL$6:$AL$505,"○")&gt;0,1,0))</f>
        <v>0</v>
      </c>
      <c r="AO274" s="39" t="n">
        <f aca="false">IF(AO$4=0,0,IF(COUNTIFS(実績!$W$6:$W$505,AO$3,実績!$AI$6:$AI$505,"&lt;="&amp;$A274,実績!$AJ$6:$AJ$505,"&gt;"&amp;$A274,実績!$AL$6:$AL$505,"○")&gt;0,1,0))</f>
        <v>0</v>
      </c>
      <c r="AP274" s="39" t="n">
        <f aca="false">IF(AP$4=0,0,IF(COUNTIFS(実績!$W$6:$W$505,AP$3,実績!$AI$6:$AI$505,"&lt;="&amp;$A274,実績!$AJ$6:$AJ$505,"&gt;"&amp;$A274,実績!$AL$6:$AL$505,"○")&gt;0,1,0))</f>
        <v>0</v>
      </c>
      <c r="AQ274" s="39" t="n">
        <f aca="false">IF(AQ$4=0,0,IF(COUNTIFS(実績!$W$6:$W$505,AQ$3,実績!$AI$6:$AI$505,"&lt;="&amp;$A274,実績!$AJ$6:$AJ$505,"&gt;"&amp;$A274,実績!$AL$6:$AL$505,"○")&gt;0,1,0))</f>
        <v>0</v>
      </c>
      <c r="AR274" s="39" t="n">
        <f aca="false">IF(AR$4=0,0,IF(COUNTIFS(実績!$W$6:$W$505,AR$3,実績!$AI$6:$AI$505,"&lt;="&amp;$A274,実績!$AJ$6:$AJ$505,"&gt;"&amp;$A274,実績!$AL$6:$AL$505,"○")&gt;0,1,0))</f>
        <v>0</v>
      </c>
      <c r="AS274" s="39" t="n">
        <f aca="false">IF(AS$4=0,0,IF(COUNTIFS(実績!$W$6:$W$505,AS$3,実績!$AI$6:$AI$505,"&lt;="&amp;$A274,実績!$AJ$6:$AJ$505,"&gt;"&amp;$A274,実績!$AL$6:$AL$505,"○")&gt;0,1,0))</f>
        <v>0</v>
      </c>
      <c r="AT274" s="39" t="n">
        <f aca="false">IF(AT$4=0,0,IF(COUNTIFS(実績!$W$6:$W$505,AT$3,実績!$AI$6:$AI$505,"&lt;="&amp;$A274,実績!$AJ$6:$AJ$505,"&gt;"&amp;$A274,実績!$AL$6:$AL$505,"○")&gt;0,1,0))</f>
        <v>0</v>
      </c>
      <c r="AU274" s="39" t="n">
        <f aca="false">IF(AU$4=0,0,IF(COUNTIFS(実績!$W$6:$W$505,AU$3,実績!$AI$6:$AI$505,"&lt;="&amp;$A274,実績!$AJ$6:$AJ$505,"&gt;"&amp;$A274,実績!$AL$6:$AL$505,"○")&gt;0,1,0))</f>
        <v>0</v>
      </c>
      <c r="AV274" s="39" t="n">
        <f aca="false">IF(AV$4=0,0,IF(COUNTIFS(実績!$W$6:$W$505,AV$3,実績!$AI$6:$AI$505,"&lt;="&amp;$A274,実績!$AJ$6:$AJ$505,"&gt;"&amp;$A274,実績!$AL$6:$AL$505,"○")&gt;0,1,0))</f>
        <v>0</v>
      </c>
      <c r="AW274" s="39" t="n">
        <f aca="false">IF(AW$4=0,0,IF(COUNTIFS(実績!$W$6:$W$505,AW$3,実績!$AI$6:$AI$505,"&lt;="&amp;$A274,実績!$AJ$6:$AJ$505,"&gt;"&amp;$A274,実績!$AL$6:$AL$505,"○")&gt;0,1,0))</f>
        <v>0</v>
      </c>
      <c r="AX274" s="39" t="n">
        <f aca="false">IF(AX$4=0,0,IF(COUNTIFS(実績!$W$6:$W$505,AX$3,実績!$AI$6:$AI$505,"&lt;="&amp;$A274,実績!$AJ$6:$AJ$505,"&gt;"&amp;$A274,実績!$AL$6:$AL$505,"○")&gt;0,1,0))</f>
        <v>0</v>
      </c>
      <c r="AY274" s="39" t="n">
        <f aca="false">IF(AY$4=0,0,IF(COUNTIFS(実績!$W$6:$W$505,AY$3,実績!$AI$6:$AI$505,"&lt;="&amp;$A274,実績!$AJ$6:$AJ$505,"&gt;"&amp;$A274,実績!$AL$6:$AL$505,"○")&gt;0,1,0))</f>
        <v>0</v>
      </c>
      <c r="AZ274" s="39" t="n">
        <f aca="false">IF(AZ$4=0,0,IF(COUNTIFS(実績!$W$6:$W$505,AZ$3,実績!$AI$6:$AI$505,"&lt;="&amp;$A274,実績!$AJ$6:$AJ$505,"&gt;"&amp;$A274,実績!$AL$6:$AL$505,"○")&gt;0,1,0))</f>
        <v>0</v>
      </c>
      <c r="BA274" s="39" t="n">
        <f aca="false">IF(BA$4=0,0,IF(COUNTIFS(実績!$W$6:$W$505,BA$3,実績!$AI$6:$AI$505,"&lt;="&amp;$A274,実績!$AJ$6:$AJ$505,"&gt;"&amp;$A274,実績!$AL$6:$AL$505,"○")&gt;0,1,0))</f>
        <v>0</v>
      </c>
      <c r="BB274" s="39" t="n">
        <f aca="false">IF(BB$4=0,0,IF(COUNTIFS(実績!$W$6:$W$505,BB$3,実績!$AI$6:$AI$505,"&lt;="&amp;$A274,実績!$AJ$6:$AJ$505,"&gt;"&amp;$A274,実績!$AL$6:$AL$505,"○")&gt;0,1,0))</f>
        <v>0</v>
      </c>
      <c r="BC274" s="39" t="n">
        <f aca="false">IF(BC$4=0,0,IF(COUNTIFS(実績!$W$6:$W$505,BC$3,実績!$AI$6:$AI$505,"&lt;="&amp;$A274,実績!$AJ$6:$AJ$505,"&gt;"&amp;$A274,実績!$AL$6:$AL$505,"○")&gt;0,1,0))</f>
        <v>0</v>
      </c>
      <c r="BD274" s="39" t="n">
        <f aca="false">IF(BD$4=0,0,IF(COUNTIFS(実績!$W$6:$W$505,BD$3,実績!$AI$6:$AI$505,"&lt;="&amp;$A274,実績!$AJ$6:$AJ$505,"&gt;"&amp;$A274,実績!$AL$6:$AL$505,"○")&gt;0,1,0))</f>
        <v>0</v>
      </c>
      <c r="BE274" s="39" t="n">
        <f aca="false">IF(BE$4=0,0,IF(COUNTIFS(実績!$W$6:$W$505,BE$3,実績!$AI$6:$AI$505,"&lt;="&amp;$A274,実績!$AJ$6:$AJ$505,"&gt;"&amp;$A274,実績!$AL$6:$AL$505,"○")&gt;0,1,0))</f>
        <v>0</v>
      </c>
      <c r="BF274" s="39" t="n">
        <f aca="false">IF(BF$4=0,0,IF(COUNTIFS(実績!$W$6:$W$505,BF$3,実績!$AI$6:$AI$505,"&lt;="&amp;$A274,実績!$AJ$6:$AJ$505,"&gt;"&amp;$A274,実績!$AL$6:$AL$505,"○")&gt;0,1,0))</f>
        <v>0</v>
      </c>
      <c r="BG274" s="39" t="n">
        <f aca="false">IF(BG$4=0,0,IF(COUNTIFS(実績!$W$6:$W$505,BG$3,実績!$AI$6:$AI$505,"&lt;="&amp;$A274,実績!$AJ$6:$AJ$505,"&gt;"&amp;$A274,実績!$AL$6:$AL$505,"○")&gt;0,1,0))</f>
        <v>0</v>
      </c>
      <c r="BH274" s="39" t="n">
        <f aca="false">IF(BH$4=0,0,IF(COUNTIFS(実績!$W$6:$W$505,BH$3,実績!$AI$6:$AI$505,"&lt;="&amp;$A274,実績!$AJ$6:$AJ$505,"&gt;"&amp;$A274,実績!$AL$6:$AL$505,"○")&gt;0,1,0))</f>
        <v>0</v>
      </c>
      <c r="BI274" s="39" t="n">
        <f aca="false">IF(BI$4=0,0,IF(COUNTIFS(実績!$W$6:$W$505,BI$3,実績!$AI$6:$AI$505,"&lt;="&amp;$A274,実績!$AJ$6:$AJ$505,"&gt;"&amp;$A274,実績!$AL$6:$AL$505,"○")&gt;0,1,0))</f>
        <v>0</v>
      </c>
      <c r="BJ274" s="39" t="n">
        <f aca="false">IF(BJ$4=0,0,IF(COUNTIFS(実績!$W$6:$W$505,BJ$3,実績!$AI$6:$AI$505,"&lt;="&amp;$A274,実績!$AJ$6:$AJ$505,"&gt;"&amp;$A274,実績!$AL$6:$AL$505,"○")&gt;0,1,0))</f>
        <v>0</v>
      </c>
      <c r="BK274" s="39" t="n">
        <f aca="false">IF(BK$4=0,0,IF(COUNTIFS(実績!$W$6:$W$505,BK$3,実績!$AI$6:$AI$505,"&lt;="&amp;$A274,実績!$AJ$6:$AJ$505,"&gt;"&amp;$A274,実績!$AL$6:$AL$505,"○")&gt;0,1,0))</f>
        <v>0</v>
      </c>
      <c r="BL274" s="39" t="n">
        <f aca="false">IF(BL$4=0,0,IF(COUNTIFS(実績!$W$6:$W$505,BL$3,実績!$AI$6:$AI$505,"&lt;="&amp;$A274,実績!$AJ$6:$AJ$505,"&gt;"&amp;$A274,実績!$AL$6:$AL$505,"○")&gt;0,1,0))</f>
        <v>0</v>
      </c>
      <c r="BM274" s="39" t="n">
        <f aca="false">IF(BM$4=0,0,IF(COUNTIFS(実績!$W$6:$W$505,BM$3,実績!$AI$6:$AI$505,"&lt;="&amp;$A274,実績!$AJ$6:$AJ$505,"&gt;"&amp;$A274,実績!$AL$6:$AL$505,"○")&gt;0,1,0))</f>
        <v>0</v>
      </c>
      <c r="BN274" s="39" t="n">
        <f aca="false">IF(BN$4=0,0,IF(COUNTIFS(実績!$W$6:$W$505,BN$3,実績!$AI$6:$AI$505,"&lt;="&amp;$A274,実績!$AJ$6:$AJ$505,"&gt;"&amp;$A274,実績!$AL$6:$AL$505,"○")&gt;0,1,0))</f>
        <v>0</v>
      </c>
      <c r="BO274" s="39" t="n">
        <f aca="false">IF(BO$4=0,0,IF(COUNTIFS(実績!$W$6:$W$505,BO$3,実績!$AI$6:$AI$505,"&lt;="&amp;$A274,実績!$AJ$6:$AJ$505,"&gt;"&amp;$A274,実績!$AL$6:$AL$505,"○")&gt;0,1,0))</f>
        <v>0</v>
      </c>
      <c r="BP274" s="39" t="n">
        <f aca="false">IF(BP$4=0,0,IF(COUNTIFS(実績!$W$6:$W$505,BP$3,実績!$AI$6:$AI$505,"&lt;="&amp;$A274,実績!$AJ$6:$AJ$505,"&gt;"&amp;$A274,実績!$AL$6:$AL$505,"○")&gt;0,1,0))</f>
        <v>0</v>
      </c>
      <c r="BQ274" s="39" t="n">
        <f aca="false">IF(BQ$4=0,0,IF(COUNTIFS(実績!$W$6:$W$505,BQ$3,実績!$AI$6:$AI$505,"&lt;="&amp;$A274,実績!$AJ$6:$AJ$505,"&gt;"&amp;$A274,実績!$AL$6:$AL$505,"○")&gt;0,1,0))</f>
        <v>0</v>
      </c>
      <c r="BR274" s="39" t="n">
        <f aca="false">IF(BR$4=0,0,IF(COUNTIFS(実績!$W$6:$W$505,BR$3,実績!$AI$6:$AI$505,"&lt;="&amp;$A274,実績!$AJ$6:$AJ$505,"&gt;"&amp;$A274,実績!$AL$6:$AL$505,"○")&gt;0,1,0))</f>
        <v>0</v>
      </c>
      <c r="BS274" s="39" t="n">
        <f aca="false">IF(BS$4=0,0,IF(COUNTIFS(実績!$W$6:$W$505,BS$3,実績!$AI$6:$AI$505,"&lt;="&amp;$A274,実績!$AJ$6:$AJ$505,"&gt;"&amp;$A274,実績!$AL$6:$AL$505,"○")&gt;0,1,0))</f>
        <v>0</v>
      </c>
      <c r="BT274" s="39" t="n">
        <f aca="false">IF(BT$4=0,0,IF(COUNTIFS(実績!$W$6:$W$505,BT$3,実績!$AI$6:$AI$505,"&lt;="&amp;$A274,実績!$AJ$6:$AJ$505,"&gt;"&amp;$A274,実績!$AL$6:$AL$505,"○")&gt;0,1,0))</f>
        <v>0</v>
      </c>
      <c r="BU274" s="39" t="n">
        <f aca="false">IF(BU$4=0,0,IF(COUNTIFS(実績!$W$6:$W$505,BU$3,実績!$AI$6:$AI$505,"&lt;="&amp;$A274,実績!$AJ$6:$AJ$505,"&gt;"&amp;$A274,実績!$AL$6:$AL$505,"○")&gt;0,1,0))</f>
        <v>0</v>
      </c>
      <c r="BV274" s="39" t="n">
        <f aca="false">IF(BV$4=0,0,IF(COUNTIFS(実績!$W$6:$W$505,BV$3,実績!$AI$6:$AI$505,"&lt;="&amp;$A274,実績!$AJ$6:$AJ$505,"&gt;"&amp;$A274,実績!$AL$6:$AL$505,"○")&gt;0,1,0))</f>
        <v>0</v>
      </c>
      <c r="BW274" s="39" t="n">
        <f aca="false">IF(BW$4=0,0,IF(COUNTIFS(実績!$W$6:$W$505,BW$3,実績!$AI$6:$AI$505,"&lt;="&amp;$A274,実績!$AJ$6:$AJ$505,"&gt;"&amp;$A274,実績!$AL$6:$AL$505,"○")&gt;0,1,0))</f>
        <v>0</v>
      </c>
      <c r="BX274" s="39" t="n">
        <f aca="false">IF(BX$4=0,0,IF(COUNTIFS(実績!$W$6:$W$505,BX$3,実績!$AI$6:$AI$505,"&lt;="&amp;$A274,実績!$AJ$6:$AJ$505,"&gt;"&amp;$A274,実績!$AL$6:$AL$505,"○")&gt;0,1,0))</f>
        <v>0</v>
      </c>
      <c r="BY274" s="39" t="n">
        <f aca="false">IF(BY$4=0,0,IF(COUNTIFS(実績!$W$6:$W$505,BY$3,実績!$AI$6:$AI$505,"&lt;="&amp;$A274,実績!$AJ$6:$AJ$505,"&gt;"&amp;$A274,実績!$AL$6:$AL$505,"○")&gt;0,1,0))</f>
        <v>0</v>
      </c>
      <c r="BZ274" s="39" t="n">
        <f aca="false">IF(BZ$4=0,0,IF(COUNTIFS(実績!$W$6:$W$505,BZ$3,実績!$AI$6:$AI$505,"&lt;="&amp;$A274,実績!$AJ$6:$AJ$505,"&gt;"&amp;$A274,実績!$AL$6:$AL$505,"○")&gt;0,1,0))</f>
        <v>0</v>
      </c>
      <c r="CA274" s="39" t="n">
        <f aca="false">IF(CA$4=0,0,IF(COUNTIFS(実績!$W$6:$W$505,CA$3,実績!$AI$6:$AI$505,"&lt;="&amp;$A274,実績!$AJ$6:$AJ$505,"&gt;"&amp;$A274,実績!$AL$6:$AL$505,"○")&gt;0,1,0))</f>
        <v>0</v>
      </c>
      <c r="CB274" s="39" t="n">
        <f aca="false">IF(CB$4=0,0,IF(COUNTIFS(実績!$W$6:$W$505,CB$3,実績!$AI$6:$AI$505,"&lt;="&amp;$A274,実績!$AJ$6:$AJ$505,"&gt;"&amp;$A274,実績!$AL$6:$AL$505,"○")&gt;0,1,0))</f>
        <v>0</v>
      </c>
      <c r="CC274" s="39" t="n">
        <f aca="false">IF(CC$4=0,0,IF(COUNTIFS(実績!$W$6:$W$505,CC$3,実績!$AI$6:$AI$505,"&lt;="&amp;$A274,実績!$AJ$6:$AJ$505,"&gt;"&amp;$A274,実績!$AL$6:$AL$505,"○")&gt;0,1,0))</f>
        <v>0</v>
      </c>
      <c r="CD274" s="39" t="n">
        <f aca="false">IF(CD$4=0,0,IF(COUNTIFS(実績!$W$6:$W$505,CD$3,実績!$AI$6:$AI$505,"&lt;="&amp;$A274,実績!$AJ$6:$AJ$505,"&gt;"&amp;$A274,実績!$AL$6:$AL$505,"○")&gt;0,1,0))</f>
        <v>0</v>
      </c>
      <c r="CE274" s="39" t="n">
        <f aca="false">IF(CE$4=0,0,IF(COUNTIFS(実績!$W$6:$W$505,CE$3,実績!$AI$6:$AI$505,"&lt;="&amp;$A274,実績!$AJ$6:$AJ$505,"&gt;"&amp;$A274,実績!$AL$6:$AL$505,"○")&gt;0,1,0))</f>
        <v>0</v>
      </c>
      <c r="CF274" s="39" t="n">
        <f aca="false">IF(CF$4=0,0,IF(COUNTIFS(実績!$W$6:$W$505,CF$3,実績!$AI$6:$AI$505,"&lt;="&amp;$A274,実績!$AJ$6:$AJ$505,"&gt;"&amp;$A274,実績!$AL$6:$AL$505,"○")&gt;0,1,0))</f>
        <v>0</v>
      </c>
      <c r="CG274" s="39" t="n">
        <f aca="false">IF(CG$4=0,0,IF(COUNTIFS(実績!$W$6:$W$505,CG$3,実績!$AI$6:$AI$505,"&lt;="&amp;$A274,実績!$AJ$6:$AJ$505,"&gt;"&amp;$A274,実績!$AL$6:$AL$505,"○")&gt;0,1,0))</f>
        <v>0</v>
      </c>
      <c r="CH274" s="39" t="n">
        <f aca="false">IF(CH$4=0,0,IF(COUNTIFS(実績!$W$6:$W$505,CH$3,実績!$AI$6:$AI$505,"&lt;="&amp;$A274,実績!$AJ$6:$AJ$505,"&gt;"&amp;$A274,実績!$AL$6:$AL$505,"○")&gt;0,1,0))</f>
        <v>0</v>
      </c>
      <c r="CI274" s="39" t="n">
        <f aca="false">IF(CI$4=0,0,IF(COUNTIFS(実績!$W$6:$W$505,CI$3,実績!$AI$6:$AI$505,"&lt;="&amp;$A274,実績!$AJ$6:$AJ$505,"&gt;"&amp;$A274,実績!$AL$6:$AL$505,"○")&gt;0,1,0))</f>
        <v>0</v>
      </c>
      <c r="CJ274" s="39" t="n">
        <f aca="false">IF(CJ$4=0,0,IF(COUNTIFS(実績!$W$6:$W$505,CJ$3,実績!$AI$6:$AI$505,"&lt;="&amp;$A274,実績!$AJ$6:$AJ$505,"&gt;"&amp;$A274,実績!$AL$6:$AL$505,"○")&gt;0,1,0))</f>
        <v>0</v>
      </c>
      <c r="CK274" s="39" t="n">
        <f aca="false">IF(CK$4=0,0,IF(COUNTIFS(実績!$W$6:$W$505,CK$3,実績!$AI$6:$AI$505,"&lt;="&amp;$A274,実績!$AJ$6:$AJ$505,"&gt;"&amp;$A274,実績!$AL$6:$AL$505,"○")&gt;0,1,0))</f>
        <v>0</v>
      </c>
      <c r="CL274" s="39" t="n">
        <f aca="false">IF(CL$4=0,0,IF(COUNTIFS(実績!$W$6:$W$505,CL$3,実績!$AI$6:$AI$505,"&lt;="&amp;$A274,実績!$AJ$6:$AJ$505,"&gt;"&amp;$A274,実績!$AL$6:$AL$505,"○")&gt;0,1,0))</f>
        <v>0</v>
      </c>
      <c r="CM274" s="39" t="n">
        <f aca="false">IF(CM$4=0,0,IF(COUNTIFS(実績!$W$6:$W$505,CM$3,実績!$AI$6:$AI$505,"&lt;="&amp;$A274,実績!$AJ$6:$AJ$505,"&gt;"&amp;$A274,実績!$AL$6:$AL$505,"○")&gt;0,1,0))</f>
        <v>0</v>
      </c>
      <c r="CN274" s="39" t="n">
        <f aca="false">IF(CN$4=0,0,IF(COUNTIFS(実績!$W$6:$W$505,CN$3,実績!$AI$6:$AI$505,"&lt;="&amp;$A274,実績!$AJ$6:$AJ$505,"&gt;"&amp;$A274,実績!$AL$6:$AL$505,"○")&gt;0,1,0))</f>
        <v>0</v>
      </c>
      <c r="CO274" s="39" t="n">
        <f aca="false">IF(CO$4=0,0,IF(COUNTIFS(実績!$W$6:$W$505,CO$3,実績!$AI$6:$AI$505,"&lt;="&amp;$A274,実績!$AJ$6:$AJ$505,"&gt;"&amp;$A274,実績!$AL$6:$AL$505,"○")&gt;0,1,0))</f>
        <v>0</v>
      </c>
      <c r="CP274" s="39" t="n">
        <f aca="false">IF(CP$4=0,0,IF(COUNTIFS(実績!$W$6:$W$505,CP$3,実績!$AI$6:$AI$505,"&lt;="&amp;$A274,実績!$AJ$6:$AJ$505,"&gt;"&amp;$A274,実績!$AL$6:$AL$505,"○")&gt;0,1,0))</f>
        <v>0</v>
      </c>
      <c r="CQ274" s="39" t="n">
        <f aca="false">IF(CQ$4=0,0,IF(COUNTIFS(実績!$W$6:$W$505,CQ$3,実績!$AI$6:$AI$505,"&lt;="&amp;$A274,実績!$AJ$6:$AJ$505,"&gt;"&amp;$A274,実績!$AL$6:$AL$505,"○")&gt;0,1,0))</f>
        <v>0</v>
      </c>
      <c r="CR274" s="39" t="n">
        <f aca="false">IF(CR$4=0,0,IF(COUNTIFS(実績!$W$6:$W$505,CR$3,実績!$AI$6:$AI$505,"&lt;="&amp;$A274,実績!$AJ$6:$AJ$505,"&gt;"&amp;$A274,実績!$AL$6:$AL$505,"○")&gt;0,1,0))</f>
        <v>0</v>
      </c>
      <c r="CS274" s="39" t="n">
        <f aca="false">IF(CS$4=0,0,IF(COUNTIFS(実績!$W$6:$W$505,CS$3,実績!$AI$6:$AI$505,"&lt;="&amp;$A274,実績!$AJ$6:$AJ$505,"&gt;"&amp;$A274,実績!$AL$6:$AL$505,"○")&gt;0,1,0))</f>
        <v>0</v>
      </c>
      <c r="CT274" s="39" t="n">
        <f aca="false">IF(CT$4=0,0,IF(COUNTIFS(実績!$W$6:$W$505,CT$3,実績!$AI$6:$AI$505,"&lt;="&amp;$A274,実績!$AJ$6:$AJ$505,"&gt;"&amp;$A274,実績!$AL$6:$AL$505,"○")&gt;0,1,0))</f>
        <v>0</v>
      </c>
      <c r="CU274" s="39" t="n">
        <f aca="false">IF(CU$4=0,0,IF(COUNTIFS(実績!$W$6:$W$505,CU$3,実績!$AI$6:$AI$505,"&lt;="&amp;$A274,実績!$AJ$6:$AJ$505,"&gt;"&amp;$A274,実績!$AL$6:$AL$505,"○")&gt;0,1,0))</f>
        <v>0</v>
      </c>
      <c r="CV274" s="39" t="n">
        <f aca="false">IF(CV$4=0,0,IF(COUNTIFS(実績!$W$6:$W$505,CV$3,実績!$AI$6:$AI$505,"&lt;="&amp;$A274,実績!$AJ$6:$AJ$505,"&gt;"&amp;$A274,実績!$AL$6:$AL$505,"○")&gt;0,1,0))</f>
        <v>0</v>
      </c>
      <c r="CW274" s="39" t="n">
        <f aca="false">IF(CW$4=0,0,IF(COUNTIFS(実績!$W$6:$W$505,CW$3,実績!$AI$6:$AI$505,"&lt;="&amp;$A274,実績!$AJ$6:$AJ$505,"&gt;"&amp;$A274,実績!$AL$6:$AL$505,"○")&gt;0,1,0))</f>
        <v>0</v>
      </c>
      <c r="CX274" s="39" t="n">
        <f aca="false">IF(CX$4=0,0,IF(COUNTIFS(実績!$W$6:$W$505,CX$3,実績!$AI$6:$AI$505,"&lt;="&amp;$A274,実績!$AJ$6:$AJ$505,"&gt;"&amp;$A274,実績!$AL$6:$AL$505,"○")&gt;0,1,0))</f>
        <v>0</v>
      </c>
      <c r="CY274" s="39" t="n">
        <f aca="false">IF(CY$4=0,0,IF(COUNTIFS(実績!$W$6:$W$505,CY$3,実績!$AI$6:$AI$505,"&lt;="&amp;$A274,実績!$AJ$6:$AJ$505,"&gt;"&amp;$A274,実績!$AL$6:$AL$505,"○")&gt;0,1,0))</f>
        <v>0</v>
      </c>
      <c r="CZ274" s="39" t="n">
        <f aca="false">IF(CZ$4=0,0,IF(COUNTIFS(実績!$W$6:$W$505,CZ$3,実績!$AI$6:$AI$505,"&lt;="&amp;$A274,実績!$AJ$6:$AJ$505,"&gt;"&amp;$A274,実績!$AL$6:$AL$505,"○")&gt;0,1,0))</f>
        <v>0</v>
      </c>
      <c r="DA274" s="39" t="n">
        <f aca="false">IF(DA$4=0,0,IF(COUNTIFS(実績!$W$6:$W$505,DA$3,実績!$AI$6:$AI$505,"&lt;="&amp;$A274,実績!$AJ$6:$AJ$505,"&gt;"&amp;$A274,実績!$AL$6:$AL$505,"○")&gt;0,1,0))</f>
        <v>0</v>
      </c>
      <c r="DB274" s="39" t="n">
        <f aca="false">IF(DB$4=0,0,IF(COUNTIFS(実績!$W$6:$W$505,DB$3,実績!$AI$6:$AI$505,"&lt;="&amp;$A274,実績!$AJ$6:$AJ$505,"&gt;"&amp;$A274,実績!$AL$6:$AL$505,"○")&gt;0,1,0))</f>
        <v>0</v>
      </c>
      <c r="DC274" s="39" t="n">
        <f aca="false">IF(DC$4=0,0,IF(COUNTIFS(実績!$W$6:$W$505,DC$3,実績!$AI$6:$AI$505,"&lt;="&amp;$A274,実績!$AJ$6:$AJ$505,"&gt;"&amp;$A274,実績!$AL$6:$AL$505,"○")&gt;0,1,0))</f>
        <v>0</v>
      </c>
      <c r="DD274" s="39" t="n">
        <f aca="false">IF(DD$4=0,0,IF(COUNTIFS(実績!$W$6:$W$505,DD$3,実績!$AI$6:$AI$505,"&lt;="&amp;$A274,実績!$AJ$6:$AJ$505,"&gt;"&amp;$A274,実績!$AL$6:$AL$505,"○")&gt;0,1,0))</f>
        <v>0</v>
      </c>
      <c r="DE274" s="39" t="n">
        <f aca="false">IF(DE$4=0,0,IF(COUNTIFS(実績!$W$6:$W$505,DE$3,実績!$AI$6:$AI$505,"&lt;="&amp;$A274,実績!$AJ$6:$AJ$505,"&gt;"&amp;$A274,実績!$AL$6:$AL$505,"○")&gt;0,1,0))</f>
        <v>0</v>
      </c>
      <c r="DF274" s="39" t="n">
        <f aca="false">IF(DF$4=0,0,IF(COUNTIFS(実績!$W$6:$W$505,DF$3,実績!$AI$6:$AI$505,"&lt;="&amp;$A274,実績!$AJ$6:$AJ$505,"&gt;"&amp;$A274,実績!$AL$6:$AL$505,"○")&gt;0,1,0))</f>
        <v>0</v>
      </c>
      <c r="DG274" s="39" t="n">
        <f aca="false">IF(DG$4=0,0,IF(COUNTIFS(実績!$W$6:$W$505,DG$3,実績!$AI$6:$AI$505,"&lt;="&amp;$A274,実績!$AJ$6:$AJ$505,"&gt;"&amp;$A274,実績!$AL$6:$AL$505,"○")&gt;0,1,0))</f>
        <v>0</v>
      </c>
      <c r="DH274" s="39" t="n">
        <f aca="false">IF(DH$4=0,0,IF(COUNTIFS(実績!$W$6:$W$505,DH$3,実績!$AI$6:$AI$505,"&lt;="&amp;$A274,実績!$AJ$6:$AJ$505,"&gt;"&amp;$A274,実績!$AL$6:$AL$505,"○")&gt;0,1,0))</f>
        <v>0</v>
      </c>
      <c r="DI274" s="39" t="n">
        <f aca="false">IF(DI$4=0,0,IF(COUNTIFS(実績!$W$6:$W$505,DI$3,実績!$AI$6:$AI$505,"&lt;="&amp;$A274,実績!$AJ$6:$AJ$505,"&gt;"&amp;$A274,実績!$AL$6:$AL$505,"○")&gt;0,1,0))</f>
        <v>0</v>
      </c>
      <c r="DJ274" s="39" t="n">
        <f aca="false">IF(DJ$4=0,0,IF(COUNTIFS(実績!$W$6:$W$505,DJ$3,実績!$AI$6:$AI$505,"&lt;="&amp;$A274,実績!$AJ$6:$AJ$505,"&gt;"&amp;$A274,実績!$AL$6:$AL$505,"○")&gt;0,1,0))</f>
        <v>0</v>
      </c>
      <c r="DK274" s="39" t="n">
        <f aca="false">IF(DK$4=0,0,IF(COUNTIFS(実績!$W$6:$W$505,DK$3,実績!$AI$6:$AI$505,"&lt;="&amp;$A274,実績!$AJ$6:$AJ$505,"&gt;"&amp;$A274,実績!$AL$6:$AL$505,"○")&gt;0,1,0))</f>
        <v>0</v>
      </c>
      <c r="DL274" s="39" t="n">
        <f aca="false">IF(DL$4=0,0,IF(COUNTIFS(実績!$W$6:$W$505,DL$3,実績!$AI$6:$AI$505,"&lt;="&amp;$A274,実績!$AJ$6:$AJ$505,"&gt;"&amp;$A274,実績!$AL$6:$AL$505,"○")&gt;0,1,0))</f>
        <v>0</v>
      </c>
      <c r="DM274" s="39" t="n">
        <f aca="false">IF(DM$4=0,0,IF(COUNTIFS(実績!$W$6:$W$505,DM$3,実績!$AI$6:$AI$505,"&lt;="&amp;$A274,実績!$AJ$6:$AJ$505,"&gt;"&amp;$A274,実績!$AL$6:$AL$505,"○")&gt;0,1,0))</f>
        <v>0</v>
      </c>
      <c r="DN274" s="39" t="n">
        <f aca="false">IF(DN$4=0,0,IF(COUNTIFS(実績!$W$6:$W$505,DN$3,実績!$AI$6:$AI$505,"&lt;="&amp;$A274,実績!$AJ$6:$AJ$505,"&gt;"&amp;$A274,実績!$AL$6:$AL$505,"○")&gt;0,1,0))</f>
        <v>0</v>
      </c>
      <c r="DO274" s="39" t="n">
        <f aca="false">IF(DO$4=0,0,IF(COUNTIFS(実績!$W$6:$W$505,DO$3,実績!$AI$6:$AI$505,"&lt;="&amp;$A274,実績!$AJ$6:$AJ$505,"&gt;"&amp;$A274,実績!$AL$6:$AL$505,"○")&gt;0,1,0))</f>
        <v>0</v>
      </c>
      <c r="DP274" s="39" t="n">
        <f aca="false">IF(DP$4=0,0,IF(COUNTIFS(実績!$W$6:$W$505,DP$3,実績!$AI$6:$AI$505,"&lt;="&amp;$A274,実績!$AJ$6:$AJ$505,"&gt;"&amp;$A274,実績!$AL$6:$AL$505,"○")&gt;0,1,0))</f>
        <v>0</v>
      </c>
      <c r="DQ274" s="39" t="n">
        <f aca="false">IF(DQ$4=0,0,IF(COUNTIFS(実績!$W$6:$W$505,DQ$3,実績!$AI$6:$AI$505,"&lt;="&amp;$A274,実績!$AJ$6:$AJ$505,"&gt;"&amp;$A274,実績!$AL$6:$AL$505,"○")&gt;0,1,0))</f>
        <v>0</v>
      </c>
      <c r="DR274" s="39" t="n">
        <f aca="false">IF(DR$4=0,0,IF(COUNTIFS(実績!$W$6:$W$505,DR$3,実績!$AI$6:$AI$505,"&lt;="&amp;$A274,実績!$AJ$6:$AJ$505,"&gt;"&amp;$A274,実績!$AL$6:$AL$505,"○")&gt;0,1,0))</f>
        <v>0</v>
      </c>
      <c r="DS274" s="39" t="n">
        <f aca="false">SUM(C274:DR274)</f>
        <v>0</v>
      </c>
    </row>
    <row r="275" customFormat="false" ht="15" hidden="false" customHeight="false" outlineLevel="0" collapsed="false">
      <c r="A275" s="0" t="n">
        <v>1345</v>
      </c>
      <c r="B275" s="38" t="n">
        <f aca="false">A275/1440</f>
        <v>0.934027777777778</v>
      </c>
      <c r="C275" s="39" t="n">
        <f aca="false">IF(C$4=0,0,IF(COUNTIFS(実績!$W$6:$W$505,C$3,実績!$AI$6:$AI$505,"&lt;="&amp;$A275,実績!$AJ$6:$AJ$505,"&gt;"&amp;$A275,実績!$AL$6:$AL$505,"○")&gt;0,1,0))</f>
        <v>0</v>
      </c>
      <c r="D275" s="39" t="n">
        <f aca="false">IF(D$4=0,0,IF(COUNTIFS(実績!$W$6:$W$505,D$3,実績!$AI$6:$AI$505,"&lt;="&amp;$A275,実績!$AJ$6:$AJ$505,"&gt;"&amp;$A275,実績!$AL$6:$AL$505,"○")&gt;0,1,0))</f>
        <v>0</v>
      </c>
      <c r="E275" s="39" t="n">
        <f aca="false">IF(E$4=0,0,IF(COUNTIFS(実績!$W$6:$W$505,E$3,実績!$AI$6:$AI$505,"&lt;="&amp;$A275,実績!$AJ$6:$AJ$505,"&gt;"&amp;$A275,実績!$AL$6:$AL$505,"○")&gt;0,1,0))</f>
        <v>0</v>
      </c>
      <c r="F275" s="39" t="n">
        <f aca="false">IF(F$4=0,0,IF(COUNTIFS(実績!$W$6:$W$505,F$3,実績!$AI$6:$AI$505,"&lt;="&amp;$A275,実績!$AJ$6:$AJ$505,"&gt;"&amp;$A275,実績!$AL$6:$AL$505,"○")&gt;0,1,0))</f>
        <v>0</v>
      </c>
      <c r="G275" s="39" t="n">
        <f aca="false">IF(G$4=0,0,IF(COUNTIFS(実績!$W$6:$W$505,G$3,実績!$AI$6:$AI$505,"&lt;="&amp;$A275,実績!$AJ$6:$AJ$505,"&gt;"&amp;$A275,実績!$AL$6:$AL$505,"○")&gt;0,1,0))</f>
        <v>0</v>
      </c>
      <c r="H275" s="39" t="n">
        <f aca="false">IF(H$4=0,0,IF(COUNTIFS(実績!$W$6:$W$505,H$3,実績!$AI$6:$AI$505,"&lt;="&amp;$A275,実績!$AJ$6:$AJ$505,"&gt;"&amp;$A275,実績!$AL$6:$AL$505,"○")&gt;0,1,0))</f>
        <v>0</v>
      </c>
      <c r="I275" s="39" t="n">
        <f aca="false">IF(I$4=0,0,IF(COUNTIFS(実績!$W$6:$W$505,I$3,実績!$AI$6:$AI$505,"&lt;="&amp;$A275,実績!$AJ$6:$AJ$505,"&gt;"&amp;$A275,実績!$AL$6:$AL$505,"○")&gt;0,1,0))</f>
        <v>0</v>
      </c>
      <c r="J275" s="39" t="n">
        <f aca="false">IF(J$4=0,0,IF(COUNTIFS(実績!$W$6:$W$505,J$3,実績!$AI$6:$AI$505,"&lt;="&amp;$A275,実績!$AJ$6:$AJ$505,"&gt;"&amp;$A275,実績!$AL$6:$AL$505,"○")&gt;0,1,0))</f>
        <v>0</v>
      </c>
      <c r="K275" s="39" t="n">
        <f aca="false">IF(K$4=0,0,IF(COUNTIFS(実績!$W$6:$W$505,K$3,実績!$AI$6:$AI$505,"&lt;="&amp;$A275,実績!$AJ$6:$AJ$505,"&gt;"&amp;$A275,実績!$AL$6:$AL$505,"○")&gt;0,1,0))</f>
        <v>0</v>
      </c>
      <c r="L275" s="39" t="n">
        <f aca="false">IF(L$4=0,0,IF(COUNTIFS(実績!$W$6:$W$505,L$3,実績!$AI$6:$AI$505,"&lt;="&amp;$A275,実績!$AJ$6:$AJ$505,"&gt;"&amp;$A275,実績!$AL$6:$AL$505,"○")&gt;0,1,0))</f>
        <v>0</v>
      </c>
      <c r="M275" s="39" t="n">
        <f aca="false">IF(M$4=0,0,IF(COUNTIFS(実績!$W$6:$W$505,M$3,実績!$AI$6:$AI$505,"&lt;="&amp;$A275,実績!$AJ$6:$AJ$505,"&gt;"&amp;$A275,実績!$AL$6:$AL$505,"○")&gt;0,1,0))</f>
        <v>0</v>
      </c>
      <c r="N275" s="39" t="n">
        <f aca="false">IF(N$4=0,0,IF(COUNTIFS(実績!$W$6:$W$505,N$3,実績!$AI$6:$AI$505,"&lt;="&amp;$A275,実績!$AJ$6:$AJ$505,"&gt;"&amp;$A275,実績!$AL$6:$AL$505,"○")&gt;0,1,0))</f>
        <v>0</v>
      </c>
      <c r="O275" s="39" t="n">
        <f aca="false">IF(O$4=0,0,IF(COUNTIFS(実績!$W$6:$W$505,O$3,実績!$AI$6:$AI$505,"&lt;="&amp;$A275,実績!$AJ$6:$AJ$505,"&gt;"&amp;$A275,実績!$AL$6:$AL$505,"○")&gt;0,1,0))</f>
        <v>0</v>
      </c>
      <c r="P275" s="39" t="n">
        <f aca="false">IF(P$4=0,0,IF(COUNTIFS(実績!$W$6:$W$505,P$3,実績!$AI$6:$AI$505,"&lt;="&amp;$A275,実績!$AJ$6:$AJ$505,"&gt;"&amp;$A275,実績!$AL$6:$AL$505,"○")&gt;0,1,0))</f>
        <v>0</v>
      </c>
      <c r="Q275" s="39" t="n">
        <f aca="false">IF(Q$4=0,0,IF(COUNTIFS(実績!$W$6:$W$505,Q$3,実績!$AI$6:$AI$505,"&lt;="&amp;$A275,実績!$AJ$6:$AJ$505,"&gt;"&amp;$A275,実績!$AL$6:$AL$505,"○")&gt;0,1,0))</f>
        <v>0</v>
      </c>
      <c r="R275" s="39" t="n">
        <f aca="false">IF(R$4=0,0,IF(COUNTIFS(実績!$W$6:$W$505,R$3,実績!$AI$6:$AI$505,"&lt;="&amp;$A275,実績!$AJ$6:$AJ$505,"&gt;"&amp;$A275,実績!$AL$6:$AL$505,"○")&gt;0,1,0))</f>
        <v>0</v>
      </c>
      <c r="S275" s="39" t="n">
        <f aca="false">IF(S$4=0,0,IF(COUNTIFS(実績!$W$6:$W$505,S$3,実績!$AI$6:$AI$505,"&lt;="&amp;$A275,実績!$AJ$6:$AJ$505,"&gt;"&amp;$A275,実績!$AL$6:$AL$505,"○")&gt;0,1,0))</f>
        <v>0</v>
      </c>
      <c r="T275" s="39" t="n">
        <f aca="false">IF(T$4=0,0,IF(COUNTIFS(実績!$W$6:$W$505,T$3,実績!$AI$6:$AI$505,"&lt;="&amp;$A275,実績!$AJ$6:$AJ$505,"&gt;"&amp;$A275,実績!$AL$6:$AL$505,"○")&gt;0,1,0))</f>
        <v>0</v>
      </c>
      <c r="U275" s="39" t="n">
        <f aca="false">IF(U$4=0,0,IF(COUNTIFS(実績!$W$6:$W$505,U$3,実績!$AI$6:$AI$505,"&lt;="&amp;$A275,実績!$AJ$6:$AJ$505,"&gt;"&amp;$A275,実績!$AL$6:$AL$505,"○")&gt;0,1,0))</f>
        <v>0</v>
      </c>
      <c r="V275" s="39" t="n">
        <f aca="false">IF(V$4=0,0,IF(COUNTIFS(実績!$W$6:$W$505,V$3,実績!$AI$6:$AI$505,"&lt;="&amp;$A275,実績!$AJ$6:$AJ$505,"&gt;"&amp;$A275,実績!$AL$6:$AL$505,"○")&gt;0,1,0))</f>
        <v>0</v>
      </c>
      <c r="W275" s="39" t="n">
        <f aca="false">IF(W$4=0,0,IF(COUNTIFS(実績!$W$6:$W$505,W$3,実績!$AI$6:$AI$505,"&lt;="&amp;$A275,実績!$AJ$6:$AJ$505,"&gt;"&amp;$A275,実績!$AL$6:$AL$505,"○")&gt;0,1,0))</f>
        <v>0</v>
      </c>
      <c r="X275" s="39" t="n">
        <f aca="false">IF(X$4=0,0,IF(COUNTIFS(実績!$W$6:$W$505,X$3,実績!$AI$6:$AI$505,"&lt;="&amp;$A275,実績!$AJ$6:$AJ$505,"&gt;"&amp;$A275,実績!$AL$6:$AL$505,"○")&gt;0,1,0))</f>
        <v>0</v>
      </c>
      <c r="Y275" s="39" t="n">
        <f aca="false">IF(Y$4=0,0,IF(COUNTIFS(実績!$W$6:$W$505,Y$3,実績!$AI$6:$AI$505,"&lt;="&amp;$A275,実績!$AJ$6:$AJ$505,"&gt;"&amp;$A275,実績!$AL$6:$AL$505,"○")&gt;0,1,0))</f>
        <v>0</v>
      </c>
      <c r="Z275" s="39" t="n">
        <f aca="false">IF(Z$4=0,0,IF(COUNTIFS(実績!$W$6:$W$505,Z$3,実績!$AI$6:$AI$505,"&lt;="&amp;$A275,実績!$AJ$6:$AJ$505,"&gt;"&amp;$A275,実績!$AL$6:$AL$505,"○")&gt;0,1,0))</f>
        <v>0</v>
      </c>
      <c r="AA275" s="39" t="n">
        <f aca="false">IF(AA$4=0,0,IF(COUNTIFS(実績!$W$6:$W$505,AA$3,実績!$AI$6:$AI$505,"&lt;="&amp;$A275,実績!$AJ$6:$AJ$505,"&gt;"&amp;$A275,実績!$AL$6:$AL$505,"○")&gt;0,1,0))</f>
        <v>0</v>
      </c>
      <c r="AB275" s="39" t="n">
        <f aca="false">IF(AB$4=0,0,IF(COUNTIFS(実績!$W$6:$W$505,AB$3,実績!$AI$6:$AI$505,"&lt;="&amp;$A275,実績!$AJ$6:$AJ$505,"&gt;"&amp;$A275,実績!$AL$6:$AL$505,"○")&gt;0,1,0))</f>
        <v>0</v>
      </c>
      <c r="AC275" s="39" t="n">
        <f aca="false">IF(AC$4=0,0,IF(COUNTIFS(実績!$W$6:$W$505,AC$3,実績!$AI$6:$AI$505,"&lt;="&amp;$A275,実績!$AJ$6:$AJ$505,"&gt;"&amp;$A275,実績!$AL$6:$AL$505,"○")&gt;0,1,0))</f>
        <v>0</v>
      </c>
      <c r="AD275" s="39" t="n">
        <f aca="false">IF(AD$4=0,0,IF(COUNTIFS(実績!$W$6:$W$505,AD$3,実績!$AI$6:$AI$505,"&lt;="&amp;$A275,実績!$AJ$6:$AJ$505,"&gt;"&amp;$A275,実績!$AL$6:$AL$505,"○")&gt;0,1,0))</f>
        <v>0</v>
      </c>
      <c r="AE275" s="39" t="n">
        <f aca="false">IF(AE$4=0,0,IF(COUNTIFS(実績!$W$6:$W$505,AE$3,実績!$AI$6:$AI$505,"&lt;="&amp;$A275,実績!$AJ$6:$AJ$505,"&gt;"&amp;$A275,実績!$AL$6:$AL$505,"○")&gt;0,1,0))</f>
        <v>0</v>
      </c>
      <c r="AF275" s="39" t="n">
        <f aca="false">IF(AF$4=0,0,IF(COUNTIFS(実績!$W$6:$W$505,AF$3,実績!$AI$6:$AI$505,"&lt;="&amp;$A275,実績!$AJ$6:$AJ$505,"&gt;"&amp;$A275,実績!$AL$6:$AL$505,"○")&gt;0,1,0))</f>
        <v>0</v>
      </c>
      <c r="AG275" s="39" t="n">
        <f aca="false">IF(AG$4=0,0,IF(COUNTIFS(実績!$W$6:$W$505,AG$3,実績!$AI$6:$AI$505,"&lt;="&amp;$A275,実績!$AJ$6:$AJ$505,"&gt;"&amp;$A275,実績!$AL$6:$AL$505,"○")&gt;0,1,0))</f>
        <v>0</v>
      </c>
      <c r="AH275" s="39" t="n">
        <f aca="false">IF(AH$4=0,0,IF(COUNTIFS(実績!$W$6:$W$505,AH$3,実績!$AI$6:$AI$505,"&lt;="&amp;$A275,実績!$AJ$6:$AJ$505,"&gt;"&amp;$A275,実績!$AL$6:$AL$505,"○")&gt;0,1,0))</f>
        <v>0</v>
      </c>
      <c r="AI275" s="39" t="n">
        <f aca="false">IF(AI$4=0,0,IF(COUNTIFS(実績!$W$6:$W$505,AI$3,実績!$AI$6:$AI$505,"&lt;="&amp;$A275,実績!$AJ$6:$AJ$505,"&gt;"&amp;$A275,実績!$AL$6:$AL$505,"○")&gt;0,1,0))</f>
        <v>0</v>
      </c>
      <c r="AJ275" s="39" t="n">
        <f aca="false">IF(AJ$4=0,0,IF(COUNTIFS(実績!$W$6:$W$505,AJ$3,実績!$AI$6:$AI$505,"&lt;="&amp;$A275,実績!$AJ$6:$AJ$505,"&gt;"&amp;$A275,実績!$AL$6:$AL$505,"○")&gt;0,1,0))</f>
        <v>0</v>
      </c>
      <c r="AK275" s="39" t="n">
        <f aca="false">IF(AK$4=0,0,IF(COUNTIFS(実績!$W$6:$W$505,AK$3,実績!$AI$6:$AI$505,"&lt;="&amp;$A275,実績!$AJ$6:$AJ$505,"&gt;"&amp;$A275,実績!$AL$6:$AL$505,"○")&gt;0,1,0))</f>
        <v>0</v>
      </c>
      <c r="AL275" s="39" t="n">
        <f aca="false">IF(AL$4=0,0,IF(COUNTIFS(実績!$W$6:$W$505,AL$3,実績!$AI$6:$AI$505,"&lt;="&amp;$A275,実績!$AJ$6:$AJ$505,"&gt;"&amp;$A275,実績!$AL$6:$AL$505,"○")&gt;0,1,0))</f>
        <v>0</v>
      </c>
      <c r="AM275" s="39" t="n">
        <f aca="false">IF(AM$4=0,0,IF(COUNTIFS(実績!$W$6:$W$505,AM$3,実績!$AI$6:$AI$505,"&lt;="&amp;$A275,実績!$AJ$6:$AJ$505,"&gt;"&amp;$A275,実績!$AL$6:$AL$505,"○")&gt;0,1,0))</f>
        <v>0</v>
      </c>
      <c r="AN275" s="39" t="n">
        <f aca="false">IF(AN$4=0,0,IF(COUNTIFS(実績!$W$6:$W$505,AN$3,実績!$AI$6:$AI$505,"&lt;="&amp;$A275,実績!$AJ$6:$AJ$505,"&gt;"&amp;$A275,実績!$AL$6:$AL$505,"○")&gt;0,1,0))</f>
        <v>0</v>
      </c>
      <c r="AO275" s="39" t="n">
        <f aca="false">IF(AO$4=0,0,IF(COUNTIFS(実績!$W$6:$W$505,AO$3,実績!$AI$6:$AI$505,"&lt;="&amp;$A275,実績!$AJ$6:$AJ$505,"&gt;"&amp;$A275,実績!$AL$6:$AL$505,"○")&gt;0,1,0))</f>
        <v>0</v>
      </c>
      <c r="AP275" s="39" t="n">
        <f aca="false">IF(AP$4=0,0,IF(COUNTIFS(実績!$W$6:$W$505,AP$3,実績!$AI$6:$AI$505,"&lt;="&amp;$A275,実績!$AJ$6:$AJ$505,"&gt;"&amp;$A275,実績!$AL$6:$AL$505,"○")&gt;0,1,0))</f>
        <v>0</v>
      </c>
      <c r="AQ275" s="39" t="n">
        <f aca="false">IF(AQ$4=0,0,IF(COUNTIFS(実績!$W$6:$W$505,AQ$3,実績!$AI$6:$AI$505,"&lt;="&amp;$A275,実績!$AJ$6:$AJ$505,"&gt;"&amp;$A275,実績!$AL$6:$AL$505,"○")&gt;0,1,0))</f>
        <v>0</v>
      </c>
      <c r="AR275" s="39" t="n">
        <f aca="false">IF(AR$4=0,0,IF(COUNTIFS(実績!$W$6:$W$505,AR$3,実績!$AI$6:$AI$505,"&lt;="&amp;$A275,実績!$AJ$6:$AJ$505,"&gt;"&amp;$A275,実績!$AL$6:$AL$505,"○")&gt;0,1,0))</f>
        <v>0</v>
      </c>
      <c r="AS275" s="39" t="n">
        <f aca="false">IF(AS$4=0,0,IF(COUNTIFS(実績!$W$6:$W$505,AS$3,実績!$AI$6:$AI$505,"&lt;="&amp;$A275,実績!$AJ$6:$AJ$505,"&gt;"&amp;$A275,実績!$AL$6:$AL$505,"○")&gt;0,1,0))</f>
        <v>0</v>
      </c>
      <c r="AT275" s="39" t="n">
        <f aca="false">IF(AT$4=0,0,IF(COUNTIFS(実績!$W$6:$W$505,AT$3,実績!$AI$6:$AI$505,"&lt;="&amp;$A275,実績!$AJ$6:$AJ$505,"&gt;"&amp;$A275,実績!$AL$6:$AL$505,"○")&gt;0,1,0))</f>
        <v>0</v>
      </c>
      <c r="AU275" s="39" t="n">
        <f aca="false">IF(AU$4=0,0,IF(COUNTIFS(実績!$W$6:$W$505,AU$3,実績!$AI$6:$AI$505,"&lt;="&amp;$A275,実績!$AJ$6:$AJ$505,"&gt;"&amp;$A275,実績!$AL$6:$AL$505,"○")&gt;0,1,0))</f>
        <v>0</v>
      </c>
      <c r="AV275" s="39" t="n">
        <f aca="false">IF(AV$4=0,0,IF(COUNTIFS(実績!$W$6:$W$505,AV$3,実績!$AI$6:$AI$505,"&lt;="&amp;$A275,実績!$AJ$6:$AJ$505,"&gt;"&amp;$A275,実績!$AL$6:$AL$505,"○")&gt;0,1,0))</f>
        <v>0</v>
      </c>
      <c r="AW275" s="39" t="n">
        <f aca="false">IF(AW$4=0,0,IF(COUNTIFS(実績!$W$6:$W$505,AW$3,実績!$AI$6:$AI$505,"&lt;="&amp;$A275,実績!$AJ$6:$AJ$505,"&gt;"&amp;$A275,実績!$AL$6:$AL$505,"○")&gt;0,1,0))</f>
        <v>0</v>
      </c>
      <c r="AX275" s="39" t="n">
        <f aca="false">IF(AX$4=0,0,IF(COUNTIFS(実績!$W$6:$W$505,AX$3,実績!$AI$6:$AI$505,"&lt;="&amp;$A275,実績!$AJ$6:$AJ$505,"&gt;"&amp;$A275,実績!$AL$6:$AL$505,"○")&gt;0,1,0))</f>
        <v>0</v>
      </c>
      <c r="AY275" s="39" t="n">
        <f aca="false">IF(AY$4=0,0,IF(COUNTIFS(実績!$W$6:$W$505,AY$3,実績!$AI$6:$AI$505,"&lt;="&amp;$A275,実績!$AJ$6:$AJ$505,"&gt;"&amp;$A275,実績!$AL$6:$AL$505,"○")&gt;0,1,0))</f>
        <v>0</v>
      </c>
      <c r="AZ275" s="39" t="n">
        <f aca="false">IF(AZ$4=0,0,IF(COUNTIFS(実績!$W$6:$W$505,AZ$3,実績!$AI$6:$AI$505,"&lt;="&amp;$A275,実績!$AJ$6:$AJ$505,"&gt;"&amp;$A275,実績!$AL$6:$AL$505,"○")&gt;0,1,0))</f>
        <v>0</v>
      </c>
      <c r="BA275" s="39" t="n">
        <f aca="false">IF(BA$4=0,0,IF(COUNTIFS(実績!$W$6:$W$505,BA$3,実績!$AI$6:$AI$505,"&lt;="&amp;$A275,実績!$AJ$6:$AJ$505,"&gt;"&amp;$A275,実績!$AL$6:$AL$505,"○")&gt;0,1,0))</f>
        <v>0</v>
      </c>
      <c r="BB275" s="39" t="n">
        <f aca="false">IF(BB$4=0,0,IF(COUNTIFS(実績!$W$6:$W$505,BB$3,実績!$AI$6:$AI$505,"&lt;="&amp;$A275,実績!$AJ$6:$AJ$505,"&gt;"&amp;$A275,実績!$AL$6:$AL$505,"○")&gt;0,1,0))</f>
        <v>0</v>
      </c>
      <c r="BC275" s="39" t="n">
        <f aca="false">IF(BC$4=0,0,IF(COUNTIFS(実績!$W$6:$W$505,BC$3,実績!$AI$6:$AI$505,"&lt;="&amp;$A275,実績!$AJ$6:$AJ$505,"&gt;"&amp;$A275,実績!$AL$6:$AL$505,"○")&gt;0,1,0))</f>
        <v>0</v>
      </c>
      <c r="BD275" s="39" t="n">
        <f aca="false">IF(BD$4=0,0,IF(COUNTIFS(実績!$W$6:$W$505,BD$3,実績!$AI$6:$AI$505,"&lt;="&amp;$A275,実績!$AJ$6:$AJ$505,"&gt;"&amp;$A275,実績!$AL$6:$AL$505,"○")&gt;0,1,0))</f>
        <v>0</v>
      </c>
      <c r="BE275" s="39" t="n">
        <f aca="false">IF(BE$4=0,0,IF(COUNTIFS(実績!$W$6:$W$505,BE$3,実績!$AI$6:$AI$505,"&lt;="&amp;$A275,実績!$AJ$6:$AJ$505,"&gt;"&amp;$A275,実績!$AL$6:$AL$505,"○")&gt;0,1,0))</f>
        <v>0</v>
      </c>
      <c r="BF275" s="39" t="n">
        <f aca="false">IF(BF$4=0,0,IF(COUNTIFS(実績!$W$6:$W$505,BF$3,実績!$AI$6:$AI$505,"&lt;="&amp;$A275,実績!$AJ$6:$AJ$505,"&gt;"&amp;$A275,実績!$AL$6:$AL$505,"○")&gt;0,1,0))</f>
        <v>0</v>
      </c>
      <c r="BG275" s="39" t="n">
        <f aca="false">IF(BG$4=0,0,IF(COUNTIFS(実績!$W$6:$W$505,BG$3,実績!$AI$6:$AI$505,"&lt;="&amp;$A275,実績!$AJ$6:$AJ$505,"&gt;"&amp;$A275,実績!$AL$6:$AL$505,"○")&gt;0,1,0))</f>
        <v>0</v>
      </c>
      <c r="BH275" s="39" t="n">
        <f aca="false">IF(BH$4=0,0,IF(COUNTIFS(実績!$W$6:$W$505,BH$3,実績!$AI$6:$AI$505,"&lt;="&amp;$A275,実績!$AJ$6:$AJ$505,"&gt;"&amp;$A275,実績!$AL$6:$AL$505,"○")&gt;0,1,0))</f>
        <v>0</v>
      </c>
      <c r="BI275" s="39" t="n">
        <f aca="false">IF(BI$4=0,0,IF(COUNTIFS(実績!$W$6:$W$505,BI$3,実績!$AI$6:$AI$505,"&lt;="&amp;$A275,実績!$AJ$6:$AJ$505,"&gt;"&amp;$A275,実績!$AL$6:$AL$505,"○")&gt;0,1,0))</f>
        <v>0</v>
      </c>
      <c r="BJ275" s="39" t="n">
        <f aca="false">IF(BJ$4=0,0,IF(COUNTIFS(実績!$W$6:$W$505,BJ$3,実績!$AI$6:$AI$505,"&lt;="&amp;$A275,実績!$AJ$6:$AJ$505,"&gt;"&amp;$A275,実績!$AL$6:$AL$505,"○")&gt;0,1,0))</f>
        <v>0</v>
      </c>
      <c r="BK275" s="39" t="n">
        <f aca="false">IF(BK$4=0,0,IF(COUNTIFS(実績!$W$6:$W$505,BK$3,実績!$AI$6:$AI$505,"&lt;="&amp;$A275,実績!$AJ$6:$AJ$505,"&gt;"&amp;$A275,実績!$AL$6:$AL$505,"○")&gt;0,1,0))</f>
        <v>0</v>
      </c>
      <c r="BL275" s="39" t="n">
        <f aca="false">IF(BL$4=0,0,IF(COUNTIFS(実績!$W$6:$W$505,BL$3,実績!$AI$6:$AI$505,"&lt;="&amp;$A275,実績!$AJ$6:$AJ$505,"&gt;"&amp;$A275,実績!$AL$6:$AL$505,"○")&gt;0,1,0))</f>
        <v>0</v>
      </c>
      <c r="BM275" s="39" t="n">
        <f aca="false">IF(BM$4=0,0,IF(COUNTIFS(実績!$W$6:$W$505,BM$3,実績!$AI$6:$AI$505,"&lt;="&amp;$A275,実績!$AJ$6:$AJ$505,"&gt;"&amp;$A275,実績!$AL$6:$AL$505,"○")&gt;0,1,0))</f>
        <v>0</v>
      </c>
      <c r="BN275" s="39" t="n">
        <f aca="false">IF(BN$4=0,0,IF(COUNTIFS(実績!$W$6:$W$505,BN$3,実績!$AI$6:$AI$505,"&lt;="&amp;$A275,実績!$AJ$6:$AJ$505,"&gt;"&amp;$A275,実績!$AL$6:$AL$505,"○")&gt;0,1,0))</f>
        <v>0</v>
      </c>
      <c r="BO275" s="39" t="n">
        <f aca="false">IF(BO$4=0,0,IF(COUNTIFS(実績!$W$6:$W$505,BO$3,実績!$AI$6:$AI$505,"&lt;="&amp;$A275,実績!$AJ$6:$AJ$505,"&gt;"&amp;$A275,実績!$AL$6:$AL$505,"○")&gt;0,1,0))</f>
        <v>0</v>
      </c>
      <c r="BP275" s="39" t="n">
        <f aca="false">IF(BP$4=0,0,IF(COUNTIFS(実績!$W$6:$W$505,BP$3,実績!$AI$6:$AI$505,"&lt;="&amp;$A275,実績!$AJ$6:$AJ$505,"&gt;"&amp;$A275,実績!$AL$6:$AL$505,"○")&gt;0,1,0))</f>
        <v>0</v>
      </c>
      <c r="BQ275" s="39" t="n">
        <f aca="false">IF(BQ$4=0,0,IF(COUNTIFS(実績!$W$6:$W$505,BQ$3,実績!$AI$6:$AI$505,"&lt;="&amp;$A275,実績!$AJ$6:$AJ$505,"&gt;"&amp;$A275,実績!$AL$6:$AL$505,"○")&gt;0,1,0))</f>
        <v>0</v>
      </c>
      <c r="BR275" s="39" t="n">
        <f aca="false">IF(BR$4=0,0,IF(COUNTIFS(実績!$W$6:$W$505,BR$3,実績!$AI$6:$AI$505,"&lt;="&amp;$A275,実績!$AJ$6:$AJ$505,"&gt;"&amp;$A275,実績!$AL$6:$AL$505,"○")&gt;0,1,0))</f>
        <v>0</v>
      </c>
      <c r="BS275" s="39" t="n">
        <f aca="false">IF(BS$4=0,0,IF(COUNTIFS(実績!$W$6:$W$505,BS$3,実績!$AI$6:$AI$505,"&lt;="&amp;$A275,実績!$AJ$6:$AJ$505,"&gt;"&amp;$A275,実績!$AL$6:$AL$505,"○")&gt;0,1,0))</f>
        <v>0</v>
      </c>
      <c r="BT275" s="39" t="n">
        <f aca="false">IF(BT$4=0,0,IF(COUNTIFS(実績!$W$6:$W$505,BT$3,実績!$AI$6:$AI$505,"&lt;="&amp;$A275,実績!$AJ$6:$AJ$505,"&gt;"&amp;$A275,実績!$AL$6:$AL$505,"○")&gt;0,1,0))</f>
        <v>0</v>
      </c>
      <c r="BU275" s="39" t="n">
        <f aca="false">IF(BU$4=0,0,IF(COUNTIFS(実績!$W$6:$W$505,BU$3,実績!$AI$6:$AI$505,"&lt;="&amp;$A275,実績!$AJ$6:$AJ$505,"&gt;"&amp;$A275,実績!$AL$6:$AL$505,"○")&gt;0,1,0))</f>
        <v>0</v>
      </c>
      <c r="BV275" s="39" t="n">
        <f aca="false">IF(BV$4=0,0,IF(COUNTIFS(実績!$W$6:$W$505,BV$3,実績!$AI$6:$AI$505,"&lt;="&amp;$A275,実績!$AJ$6:$AJ$505,"&gt;"&amp;$A275,実績!$AL$6:$AL$505,"○")&gt;0,1,0))</f>
        <v>0</v>
      </c>
      <c r="BW275" s="39" t="n">
        <f aca="false">IF(BW$4=0,0,IF(COUNTIFS(実績!$W$6:$W$505,BW$3,実績!$AI$6:$AI$505,"&lt;="&amp;$A275,実績!$AJ$6:$AJ$505,"&gt;"&amp;$A275,実績!$AL$6:$AL$505,"○")&gt;0,1,0))</f>
        <v>0</v>
      </c>
      <c r="BX275" s="39" t="n">
        <f aca="false">IF(BX$4=0,0,IF(COUNTIFS(実績!$W$6:$W$505,BX$3,実績!$AI$6:$AI$505,"&lt;="&amp;$A275,実績!$AJ$6:$AJ$505,"&gt;"&amp;$A275,実績!$AL$6:$AL$505,"○")&gt;0,1,0))</f>
        <v>0</v>
      </c>
      <c r="BY275" s="39" t="n">
        <f aca="false">IF(BY$4=0,0,IF(COUNTIFS(実績!$W$6:$W$505,BY$3,実績!$AI$6:$AI$505,"&lt;="&amp;$A275,実績!$AJ$6:$AJ$505,"&gt;"&amp;$A275,実績!$AL$6:$AL$505,"○")&gt;0,1,0))</f>
        <v>0</v>
      </c>
      <c r="BZ275" s="39" t="n">
        <f aca="false">IF(BZ$4=0,0,IF(COUNTIFS(実績!$W$6:$W$505,BZ$3,実績!$AI$6:$AI$505,"&lt;="&amp;$A275,実績!$AJ$6:$AJ$505,"&gt;"&amp;$A275,実績!$AL$6:$AL$505,"○")&gt;0,1,0))</f>
        <v>0</v>
      </c>
      <c r="CA275" s="39" t="n">
        <f aca="false">IF(CA$4=0,0,IF(COUNTIFS(実績!$W$6:$W$505,CA$3,実績!$AI$6:$AI$505,"&lt;="&amp;$A275,実績!$AJ$6:$AJ$505,"&gt;"&amp;$A275,実績!$AL$6:$AL$505,"○")&gt;0,1,0))</f>
        <v>0</v>
      </c>
      <c r="CB275" s="39" t="n">
        <f aca="false">IF(CB$4=0,0,IF(COUNTIFS(実績!$W$6:$W$505,CB$3,実績!$AI$6:$AI$505,"&lt;="&amp;$A275,実績!$AJ$6:$AJ$505,"&gt;"&amp;$A275,実績!$AL$6:$AL$505,"○")&gt;0,1,0))</f>
        <v>0</v>
      </c>
      <c r="CC275" s="39" t="n">
        <f aca="false">IF(CC$4=0,0,IF(COUNTIFS(実績!$W$6:$W$505,CC$3,実績!$AI$6:$AI$505,"&lt;="&amp;$A275,実績!$AJ$6:$AJ$505,"&gt;"&amp;$A275,実績!$AL$6:$AL$505,"○")&gt;0,1,0))</f>
        <v>0</v>
      </c>
      <c r="CD275" s="39" t="n">
        <f aca="false">IF(CD$4=0,0,IF(COUNTIFS(実績!$W$6:$W$505,CD$3,実績!$AI$6:$AI$505,"&lt;="&amp;$A275,実績!$AJ$6:$AJ$505,"&gt;"&amp;$A275,実績!$AL$6:$AL$505,"○")&gt;0,1,0))</f>
        <v>0</v>
      </c>
      <c r="CE275" s="39" t="n">
        <f aca="false">IF(CE$4=0,0,IF(COUNTIFS(実績!$W$6:$W$505,CE$3,実績!$AI$6:$AI$505,"&lt;="&amp;$A275,実績!$AJ$6:$AJ$505,"&gt;"&amp;$A275,実績!$AL$6:$AL$505,"○")&gt;0,1,0))</f>
        <v>0</v>
      </c>
      <c r="CF275" s="39" t="n">
        <f aca="false">IF(CF$4=0,0,IF(COUNTIFS(実績!$W$6:$W$505,CF$3,実績!$AI$6:$AI$505,"&lt;="&amp;$A275,実績!$AJ$6:$AJ$505,"&gt;"&amp;$A275,実績!$AL$6:$AL$505,"○")&gt;0,1,0))</f>
        <v>0</v>
      </c>
      <c r="CG275" s="39" t="n">
        <f aca="false">IF(CG$4=0,0,IF(COUNTIFS(実績!$W$6:$W$505,CG$3,実績!$AI$6:$AI$505,"&lt;="&amp;$A275,実績!$AJ$6:$AJ$505,"&gt;"&amp;$A275,実績!$AL$6:$AL$505,"○")&gt;0,1,0))</f>
        <v>0</v>
      </c>
      <c r="CH275" s="39" t="n">
        <f aca="false">IF(CH$4=0,0,IF(COUNTIFS(実績!$W$6:$W$505,CH$3,実績!$AI$6:$AI$505,"&lt;="&amp;$A275,実績!$AJ$6:$AJ$505,"&gt;"&amp;$A275,実績!$AL$6:$AL$505,"○")&gt;0,1,0))</f>
        <v>0</v>
      </c>
      <c r="CI275" s="39" t="n">
        <f aca="false">IF(CI$4=0,0,IF(COUNTIFS(実績!$W$6:$W$505,CI$3,実績!$AI$6:$AI$505,"&lt;="&amp;$A275,実績!$AJ$6:$AJ$505,"&gt;"&amp;$A275,実績!$AL$6:$AL$505,"○")&gt;0,1,0))</f>
        <v>0</v>
      </c>
      <c r="CJ275" s="39" t="n">
        <f aca="false">IF(CJ$4=0,0,IF(COUNTIFS(実績!$W$6:$W$505,CJ$3,実績!$AI$6:$AI$505,"&lt;="&amp;$A275,実績!$AJ$6:$AJ$505,"&gt;"&amp;$A275,実績!$AL$6:$AL$505,"○")&gt;0,1,0))</f>
        <v>0</v>
      </c>
      <c r="CK275" s="39" t="n">
        <f aca="false">IF(CK$4=0,0,IF(COUNTIFS(実績!$W$6:$W$505,CK$3,実績!$AI$6:$AI$505,"&lt;="&amp;$A275,実績!$AJ$6:$AJ$505,"&gt;"&amp;$A275,実績!$AL$6:$AL$505,"○")&gt;0,1,0))</f>
        <v>0</v>
      </c>
      <c r="CL275" s="39" t="n">
        <f aca="false">IF(CL$4=0,0,IF(COUNTIFS(実績!$W$6:$W$505,CL$3,実績!$AI$6:$AI$505,"&lt;="&amp;$A275,実績!$AJ$6:$AJ$505,"&gt;"&amp;$A275,実績!$AL$6:$AL$505,"○")&gt;0,1,0))</f>
        <v>0</v>
      </c>
      <c r="CM275" s="39" t="n">
        <f aca="false">IF(CM$4=0,0,IF(COUNTIFS(実績!$W$6:$W$505,CM$3,実績!$AI$6:$AI$505,"&lt;="&amp;$A275,実績!$AJ$6:$AJ$505,"&gt;"&amp;$A275,実績!$AL$6:$AL$505,"○")&gt;0,1,0))</f>
        <v>0</v>
      </c>
      <c r="CN275" s="39" t="n">
        <f aca="false">IF(CN$4=0,0,IF(COUNTIFS(実績!$W$6:$W$505,CN$3,実績!$AI$6:$AI$505,"&lt;="&amp;$A275,実績!$AJ$6:$AJ$505,"&gt;"&amp;$A275,実績!$AL$6:$AL$505,"○")&gt;0,1,0))</f>
        <v>0</v>
      </c>
      <c r="CO275" s="39" t="n">
        <f aca="false">IF(CO$4=0,0,IF(COUNTIFS(実績!$W$6:$W$505,CO$3,実績!$AI$6:$AI$505,"&lt;="&amp;$A275,実績!$AJ$6:$AJ$505,"&gt;"&amp;$A275,実績!$AL$6:$AL$505,"○")&gt;0,1,0))</f>
        <v>0</v>
      </c>
      <c r="CP275" s="39" t="n">
        <f aca="false">IF(CP$4=0,0,IF(COUNTIFS(実績!$W$6:$W$505,CP$3,実績!$AI$6:$AI$505,"&lt;="&amp;$A275,実績!$AJ$6:$AJ$505,"&gt;"&amp;$A275,実績!$AL$6:$AL$505,"○")&gt;0,1,0))</f>
        <v>0</v>
      </c>
      <c r="CQ275" s="39" t="n">
        <f aca="false">IF(CQ$4=0,0,IF(COUNTIFS(実績!$W$6:$W$505,CQ$3,実績!$AI$6:$AI$505,"&lt;="&amp;$A275,実績!$AJ$6:$AJ$505,"&gt;"&amp;$A275,実績!$AL$6:$AL$505,"○")&gt;0,1,0))</f>
        <v>0</v>
      </c>
      <c r="CR275" s="39" t="n">
        <f aca="false">IF(CR$4=0,0,IF(COUNTIFS(実績!$W$6:$W$505,CR$3,実績!$AI$6:$AI$505,"&lt;="&amp;$A275,実績!$AJ$6:$AJ$505,"&gt;"&amp;$A275,実績!$AL$6:$AL$505,"○")&gt;0,1,0))</f>
        <v>0</v>
      </c>
      <c r="CS275" s="39" t="n">
        <f aca="false">IF(CS$4=0,0,IF(COUNTIFS(実績!$W$6:$W$505,CS$3,実績!$AI$6:$AI$505,"&lt;="&amp;$A275,実績!$AJ$6:$AJ$505,"&gt;"&amp;$A275,実績!$AL$6:$AL$505,"○")&gt;0,1,0))</f>
        <v>0</v>
      </c>
      <c r="CT275" s="39" t="n">
        <f aca="false">IF(CT$4=0,0,IF(COUNTIFS(実績!$W$6:$W$505,CT$3,実績!$AI$6:$AI$505,"&lt;="&amp;$A275,実績!$AJ$6:$AJ$505,"&gt;"&amp;$A275,実績!$AL$6:$AL$505,"○")&gt;0,1,0))</f>
        <v>0</v>
      </c>
      <c r="CU275" s="39" t="n">
        <f aca="false">IF(CU$4=0,0,IF(COUNTIFS(実績!$W$6:$W$505,CU$3,実績!$AI$6:$AI$505,"&lt;="&amp;$A275,実績!$AJ$6:$AJ$505,"&gt;"&amp;$A275,実績!$AL$6:$AL$505,"○")&gt;0,1,0))</f>
        <v>0</v>
      </c>
      <c r="CV275" s="39" t="n">
        <f aca="false">IF(CV$4=0,0,IF(COUNTIFS(実績!$W$6:$W$505,CV$3,実績!$AI$6:$AI$505,"&lt;="&amp;$A275,実績!$AJ$6:$AJ$505,"&gt;"&amp;$A275,実績!$AL$6:$AL$505,"○")&gt;0,1,0))</f>
        <v>0</v>
      </c>
      <c r="CW275" s="39" t="n">
        <f aca="false">IF(CW$4=0,0,IF(COUNTIFS(実績!$W$6:$W$505,CW$3,実績!$AI$6:$AI$505,"&lt;="&amp;$A275,実績!$AJ$6:$AJ$505,"&gt;"&amp;$A275,実績!$AL$6:$AL$505,"○")&gt;0,1,0))</f>
        <v>0</v>
      </c>
      <c r="CX275" s="39" t="n">
        <f aca="false">IF(CX$4=0,0,IF(COUNTIFS(実績!$W$6:$W$505,CX$3,実績!$AI$6:$AI$505,"&lt;="&amp;$A275,実績!$AJ$6:$AJ$505,"&gt;"&amp;$A275,実績!$AL$6:$AL$505,"○")&gt;0,1,0))</f>
        <v>0</v>
      </c>
      <c r="CY275" s="39" t="n">
        <f aca="false">IF(CY$4=0,0,IF(COUNTIFS(実績!$W$6:$W$505,CY$3,実績!$AI$6:$AI$505,"&lt;="&amp;$A275,実績!$AJ$6:$AJ$505,"&gt;"&amp;$A275,実績!$AL$6:$AL$505,"○")&gt;0,1,0))</f>
        <v>0</v>
      </c>
      <c r="CZ275" s="39" t="n">
        <f aca="false">IF(CZ$4=0,0,IF(COUNTIFS(実績!$W$6:$W$505,CZ$3,実績!$AI$6:$AI$505,"&lt;="&amp;$A275,実績!$AJ$6:$AJ$505,"&gt;"&amp;$A275,実績!$AL$6:$AL$505,"○")&gt;0,1,0))</f>
        <v>0</v>
      </c>
      <c r="DA275" s="39" t="n">
        <f aca="false">IF(DA$4=0,0,IF(COUNTIFS(実績!$W$6:$W$505,DA$3,実績!$AI$6:$AI$505,"&lt;="&amp;$A275,実績!$AJ$6:$AJ$505,"&gt;"&amp;$A275,実績!$AL$6:$AL$505,"○")&gt;0,1,0))</f>
        <v>0</v>
      </c>
      <c r="DB275" s="39" t="n">
        <f aca="false">IF(DB$4=0,0,IF(COUNTIFS(実績!$W$6:$W$505,DB$3,実績!$AI$6:$AI$505,"&lt;="&amp;$A275,実績!$AJ$6:$AJ$505,"&gt;"&amp;$A275,実績!$AL$6:$AL$505,"○")&gt;0,1,0))</f>
        <v>0</v>
      </c>
      <c r="DC275" s="39" t="n">
        <f aca="false">IF(DC$4=0,0,IF(COUNTIFS(実績!$W$6:$W$505,DC$3,実績!$AI$6:$AI$505,"&lt;="&amp;$A275,実績!$AJ$6:$AJ$505,"&gt;"&amp;$A275,実績!$AL$6:$AL$505,"○")&gt;0,1,0))</f>
        <v>0</v>
      </c>
      <c r="DD275" s="39" t="n">
        <f aca="false">IF(DD$4=0,0,IF(COUNTIFS(実績!$W$6:$W$505,DD$3,実績!$AI$6:$AI$505,"&lt;="&amp;$A275,実績!$AJ$6:$AJ$505,"&gt;"&amp;$A275,実績!$AL$6:$AL$505,"○")&gt;0,1,0))</f>
        <v>0</v>
      </c>
      <c r="DE275" s="39" t="n">
        <f aca="false">IF(DE$4=0,0,IF(COUNTIFS(実績!$W$6:$W$505,DE$3,実績!$AI$6:$AI$505,"&lt;="&amp;$A275,実績!$AJ$6:$AJ$505,"&gt;"&amp;$A275,実績!$AL$6:$AL$505,"○")&gt;0,1,0))</f>
        <v>0</v>
      </c>
      <c r="DF275" s="39" t="n">
        <f aca="false">IF(DF$4=0,0,IF(COUNTIFS(実績!$W$6:$W$505,DF$3,実績!$AI$6:$AI$505,"&lt;="&amp;$A275,実績!$AJ$6:$AJ$505,"&gt;"&amp;$A275,実績!$AL$6:$AL$505,"○")&gt;0,1,0))</f>
        <v>0</v>
      </c>
      <c r="DG275" s="39" t="n">
        <f aca="false">IF(DG$4=0,0,IF(COUNTIFS(実績!$W$6:$W$505,DG$3,実績!$AI$6:$AI$505,"&lt;="&amp;$A275,実績!$AJ$6:$AJ$505,"&gt;"&amp;$A275,実績!$AL$6:$AL$505,"○")&gt;0,1,0))</f>
        <v>0</v>
      </c>
      <c r="DH275" s="39" t="n">
        <f aca="false">IF(DH$4=0,0,IF(COUNTIFS(実績!$W$6:$W$505,DH$3,実績!$AI$6:$AI$505,"&lt;="&amp;$A275,実績!$AJ$6:$AJ$505,"&gt;"&amp;$A275,実績!$AL$6:$AL$505,"○")&gt;0,1,0))</f>
        <v>0</v>
      </c>
      <c r="DI275" s="39" t="n">
        <f aca="false">IF(DI$4=0,0,IF(COUNTIFS(実績!$W$6:$W$505,DI$3,実績!$AI$6:$AI$505,"&lt;="&amp;$A275,実績!$AJ$6:$AJ$505,"&gt;"&amp;$A275,実績!$AL$6:$AL$505,"○")&gt;0,1,0))</f>
        <v>0</v>
      </c>
      <c r="DJ275" s="39" t="n">
        <f aca="false">IF(DJ$4=0,0,IF(COUNTIFS(実績!$W$6:$W$505,DJ$3,実績!$AI$6:$AI$505,"&lt;="&amp;$A275,実績!$AJ$6:$AJ$505,"&gt;"&amp;$A275,実績!$AL$6:$AL$505,"○")&gt;0,1,0))</f>
        <v>0</v>
      </c>
      <c r="DK275" s="39" t="n">
        <f aca="false">IF(DK$4=0,0,IF(COUNTIFS(実績!$W$6:$W$505,DK$3,実績!$AI$6:$AI$505,"&lt;="&amp;$A275,実績!$AJ$6:$AJ$505,"&gt;"&amp;$A275,実績!$AL$6:$AL$505,"○")&gt;0,1,0))</f>
        <v>0</v>
      </c>
      <c r="DL275" s="39" t="n">
        <f aca="false">IF(DL$4=0,0,IF(COUNTIFS(実績!$W$6:$W$505,DL$3,実績!$AI$6:$AI$505,"&lt;="&amp;$A275,実績!$AJ$6:$AJ$505,"&gt;"&amp;$A275,実績!$AL$6:$AL$505,"○")&gt;0,1,0))</f>
        <v>0</v>
      </c>
      <c r="DM275" s="39" t="n">
        <f aca="false">IF(DM$4=0,0,IF(COUNTIFS(実績!$W$6:$W$505,DM$3,実績!$AI$6:$AI$505,"&lt;="&amp;$A275,実績!$AJ$6:$AJ$505,"&gt;"&amp;$A275,実績!$AL$6:$AL$505,"○")&gt;0,1,0))</f>
        <v>0</v>
      </c>
      <c r="DN275" s="39" t="n">
        <f aca="false">IF(DN$4=0,0,IF(COUNTIFS(実績!$W$6:$W$505,DN$3,実績!$AI$6:$AI$505,"&lt;="&amp;$A275,実績!$AJ$6:$AJ$505,"&gt;"&amp;$A275,実績!$AL$6:$AL$505,"○")&gt;0,1,0))</f>
        <v>0</v>
      </c>
      <c r="DO275" s="39" t="n">
        <f aca="false">IF(DO$4=0,0,IF(COUNTIFS(実績!$W$6:$W$505,DO$3,実績!$AI$6:$AI$505,"&lt;="&amp;$A275,実績!$AJ$6:$AJ$505,"&gt;"&amp;$A275,実績!$AL$6:$AL$505,"○")&gt;0,1,0))</f>
        <v>0</v>
      </c>
      <c r="DP275" s="39" t="n">
        <f aca="false">IF(DP$4=0,0,IF(COUNTIFS(実績!$W$6:$W$505,DP$3,実績!$AI$6:$AI$505,"&lt;="&amp;$A275,実績!$AJ$6:$AJ$505,"&gt;"&amp;$A275,実績!$AL$6:$AL$505,"○")&gt;0,1,0))</f>
        <v>0</v>
      </c>
      <c r="DQ275" s="39" t="n">
        <f aca="false">IF(DQ$4=0,0,IF(COUNTIFS(実績!$W$6:$W$505,DQ$3,実績!$AI$6:$AI$505,"&lt;="&amp;$A275,実績!$AJ$6:$AJ$505,"&gt;"&amp;$A275,実績!$AL$6:$AL$505,"○")&gt;0,1,0))</f>
        <v>0</v>
      </c>
      <c r="DR275" s="39" t="n">
        <f aca="false">IF(DR$4=0,0,IF(COUNTIFS(実績!$W$6:$W$505,DR$3,実績!$AI$6:$AI$505,"&lt;="&amp;$A275,実績!$AJ$6:$AJ$505,"&gt;"&amp;$A275,実績!$AL$6:$AL$505,"○")&gt;0,1,0))</f>
        <v>0</v>
      </c>
      <c r="DS275" s="39" t="n">
        <f aca="false">SUM(C275:DR275)</f>
        <v>0</v>
      </c>
    </row>
    <row r="276" customFormat="false" ht="15" hidden="false" customHeight="false" outlineLevel="0" collapsed="false">
      <c r="A276" s="0" t="n">
        <v>1350</v>
      </c>
      <c r="B276" s="38" t="n">
        <f aca="false">A276/1440</f>
        <v>0.9375</v>
      </c>
      <c r="C276" s="39" t="n">
        <f aca="false">IF(C$4=0,0,IF(COUNTIFS(実績!$W$6:$W$505,C$3,実績!$AI$6:$AI$505,"&lt;="&amp;$A276,実績!$AJ$6:$AJ$505,"&gt;"&amp;$A276,実績!$AL$6:$AL$505,"○")&gt;0,1,0))</f>
        <v>0</v>
      </c>
      <c r="D276" s="39" t="n">
        <f aca="false">IF(D$4=0,0,IF(COUNTIFS(実績!$W$6:$W$505,D$3,実績!$AI$6:$AI$505,"&lt;="&amp;$A276,実績!$AJ$6:$AJ$505,"&gt;"&amp;$A276,実績!$AL$6:$AL$505,"○")&gt;0,1,0))</f>
        <v>0</v>
      </c>
      <c r="E276" s="39" t="n">
        <f aca="false">IF(E$4=0,0,IF(COUNTIFS(実績!$W$6:$W$505,E$3,実績!$AI$6:$AI$505,"&lt;="&amp;$A276,実績!$AJ$6:$AJ$505,"&gt;"&amp;$A276,実績!$AL$6:$AL$505,"○")&gt;0,1,0))</f>
        <v>0</v>
      </c>
      <c r="F276" s="39" t="n">
        <f aca="false">IF(F$4=0,0,IF(COUNTIFS(実績!$W$6:$W$505,F$3,実績!$AI$6:$AI$505,"&lt;="&amp;$A276,実績!$AJ$6:$AJ$505,"&gt;"&amp;$A276,実績!$AL$6:$AL$505,"○")&gt;0,1,0))</f>
        <v>0</v>
      </c>
      <c r="G276" s="39" t="n">
        <f aca="false">IF(G$4=0,0,IF(COUNTIFS(実績!$W$6:$W$505,G$3,実績!$AI$6:$AI$505,"&lt;="&amp;$A276,実績!$AJ$6:$AJ$505,"&gt;"&amp;$A276,実績!$AL$6:$AL$505,"○")&gt;0,1,0))</f>
        <v>0</v>
      </c>
      <c r="H276" s="39" t="n">
        <f aca="false">IF(H$4=0,0,IF(COUNTIFS(実績!$W$6:$W$505,H$3,実績!$AI$6:$AI$505,"&lt;="&amp;$A276,実績!$AJ$6:$AJ$505,"&gt;"&amp;$A276,実績!$AL$6:$AL$505,"○")&gt;0,1,0))</f>
        <v>0</v>
      </c>
      <c r="I276" s="39" t="n">
        <f aca="false">IF(I$4=0,0,IF(COUNTIFS(実績!$W$6:$W$505,I$3,実績!$AI$6:$AI$505,"&lt;="&amp;$A276,実績!$AJ$6:$AJ$505,"&gt;"&amp;$A276,実績!$AL$6:$AL$505,"○")&gt;0,1,0))</f>
        <v>0</v>
      </c>
      <c r="J276" s="39" t="n">
        <f aca="false">IF(J$4=0,0,IF(COUNTIFS(実績!$W$6:$W$505,J$3,実績!$AI$6:$AI$505,"&lt;="&amp;$A276,実績!$AJ$6:$AJ$505,"&gt;"&amp;$A276,実績!$AL$6:$AL$505,"○")&gt;0,1,0))</f>
        <v>0</v>
      </c>
      <c r="K276" s="39" t="n">
        <f aca="false">IF(K$4=0,0,IF(COUNTIFS(実績!$W$6:$W$505,K$3,実績!$AI$6:$AI$505,"&lt;="&amp;$A276,実績!$AJ$6:$AJ$505,"&gt;"&amp;$A276,実績!$AL$6:$AL$505,"○")&gt;0,1,0))</f>
        <v>0</v>
      </c>
      <c r="L276" s="39" t="n">
        <f aca="false">IF(L$4=0,0,IF(COUNTIFS(実績!$W$6:$W$505,L$3,実績!$AI$6:$AI$505,"&lt;="&amp;$A276,実績!$AJ$6:$AJ$505,"&gt;"&amp;$A276,実績!$AL$6:$AL$505,"○")&gt;0,1,0))</f>
        <v>0</v>
      </c>
      <c r="M276" s="39" t="n">
        <f aca="false">IF(M$4=0,0,IF(COUNTIFS(実績!$W$6:$W$505,M$3,実績!$AI$6:$AI$505,"&lt;="&amp;$A276,実績!$AJ$6:$AJ$505,"&gt;"&amp;$A276,実績!$AL$6:$AL$505,"○")&gt;0,1,0))</f>
        <v>0</v>
      </c>
      <c r="N276" s="39" t="n">
        <f aca="false">IF(N$4=0,0,IF(COUNTIFS(実績!$W$6:$W$505,N$3,実績!$AI$6:$AI$505,"&lt;="&amp;$A276,実績!$AJ$6:$AJ$505,"&gt;"&amp;$A276,実績!$AL$6:$AL$505,"○")&gt;0,1,0))</f>
        <v>0</v>
      </c>
      <c r="O276" s="39" t="n">
        <f aca="false">IF(O$4=0,0,IF(COUNTIFS(実績!$W$6:$W$505,O$3,実績!$AI$6:$AI$505,"&lt;="&amp;$A276,実績!$AJ$6:$AJ$505,"&gt;"&amp;$A276,実績!$AL$6:$AL$505,"○")&gt;0,1,0))</f>
        <v>0</v>
      </c>
      <c r="P276" s="39" t="n">
        <f aca="false">IF(P$4=0,0,IF(COUNTIFS(実績!$W$6:$W$505,P$3,実績!$AI$6:$AI$505,"&lt;="&amp;$A276,実績!$AJ$6:$AJ$505,"&gt;"&amp;$A276,実績!$AL$6:$AL$505,"○")&gt;0,1,0))</f>
        <v>0</v>
      </c>
      <c r="Q276" s="39" t="n">
        <f aca="false">IF(Q$4=0,0,IF(COUNTIFS(実績!$W$6:$W$505,Q$3,実績!$AI$6:$AI$505,"&lt;="&amp;$A276,実績!$AJ$6:$AJ$505,"&gt;"&amp;$A276,実績!$AL$6:$AL$505,"○")&gt;0,1,0))</f>
        <v>0</v>
      </c>
      <c r="R276" s="39" t="n">
        <f aca="false">IF(R$4=0,0,IF(COUNTIFS(実績!$W$6:$W$505,R$3,実績!$AI$6:$AI$505,"&lt;="&amp;$A276,実績!$AJ$6:$AJ$505,"&gt;"&amp;$A276,実績!$AL$6:$AL$505,"○")&gt;0,1,0))</f>
        <v>0</v>
      </c>
      <c r="S276" s="39" t="n">
        <f aca="false">IF(S$4=0,0,IF(COUNTIFS(実績!$W$6:$W$505,S$3,実績!$AI$6:$AI$505,"&lt;="&amp;$A276,実績!$AJ$6:$AJ$505,"&gt;"&amp;$A276,実績!$AL$6:$AL$505,"○")&gt;0,1,0))</f>
        <v>0</v>
      </c>
      <c r="T276" s="39" t="n">
        <f aca="false">IF(T$4=0,0,IF(COUNTIFS(実績!$W$6:$W$505,T$3,実績!$AI$6:$AI$505,"&lt;="&amp;$A276,実績!$AJ$6:$AJ$505,"&gt;"&amp;$A276,実績!$AL$6:$AL$505,"○")&gt;0,1,0))</f>
        <v>0</v>
      </c>
      <c r="U276" s="39" t="n">
        <f aca="false">IF(U$4=0,0,IF(COUNTIFS(実績!$W$6:$W$505,U$3,実績!$AI$6:$AI$505,"&lt;="&amp;$A276,実績!$AJ$6:$AJ$505,"&gt;"&amp;$A276,実績!$AL$6:$AL$505,"○")&gt;0,1,0))</f>
        <v>0</v>
      </c>
      <c r="V276" s="39" t="n">
        <f aca="false">IF(V$4=0,0,IF(COUNTIFS(実績!$W$6:$W$505,V$3,実績!$AI$6:$AI$505,"&lt;="&amp;$A276,実績!$AJ$6:$AJ$505,"&gt;"&amp;$A276,実績!$AL$6:$AL$505,"○")&gt;0,1,0))</f>
        <v>0</v>
      </c>
      <c r="W276" s="39" t="n">
        <f aca="false">IF(W$4=0,0,IF(COUNTIFS(実績!$W$6:$W$505,W$3,実績!$AI$6:$AI$505,"&lt;="&amp;$A276,実績!$AJ$6:$AJ$505,"&gt;"&amp;$A276,実績!$AL$6:$AL$505,"○")&gt;0,1,0))</f>
        <v>0</v>
      </c>
      <c r="X276" s="39" t="n">
        <f aca="false">IF(X$4=0,0,IF(COUNTIFS(実績!$W$6:$W$505,X$3,実績!$AI$6:$AI$505,"&lt;="&amp;$A276,実績!$AJ$6:$AJ$505,"&gt;"&amp;$A276,実績!$AL$6:$AL$505,"○")&gt;0,1,0))</f>
        <v>0</v>
      </c>
      <c r="Y276" s="39" t="n">
        <f aca="false">IF(Y$4=0,0,IF(COUNTIFS(実績!$W$6:$W$505,Y$3,実績!$AI$6:$AI$505,"&lt;="&amp;$A276,実績!$AJ$6:$AJ$505,"&gt;"&amp;$A276,実績!$AL$6:$AL$505,"○")&gt;0,1,0))</f>
        <v>0</v>
      </c>
      <c r="Z276" s="39" t="n">
        <f aca="false">IF(Z$4=0,0,IF(COUNTIFS(実績!$W$6:$W$505,Z$3,実績!$AI$6:$AI$505,"&lt;="&amp;$A276,実績!$AJ$6:$AJ$505,"&gt;"&amp;$A276,実績!$AL$6:$AL$505,"○")&gt;0,1,0))</f>
        <v>0</v>
      </c>
      <c r="AA276" s="39" t="n">
        <f aca="false">IF(AA$4=0,0,IF(COUNTIFS(実績!$W$6:$W$505,AA$3,実績!$AI$6:$AI$505,"&lt;="&amp;$A276,実績!$AJ$6:$AJ$505,"&gt;"&amp;$A276,実績!$AL$6:$AL$505,"○")&gt;0,1,0))</f>
        <v>0</v>
      </c>
      <c r="AB276" s="39" t="n">
        <f aca="false">IF(AB$4=0,0,IF(COUNTIFS(実績!$W$6:$W$505,AB$3,実績!$AI$6:$AI$505,"&lt;="&amp;$A276,実績!$AJ$6:$AJ$505,"&gt;"&amp;$A276,実績!$AL$6:$AL$505,"○")&gt;0,1,0))</f>
        <v>0</v>
      </c>
      <c r="AC276" s="39" t="n">
        <f aca="false">IF(AC$4=0,0,IF(COUNTIFS(実績!$W$6:$W$505,AC$3,実績!$AI$6:$AI$505,"&lt;="&amp;$A276,実績!$AJ$6:$AJ$505,"&gt;"&amp;$A276,実績!$AL$6:$AL$505,"○")&gt;0,1,0))</f>
        <v>0</v>
      </c>
      <c r="AD276" s="39" t="n">
        <f aca="false">IF(AD$4=0,0,IF(COUNTIFS(実績!$W$6:$W$505,AD$3,実績!$AI$6:$AI$505,"&lt;="&amp;$A276,実績!$AJ$6:$AJ$505,"&gt;"&amp;$A276,実績!$AL$6:$AL$505,"○")&gt;0,1,0))</f>
        <v>0</v>
      </c>
      <c r="AE276" s="39" t="n">
        <f aca="false">IF(AE$4=0,0,IF(COUNTIFS(実績!$W$6:$W$505,AE$3,実績!$AI$6:$AI$505,"&lt;="&amp;$A276,実績!$AJ$6:$AJ$505,"&gt;"&amp;$A276,実績!$AL$6:$AL$505,"○")&gt;0,1,0))</f>
        <v>0</v>
      </c>
      <c r="AF276" s="39" t="n">
        <f aca="false">IF(AF$4=0,0,IF(COUNTIFS(実績!$W$6:$W$505,AF$3,実績!$AI$6:$AI$505,"&lt;="&amp;$A276,実績!$AJ$6:$AJ$505,"&gt;"&amp;$A276,実績!$AL$6:$AL$505,"○")&gt;0,1,0))</f>
        <v>0</v>
      </c>
      <c r="AG276" s="39" t="n">
        <f aca="false">IF(AG$4=0,0,IF(COUNTIFS(実績!$W$6:$W$505,AG$3,実績!$AI$6:$AI$505,"&lt;="&amp;$A276,実績!$AJ$6:$AJ$505,"&gt;"&amp;$A276,実績!$AL$6:$AL$505,"○")&gt;0,1,0))</f>
        <v>0</v>
      </c>
      <c r="AH276" s="39" t="n">
        <f aca="false">IF(AH$4=0,0,IF(COUNTIFS(実績!$W$6:$W$505,AH$3,実績!$AI$6:$AI$505,"&lt;="&amp;$A276,実績!$AJ$6:$AJ$505,"&gt;"&amp;$A276,実績!$AL$6:$AL$505,"○")&gt;0,1,0))</f>
        <v>0</v>
      </c>
      <c r="AI276" s="39" t="n">
        <f aca="false">IF(AI$4=0,0,IF(COUNTIFS(実績!$W$6:$W$505,AI$3,実績!$AI$6:$AI$505,"&lt;="&amp;$A276,実績!$AJ$6:$AJ$505,"&gt;"&amp;$A276,実績!$AL$6:$AL$505,"○")&gt;0,1,0))</f>
        <v>0</v>
      </c>
      <c r="AJ276" s="39" t="n">
        <f aca="false">IF(AJ$4=0,0,IF(COUNTIFS(実績!$W$6:$W$505,AJ$3,実績!$AI$6:$AI$505,"&lt;="&amp;$A276,実績!$AJ$6:$AJ$505,"&gt;"&amp;$A276,実績!$AL$6:$AL$505,"○")&gt;0,1,0))</f>
        <v>0</v>
      </c>
      <c r="AK276" s="39" t="n">
        <f aca="false">IF(AK$4=0,0,IF(COUNTIFS(実績!$W$6:$W$505,AK$3,実績!$AI$6:$AI$505,"&lt;="&amp;$A276,実績!$AJ$6:$AJ$505,"&gt;"&amp;$A276,実績!$AL$6:$AL$505,"○")&gt;0,1,0))</f>
        <v>0</v>
      </c>
      <c r="AL276" s="39" t="n">
        <f aca="false">IF(AL$4=0,0,IF(COUNTIFS(実績!$W$6:$W$505,AL$3,実績!$AI$6:$AI$505,"&lt;="&amp;$A276,実績!$AJ$6:$AJ$505,"&gt;"&amp;$A276,実績!$AL$6:$AL$505,"○")&gt;0,1,0))</f>
        <v>0</v>
      </c>
      <c r="AM276" s="39" t="n">
        <f aca="false">IF(AM$4=0,0,IF(COUNTIFS(実績!$W$6:$W$505,AM$3,実績!$AI$6:$AI$505,"&lt;="&amp;$A276,実績!$AJ$6:$AJ$505,"&gt;"&amp;$A276,実績!$AL$6:$AL$505,"○")&gt;0,1,0))</f>
        <v>0</v>
      </c>
      <c r="AN276" s="39" t="n">
        <f aca="false">IF(AN$4=0,0,IF(COUNTIFS(実績!$W$6:$W$505,AN$3,実績!$AI$6:$AI$505,"&lt;="&amp;$A276,実績!$AJ$6:$AJ$505,"&gt;"&amp;$A276,実績!$AL$6:$AL$505,"○")&gt;0,1,0))</f>
        <v>0</v>
      </c>
      <c r="AO276" s="39" t="n">
        <f aca="false">IF(AO$4=0,0,IF(COUNTIFS(実績!$W$6:$W$505,AO$3,実績!$AI$6:$AI$505,"&lt;="&amp;$A276,実績!$AJ$6:$AJ$505,"&gt;"&amp;$A276,実績!$AL$6:$AL$505,"○")&gt;0,1,0))</f>
        <v>0</v>
      </c>
      <c r="AP276" s="39" t="n">
        <f aca="false">IF(AP$4=0,0,IF(COUNTIFS(実績!$W$6:$W$505,AP$3,実績!$AI$6:$AI$505,"&lt;="&amp;$A276,実績!$AJ$6:$AJ$505,"&gt;"&amp;$A276,実績!$AL$6:$AL$505,"○")&gt;0,1,0))</f>
        <v>0</v>
      </c>
      <c r="AQ276" s="39" t="n">
        <f aca="false">IF(AQ$4=0,0,IF(COUNTIFS(実績!$W$6:$W$505,AQ$3,実績!$AI$6:$AI$505,"&lt;="&amp;$A276,実績!$AJ$6:$AJ$505,"&gt;"&amp;$A276,実績!$AL$6:$AL$505,"○")&gt;0,1,0))</f>
        <v>0</v>
      </c>
      <c r="AR276" s="39" t="n">
        <f aca="false">IF(AR$4=0,0,IF(COUNTIFS(実績!$W$6:$W$505,AR$3,実績!$AI$6:$AI$505,"&lt;="&amp;$A276,実績!$AJ$6:$AJ$505,"&gt;"&amp;$A276,実績!$AL$6:$AL$505,"○")&gt;0,1,0))</f>
        <v>0</v>
      </c>
      <c r="AS276" s="39" t="n">
        <f aca="false">IF(AS$4=0,0,IF(COUNTIFS(実績!$W$6:$W$505,AS$3,実績!$AI$6:$AI$505,"&lt;="&amp;$A276,実績!$AJ$6:$AJ$505,"&gt;"&amp;$A276,実績!$AL$6:$AL$505,"○")&gt;0,1,0))</f>
        <v>0</v>
      </c>
      <c r="AT276" s="39" t="n">
        <f aca="false">IF(AT$4=0,0,IF(COUNTIFS(実績!$W$6:$W$505,AT$3,実績!$AI$6:$AI$505,"&lt;="&amp;$A276,実績!$AJ$6:$AJ$505,"&gt;"&amp;$A276,実績!$AL$6:$AL$505,"○")&gt;0,1,0))</f>
        <v>0</v>
      </c>
      <c r="AU276" s="39" t="n">
        <f aca="false">IF(AU$4=0,0,IF(COUNTIFS(実績!$W$6:$W$505,AU$3,実績!$AI$6:$AI$505,"&lt;="&amp;$A276,実績!$AJ$6:$AJ$505,"&gt;"&amp;$A276,実績!$AL$6:$AL$505,"○")&gt;0,1,0))</f>
        <v>0</v>
      </c>
      <c r="AV276" s="39" t="n">
        <f aca="false">IF(AV$4=0,0,IF(COUNTIFS(実績!$W$6:$W$505,AV$3,実績!$AI$6:$AI$505,"&lt;="&amp;$A276,実績!$AJ$6:$AJ$505,"&gt;"&amp;$A276,実績!$AL$6:$AL$505,"○")&gt;0,1,0))</f>
        <v>0</v>
      </c>
      <c r="AW276" s="39" t="n">
        <f aca="false">IF(AW$4=0,0,IF(COUNTIFS(実績!$W$6:$W$505,AW$3,実績!$AI$6:$AI$505,"&lt;="&amp;$A276,実績!$AJ$6:$AJ$505,"&gt;"&amp;$A276,実績!$AL$6:$AL$505,"○")&gt;0,1,0))</f>
        <v>0</v>
      </c>
      <c r="AX276" s="39" t="n">
        <f aca="false">IF(AX$4=0,0,IF(COUNTIFS(実績!$W$6:$W$505,AX$3,実績!$AI$6:$AI$505,"&lt;="&amp;$A276,実績!$AJ$6:$AJ$505,"&gt;"&amp;$A276,実績!$AL$6:$AL$505,"○")&gt;0,1,0))</f>
        <v>0</v>
      </c>
      <c r="AY276" s="39" t="n">
        <f aca="false">IF(AY$4=0,0,IF(COUNTIFS(実績!$W$6:$W$505,AY$3,実績!$AI$6:$AI$505,"&lt;="&amp;$A276,実績!$AJ$6:$AJ$505,"&gt;"&amp;$A276,実績!$AL$6:$AL$505,"○")&gt;0,1,0))</f>
        <v>0</v>
      </c>
      <c r="AZ276" s="39" t="n">
        <f aca="false">IF(AZ$4=0,0,IF(COUNTIFS(実績!$W$6:$W$505,AZ$3,実績!$AI$6:$AI$505,"&lt;="&amp;$A276,実績!$AJ$6:$AJ$505,"&gt;"&amp;$A276,実績!$AL$6:$AL$505,"○")&gt;0,1,0))</f>
        <v>0</v>
      </c>
      <c r="BA276" s="39" t="n">
        <f aca="false">IF(BA$4=0,0,IF(COUNTIFS(実績!$W$6:$W$505,BA$3,実績!$AI$6:$AI$505,"&lt;="&amp;$A276,実績!$AJ$6:$AJ$505,"&gt;"&amp;$A276,実績!$AL$6:$AL$505,"○")&gt;0,1,0))</f>
        <v>0</v>
      </c>
      <c r="BB276" s="39" t="n">
        <f aca="false">IF(BB$4=0,0,IF(COUNTIFS(実績!$W$6:$W$505,BB$3,実績!$AI$6:$AI$505,"&lt;="&amp;$A276,実績!$AJ$6:$AJ$505,"&gt;"&amp;$A276,実績!$AL$6:$AL$505,"○")&gt;0,1,0))</f>
        <v>0</v>
      </c>
      <c r="BC276" s="39" t="n">
        <f aca="false">IF(BC$4=0,0,IF(COUNTIFS(実績!$W$6:$W$505,BC$3,実績!$AI$6:$AI$505,"&lt;="&amp;$A276,実績!$AJ$6:$AJ$505,"&gt;"&amp;$A276,実績!$AL$6:$AL$505,"○")&gt;0,1,0))</f>
        <v>0</v>
      </c>
      <c r="BD276" s="39" t="n">
        <f aca="false">IF(BD$4=0,0,IF(COUNTIFS(実績!$W$6:$W$505,BD$3,実績!$AI$6:$AI$505,"&lt;="&amp;$A276,実績!$AJ$6:$AJ$505,"&gt;"&amp;$A276,実績!$AL$6:$AL$505,"○")&gt;0,1,0))</f>
        <v>0</v>
      </c>
      <c r="BE276" s="39" t="n">
        <f aca="false">IF(BE$4=0,0,IF(COUNTIFS(実績!$W$6:$W$505,BE$3,実績!$AI$6:$AI$505,"&lt;="&amp;$A276,実績!$AJ$6:$AJ$505,"&gt;"&amp;$A276,実績!$AL$6:$AL$505,"○")&gt;0,1,0))</f>
        <v>0</v>
      </c>
      <c r="BF276" s="39" t="n">
        <f aca="false">IF(BF$4=0,0,IF(COUNTIFS(実績!$W$6:$W$505,BF$3,実績!$AI$6:$AI$505,"&lt;="&amp;$A276,実績!$AJ$6:$AJ$505,"&gt;"&amp;$A276,実績!$AL$6:$AL$505,"○")&gt;0,1,0))</f>
        <v>0</v>
      </c>
      <c r="BG276" s="39" t="n">
        <f aca="false">IF(BG$4=0,0,IF(COUNTIFS(実績!$W$6:$W$505,BG$3,実績!$AI$6:$AI$505,"&lt;="&amp;$A276,実績!$AJ$6:$AJ$505,"&gt;"&amp;$A276,実績!$AL$6:$AL$505,"○")&gt;0,1,0))</f>
        <v>0</v>
      </c>
      <c r="BH276" s="39" t="n">
        <f aca="false">IF(BH$4=0,0,IF(COUNTIFS(実績!$W$6:$W$505,BH$3,実績!$AI$6:$AI$505,"&lt;="&amp;$A276,実績!$AJ$6:$AJ$505,"&gt;"&amp;$A276,実績!$AL$6:$AL$505,"○")&gt;0,1,0))</f>
        <v>0</v>
      </c>
      <c r="BI276" s="39" t="n">
        <f aca="false">IF(BI$4=0,0,IF(COUNTIFS(実績!$W$6:$W$505,BI$3,実績!$AI$6:$AI$505,"&lt;="&amp;$A276,実績!$AJ$6:$AJ$505,"&gt;"&amp;$A276,実績!$AL$6:$AL$505,"○")&gt;0,1,0))</f>
        <v>0</v>
      </c>
      <c r="BJ276" s="39" t="n">
        <f aca="false">IF(BJ$4=0,0,IF(COUNTIFS(実績!$W$6:$W$505,BJ$3,実績!$AI$6:$AI$505,"&lt;="&amp;$A276,実績!$AJ$6:$AJ$505,"&gt;"&amp;$A276,実績!$AL$6:$AL$505,"○")&gt;0,1,0))</f>
        <v>0</v>
      </c>
      <c r="BK276" s="39" t="n">
        <f aca="false">IF(BK$4=0,0,IF(COUNTIFS(実績!$W$6:$W$505,BK$3,実績!$AI$6:$AI$505,"&lt;="&amp;$A276,実績!$AJ$6:$AJ$505,"&gt;"&amp;$A276,実績!$AL$6:$AL$505,"○")&gt;0,1,0))</f>
        <v>0</v>
      </c>
      <c r="BL276" s="39" t="n">
        <f aca="false">IF(BL$4=0,0,IF(COUNTIFS(実績!$W$6:$W$505,BL$3,実績!$AI$6:$AI$505,"&lt;="&amp;$A276,実績!$AJ$6:$AJ$505,"&gt;"&amp;$A276,実績!$AL$6:$AL$505,"○")&gt;0,1,0))</f>
        <v>0</v>
      </c>
      <c r="BM276" s="39" t="n">
        <f aca="false">IF(BM$4=0,0,IF(COUNTIFS(実績!$W$6:$W$505,BM$3,実績!$AI$6:$AI$505,"&lt;="&amp;$A276,実績!$AJ$6:$AJ$505,"&gt;"&amp;$A276,実績!$AL$6:$AL$505,"○")&gt;0,1,0))</f>
        <v>0</v>
      </c>
      <c r="BN276" s="39" t="n">
        <f aca="false">IF(BN$4=0,0,IF(COUNTIFS(実績!$W$6:$W$505,BN$3,実績!$AI$6:$AI$505,"&lt;="&amp;$A276,実績!$AJ$6:$AJ$505,"&gt;"&amp;$A276,実績!$AL$6:$AL$505,"○")&gt;0,1,0))</f>
        <v>0</v>
      </c>
      <c r="BO276" s="39" t="n">
        <f aca="false">IF(BO$4=0,0,IF(COUNTIFS(実績!$W$6:$W$505,BO$3,実績!$AI$6:$AI$505,"&lt;="&amp;$A276,実績!$AJ$6:$AJ$505,"&gt;"&amp;$A276,実績!$AL$6:$AL$505,"○")&gt;0,1,0))</f>
        <v>0</v>
      </c>
      <c r="BP276" s="39" t="n">
        <f aca="false">IF(BP$4=0,0,IF(COUNTIFS(実績!$W$6:$W$505,BP$3,実績!$AI$6:$AI$505,"&lt;="&amp;$A276,実績!$AJ$6:$AJ$505,"&gt;"&amp;$A276,実績!$AL$6:$AL$505,"○")&gt;0,1,0))</f>
        <v>0</v>
      </c>
      <c r="BQ276" s="39" t="n">
        <f aca="false">IF(BQ$4=0,0,IF(COUNTIFS(実績!$W$6:$W$505,BQ$3,実績!$AI$6:$AI$505,"&lt;="&amp;$A276,実績!$AJ$6:$AJ$505,"&gt;"&amp;$A276,実績!$AL$6:$AL$505,"○")&gt;0,1,0))</f>
        <v>0</v>
      </c>
      <c r="BR276" s="39" t="n">
        <f aca="false">IF(BR$4=0,0,IF(COUNTIFS(実績!$W$6:$W$505,BR$3,実績!$AI$6:$AI$505,"&lt;="&amp;$A276,実績!$AJ$6:$AJ$505,"&gt;"&amp;$A276,実績!$AL$6:$AL$505,"○")&gt;0,1,0))</f>
        <v>0</v>
      </c>
      <c r="BS276" s="39" t="n">
        <f aca="false">IF(BS$4=0,0,IF(COUNTIFS(実績!$W$6:$W$505,BS$3,実績!$AI$6:$AI$505,"&lt;="&amp;$A276,実績!$AJ$6:$AJ$505,"&gt;"&amp;$A276,実績!$AL$6:$AL$505,"○")&gt;0,1,0))</f>
        <v>0</v>
      </c>
      <c r="BT276" s="39" t="n">
        <f aca="false">IF(BT$4=0,0,IF(COUNTIFS(実績!$W$6:$W$505,BT$3,実績!$AI$6:$AI$505,"&lt;="&amp;$A276,実績!$AJ$6:$AJ$505,"&gt;"&amp;$A276,実績!$AL$6:$AL$505,"○")&gt;0,1,0))</f>
        <v>0</v>
      </c>
      <c r="BU276" s="39" t="n">
        <f aca="false">IF(BU$4=0,0,IF(COUNTIFS(実績!$W$6:$W$505,BU$3,実績!$AI$6:$AI$505,"&lt;="&amp;$A276,実績!$AJ$6:$AJ$505,"&gt;"&amp;$A276,実績!$AL$6:$AL$505,"○")&gt;0,1,0))</f>
        <v>0</v>
      </c>
      <c r="BV276" s="39" t="n">
        <f aca="false">IF(BV$4=0,0,IF(COUNTIFS(実績!$W$6:$W$505,BV$3,実績!$AI$6:$AI$505,"&lt;="&amp;$A276,実績!$AJ$6:$AJ$505,"&gt;"&amp;$A276,実績!$AL$6:$AL$505,"○")&gt;0,1,0))</f>
        <v>0</v>
      </c>
      <c r="BW276" s="39" t="n">
        <f aca="false">IF(BW$4=0,0,IF(COUNTIFS(実績!$W$6:$W$505,BW$3,実績!$AI$6:$AI$505,"&lt;="&amp;$A276,実績!$AJ$6:$AJ$505,"&gt;"&amp;$A276,実績!$AL$6:$AL$505,"○")&gt;0,1,0))</f>
        <v>0</v>
      </c>
      <c r="BX276" s="39" t="n">
        <f aca="false">IF(BX$4=0,0,IF(COUNTIFS(実績!$W$6:$W$505,BX$3,実績!$AI$6:$AI$505,"&lt;="&amp;$A276,実績!$AJ$6:$AJ$505,"&gt;"&amp;$A276,実績!$AL$6:$AL$505,"○")&gt;0,1,0))</f>
        <v>0</v>
      </c>
      <c r="BY276" s="39" t="n">
        <f aca="false">IF(BY$4=0,0,IF(COUNTIFS(実績!$W$6:$W$505,BY$3,実績!$AI$6:$AI$505,"&lt;="&amp;$A276,実績!$AJ$6:$AJ$505,"&gt;"&amp;$A276,実績!$AL$6:$AL$505,"○")&gt;0,1,0))</f>
        <v>0</v>
      </c>
      <c r="BZ276" s="39" t="n">
        <f aca="false">IF(BZ$4=0,0,IF(COUNTIFS(実績!$W$6:$W$505,BZ$3,実績!$AI$6:$AI$505,"&lt;="&amp;$A276,実績!$AJ$6:$AJ$505,"&gt;"&amp;$A276,実績!$AL$6:$AL$505,"○")&gt;0,1,0))</f>
        <v>0</v>
      </c>
      <c r="CA276" s="39" t="n">
        <f aca="false">IF(CA$4=0,0,IF(COUNTIFS(実績!$W$6:$W$505,CA$3,実績!$AI$6:$AI$505,"&lt;="&amp;$A276,実績!$AJ$6:$AJ$505,"&gt;"&amp;$A276,実績!$AL$6:$AL$505,"○")&gt;0,1,0))</f>
        <v>0</v>
      </c>
      <c r="CB276" s="39" t="n">
        <f aca="false">IF(CB$4=0,0,IF(COUNTIFS(実績!$W$6:$W$505,CB$3,実績!$AI$6:$AI$505,"&lt;="&amp;$A276,実績!$AJ$6:$AJ$505,"&gt;"&amp;$A276,実績!$AL$6:$AL$505,"○")&gt;0,1,0))</f>
        <v>0</v>
      </c>
      <c r="CC276" s="39" t="n">
        <f aca="false">IF(CC$4=0,0,IF(COUNTIFS(実績!$W$6:$W$505,CC$3,実績!$AI$6:$AI$505,"&lt;="&amp;$A276,実績!$AJ$6:$AJ$505,"&gt;"&amp;$A276,実績!$AL$6:$AL$505,"○")&gt;0,1,0))</f>
        <v>0</v>
      </c>
      <c r="CD276" s="39" t="n">
        <f aca="false">IF(CD$4=0,0,IF(COUNTIFS(実績!$W$6:$W$505,CD$3,実績!$AI$6:$AI$505,"&lt;="&amp;$A276,実績!$AJ$6:$AJ$505,"&gt;"&amp;$A276,実績!$AL$6:$AL$505,"○")&gt;0,1,0))</f>
        <v>0</v>
      </c>
      <c r="CE276" s="39" t="n">
        <f aca="false">IF(CE$4=0,0,IF(COUNTIFS(実績!$W$6:$W$505,CE$3,実績!$AI$6:$AI$505,"&lt;="&amp;$A276,実績!$AJ$6:$AJ$505,"&gt;"&amp;$A276,実績!$AL$6:$AL$505,"○")&gt;0,1,0))</f>
        <v>0</v>
      </c>
      <c r="CF276" s="39" t="n">
        <f aca="false">IF(CF$4=0,0,IF(COUNTIFS(実績!$W$6:$W$505,CF$3,実績!$AI$6:$AI$505,"&lt;="&amp;$A276,実績!$AJ$6:$AJ$505,"&gt;"&amp;$A276,実績!$AL$6:$AL$505,"○")&gt;0,1,0))</f>
        <v>0</v>
      </c>
      <c r="CG276" s="39" t="n">
        <f aca="false">IF(CG$4=0,0,IF(COUNTIFS(実績!$W$6:$W$505,CG$3,実績!$AI$6:$AI$505,"&lt;="&amp;$A276,実績!$AJ$6:$AJ$505,"&gt;"&amp;$A276,実績!$AL$6:$AL$505,"○")&gt;0,1,0))</f>
        <v>0</v>
      </c>
      <c r="CH276" s="39" t="n">
        <f aca="false">IF(CH$4=0,0,IF(COUNTIFS(実績!$W$6:$W$505,CH$3,実績!$AI$6:$AI$505,"&lt;="&amp;$A276,実績!$AJ$6:$AJ$505,"&gt;"&amp;$A276,実績!$AL$6:$AL$505,"○")&gt;0,1,0))</f>
        <v>0</v>
      </c>
      <c r="CI276" s="39" t="n">
        <f aca="false">IF(CI$4=0,0,IF(COUNTIFS(実績!$W$6:$W$505,CI$3,実績!$AI$6:$AI$505,"&lt;="&amp;$A276,実績!$AJ$6:$AJ$505,"&gt;"&amp;$A276,実績!$AL$6:$AL$505,"○")&gt;0,1,0))</f>
        <v>0</v>
      </c>
      <c r="CJ276" s="39" t="n">
        <f aca="false">IF(CJ$4=0,0,IF(COUNTIFS(実績!$W$6:$W$505,CJ$3,実績!$AI$6:$AI$505,"&lt;="&amp;$A276,実績!$AJ$6:$AJ$505,"&gt;"&amp;$A276,実績!$AL$6:$AL$505,"○")&gt;0,1,0))</f>
        <v>0</v>
      </c>
      <c r="CK276" s="39" t="n">
        <f aca="false">IF(CK$4=0,0,IF(COUNTIFS(実績!$W$6:$W$505,CK$3,実績!$AI$6:$AI$505,"&lt;="&amp;$A276,実績!$AJ$6:$AJ$505,"&gt;"&amp;$A276,実績!$AL$6:$AL$505,"○")&gt;0,1,0))</f>
        <v>0</v>
      </c>
      <c r="CL276" s="39" t="n">
        <f aca="false">IF(CL$4=0,0,IF(COUNTIFS(実績!$W$6:$W$505,CL$3,実績!$AI$6:$AI$505,"&lt;="&amp;$A276,実績!$AJ$6:$AJ$505,"&gt;"&amp;$A276,実績!$AL$6:$AL$505,"○")&gt;0,1,0))</f>
        <v>0</v>
      </c>
      <c r="CM276" s="39" t="n">
        <f aca="false">IF(CM$4=0,0,IF(COUNTIFS(実績!$W$6:$W$505,CM$3,実績!$AI$6:$AI$505,"&lt;="&amp;$A276,実績!$AJ$6:$AJ$505,"&gt;"&amp;$A276,実績!$AL$6:$AL$505,"○")&gt;0,1,0))</f>
        <v>0</v>
      </c>
      <c r="CN276" s="39" t="n">
        <f aca="false">IF(CN$4=0,0,IF(COUNTIFS(実績!$W$6:$W$505,CN$3,実績!$AI$6:$AI$505,"&lt;="&amp;$A276,実績!$AJ$6:$AJ$505,"&gt;"&amp;$A276,実績!$AL$6:$AL$505,"○")&gt;0,1,0))</f>
        <v>0</v>
      </c>
      <c r="CO276" s="39" t="n">
        <f aca="false">IF(CO$4=0,0,IF(COUNTIFS(実績!$W$6:$W$505,CO$3,実績!$AI$6:$AI$505,"&lt;="&amp;$A276,実績!$AJ$6:$AJ$505,"&gt;"&amp;$A276,実績!$AL$6:$AL$505,"○")&gt;0,1,0))</f>
        <v>0</v>
      </c>
      <c r="CP276" s="39" t="n">
        <f aca="false">IF(CP$4=0,0,IF(COUNTIFS(実績!$W$6:$W$505,CP$3,実績!$AI$6:$AI$505,"&lt;="&amp;$A276,実績!$AJ$6:$AJ$505,"&gt;"&amp;$A276,実績!$AL$6:$AL$505,"○")&gt;0,1,0))</f>
        <v>0</v>
      </c>
      <c r="CQ276" s="39" t="n">
        <f aca="false">IF(CQ$4=0,0,IF(COUNTIFS(実績!$W$6:$W$505,CQ$3,実績!$AI$6:$AI$505,"&lt;="&amp;$A276,実績!$AJ$6:$AJ$505,"&gt;"&amp;$A276,実績!$AL$6:$AL$505,"○")&gt;0,1,0))</f>
        <v>0</v>
      </c>
      <c r="CR276" s="39" t="n">
        <f aca="false">IF(CR$4=0,0,IF(COUNTIFS(実績!$W$6:$W$505,CR$3,実績!$AI$6:$AI$505,"&lt;="&amp;$A276,実績!$AJ$6:$AJ$505,"&gt;"&amp;$A276,実績!$AL$6:$AL$505,"○")&gt;0,1,0))</f>
        <v>0</v>
      </c>
      <c r="CS276" s="39" t="n">
        <f aca="false">IF(CS$4=0,0,IF(COUNTIFS(実績!$W$6:$W$505,CS$3,実績!$AI$6:$AI$505,"&lt;="&amp;$A276,実績!$AJ$6:$AJ$505,"&gt;"&amp;$A276,実績!$AL$6:$AL$505,"○")&gt;0,1,0))</f>
        <v>0</v>
      </c>
      <c r="CT276" s="39" t="n">
        <f aca="false">IF(CT$4=0,0,IF(COUNTIFS(実績!$W$6:$W$505,CT$3,実績!$AI$6:$AI$505,"&lt;="&amp;$A276,実績!$AJ$6:$AJ$505,"&gt;"&amp;$A276,実績!$AL$6:$AL$505,"○")&gt;0,1,0))</f>
        <v>0</v>
      </c>
      <c r="CU276" s="39" t="n">
        <f aca="false">IF(CU$4=0,0,IF(COUNTIFS(実績!$W$6:$W$505,CU$3,実績!$AI$6:$AI$505,"&lt;="&amp;$A276,実績!$AJ$6:$AJ$505,"&gt;"&amp;$A276,実績!$AL$6:$AL$505,"○")&gt;0,1,0))</f>
        <v>0</v>
      </c>
      <c r="CV276" s="39" t="n">
        <f aca="false">IF(CV$4=0,0,IF(COUNTIFS(実績!$W$6:$W$505,CV$3,実績!$AI$6:$AI$505,"&lt;="&amp;$A276,実績!$AJ$6:$AJ$505,"&gt;"&amp;$A276,実績!$AL$6:$AL$505,"○")&gt;0,1,0))</f>
        <v>0</v>
      </c>
      <c r="CW276" s="39" t="n">
        <f aca="false">IF(CW$4=0,0,IF(COUNTIFS(実績!$W$6:$W$505,CW$3,実績!$AI$6:$AI$505,"&lt;="&amp;$A276,実績!$AJ$6:$AJ$505,"&gt;"&amp;$A276,実績!$AL$6:$AL$505,"○")&gt;0,1,0))</f>
        <v>0</v>
      </c>
      <c r="CX276" s="39" t="n">
        <f aca="false">IF(CX$4=0,0,IF(COUNTIFS(実績!$W$6:$W$505,CX$3,実績!$AI$6:$AI$505,"&lt;="&amp;$A276,実績!$AJ$6:$AJ$505,"&gt;"&amp;$A276,実績!$AL$6:$AL$505,"○")&gt;0,1,0))</f>
        <v>0</v>
      </c>
      <c r="CY276" s="39" t="n">
        <f aca="false">IF(CY$4=0,0,IF(COUNTIFS(実績!$W$6:$W$505,CY$3,実績!$AI$6:$AI$505,"&lt;="&amp;$A276,実績!$AJ$6:$AJ$505,"&gt;"&amp;$A276,実績!$AL$6:$AL$505,"○")&gt;0,1,0))</f>
        <v>0</v>
      </c>
      <c r="CZ276" s="39" t="n">
        <f aca="false">IF(CZ$4=0,0,IF(COUNTIFS(実績!$W$6:$W$505,CZ$3,実績!$AI$6:$AI$505,"&lt;="&amp;$A276,実績!$AJ$6:$AJ$505,"&gt;"&amp;$A276,実績!$AL$6:$AL$505,"○")&gt;0,1,0))</f>
        <v>0</v>
      </c>
      <c r="DA276" s="39" t="n">
        <f aca="false">IF(DA$4=0,0,IF(COUNTIFS(実績!$W$6:$W$505,DA$3,実績!$AI$6:$AI$505,"&lt;="&amp;$A276,実績!$AJ$6:$AJ$505,"&gt;"&amp;$A276,実績!$AL$6:$AL$505,"○")&gt;0,1,0))</f>
        <v>0</v>
      </c>
      <c r="DB276" s="39" t="n">
        <f aca="false">IF(DB$4=0,0,IF(COUNTIFS(実績!$W$6:$W$505,DB$3,実績!$AI$6:$AI$505,"&lt;="&amp;$A276,実績!$AJ$6:$AJ$505,"&gt;"&amp;$A276,実績!$AL$6:$AL$505,"○")&gt;0,1,0))</f>
        <v>0</v>
      </c>
      <c r="DC276" s="39" t="n">
        <f aca="false">IF(DC$4=0,0,IF(COUNTIFS(実績!$W$6:$W$505,DC$3,実績!$AI$6:$AI$505,"&lt;="&amp;$A276,実績!$AJ$6:$AJ$505,"&gt;"&amp;$A276,実績!$AL$6:$AL$505,"○")&gt;0,1,0))</f>
        <v>0</v>
      </c>
      <c r="DD276" s="39" t="n">
        <f aca="false">IF(DD$4=0,0,IF(COUNTIFS(実績!$W$6:$W$505,DD$3,実績!$AI$6:$AI$505,"&lt;="&amp;$A276,実績!$AJ$6:$AJ$505,"&gt;"&amp;$A276,実績!$AL$6:$AL$505,"○")&gt;0,1,0))</f>
        <v>0</v>
      </c>
      <c r="DE276" s="39" t="n">
        <f aca="false">IF(DE$4=0,0,IF(COUNTIFS(実績!$W$6:$W$505,DE$3,実績!$AI$6:$AI$505,"&lt;="&amp;$A276,実績!$AJ$6:$AJ$505,"&gt;"&amp;$A276,実績!$AL$6:$AL$505,"○")&gt;0,1,0))</f>
        <v>0</v>
      </c>
      <c r="DF276" s="39" t="n">
        <f aca="false">IF(DF$4=0,0,IF(COUNTIFS(実績!$W$6:$W$505,DF$3,実績!$AI$6:$AI$505,"&lt;="&amp;$A276,実績!$AJ$6:$AJ$505,"&gt;"&amp;$A276,実績!$AL$6:$AL$505,"○")&gt;0,1,0))</f>
        <v>0</v>
      </c>
      <c r="DG276" s="39" t="n">
        <f aca="false">IF(DG$4=0,0,IF(COUNTIFS(実績!$W$6:$W$505,DG$3,実績!$AI$6:$AI$505,"&lt;="&amp;$A276,実績!$AJ$6:$AJ$505,"&gt;"&amp;$A276,実績!$AL$6:$AL$505,"○")&gt;0,1,0))</f>
        <v>0</v>
      </c>
      <c r="DH276" s="39" t="n">
        <f aca="false">IF(DH$4=0,0,IF(COUNTIFS(実績!$W$6:$W$505,DH$3,実績!$AI$6:$AI$505,"&lt;="&amp;$A276,実績!$AJ$6:$AJ$505,"&gt;"&amp;$A276,実績!$AL$6:$AL$505,"○")&gt;0,1,0))</f>
        <v>0</v>
      </c>
      <c r="DI276" s="39" t="n">
        <f aca="false">IF(DI$4=0,0,IF(COUNTIFS(実績!$W$6:$W$505,DI$3,実績!$AI$6:$AI$505,"&lt;="&amp;$A276,実績!$AJ$6:$AJ$505,"&gt;"&amp;$A276,実績!$AL$6:$AL$505,"○")&gt;0,1,0))</f>
        <v>0</v>
      </c>
      <c r="DJ276" s="39" t="n">
        <f aca="false">IF(DJ$4=0,0,IF(COUNTIFS(実績!$W$6:$W$505,DJ$3,実績!$AI$6:$AI$505,"&lt;="&amp;$A276,実績!$AJ$6:$AJ$505,"&gt;"&amp;$A276,実績!$AL$6:$AL$505,"○")&gt;0,1,0))</f>
        <v>0</v>
      </c>
      <c r="DK276" s="39" t="n">
        <f aca="false">IF(DK$4=0,0,IF(COUNTIFS(実績!$W$6:$W$505,DK$3,実績!$AI$6:$AI$505,"&lt;="&amp;$A276,実績!$AJ$6:$AJ$505,"&gt;"&amp;$A276,実績!$AL$6:$AL$505,"○")&gt;0,1,0))</f>
        <v>0</v>
      </c>
      <c r="DL276" s="39" t="n">
        <f aca="false">IF(DL$4=0,0,IF(COUNTIFS(実績!$W$6:$W$505,DL$3,実績!$AI$6:$AI$505,"&lt;="&amp;$A276,実績!$AJ$6:$AJ$505,"&gt;"&amp;$A276,実績!$AL$6:$AL$505,"○")&gt;0,1,0))</f>
        <v>0</v>
      </c>
      <c r="DM276" s="39" t="n">
        <f aca="false">IF(DM$4=0,0,IF(COUNTIFS(実績!$W$6:$W$505,DM$3,実績!$AI$6:$AI$505,"&lt;="&amp;$A276,実績!$AJ$6:$AJ$505,"&gt;"&amp;$A276,実績!$AL$6:$AL$505,"○")&gt;0,1,0))</f>
        <v>0</v>
      </c>
      <c r="DN276" s="39" t="n">
        <f aca="false">IF(DN$4=0,0,IF(COUNTIFS(実績!$W$6:$W$505,DN$3,実績!$AI$6:$AI$505,"&lt;="&amp;$A276,実績!$AJ$6:$AJ$505,"&gt;"&amp;$A276,実績!$AL$6:$AL$505,"○")&gt;0,1,0))</f>
        <v>0</v>
      </c>
      <c r="DO276" s="39" t="n">
        <f aca="false">IF(DO$4=0,0,IF(COUNTIFS(実績!$W$6:$W$505,DO$3,実績!$AI$6:$AI$505,"&lt;="&amp;$A276,実績!$AJ$6:$AJ$505,"&gt;"&amp;$A276,実績!$AL$6:$AL$505,"○")&gt;0,1,0))</f>
        <v>0</v>
      </c>
      <c r="DP276" s="39" t="n">
        <f aca="false">IF(DP$4=0,0,IF(COUNTIFS(実績!$W$6:$W$505,DP$3,実績!$AI$6:$AI$505,"&lt;="&amp;$A276,実績!$AJ$6:$AJ$505,"&gt;"&amp;$A276,実績!$AL$6:$AL$505,"○")&gt;0,1,0))</f>
        <v>0</v>
      </c>
      <c r="DQ276" s="39" t="n">
        <f aca="false">IF(DQ$4=0,0,IF(COUNTIFS(実績!$W$6:$W$505,DQ$3,実績!$AI$6:$AI$505,"&lt;="&amp;$A276,実績!$AJ$6:$AJ$505,"&gt;"&amp;$A276,実績!$AL$6:$AL$505,"○")&gt;0,1,0))</f>
        <v>0</v>
      </c>
      <c r="DR276" s="39" t="n">
        <f aca="false">IF(DR$4=0,0,IF(COUNTIFS(実績!$W$6:$W$505,DR$3,実績!$AI$6:$AI$505,"&lt;="&amp;$A276,実績!$AJ$6:$AJ$505,"&gt;"&amp;$A276,実績!$AL$6:$AL$505,"○")&gt;0,1,0))</f>
        <v>0</v>
      </c>
      <c r="DS276" s="39" t="n">
        <f aca="false">SUM(C276:DR276)</f>
        <v>0</v>
      </c>
    </row>
    <row r="277" customFormat="false" ht="15" hidden="false" customHeight="false" outlineLevel="0" collapsed="false">
      <c r="A277" s="0" t="n">
        <v>1355</v>
      </c>
      <c r="B277" s="38" t="n">
        <f aca="false">A277/1440</f>
        <v>0.940972222222222</v>
      </c>
      <c r="C277" s="39" t="n">
        <f aca="false">IF(C$4=0,0,IF(COUNTIFS(実績!$W$6:$W$505,C$3,実績!$AI$6:$AI$505,"&lt;="&amp;$A277,実績!$AJ$6:$AJ$505,"&gt;"&amp;$A277,実績!$AL$6:$AL$505,"○")&gt;0,1,0))</f>
        <v>0</v>
      </c>
      <c r="D277" s="39" t="n">
        <f aca="false">IF(D$4=0,0,IF(COUNTIFS(実績!$W$6:$W$505,D$3,実績!$AI$6:$AI$505,"&lt;="&amp;$A277,実績!$AJ$6:$AJ$505,"&gt;"&amp;$A277,実績!$AL$6:$AL$505,"○")&gt;0,1,0))</f>
        <v>0</v>
      </c>
      <c r="E277" s="39" t="n">
        <f aca="false">IF(E$4=0,0,IF(COUNTIFS(実績!$W$6:$W$505,E$3,実績!$AI$6:$AI$505,"&lt;="&amp;$A277,実績!$AJ$6:$AJ$505,"&gt;"&amp;$A277,実績!$AL$6:$AL$505,"○")&gt;0,1,0))</f>
        <v>0</v>
      </c>
      <c r="F277" s="39" t="n">
        <f aca="false">IF(F$4=0,0,IF(COUNTIFS(実績!$W$6:$W$505,F$3,実績!$AI$6:$AI$505,"&lt;="&amp;$A277,実績!$AJ$6:$AJ$505,"&gt;"&amp;$A277,実績!$AL$6:$AL$505,"○")&gt;0,1,0))</f>
        <v>0</v>
      </c>
      <c r="G277" s="39" t="n">
        <f aca="false">IF(G$4=0,0,IF(COUNTIFS(実績!$W$6:$W$505,G$3,実績!$AI$6:$AI$505,"&lt;="&amp;$A277,実績!$AJ$6:$AJ$505,"&gt;"&amp;$A277,実績!$AL$6:$AL$505,"○")&gt;0,1,0))</f>
        <v>0</v>
      </c>
      <c r="H277" s="39" t="n">
        <f aca="false">IF(H$4=0,0,IF(COUNTIFS(実績!$W$6:$W$505,H$3,実績!$AI$6:$AI$505,"&lt;="&amp;$A277,実績!$AJ$6:$AJ$505,"&gt;"&amp;$A277,実績!$AL$6:$AL$505,"○")&gt;0,1,0))</f>
        <v>0</v>
      </c>
      <c r="I277" s="39" t="n">
        <f aca="false">IF(I$4=0,0,IF(COUNTIFS(実績!$W$6:$W$505,I$3,実績!$AI$6:$AI$505,"&lt;="&amp;$A277,実績!$AJ$6:$AJ$505,"&gt;"&amp;$A277,実績!$AL$6:$AL$505,"○")&gt;0,1,0))</f>
        <v>0</v>
      </c>
      <c r="J277" s="39" t="n">
        <f aca="false">IF(J$4=0,0,IF(COUNTIFS(実績!$W$6:$W$505,J$3,実績!$AI$6:$AI$505,"&lt;="&amp;$A277,実績!$AJ$6:$AJ$505,"&gt;"&amp;$A277,実績!$AL$6:$AL$505,"○")&gt;0,1,0))</f>
        <v>0</v>
      </c>
      <c r="K277" s="39" t="n">
        <f aca="false">IF(K$4=0,0,IF(COUNTIFS(実績!$W$6:$W$505,K$3,実績!$AI$6:$AI$505,"&lt;="&amp;$A277,実績!$AJ$6:$AJ$505,"&gt;"&amp;$A277,実績!$AL$6:$AL$505,"○")&gt;0,1,0))</f>
        <v>0</v>
      </c>
      <c r="L277" s="39" t="n">
        <f aca="false">IF(L$4=0,0,IF(COUNTIFS(実績!$W$6:$W$505,L$3,実績!$AI$6:$AI$505,"&lt;="&amp;$A277,実績!$AJ$6:$AJ$505,"&gt;"&amp;$A277,実績!$AL$6:$AL$505,"○")&gt;0,1,0))</f>
        <v>0</v>
      </c>
      <c r="M277" s="39" t="n">
        <f aca="false">IF(M$4=0,0,IF(COUNTIFS(実績!$W$6:$W$505,M$3,実績!$AI$6:$AI$505,"&lt;="&amp;$A277,実績!$AJ$6:$AJ$505,"&gt;"&amp;$A277,実績!$AL$6:$AL$505,"○")&gt;0,1,0))</f>
        <v>0</v>
      </c>
      <c r="N277" s="39" t="n">
        <f aca="false">IF(N$4=0,0,IF(COUNTIFS(実績!$W$6:$W$505,N$3,実績!$AI$6:$AI$505,"&lt;="&amp;$A277,実績!$AJ$6:$AJ$505,"&gt;"&amp;$A277,実績!$AL$6:$AL$505,"○")&gt;0,1,0))</f>
        <v>0</v>
      </c>
      <c r="O277" s="39" t="n">
        <f aca="false">IF(O$4=0,0,IF(COUNTIFS(実績!$W$6:$W$505,O$3,実績!$AI$6:$AI$505,"&lt;="&amp;$A277,実績!$AJ$6:$AJ$505,"&gt;"&amp;$A277,実績!$AL$6:$AL$505,"○")&gt;0,1,0))</f>
        <v>0</v>
      </c>
      <c r="P277" s="39" t="n">
        <f aca="false">IF(P$4=0,0,IF(COUNTIFS(実績!$W$6:$W$505,P$3,実績!$AI$6:$AI$505,"&lt;="&amp;$A277,実績!$AJ$6:$AJ$505,"&gt;"&amp;$A277,実績!$AL$6:$AL$505,"○")&gt;0,1,0))</f>
        <v>0</v>
      </c>
      <c r="Q277" s="39" t="n">
        <f aca="false">IF(Q$4=0,0,IF(COUNTIFS(実績!$W$6:$W$505,Q$3,実績!$AI$6:$AI$505,"&lt;="&amp;$A277,実績!$AJ$6:$AJ$505,"&gt;"&amp;$A277,実績!$AL$6:$AL$505,"○")&gt;0,1,0))</f>
        <v>0</v>
      </c>
      <c r="R277" s="39" t="n">
        <f aca="false">IF(R$4=0,0,IF(COUNTIFS(実績!$W$6:$W$505,R$3,実績!$AI$6:$AI$505,"&lt;="&amp;$A277,実績!$AJ$6:$AJ$505,"&gt;"&amp;$A277,実績!$AL$6:$AL$505,"○")&gt;0,1,0))</f>
        <v>0</v>
      </c>
      <c r="S277" s="39" t="n">
        <f aca="false">IF(S$4=0,0,IF(COUNTIFS(実績!$W$6:$W$505,S$3,実績!$AI$6:$AI$505,"&lt;="&amp;$A277,実績!$AJ$6:$AJ$505,"&gt;"&amp;$A277,実績!$AL$6:$AL$505,"○")&gt;0,1,0))</f>
        <v>0</v>
      </c>
      <c r="T277" s="39" t="n">
        <f aca="false">IF(T$4=0,0,IF(COUNTIFS(実績!$W$6:$W$505,T$3,実績!$AI$6:$AI$505,"&lt;="&amp;$A277,実績!$AJ$6:$AJ$505,"&gt;"&amp;$A277,実績!$AL$6:$AL$505,"○")&gt;0,1,0))</f>
        <v>0</v>
      </c>
      <c r="U277" s="39" t="n">
        <f aca="false">IF(U$4=0,0,IF(COUNTIFS(実績!$W$6:$W$505,U$3,実績!$AI$6:$AI$505,"&lt;="&amp;$A277,実績!$AJ$6:$AJ$505,"&gt;"&amp;$A277,実績!$AL$6:$AL$505,"○")&gt;0,1,0))</f>
        <v>0</v>
      </c>
      <c r="V277" s="39" t="n">
        <f aca="false">IF(V$4=0,0,IF(COUNTIFS(実績!$W$6:$W$505,V$3,実績!$AI$6:$AI$505,"&lt;="&amp;$A277,実績!$AJ$6:$AJ$505,"&gt;"&amp;$A277,実績!$AL$6:$AL$505,"○")&gt;0,1,0))</f>
        <v>0</v>
      </c>
      <c r="W277" s="39" t="n">
        <f aca="false">IF(W$4=0,0,IF(COUNTIFS(実績!$W$6:$W$505,W$3,実績!$AI$6:$AI$505,"&lt;="&amp;$A277,実績!$AJ$6:$AJ$505,"&gt;"&amp;$A277,実績!$AL$6:$AL$505,"○")&gt;0,1,0))</f>
        <v>0</v>
      </c>
      <c r="X277" s="39" t="n">
        <f aca="false">IF(X$4=0,0,IF(COUNTIFS(実績!$W$6:$W$505,X$3,実績!$AI$6:$AI$505,"&lt;="&amp;$A277,実績!$AJ$6:$AJ$505,"&gt;"&amp;$A277,実績!$AL$6:$AL$505,"○")&gt;0,1,0))</f>
        <v>0</v>
      </c>
      <c r="Y277" s="39" t="n">
        <f aca="false">IF(Y$4=0,0,IF(COUNTIFS(実績!$W$6:$W$505,Y$3,実績!$AI$6:$AI$505,"&lt;="&amp;$A277,実績!$AJ$6:$AJ$505,"&gt;"&amp;$A277,実績!$AL$6:$AL$505,"○")&gt;0,1,0))</f>
        <v>0</v>
      </c>
      <c r="Z277" s="39" t="n">
        <f aca="false">IF(Z$4=0,0,IF(COUNTIFS(実績!$W$6:$W$505,Z$3,実績!$AI$6:$AI$505,"&lt;="&amp;$A277,実績!$AJ$6:$AJ$505,"&gt;"&amp;$A277,実績!$AL$6:$AL$505,"○")&gt;0,1,0))</f>
        <v>0</v>
      </c>
      <c r="AA277" s="39" t="n">
        <f aca="false">IF(AA$4=0,0,IF(COUNTIFS(実績!$W$6:$W$505,AA$3,実績!$AI$6:$AI$505,"&lt;="&amp;$A277,実績!$AJ$6:$AJ$505,"&gt;"&amp;$A277,実績!$AL$6:$AL$505,"○")&gt;0,1,0))</f>
        <v>0</v>
      </c>
      <c r="AB277" s="39" t="n">
        <f aca="false">IF(AB$4=0,0,IF(COUNTIFS(実績!$W$6:$W$505,AB$3,実績!$AI$6:$AI$505,"&lt;="&amp;$A277,実績!$AJ$6:$AJ$505,"&gt;"&amp;$A277,実績!$AL$6:$AL$505,"○")&gt;0,1,0))</f>
        <v>0</v>
      </c>
      <c r="AC277" s="39" t="n">
        <f aca="false">IF(AC$4=0,0,IF(COUNTIFS(実績!$W$6:$W$505,AC$3,実績!$AI$6:$AI$505,"&lt;="&amp;$A277,実績!$AJ$6:$AJ$505,"&gt;"&amp;$A277,実績!$AL$6:$AL$505,"○")&gt;0,1,0))</f>
        <v>0</v>
      </c>
      <c r="AD277" s="39" t="n">
        <f aca="false">IF(AD$4=0,0,IF(COUNTIFS(実績!$W$6:$W$505,AD$3,実績!$AI$6:$AI$505,"&lt;="&amp;$A277,実績!$AJ$6:$AJ$505,"&gt;"&amp;$A277,実績!$AL$6:$AL$505,"○")&gt;0,1,0))</f>
        <v>0</v>
      </c>
      <c r="AE277" s="39" t="n">
        <f aca="false">IF(AE$4=0,0,IF(COUNTIFS(実績!$W$6:$W$505,AE$3,実績!$AI$6:$AI$505,"&lt;="&amp;$A277,実績!$AJ$6:$AJ$505,"&gt;"&amp;$A277,実績!$AL$6:$AL$505,"○")&gt;0,1,0))</f>
        <v>0</v>
      </c>
      <c r="AF277" s="39" t="n">
        <f aca="false">IF(AF$4=0,0,IF(COUNTIFS(実績!$W$6:$W$505,AF$3,実績!$AI$6:$AI$505,"&lt;="&amp;$A277,実績!$AJ$6:$AJ$505,"&gt;"&amp;$A277,実績!$AL$6:$AL$505,"○")&gt;0,1,0))</f>
        <v>0</v>
      </c>
      <c r="AG277" s="39" t="n">
        <f aca="false">IF(AG$4=0,0,IF(COUNTIFS(実績!$W$6:$W$505,AG$3,実績!$AI$6:$AI$505,"&lt;="&amp;$A277,実績!$AJ$6:$AJ$505,"&gt;"&amp;$A277,実績!$AL$6:$AL$505,"○")&gt;0,1,0))</f>
        <v>0</v>
      </c>
      <c r="AH277" s="39" t="n">
        <f aca="false">IF(AH$4=0,0,IF(COUNTIFS(実績!$W$6:$W$505,AH$3,実績!$AI$6:$AI$505,"&lt;="&amp;$A277,実績!$AJ$6:$AJ$505,"&gt;"&amp;$A277,実績!$AL$6:$AL$505,"○")&gt;0,1,0))</f>
        <v>0</v>
      </c>
      <c r="AI277" s="39" t="n">
        <f aca="false">IF(AI$4=0,0,IF(COUNTIFS(実績!$W$6:$W$505,AI$3,実績!$AI$6:$AI$505,"&lt;="&amp;$A277,実績!$AJ$6:$AJ$505,"&gt;"&amp;$A277,実績!$AL$6:$AL$505,"○")&gt;0,1,0))</f>
        <v>0</v>
      </c>
      <c r="AJ277" s="39" t="n">
        <f aca="false">IF(AJ$4=0,0,IF(COUNTIFS(実績!$W$6:$W$505,AJ$3,実績!$AI$6:$AI$505,"&lt;="&amp;$A277,実績!$AJ$6:$AJ$505,"&gt;"&amp;$A277,実績!$AL$6:$AL$505,"○")&gt;0,1,0))</f>
        <v>0</v>
      </c>
      <c r="AK277" s="39" t="n">
        <f aca="false">IF(AK$4=0,0,IF(COUNTIFS(実績!$W$6:$W$505,AK$3,実績!$AI$6:$AI$505,"&lt;="&amp;$A277,実績!$AJ$6:$AJ$505,"&gt;"&amp;$A277,実績!$AL$6:$AL$505,"○")&gt;0,1,0))</f>
        <v>0</v>
      </c>
      <c r="AL277" s="39" t="n">
        <f aca="false">IF(AL$4=0,0,IF(COUNTIFS(実績!$W$6:$W$505,AL$3,実績!$AI$6:$AI$505,"&lt;="&amp;$A277,実績!$AJ$6:$AJ$505,"&gt;"&amp;$A277,実績!$AL$6:$AL$505,"○")&gt;0,1,0))</f>
        <v>0</v>
      </c>
      <c r="AM277" s="39" t="n">
        <f aca="false">IF(AM$4=0,0,IF(COUNTIFS(実績!$W$6:$W$505,AM$3,実績!$AI$6:$AI$505,"&lt;="&amp;$A277,実績!$AJ$6:$AJ$505,"&gt;"&amp;$A277,実績!$AL$6:$AL$505,"○")&gt;0,1,0))</f>
        <v>0</v>
      </c>
      <c r="AN277" s="39" t="n">
        <f aca="false">IF(AN$4=0,0,IF(COUNTIFS(実績!$W$6:$W$505,AN$3,実績!$AI$6:$AI$505,"&lt;="&amp;$A277,実績!$AJ$6:$AJ$505,"&gt;"&amp;$A277,実績!$AL$6:$AL$505,"○")&gt;0,1,0))</f>
        <v>0</v>
      </c>
      <c r="AO277" s="39" t="n">
        <f aca="false">IF(AO$4=0,0,IF(COUNTIFS(実績!$W$6:$W$505,AO$3,実績!$AI$6:$AI$505,"&lt;="&amp;$A277,実績!$AJ$6:$AJ$505,"&gt;"&amp;$A277,実績!$AL$6:$AL$505,"○")&gt;0,1,0))</f>
        <v>0</v>
      </c>
      <c r="AP277" s="39" t="n">
        <f aca="false">IF(AP$4=0,0,IF(COUNTIFS(実績!$W$6:$W$505,AP$3,実績!$AI$6:$AI$505,"&lt;="&amp;$A277,実績!$AJ$6:$AJ$505,"&gt;"&amp;$A277,実績!$AL$6:$AL$505,"○")&gt;0,1,0))</f>
        <v>0</v>
      </c>
      <c r="AQ277" s="39" t="n">
        <f aca="false">IF(AQ$4=0,0,IF(COUNTIFS(実績!$W$6:$W$505,AQ$3,実績!$AI$6:$AI$505,"&lt;="&amp;$A277,実績!$AJ$6:$AJ$505,"&gt;"&amp;$A277,実績!$AL$6:$AL$505,"○")&gt;0,1,0))</f>
        <v>0</v>
      </c>
      <c r="AR277" s="39" t="n">
        <f aca="false">IF(AR$4=0,0,IF(COUNTIFS(実績!$W$6:$W$505,AR$3,実績!$AI$6:$AI$505,"&lt;="&amp;$A277,実績!$AJ$6:$AJ$505,"&gt;"&amp;$A277,実績!$AL$6:$AL$505,"○")&gt;0,1,0))</f>
        <v>0</v>
      </c>
      <c r="AS277" s="39" t="n">
        <f aca="false">IF(AS$4=0,0,IF(COUNTIFS(実績!$W$6:$W$505,AS$3,実績!$AI$6:$AI$505,"&lt;="&amp;$A277,実績!$AJ$6:$AJ$505,"&gt;"&amp;$A277,実績!$AL$6:$AL$505,"○")&gt;0,1,0))</f>
        <v>0</v>
      </c>
      <c r="AT277" s="39" t="n">
        <f aca="false">IF(AT$4=0,0,IF(COUNTIFS(実績!$W$6:$W$505,AT$3,実績!$AI$6:$AI$505,"&lt;="&amp;$A277,実績!$AJ$6:$AJ$505,"&gt;"&amp;$A277,実績!$AL$6:$AL$505,"○")&gt;0,1,0))</f>
        <v>0</v>
      </c>
      <c r="AU277" s="39" t="n">
        <f aca="false">IF(AU$4=0,0,IF(COUNTIFS(実績!$W$6:$W$505,AU$3,実績!$AI$6:$AI$505,"&lt;="&amp;$A277,実績!$AJ$6:$AJ$505,"&gt;"&amp;$A277,実績!$AL$6:$AL$505,"○")&gt;0,1,0))</f>
        <v>0</v>
      </c>
      <c r="AV277" s="39" t="n">
        <f aca="false">IF(AV$4=0,0,IF(COUNTIFS(実績!$W$6:$W$505,AV$3,実績!$AI$6:$AI$505,"&lt;="&amp;$A277,実績!$AJ$6:$AJ$505,"&gt;"&amp;$A277,実績!$AL$6:$AL$505,"○")&gt;0,1,0))</f>
        <v>0</v>
      </c>
      <c r="AW277" s="39" t="n">
        <f aca="false">IF(AW$4=0,0,IF(COUNTIFS(実績!$W$6:$W$505,AW$3,実績!$AI$6:$AI$505,"&lt;="&amp;$A277,実績!$AJ$6:$AJ$505,"&gt;"&amp;$A277,実績!$AL$6:$AL$505,"○")&gt;0,1,0))</f>
        <v>0</v>
      </c>
      <c r="AX277" s="39" t="n">
        <f aca="false">IF(AX$4=0,0,IF(COUNTIFS(実績!$W$6:$W$505,AX$3,実績!$AI$6:$AI$505,"&lt;="&amp;$A277,実績!$AJ$6:$AJ$505,"&gt;"&amp;$A277,実績!$AL$6:$AL$505,"○")&gt;0,1,0))</f>
        <v>0</v>
      </c>
      <c r="AY277" s="39" t="n">
        <f aca="false">IF(AY$4=0,0,IF(COUNTIFS(実績!$W$6:$W$505,AY$3,実績!$AI$6:$AI$505,"&lt;="&amp;$A277,実績!$AJ$6:$AJ$505,"&gt;"&amp;$A277,実績!$AL$6:$AL$505,"○")&gt;0,1,0))</f>
        <v>0</v>
      </c>
      <c r="AZ277" s="39" t="n">
        <f aca="false">IF(AZ$4=0,0,IF(COUNTIFS(実績!$W$6:$W$505,AZ$3,実績!$AI$6:$AI$505,"&lt;="&amp;$A277,実績!$AJ$6:$AJ$505,"&gt;"&amp;$A277,実績!$AL$6:$AL$505,"○")&gt;0,1,0))</f>
        <v>0</v>
      </c>
      <c r="BA277" s="39" t="n">
        <f aca="false">IF(BA$4=0,0,IF(COUNTIFS(実績!$W$6:$W$505,BA$3,実績!$AI$6:$AI$505,"&lt;="&amp;$A277,実績!$AJ$6:$AJ$505,"&gt;"&amp;$A277,実績!$AL$6:$AL$505,"○")&gt;0,1,0))</f>
        <v>0</v>
      </c>
      <c r="BB277" s="39" t="n">
        <f aca="false">IF(BB$4=0,0,IF(COUNTIFS(実績!$W$6:$W$505,BB$3,実績!$AI$6:$AI$505,"&lt;="&amp;$A277,実績!$AJ$6:$AJ$505,"&gt;"&amp;$A277,実績!$AL$6:$AL$505,"○")&gt;0,1,0))</f>
        <v>0</v>
      </c>
      <c r="BC277" s="39" t="n">
        <f aca="false">IF(BC$4=0,0,IF(COUNTIFS(実績!$W$6:$W$505,BC$3,実績!$AI$6:$AI$505,"&lt;="&amp;$A277,実績!$AJ$6:$AJ$505,"&gt;"&amp;$A277,実績!$AL$6:$AL$505,"○")&gt;0,1,0))</f>
        <v>0</v>
      </c>
      <c r="BD277" s="39" t="n">
        <f aca="false">IF(BD$4=0,0,IF(COUNTIFS(実績!$W$6:$W$505,BD$3,実績!$AI$6:$AI$505,"&lt;="&amp;$A277,実績!$AJ$6:$AJ$505,"&gt;"&amp;$A277,実績!$AL$6:$AL$505,"○")&gt;0,1,0))</f>
        <v>0</v>
      </c>
      <c r="BE277" s="39" t="n">
        <f aca="false">IF(BE$4=0,0,IF(COUNTIFS(実績!$W$6:$W$505,BE$3,実績!$AI$6:$AI$505,"&lt;="&amp;$A277,実績!$AJ$6:$AJ$505,"&gt;"&amp;$A277,実績!$AL$6:$AL$505,"○")&gt;0,1,0))</f>
        <v>0</v>
      </c>
      <c r="BF277" s="39" t="n">
        <f aca="false">IF(BF$4=0,0,IF(COUNTIFS(実績!$W$6:$W$505,BF$3,実績!$AI$6:$AI$505,"&lt;="&amp;$A277,実績!$AJ$6:$AJ$505,"&gt;"&amp;$A277,実績!$AL$6:$AL$505,"○")&gt;0,1,0))</f>
        <v>0</v>
      </c>
      <c r="BG277" s="39" t="n">
        <f aca="false">IF(BG$4=0,0,IF(COUNTIFS(実績!$W$6:$W$505,BG$3,実績!$AI$6:$AI$505,"&lt;="&amp;$A277,実績!$AJ$6:$AJ$505,"&gt;"&amp;$A277,実績!$AL$6:$AL$505,"○")&gt;0,1,0))</f>
        <v>0</v>
      </c>
      <c r="BH277" s="39" t="n">
        <f aca="false">IF(BH$4=0,0,IF(COUNTIFS(実績!$W$6:$W$505,BH$3,実績!$AI$6:$AI$505,"&lt;="&amp;$A277,実績!$AJ$6:$AJ$505,"&gt;"&amp;$A277,実績!$AL$6:$AL$505,"○")&gt;0,1,0))</f>
        <v>0</v>
      </c>
      <c r="BI277" s="39" t="n">
        <f aca="false">IF(BI$4=0,0,IF(COUNTIFS(実績!$W$6:$W$505,BI$3,実績!$AI$6:$AI$505,"&lt;="&amp;$A277,実績!$AJ$6:$AJ$505,"&gt;"&amp;$A277,実績!$AL$6:$AL$505,"○")&gt;0,1,0))</f>
        <v>0</v>
      </c>
      <c r="BJ277" s="39" t="n">
        <f aca="false">IF(BJ$4=0,0,IF(COUNTIFS(実績!$W$6:$W$505,BJ$3,実績!$AI$6:$AI$505,"&lt;="&amp;$A277,実績!$AJ$6:$AJ$505,"&gt;"&amp;$A277,実績!$AL$6:$AL$505,"○")&gt;0,1,0))</f>
        <v>0</v>
      </c>
      <c r="BK277" s="39" t="n">
        <f aca="false">IF(BK$4=0,0,IF(COUNTIFS(実績!$W$6:$W$505,BK$3,実績!$AI$6:$AI$505,"&lt;="&amp;$A277,実績!$AJ$6:$AJ$505,"&gt;"&amp;$A277,実績!$AL$6:$AL$505,"○")&gt;0,1,0))</f>
        <v>0</v>
      </c>
      <c r="BL277" s="39" t="n">
        <f aca="false">IF(BL$4=0,0,IF(COUNTIFS(実績!$W$6:$W$505,BL$3,実績!$AI$6:$AI$505,"&lt;="&amp;$A277,実績!$AJ$6:$AJ$505,"&gt;"&amp;$A277,実績!$AL$6:$AL$505,"○")&gt;0,1,0))</f>
        <v>0</v>
      </c>
      <c r="BM277" s="39" t="n">
        <f aca="false">IF(BM$4=0,0,IF(COUNTIFS(実績!$W$6:$W$505,BM$3,実績!$AI$6:$AI$505,"&lt;="&amp;$A277,実績!$AJ$6:$AJ$505,"&gt;"&amp;$A277,実績!$AL$6:$AL$505,"○")&gt;0,1,0))</f>
        <v>0</v>
      </c>
      <c r="BN277" s="39" t="n">
        <f aca="false">IF(BN$4=0,0,IF(COUNTIFS(実績!$W$6:$W$505,BN$3,実績!$AI$6:$AI$505,"&lt;="&amp;$A277,実績!$AJ$6:$AJ$505,"&gt;"&amp;$A277,実績!$AL$6:$AL$505,"○")&gt;0,1,0))</f>
        <v>0</v>
      </c>
      <c r="BO277" s="39" t="n">
        <f aca="false">IF(BO$4=0,0,IF(COUNTIFS(実績!$W$6:$W$505,BO$3,実績!$AI$6:$AI$505,"&lt;="&amp;$A277,実績!$AJ$6:$AJ$505,"&gt;"&amp;$A277,実績!$AL$6:$AL$505,"○")&gt;0,1,0))</f>
        <v>0</v>
      </c>
      <c r="BP277" s="39" t="n">
        <f aca="false">IF(BP$4=0,0,IF(COUNTIFS(実績!$W$6:$W$505,BP$3,実績!$AI$6:$AI$505,"&lt;="&amp;$A277,実績!$AJ$6:$AJ$505,"&gt;"&amp;$A277,実績!$AL$6:$AL$505,"○")&gt;0,1,0))</f>
        <v>0</v>
      </c>
      <c r="BQ277" s="39" t="n">
        <f aca="false">IF(BQ$4=0,0,IF(COUNTIFS(実績!$W$6:$W$505,BQ$3,実績!$AI$6:$AI$505,"&lt;="&amp;$A277,実績!$AJ$6:$AJ$505,"&gt;"&amp;$A277,実績!$AL$6:$AL$505,"○")&gt;0,1,0))</f>
        <v>0</v>
      </c>
      <c r="BR277" s="39" t="n">
        <f aca="false">IF(BR$4=0,0,IF(COUNTIFS(実績!$W$6:$W$505,BR$3,実績!$AI$6:$AI$505,"&lt;="&amp;$A277,実績!$AJ$6:$AJ$505,"&gt;"&amp;$A277,実績!$AL$6:$AL$505,"○")&gt;0,1,0))</f>
        <v>0</v>
      </c>
      <c r="BS277" s="39" t="n">
        <f aca="false">IF(BS$4=0,0,IF(COUNTIFS(実績!$W$6:$W$505,BS$3,実績!$AI$6:$AI$505,"&lt;="&amp;$A277,実績!$AJ$6:$AJ$505,"&gt;"&amp;$A277,実績!$AL$6:$AL$505,"○")&gt;0,1,0))</f>
        <v>0</v>
      </c>
      <c r="BT277" s="39" t="n">
        <f aca="false">IF(BT$4=0,0,IF(COUNTIFS(実績!$W$6:$W$505,BT$3,実績!$AI$6:$AI$505,"&lt;="&amp;$A277,実績!$AJ$6:$AJ$505,"&gt;"&amp;$A277,実績!$AL$6:$AL$505,"○")&gt;0,1,0))</f>
        <v>0</v>
      </c>
      <c r="BU277" s="39" t="n">
        <f aca="false">IF(BU$4=0,0,IF(COUNTIFS(実績!$W$6:$W$505,BU$3,実績!$AI$6:$AI$505,"&lt;="&amp;$A277,実績!$AJ$6:$AJ$505,"&gt;"&amp;$A277,実績!$AL$6:$AL$505,"○")&gt;0,1,0))</f>
        <v>0</v>
      </c>
      <c r="BV277" s="39" t="n">
        <f aca="false">IF(BV$4=0,0,IF(COUNTIFS(実績!$W$6:$W$505,BV$3,実績!$AI$6:$AI$505,"&lt;="&amp;$A277,実績!$AJ$6:$AJ$505,"&gt;"&amp;$A277,実績!$AL$6:$AL$505,"○")&gt;0,1,0))</f>
        <v>0</v>
      </c>
      <c r="BW277" s="39" t="n">
        <f aca="false">IF(BW$4=0,0,IF(COUNTIFS(実績!$W$6:$W$505,BW$3,実績!$AI$6:$AI$505,"&lt;="&amp;$A277,実績!$AJ$6:$AJ$505,"&gt;"&amp;$A277,実績!$AL$6:$AL$505,"○")&gt;0,1,0))</f>
        <v>0</v>
      </c>
      <c r="BX277" s="39" t="n">
        <f aca="false">IF(BX$4=0,0,IF(COUNTIFS(実績!$W$6:$W$505,BX$3,実績!$AI$6:$AI$505,"&lt;="&amp;$A277,実績!$AJ$6:$AJ$505,"&gt;"&amp;$A277,実績!$AL$6:$AL$505,"○")&gt;0,1,0))</f>
        <v>0</v>
      </c>
      <c r="BY277" s="39" t="n">
        <f aca="false">IF(BY$4=0,0,IF(COUNTIFS(実績!$W$6:$W$505,BY$3,実績!$AI$6:$AI$505,"&lt;="&amp;$A277,実績!$AJ$6:$AJ$505,"&gt;"&amp;$A277,実績!$AL$6:$AL$505,"○")&gt;0,1,0))</f>
        <v>0</v>
      </c>
      <c r="BZ277" s="39" t="n">
        <f aca="false">IF(BZ$4=0,0,IF(COUNTIFS(実績!$W$6:$W$505,BZ$3,実績!$AI$6:$AI$505,"&lt;="&amp;$A277,実績!$AJ$6:$AJ$505,"&gt;"&amp;$A277,実績!$AL$6:$AL$505,"○")&gt;0,1,0))</f>
        <v>0</v>
      </c>
      <c r="CA277" s="39" t="n">
        <f aca="false">IF(CA$4=0,0,IF(COUNTIFS(実績!$W$6:$W$505,CA$3,実績!$AI$6:$AI$505,"&lt;="&amp;$A277,実績!$AJ$6:$AJ$505,"&gt;"&amp;$A277,実績!$AL$6:$AL$505,"○")&gt;0,1,0))</f>
        <v>0</v>
      </c>
      <c r="CB277" s="39" t="n">
        <f aca="false">IF(CB$4=0,0,IF(COUNTIFS(実績!$W$6:$W$505,CB$3,実績!$AI$6:$AI$505,"&lt;="&amp;$A277,実績!$AJ$6:$AJ$505,"&gt;"&amp;$A277,実績!$AL$6:$AL$505,"○")&gt;0,1,0))</f>
        <v>0</v>
      </c>
      <c r="CC277" s="39" t="n">
        <f aca="false">IF(CC$4=0,0,IF(COUNTIFS(実績!$W$6:$W$505,CC$3,実績!$AI$6:$AI$505,"&lt;="&amp;$A277,実績!$AJ$6:$AJ$505,"&gt;"&amp;$A277,実績!$AL$6:$AL$505,"○")&gt;0,1,0))</f>
        <v>0</v>
      </c>
      <c r="CD277" s="39" t="n">
        <f aca="false">IF(CD$4=0,0,IF(COUNTIFS(実績!$W$6:$W$505,CD$3,実績!$AI$6:$AI$505,"&lt;="&amp;$A277,実績!$AJ$6:$AJ$505,"&gt;"&amp;$A277,実績!$AL$6:$AL$505,"○")&gt;0,1,0))</f>
        <v>0</v>
      </c>
      <c r="CE277" s="39" t="n">
        <f aca="false">IF(CE$4=0,0,IF(COUNTIFS(実績!$W$6:$W$505,CE$3,実績!$AI$6:$AI$505,"&lt;="&amp;$A277,実績!$AJ$6:$AJ$505,"&gt;"&amp;$A277,実績!$AL$6:$AL$505,"○")&gt;0,1,0))</f>
        <v>0</v>
      </c>
      <c r="CF277" s="39" t="n">
        <f aca="false">IF(CF$4=0,0,IF(COUNTIFS(実績!$W$6:$W$505,CF$3,実績!$AI$6:$AI$505,"&lt;="&amp;$A277,実績!$AJ$6:$AJ$505,"&gt;"&amp;$A277,実績!$AL$6:$AL$505,"○")&gt;0,1,0))</f>
        <v>0</v>
      </c>
      <c r="CG277" s="39" t="n">
        <f aca="false">IF(CG$4=0,0,IF(COUNTIFS(実績!$W$6:$W$505,CG$3,実績!$AI$6:$AI$505,"&lt;="&amp;$A277,実績!$AJ$6:$AJ$505,"&gt;"&amp;$A277,実績!$AL$6:$AL$505,"○")&gt;0,1,0))</f>
        <v>0</v>
      </c>
      <c r="CH277" s="39" t="n">
        <f aca="false">IF(CH$4=0,0,IF(COUNTIFS(実績!$W$6:$W$505,CH$3,実績!$AI$6:$AI$505,"&lt;="&amp;$A277,実績!$AJ$6:$AJ$505,"&gt;"&amp;$A277,実績!$AL$6:$AL$505,"○")&gt;0,1,0))</f>
        <v>0</v>
      </c>
      <c r="CI277" s="39" t="n">
        <f aca="false">IF(CI$4=0,0,IF(COUNTIFS(実績!$W$6:$W$505,CI$3,実績!$AI$6:$AI$505,"&lt;="&amp;$A277,実績!$AJ$6:$AJ$505,"&gt;"&amp;$A277,実績!$AL$6:$AL$505,"○")&gt;0,1,0))</f>
        <v>0</v>
      </c>
      <c r="CJ277" s="39" t="n">
        <f aca="false">IF(CJ$4=0,0,IF(COUNTIFS(実績!$W$6:$W$505,CJ$3,実績!$AI$6:$AI$505,"&lt;="&amp;$A277,実績!$AJ$6:$AJ$505,"&gt;"&amp;$A277,実績!$AL$6:$AL$505,"○")&gt;0,1,0))</f>
        <v>0</v>
      </c>
      <c r="CK277" s="39" t="n">
        <f aca="false">IF(CK$4=0,0,IF(COUNTIFS(実績!$W$6:$W$505,CK$3,実績!$AI$6:$AI$505,"&lt;="&amp;$A277,実績!$AJ$6:$AJ$505,"&gt;"&amp;$A277,実績!$AL$6:$AL$505,"○")&gt;0,1,0))</f>
        <v>0</v>
      </c>
      <c r="CL277" s="39" t="n">
        <f aca="false">IF(CL$4=0,0,IF(COUNTIFS(実績!$W$6:$W$505,CL$3,実績!$AI$6:$AI$505,"&lt;="&amp;$A277,実績!$AJ$6:$AJ$505,"&gt;"&amp;$A277,実績!$AL$6:$AL$505,"○")&gt;0,1,0))</f>
        <v>0</v>
      </c>
      <c r="CM277" s="39" t="n">
        <f aca="false">IF(CM$4=0,0,IF(COUNTIFS(実績!$W$6:$W$505,CM$3,実績!$AI$6:$AI$505,"&lt;="&amp;$A277,実績!$AJ$6:$AJ$505,"&gt;"&amp;$A277,実績!$AL$6:$AL$505,"○")&gt;0,1,0))</f>
        <v>0</v>
      </c>
      <c r="CN277" s="39" t="n">
        <f aca="false">IF(CN$4=0,0,IF(COUNTIFS(実績!$W$6:$W$505,CN$3,実績!$AI$6:$AI$505,"&lt;="&amp;$A277,実績!$AJ$6:$AJ$505,"&gt;"&amp;$A277,実績!$AL$6:$AL$505,"○")&gt;0,1,0))</f>
        <v>0</v>
      </c>
      <c r="CO277" s="39" t="n">
        <f aca="false">IF(CO$4=0,0,IF(COUNTIFS(実績!$W$6:$W$505,CO$3,実績!$AI$6:$AI$505,"&lt;="&amp;$A277,実績!$AJ$6:$AJ$505,"&gt;"&amp;$A277,実績!$AL$6:$AL$505,"○")&gt;0,1,0))</f>
        <v>0</v>
      </c>
      <c r="CP277" s="39" t="n">
        <f aca="false">IF(CP$4=0,0,IF(COUNTIFS(実績!$W$6:$W$505,CP$3,実績!$AI$6:$AI$505,"&lt;="&amp;$A277,実績!$AJ$6:$AJ$505,"&gt;"&amp;$A277,実績!$AL$6:$AL$505,"○")&gt;0,1,0))</f>
        <v>0</v>
      </c>
      <c r="CQ277" s="39" t="n">
        <f aca="false">IF(CQ$4=0,0,IF(COUNTIFS(実績!$W$6:$W$505,CQ$3,実績!$AI$6:$AI$505,"&lt;="&amp;$A277,実績!$AJ$6:$AJ$505,"&gt;"&amp;$A277,実績!$AL$6:$AL$505,"○")&gt;0,1,0))</f>
        <v>0</v>
      </c>
      <c r="CR277" s="39" t="n">
        <f aca="false">IF(CR$4=0,0,IF(COUNTIFS(実績!$W$6:$W$505,CR$3,実績!$AI$6:$AI$505,"&lt;="&amp;$A277,実績!$AJ$6:$AJ$505,"&gt;"&amp;$A277,実績!$AL$6:$AL$505,"○")&gt;0,1,0))</f>
        <v>0</v>
      </c>
      <c r="CS277" s="39" t="n">
        <f aca="false">IF(CS$4=0,0,IF(COUNTIFS(実績!$W$6:$W$505,CS$3,実績!$AI$6:$AI$505,"&lt;="&amp;$A277,実績!$AJ$6:$AJ$505,"&gt;"&amp;$A277,実績!$AL$6:$AL$505,"○")&gt;0,1,0))</f>
        <v>0</v>
      </c>
      <c r="CT277" s="39" t="n">
        <f aca="false">IF(CT$4=0,0,IF(COUNTIFS(実績!$W$6:$W$505,CT$3,実績!$AI$6:$AI$505,"&lt;="&amp;$A277,実績!$AJ$6:$AJ$505,"&gt;"&amp;$A277,実績!$AL$6:$AL$505,"○")&gt;0,1,0))</f>
        <v>0</v>
      </c>
      <c r="CU277" s="39" t="n">
        <f aca="false">IF(CU$4=0,0,IF(COUNTIFS(実績!$W$6:$W$505,CU$3,実績!$AI$6:$AI$505,"&lt;="&amp;$A277,実績!$AJ$6:$AJ$505,"&gt;"&amp;$A277,実績!$AL$6:$AL$505,"○")&gt;0,1,0))</f>
        <v>0</v>
      </c>
      <c r="CV277" s="39" t="n">
        <f aca="false">IF(CV$4=0,0,IF(COUNTIFS(実績!$W$6:$W$505,CV$3,実績!$AI$6:$AI$505,"&lt;="&amp;$A277,実績!$AJ$6:$AJ$505,"&gt;"&amp;$A277,実績!$AL$6:$AL$505,"○")&gt;0,1,0))</f>
        <v>0</v>
      </c>
      <c r="CW277" s="39" t="n">
        <f aca="false">IF(CW$4=0,0,IF(COUNTIFS(実績!$W$6:$W$505,CW$3,実績!$AI$6:$AI$505,"&lt;="&amp;$A277,実績!$AJ$6:$AJ$505,"&gt;"&amp;$A277,実績!$AL$6:$AL$505,"○")&gt;0,1,0))</f>
        <v>0</v>
      </c>
      <c r="CX277" s="39" t="n">
        <f aca="false">IF(CX$4=0,0,IF(COUNTIFS(実績!$W$6:$W$505,CX$3,実績!$AI$6:$AI$505,"&lt;="&amp;$A277,実績!$AJ$6:$AJ$505,"&gt;"&amp;$A277,実績!$AL$6:$AL$505,"○")&gt;0,1,0))</f>
        <v>0</v>
      </c>
      <c r="CY277" s="39" t="n">
        <f aca="false">IF(CY$4=0,0,IF(COUNTIFS(実績!$W$6:$W$505,CY$3,実績!$AI$6:$AI$505,"&lt;="&amp;$A277,実績!$AJ$6:$AJ$505,"&gt;"&amp;$A277,実績!$AL$6:$AL$505,"○")&gt;0,1,0))</f>
        <v>0</v>
      </c>
      <c r="CZ277" s="39" t="n">
        <f aca="false">IF(CZ$4=0,0,IF(COUNTIFS(実績!$W$6:$W$505,CZ$3,実績!$AI$6:$AI$505,"&lt;="&amp;$A277,実績!$AJ$6:$AJ$505,"&gt;"&amp;$A277,実績!$AL$6:$AL$505,"○")&gt;0,1,0))</f>
        <v>0</v>
      </c>
      <c r="DA277" s="39" t="n">
        <f aca="false">IF(DA$4=0,0,IF(COUNTIFS(実績!$W$6:$W$505,DA$3,実績!$AI$6:$AI$505,"&lt;="&amp;$A277,実績!$AJ$6:$AJ$505,"&gt;"&amp;$A277,実績!$AL$6:$AL$505,"○")&gt;0,1,0))</f>
        <v>0</v>
      </c>
      <c r="DB277" s="39" t="n">
        <f aca="false">IF(DB$4=0,0,IF(COUNTIFS(実績!$W$6:$W$505,DB$3,実績!$AI$6:$AI$505,"&lt;="&amp;$A277,実績!$AJ$6:$AJ$505,"&gt;"&amp;$A277,実績!$AL$6:$AL$505,"○")&gt;0,1,0))</f>
        <v>0</v>
      </c>
      <c r="DC277" s="39" t="n">
        <f aca="false">IF(DC$4=0,0,IF(COUNTIFS(実績!$W$6:$W$505,DC$3,実績!$AI$6:$AI$505,"&lt;="&amp;$A277,実績!$AJ$6:$AJ$505,"&gt;"&amp;$A277,実績!$AL$6:$AL$505,"○")&gt;0,1,0))</f>
        <v>0</v>
      </c>
      <c r="DD277" s="39" t="n">
        <f aca="false">IF(DD$4=0,0,IF(COUNTIFS(実績!$W$6:$W$505,DD$3,実績!$AI$6:$AI$505,"&lt;="&amp;$A277,実績!$AJ$6:$AJ$505,"&gt;"&amp;$A277,実績!$AL$6:$AL$505,"○")&gt;0,1,0))</f>
        <v>0</v>
      </c>
      <c r="DE277" s="39" t="n">
        <f aca="false">IF(DE$4=0,0,IF(COUNTIFS(実績!$W$6:$W$505,DE$3,実績!$AI$6:$AI$505,"&lt;="&amp;$A277,実績!$AJ$6:$AJ$505,"&gt;"&amp;$A277,実績!$AL$6:$AL$505,"○")&gt;0,1,0))</f>
        <v>0</v>
      </c>
      <c r="DF277" s="39" t="n">
        <f aca="false">IF(DF$4=0,0,IF(COUNTIFS(実績!$W$6:$W$505,DF$3,実績!$AI$6:$AI$505,"&lt;="&amp;$A277,実績!$AJ$6:$AJ$505,"&gt;"&amp;$A277,実績!$AL$6:$AL$505,"○")&gt;0,1,0))</f>
        <v>0</v>
      </c>
      <c r="DG277" s="39" t="n">
        <f aca="false">IF(DG$4=0,0,IF(COUNTIFS(実績!$W$6:$W$505,DG$3,実績!$AI$6:$AI$505,"&lt;="&amp;$A277,実績!$AJ$6:$AJ$505,"&gt;"&amp;$A277,実績!$AL$6:$AL$505,"○")&gt;0,1,0))</f>
        <v>0</v>
      </c>
      <c r="DH277" s="39" t="n">
        <f aca="false">IF(DH$4=0,0,IF(COUNTIFS(実績!$W$6:$W$505,DH$3,実績!$AI$6:$AI$505,"&lt;="&amp;$A277,実績!$AJ$6:$AJ$505,"&gt;"&amp;$A277,実績!$AL$6:$AL$505,"○")&gt;0,1,0))</f>
        <v>0</v>
      </c>
      <c r="DI277" s="39" t="n">
        <f aca="false">IF(DI$4=0,0,IF(COUNTIFS(実績!$W$6:$W$505,DI$3,実績!$AI$6:$AI$505,"&lt;="&amp;$A277,実績!$AJ$6:$AJ$505,"&gt;"&amp;$A277,実績!$AL$6:$AL$505,"○")&gt;0,1,0))</f>
        <v>0</v>
      </c>
      <c r="DJ277" s="39" t="n">
        <f aca="false">IF(DJ$4=0,0,IF(COUNTIFS(実績!$W$6:$W$505,DJ$3,実績!$AI$6:$AI$505,"&lt;="&amp;$A277,実績!$AJ$6:$AJ$505,"&gt;"&amp;$A277,実績!$AL$6:$AL$505,"○")&gt;0,1,0))</f>
        <v>0</v>
      </c>
      <c r="DK277" s="39" t="n">
        <f aca="false">IF(DK$4=0,0,IF(COUNTIFS(実績!$W$6:$W$505,DK$3,実績!$AI$6:$AI$505,"&lt;="&amp;$A277,実績!$AJ$6:$AJ$505,"&gt;"&amp;$A277,実績!$AL$6:$AL$505,"○")&gt;0,1,0))</f>
        <v>0</v>
      </c>
      <c r="DL277" s="39" t="n">
        <f aca="false">IF(DL$4=0,0,IF(COUNTIFS(実績!$W$6:$W$505,DL$3,実績!$AI$6:$AI$505,"&lt;="&amp;$A277,実績!$AJ$6:$AJ$505,"&gt;"&amp;$A277,実績!$AL$6:$AL$505,"○")&gt;0,1,0))</f>
        <v>0</v>
      </c>
      <c r="DM277" s="39" t="n">
        <f aca="false">IF(DM$4=0,0,IF(COUNTIFS(実績!$W$6:$W$505,DM$3,実績!$AI$6:$AI$505,"&lt;="&amp;$A277,実績!$AJ$6:$AJ$505,"&gt;"&amp;$A277,実績!$AL$6:$AL$505,"○")&gt;0,1,0))</f>
        <v>0</v>
      </c>
      <c r="DN277" s="39" t="n">
        <f aca="false">IF(DN$4=0,0,IF(COUNTIFS(実績!$W$6:$W$505,DN$3,実績!$AI$6:$AI$505,"&lt;="&amp;$A277,実績!$AJ$6:$AJ$505,"&gt;"&amp;$A277,実績!$AL$6:$AL$505,"○")&gt;0,1,0))</f>
        <v>0</v>
      </c>
      <c r="DO277" s="39" t="n">
        <f aca="false">IF(DO$4=0,0,IF(COUNTIFS(実績!$W$6:$W$505,DO$3,実績!$AI$6:$AI$505,"&lt;="&amp;$A277,実績!$AJ$6:$AJ$505,"&gt;"&amp;$A277,実績!$AL$6:$AL$505,"○")&gt;0,1,0))</f>
        <v>0</v>
      </c>
      <c r="DP277" s="39" t="n">
        <f aca="false">IF(DP$4=0,0,IF(COUNTIFS(実績!$W$6:$W$505,DP$3,実績!$AI$6:$AI$505,"&lt;="&amp;$A277,実績!$AJ$6:$AJ$505,"&gt;"&amp;$A277,実績!$AL$6:$AL$505,"○")&gt;0,1,0))</f>
        <v>0</v>
      </c>
      <c r="DQ277" s="39" t="n">
        <f aca="false">IF(DQ$4=0,0,IF(COUNTIFS(実績!$W$6:$W$505,DQ$3,実績!$AI$6:$AI$505,"&lt;="&amp;$A277,実績!$AJ$6:$AJ$505,"&gt;"&amp;$A277,実績!$AL$6:$AL$505,"○")&gt;0,1,0))</f>
        <v>0</v>
      </c>
      <c r="DR277" s="39" t="n">
        <f aca="false">IF(DR$4=0,0,IF(COUNTIFS(実績!$W$6:$W$505,DR$3,実績!$AI$6:$AI$505,"&lt;="&amp;$A277,実績!$AJ$6:$AJ$505,"&gt;"&amp;$A277,実績!$AL$6:$AL$505,"○")&gt;0,1,0))</f>
        <v>0</v>
      </c>
      <c r="DS277" s="39" t="n">
        <f aca="false">SUM(C277:DR277)</f>
        <v>0</v>
      </c>
    </row>
    <row r="278" customFormat="false" ht="15" hidden="false" customHeight="false" outlineLevel="0" collapsed="false">
      <c r="A278" s="0" t="n">
        <v>1360</v>
      </c>
      <c r="B278" s="38" t="n">
        <f aca="false">A278/1440</f>
        <v>0.944444444444444</v>
      </c>
      <c r="C278" s="39" t="n">
        <f aca="false">IF(C$4=0,0,IF(COUNTIFS(実績!$W$6:$W$505,C$3,実績!$AI$6:$AI$505,"&lt;="&amp;$A278,実績!$AJ$6:$AJ$505,"&gt;"&amp;$A278,実績!$AL$6:$AL$505,"○")&gt;0,1,0))</f>
        <v>0</v>
      </c>
      <c r="D278" s="39" t="n">
        <f aca="false">IF(D$4=0,0,IF(COUNTIFS(実績!$W$6:$W$505,D$3,実績!$AI$6:$AI$505,"&lt;="&amp;$A278,実績!$AJ$6:$AJ$505,"&gt;"&amp;$A278,実績!$AL$6:$AL$505,"○")&gt;0,1,0))</f>
        <v>0</v>
      </c>
      <c r="E278" s="39" t="n">
        <f aca="false">IF(E$4=0,0,IF(COUNTIFS(実績!$W$6:$W$505,E$3,実績!$AI$6:$AI$505,"&lt;="&amp;$A278,実績!$AJ$6:$AJ$505,"&gt;"&amp;$A278,実績!$AL$6:$AL$505,"○")&gt;0,1,0))</f>
        <v>0</v>
      </c>
      <c r="F278" s="39" t="n">
        <f aca="false">IF(F$4=0,0,IF(COUNTIFS(実績!$W$6:$W$505,F$3,実績!$AI$6:$AI$505,"&lt;="&amp;$A278,実績!$AJ$6:$AJ$505,"&gt;"&amp;$A278,実績!$AL$6:$AL$505,"○")&gt;0,1,0))</f>
        <v>0</v>
      </c>
      <c r="G278" s="39" t="n">
        <f aca="false">IF(G$4=0,0,IF(COUNTIFS(実績!$W$6:$W$505,G$3,実績!$AI$6:$AI$505,"&lt;="&amp;$A278,実績!$AJ$6:$AJ$505,"&gt;"&amp;$A278,実績!$AL$6:$AL$505,"○")&gt;0,1,0))</f>
        <v>0</v>
      </c>
      <c r="H278" s="39" t="n">
        <f aca="false">IF(H$4=0,0,IF(COUNTIFS(実績!$W$6:$W$505,H$3,実績!$AI$6:$AI$505,"&lt;="&amp;$A278,実績!$AJ$6:$AJ$505,"&gt;"&amp;$A278,実績!$AL$6:$AL$505,"○")&gt;0,1,0))</f>
        <v>0</v>
      </c>
      <c r="I278" s="39" t="n">
        <f aca="false">IF(I$4=0,0,IF(COUNTIFS(実績!$W$6:$W$505,I$3,実績!$AI$6:$AI$505,"&lt;="&amp;$A278,実績!$AJ$6:$AJ$505,"&gt;"&amp;$A278,実績!$AL$6:$AL$505,"○")&gt;0,1,0))</f>
        <v>0</v>
      </c>
      <c r="J278" s="39" t="n">
        <f aca="false">IF(J$4=0,0,IF(COUNTIFS(実績!$W$6:$W$505,J$3,実績!$AI$6:$AI$505,"&lt;="&amp;$A278,実績!$AJ$6:$AJ$505,"&gt;"&amp;$A278,実績!$AL$6:$AL$505,"○")&gt;0,1,0))</f>
        <v>0</v>
      </c>
      <c r="K278" s="39" t="n">
        <f aca="false">IF(K$4=0,0,IF(COUNTIFS(実績!$W$6:$W$505,K$3,実績!$AI$6:$AI$505,"&lt;="&amp;$A278,実績!$AJ$6:$AJ$505,"&gt;"&amp;$A278,実績!$AL$6:$AL$505,"○")&gt;0,1,0))</f>
        <v>0</v>
      </c>
      <c r="L278" s="39" t="n">
        <f aca="false">IF(L$4=0,0,IF(COUNTIFS(実績!$W$6:$W$505,L$3,実績!$AI$6:$AI$505,"&lt;="&amp;$A278,実績!$AJ$6:$AJ$505,"&gt;"&amp;$A278,実績!$AL$6:$AL$505,"○")&gt;0,1,0))</f>
        <v>0</v>
      </c>
      <c r="M278" s="39" t="n">
        <f aca="false">IF(M$4=0,0,IF(COUNTIFS(実績!$W$6:$W$505,M$3,実績!$AI$6:$AI$505,"&lt;="&amp;$A278,実績!$AJ$6:$AJ$505,"&gt;"&amp;$A278,実績!$AL$6:$AL$505,"○")&gt;0,1,0))</f>
        <v>0</v>
      </c>
      <c r="N278" s="39" t="n">
        <f aca="false">IF(N$4=0,0,IF(COUNTIFS(実績!$W$6:$W$505,N$3,実績!$AI$6:$AI$505,"&lt;="&amp;$A278,実績!$AJ$6:$AJ$505,"&gt;"&amp;$A278,実績!$AL$6:$AL$505,"○")&gt;0,1,0))</f>
        <v>0</v>
      </c>
      <c r="O278" s="39" t="n">
        <f aca="false">IF(O$4=0,0,IF(COUNTIFS(実績!$W$6:$W$505,O$3,実績!$AI$6:$AI$505,"&lt;="&amp;$A278,実績!$AJ$6:$AJ$505,"&gt;"&amp;$A278,実績!$AL$6:$AL$505,"○")&gt;0,1,0))</f>
        <v>0</v>
      </c>
      <c r="P278" s="39" t="n">
        <f aca="false">IF(P$4=0,0,IF(COUNTIFS(実績!$W$6:$W$505,P$3,実績!$AI$6:$AI$505,"&lt;="&amp;$A278,実績!$AJ$6:$AJ$505,"&gt;"&amp;$A278,実績!$AL$6:$AL$505,"○")&gt;0,1,0))</f>
        <v>0</v>
      </c>
      <c r="Q278" s="39" t="n">
        <f aca="false">IF(Q$4=0,0,IF(COUNTIFS(実績!$W$6:$W$505,Q$3,実績!$AI$6:$AI$505,"&lt;="&amp;$A278,実績!$AJ$6:$AJ$505,"&gt;"&amp;$A278,実績!$AL$6:$AL$505,"○")&gt;0,1,0))</f>
        <v>0</v>
      </c>
      <c r="R278" s="39" t="n">
        <f aca="false">IF(R$4=0,0,IF(COUNTIFS(実績!$W$6:$W$505,R$3,実績!$AI$6:$AI$505,"&lt;="&amp;$A278,実績!$AJ$6:$AJ$505,"&gt;"&amp;$A278,実績!$AL$6:$AL$505,"○")&gt;0,1,0))</f>
        <v>0</v>
      </c>
      <c r="S278" s="39" t="n">
        <f aca="false">IF(S$4=0,0,IF(COUNTIFS(実績!$W$6:$W$505,S$3,実績!$AI$6:$AI$505,"&lt;="&amp;$A278,実績!$AJ$6:$AJ$505,"&gt;"&amp;$A278,実績!$AL$6:$AL$505,"○")&gt;0,1,0))</f>
        <v>0</v>
      </c>
      <c r="T278" s="39" t="n">
        <f aca="false">IF(T$4=0,0,IF(COUNTIFS(実績!$W$6:$W$505,T$3,実績!$AI$6:$AI$505,"&lt;="&amp;$A278,実績!$AJ$6:$AJ$505,"&gt;"&amp;$A278,実績!$AL$6:$AL$505,"○")&gt;0,1,0))</f>
        <v>0</v>
      </c>
      <c r="U278" s="39" t="n">
        <f aca="false">IF(U$4=0,0,IF(COUNTIFS(実績!$W$6:$W$505,U$3,実績!$AI$6:$AI$505,"&lt;="&amp;$A278,実績!$AJ$6:$AJ$505,"&gt;"&amp;$A278,実績!$AL$6:$AL$505,"○")&gt;0,1,0))</f>
        <v>0</v>
      </c>
      <c r="V278" s="39" t="n">
        <f aca="false">IF(V$4=0,0,IF(COUNTIFS(実績!$W$6:$W$505,V$3,実績!$AI$6:$AI$505,"&lt;="&amp;$A278,実績!$AJ$6:$AJ$505,"&gt;"&amp;$A278,実績!$AL$6:$AL$505,"○")&gt;0,1,0))</f>
        <v>0</v>
      </c>
      <c r="W278" s="39" t="n">
        <f aca="false">IF(W$4=0,0,IF(COUNTIFS(実績!$W$6:$W$505,W$3,実績!$AI$6:$AI$505,"&lt;="&amp;$A278,実績!$AJ$6:$AJ$505,"&gt;"&amp;$A278,実績!$AL$6:$AL$505,"○")&gt;0,1,0))</f>
        <v>0</v>
      </c>
      <c r="X278" s="39" t="n">
        <f aca="false">IF(X$4=0,0,IF(COUNTIFS(実績!$W$6:$W$505,X$3,実績!$AI$6:$AI$505,"&lt;="&amp;$A278,実績!$AJ$6:$AJ$505,"&gt;"&amp;$A278,実績!$AL$6:$AL$505,"○")&gt;0,1,0))</f>
        <v>0</v>
      </c>
      <c r="Y278" s="39" t="n">
        <f aca="false">IF(Y$4=0,0,IF(COUNTIFS(実績!$W$6:$W$505,Y$3,実績!$AI$6:$AI$505,"&lt;="&amp;$A278,実績!$AJ$6:$AJ$505,"&gt;"&amp;$A278,実績!$AL$6:$AL$505,"○")&gt;0,1,0))</f>
        <v>0</v>
      </c>
      <c r="Z278" s="39" t="n">
        <f aca="false">IF(Z$4=0,0,IF(COUNTIFS(実績!$W$6:$W$505,Z$3,実績!$AI$6:$AI$505,"&lt;="&amp;$A278,実績!$AJ$6:$AJ$505,"&gt;"&amp;$A278,実績!$AL$6:$AL$505,"○")&gt;0,1,0))</f>
        <v>0</v>
      </c>
      <c r="AA278" s="39" t="n">
        <f aca="false">IF(AA$4=0,0,IF(COUNTIFS(実績!$W$6:$W$505,AA$3,実績!$AI$6:$AI$505,"&lt;="&amp;$A278,実績!$AJ$6:$AJ$505,"&gt;"&amp;$A278,実績!$AL$6:$AL$505,"○")&gt;0,1,0))</f>
        <v>0</v>
      </c>
      <c r="AB278" s="39" t="n">
        <f aca="false">IF(AB$4=0,0,IF(COUNTIFS(実績!$W$6:$W$505,AB$3,実績!$AI$6:$AI$505,"&lt;="&amp;$A278,実績!$AJ$6:$AJ$505,"&gt;"&amp;$A278,実績!$AL$6:$AL$505,"○")&gt;0,1,0))</f>
        <v>0</v>
      </c>
      <c r="AC278" s="39" t="n">
        <f aca="false">IF(AC$4=0,0,IF(COUNTIFS(実績!$W$6:$W$505,AC$3,実績!$AI$6:$AI$505,"&lt;="&amp;$A278,実績!$AJ$6:$AJ$505,"&gt;"&amp;$A278,実績!$AL$6:$AL$505,"○")&gt;0,1,0))</f>
        <v>0</v>
      </c>
      <c r="AD278" s="39" t="n">
        <f aca="false">IF(AD$4=0,0,IF(COUNTIFS(実績!$W$6:$W$505,AD$3,実績!$AI$6:$AI$505,"&lt;="&amp;$A278,実績!$AJ$6:$AJ$505,"&gt;"&amp;$A278,実績!$AL$6:$AL$505,"○")&gt;0,1,0))</f>
        <v>0</v>
      </c>
      <c r="AE278" s="39" t="n">
        <f aca="false">IF(AE$4=0,0,IF(COUNTIFS(実績!$W$6:$W$505,AE$3,実績!$AI$6:$AI$505,"&lt;="&amp;$A278,実績!$AJ$6:$AJ$505,"&gt;"&amp;$A278,実績!$AL$6:$AL$505,"○")&gt;0,1,0))</f>
        <v>0</v>
      </c>
      <c r="AF278" s="39" t="n">
        <f aca="false">IF(AF$4=0,0,IF(COUNTIFS(実績!$W$6:$W$505,AF$3,実績!$AI$6:$AI$505,"&lt;="&amp;$A278,実績!$AJ$6:$AJ$505,"&gt;"&amp;$A278,実績!$AL$6:$AL$505,"○")&gt;0,1,0))</f>
        <v>0</v>
      </c>
      <c r="AG278" s="39" t="n">
        <f aca="false">IF(AG$4=0,0,IF(COUNTIFS(実績!$W$6:$W$505,AG$3,実績!$AI$6:$AI$505,"&lt;="&amp;$A278,実績!$AJ$6:$AJ$505,"&gt;"&amp;$A278,実績!$AL$6:$AL$505,"○")&gt;0,1,0))</f>
        <v>0</v>
      </c>
      <c r="AH278" s="39" t="n">
        <f aca="false">IF(AH$4=0,0,IF(COUNTIFS(実績!$W$6:$W$505,AH$3,実績!$AI$6:$AI$505,"&lt;="&amp;$A278,実績!$AJ$6:$AJ$505,"&gt;"&amp;$A278,実績!$AL$6:$AL$505,"○")&gt;0,1,0))</f>
        <v>0</v>
      </c>
      <c r="AI278" s="39" t="n">
        <f aca="false">IF(AI$4=0,0,IF(COUNTIFS(実績!$W$6:$W$505,AI$3,実績!$AI$6:$AI$505,"&lt;="&amp;$A278,実績!$AJ$6:$AJ$505,"&gt;"&amp;$A278,実績!$AL$6:$AL$505,"○")&gt;0,1,0))</f>
        <v>0</v>
      </c>
      <c r="AJ278" s="39" t="n">
        <f aca="false">IF(AJ$4=0,0,IF(COUNTIFS(実績!$W$6:$W$505,AJ$3,実績!$AI$6:$AI$505,"&lt;="&amp;$A278,実績!$AJ$6:$AJ$505,"&gt;"&amp;$A278,実績!$AL$6:$AL$505,"○")&gt;0,1,0))</f>
        <v>0</v>
      </c>
      <c r="AK278" s="39" t="n">
        <f aca="false">IF(AK$4=0,0,IF(COUNTIFS(実績!$W$6:$W$505,AK$3,実績!$AI$6:$AI$505,"&lt;="&amp;$A278,実績!$AJ$6:$AJ$505,"&gt;"&amp;$A278,実績!$AL$6:$AL$505,"○")&gt;0,1,0))</f>
        <v>0</v>
      </c>
      <c r="AL278" s="39" t="n">
        <f aca="false">IF(AL$4=0,0,IF(COUNTIFS(実績!$W$6:$W$505,AL$3,実績!$AI$6:$AI$505,"&lt;="&amp;$A278,実績!$AJ$6:$AJ$505,"&gt;"&amp;$A278,実績!$AL$6:$AL$505,"○")&gt;0,1,0))</f>
        <v>0</v>
      </c>
      <c r="AM278" s="39" t="n">
        <f aca="false">IF(AM$4=0,0,IF(COUNTIFS(実績!$W$6:$W$505,AM$3,実績!$AI$6:$AI$505,"&lt;="&amp;$A278,実績!$AJ$6:$AJ$505,"&gt;"&amp;$A278,実績!$AL$6:$AL$505,"○")&gt;0,1,0))</f>
        <v>0</v>
      </c>
      <c r="AN278" s="39" t="n">
        <f aca="false">IF(AN$4=0,0,IF(COUNTIFS(実績!$W$6:$W$505,AN$3,実績!$AI$6:$AI$505,"&lt;="&amp;$A278,実績!$AJ$6:$AJ$505,"&gt;"&amp;$A278,実績!$AL$6:$AL$505,"○")&gt;0,1,0))</f>
        <v>0</v>
      </c>
      <c r="AO278" s="39" t="n">
        <f aca="false">IF(AO$4=0,0,IF(COUNTIFS(実績!$W$6:$W$505,AO$3,実績!$AI$6:$AI$505,"&lt;="&amp;$A278,実績!$AJ$6:$AJ$505,"&gt;"&amp;$A278,実績!$AL$6:$AL$505,"○")&gt;0,1,0))</f>
        <v>0</v>
      </c>
      <c r="AP278" s="39" t="n">
        <f aca="false">IF(AP$4=0,0,IF(COUNTIFS(実績!$W$6:$W$505,AP$3,実績!$AI$6:$AI$505,"&lt;="&amp;$A278,実績!$AJ$6:$AJ$505,"&gt;"&amp;$A278,実績!$AL$6:$AL$505,"○")&gt;0,1,0))</f>
        <v>0</v>
      </c>
      <c r="AQ278" s="39" t="n">
        <f aca="false">IF(AQ$4=0,0,IF(COUNTIFS(実績!$W$6:$W$505,AQ$3,実績!$AI$6:$AI$505,"&lt;="&amp;$A278,実績!$AJ$6:$AJ$505,"&gt;"&amp;$A278,実績!$AL$6:$AL$505,"○")&gt;0,1,0))</f>
        <v>0</v>
      </c>
      <c r="AR278" s="39" t="n">
        <f aca="false">IF(AR$4=0,0,IF(COUNTIFS(実績!$W$6:$W$505,AR$3,実績!$AI$6:$AI$505,"&lt;="&amp;$A278,実績!$AJ$6:$AJ$505,"&gt;"&amp;$A278,実績!$AL$6:$AL$505,"○")&gt;0,1,0))</f>
        <v>0</v>
      </c>
      <c r="AS278" s="39" t="n">
        <f aca="false">IF(AS$4=0,0,IF(COUNTIFS(実績!$W$6:$W$505,AS$3,実績!$AI$6:$AI$505,"&lt;="&amp;$A278,実績!$AJ$6:$AJ$505,"&gt;"&amp;$A278,実績!$AL$6:$AL$505,"○")&gt;0,1,0))</f>
        <v>0</v>
      </c>
      <c r="AT278" s="39" t="n">
        <f aca="false">IF(AT$4=0,0,IF(COUNTIFS(実績!$W$6:$W$505,AT$3,実績!$AI$6:$AI$505,"&lt;="&amp;$A278,実績!$AJ$6:$AJ$505,"&gt;"&amp;$A278,実績!$AL$6:$AL$505,"○")&gt;0,1,0))</f>
        <v>0</v>
      </c>
      <c r="AU278" s="39" t="n">
        <f aca="false">IF(AU$4=0,0,IF(COUNTIFS(実績!$W$6:$W$505,AU$3,実績!$AI$6:$AI$505,"&lt;="&amp;$A278,実績!$AJ$6:$AJ$505,"&gt;"&amp;$A278,実績!$AL$6:$AL$505,"○")&gt;0,1,0))</f>
        <v>0</v>
      </c>
      <c r="AV278" s="39" t="n">
        <f aca="false">IF(AV$4=0,0,IF(COUNTIFS(実績!$W$6:$W$505,AV$3,実績!$AI$6:$AI$505,"&lt;="&amp;$A278,実績!$AJ$6:$AJ$505,"&gt;"&amp;$A278,実績!$AL$6:$AL$505,"○")&gt;0,1,0))</f>
        <v>0</v>
      </c>
      <c r="AW278" s="39" t="n">
        <f aca="false">IF(AW$4=0,0,IF(COUNTIFS(実績!$W$6:$W$505,AW$3,実績!$AI$6:$AI$505,"&lt;="&amp;$A278,実績!$AJ$6:$AJ$505,"&gt;"&amp;$A278,実績!$AL$6:$AL$505,"○")&gt;0,1,0))</f>
        <v>0</v>
      </c>
      <c r="AX278" s="39" t="n">
        <f aca="false">IF(AX$4=0,0,IF(COUNTIFS(実績!$W$6:$W$505,AX$3,実績!$AI$6:$AI$505,"&lt;="&amp;$A278,実績!$AJ$6:$AJ$505,"&gt;"&amp;$A278,実績!$AL$6:$AL$505,"○")&gt;0,1,0))</f>
        <v>0</v>
      </c>
      <c r="AY278" s="39" t="n">
        <f aca="false">IF(AY$4=0,0,IF(COUNTIFS(実績!$W$6:$W$505,AY$3,実績!$AI$6:$AI$505,"&lt;="&amp;$A278,実績!$AJ$6:$AJ$505,"&gt;"&amp;$A278,実績!$AL$6:$AL$505,"○")&gt;0,1,0))</f>
        <v>0</v>
      </c>
      <c r="AZ278" s="39" t="n">
        <f aca="false">IF(AZ$4=0,0,IF(COUNTIFS(実績!$W$6:$W$505,AZ$3,実績!$AI$6:$AI$505,"&lt;="&amp;$A278,実績!$AJ$6:$AJ$505,"&gt;"&amp;$A278,実績!$AL$6:$AL$505,"○")&gt;0,1,0))</f>
        <v>0</v>
      </c>
      <c r="BA278" s="39" t="n">
        <f aca="false">IF(BA$4=0,0,IF(COUNTIFS(実績!$W$6:$W$505,BA$3,実績!$AI$6:$AI$505,"&lt;="&amp;$A278,実績!$AJ$6:$AJ$505,"&gt;"&amp;$A278,実績!$AL$6:$AL$505,"○")&gt;0,1,0))</f>
        <v>0</v>
      </c>
      <c r="BB278" s="39" t="n">
        <f aca="false">IF(BB$4=0,0,IF(COUNTIFS(実績!$W$6:$W$505,BB$3,実績!$AI$6:$AI$505,"&lt;="&amp;$A278,実績!$AJ$6:$AJ$505,"&gt;"&amp;$A278,実績!$AL$6:$AL$505,"○")&gt;0,1,0))</f>
        <v>0</v>
      </c>
      <c r="BC278" s="39" t="n">
        <f aca="false">IF(BC$4=0,0,IF(COUNTIFS(実績!$W$6:$W$505,BC$3,実績!$AI$6:$AI$505,"&lt;="&amp;$A278,実績!$AJ$6:$AJ$505,"&gt;"&amp;$A278,実績!$AL$6:$AL$505,"○")&gt;0,1,0))</f>
        <v>0</v>
      </c>
      <c r="BD278" s="39" t="n">
        <f aca="false">IF(BD$4=0,0,IF(COUNTIFS(実績!$W$6:$W$505,BD$3,実績!$AI$6:$AI$505,"&lt;="&amp;$A278,実績!$AJ$6:$AJ$505,"&gt;"&amp;$A278,実績!$AL$6:$AL$505,"○")&gt;0,1,0))</f>
        <v>0</v>
      </c>
      <c r="BE278" s="39" t="n">
        <f aca="false">IF(BE$4=0,0,IF(COUNTIFS(実績!$W$6:$W$505,BE$3,実績!$AI$6:$AI$505,"&lt;="&amp;$A278,実績!$AJ$6:$AJ$505,"&gt;"&amp;$A278,実績!$AL$6:$AL$505,"○")&gt;0,1,0))</f>
        <v>0</v>
      </c>
      <c r="BF278" s="39" t="n">
        <f aca="false">IF(BF$4=0,0,IF(COUNTIFS(実績!$W$6:$W$505,BF$3,実績!$AI$6:$AI$505,"&lt;="&amp;$A278,実績!$AJ$6:$AJ$505,"&gt;"&amp;$A278,実績!$AL$6:$AL$505,"○")&gt;0,1,0))</f>
        <v>0</v>
      </c>
      <c r="BG278" s="39" t="n">
        <f aca="false">IF(BG$4=0,0,IF(COUNTIFS(実績!$W$6:$W$505,BG$3,実績!$AI$6:$AI$505,"&lt;="&amp;$A278,実績!$AJ$6:$AJ$505,"&gt;"&amp;$A278,実績!$AL$6:$AL$505,"○")&gt;0,1,0))</f>
        <v>0</v>
      </c>
      <c r="BH278" s="39" t="n">
        <f aca="false">IF(BH$4=0,0,IF(COUNTIFS(実績!$W$6:$W$505,BH$3,実績!$AI$6:$AI$505,"&lt;="&amp;$A278,実績!$AJ$6:$AJ$505,"&gt;"&amp;$A278,実績!$AL$6:$AL$505,"○")&gt;0,1,0))</f>
        <v>0</v>
      </c>
      <c r="BI278" s="39" t="n">
        <f aca="false">IF(BI$4=0,0,IF(COUNTIFS(実績!$W$6:$W$505,BI$3,実績!$AI$6:$AI$505,"&lt;="&amp;$A278,実績!$AJ$6:$AJ$505,"&gt;"&amp;$A278,実績!$AL$6:$AL$505,"○")&gt;0,1,0))</f>
        <v>0</v>
      </c>
      <c r="BJ278" s="39" t="n">
        <f aca="false">IF(BJ$4=0,0,IF(COUNTIFS(実績!$W$6:$W$505,BJ$3,実績!$AI$6:$AI$505,"&lt;="&amp;$A278,実績!$AJ$6:$AJ$505,"&gt;"&amp;$A278,実績!$AL$6:$AL$505,"○")&gt;0,1,0))</f>
        <v>0</v>
      </c>
      <c r="BK278" s="39" t="n">
        <f aca="false">IF(BK$4=0,0,IF(COUNTIFS(実績!$W$6:$W$505,BK$3,実績!$AI$6:$AI$505,"&lt;="&amp;$A278,実績!$AJ$6:$AJ$505,"&gt;"&amp;$A278,実績!$AL$6:$AL$505,"○")&gt;0,1,0))</f>
        <v>0</v>
      </c>
      <c r="BL278" s="39" t="n">
        <f aca="false">IF(BL$4=0,0,IF(COUNTIFS(実績!$W$6:$W$505,BL$3,実績!$AI$6:$AI$505,"&lt;="&amp;$A278,実績!$AJ$6:$AJ$505,"&gt;"&amp;$A278,実績!$AL$6:$AL$505,"○")&gt;0,1,0))</f>
        <v>0</v>
      </c>
      <c r="BM278" s="39" t="n">
        <f aca="false">IF(BM$4=0,0,IF(COUNTIFS(実績!$W$6:$W$505,BM$3,実績!$AI$6:$AI$505,"&lt;="&amp;$A278,実績!$AJ$6:$AJ$505,"&gt;"&amp;$A278,実績!$AL$6:$AL$505,"○")&gt;0,1,0))</f>
        <v>0</v>
      </c>
      <c r="BN278" s="39" t="n">
        <f aca="false">IF(BN$4=0,0,IF(COUNTIFS(実績!$W$6:$W$505,BN$3,実績!$AI$6:$AI$505,"&lt;="&amp;$A278,実績!$AJ$6:$AJ$505,"&gt;"&amp;$A278,実績!$AL$6:$AL$505,"○")&gt;0,1,0))</f>
        <v>0</v>
      </c>
      <c r="BO278" s="39" t="n">
        <f aca="false">IF(BO$4=0,0,IF(COUNTIFS(実績!$W$6:$W$505,BO$3,実績!$AI$6:$AI$505,"&lt;="&amp;$A278,実績!$AJ$6:$AJ$505,"&gt;"&amp;$A278,実績!$AL$6:$AL$505,"○")&gt;0,1,0))</f>
        <v>0</v>
      </c>
      <c r="BP278" s="39" t="n">
        <f aca="false">IF(BP$4=0,0,IF(COUNTIFS(実績!$W$6:$W$505,BP$3,実績!$AI$6:$AI$505,"&lt;="&amp;$A278,実績!$AJ$6:$AJ$505,"&gt;"&amp;$A278,実績!$AL$6:$AL$505,"○")&gt;0,1,0))</f>
        <v>0</v>
      </c>
      <c r="BQ278" s="39" t="n">
        <f aca="false">IF(BQ$4=0,0,IF(COUNTIFS(実績!$W$6:$W$505,BQ$3,実績!$AI$6:$AI$505,"&lt;="&amp;$A278,実績!$AJ$6:$AJ$505,"&gt;"&amp;$A278,実績!$AL$6:$AL$505,"○")&gt;0,1,0))</f>
        <v>0</v>
      </c>
      <c r="BR278" s="39" t="n">
        <f aca="false">IF(BR$4=0,0,IF(COUNTIFS(実績!$W$6:$W$505,BR$3,実績!$AI$6:$AI$505,"&lt;="&amp;$A278,実績!$AJ$6:$AJ$505,"&gt;"&amp;$A278,実績!$AL$6:$AL$505,"○")&gt;0,1,0))</f>
        <v>0</v>
      </c>
      <c r="BS278" s="39" t="n">
        <f aca="false">IF(BS$4=0,0,IF(COUNTIFS(実績!$W$6:$W$505,BS$3,実績!$AI$6:$AI$505,"&lt;="&amp;$A278,実績!$AJ$6:$AJ$505,"&gt;"&amp;$A278,実績!$AL$6:$AL$505,"○")&gt;0,1,0))</f>
        <v>0</v>
      </c>
      <c r="BT278" s="39" t="n">
        <f aca="false">IF(BT$4=0,0,IF(COUNTIFS(実績!$W$6:$W$505,BT$3,実績!$AI$6:$AI$505,"&lt;="&amp;$A278,実績!$AJ$6:$AJ$505,"&gt;"&amp;$A278,実績!$AL$6:$AL$505,"○")&gt;0,1,0))</f>
        <v>0</v>
      </c>
      <c r="BU278" s="39" t="n">
        <f aca="false">IF(BU$4=0,0,IF(COUNTIFS(実績!$W$6:$W$505,BU$3,実績!$AI$6:$AI$505,"&lt;="&amp;$A278,実績!$AJ$6:$AJ$505,"&gt;"&amp;$A278,実績!$AL$6:$AL$505,"○")&gt;0,1,0))</f>
        <v>0</v>
      </c>
      <c r="BV278" s="39" t="n">
        <f aca="false">IF(BV$4=0,0,IF(COUNTIFS(実績!$W$6:$W$505,BV$3,実績!$AI$6:$AI$505,"&lt;="&amp;$A278,実績!$AJ$6:$AJ$505,"&gt;"&amp;$A278,実績!$AL$6:$AL$505,"○")&gt;0,1,0))</f>
        <v>0</v>
      </c>
      <c r="BW278" s="39" t="n">
        <f aca="false">IF(BW$4=0,0,IF(COUNTIFS(実績!$W$6:$W$505,BW$3,実績!$AI$6:$AI$505,"&lt;="&amp;$A278,実績!$AJ$6:$AJ$505,"&gt;"&amp;$A278,実績!$AL$6:$AL$505,"○")&gt;0,1,0))</f>
        <v>0</v>
      </c>
      <c r="BX278" s="39" t="n">
        <f aca="false">IF(BX$4=0,0,IF(COUNTIFS(実績!$W$6:$W$505,BX$3,実績!$AI$6:$AI$505,"&lt;="&amp;$A278,実績!$AJ$6:$AJ$505,"&gt;"&amp;$A278,実績!$AL$6:$AL$505,"○")&gt;0,1,0))</f>
        <v>0</v>
      </c>
      <c r="BY278" s="39" t="n">
        <f aca="false">IF(BY$4=0,0,IF(COUNTIFS(実績!$W$6:$W$505,BY$3,実績!$AI$6:$AI$505,"&lt;="&amp;$A278,実績!$AJ$6:$AJ$505,"&gt;"&amp;$A278,実績!$AL$6:$AL$505,"○")&gt;0,1,0))</f>
        <v>0</v>
      </c>
      <c r="BZ278" s="39" t="n">
        <f aca="false">IF(BZ$4=0,0,IF(COUNTIFS(実績!$W$6:$W$505,BZ$3,実績!$AI$6:$AI$505,"&lt;="&amp;$A278,実績!$AJ$6:$AJ$505,"&gt;"&amp;$A278,実績!$AL$6:$AL$505,"○")&gt;0,1,0))</f>
        <v>0</v>
      </c>
      <c r="CA278" s="39" t="n">
        <f aca="false">IF(CA$4=0,0,IF(COUNTIFS(実績!$W$6:$W$505,CA$3,実績!$AI$6:$AI$505,"&lt;="&amp;$A278,実績!$AJ$6:$AJ$505,"&gt;"&amp;$A278,実績!$AL$6:$AL$505,"○")&gt;0,1,0))</f>
        <v>0</v>
      </c>
      <c r="CB278" s="39" t="n">
        <f aca="false">IF(CB$4=0,0,IF(COUNTIFS(実績!$W$6:$W$505,CB$3,実績!$AI$6:$AI$505,"&lt;="&amp;$A278,実績!$AJ$6:$AJ$505,"&gt;"&amp;$A278,実績!$AL$6:$AL$505,"○")&gt;0,1,0))</f>
        <v>0</v>
      </c>
      <c r="CC278" s="39" t="n">
        <f aca="false">IF(CC$4=0,0,IF(COUNTIFS(実績!$W$6:$W$505,CC$3,実績!$AI$6:$AI$505,"&lt;="&amp;$A278,実績!$AJ$6:$AJ$505,"&gt;"&amp;$A278,実績!$AL$6:$AL$505,"○")&gt;0,1,0))</f>
        <v>0</v>
      </c>
      <c r="CD278" s="39" t="n">
        <f aca="false">IF(CD$4=0,0,IF(COUNTIFS(実績!$W$6:$W$505,CD$3,実績!$AI$6:$AI$505,"&lt;="&amp;$A278,実績!$AJ$6:$AJ$505,"&gt;"&amp;$A278,実績!$AL$6:$AL$505,"○")&gt;0,1,0))</f>
        <v>0</v>
      </c>
      <c r="CE278" s="39" t="n">
        <f aca="false">IF(CE$4=0,0,IF(COUNTIFS(実績!$W$6:$W$505,CE$3,実績!$AI$6:$AI$505,"&lt;="&amp;$A278,実績!$AJ$6:$AJ$505,"&gt;"&amp;$A278,実績!$AL$6:$AL$505,"○")&gt;0,1,0))</f>
        <v>0</v>
      </c>
      <c r="CF278" s="39" t="n">
        <f aca="false">IF(CF$4=0,0,IF(COUNTIFS(実績!$W$6:$W$505,CF$3,実績!$AI$6:$AI$505,"&lt;="&amp;$A278,実績!$AJ$6:$AJ$505,"&gt;"&amp;$A278,実績!$AL$6:$AL$505,"○")&gt;0,1,0))</f>
        <v>0</v>
      </c>
      <c r="CG278" s="39" t="n">
        <f aca="false">IF(CG$4=0,0,IF(COUNTIFS(実績!$W$6:$W$505,CG$3,実績!$AI$6:$AI$505,"&lt;="&amp;$A278,実績!$AJ$6:$AJ$505,"&gt;"&amp;$A278,実績!$AL$6:$AL$505,"○")&gt;0,1,0))</f>
        <v>0</v>
      </c>
      <c r="CH278" s="39" t="n">
        <f aca="false">IF(CH$4=0,0,IF(COUNTIFS(実績!$W$6:$W$505,CH$3,実績!$AI$6:$AI$505,"&lt;="&amp;$A278,実績!$AJ$6:$AJ$505,"&gt;"&amp;$A278,実績!$AL$6:$AL$505,"○")&gt;0,1,0))</f>
        <v>0</v>
      </c>
      <c r="CI278" s="39" t="n">
        <f aca="false">IF(CI$4=0,0,IF(COUNTIFS(実績!$W$6:$W$505,CI$3,実績!$AI$6:$AI$505,"&lt;="&amp;$A278,実績!$AJ$6:$AJ$505,"&gt;"&amp;$A278,実績!$AL$6:$AL$505,"○")&gt;0,1,0))</f>
        <v>0</v>
      </c>
      <c r="CJ278" s="39" t="n">
        <f aca="false">IF(CJ$4=0,0,IF(COUNTIFS(実績!$W$6:$W$505,CJ$3,実績!$AI$6:$AI$505,"&lt;="&amp;$A278,実績!$AJ$6:$AJ$505,"&gt;"&amp;$A278,実績!$AL$6:$AL$505,"○")&gt;0,1,0))</f>
        <v>0</v>
      </c>
      <c r="CK278" s="39" t="n">
        <f aca="false">IF(CK$4=0,0,IF(COUNTIFS(実績!$W$6:$W$505,CK$3,実績!$AI$6:$AI$505,"&lt;="&amp;$A278,実績!$AJ$6:$AJ$505,"&gt;"&amp;$A278,実績!$AL$6:$AL$505,"○")&gt;0,1,0))</f>
        <v>0</v>
      </c>
      <c r="CL278" s="39" t="n">
        <f aca="false">IF(CL$4=0,0,IF(COUNTIFS(実績!$W$6:$W$505,CL$3,実績!$AI$6:$AI$505,"&lt;="&amp;$A278,実績!$AJ$6:$AJ$505,"&gt;"&amp;$A278,実績!$AL$6:$AL$505,"○")&gt;0,1,0))</f>
        <v>0</v>
      </c>
      <c r="CM278" s="39" t="n">
        <f aca="false">IF(CM$4=0,0,IF(COUNTIFS(実績!$W$6:$W$505,CM$3,実績!$AI$6:$AI$505,"&lt;="&amp;$A278,実績!$AJ$6:$AJ$505,"&gt;"&amp;$A278,実績!$AL$6:$AL$505,"○")&gt;0,1,0))</f>
        <v>0</v>
      </c>
      <c r="CN278" s="39" t="n">
        <f aca="false">IF(CN$4=0,0,IF(COUNTIFS(実績!$W$6:$W$505,CN$3,実績!$AI$6:$AI$505,"&lt;="&amp;$A278,実績!$AJ$6:$AJ$505,"&gt;"&amp;$A278,実績!$AL$6:$AL$505,"○")&gt;0,1,0))</f>
        <v>0</v>
      </c>
      <c r="CO278" s="39" t="n">
        <f aca="false">IF(CO$4=0,0,IF(COUNTIFS(実績!$W$6:$W$505,CO$3,実績!$AI$6:$AI$505,"&lt;="&amp;$A278,実績!$AJ$6:$AJ$505,"&gt;"&amp;$A278,実績!$AL$6:$AL$505,"○")&gt;0,1,0))</f>
        <v>0</v>
      </c>
      <c r="CP278" s="39" t="n">
        <f aca="false">IF(CP$4=0,0,IF(COUNTIFS(実績!$W$6:$W$505,CP$3,実績!$AI$6:$AI$505,"&lt;="&amp;$A278,実績!$AJ$6:$AJ$505,"&gt;"&amp;$A278,実績!$AL$6:$AL$505,"○")&gt;0,1,0))</f>
        <v>0</v>
      </c>
      <c r="CQ278" s="39" t="n">
        <f aca="false">IF(CQ$4=0,0,IF(COUNTIFS(実績!$W$6:$W$505,CQ$3,実績!$AI$6:$AI$505,"&lt;="&amp;$A278,実績!$AJ$6:$AJ$505,"&gt;"&amp;$A278,実績!$AL$6:$AL$505,"○")&gt;0,1,0))</f>
        <v>0</v>
      </c>
      <c r="CR278" s="39" t="n">
        <f aca="false">IF(CR$4=0,0,IF(COUNTIFS(実績!$W$6:$W$505,CR$3,実績!$AI$6:$AI$505,"&lt;="&amp;$A278,実績!$AJ$6:$AJ$505,"&gt;"&amp;$A278,実績!$AL$6:$AL$505,"○")&gt;0,1,0))</f>
        <v>0</v>
      </c>
      <c r="CS278" s="39" t="n">
        <f aca="false">IF(CS$4=0,0,IF(COUNTIFS(実績!$W$6:$W$505,CS$3,実績!$AI$6:$AI$505,"&lt;="&amp;$A278,実績!$AJ$6:$AJ$505,"&gt;"&amp;$A278,実績!$AL$6:$AL$505,"○")&gt;0,1,0))</f>
        <v>0</v>
      </c>
      <c r="CT278" s="39" t="n">
        <f aca="false">IF(CT$4=0,0,IF(COUNTIFS(実績!$W$6:$W$505,CT$3,実績!$AI$6:$AI$505,"&lt;="&amp;$A278,実績!$AJ$6:$AJ$505,"&gt;"&amp;$A278,実績!$AL$6:$AL$505,"○")&gt;0,1,0))</f>
        <v>0</v>
      </c>
      <c r="CU278" s="39" t="n">
        <f aca="false">IF(CU$4=0,0,IF(COUNTIFS(実績!$W$6:$W$505,CU$3,実績!$AI$6:$AI$505,"&lt;="&amp;$A278,実績!$AJ$6:$AJ$505,"&gt;"&amp;$A278,実績!$AL$6:$AL$505,"○")&gt;0,1,0))</f>
        <v>0</v>
      </c>
      <c r="CV278" s="39" t="n">
        <f aca="false">IF(CV$4=0,0,IF(COUNTIFS(実績!$W$6:$W$505,CV$3,実績!$AI$6:$AI$505,"&lt;="&amp;$A278,実績!$AJ$6:$AJ$505,"&gt;"&amp;$A278,実績!$AL$6:$AL$505,"○")&gt;0,1,0))</f>
        <v>0</v>
      </c>
      <c r="CW278" s="39" t="n">
        <f aca="false">IF(CW$4=0,0,IF(COUNTIFS(実績!$W$6:$W$505,CW$3,実績!$AI$6:$AI$505,"&lt;="&amp;$A278,実績!$AJ$6:$AJ$505,"&gt;"&amp;$A278,実績!$AL$6:$AL$505,"○")&gt;0,1,0))</f>
        <v>0</v>
      </c>
      <c r="CX278" s="39" t="n">
        <f aca="false">IF(CX$4=0,0,IF(COUNTIFS(実績!$W$6:$W$505,CX$3,実績!$AI$6:$AI$505,"&lt;="&amp;$A278,実績!$AJ$6:$AJ$505,"&gt;"&amp;$A278,実績!$AL$6:$AL$505,"○")&gt;0,1,0))</f>
        <v>0</v>
      </c>
      <c r="CY278" s="39" t="n">
        <f aca="false">IF(CY$4=0,0,IF(COUNTIFS(実績!$W$6:$W$505,CY$3,実績!$AI$6:$AI$505,"&lt;="&amp;$A278,実績!$AJ$6:$AJ$505,"&gt;"&amp;$A278,実績!$AL$6:$AL$505,"○")&gt;0,1,0))</f>
        <v>0</v>
      </c>
      <c r="CZ278" s="39" t="n">
        <f aca="false">IF(CZ$4=0,0,IF(COUNTIFS(実績!$W$6:$W$505,CZ$3,実績!$AI$6:$AI$505,"&lt;="&amp;$A278,実績!$AJ$6:$AJ$505,"&gt;"&amp;$A278,実績!$AL$6:$AL$505,"○")&gt;0,1,0))</f>
        <v>0</v>
      </c>
      <c r="DA278" s="39" t="n">
        <f aca="false">IF(DA$4=0,0,IF(COUNTIFS(実績!$W$6:$W$505,DA$3,実績!$AI$6:$AI$505,"&lt;="&amp;$A278,実績!$AJ$6:$AJ$505,"&gt;"&amp;$A278,実績!$AL$6:$AL$505,"○")&gt;0,1,0))</f>
        <v>0</v>
      </c>
      <c r="DB278" s="39" t="n">
        <f aca="false">IF(DB$4=0,0,IF(COUNTIFS(実績!$W$6:$W$505,DB$3,実績!$AI$6:$AI$505,"&lt;="&amp;$A278,実績!$AJ$6:$AJ$505,"&gt;"&amp;$A278,実績!$AL$6:$AL$505,"○")&gt;0,1,0))</f>
        <v>0</v>
      </c>
      <c r="DC278" s="39" t="n">
        <f aca="false">IF(DC$4=0,0,IF(COUNTIFS(実績!$W$6:$W$505,DC$3,実績!$AI$6:$AI$505,"&lt;="&amp;$A278,実績!$AJ$6:$AJ$505,"&gt;"&amp;$A278,実績!$AL$6:$AL$505,"○")&gt;0,1,0))</f>
        <v>0</v>
      </c>
      <c r="DD278" s="39" t="n">
        <f aca="false">IF(DD$4=0,0,IF(COUNTIFS(実績!$W$6:$W$505,DD$3,実績!$AI$6:$AI$505,"&lt;="&amp;$A278,実績!$AJ$6:$AJ$505,"&gt;"&amp;$A278,実績!$AL$6:$AL$505,"○")&gt;0,1,0))</f>
        <v>0</v>
      </c>
      <c r="DE278" s="39" t="n">
        <f aca="false">IF(DE$4=0,0,IF(COUNTIFS(実績!$W$6:$W$505,DE$3,実績!$AI$6:$AI$505,"&lt;="&amp;$A278,実績!$AJ$6:$AJ$505,"&gt;"&amp;$A278,実績!$AL$6:$AL$505,"○")&gt;0,1,0))</f>
        <v>0</v>
      </c>
      <c r="DF278" s="39" t="n">
        <f aca="false">IF(DF$4=0,0,IF(COUNTIFS(実績!$W$6:$W$505,DF$3,実績!$AI$6:$AI$505,"&lt;="&amp;$A278,実績!$AJ$6:$AJ$505,"&gt;"&amp;$A278,実績!$AL$6:$AL$505,"○")&gt;0,1,0))</f>
        <v>0</v>
      </c>
      <c r="DG278" s="39" t="n">
        <f aca="false">IF(DG$4=0,0,IF(COUNTIFS(実績!$W$6:$W$505,DG$3,実績!$AI$6:$AI$505,"&lt;="&amp;$A278,実績!$AJ$6:$AJ$505,"&gt;"&amp;$A278,実績!$AL$6:$AL$505,"○")&gt;0,1,0))</f>
        <v>0</v>
      </c>
      <c r="DH278" s="39" t="n">
        <f aca="false">IF(DH$4=0,0,IF(COUNTIFS(実績!$W$6:$W$505,DH$3,実績!$AI$6:$AI$505,"&lt;="&amp;$A278,実績!$AJ$6:$AJ$505,"&gt;"&amp;$A278,実績!$AL$6:$AL$505,"○")&gt;0,1,0))</f>
        <v>0</v>
      </c>
      <c r="DI278" s="39" t="n">
        <f aca="false">IF(DI$4=0,0,IF(COUNTIFS(実績!$W$6:$W$505,DI$3,実績!$AI$6:$AI$505,"&lt;="&amp;$A278,実績!$AJ$6:$AJ$505,"&gt;"&amp;$A278,実績!$AL$6:$AL$505,"○")&gt;0,1,0))</f>
        <v>0</v>
      </c>
      <c r="DJ278" s="39" t="n">
        <f aca="false">IF(DJ$4=0,0,IF(COUNTIFS(実績!$W$6:$W$505,DJ$3,実績!$AI$6:$AI$505,"&lt;="&amp;$A278,実績!$AJ$6:$AJ$505,"&gt;"&amp;$A278,実績!$AL$6:$AL$505,"○")&gt;0,1,0))</f>
        <v>0</v>
      </c>
      <c r="DK278" s="39" t="n">
        <f aca="false">IF(DK$4=0,0,IF(COUNTIFS(実績!$W$6:$W$505,DK$3,実績!$AI$6:$AI$505,"&lt;="&amp;$A278,実績!$AJ$6:$AJ$505,"&gt;"&amp;$A278,実績!$AL$6:$AL$505,"○")&gt;0,1,0))</f>
        <v>0</v>
      </c>
      <c r="DL278" s="39" t="n">
        <f aca="false">IF(DL$4=0,0,IF(COUNTIFS(実績!$W$6:$W$505,DL$3,実績!$AI$6:$AI$505,"&lt;="&amp;$A278,実績!$AJ$6:$AJ$505,"&gt;"&amp;$A278,実績!$AL$6:$AL$505,"○")&gt;0,1,0))</f>
        <v>0</v>
      </c>
      <c r="DM278" s="39" t="n">
        <f aca="false">IF(DM$4=0,0,IF(COUNTIFS(実績!$W$6:$W$505,DM$3,実績!$AI$6:$AI$505,"&lt;="&amp;$A278,実績!$AJ$6:$AJ$505,"&gt;"&amp;$A278,実績!$AL$6:$AL$505,"○")&gt;0,1,0))</f>
        <v>0</v>
      </c>
      <c r="DN278" s="39" t="n">
        <f aca="false">IF(DN$4=0,0,IF(COUNTIFS(実績!$W$6:$W$505,DN$3,実績!$AI$6:$AI$505,"&lt;="&amp;$A278,実績!$AJ$6:$AJ$505,"&gt;"&amp;$A278,実績!$AL$6:$AL$505,"○")&gt;0,1,0))</f>
        <v>0</v>
      </c>
      <c r="DO278" s="39" t="n">
        <f aca="false">IF(DO$4=0,0,IF(COUNTIFS(実績!$W$6:$W$505,DO$3,実績!$AI$6:$AI$505,"&lt;="&amp;$A278,実績!$AJ$6:$AJ$505,"&gt;"&amp;$A278,実績!$AL$6:$AL$505,"○")&gt;0,1,0))</f>
        <v>0</v>
      </c>
      <c r="DP278" s="39" t="n">
        <f aca="false">IF(DP$4=0,0,IF(COUNTIFS(実績!$W$6:$W$505,DP$3,実績!$AI$6:$AI$505,"&lt;="&amp;$A278,実績!$AJ$6:$AJ$505,"&gt;"&amp;$A278,実績!$AL$6:$AL$505,"○")&gt;0,1,0))</f>
        <v>0</v>
      </c>
      <c r="DQ278" s="39" t="n">
        <f aca="false">IF(DQ$4=0,0,IF(COUNTIFS(実績!$W$6:$W$505,DQ$3,実績!$AI$6:$AI$505,"&lt;="&amp;$A278,実績!$AJ$6:$AJ$505,"&gt;"&amp;$A278,実績!$AL$6:$AL$505,"○")&gt;0,1,0))</f>
        <v>0</v>
      </c>
      <c r="DR278" s="39" t="n">
        <f aca="false">IF(DR$4=0,0,IF(COUNTIFS(実績!$W$6:$W$505,DR$3,実績!$AI$6:$AI$505,"&lt;="&amp;$A278,実績!$AJ$6:$AJ$505,"&gt;"&amp;$A278,実績!$AL$6:$AL$505,"○")&gt;0,1,0))</f>
        <v>0</v>
      </c>
      <c r="DS278" s="39" t="n">
        <f aca="false">SUM(C278:DR278)</f>
        <v>0</v>
      </c>
    </row>
    <row r="279" customFormat="false" ht="15" hidden="false" customHeight="false" outlineLevel="0" collapsed="false">
      <c r="A279" s="0" t="n">
        <v>1365</v>
      </c>
      <c r="B279" s="38" t="n">
        <f aca="false">A279/1440</f>
        <v>0.947916666666667</v>
      </c>
      <c r="C279" s="39" t="n">
        <f aca="false">IF(C$4=0,0,IF(COUNTIFS(実績!$W$6:$W$505,C$3,実績!$AI$6:$AI$505,"&lt;="&amp;$A279,実績!$AJ$6:$AJ$505,"&gt;"&amp;$A279,実績!$AL$6:$AL$505,"○")&gt;0,1,0))</f>
        <v>0</v>
      </c>
      <c r="D279" s="39" t="n">
        <f aca="false">IF(D$4=0,0,IF(COUNTIFS(実績!$W$6:$W$505,D$3,実績!$AI$6:$AI$505,"&lt;="&amp;$A279,実績!$AJ$6:$AJ$505,"&gt;"&amp;$A279,実績!$AL$6:$AL$505,"○")&gt;0,1,0))</f>
        <v>0</v>
      </c>
      <c r="E279" s="39" t="n">
        <f aca="false">IF(E$4=0,0,IF(COUNTIFS(実績!$W$6:$W$505,E$3,実績!$AI$6:$AI$505,"&lt;="&amp;$A279,実績!$AJ$6:$AJ$505,"&gt;"&amp;$A279,実績!$AL$6:$AL$505,"○")&gt;0,1,0))</f>
        <v>0</v>
      </c>
      <c r="F279" s="39" t="n">
        <f aca="false">IF(F$4=0,0,IF(COUNTIFS(実績!$W$6:$W$505,F$3,実績!$AI$6:$AI$505,"&lt;="&amp;$A279,実績!$AJ$6:$AJ$505,"&gt;"&amp;$A279,実績!$AL$6:$AL$505,"○")&gt;0,1,0))</f>
        <v>0</v>
      </c>
      <c r="G279" s="39" t="n">
        <f aca="false">IF(G$4=0,0,IF(COUNTIFS(実績!$W$6:$W$505,G$3,実績!$AI$6:$AI$505,"&lt;="&amp;$A279,実績!$AJ$6:$AJ$505,"&gt;"&amp;$A279,実績!$AL$6:$AL$505,"○")&gt;0,1,0))</f>
        <v>0</v>
      </c>
      <c r="H279" s="39" t="n">
        <f aca="false">IF(H$4=0,0,IF(COUNTIFS(実績!$W$6:$W$505,H$3,実績!$AI$6:$AI$505,"&lt;="&amp;$A279,実績!$AJ$6:$AJ$505,"&gt;"&amp;$A279,実績!$AL$6:$AL$505,"○")&gt;0,1,0))</f>
        <v>0</v>
      </c>
      <c r="I279" s="39" t="n">
        <f aca="false">IF(I$4=0,0,IF(COUNTIFS(実績!$W$6:$W$505,I$3,実績!$AI$6:$AI$505,"&lt;="&amp;$A279,実績!$AJ$6:$AJ$505,"&gt;"&amp;$A279,実績!$AL$6:$AL$505,"○")&gt;0,1,0))</f>
        <v>0</v>
      </c>
      <c r="J279" s="39" t="n">
        <f aca="false">IF(J$4=0,0,IF(COUNTIFS(実績!$W$6:$W$505,J$3,実績!$AI$6:$AI$505,"&lt;="&amp;$A279,実績!$AJ$6:$AJ$505,"&gt;"&amp;$A279,実績!$AL$6:$AL$505,"○")&gt;0,1,0))</f>
        <v>0</v>
      </c>
      <c r="K279" s="39" t="n">
        <f aca="false">IF(K$4=0,0,IF(COUNTIFS(実績!$W$6:$W$505,K$3,実績!$AI$6:$AI$505,"&lt;="&amp;$A279,実績!$AJ$6:$AJ$505,"&gt;"&amp;$A279,実績!$AL$6:$AL$505,"○")&gt;0,1,0))</f>
        <v>0</v>
      </c>
      <c r="L279" s="39" t="n">
        <f aca="false">IF(L$4=0,0,IF(COUNTIFS(実績!$W$6:$W$505,L$3,実績!$AI$6:$AI$505,"&lt;="&amp;$A279,実績!$AJ$6:$AJ$505,"&gt;"&amp;$A279,実績!$AL$6:$AL$505,"○")&gt;0,1,0))</f>
        <v>0</v>
      </c>
      <c r="M279" s="39" t="n">
        <f aca="false">IF(M$4=0,0,IF(COUNTIFS(実績!$W$6:$W$505,M$3,実績!$AI$6:$AI$505,"&lt;="&amp;$A279,実績!$AJ$6:$AJ$505,"&gt;"&amp;$A279,実績!$AL$6:$AL$505,"○")&gt;0,1,0))</f>
        <v>0</v>
      </c>
      <c r="N279" s="39" t="n">
        <f aca="false">IF(N$4=0,0,IF(COUNTIFS(実績!$W$6:$W$505,N$3,実績!$AI$6:$AI$505,"&lt;="&amp;$A279,実績!$AJ$6:$AJ$505,"&gt;"&amp;$A279,実績!$AL$6:$AL$505,"○")&gt;0,1,0))</f>
        <v>0</v>
      </c>
      <c r="O279" s="39" t="n">
        <f aca="false">IF(O$4=0,0,IF(COUNTIFS(実績!$W$6:$W$505,O$3,実績!$AI$6:$AI$505,"&lt;="&amp;$A279,実績!$AJ$6:$AJ$505,"&gt;"&amp;$A279,実績!$AL$6:$AL$505,"○")&gt;0,1,0))</f>
        <v>0</v>
      </c>
      <c r="P279" s="39" t="n">
        <f aca="false">IF(P$4=0,0,IF(COUNTIFS(実績!$W$6:$W$505,P$3,実績!$AI$6:$AI$505,"&lt;="&amp;$A279,実績!$AJ$6:$AJ$505,"&gt;"&amp;$A279,実績!$AL$6:$AL$505,"○")&gt;0,1,0))</f>
        <v>0</v>
      </c>
      <c r="Q279" s="39" t="n">
        <f aca="false">IF(Q$4=0,0,IF(COUNTIFS(実績!$W$6:$W$505,Q$3,実績!$AI$6:$AI$505,"&lt;="&amp;$A279,実績!$AJ$6:$AJ$505,"&gt;"&amp;$A279,実績!$AL$6:$AL$505,"○")&gt;0,1,0))</f>
        <v>0</v>
      </c>
      <c r="R279" s="39" t="n">
        <f aca="false">IF(R$4=0,0,IF(COUNTIFS(実績!$W$6:$W$505,R$3,実績!$AI$6:$AI$505,"&lt;="&amp;$A279,実績!$AJ$6:$AJ$505,"&gt;"&amp;$A279,実績!$AL$6:$AL$505,"○")&gt;0,1,0))</f>
        <v>0</v>
      </c>
      <c r="S279" s="39" t="n">
        <f aca="false">IF(S$4=0,0,IF(COUNTIFS(実績!$W$6:$W$505,S$3,実績!$AI$6:$AI$505,"&lt;="&amp;$A279,実績!$AJ$6:$AJ$505,"&gt;"&amp;$A279,実績!$AL$6:$AL$505,"○")&gt;0,1,0))</f>
        <v>0</v>
      </c>
      <c r="T279" s="39" t="n">
        <f aca="false">IF(T$4=0,0,IF(COUNTIFS(実績!$W$6:$W$505,T$3,実績!$AI$6:$AI$505,"&lt;="&amp;$A279,実績!$AJ$6:$AJ$505,"&gt;"&amp;$A279,実績!$AL$6:$AL$505,"○")&gt;0,1,0))</f>
        <v>0</v>
      </c>
      <c r="U279" s="39" t="n">
        <f aca="false">IF(U$4=0,0,IF(COUNTIFS(実績!$W$6:$W$505,U$3,実績!$AI$6:$AI$505,"&lt;="&amp;$A279,実績!$AJ$6:$AJ$505,"&gt;"&amp;$A279,実績!$AL$6:$AL$505,"○")&gt;0,1,0))</f>
        <v>0</v>
      </c>
      <c r="V279" s="39" t="n">
        <f aca="false">IF(V$4=0,0,IF(COUNTIFS(実績!$W$6:$W$505,V$3,実績!$AI$6:$AI$505,"&lt;="&amp;$A279,実績!$AJ$6:$AJ$505,"&gt;"&amp;$A279,実績!$AL$6:$AL$505,"○")&gt;0,1,0))</f>
        <v>0</v>
      </c>
      <c r="W279" s="39" t="n">
        <f aca="false">IF(W$4=0,0,IF(COUNTIFS(実績!$W$6:$W$505,W$3,実績!$AI$6:$AI$505,"&lt;="&amp;$A279,実績!$AJ$6:$AJ$505,"&gt;"&amp;$A279,実績!$AL$6:$AL$505,"○")&gt;0,1,0))</f>
        <v>0</v>
      </c>
      <c r="X279" s="39" t="n">
        <f aca="false">IF(X$4=0,0,IF(COUNTIFS(実績!$W$6:$W$505,X$3,実績!$AI$6:$AI$505,"&lt;="&amp;$A279,実績!$AJ$6:$AJ$505,"&gt;"&amp;$A279,実績!$AL$6:$AL$505,"○")&gt;0,1,0))</f>
        <v>0</v>
      </c>
      <c r="Y279" s="39" t="n">
        <f aca="false">IF(Y$4=0,0,IF(COUNTIFS(実績!$W$6:$W$505,Y$3,実績!$AI$6:$AI$505,"&lt;="&amp;$A279,実績!$AJ$6:$AJ$505,"&gt;"&amp;$A279,実績!$AL$6:$AL$505,"○")&gt;0,1,0))</f>
        <v>0</v>
      </c>
      <c r="Z279" s="39" t="n">
        <f aca="false">IF(Z$4=0,0,IF(COUNTIFS(実績!$W$6:$W$505,Z$3,実績!$AI$6:$AI$505,"&lt;="&amp;$A279,実績!$AJ$6:$AJ$505,"&gt;"&amp;$A279,実績!$AL$6:$AL$505,"○")&gt;0,1,0))</f>
        <v>0</v>
      </c>
      <c r="AA279" s="39" t="n">
        <f aca="false">IF(AA$4=0,0,IF(COUNTIFS(実績!$W$6:$W$505,AA$3,実績!$AI$6:$AI$505,"&lt;="&amp;$A279,実績!$AJ$6:$AJ$505,"&gt;"&amp;$A279,実績!$AL$6:$AL$505,"○")&gt;0,1,0))</f>
        <v>0</v>
      </c>
      <c r="AB279" s="39" t="n">
        <f aca="false">IF(AB$4=0,0,IF(COUNTIFS(実績!$W$6:$W$505,AB$3,実績!$AI$6:$AI$505,"&lt;="&amp;$A279,実績!$AJ$6:$AJ$505,"&gt;"&amp;$A279,実績!$AL$6:$AL$505,"○")&gt;0,1,0))</f>
        <v>0</v>
      </c>
      <c r="AC279" s="39" t="n">
        <f aca="false">IF(AC$4=0,0,IF(COUNTIFS(実績!$W$6:$W$505,AC$3,実績!$AI$6:$AI$505,"&lt;="&amp;$A279,実績!$AJ$6:$AJ$505,"&gt;"&amp;$A279,実績!$AL$6:$AL$505,"○")&gt;0,1,0))</f>
        <v>0</v>
      </c>
      <c r="AD279" s="39" t="n">
        <f aca="false">IF(AD$4=0,0,IF(COUNTIFS(実績!$W$6:$W$505,AD$3,実績!$AI$6:$AI$505,"&lt;="&amp;$A279,実績!$AJ$6:$AJ$505,"&gt;"&amp;$A279,実績!$AL$6:$AL$505,"○")&gt;0,1,0))</f>
        <v>0</v>
      </c>
      <c r="AE279" s="39" t="n">
        <f aca="false">IF(AE$4=0,0,IF(COUNTIFS(実績!$W$6:$W$505,AE$3,実績!$AI$6:$AI$505,"&lt;="&amp;$A279,実績!$AJ$6:$AJ$505,"&gt;"&amp;$A279,実績!$AL$6:$AL$505,"○")&gt;0,1,0))</f>
        <v>0</v>
      </c>
      <c r="AF279" s="39" t="n">
        <f aca="false">IF(AF$4=0,0,IF(COUNTIFS(実績!$W$6:$W$505,AF$3,実績!$AI$6:$AI$505,"&lt;="&amp;$A279,実績!$AJ$6:$AJ$505,"&gt;"&amp;$A279,実績!$AL$6:$AL$505,"○")&gt;0,1,0))</f>
        <v>0</v>
      </c>
      <c r="AG279" s="39" t="n">
        <f aca="false">IF(AG$4=0,0,IF(COUNTIFS(実績!$W$6:$W$505,AG$3,実績!$AI$6:$AI$505,"&lt;="&amp;$A279,実績!$AJ$6:$AJ$505,"&gt;"&amp;$A279,実績!$AL$6:$AL$505,"○")&gt;0,1,0))</f>
        <v>0</v>
      </c>
      <c r="AH279" s="39" t="n">
        <f aca="false">IF(AH$4=0,0,IF(COUNTIFS(実績!$W$6:$W$505,AH$3,実績!$AI$6:$AI$505,"&lt;="&amp;$A279,実績!$AJ$6:$AJ$505,"&gt;"&amp;$A279,実績!$AL$6:$AL$505,"○")&gt;0,1,0))</f>
        <v>0</v>
      </c>
      <c r="AI279" s="39" t="n">
        <f aca="false">IF(AI$4=0,0,IF(COUNTIFS(実績!$W$6:$W$505,AI$3,実績!$AI$6:$AI$505,"&lt;="&amp;$A279,実績!$AJ$6:$AJ$505,"&gt;"&amp;$A279,実績!$AL$6:$AL$505,"○")&gt;0,1,0))</f>
        <v>0</v>
      </c>
      <c r="AJ279" s="39" t="n">
        <f aca="false">IF(AJ$4=0,0,IF(COUNTIFS(実績!$W$6:$W$505,AJ$3,実績!$AI$6:$AI$505,"&lt;="&amp;$A279,実績!$AJ$6:$AJ$505,"&gt;"&amp;$A279,実績!$AL$6:$AL$505,"○")&gt;0,1,0))</f>
        <v>0</v>
      </c>
      <c r="AK279" s="39" t="n">
        <f aca="false">IF(AK$4=0,0,IF(COUNTIFS(実績!$W$6:$W$505,AK$3,実績!$AI$6:$AI$505,"&lt;="&amp;$A279,実績!$AJ$6:$AJ$505,"&gt;"&amp;$A279,実績!$AL$6:$AL$505,"○")&gt;0,1,0))</f>
        <v>0</v>
      </c>
      <c r="AL279" s="39" t="n">
        <f aca="false">IF(AL$4=0,0,IF(COUNTIFS(実績!$W$6:$W$505,AL$3,実績!$AI$6:$AI$505,"&lt;="&amp;$A279,実績!$AJ$6:$AJ$505,"&gt;"&amp;$A279,実績!$AL$6:$AL$505,"○")&gt;0,1,0))</f>
        <v>0</v>
      </c>
      <c r="AM279" s="39" t="n">
        <f aca="false">IF(AM$4=0,0,IF(COUNTIFS(実績!$W$6:$W$505,AM$3,実績!$AI$6:$AI$505,"&lt;="&amp;$A279,実績!$AJ$6:$AJ$505,"&gt;"&amp;$A279,実績!$AL$6:$AL$505,"○")&gt;0,1,0))</f>
        <v>0</v>
      </c>
      <c r="AN279" s="39" t="n">
        <f aca="false">IF(AN$4=0,0,IF(COUNTIFS(実績!$W$6:$W$505,AN$3,実績!$AI$6:$AI$505,"&lt;="&amp;$A279,実績!$AJ$6:$AJ$505,"&gt;"&amp;$A279,実績!$AL$6:$AL$505,"○")&gt;0,1,0))</f>
        <v>0</v>
      </c>
      <c r="AO279" s="39" t="n">
        <f aca="false">IF(AO$4=0,0,IF(COUNTIFS(実績!$W$6:$W$505,AO$3,実績!$AI$6:$AI$505,"&lt;="&amp;$A279,実績!$AJ$6:$AJ$505,"&gt;"&amp;$A279,実績!$AL$6:$AL$505,"○")&gt;0,1,0))</f>
        <v>0</v>
      </c>
      <c r="AP279" s="39" t="n">
        <f aca="false">IF(AP$4=0,0,IF(COUNTIFS(実績!$W$6:$W$505,AP$3,実績!$AI$6:$AI$505,"&lt;="&amp;$A279,実績!$AJ$6:$AJ$505,"&gt;"&amp;$A279,実績!$AL$6:$AL$505,"○")&gt;0,1,0))</f>
        <v>0</v>
      </c>
      <c r="AQ279" s="39" t="n">
        <f aca="false">IF(AQ$4=0,0,IF(COUNTIFS(実績!$W$6:$W$505,AQ$3,実績!$AI$6:$AI$505,"&lt;="&amp;$A279,実績!$AJ$6:$AJ$505,"&gt;"&amp;$A279,実績!$AL$6:$AL$505,"○")&gt;0,1,0))</f>
        <v>0</v>
      </c>
      <c r="AR279" s="39" t="n">
        <f aca="false">IF(AR$4=0,0,IF(COUNTIFS(実績!$W$6:$W$505,AR$3,実績!$AI$6:$AI$505,"&lt;="&amp;$A279,実績!$AJ$6:$AJ$505,"&gt;"&amp;$A279,実績!$AL$6:$AL$505,"○")&gt;0,1,0))</f>
        <v>0</v>
      </c>
      <c r="AS279" s="39" t="n">
        <f aca="false">IF(AS$4=0,0,IF(COUNTIFS(実績!$W$6:$W$505,AS$3,実績!$AI$6:$AI$505,"&lt;="&amp;$A279,実績!$AJ$6:$AJ$505,"&gt;"&amp;$A279,実績!$AL$6:$AL$505,"○")&gt;0,1,0))</f>
        <v>0</v>
      </c>
      <c r="AT279" s="39" t="n">
        <f aca="false">IF(AT$4=0,0,IF(COUNTIFS(実績!$W$6:$W$505,AT$3,実績!$AI$6:$AI$505,"&lt;="&amp;$A279,実績!$AJ$6:$AJ$505,"&gt;"&amp;$A279,実績!$AL$6:$AL$505,"○")&gt;0,1,0))</f>
        <v>0</v>
      </c>
      <c r="AU279" s="39" t="n">
        <f aca="false">IF(AU$4=0,0,IF(COUNTIFS(実績!$W$6:$W$505,AU$3,実績!$AI$6:$AI$505,"&lt;="&amp;$A279,実績!$AJ$6:$AJ$505,"&gt;"&amp;$A279,実績!$AL$6:$AL$505,"○")&gt;0,1,0))</f>
        <v>0</v>
      </c>
      <c r="AV279" s="39" t="n">
        <f aca="false">IF(AV$4=0,0,IF(COUNTIFS(実績!$W$6:$W$505,AV$3,実績!$AI$6:$AI$505,"&lt;="&amp;$A279,実績!$AJ$6:$AJ$505,"&gt;"&amp;$A279,実績!$AL$6:$AL$505,"○")&gt;0,1,0))</f>
        <v>0</v>
      </c>
      <c r="AW279" s="39" t="n">
        <f aca="false">IF(AW$4=0,0,IF(COUNTIFS(実績!$W$6:$W$505,AW$3,実績!$AI$6:$AI$505,"&lt;="&amp;$A279,実績!$AJ$6:$AJ$505,"&gt;"&amp;$A279,実績!$AL$6:$AL$505,"○")&gt;0,1,0))</f>
        <v>0</v>
      </c>
      <c r="AX279" s="39" t="n">
        <f aca="false">IF(AX$4=0,0,IF(COUNTIFS(実績!$W$6:$W$505,AX$3,実績!$AI$6:$AI$505,"&lt;="&amp;$A279,実績!$AJ$6:$AJ$505,"&gt;"&amp;$A279,実績!$AL$6:$AL$505,"○")&gt;0,1,0))</f>
        <v>0</v>
      </c>
      <c r="AY279" s="39" t="n">
        <f aca="false">IF(AY$4=0,0,IF(COUNTIFS(実績!$W$6:$W$505,AY$3,実績!$AI$6:$AI$505,"&lt;="&amp;$A279,実績!$AJ$6:$AJ$505,"&gt;"&amp;$A279,実績!$AL$6:$AL$505,"○")&gt;0,1,0))</f>
        <v>0</v>
      </c>
      <c r="AZ279" s="39" t="n">
        <f aca="false">IF(AZ$4=0,0,IF(COUNTIFS(実績!$W$6:$W$505,AZ$3,実績!$AI$6:$AI$505,"&lt;="&amp;$A279,実績!$AJ$6:$AJ$505,"&gt;"&amp;$A279,実績!$AL$6:$AL$505,"○")&gt;0,1,0))</f>
        <v>0</v>
      </c>
      <c r="BA279" s="39" t="n">
        <f aca="false">IF(BA$4=0,0,IF(COUNTIFS(実績!$W$6:$W$505,BA$3,実績!$AI$6:$AI$505,"&lt;="&amp;$A279,実績!$AJ$6:$AJ$505,"&gt;"&amp;$A279,実績!$AL$6:$AL$505,"○")&gt;0,1,0))</f>
        <v>0</v>
      </c>
      <c r="BB279" s="39" t="n">
        <f aca="false">IF(BB$4=0,0,IF(COUNTIFS(実績!$W$6:$W$505,BB$3,実績!$AI$6:$AI$505,"&lt;="&amp;$A279,実績!$AJ$6:$AJ$505,"&gt;"&amp;$A279,実績!$AL$6:$AL$505,"○")&gt;0,1,0))</f>
        <v>0</v>
      </c>
      <c r="BC279" s="39" t="n">
        <f aca="false">IF(BC$4=0,0,IF(COUNTIFS(実績!$W$6:$W$505,BC$3,実績!$AI$6:$AI$505,"&lt;="&amp;$A279,実績!$AJ$6:$AJ$505,"&gt;"&amp;$A279,実績!$AL$6:$AL$505,"○")&gt;0,1,0))</f>
        <v>0</v>
      </c>
      <c r="BD279" s="39" t="n">
        <f aca="false">IF(BD$4=0,0,IF(COUNTIFS(実績!$W$6:$W$505,BD$3,実績!$AI$6:$AI$505,"&lt;="&amp;$A279,実績!$AJ$6:$AJ$505,"&gt;"&amp;$A279,実績!$AL$6:$AL$505,"○")&gt;0,1,0))</f>
        <v>0</v>
      </c>
      <c r="BE279" s="39" t="n">
        <f aca="false">IF(BE$4=0,0,IF(COUNTIFS(実績!$W$6:$W$505,BE$3,実績!$AI$6:$AI$505,"&lt;="&amp;$A279,実績!$AJ$6:$AJ$505,"&gt;"&amp;$A279,実績!$AL$6:$AL$505,"○")&gt;0,1,0))</f>
        <v>0</v>
      </c>
      <c r="BF279" s="39" t="n">
        <f aca="false">IF(BF$4=0,0,IF(COUNTIFS(実績!$W$6:$W$505,BF$3,実績!$AI$6:$AI$505,"&lt;="&amp;$A279,実績!$AJ$6:$AJ$505,"&gt;"&amp;$A279,実績!$AL$6:$AL$505,"○")&gt;0,1,0))</f>
        <v>0</v>
      </c>
      <c r="BG279" s="39" t="n">
        <f aca="false">IF(BG$4=0,0,IF(COUNTIFS(実績!$W$6:$W$505,BG$3,実績!$AI$6:$AI$505,"&lt;="&amp;$A279,実績!$AJ$6:$AJ$505,"&gt;"&amp;$A279,実績!$AL$6:$AL$505,"○")&gt;0,1,0))</f>
        <v>0</v>
      </c>
      <c r="BH279" s="39" t="n">
        <f aca="false">IF(BH$4=0,0,IF(COUNTIFS(実績!$W$6:$W$505,BH$3,実績!$AI$6:$AI$505,"&lt;="&amp;$A279,実績!$AJ$6:$AJ$505,"&gt;"&amp;$A279,実績!$AL$6:$AL$505,"○")&gt;0,1,0))</f>
        <v>0</v>
      </c>
      <c r="BI279" s="39" t="n">
        <f aca="false">IF(BI$4=0,0,IF(COUNTIFS(実績!$W$6:$W$505,BI$3,実績!$AI$6:$AI$505,"&lt;="&amp;$A279,実績!$AJ$6:$AJ$505,"&gt;"&amp;$A279,実績!$AL$6:$AL$505,"○")&gt;0,1,0))</f>
        <v>0</v>
      </c>
      <c r="BJ279" s="39" t="n">
        <f aca="false">IF(BJ$4=0,0,IF(COUNTIFS(実績!$W$6:$W$505,BJ$3,実績!$AI$6:$AI$505,"&lt;="&amp;$A279,実績!$AJ$6:$AJ$505,"&gt;"&amp;$A279,実績!$AL$6:$AL$505,"○")&gt;0,1,0))</f>
        <v>0</v>
      </c>
      <c r="BK279" s="39" t="n">
        <f aca="false">IF(BK$4=0,0,IF(COUNTIFS(実績!$W$6:$W$505,BK$3,実績!$AI$6:$AI$505,"&lt;="&amp;$A279,実績!$AJ$6:$AJ$505,"&gt;"&amp;$A279,実績!$AL$6:$AL$505,"○")&gt;0,1,0))</f>
        <v>0</v>
      </c>
      <c r="BL279" s="39" t="n">
        <f aca="false">IF(BL$4=0,0,IF(COUNTIFS(実績!$W$6:$W$505,BL$3,実績!$AI$6:$AI$505,"&lt;="&amp;$A279,実績!$AJ$6:$AJ$505,"&gt;"&amp;$A279,実績!$AL$6:$AL$505,"○")&gt;0,1,0))</f>
        <v>0</v>
      </c>
      <c r="BM279" s="39" t="n">
        <f aca="false">IF(BM$4=0,0,IF(COUNTIFS(実績!$W$6:$W$505,BM$3,実績!$AI$6:$AI$505,"&lt;="&amp;$A279,実績!$AJ$6:$AJ$505,"&gt;"&amp;$A279,実績!$AL$6:$AL$505,"○")&gt;0,1,0))</f>
        <v>0</v>
      </c>
      <c r="BN279" s="39" t="n">
        <f aca="false">IF(BN$4=0,0,IF(COUNTIFS(実績!$W$6:$W$505,BN$3,実績!$AI$6:$AI$505,"&lt;="&amp;$A279,実績!$AJ$6:$AJ$505,"&gt;"&amp;$A279,実績!$AL$6:$AL$505,"○")&gt;0,1,0))</f>
        <v>0</v>
      </c>
      <c r="BO279" s="39" t="n">
        <f aca="false">IF(BO$4=0,0,IF(COUNTIFS(実績!$W$6:$W$505,BO$3,実績!$AI$6:$AI$505,"&lt;="&amp;$A279,実績!$AJ$6:$AJ$505,"&gt;"&amp;$A279,実績!$AL$6:$AL$505,"○")&gt;0,1,0))</f>
        <v>0</v>
      </c>
      <c r="BP279" s="39" t="n">
        <f aca="false">IF(BP$4=0,0,IF(COUNTIFS(実績!$W$6:$W$505,BP$3,実績!$AI$6:$AI$505,"&lt;="&amp;$A279,実績!$AJ$6:$AJ$505,"&gt;"&amp;$A279,実績!$AL$6:$AL$505,"○")&gt;0,1,0))</f>
        <v>0</v>
      </c>
      <c r="BQ279" s="39" t="n">
        <f aca="false">IF(BQ$4=0,0,IF(COUNTIFS(実績!$W$6:$W$505,BQ$3,実績!$AI$6:$AI$505,"&lt;="&amp;$A279,実績!$AJ$6:$AJ$505,"&gt;"&amp;$A279,実績!$AL$6:$AL$505,"○")&gt;0,1,0))</f>
        <v>0</v>
      </c>
      <c r="BR279" s="39" t="n">
        <f aca="false">IF(BR$4=0,0,IF(COUNTIFS(実績!$W$6:$W$505,BR$3,実績!$AI$6:$AI$505,"&lt;="&amp;$A279,実績!$AJ$6:$AJ$505,"&gt;"&amp;$A279,実績!$AL$6:$AL$505,"○")&gt;0,1,0))</f>
        <v>0</v>
      </c>
      <c r="BS279" s="39" t="n">
        <f aca="false">IF(BS$4=0,0,IF(COUNTIFS(実績!$W$6:$W$505,BS$3,実績!$AI$6:$AI$505,"&lt;="&amp;$A279,実績!$AJ$6:$AJ$505,"&gt;"&amp;$A279,実績!$AL$6:$AL$505,"○")&gt;0,1,0))</f>
        <v>0</v>
      </c>
      <c r="BT279" s="39" t="n">
        <f aca="false">IF(BT$4=0,0,IF(COUNTIFS(実績!$W$6:$W$505,BT$3,実績!$AI$6:$AI$505,"&lt;="&amp;$A279,実績!$AJ$6:$AJ$505,"&gt;"&amp;$A279,実績!$AL$6:$AL$505,"○")&gt;0,1,0))</f>
        <v>0</v>
      </c>
      <c r="BU279" s="39" t="n">
        <f aca="false">IF(BU$4=0,0,IF(COUNTIFS(実績!$W$6:$W$505,BU$3,実績!$AI$6:$AI$505,"&lt;="&amp;$A279,実績!$AJ$6:$AJ$505,"&gt;"&amp;$A279,実績!$AL$6:$AL$505,"○")&gt;0,1,0))</f>
        <v>0</v>
      </c>
      <c r="BV279" s="39" t="n">
        <f aca="false">IF(BV$4=0,0,IF(COUNTIFS(実績!$W$6:$W$505,BV$3,実績!$AI$6:$AI$505,"&lt;="&amp;$A279,実績!$AJ$6:$AJ$505,"&gt;"&amp;$A279,実績!$AL$6:$AL$505,"○")&gt;0,1,0))</f>
        <v>0</v>
      </c>
      <c r="BW279" s="39" t="n">
        <f aca="false">IF(BW$4=0,0,IF(COUNTIFS(実績!$W$6:$W$505,BW$3,実績!$AI$6:$AI$505,"&lt;="&amp;$A279,実績!$AJ$6:$AJ$505,"&gt;"&amp;$A279,実績!$AL$6:$AL$505,"○")&gt;0,1,0))</f>
        <v>0</v>
      </c>
      <c r="BX279" s="39" t="n">
        <f aca="false">IF(BX$4=0,0,IF(COUNTIFS(実績!$W$6:$W$505,BX$3,実績!$AI$6:$AI$505,"&lt;="&amp;$A279,実績!$AJ$6:$AJ$505,"&gt;"&amp;$A279,実績!$AL$6:$AL$505,"○")&gt;0,1,0))</f>
        <v>0</v>
      </c>
      <c r="BY279" s="39" t="n">
        <f aca="false">IF(BY$4=0,0,IF(COUNTIFS(実績!$W$6:$W$505,BY$3,実績!$AI$6:$AI$505,"&lt;="&amp;$A279,実績!$AJ$6:$AJ$505,"&gt;"&amp;$A279,実績!$AL$6:$AL$505,"○")&gt;0,1,0))</f>
        <v>0</v>
      </c>
      <c r="BZ279" s="39" t="n">
        <f aca="false">IF(BZ$4=0,0,IF(COUNTIFS(実績!$W$6:$W$505,BZ$3,実績!$AI$6:$AI$505,"&lt;="&amp;$A279,実績!$AJ$6:$AJ$505,"&gt;"&amp;$A279,実績!$AL$6:$AL$505,"○")&gt;0,1,0))</f>
        <v>0</v>
      </c>
      <c r="CA279" s="39" t="n">
        <f aca="false">IF(CA$4=0,0,IF(COUNTIFS(実績!$W$6:$W$505,CA$3,実績!$AI$6:$AI$505,"&lt;="&amp;$A279,実績!$AJ$6:$AJ$505,"&gt;"&amp;$A279,実績!$AL$6:$AL$505,"○")&gt;0,1,0))</f>
        <v>0</v>
      </c>
      <c r="CB279" s="39" t="n">
        <f aca="false">IF(CB$4=0,0,IF(COUNTIFS(実績!$W$6:$W$505,CB$3,実績!$AI$6:$AI$505,"&lt;="&amp;$A279,実績!$AJ$6:$AJ$505,"&gt;"&amp;$A279,実績!$AL$6:$AL$505,"○")&gt;0,1,0))</f>
        <v>0</v>
      </c>
      <c r="CC279" s="39" t="n">
        <f aca="false">IF(CC$4=0,0,IF(COUNTIFS(実績!$W$6:$W$505,CC$3,実績!$AI$6:$AI$505,"&lt;="&amp;$A279,実績!$AJ$6:$AJ$505,"&gt;"&amp;$A279,実績!$AL$6:$AL$505,"○")&gt;0,1,0))</f>
        <v>0</v>
      </c>
      <c r="CD279" s="39" t="n">
        <f aca="false">IF(CD$4=0,0,IF(COUNTIFS(実績!$W$6:$W$505,CD$3,実績!$AI$6:$AI$505,"&lt;="&amp;$A279,実績!$AJ$6:$AJ$505,"&gt;"&amp;$A279,実績!$AL$6:$AL$505,"○")&gt;0,1,0))</f>
        <v>0</v>
      </c>
      <c r="CE279" s="39" t="n">
        <f aca="false">IF(CE$4=0,0,IF(COUNTIFS(実績!$W$6:$W$505,CE$3,実績!$AI$6:$AI$505,"&lt;="&amp;$A279,実績!$AJ$6:$AJ$505,"&gt;"&amp;$A279,実績!$AL$6:$AL$505,"○")&gt;0,1,0))</f>
        <v>0</v>
      </c>
      <c r="CF279" s="39" t="n">
        <f aca="false">IF(CF$4=0,0,IF(COUNTIFS(実績!$W$6:$W$505,CF$3,実績!$AI$6:$AI$505,"&lt;="&amp;$A279,実績!$AJ$6:$AJ$505,"&gt;"&amp;$A279,実績!$AL$6:$AL$505,"○")&gt;0,1,0))</f>
        <v>0</v>
      </c>
      <c r="CG279" s="39" t="n">
        <f aca="false">IF(CG$4=0,0,IF(COUNTIFS(実績!$W$6:$W$505,CG$3,実績!$AI$6:$AI$505,"&lt;="&amp;$A279,実績!$AJ$6:$AJ$505,"&gt;"&amp;$A279,実績!$AL$6:$AL$505,"○")&gt;0,1,0))</f>
        <v>0</v>
      </c>
      <c r="CH279" s="39" t="n">
        <f aca="false">IF(CH$4=0,0,IF(COUNTIFS(実績!$W$6:$W$505,CH$3,実績!$AI$6:$AI$505,"&lt;="&amp;$A279,実績!$AJ$6:$AJ$505,"&gt;"&amp;$A279,実績!$AL$6:$AL$505,"○")&gt;0,1,0))</f>
        <v>0</v>
      </c>
      <c r="CI279" s="39" t="n">
        <f aca="false">IF(CI$4=0,0,IF(COUNTIFS(実績!$W$6:$W$505,CI$3,実績!$AI$6:$AI$505,"&lt;="&amp;$A279,実績!$AJ$6:$AJ$505,"&gt;"&amp;$A279,実績!$AL$6:$AL$505,"○")&gt;0,1,0))</f>
        <v>0</v>
      </c>
      <c r="CJ279" s="39" t="n">
        <f aca="false">IF(CJ$4=0,0,IF(COUNTIFS(実績!$W$6:$W$505,CJ$3,実績!$AI$6:$AI$505,"&lt;="&amp;$A279,実績!$AJ$6:$AJ$505,"&gt;"&amp;$A279,実績!$AL$6:$AL$505,"○")&gt;0,1,0))</f>
        <v>0</v>
      </c>
      <c r="CK279" s="39" t="n">
        <f aca="false">IF(CK$4=0,0,IF(COUNTIFS(実績!$W$6:$W$505,CK$3,実績!$AI$6:$AI$505,"&lt;="&amp;$A279,実績!$AJ$6:$AJ$505,"&gt;"&amp;$A279,実績!$AL$6:$AL$505,"○")&gt;0,1,0))</f>
        <v>0</v>
      </c>
      <c r="CL279" s="39" t="n">
        <f aca="false">IF(CL$4=0,0,IF(COUNTIFS(実績!$W$6:$W$505,CL$3,実績!$AI$6:$AI$505,"&lt;="&amp;$A279,実績!$AJ$6:$AJ$505,"&gt;"&amp;$A279,実績!$AL$6:$AL$505,"○")&gt;0,1,0))</f>
        <v>0</v>
      </c>
      <c r="CM279" s="39" t="n">
        <f aca="false">IF(CM$4=0,0,IF(COUNTIFS(実績!$W$6:$W$505,CM$3,実績!$AI$6:$AI$505,"&lt;="&amp;$A279,実績!$AJ$6:$AJ$505,"&gt;"&amp;$A279,実績!$AL$6:$AL$505,"○")&gt;0,1,0))</f>
        <v>0</v>
      </c>
      <c r="CN279" s="39" t="n">
        <f aca="false">IF(CN$4=0,0,IF(COUNTIFS(実績!$W$6:$W$505,CN$3,実績!$AI$6:$AI$505,"&lt;="&amp;$A279,実績!$AJ$6:$AJ$505,"&gt;"&amp;$A279,実績!$AL$6:$AL$505,"○")&gt;0,1,0))</f>
        <v>0</v>
      </c>
      <c r="CO279" s="39" t="n">
        <f aca="false">IF(CO$4=0,0,IF(COUNTIFS(実績!$W$6:$W$505,CO$3,実績!$AI$6:$AI$505,"&lt;="&amp;$A279,実績!$AJ$6:$AJ$505,"&gt;"&amp;$A279,実績!$AL$6:$AL$505,"○")&gt;0,1,0))</f>
        <v>0</v>
      </c>
      <c r="CP279" s="39" t="n">
        <f aca="false">IF(CP$4=0,0,IF(COUNTIFS(実績!$W$6:$W$505,CP$3,実績!$AI$6:$AI$505,"&lt;="&amp;$A279,実績!$AJ$6:$AJ$505,"&gt;"&amp;$A279,実績!$AL$6:$AL$505,"○")&gt;0,1,0))</f>
        <v>0</v>
      </c>
      <c r="CQ279" s="39" t="n">
        <f aca="false">IF(CQ$4=0,0,IF(COUNTIFS(実績!$W$6:$W$505,CQ$3,実績!$AI$6:$AI$505,"&lt;="&amp;$A279,実績!$AJ$6:$AJ$505,"&gt;"&amp;$A279,実績!$AL$6:$AL$505,"○")&gt;0,1,0))</f>
        <v>0</v>
      </c>
      <c r="CR279" s="39" t="n">
        <f aca="false">IF(CR$4=0,0,IF(COUNTIFS(実績!$W$6:$W$505,CR$3,実績!$AI$6:$AI$505,"&lt;="&amp;$A279,実績!$AJ$6:$AJ$505,"&gt;"&amp;$A279,実績!$AL$6:$AL$505,"○")&gt;0,1,0))</f>
        <v>0</v>
      </c>
      <c r="CS279" s="39" t="n">
        <f aca="false">IF(CS$4=0,0,IF(COUNTIFS(実績!$W$6:$W$505,CS$3,実績!$AI$6:$AI$505,"&lt;="&amp;$A279,実績!$AJ$6:$AJ$505,"&gt;"&amp;$A279,実績!$AL$6:$AL$505,"○")&gt;0,1,0))</f>
        <v>0</v>
      </c>
      <c r="CT279" s="39" t="n">
        <f aca="false">IF(CT$4=0,0,IF(COUNTIFS(実績!$W$6:$W$505,CT$3,実績!$AI$6:$AI$505,"&lt;="&amp;$A279,実績!$AJ$6:$AJ$505,"&gt;"&amp;$A279,実績!$AL$6:$AL$505,"○")&gt;0,1,0))</f>
        <v>0</v>
      </c>
      <c r="CU279" s="39" t="n">
        <f aca="false">IF(CU$4=0,0,IF(COUNTIFS(実績!$W$6:$W$505,CU$3,実績!$AI$6:$AI$505,"&lt;="&amp;$A279,実績!$AJ$6:$AJ$505,"&gt;"&amp;$A279,実績!$AL$6:$AL$505,"○")&gt;0,1,0))</f>
        <v>0</v>
      </c>
      <c r="CV279" s="39" t="n">
        <f aca="false">IF(CV$4=0,0,IF(COUNTIFS(実績!$W$6:$W$505,CV$3,実績!$AI$6:$AI$505,"&lt;="&amp;$A279,実績!$AJ$6:$AJ$505,"&gt;"&amp;$A279,実績!$AL$6:$AL$505,"○")&gt;0,1,0))</f>
        <v>0</v>
      </c>
      <c r="CW279" s="39" t="n">
        <f aca="false">IF(CW$4=0,0,IF(COUNTIFS(実績!$W$6:$W$505,CW$3,実績!$AI$6:$AI$505,"&lt;="&amp;$A279,実績!$AJ$6:$AJ$505,"&gt;"&amp;$A279,実績!$AL$6:$AL$505,"○")&gt;0,1,0))</f>
        <v>0</v>
      </c>
      <c r="CX279" s="39" t="n">
        <f aca="false">IF(CX$4=0,0,IF(COUNTIFS(実績!$W$6:$W$505,CX$3,実績!$AI$6:$AI$505,"&lt;="&amp;$A279,実績!$AJ$6:$AJ$505,"&gt;"&amp;$A279,実績!$AL$6:$AL$505,"○")&gt;0,1,0))</f>
        <v>0</v>
      </c>
      <c r="CY279" s="39" t="n">
        <f aca="false">IF(CY$4=0,0,IF(COUNTIFS(実績!$W$6:$W$505,CY$3,実績!$AI$6:$AI$505,"&lt;="&amp;$A279,実績!$AJ$6:$AJ$505,"&gt;"&amp;$A279,実績!$AL$6:$AL$505,"○")&gt;0,1,0))</f>
        <v>0</v>
      </c>
      <c r="CZ279" s="39" t="n">
        <f aca="false">IF(CZ$4=0,0,IF(COUNTIFS(実績!$W$6:$W$505,CZ$3,実績!$AI$6:$AI$505,"&lt;="&amp;$A279,実績!$AJ$6:$AJ$505,"&gt;"&amp;$A279,実績!$AL$6:$AL$505,"○")&gt;0,1,0))</f>
        <v>0</v>
      </c>
      <c r="DA279" s="39" t="n">
        <f aca="false">IF(DA$4=0,0,IF(COUNTIFS(実績!$W$6:$W$505,DA$3,実績!$AI$6:$AI$505,"&lt;="&amp;$A279,実績!$AJ$6:$AJ$505,"&gt;"&amp;$A279,実績!$AL$6:$AL$505,"○")&gt;0,1,0))</f>
        <v>0</v>
      </c>
      <c r="DB279" s="39" t="n">
        <f aca="false">IF(DB$4=0,0,IF(COUNTIFS(実績!$W$6:$W$505,DB$3,実績!$AI$6:$AI$505,"&lt;="&amp;$A279,実績!$AJ$6:$AJ$505,"&gt;"&amp;$A279,実績!$AL$6:$AL$505,"○")&gt;0,1,0))</f>
        <v>0</v>
      </c>
      <c r="DC279" s="39" t="n">
        <f aca="false">IF(DC$4=0,0,IF(COUNTIFS(実績!$W$6:$W$505,DC$3,実績!$AI$6:$AI$505,"&lt;="&amp;$A279,実績!$AJ$6:$AJ$505,"&gt;"&amp;$A279,実績!$AL$6:$AL$505,"○")&gt;0,1,0))</f>
        <v>0</v>
      </c>
      <c r="DD279" s="39" t="n">
        <f aca="false">IF(DD$4=0,0,IF(COUNTIFS(実績!$W$6:$W$505,DD$3,実績!$AI$6:$AI$505,"&lt;="&amp;$A279,実績!$AJ$6:$AJ$505,"&gt;"&amp;$A279,実績!$AL$6:$AL$505,"○")&gt;0,1,0))</f>
        <v>0</v>
      </c>
      <c r="DE279" s="39" t="n">
        <f aca="false">IF(DE$4=0,0,IF(COUNTIFS(実績!$W$6:$W$505,DE$3,実績!$AI$6:$AI$505,"&lt;="&amp;$A279,実績!$AJ$6:$AJ$505,"&gt;"&amp;$A279,実績!$AL$6:$AL$505,"○")&gt;0,1,0))</f>
        <v>0</v>
      </c>
      <c r="DF279" s="39" t="n">
        <f aca="false">IF(DF$4=0,0,IF(COUNTIFS(実績!$W$6:$W$505,DF$3,実績!$AI$6:$AI$505,"&lt;="&amp;$A279,実績!$AJ$6:$AJ$505,"&gt;"&amp;$A279,実績!$AL$6:$AL$505,"○")&gt;0,1,0))</f>
        <v>0</v>
      </c>
      <c r="DG279" s="39" t="n">
        <f aca="false">IF(DG$4=0,0,IF(COUNTIFS(実績!$W$6:$W$505,DG$3,実績!$AI$6:$AI$505,"&lt;="&amp;$A279,実績!$AJ$6:$AJ$505,"&gt;"&amp;$A279,実績!$AL$6:$AL$505,"○")&gt;0,1,0))</f>
        <v>0</v>
      </c>
      <c r="DH279" s="39" t="n">
        <f aca="false">IF(DH$4=0,0,IF(COUNTIFS(実績!$W$6:$W$505,DH$3,実績!$AI$6:$AI$505,"&lt;="&amp;$A279,実績!$AJ$6:$AJ$505,"&gt;"&amp;$A279,実績!$AL$6:$AL$505,"○")&gt;0,1,0))</f>
        <v>0</v>
      </c>
      <c r="DI279" s="39" t="n">
        <f aca="false">IF(DI$4=0,0,IF(COUNTIFS(実績!$W$6:$W$505,DI$3,実績!$AI$6:$AI$505,"&lt;="&amp;$A279,実績!$AJ$6:$AJ$505,"&gt;"&amp;$A279,実績!$AL$6:$AL$505,"○")&gt;0,1,0))</f>
        <v>0</v>
      </c>
      <c r="DJ279" s="39" t="n">
        <f aca="false">IF(DJ$4=0,0,IF(COUNTIFS(実績!$W$6:$W$505,DJ$3,実績!$AI$6:$AI$505,"&lt;="&amp;$A279,実績!$AJ$6:$AJ$505,"&gt;"&amp;$A279,実績!$AL$6:$AL$505,"○")&gt;0,1,0))</f>
        <v>0</v>
      </c>
      <c r="DK279" s="39" t="n">
        <f aca="false">IF(DK$4=0,0,IF(COUNTIFS(実績!$W$6:$W$505,DK$3,実績!$AI$6:$AI$505,"&lt;="&amp;$A279,実績!$AJ$6:$AJ$505,"&gt;"&amp;$A279,実績!$AL$6:$AL$505,"○")&gt;0,1,0))</f>
        <v>0</v>
      </c>
      <c r="DL279" s="39" t="n">
        <f aca="false">IF(DL$4=0,0,IF(COUNTIFS(実績!$W$6:$W$505,DL$3,実績!$AI$6:$AI$505,"&lt;="&amp;$A279,実績!$AJ$6:$AJ$505,"&gt;"&amp;$A279,実績!$AL$6:$AL$505,"○")&gt;0,1,0))</f>
        <v>0</v>
      </c>
      <c r="DM279" s="39" t="n">
        <f aca="false">IF(DM$4=0,0,IF(COUNTIFS(実績!$W$6:$W$505,DM$3,実績!$AI$6:$AI$505,"&lt;="&amp;$A279,実績!$AJ$6:$AJ$505,"&gt;"&amp;$A279,実績!$AL$6:$AL$505,"○")&gt;0,1,0))</f>
        <v>0</v>
      </c>
      <c r="DN279" s="39" t="n">
        <f aca="false">IF(DN$4=0,0,IF(COUNTIFS(実績!$W$6:$W$505,DN$3,実績!$AI$6:$AI$505,"&lt;="&amp;$A279,実績!$AJ$6:$AJ$505,"&gt;"&amp;$A279,実績!$AL$6:$AL$505,"○")&gt;0,1,0))</f>
        <v>0</v>
      </c>
      <c r="DO279" s="39" t="n">
        <f aca="false">IF(DO$4=0,0,IF(COUNTIFS(実績!$W$6:$W$505,DO$3,実績!$AI$6:$AI$505,"&lt;="&amp;$A279,実績!$AJ$6:$AJ$505,"&gt;"&amp;$A279,実績!$AL$6:$AL$505,"○")&gt;0,1,0))</f>
        <v>0</v>
      </c>
      <c r="DP279" s="39" t="n">
        <f aca="false">IF(DP$4=0,0,IF(COUNTIFS(実績!$W$6:$W$505,DP$3,実績!$AI$6:$AI$505,"&lt;="&amp;$A279,実績!$AJ$6:$AJ$505,"&gt;"&amp;$A279,実績!$AL$6:$AL$505,"○")&gt;0,1,0))</f>
        <v>0</v>
      </c>
      <c r="DQ279" s="39" t="n">
        <f aca="false">IF(DQ$4=0,0,IF(COUNTIFS(実績!$W$6:$W$505,DQ$3,実績!$AI$6:$AI$505,"&lt;="&amp;$A279,実績!$AJ$6:$AJ$505,"&gt;"&amp;$A279,実績!$AL$6:$AL$505,"○")&gt;0,1,0))</f>
        <v>0</v>
      </c>
      <c r="DR279" s="39" t="n">
        <f aca="false">IF(DR$4=0,0,IF(COUNTIFS(実績!$W$6:$W$505,DR$3,実績!$AI$6:$AI$505,"&lt;="&amp;$A279,実績!$AJ$6:$AJ$505,"&gt;"&amp;$A279,実績!$AL$6:$AL$505,"○")&gt;0,1,0))</f>
        <v>0</v>
      </c>
      <c r="DS279" s="39" t="n">
        <f aca="false">SUM(C279:DR279)</f>
        <v>0</v>
      </c>
    </row>
    <row r="280" customFormat="false" ht="15" hidden="false" customHeight="false" outlineLevel="0" collapsed="false">
      <c r="A280" s="0" t="n">
        <v>1370</v>
      </c>
      <c r="B280" s="38" t="n">
        <f aca="false">A280/1440</f>
        <v>0.951388888888889</v>
      </c>
      <c r="C280" s="39" t="n">
        <f aca="false">IF(C$4=0,0,IF(COUNTIFS(実績!$W$6:$W$505,C$3,実績!$AI$6:$AI$505,"&lt;="&amp;$A280,実績!$AJ$6:$AJ$505,"&gt;"&amp;$A280,実績!$AL$6:$AL$505,"○")&gt;0,1,0))</f>
        <v>0</v>
      </c>
      <c r="D280" s="39" t="n">
        <f aca="false">IF(D$4=0,0,IF(COUNTIFS(実績!$W$6:$W$505,D$3,実績!$AI$6:$AI$505,"&lt;="&amp;$A280,実績!$AJ$6:$AJ$505,"&gt;"&amp;$A280,実績!$AL$6:$AL$505,"○")&gt;0,1,0))</f>
        <v>0</v>
      </c>
      <c r="E280" s="39" t="n">
        <f aca="false">IF(E$4=0,0,IF(COUNTIFS(実績!$W$6:$W$505,E$3,実績!$AI$6:$AI$505,"&lt;="&amp;$A280,実績!$AJ$6:$AJ$505,"&gt;"&amp;$A280,実績!$AL$6:$AL$505,"○")&gt;0,1,0))</f>
        <v>0</v>
      </c>
      <c r="F280" s="39" t="n">
        <f aca="false">IF(F$4=0,0,IF(COUNTIFS(実績!$W$6:$W$505,F$3,実績!$AI$6:$AI$505,"&lt;="&amp;$A280,実績!$AJ$6:$AJ$505,"&gt;"&amp;$A280,実績!$AL$6:$AL$505,"○")&gt;0,1,0))</f>
        <v>0</v>
      </c>
      <c r="G280" s="39" t="n">
        <f aca="false">IF(G$4=0,0,IF(COUNTIFS(実績!$W$6:$W$505,G$3,実績!$AI$6:$AI$505,"&lt;="&amp;$A280,実績!$AJ$6:$AJ$505,"&gt;"&amp;$A280,実績!$AL$6:$AL$505,"○")&gt;0,1,0))</f>
        <v>0</v>
      </c>
      <c r="H280" s="39" t="n">
        <f aca="false">IF(H$4=0,0,IF(COUNTIFS(実績!$W$6:$W$505,H$3,実績!$AI$6:$AI$505,"&lt;="&amp;$A280,実績!$AJ$6:$AJ$505,"&gt;"&amp;$A280,実績!$AL$6:$AL$505,"○")&gt;0,1,0))</f>
        <v>0</v>
      </c>
      <c r="I280" s="39" t="n">
        <f aca="false">IF(I$4=0,0,IF(COUNTIFS(実績!$W$6:$W$505,I$3,実績!$AI$6:$AI$505,"&lt;="&amp;$A280,実績!$AJ$6:$AJ$505,"&gt;"&amp;$A280,実績!$AL$6:$AL$505,"○")&gt;0,1,0))</f>
        <v>0</v>
      </c>
      <c r="J280" s="39" t="n">
        <f aca="false">IF(J$4=0,0,IF(COUNTIFS(実績!$W$6:$W$505,J$3,実績!$AI$6:$AI$505,"&lt;="&amp;$A280,実績!$AJ$6:$AJ$505,"&gt;"&amp;$A280,実績!$AL$6:$AL$505,"○")&gt;0,1,0))</f>
        <v>0</v>
      </c>
      <c r="K280" s="39" t="n">
        <f aca="false">IF(K$4=0,0,IF(COUNTIFS(実績!$W$6:$W$505,K$3,実績!$AI$6:$AI$505,"&lt;="&amp;$A280,実績!$AJ$6:$AJ$505,"&gt;"&amp;$A280,実績!$AL$6:$AL$505,"○")&gt;0,1,0))</f>
        <v>0</v>
      </c>
      <c r="L280" s="39" t="n">
        <f aca="false">IF(L$4=0,0,IF(COUNTIFS(実績!$W$6:$W$505,L$3,実績!$AI$6:$AI$505,"&lt;="&amp;$A280,実績!$AJ$6:$AJ$505,"&gt;"&amp;$A280,実績!$AL$6:$AL$505,"○")&gt;0,1,0))</f>
        <v>0</v>
      </c>
      <c r="M280" s="39" t="n">
        <f aca="false">IF(M$4=0,0,IF(COUNTIFS(実績!$W$6:$W$505,M$3,実績!$AI$6:$AI$505,"&lt;="&amp;$A280,実績!$AJ$6:$AJ$505,"&gt;"&amp;$A280,実績!$AL$6:$AL$505,"○")&gt;0,1,0))</f>
        <v>0</v>
      </c>
      <c r="N280" s="39" t="n">
        <f aca="false">IF(N$4=0,0,IF(COUNTIFS(実績!$W$6:$W$505,N$3,実績!$AI$6:$AI$505,"&lt;="&amp;$A280,実績!$AJ$6:$AJ$505,"&gt;"&amp;$A280,実績!$AL$6:$AL$505,"○")&gt;0,1,0))</f>
        <v>0</v>
      </c>
      <c r="O280" s="39" t="n">
        <f aca="false">IF(O$4=0,0,IF(COUNTIFS(実績!$W$6:$W$505,O$3,実績!$AI$6:$AI$505,"&lt;="&amp;$A280,実績!$AJ$6:$AJ$505,"&gt;"&amp;$A280,実績!$AL$6:$AL$505,"○")&gt;0,1,0))</f>
        <v>0</v>
      </c>
      <c r="P280" s="39" t="n">
        <f aca="false">IF(P$4=0,0,IF(COUNTIFS(実績!$W$6:$W$505,P$3,実績!$AI$6:$AI$505,"&lt;="&amp;$A280,実績!$AJ$6:$AJ$505,"&gt;"&amp;$A280,実績!$AL$6:$AL$505,"○")&gt;0,1,0))</f>
        <v>0</v>
      </c>
      <c r="Q280" s="39" t="n">
        <f aca="false">IF(Q$4=0,0,IF(COUNTIFS(実績!$W$6:$W$505,Q$3,実績!$AI$6:$AI$505,"&lt;="&amp;$A280,実績!$AJ$6:$AJ$505,"&gt;"&amp;$A280,実績!$AL$6:$AL$505,"○")&gt;0,1,0))</f>
        <v>0</v>
      </c>
      <c r="R280" s="39" t="n">
        <f aca="false">IF(R$4=0,0,IF(COUNTIFS(実績!$W$6:$W$505,R$3,実績!$AI$6:$AI$505,"&lt;="&amp;$A280,実績!$AJ$6:$AJ$505,"&gt;"&amp;$A280,実績!$AL$6:$AL$505,"○")&gt;0,1,0))</f>
        <v>0</v>
      </c>
      <c r="S280" s="39" t="n">
        <f aca="false">IF(S$4=0,0,IF(COUNTIFS(実績!$W$6:$W$505,S$3,実績!$AI$6:$AI$505,"&lt;="&amp;$A280,実績!$AJ$6:$AJ$505,"&gt;"&amp;$A280,実績!$AL$6:$AL$505,"○")&gt;0,1,0))</f>
        <v>0</v>
      </c>
      <c r="T280" s="39" t="n">
        <f aca="false">IF(T$4=0,0,IF(COUNTIFS(実績!$W$6:$W$505,T$3,実績!$AI$6:$AI$505,"&lt;="&amp;$A280,実績!$AJ$6:$AJ$505,"&gt;"&amp;$A280,実績!$AL$6:$AL$505,"○")&gt;0,1,0))</f>
        <v>0</v>
      </c>
      <c r="U280" s="39" t="n">
        <f aca="false">IF(U$4=0,0,IF(COUNTIFS(実績!$W$6:$W$505,U$3,実績!$AI$6:$AI$505,"&lt;="&amp;$A280,実績!$AJ$6:$AJ$505,"&gt;"&amp;$A280,実績!$AL$6:$AL$505,"○")&gt;0,1,0))</f>
        <v>0</v>
      </c>
      <c r="V280" s="39" t="n">
        <f aca="false">IF(V$4=0,0,IF(COUNTIFS(実績!$W$6:$W$505,V$3,実績!$AI$6:$AI$505,"&lt;="&amp;$A280,実績!$AJ$6:$AJ$505,"&gt;"&amp;$A280,実績!$AL$6:$AL$505,"○")&gt;0,1,0))</f>
        <v>0</v>
      </c>
      <c r="W280" s="39" t="n">
        <f aca="false">IF(W$4=0,0,IF(COUNTIFS(実績!$W$6:$W$505,W$3,実績!$AI$6:$AI$505,"&lt;="&amp;$A280,実績!$AJ$6:$AJ$505,"&gt;"&amp;$A280,実績!$AL$6:$AL$505,"○")&gt;0,1,0))</f>
        <v>0</v>
      </c>
      <c r="X280" s="39" t="n">
        <f aca="false">IF(X$4=0,0,IF(COUNTIFS(実績!$W$6:$W$505,X$3,実績!$AI$6:$AI$505,"&lt;="&amp;$A280,実績!$AJ$6:$AJ$505,"&gt;"&amp;$A280,実績!$AL$6:$AL$505,"○")&gt;0,1,0))</f>
        <v>0</v>
      </c>
      <c r="Y280" s="39" t="n">
        <f aca="false">IF(Y$4=0,0,IF(COUNTIFS(実績!$W$6:$W$505,Y$3,実績!$AI$6:$AI$505,"&lt;="&amp;$A280,実績!$AJ$6:$AJ$505,"&gt;"&amp;$A280,実績!$AL$6:$AL$505,"○")&gt;0,1,0))</f>
        <v>0</v>
      </c>
      <c r="Z280" s="39" t="n">
        <f aca="false">IF(Z$4=0,0,IF(COUNTIFS(実績!$W$6:$W$505,Z$3,実績!$AI$6:$AI$505,"&lt;="&amp;$A280,実績!$AJ$6:$AJ$505,"&gt;"&amp;$A280,実績!$AL$6:$AL$505,"○")&gt;0,1,0))</f>
        <v>0</v>
      </c>
      <c r="AA280" s="39" t="n">
        <f aca="false">IF(AA$4=0,0,IF(COUNTIFS(実績!$W$6:$W$505,AA$3,実績!$AI$6:$AI$505,"&lt;="&amp;$A280,実績!$AJ$6:$AJ$505,"&gt;"&amp;$A280,実績!$AL$6:$AL$505,"○")&gt;0,1,0))</f>
        <v>0</v>
      </c>
      <c r="AB280" s="39" t="n">
        <f aca="false">IF(AB$4=0,0,IF(COUNTIFS(実績!$W$6:$W$505,AB$3,実績!$AI$6:$AI$505,"&lt;="&amp;$A280,実績!$AJ$6:$AJ$505,"&gt;"&amp;$A280,実績!$AL$6:$AL$505,"○")&gt;0,1,0))</f>
        <v>0</v>
      </c>
      <c r="AC280" s="39" t="n">
        <f aca="false">IF(AC$4=0,0,IF(COUNTIFS(実績!$W$6:$W$505,AC$3,実績!$AI$6:$AI$505,"&lt;="&amp;$A280,実績!$AJ$6:$AJ$505,"&gt;"&amp;$A280,実績!$AL$6:$AL$505,"○")&gt;0,1,0))</f>
        <v>0</v>
      </c>
      <c r="AD280" s="39" t="n">
        <f aca="false">IF(AD$4=0,0,IF(COUNTIFS(実績!$W$6:$W$505,AD$3,実績!$AI$6:$AI$505,"&lt;="&amp;$A280,実績!$AJ$6:$AJ$505,"&gt;"&amp;$A280,実績!$AL$6:$AL$505,"○")&gt;0,1,0))</f>
        <v>0</v>
      </c>
      <c r="AE280" s="39" t="n">
        <f aca="false">IF(AE$4=0,0,IF(COUNTIFS(実績!$W$6:$W$505,AE$3,実績!$AI$6:$AI$505,"&lt;="&amp;$A280,実績!$AJ$6:$AJ$505,"&gt;"&amp;$A280,実績!$AL$6:$AL$505,"○")&gt;0,1,0))</f>
        <v>0</v>
      </c>
      <c r="AF280" s="39" t="n">
        <f aca="false">IF(AF$4=0,0,IF(COUNTIFS(実績!$W$6:$W$505,AF$3,実績!$AI$6:$AI$505,"&lt;="&amp;$A280,実績!$AJ$6:$AJ$505,"&gt;"&amp;$A280,実績!$AL$6:$AL$505,"○")&gt;0,1,0))</f>
        <v>0</v>
      </c>
      <c r="AG280" s="39" t="n">
        <f aca="false">IF(AG$4=0,0,IF(COUNTIFS(実績!$W$6:$W$505,AG$3,実績!$AI$6:$AI$505,"&lt;="&amp;$A280,実績!$AJ$6:$AJ$505,"&gt;"&amp;$A280,実績!$AL$6:$AL$505,"○")&gt;0,1,0))</f>
        <v>0</v>
      </c>
      <c r="AH280" s="39" t="n">
        <f aca="false">IF(AH$4=0,0,IF(COUNTIFS(実績!$W$6:$W$505,AH$3,実績!$AI$6:$AI$505,"&lt;="&amp;$A280,実績!$AJ$6:$AJ$505,"&gt;"&amp;$A280,実績!$AL$6:$AL$505,"○")&gt;0,1,0))</f>
        <v>0</v>
      </c>
      <c r="AI280" s="39" t="n">
        <f aca="false">IF(AI$4=0,0,IF(COUNTIFS(実績!$W$6:$W$505,AI$3,実績!$AI$6:$AI$505,"&lt;="&amp;$A280,実績!$AJ$6:$AJ$505,"&gt;"&amp;$A280,実績!$AL$6:$AL$505,"○")&gt;0,1,0))</f>
        <v>0</v>
      </c>
      <c r="AJ280" s="39" t="n">
        <f aca="false">IF(AJ$4=0,0,IF(COUNTIFS(実績!$W$6:$W$505,AJ$3,実績!$AI$6:$AI$505,"&lt;="&amp;$A280,実績!$AJ$6:$AJ$505,"&gt;"&amp;$A280,実績!$AL$6:$AL$505,"○")&gt;0,1,0))</f>
        <v>0</v>
      </c>
      <c r="AK280" s="39" t="n">
        <f aca="false">IF(AK$4=0,0,IF(COUNTIFS(実績!$W$6:$W$505,AK$3,実績!$AI$6:$AI$505,"&lt;="&amp;$A280,実績!$AJ$6:$AJ$505,"&gt;"&amp;$A280,実績!$AL$6:$AL$505,"○")&gt;0,1,0))</f>
        <v>0</v>
      </c>
      <c r="AL280" s="39" t="n">
        <f aca="false">IF(AL$4=0,0,IF(COUNTIFS(実績!$W$6:$W$505,AL$3,実績!$AI$6:$AI$505,"&lt;="&amp;$A280,実績!$AJ$6:$AJ$505,"&gt;"&amp;$A280,実績!$AL$6:$AL$505,"○")&gt;0,1,0))</f>
        <v>0</v>
      </c>
      <c r="AM280" s="39" t="n">
        <f aca="false">IF(AM$4=0,0,IF(COUNTIFS(実績!$W$6:$W$505,AM$3,実績!$AI$6:$AI$505,"&lt;="&amp;$A280,実績!$AJ$6:$AJ$505,"&gt;"&amp;$A280,実績!$AL$6:$AL$505,"○")&gt;0,1,0))</f>
        <v>0</v>
      </c>
      <c r="AN280" s="39" t="n">
        <f aca="false">IF(AN$4=0,0,IF(COUNTIFS(実績!$W$6:$W$505,AN$3,実績!$AI$6:$AI$505,"&lt;="&amp;$A280,実績!$AJ$6:$AJ$505,"&gt;"&amp;$A280,実績!$AL$6:$AL$505,"○")&gt;0,1,0))</f>
        <v>0</v>
      </c>
      <c r="AO280" s="39" t="n">
        <f aca="false">IF(AO$4=0,0,IF(COUNTIFS(実績!$W$6:$W$505,AO$3,実績!$AI$6:$AI$505,"&lt;="&amp;$A280,実績!$AJ$6:$AJ$505,"&gt;"&amp;$A280,実績!$AL$6:$AL$505,"○")&gt;0,1,0))</f>
        <v>0</v>
      </c>
      <c r="AP280" s="39" t="n">
        <f aca="false">IF(AP$4=0,0,IF(COUNTIFS(実績!$W$6:$W$505,AP$3,実績!$AI$6:$AI$505,"&lt;="&amp;$A280,実績!$AJ$6:$AJ$505,"&gt;"&amp;$A280,実績!$AL$6:$AL$505,"○")&gt;0,1,0))</f>
        <v>0</v>
      </c>
      <c r="AQ280" s="39" t="n">
        <f aca="false">IF(AQ$4=0,0,IF(COUNTIFS(実績!$W$6:$W$505,AQ$3,実績!$AI$6:$AI$505,"&lt;="&amp;$A280,実績!$AJ$6:$AJ$505,"&gt;"&amp;$A280,実績!$AL$6:$AL$505,"○")&gt;0,1,0))</f>
        <v>0</v>
      </c>
      <c r="AR280" s="39" t="n">
        <f aca="false">IF(AR$4=0,0,IF(COUNTIFS(実績!$W$6:$W$505,AR$3,実績!$AI$6:$AI$505,"&lt;="&amp;$A280,実績!$AJ$6:$AJ$505,"&gt;"&amp;$A280,実績!$AL$6:$AL$505,"○")&gt;0,1,0))</f>
        <v>0</v>
      </c>
      <c r="AS280" s="39" t="n">
        <f aca="false">IF(AS$4=0,0,IF(COUNTIFS(実績!$W$6:$W$505,AS$3,実績!$AI$6:$AI$505,"&lt;="&amp;$A280,実績!$AJ$6:$AJ$505,"&gt;"&amp;$A280,実績!$AL$6:$AL$505,"○")&gt;0,1,0))</f>
        <v>0</v>
      </c>
      <c r="AT280" s="39" t="n">
        <f aca="false">IF(AT$4=0,0,IF(COUNTIFS(実績!$W$6:$W$505,AT$3,実績!$AI$6:$AI$505,"&lt;="&amp;$A280,実績!$AJ$6:$AJ$505,"&gt;"&amp;$A280,実績!$AL$6:$AL$505,"○")&gt;0,1,0))</f>
        <v>0</v>
      </c>
      <c r="AU280" s="39" t="n">
        <f aca="false">IF(AU$4=0,0,IF(COUNTIFS(実績!$W$6:$W$505,AU$3,実績!$AI$6:$AI$505,"&lt;="&amp;$A280,実績!$AJ$6:$AJ$505,"&gt;"&amp;$A280,実績!$AL$6:$AL$505,"○")&gt;0,1,0))</f>
        <v>0</v>
      </c>
      <c r="AV280" s="39" t="n">
        <f aca="false">IF(AV$4=0,0,IF(COUNTIFS(実績!$W$6:$W$505,AV$3,実績!$AI$6:$AI$505,"&lt;="&amp;$A280,実績!$AJ$6:$AJ$505,"&gt;"&amp;$A280,実績!$AL$6:$AL$505,"○")&gt;0,1,0))</f>
        <v>0</v>
      </c>
      <c r="AW280" s="39" t="n">
        <f aca="false">IF(AW$4=0,0,IF(COUNTIFS(実績!$W$6:$W$505,AW$3,実績!$AI$6:$AI$505,"&lt;="&amp;$A280,実績!$AJ$6:$AJ$505,"&gt;"&amp;$A280,実績!$AL$6:$AL$505,"○")&gt;0,1,0))</f>
        <v>0</v>
      </c>
      <c r="AX280" s="39" t="n">
        <f aca="false">IF(AX$4=0,0,IF(COUNTIFS(実績!$W$6:$W$505,AX$3,実績!$AI$6:$AI$505,"&lt;="&amp;$A280,実績!$AJ$6:$AJ$505,"&gt;"&amp;$A280,実績!$AL$6:$AL$505,"○")&gt;0,1,0))</f>
        <v>0</v>
      </c>
      <c r="AY280" s="39" t="n">
        <f aca="false">IF(AY$4=0,0,IF(COUNTIFS(実績!$W$6:$W$505,AY$3,実績!$AI$6:$AI$505,"&lt;="&amp;$A280,実績!$AJ$6:$AJ$505,"&gt;"&amp;$A280,実績!$AL$6:$AL$505,"○")&gt;0,1,0))</f>
        <v>0</v>
      </c>
      <c r="AZ280" s="39" t="n">
        <f aca="false">IF(AZ$4=0,0,IF(COUNTIFS(実績!$W$6:$W$505,AZ$3,実績!$AI$6:$AI$505,"&lt;="&amp;$A280,実績!$AJ$6:$AJ$505,"&gt;"&amp;$A280,実績!$AL$6:$AL$505,"○")&gt;0,1,0))</f>
        <v>0</v>
      </c>
      <c r="BA280" s="39" t="n">
        <f aca="false">IF(BA$4=0,0,IF(COUNTIFS(実績!$W$6:$W$505,BA$3,実績!$AI$6:$AI$505,"&lt;="&amp;$A280,実績!$AJ$6:$AJ$505,"&gt;"&amp;$A280,実績!$AL$6:$AL$505,"○")&gt;0,1,0))</f>
        <v>0</v>
      </c>
      <c r="BB280" s="39" t="n">
        <f aca="false">IF(BB$4=0,0,IF(COUNTIFS(実績!$W$6:$W$505,BB$3,実績!$AI$6:$AI$505,"&lt;="&amp;$A280,実績!$AJ$6:$AJ$505,"&gt;"&amp;$A280,実績!$AL$6:$AL$505,"○")&gt;0,1,0))</f>
        <v>0</v>
      </c>
      <c r="BC280" s="39" t="n">
        <f aca="false">IF(BC$4=0,0,IF(COUNTIFS(実績!$W$6:$W$505,BC$3,実績!$AI$6:$AI$505,"&lt;="&amp;$A280,実績!$AJ$6:$AJ$505,"&gt;"&amp;$A280,実績!$AL$6:$AL$505,"○")&gt;0,1,0))</f>
        <v>0</v>
      </c>
      <c r="BD280" s="39" t="n">
        <f aca="false">IF(BD$4=0,0,IF(COUNTIFS(実績!$W$6:$W$505,BD$3,実績!$AI$6:$AI$505,"&lt;="&amp;$A280,実績!$AJ$6:$AJ$505,"&gt;"&amp;$A280,実績!$AL$6:$AL$505,"○")&gt;0,1,0))</f>
        <v>0</v>
      </c>
      <c r="BE280" s="39" t="n">
        <f aca="false">IF(BE$4=0,0,IF(COUNTIFS(実績!$W$6:$W$505,BE$3,実績!$AI$6:$AI$505,"&lt;="&amp;$A280,実績!$AJ$6:$AJ$505,"&gt;"&amp;$A280,実績!$AL$6:$AL$505,"○")&gt;0,1,0))</f>
        <v>0</v>
      </c>
      <c r="BF280" s="39" t="n">
        <f aca="false">IF(BF$4=0,0,IF(COUNTIFS(実績!$W$6:$W$505,BF$3,実績!$AI$6:$AI$505,"&lt;="&amp;$A280,実績!$AJ$6:$AJ$505,"&gt;"&amp;$A280,実績!$AL$6:$AL$505,"○")&gt;0,1,0))</f>
        <v>0</v>
      </c>
      <c r="BG280" s="39" t="n">
        <f aca="false">IF(BG$4=0,0,IF(COUNTIFS(実績!$W$6:$W$505,BG$3,実績!$AI$6:$AI$505,"&lt;="&amp;$A280,実績!$AJ$6:$AJ$505,"&gt;"&amp;$A280,実績!$AL$6:$AL$505,"○")&gt;0,1,0))</f>
        <v>0</v>
      </c>
      <c r="BH280" s="39" t="n">
        <f aca="false">IF(BH$4=0,0,IF(COUNTIFS(実績!$W$6:$W$505,BH$3,実績!$AI$6:$AI$505,"&lt;="&amp;$A280,実績!$AJ$6:$AJ$505,"&gt;"&amp;$A280,実績!$AL$6:$AL$505,"○")&gt;0,1,0))</f>
        <v>0</v>
      </c>
      <c r="BI280" s="39" t="n">
        <f aca="false">IF(BI$4=0,0,IF(COUNTIFS(実績!$W$6:$W$505,BI$3,実績!$AI$6:$AI$505,"&lt;="&amp;$A280,実績!$AJ$6:$AJ$505,"&gt;"&amp;$A280,実績!$AL$6:$AL$505,"○")&gt;0,1,0))</f>
        <v>0</v>
      </c>
      <c r="BJ280" s="39" t="n">
        <f aca="false">IF(BJ$4=0,0,IF(COUNTIFS(実績!$W$6:$W$505,BJ$3,実績!$AI$6:$AI$505,"&lt;="&amp;$A280,実績!$AJ$6:$AJ$505,"&gt;"&amp;$A280,実績!$AL$6:$AL$505,"○")&gt;0,1,0))</f>
        <v>0</v>
      </c>
      <c r="BK280" s="39" t="n">
        <f aca="false">IF(BK$4=0,0,IF(COUNTIFS(実績!$W$6:$W$505,BK$3,実績!$AI$6:$AI$505,"&lt;="&amp;$A280,実績!$AJ$6:$AJ$505,"&gt;"&amp;$A280,実績!$AL$6:$AL$505,"○")&gt;0,1,0))</f>
        <v>0</v>
      </c>
      <c r="BL280" s="39" t="n">
        <f aca="false">IF(BL$4=0,0,IF(COUNTIFS(実績!$W$6:$W$505,BL$3,実績!$AI$6:$AI$505,"&lt;="&amp;$A280,実績!$AJ$6:$AJ$505,"&gt;"&amp;$A280,実績!$AL$6:$AL$505,"○")&gt;0,1,0))</f>
        <v>0</v>
      </c>
      <c r="BM280" s="39" t="n">
        <f aca="false">IF(BM$4=0,0,IF(COUNTIFS(実績!$W$6:$W$505,BM$3,実績!$AI$6:$AI$505,"&lt;="&amp;$A280,実績!$AJ$6:$AJ$505,"&gt;"&amp;$A280,実績!$AL$6:$AL$505,"○")&gt;0,1,0))</f>
        <v>0</v>
      </c>
      <c r="BN280" s="39" t="n">
        <f aca="false">IF(BN$4=0,0,IF(COUNTIFS(実績!$W$6:$W$505,BN$3,実績!$AI$6:$AI$505,"&lt;="&amp;$A280,実績!$AJ$6:$AJ$505,"&gt;"&amp;$A280,実績!$AL$6:$AL$505,"○")&gt;0,1,0))</f>
        <v>0</v>
      </c>
      <c r="BO280" s="39" t="n">
        <f aca="false">IF(BO$4=0,0,IF(COUNTIFS(実績!$W$6:$W$505,BO$3,実績!$AI$6:$AI$505,"&lt;="&amp;$A280,実績!$AJ$6:$AJ$505,"&gt;"&amp;$A280,実績!$AL$6:$AL$505,"○")&gt;0,1,0))</f>
        <v>0</v>
      </c>
      <c r="BP280" s="39" t="n">
        <f aca="false">IF(BP$4=0,0,IF(COUNTIFS(実績!$W$6:$W$505,BP$3,実績!$AI$6:$AI$505,"&lt;="&amp;$A280,実績!$AJ$6:$AJ$505,"&gt;"&amp;$A280,実績!$AL$6:$AL$505,"○")&gt;0,1,0))</f>
        <v>0</v>
      </c>
      <c r="BQ280" s="39" t="n">
        <f aca="false">IF(BQ$4=0,0,IF(COUNTIFS(実績!$W$6:$W$505,BQ$3,実績!$AI$6:$AI$505,"&lt;="&amp;$A280,実績!$AJ$6:$AJ$505,"&gt;"&amp;$A280,実績!$AL$6:$AL$505,"○")&gt;0,1,0))</f>
        <v>0</v>
      </c>
      <c r="BR280" s="39" t="n">
        <f aca="false">IF(BR$4=0,0,IF(COUNTIFS(実績!$W$6:$W$505,BR$3,実績!$AI$6:$AI$505,"&lt;="&amp;$A280,実績!$AJ$6:$AJ$505,"&gt;"&amp;$A280,実績!$AL$6:$AL$505,"○")&gt;0,1,0))</f>
        <v>0</v>
      </c>
      <c r="BS280" s="39" t="n">
        <f aca="false">IF(BS$4=0,0,IF(COUNTIFS(実績!$W$6:$W$505,BS$3,実績!$AI$6:$AI$505,"&lt;="&amp;$A280,実績!$AJ$6:$AJ$505,"&gt;"&amp;$A280,実績!$AL$6:$AL$505,"○")&gt;0,1,0))</f>
        <v>0</v>
      </c>
      <c r="BT280" s="39" t="n">
        <f aca="false">IF(BT$4=0,0,IF(COUNTIFS(実績!$W$6:$W$505,BT$3,実績!$AI$6:$AI$505,"&lt;="&amp;$A280,実績!$AJ$6:$AJ$505,"&gt;"&amp;$A280,実績!$AL$6:$AL$505,"○")&gt;0,1,0))</f>
        <v>0</v>
      </c>
      <c r="BU280" s="39" t="n">
        <f aca="false">IF(BU$4=0,0,IF(COUNTIFS(実績!$W$6:$W$505,BU$3,実績!$AI$6:$AI$505,"&lt;="&amp;$A280,実績!$AJ$6:$AJ$505,"&gt;"&amp;$A280,実績!$AL$6:$AL$505,"○")&gt;0,1,0))</f>
        <v>0</v>
      </c>
      <c r="BV280" s="39" t="n">
        <f aca="false">IF(BV$4=0,0,IF(COUNTIFS(実績!$W$6:$W$505,BV$3,実績!$AI$6:$AI$505,"&lt;="&amp;$A280,実績!$AJ$6:$AJ$505,"&gt;"&amp;$A280,実績!$AL$6:$AL$505,"○")&gt;0,1,0))</f>
        <v>0</v>
      </c>
      <c r="BW280" s="39" t="n">
        <f aca="false">IF(BW$4=0,0,IF(COUNTIFS(実績!$W$6:$W$505,BW$3,実績!$AI$6:$AI$505,"&lt;="&amp;$A280,実績!$AJ$6:$AJ$505,"&gt;"&amp;$A280,実績!$AL$6:$AL$505,"○")&gt;0,1,0))</f>
        <v>0</v>
      </c>
      <c r="BX280" s="39" t="n">
        <f aca="false">IF(BX$4=0,0,IF(COUNTIFS(実績!$W$6:$W$505,BX$3,実績!$AI$6:$AI$505,"&lt;="&amp;$A280,実績!$AJ$6:$AJ$505,"&gt;"&amp;$A280,実績!$AL$6:$AL$505,"○")&gt;0,1,0))</f>
        <v>0</v>
      </c>
      <c r="BY280" s="39" t="n">
        <f aca="false">IF(BY$4=0,0,IF(COUNTIFS(実績!$W$6:$W$505,BY$3,実績!$AI$6:$AI$505,"&lt;="&amp;$A280,実績!$AJ$6:$AJ$505,"&gt;"&amp;$A280,実績!$AL$6:$AL$505,"○")&gt;0,1,0))</f>
        <v>0</v>
      </c>
      <c r="BZ280" s="39" t="n">
        <f aca="false">IF(BZ$4=0,0,IF(COUNTIFS(実績!$W$6:$W$505,BZ$3,実績!$AI$6:$AI$505,"&lt;="&amp;$A280,実績!$AJ$6:$AJ$505,"&gt;"&amp;$A280,実績!$AL$6:$AL$505,"○")&gt;0,1,0))</f>
        <v>0</v>
      </c>
      <c r="CA280" s="39" t="n">
        <f aca="false">IF(CA$4=0,0,IF(COUNTIFS(実績!$W$6:$W$505,CA$3,実績!$AI$6:$AI$505,"&lt;="&amp;$A280,実績!$AJ$6:$AJ$505,"&gt;"&amp;$A280,実績!$AL$6:$AL$505,"○")&gt;0,1,0))</f>
        <v>0</v>
      </c>
      <c r="CB280" s="39" t="n">
        <f aca="false">IF(CB$4=0,0,IF(COUNTIFS(実績!$W$6:$W$505,CB$3,実績!$AI$6:$AI$505,"&lt;="&amp;$A280,実績!$AJ$6:$AJ$505,"&gt;"&amp;$A280,実績!$AL$6:$AL$505,"○")&gt;0,1,0))</f>
        <v>0</v>
      </c>
      <c r="CC280" s="39" t="n">
        <f aca="false">IF(CC$4=0,0,IF(COUNTIFS(実績!$W$6:$W$505,CC$3,実績!$AI$6:$AI$505,"&lt;="&amp;$A280,実績!$AJ$6:$AJ$505,"&gt;"&amp;$A280,実績!$AL$6:$AL$505,"○")&gt;0,1,0))</f>
        <v>0</v>
      </c>
      <c r="CD280" s="39" t="n">
        <f aca="false">IF(CD$4=0,0,IF(COUNTIFS(実績!$W$6:$W$505,CD$3,実績!$AI$6:$AI$505,"&lt;="&amp;$A280,実績!$AJ$6:$AJ$505,"&gt;"&amp;$A280,実績!$AL$6:$AL$505,"○")&gt;0,1,0))</f>
        <v>0</v>
      </c>
      <c r="CE280" s="39" t="n">
        <f aca="false">IF(CE$4=0,0,IF(COUNTIFS(実績!$W$6:$W$505,CE$3,実績!$AI$6:$AI$505,"&lt;="&amp;$A280,実績!$AJ$6:$AJ$505,"&gt;"&amp;$A280,実績!$AL$6:$AL$505,"○")&gt;0,1,0))</f>
        <v>0</v>
      </c>
      <c r="CF280" s="39" t="n">
        <f aca="false">IF(CF$4=0,0,IF(COUNTIFS(実績!$W$6:$W$505,CF$3,実績!$AI$6:$AI$505,"&lt;="&amp;$A280,実績!$AJ$6:$AJ$505,"&gt;"&amp;$A280,実績!$AL$6:$AL$505,"○")&gt;0,1,0))</f>
        <v>0</v>
      </c>
      <c r="CG280" s="39" t="n">
        <f aca="false">IF(CG$4=0,0,IF(COUNTIFS(実績!$W$6:$W$505,CG$3,実績!$AI$6:$AI$505,"&lt;="&amp;$A280,実績!$AJ$6:$AJ$505,"&gt;"&amp;$A280,実績!$AL$6:$AL$505,"○")&gt;0,1,0))</f>
        <v>0</v>
      </c>
      <c r="CH280" s="39" t="n">
        <f aca="false">IF(CH$4=0,0,IF(COUNTIFS(実績!$W$6:$W$505,CH$3,実績!$AI$6:$AI$505,"&lt;="&amp;$A280,実績!$AJ$6:$AJ$505,"&gt;"&amp;$A280,実績!$AL$6:$AL$505,"○")&gt;0,1,0))</f>
        <v>0</v>
      </c>
      <c r="CI280" s="39" t="n">
        <f aca="false">IF(CI$4=0,0,IF(COUNTIFS(実績!$W$6:$W$505,CI$3,実績!$AI$6:$AI$505,"&lt;="&amp;$A280,実績!$AJ$6:$AJ$505,"&gt;"&amp;$A280,実績!$AL$6:$AL$505,"○")&gt;0,1,0))</f>
        <v>0</v>
      </c>
      <c r="CJ280" s="39" t="n">
        <f aca="false">IF(CJ$4=0,0,IF(COUNTIFS(実績!$W$6:$W$505,CJ$3,実績!$AI$6:$AI$505,"&lt;="&amp;$A280,実績!$AJ$6:$AJ$505,"&gt;"&amp;$A280,実績!$AL$6:$AL$505,"○")&gt;0,1,0))</f>
        <v>0</v>
      </c>
      <c r="CK280" s="39" t="n">
        <f aca="false">IF(CK$4=0,0,IF(COUNTIFS(実績!$W$6:$W$505,CK$3,実績!$AI$6:$AI$505,"&lt;="&amp;$A280,実績!$AJ$6:$AJ$505,"&gt;"&amp;$A280,実績!$AL$6:$AL$505,"○")&gt;0,1,0))</f>
        <v>0</v>
      </c>
      <c r="CL280" s="39" t="n">
        <f aca="false">IF(CL$4=0,0,IF(COUNTIFS(実績!$W$6:$W$505,CL$3,実績!$AI$6:$AI$505,"&lt;="&amp;$A280,実績!$AJ$6:$AJ$505,"&gt;"&amp;$A280,実績!$AL$6:$AL$505,"○")&gt;0,1,0))</f>
        <v>0</v>
      </c>
      <c r="CM280" s="39" t="n">
        <f aca="false">IF(CM$4=0,0,IF(COUNTIFS(実績!$W$6:$W$505,CM$3,実績!$AI$6:$AI$505,"&lt;="&amp;$A280,実績!$AJ$6:$AJ$505,"&gt;"&amp;$A280,実績!$AL$6:$AL$505,"○")&gt;0,1,0))</f>
        <v>0</v>
      </c>
      <c r="CN280" s="39" t="n">
        <f aca="false">IF(CN$4=0,0,IF(COUNTIFS(実績!$W$6:$W$505,CN$3,実績!$AI$6:$AI$505,"&lt;="&amp;$A280,実績!$AJ$6:$AJ$505,"&gt;"&amp;$A280,実績!$AL$6:$AL$505,"○")&gt;0,1,0))</f>
        <v>0</v>
      </c>
      <c r="CO280" s="39" t="n">
        <f aca="false">IF(CO$4=0,0,IF(COUNTIFS(実績!$W$6:$W$505,CO$3,実績!$AI$6:$AI$505,"&lt;="&amp;$A280,実績!$AJ$6:$AJ$505,"&gt;"&amp;$A280,実績!$AL$6:$AL$505,"○")&gt;0,1,0))</f>
        <v>0</v>
      </c>
      <c r="CP280" s="39" t="n">
        <f aca="false">IF(CP$4=0,0,IF(COUNTIFS(実績!$W$6:$W$505,CP$3,実績!$AI$6:$AI$505,"&lt;="&amp;$A280,実績!$AJ$6:$AJ$505,"&gt;"&amp;$A280,実績!$AL$6:$AL$505,"○")&gt;0,1,0))</f>
        <v>0</v>
      </c>
      <c r="CQ280" s="39" t="n">
        <f aca="false">IF(CQ$4=0,0,IF(COUNTIFS(実績!$W$6:$W$505,CQ$3,実績!$AI$6:$AI$505,"&lt;="&amp;$A280,実績!$AJ$6:$AJ$505,"&gt;"&amp;$A280,実績!$AL$6:$AL$505,"○")&gt;0,1,0))</f>
        <v>0</v>
      </c>
      <c r="CR280" s="39" t="n">
        <f aca="false">IF(CR$4=0,0,IF(COUNTIFS(実績!$W$6:$W$505,CR$3,実績!$AI$6:$AI$505,"&lt;="&amp;$A280,実績!$AJ$6:$AJ$505,"&gt;"&amp;$A280,実績!$AL$6:$AL$505,"○")&gt;0,1,0))</f>
        <v>0</v>
      </c>
      <c r="CS280" s="39" t="n">
        <f aca="false">IF(CS$4=0,0,IF(COUNTIFS(実績!$W$6:$W$505,CS$3,実績!$AI$6:$AI$505,"&lt;="&amp;$A280,実績!$AJ$6:$AJ$505,"&gt;"&amp;$A280,実績!$AL$6:$AL$505,"○")&gt;0,1,0))</f>
        <v>0</v>
      </c>
      <c r="CT280" s="39" t="n">
        <f aca="false">IF(CT$4=0,0,IF(COUNTIFS(実績!$W$6:$W$505,CT$3,実績!$AI$6:$AI$505,"&lt;="&amp;$A280,実績!$AJ$6:$AJ$505,"&gt;"&amp;$A280,実績!$AL$6:$AL$505,"○")&gt;0,1,0))</f>
        <v>0</v>
      </c>
      <c r="CU280" s="39" t="n">
        <f aca="false">IF(CU$4=0,0,IF(COUNTIFS(実績!$W$6:$W$505,CU$3,実績!$AI$6:$AI$505,"&lt;="&amp;$A280,実績!$AJ$6:$AJ$505,"&gt;"&amp;$A280,実績!$AL$6:$AL$505,"○")&gt;0,1,0))</f>
        <v>0</v>
      </c>
      <c r="CV280" s="39" t="n">
        <f aca="false">IF(CV$4=0,0,IF(COUNTIFS(実績!$W$6:$W$505,CV$3,実績!$AI$6:$AI$505,"&lt;="&amp;$A280,実績!$AJ$6:$AJ$505,"&gt;"&amp;$A280,実績!$AL$6:$AL$505,"○")&gt;0,1,0))</f>
        <v>0</v>
      </c>
      <c r="CW280" s="39" t="n">
        <f aca="false">IF(CW$4=0,0,IF(COUNTIFS(実績!$W$6:$W$505,CW$3,実績!$AI$6:$AI$505,"&lt;="&amp;$A280,実績!$AJ$6:$AJ$505,"&gt;"&amp;$A280,実績!$AL$6:$AL$505,"○")&gt;0,1,0))</f>
        <v>0</v>
      </c>
      <c r="CX280" s="39" t="n">
        <f aca="false">IF(CX$4=0,0,IF(COUNTIFS(実績!$W$6:$W$505,CX$3,実績!$AI$6:$AI$505,"&lt;="&amp;$A280,実績!$AJ$6:$AJ$505,"&gt;"&amp;$A280,実績!$AL$6:$AL$505,"○")&gt;0,1,0))</f>
        <v>0</v>
      </c>
      <c r="CY280" s="39" t="n">
        <f aca="false">IF(CY$4=0,0,IF(COUNTIFS(実績!$W$6:$W$505,CY$3,実績!$AI$6:$AI$505,"&lt;="&amp;$A280,実績!$AJ$6:$AJ$505,"&gt;"&amp;$A280,実績!$AL$6:$AL$505,"○")&gt;0,1,0))</f>
        <v>0</v>
      </c>
      <c r="CZ280" s="39" t="n">
        <f aca="false">IF(CZ$4=0,0,IF(COUNTIFS(実績!$W$6:$W$505,CZ$3,実績!$AI$6:$AI$505,"&lt;="&amp;$A280,実績!$AJ$6:$AJ$505,"&gt;"&amp;$A280,実績!$AL$6:$AL$505,"○")&gt;0,1,0))</f>
        <v>0</v>
      </c>
      <c r="DA280" s="39" t="n">
        <f aca="false">IF(DA$4=0,0,IF(COUNTIFS(実績!$W$6:$W$505,DA$3,実績!$AI$6:$AI$505,"&lt;="&amp;$A280,実績!$AJ$6:$AJ$505,"&gt;"&amp;$A280,実績!$AL$6:$AL$505,"○")&gt;0,1,0))</f>
        <v>0</v>
      </c>
      <c r="DB280" s="39" t="n">
        <f aca="false">IF(DB$4=0,0,IF(COUNTIFS(実績!$W$6:$W$505,DB$3,実績!$AI$6:$AI$505,"&lt;="&amp;$A280,実績!$AJ$6:$AJ$505,"&gt;"&amp;$A280,実績!$AL$6:$AL$505,"○")&gt;0,1,0))</f>
        <v>0</v>
      </c>
      <c r="DC280" s="39" t="n">
        <f aca="false">IF(DC$4=0,0,IF(COUNTIFS(実績!$W$6:$W$505,DC$3,実績!$AI$6:$AI$505,"&lt;="&amp;$A280,実績!$AJ$6:$AJ$505,"&gt;"&amp;$A280,実績!$AL$6:$AL$505,"○")&gt;0,1,0))</f>
        <v>0</v>
      </c>
      <c r="DD280" s="39" t="n">
        <f aca="false">IF(DD$4=0,0,IF(COUNTIFS(実績!$W$6:$W$505,DD$3,実績!$AI$6:$AI$505,"&lt;="&amp;$A280,実績!$AJ$6:$AJ$505,"&gt;"&amp;$A280,実績!$AL$6:$AL$505,"○")&gt;0,1,0))</f>
        <v>0</v>
      </c>
      <c r="DE280" s="39" t="n">
        <f aca="false">IF(DE$4=0,0,IF(COUNTIFS(実績!$W$6:$W$505,DE$3,実績!$AI$6:$AI$505,"&lt;="&amp;$A280,実績!$AJ$6:$AJ$505,"&gt;"&amp;$A280,実績!$AL$6:$AL$505,"○")&gt;0,1,0))</f>
        <v>0</v>
      </c>
      <c r="DF280" s="39" t="n">
        <f aca="false">IF(DF$4=0,0,IF(COUNTIFS(実績!$W$6:$W$505,DF$3,実績!$AI$6:$AI$505,"&lt;="&amp;$A280,実績!$AJ$6:$AJ$505,"&gt;"&amp;$A280,実績!$AL$6:$AL$505,"○")&gt;0,1,0))</f>
        <v>0</v>
      </c>
      <c r="DG280" s="39" t="n">
        <f aca="false">IF(DG$4=0,0,IF(COUNTIFS(実績!$W$6:$W$505,DG$3,実績!$AI$6:$AI$505,"&lt;="&amp;$A280,実績!$AJ$6:$AJ$505,"&gt;"&amp;$A280,実績!$AL$6:$AL$505,"○")&gt;0,1,0))</f>
        <v>0</v>
      </c>
      <c r="DH280" s="39" t="n">
        <f aca="false">IF(DH$4=0,0,IF(COUNTIFS(実績!$W$6:$W$505,DH$3,実績!$AI$6:$AI$505,"&lt;="&amp;$A280,実績!$AJ$6:$AJ$505,"&gt;"&amp;$A280,実績!$AL$6:$AL$505,"○")&gt;0,1,0))</f>
        <v>0</v>
      </c>
      <c r="DI280" s="39" t="n">
        <f aca="false">IF(DI$4=0,0,IF(COUNTIFS(実績!$W$6:$W$505,DI$3,実績!$AI$6:$AI$505,"&lt;="&amp;$A280,実績!$AJ$6:$AJ$505,"&gt;"&amp;$A280,実績!$AL$6:$AL$505,"○")&gt;0,1,0))</f>
        <v>0</v>
      </c>
      <c r="DJ280" s="39" t="n">
        <f aca="false">IF(DJ$4=0,0,IF(COUNTIFS(実績!$W$6:$W$505,DJ$3,実績!$AI$6:$AI$505,"&lt;="&amp;$A280,実績!$AJ$6:$AJ$505,"&gt;"&amp;$A280,実績!$AL$6:$AL$505,"○")&gt;0,1,0))</f>
        <v>0</v>
      </c>
      <c r="DK280" s="39" t="n">
        <f aca="false">IF(DK$4=0,0,IF(COUNTIFS(実績!$W$6:$W$505,DK$3,実績!$AI$6:$AI$505,"&lt;="&amp;$A280,実績!$AJ$6:$AJ$505,"&gt;"&amp;$A280,実績!$AL$6:$AL$505,"○")&gt;0,1,0))</f>
        <v>0</v>
      </c>
      <c r="DL280" s="39" t="n">
        <f aca="false">IF(DL$4=0,0,IF(COUNTIFS(実績!$W$6:$W$505,DL$3,実績!$AI$6:$AI$505,"&lt;="&amp;$A280,実績!$AJ$6:$AJ$505,"&gt;"&amp;$A280,実績!$AL$6:$AL$505,"○")&gt;0,1,0))</f>
        <v>0</v>
      </c>
      <c r="DM280" s="39" t="n">
        <f aca="false">IF(DM$4=0,0,IF(COUNTIFS(実績!$W$6:$W$505,DM$3,実績!$AI$6:$AI$505,"&lt;="&amp;$A280,実績!$AJ$6:$AJ$505,"&gt;"&amp;$A280,実績!$AL$6:$AL$505,"○")&gt;0,1,0))</f>
        <v>0</v>
      </c>
      <c r="DN280" s="39" t="n">
        <f aca="false">IF(DN$4=0,0,IF(COUNTIFS(実績!$W$6:$W$505,DN$3,実績!$AI$6:$AI$505,"&lt;="&amp;$A280,実績!$AJ$6:$AJ$505,"&gt;"&amp;$A280,実績!$AL$6:$AL$505,"○")&gt;0,1,0))</f>
        <v>0</v>
      </c>
      <c r="DO280" s="39" t="n">
        <f aca="false">IF(DO$4=0,0,IF(COUNTIFS(実績!$W$6:$W$505,DO$3,実績!$AI$6:$AI$505,"&lt;="&amp;$A280,実績!$AJ$6:$AJ$505,"&gt;"&amp;$A280,実績!$AL$6:$AL$505,"○")&gt;0,1,0))</f>
        <v>0</v>
      </c>
      <c r="DP280" s="39" t="n">
        <f aca="false">IF(DP$4=0,0,IF(COUNTIFS(実績!$W$6:$W$505,DP$3,実績!$AI$6:$AI$505,"&lt;="&amp;$A280,実績!$AJ$6:$AJ$505,"&gt;"&amp;$A280,実績!$AL$6:$AL$505,"○")&gt;0,1,0))</f>
        <v>0</v>
      </c>
      <c r="DQ280" s="39" t="n">
        <f aca="false">IF(DQ$4=0,0,IF(COUNTIFS(実績!$W$6:$W$505,DQ$3,実績!$AI$6:$AI$505,"&lt;="&amp;$A280,実績!$AJ$6:$AJ$505,"&gt;"&amp;$A280,実績!$AL$6:$AL$505,"○")&gt;0,1,0))</f>
        <v>0</v>
      </c>
      <c r="DR280" s="39" t="n">
        <f aca="false">IF(DR$4=0,0,IF(COUNTIFS(実績!$W$6:$W$505,DR$3,実績!$AI$6:$AI$505,"&lt;="&amp;$A280,実績!$AJ$6:$AJ$505,"&gt;"&amp;$A280,実績!$AL$6:$AL$505,"○")&gt;0,1,0))</f>
        <v>0</v>
      </c>
      <c r="DS280" s="39" t="n">
        <f aca="false">SUM(C280:DR280)</f>
        <v>0</v>
      </c>
    </row>
    <row r="281" customFormat="false" ht="15" hidden="false" customHeight="false" outlineLevel="0" collapsed="false">
      <c r="A281" s="0" t="n">
        <v>1375</v>
      </c>
      <c r="B281" s="38" t="n">
        <f aca="false">A281/1440</f>
        <v>0.954861111111111</v>
      </c>
      <c r="C281" s="39" t="n">
        <f aca="false">IF(C$4=0,0,IF(COUNTIFS(実績!$W$6:$W$505,C$3,実績!$AI$6:$AI$505,"&lt;="&amp;$A281,実績!$AJ$6:$AJ$505,"&gt;"&amp;$A281,実績!$AL$6:$AL$505,"○")&gt;0,1,0))</f>
        <v>0</v>
      </c>
      <c r="D281" s="39" t="n">
        <f aca="false">IF(D$4=0,0,IF(COUNTIFS(実績!$W$6:$W$505,D$3,実績!$AI$6:$AI$505,"&lt;="&amp;$A281,実績!$AJ$6:$AJ$505,"&gt;"&amp;$A281,実績!$AL$6:$AL$505,"○")&gt;0,1,0))</f>
        <v>0</v>
      </c>
      <c r="E281" s="39" t="n">
        <f aca="false">IF(E$4=0,0,IF(COUNTIFS(実績!$W$6:$W$505,E$3,実績!$AI$6:$AI$505,"&lt;="&amp;$A281,実績!$AJ$6:$AJ$505,"&gt;"&amp;$A281,実績!$AL$6:$AL$505,"○")&gt;0,1,0))</f>
        <v>0</v>
      </c>
      <c r="F281" s="39" t="n">
        <f aca="false">IF(F$4=0,0,IF(COUNTIFS(実績!$W$6:$W$505,F$3,実績!$AI$6:$AI$505,"&lt;="&amp;$A281,実績!$AJ$6:$AJ$505,"&gt;"&amp;$A281,実績!$AL$6:$AL$505,"○")&gt;0,1,0))</f>
        <v>0</v>
      </c>
      <c r="G281" s="39" t="n">
        <f aca="false">IF(G$4=0,0,IF(COUNTIFS(実績!$W$6:$W$505,G$3,実績!$AI$6:$AI$505,"&lt;="&amp;$A281,実績!$AJ$6:$AJ$505,"&gt;"&amp;$A281,実績!$AL$6:$AL$505,"○")&gt;0,1,0))</f>
        <v>0</v>
      </c>
      <c r="H281" s="39" t="n">
        <f aca="false">IF(H$4=0,0,IF(COUNTIFS(実績!$W$6:$W$505,H$3,実績!$AI$6:$AI$505,"&lt;="&amp;$A281,実績!$AJ$6:$AJ$505,"&gt;"&amp;$A281,実績!$AL$6:$AL$505,"○")&gt;0,1,0))</f>
        <v>0</v>
      </c>
      <c r="I281" s="39" t="n">
        <f aca="false">IF(I$4=0,0,IF(COUNTIFS(実績!$W$6:$W$505,I$3,実績!$AI$6:$AI$505,"&lt;="&amp;$A281,実績!$AJ$6:$AJ$505,"&gt;"&amp;$A281,実績!$AL$6:$AL$505,"○")&gt;0,1,0))</f>
        <v>0</v>
      </c>
      <c r="J281" s="39" t="n">
        <f aca="false">IF(J$4=0,0,IF(COUNTIFS(実績!$W$6:$W$505,J$3,実績!$AI$6:$AI$505,"&lt;="&amp;$A281,実績!$AJ$6:$AJ$505,"&gt;"&amp;$A281,実績!$AL$6:$AL$505,"○")&gt;0,1,0))</f>
        <v>0</v>
      </c>
      <c r="K281" s="39" t="n">
        <f aca="false">IF(K$4=0,0,IF(COUNTIFS(実績!$W$6:$W$505,K$3,実績!$AI$6:$AI$505,"&lt;="&amp;$A281,実績!$AJ$6:$AJ$505,"&gt;"&amp;$A281,実績!$AL$6:$AL$505,"○")&gt;0,1,0))</f>
        <v>0</v>
      </c>
      <c r="L281" s="39" t="n">
        <f aca="false">IF(L$4=0,0,IF(COUNTIFS(実績!$W$6:$W$505,L$3,実績!$AI$6:$AI$505,"&lt;="&amp;$A281,実績!$AJ$6:$AJ$505,"&gt;"&amp;$A281,実績!$AL$6:$AL$505,"○")&gt;0,1,0))</f>
        <v>0</v>
      </c>
      <c r="M281" s="39" t="n">
        <f aca="false">IF(M$4=0,0,IF(COUNTIFS(実績!$W$6:$W$505,M$3,実績!$AI$6:$AI$505,"&lt;="&amp;$A281,実績!$AJ$6:$AJ$505,"&gt;"&amp;$A281,実績!$AL$6:$AL$505,"○")&gt;0,1,0))</f>
        <v>0</v>
      </c>
      <c r="N281" s="39" t="n">
        <f aca="false">IF(N$4=0,0,IF(COUNTIFS(実績!$W$6:$W$505,N$3,実績!$AI$6:$AI$505,"&lt;="&amp;$A281,実績!$AJ$6:$AJ$505,"&gt;"&amp;$A281,実績!$AL$6:$AL$505,"○")&gt;0,1,0))</f>
        <v>0</v>
      </c>
      <c r="O281" s="39" t="n">
        <f aca="false">IF(O$4=0,0,IF(COUNTIFS(実績!$W$6:$W$505,O$3,実績!$AI$6:$AI$505,"&lt;="&amp;$A281,実績!$AJ$6:$AJ$505,"&gt;"&amp;$A281,実績!$AL$6:$AL$505,"○")&gt;0,1,0))</f>
        <v>0</v>
      </c>
      <c r="P281" s="39" t="n">
        <f aca="false">IF(P$4=0,0,IF(COUNTIFS(実績!$W$6:$W$505,P$3,実績!$AI$6:$AI$505,"&lt;="&amp;$A281,実績!$AJ$6:$AJ$505,"&gt;"&amp;$A281,実績!$AL$6:$AL$505,"○")&gt;0,1,0))</f>
        <v>0</v>
      </c>
      <c r="Q281" s="39" t="n">
        <f aca="false">IF(Q$4=0,0,IF(COUNTIFS(実績!$W$6:$W$505,Q$3,実績!$AI$6:$AI$505,"&lt;="&amp;$A281,実績!$AJ$6:$AJ$505,"&gt;"&amp;$A281,実績!$AL$6:$AL$505,"○")&gt;0,1,0))</f>
        <v>0</v>
      </c>
      <c r="R281" s="39" t="n">
        <f aca="false">IF(R$4=0,0,IF(COUNTIFS(実績!$W$6:$W$505,R$3,実績!$AI$6:$AI$505,"&lt;="&amp;$A281,実績!$AJ$6:$AJ$505,"&gt;"&amp;$A281,実績!$AL$6:$AL$505,"○")&gt;0,1,0))</f>
        <v>0</v>
      </c>
      <c r="S281" s="39" t="n">
        <f aca="false">IF(S$4=0,0,IF(COUNTIFS(実績!$W$6:$W$505,S$3,実績!$AI$6:$AI$505,"&lt;="&amp;$A281,実績!$AJ$6:$AJ$505,"&gt;"&amp;$A281,実績!$AL$6:$AL$505,"○")&gt;0,1,0))</f>
        <v>0</v>
      </c>
      <c r="T281" s="39" t="n">
        <f aca="false">IF(T$4=0,0,IF(COUNTIFS(実績!$W$6:$W$505,T$3,実績!$AI$6:$AI$505,"&lt;="&amp;$A281,実績!$AJ$6:$AJ$505,"&gt;"&amp;$A281,実績!$AL$6:$AL$505,"○")&gt;0,1,0))</f>
        <v>0</v>
      </c>
      <c r="U281" s="39" t="n">
        <f aca="false">IF(U$4=0,0,IF(COUNTIFS(実績!$W$6:$W$505,U$3,実績!$AI$6:$AI$505,"&lt;="&amp;$A281,実績!$AJ$6:$AJ$505,"&gt;"&amp;$A281,実績!$AL$6:$AL$505,"○")&gt;0,1,0))</f>
        <v>0</v>
      </c>
      <c r="V281" s="39" t="n">
        <f aca="false">IF(V$4=0,0,IF(COUNTIFS(実績!$W$6:$W$505,V$3,実績!$AI$6:$AI$505,"&lt;="&amp;$A281,実績!$AJ$6:$AJ$505,"&gt;"&amp;$A281,実績!$AL$6:$AL$505,"○")&gt;0,1,0))</f>
        <v>0</v>
      </c>
      <c r="W281" s="39" t="n">
        <f aca="false">IF(W$4=0,0,IF(COUNTIFS(実績!$W$6:$W$505,W$3,実績!$AI$6:$AI$505,"&lt;="&amp;$A281,実績!$AJ$6:$AJ$505,"&gt;"&amp;$A281,実績!$AL$6:$AL$505,"○")&gt;0,1,0))</f>
        <v>0</v>
      </c>
      <c r="X281" s="39" t="n">
        <f aca="false">IF(X$4=0,0,IF(COUNTIFS(実績!$W$6:$W$505,X$3,実績!$AI$6:$AI$505,"&lt;="&amp;$A281,実績!$AJ$6:$AJ$505,"&gt;"&amp;$A281,実績!$AL$6:$AL$505,"○")&gt;0,1,0))</f>
        <v>0</v>
      </c>
      <c r="Y281" s="39" t="n">
        <f aca="false">IF(Y$4=0,0,IF(COUNTIFS(実績!$W$6:$W$505,Y$3,実績!$AI$6:$AI$505,"&lt;="&amp;$A281,実績!$AJ$6:$AJ$505,"&gt;"&amp;$A281,実績!$AL$6:$AL$505,"○")&gt;0,1,0))</f>
        <v>0</v>
      </c>
      <c r="Z281" s="39" t="n">
        <f aca="false">IF(Z$4=0,0,IF(COUNTIFS(実績!$W$6:$W$505,Z$3,実績!$AI$6:$AI$505,"&lt;="&amp;$A281,実績!$AJ$6:$AJ$505,"&gt;"&amp;$A281,実績!$AL$6:$AL$505,"○")&gt;0,1,0))</f>
        <v>0</v>
      </c>
      <c r="AA281" s="39" t="n">
        <f aca="false">IF(AA$4=0,0,IF(COUNTIFS(実績!$W$6:$W$505,AA$3,実績!$AI$6:$AI$505,"&lt;="&amp;$A281,実績!$AJ$6:$AJ$505,"&gt;"&amp;$A281,実績!$AL$6:$AL$505,"○")&gt;0,1,0))</f>
        <v>0</v>
      </c>
      <c r="AB281" s="39" t="n">
        <f aca="false">IF(AB$4=0,0,IF(COUNTIFS(実績!$W$6:$W$505,AB$3,実績!$AI$6:$AI$505,"&lt;="&amp;$A281,実績!$AJ$6:$AJ$505,"&gt;"&amp;$A281,実績!$AL$6:$AL$505,"○")&gt;0,1,0))</f>
        <v>0</v>
      </c>
      <c r="AC281" s="39" t="n">
        <f aca="false">IF(AC$4=0,0,IF(COUNTIFS(実績!$W$6:$W$505,AC$3,実績!$AI$6:$AI$505,"&lt;="&amp;$A281,実績!$AJ$6:$AJ$505,"&gt;"&amp;$A281,実績!$AL$6:$AL$505,"○")&gt;0,1,0))</f>
        <v>0</v>
      </c>
      <c r="AD281" s="39" t="n">
        <f aca="false">IF(AD$4=0,0,IF(COUNTIFS(実績!$W$6:$W$505,AD$3,実績!$AI$6:$AI$505,"&lt;="&amp;$A281,実績!$AJ$6:$AJ$505,"&gt;"&amp;$A281,実績!$AL$6:$AL$505,"○")&gt;0,1,0))</f>
        <v>0</v>
      </c>
      <c r="AE281" s="39" t="n">
        <f aca="false">IF(AE$4=0,0,IF(COUNTIFS(実績!$W$6:$W$505,AE$3,実績!$AI$6:$AI$505,"&lt;="&amp;$A281,実績!$AJ$6:$AJ$505,"&gt;"&amp;$A281,実績!$AL$6:$AL$505,"○")&gt;0,1,0))</f>
        <v>0</v>
      </c>
      <c r="AF281" s="39" t="n">
        <f aca="false">IF(AF$4=0,0,IF(COUNTIFS(実績!$W$6:$W$505,AF$3,実績!$AI$6:$AI$505,"&lt;="&amp;$A281,実績!$AJ$6:$AJ$505,"&gt;"&amp;$A281,実績!$AL$6:$AL$505,"○")&gt;0,1,0))</f>
        <v>0</v>
      </c>
      <c r="AG281" s="39" t="n">
        <f aca="false">IF(AG$4=0,0,IF(COUNTIFS(実績!$W$6:$W$505,AG$3,実績!$AI$6:$AI$505,"&lt;="&amp;$A281,実績!$AJ$6:$AJ$505,"&gt;"&amp;$A281,実績!$AL$6:$AL$505,"○")&gt;0,1,0))</f>
        <v>0</v>
      </c>
      <c r="AH281" s="39" t="n">
        <f aca="false">IF(AH$4=0,0,IF(COUNTIFS(実績!$W$6:$W$505,AH$3,実績!$AI$6:$AI$505,"&lt;="&amp;$A281,実績!$AJ$6:$AJ$505,"&gt;"&amp;$A281,実績!$AL$6:$AL$505,"○")&gt;0,1,0))</f>
        <v>0</v>
      </c>
      <c r="AI281" s="39" t="n">
        <f aca="false">IF(AI$4=0,0,IF(COUNTIFS(実績!$W$6:$W$505,AI$3,実績!$AI$6:$AI$505,"&lt;="&amp;$A281,実績!$AJ$6:$AJ$505,"&gt;"&amp;$A281,実績!$AL$6:$AL$505,"○")&gt;0,1,0))</f>
        <v>0</v>
      </c>
      <c r="AJ281" s="39" t="n">
        <f aca="false">IF(AJ$4=0,0,IF(COUNTIFS(実績!$W$6:$W$505,AJ$3,実績!$AI$6:$AI$505,"&lt;="&amp;$A281,実績!$AJ$6:$AJ$505,"&gt;"&amp;$A281,実績!$AL$6:$AL$505,"○")&gt;0,1,0))</f>
        <v>0</v>
      </c>
      <c r="AK281" s="39" t="n">
        <f aca="false">IF(AK$4=0,0,IF(COUNTIFS(実績!$W$6:$W$505,AK$3,実績!$AI$6:$AI$505,"&lt;="&amp;$A281,実績!$AJ$6:$AJ$505,"&gt;"&amp;$A281,実績!$AL$6:$AL$505,"○")&gt;0,1,0))</f>
        <v>0</v>
      </c>
      <c r="AL281" s="39" t="n">
        <f aca="false">IF(AL$4=0,0,IF(COUNTIFS(実績!$W$6:$W$505,AL$3,実績!$AI$6:$AI$505,"&lt;="&amp;$A281,実績!$AJ$6:$AJ$505,"&gt;"&amp;$A281,実績!$AL$6:$AL$505,"○")&gt;0,1,0))</f>
        <v>0</v>
      </c>
      <c r="AM281" s="39" t="n">
        <f aca="false">IF(AM$4=0,0,IF(COUNTIFS(実績!$W$6:$W$505,AM$3,実績!$AI$6:$AI$505,"&lt;="&amp;$A281,実績!$AJ$6:$AJ$505,"&gt;"&amp;$A281,実績!$AL$6:$AL$505,"○")&gt;0,1,0))</f>
        <v>0</v>
      </c>
      <c r="AN281" s="39" t="n">
        <f aca="false">IF(AN$4=0,0,IF(COUNTIFS(実績!$W$6:$W$505,AN$3,実績!$AI$6:$AI$505,"&lt;="&amp;$A281,実績!$AJ$6:$AJ$505,"&gt;"&amp;$A281,実績!$AL$6:$AL$505,"○")&gt;0,1,0))</f>
        <v>0</v>
      </c>
      <c r="AO281" s="39" t="n">
        <f aca="false">IF(AO$4=0,0,IF(COUNTIFS(実績!$W$6:$W$505,AO$3,実績!$AI$6:$AI$505,"&lt;="&amp;$A281,実績!$AJ$6:$AJ$505,"&gt;"&amp;$A281,実績!$AL$6:$AL$505,"○")&gt;0,1,0))</f>
        <v>0</v>
      </c>
      <c r="AP281" s="39" t="n">
        <f aca="false">IF(AP$4=0,0,IF(COUNTIFS(実績!$W$6:$W$505,AP$3,実績!$AI$6:$AI$505,"&lt;="&amp;$A281,実績!$AJ$6:$AJ$505,"&gt;"&amp;$A281,実績!$AL$6:$AL$505,"○")&gt;0,1,0))</f>
        <v>0</v>
      </c>
      <c r="AQ281" s="39" t="n">
        <f aca="false">IF(AQ$4=0,0,IF(COUNTIFS(実績!$W$6:$W$505,AQ$3,実績!$AI$6:$AI$505,"&lt;="&amp;$A281,実績!$AJ$6:$AJ$505,"&gt;"&amp;$A281,実績!$AL$6:$AL$505,"○")&gt;0,1,0))</f>
        <v>0</v>
      </c>
      <c r="AR281" s="39" t="n">
        <f aca="false">IF(AR$4=0,0,IF(COUNTIFS(実績!$W$6:$W$505,AR$3,実績!$AI$6:$AI$505,"&lt;="&amp;$A281,実績!$AJ$6:$AJ$505,"&gt;"&amp;$A281,実績!$AL$6:$AL$505,"○")&gt;0,1,0))</f>
        <v>0</v>
      </c>
      <c r="AS281" s="39" t="n">
        <f aca="false">IF(AS$4=0,0,IF(COUNTIFS(実績!$W$6:$W$505,AS$3,実績!$AI$6:$AI$505,"&lt;="&amp;$A281,実績!$AJ$6:$AJ$505,"&gt;"&amp;$A281,実績!$AL$6:$AL$505,"○")&gt;0,1,0))</f>
        <v>0</v>
      </c>
      <c r="AT281" s="39" t="n">
        <f aca="false">IF(AT$4=0,0,IF(COUNTIFS(実績!$W$6:$W$505,AT$3,実績!$AI$6:$AI$505,"&lt;="&amp;$A281,実績!$AJ$6:$AJ$505,"&gt;"&amp;$A281,実績!$AL$6:$AL$505,"○")&gt;0,1,0))</f>
        <v>0</v>
      </c>
      <c r="AU281" s="39" t="n">
        <f aca="false">IF(AU$4=0,0,IF(COUNTIFS(実績!$W$6:$W$505,AU$3,実績!$AI$6:$AI$505,"&lt;="&amp;$A281,実績!$AJ$6:$AJ$505,"&gt;"&amp;$A281,実績!$AL$6:$AL$505,"○")&gt;0,1,0))</f>
        <v>0</v>
      </c>
      <c r="AV281" s="39" t="n">
        <f aca="false">IF(AV$4=0,0,IF(COUNTIFS(実績!$W$6:$W$505,AV$3,実績!$AI$6:$AI$505,"&lt;="&amp;$A281,実績!$AJ$6:$AJ$505,"&gt;"&amp;$A281,実績!$AL$6:$AL$505,"○")&gt;0,1,0))</f>
        <v>0</v>
      </c>
      <c r="AW281" s="39" t="n">
        <f aca="false">IF(AW$4=0,0,IF(COUNTIFS(実績!$W$6:$W$505,AW$3,実績!$AI$6:$AI$505,"&lt;="&amp;$A281,実績!$AJ$6:$AJ$505,"&gt;"&amp;$A281,実績!$AL$6:$AL$505,"○")&gt;0,1,0))</f>
        <v>0</v>
      </c>
      <c r="AX281" s="39" t="n">
        <f aca="false">IF(AX$4=0,0,IF(COUNTIFS(実績!$W$6:$W$505,AX$3,実績!$AI$6:$AI$505,"&lt;="&amp;$A281,実績!$AJ$6:$AJ$505,"&gt;"&amp;$A281,実績!$AL$6:$AL$505,"○")&gt;0,1,0))</f>
        <v>0</v>
      </c>
      <c r="AY281" s="39" t="n">
        <f aca="false">IF(AY$4=0,0,IF(COUNTIFS(実績!$W$6:$W$505,AY$3,実績!$AI$6:$AI$505,"&lt;="&amp;$A281,実績!$AJ$6:$AJ$505,"&gt;"&amp;$A281,実績!$AL$6:$AL$505,"○")&gt;0,1,0))</f>
        <v>0</v>
      </c>
      <c r="AZ281" s="39" t="n">
        <f aca="false">IF(AZ$4=0,0,IF(COUNTIFS(実績!$W$6:$W$505,AZ$3,実績!$AI$6:$AI$505,"&lt;="&amp;$A281,実績!$AJ$6:$AJ$505,"&gt;"&amp;$A281,実績!$AL$6:$AL$505,"○")&gt;0,1,0))</f>
        <v>0</v>
      </c>
      <c r="BA281" s="39" t="n">
        <f aca="false">IF(BA$4=0,0,IF(COUNTIFS(実績!$W$6:$W$505,BA$3,実績!$AI$6:$AI$505,"&lt;="&amp;$A281,実績!$AJ$6:$AJ$505,"&gt;"&amp;$A281,実績!$AL$6:$AL$505,"○")&gt;0,1,0))</f>
        <v>0</v>
      </c>
      <c r="BB281" s="39" t="n">
        <f aca="false">IF(BB$4=0,0,IF(COUNTIFS(実績!$W$6:$W$505,BB$3,実績!$AI$6:$AI$505,"&lt;="&amp;$A281,実績!$AJ$6:$AJ$505,"&gt;"&amp;$A281,実績!$AL$6:$AL$505,"○")&gt;0,1,0))</f>
        <v>0</v>
      </c>
      <c r="BC281" s="39" t="n">
        <f aca="false">IF(BC$4=0,0,IF(COUNTIFS(実績!$W$6:$W$505,BC$3,実績!$AI$6:$AI$505,"&lt;="&amp;$A281,実績!$AJ$6:$AJ$505,"&gt;"&amp;$A281,実績!$AL$6:$AL$505,"○")&gt;0,1,0))</f>
        <v>0</v>
      </c>
      <c r="BD281" s="39" t="n">
        <f aca="false">IF(BD$4=0,0,IF(COUNTIFS(実績!$W$6:$W$505,BD$3,実績!$AI$6:$AI$505,"&lt;="&amp;$A281,実績!$AJ$6:$AJ$505,"&gt;"&amp;$A281,実績!$AL$6:$AL$505,"○")&gt;0,1,0))</f>
        <v>0</v>
      </c>
      <c r="BE281" s="39" t="n">
        <f aca="false">IF(BE$4=0,0,IF(COUNTIFS(実績!$W$6:$W$505,BE$3,実績!$AI$6:$AI$505,"&lt;="&amp;$A281,実績!$AJ$6:$AJ$505,"&gt;"&amp;$A281,実績!$AL$6:$AL$505,"○")&gt;0,1,0))</f>
        <v>0</v>
      </c>
      <c r="BF281" s="39" t="n">
        <f aca="false">IF(BF$4=0,0,IF(COUNTIFS(実績!$W$6:$W$505,BF$3,実績!$AI$6:$AI$505,"&lt;="&amp;$A281,実績!$AJ$6:$AJ$505,"&gt;"&amp;$A281,実績!$AL$6:$AL$505,"○")&gt;0,1,0))</f>
        <v>0</v>
      </c>
      <c r="BG281" s="39" t="n">
        <f aca="false">IF(BG$4=0,0,IF(COUNTIFS(実績!$W$6:$W$505,BG$3,実績!$AI$6:$AI$505,"&lt;="&amp;$A281,実績!$AJ$6:$AJ$505,"&gt;"&amp;$A281,実績!$AL$6:$AL$505,"○")&gt;0,1,0))</f>
        <v>0</v>
      </c>
      <c r="BH281" s="39" t="n">
        <f aca="false">IF(BH$4=0,0,IF(COUNTIFS(実績!$W$6:$W$505,BH$3,実績!$AI$6:$AI$505,"&lt;="&amp;$A281,実績!$AJ$6:$AJ$505,"&gt;"&amp;$A281,実績!$AL$6:$AL$505,"○")&gt;0,1,0))</f>
        <v>0</v>
      </c>
      <c r="BI281" s="39" t="n">
        <f aca="false">IF(BI$4=0,0,IF(COUNTIFS(実績!$W$6:$W$505,BI$3,実績!$AI$6:$AI$505,"&lt;="&amp;$A281,実績!$AJ$6:$AJ$505,"&gt;"&amp;$A281,実績!$AL$6:$AL$505,"○")&gt;0,1,0))</f>
        <v>0</v>
      </c>
      <c r="BJ281" s="39" t="n">
        <f aca="false">IF(BJ$4=0,0,IF(COUNTIFS(実績!$W$6:$W$505,BJ$3,実績!$AI$6:$AI$505,"&lt;="&amp;$A281,実績!$AJ$6:$AJ$505,"&gt;"&amp;$A281,実績!$AL$6:$AL$505,"○")&gt;0,1,0))</f>
        <v>0</v>
      </c>
      <c r="BK281" s="39" t="n">
        <f aca="false">IF(BK$4=0,0,IF(COUNTIFS(実績!$W$6:$W$505,BK$3,実績!$AI$6:$AI$505,"&lt;="&amp;$A281,実績!$AJ$6:$AJ$505,"&gt;"&amp;$A281,実績!$AL$6:$AL$505,"○")&gt;0,1,0))</f>
        <v>0</v>
      </c>
      <c r="BL281" s="39" t="n">
        <f aca="false">IF(BL$4=0,0,IF(COUNTIFS(実績!$W$6:$W$505,BL$3,実績!$AI$6:$AI$505,"&lt;="&amp;$A281,実績!$AJ$6:$AJ$505,"&gt;"&amp;$A281,実績!$AL$6:$AL$505,"○")&gt;0,1,0))</f>
        <v>0</v>
      </c>
      <c r="BM281" s="39" t="n">
        <f aca="false">IF(BM$4=0,0,IF(COUNTIFS(実績!$W$6:$W$505,BM$3,実績!$AI$6:$AI$505,"&lt;="&amp;$A281,実績!$AJ$6:$AJ$505,"&gt;"&amp;$A281,実績!$AL$6:$AL$505,"○")&gt;0,1,0))</f>
        <v>0</v>
      </c>
      <c r="BN281" s="39" t="n">
        <f aca="false">IF(BN$4=0,0,IF(COUNTIFS(実績!$W$6:$W$505,BN$3,実績!$AI$6:$AI$505,"&lt;="&amp;$A281,実績!$AJ$6:$AJ$505,"&gt;"&amp;$A281,実績!$AL$6:$AL$505,"○")&gt;0,1,0))</f>
        <v>0</v>
      </c>
      <c r="BO281" s="39" t="n">
        <f aca="false">IF(BO$4=0,0,IF(COUNTIFS(実績!$W$6:$W$505,BO$3,実績!$AI$6:$AI$505,"&lt;="&amp;$A281,実績!$AJ$6:$AJ$505,"&gt;"&amp;$A281,実績!$AL$6:$AL$505,"○")&gt;0,1,0))</f>
        <v>0</v>
      </c>
      <c r="BP281" s="39" t="n">
        <f aca="false">IF(BP$4=0,0,IF(COUNTIFS(実績!$W$6:$W$505,BP$3,実績!$AI$6:$AI$505,"&lt;="&amp;$A281,実績!$AJ$6:$AJ$505,"&gt;"&amp;$A281,実績!$AL$6:$AL$505,"○")&gt;0,1,0))</f>
        <v>0</v>
      </c>
      <c r="BQ281" s="39" t="n">
        <f aca="false">IF(BQ$4=0,0,IF(COUNTIFS(実績!$W$6:$W$505,BQ$3,実績!$AI$6:$AI$505,"&lt;="&amp;$A281,実績!$AJ$6:$AJ$505,"&gt;"&amp;$A281,実績!$AL$6:$AL$505,"○")&gt;0,1,0))</f>
        <v>0</v>
      </c>
      <c r="BR281" s="39" t="n">
        <f aca="false">IF(BR$4=0,0,IF(COUNTIFS(実績!$W$6:$W$505,BR$3,実績!$AI$6:$AI$505,"&lt;="&amp;$A281,実績!$AJ$6:$AJ$505,"&gt;"&amp;$A281,実績!$AL$6:$AL$505,"○")&gt;0,1,0))</f>
        <v>0</v>
      </c>
      <c r="BS281" s="39" t="n">
        <f aca="false">IF(BS$4=0,0,IF(COUNTIFS(実績!$W$6:$W$505,BS$3,実績!$AI$6:$AI$505,"&lt;="&amp;$A281,実績!$AJ$6:$AJ$505,"&gt;"&amp;$A281,実績!$AL$6:$AL$505,"○")&gt;0,1,0))</f>
        <v>0</v>
      </c>
      <c r="BT281" s="39" t="n">
        <f aca="false">IF(BT$4=0,0,IF(COUNTIFS(実績!$W$6:$W$505,BT$3,実績!$AI$6:$AI$505,"&lt;="&amp;$A281,実績!$AJ$6:$AJ$505,"&gt;"&amp;$A281,実績!$AL$6:$AL$505,"○")&gt;0,1,0))</f>
        <v>0</v>
      </c>
      <c r="BU281" s="39" t="n">
        <f aca="false">IF(BU$4=0,0,IF(COUNTIFS(実績!$W$6:$W$505,BU$3,実績!$AI$6:$AI$505,"&lt;="&amp;$A281,実績!$AJ$6:$AJ$505,"&gt;"&amp;$A281,実績!$AL$6:$AL$505,"○")&gt;0,1,0))</f>
        <v>0</v>
      </c>
      <c r="BV281" s="39" t="n">
        <f aca="false">IF(BV$4=0,0,IF(COUNTIFS(実績!$W$6:$W$505,BV$3,実績!$AI$6:$AI$505,"&lt;="&amp;$A281,実績!$AJ$6:$AJ$505,"&gt;"&amp;$A281,実績!$AL$6:$AL$505,"○")&gt;0,1,0))</f>
        <v>0</v>
      </c>
      <c r="BW281" s="39" t="n">
        <f aca="false">IF(BW$4=0,0,IF(COUNTIFS(実績!$W$6:$W$505,BW$3,実績!$AI$6:$AI$505,"&lt;="&amp;$A281,実績!$AJ$6:$AJ$505,"&gt;"&amp;$A281,実績!$AL$6:$AL$505,"○")&gt;0,1,0))</f>
        <v>0</v>
      </c>
      <c r="BX281" s="39" t="n">
        <f aca="false">IF(BX$4=0,0,IF(COUNTIFS(実績!$W$6:$W$505,BX$3,実績!$AI$6:$AI$505,"&lt;="&amp;$A281,実績!$AJ$6:$AJ$505,"&gt;"&amp;$A281,実績!$AL$6:$AL$505,"○")&gt;0,1,0))</f>
        <v>0</v>
      </c>
      <c r="BY281" s="39" t="n">
        <f aca="false">IF(BY$4=0,0,IF(COUNTIFS(実績!$W$6:$W$505,BY$3,実績!$AI$6:$AI$505,"&lt;="&amp;$A281,実績!$AJ$6:$AJ$505,"&gt;"&amp;$A281,実績!$AL$6:$AL$505,"○")&gt;0,1,0))</f>
        <v>0</v>
      </c>
      <c r="BZ281" s="39" t="n">
        <f aca="false">IF(BZ$4=0,0,IF(COUNTIFS(実績!$W$6:$W$505,BZ$3,実績!$AI$6:$AI$505,"&lt;="&amp;$A281,実績!$AJ$6:$AJ$505,"&gt;"&amp;$A281,実績!$AL$6:$AL$505,"○")&gt;0,1,0))</f>
        <v>0</v>
      </c>
      <c r="CA281" s="39" t="n">
        <f aca="false">IF(CA$4=0,0,IF(COUNTIFS(実績!$W$6:$W$505,CA$3,実績!$AI$6:$AI$505,"&lt;="&amp;$A281,実績!$AJ$6:$AJ$505,"&gt;"&amp;$A281,実績!$AL$6:$AL$505,"○")&gt;0,1,0))</f>
        <v>0</v>
      </c>
      <c r="CB281" s="39" t="n">
        <f aca="false">IF(CB$4=0,0,IF(COUNTIFS(実績!$W$6:$W$505,CB$3,実績!$AI$6:$AI$505,"&lt;="&amp;$A281,実績!$AJ$6:$AJ$505,"&gt;"&amp;$A281,実績!$AL$6:$AL$505,"○")&gt;0,1,0))</f>
        <v>0</v>
      </c>
      <c r="CC281" s="39" t="n">
        <f aca="false">IF(CC$4=0,0,IF(COUNTIFS(実績!$W$6:$W$505,CC$3,実績!$AI$6:$AI$505,"&lt;="&amp;$A281,実績!$AJ$6:$AJ$505,"&gt;"&amp;$A281,実績!$AL$6:$AL$505,"○")&gt;0,1,0))</f>
        <v>0</v>
      </c>
      <c r="CD281" s="39" t="n">
        <f aca="false">IF(CD$4=0,0,IF(COUNTIFS(実績!$W$6:$W$505,CD$3,実績!$AI$6:$AI$505,"&lt;="&amp;$A281,実績!$AJ$6:$AJ$505,"&gt;"&amp;$A281,実績!$AL$6:$AL$505,"○")&gt;0,1,0))</f>
        <v>0</v>
      </c>
      <c r="CE281" s="39" t="n">
        <f aca="false">IF(CE$4=0,0,IF(COUNTIFS(実績!$W$6:$W$505,CE$3,実績!$AI$6:$AI$505,"&lt;="&amp;$A281,実績!$AJ$6:$AJ$505,"&gt;"&amp;$A281,実績!$AL$6:$AL$505,"○")&gt;0,1,0))</f>
        <v>0</v>
      </c>
      <c r="CF281" s="39" t="n">
        <f aca="false">IF(CF$4=0,0,IF(COUNTIFS(実績!$W$6:$W$505,CF$3,実績!$AI$6:$AI$505,"&lt;="&amp;$A281,実績!$AJ$6:$AJ$505,"&gt;"&amp;$A281,実績!$AL$6:$AL$505,"○")&gt;0,1,0))</f>
        <v>0</v>
      </c>
      <c r="CG281" s="39" t="n">
        <f aca="false">IF(CG$4=0,0,IF(COUNTIFS(実績!$W$6:$W$505,CG$3,実績!$AI$6:$AI$505,"&lt;="&amp;$A281,実績!$AJ$6:$AJ$505,"&gt;"&amp;$A281,実績!$AL$6:$AL$505,"○")&gt;0,1,0))</f>
        <v>0</v>
      </c>
      <c r="CH281" s="39" t="n">
        <f aca="false">IF(CH$4=0,0,IF(COUNTIFS(実績!$W$6:$W$505,CH$3,実績!$AI$6:$AI$505,"&lt;="&amp;$A281,実績!$AJ$6:$AJ$505,"&gt;"&amp;$A281,実績!$AL$6:$AL$505,"○")&gt;0,1,0))</f>
        <v>0</v>
      </c>
      <c r="CI281" s="39" t="n">
        <f aca="false">IF(CI$4=0,0,IF(COUNTIFS(実績!$W$6:$W$505,CI$3,実績!$AI$6:$AI$505,"&lt;="&amp;$A281,実績!$AJ$6:$AJ$505,"&gt;"&amp;$A281,実績!$AL$6:$AL$505,"○")&gt;0,1,0))</f>
        <v>0</v>
      </c>
      <c r="CJ281" s="39" t="n">
        <f aca="false">IF(CJ$4=0,0,IF(COUNTIFS(実績!$W$6:$W$505,CJ$3,実績!$AI$6:$AI$505,"&lt;="&amp;$A281,実績!$AJ$6:$AJ$505,"&gt;"&amp;$A281,実績!$AL$6:$AL$505,"○")&gt;0,1,0))</f>
        <v>0</v>
      </c>
      <c r="CK281" s="39" t="n">
        <f aca="false">IF(CK$4=0,0,IF(COUNTIFS(実績!$W$6:$W$505,CK$3,実績!$AI$6:$AI$505,"&lt;="&amp;$A281,実績!$AJ$6:$AJ$505,"&gt;"&amp;$A281,実績!$AL$6:$AL$505,"○")&gt;0,1,0))</f>
        <v>0</v>
      </c>
      <c r="CL281" s="39" t="n">
        <f aca="false">IF(CL$4=0,0,IF(COUNTIFS(実績!$W$6:$W$505,CL$3,実績!$AI$6:$AI$505,"&lt;="&amp;$A281,実績!$AJ$6:$AJ$505,"&gt;"&amp;$A281,実績!$AL$6:$AL$505,"○")&gt;0,1,0))</f>
        <v>0</v>
      </c>
      <c r="CM281" s="39" t="n">
        <f aca="false">IF(CM$4=0,0,IF(COUNTIFS(実績!$W$6:$W$505,CM$3,実績!$AI$6:$AI$505,"&lt;="&amp;$A281,実績!$AJ$6:$AJ$505,"&gt;"&amp;$A281,実績!$AL$6:$AL$505,"○")&gt;0,1,0))</f>
        <v>0</v>
      </c>
      <c r="CN281" s="39" t="n">
        <f aca="false">IF(CN$4=0,0,IF(COUNTIFS(実績!$W$6:$W$505,CN$3,実績!$AI$6:$AI$505,"&lt;="&amp;$A281,実績!$AJ$6:$AJ$505,"&gt;"&amp;$A281,実績!$AL$6:$AL$505,"○")&gt;0,1,0))</f>
        <v>0</v>
      </c>
      <c r="CO281" s="39" t="n">
        <f aca="false">IF(CO$4=0,0,IF(COUNTIFS(実績!$W$6:$W$505,CO$3,実績!$AI$6:$AI$505,"&lt;="&amp;$A281,実績!$AJ$6:$AJ$505,"&gt;"&amp;$A281,実績!$AL$6:$AL$505,"○")&gt;0,1,0))</f>
        <v>0</v>
      </c>
      <c r="CP281" s="39" t="n">
        <f aca="false">IF(CP$4=0,0,IF(COUNTIFS(実績!$W$6:$W$505,CP$3,実績!$AI$6:$AI$505,"&lt;="&amp;$A281,実績!$AJ$6:$AJ$505,"&gt;"&amp;$A281,実績!$AL$6:$AL$505,"○")&gt;0,1,0))</f>
        <v>0</v>
      </c>
      <c r="CQ281" s="39" t="n">
        <f aca="false">IF(CQ$4=0,0,IF(COUNTIFS(実績!$W$6:$W$505,CQ$3,実績!$AI$6:$AI$505,"&lt;="&amp;$A281,実績!$AJ$6:$AJ$505,"&gt;"&amp;$A281,実績!$AL$6:$AL$505,"○")&gt;0,1,0))</f>
        <v>0</v>
      </c>
      <c r="CR281" s="39" t="n">
        <f aca="false">IF(CR$4=0,0,IF(COUNTIFS(実績!$W$6:$W$505,CR$3,実績!$AI$6:$AI$505,"&lt;="&amp;$A281,実績!$AJ$6:$AJ$505,"&gt;"&amp;$A281,実績!$AL$6:$AL$505,"○")&gt;0,1,0))</f>
        <v>0</v>
      </c>
      <c r="CS281" s="39" t="n">
        <f aca="false">IF(CS$4=0,0,IF(COUNTIFS(実績!$W$6:$W$505,CS$3,実績!$AI$6:$AI$505,"&lt;="&amp;$A281,実績!$AJ$6:$AJ$505,"&gt;"&amp;$A281,実績!$AL$6:$AL$505,"○")&gt;0,1,0))</f>
        <v>0</v>
      </c>
      <c r="CT281" s="39" t="n">
        <f aca="false">IF(CT$4=0,0,IF(COUNTIFS(実績!$W$6:$W$505,CT$3,実績!$AI$6:$AI$505,"&lt;="&amp;$A281,実績!$AJ$6:$AJ$505,"&gt;"&amp;$A281,実績!$AL$6:$AL$505,"○")&gt;0,1,0))</f>
        <v>0</v>
      </c>
      <c r="CU281" s="39" t="n">
        <f aca="false">IF(CU$4=0,0,IF(COUNTIFS(実績!$W$6:$W$505,CU$3,実績!$AI$6:$AI$505,"&lt;="&amp;$A281,実績!$AJ$6:$AJ$505,"&gt;"&amp;$A281,実績!$AL$6:$AL$505,"○")&gt;0,1,0))</f>
        <v>0</v>
      </c>
      <c r="CV281" s="39" t="n">
        <f aca="false">IF(CV$4=0,0,IF(COUNTIFS(実績!$W$6:$W$505,CV$3,実績!$AI$6:$AI$505,"&lt;="&amp;$A281,実績!$AJ$6:$AJ$505,"&gt;"&amp;$A281,実績!$AL$6:$AL$505,"○")&gt;0,1,0))</f>
        <v>0</v>
      </c>
      <c r="CW281" s="39" t="n">
        <f aca="false">IF(CW$4=0,0,IF(COUNTIFS(実績!$W$6:$W$505,CW$3,実績!$AI$6:$AI$505,"&lt;="&amp;$A281,実績!$AJ$6:$AJ$505,"&gt;"&amp;$A281,実績!$AL$6:$AL$505,"○")&gt;0,1,0))</f>
        <v>0</v>
      </c>
      <c r="CX281" s="39" t="n">
        <f aca="false">IF(CX$4=0,0,IF(COUNTIFS(実績!$W$6:$W$505,CX$3,実績!$AI$6:$AI$505,"&lt;="&amp;$A281,実績!$AJ$6:$AJ$505,"&gt;"&amp;$A281,実績!$AL$6:$AL$505,"○")&gt;0,1,0))</f>
        <v>0</v>
      </c>
      <c r="CY281" s="39" t="n">
        <f aca="false">IF(CY$4=0,0,IF(COUNTIFS(実績!$W$6:$W$505,CY$3,実績!$AI$6:$AI$505,"&lt;="&amp;$A281,実績!$AJ$6:$AJ$505,"&gt;"&amp;$A281,実績!$AL$6:$AL$505,"○")&gt;0,1,0))</f>
        <v>0</v>
      </c>
      <c r="CZ281" s="39" t="n">
        <f aca="false">IF(CZ$4=0,0,IF(COUNTIFS(実績!$W$6:$W$505,CZ$3,実績!$AI$6:$AI$505,"&lt;="&amp;$A281,実績!$AJ$6:$AJ$505,"&gt;"&amp;$A281,実績!$AL$6:$AL$505,"○")&gt;0,1,0))</f>
        <v>0</v>
      </c>
      <c r="DA281" s="39" t="n">
        <f aca="false">IF(DA$4=0,0,IF(COUNTIFS(実績!$W$6:$W$505,DA$3,実績!$AI$6:$AI$505,"&lt;="&amp;$A281,実績!$AJ$6:$AJ$505,"&gt;"&amp;$A281,実績!$AL$6:$AL$505,"○")&gt;0,1,0))</f>
        <v>0</v>
      </c>
      <c r="DB281" s="39" t="n">
        <f aca="false">IF(DB$4=0,0,IF(COUNTIFS(実績!$W$6:$W$505,DB$3,実績!$AI$6:$AI$505,"&lt;="&amp;$A281,実績!$AJ$6:$AJ$505,"&gt;"&amp;$A281,実績!$AL$6:$AL$505,"○")&gt;0,1,0))</f>
        <v>0</v>
      </c>
      <c r="DC281" s="39" t="n">
        <f aca="false">IF(DC$4=0,0,IF(COUNTIFS(実績!$W$6:$W$505,DC$3,実績!$AI$6:$AI$505,"&lt;="&amp;$A281,実績!$AJ$6:$AJ$505,"&gt;"&amp;$A281,実績!$AL$6:$AL$505,"○")&gt;0,1,0))</f>
        <v>0</v>
      </c>
      <c r="DD281" s="39" t="n">
        <f aca="false">IF(DD$4=0,0,IF(COUNTIFS(実績!$W$6:$W$505,DD$3,実績!$AI$6:$AI$505,"&lt;="&amp;$A281,実績!$AJ$6:$AJ$505,"&gt;"&amp;$A281,実績!$AL$6:$AL$505,"○")&gt;0,1,0))</f>
        <v>0</v>
      </c>
      <c r="DE281" s="39" t="n">
        <f aca="false">IF(DE$4=0,0,IF(COUNTIFS(実績!$W$6:$W$505,DE$3,実績!$AI$6:$AI$505,"&lt;="&amp;$A281,実績!$AJ$6:$AJ$505,"&gt;"&amp;$A281,実績!$AL$6:$AL$505,"○")&gt;0,1,0))</f>
        <v>0</v>
      </c>
      <c r="DF281" s="39" t="n">
        <f aca="false">IF(DF$4=0,0,IF(COUNTIFS(実績!$W$6:$W$505,DF$3,実績!$AI$6:$AI$505,"&lt;="&amp;$A281,実績!$AJ$6:$AJ$505,"&gt;"&amp;$A281,実績!$AL$6:$AL$505,"○")&gt;0,1,0))</f>
        <v>0</v>
      </c>
      <c r="DG281" s="39" t="n">
        <f aca="false">IF(DG$4=0,0,IF(COUNTIFS(実績!$W$6:$W$505,DG$3,実績!$AI$6:$AI$505,"&lt;="&amp;$A281,実績!$AJ$6:$AJ$505,"&gt;"&amp;$A281,実績!$AL$6:$AL$505,"○")&gt;0,1,0))</f>
        <v>0</v>
      </c>
      <c r="DH281" s="39" t="n">
        <f aca="false">IF(DH$4=0,0,IF(COUNTIFS(実績!$W$6:$W$505,DH$3,実績!$AI$6:$AI$505,"&lt;="&amp;$A281,実績!$AJ$6:$AJ$505,"&gt;"&amp;$A281,実績!$AL$6:$AL$505,"○")&gt;0,1,0))</f>
        <v>0</v>
      </c>
      <c r="DI281" s="39" t="n">
        <f aca="false">IF(DI$4=0,0,IF(COUNTIFS(実績!$W$6:$W$505,DI$3,実績!$AI$6:$AI$505,"&lt;="&amp;$A281,実績!$AJ$6:$AJ$505,"&gt;"&amp;$A281,実績!$AL$6:$AL$505,"○")&gt;0,1,0))</f>
        <v>0</v>
      </c>
      <c r="DJ281" s="39" t="n">
        <f aca="false">IF(DJ$4=0,0,IF(COUNTIFS(実績!$W$6:$W$505,DJ$3,実績!$AI$6:$AI$505,"&lt;="&amp;$A281,実績!$AJ$6:$AJ$505,"&gt;"&amp;$A281,実績!$AL$6:$AL$505,"○")&gt;0,1,0))</f>
        <v>0</v>
      </c>
      <c r="DK281" s="39" t="n">
        <f aca="false">IF(DK$4=0,0,IF(COUNTIFS(実績!$W$6:$W$505,DK$3,実績!$AI$6:$AI$505,"&lt;="&amp;$A281,実績!$AJ$6:$AJ$505,"&gt;"&amp;$A281,実績!$AL$6:$AL$505,"○")&gt;0,1,0))</f>
        <v>0</v>
      </c>
      <c r="DL281" s="39" t="n">
        <f aca="false">IF(DL$4=0,0,IF(COUNTIFS(実績!$W$6:$W$505,DL$3,実績!$AI$6:$AI$505,"&lt;="&amp;$A281,実績!$AJ$6:$AJ$505,"&gt;"&amp;$A281,実績!$AL$6:$AL$505,"○")&gt;0,1,0))</f>
        <v>0</v>
      </c>
      <c r="DM281" s="39" t="n">
        <f aca="false">IF(DM$4=0,0,IF(COUNTIFS(実績!$W$6:$W$505,DM$3,実績!$AI$6:$AI$505,"&lt;="&amp;$A281,実績!$AJ$6:$AJ$505,"&gt;"&amp;$A281,実績!$AL$6:$AL$505,"○")&gt;0,1,0))</f>
        <v>0</v>
      </c>
      <c r="DN281" s="39" t="n">
        <f aca="false">IF(DN$4=0,0,IF(COUNTIFS(実績!$W$6:$W$505,DN$3,実績!$AI$6:$AI$505,"&lt;="&amp;$A281,実績!$AJ$6:$AJ$505,"&gt;"&amp;$A281,実績!$AL$6:$AL$505,"○")&gt;0,1,0))</f>
        <v>0</v>
      </c>
      <c r="DO281" s="39" t="n">
        <f aca="false">IF(DO$4=0,0,IF(COUNTIFS(実績!$W$6:$W$505,DO$3,実績!$AI$6:$AI$505,"&lt;="&amp;$A281,実績!$AJ$6:$AJ$505,"&gt;"&amp;$A281,実績!$AL$6:$AL$505,"○")&gt;0,1,0))</f>
        <v>0</v>
      </c>
      <c r="DP281" s="39" t="n">
        <f aca="false">IF(DP$4=0,0,IF(COUNTIFS(実績!$W$6:$W$505,DP$3,実績!$AI$6:$AI$505,"&lt;="&amp;$A281,実績!$AJ$6:$AJ$505,"&gt;"&amp;$A281,実績!$AL$6:$AL$505,"○")&gt;0,1,0))</f>
        <v>0</v>
      </c>
      <c r="DQ281" s="39" t="n">
        <f aca="false">IF(DQ$4=0,0,IF(COUNTIFS(実績!$W$6:$W$505,DQ$3,実績!$AI$6:$AI$505,"&lt;="&amp;$A281,実績!$AJ$6:$AJ$505,"&gt;"&amp;$A281,実績!$AL$6:$AL$505,"○")&gt;0,1,0))</f>
        <v>0</v>
      </c>
      <c r="DR281" s="39" t="n">
        <f aca="false">IF(DR$4=0,0,IF(COUNTIFS(実績!$W$6:$W$505,DR$3,実績!$AI$6:$AI$505,"&lt;="&amp;$A281,実績!$AJ$6:$AJ$505,"&gt;"&amp;$A281,実績!$AL$6:$AL$505,"○")&gt;0,1,0))</f>
        <v>0</v>
      </c>
      <c r="DS281" s="39" t="n">
        <f aca="false">SUM(C281:DR281)</f>
        <v>0</v>
      </c>
    </row>
    <row r="282" customFormat="false" ht="15" hidden="false" customHeight="false" outlineLevel="0" collapsed="false">
      <c r="A282" s="0" t="n">
        <v>1380</v>
      </c>
      <c r="B282" s="38" t="n">
        <f aca="false">A282/1440</f>
        <v>0.958333333333333</v>
      </c>
      <c r="C282" s="39" t="n">
        <f aca="false">IF(C$4=0,0,IF(COUNTIFS(実績!$W$6:$W$505,C$3,実績!$AI$6:$AI$505,"&lt;="&amp;$A282,実績!$AJ$6:$AJ$505,"&gt;"&amp;$A282,実績!$AL$6:$AL$505,"○")&gt;0,1,0))</f>
        <v>0</v>
      </c>
      <c r="D282" s="39" t="n">
        <f aca="false">IF(D$4=0,0,IF(COUNTIFS(実績!$W$6:$W$505,D$3,実績!$AI$6:$AI$505,"&lt;="&amp;$A282,実績!$AJ$6:$AJ$505,"&gt;"&amp;$A282,実績!$AL$6:$AL$505,"○")&gt;0,1,0))</f>
        <v>0</v>
      </c>
      <c r="E282" s="39" t="n">
        <f aca="false">IF(E$4=0,0,IF(COUNTIFS(実績!$W$6:$W$505,E$3,実績!$AI$6:$AI$505,"&lt;="&amp;$A282,実績!$AJ$6:$AJ$505,"&gt;"&amp;$A282,実績!$AL$6:$AL$505,"○")&gt;0,1,0))</f>
        <v>0</v>
      </c>
      <c r="F282" s="39" t="n">
        <f aca="false">IF(F$4=0,0,IF(COUNTIFS(実績!$W$6:$W$505,F$3,実績!$AI$6:$AI$505,"&lt;="&amp;$A282,実績!$AJ$6:$AJ$505,"&gt;"&amp;$A282,実績!$AL$6:$AL$505,"○")&gt;0,1,0))</f>
        <v>0</v>
      </c>
      <c r="G282" s="39" t="n">
        <f aca="false">IF(G$4=0,0,IF(COUNTIFS(実績!$W$6:$W$505,G$3,実績!$AI$6:$AI$505,"&lt;="&amp;$A282,実績!$AJ$6:$AJ$505,"&gt;"&amp;$A282,実績!$AL$6:$AL$505,"○")&gt;0,1,0))</f>
        <v>0</v>
      </c>
      <c r="H282" s="39" t="n">
        <f aca="false">IF(H$4=0,0,IF(COUNTIFS(実績!$W$6:$W$505,H$3,実績!$AI$6:$AI$505,"&lt;="&amp;$A282,実績!$AJ$6:$AJ$505,"&gt;"&amp;$A282,実績!$AL$6:$AL$505,"○")&gt;0,1,0))</f>
        <v>0</v>
      </c>
      <c r="I282" s="39" t="n">
        <f aca="false">IF(I$4=0,0,IF(COUNTIFS(実績!$W$6:$W$505,I$3,実績!$AI$6:$AI$505,"&lt;="&amp;$A282,実績!$AJ$6:$AJ$505,"&gt;"&amp;$A282,実績!$AL$6:$AL$505,"○")&gt;0,1,0))</f>
        <v>0</v>
      </c>
      <c r="J282" s="39" t="n">
        <f aca="false">IF(J$4=0,0,IF(COUNTIFS(実績!$W$6:$W$505,J$3,実績!$AI$6:$AI$505,"&lt;="&amp;$A282,実績!$AJ$6:$AJ$505,"&gt;"&amp;$A282,実績!$AL$6:$AL$505,"○")&gt;0,1,0))</f>
        <v>0</v>
      </c>
      <c r="K282" s="39" t="n">
        <f aca="false">IF(K$4=0,0,IF(COUNTIFS(実績!$W$6:$W$505,K$3,実績!$AI$6:$AI$505,"&lt;="&amp;$A282,実績!$AJ$6:$AJ$505,"&gt;"&amp;$A282,実績!$AL$6:$AL$505,"○")&gt;0,1,0))</f>
        <v>0</v>
      </c>
      <c r="L282" s="39" t="n">
        <f aca="false">IF(L$4=0,0,IF(COUNTIFS(実績!$W$6:$W$505,L$3,実績!$AI$6:$AI$505,"&lt;="&amp;$A282,実績!$AJ$6:$AJ$505,"&gt;"&amp;$A282,実績!$AL$6:$AL$505,"○")&gt;0,1,0))</f>
        <v>0</v>
      </c>
      <c r="M282" s="39" t="n">
        <f aca="false">IF(M$4=0,0,IF(COUNTIFS(実績!$W$6:$W$505,M$3,実績!$AI$6:$AI$505,"&lt;="&amp;$A282,実績!$AJ$6:$AJ$505,"&gt;"&amp;$A282,実績!$AL$6:$AL$505,"○")&gt;0,1,0))</f>
        <v>0</v>
      </c>
      <c r="N282" s="39" t="n">
        <f aca="false">IF(N$4=0,0,IF(COUNTIFS(実績!$W$6:$W$505,N$3,実績!$AI$6:$AI$505,"&lt;="&amp;$A282,実績!$AJ$6:$AJ$505,"&gt;"&amp;$A282,実績!$AL$6:$AL$505,"○")&gt;0,1,0))</f>
        <v>0</v>
      </c>
      <c r="O282" s="39" t="n">
        <f aca="false">IF(O$4=0,0,IF(COUNTIFS(実績!$W$6:$W$505,O$3,実績!$AI$6:$AI$505,"&lt;="&amp;$A282,実績!$AJ$6:$AJ$505,"&gt;"&amp;$A282,実績!$AL$6:$AL$505,"○")&gt;0,1,0))</f>
        <v>0</v>
      </c>
      <c r="P282" s="39" t="n">
        <f aca="false">IF(P$4=0,0,IF(COUNTIFS(実績!$W$6:$W$505,P$3,実績!$AI$6:$AI$505,"&lt;="&amp;$A282,実績!$AJ$6:$AJ$505,"&gt;"&amp;$A282,実績!$AL$6:$AL$505,"○")&gt;0,1,0))</f>
        <v>0</v>
      </c>
      <c r="Q282" s="39" t="n">
        <f aca="false">IF(Q$4=0,0,IF(COUNTIFS(実績!$W$6:$W$505,Q$3,実績!$AI$6:$AI$505,"&lt;="&amp;$A282,実績!$AJ$6:$AJ$505,"&gt;"&amp;$A282,実績!$AL$6:$AL$505,"○")&gt;0,1,0))</f>
        <v>0</v>
      </c>
      <c r="R282" s="39" t="n">
        <f aca="false">IF(R$4=0,0,IF(COUNTIFS(実績!$W$6:$W$505,R$3,実績!$AI$6:$AI$505,"&lt;="&amp;$A282,実績!$AJ$6:$AJ$505,"&gt;"&amp;$A282,実績!$AL$6:$AL$505,"○")&gt;0,1,0))</f>
        <v>0</v>
      </c>
      <c r="S282" s="39" t="n">
        <f aca="false">IF(S$4=0,0,IF(COUNTIFS(実績!$W$6:$W$505,S$3,実績!$AI$6:$AI$505,"&lt;="&amp;$A282,実績!$AJ$6:$AJ$505,"&gt;"&amp;$A282,実績!$AL$6:$AL$505,"○")&gt;0,1,0))</f>
        <v>0</v>
      </c>
      <c r="T282" s="39" t="n">
        <f aca="false">IF(T$4=0,0,IF(COUNTIFS(実績!$W$6:$W$505,T$3,実績!$AI$6:$AI$505,"&lt;="&amp;$A282,実績!$AJ$6:$AJ$505,"&gt;"&amp;$A282,実績!$AL$6:$AL$505,"○")&gt;0,1,0))</f>
        <v>0</v>
      </c>
      <c r="U282" s="39" t="n">
        <f aca="false">IF(U$4=0,0,IF(COUNTIFS(実績!$W$6:$W$505,U$3,実績!$AI$6:$AI$505,"&lt;="&amp;$A282,実績!$AJ$6:$AJ$505,"&gt;"&amp;$A282,実績!$AL$6:$AL$505,"○")&gt;0,1,0))</f>
        <v>0</v>
      </c>
      <c r="V282" s="39" t="n">
        <f aca="false">IF(V$4=0,0,IF(COUNTIFS(実績!$W$6:$W$505,V$3,実績!$AI$6:$AI$505,"&lt;="&amp;$A282,実績!$AJ$6:$AJ$505,"&gt;"&amp;$A282,実績!$AL$6:$AL$505,"○")&gt;0,1,0))</f>
        <v>0</v>
      </c>
      <c r="W282" s="39" t="n">
        <f aca="false">IF(W$4=0,0,IF(COUNTIFS(実績!$W$6:$W$505,W$3,実績!$AI$6:$AI$505,"&lt;="&amp;$A282,実績!$AJ$6:$AJ$505,"&gt;"&amp;$A282,実績!$AL$6:$AL$505,"○")&gt;0,1,0))</f>
        <v>0</v>
      </c>
      <c r="X282" s="39" t="n">
        <f aca="false">IF(X$4=0,0,IF(COUNTIFS(実績!$W$6:$W$505,X$3,実績!$AI$6:$AI$505,"&lt;="&amp;$A282,実績!$AJ$6:$AJ$505,"&gt;"&amp;$A282,実績!$AL$6:$AL$505,"○")&gt;0,1,0))</f>
        <v>0</v>
      </c>
      <c r="Y282" s="39" t="n">
        <f aca="false">IF(Y$4=0,0,IF(COUNTIFS(実績!$W$6:$W$505,Y$3,実績!$AI$6:$AI$505,"&lt;="&amp;$A282,実績!$AJ$6:$AJ$505,"&gt;"&amp;$A282,実績!$AL$6:$AL$505,"○")&gt;0,1,0))</f>
        <v>0</v>
      </c>
      <c r="Z282" s="39" t="n">
        <f aca="false">IF(Z$4=0,0,IF(COUNTIFS(実績!$W$6:$W$505,Z$3,実績!$AI$6:$AI$505,"&lt;="&amp;$A282,実績!$AJ$6:$AJ$505,"&gt;"&amp;$A282,実績!$AL$6:$AL$505,"○")&gt;0,1,0))</f>
        <v>0</v>
      </c>
      <c r="AA282" s="39" t="n">
        <f aca="false">IF(AA$4=0,0,IF(COUNTIFS(実績!$W$6:$W$505,AA$3,実績!$AI$6:$AI$505,"&lt;="&amp;$A282,実績!$AJ$6:$AJ$505,"&gt;"&amp;$A282,実績!$AL$6:$AL$505,"○")&gt;0,1,0))</f>
        <v>0</v>
      </c>
      <c r="AB282" s="39" t="n">
        <f aca="false">IF(AB$4=0,0,IF(COUNTIFS(実績!$W$6:$W$505,AB$3,実績!$AI$6:$AI$505,"&lt;="&amp;$A282,実績!$AJ$6:$AJ$505,"&gt;"&amp;$A282,実績!$AL$6:$AL$505,"○")&gt;0,1,0))</f>
        <v>0</v>
      </c>
      <c r="AC282" s="39" t="n">
        <f aca="false">IF(AC$4=0,0,IF(COUNTIFS(実績!$W$6:$W$505,AC$3,実績!$AI$6:$AI$505,"&lt;="&amp;$A282,実績!$AJ$6:$AJ$505,"&gt;"&amp;$A282,実績!$AL$6:$AL$505,"○")&gt;0,1,0))</f>
        <v>0</v>
      </c>
      <c r="AD282" s="39" t="n">
        <f aca="false">IF(AD$4=0,0,IF(COUNTIFS(実績!$W$6:$W$505,AD$3,実績!$AI$6:$AI$505,"&lt;="&amp;$A282,実績!$AJ$6:$AJ$505,"&gt;"&amp;$A282,実績!$AL$6:$AL$505,"○")&gt;0,1,0))</f>
        <v>0</v>
      </c>
      <c r="AE282" s="39" t="n">
        <f aca="false">IF(AE$4=0,0,IF(COUNTIFS(実績!$W$6:$W$505,AE$3,実績!$AI$6:$AI$505,"&lt;="&amp;$A282,実績!$AJ$6:$AJ$505,"&gt;"&amp;$A282,実績!$AL$6:$AL$505,"○")&gt;0,1,0))</f>
        <v>0</v>
      </c>
      <c r="AF282" s="39" t="n">
        <f aca="false">IF(AF$4=0,0,IF(COUNTIFS(実績!$W$6:$W$505,AF$3,実績!$AI$6:$AI$505,"&lt;="&amp;$A282,実績!$AJ$6:$AJ$505,"&gt;"&amp;$A282,実績!$AL$6:$AL$505,"○")&gt;0,1,0))</f>
        <v>0</v>
      </c>
      <c r="AG282" s="39" t="n">
        <f aca="false">IF(AG$4=0,0,IF(COUNTIFS(実績!$W$6:$W$505,AG$3,実績!$AI$6:$AI$505,"&lt;="&amp;$A282,実績!$AJ$6:$AJ$505,"&gt;"&amp;$A282,実績!$AL$6:$AL$505,"○")&gt;0,1,0))</f>
        <v>0</v>
      </c>
      <c r="AH282" s="39" t="n">
        <f aca="false">IF(AH$4=0,0,IF(COUNTIFS(実績!$W$6:$W$505,AH$3,実績!$AI$6:$AI$505,"&lt;="&amp;$A282,実績!$AJ$6:$AJ$505,"&gt;"&amp;$A282,実績!$AL$6:$AL$505,"○")&gt;0,1,0))</f>
        <v>0</v>
      </c>
      <c r="AI282" s="39" t="n">
        <f aca="false">IF(AI$4=0,0,IF(COUNTIFS(実績!$W$6:$W$505,AI$3,実績!$AI$6:$AI$505,"&lt;="&amp;$A282,実績!$AJ$6:$AJ$505,"&gt;"&amp;$A282,実績!$AL$6:$AL$505,"○")&gt;0,1,0))</f>
        <v>0</v>
      </c>
      <c r="AJ282" s="39" t="n">
        <f aca="false">IF(AJ$4=0,0,IF(COUNTIFS(実績!$W$6:$W$505,AJ$3,実績!$AI$6:$AI$505,"&lt;="&amp;$A282,実績!$AJ$6:$AJ$505,"&gt;"&amp;$A282,実績!$AL$6:$AL$505,"○")&gt;0,1,0))</f>
        <v>0</v>
      </c>
      <c r="AK282" s="39" t="n">
        <f aca="false">IF(AK$4=0,0,IF(COUNTIFS(実績!$W$6:$W$505,AK$3,実績!$AI$6:$AI$505,"&lt;="&amp;$A282,実績!$AJ$6:$AJ$505,"&gt;"&amp;$A282,実績!$AL$6:$AL$505,"○")&gt;0,1,0))</f>
        <v>0</v>
      </c>
      <c r="AL282" s="39" t="n">
        <f aca="false">IF(AL$4=0,0,IF(COUNTIFS(実績!$W$6:$W$505,AL$3,実績!$AI$6:$AI$505,"&lt;="&amp;$A282,実績!$AJ$6:$AJ$505,"&gt;"&amp;$A282,実績!$AL$6:$AL$505,"○")&gt;0,1,0))</f>
        <v>0</v>
      </c>
      <c r="AM282" s="39" t="n">
        <f aca="false">IF(AM$4=0,0,IF(COUNTIFS(実績!$W$6:$W$505,AM$3,実績!$AI$6:$AI$505,"&lt;="&amp;$A282,実績!$AJ$6:$AJ$505,"&gt;"&amp;$A282,実績!$AL$6:$AL$505,"○")&gt;0,1,0))</f>
        <v>0</v>
      </c>
      <c r="AN282" s="39" t="n">
        <f aca="false">IF(AN$4=0,0,IF(COUNTIFS(実績!$W$6:$W$505,AN$3,実績!$AI$6:$AI$505,"&lt;="&amp;$A282,実績!$AJ$6:$AJ$505,"&gt;"&amp;$A282,実績!$AL$6:$AL$505,"○")&gt;0,1,0))</f>
        <v>0</v>
      </c>
      <c r="AO282" s="39" t="n">
        <f aca="false">IF(AO$4=0,0,IF(COUNTIFS(実績!$W$6:$W$505,AO$3,実績!$AI$6:$AI$505,"&lt;="&amp;$A282,実績!$AJ$6:$AJ$505,"&gt;"&amp;$A282,実績!$AL$6:$AL$505,"○")&gt;0,1,0))</f>
        <v>0</v>
      </c>
      <c r="AP282" s="39" t="n">
        <f aca="false">IF(AP$4=0,0,IF(COUNTIFS(実績!$W$6:$W$505,AP$3,実績!$AI$6:$AI$505,"&lt;="&amp;$A282,実績!$AJ$6:$AJ$505,"&gt;"&amp;$A282,実績!$AL$6:$AL$505,"○")&gt;0,1,0))</f>
        <v>0</v>
      </c>
      <c r="AQ282" s="39" t="n">
        <f aca="false">IF(AQ$4=0,0,IF(COUNTIFS(実績!$W$6:$W$505,AQ$3,実績!$AI$6:$AI$505,"&lt;="&amp;$A282,実績!$AJ$6:$AJ$505,"&gt;"&amp;$A282,実績!$AL$6:$AL$505,"○")&gt;0,1,0))</f>
        <v>0</v>
      </c>
      <c r="AR282" s="39" t="n">
        <f aca="false">IF(AR$4=0,0,IF(COUNTIFS(実績!$W$6:$W$505,AR$3,実績!$AI$6:$AI$505,"&lt;="&amp;$A282,実績!$AJ$6:$AJ$505,"&gt;"&amp;$A282,実績!$AL$6:$AL$505,"○")&gt;0,1,0))</f>
        <v>0</v>
      </c>
      <c r="AS282" s="39" t="n">
        <f aca="false">IF(AS$4=0,0,IF(COUNTIFS(実績!$W$6:$W$505,AS$3,実績!$AI$6:$AI$505,"&lt;="&amp;$A282,実績!$AJ$6:$AJ$505,"&gt;"&amp;$A282,実績!$AL$6:$AL$505,"○")&gt;0,1,0))</f>
        <v>0</v>
      </c>
      <c r="AT282" s="39" t="n">
        <f aca="false">IF(AT$4=0,0,IF(COUNTIFS(実績!$W$6:$W$505,AT$3,実績!$AI$6:$AI$505,"&lt;="&amp;$A282,実績!$AJ$6:$AJ$505,"&gt;"&amp;$A282,実績!$AL$6:$AL$505,"○")&gt;0,1,0))</f>
        <v>0</v>
      </c>
      <c r="AU282" s="39" t="n">
        <f aca="false">IF(AU$4=0,0,IF(COUNTIFS(実績!$W$6:$W$505,AU$3,実績!$AI$6:$AI$505,"&lt;="&amp;$A282,実績!$AJ$6:$AJ$505,"&gt;"&amp;$A282,実績!$AL$6:$AL$505,"○")&gt;0,1,0))</f>
        <v>0</v>
      </c>
      <c r="AV282" s="39" t="n">
        <f aca="false">IF(AV$4=0,0,IF(COUNTIFS(実績!$W$6:$W$505,AV$3,実績!$AI$6:$AI$505,"&lt;="&amp;$A282,実績!$AJ$6:$AJ$505,"&gt;"&amp;$A282,実績!$AL$6:$AL$505,"○")&gt;0,1,0))</f>
        <v>0</v>
      </c>
      <c r="AW282" s="39" t="n">
        <f aca="false">IF(AW$4=0,0,IF(COUNTIFS(実績!$W$6:$W$505,AW$3,実績!$AI$6:$AI$505,"&lt;="&amp;$A282,実績!$AJ$6:$AJ$505,"&gt;"&amp;$A282,実績!$AL$6:$AL$505,"○")&gt;0,1,0))</f>
        <v>0</v>
      </c>
      <c r="AX282" s="39" t="n">
        <f aca="false">IF(AX$4=0,0,IF(COUNTIFS(実績!$W$6:$W$505,AX$3,実績!$AI$6:$AI$505,"&lt;="&amp;$A282,実績!$AJ$6:$AJ$505,"&gt;"&amp;$A282,実績!$AL$6:$AL$505,"○")&gt;0,1,0))</f>
        <v>0</v>
      </c>
      <c r="AY282" s="39" t="n">
        <f aca="false">IF(AY$4=0,0,IF(COUNTIFS(実績!$W$6:$W$505,AY$3,実績!$AI$6:$AI$505,"&lt;="&amp;$A282,実績!$AJ$6:$AJ$505,"&gt;"&amp;$A282,実績!$AL$6:$AL$505,"○")&gt;0,1,0))</f>
        <v>0</v>
      </c>
      <c r="AZ282" s="39" t="n">
        <f aca="false">IF(AZ$4=0,0,IF(COUNTIFS(実績!$W$6:$W$505,AZ$3,実績!$AI$6:$AI$505,"&lt;="&amp;$A282,実績!$AJ$6:$AJ$505,"&gt;"&amp;$A282,実績!$AL$6:$AL$505,"○")&gt;0,1,0))</f>
        <v>0</v>
      </c>
      <c r="BA282" s="39" t="n">
        <f aca="false">IF(BA$4=0,0,IF(COUNTIFS(実績!$W$6:$W$505,BA$3,実績!$AI$6:$AI$505,"&lt;="&amp;$A282,実績!$AJ$6:$AJ$505,"&gt;"&amp;$A282,実績!$AL$6:$AL$505,"○")&gt;0,1,0))</f>
        <v>0</v>
      </c>
      <c r="BB282" s="39" t="n">
        <f aca="false">IF(BB$4=0,0,IF(COUNTIFS(実績!$W$6:$W$505,BB$3,実績!$AI$6:$AI$505,"&lt;="&amp;$A282,実績!$AJ$6:$AJ$505,"&gt;"&amp;$A282,実績!$AL$6:$AL$505,"○")&gt;0,1,0))</f>
        <v>0</v>
      </c>
      <c r="BC282" s="39" t="n">
        <f aca="false">IF(BC$4=0,0,IF(COUNTIFS(実績!$W$6:$W$505,BC$3,実績!$AI$6:$AI$505,"&lt;="&amp;$A282,実績!$AJ$6:$AJ$505,"&gt;"&amp;$A282,実績!$AL$6:$AL$505,"○")&gt;0,1,0))</f>
        <v>0</v>
      </c>
      <c r="BD282" s="39" t="n">
        <f aca="false">IF(BD$4=0,0,IF(COUNTIFS(実績!$W$6:$W$505,BD$3,実績!$AI$6:$AI$505,"&lt;="&amp;$A282,実績!$AJ$6:$AJ$505,"&gt;"&amp;$A282,実績!$AL$6:$AL$505,"○")&gt;0,1,0))</f>
        <v>0</v>
      </c>
      <c r="BE282" s="39" t="n">
        <f aca="false">IF(BE$4=0,0,IF(COUNTIFS(実績!$W$6:$W$505,BE$3,実績!$AI$6:$AI$505,"&lt;="&amp;$A282,実績!$AJ$6:$AJ$505,"&gt;"&amp;$A282,実績!$AL$6:$AL$505,"○")&gt;0,1,0))</f>
        <v>0</v>
      </c>
      <c r="BF282" s="39" t="n">
        <f aca="false">IF(BF$4=0,0,IF(COUNTIFS(実績!$W$6:$W$505,BF$3,実績!$AI$6:$AI$505,"&lt;="&amp;$A282,実績!$AJ$6:$AJ$505,"&gt;"&amp;$A282,実績!$AL$6:$AL$505,"○")&gt;0,1,0))</f>
        <v>0</v>
      </c>
      <c r="BG282" s="39" t="n">
        <f aca="false">IF(BG$4=0,0,IF(COUNTIFS(実績!$W$6:$W$505,BG$3,実績!$AI$6:$AI$505,"&lt;="&amp;$A282,実績!$AJ$6:$AJ$505,"&gt;"&amp;$A282,実績!$AL$6:$AL$505,"○")&gt;0,1,0))</f>
        <v>0</v>
      </c>
      <c r="BH282" s="39" t="n">
        <f aca="false">IF(BH$4=0,0,IF(COUNTIFS(実績!$W$6:$W$505,BH$3,実績!$AI$6:$AI$505,"&lt;="&amp;$A282,実績!$AJ$6:$AJ$505,"&gt;"&amp;$A282,実績!$AL$6:$AL$505,"○")&gt;0,1,0))</f>
        <v>0</v>
      </c>
      <c r="BI282" s="39" t="n">
        <f aca="false">IF(BI$4=0,0,IF(COUNTIFS(実績!$W$6:$W$505,BI$3,実績!$AI$6:$AI$505,"&lt;="&amp;$A282,実績!$AJ$6:$AJ$505,"&gt;"&amp;$A282,実績!$AL$6:$AL$505,"○")&gt;0,1,0))</f>
        <v>0</v>
      </c>
      <c r="BJ282" s="39" t="n">
        <f aca="false">IF(BJ$4=0,0,IF(COUNTIFS(実績!$W$6:$W$505,BJ$3,実績!$AI$6:$AI$505,"&lt;="&amp;$A282,実績!$AJ$6:$AJ$505,"&gt;"&amp;$A282,実績!$AL$6:$AL$505,"○")&gt;0,1,0))</f>
        <v>0</v>
      </c>
      <c r="BK282" s="39" t="n">
        <f aca="false">IF(BK$4=0,0,IF(COUNTIFS(実績!$W$6:$W$505,BK$3,実績!$AI$6:$AI$505,"&lt;="&amp;$A282,実績!$AJ$6:$AJ$505,"&gt;"&amp;$A282,実績!$AL$6:$AL$505,"○")&gt;0,1,0))</f>
        <v>0</v>
      </c>
      <c r="BL282" s="39" t="n">
        <f aca="false">IF(BL$4=0,0,IF(COUNTIFS(実績!$W$6:$W$505,BL$3,実績!$AI$6:$AI$505,"&lt;="&amp;$A282,実績!$AJ$6:$AJ$505,"&gt;"&amp;$A282,実績!$AL$6:$AL$505,"○")&gt;0,1,0))</f>
        <v>0</v>
      </c>
      <c r="BM282" s="39" t="n">
        <f aca="false">IF(BM$4=0,0,IF(COUNTIFS(実績!$W$6:$W$505,BM$3,実績!$AI$6:$AI$505,"&lt;="&amp;$A282,実績!$AJ$6:$AJ$505,"&gt;"&amp;$A282,実績!$AL$6:$AL$505,"○")&gt;0,1,0))</f>
        <v>0</v>
      </c>
      <c r="BN282" s="39" t="n">
        <f aca="false">IF(BN$4=0,0,IF(COUNTIFS(実績!$W$6:$W$505,BN$3,実績!$AI$6:$AI$505,"&lt;="&amp;$A282,実績!$AJ$6:$AJ$505,"&gt;"&amp;$A282,実績!$AL$6:$AL$505,"○")&gt;0,1,0))</f>
        <v>0</v>
      </c>
      <c r="BO282" s="39" t="n">
        <f aca="false">IF(BO$4=0,0,IF(COUNTIFS(実績!$W$6:$W$505,BO$3,実績!$AI$6:$AI$505,"&lt;="&amp;$A282,実績!$AJ$6:$AJ$505,"&gt;"&amp;$A282,実績!$AL$6:$AL$505,"○")&gt;0,1,0))</f>
        <v>0</v>
      </c>
      <c r="BP282" s="39" t="n">
        <f aca="false">IF(BP$4=0,0,IF(COUNTIFS(実績!$W$6:$W$505,BP$3,実績!$AI$6:$AI$505,"&lt;="&amp;$A282,実績!$AJ$6:$AJ$505,"&gt;"&amp;$A282,実績!$AL$6:$AL$505,"○")&gt;0,1,0))</f>
        <v>0</v>
      </c>
      <c r="BQ282" s="39" t="n">
        <f aca="false">IF(BQ$4=0,0,IF(COUNTIFS(実績!$W$6:$W$505,BQ$3,実績!$AI$6:$AI$505,"&lt;="&amp;$A282,実績!$AJ$6:$AJ$505,"&gt;"&amp;$A282,実績!$AL$6:$AL$505,"○")&gt;0,1,0))</f>
        <v>0</v>
      </c>
      <c r="BR282" s="39" t="n">
        <f aca="false">IF(BR$4=0,0,IF(COUNTIFS(実績!$W$6:$W$505,BR$3,実績!$AI$6:$AI$505,"&lt;="&amp;$A282,実績!$AJ$6:$AJ$505,"&gt;"&amp;$A282,実績!$AL$6:$AL$505,"○")&gt;0,1,0))</f>
        <v>0</v>
      </c>
      <c r="BS282" s="39" t="n">
        <f aca="false">IF(BS$4=0,0,IF(COUNTIFS(実績!$W$6:$W$505,BS$3,実績!$AI$6:$AI$505,"&lt;="&amp;$A282,実績!$AJ$6:$AJ$505,"&gt;"&amp;$A282,実績!$AL$6:$AL$505,"○")&gt;0,1,0))</f>
        <v>0</v>
      </c>
      <c r="BT282" s="39" t="n">
        <f aca="false">IF(BT$4=0,0,IF(COUNTIFS(実績!$W$6:$W$505,BT$3,実績!$AI$6:$AI$505,"&lt;="&amp;$A282,実績!$AJ$6:$AJ$505,"&gt;"&amp;$A282,実績!$AL$6:$AL$505,"○")&gt;0,1,0))</f>
        <v>0</v>
      </c>
      <c r="BU282" s="39" t="n">
        <f aca="false">IF(BU$4=0,0,IF(COUNTIFS(実績!$W$6:$W$505,BU$3,実績!$AI$6:$AI$505,"&lt;="&amp;$A282,実績!$AJ$6:$AJ$505,"&gt;"&amp;$A282,実績!$AL$6:$AL$505,"○")&gt;0,1,0))</f>
        <v>0</v>
      </c>
      <c r="BV282" s="39" t="n">
        <f aca="false">IF(BV$4=0,0,IF(COUNTIFS(実績!$W$6:$W$505,BV$3,実績!$AI$6:$AI$505,"&lt;="&amp;$A282,実績!$AJ$6:$AJ$505,"&gt;"&amp;$A282,実績!$AL$6:$AL$505,"○")&gt;0,1,0))</f>
        <v>0</v>
      </c>
      <c r="BW282" s="39" t="n">
        <f aca="false">IF(BW$4=0,0,IF(COUNTIFS(実績!$W$6:$W$505,BW$3,実績!$AI$6:$AI$505,"&lt;="&amp;$A282,実績!$AJ$6:$AJ$505,"&gt;"&amp;$A282,実績!$AL$6:$AL$505,"○")&gt;0,1,0))</f>
        <v>0</v>
      </c>
      <c r="BX282" s="39" t="n">
        <f aca="false">IF(BX$4=0,0,IF(COUNTIFS(実績!$W$6:$W$505,BX$3,実績!$AI$6:$AI$505,"&lt;="&amp;$A282,実績!$AJ$6:$AJ$505,"&gt;"&amp;$A282,実績!$AL$6:$AL$505,"○")&gt;0,1,0))</f>
        <v>0</v>
      </c>
      <c r="BY282" s="39" t="n">
        <f aca="false">IF(BY$4=0,0,IF(COUNTIFS(実績!$W$6:$W$505,BY$3,実績!$AI$6:$AI$505,"&lt;="&amp;$A282,実績!$AJ$6:$AJ$505,"&gt;"&amp;$A282,実績!$AL$6:$AL$505,"○")&gt;0,1,0))</f>
        <v>0</v>
      </c>
      <c r="BZ282" s="39" t="n">
        <f aca="false">IF(BZ$4=0,0,IF(COUNTIFS(実績!$W$6:$W$505,BZ$3,実績!$AI$6:$AI$505,"&lt;="&amp;$A282,実績!$AJ$6:$AJ$505,"&gt;"&amp;$A282,実績!$AL$6:$AL$505,"○")&gt;0,1,0))</f>
        <v>0</v>
      </c>
      <c r="CA282" s="39" t="n">
        <f aca="false">IF(CA$4=0,0,IF(COUNTIFS(実績!$W$6:$W$505,CA$3,実績!$AI$6:$AI$505,"&lt;="&amp;$A282,実績!$AJ$6:$AJ$505,"&gt;"&amp;$A282,実績!$AL$6:$AL$505,"○")&gt;0,1,0))</f>
        <v>0</v>
      </c>
      <c r="CB282" s="39" t="n">
        <f aca="false">IF(CB$4=0,0,IF(COUNTIFS(実績!$W$6:$W$505,CB$3,実績!$AI$6:$AI$505,"&lt;="&amp;$A282,実績!$AJ$6:$AJ$505,"&gt;"&amp;$A282,実績!$AL$6:$AL$505,"○")&gt;0,1,0))</f>
        <v>0</v>
      </c>
      <c r="CC282" s="39" t="n">
        <f aca="false">IF(CC$4=0,0,IF(COUNTIFS(実績!$W$6:$W$505,CC$3,実績!$AI$6:$AI$505,"&lt;="&amp;$A282,実績!$AJ$6:$AJ$505,"&gt;"&amp;$A282,実績!$AL$6:$AL$505,"○")&gt;0,1,0))</f>
        <v>0</v>
      </c>
      <c r="CD282" s="39" t="n">
        <f aca="false">IF(CD$4=0,0,IF(COUNTIFS(実績!$W$6:$W$505,CD$3,実績!$AI$6:$AI$505,"&lt;="&amp;$A282,実績!$AJ$6:$AJ$505,"&gt;"&amp;$A282,実績!$AL$6:$AL$505,"○")&gt;0,1,0))</f>
        <v>0</v>
      </c>
      <c r="CE282" s="39" t="n">
        <f aca="false">IF(CE$4=0,0,IF(COUNTIFS(実績!$W$6:$W$505,CE$3,実績!$AI$6:$AI$505,"&lt;="&amp;$A282,実績!$AJ$6:$AJ$505,"&gt;"&amp;$A282,実績!$AL$6:$AL$505,"○")&gt;0,1,0))</f>
        <v>0</v>
      </c>
      <c r="CF282" s="39" t="n">
        <f aca="false">IF(CF$4=0,0,IF(COUNTIFS(実績!$W$6:$W$505,CF$3,実績!$AI$6:$AI$505,"&lt;="&amp;$A282,実績!$AJ$6:$AJ$505,"&gt;"&amp;$A282,実績!$AL$6:$AL$505,"○")&gt;0,1,0))</f>
        <v>0</v>
      </c>
      <c r="CG282" s="39" t="n">
        <f aca="false">IF(CG$4=0,0,IF(COUNTIFS(実績!$W$6:$W$505,CG$3,実績!$AI$6:$AI$505,"&lt;="&amp;$A282,実績!$AJ$6:$AJ$505,"&gt;"&amp;$A282,実績!$AL$6:$AL$505,"○")&gt;0,1,0))</f>
        <v>0</v>
      </c>
      <c r="CH282" s="39" t="n">
        <f aca="false">IF(CH$4=0,0,IF(COUNTIFS(実績!$W$6:$W$505,CH$3,実績!$AI$6:$AI$505,"&lt;="&amp;$A282,実績!$AJ$6:$AJ$505,"&gt;"&amp;$A282,実績!$AL$6:$AL$505,"○")&gt;0,1,0))</f>
        <v>0</v>
      </c>
      <c r="CI282" s="39" t="n">
        <f aca="false">IF(CI$4=0,0,IF(COUNTIFS(実績!$W$6:$W$505,CI$3,実績!$AI$6:$AI$505,"&lt;="&amp;$A282,実績!$AJ$6:$AJ$505,"&gt;"&amp;$A282,実績!$AL$6:$AL$505,"○")&gt;0,1,0))</f>
        <v>0</v>
      </c>
      <c r="CJ282" s="39" t="n">
        <f aca="false">IF(CJ$4=0,0,IF(COUNTIFS(実績!$W$6:$W$505,CJ$3,実績!$AI$6:$AI$505,"&lt;="&amp;$A282,実績!$AJ$6:$AJ$505,"&gt;"&amp;$A282,実績!$AL$6:$AL$505,"○")&gt;0,1,0))</f>
        <v>0</v>
      </c>
      <c r="CK282" s="39" t="n">
        <f aca="false">IF(CK$4=0,0,IF(COUNTIFS(実績!$W$6:$W$505,CK$3,実績!$AI$6:$AI$505,"&lt;="&amp;$A282,実績!$AJ$6:$AJ$505,"&gt;"&amp;$A282,実績!$AL$6:$AL$505,"○")&gt;0,1,0))</f>
        <v>0</v>
      </c>
      <c r="CL282" s="39" t="n">
        <f aca="false">IF(CL$4=0,0,IF(COUNTIFS(実績!$W$6:$W$505,CL$3,実績!$AI$6:$AI$505,"&lt;="&amp;$A282,実績!$AJ$6:$AJ$505,"&gt;"&amp;$A282,実績!$AL$6:$AL$505,"○")&gt;0,1,0))</f>
        <v>0</v>
      </c>
      <c r="CM282" s="39" t="n">
        <f aca="false">IF(CM$4=0,0,IF(COUNTIFS(実績!$W$6:$W$505,CM$3,実績!$AI$6:$AI$505,"&lt;="&amp;$A282,実績!$AJ$6:$AJ$505,"&gt;"&amp;$A282,実績!$AL$6:$AL$505,"○")&gt;0,1,0))</f>
        <v>0</v>
      </c>
      <c r="CN282" s="39" t="n">
        <f aca="false">IF(CN$4=0,0,IF(COUNTIFS(実績!$W$6:$W$505,CN$3,実績!$AI$6:$AI$505,"&lt;="&amp;$A282,実績!$AJ$6:$AJ$505,"&gt;"&amp;$A282,実績!$AL$6:$AL$505,"○")&gt;0,1,0))</f>
        <v>0</v>
      </c>
      <c r="CO282" s="39" t="n">
        <f aca="false">IF(CO$4=0,0,IF(COUNTIFS(実績!$W$6:$W$505,CO$3,実績!$AI$6:$AI$505,"&lt;="&amp;$A282,実績!$AJ$6:$AJ$505,"&gt;"&amp;$A282,実績!$AL$6:$AL$505,"○")&gt;0,1,0))</f>
        <v>0</v>
      </c>
      <c r="CP282" s="39" t="n">
        <f aca="false">IF(CP$4=0,0,IF(COUNTIFS(実績!$W$6:$W$505,CP$3,実績!$AI$6:$AI$505,"&lt;="&amp;$A282,実績!$AJ$6:$AJ$505,"&gt;"&amp;$A282,実績!$AL$6:$AL$505,"○")&gt;0,1,0))</f>
        <v>0</v>
      </c>
      <c r="CQ282" s="39" t="n">
        <f aca="false">IF(CQ$4=0,0,IF(COUNTIFS(実績!$W$6:$W$505,CQ$3,実績!$AI$6:$AI$505,"&lt;="&amp;$A282,実績!$AJ$6:$AJ$505,"&gt;"&amp;$A282,実績!$AL$6:$AL$505,"○")&gt;0,1,0))</f>
        <v>0</v>
      </c>
      <c r="CR282" s="39" t="n">
        <f aca="false">IF(CR$4=0,0,IF(COUNTIFS(実績!$W$6:$W$505,CR$3,実績!$AI$6:$AI$505,"&lt;="&amp;$A282,実績!$AJ$6:$AJ$505,"&gt;"&amp;$A282,実績!$AL$6:$AL$505,"○")&gt;0,1,0))</f>
        <v>0</v>
      </c>
      <c r="CS282" s="39" t="n">
        <f aca="false">IF(CS$4=0,0,IF(COUNTIFS(実績!$W$6:$W$505,CS$3,実績!$AI$6:$AI$505,"&lt;="&amp;$A282,実績!$AJ$6:$AJ$505,"&gt;"&amp;$A282,実績!$AL$6:$AL$505,"○")&gt;0,1,0))</f>
        <v>0</v>
      </c>
      <c r="CT282" s="39" t="n">
        <f aca="false">IF(CT$4=0,0,IF(COUNTIFS(実績!$W$6:$W$505,CT$3,実績!$AI$6:$AI$505,"&lt;="&amp;$A282,実績!$AJ$6:$AJ$505,"&gt;"&amp;$A282,実績!$AL$6:$AL$505,"○")&gt;0,1,0))</f>
        <v>0</v>
      </c>
      <c r="CU282" s="39" t="n">
        <f aca="false">IF(CU$4=0,0,IF(COUNTIFS(実績!$W$6:$W$505,CU$3,実績!$AI$6:$AI$505,"&lt;="&amp;$A282,実績!$AJ$6:$AJ$505,"&gt;"&amp;$A282,実績!$AL$6:$AL$505,"○")&gt;0,1,0))</f>
        <v>0</v>
      </c>
      <c r="CV282" s="39" t="n">
        <f aca="false">IF(CV$4=0,0,IF(COUNTIFS(実績!$W$6:$W$505,CV$3,実績!$AI$6:$AI$505,"&lt;="&amp;$A282,実績!$AJ$6:$AJ$505,"&gt;"&amp;$A282,実績!$AL$6:$AL$505,"○")&gt;0,1,0))</f>
        <v>0</v>
      </c>
      <c r="CW282" s="39" t="n">
        <f aca="false">IF(CW$4=0,0,IF(COUNTIFS(実績!$W$6:$W$505,CW$3,実績!$AI$6:$AI$505,"&lt;="&amp;$A282,実績!$AJ$6:$AJ$505,"&gt;"&amp;$A282,実績!$AL$6:$AL$505,"○")&gt;0,1,0))</f>
        <v>0</v>
      </c>
      <c r="CX282" s="39" t="n">
        <f aca="false">IF(CX$4=0,0,IF(COUNTIFS(実績!$W$6:$W$505,CX$3,実績!$AI$6:$AI$505,"&lt;="&amp;$A282,実績!$AJ$6:$AJ$505,"&gt;"&amp;$A282,実績!$AL$6:$AL$505,"○")&gt;0,1,0))</f>
        <v>0</v>
      </c>
      <c r="CY282" s="39" t="n">
        <f aca="false">IF(CY$4=0,0,IF(COUNTIFS(実績!$W$6:$W$505,CY$3,実績!$AI$6:$AI$505,"&lt;="&amp;$A282,実績!$AJ$6:$AJ$505,"&gt;"&amp;$A282,実績!$AL$6:$AL$505,"○")&gt;0,1,0))</f>
        <v>0</v>
      </c>
      <c r="CZ282" s="39" t="n">
        <f aca="false">IF(CZ$4=0,0,IF(COUNTIFS(実績!$W$6:$W$505,CZ$3,実績!$AI$6:$AI$505,"&lt;="&amp;$A282,実績!$AJ$6:$AJ$505,"&gt;"&amp;$A282,実績!$AL$6:$AL$505,"○")&gt;0,1,0))</f>
        <v>0</v>
      </c>
      <c r="DA282" s="39" t="n">
        <f aca="false">IF(DA$4=0,0,IF(COUNTIFS(実績!$W$6:$W$505,DA$3,実績!$AI$6:$AI$505,"&lt;="&amp;$A282,実績!$AJ$6:$AJ$505,"&gt;"&amp;$A282,実績!$AL$6:$AL$505,"○")&gt;0,1,0))</f>
        <v>0</v>
      </c>
      <c r="DB282" s="39" t="n">
        <f aca="false">IF(DB$4=0,0,IF(COUNTIFS(実績!$W$6:$W$505,DB$3,実績!$AI$6:$AI$505,"&lt;="&amp;$A282,実績!$AJ$6:$AJ$505,"&gt;"&amp;$A282,実績!$AL$6:$AL$505,"○")&gt;0,1,0))</f>
        <v>0</v>
      </c>
      <c r="DC282" s="39" t="n">
        <f aca="false">IF(DC$4=0,0,IF(COUNTIFS(実績!$W$6:$W$505,DC$3,実績!$AI$6:$AI$505,"&lt;="&amp;$A282,実績!$AJ$6:$AJ$505,"&gt;"&amp;$A282,実績!$AL$6:$AL$505,"○")&gt;0,1,0))</f>
        <v>0</v>
      </c>
      <c r="DD282" s="39" t="n">
        <f aca="false">IF(DD$4=0,0,IF(COUNTIFS(実績!$W$6:$W$505,DD$3,実績!$AI$6:$AI$505,"&lt;="&amp;$A282,実績!$AJ$6:$AJ$505,"&gt;"&amp;$A282,実績!$AL$6:$AL$505,"○")&gt;0,1,0))</f>
        <v>0</v>
      </c>
      <c r="DE282" s="39" t="n">
        <f aca="false">IF(DE$4=0,0,IF(COUNTIFS(実績!$W$6:$W$505,DE$3,実績!$AI$6:$AI$505,"&lt;="&amp;$A282,実績!$AJ$6:$AJ$505,"&gt;"&amp;$A282,実績!$AL$6:$AL$505,"○")&gt;0,1,0))</f>
        <v>0</v>
      </c>
      <c r="DF282" s="39" t="n">
        <f aca="false">IF(DF$4=0,0,IF(COUNTIFS(実績!$W$6:$W$505,DF$3,実績!$AI$6:$AI$505,"&lt;="&amp;$A282,実績!$AJ$6:$AJ$505,"&gt;"&amp;$A282,実績!$AL$6:$AL$505,"○")&gt;0,1,0))</f>
        <v>0</v>
      </c>
      <c r="DG282" s="39" t="n">
        <f aca="false">IF(DG$4=0,0,IF(COUNTIFS(実績!$W$6:$W$505,DG$3,実績!$AI$6:$AI$505,"&lt;="&amp;$A282,実績!$AJ$6:$AJ$505,"&gt;"&amp;$A282,実績!$AL$6:$AL$505,"○")&gt;0,1,0))</f>
        <v>0</v>
      </c>
      <c r="DH282" s="39" t="n">
        <f aca="false">IF(DH$4=0,0,IF(COUNTIFS(実績!$W$6:$W$505,DH$3,実績!$AI$6:$AI$505,"&lt;="&amp;$A282,実績!$AJ$6:$AJ$505,"&gt;"&amp;$A282,実績!$AL$6:$AL$505,"○")&gt;0,1,0))</f>
        <v>0</v>
      </c>
      <c r="DI282" s="39" t="n">
        <f aca="false">IF(DI$4=0,0,IF(COUNTIFS(実績!$W$6:$W$505,DI$3,実績!$AI$6:$AI$505,"&lt;="&amp;$A282,実績!$AJ$6:$AJ$505,"&gt;"&amp;$A282,実績!$AL$6:$AL$505,"○")&gt;0,1,0))</f>
        <v>0</v>
      </c>
      <c r="DJ282" s="39" t="n">
        <f aca="false">IF(DJ$4=0,0,IF(COUNTIFS(実績!$W$6:$W$505,DJ$3,実績!$AI$6:$AI$505,"&lt;="&amp;$A282,実績!$AJ$6:$AJ$505,"&gt;"&amp;$A282,実績!$AL$6:$AL$505,"○")&gt;0,1,0))</f>
        <v>0</v>
      </c>
      <c r="DK282" s="39" t="n">
        <f aca="false">IF(DK$4=0,0,IF(COUNTIFS(実績!$W$6:$W$505,DK$3,実績!$AI$6:$AI$505,"&lt;="&amp;$A282,実績!$AJ$6:$AJ$505,"&gt;"&amp;$A282,実績!$AL$6:$AL$505,"○")&gt;0,1,0))</f>
        <v>0</v>
      </c>
      <c r="DL282" s="39" t="n">
        <f aca="false">IF(DL$4=0,0,IF(COUNTIFS(実績!$W$6:$W$505,DL$3,実績!$AI$6:$AI$505,"&lt;="&amp;$A282,実績!$AJ$6:$AJ$505,"&gt;"&amp;$A282,実績!$AL$6:$AL$505,"○")&gt;0,1,0))</f>
        <v>0</v>
      </c>
      <c r="DM282" s="39" t="n">
        <f aca="false">IF(DM$4=0,0,IF(COUNTIFS(実績!$W$6:$W$505,DM$3,実績!$AI$6:$AI$505,"&lt;="&amp;$A282,実績!$AJ$6:$AJ$505,"&gt;"&amp;$A282,実績!$AL$6:$AL$505,"○")&gt;0,1,0))</f>
        <v>0</v>
      </c>
      <c r="DN282" s="39" t="n">
        <f aca="false">IF(DN$4=0,0,IF(COUNTIFS(実績!$W$6:$W$505,DN$3,実績!$AI$6:$AI$505,"&lt;="&amp;$A282,実績!$AJ$6:$AJ$505,"&gt;"&amp;$A282,実績!$AL$6:$AL$505,"○")&gt;0,1,0))</f>
        <v>0</v>
      </c>
      <c r="DO282" s="39" t="n">
        <f aca="false">IF(DO$4=0,0,IF(COUNTIFS(実績!$W$6:$W$505,DO$3,実績!$AI$6:$AI$505,"&lt;="&amp;$A282,実績!$AJ$6:$AJ$505,"&gt;"&amp;$A282,実績!$AL$6:$AL$505,"○")&gt;0,1,0))</f>
        <v>0</v>
      </c>
      <c r="DP282" s="39" t="n">
        <f aca="false">IF(DP$4=0,0,IF(COUNTIFS(実績!$W$6:$W$505,DP$3,実績!$AI$6:$AI$505,"&lt;="&amp;$A282,実績!$AJ$6:$AJ$505,"&gt;"&amp;$A282,実績!$AL$6:$AL$505,"○")&gt;0,1,0))</f>
        <v>0</v>
      </c>
      <c r="DQ282" s="39" t="n">
        <f aca="false">IF(DQ$4=0,0,IF(COUNTIFS(実績!$W$6:$W$505,DQ$3,実績!$AI$6:$AI$505,"&lt;="&amp;$A282,実績!$AJ$6:$AJ$505,"&gt;"&amp;$A282,実績!$AL$6:$AL$505,"○")&gt;0,1,0))</f>
        <v>0</v>
      </c>
      <c r="DR282" s="39" t="n">
        <f aca="false">IF(DR$4=0,0,IF(COUNTIFS(実績!$W$6:$W$505,DR$3,実績!$AI$6:$AI$505,"&lt;="&amp;$A282,実績!$AJ$6:$AJ$505,"&gt;"&amp;$A282,実績!$AL$6:$AL$505,"○")&gt;0,1,0))</f>
        <v>0</v>
      </c>
      <c r="DS282" s="39" t="n">
        <f aca="false">SUM(C282:DR282)</f>
        <v>0</v>
      </c>
    </row>
    <row r="283" customFormat="false" ht="15" hidden="false" customHeight="false" outlineLevel="0" collapsed="false">
      <c r="A283" s="0" t="n">
        <v>1385</v>
      </c>
      <c r="B283" s="38" t="n">
        <f aca="false">A283/1440</f>
        <v>0.961805555555556</v>
      </c>
      <c r="C283" s="39" t="n">
        <f aca="false">IF(C$4=0,0,IF(COUNTIFS(実績!$W$6:$W$505,C$3,実績!$AI$6:$AI$505,"&lt;="&amp;$A283,実績!$AJ$6:$AJ$505,"&gt;"&amp;$A283,実績!$AL$6:$AL$505,"○")&gt;0,1,0))</f>
        <v>0</v>
      </c>
      <c r="D283" s="39" t="n">
        <f aca="false">IF(D$4=0,0,IF(COUNTIFS(実績!$W$6:$W$505,D$3,実績!$AI$6:$AI$505,"&lt;="&amp;$A283,実績!$AJ$6:$AJ$505,"&gt;"&amp;$A283,実績!$AL$6:$AL$505,"○")&gt;0,1,0))</f>
        <v>0</v>
      </c>
      <c r="E283" s="39" t="n">
        <f aca="false">IF(E$4=0,0,IF(COUNTIFS(実績!$W$6:$W$505,E$3,実績!$AI$6:$AI$505,"&lt;="&amp;$A283,実績!$AJ$6:$AJ$505,"&gt;"&amp;$A283,実績!$AL$6:$AL$505,"○")&gt;0,1,0))</f>
        <v>0</v>
      </c>
      <c r="F283" s="39" t="n">
        <f aca="false">IF(F$4=0,0,IF(COUNTIFS(実績!$W$6:$W$505,F$3,実績!$AI$6:$AI$505,"&lt;="&amp;$A283,実績!$AJ$6:$AJ$505,"&gt;"&amp;$A283,実績!$AL$6:$AL$505,"○")&gt;0,1,0))</f>
        <v>0</v>
      </c>
      <c r="G283" s="39" t="n">
        <f aca="false">IF(G$4=0,0,IF(COUNTIFS(実績!$W$6:$W$505,G$3,実績!$AI$6:$AI$505,"&lt;="&amp;$A283,実績!$AJ$6:$AJ$505,"&gt;"&amp;$A283,実績!$AL$6:$AL$505,"○")&gt;0,1,0))</f>
        <v>0</v>
      </c>
      <c r="H283" s="39" t="n">
        <f aca="false">IF(H$4=0,0,IF(COUNTIFS(実績!$W$6:$W$505,H$3,実績!$AI$6:$AI$505,"&lt;="&amp;$A283,実績!$AJ$6:$AJ$505,"&gt;"&amp;$A283,実績!$AL$6:$AL$505,"○")&gt;0,1,0))</f>
        <v>0</v>
      </c>
      <c r="I283" s="39" t="n">
        <f aca="false">IF(I$4=0,0,IF(COUNTIFS(実績!$W$6:$W$505,I$3,実績!$AI$6:$AI$505,"&lt;="&amp;$A283,実績!$AJ$6:$AJ$505,"&gt;"&amp;$A283,実績!$AL$6:$AL$505,"○")&gt;0,1,0))</f>
        <v>0</v>
      </c>
      <c r="J283" s="39" t="n">
        <f aca="false">IF(J$4=0,0,IF(COUNTIFS(実績!$W$6:$W$505,J$3,実績!$AI$6:$AI$505,"&lt;="&amp;$A283,実績!$AJ$6:$AJ$505,"&gt;"&amp;$A283,実績!$AL$6:$AL$505,"○")&gt;0,1,0))</f>
        <v>0</v>
      </c>
      <c r="K283" s="39" t="n">
        <f aca="false">IF(K$4=0,0,IF(COUNTIFS(実績!$W$6:$W$505,K$3,実績!$AI$6:$AI$505,"&lt;="&amp;$A283,実績!$AJ$6:$AJ$505,"&gt;"&amp;$A283,実績!$AL$6:$AL$505,"○")&gt;0,1,0))</f>
        <v>0</v>
      </c>
      <c r="L283" s="39" t="n">
        <f aca="false">IF(L$4=0,0,IF(COUNTIFS(実績!$W$6:$W$505,L$3,実績!$AI$6:$AI$505,"&lt;="&amp;$A283,実績!$AJ$6:$AJ$505,"&gt;"&amp;$A283,実績!$AL$6:$AL$505,"○")&gt;0,1,0))</f>
        <v>0</v>
      </c>
      <c r="M283" s="39" t="n">
        <f aca="false">IF(M$4=0,0,IF(COUNTIFS(実績!$W$6:$W$505,M$3,実績!$AI$6:$AI$505,"&lt;="&amp;$A283,実績!$AJ$6:$AJ$505,"&gt;"&amp;$A283,実績!$AL$6:$AL$505,"○")&gt;0,1,0))</f>
        <v>0</v>
      </c>
      <c r="N283" s="39" t="n">
        <f aca="false">IF(N$4=0,0,IF(COUNTIFS(実績!$W$6:$W$505,N$3,実績!$AI$6:$AI$505,"&lt;="&amp;$A283,実績!$AJ$6:$AJ$505,"&gt;"&amp;$A283,実績!$AL$6:$AL$505,"○")&gt;0,1,0))</f>
        <v>0</v>
      </c>
      <c r="O283" s="39" t="n">
        <f aca="false">IF(O$4=0,0,IF(COUNTIFS(実績!$W$6:$W$505,O$3,実績!$AI$6:$AI$505,"&lt;="&amp;$A283,実績!$AJ$6:$AJ$505,"&gt;"&amp;$A283,実績!$AL$6:$AL$505,"○")&gt;0,1,0))</f>
        <v>0</v>
      </c>
      <c r="P283" s="39" t="n">
        <f aca="false">IF(P$4=0,0,IF(COUNTIFS(実績!$W$6:$W$505,P$3,実績!$AI$6:$AI$505,"&lt;="&amp;$A283,実績!$AJ$6:$AJ$505,"&gt;"&amp;$A283,実績!$AL$6:$AL$505,"○")&gt;0,1,0))</f>
        <v>0</v>
      </c>
      <c r="Q283" s="39" t="n">
        <f aca="false">IF(Q$4=0,0,IF(COUNTIFS(実績!$W$6:$W$505,Q$3,実績!$AI$6:$AI$505,"&lt;="&amp;$A283,実績!$AJ$6:$AJ$505,"&gt;"&amp;$A283,実績!$AL$6:$AL$505,"○")&gt;0,1,0))</f>
        <v>0</v>
      </c>
      <c r="R283" s="39" t="n">
        <f aca="false">IF(R$4=0,0,IF(COUNTIFS(実績!$W$6:$W$505,R$3,実績!$AI$6:$AI$505,"&lt;="&amp;$A283,実績!$AJ$6:$AJ$505,"&gt;"&amp;$A283,実績!$AL$6:$AL$505,"○")&gt;0,1,0))</f>
        <v>0</v>
      </c>
      <c r="S283" s="39" t="n">
        <f aca="false">IF(S$4=0,0,IF(COUNTIFS(実績!$W$6:$W$505,S$3,実績!$AI$6:$AI$505,"&lt;="&amp;$A283,実績!$AJ$6:$AJ$505,"&gt;"&amp;$A283,実績!$AL$6:$AL$505,"○")&gt;0,1,0))</f>
        <v>0</v>
      </c>
      <c r="T283" s="39" t="n">
        <f aca="false">IF(T$4=0,0,IF(COUNTIFS(実績!$W$6:$W$505,T$3,実績!$AI$6:$AI$505,"&lt;="&amp;$A283,実績!$AJ$6:$AJ$505,"&gt;"&amp;$A283,実績!$AL$6:$AL$505,"○")&gt;0,1,0))</f>
        <v>0</v>
      </c>
      <c r="U283" s="39" t="n">
        <f aca="false">IF(U$4=0,0,IF(COUNTIFS(実績!$W$6:$W$505,U$3,実績!$AI$6:$AI$505,"&lt;="&amp;$A283,実績!$AJ$6:$AJ$505,"&gt;"&amp;$A283,実績!$AL$6:$AL$505,"○")&gt;0,1,0))</f>
        <v>0</v>
      </c>
      <c r="V283" s="39" t="n">
        <f aca="false">IF(V$4=0,0,IF(COUNTIFS(実績!$W$6:$W$505,V$3,実績!$AI$6:$AI$505,"&lt;="&amp;$A283,実績!$AJ$6:$AJ$505,"&gt;"&amp;$A283,実績!$AL$6:$AL$505,"○")&gt;0,1,0))</f>
        <v>0</v>
      </c>
      <c r="W283" s="39" t="n">
        <f aca="false">IF(W$4=0,0,IF(COUNTIFS(実績!$W$6:$W$505,W$3,実績!$AI$6:$AI$505,"&lt;="&amp;$A283,実績!$AJ$6:$AJ$505,"&gt;"&amp;$A283,実績!$AL$6:$AL$505,"○")&gt;0,1,0))</f>
        <v>0</v>
      </c>
      <c r="X283" s="39" t="n">
        <f aca="false">IF(X$4=0,0,IF(COUNTIFS(実績!$W$6:$W$505,X$3,実績!$AI$6:$AI$505,"&lt;="&amp;$A283,実績!$AJ$6:$AJ$505,"&gt;"&amp;$A283,実績!$AL$6:$AL$505,"○")&gt;0,1,0))</f>
        <v>0</v>
      </c>
      <c r="Y283" s="39" t="n">
        <f aca="false">IF(Y$4=0,0,IF(COUNTIFS(実績!$W$6:$W$505,Y$3,実績!$AI$6:$AI$505,"&lt;="&amp;$A283,実績!$AJ$6:$AJ$505,"&gt;"&amp;$A283,実績!$AL$6:$AL$505,"○")&gt;0,1,0))</f>
        <v>0</v>
      </c>
      <c r="Z283" s="39" t="n">
        <f aca="false">IF(Z$4=0,0,IF(COUNTIFS(実績!$W$6:$W$505,Z$3,実績!$AI$6:$AI$505,"&lt;="&amp;$A283,実績!$AJ$6:$AJ$505,"&gt;"&amp;$A283,実績!$AL$6:$AL$505,"○")&gt;0,1,0))</f>
        <v>0</v>
      </c>
      <c r="AA283" s="39" t="n">
        <f aca="false">IF(AA$4=0,0,IF(COUNTIFS(実績!$W$6:$W$505,AA$3,実績!$AI$6:$AI$505,"&lt;="&amp;$A283,実績!$AJ$6:$AJ$505,"&gt;"&amp;$A283,実績!$AL$6:$AL$505,"○")&gt;0,1,0))</f>
        <v>0</v>
      </c>
      <c r="AB283" s="39" t="n">
        <f aca="false">IF(AB$4=0,0,IF(COUNTIFS(実績!$W$6:$W$505,AB$3,実績!$AI$6:$AI$505,"&lt;="&amp;$A283,実績!$AJ$6:$AJ$505,"&gt;"&amp;$A283,実績!$AL$6:$AL$505,"○")&gt;0,1,0))</f>
        <v>0</v>
      </c>
      <c r="AC283" s="39" t="n">
        <f aca="false">IF(AC$4=0,0,IF(COUNTIFS(実績!$W$6:$W$505,AC$3,実績!$AI$6:$AI$505,"&lt;="&amp;$A283,実績!$AJ$6:$AJ$505,"&gt;"&amp;$A283,実績!$AL$6:$AL$505,"○")&gt;0,1,0))</f>
        <v>0</v>
      </c>
      <c r="AD283" s="39" t="n">
        <f aca="false">IF(AD$4=0,0,IF(COUNTIFS(実績!$W$6:$W$505,AD$3,実績!$AI$6:$AI$505,"&lt;="&amp;$A283,実績!$AJ$6:$AJ$505,"&gt;"&amp;$A283,実績!$AL$6:$AL$505,"○")&gt;0,1,0))</f>
        <v>0</v>
      </c>
      <c r="AE283" s="39" t="n">
        <f aca="false">IF(AE$4=0,0,IF(COUNTIFS(実績!$W$6:$W$505,AE$3,実績!$AI$6:$AI$505,"&lt;="&amp;$A283,実績!$AJ$6:$AJ$505,"&gt;"&amp;$A283,実績!$AL$6:$AL$505,"○")&gt;0,1,0))</f>
        <v>0</v>
      </c>
      <c r="AF283" s="39" t="n">
        <f aca="false">IF(AF$4=0,0,IF(COUNTIFS(実績!$W$6:$W$505,AF$3,実績!$AI$6:$AI$505,"&lt;="&amp;$A283,実績!$AJ$6:$AJ$505,"&gt;"&amp;$A283,実績!$AL$6:$AL$505,"○")&gt;0,1,0))</f>
        <v>0</v>
      </c>
      <c r="AG283" s="39" t="n">
        <f aca="false">IF(AG$4=0,0,IF(COUNTIFS(実績!$W$6:$W$505,AG$3,実績!$AI$6:$AI$505,"&lt;="&amp;$A283,実績!$AJ$6:$AJ$505,"&gt;"&amp;$A283,実績!$AL$6:$AL$505,"○")&gt;0,1,0))</f>
        <v>0</v>
      </c>
      <c r="AH283" s="39" t="n">
        <f aca="false">IF(AH$4=0,0,IF(COUNTIFS(実績!$W$6:$W$505,AH$3,実績!$AI$6:$AI$505,"&lt;="&amp;$A283,実績!$AJ$6:$AJ$505,"&gt;"&amp;$A283,実績!$AL$6:$AL$505,"○")&gt;0,1,0))</f>
        <v>0</v>
      </c>
      <c r="AI283" s="39" t="n">
        <f aca="false">IF(AI$4=0,0,IF(COUNTIFS(実績!$W$6:$W$505,AI$3,実績!$AI$6:$AI$505,"&lt;="&amp;$A283,実績!$AJ$6:$AJ$505,"&gt;"&amp;$A283,実績!$AL$6:$AL$505,"○")&gt;0,1,0))</f>
        <v>0</v>
      </c>
      <c r="AJ283" s="39" t="n">
        <f aca="false">IF(AJ$4=0,0,IF(COUNTIFS(実績!$W$6:$W$505,AJ$3,実績!$AI$6:$AI$505,"&lt;="&amp;$A283,実績!$AJ$6:$AJ$505,"&gt;"&amp;$A283,実績!$AL$6:$AL$505,"○")&gt;0,1,0))</f>
        <v>0</v>
      </c>
      <c r="AK283" s="39" t="n">
        <f aca="false">IF(AK$4=0,0,IF(COUNTIFS(実績!$W$6:$W$505,AK$3,実績!$AI$6:$AI$505,"&lt;="&amp;$A283,実績!$AJ$6:$AJ$505,"&gt;"&amp;$A283,実績!$AL$6:$AL$505,"○")&gt;0,1,0))</f>
        <v>0</v>
      </c>
      <c r="AL283" s="39" t="n">
        <f aca="false">IF(AL$4=0,0,IF(COUNTIFS(実績!$W$6:$W$505,AL$3,実績!$AI$6:$AI$505,"&lt;="&amp;$A283,実績!$AJ$6:$AJ$505,"&gt;"&amp;$A283,実績!$AL$6:$AL$505,"○")&gt;0,1,0))</f>
        <v>0</v>
      </c>
      <c r="AM283" s="39" t="n">
        <f aca="false">IF(AM$4=0,0,IF(COUNTIFS(実績!$W$6:$W$505,AM$3,実績!$AI$6:$AI$505,"&lt;="&amp;$A283,実績!$AJ$6:$AJ$505,"&gt;"&amp;$A283,実績!$AL$6:$AL$505,"○")&gt;0,1,0))</f>
        <v>0</v>
      </c>
      <c r="AN283" s="39" t="n">
        <f aca="false">IF(AN$4=0,0,IF(COUNTIFS(実績!$W$6:$W$505,AN$3,実績!$AI$6:$AI$505,"&lt;="&amp;$A283,実績!$AJ$6:$AJ$505,"&gt;"&amp;$A283,実績!$AL$6:$AL$505,"○")&gt;0,1,0))</f>
        <v>0</v>
      </c>
      <c r="AO283" s="39" t="n">
        <f aca="false">IF(AO$4=0,0,IF(COUNTIFS(実績!$W$6:$W$505,AO$3,実績!$AI$6:$AI$505,"&lt;="&amp;$A283,実績!$AJ$6:$AJ$505,"&gt;"&amp;$A283,実績!$AL$6:$AL$505,"○")&gt;0,1,0))</f>
        <v>0</v>
      </c>
      <c r="AP283" s="39" t="n">
        <f aca="false">IF(AP$4=0,0,IF(COUNTIFS(実績!$W$6:$W$505,AP$3,実績!$AI$6:$AI$505,"&lt;="&amp;$A283,実績!$AJ$6:$AJ$505,"&gt;"&amp;$A283,実績!$AL$6:$AL$505,"○")&gt;0,1,0))</f>
        <v>0</v>
      </c>
      <c r="AQ283" s="39" t="n">
        <f aca="false">IF(AQ$4=0,0,IF(COUNTIFS(実績!$W$6:$W$505,AQ$3,実績!$AI$6:$AI$505,"&lt;="&amp;$A283,実績!$AJ$6:$AJ$505,"&gt;"&amp;$A283,実績!$AL$6:$AL$505,"○")&gt;0,1,0))</f>
        <v>0</v>
      </c>
      <c r="AR283" s="39" t="n">
        <f aca="false">IF(AR$4=0,0,IF(COUNTIFS(実績!$W$6:$W$505,AR$3,実績!$AI$6:$AI$505,"&lt;="&amp;$A283,実績!$AJ$6:$AJ$505,"&gt;"&amp;$A283,実績!$AL$6:$AL$505,"○")&gt;0,1,0))</f>
        <v>0</v>
      </c>
      <c r="AS283" s="39" t="n">
        <f aca="false">IF(AS$4=0,0,IF(COUNTIFS(実績!$W$6:$W$505,AS$3,実績!$AI$6:$AI$505,"&lt;="&amp;$A283,実績!$AJ$6:$AJ$505,"&gt;"&amp;$A283,実績!$AL$6:$AL$505,"○")&gt;0,1,0))</f>
        <v>0</v>
      </c>
      <c r="AT283" s="39" t="n">
        <f aca="false">IF(AT$4=0,0,IF(COUNTIFS(実績!$W$6:$W$505,AT$3,実績!$AI$6:$AI$505,"&lt;="&amp;$A283,実績!$AJ$6:$AJ$505,"&gt;"&amp;$A283,実績!$AL$6:$AL$505,"○")&gt;0,1,0))</f>
        <v>0</v>
      </c>
      <c r="AU283" s="39" t="n">
        <f aca="false">IF(AU$4=0,0,IF(COUNTIFS(実績!$W$6:$W$505,AU$3,実績!$AI$6:$AI$505,"&lt;="&amp;$A283,実績!$AJ$6:$AJ$505,"&gt;"&amp;$A283,実績!$AL$6:$AL$505,"○")&gt;0,1,0))</f>
        <v>0</v>
      </c>
      <c r="AV283" s="39" t="n">
        <f aca="false">IF(AV$4=0,0,IF(COUNTIFS(実績!$W$6:$W$505,AV$3,実績!$AI$6:$AI$505,"&lt;="&amp;$A283,実績!$AJ$6:$AJ$505,"&gt;"&amp;$A283,実績!$AL$6:$AL$505,"○")&gt;0,1,0))</f>
        <v>0</v>
      </c>
      <c r="AW283" s="39" t="n">
        <f aca="false">IF(AW$4=0,0,IF(COUNTIFS(実績!$W$6:$W$505,AW$3,実績!$AI$6:$AI$505,"&lt;="&amp;$A283,実績!$AJ$6:$AJ$505,"&gt;"&amp;$A283,実績!$AL$6:$AL$505,"○")&gt;0,1,0))</f>
        <v>0</v>
      </c>
      <c r="AX283" s="39" t="n">
        <f aca="false">IF(AX$4=0,0,IF(COUNTIFS(実績!$W$6:$W$505,AX$3,実績!$AI$6:$AI$505,"&lt;="&amp;$A283,実績!$AJ$6:$AJ$505,"&gt;"&amp;$A283,実績!$AL$6:$AL$505,"○")&gt;0,1,0))</f>
        <v>0</v>
      </c>
      <c r="AY283" s="39" t="n">
        <f aca="false">IF(AY$4=0,0,IF(COUNTIFS(実績!$W$6:$W$505,AY$3,実績!$AI$6:$AI$505,"&lt;="&amp;$A283,実績!$AJ$6:$AJ$505,"&gt;"&amp;$A283,実績!$AL$6:$AL$505,"○")&gt;0,1,0))</f>
        <v>0</v>
      </c>
      <c r="AZ283" s="39" t="n">
        <f aca="false">IF(AZ$4=0,0,IF(COUNTIFS(実績!$W$6:$W$505,AZ$3,実績!$AI$6:$AI$505,"&lt;="&amp;$A283,実績!$AJ$6:$AJ$505,"&gt;"&amp;$A283,実績!$AL$6:$AL$505,"○")&gt;0,1,0))</f>
        <v>0</v>
      </c>
      <c r="BA283" s="39" t="n">
        <f aca="false">IF(BA$4=0,0,IF(COUNTIFS(実績!$W$6:$W$505,BA$3,実績!$AI$6:$AI$505,"&lt;="&amp;$A283,実績!$AJ$6:$AJ$505,"&gt;"&amp;$A283,実績!$AL$6:$AL$505,"○")&gt;0,1,0))</f>
        <v>0</v>
      </c>
      <c r="BB283" s="39" t="n">
        <f aca="false">IF(BB$4=0,0,IF(COUNTIFS(実績!$W$6:$W$505,BB$3,実績!$AI$6:$AI$505,"&lt;="&amp;$A283,実績!$AJ$6:$AJ$505,"&gt;"&amp;$A283,実績!$AL$6:$AL$505,"○")&gt;0,1,0))</f>
        <v>0</v>
      </c>
      <c r="BC283" s="39" t="n">
        <f aca="false">IF(BC$4=0,0,IF(COUNTIFS(実績!$W$6:$W$505,BC$3,実績!$AI$6:$AI$505,"&lt;="&amp;$A283,実績!$AJ$6:$AJ$505,"&gt;"&amp;$A283,実績!$AL$6:$AL$505,"○")&gt;0,1,0))</f>
        <v>0</v>
      </c>
      <c r="BD283" s="39" t="n">
        <f aca="false">IF(BD$4=0,0,IF(COUNTIFS(実績!$W$6:$W$505,BD$3,実績!$AI$6:$AI$505,"&lt;="&amp;$A283,実績!$AJ$6:$AJ$505,"&gt;"&amp;$A283,実績!$AL$6:$AL$505,"○")&gt;0,1,0))</f>
        <v>0</v>
      </c>
      <c r="BE283" s="39" t="n">
        <f aca="false">IF(BE$4=0,0,IF(COUNTIFS(実績!$W$6:$W$505,BE$3,実績!$AI$6:$AI$505,"&lt;="&amp;$A283,実績!$AJ$6:$AJ$505,"&gt;"&amp;$A283,実績!$AL$6:$AL$505,"○")&gt;0,1,0))</f>
        <v>0</v>
      </c>
      <c r="BF283" s="39" t="n">
        <f aca="false">IF(BF$4=0,0,IF(COUNTIFS(実績!$W$6:$W$505,BF$3,実績!$AI$6:$AI$505,"&lt;="&amp;$A283,実績!$AJ$6:$AJ$505,"&gt;"&amp;$A283,実績!$AL$6:$AL$505,"○")&gt;0,1,0))</f>
        <v>0</v>
      </c>
      <c r="BG283" s="39" t="n">
        <f aca="false">IF(BG$4=0,0,IF(COUNTIFS(実績!$W$6:$W$505,BG$3,実績!$AI$6:$AI$505,"&lt;="&amp;$A283,実績!$AJ$6:$AJ$505,"&gt;"&amp;$A283,実績!$AL$6:$AL$505,"○")&gt;0,1,0))</f>
        <v>0</v>
      </c>
      <c r="BH283" s="39" t="n">
        <f aca="false">IF(BH$4=0,0,IF(COUNTIFS(実績!$W$6:$W$505,BH$3,実績!$AI$6:$AI$505,"&lt;="&amp;$A283,実績!$AJ$6:$AJ$505,"&gt;"&amp;$A283,実績!$AL$6:$AL$505,"○")&gt;0,1,0))</f>
        <v>0</v>
      </c>
      <c r="BI283" s="39" t="n">
        <f aca="false">IF(BI$4=0,0,IF(COUNTIFS(実績!$W$6:$W$505,BI$3,実績!$AI$6:$AI$505,"&lt;="&amp;$A283,実績!$AJ$6:$AJ$505,"&gt;"&amp;$A283,実績!$AL$6:$AL$505,"○")&gt;0,1,0))</f>
        <v>0</v>
      </c>
      <c r="BJ283" s="39" t="n">
        <f aca="false">IF(BJ$4=0,0,IF(COUNTIFS(実績!$W$6:$W$505,BJ$3,実績!$AI$6:$AI$505,"&lt;="&amp;$A283,実績!$AJ$6:$AJ$505,"&gt;"&amp;$A283,実績!$AL$6:$AL$505,"○")&gt;0,1,0))</f>
        <v>0</v>
      </c>
      <c r="BK283" s="39" t="n">
        <f aca="false">IF(BK$4=0,0,IF(COUNTIFS(実績!$W$6:$W$505,BK$3,実績!$AI$6:$AI$505,"&lt;="&amp;$A283,実績!$AJ$6:$AJ$505,"&gt;"&amp;$A283,実績!$AL$6:$AL$505,"○")&gt;0,1,0))</f>
        <v>0</v>
      </c>
      <c r="BL283" s="39" t="n">
        <f aca="false">IF(BL$4=0,0,IF(COUNTIFS(実績!$W$6:$W$505,BL$3,実績!$AI$6:$AI$505,"&lt;="&amp;$A283,実績!$AJ$6:$AJ$505,"&gt;"&amp;$A283,実績!$AL$6:$AL$505,"○")&gt;0,1,0))</f>
        <v>0</v>
      </c>
      <c r="BM283" s="39" t="n">
        <f aca="false">IF(BM$4=0,0,IF(COUNTIFS(実績!$W$6:$W$505,BM$3,実績!$AI$6:$AI$505,"&lt;="&amp;$A283,実績!$AJ$6:$AJ$505,"&gt;"&amp;$A283,実績!$AL$6:$AL$505,"○")&gt;0,1,0))</f>
        <v>0</v>
      </c>
      <c r="BN283" s="39" t="n">
        <f aca="false">IF(BN$4=0,0,IF(COUNTIFS(実績!$W$6:$W$505,BN$3,実績!$AI$6:$AI$505,"&lt;="&amp;$A283,実績!$AJ$6:$AJ$505,"&gt;"&amp;$A283,実績!$AL$6:$AL$505,"○")&gt;0,1,0))</f>
        <v>0</v>
      </c>
      <c r="BO283" s="39" t="n">
        <f aca="false">IF(BO$4=0,0,IF(COUNTIFS(実績!$W$6:$W$505,BO$3,実績!$AI$6:$AI$505,"&lt;="&amp;$A283,実績!$AJ$6:$AJ$505,"&gt;"&amp;$A283,実績!$AL$6:$AL$505,"○")&gt;0,1,0))</f>
        <v>0</v>
      </c>
      <c r="BP283" s="39" t="n">
        <f aca="false">IF(BP$4=0,0,IF(COUNTIFS(実績!$W$6:$W$505,BP$3,実績!$AI$6:$AI$505,"&lt;="&amp;$A283,実績!$AJ$6:$AJ$505,"&gt;"&amp;$A283,実績!$AL$6:$AL$505,"○")&gt;0,1,0))</f>
        <v>0</v>
      </c>
      <c r="BQ283" s="39" t="n">
        <f aca="false">IF(BQ$4=0,0,IF(COUNTIFS(実績!$W$6:$W$505,BQ$3,実績!$AI$6:$AI$505,"&lt;="&amp;$A283,実績!$AJ$6:$AJ$505,"&gt;"&amp;$A283,実績!$AL$6:$AL$505,"○")&gt;0,1,0))</f>
        <v>0</v>
      </c>
      <c r="BR283" s="39" t="n">
        <f aca="false">IF(BR$4=0,0,IF(COUNTIFS(実績!$W$6:$W$505,BR$3,実績!$AI$6:$AI$505,"&lt;="&amp;$A283,実績!$AJ$6:$AJ$505,"&gt;"&amp;$A283,実績!$AL$6:$AL$505,"○")&gt;0,1,0))</f>
        <v>0</v>
      </c>
      <c r="BS283" s="39" t="n">
        <f aca="false">IF(BS$4=0,0,IF(COUNTIFS(実績!$W$6:$W$505,BS$3,実績!$AI$6:$AI$505,"&lt;="&amp;$A283,実績!$AJ$6:$AJ$505,"&gt;"&amp;$A283,実績!$AL$6:$AL$505,"○")&gt;0,1,0))</f>
        <v>0</v>
      </c>
      <c r="BT283" s="39" t="n">
        <f aca="false">IF(BT$4=0,0,IF(COUNTIFS(実績!$W$6:$W$505,BT$3,実績!$AI$6:$AI$505,"&lt;="&amp;$A283,実績!$AJ$6:$AJ$505,"&gt;"&amp;$A283,実績!$AL$6:$AL$505,"○")&gt;0,1,0))</f>
        <v>0</v>
      </c>
      <c r="BU283" s="39" t="n">
        <f aca="false">IF(BU$4=0,0,IF(COUNTIFS(実績!$W$6:$W$505,BU$3,実績!$AI$6:$AI$505,"&lt;="&amp;$A283,実績!$AJ$6:$AJ$505,"&gt;"&amp;$A283,実績!$AL$6:$AL$505,"○")&gt;0,1,0))</f>
        <v>0</v>
      </c>
      <c r="BV283" s="39" t="n">
        <f aca="false">IF(BV$4=0,0,IF(COUNTIFS(実績!$W$6:$W$505,BV$3,実績!$AI$6:$AI$505,"&lt;="&amp;$A283,実績!$AJ$6:$AJ$505,"&gt;"&amp;$A283,実績!$AL$6:$AL$505,"○")&gt;0,1,0))</f>
        <v>0</v>
      </c>
      <c r="BW283" s="39" t="n">
        <f aca="false">IF(BW$4=0,0,IF(COUNTIFS(実績!$W$6:$W$505,BW$3,実績!$AI$6:$AI$505,"&lt;="&amp;$A283,実績!$AJ$6:$AJ$505,"&gt;"&amp;$A283,実績!$AL$6:$AL$505,"○")&gt;0,1,0))</f>
        <v>0</v>
      </c>
      <c r="BX283" s="39" t="n">
        <f aca="false">IF(BX$4=0,0,IF(COUNTIFS(実績!$W$6:$W$505,BX$3,実績!$AI$6:$AI$505,"&lt;="&amp;$A283,実績!$AJ$6:$AJ$505,"&gt;"&amp;$A283,実績!$AL$6:$AL$505,"○")&gt;0,1,0))</f>
        <v>0</v>
      </c>
      <c r="BY283" s="39" t="n">
        <f aca="false">IF(BY$4=0,0,IF(COUNTIFS(実績!$W$6:$W$505,BY$3,実績!$AI$6:$AI$505,"&lt;="&amp;$A283,実績!$AJ$6:$AJ$505,"&gt;"&amp;$A283,実績!$AL$6:$AL$505,"○")&gt;0,1,0))</f>
        <v>0</v>
      </c>
      <c r="BZ283" s="39" t="n">
        <f aca="false">IF(BZ$4=0,0,IF(COUNTIFS(実績!$W$6:$W$505,BZ$3,実績!$AI$6:$AI$505,"&lt;="&amp;$A283,実績!$AJ$6:$AJ$505,"&gt;"&amp;$A283,実績!$AL$6:$AL$505,"○")&gt;0,1,0))</f>
        <v>0</v>
      </c>
      <c r="CA283" s="39" t="n">
        <f aca="false">IF(CA$4=0,0,IF(COUNTIFS(実績!$W$6:$W$505,CA$3,実績!$AI$6:$AI$505,"&lt;="&amp;$A283,実績!$AJ$6:$AJ$505,"&gt;"&amp;$A283,実績!$AL$6:$AL$505,"○")&gt;0,1,0))</f>
        <v>0</v>
      </c>
      <c r="CB283" s="39" t="n">
        <f aca="false">IF(CB$4=0,0,IF(COUNTIFS(実績!$W$6:$W$505,CB$3,実績!$AI$6:$AI$505,"&lt;="&amp;$A283,実績!$AJ$6:$AJ$505,"&gt;"&amp;$A283,実績!$AL$6:$AL$505,"○")&gt;0,1,0))</f>
        <v>0</v>
      </c>
      <c r="CC283" s="39" t="n">
        <f aca="false">IF(CC$4=0,0,IF(COUNTIFS(実績!$W$6:$W$505,CC$3,実績!$AI$6:$AI$505,"&lt;="&amp;$A283,実績!$AJ$6:$AJ$505,"&gt;"&amp;$A283,実績!$AL$6:$AL$505,"○")&gt;0,1,0))</f>
        <v>0</v>
      </c>
      <c r="CD283" s="39" t="n">
        <f aca="false">IF(CD$4=0,0,IF(COUNTIFS(実績!$W$6:$W$505,CD$3,実績!$AI$6:$AI$505,"&lt;="&amp;$A283,実績!$AJ$6:$AJ$505,"&gt;"&amp;$A283,実績!$AL$6:$AL$505,"○")&gt;0,1,0))</f>
        <v>0</v>
      </c>
      <c r="CE283" s="39" t="n">
        <f aca="false">IF(CE$4=0,0,IF(COUNTIFS(実績!$W$6:$W$505,CE$3,実績!$AI$6:$AI$505,"&lt;="&amp;$A283,実績!$AJ$6:$AJ$505,"&gt;"&amp;$A283,実績!$AL$6:$AL$505,"○")&gt;0,1,0))</f>
        <v>0</v>
      </c>
      <c r="CF283" s="39" t="n">
        <f aca="false">IF(CF$4=0,0,IF(COUNTIFS(実績!$W$6:$W$505,CF$3,実績!$AI$6:$AI$505,"&lt;="&amp;$A283,実績!$AJ$6:$AJ$505,"&gt;"&amp;$A283,実績!$AL$6:$AL$505,"○")&gt;0,1,0))</f>
        <v>0</v>
      </c>
      <c r="CG283" s="39" t="n">
        <f aca="false">IF(CG$4=0,0,IF(COUNTIFS(実績!$W$6:$W$505,CG$3,実績!$AI$6:$AI$505,"&lt;="&amp;$A283,実績!$AJ$6:$AJ$505,"&gt;"&amp;$A283,実績!$AL$6:$AL$505,"○")&gt;0,1,0))</f>
        <v>0</v>
      </c>
      <c r="CH283" s="39" t="n">
        <f aca="false">IF(CH$4=0,0,IF(COUNTIFS(実績!$W$6:$W$505,CH$3,実績!$AI$6:$AI$505,"&lt;="&amp;$A283,実績!$AJ$6:$AJ$505,"&gt;"&amp;$A283,実績!$AL$6:$AL$505,"○")&gt;0,1,0))</f>
        <v>0</v>
      </c>
      <c r="CI283" s="39" t="n">
        <f aca="false">IF(CI$4=0,0,IF(COUNTIFS(実績!$W$6:$W$505,CI$3,実績!$AI$6:$AI$505,"&lt;="&amp;$A283,実績!$AJ$6:$AJ$505,"&gt;"&amp;$A283,実績!$AL$6:$AL$505,"○")&gt;0,1,0))</f>
        <v>0</v>
      </c>
      <c r="CJ283" s="39" t="n">
        <f aca="false">IF(CJ$4=0,0,IF(COUNTIFS(実績!$W$6:$W$505,CJ$3,実績!$AI$6:$AI$505,"&lt;="&amp;$A283,実績!$AJ$6:$AJ$505,"&gt;"&amp;$A283,実績!$AL$6:$AL$505,"○")&gt;0,1,0))</f>
        <v>0</v>
      </c>
      <c r="CK283" s="39" t="n">
        <f aca="false">IF(CK$4=0,0,IF(COUNTIFS(実績!$W$6:$W$505,CK$3,実績!$AI$6:$AI$505,"&lt;="&amp;$A283,実績!$AJ$6:$AJ$505,"&gt;"&amp;$A283,実績!$AL$6:$AL$505,"○")&gt;0,1,0))</f>
        <v>0</v>
      </c>
      <c r="CL283" s="39" t="n">
        <f aca="false">IF(CL$4=0,0,IF(COUNTIFS(実績!$W$6:$W$505,CL$3,実績!$AI$6:$AI$505,"&lt;="&amp;$A283,実績!$AJ$6:$AJ$505,"&gt;"&amp;$A283,実績!$AL$6:$AL$505,"○")&gt;0,1,0))</f>
        <v>0</v>
      </c>
      <c r="CM283" s="39" t="n">
        <f aca="false">IF(CM$4=0,0,IF(COUNTIFS(実績!$W$6:$W$505,CM$3,実績!$AI$6:$AI$505,"&lt;="&amp;$A283,実績!$AJ$6:$AJ$505,"&gt;"&amp;$A283,実績!$AL$6:$AL$505,"○")&gt;0,1,0))</f>
        <v>0</v>
      </c>
      <c r="CN283" s="39" t="n">
        <f aca="false">IF(CN$4=0,0,IF(COUNTIFS(実績!$W$6:$W$505,CN$3,実績!$AI$6:$AI$505,"&lt;="&amp;$A283,実績!$AJ$6:$AJ$505,"&gt;"&amp;$A283,実績!$AL$6:$AL$505,"○")&gt;0,1,0))</f>
        <v>0</v>
      </c>
      <c r="CO283" s="39" t="n">
        <f aca="false">IF(CO$4=0,0,IF(COUNTIFS(実績!$W$6:$W$505,CO$3,実績!$AI$6:$AI$505,"&lt;="&amp;$A283,実績!$AJ$6:$AJ$505,"&gt;"&amp;$A283,実績!$AL$6:$AL$505,"○")&gt;0,1,0))</f>
        <v>0</v>
      </c>
      <c r="CP283" s="39" t="n">
        <f aca="false">IF(CP$4=0,0,IF(COUNTIFS(実績!$W$6:$W$505,CP$3,実績!$AI$6:$AI$505,"&lt;="&amp;$A283,実績!$AJ$6:$AJ$505,"&gt;"&amp;$A283,実績!$AL$6:$AL$505,"○")&gt;0,1,0))</f>
        <v>0</v>
      </c>
      <c r="CQ283" s="39" t="n">
        <f aca="false">IF(CQ$4=0,0,IF(COUNTIFS(実績!$W$6:$W$505,CQ$3,実績!$AI$6:$AI$505,"&lt;="&amp;$A283,実績!$AJ$6:$AJ$505,"&gt;"&amp;$A283,実績!$AL$6:$AL$505,"○")&gt;0,1,0))</f>
        <v>0</v>
      </c>
      <c r="CR283" s="39" t="n">
        <f aca="false">IF(CR$4=0,0,IF(COUNTIFS(実績!$W$6:$W$505,CR$3,実績!$AI$6:$AI$505,"&lt;="&amp;$A283,実績!$AJ$6:$AJ$505,"&gt;"&amp;$A283,実績!$AL$6:$AL$505,"○")&gt;0,1,0))</f>
        <v>0</v>
      </c>
      <c r="CS283" s="39" t="n">
        <f aca="false">IF(CS$4=0,0,IF(COUNTIFS(実績!$W$6:$W$505,CS$3,実績!$AI$6:$AI$505,"&lt;="&amp;$A283,実績!$AJ$6:$AJ$505,"&gt;"&amp;$A283,実績!$AL$6:$AL$505,"○")&gt;0,1,0))</f>
        <v>0</v>
      </c>
      <c r="CT283" s="39" t="n">
        <f aca="false">IF(CT$4=0,0,IF(COUNTIFS(実績!$W$6:$W$505,CT$3,実績!$AI$6:$AI$505,"&lt;="&amp;$A283,実績!$AJ$6:$AJ$505,"&gt;"&amp;$A283,実績!$AL$6:$AL$505,"○")&gt;0,1,0))</f>
        <v>0</v>
      </c>
      <c r="CU283" s="39" t="n">
        <f aca="false">IF(CU$4=0,0,IF(COUNTIFS(実績!$W$6:$W$505,CU$3,実績!$AI$6:$AI$505,"&lt;="&amp;$A283,実績!$AJ$6:$AJ$505,"&gt;"&amp;$A283,実績!$AL$6:$AL$505,"○")&gt;0,1,0))</f>
        <v>0</v>
      </c>
      <c r="CV283" s="39" t="n">
        <f aca="false">IF(CV$4=0,0,IF(COUNTIFS(実績!$W$6:$W$505,CV$3,実績!$AI$6:$AI$505,"&lt;="&amp;$A283,実績!$AJ$6:$AJ$505,"&gt;"&amp;$A283,実績!$AL$6:$AL$505,"○")&gt;0,1,0))</f>
        <v>0</v>
      </c>
      <c r="CW283" s="39" t="n">
        <f aca="false">IF(CW$4=0,0,IF(COUNTIFS(実績!$W$6:$W$505,CW$3,実績!$AI$6:$AI$505,"&lt;="&amp;$A283,実績!$AJ$6:$AJ$505,"&gt;"&amp;$A283,実績!$AL$6:$AL$505,"○")&gt;0,1,0))</f>
        <v>0</v>
      </c>
      <c r="CX283" s="39" t="n">
        <f aca="false">IF(CX$4=0,0,IF(COUNTIFS(実績!$W$6:$W$505,CX$3,実績!$AI$6:$AI$505,"&lt;="&amp;$A283,実績!$AJ$6:$AJ$505,"&gt;"&amp;$A283,実績!$AL$6:$AL$505,"○")&gt;0,1,0))</f>
        <v>0</v>
      </c>
      <c r="CY283" s="39" t="n">
        <f aca="false">IF(CY$4=0,0,IF(COUNTIFS(実績!$W$6:$W$505,CY$3,実績!$AI$6:$AI$505,"&lt;="&amp;$A283,実績!$AJ$6:$AJ$505,"&gt;"&amp;$A283,実績!$AL$6:$AL$505,"○")&gt;0,1,0))</f>
        <v>0</v>
      </c>
      <c r="CZ283" s="39" t="n">
        <f aca="false">IF(CZ$4=0,0,IF(COUNTIFS(実績!$W$6:$W$505,CZ$3,実績!$AI$6:$AI$505,"&lt;="&amp;$A283,実績!$AJ$6:$AJ$505,"&gt;"&amp;$A283,実績!$AL$6:$AL$505,"○")&gt;0,1,0))</f>
        <v>0</v>
      </c>
      <c r="DA283" s="39" t="n">
        <f aca="false">IF(DA$4=0,0,IF(COUNTIFS(実績!$W$6:$W$505,DA$3,実績!$AI$6:$AI$505,"&lt;="&amp;$A283,実績!$AJ$6:$AJ$505,"&gt;"&amp;$A283,実績!$AL$6:$AL$505,"○")&gt;0,1,0))</f>
        <v>0</v>
      </c>
      <c r="DB283" s="39" t="n">
        <f aca="false">IF(DB$4=0,0,IF(COUNTIFS(実績!$W$6:$W$505,DB$3,実績!$AI$6:$AI$505,"&lt;="&amp;$A283,実績!$AJ$6:$AJ$505,"&gt;"&amp;$A283,実績!$AL$6:$AL$505,"○")&gt;0,1,0))</f>
        <v>0</v>
      </c>
      <c r="DC283" s="39" t="n">
        <f aca="false">IF(DC$4=0,0,IF(COUNTIFS(実績!$W$6:$W$505,DC$3,実績!$AI$6:$AI$505,"&lt;="&amp;$A283,実績!$AJ$6:$AJ$505,"&gt;"&amp;$A283,実績!$AL$6:$AL$505,"○")&gt;0,1,0))</f>
        <v>0</v>
      </c>
      <c r="DD283" s="39" t="n">
        <f aca="false">IF(DD$4=0,0,IF(COUNTIFS(実績!$W$6:$W$505,DD$3,実績!$AI$6:$AI$505,"&lt;="&amp;$A283,実績!$AJ$6:$AJ$505,"&gt;"&amp;$A283,実績!$AL$6:$AL$505,"○")&gt;0,1,0))</f>
        <v>0</v>
      </c>
      <c r="DE283" s="39" t="n">
        <f aca="false">IF(DE$4=0,0,IF(COUNTIFS(実績!$W$6:$W$505,DE$3,実績!$AI$6:$AI$505,"&lt;="&amp;$A283,実績!$AJ$6:$AJ$505,"&gt;"&amp;$A283,実績!$AL$6:$AL$505,"○")&gt;0,1,0))</f>
        <v>0</v>
      </c>
      <c r="DF283" s="39" t="n">
        <f aca="false">IF(DF$4=0,0,IF(COUNTIFS(実績!$W$6:$W$505,DF$3,実績!$AI$6:$AI$505,"&lt;="&amp;$A283,実績!$AJ$6:$AJ$505,"&gt;"&amp;$A283,実績!$AL$6:$AL$505,"○")&gt;0,1,0))</f>
        <v>0</v>
      </c>
      <c r="DG283" s="39" t="n">
        <f aca="false">IF(DG$4=0,0,IF(COUNTIFS(実績!$W$6:$W$505,DG$3,実績!$AI$6:$AI$505,"&lt;="&amp;$A283,実績!$AJ$6:$AJ$505,"&gt;"&amp;$A283,実績!$AL$6:$AL$505,"○")&gt;0,1,0))</f>
        <v>0</v>
      </c>
      <c r="DH283" s="39" t="n">
        <f aca="false">IF(DH$4=0,0,IF(COUNTIFS(実績!$W$6:$W$505,DH$3,実績!$AI$6:$AI$505,"&lt;="&amp;$A283,実績!$AJ$6:$AJ$505,"&gt;"&amp;$A283,実績!$AL$6:$AL$505,"○")&gt;0,1,0))</f>
        <v>0</v>
      </c>
      <c r="DI283" s="39" t="n">
        <f aca="false">IF(DI$4=0,0,IF(COUNTIFS(実績!$W$6:$W$505,DI$3,実績!$AI$6:$AI$505,"&lt;="&amp;$A283,実績!$AJ$6:$AJ$505,"&gt;"&amp;$A283,実績!$AL$6:$AL$505,"○")&gt;0,1,0))</f>
        <v>0</v>
      </c>
      <c r="DJ283" s="39" t="n">
        <f aca="false">IF(DJ$4=0,0,IF(COUNTIFS(実績!$W$6:$W$505,DJ$3,実績!$AI$6:$AI$505,"&lt;="&amp;$A283,実績!$AJ$6:$AJ$505,"&gt;"&amp;$A283,実績!$AL$6:$AL$505,"○")&gt;0,1,0))</f>
        <v>0</v>
      </c>
      <c r="DK283" s="39" t="n">
        <f aca="false">IF(DK$4=0,0,IF(COUNTIFS(実績!$W$6:$W$505,DK$3,実績!$AI$6:$AI$505,"&lt;="&amp;$A283,実績!$AJ$6:$AJ$505,"&gt;"&amp;$A283,実績!$AL$6:$AL$505,"○")&gt;0,1,0))</f>
        <v>0</v>
      </c>
      <c r="DL283" s="39" t="n">
        <f aca="false">IF(DL$4=0,0,IF(COUNTIFS(実績!$W$6:$W$505,DL$3,実績!$AI$6:$AI$505,"&lt;="&amp;$A283,実績!$AJ$6:$AJ$505,"&gt;"&amp;$A283,実績!$AL$6:$AL$505,"○")&gt;0,1,0))</f>
        <v>0</v>
      </c>
      <c r="DM283" s="39" t="n">
        <f aca="false">IF(DM$4=0,0,IF(COUNTIFS(実績!$W$6:$W$505,DM$3,実績!$AI$6:$AI$505,"&lt;="&amp;$A283,実績!$AJ$6:$AJ$505,"&gt;"&amp;$A283,実績!$AL$6:$AL$505,"○")&gt;0,1,0))</f>
        <v>0</v>
      </c>
      <c r="DN283" s="39" t="n">
        <f aca="false">IF(DN$4=0,0,IF(COUNTIFS(実績!$W$6:$W$505,DN$3,実績!$AI$6:$AI$505,"&lt;="&amp;$A283,実績!$AJ$6:$AJ$505,"&gt;"&amp;$A283,実績!$AL$6:$AL$505,"○")&gt;0,1,0))</f>
        <v>0</v>
      </c>
      <c r="DO283" s="39" t="n">
        <f aca="false">IF(DO$4=0,0,IF(COUNTIFS(実績!$W$6:$W$505,DO$3,実績!$AI$6:$AI$505,"&lt;="&amp;$A283,実績!$AJ$6:$AJ$505,"&gt;"&amp;$A283,実績!$AL$6:$AL$505,"○")&gt;0,1,0))</f>
        <v>0</v>
      </c>
      <c r="DP283" s="39" t="n">
        <f aca="false">IF(DP$4=0,0,IF(COUNTIFS(実績!$W$6:$W$505,DP$3,実績!$AI$6:$AI$505,"&lt;="&amp;$A283,実績!$AJ$6:$AJ$505,"&gt;"&amp;$A283,実績!$AL$6:$AL$505,"○")&gt;0,1,0))</f>
        <v>0</v>
      </c>
      <c r="DQ283" s="39" t="n">
        <f aca="false">IF(DQ$4=0,0,IF(COUNTIFS(実績!$W$6:$W$505,DQ$3,実績!$AI$6:$AI$505,"&lt;="&amp;$A283,実績!$AJ$6:$AJ$505,"&gt;"&amp;$A283,実績!$AL$6:$AL$505,"○")&gt;0,1,0))</f>
        <v>0</v>
      </c>
      <c r="DR283" s="39" t="n">
        <f aca="false">IF(DR$4=0,0,IF(COUNTIFS(実績!$W$6:$W$505,DR$3,実績!$AI$6:$AI$505,"&lt;="&amp;$A283,実績!$AJ$6:$AJ$505,"&gt;"&amp;$A283,実績!$AL$6:$AL$505,"○")&gt;0,1,0))</f>
        <v>0</v>
      </c>
      <c r="DS283" s="39" t="n">
        <f aca="false">SUM(C283:DR283)</f>
        <v>0</v>
      </c>
    </row>
    <row r="284" customFormat="false" ht="15" hidden="false" customHeight="false" outlineLevel="0" collapsed="false">
      <c r="A284" s="0" t="n">
        <v>1390</v>
      </c>
      <c r="B284" s="38" t="n">
        <f aca="false">A284/1440</f>
        <v>0.965277777777778</v>
      </c>
      <c r="C284" s="39" t="n">
        <f aca="false">IF(C$4=0,0,IF(COUNTIFS(実績!$W$6:$W$505,C$3,実績!$AI$6:$AI$505,"&lt;="&amp;$A284,実績!$AJ$6:$AJ$505,"&gt;"&amp;$A284,実績!$AL$6:$AL$505,"○")&gt;0,1,0))</f>
        <v>0</v>
      </c>
      <c r="D284" s="39" t="n">
        <f aca="false">IF(D$4=0,0,IF(COUNTIFS(実績!$W$6:$W$505,D$3,実績!$AI$6:$AI$505,"&lt;="&amp;$A284,実績!$AJ$6:$AJ$505,"&gt;"&amp;$A284,実績!$AL$6:$AL$505,"○")&gt;0,1,0))</f>
        <v>0</v>
      </c>
      <c r="E284" s="39" t="n">
        <f aca="false">IF(E$4=0,0,IF(COUNTIFS(実績!$W$6:$W$505,E$3,実績!$AI$6:$AI$505,"&lt;="&amp;$A284,実績!$AJ$6:$AJ$505,"&gt;"&amp;$A284,実績!$AL$6:$AL$505,"○")&gt;0,1,0))</f>
        <v>0</v>
      </c>
      <c r="F284" s="39" t="n">
        <f aca="false">IF(F$4=0,0,IF(COUNTIFS(実績!$W$6:$W$505,F$3,実績!$AI$6:$AI$505,"&lt;="&amp;$A284,実績!$AJ$6:$AJ$505,"&gt;"&amp;$A284,実績!$AL$6:$AL$505,"○")&gt;0,1,0))</f>
        <v>0</v>
      </c>
      <c r="G284" s="39" t="n">
        <f aca="false">IF(G$4=0,0,IF(COUNTIFS(実績!$W$6:$W$505,G$3,実績!$AI$6:$AI$505,"&lt;="&amp;$A284,実績!$AJ$6:$AJ$505,"&gt;"&amp;$A284,実績!$AL$6:$AL$505,"○")&gt;0,1,0))</f>
        <v>0</v>
      </c>
      <c r="H284" s="39" t="n">
        <f aca="false">IF(H$4=0,0,IF(COUNTIFS(実績!$W$6:$W$505,H$3,実績!$AI$6:$AI$505,"&lt;="&amp;$A284,実績!$AJ$6:$AJ$505,"&gt;"&amp;$A284,実績!$AL$6:$AL$505,"○")&gt;0,1,0))</f>
        <v>0</v>
      </c>
      <c r="I284" s="39" t="n">
        <f aca="false">IF(I$4=0,0,IF(COUNTIFS(実績!$W$6:$W$505,I$3,実績!$AI$6:$AI$505,"&lt;="&amp;$A284,実績!$AJ$6:$AJ$505,"&gt;"&amp;$A284,実績!$AL$6:$AL$505,"○")&gt;0,1,0))</f>
        <v>0</v>
      </c>
      <c r="J284" s="39" t="n">
        <f aca="false">IF(J$4=0,0,IF(COUNTIFS(実績!$W$6:$W$505,J$3,実績!$AI$6:$AI$505,"&lt;="&amp;$A284,実績!$AJ$6:$AJ$505,"&gt;"&amp;$A284,実績!$AL$6:$AL$505,"○")&gt;0,1,0))</f>
        <v>0</v>
      </c>
      <c r="K284" s="39" t="n">
        <f aca="false">IF(K$4=0,0,IF(COUNTIFS(実績!$W$6:$W$505,K$3,実績!$AI$6:$AI$505,"&lt;="&amp;$A284,実績!$AJ$6:$AJ$505,"&gt;"&amp;$A284,実績!$AL$6:$AL$505,"○")&gt;0,1,0))</f>
        <v>0</v>
      </c>
      <c r="L284" s="39" t="n">
        <f aca="false">IF(L$4=0,0,IF(COUNTIFS(実績!$W$6:$W$505,L$3,実績!$AI$6:$AI$505,"&lt;="&amp;$A284,実績!$AJ$6:$AJ$505,"&gt;"&amp;$A284,実績!$AL$6:$AL$505,"○")&gt;0,1,0))</f>
        <v>0</v>
      </c>
      <c r="M284" s="39" t="n">
        <f aca="false">IF(M$4=0,0,IF(COUNTIFS(実績!$W$6:$W$505,M$3,実績!$AI$6:$AI$505,"&lt;="&amp;$A284,実績!$AJ$6:$AJ$505,"&gt;"&amp;$A284,実績!$AL$6:$AL$505,"○")&gt;0,1,0))</f>
        <v>0</v>
      </c>
      <c r="N284" s="39" t="n">
        <f aca="false">IF(N$4=0,0,IF(COUNTIFS(実績!$W$6:$W$505,N$3,実績!$AI$6:$AI$505,"&lt;="&amp;$A284,実績!$AJ$6:$AJ$505,"&gt;"&amp;$A284,実績!$AL$6:$AL$505,"○")&gt;0,1,0))</f>
        <v>0</v>
      </c>
      <c r="O284" s="39" t="n">
        <f aca="false">IF(O$4=0,0,IF(COUNTIFS(実績!$W$6:$W$505,O$3,実績!$AI$6:$AI$505,"&lt;="&amp;$A284,実績!$AJ$6:$AJ$505,"&gt;"&amp;$A284,実績!$AL$6:$AL$505,"○")&gt;0,1,0))</f>
        <v>0</v>
      </c>
      <c r="P284" s="39" t="n">
        <f aca="false">IF(P$4=0,0,IF(COUNTIFS(実績!$W$6:$W$505,P$3,実績!$AI$6:$AI$505,"&lt;="&amp;$A284,実績!$AJ$6:$AJ$505,"&gt;"&amp;$A284,実績!$AL$6:$AL$505,"○")&gt;0,1,0))</f>
        <v>0</v>
      </c>
      <c r="Q284" s="39" t="n">
        <f aca="false">IF(Q$4=0,0,IF(COUNTIFS(実績!$W$6:$W$505,Q$3,実績!$AI$6:$AI$505,"&lt;="&amp;$A284,実績!$AJ$6:$AJ$505,"&gt;"&amp;$A284,実績!$AL$6:$AL$505,"○")&gt;0,1,0))</f>
        <v>0</v>
      </c>
      <c r="R284" s="39" t="n">
        <f aca="false">IF(R$4=0,0,IF(COUNTIFS(実績!$W$6:$W$505,R$3,実績!$AI$6:$AI$505,"&lt;="&amp;$A284,実績!$AJ$6:$AJ$505,"&gt;"&amp;$A284,実績!$AL$6:$AL$505,"○")&gt;0,1,0))</f>
        <v>0</v>
      </c>
      <c r="S284" s="39" t="n">
        <f aca="false">IF(S$4=0,0,IF(COUNTIFS(実績!$W$6:$W$505,S$3,実績!$AI$6:$AI$505,"&lt;="&amp;$A284,実績!$AJ$6:$AJ$505,"&gt;"&amp;$A284,実績!$AL$6:$AL$505,"○")&gt;0,1,0))</f>
        <v>0</v>
      </c>
      <c r="T284" s="39" t="n">
        <f aca="false">IF(T$4=0,0,IF(COUNTIFS(実績!$W$6:$W$505,T$3,実績!$AI$6:$AI$505,"&lt;="&amp;$A284,実績!$AJ$6:$AJ$505,"&gt;"&amp;$A284,実績!$AL$6:$AL$505,"○")&gt;0,1,0))</f>
        <v>0</v>
      </c>
      <c r="U284" s="39" t="n">
        <f aca="false">IF(U$4=0,0,IF(COUNTIFS(実績!$W$6:$W$505,U$3,実績!$AI$6:$AI$505,"&lt;="&amp;$A284,実績!$AJ$6:$AJ$505,"&gt;"&amp;$A284,実績!$AL$6:$AL$505,"○")&gt;0,1,0))</f>
        <v>0</v>
      </c>
      <c r="V284" s="39" t="n">
        <f aca="false">IF(V$4=0,0,IF(COUNTIFS(実績!$W$6:$W$505,V$3,実績!$AI$6:$AI$505,"&lt;="&amp;$A284,実績!$AJ$6:$AJ$505,"&gt;"&amp;$A284,実績!$AL$6:$AL$505,"○")&gt;0,1,0))</f>
        <v>0</v>
      </c>
      <c r="W284" s="39" t="n">
        <f aca="false">IF(W$4=0,0,IF(COUNTIFS(実績!$W$6:$W$505,W$3,実績!$AI$6:$AI$505,"&lt;="&amp;$A284,実績!$AJ$6:$AJ$505,"&gt;"&amp;$A284,実績!$AL$6:$AL$505,"○")&gt;0,1,0))</f>
        <v>0</v>
      </c>
      <c r="X284" s="39" t="n">
        <f aca="false">IF(X$4=0,0,IF(COUNTIFS(実績!$W$6:$W$505,X$3,実績!$AI$6:$AI$505,"&lt;="&amp;$A284,実績!$AJ$6:$AJ$505,"&gt;"&amp;$A284,実績!$AL$6:$AL$505,"○")&gt;0,1,0))</f>
        <v>0</v>
      </c>
      <c r="Y284" s="39" t="n">
        <f aca="false">IF(Y$4=0,0,IF(COUNTIFS(実績!$W$6:$W$505,Y$3,実績!$AI$6:$AI$505,"&lt;="&amp;$A284,実績!$AJ$6:$AJ$505,"&gt;"&amp;$A284,実績!$AL$6:$AL$505,"○")&gt;0,1,0))</f>
        <v>0</v>
      </c>
      <c r="Z284" s="39" t="n">
        <f aca="false">IF(Z$4=0,0,IF(COUNTIFS(実績!$W$6:$W$505,Z$3,実績!$AI$6:$AI$505,"&lt;="&amp;$A284,実績!$AJ$6:$AJ$505,"&gt;"&amp;$A284,実績!$AL$6:$AL$505,"○")&gt;0,1,0))</f>
        <v>0</v>
      </c>
      <c r="AA284" s="39" t="n">
        <f aca="false">IF(AA$4=0,0,IF(COUNTIFS(実績!$W$6:$W$505,AA$3,実績!$AI$6:$AI$505,"&lt;="&amp;$A284,実績!$AJ$6:$AJ$505,"&gt;"&amp;$A284,実績!$AL$6:$AL$505,"○")&gt;0,1,0))</f>
        <v>0</v>
      </c>
      <c r="AB284" s="39" t="n">
        <f aca="false">IF(AB$4=0,0,IF(COUNTIFS(実績!$W$6:$W$505,AB$3,実績!$AI$6:$AI$505,"&lt;="&amp;$A284,実績!$AJ$6:$AJ$505,"&gt;"&amp;$A284,実績!$AL$6:$AL$505,"○")&gt;0,1,0))</f>
        <v>0</v>
      </c>
      <c r="AC284" s="39" t="n">
        <f aca="false">IF(AC$4=0,0,IF(COUNTIFS(実績!$W$6:$W$505,AC$3,実績!$AI$6:$AI$505,"&lt;="&amp;$A284,実績!$AJ$6:$AJ$505,"&gt;"&amp;$A284,実績!$AL$6:$AL$505,"○")&gt;0,1,0))</f>
        <v>0</v>
      </c>
      <c r="AD284" s="39" t="n">
        <f aca="false">IF(AD$4=0,0,IF(COUNTIFS(実績!$W$6:$W$505,AD$3,実績!$AI$6:$AI$505,"&lt;="&amp;$A284,実績!$AJ$6:$AJ$505,"&gt;"&amp;$A284,実績!$AL$6:$AL$505,"○")&gt;0,1,0))</f>
        <v>0</v>
      </c>
      <c r="AE284" s="39" t="n">
        <f aca="false">IF(AE$4=0,0,IF(COUNTIFS(実績!$W$6:$W$505,AE$3,実績!$AI$6:$AI$505,"&lt;="&amp;$A284,実績!$AJ$6:$AJ$505,"&gt;"&amp;$A284,実績!$AL$6:$AL$505,"○")&gt;0,1,0))</f>
        <v>0</v>
      </c>
      <c r="AF284" s="39" t="n">
        <f aca="false">IF(AF$4=0,0,IF(COUNTIFS(実績!$W$6:$W$505,AF$3,実績!$AI$6:$AI$505,"&lt;="&amp;$A284,実績!$AJ$6:$AJ$505,"&gt;"&amp;$A284,実績!$AL$6:$AL$505,"○")&gt;0,1,0))</f>
        <v>0</v>
      </c>
      <c r="AG284" s="39" t="n">
        <f aca="false">IF(AG$4=0,0,IF(COUNTIFS(実績!$W$6:$W$505,AG$3,実績!$AI$6:$AI$505,"&lt;="&amp;$A284,実績!$AJ$6:$AJ$505,"&gt;"&amp;$A284,実績!$AL$6:$AL$505,"○")&gt;0,1,0))</f>
        <v>0</v>
      </c>
      <c r="AH284" s="39" t="n">
        <f aca="false">IF(AH$4=0,0,IF(COUNTIFS(実績!$W$6:$W$505,AH$3,実績!$AI$6:$AI$505,"&lt;="&amp;$A284,実績!$AJ$6:$AJ$505,"&gt;"&amp;$A284,実績!$AL$6:$AL$505,"○")&gt;0,1,0))</f>
        <v>0</v>
      </c>
      <c r="AI284" s="39" t="n">
        <f aca="false">IF(AI$4=0,0,IF(COUNTIFS(実績!$W$6:$W$505,AI$3,実績!$AI$6:$AI$505,"&lt;="&amp;$A284,実績!$AJ$6:$AJ$505,"&gt;"&amp;$A284,実績!$AL$6:$AL$505,"○")&gt;0,1,0))</f>
        <v>0</v>
      </c>
      <c r="AJ284" s="39" t="n">
        <f aca="false">IF(AJ$4=0,0,IF(COUNTIFS(実績!$W$6:$W$505,AJ$3,実績!$AI$6:$AI$505,"&lt;="&amp;$A284,実績!$AJ$6:$AJ$505,"&gt;"&amp;$A284,実績!$AL$6:$AL$505,"○")&gt;0,1,0))</f>
        <v>0</v>
      </c>
      <c r="AK284" s="39" t="n">
        <f aca="false">IF(AK$4=0,0,IF(COUNTIFS(実績!$W$6:$W$505,AK$3,実績!$AI$6:$AI$505,"&lt;="&amp;$A284,実績!$AJ$6:$AJ$505,"&gt;"&amp;$A284,実績!$AL$6:$AL$505,"○")&gt;0,1,0))</f>
        <v>0</v>
      </c>
      <c r="AL284" s="39" t="n">
        <f aca="false">IF(AL$4=0,0,IF(COUNTIFS(実績!$W$6:$W$505,AL$3,実績!$AI$6:$AI$505,"&lt;="&amp;$A284,実績!$AJ$6:$AJ$505,"&gt;"&amp;$A284,実績!$AL$6:$AL$505,"○")&gt;0,1,0))</f>
        <v>0</v>
      </c>
      <c r="AM284" s="39" t="n">
        <f aca="false">IF(AM$4=0,0,IF(COUNTIFS(実績!$W$6:$W$505,AM$3,実績!$AI$6:$AI$505,"&lt;="&amp;$A284,実績!$AJ$6:$AJ$505,"&gt;"&amp;$A284,実績!$AL$6:$AL$505,"○")&gt;0,1,0))</f>
        <v>0</v>
      </c>
      <c r="AN284" s="39" t="n">
        <f aca="false">IF(AN$4=0,0,IF(COUNTIFS(実績!$W$6:$W$505,AN$3,実績!$AI$6:$AI$505,"&lt;="&amp;$A284,実績!$AJ$6:$AJ$505,"&gt;"&amp;$A284,実績!$AL$6:$AL$505,"○")&gt;0,1,0))</f>
        <v>0</v>
      </c>
      <c r="AO284" s="39" t="n">
        <f aca="false">IF(AO$4=0,0,IF(COUNTIFS(実績!$W$6:$W$505,AO$3,実績!$AI$6:$AI$505,"&lt;="&amp;$A284,実績!$AJ$6:$AJ$505,"&gt;"&amp;$A284,実績!$AL$6:$AL$505,"○")&gt;0,1,0))</f>
        <v>0</v>
      </c>
      <c r="AP284" s="39" t="n">
        <f aca="false">IF(AP$4=0,0,IF(COUNTIFS(実績!$W$6:$W$505,AP$3,実績!$AI$6:$AI$505,"&lt;="&amp;$A284,実績!$AJ$6:$AJ$505,"&gt;"&amp;$A284,実績!$AL$6:$AL$505,"○")&gt;0,1,0))</f>
        <v>0</v>
      </c>
      <c r="AQ284" s="39" t="n">
        <f aca="false">IF(AQ$4=0,0,IF(COUNTIFS(実績!$W$6:$W$505,AQ$3,実績!$AI$6:$AI$505,"&lt;="&amp;$A284,実績!$AJ$6:$AJ$505,"&gt;"&amp;$A284,実績!$AL$6:$AL$505,"○")&gt;0,1,0))</f>
        <v>0</v>
      </c>
      <c r="AR284" s="39" t="n">
        <f aca="false">IF(AR$4=0,0,IF(COUNTIFS(実績!$W$6:$W$505,AR$3,実績!$AI$6:$AI$505,"&lt;="&amp;$A284,実績!$AJ$6:$AJ$505,"&gt;"&amp;$A284,実績!$AL$6:$AL$505,"○")&gt;0,1,0))</f>
        <v>0</v>
      </c>
      <c r="AS284" s="39" t="n">
        <f aca="false">IF(AS$4=0,0,IF(COUNTIFS(実績!$W$6:$W$505,AS$3,実績!$AI$6:$AI$505,"&lt;="&amp;$A284,実績!$AJ$6:$AJ$505,"&gt;"&amp;$A284,実績!$AL$6:$AL$505,"○")&gt;0,1,0))</f>
        <v>0</v>
      </c>
      <c r="AT284" s="39" t="n">
        <f aca="false">IF(AT$4=0,0,IF(COUNTIFS(実績!$W$6:$W$505,AT$3,実績!$AI$6:$AI$505,"&lt;="&amp;$A284,実績!$AJ$6:$AJ$505,"&gt;"&amp;$A284,実績!$AL$6:$AL$505,"○")&gt;0,1,0))</f>
        <v>0</v>
      </c>
      <c r="AU284" s="39" t="n">
        <f aca="false">IF(AU$4=0,0,IF(COUNTIFS(実績!$W$6:$W$505,AU$3,実績!$AI$6:$AI$505,"&lt;="&amp;$A284,実績!$AJ$6:$AJ$505,"&gt;"&amp;$A284,実績!$AL$6:$AL$505,"○")&gt;0,1,0))</f>
        <v>0</v>
      </c>
      <c r="AV284" s="39" t="n">
        <f aca="false">IF(AV$4=0,0,IF(COUNTIFS(実績!$W$6:$W$505,AV$3,実績!$AI$6:$AI$505,"&lt;="&amp;$A284,実績!$AJ$6:$AJ$505,"&gt;"&amp;$A284,実績!$AL$6:$AL$505,"○")&gt;0,1,0))</f>
        <v>0</v>
      </c>
      <c r="AW284" s="39" t="n">
        <f aca="false">IF(AW$4=0,0,IF(COUNTIFS(実績!$W$6:$W$505,AW$3,実績!$AI$6:$AI$505,"&lt;="&amp;$A284,実績!$AJ$6:$AJ$505,"&gt;"&amp;$A284,実績!$AL$6:$AL$505,"○")&gt;0,1,0))</f>
        <v>0</v>
      </c>
      <c r="AX284" s="39" t="n">
        <f aca="false">IF(AX$4=0,0,IF(COUNTIFS(実績!$W$6:$W$505,AX$3,実績!$AI$6:$AI$505,"&lt;="&amp;$A284,実績!$AJ$6:$AJ$505,"&gt;"&amp;$A284,実績!$AL$6:$AL$505,"○")&gt;0,1,0))</f>
        <v>0</v>
      </c>
      <c r="AY284" s="39" t="n">
        <f aca="false">IF(AY$4=0,0,IF(COUNTIFS(実績!$W$6:$W$505,AY$3,実績!$AI$6:$AI$505,"&lt;="&amp;$A284,実績!$AJ$6:$AJ$505,"&gt;"&amp;$A284,実績!$AL$6:$AL$505,"○")&gt;0,1,0))</f>
        <v>0</v>
      </c>
      <c r="AZ284" s="39" t="n">
        <f aca="false">IF(AZ$4=0,0,IF(COUNTIFS(実績!$W$6:$W$505,AZ$3,実績!$AI$6:$AI$505,"&lt;="&amp;$A284,実績!$AJ$6:$AJ$505,"&gt;"&amp;$A284,実績!$AL$6:$AL$505,"○")&gt;0,1,0))</f>
        <v>0</v>
      </c>
      <c r="BA284" s="39" t="n">
        <f aca="false">IF(BA$4=0,0,IF(COUNTIFS(実績!$W$6:$W$505,BA$3,実績!$AI$6:$AI$505,"&lt;="&amp;$A284,実績!$AJ$6:$AJ$505,"&gt;"&amp;$A284,実績!$AL$6:$AL$505,"○")&gt;0,1,0))</f>
        <v>0</v>
      </c>
      <c r="BB284" s="39" t="n">
        <f aca="false">IF(BB$4=0,0,IF(COUNTIFS(実績!$W$6:$W$505,BB$3,実績!$AI$6:$AI$505,"&lt;="&amp;$A284,実績!$AJ$6:$AJ$505,"&gt;"&amp;$A284,実績!$AL$6:$AL$505,"○")&gt;0,1,0))</f>
        <v>0</v>
      </c>
      <c r="BC284" s="39" t="n">
        <f aca="false">IF(BC$4=0,0,IF(COUNTIFS(実績!$W$6:$W$505,BC$3,実績!$AI$6:$AI$505,"&lt;="&amp;$A284,実績!$AJ$6:$AJ$505,"&gt;"&amp;$A284,実績!$AL$6:$AL$505,"○")&gt;0,1,0))</f>
        <v>0</v>
      </c>
      <c r="BD284" s="39" t="n">
        <f aca="false">IF(BD$4=0,0,IF(COUNTIFS(実績!$W$6:$W$505,BD$3,実績!$AI$6:$AI$505,"&lt;="&amp;$A284,実績!$AJ$6:$AJ$505,"&gt;"&amp;$A284,実績!$AL$6:$AL$505,"○")&gt;0,1,0))</f>
        <v>0</v>
      </c>
      <c r="BE284" s="39" t="n">
        <f aca="false">IF(BE$4=0,0,IF(COUNTIFS(実績!$W$6:$W$505,BE$3,実績!$AI$6:$AI$505,"&lt;="&amp;$A284,実績!$AJ$6:$AJ$505,"&gt;"&amp;$A284,実績!$AL$6:$AL$505,"○")&gt;0,1,0))</f>
        <v>0</v>
      </c>
      <c r="BF284" s="39" t="n">
        <f aca="false">IF(BF$4=0,0,IF(COUNTIFS(実績!$W$6:$W$505,BF$3,実績!$AI$6:$AI$505,"&lt;="&amp;$A284,実績!$AJ$6:$AJ$505,"&gt;"&amp;$A284,実績!$AL$6:$AL$505,"○")&gt;0,1,0))</f>
        <v>0</v>
      </c>
      <c r="BG284" s="39" t="n">
        <f aca="false">IF(BG$4=0,0,IF(COUNTIFS(実績!$W$6:$W$505,BG$3,実績!$AI$6:$AI$505,"&lt;="&amp;$A284,実績!$AJ$6:$AJ$505,"&gt;"&amp;$A284,実績!$AL$6:$AL$505,"○")&gt;0,1,0))</f>
        <v>0</v>
      </c>
      <c r="BH284" s="39" t="n">
        <f aca="false">IF(BH$4=0,0,IF(COUNTIFS(実績!$W$6:$W$505,BH$3,実績!$AI$6:$AI$505,"&lt;="&amp;$A284,実績!$AJ$6:$AJ$505,"&gt;"&amp;$A284,実績!$AL$6:$AL$505,"○")&gt;0,1,0))</f>
        <v>0</v>
      </c>
      <c r="BI284" s="39" t="n">
        <f aca="false">IF(BI$4=0,0,IF(COUNTIFS(実績!$W$6:$W$505,BI$3,実績!$AI$6:$AI$505,"&lt;="&amp;$A284,実績!$AJ$6:$AJ$505,"&gt;"&amp;$A284,実績!$AL$6:$AL$505,"○")&gt;0,1,0))</f>
        <v>0</v>
      </c>
      <c r="BJ284" s="39" t="n">
        <f aca="false">IF(BJ$4=0,0,IF(COUNTIFS(実績!$W$6:$W$505,BJ$3,実績!$AI$6:$AI$505,"&lt;="&amp;$A284,実績!$AJ$6:$AJ$505,"&gt;"&amp;$A284,実績!$AL$6:$AL$505,"○")&gt;0,1,0))</f>
        <v>0</v>
      </c>
      <c r="BK284" s="39" t="n">
        <f aca="false">IF(BK$4=0,0,IF(COUNTIFS(実績!$W$6:$W$505,BK$3,実績!$AI$6:$AI$505,"&lt;="&amp;$A284,実績!$AJ$6:$AJ$505,"&gt;"&amp;$A284,実績!$AL$6:$AL$505,"○")&gt;0,1,0))</f>
        <v>0</v>
      </c>
      <c r="BL284" s="39" t="n">
        <f aca="false">IF(BL$4=0,0,IF(COUNTIFS(実績!$W$6:$W$505,BL$3,実績!$AI$6:$AI$505,"&lt;="&amp;$A284,実績!$AJ$6:$AJ$505,"&gt;"&amp;$A284,実績!$AL$6:$AL$505,"○")&gt;0,1,0))</f>
        <v>0</v>
      </c>
      <c r="BM284" s="39" t="n">
        <f aca="false">IF(BM$4=0,0,IF(COUNTIFS(実績!$W$6:$W$505,BM$3,実績!$AI$6:$AI$505,"&lt;="&amp;$A284,実績!$AJ$6:$AJ$505,"&gt;"&amp;$A284,実績!$AL$6:$AL$505,"○")&gt;0,1,0))</f>
        <v>0</v>
      </c>
      <c r="BN284" s="39" t="n">
        <f aca="false">IF(BN$4=0,0,IF(COUNTIFS(実績!$W$6:$W$505,BN$3,実績!$AI$6:$AI$505,"&lt;="&amp;$A284,実績!$AJ$6:$AJ$505,"&gt;"&amp;$A284,実績!$AL$6:$AL$505,"○")&gt;0,1,0))</f>
        <v>0</v>
      </c>
      <c r="BO284" s="39" t="n">
        <f aca="false">IF(BO$4=0,0,IF(COUNTIFS(実績!$W$6:$W$505,BO$3,実績!$AI$6:$AI$505,"&lt;="&amp;$A284,実績!$AJ$6:$AJ$505,"&gt;"&amp;$A284,実績!$AL$6:$AL$505,"○")&gt;0,1,0))</f>
        <v>0</v>
      </c>
      <c r="BP284" s="39" t="n">
        <f aca="false">IF(BP$4=0,0,IF(COUNTIFS(実績!$W$6:$W$505,BP$3,実績!$AI$6:$AI$505,"&lt;="&amp;$A284,実績!$AJ$6:$AJ$505,"&gt;"&amp;$A284,実績!$AL$6:$AL$505,"○")&gt;0,1,0))</f>
        <v>0</v>
      </c>
      <c r="BQ284" s="39" t="n">
        <f aca="false">IF(BQ$4=0,0,IF(COUNTIFS(実績!$W$6:$W$505,BQ$3,実績!$AI$6:$AI$505,"&lt;="&amp;$A284,実績!$AJ$6:$AJ$505,"&gt;"&amp;$A284,実績!$AL$6:$AL$505,"○")&gt;0,1,0))</f>
        <v>0</v>
      </c>
      <c r="BR284" s="39" t="n">
        <f aca="false">IF(BR$4=0,0,IF(COUNTIFS(実績!$W$6:$W$505,BR$3,実績!$AI$6:$AI$505,"&lt;="&amp;$A284,実績!$AJ$6:$AJ$505,"&gt;"&amp;$A284,実績!$AL$6:$AL$505,"○")&gt;0,1,0))</f>
        <v>0</v>
      </c>
      <c r="BS284" s="39" t="n">
        <f aca="false">IF(BS$4=0,0,IF(COUNTIFS(実績!$W$6:$W$505,BS$3,実績!$AI$6:$AI$505,"&lt;="&amp;$A284,実績!$AJ$6:$AJ$505,"&gt;"&amp;$A284,実績!$AL$6:$AL$505,"○")&gt;0,1,0))</f>
        <v>0</v>
      </c>
      <c r="BT284" s="39" t="n">
        <f aca="false">IF(BT$4=0,0,IF(COUNTIFS(実績!$W$6:$W$505,BT$3,実績!$AI$6:$AI$505,"&lt;="&amp;$A284,実績!$AJ$6:$AJ$505,"&gt;"&amp;$A284,実績!$AL$6:$AL$505,"○")&gt;0,1,0))</f>
        <v>0</v>
      </c>
      <c r="BU284" s="39" t="n">
        <f aca="false">IF(BU$4=0,0,IF(COUNTIFS(実績!$W$6:$W$505,BU$3,実績!$AI$6:$AI$505,"&lt;="&amp;$A284,実績!$AJ$6:$AJ$505,"&gt;"&amp;$A284,実績!$AL$6:$AL$505,"○")&gt;0,1,0))</f>
        <v>0</v>
      </c>
      <c r="BV284" s="39" t="n">
        <f aca="false">IF(BV$4=0,0,IF(COUNTIFS(実績!$W$6:$W$505,BV$3,実績!$AI$6:$AI$505,"&lt;="&amp;$A284,実績!$AJ$6:$AJ$505,"&gt;"&amp;$A284,実績!$AL$6:$AL$505,"○")&gt;0,1,0))</f>
        <v>0</v>
      </c>
      <c r="BW284" s="39" t="n">
        <f aca="false">IF(BW$4=0,0,IF(COUNTIFS(実績!$W$6:$W$505,BW$3,実績!$AI$6:$AI$505,"&lt;="&amp;$A284,実績!$AJ$6:$AJ$505,"&gt;"&amp;$A284,実績!$AL$6:$AL$505,"○")&gt;0,1,0))</f>
        <v>0</v>
      </c>
      <c r="BX284" s="39" t="n">
        <f aca="false">IF(BX$4=0,0,IF(COUNTIFS(実績!$W$6:$W$505,BX$3,実績!$AI$6:$AI$505,"&lt;="&amp;$A284,実績!$AJ$6:$AJ$505,"&gt;"&amp;$A284,実績!$AL$6:$AL$505,"○")&gt;0,1,0))</f>
        <v>0</v>
      </c>
      <c r="BY284" s="39" t="n">
        <f aca="false">IF(BY$4=0,0,IF(COUNTIFS(実績!$W$6:$W$505,BY$3,実績!$AI$6:$AI$505,"&lt;="&amp;$A284,実績!$AJ$6:$AJ$505,"&gt;"&amp;$A284,実績!$AL$6:$AL$505,"○")&gt;0,1,0))</f>
        <v>0</v>
      </c>
      <c r="BZ284" s="39" t="n">
        <f aca="false">IF(BZ$4=0,0,IF(COUNTIFS(実績!$W$6:$W$505,BZ$3,実績!$AI$6:$AI$505,"&lt;="&amp;$A284,実績!$AJ$6:$AJ$505,"&gt;"&amp;$A284,実績!$AL$6:$AL$505,"○")&gt;0,1,0))</f>
        <v>0</v>
      </c>
      <c r="CA284" s="39" t="n">
        <f aca="false">IF(CA$4=0,0,IF(COUNTIFS(実績!$W$6:$W$505,CA$3,実績!$AI$6:$AI$505,"&lt;="&amp;$A284,実績!$AJ$6:$AJ$505,"&gt;"&amp;$A284,実績!$AL$6:$AL$505,"○")&gt;0,1,0))</f>
        <v>0</v>
      </c>
      <c r="CB284" s="39" t="n">
        <f aca="false">IF(CB$4=0,0,IF(COUNTIFS(実績!$W$6:$W$505,CB$3,実績!$AI$6:$AI$505,"&lt;="&amp;$A284,実績!$AJ$6:$AJ$505,"&gt;"&amp;$A284,実績!$AL$6:$AL$505,"○")&gt;0,1,0))</f>
        <v>0</v>
      </c>
      <c r="CC284" s="39" t="n">
        <f aca="false">IF(CC$4=0,0,IF(COUNTIFS(実績!$W$6:$W$505,CC$3,実績!$AI$6:$AI$505,"&lt;="&amp;$A284,実績!$AJ$6:$AJ$505,"&gt;"&amp;$A284,実績!$AL$6:$AL$505,"○")&gt;0,1,0))</f>
        <v>0</v>
      </c>
      <c r="CD284" s="39" t="n">
        <f aca="false">IF(CD$4=0,0,IF(COUNTIFS(実績!$W$6:$W$505,CD$3,実績!$AI$6:$AI$505,"&lt;="&amp;$A284,実績!$AJ$6:$AJ$505,"&gt;"&amp;$A284,実績!$AL$6:$AL$505,"○")&gt;0,1,0))</f>
        <v>0</v>
      </c>
      <c r="CE284" s="39" t="n">
        <f aca="false">IF(CE$4=0,0,IF(COUNTIFS(実績!$W$6:$W$505,CE$3,実績!$AI$6:$AI$505,"&lt;="&amp;$A284,実績!$AJ$6:$AJ$505,"&gt;"&amp;$A284,実績!$AL$6:$AL$505,"○")&gt;0,1,0))</f>
        <v>0</v>
      </c>
      <c r="CF284" s="39" t="n">
        <f aca="false">IF(CF$4=0,0,IF(COUNTIFS(実績!$W$6:$W$505,CF$3,実績!$AI$6:$AI$505,"&lt;="&amp;$A284,実績!$AJ$6:$AJ$505,"&gt;"&amp;$A284,実績!$AL$6:$AL$505,"○")&gt;0,1,0))</f>
        <v>0</v>
      </c>
      <c r="CG284" s="39" t="n">
        <f aca="false">IF(CG$4=0,0,IF(COUNTIFS(実績!$W$6:$W$505,CG$3,実績!$AI$6:$AI$505,"&lt;="&amp;$A284,実績!$AJ$6:$AJ$505,"&gt;"&amp;$A284,実績!$AL$6:$AL$505,"○")&gt;0,1,0))</f>
        <v>0</v>
      </c>
      <c r="CH284" s="39" t="n">
        <f aca="false">IF(CH$4=0,0,IF(COUNTIFS(実績!$W$6:$W$505,CH$3,実績!$AI$6:$AI$505,"&lt;="&amp;$A284,実績!$AJ$6:$AJ$505,"&gt;"&amp;$A284,実績!$AL$6:$AL$505,"○")&gt;0,1,0))</f>
        <v>0</v>
      </c>
      <c r="CI284" s="39" t="n">
        <f aca="false">IF(CI$4=0,0,IF(COUNTIFS(実績!$W$6:$W$505,CI$3,実績!$AI$6:$AI$505,"&lt;="&amp;$A284,実績!$AJ$6:$AJ$505,"&gt;"&amp;$A284,実績!$AL$6:$AL$505,"○")&gt;0,1,0))</f>
        <v>0</v>
      </c>
      <c r="CJ284" s="39" t="n">
        <f aca="false">IF(CJ$4=0,0,IF(COUNTIFS(実績!$W$6:$W$505,CJ$3,実績!$AI$6:$AI$505,"&lt;="&amp;$A284,実績!$AJ$6:$AJ$505,"&gt;"&amp;$A284,実績!$AL$6:$AL$505,"○")&gt;0,1,0))</f>
        <v>0</v>
      </c>
      <c r="CK284" s="39" t="n">
        <f aca="false">IF(CK$4=0,0,IF(COUNTIFS(実績!$W$6:$W$505,CK$3,実績!$AI$6:$AI$505,"&lt;="&amp;$A284,実績!$AJ$6:$AJ$505,"&gt;"&amp;$A284,実績!$AL$6:$AL$505,"○")&gt;0,1,0))</f>
        <v>0</v>
      </c>
      <c r="CL284" s="39" t="n">
        <f aca="false">IF(CL$4=0,0,IF(COUNTIFS(実績!$W$6:$W$505,CL$3,実績!$AI$6:$AI$505,"&lt;="&amp;$A284,実績!$AJ$6:$AJ$505,"&gt;"&amp;$A284,実績!$AL$6:$AL$505,"○")&gt;0,1,0))</f>
        <v>0</v>
      </c>
      <c r="CM284" s="39" t="n">
        <f aca="false">IF(CM$4=0,0,IF(COUNTIFS(実績!$W$6:$W$505,CM$3,実績!$AI$6:$AI$505,"&lt;="&amp;$A284,実績!$AJ$6:$AJ$505,"&gt;"&amp;$A284,実績!$AL$6:$AL$505,"○")&gt;0,1,0))</f>
        <v>0</v>
      </c>
      <c r="CN284" s="39" t="n">
        <f aca="false">IF(CN$4=0,0,IF(COUNTIFS(実績!$W$6:$W$505,CN$3,実績!$AI$6:$AI$505,"&lt;="&amp;$A284,実績!$AJ$6:$AJ$505,"&gt;"&amp;$A284,実績!$AL$6:$AL$505,"○")&gt;0,1,0))</f>
        <v>0</v>
      </c>
      <c r="CO284" s="39" t="n">
        <f aca="false">IF(CO$4=0,0,IF(COUNTIFS(実績!$W$6:$W$505,CO$3,実績!$AI$6:$AI$505,"&lt;="&amp;$A284,実績!$AJ$6:$AJ$505,"&gt;"&amp;$A284,実績!$AL$6:$AL$505,"○")&gt;0,1,0))</f>
        <v>0</v>
      </c>
      <c r="CP284" s="39" t="n">
        <f aca="false">IF(CP$4=0,0,IF(COUNTIFS(実績!$W$6:$W$505,CP$3,実績!$AI$6:$AI$505,"&lt;="&amp;$A284,実績!$AJ$6:$AJ$505,"&gt;"&amp;$A284,実績!$AL$6:$AL$505,"○")&gt;0,1,0))</f>
        <v>0</v>
      </c>
      <c r="CQ284" s="39" t="n">
        <f aca="false">IF(CQ$4=0,0,IF(COUNTIFS(実績!$W$6:$W$505,CQ$3,実績!$AI$6:$AI$505,"&lt;="&amp;$A284,実績!$AJ$6:$AJ$505,"&gt;"&amp;$A284,実績!$AL$6:$AL$505,"○")&gt;0,1,0))</f>
        <v>0</v>
      </c>
      <c r="CR284" s="39" t="n">
        <f aca="false">IF(CR$4=0,0,IF(COUNTIFS(実績!$W$6:$W$505,CR$3,実績!$AI$6:$AI$505,"&lt;="&amp;$A284,実績!$AJ$6:$AJ$505,"&gt;"&amp;$A284,実績!$AL$6:$AL$505,"○")&gt;0,1,0))</f>
        <v>0</v>
      </c>
      <c r="CS284" s="39" t="n">
        <f aca="false">IF(CS$4=0,0,IF(COUNTIFS(実績!$W$6:$W$505,CS$3,実績!$AI$6:$AI$505,"&lt;="&amp;$A284,実績!$AJ$6:$AJ$505,"&gt;"&amp;$A284,実績!$AL$6:$AL$505,"○")&gt;0,1,0))</f>
        <v>0</v>
      </c>
      <c r="CT284" s="39" t="n">
        <f aca="false">IF(CT$4=0,0,IF(COUNTIFS(実績!$W$6:$W$505,CT$3,実績!$AI$6:$AI$505,"&lt;="&amp;$A284,実績!$AJ$6:$AJ$505,"&gt;"&amp;$A284,実績!$AL$6:$AL$505,"○")&gt;0,1,0))</f>
        <v>0</v>
      </c>
      <c r="CU284" s="39" t="n">
        <f aca="false">IF(CU$4=0,0,IF(COUNTIFS(実績!$W$6:$W$505,CU$3,実績!$AI$6:$AI$505,"&lt;="&amp;$A284,実績!$AJ$6:$AJ$505,"&gt;"&amp;$A284,実績!$AL$6:$AL$505,"○")&gt;0,1,0))</f>
        <v>0</v>
      </c>
      <c r="CV284" s="39" t="n">
        <f aca="false">IF(CV$4=0,0,IF(COUNTIFS(実績!$W$6:$W$505,CV$3,実績!$AI$6:$AI$505,"&lt;="&amp;$A284,実績!$AJ$6:$AJ$505,"&gt;"&amp;$A284,実績!$AL$6:$AL$505,"○")&gt;0,1,0))</f>
        <v>0</v>
      </c>
      <c r="CW284" s="39" t="n">
        <f aca="false">IF(CW$4=0,0,IF(COUNTIFS(実績!$W$6:$W$505,CW$3,実績!$AI$6:$AI$505,"&lt;="&amp;$A284,実績!$AJ$6:$AJ$505,"&gt;"&amp;$A284,実績!$AL$6:$AL$505,"○")&gt;0,1,0))</f>
        <v>0</v>
      </c>
      <c r="CX284" s="39" t="n">
        <f aca="false">IF(CX$4=0,0,IF(COUNTIFS(実績!$W$6:$W$505,CX$3,実績!$AI$6:$AI$505,"&lt;="&amp;$A284,実績!$AJ$6:$AJ$505,"&gt;"&amp;$A284,実績!$AL$6:$AL$505,"○")&gt;0,1,0))</f>
        <v>0</v>
      </c>
      <c r="CY284" s="39" t="n">
        <f aca="false">IF(CY$4=0,0,IF(COUNTIFS(実績!$W$6:$W$505,CY$3,実績!$AI$6:$AI$505,"&lt;="&amp;$A284,実績!$AJ$6:$AJ$505,"&gt;"&amp;$A284,実績!$AL$6:$AL$505,"○")&gt;0,1,0))</f>
        <v>0</v>
      </c>
      <c r="CZ284" s="39" t="n">
        <f aca="false">IF(CZ$4=0,0,IF(COUNTIFS(実績!$W$6:$W$505,CZ$3,実績!$AI$6:$AI$505,"&lt;="&amp;$A284,実績!$AJ$6:$AJ$505,"&gt;"&amp;$A284,実績!$AL$6:$AL$505,"○")&gt;0,1,0))</f>
        <v>0</v>
      </c>
      <c r="DA284" s="39" t="n">
        <f aca="false">IF(DA$4=0,0,IF(COUNTIFS(実績!$W$6:$W$505,DA$3,実績!$AI$6:$AI$505,"&lt;="&amp;$A284,実績!$AJ$6:$AJ$505,"&gt;"&amp;$A284,実績!$AL$6:$AL$505,"○")&gt;0,1,0))</f>
        <v>0</v>
      </c>
      <c r="DB284" s="39" t="n">
        <f aca="false">IF(DB$4=0,0,IF(COUNTIFS(実績!$W$6:$W$505,DB$3,実績!$AI$6:$AI$505,"&lt;="&amp;$A284,実績!$AJ$6:$AJ$505,"&gt;"&amp;$A284,実績!$AL$6:$AL$505,"○")&gt;0,1,0))</f>
        <v>0</v>
      </c>
      <c r="DC284" s="39" t="n">
        <f aca="false">IF(DC$4=0,0,IF(COUNTIFS(実績!$W$6:$W$505,DC$3,実績!$AI$6:$AI$505,"&lt;="&amp;$A284,実績!$AJ$6:$AJ$505,"&gt;"&amp;$A284,実績!$AL$6:$AL$505,"○")&gt;0,1,0))</f>
        <v>0</v>
      </c>
      <c r="DD284" s="39" t="n">
        <f aca="false">IF(DD$4=0,0,IF(COUNTIFS(実績!$W$6:$W$505,DD$3,実績!$AI$6:$AI$505,"&lt;="&amp;$A284,実績!$AJ$6:$AJ$505,"&gt;"&amp;$A284,実績!$AL$6:$AL$505,"○")&gt;0,1,0))</f>
        <v>0</v>
      </c>
      <c r="DE284" s="39" t="n">
        <f aca="false">IF(DE$4=0,0,IF(COUNTIFS(実績!$W$6:$W$505,DE$3,実績!$AI$6:$AI$505,"&lt;="&amp;$A284,実績!$AJ$6:$AJ$505,"&gt;"&amp;$A284,実績!$AL$6:$AL$505,"○")&gt;0,1,0))</f>
        <v>0</v>
      </c>
      <c r="DF284" s="39" t="n">
        <f aca="false">IF(DF$4=0,0,IF(COUNTIFS(実績!$W$6:$W$505,DF$3,実績!$AI$6:$AI$505,"&lt;="&amp;$A284,実績!$AJ$6:$AJ$505,"&gt;"&amp;$A284,実績!$AL$6:$AL$505,"○")&gt;0,1,0))</f>
        <v>0</v>
      </c>
      <c r="DG284" s="39" t="n">
        <f aca="false">IF(DG$4=0,0,IF(COUNTIFS(実績!$W$6:$W$505,DG$3,実績!$AI$6:$AI$505,"&lt;="&amp;$A284,実績!$AJ$6:$AJ$505,"&gt;"&amp;$A284,実績!$AL$6:$AL$505,"○")&gt;0,1,0))</f>
        <v>0</v>
      </c>
      <c r="DH284" s="39" t="n">
        <f aca="false">IF(DH$4=0,0,IF(COUNTIFS(実績!$W$6:$W$505,DH$3,実績!$AI$6:$AI$505,"&lt;="&amp;$A284,実績!$AJ$6:$AJ$505,"&gt;"&amp;$A284,実績!$AL$6:$AL$505,"○")&gt;0,1,0))</f>
        <v>0</v>
      </c>
      <c r="DI284" s="39" t="n">
        <f aca="false">IF(DI$4=0,0,IF(COUNTIFS(実績!$W$6:$W$505,DI$3,実績!$AI$6:$AI$505,"&lt;="&amp;$A284,実績!$AJ$6:$AJ$505,"&gt;"&amp;$A284,実績!$AL$6:$AL$505,"○")&gt;0,1,0))</f>
        <v>0</v>
      </c>
      <c r="DJ284" s="39" t="n">
        <f aca="false">IF(DJ$4=0,0,IF(COUNTIFS(実績!$W$6:$W$505,DJ$3,実績!$AI$6:$AI$505,"&lt;="&amp;$A284,実績!$AJ$6:$AJ$505,"&gt;"&amp;$A284,実績!$AL$6:$AL$505,"○")&gt;0,1,0))</f>
        <v>0</v>
      </c>
      <c r="DK284" s="39" t="n">
        <f aca="false">IF(DK$4=0,0,IF(COUNTIFS(実績!$W$6:$W$505,DK$3,実績!$AI$6:$AI$505,"&lt;="&amp;$A284,実績!$AJ$6:$AJ$505,"&gt;"&amp;$A284,実績!$AL$6:$AL$505,"○")&gt;0,1,0))</f>
        <v>0</v>
      </c>
      <c r="DL284" s="39" t="n">
        <f aca="false">IF(DL$4=0,0,IF(COUNTIFS(実績!$W$6:$W$505,DL$3,実績!$AI$6:$AI$505,"&lt;="&amp;$A284,実績!$AJ$6:$AJ$505,"&gt;"&amp;$A284,実績!$AL$6:$AL$505,"○")&gt;0,1,0))</f>
        <v>0</v>
      </c>
      <c r="DM284" s="39" t="n">
        <f aca="false">IF(DM$4=0,0,IF(COUNTIFS(実績!$W$6:$W$505,DM$3,実績!$AI$6:$AI$505,"&lt;="&amp;$A284,実績!$AJ$6:$AJ$505,"&gt;"&amp;$A284,実績!$AL$6:$AL$505,"○")&gt;0,1,0))</f>
        <v>0</v>
      </c>
      <c r="DN284" s="39" t="n">
        <f aca="false">IF(DN$4=0,0,IF(COUNTIFS(実績!$W$6:$W$505,DN$3,実績!$AI$6:$AI$505,"&lt;="&amp;$A284,実績!$AJ$6:$AJ$505,"&gt;"&amp;$A284,実績!$AL$6:$AL$505,"○")&gt;0,1,0))</f>
        <v>0</v>
      </c>
      <c r="DO284" s="39" t="n">
        <f aca="false">IF(DO$4=0,0,IF(COUNTIFS(実績!$W$6:$W$505,DO$3,実績!$AI$6:$AI$505,"&lt;="&amp;$A284,実績!$AJ$6:$AJ$505,"&gt;"&amp;$A284,実績!$AL$6:$AL$505,"○")&gt;0,1,0))</f>
        <v>0</v>
      </c>
      <c r="DP284" s="39" t="n">
        <f aca="false">IF(DP$4=0,0,IF(COUNTIFS(実績!$W$6:$W$505,DP$3,実績!$AI$6:$AI$505,"&lt;="&amp;$A284,実績!$AJ$6:$AJ$505,"&gt;"&amp;$A284,実績!$AL$6:$AL$505,"○")&gt;0,1,0))</f>
        <v>0</v>
      </c>
      <c r="DQ284" s="39" t="n">
        <f aca="false">IF(DQ$4=0,0,IF(COUNTIFS(実績!$W$6:$W$505,DQ$3,実績!$AI$6:$AI$505,"&lt;="&amp;$A284,実績!$AJ$6:$AJ$505,"&gt;"&amp;$A284,実績!$AL$6:$AL$505,"○")&gt;0,1,0))</f>
        <v>0</v>
      </c>
      <c r="DR284" s="39" t="n">
        <f aca="false">IF(DR$4=0,0,IF(COUNTIFS(実績!$W$6:$W$505,DR$3,実績!$AI$6:$AI$505,"&lt;="&amp;$A284,実績!$AJ$6:$AJ$505,"&gt;"&amp;$A284,実績!$AL$6:$AL$505,"○")&gt;0,1,0))</f>
        <v>0</v>
      </c>
      <c r="DS284" s="39" t="n">
        <f aca="false">SUM(C284:DR284)</f>
        <v>0</v>
      </c>
    </row>
    <row r="285" customFormat="false" ht="15" hidden="false" customHeight="false" outlineLevel="0" collapsed="false">
      <c r="A285" s="0" t="n">
        <v>1395</v>
      </c>
      <c r="B285" s="38" t="n">
        <f aca="false">A285/1440</f>
        <v>0.96875</v>
      </c>
      <c r="C285" s="39" t="n">
        <f aca="false">IF(C$4=0,0,IF(COUNTIFS(実績!$W$6:$W$505,C$3,実績!$AI$6:$AI$505,"&lt;="&amp;$A285,実績!$AJ$6:$AJ$505,"&gt;"&amp;$A285,実績!$AL$6:$AL$505,"○")&gt;0,1,0))</f>
        <v>0</v>
      </c>
      <c r="D285" s="39" t="n">
        <f aca="false">IF(D$4=0,0,IF(COUNTIFS(実績!$W$6:$W$505,D$3,実績!$AI$6:$AI$505,"&lt;="&amp;$A285,実績!$AJ$6:$AJ$505,"&gt;"&amp;$A285,実績!$AL$6:$AL$505,"○")&gt;0,1,0))</f>
        <v>0</v>
      </c>
      <c r="E285" s="39" t="n">
        <f aca="false">IF(E$4=0,0,IF(COUNTIFS(実績!$W$6:$W$505,E$3,実績!$AI$6:$AI$505,"&lt;="&amp;$A285,実績!$AJ$6:$AJ$505,"&gt;"&amp;$A285,実績!$AL$6:$AL$505,"○")&gt;0,1,0))</f>
        <v>0</v>
      </c>
      <c r="F285" s="39" t="n">
        <f aca="false">IF(F$4=0,0,IF(COUNTIFS(実績!$W$6:$W$505,F$3,実績!$AI$6:$AI$505,"&lt;="&amp;$A285,実績!$AJ$6:$AJ$505,"&gt;"&amp;$A285,実績!$AL$6:$AL$505,"○")&gt;0,1,0))</f>
        <v>0</v>
      </c>
      <c r="G285" s="39" t="n">
        <f aca="false">IF(G$4=0,0,IF(COUNTIFS(実績!$W$6:$W$505,G$3,実績!$AI$6:$AI$505,"&lt;="&amp;$A285,実績!$AJ$6:$AJ$505,"&gt;"&amp;$A285,実績!$AL$6:$AL$505,"○")&gt;0,1,0))</f>
        <v>0</v>
      </c>
      <c r="H285" s="39" t="n">
        <f aca="false">IF(H$4=0,0,IF(COUNTIFS(実績!$W$6:$W$505,H$3,実績!$AI$6:$AI$505,"&lt;="&amp;$A285,実績!$AJ$6:$AJ$505,"&gt;"&amp;$A285,実績!$AL$6:$AL$505,"○")&gt;0,1,0))</f>
        <v>0</v>
      </c>
      <c r="I285" s="39" t="n">
        <f aca="false">IF(I$4=0,0,IF(COUNTIFS(実績!$W$6:$W$505,I$3,実績!$AI$6:$AI$505,"&lt;="&amp;$A285,実績!$AJ$6:$AJ$505,"&gt;"&amp;$A285,実績!$AL$6:$AL$505,"○")&gt;0,1,0))</f>
        <v>0</v>
      </c>
      <c r="J285" s="39" t="n">
        <f aca="false">IF(J$4=0,0,IF(COUNTIFS(実績!$W$6:$W$505,J$3,実績!$AI$6:$AI$505,"&lt;="&amp;$A285,実績!$AJ$6:$AJ$505,"&gt;"&amp;$A285,実績!$AL$6:$AL$505,"○")&gt;0,1,0))</f>
        <v>0</v>
      </c>
      <c r="K285" s="39" t="n">
        <f aca="false">IF(K$4=0,0,IF(COUNTIFS(実績!$W$6:$W$505,K$3,実績!$AI$6:$AI$505,"&lt;="&amp;$A285,実績!$AJ$6:$AJ$505,"&gt;"&amp;$A285,実績!$AL$6:$AL$505,"○")&gt;0,1,0))</f>
        <v>0</v>
      </c>
      <c r="L285" s="39" t="n">
        <f aca="false">IF(L$4=0,0,IF(COUNTIFS(実績!$W$6:$W$505,L$3,実績!$AI$6:$AI$505,"&lt;="&amp;$A285,実績!$AJ$6:$AJ$505,"&gt;"&amp;$A285,実績!$AL$6:$AL$505,"○")&gt;0,1,0))</f>
        <v>0</v>
      </c>
      <c r="M285" s="39" t="n">
        <f aca="false">IF(M$4=0,0,IF(COUNTIFS(実績!$W$6:$W$505,M$3,実績!$AI$6:$AI$505,"&lt;="&amp;$A285,実績!$AJ$6:$AJ$505,"&gt;"&amp;$A285,実績!$AL$6:$AL$505,"○")&gt;0,1,0))</f>
        <v>0</v>
      </c>
      <c r="N285" s="39" t="n">
        <f aca="false">IF(N$4=0,0,IF(COUNTIFS(実績!$W$6:$W$505,N$3,実績!$AI$6:$AI$505,"&lt;="&amp;$A285,実績!$AJ$6:$AJ$505,"&gt;"&amp;$A285,実績!$AL$6:$AL$505,"○")&gt;0,1,0))</f>
        <v>0</v>
      </c>
      <c r="O285" s="39" t="n">
        <f aca="false">IF(O$4=0,0,IF(COUNTIFS(実績!$W$6:$W$505,O$3,実績!$AI$6:$AI$505,"&lt;="&amp;$A285,実績!$AJ$6:$AJ$505,"&gt;"&amp;$A285,実績!$AL$6:$AL$505,"○")&gt;0,1,0))</f>
        <v>0</v>
      </c>
      <c r="P285" s="39" t="n">
        <f aca="false">IF(P$4=0,0,IF(COUNTIFS(実績!$W$6:$W$505,P$3,実績!$AI$6:$AI$505,"&lt;="&amp;$A285,実績!$AJ$6:$AJ$505,"&gt;"&amp;$A285,実績!$AL$6:$AL$505,"○")&gt;0,1,0))</f>
        <v>0</v>
      </c>
      <c r="Q285" s="39" t="n">
        <f aca="false">IF(Q$4=0,0,IF(COUNTIFS(実績!$W$6:$W$505,Q$3,実績!$AI$6:$AI$505,"&lt;="&amp;$A285,実績!$AJ$6:$AJ$505,"&gt;"&amp;$A285,実績!$AL$6:$AL$505,"○")&gt;0,1,0))</f>
        <v>0</v>
      </c>
      <c r="R285" s="39" t="n">
        <f aca="false">IF(R$4=0,0,IF(COUNTIFS(実績!$W$6:$W$505,R$3,実績!$AI$6:$AI$505,"&lt;="&amp;$A285,実績!$AJ$6:$AJ$505,"&gt;"&amp;$A285,実績!$AL$6:$AL$505,"○")&gt;0,1,0))</f>
        <v>0</v>
      </c>
      <c r="S285" s="39" t="n">
        <f aca="false">IF(S$4=0,0,IF(COUNTIFS(実績!$W$6:$W$505,S$3,実績!$AI$6:$AI$505,"&lt;="&amp;$A285,実績!$AJ$6:$AJ$505,"&gt;"&amp;$A285,実績!$AL$6:$AL$505,"○")&gt;0,1,0))</f>
        <v>0</v>
      </c>
      <c r="T285" s="39" t="n">
        <f aca="false">IF(T$4=0,0,IF(COUNTIFS(実績!$W$6:$W$505,T$3,実績!$AI$6:$AI$505,"&lt;="&amp;$A285,実績!$AJ$6:$AJ$505,"&gt;"&amp;$A285,実績!$AL$6:$AL$505,"○")&gt;0,1,0))</f>
        <v>0</v>
      </c>
      <c r="U285" s="39" t="n">
        <f aca="false">IF(U$4=0,0,IF(COUNTIFS(実績!$W$6:$W$505,U$3,実績!$AI$6:$AI$505,"&lt;="&amp;$A285,実績!$AJ$6:$AJ$505,"&gt;"&amp;$A285,実績!$AL$6:$AL$505,"○")&gt;0,1,0))</f>
        <v>0</v>
      </c>
      <c r="V285" s="39" t="n">
        <f aca="false">IF(V$4=0,0,IF(COUNTIFS(実績!$W$6:$W$505,V$3,実績!$AI$6:$AI$505,"&lt;="&amp;$A285,実績!$AJ$6:$AJ$505,"&gt;"&amp;$A285,実績!$AL$6:$AL$505,"○")&gt;0,1,0))</f>
        <v>0</v>
      </c>
      <c r="W285" s="39" t="n">
        <f aca="false">IF(W$4=0,0,IF(COUNTIFS(実績!$W$6:$W$505,W$3,実績!$AI$6:$AI$505,"&lt;="&amp;$A285,実績!$AJ$6:$AJ$505,"&gt;"&amp;$A285,実績!$AL$6:$AL$505,"○")&gt;0,1,0))</f>
        <v>0</v>
      </c>
      <c r="X285" s="39" t="n">
        <f aca="false">IF(X$4=0,0,IF(COUNTIFS(実績!$W$6:$W$505,X$3,実績!$AI$6:$AI$505,"&lt;="&amp;$A285,実績!$AJ$6:$AJ$505,"&gt;"&amp;$A285,実績!$AL$6:$AL$505,"○")&gt;0,1,0))</f>
        <v>0</v>
      </c>
      <c r="Y285" s="39" t="n">
        <f aca="false">IF(Y$4=0,0,IF(COUNTIFS(実績!$W$6:$W$505,Y$3,実績!$AI$6:$AI$505,"&lt;="&amp;$A285,実績!$AJ$6:$AJ$505,"&gt;"&amp;$A285,実績!$AL$6:$AL$505,"○")&gt;0,1,0))</f>
        <v>0</v>
      </c>
      <c r="Z285" s="39" t="n">
        <f aca="false">IF(Z$4=0,0,IF(COUNTIFS(実績!$W$6:$W$505,Z$3,実績!$AI$6:$AI$505,"&lt;="&amp;$A285,実績!$AJ$6:$AJ$505,"&gt;"&amp;$A285,実績!$AL$6:$AL$505,"○")&gt;0,1,0))</f>
        <v>0</v>
      </c>
      <c r="AA285" s="39" t="n">
        <f aca="false">IF(AA$4=0,0,IF(COUNTIFS(実績!$W$6:$W$505,AA$3,実績!$AI$6:$AI$505,"&lt;="&amp;$A285,実績!$AJ$6:$AJ$505,"&gt;"&amp;$A285,実績!$AL$6:$AL$505,"○")&gt;0,1,0))</f>
        <v>0</v>
      </c>
      <c r="AB285" s="39" t="n">
        <f aca="false">IF(AB$4=0,0,IF(COUNTIFS(実績!$W$6:$W$505,AB$3,実績!$AI$6:$AI$505,"&lt;="&amp;$A285,実績!$AJ$6:$AJ$505,"&gt;"&amp;$A285,実績!$AL$6:$AL$505,"○")&gt;0,1,0))</f>
        <v>0</v>
      </c>
      <c r="AC285" s="39" t="n">
        <f aca="false">IF(AC$4=0,0,IF(COUNTIFS(実績!$W$6:$W$505,AC$3,実績!$AI$6:$AI$505,"&lt;="&amp;$A285,実績!$AJ$6:$AJ$505,"&gt;"&amp;$A285,実績!$AL$6:$AL$505,"○")&gt;0,1,0))</f>
        <v>0</v>
      </c>
      <c r="AD285" s="39" t="n">
        <f aca="false">IF(AD$4=0,0,IF(COUNTIFS(実績!$W$6:$W$505,AD$3,実績!$AI$6:$AI$505,"&lt;="&amp;$A285,実績!$AJ$6:$AJ$505,"&gt;"&amp;$A285,実績!$AL$6:$AL$505,"○")&gt;0,1,0))</f>
        <v>0</v>
      </c>
      <c r="AE285" s="39" t="n">
        <f aca="false">IF(AE$4=0,0,IF(COUNTIFS(実績!$W$6:$W$505,AE$3,実績!$AI$6:$AI$505,"&lt;="&amp;$A285,実績!$AJ$6:$AJ$505,"&gt;"&amp;$A285,実績!$AL$6:$AL$505,"○")&gt;0,1,0))</f>
        <v>0</v>
      </c>
      <c r="AF285" s="39" t="n">
        <f aca="false">IF(AF$4=0,0,IF(COUNTIFS(実績!$W$6:$W$505,AF$3,実績!$AI$6:$AI$505,"&lt;="&amp;$A285,実績!$AJ$6:$AJ$505,"&gt;"&amp;$A285,実績!$AL$6:$AL$505,"○")&gt;0,1,0))</f>
        <v>0</v>
      </c>
      <c r="AG285" s="39" t="n">
        <f aca="false">IF(AG$4=0,0,IF(COUNTIFS(実績!$W$6:$W$505,AG$3,実績!$AI$6:$AI$505,"&lt;="&amp;$A285,実績!$AJ$6:$AJ$505,"&gt;"&amp;$A285,実績!$AL$6:$AL$505,"○")&gt;0,1,0))</f>
        <v>0</v>
      </c>
      <c r="AH285" s="39" t="n">
        <f aca="false">IF(AH$4=0,0,IF(COUNTIFS(実績!$W$6:$W$505,AH$3,実績!$AI$6:$AI$505,"&lt;="&amp;$A285,実績!$AJ$6:$AJ$505,"&gt;"&amp;$A285,実績!$AL$6:$AL$505,"○")&gt;0,1,0))</f>
        <v>0</v>
      </c>
      <c r="AI285" s="39" t="n">
        <f aca="false">IF(AI$4=0,0,IF(COUNTIFS(実績!$W$6:$W$505,AI$3,実績!$AI$6:$AI$505,"&lt;="&amp;$A285,実績!$AJ$6:$AJ$505,"&gt;"&amp;$A285,実績!$AL$6:$AL$505,"○")&gt;0,1,0))</f>
        <v>0</v>
      </c>
      <c r="AJ285" s="39" t="n">
        <f aca="false">IF(AJ$4=0,0,IF(COUNTIFS(実績!$W$6:$W$505,AJ$3,実績!$AI$6:$AI$505,"&lt;="&amp;$A285,実績!$AJ$6:$AJ$505,"&gt;"&amp;$A285,実績!$AL$6:$AL$505,"○")&gt;0,1,0))</f>
        <v>0</v>
      </c>
      <c r="AK285" s="39" t="n">
        <f aca="false">IF(AK$4=0,0,IF(COUNTIFS(実績!$W$6:$W$505,AK$3,実績!$AI$6:$AI$505,"&lt;="&amp;$A285,実績!$AJ$6:$AJ$505,"&gt;"&amp;$A285,実績!$AL$6:$AL$505,"○")&gt;0,1,0))</f>
        <v>0</v>
      </c>
      <c r="AL285" s="39" t="n">
        <f aca="false">IF(AL$4=0,0,IF(COUNTIFS(実績!$W$6:$W$505,AL$3,実績!$AI$6:$AI$505,"&lt;="&amp;$A285,実績!$AJ$6:$AJ$505,"&gt;"&amp;$A285,実績!$AL$6:$AL$505,"○")&gt;0,1,0))</f>
        <v>0</v>
      </c>
      <c r="AM285" s="39" t="n">
        <f aca="false">IF(AM$4=0,0,IF(COUNTIFS(実績!$W$6:$W$505,AM$3,実績!$AI$6:$AI$505,"&lt;="&amp;$A285,実績!$AJ$6:$AJ$505,"&gt;"&amp;$A285,実績!$AL$6:$AL$505,"○")&gt;0,1,0))</f>
        <v>0</v>
      </c>
      <c r="AN285" s="39" t="n">
        <f aca="false">IF(AN$4=0,0,IF(COUNTIFS(実績!$W$6:$W$505,AN$3,実績!$AI$6:$AI$505,"&lt;="&amp;$A285,実績!$AJ$6:$AJ$505,"&gt;"&amp;$A285,実績!$AL$6:$AL$505,"○")&gt;0,1,0))</f>
        <v>0</v>
      </c>
      <c r="AO285" s="39" t="n">
        <f aca="false">IF(AO$4=0,0,IF(COUNTIFS(実績!$W$6:$W$505,AO$3,実績!$AI$6:$AI$505,"&lt;="&amp;$A285,実績!$AJ$6:$AJ$505,"&gt;"&amp;$A285,実績!$AL$6:$AL$505,"○")&gt;0,1,0))</f>
        <v>0</v>
      </c>
      <c r="AP285" s="39" t="n">
        <f aca="false">IF(AP$4=0,0,IF(COUNTIFS(実績!$W$6:$W$505,AP$3,実績!$AI$6:$AI$505,"&lt;="&amp;$A285,実績!$AJ$6:$AJ$505,"&gt;"&amp;$A285,実績!$AL$6:$AL$505,"○")&gt;0,1,0))</f>
        <v>0</v>
      </c>
      <c r="AQ285" s="39" t="n">
        <f aca="false">IF(AQ$4=0,0,IF(COUNTIFS(実績!$W$6:$W$505,AQ$3,実績!$AI$6:$AI$505,"&lt;="&amp;$A285,実績!$AJ$6:$AJ$505,"&gt;"&amp;$A285,実績!$AL$6:$AL$505,"○")&gt;0,1,0))</f>
        <v>0</v>
      </c>
      <c r="AR285" s="39" t="n">
        <f aca="false">IF(AR$4=0,0,IF(COUNTIFS(実績!$W$6:$W$505,AR$3,実績!$AI$6:$AI$505,"&lt;="&amp;$A285,実績!$AJ$6:$AJ$505,"&gt;"&amp;$A285,実績!$AL$6:$AL$505,"○")&gt;0,1,0))</f>
        <v>0</v>
      </c>
      <c r="AS285" s="39" t="n">
        <f aca="false">IF(AS$4=0,0,IF(COUNTIFS(実績!$W$6:$W$505,AS$3,実績!$AI$6:$AI$505,"&lt;="&amp;$A285,実績!$AJ$6:$AJ$505,"&gt;"&amp;$A285,実績!$AL$6:$AL$505,"○")&gt;0,1,0))</f>
        <v>0</v>
      </c>
      <c r="AT285" s="39" t="n">
        <f aca="false">IF(AT$4=0,0,IF(COUNTIFS(実績!$W$6:$W$505,AT$3,実績!$AI$6:$AI$505,"&lt;="&amp;$A285,実績!$AJ$6:$AJ$505,"&gt;"&amp;$A285,実績!$AL$6:$AL$505,"○")&gt;0,1,0))</f>
        <v>0</v>
      </c>
      <c r="AU285" s="39" t="n">
        <f aca="false">IF(AU$4=0,0,IF(COUNTIFS(実績!$W$6:$W$505,AU$3,実績!$AI$6:$AI$505,"&lt;="&amp;$A285,実績!$AJ$6:$AJ$505,"&gt;"&amp;$A285,実績!$AL$6:$AL$505,"○")&gt;0,1,0))</f>
        <v>0</v>
      </c>
      <c r="AV285" s="39" t="n">
        <f aca="false">IF(AV$4=0,0,IF(COUNTIFS(実績!$W$6:$W$505,AV$3,実績!$AI$6:$AI$505,"&lt;="&amp;$A285,実績!$AJ$6:$AJ$505,"&gt;"&amp;$A285,実績!$AL$6:$AL$505,"○")&gt;0,1,0))</f>
        <v>0</v>
      </c>
      <c r="AW285" s="39" t="n">
        <f aca="false">IF(AW$4=0,0,IF(COUNTIFS(実績!$W$6:$W$505,AW$3,実績!$AI$6:$AI$505,"&lt;="&amp;$A285,実績!$AJ$6:$AJ$505,"&gt;"&amp;$A285,実績!$AL$6:$AL$505,"○")&gt;0,1,0))</f>
        <v>0</v>
      </c>
      <c r="AX285" s="39" t="n">
        <f aca="false">IF(AX$4=0,0,IF(COUNTIFS(実績!$W$6:$W$505,AX$3,実績!$AI$6:$AI$505,"&lt;="&amp;$A285,実績!$AJ$6:$AJ$505,"&gt;"&amp;$A285,実績!$AL$6:$AL$505,"○")&gt;0,1,0))</f>
        <v>0</v>
      </c>
      <c r="AY285" s="39" t="n">
        <f aca="false">IF(AY$4=0,0,IF(COUNTIFS(実績!$W$6:$W$505,AY$3,実績!$AI$6:$AI$505,"&lt;="&amp;$A285,実績!$AJ$6:$AJ$505,"&gt;"&amp;$A285,実績!$AL$6:$AL$505,"○")&gt;0,1,0))</f>
        <v>0</v>
      </c>
      <c r="AZ285" s="39" t="n">
        <f aca="false">IF(AZ$4=0,0,IF(COUNTIFS(実績!$W$6:$W$505,AZ$3,実績!$AI$6:$AI$505,"&lt;="&amp;$A285,実績!$AJ$6:$AJ$505,"&gt;"&amp;$A285,実績!$AL$6:$AL$505,"○")&gt;0,1,0))</f>
        <v>0</v>
      </c>
      <c r="BA285" s="39" t="n">
        <f aca="false">IF(BA$4=0,0,IF(COUNTIFS(実績!$W$6:$W$505,BA$3,実績!$AI$6:$AI$505,"&lt;="&amp;$A285,実績!$AJ$6:$AJ$505,"&gt;"&amp;$A285,実績!$AL$6:$AL$505,"○")&gt;0,1,0))</f>
        <v>0</v>
      </c>
      <c r="BB285" s="39" t="n">
        <f aca="false">IF(BB$4=0,0,IF(COUNTIFS(実績!$W$6:$W$505,BB$3,実績!$AI$6:$AI$505,"&lt;="&amp;$A285,実績!$AJ$6:$AJ$505,"&gt;"&amp;$A285,実績!$AL$6:$AL$505,"○")&gt;0,1,0))</f>
        <v>0</v>
      </c>
      <c r="BC285" s="39" t="n">
        <f aca="false">IF(BC$4=0,0,IF(COUNTIFS(実績!$W$6:$W$505,BC$3,実績!$AI$6:$AI$505,"&lt;="&amp;$A285,実績!$AJ$6:$AJ$505,"&gt;"&amp;$A285,実績!$AL$6:$AL$505,"○")&gt;0,1,0))</f>
        <v>0</v>
      </c>
      <c r="BD285" s="39" t="n">
        <f aca="false">IF(BD$4=0,0,IF(COUNTIFS(実績!$W$6:$W$505,BD$3,実績!$AI$6:$AI$505,"&lt;="&amp;$A285,実績!$AJ$6:$AJ$505,"&gt;"&amp;$A285,実績!$AL$6:$AL$505,"○")&gt;0,1,0))</f>
        <v>0</v>
      </c>
      <c r="BE285" s="39" t="n">
        <f aca="false">IF(BE$4=0,0,IF(COUNTIFS(実績!$W$6:$W$505,BE$3,実績!$AI$6:$AI$505,"&lt;="&amp;$A285,実績!$AJ$6:$AJ$505,"&gt;"&amp;$A285,実績!$AL$6:$AL$505,"○")&gt;0,1,0))</f>
        <v>0</v>
      </c>
      <c r="BF285" s="39" t="n">
        <f aca="false">IF(BF$4=0,0,IF(COUNTIFS(実績!$W$6:$W$505,BF$3,実績!$AI$6:$AI$505,"&lt;="&amp;$A285,実績!$AJ$6:$AJ$505,"&gt;"&amp;$A285,実績!$AL$6:$AL$505,"○")&gt;0,1,0))</f>
        <v>0</v>
      </c>
      <c r="BG285" s="39" t="n">
        <f aca="false">IF(BG$4=0,0,IF(COUNTIFS(実績!$W$6:$W$505,BG$3,実績!$AI$6:$AI$505,"&lt;="&amp;$A285,実績!$AJ$6:$AJ$505,"&gt;"&amp;$A285,実績!$AL$6:$AL$505,"○")&gt;0,1,0))</f>
        <v>0</v>
      </c>
      <c r="BH285" s="39" t="n">
        <f aca="false">IF(BH$4=0,0,IF(COUNTIFS(実績!$W$6:$W$505,BH$3,実績!$AI$6:$AI$505,"&lt;="&amp;$A285,実績!$AJ$6:$AJ$505,"&gt;"&amp;$A285,実績!$AL$6:$AL$505,"○")&gt;0,1,0))</f>
        <v>0</v>
      </c>
      <c r="BI285" s="39" t="n">
        <f aca="false">IF(BI$4=0,0,IF(COUNTIFS(実績!$W$6:$W$505,BI$3,実績!$AI$6:$AI$505,"&lt;="&amp;$A285,実績!$AJ$6:$AJ$505,"&gt;"&amp;$A285,実績!$AL$6:$AL$505,"○")&gt;0,1,0))</f>
        <v>0</v>
      </c>
      <c r="BJ285" s="39" t="n">
        <f aca="false">IF(BJ$4=0,0,IF(COUNTIFS(実績!$W$6:$W$505,BJ$3,実績!$AI$6:$AI$505,"&lt;="&amp;$A285,実績!$AJ$6:$AJ$505,"&gt;"&amp;$A285,実績!$AL$6:$AL$505,"○")&gt;0,1,0))</f>
        <v>0</v>
      </c>
      <c r="BK285" s="39" t="n">
        <f aca="false">IF(BK$4=0,0,IF(COUNTIFS(実績!$W$6:$W$505,BK$3,実績!$AI$6:$AI$505,"&lt;="&amp;$A285,実績!$AJ$6:$AJ$505,"&gt;"&amp;$A285,実績!$AL$6:$AL$505,"○")&gt;0,1,0))</f>
        <v>0</v>
      </c>
      <c r="BL285" s="39" t="n">
        <f aca="false">IF(BL$4=0,0,IF(COUNTIFS(実績!$W$6:$W$505,BL$3,実績!$AI$6:$AI$505,"&lt;="&amp;$A285,実績!$AJ$6:$AJ$505,"&gt;"&amp;$A285,実績!$AL$6:$AL$505,"○")&gt;0,1,0))</f>
        <v>0</v>
      </c>
      <c r="BM285" s="39" t="n">
        <f aca="false">IF(BM$4=0,0,IF(COUNTIFS(実績!$W$6:$W$505,BM$3,実績!$AI$6:$AI$505,"&lt;="&amp;$A285,実績!$AJ$6:$AJ$505,"&gt;"&amp;$A285,実績!$AL$6:$AL$505,"○")&gt;0,1,0))</f>
        <v>0</v>
      </c>
      <c r="BN285" s="39" t="n">
        <f aca="false">IF(BN$4=0,0,IF(COUNTIFS(実績!$W$6:$W$505,BN$3,実績!$AI$6:$AI$505,"&lt;="&amp;$A285,実績!$AJ$6:$AJ$505,"&gt;"&amp;$A285,実績!$AL$6:$AL$505,"○")&gt;0,1,0))</f>
        <v>0</v>
      </c>
      <c r="BO285" s="39" t="n">
        <f aca="false">IF(BO$4=0,0,IF(COUNTIFS(実績!$W$6:$W$505,BO$3,実績!$AI$6:$AI$505,"&lt;="&amp;$A285,実績!$AJ$6:$AJ$505,"&gt;"&amp;$A285,実績!$AL$6:$AL$505,"○")&gt;0,1,0))</f>
        <v>0</v>
      </c>
      <c r="BP285" s="39" t="n">
        <f aca="false">IF(BP$4=0,0,IF(COUNTIFS(実績!$W$6:$W$505,BP$3,実績!$AI$6:$AI$505,"&lt;="&amp;$A285,実績!$AJ$6:$AJ$505,"&gt;"&amp;$A285,実績!$AL$6:$AL$505,"○")&gt;0,1,0))</f>
        <v>0</v>
      </c>
      <c r="BQ285" s="39" t="n">
        <f aca="false">IF(BQ$4=0,0,IF(COUNTIFS(実績!$W$6:$W$505,BQ$3,実績!$AI$6:$AI$505,"&lt;="&amp;$A285,実績!$AJ$6:$AJ$505,"&gt;"&amp;$A285,実績!$AL$6:$AL$505,"○")&gt;0,1,0))</f>
        <v>0</v>
      </c>
      <c r="BR285" s="39" t="n">
        <f aca="false">IF(BR$4=0,0,IF(COUNTIFS(実績!$W$6:$W$505,BR$3,実績!$AI$6:$AI$505,"&lt;="&amp;$A285,実績!$AJ$6:$AJ$505,"&gt;"&amp;$A285,実績!$AL$6:$AL$505,"○")&gt;0,1,0))</f>
        <v>0</v>
      </c>
      <c r="BS285" s="39" t="n">
        <f aca="false">IF(BS$4=0,0,IF(COUNTIFS(実績!$W$6:$W$505,BS$3,実績!$AI$6:$AI$505,"&lt;="&amp;$A285,実績!$AJ$6:$AJ$505,"&gt;"&amp;$A285,実績!$AL$6:$AL$505,"○")&gt;0,1,0))</f>
        <v>0</v>
      </c>
      <c r="BT285" s="39" t="n">
        <f aca="false">IF(BT$4=0,0,IF(COUNTIFS(実績!$W$6:$W$505,BT$3,実績!$AI$6:$AI$505,"&lt;="&amp;$A285,実績!$AJ$6:$AJ$505,"&gt;"&amp;$A285,実績!$AL$6:$AL$505,"○")&gt;0,1,0))</f>
        <v>0</v>
      </c>
      <c r="BU285" s="39" t="n">
        <f aca="false">IF(BU$4=0,0,IF(COUNTIFS(実績!$W$6:$W$505,BU$3,実績!$AI$6:$AI$505,"&lt;="&amp;$A285,実績!$AJ$6:$AJ$505,"&gt;"&amp;$A285,実績!$AL$6:$AL$505,"○")&gt;0,1,0))</f>
        <v>0</v>
      </c>
      <c r="BV285" s="39" t="n">
        <f aca="false">IF(BV$4=0,0,IF(COUNTIFS(実績!$W$6:$W$505,BV$3,実績!$AI$6:$AI$505,"&lt;="&amp;$A285,実績!$AJ$6:$AJ$505,"&gt;"&amp;$A285,実績!$AL$6:$AL$505,"○")&gt;0,1,0))</f>
        <v>0</v>
      </c>
      <c r="BW285" s="39" t="n">
        <f aca="false">IF(BW$4=0,0,IF(COUNTIFS(実績!$W$6:$W$505,BW$3,実績!$AI$6:$AI$505,"&lt;="&amp;$A285,実績!$AJ$6:$AJ$505,"&gt;"&amp;$A285,実績!$AL$6:$AL$505,"○")&gt;0,1,0))</f>
        <v>0</v>
      </c>
      <c r="BX285" s="39" t="n">
        <f aca="false">IF(BX$4=0,0,IF(COUNTIFS(実績!$W$6:$W$505,BX$3,実績!$AI$6:$AI$505,"&lt;="&amp;$A285,実績!$AJ$6:$AJ$505,"&gt;"&amp;$A285,実績!$AL$6:$AL$505,"○")&gt;0,1,0))</f>
        <v>0</v>
      </c>
      <c r="BY285" s="39" t="n">
        <f aca="false">IF(BY$4=0,0,IF(COUNTIFS(実績!$W$6:$W$505,BY$3,実績!$AI$6:$AI$505,"&lt;="&amp;$A285,実績!$AJ$6:$AJ$505,"&gt;"&amp;$A285,実績!$AL$6:$AL$505,"○")&gt;0,1,0))</f>
        <v>0</v>
      </c>
      <c r="BZ285" s="39" t="n">
        <f aca="false">IF(BZ$4=0,0,IF(COUNTIFS(実績!$W$6:$W$505,BZ$3,実績!$AI$6:$AI$505,"&lt;="&amp;$A285,実績!$AJ$6:$AJ$505,"&gt;"&amp;$A285,実績!$AL$6:$AL$505,"○")&gt;0,1,0))</f>
        <v>0</v>
      </c>
      <c r="CA285" s="39" t="n">
        <f aca="false">IF(CA$4=0,0,IF(COUNTIFS(実績!$W$6:$W$505,CA$3,実績!$AI$6:$AI$505,"&lt;="&amp;$A285,実績!$AJ$6:$AJ$505,"&gt;"&amp;$A285,実績!$AL$6:$AL$505,"○")&gt;0,1,0))</f>
        <v>0</v>
      </c>
      <c r="CB285" s="39" t="n">
        <f aca="false">IF(CB$4=0,0,IF(COUNTIFS(実績!$W$6:$W$505,CB$3,実績!$AI$6:$AI$505,"&lt;="&amp;$A285,実績!$AJ$6:$AJ$505,"&gt;"&amp;$A285,実績!$AL$6:$AL$505,"○")&gt;0,1,0))</f>
        <v>0</v>
      </c>
      <c r="CC285" s="39" t="n">
        <f aca="false">IF(CC$4=0,0,IF(COUNTIFS(実績!$W$6:$W$505,CC$3,実績!$AI$6:$AI$505,"&lt;="&amp;$A285,実績!$AJ$6:$AJ$505,"&gt;"&amp;$A285,実績!$AL$6:$AL$505,"○")&gt;0,1,0))</f>
        <v>0</v>
      </c>
      <c r="CD285" s="39" t="n">
        <f aca="false">IF(CD$4=0,0,IF(COUNTIFS(実績!$W$6:$W$505,CD$3,実績!$AI$6:$AI$505,"&lt;="&amp;$A285,実績!$AJ$6:$AJ$505,"&gt;"&amp;$A285,実績!$AL$6:$AL$505,"○")&gt;0,1,0))</f>
        <v>0</v>
      </c>
      <c r="CE285" s="39" t="n">
        <f aca="false">IF(CE$4=0,0,IF(COUNTIFS(実績!$W$6:$W$505,CE$3,実績!$AI$6:$AI$505,"&lt;="&amp;$A285,実績!$AJ$6:$AJ$505,"&gt;"&amp;$A285,実績!$AL$6:$AL$505,"○")&gt;0,1,0))</f>
        <v>0</v>
      </c>
      <c r="CF285" s="39" t="n">
        <f aca="false">IF(CF$4=0,0,IF(COUNTIFS(実績!$W$6:$W$505,CF$3,実績!$AI$6:$AI$505,"&lt;="&amp;$A285,実績!$AJ$6:$AJ$505,"&gt;"&amp;$A285,実績!$AL$6:$AL$505,"○")&gt;0,1,0))</f>
        <v>0</v>
      </c>
      <c r="CG285" s="39" t="n">
        <f aca="false">IF(CG$4=0,0,IF(COUNTIFS(実績!$W$6:$W$505,CG$3,実績!$AI$6:$AI$505,"&lt;="&amp;$A285,実績!$AJ$6:$AJ$505,"&gt;"&amp;$A285,実績!$AL$6:$AL$505,"○")&gt;0,1,0))</f>
        <v>0</v>
      </c>
      <c r="CH285" s="39" t="n">
        <f aca="false">IF(CH$4=0,0,IF(COUNTIFS(実績!$W$6:$W$505,CH$3,実績!$AI$6:$AI$505,"&lt;="&amp;$A285,実績!$AJ$6:$AJ$505,"&gt;"&amp;$A285,実績!$AL$6:$AL$505,"○")&gt;0,1,0))</f>
        <v>0</v>
      </c>
      <c r="CI285" s="39" t="n">
        <f aca="false">IF(CI$4=0,0,IF(COUNTIFS(実績!$W$6:$W$505,CI$3,実績!$AI$6:$AI$505,"&lt;="&amp;$A285,実績!$AJ$6:$AJ$505,"&gt;"&amp;$A285,実績!$AL$6:$AL$505,"○")&gt;0,1,0))</f>
        <v>0</v>
      </c>
      <c r="CJ285" s="39" t="n">
        <f aca="false">IF(CJ$4=0,0,IF(COUNTIFS(実績!$W$6:$W$505,CJ$3,実績!$AI$6:$AI$505,"&lt;="&amp;$A285,実績!$AJ$6:$AJ$505,"&gt;"&amp;$A285,実績!$AL$6:$AL$505,"○")&gt;0,1,0))</f>
        <v>0</v>
      </c>
      <c r="CK285" s="39" t="n">
        <f aca="false">IF(CK$4=0,0,IF(COUNTIFS(実績!$W$6:$W$505,CK$3,実績!$AI$6:$AI$505,"&lt;="&amp;$A285,実績!$AJ$6:$AJ$505,"&gt;"&amp;$A285,実績!$AL$6:$AL$505,"○")&gt;0,1,0))</f>
        <v>0</v>
      </c>
      <c r="CL285" s="39" t="n">
        <f aca="false">IF(CL$4=0,0,IF(COUNTIFS(実績!$W$6:$W$505,CL$3,実績!$AI$6:$AI$505,"&lt;="&amp;$A285,実績!$AJ$6:$AJ$505,"&gt;"&amp;$A285,実績!$AL$6:$AL$505,"○")&gt;0,1,0))</f>
        <v>0</v>
      </c>
      <c r="CM285" s="39" t="n">
        <f aca="false">IF(CM$4=0,0,IF(COUNTIFS(実績!$W$6:$W$505,CM$3,実績!$AI$6:$AI$505,"&lt;="&amp;$A285,実績!$AJ$6:$AJ$505,"&gt;"&amp;$A285,実績!$AL$6:$AL$505,"○")&gt;0,1,0))</f>
        <v>0</v>
      </c>
      <c r="CN285" s="39" t="n">
        <f aca="false">IF(CN$4=0,0,IF(COUNTIFS(実績!$W$6:$W$505,CN$3,実績!$AI$6:$AI$505,"&lt;="&amp;$A285,実績!$AJ$6:$AJ$505,"&gt;"&amp;$A285,実績!$AL$6:$AL$505,"○")&gt;0,1,0))</f>
        <v>0</v>
      </c>
      <c r="CO285" s="39" t="n">
        <f aca="false">IF(CO$4=0,0,IF(COUNTIFS(実績!$W$6:$W$505,CO$3,実績!$AI$6:$AI$505,"&lt;="&amp;$A285,実績!$AJ$6:$AJ$505,"&gt;"&amp;$A285,実績!$AL$6:$AL$505,"○")&gt;0,1,0))</f>
        <v>0</v>
      </c>
      <c r="CP285" s="39" t="n">
        <f aca="false">IF(CP$4=0,0,IF(COUNTIFS(実績!$W$6:$W$505,CP$3,実績!$AI$6:$AI$505,"&lt;="&amp;$A285,実績!$AJ$6:$AJ$505,"&gt;"&amp;$A285,実績!$AL$6:$AL$505,"○")&gt;0,1,0))</f>
        <v>0</v>
      </c>
      <c r="CQ285" s="39" t="n">
        <f aca="false">IF(CQ$4=0,0,IF(COUNTIFS(実績!$W$6:$W$505,CQ$3,実績!$AI$6:$AI$505,"&lt;="&amp;$A285,実績!$AJ$6:$AJ$505,"&gt;"&amp;$A285,実績!$AL$6:$AL$505,"○")&gt;0,1,0))</f>
        <v>0</v>
      </c>
      <c r="CR285" s="39" t="n">
        <f aca="false">IF(CR$4=0,0,IF(COUNTIFS(実績!$W$6:$W$505,CR$3,実績!$AI$6:$AI$505,"&lt;="&amp;$A285,実績!$AJ$6:$AJ$505,"&gt;"&amp;$A285,実績!$AL$6:$AL$505,"○")&gt;0,1,0))</f>
        <v>0</v>
      </c>
      <c r="CS285" s="39" t="n">
        <f aca="false">IF(CS$4=0,0,IF(COUNTIFS(実績!$W$6:$W$505,CS$3,実績!$AI$6:$AI$505,"&lt;="&amp;$A285,実績!$AJ$6:$AJ$505,"&gt;"&amp;$A285,実績!$AL$6:$AL$505,"○")&gt;0,1,0))</f>
        <v>0</v>
      </c>
      <c r="CT285" s="39" t="n">
        <f aca="false">IF(CT$4=0,0,IF(COUNTIFS(実績!$W$6:$W$505,CT$3,実績!$AI$6:$AI$505,"&lt;="&amp;$A285,実績!$AJ$6:$AJ$505,"&gt;"&amp;$A285,実績!$AL$6:$AL$505,"○")&gt;0,1,0))</f>
        <v>0</v>
      </c>
      <c r="CU285" s="39" t="n">
        <f aca="false">IF(CU$4=0,0,IF(COUNTIFS(実績!$W$6:$W$505,CU$3,実績!$AI$6:$AI$505,"&lt;="&amp;$A285,実績!$AJ$6:$AJ$505,"&gt;"&amp;$A285,実績!$AL$6:$AL$505,"○")&gt;0,1,0))</f>
        <v>0</v>
      </c>
      <c r="CV285" s="39" t="n">
        <f aca="false">IF(CV$4=0,0,IF(COUNTIFS(実績!$W$6:$W$505,CV$3,実績!$AI$6:$AI$505,"&lt;="&amp;$A285,実績!$AJ$6:$AJ$505,"&gt;"&amp;$A285,実績!$AL$6:$AL$505,"○")&gt;0,1,0))</f>
        <v>0</v>
      </c>
      <c r="CW285" s="39" t="n">
        <f aca="false">IF(CW$4=0,0,IF(COUNTIFS(実績!$W$6:$W$505,CW$3,実績!$AI$6:$AI$505,"&lt;="&amp;$A285,実績!$AJ$6:$AJ$505,"&gt;"&amp;$A285,実績!$AL$6:$AL$505,"○")&gt;0,1,0))</f>
        <v>0</v>
      </c>
      <c r="CX285" s="39" t="n">
        <f aca="false">IF(CX$4=0,0,IF(COUNTIFS(実績!$W$6:$W$505,CX$3,実績!$AI$6:$AI$505,"&lt;="&amp;$A285,実績!$AJ$6:$AJ$505,"&gt;"&amp;$A285,実績!$AL$6:$AL$505,"○")&gt;0,1,0))</f>
        <v>0</v>
      </c>
      <c r="CY285" s="39" t="n">
        <f aca="false">IF(CY$4=0,0,IF(COUNTIFS(実績!$W$6:$W$505,CY$3,実績!$AI$6:$AI$505,"&lt;="&amp;$A285,実績!$AJ$6:$AJ$505,"&gt;"&amp;$A285,実績!$AL$6:$AL$505,"○")&gt;0,1,0))</f>
        <v>0</v>
      </c>
      <c r="CZ285" s="39" t="n">
        <f aca="false">IF(CZ$4=0,0,IF(COUNTIFS(実績!$W$6:$W$505,CZ$3,実績!$AI$6:$AI$505,"&lt;="&amp;$A285,実績!$AJ$6:$AJ$505,"&gt;"&amp;$A285,実績!$AL$6:$AL$505,"○")&gt;0,1,0))</f>
        <v>0</v>
      </c>
      <c r="DA285" s="39" t="n">
        <f aca="false">IF(DA$4=0,0,IF(COUNTIFS(実績!$W$6:$W$505,DA$3,実績!$AI$6:$AI$505,"&lt;="&amp;$A285,実績!$AJ$6:$AJ$505,"&gt;"&amp;$A285,実績!$AL$6:$AL$505,"○")&gt;0,1,0))</f>
        <v>0</v>
      </c>
      <c r="DB285" s="39" t="n">
        <f aca="false">IF(DB$4=0,0,IF(COUNTIFS(実績!$W$6:$W$505,DB$3,実績!$AI$6:$AI$505,"&lt;="&amp;$A285,実績!$AJ$6:$AJ$505,"&gt;"&amp;$A285,実績!$AL$6:$AL$505,"○")&gt;0,1,0))</f>
        <v>0</v>
      </c>
      <c r="DC285" s="39" t="n">
        <f aca="false">IF(DC$4=0,0,IF(COUNTIFS(実績!$W$6:$W$505,DC$3,実績!$AI$6:$AI$505,"&lt;="&amp;$A285,実績!$AJ$6:$AJ$505,"&gt;"&amp;$A285,実績!$AL$6:$AL$505,"○")&gt;0,1,0))</f>
        <v>0</v>
      </c>
      <c r="DD285" s="39" t="n">
        <f aca="false">IF(DD$4=0,0,IF(COUNTIFS(実績!$W$6:$W$505,DD$3,実績!$AI$6:$AI$505,"&lt;="&amp;$A285,実績!$AJ$6:$AJ$505,"&gt;"&amp;$A285,実績!$AL$6:$AL$505,"○")&gt;0,1,0))</f>
        <v>0</v>
      </c>
      <c r="DE285" s="39" t="n">
        <f aca="false">IF(DE$4=0,0,IF(COUNTIFS(実績!$W$6:$W$505,DE$3,実績!$AI$6:$AI$505,"&lt;="&amp;$A285,実績!$AJ$6:$AJ$505,"&gt;"&amp;$A285,実績!$AL$6:$AL$505,"○")&gt;0,1,0))</f>
        <v>0</v>
      </c>
      <c r="DF285" s="39" t="n">
        <f aca="false">IF(DF$4=0,0,IF(COUNTIFS(実績!$W$6:$W$505,DF$3,実績!$AI$6:$AI$505,"&lt;="&amp;$A285,実績!$AJ$6:$AJ$505,"&gt;"&amp;$A285,実績!$AL$6:$AL$505,"○")&gt;0,1,0))</f>
        <v>0</v>
      </c>
      <c r="DG285" s="39" t="n">
        <f aca="false">IF(DG$4=0,0,IF(COUNTIFS(実績!$W$6:$W$505,DG$3,実績!$AI$6:$AI$505,"&lt;="&amp;$A285,実績!$AJ$6:$AJ$505,"&gt;"&amp;$A285,実績!$AL$6:$AL$505,"○")&gt;0,1,0))</f>
        <v>0</v>
      </c>
      <c r="DH285" s="39" t="n">
        <f aca="false">IF(DH$4=0,0,IF(COUNTIFS(実績!$W$6:$W$505,DH$3,実績!$AI$6:$AI$505,"&lt;="&amp;$A285,実績!$AJ$6:$AJ$505,"&gt;"&amp;$A285,実績!$AL$6:$AL$505,"○")&gt;0,1,0))</f>
        <v>0</v>
      </c>
      <c r="DI285" s="39" t="n">
        <f aca="false">IF(DI$4=0,0,IF(COUNTIFS(実績!$W$6:$W$505,DI$3,実績!$AI$6:$AI$505,"&lt;="&amp;$A285,実績!$AJ$6:$AJ$505,"&gt;"&amp;$A285,実績!$AL$6:$AL$505,"○")&gt;0,1,0))</f>
        <v>0</v>
      </c>
      <c r="DJ285" s="39" t="n">
        <f aca="false">IF(DJ$4=0,0,IF(COUNTIFS(実績!$W$6:$W$505,DJ$3,実績!$AI$6:$AI$505,"&lt;="&amp;$A285,実績!$AJ$6:$AJ$505,"&gt;"&amp;$A285,実績!$AL$6:$AL$505,"○")&gt;0,1,0))</f>
        <v>0</v>
      </c>
      <c r="DK285" s="39" t="n">
        <f aca="false">IF(DK$4=0,0,IF(COUNTIFS(実績!$W$6:$W$505,DK$3,実績!$AI$6:$AI$505,"&lt;="&amp;$A285,実績!$AJ$6:$AJ$505,"&gt;"&amp;$A285,実績!$AL$6:$AL$505,"○")&gt;0,1,0))</f>
        <v>0</v>
      </c>
      <c r="DL285" s="39" t="n">
        <f aca="false">IF(DL$4=0,0,IF(COUNTIFS(実績!$W$6:$W$505,DL$3,実績!$AI$6:$AI$505,"&lt;="&amp;$A285,実績!$AJ$6:$AJ$505,"&gt;"&amp;$A285,実績!$AL$6:$AL$505,"○")&gt;0,1,0))</f>
        <v>0</v>
      </c>
      <c r="DM285" s="39" t="n">
        <f aca="false">IF(DM$4=0,0,IF(COUNTIFS(実績!$W$6:$W$505,DM$3,実績!$AI$6:$AI$505,"&lt;="&amp;$A285,実績!$AJ$6:$AJ$505,"&gt;"&amp;$A285,実績!$AL$6:$AL$505,"○")&gt;0,1,0))</f>
        <v>0</v>
      </c>
      <c r="DN285" s="39" t="n">
        <f aca="false">IF(DN$4=0,0,IF(COUNTIFS(実績!$W$6:$W$505,DN$3,実績!$AI$6:$AI$505,"&lt;="&amp;$A285,実績!$AJ$6:$AJ$505,"&gt;"&amp;$A285,実績!$AL$6:$AL$505,"○")&gt;0,1,0))</f>
        <v>0</v>
      </c>
      <c r="DO285" s="39" t="n">
        <f aca="false">IF(DO$4=0,0,IF(COUNTIFS(実績!$W$6:$W$505,DO$3,実績!$AI$6:$AI$505,"&lt;="&amp;$A285,実績!$AJ$6:$AJ$505,"&gt;"&amp;$A285,実績!$AL$6:$AL$505,"○")&gt;0,1,0))</f>
        <v>0</v>
      </c>
      <c r="DP285" s="39" t="n">
        <f aca="false">IF(DP$4=0,0,IF(COUNTIFS(実績!$W$6:$W$505,DP$3,実績!$AI$6:$AI$505,"&lt;="&amp;$A285,実績!$AJ$6:$AJ$505,"&gt;"&amp;$A285,実績!$AL$6:$AL$505,"○")&gt;0,1,0))</f>
        <v>0</v>
      </c>
      <c r="DQ285" s="39" t="n">
        <f aca="false">IF(DQ$4=0,0,IF(COUNTIFS(実績!$W$6:$W$505,DQ$3,実績!$AI$6:$AI$505,"&lt;="&amp;$A285,実績!$AJ$6:$AJ$505,"&gt;"&amp;$A285,実績!$AL$6:$AL$505,"○")&gt;0,1,0))</f>
        <v>0</v>
      </c>
      <c r="DR285" s="39" t="n">
        <f aca="false">IF(DR$4=0,0,IF(COUNTIFS(実績!$W$6:$W$505,DR$3,実績!$AI$6:$AI$505,"&lt;="&amp;$A285,実績!$AJ$6:$AJ$505,"&gt;"&amp;$A285,実績!$AL$6:$AL$505,"○")&gt;0,1,0))</f>
        <v>0</v>
      </c>
      <c r="DS285" s="39" t="n">
        <f aca="false">SUM(C285:DR285)</f>
        <v>0</v>
      </c>
    </row>
    <row r="286" customFormat="false" ht="15" hidden="false" customHeight="false" outlineLevel="0" collapsed="false">
      <c r="A286" s="0" t="n">
        <v>1400</v>
      </c>
      <c r="B286" s="38" t="n">
        <f aca="false">A286/1440</f>
        <v>0.972222222222222</v>
      </c>
      <c r="C286" s="39" t="n">
        <f aca="false">IF(C$4=0,0,IF(COUNTIFS(実績!$W$6:$W$505,C$3,実績!$AI$6:$AI$505,"&lt;="&amp;$A286,実績!$AJ$6:$AJ$505,"&gt;"&amp;$A286,実績!$AL$6:$AL$505,"○")&gt;0,1,0))</f>
        <v>0</v>
      </c>
      <c r="D286" s="39" t="n">
        <f aca="false">IF(D$4=0,0,IF(COUNTIFS(実績!$W$6:$W$505,D$3,実績!$AI$6:$AI$505,"&lt;="&amp;$A286,実績!$AJ$6:$AJ$505,"&gt;"&amp;$A286,実績!$AL$6:$AL$505,"○")&gt;0,1,0))</f>
        <v>0</v>
      </c>
      <c r="E286" s="39" t="n">
        <f aca="false">IF(E$4=0,0,IF(COUNTIFS(実績!$W$6:$W$505,E$3,実績!$AI$6:$AI$505,"&lt;="&amp;$A286,実績!$AJ$6:$AJ$505,"&gt;"&amp;$A286,実績!$AL$6:$AL$505,"○")&gt;0,1,0))</f>
        <v>0</v>
      </c>
      <c r="F286" s="39" t="n">
        <f aca="false">IF(F$4=0,0,IF(COUNTIFS(実績!$W$6:$W$505,F$3,実績!$AI$6:$AI$505,"&lt;="&amp;$A286,実績!$AJ$6:$AJ$505,"&gt;"&amp;$A286,実績!$AL$6:$AL$505,"○")&gt;0,1,0))</f>
        <v>0</v>
      </c>
      <c r="G286" s="39" t="n">
        <f aca="false">IF(G$4=0,0,IF(COUNTIFS(実績!$W$6:$W$505,G$3,実績!$AI$6:$AI$505,"&lt;="&amp;$A286,実績!$AJ$6:$AJ$505,"&gt;"&amp;$A286,実績!$AL$6:$AL$505,"○")&gt;0,1,0))</f>
        <v>0</v>
      </c>
      <c r="H286" s="39" t="n">
        <f aca="false">IF(H$4=0,0,IF(COUNTIFS(実績!$W$6:$W$505,H$3,実績!$AI$6:$AI$505,"&lt;="&amp;$A286,実績!$AJ$6:$AJ$505,"&gt;"&amp;$A286,実績!$AL$6:$AL$505,"○")&gt;0,1,0))</f>
        <v>0</v>
      </c>
      <c r="I286" s="39" t="n">
        <f aca="false">IF(I$4=0,0,IF(COUNTIFS(実績!$W$6:$W$505,I$3,実績!$AI$6:$AI$505,"&lt;="&amp;$A286,実績!$AJ$6:$AJ$505,"&gt;"&amp;$A286,実績!$AL$6:$AL$505,"○")&gt;0,1,0))</f>
        <v>0</v>
      </c>
      <c r="J286" s="39" t="n">
        <f aca="false">IF(J$4=0,0,IF(COUNTIFS(実績!$W$6:$W$505,J$3,実績!$AI$6:$AI$505,"&lt;="&amp;$A286,実績!$AJ$6:$AJ$505,"&gt;"&amp;$A286,実績!$AL$6:$AL$505,"○")&gt;0,1,0))</f>
        <v>0</v>
      </c>
      <c r="K286" s="39" t="n">
        <f aca="false">IF(K$4=0,0,IF(COUNTIFS(実績!$W$6:$W$505,K$3,実績!$AI$6:$AI$505,"&lt;="&amp;$A286,実績!$AJ$6:$AJ$505,"&gt;"&amp;$A286,実績!$AL$6:$AL$505,"○")&gt;0,1,0))</f>
        <v>0</v>
      </c>
      <c r="L286" s="39" t="n">
        <f aca="false">IF(L$4=0,0,IF(COUNTIFS(実績!$W$6:$W$505,L$3,実績!$AI$6:$AI$505,"&lt;="&amp;$A286,実績!$AJ$6:$AJ$505,"&gt;"&amp;$A286,実績!$AL$6:$AL$505,"○")&gt;0,1,0))</f>
        <v>0</v>
      </c>
      <c r="M286" s="39" t="n">
        <f aca="false">IF(M$4=0,0,IF(COUNTIFS(実績!$W$6:$W$505,M$3,実績!$AI$6:$AI$505,"&lt;="&amp;$A286,実績!$AJ$6:$AJ$505,"&gt;"&amp;$A286,実績!$AL$6:$AL$505,"○")&gt;0,1,0))</f>
        <v>0</v>
      </c>
      <c r="N286" s="39" t="n">
        <f aca="false">IF(N$4=0,0,IF(COUNTIFS(実績!$W$6:$W$505,N$3,実績!$AI$6:$AI$505,"&lt;="&amp;$A286,実績!$AJ$6:$AJ$505,"&gt;"&amp;$A286,実績!$AL$6:$AL$505,"○")&gt;0,1,0))</f>
        <v>0</v>
      </c>
      <c r="O286" s="39" t="n">
        <f aca="false">IF(O$4=0,0,IF(COUNTIFS(実績!$W$6:$W$505,O$3,実績!$AI$6:$AI$505,"&lt;="&amp;$A286,実績!$AJ$6:$AJ$505,"&gt;"&amp;$A286,実績!$AL$6:$AL$505,"○")&gt;0,1,0))</f>
        <v>0</v>
      </c>
      <c r="P286" s="39" t="n">
        <f aca="false">IF(P$4=0,0,IF(COUNTIFS(実績!$W$6:$W$505,P$3,実績!$AI$6:$AI$505,"&lt;="&amp;$A286,実績!$AJ$6:$AJ$505,"&gt;"&amp;$A286,実績!$AL$6:$AL$505,"○")&gt;0,1,0))</f>
        <v>0</v>
      </c>
      <c r="Q286" s="39" t="n">
        <f aca="false">IF(Q$4=0,0,IF(COUNTIFS(実績!$W$6:$W$505,Q$3,実績!$AI$6:$AI$505,"&lt;="&amp;$A286,実績!$AJ$6:$AJ$505,"&gt;"&amp;$A286,実績!$AL$6:$AL$505,"○")&gt;0,1,0))</f>
        <v>0</v>
      </c>
      <c r="R286" s="39" t="n">
        <f aca="false">IF(R$4=0,0,IF(COUNTIFS(実績!$W$6:$W$505,R$3,実績!$AI$6:$AI$505,"&lt;="&amp;$A286,実績!$AJ$6:$AJ$505,"&gt;"&amp;$A286,実績!$AL$6:$AL$505,"○")&gt;0,1,0))</f>
        <v>0</v>
      </c>
      <c r="S286" s="39" t="n">
        <f aca="false">IF(S$4=0,0,IF(COUNTIFS(実績!$W$6:$W$505,S$3,実績!$AI$6:$AI$505,"&lt;="&amp;$A286,実績!$AJ$6:$AJ$505,"&gt;"&amp;$A286,実績!$AL$6:$AL$505,"○")&gt;0,1,0))</f>
        <v>0</v>
      </c>
      <c r="T286" s="39" t="n">
        <f aca="false">IF(T$4=0,0,IF(COUNTIFS(実績!$W$6:$W$505,T$3,実績!$AI$6:$AI$505,"&lt;="&amp;$A286,実績!$AJ$6:$AJ$505,"&gt;"&amp;$A286,実績!$AL$6:$AL$505,"○")&gt;0,1,0))</f>
        <v>0</v>
      </c>
      <c r="U286" s="39" t="n">
        <f aca="false">IF(U$4=0,0,IF(COUNTIFS(実績!$W$6:$W$505,U$3,実績!$AI$6:$AI$505,"&lt;="&amp;$A286,実績!$AJ$6:$AJ$505,"&gt;"&amp;$A286,実績!$AL$6:$AL$505,"○")&gt;0,1,0))</f>
        <v>0</v>
      </c>
      <c r="V286" s="39" t="n">
        <f aca="false">IF(V$4=0,0,IF(COUNTIFS(実績!$W$6:$W$505,V$3,実績!$AI$6:$AI$505,"&lt;="&amp;$A286,実績!$AJ$6:$AJ$505,"&gt;"&amp;$A286,実績!$AL$6:$AL$505,"○")&gt;0,1,0))</f>
        <v>0</v>
      </c>
      <c r="W286" s="39" t="n">
        <f aca="false">IF(W$4=0,0,IF(COUNTIFS(実績!$W$6:$W$505,W$3,実績!$AI$6:$AI$505,"&lt;="&amp;$A286,実績!$AJ$6:$AJ$505,"&gt;"&amp;$A286,実績!$AL$6:$AL$505,"○")&gt;0,1,0))</f>
        <v>0</v>
      </c>
      <c r="X286" s="39" t="n">
        <f aca="false">IF(X$4=0,0,IF(COUNTIFS(実績!$W$6:$W$505,X$3,実績!$AI$6:$AI$505,"&lt;="&amp;$A286,実績!$AJ$6:$AJ$505,"&gt;"&amp;$A286,実績!$AL$6:$AL$505,"○")&gt;0,1,0))</f>
        <v>0</v>
      </c>
      <c r="Y286" s="39" t="n">
        <f aca="false">IF(Y$4=0,0,IF(COUNTIFS(実績!$W$6:$W$505,Y$3,実績!$AI$6:$AI$505,"&lt;="&amp;$A286,実績!$AJ$6:$AJ$505,"&gt;"&amp;$A286,実績!$AL$6:$AL$505,"○")&gt;0,1,0))</f>
        <v>0</v>
      </c>
      <c r="Z286" s="39" t="n">
        <f aca="false">IF(Z$4=0,0,IF(COUNTIFS(実績!$W$6:$W$505,Z$3,実績!$AI$6:$AI$505,"&lt;="&amp;$A286,実績!$AJ$6:$AJ$505,"&gt;"&amp;$A286,実績!$AL$6:$AL$505,"○")&gt;0,1,0))</f>
        <v>0</v>
      </c>
      <c r="AA286" s="39" t="n">
        <f aca="false">IF(AA$4=0,0,IF(COUNTIFS(実績!$W$6:$W$505,AA$3,実績!$AI$6:$AI$505,"&lt;="&amp;$A286,実績!$AJ$6:$AJ$505,"&gt;"&amp;$A286,実績!$AL$6:$AL$505,"○")&gt;0,1,0))</f>
        <v>0</v>
      </c>
      <c r="AB286" s="39" t="n">
        <f aca="false">IF(AB$4=0,0,IF(COUNTIFS(実績!$W$6:$W$505,AB$3,実績!$AI$6:$AI$505,"&lt;="&amp;$A286,実績!$AJ$6:$AJ$505,"&gt;"&amp;$A286,実績!$AL$6:$AL$505,"○")&gt;0,1,0))</f>
        <v>0</v>
      </c>
      <c r="AC286" s="39" t="n">
        <f aca="false">IF(AC$4=0,0,IF(COUNTIFS(実績!$W$6:$W$505,AC$3,実績!$AI$6:$AI$505,"&lt;="&amp;$A286,実績!$AJ$6:$AJ$505,"&gt;"&amp;$A286,実績!$AL$6:$AL$505,"○")&gt;0,1,0))</f>
        <v>0</v>
      </c>
      <c r="AD286" s="39" t="n">
        <f aca="false">IF(AD$4=0,0,IF(COUNTIFS(実績!$W$6:$W$505,AD$3,実績!$AI$6:$AI$505,"&lt;="&amp;$A286,実績!$AJ$6:$AJ$505,"&gt;"&amp;$A286,実績!$AL$6:$AL$505,"○")&gt;0,1,0))</f>
        <v>0</v>
      </c>
      <c r="AE286" s="39" t="n">
        <f aca="false">IF(AE$4=0,0,IF(COUNTIFS(実績!$W$6:$W$505,AE$3,実績!$AI$6:$AI$505,"&lt;="&amp;$A286,実績!$AJ$6:$AJ$505,"&gt;"&amp;$A286,実績!$AL$6:$AL$505,"○")&gt;0,1,0))</f>
        <v>0</v>
      </c>
      <c r="AF286" s="39" t="n">
        <f aca="false">IF(AF$4=0,0,IF(COUNTIFS(実績!$W$6:$W$505,AF$3,実績!$AI$6:$AI$505,"&lt;="&amp;$A286,実績!$AJ$6:$AJ$505,"&gt;"&amp;$A286,実績!$AL$6:$AL$505,"○")&gt;0,1,0))</f>
        <v>0</v>
      </c>
      <c r="AG286" s="39" t="n">
        <f aca="false">IF(AG$4=0,0,IF(COUNTIFS(実績!$W$6:$W$505,AG$3,実績!$AI$6:$AI$505,"&lt;="&amp;$A286,実績!$AJ$6:$AJ$505,"&gt;"&amp;$A286,実績!$AL$6:$AL$505,"○")&gt;0,1,0))</f>
        <v>0</v>
      </c>
      <c r="AH286" s="39" t="n">
        <f aca="false">IF(AH$4=0,0,IF(COUNTIFS(実績!$W$6:$W$505,AH$3,実績!$AI$6:$AI$505,"&lt;="&amp;$A286,実績!$AJ$6:$AJ$505,"&gt;"&amp;$A286,実績!$AL$6:$AL$505,"○")&gt;0,1,0))</f>
        <v>0</v>
      </c>
      <c r="AI286" s="39" t="n">
        <f aca="false">IF(AI$4=0,0,IF(COUNTIFS(実績!$W$6:$W$505,AI$3,実績!$AI$6:$AI$505,"&lt;="&amp;$A286,実績!$AJ$6:$AJ$505,"&gt;"&amp;$A286,実績!$AL$6:$AL$505,"○")&gt;0,1,0))</f>
        <v>0</v>
      </c>
      <c r="AJ286" s="39" t="n">
        <f aca="false">IF(AJ$4=0,0,IF(COUNTIFS(実績!$W$6:$W$505,AJ$3,実績!$AI$6:$AI$505,"&lt;="&amp;$A286,実績!$AJ$6:$AJ$505,"&gt;"&amp;$A286,実績!$AL$6:$AL$505,"○")&gt;0,1,0))</f>
        <v>0</v>
      </c>
      <c r="AK286" s="39" t="n">
        <f aca="false">IF(AK$4=0,0,IF(COUNTIFS(実績!$W$6:$W$505,AK$3,実績!$AI$6:$AI$505,"&lt;="&amp;$A286,実績!$AJ$6:$AJ$505,"&gt;"&amp;$A286,実績!$AL$6:$AL$505,"○")&gt;0,1,0))</f>
        <v>0</v>
      </c>
      <c r="AL286" s="39" t="n">
        <f aca="false">IF(AL$4=0,0,IF(COUNTIFS(実績!$W$6:$W$505,AL$3,実績!$AI$6:$AI$505,"&lt;="&amp;$A286,実績!$AJ$6:$AJ$505,"&gt;"&amp;$A286,実績!$AL$6:$AL$505,"○")&gt;0,1,0))</f>
        <v>0</v>
      </c>
      <c r="AM286" s="39" t="n">
        <f aca="false">IF(AM$4=0,0,IF(COUNTIFS(実績!$W$6:$W$505,AM$3,実績!$AI$6:$AI$505,"&lt;="&amp;$A286,実績!$AJ$6:$AJ$505,"&gt;"&amp;$A286,実績!$AL$6:$AL$505,"○")&gt;0,1,0))</f>
        <v>0</v>
      </c>
      <c r="AN286" s="39" t="n">
        <f aca="false">IF(AN$4=0,0,IF(COUNTIFS(実績!$W$6:$W$505,AN$3,実績!$AI$6:$AI$505,"&lt;="&amp;$A286,実績!$AJ$6:$AJ$505,"&gt;"&amp;$A286,実績!$AL$6:$AL$505,"○")&gt;0,1,0))</f>
        <v>0</v>
      </c>
      <c r="AO286" s="39" t="n">
        <f aca="false">IF(AO$4=0,0,IF(COUNTIFS(実績!$W$6:$W$505,AO$3,実績!$AI$6:$AI$505,"&lt;="&amp;$A286,実績!$AJ$6:$AJ$505,"&gt;"&amp;$A286,実績!$AL$6:$AL$505,"○")&gt;0,1,0))</f>
        <v>0</v>
      </c>
      <c r="AP286" s="39" t="n">
        <f aca="false">IF(AP$4=0,0,IF(COUNTIFS(実績!$W$6:$W$505,AP$3,実績!$AI$6:$AI$505,"&lt;="&amp;$A286,実績!$AJ$6:$AJ$505,"&gt;"&amp;$A286,実績!$AL$6:$AL$505,"○")&gt;0,1,0))</f>
        <v>0</v>
      </c>
      <c r="AQ286" s="39" t="n">
        <f aca="false">IF(AQ$4=0,0,IF(COUNTIFS(実績!$W$6:$W$505,AQ$3,実績!$AI$6:$AI$505,"&lt;="&amp;$A286,実績!$AJ$6:$AJ$505,"&gt;"&amp;$A286,実績!$AL$6:$AL$505,"○")&gt;0,1,0))</f>
        <v>0</v>
      </c>
      <c r="AR286" s="39" t="n">
        <f aca="false">IF(AR$4=0,0,IF(COUNTIFS(実績!$W$6:$W$505,AR$3,実績!$AI$6:$AI$505,"&lt;="&amp;$A286,実績!$AJ$6:$AJ$505,"&gt;"&amp;$A286,実績!$AL$6:$AL$505,"○")&gt;0,1,0))</f>
        <v>0</v>
      </c>
      <c r="AS286" s="39" t="n">
        <f aca="false">IF(AS$4=0,0,IF(COUNTIFS(実績!$W$6:$W$505,AS$3,実績!$AI$6:$AI$505,"&lt;="&amp;$A286,実績!$AJ$6:$AJ$505,"&gt;"&amp;$A286,実績!$AL$6:$AL$505,"○")&gt;0,1,0))</f>
        <v>0</v>
      </c>
      <c r="AT286" s="39" t="n">
        <f aca="false">IF(AT$4=0,0,IF(COUNTIFS(実績!$W$6:$W$505,AT$3,実績!$AI$6:$AI$505,"&lt;="&amp;$A286,実績!$AJ$6:$AJ$505,"&gt;"&amp;$A286,実績!$AL$6:$AL$505,"○")&gt;0,1,0))</f>
        <v>0</v>
      </c>
      <c r="AU286" s="39" t="n">
        <f aca="false">IF(AU$4=0,0,IF(COUNTIFS(実績!$W$6:$W$505,AU$3,実績!$AI$6:$AI$505,"&lt;="&amp;$A286,実績!$AJ$6:$AJ$505,"&gt;"&amp;$A286,実績!$AL$6:$AL$505,"○")&gt;0,1,0))</f>
        <v>0</v>
      </c>
      <c r="AV286" s="39" t="n">
        <f aca="false">IF(AV$4=0,0,IF(COUNTIFS(実績!$W$6:$W$505,AV$3,実績!$AI$6:$AI$505,"&lt;="&amp;$A286,実績!$AJ$6:$AJ$505,"&gt;"&amp;$A286,実績!$AL$6:$AL$505,"○")&gt;0,1,0))</f>
        <v>0</v>
      </c>
      <c r="AW286" s="39" t="n">
        <f aca="false">IF(AW$4=0,0,IF(COUNTIFS(実績!$W$6:$W$505,AW$3,実績!$AI$6:$AI$505,"&lt;="&amp;$A286,実績!$AJ$6:$AJ$505,"&gt;"&amp;$A286,実績!$AL$6:$AL$505,"○")&gt;0,1,0))</f>
        <v>0</v>
      </c>
      <c r="AX286" s="39" t="n">
        <f aca="false">IF(AX$4=0,0,IF(COUNTIFS(実績!$W$6:$W$505,AX$3,実績!$AI$6:$AI$505,"&lt;="&amp;$A286,実績!$AJ$6:$AJ$505,"&gt;"&amp;$A286,実績!$AL$6:$AL$505,"○")&gt;0,1,0))</f>
        <v>0</v>
      </c>
      <c r="AY286" s="39" t="n">
        <f aca="false">IF(AY$4=0,0,IF(COUNTIFS(実績!$W$6:$W$505,AY$3,実績!$AI$6:$AI$505,"&lt;="&amp;$A286,実績!$AJ$6:$AJ$505,"&gt;"&amp;$A286,実績!$AL$6:$AL$505,"○")&gt;0,1,0))</f>
        <v>0</v>
      </c>
      <c r="AZ286" s="39" t="n">
        <f aca="false">IF(AZ$4=0,0,IF(COUNTIFS(実績!$W$6:$W$505,AZ$3,実績!$AI$6:$AI$505,"&lt;="&amp;$A286,実績!$AJ$6:$AJ$505,"&gt;"&amp;$A286,実績!$AL$6:$AL$505,"○")&gt;0,1,0))</f>
        <v>0</v>
      </c>
      <c r="BA286" s="39" t="n">
        <f aca="false">IF(BA$4=0,0,IF(COUNTIFS(実績!$W$6:$W$505,BA$3,実績!$AI$6:$AI$505,"&lt;="&amp;$A286,実績!$AJ$6:$AJ$505,"&gt;"&amp;$A286,実績!$AL$6:$AL$505,"○")&gt;0,1,0))</f>
        <v>0</v>
      </c>
      <c r="BB286" s="39" t="n">
        <f aca="false">IF(BB$4=0,0,IF(COUNTIFS(実績!$W$6:$W$505,BB$3,実績!$AI$6:$AI$505,"&lt;="&amp;$A286,実績!$AJ$6:$AJ$505,"&gt;"&amp;$A286,実績!$AL$6:$AL$505,"○")&gt;0,1,0))</f>
        <v>0</v>
      </c>
      <c r="BC286" s="39" t="n">
        <f aca="false">IF(BC$4=0,0,IF(COUNTIFS(実績!$W$6:$W$505,BC$3,実績!$AI$6:$AI$505,"&lt;="&amp;$A286,実績!$AJ$6:$AJ$505,"&gt;"&amp;$A286,実績!$AL$6:$AL$505,"○")&gt;0,1,0))</f>
        <v>0</v>
      </c>
      <c r="BD286" s="39" t="n">
        <f aca="false">IF(BD$4=0,0,IF(COUNTIFS(実績!$W$6:$W$505,BD$3,実績!$AI$6:$AI$505,"&lt;="&amp;$A286,実績!$AJ$6:$AJ$505,"&gt;"&amp;$A286,実績!$AL$6:$AL$505,"○")&gt;0,1,0))</f>
        <v>0</v>
      </c>
      <c r="BE286" s="39" t="n">
        <f aca="false">IF(BE$4=0,0,IF(COUNTIFS(実績!$W$6:$W$505,BE$3,実績!$AI$6:$AI$505,"&lt;="&amp;$A286,実績!$AJ$6:$AJ$505,"&gt;"&amp;$A286,実績!$AL$6:$AL$505,"○")&gt;0,1,0))</f>
        <v>0</v>
      </c>
      <c r="BF286" s="39" t="n">
        <f aca="false">IF(BF$4=0,0,IF(COUNTIFS(実績!$W$6:$W$505,BF$3,実績!$AI$6:$AI$505,"&lt;="&amp;$A286,実績!$AJ$6:$AJ$505,"&gt;"&amp;$A286,実績!$AL$6:$AL$505,"○")&gt;0,1,0))</f>
        <v>0</v>
      </c>
      <c r="BG286" s="39" t="n">
        <f aca="false">IF(BG$4=0,0,IF(COUNTIFS(実績!$W$6:$W$505,BG$3,実績!$AI$6:$AI$505,"&lt;="&amp;$A286,実績!$AJ$6:$AJ$505,"&gt;"&amp;$A286,実績!$AL$6:$AL$505,"○")&gt;0,1,0))</f>
        <v>0</v>
      </c>
      <c r="BH286" s="39" t="n">
        <f aca="false">IF(BH$4=0,0,IF(COUNTIFS(実績!$W$6:$W$505,BH$3,実績!$AI$6:$AI$505,"&lt;="&amp;$A286,実績!$AJ$6:$AJ$505,"&gt;"&amp;$A286,実績!$AL$6:$AL$505,"○")&gt;0,1,0))</f>
        <v>0</v>
      </c>
      <c r="BI286" s="39" t="n">
        <f aca="false">IF(BI$4=0,0,IF(COUNTIFS(実績!$W$6:$W$505,BI$3,実績!$AI$6:$AI$505,"&lt;="&amp;$A286,実績!$AJ$6:$AJ$505,"&gt;"&amp;$A286,実績!$AL$6:$AL$505,"○")&gt;0,1,0))</f>
        <v>0</v>
      </c>
      <c r="BJ286" s="39" t="n">
        <f aca="false">IF(BJ$4=0,0,IF(COUNTIFS(実績!$W$6:$W$505,BJ$3,実績!$AI$6:$AI$505,"&lt;="&amp;$A286,実績!$AJ$6:$AJ$505,"&gt;"&amp;$A286,実績!$AL$6:$AL$505,"○")&gt;0,1,0))</f>
        <v>0</v>
      </c>
      <c r="BK286" s="39" t="n">
        <f aca="false">IF(BK$4=0,0,IF(COUNTIFS(実績!$W$6:$W$505,BK$3,実績!$AI$6:$AI$505,"&lt;="&amp;$A286,実績!$AJ$6:$AJ$505,"&gt;"&amp;$A286,実績!$AL$6:$AL$505,"○")&gt;0,1,0))</f>
        <v>0</v>
      </c>
      <c r="BL286" s="39" t="n">
        <f aca="false">IF(BL$4=0,0,IF(COUNTIFS(実績!$W$6:$W$505,BL$3,実績!$AI$6:$AI$505,"&lt;="&amp;$A286,実績!$AJ$6:$AJ$505,"&gt;"&amp;$A286,実績!$AL$6:$AL$505,"○")&gt;0,1,0))</f>
        <v>0</v>
      </c>
      <c r="BM286" s="39" t="n">
        <f aca="false">IF(BM$4=0,0,IF(COUNTIFS(実績!$W$6:$W$505,BM$3,実績!$AI$6:$AI$505,"&lt;="&amp;$A286,実績!$AJ$6:$AJ$505,"&gt;"&amp;$A286,実績!$AL$6:$AL$505,"○")&gt;0,1,0))</f>
        <v>0</v>
      </c>
      <c r="BN286" s="39" t="n">
        <f aca="false">IF(BN$4=0,0,IF(COUNTIFS(実績!$W$6:$W$505,BN$3,実績!$AI$6:$AI$505,"&lt;="&amp;$A286,実績!$AJ$6:$AJ$505,"&gt;"&amp;$A286,実績!$AL$6:$AL$505,"○")&gt;0,1,0))</f>
        <v>0</v>
      </c>
      <c r="BO286" s="39" t="n">
        <f aca="false">IF(BO$4=0,0,IF(COUNTIFS(実績!$W$6:$W$505,BO$3,実績!$AI$6:$AI$505,"&lt;="&amp;$A286,実績!$AJ$6:$AJ$505,"&gt;"&amp;$A286,実績!$AL$6:$AL$505,"○")&gt;0,1,0))</f>
        <v>0</v>
      </c>
      <c r="BP286" s="39" t="n">
        <f aca="false">IF(BP$4=0,0,IF(COUNTIFS(実績!$W$6:$W$505,BP$3,実績!$AI$6:$AI$505,"&lt;="&amp;$A286,実績!$AJ$6:$AJ$505,"&gt;"&amp;$A286,実績!$AL$6:$AL$505,"○")&gt;0,1,0))</f>
        <v>0</v>
      </c>
      <c r="BQ286" s="39" t="n">
        <f aca="false">IF(BQ$4=0,0,IF(COUNTIFS(実績!$W$6:$W$505,BQ$3,実績!$AI$6:$AI$505,"&lt;="&amp;$A286,実績!$AJ$6:$AJ$505,"&gt;"&amp;$A286,実績!$AL$6:$AL$505,"○")&gt;0,1,0))</f>
        <v>0</v>
      </c>
      <c r="BR286" s="39" t="n">
        <f aca="false">IF(BR$4=0,0,IF(COUNTIFS(実績!$W$6:$W$505,BR$3,実績!$AI$6:$AI$505,"&lt;="&amp;$A286,実績!$AJ$6:$AJ$505,"&gt;"&amp;$A286,実績!$AL$6:$AL$505,"○")&gt;0,1,0))</f>
        <v>0</v>
      </c>
      <c r="BS286" s="39" t="n">
        <f aca="false">IF(BS$4=0,0,IF(COUNTIFS(実績!$W$6:$W$505,BS$3,実績!$AI$6:$AI$505,"&lt;="&amp;$A286,実績!$AJ$6:$AJ$505,"&gt;"&amp;$A286,実績!$AL$6:$AL$505,"○")&gt;0,1,0))</f>
        <v>0</v>
      </c>
      <c r="BT286" s="39" t="n">
        <f aca="false">IF(BT$4=0,0,IF(COUNTIFS(実績!$W$6:$W$505,BT$3,実績!$AI$6:$AI$505,"&lt;="&amp;$A286,実績!$AJ$6:$AJ$505,"&gt;"&amp;$A286,実績!$AL$6:$AL$505,"○")&gt;0,1,0))</f>
        <v>0</v>
      </c>
      <c r="BU286" s="39" t="n">
        <f aca="false">IF(BU$4=0,0,IF(COUNTIFS(実績!$W$6:$W$505,BU$3,実績!$AI$6:$AI$505,"&lt;="&amp;$A286,実績!$AJ$6:$AJ$505,"&gt;"&amp;$A286,実績!$AL$6:$AL$505,"○")&gt;0,1,0))</f>
        <v>0</v>
      </c>
      <c r="BV286" s="39" t="n">
        <f aca="false">IF(BV$4=0,0,IF(COUNTIFS(実績!$W$6:$W$505,BV$3,実績!$AI$6:$AI$505,"&lt;="&amp;$A286,実績!$AJ$6:$AJ$505,"&gt;"&amp;$A286,実績!$AL$6:$AL$505,"○")&gt;0,1,0))</f>
        <v>0</v>
      </c>
      <c r="BW286" s="39" t="n">
        <f aca="false">IF(BW$4=0,0,IF(COUNTIFS(実績!$W$6:$W$505,BW$3,実績!$AI$6:$AI$505,"&lt;="&amp;$A286,実績!$AJ$6:$AJ$505,"&gt;"&amp;$A286,実績!$AL$6:$AL$505,"○")&gt;0,1,0))</f>
        <v>0</v>
      </c>
      <c r="BX286" s="39" t="n">
        <f aca="false">IF(BX$4=0,0,IF(COUNTIFS(実績!$W$6:$W$505,BX$3,実績!$AI$6:$AI$505,"&lt;="&amp;$A286,実績!$AJ$6:$AJ$505,"&gt;"&amp;$A286,実績!$AL$6:$AL$505,"○")&gt;0,1,0))</f>
        <v>0</v>
      </c>
      <c r="BY286" s="39" t="n">
        <f aca="false">IF(BY$4=0,0,IF(COUNTIFS(実績!$W$6:$W$505,BY$3,実績!$AI$6:$AI$505,"&lt;="&amp;$A286,実績!$AJ$6:$AJ$505,"&gt;"&amp;$A286,実績!$AL$6:$AL$505,"○")&gt;0,1,0))</f>
        <v>0</v>
      </c>
      <c r="BZ286" s="39" t="n">
        <f aca="false">IF(BZ$4=0,0,IF(COUNTIFS(実績!$W$6:$W$505,BZ$3,実績!$AI$6:$AI$505,"&lt;="&amp;$A286,実績!$AJ$6:$AJ$505,"&gt;"&amp;$A286,実績!$AL$6:$AL$505,"○")&gt;0,1,0))</f>
        <v>0</v>
      </c>
      <c r="CA286" s="39" t="n">
        <f aca="false">IF(CA$4=0,0,IF(COUNTIFS(実績!$W$6:$W$505,CA$3,実績!$AI$6:$AI$505,"&lt;="&amp;$A286,実績!$AJ$6:$AJ$505,"&gt;"&amp;$A286,実績!$AL$6:$AL$505,"○")&gt;0,1,0))</f>
        <v>0</v>
      </c>
      <c r="CB286" s="39" t="n">
        <f aca="false">IF(CB$4=0,0,IF(COUNTIFS(実績!$W$6:$W$505,CB$3,実績!$AI$6:$AI$505,"&lt;="&amp;$A286,実績!$AJ$6:$AJ$505,"&gt;"&amp;$A286,実績!$AL$6:$AL$505,"○")&gt;0,1,0))</f>
        <v>0</v>
      </c>
      <c r="CC286" s="39" t="n">
        <f aca="false">IF(CC$4=0,0,IF(COUNTIFS(実績!$W$6:$W$505,CC$3,実績!$AI$6:$AI$505,"&lt;="&amp;$A286,実績!$AJ$6:$AJ$505,"&gt;"&amp;$A286,実績!$AL$6:$AL$505,"○")&gt;0,1,0))</f>
        <v>0</v>
      </c>
      <c r="CD286" s="39" t="n">
        <f aca="false">IF(CD$4=0,0,IF(COUNTIFS(実績!$W$6:$W$505,CD$3,実績!$AI$6:$AI$505,"&lt;="&amp;$A286,実績!$AJ$6:$AJ$505,"&gt;"&amp;$A286,実績!$AL$6:$AL$505,"○")&gt;0,1,0))</f>
        <v>0</v>
      </c>
      <c r="CE286" s="39" t="n">
        <f aca="false">IF(CE$4=0,0,IF(COUNTIFS(実績!$W$6:$W$505,CE$3,実績!$AI$6:$AI$505,"&lt;="&amp;$A286,実績!$AJ$6:$AJ$505,"&gt;"&amp;$A286,実績!$AL$6:$AL$505,"○")&gt;0,1,0))</f>
        <v>0</v>
      </c>
      <c r="CF286" s="39" t="n">
        <f aca="false">IF(CF$4=0,0,IF(COUNTIFS(実績!$W$6:$W$505,CF$3,実績!$AI$6:$AI$505,"&lt;="&amp;$A286,実績!$AJ$6:$AJ$505,"&gt;"&amp;$A286,実績!$AL$6:$AL$505,"○")&gt;0,1,0))</f>
        <v>0</v>
      </c>
      <c r="CG286" s="39" t="n">
        <f aca="false">IF(CG$4=0,0,IF(COUNTIFS(実績!$W$6:$W$505,CG$3,実績!$AI$6:$AI$505,"&lt;="&amp;$A286,実績!$AJ$6:$AJ$505,"&gt;"&amp;$A286,実績!$AL$6:$AL$505,"○")&gt;0,1,0))</f>
        <v>0</v>
      </c>
      <c r="CH286" s="39" t="n">
        <f aca="false">IF(CH$4=0,0,IF(COUNTIFS(実績!$W$6:$W$505,CH$3,実績!$AI$6:$AI$505,"&lt;="&amp;$A286,実績!$AJ$6:$AJ$505,"&gt;"&amp;$A286,実績!$AL$6:$AL$505,"○")&gt;0,1,0))</f>
        <v>0</v>
      </c>
      <c r="CI286" s="39" t="n">
        <f aca="false">IF(CI$4=0,0,IF(COUNTIFS(実績!$W$6:$W$505,CI$3,実績!$AI$6:$AI$505,"&lt;="&amp;$A286,実績!$AJ$6:$AJ$505,"&gt;"&amp;$A286,実績!$AL$6:$AL$505,"○")&gt;0,1,0))</f>
        <v>0</v>
      </c>
      <c r="CJ286" s="39" t="n">
        <f aca="false">IF(CJ$4=0,0,IF(COUNTIFS(実績!$W$6:$W$505,CJ$3,実績!$AI$6:$AI$505,"&lt;="&amp;$A286,実績!$AJ$6:$AJ$505,"&gt;"&amp;$A286,実績!$AL$6:$AL$505,"○")&gt;0,1,0))</f>
        <v>0</v>
      </c>
      <c r="CK286" s="39" t="n">
        <f aca="false">IF(CK$4=0,0,IF(COUNTIFS(実績!$W$6:$W$505,CK$3,実績!$AI$6:$AI$505,"&lt;="&amp;$A286,実績!$AJ$6:$AJ$505,"&gt;"&amp;$A286,実績!$AL$6:$AL$505,"○")&gt;0,1,0))</f>
        <v>0</v>
      </c>
      <c r="CL286" s="39" t="n">
        <f aca="false">IF(CL$4=0,0,IF(COUNTIFS(実績!$W$6:$W$505,CL$3,実績!$AI$6:$AI$505,"&lt;="&amp;$A286,実績!$AJ$6:$AJ$505,"&gt;"&amp;$A286,実績!$AL$6:$AL$505,"○")&gt;0,1,0))</f>
        <v>0</v>
      </c>
      <c r="CM286" s="39" t="n">
        <f aca="false">IF(CM$4=0,0,IF(COUNTIFS(実績!$W$6:$W$505,CM$3,実績!$AI$6:$AI$505,"&lt;="&amp;$A286,実績!$AJ$6:$AJ$505,"&gt;"&amp;$A286,実績!$AL$6:$AL$505,"○")&gt;0,1,0))</f>
        <v>0</v>
      </c>
      <c r="CN286" s="39" t="n">
        <f aca="false">IF(CN$4=0,0,IF(COUNTIFS(実績!$W$6:$W$505,CN$3,実績!$AI$6:$AI$505,"&lt;="&amp;$A286,実績!$AJ$6:$AJ$505,"&gt;"&amp;$A286,実績!$AL$6:$AL$505,"○")&gt;0,1,0))</f>
        <v>0</v>
      </c>
      <c r="CO286" s="39" t="n">
        <f aca="false">IF(CO$4=0,0,IF(COUNTIFS(実績!$W$6:$W$505,CO$3,実績!$AI$6:$AI$505,"&lt;="&amp;$A286,実績!$AJ$6:$AJ$505,"&gt;"&amp;$A286,実績!$AL$6:$AL$505,"○")&gt;0,1,0))</f>
        <v>0</v>
      </c>
      <c r="CP286" s="39" t="n">
        <f aca="false">IF(CP$4=0,0,IF(COUNTIFS(実績!$W$6:$W$505,CP$3,実績!$AI$6:$AI$505,"&lt;="&amp;$A286,実績!$AJ$6:$AJ$505,"&gt;"&amp;$A286,実績!$AL$6:$AL$505,"○")&gt;0,1,0))</f>
        <v>0</v>
      </c>
      <c r="CQ286" s="39" t="n">
        <f aca="false">IF(CQ$4=0,0,IF(COUNTIFS(実績!$W$6:$W$505,CQ$3,実績!$AI$6:$AI$505,"&lt;="&amp;$A286,実績!$AJ$6:$AJ$505,"&gt;"&amp;$A286,実績!$AL$6:$AL$505,"○")&gt;0,1,0))</f>
        <v>0</v>
      </c>
      <c r="CR286" s="39" t="n">
        <f aca="false">IF(CR$4=0,0,IF(COUNTIFS(実績!$W$6:$W$505,CR$3,実績!$AI$6:$AI$505,"&lt;="&amp;$A286,実績!$AJ$6:$AJ$505,"&gt;"&amp;$A286,実績!$AL$6:$AL$505,"○")&gt;0,1,0))</f>
        <v>0</v>
      </c>
      <c r="CS286" s="39" t="n">
        <f aca="false">IF(CS$4=0,0,IF(COUNTIFS(実績!$W$6:$W$505,CS$3,実績!$AI$6:$AI$505,"&lt;="&amp;$A286,実績!$AJ$6:$AJ$505,"&gt;"&amp;$A286,実績!$AL$6:$AL$505,"○")&gt;0,1,0))</f>
        <v>0</v>
      </c>
      <c r="CT286" s="39" t="n">
        <f aca="false">IF(CT$4=0,0,IF(COUNTIFS(実績!$W$6:$W$505,CT$3,実績!$AI$6:$AI$505,"&lt;="&amp;$A286,実績!$AJ$6:$AJ$505,"&gt;"&amp;$A286,実績!$AL$6:$AL$505,"○")&gt;0,1,0))</f>
        <v>0</v>
      </c>
      <c r="CU286" s="39" t="n">
        <f aca="false">IF(CU$4=0,0,IF(COUNTIFS(実績!$W$6:$W$505,CU$3,実績!$AI$6:$AI$505,"&lt;="&amp;$A286,実績!$AJ$6:$AJ$505,"&gt;"&amp;$A286,実績!$AL$6:$AL$505,"○")&gt;0,1,0))</f>
        <v>0</v>
      </c>
      <c r="CV286" s="39" t="n">
        <f aca="false">IF(CV$4=0,0,IF(COUNTIFS(実績!$W$6:$W$505,CV$3,実績!$AI$6:$AI$505,"&lt;="&amp;$A286,実績!$AJ$6:$AJ$505,"&gt;"&amp;$A286,実績!$AL$6:$AL$505,"○")&gt;0,1,0))</f>
        <v>0</v>
      </c>
      <c r="CW286" s="39" t="n">
        <f aca="false">IF(CW$4=0,0,IF(COUNTIFS(実績!$W$6:$W$505,CW$3,実績!$AI$6:$AI$505,"&lt;="&amp;$A286,実績!$AJ$6:$AJ$505,"&gt;"&amp;$A286,実績!$AL$6:$AL$505,"○")&gt;0,1,0))</f>
        <v>0</v>
      </c>
      <c r="CX286" s="39" t="n">
        <f aca="false">IF(CX$4=0,0,IF(COUNTIFS(実績!$W$6:$W$505,CX$3,実績!$AI$6:$AI$505,"&lt;="&amp;$A286,実績!$AJ$6:$AJ$505,"&gt;"&amp;$A286,実績!$AL$6:$AL$505,"○")&gt;0,1,0))</f>
        <v>0</v>
      </c>
      <c r="CY286" s="39" t="n">
        <f aca="false">IF(CY$4=0,0,IF(COUNTIFS(実績!$W$6:$W$505,CY$3,実績!$AI$6:$AI$505,"&lt;="&amp;$A286,実績!$AJ$6:$AJ$505,"&gt;"&amp;$A286,実績!$AL$6:$AL$505,"○")&gt;0,1,0))</f>
        <v>0</v>
      </c>
      <c r="CZ286" s="39" t="n">
        <f aca="false">IF(CZ$4=0,0,IF(COUNTIFS(実績!$W$6:$W$505,CZ$3,実績!$AI$6:$AI$505,"&lt;="&amp;$A286,実績!$AJ$6:$AJ$505,"&gt;"&amp;$A286,実績!$AL$6:$AL$505,"○")&gt;0,1,0))</f>
        <v>0</v>
      </c>
      <c r="DA286" s="39" t="n">
        <f aca="false">IF(DA$4=0,0,IF(COUNTIFS(実績!$W$6:$W$505,DA$3,実績!$AI$6:$AI$505,"&lt;="&amp;$A286,実績!$AJ$6:$AJ$505,"&gt;"&amp;$A286,実績!$AL$6:$AL$505,"○")&gt;0,1,0))</f>
        <v>0</v>
      </c>
      <c r="DB286" s="39" t="n">
        <f aca="false">IF(DB$4=0,0,IF(COUNTIFS(実績!$W$6:$W$505,DB$3,実績!$AI$6:$AI$505,"&lt;="&amp;$A286,実績!$AJ$6:$AJ$505,"&gt;"&amp;$A286,実績!$AL$6:$AL$505,"○")&gt;0,1,0))</f>
        <v>0</v>
      </c>
      <c r="DC286" s="39" t="n">
        <f aca="false">IF(DC$4=0,0,IF(COUNTIFS(実績!$W$6:$W$505,DC$3,実績!$AI$6:$AI$505,"&lt;="&amp;$A286,実績!$AJ$6:$AJ$505,"&gt;"&amp;$A286,実績!$AL$6:$AL$505,"○")&gt;0,1,0))</f>
        <v>0</v>
      </c>
      <c r="DD286" s="39" t="n">
        <f aca="false">IF(DD$4=0,0,IF(COUNTIFS(実績!$W$6:$W$505,DD$3,実績!$AI$6:$AI$505,"&lt;="&amp;$A286,実績!$AJ$6:$AJ$505,"&gt;"&amp;$A286,実績!$AL$6:$AL$505,"○")&gt;0,1,0))</f>
        <v>0</v>
      </c>
      <c r="DE286" s="39" t="n">
        <f aca="false">IF(DE$4=0,0,IF(COUNTIFS(実績!$W$6:$W$505,DE$3,実績!$AI$6:$AI$505,"&lt;="&amp;$A286,実績!$AJ$6:$AJ$505,"&gt;"&amp;$A286,実績!$AL$6:$AL$505,"○")&gt;0,1,0))</f>
        <v>0</v>
      </c>
      <c r="DF286" s="39" t="n">
        <f aca="false">IF(DF$4=0,0,IF(COUNTIFS(実績!$W$6:$W$505,DF$3,実績!$AI$6:$AI$505,"&lt;="&amp;$A286,実績!$AJ$6:$AJ$505,"&gt;"&amp;$A286,実績!$AL$6:$AL$505,"○")&gt;0,1,0))</f>
        <v>0</v>
      </c>
      <c r="DG286" s="39" t="n">
        <f aca="false">IF(DG$4=0,0,IF(COUNTIFS(実績!$W$6:$W$505,DG$3,実績!$AI$6:$AI$505,"&lt;="&amp;$A286,実績!$AJ$6:$AJ$505,"&gt;"&amp;$A286,実績!$AL$6:$AL$505,"○")&gt;0,1,0))</f>
        <v>0</v>
      </c>
      <c r="DH286" s="39" t="n">
        <f aca="false">IF(DH$4=0,0,IF(COUNTIFS(実績!$W$6:$W$505,DH$3,実績!$AI$6:$AI$505,"&lt;="&amp;$A286,実績!$AJ$6:$AJ$505,"&gt;"&amp;$A286,実績!$AL$6:$AL$505,"○")&gt;0,1,0))</f>
        <v>0</v>
      </c>
      <c r="DI286" s="39" t="n">
        <f aca="false">IF(DI$4=0,0,IF(COUNTIFS(実績!$W$6:$W$505,DI$3,実績!$AI$6:$AI$505,"&lt;="&amp;$A286,実績!$AJ$6:$AJ$505,"&gt;"&amp;$A286,実績!$AL$6:$AL$505,"○")&gt;0,1,0))</f>
        <v>0</v>
      </c>
      <c r="DJ286" s="39" t="n">
        <f aca="false">IF(DJ$4=0,0,IF(COUNTIFS(実績!$W$6:$W$505,DJ$3,実績!$AI$6:$AI$505,"&lt;="&amp;$A286,実績!$AJ$6:$AJ$505,"&gt;"&amp;$A286,実績!$AL$6:$AL$505,"○")&gt;0,1,0))</f>
        <v>0</v>
      </c>
      <c r="DK286" s="39" t="n">
        <f aca="false">IF(DK$4=0,0,IF(COUNTIFS(実績!$W$6:$W$505,DK$3,実績!$AI$6:$AI$505,"&lt;="&amp;$A286,実績!$AJ$6:$AJ$505,"&gt;"&amp;$A286,実績!$AL$6:$AL$505,"○")&gt;0,1,0))</f>
        <v>0</v>
      </c>
      <c r="DL286" s="39" t="n">
        <f aca="false">IF(DL$4=0,0,IF(COUNTIFS(実績!$W$6:$W$505,DL$3,実績!$AI$6:$AI$505,"&lt;="&amp;$A286,実績!$AJ$6:$AJ$505,"&gt;"&amp;$A286,実績!$AL$6:$AL$505,"○")&gt;0,1,0))</f>
        <v>0</v>
      </c>
      <c r="DM286" s="39" t="n">
        <f aca="false">IF(DM$4=0,0,IF(COUNTIFS(実績!$W$6:$W$505,DM$3,実績!$AI$6:$AI$505,"&lt;="&amp;$A286,実績!$AJ$6:$AJ$505,"&gt;"&amp;$A286,実績!$AL$6:$AL$505,"○")&gt;0,1,0))</f>
        <v>0</v>
      </c>
      <c r="DN286" s="39" t="n">
        <f aca="false">IF(DN$4=0,0,IF(COUNTIFS(実績!$W$6:$W$505,DN$3,実績!$AI$6:$AI$505,"&lt;="&amp;$A286,実績!$AJ$6:$AJ$505,"&gt;"&amp;$A286,実績!$AL$6:$AL$505,"○")&gt;0,1,0))</f>
        <v>0</v>
      </c>
      <c r="DO286" s="39" t="n">
        <f aca="false">IF(DO$4=0,0,IF(COUNTIFS(実績!$W$6:$W$505,DO$3,実績!$AI$6:$AI$505,"&lt;="&amp;$A286,実績!$AJ$6:$AJ$505,"&gt;"&amp;$A286,実績!$AL$6:$AL$505,"○")&gt;0,1,0))</f>
        <v>0</v>
      </c>
      <c r="DP286" s="39" t="n">
        <f aca="false">IF(DP$4=0,0,IF(COUNTIFS(実績!$W$6:$W$505,DP$3,実績!$AI$6:$AI$505,"&lt;="&amp;$A286,実績!$AJ$6:$AJ$505,"&gt;"&amp;$A286,実績!$AL$6:$AL$505,"○")&gt;0,1,0))</f>
        <v>0</v>
      </c>
      <c r="DQ286" s="39" t="n">
        <f aca="false">IF(DQ$4=0,0,IF(COUNTIFS(実績!$W$6:$W$505,DQ$3,実績!$AI$6:$AI$505,"&lt;="&amp;$A286,実績!$AJ$6:$AJ$505,"&gt;"&amp;$A286,実績!$AL$6:$AL$505,"○")&gt;0,1,0))</f>
        <v>0</v>
      </c>
      <c r="DR286" s="39" t="n">
        <f aca="false">IF(DR$4=0,0,IF(COUNTIFS(実績!$W$6:$W$505,DR$3,実績!$AI$6:$AI$505,"&lt;="&amp;$A286,実績!$AJ$6:$AJ$505,"&gt;"&amp;$A286,実績!$AL$6:$AL$505,"○")&gt;0,1,0))</f>
        <v>0</v>
      </c>
      <c r="DS286" s="39" t="n">
        <f aca="false">SUM(C286:DR286)</f>
        <v>0</v>
      </c>
    </row>
    <row r="287" customFormat="false" ht="15" hidden="false" customHeight="false" outlineLevel="0" collapsed="false">
      <c r="A287" s="0" t="n">
        <v>1405</v>
      </c>
      <c r="B287" s="38" t="n">
        <f aca="false">A287/1440</f>
        <v>0.975694444444444</v>
      </c>
      <c r="C287" s="39" t="n">
        <f aca="false">IF(C$4=0,0,IF(COUNTIFS(実績!$W$6:$W$505,C$3,実績!$AI$6:$AI$505,"&lt;="&amp;$A287,実績!$AJ$6:$AJ$505,"&gt;"&amp;$A287,実績!$AL$6:$AL$505,"○")&gt;0,1,0))</f>
        <v>0</v>
      </c>
      <c r="D287" s="39" t="n">
        <f aca="false">IF(D$4=0,0,IF(COUNTIFS(実績!$W$6:$W$505,D$3,実績!$AI$6:$AI$505,"&lt;="&amp;$A287,実績!$AJ$6:$AJ$505,"&gt;"&amp;$A287,実績!$AL$6:$AL$505,"○")&gt;0,1,0))</f>
        <v>0</v>
      </c>
      <c r="E287" s="39" t="n">
        <f aca="false">IF(E$4=0,0,IF(COUNTIFS(実績!$W$6:$W$505,E$3,実績!$AI$6:$AI$505,"&lt;="&amp;$A287,実績!$AJ$6:$AJ$505,"&gt;"&amp;$A287,実績!$AL$6:$AL$505,"○")&gt;0,1,0))</f>
        <v>0</v>
      </c>
      <c r="F287" s="39" t="n">
        <f aca="false">IF(F$4=0,0,IF(COUNTIFS(実績!$W$6:$W$505,F$3,実績!$AI$6:$AI$505,"&lt;="&amp;$A287,実績!$AJ$6:$AJ$505,"&gt;"&amp;$A287,実績!$AL$6:$AL$505,"○")&gt;0,1,0))</f>
        <v>0</v>
      </c>
      <c r="G287" s="39" t="n">
        <f aca="false">IF(G$4=0,0,IF(COUNTIFS(実績!$W$6:$W$505,G$3,実績!$AI$6:$AI$505,"&lt;="&amp;$A287,実績!$AJ$6:$AJ$505,"&gt;"&amp;$A287,実績!$AL$6:$AL$505,"○")&gt;0,1,0))</f>
        <v>0</v>
      </c>
      <c r="H287" s="39" t="n">
        <f aca="false">IF(H$4=0,0,IF(COUNTIFS(実績!$W$6:$W$505,H$3,実績!$AI$6:$AI$505,"&lt;="&amp;$A287,実績!$AJ$6:$AJ$505,"&gt;"&amp;$A287,実績!$AL$6:$AL$505,"○")&gt;0,1,0))</f>
        <v>0</v>
      </c>
      <c r="I287" s="39" t="n">
        <f aca="false">IF(I$4=0,0,IF(COUNTIFS(実績!$W$6:$W$505,I$3,実績!$AI$6:$AI$505,"&lt;="&amp;$A287,実績!$AJ$6:$AJ$505,"&gt;"&amp;$A287,実績!$AL$6:$AL$505,"○")&gt;0,1,0))</f>
        <v>0</v>
      </c>
      <c r="J287" s="39" t="n">
        <f aca="false">IF(J$4=0,0,IF(COUNTIFS(実績!$W$6:$W$505,J$3,実績!$AI$6:$AI$505,"&lt;="&amp;$A287,実績!$AJ$6:$AJ$505,"&gt;"&amp;$A287,実績!$AL$6:$AL$505,"○")&gt;0,1,0))</f>
        <v>0</v>
      </c>
      <c r="K287" s="39" t="n">
        <f aca="false">IF(K$4=0,0,IF(COUNTIFS(実績!$W$6:$W$505,K$3,実績!$AI$6:$AI$505,"&lt;="&amp;$A287,実績!$AJ$6:$AJ$505,"&gt;"&amp;$A287,実績!$AL$6:$AL$505,"○")&gt;0,1,0))</f>
        <v>0</v>
      </c>
      <c r="L287" s="39" t="n">
        <f aca="false">IF(L$4=0,0,IF(COUNTIFS(実績!$W$6:$W$505,L$3,実績!$AI$6:$AI$505,"&lt;="&amp;$A287,実績!$AJ$6:$AJ$505,"&gt;"&amp;$A287,実績!$AL$6:$AL$505,"○")&gt;0,1,0))</f>
        <v>0</v>
      </c>
      <c r="M287" s="39" t="n">
        <f aca="false">IF(M$4=0,0,IF(COUNTIFS(実績!$W$6:$W$505,M$3,実績!$AI$6:$AI$505,"&lt;="&amp;$A287,実績!$AJ$6:$AJ$505,"&gt;"&amp;$A287,実績!$AL$6:$AL$505,"○")&gt;0,1,0))</f>
        <v>0</v>
      </c>
      <c r="N287" s="39" t="n">
        <f aca="false">IF(N$4=0,0,IF(COUNTIFS(実績!$W$6:$W$505,N$3,実績!$AI$6:$AI$505,"&lt;="&amp;$A287,実績!$AJ$6:$AJ$505,"&gt;"&amp;$A287,実績!$AL$6:$AL$505,"○")&gt;0,1,0))</f>
        <v>0</v>
      </c>
      <c r="O287" s="39" t="n">
        <f aca="false">IF(O$4=0,0,IF(COUNTIFS(実績!$W$6:$W$505,O$3,実績!$AI$6:$AI$505,"&lt;="&amp;$A287,実績!$AJ$6:$AJ$505,"&gt;"&amp;$A287,実績!$AL$6:$AL$505,"○")&gt;0,1,0))</f>
        <v>0</v>
      </c>
      <c r="P287" s="39" t="n">
        <f aca="false">IF(P$4=0,0,IF(COUNTIFS(実績!$W$6:$W$505,P$3,実績!$AI$6:$AI$505,"&lt;="&amp;$A287,実績!$AJ$6:$AJ$505,"&gt;"&amp;$A287,実績!$AL$6:$AL$505,"○")&gt;0,1,0))</f>
        <v>0</v>
      </c>
      <c r="Q287" s="39" t="n">
        <f aca="false">IF(Q$4=0,0,IF(COUNTIFS(実績!$W$6:$W$505,Q$3,実績!$AI$6:$AI$505,"&lt;="&amp;$A287,実績!$AJ$6:$AJ$505,"&gt;"&amp;$A287,実績!$AL$6:$AL$505,"○")&gt;0,1,0))</f>
        <v>0</v>
      </c>
      <c r="R287" s="39" t="n">
        <f aca="false">IF(R$4=0,0,IF(COUNTIFS(実績!$W$6:$W$505,R$3,実績!$AI$6:$AI$505,"&lt;="&amp;$A287,実績!$AJ$6:$AJ$505,"&gt;"&amp;$A287,実績!$AL$6:$AL$505,"○")&gt;0,1,0))</f>
        <v>0</v>
      </c>
      <c r="S287" s="39" t="n">
        <f aca="false">IF(S$4=0,0,IF(COUNTIFS(実績!$W$6:$W$505,S$3,実績!$AI$6:$AI$505,"&lt;="&amp;$A287,実績!$AJ$6:$AJ$505,"&gt;"&amp;$A287,実績!$AL$6:$AL$505,"○")&gt;0,1,0))</f>
        <v>0</v>
      </c>
      <c r="T287" s="39" t="n">
        <f aca="false">IF(T$4=0,0,IF(COUNTIFS(実績!$W$6:$W$505,T$3,実績!$AI$6:$AI$505,"&lt;="&amp;$A287,実績!$AJ$6:$AJ$505,"&gt;"&amp;$A287,実績!$AL$6:$AL$505,"○")&gt;0,1,0))</f>
        <v>0</v>
      </c>
      <c r="U287" s="39" t="n">
        <f aca="false">IF(U$4=0,0,IF(COUNTIFS(実績!$W$6:$W$505,U$3,実績!$AI$6:$AI$505,"&lt;="&amp;$A287,実績!$AJ$6:$AJ$505,"&gt;"&amp;$A287,実績!$AL$6:$AL$505,"○")&gt;0,1,0))</f>
        <v>0</v>
      </c>
      <c r="V287" s="39" t="n">
        <f aca="false">IF(V$4=0,0,IF(COUNTIFS(実績!$W$6:$W$505,V$3,実績!$AI$6:$AI$505,"&lt;="&amp;$A287,実績!$AJ$6:$AJ$505,"&gt;"&amp;$A287,実績!$AL$6:$AL$505,"○")&gt;0,1,0))</f>
        <v>0</v>
      </c>
      <c r="W287" s="39" t="n">
        <f aca="false">IF(W$4=0,0,IF(COUNTIFS(実績!$W$6:$W$505,W$3,実績!$AI$6:$AI$505,"&lt;="&amp;$A287,実績!$AJ$6:$AJ$505,"&gt;"&amp;$A287,実績!$AL$6:$AL$505,"○")&gt;0,1,0))</f>
        <v>0</v>
      </c>
      <c r="X287" s="39" t="n">
        <f aca="false">IF(X$4=0,0,IF(COUNTIFS(実績!$W$6:$W$505,X$3,実績!$AI$6:$AI$505,"&lt;="&amp;$A287,実績!$AJ$6:$AJ$505,"&gt;"&amp;$A287,実績!$AL$6:$AL$505,"○")&gt;0,1,0))</f>
        <v>0</v>
      </c>
      <c r="Y287" s="39" t="n">
        <f aca="false">IF(Y$4=0,0,IF(COUNTIFS(実績!$W$6:$W$505,Y$3,実績!$AI$6:$AI$505,"&lt;="&amp;$A287,実績!$AJ$6:$AJ$505,"&gt;"&amp;$A287,実績!$AL$6:$AL$505,"○")&gt;0,1,0))</f>
        <v>0</v>
      </c>
      <c r="Z287" s="39" t="n">
        <f aca="false">IF(Z$4=0,0,IF(COUNTIFS(実績!$W$6:$W$505,Z$3,実績!$AI$6:$AI$505,"&lt;="&amp;$A287,実績!$AJ$6:$AJ$505,"&gt;"&amp;$A287,実績!$AL$6:$AL$505,"○")&gt;0,1,0))</f>
        <v>0</v>
      </c>
      <c r="AA287" s="39" t="n">
        <f aca="false">IF(AA$4=0,0,IF(COUNTIFS(実績!$W$6:$W$505,AA$3,実績!$AI$6:$AI$505,"&lt;="&amp;$A287,実績!$AJ$6:$AJ$505,"&gt;"&amp;$A287,実績!$AL$6:$AL$505,"○")&gt;0,1,0))</f>
        <v>0</v>
      </c>
      <c r="AB287" s="39" t="n">
        <f aca="false">IF(AB$4=0,0,IF(COUNTIFS(実績!$W$6:$W$505,AB$3,実績!$AI$6:$AI$505,"&lt;="&amp;$A287,実績!$AJ$6:$AJ$505,"&gt;"&amp;$A287,実績!$AL$6:$AL$505,"○")&gt;0,1,0))</f>
        <v>0</v>
      </c>
      <c r="AC287" s="39" t="n">
        <f aca="false">IF(AC$4=0,0,IF(COUNTIFS(実績!$W$6:$W$505,AC$3,実績!$AI$6:$AI$505,"&lt;="&amp;$A287,実績!$AJ$6:$AJ$505,"&gt;"&amp;$A287,実績!$AL$6:$AL$505,"○")&gt;0,1,0))</f>
        <v>0</v>
      </c>
      <c r="AD287" s="39" t="n">
        <f aca="false">IF(AD$4=0,0,IF(COUNTIFS(実績!$W$6:$W$505,AD$3,実績!$AI$6:$AI$505,"&lt;="&amp;$A287,実績!$AJ$6:$AJ$505,"&gt;"&amp;$A287,実績!$AL$6:$AL$505,"○")&gt;0,1,0))</f>
        <v>0</v>
      </c>
      <c r="AE287" s="39" t="n">
        <f aca="false">IF(AE$4=0,0,IF(COUNTIFS(実績!$W$6:$W$505,AE$3,実績!$AI$6:$AI$505,"&lt;="&amp;$A287,実績!$AJ$6:$AJ$505,"&gt;"&amp;$A287,実績!$AL$6:$AL$505,"○")&gt;0,1,0))</f>
        <v>0</v>
      </c>
      <c r="AF287" s="39" t="n">
        <f aca="false">IF(AF$4=0,0,IF(COUNTIFS(実績!$W$6:$W$505,AF$3,実績!$AI$6:$AI$505,"&lt;="&amp;$A287,実績!$AJ$6:$AJ$505,"&gt;"&amp;$A287,実績!$AL$6:$AL$505,"○")&gt;0,1,0))</f>
        <v>0</v>
      </c>
      <c r="AG287" s="39" t="n">
        <f aca="false">IF(AG$4=0,0,IF(COUNTIFS(実績!$W$6:$W$505,AG$3,実績!$AI$6:$AI$505,"&lt;="&amp;$A287,実績!$AJ$6:$AJ$505,"&gt;"&amp;$A287,実績!$AL$6:$AL$505,"○")&gt;0,1,0))</f>
        <v>0</v>
      </c>
      <c r="AH287" s="39" t="n">
        <f aca="false">IF(AH$4=0,0,IF(COUNTIFS(実績!$W$6:$W$505,AH$3,実績!$AI$6:$AI$505,"&lt;="&amp;$A287,実績!$AJ$6:$AJ$505,"&gt;"&amp;$A287,実績!$AL$6:$AL$505,"○")&gt;0,1,0))</f>
        <v>0</v>
      </c>
      <c r="AI287" s="39" t="n">
        <f aca="false">IF(AI$4=0,0,IF(COUNTIFS(実績!$W$6:$W$505,AI$3,実績!$AI$6:$AI$505,"&lt;="&amp;$A287,実績!$AJ$6:$AJ$505,"&gt;"&amp;$A287,実績!$AL$6:$AL$505,"○")&gt;0,1,0))</f>
        <v>0</v>
      </c>
      <c r="AJ287" s="39" t="n">
        <f aca="false">IF(AJ$4=0,0,IF(COUNTIFS(実績!$W$6:$W$505,AJ$3,実績!$AI$6:$AI$505,"&lt;="&amp;$A287,実績!$AJ$6:$AJ$505,"&gt;"&amp;$A287,実績!$AL$6:$AL$505,"○")&gt;0,1,0))</f>
        <v>0</v>
      </c>
      <c r="AK287" s="39" t="n">
        <f aca="false">IF(AK$4=0,0,IF(COUNTIFS(実績!$W$6:$W$505,AK$3,実績!$AI$6:$AI$505,"&lt;="&amp;$A287,実績!$AJ$6:$AJ$505,"&gt;"&amp;$A287,実績!$AL$6:$AL$505,"○")&gt;0,1,0))</f>
        <v>0</v>
      </c>
      <c r="AL287" s="39" t="n">
        <f aca="false">IF(AL$4=0,0,IF(COUNTIFS(実績!$W$6:$W$505,AL$3,実績!$AI$6:$AI$505,"&lt;="&amp;$A287,実績!$AJ$6:$AJ$505,"&gt;"&amp;$A287,実績!$AL$6:$AL$505,"○")&gt;0,1,0))</f>
        <v>0</v>
      </c>
      <c r="AM287" s="39" t="n">
        <f aca="false">IF(AM$4=0,0,IF(COUNTIFS(実績!$W$6:$W$505,AM$3,実績!$AI$6:$AI$505,"&lt;="&amp;$A287,実績!$AJ$6:$AJ$505,"&gt;"&amp;$A287,実績!$AL$6:$AL$505,"○")&gt;0,1,0))</f>
        <v>0</v>
      </c>
      <c r="AN287" s="39" t="n">
        <f aca="false">IF(AN$4=0,0,IF(COUNTIFS(実績!$W$6:$W$505,AN$3,実績!$AI$6:$AI$505,"&lt;="&amp;$A287,実績!$AJ$6:$AJ$505,"&gt;"&amp;$A287,実績!$AL$6:$AL$505,"○")&gt;0,1,0))</f>
        <v>0</v>
      </c>
      <c r="AO287" s="39" t="n">
        <f aca="false">IF(AO$4=0,0,IF(COUNTIFS(実績!$W$6:$W$505,AO$3,実績!$AI$6:$AI$505,"&lt;="&amp;$A287,実績!$AJ$6:$AJ$505,"&gt;"&amp;$A287,実績!$AL$6:$AL$505,"○")&gt;0,1,0))</f>
        <v>0</v>
      </c>
      <c r="AP287" s="39" t="n">
        <f aca="false">IF(AP$4=0,0,IF(COUNTIFS(実績!$W$6:$W$505,AP$3,実績!$AI$6:$AI$505,"&lt;="&amp;$A287,実績!$AJ$6:$AJ$505,"&gt;"&amp;$A287,実績!$AL$6:$AL$505,"○")&gt;0,1,0))</f>
        <v>0</v>
      </c>
      <c r="AQ287" s="39" t="n">
        <f aca="false">IF(AQ$4=0,0,IF(COUNTIFS(実績!$W$6:$W$505,AQ$3,実績!$AI$6:$AI$505,"&lt;="&amp;$A287,実績!$AJ$6:$AJ$505,"&gt;"&amp;$A287,実績!$AL$6:$AL$505,"○")&gt;0,1,0))</f>
        <v>0</v>
      </c>
      <c r="AR287" s="39" t="n">
        <f aca="false">IF(AR$4=0,0,IF(COUNTIFS(実績!$W$6:$W$505,AR$3,実績!$AI$6:$AI$505,"&lt;="&amp;$A287,実績!$AJ$6:$AJ$505,"&gt;"&amp;$A287,実績!$AL$6:$AL$505,"○")&gt;0,1,0))</f>
        <v>0</v>
      </c>
      <c r="AS287" s="39" t="n">
        <f aca="false">IF(AS$4=0,0,IF(COUNTIFS(実績!$W$6:$W$505,AS$3,実績!$AI$6:$AI$505,"&lt;="&amp;$A287,実績!$AJ$6:$AJ$505,"&gt;"&amp;$A287,実績!$AL$6:$AL$505,"○")&gt;0,1,0))</f>
        <v>0</v>
      </c>
      <c r="AT287" s="39" t="n">
        <f aca="false">IF(AT$4=0,0,IF(COUNTIFS(実績!$W$6:$W$505,AT$3,実績!$AI$6:$AI$505,"&lt;="&amp;$A287,実績!$AJ$6:$AJ$505,"&gt;"&amp;$A287,実績!$AL$6:$AL$505,"○")&gt;0,1,0))</f>
        <v>0</v>
      </c>
      <c r="AU287" s="39" t="n">
        <f aca="false">IF(AU$4=0,0,IF(COUNTIFS(実績!$W$6:$W$505,AU$3,実績!$AI$6:$AI$505,"&lt;="&amp;$A287,実績!$AJ$6:$AJ$505,"&gt;"&amp;$A287,実績!$AL$6:$AL$505,"○")&gt;0,1,0))</f>
        <v>0</v>
      </c>
      <c r="AV287" s="39" t="n">
        <f aca="false">IF(AV$4=0,0,IF(COUNTIFS(実績!$W$6:$W$505,AV$3,実績!$AI$6:$AI$505,"&lt;="&amp;$A287,実績!$AJ$6:$AJ$505,"&gt;"&amp;$A287,実績!$AL$6:$AL$505,"○")&gt;0,1,0))</f>
        <v>0</v>
      </c>
      <c r="AW287" s="39" t="n">
        <f aca="false">IF(AW$4=0,0,IF(COUNTIFS(実績!$W$6:$W$505,AW$3,実績!$AI$6:$AI$505,"&lt;="&amp;$A287,実績!$AJ$6:$AJ$505,"&gt;"&amp;$A287,実績!$AL$6:$AL$505,"○")&gt;0,1,0))</f>
        <v>0</v>
      </c>
      <c r="AX287" s="39" t="n">
        <f aca="false">IF(AX$4=0,0,IF(COUNTIFS(実績!$W$6:$W$505,AX$3,実績!$AI$6:$AI$505,"&lt;="&amp;$A287,実績!$AJ$6:$AJ$505,"&gt;"&amp;$A287,実績!$AL$6:$AL$505,"○")&gt;0,1,0))</f>
        <v>0</v>
      </c>
      <c r="AY287" s="39" t="n">
        <f aca="false">IF(AY$4=0,0,IF(COUNTIFS(実績!$W$6:$W$505,AY$3,実績!$AI$6:$AI$505,"&lt;="&amp;$A287,実績!$AJ$6:$AJ$505,"&gt;"&amp;$A287,実績!$AL$6:$AL$505,"○")&gt;0,1,0))</f>
        <v>0</v>
      </c>
      <c r="AZ287" s="39" t="n">
        <f aca="false">IF(AZ$4=0,0,IF(COUNTIFS(実績!$W$6:$W$505,AZ$3,実績!$AI$6:$AI$505,"&lt;="&amp;$A287,実績!$AJ$6:$AJ$505,"&gt;"&amp;$A287,実績!$AL$6:$AL$505,"○")&gt;0,1,0))</f>
        <v>0</v>
      </c>
      <c r="BA287" s="39" t="n">
        <f aca="false">IF(BA$4=0,0,IF(COUNTIFS(実績!$W$6:$W$505,BA$3,実績!$AI$6:$AI$505,"&lt;="&amp;$A287,実績!$AJ$6:$AJ$505,"&gt;"&amp;$A287,実績!$AL$6:$AL$505,"○")&gt;0,1,0))</f>
        <v>0</v>
      </c>
      <c r="BB287" s="39" t="n">
        <f aca="false">IF(BB$4=0,0,IF(COUNTIFS(実績!$W$6:$W$505,BB$3,実績!$AI$6:$AI$505,"&lt;="&amp;$A287,実績!$AJ$6:$AJ$505,"&gt;"&amp;$A287,実績!$AL$6:$AL$505,"○")&gt;0,1,0))</f>
        <v>0</v>
      </c>
      <c r="BC287" s="39" t="n">
        <f aca="false">IF(BC$4=0,0,IF(COUNTIFS(実績!$W$6:$W$505,BC$3,実績!$AI$6:$AI$505,"&lt;="&amp;$A287,実績!$AJ$6:$AJ$505,"&gt;"&amp;$A287,実績!$AL$6:$AL$505,"○")&gt;0,1,0))</f>
        <v>0</v>
      </c>
      <c r="BD287" s="39" t="n">
        <f aca="false">IF(BD$4=0,0,IF(COUNTIFS(実績!$W$6:$W$505,BD$3,実績!$AI$6:$AI$505,"&lt;="&amp;$A287,実績!$AJ$6:$AJ$505,"&gt;"&amp;$A287,実績!$AL$6:$AL$505,"○")&gt;0,1,0))</f>
        <v>0</v>
      </c>
      <c r="BE287" s="39" t="n">
        <f aca="false">IF(BE$4=0,0,IF(COUNTIFS(実績!$W$6:$W$505,BE$3,実績!$AI$6:$AI$505,"&lt;="&amp;$A287,実績!$AJ$6:$AJ$505,"&gt;"&amp;$A287,実績!$AL$6:$AL$505,"○")&gt;0,1,0))</f>
        <v>0</v>
      </c>
      <c r="BF287" s="39" t="n">
        <f aca="false">IF(BF$4=0,0,IF(COUNTIFS(実績!$W$6:$W$505,BF$3,実績!$AI$6:$AI$505,"&lt;="&amp;$A287,実績!$AJ$6:$AJ$505,"&gt;"&amp;$A287,実績!$AL$6:$AL$505,"○")&gt;0,1,0))</f>
        <v>0</v>
      </c>
      <c r="BG287" s="39" t="n">
        <f aca="false">IF(BG$4=0,0,IF(COUNTIFS(実績!$W$6:$W$505,BG$3,実績!$AI$6:$AI$505,"&lt;="&amp;$A287,実績!$AJ$6:$AJ$505,"&gt;"&amp;$A287,実績!$AL$6:$AL$505,"○")&gt;0,1,0))</f>
        <v>0</v>
      </c>
      <c r="BH287" s="39" t="n">
        <f aca="false">IF(BH$4=0,0,IF(COUNTIFS(実績!$W$6:$W$505,BH$3,実績!$AI$6:$AI$505,"&lt;="&amp;$A287,実績!$AJ$6:$AJ$505,"&gt;"&amp;$A287,実績!$AL$6:$AL$505,"○")&gt;0,1,0))</f>
        <v>0</v>
      </c>
      <c r="BI287" s="39" t="n">
        <f aca="false">IF(BI$4=0,0,IF(COUNTIFS(実績!$W$6:$W$505,BI$3,実績!$AI$6:$AI$505,"&lt;="&amp;$A287,実績!$AJ$6:$AJ$505,"&gt;"&amp;$A287,実績!$AL$6:$AL$505,"○")&gt;0,1,0))</f>
        <v>0</v>
      </c>
      <c r="BJ287" s="39" t="n">
        <f aca="false">IF(BJ$4=0,0,IF(COUNTIFS(実績!$W$6:$W$505,BJ$3,実績!$AI$6:$AI$505,"&lt;="&amp;$A287,実績!$AJ$6:$AJ$505,"&gt;"&amp;$A287,実績!$AL$6:$AL$505,"○")&gt;0,1,0))</f>
        <v>0</v>
      </c>
      <c r="BK287" s="39" t="n">
        <f aca="false">IF(BK$4=0,0,IF(COUNTIFS(実績!$W$6:$W$505,BK$3,実績!$AI$6:$AI$505,"&lt;="&amp;$A287,実績!$AJ$6:$AJ$505,"&gt;"&amp;$A287,実績!$AL$6:$AL$505,"○")&gt;0,1,0))</f>
        <v>0</v>
      </c>
      <c r="BL287" s="39" t="n">
        <f aca="false">IF(BL$4=0,0,IF(COUNTIFS(実績!$W$6:$W$505,BL$3,実績!$AI$6:$AI$505,"&lt;="&amp;$A287,実績!$AJ$6:$AJ$505,"&gt;"&amp;$A287,実績!$AL$6:$AL$505,"○")&gt;0,1,0))</f>
        <v>0</v>
      </c>
      <c r="BM287" s="39" t="n">
        <f aca="false">IF(BM$4=0,0,IF(COUNTIFS(実績!$W$6:$W$505,BM$3,実績!$AI$6:$AI$505,"&lt;="&amp;$A287,実績!$AJ$6:$AJ$505,"&gt;"&amp;$A287,実績!$AL$6:$AL$505,"○")&gt;0,1,0))</f>
        <v>0</v>
      </c>
      <c r="BN287" s="39" t="n">
        <f aca="false">IF(BN$4=0,0,IF(COUNTIFS(実績!$W$6:$W$505,BN$3,実績!$AI$6:$AI$505,"&lt;="&amp;$A287,実績!$AJ$6:$AJ$505,"&gt;"&amp;$A287,実績!$AL$6:$AL$505,"○")&gt;0,1,0))</f>
        <v>0</v>
      </c>
      <c r="BO287" s="39" t="n">
        <f aca="false">IF(BO$4=0,0,IF(COUNTIFS(実績!$W$6:$W$505,BO$3,実績!$AI$6:$AI$505,"&lt;="&amp;$A287,実績!$AJ$6:$AJ$505,"&gt;"&amp;$A287,実績!$AL$6:$AL$505,"○")&gt;0,1,0))</f>
        <v>0</v>
      </c>
      <c r="BP287" s="39" t="n">
        <f aca="false">IF(BP$4=0,0,IF(COUNTIFS(実績!$W$6:$W$505,BP$3,実績!$AI$6:$AI$505,"&lt;="&amp;$A287,実績!$AJ$6:$AJ$505,"&gt;"&amp;$A287,実績!$AL$6:$AL$505,"○")&gt;0,1,0))</f>
        <v>0</v>
      </c>
      <c r="BQ287" s="39" t="n">
        <f aca="false">IF(BQ$4=0,0,IF(COUNTIFS(実績!$W$6:$W$505,BQ$3,実績!$AI$6:$AI$505,"&lt;="&amp;$A287,実績!$AJ$6:$AJ$505,"&gt;"&amp;$A287,実績!$AL$6:$AL$505,"○")&gt;0,1,0))</f>
        <v>0</v>
      </c>
      <c r="BR287" s="39" t="n">
        <f aca="false">IF(BR$4=0,0,IF(COUNTIFS(実績!$W$6:$W$505,BR$3,実績!$AI$6:$AI$505,"&lt;="&amp;$A287,実績!$AJ$6:$AJ$505,"&gt;"&amp;$A287,実績!$AL$6:$AL$505,"○")&gt;0,1,0))</f>
        <v>0</v>
      </c>
      <c r="BS287" s="39" t="n">
        <f aca="false">IF(BS$4=0,0,IF(COUNTIFS(実績!$W$6:$W$505,BS$3,実績!$AI$6:$AI$505,"&lt;="&amp;$A287,実績!$AJ$6:$AJ$505,"&gt;"&amp;$A287,実績!$AL$6:$AL$505,"○")&gt;0,1,0))</f>
        <v>0</v>
      </c>
      <c r="BT287" s="39" t="n">
        <f aca="false">IF(BT$4=0,0,IF(COUNTIFS(実績!$W$6:$W$505,BT$3,実績!$AI$6:$AI$505,"&lt;="&amp;$A287,実績!$AJ$6:$AJ$505,"&gt;"&amp;$A287,実績!$AL$6:$AL$505,"○")&gt;0,1,0))</f>
        <v>0</v>
      </c>
      <c r="BU287" s="39" t="n">
        <f aca="false">IF(BU$4=0,0,IF(COUNTIFS(実績!$W$6:$W$505,BU$3,実績!$AI$6:$AI$505,"&lt;="&amp;$A287,実績!$AJ$6:$AJ$505,"&gt;"&amp;$A287,実績!$AL$6:$AL$505,"○")&gt;0,1,0))</f>
        <v>0</v>
      </c>
      <c r="BV287" s="39" t="n">
        <f aca="false">IF(BV$4=0,0,IF(COUNTIFS(実績!$W$6:$W$505,BV$3,実績!$AI$6:$AI$505,"&lt;="&amp;$A287,実績!$AJ$6:$AJ$505,"&gt;"&amp;$A287,実績!$AL$6:$AL$505,"○")&gt;0,1,0))</f>
        <v>0</v>
      </c>
      <c r="BW287" s="39" t="n">
        <f aca="false">IF(BW$4=0,0,IF(COUNTIFS(実績!$W$6:$W$505,BW$3,実績!$AI$6:$AI$505,"&lt;="&amp;$A287,実績!$AJ$6:$AJ$505,"&gt;"&amp;$A287,実績!$AL$6:$AL$505,"○")&gt;0,1,0))</f>
        <v>0</v>
      </c>
      <c r="BX287" s="39" t="n">
        <f aca="false">IF(BX$4=0,0,IF(COUNTIFS(実績!$W$6:$W$505,BX$3,実績!$AI$6:$AI$505,"&lt;="&amp;$A287,実績!$AJ$6:$AJ$505,"&gt;"&amp;$A287,実績!$AL$6:$AL$505,"○")&gt;0,1,0))</f>
        <v>0</v>
      </c>
      <c r="BY287" s="39" t="n">
        <f aca="false">IF(BY$4=0,0,IF(COUNTIFS(実績!$W$6:$W$505,BY$3,実績!$AI$6:$AI$505,"&lt;="&amp;$A287,実績!$AJ$6:$AJ$505,"&gt;"&amp;$A287,実績!$AL$6:$AL$505,"○")&gt;0,1,0))</f>
        <v>0</v>
      </c>
      <c r="BZ287" s="39" t="n">
        <f aca="false">IF(BZ$4=0,0,IF(COUNTIFS(実績!$W$6:$W$505,BZ$3,実績!$AI$6:$AI$505,"&lt;="&amp;$A287,実績!$AJ$6:$AJ$505,"&gt;"&amp;$A287,実績!$AL$6:$AL$505,"○")&gt;0,1,0))</f>
        <v>0</v>
      </c>
      <c r="CA287" s="39" t="n">
        <f aca="false">IF(CA$4=0,0,IF(COUNTIFS(実績!$W$6:$W$505,CA$3,実績!$AI$6:$AI$505,"&lt;="&amp;$A287,実績!$AJ$6:$AJ$505,"&gt;"&amp;$A287,実績!$AL$6:$AL$505,"○")&gt;0,1,0))</f>
        <v>0</v>
      </c>
      <c r="CB287" s="39" t="n">
        <f aca="false">IF(CB$4=0,0,IF(COUNTIFS(実績!$W$6:$W$505,CB$3,実績!$AI$6:$AI$505,"&lt;="&amp;$A287,実績!$AJ$6:$AJ$505,"&gt;"&amp;$A287,実績!$AL$6:$AL$505,"○")&gt;0,1,0))</f>
        <v>0</v>
      </c>
      <c r="CC287" s="39" t="n">
        <f aca="false">IF(CC$4=0,0,IF(COUNTIFS(実績!$W$6:$W$505,CC$3,実績!$AI$6:$AI$505,"&lt;="&amp;$A287,実績!$AJ$6:$AJ$505,"&gt;"&amp;$A287,実績!$AL$6:$AL$505,"○")&gt;0,1,0))</f>
        <v>0</v>
      </c>
      <c r="CD287" s="39" t="n">
        <f aca="false">IF(CD$4=0,0,IF(COUNTIFS(実績!$W$6:$W$505,CD$3,実績!$AI$6:$AI$505,"&lt;="&amp;$A287,実績!$AJ$6:$AJ$505,"&gt;"&amp;$A287,実績!$AL$6:$AL$505,"○")&gt;0,1,0))</f>
        <v>0</v>
      </c>
      <c r="CE287" s="39" t="n">
        <f aca="false">IF(CE$4=0,0,IF(COUNTIFS(実績!$W$6:$W$505,CE$3,実績!$AI$6:$AI$505,"&lt;="&amp;$A287,実績!$AJ$6:$AJ$505,"&gt;"&amp;$A287,実績!$AL$6:$AL$505,"○")&gt;0,1,0))</f>
        <v>0</v>
      </c>
      <c r="CF287" s="39" t="n">
        <f aca="false">IF(CF$4=0,0,IF(COUNTIFS(実績!$W$6:$W$505,CF$3,実績!$AI$6:$AI$505,"&lt;="&amp;$A287,実績!$AJ$6:$AJ$505,"&gt;"&amp;$A287,実績!$AL$6:$AL$505,"○")&gt;0,1,0))</f>
        <v>0</v>
      </c>
      <c r="CG287" s="39" t="n">
        <f aca="false">IF(CG$4=0,0,IF(COUNTIFS(実績!$W$6:$W$505,CG$3,実績!$AI$6:$AI$505,"&lt;="&amp;$A287,実績!$AJ$6:$AJ$505,"&gt;"&amp;$A287,実績!$AL$6:$AL$505,"○")&gt;0,1,0))</f>
        <v>0</v>
      </c>
      <c r="CH287" s="39" t="n">
        <f aca="false">IF(CH$4=0,0,IF(COUNTIFS(実績!$W$6:$W$505,CH$3,実績!$AI$6:$AI$505,"&lt;="&amp;$A287,実績!$AJ$6:$AJ$505,"&gt;"&amp;$A287,実績!$AL$6:$AL$505,"○")&gt;0,1,0))</f>
        <v>0</v>
      </c>
      <c r="CI287" s="39" t="n">
        <f aca="false">IF(CI$4=0,0,IF(COUNTIFS(実績!$W$6:$W$505,CI$3,実績!$AI$6:$AI$505,"&lt;="&amp;$A287,実績!$AJ$6:$AJ$505,"&gt;"&amp;$A287,実績!$AL$6:$AL$505,"○")&gt;0,1,0))</f>
        <v>0</v>
      </c>
      <c r="CJ287" s="39" t="n">
        <f aca="false">IF(CJ$4=0,0,IF(COUNTIFS(実績!$W$6:$W$505,CJ$3,実績!$AI$6:$AI$505,"&lt;="&amp;$A287,実績!$AJ$6:$AJ$505,"&gt;"&amp;$A287,実績!$AL$6:$AL$505,"○")&gt;0,1,0))</f>
        <v>0</v>
      </c>
      <c r="CK287" s="39" t="n">
        <f aca="false">IF(CK$4=0,0,IF(COUNTIFS(実績!$W$6:$W$505,CK$3,実績!$AI$6:$AI$505,"&lt;="&amp;$A287,実績!$AJ$6:$AJ$505,"&gt;"&amp;$A287,実績!$AL$6:$AL$505,"○")&gt;0,1,0))</f>
        <v>0</v>
      </c>
      <c r="CL287" s="39" t="n">
        <f aca="false">IF(CL$4=0,0,IF(COUNTIFS(実績!$W$6:$W$505,CL$3,実績!$AI$6:$AI$505,"&lt;="&amp;$A287,実績!$AJ$6:$AJ$505,"&gt;"&amp;$A287,実績!$AL$6:$AL$505,"○")&gt;0,1,0))</f>
        <v>0</v>
      </c>
      <c r="CM287" s="39" t="n">
        <f aca="false">IF(CM$4=0,0,IF(COUNTIFS(実績!$W$6:$W$505,CM$3,実績!$AI$6:$AI$505,"&lt;="&amp;$A287,実績!$AJ$6:$AJ$505,"&gt;"&amp;$A287,実績!$AL$6:$AL$505,"○")&gt;0,1,0))</f>
        <v>0</v>
      </c>
      <c r="CN287" s="39" t="n">
        <f aca="false">IF(CN$4=0,0,IF(COUNTIFS(実績!$W$6:$W$505,CN$3,実績!$AI$6:$AI$505,"&lt;="&amp;$A287,実績!$AJ$6:$AJ$505,"&gt;"&amp;$A287,実績!$AL$6:$AL$505,"○")&gt;0,1,0))</f>
        <v>0</v>
      </c>
      <c r="CO287" s="39" t="n">
        <f aca="false">IF(CO$4=0,0,IF(COUNTIFS(実績!$W$6:$W$505,CO$3,実績!$AI$6:$AI$505,"&lt;="&amp;$A287,実績!$AJ$6:$AJ$505,"&gt;"&amp;$A287,実績!$AL$6:$AL$505,"○")&gt;0,1,0))</f>
        <v>0</v>
      </c>
      <c r="CP287" s="39" t="n">
        <f aca="false">IF(CP$4=0,0,IF(COUNTIFS(実績!$W$6:$W$505,CP$3,実績!$AI$6:$AI$505,"&lt;="&amp;$A287,実績!$AJ$6:$AJ$505,"&gt;"&amp;$A287,実績!$AL$6:$AL$505,"○")&gt;0,1,0))</f>
        <v>0</v>
      </c>
      <c r="CQ287" s="39" t="n">
        <f aca="false">IF(CQ$4=0,0,IF(COUNTIFS(実績!$W$6:$W$505,CQ$3,実績!$AI$6:$AI$505,"&lt;="&amp;$A287,実績!$AJ$6:$AJ$505,"&gt;"&amp;$A287,実績!$AL$6:$AL$505,"○")&gt;0,1,0))</f>
        <v>0</v>
      </c>
      <c r="CR287" s="39" t="n">
        <f aca="false">IF(CR$4=0,0,IF(COUNTIFS(実績!$W$6:$W$505,CR$3,実績!$AI$6:$AI$505,"&lt;="&amp;$A287,実績!$AJ$6:$AJ$505,"&gt;"&amp;$A287,実績!$AL$6:$AL$505,"○")&gt;0,1,0))</f>
        <v>0</v>
      </c>
      <c r="CS287" s="39" t="n">
        <f aca="false">IF(CS$4=0,0,IF(COUNTIFS(実績!$W$6:$W$505,CS$3,実績!$AI$6:$AI$505,"&lt;="&amp;$A287,実績!$AJ$6:$AJ$505,"&gt;"&amp;$A287,実績!$AL$6:$AL$505,"○")&gt;0,1,0))</f>
        <v>0</v>
      </c>
      <c r="CT287" s="39" t="n">
        <f aca="false">IF(CT$4=0,0,IF(COUNTIFS(実績!$W$6:$W$505,CT$3,実績!$AI$6:$AI$505,"&lt;="&amp;$A287,実績!$AJ$6:$AJ$505,"&gt;"&amp;$A287,実績!$AL$6:$AL$505,"○")&gt;0,1,0))</f>
        <v>0</v>
      </c>
      <c r="CU287" s="39" t="n">
        <f aca="false">IF(CU$4=0,0,IF(COUNTIFS(実績!$W$6:$W$505,CU$3,実績!$AI$6:$AI$505,"&lt;="&amp;$A287,実績!$AJ$6:$AJ$505,"&gt;"&amp;$A287,実績!$AL$6:$AL$505,"○")&gt;0,1,0))</f>
        <v>0</v>
      </c>
      <c r="CV287" s="39" t="n">
        <f aca="false">IF(CV$4=0,0,IF(COUNTIFS(実績!$W$6:$W$505,CV$3,実績!$AI$6:$AI$505,"&lt;="&amp;$A287,実績!$AJ$6:$AJ$505,"&gt;"&amp;$A287,実績!$AL$6:$AL$505,"○")&gt;0,1,0))</f>
        <v>0</v>
      </c>
      <c r="CW287" s="39" t="n">
        <f aca="false">IF(CW$4=0,0,IF(COUNTIFS(実績!$W$6:$W$505,CW$3,実績!$AI$6:$AI$505,"&lt;="&amp;$A287,実績!$AJ$6:$AJ$505,"&gt;"&amp;$A287,実績!$AL$6:$AL$505,"○")&gt;0,1,0))</f>
        <v>0</v>
      </c>
      <c r="CX287" s="39" t="n">
        <f aca="false">IF(CX$4=0,0,IF(COUNTIFS(実績!$W$6:$W$505,CX$3,実績!$AI$6:$AI$505,"&lt;="&amp;$A287,実績!$AJ$6:$AJ$505,"&gt;"&amp;$A287,実績!$AL$6:$AL$505,"○")&gt;0,1,0))</f>
        <v>0</v>
      </c>
      <c r="CY287" s="39" t="n">
        <f aca="false">IF(CY$4=0,0,IF(COUNTIFS(実績!$W$6:$W$505,CY$3,実績!$AI$6:$AI$505,"&lt;="&amp;$A287,実績!$AJ$6:$AJ$505,"&gt;"&amp;$A287,実績!$AL$6:$AL$505,"○")&gt;0,1,0))</f>
        <v>0</v>
      </c>
      <c r="CZ287" s="39" t="n">
        <f aca="false">IF(CZ$4=0,0,IF(COUNTIFS(実績!$W$6:$W$505,CZ$3,実績!$AI$6:$AI$505,"&lt;="&amp;$A287,実績!$AJ$6:$AJ$505,"&gt;"&amp;$A287,実績!$AL$6:$AL$505,"○")&gt;0,1,0))</f>
        <v>0</v>
      </c>
      <c r="DA287" s="39" t="n">
        <f aca="false">IF(DA$4=0,0,IF(COUNTIFS(実績!$W$6:$W$505,DA$3,実績!$AI$6:$AI$505,"&lt;="&amp;$A287,実績!$AJ$6:$AJ$505,"&gt;"&amp;$A287,実績!$AL$6:$AL$505,"○")&gt;0,1,0))</f>
        <v>0</v>
      </c>
      <c r="DB287" s="39" t="n">
        <f aca="false">IF(DB$4=0,0,IF(COUNTIFS(実績!$W$6:$W$505,DB$3,実績!$AI$6:$AI$505,"&lt;="&amp;$A287,実績!$AJ$6:$AJ$505,"&gt;"&amp;$A287,実績!$AL$6:$AL$505,"○")&gt;0,1,0))</f>
        <v>0</v>
      </c>
      <c r="DC287" s="39" t="n">
        <f aca="false">IF(DC$4=0,0,IF(COUNTIFS(実績!$W$6:$W$505,DC$3,実績!$AI$6:$AI$505,"&lt;="&amp;$A287,実績!$AJ$6:$AJ$505,"&gt;"&amp;$A287,実績!$AL$6:$AL$505,"○")&gt;0,1,0))</f>
        <v>0</v>
      </c>
      <c r="DD287" s="39" t="n">
        <f aca="false">IF(DD$4=0,0,IF(COUNTIFS(実績!$W$6:$W$505,DD$3,実績!$AI$6:$AI$505,"&lt;="&amp;$A287,実績!$AJ$6:$AJ$505,"&gt;"&amp;$A287,実績!$AL$6:$AL$505,"○")&gt;0,1,0))</f>
        <v>0</v>
      </c>
      <c r="DE287" s="39" t="n">
        <f aca="false">IF(DE$4=0,0,IF(COUNTIFS(実績!$W$6:$W$505,DE$3,実績!$AI$6:$AI$505,"&lt;="&amp;$A287,実績!$AJ$6:$AJ$505,"&gt;"&amp;$A287,実績!$AL$6:$AL$505,"○")&gt;0,1,0))</f>
        <v>0</v>
      </c>
      <c r="DF287" s="39" t="n">
        <f aca="false">IF(DF$4=0,0,IF(COUNTIFS(実績!$W$6:$W$505,DF$3,実績!$AI$6:$AI$505,"&lt;="&amp;$A287,実績!$AJ$6:$AJ$505,"&gt;"&amp;$A287,実績!$AL$6:$AL$505,"○")&gt;0,1,0))</f>
        <v>0</v>
      </c>
      <c r="DG287" s="39" t="n">
        <f aca="false">IF(DG$4=0,0,IF(COUNTIFS(実績!$W$6:$W$505,DG$3,実績!$AI$6:$AI$505,"&lt;="&amp;$A287,実績!$AJ$6:$AJ$505,"&gt;"&amp;$A287,実績!$AL$6:$AL$505,"○")&gt;0,1,0))</f>
        <v>0</v>
      </c>
      <c r="DH287" s="39" t="n">
        <f aca="false">IF(DH$4=0,0,IF(COUNTIFS(実績!$W$6:$W$505,DH$3,実績!$AI$6:$AI$505,"&lt;="&amp;$A287,実績!$AJ$6:$AJ$505,"&gt;"&amp;$A287,実績!$AL$6:$AL$505,"○")&gt;0,1,0))</f>
        <v>0</v>
      </c>
      <c r="DI287" s="39" t="n">
        <f aca="false">IF(DI$4=0,0,IF(COUNTIFS(実績!$W$6:$W$505,DI$3,実績!$AI$6:$AI$505,"&lt;="&amp;$A287,実績!$AJ$6:$AJ$505,"&gt;"&amp;$A287,実績!$AL$6:$AL$505,"○")&gt;0,1,0))</f>
        <v>0</v>
      </c>
      <c r="DJ287" s="39" t="n">
        <f aca="false">IF(DJ$4=0,0,IF(COUNTIFS(実績!$W$6:$W$505,DJ$3,実績!$AI$6:$AI$505,"&lt;="&amp;$A287,実績!$AJ$6:$AJ$505,"&gt;"&amp;$A287,実績!$AL$6:$AL$505,"○")&gt;0,1,0))</f>
        <v>0</v>
      </c>
      <c r="DK287" s="39" t="n">
        <f aca="false">IF(DK$4=0,0,IF(COUNTIFS(実績!$W$6:$W$505,DK$3,実績!$AI$6:$AI$505,"&lt;="&amp;$A287,実績!$AJ$6:$AJ$505,"&gt;"&amp;$A287,実績!$AL$6:$AL$505,"○")&gt;0,1,0))</f>
        <v>0</v>
      </c>
      <c r="DL287" s="39" t="n">
        <f aca="false">IF(DL$4=0,0,IF(COUNTIFS(実績!$W$6:$W$505,DL$3,実績!$AI$6:$AI$505,"&lt;="&amp;$A287,実績!$AJ$6:$AJ$505,"&gt;"&amp;$A287,実績!$AL$6:$AL$505,"○")&gt;0,1,0))</f>
        <v>0</v>
      </c>
      <c r="DM287" s="39" t="n">
        <f aca="false">IF(DM$4=0,0,IF(COUNTIFS(実績!$W$6:$W$505,DM$3,実績!$AI$6:$AI$505,"&lt;="&amp;$A287,実績!$AJ$6:$AJ$505,"&gt;"&amp;$A287,実績!$AL$6:$AL$505,"○")&gt;0,1,0))</f>
        <v>0</v>
      </c>
      <c r="DN287" s="39" t="n">
        <f aca="false">IF(DN$4=0,0,IF(COUNTIFS(実績!$W$6:$W$505,DN$3,実績!$AI$6:$AI$505,"&lt;="&amp;$A287,実績!$AJ$6:$AJ$505,"&gt;"&amp;$A287,実績!$AL$6:$AL$505,"○")&gt;0,1,0))</f>
        <v>0</v>
      </c>
      <c r="DO287" s="39" t="n">
        <f aca="false">IF(DO$4=0,0,IF(COUNTIFS(実績!$W$6:$W$505,DO$3,実績!$AI$6:$AI$505,"&lt;="&amp;$A287,実績!$AJ$6:$AJ$505,"&gt;"&amp;$A287,実績!$AL$6:$AL$505,"○")&gt;0,1,0))</f>
        <v>0</v>
      </c>
      <c r="DP287" s="39" t="n">
        <f aca="false">IF(DP$4=0,0,IF(COUNTIFS(実績!$W$6:$W$505,DP$3,実績!$AI$6:$AI$505,"&lt;="&amp;$A287,実績!$AJ$6:$AJ$505,"&gt;"&amp;$A287,実績!$AL$6:$AL$505,"○")&gt;0,1,0))</f>
        <v>0</v>
      </c>
      <c r="DQ287" s="39" t="n">
        <f aca="false">IF(DQ$4=0,0,IF(COUNTIFS(実績!$W$6:$W$505,DQ$3,実績!$AI$6:$AI$505,"&lt;="&amp;$A287,実績!$AJ$6:$AJ$505,"&gt;"&amp;$A287,実績!$AL$6:$AL$505,"○")&gt;0,1,0))</f>
        <v>0</v>
      </c>
      <c r="DR287" s="39" t="n">
        <f aca="false">IF(DR$4=0,0,IF(COUNTIFS(実績!$W$6:$W$505,DR$3,実績!$AI$6:$AI$505,"&lt;="&amp;$A287,実績!$AJ$6:$AJ$505,"&gt;"&amp;$A287,実績!$AL$6:$AL$505,"○")&gt;0,1,0))</f>
        <v>0</v>
      </c>
      <c r="DS287" s="39" t="n">
        <f aca="false">SUM(C287:DR287)</f>
        <v>0</v>
      </c>
    </row>
    <row r="288" customFormat="false" ht="15" hidden="false" customHeight="false" outlineLevel="0" collapsed="false">
      <c r="A288" s="0" t="n">
        <v>1410</v>
      </c>
      <c r="B288" s="38" t="n">
        <f aca="false">A288/1440</f>
        <v>0.979166666666667</v>
      </c>
      <c r="C288" s="39" t="n">
        <f aca="false">IF(C$4=0,0,IF(COUNTIFS(実績!$W$6:$W$505,C$3,実績!$AI$6:$AI$505,"&lt;="&amp;$A288,実績!$AJ$6:$AJ$505,"&gt;"&amp;$A288,実績!$AL$6:$AL$505,"○")&gt;0,1,0))</f>
        <v>0</v>
      </c>
      <c r="D288" s="39" t="n">
        <f aca="false">IF(D$4=0,0,IF(COUNTIFS(実績!$W$6:$W$505,D$3,実績!$AI$6:$AI$505,"&lt;="&amp;$A288,実績!$AJ$6:$AJ$505,"&gt;"&amp;$A288,実績!$AL$6:$AL$505,"○")&gt;0,1,0))</f>
        <v>0</v>
      </c>
      <c r="E288" s="39" t="n">
        <f aca="false">IF(E$4=0,0,IF(COUNTIFS(実績!$W$6:$W$505,E$3,実績!$AI$6:$AI$505,"&lt;="&amp;$A288,実績!$AJ$6:$AJ$505,"&gt;"&amp;$A288,実績!$AL$6:$AL$505,"○")&gt;0,1,0))</f>
        <v>0</v>
      </c>
      <c r="F288" s="39" t="n">
        <f aca="false">IF(F$4=0,0,IF(COUNTIFS(実績!$W$6:$W$505,F$3,実績!$AI$6:$AI$505,"&lt;="&amp;$A288,実績!$AJ$6:$AJ$505,"&gt;"&amp;$A288,実績!$AL$6:$AL$505,"○")&gt;0,1,0))</f>
        <v>0</v>
      </c>
      <c r="G288" s="39" t="n">
        <f aca="false">IF(G$4=0,0,IF(COUNTIFS(実績!$W$6:$W$505,G$3,実績!$AI$6:$AI$505,"&lt;="&amp;$A288,実績!$AJ$6:$AJ$505,"&gt;"&amp;$A288,実績!$AL$6:$AL$505,"○")&gt;0,1,0))</f>
        <v>0</v>
      </c>
      <c r="H288" s="39" t="n">
        <f aca="false">IF(H$4=0,0,IF(COUNTIFS(実績!$W$6:$W$505,H$3,実績!$AI$6:$AI$505,"&lt;="&amp;$A288,実績!$AJ$6:$AJ$505,"&gt;"&amp;$A288,実績!$AL$6:$AL$505,"○")&gt;0,1,0))</f>
        <v>0</v>
      </c>
      <c r="I288" s="39" t="n">
        <f aca="false">IF(I$4=0,0,IF(COUNTIFS(実績!$W$6:$W$505,I$3,実績!$AI$6:$AI$505,"&lt;="&amp;$A288,実績!$AJ$6:$AJ$505,"&gt;"&amp;$A288,実績!$AL$6:$AL$505,"○")&gt;0,1,0))</f>
        <v>0</v>
      </c>
      <c r="J288" s="39" t="n">
        <f aca="false">IF(J$4=0,0,IF(COUNTIFS(実績!$W$6:$W$505,J$3,実績!$AI$6:$AI$505,"&lt;="&amp;$A288,実績!$AJ$6:$AJ$505,"&gt;"&amp;$A288,実績!$AL$6:$AL$505,"○")&gt;0,1,0))</f>
        <v>0</v>
      </c>
      <c r="K288" s="39" t="n">
        <f aca="false">IF(K$4=0,0,IF(COUNTIFS(実績!$W$6:$W$505,K$3,実績!$AI$6:$AI$505,"&lt;="&amp;$A288,実績!$AJ$6:$AJ$505,"&gt;"&amp;$A288,実績!$AL$6:$AL$505,"○")&gt;0,1,0))</f>
        <v>0</v>
      </c>
      <c r="L288" s="39" t="n">
        <f aca="false">IF(L$4=0,0,IF(COUNTIFS(実績!$W$6:$W$505,L$3,実績!$AI$6:$AI$505,"&lt;="&amp;$A288,実績!$AJ$6:$AJ$505,"&gt;"&amp;$A288,実績!$AL$6:$AL$505,"○")&gt;0,1,0))</f>
        <v>0</v>
      </c>
      <c r="M288" s="39" t="n">
        <f aca="false">IF(M$4=0,0,IF(COUNTIFS(実績!$W$6:$W$505,M$3,実績!$AI$6:$AI$505,"&lt;="&amp;$A288,実績!$AJ$6:$AJ$505,"&gt;"&amp;$A288,実績!$AL$6:$AL$505,"○")&gt;0,1,0))</f>
        <v>0</v>
      </c>
      <c r="N288" s="39" t="n">
        <f aca="false">IF(N$4=0,0,IF(COUNTIFS(実績!$W$6:$W$505,N$3,実績!$AI$6:$AI$505,"&lt;="&amp;$A288,実績!$AJ$6:$AJ$505,"&gt;"&amp;$A288,実績!$AL$6:$AL$505,"○")&gt;0,1,0))</f>
        <v>0</v>
      </c>
      <c r="O288" s="39" t="n">
        <f aca="false">IF(O$4=0,0,IF(COUNTIFS(実績!$W$6:$W$505,O$3,実績!$AI$6:$AI$505,"&lt;="&amp;$A288,実績!$AJ$6:$AJ$505,"&gt;"&amp;$A288,実績!$AL$6:$AL$505,"○")&gt;0,1,0))</f>
        <v>0</v>
      </c>
      <c r="P288" s="39" t="n">
        <f aca="false">IF(P$4=0,0,IF(COUNTIFS(実績!$W$6:$W$505,P$3,実績!$AI$6:$AI$505,"&lt;="&amp;$A288,実績!$AJ$6:$AJ$505,"&gt;"&amp;$A288,実績!$AL$6:$AL$505,"○")&gt;0,1,0))</f>
        <v>0</v>
      </c>
      <c r="Q288" s="39" t="n">
        <f aca="false">IF(Q$4=0,0,IF(COUNTIFS(実績!$W$6:$W$505,Q$3,実績!$AI$6:$AI$505,"&lt;="&amp;$A288,実績!$AJ$6:$AJ$505,"&gt;"&amp;$A288,実績!$AL$6:$AL$505,"○")&gt;0,1,0))</f>
        <v>0</v>
      </c>
      <c r="R288" s="39" t="n">
        <f aca="false">IF(R$4=0,0,IF(COUNTIFS(実績!$W$6:$W$505,R$3,実績!$AI$6:$AI$505,"&lt;="&amp;$A288,実績!$AJ$6:$AJ$505,"&gt;"&amp;$A288,実績!$AL$6:$AL$505,"○")&gt;0,1,0))</f>
        <v>0</v>
      </c>
      <c r="S288" s="39" t="n">
        <f aca="false">IF(S$4=0,0,IF(COUNTIFS(実績!$W$6:$W$505,S$3,実績!$AI$6:$AI$505,"&lt;="&amp;$A288,実績!$AJ$6:$AJ$505,"&gt;"&amp;$A288,実績!$AL$6:$AL$505,"○")&gt;0,1,0))</f>
        <v>0</v>
      </c>
      <c r="T288" s="39" t="n">
        <f aca="false">IF(T$4=0,0,IF(COUNTIFS(実績!$W$6:$W$505,T$3,実績!$AI$6:$AI$505,"&lt;="&amp;$A288,実績!$AJ$6:$AJ$505,"&gt;"&amp;$A288,実績!$AL$6:$AL$505,"○")&gt;0,1,0))</f>
        <v>0</v>
      </c>
      <c r="U288" s="39" t="n">
        <f aca="false">IF(U$4=0,0,IF(COUNTIFS(実績!$W$6:$W$505,U$3,実績!$AI$6:$AI$505,"&lt;="&amp;$A288,実績!$AJ$6:$AJ$505,"&gt;"&amp;$A288,実績!$AL$6:$AL$505,"○")&gt;0,1,0))</f>
        <v>0</v>
      </c>
      <c r="V288" s="39" t="n">
        <f aca="false">IF(V$4=0,0,IF(COUNTIFS(実績!$W$6:$W$505,V$3,実績!$AI$6:$AI$505,"&lt;="&amp;$A288,実績!$AJ$6:$AJ$505,"&gt;"&amp;$A288,実績!$AL$6:$AL$505,"○")&gt;0,1,0))</f>
        <v>0</v>
      </c>
      <c r="W288" s="39" t="n">
        <f aca="false">IF(W$4=0,0,IF(COUNTIFS(実績!$W$6:$W$505,W$3,実績!$AI$6:$AI$505,"&lt;="&amp;$A288,実績!$AJ$6:$AJ$505,"&gt;"&amp;$A288,実績!$AL$6:$AL$505,"○")&gt;0,1,0))</f>
        <v>0</v>
      </c>
      <c r="X288" s="39" t="n">
        <f aca="false">IF(X$4=0,0,IF(COUNTIFS(実績!$W$6:$W$505,X$3,実績!$AI$6:$AI$505,"&lt;="&amp;$A288,実績!$AJ$6:$AJ$505,"&gt;"&amp;$A288,実績!$AL$6:$AL$505,"○")&gt;0,1,0))</f>
        <v>0</v>
      </c>
      <c r="Y288" s="39" t="n">
        <f aca="false">IF(Y$4=0,0,IF(COUNTIFS(実績!$W$6:$W$505,Y$3,実績!$AI$6:$AI$505,"&lt;="&amp;$A288,実績!$AJ$6:$AJ$505,"&gt;"&amp;$A288,実績!$AL$6:$AL$505,"○")&gt;0,1,0))</f>
        <v>0</v>
      </c>
      <c r="Z288" s="39" t="n">
        <f aca="false">IF(Z$4=0,0,IF(COUNTIFS(実績!$W$6:$W$505,Z$3,実績!$AI$6:$AI$505,"&lt;="&amp;$A288,実績!$AJ$6:$AJ$505,"&gt;"&amp;$A288,実績!$AL$6:$AL$505,"○")&gt;0,1,0))</f>
        <v>0</v>
      </c>
      <c r="AA288" s="39" t="n">
        <f aca="false">IF(AA$4=0,0,IF(COUNTIFS(実績!$W$6:$W$505,AA$3,実績!$AI$6:$AI$505,"&lt;="&amp;$A288,実績!$AJ$6:$AJ$505,"&gt;"&amp;$A288,実績!$AL$6:$AL$505,"○")&gt;0,1,0))</f>
        <v>0</v>
      </c>
      <c r="AB288" s="39" t="n">
        <f aca="false">IF(AB$4=0,0,IF(COUNTIFS(実績!$W$6:$W$505,AB$3,実績!$AI$6:$AI$505,"&lt;="&amp;$A288,実績!$AJ$6:$AJ$505,"&gt;"&amp;$A288,実績!$AL$6:$AL$505,"○")&gt;0,1,0))</f>
        <v>0</v>
      </c>
      <c r="AC288" s="39" t="n">
        <f aca="false">IF(AC$4=0,0,IF(COUNTIFS(実績!$W$6:$W$505,AC$3,実績!$AI$6:$AI$505,"&lt;="&amp;$A288,実績!$AJ$6:$AJ$505,"&gt;"&amp;$A288,実績!$AL$6:$AL$505,"○")&gt;0,1,0))</f>
        <v>0</v>
      </c>
      <c r="AD288" s="39" t="n">
        <f aca="false">IF(AD$4=0,0,IF(COUNTIFS(実績!$W$6:$W$505,AD$3,実績!$AI$6:$AI$505,"&lt;="&amp;$A288,実績!$AJ$6:$AJ$505,"&gt;"&amp;$A288,実績!$AL$6:$AL$505,"○")&gt;0,1,0))</f>
        <v>0</v>
      </c>
      <c r="AE288" s="39" t="n">
        <f aca="false">IF(AE$4=0,0,IF(COUNTIFS(実績!$W$6:$W$505,AE$3,実績!$AI$6:$AI$505,"&lt;="&amp;$A288,実績!$AJ$6:$AJ$505,"&gt;"&amp;$A288,実績!$AL$6:$AL$505,"○")&gt;0,1,0))</f>
        <v>0</v>
      </c>
      <c r="AF288" s="39" t="n">
        <f aca="false">IF(AF$4=0,0,IF(COUNTIFS(実績!$W$6:$W$505,AF$3,実績!$AI$6:$AI$505,"&lt;="&amp;$A288,実績!$AJ$6:$AJ$505,"&gt;"&amp;$A288,実績!$AL$6:$AL$505,"○")&gt;0,1,0))</f>
        <v>0</v>
      </c>
      <c r="AG288" s="39" t="n">
        <f aca="false">IF(AG$4=0,0,IF(COUNTIFS(実績!$W$6:$W$505,AG$3,実績!$AI$6:$AI$505,"&lt;="&amp;$A288,実績!$AJ$6:$AJ$505,"&gt;"&amp;$A288,実績!$AL$6:$AL$505,"○")&gt;0,1,0))</f>
        <v>0</v>
      </c>
      <c r="AH288" s="39" t="n">
        <f aca="false">IF(AH$4=0,0,IF(COUNTIFS(実績!$W$6:$W$505,AH$3,実績!$AI$6:$AI$505,"&lt;="&amp;$A288,実績!$AJ$6:$AJ$505,"&gt;"&amp;$A288,実績!$AL$6:$AL$505,"○")&gt;0,1,0))</f>
        <v>0</v>
      </c>
      <c r="AI288" s="39" t="n">
        <f aca="false">IF(AI$4=0,0,IF(COUNTIFS(実績!$W$6:$W$505,AI$3,実績!$AI$6:$AI$505,"&lt;="&amp;$A288,実績!$AJ$6:$AJ$505,"&gt;"&amp;$A288,実績!$AL$6:$AL$505,"○")&gt;0,1,0))</f>
        <v>0</v>
      </c>
      <c r="AJ288" s="39" t="n">
        <f aca="false">IF(AJ$4=0,0,IF(COUNTIFS(実績!$W$6:$W$505,AJ$3,実績!$AI$6:$AI$505,"&lt;="&amp;$A288,実績!$AJ$6:$AJ$505,"&gt;"&amp;$A288,実績!$AL$6:$AL$505,"○")&gt;0,1,0))</f>
        <v>0</v>
      </c>
      <c r="AK288" s="39" t="n">
        <f aca="false">IF(AK$4=0,0,IF(COUNTIFS(実績!$W$6:$W$505,AK$3,実績!$AI$6:$AI$505,"&lt;="&amp;$A288,実績!$AJ$6:$AJ$505,"&gt;"&amp;$A288,実績!$AL$6:$AL$505,"○")&gt;0,1,0))</f>
        <v>0</v>
      </c>
      <c r="AL288" s="39" t="n">
        <f aca="false">IF(AL$4=0,0,IF(COUNTIFS(実績!$W$6:$W$505,AL$3,実績!$AI$6:$AI$505,"&lt;="&amp;$A288,実績!$AJ$6:$AJ$505,"&gt;"&amp;$A288,実績!$AL$6:$AL$505,"○")&gt;0,1,0))</f>
        <v>0</v>
      </c>
      <c r="AM288" s="39" t="n">
        <f aca="false">IF(AM$4=0,0,IF(COUNTIFS(実績!$W$6:$W$505,AM$3,実績!$AI$6:$AI$505,"&lt;="&amp;$A288,実績!$AJ$6:$AJ$505,"&gt;"&amp;$A288,実績!$AL$6:$AL$505,"○")&gt;0,1,0))</f>
        <v>0</v>
      </c>
      <c r="AN288" s="39" t="n">
        <f aca="false">IF(AN$4=0,0,IF(COUNTIFS(実績!$W$6:$W$505,AN$3,実績!$AI$6:$AI$505,"&lt;="&amp;$A288,実績!$AJ$6:$AJ$505,"&gt;"&amp;$A288,実績!$AL$6:$AL$505,"○")&gt;0,1,0))</f>
        <v>0</v>
      </c>
      <c r="AO288" s="39" t="n">
        <f aca="false">IF(AO$4=0,0,IF(COUNTIFS(実績!$W$6:$W$505,AO$3,実績!$AI$6:$AI$505,"&lt;="&amp;$A288,実績!$AJ$6:$AJ$505,"&gt;"&amp;$A288,実績!$AL$6:$AL$505,"○")&gt;0,1,0))</f>
        <v>0</v>
      </c>
      <c r="AP288" s="39" t="n">
        <f aca="false">IF(AP$4=0,0,IF(COUNTIFS(実績!$W$6:$W$505,AP$3,実績!$AI$6:$AI$505,"&lt;="&amp;$A288,実績!$AJ$6:$AJ$505,"&gt;"&amp;$A288,実績!$AL$6:$AL$505,"○")&gt;0,1,0))</f>
        <v>0</v>
      </c>
      <c r="AQ288" s="39" t="n">
        <f aca="false">IF(AQ$4=0,0,IF(COUNTIFS(実績!$W$6:$W$505,AQ$3,実績!$AI$6:$AI$505,"&lt;="&amp;$A288,実績!$AJ$6:$AJ$505,"&gt;"&amp;$A288,実績!$AL$6:$AL$505,"○")&gt;0,1,0))</f>
        <v>0</v>
      </c>
      <c r="AR288" s="39" t="n">
        <f aca="false">IF(AR$4=0,0,IF(COUNTIFS(実績!$W$6:$W$505,AR$3,実績!$AI$6:$AI$505,"&lt;="&amp;$A288,実績!$AJ$6:$AJ$505,"&gt;"&amp;$A288,実績!$AL$6:$AL$505,"○")&gt;0,1,0))</f>
        <v>0</v>
      </c>
      <c r="AS288" s="39" t="n">
        <f aca="false">IF(AS$4=0,0,IF(COUNTIFS(実績!$W$6:$W$505,AS$3,実績!$AI$6:$AI$505,"&lt;="&amp;$A288,実績!$AJ$6:$AJ$505,"&gt;"&amp;$A288,実績!$AL$6:$AL$505,"○")&gt;0,1,0))</f>
        <v>0</v>
      </c>
      <c r="AT288" s="39" t="n">
        <f aca="false">IF(AT$4=0,0,IF(COUNTIFS(実績!$W$6:$W$505,AT$3,実績!$AI$6:$AI$505,"&lt;="&amp;$A288,実績!$AJ$6:$AJ$505,"&gt;"&amp;$A288,実績!$AL$6:$AL$505,"○")&gt;0,1,0))</f>
        <v>0</v>
      </c>
      <c r="AU288" s="39" t="n">
        <f aca="false">IF(AU$4=0,0,IF(COUNTIFS(実績!$W$6:$W$505,AU$3,実績!$AI$6:$AI$505,"&lt;="&amp;$A288,実績!$AJ$6:$AJ$505,"&gt;"&amp;$A288,実績!$AL$6:$AL$505,"○")&gt;0,1,0))</f>
        <v>0</v>
      </c>
      <c r="AV288" s="39" t="n">
        <f aca="false">IF(AV$4=0,0,IF(COUNTIFS(実績!$W$6:$W$505,AV$3,実績!$AI$6:$AI$505,"&lt;="&amp;$A288,実績!$AJ$6:$AJ$505,"&gt;"&amp;$A288,実績!$AL$6:$AL$505,"○")&gt;0,1,0))</f>
        <v>0</v>
      </c>
      <c r="AW288" s="39" t="n">
        <f aca="false">IF(AW$4=0,0,IF(COUNTIFS(実績!$W$6:$W$505,AW$3,実績!$AI$6:$AI$505,"&lt;="&amp;$A288,実績!$AJ$6:$AJ$505,"&gt;"&amp;$A288,実績!$AL$6:$AL$505,"○")&gt;0,1,0))</f>
        <v>0</v>
      </c>
      <c r="AX288" s="39" t="n">
        <f aca="false">IF(AX$4=0,0,IF(COUNTIFS(実績!$W$6:$W$505,AX$3,実績!$AI$6:$AI$505,"&lt;="&amp;$A288,実績!$AJ$6:$AJ$505,"&gt;"&amp;$A288,実績!$AL$6:$AL$505,"○")&gt;0,1,0))</f>
        <v>0</v>
      </c>
      <c r="AY288" s="39" t="n">
        <f aca="false">IF(AY$4=0,0,IF(COUNTIFS(実績!$W$6:$W$505,AY$3,実績!$AI$6:$AI$505,"&lt;="&amp;$A288,実績!$AJ$6:$AJ$505,"&gt;"&amp;$A288,実績!$AL$6:$AL$505,"○")&gt;0,1,0))</f>
        <v>0</v>
      </c>
      <c r="AZ288" s="39" t="n">
        <f aca="false">IF(AZ$4=0,0,IF(COUNTIFS(実績!$W$6:$W$505,AZ$3,実績!$AI$6:$AI$505,"&lt;="&amp;$A288,実績!$AJ$6:$AJ$505,"&gt;"&amp;$A288,実績!$AL$6:$AL$505,"○")&gt;0,1,0))</f>
        <v>0</v>
      </c>
      <c r="BA288" s="39" t="n">
        <f aca="false">IF(BA$4=0,0,IF(COUNTIFS(実績!$W$6:$W$505,BA$3,実績!$AI$6:$AI$505,"&lt;="&amp;$A288,実績!$AJ$6:$AJ$505,"&gt;"&amp;$A288,実績!$AL$6:$AL$505,"○")&gt;0,1,0))</f>
        <v>0</v>
      </c>
      <c r="BB288" s="39" t="n">
        <f aca="false">IF(BB$4=0,0,IF(COUNTIFS(実績!$W$6:$W$505,BB$3,実績!$AI$6:$AI$505,"&lt;="&amp;$A288,実績!$AJ$6:$AJ$505,"&gt;"&amp;$A288,実績!$AL$6:$AL$505,"○")&gt;0,1,0))</f>
        <v>0</v>
      </c>
      <c r="BC288" s="39" t="n">
        <f aca="false">IF(BC$4=0,0,IF(COUNTIFS(実績!$W$6:$W$505,BC$3,実績!$AI$6:$AI$505,"&lt;="&amp;$A288,実績!$AJ$6:$AJ$505,"&gt;"&amp;$A288,実績!$AL$6:$AL$505,"○")&gt;0,1,0))</f>
        <v>0</v>
      </c>
      <c r="BD288" s="39" t="n">
        <f aca="false">IF(BD$4=0,0,IF(COUNTIFS(実績!$W$6:$W$505,BD$3,実績!$AI$6:$AI$505,"&lt;="&amp;$A288,実績!$AJ$6:$AJ$505,"&gt;"&amp;$A288,実績!$AL$6:$AL$505,"○")&gt;0,1,0))</f>
        <v>0</v>
      </c>
      <c r="BE288" s="39" t="n">
        <f aca="false">IF(BE$4=0,0,IF(COUNTIFS(実績!$W$6:$W$505,BE$3,実績!$AI$6:$AI$505,"&lt;="&amp;$A288,実績!$AJ$6:$AJ$505,"&gt;"&amp;$A288,実績!$AL$6:$AL$505,"○")&gt;0,1,0))</f>
        <v>0</v>
      </c>
      <c r="BF288" s="39" t="n">
        <f aca="false">IF(BF$4=0,0,IF(COUNTIFS(実績!$W$6:$W$505,BF$3,実績!$AI$6:$AI$505,"&lt;="&amp;$A288,実績!$AJ$6:$AJ$505,"&gt;"&amp;$A288,実績!$AL$6:$AL$505,"○")&gt;0,1,0))</f>
        <v>0</v>
      </c>
      <c r="BG288" s="39" t="n">
        <f aca="false">IF(BG$4=0,0,IF(COUNTIFS(実績!$W$6:$W$505,BG$3,実績!$AI$6:$AI$505,"&lt;="&amp;$A288,実績!$AJ$6:$AJ$505,"&gt;"&amp;$A288,実績!$AL$6:$AL$505,"○")&gt;0,1,0))</f>
        <v>0</v>
      </c>
      <c r="BH288" s="39" t="n">
        <f aca="false">IF(BH$4=0,0,IF(COUNTIFS(実績!$W$6:$W$505,BH$3,実績!$AI$6:$AI$505,"&lt;="&amp;$A288,実績!$AJ$6:$AJ$505,"&gt;"&amp;$A288,実績!$AL$6:$AL$505,"○")&gt;0,1,0))</f>
        <v>0</v>
      </c>
      <c r="BI288" s="39" t="n">
        <f aca="false">IF(BI$4=0,0,IF(COUNTIFS(実績!$W$6:$W$505,BI$3,実績!$AI$6:$AI$505,"&lt;="&amp;$A288,実績!$AJ$6:$AJ$505,"&gt;"&amp;$A288,実績!$AL$6:$AL$505,"○")&gt;0,1,0))</f>
        <v>0</v>
      </c>
      <c r="BJ288" s="39" t="n">
        <f aca="false">IF(BJ$4=0,0,IF(COUNTIFS(実績!$W$6:$W$505,BJ$3,実績!$AI$6:$AI$505,"&lt;="&amp;$A288,実績!$AJ$6:$AJ$505,"&gt;"&amp;$A288,実績!$AL$6:$AL$505,"○")&gt;0,1,0))</f>
        <v>0</v>
      </c>
      <c r="BK288" s="39" t="n">
        <f aca="false">IF(BK$4=0,0,IF(COUNTIFS(実績!$W$6:$W$505,BK$3,実績!$AI$6:$AI$505,"&lt;="&amp;$A288,実績!$AJ$6:$AJ$505,"&gt;"&amp;$A288,実績!$AL$6:$AL$505,"○")&gt;0,1,0))</f>
        <v>0</v>
      </c>
      <c r="BL288" s="39" t="n">
        <f aca="false">IF(BL$4=0,0,IF(COUNTIFS(実績!$W$6:$W$505,BL$3,実績!$AI$6:$AI$505,"&lt;="&amp;$A288,実績!$AJ$6:$AJ$505,"&gt;"&amp;$A288,実績!$AL$6:$AL$505,"○")&gt;0,1,0))</f>
        <v>0</v>
      </c>
      <c r="BM288" s="39" t="n">
        <f aca="false">IF(BM$4=0,0,IF(COUNTIFS(実績!$W$6:$W$505,BM$3,実績!$AI$6:$AI$505,"&lt;="&amp;$A288,実績!$AJ$6:$AJ$505,"&gt;"&amp;$A288,実績!$AL$6:$AL$505,"○")&gt;0,1,0))</f>
        <v>0</v>
      </c>
      <c r="BN288" s="39" t="n">
        <f aca="false">IF(BN$4=0,0,IF(COUNTIFS(実績!$W$6:$W$505,BN$3,実績!$AI$6:$AI$505,"&lt;="&amp;$A288,実績!$AJ$6:$AJ$505,"&gt;"&amp;$A288,実績!$AL$6:$AL$505,"○")&gt;0,1,0))</f>
        <v>0</v>
      </c>
      <c r="BO288" s="39" t="n">
        <f aca="false">IF(BO$4=0,0,IF(COUNTIFS(実績!$W$6:$W$505,BO$3,実績!$AI$6:$AI$505,"&lt;="&amp;$A288,実績!$AJ$6:$AJ$505,"&gt;"&amp;$A288,実績!$AL$6:$AL$505,"○")&gt;0,1,0))</f>
        <v>0</v>
      </c>
      <c r="BP288" s="39" t="n">
        <f aca="false">IF(BP$4=0,0,IF(COUNTIFS(実績!$W$6:$W$505,BP$3,実績!$AI$6:$AI$505,"&lt;="&amp;$A288,実績!$AJ$6:$AJ$505,"&gt;"&amp;$A288,実績!$AL$6:$AL$505,"○")&gt;0,1,0))</f>
        <v>0</v>
      </c>
      <c r="BQ288" s="39" t="n">
        <f aca="false">IF(BQ$4=0,0,IF(COUNTIFS(実績!$W$6:$W$505,BQ$3,実績!$AI$6:$AI$505,"&lt;="&amp;$A288,実績!$AJ$6:$AJ$505,"&gt;"&amp;$A288,実績!$AL$6:$AL$505,"○")&gt;0,1,0))</f>
        <v>0</v>
      </c>
      <c r="BR288" s="39" t="n">
        <f aca="false">IF(BR$4=0,0,IF(COUNTIFS(実績!$W$6:$W$505,BR$3,実績!$AI$6:$AI$505,"&lt;="&amp;$A288,実績!$AJ$6:$AJ$505,"&gt;"&amp;$A288,実績!$AL$6:$AL$505,"○")&gt;0,1,0))</f>
        <v>0</v>
      </c>
      <c r="BS288" s="39" t="n">
        <f aca="false">IF(BS$4=0,0,IF(COUNTIFS(実績!$W$6:$W$505,BS$3,実績!$AI$6:$AI$505,"&lt;="&amp;$A288,実績!$AJ$6:$AJ$505,"&gt;"&amp;$A288,実績!$AL$6:$AL$505,"○")&gt;0,1,0))</f>
        <v>0</v>
      </c>
      <c r="BT288" s="39" t="n">
        <f aca="false">IF(BT$4=0,0,IF(COUNTIFS(実績!$W$6:$W$505,BT$3,実績!$AI$6:$AI$505,"&lt;="&amp;$A288,実績!$AJ$6:$AJ$505,"&gt;"&amp;$A288,実績!$AL$6:$AL$505,"○")&gt;0,1,0))</f>
        <v>0</v>
      </c>
      <c r="BU288" s="39" t="n">
        <f aca="false">IF(BU$4=0,0,IF(COUNTIFS(実績!$W$6:$W$505,BU$3,実績!$AI$6:$AI$505,"&lt;="&amp;$A288,実績!$AJ$6:$AJ$505,"&gt;"&amp;$A288,実績!$AL$6:$AL$505,"○")&gt;0,1,0))</f>
        <v>0</v>
      </c>
      <c r="BV288" s="39" t="n">
        <f aca="false">IF(BV$4=0,0,IF(COUNTIFS(実績!$W$6:$W$505,BV$3,実績!$AI$6:$AI$505,"&lt;="&amp;$A288,実績!$AJ$6:$AJ$505,"&gt;"&amp;$A288,実績!$AL$6:$AL$505,"○")&gt;0,1,0))</f>
        <v>0</v>
      </c>
      <c r="BW288" s="39" t="n">
        <f aca="false">IF(BW$4=0,0,IF(COUNTIFS(実績!$W$6:$W$505,BW$3,実績!$AI$6:$AI$505,"&lt;="&amp;$A288,実績!$AJ$6:$AJ$505,"&gt;"&amp;$A288,実績!$AL$6:$AL$505,"○")&gt;0,1,0))</f>
        <v>0</v>
      </c>
      <c r="BX288" s="39" t="n">
        <f aca="false">IF(BX$4=0,0,IF(COUNTIFS(実績!$W$6:$W$505,BX$3,実績!$AI$6:$AI$505,"&lt;="&amp;$A288,実績!$AJ$6:$AJ$505,"&gt;"&amp;$A288,実績!$AL$6:$AL$505,"○")&gt;0,1,0))</f>
        <v>0</v>
      </c>
      <c r="BY288" s="39" t="n">
        <f aca="false">IF(BY$4=0,0,IF(COUNTIFS(実績!$W$6:$W$505,BY$3,実績!$AI$6:$AI$505,"&lt;="&amp;$A288,実績!$AJ$6:$AJ$505,"&gt;"&amp;$A288,実績!$AL$6:$AL$505,"○")&gt;0,1,0))</f>
        <v>0</v>
      </c>
      <c r="BZ288" s="39" t="n">
        <f aca="false">IF(BZ$4=0,0,IF(COUNTIFS(実績!$W$6:$W$505,BZ$3,実績!$AI$6:$AI$505,"&lt;="&amp;$A288,実績!$AJ$6:$AJ$505,"&gt;"&amp;$A288,実績!$AL$6:$AL$505,"○")&gt;0,1,0))</f>
        <v>0</v>
      </c>
      <c r="CA288" s="39" t="n">
        <f aca="false">IF(CA$4=0,0,IF(COUNTIFS(実績!$W$6:$W$505,CA$3,実績!$AI$6:$AI$505,"&lt;="&amp;$A288,実績!$AJ$6:$AJ$505,"&gt;"&amp;$A288,実績!$AL$6:$AL$505,"○")&gt;0,1,0))</f>
        <v>0</v>
      </c>
      <c r="CB288" s="39" t="n">
        <f aca="false">IF(CB$4=0,0,IF(COUNTIFS(実績!$W$6:$W$505,CB$3,実績!$AI$6:$AI$505,"&lt;="&amp;$A288,実績!$AJ$6:$AJ$505,"&gt;"&amp;$A288,実績!$AL$6:$AL$505,"○")&gt;0,1,0))</f>
        <v>0</v>
      </c>
      <c r="CC288" s="39" t="n">
        <f aca="false">IF(CC$4=0,0,IF(COUNTIFS(実績!$W$6:$W$505,CC$3,実績!$AI$6:$AI$505,"&lt;="&amp;$A288,実績!$AJ$6:$AJ$505,"&gt;"&amp;$A288,実績!$AL$6:$AL$505,"○")&gt;0,1,0))</f>
        <v>0</v>
      </c>
      <c r="CD288" s="39" t="n">
        <f aca="false">IF(CD$4=0,0,IF(COUNTIFS(実績!$W$6:$W$505,CD$3,実績!$AI$6:$AI$505,"&lt;="&amp;$A288,実績!$AJ$6:$AJ$505,"&gt;"&amp;$A288,実績!$AL$6:$AL$505,"○")&gt;0,1,0))</f>
        <v>0</v>
      </c>
      <c r="CE288" s="39" t="n">
        <f aca="false">IF(CE$4=0,0,IF(COUNTIFS(実績!$W$6:$W$505,CE$3,実績!$AI$6:$AI$505,"&lt;="&amp;$A288,実績!$AJ$6:$AJ$505,"&gt;"&amp;$A288,実績!$AL$6:$AL$505,"○")&gt;0,1,0))</f>
        <v>0</v>
      </c>
      <c r="CF288" s="39" t="n">
        <f aca="false">IF(CF$4=0,0,IF(COUNTIFS(実績!$W$6:$W$505,CF$3,実績!$AI$6:$AI$505,"&lt;="&amp;$A288,実績!$AJ$6:$AJ$505,"&gt;"&amp;$A288,実績!$AL$6:$AL$505,"○")&gt;0,1,0))</f>
        <v>0</v>
      </c>
      <c r="CG288" s="39" t="n">
        <f aca="false">IF(CG$4=0,0,IF(COUNTIFS(実績!$W$6:$W$505,CG$3,実績!$AI$6:$AI$505,"&lt;="&amp;$A288,実績!$AJ$6:$AJ$505,"&gt;"&amp;$A288,実績!$AL$6:$AL$505,"○")&gt;0,1,0))</f>
        <v>0</v>
      </c>
      <c r="CH288" s="39" t="n">
        <f aca="false">IF(CH$4=0,0,IF(COUNTIFS(実績!$W$6:$W$505,CH$3,実績!$AI$6:$AI$505,"&lt;="&amp;$A288,実績!$AJ$6:$AJ$505,"&gt;"&amp;$A288,実績!$AL$6:$AL$505,"○")&gt;0,1,0))</f>
        <v>0</v>
      </c>
      <c r="CI288" s="39" t="n">
        <f aca="false">IF(CI$4=0,0,IF(COUNTIFS(実績!$W$6:$W$505,CI$3,実績!$AI$6:$AI$505,"&lt;="&amp;$A288,実績!$AJ$6:$AJ$505,"&gt;"&amp;$A288,実績!$AL$6:$AL$505,"○")&gt;0,1,0))</f>
        <v>0</v>
      </c>
      <c r="CJ288" s="39" t="n">
        <f aca="false">IF(CJ$4=0,0,IF(COUNTIFS(実績!$W$6:$W$505,CJ$3,実績!$AI$6:$AI$505,"&lt;="&amp;$A288,実績!$AJ$6:$AJ$505,"&gt;"&amp;$A288,実績!$AL$6:$AL$505,"○")&gt;0,1,0))</f>
        <v>0</v>
      </c>
      <c r="CK288" s="39" t="n">
        <f aca="false">IF(CK$4=0,0,IF(COUNTIFS(実績!$W$6:$W$505,CK$3,実績!$AI$6:$AI$505,"&lt;="&amp;$A288,実績!$AJ$6:$AJ$505,"&gt;"&amp;$A288,実績!$AL$6:$AL$505,"○")&gt;0,1,0))</f>
        <v>0</v>
      </c>
      <c r="CL288" s="39" t="n">
        <f aca="false">IF(CL$4=0,0,IF(COUNTIFS(実績!$W$6:$W$505,CL$3,実績!$AI$6:$AI$505,"&lt;="&amp;$A288,実績!$AJ$6:$AJ$505,"&gt;"&amp;$A288,実績!$AL$6:$AL$505,"○")&gt;0,1,0))</f>
        <v>0</v>
      </c>
      <c r="CM288" s="39" t="n">
        <f aca="false">IF(CM$4=0,0,IF(COUNTIFS(実績!$W$6:$W$505,CM$3,実績!$AI$6:$AI$505,"&lt;="&amp;$A288,実績!$AJ$6:$AJ$505,"&gt;"&amp;$A288,実績!$AL$6:$AL$505,"○")&gt;0,1,0))</f>
        <v>0</v>
      </c>
      <c r="CN288" s="39" t="n">
        <f aca="false">IF(CN$4=0,0,IF(COUNTIFS(実績!$W$6:$W$505,CN$3,実績!$AI$6:$AI$505,"&lt;="&amp;$A288,実績!$AJ$6:$AJ$505,"&gt;"&amp;$A288,実績!$AL$6:$AL$505,"○")&gt;0,1,0))</f>
        <v>0</v>
      </c>
      <c r="CO288" s="39" t="n">
        <f aca="false">IF(CO$4=0,0,IF(COUNTIFS(実績!$W$6:$W$505,CO$3,実績!$AI$6:$AI$505,"&lt;="&amp;$A288,実績!$AJ$6:$AJ$505,"&gt;"&amp;$A288,実績!$AL$6:$AL$505,"○")&gt;0,1,0))</f>
        <v>0</v>
      </c>
      <c r="CP288" s="39" t="n">
        <f aca="false">IF(CP$4=0,0,IF(COUNTIFS(実績!$W$6:$W$505,CP$3,実績!$AI$6:$AI$505,"&lt;="&amp;$A288,実績!$AJ$6:$AJ$505,"&gt;"&amp;$A288,実績!$AL$6:$AL$505,"○")&gt;0,1,0))</f>
        <v>0</v>
      </c>
      <c r="CQ288" s="39" t="n">
        <f aca="false">IF(CQ$4=0,0,IF(COUNTIFS(実績!$W$6:$W$505,CQ$3,実績!$AI$6:$AI$505,"&lt;="&amp;$A288,実績!$AJ$6:$AJ$505,"&gt;"&amp;$A288,実績!$AL$6:$AL$505,"○")&gt;0,1,0))</f>
        <v>0</v>
      </c>
      <c r="CR288" s="39" t="n">
        <f aca="false">IF(CR$4=0,0,IF(COUNTIFS(実績!$W$6:$W$505,CR$3,実績!$AI$6:$AI$505,"&lt;="&amp;$A288,実績!$AJ$6:$AJ$505,"&gt;"&amp;$A288,実績!$AL$6:$AL$505,"○")&gt;0,1,0))</f>
        <v>0</v>
      </c>
      <c r="CS288" s="39" t="n">
        <f aca="false">IF(CS$4=0,0,IF(COUNTIFS(実績!$W$6:$W$505,CS$3,実績!$AI$6:$AI$505,"&lt;="&amp;$A288,実績!$AJ$6:$AJ$505,"&gt;"&amp;$A288,実績!$AL$6:$AL$505,"○")&gt;0,1,0))</f>
        <v>0</v>
      </c>
      <c r="CT288" s="39" t="n">
        <f aca="false">IF(CT$4=0,0,IF(COUNTIFS(実績!$W$6:$W$505,CT$3,実績!$AI$6:$AI$505,"&lt;="&amp;$A288,実績!$AJ$6:$AJ$505,"&gt;"&amp;$A288,実績!$AL$6:$AL$505,"○")&gt;0,1,0))</f>
        <v>0</v>
      </c>
      <c r="CU288" s="39" t="n">
        <f aca="false">IF(CU$4=0,0,IF(COUNTIFS(実績!$W$6:$W$505,CU$3,実績!$AI$6:$AI$505,"&lt;="&amp;$A288,実績!$AJ$6:$AJ$505,"&gt;"&amp;$A288,実績!$AL$6:$AL$505,"○")&gt;0,1,0))</f>
        <v>0</v>
      </c>
      <c r="CV288" s="39" t="n">
        <f aca="false">IF(CV$4=0,0,IF(COUNTIFS(実績!$W$6:$W$505,CV$3,実績!$AI$6:$AI$505,"&lt;="&amp;$A288,実績!$AJ$6:$AJ$505,"&gt;"&amp;$A288,実績!$AL$6:$AL$505,"○")&gt;0,1,0))</f>
        <v>0</v>
      </c>
      <c r="CW288" s="39" t="n">
        <f aca="false">IF(CW$4=0,0,IF(COUNTIFS(実績!$W$6:$W$505,CW$3,実績!$AI$6:$AI$505,"&lt;="&amp;$A288,実績!$AJ$6:$AJ$505,"&gt;"&amp;$A288,実績!$AL$6:$AL$505,"○")&gt;0,1,0))</f>
        <v>0</v>
      </c>
      <c r="CX288" s="39" t="n">
        <f aca="false">IF(CX$4=0,0,IF(COUNTIFS(実績!$W$6:$W$505,CX$3,実績!$AI$6:$AI$505,"&lt;="&amp;$A288,実績!$AJ$6:$AJ$505,"&gt;"&amp;$A288,実績!$AL$6:$AL$505,"○")&gt;0,1,0))</f>
        <v>0</v>
      </c>
      <c r="CY288" s="39" t="n">
        <f aca="false">IF(CY$4=0,0,IF(COUNTIFS(実績!$W$6:$W$505,CY$3,実績!$AI$6:$AI$505,"&lt;="&amp;$A288,実績!$AJ$6:$AJ$505,"&gt;"&amp;$A288,実績!$AL$6:$AL$505,"○")&gt;0,1,0))</f>
        <v>0</v>
      </c>
      <c r="CZ288" s="39" t="n">
        <f aca="false">IF(CZ$4=0,0,IF(COUNTIFS(実績!$W$6:$W$505,CZ$3,実績!$AI$6:$AI$505,"&lt;="&amp;$A288,実績!$AJ$6:$AJ$505,"&gt;"&amp;$A288,実績!$AL$6:$AL$505,"○")&gt;0,1,0))</f>
        <v>0</v>
      </c>
      <c r="DA288" s="39" t="n">
        <f aca="false">IF(DA$4=0,0,IF(COUNTIFS(実績!$W$6:$W$505,DA$3,実績!$AI$6:$AI$505,"&lt;="&amp;$A288,実績!$AJ$6:$AJ$505,"&gt;"&amp;$A288,実績!$AL$6:$AL$505,"○")&gt;0,1,0))</f>
        <v>0</v>
      </c>
      <c r="DB288" s="39" t="n">
        <f aca="false">IF(DB$4=0,0,IF(COUNTIFS(実績!$W$6:$W$505,DB$3,実績!$AI$6:$AI$505,"&lt;="&amp;$A288,実績!$AJ$6:$AJ$505,"&gt;"&amp;$A288,実績!$AL$6:$AL$505,"○")&gt;0,1,0))</f>
        <v>0</v>
      </c>
      <c r="DC288" s="39" t="n">
        <f aca="false">IF(DC$4=0,0,IF(COUNTIFS(実績!$W$6:$W$505,DC$3,実績!$AI$6:$AI$505,"&lt;="&amp;$A288,実績!$AJ$6:$AJ$505,"&gt;"&amp;$A288,実績!$AL$6:$AL$505,"○")&gt;0,1,0))</f>
        <v>0</v>
      </c>
      <c r="DD288" s="39" t="n">
        <f aca="false">IF(DD$4=0,0,IF(COUNTIFS(実績!$W$6:$W$505,DD$3,実績!$AI$6:$AI$505,"&lt;="&amp;$A288,実績!$AJ$6:$AJ$505,"&gt;"&amp;$A288,実績!$AL$6:$AL$505,"○")&gt;0,1,0))</f>
        <v>0</v>
      </c>
      <c r="DE288" s="39" t="n">
        <f aca="false">IF(DE$4=0,0,IF(COUNTIFS(実績!$W$6:$W$505,DE$3,実績!$AI$6:$AI$505,"&lt;="&amp;$A288,実績!$AJ$6:$AJ$505,"&gt;"&amp;$A288,実績!$AL$6:$AL$505,"○")&gt;0,1,0))</f>
        <v>0</v>
      </c>
      <c r="DF288" s="39" t="n">
        <f aca="false">IF(DF$4=0,0,IF(COUNTIFS(実績!$W$6:$W$505,DF$3,実績!$AI$6:$AI$505,"&lt;="&amp;$A288,実績!$AJ$6:$AJ$505,"&gt;"&amp;$A288,実績!$AL$6:$AL$505,"○")&gt;0,1,0))</f>
        <v>0</v>
      </c>
      <c r="DG288" s="39" t="n">
        <f aca="false">IF(DG$4=0,0,IF(COUNTIFS(実績!$W$6:$W$505,DG$3,実績!$AI$6:$AI$505,"&lt;="&amp;$A288,実績!$AJ$6:$AJ$505,"&gt;"&amp;$A288,実績!$AL$6:$AL$505,"○")&gt;0,1,0))</f>
        <v>0</v>
      </c>
      <c r="DH288" s="39" t="n">
        <f aca="false">IF(DH$4=0,0,IF(COUNTIFS(実績!$W$6:$W$505,DH$3,実績!$AI$6:$AI$505,"&lt;="&amp;$A288,実績!$AJ$6:$AJ$505,"&gt;"&amp;$A288,実績!$AL$6:$AL$505,"○")&gt;0,1,0))</f>
        <v>0</v>
      </c>
      <c r="DI288" s="39" t="n">
        <f aca="false">IF(DI$4=0,0,IF(COUNTIFS(実績!$W$6:$W$505,DI$3,実績!$AI$6:$AI$505,"&lt;="&amp;$A288,実績!$AJ$6:$AJ$505,"&gt;"&amp;$A288,実績!$AL$6:$AL$505,"○")&gt;0,1,0))</f>
        <v>0</v>
      </c>
      <c r="DJ288" s="39" t="n">
        <f aca="false">IF(DJ$4=0,0,IF(COUNTIFS(実績!$W$6:$W$505,DJ$3,実績!$AI$6:$AI$505,"&lt;="&amp;$A288,実績!$AJ$6:$AJ$505,"&gt;"&amp;$A288,実績!$AL$6:$AL$505,"○")&gt;0,1,0))</f>
        <v>0</v>
      </c>
      <c r="DK288" s="39" t="n">
        <f aca="false">IF(DK$4=0,0,IF(COUNTIFS(実績!$W$6:$W$505,DK$3,実績!$AI$6:$AI$505,"&lt;="&amp;$A288,実績!$AJ$6:$AJ$505,"&gt;"&amp;$A288,実績!$AL$6:$AL$505,"○")&gt;0,1,0))</f>
        <v>0</v>
      </c>
      <c r="DL288" s="39" t="n">
        <f aca="false">IF(DL$4=0,0,IF(COUNTIFS(実績!$W$6:$W$505,DL$3,実績!$AI$6:$AI$505,"&lt;="&amp;$A288,実績!$AJ$6:$AJ$505,"&gt;"&amp;$A288,実績!$AL$6:$AL$505,"○")&gt;0,1,0))</f>
        <v>0</v>
      </c>
      <c r="DM288" s="39" t="n">
        <f aca="false">IF(DM$4=0,0,IF(COUNTIFS(実績!$W$6:$W$505,DM$3,実績!$AI$6:$AI$505,"&lt;="&amp;$A288,実績!$AJ$6:$AJ$505,"&gt;"&amp;$A288,実績!$AL$6:$AL$505,"○")&gt;0,1,0))</f>
        <v>0</v>
      </c>
      <c r="DN288" s="39" t="n">
        <f aca="false">IF(DN$4=0,0,IF(COUNTIFS(実績!$W$6:$W$505,DN$3,実績!$AI$6:$AI$505,"&lt;="&amp;$A288,実績!$AJ$6:$AJ$505,"&gt;"&amp;$A288,実績!$AL$6:$AL$505,"○")&gt;0,1,0))</f>
        <v>0</v>
      </c>
      <c r="DO288" s="39" t="n">
        <f aca="false">IF(DO$4=0,0,IF(COUNTIFS(実績!$W$6:$W$505,DO$3,実績!$AI$6:$AI$505,"&lt;="&amp;$A288,実績!$AJ$6:$AJ$505,"&gt;"&amp;$A288,実績!$AL$6:$AL$505,"○")&gt;0,1,0))</f>
        <v>0</v>
      </c>
      <c r="DP288" s="39" t="n">
        <f aca="false">IF(DP$4=0,0,IF(COUNTIFS(実績!$W$6:$W$505,DP$3,実績!$AI$6:$AI$505,"&lt;="&amp;$A288,実績!$AJ$6:$AJ$505,"&gt;"&amp;$A288,実績!$AL$6:$AL$505,"○")&gt;0,1,0))</f>
        <v>0</v>
      </c>
      <c r="DQ288" s="39" t="n">
        <f aca="false">IF(DQ$4=0,0,IF(COUNTIFS(実績!$W$6:$W$505,DQ$3,実績!$AI$6:$AI$505,"&lt;="&amp;$A288,実績!$AJ$6:$AJ$505,"&gt;"&amp;$A288,実績!$AL$6:$AL$505,"○")&gt;0,1,0))</f>
        <v>0</v>
      </c>
      <c r="DR288" s="39" t="n">
        <f aca="false">IF(DR$4=0,0,IF(COUNTIFS(実績!$W$6:$W$505,DR$3,実績!$AI$6:$AI$505,"&lt;="&amp;$A288,実績!$AJ$6:$AJ$505,"&gt;"&amp;$A288,実績!$AL$6:$AL$505,"○")&gt;0,1,0))</f>
        <v>0</v>
      </c>
      <c r="DS288" s="39" t="n">
        <f aca="false">SUM(C288:DR288)</f>
        <v>0</v>
      </c>
    </row>
    <row r="289" customFormat="false" ht="15" hidden="false" customHeight="false" outlineLevel="0" collapsed="false">
      <c r="A289" s="0" t="n">
        <v>1415</v>
      </c>
      <c r="B289" s="38" t="n">
        <f aca="false">A289/1440</f>
        <v>0.982638888888889</v>
      </c>
      <c r="C289" s="39" t="n">
        <f aca="false">IF(C$4=0,0,IF(COUNTIFS(実績!$W$6:$W$505,C$3,実績!$AI$6:$AI$505,"&lt;="&amp;$A289,実績!$AJ$6:$AJ$505,"&gt;"&amp;$A289,実績!$AL$6:$AL$505,"○")&gt;0,1,0))</f>
        <v>0</v>
      </c>
      <c r="D289" s="39" t="n">
        <f aca="false">IF(D$4=0,0,IF(COUNTIFS(実績!$W$6:$W$505,D$3,実績!$AI$6:$AI$505,"&lt;="&amp;$A289,実績!$AJ$6:$AJ$505,"&gt;"&amp;$A289,実績!$AL$6:$AL$505,"○")&gt;0,1,0))</f>
        <v>0</v>
      </c>
      <c r="E289" s="39" t="n">
        <f aca="false">IF(E$4=0,0,IF(COUNTIFS(実績!$W$6:$W$505,E$3,実績!$AI$6:$AI$505,"&lt;="&amp;$A289,実績!$AJ$6:$AJ$505,"&gt;"&amp;$A289,実績!$AL$6:$AL$505,"○")&gt;0,1,0))</f>
        <v>0</v>
      </c>
      <c r="F289" s="39" t="n">
        <f aca="false">IF(F$4=0,0,IF(COUNTIFS(実績!$W$6:$W$505,F$3,実績!$AI$6:$AI$505,"&lt;="&amp;$A289,実績!$AJ$6:$AJ$505,"&gt;"&amp;$A289,実績!$AL$6:$AL$505,"○")&gt;0,1,0))</f>
        <v>0</v>
      </c>
      <c r="G289" s="39" t="n">
        <f aca="false">IF(G$4=0,0,IF(COUNTIFS(実績!$W$6:$W$505,G$3,実績!$AI$6:$AI$505,"&lt;="&amp;$A289,実績!$AJ$6:$AJ$505,"&gt;"&amp;$A289,実績!$AL$6:$AL$505,"○")&gt;0,1,0))</f>
        <v>0</v>
      </c>
      <c r="H289" s="39" t="n">
        <f aca="false">IF(H$4=0,0,IF(COUNTIFS(実績!$W$6:$W$505,H$3,実績!$AI$6:$AI$505,"&lt;="&amp;$A289,実績!$AJ$6:$AJ$505,"&gt;"&amp;$A289,実績!$AL$6:$AL$505,"○")&gt;0,1,0))</f>
        <v>0</v>
      </c>
      <c r="I289" s="39" t="n">
        <f aca="false">IF(I$4=0,0,IF(COUNTIFS(実績!$W$6:$W$505,I$3,実績!$AI$6:$AI$505,"&lt;="&amp;$A289,実績!$AJ$6:$AJ$505,"&gt;"&amp;$A289,実績!$AL$6:$AL$505,"○")&gt;0,1,0))</f>
        <v>0</v>
      </c>
      <c r="J289" s="39" t="n">
        <f aca="false">IF(J$4=0,0,IF(COUNTIFS(実績!$W$6:$W$505,J$3,実績!$AI$6:$AI$505,"&lt;="&amp;$A289,実績!$AJ$6:$AJ$505,"&gt;"&amp;$A289,実績!$AL$6:$AL$505,"○")&gt;0,1,0))</f>
        <v>0</v>
      </c>
      <c r="K289" s="39" t="n">
        <f aca="false">IF(K$4=0,0,IF(COUNTIFS(実績!$W$6:$W$505,K$3,実績!$AI$6:$AI$505,"&lt;="&amp;$A289,実績!$AJ$6:$AJ$505,"&gt;"&amp;$A289,実績!$AL$6:$AL$505,"○")&gt;0,1,0))</f>
        <v>0</v>
      </c>
      <c r="L289" s="39" t="n">
        <f aca="false">IF(L$4=0,0,IF(COUNTIFS(実績!$W$6:$W$505,L$3,実績!$AI$6:$AI$505,"&lt;="&amp;$A289,実績!$AJ$6:$AJ$505,"&gt;"&amp;$A289,実績!$AL$6:$AL$505,"○")&gt;0,1,0))</f>
        <v>0</v>
      </c>
      <c r="M289" s="39" t="n">
        <f aca="false">IF(M$4=0,0,IF(COUNTIFS(実績!$W$6:$W$505,M$3,実績!$AI$6:$AI$505,"&lt;="&amp;$A289,実績!$AJ$6:$AJ$505,"&gt;"&amp;$A289,実績!$AL$6:$AL$505,"○")&gt;0,1,0))</f>
        <v>0</v>
      </c>
      <c r="N289" s="39" t="n">
        <f aca="false">IF(N$4=0,0,IF(COUNTIFS(実績!$W$6:$W$505,N$3,実績!$AI$6:$AI$505,"&lt;="&amp;$A289,実績!$AJ$6:$AJ$505,"&gt;"&amp;$A289,実績!$AL$6:$AL$505,"○")&gt;0,1,0))</f>
        <v>0</v>
      </c>
      <c r="O289" s="39" t="n">
        <f aca="false">IF(O$4=0,0,IF(COUNTIFS(実績!$W$6:$W$505,O$3,実績!$AI$6:$AI$505,"&lt;="&amp;$A289,実績!$AJ$6:$AJ$505,"&gt;"&amp;$A289,実績!$AL$6:$AL$505,"○")&gt;0,1,0))</f>
        <v>0</v>
      </c>
      <c r="P289" s="39" t="n">
        <f aca="false">IF(P$4=0,0,IF(COUNTIFS(実績!$W$6:$W$505,P$3,実績!$AI$6:$AI$505,"&lt;="&amp;$A289,実績!$AJ$6:$AJ$505,"&gt;"&amp;$A289,実績!$AL$6:$AL$505,"○")&gt;0,1,0))</f>
        <v>0</v>
      </c>
      <c r="Q289" s="39" t="n">
        <f aca="false">IF(Q$4=0,0,IF(COUNTIFS(実績!$W$6:$W$505,Q$3,実績!$AI$6:$AI$505,"&lt;="&amp;$A289,実績!$AJ$6:$AJ$505,"&gt;"&amp;$A289,実績!$AL$6:$AL$505,"○")&gt;0,1,0))</f>
        <v>0</v>
      </c>
      <c r="R289" s="39" t="n">
        <f aca="false">IF(R$4=0,0,IF(COUNTIFS(実績!$W$6:$W$505,R$3,実績!$AI$6:$AI$505,"&lt;="&amp;$A289,実績!$AJ$6:$AJ$505,"&gt;"&amp;$A289,実績!$AL$6:$AL$505,"○")&gt;0,1,0))</f>
        <v>0</v>
      </c>
      <c r="S289" s="39" t="n">
        <f aca="false">IF(S$4=0,0,IF(COUNTIFS(実績!$W$6:$W$505,S$3,実績!$AI$6:$AI$505,"&lt;="&amp;$A289,実績!$AJ$6:$AJ$505,"&gt;"&amp;$A289,実績!$AL$6:$AL$505,"○")&gt;0,1,0))</f>
        <v>0</v>
      </c>
      <c r="T289" s="39" t="n">
        <f aca="false">IF(T$4=0,0,IF(COUNTIFS(実績!$W$6:$W$505,T$3,実績!$AI$6:$AI$505,"&lt;="&amp;$A289,実績!$AJ$6:$AJ$505,"&gt;"&amp;$A289,実績!$AL$6:$AL$505,"○")&gt;0,1,0))</f>
        <v>0</v>
      </c>
      <c r="U289" s="39" t="n">
        <f aca="false">IF(U$4=0,0,IF(COUNTIFS(実績!$W$6:$W$505,U$3,実績!$AI$6:$AI$505,"&lt;="&amp;$A289,実績!$AJ$6:$AJ$505,"&gt;"&amp;$A289,実績!$AL$6:$AL$505,"○")&gt;0,1,0))</f>
        <v>0</v>
      </c>
      <c r="V289" s="39" t="n">
        <f aca="false">IF(V$4=0,0,IF(COUNTIFS(実績!$W$6:$W$505,V$3,実績!$AI$6:$AI$505,"&lt;="&amp;$A289,実績!$AJ$6:$AJ$505,"&gt;"&amp;$A289,実績!$AL$6:$AL$505,"○")&gt;0,1,0))</f>
        <v>0</v>
      </c>
      <c r="W289" s="39" t="n">
        <f aca="false">IF(W$4=0,0,IF(COUNTIFS(実績!$W$6:$W$505,W$3,実績!$AI$6:$AI$505,"&lt;="&amp;$A289,実績!$AJ$6:$AJ$505,"&gt;"&amp;$A289,実績!$AL$6:$AL$505,"○")&gt;0,1,0))</f>
        <v>0</v>
      </c>
      <c r="X289" s="39" t="n">
        <f aca="false">IF(X$4=0,0,IF(COUNTIFS(実績!$W$6:$W$505,X$3,実績!$AI$6:$AI$505,"&lt;="&amp;$A289,実績!$AJ$6:$AJ$505,"&gt;"&amp;$A289,実績!$AL$6:$AL$505,"○")&gt;0,1,0))</f>
        <v>0</v>
      </c>
      <c r="Y289" s="39" t="n">
        <f aca="false">IF(Y$4=0,0,IF(COUNTIFS(実績!$W$6:$W$505,Y$3,実績!$AI$6:$AI$505,"&lt;="&amp;$A289,実績!$AJ$6:$AJ$505,"&gt;"&amp;$A289,実績!$AL$6:$AL$505,"○")&gt;0,1,0))</f>
        <v>0</v>
      </c>
      <c r="Z289" s="39" t="n">
        <f aca="false">IF(Z$4=0,0,IF(COUNTIFS(実績!$W$6:$W$505,Z$3,実績!$AI$6:$AI$505,"&lt;="&amp;$A289,実績!$AJ$6:$AJ$505,"&gt;"&amp;$A289,実績!$AL$6:$AL$505,"○")&gt;0,1,0))</f>
        <v>0</v>
      </c>
      <c r="AA289" s="39" t="n">
        <f aca="false">IF(AA$4=0,0,IF(COUNTIFS(実績!$W$6:$W$505,AA$3,実績!$AI$6:$AI$505,"&lt;="&amp;$A289,実績!$AJ$6:$AJ$505,"&gt;"&amp;$A289,実績!$AL$6:$AL$505,"○")&gt;0,1,0))</f>
        <v>0</v>
      </c>
      <c r="AB289" s="39" t="n">
        <f aca="false">IF(AB$4=0,0,IF(COUNTIFS(実績!$W$6:$W$505,AB$3,実績!$AI$6:$AI$505,"&lt;="&amp;$A289,実績!$AJ$6:$AJ$505,"&gt;"&amp;$A289,実績!$AL$6:$AL$505,"○")&gt;0,1,0))</f>
        <v>0</v>
      </c>
      <c r="AC289" s="39" t="n">
        <f aca="false">IF(AC$4=0,0,IF(COUNTIFS(実績!$W$6:$W$505,AC$3,実績!$AI$6:$AI$505,"&lt;="&amp;$A289,実績!$AJ$6:$AJ$505,"&gt;"&amp;$A289,実績!$AL$6:$AL$505,"○")&gt;0,1,0))</f>
        <v>0</v>
      </c>
      <c r="AD289" s="39" t="n">
        <f aca="false">IF(AD$4=0,0,IF(COUNTIFS(実績!$W$6:$W$505,AD$3,実績!$AI$6:$AI$505,"&lt;="&amp;$A289,実績!$AJ$6:$AJ$505,"&gt;"&amp;$A289,実績!$AL$6:$AL$505,"○")&gt;0,1,0))</f>
        <v>0</v>
      </c>
      <c r="AE289" s="39" t="n">
        <f aca="false">IF(AE$4=0,0,IF(COUNTIFS(実績!$W$6:$W$505,AE$3,実績!$AI$6:$AI$505,"&lt;="&amp;$A289,実績!$AJ$6:$AJ$505,"&gt;"&amp;$A289,実績!$AL$6:$AL$505,"○")&gt;0,1,0))</f>
        <v>0</v>
      </c>
      <c r="AF289" s="39" t="n">
        <f aca="false">IF(AF$4=0,0,IF(COUNTIFS(実績!$W$6:$W$505,AF$3,実績!$AI$6:$AI$505,"&lt;="&amp;$A289,実績!$AJ$6:$AJ$505,"&gt;"&amp;$A289,実績!$AL$6:$AL$505,"○")&gt;0,1,0))</f>
        <v>0</v>
      </c>
      <c r="AG289" s="39" t="n">
        <f aca="false">IF(AG$4=0,0,IF(COUNTIFS(実績!$W$6:$W$505,AG$3,実績!$AI$6:$AI$505,"&lt;="&amp;$A289,実績!$AJ$6:$AJ$505,"&gt;"&amp;$A289,実績!$AL$6:$AL$505,"○")&gt;0,1,0))</f>
        <v>0</v>
      </c>
      <c r="AH289" s="39" t="n">
        <f aca="false">IF(AH$4=0,0,IF(COUNTIFS(実績!$W$6:$W$505,AH$3,実績!$AI$6:$AI$505,"&lt;="&amp;$A289,実績!$AJ$6:$AJ$505,"&gt;"&amp;$A289,実績!$AL$6:$AL$505,"○")&gt;0,1,0))</f>
        <v>0</v>
      </c>
      <c r="AI289" s="39" t="n">
        <f aca="false">IF(AI$4=0,0,IF(COUNTIFS(実績!$W$6:$W$505,AI$3,実績!$AI$6:$AI$505,"&lt;="&amp;$A289,実績!$AJ$6:$AJ$505,"&gt;"&amp;$A289,実績!$AL$6:$AL$505,"○")&gt;0,1,0))</f>
        <v>0</v>
      </c>
      <c r="AJ289" s="39" t="n">
        <f aca="false">IF(AJ$4=0,0,IF(COUNTIFS(実績!$W$6:$W$505,AJ$3,実績!$AI$6:$AI$505,"&lt;="&amp;$A289,実績!$AJ$6:$AJ$505,"&gt;"&amp;$A289,実績!$AL$6:$AL$505,"○")&gt;0,1,0))</f>
        <v>0</v>
      </c>
      <c r="AK289" s="39" t="n">
        <f aca="false">IF(AK$4=0,0,IF(COUNTIFS(実績!$W$6:$W$505,AK$3,実績!$AI$6:$AI$505,"&lt;="&amp;$A289,実績!$AJ$6:$AJ$505,"&gt;"&amp;$A289,実績!$AL$6:$AL$505,"○")&gt;0,1,0))</f>
        <v>0</v>
      </c>
      <c r="AL289" s="39" t="n">
        <f aca="false">IF(AL$4=0,0,IF(COUNTIFS(実績!$W$6:$W$505,AL$3,実績!$AI$6:$AI$505,"&lt;="&amp;$A289,実績!$AJ$6:$AJ$505,"&gt;"&amp;$A289,実績!$AL$6:$AL$505,"○")&gt;0,1,0))</f>
        <v>0</v>
      </c>
      <c r="AM289" s="39" t="n">
        <f aca="false">IF(AM$4=0,0,IF(COUNTIFS(実績!$W$6:$W$505,AM$3,実績!$AI$6:$AI$505,"&lt;="&amp;$A289,実績!$AJ$6:$AJ$505,"&gt;"&amp;$A289,実績!$AL$6:$AL$505,"○")&gt;0,1,0))</f>
        <v>0</v>
      </c>
      <c r="AN289" s="39" t="n">
        <f aca="false">IF(AN$4=0,0,IF(COUNTIFS(実績!$W$6:$W$505,AN$3,実績!$AI$6:$AI$505,"&lt;="&amp;$A289,実績!$AJ$6:$AJ$505,"&gt;"&amp;$A289,実績!$AL$6:$AL$505,"○")&gt;0,1,0))</f>
        <v>0</v>
      </c>
      <c r="AO289" s="39" t="n">
        <f aca="false">IF(AO$4=0,0,IF(COUNTIFS(実績!$W$6:$W$505,AO$3,実績!$AI$6:$AI$505,"&lt;="&amp;$A289,実績!$AJ$6:$AJ$505,"&gt;"&amp;$A289,実績!$AL$6:$AL$505,"○")&gt;0,1,0))</f>
        <v>0</v>
      </c>
      <c r="AP289" s="39" t="n">
        <f aca="false">IF(AP$4=0,0,IF(COUNTIFS(実績!$W$6:$W$505,AP$3,実績!$AI$6:$AI$505,"&lt;="&amp;$A289,実績!$AJ$6:$AJ$505,"&gt;"&amp;$A289,実績!$AL$6:$AL$505,"○")&gt;0,1,0))</f>
        <v>0</v>
      </c>
      <c r="AQ289" s="39" t="n">
        <f aca="false">IF(AQ$4=0,0,IF(COUNTIFS(実績!$W$6:$W$505,AQ$3,実績!$AI$6:$AI$505,"&lt;="&amp;$A289,実績!$AJ$6:$AJ$505,"&gt;"&amp;$A289,実績!$AL$6:$AL$505,"○")&gt;0,1,0))</f>
        <v>0</v>
      </c>
      <c r="AR289" s="39" t="n">
        <f aca="false">IF(AR$4=0,0,IF(COUNTIFS(実績!$W$6:$W$505,AR$3,実績!$AI$6:$AI$505,"&lt;="&amp;$A289,実績!$AJ$6:$AJ$505,"&gt;"&amp;$A289,実績!$AL$6:$AL$505,"○")&gt;0,1,0))</f>
        <v>0</v>
      </c>
      <c r="AS289" s="39" t="n">
        <f aca="false">IF(AS$4=0,0,IF(COUNTIFS(実績!$W$6:$W$505,AS$3,実績!$AI$6:$AI$505,"&lt;="&amp;$A289,実績!$AJ$6:$AJ$505,"&gt;"&amp;$A289,実績!$AL$6:$AL$505,"○")&gt;0,1,0))</f>
        <v>0</v>
      </c>
      <c r="AT289" s="39" t="n">
        <f aca="false">IF(AT$4=0,0,IF(COUNTIFS(実績!$W$6:$W$505,AT$3,実績!$AI$6:$AI$505,"&lt;="&amp;$A289,実績!$AJ$6:$AJ$505,"&gt;"&amp;$A289,実績!$AL$6:$AL$505,"○")&gt;0,1,0))</f>
        <v>0</v>
      </c>
      <c r="AU289" s="39" t="n">
        <f aca="false">IF(AU$4=0,0,IF(COUNTIFS(実績!$W$6:$W$505,AU$3,実績!$AI$6:$AI$505,"&lt;="&amp;$A289,実績!$AJ$6:$AJ$505,"&gt;"&amp;$A289,実績!$AL$6:$AL$505,"○")&gt;0,1,0))</f>
        <v>0</v>
      </c>
      <c r="AV289" s="39" t="n">
        <f aca="false">IF(AV$4=0,0,IF(COUNTIFS(実績!$W$6:$W$505,AV$3,実績!$AI$6:$AI$505,"&lt;="&amp;$A289,実績!$AJ$6:$AJ$505,"&gt;"&amp;$A289,実績!$AL$6:$AL$505,"○")&gt;0,1,0))</f>
        <v>0</v>
      </c>
      <c r="AW289" s="39" t="n">
        <f aca="false">IF(AW$4=0,0,IF(COUNTIFS(実績!$W$6:$W$505,AW$3,実績!$AI$6:$AI$505,"&lt;="&amp;$A289,実績!$AJ$6:$AJ$505,"&gt;"&amp;$A289,実績!$AL$6:$AL$505,"○")&gt;0,1,0))</f>
        <v>0</v>
      </c>
      <c r="AX289" s="39" t="n">
        <f aca="false">IF(AX$4=0,0,IF(COUNTIFS(実績!$W$6:$W$505,AX$3,実績!$AI$6:$AI$505,"&lt;="&amp;$A289,実績!$AJ$6:$AJ$505,"&gt;"&amp;$A289,実績!$AL$6:$AL$505,"○")&gt;0,1,0))</f>
        <v>0</v>
      </c>
      <c r="AY289" s="39" t="n">
        <f aca="false">IF(AY$4=0,0,IF(COUNTIFS(実績!$W$6:$W$505,AY$3,実績!$AI$6:$AI$505,"&lt;="&amp;$A289,実績!$AJ$6:$AJ$505,"&gt;"&amp;$A289,実績!$AL$6:$AL$505,"○")&gt;0,1,0))</f>
        <v>0</v>
      </c>
      <c r="AZ289" s="39" t="n">
        <f aca="false">IF(AZ$4=0,0,IF(COUNTIFS(実績!$W$6:$W$505,AZ$3,実績!$AI$6:$AI$505,"&lt;="&amp;$A289,実績!$AJ$6:$AJ$505,"&gt;"&amp;$A289,実績!$AL$6:$AL$505,"○")&gt;0,1,0))</f>
        <v>0</v>
      </c>
      <c r="BA289" s="39" t="n">
        <f aca="false">IF(BA$4=0,0,IF(COUNTIFS(実績!$W$6:$W$505,BA$3,実績!$AI$6:$AI$505,"&lt;="&amp;$A289,実績!$AJ$6:$AJ$505,"&gt;"&amp;$A289,実績!$AL$6:$AL$505,"○")&gt;0,1,0))</f>
        <v>0</v>
      </c>
      <c r="BB289" s="39" t="n">
        <f aca="false">IF(BB$4=0,0,IF(COUNTIFS(実績!$W$6:$W$505,BB$3,実績!$AI$6:$AI$505,"&lt;="&amp;$A289,実績!$AJ$6:$AJ$505,"&gt;"&amp;$A289,実績!$AL$6:$AL$505,"○")&gt;0,1,0))</f>
        <v>0</v>
      </c>
      <c r="BC289" s="39" t="n">
        <f aca="false">IF(BC$4=0,0,IF(COUNTIFS(実績!$W$6:$W$505,BC$3,実績!$AI$6:$AI$505,"&lt;="&amp;$A289,実績!$AJ$6:$AJ$505,"&gt;"&amp;$A289,実績!$AL$6:$AL$505,"○")&gt;0,1,0))</f>
        <v>0</v>
      </c>
      <c r="BD289" s="39" t="n">
        <f aca="false">IF(BD$4=0,0,IF(COUNTIFS(実績!$W$6:$W$505,BD$3,実績!$AI$6:$AI$505,"&lt;="&amp;$A289,実績!$AJ$6:$AJ$505,"&gt;"&amp;$A289,実績!$AL$6:$AL$505,"○")&gt;0,1,0))</f>
        <v>0</v>
      </c>
      <c r="BE289" s="39" t="n">
        <f aca="false">IF(BE$4=0,0,IF(COUNTIFS(実績!$W$6:$W$505,BE$3,実績!$AI$6:$AI$505,"&lt;="&amp;$A289,実績!$AJ$6:$AJ$505,"&gt;"&amp;$A289,実績!$AL$6:$AL$505,"○")&gt;0,1,0))</f>
        <v>0</v>
      </c>
      <c r="BF289" s="39" t="n">
        <f aca="false">IF(BF$4=0,0,IF(COUNTIFS(実績!$W$6:$W$505,BF$3,実績!$AI$6:$AI$505,"&lt;="&amp;$A289,実績!$AJ$6:$AJ$505,"&gt;"&amp;$A289,実績!$AL$6:$AL$505,"○")&gt;0,1,0))</f>
        <v>0</v>
      </c>
      <c r="BG289" s="39" t="n">
        <f aca="false">IF(BG$4=0,0,IF(COUNTIFS(実績!$W$6:$W$505,BG$3,実績!$AI$6:$AI$505,"&lt;="&amp;$A289,実績!$AJ$6:$AJ$505,"&gt;"&amp;$A289,実績!$AL$6:$AL$505,"○")&gt;0,1,0))</f>
        <v>0</v>
      </c>
      <c r="BH289" s="39" t="n">
        <f aca="false">IF(BH$4=0,0,IF(COUNTIFS(実績!$W$6:$W$505,BH$3,実績!$AI$6:$AI$505,"&lt;="&amp;$A289,実績!$AJ$6:$AJ$505,"&gt;"&amp;$A289,実績!$AL$6:$AL$505,"○")&gt;0,1,0))</f>
        <v>0</v>
      </c>
      <c r="BI289" s="39" t="n">
        <f aca="false">IF(BI$4=0,0,IF(COUNTIFS(実績!$W$6:$W$505,BI$3,実績!$AI$6:$AI$505,"&lt;="&amp;$A289,実績!$AJ$6:$AJ$505,"&gt;"&amp;$A289,実績!$AL$6:$AL$505,"○")&gt;0,1,0))</f>
        <v>0</v>
      </c>
      <c r="BJ289" s="39" t="n">
        <f aca="false">IF(BJ$4=0,0,IF(COUNTIFS(実績!$W$6:$W$505,BJ$3,実績!$AI$6:$AI$505,"&lt;="&amp;$A289,実績!$AJ$6:$AJ$505,"&gt;"&amp;$A289,実績!$AL$6:$AL$505,"○")&gt;0,1,0))</f>
        <v>0</v>
      </c>
      <c r="BK289" s="39" t="n">
        <f aca="false">IF(BK$4=0,0,IF(COUNTIFS(実績!$W$6:$W$505,BK$3,実績!$AI$6:$AI$505,"&lt;="&amp;$A289,実績!$AJ$6:$AJ$505,"&gt;"&amp;$A289,実績!$AL$6:$AL$505,"○")&gt;0,1,0))</f>
        <v>0</v>
      </c>
      <c r="BL289" s="39" t="n">
        <f aca="false">IF(BL$4=0,0,IF(COUNTIFS(実績!$W$6:$W$505,BL$3,実績!$AI$6:$AI$505,"&lt;="&amp;$A289,実績!$AJ$6:$AJ$505,"&gt;"&amp;$A289,実績!$AL$6:$AL$505,"○")&gt;0,1,0))</f>
        <v>0</v>
      </c>
      <c r="BM289" s="39" t="n">
        <f aca="false">IF(BM$4=0,0,IF(COUNTIFS(実績!$W$6:$W$505,BM$3,実績!$AI$6:$AI$505,"&lt;="&amp;$A289,実績!$AJ$6:$AJ$505,"&gt;"&amp;$A289,実績!$AL$6:$AL$505,"○")&gt;0,1,0))</f>
        <v>0</v>
      </c>
      <c r="BN289" s="39" t="n">
        <f aca="false">IF(BN$4=0,0,IF(COUNTIFS(実績!$W$6:$W$505,BN$3,実績!$AI$6:$AI$505,"&lt;="&amp;$A289,実績!$AJ$6:$AJ$505,"&gt;"&amp;$A289,実績!$AL$6:$AL$505,"○")&gt;0,1,0))</f>
        <v>0</v>
      </c>
      <c r="BO289" s="39" t="n">
        <f aca="false">IF(BO$4=0,0,IF(COUNTIFS(実績!$W$6:$W$505,BO$3,実績!$AI$6:$AI$505,"&lt;="&amp;$A289,実績!$AJ$6:$AJ$505,"&gt;"&amp;$A289,実績!$AL$6:$AL$505,"○")&gt;0,1,0))</f>
        <v>0</v>
      </c>
      <c r="BP289" s="39" t="n">
        <f aca="false">IF(BP$4=0,0,IF(COUNTIFS(実績!$W$6:$W$505,BP$3,実績!$AI$6:$AI$505,"&lt;="&amp;$A289,実績!$AJ$6:$AJ$505,"&gt;"&amp;$A289,実績!$AL$6:$AL$505,"○")&gt;0,1,0))</f>
        <v>0</v>
      </c>
      <c r="BQ289" s="39" t="n">
        <f aca="false">IF(BQ$4=0,0,IF(COUNTIFS(実績!$W$6:$W$505,BQ$3,実績!$AI$6:$AI$505,"&lt;="&amp;$A289,実績!$AJ$6:$AJ$505,"&gt;"&amp;$A289,実績!$AL$6:$AL$505,"○")&gt;0,1,0))</f>
        <v>0</v>
      </c>
      <c r="BR289" s="39" t="n">
        <f aca="false">IF(BR$4=0,0,IF(COUNTIFS(実績!$W$6:$W$505,BR$3,実績!$AI$6:$AI$505,"&lt;="&amp;$A289,実績!$AJ$6:$AJ$505,"&gt;"&amp;$A289,実績!$AL$6:$AL$505,"○")&gt;0,1,0))</f>
        <v>0</v>
      </c>
      <c r="BS289" s="39" t="n">
        <f aca="false">IF(BS$4=0,0,IF(COUNTIFS(実績!$W$6:$W$505,BS$3,実績!$AI$6:$AI$505,"&lt;="&amp;$A289,実績!$AJ$6:$AJ$505,"&gt;"&amp;$A289,実績!$AL$6:$AL$505,"○")&gt;0,1,0))</f>
        <v>0</v>
      </c>
      <c r="BT289" s="39" t="n">
        <f aca="false">IF(BT$4=0,0,IF(COUNTIFS(実績!$W$6:$W$505,BT$3,実績!$AI$6:$AI$505,"&lt;="&amp;$A289,実績!$AJ$6:$AJ$505,"&gt;"&amp;$A289,実績!$AL$6:$AL$505,"○")&gt;0,1,0))</f>
        <v>0</v>
      </c>
      <c r="BU289" s="39" t="n">
        <f aca="false">IF(BU$4=0,0,IF(COUNTIFS(実績!$W$6:$W$505,BU$3,実績!$AI$6:$AI$505,"&lt;="&amp;$A289,実績!$AJ$6:$AJ$505,"&gt;"&amp;$A289,実績!$AL$6:$AL$505,"○")&gt;0,1,0))</f>
        <v>0</v>
      </c>
      <c r="BV289" s="39" t="n">
        <f aca="false">IF(BV$4=0,0,IF(COUNTIFS(実績!$W$6:$W$505,BV$3,実績!$AI$6:$AI$505,"&lt;="&amp;$A289,実績!$AJ$6:$AJ$505,"&gt;"&amp;$A289,実績!$AL$6:$AL$505,"○")&gt;0,1,0))</f>
        <v>0</v>
      </c>
      <c r="BW289" s="39" t="n">
        <f aca="false">IF(BW$4=0,0,IF(COUNTIFS(実績!$W$6:$W$505,BW$3,実績!$AI$6:$AI$505,"&lt;="&amp;$A289,実績!$AJ$6:$AJ$505,"&gt;"&amp;$A289,実績!$AL$6:$AL$505,"○")&gt;0,1,0))</f>
        <v>0</v>
      </c>
      <c r="BX289" s="39" t="n">
        <f aca="false">IF(BX$4=0,0,IF(COUNTIFS(実績!$W$6:$W$505,BX$3,実績!$AI$6:$AI$505,"&lt;="&amp;$A289,実績!$AJ$6:$AJ$505,"&gt;"&amp;$A289,実績!$AL$6:$AL$505,"○")&gt;0,1,0))</f>
        <v>0</v>
      </c>
      <c r="BY289" s="39" t="n">
        <f aca="false">IF(BY$4=0,0,IF(COUNTIFS(実績!$W$6:$W$505,BY$3,実績!$AI$6:$AI$505,"&lt;="&amp;$A289,実績!$AJ$6:$AJ$505,"&gt;"&amp;$A289,実績!$AL$6:$AL$505,"○")&gt;0,1,0))</f>
        <v>0</v>
      </c>
      <c r="BZ289" s="39" t="n">
        <f aca="false">IF(BZ$4=0,0,IF(COUNTIFS(実績!$W$6:$W$505,BZ$3,実績!$AI$6:$AI$505,"&lt;="&amp;$A289,実績!$AJ$6:$AJ$505,"&gt;"&amp;$A289,実績!$AL$6:$AL$505,"○")&gt;0,1,0))</f>
        <v>0</v>
      </c>
      <c r="CA289" s="39" t="n">
        <f aca="false">IF(CA$4=0,0,IF(COUNTIFS(実績!$W$6:$W$505,CA$3,実績!$AI$6:$AI$505,"&lt;="&amp;$A289,実績!$AJ$6:$AJ$505,"&gt;"&amp;$A289,実績!$AL$6:$AL$505,"○")&gt;0,1,0))</f>
        <v>0</v>
      </c>
      <c r="CB289" s="39" t="n">
        <f aca="false">IF(CB$4=0,0,IF(COUNTIFS(実績!$W$6:$W$505,CB$3,実績!$AI$6:$AI$505,"&lt;="&amp;$A289,実績!$AJ$6:$AJ$505,"&gt;"&amp;$A289,実績!$AL$6:$AL$505,"○")&gt;0,1,0))</f>
        <v>0</v>
      </c>
      <c r="CC289" s="39" t="n">
        <f aca="false">IF(CC$4=0,0,IF(COUNTIFS(実績!$W$6:$W$505,CC$3,実績!$AI$6:$AI$505,"&lt;="&amp;$A289,実績!$AJ$6:$AJ$505,"&gt;"&amp;$A289,実績!$AL$6:$AL$505,"○")&gt;0,1,0))</f>
        <v>0</v>
      </c>
      <c r="CD289" s="39" t="n">
        <f aca="false">IF(CD$4=0,0,IF(COUNTIFS(実績!$W$6:$W$505,CD$3,実績!$AI$6:$AI$505,"&lt;="&amp;$A289,実績!$AJ$6:$AJ$505,"&gt;"&amp;$A289,実績!$AL$6:$AL$505,"○")&gt;0,1,0))</f>
        <v>0</v>
      </c>
      <c r="CE289" s="39" t="n">
        <f aca="false">IF(CE$4=0,0,IF(COUNTIFS(実績!$W$6:$W$505,CE$3,実績!$AI$6:$AI$505,"&lt;="&amp;$A289,実績!$AJ$6:$AJ$505,"&gt;"&amp;$A289,実績!$AL$6:$AL$505,"○")&gt;0,1,0))</f>
        <v>0</v>
      </c>
      <c r="CF289" s="39" t="n">
        <f aca="false">IF(CF$4=0,0,IF(COUNTIFS(実績!$W$6:$W$505,CF$3,実績!$AI$6:$AI$505,"&lt;="&amp;$A289,実績!$AJ$6:$AJ$505,"&gt;"&amp;$A289,実績!$AL$6:$AL$505,"○")&gt;0,1,0))</f>
        <v>0</v>
      </c>
      <c r="CG289" s="39" t="n">
        <f aca="false">IF(CG$4=0,0,IF(COUNTIFS(実績!$W$6:$W$505,CG$3,実績!$AI$6:$AI$505,"&lt;="&amp;$A289,実績!$AJ$6:$AJ$505,"&gt;"&amp;$A289,実績!$AL$6:$AL$505,"○")&gt;0,1,0))</f>
        <v>0</v>
      </c>
      <c r="CH289" s="39" t="n">
        <f aca="false">IF(CH$4=0,0,IF(COUNTIFS(実績!$W$6:$W$505,CH$3,実績!$AI$6:$AI$505,"&lt;="&amp;$A289,実績!$AJ$6:$AJ$505,"&gt;"&amp;$A289,実績!$AL$6:$AL$505,"○")&gt;0,1,0))</f>
        <v>0</v>
      </c>
      <c r="CI289" s="39" t="n">
        <f aca="false">IF(CI$4=0,0,IF(COUNTIFS(実績!$W$6:$W$505,CI$3,実績!$AI$6:$AI$505,"&lt;="&amp;$A289,実績!$AJ$6:$AJ$505,"&gt;"&amp;$A289,実績!$AL$6:$AL$505,"○")&gt;0,1,0))</f>
        <v>0</v>
      </c>
      <c r="CJ289" s="39" t="n">
        <f aca="false">IF(CJ$4=0,0,IF(COUNTIFS(実績!$W$6:$W$505,CJ$3,実績!$AI$6:$AI$505,"&lt;="&amp;$A289,実績!$AJ$6:$AJ$505,"&gt;"&amp;$A289,実績!$AL$6:$AL$505,"○")&gt;0,1,0))</f>
        <v>0</v>
      </c>
      <c r="CK289" s="39" t="n">
        <f aca="false">IF(CK$4=0,0,IF(COUNTIFS(実績!$W$6:$W$505,CK$3,実績!$AI$6:$AI$505,"&lt;="&amp;$A289,実績!$AJ$6:$AJ$505,"&gt;"&amp;$A289,実績!$AL$6:$AL$505,"○")&gt;0,1,0))</f>
        <v>0</v>
      </c>
      <c r="CL289" s="39" t="n">
        <f aca="false">IF(CL$4=0,0,IF(COUNTIFS(実績!$W$6:$W$505,CL$3,実績!$AI$6:$AI$505,"&lt;="&amp;$A289,実績!$AJ$6:$AJ$505,"&gt;"&amp;$A289,実績!$AL$6:$AL$505,"○")&gt;0,1,0))</f>
        <v>0</v>
      </c>
      <c r="CM289" s="39" t="n">
        <f aca="false">IF(CM$4=0,0,IF(COUNTIFS(実績!$W$6:$W$505,CM$3,実績!$AI$6:$AI$505,"&lt;="&amp;$A289,実績!$AJ$6:$AJ$505,"&gt;"&amp;$A289,実績!$AL$6:$AL$505,"○")&gt;0,1,0))</f>
        <v>0</v>
      </c>
      <c r="CN289" s="39" t="n">
        <f aca="false">IF(CN$4=0,0,IF(COUNTIFS(実績!$W$6:$W$505,CN$3,実績!$AI$6:$AI$505,"&lt;="&amp;$A289,実績!$AJ$6:$AJ$505,"&gt;"&amp;$A289,実績!$AL$6:$AL$505,"○")&gt;0,1,0))</f>
        <v>0</v>
      </c>
      <c r="CO289" s="39" t="n">
        <f aca="false">IF(CO$4=0,0,IF(COUNTIFS(実績!$W$6:$W$505,CO$3,実績!$AI$6:$AI$505,"&lt;="&amp;$A289,実績!$AJ$6:$AJ$505,"&gt;"&amp;$A289,実績!$AL$6:$AL$505,"○")&gt;0,1,0))</f>
        <v>0</v>
      </c>
      <c r="CP289" s="39" t="n">
        <f aca="false">IF(CP$4=0,0,IF(COUNTIFS(実績!$W$6:$W$505,CP$3,実績!$AI$6:$AI$505,"&lt;="&amp;$A289,実績!$AJ$6:$AJ$505,"&gt;"&amp;$A289,実績!$AL$6:$AL$505,"○")&gt;0,1,0))</f>
        <v>0</v>
      </c>
      <c r="CQ289" s="39" t="n">
        <f aca="false">IF(CQ$4=0,0,IF(COUNTIFS(実績!$W$6:$W$505,CQ$3,実績!$AI$6:$AI$505,"&lt;="&amp;$A289,実績!$AJ$6:$AJ$505,"&gt;"&amp;$A289,実績!$AL$6:$AL$505,"○")&gt;0,1,0))</f>
        <v>0</v>
      </c>
      <c r="CR289" s="39" t="n">
        <f aca="false">IF(CR$4=0,0,IF(COUNTIFS(実績!$W$6:$W$505,CR$3,実績!$AI$6:$AI$505,"&lt;="&amp;$A289,実績!$AJ$6:$AJ$505,"&gt;"&amp;$A289,実績!$AL$6:$AL$505,"○")&gt;0,1,0))</f>
        <v>0</v>
      </c>
      <c r="CS289" s="39" t="n">
        <f aca="false">IF(CS$4=0,0,IF(COUNTIFS(実績!$W$6:$W$505,CS$3,実績!$AI$6:$AI$505,"&lt;="&amp;$A289,実績!$AJ$6:$AJ$505,"&gt;"&amp;$A289,実績!$AL$6:$AL$505,"○")&gt;0,1,0))</f>
        <v>0</v>
      </c>
      <c r="CT289" s="39" t="n">
        <f aca="false">IF(CT$4=0,0,IF(COUNTIFS(実績!$W$6:$W$505,CT$3,実績!$AI$6:$AI$505,"&lt;="&amp;$A289,実績!$AJ$6:$AJ$505,"&gt;"&amp;$A289,実績!$AL$6:$AL$505,"○")&gt;0,1,0))</f>
        <v>0</v>
      </c>
      <c r="CU289" s="39" t="n">
        <f aca="false">IF(CU$4=0,0,IF(COUNTIFS(実績!$W$6:$W$505,CU$3,実績!$AI$6:$AI$505,"&lt;="&amp;$A289,実績!$AJ$6:$AJ$505,"&gt;"&amp;$A289,実績!$AL$6:$AL$505,"○")&gt;0,1,0))</f>
        <v>0</v>
      </c>
      <c r="CV289" s="39" t="n">
        <f aca="false">IF(CV$4=0,0,IF(COUNTIFS(実績!$W$6:$W$505,CV$3,実績!$AI$6:$AI$505,"&lt;="&amp;$A289,実績!$AJ$6:$AJ$505,"&gt;"&amp;$A289,実績!$AL$6:$AL$505,"○")&gt;0,1,0))</f>
        <v>0</v>
      </c>
      <c r="CW289" s="39" t="n">
        <f aca="false">IF(CW$4=0,0,IF(COUNTIFS(実績!$W$6:$W$505,CW$3,実績!$AI$6:$AI$505,"&lt;="&amp;$A289,実績!$AJ$6:$AJ$505,"&gt;"&amp;$A289,実績!$AL$6:$AL$505,"○")&gt;0,1,0))</f>
        <v>0</v>
      </c>
      <c r="CX289" s="39" t="n">
        <f aca="false">IF(CX$4=0,0,IF(COUNTIFS(実績!$W$6:$W$505,CX$3,実績!$AI$6:$AI$505,"&lt;="&amp;$A289,実績!$AJ$6:$AJ$505,"&gt;"&amp;$A289,実績!$AL$6:$AL$505,"○")&gt;0,1,0))</f>
        <v>0</v>
      </c>
      <c r="CY289" s="39" t="n">
        <f aca="false">IF(CY$4=0,0,IF(COUNTIFS(実績!$W$6:$W$505,CY$3,実績!$AI$6:$AI$505,"&lt;="&amp;$A289,実績!$AJ$6:$AJ$505,"&gt;"&amp;$A289,実績!$AL$6:$AL$505,"○")&gt;0,1,0))</f>
        <v>0</v>
      </c>
      <c r="CZ289" s="39" t="n">
        <f aca="false">IF(CZ$4=0,0,IF(COUNTIFS(実績!$W$6:$W$505,CZ$3,実績!$AI$6:$AI$505,"&lt;="&amp;$A289,実績!$AJ$6:$AJ$505,"&gt;"&amp;$A289,実績!$AL$6:$AL$505,"○")&gt;0,1,0))</f>
        <v>0</v>
      </c>
      <c r="DA289" s="39" t="n">
        <f aca="false">IF(DA$4=0,0,IF(COUNTIFS(実績!$W$6:$W$505,DA$3,実績!$AI$6:$AI$505,"&lt;="&amp;$A289,実績!$AJ$6:$AJ$505,"&gt;"&amp;$A289,実績!$AL$6:$AL$505,"○")&gt;0,1,0))</f>
        <v>0</v>
      </c>
      <c r="DB289" s="39" t="n">
        <f aca="false">IF(DB$4=0,0,IF(COUNTIFS(実績!$W$6:$W$505,DB$3,実績!$AI$6:$AI$505,"&lt;="&amp;$A289,実績!$AJ$6:$AJ$505,"&gt;"&amp;$A289,実績!$AL$6:$AL$505,"○")&gt;0,1,0))</f>
        <v>0</v>
      </c>
      <c r="DC289" s="39" t="n">
        <f aca="false">IF(DC$4=0,0,IF(COUNTIFS(実績!$W$6:$W$505,DC$3,実績!$AI$6:$AI$505,"&lt;="&amp;$A289,実績!$AJ$6:$AJ$505,"&gt;"&amp;$A289,実績!$AL$6:$AL$505,"○")&gt;0,1,0))</f>
        <v>0</v>
      </c>
      <c r="DD289" s="39" t="n">
        <f aca="false">IF(DD$4=0,0,IF(COUNTIFS(実績!$W$6:$W$505,DD$3,実績!$AI$6:$AI$505,"&lt;="&amp;$A289,実績!$AJ$6:$AJ$505,"&gt;"&amp;$A289,実績!$AL$6:$AL$505,"○")&gt;0,1,0))</f>
        <v>0</v>
      </c>
      <c r="DE289" s="39" t="n">
        <f aca="false">IF(DE$4=0,0,IF(COUNTIFS(実績!$W$6:$W$505,DE$3,実績!$AI$6:$AI$505,"&lt;="&amp;$A289,実績!$AJ$6:$AJ$505,"&gt;"&amp;$A289,実績!$AL$6:$AL$505,"○")&gt;0,1,0))</f>
        <v>0</v>
      </c>
      <c r="DF289" s="39" t="n">
        <f aca="false">IF(DF$4=0,0,IF(COUNTIFS(実績!$W$6:$W$505,DF$3,実績!$AI$6:$AI$505,"&lt;="&amp;$A289,実績!$AJ$6:$AJ$505,"&gt;"&amp;$A289,実績!$AL$6:$AL$505,"○")&gt;0,1,0))</f>
        <v>0</v>
      </c>
      <c r="DG289" s="39" t="n">
        <f aca="false">IF(DG$4=0,0,IF(COUNTIFS(実績!$W$6:$W$505,DG$3,実績!$AI$6:$AI$505,"&lt;="&amp;$A289,実績!$AJ$6:$AJ$505,"&gt;"&amp;$A289,実績!$AL$6:$AL$505,"○")&gt;0,1,0))</f>
        <v>0</v>
      </c>
      <c r="DH289" s="39" t="n">
        <f aca="false">IF(DH$4=0,0,IF(COUNTIFS(実績!$W$6:$W$505,DH$3,実績!$AI$6:$AI$505,"&lt;="&amp;$A289,実績!$AJ$6:$AJ$505,"&gt;"&amp;$A289,実績!$AL$6:$AL$505,"○")&gt;0,1,0))</f>
        <v>0</v>
      </c>
      <c r="DI289" s="39" t="n">
        <f aca="false">IF(DI$4=0,0,IF(COUNTIFS(実績!$W$6:$W$505,DI$3,実績!$AI$6:$AI$505,"&lt;="&amp;$A289,実績!$AJ$6:$AJ$505,"&gt;"&amp;$A289,実績!$AL$6:$AL$505,"○")&gt;0,1,0))</f>
        <v>0</v>
      </c>
      <c r="DJ289" s="39" t="n">
        <f aca="false">IF(DJ$4=0,0,IF(COUNTIFS(実績!$W$6:$W$505,DJ$3,実績!$AI$6:$AI$505,"&lt;="&amp;$A289,実績!$AJ$6:$AJ$505,"&gt;"&amp;$A289,実績!$AL$6:$AL$505,"○")&gt;0,1,0))</f>
        <v>0</v>
      </c>
      <c r="DK289" s="39" t="n">
        <f aca="false">IF(DK$4=0,0,IF(COUNTIFS(実績!$W$6:$W$505,DK$3,実績!$AI$6:$AI$505,"&lt;="&amp;$A289,実績!$AJ$6:$AJ$505,"&gt;"&amp;$A289,実績!$AL$6:$AL$505,"○")&gt;0,1,0))</f>
        <v>0</v>
      </c>
      <c r="DL289" s="39" t="n">
        <f aca="false">IF(DL$4=0,0,IF(COUNTIFS(実績!$W$6:$W$505,DL$3,実績!$AI$6:$AI$505,"&lt;="&amp;$A289,実績!$AJ$6:$AJ$505,"&gt;"&amp;$A289,実績!$AL$6:$AL$505,"○")&gt;0,1,0))</f>
        <v>0</v>
      </c>
      <c r="DM289" s="39" t="n">
        <f aca="false">IF(DM$4=0,0,IF(COUNTIFS(実績!$W$6:$W$505,DM$3,実績!$AI$6:$AI$505,"&lt;="&amp;$A289,実績!$AJ$6:$AJ$505,"&gt;"&amp;$A289,実績!$AL$6:$AL$505,"○")&gt;0,1,0))</f>
        <v>0</v>
      </c>
      <c r="DN289" s="39" t="n">
        <f aca="false">IF(DN$4=0,0,IF(COUNTIFS(実績!$W$6:$W$505,DN$3,実績!$AI$6:$AI$505,"&lt;="&amp;$A289,実績!$AJ$6:$AJ$505,"&gt;"&amp;$A289,実績!$AL$6:$AL$505,"○")&gt;0,1,0))</f>
        <v>0</v>
      </c>
      <c r="DO289" s="39" t="n">
        <f aca="false">IF(DO$4=0,0,IF(COUNTIFS(実績!$W$6:$W$505,DO$3,実績!$AI$6:$AI$505,"&lt;="&amp;$A289,実績!$AJ$6:$AJ$505,"&gt;"&amp;$A289,実績!$AL$6:$AL$505,"○")&gt;0,1,0))</f>
        <v>0</v>
      </c>
      <c r="DP289" s="39" t="n">
        <f aca="false">IF(DP$4=0,0,IF(COUNTIFS(実績!$W$6:$W$505,DP$3,実績!$AI$6:$AI$505,"&lt;="&amp;$A289,実績!$AJ$6:$AJ$505,"&gt;"&amp;$A289,実績!$AL$6:$AL$505,"○")&gt;0,1,0))</f>
        <v>0</v>
      </c>
      <c r="DQ289" s="39" t="n">
        <f aca="false">IF(DQ$4=0,0,IF(COUNTIFS(実績!$W$6:$W$505,DQ$3,実績!$AI$6:$AI$505,"&lt;="&amp;$A289,実績!$AJ$6:$AJ$505,"&gt;"&amp;$A289,実績!$AL$6:$AL$505,"○")&gt;0,1,0))</f>
        <v>0</v>
      </c>
      <c r="DR289" s="39" t="n">
        <f aca="false">IF(DR$4=0,0,IF(COUNTIFS(実績!$W$6:$W$505,DR$3,実績!$AI$6:$AI$505,"&lt;="&amp;$A289,実績!$AJ$6:$AJ$505,"&gt;"&amp;$A289,実績!$AL$6:$AL$505,"○")&gt;0,1,0))</f>
        <v>0</v>
      </c>
      <c r="DS289" s="39" t="n">
        <f aca="false">SUM(C289:DR289)</f>
        <v>0</v>
      </c>
    </row>
    <row r="290" customFormat="false" ht="15" hidden="false" customHeight="false" outlineLevel="0" collapsed="false">
      <c r="A290" s="0" t="n">
        <v>1420</v>
      </c>
      <c r="B290" s="38" t="n">
        <f aca="false">A290/1440</f>
        <v>0.986111111111111</v>
      </c>
      <c r="C290" s="39" t="n">
        <f aca="false">IF(C$4=0,0,IF(COUNTIFS(実績!$W$6:$W$505,C$3,実績!$AI$6:$AI$505,"&lt;="&amp;$A290,実績!$AJ$6:$AJ$505,"&gt;"&amp;$A290,実績!$AL$6:$AL$505,"○")&gt;0,1,0))</f>
        <v>0</v>
      </c>
      <c r="D290" s="39" t="n">
        <f aca="false">IF(D$4=0,0,IF(COUNTIFS(実績!$W$6:$W$505,D$3,実績!$AI$6:$AI$505,"&lt;="&amp;$A290,実績!$AJ$6:$AJ$505,"&gt;"&amp;$A290,実績!$AL$6:$AL$505,"○")&gt;0,1,0))</f>
        <v>0</v>
      </c>
      <c r="E290" s="39" t="n">
        <f aca="false">IF(E$4=0,0,IF(COUNTIFS(実績!$W$6:$W$505,E$3,実績!$AI$6:$AI$505,"&lt;="&amp;$A290,実績!$AJ$6:$AJ$505,"&gt;"&amp;$A290,実績!$AL$6:$AL$505,"○")&gt;0,1,0))</f>
        <v>0</v>
      </c>
      <c r="F290" s="39" t="n">
        <f aca="false">IF(F$4=0,0,IF(COUNTIFS(実績!$W$6:$W$505,F$3,実績!$AI$6:$AI$505,"&lt;="&amp;$A290,実績!$AJ$6:$AJ$505,"&gt;"&amp;$A290,実績!$AL$6:$AL$505,"○")&gt;0,1,0))</f>
        <v>0</v>
      </c>
      <c r="G290" s="39" t="n">
        <f aca="false">IF(G$4=0,0,IF(COUNTIFS(実績!$W$6:$W$505,G$3,実績!$AI$6:$AI$505,"&lt;="&amp;$A290,実績!$AJ$6:$AJ$505,"&gt;"&amp;$A290,実績!$AL$6:$AL$505,"○")&gt;0,1,0))</f>
        <v>0</v>
      </c>
      <c r="H290" s="39" t="n">
        <f aca="false">IF(H$4=0,0,IF(COUNTIFS(実績!$W$6:$W$505,H$3,実績!$AI$6:$AI$505,"&lt;="&amp;$A290,実績!$AJ$6:$AJ$505,"&gt;"&amp;$A290,実績!$AL$6:$AL$505,"○")&gt;0,1,0))</f>
        <v>0</v>
      </c>
      <c r="I290" s="39" t="n">
        <f aca="false">IF(I$4=0,0,IF(COUNTIFS(実績!$W$6:$W$505,I$3,実績!$AI$6:$AI$505,"&lt;="&amp;$A290,実績!$AJ$6:$AJ$505,"&gt;"&amp;$A290,実績!$AL$6:$AL$505,"○")&gt;0,1,0))</f>
        <v>0</v>
      </c>
      <c r="J290" s="39" t="n">
        <f aca="false">IF(J$4=0,0,IF(COUNTIFS(実績!$W$6:$W$505,J$3,実績!$AI$6:$AI$505,"&lt;="&amp;$A290,実績!$AJ$6:$AJ$505,"&gt;"&amp;$A290,実績!$AL$6:$AL$505,"○")&gt;0,1,0))</f>
        <v>0</v>
      </c>
      <c r="K290" s="39" t="n">
        <f aca="false">IF(K$4=0,0,IF(COUNTIFS(実績!$W$6:$W$505,K$3,実績!$AI$6:$AI$505,"&lt;="&amp;$A290,実績!$AJ$6:$AJ$505,"&gt;"&amp;$A290,実績!$AL$6:$AL$505,"○")&gt;0,1,0))</f>
        <v>0</v>
      </c>
      <c r="L290" s="39" t="n">
        <f aca="false">IF(L$4=0,0,IF(COUNTIFS(実績!$W$6:$W$505,L$3,実績!$AI$6:$AI$505,"&lt;="&amp;$A290,実績!$AJ$6:$AJ$505,"&gt;"&amp;$A290,実績!$AL$6:$AL$505,"○")&gt;0,1,0))</f>
        <v>0</v>
      </c>
      <c r="M290" s="39" t="n">
        <f aca="false">IF(M$4=0,0,IF(COUNTIFS(実績!$W$6:$W$505,M$3,実績!$AI$6:$AI$505,"&lt;="&amp;$A290,実績!$AJ$6:$AJ$505,"&gt;"&amp;$A290,実績!$AL$6:$AL$505,"○")&gt;0,1,0))</f>
        <v>0</v>
      </c>
      <c r="N290" s="39" t="n">
        <f aca="false">IF(N$4=0,0,IF(COUNTIFS(実績!$W$6:$W$505,N$3,実績!$AI$6:$AI$505,"&lt;="&amp;$A290,実績!$AJ$6:$AJ$505,"&gt;"&amp;$A290,実績!$AL$6:$AL$505,"○")&gt;0,1,0))</f>
        <v>0</v>
      </c>
      <c r="O290" s="39" t="n">
        <f aca="false">IF(O$4=0,0,IF(COUNTIFS(実績!$W$6:$W$505,O$3,実績!$AI$6:$AI$505,"&lt;="&amp;$A290,実績!$AJ$6:$AJ$505,"&gt;"&amp;$A290,実績!$AL$6:$AL$505,"○")&gt;0,1,0))</f>
        <v>0</v>
      </c>
      <c r="P290" s="39" t="n">
        <f aca="false">IF(P$4=0,0,IF(COUNTIFS(実績!$W$6:$W$505,P$3,実績!$AI$6:$AI$505,"&lt;="&amp;$A290,実績!$AJ$6:$AJ$505,"&gt;"&amp;$A290,実績!$AL$6:$AL$505,"○")&gt;0,1,0))</f>
        <v>0</v>
      </c>
      <c r="Q290" s="39" t="n">
        <f aca="false">IF(Q$4=0,0,IF(COUNTIFS(実績!$W$6:$W$505,Q$3,実績!$AI$6:$AI$505,"&lt;="&amp;$A290,実績!$AJ$6:$AJ$505,"&gt;"&amp;$A290,実績!$AL$6:$AL$505,"○")&gt;0,1,0))</f>
        <v>0</v>
      </c>
      <c r="R290" s="39" t="n">
        <f aca="false">IF(R$4=0,0,IF(COUNTIFS(実績!$W$6:$W$505,R$3,実績!$AI$6:$AI$505,"&lt;="&amp;$A290,実績!$AJ$6:$AJ$505,"&gt;"&amp;$A290,実績!$AL$6:$AL$505,"○")&gt;0,1,0))</f>
        <v>0</v>
      </c>
      <c r="S290" s="39" t="n">
        <f aca="false">IF(S$4=0,0,IF(COUNTIFS(実績!$W$6:$W$505,S$3,実績!$AI$6:$AI$505,"&lt;="&amp;$A290,実績!$AJ$6:$AJ$505,"&gt;"&amp;$A290,実績!$AL$6:$AL$505,"○")&gt;0,1,0))</f>
        <v>0</v>
      </c>
      <c r="T290" s="39" t="n">
        <f aca="false">IF(T$4=0,0,IF(COUNTIFS(実績!$W$6:$W$505,T$3,実績!$AI$6:$AI$505,"&lt;="&amp;$A290,実績!$AJ$6:$AJ$505,"&gt;"&amp;$A290,実績!$AL$6:$AL$505,"○")&gt;0,1,0))</f>
        <v>0</v>
      </c>
      <c r="U290" s="39" t="n">
        <f aca="false">IF(U$4=0,0,IF(COUNTIFS(実績!$W$6:$W$505,U$3,実績!$AI$6:$AI$505,"&lt;="&amp;$A290,実績!$AJ$6:$AJ$505,"&gt;"&amp;$A290,実績!$AL$6:$AL$505,"○")&gt;0,1,0))</f>
        <v>0</v>
      </c>
      <c r="V290" s="39" t="n">
        <f aca="false">IF(V$4=0,0,IF(COUNTIFS(実績!$W$6:$W$505,V$3,実績!$AI$6:$AI$505,"&lt;="&amp;$A290,実績!$AJ$6:$AJ$505,"&gt;"&amp;$A290,実績!$AL$6:$AL$505,"○")&gt;0,1,0))</f>
        <v>0</v>
      </c>
      <c r="W290" s="39" t="n">
        <f aca="false">IF(W$4=0,0,IF(COUNTIFS(実績!$W$6:$W$505,W$3,実績!$AI$6:$AI$505,"&lt;="&amp;$A290,実績!$AJ$6:$AJ$505,"&gt;"&amp;$A290,実績!$AL$6:$AL$505,"○")&gt;0,1,0))</f>
        <v>0</v>
      </c>
      <c r="X290" s="39" t="n">
        <f aca="false">IF(X$4=0,0,IF(COUNTIFS(実績!$W$6:$W$505,X$3,実績!$AI$6:$AI$505,"&lt;="&amp;$A290,実績!$AJ$6:$AJ$505,"&gt;"&amp;$A290,実績!$AL$6:$AL$505,"○")&gt;0,1,0))</f>
        <v>0</v>
      </c>
      <c r="Y290" s="39" t="n">
        <f aca="false">IF(Y$4=0,0,IF(COUNTIFS(実績!$W$6:$W$505,Y$3,実績!$AI$6:$AI$505,"&lt;="&amp;$A290,実績!$AJ$6:$AJ$505,"&gt;"&amp;$A290,実績!$AL$6:$AL$505,"○")&gt;0,1,0))</f>
        <v>0</v>
      </c>
      <c r="Z290" s="39" t="n">
        <f aca="false">IF(Z$4=0,0,IF(COUNTIFS(実績!$W$6:$W$505,Z$3,実績!$AI$6:$AI$505,"&lt;="&amp;$A290,実績!$AJ$6:$AJ$505,"&gt;"&amp;$A290,実績!$AL$6:$AL$505,"○")&gt;0,1,0))</f>
        <v>0</v>
      </c>
      <c r="AA290" s="39" t="n">
        <f aca="false">IF(AA$4=0,0,IF(COUNTIFS(実績!$W$6:$W$505,AA$3,実績!$AI$6:$AI$505,"&lt;="&amp;$A290,実績!$AJ$6:$AJ$505,"&gt;"&amp;$A290,実績!$AL$6:$AL$505,"○")&gt;0,1,0))</f>
        <v>0</v>
      </c>
      <c r="AB290" s="39" t="n">
        <f aca="false">IF(AB$4=0,0,IF(COUNTIFS(実績!$W$6:$W$505,AB$3,実績!$AI$6:$AI$505,"&lt;="&amp;$A290,実績!$AJ$6:$AJ$505,"&gt;"&amp;$A290,実績!$AL$6:$AL$505,"○")&gt;0,1,0))</f>
        <v>0</v>
      </c>
      <c r="AC290" s="39" t="n">
        <f aca="false">IF(AC$4=0,0,IF(COUNTIFS(実績!$W$6:$W$505,AC$3,実績!$AI$6:$AI$505,"&lt;="&amp;$A290,実績!$AJ$6:$AJ$505,"&gt;"&amp;$A290,実績!$AL$6:$AL$505,"○")&gt;0,1,0))</f>
        <v>0</v>
      </c>
      <c r="AD290" s="39" t="n">
        <f aca="false">IF(AD$4=0,0,IF(COUNTIFS(実績!$W$6:$W$505,AD$3,実績!$AI$6:$AI$505,"&lt;="&amp;$A290,実績!$AJ$6:$AJ$505,"&gt;"&amp;$A290,実績!$AL$6:$AL$505,"○")&gt;0,1,0))</f>
        <v>0</v>
      </c>
      <c r="AE290" s="39" t="n">
        <f aca="false">IF(AE$4=0,0,IF(COUNTIFS(実績!$W$6:$W$505,AE$3,実績!$AI$6:$AI$505,"&lt;="&amp;$A290,実績!$AJ$6:$AJ$505,"&gt;"&amp;$A290,実績!$AL$6:$AL$505,"○")&gt;0,1,0))</f>
        <v>0</v>
      </c>
      <c r="AF290" s="39" t="n">
        <f aca="false">IF(AF$4=0,0,IF(COUNTIFS(実績!$W$6:$W$505,AF$3,実績!$AI$6:$AI$505,"&lt;="&amp;$A290,実績!$AJ$6:$AJ$505,"&gt;"&amp;$A290,実績!$AL$6:$AL$505,"○")&gt;0,1,0))</f>
        <v>0</v>
      </c>
      <c r="AG290" s="39" t="n">
        <f aca="false">IF(AG$4=0,0,IF(COUNTIFS(実績!$W$6:$W$505,AG$3,実績!$AI$6:$AI$505,"&lt;="&amp;$A290,実績!$AJ$6:$AJ$505,"&gt;"&amp;$A290,実績!$AL$6:$AL$505,"○")&gt;0,1,0))</f>
        <v>0</v>
      </c>
      <c r="AH290" s="39" t="n">
        <f aca="false">IF(AH$4=0,0,IF(COUNTIFS(実績!$W$6:$W$505,AH$3,実績!$AI$6:$AI$505,"&lt;="&amp;$A290,実績!$AJ$6:$AJ$505,"&gt;"&amp;$A290,実績!$AL$6:$AL$505,"○")&gt;0,1,0))</f>
        <v>0</v>
      </c>
      <c r="AI290" s="39" t="n">
        <f aca="false">IF(AI$4=0,0,IF(COUNTIFS(実績!$W$6:$W$505,AI$3,実績!$AI$6:$AI$505,"&lt;="&amp;$A290,実績!$AJ$6:$AJ$505,"&gt;"&amp;$A290,実績!$AL$6:$AL$505,"○")&gt;0,1,0))</f>
        <v>0</v>
      </c>
      <c r="AJ290" s="39" t="n">
        <f aca="false">IF(AJ$4=0,0,IF(COUNTIFS(実績!$W$6:$W$505,AJ$3,実績!$AI$6:$AI$505,"&lt;="&amp;$A290,実績!$AJ$6:$AJ$505,"&gt;"&amp;$A290,実績!$AL$6:$AL$505,"○")&gt;0,1,0))</f>
        <v>0</v>
      </c>
      <c r="AK290" s="39" t="n">
        <f aca="false">IF(AK$4=0,0,IF(COUNTIFS(実績!$W$6:$W$505,AK$3,実績!$AI$6:$AI$505,"&lt;="&amp;$A290,実績!$AJ$6:$AJ$505,"&gt;"&amp;$A290,実績!$AL$6:$AL$505,"○")&gt;0,1,0))</f>
        <v>0</v>
      </c>
      <c r="AL290" s="39" t="n">
        <f aca="false">IF(AL$4=0,0,IF(COUNTIFS(実績!$W$6:$W$505,AL$3,実績!$AI$6:$AI$505,"&lt;="&amp;$A290,実績!$AJ$6:$AJ$505,"&gt;"&amp;$A290,実績!$AL$6:$AL$505,"○")&gt;0,1,0))</f>
        <v>0</v>
      </c>
      <c r="AM290" s="39" t="n">
        <f aca="false">IF(AM$4=0,0,IF(COUNTIFS(実績!$W$6:$W$505,AM$3,実績!$AI$6:$AI$505,"&lt;="&amp;$A290,実績!$AJ$6:$AJ$505,"&gt;"&amp;$A290,実績!$AL$6:$AL$505,"○")&gt;0,1,0))</f>
        <v>0</v>
      </c>
      <c r="AN290" s="39" t="n">
        <f aca="false">IF(AN$4=0,0,IF(COUNTIFS(実績!$W$6:$W$505,AN$3,実績!$AI$6:$AI$505,"&lt;="&amp;$A290,実績!$AJ$6:$AJ$505,"&gt;"&amp;$A290,実績!$AL$6:$AL$505,"○")&gt;0,1,0))</f>
        <v>0</v>
      </c>
      <c r="AO290" s="39" t="n">
        <f aca="false">IF(AO$4=0,0,IF(COUNTIFS(実績!$W$6:$W$505,AO$3,実績!$AI$6:$AI$505,"&lt;="&amp;$A290,実績!$AJ$6:$AJ$505,"&gt;"&amp;$A290,実績!$AL$6:$AL$505,"○")&gt;0,1,0))</f>
        <v>0</v>
      </c>
      <c r="AP290" s="39" t="n">
        <f aca="false">IF(AP$4=0,0,IF(COUNTIFS(実績!$W$6:$W$505,AP$3,実績!$AI$6:$AI$505,"&lt;="&amp;$A290,実績!$AJ$6:$AJ$505,"&gt;"&amp;$A290,実績!$AL$6:$AL$505,"○")&gt;0,1,0))</f>
        <v>0</v>
      </c>
      <c r="AQ290" s="39" t="n">
        <f aca="false">IF(AQ$4=0,0,IF(COUNTIFS(実績!$W$6:$W$505,AQ$3,実績!$AI$6:$AI$505,"&lt;="&amp;$A290,実績!$AJ$6:$AJ$505,"&gt;"&amp;$A290,実績!$AL$6:$AL$505,"○")&gt;0,1,0))</f>
        <v>0</v>
      </c>
      <c r="AR290" s="39" t="n">
        <f aca="false">IF(AR$4=0,0,IF(COUNTIFS(実績!$W$6:$W$505,AR$3,実績!$AI$6:$AI$505,"&lt;="&amp;$A290,実績!$AJ$6:$AJ$505,"&gt;"&amp;$A290,実績!$AL$6:$AL$505,"○")&gt;0,1,0))</f>
        <v>0</v>
      </c>
      <c r="AS290" s="39" t="n">
        <f aca="false">IF(AS$4=0,0,IF(COUNTIFS(実績!$W$6:$W$505,AS$3,実績!$AI$6:$AI$505,"&lt;="&amp;$A290,実績!$AJ$6:$AJ$505,"&gt;"&amp;$A290,実績!$AL$6:$AL$505,"○")&gt;0,1,0))</f>
        <v>0</v>
      </c>
      <c r="AT290" s="39" t="n">
        <f aca="false">IF(AT$4=0,0,IF(COUNTIFS(実績!$W$6:$W$505,AT$3,実績!$AI$6:$AI$505,"&lt;="&amp;$A290,実績!$AJ$6:$AJ$505,"&gt;"&amp;$A290,実績!$AL$6:$AL$505,"○")&gt;0,1,0))</f>
        <v>0</v>
      </c>
      <c r="AU290" s="39" t="n">
        <f aca="false">IF(AU$4=0,0,IF(COUNTIFS(実績!$W$6:$W$505,AU$3,実績!$AI$6:$AI$505,"&lt;="&amp;$A290,実績!$AJ$6:$AJ$505,"&gt;"&amp;$A290,実績!$AL$6:$AL$505,"○")&gt;0,1,0))</f>
        <v>0</v>
      </c>
      <c r="AV290" s="39" t="n">
        <f aca="false">IF(AV$4=0,0,IF(COUNTIFS(実績!$W$6:$W$505,AV$3,実績!$AI$6:$AI$505,"&lt;="&amp;$A290,実績!$AJ$6:$AJ$505,"&gt;"&amp;$A290,実績!$AL$6:$AL$505,"○")&gt;0,1,0))</f>
        <v>0</v>
      </c>
      <c r="AW290" s="39" t="n">
        <f aca="false">IF(AW$4=0,0,IF(COUNTIFS(実績!$W$6:$W$505,AW$3,実績!$AI$6:$AI$505,"&lt;="&amp;$A290,実績!$AJ$6:$AJ$505,"&gt;"&amp;$A290,実績!$AL$6:$AL$505,"○")&gt;0,1,0))</f>
        <v>0</v>
      </c>
      <c r="AX290" s="39" t="n">
        <f aca="false">IF(AX$4=0,0,IF(COUNTIFS(実績!$W$6:$W$505,AX$3,実績!$AI$6:$AI$505,"&lt;="&amp;$A290,実績!$AJ$6:$AJ$505,"&gt;"&amp;$A290,実績!$AL$6:$AL$505,"○")&gt;0,1,0))</f>
        <v>0</v>
      </c>
      <c r="AY290" s="39" t="n">
        <f aca="false">IF(AY$4=0,0,IF(COUNTIFS(実績!$W$6:$W$505,AY$3,実績!$AI$6:$AI$505,"&lt;="&amp;$A290,実績!$AJ$6:$AJ$505,"&gt;"&amp;$A290,実績!$AL$6:$AL$505,"○")&gt;0,1,0))</f>
        <v>0</v>
      </c>
      <c r="AZ290" s="39" t="n">
        <f aca="false">IF(AZ$4=0,0,IF(COUNTIFS(実績!$W$6:$W$505,AZ$3,実績!$AI$6:$AI$505,"&lt;="&amp;$A290,実績!$AJ$6:$AJ$505,"&gt;"&amp;$A290,実績!$AL$6:$AL$505,"○")&gt;0,1,0))</f>
        <v>0</v>
      </c>
      <c r="BA290" s="39" t="n">
        <f aca="false">IF(BA$4=0,0,IF(COUNTIFS(実績!$W$6:$W$505,BA$3,実績!$AI$6:$AI$505,"&lt;="&amp;$A290,実績!$AJ$6:$AJ$505,"&gt;"&amp;$A290,実績!$AL$6:$AL$505,"○")&gt;0,1,0))</f>
        <v>0</v>
      </c>
      <c r="BB290" s="39" t="n">
        <f aca="false">IF(BB$4=0,0,IF(COUNTIFS(実績!$W$6:$W$505,BB$3,実績!$AI$6:$AI$505,"&lt;="&amp;$A290,実績!$AJ$6:$AJ$505,"&gt;"&amp;$A290,実績!$AL$6:$AL$505,"○")&gt;0,1,0))</f>
        <v>0</v>
      </c>
      <c r="BC290" s="39" t="n">
        <f aca="false">IF(BC$4=0,0,IF(COUNTIFS(実績!$W$6:$W$505,BC$3,実績!$AI$6:$AI$505,"&lt;="&amp;$A290,実績!$AJ$6:$AJ$505,"&gt;"&amp;$A290,実績!$AL$6:$AL$505,"○")&gt;0,1,0))</f>
        <v>0</v>
      </c>
      <c r="BD290" s="39" t="n">
        <f aca="false">IF(BD$4=0,0,IF(COUNTIFS(実績!$W$6:$W$505,BD$3,実績!$AI$6:$AI$505,"&lt;="&amp;$A290,実績!$AJ$6:$AJ$505,"&gt;"&amp;$A290,実績!$AL$6:$AL$505,"○")&gt;0,1,0))</f>
        <v>0</v>
      </c>
      <c r="BE290" s="39" t="n">
        <f aca="false">IF(BE$4=0,0,IF(COUNTIFS(実績!$W$6:$W$505,BE$3,実績!$AI$6:$AI$505,"&lt;="&amp;$A290,実績!$AJ$6:$AJ$505,"&gt;"&amp;$A290,実績!$AL$6:$AL$505,"○")&gt;0,1,0))</f>
        <v>0</v>
      </c>
      <c r="BF290" s="39" t="n">
        <f aca="false">IF(BF$4=0,0,IF(COUNTIFS(実績!$W$6:$W$505,BF$3,実績!$AI$6:$AI$505,"&lt;="&amp;$A290,実績!$AJ$6:$AJ$505,"&gt;"&amp;$A290,実績!$AL$6:$AL$505,"○")&gt;0,1,0))</f>
        <v>0</v>
      </c>
      <c r="BG290" s="39" t="n">
        <f aca="false">IF(BG$4=0,0,IF(COUNTIFS(実績!$W$6:$W$505,BG$3,実績!$AI$6:$AI$505,"&lt;="&amp;$A290,実績!$AJ$6:$AJ$505,"&gt;"&amp;$A290,実績!$AL$6:$AL$505,"○")&gt;0,1,0))</f>
        <v>0</v>
      </c>
      <c r="BH290" s="39" t="n">
        <f aca="false">IF(BH$4=0,0,IF(COUNTIFS(実績!$W$6:$W$505,BH$3,実績!$AI$6:$AI$505,"&lt;="&amp;$A290,実績!$AJ$6:$AJ$505,"&gt;"&amp;$A290,実績!$AL$6:$AL$505,"○")&gt;0,1,0))</f>
        <v>0</v>
      </c>
      <c r="BI290" s="39" t="n">
        <f aca="false">IF(BI$4=0,0,IF(COUNTIFS(実績!$W$6:$W$505,BI$3,実績!$AI$6:$AI$505,"&lt;="&amp;$A290,実績!$AJ$6:$AJ$505,"&gt;"&amp;$A290,実績!$AL$6:$AL$505,"○")&gt;0,1,0))</f>
        <v>0</v>
      </c>
      <c r="BJ290" s="39" t="n">
        <f aca="false">IF(BJ$4=0,0,IF(COUNTIFS(実績!$W$6:$W$505,BJ$3,実績!$AI$6:$AI$505,"&lt;="&amp;$A290,実績!$AJ$6:$AJ$505,"&gt;"&amp;$A290,実績!$AL$6:$AL$505,"○")&gt;0,1,0))</f>
        <v>0</v>
      </c>
      <c r="BK290" s="39" t="n">
        <f aca="false">IF(BK$4=0,0,IF(COUNTIFS(実績!$W$6:$W$505,BK$3,実績!$AI$6:$AI$505,"&lt;="&amp;$A290,実績!$AJ$6:$AJ$505,"&gt;"&amp;$A290,実績!$AL$6:$AL$505,"○")&gt;0,1,0))</f>
        <v>0</v>
      </c>
      <c r="BL290" s="39" t="n">
        <f aca="false">IF(BL$4=0,0,IF(COUNTIFS(実績!$W$6:$W$505,BL$3,実績!$AI$6:$AI$505,"&lt;="&amp;$A290,実績!$AJ$6:$AJ$505,"&gt;"&amp;$A290,実績!$AL$6:$AL$505,"○")&gt;0,1,0))</f>
        <v>0</v>
      </c>
      <c r="BM290" s="39" t="n">
        <f aca="false">IF(BM$4=0,0,IF(COUNTIFS(実績!$W$6:$W$505,BM$3,実績!$AI$6:$AI$505,"&lt;="&amp;$A290,実績!$AJ$6:$AJ$505,"&gt;"&amp;$A290,実績!$AL$6:$AL$505,"○")&gt;0,1,0))</f>
        <v>0</v>
      </c>
      <c r="BN290" s="39" t="n">
        <f aca="false">IF(BN$4=0,0,IF(COUNTIFS(実績!$W$6:$W$505,BN$3,実績!$AI$6:$AI$505,"&lt;="&amp;$A290,実績!$AJ$6:$AJ$505,"&gt;"&amp;$A290,実績!$AL$6:$AL$505,"○")&gt;0,1,0))</f>
        <v>0</v>
      </c>
      <c r="BO290" s="39" t="n">
        <f aca="false">IF(BO$4=0,0,IF(COUNTIFS(実績!$W$6:$W$505,BO$3,実績!$AI$6:$AI$505,"&lt;="&amp;$A290,実績!$AJ$6:$AJ$505,"&gt;"&amp;$A290,実績!$AL$6:$AL$505,"○")&gt;0,1,0))</f>
        <v>0</v>
      </c>
      <c r="BP290" s="39" t="n">
        <f aca="false">IF(BP$4=0,0,IF(COUNTIFS(実績!$W$6:$W$505,BP$3,実績!$AI$6:$AI$505,"&lt;="&amp;$A290,実績!$AJ$6:$AJ$505,"&gt;"&amp;$A290,実績!$AL$6:$AL$505,"○")&gt;0,1,0))</f>
        <v>0</v>
      </c>
      <c r="BQ290" s="39" t="n">
        <f aca="false">IF(BQ$4=0,0,IF(COUNTIFS(実績!$W$6:$W$505,BQ$3,実績!$AI$6:$AI$505,"&lt;="&amp;$A290,実績!$AJ$6:$AJ$505,"&gt;"&amp;$A290,実績!$AL$6:$AL$505,"○")&gt;0,1,0))</f>
        <v>0</v>
      </c>
      <c r="BR290" s="39" t="n">
        <f aca="false">IF(BR$4=0,0,IF(COUNTIFS(実績!$W$6:$W$505,BR$3,実績!$AI$6:$AI$505,"&lt;="&amp;$A290,実績!$AJ$6:$AJ$505,"&gt;"&amp;$A290,実績!$AL$6:$AL$505,"○")&gt;0,1,0))</f>
        <v>0</v>
      </c>
      <c r="BS290" s="39" t="n">
        <f aca="false">IF(BS$4=0,0,IF(COUNTIFS(実績!$W$6:$W$505,BS$3,実績!$AI$6:$AI$505,"&lt;="&amp;$A290,実績!$AJ$6:$AJ$505,"&gt;"&amp;$A290,実績!$AL$6:$AL$505,"○")&gt;0,1,0))</f>
        <v>0</v>
      </c>
      <c r="BT290" s="39" t="n">
        <f aca="false">IF(BT$4=0,0,IF(COUNTIFS(実績!$W$6:$W$505,BT$3,実績!$AI$6:$AI$505,"&lt;="&amp;$A290,実績!$AJ$6:$AJ$505,"&gt;"&amp;$A290,実績!$AL$6:$AL$505,"○")&gt;0,1,0))</f>
        <v>0</v>
      </c>
      <c r="BU290" s="39" t="n">
        <f aca="false">IF(BU$4=0,0,IF(COUNTIFS(実績!$W$6:$W$505,BU$3,実績!$AI$6:$AI$505,"&lt;="&amp;$A290,実績!$AJ$6:$AJ$505,"&gt;"&amp;$A290,実績!$AL$6:$AL$505,"○")&gt;0,1,0))</f>
        <v>0</v>
      </c>
      <c r="BV290" s="39" t="n">
        <f aca="false">IF(BV$4=0,0,IF(COUNTIFS(実績!$W$6:$W$505,BV$3,実績!$AI$6:$AI$505,"&lt;="&amp;$A290,実績!$AJ$6:$AJ$505,"&gt;"&amp;$A290,実績!$AL$6:$AL$505,"○")&gt;0,1,0))</f>
        <v>0</v>
      </c>
      <c r="BW290" s="39" t="n">
        <f aca="false">IF(BW$4=0,0,IF(COUNTIFS(実績!$W$6:$W$505,BW$3,実績!$AI$6:$AI$505,"&lt;="&amp;$A290,実績!$AJ$6:$AJ$505,"&gt;"&amp;$A290,実績!$AL$6:$AL$505,"○")&gt;0,1,0))</f>
        <v>0</v>
      </c>
      <c r="BX290" s="39" t="n">
        <f aca="false">IF(BX$4=0,0,IF(COUNTIFS(実績!$W$6:$W$505,BX$3,実績!$AI$6:$AI$505,"&lt;="&amp;$A290,実績!$AJ$6:$AJ$505,"&gt;"&amp;$A290,実績!$AL$6:$AL$505,"○")&gt;0,1,0))</f>
        <v>0</v>
      </c>
      <c r="BY290" s="39" t="n">
        <f aca="false">IF(BY$4=0,0,IF(COUNTIFS(実績!$W$6:$W$505,BY$3,実績!$AI$6:$AI$505,"&lt;="&amp;$A290,実績!$AJ$6:$AJ$505,"&gt;"&amp;$A290,実績!$AL$6:$AL$505,"○")&gt;0,1,0))</f>
        <v>0</v>
      </c>
      <c r="BZ290" s="39" t="n">
        <f aca="false">IF(BZ$4=0,0,IF(COUNTIFS(実績!$W$6:$W$505,BZ$3,実績!$AI$6:$AI$505,"&lt;="&amp;$A290,実績!$AJ$6:$AJ$505,"&gt;"&amp;$A290,実績!$AL$6:$AL$505,"○")&gt;0,1,0))</f>
        <v>0</v>
      </c>
      <c r="CA290" s="39" t="n">
        <f aca="false">IF(CA$4=0,0,IF(COUNTIFS(実績!$W$6:$W$505,CA$3,実績!$AI$6:$AI$505,"&lt;="&amp;$A290,実績!$AJ$6:$AJ$505,"&gt;"&amp;$A290,実績!$AL$6:$AL$505,"○")&gt;0,1,0))</f>
        <v>0</v>
      </c>
      <c r="CB290" s="39" t="n">
        <f aca="false">IF(CB$4=0,0,IF(COUNTIFS(実績!$W$6:$W$505,CB$3,実績!$AI$6:$AI$505,"&lt;="&amp;$A290,実績!$AJ$6:$AJ$505,"&gt;"&amp;$A290,実績!$AL$6:$AL$505,"○")&gt;0,1,0))</f>
        <v>0</v>
      </c>
      <c r="CC290" s="39" t="n">
        <f aca="false">IF(CC$4=0,0,IF(COUNTIFS(実績!$W$6:$W$505,CC$3,実績!$AI$6:$AI$505,"&lt;="&amp;$A290,実績!$AJ$6:$AJ$505,"&gt;"&amp;$A290,実績!$AL$6:$AL$505,"○")&gt;0,1,0))</f>
        <v>0</v>
      </c>
      <c r="CD290" s="39" t="n">
        <f aca="false">IF(CD$4=0,0,IF(COUNTIFS(実績!$W$6:$W$505,CD$3,実績!$AI$6:$AI$505,"&lt;="&amp;$A290,実績!$AJ$6:$AJ$505,"&gt;"&amp;$A290,実績!$AL$6:$AL$505,"○")&gt;0,1,0))</f>
        <v>0</v>
      </c>
      <c r="CE290" s="39" t="n">
        <f aca="false">IF(CE$4=0,0,IF(COUNTIFS(実績!$W$6:$W$505,CE$3,実績!$AI$6:$AI$505,"&lt;="&amp;$A290,実績!$AJ$6:$AJ$505,"&gt;"&amp;$A290,実績!$AL$6:$AL$505,"○")&gt;0,1,0))</f>
        <v>0</v>
      </c>
      <c r="CF290" s="39" t="n">
        <f aca="false">IF(CF$4=0,0,IF(COUNTIFS(実績!$W$6:$W$505,CF$3,実績!$AI$6:$AI$505,"&lt;="&amp;$A290,実績!$AJ$6:$AJ$505,"&gt;"&amp;$A290,実績!$AL$6:$AL$505,"○")&gt;0,1,0))</f>
        <v>0</v>
      </c>
      <c r="CG290" s="39" t="n">
        <f aca="false">IF(CG$4=0,0,IF(COUNTIFS(実績!$W$6:$W$505,CG$3,実績!$AI$6:$AI$505,"&lt;="&amp;$A290,実績!$AJ$6:$AJ$505,"&gt;"&amp;$A290,実績!$AL$6:$AL$505,"○")&gt;0,1,0))</f>
        <v>0</v>
      </c>
      <c r="CH290" s="39" t="n">
        <f aca="false">IF(CH$4=0,0,IF(COUNTIFS(実績!$W$6:$W$505,CH$3,実績!$AI$6:$AI$505,"&lt;="&amp;$A290,実績!$AJ$6:$AJ$505,"&gt;"&amp;$A290,実績!$AL$6:$AL$505,"○")&gt;0,1,0))</f>
        <v>0</v>
      </c>
      <c r="CI290" s="39" t="n">
        <f aca="false">IF(CI$4=0,0,IF(COUNTIFS(実績!$W$6:$W$505,CI$3,実績!$AI$6:$AI$505,"&lt;="&amp;$A290,実績!$AJ$6:$AJ$505,"&gt;"&amp;$A290,実績!$AL$6:$AL$505,"○")&gt;0,1,0))</f>
        <v>0</v>
      </c>
      <c r="CJ290" s="39" t="n">
        <f aca="false">IF(CJ$4=0,0,IF(COUNTIFS(実績!$W$6:$W$505,CJ$3,実績!$AI$6:$AI$505,"&lt;="&amp;$A290,実績!$AJ$6:$AJ$505,"&gt;"&amp;$A290,実績!$AL$6:$AL$505,"○")&gt;0,1,0))</f>
        <v>0</v>
      </c>
      <c r="CK290" s="39" t="n">
        <f aca="false">IF(CK$4=0,0,IF(COUNTIFS(実績!$W$6:$W$505,CK$3,実績!$AI$6:$AI$505,"&lt;="&amp;$A290,実績!$AJ$6:$AJ$505,"&gt;"&amp;$A290,実績!$AL$6:$AL$505,"○")&gt;0,1,0))</f>
        <v>0</v>
      </c>
      <c r="CL290" s="39" t="n">
        <f aca="false">IF(CL$4=0,0,IF(COUNTIFS(実績!$W$6:$W$505,CL$3,実績!$AI$6:$AI$505,"&lt;="&amp;$A290,実績!$AJ$6:$AJ$505,"&gt;"&amp;$A290,実績!$AL$6:$AL$505,"○")&gt;0,1,0))</f>
        <v>0</v>
      </c>
      <c r="CM290" s="39" t="n">
        <f aca="false">IF(CM$4=0,0,IF(COUNTIFS(実績!$W$6:$W$505,CM$3,実績!$AI$6:$AI$505,"&lt;="&amp;$A290,実績!$AJ$6:$AJ$505,"&gt;"&amp;$A290,実績!$AL$6:$AL$505,"○")&gt;0,1,0))</f>
        <v>0</v>
      </c>
      <c r="CN290" s="39" t="n">
        <f aca="false">IF(CN$4=0,0,IF(COUNTIFS(実績!$W$6:$W$505,CN$3,実績!$AI$6:$AI$505,"&lt;="&amp;$A290,実績!$AJ$6:$AJ$505,"&gt;"&amp;$A290,実績!$AL$6:$AL$505,"○")&gt;0,1,0))</f>
        <v>0</v>
      </c>
      <c r="CO290" s="39" t="n">
        <f aca="false">IF(CO$4=0,0,IF(COUNTIFS(実績!$W$6:$W$505,CO$3,実績!$AI$6:$AI$505,"&lt;="&amp;$A290,実績!$AJ$6:$AJ$505,"&gt;"&amp;$A290,実績!$AL$6:$AL$505,"○")&gt;0,1,0))</f>
        <v>0</v>
      </c>
      <c r="CP290" s="39" t="n">
        <f aca="false">IF(CP$4=0,0,IF(COUNTIFS(実績!$W$6:$W$505,CP$3,実績!$AI$6:$AI$505,"&lt;="&amp;$A290,実績!$AJ$6:$AJ$505,"&gt;"&amp;$A290,実績!$AL$6:$AL$505,"○")&gt;0,1,0))</f>
        <v>0</v>
      </c>
      <c r="CQ290" s="39" t="n">
        <f aca="false">IF(CQ$4=0,0,IF(COUNTIFS(実績!$W$6:$W$505,CQ$3,実績!$AI$6:$AI$505,"&lt;="&amp;$A290,実績!$AJ$6:$AJ$505,"&gt;"&amp;$A290,実績!$AL$6:$AL$505,"○")&gt;0,1,0))</f>
        <v>0</v>
      </c>
      <c r="CR290" s="39" t="n">
        <f aca="false">IF(CR$4=0,0,IF(COUNTIFS(実績!$W$6:$W$505,CR$3,実績!$AI$6:$AI$505,"&lt;="&amp;$A290,実績!$AJ$6:$AJ$505,"&gt;"&amp;$A290,実績!$AL$6:$AL$505,"○")&gt;0,1,0))</f>
        <v>0</v>
      </c>
      <c r="CS290" s="39" t="n">
        <f aca="false">IF(CS$4=0,0,IF(COUNTIFS(実績!$W$6:$W$505,CS$3,実績!$AI$6:$AI$505,"&lt;="&amp;$A290,実績!$AJ$6:$AJ$505,"&gt;"&amp;$A290,実績!$AL$6:$AL$505,"○")&gt;0,1,0))</f>
        <v>0</v>
      </c>
      <c r="CT290" s="39" t="n">
        <f aca="false">IF(CT$4=0,0,IF(COUNTIFS(実績!$W$6:$W$505,CT$3,実績!$AI$6:$AI$505,"&lt;="&amp;$A290,実績!$AJ$6:$AJ$505,"&gt;"&amp;$A290,実績!$AL$6:$AL$505,"○")&gt;0,1,0))</f>
        <v>0</v>
      </c>
      <c r="CU290" s="39" t="n">
        <f aca="false">IF(CU$4=0,0,IF(COUNTIFS(実績!$W$6:$W$505,CU$3,実績!$AI$6:$AI$505,"&lt;="&amp;$A290,実績!$AJ$6:$AJ$505,"&gt;"&amp;$A290,実績!$AL$6:$AL$505,"○")&gt;0,1,0))</f>
        <v>0</v>
      </c>
      <c r="CV290" s="39" t="n">
        <f aca="false">IF(CV$4=0,0,IF(COUNTIFS(実績!$W$6:$W$505,CV$3,実績!$AI$6:$AI$505,"&lt;="&amp;$A290,実績!$AJ$6:$AJ$505,"&gt;"&amp;$A290,実績!$AL$6:$AL$505,"○")&gt;0,1,0))</f>
        <v>0</v>
      </c>
      <c r="CW290" s="39" t="n">
        <f aca="false">IF(CW$4=0,0,IF(COUNTIFS(実績!$W$6:$W$505,CW$3,実績!$AI$6:$AI$505,"&lt;="&amp;$A290,実績!$AJ$6:$AJ$505,"&gt;"&amp;$A290,実績!$AL$6:$AL$505,"○")&gt;0,1,0))</f>
        <v>0</v>
      </c>
      <c r="CX290" s="39" t="n">
        <f aca="false">IF(CX$4=0,0,IF(COUNTIFS(実績!$W$6:$W$505,CX$3,実績!$AI$6:$AI$505,"&lt;="&amp;$A290,実績!$AJ$6:$AJ$505,"&gt;"&amp;$A290,実績!$AL$6:$AL$505,"○")&gt;0,1,0))</f>
        <v>0</v>
      </c>
      <c r="CY290" s="39" t="n">
        <f aca="false">IF(CY$4=0,0,IF(COUNTIFS(実績!$W$6:$W$505,CY$3,実績!$AI$6:$AI$505,"&lt;="&amp;$A290,実績!$AJ$6:$AJ$505,"&gt;"&amp;$A290,実績!$AL$6:$AL$505,"○")&gt;0,1,0))</f>
        <v>0</v>
      </c>
      <c r="CZ290" s="39" t="n">
        <f aca="false">IF(CZ$4=0,0,IF(COUNTIFS(実績!$W$6:$W$505,CZ$3,実績!$AI$6:$AI$505,"&lt;="&amp;$A290,実績!$AJ$6:$AJ$505,"&gt;"&amp;$A290,実績!$AL$6:$AL$505,"○")&gt;0,1,0))</f>
        <v>0</v>
      </c>
      <c r="DA290" s="39" t="n">
        <f aca="false">IF(DA$4=0,0,IF(COUNTIFS(実績!$W$6:$W$505,DA$3,実績!$AI$6:$AI$505,"&lt;="&amp;$A290,実績!$AJ$6:$AJ$505,"&gt;"&amp;$A290,実績!$AL$6:$AL$505,"○")&gt;0,1,0))</f>
        <v>0</v>
      </c>
      <c r="DB290" s="39" t="n">
        <f aca="false">IF(DB$4=0,0,IF(COUNTIFS(実績!$W$6:$W$505,DB$3,実績!$AI$6:$AI$505,"&lt;="&amp;$A290,実績!$AJ$6:$AJ$505,"&gt;"&amp;$A290,実績!$AL$6:$AL$505,"○")&gt;0,1,0))</f>
        <v>0</v>
      </c>
      <c r="DC290" s="39" t="n">
        <f aca="false">IF(DC$4=0,0,IF(COUNTIFS(実績!$W$6:$W$505,DC$3,実績!$AI$6:$AI$505,"&lt;="&amp;$A290,実績!$AJ$6:$AJ$505,"&gt;"&amp;$A290,実績!$AL$6:$AL$505,"○")&gt;0,1,0))</f>
        <v>0</v>
      </c>
      <c r="DD290" s="39" t="n">
        <f aca="false">IF(DD$4=0,0,IF(COUNTIFS(実績!$W$6:$W$505,DD$3,実績!$AI$6:$AI$505,"&lt;="&amp;$A290,実績!$AJ$6:$AJ$505,"&gt;"&amp;$A290,実績!$AL$6:$AL$505,"○")&gt;0,1,0))</f>
        <v>0</v>
      </c>
      <c r="DE290" s="39" t="n">
        <f aca="false">IF(DE$4=0,0,IF(COUNTIFS(実績!$W$6:$W$505,DE$3,実績!$AI$6:$AI$505,"&lt;="&amp;$A290,実績!$AJ$6:$AJ$505,"&gt;"&amp;$A290,実績!$AL$6:$AL$505,"○")&gt;0,1,0))</f>
        <v>0</v>
      </c>
      <c r="DF290" s="39" t="n">
        <f aca="false">IF(DF$4=0,0,IF(COUNTIFS(実績!$W$6:$W$505,DF$3,実績!$AI$6:$AI$505,"&lt;="&amp;$A290,実績!$AJ$6:$AJ$505,"&gt;"&amp;$A290,実績!$AL$6:$AL$505,"○")&gt;0,1,0))</f>
        <v>0</v>
      </c>
      <c r="DG290" s="39" t="n">
        <f aca="false">IF(DG$4=0,0,IF(COUNTIFS(実績!$W$6:$W$505,DG$3,実績!$AI$6:$AI$505,"&lt;="&amp;$A290,実績!$AJ$6:$AJ$505,"&gt;"&amp;$A290,実績!$AL$6:$AL$505,"○")&gt;0,1,0))</f>
        <v>0</v>
      </c>
      <c r="DH290" s="39" t="n">
        <f aca="false">IF(DH$4=0,0,IF(COUNTIFS(実績!$W$6:$W$505,DH$3,実績!$AI$6:$AI$505,"&lt;="&amp;$A290,実績!$AJ$6:$AJ$505,"&gt;"&amp;$A290,実績!$AL$6:$AL$505,"○")&gt;0,1,0))</f>
        <v>0</v>
      </c>
      <c r="DI290" s="39" t="n">
        <f aca="false">IF(DI$4=0,0,IF(COUNTIFS(実績!$W$6:$W$505,DI$3,実績!$AI$6:$AI$505,"&lt;="&amp;$A290,実績!$AJ$6:$AJ$505,"&gt;"&amp;$A290,実績!$AL$6:$AL$505,"○")&gt;0,1,0))</f>
        <v>0</v>
      </c>
      <c r="DJ290" s="39" t="n">
        <f aca="false">IF(DJ$4=0,0,IF(COUNTIFS(実績!$W$6:$W$505,DJ$3,実績!$AI$6:$AI$505,"&lt;="&amp;$A290,実績!$AJ$6:$AJ$505,"&gt;"&amp;$A290,実績!$AL$6:$AL$505,"○")&gt;0,1,0))</f>
        <v>0</v>
      </c>
      <c r="DK290" s="39" t="n">
        <f aca="false">IF(DK$4=0,0,IF(COUNTIFS(実績!$W$6:$W$505,DK$3,実績!$AI$6:$AI$505,"&lt;="&amp;$A290,実績!$AJ$6:$AJ$505,"&gt;"&amp;$A290,実績!$AL$6:$AL$505,"○")&gt;0,1,0))</f>
        <v>0</v>
      </c>
      <c r="DL290" s="39" t="n">
        <f aca="false">IF(DL$4=0,0,IF(COUNTIFS(実績!$W$6:$W$505,DL$3,実績!$AI$6:$AI$505,"&lt;="&amp;$A290,実績!$AJ$6:$AJ$505,"&gt;"&amp;$A290,実績!$AL$6:$AL$505,"○")&gt;0,1,0))</f>
        <v>0</v>
      </c>
      <c r="DM290" s="39" t="n">
        <f aca="false">IF(DM$4=0,0,IF(COUNTIFS(実績!$W$6:$W$505,DM$3,実績!$AI$6:$AI$505,"&lt;="&amp;$A290,実績!$AJ$6:$AJ$505,"&gt;"&amp;$A290,実績!$AL$6:$AL$505,"○")&gt;0,1,0))</f>
        <v>0</v>
      </c>
      <c r="DN290" s="39" t="n">
        <f aca="false">IF(DN$4=0,0,IF(COUNTIFS(実績!$W$6:$W$505,DN$3,実績!$AI$6:$AI$505,"&lt;="&amp;$A290,実績!$AJ$6:$AJ$505,"&gt;"&amp;$A290,実績!$AL$6:$AL$505,"○")&gt;0,1,0))</f>
        <v>0</v>
      </c>
      <c r="DO290" s="39" t="n">
        <f aca="false">IF(DO$4=0,0,IF(COUNTIFS(実績!$W$6:$W$505,DO$3,実績!$AI$6:$AI$505,"&lt;="&amp;$A290,実績!$AJ$6:$AJ$505,"&gt;"&amp;$A290,実績!$AL$6:$AL$505,"○")&gt;0,1,0))</f>
        <v>0</v>
      </c>
      <c r="DP290" s="39" t="n">
        <f aca="false">IF(DP$4=0,0,IF(COUNTIFS(実績!$W$6:$W$505,DP$3,実績!$AI$6:$AI$505,"&lt;="&amp;$A290,実績!$AJ$6:$AJ$505,"&gt;"&amp;$A290,実績!$AL$6:$AL$505,"○")&gt;0,1,0))</f>
        <v>0</v>
      </c>
      <c r="DQ290" s="39" t="n">
        <f aca="false">IF(DQ$4=0,0,IF(COUNTIFS(実績!$W$6:$W$505,DQ$3,実績!$AI$6:$AI$505,"&lt;="&amp;$A290,実績!$AJ$6:$AJ$505,"&gt;"&amp;$A290,実績!$AL$6:$AL$505,"○")&gt;0,1,0))</f>
        <v>0</v>
      </c>
      <c r="DR290" s="39" t="n">
        <f aca="false">IF(DR$4=0,0,IF(COUNTIFS(実績!$W$6:$W$505,DR$3,実績!$AI$6:$AI$505,"&lt;="&amp;$A290,実績!$AJ$6:$AJ$505,"&gt;"&amp;$A290,実績!$AL$6:$AL$505,"○")&gt;0,1,0))</f>
        <v>0</v>
      </c>
      <c r="DS290" s="39" t="n">
        <f aca="false">SUM(C290:DR290)</f>
        <v>0</v>
      </c>
    </row>
    <row r="291" customFormat="false" ht="15" hidden="false" customHeight="false" outlineLevel="0" collapsed="false">
      <c r="A291" s="0" t="n">
        <v>1425</v>
      </c>
      <c r="B291" s="38" t="n">
        <f aca="false">A291/1440</f>
        <v>0.989583333333333</v>
      </c>
      <c r="C291" s="39" t="n">
        <f aca="false">IF(C$4=0,0,IF(COUNTIFS(実績!$W$6:$W$505,C$3,実績!$AI$6:$AI$505,"&lt;="&amp;$A291,実績!$AJ$6:$AJ$505,"&gt;"&amp;$A291,実績!$AL$6:$AL$505,"○")&gt;0,1,0))</f>
        <v>0</v>
      </c>
      <c r="D291" s="39" t="n">
        <f aca="false">IF(D$4=0,0,IF(COUNTIFS(実績!$W$6:$W$505,D$3,実績!$AI$6:$AI$505,"&lt;="&amp;$A291,実績!$AJ$6:$AJ$505,"&gt;"&amp;$A291,実績!$AL$6:$AL$505,"○")&gt;0,1,0))</f>
        <v>0</v>
      </c>
      <c r="E291" s="39" t="n">
        <f aca="false">IF(E$4=0,0,IF(COUNTIFS(実績!$W$6:$W$505,E$3,実績!$AI$6:$AI$505,"&lt;="&amp;$A291,実績!$AJ$6:$AJ$505,"&gt;"&amp;$A291,実績!$AL$6:$AL$505,"○")&gt;0,1,0))</f>
        <v>0</v>
      </c>
      <c r="F291" s="39" t="n">
        <f aca="false">IF(F$4=0,0,IF(COUNTIFS(実績!$W$6:$W$505,F$3,実績!$AI$6:$AI$505,"&lt;="&amp;$A291,実績!$AJ$6:$AJ$505,"&gt;"&amp;$A291,実績!$AL$6:$AL$505,"○")&gt;0,1,0))</f>
        <v>0</v>
      </c>
      <c r="G291" s="39" t="n">
        <f aca="false">IF(G$4=0,0,IF(COUNTIFS(実績!$W$6:$W$505,G$3,実績!$AI$6:$AI$505,"&lt;="&amp;$A291,実績!$AJ$6:$AJ$505,"&gt;"&amp;$A291,実績!$AL$6:$AL$505,"○")&gt;0,1,0))</f>
        <v>0</v>
      </c>
      <c r="H291" s="39" t="n">
        <f aca="false">IF(H$4=0,0,IF(COUNTIFS(実績!$W$6:$W$505,H$3,実績!$AI$6:$AI$505,"&lt;="&amp;$A291,実績!$AJ$6:$AJ$505,"&gt;"&amp;$A291,実績!$AL$6:$AL$505,"○")&gt;0,1,0))</f>
        <v>0</v>
      </c>
      <c r="I291" s="39" t="n">
        <f aca="false">IF(I$4=0,0,IF(COUNTIFS(実績!$W$6:$W$505,I$3,実績!$AI$6:$AI$505,"&lt;="&amp;$A291,実績!$AJ$6:$AJ$505,"&gt;"&amp;$A291,実績!$AL$6:$AL$505,"○")&gt;0,1,0))</f>
        <v>0</v>
      </c>
      <c r="J291" s="39" t="n">
        <f aca="false">IF(J$4=0,0,IF(COUNTIFS(実績!$W$6:$W$505,J$3,実績!$AI$6:$AI$505,"&lt;="&amp;$A291,実績!$AJ$6:$AJ$505,"&gt;"&amp;$A291,実績!$AL$6:$AL$505,"○")&gt;0,1,0))</f>
        <v>0</v>
      </c>
      <c r="K291" s="39" t="n">
        <f aca="false">IF(K$4=0,0,IF(COUNTIFS(実績!$W$6:$W$505,K$3,実績!$AI$6:$AI$505,"&lt;="&amp;$A291,実績!$AJ$6:$AJ$505,"&gt;"&amp;$A291,実績!$AL$6:$AL$505,"○")&gt;0,1,0))</f>
        <v>0</v>
      </c>
      <c r="L291" s="39" t="n">
        <f aca="false">IF(L$4=0,0,IF(COUNTIFS(実績!$W$6:$W$505,L$3,実績!$AI$6:$AI$505,"&lt;="&amp;$A291,実績!$AJ$6:$AJ$505,"&gt;"&amp;$A291,実績!$AL$6:$AL$505,"○")&gt;0,1,0))</f>
        <v>0</v>
      </c>
      <c r="M291" s="39" t="n">
        <f aca="false">IF(M$4=0,0,IF(COUNTIFS(実績!$W$6:$W$505,M$3,実績!$AI$6:$AI$505,"&lt;="&amp;$A291,実績!$AJ$6:$AJ$505,"&gt;"&amp;$A291,実績!$AL$6:$AL$505,"○")&gt;0,1,0))</f>
        <v>0</v>
      </c>
      <c r="N291" s="39" t="n">
        <f aca="false">IF(N$4=0,0,IF(COUNTIFS(実績!$W$6:$W$505,N$3,実績!$AI$6:$AI$505,"&lt;="&amp;$A291,実績!$AJ$6:$AJ$505,"&gt;"&amp;$A291,実績!$AL$6:$AL$505,"○")&gt;0,1,0))</f>
        <v>0</v>
      </c>
      <c r="O291" s="39" t="n">
        <f aca="false">IF(O$4=0,0,IF(COUNTIFS(実績!$W$6:$W$505,O$3,実績!$AI$6:$AI$505,"&lt;="&amp;$A291,実績!$AJ$6:$AJ$505,"&gt;"&amp;$A291,実績!$AL$6:$AL$505,"○")&gt;0,1,0))</f>
        <v>0</v>
      </c>
      <c r="P291" s="39" t="n">
        <f aca="false">IF(P$4=0,0,IF(COUNTIFS(実績!$W$6:$W$505,P$3,実績!$AI$6:$AI$505,"&lt;="&amp;$A291,実績!$AJ$6:$AJ$505,"&gt;"&amp;$A291,実績!$AL$6:$AL$505,"○")&gt;0,1,0))</f>
        <v>0</v>
      </c>
      <c r="Q291" s="39" t="n">
        <f aca="false">IF(Q$4=0,0,IF(COUNTIFS(実績!$W$6:$W$505,Q$3,実績!$AI$6:$AI$505,"&lt;="&amp;$A291,実績!$AJ$6:$AJ$505,"&gt;"&amp;$A291,実績!$AL$6:$AL$505,"○")&gt;0,1,0))</f>
        <v>0</v>
      </c>
      <c r="R291" s="39" t="n">
        <f aca="false">IF(R$4=0,0,IF(COUNTIFS(実績!$W$6:$W$505,R$3,実績!$AI$6:$AI$505,"&lt;="&amp;$A291,実績!$AJ$6:$AJ$505,"&gt;"&amp;$A291,実績!$AL$6:$AL$505,"○")&gt;0,1,0))</f>
        <v>0</v>
      </c>
      <c r="S291" s="39" t="n">
        <f aca="false">IF(S$4=0,0,IF(COUNTIFS(実績!$W$6:$W$505,S$3,実績!$AI$6:$AI$505,"&lt;="&amp;$A291,実績!$AJ$6:$AJ$505,"&gt;"&amp;$A291,実績!$AL$6:$AL$505,"○")&gt;0,1,0))</f>
        <v>0</v>
      </c>
      <c r="T291" s="39" t="n">
        <f aca="false">IF(T$4=0,0,IF(COUNTIFS(実績!$W$6:$W$505,T$3,実績!$AI$6:$AI$505,"&lt;="&amp;$A291,実績!$AJ$6:$AJ$505,"&gt;"&amp;$A291,実績!$AL$6:$AL$505,"○")&gt;0,1,0))</f>
        <v>0</v>
      </c>
      <c r="U291" s="39" t="n">
        <f aca="false">IF(U$4=0,0,IF(COUNTIFS(実績!$W$6:$W$505,U$3,実績!$AI$6:$AI$505,"&lt;="&amp;$A291,実績!$AJ$6:$AJ$505,"&gt;"&amp;$A291,実績!$AL$6:$AL$505,"○")&gt;0,1,0))</f>
        <v>0</v>
      </c>
      <c r="V291" s="39" t="n">
        <f aca="false">IF(V$4=0,0,IF(COUNTIFS(実績!$W$6:$W$505,V$3,実績!$AI$6:$AI$505,"&lt;="&amp;$A291,実績!$AJ$6:$AJ$505,"&gt;"&amp;$A291,実績!$AL$6:$AL$505,"○")&gt;0,1,0))</f>
        <v>0</v>
      </c>
      <c r="W291" s="39" t="n">
        <f aca="false">IF(W$4=0,0,IF(COUNTIFS(実績!$W$6:$W$505,W$3,実績!$AI$6:$AI$505,"&lt;="&amp;$A291,実績!$AJ$6:$AJ$505,"&gt;"&amp;$A291,実績!$AL$6:$AL$505,"○")&gt;0,1,0))</f>
        <v>0</v>
      </c>
      <c r="X291" s="39" t="n">
        <f aca="false">IF(X$4=0,0,IF(COUNTIFS(実績!$W$6:$W$505,X$3,実績!$AI$6:$AI$505,"&lt;="&amp;$A291,実績!$AJ$6:$AJ$505,"&gt;"&amp;$A291,実績!$AL$6:$AL$505,"○")&gt;0,1,0))</f>
        <v>0</v>
      </c>
      <c r="Y291" s="39" t="n">
        <f aca="false">IF(Y$4=0,0,IF(COUNTIFS(実績!$W$6:$W$505,Y$3,実績!$AI$6:$AI$505,"&lt;="&amp;$A291,実績!$AJ$6:$AJ$505,"&gt;"&amp;$A291,実績!$AL$6:$AL$505,"○")&gt;0,1,0))</f>
        <v>0</v>
      </c>
      <c r="Z291" s="39" t="n">
        <f aca="false">IF(Z$4=0,0,IF(COUNTIFS(実績!$W$6:$W$505,Z$3,実績!$AI$6:$AI$505,"&lt;="&amp;$A291,実績!$AJ$6:$AJ$505,"&gt;"&amp;$A291,実績!$AL$6:$AL$505,"○")&gt;0,1,0))</f>
        <v>0</v>
      </c>
      <c r="AA291" s="39" t="n">
        <f aca="false">IF(AA$4=0,0,IF(COUNTIFS(実績!$W$6:$W$505,AA$3,実績!$AI$6:$AI$505,"&lt;="&amp;$A291,実績!$AJ$6:$AJ$505,"&gt;"&amp;$A291,実績!$AL$6:$AL$505,"○")&gt;0,1,0))</f>
        <v>0</v>
      </c>
      <c r="AB291" s="39" t="n">
        <f aca="false">IF(AB$4=0,0,IF(COUNTIFS(実績!$W$6:$W$505,AB$3,実績!$AI$6:$AI$505,"&lt;="&amp;$A291,実績!$AJ$6:$AJ$505,"&gt;"&amp;$A291,実績!$AL$6:$AL$505,"○")&gt;0,1,0))</f>
        <v>0</v>
      </c>
      <c r="AC291" s="39" t="n">
        <f aca="false">IF(AC$4=0,0,IF(COUNTIFS(実績!$W$6:$W$505,AC$3,実績!$AI$6:$AI$505,"&lt;="&amp;$A291,実績!$AJ$6:$AJ$505,"&gt;"&amp;$A291,実績!$AL$6:$AL$505,"○")&gt;0,1,0))</f>
        <v>0</v>
      </c>
      <c r="AD291" s="39" t="n">
        <f aca="false">IF(AD$4=0,0,IF(COUNTIFS(実績!$W$6:$W$505,AD$3,実績!$AI$6:$AI$505,"&lt;="&amp;$A291,実績!$AJ$6:$AJ$505,"&gt;"&amp;$A291,実績!$AL$6:$AL$505,"○")&gt;0,1,0))</f>
        <v>0</v>
      </c>
      <c r="AE291" s="39" t="n">
        <f aca="false">IF(AE$4=0,0,IF(COUNTIFS(実績!$W$6:$W$505,AE$3,実績!$AI$6:$AI$505,"&lt;="&amp;$A291,実績!$AJ$6:$AJ$505,"&gt;"&amp;$A291,実績!$AL$6:$AL$505,"○")&gt;0,1,0))</f>
        <v>0</v>
      </c>
      <c r="AF291" s="39" t="n">
        <f aca="false">IF(AF$4=0,0,IF(COUNTIFS(実績!$W$6:$W$505,AF$3,実績!$AI$6:$AI$505,"&lt;="&amp;$A291,実績!$AJ$6:$AJ$505,"&gt;"&amp;$A291,実績!$AL$6:$AL$505,"○")&gt;0,1,0))</f>
        <v>0</v>
      </c>
      <c r="AG291" s="39" t="n">
        <f aca="false">IF(AG$4=0,0,IF(COUNTIFS(実績!$W$6:$W$505,AG$3,実績!$AI$6:$AI$505,"&lt;="&amp;$A291,実績!$AJ$6:$AJ$505,"&gt;"&amp;$A291,実績!$AL$6:$AL$505,"○")&gt;0,1,0))</f>
        <v>0</v>
      </c>
      <c r="AH291" s="39" t="n">
        <f aca="false">IF(AH$4=0,0,IF(COUNTIFS(実績!$W$6:$W$505,AH$3,実績!$AI$6:$AI$505,"&lt;="&amp;$A291,実績!$AJ$6:$AJ$505,"&gt;"&amp;$A291,実績!$AL$6:$AL$505,"○")&gt;0,1,0))</f>
        <v>0</v>
      </c>
      <c r="AI291" s="39" t="n">
        <f aca="false">IF(AI$4=0,0,IF(COUNTIFS(実績!$W$6:$W$505,AI$3,実績!$AI$6:$AI$505,"&lt;="&amp;$A291,実績!$AJ$6:$AJ$505,"&gt;"&amp;$A291,実績!$AL$6:$AL$505,"○")&gt;0,1,0))</f>
        <v>0</v>
      </c>
      <c r="AJ291" s="39" t="n">
        <f aca="false">IF(AJ$4=0,0,IF(COUNTIFS(実績!$W$6:$W$505,AJ$3,実績!$AI$6:$AI$505,"&lt;="&amp;$A291,実績!$AJ$6:$AJ$505,"&gt;"&amp;$A291,実績!$AL$6:$AL$505,"○")&gt;0,1,0))</f>
        <v>0</v>
      </c>
      <c r="AK291" s="39" t="n">
        <f aca="false">IF(AK$4=0,0,IF(COUNTIFS(実績!$W$6:$W$505,AK$3,実績!$AI$6:$AI$505,"&lt;="&amp;$A291,実績!$AJ$6:$AJ$505,"&gt;"&amp;$A291,実績!$AL$6:$AL$505,"○")&gt;0,1,0))</f>
        <v>0</v>
      </c>
      <c r="AL291" s="39" t="n">
        <f aca="false">IF(AL$4=0,0,IF(COUNTIFS(実績!$W$6:$W$505,AL$3,実績!$AI$6:$AI$505,"&lt;="&amp;$A291,実績!$AJ$6:$AJ$505,"&gt;"&amp;$A291,実績!$AL$6:$AL$505,"○")&gt;0,1,0))</f>
        <v>0</v>
      </c>
      <c r="AM291" s="39" t="n">
        <f aca="false">IF(AM$4=0,0,IF(COUNTIFS(実績!$W$6:$W$505,AM$3,実績!$AI$6:$AI$505,"&lt;="&amp;$A291,実績!$AJ$6:$AJ$505,"&gt;"&amp;$A291,実績!$AL$6:$AL$505,"○")&gt;0,1,0))</f>
        <v>0</v>
      </c>
      <c r="AN291" s="39" t="n">
        <f aca="false">IF(AN$4=0,0,IF(COUNTIFS(実績!$W$6:$W$505,AN$3,実績!$AI$6:$AI$505,"&lt;="&amp;$A291,実績!$AJ$6:$AJ$505,"&gt;"&amp;$A291,実績!$AL$6:$AL$505,"○")&gt;0,1,0))</f>
        <v>0</v>
      </c>
      <c r="AO291" s="39" t="n">
        <f aca="false">IF(AO$4=0,0,IF(COUNTIFS(実績!$W$6:$W$505,AO$3,実績!$AI$6:$AI$505,"&lt;="&amp;$A291,実績!$AJ$6:$AJ$505,"&gt;"&amp;$A291,実績!$AL$6:$AL$505,"○")&gt;0,1,0))</f>
        <v>0</v>
      </c>
      <c r="AP291" s="39" t="n">
        <f aca="false">IF(AP$4=0,0,IF(COUNTIFS(実績!$W$6:$W$505,AP$3,実績!$AI$6:$AI$505,"&lt;="&amp;$A291,実績!$AJ$6:$AJ$505,"&gt;"&amp;$A291,実績!$AL$6:$AL$505,"○")&gt;0,1,0))</f>
        <v>0</v>
      </c>
      <c r="AQ291" s="39" t="n">
        <f aca="false">IF(AQ$4=0,0,IF(COUNTIFS(実績!$W$6:$W$505,AQ$3,実績!$AI$6:$AI$505,"&lt;="&amp;$A291,実績!$AJ$6:$AJ$505,"&gt;"&amp;$A291,実績!$AL$6:$AL$505,"○")&gt;0,1,0))</f>
        <v>0</v>
      </c>
      <c r="AR291" s="39" t="n">
        <f aca="false">IF(AR$4=0,0,IF(COUNTIFS(実績!$W$6:$W$505,AR$3,実績!$AI$6:$AI$505,"&lt;="&amp;$A291,実績!$AJ$6:$AJ$505,"&gt;"&amp;$A291,実績!$AL$6:$AL$505,"○")&gt;0,1,0))</f>
        <v>0</v>
      </c>
      <c r="AS291" s="39" t="n">
        <f aca="false">IF(AS$4=0,0,IF(COUNTIFS(実績!$W$6:$W$505,AS$3,実績!$AI$6:$AI$505,"&lt;="&amp;$A291,実績!$AJ$6:$AJ$505,"&gt;"&amp;$A291,実績!$AL$6:$AL$505,"○")&gt;0,1,0))</f>
        <v>0</v>
      </c>
      <c r="AT291" s="39" t="n">
        <f aca="false">IF(AT$4=0,0,IF(COUNTIFS(実績!$W$6:$W$505,AT$3,実績!$AI$6:$AI$505,"&lt;="&amp;$A291,実績!$AJ$6:$AJ$505,"&gt;"&amp;$A291,実績!$AL$6:$AL$505,"○")&gt;0,1,0))</f>
        <v>0</v>
      </c>
      <c r="AU291" s="39" t="n">
        <f aca="false">IF(AU$4=0,0,IF(COUNTIFS(実績!$W$6:$W$505,AU$3,実績!$AI$6:$AI$505,"&lt;="&amp;$A291,実績!$AJ$6:$AJ$505,"&gt;"&amp;$A291,実績!$AL$6:$AL$505,"○")&gt;0,1,0))</f>
        <v>0</v>
      </c>
      <c r="AV291" s="39" t="n">
        <f aca="false">IF(AV$4=0,0,IF(COUNTIFS(実績!$W$6:$W$505,AV$3,実績!$AI$6:$AI$505,"&lt;="&amp;$A291,実績!$AJ$6:$AJ$505,"&gt;"&amp;$A291,実績!$AL$6:$AL$505,"○")&gt;0,1,0))</f>
        <v>0</v>
      </c>
      <c r="AW291" s="39" t="n">
        <f aca="false">IF(AW$4=0,0,IF(COUNTIFS(実績!$W$6:$W$505,AW$3,実績!$AI$6:$AI$505,"&lt;="&amp;$A291,実績!$AJ$6:$AJ$505,"&gt;"&amp;$A291,実績!$AL$6:$AL$505,"○")&gt;0,1,0))</f>
        <v>0</v>
      </c>
      <c r="AX291" s="39" t="n">
        <f aca="false">IF(AX$4=0,0,IF(COUNTIFS(実績!$W$6:$W$505,AX$3,実績!$AI$6:$AI$505,"&lt;="&amp;$A291,実績!$AJ$6:$AJ$505,"&gt;"&amp;$A291,実績!$AL$6:$AL$505,"○")&gt;0,1,0))</f>
        <v>0</v>
      </c>
      <c r="AY291" s="39" t="n">
        <f aca="false">IF(AY$4=0,0,IF(COUNTIFS(実績!$W$6:$W$505,AY$3,実績!$AI$6:$AI$505,"&lt;="&amp;$A291,実績!$AJ$6:$AJ$505,"&gt;"&amp;$A291,実績!$AL$6:$AL$505,"○")&gt;0,1,0))</f>
        <v>0</v>
      </c>
      <c r="AZ291" s="39" t="n">
        <f aca="false">IF(AZ$4=0,0,IF(COUNTIFS(実績!$W$6:$W$505,AZ$3,実績!$AI$6:$AI$505,"&lt;="&amp;$A291,実績!$AJ$6:$AJ$505,"&gt;"&amp;$A291,実績!$AL$6:$AL$505,"○")&gt;0,1,0))</f>
        <v>0</v>
      </c>
      <c r="BA291" s="39" t="n">
        <f aca="false">IF(BA$4=0,0,IF(COUNTIFS(実績!$W$6:$W$505,BA$3,実績!$AI$6:$AI$505,"&lt;="&amp;$A291,実績!$AJ$6:$AJ$505,"&gt;"&amp;$A291,実績!$AL$6:$AL$505,"○")&gt;0,1,0))</f>
        <v>0</v>
      </c>
      <c r="BB291" s="39" t="n">
        <f aca="false">IF(BB$4=0,0,IF(COUNTIFS(実績!$W$6:$W$505,BB$3,実績!$AI$6:$AI$505,"&lt;="&amp;$A291,実績!$AJ$6:$AJ$505,"&gt;"&amp;$A291,実績!$AL$6:$AL$505,"○")&gt;0,1,0))</f>
        <v>0</v>
      </c>
      <c r="BC291" s="39" t="n">
        <f aca="false">IF(BC$4=0,0,IF(COUNTIFS(実績!$W$6:$W$505,BC$3,実績!$AI$6:$AI$505,"&lt;="&amp;$A291,実績!$AJ$6:$AJ$505,"&gt;"&amp;$A291,実績!$AL$6:$AL$505,"○")&gt;0,1,0))</f>
        <v>0</v>
      </c>
      <c r="BD291" s="39" t="n">
        <f aca="false">IF(BD$4=0,0,IF(COUNTIFS(実績!$W$6:$W$505,BD$3,実績!$AI$6:$AI$505,"&lt;="&amp;$A291,実績!$AJ$6:$AJ$505,"&gt;"&amp;$A291,実績!$AL$6:$AL$505,"○")&gt;0,1,0))</f>
        <v>0</v>
      </c>
      <c r="BE291" s="39" t="n">
        <f aca="false">IF(BE$4=0,0,IF(COUNTIFS(実績!$W$6:$W$505,BE$3,実績!$AI$6:$AI$505,"&lt;="&amp;$A291,実績!$AJ$6:$AJ$505,"&gt;"&amp;$A291,実績!$AL$6:$AL$505,"○")&gt;0,1,0))</f>
        <v>0</v>
      </c>
      <c r="BF291" s="39" t="n">
        <f aca="false">IF(BF$4=0,0,IF(COUNTIFS(実績!$W$6:$W$505,BF$3,実績!$AI$6:$AI$505,"&lt;="&amp;$A291,実績!$AJ$6:$AJ$505,"&gt;"&amp;$A291,実績!$AL$6:$AL$505,"○")&gt;0,1,0))</f>
        <v>0</v>
      </c>
      <c r="BG291" s="39" t="n">
        <f aca="false">IF(BG$4=0,0,IF(COUNTIFS(実績!$W$6:$W$505,BG$3,実績!$AI$6:$AI$505,"&lt;="&amp;$A291,実績!$AJ$6:$AJ$505,"&gt;"&amp;$A291,実績!$AL$6:$AL$505,"○")&gt;0,1,0))</f>
        <v>0</v>
      </c>
      <c r="BH291" s="39" t="n">
        <f aca="false">IF(BH$4=0,0,IF(COUNTIFS(実績!$W$6:$W$505,BH$3,実績!$AI$6:$AI$505,"&lt;="&amp;$A291,実績!$AJ$6:$AJ$505,"&gt;"&amp;$A291,実績!$AL$6:$AL$505,"○")&gt;0,1,0))</f>
        <v>0</v>
      </c>
      <c r="BI291" s="39" t="n">
        <f aca="false">IF(BI$4=0,0,IF(COUNTIFS(実績!$W$6:$W$505,BI$3,実績!$AI$6:$AI$505,"&lt;="&amp;$A291,実績!$AJ$6:$AJ$505,"&gt;"&amp;$A291,実績!$AL$6:$AL$505,"○")&gt;0,1,0))</f>
        <v>0</v>
      </c>
      <c r="BJ291" s="39" t="n">
        <f aca="false">IF(BJ$4=0,0,IF(COUNTIFS(実績!$W$6:$W$505,BJ$3,実績!$AI$6:$AI$505,"&lt;="&amp;$A291,実績!$AJ$6:$AJ$505,"&gt;"&amp;$A291,実績!$AL$6:$AL$505,"○")&gt;0,1,0))</f>
        <v>0</v>
      </c>
      <c r="BK291" s="39" t="n">
        <f aca="false">IF(BK$4=0,0,IF(COUNTIFS(実績!$W$6:$W$505,BK$3,実績!$AI$6:$AI$505,"&lt;="&amp;$A291,実績!$AJ$6:$AJ$505,"&gt;"&amp;$A291,実績!$AL$6:$AL$505,"○")&gt;0,1,0))</f>
        <v>0</v>
      </c>
      <c r="BL291" s="39" t="n">
        <f aca="false">IF(BL$4=0,0,IF(COUNTIFS(実績!$W$6:$W$505,BL$3,実績!$AI$6:$AI$505,"&lt;="&amp;$A291,実績!$AJ$6:$AJ$505,"&gt;"&amp;$A291,実績!$AL$6:$AL$505,"○")&gt;0,1,0))</f>
        <v>0</v>
      </c>
      <c r="BM291" s="39" t="n">
        <f aca="false">IF(BM$4=0,0,IF(COUNTIFS(実績!$W$6:$W$505,BM$3,実績!$AI$6:$AI$505,"&lt;="&amp;$A291,実績!$AJ$6:$AJ$505,"&gt;"&amp;$A291,実績!$AL$6:$AL$505,"○")&gt;0,1,0))</f>
        <v>0</v>
      </c>
      <c r="BN291" s="39" t="n">
        <f aca="false">IF(BN$4=0,0,IF(COUNTIFS(実績!$W$6:$W$505,BN$3,実績!$AI$6:$AI$505,"&lt;="&amp;$A291,実績!$AJ$6:$AJ$505,"&gt;"&amp;$A291,実績!$AL$6:$AL$505,"○")&gt;0,1,0))</f>
        <v>0</v>
      </c>
      <c r="BO291" s="39" t="n">
        <f aca="false">IF(BO$4=0,0,IF(COUNTIFS(実績!$W$6:$W$505,BO$3,実績!$AI$6:$AI$505,"&lt;="&amp;$A291,実績!$AJ$6:$AJ$505,"&gt;"&amp;$A291,実績!$AL$6:$AL$505,"○")&gt;0,1,0))</f>
        <v>0</v>
      </c>
      <c r="BP291" s="39" t="n">
        <f aca="false">IF(BP$4=0,0,IF(COUNTIFS(実績!$W$6:$W$505,BP$3,実績!$AI$6:$AI$505,"&lt;="&amp;$A291,実績!$AJ$6:$AJ$505,"&gt;"&amp;$A291,実績!$AL$6:$AL$505,"○")&gt;0,1,0))</f>
        <v>0</v>
      </c>
      <c r="BQ291" s="39" t="n">
        <f aca="false">IF(BQ$4=0,0,IF(COUNTIFS(実績!$W$6:$W$505,BQ$3,実績!$AI$6:$AI$505,"&lt;="&amp;$A291,実績!$AJ$6:$AJ$505,"&gt;"&amp;$A291,実績!$AL$6:$AL$505,"○")&gt;0,1,0))</f>
        <v>0</v>
      </c>
      <c r="BR291" s="39" t="n">
        <f aca="false">IF(BR$4=0,0,IF(COUNTIFS(実績!$W$6:$W$505,BR$3,実績!$AI$6:$AI$505,"&lt;="&amp;$A291,実績!$AJ$6:$AJ$505,"&gt;"&amp;$A291,実績!$AL$6:$AL$505,"○")&gt;0,1,0))</f>
        <v>0</v>
      </c>
      <c r="BS291" s="39" t="n">
        <f aca="false">IF(BS$4=0,0,IF(COUNTIFS(実績!$W$6:$W$505,BS$3,実績!$AI$6:$AI$505,"&lt;="&amp;$A291,実績!$AJ$6:$AJ$505,"&gt;"&amp;$A291,実績!$AL$6:$AL$505,"○")&gt;0,1,0))</f>
        <v>0</v>
      </c>
      <c r="BT291" s="39" t="n">
        <f aca="false">IF(BT$4=0,0,IF(COUNTIFS(実績!$W$6:$W$505,BT$3,実績!$AI$6:$AI$505,"&lt;="&amp;$A291,実績!$AJ$6:$AJ$505,"&gt;"&amp;$A291,実績!$AL$6:$AL$505,"○")&gt;0,1,0))</f>
        <v>0</v>
      </c>
      <c r="BU291" s="39" t="n">
        <f aca="false">IF(BU$4=0,0,IF(COUNTIFS(実績!$W$6:$W$505,BU$3,実績!$AI$6:$AI$505,"&lt;="&amp;$A291,実績!$AJ$6:$AJ$505,"&gt;"&amp;$A291,実績!$AL$6:$AL$505,"○")&gt;0,1,0))</f>
        <v>0</v>
      </c>
      <c r="BV291" s="39" t="n">
        <f aca="false">IF(BV$4=0,0,IF(COUNTIFS(実績!$W$6:$W$505,BV$3,実績!$AI$6:$AI$505,"&lt;="&amp;$A291,実績!$AJ$6:$AJ$505,"&gt;"&amp;$A291,実績!$AL$6:$AL$505,"○")&gt;0,1,0))</f>
        <v>0</v>
      </c>
      <c r="BW291" s="39" t="n">
        <f aca="false">IF(BW$4=0,0,IF(COUNTIFS(実績!$W$6:$W$505,BW$3,実績!$AI$6:$AI$505,"&lt;="&amp;$A291,実績!$AJ$6:$AJ$505,"&gt;"&amp;$A291,実績!$AL$6:$AL$505,"○")&gt;0,1,0))</f>
        <v>0</v>
      </c>
      <c r="BX291" s="39" t="n">
        <f aca="false">IF(BX$4=0,0,IF(COUNTIFS(実績!$W$6:$W$505,BX$3,実績!$AI$6:$AI$505,"&lt;="&amp;$A291,実績!$AJ$6:$AJ$505,"&gt;"&amp;$A291,実績!$AL$6:$AL$505,"○")&gt;0,1,0))</f>
        <v>0</v>
      </c>
      <c r="BY291" s="39" t="n">
        <f aca="false">IF(BY$4=0,0,IF(COUNTIFS(実績!$W$6:$W$505,BY$3,実績!$AI$6:$AI$505,"&lt;="&amp;$A291,実績!$AJ$6:$AJ$505,"&gt;"&amp;$A291,実績!$AL$6:$AL$505,"○")&gt;0,1,0))</f>
        <v>0</v>
      </c>
      <c r="BZ291" s="39" t="n">
        <f aca="false">IF(BZ$4=0,0,IF(COUNTIFS(実績!$W$6:$W$505,BZ$3,実績!$AI$6:$AI$505,"&lt;="&amp;$A291,実績!$AJ$6:$AJ$505,"&gt;"&amp;$A291,実績!$AL$6:$AL$505,"○")&gt;0,1,0))</f>
        <v>0</v>
      </c>
      <c r="CA291" s="39" t="n">
        <f aca="false">IF(CA$4=0,0,IF(COUNTIFS(実績!$W$6:$W$505,CA$3,実績!$AI$6:$AI$505,"&lt;="&amp;$A291,実績!$AJ$6:$AJ$505,"&gt;"&amp;$A291,実績!$AL$6:$AL$505,"○")&gt;0,1,0))</f>
        <v>0</v>
      </c>
      <c r="CB291" s="39" t="n">
        <f aca="false">IF(CB$4=0,0,IF(COUNTIFS(実績!$W$6:$W$505,CB$3,実績!$AI$6:$AI$505,"&lt;="&amp;$A291,実績!$AJ$6:$AJ$505,"&gt;"&amp;$A291,実績!$AL$6:$AL$505,"○")&gt;0,1,0))</f>
        <v>0</v>
      </c>
      <c r="CC291" s="39" t="n">
        <f aca="false">IF(CC$4=0,0,IF(COUNTIFS(実績!$W$6:$W$505,CC$3,実績!$AI$6:$AI$505,"&lt;="&amp;$A291,実績!$AJ$6:$AJ$505,"&gt;"&amp;$A291,実績!$AL$6:$AL$505,"○")&gt;0,1,0))</f>
        <v>0</v>
      </c>
      <c r="CD291" s="39" t="n">
        <f aca="false">IF(CD$4=0,0,IF(COUNTIFS(実績!$W$6:$W$505,CD$3,実績!$AI$6:$AI$505,"&lt;="&amp;$A291,実績!$AJ$6:$AJ$505,"&gt;"&amp;$A291,実績!$AL$6:$AL$505,"○")&gt;0,1,0))</f>
        <v>0</v>
      </c>
      <c r="CE291" s="39" t="n">
        <f aca="false">IF(CE$4=0,0,IF(COUNTIFS(実績!$W$6:$W$505,CE$3,実績!$AI$6:$AI$505,"&lt;="&amp;$A291,実績!$AJ$6:$AJ$505,"&gt;"&amp;$A291,実績!$AL$6:$AL$505,"○")&gt;0,1,0))</f>
        <v>0</v>
      </c>
      <c r="CF291" s="39" t="n">
        <f aca="false">IF(CF$4=0,0,IF(COUNTIFS(実績!$W$6:$W$505,CF$3,実績!$AI$6:$AI$505,"&lt;="&amp;$A291,実績!$AJ$6:$AJ$505,"&gt;"&amp;$A291,実績!$AL$6:$AL$505,"○")&gt;0,1,0))</f>
        <v>0</v>
      </c>
      <c r="CG291" s="39" t="n">
        <f aca="false">IF(CG$4=0,0,IF(COUNTIFS(実績!$W$6:$W$505,CG$3,実績!$AI$6:$AI$505,"&lt;="&amp;$A291,実績!$AJ$6:$AJ$505,"&gt;"&amp;$A291,実績!$AL$6:$AL$505,"○")&gt;0,1,0))</f>
        <v>0</v>
      </c>
      <c r="CH291" s="39" t="n">
        <f aca="false">IF(CH$4=0,0,IF(COUNTIFS(実績!$W$6:$W$505,CH$3,実績!$AI$6:$AI$505,"&lt;="&amp;$A291,実績!$AJ$6:$AJ$505,"&gt;"&amp;$A291,実績!$AL$6:$AL$505,"○")&gt;0,1,0))</f>
        <v>0</v>
      </c>
      <c r="CI291" s="39" t="n">
        <f aca="false">IF(CI$4=0,0,IF(COUNTIFS(実績!$W$6:$W$505,CI$3,実績!$AI$6:$AI$505,"&lt;="&amp;$A291,実績!$AJ$6:$AJ$505,"&gt;"&amp;$A291,実績!$AL$6:$AL$505,"○")&gt;0,1,0))</f>
        <v>0</v>
      </c>
      <c r="CJ291" s="39" t="n">
        <f aca="false">IF(CJ$4=0,0,IF(COUNTIFS(実績!$W$6:$W$505,CJ$3,実績!$AI$6:$AI$505,"&lt;="&amp;$A291,実績!$AJ$6:$AJ$505,"&gt;"&amp;$A291,実績!$AL$6:$AL$505,"○")&gt;0,1,0))</f>
        <v>0</v>
      </c>
      <c r="CK291" s="39" t="n">
        <f aca="false">IF(CK$4=0,0,IF(COUNTIFS(実績!$W$6:$W$505,CK$3,実績!$AI$6:$AI$505,"&lt;="&amp;$A291,実績!$AJ$6:$AJ$505,"&gt;"&amp;$A291,実績!$AL$6:$AL$505,"○")&gt;0,1,0))</f>
        <v>0</v>
      </c>
      <c r="CL291" s="39" t="n">
        <f aca="false">IF(CL$4=0,0,IF(COUNTIFS(実績!$W$6:$W$505,CL$3,実績!$AI$6:$AI$505,"&lt;="&amp;$A291,実績!$AJ$6:$AJ$505,"&gt;"&amp;$A291,実績!$AL$6:$AL$505,"○")&gt;0,1,0))</f>
        <v>0</v>
      </c>
      <c r="CM291" s="39" t="n">
        <f aca="false">IF(CM$4=0,0,IF(COUNTIFS(実績!$W$6:$W$505,CM$3,実績!$AI$6:$AI$505,"&lt;="&amp;$A291,実績!$AJ$6:$AJ$505,"&gt;"&amp;$A291,実績!$AL$6:$AL$505,"○")&gt;0,1,0))</f>
        <v>0</v>
      </c>
      <c r="CN291" s="39" t="n">
        <f aca="false">IF(CN$4=0,0,IF(COUNTIFS(実績!$W$6:$W$505,CN$3,実績!$AI$6:$AI$505,"&lt;="&amp;$A291,実績!$AJ$6:$AJ$505,"&gt;"&amp;$A291,実績!$AL$6:$AL$505,"○")&gt;0,1,0))</f>
        <v>0</v>
      </c>
      <c r="CO291" s="39" t="n">
        <f aca="false">IF(CO$4=0,0,IF(COUNTIFS(実績!$W$6:$W$505,CO$3,実績!$AI$6:$AI$505,"&lt;="&amp;$A291,実績!$AJ$6:$AJ$505,"&gt;"&amp;$A291,実績!$AL$6:$AL$505,"○")&gt;0,1,0))</f>
        <v>0</v>
      </c>
      <c r="CP291" s="39" t="n">
        <f aca="false">IF(CP$4=0,0,IF(COUNTIFS(実績!$W$6:$W$505,CP$3,実績!$AI$6:$AI$505,"&lt;="&amp;$A291,実績!$AJ$6:$AJ$505,"&gt;"&amp;$A291,実績!$AL$6:$AL$505,"○")&gt;0,1,0))</f>
        <v>0</v>
      </c>
      <c r="CQ291" s="39" t="n">
        <f aca="false">IF(CQ$4=0,0,IF(COUNTIFS(実績!$W$6:$W$505,CQ$3,実績!$AI$6:$AI$505,"&lt;="&amp;$A291,実績!$AJ$6:$AJ$505,"&gt;"&amp;$A291,実績!$AL$6:$AL$505,"○")&gt;0,1,0))</f>
        <v>0</v>
      </c>
      <c r="CR291" s="39" t="n">
        <f aca="false">IF(CR$4=0,0,IF(COUNTIFS(実績!$W$6:$W$505,CR$3,実績!$AI$6:$AI$505,"&lt;="&amp;$A291,実績!$AJ$6:$AJ$505,"&gt;"&amp;$A291,実績!$AL$6:$AL$505,"○")&gt;0,1,0))</f>
        <v>0</v>
      </c>
      <c r="CS291" s="39" t="n">
        <f aca="false">IF(CS$4=0,0,IF(COUNTIFS(実績!$W$6:$W$505,CS$3,実績!$AI$6:$AI$505,"&lt;="&amp;$A291,実績!$AJ$6:$AJ$505,"&gt;"&amp;$A291,実績!$AL$6:$AL$505,"○")&gt;0,1,0))</f>
        <v>0</v>
      </c>
      <c r="CT291" s="39" t="n">
        <f aca="false">IF(CT$4=0,0,IF(COUNTIFS(実績!$W$6:$W$505,CT$3,実績!$AI$6:$AI$505,"&lt;="&amp;$A291,実績!$AJ$6:$AJ$505,"&gt;"&amp;$A291,実績!$AL$6:$AL$505,"○")&gt;0,1,0))</f>
        <v>0</v>
      </c>
      <c r="CU291" s="39" t="n">
        <f aca="false">IF(CU$4=0,0,IF(COUNTIFS(実績!$W$6:$W$505,CU$3,実績!$AI$6:$AI$505,"&lt;="&amp;$A291,実績!$AJ$6:$AJ$505,"&gt;"&amp;$A291,実績!$AL$6:$AL$505,"○")&gt;0,1,0))</f>
        <v>0</v>
      </c>
      <c r="CV291" s="39" t="n">
        <f aca="false">IF(CV$4=0,0,IF(COUNTIFS(実績!$W$6:$W$505,CV$3,実績!$AI$6:$AI$505,"&lt;="&amp;$A291,実績!$AJ$6:$AJ$505,"&gt;"&amp;$A291,実績!$AL$6:$AL$505,"○")&gt;0,1,0))</f>
        <v>0</v>
      </c>
      <c r="CW291" s="39" t="n">
        <f aca="false">IF(CW$4=0,0,IF(COUNTIFS(実績!$W$6:$W$505,CW$3,実績!$AI$6:$AI$505,"&lt;="&amp;$A291,実績!$AJ$6:$AJ$505,"&gt;"&amp;$A291,実績!$AL$6:$AL$505,"○")&gt;0,1,0))</f>
        <v>0</v>
      </c>
      <c r="CX291" s="39" t="n">
        <f aca="false">IF(CX$4=0,0,IF(COUNTIFS(実績!$W$6:$W$505,CX$3,実績!$AI$6:$AI$505,"&lt;="&amp;$A291,実績!$AJ$6:$AJ$505,"&gt;"&amp;$A291,実績!$AL$6:$AL$505,"○")&gt;0,1,0))</f>
        <v>0</v>
      </c>
      <c r="CY291" s="39" t="n">
        <f aca="false">IF(CY$4=0,0,IF(COUNTIFS(実績!$W$6:$W$505,CY$3,実績!$AI$6:$AI$505,"&lt;="&amp;$A291,実績!$AJ$6:$AJ$505,"&gt;"&amp;$A291,実績!$AL$6:$AL$505,"○")&gt;0,1,0))</f>
        <v>0</v>
      </c>
      <c r="CZ291" s="39" t="n">
        <f aca="false">IF(CZ$4=0,0,IF(COUNTIFS(実績!$W$6:$W$505,CZ$3,実績!$AI$6:$AI$505,"&lt;="&amp;$A291,実績!$AJ$6:$AJ$505,"&gt;"&amp;$A291,実績!$AL$6:$AL$505,"○")&gt;0,1,0))</f>
        <v>0</v>
      </c>
      <c r="DA291" s="39" t="n">
        <f aca="false">IF(DA$4=0,0,IF(COUNTIFS(実績!$W$6:$W$505,DA$3,実績!$AI$6:$AI$505,"&lt;="&amp;$A291,実績!$AJ$6:$AJ$505,"&gt;"&amp;$A291,実績!$AL$6:$AL$505,"○")&gt;0,1,0))</f>
        <v>0</v>
      </c>
      <c r="DB291" s="39" t="n">
        <f aca="false">IF(DB$4=0,0,IF(COUNTIFS(実績!$W$6:$W$505,DB$3,実績!$AI$6:$AI$505,"&lt;="&amp;$A291,実績!$AJ$6:$AJ$505,"&gt;"&amp;$A291,実績!$AL$6:$AL$505,"○")&gt;0,1,0))</f>
        <v>0</v>
      </c>
      <c r="DC291" s="39" t="n">
        <f aca="false">IF(DC$4=0,0,IF(COUNTIFS(実績!$W$6:$W$505,DC$3,実績!$AI$6:$AI$505,"&lt;="&amp;$A291,実績!$AJ$6:$AJ$505,"&gt;"&amp;$A291,実績!$AL$6:$AL$505,"○")&gt;0,1,0))</f>
        <v>0</v>
      </c>
      <c r="DD291" s="39" t="n">
        <f aca="false">IF(DD$4=0,0,IF(COUNTIFS(実績!$W$6:$W$505,DD$3,実績!$AI$6:$AI$505,"&lt;="&amp;$A291,実績!$AJ$6:$AJ$505,"&gt;"&amp;$A291,実績!$AL$6:$AL$505,"○")&gt;0,1,0))</f>
        <v>0</v>
      </c>
      <c r="DE291" s="39" t="n">
        <f aca="false">IF(DE$4=0,0,IF(COUNTIFS(実績!$W$6:$W$505,DE$3,実績!$AI$6:$AI$505,"&lt;="&amp;$A291,実績!$AJ$6:$AJ$505,"&gt;"&amp;$A291,実績!$AL$6:$AL$505,"○")&gt;0,1,0))</f>
        <v>0</v>
      </c>
      <c r="DF291" s="39" t="n">
        <f aca="false">IF(DF$4=0,0,IF(COUNTIFS(実績!$W$6:$W$505,DF$3,実績!$AI$6:$AI$505,"&lt;="&amp;$A291,実績!$AJ$6:$AJ$505,"&gt;"&amp;$A291,実績!$AL$6:$AL$505,"○")&gt;0,1,0))</f>
        <v>0</v>
      </c>
      <c r="DG291" s="39" t="n">
        <f aca="false">IF(DG$4=0,0,IF(COUNTIFS(実績!$W$6:$W$505,DG$3,実績!$AI$6:$AI$505,"&lt;="&amp;$A291,実績!$AJ$6:$AJ$505,"&gt;"&amp;$A291,実績!$AL$6:$AL$505,"○")&gt;0,1,0))</f>
        <v>0</v>
      </c>
      <c r="DH291" s="39" t="n">
        <f aca="false">IF(DH$4=0,0,IF(COUNTIFS(実績!$W$6:$W$505,DH$3,実績!$AI$6:$AI$505,"&lt;="&amp;$A291,実績!$AJ$6:$AJ$505,"&gt;"&amp;$A291,実績!$AL$6:$AL$505,"○")&gt;0,1,0))</f>
        <v>0</v>
      </c>
      <c r="DI291" s="39" t="n">
        <f aca="false">IF(DI$4=0,0,IF(COUNTIFS(実績!$W$6:$W$505,DI$3,実績!$AI$6:$AI$505,"&lt;="&amp;$A291,実績!$AJ$6:$AJ$505,"&gt;"&amp;$A291,実績!$AL$6:$AL$505,"○")&gt;0,1,0))</f>
        <v>0</v>
      </c>
      <c r="DJ291" s="39" t="n">
        <f aca="false">IF(DJ$4=0,0,IF(COUNTIFS(実績!$W$6:$W$505,DJ$3,実績!$AI$6:$AI$505,"&lt;="&amp;$A291,実績!$AJ$6:$AJ$505,"&gt;"&amp;$A291,実績!$AL$6:$AL$505,"○")&gt;0,1,0))</f>
        <v>0</v>
      </c>
      <c r="DK291" s="39" t="n">
        <f aca="false">IF(DK$4=0,0,IF(COUNTIFS(実績!$W$6:$W$505,DK$3,実績!$AI$6:$AI$505,"&lt;="&amp;$A291,実績!$AJ$6:$AJ$505,"&gt;"&amp;$A291,実績!$AL$6:$AL$505,"○")&gt;0,1,0))</f>
        <v>0</v>
      </c>
      <c r="DL291" s="39" t="n">
        <f aca="false">IF(DL$4=0,0,IF(COUNTIFS(実績!$W$6:$W$505,DL$3,実績!$AI$6:$AI$505,"&lt;="&amp;$A291,実績!$AJ$6:$AJ$505,"&gt;"&amp;$A291,実績!$AL$6:$AL$505,"○")&gt;0,1,0))</f>
        <v>0</v>
      </c>
      <c r="DM291" s="39" t="n">
        <f aca="false">IF(DM$4=0,0,IF(COUNTIFS(実績!$W$6:$W$505,DM$3,実績!$AI$6:$AI$505,"&lt;="&amp;$A291,実績!$AJ$6:$AJ$505,"&gt;"&amp;$A291,実績!$AL$6:$AL$505,"○")&gt;0,1,0))</f>
        <v>0</v>
      </c>
      <c r="DN291" s="39" t="n">
        <f aca="false">IF(DN$4=0,0,IF(COUNTIFS(実績!$W$6:$W$505,DN$3,実績!$AI$6:$AI$505,"&lt;="&amp;$A291,実績!$AJ$6:$AJ$505,"&gt;"&amp;$A291,実績!$AL$6:$AL$505,"○")&gt;0,1,0))</f>
        <v>0</v>
      </c>
      <c r="DO291" s="39" t="n">
        <f aca="false">IF(DO$4=0,0,IF(COUNTIFS(実績!$W$6:$W$505,DO$3,実績!$AI$6:$AI$505,"&lt;="&amp;$A291,実績!$AJ$6:$AJ$505,"&gt;"&amp;$A291,実績!$AL$6:$AL$505,"○")&gt;0,1,0))</f>
        <v>0</v>
      </c>
      <c r="DP291" s="39" t="n">
        <f aca="false">IF(DP$4=0,0,IF(COUNTIFS(実績!$W$6:$W$505,DP$3,実績!$AI$6:$AI$505,"&lt;="&amp;$A291,実績!$AJ$6:$AJ$505,"&gt;"&amp;$A291,実績!$AL$6:$AL$505,"○")&gt;0,1,0))</f>
        <v>0</v>
      </c>
      <c r="DQ291" s="39" t="n">
        <f aca="false">IF(DQ$4=0,0,IF(COUNTIFS(実績!$W$6:$W$505,DQ$3,実績!$AI$6:$AI$505,"&lt;="&amp;$A291,実績!$AJ$6:$AJ$505,"&gt;"&amp;$A291,実績!$AL$6:$AL$505,"○")&gt;0,1,0))</f>
        <v>0</v>
      </c>
      <c r="DR291" s="39" t="n">
        <f aca="false">IF(DR$4=0,0,IF(COUNTIFS(実績!$W$6:$W$505,DR$3,実績!$AI$6:$AI$505,"&lt;="&amp;$A291,実績!$AJ$6:$AJ$505,"&gt;"&amp;$A291,実績!$AL$6:$AL$505,"○")&gt;0,1,0))</f>
        <v>0</v>
      </c>
      <c r="DS291" s="39" t="n">
        <f aca="false">SUM(C291:DR291)</f>
        <v>0</v>
      </c>
    </row>
    <row r="292" customFormat="false" ht="15" hidden="false" customHeight="false" outlineLevel="0" collapsed="false">
      <c r="A292" s="0" t="n">
        <v>1430</v>
      </c>
      <c r="B292" s="38" t="n">
        <f aca="false">A292/1440</f>
        <v>0.993055555555556</v>
      </c>
      <c r="C292" s="39" t="n">
        <f aca="false">IF(C$4=0,0,IF(COUNTIFS(実績!$W$6:$W$505,C$3,実績!$AI$6:$AI$505,"&lt;="&amp;$A292,実績!$AJ$6:$AJ$505,"&gt;"&amp;$A292,実績!$AL$6:$AL$505,"○")&gt;0,1,0))</f>
        <v>0</v>
      </c>
      <c r="D292" s="39" t="n">
        <f aca="false">IF(D$4=0,0,IF(COUNTIFS(実績!$W$6:$W$505,D$3,実績!$AI$6:$AI$505,"&lt;="&amp;$A292,実績!$AJ$6:$AJ$505,"&gt;"&amp;$A292,実績!$AL$6:$AL$505,"○")&gt;0,1,0))</f>
        <v>0</v>
      </c>
      <c r="E292" s="39" t="n">
        <f aca="false">IF(E$4=0,0,IF(COUNTIFS(実績!$W$6:$W$505,E$3,実績!$AI$6:$AI$505,"&lt;="&amp;$A292,実績!$AJ$6:$AJ$505,"&gt;"&amp;$A292,実績!$AL$6:$AL$505,"○")&gt;0,1,0))</f>
        <v>0</v>
      </c>
      <c r="F292" s="39" t="n">
        <f aca="false">IF(F$4=0,0,IF(COUNTIFS(実績!$W$6:$W$505,F$3,実績!$AI$6:$AI$505,"&lt;="&amp;$A292,実績!$AJ$6:$AJ$505,"&gt;"&amp;$A292,実績!$AL$6:$AL$505,"○")&gt;0,1,0))</f>
        <v>0</v>
      </c>
      <c r="G292" s="39" t="n">
        <f aca="false">IF(G$4=0,0,IF(COUNTIFS(実績!$W$6:$W$505,G$3,実績!$AI$6:$AI$505,"&lt;="&amp;$A292,実績!$AJ$6:$AJ$505,"&gt;"&amp;$A292,実績!$AL$6:$AL$505,"○")&gt;0,1,0))</f>
        <v>0</v>
      </c>
      <c r="H292" s="39" t="n">
        <f aca="false">IF(H$4=0,0,IF(COUNTIFS(実績!$W$6:$W$505,H$3,実績!$AI$6:$AI$505,"&lt;="&amp;$A292,実績!$AJ$6:$AJ$505,"&gt;"&amp;$A292,実績!$AL$6:$AL$505,"○")&gt;0,1,0))</f>
        <v>0</v>
      </c>
      <c r="I292" s="39" t="n">
        <f aca="false">IF(I$4=0,0,IF(COUNTIFS(実績!$W$6:$W$505,I$3,実績!$AI$6:$AI$505,"&lt;="&amp;$A292,実績!$AJ$6:$AJ$505,"&gt;"&amp;$A292,実績!$AL$6:$AL$505,"○")&gt;0,1,0))</f>
        <v>0</v>
      </c>
      <c r="J292" s="39" t="n">
        <f aca="false">IF(J$4=0,0,IF(COUNTIFS(実績!$W$6:$W$505,J$3,実績!$AI$6:$AI$505,"&lt;="&amp;$A292,実績!$AJ$6:$AJ$505,"&gt;"&amp;$A292,実績!$AL$6:$AL$505,"○")&gt;0,1,0))</f>
        <v>0</v>
      </c>
      <c r="K292" s="39" t="n">
        <f aca="false">IF(K$4=0,0,IF(COUNTIFS(実績!$W$6:$W$505,K$3,実績!$AI$6:$AI$505,"&lt;="&amp;$A292,実績!$AJ$6:$AJ$505,"&gt;"&amp;$A292,実績!$AL$6:$AL$505,"○")&gt;0,1,0))</f>
        <v>0</v>
      </c>
      <c r="L292" s="39" t="n">
        <f aca="false">IF(L$4=0,0,IF(COUNTIFS(実績!$W$6:$W$505,L$3,実績!$AI$6:$AI$505,"&lt;="&amp;$A292,実績!$AJ$6:$AJ$505,"&gt;"&amp;$A292,実績!$AL$6:$AL$505,"○")&gt;0,1,0))</f>
        <v>0</v>
      </c>
      <c r="M292" s="39" t="n">
        <f aca="false">IF(M$4=0,0,IF(COUNTIFS(実績!$W$6:$W$505,M$3,実績!$AI$6:$AI$505,"&lt;="&amp;$A292,実績!$AJ$6:$AJ$505,"&gt;"&amp;$A292,実績!$AL$6:$AL$505,"○")&gt;0,1,0))</f>
        <v>0</v>
      </c>
      <c r="N292" s="39" t="n">
        <f aca="false">IF(N$4=0,0,IF(COUNTIFS(実績!$W$6:$W$505,N$3,実績!$AI$6:$AI$505,"&lt;="&amp;$A292,実績!$AJ$6:$AJ$505,"&gt;"&amp;$A292,実績!$AL$6:$AL$505,"○")&gt;0,1,0))</f>
        <v>0</v>
      </c>
      <c r="O292" s="39" t="n">
        <f aca="false">IF(O$4=0,0,IF(COUNTIFS(実績!$W$6:$W$505,O$3,実績!$AI$6:$AI$505,"&lt;="&amp;$A292,実績!$AJ$6:$AJ$505,"&gt;"&amp;$A292,実績!$AL$6:$AL$505,"○")&gt;0,1,0))</f>
        <v>0</v>
      </c>
      <c r="P292" s="39" t="n">
        <f aca="false">IF(P$4=0,0,IF(COUNTIFS(実績!$W$6:$W$505,P$3,実績!$AI$6:$AI$505,"&lt;="&amp;$A292,実績!$AJ$6:$AJ$505,"&gt;"&amp;$A292,実績!$AL$6:$AL$505,"○")&gt;0,1,0))</f>
        <v>0</v>
      </c>
      <c r="Q292" s="39" t="n">
        <f aca="false">IF(Q$4=0,0,IF(COUNTIFS(実績!$W$6:$W$505,Q$3,実績!$AI$6:$AI$505,"&lt;="&amp;$A292,実績!$AJ$6:$AJ$505,"&gt;"&amp;$A292,実績!$AL$6:$AL$505,"○")&gt;0,1,0))</f>
        <v>0</v>
      </c>
      <c r="R292" s="39" t="n">
        <f aca="false">IF(R$4=0,0,IF(COUNTIFS(実績!$W$6:$W$505,R$3,実績!$AI$6:$AI$505,"&lt;="&amp;$A292,実績!$AJ$6:$AJ$505,"&gt;"&amp;$A292,実績!$AL$6:$AL$505,"○")&gt;0,1,0))</f>
        <v>0</v>
      </c>
      <c r="S292" s="39" t="n">
        <f aca="false">IF(S$4=0,0,IF(COUNTIFS(実績!$W$6:$W$505,S$3,実績!$AI$6:$AI$505,"&lt;="&amp;$A292,実績!$AJ$6:$AJ$505,"&gt;"&amp;$A292,実績!$AL$6:$AL$505,"○")&gt;0,1,0))</f>
        <v>0</v>
      </c>
      <c r="T292" s="39" t="n">
        <f aca="false">IF(T$4=0,0,IF(COUNTIFS(実績!$W$6:$W$505,T$3,実績!$AI$6:$AI$505,"&lt;="&amp;$A292,実績!$AJ$6:$AJ$505,"&gt;"&amp;$A292,実績!$AL$6:$AL$505,"○")&gt;0,1,0))</f>
        <v>0</v>
      </c>
      <c r="U292" s="39" t="n">
        <f aca="false">IF(U$4=0,0,IF(COUNTIFS(実績!$W$6:$W$505,U$3,実績!$AI$6:$AI$505,"&lt;="&amp;$A292,実績!$AJ$6:$AJ$505,"&gt;"&amp;$A292,実績!$AL$6:$AL$505,"○")&gt;0,1,0))</f>
        <v>0</v>
      </c>
      <c r="V292" s="39" t="n">
        <f aca="false">IF(V$4=0,0,IF(COUNTIFS(実績!$W$6:$W$505,V$3,実績!$AI$6:$AI$505,"&lt;="&amp;$A292,実績!$AJ$6:$AJ$505,"&gt;"&amp;$A292,実績!$AL$6:$AL$505,"○")&gt;0,1,0))</f>
        <v>0</v>
      </c>
      <c r="W292" s="39" t="n">
        <f aca="false">IF(W$4=0,0,IF(COUNTIFS(実績!$W$6:$W$505,W$3,実績!$AI$6:$AI$505,"&lt;="&amp;$A292,実績!$AJ$6:$AJ$505,"&gt;"&amp;$A292,実績!$AL$6:$AL$505,"○")&gt;0,1,0))</f>
        <v>0</v>
      </c>
      <c r="X292" s="39" t="n">
        <f aca="false">IF(X$4=0,0,IF(COUNTIFS(実績!$W$6:$W$505,X$3,実績!$AI$6:$AI$505,"&lt;="&amp;$A292,実績!$AJ$6:$AJ$505,"&gt;"&amp;$A292,実績!$AL$6:$AL$505,"○")&gt;0,1,0))</f>
        <v>0</v>
      </c>
      <c r="Y292" s="39" t="n">
        <f aca="false">IF(Y$4=0,0,IF(COUNTIFS(実績!$W$6:$W$505,Y$3,実績!$AI$6:$AI$505,"&lt;="&amp;$A292,実績!$AJ$6:$AJ$505,"&gt;"&amp;$A292,実績!$AL$6:$AL$505,"○")&gt;0,1,0))</f>
        <v>0</v>
      </c>
      <c r="Z292" s="39" t="n">
        <f aca="false">IF(Z$4=0,0,IF(COUNTIFS(実績!$W$6:$W$505,Z$3,実績!$AI$6:$AI$505,"&lt;="&amp;$A292,実績!$AJ$6:$AJ$505,"&gt;"&amp;$A292,実績!$AL$6:$AL$505,"○")&gt;0,1,0))</f>
        <v>0</v>
      </c>
      <c r="AA292" s="39" t="n">
        <f aca="false">IF(AA$4=0,0,IF(COUNTIFS(実績!$W$6:$W$505,AA$3,実績!$AI$6:$AI$505,"&lt;="&amp;$A292,実績!$AJ$6:$AJ$505,"&gt;"&amp;$A292,実績!$AL$6:$AL$505,"○")&gt;0,1,0))</f>
        <v>0</v>
      </c>
      <c r="AB292" s="39" t="n">
        <f aca="false">IF(AB$4=0,0,IF(COUNTIFS(実績!$W$6:$W$505,AB$3,実績!$AI$6:$AI$505,"&lt;="&amp;$A292,実績!$AJ$6:$AJ$505,"&gt;"&amp;$A292,実績!$AL$6:$AL$505,"○")&gt;0,1,0))</f>
        <v>0</v>
      </c>
      <c r="AC292" s="39" t="n">
        <f aca="false">IF(AC$4=0,0,IF(COUNTIFS(実績!$W$6:$W$505,AC$3,実績!$AI$6:$AI$505,"&lt;="&amp;$A292,実績!$AJ$6:$AJ$505,"&gt;"&amp;$A292,実績!$AL$6:$AL$505,"○")&gt;0,1,0))</f>
        <v>0</v>
      </c>
      <c r="AD292" s="39" t="n">
        <f aca="false">IF(AD$4=0,0,IF(COUNTIFS(実績!$W$6:$W$505,AD$3,実績!$AI$6:$AI$505,"&lt;="&amp;$A292,実績!$AJ$6:$AJ$505,"&gt;"&amp;$A292,実績!$AL$6:$AL$505,"○")&gt;0,1,0))</f>
        <v>0</v>
      </c>
      <c r="AE292" s="39" t="n">
        <f aca="false">IF(AE$4=0,0,IF(COUNTIFS(実績!$W$6:$W$505,AE$3,実績!$AI$6:$AI$505,"&lt;="&amp;$A292,実績!$AJ$6:$AJ$505,"&gt;"&amp;$A292,実績!$AL$6:$AL$505,"○")&gt;0,1,0))</f>
        <v>0</v>
      </c>
      <c r="AF292" s="39" t="n">
        <f aca="false">IF(AF$4=0,0,IF(COUNTIFS(実績!$W$6:$W$505,AF$3,実績!$AI$6:$AI$505,"&lt;="&amp;$A292,実績!$AJ$6:$AJ$505,"&gt;"&amp;$A292,実績!$AL$6:$AL$505,"○")&gt;0,1,0))</f>
        <v>0</v>
      </c>
      <c r="AG292" s="39" t="n">
        <f aca="false">IF(AG$4=0,0,IF(COUNTIFS(実績!$W$6:$W$505,AG$3,実績!$AI$6:$AI$505,"&lt;="&amp;$A292,実績!$AJ$6:$AJ$505,"&gt;"&amp;$A292,実績!$AL$6:$AL$505,"○")&gt;0,1,0))</f>
        <v>0</v>
      </c>
      <c r="AH292" s="39" t="n">
        <f aca="false">IF(AH$4=0,0,IF(COUNTIFS(実績!$W$6:$W$505,AH$3,実績!$AI$6:$AI$505,"&lt;="&amp;$A292,実績!$AJ$6:$AJ$505,"&gt;"&amp;$A292,実績!$AL$6:$AL$505,"○")&gt;0,1,0))</f>
        <v>0</v>
      </c>
      <c r="AI292" s="39" t="n">
        <f aca="false">IF(AI$4=0,0,IF(COUNTIFS(実績!$W$6:$W$505,AI$3,実績!$AI$6:$AI$505,"&lt;="&amp;$A292,実績!$AJ$6:$AJ$505,"&gt;"&amp;$A292,実績!$AL$6:$AL$505,"○")&gt;0,1,0))</f>
        <v>0</v>
      </c>
      <c r="AJ292" s="39" t="n">
        <f aca="false">IF(AJ$4=0,0,IF(COUNTIFS(実績!$W$6:$W$505,AJ$3,実績!$AI$6:$AI$505,"&lt;="&amp;$A292,実績!$AJ$6:$AJ$505,"&gt;"&amp;$A292,実績!$AL$6:$AL$505,"○")&gt;0,1,0))</f>
        <v>0</v>
      </c>
      <c r="AK292" s="39" t="n">
        <f aca="false">IF(AK$4=0,0,IF(COUNTIFS(実績!$W$6:$W$505,AK$3,実績!$AI$6:$AI$505,"&lt;="&amp;$A292,実績!$AJ$6:$AJ$505,"&gt;"&amp;$A292,実績!$AL$6:$AL$505,"○")&gt;0,1,0))</f>
        <v>0</v>
      </c>
      <c r="AL292" s="39" t="n">
        <f aca="false">IF(AL$4=0,0,IF(COUNTIFS(実績!$W$6:$W$505,AL$3,実績!$AI$6:$AI$505,"&lt;="&amp;$A292,実績!$AJ$6:$AJ$505,"&gt;"&amp;$A292,実績!$AL$6:$AL$505,"○")&gt;0,1,0))</f>
        <v>0</v>
      </c>
      <c r="AM292" s="39" t="n">
        <f aca="false">IF(AM$4=0,0,IF(COUNTIFS(実績!$W$6:$W$505,AM$3,実績!$AI$6:$AI$505,"&lt;="&amp;$A292,実績!$AJ$6:$AJ$505,"&gt;"&amp;$A292,実績!$AL$6:$AL$505,"○")&gt;0,1,0))</f>
        <v>0</v>
      </c>
      <c r="AN292" s="39" t="n">
        <f aca="false">IF(AN$4=0,0,IF(COUNTIFS(実績!$W$6:$W$505,AN$3,実績!$AI$6:$AI$505,"&lt;="&amp;$A292,実績!$AJ$6:$AJ$505,"&gt;"&amp;$A292,実績!$AL$6:$AL$505,"○")&gt;0,1,0))</f>
        <v>0</v>
      </c>
      <c r="AO292" s="39" t="n">
        <f aca="false">IF(AO$4=0,0,IF(COUNTIFS(実績!$W$6:$W$505,AO$3,実績!$AI$6:$AI$505,"&lt;="&amp;$A292,実績!$AJ$6:$AJ$505,"&gt;"&amp;$A292,実績!$AL$6:$AL$505,"○")&gt;0,1,0))</f>
        <v>0</v>
      </c>
      <c r="AP292" s="39" t="n">
        <f aca="false">IF(AP$4=0,0,IF(COUNTIFS(実績!$W$6:$W$505,AP$3,実績!$AI$6:$AI$505,"&lt;="&amp;$A292,実績!$AJ$6:$AJ$505,"&gt;"&amp;$A292,実績!$AL$6:$AL$505,"○")&gt;0,1,0))</f>
        <v>0</v>
      </c>
      <c r="AQ292" s="39" t="n">
        <f aca="false">IF(AQ$4=0,0,IF(COUNTIFS(実績!$W$6:$W$505,AQ$3,実績!$AI$6:$AI$505,"&lt;="&amp;$A292,実績!$AJ$6:$AJ$505,"&gt;"&amp;$A292,実績!$AL$6:$AL$505,"○")&gt;0,1,0))</f>
        <v>0</v>
      </c>
      <c r="AR292" s="39" t="n">
        <f aca="false">IF(AR$4=0,0,IF(COUNTIFS(実績!$W$6:$W$505,AR$3,実績!$AI$6:$AI$505,"&lt;="&amp;$A292,実績!$AJ$6:$AJ$505,"&gt;"&amp;$A292,実績!$AL$6:$AL$505,"○")&gt;0,1,0))</f>
        <v>0</v>
      </c>
      <c r="AS292" s="39" t="n">
        <f aca="false">IF(AS$4=0,0,IF(COUNTIFS(実績!$W$6:$W$505,AS$3,実績!$AI$6:$AI$505,"&lt;="&amp;$A292,実績!$AJ$6:$AJ$505,"&gt;"&amp;$A292,実績!$AL$6:$AL$505,"○")&gt;0,1,0))</f>
        <v>0</v>
      </c>
      <c r="AT292" s="39" t="n">
        <f aca="false">IF(AT$4=0,0,IF(COUNTIFS(実績!$W$6:$W$505,AT$3,実績!$AI$6:$AI$505,"&lt;="&amp;$A292,実績!$AJ$6:$AJ$505,"&gt;"&amp;$A292,実績!$AL$6:$AL$505,"○")&gt;0,1,0))</f>
        <v>0</v>
      </c>
      <c r="AU292" s="39" t="n">
        <f aca="false">IF(AU$4=0,0,IF(COUNTIFS(実績!$W$6:$W$505,AU$3,実績!$AI$6:$AI$505,"&lt;="&amp;$A292,実績!$AJ$6:$AJ$505,"&gt;"&amp;$A292,実績!$AL$6:$AL$505,"○")&gt;0,1,0))</f>
        <v>0</v>
      </c>
      <c r="AV292" s="39" t="n">
        <f aca="false">IF(AV$4=0,0,IF(COUNTIFS(実績!$W$6:$W$505,AV$3,実績!$AI$6:$AI$505,"&lt;="&amp;$A292,実績!$AJ$6:$AJ$505,"&gt;"&amp;$A292,実績!$AL$6:$AL$505,"○")&gt;0,1,0))</f>
        <v>0</v>
      </c>
      <c r="AW292" s="39" t="n">
        <f aca="false">IF(AW$4=0,0,IF(COUNTIFS(実績!$W$6:$W$505,AW$3,実績!$AI$6:$AI$505,"&lt;="&amp;$A292,実績!$AJ$6:$AJ$505,"&gt;"&amp;$A292,実績!$AL$6:$AL$505,"○")&gt;0,1,0))</f>
        <v>0</v>
      </c>
      <c r="AX292" s="39" t="n">
        <f aca="false">IF(AX$4=0,0,IF(COUNTIFS(実績!$W$6:$W$505,AX$3,実績!$AI$6:$AI$505,"&lt;="&amp;$A292,実績!$AJ$6:$AJ$505,"&gt;"&amp;$A292,実績!$AL$6:$AL$505,"○")&gt;0,1,0))</f>
        <v>0</v>
      </c>
      <c r="AY292" s="39" t="n">
        <f aca="false">IF(AY$4=0,0,IF(COUNTIFS(実績!$W$6:$W$505,AY$3,実績!$AI$6:$AI$505,"&lt;="&amp;$A292,実績!$AJ$6:$AJ$505,"&gt;"&amp;$A292,実績!$AL$6:$AL$505,"○")&gt;0,1,0))</f>
        <v>0</v>
      </c>
      <c r="AZ292" s="39" t="n">
        <f aca="false">IF(AZ$4=0,0,IF(COUNTIFS(実績!$W$6:$W$505,AZ$3,実績!$AI$6:$AI$505,"&lt;="&amp;$A292,実績!$AJ$6:$AJ$505,"&gt;"&amp;$A292,実績!$AL$6:$AL$505,"○")&gt;0,1,0))</f>
        <v>0</v>
      </c>
      <c r="BA292" s="39" t="n">
        <f aca="false">IF(BA$4=0,0,IF(COUNTIFS(実績!$W$6:$W$505,BA$3,実績!$AI$6:$AI$505,"&lt;="&amp;$A292,実績!$AJ$6:$AJ$505,"&gt;"&amp;$A292,実績!$AL$6:$AL$505,"○")&gt;0,1,0))</f>
        <v>0</v>
      </c>
      <c r="BB292" s="39" t="n">
        <f aca="false">IF(BB$4=0,0,IF(COUNTIFS(実績!$W$6:$W$505,BB$3,実績!$AI$6:$AI$505,"&lt;="&amp;$A292,実績!$AJ$6:$AJ$505,"&gt;"&amp;$A292,実績!$AL$6:$AL$505,"○")&gt;0,1,0))</f>
        <v>0</v>
      </c>
      <c r="BC292" s="39" t="n">
        <f aca="false">IF(BC$4=0,0,IF(COUNTIFS(実績!$W$6:$W$505,BC$3,実績!$AI$6:$AI$505,"&lt;="&amp;$A292,実績!$AJ$6:$AJ$505,"&gt;"&amp;$A292,実績!$AL$6:$AL$505,"○")&gt;0,1,0))</f>
        <v>0</v>
      </c>
      <c r="BD292" s="39" t="n">
        <f aca="false">IF(BD$4=0,0,IF(COUNTIFS(実績!$W$6:$W$505,BD$3,実績!$AI$6:$AI$505,"&lt;="&amp;$A292,実績!$AJ$6:$AJ$505,"&gt;"&amp;$A292,実績!$AL$6:$AL$505,"○")&gt;0,1,0))</f>
        <v>0</v>
      </c>
      <c r="BE292" s="39" t="n">
        <f aca="false">IF(BE$4=0,0,IF(COUNTIFS(実績!$W$6:$W$505,BE$3,実績!$AI$6:$AI$505,"&lt;="&amp;$A292,実績!$AJ$6:$AJ$505,"&gt;"&amp;$A292,実績!$AL$6:$AL$505,"○")&gt;0,1,0))</f>
        <v>0</v>
      </c>
      <c r="BF292" s="39" t="n">
        <f aca="false">IF(BF$4=0,0,IF(COUNTIFS(実績!$W$6:$W$505,BF$3,実績!$AI$6:$AI$505,"&lt;="&amp;$A292,実績!$AJ$6:$AJ$505,"&gt;"&amp;$A292,実績!$AL$6:$AL$505,"○")&gt;0,1,0))</f>
        <v>0</v>
      </c>
      <c r="BG292" s="39" t="n">
        <f aca="false">IF(BG$4=0,0,IF(COUNTIFS(実績!$W$6:$W$505,BG$3,実績!$AI$6:$AI$505,"&lt;="&amp;$A292,実績!$AJ$6:$AJ$505,"&gt;"&amp;$A292,実績!$AL$6:$AL$505,"○")&gt;0,1,0))</f>
        <v>0</v>
      </c>
      <c r="BH292" s="39" t="n">
        <f aca="false">IF(BH$4=0,0,IF(COUNTIFS(実績!$W$6:$W$505,BH$3,実績!$AI$6:$AI$505,"&lt;="&amp;$A292,実績!$AJ$6:$AJ$505,"&gt;"&amp;$A292,実績!$AL$6:$AL$505,"○")&gt;0,1,0))</f>
        <v>0</v>
      </c>
      <c r="BI292" s="39" t="n">
        <f aca="false">IF(BI$4=0,0,IF(COUNTIFS(実績!$W$6:$W$505,BI$3,実績!$AI$6:$AI$505,"&lt;="&amp;$A292,実績!$AJ$6:$AJ$505,"&gt;"&amp;$A292,実績!$AL$6:$AL$505,"○")&gt;0,1,0))</f>
        <v>0</v>
      </c>
      <c r="BJ292" s="39" t="n">
        <f aca="false">IF(BJ$4=0,0,IF(COUNTIFS(実績!$W$6:$W$505,BJ$3,実績!$AI$6:$AI$505,"&lt;="&amp;$A292,実績!$AJ$6:$AJ$505,"&gt;"&amp;$A292,実績!$AL$6:$AL$505,"○")&gt;0,1,0))</f>
        <v>0</v>
      </c>
      <c r="BK292" s="39" t="n">
        <f aca="false">IF(BK$4=0,0,IF(COUNTIFS(実績!$W$6:$W$505,BK$3,実績!$AI$6:$AI$505,"&lt;="&amp;$A292,実績!$AJ$6:$AJ$505,"&gt;"&amp;$A292,実績!$AL$6:$AL$505,"○")&gt;0,1,0))</f>
        <v>0</v>
      </c>
      <c r="BL292" s="39" t="n">
        <f aca="false">IF(BL$4=0,0,IF(COUNTIFS(実績!$W$6:$W$505,BL$3,実績!$AI$6:$AI$505,"&lt;="&amp;$A292,実績!$AJ$6:$AJ$505,"&gt;"&amp;$A292,実績!$AL$6:$AL$505,"○")&gt;0,1,0))</f>
        <v>0</v>
      </c>
      <c r="BM292" s="39" t="n">
        <f aca="false">IF(BM$4=0,0,IF(COUNTIFS(実績!$W$6:$W$505,BM$3,実績!$AI$6:$AI$505,"&lt;="&amp;$A292,実績!$AJ$6:$AJ$505,"&gt;"&amp;$A292,実績!$AL$6:$AL$505,"○")&gt;0,1,0))</f>
        <v>0</v>
      </c>
      <c r="BN292" s="39" t="n">
        <f aca="false">IF(BN$4=0,0,IF(COUNTIFS(実績!$W$6:$W$505,BN$3,実績!$AI$6:$AI$505,"&lt;="&amp;$A292,実績!$AJ$6:$AJ$505,"&gt;"&amp;$A292,実績!$AL$6:$AL$505,"○")&gt;0,1,0))</f>
        <v>0</v>
      </c>
      <c r="BO292" s="39" t="n">
        <f aca="false">IF(BO$4=0,0,IF(COUNTIFS(実績!$W$6:$W$505,BO$3,実績!$AI$6:$AI$505,"&lt;="&amp;$A292,実績!$AJ$6:$AJ$505,"&gt;"&amp;$A292,実績!$AL$6:$AL$505,"○")&gt;0,1,0))</f>
        <v>0</v>
      </c>
      <c r="BP292" s="39" t="n">
        <f aca="false">IF(BP$4=0,0,IF(COUNTIFS(実績!$W$6:$W$505,BP$3,実績!$AI$6:$AI$505,"&lt;="&amp;$A292,実績!$AJ$6:$AJ$505,"&gt;"&amp;$A292,実績!$AL$6:$AL$505,"○")&gt;0,1,0))</f>
        <v>0</v>
      </c>
      <c r="BQ292" s="39" t="n">
        <f aca="false">IF(BQ$4=0,0,IF(COUNTIFS(実績!$W$6:$W$505,BQ$3,実績!$AI$6:$AI$505,"&lt;="&amp;$A292,実績!$AJ$6:$AJ$505,"&gt;"&amp;$A292,実績!$AL$6:$AL$505,"○")&gt;0,1,0))</f>
        <v>0</v>
      </c>
      <c r="BR292" s="39" t="n">
        <f aca="false">IF(BR$4=0,0,IF(COUNTIFS(実績!$W$6:$W$505,BR$3,実績!$AI$6:$AI$505,"&lt;="&amp;$A292,実績!$AJ$6:$AJ$505,"&gt;"&amp;$A292,実績!$AL$6:$AL$505,"○")&gt;0,1,0))</f>
        <v>0</v>
      </c>
      <c r="BS292" s="39" t="n">
        <f aca="false">IF(BS$4=0,0,IF(COUNTIFS(実績!$W$6:$W$505,BS$3,実績!$AI$6:$AI$505,"&lt;="&amp;$A292,実績!$AJ$6:$AJ$505,"&gt;"&amp;$A292,実績!$AL$6:$AL$505,"○")&gt;0,1,0))</f>
        <v>0</v>
      </c>
      <c r="BT292" s="39" t="n">
        <f aca="false">IF(BT$4=0,0,IF(COUNTIFS(実績!$W$6:$W$505,BT$3,実績!$AI$6:$AI$505,"&lt;="&amp;$A292,実績!$AJ$6:$AJ$505,"&gt;"&amp;$A292,実績!$AL$6:$AL$505,"○")&gt;0,1,0))</f>
        <v>0</v>
      </c>
      <c r="BU292" s="39" t="n">
        <f aca="false">IF(BU$4=0,0,IF(COUNTIFS(実績!$W$6:$W$505,BU$3,実績!$AI$6:$AI$505,"&lt;="&amp;$A292,実績!$AJ$6:$AJ$505,"&gt;"&amp;$A292,実績!$AL$6:$AL$505,"○")&gt;0,1,0))</f>
        <v>0</v>
      </c>
      <c r="BV292" s="39" t="n">
        <f aca="false">IF(BV$4=0,0,IF(COUNTIFS(実績!$W$6:$W$505,BV$3,実績!$AI$6:$AI$505,"&lt;="&amp;$A292,実績!$AJ$6:$AJ$505,"&gt;"&amp;$A292,実績!$AL$6:$AL$505,"○")&gt;0,1,0))</f>
        <v>0</v>
      </c>
      <c r="BW292" s="39" t="n">
        <f aca="false">IF(BW$4=0,0,IF(COUNTIFS(実績!$W$6:$W$505,BW$3,実績!$AI$6:$AI$505,"&lt;="&amp;$A292,実績!$AJ$6:$AJ$505,"&gt;"&amp;$A292,実績!$AL$6:$AL$505,"○")&gt;0,1,0))</f>
        <v>0</v>
      </c>
      <c r="BX292" s="39" t="n">
        <f aca="false">IF(BX$4=0,0,IF(COUNTIFS(実績!$W$6:$W$505,BX$3,実績!$AI$6:$AI$505,"&lt;="&amp;$A292,実績!$AJ$6:$AJ$505,"&gt;"&amp;$A292,実績!$AL$6:$AL$505,"○")&gt;0,1,0))</f>
        <v>0</v>
      </c>
      <c r="BY292" s="39" t="n">
        <f aca="false">IF(BY$4=0,0,IF(COUNTIFS(実績!$W$6:$W$505,BY$3,実績!$AI$6:$AI$505,"&lt;="&amp;$A292,実績!$AJ$6:$AJ$505,"&gt;"&amp;$A292,実績!$AL$6:$AL$505,"○")&gt;0,1,0))</f>
        <v>0</v>
      </c>
      <c r="BZ292" s="39" t="n">
        <f aca="false">IF(BZ$4=0,0,IF(COUNTIFS(実績!$W$6:$W$505,BZ$3,実績!$AI$6:$AI$505,"&lt;="&amp;$A292,実績!$AJ$6:$AJ$505,"&gt;"&amp;$A292,実績!$AL$6:$AL$505,"○")&gt;0,1,0))</f>
        <v>0</v>
      </c>
      <c r="CA292" s="39" t="n">
        <f aca="false">IF(CA$4=0,0,IF(COUNTIFS(実績!$W$6:$W$505,CA$3,実績!$AI$6:$AI$505,"&lt;="&amp;$A292,実績!$AJ$6:$AJ$505,"&gt;"&amp;$A292,実績!$AL$6:$AL$505,"○")&gt;0,1,0))</f>
        <v>0</v>
      </c>
      <c r="CB292" s="39" t="n">
        <f aca="false">IF(CB$4=0,0,IF(COUNTIFS(実績!$W$6:$W$505,CB$3,実績!$AI$6:$AI$505,"&lt;="&amp;$A292,実績!$AJ$6:$AJ$505,"&gt;"&amp;$A292,実績!$AL$6:$AL$505,"○")&gt;0,1,0))</f>
        <v>0</v>
      </c>
      <c r="CC292" s="39" t="n">
        <f aca="false">IF(CC$4=0,0,IF(COUNTIFS(実績!$W$6:$W$505,CC$3,実績!$AI$6:$AI$505,"&lt;="&amp;$A292,実績!$AJ$6:$AJ$505,"&gt;"&amp;$A292,実績!$AL$6:$AL$505,"○")&gt;0,1,0))</f>
        <v>0</v>
      </c>
      <c r="CD292" s="39" t="n">
        <f aca="false">IF(CD$4=0,0,IF(COUNTIFS(実績!$W$6:$W$505,CD$3,実績!$AI$6:$AI$505,"&lt;="&amp;$A292,実績!$AJ$6:$AJ$505,"&gt;"&amp;$A292,実績!$AL$6:$AL$505,"○")&gt;0,1,0))</f>
        <v>0</v>
      </c>
      <c r="CE292" s="39" t="n">
        <f aca="false">IF(CE$4=0,0,IF(COUNTIFS(実績!$W$6:$W$505,CE$3,実績!$AI$6:$AI$505,"&lt;="&amp;$A292,実績!$AJ$6:$AJ$505,"&gt;"&amp;$A292,実績!$AL$6:$AL$505,"○")&gt;0,1,0))</f>
        <v>0</v>
      </c>
      <c r="CF292" s="39" t="n">
        <f aca="false">IF(CF$4=0,0,IF(COUNTIFS(実績!$W$6:$W$505,CF$3,実績!$AI$6:$AI$505,"&lt;="&amp;$A292,実績!$AJ$6:$AJ$505,"&gt;"&amp;$A292,実績!$AL$6:$AL$505,"○")&gt;0,1,0))</f>
        <v>0</v>
      </c>
      <c r="CG292" s="39" t="n">
        <f aca="false">IF(CG$4=0,0,IF(COUNTIFS(実績!$W$6:$W$505,CG$3,実績!$AI$6:$AI$505,"&lt;="&amp;$A292,実績!$AJ$6:$AJ$505,"&gt;"&amp;$A292,実績!$AL$6:$AL$505,"○")&gt;0,1,0))</f>
        <v>0</v>
      </c>
      <c r="CH292" s="39" t="n">
        <f aca="false">IF(CH$4=0,0,IF(COUNTIFS(実績!$W$6:$W$505,CH$3,実績!$AI$6:$AI$505,"&lt;="&amp;$A292,実績!$AJ$6:$AJ$505,"&gt;"&amp;$A292,実績!$AL$6:$AL$505,"○")&gt;0,1,0))</f>
        <v>0</v>
      </c>
      <c r="CI292" s="39" t="n">
        <f aca="false">IF(CI$4=0,0,IF(COUNTIFS(実績!$W$6:$W$505,CI$3,実績!$AI$6:$AI$505,"&lt;="&amp;$A292,実績!$AJ$6:$AJ$505,"&gt;"&amp;$A292,実績!$AL$6:$AL$505,"○")&gt;0,1,0))</f>
        <v>0</v>
      </c>
      <c r="CJ292" s="39" t="n">
        <f aca="false">IF(CJ$4=0,0,IF(COUNTIFS(実績!$W$6:$W$505,CJ$3,実績!$AI$6:$AI$505,"&lt;="&amp;$A292,実績!$AJ$6:$AJ$505,"&gt;"&amp;$A292,実績!$AL$6:$AL$505,"○")&gt;0,1,0))</f>
        <v>0</v>
      </c>
      <c r="CK292" s="39" t="n">
        <f aca="false">IF(CK$4=0,0,IF(COUNTIFS(実績!$W$6:$W$505,CK$3,実績!$AI$6:$AI$505,"&lt;="&amp;$A292,実績!$AJ$6:$AJ$505,"&gt;"&amp;$A292,実績!$AL$6:$AL$505,"○")&gt;0,1,0))</f>
        <v>0</v>
      </c>
      <c r="CL292" s="39" t="n">
        <f aca="false">IF(CL$4=0,0,IF(COUNTIFS(実績!$W$6:$W$505,CL$3,実績!$AI$6:$AI$505,"&lt;="&amp;$A292,実績!$AJ$6:$AJ$505,"&gt;"&amp;$A292,実績!$AL$6:$AL$505,"○")&gt;0,1,0))</f>
        <v>0</v>
      </c>
      <c r="CM292" s="39" t="n">
        <f aca="false">IF(CM$4=0,0,IF(COUNTIFS(実績!$W$6:$W$505,CM$3,実績!$AI$6:$AI$505,"&lt;="&amp;$A292,実績!$AJ$6:$AJ$505,"&gt;"&amp;$A292,実績!$AL$6:$AL$505,"○")&gt;0,1,0))</f>
        <v>0</v>
      </c>
      <c r="CN292" s="39" t="n">
        <f aca="false">IF(CN$4=0,0,IF(COUNTIFS(実績!$W$6:$W$505,CN$3,実績!$AI$6:$AI$505,"&lt;="&amp;$A292,実績!$AJ$6:$AJ$505,"&gt;"&amp;$A292,実績!$AL$6:$AL$505,"○")&gt;0,1,0))</f>
        <v>0</v>
      </c>
      <c r="CO292" s="39" t="n">
        <f aca="false">IF(CO$4=0,0,IF(COUNTIFS(実績!$W$6:$W$505,CO$3,実績!$AI$6:$AI$505,"&lt;="&amp;$A292,実績!$AJ$6:$AJ$505,"&gt;"&amp;$A292,実績!$AL$6:$AL$505,"○")&gt;0,1,0))</f>
        <v>0</v>
      </c>
      <c r="CP292" s="39" t="n">
        <f aca="false">IF(CP$4=0,0,IF(COUNTIFS(実績!$W$6:$W$505,CP$3,実績!$AI$6:$AI$505,"&lt;="&amp;$A292,実績!$AJ$6:$AJ$505,"&gt;"&amp;$A292,実績!$AL$6:$AL$505,"○")&gt;0,1,0))</f>
        <v>0</v>
      </c>
      <c r="CQ292" s="39" t="n">
        <f aca="false">IF(CQ$4=0,0,IF(COUNTIFS(実績!$W$6:$W$505,CQ$3,実績!$AI$6:$AI$505,"&lt;="&amp;$A292,実績!$AJ$6:$AJ$505,"&gt;"&amp;$A292,実績!$AL$6:$AL$505,"○")&gt;0,1,0))</f>
        <v>0</v>
      </c>
      <c r="CR292" s="39" t="n">
        <f aca="false">IF(CR$4=0,0,IF(COUNTIFS(実績!$W$6:$W$505,CR$3,実績!$AI$6:$AI$505,"&lt;="&amp;$A292,実績!$AJ$6:$AJ$505,"&gt;"&amp;$A292,実績!$AL$6:$AL$505,"○")&gt;0,1,0))</f>
        <v>0</v>
      </c>
      <c r="CS292" s="39" t="n">
        <f aca="false">IF(CS$4=0,0,IF(COUNTIFS(実績!$W$6:$W$505,CS$3,実績!$AI$6:$AI$505,"&lt;="&amp;$A292,実績!$AJ$6:$AJ$505,"&gt;"&amp;$A292,実績!$AL$6:$AL$505,"○")&gt;0,1,0))</f>
        <v>0</v>
      </c>
      <c r="CT292" s="39" t="n">
        <f aca="false">IF(CT$4=0,0,IF(COUNTIFS(実績!$W$6:$W$505,CT$3,実績!$AI$6:$AI$505,"&lt;="&amp;$A292,実績!$AJ$6:$AJ$505,"&gt;"&amp;$A292,実績!$AL$6:$AL$505,"○")&gt;0,1,0))</f>
        <v>0</v>
      </c>
      <c r="CU292" s="39" t="n">
        <f aca="false">IF(CU$4=0,0,IF(COUNTIFS(実績!$W$6:$W$505,CU$3,実績!$AI$6:$AI$505,"&lt;="&amp;$A292,実績!$AJ$6:$AJ$505,"&gt;"&amp;$A292,実績!$AL$6:$AL$505,"○")&gt;0,1,0))</f>
        <v>0</v>
      </c>
      <c r="CV292" s="39" t="n">
        <f aca="false">IF(CV$4=0,0,IF(COUNTIFS(実績!$W$6:$W$505,CV$3,実績!$AI$6:$AI$505,"&lt;="&amp;$A292,実績!$AJ$6:$AJ$505,"&gt;"&amp;$A292,実績!$AL$6:$AL$505,"○")&gt;0,1,0))</f>
        <v>0</v>
      </c>
      <c r="CW292" s="39" t="n">
        <f aca="false">IF(CW$4=0,0,IF(COUNTIFS(実績!$W$6:$W$505,CW$3,実績!$AI$6:$AI$505,"&lt;="&amp;$A292,実績!$AJ$6:$AJ$505,"&gt;"&amp;$A292,実績!$AL$6:$AL$505,"○")&gt;0,1,0))</f>
        <v>0</v>
      </c>
      <c r="CX292" s="39" t="n">
        <f aca="false">IF(CX$4=0,0,IF(COUNTIFS(実績!$W$6:$W$505,CX$3,実績!$AI$6:$AI$505,"&lt;="&amp;$A292,実績!$AJ$6:$AJ$505,"&gt;"&amp;$A292,実績!$AL$6:$AL$505,"○")&gt;0,1,0))</f>
        <v>0</v>
      </c>
      <c r="CY292" s="39" t="n">
        <f aca="false">IF(CY$4=0,0,IF(COUNTIFS(実績!$W$6:$W$505,CY$3,実績!$AI$6:$AI$505,"&lt;="&amp;$A292,実績!$AJ$6:$AJ$505,"&gt;"&amp;$A292,実績!$AL$6:$AL$505,"○")&gt;0,1,0))</f>
        <v>0</v>
      </c>
      <c r="CZ292" s="39" t="n">
        <f aca="false">IF(CZ$4=0,0,IF(COUNTIFS(実績!$W$6:$W$505,CZ$3,実績!$AI$6:$AI$505,"&lt;="&amp;$A292,実績!$AJ$6:$AJ$505,"&gt;"&amp;$A292,実績!$AL$6:$AL$505,"○")&gt;0,1,0))</f>
        <v>0</v>
      </c>
      <c r="DA292" s="39" t="n">
        <f aca="false">IF(DA$4=0,0,IF(COUNTIFS(実績!$W$6:$W$505,DA$3,実績!$AI$6:$AI$505,"&lt;="&amp;$A292,実績!$AJ$6:$AJ$505,"&gt;"&amp;$A292,実績!$AL$6:$AL$505,"○")&gt;0,1,0))</f>
        <v>0</v>
      </c>
      <c r="DB292" s="39" t="n">
        <f aca="false">IF(DB$4=0,0,IF(COUNTIFS(実績!$W$6:$W$505,DB$3,実績!$AI$6:$AI$505,"&lt;="&amp;$A292,実績!$AJ$6:$AJ$505,"&gt;"&amp;$A292,実績!$AL$6:$AL$505,"○")&gt;0,1,0))</f>
        <v>0</v>
      </c>
      <c r="DC292" s="39" t="n">
        <f aca="false">IF(DC$4=0,0,IF(COUNTIFS(実績!$W$6:$W$505,DC$3,実績!$AI$6:$AI$505,"&lt;="&amp;$A292,実績!$AJ$6:$AJ$505,"&gt;"&amp;$A292,実績!$AL$6:$AL$505,"○")&gt;0,1,0))</f>
        <v>0</v>
      </c>
      <c r="DD292" s="39" t="n">
        <f aca="false">IF(DD$4=0,0,IF(COUNTIFS(実績!$W$6:$W$505,DD$3,実績!$AI$6:$AI$505,"&lt;="&amp;$A292,実績!$AJ$6:$AJ$505,"&gt;"&amp;$A292,実績!$AL$6:$AL$505,"○")&gt;0,1,0))</f>
        <v>0</v>
      </c>
      <c r="DE292" s="39" t="n">
        <f aca="false">IF(DE$4=0,0,IF(COUNTIFS(実績!$W$6:$W$505,DE$3,実績!$AI$6:$AI$505,"&lt;="&amp;$A292,実績!$AJ$6:$AJ$505,"&gt;"&amp;$A292,実績!$AL$6:$AL$505,"○")&gt;0,1,0))</f>
        <v>0</v>
      </c>
      <c r="DF292" s="39" t="n">
        <f aca="false">IF(DF$4=0,0,IF(COUNTIFS(実績!$W$6:$W$505,DF$3,実績!$AI$6:$AI$505,"&lt;="&amp;$A292,実績!$AJ$6:$AJ$505,"&gt;"&amp;$A292,実績!$AL$6:$AL$505,"○")&gt;0,1,0))</f>
        <v>0</v>
      </c>
      <c r="DG292" s="39" t="n">
        <f aca="false">IF(DG$4=0,0,IF(COUNTIFS(実績!$W$6:$W$505,DG$3,実績!$AI$6:$AI$505,"&lt;="&amp;$A292,実績!$AJ$6:$AJ$505,"&gt;"&amp;$A292,実績!$AL$6:$AL$505,"○")&gt;0,1,0))</f>
        <v>0</v>
      </c>
      <c r="DH292" s="39" t="n">
        <f aca="false">IF(DH$4=0,0,IF(COUNTIFS(実績!$W$6:$W$505,DH$3,実績!$AI$6:$AI$505,"&lt;="&amp;$A292,実績!$AJ$6:$AJ$505,"&gt;"&amp;$A292,実績!$AL$6:$AL$505,"○")&gt;0,1,0))</f>
        <v>0</v>
      </c>
      <c r="DI292" s="39" t="n">
        <f aca="false">IF(DI$4=0,0,IF(COUNTIFS(実績!$W$6:$W$505,DI$3,実績!$AI$6:$AI$505,"&lt;="&amp;$A292,実績!$AJ$6:$AJ$505,"&gt;"&amp;$A292,実績!$AL$6:$AL$505,"○")&gt;0,1,0))</f>
        <v>0</v>
      </c>
      <c r="DJ292" s="39" t="n">
        <f aca="false">IF(DJ$4=0,0,IF(COUNTIFS(実績!$W$6:$W$505,DJ$3,実績!$AI$6:$AI$505,"&lt;="&amp;$A292,実績!$AJ$6:$AJ$505,"&gt;"&amp;$A292,実績!$AL$6:$AL$505,"○")&gt;0,1,0))</f>
        <v>0</v>
      </c>
      <c r="DK292" s="39" t="n">
        <f aca="false">IF(DK$4=0,0,IF(COUNTIFS(実績!$W$6:$W$505,DK$3,実績!$AI$6:$AI$505,"&lt;="&amp;$A292,実績!$AJ$6:$AJ$505,"&gt;"&amp;$A292,実績!$AL$6:$AL$505,"○")&gt;0,1,0))</f>
        <v>0</v>
      </c>
      <c r="DL292" s="39" t="n">
        <f aca="false">IF(DL$4=0,0,IF(COUNTIFS(実績!$W$6:$W$505,DL$3,実績!$AI$6:$AI$505,"&lt;="&amp;$A292,実績!$AJ$6:$AJ$505,"&gt;"&amp;$A292,実績!$AL$6:$AL$505,"○")&gt;0,1,0))</f>
        <v>0</v>
      </c>
      <c r="DM292" s="39" t="n">
        <f aca="false">IF(DM$4=0,0,IF(COUNTIFS(実績!$W$6:$W$505,DM$3,実績!$AI$6:$AI$505,"&lt;="&amp;$A292,実績!$AJ$6:$AJ$505,"&gt;"&amp;$A292,実績!$AL$6:$AL$505,"○")&gt;0,1,0))</f>
        <v>0</v>
      </c>
      <c r="DN292" s="39" t="n">
        <f aca="false">IF(DN$4=0,0,IF(COUNTIFS(実績!$W$6:$W$505,DN$3,実績!$AI$6:$AI$505,"&lt;="&amp;$A292,実績!$AJ$6:$AJ$505,"&gt;"&amp;$A292,実績!$AL$6:$AL$505,"○")&gt;0,1,0))</f>
        <v>0</v>
      </c>
      <c r="DO292" s="39" t="n">
        <f aca="false">IF(DO$4=0,0,IF(COUNTIFS(実績!$W$6:$W$505,DO$3,実績!$AI$6:$AI$505,"&lt;="&amp;$A292,実績!$AJ$6:$AJ$505,"&gt;"&amp;$A292,実績!$AL$6:$AL$505,"○")&gt;0,1,0))</f>
        <v>0</v>
      </c>
      <c r="DP292" s="39" t="n">
        <f aca="false">IF(DP$4=0,0,IF(COUNTIFS(実績!$W$6:$W$505,DP$3,実績!$AI$6:$AI$505,"&lt;="&amp;$A292,実績!$AJ$6:$AJ$505,"&gt;"&amp;$A292,実績!$AL$6:$AL$505,"○")&gt;0,1,0))</f>
        <v>0</v>
      </c>
      <c r="DQ292" s="39" t="n">
        <f aca="false">IF(DQ$4=0,0,IF(COUNTIFS(実績!$W$6:$W$505,DQ$3,実績!$AI$6:$AI$505,"&lt;="&amp;$A292,実績!$AJ$6:$AJ$505,"&gt;"&amp;$A292,実績!$AL$6:$AL$505,"○")&gt;0,1,0))</f>
        <v>0</v>
      </c>
      <c r="DR292" s="39" t="n">
        <f aca="false">IF(DR$4=0,0,IF(COUNTIFS(実績!$W$6:$W$505,DR$3,実績!$AI$6:$AI$505,"&lt;="&amp;$A292,実績!$AJ$6:$AJ$505,"&gt;"&amp;$A292,実績!$AL$6:$AL$505,"○")&gt;0,1,0))</f>
        <v>0</v>
      </c>
      <c r="DS292" s="39" t="n">
        <f aca="false">SUM(C292:DR292)</f>
        <v>0</v>
      </c>
    </row>
    <row r="293" customFormat="false" ht="15" hidden="false" customHeight="false" outlineLevel="0" collapsed="false">
      <c r="A293" s="0" t="n">
        <v>1435</v>
      </c>
      <c r="B293" s="38" t="n">
        <f aca="false">A293/1440</f>
        <v>0.996527777777778</v>
      </c>
      <c r="C293" s="39" t="n">
        <f aca="false">IF(C$4=0,0,IF(COUNTIFS(実績!$W$6:$W$505,C$3,実績!$AI$6:$AI$505,"&lt;="&amp;$A293,実績!$AJ$6:$AJ$505,"&gt;"&amp;$A293,実績!$AL$6:$AL$505,"○")&gt;0,1,0))</f>
        <v>0</v>
      </c>
      <c r="D293" s="39" t="n">
        <f aca="false">IF(D$4=0,0,IF(COUNTIFS(実績!$W$6:$W$505,D$3,実績!$AI$6:$AI$505,"&lt;="&amp;$A293,実績!$AJ$6:$AJ$505,"&gt;"&amp;$A293,実績!$AL$6:$AL$505,"○")&gt;0,1,0))</f>
        <v>0</v>
      </c>
      <c r="E293" s="39" t="n">
        <f aca="false">IF(E$4=0,0,IF(COUNTIFS(実績!$W$6:$W$505,E$3,実績!$AI$6:$AI$505,"&lt;="&amp;$A293,実績!$AJ$6:$AJ$505,"&gt;"&amp;$A293,実績!$AL$6:$AL$505,"○")&gt;0,1,0))</f>
        <v>0</v>
      </c>
      <c r="F293" s="39" t="n">
        <f aca="false">IF(F$4=0,0,IF(COUNTIFS(実績!$W$6:$W$505,F$3,実績!$AI$6:$AI$505,"&lt;="&amp;$A293,実績!$AJ$6:$AJ$505,"&gt;"&amp;$A293,実績!$AL$6:$AL$505,"○")&gt;0,1,0))</f>
        <v>0</v>
      </c>
      <c r="G293" s="39" t="n">
        <f aca="false">IF(G$4=0,0,IF(COUNTIFS(実績!$W$6:$W$505,G$3,実績!$AI$6:$AI$505,"&lt;="&amp;$A293,実績!$AJ$6:$AJ$505,"&gt;"&amp;$A293,実績!$AL$6:$AL$505,"○")&gt;0,1,0))</f>
        <v>0</v>
      </c>
      <c r="H293" s="39" t="n">
        <f aca="false">IF(H$4=0,0,IF(COUNTIFS(実績!$W$6:$W$505,H$3,実績!$AI$6:$AI$505,"&lt;="&amp;$A293,実績!$AJ$6:$AJ$505,"&gt;"&amp;$A293,実績!$AL$6:$AL$505,"○")&gt;0,1,0))</f>
        <v>0</v>
      </c>
      <c r="I293" s="39" t="n">
        <f aca="false">IF(I$4=0,0,IF(COUNTIFS(実績!$W$6:$W$505,I$3,実績!$AI$6:$AI$505,"&lt;="&amp;$A293,実績!$AJ$6:$AJ$505,"&gt;"&amp;$A293,実績!$AL$6:$AL$505,"○")&gt;0,1,0))</f>
        <v>0</v>
      </c>
      <c r="J293" s="39" t="n">
        <f aca="false">IF(J$4=0,0,IF(COUNTIFS(実績!$W$6:$W$505,J$3,実績!$AI$6:$AI$505,"&lt;="&amp;$A293,実績!$AJ$6:$AJ$505,"&gt;"&amp;$A293,実績!$AL$6:$AL$505,"○")&gt;0,1,0))</f>
        <v>0</v>
      </c>
      <c r="K293" s="39" t="n">
        <f aca="false">IF(K$4=0,0,IF(COUNTIFS(実績!$W$6:$W$505,K$3,実績!$AI$6:$AI$505,"&lt;="&amp;$A293,実績!$AJ$6:$AJ$505,"&gt;"&amp;$A293,実績!$AL$6:$AL$505,"○")&gt;0,1,0))</f>
        <v>0</v>
      </c>
      <c r="L293" s="39" t="n">
        <f aca="false">IF(L$4=0,0,IF(COUNTIFS(実績!$W$6:$W$505,L$3,実績!$AI$6:$AI$505,"&lt;="&amp;$A293,実績!$AJ$6:$AJ$505,"&gt;"&amp;$A293,実績!$AL$6:$AL$505,"○")&gt;0,1,0))</f>
        <v>0</v>
      </c>
      <c r="M293" s="39" t="n">
        <f aca="false">IF(M$4=0,0,IF(COUNTIFS(実績!$W$6:$W$505,M$3,実績!$AI$6:$AI$505,"&lt;="&amp;$A293,実績!$AJ$6:$AJ$505,"&gt;"&amp;$A293,実績!$AL$6:$AL$505,"○")&gt;0,1,0))</f>
        <v>0</v>
      </c>
      <c r="N293" s="39" t="n">
        <f aca="false">IF(N$4=0,0,IF(COUNTIFS(実績!$W$6:$W$505,N$3,実績!$AI$6:$AI$505,"&lt;="&amp;$A293,実績!$AJ$6:$AJ$505,"&gt;"&amp;$A293,実績!$AL$6:$AL$505,"○")&gt;0,1,0))</f>
        <v>0</v>
      </c>
      <c r="O293" s="39" t="n">
        <f aca="false">IF(O$4=0,0,IF(COUNTIFS(実績!$W$6:$W$505,O$3,実績!$AI$6:$AI$505,"&lt;="&amp;$A293,実績!$AJ$6:$AJ$505,"&gt;"&amp;$A293,実績!$AL$6:$AL$505,"○")&gt;0,1,0))</f>
        <v>0</v>
      </c>
      <c r="P293" s="39" t="n">
        <f aca="false">IF(P$4=0,0,IF(COUNTIFS(実績!$W$6:$W$505,P$3,実績!$AI$6:$AI$505,"&lt;="&amp;$A293,実績!$AJ$6:$AJ$505,"&gt;"&amp;$A293,実績!$AL$6:$AL$505,"○")&gt;0,1,0))</f>
        <v>0</v>
      </c>
      <c r="Q293" s="39" t="n">
        <f aca="false">IF(Q$4=0,0,IF(COUNTIFS(実績!$W$6:$W$505,Q$3,実績!$AI$6:$AI$505,"&lt;="&amp;$A293,実績!$AJ$6:$AJ$505,"&gt;"&amp;$A293,実績!$AL$6:$AL$505,"○")&gt;0,1,0))</f>
        <v>0</v>
      </c>
      <c r="R293" s="39" t="n">
        <f aca="false">IF(R$4=0,0,IF(COUNTIFS(実績!$W$6:$W$505,R$3,実績!$AI$6:$AI$505,"&lt;="&amp;$A293,実績!$AJ$6:$AJ$505,"&gt;"&amp;$A293,実績!$AL$6:$AL$505,"○")&gt;0,1,0))</f>
        <v>0</v>
      </c>
      <c r="S293" s="39" t="n">
        <f aca="false">IF(S$4=0,0,IF(COUNTIFS(実績!$W$6:$W$505,S$3,実績!$AI$6:$AI$505,"&lt;="&amp;$A293,実績!$AJ$6:$AJ$505,"&gt;"&amp;$A293,実績!$AL$6:$AL$505,"○")&gt;0,1,0))</f>
        <v>0</v>
      </c>
      <c r="T293" s="39" t="n">
        <f aca="false">IF(T$4=0,0,IF(COUNTIFS(実績!$W$6:$W$505,T$3,実績!$AI$6:$AI$505,"&lt;="&amp;$A293,実績!$AJ$6:$AJ$505,"&gt;"&amp;$A293,実績!$AL$6:$AL$505,"○")&gt;0,1,0))</f>
        <v>0</v>
      </c>
      <c r="U293" s="39" t="n">
        <f aca="false">IF(U$4=0,0,IF(COUNTIFS(実績!$W$6:$W$505,U$3,実績!$AI$6:$AI$505,"&lt;="&amp;$A293,実績!$AJ$6:$AJ$505,"&gt;"&amp;$A293,実績!$AL$6:$AL$505,"○")&gt;0,1,0))</f>
        <v>0</v>
      </c>
      <c r="V293" s="39" t="n">
        <f aca="false">IF(V$4=0,0,IF(COUNTIFS(実績!$W$6:$W$505,V$3,実績!$AI$6:$AI$505,"&lt;="&amp;$A293,実績!$AJ$6:$AJ$505,"&gt;"&amp;$A293,実績!$AL$6:$AL$505,"○")&gt;0,1,0))</f>
        <v>0</v>
      </c>
      <c r="W293" s="39" t="n">
        <f aca="false">IF(W$4=0,0,IF(COUNTIFS(実績!$W$6:$W$505,W$3,実績!$AI$6:$AI$505,"&lt;="&amp;$A293,実績!$AJ$6:$AJ$505,"&gt;"&amp;$A293,実績!$AL$6:$AL$505,"○")&gt;0,1,0))</f>
        <v>0</v>
      </c>
      <c r="X293" s="39" t="n">
        <f aca="false">IF(X$4=0,0,IF(COUNTIFS(実績!$W$6:$W$505,X$3,実績!$AI$6:$AI$505,"&lt;="&amp;$A293,実績!$AJ$6:$AJ$505,"&gt;"&amp;$A293,実績!$AL$6:$AL$505,"○")&gt;0,1,0))</f>
        <v>0</v>
      </c>
      <c r="Y293" s="39" t="n">
        <f aca="false">IF(Y$4=0,0,IF(COUNTIFS(実績!$W$6:$W$505,Y$3,実績!$AI$6:$AI$505,"&lt;="&amp;$A293,実績!$AJ$6:$AJ$505,"&gt;"&amp;$A293,実績!$AL$6:$AL$505,"○")&gt;0,1,0))</f>
        <v>0</v>
      </c>
      <c r="Z293" s="39" t="n">
        <f aca="false">IF(Z$4=0,0,IF(COUNTIFS(実績!$W$6:$W$505,Z$3,実績!$AI$6:$AI$505,"&lt;="&amp;$A293,実績!$AJ$6:$AJ$505,"&gt;"&amp;$A293,実績!$AL$6:$AL$505,"○")&gt;0,1,0))</f>
        <v>0</v>
      </c>
      <c r="AA293" s="39" t="n">
        <f aca="false">IF(AA$4=0,0,IF(COUNTIFS(実績!$W$6:$W$505,AA$3,実績!$AI$6:$AI$505,"&lt;="&amp;$A293,実績!$AJ$6:$AJ$505,"&gt;"&amp;$A293,実績!$AL$6:$AL$505,"○")&gt;0,1,0))</f>
        <v>0</v>
      </c>
      <c r="AB293" s="39" t="n">
        <f aca="false">IF(AB$4=0,0,IF(COUNTIFS(実績!$W$6:$W$505,AB$3,実績!$AI$6:$AI$505,"&lt;="&amp;$A293,実績!$AJ$6:$AJ$505,"&gt;"&amp;$A293,実績!$AL$6:$AL$505,"○")&gt;0,1,0))</f>
        <v>0</v>
      </c>
      <c r="AC293" s="39" t="n">
        <f aca="false">IF(AC$4=0,0,IF(COUNTIFS(実績!$W$6:$W$505,AC$3,実績!$AI$6:$AI$505,"&lt;="&amp;$A293,実績!$AJ$6:$AJ$505,"&gt;"&amp;$A293,実績!$AL$6:$AL$505,"○")&gt;0,1,0))</f>
        <v>0</v>
      </c>
      <c r="AD293" s="39" t="n">
        <f aca="false">IF(AD$4=0,0,IF(COUNTIFS(実績!$W$6:$W$505,AD$3,実績!$AI$6:$AI$505,"&lt;="&amp;$A293,実績!$AJ$6:$AJ$505,"&gt;"&amp;$A293,実績!$AL$6:$AL$505,"○")&gt;0,1,0))</f>
        <v>0</v>
      </c>
      <c r="AE293" s="39" t="n">
        <f aca="false">IF(AE$4=0,0,IF(COUNTIFS(実績!$W$6:$W$505,AE$3,実績!$AI$6:$AI$505,"&lt;="&amp;$A293,実績!$AJ$6:$AJ$505,"&gt;"&amp;$A293,実績!$AL$6:$AL$505,"○")&gt;0,1,0))</f>
        <v>0</v>
      </c>
      <c r="AF293" s="39" t="n">
        <f aca="false">IF(AF$4=0,0,IF(COUNTIFS(実績!$W$6:$W$505,AF$3,実績!$AI$6:$AI$505,"&lt;="&amp;$A293,実績!$AJ$6:$AJ$505,"&gt;"&amp;$A293,実績!$AL$6:$AL$505,"○")&gt;0,1,0))</f>
        <v>0</v>
      </c>
      <c r="AG293" s="39" t="n">
        <f aca="false">IF(AG$4=0,0,IF(COUNTIFS(実績!$W$6:$W$505,AG$3,実績!$AI$6:$AI$505,"&lt;="&amp;$A293,実績!$AJ$6:$AJ$505,"&gt;"&amp;$A293,実績!$AL$6:$AL$505,"○")&gt;0,1,0))</f>
        <v>0</v>
      </c>
      <c r="AH293" s="39" t="n">
        <f aca="false">IF(AH$4=0,0,IF(COUNTIFS(実績!$W$6:$W$505,AH$3,実績!$AI$6:$AI$505,"&lt;="&amp;$A293,実績!$AJ$6:$AJ$505,"&gt;"&amp;$A293,実績!$AL$6:$AL$505,"○")&gt;0,1,0))</f>
        <v>0</v>
      </c>
      <c r="AI293" s="39" t="n">
        <f aca="false">IF(AI$4=0,0,IF(COUNTIFS(実績!$W$6:$W$505,AI$3,実績!$AI$6:$AI$505,"&lt;="&amp;$A293,実績!$AJ$6:$AJ$505,"&gt;"&amp;$A293,実績!$AL$6:$AL$505,"○")&gt;0,1,0))</f>
        <v>0</v>
      </c>
      <c r="AJ293" s="39" t="n">
        <f aca="false">IF(AJ$4=0,0,IF(COUNTIFS(実績!$W$6:$W$505,AJ$3,実績!$AI$6:$AI$505,"&lt;="&amp;$A293,実績!$AJ$6:$AJ$505,"&gt;"&amp;$A293,実績!$AL$6:$AL$505,"○")&gt;0,1,0))</f>
        <v>0</v>
      </c>
      <c r="AK293" s="39" t="n">
        <f aca="false">IF(AK$4=0,0,IF(COUNTIFS(実績!$W$6:$W$505,AK$3,実績!$AI$6:$AI$505,"&lt;="&amp;$A293,実績!$AJ$6:$AJ$505,"&gt;"&amp;$A293,実績!$AL$6:$AL$505,"○")&gt;0,1,0))</f>
        <v>0</v>
      </c>
      <c r="AL293" s="39" t="n">
        <f aca="false">IF(AL$4=0,0,IF(COUNTIFS(実績!$W$6:$W$505,AL$3,実績!$AI$6:$AI$505,"&lt;="&amp;$A293,実績!$AJ$6:$AJ$505,"&gt;"&amp;$A293,実績!$AL$6:$AL$505,"○")&gt;0,1,0))</f>
        <v>0</v>
      </c>
      <c r="AM293" s="39" t="n">
        <f aca="false">IF(AM$4=0,0,IF(COUNTIFS(実績!$W$6:$W$505,AM$3,実績!$AI$6:$AI$505,"&lt;="&amp;$A293,実績!$AJ$6:$AJ$505,"&gt;"&amp;$A293,実績!$AL$6:$AL$505,"○")&gt;0,1,0))</f>
        <v>0</v>
      </c>
      <c r="AN293" s="39" t="n">
        <f aca="false">IF(AN$4=0,0,IF(COUNTIFS(実績!$W$6:$W$505,AN$3,実績!$AI$6:$AI$505,"&lt;="&amp;$A293,実績!$AJ$6:$AJ$505,"&gt;"&amp;$A293,実績!$AL$6:$AL$505,"○")&gt;0,1,0))</f>
        <v>0</v>
      </c>
      <c r="AO293" s="39" t="n">
        <f aca="false">IF(AO$4=0,0,IF(COUNTIFS(実績!$W$6:$W$505,AO$3,実績!$AI$6:$AI$505,"&lt;="&amp;$A293,実績!$AJ$6:$AJ$505,"&gt;"&amp;$A293,実績!$AL$6:$AL$505,"○")&gt;0,1,0))</f>
        <v>0</v>
      </c>
      <c r="AP293" s="39" t="n">
        <f aca="false">IF(AP$4=0,0,IF(COUNTIFS(実績!$W$6:$W$505,AP$3,実績!$AI$6:$AI$505,"&lt;="&amp;$A293,実績!$AJ$6:$AJ$505,"&gt;"&amp;$A293,実績!$AL$6:$AL$505,"○")&gt;0,1,0))</f>
        <v>0</v>
      </c>
      <c r="AQ293" s="39" t="n">
        <f aca="false">IF(AQ$4=0,0,IF(COUNTIFS(実績!$W$6:$W$505,AQ$3,実績!$AI$6:$AI$505,"&lt;="&amp;$A293,実績!$AJ$6:$AJ$505,"&gt;"&amp;$A293,実績!$AL$6:$AL$505,"○")&gt;0,1,0))</f>
        <v>0</v>
      </c>
      <c r="AR293" s="39" t="n">
        <f aca="false">IF(AR$4=0,0,IF(COUNTIFS(実績!$W$6:$W$505,AR$3,実績!$AI$6:$AI$505,"&lt;="&amp;$A293,実績!$AJ$6:$AJ$505,"&gt;"&amp;$A293,実績!$AL$6:$AL$505,"○")&gt;0,1,0))</f>
        <v>0</v>
      </c>
      <c r="AS293" s="39" t="n">
        <f aca="false">IF(AS$4=0,0,IF(COUNTIFS(実績!$W$6:$W$505,AS$3,実績!$AI$6:$AI$505,"&lt;="&amp;$A293,実績!$AJ$6:$AJ$505,"&gt;"&amp;$A293,実績!$AL$6:$AL$505,"○")&gt;0,1,0))</f>
        <v>0</v>
      </c>
      <c r="AT293" s="39" t="n">
        <f aca="false">IF(AT$4=0,0,IF(COUNTIFS(実績!$W$6:$W$505,AT$3,実績!$AI$6:$AI$505,"&lt;="&amp;$A293,実績!$AJ$6:$AJ$505,"&gt;"&amp;$A293,実績!$AL$6:$AL$505,"○")&gt;0,1,0))</f>
        <v>0</v>
      </c>
      <c r="AU293" s="39" t="n">
        <f aca="false">IF(AU$4=0,0,IF(COUNTIFS(実績!$W$6:$W$505,AU$3,実績!$AI$6:$AI$505,"&lt;="&amp;$A293,実績!$AJ$6:$AJ$505,"&gt;"&amp;$A293,実績!$AL$6:$AL$505,"○")&gt;0,1,0))</f>
        <v>0</v>
      </c>
      <c r="AV293" s="39" t="n">
        <f aca="false">IF(AV$4=0,0,IF(COUNTIFS(実績!$W$6:$W$505,AV$3,実績!$AI$6:$AI$505,"&lt;="&amp;$A293,実績!$AJ$6:$AJ$505,"&gt;"&amp;$A293,実績!$AL$6:$AL$505,"○")&gt;0,1,0))</f>
        <v>0</v>
      </c>
      <c r="AW293" s="39" t="n">
        <f aca="false">IF(AW$4=0,0,IF(COUNTIFS(実績!$W$6:$W$505,AW$3,実績!$AI$6:$AI$505,"&lt;="&amp;$A293,実績!$AJ$6:$AJ$505,"&gt;"&amp;$A293,実績!$AL$6:$AL$505,"○")&gt;0,1,0))</f>
        <v>0</v>
      </c>
      <c r="AX293" s="39" t="n">
        <f aca="false">IF(AX$4=0,0,IF(COUNTIFS(実績!$W$6:$W$505,AX$3,実績!$AI$6:$AI$505,"&lt;="&amp;$A293,実績!$AJ$6:$AJ$505,"&gt;"&amp;$A293,実績!$AL$6:$AL$505,"○")&gt;0,1,0))</f>
        <v>0</v>
      </c>
      <c r="AY293" s="39" t="n">
        <f aca="false">IF(AY$4=0,0,IF(COUNTIFS(実績!$W$6:$W$505,AY$3,実績!$AI$6:$AI$505,"&lt;="&amp;$A293,実績!$AJ$6:$AJ$505,"&gt;"&amp;$A293,実績!$AL$6:$AL$505,"○")&gt;0,1,0))</f>
        <v>0</v>
      </c>
      <c r="AZ293" s="39" t="n">
        <f aca="false">IF(AZ$4=0,0,IF(COUNTIFS(実績!$W$6:$W$505,AZ$3,実績!$AI$6:$AI$505,"&lt;="&amp;$A293,実績!$AJ$6:$AJ$505,"&gt;"&amp;$A293,実績!$AL$6:$AL$505,"○")&gt;0,1,0))</f>
        <v>0</v>
      </c>
      <c r="BA293" s="39" t="n">
        <f aca="false">IF(BA$4=0,0,IF(COUNTIFS(実績!$W$6:$W$505,BA$3,実績!$AI$6:$AI$505,"&lt;="&amp;$A293,実績!$AJ$6:$AJ$505,"&gt;"&amp;$A293,実績!$AL$6:$AL$505,"○")&gt;0,1,0))</f>
        <v>0</v>
      </c>
      <c r="BB293" s="39" t="n">
        <f aca="false">IF(BB$4=0,0,IF(COUNTIFS(実績!$W$6:$W$505,BB$3,実績!$AI$6:$AI$505,"&lt;="&amp;$A293,実績!$AJ$6:$AJ$505,"&gt;"&amp;$A293,実績!$AL$6:$AL$505,"○")&gt;0,1,0))</f>
        <v>0</v>
      </c>
      <c r="BC293" s="39" t="n">
        <f aca="false">IF(BC$4=0,0,IF(COUNTIFS(実績!$W$6:$W$505,BC$3,実績!$AI$6:$AI$505,"&lt;="&amp;$A293,実績!$AJ$6:$AJ$505,"&gt;"&amp;$A293,実績!$AL$6:$AL$505,"○")&gt;0,1,0))</f>
        <v>0</v>
      </c>
      <c r="BD293" s="39" t="n">
        <f aca="false">IF(BD$4=0,0,IF(COUNTIFS(実績!$W$6:$W$505,BD$3,実績!$AI$6:$AI$505,"&lt;="&amp;$A293,実績!$AJ$6:$AJ$505,"&gt;"&amp;$A293,実績!$AL$6:$AL$505,"○")&gt;0,1,0))</f>
        <v>0</v>
      </c>
      <c r="BE293" s="39" t="n">
        <f aca="false">IF(BE$4=0,0,IF(COUNTIFS(実績!$W$6:$W$505,BE$3,実績!$AI$6:$AI$505,"&lt;="&amp;$A293,実績!$AJ$6:$AJ$505,"&gt;"&amp;$A293,実績!$AL$6:$AL$505,"○")&gt;0,1,0))</f>
        <v>0</v>
      </c>
      <c r="BF293" s="39" t="n">
        <f aca="false">IF(BF$4=0,0,IF(COUNTIFS(実績!$W$6:$W$505,BF$3,実績!$AI$6:$AI$505,"&lt;="&amp;$A293,実績!$AJ$6:$AJ$505,"&gt;"&amp;$A293,実績!$AL$6:$AL$505,"○")&gt;0,1,0))</f>
        <v>0</v>
      </c>
      <c r="BG293" s="39" t="n">
        <f aca="false">IF(BG$4=0,0,IF(COUNTIFS(実績!$W$6:$W$505,BG$3,実績!$AI$6:$AI$505,"&lt;="&amp;$A293,実績!$AJ$6:$AJ$505,"&gt;"&amp;$A293,実績!$AL$6:$AL$505,"○")&gt;0,1,0))</f>
        <v>0</v>
      </c>
      <c r="BH293" s="39" t="n">
        <f aca="false">IF(BH$4=0,0,IF(COUNTIFS(実績!$W$6:$W$505,BH$3,実績!$AI$6:$AI$505,"&lt;="&amp;$A293,実績!$AJ$6:$AJ$505,"&gt;"&amp;$A293,実績!$AL$6:$AL$505,"○")&gt;0,1,0))</f>
        <v>0</v>
      </c>
      <c r="BI293" s="39" t="n">
        <f aca="false">IF(BI$4=0,0,IF(COUNTIFS(実績!$W$6:$W$505,BI$3,実績!$AI$6:$AI$505,"&lt;="&amp;$A293,実績!$AJ$6:$AJ$505,"&gt;"&amp;$A293,実績!$AL$6:$AL$505,"○")&gt;0,1,0))</f>
        <v>0</v>
      </c>
      <c r="BJ293" s="39" t="n">
        <f aca="false">IF(BJ$4=0,0,IF(COUNTIFS(実績!$W$6:$W$505,BJ$3,実績!$AI$6:$AI$505,"&lt;="&amp;$A293,実績!$AJ$6:$AJ$505,"&gt;"&amp;$A293,実績!$AL$6:$AL$505,"○")&gt;0,1,0))</f>
        <v>0</v>
      </c>
      <c r="BK293" s="39" t="n">
        <f aca="false">IF(BK$4=0,0,IF(COUNTIFS(実績!$W$6:$W$505,BK$3,実績!$AI$6:$AI$505,"&lt;="&amp;$A293,実績!$AJ$6:$AJ$505,"&gt;"&amp;$A293,実績!$AL$6:$AL$505,"○")&gt;0,1,0))</f>
        <v>0</v>
      </c>
      <c r="BL293" s="39" t="n">
        <f aca="false">IF(BL$4=0,0,IF(COUNTIFS(実績!$W$6:$W$505,BL$3,実績!$AI$6:$AI$505,"&lt;="&amp;$A293,実績!$AJ$6:$AJ$505,"&gt;"&amp;$A293,実績!$AL$6:$AL$505,"○")&gt;0,1,0))</f>
        <v>0</v>
      </c>
      <c r="BM293" s="39" t="n">
        <f aca="false">IF(BM$4=0,0,IF(COUNTIFS(実績!$W$6:$W$505,BM$3,実績!$AI$6:$AI$505,"&lt;="&amp;$A293,実績!$AJ$6:$AJ$505,"&gt;"&amp;$A293,実績!$AL$6:$AL$505,"○")&gt;0,1,0))</f>
        <v>0</v>
      </c>
      <c r="BN293" s="39" t="n">
        <f aca="false">IF(BN$4=0,0,IF(COUNTIFS(実績!$W$6:$W$505,BN$3,実績!$AI$6:$AI$505,"&lt;="&amp;$A293,実績!$AJ$6:$AJ$505,"&gt;"&amp;$A293,実績!$AL$6:$AL$505,"○")&gt;0,1,0))</f>
        <v>0</v>
      </c>
      <c r="BO293" s="39" t="n">
        <f aca="false">IF(BO$4=0,0,IF(COUNTIFS(実績!$W$6:$W$505,BO$3,実績!$AI$6:$AI$505,"&lt;="&amp;$A293,実績!$AJ$6:$AJ$505,"&gt;"&amp;$A293,実績!$AL$6:$AL$505,"○")&gt;0,1,0))</f>
        <v>0</v>
      </c>
      <c r="BP293" s="39" t="n">
        <f aca="false">IF(BP$4=0,0,IF(COUNTIFS(実績!$W$6:$W$505,BP$3,実績!$AI$6:$AI$505,"&lt;="&amp;$A293,実績!$AJ$6:$AJ$505,"&gt;"&amp;$A293,実績!$AL$6:$AL$505,"○")&gt;0,1,0))</f>
        <v>0</v>
      </c>
      <c r="BQ293" s="39" t="n">
        <f aca="false">IF(BQ$4=0,0,IF(COUNTIFS(実績!$W$6:$W$505,BQ$3,実績!$AI$6:$AI$505,"&lt;="&amp;$A293,実績!$AJ$6:$AJ$505,"&gt;"&amp;$A293,実績!$AL$6:$AL$505,"○")&gt;0,1,0))</f>
        <v>0</v>
      </c>
      <c r="BR293" s="39" t="n">
        <f aca="false">IF(BR$4=0,0,IF(COUNTIFS(実績!$W$6:$W$505,BR$3,実績!$AI$6:$AI$505,"&lt;="&amp;$A293,実績!$AJ$6:$AJ$505,"&gt;"&amp;$A293,実績!$AL$6:$AL$505,"○")&gt;0,1,0))</f>
        <v>0</v>
      </c>
      <c r="BS293" s="39" t="n">
        <f aca="false">IF(BS$4=0,0,IF(COUNTIFS(実績!$W$6:$W$505,BS$3,実績!$AI$6:$AI$505,"&lt;="&amp;$A293,実績!$AJ$6:$AJ$505,"&gt;"&amp;$A293,実績!$AL$6:$AL$505,"○")&gt;0,1,0))</f>
        <v>0</v>
      </c>
      <c r="BT293" s="39" t="n">
        <f aca="false">IF(BT$4=0,0,IF(COUNTIFS(実績!$W$6:$W$505,BT$3,実績!$AI$6:$AI$505,"&lt;="&amp;$A293,実績!$AJ$6:$AJ$505,"&gt;"&amp;$A293,実績!$AL$6:$AL$505,"○")&gt;0,1,0))</f>
        <v>0</v>
      </c>
      <c r="BU293" s="39" t="n">
        <f aca="false">IF(BU$4=0,0,IF(COUNTIFS(実績!$W$6:$W$505,BU$3,実績!$AI$6:$AI$505,"&lt;="&amp;$A293,実績!$AJ$6:$AJ$505,"&gt;"&amp;$A293,実績!$AL$6:$AL$505,"○")&gt;0,1,0))</f>
        <v>0</v>
      </c>
      <c r="BV293" s="39" t="n">
        <f aca="false">IF(BV$4=0,0,IF(COUNTIFS(実績!$W$6:$W$505,BV$3,実績!$AI$6:$AI$505,"&lt;="&amp;$A293,実績!$AJ$6:$AJ$505,"&gt;"&amp;$A293,実績!$AL$6:$AL$505,"○")&gt;0,1,0))</f>
        <v>0</v>
      </c>
      <c r="BW293" s="39" t="n">
        <f aca="false">IF(BW$4=0,0,IF(COUNTIFS(実績!$W$6:$W$505,BW$3,実績!$AI$6:$AI$505,"&lt;="&amp;$A293,実績!$AJ$6:$AJ$505,"&gt;"&amp;$A293,実績!$AL$6:$AL$505,"○")&gt;0,1,0))</f>
        <v>0</v>
      </c>
      <c r="BX293" s="39" t="n">
        <f aca="false">IF(BX$4=0,0,IF(COUNTIFS(実績!$W$6:$W$505,BX$3,実績!$AI$6:$AI$505,"&lt;="&amp;$A293,実績!$AJ$6:$AJ$505,"&gt;"&amp;$A293,実績!$AL$6:$AL$505,"○")&gt;0,1,0))</f>
        <v>0</v>
      </c>
      <c r="BY293" s="39" t="n">
        <f aca="false">IF(BY$4=0,0,IF(COUNTIFS(実績!$W$6:$W$505,BY$3,実績!$AI$6:$AI$505,"&lt;="&amp;$A293,実績!$AJ$6:$AJ$505,"&gt;"&amp;$A293,実績!$AL$6:$AL$505,"○")&gt;0,1,0))</f>
        <v>0</v>
      </c>
      <c r="BZ293" s="39" t="n">
        <f aca="false">IF(BZ$4=0,0,IF(COUNTIFS(実績!$W$6:$W$505,BZ$3,実績!$AI$6:$AI$505,"&lt;="&amp;$A293,実績!$AJ$6:$AJ$505,"&gt;"&amp;$A293,実績!$AL$6:$AL$505,"○")&gt;0,1,0))</f>
        <v>0</v>
      </c>
      <c r="CA293" s="39" t="n">
        <f aca="false">IF(CA$4=0,0,IF(COUNTIFS(実績!$W$6:$W$505,CA$3,実績!$AI$6:$AI$505,"&lt;="&amp;$A293,実績!$AJ$6:$AJ$505,"&gt;"&amp;$A293,実績!$AL$6:$AL$505,"○")&gt;0,1,0))</f>
        <v>0</v>
      </c>
      <c r="CB293" s="39" t="n">
        <f aca="false">IF(CB$4=0,0,IF(COUNTIFS(実績!$W$6:$W$505,CB$3,実績!$AI$6:$AI$505,"&lt;="&amp;$A293,実績!$AJ$6:$AJ$505,"&gt;"&amp;$A293,実績!$AL$6:$AL$505,"○")&gt;0,1,0))</f>
        <v>0</v>
      </c>
      <c r="CC293" s="39" t="n">
        <f aca="false">IF(CC$4=0,0,IF(COUNTIFS(実績!$W$6:$W$505,CC$3,実績!$AI$6:$AI$505,"&lt;="&amp;$A293,実績!$AJ$6:$AJ$505,"&gt;"&amp;$A293,実績!$AL$6:$AL$505,"○")&gt;0,1,0))</f>
        <v>0</v>
      </c>
      <c r="CD293" s="39" t="n">
        <f aca="false">IF(CD$4=0,0,IF(COUNTIFS(実績!$W$6:$W$505,CD$3,実績!$AI$6:$AI$505,"&lt;="&amp;$A293,実績!$AJ$6:$AJ$505,"&gt;"&amp;$A293,実績!$AL$6:$AL$505,"○")&gt;0,1,0))</f>
        <v>0</v>
      </c>
      <c r="CE293" s="39" t="n">
        <f aca="false">IF(CE$4=0,0,IF(COUNTIFS(実績!$W$6:$W$505,CE$3,実績!$AI$6:$AI$505,"&lt;="&amp;$A293,実績!$AJ$6:$AJ$505,"&gt;"&amp;$A293,実績!$AL$6:$AL$505,"○")&gt;0,1,0))</f>
        <v>0</v>
      </c>
      <c r="CF293" s="39" t="n">
        <f aca="false">IF(CF$4=0,0,IF(COUNTIFS(実績!$W$6:$W$505,CF$3,実績!$AI$6:$AI$505,"&lt;="&amp;$A293,実績!$AJ$6:$AJ$505,"&gt;"&amp;$A293,実績!$AL$6:$AL$505,"○")&gt;0,1,0))</f>
        <v>0</v>
      </c>
      <c r="CG293" s="39" t="n">
        <f aca="false">IF(CG$4=0,0,IF(COUNTIFS(実績!$W$6:$W$505,CG$3,実績!$AI$6:$AI$505,"&lt;="&amp;$A293,実績!$AJ$6:$AJ$505,"&gt;"&amp;$A293,実績!$AL$6:$AL$505,"○")&gt;0,1,0))</f>
        <v>0</v>
      </c>
      <c r="CH293" s="39" t="n">
        <f aca="false">IF(CH$4=0,0,IF(COUNTIFS(実績!$W$6:$W$505,CH$3,実績!$AI$6:$AI$505,"&lt;="&amp;$A293,実績!$AJ$6:$AJ$505,"&gt;"&amp;$A293,実績!$AL$6:$AL$505,"○")&gt;0,1,0))</f>
        <v>0</v>
      </c>
      <c r="CI293" s="39" t="n">
        <f aca="false">IF(CI$4=0,0,IF(COUNTIFS(実績!$W$6:$W$505,CI$3,実績!$AI$6:$AI$505,"&lt;="&amp;$A293,実績!$AJ$6:$AJ$505,"&gt;"&amp;$A293,実績!$AL$6:$AL$505,"○")&gt;0,1,0))</f>
        <v>0</v>
      </c>
      <c r="CJ293" s="39" t="n">
        <f aca="false">IF(CJ$4=0,0,IF(COUNTIFS(実績!$W$6:$W$505,CJ$3,実績!$AI$6:$AI$505,"&lt;="&amp;$A293,実績!$AJ$6:$AJ$505,"&gt;"&amp;$A293,実績!$AL$6:$AL$505,"○")&gt;0,1,0))</f>
        <v>0</v>
      </c>
      <c r="CK293" s="39" t="n">
        <f aca="false">IF(CK$4=0,0,IF(COUNTIFS(実績!$W$6:$W$505,CK$3,実績!$AI$6:$AI$505,"&lt;="&amp;$A293,実績!$AJ$6:$AJ$505,"&gt;"&amp;$A293,実績!$AL$6:$AL$505,"○")&gt;0,1,0))</f>
        <v>0</v>
      </c>
      <c r="CL293" s="39" t="n">
        <f aca="false">IF(CL$4=0,0,IF(COUNTIFS(実績!$W$6:$W$505,CL$3,実績!$AI$6:$AI$505,"&lt;="&amp;$A293,実績!$AJ$6:$AJ$505,"&gt;"&amp;$A293,実績!$AL$6:$AL$505,"○")&gt;0,1,0))</f>
        <v>0</v>
      </c>
      <c r="CM293" s="39" t="n">
        <f aca="false">IF(CM$4=0,0,IF(COUNTIFS(実績!$W$6:$W$505,CM$3,実績!$AI$6:$AI$505,"&lt;="&amp;$A293,実績!$AJ$6:$AJ$505,"&gt;"&amp;$A293,実績!$AL$6:$AL$505,"○")&gt;0,1,0))</f>
        <v>0</v>
      </c>
      <c r="CN293" s="39" t="n">
        <f aca="false">IF(CN$4=0,0,IF(COUNTIFS(実績!$W$6:$W$505,CN$3,実績!$AI$6:$AI$505,"&lt;="&amp;$A293,実績!$AJ$6:$AJ$505,"&gt;"&amp;$A293,実績!$AL$6:$AL$505,"○")&gt;0,1,0))</f>
        <v>0</v>
      </c>
      <c r="CO293" s="39" t="n">
        <f aca="false">IF(CO$4=0,0,IF(COUNTIFS(実績!$W$6:$W$505,CO$3,実績!$AI$6:$AI$505,"&lt;="&amp;$A293,実績!$AJ$6:$AJ$505,"&gt;"&amp;$A293,実績!$AL$6:$AL$505,"○")&gt;0,1,0))</f>
        <v>0</v>
      </c>
      <c r="CP293" s="39" t="n">
        <f aca="false">IF(CP$4=0,0,IF(COUNTIFS(実績!$W$6:$W$505,CP$3,実績!$AI$6:$AI$505,"&lt;="&amp;$A293,実績!$AJ$6:$AJ$505,"&gt;"&amp;$A293,実績!$AL$6:$AL$505,"○")&gt;0,1,0))</f>
        <v>0</v>
      </c>
      <c r="CQ293" s="39" t="n">
        <f aca="false">IF(CQ$4=0,0,IF(COUNTIFS(実績!$W$6:$W$505,CQ$3,実績!$AI$6:$AI$505,"&lt;="&amp;$A293,実績!$AJ$6:$AJ$505,"&gt;"&amp;$A293,実績!$AL$6:$AL$505,"○")&gt;0,1,0))</f>
        <v>0</v>
      </c>
      <c r="CR293" s="39" t="n">
        <f aca="false">IF(CR$4=0,0,IF(COUNTIFS(実績!$W$6:$W$505,CR$3,実績!$AI$6:$AI$505,"&lt;="&amp;$A293,実績!$AJ$6:$AJ$505,"&gt;"&amp;$A293,実績!$AL$6:$AL$505,"○")&gt;0,1,0))</f>
        <v>0</v>
      </c>
      <c r="CS293" s="39" t="n">
        <f aca="false">IF(CS$4=0,0,IF(COUNTIFS(実績!$W$6:$W$505,CS$3,実績!$AI$6:$AI$505,"&lt;="&amp;$A293,実績!$AJ$6:$AJ$505,"&gt;"&amp;$A293,実績!$AL$6:$AL$505,"○")&gt;0,1,0))</f>
        <v>0</v>
      </c>
      <c r="CT293" s="39" t="n">
        <f aca="false">IF(CT$4=0,0,IF(COUNTIFS(実績!$W$6:$W$505,CT$3,実績!$AI$6:$AI$505,"&lt;="&amp;$A293,実績!$AJ$6:$AJ$505,"&gt;"&amp;$A293,実績!$AL$6:$AL$505,"○")&gt;0,1,0))</f>
        <v>0</v>
      </c>
      <c r="CU293" s="39" t="n">
        <f aca="false">IF(CU$4=0,0,IF(COUNTIFS(実績!$W$6:$W$505,CU$3,実績!$AI$6:$AI$505,"&lt;="&amp;$A293,実績!$AJ$6:$AJ$505,"&gt;"&amp;$A293,実績!$AL$6:$AL$505,"○")&gt;0,1,0))</f>
        <v>0</v>
      </c>
      <c r="CV293" s="39" t="n">
        <f aca="false">IF(CV$4=0,0,IF(COUNTIFS(実績!$W$6:$W$505,CV$3,実績!$AI$6:$AI$505,"&lt;="&amp;$A293,実績!$AJ$6:$AJ$505,"&gt;"&amp;$A293,実績!$AL$6:$AL$505,"○")&gt;0,1,0))</f>
        <v>0</v>
      </c>
      <c r="CW293" s="39" t="n">
        <f aca="false">IF(CW$4=0,0,IF(COUNTIFS(実績!$W$6:$W$505,CW$3,実績!$AI$6:$AI$505,"&lt;="&amp;$A293,実績!$AJ$6:$AJ$505,"&gt;"&amp;$A293,実績!$AL$6:$AL$505,"○")&gt;0,1,0))</f>
        <v>0</v>
      </c>
      <c r="CX293" s="39" t="n">
        <f aca="false">IF(CX$4=0,0,IF(COUNTIFS(実績!$W$6:$W$505,CX$3,実績!$AI$6:$AI$505,"&lt;="&amp;$A293,実績!$AJ$6:$AJ$505,"&gt;"&amp;$A293,実績!$AL$6:$AL$505,"○")&gt;0,1,0))</f>
        <v>0</v>
      </c>
      <c r="CY293" s="39" t="n">
        <f aca="false">IF(CY$4=0,0,IF(COUNTIFS(実績!$W$6:$W$505,CY$3,実績!$AI$6:$AI$505,"&lt;="&amp;$A293,実績!$AJ$6:$AJ$505,"&gt;"&amp;$A293,実績!$AL$6:$AL$505,"○")&gt;0,1,0))</f>
        <v>0</v>
      </c>
      <c r="CZ293" s="39" t="n">
        <f aca="false">IF(CZ$4=0,0,IF(COUNTIFS(実績!$W$6:$W$505,CZ$3,実績!$AI$6:$AI$505,"&lt;="&amp;$A293,実績!$AJ$6:$AJ$505,"&gt;"&amp;$A293,実績!$AL$6:$AL$505,"○")&gt;0,1,0))</f>
        <v>0</v>
      </c>
      <c r="DA293" s="39" t="n">
        <f aca="false">IF(DA$4=0,0,IF(COUNTIFS(実績!$W$6:$W$505,DA$3,実績!$AI$6:$AI$505,"&lt;="&amp;$A293,実績!$AJ$6:$AJ$505,"&gt;"&amp;$A293,実績!$AL$6:$AL$505,"○")&gt;0,1,0))</f>
        <v>0</v>
      </c>
      <c r="DB293" s="39" t="n">
        <f aca="false">IF(DB$4=0,0,IF(COUNTIFS(実績!$W$6:$W$505,DB$3,実績!$AI$6:$AI$505,"&lt;="&amp;$A293,実績!$AJ$6:$AJ$505,"&gt;"&amp;$A293,実績!$AL$6:$AL$505,"○")&gt;0,1,0))</f>
        <v>0</v>
      </c>
      <c r="DC293" s="39" t="n">
        <f aca="false">IF(DC$4=0,0,IF(COUNTIFS(実績!$W$6:$W$505,DC$3,実績!$AI$6:$AI$505,"&lt;="&amp;$A293,実績!$AJ$6:$AJ$505,"&gt;"&amp;$A293,実績!$AL$6:$AL$505,"○")&gt;0,1,0))</f>
        <v>0</v>
      </c>
      <c r="DD293" s="39" t="n">
        <f aca="false">IF(DD$4=0,0,IF(COUNTIFS(実績!$W$6:$W$505,DD$3,実績!$AI$6:$AI$505,"&lt;="&amp;$A293,実績!$AJ$6:$AJ$505,"&gt;"&amp;$A293,実績!$AL$6:$AL$505,"○")&gt;0,1,0))</f>
        <v>0</v>
      </c>
      <c r="DE293" s="39" t="n">
        <f aca="false">IF(DE$4=0,0,IF(COUNTIFS(実績!$W$6:$W$505,DE$3,実績!$AI$6:$AI$505,"&lt;="&amp;$A293,実績!$AJ$6:$AJ$505,"&gt;"&amp;$A293,実績!$AL$6:$AL$505,"○")&gt;0,1,0))</f>
        <v>0</v>
      </c>
      <c r="DF293" s="39" t="n">
        <f aca="false">IF(DF$4=0,0,IF(COUNTIFS(実績!$W$6:$W$505,DF$3,実績!$AI$6:$AI$505,"&lt;="&amp;$A293,実績!$AJ$6:$AJ$505,"&gt;"&amp;$A293,実績!$AL$6:$AL$505,"○")&gt;0,1,0))</f>
        <v>0</v>
      </c>
      <c r="DG293" s="39" t="n">
        <f aca="false">IF(DG$4=0,0,IF(COUNTIFS(実績!$W$6:$W$505,DG$3,実績!$AI$6:$AI$505,"&lt;="&amp;$A293,実績!$AJ$6:$AJ$505,"&gt;"&amp;$A293,実績!$AL$6:$AL$505,"○")&gt;0,1,0))</f>
        <v>0</v>
      </c>
      <c r="DH293" s="39" t="n">
        <f aca="false">IF(DH$4=0,0,IF(COUNTIFS(実績!$W$6:$W$505,DH$3,実績!$AI$6:$AI$505,"&lt;="&amp;$A293,実績!$AJ$6:$AJ$505,"&gt;"&amp;$A293,実績!$AL$6:$AL$505,"○")&gt;0,1,0))</f>
        <v>0</v>
      </c>
      <c r="DI293" s="39" t="n">
        <f aca="false">IF(DI$4=0,0,IF(COUNTIFS(実績!$W$6:$W$505,DI$3,実績!$AI$6:$AI$505,"&lt;="&amp;$A293,実績!$AJ$6:$AJ$505,"&gt;"&amp;$A293,実績!$AL$6:$AL$505,"○")&gt;0,1,0))</f>
        <v>0</v>
      </c>
      <c r="DJ293" s="39" t="n">
        <f aca="false">IF(DJ$4=0,0,IF(COUNTIFS(実績!$W$6:$W$505,DJ$3,実績!$AI$6:$AI$505,"&lt;="&amp;$A293,実績!$AJ$6:$AJ$505,"&gt;"&amp;$A293,実績!$AL$6:$AL$505,"○")&gt;0,1,0))</f>
        <v>0</v>
      </c>
      <c r="DK293" s="39" t="n">
        <f aca="false">IF(DK$4=0,0,IF(COUNTIFS(実績!$W$6:$W$505,DK$3,実績!$AI$6:$AI$505,"&lt;="&amp;$A293,実績!$AJ$6:$AJ$505,"&gt;"&amp;$A293,実績!$AL$6:$AL$505,"○")&gt;0,1,0))</f>
        <v>0</v>
      </c>
      <c r="DL293" s="39" t="n">
        <f aca="false">IF(DL$4=0,0,IF(COUNTIFS(実績!$W$6:$W$505,DL$3,実績!$AI$6:$AI$505,"&lt;="&amp;$A293,実績!$AJ$6:$AJ$505,"&gt;"&amp;$A293,実績!$AL$6:$AL$505,"○")&gt;0,1,0))</f>
        <v>0</v>
      </c>
      <c r="DM293" s="39" t="n">
        <f aca="false">IF(DM$4=0,0,IF(COUNTIFS(実績!$W$6:$W$505,DM$3,実績!$AI$6:$AI$505,"&lt;="&amp;$A293,実績!$AJ$6:$AJ$505,"&gt;"&amp;$A293,実績!$AL$6:$AL$505,"○")&gt;0,1,0))</f>
        <v>0</v>
      </c>
      <c r="DN293" s="39" t="n">
        <f aca="false">IF(DN$4=0,0,IF(COUNTIFS(実績!$W$6:$W$505,DN$3,実績!$AI$6:$AI$505,"&lt;="&amp;$A293,実績!$AJ$6:$AJ$505,"&gt;"&amp;$A293,実績!$AL$6:$AL$505,"○")&gt;0,1,0))</f>
        <v>0</v>
      </c>
      <c r="DO293" s="39" t="n">
        <f aca="false">IF(DO$4=0,0,IF(COUNTIFS(実績!$W$6:$W$505,DO$3,実績!$AI$6:$AI$505,"&lt;="&amp;$A293,実績!$AJ$6:$AJ$505,"&gt;"&amp;$A293,実績!$AL$6:$AL$505,"○")&gt;0,1,0))</f>
        <v>0</v>
      </c>
      <c r="DP293" s="39" t="n">
        <f aca="false">IF(DP$4=0,0,IF(COUNTIFS(実績!$W$6:$W$505,DP$3,実績!$AI$6:$AI$505,"&lt;="&amp;$A293,実績!$AJ$6:$AJ$505,"&gt;"&amp;$A293,実績!$AL$6:$AL$505,"○")&gt;0,1,0))</f>
        <v>0</v>
      </c>
      <c r="DQ293" s="39" t="n">
        <f aca="false">IF(DQ$4=0,0,IF(COUNTIFS(実績!$W$6:$W$505,DQ$3,実績!$AI$6:$AI$505,"&lt;="&amp;$A293,実績!$AJ$6:$AJ$505,"&gt;"&amp;$A293,実績!$AL$6:$AL$505,"○")&gt;0,1,0))</f>
        <v>0</v>
      </c>
      <c r="DR293" s="39" t="n">
        <f aca="false">IF(DR$4=0,0,IF(COUNTIFS(実績!$W$6:$W$505,DR$3,実績!$AI$6:$AI$505,"&lt;="&amp;$A293,実績!$AJ$6:$AJ$505,"&gt;"&amp;$A293,実績!$AL$6:$AL$505,"○")&gt;0,1,0))</f>
        <v>0</v>
      </c>
      <c r="DS293" s="39" t="n">
        <f aca="false">SUM(C293:DR293)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2026-10-04T12:57:07Z</dcterms:created>
  <dc:creator>openpyxl</dc:creator>
  <dc:description/>
  <dc:language>en-US</dc:language>
  <cp:lastModifiedBy/>
  <dcterms:modified xsi:type="dcterms:W3CDTF">2026-10-04T12:57:10Z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